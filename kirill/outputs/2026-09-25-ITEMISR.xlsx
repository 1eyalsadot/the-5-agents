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Main List" sheetId="2" state="visible" r:id="rId4"/>
    <sheet name="111 - Superpharm Life" sheetId="3" state="visible" r:id="rId5"/>
    <sheet name="112 - Kupat Holim Clalit" sheetId="4" state="visible" r:id="rId6"/>
    <sheet name="SALES Raw" sheetId="5" state="visible" r:id="rId7"/>
    <sheet name="CEMIUP0.9 Raw" sheetId="6" state="visible" r:id="rId8"/>
    <sheet name="TRANS" sheetId="7" state="visible" r:id="rId9"/>
    <sheet name="Cata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<sst xmlns="http://schemas.openxmlformats.org/spreadsheetml/2006/main" count="14267" uniqueCount="1978">
  <si>
    <t xml:space="preserve">ITEMISR — Consolidated Product List, All Customers/Categories, 2025 vs 2026 (Normalized)</t>
  </si>
  <si>
    <t xml:space="preserve">Calculation date:</t>
  </si>
  <si>
    <t xml:space="preserve">Technical note (not a conclusion): "Main List" consolidates 31 sources - "107-Pharmacies" and "113-Kupat Holim Meuhedet" (from CEMIUP0.9, already CEMI+SALES combined there, NOT re-pulled from SALES to avoid double-counting) + "BE"/"סופר פארם"/"מכבי" (from CEMIUP0.9, 100% CEMI, no matching Sale Type in SALES) + 26 other official Sale Type categories pulled directly from SALES and matched to CHEMIPAL Code via TRANS (primary) then the Catalog (fallback) - "110-Chemipal" is excluded (not relevant, per instruction). "111-Superpharm Life" and "112-Kupat Holim Clalit" are kept in their OWN separate sheets, NOT included in Main List or any consolidated total (per explicit instruction). Design note: each Main List row = one (product x source category) pair, NOT merged across categories - the same CHEMIPAL Code can appear on more than one row if sold through multiple categories (flagged for Reuven in case a fully cross-category-merged view is wanted instead). 0.91 net-sale factor: already baked into CEMIUP0.9's figures (CEMI-sourced portions only) - not re-applied here, and NOT applied to any SALES-direct category (NetSuite-sourced). 2026 = normalized to a full year (CEMIUP0.9 rows already annualized upstream; SALES-direct rows normalized here via ×12/9.5). RED row = DROP (sold 2025, exactly 0 in 2026). GREEN row = NEW (0 in 2025, sold in 2026).</t>
  </si>
  <si>
    <t xml:space="preserve">Sheet map</t>
  </si>
  <si>
    <t xml:space="preserve">Sheet</t>
  </si>
  <si>
    <t xml:space="preserve">Contents</t>
  </si>
  <si>
    <t xml:space="preserve">Main List</t>
  </si>
  <si>
    <t xml:space="preserve">Consolidated product list (31 sources, excl. 110/111/112), sorted by Quantity 2026 desc, DROP/NEW colored.</t>
  </si>
  <si>
    <t xml:space="preserve">111 - Superpharm Life</t>
  </si>
  <si>
    <t xml:space="preserve">Standalone - not in Main List/totals. Sale Type "111 - Superpharm Life" from SALES, matched via TRANS/Catalog (0% matched - private-label SKUs).</t>
  </si>
  <si>
    <t xml:space="preserve">112 - Kupat Holim Clalit</t>
  </si>
  <si>
    <t xml:space="preserve">Standalone - not in Main List/totals. Sale Type "112 - Kupat Holim Clalit" from SALES, matched via TRANS/Catalog (0% matched - private-label SKUs).</t>
  </si>
  <si>
    <t xml:space="preserve">SALES Raw</t>
  </si>
  <si>
    <t xml:space="preserve">Pre-aggregated item-level data (per category+item) for all 28 SALES-sourced categories (26 direct + 111 + 112), with live CHEMIPAL Code match.</t>
  </si>
  <si>
    <t xml:space="preserve">CEMIUP0.9 Raw</t>
  </si>
  <si>
    <t xml:space="preserve">Already-resolved product rows imported from CEMIUP0.9 (107/113/BE/סופר פארם/מכבי) - literal values, that file is the audit trail.</t>
  </si>
  <si>
    <t xml:space="preserve">TRANS</t>
  </si>
  <si>
    <t xml:space="preserve">Crosswalk table (short NetSuite-style codes -&gt; CHEMIPAL Code) - primary match source for SALES Raw.</t>
  </si>
  <si>
    <t xml:space="preserve">Catalog</t>
  </si>
  <si>
    <t xml:space="preserve">Global מק"ט&lt;-&gt;item-name catalog (PPLAY1-format) - fallback match source for SALES Raw.</t>
  </si>
  <si>
    <t xml:space="preserve">Summary</t>
  </si>
  <si>
    <t xml:space="preserve"># Rows</t>
  </si>
  <si>
    <t xml:space="preserve">Qty 2025</t>
  </si>
  <si>
    <t xml:space="preserve">Amt 2025 (₪)</t>
  </si>
  <si>
    <t xml:space="preserve">Qty 2026 (norm)</t>
  </si>
  <si>
    <t xml:space="preserve">Amt 2026 (norm, ₪)</t>
  </si>
  <si>
    <t xml:space="preserve"># DROP</t>
  </si>
  <si>
    <t xml:space="preserve"># NEW</t>
  </si>
  <si>
    <t xml:space="preserve">Consolidated product list from ALL customer/category sources (design choice, flagged for Reuven: ONE ROW PER (product x source category) pair - NOT merged/summed across categories, since the same CHEMIPAL Code can legitimately appear more than once here if sold through multiple categories; see "Source Category" column. Sources: "107 - Pharmacies" and "113 - Kupat Holim Meuhedet" from kirill/outputs/2026-09-25-CEMIUP0.9-grouped-2025-vs-2026.xlsx (already CEMI+SALES combined there - NOT re-pulled from SALES separately, to avoid double-counting the SALES portion). "BE" / "סופר פארם" / "מכבי" also from CEMIUP0.9 (100% CEMI/PPLAY1, no matching Sale Type in SALES - expected). The remaining 26 official categories pulled directly from kirill/outputs/2026-09-20-salestype-2025-vs-2026.xlsx, matched to CHEMIPAL Code via TRANS (primary) then the Catalog (fallback) - unmatched items are KEPT as their own rows (raw item name as key), not dropped. "111 - Superpharm Life" and "112 - Kupat Holim Clalit" are EXCLUDED from this list per instruction - see their own separate sheets. 0.91 net-sale factor: already applied (CEMI-sourced portions only) inside CEMIUP0.9's "בתי מרקחת"/"מאוחדת" figures - NOT re-applied here; NOT applied to any of the 26 direct-SALES categories (NetSuite-sourced, per explicit instruction). 2026 = normalized to a full year (×12/9.5) for SALES-sourced rows; CEMIUP0.9-sourced rows were already annualized upstream. Sorted by Quantity 2026 (normalized), descending. RED row = sold in 2025, exactly 0 in 2026 (DROP). GREEN row = 0 in 2025, sold in 2026 (NEW).</t>
  </si>
  <si>
    <t xml:space="preserve">Normalization factor (2026, SALES-sourced rows only - CEMIUP0.9 rows already annualized upstream):</t>
  </si>
  <si>
    <t xml:space="preserve">Factor (12/9.5):</t>
  </si>
  <si>
    <t xml:space="preserve">CHEMIPAL Code</t>
  </si>
  <si>
    <t xml:space="preserve">ITEM NAME</t>
  </si>
  <si>
    <t xml:space="preserve">שם מוצר</t>
  </si>
  <si>
    <t xml:space="preserve">כמות 2025</t>
  </si>
  <si>
    <t xml:space="preserve">כסף 2025 (₪)</t>
  </si>
  <si>
    <t xml:space="preserve">כמות 2026 (מנורמל)</t>
  </si>
  <si>
    <t xml:space="preserve">כסף 2026 (מנורמל, ₪)</t>
  </si>
  <si>
    <t xml:space="preserve">Source Category</t>
  </si>
  <si>
    <t xml:space="preserve">111 - Superpharm Life - Source: kirill/outputs/2026-09-20-salestype-2025-vs-2026.xlsx, "Source" sheet, Sale Type = "111 - Superpharm Life".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</si>
  <si>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112 - Kupat Holim Clalit - Source: kirill/outputs/2026-09-20-salestype-2025-vs-2026.xlsx, "Source" sheet, Sale Type = "112 - Kupat Holim Clalit".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</si>
  <si>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SALES Raw — item-level data (pre-aggregated per category+item) from all 28 SALES-sourced categories</t>
  </si>
  <si>
    <t xml:space="preserve">Source: kirill/outputs/2026-09-20-salestype-2025-vs-2026.xlsx, "Source" sheet, filtered per Sale Type (26 categories that feed the Main List + "111 - Superpharm Life" + "112 - Kupat Holim Clalit" which get their own separate sheets). No 0.91 factor applied anywhere here (NetSuite-sourced, not PPLAY1). Quantity/Amount 2026 here are RAW ACTUAL (pre-normalization) - normalization (×12/9.5) happens in the Main List / 111 / 112 sheets' formulas, not here. CHEMIPAL Code matched live: TRANS (primary, same short-code format) first, then the Catalog (fallback, rarely matches this short-code format but checked per instruction), each tried exact then whitespace-normalized.</t>
  </si>
  <si>
    <t xml:space="preserve">Category</t>
  </si>
  <si>
    <t xml:space="preserve">Item Name (raw)</t>
  </si>
  <si>
    <t xml:space="preserve">Quantity 2025</t>
  </si>
  <si>
    <t xml:space="preserve">Amount 2025 (₪)</t>
  </si>
  <si>
    <t xml:space="preserve">Quantity 2026 (raw actual)</t>
  </si>
  <si>
    <t xml:space="preserve">Amount 2026 (raw actual, ₪)</t>
  </si>
  <si>
    <t xml:space="preserve">Product Name</t>
  </si>
  <si>
    <t xml:space="preserve">Match Type</t>
  </si>
  <si>
    <t xml:space="preserve">101 - Factory customers</t>
  </si>
  <si>
    <t xml:space="preserve">75 L</t>
  </si>
  <si>
    <t xml:space="preserve">75 XL</t>
  </si>
  <si>
    <t xml:space="preserve">AC75-S-XL</t>
  </si>
  <si>
    <t xml:space="preserve">T11C XXL</t>
  </si>
  <si>
    <t xml:space="preserve">AC43D 0</t>
  </si>
  <si>
    <t xml:space="preserve">M93</t>
  </si>
  <si>
    <t xml:space="preserve">T39 XL</t>
  </si>
  <si>
    <t xml:space="preserve">06U M</t>
  </si>
  <si>
    <t xml:space="preserve">078 L</t>
  </si>
  <si>
    <t xml:space="preserve">078 XL</t>
  </si>
  <si>
    <t xml:space="preserve">078G M</t>
  </si>
  <si>
    <t xml:space="preserve">079 M</t>
  </si>
  <si>
    <t xml:space="preserve">07UC-S-M</t>
  </si>
  <si>
    <t xml:space="preserve">09-S-M</t>
  </si>
  <si>
    <t xml:space="preserve">099-L-XL</t>
  </si>
  <si>
    <t xml:space="preserve">099-S-M</t>
  </si>
  <si>
    <t xml:space="preserve">10 L</t>
  </si>
  <si>
    <t xml:space="preserve">10 M</t>
  </si>
  <si>
    <t xml:space="preserve">10 XL</t>
  </si>
  <si>
    <t xml:space="preserve">11 M</t>
  </si>
  <si>
    <t xml:space="preserve">11EU L</t>
  </si>
  <si>
    <t xml:space="preserve">11EU M</t>
  </si>
  <si>
    <t xml:space="preserve">11EU S</t>
  </si>
  <si>
    <t xml:space="preserve">11STO XXL</t>
  </si>
  <si>
    <t xml:space="preserve">11TO XXL</t>
  </si>
  <si>
    <t xml:space="preserve">11UG M</t>
  </si>
  <si>
    <t xml:space="preserve">11UG XL</t>
  </si>
  <si>
    <t xml:space="preserve">11UG XXL</t>
  </si>
  <si>
    <t xml:space="preserve">13 L</t>
  </si>
  <si>
    <t xml:space="preserve">13B S</t>
  </si>
  <si>
    <t xml:space="preserve">14 0</t>
  </si>
  <si>
    <t xml:space="preserve">15M L</t>
  </si>
  <si>
    <t xml:space="preserve">15M M</t>
  </si>
  <si>
    <t xml:space="preserve">15W L</t>
  </si>
  <si>
    <t xml:space="preserve">15W M</t>
  </si>
  <si>
    <t xml:space="preserve">15W S</t>
  </si>
  <si>
    <t xml:space="preserve">15W XL</t>
  </si>
  <si>
    <t xml:space="preserve">15W XXL</t>
  </si>
  <si>
    <t xml:space="preserve">16-L-XL</t>
  </si>
  <si>
    <t xml:space="preserve">16-S-M</t>
  </si>
  <si>
    <t xml:space="preserve">21 M</t>
  </si>
  <si>
    <t xml:space="preserve">211 L</t>
  </si>
  <si>
    <t xml:space="preserve">211 M</t>
  </si>
  <si>
    <t xml:space="preserve">211 S</t>
  </si>
  <si>
    <t xml:space="preserve">212 L</t>
  </si>
  <si>
    <t xml:space="preserve">212 M</t>
  </si>
  <si>
    <t xml:space="preserve">212 S</t>
  </si>
  <si>
    <t xml:space="preserve">237 0</t>
  </si>
  <si>
    <t xml:space="preserve">238 L</t>
  </si>
  <si>
    <t xml:space="preserve">238 S</t>
  </si>
  <si>
    <t xml:space="preserve">239B-L-XL</t>
  </si>
  <si>
    <t xml:space="preserve">239B-S-M</t>
  </si>
  <si>
    <t xml:space="preserve">239TR-L-XL</t>
  </si>
  <si>
    <t xml:space="preserve">250 0</t>
  </si>
  <si>
    <t xml:space="preserve">251 0</t>
  </si>
  <si>
    <t xml:space="preserve">26 XXL</t>
  </si>
  <si>
    <t xml:space="preserve">266 0</t>
  </si>
  <si>
    <t xml:space="preserve">267LB-L-XL</t>
  </si>
  <si>
    <t xml:space="preserve">268 0</t>
  </si>
  <si>
    <t xml:space="preserve">28 M</t>
  </si>
  <si>
    <t xml:space="preserve">30 M</t>
  </si>
  <si>
    <t xml:space="preserve">30 XL</t>
  </si>
  <si>
    <t xml:space="preserve">302M 0</t>
  </si>
  <si>
    <t xml:space="preserve">302W 0</t>
  </si>
  <si>
    <t xml:space="preserve">305GA-39-40</t>
  </si>
  <si>
    <t xml:space="preserve">305GA-41-42</t>
  </si>
  <si>
    <t xml:space="preserve">305GA-43-44</t>
  </si>
  <si>
    <t xml:space="preserve">305GA-45-46</t>
  </si>
  <si>
    <t xml:space="preserve">307 L</t>
  </si>
  <si>
    <t xml:space="preserve">307 M</t>
  </si>
  <si>
    <t xml:space="preserve">307 XL</t>
  </si>
  <si>
    <t xml:space="preserve">308 M</t>
  </si>
  <si>
    <t xml:space="preserve">311 0</t>
  </si>
  <si>
    <t xml:space="preserve">312 0</t>
  </si>
  <si>
    <t xml:space="preserve">313 0</t>
  </si>
  <si>
    <t xml:space="preserve">32 XL</t>
  </si>
  <si>
    <t xml:space="preserve">320 0</t>
  </si>
  <si>
    <t xml:space="preserve">322 L</t>
  </si>
  <si>
    <t xml:space="preserve">332B L</t>
  </si>
  <si>
    <t xml:space="preserve">34+ L</t>
  </si>
  <si>
    <t xml:space="preserve">34+ XL</t>
  </si>
  <si>
    <t xml:space="preserve">35 L</t>
  </si>
  <si>
    <t xml:space="preserve">35 M</t>
  </si>
  <si>
    <t xml:space="preserve">35B L</t>
  </si>
  <si>
    <t xml:space="preserve">35B M</t>
  </si>
  <si>
    <t xml:space="preserve">35B S</t>
  </si>
  <si>
    <t xml:space="preserve">35B XL</t>
  </si>
  <si>
    <t xml:space="preserve">35B XXL</t>
  </si>
  <si>
    <t xml:space="preserve">35C L</t>
  </si>
  <si>
    <t xml:space="preserve">35C M</t>
  </si>
  <si>
    <t xml:space="preserve">35C S</t>
  </si>
  <si>
    <t xml:space="preserve">35C XS</t>
  </si>
  <si>
    <t xml:space="preserve">35C XXL</t>
  </si>
  <si>
    <t xml:space="preserve">350 0</t>
  </si>
  <si>
    <t xml:space="preserve">351 0</t>
  </si>
  <si>
    <t xml:space="preserve">3611 0</t>
  </si>
  <si>
    <t xml:space="preserve">362-L-R</t>
  </si>
  <si>
    <t xml:space="preserve">3622S 0</t>
  </si>
  <si>
    <t xml:space="preserve">3623 0</t>
  </si>
  <si>
    <t xml:space="preserve">363 L/R</t>
  </si>
  <si>
    <t xml:space="preserve">364-S-L</t>
  </si>
  <si>
    <t xml:space="preserve">364 XL</t>
  </si>
  <si>
    <t xml:space="preserve">3641 0</t>
  </si>
  <si>
    <t xml:space="preserve">365-S-L</t>
  </si>
  <si>
    <t xml:space="preserve">3655 0</t>
  </si>
  <si>
    <t xml:space="preserve">3666 0</t>
  </si>
  <si>
    <t xml:space="preserve">3667 0</t>
  </si>
  <si>
    <t xml:space="preserve">366S 0</t>
  </si>
  <si>
    <t xml:space="preserve">3672 0</t>
  </si>
  <si>
    <t xml:space="preserve">3674 0</t>
  </si>
  <si>
    <t xml:space="preserve">3675 0</t>
  </si>
  <si>
    <t xml:space="preserve">369-S-L</t>
  </si>
  <si>
    <t xml:space="preserve">369-XL</t>
  </si>
  <si>
    <t xml:space="preserve">370 0</t>
  </si>
  <si>
    <t xml:space="preserve">370K 0</t>
  </si>
  <si>
    <t xml:space="preserve">371 0</t>
  </si>
  <si>
    <t xml:space="preserve">372 0</t>
  </si>
  <si>
    <t xml:space="preserve">374 0</t>
  </si>
  <si>
    <t xml:space="preserve">376-35-37</t>
  </si>
  <si>
    <t xml:space="preserve">376-38-40</t>
  </si>
  <si>
    <t xml:space="preserve">376-41-43</t>
  </si>
  <si>
    <t xml:space="preserve">376-44-45</t>
  </si>
  <si>
    <t xml:space="preserve">376-46-47</t>
  </si>
  <si>
    <t xml:space="preserve">38 0</t>
  </si>
  <si>
    <t xml:space="preserve">386 0</t>
  </si>
  <si>
    <t xml:space="preserve">388L 0</t>
  </si>
  <si>
    <t xml:space="preserve">388BL 0</t>
  </si>
  <si>
    <t xml:space="preserve">388BR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</si>
  <si>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</si>
  <si>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</si>
  <si>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</si>
  <si>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</si>
  <si>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390G-39-42</t>
  </si>
  <si>
    <t xml:space="preserve">390G-43-46</t>
  </si>
  <si>
    <t xml:space="preserve">390W-39-42</t>
  </si>
  <si>
    <t xml:space="preserve">394B-35-38</t>
  </si>
  <si>
    <t xml:space="preserve">394B-39-42</t>
  </si>
  <si>
    <t xml:space="preserve">394B-43-46</t>
  </si>
  <si>
    <t xml:space="preserve">394G-35-38</t>
  </si>
  <si>
    <t xml:space="preserve">394G-39-42</t>
  </si>
  <si>
    <t xml:space="preserve">394W-35-38</t>
  </si>
  <si>
    <t xml:space="preserve">394W-39-42</t>
  </si>
  <si>
    <t xml:space="preserve">394W-43-46</t>
  </si>
  <si>
    <t xml:space="preserve">395B-39-42</t>
  </si>
  <si>
    <t xml:space="preserve">395B-43-46</t>
  </si>
  <si>
    <t xml:space="preserve">397-35-38</t>
  </si>
  <si>
    <t xml:space="preserve">397-39-42</t>
  </si>
  <si>
    <t xml:space="preserve">397-43-46</t>
  </si>
  <si>
    <t xml:space="preserve">397A-35-38</t>
  </si>
  <si>
    <t xml:space="preserve">397A-39-42</t>
  </si>
  <si>
    <t xml:space="preserve">397A-43-46</t>
  </si>
  <si>
    <t xml:space="preserve">40 0</t>
  </si>
  <si>
    <t xml:space="preserve">4022 0</t>
  </si>
  <si>
    <t xml:space="preserve">41X L</t>
  </si>
  <si>
    <t xml:space="preserve">45 S</t>
  </si>
  <si>
    <t xml:space="preserve">45 XL</t>
  </si>
  <si>
    <t xml:space="preserve">45B L</t>
  </si>
  <si>
    <t xml:space="preserve">45B M</t>
  </si>
  <si>
    <t xml:space="preserve">45C L</t>
  </si>
  <si>
    <t xml:space="preserve">45C M</t>
  </si>
  <si>
    <t xml:space="preserve">45C S</t>
  </si>
  <si>
    <t xml:space="preserve">45C XL</t>
  </si>
  <si>
    <t xml:space="preserve">45C XS</t>
  </si>
  <si>
    <t xml:space="preserve">45C XXL</t>
  </si>
  <si>
    <t xml:space="preserve">45E XL</t>
  </si>
  <si>
    <t xml:space="preserve">45E XXL</t>
  </si>
  <si>
    <t xml:space="preserve">45EC L</t>
  </si>
  <si>
    <t xml:space="preserve">45EC M</t>
  </si>
  <si>
    <t xml:space="preserve">45EC XL</t>
  </si>
  <si>
    <t xml:space="preserve">45EC XXL</t>
  </si>
  <si>
    <t xml:space="preserve">48 XXL</t>
  </si>
  <si>
    <t xml:space="preserve">55 XL</t>
  </si>
  <si>
    <t xml:space="preserve">59L L</t>
  </si>
  <si>
    <t xml:space="preserve">59L XXL</t>
  </si>
  <si>
    <t xml:space="preserve">59R M</t>
  </si>
  <si>
    <t xml:space="preserve">59R S</t>
  </si>
  <si>
    <t xml:space="preserve">60 M</t>
  </si>
  <si>
    <t xml:space="preserve">60 S</t>
  </si>
  <si>
    <t xml:space="preserve">61 S</t>
  </si>
  <si>
    <t xml:space="preserve">67 0</t>
  </si>
  <si>
    <t xml:space="preserve">75 XXL</t>
  </si>
  <si>
    <t xml:space="preserve">76 L</t>
  </si>
  <si>
    <t xml:space="preserve">76 XL</t>
  </si>
  <si>
    <t xml:space="preserve">76 XS</t>
  </si>
  <si>
    <t xml:space="preserve">776 L</t>
  </si>
  <si>
    <t xml:space="preserve">78A XXXL</t>
  </si>
  <si>
    <t xml:space="preserve">801 0</t>
  </si>
  <si>
    <t xml:space="preserve">804AT-B</t>
  </si>
  <si>
    <t xml:space="preserve">804AT-BL</t>
  </si>
  <si>
    <t xml:space="preserve">804AT-C</t>
  </si>
  <si>
    <t xml:space="preserve">805AT-B</t>
  </si>
  <si>
    <t xml:space="preserve">805AT-C</t>
  </si>
  <si>
    <t xml:space="preserve">807CB-B</t>
  </si>
  <si>
    <t xml:space="preserve">807CB-BL</t>
  </si>
  <si>
    <t xml:space="preserve">807CB-C</t>
  </si>
  <si>
    <t xml:space="preserve">808KT-B</t>
  </si>
  <si>
    <t xml:space="preserve">808KT-C</t>
  </si>
  <si>
    <t xml:space="preserve">820 0</t>
  </si>
  <si>
    <t xml:space="preserve">84-L-XXL</t>
  </si>
  <si>
    <t xml:space="preserve">84-S-M</t>
  </si>
  <si>
    <t xml:space="preserve">85 L</t>
  </si>
  <si>
    <t xml:space="preserve">85 M</t>
  </si>
  <si>
    <t xml:space="preserve">85 XL</t>
  </si>
  <si>
    <t xml:space="preserve">85B L</t>
  </si>
  <si>
    <t xml:space="preserve">85B M</t>
  </si>
  <si>
    <t xml:space="preserve">85B S</t>
  </si>
  <si>
    <t xml:space="preserve">85B XL</t>
  </si>
  <si>
    <t xml:space="preserve">85K 0</t>
  </si>
  <si>
    <t xml:space="preserve">95 M</t>
  </si>
  <si>
    <t xml:space="preserve">95B L</t>
  </si>
  <si>
    <t xml:space="preserve">95B M</t>
  </si>
  <si>
    <t xml:space="preserve">95B S</t>
  </si>
  <si>
    <t xml:space="preserve">95B XL</t>
  </si>
  <si>
    <t xml:space="preserve">95C L</t>
  </si>
  <si>
    <t xml:space="preserve">95C M</t>
  </si>
  <si>
    <t xml:space="preserve">AC07 0</t>
  </si>
  <si>
    <t xml:space="preserve">AC11 0</t>
  </si>
  <si>
    <t xml:space="preserve">AC25 0</t>
  </si>
  <si>
    <t xml:space="preserve">AC27L 0</t>
  </si>
  <si>
    <t xml:space="preserve">AC27R 0</t>
  </si>
  <si>
    <t xml:space="preserve">AC28 0</t>
  </si>
  <si>
    <t xml:space="preserve">AC37 0</t>
  </si>
  <si>
    <t xml:space="preserve">AC40 0</t>
  </si>
  <si>
    <t xml:space="preserve">AC45X 0</t>
  </si>
  <si>
    <t xml:space="preserve">AC75 XXL</t>
  </si>
  <si>
    <t xml:space="preserve">AC91 0</t>
  </si>
  <si>
    <t xml:space="preserve">AC95 0</t>
  </si>
  <si>
    <t xml:space="preserve">FC321 0</t>
  </si>
  <si>
    <t xml:space="preserve">FC333 0</t>
  </si>
  <si>
    <t xml:space="preserve">FC335 0</t>
  </si>
  <si>
    <t xml:space="preserve">FC341 0</t>
  </si>
  <si>
    <t xml:space="preserve">FC342 0</t>
  </si>
  <si>
    <t xml:space="preserve">LF360 0</t>
  </si>
  <si>
    <t xml:space="preserve">LF373 0</t>
  </si>
  <si>
    <t xml:space="preserve">LF374 0</t>
  </si>
  <si>
    <t xml:space="preserve">PD340 0</t>
  </si>
  <si>
    <t xml:space="preserve">PD341 0</t>
  </si>
  <si>
    <t xml:space="preserve">PD342 0</t>
  </si>
  <si>
    <t xml:space="preserve">PD344 0</t>
  </si>
  <si>
    <t xml:space="preserve">PD346 0</t>
  </si>
  <si>
    <t xml:space="preserve">SC25 L</t>
  </si>
  <si>
    <t xml:space="preserve">SC25 M</t>
  </si>
  <si>
    <t xml:space="preserve">SC25 S</t>
  </si>
  <si>
    <t xml:space="preserve">SC25 XL</t>
  </si>
  <si>
    <t xml:space="preserve">SC35L L</t>
  </si>
  <si>
    <t xml:space="preserve">SC35L XL</t>
  </si>
  <si>
    <t xml:space="preserve">SC35R L</t>
  </si>
  <si>
    <t xml:space="preserve">SC35R M</t>
  </si>
  <si>
    <t xml:space="preserve">SC35R S</t>
  </si>
  <si>
    <t xml:space="preserve">SC39 M</t>
  </si>
  <si>
    <t xml:space="preserve">SC422 M</t>
  </si>
  <si>
    <t xml:space="preserve">SC422 XXL</t>
  </si>
  <si>
    <t xml:space="preserve">SC95 L</t>
  </si>
  <si>
    <t xml:space="preserve">SC95 M</t>
  </si>
  <si>
    <t xml:space="preserve">SC95 S</t>
  </si>
  <si>
    <t xml:space="preserve">SH333 0</t>
  </si>
  <si>
    <t xml:space="preserve">SH422 5</t>
  </si>
  <si>
    <t xml:space="preserve">ST3555-L-XL</t>
  </si>
  <si>
    <t xml:space="preserve">ST3555-S-M</t>
  </si>
  <si>
    <t xml:space="preserve">T03 L</t>
  </si>
  <si>
    <t xml:space="preserve">T03 M</t>
  </si>
  <si>
    <t xml:space="preserve">T03 XXL</t>
  </si>
  <si>
    <t xml:space="preserve">T11C XL</t>
  </si>
  <si>
    <t xml:space="preserve">T20-L-XL</t>
  </si>
  <si>
    <t xml:space="preserve">T20C-L-XL</t>
  </si>
  <si>
    <t xml:space="preserve">T20C-S-M</t>
  </si>
  <si>
    <t xml:space="preserve">T25 0</t>
  </si>
  <si>
    <t xml:space="preserve">T28 M</t>
  </si>
  <si>
    <t xml:space="preserve">T28A XS</t>
  </si>
  <si>
    <t xml:space="preserve">T28AC-L-XL</t>
  </si>
  <si>
    <t xml:space="preserve">T28AC-S-M</t>
  </si>
  <si>
    <t xml:space="preserve">T33 XL</t>
  </si>
  <si>
    <t xml:space="preserve">T40 0</t>
  </si>
  <si>
    <t xml:space="preserve">T402 L</t>
  </si>
  <si>
    <t xml:space="preserve">T402 M</t>
  </si>
  <si>
    <t xml:space="preserve">T402 S</t>
  </si>
  <si>
    <t xml:space="preserve">T402 XL</t>
  </si>
  <si>
    <t xml:space="preserve">T45 M</t>
  </si>
  <si>
    <t xml:space="preserve">T49 S</t>
  </si>
  <si>
    <t xml:space="preserve">T49 XL</t>
  </si>
  <si>
    <t xml:space="preserve">T78 L</t>
  </si>
  <si>
    <t xml:space="preserve">T91-S-M</t>
  </si>
  <si>
    <t xml:space="preserve">062 L</t>
  </si>
  <si>
    <t xml:space="preserve">078G L</t>
  </si>
  <si>
    <t xml:space="preserve">078G XL</t>
  </si>
  <si>
    <t xml:space="preserve">078G XXL</t>
  </si>
  <si>
    <t xml:space="preserve">07AE XL</t>
  </si>
  <si>
    <t xml:space="preserve">07AF L</t>
  </si>
  <si>
    <t xml:space="preserve">07AF XL</t>
  </si>
  <si>
    <t xml:space="preserve">11EU XL</t>
  </si>
  <si>
    <t xml:space="preserve">11PS XXL</t>
  </si>
  <si>
    <t xml:space="preserve">11STO XL</t>
  </si>
  <si>
    <t xml:space="preserve">11TO XL</t>
  </si>
  <si>
    <t xml:space="preserve">13 M</t>
  </si>
  <si>
    <t xml:space="preserve">13 XXL</t>
  </si>
  <si>
    <t xml:space="preserve">21 L</t>
  </si>
  <si>
    <t xml:space="preserve">21 S</t>
  </si>
  <si>
    <t xml:space="preserve">21 XL</t>
  </si>
  <si>
    <t xml:space="preserve">21 XS</t>
  </si>
  <si>
    <t xml:space="preserve">25 L</t>
  </si>
  <si>
    <t xml:space="preserve">26 S</t>
  </si>
  <si>
    <t xml:space="preserve">301CM-41-45</t>
  </si>
  <si>
    <t xml:space="preserve">301CW-36-40</t>
  </si>
  <si>
    <t xml:space="preserve">301JM-41-45</t>
  </si>
  <si>
    <t xml:space="preserve">305-35-36</t>
  </si>
  <si>
    <t xml:space="preserve">34+ M</t>
  </si>
  <si>
    <t xml:space="preserve">3444B 0</t>
  </si>
  <si>
    <t xml:space="preserve">35 S</t>
  </si>
  <si>
    <t xml:space="preserve">35 XL</t>
  </si>
  <si>
    <t xml:space="preserve">35 XS</t>
  </si>
  <si>
    <t xml:space="preserve">35 XXL</t>
  </si>
  <si>
    <t xml:space="preserve">35C XL</t>
  </si>
  <si>
    <t xml:space="preserve">377-36</t>
  </si>
  <si>
    <t xml:space="preserve">377-41</t>
  </si>
  <si>
    <t xml:space="preserve">390W-43-46</t>
  </si>
  <si>
    <t xml:space="preserve">41 L</t>
  </si>
  <si>
    <t xml:space="preserve">41X M</t>
  </si>
  <si>
    <t xml:space="preserve">41X XXL</t>
  </si>
  <si>
    <t xml:space="preserve">422E XL</t>
  </si>
  <si>
    <t xml:space="preserve">422E XXL</t>
  </si>
  <si>
    <t xml:space="preserve">422EB L</t>
  </si>
  <si>
    <t xml:space="preserve">422EB XL</t>
  </si>
  <si>
    <t xml:space="preserve">422EB XXL</t>
  </si>
  <si>
    <t xml:space="preserve">422EBD XL</t>
  </si>
  <si>
    <t xml:space="preserve">45 L</t>
  </si>
  <si>
    <t xml:space="preserve">45 M</t>
  </si>
  <si>
    <t xml:space="preserve">45 XXL</t>
  </si>
  <si>
    <t xml:space="preserve">45B S</t>
  </si>
  <si>
    <t xml:space="preserve">45B XL</t>
  </si>
  <si>
    <t xml:space="preserve">45B XXL</t>
  </si>
  <si>
    <t xml:space="preserve">45E L</t>
  </si>
  <si>
    <t xml:space="preserve">45E M</t>
  </si>
  <si>
    <t xml:space="preserve">45E S</t>
  </si>
  <si>
    <t xml:space="preserve">45EC S</t>
  </si>
  <si>
    <t xml:space="preserve">48 L</t>
  </si>
  <si>
    <t xml:space="preserve">48 S</t>
  </si>
  <si>
    <t xml:space="preserve">49 L</t>
  </si>
  <si>
    <t xml:space="preserve">49 M</t>
  </si>
  <si>
    <t xml:space="preserve">49 S</t>
  </si>
  <si>
    <t xml:space="preserve">49 XL</t>
  </si>
  <si>
    <t xml:space="preserve">49PS XL</t>
  </si>
  <si>
    <t xml:space="preserve">50 S</t>
  </si>
  <si>
    <t xml:space="preserve">59D L</t>
  </si>
  <si>
    <t xml:space="preserve">59L M</t>
  </si>
  <si>
    <t xml:space="preserve">59L S</t>
  </si>
  <si>
    <t xml:space="preserve">59L XL</t>
  </si>
  <si>
    <t xml:space="preserve">59R L</t>
  </si>
  <si>
    <t xml:space="preserve">59R XL</t>
  </si>
  <si>
    <t xml:space="preserve">60 XL</t>
  </si>
  <si>
    <t xml:space="preserve">63 M</t>
  </si>
  <si>
    <t xml:space="preserve">63 S</t>
  </si>
  <si>
    <t xml:space="preserve">74-L-XL</t>
  </si>
  <si>
    <t xml:space="preserve">76 S</t>
  </si>
  <si>
    <t xml:space="preserve">776 XL</t>
  </si>
  <si>
    <t xml:space="preserve">777 XXL</t>
  </si>
  <si>
    <t xml:space="preserve">777-L-XL</t>
  </si>
  <si>
    <t xml:space="preserve">777-S-M</t>
  </si>
  <si>
    <t xml:space="preserve">78A L</t>
  </si>
  <si>
    <t xml:space="preserve">78A M</t>
  </si>
  <si>
    <t xml:space="preserve">78AB L</t>
  </si>
  <si>
    <t xml:space="preserve">78AB XL</t>
  </si>
  <si>
    <t xml:space="preserve">804AT-W</t>
  </si>
  <si>
    <t xml:space="preserve">806CB-B</t>
  </si>
  <si>
    <t xml:space="preserve">806CB-C</t>
  </si>
  <si>
    <t xml:space="preserve">806CB-GR</t>
  </si>
  <si>
    <t xml:space="preserve">806CB-P</t>
  </si>
  <si>
    <t xml:space="preserve">85+ L</t>
  </si>
  <si>
    <t xml:space="preserve">85+ M</t>
  </si>
  <si>
    <t xml:space="preserve">85+ XL</t>
  </si>
  <si>
    <t xml:space="preserve">87 L</t>
  </si>
  <si>
    <t xml:space="preserve">87 M</t>
  </si>
  <si>
    <t xml:space="preserve">87 XL</t>
  </si>
  <si>
    <t xml:space="preserve">91B 0</t>
  </si>
  <si>
    <t xml:space="preserve">922 L</t>
  </si>
  <si>
    <t xml:space="preserve">922 XL</t>
  </si>
  <si>
    <t xml:space="preserve">95 L</t>
  </si>
  <si>
    <t xml:space="preserve">95 S</t>
  </si>
  <si>
    <t xml:space="preserve">95 XL</t>
  </si>
  <si>
    <t xml:space="preserve">95C S</t>
  </si>
  <si>
    <t xml:space="preserve">95C XL</t>
  </si>
  <si>
    <t xml:space="preserve">LUPD344 0</t>
  </si>
  <si>
    <t xml:space="preserve">SC35L M</t>
  </si>
  <si>
    <t xml:space="preserve">SC39 L</t>
  </si>
  <si>
    <t xml:space="preserve">SC39 S</t>
  </si>
  <si>
    <t xml:space="preserve">SC422 L</t>
  </si>
  <si>
    <t xml:space="preserve">SC422 S</t>
  </si>
  <si>
    <t xml:space="preserve">SC422 XL</t>
  </si>
  <si>
    <t xml:space="preserve">SC95 XL</t>
  </si>
  <si>
    <t xml:space="preserve">SP302W 0</t>
  </si>
  <si>
    <t xml:space="preserve">ST433D 0</t>
  </si>
  <si>
    <t xml:space="preserve">T03 XL</t>
  </si>
  <si>
    <t xml:space="preserve">T25B 0</t>
  </si>
  <si>
    <t xml:space="preserve">T39 M</t>
  </si>
  <si>
    <t xml:space="preserve">T39 S</t>
  </si>
  <si>
    <t xml:space="preserve">T433 XL</t>
  </si>
  <si>
    <t xml:space="preserve">T45X L</t>
  </si>
  <si>
    <t xml:space="preserve">T45X M</t>
  </si>
  <si>
    <t xml:space="preserve">T45X S</t>
  </si>
  <si>
    <t xml:space="preserve">T45X XXL</t>
  </si>
  <si>
    <t xml:space="preserve">T49 L</t>
  </si>
  <si>
    <t xml:space="preserve">T78 M</t>
  </si>
  <si>
    <t xml:space="preserve">T95 L</t>
  </si>
  <si>
    <t xml:space="preserve">078 M</t>
  </si>
  <si>
    <t xml:space="preserve">078 S</t>
  </si>
  <si>
    <t xml:space="preserve">078 XXL</t>
  </si>
  <si>
    <t xml:space="preserve">10 XXL</t>
  </si>
  <si>
    <t xml:space="preserve">11 L</t>
  </si>
  <si>
    <t xml:space="preserve">11EU XXL</t>
  </si>
  <si>
    <t xml:space="preserve">11STO L</t>
  </si>
  <si>
    <t xml:space="preserve">11TO L</t>
  </si>
  <si>
    <t xml:space="preserve">11U L</t>
  </si>
  <si>
    <t xml:space="preserve">202 0</t>
  </si>
  <si>
    <t xml:space="preserve">21 XXL</t>
  </si>
  <si>
    <t xml:space="preserve">213CTSL L</t>
  </si>
  <si>
    <t xml:space="preserve">213CTSL M</t>
  </si>
  <si>
    <t xml:space="preserve">213CTSL S</t>
  </si>
  <si>
    <t xml:space="preserve">213CTSR L</t>
  </si>
  <si>
    <t xml:space="preserve">213CTSR M</t>
  </si>
  <si>
    <t xml:space="preserve">213CTSR S</t>
  </si>
  <si>
    <t xml:space="preserve">239P-S-M</t>
  </si>
  <si>
    <t xml:space="preserve">26 XS</t>
  </si>
  <si>
    <t xml:space="preserve">LU302M 0</t>
  </si>
  <si>
    <t xml:space="preserve">LU302W 0</t>
  </si>
  <si>
    <t xml:space="preserve">322 XL</t>
  </si>
  <si>
    <t xml:space="preserve">333 0</t>
  </si>
  <si>
    <t xml:space="preserve">364XL+ 0</t>
  </si>
  <si>
    <t xml:space="preserve">365-XL</t>
  </si>
  <si>
    <t xml:space="preserve">379COM-35-38</t>
  </si>
  <si>
    <t xml:space="preserve">379COM-39-42</t>
  </si>
  <si>
    <t xml:space="preserve">379COM-43-46</t>
  </si>
  <si>
    <t xml:space="preserve">379MSP-35-38</t>
  </si>
  <si>
    <t xml:space="preserve">379MSP-39-42</t>
  </si>
  <si>
    <t xml:space="preserve">379MSP-43-46</t>
  </si>
  <si>
    <t xml:space="preserve">379WRK-35-38</t>
  </si>
  <si>
    <t xml:space="preserve">379WRK-39-42</t>
  </si>
  <si>
    <t xml:space="preserve">379WRK-43-46</t>
  </si>
  <si>
    <t xml:space="preserve">391W-35-38</t>
  </si>
  <si>
    <t xml:space="preserve">56B L</t>
  </si>
  <si>
    <t xml:space="preserve">59D M</t>
  </si>
  <si>
    <t xml:space="preserve">59D S</t>
  </si>
  <si>
    <t xml:space="preserve">59LB L</t>
  </si>
  <si>
    <t xml:space="preserve">61BL-M</t>
  </si>
  <si>
    <t xml:space="preserve">61BL-S</t>
  </si>
  <si>
    <t xml:space="preserve">621B-S</t>
  </si>
  <si>
    <t xml:space="preserve">67600000</t>
  </si>
  <si>
    <t xml:space="preserve">67800020</t>
  </si>
  <si>
    <t xml:space="preserve">67813000</t>
  </si>
  <si>
    <t xml:space="preserve">70N L</t>
  </si>
  <si>
    <t xml:space="preserve">70N M</t>
  </si>
  <si>
    <t xml:space="preserve">70N S</t>
  </si>
  <si>
    <t xml:space="preserve">70N XS</t>
  </si>
  <si>
    <t xml:space="preserve">805AT-BL</t>
  </si>
  <si>
    <t xml:space="preserve">BE CA CB BEIGE</t>
  </si>
  <si>
    <t xml:space="preserve">807CB-P</t>
  </si>
  <si>
    <t xml:space="preserve">808KT-BL</t>
  </si>
  <si>
    <t xml:space="preserve">808KT-P</t>
  </si>
  <si>
    <t xml:space="preserve">808KTP-BL</t>
  </si>
  <si>
    <t xml:space="preserve">BE CA KT BLACK</t>
  </si>
  <si>
    <t xml:space="preserve">809PW-C</t>
  </si>
  <si>
    <t xml:space="preserve">88L XXL</t>
  </si>
  <si>
    <t xml:space="preserve">88L- S-M</t>
  </si>
  <si>
    <t xml:space="preserve">91 0</t>
  </si>
  <si>
    <t xml:space="preserve">FC334 0</t>
  </si>
  <si>
    <t xml:space="preserve">LF370 0</t>
  </si>
  <si>
    <t xml:space="preserve">M94</t>
  </si>
  <si>
    <t xml:space="preserve">MSG001FB 0</t>
  </si>
  <si>
    <t xml:space="preserve">MSG002S 0</t>
  </si>
  <si>
    <t xml:space="preserve">N433D M</t>
  </si>
  <si>
    <t xml:space="preserve">N433D XL</t>
  </si>
  <si>
    <t xml:space="preserve">SH422 1</t>
  </si>
  <si>
    <t xml:space="preserve">SH422 2</t>
  </si>
  <si>
    <t xml:space="preserve">SH422 3</t>
  </si>
  <si>
    <t xml:space="preserve">SH422 4</t>
  </si>
  <si>
    <t xml:space="preserve">SH422 6</t>
  </si>
  <si>
    <t xml:space="preserve">SH59D-XL-XXL</t>
  </si>
  <si>
    <t xml:space="preserve">SH660</t>
  </si>
  <si>
    <t xml:space="preserve">SH776 L</t>
  </si>
  <si>
    <t xml:space="preserve">ST11 0</t>
  </si>
  <si>
    <t xml:space="preserve">ST20 0</t>
  </si>
  <si>
    <t xml:space="preserve">ST25 0</t>
  </si>
  <si>
    <t xml:space="preserve">ST27L 0</t>
  </si>
  <si>
    <t xml:space="preserve">ST27R 0</t>
  </si>
  <si>
    <t xml:space="preserve">ST28 0</t>
  </si>
  <si>
    <t xml:space="preserve">ST37 0</t>
  </si>
  <si>
    <t xml:space="preserve">KST422 0</t>
  </si>
  <si>
    <t xml:space="preserve">ST422 0</t>
  </si>
  <si>
    <t xml:space="preserve">ST433 0</t>
  </si>
  <si>
    <t xml:space="preserve">ST49 0</t>
  </si>
  <si>
    <t xml:space="preserve">ST91 0</t>
  </si>
  <si>
    <t xml:space="preserve">T066B-S-M</t>
  </si>
  <si>
    <t xml:space="preserve">T25C 0</t>
  </si>
  <si>
    <t xml:space="preserve">T36B L</t>
  </si>
  <si>
    <t xml:space="preserve">T40B 0</t>
  </si>
  <si>
    <t xml:space="preserve">T46B M</t>
  </si>
  <si>
    <t xml:space="preserve">T95 S</t>
  </si>
  <si>
    <t xml:space="preserve">T95 XL</t>
  </si>
  <si>
    <t xml:space="preserve">07UB-S-M</t>
  </si>
  <si>
    <t xml:space="preserve">12 M</t>
  </si>
  <si>
    <t xml:space="preserve">355 M</t>
  </si>
  <si>
    <t xml:space="preserve">394G-43-46</t>
  </si>
  <si>
    <t xml:space="preserve">422 XXL</t>
  </si>
  <si>
    <t xml:space="preserve">422E L</t>
  </si>
  <si>
    <t xml:space="preserve">AC49 0</t>
  </si>
  <si>
    <t xml:space="preserve">M95</t>
  </si>
  <si>
    <t xml:space="preserve">N433D L</t>
  </si>
  <si>
    <t xml:space="preserve">N433D S</t>
  </si>
  <si>
    <t xml:space="preserve">T26 XL</t>
  </si>
  <si>
    <t xml:space="preserve">T45X XL</t>
  </si>
  <si>
    <t xml:space="preserve">T95 M</t>
  </si>
  <si>
    <t xml:space="preserve">15M XXL</t>
  </si>
  <si>
    <t xml:space="preserve">20 XL</t>
  </si>
  <si>
    <t xml:space="preserve">308 L</t>
  </si>
  <si>
    <t xml:space="preserve">34 L</t>
  </si>
  <si>
    <t xml:space="preserve">422 L</t>
  </si>
  <si>
    <t xml:space="preserve">422EB XXXL</t>
  </si>
  <si>
    <t xml:space="preserve">48 M</t>
  </si>
  <si>
    <t xml:space="preserve">49PS M</t>
  </si>
  <si>
    <t xml:space="preserve">ST45X 0</t>
  </si>
  <si>
    <t xml:space="preserve">T28A-S-M</t>
  </si>
  <si>
    <t xml:space="preserve">T45 XS</t>
  </si>
  <si>
    <t xml:space="preserve">102 - Orthopedic institutes</t>
  </si>
  <si>
    <t xml:space="preserve">077A-L-XL</t>
  </si>
  <si>
    <t xml:space="preserve">077A-S-M</t>
  </si>
  <si>
    <t xml:space="preserve">34 M</t>
  </si>
  <si>
    <t xml:space="preserve">34 XL</t>
  </si>
  <si>
    <t xml:space="preserve">60 L</t>
  </si>
  <si>
    <t xml:space="preserve">87 S</t>
  </si>
  <si>
    <t xml:space="preserve">SH776 XL</t>
  </si>
  <si>
    <t xml:space="preserve">T78 S</t>
  </si>
  <si>
    <t xml:space="preserve">303-37-38</t>
  </si>
  <si>
    <t xml:space="preserve">303-39-40</t>
  </si>
  <si>
    <t xml:space="preserve">303-41-42</t>
  </si>
  <si>
    <t xml:space="preserve">303-43-44</t>
  </si>
  <si>
    <t xml:space="preserve">303-45-46</t>
  </si>
  <si>
    <t xml:space="preserve">87 XXL</t>
  </si>
  <si>
    <t xml:space="preserve">11STO M</t>
  </si>
  <si>
    <t xml:space="preserve">11TO M</t>
  </si>
  <si>
    <t xml:space="preserve">238 M</t>
  </si>
  <si>
    <t xml:space="preserve">238 XL</t>
  </si>
  <si>
    <t xml:space="preserve">322 M</t>
  </si>
  <si>
    <t xml:space="preserve">322B L</t>
  </si>
  <si>
    <t xml:space="preserve">332B M</t>
  </si>
  <si>
    <t xml:space="preserve">332B XL</t>
  </si>
  <si>
    <t xml:space="preserve">332B XXL</t>
  </si>
  <si>
    <t xml:space="preserve">395W-39-42</t>
  </si>
  <si>
    <t xml:space="preserve">49 XXL</t>
  </si>
  <si>
    <t xml:space="preserve">55 L</t>
  </si>
  <si>
    <t xml:space="preserve">55 M</t>
  </si>
  <si>
    <t xml:space="preserve">56B M</t>
  </si>
  <si>
    <t xml:space="preserve">56B XL</t>
  </si>
  <si>
    <t xml:space="preserve">63 L</t>
  </si>
  <si>
    <t xml:space="preserve">75 M</t>
  </si>
  <si>
    <t xml:space="preserve">776 M</t>
  </si>
  <si>
    <t xml:space="preserve">776 S</t>
  </si>
  <si>
    <t xml:space="preserve">776 XXL</t>
  </si>
  <si>
    <t xml:space="preserve">N433D XXL</t>
  </si>
  <si>
    <t xml:space="preserve">SC39 XL</t>
  </si>
  <si>
    <t xml:space="preserve">SC39 XXL</t>
  </si>
  <si>
    <t xml:space="preserve">SH776 M</t>
  </si>
  <si>
    <t xml:space="preserve">T402 XXL</t>
  </si>
  <si>
    <t xml:space="preserve">T78 XXL</t>
  </si>
  <si>
    <t xml:space="preserve">06U L</t>
  </si>
  <si>
    <t xml:space="preserve">06U S</t>
  </si>
  <si>
    <t xml:space="preserve">06U XL</t>
  </si>
  <si>
    <t xml:space="preserve">079 XL</t>
  </si>
  <si>
    <t xml:space="preserve">11 XL</t>
  </si>
  <si>
    <t xml:space="preserve">11 XXL</t>
  </si>
  <si>
    <t xml:space="preserve">11TO XXXL</t>
  </si>
  <si>
    <t xml:space="preserve">13 XL</t>
  </si>
  <si>
    <t xml:space="preserve">20 M</t>
  </si>
  <si>
    <t xml:space="preserve">20 S</t>
  </si>
  <si>
    <t xml:space="preserve">305GA-35-36</t>
  </si>
  <si>
    <t xml:space="preserve">305GA-37-38</t>
  </si>
  <si>
    <t xml:space="preserve">34+ S</t>
  </si>
  <si>
    <t xml:space="preserve">34+ XXL</t>
  </si>
  <si>
    <t xml:space="preserve">49PS XXL</t>
  </si>
  <si>
    <t xml:space="preserve">50 XL</t>
  </si>
  <si>
    <t xml:space="preserve">74-S-M</t>
  </si>
  <si>
    <t xml:space="preserve">808KTP-C</t>
  </si>
  <si>
    <t xml:space="preserve">95 XS</t>
  </si>
  <si>
    <t xml:space="preserve">T78 XL</t>
  </si>
  <si>
    <t xml:space="preserve">11UG L</t>
  </si>
  <si>
    <t xml:space="preserve">11UG S</t>
  </si>
  <si>
    <t xml:space="preserve">26 L</t>
  </si>
  <si>
    <t xml:space="preserve">26 XL</t>
  </si>
  <si>
    <t xml:space="preserve">077A XXL</t>
  </si>
  <si>
    <t xml:space="preserve">07AU L</t>
  </si>
  <si>
    <t xml:space="preserve">07AU M</t>
  </si>
  <si>
    <t xml:space="preserve">07AU XL</t>
  </si>
  <si>
    <t xml:space="preserve">07AU XXL</t>
  </si>
  <si>
    <t xml:space="preserve">11PS L</t>
  </si>
  <si>
    <t xml:space="preserve">26 M</t>
  </si>
  <si>
    <t xml:space="preserve">28 L</t>
  </si>
  <si>
    <t xml:space="preserve">28 S</t>
  </si>
  <si>
    <t xml:space="preserve">28 XL</t>
  </si>
  <si>
    <t xml:space="preserve">307 S</t>
  </si>
  <si>
    <t xml:space="preserve">322B M</t>
  </si>
  <si>
    <t xml:space="preserve">422E XXXL</t>
  </si>
  <si>
    <t xml:space="preserve">422ED L</t>
  </si>
  <si>
    <t xml:space="preserve">422ED XL</t>
  </si>
  <si>
    <t xml:space="preserve">422EBU L</t>
  </si>
  <si>
    <t xml:space="preserve">422EBU M</t>
  </si>
  <si>
    <t xml:space="preserve">422EBU XXL</t>
  </si>
  <si>
    <t xml:space="preserve">422EU L</t>
  </si>
  <si>
    <t xml:space="preserve">422EU M</t>
  </si>
  <si>
    <t xml:space="preserve">422EU XL</t>
  </si>
  <si>
    <t xml:space="preserve">422EU XXL</t>
  </si>
  <si>
    <t xml:space="preserve">422N L</t>
  </si>
  <si>
    <t xml:space="preserve">422N S</t>
  </si>
  <si>
    <t xml:space="preserve">422N XL</t>
  </si>
  <si>
    <t xml:space="preserve">76 M</t>
  </si>
  <si>
    <t xml:space="preserve">76 XXL</t>
  </si>
  <si>
    <t xml:space="preserve">85 S</t>
  </si>
  <si>
    <t xml:space="preserve">922 M</t>
  </si>
  <si>
    <t xml:space="preserve">922 S</t>
  </si>
  <si>
    <t xml:space="preserve">922 XXL</t>
  </si>
  <si>
    <t xml:space="preserve">T28A-L-XL</t>
  </si>
  <si>
    <t xml:space="preserve">T28AC XXL</t>
  </si>
  <si>
    <t xml:space="preserve">T33 L</t>
  </si>
  <si>
    <t xml:space="preserve">T33 XXL</t>
  </si>
  <si>
    <t xml:space="preserve">T39 L</t>
  </si>
  <si>
    <t xml:space="preserve">T45 L</t>
  </si>
  <si>
    <t xml:space="preserve">T45 XL</t>
  </si>
  <si>
    <t xml:space="preserve">T78 XS</t>
  </si>
  <si>
    <t xml:space="preserve">T90 0</t>
  </si>
  <si>
    <t xml:space="preserve">59R XXL</t>
  </si>
  <si>
    <t xml:space="preserve">211 XL</t>
  </si>
  <si>
    <t xml:space="preserve">50 M</t>
  </si>
  <si>
    <t xml:space="preserve">392B-35-38</t>
  </si>
  <si>
    <t xml:space="preserve">392B-39-42</t>
  </si>
  <si>
    <t xml:space="preserve">SH776 S</t>
  </si>
  <si>
    <t xml:space="preserve">355 L</t>
  </si>
  <si>
    <t xml:space="preserve">355 S</t>
  </si>
  <si>
    <t xml:space="preserve">078G S</t>
  </si>
  <si>
    <t xml:space="preserve">20 L</t>
  </si>
  <si>
    <t xml:space="preserve">30 L</t>
  </si>
  <si>
    <t xml:space="preserve">305GA-47-48</t>
  </si>
  <si>
    <t xml:space="preserve">61 L</t>
  </si>
  <si>
    <t xml:space="preserve">T11C L</t>
  </si>
  <si>
    <t xml:space="preserve">06 L</t>
  </si>
  <si>
    <t xml:space="preserve">06 XXL</t>
  </si>
  <si>
    <t xml:space="preserve">06U XXL</t>
  </si>
  <si>
    <t xml:space="preserve">07AU S</t>
  </si>
  <si>
    <t xml:space="preserve">11 S</t>
  </si>
  <si>
    <t xml:space="preserve">422 M</t>
  </si>
  <si>
    <t xml:space="preserve">422 S</t>
  </si>
  <si>
    <t xml:space="preserve">422 XL</t>
  </si>
  <si>
    <t xml:space="preserve">422N XXL</t>
  </si>
  <si>
    <t xml:space="preserve">60 XXL</t>
  </si>
  <si>
    <t xml:space="preserve">808KTP-P</t>
  </si>
  <si>
    <t xml:space="preserve">MSG001FC</t>
  </si>
  <si>
    <t xml:space="preserve">SH776 XXL</t>
  </si>
  <si>
    <t xml:space="preserve">T20-S-M</t>
  </si>
  <si>
    <t xml:space="preserve">20 XS</t>
  </si>
  <si>
    <t xml:space="preserve">85+ S</t>
  </si>
  <si>
    <t xml:space="preserve">T49 M</t>
  </si>
  <si>
    <t xml:space="preserve">WEB-AC75 XXL</t>
  </si>
  <si>
    <t xml:space="preserve">50 L</t>
  </si>
  <si>
    <t xml:space="preserve">16 XXL</t>
  </si>
  <si>
    <t xml:space="preserve">18 L</t>
  </si>
  <si>
    <t xml:space="preserve">18 M</t>
  </si>
  <si>
    <t xml:space="preserve">18 XL</t>
  </si>
  <si>
    <t xml:space="preserve">20 XXL</t>
  </si>
  <si>
    <t xml:space="preserve">395B-35-38</t>
  </si>
  <si>
    <t xml:space="preserve">395W-35-38</t>
  </si>
  <si>
    <t xml:space="preserve">395W-43-46</t>
  </si>
  <si>
    <t xml:space="preserve">59D XL</t>
  </si>
  <si>
    <t xml:space="preserve">61 M</t>
  </si>
  <si>
    <t xml:space="preserve">61 XL</t>
  </si>
  <si>
    <t xml:space="preserve">78A S</t>
  </si>
  <si>
    <t xml:space="preserve">78A XL</t>
  </si>
  <si>
    <t xml:space="preserve">78A XXL</t>
  </si>
  <si>
    <t xml:space="preserve">11TO S</t>
  </si>
  <si>
    <t xml:space="preserve">55 S</t>
  </si>
  <si>
    <t xml:space="preserve">55 XXL</t>
  </si>
  <si>
    <t xml:space="preserve">FC330Z 0</t>
  </si>
  <si>
    <t xml:space="preserve">T433 L</t>
  </si>
  <si>
    <t xml:space="preserve">T433 M</t>
  </si>
  <si>
    <t xml:space="preserve">11STO S</t>
  </si>
  <si>
    <t xml:space="preserve">11U M</t>
  </si>
  <si>
    <t xml:space="preserve">922B XL</t>
  </si>
  <si>
    <t xml:space="preserve">922B XXL</t>
  </si>
  <si>
    <t xml:space="preserve">212 XL</t>
  </si>
  <si>
    <t xml:space="preserve">41 M</t>
  </si>
  <si>
    <t xml:space="preserve">T26 L</t>
  </si>
  <si>
    <t xml:space="preserve">18 XXL</t>
  </si>
  <si>
    <t xml:space="preserve">75 XS</t>
  </si>
  <si>
    <t xml:space="preserve">T43V XXL</t>
  </si>
  <si>
    <t xml:space="preserve">079 L</t>
  </si>
  <si>
    <t xml:space="preserve">15M S</t>
  </si>
  <si>
    <t xml:space="preserve">15M XL</t>
  </si>
  <si>
    <t xml:space="preserve">34 S</t>
  </si>
  <si>
    <t xml:space="preserve">34 XXL</t>
  </si>
  <si>
    <t xml:space="preserve">355 XL</t>
  </si>
  <si>
    <t xml:space="preserve">3677S 0</t>
  </si>
  <si>
    <t xml:space="preserve">499 S</t>
  </si>
  <si>
    <t xml:space="preserve">50 XXL</t>
  </si>
  <si>
    <t xml:space="preserve">59DB L</t>
  </si>
  <si>
    <t xml:space="preserve">59DB M</t>
  </si>
  <si>
    <t xml:space="preserve">70 M</t>
  </si>
  <si>
    <t xml:space="preserve">75 S</t>
  </si>
  <si>
    <t xml:space="preserve">T11C M</t>
  </si>
  <si>
    <t xml:space="preserve">T11C S</t>
  </si>
  <si>
    <t xml:space="preserve">T39 XS</t>
  </si>
  <si>
    <t xml:space="preserve">T39 XXL</t>
  </si>
  <si>
    <t xml:space="preserve">T79B S</t>
  </si>
  <si>
    <t xml:space="preserve">T79B XS</t>
  </si>
  <si>
    <t xml:space="preserve">422EU XXXL</t>
  </si>
  <si>
    <t xml:space="preserve">11NOR XL</t>
  </si>
  <si>
    <t xml:space="preserve">390W-35-38</t>
  </si>
  <si>
    <t xml:space="preserve">11NOR XXL</t>
  </si>
  <si>
    <t xml:space="preserve">70 L</t>
  </si>
  <si>
    <t xml:space="preserve">70 XS</t>
  </si>
  <si>
    <t xml:space="preserve">56B S</t>
  </si>
  <si>
    <t xml:space="preserve">11PS XL</t>
  </si>
  <si>
    <t xml:space="preserve">MSG001FW</t>
  </si>
  <si>
    <t xml:space="preserve">VMSPCB50 0</t>
  </si>
  <si>
    <t xml:space="preserve">28 XXL</t>
  </si>
  <si>
    <t xml:space="preserve">808KTP-B</t>
  </si>
  <si>
    <t xml:space="preserve">34 XS</t>
  </si>
  <si>
    <t xml:space="preserve">34+ XS</t>
  </si>
  <si>
    <t xml:space="preserve">T32 M</t>
  </si>
  <si>
    <t xml:space="preserve">322 S</t>
  </si>
  <si>
    <t xml:space="preserve">11STOB XXL</t>
  </si>
  <si>
    <t xml:space="preserve">88L- L-XL</t>
  </si>
  <si>
    <t xml:space="preserve">322 XXL</t>
  </si>
  <si>
    <t xml:space="preserve">422EBU XL</t>
  </si>
  <si>
    <t xml:space="preserve">079 XXL</t>
  </si>
  <si>
    <t xml:space="preserve">305-41-42</t>
  </si>
  <si>
    <t xml:space="preserve">60 XS</t>
  </si>
  <si>
    <t xml:space="preserve">SC35L S</t>
  </si>
  <si>
    <t xml:space="preserve">SC35R XL</t>
  </si>
  <si>
    <t xml:space="preserve">T33 M</t>
  </si>
  <si>
    <t xml:space="preserve">T33 S</t>
  </si>
  <si>
    <t xml:space="preserve">T33 XS</t>
  </si>
  <si>
    <t xml:space="preserve">062 XXL</t>
  </si>
  <si>
    <t xml:space="preserve">11PS M</t>
  </si>
  <si>
    <t xml:space="preserve">422EU S</t>
  </si>
  <si>
    <t xml:space="preserve">T43V L</t>
  </si>
  <si>
    <t xml:space="preserve">30 XXL</t>
  </si>
  <si>
    <t xml:space="preserve">45 XS</t>
  </si>
  <si>
    <t xml:space="preserve">41 S</t>
  </si>
  <si>
    <t xml:space="preserve">41 XL</t>
  </si>
  <si>
    <t xml:space="preserve">422EBD L</t>
  </si>
  <si>
    <t xml:space="preserve">422ED XXL</t>
  </si>
  <si>
    <t xml:space="preserve">95 XXL</t>
  </si>
  <si>
    <t xml:space="preserve">T28A XXL</t>
  </si>
  <si>
    <t xml:space="preserve">11NOR M</t>
  </si>
  <si>
    <t xml:space="preserve">11STOB L</t>
  </si>
  <si>
    <t xml:space="preserve">11STOB M</t>
  </si>
  <si>
    <t xml:space="preserve">11STOB XL</t>
  </si>
  <si>
    <t xml:space="preserve">32 L</t>
  </si>
  <si>
    <t xml:space="preserve">32 M</t>
  </si>
  <si>
    <t xml:space="preserve">LF378 L</t>
  </si>
  <si>
    <t xml:space="preserve">LF378 S</t>
  </si>
  <si>
    <t xml:space="preserve">422N+ L</t>
  </si>
  <si>
    <t xml:space="preserve">422N+ M</t>
  </si>
  <si>
    <t xml:space="preserve">422N+ S</t>
  </si>
  <si>
    <t xml:space="preserve">422N+ XL</t>
  </si>
  <si>
    <t xml:space="preserve">49PS S</t>
  </si>
  <si>
    <t xml:space="preserve">49PS XS</t>
  </si>
  <si>
    <t xml:space="preserve">922B M</t>
  </si>
  <si>
    <t xml:space="preserve">103 - Physiotherapy institutes</t>
  </si>
  <si>
    <t xml:space="preserve">32 S</t>
  </si>
  <si>
    <t xml:space="preserve">32 XXL</t>
  </si>
  <si>
    <t xml:space="preserve">805AT-W</t>
  </si>
  <si>
    <t xml:space="preserve">FC316 0</t>
  </si>
  <si>
    <t xml:space="preserve">079 S</t>
  </si>
  <si>
    <t xml:space="preserve">267LB XXL</t>
  </si>
  <si>
    <t xml:space="preserve">267LB-S-M</t>
  </si>
  <si>
    <t xml:space="preserve">267RB XXL</t>
  </si>
  <si>
    <t xml:space="preserve">267RB-L-XL</t>
  </si>
  <si>
    <t xml:space="preserve">267RB-S-M</t>
  </si>
  <si>
    <t xml:space="preserve">332B S</t>
  </si>
  <si>
    <t xml:space="preserve">332C L</t>
  </si>
  <si>
    <t xml:space="preserve">332C M</t>
  </si>
  <si>
    <t xml:space="preserve">332C S</t>
  </si>
  <si>
    <t xml:space="preserve">332C XL</t>
  </si>
  <si>
    <t xml:space="preserve">41X XL</t>
  </si>
  <si>
    <t xml:space="preserve">T066B-L-XL</t>
  </si>
  <si>
    <t xml:space="preserve">T46B L</t>
  </si>
  <si>
    <t xml:space="preserve">T46B S</t>
  </si>
  <si>
    <t xml:space="preserve">T46B XL</t>
  </si>
  <si>
    <t xml:space="preserve">T46B XS</t>
  </si>
  <si>
    <t xml:space="preserve">422EBU S</t>
  </si>
  <si>
    <t xml:space="preserve">87 XS</t>
  </si>
  <si>
    <t xml:space="preserve">922B L</t>
  </si>
  <si>
    <t xml:space="preserve">95B XS</t>
  </si>
  <si>
    <t xml:space="preserve">95B XXL</t>
  </si>
  <si>
    <t xml:space="preserve">422E M</t>
  </si>
  <si>
    <t xml:space="preserve">922B S</t>
  </si>
  <si>
    <t xml:space="preserve">60B L</t>
  </si>
  <si>
    <t xml:space="preserve">60B M</t>
  </si>
  <si>
    <t xml:space="preserve">60B S</t>
  </si>
  <si>
    <t xml:space="preserve">60B XS</t>
  </si>
  <si>
    <t xml:space="preserve">61BL-L</t>
  </si>
  <si>
    <t xml:space="preserve">61BL-XL</t>
  </si>
  <si>
    <t xml:space="preserve">621B-L</t>
  </si>
  <si>
    <t xml:space="preserve">621B-M</t>
  </si>
  <si>
    <t xml:space="preserve">621B-XL</t>
  </si>
  <si>
    <t xml:space="preserve">95C XS</t>
  </si>
  <si>
    <t xml:space="preserve">T45 XXL</t>
  </si>
  <si>
    <t xml:space="preserve">104 - Sports Shop</t>
  </si>
  <si>
    <t xml:space="preserve">105 - Pedicure Salons</t>
  </si>
  <si>
    <t xml:space="preserve">106 - Hospitals</t>
  </si>
  <si>
    <t xml:space="preserve">108 - Shoe Stores</t>
  </si>
  <si>
    <t xml:space="preserve">392B-43-46</t>
  </si>
  <si>
    <t xml:space="preserve">392G-43-46</t>
  </si>
  <si>
    <t xml:space="preserve">396 0</t>
  </si>
  <si>
    <t xml:space="preserve">LF371 0</t>
  </si>
  <si>
    <t xml:space="preserve">109 - Private Shops</t>
  </si>
  <si>
    <t xml:space="preserve">18 S</t>
  </si>
  <si>
    <t xml:space="preserve">376-44-46</t>
  </si>
  <si>
    <t xml:space="preserve">8011 0</t>
  </si>
  <si>
    <t xml:space="preserve">07UB XXL</t>
  </si>
  <si>
    <t xml:space="preserve">07UB-L-XL</t>
  </si>
  <si>
    <t xml:space="preserve">בונוסים ללקוחות</t>
  </si>
  <si>
    <t xml:space="preserve">(NO ITEM CODE)</t>
  </si>
  <si>
    <t xml:space="preserve">LU308 L</t>
  </si>
  <si>
    <t xml:space="preserve">LU308 M</t>
  </si>
  <si>
    <t xml:space="preserve">LU313 0</t>
  </si>
  <si>
    <t xml:space="preserve">LU364-S-L</t>
  </si>
  <si>
    <t xml:space="preserve">LU364 XL</t>
  </si>
  <si>
    <t xml:space="preserve">LU3641 0</t>
  </si>
  <si>
    <t xml:space="preserve">LU365-S-L</t>
  </si>
  <si>
    <t xml:space="preserve">LU3655 0</t>
  </si>
  <si>
    <t xml:space="preserve">LU366S 0</t>
  </si>
  <si>
    <t xml:space="preserve">LU3677S 0</t>
  </si>
  <si>
    <t xml:space="preserve">LU370 0</t>
  </si>
  <si>
    <t xml:space="preserve">LU372 0</t>
  </si>
  <si>
    <t xml:space="preserve">LU374 0</t>
  </si>
  <si>
    <t xml:space="preserve">LULF370 0</t>
  </si>
  <si>
    <t xml:space="preserve">LULF373 0</t>
  </si>
  <si>
    <t xml:space="preserve">LUPD340 0</t>
  </si>
  <si>
    <t xml:space="preserve">LUPD342 0</t>
  </si>
  <si>
    <t xml:space="preserve">K078 L</t>
  </si>
  <si>
    <t xml:space="preserve">K078 M</t>
  </si>
  <si>
    <t xml:space="preserve">K078 XL</t>
  </si>
  <si>
    <t xml:space="preserve">K078 XXL</t>
  </si>
  <si>
    <t xml:space="preserve">K11U L</t>
  </si>
  <si>
    <t xml:space="preserve">K11U M</t>
  </si>
  <si>
    <t xml:space="preserve">K11U XL</t>
  </si>
  <si>
    <t xml:space="preserve">K11U XXL</t>
  </si>
  <si>
    <t xml:space="preserve">K35 L</t>
  </si>
  <si>
    <t xml:space="preserve">K35 M</t>
  </si>
  <si>
    <t xml:space="preserve">K35 S</t>
  </si>
  <si>
    <t xml:space="preserve">K35 XL</t>
  </si>
  <si>
    <t xml:space="preserve">K45 L</t>
  </si>
  <si>
    <t xml:space="preserve">K45 M</t>
  </si>
  <si>
    <t xml:space="preserve">K45 S</t>
  </si>
  <si>
    <t xml:space="preserve">K45 XL</t>
  </si>
  <si>
    <t xml:space="preserve">K61 L</t>
  </si>
  <si>
    <t xml:space="preserve">K61 M</t>
  </si>
  <si>
    <t xml:space="preserve">K801 0</t>
  </si>
  <si>
    <t xml:space="preserve">K85 L</t>
  </si>
  <si>
    <t xml:space="preserve">K85 M</t>
  </si>
  <si>
    <t xml:space="preserve">99 General</t>
  </si>
  <si>
    <t xml:space="preserve">KST11 0</t>
  </si>
  <si>
    <t xml:space="preserve">KST20 0</t>
  </si>
  <si>
    <t xml:space="preserve">KST25 0</t>
  </si>
  <si>
    <t xml:space="preserve">KST27L 0</t>
  </si>
  <si>
    <t xml:space="preserve">KST27R 0</t>
  </si>
  <si>
    <t xml:space="preserve">KST28 0</t>
  </si>
  <si>
    <t xml:space="preserve">KST37 0</t>
  </si>
  <si>
    <t xml:space="preserve">KST91 0</t>
  </si>
  <si>
    <t xml:space="preserve">KST95 0</t>
  </si>
  <si>
    <t xml:space="preserve">114 - IL online</t>
  </si>
  <si>
    <t xml:space="preserve">062 M</t>
  </si>
  <si>
    <t xml:space="preserve">062 S</t>
  </si>
  <si>
    <t xml:space="preserve">062 XL</t>
  </si>
  <si>
    <t xml:space="preserve">06U XS</t>
  </si>
  <si>
    <t xml:space="preserve">07AU XS</t>
  </si>
  <si>
    <t xml:space="preserve">07UB XS</t>
  </si>
  <si>
    <t xml:space="preserve">10 S</t>
  </si>
  <si>
    <t xml:space="preserve">11 XS</t>
  </si>
  <si>
    <t xml:space="preserve">11EU XS</t>
  </si>
  <si>
    <t xml:space="preserve">11NOR L</t>
  </si>
  <si>
    <t xml:space="preserve">11PS S</t>
  </si>
  <si>
    <t xml:space="preserve">11PS XS</t>
  </si>
  <si>
    <t xml:space="preserve">11STOB S</t>
  </si>
  <si>
    <t xml:space="preserve">11UG XS</t>
  </si>
  <si>
    <t xml:space="preserve">13 S</t>
  </si>
  <si>
    <t xml:space="preserve">13 XS</t>
  </si>
  <si>
    <t xml:space="preserve">13B L</t>
  </si>
  <si>
    <t xml:space="preserve">13B M</t>
  </si>
  <si>
    <t xml:space="preserve">267LC XXL</t>
  </si>
  <si>
    <t xml:space="preserve">267LC-L-XL</t>
  </si>
  <si>
    <t xml:space="preserve">267LC-S-M</t>
  </si>
  <si>
    <t xml:space="preserve">267RC-L-XL</t>
  </si>
  <si>
    <t xml:space="preserve">267RC-S-M</t>
  </si>
  <si>
    <t xml:space="preserve">28 XS</t>
  </si>
  <si>
    <t xml:space="preserve">30 Days Trial</t>
  </si>
  <si>
    <t xml:space="preserve">30 Nights Trial</t>
  </si>
  <si>
    <t xml:space="preserve">301JW-36-40</t>
  </si>
  <si>
    <t xml:space="preserve">305-37-38</t>
  </si>
  <si>
    <t xml:space="preserve">305-39-40</t>
  </si>
  <si>
    <t xml:space="preserve">305-43-44</t>
  </si>
  <si>
    <t xml:space="preserve">305-45-46</t>
  </si>
  <si>
    <t xml:space="preserve">364 S-L</t>
  </si>
  <si>
    <t xml:space="preserve">365 S-L</t>
  </si>
  <si>
    <t xml:space="preserve">365 XL</t>
  </si>
  <si>
    <t xml:space="preserve">369 S-L</t>
  </si>
  <si>
    <t xml:space="preserve">369 XL</t>
  </si>
  <si>
    <t xml:space="preserve">391B-35-38</t>
  </si>
  <si>
    <t xml:space="preserve">391B-39-42</t>
  </si>
  <si>
    <t xml:space="preserve">391B-43-46</t>
  </si>
  <si>
    <t xml:space="preserve">391W-39-42</t>
  </si>
  <si>
    <t xml:space="preserve">391W-43-46</t>
  </si>
  <si>
    <t xml:space="preserve">41 XS</t>
  </si>
  <si>
    <t xml:space="preserve">41 XXL</t>
  </si>
  <si>
    <t xml:space="preserve">41X S</t>
  </si>
  <si>
    <t xml:space="preserve">422EB M</t>
  </si>
  <si>
    <t xml:space="preserve">422N+ XXL</t>
  </si>
  <si>
    <t xml:space="preserve">48 XL</t>
  </si>
  <si>
    <t xml:space="preserve">48 XS</t>
  </si>
  <si>
    <t xml:space="preserve">49PS L</t>
  </si>
  <si>
    <t xml:space="preserve">50 XS</t>
  </si>
  <si>
    <t xml:space="preserve">59DB S</t>
  </si>
  <si>
    <t xml:space="preserve">59DB XL</t>
  </si>
  <si>
    <t xml:space="preserve">59LB M</t>
  </si>
  <si>
    <t xml:space="preserve">59RB L</t>
  </si>
  <si>
    <t xml:space="preserve">59RB M</t>
  </si>
  <si>
    <t xml:space="preserve">59RB XL</t>
  </si>
  <si>
    <t xml:space="preserve">59RB XXL</t>
  </si>
  <si>
    <t xml:space="preserve">60B XL</t>
  </si>
  <si>
    <t xml:space="preserve">60B XXL</t>
  </si>
  <si>
    <t xml:space="preserve">74 XXL</t>
  </si>
  <si>
    <t xml:space="preserve">86U XL</t>
  </si>
  <si>
    <t xml:space="preserve">86U XXL</t>
  </si>
  <si>
    <t xml:space="preserve">88R XXL</t>
  </si>
  <si>
    <t xml:space="preserve">88R- L-XL</t>
  </si>
  <si>
    <t xml:space="preserve">88R- S-M</t>
  </si>
  <si>
    <t xml:space="preserve">95C XXL</t>
  </si>
  <si>
    <t xml:space="preserve">95G L</t>
  </si>
  <si>
    <t xml:space="preserve">95G M</t>
  </si>
  <si>
    <t xml:space="preserve">95G S</t>
  </si>
  <si>
    <t xml:space="preserve">95G XL</t>
  </si>
  <si>
    <t xml:space="preserve">FC3422 0</t>
  </si>
  <si>
    <t xml:space="preserve">M92</t>
  </si>
  <si>
    <t xml:space="preserve">VMFPCB30 0</t>
  </si>
  <si>
    <t xml:space="preserve">VMFPCB31 0</t>
  </si>
  <si>
    <t xml:space="preserve">VMFPCG34 0</t>
  </si>
  <si>
    <t xml:space="preserve">VMFPCN32 0</t>
  </si>
  <si>
    <t xml:space="preserve">VMFPCW33 0</t>
  </si>
  <si>
    <t xml:space="preserve">VMSPCC52 0</t>
  </si>
  <si>
    <t xml:space="preserve">VMSPCL46 0</t>
  </si>
  <si>
    <t xml:space="preserve">VMSPCL55 0</t>
  </si>
  <si>
    <t xml:space="preserve">VMSPCN51 0</t>
  </si>
  <si>
    <t xml:space="preserve">VMSPCS48 0</t>
  </si>
  <si>
    <t xml:space="preserve">VMSPCT49 0</t>
  </si>
  <si>
    <t xml:space="preserve">T03 S</t>
  </si>
  <si>
    <t xml:space="preserve">T20C XS</t>
  </si>
  <si>
    <t xml:space="preserve">T28AC XS</t>
  </si>
  <si>
    <t xml:space="preserve">T35 L</t>
  </si>
  <si>
    <t xml:space="preserve">T35 M</t>
  </si>
  <si>
    <t xml:space="preserve">T35 XL</t>
  </si>
  <si>
    <t xml:space="preserve">T35 XXL</t>
  </si>
  <si>
    <t xml:space="preserve">T42 L</t>
  </si>
  <si>
    <t xml:space="preserve">T42 M</t>
  </si>
  <si>
    <t xml:space="preserve">T42 XL</t>
  </si>
  <si>
    <t xml:space="preserve">T42X L</t>
  </si>
  <si>
    <t xml:space="preserve">T43 XL</t>
  </si>
  <si>
    <t xml:space="preserve">T43 XXL</t>
  </si>
  <si>
    <t xml:space="preserve">T43V M</t>
  </si>
  <si>
    <t xml:space="preserve">T43V XL</t>
  </si>
  <si>
    <t xml:space="preserve">T95 XS</t>
  </si>
  <si>
    <t xml:space="preserve">WEB-AC75-S-XL</t>
  </si>
  <si>
    <t xml:space="preserve">הנחה 200 ש"ח</t>
  </si>
  <si>
    <t xml:space="preserve">הנחות לקוחות</t>
  </si>
  <si>
    <t xml:space="preserve">115-SuperPharm Online</t>
  </si>
  <si>
    <t xml:space="preserve">322B S</t>
  </si>
  <si>
    <t xml:space="preserve">322B XL</t>
  </si>
  <si>
    <t xml:space="preserve">322B XXL</t>
  </si>
  <si>
    <t xml:space="preserve">95G XXL</t>
  </si>
  <si>
    <t xml:space="preserve">LF378 M</t>
  </si>
  <si>
    <t xml:space="preserve">T401 L</t>
  </si>
  <si>
    <t xml:space="preserve">T401 M</t>
  </si>
  <si>
    <t xml:space="preserve">T401 S</t>
  </si>
  <si>
    <t xml:space="preserve">T401 XL</t>
  </si>
  <si>
    <t xml:space="preserve">200 - ROW : 217 - N3W FOODS USA</t>
  </si>
  <si>
    <t xml:space="preserve">201- Seven Gear FINLAND oy</t>
  </si>
  <si>
    <t xml:space="preserve">202 - Super-Pharm POLAND</t>
  </si>
  <si>
    <t xml:space="preserve">LF377 L</t>
  </si>
  <si>
    <t xml:space="preserve">LF377 M</t>
  </si>
  <si>
    <t xml:space="preserve">LF377 S</t>
  </si>
  <si>
    <t xml:space="preserve">203 - Ortho- Partner ag SWITZERLAND</t>
  </si>
  <si>
    <t xml:space="preserve">15W XS</t>
  </si>
  <si>
    <t xml:space="preserve">38L 0</t>
  </si>
  <si>
    <t xml:space="preserve">38R 0</t>
  </si>
  <si>
    <t xml:space="preserve">422N M</t>
  </si>
  <si>
    <t xml:space="preserve">62FC L</t>
  </si>
  <si>
    <t xml:space="preserve">62FC M</t>
  </si>
  <si>
    <t xml:space="preserve">62FC S</t>
  </si>
  <si>
    <t xml:space="preserve">62FC XL</t>
  </si>
  <si>
    <t xml:space="preserve">62FC XS</t>
  </si>
  <si>
    <t xml:space="preserve">86U L</t>
  </si>
  <si>
    <t xml:space="preserve">86U M</t>
  </si>
  <si>
    <t xml:space="preserve">T43V S</t>
  </si>
  <si>
    <t xml:space="preserve">T43V XS</t>
  </si>
  <si>
    <t xml:space="preserve">T43V XXXL</t>
  </si>
  <si>
    <t xml:space="preserve">204 - Sanaflex Anatomic GREECE</t>
  </si>
  <si>
    <t xml:space="preserve">30 S</t>
  </si>
  <si>
    <t xml:space="preserve">82 0</t>
  </si>
  <si>
    <t xml:space="preserve">ST95 0</t>
  </si>
  <si>
    <t xml:space="preserve">205 - Health Care Prod. Gmbh GERMANY</t>
  </si>
  <si>
    <t xml:space="preserve">206 - Orthomed  Ltd BULGARIA</t>
  </si>
  <si>
    <t xml:space="preserve">62 L</t>
  </si>
  <si>
    <t xml:space="preserve">207 - Salus HUNGARY</t>
  </si>
  <si>
    <t xml:space="preserve">43BD L</t>
  </si>
  <si>
    <t xml:space="preserve">43BD M</t>
  </si>
  <si>
    <t xml:space="preserve">43BD S</t>
  </si>
  <si>
    <t xml:space="preserve">43BD XL</t>
  </si>
  <si>
    <t xml:space="preserve">43BD XXL</t>
  </si>
  <si>
    <t xml:space="preserve">59DB XXL</t>
  </si>
  <si>
    <t xml:space="preserve">59LB S</t>
  </si>
  <si>
    <t xml:space="preserve">59LB XL</t>
  </si>
  <si>
    <t xml:space="preserve">59LB XXL</t>
  </si>
  <si>
    <t xml:space="preserve">59RB S</t>
  </si>
  <si>
    <t xml:space="preserve">SH322-6</t>
  </si>
  <si>
    <t xml:space="preserve">SH423L 6</t>
  </si>
  <si>
    <t xml:space="preserve">ST10 0</t>
  </si>
  <si>
    <t xml:space="preserve">208 - Medipal Company NABLUS</t>
  </si>
  <si>
    <t xml:space="preserve">07AE L</t>
  </si>
  <si>
    <t xml:space="preserve">07AE M</t>
  </si>
  <si>
    <t xml:space="preserve">07AE S</t>
  </si>
  <si>
    <t xml:space="preserve">07AE XXL</t>
  </si>
  <si>
    <t xml:space="preserve">10 XS</t>
  </si>
  <si>
    <t xml:space="preserve">1000FC</t>
  </si>
  <si>
    <t xml:space="preserve">209 - Ortoprofil Prod ROMANIA</t>
  </si>
  <si>
    <t xml:space="preserve">210 - Oy. Ea. Ab. FINLAND</t>
  </si>
  <si>
    <t xml:space="preserve">T43F XXL</t>
  </si>
  <si>
    <t xml:space="preserve">211 - Pharmag Lachmair Ges. Mbh AUSTRIA</t>
  </si>
  <si>
    <t xml:space="preserve">25 M</t>
  </si>
  <si>
    <t xml:space="preserve">T45 S</t>
  </si>
  <si>
    <t xml:space="preserve">T45C L</t>
  </si>
  <si>
    <t xml:space="preserve">T45C M</t>
  </si>
  <si>
    <t xml:space="preserve">T45C S</t>
  </si>
  <si>
    <t xml:space="preserve">T45C XL</t>
  </si>
  <si>
    <t xml:space="preserve">213 - E.f.m.o. SPAIN</t>
  </si>
  <si>
    <t xml:space="preserve">214 - Alfred Gera&amp; Sons Ltd. MALTA</t>
  </si>
  <si>
    <t xml:space="preserve">216 - Max Konnaris CYPRUS</t>
  </si>
  <si>
    <t xml:space="preserve">67812000</t>
  </si>
  <si>
    <t xml:space="preserve">301 - Amazon</t>
  </si>
  <si>
    <t xml:space="preserve">EC-078 L</t>
  </si>
  <si>
    <t xml:space="preserve">EC-078 M</t>
  </si>
  <si>
    <t xml:space="preserve">EC-078 XL</t>
  </si>
  <si>
    <t xml:space="preserve">EC-078 XXL</t>
  </si>
  <si>
    <t xml:space="preserve">EC-11NOR L</t>
  </si>
  <si>
    <t xml:space="preserve">EC-11NOR M</t>
  </si>
  <si>
    <t xml:space="preserve">EC-11NOR S</t>
  </si>
  <si>
    <t xml:space="preserve">EC-11NOR XL</t>
  </si>
  <si>
    <t xml:space="preserve">EC-11NOR XXL</t>
  </si>
  <si>
    <t xml:space="preserve">EC-11STO L</t>
  </si>
  <si>
    <t xml:space="preserve">EC-11STO M</t>
  </si>
  <si>
    <t xml:space="preserve">EC-11STO S</t>
  </si>
  <si>
    <t xml:space="preserve">EC-11STO XL</t>
  </si>
  <si>
    <t xml:space="preserve">EC-11STO XXL</t>
  </si>
  <si>
    <t xml:space="preserve">EC-11STOB L</t>
  </si>
  <si>
    <t xml:space="preserve">EC-11STOB M</t>
  </si>
  <si>
    <t xml:space="preserve">EC-11STOB S</t>
  </si>
  <si>
    <t xml:space="preserve">EC-11STOB XL</t>
  </si>
  <si>
    <t xml:space="preserve">EC-11STOB XXL</t>
  </si>
  <si>
    <t xml:space="preserve">386</t>
  </si>
  <si>
    <t xml:space="preserve">EC-59D L</t>
  </si>
  <si>
    <t xml:space="preserve">EC-59D M</t>
  </si>
  <si>
    <t xml:space="preserve">EC-59D S</t>
  </si>
  <si>
    <t xml:space="preserve">EC-59D XL</t>
  </si>
  <si>
    <t xml:space="preserve">EC-59D XXL</t>
  </si>
  <si>
    <t xml:space="preserve">EC-59L L</t>
  </si>
  <si>
    <t xml:space="preserve">EC-59L M</t>
  </si>
  <si>
    <t xml:space="preserve">EC-59L S</t>
  </si>
  <si>
    <t xml:space="preserve">EC-59L XL</t>
  </si>
  <si>
    <t xml:space="preserve">EC-59R L</t>
  </si>
  <si>
    <t xml:space="preserve">EC-59R M</t>
  </si>
  <si>
    <t xml:space="preserve">EC-59R S</t>
  </si>
  <si>
    <t xml:space="preserve">EC-59R XL</t>
  </si>
  <si>
    <t xml:space="preserve">EC-59R XXL</t>
  </si>
  <si>
    <t xml:space="preserve">EC-59DB L</t>
  </si>
  <si>
    <t xml:space="preserve">EC-59DB M</t>
  </si>
  <si>
    <t xml:space="preserve">EC-59DB S</t>
  </si>
  <si>
    <t xml:space="preserve">EC-59DB XL</t>
  </si>
  <si>
    <t xml:space="preserve">EC-59DB XXL</t>
  </si>
  <si>
    <t xml:space="preserve">EC-59LB L</t>
  </si>
  <si>
    <t xml:space="preserve">EC-59LB M</t>
  </si>
  <si>
    <t xml:space="preserve">EC-59LB S</t>
  </si>
  <si>
    <t xml:space="preserve">EC-59LB XL</t>
  </si>
  <si>
    <t xml:space="preserve">EC-59LB XXL</t>
  </si>
  <si>
    <t xml:space="preserve">EC-59RB L</t>
  </si>
  <si>
    <t xml:space="preserve">EC-59RB M</t>
  </si>
  <si>
    <t xml:space="preserve">EC-59RB S</t>
  </si>
  <si>
    <t xml:space="preserve">EC-59RB XL</t>
  </si>
  <si>
    <t xml:space="preserve">EC-59RB XXL</t>
  </si>
  <si>
    <t xml:space="preserve">EC-DIFF</t>
  </si>
  <si>
    <t xml:space="preserve">AC95</t>
  </si>
  <si>
    <t xml:space="preserve">FC3162 0</t>
  </si>
  <si>
    <t xml:space="preserve">FC342K 0</t>
  </si>
  <si>
    <t xml:space="preserve">TC342 0</t>
  </si>
  <si>
    <t xml:space="preserve">CEMIUP0.9 Raw — already-resolved product rows imported from kirill/outputs/2026-09-25-CEMIUP0.9-grouped-2025-vs-2026.xlsx</t>
  </si>
  <si>
    <t xml:space="preserve">Source: "בתי מרקחת" (=107-Pharmacies, CEMI+SALES combined), "מאוחדת" (=113-Kupat Holim Meuhedet, CEMI+SALES combined), "BE", "סופר פארם", "מכבי" sheets - ALL ALREADY fully resolved there (CHEMIPAL Code matched, DROP/NEW-analyzed, 2026 already annualized ×12/9.5, and the 0.91 net-sale factor already applied to their CEMI-sourced portions). Imported as literal values (not re-derived) since that file is itself the fully audited/recalculated source - re-deriving here would be redundant and risk drift. Quantity 2026 / Amount 2026 columns here are already the FINAL annualized figures - no further normalization applied in the Main List.</t>
  </si>
  <si>
    <t xml:space="preserve">Quantity 2026 (Annualized)</t>
  </si>
  <si>
    <t xml:space="preserve">Amount 2026 (Annualized, ₪)</t>
  </si>
  <si>
    <t xml:space="preserve">107 - Pharmacies</t>
  </si>
  <si>
    <t xml:space="preserve">369  S-L אצבעון מסיליקון יחידה</t>
  </si>
  <si>
    <t xml:space="preserve">369   XL אצבעון מסיליקון יחידה</t>
  </si>
  <si>
    <t xml:space="preserve">PD 344-אבן טבעית להסרת עור קשה</t>
  </si>
  <si>
    <t xml:space="preserve">805AT-Cאתלטיק טייפ בז' 20מ""מ20</t>
  </si>
  <si>
    <t xml:space="preserve">805AT-B אתלטיק טייפ שחור 20מ""מ</t>
  </si>
  <si>
    <t xml:space="preserve">805AT-BLאתלטיק טייפ כחול 20מ""מ</t>
  </si>
  <si>
    <t xml:space="preserve">805AT-W  אתלטיק טייפ לבן 20מ""מ</t>
  </si>
  <si>
    <t xml:space="preserve">363  בננה לתמיכת אצבעות ז.כרית</t>
  </si>
  <si>
    <t xml:space="preserve">320 בליסטר פלסטר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</si>
  <si>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</si>
  <si>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</si>
  <si>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</si>
  <si>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</si>
  <si>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390G 39-42.גרב.כסף לסכרתיים אפ</t>
  </si>
  <si>
    <t xml:space="preserve">G390.43-46 גרבי כסף לסכרת מידה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</si>
  <si>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</si>
  <si>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</si>
  <si>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</si>
  <si>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</si>
  <si>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</si>
  <si>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</si>
  <si>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</si>
  <si>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</si>
  <si>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</si>
  <si>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</si>
  <si>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</si>
  <si>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</si>
  <si>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</si>
  <si>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</si>
  <si>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</si>
  <si>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ST3555 S-Mגרב לילה לטיפ.בדורבן</t>
  </si>
  <si>
    <t xml:space="preserve">ST3555L-XLגרב לילה לטיפ.בדורבן</t>
  </si>
  <si>
    <t xml:space="preserve">3444B גרבי ג'ל לריכוך עור העקב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</si>
  <si>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</si>
  <si>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</si>
  <si>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</si>
  <si>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395B גרבי קיץ אנטי בקטריא39-42</t>
  </si>
  <si>
    <t xml:space="preserve">395B גרבי קיץ אנטי בקטריא43-46</t>
  </si>
  <si>
    <t xml:space="preserve">FC330Z-תתדאו'אנטי בקט.לנעל120</t>
  </si>
  <si>
    <t xml:space="preserve">06 M  ""ח.גב קלה ""מיקדו</t>
  </si>
  <si>
    <t xml:space="preserve">06 XL ""ח.גב קלה ""מיקדו</t>
  </si>
  <si>
    <t xml:space="preserve">079 S ח.גב סג. כפולה שחור+אדום</t>
  </si>
  <si>
    <t xml:space="preserve">079 L ח.גב סג.כפולה שחור+אדום</t>
  </si>
  <si>
    <t xml:space="preserve">079  M ח.גב סג.כפולה שחור+אדום</t>
  </si>
  <si>
    <t xml:space="preserve">079 XL ח.גב סג.כפולה שחור+אדום</t>
  </si>
  <si>
    <t xml:space="preserve">079 XXLח.גב סג.כפולה שחור+אדום</t>
  </si>
  <si>
    <t xml:space="preserve">07AU S ח.גב ""איטלקית"" אורירית</t>
  </si>
  <si>
    <t xml:space="preserve">07AU L ח.גב ""איטלקית"" אורירית</t>
  </si>
  <si>
    <t xml:space="preserve">07AU M ח.גב ""איטלקית"" אורירית</t>
  </si>
  <si>
    <t xml:space="preserve">07AU XL ח.גב ""איטלקית"" אורירית</t>
  </si>
  <si>
    <t xml:space="preserve">07AU XXL.ח.גב ""איטלקית"" אוריר</t>
  </si>
  <si>
    <t xml:space="preserve">07UC L-XLח.גב אמר+סגירה כפ.חום</t>
  </si>
  <si>
    <t xml:space="preserve">10 S ""חגורת גב ""לומבו</t>
  </si>
  <si>
    <t xml:space="preserve">10 L ""חגורת גב ""לומבו</t>
  </si>
  <si>
    <t xml:space="preserve">10 M ""חגורת גב ""לומבו</t>
  </si>
  <si>
    <t xml:space="preserve">10 XL ""חגורת גב ""לומבו</t>
  </si>
  <si>
    <t xml:space="preserve">10 XXL""חגורת גב ""לומבו</t>
  </si>
  <si>
    <t xml:space="preserve">11 S""חגורת בטן""אורירית</t>
  </si>
  <si>
    <t xml:space="preserve">11 L""חגורת בטן""אורירית</t>
  </si>
  <si>
    <t xml:space="preserve">11 M""חגורת בטן""אורירית</t>
  </si>
  <si>
    <t xml:space="preserve">11 XL""חגורת בטן""אורירית</t>
  </si>
  <si>
    <t xml:space="preserve">11 XXL""חגורת בטן""אורירית</t>
  </si>
  <si>
    <t xml:space="preserve">18 S ח.הריון מכנס למניעת כאבים</t>
  </si>
  <si>
    <t xml:space="preserve">18 L ח.הריון מכנס למניעת כאבים</t>
  </si>
  <si>
    <t xml:space="preserve">18 M ח.הריון מכנס למניעת כאבים</t>
  </si>
  <si>
    <t xml:space="preserve">18  XL.ח.הריון מכנס למניעת כאב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</si>
  <si>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</si>
  <si>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</si>
  <si>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</si>
  <si>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</si>
  <si>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</si>
  <si>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</si>
  <si>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</si>
  <si>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</si>
  <si>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</si>
  <si>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</si>
  <si>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</si>
  <si>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</si>
  <si>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</si>
  <si>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38 .חבישת""הלוקס ולגוס""לאחר נית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</si>
  <si>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</si>
  <si>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</si>
  <si>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</si>
  <si>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</si>
  <si>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</si>
  <si>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</si>
  <si>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59L XLחגורת שבר לצד שמאל</t>
  </si>
  <si>
    <t xml:space="preserve">59R S חגורת שבר לצד ימין</t>
  </si>
  <si>
    <t xml:space="preserve">59R L חגורת שבר לצד ימין</t>
  </si>
  <si>
    <t xml:space="preserve">59R M חגורת שבר לצד ימין</t>
  </si>
  <si>
    <t xml:space="preserve">59R XL חגורת שבר לצד ימין</t>
  </si>
  <si>
    <t xml:space="preserve">922L.חבק יד לטניס כרית סיליק</t>
  </si>
  <si>
    <t xml:space="preserve">922M.מחבק יד לטניס כרית סילי</t>
  </si>
  <si>
    <t xml:space="preserve">922XLחבק יד לטניס כרית סיליק</t>
  </si>
  <si>
    <t xml:space="preserve">91  חבק ""טניס אלבו רצועה</t>
  </si>
  <si>
    <t xml:space="preserve">T11C S  חגורת גב פוג'יאמה</t>
  </si>
  <si>
    <t xml:space="preserve">T11C L  חגורת גב פוג'יאמה</t>
  </si>
  <si>
    <t xml:space="preserve">T11C M  חגורת גב פוג'יאמה</t>
  </si>
  <si>
    <t xml:space="preserve">T11C XL חגורת גב פוג'יאמה</t>
  </si>
  <si>
    <t xml:space="preserve">T11C XXL חגורת גב פוג'יאמה</t>
  </si>
  <si>
    <t xml:space="preserve">T20 S-M חבק יד עם צמדן</t>
  </si>
  <si>
    <t xml:space="preserve">T20 L-XL  חבק יד עם צמדן</t>
  </si>
  <si>
    <t xml:space="preserve">T20C S-M חבק יד עם צמדןחום</t>
  </si>
  <si>
    <t xml:space="preserve">T20C L-XL חבק יד עם צמדן חום</t>
  </si>
  <si>
    <t xml:space="preserve">T25-חבק יד אגודלי</t>
  </si>
  <si>
    <t xml:space="preserve">T25C-חבק יד אגודלי</t>
  </si>
  <si>
    <t xml:space="preserve">11U Lחגורת בטן וחזה אחרי ניתוח</t>
  </si>
  <si>
    <t xml:space="preserve">19 S-M חגורת הריון בכאב חזק</t>
  </si>
  <si>
    <t xml:space="preserve">11EU S ח.בטן לאחר ניתוח</t>
  </si>
  <si>
    <t xml:space="preserve">11EU M ח.בטן לאחר ניתוח</t>
  </si>
  <si>
    <t xml:space="preserve">11EU L ח.בטן לאחר ניתוח</t>
  </si>
  <si>
    <t xml:space="preserve">11EU XLח.בטן לאחר ניתוח</t>
  </si>
  <si>
    <t xml:space="preserve">06U L ח.בטן מותנית צר</t>
  </si>
  <si>
    <t xml:space="preserve">06U XL ח.בטן מותנית צר</t>
  </si>
  <si>
    <t xml:space="preserve">15M L חגורת צלעות לגבר</t>
  </si>
  <si>
    <t xml:space="preserve">15W XL חגורת צלעות לאשה</t>
  </si>
  <si>
    <t xml:space="preserve">15M M חגורת צלעות לגבר</t>
  </si>
  <si>
    <t xml:space="preserve">15W M חגורת צלעות לאשה</t>
  </si>
  <si>
    <t xml:space="preserve">15W L חגורת צלעות לאשה</t>
  </si>
  <si>
    <t xml:space="preserve">11EU XXL חגורת בטןלאחר ניתוח</t>
  </si>
  <si>
    <t xml:space="preserve">077A S-M חגורת גב</t>
  </si>
  <si>
    <t xml:space="preserve">077A L-XLחגורת גב</t>
  </si>
  <si>
    <t xml:space="preserve">06W S חגורת גב לנשים</t>
  </si>
  <si>
    <t xml:space="preserve">776 S  ח.גב גבוהה</t>
  </si>
  <si>
    <t xml:space="preserve">776 M  ח.גב גבוהה</t>
  </si>
  <si>
    <t xml:space="preserve">11PS Lחגורה למנותחי בטן</t>
  </si>
  <si>
    <t xml:space="preserve">11PS XLחגורה למנותחי בטן</t>
  </si>
  <si>
    <t xml:space="preserve">11PS XXLחגורה למנותחי בטן</t>
  </si>
  <si>
    <t xml:space="preserve">11TO S חגורה למנותחי בית החזה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</si>
  <si>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</si>
  <si>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</si>
  <si>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</si>
  <si>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</si>
  <si>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 XS  חגורת בטן</t>
  </si>
  <si>
    <t xml:space="preserve">13 M חגורה לשבר טבור</t>
  </si>
  <si>
    <t xml:space="preserve">13 L חגורה לשבר טבור</t>
  </si>
  <si>
    <t xml:space="preserve">13 XL חגורה לשבר טבור</t>
  </si>
  <si>
    <t xml:space="preserve">13 XXL חגורה לשבר טבור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</si>
  <si>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</si>
  <si>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</si>
  <si>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</si>
  <si>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AC-07 חגורת גב עם תמיכות</t>
  </si>
  <si>
    <t xml:space="preserve">AC-11 חגורת בטן קלה</t>
  </si>
  <si>
    <t xml:space="preserve">AC-25 חבק לשורש כף היד</t>
  </si>
  <si>
    <t xml:space="preserve">AC91 חבק טניס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</si>
  <si>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</si>
  <si>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</si>
  <si>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</si>
  <si>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</si>
  <si>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</si>
  <si>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</si>
  <si>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</si>
  <si>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M 11 אפורUG חגורת בטן</t>
  </si>
  <si>
    <t xml:space="preserve">L 11 אפורUG חגורת בטן</t>
  </si>
  <si>
    <t xml:space="preserve">XL 11 אפורUG חגורת בטן</t>
  </si>
  <si>
    <t xml:space="preserve">XXL 11אפורUGחגורת בטן</t>
  </si>
  <si>
    <t xml:space="preserve">16 L-XL חגורת הריון</t>
  </si>
  <si>
    <t xml:space="preserve">16 S-M חגורת הריון</t>
  </si>
  <si>
    <t xml:space="preserve">16 XXL חגורת הריון</t>
  </si>
  <si>
    <t xml:space="preserve">078C M'חגורת גב+סגירה כפו בז</t>
  </si>
  <si>
    <t xml:space="preserve">078C S'חגורת גב+סגירה כפו בז</t>
  </si>
  <si>
    <t xml:space="preserve">077A   XXL חגורת גב עם חיזוקים</t>
  </si>
  <si>
    <t xml:space="preserve">SC25  S חבק יד</t>
  </si>
  <si>
    <t xml:space="preserve">SC25  M חבק יד</t>
  </si>
  <si>
    <t xml:space="preserve">SC25  L חבק יד</t>
  </si>
  <si>
    <t xml:space="preserve">SC25 XL חבק יד</t>
  </si>
  <si>
    <t xml:space="preserve">11STO S חגורה אחרי ניתוח</t>
  </si>
  <si>
    <t xml:space="preserve">11STO M חגורה אחרי ניתוח</t>
  </si>
  <si>
    <t xml:space="preserve">11STO XL  חגורה אחרי ניתוח</t>
  </si>
  <si>
    <t xml:space="preserve">T25B   חבק יד אגודלי</t>
  </si>
  <si>
    <t xml:space="preserve">078XXL חגורת גב +סגירה כפולה</t>
  </si>
  <si>
    <t xml:space="preserve">91B חבק טניס אלבו</t>
  </si>
  <si>
    <t xml:space="preserve">70N S חגורת פאבליק</t>
  </si>
  <si>
    <t xml:space="preserve">70N M חגורת פאבליק</t>
  </si>
  <si>
    <t xml:space="preserve">70N L חגורת פאבליק</t>
  </si>
  <si>
    <t xml:space="preserve">202  ONE SIZE חבק יד</t>
  </si>
  <si>
    <t xml:space="preserve">365 S-Lטבעת אלסטית מסיליקון</t>
  </si>
  <si>
    <t xml:space="preserve">365  X-Lטבעת אלסטית מסיליקון</t>
  </si>
  <si>
    <t xml:space="preserve">FC341-טיפות נגד פטרת הציפורן</t>
  </si>
  <si>
    <t xml:space="preserve">FC335 טלק מעושר באלוורה</t>
  </si>
  <si>
    <t xml:space="preserve">804AT-W      טייפ חבישה לספורט</t>
  </si>
  <si>
    <t xml:space="preserve">804AT-B      טייפ חבישה לספורט</t>
  </si>
  <si>
    <t xml:space="preserve">804AT-C      טייפ חבישה לספורט</t>
  </si>
  <si>
    <t xml:space="preserve">804AT-BL     טייפ חבישה לספורט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</si>
  <si>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</si>
  <si>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</si>
  <si>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</si>
  <si>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</si>
  <si>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</si>
  <si>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</si>
  <si>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</si>
  <si>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</si>
  <si>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</si>
  <si>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</si>
  <si>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</si>
  <si>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</si>
  <si>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</si>
  <si>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</si>
  <si>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</si>
  <si>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</si>
  <si>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</si>
  <si>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</si>
  <si>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</si>
  <si>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</si>
  <si>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</si>
  <si>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</si>
  <si>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30 S מגן קרסול מתכוון עם סקוטש</t>
  </si>
  <si>
    <t xml:space="preserve">30 L מגן קרסול מתכוון עם סקוטש</t>
  </si>
  <si>
    <t xml:space="preserve">30 M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</si>
  <si>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</si>
  <si>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</si>
  <si>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</si>
  <si>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</si>
  <si>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</si>
  <si>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</si>
  <si>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</si>
  <si>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311'מדב.ג'ל למניעת שפשוף 5 יח</t>
  </si>
  <si>
    <t xml:space="preserve">312 9 מ""ס להתאמהX5 מדבקה גדולה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</si>
  <si>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</si>
  <si>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</si>
  <si>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</si>
  <si>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</si>
  <si>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</si>
  <si>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</si>
  <si>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</si>
  <si>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</si>
  <si>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</si>
  <si>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</si>
  <si>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</si>
  <si>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35C S מגן קרסול חום</t>
  </si>
  <si>
    <t xml:space="preserve">35C L מגן קרסול חום</t>
  </si>
  <si>
    <t xml:space="preserve">35C M מגן קרסול חום</t>
  </si>
  <si>
    <t xml:space="preserve">35C XL מגן קרסול חום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</si>
  <si>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</si>
  <si>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</si>
  <si>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</si>
  <si>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</si>
  <si>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3641-מיישר בוהן סיליקון קשיח</t>
  </si>
  <si>
    <t xml:space="preserve">366S-'מדבק.לשחרור לחץ מיבלת2יח</t>
  </si>
  <si>
    <t xml:space="preserve">3677S-מד.לשחרור לחץ א.הבוניון</t>
  </si>
  <si>
    <t xml:space="preserve">388L סד לילה לבוהן</t>
  </si>
  <si>
    <t xml:space="preserve">388R סד לילה לבוהן</t>
  </si>
  <si>
    <t xml:space="preserve">41 Sמ.ברך מוצלב+ספירלות בצדדים</t>
  </si>
  <si>
    <t xml:space="preserve">41 Lמ.ברך מוצלב+ספירלות בצדדים</t>
  </si>
  <si>
    <t xml:space="preserve">41 Mמ.ברך מוצלב+ספירלות בצדדים</t>
  </si>
  <si>
    <t xml:space="preserve">41  XL.מ.ברך מוצלב+ספירלות בצד</t>
  </si>
  <si>
    <t xml:space="preserve">41X L מגן ברך מוצלב+מוט</t>
  </si>
  <si>
    <t xml:space="preserve">41X M מגן ברך מוצלב+מוט</t>
  </si>
  <si>
    <t xml:space="preserve">41X 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</si>
  <si>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</si>
  <si>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</si>
  <si>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</si>
  <si>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</si>
  <si>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</si>
  <si>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</si>
  <si>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</si>
  <si>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</si>
  <si>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</si>
  <si>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</si>
  <si>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45C S מגן ברך חום</t>
  </si>
  <si>
    <t xml:space="preserve">45C L מגן ברך חום</t>
  </si>
  <si>
    <t xml:space="preserve">45C M מגן ברך חום</t>
  </si>
  <si>
    <t xml:space="preserve">45C XL מגן ברך חום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</si>
  <si>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</si>
  <si>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</si>
  <si>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</si>
  <si>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</si>
  <si>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</si>
  <si>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48 S מגן ברך מחמם</t>
  </si>
  <si>
    <t xml:space="preserve">48 L מגן ברך מחמם</t>
  </si>
  <si>
    <t xml:space="preserve">48 M מגן ברך מחמם</t>
  </si>
  <si>
    <t xml:space="preserve">48 XL מגן ברך מחמם</t>
  </si>
  <si>
    <t xml:space="preserve">48 XXL מגן ברך מחמם</t>
  </si>
  <si>
    <t xml:space="preserve">49  S מגן ירך</t>
  </si>
  <si>
    <t xml:space="preserve">49  L מגן ירך</t>
  </si>
  <si>
    <t xml:space="preserve">49  M מגן ירך</t>
  </si>
  <si>
    <t xml:space="preserve">49 XL מגן ירך</t>
  </si>
  <si>
    <t xml:space="preserve">49 XXL מגן ירך</t>
  </si>
  <si>
    <t xml:space="preserve">50 S מתלה אשכים לאחר ניתוח</t>
  </si>
  <si>
    <t xml:space="preserve">50 L מתלה אשכים לאחר ניתוח</t>
  </si>
  <si>
    <t xml:space="preserve">50 M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</si>
  <si>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</si>
  <si>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</si>
  <si>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</si>
  <si>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</si>
  <si>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XL מתלה אשכים לספורטאים</t>
  </si>
  <si>
    <t xml:space="preserve">75 Sמיישר כתף יציב יישור גב צר</t>
  </si>
  <si>
    <t xml:space="preserve">75 Lמיישר כתף יציב יישור גב צר</t>
  </si>
  <si>
    <t xml:space="preserve">75 Mמיישר כתף יציב יישור גב צר</t>
  </si>
  <si>
    <t xml:space="preserve">75 XLמיישר כתף יציב יישור ג.צר</t>
  </si>
  <si>
    <t xml:space="preserve">75  XXL מיישר כתף יציב ישור צר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</si>
  <si>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</si>
  <si>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</si>
  <si>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</si>
  <si>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</si>
  <si>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</si>
  <si>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</si>
  <si>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</si>
  <si>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</si>
  <si>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</si>
  <si>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</si>
  <si>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</si>
  <si>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</si>
  <si>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</si>
  <si>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</si>
  <si>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</si>
  <si>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</si>
  <si>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</si>
  <si>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</si>
  <si>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</si>
  <si>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</si>
  <si>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</si>
  <si>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</si>
  <si>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</si>
  <si>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</si>
  <si>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</si>
  <si>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</si>
  <si>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74 L-XL מיצב כתפיים</t>
  </si>
  <si>
    <t xml:space="preserve">80 S תתמתלה ליד רצועה</t>
  </si>
  <si>
    <t xml:space="preserve">T402 S מיצב פיקה</t>
  </si>
  <si>
    <t xml:space="preserve">T402 M מיצב פיקה</t>
  </si>
  <si>
    <t xml:space="preserve">T402 L מיצב פיקה</t>
  </si>
  <si>
    <t xml:space="preserve">T402 XL מיצב פיקה</t>
  </si>
  <si>
    <t xml:space="preserve">T402 XXL מיצב פיקה</t>
  </si>
  <si>
    <t xml:space="preserve">85+ Sמתלה ליד)כיס(+רצועת חיזוק</t>
  </si>
  <si>
    <t xml:space="preserve">85+ Mמתלה ליד)כיס(+רצועת חיזוק</t>
  </si>
  <si>
    <t xml:space="preserve">85+ Lמתלה ליד)כיס(+רצועת חיזוק</t>
  </si>
  <si>
    <t xml:space="preserve">85+ XLמתלה ליד)כיס(רצועת חיזוק</t>
  </si>
  <si>
    <t xml:space="preserve">T39 XL מגן שוק</t>
  </si>
  <si>
    <t xml:space="preserve">T39  M מגן שוק</t>
  </si>
  <si>
    <t xml:space="preserve">T39  L מגן שוק</t>
  </si>
  <si>
    <t xml:space="preserve">T 45 M מגן ברך רגיל</t>
  </si>
  <si>
    <t xml:space="preserve">T 45 L מגן ברך רגיל</t>
  </si>
  <si>
    <t xml:space="preserve">T 45XL מגן ברך רגיל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</si>
  <si>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</si>
  <si>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</si>
  <si>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</si>
  <si>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</si>
  <si>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</si>
  <si>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T95 S מגן מרפק רגיל</t>
  </si>
  <si>
    <t xml:space="preserve">T45X XL מגן ברך רגיל</t>
  </si>
  <si>
    <t xml:space="preserve">T45X M מגן ברך רגיל</t>
  </si>
  <si>
    <t xml:space="preserve">T45X L מגן ברך רגיל</t>
  </si>
  <si>
    <t xml:space="preserve">T45X-XXLמגן ברך רגיל</t>
  </si>
  <si>
    <t xml:space="preserve">76 XXL מישר כתפיים רחב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</si>
  <si>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</si>
  <si>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</si>
  <si>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</si>
  <si>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</si>
  <si>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</si>
  <si>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</si>
  <si>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T45 XXL מגן ברך רגיל</t>
  </si>
  <si>
    <t xml:space="preserve">34+XXL מ.קרסול+עכב סגור+רצועות</t>
  </si>
  <si>
    <t xml:space="preserve">URI 3667 מגן בוניון</t>
  </si>
  <si>
    <t xml:space="preserve">35 XS מגן קרסול לבן</t>
  </si>
  <si>
    <t xml:space="preserve">AC37 מגן קרסול נושם</t>
  </si>
  <si>
    <t xml:space="preserve">AC43D מגן ברך + צירים</t>
  </si>
  <si>
    <t xml:space="preserve">AC45X מגן ברך עם תמיכות</t>
  </si>
  <si>
    <t xml:space="preserve">AC49 מגן ירך</t>
  </si>
  <si>
    <t xml:space="preserve">AC95 מגן מרפק</t>
  </si>
  <si>
    <t xml:space="preserve">45  XS מגן ברך רגיל לבן</t>
  </si>
  <si>
    <t xml:space="preserve">322-S מגן קרסול+כרית סילקון</t>
  </si>
  <si>
    <t xml:space="preserve">322-M מגן קרסול+כרית סילקון</t>
  </si>
  <si>
    <t xml:space="preserve">322XL מגן קרסול+כרית סילקון</t>
  </si>
  <si>
    <t xml:space="preserve">322XXLמגן קרסול+כרית סילקון</t>
  </si>
  <si>
    <t xml:space="preserve">922XXLמגן מרפק+כרית סילקון</t>
  </si>
  <si>
    <t xml:space="preserve">3666 מפריד הלוקס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</si>
  <si>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</si>
  <si>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</si>
  <si>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</si>
  <si>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</si>
  <si>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322-L מגן קרסול+כרית סילקון</t>
  </si>
  <si>
    <t xml:space="preserve">302 מדרס ג'ל לגבר</t>
  </si>
  <si>
    <t xml:space="preserve">95C M 'מגן מרפק בז</t>
  </si>
  <si>
    <t xml:space="preserve">95C L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</si>
  <si>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</si>
  <si>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</si>
  <si>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</si>
  <si>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</si>
  <si>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</si>
  <si>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</si>
  <si>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</si>
  <si>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45EC S 'מגן ברך ארוך בז</t>
  </si>
  <si>
    <t xml:space="preserve">45EC M 'מגן ברך ארוך בז</t>
  </si>
  <si>
    <t xml:space="preserve">45EC L 'מגן ברך ארוך בז</t>
  </si>
  <si>
    <t xml:space="preserve">45EC XL'מגן ברך ארוך בז</t>
  </si>
  <si>
    <t xml:space="preserve">45EC XXL'מגן ברך ארוך בז</t>
  </si>
  <si>
    <t xml:space="preserve">21 XS מגן יד</t>
  </si>
  <si>
    <t xml:space="preserve">78A L מגן למפרק כתף</t>
  </si>
  <si>
    <t xml:space="preserve">SC95 S מגן מרפק</t>
  </si>
  <si>
    <t xml:space="preserve">SC95 M מגן מרפק</t>
  </si>
  <si>
    <t xml:space="preserve">SC95 L מגן מרפק</t>
  </si>
  <si>
    <t xml:space="preserve">SC95 XLמגן מרפק</t>
  </si>
  <si>
    <t xml:space="preserve">SC39  S מגן שוק</t>
  </si>
  <si>
    <t xml:space="preserve">SC39  M מגן שוק</t>
  </si>
  <si>
    <t xml:space="preserve">SC39  L מגן שוק</t>
  </si>
  <si>
    <t xml:space="preserve">SC39 XL מגן שוק</t>
  </si>
  <si>
    <t xml:space="preserve">SC39 XXLמגן שוק</t>
  </si>
  <si>
    <t xml:space="preserve">SC35L  S מגן קרסול שמאל</t>
  </si>
  <si>
    <t xml:space="preserve">SC35L  M מגן קרסול שמאל</t>
  </si>
  <si>
    <t xml:space="preserve">SC35L  L מגן קרסול שמאל</t>
  </si>
  <si>
    <t xml:space="preserve">SC35L XL מגן קרסול שמאל</t>
  </si>
  <si>
    <t xml:space="preserve">SC35R  S מגן קרסול ימין</t>
  </si>
  <si>
    <t xml:space="preserve">SC35R  M מגן קרסול ימין</t>
  </si>
  <si>
    <t xml:space="preserve">SC35R  L מגן קרסול ימין</t>
  </si>
  <si>
    <t xml:space="preserve">SC35R  XLמגן קרסול ימין</t>
  </si>
  <si>
    <t xml:space="preserve">SC422  S מגן ברך</t>
  </si>
  <si>
    <t xml:space="preserve">SC422  M מגן ברך</t>
  </si>
  <si>
    <t xml:space="preserve">SC422  L מגן ברך</t>
  </si>
  <si>
    <t xml:space="preserve">SC422 XL מגן ברך</t>
  </si>
  <si>
    <t xml:space="preserve">SC422 XXLמגן ברך</t>
  </si>
  <si>
    <t xml:space="preserve">302SP M מדרס ג'ל ספורט לגבר</t>
  </si>
  <si>
    <t xml:space="preserve">302SP Wמדרס ג'ל ספורט לאישה</t>
  </si>
  <si>
    <t xml:space="preserve">LF378 S מדרס ג'ל לנעלי עקב</t>
  </si>
  <si>
    <t xml:space="preserve">LF378 M מדרס ג'ל לנעלי עקב</t>
  </si>
  <si>
    <t xml:space="preserve">LF378 L מדרס ג'ל לנעלי עקב</t>
  </si>
  <si>
    <t xml:space="preserve">386  מיישר בוניון-האלוקס ולגוס</t>
  </si>
  <si>
    <t xml:space="preserve">AC75 מישר כתפיים אקטיב</t>
  </si>
  <si>
    <t xml:space="preserve">85K מתלה ליד לילדים</t>
  </si>
  <si>
    <t xml:space="preserve">AC75 XXL  מיישר כתפיים אקטיב</t>
  </si>
  <si>
    <t xml:space="preserve">605XL מסכה אלה</t>
  </si>
  <si>
    <t xml:space="preserve">310Lמדרס 3/4לכאבי דורבן וספורט</t>
  </si>
  <si>
    <t xml:space="preserve">35B L מגן קרסול שחור</t>
  </si>
  <si>
    <t xml:space="preserve">35B XL מגן קרסול שחור</t>
  </si>
  <si>
    <t xml:space="preserve">35B M מגן קרסול שחור</t>
  </si>
  <si>
    <t xml:space="preserve">35B S מגן קרסול שחור</t>
  </si>
  <si>
    <t xml:space="preserve">35B XXL מגן קרסול שחור</t>
  </si>
  <si>
    <t xml:space="preserve">45B L מגן ברך שחור</t>
  </si>
  <si>
    <t xml:space="preserve">45B XL מגן ברך שחור</t>
  </si>
  <si>
    <t xml:space="preserve">45B M מגן ברך שחור</t>
  </si>
  <si>
    <t xml:space="preserve">45B S מגן ברך שחור</t>
  </si>
  <si>
    <t xml:space="preserve">45B XXLמגן ברך שחור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</si>
  <si>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</si>
  <si>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</si>
  <si>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</si>
  <si>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</si>
  <si>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</si>
  <si>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85B L מתלה רשת לזרוע שחור</t>
  </si>
  <si>
    <t xml:space="preserve">85B M מתלה רשת לזרוע שחור</t>
  </si>
  <si>
    <t xml:space="preserve">85B XL מתלה רשת לזרוע שחור</t>
  </si>
  <si>
    <t xml:space="preserve">85B S מתלה רשת לזרוע שחור</t>
  </si>
  <si>
    <t xml:space="preserve">מדרסי אפיק ג'ל מולט.ספורט35-38</t>
  </si>
  <si>
    <t xml:space="preserve">מדרסי אפיק ג'ל מולטי ספור39-42</t>
  </si>
  <si>
    <t xml:space="preserve">מדרסי אפיק ג'ל מולט.ספורט43-47</t>
  </si>
  <si>
    <t xml:space="preserve">35-38 מדרסי אפיק ג'ל נוחות</t>
  </si>
  <si>
    <t xml:space="preserve">39-42 מדרסי אפיק ג'ל נוחות</t>
  </si>
  <si>
    <t xml:space="preserve">43-47 מדרסי אפיק ג'ל נוחות</t>
  </si>
  <si>
    <t xml:space="preserve">35-38 מדרסי אפיק ג'ל עבודה</t>
  </si>
  <si>
    <t xml:space="preserve">39-42 מדרסי אפיק ג'ל עבודה</t>
  </si>
  <si>
    <t xml:space="preserve">43-47 מדרסי אפיק ג'ל עבודה</t>
  </si>
  <si>
    <t xml:space="preserve">35C XXL מגן קרסול חום</t>
  </si>
  <si>
    <t xml:space="preserve">SH333 מקבע קרסול</t>
  </si>
  <si>
    <t xml:space="preserve">FC342-נוזל לציפורן חודרנית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</si>
  <si>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</si>
  <si>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</si>
  <si>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</si>
  <si>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</si>
  <si>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XXL סד ליד דו צדדי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</si>
  <si>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</si>
  <si>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</si>
  <si>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</si>
  <si>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</si>
  <si>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32 M  סד קרסול+מוטות אלומיניום</t>
  </si>
  <si>
    <t xml:space="preserve">32 XL סד קרסול+מוטות אלומיניום</t>
  </si>
  <si>
    <t xml:space="preserve">333 סד לקרסול עם כריות אויר</t>
  </si>
  <si>
    <t xml:space="preserve">28-XS סד לאגודל לאחר שבר</t>
  </si>
  <si>
    <t xml:space="preserve">AC-27L סד לש.כף יד שמאל</t>
  </si>
  <si>
    <t xml:space="preserve">AC-27R סד לש.כף יד ימין</t>
  </si>
  <si>
    <t xml:space="preserve">AC-28 סד לאגודל</t>
  </si>
  <si>
    <t xml:space="preserve">סד קיבוע לאצבע הדק</t>
  </si>
  <si>
    <t xml:space="preserve">T28 XL סד לאגודל כפפה</t>
  </si>
  <si>
    <t xml:space="preserve">T28C L סד לאגודל כפפה</t>
  </si>
  <si>
    <t xml:space="preserve">T28C M סד לאגודל כפפה</t>
  </si>
  <si>
    <t xml:space="preserve">T28C  XL סד לאגודל כפפה</t>
  </si>
  <si>
    <t xml:space="preserve">T28A S-M סד לאגודל</t>
  </si>
  <si>
    <t xml:space="preserve">T28A L-XL סד לאגודל</t>
  </si>
  <si>
    <t xml:space="preserve">T28AC S-M סד לאגודל</t>
  </si>
  <si>
    <t xml:space="preserve">T28AC L-XL סד לאגודל</t>
  </si>
  <si>
    <t xml:space="preserve">PD346-10 סכינים למקצוע</t>
  </si>
  <si>
    <t xml:space="preserve">T33  M  סד לקרסול</t>
  </si>
  <si>
    <t xml:space="preserve">T33  L  סד לקרסול</t>
  </si>
  <si>
    <t xml:space="preserve">27L M סד ליד שמאל</t>
  </si>
  <si>
    <t xml:space="preserve">27L L סד ליד שמאל</t>
  </si>
  <si>
    <t xml:space="preserve">27L XLסד ליד שמאל</t>
  </si>
  <si>
    <t xml:space="preserve">T33 XXL סד לקרסול</t>
  </si>
  <si>
    <t xml:space="preserve">T27L M סד ליד שמאל</t>
  </si>
  <si>
    <t xml:space="preserve">266 סד ליד דו צדדי</t>
  </si>
  <si>
    <t xml:space="preserve">268 סד לאגודל</t>
  </si>
  <si>
    <t xml:space="preserve">238S סד ליישור אצבע</t>
  </si>
  <si>
    <t xml:space="preserve">238M סד ליישור אצבע</t>
  </si>
  <si>
    <t xml:space="preserve">238L סד ליישור אצבע</t>
  </si>
  <si>
    <t xml:space="preserve">238XL סד ליישור אצבע</t>
  </si>
  <si>
    <t xml:space="preserve">267LC  L-XL 'סד יד שמאל בז</t>
  </si>
  <si>
    <t xml:space="preserve">267LC   S-M'סד יד שמאל בז</t>
  </si>
  <si>
    <t xml:space="preserve">267RC  L-XL 'סד יד ימין בז</t>
  </si>
  <si>
    <t xml:space="preserve">267RC  S-M 'סד יד ימין בז</t>
  </si>
  <si>
    <t xml:space="preserve">267LB  L-XLסד יד שמאל שחור</t>
  </si>
  <si>
    <t xml:space="preserve">267LB  S-M סד יד שמאל שחור</t>
  </si>
  <si>
    <t xml:space="preserve">267RB  L-XLסד יד ימין שחור</t>
  </si>
  <si>
    <t xml:space="preserve">267RB  S-M סד יד ימין שחור</t>
  </si>
  <si>
    <t xml:space="preserve">313 סט פלסטרים נגד שפשופים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</si>
  <si>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</si>
  <si>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</si>
  <si>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</si>
  <si>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</si>
  <si>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</si>
  <si>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</si>
  <si>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</si>
  <si>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</si>
  <si>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PD342-פומפיה להסרת עור קשה</t>
  </si>
  <si>
    <t xml:space="preserve">PD343-פומפיה מאבן להסר.עור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</si>
  <si>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</si>
  <si>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</si>
  <si>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</si>
  <si>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</si>
  <si>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</si>
  <si>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63 M צוארון פלסטי מתכוון</t>
  </si>
  <si>
    <t xml:space="preserve">FC311-תתקרם דאודורנט לכף הרגל</t>
  </si>
  <si>
    <t xml:space="preserve">FC310-תתקרם הגנה לכף הרגל</t>
  </si>
  <si>
    <t xml:space="preserve">FC312-תתקרם מירוק גרגרי פילינג</t>
  </si>
  <si>
    <t xml:space="preserve">PD340-קוצץ ציפורניים</t>
  </si>
  <si>
    <t xml:space="preserve">FC316   קרם רגליים שיקומי</t>
  </si>
  <si>
    <t xml:space="preserve">239B S-M STRAP4U</t>
  </si>
  <si>
    <t xml:space="preserve">239P S-M STRAP4U</t>
  </si>
  <si>
    <t xml:space="preserve">239B L-XL STRAP4U</t>
  </si>
  <si>
    <t xml:space="preserve">239TR L-XL STRAP4U</t>
  </si>
  <si>
    <t xml:space="preserve">370  רפידת נוחות-זוג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</si>
  <si>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</si>
  <si>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</si>
  <si>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</si>
  <si>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רפ.אורטופדית ספורט זוג35</t>
  </si>
  <si>
    <t xml:space="preserve">377 רפ.אורטופדית ספורט זוג36</t>
  </si>
  <si>
    <t xml:space="preserve">377   רפ.ורטופדית ספורט זוג38</t>
  </si>
  <si>
    <t xml:space="preserve">377  רפ.אורטופדית ספורט זוג39</t>
  </si>
  <si>
    <t xml:space="preserve">377  רפ.אורטופדית ספורט זוג40</t>
  </si>
  <si>
    <t xml:space="preserve">377  רפידה אורטופ.ספורט זוג41</t>
  </si>
  <si>
    <t xml:space="preserve">377   רפידה אורט.ספורט זוג43</t>
  </si>
  <si>
    <t xml:space="preserve">40-רצועת פיקה לברך</t>
  </si>
  <si>
    <t xml:space="preserve">4022 רצועת ""פיקה""+כרית</t>
  </si>
  <si>
    <t xml:space="preserve">T90 רצועת טניס אלבו עם פלסטיק</t>
  </si>
  <si>
    <t xml:space="preserve">LF370 ריפוד סיליקון לעקב אחורי</t>
  </si>
  <si>
    <t xml:space="preserve">LF371 ריפוד סיליקון לנעלי אצבע</t>
  </si>
  <si>
    <t xml:space="preserve">LFריפוד סיליק.לכרית כף הרגל373</t>
  </si>
  <si>
    <t xml:space="preserve">LF374 ריפוד סיליק.לעקב תחתון</t>
  </si>
  <si>
    <t xml:space="preserve">AC40 רצועה לפיקת הברך</t>
  </si>
  <si>
    <t xml:space="preserve">370K 0 רפידת לילדים אנטי ריח</t>
  </si>
  <si>
    <t xml:space="preserve">35-37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</si>
  <si>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</si>
  <si>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</si>
  <si>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</si>
  <si>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381 HV רצועה אלסטית</t>
  </si>
  <si>
    <t xml:space="preserve">301CW 36-40 'רפידת ג'ל בז</t>
  </si>
  <si>
    <t xml:space="preserve">301CM 41-45 'רפידת ג'ל בז</t>
  </si>
  <si>
    <t xml:space="preserve">301JW רפידת ג'ל כחול36-40</t>
  </si>
  <si>
    <t xml:space="preserve">T40B רצועה לפיקה</t>
  </si>
  <si>
    <t xml:space="preserve">3655 שרוול מסיליקון לאצבע</t>
  </si>
  <si>
    <t xml:space="preserve">3611 שרוול מטטרזלי מסיליקון</t>
  </si>
  <si>
    <t xml:space="preserve">3672 שרוול מגן לבוניון</t>
  </si>
  <si>
    <t xml:space="preserve">שרוול לגבס קצר יד</t>
  </si>
  <si>
    <t xml:space="preserve">שרוול לגבס ארוך יד</t>
  </si>
  <si>
    <t xml:space="preserve">שרוול לגבס קצר רגל</t>
  </si>
  <si>
    <t xml:space="preserve">שרוול לגבס ארוך רגל</t>
  </si>
  <si>
    <t xml:space="preserve">801  תחבושת אלסטית מקררת</t>
  </si>
  <si>
    <t xml:space="preserve">FC331Z- 120 תתתרסיס מרענן לרגל</t>
  </si>
  <si>
    <t xml:space="preserve">T78 S תומך זרוע וכתף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</si>
  <si>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</si>
  <si>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</si>
  <si>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</si>
  <si>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T78 XXL תומך זרוע וכתף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</si>
  <si>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</si>
  <si>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</si>
  <si>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</si>
  <si>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</si>
  <si>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807CB-Cתחבושת נצמדת בז' 20 מ""מ</t>
  </si>
  <si>
    <t xml:space="preserve">807B-Bתחבושת נצמדת שחור 20 מ""מ</t>
  </si>
  <si>
    <t xml:space="preserve">807CB-BLתחבושת נצמדת כחול20מ""מ</t>
  </si>
  <si>
    <t xml:space="preserve">807CB-P תחבושת נצמדת ורוד 20ממ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</si>
  <si>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</si>
  <si>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</si>
  <si>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</si>
  <si>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</si>
  <si>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</si>
  <si>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</si>
  <si>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</si>
  <si>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</si>
  <si>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113 - Kupat Holim Meuhedet</t>
  </si>
  <si>
    <t xml:space="preserve">S-XLST422 מגן ברך+כרית ג'ל</t>
  </si>
  <si>
    <t xml:space="preserve">11STO L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</si>
  <si>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</si>
  <si>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</si>
  <si>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</si>
  <si>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</si>
  <si>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</si>
  <si>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</si>
  <si>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ST91 מגן מרפק לטניס</t>
  </si>
  <si>
    <t xml:space="preserve">ST433 H מגן ברך עם ציר</t>
  </si>
  <si>
    <t xml:space="preserve">ST49 מגן ירך</t>
  </si>
  <si>
    <t xml:space="preserve">ST28 סד אגודלי עם מוט תמיכה</t>
  </si>
  <si>
    <t xml:space="preserve">078C L</t>
  </si>
  <si>
    <t xml:space="preserve">078C M</t>
  </si>
  <si>
    <t xml:space="preserve">078C XL</t>
  </si>
  <si>
    <t xml:space="preserve">11U XL</t>
  </si>
  <si>
    <t xml:space="preserve">BE (CEMI internal group)</t>
  </si>
  <si>
    <t xml:space="preserve">BE CARE  תחבושת אלסטית 5 ס""מ</t>
  </si>
  <si>
    <t xml:space="preserve">BE CARE KT BLACK</t>
  </si>
  <si>
    <t xml:space="preserve">BE CARE KT BLUE</t>
  </si>
  <si>
    <t xml:space="preserve">06 L  ""ח.גב קלה ""מיקדו</t>
  </si>
  <si>
    <t xml:space="preserve">59D S חגורת שבר דו צדדי</t>
  </si>
  <si>
    <t xml:space="preserve">19 L-XLחגורת הריון בכאב.חזק</t>
  </si>
  <si>
    <t xml:space="preserve">11PS Sחגורה למנותחי בטן</t>
  </si>
  <si>
    <t xml:space="preserve">11PS Mחגורה למנותחי בטן</t>
  </si>
  <si>
    <t xml:space="preserve">078C XLתתחגורת גב+סגירה כפו בז</t>
  </si>
  <si>
    <t xml:space="preserve">L-XL 099 חגורת גב שרוכים</t>
  </si>
  <si>
    <t xml:space="preserve">FC314-תתטלק נוזלי</t>
  </si>
  <si>
    <t xml:space="preserve">300M תתמדרס.ציפוי עור גבר זו43</t>
  </si>
  <si>
    <t xml:space="preserve">300M תתמדרס/ציפוי עור גבר זו44</t>
  </si>
  <si>
    <t xml:space="preserve">41X S מגן ברך מוצלב+מוט</t>
  </si>
  <si>
    <t xml:space="preserve">T39  S מגן שוק</t>
  </si>
  <si>
    <t xml:space="preserve">T45 S מגן ברך רגיל</t>
  </si>
  <si>
    <t xml:space="preserve">T95 L מגן מרפק רגיל</t>
  </si>
  <si>
    <t xml:space="preserve">T35 Mמגן קרסול+ צמדן</t>
  </si>
  <si>
    <t xml:space="preserve">T35 Lמגן קרסול+ צמדן</t>
  </si>
  <si>
    <t xml:space="preserve">T35 XLמגן קרסול+ צמדן</t>
  </si>
  <si>
    <t xml:space="preserve">422E L מגן ברך ארוך עם כרית</t>
  </si>
  <si>
    <t xml:space="preserve">422E S מגן ברך ארוך עם כרית</t>
  </si>
  <si>
    <t xml:space="preserve">305GA מדרס מתכוונן47-48</t>
  </si>
  <si>
    <t xml:space="preserve">26 XS סד ליד דו צדדי לאחר שבר</t>
  </si>
  <si>
    <t xml:space="preserve">377  רפ.אורטופדית ספורט זוג37</t>
  </si>
  <si>
    <t xml:space="preserve">377 רפידה אורטופ.ספורט זוג42</t>
  </si>
  <si>
    <t xml:space="preserve">377  רפידה אורט.ספורט זוג44</t>
  </si>
  <si>
    <t xml:space="preserve">T91  L-XL רצועת טניס אלבו</t>
  </si>
  <si>
    <t xml:space="preserve">T91 S-M רצועת טניס אלבו</t>
  </si>
  <si>
    <t xml:space="preserve">Super-Pharm Israel (CEMI internal group)</t>
  </si>
  <si>
    <t xml:space="preserve">3444 0   גרביים+סיליקון</t>
  </si>
  <si>
    <t xml:space="preserve">06 XXL ""ח.גב קלה ""מיקדו</t>
  </si>
  <si>
    <t xml:space="preserve">12 M ח.גב מגנטית+מוטות תמיכה</t>
  </si>
  <si>
    <t xml:space="preserve">12 XL ח.גב מגנטית+מוטות תמיכה</t>
  </si>
  <si>
    <t xml:space="preserve">922S.חבק יד לטניס כרית סיליק</t>
  </si>
  <si>
    <t xml:space="preserve">S 11 אפורUGחגורת בטן</t>
  </si>
  <si>
    <t xml:space="preserve">078C L'חגורת גב+סגירה כפו בז</t>
  </si>
  <si>
    <t xml:space="preserve">11UC S'תתחגורת בטן עממית בז</t>
  </si>
  <si>
    <t xml:space="preserve">S-M 099 חגורת גב שרוכים</t>
  </si>
  <si>
    <t xml:space="preserve">67 כרית שינה חלומי</t>
  </si>
  <si>
    <t xml:space="preserve">95+ L מגן מרפק+רצועה לטניס</t>
  </si>
  <si>
    <t xml:space="preserve">95+ M מגן מרפק+רצועה לטניס</t>
  </si>
  <si>
    <t xml:space="preserve">80 M תתמתלה ליד רצועה</t>
  </si>
  <si>
    <t xml:space="preserve">T43SKI L מגן ברך לסקי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</si>
  <si>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</si>
  <si>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</si>
  <si>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</si>
  <si>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</si>
  <si>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78A XXL מגן למפרק כתף</t>
  </si>
  <si>
    <t xml:space="preserve">T28 S סד לאגודל כפפה</t>
  </si>
  <si>
    <t xml:space="preserve">27 R-M סד ליד ימין</t>
  </si>
  <si>
    <t xml:space="preserve">27R XLסד ליד ימין</t>
  </si>
  <si>
    <t xml:space="preserve">309 S תתמוקפאעקב סיליקון+ קשת</t>
  </si>
  <si>
    <t xml:space="preserve">60XS צוארון ספוגי</t>
  </si>
  <si>
    <t xml:space="preserve">377 רפ.אורטופדית ספורט זוג45</t>
  </si>
  <si>
    <t xml:space="preserve">377  רפ.אורטופדית ספורט זוג46</t>
  </si>
  <si>
    <t xml:space="preserve">T40 רצועת פיקה לברך</t>
  </si>
  <si>
    <t xml:space="preserve">20 - ק.חולים מכבי (CEMI internal group)</t>
  </si>
  <si>
    <t xml:space="preserve">TRANS Crosswalk — ITEM NAME (NetSuite/SALES short codes) &lt;-&gt; CHEMIPAL CODE &lt;-&gt; CHEMIPAL NAME (PPLAY1 long text)</t>
  </si>
  <si>
    <t xml:space="preserve">Source: kirill/reference/TRANS - item name to CHEMIPAL code.xlsx. Used as the PRIMARY match source for all SALES-sourced categories (short NetSuite-style item codes). Column D is a whitespace-normalized helper (fallback match key).</t>
  </si>
  <si>
    <t xml:space="preserve">CHEMIPAL CODE</t>
  </si>
  <si>
    <t xml:space="preserve">CHEMIPAL NAME</t>
  </si>
  <si>
    <t xml:space="preserve">ITEM NAME (normalized)</t>
  </si>
  <si>
    <t xml:space="preserve">4022 רצועת """"פיקה""""+כרית</t>
  </si>
  <si>
    <t xml:space="preserve">07AU L ח.גב """"איטלקית"""" אורירית</t>
  </si>
  <si>
    <t xml:space="preserve">07AU M ח.גב """"איטלקית"""" אורירית</t>
  </si>
  <si>
    <t xml:space="preserve">07AU S ח.גב """"איטלקית"""" אורירית</t>
  </si>
  <si>
    <t xml:space="preserve">07AU XL ח.גב """"איטלקית"""" אורירית</t>
  </si>
  <si>
    <t xml:space="preserve">07AU XXL.ח.גב """"איטלקית"""" אוריר</t>
  </si>
  <si>
    <t xml:space="preserve">10 L """"חגורת גב """"לומבו</t>
  </si>
  <si>
    <t xml:space="preserve">10 M """"חגורת גב """"לומבו</t>
  </si>
  <si>
    <t xml:space="preserve">10 XL """"חגורת גב """"לומבו</t>
  </si>
  <si>
    <t xml:space="preserve">11 L""""חגורת בטן""""אורירית</t>
  </si>
  <si>
    <t xml:space="preserve">11 M""""חגורת בטן""""אורירית</t>
  </si>
  <si>
    <t xml:space="preserve">11 S""""חגורת בטן""""אורירית</t>
  </si>
  <si>
    <t xml:space="preserve">11 XL""""חגורת בטן""""אורירית</t>
  </si>
  <si>
    <t xml:space="preserve">11 XXL""""חגורת בטן""""אורירית</t>
  </si>
  <si>
    <t xml:space="preserve">805AT-B אתלטיק טייפ שחור 20מ""""מ</t>
  </si>
  <si>
    <t xml:space="preserve">805AT-BLאתלטיק טייפ כחול 20מ""""מ</t>
  </si>
  <si>
    <t xml:space="preserve">805AT-Cאתלטיק טייפ בז' 20מ""""מ20</t>
  </si>
  <si>
    <t xml:space="preserve">805AT-W  אתלטיק טייפ לבן 20מ""""מ</t>
  </si>
  <si>
    <t xml:space="preserve">(missing in TRANS source - cell was blank/error)</t>
  </si>
  <si>
    <t xml:space="preserve">312 9 מ""""ס להתאמהX5 מדבקה גדולה</t>
  </si>
  <si>
    <t xml:space="preserve">363-L-R</t>
  </si>
  <si>
    <t xml:space="preserve">38 .חבישת""""הלוקס ולגוס""""לאחר נית</t>
  </si>
  <si>
    <t xml:space="preserve">T28 XL</t>
  </si>
  <si>
    <t xml:space="preserve">T28C XL</t>
  </si>
  <si>
    <t xml:space="preserve">T28C L</t>
  </si>
  <si>
    <t xml:space="preserve">377-35</t>
  </si>
  <si>
    <t xml:space="preserve">381 0</t>
  </si>
  <si>
    <t xml:space="preserve">807B-Bתחבושת נצמדת שחור 20 מ""""מ</t>
  </si>
  <si>
    <t xml:space="preserve">807CB-BLתחבושת נצמדת כחול20מ""""מ</t>
  </si>
  <si>
    <t xml:space="preserve">807CB-Cתחבושת נצמדת בז' 20 מ""""מ</t>
  </si>
  <si>
    <t xml:space="preserve">Catalog — global מק"ט (CHEMIPAL Code) &lt;-&gt; Item Name (PPLAY1 long text), from "חנה_1" export</t>
  </si>
  <si>
    <t xml:space="preserve">Source: kirill/reference/catalog-item-codes-חנה_1.xlsx. Used as a FALLBACK match source (mostly relevant for CEMI/PPLAY1-format long text, rarely matches SALES short codes directly - kept for completeness/verification per instruction).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</si>
  <si>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</si>
  <si>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</si>
  <si>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</si>
  <si>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</si>
  <si>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</si>
  <si>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</si>
  <si>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</si>
  <si>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</si>
  <si>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</si>
  <si>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PINK</t>
  </si>
  <si>
    <t xml:space="preserve">41 XS מ.ברך מוצלב+מוטות</t>
  </si>
  <si>
    <t xml:space="preserve">41 XXL.מ.ברך מוצלב+ספירלות בצד</t>
  </si>
  <si>
    <t xml:space="preserve">41X XS מגן ברך מוצלב+מוט</t>
  </si>
  <si>
    <t xml:space="preserve">41X XXL מגן ברך מוצלב+מוט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</si>
  <si>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</si>
  <si>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</si>
  <si>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</si>
  <si>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</si>
  <si>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M מגן ברך ארוך עם כרית</t>
  </si>
  <si>
    <t xml:space="preserve">44G XL-Lסד ברך לאחר ניתוח</t>
  </si>
  <si>
    <t xml:space="preserve">T43 SKI XXL מגן ברך לסקי</t>
  </si>
  <si>
    <t xml:space="preserve">T433 XL מגן ברך משופר</t>
  </si>
  <si>
    <t xml:space="preserve">T43SKI M מגן ברך לסקי</t>
  </si>
  <si>
    <t xml:space="preserve">T43SKI XLמגן ברך לסקי</t>
  </si>
  <si>
    <t xml:space="preserve">T45X S מגן ברך רגיל</t>
  </si>
  <si>
    <t xml:space="preserve">3445Wתתגרב לבן סיליקון טיפ יום</t>
  </si>
  <si>
    <t xml:space="preserve">396-35-38 גרביים טרמיות</t>
  </si>
  <si>
    <t xml:space="preserve">396-39-42 גרביים טרמיות</t>
  </si>
  <si>
    <t xml:space="preserve">06 S  ""ח.גב קלה ""מיקדו</t>
  </si>
  <si>
    <t xml:space="preserve">06U  XXL ח.בטן מותנית צר</t>
  </si>
  <si>
    <t xml:space="preserve">06U M ח.בטן מותנית צר</t>
  </si>
  <si>
    <t xml:space="preserve">078C XXL 'חג.גב+סגירה כפו בז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</si>
  <si>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</si>
  <si>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</si>
  <si>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</si>
  <si>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XL 'תתחגורת בטן עממ.בז</t>
  </si>
  <si>
    <t xml:space="preserve">12 L ח.גב מגנטית+מוטות תמיכה</t>
  </si>
  <si>
    <t xml:space="preserve">12 S ח.גב מגנטית+מוטות תמיכה</t>
  </si>
  <si>
    <t xml:space="preserve">13 S חגורה לשבר טבור</t>
  </si>
  <si>
    <t xml:space="preserve">15M XL חגורת צלעות לגבר</t>
  </si>
  <si>
    <t xml:space="preserve">15W XXL חגורת צלעות לאשה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</si>
  <si>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</si>
  <si>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</si>
  <si>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</si>
  <si>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776 L  ח.גב גבוהה</t>
  </si>
  <si>
    <t xml:space="preserve">776 XL ח.גב גבוהה</t>
  </si>
  <si>
    <t xml:space="preserve">FCתתסבון אנטי ספטי לכף הרגל350</t>
  </si>
  <si>
    <t xml:space="preserve">STRAP4U DISPLAY 239D</t>
  </si>
  <si>
    <t xml:space="preserve">74  SM מיצב כתפיים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</si>
  <si>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</si>
  <si>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</si>
  <si>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</si>
  <si>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S מגן למפרק כתף</t>
  </si>
  <si>
    <t xml:space="preserve">78A XL מגן למפרק כתף</t>
  </si>
  <si>
    <t xml:space="preserve">310Mמדרס 3/4לכאבי דורבן וספורט</t>
  </si>
  <si>
    <t xml:space="preserve">310Sמדרס 3/4לכאבי דורבן וספורט</t>
  </si>
  <si>
    <t xml:space="preserve">55 S מתלה אשכים לספורטאים</t>
  </si>
  <si>
    <t xml:space="preserve">55 XXL מתלה אשכים לספורטאים</t>
  </si>
  <si>
    <t xml:space="preserve">59D XXLחגורת שבר דו צדדי</t>
  </si>
  <si>
    <t xml:space="preserve">604L מסכה ארקי</t>
  </si>
  <si>
    <t xml:space="preserve">604XL מסכה ארקי</t>
  </si>
  <si>
    <t xml:space="preserve">655L ""מסכה ""גדי</t>
  </si>
  <si>
    <t xml:space="preserve">911 חבק לטניס אלבו</t>
  </si>
  <si>
    <t xml:space="preserve">95+ XL מגן מרפק+רצועה לטניס</t>
  </si>
  <si>
    <t xml:space="preserve">95G XXLמגן מרפק אפור</t>
  </si>
  <si>
    <t xml:space="preserve">SC95 XXL מגן מרפק</t>
  </si>
  <si>
    <t xml:space="preserve">T95 M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</si>
  <si>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</si>
  <si>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</si>
  <si>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</si>
  <si>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</si>
  <si>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XL  תתמתלה ליד</t>
  </si>
  <si>
    <t xml:space="preserve">82 0 מתלה יד מספוג</t>
  </si>
  <si>
    <t xml:space="preserve">306  L זוג עקבים סיליקון</t>
  </si>
  <si>
    <t xml:space="preserve">309 L תתמוקפאעקב סיליקון+ קשת</t>
  </si>
  <si>
    <t xml:space="preserve">309 M תתעקב סיליקון+ קשת</t>
  </si>
  <si>
    <t xml:space="preserve">PD350-תתמשופית ניקל קדמיום</t>
  </si>
  <si>
    <t xml:space="preserve">21 XXL מגן יד</t>
  </si>
  <si>
    <t xml:space="preserve">24 M(תתחבקון ליד )ללא צמדן</t>
  </si>
  <si>
    <t xml:space="preserve">267LC  XXL'סד יד שמאל בז</t>
  </si>
  <si>
    <t xml:space="preserve">267RC XXL 'סד יד ימין בז</t>
  </si>
  <si>
    <t xml:space="preserve">278 L-XL סד יד ואגודל</t>
  </si>
  <si>
    <t xml:space="preserve">278 S-M סד יד ואגודל</t>
  </si>
  <si>
    <t xml:space="preserve">27L S סד ליד שמאל</t>
  </si>
  <si>
    <t xml:space="preserve">27R L סד ליד ימין</t>
  </si>
  <si>
    <t xml:space="preserve">28 XXL סד לאגודל לאחר שבר</t>
  </si>
  <si>
    <t xml:space="preserve">28A S-M  סד לאגודל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</si>
  <si>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</si>
  <si>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</si>
  <si>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</si>
  <si>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</si>
  <si>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</si>
  <si>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</si>
  <si>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</si>
  <si>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</si>
  <si>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</si>
  <si>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</si>
  <si>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</si>
  <si>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</si>
  <si>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XXLסד לאגודל צד ימין</t>
  </si>
  <si>
    <t xml:space="preserve">T28A XS סד לאגודל</t>
  </si>
  <si>
    <t xml:space="preserve">T28C S סד לאגודל כפפה</t>
  </si>
  <si>
    <t xml:space="preserve">1314-    62 L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</si>
  <si>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</si>
  <si>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</si>
  <si>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</si>
  <si>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</si>
  <si>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S צוארון פלסטי מתכוון</t>
  </si>
  <si>
    <t xml:space="preserve">FC313- תתקרם ריכוך</t>
  </si>
  <si>
    <t xml:space="preserve">FC315-תתג'ל צינון</t>
  </si>
  <si>
    <t xml:space="preserve">32 L  סד קרסול+מוטות אלומיניום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</si>
  <si>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</si>
  <si>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</si>
  <si>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</si>
  <si>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</si>
  <si>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332CXXLמיצב קרסול עם שרוכים בז</t>
  </si>
  <si>
    <t xml:space="preserve">T32 S סד קרסול+מוטות אלומיניום</t>
  </si>
  <si>
    <t xml:space="preserve">T35 Sמגן קרסול+ צמדן</t>
  </si>
  <si>
    <t xml:space="preserve">301JM רפידת ג'ל כחול40-45</t>
  </si>
  <si>
    <t xml:space="preserve">38-40 רפידת ספורט 376 מידה</t>
  </si>
  <si>
    <t xml:space="preserve">SP372 רפידה אנטי ריח ספורט</t>
  </si>
  <si>
    <t xml:space="preserve">T49 M מגן ירך</t>
  </si>
  <si>
    <t xml:space="preserve">T49 XS מגן ירך</t>
  </si>
  <si>
    <t xml:space="preserve">B10 - תחבושת אלסטית 10 ס""מ</t>
  </si>
  <si>
    <t xml:space="preserve">B10 - תחבושת אלסטית 5ס""מ</t>
  </si>
  <si>
    <t xml:space="preserve">B75 תחבושת אלסטית 7.5ס""מ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</si>
</sst>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0"/>
    <col collapsed="false" customWidth="true" hidden="false" outlineLevel="0" max="8" min="3" style="1" width="14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53.7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</row>
    <row r="5" customFormat="false" ht="15" hidden="false" customHeight="false" outlineLevel="0" collapsed="false">
      <c r="A5" s="6" t="s">
        <v>3</v>
      </c>
    </row>
    <row r="6" customFormat="false" ht="15" hidden="false" customHeight="false" outlineLevel="0" collapsed="false">
      <c r="A6" s="7" t="s">
        <v>4</v>
      </c>
      <c r="B6" s="7" t="s">
        <v>5</v>
      </c>
    </row>
    <row r="7" customFormat="false" ht="23.85" hidden="false" customHeight="false" outlineLevel="0" collapsed="false">
      <c r="A7" s="8" t="s">
        <v>6</v>
      </c>
      <c r="B7" s="9" t="s">
        <v>7</v>
      </c>
    </row>
    <row r="8" customFormat="false" ht="23.85" hidden="false" customHeight="false" outlineLevel="0" collapsed="false">
      <c r="A8" s="8" t="s">
        <v>8</v>
      </c>
      <c r="B8" s="9" t="s">
        <v>9</v>
      </c>
    </row>
    <row r="9" customFormat="false" ht="23.85" hidden="false" customHeight="false" outlineLevel="0" collapsed="false">
      <c r="A9" s="8" t="s">
        <v>10</v>
      </c>
      <c r="B9" s="9" t="s">
        <v>11</v>
      </c>
    </row>
    <row r="10" customFormat="false" ht="23.85" hidden="false" customHeight="false" outlineLevel="0" collapsed="false">
      <c r="A10" s="8" t="s">
        <v>12</v>
      </c>
      <c r="B10" s="9" t="s">
        <v>13</v>
      </c>
    </row>
    <row r="11" customFormat="false" ht="23.85" hidden="false" customHeight="false" outlineLevel="0" collapsed="false">
      <c r="A11" s="8" t="s">
        <v>14</v>
      </c>
      <c r="B11" s="9" t="s">
        <v>15</v>
      </c>
    </row>
    <row r="12" customFormat="false" ht="23.85" hidden="false" customHeight="false" outlineLevel="0" collapsed="false">
      <c r="A12" s="8" t="s">
        <v>16</v>
      </c>
      <c r="B12" s="9" t="s">
        <v>17</v>
      </c>
    </row>
    <row r="13" customFormat="false" ht="15" hidden="false" customHeight="false" outlineLevel="0" collapsed="false">
      <c r="A13" s="8" t="s">
        <v>18</v>
      </c>
      <c r="B13" s="9" t="s">
        <v>19</v>
      </c>
    </row>
    <row r="15" customFormat="false" ht="15" hidden="false" customHeight="false" outlineLevel="0" collapsed="false">
      <c r="A15" s="6" t="s">
        <v>20</v>
      </c>
    </row>
    <row r="16" customFormat="false" ht="26.85" hidden="false" customHeight="false" outlineLevel="0" collapsed="false">
      <c r="A16" s="10" t="s">
        <v>4</v>
      </c>
      <c r="B16" s="10" t="s">
        <v>21</v>
      </c>
      <c r="C16" s="10" t="s">
        <v>22</v>
      </c>
      <c r="D16" s="10" t="s">
        <v>23</v>
      </c>
      <c r="E16" s="10" t="s">
        <v>24</v>
      </c>
      <c r="F16" s="10" t="s">
        <v>25</v>
      </c>
      <c r="G16" s="10" t="s">
        <v>26</v>
      </c>
      <c r="H16" s="10" t="s">
        <v>27</v>
      </c>
    </row>
    <row r="17" customFormat="false" ht="15" hidden="false" customHeight="false" outlineLevel="0" collapsed="false">
      <c r="A17" s="11" t="s">
        <v>6</v>
      </c>
      <c r="B17" s="11" t="n">
        <v>6115</v>
      </c>
      <c r="C17" s="12" t="n">
        <v>502614</v>
      </c>
      <c r="D17" s="12" t="n">
        <v>18621847.97</v>
      </c>
      <c r="E17" s="12" t="n">
        <v>447422</v>
      </c>
      <c r="F17" s="12" t="n">
        <v>18092426.73</v>
      </c>
      <c r="G17" s="11" t="n">
        <v>1669</v>
      </c>
      <c r="H17" s="11" t="n">
        <v>883</v>
      </c>
    </row>
    <row r="18" customFormat="false" ht="15" hidden="false" customHeight="false" outlineLevel="0" collapsed="false">
      <c r="A18" s="11" t="s">
        <v>8</v>
      </c>
      <c r="B18" s="11" t="n">
        <v>21</v>
      </c>
      <c r="C18" s="12" t="n">
        <v>118392</v>
      </c>
      <c r="D18" s="12" t="n">
        <v>1708656.85</v>
      </c>
      <c r="E18" s="12" t="n">
        <v>78891</v>
      </c>
      <c r="F18" s="12" t="n">
        <v>1406948.02</v>
      </c>
      <c r="G18" s="11" t="n">
        <v>1</v>
      </c>
      <c r="H18" s="11" t="n">
        <v>0</v>
      </c>
    </row>
    <row r="19" customFormat="false" ht="15" hidden="false" customHeight="false" outlineLevel="0" collapsed="false">
      <c r="A19" s="11" t="s">
        <v>10</v>
      </c>
      <c r="B19" s="11" t="n">
        <v>33</v>
      </c>
      <c r="C19" s="12" t="n">
        <v>152395</v>
      </c>
      <c r="D19" s="12" t="n">
        <v>3809616.42</v>
      </c>
      <c r="E19" s="12" t="n">
        <v>139120</v>
      </c>
      <c r="F19" s="12" t="n">
        <v>3245877.54</v>
      </c>
      <c r="G19" s="11" t="n">
        <v>1</v>
      </c>
      <c r="H19" s="11" t="n">
        <v>1</v>
      </c>
    </row>
  </sheetData>
  <mergeCells count="1"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6.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64.15" hidden="false" customHeight="true" outlineLevel="0" collapsed="false">
      <c r="A3" s="5" t="s">
        <v>28</v>
      </c>
      <c r="B3" s="5"/>
      <c r="C3" s="5"/>
      <c r="D3" s="5"/>
      <c r="E3" s="5"/>
      <c r="F3" s="5"/>
      <c r="G3" s="5"/>
      <c r="H3" s="5"/>
    </row>
    <row r="4" customFormat="false" ht="15" hidden="false" customHeight="false" outlineLevel="0" collapsed="false">
      <c r="A4" s="14" t="s">
        <v>29</v>
      </c>
      <c r="B4" s="14"/>
      <c r="C4" s="14"/>
      <c r="D4" s="14"/>
      <c r="E4" s="14"/>
      <c r="F4" s="14"/>
      <c r="G4" s="15" t="s">
        <v>30</v>
      </c>
      <c r="H4" s="16" t="n">
        <f aca="false">12/9.5</f>
        <v>1.26315789473684</v>
      </c>
    </row>
    <row r="6" customFormat="false" ht="15" hidden="false" customHeight="false" outlineLevel="0" collapsed="false">
      <c r="A6" s="17" t="s">
        <v>31</v>
      </c>
      <c r="B6" s="17" t="s">
        <v>32</v>
      </c>
      <c r="C6" s="17" t="s">
        <v>33</v>
      </c>
      <c r="D6" s="17" t="s">
        <v>34</v>
      </c>
      <c r="E6" s="17" t="s">
        <v>35</v>
      </c>
      <c r="F6" s="17" t="s">
        <v>36</v>
      </c>
      <c r="G6" s="17" t="s">
        <v>37</v>
      </c>
      <c r="H6" s="17" t="s">
        <v>38</v>
      </c>
    </row>
    <row r="7" customFormat="false" ht="15" hidden="false" customHeight="false" outlineLevel="0" collapsed="false">
      <c r="A7" s="18" t="n">
        <f aca="false">'SALES Raw'!G4464</f>
        <v>4414000</v>
      </c>
      <c r="B7" s="18" t="str">
        <f aca="false">'SALES Raw'!B4464</f>
        <v>FC342 0</v>
      </c>
      <c r="C7" s="18" t="str">
        <f aca="false">'SALES Raw'!H4464</f>
        <v>FC342-נוזל לציפורן חודרנית</v>
      </c>
      <c r="D7" s="19" t="n">
        <f aca="false">'SALES Raw'!C4464</f>
        <v>16341</v>
      </c>
      <c r="E7" s="19" t="n">
        <f aca="false">'SALES Raw'!D4464</f>
        <v>1097384.48</v>
      </c>
      <c r="F7" s="19" t="n">
        <f aca="false">'SALES Raw'!E4464*$H$4</f>
        <v>14886.3157894737</v>
      </c>
      <c r="G7" s="19" t="n">
        <f aca="false">'SALES Raw'!F4464*$H$4</f>
        <v>891741.802105263</v>
      </c>
      <c r="H7" s="18" t="str">
        <f aca="false">'SALES Raw'!A4464</f>
        <v>301 - Amazon</v>
      </c>
    </row>
    <row r="8" customFormat="false" ht="15" hidden="false" customHeight="false" outlineLevel="0" collapsed="false">
      <c r="A8" s="18" t="n">
        <f aca="false">'SALES Raw'!G3371</f>
        <v>4401002</v>
      </c>
      <c r="B8" s="18" t="str">
        <f aca="false">'SALES Raw'!B3371</f>
        <v>PD344 0</v>
      </c>
      <c r="C8" s="18" t="str">
        <f aca="false">'SALES Raw'!H3371</f>
        <v>PD 344-אבן טבעית להסרת עור קשה</v>
      </c>
      <c r="D8" s="19" t="n">
        <f aca="false">'SALES Raw'!C3371</f>
        <v>4400</v>
      </c>
      <c r="E8" s="19" t="n">
        <f aca="false">'SALES Raw'!D3371</f>
        <v>20662.34</v>
      </c>
      <c r="F8" s="19" t="n">
        <f aca="false">'SALES Raw'!E3371*$H$4</f>
        <v>7200</v>
      </c>
      <c r="G8" s="19" t="n">
        <f aca="false">'SALES Raw'!F3371*$H$4</f>
        <v>30682.5347368421</v>
      </c>
      <c r="H8" s="18" t="str">
        <f aca="false">'SALES Raw'!A3371</f>
        <v>205 - Health Care Prod. Gmbh GERMANY</v>
      </c>
    </row>
    <row r="9" customFormat="false" ht="15" hidden="false" customHeight="false" outlineLevel="0" collapsed="false">
      <c r="A9" s="18" t="n">
        <f aca="false">'SALES Raw'!G3655</f>
        <v>4408267</v>
      </c>
      <c r="B9" s="18" t="str">
        <f aca="false">'SALES Raw'!B3655</f>
        <v>ST25 0</v>
      </c>
      <c r="C9" s="18" t="str">
        <f aca="false">'SALES Raw'!H3655</f>
        <v>ST25 חבק שורש לכף היד</v>
      </c>
      <c r="D9" s="19" t="n">
        <f aca="false">'SALES Raw'!C3655</f>
        <v>4800</v>
      </c>
      <c r="E9" s="19" t="n">
        <f aca="false">'SALES Raw'!D3655</f>
        <v>66726.56</v>
      </c>
      <c r="F9" s="19" t="n">
        <f aca="false">'SALES Raw'!E3655*$H$4</f>
        <v>6947.36842105263</v>
      </c>
      <c r="G9" s="19" t="n">
        <f aca="false">'SALES Raw'!F3655*$H$4</f>
        <v>97788.2905263158</v>
      </c>
      <c r="H9" s="18" t="str">
        <f aca="false">'SALES Raw'!A3655</f>
        <v>207 - Salus HUNGARY</v>
      </c>
    </row>
    <row r="10" customFormat="false" ht="15" hidden="false" customHeight="false" outlineLevel="0" collapsed="false">
      <c r="A10" s="18" t="n">
        <f aca="false">'SALES Raw'!G2605</f>
        <v>4413453</v>
      </c>
      <c r="B10" s="18" t="str">
        <f aca="false">'SALES Raw'!B2605</f>
        <v>AC75-S-XL</v>
      </c>
      <c r="C10" s="18" t="str">
        <f aca="false">'SALES Raw'!H2605</f>
        <v>AC75 מישר כתפיים אקטיב</v>
      </c>
      <c r="D10" s="19" t="n">
        <f aca="false">'SALES Raw'!C2605</f>
        <v>489</v>
      </c>
      <c r="E10" s="19" t="n">
        <f aca="false">'SALES Raw'!D2605</f>
        <v>59910.55</v>
      </c>
      <c r="F10" s="19" t="n">
        <f aca="false">'SALES Raw'!E2605*$H$4</f>
        <v>6629.05263157895</v>
      </c>
      <c r="G10" s="19" t="n">
        <f aca="false">'SALES Raw'!F2605*$H$4</f>
        <v>899281.781052623</v>
      </c>
      <c r="H10" s="18" t="str">
        <f aca="false">'SALES Raw'!A2605</f>
        <v>114 - IL online</v>
      </c>
    </row>
    <row r="11" customFormat="false" ht="15" hidden="false" customHeight="false" outlineLevel="0" collapsed="false">
      <c r="A11" s="18" t="n">
        <f aca="false">'CEMIUP0.9 Raw'!B1357</f>
        <v>4408099</v>
      </c>
      <c r="B11" s="18" t="str">
        <f aca="false">'CEMIUP0.9 Raw'!C1357</f>
        <v>T25C-חבק יד אגודלי</v>
      </c>
      <c r="C11" s="18" t="str">
        <f aca="false">'CEMIUP0.9 Raw'!C1357</f>
        <v>T25C-חבק יד אגודלי</v>
      </c>
      <c r="D11" s="19" t="n">
        <f aca="false">'CEMIUP0.9 Raw'!D1357</f>
        <v>5414</v>
      </c>
      <c r="E11" s="19" t="n">
        <f aca="false">'CEMIUP0.9 Raw'!E1357</f>
        <v>181139.413</v>
      </c>
      <c r="F11" s="19" t="n">
        <f aca="false">'CEMIUP0.9 Raw'!F1357</f>
        <v>5162.52631578947</v>
      </c>
      <c r="G11" s="19" t="n">
        <f aca="false">'CEMIUP0.9 Raw'!G1357</f>
        <v>175272.666947368</v>
      </c>
      <c r="H11" s="18" t="str">
        <f aca="false">'CEMIUP0.9 Raw'!A1357</f>
        <v>Super-Pharm Israel (CEMI internal group)</v>
      </c>
    </row>
    <row r="12" customFormat="false" ht="15" hidden="false" customHeight="false" outlineLevel="0" collapsed="false">
      <c r="A12" s="18" t="n">
        <f aca="false">'CEMIUP0.9 Raw'!B1636</f>
        <v>4415158</v>
      </c>
      <c r="B12" s="18" t="str">
        <f aca="false">'CEMIUP0.9 Raw'!C1636</f>
        <v>266 סד ליד דו צדדי</v>
      </c>
      <c r="C12" s="18" t="str">
        <f aca="false">'CEMIUP0.9 Raw'!C1636</f>
        <v>266 סד ליד דו צדדי</v>
      </c>
      <c r="D12" s="19" t="n">
        <f aca="false">'CEMIUP0.9 Raw'!D1636</f>
        <v>4521</v>
      </c>
      <c r="E12" s="19" t="n">
        <f aca="false">'CEMIUP0.9 Raw'!E1636</f>
        <v>277316.312</v>
      </c>
      <c r="F12" s="19" t="n">
        <f aca="false">'CEMIUP0.9 Raw'!F1636</f>
        <v>4587.78947368421</v>
      </c>
      <c r="G12" s="19" t="n">
        <f aca="false">'CEMIUP0.9 Raw'!G1636</f>
        <v>282534.654315789</v>
      </c>
      <c r="H12" s="18" t="str">
        <f aca="false">'CEMIUP0.9 Raw'!A1636</f>
        <v>Super-Pharm Israel (CEMI internal group)</v>
      </c>
    </row>
    <row r="13" customFormat="false" ht="15" hidden="false" customHeight="false" outlineLevel="0" collapsed="false">
      <c r="A13" s="18" t="str">
        <f aca="false">'SALES Raw'!G2488</f>
        <v/>
      </c>
      <c r="B13" s="18" t="str">
        <f aca="false">'SALES Raw'!B2488</f>
        <v>67 0</v>
      </c>
      <c r="C13" s="18" t="str">
        <f aca="false">'SALES Raw'!H2488</f>
        <v>67 0</v>
      </c>
      <c r="D13" s="19" t="n">
        <f aca="false">'SALES Raw'!C2488</f>
        <v>236</v>
      </c>
      <c r="E13" s="19" t="n">
        <f aca="false">'SALES Raw'!D2488</f>
        <v>60269.1</v>
      </c>
      <c r="F13" s="19" t="n">
        <f aca="false">'SALES Raw'!E2488*$H$4</f>
        <v>4403.36842105263</v>
      </c>
      <c r="G13" s="19" t="n">
        <f aca="false">'SALES Raw'!F2488*$H$4</f>
        <v>1195024.58526316</v>
      </c>
      <c r="H13" s="18" t="str">
        <f aca="false">'SALES Raw'!A2488</f>
        <v>114 - IL online</v>
      </c>
    </row>
    <row r="14" customFormat="false" ht="15" hidden="false" customHeight="false" outlineLevel="0" collapsed="false">
      <c r="A14" s="18" t="str">
        <f aca="false">'SALES Raw'!G2617</f>
        <v/>
      </c>
      <c r="B14" s="18" t="str">
        <f aca="false">'SALES Raw'!B2617</f>
        <v>M95</v>
      </c>
      <c r="C14" s="18" t="str">
        <f aca="false">'SALES Raw'!H2617</f>
        <v>M95</v>
      </c>
      <c r="D14" s="19" t="n">
        <f aca="false">'SALES Raw'!C2617</f>
        <v>4978</v>
      </c>
      <c r="E14" s="19" t="n">
        <f aca="false">'SALES Raw'!D2617</f>
        <v>83925.83</v>
      </c>
      <c r="F14" s="19" t="n">
        <f aca="false">'SALES Raw'!E2617*$H$4</f>
        <v>4221.47368421053</v>
      </c>
      <c r="G14" s="19" t="n">
        <f aca="false">'SALES Raw'!F2617*$H$4</f>
        <v>64715.0652631579</v>
      </c>
      <c r="H14" s="18" t="str">
        <f aca="false">'SALES Raw'!A2617</f>
        <v>114 - IL online</v>
      </c>
    </row>
    <row r="15" customFormat="false" ht="15" hidden="false" customHeight="false" outlineLevel="0" collapsed="false">
      <c r="A15" s="18" t="n">
        <f aca="false">'CEMIUP0.9 Raw'!B1356</f>
        <v>4408098</v>
      </c>
      <c r="B15" s="18" t="str">
        <f aca="false">'CEMIUP0.9 Raw'!C1356</f>
        <v>T25-חבק יד אגודלי</v>
      </c>
      <c r="C15" s="18" t="str">
        <f aca="false">'CEMIUP0.9 Raw'!C1356</f>
        <v>T25-חבק יד אגודלי</v>
      </c>
      <c r="D15" s="19" t="n">
        <f aca="false">'CEMIUP0.9 Raw'!D1356</f>
        <v>4392</v>
      </c>
      <c r="E15" s="19" t="n">
        <f aca="false">'CEMIUP0.9 Raw'!E1356</f>
        <v>146948.074</v>
      </c>
      <c r="F15" s="19" t="n">
        <f aca="false">'CEMIUP0.9 Raw'!F1356</f>
        <v>4188.63157894737</v>
      </c>
      <c r="G15" s="19" t="n">
        <f aca="false">'CEMIUP0.9 Raw'!G1356</f>
        <v>142267.484210526</v>
      </c>
      <c r="H15" s="18" t="str">
        <f aca="false">'CEMIUP0.9 Raw'!A1356</f>
        <v>Super-Pharm Israel (CEMI internal group)</v>
      </c>
    </row>
    <row r="16" customFormat="false" ht="15" hidden="false" customHeight="false" outlineLevel="0" collapsed="false">
      <c r="A16" s="18" t="str">
        <f aca="false">'SALES Raw'!G3662</f>
        <v/>
      </c>
      <c r="B16" s="18" t="str">
        <f aca="false">'SALES Raw'!B3662</f>
        <v>ST45X 0</v>
      </c>
      <c r="C16" s="18" t="str">
        <f aca="false">'SALES Raw'!H3662</f>
        <v>ST45X 0</v>
      </c>
      <c r="D16" s="19" t="n">
        <f aca="false">'SALES Raw'!C3662</f>
        <v>1550</v>
      </c>
      <c r="E16" s="19" t="n">
        <f aca="false">'SALES Raw'!D3662</f>
        <v>27116.8</v>
      </c>
      <c r="F16" s="19" t="n">
        <f aca="false">'SALES Raw'!E3662*$H$4</f>
        <v>3698.52631578947</v>
      </c>
      <c r="G16" s="19" t="n">
        <f aca="false">'SALES Raw'!F3662*$H$4</f>
        <v>60989.1031578947</v>
      </c>
      <c r="H16" s="18" t="str">
        <f aca="false">'SALES Raw'!A3662</f>
        <v>207 - Salus HUNGARY</v>
      </c>
    </row>
    <row r="17" customFormat="false" ht="15" hidden="false" customHeight="false" outlineLevel="0" collapsed="false">
      <c r="A17" s="18" t="n">
        <f aca="false">'CEMIUP0.9 Raw'!B1438</f>
        <v>4413033</v>
      </c>
      <c r="B17" s="18" t="str">
        <f aca="false">'CEMIUP0.9 Raw'!C1438</f>
        <v>311'מדב.ג'ל למניעת שפשוף 5 יח</v>
      </c>
      <c r="C17" s="18" t="str">
        <f aca="false">'CEMIUP0.9 Raw'!C1438</f>
        <v>311'מדב.ג'ל למניעת שפשוף 5 יח</v>
      </c>
      <c r="D17" s="19" t="n">
        <f aca="false">'CEMIUP0.9 Raw'!D1438</f>
        <v>4057</v>
      </c>
      <c r="E17" s="19" t="n">
        <f aca="false">'CEMIUP0.9 Raw'!E1438</f>
        <v>45672.9</v>
      </c>
      <c r="F17" s="19" t="n">
        <f aca="false">'CEMIUP0.9 Raw'!F1438</f>
        <v>3660.63157894737</v>
      </c>
      <c r="G17" s="19" t="n">
        <f aca="false">'CEMIUP0.9 Raw'!G1438</f>
        <v>44968.6749473684</v>
      </c>
      <c r="H17" s="18" t="str">
        <f aca="false">'CEMIUP0.9 Raw'!A1438</f>
        <v>Super-Pharm Israel (CEMI internal group)</v>
      </c>
    </row>
    <row r="18" customFormat="false" ht="15" hidden="false" customHeight="false" outlineLevel="0" collapsed="false">
      <c r="A18" s="18" t="n">
        <f aca="false">'SALES Raw'!G3368</f>
        <v>4422000</v>
      </c>
      <c r="B18" s="18" t="str">
        <f aca="false">'SALES Raw'!B3368</f>
        <v>801 0</v>
      </c>
      <c r="C18" s="18" t="str">
        <f aca="false">'SALES Raw'!H3368</f>
        <v>801  תחבושת אלסטית מקררת</v>
      </c>
      <c r="D18" s="19" t="n">
        <f aca="false">'SALES Raw'!C3368</f>
        <v>2200</v>
      </c>
      <c r="E18" s="19" t="n">
        <f aca="false">'SALES Raw'!D3368</f>
        <v>24114.82</v>
      </c>
      <c r="F18" s="19" t="n">
        <f aca="false">'SALES Raw'!E3368*$H$4</f>
        <v>3157.89473684211</v>
      </c>
      <c r="G18" s="19" t="n">
        <f aca="false">'SALES Raw'!F3368*$H$4</f>
        <v>30991.5410526316</v>
      </c>
      <c r="H18" s="18" t="str">
        <f aca="false">'SALES Raw'!A3368</f>
        <v>205 - Health Care Prod. Gmbh GERMANY</v>
      </c>
    </row>
    <row r="19" customFormat="false" ht="15" hidden="false" customHeight="false" outlineLevel="0" collapsed="false">
      <c r="A19" s="18" t="n">
        <f aca="false">'CEMIUP0.9 Raw'!B1477</f>
        <v>4413099</v>
      </c>
      <c r="B19" s="18" t="str">
        <f aca="false">'CEMIUP0.9 Raw'!C1477</f>
        <v>45C M מגן ברך חום</v>
      </c>
      <c r="C19" s="18" t="str">
        <f aca="false">'CEMIUP0.9 Raw'!C1477</f>
        <v>45C M מגן ברך חום</v>
      </c>
      <c r="D19" s="19" t="n">
        <f aca="false">'CEMIUP0.9 Raw'!D1477</f>
        <v>3009</v>
      </c>
      <c r="E19" s="19" t="n">
        <f aca="false">'CEMIUP0.9 Raw'!E1477</f>
        <v>70465.031</v>
      </c>
      <c r="F19" s="19" t="n">
        <f aca="false">'CEMIUP0.9 Raw'!F1477</f>
        <v>3054.31578947368</v>
      </c>
      <c r="G19" s="19" t="n">
        <f aca="false">'CEMIUP0.9 Raw'!G1477</f>
        <v>72334.1949473684</v>
      </c>
      <c r="H19" s="18" t="str">
        <f aca="false">'CEMIUP0.9 Raw'!A1477</f>
        <v>Super-Pharm Israel (CEMI internal group)</v>
      </c>
    </row>
    <row r="20" customFormat="false" ht="15" hidden="false" customHeight="false" outlineLevel="0" collapsed="false">
      <c r="A20" s="18" t="n">
        <f aca="false">'CEMIUP0.9 Raw'!B1452</f>
        <v>4413054</v>
      </c>
      <c r="B20" s="18" t="str">
        <f aca="false">'CEMIUP0.9 Raw'!C1452</f>
        <v>35C M מגן קרסול חום</v>
      </c>
      <c r="C20" s="18" t="str">
        <f aca="false">'CEMIUP0.9 Raw'!C1452</f>
        <v>35C M מגן קרסול חום</v>
      </c>
      <c r="D20" s="19" t="n">
        <f aca="false">'CEMIUP0.9 Raw'!D1452</f>
        <v>3288</v>
      </c>
      <c r="E20" s="19" t="n">
        <f aca="false">'CEMIUP0.9 Raw'!E1452</f>
        <v>76985.454</v>
      </c>
      <c r="F20" s="19" t="n">
        <f aca="false">'CEMIUP0.9 Raw'!F1452</f>
        <v>3022.73684210526</v>
      </c>
      <c r="G20" s="19" t="n">
        <f aca="false">'CEMIUP0.9 Raw'!G1452</f>
        <v>71768.8837894737</v>
      </c>
      <c r="H20" s="18" t="str">
        <f aca="false">'CEMIUP0.9 Raw'!A1452</f>
        <v>Super-Pharm Israel (CEMI internal group)</v>
      </c>
    </row>
    <row r="21" customFormat="false" ht="15" hidden="false" customHeight="false" outlineLevel="0" collapsed="false">
      <c r="A21" s="18" t="n">
        <f aca="false">'CEMIUP0.9 Raw'!B1569</f>
        <v>4413396</v>
      </c>
      <c r="B21" s="18" t="str">
        <f aca="false">'CEMIUP0.9 Raw'!C1569</f>
        <v>45EC L 'מגן ברך ארוך בז</v>
      </c>
      <c r="C21" s="18" t="str">
        <f aca="false">'CEMIUP0.9 Raw'!C1569</f>
        <v>45EC L 'מגן ברך ארוך בז</v>
      </c>
      <c r="D21" s="19" t="n">
        <f aca="false">'CEMIUP0.9 Raw'!D1569</f>
        <v>2670</v>
      </c>
      <c r="E21" s="19" t="n">
        <f aca="false">'CEMIUP0.9 Raw'!E1569</f>
        <v>75465.481</v>
      </c>
      <c r="F21" s="19" t="n">
        <f aca="false">'CEMIUP0.9 Raw'!F1569</f>
        <v>2898.94736842105</v>
      </c>
      <c r="G21" s="19" t="n">
        <f aca="false">'CEMIUP0.9 Raw'!G1569</f>
        <v>82366.3414736842</v>
      </c>
      <c r="H21" s="18" t="str">
        <f aca="false">'CEMIUP0.9 Raw'!A1569</f>
        <v>Super-Pharm Israel (CEMI internal group)</v>
      </c>
    </row>
    <row r="22" customFormat="false" ht="15" hidden="false" customHeight="false" outlineLevel="0" collapsed="false">
      <c r="A22" s="18" t="n">
        <f aca="false">'CEMIUP0.9 Raw'!B1568</f>
        <v>4413395</v>
      </c>
      <c r="B22" s="18" t="str">
        <f aca="false">'CEMIUP0.9 Raw'!C1568</f>
        <v>45EC M 'מגן ברך ארוך בז</v>
      </c>
      <c r="C22" s="18" t="str">
        <f aca="false">'CEMIUP0.9 Raw'!C1568</f>
        <v>45EC M 'מגן ברך ארוך בז</v>
      </c>
      <c r="D22" s="19" t="n">
        <f aca="false">'CEMIUP0.9 Raw'!D1568</f>
        <v>2788</v>
      </c>
      <c r="E22" s="19" t="n">
        <f aca="false">'CEMIUP0.9 Raw'!E1568</f>
        <v>78801.632</v>
      </c>
      <c r="F22" s="19" t="n">
        <f aca="false">'CEMIUP0.9 Raw'!F1568</f>
        <v>2719.57894736842</v>
      </c>
      <c r="G22" s="19" t="n">
        <f aca="false">'CEMIUP0.9 Raw'!G1568</f>
        <v>77485.4463157895</v>
      </c>
      <c r="H22" s="18" t="str">
        <f aca="false">'CEMIUP0.9 Raw'!A1568</f>
        <v>Super-Pharm Israel (CEMI internal group)</v>
      </c>
    </row>
    <row r="23" customFormat="false" ht="15" hidden="false" customHeight="false" outlineLevel="0" collapsed="false">
      <c r="A23" s="18" t="n">
        <f aca="false">'CEMIUP0.9 Raw'!B1476</f>
        <v>4413098</v>
      </c>
      <c r="B23" s="18" t="str">
        <f aca="false">'CEMIUP0.9 Raw'!C1476</f>
        <v>45C L מגן ברך חום</v>
      </c>
      <c r="C23" s="18" t="str">
        <f aca="false">'CEMIUP0.9 Raw'!C1476</f>
        <v>45C L מגן ברך חום</v>
      </c>
      <c r="D23" s="19" t="n">
        <f aca="false">'CEMIUP0.9 Raw'!D1476</f>
        <v>3042</v>
      </c>
      <c r="E23" s="19" t="n">
        <f aca="false">'CEMIUP0.9 Raw'!E1476</f>
        <v>71225.518</v>
      </c>
      <c r="F23" s="19" t="n">
        <f aca="false">'CEMIUP0.9 Raw'!F1476</f>
        <v>2522.52631578947</v>
      </c>
      <c r="G23" s="19" t="n">
        <f aca="false">'CEMIUP0.9 Raw'!G1476</f>
        <v>59585.267368421</v>
      </c>
      <c r="H23" s="18" t="str">
        <f aca="false">'CEMIUP0.9 Raw'!A1476</f>
        <v>Super-Pharm Israel (CEMI internal group)</v>
      </c>
    </row>
    <row r="24" customFormat="false" ht="15" hidden="false" customHeight="false" outlineLevel="0" collapsed="false">
      <c r="A24" s="18" t="n">
        <f aca="false">'CEMIUP0.9 Raw'!B1451</f>
        <v>4413053</v>
      </c>
      <c r="B24" s="18" t="str">
        <f aca="false">'CEMIUP0.9 Raw'!C1451</f>
        <v>35C L מגן קרסול חום</v>
      </c>
      <c r="C24" s="18" t="str">
        <f aca="false">'CEMIUP0.9 Raw'!C1451</f>
        <v>35C L מגן קרסול חום</v>
      </c>
      <c r="D24" s="19" t="n">
        <f aca="false">'CEMIUP0.9 Raw'!D1451</f>
        <v>3121</v>
      </c>
      <c r="E24" s="19" t="n">
        <f aca="false">'CEMIUP0.9 Raw'!E1451</f>
        <v>73074.638</v>
      </c>
      <c r="F24" s="19" t="n">
        <f aca="false">'CEMIUP0.9 Raw'!F1451</f>
        <v>2499.78947368421</v>
      </c>
      <c r="G24" s="19" t="n">
        <f aca="false">'CEMIUP0.9 Raw'!G1451</f>
        <v>59685.8463157895</v>
      </c>
      <c r="H24" s="18" t="str">
        <f aca="false">'CEMIUP0.9 Raw'!A1451</f>
        <v>Super-Pharm Israel (CEMI internal group)</v>
      </c>
    </row>
    <row r="25" customFormat="false" ht="15" hidden="false" customHeight="false" outlineLevel="0" collapsed="false">
      <c r="A25" s="18" t="n">
        <f aca="false">'CEMIUP0.9 Raw'!B1332</f>
        <v>4408053</v>
      </c>
      <c r="B25" s="18" t="str">
        <f aca="false">'CEMIUP0.9 Raw'!C1332</f>
        <v>21 M  חבק יד ארוך</v>
      </c>
      <c r="C25" s="18" t="str">
        <f aca="false">'CEMIUP0.9 Raw'!C1332</f>
        <v>21 M  חבק יד ארוך</v>
      </c>
      <c r="D25" s="19" t="n">
        <f aca="false">'CEMIUP0.9 Raw'!D1332</f>
        <v>3042</v>
      </c>
      <c r="E25" s="19" t="n">
        <f aca="false">'CEMIUP0.9 Raw'!E1332</f>
        <v>90502.048</v>
      </c>
      <c r="F25" s="19" t="n">
        <f aca="false">'CEMIUP0.9 Raw'!F1332</f>
        <v>2480.84210526316</v>
      </c>
      <c r="G25" s="19" t="n">
        <f aca="false">'CEMIUP0.9 Raw'!G1332</f>
        <v>74406.5810526316</v>
      </c>
      <c r="H25" s="18" t="str">
        <f aca="false">'CEMIUP0.9 Raw'!A1332</f>
        <v>Super-Pharm Israel (CEMI internal group)</v>
      </c>
    </row>
    <row r="26" customFormat="false" ht="15" hidden="false" customHeight="false" outlineLevel="0" collapsed="false">
      <c r="A26" s="18" t="n">
        <f aca="false">'CEMIUP0.9 Raw'!B1639</f>
        <v>4415161</v>
      </c>
      <c r="B26" s="18" t="str">
        <f aca="false">'CEMIUP0.9 Raw'!C1639</f>
        <v>238M סד ליישור אצבע</v>
      </c>
      <c r="C26" s="18" t="str">
        <f aca="false">'CEMIUP0.9 Raw'!C1639</f>
        <v>238M סד ליישור אצבע</v>
      </c>
      <c r="D26" s="19" t="n">
        <f aca="false">'CEMIUP0.9 Raw'!D1639</f>
        <v>2021</v>
      </c>
      <c r="E26" s="19" t="n">
        <f aca="false">'CEMIUP0.9 Raw'!E1639</f>
        <v>26237.939</v>
      </c>
      <c r="F26" s="19" t="n">
        <f aca="false">'CEMIUP0.9 Raw'!F1639</f>
        <v>2330.52631578947</v>
      </c>
      <c r="G26" s="19" t="n">
        <f aca="false">'CEMIUP0.9 Raw'!G1639</f>
        <v>31665.0113684211</v>
      </c>
      <c r="H26" s="18" t="str">
        <f aca="false">'CEMIUP0.9 Raw'!A1639</f>
        <v>Super-Pharm Israel (CEMI internal group)</v>
      </c>
    </row>
    <row r="27" customFormat="false" ht="15" hidden="false" customHeight="false" outlineLevel="0" collapsed="false">
      <c r="A27" s="18" t="n">
        <f aca="false">'CEMIUP0.9 Raw'!B1695</f>
        <v>4422024</v>
      </c>
      <c r="B27" s="18" t="str">
        <f aca="false">'CEMIUP0.9 Raw'!C1695</f>
        <v>806CB-BLACK      תחבושת א.נצמ</v>
      </c>
      <c r="C27" s="18" t="str">
        <f aca="false">'CEMIUP0.9 Raw'!C1695</f>
        <v>806CB-BLACK      תחבושת א.נצמ</v>
      </c>
      <c r="D27" s="19" t="n">
        <f aca="false">'CEMIUP0.9 Raw'!D1695</f>
        <v>2756</v>
      </c>
      <c r="E27" s="19" t="n">
        <f aca="false">'CEMIUP0.9 Raw'!E1695</f>
        <v>25484.914</v>
      </c>
      <c r="F27" s="19" t="n">
        <f aca="false">'CEMIUP0.9 Raw'!F1695</f>
        <v>2301.47368421053</v>
      </c>
      <c r="G27" s="19" t="n">
        <f aca="false">'CEMIUP0.9 Raw'!G1695</f>
        <v>21437.9141052632</v>
      </c>
      <c r="H27" s="18" t="str">
        <f aca="false">'CEMIUP0.9 Raw'!A1695</f>
        <v>Super-Pharm Israel (CEMI internal group)</v>
      </c>
    </row>
    <row r="28" customFormat="false" ht="15" hidden="false" customHeight="false" outlineLevel="0" collapsed="false">
      <c r="A28" s="18" t="str">
        <f aca="false">'SALES Raw'!G2614</f>
        <v/>
      </c>
      <c r="B28" s="18" t="str">
        <f aca="false">'SALES Raw'!B2614</f>
        <v>M92</v>
      </c>
      <c r="C28" s="18" t="str">
        <f aca="false">'SALES Raw'!H2614</f>
        <v>M92</v>
      </c>
      <c r="D28" s="19" t="n">
        <f aca="false">'SALES Raw'!C2614</f>
        <v>1349</v>
      </c>
      <c r="E28" s="19" t="n">
        <f aca="false">'SALES Raw'!D2614</f>
        <v>13.45</v>
      </c>
      <c r="F28" s="19" t="n">
        <f aca="false">'SALES Raw'!E2614*$H$4</f>
        <v>2229.47368421053</v>
      </c>
      <c r="G28" s="19" t="n">
        <f aca="false">'SALES Raw'!F2614*$H$4</f>
        <v>-5947.55368421053</v>
      </c>
      <c r="H28" s="18" t="str">
        <f aca="false">'SALES Raw'!A2614</f>
        <v>114 - IL online</v>
      </c>
    </row>
    <row r="29" customFormat="false" ht="15" hidden="false" customHeight="false" outlineLevel="0" collapsed="false">
      <c r="A29" s="18" t="n">
        <f aca="false">'CEMIUP0.9 Raw'!B1412</f>
        <v>4411000</v>
      </c>
      <c r="B29" s="18" t="str">
        <f aca="false">'CEMIUP0.9 Raw'!C1412</f>
        <v>כרית מטטרזלי סיליקון362</v>
      </c>
      <c r="C29" s="18" t="str">
        <f aca="false">'CEMIUP0.9 Raw'!C1412</f>
        <v>כרית מטטרזלי סיליקון362</v>
      </c>
      <c r="D29" s="19" t="n">
        <f aca="false">'CEMIUP0.9 Raw'!D1412</f>
        <v>2204</v>
      </c>
      <c r="E29" s="19" t="n">
        <f aca="false">'CEMIUP0.9 Raw'!E1412</f>
        <v>46518.199</v>
      </c>
      <c r="F29" s="19" t="n">
        <f aca="false">'CEMIUP0.9 Raw'!F1412</f>
        <v>2181.47368421053</v>
      </c>
      <c r="G29" s="19" t="n">
        <f aca="false">'CEMIUP0.9 Raw'!G1412</f>
        <v>47212.2176842105</v>
      </c>
      <c r="H29" s="18" t="str">
        <f aca="false">'CEMIUP0.9 Raw'!A1412</f>
        <v>Super-Pharm Israel (CEMI internal group)</v>
      </c>
    </row>
    <row r="30" customFormat="false" ht="15" hidden="false" customHeight="false" outlineLevel="0" collapsed="false">
      <c r="A30" s="18" t="n">
        <f aca="false">'CEMIUP0.9 Raw'!B1640</f>
        <v>4415162</v>
      </c>
      <c r="B30" s="18" t="str">
        <f aca="false">'CEMIUP0.9 Raw'!C1640</f>
        <v>238L סד ליישור אצבע</v>
      </c>
      <c r="C30" s="18" t="str">
        <f aca="false">'CEMIUP0.9 Raw'!C1640</f>
        <v>238L סד ליישור אצבע</v>
      </c>
      <c r="D30" s="19" t="n">
        <f aca="false">'CEMIUP0.9 Raw'!D1640</f>
        <v>1840</v>
      </c>
      <c r="E30" s="19" t="n">
        <f aca="false">'CEMIUP0.9 Raw'!E1640</f>
        <v>23879.947</v>
      </c>
      <c r="F30" s="19" t="n">
        <f aca="false">'CEMIUP0.9 Raw'!F1640</f>
        <v>2152.42105263158</v>
      </c>
      <c r="G30" s="19" t="n">
        <f aca="false">'CEMIUP0.9 Raw'!G1640</f>
        <v>29256.1743157895</v>
      </c>
      <c r="H30" s="18" t="str">
        <f aca="false">'CEMIUP0.9 Raw'!A1640</f>
        <v>Super-Pharm Israel (CEMI internal group)</v>
      </c>
    </row>
    <row r="31" customFormat="false" ht="15" hidden="false" customHeight="false" outlineLevel="0" collapsed="false">
      <c r="A31" s="18" t="n">
        <f aca="false">'SALES Raw'!G3352</f>
        <v>4421000</v>
      </c>
      <c r="B31" s="18" t="str">
        <f aca="false">'SALES Raw'!B3352</f>
        <v>3655 0</v>
      </c>
      <c r="C31" s="18" t="str">
        <f aca="false">'SALES Raw'!H3352</f>
        <v>3655 שרוול מסיליקון לאצבע</v>
      </c>
      <c r="D31" s="19" t="n">
        <f aca="false">'SALES Raw'!C3352</f>
        <v>1800</v>
      </c>
      <c r="E31" s="19" t="n">
        <f aca="false">'SALES Raw'!D3352</f>
        <v>16729.1</v>
      </c>
      <c r="F31" s="19" t="n">
        <f aca="false">'SALES Raw'!E3352*$H$4</f>
        <v>2147.36842105263</v>
      </c>
      <c r="G31" s="19" t="n">
        <f aca="false">'SALES Raw'!F3352*$H$4</f>
        <v>18178.7242105263</v>
      </c>
      <c r="H31" s="18" t="str">
        <f aca="false">'SALES Raw'!A3352</f>
        <v>205 - Health Care Prod. Gmbh GERMANY</v>
      </c>
    </row>
    <row r="32" customFormat="false" ht="15" hidden="false" customHeight="false" outlineLevel="0" collapsed="false">
      <c r="A32" s="18" t="n">
        <f aca="false">'CEMIUP0.9 Raw'!B1570</f>
        <v>4413397</v>
      </c>
      <c r="B32" s="18" t="str">
        <f aca="false">'CEMIUP0.9 Raw'!C1570</f>
        <v>45EC XL'מגן ברך ארוך בז</v>
      </c>
      <c r="C32" s="18" t="str">
        <f aca="false">'CEMIUP0.9 Raw'!C1570</f>
        <v>45EC XL'מגן ברך ארוך בז</v>
      </c>
      <c r="D32" s="19" t="n">
        <f aca="false">'CEMIUP0.9 Raw'!D1570</f>
        <v>2302</v>
      </c>
      <c r="E32" s="19" t="n">
        <f aca="false">'CEMIUP0.9 Raw'!E1570</f>
        <v>65045.981</v>
      </c>
      <c r="F32" s="19" t="n">
        <f aca="false">'CEMIUP0.9 Raw'!F1570</f>
        <v>2129.68421052632</v>
      </c>
      <c r="G32" s="19" t="n">
        <f aca="false">'CEMIUP0.9 Raw'!G1570</f>
        <v>60654.1629473684</v>
      </c>
      <c r="H32" s="18" t="str">
        <f aca="false">'CEMIUP0.9 Raw'!A1570</f>
        <v>Super-Pharm Israel (CEMI internal group)</v>
      </c>
    </row>
    <row r="33" customFormat="false" ht="15" hidden="false" customHeight="false" outlineLevel="0" collapsed="false">
      <c r="A33" s="18" t="n">
        <f aca="false">'CEMIUP0.9 Raw'!B1478</f>
        <v>4413100</v>
      </c>
      <c r="B33" s="18" t="str">
        <f aca="false">'CEMIUP0.9 Raw'!C1478</f>
        <v>45C XL מגן ברך חום</v>
      </c>
      <c r="C33" s="18" t="str">
        <f aca="false">'CEMIUP0.9 Raw'!C1478</f>
        <v>45C XL מגן ברך חום</v>
      </c>
      <c r="D33" s="19" t="n">
        <f aca="false">'CEMIUP0.9 Raw'!D1478</f>
        <v>2229</v>
      </c>
      <c r="E33" s="19" t="n">
        <f aca="false">'CEMIUP0.9 Raw'!E1478</f>
        <v>52200.421</v>
      </c>
      <c r="F33" s="19" t="n">
        <f aca="false">'CEMIUP0.9 Raw'!F1478</f>
        <v>2081.68421052632</v>
      </c>
      <c r="G33" s="19" t="n">
        <f aca="false">'CEMIUP0.9 Raw'!G1478</f>
        <v>49398.2867368421</v>
      </c>
      <c r="H33" s="18" t="str">
        <f aca="false">'CEMIUP0.9 Raw'!A1478</f>
        <v>Super-Pharm Israel (CEMI internal group)</v>
      </c>
    </row>
    <row r="34" customFormat="false" ht="15" hidden="false" customHeight="false" outlineLevel="0" collapsed="false">
      <c r="A34" s="18" t="str">
        <f aca="false">'SALES Raw'!G3089</f>
        <v/>
      </c>
      <c r="B34" s="18" t="str">
        <f aca="false">'SALES Raw'!B3089</f>
        <v>49PS L</v>
      </c>
      <c r="C34" s="18" t="str">
        <f aca="false">'SALES Raw'!H3089</f>
        <v>49PS L</v>
      </c>
      <c r="D34" s="19" t="n">
        <f aca="false">'SALES Raw'!C3089</f>
        <v>961</v>
      </c>
      <c r="E34" s="19" t="n">
        <f aca="false">'SALES Raw'!D3089</f>
        <v>56565.47</v>
      </c>
      <c r="F34" s="19" t="n">
        <f aca="false">'SALES Raw'!E3089*$H$4</f>
        <v>2014.73684210526</v>
      </c>
      <c r="G34" s="19" t="n">
        <f aca="false">'SALES Raw'!F3089*$H$4</f>
        <v>112001.570526316</v>
      </c>
      <c r="H34" s="18" t="str">
        <f aca="false">'SALES Raw'!A3089</f>
        <v>203 - Ortho- Partner ag SWITZERLAND</v>
      </c>
    </row>
    <row r="35" customFormat="false" ht="15" hidden="false" customHeight="false" outlineLevel="0" collapsed="false">
      <c r="A35" s="18" t="n">
        <f aca="false">'CEMIUP0.9 Raw'!B1638</f>
        <v>4415160</v>
      </c>
      <c r="B35" s="18" t="str">
        <f aca="false">'CEMIUP0.9 Raw'!C1638</f>
        <v>238S סד ליישור אצבע</v>
      </c>
      <c r="C35" s="18" t="str">
        <f aca="false">'CEMIUP0.9 Raw'!C1638</f>
        <v>238S סד ליישור אצבע</v>
      </c>
      <c r="D35" s="19" t="n">
        <f aca="false">'CEMIUP0.9 Raw'!D1638</f>
        <v>1303</v>
      </c>
      <c r="E35" s="19" t="n">
        <f aca="false">'CEMIUP0.9 Raw'!E1638</f>
        <v>16907.527</v>
      </c>
      <c r="F35" s="19" t="n">
        <f aca="false">'CEMIUP0.9 Raw'!F1638</f>
        <v>1926.31578947368</v>
      </c>
      <c r="G35" s="19" t="n">
        <f aca="false">'CEMIUP0.9 Raw'!G1638</f>
        <v>26272.3705263158</v>
      </c>
      <c r="H35" s="18" t="str">
        <f aca="false">'CEMIUP0.9 Raw'!A1638</f>
        <v>Super-Pharm Israel (CEMI internal group)</v>
      </c>
    </row>
    <row r="36" customFormat="false" ht="15" hidden="false" customHeight="false" outlineLevel="0" collapsed="false">
      <c r="A36" s="18" t="n">
        <f aca="false">'SALES Raw'!G2975</f>
        <v>4422024</v>
      </c>
      <c r="B36" s="18" t="str">
        <f aca="false">'SALES Raw'!B2975</f>
        <v>806CB-B</v>
      </c>
      <c r="C36" s="18" t="str">
        <f aca="false">'SALES Raw'!H2975</f>
        <v>806CB-BLACK      תחבושת א.נצמ</v>
      </c>
      <c r="D36" s="19" t="n">
        <f aca="false">'SALES Raw'!C2975</f>
        <v>2700</v>
      </c>
      <c r="E36" s="19" t="n">
        <f aca="false">'SALES Raw'!D2975</f>
        <v>20880.68</v>
      </c>
      <c r="F36" s="19" t="n">
        <f aca="false">'SALES Raw'!E2975*$H$4</f>
        <v>1894.73684210526</v>
      </c>
      <c r="G36" s="19" t="n">
        <f aca="false">'SALES Raw'!F2975*$H$4</f>
        <v>13156.0673684211</v>
      </c>
      <c r="H36" s="18" t="str">
        <f aca="false">'SALES Raw'!A2975</f>
        <v>202 - Super-Pharm POLAND</v>
      </c>
    </row>
    <row r="37" customFormat="false" ht="15" hidden="false" customHeight="false" outlineLevel="0" collapsed="false">
      <c r="A37" s="18" t="n">
        <f aca="false">'CEMIUP0.9 Raw'!B1330</f>
        <v>4408051</v>
      </c>
      <c r="B37" s="18" t="str">
        <f aca="false">'CEMIUP0.9 Raw'!C1330</f>
        <v>21 S  חבק יד ארוך</v>
      </c>
      <c r="C37" s="18" t="str">
        <f aca="false">'CEMIUP0.9 Raw'!C1330</f>
        <v>21 S  חבק יד ארוך</v>
      </c>
      <c r="D37" s="19" t="n">
        <f aca="false">'CEMIUP0.9 Raw'!D1330</f>
        <v>2255</v>
      </c>
      <c r="E37" s="19" t="n">
        <f aca="false">'CEMIUP0.9 Raw'!E1330</f>
        <v>67097.03</v>
      </c>
      <c r="F37" s="19" t="n">
        <f aca="false">'CEMIUP0.9 Raw'!F1330</f>
        <v>1864.42105263158</v>
      </c>
      <c r="G37" s="19" t="n">
        <f aca="false">'CEMIUP0.9 Raw'!G1330</f>
        <v>55952.4707368421</v>
      </c>
      <c r="H37" s="18" t="str">
        <f aca="false">'CEMIUP0.9 Raw'!A1330</f>
        <v>Super-Pharm Israel (CEMI internal group)</v>
      </c>
    </row>
    <row r="38" customFormat="false" ht="15" hidden="false" customHeight="false" outlineLevel="0" collapsed="false">
      <c r="A38" s="18" t="n">
        <f aca="false">'CEMIUP0.9 Raw'!B1331</f>
        <v>4408052</v>
      </c>
      <c r="B38" s="18" t="str">
        <f aca="false">'CEMIUP0.9 Raw'!C1331</f>
        <v>21 L  חבק יד ארוך</v>
      </c>
      <c r="C38" s="18" t="str">
        <f aca="false">'CEMIUP0.9 Raw'!C1331</f>
        <v>21 L  חבק יד ארוך</v>
      </c>
      <c r="D38" s="19" t="n">
        <f aca="false">'CEMIUP0.9 Raw'!D1331</f>
        <v>2160</v>
      </c>
      <c r="E38" s="19" t="n">
        <f aca="false">'CEMIUP0.9 Raw'!E1331</f>
        <v>64170.197</v>
      </c>
      <c r="F38" s="19" t="n">
        <f aca="false">'CEMIUP0.9 Raw'!F1331</f>
        <v>1817.68421052632</v>
      </c>
      <c r="G38" s="19" t="n">
        <f aca="false">'CEMIUP0.9 Raw'!G1331</f>
        <v>54433.4412631579</v>
      </c>
      <c r="H38" s="18" t="str">
        <f aca="false">'CEMIUP0.9 Raw'!A1331</f>
        <v>Super-Pharm Israel (CEMI internal group)</v>
      </c>
    </row>
    <row r="39" customFormat="false" ht="15" hidden="false" customHeight="false" outlineLevel="0" collapsed="false">
      <c r="A39" s="18" t="n">
        <f aca="false">'CEMIUP0.9 Raw'!B1613</f>
        <v>4414000</v>
      </c>
      <c r="B39" s="18" t="str">
        <f aca="false">'CEMIUP0.9 Raw'!C1613</f>
        <v>FC342-נוזל לציפורן חודרנית</v>
      </c>
      <c r="C39" s="18" t="str">
        <f aca="false">'CEMIUP0.9 Raw'!C1613</f>
        <v>FC342-נוזל לציפורן חודרנית</v>
      </c>
      <c r="D39" s="19" t="n">
        <f aca="false">'CEMIUP0.9 Raw'!D1613</f>
        <v>2132</v>
      </c>
      <c r="E39" s="19" t="n">
        <f aca="false">'CEMIUP0.9 Raw'!E1613</f>
        <v>60614.554</v>
      </c>
      <c r="F39" s="19" t="n">
        <f aca="false">'CEMIUP0.9 Raw'!F1613</f>
        <v>1806.31578947368</v>
      </c>
      <c r="G39" s="19" t="n">
        <f aca="false">'CEMIUP0.9 Raw'!G1613</f>
        <v>51368.5995789474</v>
      </c>
      <c r="H39" s="18" t="str">
        <f aca="false">'CEMIUP0.9 Raw'!A1613</f>
        <v>Super-Pharm Israel (CEMI internal group)</v>
      </c>
    </row>
    <row r="40" customFormat="false" ht="15" hidden="false" customHeight="false" outlineLevel="0" collapsed="false">
      <c r="A40" s="18" t="n">
        <f aca="false">'CEMIUP0.9 Raw'!B1565</f>
        <v>4413370</v>
      </c>
      <c r="B40" s="18" t="str">
        <f aca="false">'CEMIUP0.9 Raw'!C1565</f>
        <v>3674 0 מ.בוניון+מפריד אצבע</v>
      </c>
      <c r="C40" s="18" t="str">
        <f aca="false">'CEMIUP0.9 Raw'!C1565</f>
        <v>3674 0 מ.בוניון+מפריד אצבע</v>
      </c>
      <c r="D40" s="19" t="n">
        <f aca="false">'CEMIUP0.9 Raw'!D1565</f>
        <v>1818</v>
      </c>
      <c r="E40" s="19" t="n">
        <f aca="false">'CEMIUP0.9 Raw'!E1565</f>
        <v>57335.369</v>
      </c>
      <c r="F40" s="19" t="n">
        <f aca="false">'CEMIUP0.9 Raw'!F1565</f>
        <v>1791.15789473684</v>
      </c>
      <c r="G40" s="19" t="n">
        <f aca="false">'CEMIUP0.9 Raw'!G1565</f>
        <v>56338.5789473684</v>
      </c>
      <c r="H40" s="18" t="str">
        <f aca="false">'CEMIUP0.9 Raw'!A1565</f>
        <v>Super-Pharm Israel (CEMI internal group)</v>
      </c>
    </row>
    <row r="41" customFormat="false" ht="15" hidden="false" customHeight="false" outlineLevel="0" collapsed="false">
      <c r="A41" s="18" t="str">
        <f aca="false">'SALES Raw'!G2985</f>
        <v/>
      </c>
      <c r="B41" s="18" t="str">
        <f aca="false">'SALES Raw'!B2985</f>
        <v>808KTP-C</v>
      </c>
      <c r="C41" s="18" t="str">
        <f aca="false">'SALES Raw'!H2985</f>
        <v>808KTP-C</v>
      </c>
      <c r="D41" s="19" t="n">
        <f aca="false">'SALES Raw'!C2985</f>
        <v>1700</v>
      </c>
      <c r="E41" s="19" t="n">
        <f aca="false">'SALES Raw'!D2985</f>
        <v>32023.54</v>
      </c>
      <c r="F41" s="19" t="n">
        <f aca="false">'SALES Raw'!E2985*$H$4</f>
        <v>1768.42105263158</v>
      </c>
      <c r="G41" s="19" t="n">
        <f aca="false">'SALES Raw'!F2985*$H$4</f>
        <v>29027.6084210526</v>
      </c>
      <c r="H41" s="18" t="str">
        <f aca="false">'SALES Raw'!A2985</f>
        <v>202 - Super-Pharm POLAND</v>
      </c>
    </row>
    <row r="42" customFormat="false" ht="15" hidden="false" customHeight="false" outlineLevel="0" collapsed="false">
      <c r="A42" s="18" t="n">
        <f aca="false">'CEMIUP0.9 Raw'!B1450</f>
        <v>4413052</v>
      </c>
      <c r="B42" s="18" t="str">
        <f aca="false">'CEMIUP0.9 Raw'!C1450</f>
        <v>35C S מגן קרסול חום</v>
      </c>
      <c r="C42" s="18" t="str">
        <f aca="false">'CEMIUP0.9 Raw'!C1450</f>
        <v>35C S מגן קרסול חום</v>
      </c>
      <c r="D42" s="19" t="n">
        <f aca="false">'CEMIUP0.9 Raw'!D1450</f>
        <v>2476</v>
      </c>
      <c r="E42" s="19" t="n">
        <f aca="false">'CEMIUP0.9 Raw'!E1450</f>
        <v>57995.119</v>
      </c>
      <c r="F42" s="19" t="n">
        <f aca="false">'CEMIUP0.9 Raw'!F1450</f>
        <v>1722.94736842105</v>
      </c>
      <c r="G42" s="19" t="n">
        <f aca="false">'CEMIUP0.9 Raw'!G1450</f>
        <v>40952.2989473684</v>
      </c>
      <c r="H42" s="18" t="str">
        <f aca="false">'CEMIUP0.9 Raw'!A1450</f>
        <v>Super-Pharm Israel (CEMI internal group)</v>
      </c>
    </row>
    <row r="43" customFormat="false" ht="15" hidden="false" customHeight="false" outlineLevel="0" collapsed="false">
      <c r="A43" s="18" t="n">
        <f aca="false">'CEMIUP0.9 Raw'!B1628</f>
        <v>4415072</v>
      </c>
      <c r="B43" s="18" t="str">
        <f aca="false">'CEMIUP0.9 Raw'!C1628</f>
        <v>T28A S-M סד לאגודל</v>
      </c>
      <c r="C43" s="18" t="str">
        <f aca="false">'CEMIUP0.9 Raw'!C1628</f>
        <v>T28A S-M סד לאגודל</v>
      </c>
      <c r="D43" s="19" t="n">
        <f aca="false">'CEMIUP0.9 Raw'!D1628</f>
        <v>1278</v>
      </c>
      <c r="E43" s="19" t="n">
        <f aca="false">'CEMIUP0.9 Raw'!E1628</f>
        <v>68025.867</v>
      </c>
      <c r="F43" s="19" t="n">
        <f aca="false">'CEMIUP0.9 Raw'!F1628</f>
        <v>1706.52631578947</v>
      </c>
      <c r="G43" s="19" t="n">
        <f aca="false">'CEMIUP0.9 Raw'!G1628</f>
        <v>91399.2505263158</v>
      </c>
      <c r="H43" s="18" t="str">
        <f aca="false">'CEMIUP0.9 Raw'!A1628</f>
        <v>Super-Pharm Israel (CEMI internal group)</v>
      </c>
    </row>
    <row r="44" customFormat="false" ht="15" hidden="false" customHeight="false" outlineLevel="0" collapsed="false">
      <c r="A44" s="18" t="n">
        <f aca="false">'CEMIUP0.9 Raw'!B1277</f>
        <v>4402007</v>
      </c>
      <c r="B44" s="18" t="str">
        <f aca="false">'CEMIUP0.9 Raw'!C1277</f>
        <v>320 בליסטר פלסטר</v>
      </c>
      <c r="C44" s="18" t="str">
        <f aca="false">'CEMIUP0.9 Raw'!C1277</f>
        <v>320 בליסטר פלסטר</v>
      </c>
      <c r="D44" s="19" t="n">
        <f aca="false">'CEMIUP0.9 Raw'!D1277</f>
        <v>1909</v>
      </c>
      <c r="E44" s="19" t="n">
        <f aca="false">'CEMIUP0.9 Raw'!E1277</f>
        <v>30874.389</v>
      </c>
      <c r="F44" s="19" t="n">
        <f aca="false">'CEMIUP0.9 Raw'!F1277</f>
        <v>1682.52631578947</v>
      </c>
      <c r="G44" s="19" t="n">
        <f aca="false">'CEMIUP0.9 Raw'!G1277</f>
        <v>27474.4901052632</v>
      </c>
      <c r="H44" s="18" t="str">
        <f aca="false">'CEMIUP0.9 Raw'!A1277</f>
        <v>Super-Pharm Israel (CEMI internal group)</v>
      </c>
    </row>
    <row r="45" customFormat="false" ht="15" hidden="false" customHeight="false" outlineLevel="0" collapsed="false">
      <c r="A45" s="18" t="str">
        <f aca="false">'SALES Raw'!G2616</f>
        <v/>
      </c>
      <c r="B45" s="18" t="str">
        <f aca="false">'SALES Raw'!B2616</f>
        <v>M94</v>
      </c>
      <c r="C45" s="18" t="str">
        <f aca="false">'SALES Raw'!H2616</f>
        <v>M94</v>
      </c>
      <c r="D45" s="19" t="n">
        <f aca="false">'SALES Raw'!C2616</f>
        <v>1942</v>
      </c>
      <c r="E45" s="19" t="n">
        <f aca="false">'SALES Raw'!D2616</f>
        <v>82126.22</v>
      </c>
      <c r="F45" s="19" t="n">
        <f aca="false">'SALES Raw'!E2616*$H$4</f>
        <v>1678.73684210526</v>
      </c>
      <c r="G45" s="19" t="n">
        <f aca="false">'SALES Raw'!F2616*$H$4</f>
        <v>68626.0168421053</v>
      </c>
      <c r="H45" s="18" t="str">
        <f aca="false">'SALES Raw'!A2616</f>
        <v>114 - IL online</v>
      </c>
    </row>
    <row r="46" customFormat="false" ht="15" hidden="false" customHeight="false" outlineLevel="0" collapsed="false">
      <c r="A46" s="18" t="n">
        <f aca="false">'SALES Raw'!G2976</f>
        <v>4422023</v>
      </c>
      <c r="B46" s="18" t="str">
        <f aca="false">'SALES Raw'!B2976</f>
        <v>806CB-C</v>
      </c>
      <c r="C46" s="18" t="str">
        <f aca="false">'SALES Raw'!H2976</f>
        <v>806CB-BEIGE      תחבושת א.נצמ</v>
      </c>
      <c r="D46" s="19" t="n">
        <f aca="false">'SALES Raw'!C2976</f>
        <v>2200</v>
      </c>
      <c r="E46" s="19" t="n">
        <f aca="false">'SALES Raw'!D2976</f>
        <v>17111.62</v>
      </c>
      <c r="F46" s="19" t="n">
        <f aca="false">'SALES Raw'!E2976*$H$4</f>
        <v>1642.10526315789</v>
      </c>
      <c r="G46" s="19" t="n">
        <f aca="false">'SALES Raw'!F2976*$H$4</f>
        <v>11444.1852631579</v>
      </c>
      <c r="H46" s="18" t="str">
        <f aca="false">'SALES Raw'!A2976</f>
        <v>202 - Super-Pharm POLAND</v>
      </c>
    </row>
    <row r="47" customFormat="false" ht="15" hidden="false" customHeight="false" outlineLevel="0" collapsed="false">
      <c r="A47" s="18" t="str">
        <f aca="false">'SALES Raw'!G2983</f>
        <v/>
      </c>
      <c r="B47" s="18" t="str">
        <f aca="false">'SALES Raw'!B2983</f>
        <v>808KTP-B</v>
      </c>
      <c r="C47" s="18" t="str">
        <f aca="false">'SALES Raw'!H2983</f>
        <v>808KTP-B</v>
      </c>
      <c r="D47" s="19" t="n">
        <f aca="false">'SALES Raw'!C2983</f>
        <v>1800</v>
      </c>
      <c r="E47" s="19" t="n">
        <f aca="false">'SALES Raw'!D2983</f>
        <v>33646.56</v>
      </c>
      <c r="F47" s="19" t="n">
        <f aca="false">'SALES Raw'!E2983*$H$4</f>
        <v>1642.10526315789</v>
      </c>
      <c r="G47" s="19" t="n">
        <f aca="false">'SALES Raw'!F2983*$H$4</f>
        <v>27227.9368421053</v>
      </c>
      <c r="H47" s="18" t="str">
        <f aca="false">'SALES Raw'!A2983</f>
        <v>202 - Super-Pharm POLAND</v>
      </c>
    </row>
    <row r="48" customFormat="false" ht="15" hidden="false" customHeight="false" outlineLevel="0" collapsed="false">
      <c r="A48" s="18" t="str">
        <f aca="false">'SALES Raw'!G2986</f>
        <v/>
      </c>
      <c r="B48" s="18" t="str">
        <f aca="false">'SALES Raw'!B2986</f>
        <v>808KTP-P</v>
      </c>
      <c r="C48" s="18" t="str">
        <f aca="false">'SALES Raw'!H2986</f>
        <v>808KTP-P</v>
      </c>
      <c r="D48" s="19" t="n">
        <f aca="false">'SALES Raw'!C2986</f>
        <v>1600</v>
      </c>
      <c r="E48" s="19" t="n">
        <f aca="false">'SALES Raw'!D2986</f>
        <v>30065.76</v>
      </c>
      <c r="F48" s="19" t="n">
        <f aca="false">'SALES Raw'!E2986*$H$4</f>
        <v>1642.10526315789</v>
      </c>
      <c r="G48" s="19" t="n">
        <f aca="false">'SALES Raw'!F2986*$H$4</f>
        <v>27227.9368421053</v>
      </c>
      <c r="H48" s="18" t="str">
        <f aca="false">'SALES Raw'!A2986</f>
        <v>202 - Super-Pharm POLAND</v>
      </c>
    </row>
    <row r="49" customFormat="false" ht="15" hidden="false" customHeight="false" outlineLevel="0" collapsed="false">
      <c r="A49" s="18" t="str">
        <f aca="false">'SALES Raw'!G2221</f>
        <v/>
      </c>
      <c r="B49" s="18" t="str">
        <f aca="false">'SALES Raw'!B2221</f>
        <v>30 Nights Trial</v>
      </c>
      <c r="C49" s="18" t="str">
        <f aca="false">'SALES Raw'!H2221</f>
        <v>30 Nights Trial</v>
      </c>
      <c r="D49" s="19" t="n">
        <f aca="false">'SALES Raw'!C2221</f>
        <v>0</v>
      </c>
      <c r="E49" s="19" t="n">
        <f aca="false">'SALES Raw'!D2221</f>
        <v>0</v>
      </c>
      <c r="F49" s="19" t="n">
        <f aca="false">'SALES Raw'!E2221*$H$4</f>
        <v>1626.94736842105</v>
      </c>
      <c r="G49" s="19" t="n">
        <f aca="false">'SALES Raw'!F2221*$H$4</f>
        <v>0</v>
      </c>
      <c r="H49" s="18" t="str">
        <f aca="false">'SALES Raw'!A2221</f>
        <v>114 - IL online</v>
      </c>
    </row>
    <row r="50" customFormat="false" ht="15" hidden="false" customHeight="false" outlineLevel="0" collapsed="false">
      <c r="A50" s="18" t="n">
        <f aca="false">'CEMIUP0.9 Raw'!B1596</f>
        <v>4413453</v>
      </c>
      <c r="B50" s="18" t="str">
        <f aca="false">'CEMIUP0.9 Raw'!C1596</f>
        <v>AC75 מישר כתפיים אקטיב</v>
      </c>
      <c r="C50" s="18" t="str">
        <f aca="false">'CEMIUP0.9 Raw'!C1596</f>
        <v>AC75 מישר כתפיים אקטיב</v>
      </c>
      <c r="D50" s="19" t="n">
        <f aca="false">'CEMIUP0.9 Raw'!D1596</f>
        <v>561</v>
      </c>
      <c r="E50" s="19" t="n">
        <f aca="false">'CEMIUP0.9 Raw'!E1596</f>
        <v>31187.429</v>
      </c>
      <c r="F50" s="19" t="n">
        <f aca="false">'CEMIUP0.9 Raw'!F1596</f>
        <v>1620.63157894737</v>
      </c>
      <c r="G50" s="19" t="n">
        <f aca="false">'CEMIUP0.9 Raw'!G1596</f>
        <v>94531.1065263158</v>
      </c>
      <c r="H50" s="18" t="str">
        <f aca="false">'CEMIUP0.9 Raw'!A1596</f>
        <v>Super-Pharm Israel (CEMI internal group)</v>
      </c>
    </row>
    <row r="51" customFormat="false" ht="15" hidden="false" customHeight="false" outlineLevel="0" collapsed="false">
      <c r="A51" s="18" t="n">
        <f aca="false">'CEMIUP0.9 Raw'!B1702</f>
        <v>4422035</v>
      </c>
      <c r="B51" s="18" t="str">
        <f aca="false">'CEMIUP0.9 Raw'!C1702</f>
        <v>FCתרסיס דאודורנט אנטיבק.נעל333</v>
      </c>
      <c r="C51" s="18" t="str">
        <f aca="false">'CEMIUP0.9 Raw'!C1702</f>
        <v>FCתרסיס דאודורנט אנטיבק.נעל333</v>
      </c>
      <c r="D51" s="19" t="n">
        <f aca="false">'CEMIUP0.9 Raw'!D1702</f>
        <v>1663</v>
      </c>
      <c r="E51" s="19" t="n">
        <f aca="false">'CEMIUP0.9 Raw'!E1702</f>
        <v>27822.704</v>
      </c>
      <c r="F51" s="19" t="n">
        <f aca="false">'CEMIUP0.9 Raw'!F1702</f>
        <v>1620.63157894737</v>
      </c>
      <c r="G51" s="19" t="n">
        <f aca="false">'CEMIUP0.9 Raw'!G1702</f>
        <v>25547.8572631579</v>
      </c>
      <c r="H51" s="18" t="str">
        <f aca="false">'CEMIUP0.9 Raw'!A1702</f>
        <v>Super-Pharm Israel (CEMI internal group)</v>
      </c>
    </row>
    <row r="52" customFormat="false" ht="15" hidden="false" customHeight="false" outlineLevel="0" collapsed="false">
      <c r="A52" s="18" t="n">
        <f aca="false">'CEMIUP0.9 Raw'!B1440</f>
        <v>4413041</v>
      </c>
      <c r="B52" s="18" t="str">
        <f aca="false">'CEMIUP0.9 Raw'!C1440</f>
        <v>34  M מגן קרסול עקב סגור</v>
      </c>
      <c r="C52" s="18" t="str">
        <f aca="false">'CEMIUP0.9 Raw'!C1440</f>
        <v>34  M מגן קרסול עקב סגור</v>
      </c>
      <c r="D52" s="19" t="n">
        <f aca="false">'CEMIUP0.9 Raw'!D1440</f>
        <v>1906</v>
      </c>
      <c r="E52" s="19" t="n">
        <f aca="false">'CEMIUP0.9 Raw'!E1440</f>
        <v>65118.508</v>
      </c>
      <c r="F52" s="19" t="n">
        <f aca="false">'CEMIUP0.9 Raw'!F1440</f>
        <v>1618.10526315789</v>
      </c>
      <c r="G52" s="19" t="n">
        <f aca="false">'CEMIUP0.9 Raw'!G1440</f>
        <v>56077.9932631579</v>
      </c>
      <c r="H52" s="18" t="str">
        <f aca="false">'CEMIUP0.9 Raw'!A1440</f>
        <v>Super-Pharm Israel (CEMI internal group)</v>
      </c>
    </row>
    <row r="53" customFormat="false" ht="15" hidden="false" customHeight="false" outlineLevel="0" collapsed="false">
      <c r="A53" s="18" t="n">
        <f aca="false">'CEMIUP0.9 Raw'!B1453</f>
        <v>4413055</v>
      </c>
      <c r="B53" s="18" t="str">
        <f aca="false">'CEMIUP0.9 Raw'!C1453</f>
        <v>35C XL מגן קרסול חום</v>
      </c>
      <c r="C53" s="18" t="str">
        <f aca="false">'CEMIUP0.9 Raw'!C1453</f>
        <v>35C XL מגן קרסול חום</v>
      </c>
      <c r="D53" s="19" t="n">
        <f aca="false">'CEMIUP0.9 Raw'!D1453</f>
        <v>1866</v>
      </c>
      <c r="E53" s="19" t="n">
        <f aca="false">'CEMIUP0.9 Raw'!E1453</f>
        <v>43666.259</v>
      </c>
      <c r="F53" s="19" t="n">
        <f aca="false">'CEMIUP0.9 Raw'!F1453</f>
        <v>1605.47368421053</v>
      </c>
      <c r="G53" s="19" t="n">
        <f aca="false">'CEMIUP0.9 Raw'!G1453</f>
        <v>38153.5604210526</v>
      </c>
      <c r="H53" s="18" t="str">
        <f aca="false">'CEMIUP0.9 Raw'!A1453</f>
        <v>Super-Pharm Israel (CEMI internal group)</v>
      </c>
    </row>
    <row r="54" customFormat="false" ht="15" hidden="false" customHeight="false" outlineLevel="0" collapsed="false">
      <c r="A54" s="18" t="n">
        <f aca="false">'CEMIUP0.9 Raw'!B1475</f>
        <v>4413097</v>
      </c>
      <c r="B54" s="18" t="str">
        <f aca="false">'CEMIUP0.9 Raw'!C1475</f>
        <v>45C S מגן ברך חום</v>
      </c>
      <c r="C54" s="18" t="str">
        <f aca="false">'CEMIUP0.9 Raw'!C1475</f>
        <v>45C S מגן ברך חום</v>
      </c>
      <c r="D54" s="19" t="n">
        <f aca="false">'CEMIUP0.9 Raw'!D1475</f>
        <v>1789</v>
      </c>
      <c r="E54" s="19" t="n">
        <f aca="false">'CEMIUP0.9 Raw'!E1475</f>
        <v>41905.409</v>
      </c>
      <c r="F54" s="19" t="n">
        <f aca="false">'CEMIUP0.9 Raw'!F1475</f>
        <v>1601.68421052632</v>
      </c>
      <c r="G54" s="19" t="n">
        <f aca="false">'CEMIUP0.9 Raw'!G1475</f>
        <v>37964.7018947368</v>
      </c>
      <c r="H54" s="18" t="str">
        <f aca="false">'CEMIUP0.9 Raw'!A1475</f>
        <v>Super-Pharm Israel (CEMI internal group)</v>
      </c>
    </row>
    <row r="55" customFormat="false" ht="15" hidden="false" customHeight="false" outlineLevel="0" collapsed="false">
      <c r="A55" s="18" t="n">
        <f aca="false">'CEMIUP0.9 Raw'!B1442</f>
        <v>4413043</v>
      </c>
      <c r="B55" s="18" t="str">
        <f aca="false">'CEMIUP0.9 Raw'!C1442</f>
        <v>34  L מגן קרסול עקב סגור</v>
      </c>
      <c r="C55" s="18" t="str">
        <f aca="false">'CEMIUP0.9 Raw'!C1442</f>
        <v>34  L מגן קרסול עקב סגור</v>
      </c>
      <c r="D55" s="19" t="n">
        <f aca="false">'CEMIUP0.9 Raw'!D1442</f>
        <v>1793</v>
      </c>
      <c r="E55" s="19" t="n">
        <f aca="false">'CEMIUP0.9 Raw'!E1442</f>
        <v>61227.803</v>
      </c>
      <c r="F55" s="19" t="n">
        <f aca="false">'CEMIUP0.9 Raw'!F1442</f>
        <v>1582.73684210526</v>
      </c>
      <c r="G55" s="19" t="n">
        <f aca="false">'CEMIUP0.9 Raw'!G1442</f>
        <v>54809.3191578947</v>
      </c>
      <c r="H55" s="18" t="str">
        <f aca="false">'CEMIUP0.9 Raw'!A1442</f>
        <v>Super-Pharm Israel (CEMI internal group)</v>
      </c>
    </row>
    <row r="56" customFormat="false" ht="15" hidden="false" customHeight="false" outlineLevel="0" collapsed="false">
      <c r="A56" s="18" t="n">
        <f aca="false">'SALES Raw'!G2978</f>
        <v>4422026</v>
      </c>
      <c r="B56" s="18" t="str">
        <f aca="false">'SALES Raw'!B2978</f>
        <v>806CB-P</v>
      </c>
      <c r="C56" s="18" t="str">
        <f aca="false">'SALES Raw'!H2978</f>
        <v>806CB-PINK       תחבושת א.נצמ</v>
      </c>
      <c r="D56" s="19" t="n">
        <f aca="false">'SALES Raw'!C2978</f>
        <v>1700</v>
      </c>
      <c r="E56" s="19" t="n">
        <f aca="false">'SALES Raw'!D2978</f>
        <v>13176.93</v>
      </c>
      <c r="F56" s="19" t="n">
        <f aca="false">'SALES Raw'!E2978*$H$4</f>
        <v>1515.78947368421</v>
      </c>
      <c r="G56" s="19" t="n">
        <f aca="false">'SALES Raw'!F2978*$H$4</f>
        <v>10558.6105263158</v>
      </c>
      <c r="H56" s="18" t="str">
        <f aca="false">'SALES Raw'!A2978</f>
        <v>202 - Super-Pharm POLAND</v>
      </c>
    </row>
    <row r="57" customFormat="false" ht="15" hidden="false" customHeight="false" outlineLevel="0" collapsed="false">
      <c r="A57" s="18" t="str">
        <f aca="false">'SALES Raw'!G2984</f>
        <v/>
      </c>
      <c r="B57" s="18" t="str">
        <f aca="false">'SALES Raw'!B2984</f>
        <v>808KTP-BL</v>
      </c>
      <c r="C57" s="18" t="str">
        <f aca="false">'SALES Raw'!H2984</f>
        <v>808KTP-BL</v>
      </c>
      <c r="D57" s="19" t="n">
        <f aca="false">'SALES Raw'!C2984</f>
        <v>1450</v>
      </c>
      <c r="E57" s="19" t="n">
        <f aca="false">'SALES Raw'!D2984</f>
        <v>27344.66</v>
      </c>
      <c r="F57" s="19" t="n">
        <f aca="false">'SALES Raw'!E2984*$H$4</f>
        <v>1515.78947368421</v>
      </c>
      <c r="G57" s="19" t="n">
        <f aca="false">'SALES Raw'!F2984*$H$4</f>
        <v>25340.6652631579</v>
      </c>
      <c r="H57" s="18" t="str">
        <f aca="false">'SALES Raw'!A2984</f>
        <v>202 - Super-Pharm POLAND</v>
      </c>
    </row>
    <row r="58" customFormat="false" ht="15" hidden="false" customHeight="false" outlineLevel="0" collapsed="false">
      <c r="A58" s="18" t="n">
        <f aca="false">'CEMIUP0.9 Raw'!B1377</f>
        <v>4408221</v>
      </c>
      <c r="B58" s="18" t="str">
        <f aca="false">'CEMIUP0.9 Raw'!C1377</f>
        <v>078G-L חגורת גב אפורה</v>
      </c>
      <c r="C58" s="18" t="str">
        <f aca="false">'CEMIUP0.9 Raw'!C1377</f>
        <v>078G-L חגורת גב אפורה</v>
      </c>
      <c r="D58" s="19" t="n">
        <f aca="false">'CEMIUP0.9 Raw'!D1377</f>
        <v>1760</v>
      </c>
      <c r="E58" s="19" t="n">
        <f aca="false">'CEMIUP0.9 Raw'!E1377</f>
        <v>147415.359</v>
      </c>
      <c r="F58" s="19" t="n">
        <f aca="false">'CEMIUP0.9 Raw'!F1377</f>
        <v>1490.52631578947</v>
      </c>
      <c r="G58" s="19" t="n">
        <f aca="false">'CEMIUP0.9 Raw'!G1377</f>
        <v>126945.229894737</v>
      </c>
      <c r="H58" s="18" t="str">
        <f aca="false">'CEMIUP0.9 Raw'!A1377</f>
        <v>Super-Pharm Israel (CEMI internal group)</v>
      </c>
    </row>
    <row r="59" customFormat="false" ht="15" hidden="false" customHeight="false" outlineLevel="0" collapsed="false">
      <c r="A59" s="18" t="n">
        <f aca="false">'CEMIUP0.9 Raw'!B1694</f>
        <v>4422023</v>
      </c>
      <c r="B59" s="18" t="str">
        <f aca="false">'CEMIUP0.9 Raw'!C1694</f>
        <v>806CB-BEIGE      תחבושת א.נצמ</v>
      </c>
      <c r="C59" s="18" t="str">
        <f aca="false">'CEMIUP0.9 Raw'!C1694</f>
        <v>806CB-BEIGE      תחבושת א.נצמ</v>
      </c>
      <c r="D59" s="19" t="n">
        <f aca="false">'CEMIUP0.9 Raw'!D1694</f>
        <v>3203</v>
      </c>
      <c r="E59" s="19" t="n">
        <f aca="false">'CEMIUP0.9 Raw'!E1694</f>
        <v>29599.024</v>
      </c>
      <c r="F59" s="19" t="n">
        <f aca="false">'CEMIUP0.9 Raw'!F1694</f>
        <v>1486.73684210526</v>
      </c>
      <c r="G59" s="19" t="n">
        <f aca="false">'CEMIUP0.9 Raw'!G1694</f>
        <v>13812.1907368421</v>
      </c>
      <c r="H59" s="18" t="str">
        <f aca="false">'CEMIUP0.9 Raw'!A1694</f>
        <v>Super-Pharm Israel (CEMI internal group)</v>
      </c>
    </row>
    <row r="60" customFormat="false" ht="15" hidden="false" customHeight="false" outlineLevel="0" collapsed="false">
      <c r="A60" s="18" t="str">
        <f aca="false">'SALES Raw'!G4456</f>
        <v/>
      </c>
      <c r="B60" s="18" t="str">
        <f aca="false">'SALES Raw'!B4456</f>
        <v>EC-59RB M</v>
      </c>
      <c r="C60" s="18" t="str">
        <f aca="false">'SALES Raw'!H4456</f>
        <v>EC-59RB M</v>
      </c>
      <c r="D60" s="19" t="n">
        <f aca="false">'SALES Raw'!C4456</f>
        <v>769</v>
      </c>
      <c r="E60" s="19" t="n">
        <f aca="false">'SALES Raw'!D4456</f>
        <v>135894.77</v>
      </c>
      <c r="F60" s="19" t="n">
        <f aca="false">'SALES Raw'!E4456*$H$4</f>
        <v>1447.57894736842</v>
      </c>
      <c r="G60" s="19" t="n">
        <f aca="false">'SALES Raw'!F4456*$H$4</f>
        <v>232248.997894737</v>
      </c>
      <c r="H60" s="18" t="str">
        <f aca="false">'SALES Raw'!A4456</f>
        <v>301 - Amazon</v>
      </c>
    </row>
    <row r="61" customFormat="false" ht="15" hidden="false" customHeight="false" outlineLevel="0" collapsed="false">
      <c r="A61" s="18" t="n">
        <f aca="false">'CEMIUP0.9 Raw'!B1447</f>
        <v>4413049</v>
      </c>
      <c r="B61" s="18" t="str">
        <f aca="false">'CEMIUP0.9 Raw'!C1447</f>
        <v>35 M מגן קרסול לבן</v>
      </c>
      <c r="C61" s="18" t="str">
        <f aca="false">'CEMIUP0.9 Raw'!C1447</f>
        <v>35 M מגן קרסול לבן</v>
      </c>
      <c r="D61" s="19" t="n">
        <f aca="false">'CEMIUP0.9 Raw'!D1447</f>
        <v>1895</v>
      </c>
      <c r="E61" s="19" t="n">
        <f aca="false">'CEMIUP0.9 Raw'!E1447</f>
        <v>44326.828</v>
      </c>
      <c r="F61" s="19" t="n">
        <f aca="false">'CEMIUP0.9 Raw'!F1447</f>
        <v>1419.78947368421</v>
      </c>
      <c r="G61" s="19" t="n">
        <f aca="false">'CEMIUP0.9 Raw'!G1447</f>
        <v>33628.4273684211</v>
      </c>
      <c r="H61" s="18" t="str">
        <f aca="false">'CEMIUP0.9 Raw'!A1447</f>
        <v>Super-Pharm Israel (CEMI internal group)</v>
      </c>
    </row>
    <row r="62" customFormat="false" ht="15" hidden="false" customHeight="false" outlineLevel="0" collapsed="false">
      <c r="A62" s="18" t="n">
        <f aca="false">'CEMIUP0.9 Raw'!B1446</f>
        <v>4413048</v>
      </c>
      <c r="B62" s="18" t="str">
        <f aca="false">'CEMIUP0.9 Raw'!C1446</f>
        <v>35 L מגן קרסול לבן</v>
      </c>
      <c r="C62" s="18" t="str">
        <f aca="false">'CEMIUP0.9 Raw'!C1446</f>
        <v>35 L מגן קרסול לבן</v>
      </c>
      <c r="D62" s="19" t="n">
        <f aca="false">'CEMIUP0.9 Raw'!D1446</f>
        <v>1656</v>
      </c>
      <c r="E62" s="19" t="n">
        <f aca="false">'CEMIUP0.9 Raw'!E1446</f>
        <v>38731.056</v>
      </c>
      <c r="F62" s="19" t="n">
        <f aca="false">'CEMIUP0.9 Raw'!F1446</f>
        <v>1416</v>
      </c>
      <c r="G62" s="19" t="n">
        <f aca="false">'CEMIUP0.9 Raw'!G1446</f>
        <v>33640.2669473684</v>
      </c>
      <c r="H62" s="18" t="str">
        <f aca="false">'CEMIUP0.9 Raw'!A1446</f>
        <v>Super-Pharm Israel (CEMI internal group)</v>
      </c>
    </row>
    <row r="63" customFormat="false" ht="15" hidden="false" customHeight="false" outlineLevel="0" collapsed="false">
      <c r="A63" s="18" t="n">
        <f aca="false">'CEMIUP0.9 Raw'!B847</f>
        <v>4415158</v>
      </c>
      <c r="B63" s="18" t="str">
        <f aca="false">'CEMIUP0.9 Raw'!C847</f>
        <v>266 סד ליד דו צדדי</v>
      </c>
      <c r="C63" s="18" t="str">
        <f aca="false">'CEMIUP0.9 Raw'!C847</f>
        <v>266 סד ליד דו צדדי</v>
      </c>
      <c r="D63" s="19" t="n">
        <f aca="false">'CEMIUP0.9 Raw'!D847</f>
        <v>1741</v>
      </c>
      <c r="E63" s="19" t="n">
        <f aca="false">'CEMIUP0.9 Raw'!E847</f>
        <v>79215.5</v>
      </c>
      <c r="F63" s="19" t="n">
        <f aca="false">'CEMIUP0.9 Raw'!F847</f>
        <v>1413.47368421053</v>
      </c>
      <c r="G63" s="19" t="n">
        <f aca="false">'CEMIUP0.9 Raw'!G847</f>
        <v>60961.1873684211</v>
      </c>
      <c r="H63" s="18" t="str">
        <f aca="false">'CEMIUP0.9 Raw'!A847</f>
        <v>113 - Kupat Holim Meuhedet</v>
      </c>
    </row>
    <row r="64" customFormat="false" ht="15" hidden="false" customHeight="false" outlineLevel="0" collapsed="false">
      <c r="A64" s="18" t="n">
        <f aca="false">'CEMIUP0.9 Raw'!B567</f>
        <v>4421000</v>
      </c>
      <c r="B64" s="18" t="str">
        <f aca="false">'CEMIUP0.9 Raw'!C567</f>
        <v>3655 שרוול מסיליקון לאצבע</v>
      </c>
      <c r="C64" s="18" t="str">
        <f aca="false">'CEMIUP0.9 Raw'!C567</f>
        <v>3655 שרוול מסיליקון לאצבע</v>
      </c>
      <c r="D64" s="19" t="n">
        <f aca="false">'CEMIUP0.9 Raw'!D567</f>
        <v>1753</v>
      </c>
      <c r="E64" s="19" t="n">
        <f aca="false">'CEMIUP0.9 Raw'!E567</f>
        <v>28400.521</v>
      </c>
      <c r="F64" s="19" t="n">
        <f aca="false">'CEMIUP0.9 Raw'!F567</f>
        <v>1394.52631578947</v>
      </c>
      <c r="G64" s="19" t="n">
        <f aca="false">'CEMIUP0.9 Raw'!G567</f>
        <v>22613.7650526316</v>
      </c>
      <c r="H64" s="18" t="str">
        <f aca="false">'CEMIUP0.9 Raw'!A567</f>
        <v>107 - Pharmacies</v>
      </c>
    </row>
    <row r="65" customFormat="false" ht="15" hidden="false" customHeight="false" outlineLevel="0" collapsed="false">
      <c r="A65" s="18" t="n">
        <f aca="false">'CEMIUP0.9 Raw'!B1470</f>
        <v>4413092</v>
      </c>
      <c r="B65" s="18" t="str">
        <f aca="false">'CEMIUP0.9 Raw'!C1470</f>
        <v>45 L מגן ברך לבן</v>
      </c>
      <c r="C65" s="18" t="str">
        <f aca="false">'CEMIUP0.9 Raw'!C1470</f>
        <v>45 L מגן ברך לבן</v>
      </c>
      <c r="D65" s="19" t="n">
        <f aca="false">'CEMIUP0.9 Raw'!D1470</f>
        <v>1539</v>
      </c>
      <c r="E65" s="19" t="n">
        <f aca="false">'CEMIUP0.9 Raw'!E1470</f>
        <v>36003.695</v>
      </c>
      <c r="F65" s="19" t="n">
        <f aca="false">'CEMIUP0.9 Raw'!F1470</f>
        <v>1320</v>
      </c>
      <c r="G65" s="19" t="n">
        <f aca="false">'CEMIUP0.9 Raw'!G1470</f>
        <v>31306.4905263158</v>
      </c>
      <c r="H65" s="18" t="str">
        <f aca="false">'CEMIUP0.9 Raw'!A1470</f>
        <v>Super-Pharm Israel (CEMI internal group)</v>
      </c>
    </row>
    <row r="66" customFormat="false" ht="15" hidden="false" customHeight="false" outlineLevel="0" collapsed="false">
      <c r="A66" s="18" t="n">
        <f aca="false">'CEMIUP0.9 Raw'!B1471</f>
        <v>4413093</v>
      </c>
      <c r="B66" s="18" t="str">
        <f aca="false">'CEMIUP0.9 Raw'!C1471</f>
        <v>45 M מגן ברך לבן</v>
      </c>
      <c r="C66" s="18" t="str">
        <f aca="false">'CEMIUP0.9 Raw'!C1471</f>
        <v>45 M מגן ברך לבן</v>
      </c>
      <c r="D66" s="19" t="n">
        <f aca="false">'CEMIUP0.9 Raw'!D1471</f>
        <v>1665</v>
      </c>
      <c r="E66" s="19" t="n">
        <f aca="false">'CEMIUP0.9 Raw'!E1471</f>
        <v>38957.1</v>
      </c>
      <c r="F66" s="19" t="n">
        <f aca="false">'CEMIUP0.9 Raw'!F1471</f>
        <v>1297.26315789474</v>
      </c>
      <c r="G66" s="19" t="n">
        <f aca="false">'CEMIUP0.9 Raw'!G1471</f>
        <v>30725.5465263158</v>
      </c>
      <c r="H66" s="18" t="str">
        <f aca="false">'CEMIUP0.9 Raw'!A1471</f>
        <v>Super-Pharm Israel (CEMI internal group)</v>
      </c>
    </row>
    <row r="67" customFormat="false" ht="15" hidden="false" customHeight="false" outlineLevel="0" collapsed="false">
      <c r="A67" s="18" t="n">
        <f aca="false">'CEMIUP0.9 Raw'!B1641</f>
        <v>4415163</v>
      </c>
      <c r="B67" s="18" t="str">
        <f aca="false">'CEMIUP0.9 Raw'!C1641</f>
        <v>238XL סד ליישור אצבע</v>
      </c>
      <c r="C67" s="18" t="str">
        <f aca="false">'CEMIUP0.9 Raw'!C1641</f>
        <v>238XL סד ליישור אצבע</v>
      </c>
      <c r="D67" s="19" t="n">
        <f aca="false">'CEMIUP0.9 Raw'!D1641</f>
        <v>1128</v>
      </c>
      <c r="E67" s="19" t="n">
        <f aca="false">'CEMIUP0.9 Raw'!E1641</f>
        <v>14636.258</v>
      </c>
      <c r="F67" s="19" t="n">
        <f aca="false">'CEMIUP0.9 Raw'!F1641</f>
        <v>1292.21052631579</v>
      </c>
      <c r="G67" s="19" t="n">
        <f aca="false">'CEMIUP0.9 Raw'!G1641</f>
        <v>17589.3612631579</v>
      </c>
      <c r="H67" s="18" t="str">
        <f aca="false">'CEMIUP0.9 Raw'!A1641</f>
        <v>Super-Pharm Israel (CEMI internal group)</v>
      </c>
    </row>
    <row r="68" customFormat="false" ht="15" hidden="false" customHeight="false" outlineLevel="0" collapsed="false">
      <c r="A68" s="18" t="n">
        <f aca="false">'SALES Raw'!G3635</f>
        <v>4408207</v>
      </c>
      <c r="B68" s="18" t="str">
        <f aca="false">'SALES Raw'!B3635</f>
        <v>AC25 0</v>
      </c>
      <c r="C68" s="18" t="str">
        <f aca="false">'SALES Raw'!H3635</f>
        <v>AC-25 חבק לשורש כף היד</v>
      </c>
      <c r="D68" s="19" t="n">
        <f aca="false">'SALES Raw'!C3635</f>
        <v>1090</v>
      </c>
      <c r="E68" s="19" t="n">
        <f aca="false">'SALES Raw'!D3635</f>
        <v>16499.24</v>
      </c>
      <c r="F68" s="19" t="n">
        <f aca="false">'SALES Raw'!E3635*$H$4</f>
        <v>1263.15789473684</v>
      </c>
      <c r="G68" s="19" t="n">
        <f aca="false">'SALES Raw'!F3635*$H$4</f>
        <v>18375.7515789474</v>
      </c>
      <c r="H68" s="18" t="str">
        <f aca="false">'SALES Raw'!A3635</f>
        <v>207 - Salus HUNGARY</v>
      </c>
    </row>
    <row r="69" customFormat="false" ht="15" hidden="false" customHeight="false" outlineLevel="0" collapsed="false">
      <c r="A69" s="18" t="n">
        <f aca="false">'SALES Raw'!G3314</f>
        <v>4408207</v>
      </c>
      <c r="B69" s="18" t="str">
        <f aca="false">'SALES Raw'!B3314</f>
        <v>AC25 0</v>
      </c>
      <c r="C69" s="18" t="str">
        <f aca="false">'SALES Raw'!H3314</f>
        <v>AC-25 חבק לשורש כף היד</v>
      </c>
      <c r="D69" s="19" t="n">
        <f aca="false">'SALES Raw'!C3314</f>
        <v>1080</v>
      </c>
      <c r="E69" s="19" t="n">
        <f aca="false">'SALES Raw'!D3314</f>
        <v>16006.91</v>
      </c>
      <c r="F69" s="19" t="n">
        <f aca="false">'SALES Raw'!E3314*$H$4</f>
        <v>1250.52631578947</v>
      </c>
      <c r="G69" s="19" t="n">
        <f aca="false">'SALES Raw'!F3314*$H$4</f>
        <v>16705.3136842105</v>
      </c>
      <c r="H69" s="18" t="str">
        <f aca="false">'SALES Raw'!A3314</f>
        <v>204 - Sanaflex Anatomic GREECE</v>
      </c>
    </row>
    <row r="70" customFormat="false" ht="15" hidden="false" customHeight="false" outlineLevel="0" collapsed="false">
      <c r="A70" s="18" t="n">
        <f aca="false">'CEMIUP0.9 Raw'!B1698</f>
        <v>4422031</v>
      </c>
      <c r="B70" s="18" t="str">
        <f aca="false">'CEMIUP0.9 Raw'!C1698</f>
        <v>807CB-Cתחבושת נצמדת בז' 20 מ""מ</v>
      </c>
      <c r="C70" s="18" t="str">
        <f aca="false">'CEMIUP0.9 Raw'!C1698</f>
        <v>807CB-Cתחבושת נצמדת בז' 20 מ""מ</v>
      </c>
      <c r="D70" s="19" t="n">
        <f aca="false">'CEMIUP0.9 Raw'!D1698</f>
        <v>1235</v>
      </c>
      <c r="E70" s="19" t="n">
        <f aca="false">'CEMIUP0.9 Raw'!E1698</f>
        <v>11404.302</v>
      </c>
      <c r="F70" s="19" t="n">
        <f aca="false">'CEMIUP0.9 Raw'!F1698</f>
        <v>1248</v>
      </c>
      <c r="G70" s="19" t="n">
        <f aca="false">'CEMIUP0.9 Raw'!G1698</f>
        <v>11575.8896842105</v>
      </c>
      <c r="H70" s="18" t="str">
        <f aca="false">'CEMIUP0.9 Raw'!A1698</f>
        <v>Super-Pharm Israel (CEMI internal group)</v>
      </c>
    </row>
    <row r="71" customFormat="false" ht="15" hidden="false" customHeight="false" outlineLevel="0" collapsed="false">
      <c r="A71" s="18" t="str">
        <f aca="false">'SALES Raw'!G3090</f>
        <v/>
      </c>
      <c r="B71" s="18" t="str">
        <f aca="false">'SALES Raw'!B3090</f>
        <v>49PS M</v>
      </c>
      <c r="C71" s="18" t="str">
        <f aca="false">'SALES Raw'!H3090</f>
        <v>49PS M</v>
      </c>
      <c r="D71" s="19" t="n">
        <f aca="false">'SALES Raw'!C3090</f>
        <v>1201</v>
      </c>
      <c r="E71" s="19" t="n">
        <f aca="false">'SALES Raw'!D3090</f>
        <v>71527.56</v>
      </c>
      <c r="F71" s="19" t="n">
        <f aca="false">'SALES Raw'!E3090*$H$4</f>
        <v>1182.31578947368</v>
      </c>
      <c r="G71" s="19" t="n">
        <f aca="false">'SALES Raw'!F3090*$H$4</f>
        <v>64715.7852631579</v>
      </c>
      <c r="H71" s="18" t="str">
        <f aca="false">'SALES Raw'!A3090</f>
        <v>203 - Ortho- Partner ag SWITZERLAND</v>
      </c>
    </row>
    <row r="72" customFormat="false" ht="15" hidden="false" customHeight="false" outlineLevel="0" collapsed="false">
      <c r="A72" s="18" t="n">
        <f aca="false">'CEMIUP0.9 Raw'!B1599</f>
        <v>4413516</v>
      </c>
      <c r="B72" s="18" t="str">
        <f aca="false">'CEMIUP0.9 Raw'!C1599</f>
        <v>85B L מתלה רשת לזרוע שחור</v>
      </c>
      <c r="C72" s="18" t="str">
        <f aca="false">'CEMIUP0.9 Raw'!C1599</f>
        <v>85B L מתלה רשת לזרוע שחור</v>
      </c>
      <c r="D72" s="19" t="n">
        <f aca="false">'CEMIUP0.9 Raw'!D1599</f>
        <v>935</v>
      </c>
      <c r="E72" s="19" t="n">
        <f aca="false">'CEMIUP0.9 Raw'!E1599</f>
        <v>41681.822</v>
      </c>
      <c r="F72" s="19" t="n">
        <f aca="false">'CEMIUP0.9 Raw'!F1599</f>
        <v>1169.68421052632</v>
      </c>
      <c r="G72" s="19" t="n">
        <f aca="false">'CEMIUP0.9 Raw'!G1599</f>
        <v>52122.1945263158</v>
      </c>
      <c r="H72" s="18" t="str">
        <f aca="false">'CEMIUP0.9 Raw'!A1599</f>
        <v>Super-Pharm Israel (CEMI internal group)</v>
      </c>
    </row>
    <row r="73" customFormat="false" ht="15" hidden="false" customHeight="false" outlineLevel="0" collapsed="false">
      <c r="A73" s="18" t="n">
        <f aca="false">'SALES Raw'!G3779</f>
        <v>4408203</v>
      </c>
      <c r="B73" s="18" t="str">
        <f aca="false">'SALES Raw'!B3779</f>
        <v>14 0</v>
      </c>
      <c r="C73" s="18" t="str">
        <f aca="false">'SALES Raw'!H3779</f>
        <v>14 0 חגורה למנותחי בית חזה</v>
      </c>
      <c r="D73" s="19" t="n">
        <f aca="false">'SALES Raw'!C3779</f>
        <v>1215</v>
      </c>
      <c r="E73" s="19" t="n">
        <f aca="false">'SALES Raw'!D3779</f>
        <v>97417.62</v>
      </c>
      <c r="F73" s="19" t="n">
        <f aca="false">'SALES Raw'!E3779*$H$4</f>
        <v>1155.78947368421</v>
      </c>
      <c r="G73" s="19" t="n">
        <f aca="false">'SALES Raw'!F3779*$H$4</f>
        <v>92459.3178947368</v>
      </c>
      <c r="H73" s="18" t="str">
        <f aca="false">'SALES Raw'!A3779</f>
        <v>209 - Ortoprofil Prod ROMANIA</v>
      </c>
    </row>
    <row r="74" customFormat="false" ht="15" hidden="false" customHeight="false" outlineLevel="0" collapsed="false">
      <c r="A74" s="18" t="n">
        <f aca="false">'CEMIUP0.9 Raw'!B1399</f>
        <v>4408266</v>
      </c>
      <c r="B74" s="18" t="str">
        <f aca="false">'CEMIUP0.9 Raw'!C1399</f>
        <v>91B חבק טניס אלבו</v>
      </c>
      <c r="C74" s="18" t="str">
        <f aca="false">'CEMIUP0.9 Raw'!C1399</f>
        <v>91B חבק טניס אלבו</v>
      </c>
      <c r="D74" s="19" t="n">
        <f aca="false">'CEMIUP0.9 Raw'!D1399</f>
        <v>922</v>
      </c>
      <c r="E74" s="19" t="n">
        <f aca="false">'CEMIUP0.9 Raw'!E1399</f>
        <v>57176.392</v>
      </c>
      <c r="F74" s="19" t="n">
        <f aca="false">'CEMIUP0.9 Raw'!F1399</f>
        <v>1148.21052631579</v>
      </c>
      <c r="G74" s="19" t="n">
        <f aca="false">'CEMIUP0.9 Raw'!G1399</f>
        <v>76161.2526315789</v>
      </c>
      <c r="H74" s="18" t="str">
        <f aca="false">'CEMIUP0.9 Raw'!A1399</f>
        <v>Super-Pharm Israel (CEMI internal group)</v>
      </c>
    </row>
    <row r="75" customFormat="false" ht="15" hidden="false" customHeight="false" outlineLevel="0" collapsed="false">
      <c r="A75" s="18" t="n">
        <f aca="false">'SALES Raw'!G2604</f>
        <v>4413456</v>
      </c>
      <c r="B75" s="18" t="str">
        <f aca="false">'SALES Raw'!B2604</f>
        <v>AC75 XXL</v>
      </c>
      <c r="C75" s="18" t="str">
        <f aca="false">'SALES Raw'!H2604</f>
        <v>AC75 XXL  מיישר כתפיים אקטיב</v>
      </c>
      <c r="D75" s="19" t="n">
        <f aca="false">'SALES Raw'!C2604</f>
        <v>128</v>
      </c>
      <c r="E75" s="19" t="n">
        <f aca="false">'SALES Raw'!D2604</f>
        <v>15662.12</v>
      </c>
      <c r="F75" s="19" t="n">
        <f aca="false">'SALES Raw'!E2604*$H$4</f>
        <v>1140.63157894737</v>
      </c>
      <c r="G75" s="19" t="n">
        <f aca="false">'SALES Raw'!F2604*$H$4</f>
        <v>153008.741052632</v>
      </c>
      <c r="H75" s="18" t="str">
        <f aca="false">'SALES Raw'!A2604</f>
        <v>114 - IL online</v>
      </c>
    </row>
    <row r="76" customFormat="false" ht="15" hidden="false" customHeight="false" outlineLevel="0" collapsed="false">
      <c r="A76" s="18" t="n">
        <f aca="false">'SALES Raw'!G2942</f>
        <v>4420000</v>
      </c>
      <c r="B76" s="18" t="str">
        <f aca="false">'SALES Raw'!B2942</f>
        <v>370 0</v>
      </c>
      <c r="C76" s="18" t="str">
        <f aca="false">'SALES Raw'!H2942</f>
        <v>370  רפידת נוחות-זוג</v>
      </c>
      <c r="D76" s="19" t="n">
        <f aca="false">'SALES Raw'!C2942</f>
        <v>1400</v>
      </c>
      <c r="E76" s="19" t="n">
        <f aca="false">'SALES Raw'!D2942</f>
        <v>9220.98</v>
      </c>
      <c r="F76" s="19" t="n">
        <f aca="false">'SALES Raw'!E2942*$H$4</f>
        <v>1136.84210526316</v>
      </c>
      <c r="G76" s="19" t="n">
        <f aca="false">'SALES Raw'!F2942*$H$4</f>
        <v>6709.31368421053</v>
      </c>
      <c r="H76" s="18" t="str">
        <f aca="false">'SALES Raw'!A2942</f>
        <v>202 - Super-Pharm POLAND</v>
      </c>
    </row>
    <row r="77" customFormat="false" ht="15" hidden="false" customHeight="false" outlineLevel="0" collapsed="false">
      <c r="A77" s="18" t="n">
        <f aca="false">'CEMIUP0.9 Raw'!B1378</f>
        <v>4408222</v>
      </c>
      <c r="B77" s="18" t="str">
        <f aca="false">'CEMIUP0.9 Raw'!C1378</f>
        <v>078G-XLחגורת גב אפורה</v>
      </c>
      <c r="C77" s="18" t="str">
        <f aca="false">'CEMIUP0.9 Raw'!C1378</f>
        <v>078G-XLחגורת גב אפורה</v>
      </c>
      <c r="D77" s="19" t="n">
        <f aca="false">'CEMIUP0.9 Raw'!D1378</f>
        <v>1499</v>
      </c>
      <c r="E77" s="19" t="n">
        <f aca="false">'CEMIUP0.9 Raw'!E1378</f>
        <v>125504.379</v>
      </c>
      <c r="F77" s="19" t="n">
        <f aca="false">'CEMIUP0.9 Raw'!F1378</f>
        <v>1126.73684210526</v>
      </c>
      <c r="G77" s="19" t="n">
        <f aca="false">'CEMIUP0.9 Raw'!G1378</f>
        <v>96041.6298947368</v>
      </c>
      <c r="H77" s="18" t="str">
        <f aca="false">'CEMIUP0.9 Raw'!A1378</f>
        <v>Super-Pharm Israel (CEMI internal group)</v>
      </c>
    </row>
    <row r="78" customFormat="false" ht="15" hidden="false" customHeight="false" outlineLevel="0" collapsed="false">
      <c r="A78" s="18" t="n">
        <f aca="false">'SALES Raw'!G3317</f>
        <v>4415028</v>
      </c>
      <c r="B78" s="18" t="str">
        <f aca="false">'SALES Raw'!B3317</f>
        <v>AC28 0</v>
      </c>
      <c r="C78" s="18" t="str">
        <f aca="false">'SALES Raw'!H3317</f>
        <v>AC-28 סד לאגודל</v>
      </c>
      <c r="D78" s="19" t="n">
        <f aca="false">'SALES Raw'!C3317</f>
        <v>700</v>
      </c>
      <c r="E78" s="19" t="n">
        <f aca="false">'SALES Raw'!D3317</f>
        <v>10389.8</v>
      </c>
      <c r="F78" s="19" t="n">
        <f aca="false">'SALES Raw'!E3317*$H$4</f>
        <v>1098.94736842105</v>
      </c>
      <c r="G78" s="19" t="n">
        <f aca="false">'SALES Raw'!F3317*$H$4</f>
        <v>14760.7452631579</v>
      </c>
      <c r="H78" s="18" t="str">
        <f aca="false">'SALES Raw'!A3317</f>
        <v>204 - Sanaflex Anatomic GREECE</v>
      </c>
    </row>
    <row r="79" customFormat="false" ht="15" hidden="false" customHeight="false" outlineLevel="0" collapsed="false">
      <c r="A79" s="18" t="n">
        <f aca="false">'CEMIUP0.9 Raw'!B581</f>
        <v>4422023</v>
      </c>
      <c r="B79" s="18" t="str">
        <f aca="false">'CEMIUP0.9 Raw'!C581</f>
        <v>806CB-BEIGE      תחבושת א.נצמ</v>
      </c>
      <c r="C79" s="18" t="str">
        <f aca="false">'CEMIUP0.9 Raw'!C581</f>
        <v>806CB-BEIGE      תחבושת א.נצמ</v>
      </c>
      <c r="D79" s="19" t="n">
        <f aca="false">'CEMIUP0.9 Raw'!D581</f>
        <v>1518</v>
      </c>
      <c r="E79" s="19" t="n">
        <f aca="false">'CEMIUP0.9 Raw'!E581</f>
        <v>13515.458</v>
      </c>
      <c r="F79" s="19" t="n">
        <f aca="false">'CEMIUP0.9 Raw'!F581</f>
        <v>1074.94736842105</v>
      </c>
      <c r="G79" s="19" t="n">
        <f aca="false">'CEMIUP0.9 Raw'!G581</f>
        <v>10882.1823157895</v>
      </c>
      <c r="H79" s="18" t="str">
        <f aca="false">'CEMIUP0.9 Raw'!A581</f>
        <v>107 - Pharmacies</v>
      </c>
    </row>
    <row r="80" customFormat="false" ht="15" hidden="false" customHeight="false" outlineLevel="0" collapsed="false">
      <c r="A80" s="18" t="n">
        <f aca="false">'CEMIUP0.9 Raw'!B1481</f>
        <v>4413103</v>
      </c>
      <c r="B80" s="18" t="str">
        <f aca="false">'CEMIUP0.9 Raw'!C1481</f>
        <v>45E Mמגן ברך ארוך לבן</v>
      </c>
      <c r="C80" s="18" t="str">
        <f aca="false">'CEMIUP0.9 Raw'!C1481</f>
        <v>45E Mמגן ברך ארוך לבן</v>
      </c>
      <c r="D80" s="19" t="n">
        <f aca="false">'CEMIUP0.9 Raw'!D1481</f>
        <v>1338</v>
      </c>
      <c r="E80" s="19" t="n">
        <f aca="false">'CEMIUP0.9 Raw'!E1481</f>
        <v>37771.734</v>
      </c>
      <c r="F80" s="19" t="n">
        <f aca="false">'CEMIUP0.9 Raw'!F1481</f>
        <v>1066.10526315789</v>
      </c>
      <c r="G80" s="19" t="n">
        <f aca="false">'CEMIUP0.9 Raw'!G1481</f>
        <v>30282.7692631579</v>
      </c>
      <c r="H80" s="18" t="str">
        <f aca="false">'CEMIUP0.9 Raw'!A1481</f>
        <v>Super-Pharm Israel (CEMI internal group)</v>
      </c>
    </row>
    <row r="81" customFormat="false" ht="15" hidden="false" customHeight="false" outlineLevel="0" collapsed="false">
      <c r="A81" s="18" t="n">
        <f aca="false">'CEMIUP0.9 Raw'!B151</f>
        <v>4408207</v>
      </c>
      <c r="B81" s="18" t="str">
        <f aca="false">'CEMIUP0.9 Raw'!C151</f>
        <v>AC-25 חבק לשורש כף היד</v>
      </c>
      <c r="C81" s="18" t="str">
        <f aca="false">'CEMIUP0.9 Raw'!C151</f>
        <v>AC-25 חבק לשורש כף היד</v>
      </c>
      <c r="D81" s="19" t="n">
        <f aca="false">'CEMIUP0.9 Raw'!D151</f>
        <v>1167</v>
      </c>
      <c r="E81" s="19" t="n">
        <f aca="false">'CEMIUP0.9 Raw'!E151</f>
        <v>34094.906</v>
      </c>
      <c r="F81" s="19" t="n">
        <f aca="false">'CEMIUP0.9 Raw'!F151</f>
        <v>1052.21052631579</v>
      </c>
      <c r="G81" s="19" t="n">
        <f aca="false">'CEMIUP0.9 Raw'!G151</f>
        <v>32425.5271578947</v>
      </c>
      <c r="H81" s="18" t="str">
        <f aca="false">'CEMIUP0.9 Raw'!A151</f>
        <v>107 - Pharmacies</v>
      </c>
    </row>
    <row r="82" customFormat="false" ht="15" hidden="false" customHeight="false" outlineLevel="0" collapsed="false">
      <c r="A82" s="18" t="n">
        <f aca="false">'CEMIUP0.9 Raw'!B1567</f>
        <v>4413394</v>
      </c>
      <c r="B82" s="18" t="str">
        <f aca="false">'CEMIUP0.9 Raw'!C1567</f>
        <v>45EC S 'מגן ברך ארוך בז</v>
      </c>
      <c r="C82" s="18" t="str">
        <f aca="false">'CEMIUP0.9 Raw'!C1567</f>
        <v>45EC S 'מגן ברך ארוך בז</v>
      </c>
      <c r="D82" s="19" t="n">
        <f aca="false">'CEMIUP0.9 Raw'!D1567</f>
        <v>1231</v>
      </c>
      <c r="E82" s="19" t="n">
        <f aca="false">'CEMIUP0.9 Raw'!E1567</f>
        <v>34780.473</v>
      </c>
      <c r="F82" s="19" t="n">
        <f aca="false">'CEMIUP0.9 Raw'!F1567</f>
        <v>1044.63157894737</v>
      </c>
      <c r="G82" s="19" t="n">
        <f aca="false">'CEMIUP0.9 Raw'!G1567</f>
        <v>29682.0543157895</v>
      </c>
      <c r="H82" s="18" t="str">
        <f aca="false">'CEMIUP0.9 Raw'!A1567</f>
        <v>Super-Pharm Israel (CEMI internal group)</v>
      </c>
    </row>
    <row r="83" customFormat="false" ht="15" hidden="false" customHeight="false" outlineLevel="0" collapsed="false">
      <c r="A83" s="18" t="n">
        <f aca="false">'CEMIUP0.9 Raw'!B149</f>
        <v>4408205</v>
      </c>
      <c r="B83" s="18" t="str">
        <f aca="false">'CEMIUP0.9 Raw'!C149</f>
        <v>AC-07 חגורת גב עם תמיכות</v>
      </c>
      <c r="C83" s="18" t="str">
        <f aca="false">'CEMIUP0.9 Raw'!C149</f>
        <v>AC-07 חגורת גב עם תמיכות</v>
      </c>
      <c r="D83" s="19" t="n">
        <f aca="false">'CEMIUP0.9 Raw'!D149</f>
        <v>1141</v>
      </c>
      <c r="E83" s="19" t="n">
        <f aca="false">'CEMIUP0.9 Raw'!E149</f>
        <v>88911.783</v>
      </c>
      <c r="F83" s="19" t="n">
        <f aca="false">'CEMIUP0.9 Raw'!F149</f>
        <v>1037.05263157895</v>
      </c>
      <c r="G83" s="19" t="n">
        <f aca="false">'CEMIUP0.9 Raw'!G149</f>
        <v>81469.944</v>
      </c>
      <c r="H83" s="18" t="str">
        <f aca="false">'CEMIUP0.9 Raw'!A149</f>
        <v>107 - Pharmacies</v>
      </c>
    </row>
    <row r="84" customFormat="false" ht="15" hidden="false" customHeight="false" outlineLevel="0" collapsed="false">
      <c r="A84" s="18" t="n">
        <f aca="false">'CEMIUP0.9 Raw'!B1696</f>
        <v>4422025</v>
      </c>
      <c r="B84" s="18" t="str">
        <f aca="false">'CEMIUP0.9 Raw'!C1696</f>
        <v>806CB-GREEN      תחבושת א.נצמ</v>
      </c>
      <c r="C84" s="18" t="str">
        <f aca="false">'CEMIUP0.9 Raw'!C1696</f>
        <v>806CB-GREEN      תחבושת א.נצמ</v>
      </c>
      <c r="D84" s="19" t="n">
        <f aca="false">'CEMIUP0.9 Raw'!D1696</f>
        <v>1749</v>
      </c>
      <c r="E84" s="19" t="n">
        <f aca="false">'CEMIUP0.9 Raw'!E1696</f>
        <v>16227.666</v>
      </c>
      <c r="F84" s="19" t="n">
        <f aca="false">'CEMIUP0.9 Raw'!F1696</f>
        <v>1035.78947368421</v>
      </c>
      <c r="G84" s="19" t="n">
        <f aca="false">'CEMIUP0.9 Raw'!G1696</f>
        <v>9733.97305263158</v>
      </c>
      <c r="H84" s="18" t="str">
        <f aca="false">'CEMIUP0.9 Raw'!A1696</f>
        <v>Super-Pharm Israel (CEMI internal group)</v>
      </c>
    </row>
    <row r="85" customFormat="false" ht="15" hidden="false" customHeight="false" outlineLevel="0" collapsed="false">
      <c r="A85" s="18" t="n">
        <f aca="false">'CEMIUP0.9 Raw'!B1629</f>
        <v>4415073</v>
      </c>
      <c r="B85" s="18" t="str">
        <f aca="false">'CEMIUP0.9 Raw'!C1629</f>
        <v>T28A L-XL סד לאגודל</v>
      </c>
      <c r="C85" s="18" t="str">
        <f aca="false">'CEMIUP0.9 Raw'!C1629</f>
        <v>T28A L-XL סד לאגודל</v>
      </c>
      <c r="D85" s="19" t="n">
        <f aca="false">'CEMIUP0.9 Raw'!D1629</f>
        <v>935</v>
      </c>
      <c r="E85" s="19" t="n">
        <f aca="false">'CEMIUP0.9 Raw'!E1629</f>
        <v>49758.072</v>
      </c>
      <c r="F85" s="19" t="n">
        <f aca="false">'CEMIUP0.9 Raw'!F1629</f>
        <v>1034.52631578947</v>
      </c>
      <c r="G85" s="19" t="n">
        <f aca="false">'CEMIUP0.9 Raw'!G1629</f>
        <v>55516.0155789474</v>
      </c>
      <c r="H85" s="18" t="str">
        <f aca="false">'CEMIUP0.9 Raw'!A1629</f>
        <v>Super-Pharm Israel (CEMI internal group)</v>
      </c>
    </row>
    <row r="86" customFormat="false" ht="15" hidden="false" customHeight="false" outlineLevel="0" collapsed="false">
      <c r="A86" s="18" t="n">
        <f aca="false">'CEMIUP0.9 Raw'!B1441</f>
        <v>4413042</v>
      </c>
      <c r="B86" s="18" t="str">
        <f aca="false">'CEMIUP0.9 Raw'!C1441</f>
        <v>34  S מגן קרסול עקב סגור</v>
      </c>
      <c r="C86" s="18" t="str">
        <f aca="false">'CEMIUP0.9 Raw'!C1441</f>
        <v>34  S מגן קרסול עקב סגור</v>
      </c>
      <c r="D86" s="19" t="n">
        <f aca="false">'CEMIUP0.9 Raw'!D1441</f>
        <v>1192</v>
      </c>
      <c r="E86" s="19" t="n">
        <f aca="false">'CEMIUP0.9 Raw'!E1441</f>
        <v>40708.486</v>
      </c>
      <c r="F86" s="19" t="n">
        <f aca="false">'CEMIUP0.9 Raw'!F1441</f>
        <v>1032</v>
      </c>
      <c r="G86" s="19" t="n">
        <f aca="false">'CEMIUP0.9 Raw'!G1441</f>
        <v>35650.5814736842</v>
      </c>
      <c r="H86" s="18" t="str">
        <f aca="false">'CEMIUP0.9 Raw'!A1441</f>
        <v>Super-Pharm Israel (CEMI internal group)</v>
      </c>
    </row>
    <row r="87" customFormat="false" ht="15" hidden="false" customHeight="false" outlineLevel="0" collapsed="false">
      <c r="A87" s="18" t="n">
        <f aca="false">'CEMIUP0.9 Raw'!B1443</f>
        <v>4413044</v>
      </c>
      <c r="B87" s="18" t="str">
        <f aca="false">'CEMIUP0.9 Raw'!C1443</f>
        <v>34 XL מגן קרסול עקב סגור</v>
      </c>
      <c r="C87" s="18" t="str">
        <f aca="false">'CEMIUP0.9 Raw'!C1443</f>
        <v>34 XL מגן קרסול עקב סגור</v>
      </c>
      <c r="D87" s="19" t="n">
        <f aca="false">'CEMIUP0.9 Raw'!D1443</f>
        <v>1232</v>
      </c>
      <c r="E87" s="19" t="n">
        <f aca="false">'CEMIUP0.9 Raw'!E1443</f>
        <v>42079.492</v>
      </c>
      <c r="F87" s="19" t="n">
        <f aca="false">'CEMIUP0.9 Raw'!F1443</f>
        <v>1026.94736842105</v>
      </c>
      <c r="G87" s="19" t="n">
        <f aca="false">'CEMIUP0.9 Raw'!G1443</f>
        <v>35582.6475789474</v>
      </c>
      <c r="H87" s="18" t="str">
        <f aca="false">'CEMIUP0.9 Raw'!A1443</f>
        <v>Super-Pharm Israel (CEMI internal group)</v>
      </c>
    </row>
    <row r="88" customFormat="false" ht="15" hidden="false" customHeight="false" outlineLevel="0" collapsed="false">
      <c r="A88" s="18" t="n">
        <f aca="false">'CEMIUP0.9 Raw'!B1275</f>
        <v>4401001</v>
      </c>
      <c r="B88" s="18" t="str">
        <f aca="false">'CEMIUP0.9 Raw'!C1275</f>
        <v>369   XL אצבעון מסיליקון יחידה</v>
      </c>
      <c r="C88" s="18" t="str">
        <f aca="false">'CEMIUP0.9 Raw'!C1275</f>
        <v>369   XL אצבעון מסיליקון יחידה</v>
      </c>
      <c r="D88" s="19" t="n">
        <f aca="false">'CEMIUP0.9 Raw'!D1275</f>
        <v>1142</v>
      </c>
      <c r="E88" s="19" t="n">
        <f aca="false">'CEMIUP0.9 Raw'!E1275</f>
        <v>23635.339</v>
      </c>
      <c r="F88" s="19" t="n">
        <f aca="false">'CEMIUP0.9 Raw'!F1275</f>
        <v>1019.36842105263</v>
      </c>
      <c r="G88" s="19" t="n">
        <f aca="false">'CEMIUP0.9 Raw'!G1275</f>
        <v>21079.968</v>
      </c>
      <c r="H88" s="18" t="str">
        <f aca="false">'CEMIUP0.9 Raw'!A1275</f>
        <v>Super-Pharm Israel (CEMI internal group)</v>
      </c>
    </row>
    <row r="89" customFormat="false" ht="15" hidden="false" customHeight="false" outlineLevel="0" collapsed="false">
      <c r="A89" s="18" t="n">
        <f aca="false">'CEMIUP0.9 Raw'!B1376</f>
        <v>4408220</v>
      </c>
      <c r="B89" s="18" t="str">
        <f aca="false">'CEMIUP0.9 Raw'!C1376</f>
        <v>078G-M חגורת גב אפורה</v>
      </c>
      <c r="C89" s="18" t="str">
        <f aca="false">'CEMIUP0.9 Raw'!C1376</f>
        <v>078G-M חגורת גב אפורה</v>
      </c>
      <c r="D89" s="19" t="n">
        <f aca="false">'CEMIUP0.9 Raw'!D1376</f>
        <v>1204</v>
      </c>
      <c r="E89" s="19" t="n">
        <f aca="false">'CEMIUP0.9 Raw'!E1376</f>
        <v>100781.954</v>
      </c>
      <c r="F89" s="19" t="n">
        <f aca="false">'CEMIUP0.9 Raw'!F1376</f>
        <v>1019.36842105263</v>
      </c>
      <c r="G89" s="19" t="n">
        <f aca="false">'CEMIUP0.9 Raw'!G1376</f>
        <v>86868.3701052632</v>
      </c>
      <c r="H89" s="18" t="str">
        <f aca="false">'CEMIUP0.9 Raw'!A1376</f>
        <v>Super-Pharm Israel (CEMI internal group)</v>
      </c>
    </row>
    <row r="90" customFormat="false" ht="15" hidden="false" customHeight="false" outlineLevel="0" collapsed="false">
      <c r="A90" s="18" t="n">
        <f aca="false">'CEMIUP0.9 Raw'!B1445</f>
        <v>4413047</v>
      </c>
      <c r="B90" s="18" t="str">
        <f aca="false">'CEMIUP0.9 Raw'!C1445</f>
        <v>35 S מגן קרסול לבן</v>
      </c>
      <c r="C90" s="18" t="str">
        <f aca="false">'CEMIUP0.9 Raw'!C1445</f>
        <v>35 S מגן קרסול לבן</v>
      </c>
      <c r="D90" s="19" t="n">
        <f aca="false">'CEMIUP0.9 Raw'!D1445</f>
        <v>1156</v>
      </c>
      <c r="E90" s="19" t="n">
        <f aca="false">'CEMIUP0.9 Raw'!E1445</f>
        <v>27045.837</v>
      </c>
      <c r="F90" s="19" t="n">
        <f aca="false">'CEMIUP0.9 Raw'!F1445</f>
        <v>1015.57894736842</v>
      </c>
      <c r="G90" s="19" t="n">
        <f aca="false">'CEMIUP0.9 Raw'!G1445</f>
        <v>24030.0922105263</v>
      </c>
      <c r="H90" s="18" t="str">
        <f aca="false">'CEMIUP0.9 Raw'!A1445</f>
        <v>Super-Pharm Israel (CEMI internal group)</v>
      </c>
    </row>
    <row r="91" customFormat="false" ht="15" hidden="false" customHeight="false" outlineLevel="0" collapsed="false">
      <c r="A91" s="18" t="n">
        <f aca="false">'SALES Raw'!G2977</f>
        <v>4422025</v>
      </c>
      <c r="B91" s="18" t="str">
        <f aca="false">'SALES Raw'!B2977</f>
        <v>806CB-GR</v>
      </c>
      <c r="C91" s="18" t="str">
        <f aca="false">'SALES Raw'!H2977</f>
        <v>806CB-GREEN      תחבושת א.נצמ</v>
      </c>
      <c r="D91" s="19" t="n">
        <f aca="false">'SALES Raw'!C2977</f>
        <v>1050</v>
      </c>
      <c r="E91" s="19" t="n">
        <f aca="false">'SALES Raw'!D2977</f>
        <v>8166.17</v>
      </c>
      <c r="F91" s="19" t="n">
        <f aca="false">'SALES Raw'!E2977*$H$4</f>
        <v>1010.52631578947</v>
      </c>
      <c r="G91" s="19" t="n">
        <f aca="false">'SALES Raw'!F2977*$H$4</f>
        <v>7073.86105263158</v>
      </c>
      <c r="H91" s="18" t="str">
        <f aca="false">'SALES Raw'!A2977</f>
        <v>202 - Super-Pharm POLAND</v>
      </c>
    </row>
    <row r="92" customFormat="false" ht="15" hidden="false" customHeight="false" outlineLevel="0" collapsed="false">
      <c r="A92" s="18" t="n">
        <f aca="false">'CEMIUP0.9 Raw'!B1600</f>
        <v>4413517</v>
      </c>
      <c r="B92" s="18" t="str">
        <f aca="false">'CEMIUP0.9 Raw'!C1600</f>
        <v>85B M מתלה רשת לזרוע שחור</v>
      </c>
      <c r="C92" s="18" t="str">
        <f aca="false">'CEMIUP0.9 Raw'!C1600</f>
        <v>85B M מתלה רשת לזרוע שחור</v>
      </c>
      <c r="D92" s="19" t="n">
        <f aca="false">'CEMIUP0.9 Raw'!D1600</f>
        <v>802</v>
      </c>
      <c r="E92" s="19" t="n">
        <f aca="false">'CEMIUP0.9 Raw'!E1600</f>
        <v>35715.407</v>
      </c>
      <c r="F92" s="19" t="n">
        <f aca="false">'CEMIUP0.9 Raw'!F1600</f>
        <v>1004.21052631579</v>
      </c>
      <c r="G92" s="19" t="n">
        <f aca="false">'CEMIUP0.9 Raw'!G1600</f>
        <v>44761.1949473684</v>
      </c>
      <c r="H92" s="18" t="str">
        <f aca="false">'CEMIUP0.9 Raw'!A1600</f>
        <v>Super-Pharm Israel (CEMI internal group)</v>
      </c>
    </row>
    <row r="93" customFormat="false" ht="15" hidden="false" customHeight="false" outlineLevel="0" collapsed="false">
      <c r="A93" s="18" t="n">
        <f aca="false">'CEMIUP0.9 Raw'!B1480</f>
        <v>4413102</v>
      </c>
      <c r="B93" s="18" t="str">
        <f aca="false">'CEMIUP0.9 Raw'!C1480</f>
        <v>45E  L        מגן ברך ארוך לבן</v>
      </c>
      <c r="C93" s="18" t="str">
        <f aca="false">'CEMIUP0.9 Raw'!C1480</f>
        <v>45E  L        מגן ברך ארוך לבן</v>
      </c>
      <c r="D93" s="19" t="n">
        <f aca="false">'CEMIUP0.9 Raw'!D1480</f>
        <v>1537</v>
      </c>
      <c r="E93" s="19" t="n">
        <f aca="false">'CEMIUP0.9 Raw'!E1480</f>
        <v>43408.092</v>
      </c>
      <c r="F93" s="19" t="n">
        <f aca="false">'CEMIUP0.9 Raw'!F1480</f>
        <v>992.842105263158</v>
      </c>
      <c r="G93" s="19" t="n">
        <f aca="false">'CEMIUP0.9 Raw'!G1480</f>
        <v>28228.6597894737</v>
      </c>
      <c r="H93" s="18" t="str">
        <f aca="false">'CEMIUP0.9 Raw'!A1480</f>
        <v>Super-Pharm Israel (CEMI internal group)</v>
      </c>
    </row>
    <row r="94" customFormat="false" ht="15" hidden="false" customHeight="false" outlineLevel="0" collapsed="false">
      <c r="A94" s="18" t="n">
        <f aca="false">'CEMIUP0.9 Raw'!B1410</f>
        <v>4409016</v>
      </c>
      <c r="B94" s="18" t="str">
        <f aca="false">'CEMIUP0.9 Raw'!C1410</f>
        <v>808KT-C        טייפ קינזיולוגי</v>
      </c>
      <c r="C94" s="18" t="str">
        <f aca="false">'CEMIUP0.9 Raw'!C1410</f>
        <v>808KT-C        טייפ קינזיולוגי</v>
      </c>
      <c r="D94" s="19" t="n">
        <f aca="false">'CEMIUP0.9 Raw'!D1410</f>
        <v>1251</v>
      </c>
      <c r="E94" s="19" t="n">
        <f aca="false">'CEMIUP0.9 Raw'!E1410</f>
        <v>45216.444</v>
      </c>
      <c r="F94" s="19" t="n">
        <f aca="false">'CEMIUP0.9 Raw'!F1410</f>
        <v>984</v>
      </c>
      <c r="G94" s="19" t="n">
        <f aca="false">'CEMIUP0.9 Raw'!G1410</f>
        <v>35819.5541052632</v>
      </c>
      <c r="H94" s="18" t="str">
        <f aca="false">'CEMIUP0.9 Raw'!A1410</f>
        <v>Super-Pharm Israel (CEMI internal group)</v>
      </c>
    </row>
    <row r="95" customFormat="false" ht="15" hidden="false" customHeight="false" outlineLevel="0" collapsed="false">
      <c r="A95" s="18" t="n">
        <f aca="false">'SALES Raw'!G3355</f>
        <v>4401001</v>
      </c>
      <c r="B95" s="18" t="str">
        <f aca="false">'SALES Raw'!B3355</f>
        <v>369-XL</v>
      </c>
      <c r="C95" s="18" t="str">
        <f aca="false">'SALES Raw'!H3355</f>
        <v>369   XL אצבעון מסיליקון יחידה</v>
      </c>
      <c r="D95" s="19" t="n">
        <f aca="false">'SALES Raw'!C3355</f>
        <v>850</v>
      </c>
      <c r="E95" s="19" t="n">
        <f aca="false">'SALES Raw'!D3355</f>
        <v>9860.71</v>
      </c>
      <c r="F95" s="19" t="n">
        <f aca="false">'SALES Raw'!E3355*$H$4</f>
        <v>972.631578947368</v>
      </c>
      <c r="G95" s="19" t="n">
        <f aca="false">'SALES Raw'!F3355*$H$4</f>
        <v>10308.2021052632</v>
      </c>
      <c r="H95" s="18" t="str">
        <f aca="false">'SALES Raw'!A3355</f>
        <v>205 - Health Care Prod. Gmbh GERMANY</v>
      </c>
    </row>
    <row r="96" customFormat="false" ht="15" hidden="false" customHeight="false" outlineLevel="0" collapsed="false">
      <c r="A96" s="18" t="n">
        <f aca="false">'CEMIUP0.9 Raw'!B1448</f>
        <v>4413050</v>
      </c>
      <c r="B96" s="18" t="str">
        <f aca="false">'CEMIUP0.9 Raw'!C1448</f>
        <v>35 XL מגן קרסול לבן</v>
      </c>
      <c r="C96" s="18" t="str">
        <f aca="false">'CEMIUP0.9 Raw'!C1448</f>
        <v>35 XL מגן קרסול לבן</v>
      </c>
      <c r="D96" s="19" t="n">
        <f aca="false">'CEMIUP0.9 Raw'!D1448</f>
        <v>1115</v>
      </c>
      <c r="E96" s="19" t="n">
        <f aca="false">'CEMIUP0.9 Raw'!E1448</f>
        <v>26093.522</v>
      </c>
      <c r="F96" s="19" t="n">
        <f aca="false">'CEMIUP0.9 Raw'!F1448</f>
        <v>967.578947368421</v>
      </c>
      <c r="G96" s="19" t="n">
        <f aca="false">'CEMIUP0.9 Raw'!G1448</f>
        <v>22967.4037894737</v>
      </c>
      <c r="H96" s="18" t="str">
        <f aca="false">'CEMIUP0.9 Raw'!A1448</f>
        <v>Super-Pharm Israel (CEMI internal group)</v>
      </c>
    </row>
    <row r="97" customFormat="false" ht="15" hidden="false" customHeight="false" outlineLevel="0" collapsed="false">
      <c r="A97" s="18" t="n">
        <f aca="false">'CEMIUP0.9 Raw'!B429</f>
        <v>4413453</v>
      </c>
      <c r="B97" s="18" t="str">
        <f aca="false">'CEMIUP0.9 Raw'!C429</f>
        <v>AC75 מישר כתפיים אקטיב</v>
      </c>
      <c r="C97" s="18" t="str">
        <f aca="false">'CEMIUP0.9 Raw'!C429</f>
        <v>AC75 מישר כתפיים אקטיב</v>
      </c>
      <c r="D97" s="19" t="n">
        <f aca="false">'CEMIUP0.9 Raw'!D429</f>
        <v>965</v>
      </c>
      <c r="E97" s="19" t="n">
        <f aca="false">'CEMIUP0.9 Raw'!E429</f>
        <v>61222.388</v>
      </c>
      <c r="F97" s="19" t="n">
        <f aca="false">'CEMIUP0.9 Raw'!F429</f>
        <v>952.421052631579</v>
      </c>
      <c r="G97" s="19" t="n">
        <f aca="false">'CEMIUP0.9 Raw'!G429</f>
        <v>68051.8850526316</v>
      </c>
      <c r="H97" s="18" t="str">
        <f aca="false">'CEMIUP0.9 Raw'!A429</f>
        <v>107 - Pharmacies</v>
      </c>
    </row>
    <row r="98" customFormat="false" ht="15" hidden="false" customHeight="false" outlineLevel="0" collapsed="false">
      <c r="A98" s="18" t="str">
        <f aca="false">'SALES Raw'!G4465</f>
        <v/>
      </c>
      <c r="B98" s="18" t="str">
        <f aca="false">'SALES Raw'!B4465</f>
        <v>FC3422 0</v>
      </c>
      <c r="C98" s="18" t="str">
        <f aca="false">'SALES Raw'!H4465</f>
        <v>FC3422 0</v>
      </c>
      <c r="D98" s="19" t="n">
        <f aca="false">'SALES Raw'!C4465</f>
        <v>1355</v>
      </c>
      <c r="E98" s="19" t="n">
        <f aca="false">'SALES Raw'!D4465</f>
        <v>109768.29</v>
      </c>
      <c r="F98" s="19" t="n">
        <f aca="false">'SALES Raw'!E4465*$H$4</f>
        <v>947.368421052632</v>
      </c>
      <c r="G98" s="19" t="n">
        <f aca="false">'SALES Raw'!F4465*$H$4</f>
        <v>71485.3010526316</v>
      </c>
      <c r="H98" s="18" t="str">
        <f aca="false">'SALES Raw'!A4465</f>
        <v>301 - Amazon</v>
      </c>
    </row>
    <row r="99" customFormat="false" ht="15" hidden="false" customHeight="false" outlineLevel="0" collapsed="false">
      <c r="A99" s="18" t="n">
        <f aca="false">'CEMIUP0.9 Raw'!B585</f>
        <v>4422031</v>
      </c>
      <c r="B99" s="18" t="str">
        <f aca="false">'CEMIUP0.9 Raw'!C585</f>
        <v>807CB-Cתחבושת נצמדת בז' 20 מ""מ</v>
      </c>
      <c r="C99" s="18" t="str">
        <f aca="false">'CEMIUP0.9 Raw'!C585</f>
        <v>807CB-Cתחבושת נצמדת בז' 20 מ""מ</v>
      </c>
      <c r="D99" s="19" t="n">
        <f aca="false">'CEMIUP0.9 Raw'!D585</f>
        <v>705</v>
      </c>
      <c r="E99" s="19" t="n">
        <f aca="false">'CEMIUP0.9 Raw'!E585</f>
        <v>6466.201</v>
      </c>
      <c r="F99" s="19" t="n">
        <f aca="false">'CEMIUP0.9 Raw'!F585</f>
        <v>946.105263157895</v>
      </c>
      <c r="G99" s="19" t="n">
        <f aca="false">'CEMIUP0.9 Raw'!G585</f>
        <v>9646.86315789474</v>
      </c>
      <c r="H99" s="18" t="str">
        <f aca="false">'CEMIUP0.9 Raw'!A585</f>
        <v>107 - Pharmacies</v>
      </c>
    </row>
    <row r="100" customFormat="false" ht="15" hidden="false" customHeight="false" outlineLevel="0" collapsed="false">
      <c r="A100" s="18" t="n">
        <f aca="false">'CEMIUP0.9 Raw'!B1274</f>
        <v>4401000</v>
      </c>
      <c r="B100" s="18" t="str">
        <f aca="false">'CEMIUP0.9 Raw'!C1274</f>
        <v>369  S-L אצבעון מסיליקון יחידה</v>
      </c>
      <c r="C100" s="18" t="str">
        <f aca="false">'CEMIUP0.9 Raw'!C1274</f>
        <v>369  S-L אצבעון מסיליקון יחידה</v>
      </c>
      <c r="D100" s="19" t="n">
        <f aca="false">'CEMIUP0.9 Raw'!D1274</f>
        <v>1030</v>
      </c>
      <c r="E100" s="19" t="n">
        <f aca="false">'CEMIUP0.9 Raw'!E1274</f>
        <v>20362.706</v>
      </c>
      <c r="F100" s="19" t="n">
        <f aca="false">'CEMIUP0.9 Raw'!F1274</f>
        <v>937.263157894737</v>
      </c>
      <c r="G100" s="19" t="n">
        <f aca="false">'CEMIUP0.9 Raw'!G1274</f>
        <v>18799.0673684211</v>
      </c>
      <c r="H100" s="18" t="str">
        <f aca="false">'CEMIUP0.9 Raw'!A1274</f>
        <v>Super-Pharm Israel (CEMI internal group)</v>
      </c>
    </row>
    <row r="101" customFormat="false" ht="15" hidden="false" customHeight="false" outlineLevel="0" collapsed="false">
      <c r="A101" s="18" t="n">
        <f aca="false">'CEMIUP0.9 Raw'!B1036</f>
        <v>4409004</v>
      </c>
      <c r="B101" s="18" t="str">
        <f aca="false">'CEMIUP0.9 Raw'!C1036</f>
        <v>FC335 טלק מעושר באלוורה</v>
      </c>
      <c r="C101" s="18" t="str">
        <f aca="false">'CEMIUP0.9 Raw'!C1036</f>
        <v>FC335 טלק מעושר באלוורה</v>
      </c>
      <c r="D101" s="19" t="n">
        <f aca="false">'CEMIUP0.9 Raw'!D1036</f>
        <v>1341</v>
      </c>
      <c r="E101" s="19" t="n">
        <f aca="false">'CEMIUP0.9 Raw'!E1036</f>
        <v>21350.329</v>
      </c>
      <c r="F101" s="19" t="n">
        <f aca="false">'CEMIUP0.9 Raw'!F1036</f>
        <v>928.421052631579</v>
      </c>
      <c r="G101" s="19" t="n">
        <f aca="false">'CEMIUP0.9 Raw'!G1036</f>
        <v>14543.3709473684</v>
      </c>
      <c r="H101" s="18" t="str">
        <f aca="false">'CEMIUP0.9 Raw'!A1036</f>
        <v>BE (CEMI internal group)</v>
      </c>
    </row>
    <row r="102" customFormat="false" ht="15" hidden="false" customHeight="false" outlineLevel="0" collapsed="false">
      <c r="A102" s="18" t="n">
        <f aca="false">'CEMIUP0.9 Raw'!B1683</f>
        <v>4421001</v>
      </c>
      <c r="B102" s="18" t="str">
        <f aca="false">'CEMIUP0.9 Raw'!C1683</f>
        <v>3611 שרוול מטטרזלי מסיליקון</v>
      </c>
      <c r="C102" s="18" t="str">
        <f aca="false">'CEMIUP0.9 Raw'!C1683</f>
        <v>3611 שרוול מטטרזלי מסיליקון</v>
      </c>
      <c r="D102" s="19" t="n">
        <f aca="false">'CEMIUP0.9 Raw'!D1683</f>
        <v>1179</v>
      </c>
      <c r="E102" s="19" t="n">
        <f aca="false">'CEMIUP0.9 Raw'!E1683</f>
        <v>55683.355</v>
      </c>
      <c r="F102" s="19" t="n">
        <f aca="false">'CEMIUP0.9 Raw'!F1683</f>
        <v>914.526315789474</v>
      </c>
      <c r="G102" s="19" t="n">
        <f aca="false">'CEMIUP0.9 Raw'!G1683</f>
        <v>43348.032</v>
      </c>
      <c r="H102" s="18" t="str">
        <f aca="false">'CEMIUP0.9 Raw'!A1683</f>
        <v>Super-Pharm Israel (CEMI internal group)</v>
      </c>
    </row>
    <row r="103" customFormat="false" ht="15" hidden="false" customHeight="false" outlineLevel="0" collapsed="false">
      <c r="A103" s="18" t="n">
        <f aca="false">'CEMIUP0.9 Raw'!B1409</f>
        <v>4409015</v>
      </c>
      <c r="B103" s="18" t="str">
        <f aca="false">'CEMIUP0.9 Raw'!C1409</f>
        <v>808KT-BL       טייפ קינזיולוגי</v>
      </c>
      <c r="C103" s="18" t="str">
        <f aca="false">'CEMIUP0.9 Raw'!C1409</f>
        <v>808KT-BL       טייפ קינזיולוגי</v>
      </c>
      <c r="D103" s="19" t="n">
        <f aca="false">'CEMIUP0.9 Raw'!D1409</f>
        <v>1200</v>
      </c>
      <c r="E103" s="19" t="n">
        <f aca="false">'CEMIUP0.9 Raw'!E1409</f>
        <v>44130.996</v>
      </c>
      <c r="F103" s="19" t="n">
        <f aca="false">'CEMIUP0.9 Raw'!F1409</f>
        <v>898.105263157895</v>
      </c>
      <c r="G103" s="19" t="n">
        <f aca="false">'CEMIUP0.9 Raw'!G1409</f>
        <v>32969.8938947368</v>
      </c>
      <c r="H103" s="18" t="str">
        <f aca="false">'CEMIUP0.9 Raw'!A1409</f>
        <v>Super-Pharm Israel (CEMI internal group)</v>
      </c>
    </row>
    <row r="104" customFormat="false" ht="15" hidden="false" customHeight="false" outlineLevel="0" collapsed="false">
      <c r="A104" s="18" t="n">
        <f aca="false">'CEMIUP0.9 Raw'!B1411</f>
        <v>4409017</v>
      </c>
      <c r="B104" s="18" t="str">
        <f aca="false">'CEMIUP0.9 Raw'!C1411</f>
        <v>808KT-B        טייפ קינזיולוגי</v>
      </c>
      <c r="C104" s="18" t="str">
        <f aca="false">'CEMIUP0.9 Raw'!C1411</f>
        <v>808KT-B        טייפ קינזיולוגי</v>
      </c>
      <c r="D104" s="19" t="n">
        <f aca="false">'CEMIUP0.9 Raw'!D1411</f>
        <v>1150</v>
      </c>
      <c r="E104" s="19" t="n">
        <f aca="false">'CEMIUP0.9 Raw'!E1411</f>
        <v>41494.271</v>
      </c>
      <c r="F104" s="19" t="n">
        <f aca="false">'CEMIUP0.9 Raw'!F1411</f>
        <v>890.526315789474</v>
      </c>
      <c r="G104" s="19" t="n">
        <f aca="false">'CEMIUP0.9 Raw'!G1411</f>
        <v>32476.4248421053</v>
      </c>
      <c r="H104" s="18" t="str">
        <f aca="false">'CEMIUP0.9 Raw'!A1411</f>
        <v>Super-Pharm Israel (CEMI internal group)</v>
      </c>
    </row>
    <row r="105" customFormat="false" ht="15" hidden="false" customHeight="false" outlineLevel="0" collapsed="false">
      <c r="A105" s="18" t="n">
        <f aca="false">'CEMIUP0.9 Raw'!B1697</f>
        <v>4422026</v>
      </c>
      <c r="B105" s="18" t="str">
        <f aca="false">'CEMIUP0.9 Raw'!C1697</f>
        <v>806CB-PINK       תחבושת א.נצמ</v>
      </c>
      <c r="C105" s="18" t="str">
        <f aca="false">'CEMIUP0.9 Raw'!C1697</f>
        <v>806CB-PINK       תחבושת א.נצמ</v>
      </c>
      <c r="D105" s="19" t="n">
        <f aca="false">'CEMIUP0.9 Raw'!D1697</f>
        <v>980</v>
      </c>
      <c r="E105" s="19" t="n">
        <f aca="false">'CEMIUP0.9 Raw'!E1697</f>
        <v>9042.033</v>
      </c>
      <c r="F105" s="19" t="n">
        <f aca="false">'CEMIUP0.9 Raw'!F1697</f>
        <v>880.421052631579</v>
      </c>
      <c r="G105" s="19" t="n">
        <f aca="false">'CEMIUP0.9 Raw'!G1697</f>
        <v>8226.66821052632</v>
      </c>
      <c r="H105" s="18" t="str">
        <f aca="false">'CEMIUP0.9 Raw'!A1697</f>
        <v>Super-Pharm Israel (CEMI internal group)</v>
      </c>
    </row>
    <row r="106" customFormat="false" ht="15" hidden="false" customHeight="false" outlineLevel="0" collapsed="false">
      <c r="A106" s="18" t="n">
        <f aca="false">'CEMIUP0.9 Raw'!B1561</f>
        <v>4413364</v>
      </c>
      <c r="B106" s="18" t="str">
        <f aca="false">'CEMIUP0.9 Raw'!C1561</f>
        <v>95C M 'מגן מרפק בז</v>
      </c>
      <c r="C106" s="18" t="str">
        <f aca="false">'CEMIUP0.9 Raw'!C1561</f>
        <v>95C M 'מגן מרפק בז</v>
      </c>
      <c r="D106" s="19" t="n">
        <f aca="false">'CEMIUP0.9 Raw'!D1561</f>
        <v>1089</v>
      </c>
      <c r="E106" s="19" t="n">
        <f aca="false">'CEMIUP0.9 Raw'!E1561</f>
        <v>25499.747</v>
      </c>
      <c r="F106" s="19" t="n">
        <f aca="false">'CEMIUP0.9 Raw'!F1561</f>
        <v>867.789473684211</v>
      </c>
      <c r="G106" s="19" t="n">
        <f aca="false">'CEMIUP0.9 Raw'!G1561</f>
        <v>20582.016</v>
      </c>
      <c r="H106" s="18" t="str">
        <f aca="false">'CEMIUP0.9 Raw'!A1561</f>
        <v>Super-Pharm Israel (CEMI internal group)</v>
      </c>
    </row>
    <row r="107" customFormat="false" ht="15" hidden="false" customHeight="false" outlineLevel="0" collapsed="false">
      <c r="A107" s="18" t="n">
        <f aca="false">'CEMIUP0.9 Raw'!B246</f>
        <v>4413059</v>
      </c>
      <c r="B107" s="18" t="str">
        <f aca="false">'CEMIUP0.9 Raw'!C246</f>
        <v>364S Lמפר.אצבע סיליק. ליבל.זוג</v>
      </c>
      <c r="C107" s="18" t="str">
        <f aca="false">'CEMIUP0.9 Raw'!C246</f>
        <v>364S Lמפר.אצבע סיליק. ליבל.זוג</v>
      </c>
      <c r="D107" s="19" t="n">
        <f aca="false">'CEMIUP0.9 Raw'!D246</f>
        <v>1065</v>
      </c>
      <c r="E107" s="19" t="n">
        <f aca="false">'CEMIUP0.9 Raw'!E246</f>
        <v>13276.594</v>
      </c>
      <c r="F107" s="19" t="n">
        <f aca="false">'CEMIUP0.9 Raw'!F246</f>
        <v>852.631578947368</v>
      </c>
      <c r="G107" s="19" t="n">
        <f aca="false">'CEMIUP0.9 Raw'!G246</f>
        <v>10661.5604210526</v>
      </c>
      <c r="H107" s="18" t="str">
        <f aca="false">'CEMIUP0.9 Raw'!A246</f>
        <v>107 - Pharmacies</v>
      </c>
    </row>
    <row r="108" customFormat="false" ht="15" hidden="false" customHeight="false" outlineLevel="0" collapsed="false">
      <c r="A108" s="18" t="n">
        <f aca="false">'CEMIUP0.9 Raw'!B1555</f>
        <v>4413307</v>
      </c>
      <c r="B108" s="18" t="str">
        <f aca="false">'CEMIUP0.9 Raw'!C1555</f>
        <v>URI 3667 מגן בוניון</v>
      </c>
      <c r="C108" s="18" t="str">
        <f aca="false">'CEMIUP0.9 Raw'!C1555</f>
        <v>URI 3667 מגן בוניון</v>
      </c>
      <c r="D108" s="19" t="n">
        <f aca="false">'CEMIUP0.9 Raw'!D1555</f>
        <v>962</v>
      </c>
      <c r="E108" s="19" t="n">
        <f aca="false">'CEMIUP0.9 Raw'!E1555</f>
        <v>23394.007</v>
      </c>
      <c r="F108" s="19" t="n">
        <f aca="false">'CEMIUP0.9 Raw'!F1555</f>
        <v>850.105263157895</v>
      </c>
      <c r="G108" s="19" t="n">
        <f aca="false">'CEMIUP0.9 Raw'!G1555</f>
        <v>20900.3052631579</v>
      </c>
      <c r="H108" s="18" t="str">
        <f aca="false">'CEMIUP0.9 Raw'!A1555</f>
        <v>Super-Pharm Israel (CEMI internal group)</v>
      </c>
    </row>
    <row r="109" customFormat="false" ht="15" hidden="false" customHeight="false" outlineLevel="0" collapsed="false">
      <c r="A109" s="18" t="n">
        <f aca="false">'CEMIUP0.9 Raw'!B1595</f>
        <v>4413452</v>
      </c>
      <c r="B109" s="18" t="str">
        <f aca="false">'CEMIUP0.9 Raw'!C1595</f>
        <v>386  מיישר בוניון-האלוקס ולגוס</v>
      </c>
      <c r="C109" s="18" t="str">
        <f aca="false">'CEMIUP0.9 Raw'!C1595</f>
        <v>386  מיישר בוניון-האלוקס ולגוס</v>
      </c>
      <c r="D109" s="19" t="n">
        <f aca="false">'CEMIUP0.9 Raw'!D1595</f>
        <v>830</v>
      </c>
      <c r="E109" s="19" t="n">
        <f aca="false">'CEMIUP0.9 Raw'!E1595</f>
        <v>30930.809</v>
      </c>
      <c r="F109" s="19" t="n">
        <f aca="false">'CEMIUP0.9 Raw'!F1595</f>
        <v>826.105263157895</v>
      </c>
      <c r="G109" s="19" t="n">
        <f aca="false">'CEMIUP0.9 Raw'!G1595</f>
        <v>30665.1991578947</v>
      </c>
      <c r="H109" s="18" t="str">
        <f aca="false">'CEMIUP0.9 Raw'!A1595</f>
        <v>Super-Pharm Israel (CEMI internal group)</v>
      </c>
    </row>
    <row r="110" customFormat="false" ht="15" hidden="false" customHeight="false" outlineLevel="0" collapsed="false">
      <c r="A110" s="18" t="n">
        <f aca="false">'SALES Raw'!G3639</f>
        <v>4413328</v>
      </c>
      <c r="B110" s="18" t="str">
        <f aca="false">'SALES Raw'!B3639</f>
        <v>AC43D 0</v>
      </c>
      <c r="C110" s="18" t="str">
        <f aca="false">'SALES Raw'!H3639</f>
        <v>AC43D מגן ברך + צירים</v>
      </c>
      <c r="D110" s="19" t="n">
        <f aca="false">'SALES Raw'!C3639</f>
        <v>480</v>
      </c>
      <c r="E110" s="19" t="n">
        <f aca="false">'SALES Raw'!D3639</f>
        <v>20704.23</v>
      </c>
      <c r="F110" s="19" t="n">
        <f aca="false">'SALES Raw'!E3639*$H$4</f>
        <v>821.052631578947</v>
      </c>
      <c r="G110" s="19" t="n">
        <f aca="false">'SALES Raw'!F3639*$H$4</f>
        <v>33813.9915789474</v>
      </c>
      <c r="H110" s="18" t="str">
        <f aca="false">'SALES Raw'!A3639</f>
        <v>207 - Salus HUNGARY</v>
      </c>
    </row>
    <row r="111" customFormat="false" ht="15" hidden="false" customHeight="false" outlineLevel="0" collapsed="false">
      <c r="A111" s="18" t="n">
        <f aca="false">'CEMIUP0.9 Raw'!B1684</f>
        <v>4421003</v>
      </c>
      <c r="B111" s="18" t="str">
        <f aca="false">'CEMIUP0.9 Raw'!C1684</f>
        <v>3672 שרוול מגן לבוניון</v>
      </c>
      <c r="C111" s="18" t="str">
        <f aca="false">'CEMIUP0.9 Raw'!C1684</f>
        <v>3672 שרוול מגן לבוניון</v>
      </c>
      <c r="D111" s="19" t="n">
        <f aca="false">'CEMIUP0.9 Raw'!D1684</f>
        <v>968</v>
      </c>
      <c r="E111" s="19" t="n">
        <f aca="false">'CEMIUP0.9 Raw'!E1684</f>
        <v>25176.333</v>
      </c>
      <c r="F111" s="19" t="n">
        <f aca="false">'CEMIUP0.9 Raw'!F1684</f>
        <v>821.052631578947</v>
      </c>
      <c r="G111" s="19" t="n">
        <f aca="false">'CEMIUP0.9 Raw'!G1684</f>
        <v>21965.1776842105</v>
      </c>
      <c r="H111" s="18" t="str">
        <f aca="false">'CEMIUP0.9 Raw'!A1684</f>
        <v>Super-Pharm Israel (CEMI internal group)</v>
      </c>
    </row>
    <row r="112" customFormat="false" ht="15" hidden="false" customHeight="false" outlineLevel="0" collapsed="false">
      <c r="A112" s="18" t="n">
        <f aca="false">'CEMIUP0.9 Raw'!B1302</f>
        <v>4403042</v>
      </c>
      <c r="B112" s="18" t="str">
        <f aca="false">'CEMIUP0.9 Raw'!C1302</f>
        <v>397A-גרבי טיסה אנטי בקטרי39-42</v>
      </c>
      <c r="C112" s="18" t="str">
        <f aca="false">'CEMIUP0.9 Raw'!C1302</f>
        <v>397A-גרבי טיסה אנטי בקטרי39-42</v>
      </c>
      <c r="D112" s="19" t="n">
        <f aca="false">'CEMIUP0.9 Raw'!D1302</f>
        <v>0</v>
      </c>
      <c r="E112" s="19" t="n">
        <f aca="false">'CEMIUP0.9 Raw'!E1302</f>
        <v>0</v>
      </c>
      <c r="F112" s="19" t="n">
        <f aca="false">'CEMIUP0.9 Raw'!F1302</f>
        <v>817.263157894737</v>
      </c>
      <c r="G112" s="19" t="n">
        <f aca="false">'CEMIUP0.9 Raw'!G1302</f>
        <v>40625.1587368421</v>
      </c>
      <c r="H112" s="18" t="str">
        <f aca="false">'CEMIUP0.9 Raw'!A1302</f>
        <v>Super-Pharm Israel (CEMI internal group)</v>
      </c>
    </row>
    <row r="113" customFormat="false" ht="15" hidden="false" customHeight="false" outlineLevel="0" collapsed="false">
      <c r="A113" s="18" t="n">
        <f aca="false">'CEMIUP0.9 Raw'!B1482</f>
        <v>4413104</v>
      </c>
      <c r="B113" s="18" t="str">
        <f aca="false">'CEMIUP0.9 Raw'!C1482</f>
        <v>45E XLמגן ברך ארוך לבן</v>
      </c>
      <c r="C113" s="18" t="str">
        <f aca="false">'CEMIUP0.9 Raw'!C1482</f>
        <v>45E XLמגן ברך ארוך לבן</v>
      </c>
      <c r="D113" s="19" t="n">
        <f aca="false">'CEMIUP0.9 Raw'!D1482</f>
        <v>1095</v>
      </c>
      <c r="E113" s="19" t="n">
        <f aca="false">'CEMIUP0.9 Raw'!E1482</f>
        <v>30913.974</v>
      </c>
      <c r="F113" s="19" t="n">
        <f aca="false">'CEMIUP0.9 Raw'!F1482</f>
        <v>809.684210526316</v>
      </c>
      <c r="G113" s="19" t="n">
        <f aca="false">'CEMIUP0.9 Raw'!G1482</f>
        <v>22968.0934736842</v>
      </c>
      <c r="H113" s="18" t="str">
        <f aca="false">'CEMIUP0.9 Raw'!A1482</f>
        <v>Super-Pharm Israel (CEMI internal group)</v>
      </c>
    </row>
    <row r="114" customFormat="false" ht="15" hidden="false" customHeight="false" outlineLevel="0" collapsed="false">
      <c r="A114" s="18" t="n">
        <f aca="false">'SALES Raw'!G3143</f>
        <v>4408205</v>
      </c>
      <c r="B114" s="18" t="str">
        <f aca="false">'SALES Raw'!B3143</f>
        <v>AC07 0</v>
      </c>
      <c r="C114" s="18" t="str">
        <f aca="false">'SALES Raw'!H3143</f>
        <v>AC-07 חגורת גב עם תמיכות</v>
      </c>
      <c r="D114" s="19" t="n">
        <f aca="false">'SALES Raw'!C3143</f>
        <v>750</v>
      </c>
      <c r="E114" s="19" t="n">
        <f aca="false">'SALES Raw'!D3143</f>
        <v>29252.74</v>
      </c>
      <c r="F114" s="19" t="n">
        <f aca="false">'SALES Raw'!E3143*$H$4</f>
        <v>808.421052631579</v>
      </c>
      <c r="G114" s="19" t="n">
        <f aca="false">'SALES Raw'!F3143*$H$4</f>
        <v>28810.0547368421</v>
      </c>
      <c r="H114" s="18" t="str">
        <f aca="false">'SALES Raw'!A3143</f>
        <v>204 - Sanaflex Anatomic GREECE</v>
      </c>
    </row>
    <row r="115" customFormat="false" ht="15" hidden="false" customHeight="false" outlineLevel="0" collapsed="false">
      <c r="A115" s="18" t="n">
        <f aca="false">'CEMIUP0.9 Raw'!B1473</f>
        <v>4413095</v>
      </c>
      <c r="B115" s="18" t="str">
        <f aca="false">'CEMIUP0.9 Raw'!C1473</f>
        <v>45 XL מגן ברך לבן</v>
      </c>
      <c r="C115" s="18" t="str">
        <f aca="false">'CEMIUP0.9 Raw'!C1473</f>
        <v>45 XL מגן ברך לבן</v>
      </c>
      <c r="D115" s="19" t="n">
        <f aca="false">'CEMIUP0.9 Raw'!D1473</f>
        <v>1001</v>
      </c>
      <c r="E115" s="19" t="n">
        <f aca="false">'CEMIUP0.9 Raw'!E1473</f>
        <v>23419.214</v>
      </c>
      <c r="F115" s="19" t="n">
        <f aca="false">'CEMIUP0.9 Raw'!F1473</f>
        <v>805.894736842105</v>
      </c>
      <c r="G115" s="19" t="n">
        <f aca="false">'CEMIUP0.9 Raw'!G1473</f>
        <v>19110.5747368421</v>
      </c>
      <c r="H115" s="18" t="str">
        <f aca="false">'CEMIUP0.9 Raw'!A1473</f>
        <v>Super-Pharm Israel (CEMI internal group)</v>
      </c>
    </row>
    <row r="116" customFormat="false" ht="15" hidden="false" customHeight="false" outlineLevel="0" collapsed="false">
      <c r="A116" s="18" t="n">
        <f aca="false">'SALES Raw'!G3654</f>
        <v>4408270</v>
      </c>
      <c r="B116" s="18" t="str">
        <f aca="false">'SALES Raw'!B3654</f>
        <v>ST11 0</v>
      </c>
      <c r="C116" s="18" t="str">
        <f aca="false">'SALES Raw'!H3654</f>
        <v>ST11  חגורת בטן</v>
      </c>
      <c r="D116" s="19" t="n">
        <f aca="false">'SALES Raw'!C3654</f>
        <v>0</v>
      </c>
      <c r="E116" s="19" t="n">
        <f aca="false">'SALES Raw'!D3654</f>
        <v>0</v>
      </c>
      <c r="F116" s="19" t="n">
        <f aca="false">'SALES Raw'!E3654*$H$4</f>
        <v>795.789473684211</v>
      </c>
      <c r="G116" s="19" t="n">
        <f aca="false">'SALES Raw'!F3654*$H$4</f>
        <v>35728.9263157895</v>
      </c>
      <c r="H116" s="18" t="str">
        <f aca="false">'SALES Raw'!A3654</f>
        <v>207 - Salus HUNGARY</v>
      </c>
    </row>
    <row r="117" customFormat="false" ht="15" hidden="false" customHeight="false" outlineLevel="0" collapsed="false">
      <c r="A117" s="18" t="n">
        <f aca="false">'CEMIUP0.9 Raw'!B1601</f>
        <v>4413518</v>
      </c>
      <c r="B117" s="18" t="str">
        <f aca="false">'CEMIUP0.9 Raw'!C1601</f>
        <v>85B XL מתלה רשת לזרוע שחור</v>
      </c>
      <c r="C117" s="18" t="str">
        <f aca="false">'CEMIUP0.9 Raw'!C1601</f>
        <v>85B XL מתלה רשת לזרוע שחור</v>
      </c>
      <c r="D117" s="19" t="n">
        <f aca="false">'CEMIUP0.9 Raw'!D1601</f>
        <v>588</v>
      </c>
      <c r="E117" s="19" t="n">
        <f aca="false">'CEMIUP0.9 Raw'!E1601</f>
        <v>26216.008</v>
      </c>
      <c r="F117" s="19" t="n">
        <f aca="false">'CEMIUP0.9 Raw'!F1601</f>
        <v>785.684210526316</v>
      </c>
      <c r="G117" s="19" t="n">
        <f aca="false">'CEMIUP0.9 Raw'!G1601</f>
        <v>35021.9343157895</v>
      </c>
      <c r="H117" s="18" t="str">
        <f aca="false">'CEMIUP0.9 Raw'!A1601</f>
        <v>Super-Pharm Israel (CEMI internal group)</v>
      </c>
    </row>
    <row r="118" customFormat="false" ht="15" hidden="false" customHeight="false" outlineLevel="0" collapsed="false">
      <c r="A118" s="18" t="n">
        <f aca="false">'SALES Raw'!G3818</f>
        <v>4413060</v>
      </c>
      <c r="B118" s="18" t="str">
        <f aca="false">'SALES Raw'!B3818</f>
        <v>364 XL</v>
      </c>
      <c r="C118" s="18" t="str">
        <f aca="false">'SALES Raw'!H3818</f>
        <v>364 XLמפריד אצבע סיליקון ליבלת</v>
      </c>
      <c r="D118" s="19" t="n">
        <f aca="false">'SALES Raw'!C3818</f>
        <v>970</v>
      </c>
      <c r="E118" s="19" t="n">
        <f aca="false">'SALES Raw'!D3818</f>
        <v>4429.69</v>
      </c>
      <c r="F118" s="19" t="n">
        <f aca="false">'SALES Raw'!E3818*$H$4</f>
        <v>783.157894736842</v>
      </c>
      <c r="G118" s="19" t="n">
        <f aca="false">'SALES Raw'!F3818*$H$4</f>
        <v>3556.96421052632</v>
      </c>
      <c r="H118" s="18" t="str">
        <f aca="false">'SALES Raw'!A3818</f>
        <v>209 - Ortoprofil Prod ROMANIA</v>
      </c>
    </row>
    <row r="119" customFormat="false" ht="15" hidden="false" customHeight="false" outlineLevel="0" collapsed="false">
      <c r="A119" s="18" t="n">
        <f aca="false">'CEMIUP0.9 Raw'!B1264</f>
        <v>4421000</v>
      </c>
      <c r="B119" s="18" t="str">
        <f aca="false">'CEMIUP0.9 Raw'!C1264</f>
        <v>3655 שרוול מסיליקון לאצבע</v>
      </c>
      <c r="C119" s="18" t="str">
        <f aca="false">'CEMIUP0.9 Raw'!C1264</f>
        <v>3655 שרוול מסיליקון לאצבע</v>
      </c>
      <c r="D119" s="19" t="n">
        <f aca="false">'CEMIUP0.9 Raw'!D1264</f>
        <v>885</v>
      </c>
      <c r="E119" s="19" t="n">
        <f aca="false">'CEMIUP0.9 Raw'!E1264</f>
        <v>13576.199</v>
      </c>
      <c r="F119" s="19" t="n">
        <f aca="false">'CEMIUP0.9 Raw'!F1264</f>
        <v>779.368421052632</v>
      </c>
      <c r="G119" s="19" t="n">
        <f aca="false">'CEMIUP0.9 Raw'!G1264</f>
        <v>11943.6063157895</v>
      </c>
      <c r="H119" s="18" t="str">
        <f aca="false">'CEMIUP0.9 Raw'!A1264</f>
        <v>BE (CEMI internal group)</v>
      </c>
    </row>
    <row r="120" customFormat="false" ht="15" hidden="false" customHeight="false" outlineLevel="0" collapsed="false">
      <c r="A120" s="18" t="n">
        <f aca="false">'SALES Raw'!G2960</f>
        <v>4403043</v>
      </c>
      <c r="B120" s="18" t="str">
        <f aca="false">'SALES Raw'!B2960</f>
        <v>397A-43-46</v>
      </c>
      <c r="C120" s="18" t="str">
        <f aca="false">'SALES Raw'!H2960</f>
        <v>397A-גרבי טיסה אנטי בקטרי43-46</v>
      </c>
      <c r="D120" s="19" t="n">
        <f aca="false">'SALES Raw'!C2960</f>
        <v>100</v>
      </c>
      <c r="E120" s="19" t="n">
        <f aca="false">'SALES Raw'!D2960</f>
        <v>3325.21</v>
      </c>
      <c r="F120" s="19" t="n">
        <f aca="false">'SALES Raw'!E2960*$H$4</f>
        <v>757.894736842105</v>
      </c>
      <c r="G120" s="19" t="n">
        <f aca="false">'SALES Raw'!F2960*$H$4</f>
        <v>22148.5136842105</v>
      </c>
      <c r="H120" s="18" t="str">
        <f aca="false">'SALES Raw'!A2960</f>
        <v>202 - Super-Pharm POLAND</v>
      </c>
    </row>
    <row r="121" customFormat="false" ht="15" hidden="false" customHeight="false" outlineLevel="0" collapsed="false">
      <c r="A121" s="18" t="n">
        <f aca="false">'CEMIUP0.9 Raw'!B1472</f>
        <v>4413094</v>
      </c>
      <c r="B121" s="18" t="str">
        <f aca="false">'CEMIUP0.9 Raw'!C1472</f>
        <v>45 S מגן ברך לבן</v>
      </c>
      <c r="C121" s="18" t="str">
        <f aca="false">'CEMIUP0.9 Raw'!C1472</f>
        <v>45 S מגן ברך לבן</v>
      </c>
      <c r="D121" s="19" t="n">
        <f aca="false">'CEMIUP0.9 Raw'!D1472</f>
        <v>956</v>
      </c>
      <c r="E121" s="19" t="n">
        <f aca="false">'CEMIUP0.9 Raw'!E1472</f>
        <v>22384.271</v>
      </c>
      <c r="F121" s="19" t="n">
        <f aca="false">'CEMIUP0.9 Raw'!F1472</f>
        <v>744</v>
      </c>
      <c r="G121" s="19" t="n">
        <f aca="false">'CEMIUP0.9 Raw'!G1472</f>
        <v>17562.1187368421</v>
      </c>
      <c r="H121" s="18" t="str">
        <f aca="false">'CEMIUP0.9 Raw'!A1472</f>
        <v>Super-Pharm Israel (CEMI internal group)</v>
      </c>
    </row>
    <row r="122" customFormat="false" ht="15" hidden="false" customHeight="false" outlineLevel="0" collapsed="false">
      <c r="A122" s="18" t="n">
        <f aca="false">'CEMIUP0.9 Raw'!B1686</f>
        <v>4421006</v>
      </c>
      <c r="B122" s="18" t="str">
        <f aca="false">'CEMIUP0.9 Raw'!C1686</f>
        <v>שרוול לגבס ארוך יד</v>
      </c>
      <c r="C122" s="18" t="str">
        <f aca="false">'CEMIUP0.9 Raw'!C1686</f>
        <v>שרוול לגבס ארוך יד</v>
      </c>
      <c r="D122" s="19" t="n">
        <f aca="false">'CEMIUP0.9 Raw'!D1686</f>
        <v>532</v>
      </c>
      <c r="E122" s="19" t="n">
        <f aca="false">'CEMIUP0.9 Raw'!E1686</f>
        <v>14988.428</v>
      </c>
      <c r="F122" s="19" t="n">
        <f aca="false">'CEMIUP0.9 Raw'!F1686</f>
        <v>738.947368421053</v>
      </c>
      <c r="G122" s="19" t="n">
        <f aca="false">'CEMIUP0.9 Raw'!G1686</f>
        <v>20818.5776842105</v>
      </c>
      <c r="H122" s="18" t="str">
        <f aca="false">'CEMIUP0.9 Raw'!A1686</f>
        <v>Super-Pharm Israel (CEMI internal group)</v>
      </c>
    </row>
    <row r="123" customFormat="false" ht="15" hidden="false" customHeight="false" outlineLevel="0" collapsed="false">
      <c r="A123" s="18" t="n">
        <f aca="false">'CEMIUP0.9 Raw'!B1699</f>
        <v>4422032</v>
      </c>
      <c r="B123" s="18" t="str">
        <f aca="false">'CEMIUP0.9 Raw'!C1699</f>
        <v>807B-Bתחבושת נצמדת שחור 20 מ""מ</v>
      </c>
      <c r="C123" s="18" t="str">
        <f aca="false">'CEMIUP0.9 Raw'!C1699</f>
        <v>807B-Bתחבושת נצמדת שחור 20 מ""מ</v>
      </c>
      <c r="D123" s="19" t="n">
        <f aca="false">'CEMIUP0.9 Raw'!D1699</f>
        <v>1790</v>
      </c>
      <c r="E123" s="19" t="n">
        <f aca="false">'CEMIUP0.9 Raw'!E1699</f>
        <v>16529.877</v>
      </c>
      <c r="F123" s="19" t="n">
        <f aca="false">'CEMIUP0.9 Raw'!F1699</f>
        <v>732.631578947368</v>
      </c>
      <c r="G123" s="19" t="n">
        <f aca="false">'CEMIUP0.9 Raw'!G1699</f>
        <v>6830.28757894737</v>
      </c>
      <c r="H123" s="18" t="str">
        <f aca="false">'CEMIUP0.9 Raw'!A1699</f>
        <v>Super-Pharm Israel (CEMI internal group)</v>
      </c>
    </row>
    <row r="124" customFormat="false" ht="15" hidden="false" customHeight="false" outlineLevel="0" collapsed="false">
      <c r="A124" s="18" t="n">
        <f aca="false">'CEMIUP0.9 Raw'!B1333</f>
        <v>4408054</v>
      </c>
      <c r="B124" s="18" t="str">
        <f aca="false">'CEMIUP0.9 Raw'!C1333</f>
        <v>21 XL חבק יד ארוך</v>
      </c>
      <c r="C124" s="18" t="str">
        <f aca="false">'CEMIUP0.9 Raw'!C1333</f>
        <v>21 XL חבק יד ארוך</v>
      </c>
      <c r="D124" s="19" t="n">
        <f aca="false">'CEMIUP0.9 Raw'!D1333</f>
        <v>801</v>
      </c>
      <c r="E124" s="19" t="n">
        <f aca="false">'CEMIUP0.9 Raw'!E1333</f>
        <v>23805.6</v>
      </c>
      <c r="F124" s="19" t="n">
        <f aca="false">'CEMIUP0.9 Raw'!F1333</f>
        <v>731.368421052632</v>
      </c>
      <c r="G124" s="19" t="n">
        <f aca="false">'CEMIUP0.9 Raw'!G1333</f>
        <v>21927.36</v>
      </c>
      <c r="H124" s="18" t="str">
        <f aca="false">'CEMIUP0.9 Raw'!A1333</f>
        <v>Super-Pharm Israel (CEMI internal group)</v>
      </c>
    </row>
    <row r="125" customFormat="false" ht="15" hidden="false" customHeight="false" outlineLevel="0" collapsed="false">
      <c r="A125" s="18" t="n">
        <f aca="false">'CEMIUP0.9 Raw'!B1563</f>
        <v>4413366</v>
      </c>
      <c r="B125" s="18" t="str">
        <f aca="false">'CEMIUP0.9 Raw'!C1563</f>
        <v>95C S 'מגן מרפק בז</v>
      </c>
      <c r="C125" s="18" t="str">
        <f aca="false">'CEMIUP0.9 Raw'!C1563</f>
        <v>95C S 'מגן מרפק בז</v>
      </c>
      <c r="D125" s="19" t="n">
        <f aca="false">'CEMIUP0.9 Raw'!D1563</f>
        <v>833</v>
      </c>
      <c r="E125" s="19" t="n">
        <f aca="false">'CEMIUP0.9 Raw'!E1563</f>
        <v>19474.364</v>
      </c>
      <c r="F125" s="19" t="n">
        <f aca="false">'CEMIUP0.9 Raw'!F1563</f>
        <v>731.368421052632</v>
      </c>
      <c r="G125" s="19" t="n">
        <f aca="false">'CEMIUP0.9 Raw'!G1563</f>
        <v>17343.2589473684</v>
      </c>
      <c r="H125" s="18" t="str">
        <f aca="false">'CEMIUP0.9 Raw'!A1563</f>
        <v>Super-Pharm Israel (CEMI internal group)</v>
      </c>
    </row>
    <row r="126" customFormat="false" ht="15" hidden="false" customHeight="false" outlineLevel="0" collapsed="false">
      <c r="A126" s="18" t="n">
        <f aca="false">'SALES Raw'!G3354</f>
        <v>4401000</v>
      </c>
      <c r="B126" s="18" t="str">
        <f aca="false">'SALES Raw'!B3354</f>
        <v>369-S-L</v>
      </c>
      <c r="C126" s="18" t="str">
        <f aca="false">'SALES Raw'!H3354</f>
        <v>369  S-L אצבעון מסיליקון יחידה</v>
      </c>
      <c r="D126" s="19" t="n">
        <f aca="false">'SALES Raw'!C3354</f>
        <v>980</v>
      </c>
      <c r="E126" s="19" t="n">
        <f aca="false">'SALES Raw'!D3354</f>
        <v>10238.3</v>
      </c>
      <c r="F126" s="19" t="n">
        <f aca="false">'SALES Raw'!E3354*$H$4</f>
        <v>727.578947368421</v>
      </c>
      <c r="G126" s="19" t="n">
        <f aca="false">'SALES Raw'!F3354*$H$4</f>
        <v>6860.4252631579</v>
      </c>
      <c r="H126" s="18" t="str">
        <f aca="false">'SALES Raw'!A3354</f>
        <v>205 - Health Care Prod. Gmbh GERMANY</v>
      </c>
    </row>
    <row r="127" customFormat="false" ht="15" hidden="false" customHeight="false" outlineLevel="0" collapsed="false">
      <c r="A127" s="18" t="n">
        <f aca="false">'CEMIUP0.9 Raw'!B1372</f>
        <v>4408208</v>
      </c>
      <c r="B127" s="18" t="str">
        <f aca="false">'CEMIUP0.9 Raw'!C1372</f>
        <v>AC91 חבק טניס</v>
      </c>
      <c r="C127" s="18" t="str">
        <f aca="false">'CEMIUP0.9 Raw'!C1372</f>
        <v>AC91 חבק טניס</v>
      </c>
      <c r="D127" s="19" t="n">
        <f aca="false">'CEMIUP0.9 Raw'!D1372</f>
        <v>803</v>
      </c>
      <c r="E127" s="19" t="n">
        <f aca="false">'CEMIUP0.9 Raw'!E1372</f>
        <v>19483.646</v>
      </c>
      <c r="F127" s="19" t="n">
        <f aca="false">'CEMIUP0.9 Raw'!F1372</f>
        <v>721.263157894737</v>
      </c>
      <c r="G127" s="19" t="n">
        <f aca="false">'CEMIUP0.9 Raw'!G1372</f>
        <v>18089.8421052632</v>
      </c>
      <c r="H127" s="18" t="str">
        <f aca="false">'CEMIUP0.9 Raw'!A1372</f>
        <v>Super-Pharm Israel (CEMI internal group)</v>
      </c>
    </row>
    <row r="128" customFormat="false" ht="15" hidden="false" customHeight="false" outlineLevel="0" collapsed="false">
      <c r="A128" s="18" t="n">
        <f aca="false">'CEMIUP0.9 Raw'!B1407</f>
        <v>4409004</v>
      </c>
      <c r="B128" s="18" t="str">
        <f aca="false">'CEMIUP0.9 Raw'!C1407</f>
        <v>FC335 טלק מעושר באלוורה</v>
      </c>
      <c r="C128" s="18" t="str">
        <f aca="false">'CEMIUP0.9 Raw'!C1407</f>
        <v>FC335 טלק מעושר באלוורה</v>
      </c>
      <c r="D128" s="19" t="n">
        <f aca="false">'CEMIUP0.9 Raw'!D1407</f>
        <v>1282</v>
      </c>
      <c r="E128" s="19" t="n">
        <f aca="false">'CEMIUP0.9 Raw'!E1407</f>
        <v>18807.971</v>
      </c>
      <c r="F128" s="19" t="n">
        <f aca="false">'CEMIUP0.9 Raw'!F1407</f>
        <v>709.894736842105</v>
      </c>
      <c r="G128" s="19" t="n">
        <f aca="false">'CEMIUP0.9 Raw'!G1407</f>
        <v>10715.3936842105</v>
      </c>
      <c r="H128" s="18" t="str">
        <f aca="false">'CEMIUP0.9 Raw'!A1407</f>
        <v>Super-Pharm Israel (CEMI internal group)</v>
      </c>
    </row>
    <row r="129" customFormat="false" ht="15" hidden="false" customHeight="false" outlineLevel="0" collapsed="false">
      <c r="A129" s="18" t="n">
        <f aca="false">'CEMIUP0.9 Raw'!B870</f>
        <v>4421000</v>
      </c>
      <c r="B129" s="18" t="str">
        <f aca="false">'CEMIUP0.9 Raw'!C870</f>
        <v>3655 שרוול מסיליקון לאצבע</v>
      </c>
      <c r="C129" s="18" t="str">
        <f aca="false">'CEMIUP0.9 Raw'!C870</f>
        <v>3655 שרוול מסיליקון לאצבע</v>
      </c>
      <c r="D129" s="19" t="n">
        <f aca="false">'CEMIUP0.9 Raw'!D870</f>
        <v>1110</v>
      </c>
      <c r="E129" s="19" t="n">
        <f aca="false">'CEMIUP0.9 Raw'!E870</f>
        <v>13519.8</v>
      </c>
      <c r="F129" s="19" t="n">
        <f aca="false">'CEMIUP0.9 Raw'!F870</f>
        <v>701.052631578947</v>
      </c>
      <c r="G129" s="19" t="n">
        <f aca="false">'CEMIUP0.9 Raw'!G870</f>
        <v>8006.44294736842</v>
      </c>
      <c r="H129" s="18" t="str">
        <f aca="false">'CEMIUP0.9 Raw'!A870</f>
        <v>113 - Kupat Holim Meuhedet</v>
      </c>
    </row>
    <row r="130" customFormat="false" ht="15" hidden="false" customHeight="false" outlineLevel="0" collapsed="false">
      <c r="A130" s="18" t="n">
        <f aca="false">'CEMIUP0.9 Raw'!B1611</f>
        <v>4413529</v>
      </c>
      <c r="B130" s="18" t="str">
        <f aca="false">'CEMIUP0.9 Raw'!C1611</f>
        <v>43-47 מדרסי אפיק ג'ל עבודה</v>
      </c>
      <c r="C130" s="18" t="str">
        <f aca="false">'CEMIUP0.9 Raw'!C1611</f>
        <v>43-47 מדרסי אפיק ג'ל עבודה</v>
      </c>
      <c r="D130" s="19" t="n">
        <f aca="false">'CEMIUP0.9 Raw'!D1611</f>
        <v>1132</v>
      </c>
      <c r="E130" s="19" t="n">
        <f aca="false">'CEMIUP0.9 Raw'!E1611</f>
        <v>96169.983</v>
      </c>
      <c r="F130" s="19" t="n">
        <f aca="false">'CEMIUP0.9 Raw'!F1611</f>
        <v>698.526315789474</v>
      </c>
      <c r="G130" s="19" t="n">
        <f aca="false">'CEMIUP0.9 Raw'!G1611</f>
        <v>63411.9802105263</v>
      </c>
      <c r="H130" s="18" t="str">
        <f aca="false">'CEMIUP0.9 Raw'!A1611</f>
        <v>Super-Pharm Israel (CEMI internal group)</v>
      </c>
    </row>
    <row r="131" customFormat="false" ht="15" hidden="false" customHeight="false" outlineLevel="0" collapsed="false">
      <c r="A131" s="18" t="str">
        <f aca="false">'SALES Raw'!G3092</f>
        <v/>
      </c>
      <c r="B131" s="18" t="str">
        <f aca="false">'SALES Raw'!B3092</f>
        <v>49PS XL</v>
      </c>
      <c r="C131" s="18" t="str">
        <f aca="false">'SALES Raw'!H3092</f>
        <v>49PS XL</v>
      </c>
      <c r="D131" s="19" t="n">
        <f aca="false">'SALES Raw'!C3092</f>
        <v>457</v>
      </c>
      <c r="E131" s="19" t="n">
        <f aca="false">'SALES Raw'!D3092</f>
        <v>26963.79</v>
      </c>
      <c r="F131" s="19" t="n">
        <f aca="false">'SALES Raw'!E3092*$H$4</f>
        <v>694.736842105263</v>
      </c>
      <c r="G131" s="19" t="n">
        <f aca="false">'SALES Raw'!F3092*$H$4</f>
        <v>40255.1873684211</v>
      </c>
      <c r="H131" s="18" t="str">
        <f aca="false">'SALES Raw'!A3092</f>
        <v>203 - Ortho- Partner ag SWITZERLAND</v>
      </c>
    </row>
    <row r="132" customFormat="false" ht="15" hidden="false" customHeight="false" outlineLevel="0" collapsed="false">
      <c r="A132" s="18" t="n">
        <f aca="false">'CEMIUP0.9 Raw'!B743</f>
        <v>4408267</v>
      </c>
      <c r="B132" s="18" t="str">
        <f aca="false">'CEMIUP0.9 Raw'!C743</f>
        <v>ST25 חבק שורש לכף היד</v>
      </c>
      <c r="C132" s="18" t="str">
        <f aca="false">'CEMIUP0.9 Raw'!C743</f>
        <v>ST25 חבק שורש לכף היד</v>
      </c>
      <c r="D132" s="19" t="n">
        <f aca="false">'CEMIUP0.9 Raw'!D743</f>
        <v>474</v>
      </c>
      <c r="E132" s="19" t="n">
        <f aca="false">'CEMIUP0.9 Raw'!E743</f>
        <v>8769</v>
      </c>
      <c r="F132" s="19" t="n">
        <f aca="false">'CEMIUP0.9 Raw'!F743</f>
        <v>692.21052631579</v>
      </c>
      <c r="G132" s="19" t="n">
        <f aca="false">'CEMIUP0.9 Raw'!G743</f>
        <v>11761.9402105263</v>
      </c>
      <c r="H132" s="18" t="str">
        <f aca="false">'CEMIUP0.9 Raw'!A743</f>
        <v>113 - Kupat Holim Meuhedet</v>
      </c>
    </row>
    <row r="133" customFormat="false" ht="15" hidden="false" customHeight="false" outlineLevel="0" collapsed="false">
      <c r="A133" s="18" t="n">
        <f aca="false">'SALES Raw'!G3176</f>
        <v>4415158</v>
      </c>
      <c r="B133" s="18" t="str">
        <f aca="false">'SALES Raw'!B3176</f>
        <v>266 0</v>
      </c>
      <c r="C133" s="18" t="str">
        <f aca="false">'SALES Raw'!H3176</f>
        <v>266 סד ליד דו צדדי</v>
      </c>
      <c r="D133" s="19" t="n">
        <f aca="false">'SALES Raw'!C3176</f>
        <v>630</v>
      </c>
      <c r="E133" s="19" t="n">
        <f aca="false">'SALES Raw'!D3176</f>
        <v>13891.34</v>
      </c>
      <c r="F133" s="19" t="n">
        <f aca="false">'SALES Raw'!E3176*$H$4</f>
        <v>682.105263157895</v>
      </c>
      <c r="G133" s="19" t="n">
        <f aca="false">'SALES Raw'!F3176*$H$4</f>
        <v>13454.9052631579</v>
      </c>
      <c r="H133" s="18" t="str">
        <f aca="false">'SALES Raw'!A3176</f>
        <v>204 - Sanaflex Anatomic GREECE</v>
      </c>
    </row>
    <row r="134" customFormat="false" ht="15" hidden="false" customHeight="false" outlineLevel="0" collapsed="false">
      <c r="A134" s="18" t="n">
        <f aca="false">'CEMIUP0.9 Raw'!B1703</f>
        <v>4422036</v>
      </c>
      <c r="B134" s="18" t="str">
        <f aca="false">'CEMIUP0.9 Raw'!C1703</f>
        <v>FC334  תרסיס דאודורנט לכף הרגל</v>
      </c>
      <c r="C134" s="18" t="str">
        <f aca="false">'CEMIUP0.9 Raw'!C1703</f>
        <v>FC334  תרסיס דאודורנט לכף הרגל</v>
      </c>
      <c r="D134" s="19" t="n">
        <f aca="false">'CEMIUP0.9 Raw'!D1703</f>
        <v>583</v>
      </c>
      <c r="E134" s="19" t="n">
        <f aca="false">'CEMIUP0.9 Raw'!E1703</f>
        <v>11522.42</v>
      </c>
      <c r="F134" s="19" t="n">
        <f aca="false">'CEMIUP0.9 Raw'!F1703</f>
        <v>677.052631578947</v>
      </c>
      <c r="G134" s="19" t="n">
        <f aca="false">'CEMIUP0.9 Raw'!G1703</f>
        <v>12277.1835789474</v>
      </c>
      <c r="H134" s="18" t="str">
        <f aca="false">'CEMIUP0.9 Raw'!A1703</f>
        <v>Super-Pharm Israel (CEMI internal group)</v>
      </c>
    </row>
    <row r="135" customFormat="false" ht="15" hidden="false" customHeight="false" outlineLevel="0" collapsed="false">
      <c r="A135" s="18" t="n">
        <f aca="false">'CEMIUP0.9 Raw'!B532</f>
        <v>4419006</v>
      </c>
      <c r="B135" s="18" t="str">
        <f aca="false">'CEMIUP0.9 Raw'!C532</f>
        <v>PD340-קוצץ ציפורניים</v>
      </c>
      <c r="C135" s="18" t="str">
        <f aca="false">'CEMIUP0.9 Raw'!C532</f>
        <v>PD340-קוצץ ציפורניים</v>
      </c>
      <c r="D135" s="19" t="n">
        <f aca="false">'CEMIUP0.9 Raw'!D532</f>
        <v>1063</v>
      </c>
      <c r="E135" s="19" t="n">
        <f aca="false">'CEMIUP0.9 Raw'!E532</f>
        <v>13242.775</v>
      </c>
      <c r="F135" s="19" t="n">
        <f aca="false">'CEMIUP0.9 Raw'!F532</f>
        <v>674.526315789474</v>
      </c>
      <c r="G135" s="19" t="n">
        <f aca="false">'CEMIUP0.9 Raw'!G532</f>
        <v>8603.81052631579</v>
      </c>
      <c r="H135" s="18" t="str">
        <f aca="false">'CEMIUP0.9 Raw'!A532</f>
        <v>107 - Pharmacies</v>
      </c>
    </row>
    <row r="136" customFormat="false" ht="15" hidden="false" customHeight="false" outlineLevel="0" collapsed="false">
      <c r="A136" s="18" t="n">
        <f aca="false">'CEMIUP0.9 Raw'!B1228</f>
        <v>4415161</v>
      </c>
      <c r="B136" s="18" t="str">
        <f aca="false">'CEMIUP0.9 Raw'!C1228</f>
        <v>238M סד ליישור אצבע</v>
      </c>
      <c r="C136" s="18" t="str">
        <f aca="false">'CEMIUP0.9 Raw'!C1228</f>
        <v>238M סד ליישור אצבע</v>
      </c>
      <c r="D136" s="19" t="n">
        <f aca="false">'CEMIUP0.9 Raw'!D1228</f>
        <v>577</v>
      </c>
      <c r="E136" s="19" t="n">
        <f aca="false">'CEMIUP0.9 Raw'!E1228</f>
        <v>8086.078</v>
      </c>
      <c r="F136" s="19" t="n">
        <f aca="false">'CEMIUP0.9 Raw'!F1228</f>
        <v>673.263157894737</v>
      </c>
      <c r="G136" s="19" t="n">
        <f aca="false">'CEMIUP0.9 Raw'!G1228</f>
        <v>9435.10989473684</v>
      </c>
      <c r="H136" s="18" t="str">
        <f aca="false">'CEMIUP0.9 Raw'!A1228</f>
        <v>BE (CEMI internal group)</v>
      </c>
    </row>
    <row r="137" customFormat="false" ht="15" hidden="false" customHeight="false" outlineLevel="0" collapsed="false">
      <c r="A137" s="18" t="n">
        <f aca="false">'SALES Raw'!G3318</f>
        <v>4413326</v>
      </c>
      <c r="B137" s="18" t="str">
        <f aca="false">'SALES Raw'!B3318</f>
        <v>AC37 0</v>
      </c>
      <c r="C137" s="18" t="str">
        <f aca="false">'SALES Raw'!H3318</f>
        <v>AC37 מגן קרסול נושם</v>
      </c>
      <c r="D137" s="19" t="n">
        <f aca="false">'SALES Raw'!C3318</f>
        <v>380</v>
      </c>
      <c r="E137" s="19" t="n">
        <f aca="false">'SALES Raw'!D3318</f>
        <v>7011.67</v>
      </c>
      <c r="F137" s="19" t="n">
        <f aca="false">'SALES Raw'!E3318*$H$4</f>
        <v>669.473684210526</v>
      </c>
      <c r="G137" s="19" t="n">
        <f aca="false">'SALES Raw'!F3318*$H$4</f>
        <v>10905.2715789474</v>
      </c>
      <c r="H137" s="18" t="str">
        <f aca="false">'SALES Raw'!A3318</f>
        <v>204 - Sanaflex Anatomic GREECE</v>
      </c>
    </row>
    <row r="138" customFormat="false" ht="15" hidden="false" customHeight="false" outlineLevel="0" collapsed="false">
      <c r="A138" s="18" t="n">
        <f aca="false">'CEMIUP0.9 Raw'!B1074</f>
        <v>4413059</v>
      </c>
      <c r="B138" s="18" t="str">
        <f aca="false">'CEMIUP0.9 Raw'!C1074</f>
        <v>364S Lמפר.אצבע סיליק. ליבל.זוג</v>
      </c>
      <c r="C138" s="18" t="str">
        <f aca="false">'CEMIUP0.9 Raw'!C1074</f>
        <v>364S Lמפר.אצבע סיליק. ליבל.זוג</v>
      </c>
      <c r="D138" s="19" t="n">
        <f aca="false">'CEMIUP0.9 Raw'!D1074</f>
        <v>662</v>
      </c>
      <c r="E138" s="19" t="n">
        <f aca="false">'CEMIUP0.9 Raw'!E1074</f>
        <v>8151.143</v>
      </c>
      <c r="F138" s="19" t="n">
        <f aca="false">'CEMIUP0.9 Raw'!F1074</f>
        <v>660.631578947368</v>
      </c>
      <c r="G138" s="19" t="n">
        <f aca="false">'CEMIUP0.9 Raw'!G1074</f>
        <v>8150.57305263158</v>
      </c>
      <c r="H138" s="18" t="str">
        <f aca="false">'CEMIUP0.9 Raw'!A1074</f>
        <v>BE (CEMI internal group)</v>
      </c>
    </row>
    <row r="139" customFormat="false" ht="15" hidden="false" customHeight="false" outlineLevel="0" collapsed="false">
      <c r="A139" s="18" t="n">
        <f aca="false">'SALES Raw'!G2959</f>
        <v>4403042</v>
      </c>
      <c r="B139" s="18" t="str">
        <f aca="false">'SALES Raw'!B2959</f>
        <v>397A-39-42</v>
      </c>
      <c r="C139" s="18" t="str">
        <f aca="false">'SALES Raw'!H2959</f>
        <v>397A-גרבי טיסה אנטי בקטרי39-42</v>
      </c>
      <c r="D139" s="19" t="n">
        <f aca="false">'SALES Raw'!C2959</f>
        <v>151</v>
      </c>
      <c r="E139" s="19" t="n">
        <f aca="false">'SALES Raw'!D2959</f>
        <v>4987.86</v>
      </c>
      <c r="F139" s="19" t="n">
        <f aca="false">'SALES Raw'!E2959*$H$4</f>
        <v>656.842105263158</v>
      </c>
      <c r="G139" s="19" t="n">
        <f aca="false">'SALES Raw'!F2959*$H$4</f>
        <v>19001.4189473684</v>
      </c>
      <c r="H139" s="18" t="str">
        <f aca="false">'SALES Raw'!A2959</f>
        <v>202 - Super-Pharm POLAND</v>
      </c>
    </row>
    <row r="140" customFormat="false" ht="15" hidden="false" customHeight="false" outlineLevel="0" collapsed="false">
      <c r="A140" s="18" t="n">
        <f aca="false">'CEMIUP0.9 Raw'!B1242</f>
        <v>4419006</v>
      </c>
      <c r="B140" s="18" t="str">
        <f aca="false">'CEMIUP0.9 Raw'!C1242</f>
        <v>PD340-קוצץ ציפורניים</v>
      </c>
      <c r="C140" s="18" t="str">
        <f aca="false">'CEMIUP0.9 Raw'!C1242</f>
        <v>PD340-קוצץ ציפורניים</v>
      </c>
      <c r="D140" s="19" t="n">
        <f aca="false">'CEMIUP0.9 Raw'!D1242</f>
        <v>928</v>
      </c>
      <c r="E140" s="19" t="n">
        <f aca="false">'CEMIUP0.9 Raw'!E1242</f>
        <v>11106.641</v>
      </c>
      <c r="F140" s="19" t="n">
        <f aca="false">'CEMIUP0.9 Raw'!F1242</f>
        <v>649.263157894737</v>
      </c>
      <c r="G140" s="19" t="n">
        <f aca="false">'CEMIUP0.9 Raw'!G1242</f>
        <v>7770.672</v>
      </c>
      <c r="H140" s="18" t="str">
        <f aca="false">'CEMIUP0.9 Raw'!A1242</f>
        <v>BE (CEMI internal group)</v>
      </c>
    </row>
    <row r="141" customFormat="false" ht="15" hidden="false" customHeight="false" outlineLevel="0" collapsed="false">
      <c r="A141" s="18" t="n">
        <f aca="false">'CEMIUP0.9 Raw'!B582</f>
        <v>4422024</v>
      </c>
      <c r="B141" s="18" t="str">
        <f aca="false">'CEMIUP0.9 Raw'!C582</f>
        <v>806CB-BLACK      תחבושת א.נצמ</v>
      </c>
      <c r="C141" s="18" t="str">
        <f aca="false">'CEMIUP0.9 Raw'!C582</f>
        <v>806CB-BLACK      תחבושת א.נצמ</v>
      </c>
      <c r="D141" s="19" t="n">
        <f aca="false">'CEMIUP0.9 Raw'!D582</f>
        <v>968</v>
      </c>
      <c r="E141" s="19" t="n">
        <f aca="false">'CEMIUP0.9 Raw'!E582</f>
        <v>8862.001</v>
      </c>
      <c r="F141" s="19" t="n">
        <f aca="false">'CEMIUP0.9 Raw'!F582</f>
        <v>648</v>
      </c>
      <c r="G141" s="19" t="n">
        <f aca="false">'CEMIUP0.9 Raw'!G582</f>
        <v>6520.8492631579</v>
      </c>
      <c r="H141" s="18" t="str">
        <f aca="false">'CEMIUP0.9 Raw'!A582</f>
        <v>107 - Pharmacies</v>
      </c>
    </row>
    <row r="142" customFormat="false" ht="15" hidden="false" customHeight="false" outlineLevel="0" collapsed="false">
      <c r="A142" s="18" t="n">
        <f aca="false">'CEMIUP0.9 Raw'!B1602</f>
        <v>4413519</v>
      </c>
      <c r="B142" s="18" t="str">
        <f aca="false">'CEMIUP0.9 Raw'!C1602</f>
        <v>85B S מתלה רשת לזרוע שחור</v>
      </c>
      <c r="C142" s="18" t="str">
        <f aca="false">'CEMIUP0.9 Raw'!C1602</f>
        <v>85B S מתלה רשת לזרוע שחור</v>
      </c>
      <c r="D142" s="19" t="n">
        <f aca="false">'CEMIUP0.9 Raw'!D1602</f>
        <v>464</v>
      </c>
      <c r="E142" s="19" t="n">
        <f aca="false">'CEMIUP0.9 Raw'!E1602</f>
        <v>20726.979</v>
      </c>
      <c r="F142" s="19" t="n">
        <f aca="false">'CEMIUP0.9 Raw'!F1602</f>
        <v>636.631578947368</v>
      </c>
      <c r="G142" s="19" t="n">
        <f aca="false">'CEMIUP0.9 Raw'!G1602</f>
        <v>28370.5048421053</v>
      </c>
      <c r="H142" s="18" t="str">
        <f aca="false">'CEMIUP0.9 Raw'!A1602</f>
        <v>Super-Pharm Israel (CEMI internal group)</v>
      </c>
    </row>
    <row r="143" customFormat="false" ht="15" hidden="false" customHeight="false" outlineLevel="0" collapsed="false">
      <c r="A143" s="18" t="n">
        <f aca="false">'SALES Raw'!G2944</f>
        <v>4420002</v>
      </c>
      <c r="B143" s="18" t="str">
        <f aca="false">'SALES Raw'!B2944</f>
        <v>372 0</v>
      </c>
      <c r="C143" s="18" t="str">
        <f aca="false">'SALES Raw'!H2944</f>
        <v>372 רפידת אנטי ריח -זוג</v>
      </c>
      <c r="D143" s="19" t="n">
        <f aca="false">'SALES Raw'!C2944</f>
        <v>1100</v>
      </c>
      <c r="E143" s="19" t="n">
        <f aca="false">'SALES Raw'!D2944</f>
        <v>9165.26</v>
      </c>
      <c r="F143" s="19" t="n">
        <f aca="false">'SALES Raw'!E2944*$H$4</f>
        <v>631.578947368421</v>
      </c>
      <c r="G143" s="19" t="n">
        <f aca="false">'SALES Raw'!F2944*$H$4</f>
        <v>4812.13894736842</v>
      </c>
      <c r="H143" s="18" t="str">
        <f aca="false">'SALES Raw'!A2944</f>
        <v>202 - Super-Pharm POLAND</v>
      </c>
    </row>
    <row r="144" customFormat="false" ht="15" hidden="false" customHeight="false" outlineLevel="0" collapsed="false">
      <c r="A144" s="18" t="n">
        <f aca="false">'SALES Raw'!G2945</f>
        <v>4420003</v>
      </c>
      <c r="B144" s="18" t="str">
        <f aca="false">'SALES Raw'!B2945</f>
        <v>374 0</v>
      </c>
      <c r="C144" s="18" t="str">
        <f aca="false">'SALES Raw'!H2945</f>
        <v>374 רפידת בולמת זעזועים -זוג</v>
      </c>
      <c r="D144" s="19" t="n">
        <f aca="false">'SALES Raw'!C2945</f>
        <v>650</v>
      </c>
      <c r="E144" s="19" t="n">
        <f aca="false">'SALES Raw'!D2945</f>
        <v>5869.12</v>
      </c>
      <c r="F144" s="19" t="n">
        <f aca="false">'SALES Raw'!E2945*$H$4</f>
        <v>631.578947368421</v>
      </c>
      <c r="G144" s="19" t="n">
        <f aca="false">'SALES Raw'!F2945*$H$4</f>
        <v>5259.77684210526</v>
      </c>
      <c r="H144" s="18" t="str">
        <f aca="false">'SALES Raw'!A2945</f>
        <v>202 - Super-Pharm POLAND</v>
      </c>
    </row>
    <row r="145" customFormat="false" ht="15" hidden="false" customHeight="false" outlineLevel="0" collapsed="false">
      <c r="A145" s="18" t="n">
        <f aca="false">'CEMIUP0.9 Raw'!B369</f>
        <v>4413329</v>
      </c>
      <c r="B145" s="18" t="str">
        <f aca="false">'CEMIUP0.9 Raw'!C369</f>
        <v>AC45X מגן ברך עם תמיכות</v>
      </c>
      <c r="C145" s="18" t="str">
        <f aca="false">'CEMIUP0.9 Raw'!C369</f>
        <v>AC45X מגן ברך עם תמיכות</v>
      </c>
      <c r="D145" s="19" t="n">
        <f aca="false">'CEMIUP0.9 Raw'!D369</f>
        <v>560</v>
      </c>
      <c r="E145" s="19" t="n">
        <f aca="false">'CEMIUP0.9 Raw'!E369</f>
        <v>34028.83</v>
      </c>
      <c r="F145" s="19" t="n">
        <f aca="false">'CEMIUP0.9 Raw'!F369</f>
        <v>630.315789473684</v>
      </c>
      <c r="G145" s="19" t="n">
        <f aca="false">'CEMIUP0.9 Raw'!G369</f>
        <v>38814.9536842105</v>
      </c>
      <c r="H145" s="18" t="str">
        <f aca="false">'CEMIUP0.9 Raw'!A369</f>
        <v>107 - Pharmacies</v>
      </c>
    </row>
    <row r="146" customFormat="false" ht="15" hidden="false" customHeight="false" outlineLevel="0" collapsed="false">
      <c r="A146" s="18" t="n">
        <f aca="false">'CEMIUP0.9 Raw'!B848</f>
        <v>4415159</v>
      </c>
      <c r="B146" s="18" t="str">
        <f aca="false">'CEMIUP0.9 Raw'!C848</f>
        <v>268 סד לאגודל</v>
      </c>
      <c r="C146" s="18" t="str">
        <f aca="false">'CEMIUP0.9 Raw'!C848</f>
        <v>268 סד לאגודל</v>
      </c>
      <c r="D146" s="19" t="n">
        <f aca="false">'CEMIUP0.9 Raw'!D848</f>
        <v>671</v>
      </c>
      <c r="E146" s="19" t="n">
        <f aca="false">'CEMIUP0.9 Raw'!E848</f>
        <v>52203.8</v>
      </c>
      <c r="F146" s="19" t="n">
        <f aca="false">'CEMIUP0.9 Raw'!F848</f>
        <v>621.473684210526</v>
      </c>
      <c r="G146" s="19" t="n">
        <f aca="false">'CEMIUP0.9 Raw'!G848</f>
        <v>45927.2235789474</v>
      </c>
      <c r="H146" s="18" t="str">
        <f aca="false">'CEMIUP0.9 Raw'!A848</f>
        <v>113 - Kupat Holim Meuhedet</v>
      </c>
    </row>
    <row r="147" customFormat="false" ht="15" hidden="false" customHeight="false" outlineLevel="0" collapsed="false">
      <c r="A147" s="18" t="n">
        <f aca="false">'CEMIUP0.9 Raw'!B1271</f>
        <v>4422024</v>
      </c>
      <c r="B147" s="18" t="str">
        <f aca="false">'CEMIUP0.9 Raw'!C1271</f>
        <v>806CB-BLACK      תחבושת א.נצמ</v>
      </c>
      <c r="C147" s="18" t="str">
        <f aca="false">'CEMIUP0.9 Raw'!C1271</f>
        <v>806CB-BLACK      תחבושת א.נצמ</v>
      </c>
      <c r="D147" s="19" t="n">
        <f aca="false">'CEMIUP0.9 Raw'!D1271</f>
        <v>602</v>
      </c>
      <c r="E147" s="19" t="n">
        <f aca="false">'CEMIUP0.9 Raw'!E1271</f>
        <v>6018.649</v>
      </c>
      <c r="F147" s="19" t="n">
        <f aca="false">'CEMIUP0.9 Raw'!F1271</f>
        <v>618.947368421053</v>
      </c>
      <c r="G147" s="19" t="n">
        <f aca="false">'CEMIUP0.9 Raw'!G1271</f>
        <v>6188.8812631579</v>
      </c>
      <c r="H147" s="18" t="str">
        <f aca="false">'CEMIUP0.9 Raw'!A1271</f>
        <v>BE (CEMI internal group)</v>
      </c>
    </row>
    <row r="148" customFormat="false" ht="15" hidden="false" customHeight="false" outlineLevel="0" collapsed="false">
      <c r="A148" s="18" t="n">
        <f aca="false">'SALES Raw'!G3659</f>
        <v>4408269</v>
      </c>
      <c r="B148" s="18" t="str">
        <f aca="false">'SALES Raw'!B3659</f>
        <v>ST37 0</v>
      </c>
      <c r="C148" s="18" t="str">
        <f aca="false">'SALES Raw'!H3659</f>
        <v>ST37 חבק לקרסול</v>
      </c>
      <c r="D148" s="19" t="n">
        <f aca="false">'SALES Raw'!C3659</f>
        <v>550</v>
      </c>
      <c r="E148" s="19" t="n">
        <f aca="false">'SALES Raw'!D3659</f>
        <v>8740.02</v>
      </c>
      <c r="F148" s="19" t="n">
        <f aca="false">'SALES Raw'!E3659*$H$4</f>
        <v>618.947368421053</v>
      </c>
      <c r="G148" s="19" t="n">
        <f aca="false">'SALES Raw'!F3659*$H$4</f>
        <v>8741.68421052632</v>
      </c>
      <c r="H148" s="18" t="str">
        <f aca="false">'SALES Raw'!A3659</f>
        <v>207 - Salus HUNGARY</v>
      </c>
    </row>
    <row r="149" customFormat="false" ht="15" hidden="false" customHeight="false" outlineLevel="0" collapsed="false">
      <c r="A149" s="18" t="n">
        <f aca="false">'CEMIUP0.9 Raw'!B480</f>
        <v>4415028</v>
      </c>
      <c r="B149" s="18" t="str">
        <f aca="false">'CEMIUP0.9 Raw'!C480</f>
        <v>AC-28 סד לאגודל</v>
      </c>
      <c r="C149" s="18" t="str">
        <f aca="false">'CEMIUP0.9 Raw'!C480</f>
        <v>AC-28 סד לאגודל</v>
      </c>
      <c r="D149" s="19" t="n">
        <f aca="false">'CEMIUP0.9 Raw'!D480</f>
        <v>704</v>
      </c>
      <c r="E149" s="19" t="n">
        <f aca="false">'CEMIUP0.9 Raw'!E480</f>
        <v>23373.574</v>
      </c>
      <c r="F149" s="19" t="n">
        <f aca="false">'CEMIUP0.9 Raw'!F480</f>
        <v>617.684210526316</v>
      </c>
      <c r="G149" s="19" t="n">
        <f aca="false">'CEMIUP0.9 Raw'!G480</f>
        <v>22121.568</v>
      </c>
      <c r="H149" s="18" t="str">
        <f aca="false">'CEMIUP0.9 Raw'!A480</f>
        <v>107 - Pharmacies</v>
      </c>
    </row>
    <row r="150" customFormat="false" ht="15" hidden="false" customHeight="false" outlineLevel="0" collapsed="false">
      <c r="A150" s="18" t="n">
        <f aca="false">'SALES Raw'!G2375</f>
        <v>4403042</v>
      </c>
      <c r="B150" s="18" t="str">
        <f aca="false">'SALES Raw'!B2375</f>
        <v>397A-39-42</v>
      </c>
      <c r="C150" s="18" t="str">
        <f aca="false">'SALES Raw'!H2375</f>
        <v>397A-גרבי טיסה אנטי בקטרי39-42</v>
      </c>
      <c r="D150" s="19" t="n">
        <f aca="false">'SALES Raw'!C2375</f>
        <v>21</v>
      </c>
      <c r="E150" s="19" t="n">
        <f aca="false">'SALES Raw'!D2375</f>
        <v>2194.94</v>
      </c>
      <c r="F150" s="19" t="n">
        <f aca="false">'SALES Raw'!E2375*$H$4</f>
        <v>616.421052631579</v>
      </c>
      <c r="G150" s="19" t="n">
        <f aca="false">'SALES Raw'!F2375*$H$4</f>
        <v>64242.9978947368</v>
      </c>
      <c r="H150" s="18" t="str">
        <f aca="false">'SALES Raw'!A2375</f>
        <v>114 - IL online</v>
      </c>
    </row>
    <row r="151" customFormat="false" ht="15" hidden="false" customHeight="false" outlineLevel="0" collapsed="false">
      <c r="A151" s="18" t="n">
        <f aca="false">'SALES Raw'!G3320</f>
        <v>4413329</v>
      </c>
      <c r="B151" s="18" t="str">
        <f aca="false">'SALES Raw'!B3320</f>
        <v>AC45X 0</v>
      </c>
      <c r="C151" s="18" t="str">
        <f aca="false">'SALES Raw'!H3320</f>
        <v>AC45X מגן ברך עם תמיכות</v>
      </c>
      <c r="D151" s="19" t="n">
        <f aca="false">'SALES Raw'!C3320</f>
        <v>480</v>
      </c>
      <c r="E151" s="19" t="n">
        <f aca="false">'SALES Raw'!D3320</f>
        <v>16012.02</v>
      </c>
      <c r="F151" s="19" t="n">
        <f aca="false">'SALES Raw'!E3320*$H$4</f>
        <v>606.315789473684</v>
      </c>
      <c r="G151" s="19" t="n">
        <f aca="false">'SALES Raw'!F3320*$H$4</f>
        <v>18265.2378947368</v>
      </c>
      <c r="H151" s="18" t="str">
        <f aca="false">'SALES Raw'!A3320</f>
        <v>204 - Sanaflex Anatomic GREECE</v>
      </c>
    </row>
    <row r="152" customFormat="false" ht="15" hidden="false" customHeight="false" outlineLevel="0" collapsed="false">
      <c r="A152" s="18" t="n">
        <f aca="false">'CEMIUP0.9 Raw'!B1556</f>
        <v>4413329</v>
      </c>
      <c r="B152" s="18" t="str">
        <f aca="false">'CEMIUP0.9 Raw'!C1556</f>
        <v>AC45X מגן ברך עם תמיכות</v>
      </c>
      <c r="C152" s="18" t="str">
        <f aca="false">'CEMIUP0.9 Raw'!C1556</f>
        <v>AC45X מגן ברך עם תמיכות</v>
      </c>
      <c r="D152" s="19" t="n">
        <f aca="false">'CEMIUP0.9 Raw'!D1556</f>
        <v>87</v>
      </c>
      <c r="E152" s="19" t="n">
        <f aca="false">'CEMIUP0.9 Raw'!E1556</f>
        <v>4606.966</v>
      </c>
      <c r="F152" s="19" t="n">
        <f aca="false">'CEMIUP0.9 Raw'!F1556</f>
        <v>606.315789473684</v>
      </c>
      <c r="G152" s="19" t="n">
        <f aca="false">'CEMIUP0.9 Raw'!G1556</f>
        <v>35166.6530526316</v>
      </c>
      <c r="H152" s="18" t="str">
        <f aca="false">'CEMIUP0.9 Raw'!A1556</f>
        <v>Super-Pharm Israel (CEMI internal group)</v>
      </c>
    </row>
    <row r="153" customFormat="false" ht="15" hidden="false" customHeight="false" outlineLevel="0" collapsed="false">
      <c r="A153" s="18" t="n">
        <f aca="false">'CEMIUP0.9 Raw'!B1303</f>
        <v>4403043</v>
      </c>
      <c r="B153" s="18" t="str">
        <f aca="false">'CEMIUP0.9 Raw'!C1303</f>
        <v>397A-גרבי טיסה אנטי בקטרי43-46</v>
      </c>
      <c r="C153" s="18" t="str">
        <f aca="false">'CEMIUP0.9 Raw'!C1303</f>
        <v>397A-גרבי טיסה אנטי בקטרי43-46</v>
      </c>
      <c r="D153" s="19" t="n">
        <f aca="false">'CEMIUP0.9 Raw'!D1303</f>
        <v>0</v>
      </c>
      <c r="E153" s="19" t="n">
        <f aca="false">'CEMIUP0.9 Raw'!E1303</f>
        <v>0</v>
      </c>
      <c r="F153" s="19" t="n">
        <f aca="false">'CEMIUP0.9 Raw'!F1303</f>
        <v>603.789473684211</v>
      </c>
      <c r="G153" s="19" t="n">
        <f aca="false">'CEMIUP0.9 Raw'!G1303</f>
        <v>29986.8947368421</v>
      </c>
      <c r="H153" s="18" t="str">
        <f aca="false">'CEMIUP0.9 Raw'!A1303</f>
        <v>Super-Pharm Israel (CEMI internal group)</v>
      </c>
    </row>
    <row r="154" customFormat="false" ht="15" hidden="false" customHeight="false" outlineLevel="0" collapsed="false">
      <c r="A154" s="18" t="str">
        <f aca="false">'SALES Raw'!G4466</f>
        <v/>
      </c>
      <c r="B154" s="18" t="str">
        <f aca="false">'SALES Raw'!B4466</f>
        <v>FC342K 0</v>
      </c>
      <c r="C154" s="18" t="str">
        <f aca="false">'SALES Raw'!H4466</f>
        <v>FC342K 0</v>
      </c>
      <c r="D154" s="19" t="n">
        <f aca="false">'SALES Raw'!C4466</f>
        <v>1189</v>
      </c>
      <c r="E154" s="19" t="n">
        <f aca="false">'SALES Raw'!D4466</f>
        <v>85731.85</v>
      </c>
      <c r="F154" s="19" t="n">
        <f aca="false">'SALES Raw'!E4466*$H$4</f>
        <v>600</v>
      </c>
      <c r="G154" s="19" t="n">
        <f aca="false">'SALES Raw'!F4466*$H$4</f>
        <v>41214.4926315789</v>
      </c>
      <c r="H154" s="18" t="str">
        <f aca="false">'SALES Raw'!A4466</f>
        <v>301 - Amazon</v>
      </c>
    </row>
    <row r="155" customFormat="false" ht="15" hidden="false" customHeight="false" outlineLevel="0" collapsed="false">
      <c r="A155" s="18" t="n">
        <f aca="false">'CEMIUP0.9 Raw'!B590</f>
        <v>4422036</v>
      </c>
      <c r="B155" s="18" t="str">
        <f aca="false">'CEMIUP0.9 Raw'!C590</f>
        <v>FC334  תרסיס דאודורנט לכף הרגל</v>
      </c>
      <c r="C155" s="18" t="str">
        <f aca="false">'CEMIUP0.9 Raw'!C590</f>
        <v>FC334  תרסיס דאודורנט לכף הרגל</v>
      </c>
      <c r="D155" s="19" t="n">
        <f aca="false">'CEMIUP0.9 Raw'!D590</f>
        <v>1018</v>
      </c>
      <c r="E155" s="19" t="n">
        <f aca="false">'CEMIUP0.9 Raw'!E590</f>
        <v>18260.655</v>
      </c>
      <c r="F155" s="19" t="n">
        <f aca="false">'CEMIUP0.9 Raw'!F590</f>
        <v>598.736842105263</v>
      </c>
      <c r="G155" s="19" t="n">
        <f aca="false">'CEMIUP0.9 Raw'!G590</f>
        <v>11468.0450526316</v>
      </c>
      <c r="H155" s="18" t="str">
        <f aca="false">'CEMIUP0.9 Raw'!A590</f>
        <v>107 - Pharmacies</v>
      </c>
    </row>
    <row r="156" customFormat="false" ht="15" hidden="false" customHeight="false" outlineLevel="0" collapsed="false">
      <c r="A156" s="18" t="n">
        <f aca="false">'CEMIUP0.9 Raw'!B1620</f>
        <v>4415006</v>
      </c>
      <c r="B156" s="18" t="str">
        <f aca="false">'CEMIUP0.9 Raw'!C1620</f>
        <v>28 M סד לאגודל לאחר שבר</v>
      </c>
      <c r="C156" s="18" t="str">
        <f aca="false">'CEMIUP0.9 Raw'!C1620</f>
        <v>28 M סד לאגודל לאחר שבר</v>
      </c>
      <c r="D156" s="19" t="n">
        <f aca="false">'CEMIUP0.9 Raw'!D1620</f>
        <v>621</v>
      </c>
      <c r="E156" s="19" t="n">
        <f aca="false">'CEMIUP0.9 Raw'!E1620</f>
        <v>46227.454</v>
      </c>
      <c r="F156" s="19" t="n">
        <f aca="false">'CEMIUP0.9 Raw'!F1620</f>
        <v>594.947368421053</v>
      </c>
      <c r="G156" s="19" t="n">
        <f aca="false">'CEMIUP0.9 Raw'!G1620</f>
        <v>44337.6138947368</v>
      </c>
      <c r="H156" s="18" t="str">
        <f aca="false">'CEMIUP0.9 Raw'!A1620</f>
        <v>Super-Pharm Israel (CEMI internal group)</v>
      </c>
    </row>
    <row r="157" customFormat="false" ht="15" hidden="false" customHeight="false" outlineLevel="0" collapsed="false">
      <c r="A157" s="18" t="n">
        <f aca="false">'CEMIUP0.9 Raw'!B1229</f>
        <v>4415162</v>
      </c>
      <c r="B157" s="18" t="str">
        <f aca="false">'CEMIUP0.9 Raw'!C1229</f>
        <v>238L סד ליישור אצבע</v>
      </c>
      <c r="C157" s="18" t="str">
        <f aca="false">'CEMIUP0.9 Raw'!C1229</f>
        <v>238L סד ליישור אצבע</v>
      </c>
      <c r="D157" s="19" t="n">
        <f aca="false">'CEMIUP0.9 Raw'!D1229</f>
        <v>596</v>
      </c>
      <c r="E157" s="19" t="n">
        <f aca="false">'CEMIUP0.9 Raw'!E1229</f>
        <v>8352.344</v>
      </c>
      <c r="F157" s="19" t="n">
        <f aca="false">'CEMIUP0.9 Raw'!F1229</f>
        <v>593.684210526316</v>
      </c>
      <c r="G157" s="19" t="n">
        <f aca="false">'CEMIUP0.9 Raw'!G1229</f>
        <v>8319.89052631579</v>
      </c>
      <c r="H157" s="18" t="str">
        <f aca="false">'CEMIUP0.9 Raw'!A1229</f>
        <v>BE (CEMI internal group)</v>
      </c>
    </row>
    <row r="158" customFormat="false" ht="15" hidden="false" customHeight="false" outlineLevel="0" collapsed="false">
      <c r="A158" s="18" t="n">
        <f aca="false">'CEMIUP0.9 Raw'!B753</f>
        <v>4409004</v>
      </c>
      <c r="B158" s="18" t="str">
        <f aca="false">'CEMIUP0.9 Raw'!C753</f>
        <v>FC335 טלק מעושר באלוורה</v>
      </c>
      <c r="C158" s="18" t="str">
        <f aca="false">'CEMIUP0.9 Raw'!C753</f>
        <v>FC335 טלק מעושר באלוורה</v>
      </c>
      <c r="D158" s="19" t="n">
        <f aca="false">'CEMIUP0.9 Raw'!D753</f>
        <v>1180</v>
      </c>
      <c r="E158" s="19" t="n">
        <f aca="false">'CEMIUP0.9 Raw'!E753</f>
        <v>15812</v>
      </c>
      <c r="F158" s="19" t="n">
        <f aca="false">'CEMIUP0.9 Raw'!F753</f>
        <v>591.157894736842</v>
      </c>
      <c r="G158" s="19" t="n">
        <f aca="false">'CEMIUP0.9 Raw'!G753</f>
        <v>7312.43747368421</v>
      </c>
      <c r="H158" s="18" t="str">
        <f aca="false">'CEMIUP0.9 Raw'!A753</f>
        <v>113 - Kupat Holim Meuhedet</v>
      </c>
    </row>
    <row r="159" customFormat="false" ht="15" hidden="false" customHeight="false" outlineLevel="0" collapsed="false">
      <c r="A159" s="18" t="n">
        <f aca="false">'CEMIUP0.9 Raw'!B1506</f>
        <v>4413135</v>
      </c>
      <c r="B159" s="18" t="str">
        <f aca="false">'CEMIUP0.9 Raw'!C1506</f>
        <v>85 L (מתלה ליד )כיס</v>
      </c>
      <c r="C159" s="18" t="str">
        <f aca="false">'CEMIUP0.9 Raw'!C1506</f>
        <v>85 L (מתלה ליד )כיס</v>
      </c>
      <c r="D159" s="19" t="n">
        <f aca="false">'CEMIUP0.9 Raw'!D1506</f>
        <v>721</v>
      </c>
      <c r="E159" s="19" t="n">
        <f aca="false">'CEMIUP0.9 Raw'!E1506</f>
        <v>31877.391</v>
      </c>
      <c r="F159" s="19" t="n">
        <f aca="false">'CEMIUP0.9 Raw'!F1506</f>
        <v>587.368421052632</v>
      </c>
      <c r="G159" s="19" t="n">
        <f aca="false">'CEMIUP0.9 Raw'!G1506</f>
        <v>25968.6795789474</v>
      </c>
      <c r="H159" s="18" t="str">
        <f aca="false">'CEMIUP0.9 Raw'!A1506</f>
        <v>Super-Pharm Israel (CEMI internal group)</v>
      </c>
    </row>
    <row r="160" customFormat="false" ht="15" hidden="false" customHeight="false" outlineLevel="0" collapsed="false">
      <c r="A160" s="18" t="n">
        <f aca="false">'SALES Raw'!G3804</f>
        <v>4416000</v>
      </c>
      <c r="B160" s="18" t="str">
        <f aca="false">'SALES Raw'!B3804</f>
        <v>307 L</v>
      </c>
      <c r="C160" s="18" t="str">
        <f aca="false">'SALES Raw'!H3804</f>
        <v>307 L עקבים לדורבן-זוג כריות</v>
      </c>
      <c r="D160" s="19" t="n">
        <f aca="false">'SALES Raw'!C3804</f>
        <v>496</v>
      </c>
      <c r="E160" s="19" t="n">
        <f aca="false">'SALES Raw'!D3804</f>
        <v>13689.07</v>
      </c>
      <c r="F160" s="19" t="n">
        <f aca="false">'SALES Raw'!E3804*$H$4</f>
        <v>587.368421052632</v>
      </c>
      <c r="G160" s="19" t="n">
        <f aca="false">'SALES Raw'!F3804*$H$4</f>
        <v>16180.1557894737</v>
      </c>
      <c r="H160" s="18" t="str">
        <f aca="false">'SALES Raw'!A3804</f>
        <v>209 - Ortoprofil Prod ROMANIA</v>
      </c>
    </row>
    <row r="161" customFormat="false" ht="15" hidden="false" customHeight="false" outlineLevel="0" collapsed="false">
      <c r="A161" s="18" t="n">
        <f aca="false">'CEMIUP0.9 Raw'!B1676</f>
        <v>4420016</v>
      </c>
      <c r="B161" s="18" t="str">
        <f aca="false">'CEMIUP0.9 Raw'!C1676</f>
        <v>40-רצועת פיקה לברך</v>
      </c>
      <c r="C161" s="18" t="str">
        <f aca="false">'CEMIUP0.9 Raw'!C1676</f>
        <v>40-רצועת פיקה לברך</v>
      </c>
      <c r="D161" s="19" t="n">
        <f aca="false">'CEMIUP0.9 Raw'!D1676</f>
        <v>965</v>
      </c>
      <c r="E161" s="19" t="n">
        <f aca="false">'CEMIUP0.9 Raw'!E1676</f>
        <v>39480.441</v>
      </c>
      <c r="F161" s="19" t="n">
        <f aca="false">'CEMIUP0.9 Raw'!F1676</f>
        <v>582.315789473684</v>
      </c>
      <c r="G161" s="19" t="n">
        <f aca="false">'CEMIUP0.9 Raw'!G1676</f>
        <v>23802.2665263158</v>
      </c>
      <c r="H161" s="18" t="str">
        <f aca="false">'CEMIUP0.9 Raw'!A1676</f>
        <v>Super-Pharm Israel (CEMI internal group)</v>
      </c>
    </row>
    <row r="162" customFormat="false" ht="15" hidden="false" customHeight="false" outlineLevel="0" collapsed="false">
      <c r="A162" s="18" t="n">
        <f aca="false">'CEMIUP0.9 Raw'!B227</f>
        <v>4413033</v>
      </c>
      <c r="B162" s="18" t="str">
        <f aca="false">'CEMIUP0.9 Raw'!C227</f>
        <v>311'מדב.ג'ל למניעת שפשוף 5 יח</v>
      </c>
      <c r="C162" s="18" t="str">
        <f aca="false">'CEMIUP0.9 Raw'!C227</f>
        <v>311'מדב.ג'ל למניעת שפשוף 5 יח</v>
      </c>
      <c r="D162" s="19" t="n">
        <f aca="false">'CEMIUP0.9 Raw'!D227</f>
        <v>766</v>
      </c>
      <c r="E162" s="19" t="n">
        <f aca="false">'CEMIUP0.9 Raw'!E227</f>
        <v>11846.422</v>
      </c>
      <c r="F162" s="19" t="n">
        <f aca="false">'CEMIUP0.9 Raw'!F227</f>
        <v>576</v>
      </c>
      <c r="G162" s="19" t="n">
        <f aca="false">'CEMIUP0.9 Raw'!G227</f>
        <v>9251.31915789474</v>
      </c>
      <c r="H162" s="18" t="str">
        <f aca="false">'CEMIUP0.9 Raw'!A227</f>
        <v>107 - Pharmacies</v>
      </c>
    </row>
    <row r="163" customFormat="false" ht="15" hidden="false" customHeight="false" outlineLevel="0" collapsed="false">
      <c r="A163" s="18" t="n">
        <f aca="false">'SALES Raw'!G2958</f>
        <v>4403041</v>
      </c>
      <c r="B163" s="18" t="str">
        <f aca="false">'SALES Raw'!B2958</f>
        <v>397A-35-38</v>
      </c>
      <c r="C163" s="18" t="str">
        <f aca="false">'SALES Raw'!H2958</f>
        <v>397A-גרבי טיסה אנטי בקטרי35-38</v>
      </c>
      <c r="D163" s="19" t="n">
        <f aca="false">'SALES Raw'!C2958</f>
        <v>100</v>
      </c>
      <c r="E163" s="19" t="n">
        <f aca="false">'SALES Raw'!D2958</f>
        <v>3325.21</v>
      </c>
      <c r="F163" s="19" t="n">
        <f aca="false">'SALES Raw'!E2958*$H$4</f>
        <v>568.421052631579</v>
      </c>
      <c r="G163" s="19" t="n">
        <f aca="false">'SALES Raw'!F2958*$H$4</f>
        <v>18141.4105263158</v>
      </c>
      <c r="H163" s="18" t="str">
        <f aca="false">'SALES Raw'!A2958</f>
        <v>202 - Super-Pharm POLAND</v>
      </c>
    </row>
    <row r="164" customFormat="false" ht="15" hidden="false" customHeight="false" outlineLevel="0" collapsed="false">
      <c r="A164" s="18" t="n">
        <f aca="false">'CEMIUP0.9 Raw'!B1562</f>
        <v>4413365</v>
      </c>
      <c r="B164" s="18" t="str">
        <f aca="false">'CEMIUP0.9 Raw'!C1562</f>
        <v>95C L 'מגן מרפק בז</v>
      </c>
      <c r="C164" s="18" t="str">
        <f aca="false">'CEMIUP0.9 Raw'!C1562</f>
        <v>95C L 'מגן מרפק בז</v>
      </c>
      <c r="D164" s="19" t="n">
        <f aca="false">'CEMIUP0.9 Raw'!D1562</f>
        <v>733</v>
      </c>
      <c r="E164" s="19" t="n">
        <f aca="false">'CEMIUP0.9 Raw'!E1562</f>
        <v>17160.052</v>
      </c>
      <c r="F164" s="19" t="n">
        <f aca="false">'CEMIUP0.9 Raw'!F1562</f>
        <v>568.421052631579</v>
      </c>
      <c r="G164" s="19" t="n">
        <f aca="false">'CEMIUP0.9 Raw'!G1562</f>
        <v>13542.5242105263</v>
      </c>
      <c r="H164" s="18" t="str">
        <f aca="false">'CEMIUP0.9 Raw'!A1562</f>
        <v>Super-Pharm Israel (CEMI internal group)</v>
      </c>
    </row>
    <row r="165" customFormat="false" ht="15" hidden="false" customHeight="false" outlineLevel="0" collapsed="false">
      <c r="A165" s="18" t="n">
        <f aca="false">'CEMIUP0.9 Raw'!B247</f>
        <v>4413060</v>
      </c>
      <c r="B165" s="18" t="str">
        <f aca="false">'CEMIUP0.9 Raw'!C247</f>
        <v>364 XLמפריד אצבע סיליקון ליבלת</v>
      </c>
      <c r="C165" s="18" t="str">
        <f aca="false">'CEMIUP0.9 Raw'!C247</f>
        <v>364 XLמפריד אצבע סיליקון ליבלת</v>
      </c>
      <c r="D165" s="19" t="n">
        <f aca="false">'CEMIUP0.9 Raw'!D247</f>
        <v>533</v>
      </c>
      <c r="E165" s="19" t="n">
        <f aca="false">'CEMIUP0.9 Raw'!E247</f>
        <v>6651.524</v>
      </c>
      <c r="F165" s="19" t="n">
        <f aca="false">'CEMIUP0.9 Raw'!F247</f>
        <v>564.631578947368</v>
      </c>
      <c r="G165" s="19" t="n">
        <f aca="false">'CEMIUP0.9 Raw'!G247</f>
        <v>7047.79073684211</v>
      </c>
      <c r="H165" s="18" t="str">
        <f aca="false">'CEMIUP0.9 Raw'!A247</f>
        <v>107 - Pharmacies</v>
      </c>
    </row>
    <row r="166" customFormat="false" ht="15" hidden="false" customHeight="false" outlineLevel="0" collapsed="false">
      <c r="A166" s="18" t="n">
        <f aca="false">'CEMIUP0.9 Raw'!B1507</f>
        <v>4413136</v>
      </c>
      <c r="B166" s="18" t="str">
        <f aca="false">'CEMIUP0.9 Raw'!C1507</f>
        <v>85 M (מתלה ליד )כיס</v>
      </c>
      <c r="C166" s="18" t="str">
        <f aca="false">'CEMIUP0.9 Raw'!C1507</f>
        <v>85 M (מתלה ליד )כיס</v>
      </c>
      <c r="D166" s="19" t="n">
        <f aca="false">'CEMIUP0.9 Raw'!D1507</f>
        <v>650</v>
      </c>
      <c r="E166" s="19" t="n">
        <f aca="false">'CEMIUP0.9 Raw'!E1507</f>
        <v>28730.884</v>
      </c>
      <c r="F166" s="19" t="n">
        <f aca="false">'CEMIUP0.9 Raw'!F1507</f>
        <v>563.368421052632</v>
      </c>
      <c r="G166" s="19" t="n">
        <f aca="false">'CEMIUP0.9 Raw'!G1507</f>
        <v>24899.4391578947</v>
      </c>
      <c r="H166" s="18" t="str">
        <f aca="false">'CEMIUP0.9 Raw'!A1507</f>
        <v>Super-Pharm Israel (CEMI internal group)</v>
      </c>
    </row>
    <row r="167" customFormat="false" ht="15" hidden="false" customHeight="false" outlineLevel="0" collapsed="false">
      <c r="A167" s="18" t="n">
        <f aca="false">'CEMIUP0.9 Raw'!B464</f>
        <v>4414000</v>
      </c>
      <c r="B167" s="18" t="str">
        <f aca="false">'CEMIUP0.9 Raw'!C464</f>
        <v>FC342-נוזל לציפורן חודרנית</v>
      </c>
      <c r="C167" s="18" t="str">
        <f aca="false">'CEMIUP0.9 Raw'!C464</f>
        <v>FC342-נוזל לציפורן חודרנית</v>
      </c>
      <c r="D167" s="19" t="n">
        <f aca="false">'CEMIUP0.9 Raw'!D464</f>
        <v>730</v>
      </c>
      <c r="E167" s="19" t="n">
        <f aca="false">'CEMIUP0.9 Raw'!E464</f>
        <v>21903.752</v>
      </c>
      <c r="F167" s="19" t="n">
        <f aca="false">'CEMIUP0.9 Raw'!F464</f>
        <v>558.315789473684</v>
      </c>
      <c r="G167" s="19" t="n">
        <f aca="false">'CEMIUP0.9 Raw'!G464</f>
        <v>18163.7381052632</v>
      </c>
      <c r="H167" s="18" t="str">
        <f aca="false">'CEMIUP0.9 Raw'!A464</f>
        <v>107 - Pharmacies</v>
      </c>
    </row>
    <row r="168" customFormat="false" ht="15" hidden="false" customHeight="false" outlineLevel="0" collapsed="false">
      <c r="A168" s="18" t="n">
        <f aca="false">'CEMIUP0.9 Raw'!B1621</f>
        <v>4415007</v>
      </c>
      <c r="B168" s="18" t="str">
        <f aca="false">'CEMIUP0.9 Raw'!C1621</f>
        <v>28 S סד לאגודל לאחר שבר</v>
      </c>
      <c r="C168" s="18" t="str">
        <f aca="false">'CEMIUP0.9 Raw'!C1621</f>
        <v>28 S סד לאגודל לאחר שבר</v>
      </c>
      <c r="D168" s="19" t="n">
        <f aca="false">'CEMIUP0.9 Raw'!D1621</f>
        <v>601</v>
      </c>
      <c r="E168" s="19" t="n">
        <f aca="false">'CEMIUP0.9 Raw'!E1621</f>
        <v>44754.71</v>
      </c>
      <c r="F168" s="19" t="n">
        <f aca="false">'CEMIUP0.9 Raw'!F1621</f>
        <v>557.052631578947</v>
      </c>
      <c r="G168" s="19" t="n">
        <f aca="false">'CEMIUP0.9 Raw'!G1621</f>
        <v>41434.0433684211</v>
      </c>
      <c r="H168" s="18" t="str">
        <f aca="false">'CEMIUP0.9 Raw'!A1621</f>
        <v>Super-Pharm Israel (CEMI internal group)</v>
      </c>
    </row>
    <row r="169" customFormat="false" ht="15" hidden="false" customHeight="false" outlineLevel="0" collapsed="false">
      <c r="A169" s="18" t="n">
        <f aca="false">'SALES Raw'!G3805</f>
        <v>4416001</v>
      </c>
      <c r="B169" s="18" t="str">
        <f aca="false">'SALES Raw'!B3805</f>
        <v>307 M</v>
      </c>
      <c r="C169" s="18" t="str">
        <f aca="false">'SALES Raw'!H3805</f>
        <v>307 M עקבים לדורבן-זוג כריות</v>
      </c>
      <c r="D169" s="19" t="n">
        <f aca="false">'SALES Raw'!C3805</f>
        <v>530</v>
      </c>
      <c r="E169" s="19" t="n">
        <f aca="false">'SALES Raw'!D3805</f>
        <v>14586.27</v>
      </c>
      <c r="F169" s="19" t="n">
        <f aca="false">'SALES Raw'!E3805*$H$4</f>
        <v>555.789473684211</v>
      </c>
      <c r="G169" s="19" t="n">
        <f aca="false">'SALES Raw'!F3805*$H$4</f>
        <v>15320.16</v>
      </c>
      <c r="H169" s="18" t="str">
        <f aca="false">'SALES Raw'!A3805</f>
        <v>209 - Ortoprofil Prod ROMANIA</v>
      </c>
    </row>
    <row r="170" customFormat="false" ht="15" hidden="false" customHeight="false" outlineLevel="0" collapsed="false">
      <c r="A170" s="18" t="n">
        <f aca="false">'CEMIUP0.9 Raw'!B1654</f>
        <v>4418000</v>
      </c>
      <c r="B170" s="18" t="str">
        <f aca="false">'CEMIUP0.9 Raw'!C1654</f>
        <v>60 L צוארון ספוגי</v>
      </c>
      <c r="C170" s="18" t="str">
        <f aca="false">'CEMIUP0.9 Raw'!C1654</f>
        <v>60 L צוארון ספוגי</v>
      </c>
      <c r="D170" s="19" t="n">
        <f aca="false">'CEMIUP0.9 Raw'!D1654</f>
        <v>596</v>
      </c>
      <c r="E170" s="19" t="n">
        <f aca="false">'CEMIUP0.9 Raw'!E1654</f>
        <v>16237.221</v>
      </c>
      <c r="F170" s="19" t="n">
        <f aca="false">'CEMIUP0.9 Raw'!F1654</f>
        <v>544.421052631579</v>
      </c>
      <c r="G170" s="19" t="n">
        <f aca="false">'CEMIUP0.9 Raw'!G1654</f>
        <v>15937.3376842105</v>
      </c>
      <c r="H170" s="18" t="str">
        <f aca="false">'CEMIUP0.9 Raw'!A1654</f>
        <v>Super-Pharm Israel (CEMI internal group)</v>
      </c>
    </row>
    <row r="171" customFormat="false" ht="15" hidden="false" customHeight="false" outlineLevel="0" collapsed="false">
      <c r="A171" s="18" t="n">
        <f aca="false">'SALES Raw'!G3165</f>
        <v>4415161</v>
      </c>
      <c r="B171" s="18" t="str">
        <f aca="false">'SALES Raw'!B3165</f>
        <v>238 M</v>
      </c>
      <c r="C171" s="18" t="str">
        <f aca="false">'SALES Raw'!H3165</f>
        <v>238M סד ליישור אצבע</v>
      </c>
      <c r="D171" s="19" t="n">
        <f aca="false">'SALES Raw'!C3165</f>
        <v>550</v>
      </c>
      <c r="E171" s="19" t="n">
        <f aca="false">'SALES Raw'!D3165</f>
        <v>4642.59</v>
      </c>
      <c r="F171" s="19" t="n">
        <f aca="false">'SALES Raw'!E3165*$H$4</f>
        <v>543.157894736842</v>
      </c>
      <c r="G171" s="19" t="n">
        <f aca="false">'SALES Raw'!F3165*$H$4</f>
        <v>4113.37263157895</v>
      </c>
      <c r="H171" s="18" t="str">
        <f aca="false">'SALES Raw'!A3165</f>
        <v>204 - Sanaflex Anatomic GREECE</v>
      </c>
    </row>
    <row r="172" customFormat="false" ht="15" hidden="false" customHeight="false" outlineLevel="0" collapsed="false">
      <c r="A172" s="18" t="n">
        <f aca="false">'CEMIUP0.9 Raw'!B1689</f>
        <v>4422000</v>
      </c>
      <c r="B172" s="18" t="str">
        <f aca="false">'CEMIUP0.9 Raw'!C1689</f>
        <v>801  תחבושת אלסטית מקררת</v>
      </c>
      <c r="C172" s="18" t="str">
        <f aca="false">'CEMIUP0.9 Raw'!C1689</f>
        <v>801  תחבושת אלסטית מקררת</v>
      </c>
      <c r="D172" s="19" t="n">
        <f aca="false">'CEMIUP0.9 Raw'!D1689</f>
        <v>283</v>
      </c>
      <c r="E172" s="19" t="n">
        <f aca="false">'CEMIUP0.9 Raw'!E1689</f>
        <v>4155.697</v>
      </c>
      <c r="F172" s="19" t="n">
        <f aca="false">'CEMIUP0.9 Raw'!F1689</f>
        <v>540.631578947368</v>
      </c>
      <c r="G172" s="19" t="n">
        <f aca="false">'CEMIUP0.9 Raw'!G1689</f>
        <v>8120.68673684211</v>
      </c>
      <c r="H172" s="18" t="str">
        <f aca="false">'CEMIUP0.9 Raw'!A1689</f>
        <v>Super-Pharm Israel (CEMI internal group)</v>
      </c>
    </row>
    <row r="173" customFormat="false" ht="15" hidden="false" customHeight="false" outlineLevel="0" collapsed="false">
      <c r="A173" s="18" t="n">
        <f aca="false">'CEMIUP0.9 Raw'!B1301</f>
        <v>4403041</v>
      </c>
      <c r="B173" s="18" t="str">
        <f aca="false">'CEMIUP0.9 Raw'!C1301</f>
        <v>397A-גרבי טיסה אנטי בקטרי35-38</v>
      </c>
      <c r="C173" s="18" t="str">
        <f aca="false">'CEMIUP0.9 Raw'!C1301</f>
        <v>397A-גרבי טיסה אנטי בקטרי35-38</v>
      </c>
      <c r="D173" s="19" t="n">
        <f aca="false">'CEMIUP0.9 Raw'!D1301</f>
        <v>0</v>
      </c>
      <c r="E173" s="19" t="n">
        <f aca="false">'CEMIUP0.9 Raw'!E1301</f>
        <v>0</v>
      </c>
      <c r="F173" s="19" t="n">
        <f aca="false">'CEMIUP0.9 Raw'!F1301</f>
        <v>539.368421052632</v>
      </c>
      <c r="G173" s="19" t="n">
        <f aca="false">'CEMIUP0.9 Raw'!G1301</f>
        <v>26818.4854736842</v>
      </c>
      <c r="H173" s="18" t="str">
        <f aca="false">'CEMIUP0.9 Raw'!A1301</f>
        <v>Super-Pharm Israel (CEMI internal group)</v>
      </c>
    </row>
    <row r="174" customFormat="false" ht="15" hidden="false" customHeight="false" outlineLevel="0" collapsed="false">
      <c r="A174" s="18" t="n">
        <f aca="false">'CEMIUP0.9 Raw'!B1598</f>
        <v>4413456</v>
      </c>
      <c r="B174" s="18" t="str">
        <f aca="false">'CEMIUP0.9 Raw'!C1598</f>
        <v>AC75 XXL  מיישר כתפיים אקטיב</v>
      </c>
      <c r="C174" s="18" t="str">
        <f aca="false">'CEMIUP0.9 Raw'!C1598</f>
        <v>AC75 XXL  מיישר כתפיים אקטיב</v>
      </c>
      <c r="D174" s="19" t="n">
        <f aca="false">'CEMIUP0.9 Raw'!D1598</f>
        <v>98</v>
      </c>
      <c r="E174" s="19" t="n">
        <f aca="false">'CEMIUP0.9 Raw'!E1598</f>
        <v>5444.803</v>
      </c>
      <c r="F174" s="19" t="n">
        <f aca="false">'CEMIUP0.9 Raw'!F1598</f>
        <v>535.578947368421</v>
      </c>
      <c r="G174" s="19" t="n">
        <f aca="false">'CEMIUP0.9 Raw'!G1598</f>
        <v>31583.6286315789</v>
      </c>
      <c r="H174" s="18" t="str">
        <f aca="false">'CEMIUP0.9 Raw'!A1598</f>
        <v>Super-Pharm Israel (CEMI internal group)</v>
      </c>
    </row>
    <row r="175" customFormat="false" ht="15" hidden="false" customHeight="false" outlineLevel="0" collapsed="false">
      <c r="A175" s="18" t="str">
        <f aca="false">'SALES Raw'!G3800</f>
        <v/>
      </c>
      <c r="B175" s="18" t="str">
        <f aca="false">'SALES Raw'!B3800</f>
        <v>305-39-40</v>
      </c>
      <c r="C175" s="18" t="str">
        <f aca="false">'SALES Raw'!H3800</f>
        <v>305-39-40</v>
      </c>
      <c r="D175" s="19" t="n">
        <f aca="false">'SALES Raw'!C3800</f>
        <v>455</v>
      </c>
      <c r="E175" s="19" t="n">
        <f aca="false">'SALES Raw'!D3800</f>
        <v>15741.91</v>
      </c>
      <c r="F175" s="19" t="n">
        <f aca="false">'SALES Raw'!E3800*$H$4</f>
        <v>533.052631578947</v>
      </c>
      <c r="G175" s="19" t="n">
        <f aca="false">'SALES Raw'!F3800*$H$4</f>
        <v>18525.4231578947</v>
      </c>
      <c r="H175" s="18" t="str">
        <f aca="false">'SALES Raw'!A3800</f>
        <v>209 - Ortoprofil Prod ROMANIA</v>
      </c>
    </row>
    <row r="176" customFormat="false" ht="15" hidden="false" customHeight="false" outlineLevel="0" collapsed="false">
      <c r="A176" s="18" t="n">
        <f aca="false">'CEMIUP0.9 Raw'!B856</f>
        <v>4419006</v>
      </c>
      <c r="B176" s="18" t="str">
        <f aca="false">'CEMIUP0.9 Raw'!C856</f>
        <v>PD340-קוצץ ציפורניים</v>
      </c>
      <c r="C176" s="18" t="str">
        <f aca="false">'CEMIUP0.9 Raw'!C856</f>
        <v>PD340-קוצץ ציפורניים</v>
      </c>
      <c r="D176" s="19" t="n">
        <f aca="false">'CEMIUP0.9 Raw'!D856</f>
        <v>442</v>
      </c>
      <c r="E176" s="19" t="n">
        <f aca="false">'CEMIUP0.9 Raw'!E856</f>
        <v>4596.8</v>
      </c>
      <c r="F176" s="19" t="n">
        <f aca="false">'CEMIUP0.9 Raw'!F856</f>
        <v>521.684210526316</v>
      </c>
      <c r="G176" s="19" t="n">
        <f aca="false">'CEMIUP0.9 Raw'!G856</f>
        <v>4978.04210526316</v>
      </c>
      <c r="H176" s="18" t="str">
        <f aca="false">'CEMIUP0.9 Raw'!A856</f>
        <v>113 - Kupat Holim Meuhedet</v>
      </c>
    </row>
    <row r="177" customFormat="false" ht="15" hidden="false" customHeight="false" outlineLevel="0" collapsed="false">
      <c r="A177" s="18" t="n">
        <f aca="false">'SALES Raw'!G3335</f>
        <v>4408268</v>
      </c>
      <c r="B177" s="18" t="str">
        <f aca="false">'SALES Raw'!B3335</f>
        <v>ST20 0</v>
      </c>
      <c r="C177" s="18" t="str">
        <f aca="false">'SALES Raw'!H3335</f>
        <v>ST20 חבק יד</v>
      </c>
      <c r="D177" s="19" t="n">
        <f aca="false">'SALES Raw'!C3335</f>
        <v>390</v>
      </c>
      <c r="E177" s="19" t="n">
        <f aca="false">'SALES Raw'!D3335</f>
        <v>4106.96</v>
      </c>
      <c r="F177" s="19" t="n">
        <f aca="false">'SALES Raw'!E3335*$H$4</f>
        <v>517.894736842105</v>
      </c>
      <c r="G177" s="19" t="n">
        <f aca="false">'SALES Raw'!F3335*$H$4</f>
        <v>4859.00210526316</v>
      </c>
      <c r="H177" s="18" t="str">
        <f aca="false">'SALES Raw'!A3335</f>
        <v>204 - Sanaflex Anatomic GREECE</v>
      </c>
    </row>
    <row r="178" customFormat="false" ht="15" hidden="false" customHeight="false" outlineLevel="0" collapsed="false">
      <c r="A178" s="18" t="n">
        <f aca="false">'SALES Raw'!G3543</f>
        <v>4421000</v>
      </c>
      <c r="B178" s="18" t="str">
        <f aca="false">'SALES Raw'!B3543</f>
        <v>3655 0</v>
      </c>
      <c r="C178" s="18" t="str">
        <f aca="false">'SALES Raw'!H3543</f>
        <v>3655 שרוול מסיליקון לאצבע</v>
      </c>
      <c r="D178" s="19" t="n">
        <f aca="false">'SALES Raw'!C3543</f>
        <v>420</v>
      </c>
      <c r="E178" s="19" t="n">
        <f aca="false">'SALES Raw'!D3543</f>
        <v>3674.31</v>
      </c>
      <c r="F178" s="19" t="n">
        <f aca="false">'SALES Raw'!E3543*$H$4</f>
        <v>517.894736842105</v>
      </c>
      <c r="G178" s="19" t="n">
        <f aca="false">'SALES Raw'!F3543*$H$4</f>
        <v>4116.56842105263</v>
      </c>
      <c r="H178" s="18" t="str">
        <f aca="false">'SALES Raw'!A3543</f>
        <v>207 - Salus HUNGARY</v>
      </c>
    </row>
    <row r="179" customFormat="false" ht="15" hidden="false" customHeight="false" outlineLevel="0" collapsed="false">
      <c r="A179" s="18" t="n">
        <f aca="false">'CEMIUP0.9 Raw'!B1455</f>
        <v>4413058</v>
      </c>
      <c r="B179" s="18" t="str">
        <f aca="false">'CEMIUP0.9 Raw'!C1455</f>
        <v>3622S מדבקה לשחרור לחץ 2 יח</v>
      </c>
      <c r="C179" s="18" t="str">
        <f aca="false">'CEMIUP0.9 Raw'!C1455</f>
        <v>3622S מדבקה לשחרור לחץ 2 יח</v>
      </c>
      <c r="D179" s="19" t="n">
        <f aca="false">'CEMIUP0.9 Raw'!D1455</f>
        <v>571</v>
      </c>
      <c r="E179" s="19" t="n">
        <f aca="false">'CEMIUP0.9 Raw'!E1455</f>
        <v>13935.376</v>
      </c>
      <c r="F179" s="19" t="n">
        <f aca="false">'CEMIUP0.9 Raw'!F1455</f>
        <v>516.631578947368</v>
      </c>
      <c r="G179" s="19" t="n">
        <f aca="false">'CEMIUP0.9 Raw'!G1455</f>
        <v>12686.6261052632</v>
      </c>
      <c r="H179" s="18" t="str">
        <f aca="false">'CEMIUP0.9 Raw'!A1455</f>
        <v>Super-Pharm Israel (CEMI internal group)</v>
      </c>
    </row>
    <row r="180" customFormat="false" ht="15" hidden="false" customHeight="false" outlineLevel="0" collapsed="false">
      <c r="A180" s="18" t="n">
        <f aca="false">'CEMIUP0.9 Raw'!B1655</f>
        <v>4418001</v>
      </c>
      <c r="B180" s="18" t="str">
        <f aca="false">'CEMIUP0.9 Raw'!C1655</f>
        <v>60 M צוארון ספוגי</v>
      </c>
      <c r="C180" s="18" t="str">
        <f aca="false">'CEMIUP0.9 Raw'!C1655</f>
        <v>60 M צוארון ספוגי</v>
      </c>
      <c r="D180" s="19" t="n">
        <f aca="false">'CEMIUP0.9 Raw'!D1655</f>
        <v>635</v>
      </c>
      <c r="E180" s="19" t="n">
        <f aca="false">'CEMIUP0.9 Raw'!E1655</f>
        <v>17293.185</v>
      </c>
      <c r="F180" s="19" t="n">
        <f aca="false">'CEMIUP0.9 Raw'!F1655</f>
        <v>515.368421052632</v>
      </c>
      <c r="G180" s="19" t="n">
        <f aca="false">'CEMIUP0.9 Raw'!G1655</f>
        <v>14398.3073684211</v>
      </c>
      <c r="H180" s="18" t="str">
        <f aca="false">'CEMIUP0.9 Raw'!A1655</f>
        <v>Super-Pharm Israel (CEMI internal group)</v>
      </c>
    </row>
    <row r="181" customFormat="false" ht="15" hidden="false" customHeight="false" outlineLevel="0" collapsed="false">
      <c r="A181" s="18" t="str">
        <f aca="false">'SALES Raw'!G3801</f>
        <v/>
      </c>
      <c r="B181" s="18" t="str">
        <f aca="false">'SALES Raw'!B3801</f>
        <v>305-41-42</v>
      </c>
      <c r="C181" s="18" t="str">
        <f aca="false">'SALES Raw'!H3801</f>
        <v>305-41-42</v>
      </c>
      <c r="D181" s="19" t="n">
        <f aca="false">'SALES Raw'!C3801</f>
        <v>415</v>
      </c>
      <c r="E181" s="19" t="n">
        <f aca="false">'SALES Raw'!D3801</f>
        <v>14378.42</v>
      </c>
      <c r="F181" s="19" t="n">
        <f aca="false">'SALES Raw'!E3801*$H$4</f>
        <v>509.052631578947</v>
      </c>
      <c r="G181" s="19" t="n">
        <f aca="false">'SALES Raw'!F3801*$H$4</f>
        <v>17723.4315789474</v>
      </c>
      <c r="H181" s="18" t="str">
        <f aca="false">'SALES Raw'!A3801</f>
        <v>209 - Ortoprofil Prod ROMANIA</v>
      </c>
    </row>
    <row r="182" customFormat="false" ht="15" hidden="false" customHeight="false" outlineLevel="0" collapsed="false">
      <c r="A182" s="18" t="n">
        <f aca="false">'SALES Raw'!G3003</f>
        <v>4408207</v>
      </c>
      <c r="B182" s="18" t="str">
        <f aca="false">'SALES Raw'!B3003</f>
        <v>AC25 0</v>
      </c>
      <c r="C182" s="18" t="str">
        <f aca="false">'SALES Raw'!H3003</f>
        <v>AC-25 חבק לשורש כף היד</v>
      </c>
      <c r="D182" s="19" t="n">
        <f aca="false">'SALES Raw'!C3003</f>
        <v>690</v>
      </c>
      <c r="E182" s="19" t="n">
        <f aca="false">'SALES Raw'!D3003</f>
        <v>13751.05</v>
      </c>
      <c r="F182" s="19" t="n">
        <f aca="false">'SALES Raw'!E3003*$H$4</f>
        <v>505.263157894737</v>
      </c>
      <c r="G182" s="19" t="n">
        <f aca="false">'SALES Raw'!F3003*$H$4</f>
        <v>9045.77684210526</v>
      </c>
      <c r="H182" s="18" t="str">
        <f aca="false">'SALES Raw'!A3003</f>
        <v>202 - Super-Pharm POLAND</v>
      </c>
    </row>
    <row r="183" customFormat="false" ht="15" hidden="false" customHeight="false" outlineLevel="0" collapsed="false">
      <c r="A183" s="18" t="n">
        <f aca="false">'SALES Raw'!G3164</f>
        <v>4415162</v>
      </c>
      <c r="B183" s="18" t="str">
        <f aca="false">'SALES Raw'!B3164</f>
        <v>238 L</v>
      </c>
      <c r="C183" s="18" t="str">
        <f aca="false">'SALES Raw'!H3164</f>
        <v>238L סד ליישור אצבע</v>
      </c>
      <c r="D183" s="19" t="n">
        <f aca="false">'SALES Raw'!C3164</f>
        <v>440</v>
      </c>
      <c r="E183" s="19" t="n">
        <f aca="false">'SALES Raw'!D3164</f>
        <v>3720.57</v>
      </c>
      <c r="F183" s="19" t="n">
        <f aca="false">'SALES Raw'!E3164*$H$4</f>
        <v>505.263157894737</v>
      </c>
      <c r="G183" s="19" t="n">
        <f aca="false">'SALES Raw'!F3164*$H$4</f>
        <v>3835.42736842105</v>
      </c>
      <c r="H183" s="18" t="str">
        <f aca="false">'SALES Raw'!A3164</f>
        <v>204 - Sanaflex Anatomic GREECE</v>
      </c>
    </row>
    <row r="184" customFormat="false" ht="15" hidden="false" customHeight="false" outlineLevel="0" collapsed="false">
      <c r="A184" s="18" t="n">
        <f aca="false">'SALES Raw'!G3488</f>
        <v>4415161</v>
      </c>
      <c r="B184" s="18" t="str">
        <f aca="false">'SALES Raw'!B3488</f>
        <v>238 M</v>
      </c>
      <c r="C184" s="18" t="str">
        <f aca="false">'SALES Raw'!H3488</f>
        <v>238M סד ליישור אצבע</v>
      </c>
      <c r="D184" s="19" t="n">
        <f aca="false">'SALES Raw'!C3488</f>
        <v>390</v>
      </c>
      <c r="E184" s="19" t="n">
        <f aca="false">'SALES Raw'!D3488</f>
        <v>3327.2</v>
      </c>
      <c r="F184" s="19" t="n">
        <f aca="false">'SALES Raw'!E3488*$H$4</f>
        <v>505.263157894737</v>
      </c>
      <c r="G184" s="19" t="n">
        <f aca="false">'SALES Raw'!F3488*$H$4</f>
        <v>4175.74736842105</v>
      </c>
      <c r="H184" s="18" t="str">
        <f aca="false">'SALES Raw'!A3488</f>
        <v>207 - Salus HUNGARY</v>
      </c>
    </row>
    <row r="185" customFormat="false" ht="15" hidden="false" customHeight="false" outlineLevel="0" collapsed="false">
      <c r="A185" s="18" t="str">
        <f aca="false">'SALES Raw'!G3802</f>
        <v/>
      </c>
      <c r="B185" s="18" t="str">
        <f aca="false">'SALES Raw'!B3802</f>
        <v>305-43-44</v>
      </c>
      <c r="C185" s="18" t="str">
        <f aca="false">'SALES Raw'!H3802</f>
        <v>305-43-44</v>
      </c>
      <c r="D185" s="19" t="n">
        <f aca="false">'SALES Raw'!C3802</f>
        <v>429</v>
      </c>
      <c r="E185" s="19" t="n">
        <f aca="false">'SALES Raw'!D3802</f>
        <v>14899.33</v>
      </c>
      <c r="F185" s="19" t="n">
        <f aca="false">'SALES Raw'!E3802*$H$4</f>
        <v>505.263157894737</v>
      </c>
      <c r="G185" s="19" t="n">
        <f aca="false">'SALES Raw'!F3802*$H$4</f>
        <v>17515.5536842105</v>
      </c>
      <c r="H185" s="18" t="str">
        <f aca="false">'SALES Raw'!A3802</f>
        <v>209 - Ortoprofil Prod ROMANIA</v>
      </c>
    </row>
    <row r="186" customFormat="false" ht="15" hidden="false" customHeight="false" outlineLevel="0" collapsed="false">
      <c r="A186" s="18" t="n">
        <f aca="false">'CEMIUP0.9 Raw'!B540</f>
        <v>4420002</v>
      </c>
      <c r="B186" s="18" t="str">
        <f aca="false">'CEMIUP0.9 Raw'!C540</f>
        <v>372 רפידת אנטי ריח -זוג</v>
      </c>
      <c r="C186" s="18" t="str">
        <f aca="false">'CEMIUP0.9 Raw'!C540</f>
        <v>372 רפידת אנטי ריח -זוג</v>
      </c>
      <c r="D186" s="19" t="n">
        <f aca="false">'CEMIUP0.9 Raw'!D540</f>
        <v>652</v>
      </c>
      <c r="E186" s="19" t="n">
        <f aca="false">'CEMIUP0.9 Raw'!E540</f>
        <v>8501.287</v>
      </c>
      <c r="F186" s="19" t="n">
        <f aca="false">'CEMIUP0.9 Raw'!F540</f>
        <v>504</v>
      </c>
      <c r="G186" s="19" t="n">
        <f aca="false">'CEMIUP0.9 Raw'!G540</f>
        <v>6731.87621052632</v>
      </c>
      <c r="H186" s="18" t="str">
        <f aca="false">'CEMIUP0.9 Raw'!A540</f>
        <v>107 - Pharmacies</v>
      </c>
    </row>
    <row r="187" customFormat="false" ht="15" hidden="false" customHeight="false" outlineLevel="0" collapsed="false">
      <c r="A187" s="18" t="n">
        <f aca="false">'SALES Raw'!G3774</f>
        <v>4408261</v>
      </c>
      <c r="B187" s="18" t="str">
        <f aca="false">'SALES Raw'!B3774</f>
        <v>11STO L</v>
      </c>
      <c r="C187" s="18" t="str">
        <f aca="false">'SALES Raw'!H3774</f>
        <v>11STO L חגורה אחרי ניתוח</v>
      </c>
      <c r="D187" s="19" t="n">
        <f aca="false">'SALES Raw'!C3774</f>
        <v>495</v>
      </c>
      <c r="E187" s="19" t="n">
        <f aca="false">'SALES Raw'!D3774</f>
        <v>30513.16</v>
      </c>
      <c r="F187" s="19" t="n">
        <f aca="false">'SALES Raw'!E3774*$H$4</f>
        <v>501.473684210526</v>
      </c>
      <c r="G187" s="19" t="n">
        <f aca="false">'SALES Raw'!F3774*$H$4</f>
        <v>30976.5473684211</v>
      </c>
      <c r="H187" s="18" t="str">
        <f aca="false">'SALES Raw'!A3774</f>
        <v>209 - Ortoprofil Prod ROMANIA</v>
      </c>
    </row>
    <row r="188" customFormat="false" ht="15" hidden="false" customHeight="false" outlineLevel="0" collapsed="false">
      <c r="A188" s="18" t="n">
        <f aca="false">'SALES Raw'!G3827</f>
        <v>4413370</v>
      </c>
      <c r="B188" s="18" t="str">
        <f aca="false">'SALES Raw'!B3827</f>
        <v>3674 0</v>
      </c>
      <c r="C188" s="18" t="str">
        <f aca="false">'SALES Raw'!H3827</f>
        <v>3674 0 מ.בוניון+מפריד אצבע</v>
      </c>
      <c r="D188" s="19" t="n">
        <f aca="false">'SALES Raw'!C3827</f>
        <v>490</v>
      </c>
      <c r="E188" s="19" t="n">
        <f aca="false">'SALES Raw'!D3827</f>
        <v>8035.34</v>
      </c>
      <c r="F188" s="19" t="n">
        <f aca="false">'SALES Raw'!E3827*$H$4</f>
        <v>501.473684210526</v>
      </c>
      <c r="G188" s="19" t="n">
        <f aca="false">'SALES Raw'!F3827*$H$4</f>
        <v>8082.32842105263</v>
      </c>
      <c r="H188" s="18" t="str">
        <f aca="false">'SALES Raw'!A3827</f>
        <v>209 - Ortoprofil Prod ROMANIA</v>
      </c>
    </row>
    <row r="189" customFormat="false" ht="15" hidden="false" customHeight="false" outlineLevel="0" collapsed="false">
      <c r="A189" s="18" t="n">
        <f aca="false">'CEMIUP0.9 Raw'!B1685</f>
        <v>4421005</v>
      </c>
      <c r="B189" s="18" t="str">
        <f aca="false">'CEMIUP0.9 Raw'!C1685</f>
        <v>שרוול לגבס קצר יד</v>
      </c>
      <c r="C189" s="18" t="str">
        <f aca="false">'CEMIUP0.9 Raw'!C1685</f>
        <v>שרוול לגבס קצר יד</v>
      </c>
      <c r="D189" s="19" t="n">
        <f aca="false">'CEMIUP0.9 Raw'!D1685</f>
        <v>382</v>
      </c>
      <c r="E189" s="19" t="n">
        <f aca="false">'CEMIUP0.9 Raw'!E1685</f>
        <v>9965.683</v>
      </c>
      <c r="F189" s="19" t="n">
        <f aca="false">'CEMIUP0.9 Raw'!F1685</f>
        <v>500.210526315789</v>
      </c>
      <c r="G189" s="19" t="n">
        <f aca="false">'CEMIUP0.9 Raw'!G1685</f>
        <v>12982.5006315789</v>
      </c>
      <c r="H189" s="18" t="str">
        <f aca="false">'CEMIUP0.9 Raw'!A1685</f>
        <v>Super-Pharm Israel (CEMI internal group)</v>
      </c>
    </row>
    <row r="190" customFormat="false" ht="15" hidden="false" customHeight="false" outlineLevel="0" collapsed="false">
      <c r="A190" s="18" t="n">
        <f aca="false">'CEMIUP0.9 Raw'!B1408</f>
        <v>4409014</v>
      </c>
      <c r="B190" s="18" t="str">
        <f aca="false">'CEMIUP0.9 Raw'!C1408</f>
        <v>808KT-P        טייפ קינזיולוגי</v>
      </c>
      <c r="C190" s="18" t="str">
        <f aca="false">'CEMIUP0.9 Raw'!C1408</f>
        <v>808KT-P        טייפ קינזיולוגי</v>
      </c>
      <c r="D190" s="19" t="n">
        <f aca="false">'CEMIUP0.9 Raw'!D1408</f>
        <v>796</v>
      </c>
      <c r="E190" s="19" t="n">
        <f aca="false">'CEMIUP0.9 Raw'!E1408</f>
        <v>29254.862</v>
      </c>
      <c r="F190" s="19" t="n">
        <f aca="false">'CEMIUP0.9 Raw'!F1408</f>
        <v>488.842105263158</v>
      </c>
      <c r="G190" s="19" t="n">
        <f aca="false">'CEMIUP0.9 Raw'!G1408</f>
        <v>17960.4113684211</v>
      </c>
      <c r="H190" s="18" t="str">
        <f aca="false">'CEMIUP0.9 Raw'!A1408</f>
        <v>Super-Pharm Israel (CEMI internal group)</v>
      </c>
    </row>
    <row r="191" customFormat="false" ht="15" hidden="false" customHeight="false" outlineLevel="0" collapsed="false">
      <c r="A191" s="18" t="n">
        <f aca="false">'CEMIUP0.9 Raw'!B1615</f>
        <v>4415001</v>
      </c>
      <c r="B191" s="18" t="str">
        <f aca="false">'CEMIUP0.9 Raw'!C1615</f>
        <v>26 M סד ליד דו צדדי לאחר שבר</v>
      </c>
      <c r="C191" s="18" t="str">
        <f aca="false">'CEMIUP0.9 Raw'!C1615</f>
        <v>26 M סד ליד דו צדדי לאחר שבר</v>
      </c>
      <c r="D191" s="19" t="n">
        <f aca="false">'CEMIUP0.9 Raw'!D1615</f>
        <v>797</v>
      </c>
      <c r="E191" s="19" t="n">
        <f aca="false">'CEMIUP0.9 Raw'!E1615</f>
        <v>59295.327</v>
      </c>
      <c r="F191" s="19" t="n">
        <f aca="false">'CEMIUP0.9 Raw'!F1615</f>
        <v>486.315789473684</v>
      </c>
      <c r="G191" s="19" t="n">
        <f aca="false">'CEMIUP0.9 Raw'!G1615</f>
        <v>36819.0214736842</v>
      </c>
      <c r="H191" s="18" t="str">
        <f aca="false">'CEMIUP0.9 Raw'!A1615</f>
        <v>Super-Pharm Israel (CEMI internal group)</v>
      </c>
    </row>
    <row r="192" customFormat="false" ht="15" hidden="false" customHeight="false" outlineLevel="0" collapsed="false">
      <c r="A192" s="18" t="n">
        <f aca="false">'CEMIUP0.9 Raw'!B79</f>
        <v>4408053</v>
      </c>
      <c r="B192" s="18" t="str">
        <f aca="false">'CEMIUP0.9 Raw'!C79</f>
        <v>21 M  חבק יד ארוך</v>
      </c>
      <c r="C192" s="18" t="str">
        <f aca="false">'CEMIUP0.9 Raw'!C79</f>
        <v>21 M  חבק יד ארוך</v>
      </c>
      <c r="D192" s="19" t="n">
        <f aca="false">'CEMIUP0.9 Raw'!D79</f>
        <v>671</v>
      </c>
      <c r="E192" s="19" t="n">
        <f aca="false">'CEMIUP0.9 Raw'!E79</f>
        <v>23761.069</v>
      </c>
      <c r="F192" s="19" t="n">
        <f aca="false">'CEMIUP0.9 Raw'!F79</f>
        <v>485.052631578947</v>
      </c>
      <c r="G192" s="19" t="n">
        <f aca="false">'CEMIUP0.9 Raw'!G79</f>
        <v>17274.5216842105</v>
      </c>
      <c r="H192" s="18" t="str">
        <f aca="false">'CEMIUP0.9 Raw'!A79</f>
        <v>107 - Pharmacies</v>
      </c>
    </row>
    <row r="193" customFormat="false" ht="15" hidden="false" customHeight="false" outlineLevel="0" collapsed="false">
      <c r="A193" s="18" t="n">
        <f aca="false">'SALES Raw'!G3322</f>
        <v>4408208</v>
      </c>
      <c r="B193" s="18" t="str">
        <f aca="false">'SALES Raw'!B3322</f>
        <v>AC91 0</v>
      </c>
      <c r="C193" s="18" t="str">
        <f aca="false">'SALES Raw'!H3322</f>
        <v>AC91 חבק טניס</v>
      </c>
      <c r="D193" s="19" t="n">
        <f aca="false">'SALES Raw'!C3322</f>
        <v>430</v>
      </c>
      <c r="E193" s="19" t="n">
        <f aca="false">'SALES Raw'!D3322</f>
        <v>6711.58</v>
      </c>
      <c r="F193" s="19" t="n">
        <f aca="false">'SALES Raw'!E3322*$H$4</f>
        <v>480</v>
      </c>
      <c r="G193" s="19" t="n">
        <f aca="false">'SALES Raw'!F3322*$H$4</f>
        <v>6747.03157894737</v>
      </c>
      <c r="H193" s="18" t="str">
        <f aca="false">'SALES Raw'!A3322</f>
        <v>204 - Sanaflex Anatomic GREECE</v>
      </c>
    </row>
    <row r="194" customFormat="false" ht="15" hidden="false" customHeight="false" outlineLevel="0" collapsed="false">
      <c r="A194" s="18" t="n">
        <f aca="false">'CEMIUP0.9 Raw'!B1610</f>
        <v>4413528</v>
      </c>
      <c r="B194" s="18" t="str">
        <f aca="false">'CEMIUP0.9 Raw'!C1610</f>
        <v>39-42 מדרסי אפיק ג'ל עבודה</v>
      </c>
      <c r="C194" s="18" t="str">
        <f aca="false">'CEMIUP0.9 Raw'!C1610</f>
        <v>39-42 מדרסי אפיק ג'ל עבודה</v>
      </c>
      <c r="D194" s="19" t="n">
        <f aca="false">'CEMIUP0.9 Raw'!D1610</f>
        <v>1056</v>
      </c>
      <c r="E194" s="19" t="n">
        <f aca="false">'CEMIUP0.9 Raw'!E1610</f>
        <v>89692.694</v>
      </c>
      <c r="F194" s="19" t="n">
        <f aca="false">'CEMIUP0.9 Raw'!F1610</f>
        <v>477.473684210526</v>
      </c>
      <c r="G194" s="19" t="n">
        <f aca="false">'CEMIUP0.9 Raw'!G1610</f>
        <v>43532.5225263158</v>
      </c>
      <c r="H194" s="18" t="str">
        <f aca="false">'CEMIUP0.9 Raw'!A1610</f>
        <v>Super-Pharm Israel (CEMI internal group)</v>
      </c>
    </row>
    <row r="195" customFormat="false" ht="15" hidden="false" customHeight="false" outlineLevel="0" collapsed="false">
      <c r="A195" s="18" t="n">
        <f aca="false">'CEMIUP0.9 Raw'!B788</f>
        <v>4413092</v>
      </c>
      <c r="B195" s="18" t="str">
        <f aca="false">'CEMIUP0.9 Raw'!C788</f>
        <v>45 L מגן ברך לבן</v>
      </c>
      <c r="C195" s="18" t="str">
        <f aca="false">'CEMIUP0.9 Raw'!C788</f>
        <v>45 L מגן ברך לבן</v>
      </c>
      <c r="D195" s="19" t="n">
        <f aca="false">'CEMIUP0.9 Raw'!D788</f>
        <v>646</v>
      </c>
      <c r="E195" s="19" t="n">
        <f aca="false">'CEMIUP0.9 Raw'!E788</f>
        <v>10659</v>
      </c>
      <c r="F195" s="19" t="n">
        <f aca="false">'CEMIUP0.9 Raw'!F788</f>
        <v>471.157894736842</v>
      </c>
      <c r="G195" s="19" t="n">
        <f aca="false">'CEMIUP0.9 Raw'!G788</f>
        <v>7376.43789473684</v>
      </c>
      <c r="H195" s="18" t="str">
        <f aca="false">'CEMIUP0.9 Raw'!A788</f>
        <v>113 - Kupat Holim Meuhedet</v>
      </c>
    </row>
    <row r="196" customFormat="false" ht="15" hidden="false" customHeight="false" outlineLevel="0" collapsed="false">
      <c r="A196" s="18" t="n">
        <f aca="false">'CEMIUP0.9 Raw'!B1227</f>
        <v>4415160</v>
      </c>
      <c r="B196" s="18" t="str">
        <f aca="false">'CEMIUP0.9 Raw'!C1227</f>
        <v>238S סד ליישור אצבע</v>
      </c>
      <c r="C196" s="18" t="str">
        <f aca="false">'CEMIUP0.9 Raw'!C1227</f>
        <v>238S סד ליישור אצבע</v>
      </c>
      <c r="D196" s="19" t="n">
        <f aca="false">'CEMIUP0.9 Raw'!D1227</f>
        <v>470</v>
      </c>
      <c r="E196" s="19" t="n">
        <f aca="false">'CEMIUP0.9 Raw'!E1227</f>
        <v>6586.58</v>
      </c>
      <c r="F196" s="19" t="n">
        <f aca="false">'CEMIUP0.9 Raw'!F1227</f>
        <v>471.157894736842</v>
      </c>
      <c r="G196" s="19" t="n">
        <f aca="false">'CEMIUP0.9 Raw'!G1227</f>
        <v>6602.8067368421</v>
      </c>
      <c r="H196" s="18" t="str">
        <f aca="false">'CEMIUP0.9 Raw'!A1227</f>
        <v>BE (CEMI internal group)</v>
      </c>
    </row>
    <row r="197" customFormat="false" ht="15" hidden="false" customHeight="false" outlineLevel="0" collapsed="false">
      <c r="A197" s="18" t="n">
        <f aca="false">'SALES Raw'!G3224</f>
        <v>4421000</v>
      </c>
      <c r="B197" s="18" t="str">
        <f aca="false">'SALES Raw'!B3224</f>
        <v>3655 0</v>
      </c>
      <c r="C197" s="18" t="str">
        <f aca="false">'SALES Raw'!H3224</f>
        <v>3655 שרוול מסיליקון לאצבע</v>
      </c>
      <c r="D197" s="19" t="n">
        <f aca="false">'SALES Raw'!C3224</f>
        <v>290</v>
      </c>
      <c r="E197" s="19" t="n">
        <f aca="false">'SALES Raw'!D3224</f>
        <v>2483.87</v>
      </c>
      <c r="F197" s="19" t="n">
        <f aca="false">'SALES Raw'!E3224*$H$4</f>
        <v>467.368421052632</v>
      </c>
      <c r="G197" s="19" t="n">
        <f aca="false">'SALES Raw'!F3224*$H$4</f>
        <v>3568.05473684211</v>
      </c>
      <c r="H197" s="18" t="str">
        <f aca="false">'SALES Raw'!A3224</f>
        <v>204 - Sanaflex Anatomic GREECE</v>
      </c>
    </row>
    <row r="198" customFormat="false" ht="15" hidden="false" customHeight="false" outlineLevel="0" collapsed="false">
      <c r="A198" s="18" t="str">
        <f aca="false">'SALES Raw'!G3665</f>
        <v/>
      </c>
      <c r="B198" s="18" t="str">
        <f aca="false">'SALES Raw'!B3665</f>
        <v>ST95 0</v>
      </c>
      <c r="C198" s="18" t="str">
        <f aca="false">'SALES Raw'!H3665</f>
        <v>ST95 0</v>
      </c>
      <c r="D198" s="19" t="n">
        <f aca="false">'SALES Raw'!C3665</f>
        <v>160</v>
      </c>
      <c r="E198" s="19" t="n">
        <f aca="false">'SALES Raw'!D3665</f>
        <v>2769.61</v>
      </c>
      <c r="F198" s="19" t="n">
        <f aca="false">'SALES Raw'!E3665*$H$4</f>
        <v>467.368421052632</v>
      </c>
      <c r="G198" s="19" t="n">
        <f aca="false">'SALES Raw'!F3665*$H$4</f>
        <v>8167.64210526316</v>
      </c>
      <c r="H198" s="18" t="str">
        <f aca="false">'SALES Raw'!A3665</f>
        <v>207 - Salus HUNGARY</v>
      </c>
    </row>
    <row r="199" customFormat="false" ht="15" hidden="false" customHeight="false" outlineLevel="0" collapsed="false">
      <c r="A199" s="18" t="n">
        <f aca="false">'CEMIUP0.9 Raw'!B1056</f>
        <v>4413033</v>
      </c>
      <c r="B199" s="18" t="str">
        <f aca="false">'CEMIUP0.9 Raw'!C1056</f>
        <v>311'מדב.ג'ל למניעת שפשוף 5 יח</v>
      </c>
      <c r="C199" s="18" t="str">
        <f aca="false">'CEMIUP0.9 Raw'!C1056</f>
        <v>311'מדב.ג'ל למניעת שפשוף 5 יח</v>
      </c>
      <c r="D199" s="19" t="n">
        <f aca="false">'CEMIUP0.9 Raw'!D1056</f>
        <v>562</v>
      </c>
      <c r="E199" s="19" t="n">
        <f aca="false">'CEMIUP0.9 Raw'!E1056</f>
        <v>6822.634</v>
      </c>
      <c r="F199" s="19" t="n">
        <f aca="false">'CEMIUP0.9 Raw'!F1056</f>
        <v>464.842105263158</v>
      </c>
      <c r="G199" s="19" t="n">
        <f aca="false">'CEMIUP0.9 Raw'!G1056</f>
        <v>5642.99621052632</v>
      </c>
      <c r="H199" s="18" t="str">
        <f aca="false">'CEMIUP0.9 Raw'!A1056</f>
        <v>BE (CEMI internal group)</v>
      </c>
    </row>
    <row r="200" customFormat="false" ht="15" hidden="false" customHeight="false" outlineLevel="0" collapsed="false">
      <c r="A200" s="18" t="n">
        <f aca="false">'CEMIUP0.9 Raw'!B501</f>
        <v>4415161</v>
      </c>
      <c r="B200" s="18" t="str">
        <f aca="false">'CEMIUP0.9 Raw'!C501</f>
        <v>238M סד ליישור אצבע</v>
      </c>
      <c r="C200" s="18" t="str">
        <f aca="false">'CEMIUP0.9 Raw'!C501</f>
        <v>238M סד ליישור אצבע</v>
      </c>
      <c r="D200" s="19" t="n">
        <f aca="false">'CEMIUP0.9 Raw'!D501</f>
        <v>412</v>
      </c>
      <c r="E200" s="19" t="n">
        <f aca="false">'CEMIUP0.9 Raw'!E501</f>
        <v>7194.878</v>
      </c>
      <c r="F200" s="19" t="n">
        <f aca="false">'CEMIUP0.9 Raw'!F501</f>
        <v>457.263157894737</v>
      </c>
      <c r="G200" s="19" t="n">
        <f aca="false">'CEMIUP0.9 Raw'!G501</f>
        <v>8198.80042105263</v>
      </c>
      <c r="H200" s="18" t="str">
        <f aca="false">'CEMIUP0.9 Raw'!A501</f>
        <v>107 - Pharmacies</v>
      </c>
    </row>
    <row r="201" customFormat="false" ht="15" hidden="false" customHeight="false" outlineLevel="0" collapsed="false">
      <c r="A201" s="18" t="n">
        <f aca="false">'SALES Raw'!G3664</f>
        <v>4413531</v>
      </c>
      <c r="B201" s="18" t="str">
        <f aca="false">'SALES Raw'!B3664</f>
        <v>ST91 0</v>
      </c>
      <c r="C201" s="18" t="str">
        <f aca="false">'SALES Raw'!H3664</f>
        <v>ST91 מגן מרפק לטניס</v>
      </c>
      <c r="D201" s="19" t="n">
        <f aca="false">'SALES Raw'!C3664</f>
        <v>340</v>
      </c>
      <c r="E201" s="19" t="n">
        <f aca="false">'SALES Raw'!D3664</f>
        <v>4904.87</v>
      </c>
      <c r="F201" s="19" t="n">
        <f aca="false">'SALES Raw'!E3664*$H$4</f>
        <v>454.736842105263</v>
      </c>
      <c r="G201" s="19" t="n">
        <f aca="false">'SALES Raw'!F3664*$H$4</f>
        <v>6589.56631578947</v>
      </c>
      <c r="H201" s="18" t="str">
        <f aca="false">'SALES Raw'!A3664</f>
        <v>207 - Salus HUNGARY</v>
      </c>
    </row>
    <row r="202" customFormat="false" ht="15" hidden="false" customHeight="false" outlineLevel="0" collapsed="false">
      <c r="A202" s="18" t="n">
        <f aca="false">'CEMIUP0.9 Raw'!B1700</f>
        <v>4422033</v>
      </c>
      <c r="B202" s="18" t="str">
        <f aca="false">'CEMIUP0.9 Raw'!C1700</f>
        <v>807CB-BLתחבושת נצמדת כחול20מ""מ</v>
      </c>
      <c r="C202" s="18" t="str">
        <f aca="false">'CEMIUP0.9 Raw'!C1700</f>
        <v>807CB-BLתחבושת נצמדת כחול20מ""מ</v>
      </c>
      <c r="D202" s="19" t="n">
        <f aca="false">'CEMIUP0.9 Raw'!D1700</f>
        <v>1556</v>
      </c>
      <c r="E202" s="19" t="n">
        <f aca="false">'CEMIUP0.9 Raw'!E1700</f>
        <v>14374.087</v>
      </c>
      <c r="F202" s="19" t="n">
        <f aca="false">'CEMIUP0.9 Raw'!F1700</f>
        <v>452.210526315789</v>
      </c>
      <c r="G202" s="19" t="n">
        <f aca="false">'CEMIUP0.9 Raw'!G1700</f>
        <v>4224.08589473684</v>
      </c>
      <c r="H202" s="18" t="str">
        <f aca="false">'CEMIUP0.9 Raw'!A1700</f>
        <v>Super-Pharm Israel (CEMI internal group)</v>
      </c>
    </row>
    <row r="203" customFormat="false" ht="15" hidden="false" customHeight="false" outlineLevel="0" collapsed="false">
      <c r="A203" s="18" t="str">
        <f aca="false">'SALES Raw'!G2512</f>
        <v/>
      </c>
      <c r="B203" s="18" t="str">
        <f aca="false">'SALES Raw'!B2512</f>
        <v>8011 0</v>
      </c>
      <c r="C203" s="18" t="str">
        <f aca="false">'SALES Raw'!H2512</f>
        <v>8011 0</v>
      </c>
      <c r="D203" s="19" t="n">
        <f aca="false">'SALES Raw'!C2512</f>
        <v>34</v>
      </c>
      <c r="E203" s="19" t="n">
        <f aca="false">'SALES Raw'!D2512</f>
        <v>176.64</v>
      </c>
      <c r="F203" s="19" t="n">
        <f aca="false">'SALES Raw'!E2512*$H$4</f>
        <v>445.894736842105</v>
      </c>
      <c r="G203" s="19" t="n">
        <f aca="false">'SALES Raw'!F2512*$H$4</f>
        <v>2518.90105263158</v>
      </c>
      <c r="H203" s="18" t="str">
        <f aca="false">'SALES Raw'!A2512</f>
        <v>114 - IL online</v>
      </c>
    </row>
    <row r="204" customFormat="false" ht="15" hidden="false" customHeight="false" outlineLevel="0" collapsed="false">
      <c r="A204" s="18" t="n">
        <f aca="false">'CEMIUP0.9 Raw'!B187</f>
        <v>4409000</v>
      </c>
      <c r="B204" s="18" t="str">
        <f aca="false">'CEMIUP0.9 Raw'!C187</f>
        <v>365 S-Lטבעת אלסטית מסיליקון</v>
      </c>
      <c r="C204" s="18" t="str">
        <f aca="false">'CEMIUP0.9 Raw'!C187</f>
        <v>365 S-Lטבעת אלסטית מסיליקון</v>
      </c>
      <c r="D204" s="19" t="n">
        <f aca="false">'CEMIUP0.9 Raw'!D187</f>
        <v>414</v>
      </c>
      <c r="E204" s="19" t="n">
        <f aca="false">'CEMIUP0.9 Raw'!E187</f>
        <v>5118.416</v>
      </c>
      <c r="F204" s="19" t="n">
        <f aca="false">'CEMIUP0.9 Raw'!F187</f>
        <v>444.631578947368</v>
      </c>
      <c r="G204" s="19" t="n">
        <f aca="false">'CEMIUP0.9 Raw'!G187</f>
        <v>5530.58147368421</v>
      </c>
      <c r="H204" s="18" t="str">
        <f aca="false">'CEMIUP0.9 Raw'!A187</f>
        <v>107 - Pharmacies</v>
      </c>
    </row>
    <row r="205" customFormat="false" ht="15" hidden="false" customHeight="false" outlineLevel="0" collapsed="false">
      <c r="A205" s="18" t="n">
        <f aca="false">'CEMIUP0.9 Raw'!B112</f>
        <v>4408099</v>
      </c>
      <c r="B205" s="18" t="str">
        <f aca="false">'CEMIUP0.9 Raw'!C112</f>
        <v>T25C-חבק יד אגודלי</v>
      </c>
      <c r="C205" s="18" t="str">
        <f aca="false">'CEMIUP0.9 Raw'!C112</f>
        <v>T25C-חבק יד אגודלי</v>
      </c>
      <c r="D205" s="19" t="n">
        <f aca="false">'CEMIUP0.9 Raw'!D112</f>
        <v>488</v>
      </c>
      <c r="E205" s="19" t="n">
        <f aca="false">'CEMIUP0.9 Raw'!E112</f>
        <v>19852.671</v>
      </c>
      <c r="F205" s="19" t="n">
        <f aca="false">'CEMIUP0.9 Raw'!F112</f>
        <v>443.368421052632</v>
      </c>
      <c r="G205" s="19" t="n">
        <f aca="false">'CEMIUP0.9 Raw'!G112</f>
        <v>18182.4025263158</v>
      </c>
      <c r="H205" s="18" t="str">
        <f aca="false">'CEMIUP0.9 Raw'!A112</f>
        <v>107 - Pharmacies</v>
      </c>
    </row>
    <row r="206" customFormat="false" ht="15" hidden="false" customHeight="false" outlineLevel="0" collapsed="false">
      <c r="A206" s="18" t="n">
        <f aca="false">'SALES Raw'!G3316</f>
        <v>4415027</v>
      </c>
      <c r="B206" s="18" t="str">
        <f aca="false">'SALES Raw'!B3316</f>
        <v>AC27R 0</v>
      </c>
      <c r="C206" s="18" t="str">
        <f aca="false">'SALES Raw'!H3316</f>
        <v>AC-27R סד לש.כף יד ימין</v>
      </c>
      <c r="D206" s="19" t="n">
        <f aca="false">'SALES Raw'!C3316</f>
        <v>400</v>
      </c>
      <c r="E206" s="19" t="n">
        <f aca="false">'SALES Raw'!D3316</f>
        <v>7141.27</v>
      </c>
      <c r="F206" s="19" t="n">
        <f aca="false">'SALES Raw'!E3316*$H$4</f>
        <v>442.105263157895</v>
      </c>
      <c r="G206" s="19" t="n">
        <f aca="false">'SALES Raw'!F3316*$H$4</f>
        <v>7174.78736842105</v>
      </c>
      <c r="H206" s="18" t="str">
        <f aca="false">'SALES Raw'!A3316</f>
        <v>204 - Sanaflex Anatomic GREECE</v>
      </c>
    </row>
    <row r="207" customFormat="false" ht="15" hidden="false" customHeight="false" outlineLevel="0" collapsed="false">
      <c r="A207" s="18" t="str">
        <f aca="false">'SALES Raw'!G4451</f>
        <v/>
      </c>
      <c r="B207" s="18" t="str">
        <f aca="false">'SALES Raw'!B4451</f>
        <v>EC-59LB M</v>
      </c>
      <c r="C207" s="18" t="str">
        <f aca="false">'SALES Raw'!H4451</f>
        <v>EC-59LB M</v>
      </c>
      <c r="D207" s="19" t="n">
        <f aca="false">'SALES Raw'!C4451</f>
        <v>324</v>
      </c>
      <c r="E207" s="19" t="n">
        <f aca="false">'SALES Raw'!D4451</f>
        <v>58442.65</v>
      </c>
      <c r="F207" s="19" t="n">
        <f aca="false">'SALES Raw'!E4451*$H$4</f>
        <v>442.105263157895</v>
      </c>
      <c r="G207" s="19" t="n">
        <f aca="false">'SALES Raw'!F4451*$H$4</f>
        <v>70977.7136842105</v>
      </c>
      <c r="H207" s="18" t="str">
        <f aca="false">'SALES Raw'!A4451</f>
        <v>301 - Amazon</v>
      </c>
    </row>
    <row r="208" customFormat="false" ht="15" hidden="false" customHeight="false" outlineLevel="0" collapsed="false">
      <c r="A208" s="18" t="n">
        <f aca="false">'SALES Raw'!G2376</f>
        <v>4403043</v>
      </c>
      <c r="B208" s="18" t="str">
        <f aca="false">'SALES Raw'!B2376</f>
        <v>397A-43-46</v>
      </c>
      <c r="C208" s="18" t="str">
        <f aca="false">'SALES Raw'!H2376</f>
        <v>397A-גרבי טיסה אנטי בקטרי43-46</v>
      </c>
      <c r="D208" s="19" t="n">
        <f aca="false">'SALES Raw'!C2376</f>
        <v>15</v>
      </c>
      <c r="E208" s="19" t="n">
        <f aca="false">'SALES Raw'!D2376</f>
        <v>1497.59</v>
      </c>
      <c r="F208" s="19" t="n">
        <f aca="false">'SALES Raw'!E2376*$H$4</f>
        <v>439.578947368421</v>
      </c>
      <c r="G208" s="19" t="n">
        <f aca="false">'SALES Raw'!F2376*$H$4</f>
        <v>45309.12</v>
      </c>
      <c r="H208" s="18" t="str">
        <f aca="false">'SALES Raw'!A2376</f>
        <v>114 - IL online</v>
      </c>
    </row>
    <row r="209" customFormat="false" ht="15" hidden="false" customHeight="false" outlineLevel="0" collapsed="false">
      <c r="A209" s="18" t="n">
        <f aca="false">'CEMIUP0.9 Raw'!B498</f>
        <v>4415158</v>
      </c>
      <c r="B209" s="18" t="str">
        <f aca="false">'CEMIUP0.9 Raw'!C498</f>
        <v>266 סד ליד דו צדדי</v>
      </c>
      <c r="C209" s="18" t="str">
        <f aca="false">'CEMIUP0.9 Raw'!C498</f>
        <v>266 סד ליד דו צדדי</v>
      </c>
      <c r="D209" s="19" t="n">
        <f aca="false">'CEMIUP0.9 Raw'!D498</f>
        <v>520</v>
      </c>
      <c r="E209" s="19" t="n">
        <f aca="false">'CEMIUP0.9 Raw'!E498</f>
        <v>36753.417</v>
      </c>
      <c r="F209" s="19" t="n">
        <f aca="false">'CEMIUP0.9 Raw'!F498</f>
        <v>439.578947368421</v>
      </c>
      <c r="G209" s="19" t="n">
        <f aca="false">'CEMIUP0.9 Raw'!G498</f>
        <v>31250.544</v>
      </c>
      <c r="H209" s="18" t="str">
        <f aca="false">'CEMIUP0.9 Raw'!A498</f>
        <v>107 - Pharmacies</v>
      </c>
    </row>
    <row r="210" customFormat="false" ht="15" hidden="false" customHeight="false" outlineLevel="0" collapsed="false">
      <c r="A210" s="18" t="n">
        <f aca="false">'CEMIUP0.9 Raw'!B152</f>
        <v>4408208</v>
      </c>
      <c r="B210" s="18" t="str">
        <f aca="false">'CEMIUP0.9 Raw'!C152</f>
        <v>AC91 חבק טניס</v>
      </c>
      <c r="C210" s="18" t="str">
        <f aca="false">'CEMIUP0.9 Raw'!C152</f>
        <v>AC91 חבק טניס</v>
      </c>
      <c r="D210" s="19" t="n">
        <f aca="false">'CEMIUP0.9 Raw'!D152</f>
        <v>467</v>
      </c>
      <c r="E210" s="19" t="n">
        <f aca="false">'CEMIUP0.9 Raw'!E152</f>
        <v>15559.977</v>
      </c>
      <c r="F210" s="19" t="n">
        <f aca="false">'CEMIUP0.9 Raw'!F152</f>
        <v>438.315789473684</v>
      </c>
      <c r="G210" s="19" t="n">
        <f aca="false">'CEMIUP0.9 Raw'!G152</f>
        <v>15222.0189473684</v>
      </c>
      <c r="H210" s="18" t="str">
        <f aca="false">'CEMIUP0.9 Raw'!A152</f>
        <v>107 - Pharmacies</v>
      </c>
    </row>
    <row r="211" customFormat="false" ht="15" hidden="false" customHeight="false" outlineLevel="0" collapsed="false">
      <c r="A211" s="18" t="n">
        <f aca="false">'CEMIUP0.9 Raw'!B782</f>
        <v>4413059</v>
      </c>
      <c r="B211" s="18" t="str">
        <f aca="false">'CEMIUP0.9 Raw'!C782</f>
        <v>364S Lמפר.אצבע סיליק. ליבל.זוג</v>
      </c>
      <c r="C211" s="18" t="str">
        <f aca="false">'CEMIUP0.9 Raw'!C782</f>
        <v>364S Lמפר.אצבע סיליק. ליבל.זוג</v>
      </c>
      <c r="D211" s="19" t="n">
        <f aca="false">'CEMIUP0.9 Raw'!D782</f>
        <v>669</v>
      </c>
      <c r="E211" s="19" t="n">
        <f aca="false">'CEMIUP0.9 Raw'!E782</f>
        <v>6355.5</v>
      </c>
      <c r="F211" s="19" t="n">
        <f aca="false">'CEMIUP0.9 Raw'!F782</f>
        <v>437.052631578947</v>
      </c>
      <c r="G211" s="19" t="n">
        <f aca="false">'CEMIUP0.9 Raw'!G782</f>
        <v>3774.58231578947</v>
      </c>
      <c r="H211" s="18" t="str">
        <f aca="false">'CEMIUP0.9 Raw'!A782</f>
        <v>113 - Kupat Holim Meuhedet</v>
      </c>
    </row>
    <row r="212" customFormat="false" ht="15" hidden="false" customHeight="false" outlineLevel="0" collapsed="false">
      <c r="A212" s="18" t="n">
        <f aca="false">'CEMIUP0.9 Raw'!B367</f>
        <v>4413326</v>
      </c>
      <c r="B212" s="18" t="str">
        <f aca="false">'CEMIUP0.9 Raw'!C367</f>
        <v>AC37 מגן קרסול נושם</v>
      </c>
      <c r="C212" s="18" t="str">
        <f aca="false">'CEMIUP0.9 Raw'!C367</f>
        <v>AC37 מגן קרסול נושם</v>
      </c>
      <c r="D212" s="19" t="n">
        <f aca="false">'CEMIUP0.9 Raw'!D367</f>
        <v>381</v>
      </c>
      <c r="E212" s="19" t="n">
        <f aca="false">'CEMIUP0.9 Raw'!E367</f>
        <v>10985.397</v>
      </c>
      <c r="F212" s="19" t="n">
        <f aca="false">'CEMIUP0.9 Raw'!F367</f>
        <v>433.263157894737</v>
      </c>
      <c r="G212" s="19" t="n">
        <f aca="false">'CEMIUP0.9 Raw'!G367</f>
        <v>13136.4884210526</v>
      </c>
      <c r="H212" s="18" t="str">
        <f aca="false">'CEMIUP0.9 Raw'!A367</f>
        <v>107 - Pharmacies</v>
      </c>
    </row>
    <row r="213" customFormat="false" ht="15" hidden="false" customHeight="false" outlineLevel="0" collapsed="false">
      <c r="A213" s="18" t="str">
        <f aca="false">'SALES Raw'!G4441</f>
        <v/>
      </c>
      <c r="B213" s="18" t="str">
        <f aca="false">'SALES Raw'!B4441</f>
        <v>EC-59R M</v>
      </c>
      <c r="C213" s="18" t="str">
        <f aca="false">'SALES Raw'!H4441</f>
        <v>EC-59R M</v>
      </c>
      <c r="D213" s="19" t="n">
        <f aca="false">'SALES Raw'!C4441</f>
        <v>1141</v>
      </c>
      <c r="E213" s="19" t="n">
        <f aca="false">'SALES Raw'!D4441</f>
        <v>191075.16</v>
      </c>
      <c r="F213" s="19" t="n">
        <f aca="false">'SALES Raw'!E4441*$H$4</f>
        <v>433.263157894737</v>
      </c>
      <c r="G213" s="19" t="n">
        <f aca="false">'SALES Raw'!F4441*$H$4</f>
        <v>69735.5368421053</v>
      </c>
      <c r="H213" s="18" t="str">
        <f aca="false">'SALES Raw'!A4441</f>
        <v>301 - Amazon</v>
      </c>
    </row>
    <row r="214" customFormat="false" ht="15" hidden="false" customHeight="false" outlineLevel="0" collapsed="false">
      <c r="A214" s="18" t="n">
        <f aca="false">'CEMIUP0.9 Raw'!B589</f>
        <v>4422035</v>
      </c>
      <c r="B214" s="18" t="str">
        <f aca="false">'CEMIUP0.9 Raw'!C589</f>
        <v>FCתרסיס דאודורנט אנטיבק.נעל333</v>
      </c>
      <c r="C214" s="18" t="str">
        <f aca="false">'CEMIUP0.9 Raw'!C589</f>
        <v>FCתרסיס דאודורנט אנטיבק.נעל333</v>
      </c>
      <c r="D214" s="19" t="n">
        <f aca="false">'CEMIUP0.9 Raw'!D589</f>
        <v>971</v>
      </c>
      <c r="E214" s="19" t="n">
        <f aca="false">'CEMIUP0.9 Raw'!E589</f>
        <v>16498.167</v>
      </c>
      <c r="F214" s="19" t="n">
        <f aca="false">'CEMIUP0.9 Raw'!F589</f>
        <v>430.736842105263</v>
      </c>
      <c r="G214" s="19" t="n">
        <f aca="false">'CEMIUP0.9 Raw'!G589</f>
        <v>7463.87747368421</v>
      </c>
      <c r="H214" s="18" t="str">
        <f aca="false">'CEMIUP0.9 Raw'!A589</f>
        <v>107 - Pharmacies</v>
      </c>
    </row>
    <row r="215" customFormat="false" ht="15" hidden="false" customHeight="false" outlineLevel="0" collapsed="false">
      <c r="A215" s="18" t="n">
        <f aca="false">'CEMIUP0.9 Raw'!B1511</f>
        <v>4413140</v>
      </c>
      <c r="B215" s="18" t="str">
        <f aca="false">'CEMIUP0.9 Raw'!C1511</f>
        <v>95 M מגן מרפק רגיל לבן</v>
      </c>
      <c r="C215" s="18" t="str">
        <f aca="false">'CEMIUP0.9 Raw'!C1511</f>
        <v>95 M מגן מרפק רגיל לבן</v>
      </c>
      <c r="D215" s="19" t="n">
        <f aca="false">'CEMIUP0.9 Raw'!D1511</f>
        <v>555</v>
      </c>
      <c r="E215" s="19" t="n">
        <f aca="false">'CEMIUP0.9 Raw'!E1511</f>
        <v>12986.246</v>
      </c>
      <c r="F215" s="19" t="n">
        <f aca="false">'CEMIUP0.9 Raw'!F1511</f>
        <v>419.368421052632</v>
      </c>
      <c r="G215" s="19" t="n">
        <f aca="false">'CEMIUP0.9 Raw'!G1511</f>
        <v>9901.10652631579</v>
      </c>
      <c r="H215" s="18" t="str">
        <f aca="false">'CEMIUP0.9 Raw'!A1511</f>
        <v>Super-Pharm Israel (CEMI internal group)</v>
      </c>
    </row>
    <row r="216" customFormat="false" ht="15" hidden="false" customHeight="false" outlineLevel="0" collapsed="false">
      <c r="A216" s="18" t="n">
        <f aca="false">'CEMIUP0.9 Raw'!B1225</f>
        <v>4415158</v>
      </c>
      <c r="B216" s="18" t="str">
        <f aca="false">'CEMIUP0.9 Raw'!C1225</f>
        <v>266 סד ליד דו צדדי</v>
      </c>
      <c r="C216" s="18" t="str">
        <f aca="false">'CEMIUP0.9 Raw'!C1225</f>
        <v>266 סד ליד דו צדדי</v>
      </c>
      <c r="D216" s="19" t="n">
        <f aca="false">'CEMIUP0.9 Raw'!D1225</f>
        <v>367</v>
      </c>
      <c r="E216" s="19" t="n">
        <f aca="false">'CEMIUP0.9 Raw'!E1225</f>
        <v>24299.639</v>
      </c>
      <c r="F216" s="19" t="n">
        <f aca="false">'CEMIUP0.9 Raw'!F1225</f>
        <v>418.105263157895</v>
      </c>
      <c r="G216" s="19" t="n">
        <f aca="false">'CEMIUP0.9 Raw'!G1225</f>
        <v>27683.4644210526</v>
      </c>
      <c r="H216" s="18" t="str">
        <f aca="false">'CEMIUP0.9 Raw'!A1225</f>
        <v>BE (CEMI internal group)</v>
      </c>
    </row>
    <row r="217" customFormat="false" ht="15" hidden="false" customHeight="false" outlineLevel="0" collapsed="false">
      <c r="A217" s="18" t="str">
        <f aca="false">'SALES Raw'!G4457</f>
        <v/>
      </c>
      <c r="B217" s="18" t="str">
        <f aca="false">'SALES Raw'!B4457</f>
        <v>EC-59RB S</v>
      </c>
      <c r="C217" s="18" t="str">
        <f aca="false">'SALES Raw'!H4457</f>
        <v>EC-59RB S</v>
      </c>
      <c r="D217" s="19" t="n">
        <f aca="false">'SALES Raw'!C4457</f>
        <v>384</v>
      </c>
      <c r="E217" s="19" t="n">
        <f aca="false">'SALES Raw'!D4457</f>
        <v>68602.16</v>
      </c>
      <c r="F217" s="19" t="n">
        <f aca="false">'SALES Raw'!E4457*$H$4</f>
        <v>411.789473684211</v>
      </c>
      <c r="G217" s="19" t="n">
        <f aca="false">'SALES Raw'!F4457*$H$4</f>
        <v>65201.4694736842</v>
      </c>
      <c r="H217" s="18" t="str">
        <f aca="false">'SALES Raw'!A4457</f>
        <v>301 - Amazon</v>
      </c>
    </row>
    <row r="218" customFormat="false" ht="15" hidden="false" customHeight="false" outlineLevel="0" collapsed="false">
      <c r="A218" s="18" t="n">
        <f aca="false">'CEMIUP0.9 Raw'!B878</f>
        <v>4422035</v>
      </c>
      <c r="B218" s="18" t="str">
        <f aca="false">'CEMIUP0.9 Raw'!C878</f>
        <v>FCתרסיס דאודורנט אנטיבק.נעל333</v>
      </c>
      <c r="C218" s="18" t="str">
        <f aca="false">'CEMIUP0.9 Raw'!C878</f>
        <v>FCתרסיס דאודורנט אנטיבק.נעל333</v>
      </c>
      <c r="D218" s="19" t="n">
        <f aca="false">'CEMIUP0.9 Raw'!D878</f>
        <v>978</v>
      </c>
      <c r="E218" s="19" t="n">
        <f aca="false">'CEMIUP0.9 Raw'!E878</f>
        <v>14474.4</v>
      </c>
      <c r="F218" s="19" t="n">
        <f aca="false">'CEMIUP0.9 Raw'!F878</f>
        <v>409.263157894737</v>
      </c>
      <c r="G218" s="19" t="n">
        <f aca="false">'CEMIUP0.9 Raw'!G878</f>
        <v>5899.89221052632</v>
      </c>
      <c r="H218" s="18" t="str">
        <f aca="false">'CEMIUP0.9 Raw'!A878</f>
        <v>113 - Kupat Holim Meuhedet</v>
      </c>
    </row>
    <row r="219" customFormat="false" ht="15" hidden="false" customHeight="false" outlineLevel="0" collapsed="false">
      <c r="A219" s="18" t="n">
        <f aca="false">'CEMIUP0.9 Raw'!B1422</f>
        <v>4411022</v>
      </c>
      <c r="B219" s="18" t="str">
        <f aca="false">'CEMIUP0.9 Raw'!C1422</f>
        <v>212M כפפות אגודל לחץ</v>
      </c>
      <c r="C219" s="18" t="str">
        <f aca="false">'CEMIUP0.9 Raw'!C1422</f>
        <v>212M כפפות אגודל לחץ</v>
      </c>
      <c r="D219" s="19" t="n">
        <f aca="false">'CEMIUP0.9 Raw'!D1422</f>
        <v>419</v>
      </c>
      <c r="E219" s="19" t="n">
        <f aca="false">'CEMIUP0.9 Raw'!E1422</f>
        <v>10853.752</v>
      </c>
      <c r="F219" s="19" t="n">
        <f aca="false">'CEMIUP0.9 Raw'!F1422</f>
        <v>409.263157894737</v>
      </c>
      <c r="G219" s="19" t="n">
        <f aca="false">'CEMIUP0.9 Raw'!G1422</f>
        <v>11010.8084210526</v>
      </c>
      <c r="H219" s="18" t="str">
        <f aca="false">'CEMIUP0.9 Raw'!A1422</f>
        <v>Super-Pharm Israel (CEMI internal group)</v>
      </c>
    </row>
    <row r="220" customFormat="false" ht="15" hidden="false" customHeight="false" outlineLevel="0" collapsed="false">
      <c r="A220" s="18" t="n">
        <f aca="false">'SALES Raw'!G944</f>
        <v>4409004</v>
      </c>
      <c r="B220" s="18" t="str">
        <f aca="false">'SALES Raw'!B944</f>
        <v>FC335 0</v>
      </c>
      <c r="C220" s="18" t="str">
        <f aca="false">'SALES Raw'!H944</f>
        <v>FC335 טלק מעושר באלוורה</v>
      </c>
      <c r="D220" s="19" t="n">
        <f aca="false">'SALES Raw'!C944</f>
        <v>412</v>
      </c>
      <c r="E220" s="19" t="n">
        <f aca="false">'SALES Raw'!D944</f>
        <v>8124.88</v>
      </c>
      <c r="F220" s="19" t="n">
        <f aca="false">'SALES Raw'!E944*$H$4</f>
        <v>408</v>
      </c>
      <c r="G220" s="19" t="n">
        <f aca="false">'SALES Raw'!F944*$H$4</f>
        <v>7672.85052631579</v>
      </c>
      <c r="H220" s="18" t="str">
        <f aca="false">'SALES Raw'!A944</f>
        <v>102 - Orthopedic institutes</v>
      </c>
    </row>
    <row r="221" customFormat="false" ht="15" hidden="false" customHeight="false" outlineLevel="0" collapsed="false">
      <c r="A221" s="18" t="n">
        <f aca="false">'CEMIUP0.9 Raw'!B1518</f>
        <v>4413149</v>
      </c>
      <c r="B221" s="18" t="str">
        <f aca="false">'CEMIUP0.9 Raw'!C1518</f>
        <v>FC321-מלח אמבט לכף הרגל</v>
      </c>
      <c r="C221" s="18" t="str">
        <f aca="false">'CEMIUP0.9 Raw'!C1518</f>
        <v>FC321-מלח אמבט לכף הרגל</v>
      </c>
      <c r="D221" s="19" t="n">
        <f aca="false">'CEMIUP0.9 Raw'!D1518</f>
        <v>871</v>
      </c>
      <c r="E221" s="19" t="n">
        <f aca="false">'CEMIUP0.9 Raw'!E1518</f>
        <v>8039.122</v>
      </c>
      <c r="F221" s="19" t="n">
        <f aca="false">'CEMIUP0.9 Raw'!F1518</f>
        <v>404.21052631579</v>
      </c>
      <c r="G221" s="19" t="n">
        <f aca="false">'CEMIUP0.9 Raw'!G1518</f>
        <v>3724.86947368421</v>
      </c>
      <c r="H221" s="18" t="str">
        <f aca="false">'CEMIUP0.9 Raw'!A1518</f>
        <v>Super-Pharm Israel (CEMI internal group)</v>
      </c>
    </row>
    <row r="222" customFormat="false" ht="15" hidden="false" customHeight="false" outlineLevel="0" collapsed="false">
      <c r="A222" s="18" t="n">
        <f aca="false">'SALES Raw'!G2914</f>
        <v>4413348</v>
      </c>
      <c r="B222" s="18" t="str">
        <f aca="false">'SALES Raw'!B2914</f>
        <v>302M 0</v>
      </c>
      <c r="C222" s="18" t="str">
        <f aca="false">'SALES Raw'!H2914</f>
        <v>302 מדרס ג'ל לגבר</v>
      </c>
      <c r="D222" s="19" t="n">
        <f aca="false">'SALES Raw'!C2914</f>
        <v>320</v>
      </c>
      <c r="E222" s="19" t="n">
        <f aca="false">'SALES Raw'!D2914</f>
        <v>11612.6</v>
      </c>
      <c r="F222" s="19" t="n">
        <f aca="false">'SALES Raw'!E2914*$H$4</f>
        <v>404.21052631579</v>
      </c>
      <c r="G222" s="19" t="n">
        <f aca="false">'SALES Raw'!F2914*$H$4</f>
        <v>13522.1052631579</v>
      </c>
      <c r="H222" s="18" t="str">
        <f aca="false">'SALES Raw'!A2914</f>
        <v>202 - Super-Pharm POLAND</v>
      </c>
    </row>
    <row r="223" customFormat="false" ht="15" hidden="false" customHeight="false" outlineLevel="0" collapsed="false">
      <c r="A223" s="18" t="str">
        <f aca="false">'SALES Raw'!G2947</f>
        <v/>
      </c>
      <c r="B223" s="18" t="str">
        <f aca="false">'SALES Raw'!B2947</f>
        <v>376-38-40</v>
      </c>
      <c r="C223" s="18" t="str">
        <f aca="false">'SALES Raw'!H2947</f>
        <v>376-38-40</v>
      </c>
      <c r="D223" s="19" t="n">
        <f aca="false">'SALES Raw'!C2947</f>
        <v>470</v>
      </c>
      <c r="E223" s="19" t="n">
        <f aca="false">'SALES Raw'!D2947</f>
        <v>9031.95</v>
      </c>
      <c r="F223" s="19" t="n">
        <f aca="false">'SALES Raw'!E2947*$H$4</f>
        <v>404.21052631579</v>
      </c>
      <c r="G223" s="19" t="n">
        <f aca="false">'SALES Raw'!F2947*$H$4</f>
        <v>7039.51578947368</v>
      </c>
      <c r="H223" s="18" t="str">
        <f aca="false">'SALES Raw'!A2947</f>
        <v>202 - Super-Pharm POLAND</v>
      </c>
    </row>
    <row r="224" customFormat="false" ht="15" hidden="false" customHeight="false" outlineLevel="0" collapsed="false">
      <c r="A224" s="18" t="n">
        <f aca="false">'SALES Raw'!G3487</f>
        <v>4415162</v>
      </c>
      <c r="B224" s="18" t="str">
        <f aca="false">'SALES Raw'!B3487</f>
        <v>238 L</v>
      </c>
      <c r="C224" s="18" t="str">
        <f aca="false">'SALES Raw'!H3487</f>
        <v>238L סד ליישור אצבע</v>
      </c>
      <c r="D224" s="19" t="n">
        <f aca="false">'SALES Raw'!C3487</f>
        <v>320</v>
      </c>
      <c r="E224" s="19" t="n">
        <f aca="false">'SALES Raw'!D3487</f>
        <v>2768.68</v>
      </c>
      <c r="F224" s="19" t="n">
        <f aca="false">'SALES Raw'!E3487*$H$4</f>
        <v>404.21052631579</v>
      </c>
      <c r="G224" s="19" t="n">
        <f aca="false">'SALES Raw'!F3487*$H$4</f>
        <v>3350.98105263158</v>
      </c>
      <c r="H224" s="18" t="str">
        <f aca="false">'SALES Raw'!A3487</f>
        <v>207 - Salus HUNGARY</v>
      </c>
    </row>
    <row r="225" customFormat="false" ht="15" hidden="false" customHeight="false" outlineLevel="0" collapsed="false">
      <c r="A225" s="18" t="n">
        <f aca="false">'CEMIUP0.9 Raw'!B538</f>
        <v>4420000</v>
      </c>
      <c r="B225" s="18" t="str">
        <f aca="false">'CEMIUP0.9 Raw'!C538</f>
        <v>370  רפידת נוחות-זוג</v>
      </c>
      <c r="C225" s="18" t="str">
        <f aca="false">'CEMIUP0.9 Raw'!C538</f>
        <v>370  רפידת נוחות-זוג</v>
      </c>
      <c r="D225" s="19" t="n">
        <f aca="false">'CEMIUP0.9 Raw'!D538</f>
        <v>430</v>
      </c>
      <c r="E225" s="19" t="n">
        <f aca="false">'CEMIUP0.9 Raw'!E538</f>
        <v>4594.087</v>
      </c>
      <c r="F225" s="19" t="n">
        <f aca="false">'CEMIUP0.9 Raw'!F538</f>
        <v>402.947368421053</v>
      </c>
      <c r="G225" s="19" t="n">
        <f aca="false">'CEMIUP0.9 Raw'!G538</f>
        <v>4507.2012631579</v>
      </c>
      <c r="H225" s="18" t="str">
        <f aca="false">'CEMIUP0.9 Raw'!A538</f>
        <v>107 - Pharmacies</v>
      </c>
    </row>
    <row r="226" customFormat="false" ht="15" hidden="false" customHeight="false" outlineLevel="0" collapsed="false">
      <c r="A226" s="18" t="n">
        <f aca="false">'SALES Raw'!G3349</f>
        <v>4413059</v>
      </c>
      <c r="B226" s="18" t="str">
        <f aca="false">'SALES Raw'!B3349</f>
        <v>364-S-L</v>
      </c>
      <c r="C226" s="18" t="str">
        <f aca="false">'SALES Raw'!H3349</f>
        <v>364S Lמפר.אצבע סיליק. ליבל.זוג</v>
      </c>
      <c r="D226" s="19" t="n">
        <f aca="false">'SALES Raw'!C3349</f>
        <v>240</v>
      </c>
      <c r="E226" s="19" t="n">
        <f aca="false">'SALES Raw'!D3349</f>
        <v>1556.89</v>
      </c>
      <c r="F226" s="19" t="n">
        <f aca="false">'SALES Raw'!E3349*$H$4</f>
        <v>399.157894736842</v>
      </c>
      <c r="G226" s="19" t="n">
        <f aca="false">'SALES Raw'!F3349*$H$4</f>
        <v>2409.22105263158</v>
      </c>
      <c r="H226" s="18" t="str">
        <f aca="false">'SALES Raw'!A3349</f>
        <v>205 - Health Care Prod. Gmbh GERMANY</v>
      </c>
    </row>
    <row r="227" customFormat="false" ht="15" hidden="false" customHeight="false" outlineLevel="0" collapsed="false">
      <c r="A227" s="18" t="n">
        <f aca="false">'CEMIUP0.9 Raw'!B1605</f>
        <v>4413522</v>
      </c>
      <c r="B227" s="18" t="str">
        <f aca="false">'CEMIUP0.9 Raw'!C1605</f>
        <v>מדרסי אפיק ג'ל מולט.ספורט43-47</v>
      </c>
      <c r="C227" s="18" t="str">
        <f aca="false">'CEMIUP0.9 Raw'!C1605</f>
        <v>מדרסי אפיק ג'ל מולט.ספורט43-47</v>
      </c>
      <c r="D227" s="19" t="n">
        <f aca="false">'CEMIUP0.9 Raw'!D1605</f>
        <v>1045</v>
      </c>
      <c r="E227" s="19" t="n">
        <f aca="false">'CEMIUP0.9 Raw'!E1605</f>
        <v>88755.94</v>
      </c>
      <c r="F227" s="19" t="n">
        <f aca="false">'CEMIUP0.9 Raw'!F1605</f>
        <v>399.157894736842</v>
      </c>
      <c r="G227" s="19" t="n">
        <f aca="false">'CEMIUP0.9 Raw'!G1605</f>
        <v>35737.4816842105</v>
      </c>
      <c r="H227" s="18" t="str">
        <f aca="false">'CEMIUP0.9 Raw'!A1605</f>
        <v>Super-Pharm Israel (CEMI internal group)</v>
      </c>
    </row>
    <row r="228" customFormat="false" ht="15" hidden="false" customHeight="false" outlineLevel="0" collapsed="false">
      <c r="A228" s="18" t="n">
        <f aca="false">'CEMIUP0.9 Raw'!B1687</f>
        <v>4421007</v>
      </c>
      <c r="B228" s="18" t="str">
        <f aca="false">'CEMIUP0.9 Raw'!C1687</f>
        <v>שרוול לגבס קצר רגל</v>
      </c>
      <c r="C228" s="18" t="str">
        <f aca="false">'CEMIUP0.9 Raw'!C1687</f>
        <v>שרוול לגבס קצר רגל</v>
      </c>
      <c r="D228" s="19" t="n">
        <f aca="false">'CEMIUP0.9 Raw'!D1687</f>
        <v>262</v>
      </c>
      <c r="E228" s="19" t="n">
        <f aca="false">'CEMIUP0.9 Raw'!E1687</f>
        <v>8755.929</v>
      </c>
      <c r="F228" s="19" t="n">
        <f aca="false">'CEMIUP0.9 Raw'!F1687</f>
        <v>397.894736842105</v>
      </c>
      <c r="G228" s="19" t="n">
        <f aca="false">'CEMIUP0.9 Raw'!G1687</f>
        <v>13280.5591578947</v>
      </c>
      <c r="H228" s="18" t="str">
        <f aca="false">'CEMIUP0.9 Raw'!A1687</f>
        <v>Super-Pharm Israel (CEMI internal group)</v>
      </c>
    </row>
    <row r="229" customFormat="false" ht="15" hidden="false" customHeight="false" outlineLevel="0" collapsed="false">
      <c r="A229" s="18" t="str">
        <f aca="false">'SALES Raw'!G4437</f>
        <v/>
      </c>
      <c r="B229" s="18" t="str">
        <f aca="false">'SALES Raw'!B4437</f>
        <v>EC-59L M</v>
      </c>
      <c r="C229" s="18" t="str">
        <f aca="false">'SALES Raw'!H4437</f>
        <v>EC-59L M</v>
      </c>
      <c r="D229" s="19" t="n">
        <f aca="false">'SALES Raw'!C4437</f>
        <v>670</v>
      </c>
      <c r="E229" s="19" t="n">
        <f aca="false">'SALES Raw'!D4437</f>
        <v>119782.01</v>
      </c>
      <c r="F229" s="19" t="n">
        <f aca="false">'SALES Raw'!E4437*$H$4</f>
        <v>395.368421052632</v>
      </c>
      <c r="G229" s="19" t="n">
        <f aca="false">'SALES Raw'!F4437*$H$4</f>
        <v>63066.3284210526</v>
      </c>
      <c r="H229" s="18" t="str">
        <f aca="false">'SALES Raw'!A4437</f>
        <v>301 - Amazon</v>
      </c>
    </row>
    <row r="230" customFormat="false" ht="15" hidden="false" customHeight="false" outlineLevel="0" collapsed="false">
      <c r="A230" s="18" t="n">
        <f aca="false">'CEMIUP0.9 Raw'!B1614</f>
        <v>4415000</v>
      </c>
      <c r="B230" s="18" t="str">
        <f aca="false">'CEMIUP0.9 Raw'!C1614</f>
        <v>26 L סד ליד דו צדדי לאחר שבר</v>
      </c>
      <c r="C230" s="18" t="str">
        <f aca="false">'CEMIUP0.9 Raw'!C1614</f>
        <v>26 L סד ליד דו צדדי לאחר שבר</v>
      </c>
      <c r="D230" s="19" t="n">
        <f aca="false">'CEMIUP0.9 Raw'!D1614</f>
        <v>648</v>
      </c>
      <c r="E230" s="19" t="n">
        <f aca="false">'CEMIUP0.9 Raw'!E1614</f>
        <v>48239.009</v>
      </c>
      <c r="F230" s="19" t="n">
        <f aca="false">'CEMIUP0.9 Raw'!F1614</f>
        <v>394.105263157895</v>
      </c>
      <c r="G230" s="19" t="n">
        <f aca="false">'CEMIUP0.9 Raw'!G1614</f>
        <v>29595.1541052632</v>
      </c>
      <c r="H230" s="18" t="str">
        <f aca="false">'CEMIUP0.9 Raw'!A1614</f>
        <v>Super-Pharm Israel (CEMI internal group)</v>
      </c>
    </row>
    <row r="231" customFormat="false" ht="15" hidden="false" customHeight="false" outlineLevel="0" collapsed="false">
      <c r="A231" s="18" t="str">
        <f aca="false">'SALES Raw'!G2948</f>
        <v/>
      </c>
      <c r="B231" s="18" t="str">
        <f aca="false">'SALES Raw'!B2948</f>
        <v>376-41-43</v>
      </c>
      <c r="C231" s="18" t="str">
        <f aca="false">'SALES Raw'!H2948</f>
        <v>376-41-43</v>
      </c>
      <c r="D231" s="19" t="n">
        <f aca="false">'SALES Raw'!C2948</f>
        <v>410</v>
      </c>
      <c r="E231" s="19" t="n">
        <f aca="false">'SALES Raw'!D2948</f>
        <v>7871.82</v>
      </c>
      <c r="F231" s="19" t="n">
        <f aca="false">'SALES Raw'!E2948*$H$4</f>
        <v>391.578947368421</v>
      </c>
      <c r="G231" s="19" t="n">
        <f aca="false">'SALES Raw'!F2948*$H$4</f>
        <v>6808.98947368421</v>
      </c>
      <c r="H231" s="18" t="str">
        <f aca="false">'SALES Raw'!A2948</f>
        <v>202 - Super-Pharm POLAND</v>
      </c>
    </row>
    <row r="232" customFormat="false" ht="15" hidden="false" customHeight="false" outlineLevel="0" collapsed="false">
      <c r="A232" s="18" t="n">
        <f aca="false">'SALES Raw'!G3006</f>
        <v>4415028</v>
      </c>
      <c r="B232" s="18" t="str">
        <f aca="false">'SALES Raw'!B3006</f>
        <v>AC28 0</v>
      </c>
      <c r="C232" s="18" t="str">
        <f aca="false">'SALES Raw'!H3006</f>
        <v>AC-28 סד לאגודל</v>
      </c>
      <c r="D232" s="19" t="n">
        <f aca="false">'SALES Raw'!C3006</f>
        <v>410</v>
      </c>
      <c r="E232" s="19" t="n">
        <f aca="false">'SALES Raw'!D3006</f>
        <v>8186.61</v>
      </c>
      <c r="F232" s="19" t="n">
        <f aca="false">'SALES Raw'!E3006*$H$4</f>
        <v>391.578947368421</v>
      </c>
      <c r="G232" s="19" t="n">
        <f aca="false">'SALES Raw'!F3006*$H$4</f>
        <v>7074.18947368421</v>
      </c>
      <c r="H232" s="18" t="str">
        <f aca="false">'SALES Raw'!A3006</f>
        <v>202 - Super-Pharm POLAND</v>
      </c>
    </row>
    <row r="233" customFormat="false" ht="15" hidden="false" customHeight="false" outlineLevel="0" collapsed="false">
      <c r="A233" s="18" t="n">
        <f aca="false">'SALES Raw'!G3007</f>
        <v>4413326</v>
      </c>
      <c r="B233" s="18" t="str">
        <f aca="false">'SALES Raw'!B3007</f>
        <v>AC37 0</v>
      </c>
      <c r="C233" s="18" t="str">
        <f aca="false">'SALES Raw'!H3007</f>
        <v>AC37 מגן קרסול נושם</v>
      </c>
      <c r="D233" s="19" t="n">
        <f aca="false">'SALES Raw'!C3007</f>
        <v>570</v>
      </c>
      <c r="E233" s="19" t="n">
        <f aca="false">'SALES Raw'!D3007</f>
        <v>13974.56</v>
      </c>
      <c r="F233" s="19" t="n">
        <f aca="false">'SALES Raw'!E3007*$H$4</f>
        <v>391.578947368421</v>
      </c>
      <c r="G233" s="19" t="n">
        <f aca="false">'SALES Raw'!F3007*$H$4</f>
        <v>8635.27578947368</v>
      </c>
      <c r="H233" s="18" t="str">
        <f aca="false">'SALES Raw'!A3007</f>
        <v>202 - Super-Pharm POLAND</v>
      </c>
    </row>
    <row r="234" customFormat="false" ht="15" hidden="false" customHeight="false" outlineLevel="0" collapsed="false">
      <c r="A234" s="18" t="n">
        <f aca="false">'CEMIUP0.9 Raw'!B502</f>
        <v>4415162</v>
      </c>
      <c r="B234" s="18" t="str">
        <f aca="false">'CEMIUP0.9 Raw'!C502</f>
        <v>238L סד ליישור אצבע</v>
      </c>
      <c r="C234" s="18" t="str">
        <f aca="false">'CEMIUP0.9 Raw'!C502</f>
        <v>238L סד ליישור אצבע</v>
      </c>
      <c r="D234" s="19" t="n">
        <f aca="false">'CEMIUP0.9 Raw'!D502</f>
        <v>399</v>
      </c>
      <c r="E234" s="19" t="n">
        <f aca="false">'CEMIUP0.9 Raw'!E502</f>
        <v>6988.248</v>
      </c>
      <c r="F234" s="19" t="n">
        <f aca="false">'CEMIUP0.9 Raw'!F502</f>
        <v>387.789473684211</v>
      </c>
      <c r="G234" s="19" t="n">
        <f aca="false">'CEMIUP0.9 Raw'!G502</f>
        <v>6944.78021052632</v>
      </c>
      <c r="H234" s="18" t="str">
        <f aca="false">'CEMIUP0.9 Raw'!A502</f>
        <v>107 - Pharmacies</v>
      </c>
    </row>
    <row r="235" customFormat="false" ht="15" hidden="false" customHeight="false" outlineLevel="0" collapsed="false">
      <c r="A235" s="18" t="n">
        <f aca="false">'CEMIUP0.9 Raw'!B111</f>
        <v>4408098</v>
      </c>
      <c r="B235" s="18" t="str">
        <f aca="false">'CEMIUP0.9 Raw'!C111</f>
        <v>T25-חבק יד אגודלי</v>
      </c>
      <c r="C235" s="18" t="str">
        <f aca="false">'CEMIUP0.9 Raw'!C111</f>
        <v>T25-חבק יד אגודלי</v>
      </c>
      <c r="D235" s="19" t="n">
        <f aca="false">'CEMIUP0.9 Raw'!D111</f>
        <v>580</v>
      </c>
      <c r="E235" s="19" t="n">
        <f aca="false">'CEMIUP0.9 Raw'!E111</f>
        <v>23675.045</v>
      </c>
      <c r="F235" s="19" t="n">
        <f aca="false">'CEMIUP0.9 Raw'!F111</f>
        <v>386.526315789474</v>
      </c>
      <c r="G235" s="19" t="n">
        <f aca="false">'CEMIUP0.9 Raw'!G111</f>
        <v>16136.2711578947</v>
      </c>
      <c r="H235" s="18" t="str">
        <f aca="false">'CEMIUP0.9 Raw'!A111</f>
        <v>107 - Pharmacies</v>
      </c>
    </row>
    <row r="236" customFormat="false" ht="15" hidden="false" customHeight="false" outlineLevel="0" collapsed="false">
      <c r="A236" s="18" t="n">
        <f aca="false">'CEMIUP0.9 Raw'!B1479</f>
        <v>4413101</v>
      </c>
      <c r="B236" s="18" t="str">
        <f aca="false">'CEMIUP0.9 Raw'!C1479</f>
        <v>45E Sמגן ברך ארוך לבן</v>
      </c>
      <c r="C236" s="18" t="str">
        <f aca="false">'CEMIUP0.9 Raw'!C1479</f>
        <v>45E Sמגן ברך ארוך לבן</v>
      </c>
      <c r="D236" s="19" t="n">
        <f aca="false">'CEMIUP0.9 Raw'!D1479</f>
        <v>533</v>
      </c>
      <c r="E236" s="19" t="n">
        <f aca="false">'CEMIUP0.9 Raw'!E1479</f>
        <v>15101.905</v>
      </c>
      <c r="F236" s="19" t="n">
        <f aca="false">'CEMIUP0.9 Raw'!F1479</f>
        <v>386.526315789474</v>
      </c>
      <c r="G236" s="19" t="n">
        <f aca="false">'CEMIUP0.9 Raw'!G1479</f>
        <v>10955.2888421053</v>
      </c>
      <c r="H236" s="18" t="str">
        <f aca="false">'CEMIUP0.9 Raw'!A1479</f>
        <v>Super-Pharm Israel (CEMI internal group)</v>
      </c>
    </row>
    <row r="237" customFormat="false" ht="15" hidden="false" customHeight="false" outlineLevel="0" collapsed="false">
      <c r="A237" s="18" t="n">
        <f aca="false">'CEMIUP0.9 Raw'!B1648</f>
        <v>4416001</v>
      </c>
      <c r="B237" s="18" t="str">
        <f aca="false">'CEMIUP0.9 Raw'!C1648</f>
        <v>307 M עקבים לדורבן-זוג כריות</v>
      </c>
      <c r="C237" s="18" t="str">
        <f aca="false">'CEMIUP0.9 Raw'!C1648</f>
        <v>307 M עקבים לדורבן-זוג כריות</v>
      </c>
      <c r="D237" s="19" t="n">
        <f aca="false">'CEMIUP0.9 Raw'!D1648</f>
        <v>425</v>
      </c>
      <c r="E237" s="19" t="n">
        <f aca="false">'CEMIUP0.9 Raw'!E1648</f>
        <v>31313.191</v>
      </c>
      <c r="F237" s="19" t="n">
        <f aca="false">'CEMIUP0.9 Raw'!F1648</f>
        <v>385.263157894737</v>
      </c>
      <c r="G237" s="19" t="n">
        <f aca="false">'CEMIUP0.9 Raw'!G1648</f>
        <v>28196.0147368421</v>
      </c>
      <c r="H237" s="18" t="str">
        <f aca="false">'CEMIUP0.9 Raw'!A1648</f>
        <v>Super-Pharm Israel (CEMI internal group)</v>
      </c>
    </row>
    <row r="238" customFormat="false" ht="15" hidden="false" customHeight="false" outlineLevel="0" collapsed="false">
      <c r="A238" s="18" t="n">
        <f aca="false">'CEMIUP0.9 Raw'!B1657</f>
        <v>4418003</v>
      </c>
      <c r="B238" s="18" t="str">
        <f aca="false">'CEMIUP0.9 Raw'!C1657</f>
        <v>60 XL צוארון ספוגי</v>
      </c>
      <c r="C238" s="18" t="str">
        <f aca="false">'CEMIUP0.9 Raw'!C1657</f>
        <v>60 XL צוארון ספוגי</v>
      </c>
      <c r="D238" s="19" t="n">
        <f aca="false">'CEMIUP0.9 Raw'!D1657</f>
        <v>503</v>
      </c>
      <c r="E238" s="19" t="n">
        <f aca="false">'CEMIUP0.9 Raw'!E1657</f>
        <v>13707.33</v>
      </c>
      <c r="F238" s="19" t="n">
        <f aca="false">'CEMIUP0.9 Raw'!F1657</f>
        <v>385.263157894737</v>
      </c>
      <c r="G238" s="19" t="n">
        <f aca="false">'CEMIUP0.9 Raw'!G1657</f>
        <v>11098.7431578947</v>
      </c>
      <c r="H238" s="18" t="str">
        <f aca="false">'CEMIUP0.9 Raw'!A1657</f>
        <v>Super-Pharm Israel (CEMI internal group)</v>
      </c>
    </row>
    <row r="239" customFormat="false" ht="15" hidden="false" customHeight="false" outlineLevel="0" collapsed="false">
      <c r="A239" s="18" t="n">
        <f aca="false">'CEMIUP0.9 Raw'!B789</f>
        <v>4413093</v>
      </c>
      <c r="B239" s="18" t="str">
        <f aca="false">'CEMIUP0.9 Raw'!C789</f>
        <v>45 M מגן ברך לבן</v>
      </c>
      <c r="C239" s="18" t="str">
        <f aca="false">'CEMIUP0.9 Raw'!C789</f>
        <v>45 M מגן ברך לבן</v>
      </c>
      <c r="D239" s="19" t="n">
        <f aca="false">'CEMIUP0.9 Raw'!D789</f>
        <v>470</v>
      </c>
      <c r="E239" s="19" t="n">
        <f aca="false">'CEMIUP0.9 Raw'!E789</f>
        <v>7755</v>
      </c>
      <c r="F239" s="19" t="n">
        <f aca="false">'CEMIUP0.9 Raw'!F789</f>
        <v>380.21052631579</v>
      </c>
      <c r="G239" s="19" t="n">
        <f aca="false">'CEMIUP0.9 Raw'!G789</f>
        <v>5935.83157894737</v>
      </c>
      <c r="H239" s="18" t="str">
        <f aca="false">'CEMIUP0.9 Raw'!A789</f>
        <v>113 - Kupat Holim Meuhedet</v>
      </c>
    </row>
    <row r="240" customFormat="false" ht="15" hidden="false" customHeight="false" outlineLevel="0" collapsed="false">
      <c r="A240" s="18" t="n">
        <f aca="false">'CEMIUP0.9 Raw'!B1619</f>
        <v>4415005</v>
      </c>
      <c r="B240" s="18" t="str">
        <f aca="false">'CEMIUP0.9 Raw'!C1619</f>
        <v>28 L סד לאגודל לאחר שבר</v>
      </c>
      <c r="C240" s="18" t="str">
        <f aca="false">'CEMIUP0.9 Raw'!C1619</f>
        <v>28 L סד לאגודל לאחר שבר</v>
      </c>
      <c r="D240" s="19" t="n">
        <f aca="false">'CEMIUP0.9 Raw'!D1619</f>
        <v>545</v>
      </c>
      <c r="E240" s="19" t="n">
        <f aca="false">'CEMIUP0.9 Raw'!E1619</f>
        <v>40544.595</v>
      </c>
      <c r="F240" s="19" t="n">
        <f aca="false">'CEMIUP0.9 Raw'!F1619</f>
        <v>380.21052631579</v>
      </c>
      <c r="G240" s="19" t="n">
        <f aca="false">'CEMIUP0.9 Raw'!G1619</f>
        <v>28483.9578947368</v>
      </c>
      <c r="H240" s="18" t="str">
        <f aca="false">'CEMIUP0.9 Raw'!A1619</f>
        <v>Super-Pharm Israel (CEMI internal group)</v>
      </c>
    </row>
    <row r="241" customFormat="false" ht="15" hidden="false" customHeight="false" outlineLevel="0" collapsed="false">
      <c r="A241" s="18" t="n">
        <f aca="false">'CEMIUP0.9 Raw'!B1647</f>
        <v>4416000</v>
      </c>
      <c r="B241" s="18" t="str">
        <f aca="false">'CEMIUP0.9 Raw'!C1647</f>
        <v>307 L עקבים לדורבן-זוג כריות</v>
      </c>
      <c r="C241" s="18" t="str">
        <f aca="false">'CEMIUP0.9 Raw'!C1647</f>
        <v>307 L עקבים לדורבן-זוג כריות</v>
      </c>
      <c r="D241" s="19" t="n">
        <f aca="false">'CEMIUP0.9 Raw'!D1647</f>
        <v>423</v>
      </c>
      <c r="E241" s="19" t="n">
        <f aca="false">'CEMIUP0.9 Raw'!E1647</f>
        <v>31226.741</v>
      </c>
      <c r="F241" s="19" t="n">
        <f aca="false">'CEMIUP0.9 Raw'!F1647</f>
        <v>380.21052631579</v>
      </c>
      <c r="G241" s="19" t="n">
        <f aca="false">'CEMIUP0.9 Raw'!G1647</f>
        <v>27923.7044210526</v>
      </c>
      <c r="H241" s="18" t="str">
        <f aca="false">'CEMIUP0.9 Raw'!A1647</f>
        <v>Super-Pharm Israel (CEMI internal group)</v>
      </c>
    </row>
    <row r="242" customFormat="false" ht="15" hidden="false" customHeight="false" outlineLevel="0" collapsed="false">
      <c r="A242" s="18" t="n">
        <f aca="false">'CEMIUP0.9 Raw'!B78</f>
        <v>4408052</v>
      </c>
      <c r="B242" s="18" t="str">
        <f aca="false">'CEMIUP0.9 Raw'!C78</f>
        <v>21 L  חבק יד ארוך</v>
      </c>
      <c r="C242" s="18" t="str">
        <f aca="false">'CEMIUP0.9 Raw'!C78</f>
        <v>21 L  חבק יד ארוך</v>
      </c>
      <c r="D242" s="19" t="n">
        <f aca="false">'CEMIUP0.9 Raw'!D78</f>
        <v>617</v>
      </c>
      <c r="E242" s="19" t="n">
        <f aca="false">'CEMIUP0.9 Raw'!E78</f>
        <v>21698.609</v>
      </c>
      <c r="F242" s="19" t="n">
        <f aca="false">'CEMIUP0.9 Raw'!F78</f>
        <v>378.947368421053</v>
      </c>
      <c r="G242" s="19" t="n">
        <f aca="false">'CEMIUP0.9 Raw'!G78</f>
        <v>13505.1877894737</v>
      </c>
      <c r="H242" s="18" t="str">
        <f aca="false">'CEMIUP0.9 Raw'!A78</f>
        <v>107 - Pharmacies</v>
      </c>
    </row>
    <row r="243" customFormat="false" ht="15" hidden="false" customHeight="false" outlineLevel="0" collapsed="false">
      <c r="A243" s="18" t="n">
        <f aca="false">'SALES Raw'!G2943</f>
        <v>4420001</v>
      </c>
      <c r="B243" s="18" t="str">
        <f aca="false">'SALES Raw'!B2943</f>
        <v>371 0</v>
      </c>
      <c r="C243" s="18" t="str">
        <f aca="false">'SALES Raw'!H2943</f>
        <v>371 רפידת מגבת כותנה-זוג</v>
      </c>
      <c r="D243" s="19" t="n">
        <f aca="false">'SALES Raw'!C2943</f>
        <v>700</v>
      </c>
      <c r="E243" s="19" t="n">
        <f aca="false">'SALES Raw'!D2943</f>
        <v>4321.16</v>
      </c>
      <c r="F243" s="19" t="n">
        <f aca="false">'SALES Raw'!E2943*$H$4</f>
        <v>378.947368421053</v>
      </c>
      <c r="G243" s="19" t="n">
        <f aca="false">'SALES Raw'!F2943*$H$4</f>
        <v>2158.71157894737</v>
      </c>
      <c r="H243" s="18" t="str">
        <f aca="false">'SALES Raw'!A2943</f>
        <v>202 - Super-Pharm POLAND</v>
      </c>
    </row>
    <row r="244" customFormat="false" ht="15" hidden="false" customHeight="false" outlineLevel="0" collapsed="false">
      <c r="A244" s="18" t="n">
        <f aca="false">'SALES Raw'!G2952</f>
        <v>4413452</v>
      </c>
      <c r="B244" s="18" t="str">
        <f aca="false">'SALES Raw'!B2952</f>
        <v>386 0</v>
      </c>
      <c r="C244" s="18" t="str">
        <f aca="false">'SALES Raw'!H2952</f>
        <v>386  מיישר בוניון-האלוקס ולגוס</v>
      </c>
      <c r="D244" s="19" t="n">
        <f aca="false">'SALES Raw'!C2952</f>
        <v>470</v>
      </c>
      <c r="E244" s="19" t="n">
        <f aca="false">'SALES Raw'!D2952</f>
        <v>10616.87</v>
      </c>
      <c r="F244" s="19" t="n">
        <f aca="false">'SALES Raw'!E2952*$H$4</f>
        <v>378.947368421053</v>
      </c>
      <c r="G244" s="19" t="n">
        <f aca="false">'SALES Raw'!F2952*$H$4</f>
        <v>7630.01684210526</v>
      </c>
      <c r="H244" s="18" t="str">
        <f aca="false">'SALES Raw'!A2952</f>
        <v>202 - Super-Pharm POLAND</v>
      </c>
    </row>
    <row r="245" customFormat="false" ht="15" hidden="false" customHeight="false" outlineLevel="0" collapsed="false">
      <c r="A245" s="18" t="n">
        <f aca="false">'SALES Raw'!G3623</f>
        <v>4413135</v>
      </c>
      <c r="B245" s="18" t="str">
        <f aca="false">'SALES Raw'!B3623</f>
        <v>85 L</v>
      </c>
      <c r="C245" s="18" t="str">
        <f aca="false">'SALES Raw'!H3623</f>
        <v>85 L (מתלה ליד )כיס</v>
      </c>
      <c r="D245" s="19" t="n">
        <f aca="false">'SALES Raw'!C3623</f>
        <v>240</v>
      </c>
      <c r="E245" s="19" t="n">
        <f aca="false">'SALES Raw'!D3623</f>
        <v>4471.49</v>
      </c>
      <c r="F245" s="19" t="n">
        <f aca="false">'SALES Raw'!E3623*$H$4</f>
        <v>378.947368421053</v>
      </c>
      <c r="G245" s="19" t="n">
        <f aca="false">'SALES Raw'!F3623*$H$4</f>
        <v>6857.39368421053</v>
      </c>
      <c r="H245" s="18" t="str">
        <f aca="false">'SALES Raw'!A3623</f>
        <v>207 - Salus HUNGARY</v>
      </c>
    </row>
    <row r="246" customFormat="false" ht="15" hidden="false" customHeight="false" outlineLevel="0" collapsed="false">
      <c r="A246" s="18" t="n">
        <f aca="false">'SALES Raw'!G3658</f>
        <v>4415177</v>
      </c>
      <c r="B246" s="18" t="str">
        <f aca="false">'SALES Raw'!B3658</f>
        <v>ST28 0</v>
      </c>
      <c r="C246" s="18" t="str">
        <f aca="false">'SALES Raw'!H3658</f>
        <v>ST28 סד אגודלי עם מוט תמיכה</v>
      </c>
      <c r="D246" s="19" t="n">
        <f aca="false">'SALES Raw'!C3658</f>
        <v>250</v>
      </c>
      <c r="E246" s="19" t="n">
        <f aca="false">'SALES Raw'!D3658</f>
        <v>3848.53</v>
      </c>
      <c r="F246" s="19" t="n">
        <f aca="false">'SALES Raw'!E3658*$H$4</f>
        <v>378.947368421053</v>
      </c>
      <c r="G246" s="19" t="n">
        <f aca="false">'SALES Raw'!F3658*$H$4</f>
        <v>5780.33684210526</v>
      </c>
      <c r="H246" s="18" t="str">
        <f aca="false">'SALES Raw'!A3658</f>
        <v>207 - Salus HUNGARY</v>
      </c>
    </row>
    <row r="247" customFormat="false" ht="15" hidden="false" customHeight="false" outlineLevel="0" collapsed="false">
      <c r="A247" s="18" t="n">
        <f aca="false">'SALES Raw'!G4062</f>
        <v>4408267</v>
      </c>
      <c r="B247" s="18" t="str">
        <f aca="false">'SALES Raw'!B4062</f>
        <v>ST25 0</v>
      </c>
      <c r="C247" s="18" t="str">
        <f aca="false">'SALES Raw'!H4062</f>
        <v>ST25 חבק שורש לכף היד</v>
      </c>
      <c r="D247" s="19" t="n">
        <f aca="false">'SALES Raw'!C4062</f>
        <v>315</v>
      </c>
      <c r="E247" s="19" t="n">
        <f aca="false">'SALES Raw'!D4062</f>
        <v>4650.86</v>
      </c>
      <c r="F247" s="19" t="n">
        <f aca="false">'SALES Raw'!E4062*$H$4</f>
        <v>378.947368421053</v>
      </c>
      <c r="G247" s="19" t="n">
        <f aca="false">'SALES Raw'!F4062*$H$4</f>
        <v>4928.91789473684</v>
      </c>
      <c r="H247" s="18" t="str">
        <f aca="false">'SALES Raw'!A4062</f>
        <v>211 - Pharmag Lachmair Ges. Mbh AUSTRIA</v>
      </c>
    </row>
    <row r="248" customFormat="false" ht="15" hidden="false" customHeight="false" outlineLevel="0" collapsed="false">
      <c r="A248" s="18" t="n">
        <f aca="false">'CEMIUP0.9 Raw'!B241</f>
        <v>4413053</v>
      </c>
      <c r="B248" s="18" t="str">
        <f aca="false">'CEMIUP0.9 Raw'!C241</f>
        <v>35C L מגן קרסול חום</v>
      </c>
      <c r="C248" s="18" t="str">
        <f aca="false">'CEMIUP0.9 Raw'!C241</f>
        <v>35C L מגן קרסול חום</v>
      </c>
      <c r="D248" s="19" t="n">
        <f aca="false">'CEMIUP0.9 Raw'!D241</f>
        <v>414</v>
      </c>
      <c r="E248" s="19" t="n">
        <f aca="false">'CEMIUP0.9 Raw'!E241</f>
        <v>11310.866</v>
      </c>
      <c r="F248" s="19" t="n">
        <f aca="false">'CEMIUP0.9 Raw'!F241</f>
        <v>377.684210526316</v>
      </c>
      <c r="G248" s="19" t="n">
        <f aca="false">'CEMIUP0.9 Raw'!G241</f>
        <v>10324.4867368421</v>
      </c>
      <c r="H248" s="18" t="str">
        <f aca="false">'CEMIUP0.9 Raw'!A241</f>
        <v>107 - Pharmacies</v>
      </c>
    </row>
    <row r="249" customFormat="false" ht="15" hidden="false" customHeight="false" outlineLevel="0" collapsed="false">
      <c r="A249" s="18" t="n">
        <f aca="false">'CEMIUP0.9 Raw'!B1688</f>
        <v>4421008</v>
      </c>
      <c r="B249" s="18" t="str">
        <f aca="false">'CEMIUP0.9 Raw'!C1688</f>
        <v>שרוול לגבס ארוך רגל</v>
      </c>
      <c r="C249" s="18" t="str">
        <f aca="false">'CEMIUP0.9 Raw'!C1688</f>
        <v>שרוול לגבס ארוך רגל</v>
      </c>
      <c r="D249" s="19" t="n">
        <f aca="false">'CEMIUP0.9 Raw'!D1688</f>
        <v>350</v>
      </c>
      <c r="E249" s="19" t="n">
        <f aca="false">'CEMIUP0.9 Raw'!E1688</f>
        <v>12342.694</v>
      </c>
      <c r="F249" s="19" t="n">
        <f aca="false">'CEMIUP0.9 Raw'!F1688</f>
        <v>377.684210526316</v>
      </c>
      <c r="G249" s="19" t="n">
        <f aca="false">'CEMIUP0.9 Raw'!G1688</f>
        <v>13269.0644210526</v>
      </c>
      <c r="H249" s="18" t="str">
        <f aca="false">'CEMIUP0.9 Raw'!A1688</f>
        <v>Super-Pharm Israel (CEMI internal group)</v>
      </c>
    </row>
    <row r="250" customFormat="false" ht="15" hidden="false" customHeight="false" outlineLevel="0" collapsed="false">
      <c r="A250" s="18" t="n">
        <f aca="false">'CEMIUP0.9 Raw'!B242</f>
        <v>4413054</v>
      </c>
      <c r="B250" s="18" t="str">
        <f aca="false">'CEMIUP0.9 Raw'!C242</f>
        <v>35C M מגן קרסול חום</v>
      </c>
      <c r="C250" s="18" t="str">
        <f aca="false">'CEMIUP0.9 Raw'!C242</f>
        <v>35C M מגן קרסול חום</v>
      </c>
      <c r="D250" s="19" t="n">
        <f aca="false">'CEMIUP0.9 Raw'!D242</f>
        <v>387</v>
      </c>
      <c r="E250" s="19" t="n">
        <f aca="false">'CEMIUP0.9 Raw'!E242</f>
        <v>10542.47</v>
      </c>
      <c r="F250" s="19" t="n">
        <f aca="false">'CEMIUP0.9 Raw'!F242</f>
        <v>376.421052631579</v>
      </c>
      <c r="G250" s="19" t="n">
        <f aca="false">'CEMIUP0.9 Raw'!G242</f>
        <v>10263.2955789474</v>
      </c>
      <c r="H250" s="18" t="str">
        <f aca="false">'CEMIUP0.9 Raw'!A242</f>
        <v>107 - Pharmacies</v>
      </c>
    </row>
    <row r="251" customFormat="false" ht="15" hidden="false" customHeight="false" outlineLevel="0" collapsed="false">
      <c r="A251" s="18" t="n">
        <f aca="false">'CEMIUP0.9 Raw'!B861</f>
        <v>4420002</v>
      </c>
      <c r="B251" s="18" t="str">
        <f aca="false">'CEMIUP0.9 Raw'!C861</f>
        <v>372 רפידת אנטי ריח -זוג</v>
      </c>
      <c r="C251" s="18" t="str">
        <f aca="false">'CEMIUP0.9 Raw'!C861</f>
        <v>372 רפידת אנטי ריח -זוג</v>
      </c>
      <c r="D251" s="19" t="n">
        <f aca="false">'CEMIUP0.9 Raw'!D861</f>
        <v>646</v>
      </c>
      <c r="E251" s="19" t="n">
        <f aca="false">'CEMIUP0.9 Raw'!E861</f>
        <v>6343.72</v>
      </c>
      <c r="F251" s="19" t="n">
        <f aca="false">'CEMIUP0.9 Raw'!F861</f>
        <v>376.421052631579</v>
      </c>
      <c r="G251" s="19" t="n">
        <f aca="false">'CEMIUP0.9 Raw'!G861</f>
        <v>3382.13431578947</v>
      </c>
      <c r="H251" s="18" t="str">
        <f aca="false">'CEMIUP0.9 Raw'!A861</f>
        <v>113 - Kupat Holim Meuhedet</v>
      </c>
    </row>
    <row r="252" customFormat="false" ht="15" hidden="false" customHeight="false" outlineLevel="0" collapsed="false">
      <c r="A252" s="18" t="n">
        <f aca="false">'CEMIUP0.9 Raw'!B845</f>
        <v>4415028</v>
      </c>
      <c r="B252" s="18" t="str">
        <f aca="false">'CEMIUP0.9 Raw'!C845</f>
        <v>AC-28 סד לאגודל</v>
      </c>
      <c r="C252" s="18" t="str">
        <f aca="false">'CEMIUP0.9 Raw'!C845</f>
        <v>AC-28 סד לאגודל</v>
      </c>
      <c r="D252" s="19" t="n">
        <f aca="false">'CEMIUP0.9 Raw'!D845</f>
        <v>527</v>
      </c>
      <c r="E252" s="19" t="n">
        <f aca="false">'CEMIUP0.9 Raw'!E845</f>
        <v>10540</v>
      </c>
      <c r="F252" s="19" t="n">
        <f aca="false">'CEMIUP0.9 Raw'!F845</f>
        <v>372.631578947368</v>
      </c>
      <c r="G252" s="19" t="n">
        <f aca="false">'CEMIUP0.9 Raw'!G845</f>
        <v>7210.02947368421</v>
      </c>
      <c r="H252" s="18" t="str">
        <f aca="false">'CEMIUP0.9 Raw'!A845</f>
        <v>113 - Kupat Holim Meuhedet</v>
      </c>
    </row>
    <row r="253" customFormat="false" ht="15" hidden="false" customHeight="false" outlineLevel="0" collapsed="false">
      <c r="A253" s="18" t="n">
        <f aca="false">'CEMIUP0.9 Raw'!B271</f>
        <v>4413098</v>
      </c>
      <c r="B253" s="18" t="str">
        <f aca="false">'CEMIUP0.9 Raw'!C271</f>
        <v>45C L מגן ברך חום</v>
      </c>
      <c r="C253" s="18" t="str">
        <f aca="false">'CEMIUP0.9 Raw'!C271</f>
        <v>45C L מגן ברך חום</v>
      </c>
      <c r="D253" s="19" t="n">
        <f aca="false">'CEMIUP0.9 Raw'!D271</f>
        <v>480</v>
      </c>
      <c r="E253" s="19" t="n">
        <f aca="false">'CEMIUP0.9 Raw'!E271</f>
        <v>13168.957</v>
      </c>
      <c r="F253" s="19" t="n">
        <f aca="false">'CEMIUP0.9 Raw'!F271</f>
        <v>371.368421052632</v>
      </c>
      <c r="G253" s="19" t="n">
        <f aca="false">'CEMIUP0.9 Raw'!G271</f>
        <v>10227.6277894737</v>
      </c>
      <c r="H253" s="18" t="str">
        <f aca="false">'CEMIUP0.9 Raw'!A271</f>
        <v>107 - Pharmacies</v>
      </c>
    </row>
    <row r="254" customFormat="false" ht="15" hidden="false" customHeight="false" outlineLevel="0" collapsed="false">
      <c r="A254" s="18" t="n">
        <f aca="false">'CEMIUP0.9 Raw'!B7</f>
        <v>4401001</v>
      </c>
      <c r="B254" s="18" t="str">
        <f aca="false">'CEMIUP0.9 Raw'!C7</f>
        <v>369   XL אצבעון מסיליקון יחידה</v>
      </c>
      <c r="C254" s="18" t="str">
        <f aca="false">'CEMIUP0.9 Raw'!C7</f>
        <v>369   XL אצבעון מסיליקון יחידה</v>
      </c>
      <c r="D254" s="19" t="n">
        <f aca="false">'CEMIUP0.9 Raw'!D7</f>
        <v>432</v>
      </c>
      <c r="E254" s="19" t="n">
        <f aca="false">'CEMIUP0.9 Raw'!E7</f>
        <v>9786.318</v>
      </c>
      <c r="F254" s="19" t="n">
        <f aca="false">'CEMIUP0.9 Raw'!F7</f>
        <v>368.842105263158</v>
      </c>
      <c r="G254" s="19" t="n">
        <f aca="false">'CEMIUP0.9 Raw'!G7</f>
        <v>8383.40336842105</v>
      </c>
      <c r="H254" s="18" t="str">
        <f aca="false">'CEMIUP0.9 Raw'!A7</f>
        <v>107 - Pharmacies</v>
      </c>
    </row>
    <row r="255" customFormat="false" ht="15" hidden="false" customHeight="false" outlineLevel="0" collapsed="false">
      <c r="A255" s="18" t="n">
        <f aca="false">'SALES Raw'!G2971</f>
        <v>4413099</v>
      </c>
      <c r="B255" s="18" t="str">
        <f aca="false">'SALES Raw'!B2971</f>
        <v>45C M</v>
      </c>
      <c r="C255" s="18" t="str">
        <f aca="false">'SALES Raw'!H2971</f>
        <v>45C M מגן ברך חום</v>
      </c>
      <c r="D255" s="19" t="n">
        <f aca="false">'SALES Raw'!C2971</f>
        <v>460</v>
      </c>
      <c r="E255" s="19" t="n">
        <f aca="false">'SALES Raw'!D2971</f>
        <v>6185.43</v>
      </c>
      <c r="F255" s="19" t="n">
        <f aca="false">'SALES Raw'!E2971*$H$4</f>
        <v>366.315789473684</v>
      </c>
      <c r="G255" s="19" t="n">
        <f aca="false">'SALES Raw'!F2971*$H$4</f>
        <v>4431.08210526316</v>
      </c>
      <c r="H255" s="18" t="str">
        <f aca="false">'SALES Raw'!A2971</f>
        <v>202 - Super-Pharm POLAND</v>
      </c>
    </row>
    <row r="256" customFormat="false" ht="15" hidden="false" customHeight="false" outlineLevel="0" collapsed="false">
      <c r="A256" s="18" t="n">
        <f aca="false">'SALES Raw'!G3013</f>
        <v>4413056</v>
      </c>
      <c r="B256" s="18" t="str">
        <f aca="false">'SALES Raw'!B3013</f>
        <v>LF360 0</v>
      </c>
      <c r="C256" s="18" t="str">
        <f aca="false">'SALES Raw'!H3013</f>
        <v>LF360 מדרס מטטרזלי לנעלי עקב</v>
      </c>
      <c r="D256" s="19" t="n">
        <f aca="false">'SALES Raw'!C3013</f>
        <v>390</v>
      </c>
      <c r="E256" s="19" t="n">
        <f aca="false">'SALES Raw'!D3013</f>
        <v>5070.67</v>
      </c>
      <c r="F256" s="19" t="n">
        <f aca="false">'SALES Raw'!E3013*$H$4</f>
        <v>366.315789473684</v>
      </c>
      <c r="G256" s="19" t="n">
        <f aca="false">'SALES Raw'!F3013*$H$4</f>
        <v>4264.19368421053</v>
      </c>
      <c r="H256" s="18" t="str">
        <f aca="false">'SALES Raw'!A3013</f>
        <v>202 - Super-Pharm POLAND</v>
      </c>
    </row>
    <row r="257" customFormat="false" ht="15" hidden="false" customHeight="false" outlineLevel="0" collapsed="false">
      <c r="A257" s="18" t="n">
        <f aca="false">'SALES Raw'!G3791</f>
        <v>4415162</v>
      </c>
      <c r="B257" s="18" t="str">
        <f aca="false">'SALES Raw'!B3791</f>
        <v>238 L</v>
      </c>
      <c r="C257" s="18" t="str">
        <f aca="false">'SALES Raw'!H3791</f>
        <v>238L סד ליישור אצבע</v>
      </c>
      <c r="D257" s="19" t="n">
        <f aca="false">'SALES Raw'!C3791</f>
        <v>320</v>
      </c>
      <c r="E257" s="19" t="n">
        <f aca="false">'SALES Raw'!D3791</f>
        <v>2685.05</v>
      </c>
      <c r="F257" s="19" t="n">
        <f aca="false">'SALES Raw'!E3791*$H$4</f>
        <v>360</v>
      </c>
      <c r="G257" s="19" t="n">
        <f aca="false">'SALES Raw'!F3791*$H$4</f>
        <v>3034.72421052632</v>
      </c>
      <c r="H257" s="18" t="str">
        <f aca="false">'SALES Raw'!A3791</f>
        <v>209 - Ortoprofil Prod ROMANIA</v>
      </c>
    </row>
    <row r="258" customFormat="false" ht="15" hidden="false" customHeight="false" outlineLevel="0" collapsed="false">
      <c r="A258" s="18" t="n">
        <f aca="false">'CEMIUP0.9 Raw'!B197</f>
        <v>4409016</v>
      </c>
      <c r="B258" s="18" t="str">
        <f aca="false">'CEMIUP0.9 Raw'!C197</f>
        <v>808KT-C        טייפ קינזיולוגי</v>
      </c>
      <c r="C258" s="18" t="str">
        <f aca="false">'CEMIUP0.9 Raw'!C197</f>
        <v>808KT-C        טייפ קינזיולוגי</v>
      </c>
      <c r="D258" s="19" t="n">
        <f aca="false">'CEMIUP0.9 Raw'!D197</f>
        <v>533</v>
      </c>
      <c r="E258" s="19" t="n">
        <f aca="false">'CEMIUP0.9 Raw'!E197</f>
        <v>14773.896</v>
      </c>
      <c r="F258" s="19" t="n">
        <f aca="false">'CEMIUP0.9 Raw'!F197</f>
        <v>360</v>
      </c>
      <c r="G258" s="19" t="n">
        <f aca="false">'CEMIUP0.9 Raw'!G197</f>
        <v>10952.7246315789</v>
      </c>
      <c r="H258" s="18" t="str">
        <f aca="false">'CEMIUP0.9 Raw'!A197</f>
        <v>107 - Pharmacies</v>
      </c>
    </row>
    <row r="259" customFormat="false" ht="15" hidden="false" customHeight="false" outlineLevel="0" collapsed="false">
      <c r="A259" s="18" t="n">
        <f aca="false">'CEMIUP0.9 Raw'!B999</f>
        <v>4408099</v>
      </c>
      <c r="B259" s="18" t="str">
        <f aca="false">'CEMIUP0.9 Raw'!C999</f>
        <v>T25C-חבק יד אגודלי</v>
      </c>
      <c r="C259" s="18" t="str">
        <f aca="false">'CEMIUP0.9 Raw'!C999</f>
        <v>T25C-חבק יד אגודלי</v>
      </c>
      <c r="D259" s="19" t="n">
        <f aca="false">'CEMIUP0.9 Raw'!D999</f>
        <v>322</v>
      </c>
      <c r="E259" s="19" t="n">
        <f aca="false">'CEMIUP0.9 Raw'!E999</f>
        <v>11628.981</v>
      </c>
      <c r="F259" s="19" t="n">
        <f aca="false">'CEMIUP0.9 Raw'!F999</f>
        <v>357.473684210526</v>
      </c>
      <c r="G259" s="19" t="n">
        <f aca="false">'CEMIUP0.9 Raw'!G999</f>
        <v>12927.5557894737</v>
      </c>
      <c r="H259" s="18" t="str">
        <f aca="false">'CEMIUP0.9 Raw'!A999</f>
        <v>BE (CEMI internal group)</v>
      </c>
    </row>
    <row r="260" customFormat="false" ht="15" hidden="false" customHeight="false" outlineLevel="0" collapsed="false">
      <c r="A260" s="18" t="n">
        <f aca="false">'CEMIUP0.9 Raw'!B1270</f>
        <v>4422023</v>
      </c>
      <c r="B260" s="18" t="str">
        <f aca="false">'CEMIUP0.9 Raw'!C1270</f>
        <v>806CB-BEIGE      תחבושת א.נצמ</v>
      </c>
      <c r="C260" s="18" t="str">
        <f aca="false">'CEMIUP0.9 Raw'!C1270</f>
        <v>806CB-BEIGE      תחבושת א.נצמ</v>
      </c>
      <c r="D260" s="19" t="n">
        <f aca="false">'CEMIUP0.9 Raw'!D1270</f>
        <v>797</v>
      </c>
      <c r="E260" s="19" t="n">
        <f aca="false">'CEMIUP0.9 Raw'!E1270</f>
        <v>7969.962</v>
      </c>
      <c r="F260" s="19" t="n">
        <f aca="false">'CEMIUP0.9 Raw'!F1270</f>
        <v>357.473684210526</v>
      </c>
      <c r="G260" s="19" t="n">
        <f aca="false">'CEMIUP0.9 Raw'!G1270</f>
        <v>3571.75957894737</v>
      </c>
      <c r="H260" s="18" t="str">
        <f aca="false">'CEMIUP0.9 Raw'!A1270</f>
        <v>BE (CEMI internal group)</v>
      </c>
    </row>
    <row r="261" customFormat="false" ht="15" hidden="false" customHeight="false" outlineLevel="0" collapsed="false">
      <c r="A261" s="18" t="n">
        <f aca="false">'CEMIUP0.9 Raw'!B1701</f>
        <v>4422034</v>
      </c>
      <c r="B261" s="18" t="str">
        <f aca="false">'CEMIUP0.9 Raw'!C1701</f>
        <v>807CB-P תחבושת נצמדת ורוד 20ממ</v>
      </c>
      <c r="C261" s="18" t="str">
        <f aca="false">'CEMIUP0.9 Raw'!C1701</f>
        <v>807CB-P תחבושת נצמדת ורוד 20ממ</v>
      </c>
      <c r="D261" s="19" t="n">
        <f aca="false">'CEMIUP0.9 Raw'!D1701</f>
        <v>1134</v>
      </c>
      <c r="E261" s="19" t="n">
        <f aca="false">'CEMIUP0.9 Raw'!E1701</f>
        <v>10476.102</v>
      </c>
      <c r="F261" s="19" t="n">
        <f aca="false">'CEMIUP0.9 Raw'!F1701</f>
        <v>357.473684210526</v>
      </c>
      <c r="G261" s="19" t="n">
        <f aca="false">'CEMIUP0.9 Raw'!G1701</f>
        <v>3351.86526315789</v>
      </c>
      <c r="H261" s="18" t="str">
        <f aca="false">'CEMIUP0.9 Raw'!A1701</f>
        <v>Super-Pharm Israel (CEMI internal group)</v>
      </c>
    </row>
    <row r="262" customFormat="false" ht="15" hidden="false" customHeight="false" outlineLevel="0" collapsed="false">
      <c r="A262" s="18" t="n">
        <f aca="false">'CEMIUP0.9 Raw'!B479</f>
        <v>4415027</v>
      </c>
      <c r="B262" s="18" t="str">
        <f aca="false">'CEMIUP0.9 Raw'!C479</f>
        <v>AC-27R סד לש.כף יד ימין</v>
      </c>
      <c r="C262" s="18" t="str">
        <f aca="false">'CEMIUP0.9 Raw'!C479</f>
        <v>AC-27R סד לש.כף יד ימין</v>
      </c>
      <c r="D262" s="19" t="n">
        <f aca="false">'CEMIUP0.9 Raw'!D479</f>
        <v>418</v>
      </c>
      <c r="E262" s="19" t="n">
        <f aca="false">'CEMIUP0.9 Raw'!E479</f>
        <v>15228.417</v>
      </c>
      <c r="F262" s="19" t="n">
        <f aca="false">'CEMIUP0.9 Raw'!F479</f>
        <v>354.947368421053</v>
      </c>
      <c r="G262" s="19" t="n">
        <f aca="false">'CEMIUP0.9 Raw'!G479</f>
        <v>13761.5570526316</v>
      </c>
      <c r="H262" s="18" t="str">
        <f aca="false">'CEMIUP0.9 Raw'!A479</f>
        <v>107 - Pharmacies</v>
      </c>
    </row>
    <row r="263" customFormat="false" ht="15" hidden="false" customHeight="false" outlineLevel="0" collapsed="false">
      <c r="A263" s="18" t="n">
        <f aca="false">'SALES Raw'!G2937</f>
        <v>4421000</v>
      </c>
      <c r="B263" s="18" t="str">
        <f aca="false">'SALES Raw'!B2937</f>
        <v>3655 0</v>
      </c>
      <c r="C263" s="18" t="str">
        <f aca="false">'SALES Raw'!H2937</f>
        <v>3655 שרוול מסיליקון לאצבע</v>
      </c>
      <c r="D263" s="19" t="n">
        <f aca="false">'SALES Raw'!C2937</f>
        <v>460</v>
      </c>
      <c r="E263" s="19" t="n">
        <f aca="false">'SALES Raw'!D2937</f>
        <v>6713.26</v>
      </c>
      <c r="F263" s="19" t="n">
        <f aca="false">'SALES Raw'!E2937*$H$4</f>
        <v>353.684210526316</v>
      </c>
      <c r="G263" s="19" t="n">
        <f aca="false">'SALES Raw'!F2937*$H$4</f>
        <v>4661.81052631579</v>
      </c>
      <c r="H263" s="18" t="str">
        <f aca="false">'SALES Raw'!A2937</f>
        <v>202 - Super-Pharm POLAND</v>
      </c>
    </row>
    <row r="264" customFormat="false" ht="15" hidden="false" customHeight="false" outlineLevel="0" collapsed="false">
      <c r="A264" s="18" t="n">
        <f aca="false">'SALES Raw'!G2966</f>
        <v>4413495</v>
      </c>
      <c r="B264" s="18" t="str">
        <f aca="false">'SALES Raw'!B2966</f>
        <v>45B L</v>
      </c>
      <c r="C264" s="18" t="str">
        <f aca="false">'SALES Raw'!H2966</f>
        <v>45B L מגן ברך שחור</v>
      </c>
      <c r="D264" s="19" t="n">
        <f aca="false">'SALES Raw'!C2966</f>
        <v>530</v>
      </c>
      <c r="E264" s="19" t="n">
        <f aca="false">'SALES Raw'!D2966</f>
        <v>7591.95</v>
      </c>
      <c r="F264" s="19" t="n">
        <f aca="false">'SALES Raw'!E2966*$H$4</f>
        <v>353.684210526316</v>
      </c>
      <c r="G264" s="19" t="n">
        <f aca="false">'SALES Raw'!F2966*$H$4</f>
        <v>4716.90947368421</v>
      </c>
      <c r="H264" s="18" t="str">
        <f aca="false">'SALES Raw'!A2966</f>
        <v>202 - Super-Pharm POLAND</v>
      </c>
    </row>
    <row r="265" customFormat="false" ht="15" hidden="false" customHeight="false" outlineLevel="0" collapsed="false">
      <c r="A265" s="18" t="n">
        <f aca="false">'SALES Raw'!G3177</f>
        <v>4415159</v>
      </c>
      <c r="B265" s="18" t="str">
        <f aca="false">'SALES Raw'!B3177</f>
        <v>268 0</v>
      </c>
      <c r="C265" s="18" t="str">
        <f aca="false">'SALES Raw'!H3177</f>
        <v>268 סד לאגודל</v>
      </c>
      <c r="D265" s="19" t="n">
        <f aca="false">'SALES Raw'!C3177</f>
        <v>400</v>
      </c>
      <c r="E265" s="19" t="n">
        <f aca="false">'SALES Raw'!D3177</f>
        <v>13613.37</v>
      </c>
      <c r="F265" s="19" t="n">
        <f aca="false">'SALES Raw'!E3177*$H$4</f>
        <v>353.684210526316</v>
      </c>
      <c r="G265" s="19" t="n">
        <f aca="false">'SALES Raw'!F3177*$H$4</f>
        <v>10843.1621052632</v>
      </c>
      <c r="H265" s="18" t="str">
        <f aca="false">'SALES Raw'!A3177</f>
        <v>204 - Sanaflex Anatomic GREECE</v>
      </c>
    </row>
    <row r="266" customFormat="false" ht="15" hidden="false" customHeight="false" outlineLevel="0" collapsed="false">
      <c r="A266" s="18" t="n">
        <f aca="false">'SALES Raw'!G3474</f>
        <v>4408203</v>
      </c>
      <c r="B266" s="18" t="str">
        <f aca="false">'SALES Raw'!B3474</f>
        <v>14 0</v>
      </c>
      <c r="C266" s="18" t="str">
        <f aca="false">'SALES Raw'!H3474</f>
        <v>14 0 חגורה למנותחי בית חזה</v>
      </c>
      <c r="D266" s="19" t="n">
        <f aca="false">'SALES Raw'!C3474</f>
        <v>185</v>
      </c>
      <c r="E266" s="19" t="n">
        <f aca="false">'SALES Raw'!D3474</f>
        <v>14791.19</v>
      </c>
      <c r="F266" s="19" t="n">
        <f aca="false">'SALES Raw'!E3474*$H$4</f>
        <v>353.684210526316</v>
      </c>
      <c r="G266" s="19" t="n">
        <f aca="false">'SALES Raw'!F3474*$H$4</f>
        <v>26554.4968421053</v>
      </c>
      <c r="H266" s="18" t="str">
        <f aca="false">'SALES Raw'!A3474</f>
        <v>207 - Salus HUNGARY</v>
      </c>
    </row>
    <row r="267" customFormat="false" ht="15" hidden="false" customHeight="false" outlineLevel="0" collapsed="false">
      <c r="A267" s="18" t="n">
        <f aca="false">'SALES Raw'!G3489</f>
        <v>4415160</v>
      </c>
      <c r="B267" s="18" t="str">
        <f aca="false">'SALES Raw'!B3489</f>
        <v>238 S</v>
      </c>
      <c r="C267" s="18" t="str">
        <f aca="false">'SALES Raw'!H3489</f>
        <v>238S סד ליישור אצבע</v>
      </c>
      <c r="D267" s="19" t="n">
        <f aca="false">'SALES Raw'!C3489</f>
        <v>220</v>
      </c>
      <c r="E267" s="19" t="n">
        <f aca="false">'SALES Raw'!D3489</f>
        <v>1863.08</v>
      </c>
      <c r="F267" s="19" t="n">
        <f aca="false">'SALES Raw'!E3489*$H$4</f>
        <v>353.684210526316</v>
      </c>
      <c r="G267" s="19" t="n">
        <f aca="false">'SALES Raw'!F3489*$H$4</f>
        <v>2912.64</v>
      </c>
      <c r="H267" s="18" t="str">
        <f aca="false">'SALES Raw'!A3489</f>
        <v>207 - Salus HUNGARY</v>
      </c>
    </row>
    <row r="268" customFormat="false" ht="15" hidden="false" customHeight="false" outlineLevel="0" collapsed="false">
      <c r="A268" s="18" t="n">
        <f aca="false">'CEMIUP0.9 Raw'!B190</f>
        <v>4409004</v>
      </c>
      <c r="B268" s="18" t="str">
        <f aca="false">'CEMIUP0.9 Raw'!C190</f>
        <v>FC335 טלק מעושר באלוורה</v>
      </c>
      <c r="C268" s="18" t="str">
        <f aca="false">'CEMIUP0.9 Raw'!C190</f>
        <v>FC335 טלק מעושר באלוורה</v>
      </c>
      <c r="D268" s="19" t="n">
        <f aca="false">'CEMIUP0.9 Raw'!D190</f>
        <v>689</v>
      </c>
      <c r="E268" s="19" t="n">
        <f aca="false">'CEMIUP0.9 Raw'!E190</f>
        <v>14129.761</v>
      </c>
      <c r="F268" s="19" t="n">
        <f aca="false">'CEMIUP0.9 Raw'!F190</f>
        <v>351.157894736842</v>
      </c>
      <c r="G268" s="19" t="n">
        <f aca="false">'CEMIUP0.9 Raw'!G190</f>
        <v>7320.88294736842</v>
      </c>
      <c r="H268" s="18" t="str">
        <f aca="false">'CEMIUP0.9 Raw'!A190</f>
        <v>107 - Pharmacies</v>
      </c>
    </row>
    <row r="269" customFormat="false" ht="15" hidden="false" customHeight="false" outlineLevel="0" collapsed="false">
      <c r="A269" s="18" t="n">
        <f aca="false">'CEMIUP0.9 Raw'!B1616</f>
        <v>4415002</v>
      </c>
      <c r="B269" s="18" t="str">
        <f aca="false">'CEMIUP0.9 Raw'!C1616</f>
        <v>26 S סד ליד דו צדדי לאחר שבר</v>
      </c>
      <c r="C269" s="18" t="str">
        <f aca="false">'CEMIUP0.9 Raw'!C1616</f>
        <v>26 S סד ליד דו צדדי לאחר שבר</v>
      </c>
      <c r="D269" s="19" t="n">
        <f aca="false">'CEMIUP0.9 Raw'!D1616</f>
        <v>589</v>
      </c>
      <c r="E269" s="19" t="n">
        <f aca="false">'CEMIUP0.9 Raw'!E1616</f>
        <v>43859.634</v>
      </c>
      <c r="F269" s="19" t="n">
        <f aca="false">'CEMIUP0.9 Raw'!F1616</f>
        <v>351.157894736842</v>
      </c>
      <c r="G269" s="19" t="n">
        <f aca="false">'CEMIUP0.9 Raw'!G1616</f>
        <v>26355.8223157895</v>
      </c>
      <c r="H269" s="18" t="str">
        <f aca="false">'CEMIUP0.9 Raw'!A1616</f>
        <v>Super-Pharm Israel (CEMI internal group)</v>
      </c>
    </row>
    <row r="270" customFormat="false" ht="15" hidden="false" customHeight="false" outlineLevel="0" collapsed="false">
      <c r="A270" s="18" t="n">
        <f aca="false">'CEMIUP0.9 Raw'!B704</f>
        <v>4408053</v>
      </c>
      <c r="B270" s="18" t="str">
        <f aca="false">'CEMIUP0.9 Raw'!C704</f>
        <v>21 M  חבק יד ארוך</v>
      </c>
      <c r="C270" s="18" t="str">
        <f aca="false">'CEMIUP0.9 Raw'!C704</f>
        <v>21 M  חבק יד ארוך</v>
      </c>
      <c r="D270" s="19" t="n">
        <f aca="false">'CEMIUP0.9 Raw'!D704</f>
        <v>434</v>
      </c>
      <c r="E270" s="19" t="n">
        <f aca="false">'CEMIUP0.9 Raw'!E704</f>
        <v>10602.62</v>
      </c>
      <c r="F270" s="19" t="n">
        <f aca="false">'CEMIUP0.9 Raw'!F704</f>
        <v>349.894736842105</v>
      </c>
      <c r="G270" s="19" t="n">
        <f aca="false">'CEMIUP0.9 Raw'!G704</f>
        <v>7825.24547368421</v>
      </c>
      <c r="H270" s="18" t="str">
        <f aca="false">'CEMIUP0.9 Raw'!A704</f>
        <v>113 - Kupat Holim Meuhedet</v>
      </c>
    </row>
    <row r="271" customFormat="false" ht="15" hidden="false" customHeight="false" outlineLevel="0" collapsed="false">
      <c r="A271" s="18" t="n">
        <f aca="false">'CEMIUP0.9 Raw'!B1273</f>
        <v>4422026</v>
      </c>
      <c r="B271" s="18" t="str">
        <f aca="false">'CEMIUP0.9 Raw'!C1273</f>
        <v>806CB-PINK       תחבושת א.נצמ</v>
      </c>
      <c r="C271" s="18" t="str">
        <f aca="false">'CEMIUP0.9 Raw'!C1273</f>
        <v>806CB-PINK       תחבושת א.נצמ</v>
      </c>
      <c r="D271" s="19" t="n">
        <f aca="false">'CEMIUP0.9 Raw'!D1273</f>
        <v>355</v>
      </c>
      <c r="E271" s="19" t="n">
        <f aca="false">'CEMIUP0.9 Raw'!E1273</f>
        <v>3547.089</v>
      </c>
      <c r="F271" s="19" t="n">
        <f aca="false">'CEMIUP0.9 Raw'!F1273</f>
        <v>349.894736842105</v>
      </c>
      <c r="G271" s="19" t="n">
        <f aca="false">'CEMIUP0.9 Raw'!G1273</f>
        <v>3496.12421052632</v>
      </c>
      <c r="H271" s="18" t="str">
        <f aca="false">'CEMIUP0.9 Raw'!A1273</f>
        <v>BE (CEMI internal group)</v>
      </c>
    </row>
    <row r="272" customFormat="false" ht="15" hidden="false" customHeight="false" outlineLevel="0" collapsed="false">
      <c r="A272" s="18" t="n">
        <f aca="false">'SALES Raw'!G2935</f>
        <v>4409000</v>
      </c>
      <c r="B272" s="18" t="str">
        <f aca="false">'SALES Raw'!B2935</f>
        <v>365-S-L</v>
      </c>
      <c r="C272" s="18" t="str">
        <f aca="false">'SALES Raw'!H2935</f>
        <v>365 S-Lטבעת אלסטית מסיליקון</v>
      </c>
      <c r="D272" s="19" t="n">
        <f aca="false">'SALES Raw'!C2935</f>
        <v>620</v>
      </c>
      <c r="E272" s="19" t="n">
        <f aca="false">'SALES Raw'!D2935</f>
        <v>5381.25</v>
      </c>
      <c r="F272" s="19" t="n">
        <f aca="false">'SALES Raw'!E2935*$H$4</f>
        <v>341.052631578947</v>
      </c>
      <c r="G272" s="19" t="n">
        <f aca="false">'SALES Raw'!F2935*$H$4</f>
        <v>2672.00842105263</v>
      </c>
      <c r="H272" s="18" t="str">
        <f aca="false">'SALES Raw'!A2935</f>
        <v>202 - Super-Pharm POLAND</v>
      </c>
    </row>
    <row r="273" customFormat="false" ht="15" hidden="false" customHeight="false" outlineLevel="0" collapsed="false">
      <c r="A273" s="18" t="n">
        <f aca="false">'SALES Raw'!G2974</f>
        <v>4422000</v>
      </c>
      <c r="B273" s="18" t="str">
        <f aca="false">'SALES Raw'!B2974</f>
        <v>801 0</v>
      </c>
      <c r="C273" s="18" t="str">
        <f aca="false">'SALES Raw'!H2974</f>
        <v>801  תחבושת אלסטית מקררת</v>
      </c>
      <c r="D273" s="19" t="n">
        <f aca="false">'SALES Raw'!C2974</f>
        <v>430</v>
      </c>
      <c r="E273" s="19" t="n">
        <f aca="false">'SALES Raw'!D2974</f>
        <v>5449.62</v>
      </c>
      <c r="F273" s="19" t="n">
        <f aca="false">'SALES Raw'!E2974*$H$4</f>
        <v>341.052631578947</v>
      </c>
      <c r="G273" s="19" t="n">
        <f aca="false">'SALES Raw'!F2974*$H$4</f>
        <v>3946.23157894737</v>
      </c>
      <c r="H273" s="18" t="str">
        <f aca="false">'SALES Raw'!A2974</f>
        <v>202 - Super-Pharm POLAND</v>
      </c>
    </row>
    <row r="274" customFormat="false" ht="15" hidden="false" customHeight="false" outlineLevel="0" collapsed="false">
      <c r="A274" s="18" t="n">
        <f aca="false">'SALES Raw'!G3315</f>
        <v>4415026</v>
      </c>
      <c r="B274" s="18" t="str">
        <f aca="false">'SALES Raw'!B3315</f>
        <v>AC27L 0</v>
      </c>
      <c r="C274" s="18" t="str">
        <f aca="false">'SALES Raw'!H3315</f>
        <v>AC-27L סד לש.כף יד שמאל</v>
      </c>
      <c r="D274" s="19" t="n">
        <f aca="false">'SALES Raw'!C3315</f>
        <v>370</v>
      </c>
      <c r="E274" s="19" t="n">
        <f aca="false">'SALES Raw'!D3315</f>
        <v>6604.34</v>
      </c>
      <c r="F274" s="19" t="n">
        <f aca="false">'SALES Raw'!E3315*$H$4</f>
        <v>341.052631578947</v>
      </c>
      <c r="G274" s="19" t="n">
        <f aca="false">'SALES Raw'!F3315*$H$4</f>
        <v>5535.43578947368</v>
      </c>
      <c r="H274" s="18" t="str">
        <f aca="false">'SALES Raw'!A3315</f>
        <v>204 - Sanaflex Anatomic GREECE</v>
      </c>
    </row>
    <row r="275" customFormat="false" ht="15" hidden="false" customHeight="false" outlineLevel="0" collapsed="false">
      <c r="A275" s="18" t="n">
        <f aca="false">'CEMIUP0.9 Raw'!B1656</f>
        <v>4418002</v>
      </c>
      <c r="B275" s="18" t="str">
        <f aca="false">'CEMIUP0.9 Raw'!C1656</f>
        <v>60 S צוארון ספוגי</v>
      </c>
      <c r="C275" s="18" t="str">
        <f aca="false">'CEMIUP0.9 Raw'!C1656</f>
        <v>60 S צוארון ספוגי</v>
      </c>
      <c r="D275" s="19" t="n">
        <f aca="false">'CEMIUP0.9 Raw'!D1656</f>
        <v>371</v>
      </c>
      <c r="E275" s="19" t="n">
        <f aca="false">'CEMIUP0.9 Raw'!E1656</f>
        <v>10107.825</v>
      </c>
      <c r="F275" s="19" t="n">
        <f aca="false">'CEMIUP0.9 Raw'!F1656</f>
        <v>338.526315789474</v>
      </c>
      <c r="G275" s="19" t="n">
        <f aca="false">'CEMIUP0.9 Raw'!G1656</f>
        <v>9778.91747368421</v>
      </c>
      <c r="H275" s="18" t="str">
        <f aca="false">'CEMIUP0.9 Raw'!A1656</f>
        <v>Super-Pharm Israel (CEMI internal group)</v>
      </c>
    </row>
    <row r="276" customFormat="false" ht="15" hidden="false" customHeight="false" outlineLevel="0" collapsed="false">
      <c r="A276" s="18" t="n">
        <f aca="false">'CEMIUP0.9 Raw'!B273</f>
        <v>4413100</v>
      </c>
      <c r="B276" s="18" t="str">
        <f aca="false">'CEMIUP0.9 Raw'!C273</f>
        <v>45C XL מגן ברך חום</v>
      </c>
      <c r="C276" s="18" t="str">
        <f aca="false">'CEMIUP0.9 Raw'!C273</f>
        <v>45C XL מגן ברך חום</v>
      </c>
      <c r="D276" s="19" t="n">
        <f aca="false">'CEMIUP0.9 Raw'!D273</f>
        <v>332</v>
      </c>
      <c r="E276" s="19" t="n">
        <f aca="false">'CEMIUP0.9 Raw'!E273</f>
        <v>9044.258</v>
      </c>
      <c r="F276" s="19" t="n">
        <f aca="false">'CEMIUP0.9 Raw'!F273</f>
        <v>337.263157894737</v>
      </c>
      <c r="G276" s="19" t="n">
        <f aca="false">'CEMIUP0.9 Raw'!G273</f>
        <v>9317.08926315789</v>
      </c>
      <c r="H276" s="18" t="str">
        <f aca="false">'CEMIUP0.9 Raw'!A273</f>
        <v>107 - Pharmacies</v>
      </c>
    </row>
    <row r="277" customFormat="false" ht="15" hidden="false" customHeight="false" outlineLevel="0" collapsed="false">
      <c r="A277" s="18" t="n">
        <f aca="false">'CEMIUP0.9 Raw'!B1375</f>
        <v>4408219</v>
      </c>
      <c r="B277" s="18" t="str">
        <f aca="false">'CEMIUP0.9 Raw'!C1375</f>
        <v>078G-S חגורת גב אפורה</v>
      </c>
      <c r="C277" s="18" t="str">
        <f aca="false">'CEMIUP0.9 Raw'!C1375</f>
        <v>078G-S חגורת גב אפורה</v>
      </c>
      <c r="D277" s="19" t="n">
        <f aca="false">'CEMIUP0.9 Raw'!D1375</f>
        <v>359</v>
      </c>
      <c r="E277" s="19" t="n">
        <f aca="false">'CEMIUP0.9 Raw'!E1375</f>
        <v>30084.418</v>
      </c>
      <c r="F277" s="19" t="n">
        <f aca="false">'CEMIUP0.9 Raw'!F1375</f>
        <v>332.21052631579</v>
      </c>
      <c r="G277" s="19" t="n">
        <f aca="false">'CEMIUP0.9 Raw'!G1375</f>
        <v>28285.9035789474</v>
      </c>
      <c r="H277" s="18" t="str">
        <f aca="false">'CEMIUP0.9 Raw'!A1375</f>
        <v>Super-Pharm Israel (CEMI internal group)</v>
      </c>
    </row>
    <row r="278" customFormat="false" ht="15" hidden="false" customHeight="false" outlineLevel="0" collapsed="false">
      <c r="A278" s="18" t="n">
        <f aca="false">'CEMIUP0.9 Raw'!B1509</f>
        <v>4413138</v>
      </c>
      <c r="B278" s="18" t="str">
        <f aca="false">'CEMIUP0.9 Raw'!C1509</f>
        <v>85 XL (מתלה ליד )כיס</v>
      </c>
      <c r="C278" s="18" t="str">
        <f aca="false">'CEMIUP0.9 Raw'!C1509</f>
        <v>85 XL (מתלה ליד )כיס</v>
      </c>
      <c r="D278" s="19" t="n">
        <f aca="false">'CEMIUP0.9 Raw'!D1509</f>
        <v>370</v>
      </c>
      <c r="E278" s="19" t="n">
        <f aca="false">'CEMIUP0.9 Raw'!E1509</f>
        <v>16353.064</v>
      </c>
      <c r="F278" s="19" t="n">
        <f aca="false">'CEMIUP0.9 Raw'!F1509</f>
        <v>332.21052631579</v>
      </c>
      <c r="G278" s="19" t="n">
        <f aca="false">'CEMIUP0.9 Raw'!G1509</f>
        <v>14705.1018947368</v>
      </c>
      <c r="H278" s="18" t="str">
        <f aca="false">'CEMIUP0.9 Raw'!A1509</f>
        <v>Super-Pharm Israel (CEMI internal group)</v>
      </c>
    </row>
    <row r="279" customFormat="false" ht="15" hidden="false" customHeight="false" outlineLevel="0" collapsed="false">
      <c r="A279" s="18" t="str">
        <f aca="false">'SALES Raw'!G654</f>
        <v/>
      </c>
      <c r="B279" s="18" t="str">
        <f aca="false">'SALES Raw'!B654</f>
        <v>67 0</v>
      </c>
      <c r="C279" s="18" t="str">
        <f aca="false">'SALES Raw'!H654</f>
        <v>67 0</v>
      </c>
      <c r="D279" s="19" t="n">
        <f aca="false">'SALES Raw'!C654</f>
        <v>316</v>
      </c>
      <c r="E279" s="19" t="n">
        <f aca="false">'SALES Raw'!D654</f>
        <v>41094.77</v>
      </c>
      <c r="F279" s="19" t="n">
        <f aca="false">'SALES Raw'!E654*$H$4</f>
        <v>332.21052631579</v>
      </c>
      <c r="G279" s="19" t="n">
        <f aca="false">'SALES Raw'!F654*$H$4</f>
        <v>55013.6589473684</v>
      </c>
      <c r="H279" s="18" t="str">
        <f aca="false">'SALES Raw'!A654</f>
        <v>102 - Orthopedic institutes</v>
      </c>
    </row>
    <row r="280" customFormat="false" ht="15" hidden="false" customHeight="false" outlineLevel="0" collapsed="false">
      <c r="A280" s="18" t="n">
        <f aca="false">'CEMIUP0.9 Raw'!B384</f>
        <v>4413348</v>
      </c>
      <c r="B280" s="18" t="str">
        <f aca="false">'CEMIUP0.9 Raw'!C384</f>
        <v>302 מדרס ג'ל לגבר</v>
      </c>
      <c r="C280" s="18" t="str">
        <f aca="false">'CEMIUP0.9 Raw'!C384</f>
        <v>302 מדרס ג'ל לגבר</v>
      </c>
      <c r="D280" s="19" t="n">
        <f aca="false">'CEMIUP0.9 Raw'!D384</f>
        <v>576</v>
      </c>
      <c r="E280" s="19" t="n">
        <f aca="false">'CEMIUP0.9 Raw'!E384</f>
        <v>31252.582</v>
      </c>
      <c r="F280" s="19" t="n">
        <f aca="false">'CEMIUP0.9 Raw'!F384</f>
        <v>329.684210526316</v>
      </c>
      <c r="G280" s="19" t="n">
        <f aca="false">'CEMIUP0.9 Raw'!G384</f>
        <v>19253.0298947368</v>
      </c>
      <c r="H280" s="18" t="str">
        <f aca="false">'CEMIUP0.9 Raw'!A384</f>
        <v>107 - Pharmacies</v>
      </c>
    </row>
    <row r="281" customFormat="false" ht="15" hidden="false" customHeight="false" outlineLevel="0" collapsed="false">
      <c r="A281" s="18" t="n">
        <f aca="false">'SALES Raw'!G2883</f>
        <v>4408207</v>
      </c>
      <c r="B281" s="18" t="str">
        <f aca="false">'SALES Raw'!B2883</f>
        <v>AC25 0</v>
      </c>
      <c r="C281" s="18" t="str">
        <f aca="false">'SALES Raw'!H2883</f>
        <v>AC-25 חבק לשורש כף היד</v>
      </c>
      <c r="D281" s="19" t="n">
        <f aca="false">'SALES Raw'!C2883</f>
        <v>450</v>
      </c>
      <c r="E281" s="19" t="n">
        <f aca="false">'SALES Raw'!D2883</f>
        <v>7393.9</v>
      </c>
      <c r="F281" s="19" t="n">
        <f aca="false">'SALES Raw'!E2883*$H$4</f>
        <v>328.421052631579</v>
      </c>
      <c r="G281" s="19" t="n">
        <f aca="false">'SALES Raw'!F2883*$H$4</f>
        <v>4948.02947368421</v>
      </c>
      <c r="H281" s="18" t="str">
        <f aca="false">'SALES Raw'!A2883</f>
        <v>201- Seven Gear FINLAND oy</v>
      </c>
    </row>
    <row r="282" customFormat="false" ht="15" hidden="false" customHeight="false" outlineLevel="0" collapsed="false">
      <c r="A282" s="18" t="n">
        <f aca="false">'SALES Raw'!G2886</f>
        <v>4415028</v>
      </c>
      <c r="B282" s="18" t="str">
        <f aca="false">'SALES Raw'!B2886</f>
        <v>AC28 0</v>
      </c>
      <c r="C282" s="18" t="str">
        <f aca="false">'SALES Raw'!H2886</f>
        <v>AC-28 סד לאגודל</v>
      </c>
      <c r="D282" s="19" t="n">
        <f aca="false">'SALES Raw'!C2886</f>
        <v>470</v>
      </c>
      <c r="E282" s="19" t="n">
        <f aca="false">'SALES Raw'!D2886</f>
        <v>7664.64</v>
      </c>
      <c r="F282" s="19" t="n">
        <f aca="false">'SALES Raw'!E2886*$H$4</f>
        <v>328.421052631579</v>
      </c>
      <c r="G282" s="19" t="n">
        <f aca="false">'SALES Raw'!F2886*$H$4</f>
        <v>4948.02947368421</v>
      </c>
      <c r="H282" s="18" t="str">
        <f aca="false">'SALES Raw'!A2886</f>
        <v>201- Seven Gear FINLAND oy</v>
      </c>
    </row>
    <row r="283" customFormat="false" ht="15" hidden="false" customHeight="false" outlineLevel="0" collapsed="false">
      <c r="A283" s="18" t="n">
        <f aca="false">'SALES Raw'!G2934</f>
        <v>4413060</v>
      </c>
      <c r="B283" s="18" t="str">
        <f aca="false">'SALES Raw'!B2934</f>
        <v>364 XL</v>
      </c>
      <c r="C283" s="18" t="str">
        <f aca="false">'SALES Raw'!H2934</f>
        <v>364 XLמפריד אצבע סיליקון ליבלת</v>
      </c>
      <c r="D283" s="19" t="n">
        <f aca="false">'SALES Raw'!C2934</f>
        <v>610</v>
      </c>
      <c r="E283" s="19" t="n">
        <f aca="false">'SALES Raw'!D2934</f>
        <v>4367.02</v>
      </c>
      <c r="F283" s="19" t="n">
        <f aca="false">'SALES Raw'!E2934*$H$4</f>
        <v>328.421052631579</v>
      </c>
      <c r="G283" s="19" t="n">
        <f aca="false">'SALES Raw'!F2934*$H$4</f>
        <v>2101.71789473684</v>
      </c>
      <c r="H283" s="18" t="str">
        <f aca="false">'SALES Raw'!A2934</f>
        <v>202 - Super-Pharm POLAND</v>
      </c>
    </row>
    <row r="284" customFormat="false" ht="15" hidden="false" customHeight="false" outlineLevel="0" collapsed="false">
      <c r="A284" s="18" t="n">
        <f aca="false">'SALES Raw'!G3016</f>
        <v>4420024</v>
      </c>
      <c r="B284" s="18" t="str">
        <f aca="false">'SALES Raw'!B3016</f>
        <v>LF373 0</v>
      </c>
      <c r="C284" s="18" t="str">
        <f aca="false">'SALES Raw'!H3016</f>
        <v>LFריפוד סיליק.לכרית כף הרגל373</v>
      </c>
      <c r="D284" s="19" t="n">
        <f aca="false">'SALES Raw'!C3016</f>
        <v>380</v>
      </c>
      <c r="E284" s="19" t="n">
        <f aca="false">'SALES Raw'!D3016</f>
        <v>4708.46</v>
      </c>
      <c r="F284" s="19" t="n">
        <f aca="false">'SALES Raw'!E3016*$H$4</f>
        <v>328.421052631579</v>
      </c>
      <c r="G284" s="19" t="n">
        <f aca="false">'SALES Raw'!F3016*$H$4</f>
        <v>3573.13263157895</v>
      </c>
      <c r="H284" s="18" t="str">
        <f aca="false">'SALES Raw'!A3016</f>
        <v>202 - Super-Pharm POLAND</v>
      </c>
    </row>
    <row r="285" customFormat="false" ht="15" hidden="false" customHeight="false" outlineLevel="0" collapsed="false">
      <c r="A285" s="18" t="n">
        <f aca="false">'SALES Raw'!G3024</f>
        <v>4408098</v>
      </c>
      <c r="B285" s="18" t="str">
        <f aca="false">'SALES Raw'!B3024</f>
        <v>T25 0</v>
      </c>
      <c r="C285" s="18" t="str">
        <f aca="false">'SALES Raw'!H3024</f>
        <v>T25-חבק יד אגודלי</v>
      </c>
      <c r="D285" s="19" t="n">
        <f aca="false">'SALES Raw'!C3024</f>
        <v>420</v>
      </c>
      <c r="E285" s="19" t="n">
        <f aca="false">'SALES Raw'!D3024</f>
        <v>11942.24</v>
      </c>
      <c r="F285" s="19" t="n">
        <f aca="false">'SALES Raw'!E3024*$H$4</f>
        <v>328.421052631579</v>
      </c>
      <c r="G285" s="19" t="n">
        <f aca="false">'SALES Raw'!F3024*$H$4</f>
        <v>8414.00842105263</v>
      </c>
      <c r="H285" s="18" t="str">
        <f aca="false">'SALES Raw'!A3024</f>
        <v>202 - Super-Pharm POLAND</v>
      </c>
    </row>
    <row r="286" customFormat="false" ht="15" hidden="false" customHeight="false" outlineLevel="0" collapsed="false">
      <c r="A286" s="18" t="n">
        <f aca="false">'SALES Raw'!G3166</f>
        <v>4415160</v>
      </c>
      <c r="B286" s="18" t="str">
        <f aca="false">'SALES Raw'!B3166</f>
        <v>238 S</v>
      </c>
      <c r="C286" s="18" t="str">
        <f aca="false">'SALES Raw'!H3166</f>
        <v>238S סד ליישור אצבע</v>
      </c>
      <c r="D286" s="19" t="n">
        <f aca="false">'SALES Raw'!C3166</f>
        <v>380</v>
      </c>
      <c r="E286" s="19" t="n">
        <f aca="false">'SALES Raw'!D3166</f>
        <v>3214.37</v>
      </c>
      <c r="F286" s="19" t="n">
        <f aca="false">'SALES Raw'!E3166*$H$4</f>
        <v>328.421052631579</v>
      </c>
      <c r="G286" s="19" t="n">
        <f aca="false">'SALES Raw'!F3166*$H$4</f>
        <v>2485.47789473684</v>
      </c>
      <c r="H286" s="18" t="str">
        <f aca="false">'SALES Raw'!A3166</f>
        <v>204 - Sanaflex Anatomic GREECE</v>
      </c>
    </row>
    <row r="287" customFormat="false" ht="15" hidden="false" customHeight="false" outlineLevel="0" collapsed="false">
      <c r="A287" s="18" t="n">
        <f aca="false">'SALES Raw'!G3792</f>
        <v>4415161</v>
      </c>
      <c r="B287" s="18" t="str">
        <f aca="false">'SALES Raw'!B3792</f>
        <v>238 M</v>
      </c>
      <c r="C287" s="18" t="str">
        <f aca="false">'SALES Raw'!H3792</f>
        <v>238M סד ליישור אצבע</v>
      </c>
      <c r="D287" s="19" t="n">
        <f aca="false">'SALES Raw'!C3792</f>
        <v>277</v>
      </c>
      <c r="E287" s="19" t="n">
        <f aca="false">'SALES Raw'!D3792</f>
        <v>2322.18</v>
      </c>
      <c r="F287" s="19" t="n">
        <f aca="false">'SALES Raw'!E3792*$H$4</f>
        <v>328.421052631579</v>
      </c>
      <c r="G287" s="19" t="n">
        <f aca="false">'SALES Raw'!F3792*$H$4</f>
        <v>2770.90105263158</v>
      </c>
      <c r="H287" s="18" t="str">
        <f aca="false">'SALES Raw'!A3792</f>
        <v>209 - Ortoprofil Prod ROMANIA</v>
      </c>
    </row>
    <row r="288" customFormat="false" ht="15" hidden="false" customHeight="false" outlineLevel="0" collapsed="false">
      <c r="A288" s="18" t="n">
        <f aca="false">'SALES Raw'!G3837</f>
        <v>4415299</v>
      </c>
      <c r="B288" s="18" t="str">
        <f aca="false">'SALES Raw'!B3837</f>
        <v>388BR 0</v>
      </c>
      <c r="C288" s="18" t="str">
        <f aca="false">'SALES Raw'!H3837</f>
        <v>388B L סד לילה שחור לבוהן ימין</v>
      </c>
      <c r="D288" s="19" t="n">
        <f aca="false">'SALES Raw'!C3837</f>
        <v>336</v>
      </c>
      <c r="E288" s="19" t="n">
        <f aca="false">'SALES Raw'!D3837</f>
        <v>11888.73</v>
      </c>
      <c r="F288" s="19" t="n">
        <f aca="false">'SALES Raw'!E3837*$H$4</f>
        <v>327.157894736842</v>
      </c>
      <c r="G288" s="19" t="n">
        <f aca="false">'SALES Raw'!F3837*$H$4</f>
        <v>10251.8778947368</v>
      </c>
      <c r="H288" s="18" t="str">
        <f aca="false">'SALES Raw'!A3837</f>
        <v>209 - Ortoprofil Prod ROMANIA</v>
      </c>
    </row>
    <row r="289" customFormat="false" ht="15" hidden="false" customHeight="false" outlineLevel="0" collapsed="false">
      <c r="A289" s="18" t="n">
        <f aca="false">'CEMIUP0.9 Raw'!B6</f>
        <v>4401000</v>
      </c>
      <c r="B289" s="18" t="str">
        <f aca="false">'CEMIUP0.9 Raw'!C6</f>
        <v>369  S-L אצבעון מסיליקון יחידה</v>
      </c>
      <c r="C289" s="18" t="str">
        <f aca="false">'CEMIUP0.9 Raw'!C6</f>
        <v>369  S-L אצבעון מסיליקון יחידה</v>
      </c>
      <c r="D289" s="19" t="n">
        <f aca="false">'CEMIUP0.9 Raw'!D6</f>
        <v>337</v>
      </c>
      <c r="E289" s="19" t="n">
        <f aca="false">'CEMIUP0.9 Raw'!E6</f>
        <v>7001.773</v>
      </c>
      <c r="F289" s="19" t="n">
        <f aca="false">'CEMIUP0.9 Raw'!F6</f>
        <v>324.631578947368</v>
      </c>
      <c r="G289" s="19" t="n">
        <f aca="false">'CEMIUP0.9 Raw'!G6</f>
        <v>6829.59284210526</v>
      </c>
      <c r="H289" s="18" t="str">
        <f aca="false">'CEMIUP0.9 Raw'!A6</f>
        <v>107 - Pharmacies</v>
      </c>
    </row>
    <row r="290" customFormat="false" ht="15" hidden="false" customHeight="false" outlineLevel="0" collapsed="false">
      <c r="A290" s="18" t="n">
        <f aca="false">'CEMIUP0.9 Raw'!B998</f>
        <v>4408098</v>
      </c>
      <c r="B290" s="18" t="str">
        <f aca="false">'CEMIUP0.9 Raw'!C998</f>
        <v>T25-חבק יד אגודלי</v>
      </c>
      <c r="C290" s="18" t="str">
        <f aca="false">'CEMIUP0.9 Raw'!C998</f>
        <v>T25-חבק יד אגודלי</v>
      </c>
      <c r="D290" s="19" t="n">
        <f aca="false">'CEMIUP0.9 Raw'!D998</f>
        <v>386</v>
      </c>
      <c r="E290" s="19" t="n">
        <f aca="false">'CEMIUP0.9 Raw'!E998</f>
        <v>13959.309</v>
      </c>
      <c r="F290" s="19" t="n">
        <f aca="false">'CEMIUP0.9 Raw'!F998</f>
        <v>324.631578947368</v>
      </c>
      <c r="G290" s="19" t="n">
        <f aca="false">'CEMIUP0.9 Raw'!G998</f>
        <v>11742.3334736842</v>
      </c>
      <c r="H290" s="18" t="str">
        <f aca="false">'CEMIUP0.9 Raw'!A998</f>
        <v>BE (CEMI internal group)</v>
      </c>
    </row>
    <row r="291" customFormat="false" ht="15" hidden="false" customHeight="false" outlineLevel="0" collapsed="false">
      <c r="A291" s="18" t="n">
        <f aca="false">'SALES Raw'!G3777</f>
        <v>4408262</v>
      </c>
      <c r="B291" s="18" t="str">
        <f aca="false">'SALES Raw'!B3777</f>
        <v>11STO XL</v>
      </c>
      <c r="C291" s="18" t="str">
        <f aca="false">'SALES Raw'!H3777</f>
        <v>11STO XL  חגורה אחרי ניתוח</v>
      </c>
      <c r="D291" s="19" t="n">
        <f aca="false">'SALES Raw'!C3777</f>
        <v>350</v>
      </c>
      <c r="E291" s="19" t="n">
        <f aca="false">'SALES Raw'!D3777</f>
        <v>21625.17</v>
      </c>
      <c r="F291" s="19" t="n">
        <f aca="false">'SALES Raw'!E3777*$H$4</f>
        <v>322.105263157895</v>
      </c>
      <c r="G291" s="19" t="n">
        <f aca="false">'SALES Raw'!F3777*$H$4</f>
        <v>20029.6926315789</v>
      </c>
      <c r="H291" s="18" t="str">
        <f aca="false">'SALES Raw'!A3777</f>
        <v>209 - Ortoprofil Prod ROMANIA</v>
      </c>
    </row>
    <row r="292" customFormat="false" ht="15" hidden="false" customHeight="false" outlineLevel="0" collapsed="false">
      <c r="A292" s="18" t="n">
        <f aca="false">'CEMIUP0.9 Raw'!B751</f>
        <v>4409000</v>
      </c>
      <c r="B292" s="18" t="str">
        <f aca="false">'CEMIUP0.9 Raw'!C751</f>
        <v>365 S-Lטבעת אלסטית מסיליקון</v>
      </c>
      <c r="C292" s="18" t="str">
        <f aca="false">'CEMIUP0.9 Raw'!C751</f>
        <v>365 S-Lטבעת אלסטית מסיליקון</v>
      </c>
      <c r="D292" s="19" t="n">
        <f aca="false">'CEMIUP0.9 Raw'!D751</f>
        <v>335</v>
      </c>
      <c r="E292" s="19" t="n">
        <f aca="false">'CEMIUP0.9 Raw'!E751</f>
        <v>3252.85</v>
      </c>
      <c r="F292" s="19" t="n">
        <f aca="false">'CEMIUP0.9 Raw'!F751</f>
        <v>320.842105263158</v>
      </c>
      <c r="G292" s="19" t="n">
        <f aca="false">'CEMIUP0.9 Raw'!G751</f>
        <v>2859.72757894737</v>
      </c>
      <c r="H292" s="18" t="str">
        <f aca="false">'CEMIUP0.9 Raw'!A751</f>
        <v>113 - Kupat Holim Meuhedet</v>
      </c>
    </row>
    <row r="293" customFormat="false" ht="15" hidden="false" customHeight="false" outlineLevel="0" collapsed="false">
      <c r="A293" s="18" t="n">
        <f aca="false">'CEMIUP0.9 Raw'!B1070</f>
        <v>4413054</v>
      </c>
      <c r="B293" s="18" t="str">
        <f aca="false">'CEMIUP0.9 Raw'!C1070</f>
        <v>35C M מגן קרסול חום</v>
      </c>
      <c r="C293" s="18" t="str">
        <f aca="false">'CEMIUP0.9 Raw'!C1070</f>
        <v>35C M מגן קרסול חום</v>
      </c>
      <c r="D293" s="19" t="n">
        <f aca="false">'CEMIUP0.9 Raw'!D1070</f>
        <v>327</v>
      </c>
      <c r="E293" s="19" t="n">
        <f aca="false">'CEMIUP0.9 Raw'!E1070</f>
        <v>8271.354</v>
      </c>
      <c r="F293" s="19" t="n">
        <f aca="false">'CEMIUP0.9 Raw'!F1070</f>
        <v>317.052631578947</v>
      </c>
      <c r="G293" s="19" t="n">
        <f aca="false">'CEMIUP0.9 Raw'!G1070</f>
        <v>8020.56757894737</v>
      </c>
      <c r="H293" s="18" t="str">
        <f aca="false">'CEMIUP0.9 Raw'!A1070</f>
        <v>BE (CEMI internal group)</v>
      </c>
    </row>
    <row r="294" customFormat="false" ht="15" hidden="false" customHeight="false" outlineLevel="0" collapsed="false">
      <c r="A294" s="18" t="n">
        <f aca="false">'SALES Raw'!G3319</f>
        <v>4413328</v>
      </c>
      <c r="B294" s="18" t="str">
        <f aca="false">'SALES Raw'!B3319</f>
        <v>AC43D 0</v>
      </c>
      <c r="C294" s="18" t="str">
        <f aca="false">'SALES Raw'!H3319</f>
        <v>AC43D מגן ברך + צירים</v>
      </c>
      <c r="D294" s="19" t="n">
        <f aca="false">'SALES Raw'!C3319</f>
        <v>310</v>
      </c>
      <c r="E294" s="19" t="n">
        <f aca="false">'SALES Raw'!D3319</f>
        <v>13299.71</v>
      </c>
      <c r="F294" s="19" t="n">
        <f aca="false">'SALES Raw'!E3319*$H$4</f>
        <v>315.789473684211</v>
      </c>
      <c r="G294" s="19" t="n">
        <f aca="false">'SALES Raw'!F3319*$H$4</f>
        <v>12391.3010526316</v>
      </c>
      <c r="H294" s="18" t="str">
        <f aca="false">'SALES Raw'!A3319</f>
        <v>204 - Sanaflex Anatomic GREECE</v>
      </c>
    </row>
    <row r="295" customFormat="false" ht="15" hidden="false" customHeight="false" outlineLevel="0" collapsed="false">
      <c r="A295" s="18" t="n">
        <f aca="false">'SALES Raw'!G3494</f>
        <v>4415158</v>
      </c>
      <c r="B295" s="18" t="str">
        <f aca="false">'SALES Raw'!B3494</f>
        <v>266 0</v>
      </c>
      <c r="C295" s="18" t="str">
        <f aca="false">'SALES Raw'!H3494</f>
        <v>266 סד ליד דו צדדי</v>
      </c>
      <c r="D295" s="19" t="n">
        <f aca="false">'SALES Raw'!C3494</f>
        <v>310</v>
      </c>
      <c r="E295" s="19" t="n">
        <f aca="false">'SALES Raw'!D3494</f>
        <v>6833.21</v>
      </c>
      <c r="F295" s="19" t="n">
        <f aca="false">'SALES Raw'!E3494*$H$4</f>
        <v>315.789473684211</v>
      </c>
      <c r="G295" s="19" t="n">
        <f aca="false">'SALES Raw'!F3494*$H$4</f>
        <v>6936.21473684211</v>
      </c>
      <c r="H295" s="18" t="str">
        <f aca="false">'SALES Raw'!A3494</f>
        <v>207 - Salus HUNGARY</v>
      </c>
    </row>
    <row r="296" customFormat="false" ht="15" hidden="false" customHeight="false" outlineLevel="0" collapsed="false">
      <c r="A296" s="18" t="n">
        <f aca="false">'SALES Raw'!G3637</f>
        <v>4415028</v>
      </c>
      <c r="B296" s="18" t="str">
        <f aca="false">'SALES Raw'!B3637</f>
        <v>AC28 0</v>
      </c>
      <c r="C296" s="18" t="str">
        <f aca="false">'SALES Raw'!H3637</f>
        <v>AC-28 סד לאגודל</v>
      </c>
      <c r="D296" s="19" t="n">
        <f aca="false">'SALES Raw'!C3637</f>
        <v>180</v>
      </c>
      <c r="E296" s="19" t="n">
        <f aca="false">'SALES Raw'!D3637</f>
        <v>2502.39</v>
      </c>
      <c r="F296" s="19" t="n">
        <f aca="false">'SALES Raw'!E3637*$H$4</f>
        <v>315.789473684211</v>
      </c>
      <c r="G296" s="19" t="n">
        <f aca="false">'SALES Raw'!F3637*$H$4</f>
        <v>4569.94105263158</v>
      </c>
      <c r="H296" s="18" t="str">
        <f aca="false">'SALES Raw'!A3637</f>
        <v>207 - Salus HUNGARY</v>
      </c>
    </row>
    <row r="297" customFormat="false" ht="15" hidden="false" customHeight="false" outlineLevel="0" collapsed="false">
      <c r="A297" s="18" t="n">
        <f aca="false">'SALES Raw'!G3775</f>
        <v>4408260</v>
      </c>
      <c r="B297" s="18" t="str">
        <f aca="false">'SALES Raw'!B3775</f>
        <v>11STO M</v>
      </c>
      <c r="C297" s="18" t="str">
        <f aca="false">'SALES Raw'!H3775</f>
        <v>11STO M חגורה אחרי ניתוח</v>
      </c>
      <c r="D297" s="19" t="n">
        <f aca="false">'SALES Raw'!C3775</f>
        <v>373</v>
      </c>
      <c r="E297" s="19" t="n">
        <f aca="false">'SALES Raw'!D3775</f>
        <v>22938.97</v>
      </c>
      <c r="F297" s="19" t="n">
        <f aca="false">'SALES Raw'!E3775*$H$4</f>
        <v>315.789473684211</v>
      </c>
      <c r="G297" s="19" t="n">
        <f aca="false">'SALES Raw'!F3775*$H$4</f>
        <v>19660.2063157895</v>
      </c>
      <c r="H297" s="18" t="str">
        <f aca="false">'SALES Raw'!A3775</f>
        <v>209 - Ortoprofil Prod ROMANIA</v>
      </c>
    </row>
    <row r="298" customFormat="false" ht="15" hidden="false" customHeight="false" outlineLevel="0" collapsed="false">
      <c r="A298" s="18" t="n">
        <f aca="false">'CEMIUP0.9 Raw'!B272</f>
        <v>4413099</v>
      </c>
      <c r="B298" s="18" t="str">
        <f aca="false">'CEMIUP0.9 Raw'!C272</f>
        <v>45C M מגן ברך חום</v>
      </c>
      <c r="C298" s="18" t="str">
        <f aca="false">'CEMIUP0.9 Raw'!C272</f>
        <v>45C M מגן ברך חום</v>
      </c>
      <c r="D298" s="19" t="n">
        <f aca="false">'CEMIUP0.9 Raw'!D272</f>
        <v>374</v>
      </c>
      <c r="E298" s="19" t="n">
        <f aca="false">'CEMIUP0.9 Raw'!E272</f>
        <v>10235.439</v>
      </c>
      <c r="F298" s="19" t="n">
        <f aca="false">'CEMIUP0.9 Raw'!F272</f>
        <v>314.526315789474</v>
      </c>
      <c r="G298" s="19" t="n">
        <f aca="false">'CEMIUP0.9 Raw'!G272</f>
        <v>8666.30905263158</v>
      </c>
      <c r="H298" s="18" t="str">
        <f aca="false">'CEMIUP0.9 Raw'!A272</f>
        <v>107 - Pharmacies</v>
      </c>
    </row>
    <row r="299" customFormat="false" ht="15" hidden="false" customHeight="false" outlineLevel="0" collapsed="false">
      <c r="A299" s="18" t="n">
        <f aca="false">'CEMIUP0.9 Raw'!B1318</f>
        <v>4408032</v>
      </c>
      <c r="B299" s="18" t="str">
        <f aca="false">'CEMIUP0.9 Raw'!C1318</f>
        <v>11 L""חגורת בטן""אורירית</v>
      </c>
      <c r="C299" s="18" t="str">
        <f aca="false">'CEMIUP0.9 Raw'!C1318</f>
        <v>11 L""חגורת בטן""אורירית</v>
      </c>
      <c r="D299" s="19" t="n">
        <f aca="false">'CEMIUP0.9 Raw'!D1318</f>
        <v>412</v>
      </c>
      <c r="E299" s="19" t="n">
        <f aca="false">'CEMIUP0.9 Raw'!E1318</f>
        <v>33715.682</v>
      </c>
      <c r="F299" s="19" t="n">
        <f aca="false">'CEMIUP0.9 Raw'!F1318</f>
        <v>314.526315789474</v>
      </c>
      <c r="G299" s="19" t="n">
        <f aca="false">'CEMIUP0.9 Raw'!G1318</f>
        <v>25942.8164210526</v>
      </c>
      <c r="H299" s="18" t="str">
        <f aca="false">'CEMIUP0.9 Raw'!A1318</f>
        <v>Super-Pharm Israel (CEMI internal group)</v>
      </c>
    </row>
    <row r="300" customFormat="false" ht="15" hidden="false" customHeight="false" outlineLevel="0" collapsed="false">
      <c r="A300" s="18" t="n">
        <f aca="false">'CEMIUP0.9 Raw'!B265</f>
        <v>4413092</v>
      </c>
      <c r="B300" s="18" t="str">
        <f aca="false">'CEMIUP0.9 Raw'!C265</f>
        <v>45 L מגן ברך לבן</v>
      </c>
      <c r="C300" s="18" t="str">
        <f aca="false">'CEMIUP0.9 Raw'!C265</f>
        <v>45 L מגן ברך לבן</v>
      </c>
      <c r="D300" s="19" t="n">
        <f aca="false">'CEMIUP0.9 Raw'!D265</f>
        <v>336</v>
      </c>
      <c r="E300" s="19" t="n">
        <f aca="false">'CEMIUP0.9 Raw'!E265</f>
        <v>9169.445</v>
      </c>
      <c r="F300" s="19" t="n">
        <f aca="false">'CEMIUP0.9 Raw'!F265</f>
        <v>313.263157894737</v>
      </c>
      <c r="G300" s="19" t="n">
        <f aca="false">'CEMIUP0.9 Raw'!G265</f>
        <v>8554.12042105263</v>
      </c>
      <c r="H300" s="18" t="str">
        <f aca="false">'CEMIUP0.9 Raw'!A265</f>
        <v>107 - Pharmacies</v>
      </c>
    </row>
    <row r="301" customFormat="false" ht="15" hidden="false" customHeight="false" outlineLevel="0" collapsed="false">
      <c r="A301" s="18" t="n">
        <f aca="false">'CEMIUP0.9 Raw'!B1423</f>
        <v>4411023</v>
      </c>
      <c r="B301" s="18" t="str">
        <f aca="false">'CEMIUP0.9 Raw'!C1423</f>
        <v>212S כפפות אגודל לחץ</v>
      </c>
      <c r="C301" s="18" t="str">
        <f aca="false">'CEMIUP0.9 Raw'!C1423</f>
        <v>212S כפפות אגודל לחץ</v>
      </c>
      <c r="D301" s="19" t="n">
        <f aca="false">'CEMIUP0.9 Raw'!D1423</f>
        <v>395</v>
      </c>
      <c r="E301" s="19" t="n">
        <f aca="false">'CEMIUP0.9 Raw'!E1423</f>
        <v>10241.322</v>
      </c>
      <c r="F301" s="19" t="n">
        <f aca="false">'CEMIUP0.9 Raw'!F1423</f>
        <v>312</v>
      </c>
      <c r="G301" s="19" t="n">
        <f aca="false">'CEMIUP0.9 Raw'!G1423</f>
        <v>8263.68126315789</v>
      </c>
      <c r="H301" s="18" t="str">
        <f aca="false">'CEMIUP0.9 Raw'!A1423</f>
        <v>Super-Pharm Israel (CEMI internal group)</v>
      </c>
    </row>
    <row r="302" customFormat="false" ht="15" hidden="false" customHeight="false" outlineLevel="0" collapsed="false">
      <c r="A302" s="18" t="n">
        <f aca="false">'CEMIUP0.9 Raw'!B1320</f>
        <v>4408034</v>
      </c>
      <c r="B302" s="18" t="str">
        <f aca="false">'CEMIUP0.9 Raw'!C1320</f>
        <v>11 XL""חגורת בטן""אורירית</v>
      </c>
      <c r="C302" s="18" t="str">
        <f aca="false">'CEMIUP0.9 Raw'!C1320</f>
        <v>11 XL""חגורת בטן""אורירית</v>
      </c>
      <c r="D302" s="19" t="n">
        <f aca="false">'CEMIUP0.9 Raw'!D1320</f>
        <v>399</v>
      </c>
      <c r="E302" s="19" t="n">
        <f aca="false">'CEMIUP0.9 Raw'!E1320</f>
        <v>32649.799</v>
      </c>
      <c r="F302" s="19" t="n">
        <f aca="false">'CEMIUP0.9 Raw'!F1320</f>
        <v>304.421052631579</v>
      </c>
      <c r="G302" s="19" t="n">
        <f aca="false">'CEMIUP0.9 Raw'!G1320</f>
        <v>24968.9823157895</v>
      </c>
      <c r="H302" s="18" t="str">
        <f aca="false">'CEMIUP0.9 Raw'!A1320</f>
        <v>Super-Pharm Israel (CEMI internal group)</v>
      </c>
    </row>
    <row r="303" customFormat="false" ht="15" hidden="false" customHeight="false" outlineLevel="0" collapsed="false">
      <c r="A303" s="18" t="n">
        <f aca="false">'SALES Raw'!G2933</f>
        <v>4413059</v>
      </c>
      <c r="B303" s="18" t="str">
        <f aca="false">'SALES Raw'!B2933</f>
        <v>364-S-L</v>
      </c>
      <c r="C303" s="18" t="str">
        <f aca="false">'SALES Raw'!H2933</f>
        <v>364S Lמפר.אצבע סיליק. ליבל.זוג</v>
      </c>
      <c r="D303" s="19" t="n">
        <f aca="false">'SALES Raw'!C2933</f>
        <v>500</v>
      </c>
      <c r="E303" s="19" t="n">
        <f aca="false">'SALES Raw'!D2933</f>
        <v>4125.12</v>
      </c>
      <c r="F303" s="19" t="n">
        <f aca="false">'SALES Raw'!E2933*$H$4</f>
        <v>303.157894736842</v>
      </c>
      <c r="G303" s="19" t="n">
        <f aca="false">'SALES Raw'!F2933*$H$4</f>
        <v>2277.58736842105</v>
      </c>
      <c r="H303" s="18" t="str">
        <f aca="false">'SALES Raw'!A2933</f>
        <v>202 - Super-Pharm POLAND</v>
      </c>
    </row>
    <row r="304" customFormat="false" ht="15" hidden="false" customHeight="false" outlineLevel="0" collapsed="false">
      <c r="A304" s="18" t="n">
        <f aca="false">'SALES Raw'!G2941</f>
        <v>4401001</v>
      </c>
      <c r="B304" s="18" t="str">
        <f aca="false">'SALES Raw'!B2941</f>
        <v>369-XL</v>
      </c>
      <c r="C304" s="18" t="str">
        <f aca="false">'SALES Raw'!H2941</f>
        <v>369   XL אצבעון מסיליקון יחידה</v>
      </c>
      <c r="D304" s="19" t="n">
        <f aca="false">'SALES Raw'!C2941</f>
        <v>410</v>
      </c>
      <c r="E304" s="19" t="n">
        <f aca="false">'SALES Raw'!D2941</f>
        <v>5839.77</v>
      </c>
      <c r="F304" s="19" t="n">
        <f aca="false">'SALES Raw'!E2941*$H$4</f>
        <v>303.157894736842</v>
      </c>
      <c r="G304" s="19" t="n">
        <f aca="false">'SALES Raw'!F2941*$H$4</f>
        <v>3866.58947368421</v>
      </c>
      <c r="H304" s="18" t="str">
        <f aca="false">'SALES Raw'!A2941</f>
        <v>202 - Super-Pharm POLAND</v>
      </c>
    </row>
    <row r="305" customFormat="false" ht="15" hidden="false" customHeight="false" outlineLevel="0" collapsed="false">
      <c r="A305" s="18" t="n">
        <f aca="false">'SALES Raw'!G3005</f>
        <v>4415027</v>
      </c>
      <c r="B305" s="18" t="str">
        <f aca="false">'SALES Raw'!B3005</f>
        <v>AC27R 0</v>
      </c>
      <c r="C305" s="18" t="str">
        <f aca="false">'SALES Raw'!H3005</f>
        <v>AC-27R סד לש.כף יד ימין</v>
      </c>
      <c r="D305" s="19" t="n">
        <f aca="false">'SALES Raw'!C3005</f>
        <v>280</v>
      </c>
      <c r="E305" s="19" t="n">
        <f aca="false">'SALES Raw'!D3005</f>
        <v>7157.1</v>
      </c>
      <c r="F305" s="19" t="n">
        <f aca="false">'SALES Raw'!E3005*$H$4</f>
        <v>303.157894736842</v>
      </c>
      <c r="G305" s="19" t="n">
        <f aca="false">'SALES Raw'!F3005*$H$4</f>
        <v>6939.24631578947</v>
      </c>
      <c r="H305" s="18" t="str">
        <f aca="false">'SALES Raw'!A3005</f>
        <v>202 - Super-Pharm POLAND</v>
      </c>
    </row>
    <row r="306" customFormat="false" ht="15" hidden="false" customHeight="false" outlineLevel="0" collapsed="false">
      <c r="A306" s="18" t="n">
        <f aca="false">'SALES Raw'!G3158</f>
        <v>4408053</v>
      </c>
      <c r="B306" s="18" t="str">
        <f aca="false">'SALES Raw'!B3158</f>
        <v>21 M</v>
      </c>
      <c r="C306" s="18" t="str">
        <f aca="false">'SALES Raw'!H3158</f>
        <v>21 M  חבק יד ארוך</v>
      </c>
      <c r="D306" s="19" t="n">
        <f aca="false">'SALES Raw'!C3158</f>
        <v>210</v>
      </c>
      <c r="E306" s="19" t="n">
        <f aca="false">'SALES Raw'!D3158</f>
        <v>3379.54</v>
      </c>
      <c r="F306" s="19" t="n">
        <f aca="false">'SALES Raw'!E3158*$H$4</f>
        <v>303.157894736842</v>
      </c>
      <c r="G306" s="19" t="n">
        <f aca="false">'SALES Raw'!F3158*$H$4</f>
        <v>4383.65052631579</v>
      </c>
      <c r="H306" s="18" t="str">
        <f aca="false">'SALES Raw'!A3158</f>
        <v>204 - Sanaflex Anatomic GREECE</v>
      </c>
    </row>
    <row r="307" customFormat="false" ht="15" hidden="false" customHeight="false" outlineLevel="0" collapsed="false">
      <c r="A307" s="18" t="n">
        <f aca="false">'SALES Raw'!G4106</f>
        <v>4408267</v>
      </c>
      <c r="B307" s="18" t="str">
        <f aca="false">'SALES Raw'!B4106</f>
        <v>ST25 0</v>
      </c>
      <c r="C307" s="18" t="str">
        <f aca="false">'SALES Raw'!H4106</f>
        <v>ST25 חבק שורש לכף היד</v>
      </c>
      <c r="D307" s="19" t="n">
        <f aca="false">'SALES Raw'!C4106</f>
        <v>170</v>
      </c>
      <c r="E307" s="19" t="n">
        <f aca="false">'SALES Raw'!D4106</f>
        <v>2243.06</v>
      </c>
      <c r="F307" s="19" t="n">
        <f aca="false">'SALES Raw'!E4106*$H$4</f>
        <v>303.157894736842</v>
      </c>
      <c r="G307" s="19" t="n">
        <f aca="false">'SALES Raw'!F4106*$H$4</f>
        <v>3836.65263157895</v>
      </c>
      <c r="H307" s="18" t="str">
        <f aca="false">'SALES Raw'!A4106</f>
        <v>213 - E.f.m.o. SPAIN</v>
      </c>
    </row>
    <row r="308" customFormat="false" ht="15" hidden="false" customHeight="false" outlineLevel="0" collapsed="false">
      <c r="A308" s="18" t="n">
        <f aca="false">'SALES Raw'!G3836</f>
        <v>4415298</v>
      </c>
      <c r="B308" s="18" t="str">
        <f aca="false">'SALES Raw'!B3836</f>
        <v>388BL 0</v>
      </c>
      <c r="C308" s="18" t="str">
        <f aca="false">'SALES Raw'!H3836</f>
        <v>388B L סד לילה שחור לבוהן שמאל</v>
      </c>
      <c r="D308" s="19" t="n">
        <f aca="false">'SALES Raw'!C3836</f>
        <v>337</v>
      </c>
      <c r="E308" s="19" t="n">
        <f aca="false">'SALES Raw'!D3836</f>
        <v>11873.87</v>
      </c>
      <c r="F308" s="19" t="n">
        <f aca="false">'SALES Raw'!E3836*$H$4</f>
        <v>301.894736842105</v>
      </c>
      <c r="G308" s="19" t="n">
        <f aca="false">'SALES Raw'!F3836*$H$4</f>
        <v>9436.40842105263</v>
      </c>
      <c r="H308" s="18" t="str">
        <f aca="false">'SALES Raw'!A3836</f>
        <v>209 - Ortoprofil Prod ROMANIA</v>
      </c>
    </row>
    <row r="309" customFormat="false" ht="15" hidden="false" customHeight="false" outlineLevel="0" collapsed="false">
      <c r="A309" s="18" t="str">
        <f aca="false">'SALES Raw'!G3799</f>
        <v/>
      </c>
      <c r="B309" s="18" t="str">
        <f aca="false">'SALES Raw'!B3799</f>
        <v>305-37-38</v>
      </c>
      <c r="C309" s="18" t="str">
        <f aca="false">'SALES Raw'!H3799</f>
        <v>305-37-38</v>
      </c>
      <c r="D309" s="19" t="n">
        <f aca="false">'SALES Raw'!C3799</f>
        <v>382</v>
      </c>
      <c r="E309" s="19" t="n">
        <f aca="false">'SALES Raw'!D3799</f>
        <v>13310.26</v>
      </c>
      <c r="F309" s="19" t="n">
        <f aca="false">'SALES Raw'!E3799*$H$4</f>
        <v>300.631578947368</v>
      </c>
      <c r="G309" s="19" t="n">
        <f aca="false">'SALES Raw'!F3799*$H$4</f>
        <v>10479.0442105263</v>
      </c>
      <c r="H309" s="18" t="str">
        <f aca="false">'SALES Raw'!A3799</f>
        <v>209 - Ortoprofil Prod ROMANIA</v>
      </c>
    </row>
    <row r="310" customFormat="false" ht="15" hidden="false" customHeight="false" outlineLevel="0" collapsed="false">
      <c r="A310" s="18" t="n">
        <f aca="false">'SALES Raw'!G552</f>
        <v>4403045</v>
      </c>
      <c r="B310" s="18" t="str">
        <f aca="false">'SALES Raw'!B552</f>
        <v>395B-43-46</v>
      </c>
      <c r="C310" s="18" t="str">
        <f aca="false">'SALES Raw'!H552</f>
        <v>395B גרבי קיץ אנטי בקטריא43-46</v>
      </c>
      <c r="D310" s="19" t="n">
        <f aca="false">'SALES Raw'!C552</f>
        <v>0</v>
      </c>
      <c r="E310" s="19" t="n">
        <f aca="false">'SALES Raw'!D552</f>
        <v>0</v>
      </c>
      <c r="F310" s="19" t="n">
        <f aca="false">'SALES Raw'!E552*$H$4</f>
        <v>299.368421052632</v>
      </c>
      <c r="G310" s="19" t="n">
        <f aca="false">'SALES Raw'!F552*$H$4</f>
        <v>8720.36210526316</v>
      </c>
      <c r="H310" s="18" t="str">
        <f aca="false">'SALES Raw'!A552</f>
        <v>102 - Orthopedic institutes</v>
      </c>
    </row>
    <row r="311" customFormat="false" ht="15" hidden="false" customHeight="false" outlineLevel="0" collapsed="false">
      <c r="A311" s="18" t="n">
        <f aca="false">'CEMIUP0.9 Raw'!B794</f>
        <v>4413102</v>
      </c>
      <c r="B311" s="18" t="str">
        <f aca="false">'CEMIUP0.9 Raw'!C794</f>
        <v>45E  L        מגן ברך ארוך לבן</v>
      </c>
      <c r="C311" s="18" t="str">
        <f aca="false">'CEMIUP0.9 Raw'!C794</f>
        <v>45E  L        מגן ברך ארוך לבן</v>
      </c>
      <c r="D311" s="19" t="n">
        <f aca="false">'CEMIUP0.9 Raw'!D794</f>
        <v>374</v>
      </c>
      <c r="E311" s="19" t="n">
        <f aca="false">'CEMIUP0.9 Raw'!E794</f>
        <v>7667</v>
      </c>
      <c r="F311" s="19" t="n">
        <f aca="false">'CEMIUP0.9 Raw'!F794</f>
        <v>298.105263157895</v>
      </c>
      <c r="G311" s="19" t="n">
        <f aca="false">'CEMIUP0.9 Raw'!G794</f>
        <v>5750.96210526316</v>
      </c>
      <c r="H311" s="18" t="str">
        <f aca="false">'CEMIUP0.9 Raw'!A794</f>
        <v>113 - Kupat Holim Meuhedet</v>
      </c>
    </row>
    <row r="312" customFormat="false" ht="15" hidden="false" customHeight="false" outlineLevel="0" collapsed="false">
      <c r="A312" s="18" t="n">
        <f aca="false">'CEMIUP0.9 Raw'!B1597</f>
        <v>4413455</v>
      </c>
      <c r="B312" s="18" t="str">
        <f aca="false">'CEMIUP0.9 Raw'!C1597</f>
        <v>85K מתלה ליד לילדים</v>
      </c>
      <c r="C312" s="18" t="str">
        <f aca="false">'CEMIUP0.9 Raw'!C1597</f>
        <v>85K מתלה ליד לילדים</v>
      </c>
      <c r="D312" s="19" t="n">
        <f aca="false">'CEMIUP0.9 Raw'!D1597</f>
        <v>299</v>
      </c>
      <c r="E312" s="19" t="n">
        <f aca="false">'CEMIUP0.9 Raw'!E1597</f>
        <v>12164.152</v>
      </c>
      <c r="F312" s="19" t="n">
        <f aca="false">'CEMIUP0.9 Raw'!F1597</f>
        <v>298.105263157895</v>
      </c>
      <c r="G312" s="19" t="n">
        <f aca="false">'CEMIUP0.9 Raw'!G1597</f>
        <v>12120.7402105263</v>
      </c>
      <c r="H312" s="18" t="str">
        <f aca="false">'CEMIUP0.9 Raw'!A1597</f>
        <v>Super-Pharm Israel (CEMI internal group)</v>
      </c>
    </row>
    <row r="313" customFormat="false" ht="15" hidden="false" customHeight="false" outlineLevel="0" collapsed="false">
      <c r="A313" s="18" t="n">
        <f aca="false">'CEMIUP0.9 Raw'!B1608</f>
        <v>4413525</v>
      </c>
      <c r="B313" s="18" t="str">
        <f aca="false">'CEMIUP0.9 Raw'!C1608</f>
        <v>43-47 מדרסי אפיק ג'ל נוחות</v>
      </c>
      <c r="C313" s="18" t="str">
        <f aca="false">'CEMIUP0.9 Raw'!C1608</f>
        <v>43-47 מדרסי אפיק ג'ל נוחות</v>
      </c>
      <c r="D313" s="19" t="n">
        <f aca="false">'CEMIUP0.9 Raw'!D1608</f>
        <v>990</v>
      </c>
      <c r="E313" s="19" t="n">
        <f aca="false">'CEMIUP0.9 Raw'!E1608</f>
        <v>83805.176</v>
      </c>
      <c r="F313" s="19" t="n">
        <f aca="false">'CEMIUP0.9 Raw'!F1608</f>
        <v>298.105263157895</v>
      </c>
      <c r="G313" s="19" t="n">
        <f aca="false">'CEMIUP0.9 Raw'!G1608</f>
        <v>27091.1406315789</v>
      </c>
      <c r="H313" s="18" t="str">
        <f aca="false">'CEMIUP0.9 Raw'!A1608</f>
        <v>Super-Pharm Israel (CEMI internal group)</v>
      </c>
    </row>
    <row r="314" customFormat="false" ht="15" hidden="false" customHeight="false" outlineLevel="0" collapsed="false">
      <c r="A314" s="18" t="n">
        <f aca="false">'CEMIUP0.9 Raw'!B807</f>
        <v>4413135</v>
      </c>
      <c r="B314" s="18" t="str">
        <f aca="false">'CEMIUP0.9 Raw'!C807</f>
        <v>85 L (מתלה ליד )כיס</v>
      </c>
      <c r="C314" s="18" t="str">
        <f aca="false">'CEMIUP0.9 Raw'!C807</f>
        <v>85 L (מתלה ליד )כיס</v>
      </c>
      <c r="D314" s="19" t="n">
        <f aca="false">'CEMIUP0.9 Raw'!D807</f>
        <v>345</v>
      </c>
      <c r="E314" s="19" t="n">
        <f aca="false">'CEMIUP0.9 Raw'!E807</f>
        <v>12075</v>
      </c>
      <c r="F314" s="19" t="n">
        <f aca="false">'CEMIUP0.9 Raw'!F807</f>
        <v>293.052631578947</v>
      </c>
      <c r="G314" s="19" t="n">
        <f aca="false">'CEMIUP0.9 Raw'!G807</f>
        <v>9524.22063157895</v>
      </c>
      <c r="H314" s="18" t="str">
        <f aca="false">'CEMIUP0.9 Raw'!A807</f>
        <v>113 - Kupat Holim Meuhedet</v>
      </c>
    </row>
    <row r="315" customFormat="false" ht="15" hidden="false" customHeight="false" outlineLevel="0" collapsed="false">
      <c r="A315" s="18" t="n">
        <f aca="false">'SALES Raw'!G2969</f>
        <v>4413496</v>
      </c>
      <c r="B315" s="18" t="str">
        <f aca="false">'SALES Raw'!B2969</f>
        <v>45B XL</v>
      </c>
      <c r="C315" s="18" t="str">
        <f aca="false">'SALES Raw'!H2969</f>
        <v>45B XL מגן ברך שחור</v>
      </c>
      <c r="D315" s="19" t="n">
        <f aca="false">'SALES Raw'!C2969</f>
        <v>460</v>
      </c>
      <c r="E315" s="19" t="n">
        <f aca="false">'SALES Raw'!D2969</f>
        <v>6699.09</v>
      </c>
      <c r="F315" s="19" t="n">
        <f aca="false">'SALES Raw'!E2969*$H$4</f>
        <v>290.526315789474</v>
      </c>
      <c r="G315" s="19" t="n">
        <f aca="false">'SALES Raw'!F2969*$H$4</f>
        <v>3773.54526315789</v>
      </c>
      <c r="H315" s="18" t="str">
        <f aca="false">'SALES Raw'!A2969</f>
        <v>202 - Super-Pharm POLAND</v>
      </c>
    </row>
    <row r="316" customFormat="false" ht="15" hidden="false" customHeight="false" outlineLevel="0" collapsed="false">
      <c r="A316" s="18" t="n">
        <f aca="false">'SALES Raw'!G2970</f>
        <v>4413098</v>
      </c>
      <c r="B316" s="18" t="str">
        <f aca="false">'SALES Raw'!B2970</f>
        <v>45C L</v>
      </c>
      <c r="C316" s="18" t="str">
        <f aca="false">'SALES Raw'!H2970</f>
        <v>45C L מגן ברך חום</v>
      </c>
      <c r="D316" s="19" t="n">
        <f aca="false">'SALES Raw'!C2970</f>
        <v>480</v>
      </c>
      <c r="E316" s="19" t="n">
        <f aca="false">'SALES Raw'!D2970</f>
        <v>6509.97</v>
      </c>
      <c r="F316" s="19" t="n">
        <f aca="false">'SALES Raw'!E2970*$H$4</f>
        <v>290.526315789474</v>
      </c>
      <c r="G316" s="19" t="n">
        <f aca="false">'SALES Raw'!F2970*$H$4</f>
        <v>3497.62105263158</v>
      </c>
      <c r="H316" s="18" t="str">
        <f aca="false">'SALES Raw'!A2970</f>
        <v>202 - Super-Pharm POLAND</v>
      </c>
    </row>
    <row r="317" customFormat="false" ht="15" hidden="false" customHeight="false" outlineLevel="0" collapsed="false">
      <c r="A317" s="18" t="n">
        <f aca="false">'SALES Raw'!G2973</f>
        <v>4413100</v>
      </c>
      <c r="B317" s="18" t="str">
        <f aca="false">'SALES Raw'!B2973</f>
        <v>45C XL</v>
      </c>
      <c r="C317" s="18" t="str">
        <f aca="false">'SALES Raw'!H2973</f>
        <v>45C XL מגן ברך חום</v>
      </c>
      <c r="D317" s="19" t="n">
        <f aca="false">'SALES Raw'!C2973</f>
        <v>300</v>
      </c>
      <c r="E317" s="19" t="n">
        <f aca="false">'SALES Raw'!D2973</f>
        <v>4073.24</v>
      </c>
      <c r="F317" s="19" t="n">
        <f aca="false">'SALES Raw'!E2973*$H$4</f>
        <v>290.526315789474</v>
      </c>
      <c r="G317" s="19" t="n">
        <f aca="false">'SALES Raw'!F2973*$H$4</f>
        <v>3563.69684210526</v>
      </c>
      <c r="H317" s="18" t="str">
        <f aca="false">'SALES Raw'!A2973</f>
        <v>202 - Super-Pharm POLAND</v>
      </c>
    </row>
    <row r="318" customFormat="false" ht="15" hidden="false" customHeight="false" outlineLevel="0" collapsed="false">
      <c r="A318" s="18" t="n">
        <f aca="false">'SALES Raw'!G2987</f>
        <v>4413135</v>
      </c>
      <c r="B318" s="18" t="str">
        <f aca="false">'SALES Raw'!B2987</f>
        <v>85 L</v>
      </c>
      <c r="C318" s="18" t="str">
        <f aca="false">'SALES Raw'!H2987</f>
        <v>85 L (מתלה ליד )כיס</v>
      </c>
      <c r="D318" s="19" t="n">
        <f aca="false">'SALES Raw'!C2987</f>
        <v>360</v>
      </c>
      <c r="E318" s="19" t="n">
        <f aca="false">'SALES Raw'!D2987</f>
        <v>11222.39</v>
      </c>
      <c r="F318" s="19" t="n">
        <f aca="false">'SALES Raw'!E2987*$H$4</f>
        <v>290.526315789474</v>
      </c>
      <c r="G318" s="19" t="n">
        <f aca="false">'SALES Raw'!F2987*$H$4</f>
        <v>8105.88631578947</v>
      </c>
      <c r="H318" s="18" t="str">
        <f aca="false">'SALES Raw'!A2987</f>
        <v>202 - Super-Pharm POLAND</v>
      </c>
    </row>
    <row r="319" customFormat="false" ht="15" hidden="false" customHeight="false" outlineLevel="0" collapsed="false">
      <c r="A319" s="18" t="n">
        <f aca="false">'SALES Raw'!G3350</f>
        <v>4409000</v>
      </c>
      <c r="B319" s="18" t="str">
        <f aca="false">'SALES Raw'!B3350</f>
        <v>365-S-L</v>
      </c>
      <c r="C319" s="18" t="str">
        <f aca="false">'SALES Raw'!H3350</f>
        <v>365 S-Lטבעת אלסטית מסיליקון</v>
      </c>
      <c r="D319" s="19" t="n">
        <f aca="false">'SALES Raw'!C3350</f>
        <v>240</v>
      </c>
      <c r="E319" s="19" t="n">
        <f aca="false">'SALES Raw'!D3350</f>
        <v>1721.44</v>
      </c>
      <c r="F319" s="19" t="n">
        <f aca="false">'SALES Raw'!E3350*$H$4</f>
        <v>290.526315789474</v>
      </c>
      <c r="G319" s="19" t="n">
        <f aca="false">'SALES Raw'!F3350*$H$4</f>
        <v>1863.04421052632</v>
      </c>
      <c r="H319" s="18" t="str">
        <f aca="false">'SALES Raw'!A3350</f>
        <v>205 - Health Care Prod. Gmbh GERMANY</v>
      </c>
    </row>
    <row r="320" customFormat="false" ht="15" hidden="false" customHeight="false" outlineLevel="0" collapsed="false">
      <c r="A320" s="18" t="n">
        <f aca="false">'CEMIUP0.9 Raw'!B1512</f>
        <v>4413141</v>
      </c>
      <c r="B320" s="18" t="str">
        <f aca="false">'CEMIUP0.9 Raw'!C1512</f>
        <v>95 S מגן מרפק רגיל לבן</v>
      </c>
      <c r="C320" s="18" t="str">
        <f aca="false">'CEMIUP0.9 Raw'!C1512</f>
        <v>95 S מגן מרפק רגיל לבן</v>
      </c>
      <c r="D320" s="19" t="n">
        <f aca="false">'CEMIUP0.9 Raw'!D1512</f>
        <v>391</v>
      </c>
      <c r="E320" s="19" t="n">
        <f aca="false">'CEMIUP0.9 Raw'!E1512</f>
        <v>9152.78</v>
      </c>
      <c r="F320" s="19" t="n">
        <f aca="false">'CEMIUP0.9 Raw'!F1512</f>
        <v>289.263157894737</v>
      </c>
      <c r="G320" s="19" t="n">
        <f aca="false">'CEMIUP0.9 Raw'!G1512</f>
        <v>6833.62105263158</v>
      </c>
      <c r="H320" s="18" t="str">
        <f aca="false">'CEMIUP0.9 Raw'!A1512</f>
        <v>Super-Pharm Israel (CEMI internal group)</v>
      </c>
    </row>
    <row r="321" customFormat="false" ht="15" hidden="false" customHeight="false" outlineLevel="0" collapsed="false">
      <c r="A321" s="18" t="n">
        <f aca="false">'CEMIUP0.9 Raw'!B14</f>
        <v>4402007</v>
      </c>
      <c r="B321" s="18" t="str">
        <f aca="false">'CEMIUP0.9 Raw'!C14</f>
        <v>320 בליסטר פלסטר</v>
      </c>
      <c r="C321" s="18" t="str">
        <f aca="false">'CEMIUP0.9 Raw'!C14</f>
        <v>320 בליסטר פלסטר</v>
      </c>
      <c r="D321" s="19" t="n">
        <f aca="false">'CEMIUP0.9 Raw'!D14</f>
        <v>356</v>
      </c>
      <c r="E321" s="19" t="n">
        <f aca="false">'CEMIUP0.9 Raw'!E14</f>
        <v>5973.286</v>
      </c>
      <c r="F321" s="19" t="n">
        <f aca="false">'CEMIUP0.9 Raw'!F14</f>
        <v>286.736842105263</v>
      </c>
      <c r="G321" s="19" t="n">
        <f aca="false">'CEMIUP0.9 Raw'!G14</f>
        <v>4807.80252631579</v>
      </c>
      <c r="H321" s="18" t="str">
        <f aca="false">'CEMIUP0.9 Raw'!A14</f>
        <v>107 - Pharmacies</v>
      </c>
    </row>
    <row r="322" customFormat="false" ht="15" hidden="false" customHeight="false" outlineLevel="0" collapsed="false">
      <c r="A322" s="18" t="n">
        <f aca="false">'CEMIUP0.9 Raw'!B1564</f>
        <v>4413367</v>
      </c>
      <c r="B322" s="18" t="str">
        <f aca="false">'CEMIUP0.9 Raw'!C1564</f>
        <v>95C XL'מגן מרפק בז</v>
      </c>
      <c r="C322" s="18" t="str">
        <f aca="false">'CEMIUP0.9 Raw'!C1564</f>
        <v>95C XL'מגן מרפק בז</v>
      </c>
      <c r="D322" s="19" t="n">
        <f aca="false">'CEMIUP0.9 Raw'!D1564</f>
        <v>347</v>
      </c>
      <c r="E322" s="19" t="n">
        <f aca="false">'CEMIUP0.9 Raw'!E1564</f>
        <v>8126.118</v>
      </c>
      <c r="F322" s="19" t="n">
        <f aca="false">'CEMIUP0.9 Raw'!F1564</f>
        <v>286.736842105263</v>
      </c>
      <c r="G322" s="19" t="n">
        <f aca="false">'CEMIUP0.9 Raw'!G1564</f>
        <v>6810.74652631579</v>
      </c>
      <c r="H322" s="18" t="str">
        <f aca="false">'CEMIUP0.9 Raw'!A1564</f>
        <v>Super-Pharm Israel (CEMI internal group)</v>
      </c>
    </row>
    <row r="323" customFormat="false" ht="15" hidden="false" customHeight="false" outlineLevel="0" collapsed="false">
      <c r="A323" s="18" t="n">
        <f aca="false">'CEMIUP0.9 Raw'!B40</f>
        <v>4403042</v>
      </c>
      <c r="B323" s="18" t="str">
        <f aca="false">'CEMIUP0.9 Raw'!C40</f>
        <v>397A-גרבי טיסה אנטי בקטרי39-42</v>
      </c>
      <c r="C323" s="18" t="str">
        <f aca="false">'CEMIUP0.9 Raw'!C40</f>
        <v>397A-גרבי טיסה אנטי בקטרי39-42</v>
      </c>
      <c r="D323" s="19" t="n">
        <f aca="false">'CEMIUP0.9 Raw'!D40</f>
        <v>0</v>
      </c>
      <c r="E323" s="19" t="n">
        <f aca="false">'CEMIUP0.9 Raw'!E40</f>
        <v>0</v>
      </c>
      <c r="F323" s="19" t="n">
        <f aca="false">'CEMIUP0.9 Raw'!F40</f>
        <v>285.473684210526</v>
      </c>
      <c r="G323" s="19" t="n">
        <f aca="false">'CEMIUP0.9 Raw'!G40</f>
        <v>15803.0602105263</v>
      </c>
      <c r="H323" s="18" t="str">
        <f aca="false">'CEMIUP0.9 Raw'!A40</f>
        <v>107 - Pharmacies</v>
      </c>
    </row>
    <row r="324" customFormat="false" ht="15" hidden="false" customHeight="false" outlineLevel="0" collapsed="false">
      <c r="A324" s="18" t="n">
        <f aca="false">'CEMIUP0.9 Raw'!B669</f>
        <v>4401001</v>
      </c>
      <c r="B324" s="18" t="str">
        <f aca="false">'CEMIUP0.9 Raw'!C669</f>
        <v>369   XL אצבעון מסיליקון יחידה</v>
      </c>
      <c r="C324" s="18" t="str">
        <f aca="false">'CEMIUP0.9 Raw'!C669</f>
        <v>369   XL אצבעון מסיליקון יחידה</v>
      </c>
      <c r="D324" s="19" t="n">
        <f aca="false">'CEMIUP0.9 Raw'!D669</f>
        <v>336</v>
      </c>
      <c r="E324" s="19" t="n">
        <f aca="false">'CEMIUP0.9 Raw'!E669</f>
        <v>5987.52</v>
      </c>
      <c r="F324" s="19" t="n">
        <f aca="false">'CEMIUP0.9 Raw'!F669</f>
        <v>285.473684210526</v>
      </c>
      <c r="G324" s="19" t="n">
        <f aca="false">'CEMIUP0.9 Raw'!G669</f>
        <v>4866.80084210526</v>
      </c>
      <c r="H324" s="18" t="str">
        <f aca="false">'CEMIUP0.9 Raw'!A669</f>
        <v>113 - Kupat Holim Meuhedet</v>
      </c>
    </row>
    <row r="325" customFormat="false" ht="15" hidden="false" customHeight="false" outlineLevel="0" collapsed="false">
      <c r="A325" s="18" t="n">
        <f aca="false">'CEMIUP0.9 Raw'!B500</f>
        <v>4415160</v>
      </c>
      <c r="B325" s="18" t="str">
        <f aca="false">'CEMIUP0.9 Raw'!C500</f>
        <v>238S סד ליישור אצבע</v>
      </c>
      <c r="C325" s="18" t="str">
        <f aca="false">'CEMIUP0.9 Raw'!C500</f>
        <v>238S סד ליישור אצבע</v>
      </c>
      <c r="D325" s="19" t="n">
        <f aca="false">'CEMIUP0.9 Raw'!D500</f>
        <v>288</v>
      </c>
      <c r="E325" s="19" t="n">
        <f aca="false">'CEMIUP0.9 Raw'!E500</f>
        <v>5015.565</v>
      </c>
      <c r="F325" s="19" t="n">
        <f aca="false">'CEMIUP0.9 Raw'!F500</f>
        <v>284.21052631579</v>
      </c>
      <c r="G325" s="19" t="n">
        <f aca="false">'CEMIUP0.9 Raw'!G500</f>
        <v>5097.43831578947</v>
      </c>
      <c r="H325" s="18" t="str">
        <f aca="false">'CEMIUP0.9 Raw'!A500</f>
        <v>107 - Pharmacies</v>
      </c>
    </row>
    <row r="326" customFormat="false" ht="15" hidden="false" customHeight="false" outlineLevel="0" collapsed="false">
      <c r="A326" s="18" t="n">
        <f aca="false">'CEMIUP0.9 Raw'!B439</f>
        <v>4413495</v>
      </c>
      <c r="B326" s="18" t="str">
        <f aca="false">'CEMIUP0.9 Raw'!C439</f>
        <v>45B L מגן ברך שחור</v>
      </c>
      <c r="C326" s="18" t="str">
        <f aca="false">'CEMIUP0.9 Raw'!C439</f>
        <v>45B L מגן ברך שחור</v>
      </c>
      <c r="D326" s="19" t="n">
        <f aca="false">'CEMIUP0.9 Raw'!D439</f>
        <v>388</v>
      </c>
      <c r="E326" s="19" t="n">
        <f aca="false">'CEMIUP0.9 Raw'!E439</f>
        <v>10333.141</v>
      </c>
      <c r="F326" s="19" t="n">
        <f aca="false">'CEMIUP0.9 Raw'!F439</f>
        <v>282.947368421053</v>
      </c>
      <c r="G326" s="19" t="n">
        <f aca="false">'CEMIUP0.9 Raw'!G439</f>
        <v>7856.65263157895</v>
      </c>
      <c r="H326" s="18" t="str">
        <f aca="false">'CEMIUP0.9 Raw'!A439</f>
        <v>107 - Pharmacies</v>
      </c>
    </row>
    <row r="327" customFormat="false" ht="15" hidden="false" customHeight="false" outlineLevel="0" collapsed="false">
      <c r="A327" s="18" t="n">
        <f aca="false">'CEMIUP0.9 Raw'!B783</f>
        <v>4413060</v>
      </c>
      <c r="B327" s="18" t="str">
        <f aca="false">'CEMIUP0.9 Raw'!C783</f>
        <v>364 XLמפריד אצבע סיליקון ליבלת</v>
      </c>
      <c r="C327" s="18" t="str">
        <f aca="false">'CEMIUP0.9 Raw'!C783</f>
        <v>364 XLמפריד אצבע סיליקון ליבלת</v>
      </c>
      <c r="D327" s="19" t="n">
        <f aca="false">'CEMIUP0.9 Raw'!D783</f>
        <v>327</v>
      </c>
      <c r="E327" s="19" t="n">
        <f aca="false">'CEMIUP0.9 Raw'!E783</f>
        <v>3106.5</v>
      </c>
      <c r="F327" s="19" t="n">
        <f aca="false">'CEMIUP0.9 Raw'!F783</f>
        <v>282.947368421053</v>
      </c>
      <c r="G327" s="19" t="n">
        <f aca="false">'CEMIUP0.9 Raw'!G783</f>
        <v>2437.32252631579</v>
      </c>
      <c r="H327" s="18" t="str">
        <f aca="false">'CEMIUP0.9 Raw'!A783</f>
        <v>113 - Kupat Holim Meuhedet</v>
      </c>
    </row>
    <row r="328" customFormat="false" ht="15" hidden="false" customHeight="false" outlineLevel="0" collapsed="false">
      <c r="A328" s="18" t="n">
        <f aca="false">'CEMIUP0.9 Raw'!B977</f>
        <v>4408053</v>
      </c>
      <c r="B328" s="18" t="str">
        <f aca="false">'CEMIUP0.9 Raw'!C977</f>
        <v>21 M  חבק יד ארוך</v>
      </c>
      <c r="C328" s="18" t="str">
        <f aca="false">'CEMIUP0.9 Raw'!C977</f>
        <v>21 M  חבק יד ארוך</v>
      </c>
      <c r="D328" s="19" t="n">
        <f aca="false">'CEMIUP0.9 Raw'!D977</f>
        <v>300</v>
      </c>
      <c r="E328" s="19" t="n">
        <f aca="false">'CEMIUP0.9 Raw'!E977</f>
        <v>9632.441</v>
      </c>
      <c r="F328" s="19" t="n">
        <f aca="false">'CEMIUP0.9 Raw'!F977</f>
        <v>279.157894736842</v>
      </c>
      <c r="G328" s="19" t="n">
        <f aca="false">'CEMIUP0.9 Raw'!G977</f>
        <v>8957.73347368421</v>
      </c>
      <c r="H328" s="18" t="str">
        <f aca="false">'CEMIUP0.9 Raw'!A977</f>
        <v>BE (CEMI internal group)</v>
      </c>
    </row>
    <row r="329" customFormat="false" ht="15" hidden="false" customHeight="false" outlineLevel="0" collapsed="false">
      <c r="A329" s="18" t="n">
        <f aca="false">'SALES Raw'!G2912</f>
        <v>4408053</v>
      </c>
      <c r="B329" s="18" t="str">
        <f aca="false">'SALES Raw'!B2912</f>
        <v>21 M</v>
      </c>
      <c r="C329" s="18" t="str">
        <f aca="false">'SALES Raw'!H2912</f>
        <v>21 M  חבק יד ארוך</v>
      </c>
      <c r="D329" s="19" t="n">
        <f aca="false">'SALES Raw'!C2912</f>
        <v>370</v>
      </c>
      <c r="E329" s="19" t="n">
        <f aca="false">'SALES Raw'!D2912</f>
        <v>7952.17</v>
      </c>
      <c r="F329" s="19" t="n">
        <f aca="false">'SALES Raw'!E2912*$H$4</f>
        <v>277.894736842105</v>
      </c>
      <c r="G329" s="19" t="n">
        <f aca="false">'SALES Raw'!F2912*$H$4</f>
        <v>5329.45263157895</v>
      </c>
      <c r="H329" s="18" t="str">
        <f aca="false">'SALES Raw'!A2912</f>
        <v>202 - Super-Pharm POLAND</v>
      </c>
    </row>
    <row r="330" customFormat="false" ht="15" hidden="false" customHeight="false" outlineLevel="0" collapsed="false">
      <c r="A330" s="18" t="n">
        <f aca="false">'SALES Raw'!G2967</f>
        <v>4413497</v>
      </c>
      <c r="B330" s="18" t="str">
        <f aca="false">'SALES Raw'!B2967</f>
        <v>45B M</v>
      </c>
      <c r="C330" s="18" t="str">
        <f aca="false">'SALES Raw'!H2967</f>
        <v>45B M מגן ברך שחור</v>
      </c>
      <c r="D330" s="19" t="n">
        <f aca="false">'SALES Raw'!C2967</f>
        <v>450</v>
      </c>
      <c r="E330" s="19" t="n">
        <f aca="false">'SALES Raw'!D2967</f>
        <v>6527.88</v>
      </c>
      <c r="F330" s="19" t="n">
        <f aca="false">'SALES Raw'!E2967*$H$4</f>
        <v>277.894736842105</v>
      </c>
      <c r="G330" s="19" t="n">
        <f aca="false">'SALES Raw'!F2967*$H$4</f>
        <v>3619.90736842105</v>
      </c>
      <c r="H330" s="18" t="str">
        <f aca="false">'SALES Raw'!A2967</f>
        <v>202 - Super-Pharm POLAND</v>
      </c>
    </row>
    <row r="331" customFormat="false" ht="15" hidden="false" customHeight="false" outlineLevel="0" collapsed="false">
      <c r="A331" s="18" t="n">
        <f aca="false">'SALES Raw'!G3008</f>
        <v>4413328</v>
      </c>
      <c r="B331" s="18" t="str">
        <f aca="false">'SALES Raw'!B3008</f>
        <v>AC43D 0</v>
      </c>
      <c r="C331" s="18" t="str">
        <f aca="false">'SALES Raw'!H3008</f>
        <v>AC43D מגן ברך + צירים</v>
      </c>
      <c r="D331" s="19" t="n">
        <f aca="false">'SALES Raw'!C3008</f>
        <v>360</v>
      </c>
      <c r="E331" s="19" t="n">
        <f aca="false">'SALES Raw'!D3008</f>
        <v>20957.82</v>
      </c>
      <c r="F331" s="19" t="n">
        <f aca="false">'SALES Raw'!E3008*$H$4</f>
        <v>277.894736842105</v>
      </c>
      <c r="G331" s="19" t="n">
        <f aca="false">'SALES Raw'!F3008*$H$4</f>
        <v>14506.9768421053</v>
      </c>
      <c r="H331" s="18" t="str">
        <f aca="false">'SALES Raw'!A3008</f>
        <v>202 - Super-Pharm POLAND</v>
      </c>
    </row>
    <row r="332" customFormat="false" ht="15" hidden="false" customHeight="false" outlineLevel="0" collapsed="false">
      <c r="A332" s="18" t="n">
        <f aca="false">'SALES Raw'!G3014</f>
        <v>4420022</v>
      </c>
      <c r="B332" s="18" t="str">
        <f aca="false">'SALES Raw'!B3014</f>
        <v>LF370 0</v>
      </c>
      <c r="C332" s="18" t="str">
        <f aca="false">'SALES Raw'!H3014</f>
        <v>LF370 ריפוד סיליקון לעקב אחורי</v>
      </c>
      <c r="D332" s="19" t="n">
        <f aca="false">'SALES Raw'!C3014</f>
        <v>350</v>
      </c>
      <c r="E332" s="19" t="n">
        <f aca="false">'SALES Raw'!D3014</f>
        <v>2971.65</v>
      </c>
      <c r="F332" s="19" t="n">
        <f aca="false">'SALES Raw'!E3014*$H$4</f>
        <v>277.894736842105</v>
      </c>
      <c r="G332" s="19" t="n">
        <f aca="false">'SALES Raw'!F3014*$H$4</f>
        <v>2146.06736842105</v>
      </c>
      <c r="H332" s="18" t="str">
        <f aca="false">'SALES Raw'!A3014</f>
        <v>202 - Super-Pharm POLAND</v>
      </c>
    </row>
    <row r="333" customFormat="false" ht="15" hidden="false" customHeight="false" outlineLevel="0" collapsed="false">
      <c r="A333" s="18" t="n">
        <f aca="false">'SALES Raw'!G3171</f>
        <v>4421006</v>
      </c>
      <c r="B333" s="18" t="str">
        <f aca="false">'SALES Raw'!B3171</f>
        <v>251 0</v>
      </c>
      <c r="C333" s="18" t="str">
        <f aca="false">'SALES Raw'!H3171</f>
        <v>שרוול לגבס ארוך יד</v>
      </c>
      <c r="D333" s="19" t="n">
        <f aca="false">'SALES Raw'!C3171</f>
        <v>325</v>
      </c>
      <c r="E333" s="19" t="n">
        <f aca="false">'SALES Raw'!D3171</f>
        <v>6622.52</v>
      </c>
      <c r="F333" s="19" t="n">
        <f aca="false">'SALES Raw'!E3171*$H$4</f>
        <v>277.894736842105</v>
      </c>
      <c r="G333" s="19" t="n">
        <f aca="false">'SALES Raw'!F3171*$H$4</f>
        <v>5080.25684210526</v>
      </c>
      <c r="H333" s="18" t="str">
        <f aca="false">'SALES Raw'!A3171</f>
        <v>204 - Sanaflex Anatomic GREECE</v>
      </c>
    </row>
    <row r="334" customFormat="false" ht="15" hidden="false" customHeight="false" outlineLevel="0" collapsed="false">
      <c r="A334" s="18" t="n">
        <f aca="false">'SALES Raw'!G3619</f>
        <v>4422023</v>
      </c>
      <c r="B334" s="18" t="str">
        <f aca="false">'SALES Raw'!B3619</f>
        <v>806CB-C</v>
      </c>
      <c r="C334" s="18" t="str">
        <f aca="false">'SALES Raw'!H3619</f>
        <v>806CB-BEIGE      תחבושת א.נצמ</v>
      </c>
      <c r="D334" s="19" t="n">
        <f aca="false">'SALES Raw'!C3619</f>
        <v>240</v>
      </c>
      <c r="E334" s="19" t="n">
        <f aca="false">'SALES Raw'!D3619</f>
        <v>1588.75</v>
      </c>
      <c r="F334" s="19" t="n">
        <f aca="false">'SALES Raw'!E3619*$H$4</f>
        <v>277.894736842105</v>
      </c>
      <c r="G334" s="19" t="n">
        <f aca="false">'SALES Raw'!F3619*$H$4</f>
        <v>1739.87368421053</v>
      </c>
      <c r="H334" s="18" t="str">
        <f aca="false">'SALES Raw'!A3619</f>
        <v>207 - Salus HUNGARY</v>
      </c>
    </row>
    <row r="335" customFormat="false" ht="15" hidden="false" customHeight="false" outlineLevel="0" collapsed="false">
      <c r="A335" s="18" t="n">
        <f aca="false">'CEMIUP0.9 Raw'!B860</f>
        <v>4420000</v>
      </c>
      <c r="B335" s="18" t="str">
        <f aca="false">'CEMIUP0.9 Raw'!C860</f>
        <v>370  רפידת נוחות-זוג</v>
      </c>
      <c r="C335" s="18" t="str">
        <f aca="false">'CEMIUP0.9 Raw'!C860</f>
        <v>370  רפידת נוחות-זוג</v>
      </c>
      <c r="D335" s="19" t="n">
        <f aca="false">'CEMIUP0.9 Raw'!D860</f>
        <v>359</v>
      </c>
      <c r="E335" s="19" t="n">
        <f aca="false">'CEMIUP0.9 Raw'!E860</f>
        <v>2943.8</v>
      </c>
      <c r="F335" s="19" t="n">
        <f aca="false">'CEMIUP0.9 Raw'!F860</f>
        <v>276.631578947368</v>
      </c>
      <c r="G335" s="19" t="n">
        <f aca="false">'CEMIUP0.9 Raw'!G860</f>
        <v>2097.45347368421</v>
      </c>
      <c r="H335" s="18" t="str">
        <f aca="false">'CEMIUP0.9 Raw'!A860</f>
        <v>113 - Kupat Holim Meuhedet</v>
      </c>
    </row>
    <row r="336" customFormat="false" ht="15" hidden="false" customHeight="false" outlineLevel="0" collapsed="false">
      <c r="A336" s="18" t="n">
        <f aca="false">'CEMIUP0.9 Raw'!B1099</f>
        <v>4413102</v>
      </c>
      <c r="B336" s="18" t="str">
        <f aca="false">'CEMIUP0.9 Raw'!C1099</f>
        <v>45E  L        מגן ברך ארוך לבן</v>
      </c>
      <c r="C336" s="18" t="str">
        <f aca="false">'CEMIUP0.9 Raw'!C1099</f>
        <v>45E  L        מגן ברך ארוך לבן</v>
      </c>
      <c r="D336" s="19" t="n">
        <f aca="false">'CEMIUP0.9 Raw'!D1099</f>
        <v>243</v>
      </c>
      <c r="E336" s="19" t="n">
        <f aca="false">'CEMIUP0.9 Raw'!E1099</f>
        <v>7418.775</v>
      </c>
      <c r="F336" s="19" t="n">
        <f aca="false">'CEMIUP0.9 Raw'!F1099</f>
        <v>275.368421052632</v>
      </c>
      <c r="G336" s="19" t="n">
        <f aca="false">'CEMIUP0.9 Raw'!G1099</f>
        <v>8400.35368421053</v>
      </c>
      <c r="H336" s="18" t="str">
        <f aca="false">'CEMIUP0.9 Raw'!A1099</f>
        <v>BE (CEMI internal group)</v>
      </c>
    </row>
    <row r="337" customFormat="false" ht="15" hidden="false" customHeight="false" outlineLevel="0" collapsed="false">
      <c r="A337" s="18" t="n">
        <f aca="false">'CEMIUP0.9 Raw'!B1075</f>
        <v>4413060</v>
      </c>
      <c r="B337" s="18" t="str">
        <f aca="false">'CEMIUP0.9 Raw'!C1075</f>
        <v>364 XLמפריד אצבע סיליקון ליבלת</v>
      </c>
      <c r="C337" s="18" t="str">
        <f aca="false">'CEMIUP0.9 Raw'!C1075</f>
        <v>364 XLמפריד אצבע סיליקון ליבלת</v>
      </c>
      <c r="D337" s="19" t="n">
        <f aca="false">'CEMIUP0.9 Raw'!D1075</f>
        <v>336</v>
      </c>
      <c r="E337" s="19" t="n">
        <f aca="false">'CEMIUP0.9 Raw'!E1075</f>
        <v>4139.044</v>
      </c>
      <c r="F337" s="19" t="n">
        <f aca="false">'CEMIUP0.9 Raw'!F1075</f>
        <v>274.105263157895</v>
      </c>
      <c r="G337" s="19" t="n">
        <f aca="false">'CEMIUP0.9 Raw'!G1075</f>
        <v>3383.70568421053</v>
      </c>
      <c r="H337" s="18" t="str">
        <f aca="false">'CEMIUP0.9 Raw'!A1075</f>
        <v>BE (CEMI internal group)</v>
      </c>
    </row>
    <row r="338" customFormat="false" ht="15" hidden="false" customHeight="false" outlineLevel="0" collapsed="false">
      <c r="A338" s="18" t="n">
        <f aca="false">'CEMIUP0.9 Raw'!B1096</f>
        <v>4413099</v>
      </c>
      <c r="B338" s="18" t="str">
        <f aca="false">'CEMIUP0.9 Raw'!C1096</f>
        <v>45C M מגן ברך חום</v>
      </c>
      <c r="C338" s="18" t="str">
        <f aca="false">'CEMIUP0.9 Raw'!C1096</f>
        <v>45C M מגן ברך חום</v>
      </c>
      <c r="D338" s="19" t="n">
        <f aca="false">'CEMIUP0.9 Raw'!D1096</f>
        <v>287</v>
      </c>
      <c r="E338" s="19" t="n">
        <f aca="false">'CEMIUP0.9 Raw'!E1096</f>
        <v>7264.53</v>
      </c>
      <c r="F338" s="19" t="n">
        <f aca="false">'CEMIUP0.9 Raw'!F1096</f>
        <v>272.842105263158</v>
      </c>
      <c r="G338" s="19" t="n">
        <f aca="false">'CEMIUP0.9 Raw'!G1096</f>
        <v>6901.55494736842</v>
      </c>
      <c r="H338" s="18" t="str">
        <f aca="false">'CEMIUP0.9 Raw'!A1096</f>
        <v>BE (CEMI internal group)</v>
      </c>
    </row>
    <row r="339" customFormat="false" ht="15" hidden="false" customHeight="false" outlineLevel="0" collapsed="false">
      <c r="A339" s="18" t="n">
        <f aca="false">'CEMIUP0.9 Raw'!B1416</f>
        <v>4411016</v>
      </c>
      <c r="B339" s="18" t="str">
        <f aca="false">'CEMIUP0.9 Raw'!C1416</f>
        <v>307 XL כרית סיליקון לעקב</v>
      </c>
      <c r="C339" s="18" t="str">
        <f aca="false">'CEMIUP0.9 Raw'!C1416</f>
        <v>307 XL כרית סיליקון לעקב</v>
      </c>
      <c r="D339" s="19" t="n">
        <f aca="false">'CEMIUP0.9 Raw'!D1416</f>
        <v>278</v>
      </c>
      <c r="E339" s="19" t="n">
        <f aca="false">'CEMIUP0.9 Raw'!E1416</f>
        <v>20546.344</v>
      </c>
      <c r="F339" s="19" t="n">
        <f aca="false">'CEMIUP0.9 Raw'!F1416</f>
        <v>272.842105263158</v>
      </c>
      <c r="G339" s="19" t="n">
        <f aca="false">'CEMIUP0.9 Raw'!G1416</f>
        <v>20032.9124210526</v>
      </c>
      <c r="H339" s="18" t="str">
        <f aca="false">'CEMIUP0.9 Raw'!A1416</f>
        <v>Super-Pharm Israel (CEMI internal group)</v>
      </c>
    </row>
    <row r="340" customFormat="false" ht="15" hidden="false" customHeight="false" outlineLevel="0" collapsed="false">
      <c r="A340" s="18" t="n">
        <f aca="false">'SALES Raw'!G2374</f>
        <v>4403041</v>
      </c>
      <c r="B340" s="18" t="str">
        <f aca="false">'SALES Raw'!B2374</f>
        <v>397A-35-38</v>
      </c>
      <c r="C340" s="18" t="str">
        <f aca="false">'SALES Raw'!H2374</f>
        <v>397A-גרבי טיסה אנטי בקטרי35-38</v>
      </c>
      <c r="D340" s="19" t="n">
        <f aca="false">'SALES Raw'!C2374</f>
        <v>12</v>
      </c>
      <c r="E340" s="19" t="n">
        <f aca="false">'SALES Raw'!D2374</f>
        <v>1234.64</v>
      </c>
      <c r="F340" s="19" t="n">
        <f aca="false">'SALES Raw'!E2374*$H$4</f>
        <v>272.842105263158</v>
      </c>
      <c r="G340" s="19" t="n">
        <f aca="false">'SALES Raw'!F2374*$H$4</f>
        <v>28532.2105263158</v>
      </c>
      <c r="H340" s="18" t="str">
        <f aca="false">'SALES Raw'!A2374</f>
        <v>114 - IL online</v>
      </c>
    </row>
    <row r="341" customFormat="false" ht="15" hidden="false" customHeight="false" outlineLevel="0" collapsed="false">
      <c r="A341" s="18" t="n">
        <f aca="false">'CEMIUP0.9 Raw'!B1230</f>
        <v>4415163</v>
      </c>
      <c r="B341" s="18" t="str">
        <f aca="false">'CEMIUP0.9 Raw'!C1230</f>
        <v>238XL סד ליישור אצבע</v>
      </c>
      <c r="C341" s="18" t="str">
        <f aca="false">'CEMIUP0.9 Raw'!C1230</f>
        <v>238XL סד ליישור אצבע</v>
      </c>
      <c r="D341" s="19" t="n">
        <f aca="false">'CEMIUP0.9 Raw'!D1230</f>
        <v>249</v>
      </c>
      <c r="E341" s="19" t="n">
        <f aca="false">'CEMIUP0.9 Raw'!E1230</f>
        <v>3489.486</v>
      </c>
      <c r="F341" s="19" t="n">
        <f aca="false">'CEMIUP0.9 Raw'!F1230</f>
        <v>271.578947368421</v>
      </c>
      <c r="G341" s="19" t="n">
        <f aca="false">'CEMIUP0.9 Raw'!G1230</f>
        <v>3805.90736842105</v>
      </c>
      <c r="H341" s="18" t="str">
        <f aca="false">'CEMIUP0.9 Raw'!A1230</f>
        <v>BE (CEMI internal group)</v>
      </c>
    </row>
    <row r="342" customFormat="false" ht="15" hidden="false" customHeight="false" outlineLevel="0" collapsed="false">
      <c r="A342" s="18" t="n">
        <f aca="false">'CEMIUP0.9 Raw'!B1630</f>
        <v>4415074</v>
      </c>
      <c r="B342" s="18" t="str">
        <f aca="false">'CEMIUP0.9 Raw'!C1630</f>
        <v>T28AC S-M סד לאגודל</v>
      </c>
      <c r="C342" s="18" t="str">
        <f aca="false">'CEMIUP0.9 Raw'!C1630</f>
        <v>T28AC S-M סד לאגודל</v>
      </c>
      <c r="D342" s="19" t="n">
        <f aca="false">'CEMIUP0.9 Raw'!D1630</f>
        <v>297</v>
      </c>
      <c r="E342" s="19" t="n">
        <f aca="false">'CEMIUP0.9 Raw'!E1630</f>
        <v>15725.619</v>
      </c>
      <c r="F342" s="19" t="n">
        <f aca="false">'CEMIUP0.9 Raw'!F1630</f>
        <v>271.578947368421</v>
      </c>
      <c r="G342" s="19" t="n">
        <f aca="false">'CEMIUP0.9 Raw'!G1630</f>
        <v>14507.1625263158</v>
      </c>
      <c r="H342" s="18" t="str">
        <f aca="false">'CEMIUP0.9 Raw'!A1630</f>
        <v>Super-Pharm Israel (CEMI internal group)</v>
      </c>
    </row>
    <row r="343" customFormat="false" ht="15" hidden="false" customHeight="false" outlineLevel="0" collapsed="false">
      <c r="A343" s="18" t="n">
        <f aca="false">'SALES Raw'!G547</f>
        <v>4421000</v>
      </c>
      <c r="B343" s="18" t="str">
        <f aca="false">'SALES Raw'!B547</f>
        <v>3655 0</v>
      </c>
      <c r="C343" s="18" t="str">
        <f aca="false">'SALES Raw'!H547</f>
        <v>3655 שרוול מסיליקון לאצבע</v>
      </c>
      <c r="D343" s="19" t="n">
        <f aca="false">'SALES Raw'!C547</f>
        <v>193</v>
      </c>
      <c r="E343" s="19" t="n">
        <f aca="false">'SALES Raw'!D547</f>
        <v>3544.33</v>
      </c>
      <c r="F343" s="19" t="n">
        <f aca="false">'SALES Raw'!E547*$H$4</f>
        <v>270.315789473684</v>
      </c>
      <c r="G343" s="19" t="n">
        <f aca="false">'SALES Raw'!F547*$H$4</f>
        <v>5009.00210526316</v>
      </c>
      <c r="H343" s="18" t="str">
        <f aca="false">'SALES Raw'!A547</f>
        <v>102 - Orthopedic institutes</v>
      </c>
    </row>
    <row r="344" customFormat="false" ht="15" hidden="false" customHeight="false" outlineLevel="0" collapsed="false">
      <c r="A344" s="18" t="n">
        <f aca="false">'CEMIUP0.9 Raw'!B791</f>
        <v>4413095</v>
      </c>
      <c r="B344" s="18" t="str">
        <f aca="false">'CEMIUP0.9 Raw'!C791</f>
        <v>45 XL מגן ברך לבן</v>
      </c>
      <c r="C344" s="18" t="str">
        <f aca="false">'CEMIUP0.9 Raw'!C791</f>
        <v>45 XL מגן ברך לבן</v>
      </c>
      <c r="D344" s="19" t="n">
        <f aca="false">'CEMIUP0.9 Raw'!D791</f>
        <v>383</v>
      </c>
      <c r="E344" s="19" t="n">
        <f aca="false">'CEMIUP0.9 Raw'!E791</f>
        <v>6319.5</v>
      </c>
      <c r="F344" s="19" t="n">
        <f aca="false">'CEMIUP0.9 Raw'!F791</f>
        <v>270.315789473684</v>
      </c>
      <c r="G344" s="19" t="n">
        <f aca="false">'CEMIUP0.9 Raw'!G791</f>
        <v>4067.46442105263</v>
      </c>
      <c r="H344" s="18" t="str">
        <f aca="false">'CEMIUP0.9 Raw'!A791</f>
        <v>113 - Kupat Holim Meuhedet</v>
      </c>
    </row>
    <row r="345" customFormat="false" ht="15" hidden="false" customHeight="false" outlineLevel="0" collapsed="false">
      <c r="A345" s="18" t="n">
        <f aca="false">'CEMIUP0.9 Raw'!B1510</f>
        <v>4413139</v>
      </c>
      <c r="B345" s="18" t="str">
        <f aca="false">'CEMIUP0.9 Raw'!C1510</f>
        <v>95 L מגן מרפק רגיל לבן</v>
      </c>
      <c r="C345" s="18" t="str">
        <f aca="false">'CEMIUP0.9 Raw'!C1510</f>
        <v>95 L מגן מרפק רגיל לבן</v>
      </c>
      <c r="D345" s="19" t="n">
        <f aca="false">'CEMIUP0.9 Raw'!D1510</f>
        <v>410</v>
      </c>
      <c r="E345" s="19" t="n">
        <f aca="false">'CEMIUP0.9 Raw'!E1510</f>
        <v>9607.507</v>
      </c>
      <c r="F345" s="19" t="n">
        <f aca="false">'CEMIUP0.9 Raw'!F1510</f>
        <v>270.315789473684</v>
      </c>
      <c r="G345" s="19" t="n">
        <f aca="false">'CEMIUP0.9 Raw'!G1510</f>
        <v>6383.71705263158</v>
      </c>
      <c r="H345" s="18" t="str">
        <f aca="false">'CEMIUP0.9 Raw'!A1510</f>
        <v>Super-Pharm Israel (CEMI internal group)</v>
      </c>
    </row>
    <row r="346" customFormat="false" ht="15" hidden="false" customHeight="false" outlineLevel="0" collapsed="false">
      <c r="A346" s="18" t="n">
        <f aca="false">'CEMIUP0.9 Raw'!B586</f>
        <v>4422032</v>
      </c>
      <c r="B346" s="18" t="str">
        <f aca="false">'CEMIUP0.9 Raw'!C586</f>
        <v>807B-Bתחבושת נצמדת שחור 20 מ""מ</v>
      </c>
      <c r="C346" s="18" t="str">
        <f aca="false">'CEMIUP0.9 Raw'!C586</f>
        <v>807B-Bתחבושת נצמדת שחור 20 מ""מ</v>
      </c>
      <c r="D346" s="19" t="n">
        <f aca="false">'CEMIUP0.9 Raw'!D586</f>
        <v>482</v>
      </c>
      <c r="E346" s="19" t="n">
        <f aca="false">'CEMIUP0.9 Raw'!E586</f>
        <v>4061.421</v>
      </c>
      <c r="F346" s="19" t="n">
        <f aca="false">'CEMIUP0.9 Raw'!F586</f>
        <v>267.789473684211</v>
      </c>
      <c r="G346" s="19" t="n">
        <f aca="false">'CEMIUP0.9 Raw'!G586</f>
        <v>2714.94189473684</v>
      </c>
      <c r="H346" s="18" t="str">
        <f aca="false">'CEMIUP0.9 Raw'!A586</f>
        <v>107 - Pharmacies</v>
      </c>
    </row>
    <row r="347" customFormat="false" ht="15" hidden="false" customHeight="false" outlineLevel="0" collapsed="false">
      <c r="A347" s="18" t="n">
        <f aca="false">'CEMIUP0.9 Raw'!B795</f>
        <v>4413103</v>
      </c>
      <c r="B347" s="18" t="str">
        <f aca="false">'CEMIUP0.9 Raw'!C795</f>
        <v>45E Mמגן ברך ארוך לבן</v>
      </c>
      <c r="C347" s="18" t="str">
        <f aca="false">'CEMIUP0.9 Raw'!C795</f>
        <v>45E Mמגן ברך ארוך לבן</v>
      </c>
      <c r="D347" s="19" t="n">
        <f aca="false">'CEMIUP0.9 Raw'!D795</f>
        <v>329</v>
      </c>
      <c r="E347" s="19" t="n">
        <f aca="false">'CEMIUP0.9 Raw'!E795</f>
        <v>6744.5</v>
      </c>
      <c r="F347" s="19" t="n">
        <f aca="false">'CEMIUP0.9 Raw'!F795</f>
        <v>265.263157894737</v>
      </c>
      <c r="G347" s="19" t="n">
        <f aca="false">'CEMIUP0.9 Raw'!G795</f>
        <v>5005.52463157895</v>
      </c>
      <c r="H347" s="18" t="str">
        <f aca="false">'CEMIUP0.9 Raw'!A795</f>
        <v>113 - Kupat Holim Meuhedet</v>
      </c>
    </row>
    <row r="348" customFormat="false" ht="15" hidden="false" customHeight="false" outlineLevel="0" collapsed="false">
      <c r="A348" s="18" t="n">
        <f aca="false">'SALES Raw'!G3009</f>
        <v>4413329</v>
      </c>
      <c r="B348" s="18" t="str">
        <f aca="false">'SALES Raw'!B3009</f>
        <v>AC45X 0</v>
      </c>
      <c r="C348" s="18" t="str">
        <f aca="false">'SALES Raw'!H3009</f>
        <v>AC45X מגן ברך עם תמיכות</v>
      </c>
      <c r="D348" s="19" t="n">
        <f aca="false">'SALES Raw'!C3009</f>
        <v>320</v>
      </c>
      <c r="E348" s="19" t="n">
        <f aca="false">'SALES Raw'!D3009</f>
        <v>14546.37</v>
      </c>
      <c r="F348" s="19" t="n">
        <f aca="false">'SALES Raw'!E3009*$H$4</f>
        <v>265.263157894737</v>
      </c>
      <c r="G348" s="19" t="n">
        <f aca="false">'SALES Raw'!F3009*$H$4</f>
        <v>10727.9747368421</v>
      </c>
      <c r="H348" s="18" t="str">
        <f aca="false">'SALES Raw'!A3009</f>
        <v>202 - Super-Pharm POLAND</v>
      </c>
    </row>
    <row r="349" customFormat="false" ht="15" hidden="false" customHeight="false" outlineLevel="0" collapsed="false">
      <c r="A349" s="18" t="n">
        <f aca="false">'SALES Raw'!G3303</f>
        <v>4413136</v>
      </c>
      <c r="B349" s="18" t="str">
        <f aca="false">'SALES Raw'!B3303</f>
        <v>85 M</v>
      </c>
      <c r="C349" s="18" t="str">
        <f aca="false">'SALES Raw'!H3303</f>
        <v>85 M (מתלה ליד )כיס</v>
      </c>
      <c r="D349" s="19" t="n">
        <f aca="false">'SALES Raw'!C3303</f>
        <v>220</v>
      </c>
      <c r="E349" s="19" t="n">
        <f aca="false">'SALES Raw'!D3303</f>
        <v>4207.96</v>
      </c>
      <c r="F349" s="19" t="n">
        <f aca="false">'SALES Raw'!E3303*$H$4</f>
        <v>265.263157894737</v>
      </c>
      <c r="G349" s="19" t="n">
        <f aca="false">'SALES Raw'!F3303*$H$4</f>
        <v>4522.44631578947</v>
      </c>
      <c r="H349" s="18" t="str">
        <f aca="false">'SALES Raw'!A3303</f>
        <v>204 - Sanaflex Anatomic GREECE</v>
      </c>
    </row>
    <row r="350" customFormat="false" ht="15" hidden="false" customHeight="false" outlineLevel="0" collapsed="false">
      <c r="A350" s="18" t="n">
        <f aca="false">'SALES Raw'!G3313</f>
        <v>4408206</v>
      </c>
      <c r="B350" s="18" t="str">
        <f aca="false">'SALES Raw'!B3313</f>
        <v>AC11 0</v>
      </c>
      <c r="C350" s="18" t="str">
        <f aca="false">'SALES Raw'!H3313</f>
        <v>AC-11 חגורת בטן קלה</v>
      </c>
      <c r="D350" s="19" t="n">
        <f aca="false">'SALES Raw'!C3313</f>
        <v>390</v>
      </c>
      <c r="E350" s="19" t="n">
        <f aca="false">'SALES Raw'!D3313</f>
        <v>13356.8</v>
      </c>
      <c r="F350" s="19" t="n">
        <f aca="false">'SALES Raw'!E3313*$H$4</f>
        <v>265.263157894737</v>
      </c>
      <c r="G350" s="19" t="n">
        <f aca="false">'SALES Raw'!F3313*$H$4</f>
        <v>8239.01052631579</v>
      </c>
      <c r="H350" s="18" t="str">
        <f aca="false">'SALES Raw'!A3313</f>
        <v>204 - Sanaflex Anatomic GREECE</v>
      </c>
    </row>
    <row r="351" customFormat="false" ht="15" hidden="false" customHeight="false" outlineLevel="0" collapsed="false">
      <c r="A351" s="18" t="n">
        <f aca="false">'SALES Raw'!G3490</f>
        <v>4415163</v>
      </c>
      <c r="B351" s="18" t="str">
        <f aca="false">'SALES Raw'!B3490</f>
        <v>238 XL</v>
      </c>
      <c r="C351" s="18" t="str">
        <f aca="false">'SALES Raw'!H3490</f>
        <v>238XL סד ליישור אצבע</v>
      </c>
      <c r="D351" s="19" t="n">
        <f aca="false">'SALES Raw'!C3490</f>
        <v>200</v>
      </c>
      <c r="E351" s="19" t="n">
        <f aca="false">'SALES Raw'!D3490</f>
        <v>1703.5</v>
      </c>
      <c r="F351" s="19" t="n">
        <f aca="false">'SALES Raw'!E3490*$H$4</f>
        <v>265.263157894737</v>
      </c>
      <c r="G351" s="19" t="n">
        <f aca="false">'SALES Raw'!F3490*$H$4</f>
        <v>2184.48</v>
      </c>
      <c r="H351" s="18" t="str">
        <f aca="false">'SALES Raw'!A3490</f>
        <v>207 - Salus HUNGARY</v>
      </c>
    </row>
    <row r="352" customFormat="false" ht="15" hidden="false" customHeight="false" outlineLevel="0" collapsed="false">
      <c r="A352" s="18" t="n">
        <f aca="false">'SALES Raw'!G3624</f>
        <v>4413136</v>
      </c>
      <c r="B352" s="18" t="str">
        <f aca="false">'SALES Raw'!B3624</f>
        <v>85 M</v>
      </c>
      <c r="C352" s="18" t="str">
        <f aca="false">'SALES Raw'!H3624</f>
        <v>85 M (מתלה ליד )כיס</v>
      </c>
      <c r="D352" s="19" t="n">
        <f aca="false">'SALES Raw'!C3624</f>
        <v>240</v>
      </c>
      <c r="E352" s="19" t="n">
        <f aca="false">'SALES Raw'!D3624</f>
        <v>4471.49</v>
      </c>
      <c r="F352" s="19" t="n">
        <f aca="false">'SALES Raw'!E3624*$H$4</f>
        <v>265.263157894737</v>
      </c>
      <c r="G352" s="19" t="n">
        <f aca="false">'SALES Raw'!F3624*$H$4</f>
        <v>4725.49894736842</v>
      </c>
      <c r="H352" s="18" t="str">
        <f aca="false">'SALES Raw'!A3624</f>
        <v>207 - Salus HUNGARY</v>
      </c>
    </row>
    <row r="353" customFormat="false" ht="15" hidden="false" customHeight="false" outlineLevel="0" collapsed="false">
      <c r="A353" s="18" t="n">
        <f aca="false">'CEMIUP0.9 Raw'!B541</f>
        <v>4420003</v>
      </c>
      <c r="B353" s="18" t="str">
        <f aca="false">'CEMIUP0.9 Raw'!C541</f>
        <v>374 רפידת בולמת זעזועים -זוג</v>
      </c>
      <c r="C353" s="18" t="str">
        <f aca="false">'CEMIUP0.9 Raw'!C541</f>
        <v>374 רפידת בולמת זעזועים -זוג</v>
      </c>
      <c r="D353" s="19" t="n">
        <f aca="false">'CEMIUP0.9 Raw'!D541</f>
        <v>315</v>
      </c>
      <c r="E353" s="19" t="n">
        <f aca="false">'CEMIUP0.9 Raw'!E541</f>
        <v>3946.782</v>
      </c>
      <c r="F353" s="19" t="n">
        <f aca="false">'CEMIUP0.9 Raw'!F541</f>
        <v>264</v>
      </c>
      <c r="G353" s="19" t="n">
        <f aca="false">'CEMIUP0.9 Raw'!G541</f>
        <v>3414.21852631579</v>
      </c>
      <c r="H353" s="18" t="str">
        <f aca="false">'CEMIUP0.9 Raw'!A541</f>
        <v>107 - Pharmacies</v>
      </c>
    </row>
    <row r="354" customFormat="false" ht="15" hidden="false" customHeight="false" outlineLevel="0" collapsed="false">
      <c r="A354" s="18" t="n">
        <f aca="false">'CEMIUP0.9 Raw'!B772</f>
        <v>4413043</v>
      </c>
      <c r="B354" s="18" t="str">
        <f aca="false">'CEMIUP0.9 Raw'!C772</f>
        <v>34  L מגן קרסול עקב סגור</v>
      </c>
      <c r="C354" s="18" t="str">
        <f aca="false">'CEMIUP0.9 Raw'!C772</f>
        <v>34  L מגן קרסול עקב סגור</v>
      </c>
      <c r="D354" s="19" t="n">
        <f aca="false">'CEMIUP0.9 Raw'!D772</f>
        <v>320</v>
      </c>
      <c r="E354" s="19" t="n">
        <f aca="false">'CEMIUP0.9 Raw'!E772</f>
        <v>9257.6</v>
      </c>
      <c r="F354" s="19" t="n">
        <f aca="false">'CEMIUP0.9 Raw'!F772</f>
        <v>262.736842105263</v>
      </c>
      <c r="G354" s="19" t="n">
        <f aca="false">'CEMIUP0.9 Raw'!G772</f>
        <v>7127.66021052632</v>
      </c>
      <c r="H354" s="18" t="str">
        <f aca="false">'CEMIUP0.9 Raw'!A772</f>
        <v>113 - Kupat Holim Meuhedet</v>
      </c>
    </row>
    <row r="355" customFormat="false" ht="15" hidden="false" customHeight="false" outlineLevel="0" collapsed="false">
      <c r="A355" s="18" t="n">
        <f aca="false">'CEMIUP0.9 Raw'!B1119</f>
        <v>4413135</v>
      </c>
      <c r="B355" s="18" t="str">
        <f aca="false">'CEMIUP0.9 Raw'!C1119</f>
        <v>85 L (מתלה ליד )כיס</v>
      </c>
      <c r="C355" s="18" t="str">
        <f aca="false">'CEMIUP0.9 Raw'!C1119</f>
        <v>85 L (מתלה ליד )כיס</v>
      </c>
      <c r="D355" s="19" t="n">
        <f aca="false">'CEMIUP0.9 Raw'!D1119</f>
        <v>319</v>
      </c>
      <c r="E355" s="19" t="n">
        <f aca="false">'CEMIUP0.9 Raw'!E1119</f>
        <v>15273.349</v>
      </c>
      <c r="F355" s="19" t="n">
        <f aca="false">'CEMIUP0.9 Raw'!F1119</f>
        <v>261.473684210526</v>
      </c>
      <c r="G355" s="19" t="n">
        <f aca="false">'CEMIUP0.9 Raw'!G1119</f>
        <v>12495.0088421053</v>
      </c>
      <c r="H355" s="18" t="str">
        <f aca="false">'CEMIUP0.9 Raw'!A1119</f>
        <v>BE (CEMI internal group)</v>
      </c>
    </row>
    <row r="356" customFormat="false" ht="15" hidden="false" customHeight="false" outlineLevel="0" collapsed="false">
      <c r="A356" s="18" t="n">
        <f aca="false">'CEMIUP0.9 Raw'!B1508</f>
        <v>4413137</v>
      </c>
      <c r="B356" s="18" t="str">
        <f aca="false">'CEMIUP0.9 Raw'!C1508</f>
        <v>85 S (מתלה ליד )כיס</v>
      </c>
      <c r="C356" s="18" t="str">
        <f aca="false">'CEMIUP0.9 Raw'!C1508</f>
        <v>85 S (מתלה ליד )כיס</v>
      </c>
      <c r="D356" s="19" t="n">
        <f aca="false">'CEMIUP0.9 Raw'!D1508</f>
        <v>329</v>
      </c>
      <c r="E356" s="19" t="n">
        <f aca="false">'CEMIUP0.9 Raw'!E1508</f>
        <v>14571.466</v>
      </c>
      <c r="F356" s="19" t="n">
        <f aca="false">'CEMIUP0.9 Raw'!F1508</f>
        <v>261.473684210526</v>
      </c>
      <c r="G356" s="19" t="n">
        <f aca="false">'CEMIUP0.9 Raw'!G1508</f>
        <v>11581.8669473684</v>
      </c>
      <c r="H356" s="18" t="str">
        <f aca="false">'CEMIUP0.9 Raw'!A1508</f>
        <v>Super-Pharm Israel (CEMI internal group)</v>
      </c>
    </row>
    <row r="357" customFormat="false" ht="15" hidden="false" customHeight="false" outlineLevel="0" collapsed="false">
      <c r="A357" s="18" t="n">
        <f aca="false">'CEMIUP0.9 Raw'!B1069</f>
        <v>4413053</v>
      </c>
      <c r="B357" s="18" t="str">
        <f aca="false">'CEMIUP0.9 Raw'!C1069</f>
        <v>35C L מגן קרסול חום</v>
      </c>
      <c r="C357" s="18" t="str">
        <f aca="false">'CEMIUP0.9 Raw'!C1069</f>
        <v>35C L מגן קרסול חום</v>
      </c>
      <c r="D357" s="19" t="n">
        <f aca="false">'CEMIUP0.9 Raw'!D1069</f>
        <v>260</v>
      </c>
      <c r="E357" s="19" t="n">
        <f aca="false">'CEMIUP0.9 Raw'!E1069</f>
        <v>6573.385</v>
      </c>
      <c r="F357" s="19" t="n">
        <f aca="false">'CEMIUP0.9 Raw'!F1069</f>
        <v>260.21052631579</v>
      </c>
      <c r="G357" s="19" t="n">
        <f aca="false">'CEMIUP0.9 Raw'!G1069</f>
        <v>6589.24294736842</v>
      </c>
      <c r="H357" s="18" t="str">
        <f aca="false">'CEMIUP0.9 Raw'!A1069</f>
        <v>BE (CEMI internal group)</v>
      </c>
    </row>
    <row r="358" customFormat="false" ht="15" hidden="false" customHeight="false" outlineLevel="0" collapsed="false">
      <c r="A358" s="18" t="n">
        <f aca="false">'SALES Raw'!G3793</f>
        <v>4415160</v>
      </c>
      <c r="B358" s="18" t="str">
        <f aca="false">'SALES Raw'!B3793</f>
        <v>238 S</v>
      </c>
      <c r="C358" s="18" t="str">
        <f aca="false">'SALES Raw'!H3793</f>
        <v>238S סד ליישור אצבע</v>
      </c>
      <c r="D358" s="19" t="n">
        <f aca="false">'SALES Raw'!C3793</f>
        <v>200</v>
      </c>
      <c r="E358" s="19" t="n">
        <f aca="false">'SALES Raw'!D3793</f>
        <v>1676.51</v>
      </c>
      <c r="F358" s="19" t="n">
        <f aca="false">'SALES Raw'!E3793*$H$4</f>
        <v>258.947368421053</v>
      </c>
      <c r="G358" s="19" t="n">
        <f aca="false">'SALES Raw'!F3793*$H$4</f>
        <v>2172.97263157895</v>
      </c>
      <c r="H358" s="18" t="str">
        <f aca="false">'SALES Raw'!A3793</f>
        <v>209 - Ortoprofil Prod ROMANIA</v>
      </c>
    </row>
    <row r="359" customFormat="false" ht="15" hidden="false" customHeight="false" outlineLevel="0" collapsed="false">
      <c r="A359" s="18" t="n">
        <f aca="false">'CEMIUP0.9 Raw'!B478</f>
        <v>4415026</v>
      </c>
      <c r="B359" s="18" t="str">
        <f aca="false">'CEMIUP0.9 Raw'!C478</f>
        <v>AC-27L סד לש.כף יד שמאל</v>
      </c>
      <c r="C359" s="18" t="str">
        <f aca="false">'CEMIUP0.9 Raw'!C478</f>
        <v>AC-27L סד לש.כף יד שמאל</v>
      </c>
      <c r="D359" s="19" t="n">
        <f aca="false">'CEMIUP0.9 Raw'!D478</f>
        <v>371</v>
      </c>
      <c r="E359" s="19" t="n">
        <f aca="false">'CEMIUP0.9 Raw'!E478</f>
        <v>13950.596</v>
      </c>
      <c r="F359" s="19" t="n">
        <f aca="false">'CEMIUP0.9 Raw'!F478</f>
        <v>257.684210526316</v>
      </c>
      <c r="G359" s="19" t="n">
        <f aca="false">'CEMIUP0.9 Raw'!G478</f>
        <v>9566.19789473684</v>
      </c>
      <c r="H359" s="18" t="str">
        <f aca="false">'CEMIUP0.9 Raw'!A478</f>
        <v>107 - Pharmacies</v>
      </c>
    </row>
    <row r="360" customFormat="false" ht="15" hidden="false" customHeight="false" outlineLevel="0" collapsed="false">
      <c r="A360" s="18" t="n">
        <f aca="false">'CEMIUP0.9 Raw'!B584</f>
        <v>4422026</v>
      </c>
      <c r="B360" s="18" t="str">
        <f aca="false">'CEMIUP0.9 Raw'!C584</f>
        <v>806CB-PINK       תחבושת א.נצמ</v>
      </c>
      <c r="C360" s="18" t="str">
        <f aca="false">'CEMIUP0.9 Raw'!C584</f>
        <v>806CB-PINK       תחבושת א.נצמ</v>
      </c>
      <c r="D360" s="19" t="n">
        <f aca="false">'CEMIUP0.9 Raw'!D584</f>
        <v>493</v>
      </c>
      <c r="E360" s="19" t="n">
        <f aca="false">'CEMIUP0.9 Raw'!E584</f>
        <v>4486.104</v>
      </c>
      <c r="F360" s="19" t="n">
        <f aca="false">'CEMIUP0.9 Raw'!F584</f>
        <v>257.684210526316</v>
      </c>
      <c r="G360" s="19" t="n">
        <f aca="false">'CEMIUP0.9 Raw'!G584</f>
        <v>2643.90947368421</v>
      </c>
      <c r="H360" s="18" t="str">
        <f aca="false">'CEMIUP0.9 Raw'!A584</f>
        <v>107 - Pharmacies</v>
      </c>
    </row>
    <row r="361" customFormat="false" ht="15" hidden="false" customHeight="false" outlineLevel="0" collapsed="false">
      <c r="A361" s="18" t="n">
        <f aca="false">'CEMIUP0.9 Raw'!B1095</f>
        <v>4413098</v>
      </c>
      <c r="B361" s="18" t="str">
        <f aca="false">'CEMIUP0.9 Raw'!C1095</f>
        <v>45C L מגן ברך חום</v>
      </c>
      <c r="C361" s="18" t="str">
        <f aca="false">'CEMIUP0.9 Raw'!C1095</f>
        <v>45C L מגן ברך חום</v>
      </c>
      <c r="D361" s="19" t="n">
        <f aca="false">'CEMIUP0.9 Raw'!D1095</f>
        <v>320</v>
      </c>
      <c r="E361" s="19" t="n">
        <f aca="false">'CEMIUP0.9 Raw'!E1095</f>
        <v>8107.008</v>
      </c>
      <c r="F361" s="19" t="n">
        <f aca="false">'CEMIUP0.9 Raw'!F1095</f>
        <v>257.684210526316</v>
      </c>
      <c r="G361" s="19" t="n">
        <f aca="false">'CEMIUP0.9 Raw'!G1095</f>
        <v>6518.55031578947</v>
      </c>
      <c r="H361" s="18" t="str">
        <f aca="false">'CEMIUP0.9 Raw'!A1095</f>
        <v>BE (CEMI internal group)</v>
      </c>
    </row>
    <row r="362" customFormat="false" ht="15" hidden="false" customHeight="false" outlineLevel="0" collapsed="false">
      <c r="A362" s="18" t="n">
        <f aca="false">'CEMIUP0.9 Raw'!B703</f>
        <v>4408052</v>
      </c>
      <c r="B362" s="18" t="str">
        <f aca="false">'CEMIUP0.9 Raw'!C703</f>
        <v>21 L  חבק יד ארוך</v>
      </c>
      <c r="C362" s="18" t="str">
        <f aca="false">'CEMIUP0.9 Raw'!C703</f>
        <v>21 L  חבק יד ארוך</v>
      </c>
      <c r="D362" s="19" t="n">
        <f aca="false">'CEMIUP0.9 Raw'!D703</f>
        <v>315</v>
      </c>
      <c r="E362" s="19" t="n">
        <f aca="false">'CEMIUP0.9 Raw'!E703</f>
        <v>7695.45</v>
      </c>
      <c r="F362" s="19" t="n">
        <f aca="false">'CEMIUP0.9 Raw'!F703</f>
        <v>256.421052631579</v>
      </c>
      <c r="G362" s="19" t="n">
        <f aca="false">'CEMIUP0.9 Raw'!G703</f>
        <v>5777.59073684211</v>
      </c>
      <c r="H362" s="18" t="str">
        <f aca="false">'CEMIUP0.9 Raw'!A703</f>
        <v>113 - Kupat Holim Meuhedet</v>
      </c>
    </row>
    <row r="363" customFormat="false" ht="15" hidden="false" customHeight="false" outlineLevel="0" collapsed="false">
      <c r="A363" s="18" t="str">
        <f aca="false">'SALES Raw'!G4455</f>
        <v/>
      </c>
      <c r="B363" s="18" t="str">
        <f aca="false">'SALES Raw'!B4455</f>
        <v>EC-59RB L</v>
      </c>
      <c r="C363" s="18" t="str">
        <f aca="false">'SALES Raw'!H4455</f>
        <v>EC-59RB L</v>
      </c>
      <c r="D363" s="19" t="n">
        <f aca="false">'SALES Raw'!C4455</f>
        <v>268</v>
      </c>
      <c r="E363" s="19" t="n">
        <f aca="false">'SALES Raw'!D4455</f>
        <v>47354.81</v>
      </c>
      <c r="F363" s="19" t="n">
        <f aca="false">'SALES Raw'!E4455*$H$4</f>
        <v>256.421052631579</v>
      </c>
      <c r="G363" s="19" t="n">
        <f aca="false">'SALES Raw'!F4455*$H$4</f>
        <v>41671.0989473684</v>
      </c>
      <c r="H363" s="18" t="str">
        <f aca="false">'SALES Raw'!A4455</f>
        <v>301 - Amazon</v>
      </c>
    </row>
    <row r="364" customFormat="false" ht="15" hidden="false" customHeight="false" outlineLevel="0" collapsed="false">
      <c r="A364" s="18" t="n">
        <f aca="false">'SALES Raw'!G2925</f>
        <v>4413492</v>
      </c>
      <c r="B364" s="18" t="str">
        <f aca="false">'SALES Raw'!B2925</f>
        <v>35B M</v>
      </c>
      <c r="C364" s="18" t="str">
        <f aca="false">'SALES Raw'!H2925</f>
        <v>35B M מגן קרסול שחור</v>
      </c>
      <c r="D364" s="19" t="n">
        <f aca="false">'SALES Raw'!C2925</f>
        <v>410</v>
      </c>
      <c r="E364" s="19" t="n">
        <f aca="false">'SALES Raw'!D2925</f>
        <v>5869.73</v>
      </c>
      <c r="F364" s="19" t="n">
        <f aca="false">'SALES Raw'!E2925*$H$4</f>
        <v>252.631578947368</v>
      </c>
      <c r="G364" s="19" t="n">
        <f aca="false">'SALES Raw'!F2925*$H$4</f>
        <v>3261.05684210526</v>
      </c>
      <c r="H364" s="18" t="str">
        <f aca="false">'SALES Raw'!A2925</f>
        <v>202 - Super-Pharm POLAND</v>
      </c>
    </row>
    <row r="365" customFormat="false" ht="15" hidden="false" customHeight="false" outlineLevel="0" collapsed="false">
      <c r="A365" s="18" t="n">
        <f aca="false">'SALES Raw'!G3259</f>
        <v>4413497</v>
      </c>
      <c r="B365" s="18" t="str">
        <f aca="false">'SALES Raw'!B3259</f>
        <v>45B M</v>
      </c>
      <c r="C365" s="18" t="str">
        <f aca="false">'SALES Raw'!H3259</f>
        <v>45B M מגן ברך שחור</v>
      </c>
      <c r="D365" s="19" t="n">
        <f aca="false">'SALES Raw'!C3259</f>
        <v>290</v>
      </c>
      <c r="E365" s="19" t="n">
        <f aca="false">'SALES Raw'!D3259</f>
        <v>3236.39</v>
      </c>
      <c r="F365" s="19" t="n">
        <f aca="false">'SALES Raw'!E3259*$H$4</f>
        <v>252.631578947368</v>
      </c>
      <c r="G365" s="19" t="n">
        <f aca="false">'SALES Raw'!F3259*$H$4</f>
        <v>2511.95368421053</v>
      </c>
      <c r="H365" s="18" t="str">
        <f aca="false">'SALES Raw'!A3259</f>
        <v>204 - Sanaflex Anatomic GREECE</v>
      </c>
    </row>
    <row r="366" customFormat="false" ht="15" hidden="false" customHeight="false" outlineLevel="0" collapsed="false">
      <c r="A366" s="18" t="n">
        <f aca="false">'CEMIUP0.9 Raw'!B1243</f>
        <v>4420000</v>
      </c>
      <c r="B366" s="18" t="str">
        <f aca="false">'CEMIUP0.9 Raw'!C1243</f>
        <v>370  רפידת נוחות-זוג</v>
      </c>
      <c r="C366" s="18" t="str">
        <f aca="false">'CEMIUP0.9 Raw'!C1243</f>
        <v>370  רפידת נוחות-זוג</v>
      </c>
      <c r="D366" s="19" t="n">
        <f aca="false">'CEMIUP0.9 Raw'!D1243</f>
        <v>330</v>
      </c>
      <c r="E366" s="19" t="n">
        <f aca="false">'CEMIUP0.9 Raw'!E1243</f>
        <v>3207.113</v>
      </c>
      <c r="F366" s="19" t="n">
        <f aca="false">'CEMIUP0.9 Raw'!F1243</f>
        <v>252.631578947368</v>
      </c>
      <c r="G366" s="19" t="n">
        <f aca="false">'CEMIUP0.9 Raw'!G1243</f>
        <v>2455.39073684211</v>
      </c>
      <c r="H366" s="18" t="str">
        <f aca="false">'CEMIUP0.9 Raw'!A1243</f>
        <v>BE (CEMI internal group)</v>
      </c>
    </row>
    <row r="367" customFormat="false" ht="15" hidden="false" customHeight="false" outlineLevel="0" collapsed="false">
      <c r="A367" s="18" t="n">
        <f aca="false">'CEMIUP0.9 Raw'!B199</f>
        <v>4411000</v>
      </c>
      <c r="B367" s="18" t="str">
        <f aca="false">'CEMIUP0.9 Raw'!C199</f>
        <v>כרית מטטרזלי סיליקון362</v>
      </c>
      <c r="C367" s="18" t="str">
        <f aca="false">'CEMIUP0.9 Raw'!C199</f>
        <v>כרית מטטרזלי סיליקון362</v>
      </c>
      <c r="D367" s="19" t="n">
        <f aca="false">'CEMIUP0.9 Raw'!D199</f>
        <v>354</v>
      </c>
      <c r="E367" s="19" t="n">
        <f aca="false">'CEMIUP0.9 Raw'!E199</f>
        <v>9229.596</v>
      </c>
      <c r="F367" s="19" t="n">
        <f aca="false">'CEMIUP0.9 Raw'!F199</f>
        <v>251.368421052632</v>
      </c>
      <c r="G367" s="19" t="n">
        <f aca="false">'CEMIUP0.9 Raw'!G199</f>
        <v>6713.0412631579</v>
      </c>
      <c r="H367" s="18" t="str">
        <f aca="false">'CEMIUP0.9 Raw'!A199</f>
        <v>107 - Pharmacies</v>
      </c>
    </row>
    <row r="368" customFormat="false" ht="15" hidden="false" customHeight="false" outlineLevel="0" collapsed="false">
      <c r="A368" s="18" t="n">
        <f aca="false">'CEMIUP0.9 Raw'!B670</f>
        <v>4401002</v>
      </c>
      <c r="B368" s="18" t="str">
        <f aca="false">'CEMIUP0.9 Raw'!C670</f>
        <v>PD 344-אבן טבעית להסרת עור קשה</v>
      </c>
      <c r="C368" s="18" t="str">
        <f aca="false">'CEMIUP0.9 Raw'!C670</f>
        <v>PD 344-אבן טבעית להסרת עור קשה</v>
      </c>
      <c r="D368" s="19" t="n">
        <f aca="false">'CEMIUP0.9 Raw'!D670</f>
        <v>335</v>
      </c>
      <c r="E368" s="19" t="n">
        <f aca="false">'CEMIUP0.9 Raw'!E670</f>
        <v>1946.35</v>
      </c>
      <c r="F368" s="19" t="n">
        <f aca="false">'CEMIUP0.9 Raw'!F670</f>
        <v>248.842105263158</v>
      </c>
      <c r="G368" s="19" t="n">
        <f aca="false">'CEMIUP0.9 Raw'!G670</f>
        <v>1319.472</v>
      </c>
      <c r="H368" s="18" t="str">
        <f aca="false">'CEMIUP0.9 Raw'!A670</f>
        <v>113 - Kupat Holim Meuhedet</v>
      </c>
    </row>
    <row r="369" customFormat="false" ht="15" hidden="false" customHeight="false" outlineLevel="0" collapsed="false">
      <c r="A369" s="18" t="n">
        <f aca="false">'CEMIUP0.9 Raw'!B1617</f>
        <v>4415003</v>
      </c>
      <c r="B369" s="18" t="str">
        <f aca="false">'CEMIUP0.9 Raw'!C1617</f>
        <v>26 XL סד ליד דו צדדי לאחר שבר</v>
      </c>
      <c r="C369" s="18" t="str">
        <f aca="false">'CEMIUP0.9 Raw'!C1617</f>
        <v>26 XL סד ליד דו צדדי לאחר שבר</v>
      </c>
      <c r="D369" s="19" t="n">
        <f aca="false">'CEMIUP0.9 Raw'!D1617</f>
        <v>514</v>
      </c>
      <c r="E369" s="19" t="n">
        <f aca="false">'CEMIUP0.9 Raw'!E1617</f>
        <v>38259.494</v>
      </c>
      <c r="F369" s="19" t="n">
        <f aca="false">'CEMIUP0.9 Raw'!F1617</f>
        <v>248.842105263158</v>
      </c>
      <c r="G369" s="19" t="n">
        <f aca="false">'CEMIUP0.9 Raw'!G1617</f>
        <v>18770.2155789474</v>
      </c>
      <c r="H369" s="18" t="str">
        <f aca="false">'CEMIUP0.9 Raw'!A1617</f>
        <v>Super-Pharm Israel (CEMI internal group)</v>
      </c>
    </row>
    <row r="370" customFormat="false" ht="15" hidden="false" customHeight="false" outlineLevel="0" collapsed="false">
      <c r="A370" s="18" t="n">
        <f aca="false">'SALES Raw'!G2686</f>
        <v>4415177</v>
      </c>
      <c r="B370" s="18" t="str">
        <f aca="false">'SALES Raw'!B2686</f>
        <v>ST28 0</v>
      </c>
      <c r="C370" s="18" t="str">
        <f aca="false">'SALES Raw'!H2686</f>
        <v>ST28 סד אגודלי עם מוט תמיכה</v>
      </c>
      <c r="D370" s="19" t="n">
        <f aca="false">'SALES Raw'!C2686</f>
        <v>139</v>
      </c>
      <c r="E370" s="19" t="n">
        <f aca="false">'SALES Raw'!D2686</f>
        <v>9859.42</v>
      </c>
      <c r="F370" s="19" t="n">
        <f aca="false">'SALES Raw'!E2686*$H$4</f>
        <v>246.315789473684</v>
      </c>
      <c r="G370" s="19" t="n">
        <f aca="false">'SALES Raw'!F2686*$H$4</f>
        <v>18174.7452631579</v>
      </c>
      <c r="H370" s="18" t="str">
        <f aca="false">'SALES Raw'!A2686</f>
        <v>114 - IL online</v>
      </c>
    </row>
    <row r="371" customFormat="false" ht="15" hidden="false" customHeight="false" outlineLevel="0" collapsed="false">
      <c r="A371" s="18" t="n">
        <f aca="false">'SALES Raw'!G4412</f>
        <v>4415029</v>
      </c>
      <c r="B371" s="18" t="str">
        <f aca="false">'SALES Raw'!B4412</f>
        <v>237 0</v>
      </c>
      <c r="C371" s="18" t="str">
        <f aca="false">'SALES Raw'!H4412</f>
        <v>סד קיבוע לאצבע הדק</v>
      </c>
      <c r="D371" s="19" t="n">
        <f aca="false">'SALES Raw'!C4412</f>
        <v>12</v>
      </c>
      <c r="E371" s="19" t="n">
        <f aca="false">'SALES Raw'!D4412</f>
        <v>705.87</v>
      </c>
      <c r="F371" s="19" t="n">
        <f aca="false">'SALES Raw'!E4412*$H$4</f>
        <v>246.315789473684</v>
      </c>
      <c r="G371" s="19" t="n">
        <f aca="false">'SALES Raw'!F4412*$H$4</f>
        <v>11803.2631578947</v>
      </c>
      <c r="H371" s="18" t="str">
        <f aca="false">'SALES Raw'!A4412</f>
        <v>301 - Amazon</v>
      </c>
    </row>
    <row r="372" customFormat="false" ht="15" hidden="false" customHeight="false" outlineLevel="0" collapsed="false">
      <c r="A372" s="18" t="n">
        <f aca="false">'CEMIUP0.9 Raw'!B249</f>
        <v>4413063</v>
      </c>
      <c r="B372" s="18" t="str">
        <f aca="false">'CEMIUP0.9 Raw'!C249</f>
        <v>366S-'מדבק.לשחרור לחץ מיבלת2יח</v>
      </c>
      <c r="C372" s="18" t="str">
        <f aca="false">'CEMIUP0.9 Raw'!C249</f>
        <v>366S-'מדבק.לשחרור לחץ מיבלת2יח</v>
      </c>
      <c r="D372" s="19" t="n">
        <f aca="false">'CEMIUP0.9 Raw'!D249</f>
        <v>260</v>
      </c>
      <c r="E372" s="19" t="n">
        <f aca="false">'CEMIUP0.9 Raw'!E249</f>
        <v>3710.889</v>
      </c>
      <c r="F372" s="19" t="n">
        <f aca="false">'CEMIUP0.9 Raw'!F249</f>
        <v>241.263157894737</v>
      </c>
      <c r="G372" s="19" t="n">
        <f aca="false">'CEMIUP0.9 Raw'!G249</f>
        <v>3370.96042105263</v>
      </c>
      <c r="H372" s="18" t="str">
        <f aca="false">'CEMIUP0.9 Raw'!A249</f>
        <v>107 - Pharmacies</v>
      </c>
    </row>
    <row r="373" customFormat="false" ht="15" hidden="false" customHeight="false" outlineLevel="0" collapsed="false">
      <c r="A373" s="18" t="n">
        <f aca="false">'CEMIUP0.9 Raw'!B391</f>
        <v>4413370</v>
      </c>
      <c r="B373" s="18" t="str">
        <f aca="false">'CEMIUP0.9 Raw'!C391</f>
        <v>3674 0 מ.בוניון+מפריד אצבע</v>
      </c>
      <c r="C373" s="18" t="str">
        <f aca="false">'CEMIUP0.9 Raw'!C391</f>
        <v>3674 0 מ.בוניון+מפריד אצבע</v>
      </c>
      <c r="D373" s="19" t="n">
        <f aca="false">'CEMIUP0.9 Raw'!D391</f>
        <v>351</v>
      </c>
      <c r="E373" s="19" t="n">
        <f aca="false">'CEMIUP0.9 Raw'!E391</f>
        <v>12202.51</v>
      </c>
      <c r="F373" s="19" t="n">
        <f aca="false">'CEMIUP0.9 Raw'!F391</f>
        <v>241.263157894737</v>
      </c>
      <c r="G373" s="19" t="n">
        <f aca="false">'CEMIUP0.9 Raw'!G391</f>
        <v>8532.35115789474</v>
      </c>
      <c r="H373" s="18" t="str">
        <f aca="false">'CEMIUP0.9 Raw'!A391</f>
        <v>107 - Pharmacies</v>
      </c>
    </row>
    <row r="374" customFormat="false" ht="15" hidden="false" customHeight="false" outlineLevel="0" collapsed="false">
      <c r="A374" s="18" t="n">
        <f aca="false">'CEMIUP0.9 Raw'!B796</f>
        <v>4413104</v>
      </c>
      <c r="B374" s="18" t="str">
        <f aca="false">'CEMIUP0.9 Raw'!C796</f>
        <v>45E XLמגן ברך ארוך לבן</v>
      </c>
      <c r="C374" s="18" t="str">
        <f aca="false">'CEMIUP0.9 Raw'!C796</f>
        <v>45E XLמגן ברך ארוך לבן</v>
      </c>
      <c r="D374" s="19" t="n">
        <f aca="false">'CEMIUP0.9 Raw'!D796</f>
        <v>290</v>
      </c>
      <c r="E374" s="19" t="n">
        <f aca="false">'CEMIUP0.9 Raw'!E796</f>
        <v>5945</v>
      </c>
      <c r="F374" s="19" t="n">
        <f aca="false">'CEMIUP0.9 Raw'!F796</f>
        <v>241.263157894737</v>
      </c>
      <c r="G374" s="19" t="n">
        <f aca="false">'CEMIUP0.9 Raw'!G796</f>
        <v>4564.79621052632</v>
      </c>
      <c r="H374" s="18" t="str">
        <f aca="false">'CEMIUP0.9 Raw'!A796</f>
        <v>113 - Kupat Holim Meuhedet</v>
      </c>
    </row>
    <row r="375" customFormat="false" ht="15" hidden="false" customHeight="false" outlineLevel="0" collapsed="false">
      <c r="A375" s="18" t="n">
        <f aca="false">'CEMIUP0.9 Raw'!B840</f>
        <v>4413531</v>
      </c>
      <c r="B375" s="18" t="str">
        <f aca="false">'CEMIUP0.9 Raw'!C840</f>
        <v>ST91 מגן מרפק לטניס</v>
      </c>
      <c r="C375" s="18" t="str">
        <f aca="false">'CEMIUP0.9 Raw'!C840</f>
        <v>ST91 מגן מרפק לטניס</v>
      </c>
      <c r="D375" s="19" t="n">
        <f aca="false">'CEMIUP0.9 Raw'!D840</f>
        <v>210</v>
      </c>
      <c r="E375" s="19" t="n">
        <f aca="false">'CEMIUP0.9 Raw'!E840</f>
        <v>4368</v>
      </c>
      <c r="F375" s="19" t="n">
        <f aca="false">'CEMIUP0.9 Raw'!F840</f>
        <v>241.263157894737</v>
      </c>
      <c r="G375" s="19" t="n">
        <f aca="false">'CEMIUP0.9 Raw'!G840</f>
        <v>4523.21178947368</v>
      </c>
      <c r="H375" s="18" t="str">
        <f aca="false">'CEMIUP0.9 Raw'!A840</f>
        <v>113 - Kupat Holim Meuhedet</v>
      </c>
    </row>
    <row r="376" customFormat="false" ht="15" hidden="false" customHeight="false" outlineLevel="0" collapsed="false">
      <c r="A376" s="18" t="n">
        <f aca="false">'SALES Raw'!G2866</f>
        <v>4403042</v>
      </c>
      <c r="B376" s="18" t="str">
        <f aca="false">'SALES Raw'!B2866</f>
        <v>397A-39-42</v>
      </c>
      <c r="C376" s="18" t="str">
        <f aca="false">'SALES Raw'!H2866</f>
        <v>397A-גרבי טיסה אנטי בקטרי39-42</v>
      </c>
      <c r="D376" s="19" t="n">
        <f aca="false">'SALES Raw'!C2866</f>
        <v>1</v>
      </c>
      <c r="E376" s="19" t="n">
        <f aca="false">'SALES Raw'!D2866</f>
        <v>0.04</v>
      </c>
      <c r="F376" s="19" t="n">
        <f aca="false">'SALES Raw'!E2866*$H$4</f>
        <v>240</v>
      </c>
      <c r="G376" s="19" t="n">
        <f aca="false">'SALES Raw'!F2866*$H$4</f>
        <v>6883.27578947368</v>
      </c>
      <c r="H376" s="18" t="str">
        <f aca="false">'SALES Raw'!A2866</f>
        <v>201- Seven Gear FINLAND oy</v>
      </c>
    </row>
    <row r="377" customFormat="false" ht="15" hidden="false" customHeight="false" outlineLevel="0" collapsed="false">
      <c r="A377" s="18" t="n">
        <f aca="false">'SALES Raw'!G2988</f>
        <v>4413136</v>
      </c>
      <c r="B377" s="18" t="str">
        <f aca="false">'SALES Raw'!B2988</f>
        <v>85 M</v>
      </c>
      <c r="C377" s="18" t="str">
        <f aca="false">'SALES Raw'!H2988</f>
        <v>85 M (מתלה ליד )כיס</v>
      </c>
      <c r="D377" s="19" t="n">
        <f aca="false">'SALES Raw'!C2988</f>
        <v>320</v>
      </c>
      <c r="E377" s="19" t="n">
        <f aca="false">'SALES Raw'!D2988</f>
        <v>9921.33</v>
      </c>
      <c r="F377" s="19" t="n">
        <f aca="false">'SALES Raw'!E2988*$H$4</f>
        <v>240</v>
      </c>
      <c r="G377" s="19" t="n">
        <f aca="false">'SALES Raw'!F2988*$H$4</f>
        <v>6629.19157894737</v>
      </c>
      <c r="H377" s="18" t="str">
        <f aca="false">'SALES Raw'!A2988</f>
        <v>202 - Super-Pharm POLAND</v>
      </c>
    </row>
    <row r="378" customFormat="false" ht="15" hidden="false" customHeight="false" outlineLevel="0" collapsed="false">
      <c r="A378" s="18" t="n">
        <f aca="false">'SALES Raw'!G2995</f>
        <v>4413500</v>
      </c>
      <c r="B378" s="18" t="str">
        <f aca="false">'SALES Raw'!B2995</f>
        <v>95B L</v>
      </c>
      <c r="C378" s="18" t="str">
        <f aca="false">'SALES Raw'!H2995</f>
        <v>95B L מגן מרפק שחור</v>
      </c>
      <c r="D378" s="19" t="n">
        <f aca="false">'SALES Raw'!C2995</f>
        <v>320</v>
      </c>
      <c r="E378" s="19" t="n">
        <f aca="false">'SALES Raw'!D2995</f>
        <v>4543.74</v>
      </c>
      <c r="F378" s="19" t="n">
        <f aca="false">'SALES Raw'!E2995*$H$4</f>
        <v>240</v>
      </c>
      <c r="G378" s="19" t="n">
        <f aca="false">'SALES Raw'!F2995*$H$4</f>
        <v>3110.74105263158</v>
      </c>
      <c r="H378" s="18" t="str">
        <f aca="false">'SALES Raw'!A2995</f>
        <v>202 - Super-Pharm POLAND</v>
      </c>
    </row>
    <row r="379" customFormat="false" ht="15" hidden="false" customHeight="false" outlineLevel="0" collapsed="false">
      <c r="A379" s="18" t="n">
        <f aca="false">'SALES Raw'!G3017</f>
        <v>4420025</v>
      </c>
      <c r="B379" s="18" t="str">
        <f aca="false">'SALES Raw'!B3017</f>
        <v>LF374 0</v>
      </c>
      <c r="C379" s="18" t="str">
        <f aca="false">'SALES Raw'!H3017</f>
        <v>LF374 ריפוד סיליק.לעקב תחתון</v>
      </c>
      <c r="D379" s="19" t="n">
        <f aca="false">'SALES Raw'!C3017</f>
        <v>280</v>
      </c>
      <c r="E379" s="19" t="n">
        <f aca="false">'SALES Raw'!D3017</f>
        <v>3514.51</v>
      </c>
      <c r="F379" s="19" t="n">
        <f aca="false">'SALES Raw'!E3017*$H$4</f>
        <v>240</v>
      </c>
      <c r="G379" s="19" t="n">
        <f aca="false">'SALES Raw'!F3017*$H$4</f>
        <v>2711.52</v>
      </c>
      <c r="H379" s="18" t="str">
        <f aca="false">'SALES Raw'!A3017</f>
        <v>202 - Super-Pharm POLAND</v>
      </c>
    </row>
    <row r="380" customFormat="false" ht="15" hidden="false" customHeight="false" outlineLevel="0" collapsed="false">
      <c r="A380" s="18" t="n">
        <f aca="false">'SALES Raw'!G3032</f>
        <v>4408032</v>
      </c>
      <c r="B380" s="18" t="str">
        <f aca="false">'SALES Raw'!B3032</f>
        <v>11 L</v>
      </c>
      <c r="C380" s="18" t="str">
        <f aca="false">'SALES Raw'!H3032</f>
        <v>11 L""""חגורת בטן""""אורירית</v>
      </c>
      <c r="D380" s="19" t="n">
        <f aca="false">'SALES Raw'!C3032</f>
        <v>48</v>
      </c>
      <c r="E380" s="19" t="n">
        <f aca="false">'SALES Raw'!D3032</f>
        <v>2083.24</v>
      </c>
      <c r="F380" s="19" t="n">
        <f aca="false">'SALES Raw'!E3032*$H$4</f>
        <v>240</v>
      </c>
      <c r="G380" s="19" t="n">
        <f aca="false">'SALES Raw'!F3032*$H$4</f>
        <v>10266.48</v>
      </c>
      <c r="H380" s="18" t="str">
        <f aca="false">'SALES Raw'!A3032</f>
        <v>203 - Ortho- Partner ag SWITZERLAND</v>
      </c>
    </row>
    <row r="381" customFormat="false" ht="15" hidden="false" customHeight="false" outlineLevel="0" collapsed="false">
      <c r="A381" s="18" t="str">
        <f aca="false">'SALES Raw'!G3236</f>
        <v/>
      </c>
      <c r="B381" s="18" t="str">
        <f aca="false">'SALES Raw'!B3236</f>
        <v>376-41-43</v>
      </c>
      <c r="C381" s="18" t="str">
        <f aca="false">'SALES Raw'!H3236</f>
        <v>376-41-43</v>
      </c>
      <c r="D381" s="19" t="n">
        <f aca="false">'SALES Raw'!C3236</f>
        <v>410</v>
      </c>
      <c r="E381" s="19" t="n">
        <f aca="false">'SALES Raw'!D3236</f>
        <v>5992.02</v>
      </c>
      <c r="F381" s="19" t="n">
        <f aca="false">'SALES Raw'!E3236*$H$4</f>
        <v>240</v>
      </c>
      <c r="G381" s="19" t="n">
        <f aca="false">'SALES Raw'!F3236*$H$4</f>
        <v>3163.62947368421</v>
      </c>
      <c r="H381" s="18" t="str">
        <f aca="false">'SALES Raw'!A3236</f>
        <v>204 - Sanaflex Anatomic GREECE</v>
      </c>
    </row>
    <row r="382" customFormat="false" ht="15" hidden="false" customHeight="false" outlineLevel="0" collapsed="false">
      <c r="A382" s="18" t="n">
        <f aca="false">'SALES Raw'!G3302</f>
        <v>4413135</v>
      </c>
      <c r="B382" s="18" t="str">
        <f aca="false">'SALES Raw'!B3302</f>
        <v>85 L</v>
      </c>
      <c r="C382" s="18" t="str">
        <f aca="false">'SALES Raw'!H3302</f>
        <v>85 L (מתלה ליד )כיס</v>
      </c>
      <c r="D382" s="19" t="n">
        <f aca="false">'SALES Raw'!C3302</f>
        <v>280</v>
      </c>
      <c r="E382" s="19" t="n">
        <f aca="false">'SALES Raw'!D3302</f>
        <v>5355.16</v>
      </c>
      <c r="F382" s="19" t="n">
        <f aca="false">'SALES Raw'!E3302*$H$4</f>
        <v>240</v>
      </c>
      <c r="G382" s="19" t="n">
        <f aca="false">'SALES Raw'!F3302*$H$4</f>
        <v>4071.92842105263</v>
      </c>
      <c r="H382" s="18" t="str">
        <f aca="false">'SALES Raw'!A3302</f>
        <v>204 - Sanaflex Anatomic GREECE</v>
      </c>
    </row>
    <row r="383" customFormat="false" ht="15" hidden="false" customHeight="false" outlineLevel="0" collapsed="false">
      <c r="A383" s="18" t="n">
        <f aca="false">'SALES Raw'!G3369</f>
        <v>4419006</v>
      </c>
      <c r="B383" s="18" t="str">
        <f aca="false">'SALES Raw'!B3369</f>
        <v>PD340 0</v>
      </c>
      <c r="C383" s="18" t="str">
        <f aca="false">'SALES Raw'!H3369</f>
        <v>PD340-קוצץ ציפורניים</v>
      </c>
      <c r="D383" s="19" t="n">
        <f aca="false">'SALES Raw'!C3369</f>
        <v>300</v>
      </c>
      <c r="E383" s="19" t="n">
        <f aca="false">'SALES Raw'!D3369</f>
        <v>2677</v>
      </c>
      <c r="F383" s="19" t="n">
        <f aca="false">'SALES Raw'!E3369*$H$4</f>
        <v>240</v>
      </c>
      <c r="G383" s="19" t="n">
        <f aca="false">'SALES Raw'!F3369*$H$4</f>
        <v>1907.20421052632</v>
      </c>
      <c r="H383" s="18" t="str">
        <f aca="false">'SALES Raw'!A3369</f>
        <v>205 - Health Care Prod. Gmbh GERMANY</v>
      </c>
    </row>
    <row r="384" customFormat="false" ht="15" hidden="false" customHeight="false" outlineLevel="0" collapsed="false">
      <c r="A384" s="18" t="n">
        <f aca="false">'CEMIUP0.9 Raw'!B266</f>
        <v>4413093</v>
      </c>
      <c r="B384" s="18" t="str">
        <f aca="false">'CEMIUP0.9 Raw'!C266</f>
        <v>45 M מגן ברך לבן</v>
      </c>
      <c r="C384" s="18" t="str">
        <f aca="false">'CEMIUP0.9 Raw'!C266</f>
        <v>45 M מגן ברך לבן</v>
      </c>
      <c r="D384" s="19" t="n">
        <f aca="false">'CEMIUP0.9 Raw'!D266</f>
        <v>297</v>
      </c>
      <c r="E384" s="19" t="n">
        <f aca="false">'CEMIUP0.9 Raw'!E266</f>
        <v>8046.74</v>
      </c>
      <c r="F384" s="19" t="n">
        <f aca="false">'CEMIUP0.9 Raw'!F266</f>
        <v>240</v>
      </c>
      <c r="G384" s="19" t="n">
        <f aca="false">'CEMIUP0.9 Raw'!G266</f>
        <v>6532.25810526316</v>
      </c>
      <c r="H384" s="18" t="str">
        <f aca="false">'CEMIUP0.9 Raw'!A266</f>
        <v>107 - Pharmacies</v>
      </c>
    </row>
    <row r="385" customFormat="false" ht="15" hidden="false" customHeight="false" outlineLevel="0" collapsed="false">
      <c r="A385" s="18" t="n">
        <f aca="false">'CEMIUP0.9 Raw'!B770</f>
        <v>4413041</v>
      </c>
      <c r="B385" s="18" t="str">
        <f aca="false">'CEMIUP0.9 Raw'!C770</f>
        <v>34  M מגן קרסול עקב סגור</v>
      </c>
      <c r="C385" s="18" t="str">
        <f aca="false">'CEMIUP0.9 Raw'!C770</f>
        <v>34  M מגן קרסול עקב סגור</v>
      </c>
      <c r="D385" s="19" t="n">
        <f aca="false">'CEMIUP0.9 Raw'!D770</f>
        <v>289</v>
      </c>
      <c r="E385" s="19" t="n">
        <f aca="false">'CEMIUP0.9 Raw'!E770</f>
        <v>8360.77</v>
      </c>
      <c r="F385" s="19" t="n">
        <f aca="false">'CEMIUP0.9 Raw'!F770</f>
        <v>240</v>
      </c>
      <c r="G385" s="19" t="n">
        <f aca="false">'CEMIUP0.9 Raw'!G770</f>
        <v>6385.69389473684</v>
      </c>
      <c r="H385" s="18" t="str">
        <f aca="false">'CEMIUP0.9 Raw'!A770</f>
        <v>113 - Kupat Holim Meuhedet</v>
      </c>
    </row>
    <row r="386" customFormat="false" ht="15" hidden="false" customHeight="false" outlineLevel="0" collapsed="false">
      <c r="A386" s="18" t="str">
        <f aca="false">'SALES Raw'!G4442</f>
        <v/>
      </c>
      <c r="B386" s="18" t="str">
        <f aca="false">'SALES Raw'!B4442</f>
        <v>EC-59R S</v>
      </c>
      <c r="C386" s="18" t="str">
        <f aca="false">'SALES Raw'!H4442</f>
        <v>EC-59R S</v>
      </c>
      <c r="D386" s="19" t="n">
        <f aca="false">'SALES Raw'!C4442</f>
        <v>502</v>
      </c>
      <c r="E386" s="19" t="n">
        <f aca="false">'SALES Raw'!D4442</f>
        <v>92438.48</v>
      </c>
      <c r="F386" s="19" t="n">
        <f aca="false">'SALES Raw'!E4442*$H$4</f>
        <v>238.736842105263</v>
      </c>
      <c r="G386" s="19" t="n">
        <f aca="false">'SALES Raw'!F4442*$H$4</f>
        <v>38432.4505263158</v>
      </c>
      <c r="H386" s="18" t="str">
        <f aca="false">'SALES Raw'!A4442</f>
        <v>301 - Amazon</v>
      </c>
    </row>
    <row r="387" customFormat="false" ht="15" hidden="false" customHeight="false" outlineLevel="0" collapsed="false">
      <c r="A387" s="18" t="n">
        <f aca="false">'CEMIUP0.9 Raw'!B1037</f>
        <v>4409011</v>
      </c>
      <c r="B387" s="18" t="str">
        <f aca="false">'CEMIUP0.9 Raw'!C1037</f>
        <v>804AT-B      טייפ חבישה לספורט</v>
      </c>
      <c r="C387" s="18" t="str">
        <f aca="false">'CEMIUP0.9 Raw'!C1037</f>
        <v>804AT-B      טייפ חבישה לספורט</v>
      </c>
      <c r="D387" s="19" t="n">
        <f aca="false">'CEMIUP0.9 Raw'!D1037</f>
        <v>218</v>
      </c>
      <c r="E387" s="19" t="n">
        <f aca="false">'CEMIUP0.9 Raw'!E1037</f>
        <v>3055.052</v>
      </c>
      <c r="F387" s="19" t="n">
        <f aca="false">'CEMIUP0.9 Raw'!F1037</f>
        <v>238.736842105263</v>
      </c>
      <c r="G387" s="19" t="n">
        <f aca="false">'CEMIUP0.9 Raw'!G1037</f>
        <v>3345.65810526316</v>
      </c>
      <c r="H387" s="18" t="str">
        <f aca="false">'CEMIUP0.9 Raw'!A1037</f>
        <v>BE (CEMI internal group)</v>
      </c>
    </row>
    <row r="388" customFormat="false" ht="15" hidden="false" customHeight="false" outlineLevel="0" collapsed="false">
      <c r="A388" s="18" t="n">
        <f aca="false">'CEMIUP0.9 Raw'!B583</f>
        <v>4422025</v>
      </c>
      <c r="B388" s="18" t="str">
        <f aca="false">'CEMIUP0.9 Raw'!C583</f>
        <v>806CB-GREEN      תחבושת א.נצמ</v>
      </c>
      <c r="C388" s="18" t="str">
        <f aca="false">'CEMIUP0.9 Raw'!C583</f>
        <v>806CB-GREEN      תחבושת א.נצמ</v>
      </c>
      <c r="D388" s="19" t="n">
        <f aca="false">'CEMIUP0.9 Raw'!D583</f>
        <v>489</v>
      </c>
      <c r="E388" s="19" t="n">
        <f aca="false">'CEMIUP0.9 Raw'!E583</f>
        <v>4252.556</v>
      </c>
      <c r="F388" s="19" t="n">
        <f aca="false">'CEMIUP0.9 Raw'!F583</f>
        <v>233.684210526316</v>
      </c>
      <c r="G388" s="19" t="n">
        <f aca="false">'CEMIUP0.9 Raw'!G583</f>
        <v>2367.10231578947</v>
      </c>
      <c r="H388" s="18" t="str">
        <f aca="false">'CEMIUP0.9 Raw'!A583</f>
        <v>107 - Pharmacies</v>
      </c>
    </row>
    <row r="389" customFormat="false" ht="15" hidden="false" customHeight="false" outlineLevel="0" collapsed="false">
      <c r="A389" s="18" t="n">
        <f aca="false">'SALES Raw'!G2367</f>
        <v>4403045</v>
      </c>
      <c r="B389" s="18" t="str">
        <f aca="false">'SALES Raw'!B2367</f>
        <v>395B-43-46</v>
      </c>
      <c r="C389" s="18" t="str">
        <f aca="false">'SALES Raw'!H2367</f>
        <v>395B גרבי קיץ אנטי בקטריא43-46</v>
      </c>
      <c r="D389" s="19" t="n">
        <f aca="false">'SALES Raw'!C2367</f>
        <v>0</v>
      </c>
      <c r="E389" s="19" t="n">
        <f aca="false">'SALES Raw'!D2367</f>
        <v>0</v>
      </c>
      <c r="F389" s="19" t="n">
        <f aca="false">'SALES Raw'!E2367*$H$4</f>
        <v>233.684210526316</v>
      </c>
      <c r="G389" s="19" t="n">
        <f aca="false">'SALES Raw'!F2367*$H$4</f>
        <v>10784.8168421053</v>
      </c>
      <c r="H389" s="18" t="str">
        <f aca="false">'SALES Raw'!A2367</f>
        <v>114 - IL online</v>
      </c>
    </row>
    <row r="390" customFormat="false" ht="15" hidden="false" customHeight="false" outlineLevel="0" collapsed="false">
      <c r="A390" s="18" t="n">
        <f aca="false">'SALES Raw'!G3232</f>
        <v>4420002</v>
      </c>
      <c r="B390" s="18" t="str">
        <f aca="false">'SALES Raw'!B3232</f>
        <v>372 0</v>
      </c>
      <c r="C390" s="18" t="str">
        <f aca="false">'SALES Raw'!H3232</f>
        <v>372 רפידת אנטי ריח -זוג</v>
      </c>
      <c r="D390" s="19" t="n">
        <f aca="false">'SALES Raw'!C3232</f>
        <v>155</v>
      </c>
      <c r="E390" s="19" t="n">
        <f aca="false">'SALES Raw'!D3232</f>
        <v>1090.36</v>
      </c>
      <c r="F390" s="19" t="n">
        <f aca="false">'SALES Raw'!E3232*$H$4</f>
        <v>233.684210526316</v>
      </c>
      <c r="G390" s="19" t="n">
        <f aca="false">'SALES Raw'!F3232*$H$4</f>
        <v>1493.96210526316</v>
      </c>
      <c r="H390" s="18" t="str">
        <f aca="false">'SALES Raw'!A3232</f>
        <v>204 - Sanaflex Anatomic GREECE</v>
      </c>
    </row>
    <row r="391" customFormat="false" ht="15" hidden="false" customHeight="false" outlineLevel="0" collapsed="false">
      <c r="A391" s="18" t="str">
        <f aca="false">'SALES Raw'!G4452</f>
        <v/>
      </c>
      <c r="B391" s="18" t="str">
        <f aca="false">'SALES Raw'!B4452</f>
        <v>EC-59LB S</v>
      </c>
      <c r="C391" s="18" t="str">
        <f aca="false">'SALES Raw'!H4452</f>
        <v>EC-59LB S</v>
      </c>
      <c r="D391" s="19" t="n">
        <f aca="false">'SALES Raw'!C4452</f>
        <v>243</v>
      </c>
      <c r="E391" s="19" t="n">
        <f aca="false">'SALES Raw'!D4452</f>
        <v>43557.14</v>
      </c>
      <c r="F391" s="19" t="n">
        <f aca="false">'SALES Raw'!E4452*$H$4</f>
        <v>233.684210526316</v>
      </c>
      <c r="G391" s="19" t="n">
        <f aca="false">'SALES Raw'!F4452*$H$4</f>
        <v>37462.7621052632</v>
      </c>
      <c r="H391" s="18" t="str">
        <f aca="false">'SALES Raw'!A4452</f>
        <v>301 - Amazon</v>
      </c>
    </row>
    <row r="392" customFormat="false" ht="15" hidden="false" customHeight="false" outlineLevel="0" collapsed="false">
      <c r="A392" s="18" t="n">
        <f aca="false">'CEMIUP0.9 Raw'!B8</f>
        <v>4401002</v>
      </c>
      <c r="B392" s="18" t="str">
        <f aca="false">'CEMIUP0.9 Raw'!C8</f>
        <v>PD 344-אבן טבעית להסרת עור קשה</v>
      </c>
      <c r="C392" s="18" t="str">
        <f aca="false">'CEMIUP0.9 Raw'!C8</f>
        <v>PD 344-אבן טבעית להסרת עור קשה</v>
      </c>
      <c r="D392" s="19" t="n">
        <f aca="false">'CEMIUP0.9 Raw'!D8</f>
        <v>266</v>
      </c>
      <c r="E392" s="19" t="n">
        <f aca="false">'CEMIUP0.9 Raw'!E8</f>
        <v>2074.399</v>
      </c>
      <c r="F392" s="19" t="n">
        <f aca="false">'CEMIUP0.9 Raw'!F8</f>
        <v>232.421052631579</v>
      </c>
      <c r="G392" s="19" t="n">
        <f aca="false">'CEMIUP0.9 Raw'!G8</f>
        <v>1814.55915789474</v>
      </c>
      <c r="H392" s="18" t="str">
        <f aca="false">'CEMIUP0.9 Raw'!A8</f>
        <v>107 - Pharmacies</v>
      </c>
    </row>
    <row r="393" customFormat="false" ht="15" hidden="false" customHeight="false" outlineLevel="0" collapsed="false">
      <c r="A393" s="18" t="n">
        <f aca="false">'SALES Raw'!G1186</f>
        <v>4408192</v>
      </c>
      <c r="B393" s="18" t="str">
        <f aca="false">'SALES Raw'!B1186</f>
        <v>078 L</v>
      </c>
      <c r="C393" s="18" t="str">
        <f aca="false">'SALES Raw'!H1186</f>
        <v>078 L חגורת גב +סגירה</v>
      </c>
      <c r="D393" s="19" t="n">
        <f aca="false">'SALES Raw'!C1186</f>
        <v>10</v>
      </c>
      <c r="E393" s="19" t="n">
        <f aca="false">'SALES Raw'!D1186</f>
        <v>843</v>
      </c>
      <c r="F393" s="19" t="n">
        <f aca="false">'SALES Raw'!E1186*$H$4</f>
        <v>231.157894736842</v>
      </c>
      <c r="G393" s="19" t="n">
        <f aca="false">'SALES Raw'!F1186*$H$4</f>
        <v>19357.1368421053</v>
      </c>
      <c r="H393" s="18" t="str">
        <f aca="false">'SALES Raw'!A1186</f>
        <v>103 - Physiotherapy institutes</v>
      </c>
    </row>
    <row r="394" customFormat="false" ht="15" hidden="false" customHeight="false" outlineLevel="0" collapsed="false">
      <c r="A394" s="18" t="n">
        <f aca="false">'CEMIUP0.9 Raw'!B41</f>
        <v>4403043</v>
      </c>
      <c r="B394" s="18" t="str">
        <f aca="false">'CEMIUP0.9 Raw'!C41</f>
        <v>397A-גרבי טיסה אנטי בקטרי43-46</v>
      </c>
      <c r="C394" s="18" t="str">
        <f aca="false">'CEMIUP0.9 Raw'!C41</f>
        <v>397A-גרבי טיסה אנטי בקטרי43-46</v>
      </c>
      <c r="D394" s="19" t="n">
        <f aca="false">'CEMIUP0.9 Raw'!D41</f>
        <v>16</v>
      </c>
      <c r="E394" s="19" t="n">
        <f aca="false">'CEMIUP0.9 Raw'!E41</f>
        <v>974.95</v>
      </c>
      <c r="F394" s="19" t="n">
        <f aca="false">'CEMIUP0.9 Raw'!F41</f>
        <v>231.157894736842</v>
      </c>
      <c r="G394" s="19" t="n">
        <f aca="false">'CEMIUP0.9 Raw'!G41</f>
        <v>12859.6850526316</v>
      </c>
      <c r="H394" s="18" t="str">
        <f aca="false">'CEMIUP0.9 Raw'!A41</f>
        <v>107 - Pharmacies</v>
      </c>
    </row>
    <row r="395" customFormat="false" ht="15" hidden="false" customHeight="false" outlineLevel="0" collapsed="false">
      <c r="A395" s="18" t="n">
        <f aca="false">'CEMIUP0.9 Raw'!B198</f>
        <v>4409017</v>
      </c>
      <c r="B395" s="18" t="str">
        <f aca="false">'CEMIUP0.9 Raw'!C198</f>
        <v>808KT-B        טייפ קינזיולוגי</v>
      </c>
      <c r="C395" s="18" t="str">
        <f aca="false">'CEMIUP0.9 Raw'!C198</f>
        <v>808KT-B        טייפ קינזיולוגי</v>
      </c>
      <c r="D395" s="19" t="n">
        <f aca="false">'CEMIUP0.9 Raw'!D198</f>
        <v>398</v>
      </c>
      <c r="E395" s="19" t="n">
        <f aca="false">'CEMIUP0.9 Raw'!E198</f>
        <v>11233.558</v>
      </c>
      <c r="F395" s="19" t="n">
        <f aca="false">'CEMIUP0.9 Raw'!F198</f>
        <v>231.157894736842</v>
      </c>
      <c r="G395" s="19" t="n">
        <f aca="false">'CEMIUP0.9 Raw'!G198</f>
        <v>7509.97263157895</v>
      </c>
      <c r="H395" s="18" t="str">
        <f aca="false">'CEMIUP0.9 Raw'!A198</f>
        <v>107 - Pharmacies</v>
      </c>
    </row>
    <row r="396" customFormat="false" ht="15" hidden="false" customHeight="false" outlineLevel="0" collapsed="false">
      <c r="A396" s="18" t="n">
        <f aca="false">'CEMIUP0.9 Raw'!B434</f>
        <v>4413490</v>
      </c>
      <c r="B396" s="18" t="str">
        <f aca="false">'CEMIUP0.9 Raw'!C434</f>
        <v>35B L מגן קרסול שחור</v>
      </c>
      <c r="C396" s="18" t="str">
        <f aca="false">'CEMIUP0.9 Raw'!C434</f>
        <v>35B L מגן קרסול שחור</v>
      </c>
      <c r="D396" s="19" t="n">
        <f aca="false">'CEMIUP0.9 Raw'!D434</f>
        <v>293</v>
      </c>
      <c r="E396" s="19" t="n">
        <f aca="false">'CEMIUP0.9 Raw'!E434</f>
        <v>7643.727</v>
      </c>
      <c r="F396" s="19" t="n">
        <f aca="false">'CEMIUP0.9 Raw'!F434</f>
        <v>231.157894736842</v>
      </c>
      <c r="G396" s="19" t="n">
        <f aca="false">'CEMIUP0.9 Raw'!G434</f>
        <v>6448.20252631579</v>
      </c>
      <c r="H396" s="18" t="str">
        <f aca="false">'CEMIUP0.9 Raw'!A434</f>
        <v>107 - Pharmacies</v>
      </c>
    </row>
    <row r="397" customFormat="false" ht="15" hidden="false" customHeight="false" outlineLevel="0" collapsed="false">
      <c r="A397" s="18" t="n">
        <f aca="false">'CEMIUP0.9 Raw'!B1421</f>
        <v>4411021</v>
      </c>
      <c r="B397" s="18" t="str">
        <f aca="false">'CEMIUP0.9 Raw'!C1421</f>
        <v>212L כפפות אגודל לחץ</v>
      </c>
      <c r="C397" s="18" t="str">
        <f aca="false">'CEMIUP0.9 Raw'!C1421</f>
        <v>212L כפפות אגודל לחץ</v>
      </c>
      <c r="D397" s="19" t="n">
        <f aca="false">'CEMIUP0.9 Raw'!D1421</f>
        <v>244</v>
      </c>
      <c r="E397" s="19" t="n">
        <f aca="false">'CEMIUP0.9 Raw'!E1421</f>
        <v>6317.584</v>
      </c>
      <c r="F397" s="19" t="n">
        <f aca="false">'CEMIUP0.9 Raw'!F1421</f>
        <v>231.157894736842</v>
      </c>
      <c r="G397" s="19" t="n">
        <f aca="false">'CEMIUP0.9 Raw'!G1421</f>
        <v>6207.84757894737</v>
      </c>
      <c r="H397" s="18" t="str">
        <f aca="false">'CEMIUP0.9 Raw'!A1421</f>
        <v>Super-Pharm Israel (CEMI internal group)</v>
      </c>
    </row>
    <row r="398" customFormat="false" ht="15" hidden="false" customHeight="false" outlineLevel="0" collapsed="false">
      <c r="A398" s="18" t="n">
        <f aca="false">'SALES Raw'!G570</f>
        <v>4408271</v>
      </c>
      <c r="B398" s="18" t="str">
        <f aca="false">'SALES Raw'!B570</f>
        <v>70N XS</v>
      </c>
      <c r="C398" s="18" t="str">
        <f aca="false">'SALES Raw'!H570</f>
        <v>70N XS חגורת פאבליק</v>
      </c>
      <c r="D398" s="19" t="n">
        <f aca="false">'SALES Raw'!C570</f>
        <v>169</v>
      </c>
      <c r="E398" s="19" t="n">
        <f aca="false">'SALES Raw'!D570</f>
        <v>41162.17</v>
      </c>
      <c r="F398" s="19" t="n">
        <f aca="false">'SALES Raw'!E570*$H$4</f>
        <v>229.894736842105</v>
      </c>
      <c r="G398" s="19" t="n">
        <f aca="false">'SALES Raw'!F570*$H$4</f>
        <v>57709.0989473684</v>
      </c>
      <c r="H398" s="18" t="str">
        <f aca="false">'SALES Raw'!A570</f>
        <v>102 - Orthopedic institutes</v>
      </c>
    </row>
    <row r="399" customFormat="false" ht="15" hidden="false" customHeight="false" outlineLevel="0" collapsed="false">
      <c r="A399" s="18" t="n">
        <f aca="false">'CEMIUP0.9 Raw'!B179</f>
        <v>4408264</v>
      </c>
      <c r="B399" s="18" t="str">
        <f aca="false">'CEMIUP0.9 Raw'!C179</f>
        <v>T25B   חבק יד אגודלי</v>
      </c>
      <c r="C399" s="18" t="str">
        <f aca="false">'CEMIUP0.9 Raw'!C179</f>
        <v>T25B   חבק יד אגודלי</v>
      </c>
      <c r="D399" s="19" t="n">
        <f aca="false">'CEMIUP0.9 Raw'!D179</f>
        <v>383</v>
      </c>
      <c r="E399" s="19" t="n">
        <f aca="false">'CEMIUP0.9 Raw'!E179</f>
        <v>14601.317</v>
      </c>
      <c r="F399" s="19" t="n">
        <f aca="false">'CEMIUP0.9 Raw'!F179</f>
        <v>227.368421052632</v>
      </c>
      <c r="G399" s="19" t="n">
        <f aca="false">'CEMIUP0.9 Raw'!G179</f>
        <v>9430.8</v>
      </c>
      <c r="H399" s="18" t="str">
        <f aca="false">'CEMIUP0.9 Raw'!A179</f>
        <v>107 - Pharmacies</v>
      </c>
    </row>
    <row r="400" customFormat="false" ht="15" hidden="false" customHeight="false" outlineLevel="0" collapsed="false">
      <c r="A400" s="18" t="n">
        <f aca="false">'CEMIUP0.9 Raw'!B776</f>
        <v>4413048</v>
      </c>
      <c r="B400" s="18" t="str">
        <f aca="false">'CEMIUP0.9 Raw'!C776</f>
        <v>35 L מגן קרסול לבן</v>
      </c>
      <c r="C400" s="18" t="str">
        <f aca="false">'CEMIUP0.9 Raw'!C776</f>
        <v>35 L מגן קרסול לבן</v>
      </c>
      <c r="D400" s="19" t="n">
        <f aca="false">'CEMIUP0.9 Raw'!D776</f>
        <v>235</v>
      </c>
      <c r="E400" s="19" t="n">
        <f aca="false">'CEMIUP0.9 Raw'!E776</f>
        <v>3995</v>
      </c>
      <c r="F400" s="19" t="n">
        <f aca="false">'CEMIUP0.9 Raw'!F776</f>
        <v>227.368421052632</v>
      </c>
      <c r="G400" s="19" t="n">
        <f aca="false">'CEMIUP0.9 Raw'!G776</f>
        <v>3615.09473684211</v>
      </c>
      <c r="H400" s="18" t="str">
        <f aca="false">'CEMIUP0.9 Raw'!A776</f>
        <v>113 - Kupat Holim Meuhedet</v>
      </c>
    </row>
    <row r="401" customFormat="false" ht="15" hidden="false" customHeight="false" outlineLevel="0" collapsed="false">
      <c r="A401" s="18" t="n">
        <f aca="false">'SALES Raw'!G2915</f>
        <v>4413372</v>
      </c>
      <c r="B401" s="18" t="str">
        <f aca="false">'SALES Raw'!B2915</f>
        <v>302W 0</v>
      </c>
      <c r="C401" s="18" t="str">
        <f aca="false">'SALES Raw'!H2915</f>
        <v>302 W מדרס לאישה</v>
      </c>
      <c r="D401" s="19" t="n">
        <f aca="false">'SALES Raw'!C2915</f>
        <v>330</v>
      </c>
      <c r="E401" s="19" t="n">
        <f aca="false">'SALES Raw'!D2915</f>
        <v>11377.74</v>
      </c>
      <c r="F401" s="19" t="n">
        <f aca="false">'SALES Raw'!E2915*$H$4</f>
        <v>227.368421052632</v>
      </c>
      <c r="G401" s="19" t="n">
        <f aca="false">'SALES Raw'!F2915*$H$4</f>
        <v>7070.72842105263</v>
      </c>
      <c r="H401" s="18" t="str">
        <f aca="false">'SALES Raw'!A2915</f>
        <v>202 - Super-Pharm POLAND</v>
      </c>
    </row>
    <row r="402" customFormat="false" ht="15" hidden="false" customHeight="false" outlineLevel="0" collapsed="false">
      <c r="A402" s="18" t="str">
        <f aca="false">'SALES Raw'!G2949</f>
        <v/>
      </c>
      <c r="B402" s="18" t="str">
        <f aca="false">'SALES Raw'!B2949</f>
        <v>376-44-45</v>
      </c>
      <c r="C402" s="18" t="str">
        <f aca="false">'SALES Raw'!H2949</f>
        <v>376-44-45</v>
      </c>
      <c r="D402" s="19" t="n">
        <f aca="false">'SALES Raw'!C2949</f>
        <v>400</v>
      </c>
      <c r="E402" s="19" t="n">
        <f aca="false">'SALES Raw'!D2949</f>
        <v>7739.06</v>
      </c>
      <c r="F402" s="19" t="n">
        <f aca="false">'SALES Raw'!E2949*$H$4</f>
        <v>227.368421052632</v>
      </c>
      <c r="G402" s="19" t="n">
        <f aca="false">'SALES Raw'!F2949*$H$4</f>
        <v>3894.90947368421</v>
      </c>
      <c r="H402" s="18" t="str">
        <f aca="false">'SALES Raw'!A2949</f>
        <v>202 - Super-Pharm POLAND</v>
      </c>
    </row>
    <row r="403" customFormat="false" ht="15" hidden="false" customHeight="false" outlineLevel="0" collapsed="false">
      <c r="A403" s="18" t="n">
        <f aca="false">'SALES Raw'!G3011</f>
        <v>4413453</v>
      </c>
      <c r="B403" s="18" t="str">
        <f aca="false">'SALES Raw'!B3011</f>
        <v>AC75-S-XL</v>
      </c>
      <c r="C403" s="18" t="str">
        <f aca="false">'SALES Raw'!H3011</f>
        <v>AC75 מישר כתפיים אקטיב</v>
      </c>
      <c r="D403" s="19" t="n">
        <f aca="false">'SALES Raw'!C3011</f>
        <v>280</v>
      </c>
      <c r="E403" s="19" t="n">
        <f aca="false">'SALES Raw'!D3011</f>
        <v>14059.75</v>
      </c>
      <c r="F403" s="19" t="n">
        <f aca="false">'SALES Raw'!E3011*$H$4</f>
        <v>227.368421052632</v>
      </c>
      <c r="G403" s="19" t="n">
        <f aca="false">'SALES Raw'!F3011*$H$4</f>
        <v>10229.4442105263</v>
      </c>
      <c r="H403" s="18" t="str">
        <f aca="false">'SALES Raw'!A3011</f>
        <v>202 - Super-Pharm POLAND</v>
      </c>
    </row>
    <row r="404" customFormat="false" ht="15" hidden="false" customHeight="false" outlineLevel="0" collapsed="false">
      <c r="A404" s="18" t="str">
        <f aca="false">'SALES Raw'!G3189</f>
        <v/>
      </c>
      <c r="B404" s="18" t="str">
        <f aca="false">'SALES Raw'!B3189</f>
        <v>305-39-40</v>
      </c>
      <c r="C404" s="18" t="str">
        <f aca="false">'SALES Raw'!H3189</f>
        <v>305-39-40</v>
      </c>
      <c r="D404" s="19" t="n">
        <f aca="false">'SALES Raw'!C3189</f>
        <v>140</v>
      </c>
      <c r="E404" s="19" t="n">
        <f aca="false">'SALES Raw'!D3189</f>
        <v>4983.37</v>
      </c>
      <c r="F404" s="19" t="n">
        <f aca="false">'SALES Raw'!E3189*$H$4</f>
        <v>227.368421052632</v>
      </c>
      <c r="G404" s="19" t="n">
        <f aca="false">'SALES Raw'!F3189*$H$4</f>
        <v>7124.17263157895</v>
      </c>
      <c r="H404" s="18" t="str">
        <f aca="false">'SALES Raw'!A3189</f>
        <v>204 - Sanaflex Anatomic GREECE</v>
      </c>
    </row>
    <row r="405" customFormat="false" ht="15" hidden="false" customHeight="false" outlineLevel="0" collapsed="false">
      <c r="A405" s="18" t="str">
        <f aca="false">'SALES Raw'!G3191</f>
        <v/>
      </c>
      <c r="B405" s="18" t="str">
        <f aca="false">'SALES Raw'!B3191</f>
        <v>305-43-44</v>
      </c>
      <c r="C405" s="18" t="str">
        <f aca="false">'SALES Raw'!H3191</f>
        <v>305-43-44</v>
      </c>
      <c r="D405" s="19" t="n">
        <f aca="false">'SALES Raw'!C3191</f>
        <v>165</v>
      </c>
      <c r="E405" s="19" t="n">
        <f aca="false">'SALES Raw'!D3191</f>
        <v>5798.64</v>
      </c>
      <c r="F405" s="19" t="n">
        <f aca="false">'SALES Raw'!E3191*$H$4</f>
        <v>227.368421052632</v>
      </c>
      <c r="G405" s="19" t="n">
        <f aca="false">'SALES Raw'!F3191*$H$4</f>
        <v>7147.27578947368</v>
      </c>
      <c r="H405" s="18" t="str">
        <f aca="false">'SALES Raw'!A3191</f>
        <v>204 - Sanaflex Anatomic GREECE</v>
      </c>
    </row>
    <row r="406" customFormat="false" ht="15" hidden="false" customHeight="false" outlineLevel="0" collapsed="false">
      <c r="A406" s="18" t="n">
        <f aca="false">'SALES Raw'!G3207</f>
        <v>4413490</v>
      </c>
      <c r="B406" s="18" t="str">
        <f aca="false">'SALES Raw'!B3207</f>
        <v>35B L</v>
      </c>
      <c r="C406" s="18" t="str">
        <f aca="false">'SALES Raw'!H3207</f>
        <v>35B L מגן קרסול שחור</v>
      </c>
      <c r="D406" s="19" t="n">
        <f aca="false">'SALES Raw'!C3207</f>
        <v>230</v>
      </c>
      <c r="E406" s="19" t="n">
        <f aca="false">'SALES Raw'!D3207</f>
        <v>2506.49</v>
      </c>
      <c r="F406" s="19" t="n">
        <f aca="false">'SALES Raw'!E3207*$H$4</f>
        <v>227.368421052632</v>
      </c>
      <c r="G406" s="19" t="n">
        <f aca="false">'SALES Raw'!F3207*$H$4</f>
        <v>2217.48631578947</v>
      </c>
      <c r="H406" s="18" t="str">
        <f aca="false">'SALES Raw'!A3207</f>
        <v>204 - Sanaflex Anatomic GREECE</v>
      </c>
    </row>
    <row r="407" customFormat="false" ht="15" hidden="false" customHeight="false" outlineLevel="0" collapsed="false">
      <c r="A407" s="18" t="n">
        <f aca="false">'SALES Raw'!G3208</f>
        <v>4413492</v>
      </c>
      <c r="B407" s="18" t="str">
        <f aca="false">'SALES Raw'!B3208</f>
        <v>35B M</v>
      </c>
      <c r="C407" s="18" t="str">
        <f aca="false">'SALES Raw'!H3208</f>
        <v>35B M מגן קרסול שחור</v>
      </c>
      <c r="D407" s="19" t="n">
        <f aca="false">'SALES Raw'!C3208</f>
        <v>200</v>
      </c>
      <c r="E407" s="19" t="n">
        <f aca="false">'SALES Raw'!D3208</f>
        <v>2169.33</v>
      </c>
      <c r="F407" s="19" t="n">
        <f aca="false">'SALES Raw'!E3208*$H$4</f>
        <v>227.368421052632</v>
      </c>
      <c r="G407" s="19" t="n">
        <f aca="false">'SALES Raw'!F3208*$H$4</f>
        <v>2232.83368421053</v>
      </c>
      <c r="H407" s="18" t="str">
        <f aca="false">'SALES Raw'!A3208</f>
        <v>204 - Sanaflex Anatomic GREECE</v>
      </c>
    </row>
    <row r="408" customFormat="false" ht="15" hidden="false" customHeight="false" outlineLevel="0" collapsed="false">
      <c r="A408" s="18" t="n">
        <f aca="false">'SALES Raw'!G3324</f>
        <v>4413056</v>
      </c>
      <c r="B408" s="18" t="str">
        <f aca="false">'SALES Raw'!B3324</f>
        <v>LF360 0</v>
      </c>
      <c r="C408" s="18" t="str">
        <f aca="false">'SALES Raw'!H3324</f>
        <v>LF360 מדרס מטטרזלי לנעלי עקב</v>
      </c>
      <c r="D408" s="19" t="n">
        <f aca="false">'SALES Raw'!C3324</f>
        <v>190</v>
      </c>
      <c r="E408" s="19" t="n">
        <f aca="false">'SALES Raw'!D3324</f>
        <v>2052.19</v>
      </c>
      <c r="F408" s="19" t="n">
        <f aca="false">'SALES Raw'!E3324*$H$4</f>
        <v>227.368421052632</v>
      </c>
      <c r="G408" s="19" t="n">
        <f aca="false">'SALES Raw'!F3324*$H$4</f>
        <v>2232.73263157895</v>
      </c>
      <c r="H408" s="18" t="str">
        <f aca="false">'SALES Raw'!A3324</f>
        <v>204 - Sanaflex Anatomic GREECE</v>
      </c>
    </row>
    <row r="409" customFormat="false" ht="15" hidden="false" customHeight="false" outlineLevel="0" collapsed="false">
      <c r="A409" s="18" t="n">
        <f aca="false">'SALES Raw'!G3642</f>
        <v>4408208</v>
      </c>
      <c r="B409" s="18" t="str">
        <f aca="false">'SALES Raw'!B3642</f>
        <v>AC91 0</v>
      </c>
      <c r="C409" s="18" t="str">
        <f aca="false">'SALES Raw'!H3642</f>
        <v>AC91 חבק טניס</v>
      </c>
      <c r="D409" s="19" t="n">
        <f aca="false">'SALES Raw'!C3642</f>
        <v>180</v>
      </c>
      <c r="E409" s="19" t="n">
        <f aca="false">'SALES Raw'!D3642</f>
        <v>2628.96</v>
      </c>
      <c r="F409" s="19" t="n">
        <f aca="false">'SALES Raw'!E3642*$H$4</f>
        <v>227.368421052632</v>
      </c>
      <c r="G409" s="19" t="n">
        <f aca="false">'SALES Raw'!F3642*$H$4</f>
        <v>3278.09684210526</v>
      </c>
      <c r="H409" s="18" t="str">
        <f aca="false">'SALES Raw'!A3642</f>
        <v>207 - Salus HUNGARY</v>
      </c>
    </row>
    <row r="410" customFormat="false" ht="15" hidden="false" customHeight="false" outlineLevel="0" collapsed="false">
      <c r="A410" s="18" t="n">
        <f aca="false">'SALES Raw'!G3794</f>
        <v>4415163</v>
      </c>
      <c r="B410" s="18" t="str">
        <f aca="false">'SALES Raw'!B3794</f>
        <v>238 XL</v>
      </c>
      <c r="C410" s="18" t="str">
        <f aca="false">'SALES Raw'!H3794</f>
        <v>238XL סד ליישור אצבע</v>
      </c>
      <c r="D410" s="19" t="n">
        <f aca="false">'SALES Raw'!C3794</f>
        <v>177</v>
      </c>
      <c r="E410" s="19" t="n">
        <f aca="false">'SALES Raw'!D3794</f>
        <v>1496.47</v>
      </c>
      <c r="F410" s="19" t="n">
        <f aca="false">'SALES Raw'!E3794*$H$4</f>
        <v>227.368421052632</v>
      </c>
      <c r="G410" s="19" t="n">
        <f aca="false">'SALES Raw'!F3794*$H$4</f>
        <v>1920.54315789474</v>
      </c>
      <c r="H410" s="18" t="str">
        <f aca="false">'SALES Raw'!A3794</f>
        <v>209 - Ortoprofil Prod ROMANIA</v>
      </c>
    </row>
    <row r="411" customFormat="false" ht="15" hidden="false" customHeight="false" outlineLevel="0" collapsed="false">
      <c r="A411" s="18" t="str">
        <f aca="false">'SALES Raw'!G4084</f>
        <v/>
      </c>
      <c r="B411" s="18" t="str">
        <f aca="false">'SALES Raw'!B4084</f>
        <v>305-43-44</v>
      </c>
      <c r="C411" s="18" t="str">
        <f aca="false">'SALES Raw'!H4084</f>
        <v>305-43-44</v>
      </c>
      <c r="D411" s="19" t="n">
        <f aca="false">'SALES Raw'!C4084</f>
        <v>140</v>
      </c>
      <c r="E411" s="19" t="n">
        <f aca="false">'SALES Raw'!D4084</f>
        <v>5108.21</v>
      </c>
      <c r="F411" s="19" t="n">
        <f aca="false">'SALES Raw'!E4084*$H$4</f>
        <v>227.368421052632</v>
      </c>
      <c r="G411" s="19" t="n">
        <f aca="false">'SALES Raw'!F4084*$H$4</f>
        <v>7629.48631578947</v>
      </c>
      <c r="H411" s="18" t="str">
        <f aca="false">'SALES Raw'!A4084</f>
        <v>213 - E.f.m.o. SPAIN</v>
      </c>
    </row>
    <row r="412" customFormat="false" ht="15" hidden="false" customHeight="false" outlineLevel="0" collapsed="false">
      <c r="A412" s="18" t="str">
        <f aca="false">'SALES Raw'!G3803</f>
        <v/>
      </c>
      <c r="B412" s="18" t="str">
        <f aca="false">'SALES Raw'!B3803</f>
        <v>305-45-46</v>
      </c>
      <c r="C412" s="18" t="str">
        <f aca="false">'SALES Raw'!H3803</f>
        <v>305-45-46</v>
      </c>
      <c r="D412" s="19" t="n">
        <f aca="false">'SALES Raw'!C3803</f>
        <v>259</v>
      </c>
      <c r="E412" s="19" t="n">
        <f aca="false">'SALES Raw'!D3803</f>
        <v>9007.37</v>
      </c>
      <c r="F412" s="19" t="n">
        <f aca="false">'SALES Raw'!E3803*$H$4</f>
        <v>224.842105263158</v>
      </c>
      <c r="G412" s="19" t="n">
        <f aca="false">'SALES Raw'!F3803*$H$4</f>
        <v>7816.30736842105</v>
      </c>
      <c r="H412" s="18" t="str">
        <f aca="false">'SALES Raw'!A3803</f>
        <v>209 - Ortoprofil Prod ROMANIA</v>
      </c>
    </row>
    <row r="413" customFormat="false" ht="15" hidden="false" customHeight="false" outlineLevel="0" collapsed="false">
      <c r="A413" s="18" t="n">
        <f aca="false">'CEMIUP0.9 Raw'!B1319</f>
        <v>4408033</v>
      </c>
      <c r="B413" s="18" t="str">
        <f aca="false">'CEMIUP0.9 Raw'!C1319</f>
        <v>11 M""חגורת בטן""אורירית</v>
      </c>
      <c r="C413" s="18" t="str">
        <f aca="false">'CEMIUP0.9 Raw'!C1319</f>
        <v>11 M""חגורת בטן""אורירית</v>
      </c>
      <c r="D413" s="19" t="n">
        <f aca="false">'CEMIUP0.9 Raw'!D1319</f>
        <v>313</v>
      </c>
      <c r="E413" s="19" t="n">
        <f aca="false">'CEMIUP0.9 Raw'!E1319</f>
        <v>25544.428</v>
      </c>
      <c r="F413" s="19" t="n">
        <f aca="false">'CEMIUP0.9 Raw'!F1319</f>
        <v>223.578947368421</v>
      </c>
      <c r="G413" s="19" t="n">
        <f aca="false">'CEMIUP0.9 Raw'!G1319</f>
        <v>18410.5452631579</v>
      </c>
      <c r="H413" s="18" t="str">
        <f aca="false">'CEMIUP0.9 Raw'!A1319</f>
        <v>Super-Pharm Israel (CEMI internal group)</v>
      </c>
    </row>
    <row r="414" customFormat="false" ht="15" hidden="false" customHeight="false" outlineLevel="0" collapsed="false">
      <c r="A414" s="18" t="n">
        <f aca="false">'CEMIUP0.9 Raw'!B1413</f>
        <v>4411001</v>
      </c>
      <c r="B414" s="18" t="str">
        <f aca="false">'CEMIUP0.9 Raw'!C1413</f>
        <v>3623 כרית ליישור אצבע פטיש</v>
      </c>
      <c r="C414" s="18" t="str">
        <f aca="false">'CEMIUP0.9 Raw'!C1413</f>
        <v>3623 כרית ליישור אצבע פטיש</v>
      </c>
      <c r="D414" s="19" t="n">
        <f aca="false">'CEMIUP0.9 Raw'!D1413</f>
        <v>235</v>
      </c>
      <c r="E414" s="19" t="n">
        <f aca="false">'CEMIUP0.9 Raw'!E1413</f>
        <v>5188.456</v>
      </c>
      <c r="F414" s="19" t="n">
        <f aca="false">'CEMIUP0.9 Raw'!F1413</f>
        <v>223.578947368421</v>
      </c>
      <c r="G414" s="19" t="n">
        <f aca="false">'CEMIUP0.9 Raw'!G1413</f>
        <v>4938.94357894737</v>
      </c>
      <c r="H414" s="18" t="str">
        <f aca="false">'CEMIUP0.9 Raw'!A1413</f>
        <v>Super-Pharm Israel (CEMI internal group)</v>
      </c>
    </row>
    <row r="415" customFormat="false" ht="15" hidden="false" customHeight="false" outlineLevel="0" collapsed="false">
      <c r="A415" s="18" t="n">
        <f aca="false">'CEMIUP0.9 Raw'!B1474</f>
        <v>4413096</v>
      </c>
      <c r="B415" s="18" t="str">
        <f aca="false">'CEMIUP0.9 Raw'!C1474</f>
        <v>45 XXL מגן ברך לבן</v>
      </c>
      <c r="C415" s="18" t="str">
        <f aca="false">'CEMIUP0.9 Raw'!C1474</f>
        <v>45 XXL מגן ברך לבן</v>
      </c>
      <c r="D415" s="19" t="n">
        <f aca="false">'CEMIUP0.9 Raw'!D1474</f>
        <v>288</v>
      </c>
      <c r="E415" s="19" t="n">
        <f aca="false">'CEMIUP0.9 Raw'!E1474</f>
        <v>6738.55</v>
      </c>
      <c r="F415" s="19" t="n">
        <f aca="false">'CEMIUP0.9 Raw'!F1474</f>
        <v>222.315789473684</v>
      </c>
      <c r="G415" s="19" t="n">
        <f aca="false">'CEMIUP0.9 Raw'!G1474</f>
        <v>5373.55957894737</v>
      </c>
      <c r="H415" s="18" t="str">
        <f aca="false">'CEMIUP0.9 Raw'!A1474</f>
        <v>Super-Pharm Israel (CEMI internal group)</v>
      </c>
    </row>
    <row r="416" customFormat="false" ht="15" hidden="false" customHeight="false" outlineLevel="0" collapsed="false">
      <c r="A416" s="18" t="n">
        <f aca="false">'SALES Raw'!G579</f>
        <v>4413197</v>
      </c>
      <c r="B416" s="18" t="str">
        <f aca="false">'SALES Raw'!B579</f>
        <v>87 L</v>
      </c>
      <c r="C416" s="18" t="str">
        <f aca="false">'SALES Raw'!H579</f>
        <v>87 L מקבע כתף ויד</v>
      </c>
      <c r="D416" s="19" t="n">
        <f aca="false">'SALES Raw'!C579</f>
        <v>224</v>
      </c>
      <c r="E416" s="19" t="n">
        <f aca="false">'SALES Raw'!D579</f>
        <v>30369.76</v>
      </c>
      <c r="F416" s="19" t="n">
        <f aca="false">'SALES Raw'!E579*$H$4</f>
        <v>221.052631578947</v>
      </c>
      <c r="G416" s="19" t="n">
        <f aca="false">'SALES Raw'!F579*$H$4</f>
        <v>30947.8231578947</v>
      </c>
      <c r="H416" s="18" t="str">
        <f aca="false">'SALES Raw'!A579</f>
        <v>102 - Orthopedic institutes</v>
      </c>
    </row>
    <row r="417" customFormat="false" ht="15" hidden="false" customHeight="false" outlineLevel="0" collapsed="false">
      <c r="A417" s="18" t="n">
        <f aca="false">'CEMIUP0.9 Raw'!B268</f>
        <v>4413095</v>
      </c>
      <c r="B417" s="18" t="str">
        <f aca="false">'CEMIUP0.9 Raw'!C268</f>
        <v>45 XL מגן ברך לבן</v>
      </c>
      <c r="C417" s="18" t="str">
        <f aca="false">'CEMIUP0.9 Raw'!C268</f>
        <v>45 XL מגן ברך לבן</v>
      </c>
      <c r="D417" s="19" t="n">
        <f aca="false">'CEMIUP0.9 Raw'!D268</f>
        <v>246</v>
      </c>
      <c r="E417" s="19" t="n">
        <f aca="false">'CEMIUP0.9 Raw'!E268</f>
        <v>6683.187</v>
      </c>
      <c r="F417" s="19" t="n">
        <f aca="false">'CEMIUP0.9 Raw'!F268</f>
        <v>221.052631578947</v>
      </c>
      <c r="G417" s="19" t="n">
        <f aca="false">'CEMIUP0.9 Raw'!G268</f>
        <v>6014.37978947368</v>
      </c>
      <c r="H417" s="18" t="str">
        <f aca="false">'CEMIUP0.9 Raw'!A268</f>
        <v>107 - Pharmacies</v>
      </c>
    </row>
    <row r="418" customFormat="false" ht="15" hidden="false" customHeight="false" outlineLevel="0" collapsed="false">
      <c r="A418" s="18" t="n">
        <f aca="false">'CEMIUP0.9 Raw'!B1039</f>
        <v>4409014</v>
      </c>
      <c r="B418" s="18" t="str">
        <f aca="false">'CEMIUP0.9 Raw'!C1039</f>
        <v>808KT-P        טייפ קינזיולוגי</v>
      </c>
      <c r="C418" s="18" t="str">
        <f aca="false">'CEMIUP0.9 Raw'!C1039</f>
        <v>808KT-P        טייפ קינזיולוגי</v>
      </c>
      <c r="D418" s="19" t="n">
        <f aca="false">'CEMIUP0.9 Raw'!D1039</f>
        <v>256</v>
      </c>
      <c r="E418" s="19" t="n">
        <f aca="false">'CEMIUP0.9 Raw'!E1039</f>
        <v>10268.804</v>
      </c>
      <c r="F418" s="19" t="n">
        <f aca="false">'CEMIUP0.9 Raw'!F1039</f>
        <v>218.526315789474</v>
      </c>
      <c r="G418" s="19" t="n">
        <f aca="false">'CEMIUP0.9 Raw'!G1039</f>
        <v>8765.65642105263</v>
      </c>
      <c r="H418" s="18" t="str">
        <f aca="false">'CEMIUP0.9 Raw'!A1039</f>
        <v>BE (CEMI internal group)</v>
      </c>
    </row>
    <row r="419" customFormat="false" ht="15" hidden="false" customHeight="false" outlineLevel="0" collapsed="false">
      <c r="A419" s="18" t="n">
        <f aca="false">'CEMIUP0.9 Raw'!B441</f>
        <v>4413497</v>
      </c>
      <c r="B419" s="18" t="str">
        <f aca="false">'CEMIUP0.9 Raw'!C441</f>
        <v>45B M מגן ברך שחור</v>
      </c>
      <c r="C419" s="18" t="str">
        <f aca="false">'CEMIUP0.9 Raw'!C441</f>
        <v>45B M מגן ברך שחור</v>
      </c>
      <c r="D419" s="19" t="n">
        <f aca="false">'CEMIUP0.9 Raw'!D441</f>
        <v>277</v>
      </c>
      <c r="E419" s="19" t="n">
        <f aca="false">'CEMIUP0.9 Raw'!E441</f>
        <v>7428.826</v>
      </c>
      <c r="F419" s="19" t="n">
        <f aca="false">'CEMIUP0.9 Raw'!F441</f>
        <v>217.263157894737</v>
      </c>
      <c r="G419" s="19" t="n">
        <f aca="false">'CEMIUP0.9 Raw'!G441</f>
        <v>6024.50652631579</v>
      </c>
      <c r="H419" s="18" t="str">
        <f aca="false">'CEMIUP0.9 Raw'!A441</f>
        <v>107 - Pharmacies</v>
      </c>
    </row>
    <row r="420" customFormat="false" ht="15" hidden="false" customHeight="false" outlineLevel="0" collapsed="false">
      <c r="A420" s="18" t="n">
        <f aca="false">'SALES Raw'!G4137</f>
        <v>4413326</v>
      </c>
      <c r="B420" s="18" t="str">
        <f aca="false">'SALES Raw'!B4137</f>
        <v>AC37 0</v>
      </c>
      <c r="C420" s="18" t="str">
        <f aca="false">'SALES Raw'!H4137</f>
        <v>AC37 מגן קרסול נושם</v>
      </c>
      <c r="D420" s="19" t="n">
        <f aca="false">'SALES Raw'!C4137</f>
        <v>255</v>
      </c>
      <c r="E420" s="19" t="n">
        <f aca="false">'SALES Raw'!D4137</f>
        <v>5430.64</v>
      </c>
      <c r="F420" s="19" t="n">
        <f aca="false">'SALES Raw'!E4137*$H$4</f>
        <v>217.263157894737</v>
      </c>
      <c r="G420" s="19" t="n">
        <f aca="false">'SALES Raw'!F4137*$H$4</f>
        <v>4098.34105263158</v>
      </c>
      <c r="H420" s="18" t="str">
        <f aca="false">'SALES Raw'!A4137</f>
        <v>214 - Alfred Gera&amp; Sons Ltd. MALTA</v>
      </c>
    </row>
    <row r="421" customFormat="false" ht="15" hidden="false" customHeight="false" outlineLevel="0" collapsed="false">
      <c r="A421" s="18" t="n">
        <f aca="false">'SALES Raw'!G551</f>
        <v>4403044</v>
      </c>
      <c r="B421" s="18" t="str">
        <f aca="false">'SALES Raw'!B551</f>
        <v>395B-39-42</v>
      </c>
      <c r="C421" s="18" t="str">
        <f aca="false">'SALES Raw'!H551</f>
        <v>395B גרבי קיץ אנטי בקטריא39-42</v>
      </c>
      <c r="D421" s="19" t="n">
        <f aca="false">'SALES Raw'!C551</f>
        <v>0</v>
      </c>
      <c r="E421" s="19" t="n">
        <f aca="false">'SALES Raw'!D551</f>
        <v>0</v>
      </c>
      <c r="F421" s="19" t="n">
        <f aca="false">'SALES Raw'!E551*$H$4</f>
        <v>216</v>
      </c>
      <c r="G421" s="19" t="n">
        <f aca="false">'SALES Raw'!F551*$H$4</f>
        <v>6249.29684210526</v>
      </c>
      <c r="H421" s="18" t="str">
        <f aca="false">'SALES Raw'!A551</f>
        <v>102 - Orthopedic institutes</v>
      </c>
    </row>
    <row r="422" customFormat="false" ht="15" hidden="false" customHeight="false" outlineLevel="0" collapsed="false">
      <c r="A422" s="18" t="n">
        <f aca="false">'SALES Raw'!G3122</f>
        <v>4408268</v>
      </c>
      <c r="B422" s="18" t="str">
        <f aca="false">'SALES Raw'!B3122</f>
        <v>ST20 0</v>
      </c>
      <c r="C422" s="18" t="str">
        <f aca="false">'SALES Raw'!H3122</f>
        <v>ST20 חבק יד</v>
      </c>
      <c r="D422" s="19" t="n">
        <f aca="false">'SALES Raw'!C3122</f>
        <v>96</v>
      </c>
      <c r="E422" s="19" t="n">
        <f aca="false">'SALES Raw'!D3122</f>
        <v>1016.86</v>
      </c>
      <c r="F422" s="19" t="n">
        <f aca="false">'SALES Raw'!E3122*$H$4</f>
        <v>216</v>
      </c>
      <c r="G422" s="19" t="n">
        <f aca="false">'SALES Raw'!F3122*$H$4</f>
        <v>2182.25684210526</v>
      </c>
      <c r="H422" s="18" t="str">
        <f aca="false">'SALES Raw'!A3122</f>
        <v>203 - Ortho- Partner ag SWITZERLAND</v>
      </c>
    </row>
    <row r="423" customFormat="false" ht="15" hidden="false" customHeight="false" outlineLevel="0" collapsed="false">
      <c r="A423" s="18" t="n">
        <f aca="false">'CEMIUP0.9 Raw'!B777</f>
        <v>4413049</v>
      </c>
      <c r="B423" s="18" t="str">
        <f aca="false">'CEMIUP0.9 Raw'!C777</f>
        <v>35 M מגן קרסול לבן</v>
      </c>
      <c r="C423" s="18" t="str">
        <f aca="false">'CEMIUP0.9 Raw'!C777</f>
        <v>35 M מגן קרסול לבן</v>
      </c>
      <c r="D423" s="19" t="n">
        <f aca="false">'CEMIUP0.9 Raw'!D777</f>
        <v>275</v>
      </c>
      <c r="E423" s="19" t="n">
        <f aca="false">'CEMIUP0.9 Raw'!E777</f>
        <v>4675</v>
      </c>
      <c r="F423" s="19" t="n">
        <f aca="false">'CEMIUP0.9 Raw'!F777</f>
        <v>216</v>
      </c>
      <c r="G423" s="19" t="n">
        <f aca="false">'CEMIUP0.9 Raw'!G777</f>
        <v>3420.97642105263</v>
      </c>
      <c r="H423" s="18" t="str">
        <f aca="false">'CEMIUP0.9 Raw'!A777</f>
        <v>113 - Kupat Holim Meuhedet</v>
      </c>
    </row>
    <row r="424" customFormat="false" ht="15" hidden="false" customHeight="false" outlineLevel="0" collapsed="false">
      <c r="A424" s="18" t="n">
        <f aca="false">'SALES Raw'!G2913</f>
        <v>4408051</v>
      </c>
      <c r="B424" s="18" t="str">
        <f aca="false">'SALES Raw'!B2913</f>
        <v>21 S</v>
      </c>
      <c r="C424" s="18" t="str">
        <f aca="false">'SALES Raw'!H2913</f>
        <v>21 S  חבק יד ארוך</v>
      </c>
      <c r="D424" s="19" t="n">
        <f aca="false">'SALES Raw'!C2913</f>
        <v>280</v>
      </c>
      <c r="E424" s="19" t="n">
        <f aca="false">'SALES Raw'!D2913</f>
        <v>6063.38</v>
      </c>
      <c r="F424" s="19" t="n">
        <f aca="false">'SALES Raw'!E2913*$H$4</f>
        <v>214.736842105263</v>
      </c>
      <c r="G424" s="19" t="n">
        <f aca="false">'SALES Raw'!F2913*$H$4</f>
        <v>4164</v>
      </c>
      <c r="H424" s="18" t="str">
        <f aca="false">'SALES Raw'!A2913</f>
        <v>202 - Super-Pharm POLAND</v>
      </c>
    </row>
    <row r="425" customFormat="false" ht="15" hidden="false" customHeight="false" outlineLevel="0" collapsed="false">
      <c r="A425" s="18" t="n">
        <f aca="false">'SALES Raw'!G2963</f>
        <v>4413093</v>
      </c>
      <c r="B425" s="18" t="str">
        <f aca="false">'SALES Raw'!B2963</f>
        <v>45 M</v>
      </c>
      <c r="C425" s="18" t="str">
        <f aca="false">'SALES Raw'!H2963</f>
        <v>45 M מגן ברך לבן</v>
      </c>
      <c r="D425" s="19" t="n">
        <f aca="false">'SALES Raw'!C2963</f>
        <v>230</v>
      </c>
      <c r="E425" s="19" t="n">
        <f aca="false">'SALES Raw'!D2963</f>
        <v>3190.16</v>
      </c>
      <c r="F425" s="19" t="n">
        <f aca="false">'SALES Raw'!E2963*$H$4</f>
        <v>214.736842105263</v>
      </c>
      <c r="G425" s="19" t="n">
        <f aca="false">'SALES Raw'!F2963*$H$4</f>
        <v>2669.02736842105</v>
      </c>
      <c r="H425" s="18" t="str">
        <f aca="false">'SALES Raw'!A2963</f>
        <v>202 - Super-Pharm POLAND</v>
      </c>
    </row>
    <row r="426" customFormat="false" ht="15" hidden="false" customHeight="false" outlineLevel="0" collapsed="false">
      <c r="A426" s="18" t="n">
        <f aca="false">'SALES Raw'!G2972</f>
        <v>4413097</v>
      </c>
      <c r="B426" s="18" t="str">
        <f aca="false">'SALES Raw'!B2972</f>
        <v>45C S</v>
      </c>
      <c r="C426" s="18" t="str">
        <f aca="false">'SALES Raw'!H2972</f>
        <v>45C S מגן ברך חום</v>
      </c>
      <c r="D426" s="19" t="n">
        <f aca="false">'SALES Raw'!C2972</f>
        <v>220</v>
      </c>
      <c r="E426" s="19" t="n">
        <f aca="false">'SALES Raw'!D2972</f>
        <v>3020</v>
      </c>
      <c r="F426" s="19" t="n">
        <f aca="false">'SALES Raw'!E2972*$H$4</f>
        <v>214.736842105263</v>
      </c>
      <c r="G426" s="19" t="n">
        <f aca="false">'SALES Raw'!F2972*$H$4</f>
        <v>2625.34736842105</v>
      </c>
      <c r="H426" s="18" t="str">
        <f aca="false">'SALES Raw'!A2972</f>
        <v>202 - Super-Pharm POLAND</v>
      </c>
    </row>
    <row r="427" customFormat="false" ht="15" hidden="false" customHeight="false" outlineLevel="0" collapsed="false">
      <c r="A427" s="18" t="n">
        <f aca="false">'SALES Raw'!G3185</f>
        <v>4413348</v>
      </c>
      <c r="B427" s="18" t="str">
        <f aca="false">'SALES Raw'!B3185</f>
        <v>302M 0</v>
      </c>
      <c r="C427" s="18" t="str">
        <f aca="false">'SALES Raw'!H3185</f>
        <v>302 מדרס ג'ל לגבר</v>
      </c>
      <c r="D427" s="19" t="n">
        <f aca="false">'SALES Raw'!C3185</f>
        <v>120</v>
      </c>
      <c r="E427" s="19" t="n">
        <f aca="false">'SALES Raw'!D3185</f>
        <v>3276.11</v>
      </c>
      <c r="F427" s="19" t="n">
        <f aca="false">'SALES Raw'!E3185*$H$4</f>
        <v>214.736842105263</v>
      </c>
      <c r="G427" s="19" t="n">
        <f aca="false">'SALES Raw'!F3185*$H$4</f>
        <v>5232.79578947368</v>
      </c>
      <c r="H427" s="18" t="str">
        <f aca="false">'SALES Raw'!A3185</f>
        <v>204 - Sanaflex Anatomic GREECE</v>
      </c>
    </row>
    <row r="428" customFormat="false" ht="15" hidden="false" customHeight="false" outlineLevel="0" collapsed="false">
      <c r="A428" s="18" t="n">
        <f aca="false">'SALES Raw'!G3218</f>
        <v>4421008</v>
      </c>
      <c r="B428" s="18" t="str">
        <f aca="false">'SALES Raw'!B3218</f>
        <v>351 0</v>
      </c>
      <c r="C428" s="18" t="str">
        <f aca="false">'SALES Raw'!H3218</f>
        <v>שרוול לגבס ארוך רגל</v>
      </c>
      <c r="D428" s="19" t="n">
        <f aca="false">'SALES Raw'!C3218</f>
        <v>240</v>
      </c>
      <c r="E428" s="19" t="n">
        <f aca="false">'SALES Raw'!D3218</f>
        <v>6330.7</v>
      </c>
      <c r="F428" s="19" t="n">
        <f aca="false">'SALES Raw'!E3218*$H$4</f>
        <v>214.736842105263</v>
      </c>
      <c r="G428" s="19" t="n">
        <f aca="false">'SALES Raw'!F3218*$H$4</f>
        <v>5085.27157894737</v>
      </c>
      <c r="H428" s="18" t="str">
        <f aca="false">'SALES Raw'!A3218</f>
        <v>204 - Sanaflex Anatomic GREECE</v>
      </c>
    </row>
    <row r="429" customFormat="false" ht="15" hidden="false" customHeight="false" outlineLevel="0" collapsed="false">
      <c r="A429" s="18" t="n">
        <f aca="false">'SALES Raw'!G3221</f>
        <v>4411001</v>
      </c>
      <c r="B429" s="18" t="str">
        <f aca="false">'SALES Raw'!B3221</f>
        <v>3623 0</v>
      </c>
      <c r="C429" s="18" t="str">
        <f aca="false">'SALES Raw'!H3221</f>
        <v>3623 כרית ליישור אצבע פטיש</v>
      </c>
      <c r="D429" s="19" t="n">
        <f aca="false">'SALES Raw'!C3221</f>
        <v>136</v>
      </c>
      <c r="E429" s="19" t="n">
        <f aca="false">'SALES Raw'!D3221</f>
        <v>2135.79</v>
      </c>
      <c r="F429" s="19" t="n">
        <f aca="false">'SALES Raw'!E3221*$H$4</f>
        <v>214.736842105263</v>
      </c>
      <c r="G429" s="19" t="n">
        <f aca="false">'SALES Raw'!F3221*$H$4</f>
        <v>2984.05894736842</v>
      </c>
      <c r="H429" s="18" t="str">
        <f aca="false">'SALES Raw'!A3221</f>
        <v>204 - Sanaflex Anatomic GREECE</v>
      </c>
    </row>
    <row r="430" customFormat="false" ht="15" hidden="false" customHeight="false" outlineLevel="0" collapsed="false">
      <c r="A430" s="18" t="str">
        <f aca="false">'SALES Raw'!G3237</f>
        <v/>
      </c>
      <c r="B430" s="18" t="str">
        <f aca="false">'SALES Raw'!B3237</f>
        <v>376-44-45</v>
      </c>
      <c r="C430" s="18" t="str">
        <f aca="false">'SALES Raw'!H3237</f>
        <v>376-44-45</v>
      </c>
      <c r="D430" s="19" t="n">
        <f aca="false">'SALES Raw'!C3237</f>
        <v>180</v>
      </c>
      <c r="E430" s="19" t="n">
        <f aca="false">'SALES Raw'!D3237</f>
        <v>2649.87</v>
      </c>
      <c r="F430" s="19" t="n">
        <f aca="false">'SALES Raw'!E3237*$H$4</f>
        <v>214.736842105263</v>
      </c>
      <c r="G430" s="19" t="n">
        <f aca="false">'SALES Raw'!F3237*$H$4</f>
        <v>2854.04210526316</v>
      </c>
      <c r="H430" s="18" t="str">
        <f aca="false">'SALES Raw'!A3237</f>
        <v>204 - Sanaflex Anatomic GREECE</v>
      </c>
    </row>
    <row r="431" customFormat="false" ht="15" hidden="false" customHeight="false" outlineLevel="0" collapsed="false">
      <c r="A431" s="18" t="n">
        <f aca="false">'CEMIUP0.9 Raw'!B745</f>
        <v>4408269</v>
      </c>
      <c r="B431" s="18" t="str">
        <f aca="false">'CEMIUP0.9 Raw'!C745</f>
        <v>ST37 חבק לקרסול</v>
      </c>
      <c r="C431" s="18" t="str">
        <f aca="false">'CEMIUP0.9 Raw'!C745</f>
        <v>ST37 חבק לקרסול</v>
      </c>
      <c r="D431" s="19" t="n">
        <f aca="false">'CEMIUP0.9 Raw'!D745</f>
        <v>177</v>
      </c>
      <c r="E431" s="19" t="n">
        <f aca="false">'CEMIUP0.9 Raw'!E745</f>
        <v>3717</v>
      </c>
      <c r="F431" s="19" t="n">
        <f aca="false">'CEMIUP0.9 Raw'!F745</f>
        <v>214.736842105263</v>
      </c>
      <c r="G431" s="19" t="n">
        <f aca="false">'CEMIUP0.9 Raw'!G745</f>
        <v>4223.64378947368</v>
      </c>
      <c r="H431" s="18" t="str">
        <f aca="false">'CEMIUP0.9 Raw'!A745</f>
        <v>113 - Kupat Holim Meuhedet</v>
      </c>
    </row>
    <row r="432" customFormat="false" ht="15" hidden="false" customHeight="false" outlineLevel="0" collapsed="false">
      <c r="A432" s="18" t="n">
        <f aca="false">'SALES Raw'!G569</f>
        <v>4408272</v>
      </c>
      <c r="B432" s="18" t="str">
        <f aca="false">'SALES Raw'!B569</f>
        <v>70N S</v>
      </c>
      <c r="C432" s="18" t="str">
        <f aca="false">'SALES Raw'!H569</f>
        <v>70N S חגורת פאבליק</v>
      </c>
      <c r="D432" s="19" t="n">
        <f aca="false">'SALES Raw'!C569</f>
        <v>140</v>
      </c>
      <c r="E432" s="19" t="n">
        <f aca="false">'SALES Raw'!D569</f>
        <v>34014.09</v>
      </c>
      <c r="F432" s="19" t="n">
        <f aca="false">'SALES Raw'!E569*$H$4</f>
        <v>213.473684210526</v>
      </c>
      <c r="G432" s="19" t="n">
        <f aca="false">'SALES Raw'!F569*$H$4</f>
        <v>53396.147368421</v>
      </c>
      <c r="H432" s="18" t="str">
        <f aca="false">'SALES Raw'!A569</f>
        <v>102 - Orthopedic institutes</v>
      </c>
    </row>
    <row r="433" customFormat="false" ht="15" hidden="false" customHeight="false" outlineLevel="0" collapsed="false">
      <c r="A433" s="18" t="n">
        <f aca="false">'CEMIUP0.9 Raw'!B1571</f>
        <v>4413398</v>
      </c>
      <c r="B433" s="18" t="str">
        <f aca="false">'CEMIUP0.9 Raw'!C1571</f>
        <v>45EC XXL'מגן ברך ארוך בז</v>
      </c>
      <c r="C433" s="18" t="str">
        <f aca="false">'CEMIUP0.9 Raw'!C1571</f>
        <v>45EC XXL'מגן ברך ארוך בז</v>
      </c>
      <c r="D433" s="19" t="n">
        <f aca="false">'CEMIUP0.9 Raw'!D1571</f>
        <v>360</v>
      </c>
      <c r="E433" s="19" t="n">
        <f aca="false">'CEMIUP0.9 Raw'!E1571</f>
        <v>10160.15</v>
      </c>
      <c r="F433" s="19" t="n">
        <f aca="false">'CEMIUP0.9 Raw'!F1571</f>
        <v>213.473684210526</v>
      </c>
      <c r="G433" s="19" t="n">
        <f aca="false">'CEMIUP0.9 Raw'!G1571</f>
        <v>6060.37010526316</v>
      </c>
      <c r="H433" s="18" t="str">
        <f aca="false">'CEMIUP0.9 Raw'!A1571</f>
        <v>Super-Pharm Israel (CEMI internal group)</v>
      </c>
    </row>
    <row r="434" customFormat="false" ht="15" hidden="false" customHeight="false" outlineLevel="0" collapsed="false">
      <c r="A434" s="18" t="n">
        <f aca="false">'SALES Raw'!G3822</f>
        <v>4421000</v>
      </c>
      <c r="B434" s="18" t="str">
        <f aca="false">'SALES Raw'!B3822</f>
        <v>3655 0</v>
      </c>
      <c r="C434" s="18" t="str">
        <f aca="false">'SALES Raw'!H3822</f>
        <v>3655 שרוול מסיליקון לאצבע</v>
      </c>
      <c r="D434" s="19" t="n">
        <f aca="false">'SALES Raw'!C3822</f>
        <v>180</v>
      </c>
      <c r="E434" s="19" t="n">
        <f aca="false">'SALES Raw'!D3822</f>
        <v>1530.52</v>
      </c>
      <c r="F434" s="19" t="n">
        <f aca="false">'SALES Raw'!E3822*$H$4</f>
        <v>212.210526315789</v>
      </c>
      <c r="G434" s="19" t="n">
        <f aca="false">'SALES Raw'!F3822*$H$4</f>
        <v>1789.36421052632</v>
      </c>
      <c r="H434" s="18" t="str">
        <f aca="false">'SALES Raw'!A3822</f>
        <v>209 - Ortoprofil Prod ROMANIA</v>
      </c>
    </row>
    <row r="435" customFormat="false" ht="15" hidden="false" customHeight="false" outlineLevel="0" collapsed="false">
      <c r="A435" s="18" t="n">
        <f aca="false">'CEMIUP0.9 Raw'!B1038</f>
        <v>4409013</v>
      </c>
      <c r="B435" s="18" t="str">
        <f aca="false">'CEMIUP0.9 Raw'!C1038</f>
        <v>804AT-BL     טייפ חבישה לספורט</v>
      </c>
      <c r="C435" s="18" t="str">
        <f aca="false">'CEMIUP0.9 Raw'!C1038</f>
        <v>804AT-BL     טייפ חבישה לספורט</v>
      </c>
      <c r="D435" s="19" t="n">
        <f aca="false">'CEMIUP0.9 Raw'!D1038</f>
        <v>282</v>
      </c>
      <c r="E435" s="19" t="n">
        <f aca="false">'CEMIUP0.9 Raw'!E1038</f>
        <v>3951.948</v>
      </c>
      <c r="F435" s="19" t="n">
        <f aca="false">'CEMIUP0.9 Raw'!F1038</f>
        <v>212.210526315789</v>
      </c>
      <c r="G435" s="19" t="n">
        <f aca="false">'CEMIUP0.9 Raw'!G1038</f>
        <v>2973.91831578947</v>
      </c>
      <c r="H435" s="18" t="str">
        <f aca="false">'CEMIUP0.9 Raw'!A1038</f>
        <v>BE (CEMI internal group)</v>
      </c>
    </row>
    <row r="436" customFormat="false" ht="15" hidden="false" customHeight="false" outlineLevel="0" collapsed="false">
      <c r="A436" s="18" t="n">
        <f aca="false">'CEMIUP0.9 Raw'!B77</f>
        <v>4408051</v>
      </c>
      <c r="B436" s="18" t="str">
        <f aca="false">'CEMIUP0.9 Raw'!C77</f>
        <v>21 S  חבק יד ארוך</v>
      </c>
      <c r="C436" s="18" t="str">
        <f aca="false">'CEMIUP0.9 Raw'!C77</f>
        <v>21 S  חבק יד ארוך</v>
      </c>
      <c r="D436" s="19" t="n">
        <f aca="false">'CEMIUP0.9 Raw'!D77</f>
        <v>349</v>
      </c>
      <c r="E436" s="19" t="n">
        <f aca="false">'CEMIUP0.9 Raw'!E77</f>
        <v>12358.731</v>
      </c>
      <c r="F436" s="19" t="n">
        <f aca="false">'CEMIUP0.9 Raw'!F77</f>
        <v>210.947368421053</v>
      </c>
      <c r="G436" s="19" t="n">
        <f aca="false">'CEMIUP0.9 Raw'!G77</f>
        <v>7557.62652631579</v>
      </c>
      <c r="H436" s="18" t="str">
        <f aca="false">'CEMIUP0.9 Raw'!A77</f>
        <v>107 - Pharmacies</v>
      </c>
    </row>
    <row r="437" customFormat="false" ht="15" hidden="false" customHeight="false" outlineLevel="0" collapsed="false">
      <c r="A437" s="18" t="n">
        <f aca="false">'CEMIUP0.9 Raw'!B691</f>
        <v>4403043</v>
      </c>
      <c r="B437" s="18" t="str">
        <f aca="false">'CEMIUP0.9 Raw'!C691</f>
        <v>397A-גרבי טיסה אנטי בקטרי43-46</v>
      </c>
      <c r="C437" s="18" t="str">
        <f aca="false">'CEMIUP0.9 Raw'!C691</f>
        <v>397A-גרבי טיסה אנטי בקטרי43-46</v>
      </c>
      <c r="D437" s="19" t="n">
        <f aca="false">'CEMIUP0.9 Raw'!D691</f>
        <v>284</v>
      </c>
      <c r="E437" s="19" t="n">
        <f aca="false">'CEMIUP0.9 Raw'!E691</f>
        <v>11874.04</v>
      </c>
      <c r="F437" s="19" t="n">
        <f aca="false">'CEMIUP0.9 Raw'!F691</f>
        <v>208.421052631579</v>
      </c>
      <c r="G437" s="19" t="n">
        <f aca="false">'CEMIUP0.9 Raw'!G691</f>
        <v>7487.68294736842</v>
      </c>
      <c r="H437" s="18" t="str">
        <f aca="false">'CEMIUP0.9 Raw'!A691</f>
        <v>113 - Kupat Holim Meuhedet</v>
      </c>
    </row>
    <row r="438" customFormat="false" ht="15" hidden="false" customHeight="false" outlineLevel="0" collapsed="false">
      <c r="A438" s="18" t="n">
        <f aca="false">'CEMIUP0.9 Raw'!B732</f>
        <v>4408221</v>
      </c>
      <c r="B438" s="18" t="str">
        <f aca="false">'CEMIUP0.9 Raw'!C732</f>
        <v>078G-L חגורת גב אפורה</v>
      </c>
      <c r="C438" s="18" t="str">
        <f aca="false">'CEMIUP0.9 Raw'!C732</f>
        <v>078G-L חגורת גב אפורה</v>
      </c>
      <c r="D438" s="19" t="n">
        <f aca="false">'CEMIUP0.9 Raw'!D732</f>
        <v>392</v>
      </c>
      <c r="E438" s="19" t="n">
        <f aca="false">'CEMIUP0.9 Raw'!E732</f>
        <v>25480</v>
      </c>
      <c r="F438" s="19" t="n">
        <f aca="false">'CEMIUP0.9 Raw'!F732</f>
        <v>208.421052631579</v>
      </c>
      <c r="G438" s="19" t="n">
        <f aca="false">'CEMIUP0.9 Raw'!G732</f>
        <v>13023.9915789474</v>
      </c>
      <c r="H438" s="18" t="str">
        <f aca="false">'CEMIUP0.9 Raw'!A732</f>
        <v>113 - Kupat Holim Meuhedet</v>
      </c>
    </row>
    <row r="439" customFormat="false" ht="15" hidden="false" customHeight="false" outlineLevel="0" collapsed="false">
      <c r="A439" s="18" t="n">
        <f aca="false">'SALES Raw'!G3035</f>
        <v>4408034</v>
      </c>
      <c r="B439" s="18" t="str">
        <f aca="false">'SALES Raw'!B3035</f>
        <v>11 XL</v>
      </c>
      <c r="C439" s="18" t="str">
        <f aca="false">'SALES Raw'!H3035</f>
        <v>11 XL""""חגורת בטן""""אורירית</v>
      </c>
      <c r="D439" s="19" t="n">
        <f aca="false">'SALES Raw'!C3035</f>
        <v>96</v>
      </c>
      <c r="E439" s="19" t="n">
        <f aca="false">'SALES Raw'!D3035</f>
        <v>4293.24</v>
      </c>
      <c r="F439" s="19" t="n">
        <f aca="false">'SALES Raw'!E3035*$H$4</f>
        <v>208.421052631579</v>
      </c>
      <c r="G439" s="19" t="n">
        <f aca="false">'SALES Raw'!F3035*$H$4</f>
        <v>9055.12421052632</v>
      </c>
      <c r="H439" s="18" t="str">
        <f aca="false">'SALES Raw'!A3035</f>
        <v>203 - Ortho- Partner ag SWITZERLAND</v>
      </c>
    </row>
    <row r="440" customFormat="false" ht="15" hidden="false" customHeight="false" outlineLevel="0" collapsed="false">
      <c r="A440" s="18" t="n">
        <f aca="false">'CEMIUP0.9 Raw'!B1204</f>
        <v>4414000</v>
      </c>
      <c r="B440" s="18" t="str">
        <f aca="false">'CEMIUP0.9 Raw'!C1204</f>
        <v>FC342-נוזל לציפורן חודרנית</v>
      </c>
      <c r="C440" s="18" t="str">
        <f aca="false">'CEMIUP0.9 Raw'!C1204</f>
        <v>FC342-נוזל לציפורן חודרנית</v>
      </c>
      <c r="D440" s="19" t="n">
        <f aca="false">'CEMIUP0.9 Raw'!D1204</f>
        <v>185</v>
      </c>
      <c r="E440" s="19" t="n">
        <f aca="false">'CEMIUP0.9 Raw'!E1204</f>
        <v>5629.806</v>
      </c>
      <c r="F440" s="19" t="n">
        <f aca="false">'CEMIUP0.9 Raw'!F1204</f>
        <v>207.157894736842</v>
      </c>
      <c r="G440" s="19" t="n">
        <f aca="false">'CEMIUP0.9 Raw'!G1204</f>
        <v>6349.46273684211</v>
      </c>
      <c r="H440" s="18" t="str">
        <f aca="false">'CEMIUP0.9 Raw'!A1204</f>
        <v>BE (CEMI internal group)</v>
      </c>
    </row>
    <row r="441" customFormat="false" ht="15" hidden="false" customHeight="false" outlineLevel="0" collapsed="false">
      <c r="A441" s="18" t="n">
        <f aca="false">'SALES Raw'!G663</f>
        <v>4413453</v>
      </c>
      <c r="B441" s="18" t="str">
        <f aca="false">'SALES Raw'!B663</f>
        <v>AC75-S-XL</v>
      </c>
      <c r="C441" s="18" t="str">
        <f aca="false">'SALES Raw'!H663</f>
        <v>AC75 מישר כתפיים אקטיב</v>
      </c>
      <c r="D441" s="19" t="n">
        <f aca="false">'SALES Raw'!C663</f>
        <v>212</v>
      </c>
      <c r="E441" s="19" t="n">
        <f aca="false">'SALES Raw'!D663</f>
        <v>14964.85</v>
      </c>
      <c r="F441" s="19" t="n">
        <f aca="false">'SALES Raw'!E663*$H$4</f>
        <v>205.894736842105</v>
      </c>
      <c r="G441" s="19" t="n">
        <f aca="false">'SALES Raw'!F663*$H$4</f>
        <v>16172.2105263158</v>
      </c>
      <c r="H441" s="18" t="str">
        <f aca="false">'SALES Raw'!A663</f>
        <v>102 - Orthopedic institutes</v>
      </c>
    </row>
    <row r="442" customFormat="false" ht="15" hidden="false" customHeight="false" outlineLevel="0" collapsed="false">
      <c r="A442" s="18" t="n">
        <f aca="false">'SALES Raw'!G2642</f>
        <v>4408249</v>
      </c>
      <c r="B442" s="18" t="str">
        <f aca="false">'SALES Raw'!B2642</f>
        <v>SC25 L</v>
      </c>
      <c r="C442" s="18" t="str">
        <f aca="false">'SALES Raw'!H2642</f>
        <v>SC25  L חבק יד</v>
      </c>
      <c r="D442" s="19" t="n">
        <f aca="false">'SALES Raw'!C2642</f>
        <v>232</v>
      </c>
      <c r="E442" s="19" t="n">
        <f aca="false">'SALES Raw'!D2642</f>
        <v>31029.93</v>
      </c>
      <c r="F442" s="19" t="n">
        <f aca="false">'SALES Raw'!E2642*$H$4</f>
        <v>205.894736842105</v>
      </c>
      <c r="G442" s="19" t="n">
        <f aca="false">'SALES Raw'!F2642*$H$4</f>
        <v>31816.9263157895</v>
      </c>
      <c r="H442" s="18" t="str">
        <f aca="false">'SALES Raw'!A2642</f>
        <v>114 - IL online</v>
      </c>
    </row>
    <row r="443" customFormat="false" ht="15" hidden="false" customHeight="false" outlineLevel="0" collapsed="false">
      <c r="A443" s="18" t="n">
        <f aca="false">'CEMIUP0.9 Raw'!B200</f>
        <v>4411001</v>
      </c>
      <c r="B443" s="18" t="str">
        <f aca="false">'CEMIUP0.9 Raw'!C200</f>
        <v>3623 כרית ליישור אצבע פטיש</v>
      </c>
      <c r="C443" s="18" t="str">
        <f aca="false">'CEMIUP0.9 Raw'!C200</f>
        <v>3623 כרית ליישור אצבע פטיש</v>
      </c>
      <c r="D443" s="19" t="n">
        <f aca="false">'CEMIUP0.9 Raw'!D200</f>
        <v>282</v>
      </c>
      <c r="E443" s="19" t="n">
        <f aca="false">'CEMIUP0.9 Raw'!E200</f>
        <v>7006.05</v>
      </c>
      <c r="F443" s="19" t="n">
        <f aca="false">'CEMIUP0.9 Raw'!F200</f>
        <v>205.894736842105</v>
      </c>
      <c r="G443" s="19" t="n">
        <f aca="false">'CEMIUP0.9 Raw'!G200</f>
        <v>5156.33557894737</v>
      </c>
      <c r="H443" s="18" t="str">
        <f aca="false">'CEMIUP0.9 Raw'!A200</f>
        <v>107 - Pharmacies</v>
      </c>
    </row>
    <row r="444" customFormat="false" ht="15" hidden="false" customHeight="false" outlineLevel="0" collapsed="false">
      <c r="A444" s="18" t="n">
        <f aca="false">'CEMIUP0.9 Raw'!B243</f>
        <v>4413055</v>
      </c>
      <c r="B444" s="18" t="str">
        <f aca="false">'CEMIUP0.9 Raw'!C243</f>
        <v>35C XL מגן קרסול חום</v>
      </c>
      <c r="C444" s="18" t="str">
        <f aca="false">'CEMIUP0.9 Raw'!C243</f>
        <v>35C XL מגן קרסול חום</v>
      </c>
      <c r="D444" s="19" t="n">
        <f aca="false">'CEMIUP0.9 Raw'!D243</f>
        <v>245</v>
      </c>
      <c r="E444" s="19" t="n">
        <f aca="false">'CEMIUP0.9 Raw'!E243</f>
        <v>6672.526</v>
      </c>
      <c r="F444" s="19" t="n">
        <f aca="false">'CEMIUP0.9 Raw'!F243</f>
        <v>205.894736842105</v>
      </c>
      <c r="G444" s="19" t="n">
        <f aca="false">'CEMIUP0.9 Raw'!G243</f>
        <v>5596.71284210526</v>
      </c>
      <c r="H444" s="18" t="str">
        <f aca="false">'CEMIUP0.9 Raw'!A243</f>
        <v>107 - Pharmacies</v>
      </c>
    </row>
    <row r="445" customFormat="false" ht="15" hidden="false" customHeight="false" outlineLevel="0" collapsed="false">
      <c r="A445" s="18" t="n">
        <f aca="false">'CEMIUP0.9 Raw'!B1064</f>
        <v>4413048</v>
      </c>
      <c r="B445" s="18" t="str">
        <f aca="false">'CEMIUP0.9 Raw'!C1064</f>
        <v>35 L מגן קרסול לבן</v>
      </c>
      <c r="C445" s="18" t="str">
        <f aca="false">'CEMIUP0.9 Raw'!C1064</f>
        <v>35 L מגן קרסול לבן</v>
      </c>
      <c r="D445" s="19" t="n">
        <f aca="false">'CEMIUP0.9 Raw'!D1064</f>
        <v>261</v>
      </c>
      <c r="E445" s="19" t="n">
        <f aca="false">'CEMIUP0.9 Raw'!E1064</f>
        <v>6604.052</v>
      </c>
      <c r="F445" s="19" t="n">
        <f aca="false">'CEMIUP0.9 Raw'!F1064</f>
        <v>205.894736842105</v>
      </c>
      <c r="G445" s="19" t="n">
        <f aca="false">'CEMIUP0.9 Raw'!G1064</f>
        <v>5203.32252631579</v>
      </c>
      <c r="H445" s="18" t="str">
        <f aca="false">'CEMIUP0.9 Raw'!A1064</f>
        <v>BE (CEMI internal group)</v>
      </c>
    </row>
    <row r="446" customFormat="false" ht="15" hidden="false" customHeight="false" outlineLevel="0" collapsed="false">
      <c r="A446" s="18" t="n">
        <f aca="false">'CEMIUP0.9 Raw'!B1418</f>
        <v>4411018</v>
      </c>
      <c r="B446" s="18" t="str">
        <f aca="false">'CEMIUP0.9 Raw'!C1418</f>
        <v>211M כפפות לחץ</v>
      </c>
      <c r="C446" s="18" t="str">
        <f aca="false">'CEMIUP0.9 Raw'!C1418</f>
        <v>211M כפפות לחץ</v>
      </c>
      <c r="D446" s="19" t="n">
        <f aca="false">'CEMIUP0.9 Raw'!D1418</f>
        <v>258</v>
      </c>
      <c r="E446" s="19" t="n">
        <f aca="false">'CEMIUP0.9 Raw'!E1418</f>
        <v>6683.768</v>
      </c>
      <c r="F446" s="19" t="n">
        <f aca="false">'CEMIUP0.9 Raw'!F1418</f>
        <v>204.631578947368</v>
      </c>
      <c r="G446" s="19" t="n">
        <f aca="false">'CEMIUP0.9 Raw'!G1418</f>
        <v>5391.95115789474</v>
      </c>
      <c r="H446" s="18" t="str">
        <f aca="false">'CEMIUP0.9 Raw'!A1418</f>
        <v>Super-Pharm Israel (CEMI internal group)</v>
      </c>
    </row>
    <row r="447" customFormat="false" ht="15" hidden="false" customHeight="false" outlineLevel="0" collapsed="false">
      <c r="A447" s="18" t="n">
        <f aca="false">'CEMIUP0.9 Raw'!B150</f>
        <v>4408206</v>
      </c>
      <c r="B447" s="18" t="str">
        <f aca="false">'CEMIUP0.9 Raw'!C150</f>
        <v>AC-11 חגורת בטן קלה</v>
      </c>
      <c r="C447" s="18" t="str">
        <f aca="false">'CEMIUP0.9 Raw'!C150</f>
        <v>AC-11 חגורת בטן קלה</v>
      </c>
      <c r="D447" s="19" t="n">
        <f aca="false">'CEMIUP0.9 Raw'!D150</f>
        <v>224</v>
      </c>
      <c r="E447" s="19" t="n">
        <f aca="false">'CEMIUP0.9 Raw'!E150</f>
        <v>13612.872</v>
      </c>
      <c r="F447" s="19" t="n">
        <f aca="false">'CEMIUP0.9 Raw'!F150</f>
        <v>203.368421052632</v>
      </c>
      <c r="G447" s="19" t="n">
        <f aca="false">'CEMIUP0.9 Raw'!G150</f>
        <v>12426.8450526316</v>
      </c>
      <c r="H447" s="18" t="str">
        <f aca="false">'CEMIUP0.9 Raw'!A150</f>
        <v>107 - Pharmacies</v>
      </c>
    </row>
    <row r="448" customFormat="false" ht="15" hidden="false" customHeight="false" outlineLevel="0" collapsed="false">
      <c r="A448" s="18" t="n">
        <f aca="false">'CEMIUP0.9 Raw'!B449</f>
        <v>4413516</v>
      </c>
      <c r="B448" s="18" t="str">
        <f aca="false">'CEMIUP0.9 Raw'!C449</f>
        <v>85B L מתלה רשת לזרוע שחור</v>
      </c>
      <c r="C448" s="18" t="str">
        <f aca="false">'CEMIUP0.9 Raw'!C449</f>
        <v>85B L מתלה רשת לזרוע שחור</v>
      </c>
      <c r="D448" s="19" t="n">
        <f aca="false">'CEMIUP0.9 Raw'!D449</f>
        <v>241</v>
      </c>
      <c r="E448" s="19" t="n">
        <f aca="false">'CEMIUP0.9 Raw'!E449</f>
        <v>11590.124</v>
      </c>
      <c r="F448" s="19" t="n">
        <f aca="false">'CEMIUP0.9 Raw'!F449</f>
        <v>203.368421052632</v>
      </c>
      <c r="G448" s="19" t="n">
        <f aca="false">'CEMIUP0.9 Raw'!G449</f>
        <v>10330.32</v>
      </c>
      <c r="H448" s="18" t="str">
        <f aca="false">'CEMIUP0.9 Raw'!A449</f>
        <v>107 - Pharmacies</v>
      </c>
    </row>
    <row r="449" customFormat="false" ht="15" hidden="false" customHeight="false" outlineLevel="0" collapsed="false">
      <c r="A449" s="18" t="n">
        <f aca="false">'CEMIUP0.9 Raw'!B103</f>
        <v>4408090</v>
      </c>
      <c r="B449" s="18" t="str">
        <f aca="false">'CEMIUP0.9 Raw'!C103</f>
        <v>T11C L  חגורת גב פוג'יאמה</v>
      </c>
      <c r="C449" s="18" t="str">
        <f aca="false">'CEMIUP0.9 Raw'!C103</f>
        <v>T11C L  חגורת גב פוג'יאמה</v>
      </c>
      <c r="D449" s="19" t="n">
        <f aca="false">'CEMIUP0.9 Raw'!D103</f>
        <v>8</v>
      </c>
      <c r="E449" s="19" t="n">
        <f aca="false">'CEMIUP0.9 Raw'!E103</f>
        <v>673.491</v>
      </c>
      <c r="F449" s="19" t="n">
        <f aca="false">'CEMIUP0.9 Raw'!F103</f>
        <v>202.105263157895</v>
      </c>
      <c r="G449" s="19" t="n">
        <f aca="false">'CEMIUP0.9 Raw'!G103</f>
        <v>17477.3924210526</v>
      </c>
      <c r="H449" s="18" t="str">
        <f aca="false">'CEMIUP0.9 Raw'!A103</f>
        <v>107 - Pharmacies</v>
      </c>
    </row>
    <row r="450" customFormat="false" ht="15" hidden="false" customHeight="false" outlineLevel="0" collapsed="false">
      <c r="A450" s="18" t="n">
        <f aca="false">'CEMIUP0.9 Raw'!B371</f>
        <v>4413331</v>
      </c>
      <c r="B450" s="18" t="str">
        <f aca="false">'CEMIUP0.9 Raw'!C371</f>
        <v>AC95 מגן מרפק</v>
      </c>
      <c r="C450" s="18" t="str">
        <f aca="false">'CEMIUP0.9 Raw'!C371</f>
        <v>AC95 מגן מרפק</v>
      </c>
      <c r="D450" s="19" t="n">
        <f aca="false">'CEMIUP0.9 Raw'!D371</f>
        <v>246</v>
      </c>
      <c r="E450" s="19" t="n">
        <f aca="false">'CEMIUP0.9 Raw'!E371</f>
        <v>8222.189</v>
      </c>
      <c r="F450" s="19" t="n">
        <f aca="false">'CEMIUP0.9 Raw'!F371</f>
        <v>202.105263157895</v>
      </c>
      <c r="G450" s="19" t="n">
        <f aca="false">'CEMIUP0.9 Raw'!G371</f>
        <v>6970.74568421053</v>
      </c>
      <c r="H450" s="18" t="str">
        <f aca="false">'CEMIUP0.9 Raw'!A371</f>
        <v>107 - Pharmacies</v>
      </c>
    </row>
    <row r="451" customFormat="false" ht="15" hidden="false" customHeight="false" outlineLevel="0" collapsed="false">
      <c r="A451" s="18" t="n">
        <f aca="false">'CEMIUP0.9 Raw'!B503</f>
        <v>4415163</v>
      </c>
      <c r="B451" s="18" t="str">
        <f aca="false">'CEMIUP0.9 Raw'!C503</f>
        <v>238XL סד ליישור אצבע</v>
      </c>
      <c r="C451" s="18" t="str">
        <f aca="false">'CEMIUP0.9 Raw'!C503</f>
        <v>238XL סד ליישור אצבע</v>
      </c>
      <c r="D451" s="19" t="n">
        <f aca="false">'CEMIUP0.9 Raw'!D503</f>
        <v>231</v>
      </c>
      <c r="E451" s="19" t="n">
        <f aca="false">'CEMIUP0.9 Raw'!E503</f>
        <v>4076.65</v>
      </c>
      <c r="F451" s="19" t="n">
        <f aca="false">'CEMIUP0.9 Raw'!F503</f>
        <v>202.105263157895</v>
      </c>
      <c r="G451" s="19" t="n">
        <f aca="false">'CEMIUP0.9 Raw'!G503</f>
        <v>3653.91410526316</v>
      </c>
      <c r="H451" s="18" t="str">
        <f aca="false">'CEMIUP0.9 Raw'!A503</f>
        <v>107 - Pharmacies</v>
      </c>
    </row>
    <row r="452" customFormat="false" ht="15" hidden="false" customHeight="false" outlineLevel="0" collapsed="false">
      <c r="A452" s="18" t="n">
        <f aca="false">'CEMIUP0.9 Raw'!B930</f>
        <v>4401002</v>
      </c>
      <c r="B452" s="18" t="str">
        <f aca="false">'CEMIUP0.9 Raw'!C930</f>
        <v>PD 344-אבן טבעית להסרת עור קשה</v>
      </c>
      <c r="C452" s="18" t="str">
        <f aca="false">'CEMIUP0.9 Raw'!C930</f>
        <v>PD 344-אבן טבעית להסרת עור קשה</v>
      </c>
      <c r="D452" s="19" t="n">
        <f aca="false">'CEMIUP0.9 Raw'!D930</f>
        <v>118</v>
      </c>
      <c r="E452" s="19" t="n">
        <f aca="false">'CEMIUP0.9 Raw'!E930</f>
        <v>775.32</v>
      </c>
      <c r="F452" s="19" t="n">
        <f aca="false">'CEMIUP0.9 Raw'!F930</f>
        <v>202.105263157895</v>
      </c>
      <c r="G452" s="19" t="n">
        <f aca="false">'CEMIUP0.9 Raw'!G930</f>
        <v>1327.872</v>
      </c>
      <c r="H452" s="18" t="str">
        <f aca="false">'CEMIUP0.9 Raw'!A930</f>
        <v>BE (CEMI internal group)</v>
      </c>
    </row>
    <row r="453" customFormat="false" ht="15" hidden="false" customHeight="false" outlineLevel="0" collapsed="false">
      <c r="A453" s="18" t="n">
        <f aca="false">'CEMIUP0.9 Raw'!B1097</f>
        <v>4413100</v>
      </c>
      <c r="B453" s="18" t="str">
        <f aca="false">'CEMIUP0.9 Raw'!C1097</f>
        <v>45C XL מגן ברך חום</v>
      </c>
      <c r="C453" s="18" t="str">
        <f aca="false">'CEMIUP0.9 Raw'!C1097</f>
        <v>45C XL מגן ברך חום</v>
      </c>
      <c r="D453" s="19" t="n">
        <f aca="false">'CEMIUP0.9 Raw'!D1097</f>
        <v>272</v>
      </c>
      <c r="E453" s="19" t="n">
        <f aca="false">'CEMIUP0.9 Raw'!E1097</f>
        <v>6887.335</v>
      </c>
      <c r="F453" s="19" t="n">
        <f aca="false">'CEMIUP0.9 Raw'!F1097</f>
        <v>202.105263157895</v>
      </c>
      <c r="G453" s="19" t="n">
        <f aca="false">'CEMIUP0.9 Raw'!G1097</f>
        <v>5110.10021052632</v>
      </c>
      <c r="H453" s="18" t="str">
        <f aca="false">'CEMIUP0.9 Raw'!A1097</f>
        <v>BE (CEMI internal group)</v>
      </c>
    </row>
    <row r="454" customFormat="false" ht="15" hidden="false" customHeight="false" outlineLevel="0" collapsed="false">
      <c r="A454" s="18" t="n">
        <f aca="false">'SALES Raw'!G2908</f>
        <v>4408047</v>
      </c>
      <c r="B454" s="18" t="str">
        <f aca="false">'SALES Raw'!B2908</f>
        <v>20 M</v>
      </c>
      <c r="C454" s="18" t="str">
        <f aca="false">'SALES Raw'!H2908</f>
        <v>20 M חבק יד מתכוון עם צמדן</v>
      </c>
      <c r="D454" s="19" t="n">
        <f aca="false">'SALES Raw'!C2908</f>
        <v>270</v>
      </c>
      <c r="E454" s="19" t="n">
        <f aca="false">'SALES Raw'!D2908</f>
        <v>5482.9</v>
      </c>
      <c r="F454" s="19" t="n">
        <f aca="false">'SALES Raw'!E2908*$H$4</f>
        <v>202.105263157895</v>
      </c>
      <c r="G454" s="19" t="n">
        <f aca="false">'SALES Raw'!F2908*$H$4</f>
        <v>3642.53052631579</v>
      </c>
      <c r="H454" s="18" t="str">
        <f aca="false">'SALES Raw'!A2908</f>
        <v>202 - Super-Pharm POLAND</v>
      </c>
    </row>
    <row r="455" customFormat="false" ht="15" hidden="false" customHeight="false" outlineLevel="0" collapsed="false">
      <c r="A455" s="18" t="n">
        <f aca="false">'SALES Raw'!G2916</f>
        <v>4416000</v>
      </c>
      <c r="B455" s="18" t="str">
        <f aca="false">'SALES Raw'!B2916</f>
        <v>307 L</v>
      </c>
      <c r="C455" s="18" t="str">
        <f aca="false">'SALES Raw'!H2916</f>
        <v>307 L עקבים לדורבן-זוג כריות</v>
      </c>
      <c r="D455" s="19" t="n">
        <f aca="false">'SALES Raw'!C2916</f>
        <v>300</v>
      </c>
      <c r="E455" s="19" t="n">
        <f aca="false">'SALES Raw'!D2916</f>
        <v>11829.76</v>
      </c>
      <c r="F455" s="19" t="n">
        <f aca="false">'SALES Raw'!E2916*$H$4</f>
        <v>202.105263157895</v>
      </c>
      <c r="G455" s="19" t="n">
        <f aca="false">'SALES Raw'!F2916*$H$4</f>
        <v>7076.65263157895</v>
      </c>
      <c r="H455" s="18" t="str">
        <f aca="false">'SALES Raw'!A2916</f>
        <v>202 - Super-Pharm POLAND</v>
      </c>
    </row>
    <row r="456" customFormat="false" ht="15" hidden="false" customHeight="false" outlineLevel="0" collapsed="false">
      <c r="A456" s="18" t="n">
        <f aca="false">'SALES Raw'!G2926</f>
        <v>4413493</v>
      </c>
      <c r="B456" s="18" t="str">
        <f aca="false">'SALES Raw'!B2926</f>
        <v>35B S</v>
      </c>
      <c r="C456" s="18" t="str">
        <f aca="false">'SALES Raw'!H2926</f>
        <v>35B S מגן קרסול שחור</v>
      </c>
      <c r="D456" s="19" t="n">
        <f aca="false">'SALES Raw'!C2926</f>
        <v>290</v>
      </c>
      <c r="E456" s="19" t="n">
        <f aca="false">'SALES Raw'!D2926</f>
        <v>4175.47</v>
      </c>
      <c r="F456" s="19" t="n">
        <f aca="false">'SALES Raw'!E2926*$H$4</f>
        <v>202.105263157895</v>
      </c>
      <c r="G456" s="19" t="n">
        <f aca="false">'SALES Raw'!F2926*$H$4</f>
        <v>2591.89894736842</v>
      </c>
      <c r="H456" s="18" t="str">
        <f aca="false">'SALES Raw'!A2926</f>
        <v>202 - Super-Pharm POLAND</v>
      </c>
    </row>
    <row r="457" customFormat="false" ht="15" hidden="false" customHeight="false" outlineLevel="0" collapsed="false">
      <c r="A457" s="18" t="n">
        <f aca="false">'SALES Raw'!G3217</f>
        <v>4421007</v>
      </c>
      <c r="B457" s="18" t="str">
        <f aca="false">'SALES Raw'!B3217</f>
        <v>350 0</v>
      </c>
      <c r="C457" s="18" t="str">
        <f aca="false">'SALES Raw'!H3217</f>
        <v>שרוול לגבס קצר רגל</v>
      </c>
      <c r="D457" s="19" t="n">
        <f aca="false">'SALES Raw'!C3217</f>
        <v>220</v>
      </c>
      <c r="E457" s="19" t="n">
        <f aca="false">'SALES Raw'!D3217</f>
        <v>5456.05</v>
      </c>
      <c r="F457" s="19" t="n">
        <f aca="false">'SALES Raw'!E3217*$H$4</f>
        <v>202.105263157895</v>
      </c>
      <c r="G457" s="19" t="n">
        <f aca="false">'SALES Raw'!F3217*$H$4</f>
        <v>4452.93473684211</v>
      </c>
      <c r="H457" s="18" t="str">
        <f aca="false">'SALES Raw'!A3217</f>
        <v>204 - Sanaflex Anatomic GREECE</v>
      </c>
    </row>
    <row r="458" customFormat="false" ht="15" hidden="false" customHeight="false" outlineLevel="0" collapsed="false">
      <c r="A458" s="18" t="n">
        <f aca="false">'SALES Raw'!G3582</f>
        <v>4413092</v>
      </c>
      <c r="B458" s="18" t="str">
        <f aca="false">'SALES Raw'!B3582</f>
        <v>45 L</v>
      </c>
      <c r="C458" s="18" t="str">
        <f aca="false">'SALES Raw'!H3582</f>
        <v>45 L מגן ברך לבן</v>
      </c>
      <c r="D458" s="19" t="n">
        <f aca="false">'SALES Raw'!C3582</f>
        <v>200</v>
      </c>
      <c r="E458" s="19" t="n">
        <f aca="false">'SALES Raw'!D3582</f>
        <v>2096.99</v>
      </c>
      <c r="F458" s="19" t="n">
        <f aca="false">'SALES Raw'!E3582*$H$4</f>
        <v>202.105263157895</v>
      </c>
      <c r="G458" s="19" t="n">
        <f aca="false">'SALES Raw'!F3582*$H$4</f>
        <v>2052.85894736842</v>
      </c>
      <c r="H458" s="18" t="str">
        <f aca="false">'SALES Raw'!A3582</f>
        <v>207 - Salus HUNGARY</v>
      </c>
    </row>
    <row r="459" customFormat="false" ht="15" hidden="false" customHeight="false" outlineLevel="0" collapsed="false">
      <c r="A459" s="18" t="n">
        <f aca="false">'SALES Raw'!G3643</f>
        <v>4413331</v>
      </c>
      <c r="B459" s="18" t="str">
        <f aca="false">'SALES Raw'!B3643</f>
        <v>AC95 0</v>
      </c>
      <c r="C459" s="18" t="str">
        <f aca="false">'SALES Raw'!H3643</f>
        <v>AC95 מגן מרפק</v>
      </c>
      <c r="D459" s="19" t="n">
        <f aca="false">'SALES Raw'!C3643</f>
        <v>160</v>
      </c>
      <c r="E459" s="19" t="n">
        <f aca="false">'SALES Raw'!D3643</f>
        <v>2674.83</v>
      </c>
      <c r="F459" s="19" t="n">
        <f aca="false">'SALES Raw'!E3643*$H$4</f>
        <v>202.105263157895</v>
      </c>
      <c r="G459" s="19" t="n">
        <f aca="false">'SALES Raw'!F3643*$H$4</f>
        <v>3153.78947368421</v>
      </c>
      <c r="H459" s="18" t="str">
        <f aca="false">'SALES Raw'!A3643</f>
        <v>207 - Salus HUNGARY</v>
      </c>
    </row>
    <row r="460" customFormat="false" ht="15" hidden="false" customHeight="false" outlineLevel="0" collapsed="false">
      <c r="A460" s="18" t="n">
        <f aca="false">'SALES Raw'!G2338</f>
        <v>4413452</v>
      </c>
      <c r="B460" s="18" t="str">
        <f aca="false">'SALES Raw'!B2338</f>
        <v>386 0</v>
      </c>
      <c r="C460" s="18" t="str">
        <f aca="false">'SALES Raw'!H2338</f>
        <v>386  מיישר בוניון-האלוקס ולגוס</v>
      </c>
      <c r="D460" s="19" t="n">
        <f aca="false">'SALES Raw'!C2338</f>
        <v>58</v>
      </c>
      <c r="E460" s="19" t="n">
        <f aca="false">'SALES Raw'!D2338</f>
        <v>4549.11</v>
      </c>
      <c r="F460" s="19" t="n">
        <f aca="false">'SALES Raw'!E2338*$H$4</f>
        <v>199.578947368421</v>
      </c>
      <c r="G460" s="19" t="n">
        <f aca="false">'SALES Raw'!F2338*$H$4</f>
        <v>16244.1221052632</v>
      </c>
      <c r="H460" s="18" t="str">
        <f aca="false">'SALES Raw'!A2338</f>
        <v>114 - IL online</v>
      </c>
    </row>
    <row r="461" customFormat="false" ht="15" hidden="false" customHeight="false" outlineLevel="0" collapsed="false">
      <c r="A461" s="18" t="n">
        <f aca="false">'CEMIUP0.9 Raw'!B1625</f>
        <v>4415029</v>
      </c>
      <c r="B461" s="18" t="str">
        <f aca="false">'CEMIUP0.9 Raw'!C1625</f>
        <v>סד קיבוע לאצבע הדק</v>
      </c>
      <c r="C461" s="18" t="str">
        <f aca="false">'CEMIUP0.9 Raw'!C1625</f>
        <v>סד קיבוע לאצבע הדק</v>
      </c>
      <c r="D461" s="19" t="n">
        <f aca="false">'CEMIUP0.9 Raw'!D1625</f>
        <v>217</v>
      </c>
      <c r="E461" s="19" t="n">
        <f aca="false">'CEMIUP0.9 Raw'!E1625</f>
        <v>4823.546</v>
      </c>
      <c r="F461" s="19" t="n">
        <f aca="false">'CEMIUP0.9 Raw'!F1625</f>
        <v>199.578947368421</v>
      </c>
      <c r="G461" s="19" t="n">
        <f aca="false">'CEMIUP0.9 Raw'!G1625</f>
        <v>4497.66063157895</v>
      </c>
      <c r="H461" s="18" t="str">
        <f aca="false">'CEMIUP0.9 Raw'!A1625</f>
        <v>Super-Pharm Israel (CEMI internal group)</v>
      </c>
    </row>
    <row r="462" customFormat="false" ht="15" hidden="false" customHeight="false" outlineLevel="0" collapsed="false">
      <c r="A462" s="18" t="n">
        <f aca="false">'SALES Raw'!G2311</f>
        <v>4413370</v>
      </c>
      <c r="B462" s="18" t="str">
        <f aca="false">'SALES Raw'!B2311</f>
        <v>3674 0</v>
      </c>
      <c r="C462" s="18" t="str">
        <f aca="false">'SALES Raw'!H2311</f>
        <v>3674 0 מ.בוניון+מפריד אצבע</v>
      </c>
      <c r="D462" s="19" t="n">
        <f aca="false">'SALES Raw'!C2311</f>
        <v>96</v>
      </c>
      <c r="E462" s="19" t="n">
        <f aca="false">'SALES Raw'!D2311</f>
        <v>6399.12</v>
      </c>
      <c r="F462" s="19" t="n">
        <f aca="false">'SALES Raw'!E2311*$H$4</f>
        <v>198.315789473684</v>
      </c>
      <c r="G462" s="19" t="n">
        <f aca="false">'SALES Raw'!F2311*$H$4</f>
        <v>13768.6610526316</v>
      </c>
      <c r="H462" s="18" t="str">
        <f aca="false">'SALES Raw'!A2311</f>
        <v>114 - IL online</v>
      </c>
    </row>
    <row r="463" customFormat="false" ht="15" hidden="false" customHeight="false" outlineLevel="0" collapsed="false">
      <c r="A463" s="18" t="n">
        <f aca="false">'CEMIUP0.9 Raw'!B1071</f>
        <v>4413055</v>
      </c>
      <c r="B463" s="18" t="str">
        <f aca="false">'CEMIUP0.9 Raw'!C1071</f>
        <v>35C XL מגן קרסול חום</v>
      </c>
      <c r="C463" s="18" t="str">
        <f aca="false">'CEMIUP0.9 Raw'!C1071</f>
        <v>35C XL מגן קרסול חום</v>
      </c>
      <c r="D463" s="19" t="n">
        <f aca="false">'CEMIUP0.9 Raw'!D1071</f>
        <v>157</v>
      </c>
      <c r="E463" s="19" t="n">
        <f aca="false">'CEMIUP0.9 Raw'!E1071</f>
        <v>3975.153</v>
      </c>
      <c r="F463" s="19" t="n">
        <f aca="false">'CEMIUP0.9 Raw'!F1071</f>
        <v>198.315789473684</v>
      </c>
      <c r="G463" s="19" t="n">
        <f aca="false">'CEMIUP0.9 Raw'!G1071</f>
        <v>5016.648</v>
      </c>
      <c r="H463" s="18" t="str">
        <f aca="false">'CEMIUP0.9 Raw'!A1071</f>
        <v>BE (CEMI internal group)</v>
      </c>
    </row>
    <row r="464" customFormat="false" ht="15" hidden="false" customHeight="false" outlineLevel="0" collapsed="false">
      <c r="A464" s="18" t="n">
        <f aca="false">'CEMIUP0.9 Raw'!B1127</f>
        <v>4413149</v>
      </c>
      <c r="B464" s="18" t="str">
        <f aca="false">'CEMIUP0.9 Raw'!C1127</f>
        <v>FC321-מלח אמבט לכף הרגל</v>
      </c>
      <c r="C464" s="18" t="str">
        <f aca="false">'CEMIUP0.9 Raw'!C1127</f>
        <v>FC321-מלח אמבט לכף הרגל</v>
      </c>
      <c r="D464" s="19" t="n">
        <f aca="false">'CEMIUP0.9 Raw'!D1127</f>
        <v>201</v>
      </c>
      <c r="E464" s="19" t="n">
        <f aca="false">'CEMIUP0.9 Raw'!E1127</f>
        <v>1986.894</v>
      </c>
      <c r="F464" s="19" t="n">
        <f aca="false">'CEMIUP0.9 Raw'!F1127</f>
        <v>198.315789473684</v>
      </c>
      <c r="G464" s="19" t="n">
        <f aca="false">'CEMIUP0.9 Raw'!G1127</f>
        <v>1974.336</v>
      </c>
      <c r="H464" s="18" t="str">
        <f aca="false">'CEMIUP0.9 Raw'!A1127</f>
        <v>BE (CEMI internal group)</v>
      </c>
    </row>
    <row r="465" customFormat="false" ht="15" hidden="false" customHeight="false" outlineLevel="0" collapsed="false">
      <c r="A465" s="18" t="n">
        <f aca="false">'CEMIUP0.9 Raw'!B440</f>
        <v>4413496</v>
      </c>
      <c r="B465" s="18" t="str">
        <f aca="false">'CEMIUP0.9 Raw'!C440</f>
        <v>45B XL מגן ברך שחור</v>
      </c>
      <c r="C465" s="18" t="str">
        <f aca="false">'CEMIUP0.9 Raw'!C440</f>
        <v>45B XL מגן ברך שחור</v>
      </c>
      <c r="D465" s="19" t="n">
        <f aca="false">'CEMIUP0.9 Raw'!D440</f>
        <v>281</v>
      </c>
      <c r="E465" s="19" t="n">
        <f aca="false">'CEMIUP0.9 Raw'!E440</f>
        <v>7401.758</v>
      </c>
      <c r="F465" s="19" t="n">
        <f aca="false">'CEMIUP0.9 Raw'!F440</f>
        <v>197.052631578947</v>
      </c>
      <c r="G465" s="19" t="n">
        <f aca="false">'CEMIUP0.9 Raw'!G440</f>
        <v>5387.69810526316</v>
      </c>
      <c r="H465" s="18" t="str">
        <f aca="false">'CEMIUP0.9 Raw'!A440</f>
        <v>107 - Pharmacies</v>
      </c>
    </row>
    <row r="466" customFormat="false" ht="15" hidden="false" customHeight="false" outlineLevel="0" collapsed="false">
      <c r="A466" s="18" t="n">
        <f aca="false">'CEMIUP0.9 Raw'!B812</f>
        <v>4413140</v>
      </c>
      <c r="B466" s="18" t="str">
        <f aca="false">'CEMIUP0.9 Raw'!C812</f>
        <v>95 M מגן מרפק רגיל לבן</v>
      </c>
      <c r="C466" s="18" t="str">
        <f aca="false">'CEMIUP0.9 Raw'!C812</f>
        <v>95 M מגן מרפק רגיל לבן</v>
      </c>
      <c r="D466" s="19" t="n">
        <f aca="false">'CEMIUP0.9 Raw'!D812</f>
        <v>244</v>
      </c>
      <c r="E466" s="19" t="n">
        <f aca="false">'CEMIUP0.9 Raw'!E812</f>
        <v>4148</v>
      </c>
      <c r="F466" s="19" t="n">
        <f aca="false">'CEMIUP0.9 Raw'!F812</f>
        <v>195.789473684211</v>
      </c>
      <c r="G466" s="19" t="n">
        <f aca="false">'CEMIUP0.9 Raw'!G812</f>
        <v>3096.72378947368</v>
      </c>
      <c r="H466" s="18" t="str">
        <f aca="false">'CEMIUP0.9 Raw'!A812</f>
        <v>113 - Kupat Holim Meuhedet</v>
      </c>
    </row>
    <row r="467" customFormat="false" ht="15" hidden="false" customHeight="false" outlineLevel="0" collapsed="false">
      <c r="A467" s="18" t="n">
        <f aca="false">'CEMIUP0.9 Raw'!B813</f>
        <v>4413141</v>
      </c>
      <c r="B467" s="18" t="str">
        <f aca="false">'CEMIUP0.9 Raw'!C813</f>
        <v>95 S מגן מרפק רגיל לבן</v>
      </c>
      <c r="C467" s="18" t="str">
        <f aca="false">'CEMIUP0.9 Raw'!C813</f>
        <v>95 S מגן מרפק רגיל לבן</v>
      </c>
      <c r="D467" s="19" t="n">
        <f aca="false">'CEMIUP0.9 Raw'!D813</f>
        <v>186</v>
      </c>
      <c r="E467" s="19" t="n">
        <f aca="false">'CEMIUP0.9 Raw'!E813</f>
        <v>3162</v>
      </c>
      <c r="F467" s="19" t="n">
        <f aca="false">'CEMIUP0.9 Raw'!F813</f>
        <v>195.789473684211</v>
      </c>
      <c r="G467" s="19" t="n">
        <f aca="false">'CEMIUP0.9 Raw'!G813</f>
        <v>3056.03115789474</v>
      </c>
      <c r="H467" s="18" t="str">
        <f aca="false">'CEMIUP0.9 Raw'!A813</f>
        <v>113 - Kupat Holim Meuhedet</v>
      </c>
    </row>
    <row r="468" customFormat="false" ht="15" hidden="false" customHeight="false" outlineLevel="0" collapsed="false">
      <c r="A468" s="18" t="n">
        <f aca="false">'CEMIUP0.9 Raw'!B1100</f>
        <v>4413103</v>
      </c>
      <c r="B468" s="18" t="str">
        <f aca="false">'CEMIUP0.9 Raw'!C1100</f>
        <v>45E Mמגן ברך ארוך לבן</v>
      </c>
      <c r="C468" s="18" t="str">
        <f aca="false">'CEMIUP0.9 Raw'!C1100</f>
        <v>45E Mמגן ברך ארוך לבן</v>
      </c>
      <c r="D468" s="19" t="n">
        <f aca="false">'CEMIUP0.9 Raw'!D1100</f>
        <v>205</v>
      </c>
      <c r="E468" s="19" t="n">
        <f aca="false">'CEMIUP0.9 Raw'!E1100</f>
        <v>6254.157</v>
      </c>
      <c r="F468" s="19" t="n">
        <f aca="false">'CEMIUP0.9 Raw'!F1100</f>
        <v>195.789473684211</v>
      </c>
      <c r="G468" s="19" t="n">
        <f aca="false">'CEMIUP0.9 Raw'!G1100</f>
        <v>5969.56168421053</v>
      </c>
      <c r="H468" s="18" t="str">
        <f aca="false">'CEMIUP0.9 Raw'!A1100</f>
        <v>BE (CEMI internal group)</v>
      </c>
    </row>
    <row r="469" customFormat="false" ht="15" hidden="false" customHeight="false" outlineLevel="0" collapsed="false">
      <c r="A469" s="18" t="n">
        <f aca="false">'CEMIUP0.9 Raw'!B1419</f>
        <v>4411019</v>
      </c>
      <c r="B469" s="18" t="str">
        <f aca="false">'CEMIUP0.9 Raw'!C1419</f>
        <v>211S כפפות לחץ</v>
      </c>
      <c r="C469" s="18" t="str">
        <f aca="false">'CEMIUP0.9 Raw'!C1419</f>
        <v>211S כפפות לחץ</v>
      </c>
      <c r="D469" s="19" t="n">
        <f aca="false">'CEMIUP0.9 Raw'!D1419</f>
        <v>246</v>
      </c>
      <c r="E469" s="19" t="n">
        <f aca="false">'CEMIUP0.9 Raw'!E1419</f>
        <v>6368.453</v>
      </c>
      <c r="F469" s="19" t="n">
        <f aca="false">'CEMIUP0.9 Raw'!F1419</f>
        <v>195.789473684211</v>
      </c>
      <c r="G469" s="19" t="n">
        <f aca="false">'CEMIUP0.9 Raw'!G1419</f>
        <v>5146.07873684211</v>
      </c>
      <c r="H469" s="18" t="str">
        <f aca="false">'CEMIUP0.9 Raw'!A1419</f>
        <v>Super-Pharm Israel (CEMI internal group)</v>
      </c>
    </row>
    <row r="470" customFormat="false" ht="15" hidden="false" customHeight="false" outlineLevel="0" collapsed="false">
      <c r="A470" s="18" t="str">
        <f aca="false">'SALES Raw'!G3657</f>
        <v/>
      </c>
      <c r="B470" s="18" t="str">
        <f aca="false">'SALES Raw'!B3657</f>
        <v>ST27R 0</v>
      </c>
      <c r="C470" s="18" t="str">
        <f aca="false">'SALES Raw'!H3657</f>
        <v>ST27R 0</v>
      </c>
      <c r="D470" s="19" t="n">
        <f aca="false">'SALES Raw'!C3657</f>
        <v>159</v>
      </c>
      <c r="E470" s="19" t="n">
        <f aca="false">'SALES Raw'!D3657</f>
        <v>2642.53</v>
      </c>
      <c r="F470" s="19" t="n">
        <f aca="false">'SALES Raw'!E3657*$H$4</f>
        <v>195.789473684211</v>
      </c>
      <c r="G470" s="19" t="n">
        <f aca="false">'SALES Raw'!F3657*$H$4</f>
        <v>3199.22526315789</v>
      </c>
      <c r="H470" s="18" t="str">
        <f aca="false">'SALES Raw'!A3657</f>
        <v>207 - Salus HUNGARY</v>
      </c>
    </row>
    <row r="471" customFormat="false" ht="15" hidden="false" customHeight="false" outlineLevel="0" collapsed="false">
      <c r="A471" s="18" t="str">
        <f aca="false">'SALES Raw'!G4108</f>
        <v/>
      </c>
      <c r="B471" s="18" t="str">
        <f aca="false">'SALES Raw'!B4108</f>
        <v>ST45X 0</v>
      </c>
      <c r="C471" s="18" t="str">
        <f aca="false">'SALES Raw'!H4108</f>
        <v>ST45X 0</v>
      </c>
      <c r="D471" s="19" t="n">
        <f aca="false">'SALES Raw'!C4108</f>
        <v>135</v>
      </c>
      <c r="E471" s="19" t="n">
        <f aca="false">'SALES Raw'!D4108</f>
        <v>2227.44</v>
      </c>
      <c r="F471" s="19" t="n">
        <f aca="false">'SALES Raw'!E4108*$H$4</f>
        <v>195.789473684211</v>
      </c>
      <c r="G471" s="19" t="n">
        <f aca="false">'SALES Raw'!F4108*$H$4</f>
        <v>3258.84631578947</v>
      </c>
      <c r="H471" s="18" t="str">
        <f aca="false">'SALES Raw'!A4108</f>
        <v>213 - E.f.m.o. SPAIN</v>
      </c>
    </row>
    <row r="472" customFormat="false" ht="15" hidden="false" customHeight="false" outlineLevel="0" collapsed="false">
      <c r="A472" s="18" t="n">
        <f aca="false">'CEMIUP0.9 Raw'!B808</f>
        <v>4413136</v>
      </c>
      <c r="B472" s="18" t="str">
        <f aca="false">'CEMIUP0.9 Raw'!C808</f>
        <v>85 M (מתלה ליד )כיס</v>
      </c>
      <c r="C472" s="18" t="str">
        <f aca="false">'CEMIUP0.9 Raw'!C808</f>
        <v>85 M (מתלה ליד )כיס</v>
      </c>
      <c r="D472" s="19" t="n">
        <f aca="false">'CEMIUP0.9 Raw'!D808</f>
        <v>309</v>
      </c>
      <c r="E472" s="19" t="n">
        <f aca="false">'CEMIUP0.9 Raw'!E808</f>
        <v>10815</v>
      </c>
      <c r="F472" s="19" t="n">
        <f aca="false">'CEMIUP0.9 Raw'!F808</f>
        <v>193.263157894737</v>
      </c>
      <c r="G472" s="19" t="n">
        <f aca="false">'CEMIUP0.9 Raw'!G808</f>
        <v>6303.48378947368</v>
      </c>
      <c r="H472" s="18" t="str">
        <f aca="false">'CEMIUP0.9 Raw'!A808</f>
        <v>113 - Kupat Holim Meuhedet</v>
      </c>
    </row>
    <row r="473" customFormat="false" ht="15" hidden="false" customHeight="false" outlineLevel="0" collapsed="false">
      <c r="A473" s="18" t="n">
        <f aca="false">'CEMIUP0.9 Raw'!B836</f>
        <v>4413348</v>
      </c>
      <c r="B473" s="18" t="str">
        <f aca="false">'CEMIUP0.9 Raw'!C836</f>
        <v>302 מדרס ג'ל לגבר</v>
      </c>
      <c r="C473" s="18" t="str">
        <f aca="false">'CEMIUP0.9 Raw'!C836</f>
        <v>302 מדרס ג'ל לגבר</v>
      </c>
      <c r="D473" s="19" t="n">
        <f aca="false">'CEMIUP0.9 Raw'!D836</f>
        <v>306</v>
      </c>
      <c r="E473" s="19" t="n">
        <f aca="false">'CEMIUP0.9 Raw'!E836</f>
        <v>14452.38</v>
      </c>
      <c r="F473" s="19" t="n">
        <f aca="false">'CEMIUP0.9 Raw'!F836</f>
        <v>193.263157894737</v>
      </c>
      <c r="G473" s="19" t="n">
        <f aca="false">'CEMIUP0.9 Raw'!G836</f>
        <v>8714.37094736842</v>
      </c>
      <c r="H473" s="18" t="str">
        <f aca="false">'CEMIUP0.9 Raw'!A836</f>
        <v>113 - Kupat Holim Meuhedet</v>
      </c>
    </row>
    <row r="474" customFormat="false" ht="15" hidden="false" customHeight="false" outlineLevel="0" collapsed="false">
      <c r="A474" s="18" t="n">
        <f aca="false">'CEMIUP0.9 Raw'!B852</f>
        <v>4416000</v>
      </c>
      <c r="B474" s="18" t="str">
        <f aca="false">'CEMIUP0.9 Raw'!C852</f>
        <v>307 L עקבים לדורבן-זוג כריות</v>
      </c>
      <c r="C474" s="18" t="str">
        <f aca="false">'CEMIUP0.9 Raw'!C852</f>
        <v>307 L עקבים לדורבן-זוג כריות</v>
      </c>
      <c r="D474" s="19" t="n">
        <f aca="false">'CEMIUP0.9 Raw'!D852</f>
        <v>294</v>
      </c>
      <c r="E474" s="19" t="n">
        <f aca="false">'CEMIUP0.9 Raw'!E852</f>
        <v>18601.38</v>
      </c>
      <c r="F474" s="19" t="n">
        <f aca="false">'CEMIUP0.9 Raw'!F852</f>
        <v>193.263157894737</v>
      </c>
      <c r="G474" s="19" t="n">
        <f aca="false">'CEMIUP0.9 Raw'!G852</f>
        <v>11621.9545263158</v>
      </c>
      <c r="H474" s="18" t="str">
        <f aca="false">'CEMIUP0.9 Raw'!A852</f>
        <v>113 - Kupat Holim Meuhedet</v>
      </c>
    </row>
    <row r="475" customFormat="false" ht="15" hidden="false" customHeight="false" outlineLevel="0" collapsed="false">
      <c r="A475" s="18" t="n">
        <f aca="false">'SALES Raw'!G710</f>
        <v>4411001</v>
      </c>
      <c r="B475" s="18" t="str">
        <f aca="false">'SALES Raw'!B710</f>
        <v>3623 0</v>
      </c>
      <c r="C475" s="18" t="str">
        <f aca="false">'SALES Raw'!H710</f>
        <v>3623 כרית ליישור אצבע פטיש</v>
      </c>
      <c r="D475" s="19" t="n">
        <f aca="false">'SALES Raw'!C710</f>
        <v>161</v>
      </c>
      <c r="E475" s="19" t="n">
        <f aca="false">'SALES Raw'!D710</f>
        <v>4514.25</v>
      </c>
      <c r="F475" s="19" t="n">
        <f aca="false">'SALES Raw'!E710*$H$4</f>
        <v>192</v>
      </c>
      <c r="G475" s="19" t="n">
        <f aca="false">'SALES Raw'!F710*$H$4</f>
        <v>5432.50105263158</v>
      </c>
      <c r="H475" s="18" t="str">
        <f aca="false">'SALES Raw'!A710</f>
        <v>102 - Orthopedic institutes</v>
      </c>
    </row>
    <row r="476" customFormat="false" ht="15" hidden="false" customHeight="false" outlineLevel="0" collapsed="false">
      <c r="A476" s="18" t="n">
        <f aca="false">'CEMIUP0.9 Raw'!B1220</f>
        <v>4415072</v>
      </c>
      <c r="B476" s="18" t="str">
        <f aca="false">'CEMIUP0.9 Raw'!C1220</f>
        <v>T28A S-M סד לאגודל</v>
      </c>
      <c r="C476" s="18" t="str">
        <f aca="false">'CEMIUP0.9 Raw'!C1220</f>
        <v>T28A S-M סד לאגודל</v>
      </c>
      <c r="D476" s="19" t="n">
        <f aca="false">'CEMIUP0.9 Raw'!D1220</f>
        <v>159</v>
      </c>
      <c r="E476" s="19" t="n">
        <f aca="false">'CEMIUP0.9 Raw'!E1220</f>
        <v>9139.13</v>
      </c>
      <c r="F476" s="19" t="n">
        <f aca="false">'CEMIUP0.9 Raw'!F1220</f>
        <v>192</v>
      </c>
      <c r="G476" s="19" t="n">
        <f aca="false">'CEMIUP0.9 Raw'!G1220</f>
        <v>11016.2109473684</v>
      </c>
      <c r="H476" s="18" t="str">
        <f aca="false">'CEMIUP0.9 Raw'!A1220</f>
        <v>BE (CEMI internal group)</v>
      </c>
    </row>
    <row r="477" customFormat="false" ht="15" hidden="false" customHeight="false" outlineLevel="0" collapsed="false">
      <c r="A477" s="18" t="n">
        <f aca="false">'SALES Raw'!G2606</f>
        <v>4408208</v>
      </c>
      <c r="B477" s="18" t="str">
        <f aca="false">'SALES Raw'!B2606</f>
        <v>AC91 0</v>
      </c>
      <c r="C477" s="18" t="str">
        <f aca="false">'SALES Raw'!H2606</f>
        <v>AC91 חבק טניס</v>
      </c>
      <c r="D477" s="19" t="n">
        <f aca="false">'SALES Raw'!C2606</f>
        <v>177</v>
      </c>
      <c r="E477" s="19" t="n">
        <f aca="false">'SALES Raw'!D2606</f>
        <v>11579.94</v>
      </c>
      <c r="F477" s="19" t="n">
        <f aca="false">'SALES Raw'!E2606*$H$4</f>
        <v>190.736842105263</v>
      </c>
      <c r="G477" s="19" t="n">
        <f aca="false">'SALES Raw'!F2606*$H$4</f>
        <v>12975.6378947368</v>
      </c>
      <c r="H477" s="18" t="str">
        <f aca="false">'SALES Raw'!A2606</f>
        <v>114 - IL online</v>
      </c>
    </row>
    <row r="478" customFormat="false" ht="15" hidden="false" customHeight="false" outlineLevel="0" collapsed="false">
      <c r="A478" s="18" t="str">
        <f aca="false">'SALES Raw'!G4407</f>
        <v/>
      </c>
      <c r="B478" s="18" t="str">
        <f aca="false">'SALES Raw'!B4407</f>
        <v>EC-11STOB XXL</v>
      </c>
      <c r="C478" s="18" t="str">
        <f aca="false">'SALES Raw'!H4407</f>
        <v>EC-11STOB XXL</v>
      </c>
      <c r="D478" s="19" t="n">
        <f aca="false">'SALES Raw'!C4407</f>
        <v>86</v>
      </c>
      <c r="E478" s="19" t="n">
        <f aca="false">'SALES Raw'!D4407</f>
        <v>10105.03</v>
      </c>
      <c r="F478" s="19" t="n">
        <f aca="false">'SALES Raw'!E4407*$H$4</f>
        <v>190.736842105263</v>
      </c>
      <c r="G478" s="19" t="n">
        <f aca="false">'SALES Raw'!F4407*$H$4</f>
        <v>23874.24</v>
      </c>
      <c r="H478" s="18" t="str">
        <f aca="false">'SALES Raw'!A4407</f>
        <v>301 - Amazon</v>
      </c>
    </row>
    <row r="479" customFormat="false" ht="15" hidden="false" customHeight="false" outlineLevel="0" collapsed="false">
      <c r="A479" s="18" t="str">
        <f aca="false">'SALES Raw'!G4446</f>
        <v/>
      </c>
      <c r="B479" s="18" t="str">
        <f aca="false">'SALES Raw'!B4446</f>
        <v>EC-59DB M</v>
      </c>
      <c r="C479" s="18" t="str">
        <f aca="false">'SALES Raw'!H4446</f>
        <v>EC-59DB M</v>
      </c>
      <c r="D479" s="19" t="n">
        <f aca="false">'SALES Raw'!C4446</f>
        <v>125</v>
      </c>
      <c r="E479" s="19" t="n">
        <f aca="false">'SALES Raw'!D4446</f>
        <v>23137.22</v>
      </c>
      <c r="F479" s="19" t="n">
        <f aca="false">'SALES Raw'!E4446*$H$4</f>
        <v>190.736842105263</v>
      </c>
      <c r="G479" s="19" t="n">
        <f aca="false">'SALES Raw'!F4446*$H$4</f>
        <v>31900.4463157895</v>
      </c>
      <c r="H479" s="18" t="str">
        <f aca="false">'SALES Raw'!A4446</f>
        <v>301 - Amazon</v>
      </c>
    </row>
    <row r="480" customFormat="false" ht="15" hidden="false" customHeight="false" outlineLevel="0" collapsed="false">
      <c r="A480" s="18" t="n">
        <f aca="false">'CEMIUP0.9 Raw'!B768</f>
        <v>4413033</v>
      </c>
      <c r="B480" s="18" t="str">
        <f aca="false">'CEMIUP0.9 Raw'!C768</f>
        <v>311'מדב.ג'ל למניעת שפשוף 5 יח</v>
      </c>
      <c r="C480" s="18" t="str">
        <f aca="false">'CEMIUP0.9 Raw'!C768</f>
        <v>311'מדב.ג'ל למניעת שפשוף 5 יח</v>
      </c>
      <c r="D480" s="19" t="n">
        <f aca="false">'CEMIUP0.9 Raw'!D768</f>
        <v>207</v>
      </c>
      <c r="E480" s="19" t="n">
        <f aca="false">'CEMIUP0.9 Raw'!E768</f>
        <v>2032.74</v>
      </c>
      <c r="F480" s="19" t="n">
        <f aca="false">'CEMIUP0.9 Raw'!F768</f>
        <v>190.736842105263</v>
      </c>
      <c r="G480" s="19" t="n">
        <f aca="false">'CEMIUP0.9 Raw'!G768</f>
        <v>1718.88126315789</v>
      </c>
      <c r="H480" s="18" t="str">
        <f aca="false">'CEMIUP0.9 Raw'!A768</f>
        <v>113 - Kupat Holim Meuhedet</v>
      </c>
    </row>
    <row r="481" customFormat="false" ht="15" hidden="false" customHeight="false" outlineLevel="0" collapsed="false">
      <c r="A481" s="18" t="n">
        <f aca="false">'CEMIUP0.9 Raw'!B1090</f>
        <v>4413093</v>
      </c>
      <c r="B481" s="18" t="str">
        <f aca="false">'CEMIUP0.9 Raw'!C1090</f>
        <v>45 M מגן ברך לבן</v>
      </c>
      <c r="C481" s="18" t="str">
        <f aca="false">'CEMIUP0.9 Raw'!C1090</f>
        <v>45 M מגן ברך לבן</v>
      </c>
      <c r="D481" s="19" t="n">
        <f aca="false">'CEMIUP0.9 Raw'!D1090</f>
        <v>223</v>
      </c>
      <c r="E481" s="19" t="n">
        <f aca="false">'CEMIUP0.9 Raw'!E1090</f>
        <v>5642.273</v>
      </c>
      <c r="F481" s="19" t="n">
        <f aca="false">'CEMIUP0.9 Raw'!F1090</f>
        <v>190.736842105263</v>
      </c>
      <c r="G481" s="19" t="n">
        <f aca="false">'CEMIUP0.9 Raw'!G1090</f>
        <v>4820.54778947368</v>
      </c>
      <c r="H481" s="18" t="str">
        <f aca="false">'CEMIUP0.9 Raw'!A1090</f>
        <v>BE (CEMI internal group)</v>
      </c>
    </row>
    <row r="482" customFormat="false" ht="15" hidden="false" customHeight="false" outlineLevel="0" collapsed="false">
      <c r="A482" s="18" t="n">
        <f aca="false">'CEMIUP0.9 Raw'!B1245</f>
        <v>4420002</v>
      </c>
      <c r="B482" s="18" t="str">
        <f aca="false">'CEMIUP0.9 Raw'!C1245</f>
        <v>372 רפידת אנטי ריח -זוג</v>
      </c>
      <c r="C482" s="18" t="str">
        <f aca="false">'CEMIUP0.9 Raw'!C1245</f>
        <v>372 רפידת אנטי ריח -זוג</v>
      </c>
      <c r="D482" s="19" t="n">
        <f aca="false">'CEMIUP0.9 Raw'!D1245</f>
        <v>234</v>
      </c>
      <c r="E482" s="19" t="n">
        <f aca="false">'CEMIUP0.9 Raw'!E1245</f>
        <v>2886.338</v>
      </c>
      <c r="F482" s="19" t="n">
        <f aca="false">'CEMIUP0.9 Raw'!F1245</f>
        <v>190.736842105263</v>
      </c>
      <c r="G482" s="19" t="n">
        <f aca="false">'CEMIUP0.9 Raw'!G1245</f>
        <v>2353.66231578947</v>
      </c>
      <c r="H482" s="18" t="str">
        <f aca="false">'CEMIUP0.9 Raw'!A1245</f>
        <v>BE (CEMI internal group)</v>
      </c>
    </row>
    <row r="483" customFormat="false" ht="15" hidden="false" customHeight="false" outlineLevel="0" collapsed="false">
      <c r="A483" s="18" t="n">
        <f aca="false">'SALES Raw'!G2919</f>
        <v>4413033</v>
      </c>
      <c r="B483" s="18" t="str">
        <f aca="false">'SALES Raw'!B2919</f>
        <v>311 0</v>
      </c>
      <c r="C483" s="18" t="str">
        <f aca="false">'SALES Raw'!H2919</f>
        <v>311'מדב.ג'ל למניעת שפשוף 5 יח</v>
      </c>
      <c r="D483" s="19" t="n">
        <f aca="false">'SALES Raw'!C2919</f>
        <v>320</v>
      </c>
      <c r="E483" s="19" t="n">
        <f aca="false">'SALES Raw'!D2919</f>
        <v>5566.27</v>
      </c>
      <c r="F483" s="19" t="n">
        <f aca="false">'SALES Raw'!E2919*$H$4</f>
        <v>189.473684210526</v>
      </c>
      <c r="G483" s="19" t="n">
        <f aca="false">'SALES Raw'!F2919*$H$4</f>
        <v>2922.15157894737</v>
      </c>
      <c r="H483" s="18" t="str">
        <f aca="false">'SALES Raw'!A2919</f>
        <v>202 - Super-Pharm POLAND</v>
      </c>
    </row>
    <row r="484" customFormat="false" ht="15" hidden="false" customHeight="false" outlineLevel="0" collapsed="false">
      <c r="A484" s="18" t="n">
        <f aca="false">'SALES Raw'!G2924</f>
        <v>4413490</v>
      </c>
      <c r="B484" s="18" t="str">
        <f aca="false">'SALES Raw'!B2924</f>
        <v>35B L</v>
      </c>
      <c r="C484" s="18" t="str">
        <f aca="false">'SALES Raw'!H2924</f>
        <v>35B L מגן קרסול שחור</v>
      </c>
      <c r="D484" s="19" t="n">
        <f aca="false">'SALES Raw'!C2924</f>
        <v>330</v>
      </c>
      <c r="E484" s="19" t="n">
        <f aca="false">'SALES Raw'!D2924</f>
        <v>4752.9</v>
      </c>
      <c r="F484" s="19" t="n">
        <f aca="false">'SALES Raw'!E2924*$H$4</f>
        <v>189.473684210526</v>
      </c>
      <c r="G484" s="19" t="n">
        <f aca="false">'SALES Raw'!F2924*$H$4</f>
        <v>2433.23368421053</v>
      </c>
      <c r="H484" s="18" t="str">
        <f aca="false">'SALES Raw'!A2924</f>
        <v>202 - Super-Pharm POLAND</v>
      </c>
    </row>
    <row r="485" customFormat="false" ht="15" hidden="false" customHeight="false" outlineLevel="0" collapsed="false">
      <c r="A485" s="18" t="n">
        <f aca="false">'SALES Raw'!G3157</f>
        <v>4408052</v>
      </c>
      <c r="B485" s="18" t="str">
        <f aca="false">'SALES Raw'!B3157</f>
        <v>21 L</v>
      </c>
      <c r="C485" s="18" t="str">
        <f aca="false">'SALES Raw'!H3157</f>
        <v>21 L  חבק יד ארוך</v>
      </c>
      <c r="D485" s="19" t="n">
        <f aca="false">'SALES Raw'!C3157</f>
        <v>160</v>
      </c>
      <c r="E485" s="19" t="n">
        <f aca="false">'SALES Raw'!D3157</f>
        <v>2583.89</v>
      </c>
      <c r="F485" s="19" t="n">
        <f aca="false">'SALES Raw'!E3157*$H$4</f>
        <v>189.473684210526</v>
      </c>
      <c r="G485" s="19" t="n">
        <f aca="false">'SALES Raw'!F3157*$H$4</f>
        <v>2716.13052631579</v>
      </c>
      <c r="H485" s="18" t="str">
        <f aca="false">'SALES Raw'!A3157</f>
        <v>204 - Sanaflex Anatomic GREECE</v>
      </c>
    </row>
    <row r="486" customFormat="false" ht="15" hidden="false" customHeight="false" outlineLevel="0" collapsed="false">
      <c r="A486" s="18" t="n">
        <f aca="false">'SALES Raw'!G3213</f>
        <v>4413054</v>
      </c>
      <c r="B486" s="18" t="str">
        <f aca="false">'SALES Raw'!B3213</f>
        <v>35C M</v>
      </c>
      <c r="C486" s="18" t="str">
        <f aca="false">'SALES Raw'!H3213</f>
        <v>35C M מגן קרסול חום</v>
      </c>
      <c r="D486" s="19" t="n">
        <f aca="false">'SALES Raw'!C3213</f>
        <v>135</v>
      </c>
      <c r="E486" s="19" t="n">
        <f aca="false">'SALES Raw'!D3213</f>
        <v>1378.31</v>
      </c>
      <c r="F486" s="19" t="n">
        <f aca="false">'SALES Raw'!E3213*$H$4</f>
        <v>189.473684210526</v>
      </c>
      <c r="G486" s="19" t="n">
        <f aca="false">'SALES Raw'!F3213*$H$4</f>
        <v>1773.71368421053</v>
      </c>
      <c r="H486" s="18" t="str">
        <f aca="false">'SALES Raw'!A3213</f>
        <v>204 - Sanaflex Anatomic GREECE</v>
      </c>
    </row>
    <row r="487" customFormat="false" ht="15" hidden="false" customHeight="false" outlineLevel="0" collapsed="false">
      <c r="A487" s="18" t="str">
        <f aca="false">'SALES Raw'!G3280</f>
        <v/>
      </c>
      <c r="B487" s="18" t="str">
        <f aca="false">'SALES Raw'!B3280</f>
        <v>61 M</v>
      </c>
      <c r="C487" s="18" t="str">
        <f aca="false">'SALES Raw'!H3280</f>
        <v>61 M</v>
      </c>
      <c r="D487" s="19" t="n">
        <f aca="false">'SALES Raw'!C3280</f>
        <v>216</v>
      </c>
      <c r="E487" s="19" t="n">
        <f aca="false">'SALES Raw'!D3280</f>
        <v>3814.23</v>
      </c>
      <c r="F487" s="19" t="n">
        <f aca="false">'SALES Raw'!E3280*$H$4</f>
        <v>189.473684210526</v>
      </c>
      <c r="G487" s="19" t="n">
        <f aca="false">'SALES Raw'!F3280*$H$4</f>
        <v>3003.03157894737</v>
      </c>
      <c r="H487" s="18" t="str">
        <f aca="false">'SALES Raw'!A3280</f>
        <v>204 - Sanaflex Anatomic GREECE</v>
      </c>
    </row>
    <row r="488" customFormat="false" ht="15" hidden="false" customHeight="false" outlineLevel="0" collapsed="false">
      <c r="A488" s="18" t="n">
        <f aca="false">'SALES Raw'!G3373</f>
        <v>4408267</v>
      </c>
      <c r="B488" s="18" t="str">
        <f aca="false">'SALES Raw'!B3373</f>
        <v>ST25 0</v>
      </c>
      <c r="C488" s="18" t="str">
        <f aca="false">'SALES Raw'!H3373</f>
        <v>ST25 חבק שורש לכף היד</v>
      </c>
      <c r="D488" s="19" t="n">
        <f aca="false">'SALES Raw'!C3373</f>
        <v>190</v>
      </c>
      <c r="E488" s="19" t="n">
        <f aca="false">'SALES Raw'!D3373</f>
        <v>2727.88</v>
      </c>
      <c r="F488" s="19" t="n">
        <f aca="false">'SALES Raw'!E3373*$H$4</f>
        <v>189.473684210526</v>
      </c>
      <c r="G488" s="19" t="n">
        <f aca="false">'SALES Raw'!F3373*$H$4</f>
        <v>2444.75368421053</v>
      </c>
      <c r="H488" s="18" t="str">
        <f aca="false">'SALES Raw'!A3373</f>
        <v>205 - Health Care Prod. Gmbh GERMANY</v>
      </c>
    </row>
    <row r="489" customFormat="false" ht="15" hidden="false" customHeight="false" outlineLevel="0" collapsed="false">
      <c r="A489" s="18" t="n">
        <f aca="false">'SALES Raw'!G3620</f>
        <v>4422025</v>
      </c>
      <c r="B489" s="18" t="str">
        <f aca="false">'SALES Raw'!B3620</f>
        <v>806CB-GR</v>
      </c>
      <c r="C489" s="18" t="str">
        <f aca="false">'SALES Raw'!H3620</f>
        <v>806CB-GREEN      תחבושת א.נצמ</v>
      </c>
      <c r="D489" s="19" t="n">
        <f aca="false">'SALES Raw'!C3620</f>
        <v>220</v>
      </c>
      <c r="E489" s="19" t="n">
        <f aca="false">'SALES Raw'!D3620</f>
        <v>1389.41</v>
      </c>
      <c r="F489" s="19" t="n">
        <f aca="false">'SALES Raw'!E3620*$H$4</f>
        <v>189.473684210526</v>
      </c>
      <c r="G489" s="19" t="n">
        <f aca="false">'SALES Raw'!F3620*$H$4</f>
        <v>1145.20421052632</v>
      </c>
      <c r="H489" s="18" t="str">
        <f aca="false">'SALES Raw'!A3620</f>
        <v>207 - Salus HUNGARY</v>
      </c>
    </row>
    <row r="490" customFormat="false" ht="15" hidden="false" customHeight="false" outlineLevel="0" collapsed="false">
      <c r="A490" s="18" t="n">
        <f aca="false">'CEMIUP0.9 Raw'!B306</f>
        <v>4413135</v>
      </c>
      <c r="B490" s="18" t="str">
        <f aca="false">'CEMIUP0.9 Raw'!C306</f>
        <v>85 L (מתלה ליד )כיס</v>
      </c>
      <c r="C490" s="18" t="str">
        <f aca="false">'CEMIUP0.9 Raw'!C306</f>
        <v>85 L (מתלה ליד )כיס</v>
      </c>
      <c r="D490" s="19" t="n">
        <f aca="false">'CEMIUP0.9 Raw'!D306</f>
        <v>220</v>
      </c>
      <c r="E490" s="19" t="n">
        <f aca="false">'CEMIUP0.9 Raw'!E306</f>
        <v>10981.738</v>
      </c>
      <c r="F490" s="19" t="n">
        <f aca="false">'CEMIUP0.9 Raw'!F306</f>
        <v>189.473684210526</v>
      </c>
      <c r="G490" s="19" t="n">
        <f aca="false">'CEMIUP0.9 Raw'!G306</f>
        <v>9577.76715789474</v>
      </c>
      <c r="H490" s="18" t="str">
        <f aca="false">'CEMIUP0.9 Raw'!A306</f>
        <v>107 - Pharmacies</v>
      </c>
    </row>
    <row r="491" customFormat="false" ht="15" hidden="false" customHeight="false" outlineLevel="0" collapsed="false">
      <c r="A491" s="18" t="n">
        <f aca="false">'CEMIUP0.9 Raw'!B853</f>
        <v>4416001</v>
      </c>
      <c r="B491" s="18" t="str">
        <f aca="false">'CEMIUP0.9 Raw'!C853</f>
        <v>307 M עקבים לדורבן-זוג כריות</v>
      </c>
      <c r="C491" s="18" t="str">
        <f aca="false">'CEMIUP0.9 Raw'!C853</f>
        <v>307 M עקבים לדורבן-זוג כריות</v>
      </c>
      <c r="D491" s="19" t="n">
        <f aca="false">'CEMIUP0.9 Raw'!D853</f>
        <v>293</v>
      </c>
      <c r="E491" s="19" t="n">
        <f aca="false">'CEMIUP0.9 Raw'!E853</f>
        <v>18538.11</v>
      </c>
      <c r="F491" s="19" t="n">
        <f aca="false">'CEMIUP0.9 Raw'!F853</f>
        <v>188.210526315789</v>
      </c>
      <c r="G491" s="19" t="n">
        <f aca="false">'CEMIUP0.9 Raw'!G853</f>
        <v>11306.1195789474</v>
      </c>
      <c r="H491" s="18" t="str">
        <f aca="false">'CEMIUP0.9 Raw'!A853</f>
        <v>113 - Kupat Holim Meuhedet</v>
      </c>
    </row>
    <row r="492" customFormat="false" ht="15" hidden="false" customHeight="false" outlineLevel="0" collapsed="false">
      <c r="A492" s="18" t="n">
        <f aca="false">'CEMIUP0.9 Raw'!B521</f>
        <v>4417000</v>
      </c>
      <c r="B492" s="18" t="str">
        <f aca="false">'CEMIUP0.9 Raw'!C521</f>
        <v>PD342-פומפיה להסרת עור קשה</v>
      </c>
      <c r="C492" s="18" t="str">
        <f aca="false">'CEMIUP0.9 Raw'!C521</f>
        <v>PD342-פומפיה להסרת עור קשה</v>
      </c>
      <c r="D492" s="19" t="n">
        <f aca="false">'CEMIUP0.9 Raw'!D521</f>
        <v>225</v>
      </c>
      <c r="E492" s="19" t="n">
        <f aca="false">'CEMIUP0.9 Raw'!E521</f>
        <v>5083.383</v>
      </c>
      <c r="F492" s="19" t="n">
        <f aca="false">'CEMIUP0.9 Raw'!F521</f>
        <v>186.947368421053</v>
      </c>
      <c r="G492" s="19" t="n">
        <f aca="false">'CEMIUP0.9 Raw'!G521</f>
        <v>4209.072</v>
      </c>
      <c r="H492" s="18" t="str">
        <f aca="false">'CEMIUP0.9 Raw'!A521</f>
        <v>107 - Pharmacies</v>
      </c>
    </row>
    <row r="493" customFormat="false" ht="15" hidden="false" customHeight="false" outlineLevel="0" collapsed="false">
      <c r="A493" s="18" t="n">
        <f aca="false">'CEMIUP0.9 Raw'!B690</f>
        <v>4403042</v>
      </c>
      <c r="B493" s="18" t="str">
        <f aca="false">'CEMIUP0.9 Raw'!C690</f>
        <v>397A-גרבי טיסה אנטי בקטרי39-42</v>
      </c>
      <c r="C493" s="18" t="str">
        <f aca="false">'CEMIUP0.9 Raw'!C690</f>
        <v>397A-גרבי טיסה אנטי בקטרי39-42</v>
      </c>
      <c r="D493" s="19" t="n">
        <f aca="false">'CEMIUP0.9 Raw'!D690</f>
        <v>0</v>
      </c>
      <c r="E493" s="19" t="n">
        <f aca="false">'CEMIUP0.9 Raw'!E690</f>
        <v>0</v>
      </c>
      <c r="F493" s="19" t="n">
        <f aca="false">'CEMIUP0.9 Raw'!F690</f>
        <v>185.684210526316</v>
      </c>
      <c r="G493" s="19" t="n">
        <f aca="false">'CEMIUP0.9 Raw'!G690</f>
        <v>7064.78021052632</v>
      </c>
      <c r="H493" s="18" t="str">
        <f aca="false">'CEMIUP0.9 Raw'!A690</f>
        <v>113 - Kupat Holim Meuhedet</v>
      </c>
    </row>
    <row r="494" customFormat="false" ht="15" hidden="false" customHeight="false" outlineLevel="0" collapsed="false">
      <c r="A494" s="18" t="n">
        <f aca="false">'SALES Raw'!G3830</f>
        <v>4401000</v>
      </c>
      <c r="B494" s="18" t="str">
        <f aca="false">'SALES Raw'!B3830</f>
        <v>369-S-L</v>
      </c>
      <c r="C494" s="18" t="str">
        <f aca="false">'SALES Raw'!H3830</f>
        <v>369  S-L אצבעון מסיליקון יחידה</v>
      </c>
      <c r="D494" s="19" t="n">
        <f aca="false">'SALES Raw'!C3830</f>
        <v>255</v>
      </c>
      <c r="E494" s="19" t="n">
        <f aca="false">'SALES Raw'!D3830</f>
        <v>2425.57</v>
      </c>
      <c r="F494" s="19" t="n">
        <f aca="false">'SALES Raw'!E3830*$H$4</f>
        <v>185.684210526316</v>
      </c>
      <c r="G494" s="19" t="n">
        <f aca="false">'SALES Raw'!F3830*$H$4</f>
        <v>1748.29894736842</v>
      </c>
      <c r="H494" s="18" t="str">
        <f aca="false">'SALES Raw'!A3830</f>
        <v>209 - Ortoprofil Prod ROMANIA</v>
      </c>
    </row>
    <row r="495" customFormat="false" ht="15" hidden="false" customHeight="false" outlineLevel="0" collapsed="false">
      <c r="A495" s="18" t="str">
        <f aca="false">'SALES Raw'!G4432</f>
        <v/>
      </c>
      <c r="B495" s="18" t="str">
        <f aca="false">'SALES Raw'!B4432</f>
        <v>EC-59D M</v>
      </c>
      <c r="C495" s="18" t="str">
        <f aca="false">'SALES Raw'!H4432</f>
        <v>EC-59D M</v>
      </c>
      <c r="D495" s="19" t="n">
        <f aca="false">'SALES Raw'!C4432</f>
        <v>346</v>
      </c>
      <c r="E495" s="19" t="n">
        <f aca="false">'SALES Raw'!D4432</f>
        <v>66008.37</v>
      </c>
      <c r="F495" s="19" t="n">
        <f aca="false">'SALES Raw'!E4432*$H$4</f>
        <v>185.684210526316</v>
      </c>
      <c r="G495" s="19" t="n">
        <f aca="false">'SALES Raw'!F4432*$H$4</f>
        <v>31333.5915789474</v>
      </c>
      <c r="H495" s="18" t="str">
        <f aca="false">'SALES Raw'!A4432</f>
        <v>301 - Amazon</v>
      </c>
    </row>
    <row r="496" customFormat="false" ht="15" hidden="false" customHeight="false" outlineLevel="0" collapsed="false">
      <c r="A496" s="18" t="n">
        <f aca="false">'CEMIUP0.9 Raw'!B436</f>
        <v>4413492</v>
      </c>
      <c r="B496" s="18" t="str">
        <f aca="false">'CEMIUP0.9 Raw'!C436</f>
        <v>35B M מגן קרסול שחור</v>
      </c>
      <c r="C496" s="18" t="str">
        <f aca="false">'CEMIUP0.9 Raw'!C436</f>
        <v>35B M מגן קרסול שחור</v>
      </c>
      <c r="D496" s="19" t="n">
        <f aca="false">'CEMIUP0.9 Raw'!D436</f>
        <v>265</v>
      </c>
      <c r="E496" s="19" t="n">
        <f aca="false">'CEMIUP0.9 Raw'!E436</f>
        <v>7109.739</v>
      </c>
      <c r="F496" s="19" t="n">
        <f aca="false">'CEMIUP0.9 Raw'!F436</f>
        <v>184.421052631579</v>
      </c>
      <c r="G496" s="19" t="n">
        <f aca="false">'CEMIUP0.9 Raw'!G436</f>
        <v>5155.73431578947</v>
      </c>
      <c r="H496" s="18" t="str">
        <f aca="false">'CEMIUP0.9 Raw'!A436</f>
        <v>107 - Pharmacies</v>
      </c>
    </row>
    <row r="497" customFormat="false" ht="15" hidden="false" customHeight="false" outlineLevel="0" collapsed="false">
      <c r="A497" s="18" t="n">
        <f aca="false">'CEMIUP0.9 Raw'!B1019</f>
        <v>4408221</v>
      </c>
      <c r="B497" s="18" t="str">
        <f aca="false">'CEMIUP0.9 Raw'!C1019</f>
        <v>078G-L חגורת גב אפורה</v>
      </c>
      <c r="C497" s="18" t="str">
        <f aca="false">'CEMIUP0.9 Raw'!C1019</f>
        <v>078G-L חגורת גב אפורה</v>
      </c>
      <c r="D497" s="19" t="n">
        <f aca="false">'CEMIUP0.9 Raw'!D1019</f>
        <v>146</v>
      </c>
      <c r="E497" s="19" t="n">
        <f aca="false">'CEMIUP0.9 Raw'!E1019</f>
        <v>13183.716</v>
      </c>
      <c r="F497" s="19" t="n">
        <f aca="false">'CEMIUP0.9 Raw'!F1019</f>
        <v>184.421052631579</v>
      </c>
      <c r="G497" s="19" t="n">
        <f aca="false">'CEMIUP0.9 Raw'!G1019</f>
        <v>16653.1149473684</v>
      </c>
      <c r="H497" s="18" t="str">
        <f aca="false">'CEMIUP0.9 Raw'!A1019</f>
        <v>BE (CEMI internal group)</v>
      </c>
    </row>
    <row r="498" customFormat="false" ht="15" hidden="false" customHeight="false" outlineLevel="0" collapsed="false">
      <c r="A498" s="18" t="n">
        <f aca="false">'SALES Raw'!G3170</f>
        <v>4421005</v>
      </c>
      <c r="B498" s="18" t="str">
        <f aca="false">'SALES Raw'!B3170</f>
        <v>250 0</v>
      </c>
      <c r="C498" s="18" t="str">
        <f aca="false">'SALES Raw'!H3170</f>
        <v>שרוול לגבס קצר יד</v>
      </c>
      <c r="D498" s="19" t="n">
        <f aca="false">'SALES Raw'!C3170</f>
        <v>176</v>
      </c>
      <c r="E498" s="19" t="n">
        <f aca="false">'SALES Raw'!D3170</f>
        <v>3255.37</v>
      </c>
      <c r="F498" s="19" t="n">
        <f aca="false">'SALES Raw'!E3170*$H$4</f>
        <v>183.157894736842</v>
      </c>
      <c r="G498" s="19" t="n">
        <f aca="false">'SALES Raw'!F3170*$H$4</f>
        <v>3057.32210526316</v>
      </c>
      <c r="H498" s="18" t="str">
        <f aca="false">'SALES Raw'!A3170</f>
        <v>204 - Sanaflex Anatomic GREECE</v>
      </c>
    </row>
    <row r="499" customFormat="false" ht="15" hidden="false" customHeight="false" outlineLevel="0" collapsed="false">
      <c r="A499" s="18" t="str">
        <f aca="false">'SALES Raw'!G3192</f>
        <v/>
      </c>
      <c r="B499" s="18" t="str">
        <f aca="false">'SALES Raw'!B3192</f>
        <v>305-45-46</v>
      </c>
      <c r="C499" s="18" t="str">
        <f aca="false">'SALES Raw'!H3192</f>
        <v>305-45-46</v>
      </c>
      <c r="D499" s="19" t="n">
        <f aca="false">'SALES Raw'!C3192</f>
        <v>140</v>
      </c>
      <c r="E499" s="19" t="n">
        <f aca="false">'SALES Raw'!D3192</f>
        <v>4903.29</v>
      </c>
      <c r="F499" s="19" t="n">
        <f aca="false">'SALES Raw'!E3192*$H$4</f>
        <v>183.157894736842</v>
      </c>
      <c r="G499" s="19" t="n">
        <f aca="false">'SALES Raw'!F3192*$H$4</f>
        <v>5710.01684210526</v>
      </c>
      <c r="H499" s="18" t="str">
        <f aca="false">'SALES Raw'!A3192</f>
        <v>204 - Sanaflex Anatomic GREECE</v>
      </c>
    </row>
    <row r="500" customFormat="false" ht="15" hidden="false" customHeight="false" outlineLevel="0" collapsed="false">
      <c r="A500" s="18" t="n">
        <f aca="false">'SALES Raw'!G3327</f>
        <v>4420024</v>
      </c>
      <c r="B500" s="18" t="str">
        <f aca="false">'SALES Raw'!B3327</f>
        <v>LF373 0</v>
      </c>
      <c r="C500" s="18" t="str">
        <f aca="false">'SALES Raw'!H3327</f>
        <v>LFריפוד סיליק.לכרית כף הרגל373</v>
      </c>
      <c r="D500" s="19" t="n">
        <f aca="false">'SALES Raw'!C3327</f>
        <v>180</v>
      </c>
      <c r="E500" s="19" t="n">
        <f aca="false">'SALES Raw'!D3327</f>
        <v>1646.79</v>
      </c>
      <c r="F500" s="19" t="n">
        <f aca="false">'SALES Raw'!E3327*$H$4</f>
        <v>183.157894736842</v>
      </c>
      <c r="G500" s="19" t="n">
        <f aca="false">'SALES Raw'!F3327*$H$4</f>
        <v>1533.44842105263</v>
      </c>
      <c r="H500" s="18" t="str">
        <f aca="false">'SALES Raw'!A3327</f>
        <v>204 - Sanaflex Anatomic GREECE</v>
      </c>
    </row>
    <row r="501" customFormat="false" ht="15" hidden="false" customHeight="false" outlineLevel="0" collapsed="false">
      <c r="A501" s="18" t="n">
        <f aca="false">'CEMIUP0.9 Raw'!B188</f>
        <v>4409001</v>
      </c>
      <c r="B501" s="18" t="str">
        <f aca="false">'CEMIUP0.9 Raw'!C188</f>
        <v>365  X-Lטבעת אלסטית מסיליקון</v>
      </c>
      <c r="C501" s="18" t="str">
        <f aca="false">'CEMIUP0.9 Raw'!C188</f>
        <v>365  X-Lטבעת אלסטית מסיליקון</v>
      </c>
      <c r="D501" s="19" t="n">
        <f aca="false">'CEMIUP0.9 Raw'!D188</f>
        <v>265</v>
      </c>
      <c r="E501" s="19" t="n">
        <f aca="false">'CEMIUP0.9 Raw'!E188</f>
        <v>3143.852</v>
      </c>
      <c r="F501" s="19" t="n">
        <f aca="false">'CEMIUP0.9 Raw'!F188</f>
        <v>183.157894736842</v>
      </c>
      <c r="G501" s="19" t="n">
        <f aca="false">'CEMIUP0.9 Raw'!G188</f>
        <v>2156.09305263158</v>
      </c>
      <c r="H501" s="18" t="str">
        <f aca="false">'CEMIUP0.9 Raw'!A188</f>
        <v>107 - Pharmacies</v>
      </c>
    </row>
    <row r="502" customFormat="false" ht="15" hidden="false" customHeight="false" outlineLevel="0" collapsed="false">
      <c r="A502" s="18" t="n">
        <f aca="false">'CEMIUP0.9 Raw'!B1065</f>
        <v>4413049</v>
      </c>
      <c r="B502" s="18" t="str">
        <f aca="false">'CEMIUP0.9 Raw'!C1065</f>
        <v>35 M מגן קרסול לבן</v>
      </c>
      <c r="C502" s="18" t="str">
        <f aca="false">'CEMIUP0.9 Raw'!C1065</f>
        <v>35 M מגן קרסול לבן</v>
      </c>
      <c r="D502" s="19" t="n">
        <f aca="false">'CEMIUP0.9 Raw'!D1065</f>
        <v>251</v>
      </c>
      <c r="E502" s="19" t="n">
        <f aca="false">'CEMIUP0.9 Raw'!E1065</f>
        <v>6342.427</v>
      </c>
      <c r="F502" s="19" t="n">
        <f aca="false">'CEMIUP0.9 Raw'!F1065</f>
        <v>183.157894736842</v>
      </c>
      <c r="G502" s="19" t="n">
        <f aca="false">'CEMIUP0.9 Raw'!G1065</f>
        <v>4633.64336842105</v>
      </c>
      <c r="H502" s="18" t="str">
        <f aca="false">'CEMIUP0.9 Raw'!A1065</f>
        <v>BE (CEMI internal group)</v>
      </c>
    </row>
    <row r="503" customFormat="false" ht="15" hidden="false" customHeight="false" outlineLevel="0" collapsed="false">
      <c r="A503" s="18" t="n">
        <f aca="false">'CEMIUP0.9 Raw'!B1631</f>
        <v>4415075</v>
      </c>
      <c r="B503" s="18" t="str">
        <f aca="false">'CEMIUP0.9 Raw'!C1631</f>
        <v>T28AC L-XL סד לאגודל</v>
      </c>
      <c r="C503" s="18" t="str">
        <f aca="false">'CEMIUP0.9 Raw'!C1631</f>
        <v>T28AC L-XL סד לאגודל</v>
      </c>
      <c r="D503" s="19" t="n">
        <f aca="false">'CEMIUP0.9 Raw'!D1631</f>
        <v>187</v>
      </c>
      <c r="E503" s="19" t="n">
        <f aca="false">'CEMIUP0.9 Raw'!E1631</f>
        <v>9905.896</v>
      </c>
      <c r="F503" s="19" t="n">
        <f aca="false">'CEMIUP0.9 Raw'!F1631</f>
        <v>183.157894736842</v>
      </c>
      <c r="G503" s="19" t="n">
        <f aca="false">'CEMIUP0.9 Raw'!G1631</f>
        <v>9778.57263157895</v>
      </c>
      <c r="H503" s="18" t="str">
        <f aca="false">'CEMIUP0.9 Raw'!A1631</f>
        <v>Super-Pharm Israel (CEMI internal group)</v>
      </c>
    </row>
    <row r="504" customFormat="false" ht="15" hidden="false" customHeight="false" outlineLevel="0" collapsed="false">
      <c r="A504" s="18" t="n">
        <f aca="false">'CEMIUP0.9 Raw'!B1607</f>
        <v>4413524</v>
      </c>
      <c r="B504" s="18" t="str">
        <f aca="false">'CEMIUP0.9 Raw'!C1607</f>
        <v>39-42 מדרסי אפיק ג'ל נוחות</v>
      </c>
      <c r="C504" s="18" t="str">
        <f aca="false">'CEMIUP0.9 Raw'!C1607</f>
        <v>39-42 מדרסי אפיק ג'ל נוחות</v>
      </c>
      <c r="D504" s="19" t="n">
        <f aca="false">'CEMIUP0.9 Raw'!D1607</f>
        <v>969</v>
      </c>
      <c r="E504" s="19" t="n">
        <f aca="false">'CEMIUP0.9 Raw'!E1607</f>
        <v>82085.367</v>
      </c>
      <c r="F504" s="19" t="n">
        <f aca="false">'CEMIUP0.9 Raw'!F1607</f>
        <v>181.894736842105</v>
      </c>
      <c r="G504" s="19" t="n">
        <f aca="false">'CEMIUP0.9 Raw'!G1607</f>
        <v>16601.0437894737</v>
      </c>
      <c r="H504" s="18" t="str">
        <f aca="false">'CEMIUP0.9 Raw'!A1607</f>
        <v>Super-Pharm Israel (CEMI internal group)</v>
      </c>
    </row>
    <row r="505" customFormat="false" ht="15" hidden="false" customHeight="false" outlineLevel="0" collapsed="false">
      <c r="A505" s="18" t="n">
        <f aca="false">'SALES Raw'!G3123</f>
        <v>4408267</v>
      </c>
      <c r="B505" s="18" t="str">
        <f aca="false">'SALES Raw'!B3123</f>
        <v>ST25 0</v>
      </c>
      <c r="C505" s="18" t="str">
        <f aca="false">'SALES Raw'!H3123</f>
        <v>ST25 חבק שורש לכף היד</v>
      </c>
      <c r="D505" s="19" t="n">
        <f aca="false">'SALES Raw'!C3123</f>
        <v>216</v>
      </c>
      <c r="E505" s="19" t="n">
        <f aca="false">'SALES Raw'!D3123</f>
        <v>2892</v>
      </c>
      <c r="F505" s="19" t="n">
        <f aca="false">'SALES Raw'!E3123*$H$4</f>
        <v>180.631578947368</v>
      </c>
      <c r="G505" s="19" t="n">
        <f aca="false">'SALES Raw'!F3123*$H$4</f>
        <v>2337.13263157895</v>
      </c>
      <c r="H505" s="18" t="str">
        <f aca="false">'SALES Raw'!A3123</f>
        <v>203 - Ortho- Partner ag SWITZERLAND</v>
      </c>
    </row>
    <row r="506" customFormat="false" ht="15" hidden="false" customHeight="false" outlineLevel="0" collapsed="false">
      <c r="A506" s="18" t="n">
        <f aca="false">'CEMIUP0.9 Raw'!B773</f>
        <v>4413044</v>
      </c>
      <c r="B506" s="18" t="str">
        <f aca="false">'CEMIUP0.9 Raw'!C773</f>
        <v>34 XL מגן קרסול עקב סגור</v>
      </c>
      <c r="C506" s="18" t="str">
        <f aca="false">'CEMIUP0.9 Raw'!C773</f>
        <v>34 XL מגן קרסול עקב סגור</v>
      </c>
      <c r="D506" s="19" t="n">
        <f aca="false">'CEMIUP0.9 Raw'!D773</f>
        <v>192</v>
      </c>
      <c r="E506" s="19" t="n">
        <f aca="false">'CEMIUP0.9 Raw'!E773</f>
        <v>5554.56</v>
      </c>
      <c r="F506" s="19" t="n">
        <f aca="false">'CEMIUP0.9 Raw'!F773</f>
        <v>180.631578947368</v>
      </c>
      <c r="G506" s="19" t="n">
        <f aca="false">'CEMIUP0.9 Raw'!G773</f>
        <v>4806.41810526316</v>
      </c>
      <c r="H506" s="18" t="str">
        <f aca="false">'CEMIUP0.9 Raw'!A773</f>
        <v>113 - Kupat Holim Meuhedet</v>
      </c>
    </row>
    <row r="507" customFormat="false" ht="15" hidden="false" customHeight="false" outlineLevel="0" collapsed="false">
      <c r="A507" s="18" t="n">
        <f aca="false">'CEMIUP0.9 Raw'!B1101</f>
        <v>4413104</v>
      </c>
      <c r="B507" s="18" t="str">
        <f aca="false">'CEMIUP0.9 Raw'!C1101</f>
        <v>45E XLמגן ברך ארוך לבן</v>
      </c>
      <c r="C507" s="18" t="str">
        <f aca="false">'CEMIUP0.9 Raw'!C1101</f>
        <v>45E XLמגן ברך ארוך לבן</v>
      </c>
      <c r="D507" s="19" t="n">
        <f aca="false">'CEMIUP0.9 Raw'!D1101</f>
        <v>188</v>
      </c>
      <c r="E507" s="19" t="n">
        <f aca="false">'CEMIUP0.9 Raw'!E1101</f>
        <v>5747.014</v>
      </c>
      <c r="F507" s="19" t="n">
        <f aca="false">'CEMIUP0.9 Raw'!F1101</f>
        <v>180.631578947368</v>
      </c>
      <c r="G507" s="19" t="n">
        <f aca="false">'CEMIUP0.9 Raw'!G1101</f>
        <v>5518.50821052631</v>
      </c>
      <c r="H507" s="18" t="str">
        <f aca="false">'CEMIUP0.9 Raw'!A1101</f>
        <v>BE (CEMI internal group)</v>
      </c>
    </row>
    <row r="508" customFormat="false" ht="15" hidden="false" customHeight="false" outlineLevel="0" collapsed="false">
      <c r="A508" s="18" t="n">
        <f aca="false">'CEMIUP0.9 Raw'!B1135</f>
        <v>4413160</v>
      </c>
      <c r="B508" s="18" t="str">
        <f aca="false">'CEMIUP0.9 Raw'!C1135</f>
        <v>34+ M מגן קרסול עקב סגור+רצוע</v>
      </c>
      <c r="C508" s="18" t="str">
        <f aca="false">'CEMIUP0.9 Raw'!C1135</f>
        <v>34+ M מגן קרסול עקב סגור+רצוע</v>
      </c>
      <c r="D508" s="19" t="n">
        <f aca="false">'CEMIUP0.9 Raw'!D1135</f>
        <v>151</v>
      </c>
      <c r="E508" s="19" t="n">
        <f aca="false">'CEMIUP0.9 Raw'!E1135</f>
        <v>7874.958</v>
      </c>
      <c r="F508" s="19" t="n">
        <f aca="false">'CEMIUP0.9 Raw'!F1135</f>
        <v>180.631578947368</v>
      </c>
      <c r="G508" s="19" t="n">
        <f aca="false">'CEMIUP0.9 Raw'!G1135</f>
        <v>9420.28168421053</v>
      </c>
      <c r="H508" s="18" t="str">
        <f aca="false">'CEMIUP0.9 Raw'!A1135</f>
        <v>BE (CEMI internal group)</v>
      </c>
    </row>
    <row r="509" customFormat="false" ht="15" hidden="false" customHeight="false" outlineLevel="0" collapsed="false">
      <c r="A509" s="18" t="n">
        <f aca="false">'CEMIUP0.9 Raw'!B1089</f>
        <v>4413092</v>
      </c>
      <c r="B509" s="18" t="str">
        <f aca="false">'CEMIUP0.9 Raw'!C1089</f>
        <v>45 L מגן ברך לבן</v>
      </c>
      <c r="C509" s="18" t="str">
        <f aca="false">'CEMIUP0.9 Raw'!C1089</f>
        <v>45 L מגן ברך לבן</v>
      </c>
      <c r="D509" s="19" t="n">
        <f aca="false">'CEMIUP0.9 Raw'!D1089</f>
        <v>229</v>
      </c>
      <c r="E509" s="19" t="n">
        <f aca="false">'CEMIUP0.9 Raw'!E1089</f>
        <v>5792.059</v>
      </c>
      <c r="F509" s="19" t="n">
        <f aca="false">'CEMIUP0.9 Raw'!F1089</f>
        <v>179.368421052632</v>
      </c>
      <c r="G509" s="19" t="n">
        <f aca="false">'CEMIUP0.9 Raw'!G1089</f>
        <v>4544.67410526316</v>
      </c>
      <c r="H509" s="18" t="str">
        <f aca="false">'CEMIUP0.9 Raw'!A1089</f>
        <v>BE (CEMI internal group)</v>
      </c>
    </row>
    <row r="510" customFormat="false" ht="15" hidden="false" customHeight="false" outlineLevel="0" collapsed="false">
      <c r="A510" s="18" t="n">
        <f aca="false">'CEMIUP0.9 Raw'!B1166</f>
        <v>4413348</v>
      </c>
      <c r="B510" s="18" t="str">
        <f aca="false">'CEMIUP0.9 Raw'!C1166</f>
        <v>302 מדרס ג'ל לגבר</v>
      </c>
      <c r="C510" s="18" t="str">
        <f aca="false">'CEMIUP0.9 Raw'!C1166</f>
        <v>302 מדרס ג'ל לגבר</v>
      </c>
      <c r="D510" s="19" t="n">
        <f aca="false">'CEMIUP0.9 Raw'!D1166</f>
        <v>187</v>
      </c>
      <c r="E510" s="19" t="n">
        <f aca="false">'CEMIUP0.9 Raw'!E1166</f>
        <v>10984.064</v>
      </c>
      <c r="F510" s="19" t="n">
        <f aca="false">'CEMIUP0.9 Raw'!F1166</f>
        <v>179.368421052632</v>
      </c>
      <c r="G510" s="19" t="n">
        <f aca="false">'CEMIUP0.9 Raw'!G1166</f>
        <v>10712.4050526316</v>
      </c>
      <c r="H510" s="18" t="str">
        <f aca="false">'CEMIUP0.9 Raw'!A1166</f>
        <v>BE (CEMI internal group)</v>
      </c>
    </row>
    <row r="511" customFormat="false" ht="15" hidden="false" customHeight="false" outlineLevel="0" collapsed="false">
      <c r="A511" s="18" t="n">
        <f aca="false">'CEMIUP0.9 Raw'!B1624</f>
        <v>4415028</v>
      </c>
      <c r="B511" s="18" t="str">
        <f aca="false">'CEMIUP0.9 Raw'!C1624</f>
        <v>AC-28 סד לאגודל</v>
      </c>
      <c r="C511" s="18" t="str">
        <f aca="false">'CEMIUP0.9 Raw'!C1624</f>
        <v>AC-28 סד לאגודל</v>
      </c>
      <c r="D511" s="19" t="n">
        <f aca="false">'CEMIUP0.9 Raw'!D1624</f>
        <v>194</v>
      </c>
      <c r="E511" s="19" t="n">
        <f aca="false">'CEMIUP0.9 Raw'!E1624</f>
        <v>3939.845</v>
      </c>
      <c r="F511" s="19" t="n">
        <f aca="false">'CEMIUP0.9 Raw'!F1624</f>
        <v>178.105263157895</v>
      </c>
      <c r="G511" s="19" t="n">
        <f aca="false">'CEMIUP0.9 Raw'!G1624</f>
        <v>4078.44757894737</v>
      </c>
      <c r="H511" s="18" t="str">
        <f aca="false">'CEMIUP0.9 Raw'!A1624</f>
        <v>Super-Pharm Israel (CEMI internal group)</v>
      </c>
    </row>
    <row r="512" customFormat="false" ht="15" hidden="false" customHeight="false" outlineLevel="0" collapsed="false">
      <c r="A512" s="18" t="str">
        <f aca="false">'SALES Raw'!G4406</f>
        <v/>
      </c>
      <c r="B512" s="18" t="str">
        <f aca="false">'SALES Raw'!B4406</f>
        <v>EC-11STOB XL</v>
      </c>
      <c r="C512" s="18" t="str">
        <f aca="false">'SALES Raw'!H4406</f>
        <v>EC-11STOB XL</v>
      </c>
      <c r="D512" s="19" t="n">
        <f aca="false">'SALES Raw'!C4406</f>
        <v>86</v>
      </c>
      <c r="E512" s="19" t="n">
        <f aca="false">'SALES Raw'!D4406</f>
        <v>11577.1</v>
      </c>
      <c r="F512" s="19" t="n">
        <f aca="false">'SALES Raw'!E4406*$H$4</f>
        <v>178.105263157895</v>
      </c>
      <c r="G512" s="19" t="n">
        <f aca="false">'SALES Raw'!F4406*$H$4</f>
        <v>23441.3810526316</v>
      </c>
      <c r="H512" s="18" t="str">
        <f aca="false">'SALES Raw'!A4406</f>
        <v>301 - Amazon</v>
      </c>
    </row>
    <row r="513" customFormat="false" ht="15" hidden="false" customHeight="false" outlineLevel="0" collapsed="false">
      <c r="A513" s="18" t="str">
        <f aca="false">'SALES Raw'!G4440</f>
        <v/>
      </c>
      <c r="B513" s="18" t="str">
        <f aca="false">'SALES Raw'!B4440</f>
        <v>EC-59R L</v>
      </c>
      <c r="C513" s="18" t="str">
        <f aca="false">'SALES Raw'!H4440</f>
        <v>EC-59R L</v>
      </c>
      <c r="D513" s="19" t="n">
        <f aca="false">'SALES Raw'!C4440</f>
        <v>403</v>
      </c>
      <c r="E513" s="19" t="n">
        <f aca="false">'SALES Raw'!D4440</f>
        <v>73333.84</v>
      </c>
      <c r="F513" s="19" t="n">
        <f aca="false">'SALES Raw'!E4440*$H$4</f>
        <v>178.105263157895</v>
      </c>
      <c r="G513" s="19" t="n">
        <f aca="false">'SALES Raw'!F4440*$H$4</f>
        <v>28441.3894736842</v>
      </c>
      <c r="H513" s="18" t="str">
        <f aca="false">'SALES Raw'!A4440</f>
        <v>301 - Amazon</v>
      </c>
    </row>
    <row r="514" customFormat="false" ht="15" hidden="false" customHeight="false" outlineLevel="0" collapsed="false">
      <c r="A514" s="18" t="n">
        <f aca="false">'SALES Raw'!G2917</f>
        <v>4416001</v>
      </c>
      <c r="B514" s="18" t="str">
        <f aca="false">'SALES Raw'!B2917</f>
        <v>307 M</v>
      </c>
      <c r="C514" s="18" t="str">
        <f aca="false">'SALES Raw'!H2917</f>
        <v>307 M עקבים לדורבן-זוג כריות</v>
      </c>
      <c r="D514" s="19" t="n">
        <f aca="false">'SALES Raw'!C2917</f>
        <v>360</v>
      </c>
      <c r="E514" s="19" t="n">
        <f aca="false">'SALES Raw'!D2917</f>
        <v>14231.89</v>
      </c>
      <c r="F514" s="19" t="n">
        <f aca="false">'SALES Raw'!E2917*$H$4</f>
        <v>176.842105263158</v>
      </c>
      <c r="G514" s="19" t="n">
        <f aca="false">'SALES Raw'!F2917*$H$4</f>
        <v>6192.83368421053</v>
      </c>
      <c r="H514" s="18" t="str">
        <f aca="false">'SALES Raw'!A2917</f>
        <v>202 - Super-Pharm POLAND</v>
      </c>
    </row>
    <row r="515" customFormat="false" ht="15" hidden="false" customHeight="false" outlineLevel="0" collapsed="false">
      <c r="A515" s="18" t="n">
        <f aca="false">'SALES Raw'!G2929</f>
        <v>4413054</v>
      </c>
      <c r="B515" s="18" t="str">
        <f aca="false">'SALES Raw'!B2929</f>
        <v>35C M</v>
      </c>
      <c r="C515" s="18" t="str">
        <f aca="false">'SALES Raw'!H2929</f>
        <v>35C M מגן קרסול חום</v>
      </c>
      <c r="D515" s="19" t="n">
        <f aca="false">'SALES Raw'!C2929</f>
        <v>300</v>
      </c>
      <c r="E515" s="19" t="n">
        <f aca="false">'SALES Raw'!D2929</f>
        <v>4166.18</v>
      </c>
      <c r="F515" s="19" t="n">
        <f aca="false">'SALES Raw'!E2929*$H$4</f>
        <v>176.842105263158</v>
      </c>
      <c r="G515" s="19" t="n">
        <f aca="false">'SALES Raw'!F2929*$H$4</f>
        <v>2220.92210526316</v>
      </c>
      <c r="H515" s="18" t="str">
        <f aca="false">'SALES Raw'!A2929</f>
        <v>202 - Super-Pharm POLAND</v>
      </c>
    </row>
    <row r="516" customFormat="false" ht="15" hidden="false" customHeight="false" outlineLevel="0" collapsed="false">
      <c r="A516" s="18" t="n">
        <f aca="false">'SALES Raw'!G2930</f>
        <v>4413052</v>
      </c>
      <c r="B516" s="18" t="str">
        <f aca="false">'SALES Raw'!B2930</f>
        <v>35C S</v>
      </c>
      <c r="C516" s="18" t="str">
        <f aca="false">'SALES Raw'!H2930</f>
        <v>35C S מגן קרסול חום</v>
      </c>
      <c r="D516" s="19" t="n">
        <f aca="false">'SALES Raw'!C2930</f>
        <v>240</v>
      </c>
      <c r="E516" s="19" t="n">
        <f aca="false">'SALES Raw'!D2930</f>
        <v>3314.99</v>
      </c>
      <c r="F516" s="19" t="n">
        <f aca="false">'SALES Raw'!E2930*$H$4</f>
        <v>176.842105263158</v>
      </c>
      <c r="G516" s="19" t="n">
        <f aca="false">'SALES Raw'!F2930*$H$4</f>
        <v>2189.44421052632</v>
      </c>
      <c r="H516" s="18" t="str">
        <f aca="false">'SALES Raw'!A2930</f>
        <v>202 - Super-Pharm POLAND</v>
      </c>
    </row>
    <row r="517" customFormat="false" ht="15" hidden="false" customHeight="false" outlineLevel="0" collapsed="false">
      <c r="A517" s="18" t="str">
        <f aca="false">'SALES Raw'!G2946</f>
        <v/>
      </c>
      <c r="B517" s="18" t="str">
        <f aca="false">'SALES Raw'!B2946</f>
        <v>376-35-37</v>
      </c>
      <c r="C517" s="18" t="str">
        <f aca="false">'SALES Raw'!H2946</f>
        <v>376-35-37</v>
      </c>
      <c r="D517" s="19" t="n">
        <f aca="false">'SALES Raw'!C2946</f>
        <v>310</v>
      </c>
      <c r="E517" s="19" t="n">
        <f aca="false">'SALES Raw'!D2946</f>
        <v>5975.18</v>
      </c>
      <c r="F517" s="19" t="n">
        <f aca="false">'SALES Raw'!E2946*$H$4</f>
        <v>176.842105263158</v>
      </c>
      <c r="G517" s="19" t="n">
        <f aca="false">'SALES Raw'!F2946*$H$4</f>
        <v>3084.16421052632</v>
      </c>
      <c r="H517" s="18" t="str">
        <f aca="false">'SALES Raw'!A2946</f>
        <v>202 - Super-Pharm POLAND</v>
      </c>
    </row>
    <row r="518" customFormat="false" ht="15" hidden="false" customHeight="false" outlineLevel="0" collapsed="false">
      <c r="A518" s="18" t="n">
        <f aca="false">'SALES Raw'!G3023</f>
        <v>4402011</v>
      </c>
      <c r="B518" s="18" t="str">
        <f aca="false">'SALES Raw'!B3023</f>
        <v>ST422 0</v>
      </c>
      <c r="C518" s="18" t="str">
        <f aca="false">'SALES Raw'!H3023</f>
        <v>S-XLST422 מגן ברך+כרית ג'ל</v>
      </c>
      <c r="D518" s="19" t="n">
        <f aca="false">'SALES Raw'!C3023</f>
        <v>240</v>
      </c>
      <c r="E518" s="19" t="n">
        <f aca="false">'SALES Raw'!D3023</f>
        <v>14000.19</v>
      </c>
      <c r="F518" s="19" t="n">
        <f aca="false">'SALES Raw'!E3023*$H$4</f>
        <v>176.842105263158</v>
      </c>
      <c r="G518" s="19" t="n">
        <f aca="false">'SALES Raw'!F3023*$H$4</f>
        <v>9195.62526315789</v>
      </c>
      <c r="H518" s="18" t="str">
        <f aca="false">'SALES Raw'!A3023</f>
        <v>202 - Super-Pharm POLAND</v>
      </c>
    </row>
    <row r="519" customFormat="false" ht="15" hidden="false" customHeight="false" outlineLevel="0" collapsed="false">
      <c r="A519" s="18" t="str">
        <f aca="false">'SALES Raw'!G3105</f>
        <v/>
      </c>
      <c r="B519" s="18" t="str">
        <f aca="false">'SALES Raw'!B3105</f>
        <v>86U L</v>
      </c>
      <c r="C519" s="18" t="str">
        <f aca="false">'SALES Raw'!H3105</f>
        <v>86U L</v>
      </c>
      <c r="D519" s="19" t="n">
        <f aca="false">'SALES Raw'!C3105</f>
        <v>192</v>
      </c>
      <c r="E519" s="19" t="n">
        <f aca="false">'SALES Raw'!D3105</f>
        <v>17774.47</v>
      </c>
      <c r="F519" s="19" t="n">
        <f aca="false">'SALES Raw'!E3105*$H$4</f>
        <v>176.842105263158</v>
      </c>
      <c r="G519" s="19" t="n">
        <f aca="false">'SALES Raw'!F3105*$H$4</f>
        <v>15182.9810526316</v>
      </c>
      <c r="H519" s="18" t="str">
        <f aca="false">'SALES Raw'!A3105</f>
        <v>203 - Ortho- Partner ag SWITZERLAND</v>
      </c>
    </row>
    <row r="520" customFormat="false" ht="15" hidden="false" customHeight="false" outlineLevel="0" collapsed="false">
      <c r="A520" s="18" t="n">
        <f aca="false">'SALES Raw'!G3240</f>
        <v>4413452</v>
      </c>
      <c r="B520" s="18" t="str">
        <f aca="false">'SALES Raw'!B3240</f>
        <v>386 0</v>
      </c>
      <c r="C520" s="18" t="str">
        <f aca="false">'SALES Raw'!H3240</f>
        <v>386  מיישר בוניון-האלוקס ולגוס</v>
      </c>
      <c r="D520" s="19" t="n">
        <f aca="false">'SALES Raw'!C3240</f>
        <v>230</v>
      </c>
      <c r="E520" s="19" t="n">
        <f aca="false">'SALES Raw'!D3240</f>
        <v>3782.49</v>
      </c>
      <c r="F520" s="19" t="n">
        <f aca="false">'SALES Raw'!E3240*$H$4</f>
        <v>176.842105263158</v>
      </c>
      <c r="G520" s="19" t="n">
        <f aca="false">'SALES Raw'!F3240*$H$4</f>
        <v>2661.37263157895</v>
      </c>
      <c r="H520" s="18" t="str">
        <f aca="false">'SALES Raw'!A3240</f>
        <v>204 - Sanaflex Anatomic GREECE</v>
      </c>
    </row>
    <row r="521" customFormat="false" ht="15" hidden="false" customHeight="false" outlineLevel="0" collapsed="false">
      <c r="A521" s="18" t="n">
        <f aca="false">'SALES Raw'!G3258</f>
        <v>4413495</v>
      </c>
      <c r="B521" s="18" t="str">
        <f aca="false">'SALES Raw'!B3258</f>
        <v>45B L</v>
      </c>
      <c r="C521" s="18" t="str">
        <f aca="false">'SALES Raw'!H3258</f>
        <v>45B L מגן ברך שחור</v>
      </c>
      <c r="D521" s="19" t="n">
        <f aca="false">'SALES Raw'!C3258</f>
        <v>270</v>
      </c>
      <c r="E521" s="19" t="n">
        <f aca="false">'SALES Raw'!D3258</f>
        <v>2944.57</v>
      </c>
      <c r="F521" s="19" t="n">
        <f aca="false">'SALES Raw'!E3258*$H$4</f>
        <v>176.842105263158</v>
      </c>
      <c r="G521" s="19" t="n">
        <f aca="false">'SALES Raw'!F3258*$H$4</f>
        <v>1800.29052631579</v>
      </c>
      <c r="H521" s="18" t="str">
        <f aca="false">'SALES Raw'!A3258</f>
        <v>204 - Sanaflex Anatomic GREECE</v>
      </c>
    </row>
    <row r="522" customFormat="false" ht="15" hidden="false" customHeight="false" outlineLevel="0" collapsed="false">
      <c r="A522" s="18" t="n">
        <f aca="false">'SALES Raw'!G2643</f>
        <v>4408248</v>
      </c>
      <c r="B522" s="18" t="str">
        <f aca="false">'SALES Raw'!B2643</f>
        <v>SC25 M</v>
      </c>
      <c r="C522" s="18" t="str">
        <f aca="false">'SALES Raw'!H2643</f>
        <v>SC25  M חבק יד</v>
      </c>
      <c r="D522" s="19" t="n">
        <f aca="false">'SALES Raw'!C2643</f>
        <v>175</v>
      </c>
      <c r="E522" s="19" t="n">
        <f aca="false">'SALES Raw'!D2643</f>
        <v>23677.47</v>
      </c>
      <c r="F522" s="19" t="n">
        <f aca="false">'SALES Raw'!E2643*$H$4</f>
        <v>175.578947368421</v>
      </c>
      <c r="G522" s="19" t="n">
        <f aca="false">'SALES Raw'!F2643*$H$4</f>
        <v>26329.3768421053</v>
      </c>
      <c r="H522" s="18" t="str">
        <f aca="false">'SALES Raw'!A2643</f>
        <v>114 - IL online</v>
      </c>
    </row>
    <row r="523" customFormat="false" ht="15" hidden="false" customHeight="false" outlineLevel="0" collapsed="false">
      <c r="A523" s="18" t="n">
        <f aca="false">'SALES Raw'!G3127</f>
        <v>4408098</v>
      </c>
      <c r="B523" s="18" t="str">
        <f aca="false">'SALES Raw'!B3127</f>
        <v>T25 0</v>
      </c>
      <c r="C523" s="18" t="str">
        <f aca="false">'SALES Raw'!H3127</f>
        <v>T25-חבק יד אגודלי</v>
      </c>
      <c r="D523" s="19" t="n">
        <f aca="false">'SALES Raw'!C3127</f>
        <v>72</v>
      </c>
      <c r="E523" s="19" t="n">
        <f aca="false">'SALES Raw'!D3127</f>
        <v>1312.77</v>
      </c>
      <c r="F523" s="19" t="n">
        <f aca="false">'SALES Raw'!E3127*$H$4</f>
        <v>175.578947368421</v>
      </c>
      <c r="G523" s="19" t="n">
        <f aca="false">'SALES Raw'!F3127*$H$4</f>
        <v>3031.57894736842</v>
      </c>
      <c r="H523" s="18" t="str">
        <f aca="false">'SALES Raw'!A3127</f>
        <v>203 - Ortho- Partner ag SWITZERLAND</v>
      </c>
    </row>
    <row r="524" customFormat="false" ht="15" hidden="false" customHeight="false" outlineLevel="0" collapsed="false">
      <c r="A524" s="18" t="n">
        <f aca="false">'SALES Raw'!G3504</f>
        <v>4416000</v>
      </c>
      <c r="B524" s="18" t="str">
        <f aca="false">'SALES Raw'!B3504</f>
        <v>307 L</v>
      </c>
      <c r="C524" s="18" t="str">
        <f aca="false">'SALES Raw'!H3504</f>
        <v>307 L עקבים לדורבן-זוג כריות</v>
      </c>
      <c r="D524" s="19" t="n">
        <f aca="false">'SALES Raw'!C3504</f>
        <v>55</v>
      </c>
      <c r="E524" s="19" t="n">
        <f aca="false">'SALES Raw'!D3504</f>
        <v>1420.65</v>
      </c>
      <c r="F524" s="19" t="n">
        <f aca="false">'SALES Raw'!E3504*$H$4</f>
        <v>174.315789473684</v>
      </c>
      <c r="G524" s="19" t="n">
        <f aca="false">'SALES Raw'!F3504*$H$4</f>
        <v>4808.86736842105</v>
      </c>
      <c r="H524" s="18" t="str">
        <f aca="false">'SALES Raw'!A3504</f>
        <v>207 - Salus HUNGARY</v>
      </c>
    </row>
    <row r="525" customFormat="false" ht="15" hidden="false" customHeight="false" outlineLevel="0" collapsed="false">
      <c r="A525" s="18" t="n">
        <f aca="false">'CEMIUP0.9 Raw'!B1326</f>
        <v>4408047</v>
      </c>
      <c r="B525" s="18" t="str">
        <f aca="false">'CEMIUP0.9 Raw'!C1326</f>
        <v>20 M חבק יד מתכוון עם צמדן</v>
      </c>
      <c r="C525" s="18" t="str">
        <f aca="false">'CEMIUP0.9 Raw'!C1326</f>
        <v>20 M חבק יד מתכוון עם צמדן</v>
      </c>
      <c r="D525" s="19" t="n">
        <f aca="false">'CEMIUP0.9 Raw'!D1326</f>
        <v>282</v>
      </c>
      <c r="E525" s="19" t="n">
        <f aca="false">'CEMIUP0.9 Raw'!E1326</f>
        <v>6448.169</v>
      </c>
      <c r="F525" s="19" t="n">
        <f aca="false">'CEMIUP0.9 Raw'!F1326</f>
        <v>174.315789473684</v>
      </c>
      <c r="G525" s="19" t="n">
        <f aca="false">'CEMIUP0.9 Raw'!G1326</f>
        <v>4054.65347368421</v>
      </c>
      <c r="H525" s="18" t="str">
        <f aca="false">'CEMIUP0.9 Raw'!A1326</f>
        <v>Super-Pharm Israel (CEMI internal group)</v>
      </c>
    </row>
    <row r="526" customFormat="false" ht="15" hidden="false" customHeight="false" outlineLevel="0" collapsed="false">
      <c r="A526" s="18" t="n">
        <f aca="false">'SALES Raw'!G3583</f>
        <v>4413093</v>
      </c>
      <c r="B526" s="18" t="str">
        <f aca="false">'SALES Raw'!B3583</f>
        <v>45 M</v>
      </c>
      <c r="C526" s="18" t="str">
        <f aca="false">'SALES Raw'!H3583</f>
        <v>45 M מגן ברך לבן</v>
      </c>
      <c r="D526" s="19" t="n">
        <f aca="false">'SALES Raw'!C3583</f>
        <v>126</v>
      </c>
      <c r="E526" s="19" t="n">
        <f aca="false">'SALES Raw'!D3583</f>
        <v>1319.05</v>
      </c>
      <c r="F526" s="19" t="n">
        <f aca="false">'SALES Raw'!E3583*$H$4</f>
        <v>173.052631578947</v>
      </c>
      <c r="G526" s="19" t="n">
        <f aca="false">'SALES Raw'!F3583*$H$4</f>
        <v>1785.81473684211</v>
      </c>
      <c r="H526" s="18" t="str">
        <f aca="false">'SALES Raw'!A3583</f>
        <v>207 - Salus HUNGARY</v>
      </c>
    </row>
    <row r="527" customFormat="false" ht="15" hidden="false" customHeight="false" outlineLevel="0" collapsed="false">
      <c r="A527" s="18" t="n">
        <f aca="false">'SALES Raw'!G2602</f>
        <v>4413329</v>
      </c>
      <c r="B527" s="18" t="str">
        <f aca="false">'SALES Raw'!B2602</f>
        <v>AC45X 0</v>
      </c>
      <c r="C527" s="18" t="str">
        <f aca="false">'SALES Raw'!H2602</f>
        <v>AC45X מגן ברך עם תמיכות</v>
      </c>
      <c r="D527" s="19" t="n">
        <f aca="false">'SALES Raw'!C2602</f>
        <v>107</v>
      </c>
      <c r="E527" s="19" t="n">
        <f aca="false">'SALES Raw'!D2602</f>
        <v>13400.11</v>
      </c>
      <c r="F527" s="19" t="n">
        <f aca="false">'SALES Raw'!E2602*$H$4</f>
        <v>171.789473684211</v>
      </c>
      <c r="G527" s="19" t="n">
        <f aca="false">'SALES Raw'!F2602*$H$4</f>
        <v>22568.8926315789</v>
      </c>
      <c r="H527" s="18" t="str">
        <f aca="false">'SALES Raw'!A2602</f>
        <v>114 - IL online</v>
      </c>
    </row>
    <row r="528" customFormat="false" ht="15" hidden="false" customHeight="false" outlineLevel="0" collapsed="false">
      <c r="A528" s="18" t="n">
        <f aca="false">'SALES Raw'!G3264</f>
        <v>4413099</v>
      </c>
      <c r="B528" s="18" t="str">
        <f aca="false">'SALES Raw'!B3264</f>
        <v>45C M</v>
      </c>
      <c r="C528" s="18" t="str">
        <f aca="false">'SALES Raw'!H3264</f>
        <v>45C M מגן ברך חום</v>
      </c>
      <c r="D528" s="19" t="n">
        <f aca="false">'SALES Raw'!C3264</f>
        <v>150</v>
      </c>
      <c r="E528" s="19" t="n">
        <f aca="false">'SALES Raw'!D3264</f>
        <v>1555.13</v>
      </c>
      <c r="F528" s="19" t="n">
        <f aca="false">'SALES Raw'!E3264*$H$4</f>
        <v>171.789473684211</v>
      </c>
      <c r="G528" s="19" t="n">
        <f aca="false">'SALES Raw'!F3264*$H$4</f>
        <v>1563.05684210526</v>
      </c>
      <c r="H528" s="18" t="str">
        <f aca="false">'SALES Raw'!A3264</f>
        <v>204 - Sanaflex Anatomic GREECE</v>
      </c>
    </row>
    <row r="529" customFormat="false" ht="15" hidden="false" customHeight="false" outlineLevel="0" collapsed="false">
      <c r="A529" s="18" t="n">
        <f aca="false">'SALES Raw'!G3807</f>
        <v>4411016</v>
      </c>
      <c r="B529" s="18" t="str">
        <f aca="false">'SALES Raw'!B3807</f>
        <v>307 XL</v>
      </c>
      <c r="C529" s="18" t="str">
        <f aca="false">'SALES Raw'!H3807</f>
        <v>307 XL כרית סיליקון לעקב</v>
      </c>
      <c r="D529" s="19" t="n">
        <f aca="false">'SALES Raw'!C3807</f>
        <v>187</v>
      </c>
      <c r="E529" s="19" t="n">
        <f aca="false">'SALES Raw'!D3807</f>
        <v>5139.16</v>
      </c>
      <c r="F529" s="19" t="n">
        <f aca="false">'SALES Raw'!E3807*$H$4</f>
        <v>171.789473684211</v>
      </c>
      <c r="G529" s="19" t="n">
        <f aca="false">'SALES Raw'!F3807*$H$4</f>
        <v>4693.76842105263</v>
      </c>
      <c r="H529" s="18" t="str">
        <f aca="false">'SALES Raw'!A3807</f>
        <v>209 - Ortoprofil Prod ROMANIA</v>
      </c>
    </row>
    <row r="530" customFormat="false" ht="15" hidden="false" customHeight="false" outlineLevel="0" collapsed="false">
      <c r="A530" s="18" t="n">
        <f aca="false">'CEMIUP0.9 Raw'!B39</f>
        <v>4403041</v>
      </c>
      <c r="B530" s="18" t="str">
        <f aca="false">'CEMIUP0.9 Raw'!C39</f>
        <v>397A-גרבי טיסה אנטי בקטרי35-38</v>
      </c>
      <c r="C530" s="18" t="str">
        <f aca="false">'CEMIUP0.9 Raw'!C39</f>
        <v>397A-גרבי טיסה אנטי בקטרי35-38</v>
      </c>
      <c r="D530" s="19" t="n">
        <f aca="false">'CEMIUP0.9 Raw'!D39</f>
        <v>17</v>
      </c>
      <c r="E530" s="19" t="n">
        <f aca="false">'CEMIUP0.9 Raw'!E39</f>
        <v>1040.47</v>
      </c>
      <c r="F530" s="19" t="n">
        <f aca="false">'CEMIUP0.9 Raw'!F39</f>
        <v>170.526315789474</v>
      </c>
      <c r="G530" s="19" t="n">
        <f aca="false">'CEMIUP0.9 Raw'!G39</f>
        <v>9425.4</v>
      </c>
      <c r="H530" s="18" t="str">
        <f aca="false">'CEMIUP0.9 Raw'!A39</f>
        <v>107 - Pharmacies</v>
      </c>
    </row>
    <row r="531" customFormat="false" ht="15" hidden="false" customHeight="false" outlineLevel="0" collapsed="false">
      <c r="A531" s="18" t="str">
        <f aca="false">'SALES Raw'!G3190</f>
        <v/>
      </c>
      <c r="B531" s="18" t="str">
        <f aca="false">'SALES Raw'!B3190</f>
        <v>305-41-42</v>
      </c>
      <c r="C531" s="18" t="str">
        <f aca="false">'SALES Raw'!H3190</f>
        <v>305-41-42</v>
      </c>
      <c r="D531" s="19" t="n">
        <f aca="false">'SALES Raw'!C3190</f>
        <v>145</v>
      </c>
      <c r="E531" s="19" t="n">
        <f aca="false">'SALES Raw'!D3190</f>
        <v>5142.41</v>
      </c>
      <c r="F531" s="19" t="n">
        <f aca="false">'SALES Raw'!E3190*$H$4</f>
        <v>170.526315789474</v>
      </c>
      <c r="G531" s="19" t="n">
        <f aca="false">'SALES Raw'!F3190*$H$4</f>
        <v>5324.82947368421</v>
      </c>
      <c r="H531" s="18" t="str">
        <f aca="false">'SALES Raw'!A3190</f>
        <v>204 - Sanaflex Anatomic GREECE</v>
      </c>
    </row>
    <row r="532" customFormat="false" ht="15" hidden="false" customHeight="false" outlineLevel="0" collapsed="false">
      <c r="A532" s="18" t="str">
        <f aca="false">'SALES Raw'!G3656</f>
        <v/>
      </c>
      <c r="B532" s="18" t="str">
        <f aca="false">'SALES Raw'!B3656</f>
        <v>ST27L 0</v>
      </c>
      <c r="C532" s="18" t="str">
        <f aca="false">'SALES Raw'!H3656</f>
        <v>ST27L 0</v>
      </c>
      <c r="D532" s="19" t="n">
        <f aca="false">'SALES Raw'!C3656</f>
        <v>5</v>
      </c>
      <c r="E532" s="19" t="n">
        <f aca="false">'SALES Raw'!D3656</f>
        <v>78.44</v>
      </c>
      <c r="F532" s="19" t="n">
        <f aca="false">'SALES Raw'!E3656*$H$4</f>
        <v>170.526315789474</v>
      </c>
      <c r="G532" s="19" t="n">
        <f aca="false">'SALES Raw'!F3656*$H$4</f>
        <v>2785.32631578947</v>
      </c>
      <c r="H532" s="18" t="str">
        <f aca="false">'SALES Raw'!A3656</f>
        <v>207 - Salus HUNGARY</v>
      </c>
    </row>
    <row r="533" customFormat="false" ht="15" hidden="false" customHeight="false" outlineLevel="0" collapsed="false">
      <c r="A533" s="18" t="n">
        <f aca="false">'SALES Raw'!G4423</f>
        <v>4421000</v>
      </c>
      <c r="B533" s="18" t="str">
        <f aca="false">'SALES Raw'!B4423</f>
        <v>3655 0</v>
      </c>
      <c r="C533" s="18" t="str">
        <f aca="false">'SALES Raw'!H4423</f>
        <v>3655 שרוול מסיליקון לאצבע</v>
      </c>
      <c r="D533" s="19" t="n">
        <f aca="false">'SALES Raw'!C4423</f>
        <v>28</v>
      </c>
      <c r="E533" s="19" t="n">
        <f aca="false">'SALES Raw'!D4423</f>
        <v>1182.08</v>
      </c>
      <c r="F533" s="19" t="n">
        <f aca="false">'SALES Raw'!E4423*$H$4</f>
        <v>170.526315789474</v>
      </c>
      <c r="G533" s="19" t="n">
        <f aca="false">'SALES Raw'!F4423*$H$4</f>
        <v>6808.66105263158</v>
      </c>
      <c r="H533" s="18" t="str">
        <f aca="false">'SALES Raw'!A4423</f>
        <v>301 - Amazon</v>
      </c>
    </row>
    <row r="534" customFormat="false" ht="15" hidden="false" customHeight="false" outlineLevel="0" collapsed="false">
      <c r="A534" s="18" t="n">
        <f aca="false">'CEMIUP0.9 Raw'!B236</f>
        <v>4413048</v>
      </c>
      <c r="B534" s="18" t="str">
        <f aca="false">'CEMIUP0.9 Raw'!C236</f>
        <v>35 L מגן קרסול לבן</v>
      </c>
      <c r="C534" s="18" t="str">
        <f aca="false">'CEMIUP0.9 Raw'!C236</f>
        <v>35 L מגן קרסול לבן</v>
      </c>
      <c r="D534" s="19" t="n">
        <f aca="false">'CEMIUP0.9 Raw'!D236</f>
        <v>212</v>
      </c>
      <c r="E534" s="19" t="n">
        <f aca="false">'CEMIUP0.9 Raw'!E236</f>
        <v>5703.812</v>
      </c>
      <c r="F534" s="19" t="n">
        <f aca="false">'CEMIUP0.9 Raw'!F236</f>
        <v>169.263157894737</v>
      </c>
      <c r="G534" s="19" t="n">
        <f aca="false">'CEMIUP0.9 Raw'!G236</f>
        <v>4555.824</v>
      </c>
      <c r="H534" s="18" t="str">
        <f aca="false">'CEMIUP0.9 Raw'!A236</f>
        <v>107 - Pharmacies</v>
      </c>
    </row>
    <row r="535" customFormat="false" ht="15" hidden="false" customHeight="false" outlineLevel="0" collapsed="false">
      <c r="A535" s="18" t="n">
        <f aca="false">'CEMIUP0.9 Raw'!B237</f>
        <v>4413049</v>
      </c>
      <c r="B535" s="18" t="str">
        <f aca="false">'CEMIUP0.9 Raw'!C237</f>
        <v>35 M מגן קרסול לבן</v>
      </c>
      <c r="C535" s="18" t="str">
        <f aca="false">'CEMIUP0.9 Raw'!C237</f>
        <v>35 M מגן קרסול לבן</v>
      </c>
      <c r="D535" s="19" t="n">
        <f aca="false">'CEMIUP0.9 Raw'!D237</f>
        <v>231</v>
      </c>
      <c r="E535" s="19" t="n">
        <f aca="false">'CEMIUP0.9 Raw'!E237</f>
        <v>6191.008</v>
      </c>
      <c r="F535" s="19" t="n">
        <f aca="false">'CEMIUP0.9 Raw'!F237</f>
        <v>169.263157894737</v>
      </c>
      <c r="G535" s="19" t="n">
        <f aca="false">'CEMIUP0.9 Raw'!G237</f>
        <v>4550.8812631579</v>
      </c>
      <c r="H535" s="18" t="str">
        <f aca="false">'CEMIUP0.9 Raw'!A237</f>
        <v>107 - Pharmacies</v>
      </c>
    </row>
    <row r="536" customFormat="false" ht="15" hidden="false" customHeight="false" outlineLevel="0" collapsed="false">
      <c r="A536" s="18" t="n">
        <f aca="false">'CEMIUP0.9 Raw'!B1272</f>
        <v>4422025</v>
      </c>
      <c r="B536" s="18" t="str">
        <f aca="false">'CEMIUP0.9 Raw'!C1272</f>
        <v>806CB-GREEN      תחבושת א.נצמ</v>
      </c>
      <c r="C536" s="18" t="str">
        <f aca="false">'CEMIUP0.9 Raw'!C1272</f>
        <v>806CB-GREEN      תחבושת א.נצמ</v>
      </c>
      <c r="D536" s="19" t="n">
        <f aca="false">'CEMIUP0.9 Raw'!D1272</f>
        <v>273</v>
      </c>
      <c r="E536" s="19" t="n">
        <f aca="false">'CEMIUP0.9 Raw'!E1272</f>
        <v>2727.725</v>
      </c>
      <c r="F536" s="19" t="n">
        <f aca="false">'CEMIUP0.9 Raw'!F1272</f>
        <v>169.263157894737</v>
      </c>
      <c r="G536" s="19" t="n">
        <f aca="false">'CEMIUP0.9 Raw'!G1272</f>
        <v>1691.22063157895</v>
      </c>
      <c r="H536" s="18" t="str">
        <f aca="false">'CEMIUP0.9 Raw'!A1272</f>
        <v>BE (CEMI internal group)</v>
      </c>
    </row>
    <row r="537" customFormat="false" ht="15" hidden="false" customHeight="false" outlineLevel="0" collapsed="false">
      <c r="A537" s="18" t="n">
        <f aca="false">'CEMIUP0.9 Raw'!B1546</f>
        <v>4413198</v>
      </c>
      <c r="B537" s="18" t="str">
        <f aca="false">'CEMIUP0.9 Raw'!C1546</f>
        <v>87 XL מקבע כתף ויד</v>
      </c>
      <c r="C537" s="18" t="str">
        <f aca="false">'CEMIUP0.9 Raw'!C1546</f>
        <v>87 XL מקבע כתף ויד</v>
      </c>
      <c r="D537" s="19" t="n">
        <f aca="false">'CEMIUP0.9 Raw'!D1546</f>
        <v>128</v>
      </c>
      <c r="E537" s="19" t="n">
        <f aca="false">'CEMIUP0.9 Raw'!E1546</f>
        <v>18741.268</v>
      </c>
      <c r="F537" s="19" t="n">
        <f aca="false">'CEMIUP0.9 Raw'!F1546</f>
        <v>169.263157894737</v>
      </c>
      <c r="G537" s="19" t="n">
        <f aca="false">'CEMIUP0.9 Raw'!G1546</f>
        <v>24710.1208421053</v>
      </c>
      <c r="H537" s="18" t="str">
        <f aca="false">'CEMIUP0.9 Raw'!A1546</f>
        <v>Super-Pharm Israel (CEMI internal group)</v>
      </c>
    </row>
    <row r="538" customFormat="false" ht="15" hidden="false" customHeight="false" outlineLevel="0" collapsed="false">
      <c r="A538" s="18" t="n">
        <f aca="false">'SALES Raw'!G3033</f>
        <v>4408033</v>
      </c>
      <c r="B538" s="18" t="str">
        <f aca="false">'SALES Raw'!B3033</f>
        <v>11 M</v>
      </c>
      <c r="C538" s="18" t="str">
        <f aca="false">'SALES Raw'!H3033</f>
        <v>11 M""""חגורת בטן""""אורירית</v>
      </c>
      <c r="D538" s="19" t="n">
        <f aca="false">'SALES Raw'!C3033</f>
        <v>24</v>
      </c>
      <c r="E538" s="19" t="n">
        <f aca="false">'SALES Raw'!D3033</f>
        <v>1046.86</v>
      </c>
      <c r="F538" s="19" t="n">
        <f aca="false">'SALES Raw'!E3033*$H$4</f>
        <v>169.263157894737</v>
      </c>
      <c r="G538" s="19" t="n">
        <f aca="false">'SALES Raw'!F3033*$H$4</f>
        <v>7257.51157894737</v>
      </c>
      <c r="H538" s="18" t="str">
        <f aca="false">'SALES Raw'!A3033</f>
        <v>203 - Ortho- Partner ag SWITZERLAND</v>
      </c>
    </row>
    <row r="539" customFormat="false" ht="15" hidden="false" customHeight="false" outlineLevel="0" collapsed="false">
      <c r="A539" s="18" t="n">
        <f aca="false">'CEMIUP0.9 Raw'!B240</f>
        <v>4413052</v>
      </c>
      <c r="B539" s="18" t="str">
        <f aca="false">'CEMIUP0.9 Raw'!C240</f>
        <v>35C S מגן קרסול חום</v>
      </c>
      <c r="C539" s="18" t="str">
        <f aca="false">'CEMIUP0.9 Raw'!C240</f>
        <v>35C S מגן קרסול חום</v>
      </c>
      <c r="D539" s="19" t="n">
        <f aca="false">'CEMIUP0.9 Raw'!D240</f>
        <v>234</v>
      </c>
      <c r="E539" s="19" t="n">
        <f aca="false">'CEMIUP0.9 Raw'!E240</f>
        <v>6347.556</v>
      </c>
      <c r="F539" s="19" t="n">
        <f aca="false">'CEMIUP0.9 Raw'!F240</f>
        <v>168</v>
      </c>
      <c r="G539" s="19" t="n">
        <f aca="false">'CEMIUP0.9 Raw'!G240</f>
        <v>4637.85094736842</v>
      </c>
      <c r="H539" s="18" t="str">
        <f aca="false">'CEMIUP0.9 Raw'!A240</f>
        <v>107 - Pharmacies</v>
      </c>
    </row>
    <row r="540" customFormat="false" ht="15" hidden="false" customHeight="false" outlineLevel="0" collapsed="false">
      <c r="A540" s="18" t="n">
        <f aca="false">'CEMIUP0.9 Raw'!B574</f>
        <v>4422000</v>
      </c>
      <c r="B540" s="18" t="str">
        <f aca="false">'CEMIUP0.9 Raw'!C574</f>
        <v>801  תחבושת אלסטית מקררת</v>
      </c>
      <c r="C540" s="18" t="str">
        <f aca="false">'CEMIUP0.9 Raw'!C574</f>
        <v>801  תחבושת אלסטית מקררת</v>
      </c>
      <c r="D540" s="19" t="n">
        <f aca="false">'CEMIUP0.9 Raw'!D574</f>
        <v>136</v>
      </c>
      <c r="E540" s="19" t="n">
        <f aca="false">'CEMIUP0.9 Raw'!E574</f>
        <v>2583.574</v>
      </c>
      <c r="F540" s="19" t="n">
        <f aca="false">'CEMIUP0.9 Raw'!F574</f>
        <v>168</v>
      </c>
      <c r="G540" s="19" t="n">
        <f aca="false">'CEMIUP0.9 Raw'!G574</f>
        <v>3265.08252631579</v>
      </c>
      <c r="H540" s="18" t="str">
        <f aca="false">'CEMIUP0.9 Raw'!A574</f>
        <v>107 - Pharmacies</v>
      </c>
    </row>
    <row r="541" customFormat="false" ht="15" hidden="false" customHeight="false" outlineLevel="0" collapsed="false">
      <c r="A541" s="18" t="n">
        <f aca="false">'CEMIUP0.9 Raw'!B1405</f>
        <v>4409001</v>
      </c>
      <c r="B541" s="18" t="str">
        <f aca="false">'CEMIUP0.9 Raw'!C1405</f>
        <v>365  X-Lטבעת אלסטית מסיליקון</v>
      </c>
      <c r="C541" s="18" t="str">
        <f aca="false">'CEMIUP0.9 Raw'!C1405</f>
        <v>365  X-Lטבעת אלסטית מסיליקון</v>
      </c>
      <c r="D541" s="19" t="n">
        <f aca="false">'CEMIUP0.9 Raw'!D1405</f>
        <v>223</v>
      </c>
      <c r="E541" s="19" t="n">
        <f aca="false">'CEMIUP0.9 Raw'!E1405</f>
        <v>2102.464</v>
      </c>
      <c r="F541" s="19" t="n">
        <f aca="false">'CEMIUP0.9 Raw'!F1405</f>
        <v>168</v>
      </c>
      <c r="G541" s="19" t="n">
        <f aca="false">'CEMIUP0.9 Raw'!G1405</f>
        <v>1610.52757894737</v>
      </c>
      <c r="H541" s="18" t="str">
        <f aca="false">'CEMIUP0.9 Raw'!A1405</f>
        <v>Super-Pharm Israel (CEMI internal group)</v>
      </c>
    </row>
    <row r="542" customFormat="false" ht="15" hidden="false" customHeight="false" outlineLevel="0" collapsed="false">
      <c r="A542" s="18" t="n">
        <f aca="false">'CEMIUP0.9 Raw'!B385</f>
        <v>4413364</v>
      </c>
      <c r="B542" s="18" t="str">
        <f aca="false">'CEMIUP0.9 Raw'!C385</f>
        <v>95C M 'מגן מרפק בז</v>
      </c>
      <c r="C542" s="18" t="str">
        <f aca="false">'CEMIUP0.9 Raw'!C385</f>
        <v>95C M 'מגן מרפק בז</v>
      </c>
      <c r="D542" s="19" t="n">
        <f aca="false">'CEMIUP0.9 Raw'!D385</f>
        <v>227</v>
      </c>
      <c r="E542" s="19" t="n">
        <f aca="false">'CEMIUP0.9 Raw'!E385</f>
        <v>6192.976</v>
      </c>
      <c r="F542" s="19" t="n">
        <f aca="false">'CEMIUP0.9 Raw'!F385</f>
        <v>166.736842105263</v>
      </c>
      <c r="G542" s="19" t="n">
        <f aca="false">'CEMIUP0.9 Raw'!G385</f>
        <v>4551.61136842105</v>
      </c>
      <c r="H542" s="18" t="str">
        <f aca="false">'CEMIUP0.9 Raw'!A385</f>
        <v>107 - Pharmacies</v>
      </c>
    </row>
    <row r="543" customFormat="false" ht="15" hidden="false" customHeight="false" outlineLevel="0" collapsed="false">
      <c r="A543" s="18" t="n">
        <f aca="false">'CEMIUP0.9 Raw'!B1136</f>
        <v>4413161</v>
      </c>
      <c r="B543" s="18" t="str">
        <f aca="false">'CEMIUP0.9 Raw'!C1136</f>
        <v>34+ L מגן קרסול עקב סגור+רצוע</v>
      </c>
      <c r="C543" s="18" t="str">
        <f aca="false">'CEMIUP0.9 Raw'!C1136</f>
        <v>34+ L מגן קרסול עקב סגור+רצוע</v>
      </c>
      <c r="D543" s="19" t="n">
        <f aca="false">'CEMIUP0.9 Raw'!D1136</f>
        <v>152</v>
      </c>
      <c r="E543" s="19" t="n">
        <f aca="false">'CEMIUP0.9 Raw'!E1136</f>
        <v>7927.101</v>
      </c>
      <c r="F543" s="19" t="n">
        <f aca="false">'CEMIUP0.9 Raw'!F1136</f>
        <v>166.736842105263</v>
      </c>
      <c r="G543" s="19" t="n">
        <f aca="false">'CEMIUP0.9 Raw'!G1136</f>
        <v>8695.76842105263</v>
      </c>
      <c r="H543" s="18" t="str">
        <f aca="false">'CEMIUP0.9 Raw'!A1136</f>
        <v>BE (CEMI internal group)</v>
      </c>
    </row>
    <row r="544" customFormat="false" ht="15" hidden="false" customHeight="false" outlineLevel="0" collapsed="false">
      <c r="A544" s="18" t="n">
        <f aca="false">'SALES Raw'!G2940</f>
        <v>4401000</v>
      </c>
      <c r="B544" s="18" t="str">
        <f aca="false">'SALES Raw'!B2940</f>
        <v>369-S-L</v>
      </c>
      <c r="C544" s="18" t="str">
        <f aca="false">'SALES Raw'!H2940</f>
        <v>369  S-L אצבעון מסיליקון יחידה</v>
      </c>
      <c r="D544" s="19" t="n">
        <f aca="false">'SALES Raw'!C2940</f>
        <v>220</v>
      </c>
      <c r="E544" s="19" t="n">
        <f aca="false">'SALES Raw'!D2940</f>
        <v>2677.59</v>
      </c>
      <c r="F544" s="19" t="n">
        <f aca="false">'SALES Raw'!E2940*$H$4</f>
        <v>164.210526315789</v>
      </c>
      <c r="G544" s="19" t="n">
        <f aca="false">'SALES Raw'!F2940*$H$4</f>
        <v>1779.51157894737</v>
      </c>
      <c r="H544" s="18" t="str">
        <f aca="false">'SALES Raw'!A2940</f>
        <v>202 - Super-Pharm POLAND</v>
      </c>
    </row>
    <row r="545" customFormat="false" ht="15" hidden="false" customHeight="false" outlineLevel="0" collapsed="false">
      <c r="A545" s="18" t="n">
        <f aca="false">'SALES Raw'!G3109</f>
        <v>4408266</v>
      </c>
      <c r="B545" s="18" t="str">
        <f aca="false">'SALES Raw'!B3109</f>
        <v>91B 0</v>
      </c>
      <c r="C545" s="18" t="str">
        <f aca="false">'SALES Raw'!H3109</f>
        <v>91B חבק טניס אלבו</v>
      </c>
      <c r="D545" s="19" t="n">
        <f aca="false">'SALES Raw'!C3109</f>
        <v>100</v>
      </c>
      <c r="E545" s="19" t="n">
        <f aca="false">'SALES Raw'!D3109</f>
        <v>4071.36</v>
      </c>
      <c r="F545" s="19" t="n">
        <f aca="false">'SALES Raw'!E3109*$H$4</f>
        <v>164.210526315789</v>
      </c>
      <c r="G545" s="19" t="n">
        <f aca="false">'SALES Raw'!F3109*$H$4</f>
        <v>5956.59789473684</v>
      </c>
      <c r="H545" s="18" t="str">
        <f aca="false">'SALES Raw'!A3109</f>
        <v>203 - Ortho- Partner ag SWITZERLAND</v>
      </c>
    </row>
    <row r="546" customFormat="false" ht="15" hidden="false" customHeight="false" outlineLevel="0" collapsed="false">
      <c r="A546" s="18" t="n">
        <f aca="false">'SALES Raw'!G3289</f>
        <v>4401011</v>
      </c>
      <c r="B546" s="18" t="str">
        <f aca="false">'SALES Raw'!B3289</f>
        <v>805AT-C</v>
      </c>
      <c r="C546" s="18" t="str">
        <f aca="false">'SALES Raw'!H3289</f>
        <v>805AT-Cאתלטיק טייפ בז' 20מ""""מ20</v>
      </c>
      <c r="D546" s="19" t="n">
        <f aca="false">'SALES Raw'!C3289</f>
        <v>95</v>
      </c>
      <c r="E546" s="19" t="n">
        <f aca="false">'SALES Raw'!D3289</f>
        <v>840.36</v>
      </c>
      <c r="F546" s="19" t="n">
        <f aca="false">'SALES Raw'!E3289*$H$4</f>
        <v>164.210526315789</v>
      </c>
      <c r="G546" s="19" t="n">
        <f aca="false">'SALES Raw'!F3289*$H$4</f>
        <v>1309.79368421053</v>
      </c>
      <c r="H546" s="18" t="str">
        <f aca="false">'SALES Raw'!A3289</f>
        <v>204 - Sanaflex Anatomic GREECE</v>
      </c>
    </row>
    <row r="547" customFormat="false" ht="15" hidden="false" customHeight="false" outlineLevel="0" collapsed="false">
      <c r="A547" s="18" t="n">
        <f aca="false">'SALES Raw'!G3323</f>
        <v>4413331</v>
      </c>
      <c r="B547" s="18" t="str">
        <f aca="false">'SALES Raw'!B3323</f>
        <v>AC95 0</v>
      </c>
      <c r="C547" s="18" t="str">
        <f aca="false">'SALES Raw'!H3323</f>
        <v>AC95 מגן מרפק</v>
      </c>
      <c r="D547" s="19" t="n">
        <f aca="false">'SALES Raw'!C3323</f>
        <v>185</v>
      </c>
      <c r="E547" s="19" t="n">
        <f aca="false">'SALES Raw'!D3323</f>
        <v>2958.23</v>
      </c>
      <c r="F547" s="19" t="n">
        <f aca="false">'SALES Raw'!E3323*$H$4</f>
        <v>164.210526315789</v>
      </c>
      <c r="G547" s="19" t="n">
        <f aca="false">'SALES Raw'!F3323*$H$4</f>
        <v>2380.66105263158</v>
      </c>
      <c r="H547" s="18" t="str">
        <f aca="false">'SALES Raw'!A3323</f>
        <v>204 - Sanaflex Anatomic GREECE</v>
      </c>
    </row>
    <row r="548" customFormat="false" ht="15" hidden="false" customHeight="false" outlineLevel="0" collapsed="false">
      <c r="A548" s="18" t="n">
        <f aca="false">'SALES Raw'!G3353</f>
        <v>4413063</v>
      </c>
      <c r="B548" s="18" t="str">
        <f aca="false">'SALES Raw'!B3353</f>
        <v>366S 0</v>
      </c>
      <c r="C548" s="18" t="str">
        <f aca="false">'SALES Raw'!H3353</f>
        <v>366S-'מדבק.לשחרור לחץ מיבלת2יח</v>
      </c>
      <c r="D548" s="19" t="n">
        <f aca="false">'SALES Raw'!C3353</f>
        <v>250</v>
      </c>
      <c r="E548" s="19" t="n">
        <f aca="false">'SALES Raw'!D3353</f>
        <v>1998.81</v>
      </c>
      <c r="F548" s="19" t="n">
        <f aca="false">'SALES Raw'!E3353*$H$4</f>
        <v>164.210526315789</v>
      </c>
      <c r="G548" s="19" t="n">
        <f aca="false">'SALES Raw'!F3353*$H$4</f>
        <v>1254.18947368421</v>
      </c>
      <c r="H548" s="18" t="str">
        <f aca="false">'SALES Raw'!A3353</f>
        <v>205 - Health Care Prod. Gmbh GERMANY</v>
      </c>
    </row>
    <row r="549" customFormat="false" ht="15" hidden="false" customHeight="false" outlineLevel="0" collapsed="false">
      <c r="A549" s="18" t="n">
        <f aca="false">'SALES Raw'!G3590</f>
        <v>4413104</v>
      </c>
      <c r="B549" s="18" t="str">
        <f aca="false">'SALES Raw'!B3590</f>
        <v>45E XL</v>
      </c>
      <c r="C549" s="18" t="str">
        <f aca="false">'SALES Raw'!H3590</f>
        <v>45E XLמגן ברך ארוך לבן</v>
      </c>
      <c r="D549" s="19" t="n">
        <f aca="false">'SALES Raw'!C3590</f>
        <v>0</v>
      </c>
      <c r="E549" s="19" t="n">
        <f aca="false">'SALES Raw'!D3590</f>
        <v>0</v>
      </c>
      <c r="F549" s="19" t="n">
        <f aca="false">'SALES Raw'!E3590*$H$4</f>
        <v>164.210526315789</v>
      </c>
      <c r="G549" s="19" t="n">
        <f aca="false">'SALES Raw'!F3590*$H$4</f>
        <v>1724.16</v>
      </c>
      <c r="H549" s="18" t="str">
        <f aca="false">'SALES Raw'!A3590</f>
        <v>207 - Salus HUNGARY</v>
      </c>
    </row>
    <row r="550" customFormat="false" ht="15" hidden="false" customHeight="false" outlineLevel="0" collapsed="false">
      <c r="A550" s="18" t="n">
        <f aca="false">'SALES Raw'!G3617</f>
        <v>4422000</v>
      </c>
      <c r="B550" s="18" t="str">
        <f aca="false">'SALES Raw'!B3617</f>
        <v>801 0</v>
      </c>
      <c r="C550" s="18" t="str">
        <f aca="false">'SALES Raw'!H3617</f>
        <v>801  תחבושת אלסטית מקררת</v>
      </c>
      <c r="D550" s="19" t="n">
        <f aca="false">'SALES Raw'!C3617</f>
        <v>230</v>
      </c>
      <c r="E550" s="19" t="n">
        <f aca="false">'SALES Raw'!D3617</f>
        <v>2114.55</v>
      </c>
      <c r="F550" s="19" t="n">
        <f aca="false">'SALES Raw'!E3617*$H$4</f>
        <v>164.210526315789</v>
      </c>
      <c r="G550" s="19" t="n">
        <f aca="false">'SALES Raw'!F3617*$H$4</f>
        <v>1524.42947368421</v>
      </c>
      <c r="H550" s="18" t="str">
        <f aca="false">'SALES Raw'!A3617</f>
        <v>207 - Salus HUNGARY</v>
      </c>
    </row>
    <row r="551" customFormat="false" ht="15" hidden="false" customHeight="false" outlineLevel="0" collapsed="false">
      <c r="A551" s="18" t="n">
        <f aca="false">'SALES Raw'!G3626</f>
        <v>4413138</v>
      </c>
      <c r="B551" s="18" t="str">
        <f aca="false">'SALES Raw'!B3626</f>
        <v>85 XL</v>
      </c>
      <c r="C551" s="18" t="str">
        <f aca="false">'SALES Raw'!H3626</f>
        <v>85 XL (מתלה ליד )כיס</v>
      </c>
      <c r="D551" s="19" t="n">
        <f aca="false">'SALES Raw'!C3626</f>
        <v>136</v>
      </c>
      <c r="E551" s="19" t="n">
        <f aca="false">'SALES Raw'!D3626</f>
        <v>2537.92</v>
      </c>
      <c r="F551" s="19" t="n">
        <f aca="false">'SALES Raw'!E3626*$H$4</f>
        <v>164.210526315789</v>
      </c>
      <c r="G551" s="19" t="n">
        <f aca="false">'SALES Raw'!F3626*$H$4</f>
        <v>2970.24</v>
      </c>
      <c r="H551" s="18" t="str">
        <f aca="false">'SALES Raw'!A3626</f>
        <v>207 - Salus HUNGARY</v>
      </c>
    </row>
    <row r="552" customFormat="false" ht="15" hidden="false" customHeight="false" outlineLevel="0" collapsed="false">
      <c r="A552" s="18" t="n">
        <f aca="false">'SALES Raw'!G3633</f>
        <v>4408205</v>
      </c>
      <c r="B552" s="18" t="str">
        <f aca="false">'SALES Raw'!B3633</f>
        <v>AC07 0</v>
      </c>
      <c r="C552" s="18" t="str">
        <f aca="false">'SALES Raw'!H3633</f>
        <v>AC-07 חגורת גב עם תמיכות</v>
      </c>
      <c r="D552" s="19" t="n">
        <f aca="false">'SALES Raw'!C3633</f>
        <v>63</v>
      </c>
      <c r="E552" s="19" t="n">
        <f aca="false">'SALES Raw'!D3633</f>
        <v>2525.28</v>
      </c>
      <c r="F552" s="19" t="n">
        <f aca="false">'SALES Raw'!E3633*$H$4</f>
        <v>164.210526315789</v>
      </c>
      <c r="G552" s="19" t="n">
        <f aca="false">'SALES Raw'!F3633*$H$4</f>
        <v>6131.38105263158</v>
      </c>
      <c r="H552" s="18" t="str">
        <f aca="false">'SALES Raw'!A3633</f>
        <v>207 - Salus HUNGARY</v>
      </c>
    </row>
    <row r="553" customFormat="false" ht="15" hidden="false" customHeight="false" outlineLevel="0" collapsed="false">
      <c r="A553" s="18" t="n">
        <f aca="false">'CEMIUP0.9 Raw'!B726</f>
        <v>4408192</v>
      </c>
      <c r="B553" s="18" t="str">
        <f aca="false">'CEMIUP0.9 Raw'!C726</f>
        <v>078 L חגורת גב +סגירה</v>
      </c>
      <c r="C553" s="18" t="str">
        <f aca="false">'CEMIUP0.9 Raw'!C726</f>
        <v>078 L חגורת גב +סגירה</v>
      </c>
      <c r="D553" s="19" t="n">
        <f aca="false">'CEMIUP0.9 Raw'!D726</f>
        <v>139</v>
      </c>
      <c r="E553" s="19" t="n">
        <f aca="false">'CEMIUP0.9 Raw'!E726</f>
        <v>9035</v>
      </c>
      <c r="F553" s="19" t="n">
        <f aca="false">'CEMIUP0.9 Raw'!F726</f>
        <v>162.947368421053</v>
      </c>
      <c r="G553" s="19" t="n">
        <f aca="false">'CEMIUP0.9 Raw'!G726</f>
        <v>9801.57852631579</v>
      </c>
      <c r="H553" s="18" t="str">
        <f aca="false">'CEMIUP0.9 Raw'!A726</f>
        <v>113 - Kupat Holim Meuhedet</v>
      </c>
    </row>
    <row r="554" customFormat="false" ht="15" hidden="false" customHeight="false" outlineLevel="0" collapsed="false">
      <c r="A554" s="18" t="n">
        <f aca="false">'CEMIUP0.9 Raw'!B778</f>
        <v>4413050</v>
      </c>
      <c r="B554" s="18" t="str">
        <f aca="false">'CEMIUP0.9 Raw'!C778</f>
        <v>35 XL מגן קרסול לבן</v>
      </c>
      <c r="C554" s="18" t="str">
        <f aca="false">'CEMIUP0.9 Raw'!C778</f>
        <v>35 XL מגן קרסול לבן</v>
      </c>
      <c r="D554" s="19" t="n">
        <f aca="false">'CEMIUP0.9 Raw'!D778</f>
        <v>226</v>
      </c>
      <c r="E554" s="19" t="n">
        <f aca="false">'CEMIUP0.9 Raw'!E778</f>
        <v>3842</v>
      </c>
      <c r="F554" s="19" t="n">
        <f aca="false">'CEMIUP0.9 Raw'!F778</f>
        <v>162.947368421053</v>
      </c>
      <c r="G554" s="19" t="n">
        <f aca="false">'CEMIUP0.9 Raw'!G778</f>
        <v>2497.608</v>
      </c>
      <c r="H554" s="18" t="str">
        <f aca="false">'CEMIUP0.9 Raw'!A778</f>
        <v>113 - Kupat Holim Meuhedet</v>
      </c>
    </row>
    <row r="555" customFormat="false" ht="15" hidden="false" customHeight="false" outlineLevel="0" collapsed="false">
      <c r="A555" s="18" t="n">
        <f aca="false">'CEMIUP0.9 Raw'!B393</f>
        <v>4413372</v>
      </c>
      <c r="B555" s="18" t="str">
        <f aca="false">'CEMIUP0.9 Raw'!C393</f>
        <v>302 W מדרס לאישה</v>
      </c>
      <c r="C555" s="18" t="str">
        <f aca="false">'CEMIUP0.9 Raw'!C393</f>
        <v>302 W מדרס לאישה</v>
      </c>
      <c r="D555" s="19" t="n">
        <f aca="false">'CEMIUP0.9 Raw'!D393</f>
        <v>276</v>
      </c>
      <c r="E555" s="19" t="n">
        <f aca="false">'CEMIUP0.9 Raw'!E393</f>
        <v>15082.573</v>
      </c>
      <c r="F555" s="19" t="n">
        <f aca="false">'CEMIUP0.9 Raw'!F393</f>
        <v>161.684210526316</v>
      </c>
      <c r="G555" s="19" t="n">
        <f aca="false">'CEMIUP0.9 Raw'!G393</f>
        <v>9517.73684210526</v>
      </c>
      <c r="H555" s="18" t="str">
        <f aca="false">'CEMIUP0.9 Raw'!A393</f>
        <v>107 - Pharmacies</v>
      </c>
    </row>
    <row r="556" customFormat="false" ht="15" hidden="false" customHeight="false" outlineLevel="0" collapsed="false">
      <c r="A556" s="18" t="n">
        <f aca="false">'CEMIUP0.9 Raw'!B1545</f>
        <v>4413197</v>
      </c>
      <c r="B556" s="18" t="str">
        <f aca="false">'CEMIUP0.9 Raw'!C1545</f>
        <v>87 L מקבע כתף ויד</v>
      </c>
      <c r="C556" s="18" t="str">
        <f aca="false">'CEMIUP0.9 Raw'!C1545</f>
        <v>87 L מקבע כתף ויד</v>
      </c>
      <c r="D556" s="19" t="n">
        <f aca="false">'CEMIUP0.9 Raw'!D1545</f>
        <v>213</v>
      </c>
      <c r="E556" s="19" t="n">
        <f aca="false">'CEMIUP0.9 Raw'!E1545</f>
        <v>31302.453</v>
      </c>
      <c r="F556" s="19" t="n">
        <f aca="false">'CEMIUP0.9 Raw'!F1545</f>
        <v>161.684210526316</v>
      </c>
      <c r="G556" s="19" t="n">
        <f aca="false">'CEMIUP0.9 Raw'!G1545</f>
        <v>23755.2530526316</v>
      </c>
      <c r="H556" s="18" t="str">
        <f aca="false">'CEMIUP0.9 Raw'!A1545</f>
        <v>Super-Pharm Israel (CEMI internal group)</v>
      </c>
    </row>
    <row r="557" customFormat="false" ht="15" hidden="false" customHeight="false" outlineLevel="0" collapsed="false">
      <c r="A557" s="18" t="n">
        <f aca="false">'CEMIUP0.9 Raw'!B1604</f>
        <v>4413521</v>
      </c>
      <c r="B557" s="18" t="str">
        <f aca="false">'CEMIUP0.9 Raw'!C1604</f>
        <v>מדרסי אפיק ג'ל מולטי ספור39-42</v>
      </c>
      <c r="C557" s="18" t="str">
        <f aca="false">'CEMIUP0.9 Raw'!C1604</f>
        <v>מדרסי אפיק ג'ל מולטי ספור39-42</v>
      </c>
      <c r="D557" s="19" t="n">
        <f aca="false">'CEMIUP0.9 Raw'!D1604</f>
        <v>941</v>
      </c>
      <c r="E557" s="19" t="n">
        <f aca="false">'CEMIUP0.9 Raw'!E1604</f>
        <v>79735.838</v>
      </c>
      <c r="F557" s="19" t="n">
        <f aca="false">'CEMIUP0.9 Raw'!F1604</f>
        <v>161.684210526316</v>
      </c>
      <c r="G557" s="19" t="n">
        <f aca="false">'CEMIUP0.9 Raw'!G1604</f>
        <v>14480.4947368421</v>
      </c>
      <c r="H557" s="18" t="str">
        <f aca="false">'CEMIUP0.9 Raw'!A1604</f>
        <v>Super-Pharm Israel (CEMI internal group)</v>
      </c>
    </row>
    <row r="558" customFormat="false" ht="15" hidden="false" customHeight="false" outlineLevel="0" collapsed="false">
      <c r="A558" s="18" t="n">
        <f aca="false">'CEMIUP0.9 Raw'!B1637</f>
        <v>4415159</v>
      </c>
      <c r="B558" s="18" t="str">
        <f aca="false">'CEMIUP0.9 Raw'!C1637</f>
        <v>268 סד לאגודל</v>
      </c>
      <c r="C558" s="18" t="str">
        <f aca="false">'CEMIUP0.9 Raw'!C1637</f>
        <v>268 סד לאגודל</v>
      </c>
      <c r="D558" s="19" t="n">
        <f aca="false">'CEMIUP0.9 Raw'!D1637</f>
        <v>145</v>
      </c>
      <c r="E558" s="19" t="n">
        <f aca="false">'CEMIUP0.9 Raw'!E1637</f>
        <v>13448.435</v>
      </c>
      <c r="F558" s="19" t="n">
        <f aca="false">'CEMIUP0.9 Raw'!F1637</f>
        <v>161.684210526316</v>
      </c>
      <c r="G558" s="19" t="n">
        <f aca="false">'CEMIUP0.9 Raw'!G1637</f>
        <v>14969.7107368421</v>
      </c>
      <c r="H558" s="18" t="str">
        <f aca="false">'CEMIUP0.9 Raw'!A1637</f>
        <v>Super-Pharm Israel (CEMI internal group)</v>
      </c>
    </row>
    <row r="559" customFormat="false" ht="15" hidden="false" customHeight="false" outlineLevel="0" collapsed="false">
      <c r="A559" s="18" t="n">
        <f aca="false">'CEMIUP0.9 Raw'!B1167</f>
        <v>4413364</v>
      </c>
      <c r="B559" s="18" t="str">
        <f aca="false">'CEMIUP0.9 Raw'!C1167</f>
        <v>95C M 'מגן מרפק בז</v>
      </c>
      <c r="C559" s="18" t="str">
        <f aca="false">'CEMIUP0.9 Raw'!C1167</f>
        <v>95C M 'מגן מרפק בז</v>
      </c>
      <c r="D559" s="19" t="n">
        <f aca="false">'CEMIUP0.9 Raw'!D1167</f>
        <v>121</v>
      </c>
      <c r="E559" s="19" t="n">
        <f aca="false">'CEMIUP0.9 Raw'!E1167</f>
        <v>3053.05</v>
      </c>
      <c r="F559" s="19" t="n">
        <f aca="false">'CEMIUP0.9 Raw'!F1167</f>
        <v>160.421052631579</v>
      </c>
      <c r="G559" s="19" t="n">
        <f aca="false">'CEMIUP0.9 Raw'!G1167</f>
        <v>4054.88336842105</v>
      </c>
      <c r="H559" s="18" t="str">
        <f aca="false">'CEMIUP0.9 Raw'!A1167</f>
        <v>BE (CEMI internal group)</v>
      </c>
    </row>
    <row r="560" customFormat="false" ht="15" hidden="false" customHeight="false" outlineLevel="0" collapsed="false">
      <c r="A560" s="18" t="str">
        <f aca="false">'SALES Raw'!G4403</f>
        <v/>
      </c>
      <c r="B560" s="18" t="str">
        <f aca="false">'SALES Raw'!B4403</f>
        <v>EC-11STOB L</v>
      </c>
      <c r="C560" s="18" t="str">
        <f aca="false">'SALES Raw'!H4403</f>
        <v>EC-11STOB L</v>
      </c>
      <c r="D560" s="19" t="n">
        <f aca="false">'SALES Raw'!C4403</f>
        <v>91</v>
      </c>
      <c r="E560" s="19" t="n">
        <f aca="false">'SALES Raw'!D4403</f>
        <v>12484.46</v>
      </c>
      <c r="F560" s="19" t="n">
        <f aca="false">'SALES Raw'!E4403*$H$4</f>
        <v>159.157894736842</v>
      </c>
      <c r="G560" s="19" t="n">
        <f aca="false">'SALES Raw'!F4403*$H$4</f>
        <v>20754.9221052632</v>
      </c>
      <c r="H560" s="18" t="str">
        <f aca="false">'SALES Raw'!A4403</f>
        <v>301 - Amazon</v>
      </c>
    </row>
    <row r="561" customFormat="false" ht="15" hidden="false" customHeight="false" outlineLevel="0" collapsed="false">
      <c r="A561" s="18" t="n">
        <f aca="false">'CEMIUP0.9 Raw'!B811</f>
        <v>4413139</v>
      </c>
      <c r="B561" s="18" t="str">
        <f aca="false">'CEMIUP0.9 Raw'!C811</f>
        <v>95 L מגן מרפק רגיל לבן</v>
      </c>
      <c r="C561" s="18" t="str">
        <f aca="false">'CEMIUP0.9 Raw'!C811</f>
        <v>95 L מגן מרפק רגיל לבן</v>
      </c>
      <c r="D561" s="19" t="n">
        <f aca="false">'CEMIUP0.9 Raw'!D811</f>
        <v>217</v>
      </c>
      <c r="E561" s="19" t="n">
        <f aca="false">'CEMIUP0.9 Raw'!E811</f>
        <v>3689</v>
      </c>
      <c r="F561" s="19" t="n">
        <f aca="false">'CEMIUP0.9 Raw'!F811</f>
        <v>159.157894736842</v>
      </c>
      <c r="G561" s="19" t="n">
        <f aca="false">'CEMIUP0.9 Raw'!G811</f>
        <v>2559.45221052632</v>
      </c>
      <c r="H561" s="18" t="str">
        <f aca="false">'CEMIUP0.9 Raw'!A811</f>
        <v>113 - Kupat Holim Meuhedet</v>
      </c>
    </row>
    <row r="562" customFormat="false" ht="15" hidden="false" customHeight="false" outlineLevel="0" collapsed="false">
      <c r="A562" s="18" t="str">
        <f aca="false">'SALES Raw'!G2370</f>
        <v/>
      </c>
      <c r="B562" s="18" t="str">
        <f aca="false">'SALES Raw'!B2370</f>
        <v>395W-43-46</v>
      </c>
      <c r="C562" s="18" t="str">
        <f aca="false">'SALES Raw'!H2370</f>
        <v>395W-43-46</v>
      </c>
      <c r="D562" s="19" t="n">
        <f aca="false">'SALES Raw'!C2370</f>
        <v>0</v>
      </c>
      <c r="E562" s="19" t="n">
        <f aca="false">'SALES Raw'!D2370</f>
        <v>0</v>
      </c>
      <c r="F562" s="19" t="n">
        <f aca="false">'SALES Raw'!E2370*$H$4</f>
        <v>156.631578947368</v>
      </c>
      <c r="G562" s="19" t="n">
        <f aca="false">'SALES Raw'!F2370*$H$4</f>
        <v>7371.09473684211</v>
      </c>
      <c r="H562" s="18" t="str">
        <f aca="false">'SALES Raw'!A2370</f>
        <v>114 - IL online</v>
      </c>
    </row>
    <row r="563" customFormat="false" ht="15" hidden="false" customHeight="false" outlineLevel="0" collapsed="false">
      <c r="A563" s="18" t="n">
        <f aca="false">'SALES Raw'!G3781</f>
        <v>4408053</v>
      </c>
      <c r="B563" s="18" t="str">
        <f aca="false">'SALES Raw'!B3781</f>
        <v>21 M</v>
      </c>
      <c r="C563" s="18" t="str">
        <f aca="false">'SALES Raw'!H3781</f>
        <v>21 M  חבק יד ארוך</v>
      </c>
      <c r="D563" s="19" t="n">
        <f aca="false">'SALES Raw'!C3781</f>
        <v>150</v>
      </c>
      <c r="E563" s="19" t="n">
        <f aca="false">'SALES Raw'!D3781</f>
        <v>2420.36</v>
      </c>
      <c r="F563" s="19" t="n">
        <f aca="false">'SALES Raw'!E3781*$H$4</f>
        <v>156.631578947368</v>
      </c>
      <c r="G563" s="19" t="n">
        <f aca="false">'SALES Raw'!F3781*$H$4</f>
        <v>2555.46947368421</v>
      </c>
      <c r="H563" s="18" t="str">
        <f aca="false">'SALES Raw'!A3781</f>
        <v>209 - Ortoprofil Prod ROMANIA</v>
      </c>
    </row>
    <row r="564" customFormat="false" ht="15" hidden="false" customHeight="false" outlineLevel="0" collapsed="false">
      <c r="A564" s="18" t="n">
        <f aca="false">'CEMIUP0.9 Raw'!B396</f>
        <v>4413396</v>
      </c>
      <c r="B564" s="18" t="str">
        <f aca="false">'CEMIUP0.9 Raw'!C396</f>
        <v>45EC L 'מגן ברך ארוך בז</v>
      </c>
      <c r="C564" s="18" t="str">
        <f aca="false">'CEMIUP0.9 Raw'!C396</f>
        <v>45EC L 'מגן ברך ארוך בז</v>
      </c>
      <c r="D564" s="19" t="n">
        <f aca="false">'CEMIUP0.9 Raw'!D396</f>
        <v>106</v>
      </c>
      <c r="E564" s="19" t="n">
        <f aca="false">'CEMIUP0.9 Raw'!E396</f>
        <v>3506.362</v>
      </c>
      <c r="F564" s="19" t="n">
        <f aca="false">'CEMIUP0.9 Raw'!F396</f>
        <v>156.631578947368</v>
      </c>
      <c r="G564" s="19" t="n">
        <f aca="false">'CEMIUP0.9 Raw'!G396</f>
        <v>5245.09136842105</v>
      </c>
      <c r="H564" s="18" t="str">
        <f aca="false">'CEMIUP0.9 Raw'!A396</f>
        <v>107 - Pharmacies</v>
      </c>
    </row>
    <row r="565" customFormat="false" ht="15" hidden="false" customHeight="false" outlineLevel="0" collapsed="false">
      <c r="A565" s="18" t="n">
        <f aca="false">'CEMIUP0.9 Raw'!B430</f>
        <v>4413455</v>
      </c>
      <c r="B565" s="18" t="str">
        <f aca="false">'CEMIUP0.9 Raw'!C430</f>
        <v>85K מתלה ליד לילדים</v>
      </c>
      <c r="C565" s="18" t="str">
        <f aca="false">'CEMIUP0.9 Raw'!C430</f>
        <v>85K מתלה ליד לילדים</v>
      </c>
      <c r="D565" s="19" t="n">
        <f aca="false">'CEMIUP0.9 Raw'!D430</f>
        <v>165</v>
      </c>
      <c r="E565" s="19" t="n">
        <f aca="false">'CEMIUP0.9 Raw'!E430</f>
        <v>7648.667</v>
      </c>
      <c r="F565" s="19" t="n">
        <f aca="false">'CEMIUP0.9 Raw'!F430</f>
        <v>156.631578947368</v>
      </c>
      <c r="G565" s="19" t="n">
        <f aca="false">'CEMIUP0.9 Raw'!G430</f>
        <v>7274.22568421053</v>
      </c>
      <c r="H565" s="18" t="str">
        <f aca="false">'CEMIUP0.9 Raw'!A430</f>
        <v>107 - Pharmacies</v>
      </c>
    </row>
    <row r="566" customFormat="false" ht="15" hidden="false" customHeight="false" outlineLevel="0" collapsed="false">
      <c r="A566" s="18" t="n">
        <f aca="false">'CEMIUP0.9 Raw'!B587</f>
        <v>4422033</v>
      </c>
      <c r="B566" s="18" t="str">
        <f aca="false">'CEMIUP0.9 Raw'!C587</f>
        <v>807CB-BLתחבושת נצמדת כחול20מ""מ</v>
      </c>
      <c r="C566" s="18" t="str">
        <f aca="false">'CEMIUP0.9 Raw'!C587</f>
        <v>807CB-BLתחבושת נצמדת כחול20מ""מ</v>
      </c>
      <c r="D566" s="19" t="n">
        <f aca="false">'CEMIUP0.9 Raw'!D587</f>
        <v>400</v>
      </c>
      <c r="E566" s="19" t="n">
        <f aca="false">'CEMIUP0.9 Raw'!E587</f>
        <v>3404.401</v>
      </c>
      <c r="F566" s="19" t="n">
        <f aca="false">'CEMIUP0.9 Raw'!F587</f>
        <v>156.631578947368</v>
      </c>
      <c r="G566" s="19" t="n">
        <f aca="false">'CEMIUP0.9 Raw'!G587</f>
        <v>1595.81431578947</v>
      </c>
      <c r="H566" s="18" t="str">
        <f aca="false">'CEMIUP0.9 Raw'!A587</f>
        <v>107 - Pharmacies</v>
      </c>
    </row>
    <row r="567" customFormat="false" ht="15" hidden="false" customHeight="false" outlineLevel="0" collapsed="false">
      <c r="A567" s="18" t="n">
        <f aca="false">'CEMIUP0.9 Raw'!B1120</f>
        <v>4413136</v>
      </c>
      <c r="B567" s="18" t="str">
        <f aca="false">'CEMIUP0.9 Raw'!C1120</f>
        <v>85 M (מתלה ליד )כיס</v>
      </c>
      <c r="C567" s="18" t="str">
        <f aca="false">'CEMIUP0.9 Raw'!C1120</f>
        <v>85 M (מתלה ליד )כיס</v>
      </c>
      <c r="D567" s="19" t="n">
        <f aca="false">'CEMIUP0.9 Raw'!D1120</f>
        <v>193</v>
      </c>
      <c r="E567" s="19" t="n">
        <f aca="false">'CEMIUP0.9 Raw'!E1120</f>
        <v>9187.997</v>
      </c>
      <c r="F567" s="19" t="n">
        <f aca="false">'CEMIUP0.9 Raw'!F1120</f>
        <v>156.631578947368</v>
      </c>
      <c r="G567" s="19" t="n">
        <f aca="false">'CEMIUP0.9 Raw'!G1120</f>
        <v>7506.06315789474</v>
      </c>
      <c r="H567" s="18" t="str">
        <f aca="false">'CEMIUP0.9 Raw'!A1120</f>
        <v>BE (CEMI internal group)</v>
      </c>
    </row>
    <row r="568" customFormat="false" ht="15" hidden="false" customHeight="false" outlineLevel="0" collapsed="false">
      <c r="A568" s="18" t="n">
        <f aca="false">'CEMIUP0.9 Raw'!B1525</f>
        <v>4413158</v>
      </c>
      <c r="B568" s="18" t="str">
        <f aca="false">'CEMIUP0.9 Raw'!C1525</f>
        <v>305GA מדרס אורטופ.מתכוון45-46</v>
      </c>
      <c r="C568" s="18" t="str">
        <f aca="false">'CEMIUP0.9 Raw'!C1525</f>
        <v>305GA מדרס אורטופ.מתכוון45-46</v>
      </c>
      <c r="D568" s="19" t="n">
        <f aca="false">'CEMIUP0.9 Raw'!D1525</f>
        <v>144</v>
      </c>
      <c r="E568" s="19" t="n">
        <f aca="false">'CEMIUP0.9 Raw'!E1525</f>
        <v>8562.554</v>
      </c>
      <c r="F568" s="19" t="n">
        <f aca="false">'CEMIUP0.9 Raw'!F1525</f>
        <v>156.631578947368</v>
      </c>
      <c r="G568" s="19" t="n">
        <f aca="false">'CEMIUP0.9 Raw'!G1525</f>
        <v>9246.4812631579</v>
      </c>
      <c r="H568" s="18" t="str">
        <f aca="false">'CEMIUP0.9 Raw'!A1525</f>
        <v>Super-Pharm Israel (CEMI internal group)</v>
      </c>
    </row>
    <row r="569" customFormat="false" ht="15" hidden="false" customHeight="false" outlineLevel="0" collapsed="false">
      <c r="A569" s="18" t="n">
        <f aca="false">'CEMIUP0.9 Raw'!B1325</f>
        <v>4408046</v>
      </c>
      <c r="B569" s="18" t="str">
        <f aca="false">'CEMIUP0.9 Raw'!C1325</f>
        <v>20 L חבק יד מתכוון עם צמדן</v>
      </c>
      <c r="C569" s="18" t="str">
        <f aca="false">'CEMIUP0.9 Raw'!C1325</f>
        <v>20 L חבק יד מתכוון עם צמדן</v>
      </c>
      <c r="D569" s="19" t="n">
        <f aca="false">'CEMIUP0.9 Raw'!D1325</f>
        <v>189</v>
      </c>
      <c r="E569" s="19" t="n">
        <f aca="false">'CEMIUP0.9 Raw'!E1325</f>
        <v>4316.403</v>
      </c>
      <c r="F569" s="19" t="n">
        <f aca="false">'CEMIUP0.9 Raw'!F1325</f>
        <v>155.368421052632</v>
      </c>
      <c r="G569" s="19" t="n">
        <f aca="false">'CEMIUP0.9 Raw'!G1325</f>
        <v>3683.48842105263</v>
      </c>
      <c r="H569" s="18" t="str">
        <f aca="false">'CEMIUP0.9 Raw'!A1325</f>
        <v>Super-Pharm Israel (CEMI internal group)</v>
      </c>
    </row>
    <row r="570" customFormat="false" ht="15" hidden="false" customHeight="false" outlineLevel="0" collapsed="false">
      <c r="A570" s="18" t="str">
        <f aca="false">'SALES Raw'!G3076</f>
        <v/>
      </c>
      <c r="B570" s="18" t="str">
        <f aca="false">'SALES Raw'!B3076</f>
        <v>38R 0</v>
      </c>
      <c r="C570" s="18" t="str">
        <f aca="false">'SALES Raw'!H3076</f>
        <v>38R 0</v>
      </c>
      <c r="D570" s="19" t="n">
        <f aca="false">'SALES Raw'!C3076</f>
        <v>48</v>
      </c>
      <c r="E570" s="19" t="n">
        <f aca="false">'SALES Raw'!D3076</f>
        <v>1587.63</v>
      </c>
      <c r="F570" s="19" t="n">
        <f aca="false">'SALES Raw'!E3076*$H$4</f>
        <v>155.368421052632</v>
      </c>
      <c r="G570" s="19" t="n">
        <f aca="false">'SALES Raw'!F3076*$H$4</f>
        <v>4744.23157894737</v>
      </c>
      <c r="H570" s="18" t="str">
        <f aca="false">'SALES Raw'!A3076</f>
        <v>203 - Ortho- Partner ag SWITZERLAND</v>
      </c>
    </row>
    <row r="571" customFormat="false" ht="15" hidden="false" customHeight="false" outlineLevel="0" collapsed="false">
      <c r="A571" s="18" t="n">
        <f aca="false">'CEMIUP0.9 Raw'!B571</f>
        <v>4421006</v>
      </c>
      <c r="B571" s="18" t="str">
        <f aca="false">'CEMIUP0.9 Raw'!C571</f>
        <v>שרוול לגבס ארוך יד</v>
      </c>
      <c r="C571" s="18" t="str">
        <f aca="false">'CEMIUP0.9 Raw'!C571</f>
        <v>שרוול לגבס ארוך יד</v>
      </c>
      <c r="D571" s="19" t="n">
        <f aca="false">'CEMIUP0.9 Raw'!D571</f>
        <v>136</v>
      </c>
      <c r="E571" s="19" t="n">
        <f aca="false">'CEMIUP0.9 Raw'!E571</f>
        <v>5020.031</v>
      </c>
      <c r="F571" s="19" t="n">
        <f aca="false">'CEMIUP0.9 Raw'!F571</f>
        <v>154.105263157895</v>
      </c>
      <c r="G571" s="19" t="n">
        <f aca="false">'CEMIUP0.9 Raw'!G571</f>
        <v>5772.19705263158</v>
      </c>
      <c r="H571" s="18" t="str">
        <f aca="false">'CEMIUP0.9 Raw'!A571</f>
        <v>107 - Pharmacies</v>
      </c>
    </row>
    <row r="572" customFormat="false" ht="15" hidden="false" customHeight="false" outlineLevel="0" collapsed="false">
      <c r="A572" s="18" t="n">
        <f aca="false">'SALES Raw'!G3831</f>
        <v>4401001</v>
      </c>
      <c r="B572" s="18" t="str">
        <f aca="false">'SALES Raw'!B3831</f>
        <v>369-XL</v>
      </c>
      <c r="C572" s="18" t="str">
        <f aca="false">'SALES Raw'!H3831</f>
        <v>369   XL אצבעון מסיליקון יחידה</v>
      </c>
      <c r="D572" s="19" t="n">
        <f aca="false">'SALES Raw'!C3831</f>
        <v>225</v>
      </c>
      <c r="E572" s="19" t="n">
        <f aca="false">'SALES Raw'!D3831</f>
        <v>2338.67</v>
      </c>
      <c r="F572" s="19" t="n">
        <f aca="false">'SALES Raw'!E3831*$H$4</f>
        <v>152.842105263158</v>
      </c>
      <c r="G572" s="19" t="n">
        <f aca="false">'SALES Raw'!F3831*$H$4</f>
        <v>1588.74947368421</v>
      </c>
      <c r="H572" s="18" t="str">
        <f aca="false">'SALES Raw'!A3831</f>
        <v>209 - Ortoprofil Prod ROMANIA</v>
      </c>
    </row>
    <row r="573" customFormat="false" ht="15" hidden="false" customHeight="false" outlineLevel="0" collapsed="false">
      <c r="A573" s="18" t="n">
        <f aca="false">'SALES Raw'!G2844</f>
        <v>4415158</v>
      </c>
      <c r="B573" s="18" t="str">
        <f aca="false">'SALES Raw'!B2844</f>
        <v>266 0</v>
      </c>
      <c r="C573" s="18" t="str">
        <f aca="false">'SALES Raw'!H2844</f>
        <v>266 סד ליד דו צדדי</v>
      </c>
      <c r="D573" s="19" t="n">
        <f aca="false">'SALES Raw'!C2844</f>
        <v>110</v>
      </c>
      <c r="E573" s="19" t="n">
        <f aca="false">'SALES Raw'!D2844</f>
        <v>2664.28</v>
      </c>
      <c r="F573" s="19" t="n">
        <f aca="false">'SALES Raw'!E2844*$H$4</f>
        <v>151.578947368421</v>
      </c>
      <c r="G573" s="19" t="n">
        <f aca="false">'SALES Raw'!F2844*$H$4</f>
        <v>3389.05263157895</v>
      </c>
      <c r="H573" s="18" t="str">
        <f aca="false">'SALES Raw'!A2844</f>
        <v>201- Seven Gear FINLAND oy</v>
      </c>
    </row>
    <row r="574" customFormat="false" ht="15" hidden="false" customHeight="false" outlineLevel="0" collapsed="false">
      <c r="A574" s="18" t="n">
        <f aca="false">'SALES Raw'!G2867</f>
        <v>4403043</v>
      </c>
      <c r="B574" s="18" t="str">
        <f aca="false">'SALES Raw'!B2867</f>
        <v>397A-43-46</v>
      </c>
      <c r="C574" s="18" t="str">
        <f aca="false">'SALES Raw'!H2867</f>
        <v>397A-גרבי טיסה אנטי בקטרי43-46</v>
      </c>
      <c r="D574" s="19" t="n">
        <f aca="false">'SALES Raw'!C2867</f>
        <v>0</v>
      </c>
      <c r="E574" s="19" t="n">
        <f aca="false">'SALES Raw'!D2867</f>
        <v>0</v>
      </c>
      <c r="F574" s="19" t="n">
        <f aca="false">'SALES Raw'!E2867*$H$4</f>
        <v>151.578947368421</v>
      </c>
      <c r="G574" s="19" t="n">
        <f aca="false">'SALES Raw'!F2867*$H$4</f>
        <v>4346.76631578947</v>
      </c>
      <c r="H574" s="18" t="str">
        <f aca="false">'SALES Raw'!A2867</f>
        <v>201- Seven Gear FINLAND oy</v>
      </c>
    </row>
    <row r="575" customFormat="false" ht="15" hidden="false" customHeight="false" outlineLevel="0" collapsed="false">
      <c r="A575" s="18" t="n">
        <f aca="false">'SALES Raw'!G2927</f>
        <v>4413491</v>
      </c>
      <c r="B575" s="18" t="str">
        <f aca="false">'SALES Raw'!B2927</f>
        <v>35B XL</v>
      </c>
      <c r="C575" s="18" t="str">
        <f aca="false">'SALES Raw'!H2927</f>
        <v>35B XL מגן קרסול שחור</v>
      </c>
      <c r="D575" s="19" t="n">
        <f aca="false">'SALES Raw'!C2927</f>
        <v>260</v>
      </c>
      <c r="E575" s="19" t="n">
        <f aca="false">'SALES Raw'!D2927</f>
        <v>3761.23</v>
      </c>
      <c r="F575" s="19" t="n">
        <f aca="false">'SALES Raw'!E2927*$H$4</f>
        <v>151.578947368421</v>
      </c>
      <c r="G575" s="19" t="n">
        <f aca="false">'SALES Raw'!F2927*$H$4</f>
        <v>1934.03368421053</v>
      </c>
      <c r="H575" s="18" t="str">
        <f aca="false">'SALES Raw'!A2927</f>
        <v>202 - Super-Pharm POLAND</v>
      </c>
    </row>
    <row r="576" customFormat="false" ht="15" hidden="false" customHeight="false" outlineLevel="0" collapsed="false">
      <c r="A576" s="18" t="n">
        <f aca="false">'SALES Raw'!G2928</f>
        <v>4413053</v>
      </c>
      <c r="B576" s="18" t="str">
        <f aca="false">'SALES Raw'!B2928</f>
        <v>35C L</v>
      </c>
      <c r="C576" s="18" t="str">
        <f aca="false">'SALES Raw'!H2928</f>
        <v>35C L מגן קרסול חום</v>
      </c>
      <c r="D576" s="19" t="n">
        <f aca="false">'SALES Raw'!C2928</f>
        <v>180</v>
      </c>
      <c r="E576" s="19" t="n">
        <f aca="false">'SALES Raw'!D2928</f>
        <v>2442.63</v>
      </c>
      <c r="F576" s="19" t="n">
        <f aca="false">'SALES Raw'!E2928*$H$4</f>
        <v>151.578947368421</v>
      </c>
      <c r="G576" s="19" t="n">
        <f aca="false">'SALES Raw'!F2928*$H$4</f>
        <v>1867.68</v>
      </c>
      <c r="H576" s="18" t="str">
        <f aca="false">'SALES Raw'!A2928</f>
        <v>202 - Super-Pharm POLAND</v>
      </c>
    </row>
    <row r="577" customFormat="false" ht="15" hidden="false" customHeight="false" outlineLevel="0" collapsed="false">
      <c r="A577" s="18" t="n">
        <f aca="false">'SALES Raw'!G2962</f>
        <v>4413092</v>
      </c>
      <c r="B577" s="18" t="str">
        <f aca="false">'SALES Raw'!B2962</f>
        <v>45 L</v>
      </c>
      <c r="C577" s="18" t="str">
        <f aca="false">'SALES Raw'!H2962</f>
        <v>45 L מגן ברך לבן</v>
      </c>
      <c r="D577" s="19" t="n">
        <f aca="false">'SALES Raw'!C2962</f>
        <v>210</v>
      </c>
      <c r="E577" s="19" t="n">
        <f aca="false">'SALES Raw'!D2962</f>
        <v>2891.34</v>
      </c>
      <c r="F577" s="19" t="n">
        <f aca="false">'SALES Raw'!E2962*$H$4</f>
        <v>151.578947368421</v>
      </c>
      <c r="G577" s="19" t="n">
        <f aca="false">'SALES Raw'!F2962*$H$4</f>
        <v>1868.28631578947</v>
      </c>
      <c r="H577" s="18" t="str">
        <f aca="false">'SALES Raw'!A2962</f>
        <v>202 - Super-Pharm POLAND</v>
      </c>
    </row>
    <row r="578" customFormat="false" ht="15" hidden="false" customHeight="false" outlineLevel="0" collapsed="false">
      <c r="A578" s="18" t="n">
        <f aca="false">'SALES Raw'!G2991</f>
        <v>4413455</v>
      </c>
      <c r="B578" s="18" t="str">
        <f aca="false">'SALES Raw'!B2991</f>
        <v>85K 0</v>
      </c>
      <c r="C578" s="18" t="str">
        <f aca="false">'SALES Raw'!H2991</f>
        <v>85K מתלה ליד לילדים</v>
      </c>
      <c r="D578" s="19" t="n">
        <f aca="false">'SALES Raw'!C2991</f>
        <v>230</v>
      </c>
      <c r="E578" s="19" t="n">
        <f aca="false">'SALES Raw'!D2991</f>
        <v>8815.84</v>
      </c>
      <c r="F578" s="19" t="n">
        <f aca="false">'SALES Raw'!E2991*$H$4</f>
        <v>151.578947368421</v>
      </c>
      <c r="G578" s="19" t="n">
        <f aca="false">'SALES Raw'!F2991*$H$4</f>
        <v>5147.33052631579</v>
      </c>
      <c r="H578" s="18" t="str">
        <f aca="false">'SALES Raw'!A2991</f>
        <v>202 - Super-Pharm POLAND</v>
      </c>
    </row>
    <row r="579" customFormat="false" ht="15" hidden="false" customHeight="false" outlineLevel="0" collapsed="false">
      <c r="A579" s="18" t="n">
        <f aca="false">'SALES Raw'!G3209</f>
        <v>4413493</v>
      </c>
      <c r="B579" s="18" t="str">
        <f aca="false">'SALES Raw'!B3209</f>
        <v>35B S</v>
      </c>
      <c r="C579" s="18" t="str">
        <f aca="false">'SALES Raw'!H3209</f>
        <v>35B S מגן קרסול שחור</v>
      </c>
      <c r="D579" s="19" t="n">
        <f aca="false">'SALES Raw'!C3209</f>
        <v>70</v>
      </c>
      <c r="E579" s="19" t="n">
        <f aca="false">'SALES Raw'!D3209</f>
        <v>760.4</v>
      </c>
      <c r="F579" s="19" t="n">
        <f aca="false">'SALES Raw'!E3209*$H$4</f>
        <v>151.578947368421</v>
      </c>
      <c r="G579" s="19" t="n">
        <f aca="false">'SALES Raw'!F3209*$H$4</f>
        <v>1466.86736842105</v>
      </c>
      <c r="H579" s="18" t="str">
        <f aca="false">'SALES Raw'!A3209</f>
        <v>204 - Sanaflex Anatomic GREECE</v>
      </c>
    </row>
    <row r="580" customFormat="false" ht="15" hidden="false" customHeight="false" outlineLevel="0" collapsed="false">
      <c r="A580" s="18" t="n">
        <f aca="false">'SALES Raw'!G3212</f>
        <v>4413053</v>
      </c>
      <c r="B580" s="18" t="str">
        <f aca="false">'SALES Raw'!B3212</f>
        <v>35C L</v>
      </c>
      <c r="C580" s="18" t="str">
        <f aca="false">'SALES Raw'!H3212</f>
        <v>35C L מגן קרסול חום</v>
      </c>
      <c r="D580" s="19" t="n">
        <f aca="false">'SALES Raw'!C3212</f>
        <v>100</v>
      </c>
      <c r="E580" s="19" t="n">
        <f aca="false">'SALES Raw'!D3212</f>
        <v>1024.84</v>
      </c>
      <c r="F580" s="19" t="n">
        <f aca="false">'SALES Raw'!E3212*$H$4</f>
        <v>151.578947368421</v>
      </c>
      <c r="G580" s="19" t="n">
        <f aca="false">'SALES Raw'!F3212*$H$4</f>
        <v>1415.35578947368</v>
      </c>
      <c r="H580" s="18" t="str">
        <f aca="false">'SALES Raw'!A3212</f>
        <v>204 - Sanaflex Anatomic GREECE</v>
      </c>
    </row>
    <row r="581" customFormat="false" ht="15" hidden="false" customHeight="false" outlineLevel="0" collapsed="false">
      <c r="A581" s="18" t="n">
        <f aca="false">'SALES Raw'!G3229</f>
        <v>4420000</v>
      </c>
      <c r="B581" s="18" t="str">
        <f aca="false">'SALES Raw'!B3229</f>
        <v>370 0</v>
      </c>
      <c r="C581" s="18" t="str">
        <f aca="false">'SALES Raw'!H3229</f>
        <v>370  רפידת נוחות-זוג</v>
      </c>
      <c r="D581" s="19" t="n">
        <f aca="false">'SALES Raw'!C3229</f>
        <v>110</v>
      </c>
      <c r="E581" s="19" t="n">
        <f aca="false">'SALES Raw'!D3229</f>
        <v>682.52</v>
      </c>
      <c r="F581" s="19" t="n">
        <f aca="false">'SALES Raw'!E3229*$H$4</f>
        <v>151.578947368421</v>
      </c>
      <c r="G581" s="19" t="n">
        <f aca="false">'SALES Raw'!F3229*$H$4</f>
        <v>853.73052631579</v>
      </c>
      <c r="H581" s="18" t="str">
        <f aca="false">'SALES Raw'!A3229</f>
        <v>204 - Sanaflex Anatomic GREECE</v>
      </c>
    </row>
    <row r="582" customFormat="false" ht="15" hidden="false" customHeight="false" outlineLevel="0" collapsed="false">
      <c r="A582" s="18" t="n">
        <f aca="false">'SALES Raw'!G3370</f>
        <v>4417000</v>
      </c>
      <c r="B582" s="18" t="str">
        <f aca="false">'SALES Raw'!B3370</f>
        <v>PD342 0</v>
      </c>
      <c r="C582" s="18" t="str">
        <f aca="false">'SALES Raw'!H3370</f>
        <v>PD342-פומפיה להסרת עור קשה</v>
      </c>
      <c r="D582" s="19" t="n">
        <f aca="false">'SALES Raw'!C3370</f>
        <v>90</v>
      </c>
      <c r="E582" s="19" t="n">
        <f aca="false">'SALES Raw'!D3370</f>
        <v>1369.04</v>
      </c>
      <c r="F582" s="19" t="n">
        <f aca="false">'SALES Raw'!E3370*$H$4</f>
        <v>151.578947368421</v>
      </c>
      <c r="G582" s="19" t="n">
        <f aca="false">'SALES Raw'!F3370*$H$4</f>
        <v>2037.43578947368</v>
      </c>
      <c r="H582" s="18" t="str">
        <f aca="false">'SALES Raw'!A3370</f>
        <v>205 - Health Care Prod. Gmbh GERMANY</v>
      </c>
    </row>
    <row r="583" customFormat="false" ht="15" hidden="false" customHeight="false" outlineLevel="0" collapsed="false">
      <c r="A583" s="18" t="n">
        <f aca="false">'SALES Raw'!G3536</f>
        <v>4411001</v>
      </c>
      <c r="B583" s="18" t="str">
        <f aca="false">'SALES Raw'!B3536</f>
        <v>3623 0</v>
      </c>
      <c r="C583" s="18" t="str">
        <f aca="false">'SALES Raw'!H3536</f>
        <v>3623 כרית ליישור אצבע פטיש</v>
      </c>
      <c r="D583" s="19" t="n">
        <f aca="false">'SALES Raw'!C3536</f>
        <v>245</v>
      </c>
      <c r="E583" s="19" t="n">
        <f aca="false">'SALES Raw'!D3536</f>
        <v>3935.91</v>
      </c>
      <c r="F583" s="19" t="n">
        <f aca="false">'SALES Raw'!E3536*$H$4</f>
        <v>151.578947368421</v>
      </c>
      <c r="G583" s="19" t="n">
        <f aca="false">'SALES Raw'!F3536*$H$4</f>
        <v>2353.51578947368</v>
      </c>
      <c r="H583" s="18" t="str">
        <f aca="false">'SALES Raw'!A3536</f>
        <v>207 - Salus HUNGARY</v>
      </c>
    </row>
    <row r="584" customFormat="false" ht="15" hidden="false" customHeight="false" outlineLevel="0" collapsed="false">
      <c r="A584" s="18" t="n">
        <f aca="false">'SALES Raw'!G3790</f>
        <v>4415029</v>
      </c>
      <c r="B584" s="18" t="str">
        <f aca="false">'SALES Raw'!B3790</f>
        <v>237 0</v>
      </c>
      <c r="C584" s="18" t="str">
        <f aca="false">'SALES Raw'!H3790</f>
        <v>סד קיבוע לאצבע הדק</v>
      </c>
      <c r="D584" s="19" t="n">
        <f aca="false">'SALES Raw'!C3790</f>
        <v>111</v>
      </c>
      <c r="E584" s="19" t="n">
        <f aca="false">'SALES Raw'!D3790</f>
        <v>1511.29</v>
      </c>
      <c r="F584" s="19" t="n">
        <f aca="false">'SALES Raw'!E3790*$H$4</f>
        <v>151.578947368421</v>
      </c>
      <c r="G584" s="19" t="n">
        <f aca="false">'SALES Raw'!F3790*$H$4</f>
        <v>2070.20210526316</v>
      </c>
      <c r="H584" s="18" t="str">
        <f aca="false">'SALES Raw'!A3790</f>
        <v>209 - Ortoprofil Prod ROMANIA</v>
      </c>
    </row>
    <row r="585" customFormat="false" ht="15" hidden="false" customHeight="false" outlineLevel="0" collapsed="false">
      <c r="A585" s="18" t="n">
        <f aca="false">'SALES Raw'!G4133</f>
        <v>4408207</v>
      </c>
      <c r="B585" s="18" t="str">
        <f aca="false">'SALES Raw'!B4133</f>
        <v>AC25 0</v>
      </c>
      <c r="C585" s="18" t="str">
        <f aca="false">'SALES Raw'!H4133</f>
        <v>AC-25 חבק לשורש כף היד</v>
      </c>
      <c r="D585" s="19" t="n">
        <f aca="false">'SALES Raw'!C4133</f>
        <v>274</v>
      </c>
      <c r="E585" s="19" t="n">
        <f aca="false">'SALES Raw'!D4133</f>
        <v>4506.09</v>
      </c>
      <c r="F585" s="19" t="n">
        <f aca="false">'SALES Raw'!E4133*$H$4</f>
        <v>151.578947368421</v>
      </c>
      <c r="G585" s="19" t="n">
        <f aca="false">'SALES Raw'!F4133*$H$4</f>
        <v>2311.42736842105</v>
      </c>
      <c r="H585" s="18" t="str">
        <f aca="false">'SALES Raw'!A4133</f>
        <v>214 - Alfred Gera&amp; Sons Ltd. MALTA</v>
      </c>
    </row>
    <row r="586" customFormat="false" ht="15" hidden="false" customHeight="false" outlineLevel="0" collapsed="false">
      <c r="A586" s="18" t="str">
        <f aca="false">'SALES Raw'!G4438</f>
        <v/>
      </c>
      <c r="B586" s="18" t="str">
        <f aca="false">'SALES Raw'!B4438</f>
        <v>EC-59L S</v>
      </c>
      <c r="C586" s="18" t="str">
        <f aca="false">'SALES Raw'!H4438</f>
        <v>EC-59L S</v>
      </c>
      <c r="D586" s="19" t="n">
        <f aca="false">'SALES Raw'!C4438</f>
        <v>222</v>
      </c>
      <c r="E586" s="19" t="n">
        <f aca="false">'SALES Raw'!D4438</f>
        <v>40212.55</v>
      </c>
      <c r="F586" s="19" t="n">
        <f aca="false">'SALES Raw'!E4438*$H$4</f>
        <v>151.578947368421</v>
      </c>
      <c r="G586" s="19" t="n">
        <f aca="false">'SALES Raw'!F4438*$H$4</f>
        <v>24526.7873684211</v>
      </c>
      <c r="H586" s="18" t="str">
        <f aca="false">'SALES Raw'!A4438</f>
        <v>301 - Amazon</v>
      </c>
    </row>
    <row r="587" customFormat="false" ht="15" hidden="false" customHeight="false" outlineLevel="0" collapsed="false">
      <c r="A587" s="18" t="n">
        <f aca="false">'CEMIUP0.9 Raw'!B196</f>
        <v>4409015</v>
      </c>
      <c r="B587" s="18" t="str">
        <f aca="false">'CEMIUP0.9 Raw'!C196</f>
        <v>808KT-BL       טייפ קינזיולוגי</v>
      </c>
      <c r="C587" s="18" t="str">
        <f aca="false">'CEMIUP0.9 Raw'!C196</f>
        <v>808KT-BL       טייפ קינזיולוגי</v>
      </c>
      <c r="D587" s="19" t="n">
        <f aca="false">'CEMIUP0.9 Raw'!D196</f>
        <v>412</v>
      </c>
      <c r="E587" s="19" t="n">
        <f aca="false">'CEMIUP0.9 Raw'!E196</f>
        <v>11911.87</v>
      </c>
      <c r="F587" s="19" t="n">
        <f aca="false">'CEMIUP0.9 Raw'!F196</f>
        <v>151.578947368421</v>
      </c>
      <c r="G587" s="19" t="n">
        <f aca="false">'CEMIUP0.9 Raw'!G196</f>
        <v>4947.22105263158</v>
      </c>
      <c r="H587" s="18" t="str">
        <f aca="false">'CEMIUP0.9 Raw'!A196</f>
        <v>107 - Pharmacies</v>
      </c>
    </row>
    <row r="588" customFormat="false" ht="15" hidden="false" customHeight="false" outlineLevel="0" collapsed="false">
      <c r="A588" s="18" t="n">
        <f aca="false">'SALES Raw'!G2192</f>
        <v>4421006</v>
      </c>
      <c r="B588" s="18" t="str">
        <f aca="false">'SALES Raw'!B2192</f>
        <v>251 0</v>
      </c>
      <c r="C588" s="18" t="str">
        <f aca="false">'SALES Raw'!H2192</f>
        <v>שרוול לגבס ארוך יד</v>
      </c>
      <c r="D588" s="19" t="n">
        <f aca="false">'SALES Raw'!C2192</f>
        <v>88</v>
      </c>
      <c r="E588" s="19" t="n">
        <f aca="false">'SALES Raw'!D2192</f>
        <v>6228.56</v>
      </c>
      <c r="F588" s="19" t="n">
        <f aca="false">'SALES Raw'!E2192*$H$4</f>
        <v>150.315789473684</v>
      </c>
      <c r="G588" s="19" t="n">
        <f aca="false">'SALES Raw'!F2192*$H$4</f>
        <v>11240.4378947368</v>
      </c>
      <c r="H588" s="18" t="str">
        <f aca="false">'SALES Raw'!A2192</f>
        <v>114 - IL online</v>
      </c>
    </row>
    <row r="589" customFormat="false" ht="15" hidden="false" customHeight="false" outlineLevel="0" collapsed="false">
      <c r="A589" s="18" t="n">
        <f aca="false">'CEMIUP0.9 Raw'!B231</f>
        <v>4413043</v>
      </c>
      <c r="B589" s="18" t="str">
        <f aca="false">'CEMIUP0.9 Raw'!C231</f>
        <v>34  L מגן קרסול עקב סגור</v>
      </c>
      <c r="C589" s="18" t="str">
        <f aca="false">'CEMIUP0.9 Raw'!C231</f>
        <v>34  L מגן קרסול עקב סגור</v>
      </c>
      <c r="D589" s="19" t="n">
        <f aca="false">'CEMIUP0.9 Raw'!D231</f>
        <v>184</v>
      </c>
      <c r="E589" s="19" t="n">
        <f aca="false">'CEMIUP0.9 Raw'!E231</f>
        <v>7545.449</v>
      </c>
      <c r="F589" s="19" t="n">
        <f aca="false">'CEMIUP0.9 Raw'!F231</f>
        <v>150.315789473684</v>
      </c>
      <c r="G589" s="19" t="n">
        <f aca="false">'CEMIUP0.9 Raw'!G231</f>
        <v>6199.39957894737</v>
      </c>
      <c r="H589" s="18" t="str">
        <f aca="false">'CEMIUP0.9 Raw'!A231</f>
        <v>107 - Pharmacies</v>
      </c>
    </row>
    <row r="590" customFormat="false" ht="15" hidden="false" customHeight="false" outlineLevel="0" collapsed="false">
      <c r="A590" s="18" t="n">
        <f aca="false">'CEMIUP0.9 Raw'!B490</f>
        <v>4415080</v>
      </c>
      <c r="B590" s="18" t="str">
        <f aca="false">'CEMIUP0.9 Raw'!C490</f>
        <v>PD346-10 סכינים למקצוע</v>
      </c>
      <c r="C590" s="18" t="str">
        <f aca="false">'CEMIUP0.9 Raw'!C490</f>
        <v>PD346-10 סכינים למקצוע</v>
      </c>
      <c r="D590" s="19" t="n">
        <f aca="false">'CEMIUP0.9 Raw'!D490</f>
        <v>44</v>
      </c>
      <c r="E590" s="19" t="n">
        <f aca="false">'CEMIUP0.9 Raw'!E490</f>
        <v>381.563</v>
      </c>
      <c r="F590" s="19" t="n">
        <f aca="false">'CEMIUP0.9 Raw'!F490</f>
        <v>150.315789473684</v>
      </c>
      <c r="G590" s="19" t="n">
        <f aca="false">'CEMIUP0.9 Raw'!G490</f>
        <v>1297.64084210526</v>
      </c>
      <c r="H590" s="18" t="str">
        <f aca="false">'CEMIUP0.9 Raw'!A490</f>
        <v>107 - Pharmacies</v>
      </c>
    </row>
    <row r="591" customFormat="false" ht="15" hidden="false" customHeight="false" outlineLevel="0" collapsed="false">
      <c r="A591" s="18" t="n">
        <f aca="false">'CEMIUP0.9 Raw'!B13</f>
        <v>4402000</v>
      </c>
      <c r="B591" s="18" t="str">
        <f aca="false">'CEMIUP0.9 Raw'!C13</f>
        <v>363  בננה לתמיכת אצבעות ז.כרית</v>
      </c>
      <c r="C591" s="18" t="str">
        <f aca="false">'CEMIUP0.9 Raw'!C13</f>
        <v>363  בננה לתמיכת אצבעות ז.כרית</v>
      </c>
      <c r="D591" s="19" t="n">
        <f aca="false">'CEMIUP0.9 Raw'!D13</f>
        <v>132</v>
      </c>
      <c r="E591" s="19" t="n">
        <f aca="false">'CEMIUP0.9 Raw'!E13</f>
        <v>3151.399</v>
      </c>
      <c r="F591" s="19" t="n">
        <f aca="false">'CEMIUP0.9 Raw'!F13</f>
        <v>149.052631578947</v>
      </c>
      <c r="G591" s="19" t="n">
        <f aca="false">'CEMIUP0.9 Raw'!G13</f>
        <v>3621.12126315789</v>
      </c>
      <c r="H591" s="18" t="str">
        <f aca="false">'CEMIUP0.9 Raw'!A13</f>
        <v>107 - Pharmacies</v>
      </c>
    </row>
    <row r="592" customFormat="false" ht="15" hidden="false" customHeight="false" outlineLevel="0" collapsed="false">
      <c r="A592" s="18" t="n">
        <f aca="false">'CEMIUP0.9 Raw'!B450</f>
        <v>4413517</v>
      </c>
      <c r="B592" s="18" t="str">
        <f aca="false">'CEMIUP0.9 Raw'!C450</f>
        <v>85B M מתלה רשת לזרוע שחור</v>
      </c>
      <c r="C592" s="18" t="str">
        <f aca="false">'CEMIUP0.9 Raw'!C450</f>
        <v>85B M מתלה רשת לזרוע שחור</v>
      </c>
      <c r="D592" s="19" t="n">
        <f aca="false">'CEMIUP0.9 Raw'!D450</f>
        <v>161</v>
      </c>
      <c r="E592" s="19" t="n">
        <f aca="false">'CEMIUP0.9 Raw'!E450</f>
        <v>8022.446</v>
      </c>
      <c r="F592" s="19" t="n">
        <f aca="false">'CEMIUP0.9 Raw'!F450</f>
        <v>149.052631578947</v>
      </c>
      <c r="G592" s="19" t="n">
        <f aca="false">'CEMIUP0.9 Raw'!G450</f>
        <v>7605.06063157895</v>
      </c>
      <c r="H592" s="18" t="str">
        <f aca="false">'CEMIUP0.9 Raw'!A450</f>
        <v>107 - Pharmacies</v>
      </c>
    </row>
    <row r="593" customFormat="false" ht="15" hidden="false" customHeight="false" outlineLevel="0" collapsed="false">
      <c r="A593" s="18" t="n">
        <f aca="false">'CEMIUP0.9 Raw'!B759</f>
        <v>4411001</v>
      </c>
      <c r="B593" s="18" t="str">
        <f aca="false">'CEMIUP0.9 Raw'!C759</f>
        <v>3623 כרית ליישור אצבע פטיש</v>
      </c>
      <c r="C593" s="18" t="str">
        <f aca="false">'CEMIUP0.9 Raw'!C759</f>
        <v>3623 כרית ליישור אצבע פטיש</v>
      </c>
      <c r="D593" s="19" t="n">
        <f aca="false">'CEMIUP0.9 Raw'!D759</f>
        <v>136</v>
      </c>
      <c r="E593" s="19" t="n">
        <f aca="false">'CEMIUP0.9 Raw'!E759</f>
        <v>2709.12</v>
      </c>
      <c r="F593" s="19" t="n">
        <f aca="false">'CEMIUP0.9 Raw'!F759</f>
        <v>149.052631578947</v>
      </c>
      <c r="G593" s="19" t="n">
        <f aca="false">'CEMIUP0.9 Raw'!G759</f>
        <v>2794.25178947368</v>
      </c>
      <c r="H593" s="18" t="str">
        <f aca="false">'CEMIUP0.9 Raw'!A759</f>
        <v>113 - Kupat Holim Meuhedet</v>
      </c>
    </row>
    <row r="594" customFormat="false" ht="15" hidden="false" customHeight="false" outlineLevel="0" collapsed="false">
      <c r="A594" s="18" t="n">
        <f aca="false">'CEMIUP0.9 Raw'!B975</f>
        <v>4408051</v>
      </c>
      <c r="B594" s="18" t="str">
        <f aca="false">'CEMIUP0.9 Raw'!C975</f>
        <v>21 S  חבק יד ארוך</v>
      </c>
      <c r="C594" s="18" t="str">
        <f aca="false">'CEMIUP0.9 Raw'!C975</f>
        <v>21 S  חבק יד ארוך</v>
      </c>
      <c r="D594" s="19" t="n">
        <f aca="false">'CEMIUP0.9 Raw'!D975</f>
        <v>184</v>
      </c>
      <c r="E594" s="19" t="n">
        <f aca="false">'CEMIUP0.9 Raw'!E975</f>
        <v>5909.176</v>
      </c>
      <c r="F594" s="19" t="n">
        <f aca="false">'CEMIUP0.9 Raw'!F975</f>
        <v>149.052631578947</v>
      </c>
      <c r="G594" s="19" t="n">
        <f aca="false">'CEMIUP0.9 Raw'!G975</f>
        <v>4786.98315789474</v>
      </c>
      <c r="H594" s="18" t="str">
        <f aca="false">'CEMIUP0.9 Raw'!A975</f>
        <v>BE (CEMI internal group)</v>
      </c>
    </row>
    <row r="595" customFormat="false" ht="15" hidden="false" customHeight="false" outlineLevel="0" collapsed="false">
      <c r="A595" s="18" t="n">
        <f aca="false">'CEMIUP0.9 Raw'!B1066</f>
        <v>4413050</v>
      </c>
      <c r="B595" s="18" t="str">
        <f aca="false">'CEMIUP0.9 Raw'!C1066</f>
        <v>35 XL מגן קרסול לבן</v>
      </c>
      <c r="C595" s="18" t="str">
        <f aca="false">'CEMIUP0.9 Raw'!C1066</f>
        <v>35 XL מגן קרסול לבן</v>
      </c>
      <c r="D595" s="19" t="n">
        <f aca="false">'CEMIUP0.9 Raw'!D1066</f>
        <v>147</v>
      </c>
      <c r="E595" s="19" t="n">
        <f aca="false">'CEMIUP0.9 Raw'!E1066</f>
        <v>3718.806</v>
      </c>
      <c r="F595" s="19" t="n">
        <f aca="false">'CEMIUP0.9 Raw'!F1066</f>
        <v>149.052631578947</v>
      </c>
      <c r="G595" s="19" t="n">
        <f aca="false">'CEMIUP0.9 Raw'!G1066</f>
        <v>3767.51494736842</v>
      </c>
      <c r="H595" s="18" t="str">
        <f aca="false">'CEMIUP0.9 Raw'!A1066</f>
        <v>BE (CEMI internal group)</v>
      </c>
    </row>
    <row r="596" customFormat="false" ht="15" hidden="false" customHeight="false" outlineLevel="0" collapsed="false">
      <c r="A596" s="18" t="n">
        <f aca="false">'CEMIUP0.9 Raw'!B1664</f>
        <v>4419014</v>
      </c>
      <c r="B596" s="18" t="str">
        <f aca="false">'CEMIUP0.9 Raw'!C1664</f>
        <v>239TR L-XL STRAP4U</v>
      </c>
      <c r="C596" s="18" t="str">
        <f aca="false">'CEMIUP0.9 Raw'!C1664</f>
        <v>239TR L-XL STRAP4U</v>
      </c>
      <c r="D596" s="19" t="n">
        <f aca="false">'CEMIUP0.9 Raw'!D1664</f>
        <v>328</v>
      </c>
      <c r="E596" s="19" t="n">
        <f aca="false">'CEMIUP0.9 Raw'!E1664</f>
        <v>4959.5</v>
      </c>
      <c r="F596" s="19" t="n">
        <f aca="false">'CEMIUP0.9 Raw'!F1664</f>
        <v>149.052631578947</v>
      </c>
      <c r="G596" s="19" t="n">
        <f aca="false">'CEMIUP0.9 Raw'!G1664</f>
        <v>2273.88884210526</v>
      </c>
      <c r="H596" s="18" t="str">
        <f aca="false">'CEMIUP0.9 Raw'!A1664</f>
        <v>Super-Pharm Israel (CEMI internal group)</v>
      </c>
    </row>
    <row r="597" customFormat="false" ht="15" hidden="false" customHeight="false" outlineLevel="0" collapsed="false">
      <c r="A597" s="18" t="n">
        <f aca="false">'CEMIUP0.9 Raw'!B758</f>
        <v>4411000</v>
      </c>
      <c r="B597" s="18" t="str">
        <f aca="false">'CEMIUP0.9 Raw'!C758</f>
        <v>כרית מטטרזלי סיליקון362</v>
      </c>
      <c r="C597" s="18" t="str">
        <f aca="false">'CEMIUP0.9 Raw'!C758</f>
        <v>כרית מטטרזלי סיליקון362</v>
      </c>
      <c r="D597" s="19" t="n">
        <f aca="false">'CEMIUP0.9 Raw'!D758</f>
        <v>188</v>
      </c>
      <c r="E597" s="19" t="n">
        <f aca="false">'CEMIUP0.9 Raw'!E758</f>
        <v>3468.6</v>
      </c>
      <c r="F597" s="19" t="n">
        <f aca="false">'CEMIUP0.9 Raw'!F758</f>
        <v>147.789473684211</v>
      </c>
      <c r="G597" s="19" t="n">
        <f aca="false">'CEMIUP0.9 Raw'!G758</f>
        <v>2450.63621052632</v>
      </c>
      <c r="H597" s="18" t="str">
        <f aca="false">'CEMIUP0.9 Raw'!A758</f>
        <v>113 - Kupat Holim Meuhedet</v>
      </c>
    </row>
    <row r="598" customFormat="false" ht="15" hidden="false" customHeight="false" outlineLevel="0" collapsed="false">
      <c r="A598" s="18" t="n">
        <f aca="false">'CEMIUP0.9 Raw'!B1060</f>
        <v>4413043</v>
      </c>
      <c r="B598" s="18" t="str">
        <f aca="false">'CEMIUP0.9 Raw'!C1060</f>
        <v>34  L מגן קרסול עקב סגור</v>
      </c>
      <c r="C598" s="18" t="str">
        <f aca="false">'CEMIUP0.9 Raw'!C1060</f>
        <v>34  L מגן קרסול עקב סגור</v>
      </c>
      <c r="D598" s="19" t="n">
        <f aca="false">'CEMIUP0.9 Raw'!D1060</f>
        <v>188</v>
      </c>
      <c r="E598" s="19" t="n">
        <f aca="false">'CEMIUP0.9 Raw'!E1060</f>
        <v>6936.657</v>
      </c>
      <c r="F598" s="19" t="n">
        <f aca="false">'CEMIUP0.9 Raw'!F1060</f>
        <v>147.789473684211</v>
      </c>
      <c r="G598" s="19" t="n">
        <f aca="false">'CEMIUP0.9 Raw'!G1060</f>
        <v>5466.66694736842</v>
      </c>
      <c r="H598" s="18" t="str">
        <f aca="false">'CEMIUP0.9 Raw'!A1060</f>
        <v>BE (CEMI internal group)</v>
      </c>
    </row>
    <row r="599" customFormat="false" ht="15" hidden="false" customHeight="false" outlineLevel="0" collapsed="false">
      <c r="A599" s="18" t="n">
        <f aca="false">'CEMIUP0.9 Raw'!B1068</f>
        <v>4413052</v>
      </c>
      <c r="B599" s="18" t="str">
        <f aca="false">'CEMIUP0.9 Raw'!C1068</f>
        <v>35C S מגן קרסול חום</v>
      </c>
      <c r="C599" s="18" t="str">
        <f aca="false">'CEMIUP0.9 Raw'!C1068</f>
        <v>35C S מגן קרסול חום</v>
      </c>
      <c r="D599" s="19" t="n">
        <f aca="false">'CEMIUP0.9 Raw'!D1068</f>
        <v>180</v>
      </c>
      <c r="E599" s="19" t="n">
        <f aca="false">'CEMIUP0.9 Raw'!E1068</f>
        <v>4554.277</v>
      </c>
      <c r="F599" s="19" t="n">
        <f aca="false">'CEMIUP0.9 Raw'!F1068</f>
        <v>147.789473684211</v>
      </c>
      <c r="G599" s="19" t="n">
        <f aca="false">'CEMIUP0.9 Raw'!G1068</f>
        <v>3737.97347368421</v>
      </c>
      <c r="H599" s="18" t="str">
        <f aca="false">'CEMIUP0.9 Raw'!A1068</f>
        <v>BE (CEMI internal group)</v>
      </c>
    </row>
    <row r="600" customFormat="false" ht="15" hidden="false" customHeight="false" outlineLevel="0" collapsed="false">
      <c r="A600" s="18" t="n">
        <f aca="false">'SALES Raw'!G1317</f>
        <v>4408190</v>
      </c>
      <c r="B600" s="18" t="str">
        <f aca="false">'SALES Raw'!B1317</f>
        <v>078 M</v>
      </c>
      <c r="C600" s="18" t="str">
        <f aca="false">'SALES Raw'!H1317</f>
        <v>M078 חגורת גב +סגירה כפולה</v>
      </c>
      <c r="D600" s="19" t="n">
        <f aca="false">'SALES Raw'!C1317</f>
        <v>4</v>
      </c>
      <c r="E600" s="19" t="n">
        <f aca="false">'SALES Raw'!D1317</f>
        <v>345.14</v>
      </c>
      <c r="F600" s="19" t="n">
        <f aca="false">'SALES Raw'!E1317*$H$4</f>
        <v>147.789473684211</v>
      </c>
      <c r="G600" s="19" t="n">
        <f aca="false">'SALES Raw'!F1317*$H$4</f>
        <v>12406.9642105263</v>
      </c>
      <c r="H600" s="18" t="str">
        <f aca="false">'SALES Raw'!A1317</f>
        <v>103 - Physiotherapy institutes</v>
      </c>
    </row>
    <row r="601" customFormat="false" ht="15" hidden="false" customHeight="false" outlineLevel="0" collapsed="false">
      <c r="A601" s="18" t="n">
        <f aca="false">'SALES Raw'!G3113</f>
        <v>4413328</v>
      </c>
      <c r="B601" s="18" t="str">
        <f aca="false">'SALES Raw'!B3113</f>
        <v>AC43D 0</v>
      </c>
      <c r="C601" s="18" t="str">
        <f aca="false">'SALES Raw'!H3113</f>
        <v>AC43D מגן ברך + צירים</v>
      </c>
      <c r="D601" s="19" t="n">
        <f aca="false">'SALES Raw'!C3113</f>
        <v>24</v>
      </c>
      <c r="E601" s="19" t="n">
        <f aca="false">'SALES Raw'!D3113</f>
        <v>1177.97</v>
      </c>
      <c r="F601" s="19" t="n">
        <f aca="false">'SALES Raw'!E3113*$H$4</f>
        <v>147.789473684211</v>
      </c>
      <c r="G601" s="19" t="n">
        <f aca="false">'SALES Raw'!F3113*$H$4</f>
        <v>7535.40631578947</v>
      </c>
      <c r="H601" s="18" t="str">
        <f aca="false">'SALES Raw'!A3113</f>
        <v>203 - Ortho- Partner ag SWITZERLAND</v>
      </c>
    </row>
    <row r="602" customFormat="false" ht="15" hidden="false" customHeight="false" outlineLevel="0" collapsed="false">
      <c r="A602" s="18" t="n">
        <f aca="false">'CEMIUP0.9 Raw'!B744</f>
        <v>4408268</v>
      </c>
      <c r="B602" s="18" t="str">
        <f aca="false">'CEMIUP0.9 Raw'!C744</f>
        <v>ST20 חבק יד</v>
      </c>
      <c r="C602" s="18" t="str">
        <f aca="false">'CEMIUP0.9 Raw'!C744</f>
        <v>ST20 חבק יד</v>
      </c>
      <c r="D602" s="19" t="n">
        <f aca="false">'CEMIUP0.9 Raw'!D744</f>
        <v>172</v>
      </c>
      <c r="E602" s="19" t="n">
        <f aca="false">'CEMIUP0.9 Raw'!E744</f>
        <v>2855.2</v>
      </c>
      <c r="F602" s="19" t="n">
        <f aca="false">'CEMIUP0.9 Raw'!F744</f>
        <v>146.526315789474</v>
      </c>
      <c r="G602" s="19" t="n">
        <f aca="false">'CEMIUP0.9 Raw'!G744</f>
        <v>2224.96421052632</v>
      </c>
      <c r="H602" s="18" t="str">
        <f aca="false">'CEMIUP0.9 Raw'!A744</f>
        <v>113 - Kupat Holim Meuhedet</v>
      </c>
    </row>
    <row r="603" customFormat="false" ht="15" hidden="false" customHeight="false" outlineLevel="0" collapsed="false">
      <c r="A603" s="18" t="n">
        <f aca="false">'CEMIUP0.9 Raw'!B837</f>
        <v>4413370</v>
      </c>
      <c r="B603" s="18" t="str">
        <f aca="false">'CEMIUP0.9 Raw'!C837</f>
        <v>3674 0 מ.בוניון+מפריד אצבע</v>
      </c>
      <c r="C603" s="18" t="str">
        <f aca="false">'CEMIUP0.9 Raw'!C837</f>
        <v>3674 0 מ.בוניון+מפריד אצבע</v>
      </c>
      <c r="D603" s="19" t="n">
        <f aca="false">'CEMIUP0.9 Raw'!D837</f>
        <v>168</v>
      </c>
      <c r="E603" s="19" t="n">
        <f aca="false">'CEMIUP0.9 Raw'!E837</f>
        <v>4628.4</v>
      </c>
      <c r="F603" s="19" t="n">
        <f aca="false">'CEMIUP0.9 Raw'!F837</f>
        <v>146.526315789474</v>
      </c>
      <c r="G603" s="19" t="n">
        <f aca="false">'CEMIUP0.9 Raw'!G837</f>
        <v>3783.16547368421</v>
      </c>
      <c r="H603" s="18" t="str">
        <f aca="false">'CEMIUP0.9 Raw'!A837</f>
        <v>113 - Kupat Holim Meuhedet</v>
      </c>
    </row>
    <row r="604" customFormat="false" ht="15" hidden="false" customHeight="false" outlineLevel="0" collapsed="false">
      <c r="A604" s="18" t="n">
        <f aca="false">'CEMIUP0.9 Raw'!B1016</f>
        <v>4408208</v>
      </c>
      <c r="B604" s="18" t="str">
        <f aca="false">'CEMIUP0.9 Raw'!C1016</f>
        <v>AC91 חבק טניס</v>
      </c>
      <c r="C604" s="18" t="str">
        <f aca="false">'CEMIUP0.9 Raw'!C1016</f>
        <v>AC91 חבק טניס</v>
      </c>
      <c r="D604" s="19" t="n">
        <f aca="false">'CEMIUP0.9 Raw'!D1016</f>
        <v>123</v>
      </c>
      <c r="E604" s="19" t="n">
        <f aca="false">'CEMIUP0.9 Raw'!E1016</f>
        <v>3220.49</v>
      </c>
      <c r="F604" s="19" t="n">
        <f aca="false">'CEMIUP0.9 Raw'!F1016</f>
        <v>146.526315789474</v>
      </c>
      <c r="G604" s="19" t="n">
        <f aca="false">'CEMIUP0.9 Raw'!G1016</f>
        <v>3819.70105263158</v>
      </c>
      <c r="H604" s="18" t="str">
        <f aca="false">'CEMIUP0.9 Raw'!A1016</f>
        <v>BE (CEMI internal group)</v>
      </c>
    </row>
    <row r="605" customFormat="false" ht="15" hidden="false" customHeight="false" outlineLevel="0" collapsed="false">
      <c r="A605" s="18" t="n">
        <f aca="false">'SALES Raw'!G3138</f>
        <v>4408192</v>
      </c>
      <c r="B605" s="18" t="str">
        <f aca="false">'SALES Raw'!B3138</f>
        <v>078 L</v>
      </c>
      <c r="C605" s="18" t="str">
        <f aca="false">'SALES Raw'!H3138</f>
        <v>078 L חגורת גב +סגירה</v>
      </c>
      <c r="D605" s="19" t="n">
        <f aca="false">'SALES Raw'!C3138</f>
        <v>180</v>
      </c>
      <c r="E605" s="19" t="n">
        <f aca="false">'SALES Raw'!D3138</f>
        <v>9339.88</v>
      </c>
      <c r="F605" s="19" t="n">
        <f aca="false">'SALES Raw'!E3138*$H$4</f>
        <v>146.526315789474</v>
      </c>
      <c r="G605" s="19" t="n">
        <f aca="false">'SALES Raw'!F3138*$H$4</f>
        <v>6914.52631578947</v>
      </c>
      <c r="H605" s="18" t="str">
        <f aca="false">'SALES Raw'!A3138</f>
        <v>204 - Sanaflex Anatomic GREECE</v>
      </c>
    </row>
    <row r="606" customFormat="false" ht="15" hidden="false" customHeight="false" outlineLevel="0" collapsed="false">
      <c r="A606" s="18" t="n">
        <f aca="false">'SALES Raw'!G3263</f>
        <v>4413098</v>
      </c>
      <c r="B606" s="18" t="str">
        <f aca="false">'SALES Raw'!B3263</f>
        <v>45C L</v>
      </c>
      <c r="C606" s="18" t="str">
        <f aca="false">'SALES Raw'!H3263</f>
        <v>45C L מגן ברך חום</v>
      </c>
      <c r="D606" s="19" t="n">
        <f aca="false">'SALES Raw'!C3263</f>
        <v>220</v>
      </c>
      <c r="E606" s="19" t="n">
        <f aca="false">'SALES Raw'!D3263</f>
        <v>2259.62</v>
      </c>
      <c r="F606" s="19" t="n">
        <f aca="false">'SALES Raw'!E3263*$H$4</f>
        <v>146.526315789474</v>
      </c>
      <c r="G606" s="19" t="n">
        <f aca="false">'SALES Raw'!F3263*$H$4</f>
        <v>1343.07789473684</v>
      </c>
      <c r="H606" s="18" t="str">
        <f aca="false">'SALES Raw'!A3263</f>
        <v>204 - Sanaflex Anatomic GREECE</v>
      </c>
    </row>
    <row r="607" customFormat="false" ht="15" hidden="false" customHeight="false" outlineLevel="0" collapsed="false">
      <c r="A607" s="18" t="n">
        <f aca="false">'SALES Raw'!G3806</f>
        <v>4416002</v>
      </c>
      <c r="B607" s="18" t="str">
        <f aca="false">'SALES Raw'!B3806</f>
        <v>307 S</v>
      </c>
      <c r="C607" s="18" t="str">
        <f aca="false">'SALES Raw'!H3806</f>
        <v>307 S עקבים לדורבן-זוג כריות</v>
      </c>
      <c r="D607" s="19" t="n">
        <f aca="false">'SALES Raw'!C3806</f>
        <v>146</v>
      </c>
      <c r="E607" s="19" t="n">
        <f aca="false">'SALES Raw'!D3806</f>
        <v>4033.74</v>
      </c>
      <c r="F607" s="19" t="n">
        <f aca="false">'SALES Raw'!E3806*$H$4</f>
        <v>146.526315789474</v>
      </c>
      <c r="G607" s="19" t="n">
        <f aca="false">'SALES Raw'!F3806*$H$4</f>
        <v>4033.37684210526</v>
      </c>
      <c r="H607" s="18" t="str">
        <f aca="false">'SALES Raw'!A3806</f>
        <v>209 - Ortoprofil Prod ROMANIA</v>
      </c>
    </row>
    <row r="608" customFormat="false" ht="15" hidden="false" customHeight="false" outlineLevel="0" collapsed="false">
      <c r="A608" s="18" t="n">
        <f aca="false">'CEMIUP0.9 Raw'!B307</f>
        <v>4413136</v>
      </c>
      <c r="B608" s="18" t="str">
        <f aca="false">'CEMIUP0.9 Raw'!C307</f>
        <v>85 M (מתלה ליד )כיס</v>
      </c>
      <c r="C608" s="18" t="str">
        <f aca="false">'CEMIUP0.9 Raw'!C307</f>
        <v>85 M (מתלה ליד )כיס</v>
      </c>
      <c r="D608" s="19" t="n">
        <f aca="false">'CEMIUP0.9 Raw'!D307</f>
        <v>206</v>
      </c>
      <c r="E608" s="19" t="n">
        <f aca="false">'CEMIUP0.9 Raw'!E307</f>
        <v>10272.005</v>
      </c>
      <c r="F608" s="19" t="n">
        <f aca="false">'CEMIUP0.9 Raw'!F307</f>
        <v>145.263157894737</v>
      </c>
      <c r="G608" s="19" t="n">
        <f aca="false">'CEMIUP0.9 Raw'!G307</f>
        <v>7304.66778947368</v>
      </c>
      <c r="H608" s="18" t="str">
        <f aca="false">'CEMIUP0.9 Raw'!A307</f>
        <v>107 - Pharmacies</v>
      </c>
    </row>
    <row r="609" customFormat="false" ht="15" hidden="false" customHeight="false" outlineLevel="0" collapsed="false">
      <c r="A609" s="18" t="n">
        <f aca="false">'CEMIUP0.9 Raw'!B499</f>
        <v>4415159</v>
      </c>
      <c r="B609" s="18" t="str">
        <f aca="false">'CEMIUP0.9 Raw'!C499</f>
        <v>268 סד לאגודל</v>
      </c>
      <c r="C609" s="18" t="str">
        <f aca="false">'CEMIUP0.9 Raw'!C499</f>
        <v>268 סד לאגודל</v>
      </c>
      <c r="D609" s="19" t="n">
        <f aca="false">'CEMIUP0.9 Raw'!D499</f>
        <v>134</v>
      </c>
      <c r="E609" s="19" t="n">
        <f aca="false">'CEMIUP0.9 Raw'!E499</f>
        <v>14155.721</v>
      </c>
      <c r="F609" s="19" t="n">
        <f aca="false">'CEMIUP0.9 Raw'!F499</f>
        <v>145.263157894737</v>
      </c>
      <c r="G609" s="19" t="n">
        <f aca="false">'CEMIUP0.9 Raw'!G499</f>
        <v>15524.8168421053</v>
      </c>
      <c r="H609" s="18" t="str">
        <f aca="false">'CEMIUP0.9 Raw'!A499</f>
        <v>107 - Pharmacies</v>
      </c>
    </row>
    <row r="610" customFormat="false" ht="15" hidden="false" customHeight="false" outlineLevel="0" collapsed="false">
      <c r="A610" s="18" t="n">
        <f aca="false">'CEMIUP0.9 Raw'!B512</f>
        <v>4415297</v>
      </c>
      <c r="B610" s="18" t="str">
        <f aca="false">'CEMIUP0.9 Raw'!C512</f>
        <v>313 סט פלסטרים נגד שפשופים</v>
      </c>
      <c r="C610" s="18" t="str">
        <f aca="false">'CEMIUP0.9 Raw'!C512</f>
        <v>313 סט פלסטרים נגד שפשופים</v>
      </c>
      <c r="D610" s="19" t="n">
        <f aca="false">'CEMIUP0.9 Raw'!D512</f>
        <v>320</v>
      </c>
      <c r="E610" s="19" t="n">
        <f aca="false">'CEMIUP0.9 Raw'!E512</f>
        <v>6571.815</v>
      </c>
      <c r="F610" s="19" t="n">
        <f aca="false">'CEMIUP0.9 Raw'!F512</f>
        <v>145.263157894737</v>
      </c>
      <c r="G610" s="19" t="n">
        <f aca="false">'CEMIUP0.9 Raw'!G512</f>
        <v>2954.70821052632</v>
      </c>
      <c r="H610" s="18" t="str">
        <f aca="false">'CEMIUP0.9 Raw'!A512</f>
        <v>107 - Pharmacies</v>
      </c>
    </row>
    <row r="611" customFormat="false" ht="15" hidden="false" customHeight="false" outlineLevel="0" collapsed="false">
      <c r="A611" s="18" t="n">
        <f aca="false">'SALES Raw'!G2609</f>
        <v>4422035</v>
      </c>
      <c r="B611" s="18" t="str">
        <f aca="false">'SALES Raw'!B2609</f>
        <v>FC333 0</v>
      </c>
      <c r="C611" s="18" t="str">
        <f aca="false">'SALES Raw'!H2609</f>
        <v>FCתרסיס דאודורנט אנטיבק.נעל333</v>
      </c>
      <c r="D611" s="19" t="n">
        <f aca="false">'SALES Raw'!C2609</f>
        <v>95</v>
      </c>
      <c r="E611" s="19" t="n">
        <f aca="false">'SALES Raw'!D2609</f>
        <v>3318.11</v>
      </c>
      <c r="F611" s="19" t="n">
        <f aca="false">'SALES Raw'!E2609*$H$4</f>
        <v>145.263157894737</v>
      </c>
      <c r="G611" s="19" t="n">
        <f aca="false">'SALES Raw'!F2609*$H$4</f>
        <v>5194.85052631579</v>
      </c>
      <c r="H611" s="18" t="str">
        <f aca="false">'SALES Raw'!A2609</f>
        <v>114 - IL online</v>
      </c>
    </row>
    <row r="612" customFormat="false" ht="15" hidden="false" customHeight="false" outlineLevel="0" collapsed="false">
      <c r="A612" s="18" t="str">
        <f aca="false">'SALES Raw'!G3106</f>
        <v/>
      </c>
      <c r="B612" s="18" t="str">
        <f aca="false">'SALES Raw'!B3106</f>
        <v>86U M</v>
      </c>
      <c r="C612" s="18" t="str">
        <f aca="false">'SALES Raw'!H3106</f>
        <v>86U M</v>
      </c>
      <c r="D612" s="19" t="n">
        <f aca="false">'SALES Raw'!C3106</f>
        <v>144</v>
      </c>
      <c r="E612" s="19" t="n">
        <f aca="false">'SALES Raw'!D3106</f>
        <v>13547.77</v>
      </c>
      <c r="F612" s="19" t="n">
        <f aca="false">'SALES Raw'!E3106*$H$4</f>
        <v>145.263157894737</v>
      </c>
      <c r="G612" s="19" t="n">
        <f aca="false">'SALES Raw'!F3106*$H$4</f>
        <v>12677.8610526316</v>
      </c>
      <c r="H612" s="18" t="str">
        <f aca="false">'SALES Raw'!A3106</f>
        <v>203 - Ortho- Partner ag SWITZERLAND</v>
      </c>
    </row>
    <row r="613" customFormat="false" ht="15" hidden="false" customHeight="false" outlineLevel="0" collapsed="false">
      <c r="A613" s="18" t="str">
        <f aca="false">'SALES Raw'!G3107</f>
        <v/>
      </c>
      <c r="B613" s="18" t="str">
        <f aca="false">'SALES Raw'!B3107</f>
        <v>86U XL</v>
      </c>
      <c r="C613" s="18" t="str">
        <f aca="false">'SALES Raw'!H3107</f>
        <v>86U XL</v>
      </c>
      <c r="D613" s="19" t="n">
        <f aca="false">'SALES Raw'!C3107</f>
        <v>120</v>
      </c>
      <c r="E613" s="19" t="n">
        <f aca="false">'SALES Raw'!D3107</f>
        <v>10937.03</v>
      </c>
      <c r="F613" s="19" t="n">
        <f aca="false">'SALES Raw'!E3107*$H$4</f>
        <v>145.263157894737</v>
      </c>
      <c r="G613" s="19" t="n">
        <f aca="false">'SALES Raw'!F3107*$H$4</f>
        <v>12619.3768421053</v>
      </c>
      <c r="H613" s="18" t="str">
        <f aca="false">'SALES Raw'!A3107</f>
        <v>203 - Ortho- Partner ag SWITZERLAND</v>
      </c>
    </row>
    <row r="614" customFormat="false" ht="15" hidden="false" customHeight="false" outlineLevel="0" collapsed="false">
      <c r="A614" s="18" t="str">
        <f aca="false">'SALES Raw'!G3128</f>
        <v/>
      </c>
      <c r="B614" s="18" t="str">
        <f aca="false">'SALES Raw'!B3128</f>
        <v>T43V L</v>
      </c>
      <c r="C614" s="18" t="str">
        <f aca="false">'SALES Raw'!H3128</f>
        <v>T43V L</v>
      </c>
      <c r="D614" s="19" t="n">
        <f aca="false">'SALES Raw'!C3128</f>
        <v>264</v>
      </c>
      <c r="E614" s="19" t="n">
        <f aca="false">'SALES Raw'!D3128</f>
        <v>31736.14</v>
      </c>
      <c r="F614" s="19" t="n">
        <f aca="false">'SALES Raw'!E3128*$H$4</f>
        <v>145.263157894737</v>
      </c>
      <c r="G614" s="19" t="n">
        <f aca="false">'SALES Raw'!F3128*$H$4</f>
        <v>16308.4547368421</v>
      </c>
      <c r="H614" s="18" t="str">
        <f aca="false">'SALES Raw'!A3128</f>
        <v>203 - Ortho- Partner ag SWITZERLAND</v>
      </c>
    </row>
    <row r="615" customFormat="false" ht="15" hidden="false" customHeight="false" outlineLevel="0" collapsed="false">
      <c r="A615" s="18" t="n">
        <f aca="false">'SALES Raw'!G3663</f>
        <v>4413533</v>
      </c>
      <c r="B615" s="18" t="str">
        <f aca="false">'SALES Raw'!B3663</f>
        <v>ST49 0</v>
      </c>
      <c r="C615" s="18" t="str">
        <f aca="false">'SALES Raw'!H3663</f>
        <v>ST49 מגן ירך</v>
      </c>
      <c r="D615" s="19" t="n">
        <f aca="false">'SALES Raw'!C3663</f>
        <v>75</v>
      </c>
      <c r="E615" s="19" t="n">
        <f aca="false">'SALES Raw'!D3663</f>
        <v>1271.38</v>
      </c>
      <c r="F615" s="19" t="n">
        <f aca="false">'SALES Raw'!E3663*$H$4</f>
        <v>145.263157894737</v>
      </c>
      <c r="G615" s="19" t="n">
        <f aca="false">'SALES Raw'!F3663*$H$4</f>
        <v>2300.36210526316</v>
      </c>
      <c r="H615" s="18" t="str">
        <f aca="false">'SALES Raw'!A3663</f>
        <v>207 - Salus HUNGARY</v>
      </c>
    </row>
    <row r="616" customFormat="false" ht="15" hidden="false" customHeight="false" outlineLevel="0" collapsed="false">
      <c r="A616" s="18" t="n">
        <f aca="false">'SALES Raw'!G3780</f>
        <v>4408052</v>
      </c>
      <c r="B616" s="18" t="str">
        <f aca="false">'SALES Raw'!B3780</f>
        <v>21 L</v>
      </c>
      <c r="C616" s="18" t="str">
        <f aca="false">'SALES Raw'!H3780</f>
        <v>21 L  חבק יד ארוך</v>
      </c>
      <c r="D616" s="19" t="n">
        <f aca="false">'SALES Raw'!C3780</f>
        <v>150</v>
      </c>
      <c r="E616" s="19" t="n">
        <f aca="false">'SALES Raw'!D3780</f>
        <v>2408.67</v>
      </c>
      <c r="F616" s="19" t="n">
        <f aca="false">'SALES Raw'!E3780*$H$4</f>
        <v>145.263157894737</v>
      </c>
      <c r="G616" s="19" t="n">
        <f aca="false">'SALES Raw'!F3780*$H$4</f>
        <v>2355.99157894737</v>
      </c>
      <c r="H616" s="18" t="str">
        <f aca="false">'SALES Raw'!A3780</f>
        <v>209 - Ortoprofil Prod ROMANIA</v>
      </c>
    </row>
    <row r="617" customFormat="false" ht="15" hidden="false" customHeight="false" outlineLevel="0" collapsed="false">
      <c r="A617" s="18" t="str">
        <f aca="false">'SALES Raw'!G4083</f>
        <v/>
      </c>
      <c r="B617" s="18" t="str">
        <f aca="false">'SALES Raw'!B4083</f>
        <v>305-41-42</v>
      </c>
      <c r="C617" s="18" t="str">
        <f aca="false">'SALES Raw'!H4083</f>
        <v>305-41-42</v>
      </c>
      <c r="D617" s="19" t="n">
        <f aca="false">'SALES Raw'!C4083</f>
        <v>85</v>
      </c>
      <c r="E617" s="19" t="n">
        <f aca="false">'SALES Raw'!D4083</f>
        <v>3113.49</v>
      </c>
      <c r="F617" s="19" t="n">
        <f aca="false">'SALES Raw'!E4083*$H$4</f>
        <v>145.263157894737</v>
      </c>
      <c r="G617" s="19" t="n">
        <f aca="false">'SALES Raw'!F4083*$H$4</f>
        <v>4878.82105263158</v>
      </c>
      <c r="H617" s="18" t="str">
        <f aca="false">'SALES Raw'!A4083</f>
        <v>213 - E.f.m.o. SPAIN</v>
      </c>
    </row>
    <row r="618" customFormat="false" ht="15" hidden="false" customHeight="false" outlineLevel="0" collapsed="false">
      <c r="A618" s="18" t="str">
        <f aca="false">'SALES Raw'!G4450</f>
        <v/>
      </c>
      <c r="B618" s="18" t="str">
        <f aca="false">'SALES Raw'!B4450</f>
        <v>EC-59LB L</v>
      </c>
      <c r="C618" s="18" t="str">
        <f aca="false">'SALES Raw'!H4450</f>
        <v>EC-59LB L</v>
      </c>
      <c r="D618" s="19" t="n">
        <f aca="false">'SALES Raw'!C4450</f>
        <v>128</v>
      </c>
      <c r="E618" s="19" t="n">
        <f aca="false">'SALES Raw'!D4450</f>
        <v>22838.32</v>
      </c>
      <c r="F618" s="19" t="n">
        <f aca="false">'SALES Raw'!E4450*$H$4</f>
        <v>145.263157894737</v>
      </c>
      <c r="G618" s="19" t="n">
        <f aca="false">'SALES Raw'!F4450*$H$4</f>
        <v>23300.9810526316</v>
      </c>
      <c r="H618" s="18" t="str">
        <f aca="false">'SALES Raw'!A4450</f>
        <v>301 - Amazon</v>
      </c>
    </row>
    <row r="619" customFormat="false" ht="15" hidden="false" customHeight="false" outlineLevel="0" collapsed="false">
      <c r="A619" s="18" t="str">
        <f aca="false">'SALES Raw'!G4436</f>
        <v/>
      </c>
      <c r="B619" s="18" t="str">
        <f aca="false">'SALES Raw'!B4436</f>
        <v>EC-59L L</v>
      </c>
      <c r="C619" s="18" t="str">
        <f aca="false">'SALES Raw'!H4436</f>
        <v>EC-59L L</v>
      </c>
      <c r="D619" s="19" t="n">
        <f aca="false">'SALES Raw'!C4436</f>
        <v>225</v>
      </c>
      <c r="E619" s="19" t="n">
        <f aca="false">'SALES Raw'!D4436</f>
        <v>41045.21</v>
      </c>
      <c r="F619" s="19" t="n">
        <f aca="false">'SALES Raw'!E4436*$H$4</f>
        <v>144</v>
      </c>
      <c r="G619" s="19" t="n">
        <f aca="false">'SALES Raw'!F4436*$H$4</f>
        <v>23521.2378947368</v>
      </c>
      <c r="H619" s="18" t="str">
        <f aca="false">'SALES Raw'!A4436</f>
        <v>301 - Amazon</v>
      </c>
    </row>
    <row r="620" customFormat="false" ht="15" hidden="false" customHeight="false" outlineLevel="0" collapsed="false">
      <c r="A620" s="18" t="n">
        <f aca="false">'CEMIUP0.9 Raw'!B80</f>
        <v>4408054</v>
      </c>
      <c r="B620" s="18" t="str">
        <f aca="false">'CEMIUP0.9 Raw'!C80</f>
        <v>21 XL חבק יד ארוך</v>
      </c>
      <c r="C620" s="18" t="str">
        <f aca="false">'CEMIUP0.9 Raw'!C80</f>
        <v>21 XL חבק יד ארוך</v>
      </c>
      <c r="D620" s="19" t="n">
        <f aca="false">'CEMIUP0.9 Raw'!D80</f>
        <v>250</v>
      </c>
      <c r="E620" s="19" t="n">
        <f aca="false">'CEMIUP0.9 Raw'!E80</f>
        <v>8828.631</v>
      </c>
      <c r="F620" s="19" t="n">
        <f aca="false">'CEMIUP0.9 Raw'!F80</f>
        <v>144</v>
      </c>
      <c r="G620" s="19" t="n">
        <f aca="false">'CEMIUP0.9 Raw'!G80</f>
        <v>5017.60926315789</v>
      </c>
      <c r="H620" s="18" t="str">
        <f aca="false">'CEMIUP0.9 Raw'!A80</f>
        <v>107 - Pharmacies</v>
      </c>
    </row>
    <row r="621" customFormat="false" ht="15" hidden="false" customHeight="false" outlineLevel="0" collapsed="false">
      <c r="A621" s="18" t="n">
        <f aca="false">'CEMIUP0.9 Raw'!B668</f>
        <v>4401000</v>
      </c>
      <c r="B621" s="18" t="str">
        <f aca="false">'CEMIUP0.9 Raw'!C668</f>
        <v>369  S-L אצבעון מסיליקון יחידה</v>
      </c>
      <c r="C621" s="18" t="str">
        <f aca="false">'CEMIUP0.9 Raw'!C668</f>
        <v>369  S-L אצבעון מסיליקון יחידה</v>
      </c>
      <c r="D621" s="19" t="n">
        <f aca="false">'CEMIUP0.9 Raw'!D668</f>
        <v>234</v>
      </c>
      <c r="E621" s="19" t="n">
        <f aca="false">'CEMIUP0.9 Raw'!E668</f>
        <v>3790.8</v>
      </c>
      <c r="F621" s="19" t="n">
        <f aca="false">'CEMIUP0.9 Raw'!F668</f>
        <v>144</v>
      </c>
      <c r="G621" s="19" t="n">
        <f aca="false">'CEMIUP0.9 Raw'!G668</f>
        <v>2085.50905263158</v>
      </c>
      <c r="H621" s="18" t="str">
        <f aca="false">'CEMIUP0.9 Raw'!A668</f>
        <v>113 - Kupat Holim Meuhedet</v>
      </c>
    </row>
    <row r="622" customFormat="false" ht="15" hidden="false" customHeight="false" outlineLevel="0" collapsed="false">
      <c r="A622" s="18" t="n">
        <f aca="false">'CEMIUP0.9 Raw'!B1417</f>
        <v>4411017</v>
      </c>
      <c r="B622" s="18" t="str">
        <f aca="false">'CEMIUP0.9 Raw'!C1417</f>
        <v>211L כפפות לחץ</v>
      </c>
      <c r="C622" s="18" t="str">
        <f aca="false">'CEMIUP0.9 Raw'!C1417</f>
        <v>211L כפפות לחץ</v>
      </c>
      <c r="D622" s="19" t="n">
        <f aca="false">'CEMIUP0.9 Raw'!D1417</f>
        <v>180</v>
      </c>
      <c r="E622" s="19" t="n">
        <f aca="false">'CEMIUP0.9 Raw'!E1417</f>
        <v>4653.467</v>
      </c>
      <c r="F622" s="19" t="n">
        <f aca="false">'CEMIUP0.9 Raw'!F1417</f>
        <v>142.736842105263</v>
      </c>
      <c r="G622" s="19" t="n">
        <f aca="false">'CEMIUP0.9 Raw'!G1417</f>
        <v>3793.72294736842</v>
      </c>
      <c r="H622" s="18" t="str">
        <f aca="false">'CEMIUP0.9 Raw'!A1417</f>
        <v>Super-Pharm Israel (CEMI internal group)</v>
      </c>
    </row>
    <row r="623" customFormat="false" ht="15" hidden="false" customHeight="false" outlineLevel="0" collapsed="false">
      <c r="A623" s="18" t="n">
        <f aca="false">'CEMIUP0.9 Raw'!B311</f>
        <v>4413140</v>
      </c>
      <c r="B623" s="18" t="str">
        <f aca="false">'CEMIUP0.9 Raw'!C311</f>
        <v>95 M מגן מרפק רגיל לבן</v>
      </c>
      <c r="C623" s="18" t="str">
        <f aca="false">'CEMIUP0.9 Raw'!C311</f>
        <v>95 M מגן מרפק רגיל לבן</v>
      </c>
      <c r="D623" s="19" t="n">
        <f aca="false">'CEMIUP0.9 Raw'!D311</f>
        <v>157</v>
      </c>
      <c r="E623" s="19" t="n">
        <f aca="false">'CEMIUP0.9 Raw'!E311</f>
        <v>4232.683</v>
      </c>
      <c r="F623" s="19" t="n">
        <f aca="false">'CEMIUP0.9 Raw'!F311</f>
        <v>141.473684210526</v>
      </c>
      <c r="G623" s="19" t="n">
        <f aca="false">'CEMIUP0.9 Raw'!G311</f>
        <v>3834.44210526316</v>
      </c>
      <c r="H623" s="18" t="str">
        <f aca="false">'CEMIUP0.9 Raw'!A311</f>
        <v>107 - Pharmacies</v>
      </c>
    </row>
    <row r="624" customFormat="false" ht="15" hidden="false" customHeight="false" outlineLevel="0" collapsed="false">
      <c r="A624" s="18" t="n">
        <f aca="false">'CEMIUP0.9 Raw'!B445</f>
        <v>4413501</v>
      </c>
      <c r="B624" s="18" t="str">
        <f aca="false">'CEMIUP0.9 Raw'!C445</f>
        <v>95B M מגן מרפק שחור</v>
      </c>
      <c r="C624" s="18" t="str">
        <f aca="false">'CEMIUP0.9 Raw'!C445</f>
        <v>95B M מגן מרפק שחור</v>
      </c>
      <c r="D624" s="19" t="n">
        <f aca="false">'CEMIUP0.9 Raw'!D445</f>
        <v>170</v>
      </c>
      <c r="E624" s="19" t="n">
        <f aca="false">'CEMIUP0.9 Raw'!E445</f>
        <v>4584.257</v>
      </c>
      <c r="F624" s="19" t="n">
        <f aca="false">'CEMIUP0.9 Raw'!F445</f>
        <v>141.473684210526</v>
      </c>
      <c r="G624" s="19" t="n">
        <f aca="false">'CEMIUP0.9 Raw'!G445</f>
        <v>3931.88968421053</v>
      </c>
      <c r="H624" s="18" t="str">
        <f aca="false">'CEMIUP0.9 Raw'!A445</f>
        <v>107 - Pharmacies</v>
      </c>
    </row>
    <row r="625" customFormat="false" ht="15" hidden="false" customHeight="false" outlineLevel="0" collapsed="false">
      <c r="A625" s="18" t="n">
        <f aca="false">'CEMIUP0.9 Raw'!B672</f>
        <v>4402007</v>
      </c>
      <c r="B625" s="18" t="str">
        <f aca="false">'CEMIUP0.9 Raw'!C672</f>
        <v>320 בליסטר פלסטר</v>
      </c>
      <c r="C625" s="18" t="str">
        <f aca="false">'CEMIUP0.9 Raw'!C672</f>
        <v>320 בליסטר פלסטר</v>
      </c>
      <c r="D625" s="19" t="n">
        <f aca="false">'CEMIUP0.9 Raw'!D672</f>
        <v>163</v>
      </c>
      <c r="E625" s="19" t="n">
        <f aca="false">'CEMIUP0.9 Raw'!E672</f>
        <v>2089.66</v>
      </c>
      <c r="F625" s="19" t="n">
        <f aca="false">'CEMIUP0.9 Raw'!F672</f>
        <v>141.473684210526</v>
      </c>
      <c r="G625" s="19" t="n">
        <f aca="false">'CEMIUP0.9 Raw'!G672</f>
        <v>1630.056</v>
      </c>
      <c r="H625" s="18" t="str">
        <f aca="false">'CEMIUP0.9 Raw'!A672</f>
        <v>113 - Kupat Holim Meuhedet</v>
      </c>
    </row>
    <row r="626" customFormat="false" ht="15" hidden="false" customHeight="false" outlineLevel="0" collapsed="false">
      <c r="A626" s="18" t="n">
        <f aca="false">'CEMIUP0.9 Raw'!B976</f>
        <v>4408052</v>
      </c>
      <c r="B626" s="18" t="str">
        <f aca="false">'CEMIUP0.9 Raw'!C976</f>
        <v>21 L  חבק יד ארוך</v>
      </c>
      <c r="C626" s="18" t="str">
        <f aca="false">'CEMIUP0.9 Raw'!C976</f>
        <v>21 L  חבק יד ארוך</v>
      </c>
      <c r="D626" s="19" t="n">
        <f aca="false">'CEMIUP0.9 Raw'!D976</f>
        <v>211</v>
      </c>
      <c r="E626" s="19" t="n">
        <f aca="false">'CEMIUP0.9 Raw'!E976</f>
        <v>6779.773</v>
      </c>
      <c r="F626" s="19" t="n">
        <f aca="false">'CEMIUP0.9 Raw'!F976</f>
        <v>141.473684210526</v>
      </c>
      <c r="G626" s="19" t="n">
        <f aca="false">'CEMIUP0.9 Raw'!G976</f>
        <v>4541.1107368421</v>
      </c>
      <c r="H626" s="18" t="str">
        <f aca="false">'CEMIUP0.9 Raw'!A976</f>
        <v>BE (CEMI internal group)</v>
      </c>
    </row>
    <row r="627" customFormat="false" ht="15" hidden="false" customHeight="false" outlineLevel="0" collapsed="false">
      <c r="A627" s="18" t="n">
        <f aca="false">'SALES Raw'!G3851</f>
        <v>4409016</v>
      </c>
      <c r="B627" s="18" t="str">
        <f aca="false">'SALES Raw'!B3851</f>
        <v>808KT-C</v>
      </c>
      <c r="C627" s="18" t="str">
        <f aca="false">'SALES Raw'!H3851</f>
        <v>808KT-C        טייפ קינזיולוגי</v>
      </c>
      <c r="D627" s="19" t="n">
        <f aca="false">'SALES Raw'!C3851</f>
        <v>132</v>
      </c>
      <c r="E627" s="19" t="n">
        <f aca="false">'SALES Raw'!D3851</f>
        <v>1652.51</v>
      </c>
      <c r="F627" s="19" t="n">
        <f aca="false">'SALES Raw'!E3851*$H$4</f>
        <v>140.210526315789</v>
      </c>
      <c r="G627" s="19" t="n">
        <f aca="false">'SALES Raw'!F3851*$H$4</f>
        <v>1743.00631578947</v>
      </c>
      <c r="H627" s="18" t="str">
        <f aca="false">'SALES Raw'!A3851</f>
        <v>209 - Ortoprofil Prod ROMANIA</v>
      </c>
    </row>
    <row r="628" customFormat="false" ht="15" hidden="false" customHeight="false" outlineLevel="0" collapsed="false">
      <c r="A628" s="18" t="n">
        <f aca="false">'CEMIUP0.9 Raw'!B1020</f>
        <v>4408222</v>
      </c>
      <c r="B628" s="18" t="str">
        <f aca="false">'CEMIUP0.9 Raw'!C1020</f>
        <v>078G-XLחגורת גב אפורה</v>
      </c>
      <c r="C628" s="18" t="str">
        <f aca="false">'CEMIUP0.9 Raw'!C1020</f>
        <v>078G-XLחגורת גב אפורה</v>
      </c>
      <c r="D628" s="19" t="n">
        <f aca="false">'CEMIUP0.9 Raw'!D1020</f>
        <v>97</v>
      </c>
      <c r="E628" s="19" t="n">
        <f aca="false">'CEMIUP0.9 Raw'!E1020</f>
        <v>8759.023</v>
      </c>
      <c r="F628" s="19" t="n">
        <f aca="false">'CEMIUP0.9 Raw'!F1020</f>
        <v>138.947368421053</v>
      </c>
      <c r="G628" s="19" t="n">
        <f aca="false">'CEMIUP0.9 Raw'!G1020</f>
        <v>12546.8501052632</v>
      </c>
      <c r="H628" s="18" t="str">
        <f aca="false">'CEMIUP0.9 Raw'!A1020</f>
        <v>BE (CEMI internal group)</v>
      </c>
    </row>
    <row r="629" customFormat="false" ht="15" hidden="false" customHeight="false" outlineLevel="0" collapsed="false">
      <c r="A629" s="18" t="n">
        <f aca="false">'CEMIUP0.9 Raw'!B1137</f>
        <v>4413162</v>
      </c>
      <c r="B629" s="18" t="str">
        <f aca="false">'CEMIUP0.9 Raw'!C1137</f>
        <v>34+XL מגן קרסול עקב סגור+רצוע</v>
      </c>
      <c r="C629" s="18" t="str">
        <f aca="false">'CEMIUP0.9 Raw'!C1137</f>
        <v>34+XL מגן קרסול עקב סגור+רצוע</v>
      </c>
      <c r="D629" s="19" t="n">
        <f aca="false">'CEMIUP0.9 Raw'!D1137</f>
        <v>116</v>
      </c>
      <c r="E629" s="19" t="n">
        <f aca="false">'CEMIUP0.9 Raw'!E1137</f>
        <v>6049.589</v>
      </c>
      <c r="F629" s="19" t="n">
        <f aca="false">'CEMIUP0.9 Raw'!F1137</f>
        <v>138.947368421053</v>
      </c>
      <c r="G629" s="19" t="n">
        <f aca="false">'CEMIUP0.9 Raw'!G1137</f>
        <v>7246.39705263158</v>
      </c>
      <c r="H629" s="18" t="str">
        <f aca="false">'CEMIUP0.9 Raw'!A1137</f>
        <v>BE (CEMI internal group)</v>
      </c>
    </row>
    <row r="630" customFormat="false" ht="15" hidden="false" customHeight="false" outlineLevel="0" collapsed="false">
      <c r="A630" s="18" t="n">
        <f aca="false">'SALES Raw'!G2968</f>
        <v>4413498</v>
      </c>
      <c r="B630" s="18" t="str">
        <f aca="false">'SALES Raw'!B2968</f>
        <v>45B S</v>
      </c>
      <c r="C630" s="18" t="str">
        <f aca="false">'SALES Raw'!H2968</f>
        <v>45B S מגן ברך שחור</v>
      </c>
      <c r="D630" s="19" t="n">
        <f aca="false">'SALES Raw'!C2968</f>
        <v>280</v>
      </c>
      <c r="E630" s="19" t="n">
        <f aca="false">'SALES Raw'!D2968</f>
        <v>4075.52</v>
      </c>
      <c r="F630" s="19" t="n">
        <f aca="false">'SALES Raw'!E2968*$H$4</f>
        <v>138.947368421053</v>
      </c>
      <c r="G630" s="19" t="n">
        <f aca="false">'SALES Raw'!F2968*$H$4</f>
        <v>1819.56631578947</v>
      </c>
      <c r="H630" s="18" t="str">
        <f aca="false">'SALES Raw'!A2968</f>
        <v>202 - Super-Pharm POLAND</v>
      </c>
    </row>
    <row r="631" customFormat="false" ht="15" hidden="false" customHeight="false" outlineLevel="0" collapsed="false">
      <c r="A631" s="18" t="n">
        <f aca="false">'SALES Raw'!G3019</f>
        <v>4413277</v>
      </c>
      <c r="B631" s="18" t="str">
        <f aca="false">'SALES Raw'!B3019</f>
        <v>LF377 M</v>
      </c>
      <c r="C631" s="18" t="str">
        <f aca="false">'SALES Raw'!H3019</f>
        <v>LF377 M-מדרס סיליקון לנעלי עקב</v>
      </c>
      <c r="D631" s="19" t="n">
        <f aca="false">'SALES Raw'!C3019</f>
        <v>150</v>
      </c>
      <c r="E631" s="19" t="n">
        <f aca="false">'SALES Raw'!D3019</f>
        <v>3742.11</v>
      </c>
      <c r="F631" s="19" t="n">
        <f aca="false">'SALES Raw'!E3019*$H$4</f>
        <v>138.947368421053</v>
      </c>
      <c r="G631" s="19" t="n">
        <f aca="false">'SALES Raw'!F3019*$H$4</f>
        <v>3127.66736842105</v>
      </c>
      <c r="H631" s="18" t="str">
        <f aca="false">'SALES Raw'!A3019</f>
        <v>202 - Super-Pharm POLAND</v>
      </c>
    </row>
    <row r="632" customFormat="false" ht="15" hidden="false" customHeight="false" outlineLevel="0" collapsed="false">
      <c r="A632" s="18" t="n">
        <f aca="false">'SALES Raw'!G3153</f>
        <v>4408047</v>
      </c>
      <c r="B632" s="18" t="str">
        <f aca="false">'SALES Raw'!B3153</f>
        <v>20 M</v>
      </c>
      <c r="C632" s="18" t="str">
        <f aca="false">'SALES Raw'!H3153</f>
        <v>20 M חבק יד מתכוון עם צמדן</v>
      </c>
      <c r="D632" s="19" t="n">
        <f aca="false">'SALES Raw'!C3153</f>
        <v>70</v>
      </c>
      <c r="E632" s="19" t="n">
        <f aca="false">'SALES Raw'!D3153</f>
        <v>1087.06</v>
      </c>
      <c r="F632" s="19" t="n">
        <f aca="false">'SALES Raw'!E3153*$H$4</f>
        <v>138.947368421053</v>
      </c>
      <c r="G632" s="19" t="n">
        <f aca="false">'SALES Raw'!F3153*$H$4</f>
        <v>1910.91789473684</v>
      </c>
      <c r="H632" s="18" t="str">
        <f aca="false">'SALES Raw'!A3153</f>
        <v>204 - Sanaflex Anatomic GREECE</v>
      </c>
    </row>
    <row r="633" customFormat="false" ht="15" hidden="false" customHeight="false" outlineLevel="0" collapsed="false">
      <c r="A633" s="18" t="n">
        <f aca="false">'SALES Raw'!G3231</f>
        <v>4420001</v>
      </c>
      <c r="B633" s="18" t="str">
        <f aca="false">'SALES Raw'!B3231</f>
        <v>371 0</v>
      </c>
      <c r="C633" s="18" t="str">
        <f aca="false">'SALES Raw'!H3231</f>
        <v>371 רפידת מגבת כותנה-זוג</v>
      </c>
      <c r="D633" s="19" t="n">
        <f aca="false">'SALES Raw'!C3231</f>
        <v>100</v>
      </c>
      <c r="E633" s="19" t="n">
        <f aca="false">'SALES Raw'!D3231</f>
        <v>613.89</v>
      </c>
      <c r="F633" s="19" t="n">
        <f aca="false">'SALES Raw'!E3231*$H$4</f>
        <v>138.947368421053</v>
      </c>
      <c r="G633" s="19" t="n">
        <f aca="false">'SALES Raw'!F3231*$H$4</f>
        <v>743.747368421053</v>
      </c>
      <c r="H633" s="18" t="str">
        <f aca="false">'SALES Raw'!A3231</f>
        <v>204 - Sanaflex Anatomic GREECE</v>
      </c>
    </row>
    <row r="634" customFormat="false" ht="15" hidden="false" customHeight="false" outlineLevel="0" collapsed="false">
      <c r="A634" s="18" t="str">
        <f aca="false">'SALES Raw'!G3300</f>
        <v/>
      </c>
      <c r="B634" s="18" t="str">
        <f aca="false">'SALES Raw'!B3300</f>
        <v>82 0</v>
      </c>
      <c r="C634" s="18" t="str">
        <f aca="false">'SALES Raw'!H3300</f>
        <v>82 0</v>
      </c>
      <c r="D634" s="19" t="n">
        <f aca="false">'SALES Raw'!C3300</f>
        <v>170</v>
      </c>
      <c r="E634" s="19" t="n">
        <f aca="false">'SALES Raw'!D3300</f>
        <v>4725.51</v>
      </c>
      <c r="F634" s="19" t="n">
        <f aca="false">'SALES Raw'!E3300*$H$4</f>
        <v>138.947368421053</v>
      </c>
      <c r="G634" s="19" t="n">
        <f aca="false">'SALES Raw'!F3300*$H$4</f>
        <v>3383.63368421053</v>
      </c>
      <c r="H634" s="18" t="str">
        <f aca="false">'SALES Raw'!A3300</f>
        <v>204 - Sanaflex Anatomic GREECE</v>
      </c>
    </row>
    <row r="635" customFormat="false" ht="15" hidden="false" customHeight="false" outlineLevel="0" collapsed="false">
      <c r="A635" s="18" t="n">
        <f aca="false">'SALES Raw'!G4065</f>
        <v>4415177</v>
      </c>
      <c r="B635" s="18" t="str">
        <f aca="false">'SALES Raw'!B4065</f>
        <v>ST28 0</v>
      </c>
      <c r="C635" s="18" t="str">
        <f aca="false">'SALES Raw'!H4065</f>
        <v>ST28 סד אגודלי עם מוט תמיכה</v>
      </c>
      <c r="D635" s="19" t="n">
        <f aca="false">'SALES Raw'!C4065</f>
        <v>85</v>
      </c>
      <c r="E635" s="19" t="n">
        <f aca="false">'SALES Raw'!D4065</f>
        <v>1492.33</v>
      </c>
      <c r="F635" s="19" t="n">
        <f aca="false">'SALES Raw'!E4065*$H$4</f>
        <v>138.947368421053</v>
      </c>
      <c r="G635" s="19" t="n">
        <f aca="false">'SALES Raw'!F4065*$H$4</f>
        <v>2144.62736842105</v>
      </c>
      <c r="H635" s="18" t="str">
        <f aca="false">'SALES Raw'!A4065</f>
        <v>211 - Pharmag Lachmair Ges. Mbh AUSTRIA</v>
      </c>
    </row>
    <row r="636" customFormat="false" ht="15" hidden="false" customHeight="false" outlineLevel="0" collapsed="false">
      <c r="A636" s="18" t="n">
        <f aca="false">'SALES Raw'!G601</f>
        <v>4413198</v>
      </c>
      <c r="B636" s="18" t="str">
        <f aca="false">'SALES Raw'!B601</f>
        <v>87 XL</v>
      </c>
      <c r="C636" s="18" t="str">
        <f aca="false">'SALES Raw'!H601</f>
        <v>87 XL מקבע כתף ויד</v>
      </c>
      <c r="D636" s="19" t="n">
        <f aca="false">'SALES Raw'!C601</f>
        <v>136</v>
      </c>
      <c r="E636" s="19" t="n">
        <f aca="false">'SALES Raw'!D601</f>
        <v>18501.11</v>
      </c>
      <c r="F636" s="19" t="n">
        <f aca="false">'SALES Raw'!E601*$H$4</f>
        <v>137.684210526316</v>
      </c>
      <c r="G636" s="19" t="n">
        <f aca="false">'SALES Raw'!F601*$H$4</f>
        <v>19275.9789473684</v>
      </c>
      <c r="H636" s="18" t="str">
        <f aca="false">'SALES Raw'!A601</f>
        <v>102 - Orthopedic institutes</v>
      </c>
    </row>
    <row r="637" customFormat="false" ht="15" hidden="false" customHeight="false" outlineLevel="0" collapsed="false">
      <c r="A637" s="18" t="n">
        <f aca="false">'SALES Raw'!G2292</f>
        <v>4421008</v>
      </c>
      <c r="B637" s="18" t="str">
        <f aca="false">'SALES Raw'!B2292</f>
        <v>351 0</v>
      </c>
      <c r="C637" s="18" t="str">
        <f aca="false">'SALES Raw'!H2292</f>
        <v>שרוול לגבס ארוך רגל</v>
      </c>
      <c r="D637" s="19" t="n">
        <f aca="false">'SALES Raw'!C2292</f>
        <v>29</v>
      </c>
      <c r="E637" s="19" t="n">
        <f aca="false">'SALES Raw'!D2292</f>
        <v>2300.87</v>
      </c>
      <c r="F637" s="19" t="n">
        <f aca="false">'SALES Raw'!E2292*$H$4</f>
        <v>137.684210526316</v>
      </c>
      <c r="G637" s="19" t="n">
        <f aca="false">'SALES Raw'!F2292*$H$4</f>
        <v>11351.6336842105</v>
      </c>
      <c r="H637" s="18" t="str">
        <f aca="false">'SALES Raw'!A2292</f>
        <v>114 - IL online</v>
      </c>
    </row>
    <row r="638" customFormat="false" ht="15" hidden="false" customHeight="false" outlineLevel="0" collapsed="false">
      <c r="A638" s="18" t="str">
        <f aca="false">'SALES Raw'!G4398</f>
        <v/>
      </c>
      <c r="B638" s="18" t="str">
        <f aca="false">'SALES Raw'!B4398</f>
        <v>EC-11STO L</v>
      </c>
      <c r="C638" s="18" t="str">
        <f aca="false">'SALES Raw'!H4398</f>
        <v>EC-11STO L</v>
      </c>
      <c r="D638" s="19" t="n">
        <f aca="false">'SALES Raw'!C4398</f>
        <v>177</v>
      </c>
      <c r="E638" s="19" t="n">
        <f aca="false">'SALES Raw'!D4398</f>
        <v>24684.59</v>
      </c>
      <c r="F638" s="19" t="n">
        <f aca="false">'SALES Raw'!E4398*$H$4</f>
        <v>137.684210526316</v>
      </c>
      <c r="G638" s="19" t="n">
        <f aca="false">'SALES Raw'!F4398*$H$4</f>
        <v>18322.8252631579</v>
      </c>
      <c r="H638" s="18" t="str">
        <f aca="false">'SALES Raw'!A4398</f>
        <v>301 - Amazon</v>
      </c>
    </row>
    <row r="639" customFormat="false" ht="15" hidden="false" customHeight="false" outlineLevel="0" collapsed="false">
      <c r="A639" s="18" t="n">
        <f aca="false">'CEMIUP0.9 Raw'!B733</f>
        <v>4408222</v>
      </c>
      <c r="B639" s="18" t="str">
        <f aca="false">'CEMIUP0.9 Raw'!C733</f>
        <v>078G-XLחגורת גב אפורה</v>
      </c>
      <c r="C639" s="18" t="str">
        <f aca="false">'CEMIUP0.9 Raw'!C733</f>
        <v>078G-XLחגורת גב אפורה</v>
      </c>
      <c r="D639" s="19" t="n">
        <f aca="false">'CEMIUP0.9 Raw'!D733</f>
        <v>279</v>
      </c>
      <c r="E639" s="19" t="n">
        <f aca="false">'CEMIUP0.9 Raw'!E733</f>
        <v>18135</v>
      </c>
      <c r="F639" s="19" t="n">
        <f aca="false">'CEMIUP0.9 Raw'!F733</f>
        <v>136.421052631579</v>
      </c>
      <c r="G639" s="19" t="n">
        <f aca="false">'CEMIUP0.9 Raw'!G733</f>
        <v>8698.68631578947</v>
      </c>
      <c r="H639" s="18" t="str">
        <f aca="false">'CEMIUP0.9 Raw'!A733</f>
        <v>113 - Kupat Holim Meuhedet</v>
      </c>
    </row>
    <row r="640" customFormat="false" ht="15" hidden="false" customHeight="false" outlineLevel="0" collapsed="false">
      <c r="A640" s="18" t="n">
        <f aca="false">'CEMIUP0.9 Raw'!B1352</f>
        <v>4408094</v>
      </c>
      <c r="B640" s="18" t="str">
        <f aca="false">'CEMIUP0.9 Raw'!C1352</f>
        <v>T20 S-M חבק יד עם צמדן</v>
      </c>
      <c r="C640" s="18" t="str">
        <f aca="false">'CEMIUP0.9 Raw'!C1352</f>
        <v>T20 S-M חבק יד עם צמדן</v>
      </c>
      <c r="D640" s="19" t="n">
        <f aca="false">'CEMIUP0.9 Raw'!D1352</f>
        <v>187</v>
      </c>
      <c r="E640" s="19" t="n">
        <f aca="false">'CEMIUP0.9 Raw'!E1352</f>
        <v>5414.318</v>
      </c>
      <c r="F640" s="19" t="n">
        <f aca="false">'CEMIUP0.9 Raw'!F1352</f>
        <v>136.421052631579</v>
      </c>
      <c r="G640" s="19" t="n">
        <f aca="false">'CEMIUP0.9 Raw'!G1352</f>
        <v>3907.29094736842</v>
      </c>
      <c r="H640" s="18" t="str">
        <f aca="false">'CEMIUP0.9 Raw'!A1352</f>
        <v>Super-Pharm Israel (CEMI internal group)</v>
      </c>
    </row>
    <row r="641" customFormat="false" ht="15" hidden="false" customHeight="false" outlineLevel="0" collapsed="false">
      <c r="A641" s="18" t="n">
        <f aca="false">'SALES Raw'!G2566</f>
        <v>4408266</v>
      </c>
      <c r="B641" s="18" t="str">
        <f aca="false">'SALES Raw'!B2566</f>
        <v>91B 0</v>
      </c>
      <c r="C641" s="18" t="str">
        <f aca="false">'SALES Raw'!H2566</f>
        <v>91B חבק טניס אלבו</v>
      </c>
      <c r="D641" s="19" t="n">
        <f aca="false">'SALES Raw'!C2566</f>
        <v>90</v>
      </c>
      <c r="E641" s="19" t="n">
        <f aca="false">'SALES Raw'!D2566</f>
        <v>12488.58</v>
      </c>
      <c r="F641" s="19" t="n">
        <f aca="false">'SALES Raw'!E2566*$H$4</f>
        <v>136.421052631579</v>
      </c>
      <c r="G641" s="19" t="n">
        <f aca="false">'SALES Raw'!F2566*$H$4</f>
        <v>19672.0673684211</v>
      </c>
      <c r="H641" s="18" t="str">
        <f aca="false">'SALES Raw'!A2566</f>
        <v>114 - IL online</v>
      </c>
    </row>
    <row r="642" customFormat="false" ht="15" hidden="false" customHeight="false" outlineLevel="0" collapsed="false">
      <c r="A642" s="18" t="n">
        <f aca="false">'SALES Raw'!G600</f>
        <v>4413196</v>
      </c>
      <c r="B642" s="18" t="str">
        <f aca="false">'SALES Raw'!B600</f>
        <v>87 M</v>
      </c>
      <c r="C642" s="18" t="str">
        <f aca="false">'SALES Raw'!H600</f>
        <v>87 M מקבע כתף ויד</v>
      </c>
      <c r="D642" s="19" t="n">
        <f aca="false">'SALES Raw'!C600</f>
        <v>178</v>
      </c>
      <c r="E642" s="19" t="n">
        <f aca="false">'SALES Raw'!D600</f>
        <v>24223.45</v>
      </c>
      <c r="F642" s="19" t="n">
        <f aca="false">'SALES Raw'!E600*$H$4</f>
        <v>135.157894736842</v>
      </c>
      <c r="G642" s="19" t="n">
        <f aca="false">'SALES Raw'!F600*$H$4</f>
        <v>18922.3957894737</v>
      </c>
      <c r="H642" s="18" t="str">
        <f aca="false">'SALES Raw'!A600</f>
        <v>102 - Orthopedic institutes</v>
      </c>
    </row>
    <row r="643" customFormat="false" ht="15" hidden="false" customHeight="false" outlineLevel="0" collapsed="false">
      <c r="A643" s="18" t="n">
        <f aca="false">'SALES Raw'!G3529</f>
        <v>4413049</v>
      </c>
      <c r="B643" s="18" t="str">
        <f aca="false">'SALES Raw'!B3529</f>
        <v>35 M</v>
      </c>
      <c r="C643" s="18" t="str">
        <f aca="false">'SALES Raw'!H3529</f>
        <v>35 M מגן קרסול לבן</v>
      </c>
      <c r="D643" s="19" t="n">
        <f aca="false">'SALES Raw'!C3529</f>
        <v>150</v>
      </c>
      <c r="E643" s="19" t="n">
        <f aca="false">'SALES Raw'!D3529</f>
        <v>1589.86</v>
      </c>
      <c r="F643" s="19" t="n">
        <f aca="false">'SALES Raw'!E3529*$H$4</f>
        <v>135.157894736842</v>
      </c>
      <c r="G643" s="19" t="n">
        <f aca="false">'SALES Raw'!F3529*$H$4</f>
        <v>1373.39368421053</v>
      </c>
      <c r="H643" s="18" t="str">
        <f aca="false">'SALES Raw'!A3529</f>
        <v>207 - Salus HUNGARY</v>
      </c>
    </row>
    <row r="644" customFormat="false" ht="15" hidden="false" customHeight="false" outlineLevel="0" collapsed="false">
      <c r="A644" s="18" t="n">
        <f aca="false">'SALES Raw'!G3778</f>
        <v>4408263</v>
      </c>
      <c r="B644" s="18" t="str">
        <f aca="false">'SALES Raw'!B3778</f>
        <v>11STO XXL</v>
      </c>
      <c r="C644" s="18" t="str">
        <f aca="false">'SALES Raw'!H3778</f>
        <v>11STO XXL חגורה אחרי ניתוח</v>
      </c>
      <c r="D644" s="19" t="n">
        <f aca="false">'SALES Raw'!C3778</f>
        <v>227</v>
      </c>
      <c r="E644" s="19" t="n">
        <f aca="false">'SALES Raw'!D3778</f>
        <v>13992.86</v>
      </c>
      <c r="F644" s="19" t="n">
        <f aca="false">'SALES Raw'!E3778*$H$4</f>
        <v>135.157894736842</v>
      </c>
      <c r="G644" s="19" t="n">
        <f aca="false">'SALES Raw'!F3778*$H$4</f>
        <v>8426.33684210526</v>
      </c>
      <c r="H644" s="18" t="str">
        <f aca="false">'SALES Raw'!A3778</f>
        <v>209 - Ortoprofil Prod ROMANIA</v>
      </c>
    </row>
    <row r="645" customFormat="false" ht="15" hidden="false" customHeight="false" outlineLevel="0" collapsed="false">
      <c r="A645" s="18" t="n">
        <f aca="false">'CEMIUP0.9 Raw'!B270</f>
        <v>4413097</v>
      </c>
      <c r="B645" s="18" t="str">
        <f aca="false">'CEMIUP0.9 Raw'!C270</f>
        <v>45C S מגן ברך חום</v>
      </c>
      <c r="C645" s="18" t="str">
        <f aca="false">'CEMIUP0.9 Raw'!C270</f>
        <v>45C S מגן ברך חום</v>
      </c>
      <c r="D645" s="19" t="n">
        <f aca="false">'CEMIUP0.9 Raw'!D270</f>
        <v>163</v>
      </c>
      <c r="E645" s="19" t="n">
        <f aca="false">'CEMIUP0.9 Raw'!E270</f>
        <v>4465.302</v>
      </c>
      <c r="F645" s="19" t="n">
        <f aca="false">'CEMIUP0.9 Raw'!F270</f>
        <v>135.157894736842</v>
      </c>
      <c r="G645" s="19" t="n">
        <f aca="false">'CEMIUP0.9 Raw'!G270</f>
        <v>3740.82442105263</v>
      </c>
      <c r="H645" s="18" t="str">
        <f aca="false">'CEMIUP0.9 Raw'!A270</f>
        <v>107 - Pharmacies</v>
      </c>
    </row>
    <row r="646" customFormat="false" ht="15" hidden="false" customHeight="false" outlineLevel="0" collapsed="false">
      <c r="A646" s="18" t="n">
        <f aca="false">'CEMIUP0.9 Raw'!B1231</f>
        <v>4416000</v>
      </c>
      <c r="B646" s="18" t="str">
        <f aca="false">'CEMIUP0.9 Raw'!C1231</f>
        <v>307 L עקבים לדורבן-זוג כריות</v>
      </c>
      <c r="C646" s="18" t="str">
        <f aca="false">'CEMIUP0.9 Raw'!C1231</f>
        <v>307 L עקבים לדורבן-זוג כריות</v>
      </c>
      <c r="D646" s="19" t="n">
        <f aca="false">'CEMIUP0.9 Raw'!D1231</f>
        <v>85</v>
      </c>
      <c r="E646" s="19" t="n">
        <f aca="false">'CEMIUP0.9 Raw'!E1231</f>
        <v>6776.952</v>
      </c>
      <c r="F646" s="19" t="n">
        <f aca="false">'CEMIUP0.9 Raw'!F1231</f>
        <v>135.157894736842</v>
      </c>
      <c r="G646" s="19" t="n">
        <f aca="false">'CEMIUP0.9 Raw'!G1231</f>
        <v>10804.0181052632</v>
      </c>
      <c r="H646" s="18" t="str">
        <f aca="false">'CEMIUP0.9 Raw'!A1231</f>
        <v>BE (CEMI internal group)</v>
      </c>
    </row>
    <row r="647" customFormat="false" ht="15" hidden="false" customHeight="false" outlineLevel="0" collapsed="false">
      <c r="A647" s="18" t="n">
        <f aca="false">'CEMIUP0.9 Raw'!B702</f>
        <v>4408051</v>
      </c>
      <c r="B647" s="18" t="str">
        <f aca="false">'CEMIUP0.9 Raw'!C702</f>
        <v>21 S  חבק יד ארוך</v>
      </c>
      <c r="C647" s="18" t="str">
        <f aca="false">'CEMIUP0.9 Raw'!C702</f>
        <v>21 S  חבק יד ארוך</v>
      </c>
      <c r="D647" s="19" t="n">
        <f aca="false">'CEMIUP0.9 Raw'!D702</f>
        <v>181</v>
      </c>
      <c r="E647" s="19" t="n">
        <f aca="false">'CEMIUP0.9 Raw'!E702</f>
        <v>4421.83</v>
      </c>
      <c r="F647" s="19" t="n">
        <f aca="false">'CEMIUP0.9 Raw'!F702</f>
        <v>133.894736842105</v>
      </c>
      <c r="G647" s="19" t="n">
        <f aca="false">'CEMIUP0.9 Raw'!G702</f>
        <v>3021.65684210526</v>
      </c>
      <c r="H647" s="18" t="str">
        <f aca="false">'CEMIUP0.9 Raw'!A702</f>
        <v>113 - Kupat Holim Meuhedet</v>
      </c>
    </row>
    <row r="648" customFormat="false" ht="15" hidden="false" customHeight="false" outlineLevel="0" collapsed="false">
      <c r="A648" s="18" t="n">
        <f aca="false">'CEMIUP0.9 Raw'!B834</f>
        <v>4413307</v>
      </c>
      <c r="B648" s="18" t="str">
        <f aca="false">'CEMIUP0.9 Raw'!C834</f>
        <v>URI 3667 מגן בוניון</v>
      </c>
      <c r="C648" s="18" t="str">
        <f aca="false">'CEMIUP0.9 Raw'!C834</f>
        <v>URI 3667 מגן בוניון</v>
      </c>
      <c r="D648" s="19" t="n">
        <f aca="false">'CEMIUP0.9 Raw'!D834</f>
        <v>127</v>
      </c>
      <c r="E648" s="19" t="n">
        <f aca="false">'CEMIUP0.9 Raw'!E834</f>
        <v>2693.67</v>
      </c>
      <c r="F648" s="19" t="n">
        <f aca="false">'CEMIUP0.9 Raw'!F834</f>
        <v>133.894736842105</v>
      </c>
      <c r="G648" s="19" t="n">
        <f aca="false">'CEMIUP0.9 Raw'!G834</f>
        <v>2629.46526315789</v>
      </c>
      <c r="H648" s="18" t="str">
        <f aca="false">'CEMIUP0.9 Raw'!A834</f>
        <v>113 - Kupat Holim Meuhedet</v>
      </c>
    </row>
    <row r="649" customFormat="false" ht="15" hidden="false" customHeight="false" outlineLevel="0" collapsed="false">
      <c r="A649" s="18" t="n">
        <f aca="false">'CEMIUP0.9 Raw'!B1058</f>
        <v>4413041</v>
      </c>
      <c r="B649" s="18" t="str">
        <f aca="false">'CEMIUP0.9 Raw'!C1058</f>
        <v>34  M מגן קרסול עקב סגור</v>
      </c>
      <c r="C649" s="18" t="str">
        <f aca="false">'CEMIUP0.9 Raw'!C1058</f>
        <v>34  M מגן קרסול עקב סגור</v>
      </c>
      <c r="D649" s="19" t="n">
        <f aca="false">'CEMIUP0.9 Raw'!D1058</f>
        <v>201</v>
      </c>
      <c r="E649" s="19" t="n">
        <f aca="false">'CEMIUP0.9 Raw'!E1058</f>
        <v>7407.855</v>
      </c>
      <c r="F649" s="19" t="n">
        <f aca="false">'CEMIUP0.9 Raw'!F1058</f>
        <v>133.894736842105</v>
      </c>
      <c r="G649" s="19" t="n">
        <f aca="false">'CEMIUP0.9 Raw'!G1058</f>
        <v>4934.69052631579</v>
      </c>
      <c r="H649" s="18" t="str">
        <f aca="false">'CEMIUP0.9 Raw'!A1058</f>
        <v>BE (CEMI internal group)</v>
      </c>
    </row>
    <row r="650" customFormat="false" ht="15" hidden="false" customHeight="false" outlineLevel="0" collapsed="false">
      <c r="A650" s="18" t="n">
        <f aca="false">'SALES Raw'!G234</f>
        <v>4422035</v>
      </c>
      <c r="B650" s="18" t="str">
        <f aca="false">'SALES Raw'!B234</f>
        <v>FC333 0</v>
      </c>
      <c r="C650" s="18" t="str">
        <f aca="false">'SALES Raw'!H234</f>
        <v>FCתרסיס דאודורנט אנטיבק.נעל333</v>
      </c>
      <c r="D650" s="19" t="n">
        <f aca="false">'SALES Raw'!C234</f>
        <v>312</v>
      </c>
      <c r="E650" s="19" t="n">
        <f aca="false">'SALES Raw'!D234</f>
        <v>8797.86</v>
      </c>
      <c r="F650" s="19" t="n">
        <f aca="false">'SALES Raw'!E234*$H$4</f>
        <v>132.631578947368</v>
      </c>
      <c r="G650" s="19" t="n">
        <f aca="false">'SALES Raw'!F234*$H$4</f>
        <v>2861.11578947368</v>
      </c>
      <c r="H650" s="18" t="str">
        <f aca="false">'SALES Raw'!A234</f>
        <v>101 - Factory customers</v>
      </c>
    </row>
    <row r="651" customFormat="false" ht="15" hidden="false" customHeight="false" outlineLevel="0" collapsed="false">
      <c r="A651" s="18" t="n">
        <f aca="false">'SALES Raw'!G3261</f>
        <v>4413496</v>
      </c>
      <c r="B651" s="18" t="str">
        <f aca="false">'SALES Raw'!B3261</f>
        <v>45B XL</v>
      </c>
      <c r="C651" s="18" t="str">
        <f aca="false">'SALES Raw'!H3261</f>
        <v>45B XL מגן ברך שחור</v>
      </c>
      <c r="D651" s="19" t="n">
        <f aca="false">'SALES Raw'!C3261</f>
        <v>200</v>
      </c>
      <c r="E651" s="19" t="n">
        <f aca="false">'SALES Raw'!D3261</f>
        <v>2210.76</v>
      </c>
      <c r="F651" s="19" t="n">
        <f aca="false">'SALES Raw'!E3261*$H$4</f>
        <v>132.631578947368</v>
      </c>
      <c r="G651" s="19" t="n">
        <f aca="false">'SALES Raw'!F3261*$H$4</f>
        <v>1315.03578947368</v>
      </c>
      <c r="H651" s="18" t="str">
        <f aca="false">'SALES Raw'!A3261</f>
        <v>204 - Sanaflex Anatomic GREECE</v>
      </c>
    </row>
    <row r="652" customFormat="false" ht="15" hidden="false" customHeight="false" outlineLevel="0" collapsed="false">
      <c r="A652" s="18" t="n">
        <f aca="false">'SALES Raw'!G4105</f>
        <v>4408270</v>
      </c>
      <c r="B652" s="18" t="str">
        <f aca="false">'SALES Raw'!B4105</f>
        <v>ST11 0</v>
      </c>
      <c r="C652" s="18" t="str">
        <f aca="false">'SALES Raw'!H4105</f>
        <v>ST11  חגורת בטן</v>
      </c>
      <c r="D652" s="19" t="n">
        <f aca="false">'SALES Raw'!C4105</f>
        <v>100</v>
      </c>
      <c r="E652" s="19" t="n">
        <f aca="false">'SALES Raw'!D4105</f>
        <v>2591.44</v>
      </c>
      <c r="F652" s="19" t="n">
        <f aca="false">'SALES Raw'!E4105*$H$4</f>
        <v>132.631578947368</v>
      </c>
      <c r="G652" s="19" t="n">
        <f aca="false">'SALES Raw'!F4105*$H$4</f>
        <v>3191.0652631579</v>
      </c>
      <c r="H652" s="18" t="str">
        <f aca="false">'SALES Raw'!A4105</f>
        <v>213 - E.f.m.o. SPAIN</v>
      </c>
    </row>
    <row r="653" customFormat="false" ht="15" hidden="false" customHeight="false" outlineLevel="0" collapsed="false">
      <c r="A653" s="18" t="n">
        <f aca="false">'CEMIUP0.9 Raw'!B73</f>
        <v>4408047</v>
      </c>
      <c r="B653" s="18" t="str">
        <f aca="false">'CEMIUP0.9 Raw'!C73</f>
        <v>20 M חבק יד מתכוון עם צמדן</v>
      </c>
      <c r="C653" s="18" t="str">
        <f aca="false">'CEMIUP0.9 Raw'!C73</f>
        <v>20 M חבק יד מתכוון עם צמדן</v>
      </c>
      <c r="D653" s="19" t="n">
        <f aca="false">'CEMIUP0.9 Raw'!D73</f>
        <v>198</v>
      </c>
      <c r="E653" s="19" t="n">
        <f aca="false">'CEMIUP0.9 Raw'!E73</f>
        <v>5869.41</v>
      </c>
      <c r="F653" s="19" t="n">
        <f aca="false">'CEMIUP0.9 Raw'!F73</f>
        <v>132.631578947368</v>
      </c>
      <c r="G653" s="19" t="n">
        <f aca="false">'CEMIUP0.9 Raw'!G73</f>
        <v>3937.368</v>
      </c>
      <c r="H653" s="18" t="str">
        <f aca="false">'CEMIUP0.9 Raw'!A73</f>
        <v>107 - Pharmacies</v>
      </c>
    </row>
    <row r="654" customFormat="false" ht="15" hidden="false" customHeight="false" outlineLevel="0" collapsed="false">
      <c r="A654" s="18" t="n">
        <f aca="false">'CEMIUP0.9 Raw'!B229</f>
        <v>4413041</v>
      </c>
      <c r="B654" s="18" t="str">
        <f aca="false">'CEMIUP0.9 Raw'!C229</f>
        <v>34  M מגן קרסול עקב סגור</v>
      </c>
      <c r="C654" s="18" t="str">
        <f aca="false">'CEMIUP0.9 Raw'!C229</f>
        <v>34  M מגן קרסול עקב סגור</v>
      </c>
      <c r="D654" s="19" t="n">
        <f aca="false">'CEMIUP0.9 Raw'!D229</f>
        <v>207</v>
      </c>
      <c r="E654" s="19" t="n">
        <f aca="false">'CEMIUP0.9 Raw'!E229</f>
        <v>8357.579</v>
      </c>
      <c r="F654" s="19" t="n">
        <f aca="false">'CEMIUP0.9 Raw'!F229</f>
        <v>132.631578947368</v>
      </c>
      <c r="G654" s="19" t="n">
        <f aca="false">'CEMIUP0.9 Raw'!G229</f>
        <v>5486.18273684211</v>
      </c>
      <c r="H654" s="18" t="str">
        <f aca="false">'CEMIUP0.9 Raw'!A229</f>
        <v>107 - Pharmacies</v>
      </c>
    </row>
    <row r="655" customFormat="false" ht="15" hidden="false" customHeight="false" outlineLevel="0" collapsed="false">
      <c r="A655" s="18" t="n">
        <f aca="false">'CEMIUP0.9 Raw'!B673</f>
        <v>4402011</v>
      </c>
      <c r="B655" s="18" t="str">
        <f aca="false">'CEMIUP0.9 Raw'!C673</f>
        <v>S-XLST422 מגן ברך+כרית ג'ל</v>
      </c>
      <c r="C655" s="18" t="str">
        <f aca="false">'CEMIUP0.9 Raw'!C673</f>
        <v>S-XLST422 מגן ברך+כרית ג'ל</v>
      </c>
      <c r="D655" s="19" t="n">
        <f aca="false">'CEMIUP0.9 Raw'!D673</f>
        <v>145</v>
      </c>
      <c r="E655" s="19" t="n">
        <f aca="false">'CEMIUP0.9 Raw'!E673</f>
        <v>7757.5</v>
      </c>
      <c r="F655" s="19" t="n">
        <f aca="false">'CEMIUP0.9 Raw'!F673</f>
        <v>132.631578947368</v>
      </c>
      <c r="G655" s="19" t="n">
        <f aca="false">'CEMIUP0.9 Raw'!G673</f>
        <v>6616.79494736842</v>
      </c>
      <c r="H655" s="18" t="str">
        <f aca="false">'CEMIUP0.9 Raw'!A673</f>
        <v>113 - Kupat Holim Meuhedet</v>
      </c>
    </row>
    <row r="656" customFormat="false" ht="15" hidden="false" customHeight="false" outlineLevel="0" collapsed="false">
      <c r="A656" s="18" t="n">
        <f aca="false">'CEMIUP0.9 Raw'!B1042</f>
        <v>4411000</v>
      </c>
      <c r="B656" s="18" t="str">
        <f aca="false">'CEMIUP0.9 Raw'!C1042</f>
        <v>כרית מטטרזלי סיליקון362</v>
      </c>
      <c r="C656" s="18" t="str">
        <f aca="false">'CEMIUP0.9 Raw'!C1042</f>
        <v>כרית מטטרזלי סיליקון362</v>
      </c>
      <c r="D656" s="19" t="n">
        <f aca="false">'CEMIUP0.9 Raw'!D1042</f>
        <v>155</v>
      </c>
      <c r="E656" s="19" t="n">
        <f aca="false">'CEMIUP0.9 Raw'!E1042</f>
        <v>3530.527</v>
      </c>
      <c r="F656" s="19" t="n">
        <f aca="false">'CEMIUP0.9 Raw'!F1042</f>
        <v>132.631578947368</v>
      </c>
      <c r="G656" s="19" t="n">
        <f aca="false">'CEMIUP0.9 Raw'!G1042</f>
        <v>3021.16168421053</v>
      </c>
      <c r="H656" s="18" t="str">
        <f aca="false">'CEMIUP0.9 Raw'!A1042</f>
        <v>BE (CEMI internal group)</v>
      </c>
    </row>
    <row r="657" customFormat="false" ht="15" hidden="false" customHeight="false" outlineLevel="0" collapsed="false">
      <c r="A657" s="18" t="n">
        <f aca="false">'CEMIUP0.9 Raw'!B1524</f>
        <v>4413157</v>
      </c>
      <c r="B657" s="18" t="str">
        <f aca="false">'CEMIUP0.9 Raw'!C1524</f>
        <v>305GA מדרס אורטופ.מתכוון43-44</v>
      </c>
      <c r="C657" s="18" t="str">
        <f aca="false">'CEMIUP0.9 Raw'!C1524</f>
        <v>305GA מדרס אורטופ.מתכוון43-44</v>
      </c>
      <c r="D657" s="19" t="n">
        <f aca="false">'CEMIUP0.9 Raw'!D1524</f>
        <v>226</v>
      </c>
      <c r="E657" s="19" t="n">
        <f aca="false">'CEMIUP0.9 Raw'!E1524</f>
        <v>13356.434</v>
      </c>
      <c r="F657" s="19" t="n">
        <f aca="false">'CEMIUP0.9 Raw'!F1524</f>
        <v>132.631578947368</v>
      </c>
      <c r="G657" s="19" t="n">
        <f aca="false">'CEMIUP0.9 Raw'!G1524</f>
        <v>7824.23747368421</v>
      </c>
      <c r="H657" s="18" t="str">
        <f aca="false">'CEMIUP0.9 Raw'!A1524</f>
        <v>Super-Pharm Israel (CEMI internal group)</v>
      </c>
    </row>
    <row r="658" customFormat="false" ht="15" hidden="false" customHeight="false" outlineLevel="0" collapsed="false">
      <c r="A658" s="18" t="n">
        <f aca="false">'CEMIUP0.9 Raw'!B1544</f>
        <v>4413196</v>
      </c>
      <c r="B658" s="18" t="str">
        <f aca="false">'CEMIUP0.9 Raw'!C1544</f>
        <v>87 M מקבע כתף ויד</v>
      </c>
      <c r="C658" s="18" t="str">
        <f aca="false">'CEMIUP0.9 Raw'!C1544</f>
        <v>87 M מקבע כתף ויד</v>
      </c>
      <c r="D658" s="19" t="n">
        <f aca="false">'CEMIUP0.9 Raw'!D1544</f>
        <v>130</v>
      </c>
      <c r="E658" s="19" t="n">
        <f aca="false">'CEMIUP0.9 Raw'!E1544</f>
        <v>19009.627</v>
      </c>
      <c r="F658" s="19" t="n">
        <f aca="false">'CEMIUP0.9 Raw'!F1544</f>
        <v>132.631578947368</v>
      </c>
      <c r="G658" s="19" t="n">
        <f aca="false">'CEMIUP0.9 Raw'!G1544</f>
        <v>19496.7978947368</v>
      </c>
      <c r="H658" s="18" t="str">
        <f aca="false">'CEMIUP0.9 Raw'!A1544</f>
        <v>Super-Pharm Israel (CEMI internal group)</v>
      </c>
    </row>
    <row r="659" customFormat="false" ht="15" hidden="false" customHeight="false" outlineLevel="0" collapsed="false">
      <c r="A659" s="18" t="n">
        <f aca="false">'SALES Raw'!G3061</f>
        <v>4415161</v>
      </c>
      <c r="B659" s="18" t="str">
        <f aca="false">'SALES Raw'!B3061</f>
        <v>238 M</v>
      </c>
      <c r="C659" s="18" t="str">
        <f aca="false">'SALES Raw'!H3061</f>
        <v>238M סד ליישור אצבע</v>
      </c>
      <c r="D659" s="19" t="n">
        <f aca="false">'SALES Raw'!C3061</f>
        <v>132</v>
      </c>
      <c r="E659" s="19" t="n">
        <f aca="false">'SALES Raw'!D3061</f>
        <v>1082.3</v>
      </c>
      <c r="F659" s="19" t="n">
        <f aca="false">'SALES Raw'!E3061*$H$4</f>
        <v>131.368421052632</v>
      </c>
      <c r="G659" s="19" t="n">
        <f aca="false">'SALES Raw'!F3061*$H$4</f>
        <v>1009.38947368421</v>
      </c>
      <c r="H659" s="18" t="str">
        <f aca="false">'SALES Raw'!A3061</f>
        <v>203 - Ortho- Partner ag SWITZERLAND</v>
      </c>
    </row>
    <row r="660" customFormat="false" ht="15" hidden="false" customHeight="false" outlineLevel="0" collapsed="false">
      <c r="A660" s="18" t="n">
        <f aca="false">'CEMIUP0.9 Raw'!B729</f>
        <v>4408218</v>
      </c>
      <c r="B660" s="18" t="str">
        <f aca="false">'CEMIUP0.9 Raw'!C729</f>
        <v>078XL חגורת גב +סגירה כפולה</v>
      </c>
      <c r="C660" s="18" t="str">
        <f aca="false">'CEMIUP0.9 Raw'!C729</f>
        <v>078XL חגורת גב +סגירה כפולה</v>
      </c>
      <c r="D660" s="19" t="n">
        <f aca="false">'CEMIUP0.9 Raw'!D729</f>
        <v>115</v>
      </c>
      <c r="E660" s="19" t="n">
        <f aca="false">'CEMIUP0.9 Raw'!E729</f>
        <v>7475</v>
      </c>
      <c r="F660" s="19" t="n">
        <f aca="false">'CEMIUP0.9 Raw'!F729</f>
        <v>130.105263157895</v>
      </c>
      <c r="G660" s="19" t="n">
        <f aca="false">'CEMIUP0.9 Raw'!G729</f>
        <v>8057.81052631579</v>
      </c>
      <c r="H660" s="18" t="str">
        <f aca="false">'CEMIUP0.9 Raw'!A729</f>
        <v>113 - Kupat Holim Meuhedet</v>
      </c>
    </row>
    <row r="661" customFormat="false" ht="15" hidden="false" customHeight="false" outlineLevel="0" collapsed="false">
      <c r="A661" s="18" t="n">
        <f aca="false">'CEMIUP0.9 Raw'!B1237</f>
        <v>4417000</v>
      </c>
      <c r="B661" s="18" t="str">
        <f aca="false">'CEMIUP0.9 Raw'!C1237</f>
        <v>PD342-פומפיה להסרת עור קשה</v>
      </c>
      <c r="C661" s="18" t="str">
        <f aca="false">'CEMIUP0.9 Raw'!C1237</f>
        <v>PD342-פומפיה להסרת עור קשה</v>
      </c>
      <c r="D661" s="19" t="n">
        <f aca="false">'CEMIUP0.9 Raw'!D1237</f>
        <v>196</v>
      </c>
      <c r="E661" s="19" t="n">
        <f aca="false">'CEMIUP0.9 Raw'!E1237</f>
        <v>3901.443</v>
      </c>
      <c r="F661" s="19" t="n">
        <f aca="false">'CEMIUP0.9 Raw'!F1237</f>
        <v>130.105263157895</v>
      </c>
      <c r="G661" s="19" t="n">
        <f aca="false">'CEMIUP0.9 Raw'!G1237</f>
        <v>2589.76421052632</v>
      </c>
      <c r="H661" s="18" t="str">
        <f aca="false">'CEMIUP0.9 Raw'!A1237</f>
        <v>BE (CEMI internal group)</v>
      </c>
    </row>
    <row r="662" customFormat="false" ht="15" hidden="false" customHeight="false" outlineLevel="0" collapsed="false">
      <c r="A662" s="18" t="n">
        <f aca="false">'CEMIUP0.9 Raw'!B849</f>
        <v>4415177</v>
      </c>
      <c r="B662" s="18" t="str">
        <f aca="false">'CEMIUP0.9 Raw'!C849</f>
        <v>ST28 סד אגודלי עם מוט תמיכה</v>
      </c>
      <c r="C662" s="18" t="str">
        <f aca="false">'CEMIUP0.9 Raw'!C849</f>
        <v>ST28 סד אגודלי עם מוט תמיכה</v>
      </c>
      <c r="D662" s="19" t="n">
        <f aca="false">'CEMIUP0.9 Raw'!D849</f>
        <v>223</v>
      </c>
      <c r="E662" s="19" t="n">
        <f aca="false">'CEMIUP0.9 Raw'!E849</f>
        <v>5575</v>
      </c>
      <c r="F662" s="19" t="n">
        <f aca="false">'CEMIUP0.9 Raw'!F849</f>
        <v>128.842105263158</v>
      </c>
      <c r="G662" s="19" t="n">
        <f aca="false">'CEMIUP0.9 Raw'!G849</f>
        <v>3130.10526315789</v>
      </c>
      <c r="H662" s="18" t="str">
        <f aca="false">'CEMIUP0.9 Raw'!A849</f>
        <v>113 - Kupat Holim Meuhedet</v>
      </c>
    </row>
    <row r="663" customFormat="false" ht="15" hidden="false" customHeight="false" outlineLevel="0" collapsed="false">
      <c r="A663" s="18" t="n">
        <f aca="false">'CEMIUP0.9 Raw'!B1122</f>
        <v>4413138</v>
      </c>
      <c r="B663" s="18" t="str">
        <f aca="false">'CEMIUP0.9 Raw'!C1122</f>
        <v>85 XL (מתלה ליד )כיס</v>
      </c>
      <c r="C663" s="18" t="str">
        <f aca="false">'CEMIUP0.9 Raw'!C1122</f>
        <v>85 XL (מתלה ליד )כיס</v>
      </c>
      <c r="D663" s="19" t="n">
        <f aca="false">'CEMIUP0.9 Raw'!D1122</f>
        <v>158</v>
      </c>
      <c r="E663" s="19" t="n">
        <f aca="false">'CEMIUP0.9 Raw'!E1122</f>
        <v>7541.261</v>
      </c>
      <c r="F663" s="19" t="n">
        <f aca="false">'CEMIUP0.9 Raw'!F1122</f>
        <v>128.842105263158</v>
      </c>
      <c r="G663" s="19" t="n">
        <f aca="false">'CEMIUP0.9 Raw'!G1122</f>
        <v>6164.62736842105</v>
      </c>
      <c r="H663" s="18" t="str">
        <f aca="false">'CEMIUP0.9 Raw'!A1122</f>
        <v>BE (CEMI internal group)</v>
      </c>
    </row>
    <row r="664" customFormat="false" ht="15" hidden="false" customHeight="false" outlineLevel="0" collapsed="false">
      <c r="A664" s="18" t="n">
        <f aca="false">'CEMIUP0.9 Raw'!B1327</f>
        <v>4408048</v>
      </c>
      <c r="B664" s="18" t="str">
        <f aca="false">'CEMIUP0.9 Raw'!C1327</f>
        <v>20 S חבק יד מתכוון עם צמדן</v>
      </c>
      <c r="C664" s="18" t="str">
        <f aca="false">'CEMIUP0.9 Raw'!C1327</f>
        <v>20 S חבק יד מתכוון עם צמדן</v>
      </c>
      <c r="D664" s="19" t="n">
        <f aca="false">'CEMIUP0.9 Raw'!D1327</f>
        <v>183</v>
      </c>
      <c r="E664" s="19" t="n">
        <f aca="false">'CEMIUP0.9 Raw'!E1327</f>
        <v>4179.994</v>
      </c>
      <c r="F664" s="19" t="n">
        <f aca="false">'CEMIUP0.9 Raw'!F1327</f>
        <v>128.842105263158</v>
      </c>
      <c r="G664" s="19" t="n">
        <f aca="false">'CEMIUP0.9 Raw'!G1327</f>
        <v>3033.576</v>
      </c>
      <c r="H664" s="18" t="str">
        <f aca="false">'CEMIUP0.9 Raw'!A1327</f>
        <v>Super-Pharm Israel (CEMI internal group)</v>
      </c>
    </row>
    <row r="665" customFormat="false" ht="15" hidden="false" customHeight="false" outlineLevel="0" collapsed="false">
      <c r="A665" s="18" t="n">
        <f aca="false">'CEMIUP0.9 Raw'!B1439</f>
        <v>4413034</v>
      </c>
      <c r="B665" s="18" t="str">
        <f aca="false">'CEMIUP0.9 Raw'!C1439</f>
        <v>312 9 מ""ס להתאמהX5 מדבקה גדולה</v>
      </c>
      <c r="C665" s="18" t="str">
        <f aca="false">'CEMIUP0.9 Raw'!C1439</f>
        <v>312 9 מ""ס להתאמהX5 מדבקה גדולה</v>
      </c>
      <c r="D665" s="19" t="n">
        <f aca="false">'CEMIUP0.9 Raw'!D1439</f>
        <v>208</v>
      </c>
      <c r="E665" s="19" t="n">
        <f aca="false">'CEMIUP0.9 Raw'!E1439</f>
        <v>3749.564</v>
      </c>
      <c r="F665" s="19" t="n">
        <f aca="false">'CEMIUP0.9 Raw'!F1439</f>
        <v>128.842105263158</v>
      </c>
      <c r="G665" s="19" t="n">
        <f aca="false">'CEMIUP0.9 Raw'!G1439</f>
        <v>2300.32673684211</v>
      </c>
      <c r="H665" s="18" t="str">
        <f aca="false">'CEMIUP0.9 Raw'!A1439</f>
        <v>Super-Pharm Israel (CEMI internal group)</v>
      </c>
    </row>
    <row r="666" customFormat="false" ht="15" hidden="false" customHeight="false" outlineLevel="0" collapsed="false">
      <c r="A666" s="18" t="n">
        <f aca="false">'CEMIUP0.9 Raw'!B1649</f>
        <v>4416002</v>
      </c>
      <c r="B666" s="18" t="str">
        <f aca="false">'CEMIUP0.9 Raw'!C1649</f>
        <v>307 S עקבים לדורבן-זוג כריות</v>
      </c>
      <c r="C666" s="18" t="str">
        <f aca="false">'CEMIUP0.9 Raw'!C1649</f>
        <v>307 S עקבים לדורבן-זוג כריות</v>
      </c>
      <c r="D666" s="19" t="n">
        <f aca="false">'CEMIUP0.9 Raw'!D1649</f>
        <v>158</v>
      </c>
      <c r="E666" s="19" t="n">
        <f aca="false">'CEMIUP0.9 Raw'!E1649</f>
        <v>11662.378</v>
      </c>
      <c r="F666" s="19" t="n">
        <f aca="false">'CEMIUP0.9 Raw'!F1649</f>
        <v>128.842105263158</v>
      </c>
      <c r="G666" s="19" t="n">
        <f aca="false">'CEMIUP0.9 Raw'!G1649</f>
        <v>9423.84505263158</v>
      </c>
      <c r="H666" s="18" t="str">
        <f aca="false">'CEMIUP0.9 Raw'!A1649</f>
        <v>Super-Pharm Israel (CEMI internal group)</v>
      </c>
    </row>
    <row r="667" customFormat="false" ht="15" hidden="false" customHeight="false" outlineLevel="0" collapsed="false">
      <c r="A667" s="18" t="n">
        <f aca="false">'SALES Raw'!G638</f>
        <v>4403025</v>
      </c>
      <c r="B667" s="18" t="str">
        <f aca="false">'SALES Raw'!B638</f>
        <v>394W-43-46</v>
      </c>
      <c r="C667" s="18" t="str">
        <f aca="false">'SALES Raw'!H638</f>
        <v>394W 43-46 גרב.כסף לסכרתים לבן</v>
      </c>
      <c r="D667" s="19" t="n">
        <f aca="false">'SALES Raw'!C638</f>
        <v>153</v>
      </c>
      <c r="E667" s="19" t="n">
        <f aca="false">'SALES Raw'!D638</f>
        <v>3164.8</v>
      </c>
      <c r="F667" s="19" t="n">
        <f aca="false">'SALES Raw'!E638*$H$4</f>
        <v>128.842105263158</v>
      </c>
      <c r="G667" s="19" t="n">
        <f aca="false">'SALES Raw'!F638*$H$4</f>
        <v>3157.23789473684</v>
      </c>
      <c r="H667" s="18" t="str">
        <f aca="false">'SALES Raw'!A638</f>
        <v>102 - Orthopedic institutes</v>
      </c>
    </row>
    <row r="668" customFormat="false" ht="15" hidden="false" customHeight="false" outlineLevel="0" collapsed="false">
      <c r="A668" s="18" t="n">
        <f aca="false">'SALES Raw'!G2294</f>
        <v>4411000</v>
      </c>
      <c r="B668" s="18" t="str">
        <f aca="false">'SALES Raw'!B2294</f>
        <v>362-L-R</v>
      </c>
      <c r="C668" s="18" t="str">
        <f aca="false">'SALES Raw'!H2294</f>
        <v>כרית מטטרזלי סיליקון362</v>
      </c>
      <c r="D668" s="19" t="n">
        <f aca="false">'SALES Raw'!C2294</f>
        <v>53</v>
      </c>
      <c r="E668" s="19" t="n">
        <f aca="false">'SALES Raw'!D2294</f>
        <v>2553.04</v>
      </c>
      <c r="F668" s="19" t="n">
        <f aca="false">'SALES Raw'!E2294*$H$4</f>
        <v>127.578947368421</v>
      </c>
      <c r="G668" s="19" t="n">
        <f aca="false">'SALES Raw'!F2294*$H$4</f>
        <v>6787.56631578947</v>
      </c>
      <c r="H668" s="18" t="str">
        <f aca="false">'SALES Raw'!A2294</f>
        <v>114 - IL online</v>
      </c>
    </row>
    <row r="669" customFormat="false" ht="15" hidden="false" customHeight="false" outlineLevel="0" collapsed="false">
      <c r="A669" s="18" t="n">
        <f aca="false">'CEMIUP0.9 Raw'!B1032</f>
        <v>4409000</v>
      </c>
      <c r="B669" s="18" t="str">
        <f aca="false">'CEMIUP0.9 Raw'!C1032</f>
        <v>365 S-Lטבעת אלסטית מסיליקון</v>
      </c>
      <c r="C669" s="18" t="str">
        <f aca="false">'CEMIUP0.9 Raw'!C1032</f>
        <v>365 S-Lטבעת אלסטית מסיליקון</v>
      </c>
      <c r="D669" s="19" t="n">
        <f aca="false">'CEMIUP0.9 Raw'!D1032</f>
        <v>247</v>
      </c>
      <c r="E669" s="19" t="n">
        <f aca="false">'CEMIUP0.9 Raw'!E1032</f>
        <v>2957.5</v>
      </c>
      <c r="F669" s="19" t="n">
        <f aca="false">'CEMIUP0.9 Raw'!F1032</f>
        <v>127.578947368421</v>
      </c>
      <c r="G669" s="19" t="n">
        <f aca="false">'CEMIUP0.9 Raw'!G1032</f>
        <v>1526.73094736842</v>
      </c>
      <c r="H669" s="18" t="str">
        <f aca="false">'CEMIUP0.9 Raw'!A1032</f>
        <v>BE (CEMI internal group)</v>
      </c>
    </row>
    <row r="670" customFormat="false" ht="15" hidden="false" customHeight="false" outlineLevel="0" collapsed="false">
      <c r="A670" s="18" t="n">
        <f aca="false">'CEMIUP0.9 Raw'!B1246</f>
        <v>4420003</v>
      </c>
      <c r="B670" s="18" t="str">
        <f aca="false">'CEMIUP0.9 Raw'!C1246</f>
        <v>374 רפידת בולמת זעזועים -זוג</v>
      </c>
      <c r="C670" s="18" t="str">
        <f aca="false">'CEMIUP0.9 Raw'!C1246</f>
        <v>374 רפידת בולמת זעזועים -זוג</v>
      </c>
      <c r="D670" s="19" t="n">
        <f aca="false">'CEMIUP0.9 Raw'!D1246</f>
        <v>168</v>
      </c>
      <c r="E670" s="19" t="n">
        <f aca="false">'CEMIUP0.9 Raw'!E1246</f>
        <v>2044.679</v>
      </c>
      <c r="F670" s="19" t="n">
        <f aca="false">'CEMIUP0.9 Raw'!F1246</f>
        <v>127.578947368421</v>
      </c>
      <c r="G670" s="19" t="n">
        <f aca="false">'CEMIUP0.9 Raw'!G1246</f>
        <v>1548.68589473684</v>
      </c>
      <c r="H670" s="18" t="str">
        <f aca="false">'CEMIUP0.9 Raw'!A1246</f>
        <v>BE (CEMI internal group)</v>
      </c>
    </row>
    <row r="671" customFormat="false" ht="15" hidden="false" customHeight="false" outlineLevel="0" collapsed="false">
      <c r="A671" s="18" t="n">
        <f aca="false">'CEMIUP0.9 Raw'!B1276</f>
        <v>4402000</v>
      </c>
      <c r="B671" s="18" t="str">
        <f aca="false">'CEMIUP0.9 Raw'!C1276</f>
        <v>363  בננה לתמיכת אצבעות ז.כרית</v>
      </c>
      <c r="C671" s="18" t="str">
        <f aca="false">'CEMIUP0.9 Raw'!C1276</f>
        <v>363  בננה לתמיכת אצבעות ז.כרית</v>
      </c>
      <c r="D671" s="19" t="n">
        <f aca="false">'CEMIUP0.9 Raw'!D1276</f>
        <v>199</v>
      </c>
      <c r="E671" s="19" t="n">
        <f aca="false">'CEMIUP0.9 Raw'!E1276</f>
        <v>3931.564</v>
      </c>
      <c r="F671" s="19" t="n">
        <f aca="false">'CEMIUP0.9 Raw'!F1276</f>
        <v>127.578947368421</v>
      </c>
      <c r="G671" s="19" t="n">
        <f aca="false">'CEMIUP0.9 Raw'!G1276</f>
        <v>2556.77431578947</v>
      </c>
      <c r="H671" s="18" t="str">
        <f aca="false">'CEMIUP0.9 Raw'!A1276</f>
        <v>Super-Pharm Israel (CEMI internal group)</v>
      </c>
    </row>
    <row r="672" customFormat="false" ht="15" hidden="false" customHeight="false" outlineLevel="0" collapsed="false">
      <c r="A672" s="18" t="n">
        <f aca="false">'SALES Raw'!G2889</f>
        <v>4413329</v>
      </c>
      <c r="B672" s="18" t="str">
        <f aca="false">'SALES Raw'!B2889</f>
        <v>AC45X 0</v>
      </c>
      <c r="C672" s="18" t="str">
        <f aca="false">'SALES Raw'!H2889</f>
        <v>AC45X מגן ברך עם תמיכות</v>
      </c>
      <c r="D672" s="19" t="n">
        <f aca="false">'SALES Raw'!C2889</f>
        <v>140</v>
      </c>
      <c r="E672" s="19" t="n">
        <f aca="false">'SALES Raw'!D2889</f>
        <v>5088.22</v>
      </c>
      <c r="F672" s="19" t="n">
        <f aca="false">'SALES Raw'!E2889*$H$4</f>
        <v>126.315789473684</v>
      </c>
      <c r="G672" s="19" t="n">
        <f aca="false">'SALES Raw'!F2889*$H$4</f>
        <v>4268.67789473684</v>
      </c>
      <c r="H672" s="18" t="str">
        <f aca="false">'SALES Raw'!A2889</f>
        <v>201- Seven Gear FINLAND oy</v>
      </c>
    </row>
    <row r="673" customFormat="false" ht="15" hidden="false" customHeight="false" outlineLevel="0" collapsed="false">
      <c r="A673" s="18" t="n">
        <f aca="false">'SALES Raw'!G2938</f>
        <v>4413063</v>
      </c>
      <c r="B673" s="18" t="str">
        <f aca="false">'SALES Raw'!B2938</f>
        <v>366S 0</v>
      </c>
      <c r="C673" s="18" t="str">
        <f aca="false">'SALES Raw'!H2938</f>
        <v>366S-'מדבק.לשחרור לחץ מיבלת2יח</v>
      </c>
      <c r="D673" s="19" t="n">
        <f aca="false">'SALES Raw'!C2938</f>
        <v>300</v>
      </c>
      <c r="E673" s="19" t="n">
        <f aca="false">'SALES Raw'!D2938</f>
        <v>3400.92</v>
      </c>
      <c r="F673" s="19" t="n">
        <f aca="false">'SALES Raw'!E2938*$H$4</f>
        <v>126.315789473684</v>
      </c>
      <c r="G673" s="19" t="n">
        <f aca="false">'SALES Raw'!F2938*$H$4</f>
        <v>1293.10736842105</v>
      </c>
      <c r="H673" s="18" t="str">
        <f aca="false">'SALES Raw'!A2938</f>
        <v>202 - Super-Pharm POLAND</v>
      </c>
    </row>
    <row r="674" customFormat="false" ht="15" hidden="false" customHeight="false" outlineLevel="0" collapsed="false">
      <c r="A674" s="18" t="n">
        <f aca="false">'SALES Raw'!G2939</f>
        <v>4413066</v>
      </c>
      <c r="B674" s="18" t="str">
        <f aca="false">'SALES Raw'!B2939</f>
        <v>3677S 0</v>
      </c>
      <c r="C674" s="18" t="str">
        <f aca="false">'SALES Raw'!H2939</f>
        <v>3677S-מד.לשחרור לחץ א.הבוניון</v>
      </c>
      <c r="D674" s="19" t="n">
        <f aca="false">'SALES Raw'!C2939</f>
        <v>280</v>
      </c>
      <c r="E674" s="19" t="n">
        <f aca="false">'SALES Raw'!D2939</f>
        <v>4506.2</v>
      </c>
      <c r="F674" s="19" t="n">
        <f aca="false">'SALES Raw'!E2939*$H$4</f>
        <v>126.315789473684</v>
      </c>
      <c r="G674" s="19" t="n">
        <f aca="false">'SALES Raw'!F2939*$H$4</f>
        <v>1772.55157894737</v>
      </c>
      <c r="H674" s="18" t="str">
        <f aca="false">'SALES Raw'!A2939</f>
        <v>202 - Super-Pharm POLAND</v>
      </c>
    </row>
    <row r="675" customFormat="false" ht="15" hidden="false" customHeight="false" outlineLevel="0" collapsed="false">
      <c r="A675" s="18" t="n">
        <f aca="false">'SALES Raw'!G2996</f>
        <v>4413501</v>
      </c>
      <c r="B675" s="18" t="str">
        <f aca="false">'SALES Raw'!B2996</f>
        <v>95B M</v>
      </c>
      <c r="C675" s="18" t="str">
        <f aca="false">'SALES Raw'!H2996</f>
        <v>95B M מגן מרפק שחור</v>
      </c>
      <c r="D675" s="19" t="n">
        <f aca="false">'SALES Raw'!C2996</f>
        <v>300</v>
      </c>
      <c r="E675" s="19" t="n">
        <f aca="false">'SALES Raw'!D2996</f>
        <v>4263.53</v>
      </c>
      <c r="F675" s="19" t="n">
        <f aca="false">'SALES Raw'!E2996*$H$4</f>
        <v>126.315789473684</v>
      </c>
      <c r="G675" s="19" t="n">
        <f aca="false">'SALES Raw'!F2996*$H$4</f>
        <v>1617.97894736842</v>
      </c>
      <c r="H675" s="18" t="str">
        <f aca="false">'SALES Raw'!A2996</f>
        <v>202 - Super-Pharm POLAND</v>
      </c>
    </row>
    <row r="676" customFormat="false" ht="15" hidden="false" customHeight="false" outlineLevel="0" collapsed="false">
      <c r="A676" s="18" t="n">
        <f aca="false">'SALES Raw'!G3159</f>
        <v>4408051</v>
      </c>
      <c r="B676" s="18" t="str">
        <f aca="false">'SALES Raw'!B3159</f>
        <v>21 S</v>
      </c>
      <c r="C676" s="18" t="str">
        <f aca="false">'SALES Raw'!H3159</f>
        <v>21 S  חבק יד ארוך</v>
      </c>
      <c r="D676" s="19" t="n">
        <f aca="false">'SALES Raw'!C3159</f>
        <v>95</v>
      </c>
      <c r="E676" s="19" t="n">
        <f aca="false">'SALES Raw'!D3159</f>
        <v>1530.75</v>
      </c>
      <c r="F676" s="19" t="n">
        <f aca="false">'SALES Raw'!E3159*$H$4</f>
        <v>126.315789473684</v>
      </c>
      <c r="G676" s="19" t="n">
        <f aca="false">'SALES Raw'!F3159*$H$4</f>
        <v>1804.95157894737</v>
      </c>
      <c r="H676" s="18" t="str">
        <f aca="false">'SALES Raw'!A3159</f>
        <v>204 - Sanaflex Anatomic GREECE</v>
      </c>
    </row>
    <row r="677" customFormat="false" ht="15" hidden="false" customHeight="false" outlineLevel="0" collapsed="false">
      <c r="A677" s="18" t="n">
        <f aca="false">'SALES Raw'!G3167</f>
        <v>4415163</v>
      </c>
      <c r="B677" s="18" t="str">
        <f aca="false">'SALES Raw'!B3167</f>
        <v>238 XL</v>
      </c>
      <c r="C677" s="18" t="str">
        <f aca="false">'SALES Raw'!H3167</f>
        <v>238XL סד ליישור אצבע</v>
      </c>
      <c r="D677" s="19" t="n">
        <f aca="false">'SALES Raw'!C3167</f>
        <v>135</v>
      </c>
      <c r="E677" s="19" t="n">
        <f aca="false">'SALES Raw'!D3167</f>
        <v>1140.49</v>
      </c>
      <c r="F677" s="19" t="n">
        <f aca="false">'SALES Raw'!E3167*$H$4</f>
        <v>126.315789473684</v>
      </c>
      <c r="G677" s="19" t="n">
        <f aca="false">'SALES Raw'!F3167*$H$4</f>
        <v>957.107368421053</v>
      </c>
      <c r="H677" s="18" t="str">
        <f aca="false">'SALES Raw'!A3167</f>
        <v>204 - Sanaflex Anatomic GREECE</v>
      </c>
    </row>
    <row r="678" customFormat="false" ht="15" hidden="false" customHeight="false" outlineLevel="0" collapsed="false">
      <c r="A678" s="18" t="n">
        <f aca="false">'SALES Raw'!G3186</f>
        <v>4413372</v>
      </c>
      <c r="B678" s="18" t="str">
        <f aca="false">'SALES Raw'!B3186</f>
        <v>302W 0</v>
      </c>
      <c r="C678" s="18" t="str">
        <f aca="false">'SALES Raw'!H3186</f>
        <v>302 W מדרס לאישה</v>
      </c>
      <c r="D678" s="19" t="n">
        <f aca="false">'SALES Raw'!C3186</f>
        <v>90</v>
      </c>
      <c r="E678" s="19" t="n">
        <f aca="false">'SALES Raw'!D3186</f>
        <v>2320.98</v>
      </c>
      <c r="F678" s="19" t="n">
        <f aca="false">'SALES Raw'!E3186*$H$4</f>
        <v>126.315789473684</v>
      </c>
      <c r="G678" s="19" t="n">
        <f aca="false">'SALES Raw'!F3186*$H$4</f>
        <v>2982.97263157895</v>
      </c>
      <c r="H678" s="18" t="str">
        <f aca="false">'SALES Raw'!A3186</f>
        <v>204 - Sanaflex Anatomic GREECE</v>
      </c>
    </row>
    <row r="679" customFormat="false" ht="15" hidden="false" customHeight="false" outlineLevel="0" collapsed="false">
      <c r="A679" s="18" t="n">
        <f aca="false">'SALES Raw'!G3292</f>
        <v>4422023</v>
      </c>
      <c r="B679" s="18" t="str">
        <f aca="false">'SALES Raw'!B3292</f>
        <v>806CB-C</v>
      </c>
      <c r="C679" s="18" t="str">
        <f aca="false">'SALES Raw'!H3292</f>
        <v>806CB-BEIGE      תחבושת א.נצמ</v>
      </c>
      <c r="D679" s="19" t="n">
        <f aca="false">'SALES Raw'!C3292</f>
        <v>110</v>
      </c>
      <c r="E679" s="19" t="n">
        <f aca="false">'SALES Raw'!D3292</f>
        <v>688.33</v>
      </c>
      <c r="F679" s="19" t="n">
        <f aca="false">'SALES Raw'!E3292*$H$4</f>
        <v>126.315789473684</v>
      </c>
      <c r="G679" s="19" t="n">
        <f aca="false">'SALES Raw'!F3292*$H$4</f>
        <v>712.433684210526</v>
      </c>
      <c r="H679" s="18" t="str">
        <f aca="false">'SALES Raw'!A3292</f>
        <v>204 - Sanaflex Anatomic GREECE</v>
      </c>
    </row>
    <row r="680" customFormat="false" ht="15" hidden="false" customHeight="false" outlineLevel="0" collapsed="false">
      <c r="A680" s="18" t="n">
        <f aca="false">'SALES Raw'!G3346</f>
        <v>4411000</v>
      </c>
      <c r="B680" s="18" t="str">
        <f aca="false">'SALES Raw'!B3346</f>
        <v>362-L-R</v>
      </c>
      <c r="C680" s="18" t="str">
        <f aca="false">'SALES Raw'!H3346</f>
        <v>כרית מטטרזלי סיליקון362</v>
      </c>
      <c r="D680" s="19" t="n">
        <f aca="false">'SALES Raw'!C3346</f>
        <v>90</v>
      </c>
      <c r="E680" s="19" t="n">
        <f aca="false">'SALES Raw'!D3346</f>
        <v>1435.63</v>
      </c>
      <c r="F680" s="19" t="n">
        <f aca="false">'SALES Raw'!E3346*$H$4</f>
        <v>126.315789473684</v>
      </c>
      <c r="G680" s="19" t="n">
        <f aca="false">'SALES Raw'!F3346*$H$4</f>
        <v>1724.96842105263</v>
      </c>
      <c r="H680" s="18" t="str">
        <f aca="false">'SALES Raw'!A3346</f>
        <v>205 - Health Care Prod. Gmbh GERMANY</v>
      </c>
    </row>
    <row r="681" customFormat="false" ht="15" hidden="false" customHeight="false" outlineLevel="0" collapsed="false">
      <c r="A681" s="18" t="n">
        <f aca="false">'SALES Raw'!G3505</f>
        <v>4416001</v>
      </c>
      <c r="B681" s="18" t="str">
        <f aca="false">'SALES Raw'!B3505</f>
        <v>307 M</v>
      </c>
      <c r="C681" s="18" t="str">
        <f aca="false">'SALES Raw'!H3505</f>
        <v>307 M עקבים לדורבן-זוג כריות</v>
      </c>
      <c r="D681" s="19" t="n">
        <f aca="false">'SALES Raw'!C3505</f>
        <v>105</v>
      </c>
      <c r="E681" s="19" t="n">
        <f aca="false">'SALES Raw'!D3505</f>
        <v>2712.14</v>
      </c>
      <c r="F681" s="19" t="n">
        <f aca="false">'SALES Raw'!E3505*$H$4</f>
        <v>126.315789473684</v>
      </c>
      <c r="G681" s="19" t="n">
        <f aca="false">'SALES Raw'!F3505*$H$4</f>
        <v>3575.64631578947</v>
      </c>
      <c r="H681" s="18" t="str">
        <f aca="false">'SALES Raw'!A3505</f>
        <v>207 - Salus HUNGARY</v>
      </c>
    </row>
    <row r="682" customFormat="false" ht="15" hidden="false" customHeight="false" outlineLevel="0" collapsed="false">
      <c r="A682" s="18" t="str">
        <f aca="false">'SALES Raw'!G3580</f>
        <v/>
      </c>
      <c r="B682" s="18" t="str">
        <f aca="false">'SALES Raw'!B3580</f>
        <v>43BD XL</v>
      </c>
      <c r="C682" s="18" t="str">
        <f aca="false">'SALES Raw'!H3580</f>
        <v>43BD XL</v>
      </c>
      <c r="D682" s="19" t="n">
        <f aca="false">'SALES Raw'!C3580</f>
        <v>35</v>
      </c>
      <c r="E682" s="19" t="n">
        <f aca="false">'SALES Raw'!D3580</f>
        <v>2963</v>
      </c>
      <c r="F682" s="19" t="n">
        <f aca="false">'SALES Raw'!E3580*$H$4</f>
        <v>126.315789473684</v>
      </c>
      <c r="G682" s="19" t="n">
        <f aca="false">'SALES Raw'!F3580*$H$4</f>
        <v>11168.1726315789</v>
      </c>
      <c r="H682" s="18" t="str">
        <f aca="false">'SALES Raw'!A3580</f>
        <v>207 - Salus HUNGARY</v>
      </c>
    </row>
    <row r="683" customFormat="false" ht="15" hidden="false" customHeight="false" outlineLevel="0" collapsed="false">
      <c r="A683" s="18" t="n">
        <f aca="false">'SALES Raw'!G3587</f>
        <v>4413102</v>
      </c>
      <c r="B683" s="18" t="str">
        <f aca="false">'SALES Raw'!B3587</f>
        <v>45E L</v>
      </c>
      <c r="C683" s="18" t="str">
        <f aca="false">'SALES Raw'!H3587</f>
        <v>45E  L        מגן ברך ארוך לבן</v>
      </c>
      <c r="D683" s="19" t="n">
        <f aca="false">'SALES Raw'!C3587</f>
        <v>75</v>
      </c>
      <c r="E683" s="19" t="n">
        <f aca="false">'SALES Raw'!D3587</f>
        <v>821.55</v>
      </c>
      <c r="F683" s="19" t="n">
        <f aca="false">'SALES Raw'!E3587*$H$4</f>
        <v>126.315789473684</v>
      </c>
      <c r="G683" s="19" t="n">
        <f aca="false">'SALES Raw'!F3587*$H$4</f>
        <v>1397.57052631579</v>
      </c>
      <c r="H683" s="18" t="str">
        <f aca="false">'SALES Raw'!A3587</f>
        <v>207 - Salus HUNGARY</v>
      </c>
    </row>
    <row r="684" customFormat="false" ht="15" hidden="false" customHeight="false" outlineLevel="0" collapsed="false">
      <c r="A684" s="18" t="n">
        <f aca="false">'SALES Raw'!G3591</f>
        <v>4413105</v>
      </c>
      <c r="B684" s="18" t="str">
        <f aca="false">'SALES Raw'!B3591</f>
        <v>45E XXL</v>
      </c>
      <c r="C684" s="18" t="str">
        <f aca="false">'SALES Raw'!H3591</f>
        <v>45E XXLמגן ברך ארוך לבן</v>
      </c>
      <c r="D684" s="19" t="n">
        <f aca="false">'SALES Raw'!C3591</f>
        <v>140</v>
      </c>
      <c r="E684" s="19" t="n">
        <f aca="false">'SALES Raw'!D3591</f>
        <v>1681.45</v>
      </c>
      <c r="F684" s="19" t="n">
        <f aca="false">'SALES Raw'!E3591*$H$4</f>
        <v>126.315789473684</v>
      </c>
      <c r="G684" s="19" t="n">
        <f aca="false">'SALES Raw'!F3591*$H$4</f>
        <v>1397.57052631579</v>
      </c>
      <c r="H684" s="18" t="str">
        <f aca="false">'SALES Raw'!A3591</f>
        <v>207 - Salus HUNGARY</v>
      </c>
    </row>
    <row r="685" customFormat="false" ht="15" hidden="false" customHeight="false" outlineLevel="0" collapsed="false">
      <c r="A685" s="18" t="n">
        <f aca="false">'SALES Raw'!G3618</f>
        <v>4422024</v>
      </c>
      <c r="B685" s="18" t="str">
        <f aca="false">'SALES Raw'!B3618</f>
        <v>806CB-B</v>
      </c>
      <c r="C685" s="18" t="str">
        <f aca="false">'SALES Raw'!H3618</f>
        <v>806CB-BLACK      תחבושת א.נצמ</v>
      </c>
      <c r="D685" s="19" t="n">
        <f aca="false">'SALES Raw'!C3618</f>
        <v>250</v>
      </c>
      <c r="E685" s="19" t="n">
        <f aca="false">'SALES Raw'!D3618</f>
        <v>1487.58</v>
      </c>
      <c r="F685" s="19" t="n">
        <f aca="false">'SALES Raw'!E3618*$H$4</f>
        <v>126.315789473684</v>
      </c>
      <c r="G685" s="19" t="n">
        <f aca="false">'SALES Raw'!F3618*$H$4</f>
        <v>720.442105263158</v>
      </c>
      <c r="H685" s="18" t="str">
        <f aca="false">'SALES Raw'!A3618</f>
        <v>207 - Salus HUNGARY</v>
      </c>
    </row>
    <row r="686" customFormat="false" ht="15" hidden="false" customHeight="false" outlineLevel="0" collapsed="false">
      <c r="A686" s="18" t="n">
        <f aca="false">'SALES Raw'!G3621</f>
        <v>4422026</v>
      </c>
      <c r="B686" s="18" t="str">
        <f aca="false">'SALES Raw'!B3621</f>
        <v>806CB-P</v>
      </c>
      <c r="C686" s="18" t="str">
        <f aca="false">'SALES Raw'!H3621</f>
        <v>806CB-PINK       תחבושת א.נצמ</v>
      </c>
      <c r="D686" s="19" t="n">
        <f aca="false">'SALES Raw'!C3621</f>
        <v>150</v>
      </c>
      <c r="E686" s="19" t="n">
        <f aca="false">'SALES Raw'!D3621</f>
        <v>892.55</v>
      </c>
      <c r="F686" s="19" t="n">
        <f aca="false">'SALES Raw'!E3621*$H$4</f>
        <v>126.315789473684</v>
      </c>
      <c r="G686" s="19" t="n">
        <f aca="false">'SALES Raw'!F3621*$H$4</f>
        <v>720.442105263158</v>
      </c>
      <c r="H686" s="18" t="str">
        <f aca="false">'SALES Raw'!A3621</f>
        <v>207 - Salus HUNGARY</v>
      </c>
    </row>
    <row r="687" customFormat="false" ht="15" hidden="false" customHeight="false" outlineLevel="0" collapsed="false">
      <c r="A687" s="18" t="n">
        <f aca="false">'SALES Raw'!G4136</f>
        <v>4415028</v>
      </c>
      <c r="B687" s="18" t="str">
        <f aca="false">'SALES Raw'!B4136</f>
        <v>AC28 0</v>
      </c>
      <c r="C687" s="18" t="str">
        <f aca="false">'SALES Raw'!H4136</f>
        <v>AC-28 סד לאגודל</v>
      </c>
      <c r="D687" s="19" t="n">
        <f aca="false">'SALES Raw'!C4136</f>
        <v>160</v>
      </c>
      <c r="E687" s="19" t="n">
        <f aca="false">'SALES Raw'!D4136</f>
        <v>3760.05</v>
      </c>
      <c r="F687" s="19" t="n">
        <f aca="false">'SALES Raw'!E4136*$H$4</f>
        <v>126.315789473684</v>
      </c>
      <c r="G687" s="19" t="n">
        <f aca="false">'SALES Raw'!F4136*$H$4</f>
        <v>2667.03157894737</v>
      </c>
      <c r="H687" s="18" t="str">
        <f aca="false">'SALES Raw'!A4136</f>
        <v>214 - Alfred Gera&amp; Sons Ltd. MALTA</v>
      </c>
    </row>
    <row r="688" customFormat="false" ht="15" hidden="false" customHeight="false" outlineLevel="0" collapsed="false">
      <c r="A688" s="18" t="n">
        <f aca="false">'SALES Raw'!G4142</f>
        <v>4408208</v>
      </c>
      <c r="B688" s="18" t="str">
        <f aca="false">'SALES Raw'!B4142</f>
        <v>AC91 0</v>
      </c>
      <c r="C688" s="18" t="str">
        <f aca="false">'SALES Raw'!H4142</f>
        <v>AC91 חבק טניס</v>
      </c>
      <c r="D688" s="19" t="n">
        <f aca="false">'SALES Raw'!C4142</f>
        <v>50</v>
      </c>
      <c r="E688" s="19" t="n">
        <f aca="false">'SALES Raw'!D4142</f>
        <v>945.75</v>
      </c>
      <c r="F688" s="19" t="n">
        <f aca="false">'SALES Raw'!E4142*$H$4</f>
        <v>126.315789473684</v>
      </c>
      <c r="G688" s="19" t="n">
        <f aca="false">'SALES Raw'!F4142*$H$4</f>
        <v>2222.52631578947</v>
      </c>
      <c r="H688" s="18" t="str">
        <f aca="false">'SALES Raw'!A4142</f>
        <v>214 - Alfred Gera&amp; Sons Ltd. MALTA</v>
      </c>
    </row>
    <row r="689" customFormat="false" ht="15" hidden="false" customHeight="false" outlineLevel="0" collapsed="false">
      <c r="A689" s="18" t="n">
        <f aca="false">'SALES Raw'!G4241</f>
        <v>4420000</v>
      </c>
      <c r="B689" s="18" t="str">
        <f aca="false">'SALES Raw'!B4241</f>
        <v>370 0</v>
      </c>
      <c r="C689" s="18" t="str">
        <f aca="false">'SALES Raw'!H4241</f>
        <v>370  רפידת נוחות-זוג</v>
      </c>
      <c r="D689" s="19" t="n">
        <f aca="false">'SALES Raw'!C4241</f>
        <v>50</v>
      </c>
      <c r="E689" s="19" t="n">
        <f aca="false">'SALES Raw'!D4241</f>
        <v>376.4</v>
      </c>
      <c r="F689" s="19" t="n">
        <f aca="false">'SALES Raw'!E4241*$H$4</f>
        <v>126.315789473684</v>
      </c>
      <c r="G689" s="19" t="n">
        <f aca="false">'SALES Raw'!F4241*$H$4</f>
        <v>835.402105263158</v>
      </c>
      <c r="H689" s="18" t="str">
        <f aca="false">'SALES Raw'!A4241</f>
        <v>216 - Max Konnaris CYPRUS</v>
      </c>
    </row>
    <row r="690" customFormat="false" ht="15" hidden="false" customHeight="false" outlineLevel="0" collapsed="false">
      <c r="A690" s="18" t="n">
        <f aca="false">'SALES Raw'!G4375</f>
        <v>4408267</v>
      </c>
      <c r="B690" s="18" t="str">
        <f aca="false">'SALES Raw'!B4375</f>
        <v>ST25 0</v>
      </c>
      <c r="C690" s="18" t="str">
        <f aca="false">'SALES Raw'!H4375</f>
        <v>ST25 חבק שורש לכף היד</v>
      </c>
      <c r="D690" s="19" t="n">
        <f aca="false">'SALES Raw'!C4375</f>
        <v>120</v>
      </c>
      <c r="E690" s="19" t="n">
        <f aca="false">'SALES Raw'!D4375</f>
        <v>1792.25</v>
      </c>
      <c r="F690" s="19" t="n">
        <f aca="false">'SALES Raw'!E4375*$H$4</f>
        <v>126.315789473684</v>
      </c>
      <c r="G690" s="19" t="n">
        <f aca="false">'SALES Raw'!F4375*$H$4</f>
        <v>1716.56842105263</v>
      </c>
      <c r="H690" s="18" t="str">
        <f aca="false">'SALES Raw'!A4375</f>
        <v>216 - Max Konnaris CYPRUS</v>
      </c>
    </row>
    <row r="691" customFormat="false" ht="15" hidden="false" customHeight="false" outlineLevel="0" collapsed="false">
      <c r="A691" s="18" t="n">
        <f aca="false">'CEMIUP0.9 Raw'!B395</f>
        <v>4413395</v>
      </c>
      <c r="B691" s="18" t="str">
        <f aca="false">'CEMIUP0.9 Raw'!C395</f>
        <v>45EC M 'מגן ברך ארוך בז</v>
      </c>
      <c r="C691" s="18" t="str">
        <f aca="false">'CEMIUP0.9 Raw'!C395</f>
        <v>45EC M 'מגן ברך ארוך בז</v>
      </c>
      <c r="D691" s="19" t="n">
        <f aca="false">'CEMIUP0.9 Raw'!D395</f>
        <v>95</v>
      </c>
      <c r="E691" s="19" t="n">
        <f aca="false">'CEMIUP0.9 Raw'!E395</f>
        <v>3099.659</v>
      </c>
      <c r="F691" s="19" t="n">
        <f aca="false">'CEMIUP0.9 Raw'!F395</f>
        <v>126.315789473684</v>
      </c>
      <c r="G691" s="19" t="n">
        <f aca="false">'CEMIUP0.9 Raw'!G395</f>
        <v>4155.59873684211</v>
      </c>
      <c r="H691" s="18" t="str">
        <f aca="false">'CEMIUP0.9 Raw'!A395</f>
        <v>107 - Pharmacies</v>
      </c>
    </row>
    <row r="692" customFormat="false" ht="15" hidden="false" customHeight="false" outlineLevel="0" collapsed="false">
      <c r="A692" s="18" t="n">
        <f aca="false">'CEMIUP0.9 Raw'!B817</f>
        <v>4413149</v>
      </c>
      <c r="B692" s="18" t="str">
        <f aca="false">'CEMIUP0.9 Raw'!C817</f>
        <v>FC321-מלח אמבט לכף הרגל</v>
      </c>
      <c r="C692" s="18" t="str">
        <f aca="false">'CEMIUP0.9 Raw'!C817</f>
        <v>FC321-מלח אמבט לכף הרגל</v>
      </c>
      <c r="D692" s="19" t="n">
        <f aca="false">'CEMIUP0.9 Raw'!D817</f>
        <v>225</v>
      </c>
      <c r="E692" s="19" t="n">
        <f aca="false">'CEMIUP0.9 Raw'!E817</f>
        <v>1964.25</v>
      </c>
      <c r="F692" s="19" t="n">
        <f aca="false">'CEMIUP0.9 Raw'!F817</f>
        <v>126.315789473684</v>
      </c>
      <c r="G692" s="19" t="n">
        <f aca="false">'CEMIUP0.9 Raw'!G817</f>
        <v>1049.88126315789</v>
      </c>
      <c r="H692" s="18" t="str">
        <f aca="false">'CEMIUP0.9 Raw'!A817</f>
        <v>113 - Kupat Holim Meuhedet</v>
      </c>
    </row>
    <row r="693" customFormat="false" ht="15" hidden="false" customHeight="false" outlineLevel="0" collapsed="false">
      <c r="A693" s="18" t="n">
        <f aca="false">'CEMIUP0.9 Raw'!B972</f>
        <v>4408047</v>
      </c>
      <c r="B693" s="18" t="str">
        <f aca="false">'CEMIUP0.9 Raw'!C972</f>
        <v>20 M חבק יד מתכוון עם צמדן</v>
      </c>
      <c r="C693" s="18" t="str">
        <f aca="false">'CEMIUP0.9 Raw'!C972</f>
        <v>20 M חבק יד מתכוון עם צמדן</v>
      </c>
      <c r="D693" s="19" t="n">
        <f aca="false">'CEMIUP0.9 Raw'!D972</f>
        <v>107</v>
      </c>
      <c r="E693" s="19" t="n">
        <f aca="false">'CEMIUP0.9 Raw'!E972</f>
        <v>2645.188</v>
      </c>
      <c r="F693" s="19" t="n">
        <f aca="false">'CEMIUP0.9 Raw'!F972</f>
        <v>126.315789473684</v>
      </c>
      <c r="G693" s="19" t="n">
        <f aca="false">'CEMIUP0.9 Raw'!G972</f>
        <v>3123.00505263158</v>
      </c>
      <c r="H693" s="18" t="str">
        <f aca="false">'CEMIUP0.9 Raw'!A972</f>
        <v>BE (CEMI internal group)</v>
      </c>
    </row>
    <row r="694" customFormat="false" ht="15" hidden="false" customHeight="false" outlineLevel="0" collapsed="false">
      <c r="A694" s="18" t="n">
        <f aca="false">'CEMIUP0.9 Raw'!B310</f>
        <v>4413139</v>
      </c>
      <c r="B694" s="18" t="str">
        <f aca="false">'CEMIUP0.9 Raw'!C310</f>
        <v>95 L מגן מרפק רגיל לבן</v>
      </c>
      <c r="C694" s="18" t="str">
        <f aca="false">'CEMIUP0.9 Raw'!C310</f>
        <v>95 L מגן מרפק רגיל לבן</v>
      </c>
      <c r="D694" s="19" t="n">
        <f aca="false">'CEMIUP0.9 Raw'!D310</f>
        <v>112</v>
      </c>
      <c r="E694" s="19" t="n">
        <f aca="false">'CEMIUP0.9 Raw'!E310</f>
        <v>3065.913</v>
      </c>
      <c r="F694" s="19" t="n">
        <f aca="false">'CEMIUP0.9 Raw'!F310</f>
        <v>125.052631578947</v>
      </c>
      <c r="G694" s="19" t="n">
        <f aca="false">'CEMIUP0.9 Raw'!G310</f>
        <v>3422.89136842105</v>
      </c>
      <c r="H694" s="18" t="str">
        <f aca="false">'CEMIUP0.9 Raw'!A310</f>
        <v>107 - Pharmacies</v>
      </c>
    </row>
    <row r="695" customFormat="false" ht="15" hidden="false" customHeight="false" outlineLevel="0" collapsed="false">
      <c r="A695" s="18" t="n">
        <f aca="false">'CEMIUP0.9 Raw'!B316</f>
        <v>4413149</v>
      </c>
      <c r="B695" s="18" t="str">
        <f aca="false">'CEMIUP0.9 Raw'!C316</f>
        <v>FC321-מלח אמבט לכף הרגל</v>
      </c>
      <c r="C695" s="18" t="str">
        <f aca="false">'CEMIUP0.9 Raw'!C316</f>
        <v>FC321-מלח אמבט לכף הרגל</v>
      </c>
      <c r="D695" s="19" t="n">
        <f aca="false">'CEMIUP0.9 Raw'!D316</f>
        <v>395</v>
      </c>
      <c r="E695" s="19" t="n">
        <f aca="false">'CEMIUP0.9 Raw'!E316</f>
        <v>4742.251</v>
      </c>
      <c r="F695" s="19" t="n">
        <f aca="false">'CEMIUP0.9 Raw'!F316</f>
        <v>125.052631578947</v>
      </c>
      <c r="G695" s="19" t="n">
        <f aca="false">'CEMIUP0.9 Raw'!G316</f>
        <v>1556.30273684211</v>
      </c>
      <c r="H695" s="18" t="str">
        <f aca="false">'CEMIUP0.9 Raw'!A316</f>
        <v>107 - Pharmacies</v>
      </c>
    </row>
    <row r="696" customFormat="false" ht="15" hidden="false" customHeight="false" outlineLevel="0" collapsed="false">
      <c r="A696" s="18" t="n">
        <f aca="false">'CEMIUP0.9 Raw'!B435</f>
        <v>4413491</v>
      </c>
      <c r="B696" s="18" t="str">
        <f aca="false">'CEMIUP0.9 Raw'!C435</f>
        <v>35B XL מגן קרסול שחור</v>
      </c>
      <c r="C696" s="18" t="str">
        <f aca="false">'CEMIUP0.9 Raw'!C435</f>
        <v>35B XL מגן קרסול שחור</v>
      </c>
      <c r="D696" s="19" t="n">
        <f aca="false">'CEMIUP0.9 Raw'!D435</f>
        <v>185</v>
      </c>
      <c r="E696" s="19" t="n">
        <f aca="false">'CEMIUP0.9 Raw'!E435</f>
        <v>5054.231</v>
      </c>
      <c r="F696" s="19" t="n">
        <f aca="false">'CEMIUP0.9 Raw'!F435</f>
        <v>125.052631578947</v>
      </c>
      <c r="G696" s="19" t="n">
        <f aca="false">'CEMIUP0.9 Raw'!G435</f>
        <v>3470.26105263158</v>
      </c>
      <c r="H696" s="18" t="str">
        <f aca="false">'CEMIUP0.9 Raw'!A435</f>
        <v>107 - Pharmacies</v>
      </c>
    </row>
    <row r="697" customFormat="false" ht="15" hidden="false" customHeight="false" outlineLevel="0" collapsed="false">
      <c r="A697" s="18" t="n">
        <f aca="false">'CEMIUP0.9 Raw'!B689</f>
        <v>4403041</v>
      </c>
      <c r="B697" s="18" t="str">
        <f aca="false">'CEMIUP0.9 Raw'!C689</f>
        <v>397A-גרבי טיסה אנטי בקטרי35-38</v>
      </c>
      <c r="C697" s="18" t="str">
        <f aca="false">'CEMIUP0.9 Raw'!C689</f>
        <v>397A-גרבי טיסה אנטי בקטרי35-38</v>
      </c>
      <c r="D697" s="19" t="n">
        <f aca="false">'CEMIUP0.9 Raw'!D689</f>
        <v>125</v>
      </c>
      <c r="E697" s="19" t="n">
        <f aca="false">'CEMIUP0.9 Raw'!E689</f>
        <v>5226.25</v>
      </c>
      <c r="F697" s="19" t="n">
        <f aca="false">'CEMIUP0.9 Raw'!F689</f>
        <v>125.052631578947</v>
      </c>
      <c r="G697" s="19" t="n">
        <f aca="false">'CEMIUP0.9 Raw'!G689</f>
        <v>4743.60757894737</v>
      </c>
      <c r="H697" s="18" t="str">
        <f aca="false">'CEMIUP0.9 Raw'!A689</f>
        <v>113 - Kupat Holim Meuhedet</v>
      </c>
    </row>
    <row r="698" customFormat="false" ht="15" hidden="false" customHeight="false" outlineLevel="0" collapsed="false">
      <c r="A698" s="18" t="n">
        <f aca="false">'CEMIUP0.9 Raw'!B790</f>
        <v>4413094</v>
      </c>
      <c r="B698" s="18" t="str">
        <f aca="false">'CEMIUP0.9 Raw'!C790</f>
        <v>45 S מגן ברך לבן</v>
      </c>
      <c r="C698" s="18" t="str">
        <f aca="false">'CEMIUP0.9 Raw'!C790</f>
        <v>45 S מגן ברך לבן</v>
      </c>
      <c r="D698" s="19" t="n">
        <f aca="false">'CEMIUP0.9 Raw'!D790</f>
        <v>142</v>
      </c>
      <c r="E698" s="19" t="n">
        <f aca="false">'CEMIUP0.9 Raw'!E790</f>
        <v>2343</v>
      </c>
      <c r="F698" s="19" t="n">
        <f aca="false">'CEMIUP0.9 Raw'!F790</f>
        <v>125.052631578947</v>
      </c>
      <c r="G698" s="19" t="n">
        <f aca="false">'CEMIUP0.9 Raw'!G790</f>
        <v>1975.20631578947</v>
      </c>
      <c r="H698" s="18" t="str">
        <f aca="false">'CEMIUP0.9 Raw'!A790</f>
        <v>113 - Kupat Holim Meuhedet</v>
      </c>
    </row>
    <row r="699" customFormat="false" ht="15" hidden="false" customHeight="false" outlineLevel="0" collapsed="false">
      <c r="A699" s="18" t="n">
        <f aca="false">'CEMIUP0.9 Raw'!B809</f>
        <v>4413137</v>
      </c>
      <c r="B699" s="18" t="str">
        <f aca="false">'CEMIUP0.9 Raw'!C809</f>
        <v>85 S (מתלה ליד )כיס</v>
      </c>
      <c r="C699" s="18" t="str">
        <f aca="false">'CEMIUP0.9 Raw'!C809</f>
        <v>85 S (מתלה ליד )כיס</v>
      </c>
      <c r="D699" s="19" t="n">
        <f aca="false">'CEMIUP0.9 Raw'!D809</f>
        <v>127</v>
      </c>
      <c r="E699" s="19" t="n">
        <f aca="false">'CEMIUP0.9 Raw'!E809</f>
        <v>4445</v>
      </c>
      <c r="F699" s="19" t="n">
        <f aca="false">'CEMIUP0.9 Raw'!F809</f>
        <v>125.052631578947</v>
      </c>
      <c r="G699" s="19" t="n">
        <f aca="false">'CEMIUP0.9 Raw'!G809</f>
        <v>4097.65263157895</v>
      </c>
      <c r="H699" s="18" t="str">
        <f aca="false">'CEMIUP0.9 Raw'!A809</f>
        <v>113 - Kupat Holim Meuhedet</v>
      </c>
    </row>
    <row r="700" customFormat="false" ht="15" hidden="false" customHeight="false" outlineLevel="0" collapsed="false">
      <c r="A700" s="18" t="n">
        <f aca="false">'CEMIUP0.9 Raw'!B1513</f>
        <v>4413142</v>
      </c>
      <c r="B700" s="18" t="str">
        <f aca="false">'CEMIUP0.9 Raw'!C1513</f>
        <v>95 XL מגן מרפק רגיל לבן</v>
      </c>
      <c r="C700" s="18" t="str">
        <f aca="false">'CEMIUP0.9 Raw'!C1513</f>
        <v>95 XL מגן מרפק רגיל לבן</v>
      </c>
      <c r="D700" s="19" t="n">
        <f aca="false">'CEMIUP0.9 Raw'!D1513</f>
        <v>205</v>
      </c>
      <c r="E700" s="19" t="n">
        <f aca="false">'CEMIUP0.9 Raw'!E1513</f>
        <v>4805.983</v>
      </c>
      <c r="F700" s="19" t="n">
        <f aca="false">'CEMIUP0.9 Raw'!F1513</f>
        <v>125.052631578947</v>
      </c>
      <c r="G700" s="19" t="n">
        <f aca="false">'CEMIUP0.9 Raw'!G1513</f>
        <v>2983.45894736842</v>
      </c>
      <c r="H700" s="18" t="str">
        <f aca="false">'CEMIUP0.9 Raw'!A1513</f>
        <v>Super-Pharm Israel (CEMI internal group)</v>
      </c>
    </row>
    <row r="701" customFormat="false" ht="15" hidden="false" customHeight="false" outlineLevel="0" collapsed="false">
      <c r="A701" s="18" t="n">
        <f aca="false">'CEMIUP0.9 Raw'!B756</f>
        <v>4409016</v>
      </c>
      <c r="B701" s="18" t="str">
        <f aca="false">'CEMIUP0.9 Raw'!C756</f>
        <v>808KT-C        טייפ קינזיולוגי</v>
      </c>
      <c r="C701" s="18" t="str">
        <f aca="false">'CEMIUP0.9 Raw'!C756</f>
        <v>808KT-C        טייפ קינזיולוגי</v>
      </c>
      <c r="D701" s="19" t="n">
        <f aca="false">'CEMIUP0.9 Raw'!D756</f>
        <v>104</v>
      </c>
      <c r="E701" s="19" t="n">
        <f aca="false">'CEMIUP0.9 Raw'!E756</f>
        <v>2600</v>
      </c>
      <c r="F701" s="19" t="n">
        <f aca="false">'CEMIUP0.9 Raw'!F756</f>
        <v>123.789473684211</v>
      </c>
      <c r="G701" s="19" t="n">
        <f aca="false">'CEMIUP0.9 Raw'!G756</f>
        <v>2932.73684210526</v>
      </c>
      <c r="H701" s="18" t="str">
        <f aca="false">'CEMIUP0.9 Raw'!A756</f>
        <v>113 - Kupat Holim Meuhedet</v>
      </c>
    </row>
    <row r="702" customFormat="false" ht="15" hidden="false" customHeight="false" outlineLevel="0" collapsed="false">
      <c r="A702" s="18" t="n">
        <f aca="false">'CEMIUP0.9 Raw'!B785</f>
        <v>4413063</v>
      </c>
      <c r="B702" s="18" t="str">
        <f aca="false">'CEMIUP0.9 Raw'!C785</f>
        <v>366S-'מדבק.לשחרור לחץ מיבלת2יח</v>
      </c>
      <c r="C702" s="18" t="str">
        <f aca="false">'CEMIUP0.9 Raw'!C785</f>
        <v>366S-'מדבק.לשחרור לחץ מיבלת2יח</v>
      </c>
      <c r="D702" s="19" t="n">
        <f aca="false">'CEMIUP0.9 Raw'!D785</f>
        <v>151</v>
      </c>
      <c r="E702" s="19" t="n">
        <f aca="false">'CEMIUP0.9 Raw'!E785</f>
        <v>1710.83</v>
      </c>
      <c r="F702" s="19" t="n">
        <f aca="false">'CEMIUP0.9 Raw'!F785</f>
        <v>123.789473684211</v>
      </c>
      <c r="G702" s="19" t="n">
        <f aca="false">'CEMIUP0.9 Raw'!G785</f>
        <v>1250.58442105263</v>
      </c>
      <c r="H702" s="18" t="str">
        <f aca="false">'CEMIUP0.9 Raw'!A785</f>
        <v>113 - Kupat Holim Meuhedet</v>
      </c>
    </row>
    <row r="703" customFormat="false" ht="15" hidden="false" customHeight="false" outlineLevel="0" collapsed="false">
      <c r="A703" s="18" t="n">
        <f aca="false">'CEMIUP0.9 Raw'!B839</f>
        <v>4413372</v>
      </c>
      <c r="B703" s="18" t="str">
        <f aca="false">'CEMIUP0.9 Raw'!C839</f>
        <v>302 W מדרס לאישה</v>
      </c>
      <c r="C703" s="18" t="str">
        <f aca="false">'CEMIUP0.9 Raw'!C839</f>
        <v>302 W מדרס לאישה</v>
      </c>
      <c r="D703" s="19" t="n">
        <f aca="false">'CEMIUP0.9 Raw'!D839</f>
        <v>229</v>
      </c>
      <c r="E703" s="19" t="n">
        <f aca="false">'CEMIUP0.9 Raw'!E839</f>
        <v>10815.67</v>
      </c>
      <c r="F703" s="19" t="n">
        <f aca="false">'CEMIUP0.9 Raw'!F839</f>
        <v>123.789473684211</v>
      </c>
      <c r="G703" s="19" t="n">
        <f aca="false">'CEMIUP0.9 Raw'!G839</f>
        <v>5497.62947368421</v>
      </c>
      <c r="H703" s="18" t="str">
        <f aca="false">'CEMIUP0.9 Raw'!A839</f>
        <v>113 - Kupat Holim Meuhedet</v>
      </c>
    </row>
    <row r="704" customFormat="false" ht="15" hidden="false" customHeight="false" outlineLevel="0" collapsed="false">
      <c r="A704" s="18" t="n">
        <f aca="false">'CEMIUP0.9 Raw'!B1483</f>
        <v>4413105</v>
      </c>
      <c r="B704" s="18" t="str">
        <f aca="false">'CEMIUP0.9 Raw'!C1483</f>
        <v>45E XXLמגן ברך ארוך לבן</v>
      </c>
      <c r="C704" s="18" t="str">
        <f aca="false">'CEMIUP0.9 Raw'!C1483</f>
        <v>45E XXLמגן ברך ארוך לבן</v>
      </c>
      <c r="D704" s="19" t="n">
        <f aca="false">'CEMIUP0.9 Raw'!D1483</f>
        <v>154</v>
      </c>
      <c r="E704" s="19" t="n">
        <f aca="false">'CEMIUP0.9 Raw'!E1483</f>
        <v>4342.884</v>
      </c>
      <c r="F704" s="19" t="n">
        <f aca="false">'CEMIUP0.9 Raw'!F1483</f>
        <v>123.789473684211</v>
      </c>
      <c r="G704" s="19" t="n">
        <f aca="false">'CEMIUP0.9 Raw'!G1483</f>
        <v>3517.73431578947</v>
      </c>
      <c r="H704" s="18" t="str">
        <f aca="false">'CEMIUP0.9 Raw'!A1483</f>
        <v>Super-Pharm Israel (CEMI internal group)</v>
      </c>
    </row>
    <row r="705" customFormat="false" ht="15" hidden="false" customHeight="false" outlineLevel="0" collapsed="false">
      <c r="A705" s="18" t="n">
        <f aca="false">'SALES Raw'!G2306</f>
        <v>4421000</v>
      </c>
      <c r="B705" s="18" t="str">
        <f aca="false">'SALES Raw'!B2306</f>
        <v>3655 0</v>
      </c>
      <c r="C705" s="18" t="str">
        <f aca="false">'SALES Raw'!H2306</f>
        <v>3655 שרוול מסיליקון לאצבע</v>
      </c>
      <c r="D705" s="19" t="n">
        <f aca="false">'SALES Raw'!C2306</f>
        <v>51</v>
      </c>
      <c r="E705" s="19" t="n">
        <f aca="false">'SALES Raw'!D2306</f>
        <v>1617.89</v>
      </c>
      <c r="F705" s="19" t="n">
        <f aca="false">'SALES Raw'!E2306*$H$4</f>
        <v>123.789473684211</v>
      </c>
      <c r="G705" s="19" t="n">
        <f aca="false">'SALES Raw'!F2306*$H$4</f>
        <v>3987.00631578947</v>
      </c>
      <c r="H705" s="18" t="str">
        <f aca="false">'SALES Raw'!A2306</f>
        <v>114 - IL online</v>
      </c>
    </row>
    <row r="706" customFormat="false" ht="15" hidden="false" customHeight="false" outlineLevel="0" collapsed="false">
      <c r="A706" s="18" t="n">
        <f aca="false">'SALES Raw'!G2659</f>
        <v>4413440</v>
      </c>
      <c r="B706" s="18" t="str">
        <f aca="false">'SALES Raw'!B2659</f>
        <v>SC422 L</v>
      </c>
      <c r="C706" s="18" t="str">
        <f aca="false">'SALES Raw'!H2659</f>
        <v>SC422  L מגן ברך</v>
      </c>
      <c r="D706" s="19" t="n">
        <f aca="false">'SALES Raw'!C2659</f>
        <v>104</v>
      </c>
      <c r="E706" s="19" t="n">
        <f aca="false">'SALES Raw'!D2659</f>
        <v>22533.16</v>
      </c>
      <c r="F706" s="19" t="n">
        <f aca="false">'SALES Raw'!E2659*$H$4</f>
        <v>123.789473684211</v>
      </c>
      <c r="G706" s="19" t="n">
        <f aca="false">'SALES Raw'!F2659*$H$4</f>
        <v>27464.4</v>
      </c>
      <c r="H706" s="18" t="str">
        <f aca="false">'SALES Raw'!A2659</f>
        <v>114 - IL online</v>
      </c>
    </row>
    <row r="707" customFormat="false" ht="15" hidden="false" customHeight="false" outlineLevel="0" collapsed="false">
      <c r="A707" s="18" t="n">
        <f aca="false">'CEMIUP0.9 Raw'!B397</f>
        <v>4413397</v>
      </c>
      <c r="B707" s="18" t="str">
        <f aca="false">'CEMIUP0.9 Raw'!C397</f>
        <v>45EC XL'מגן ברך ארוך בז</v>
      </c>
      <c r="C707" s="18" t="str">
        <f aca="false">'CEMIUP0.9 Raw'!C397</f>
        <v>45EC XL'מגן ברך ארוך בז</v>
      </c>
      <c r="D707" s="19" t="n">
        <f aca="false">'CEMIUP0.9 Raw'!D397</f>
        <v>103</v>
      </c>
      <c r="E707" s="19" t="n">
        <f aca="false">'CEMIUP0.9 Raw'!E397</f>
        <v>3375.736</v>
      </c>
      <c r="F707" s="19" t="n">
        <f aca="false">'CEMIUP0.9 Raw'!F397</f>
        <v>122.526315789474</v>
      </c>
      <c r="G707" s="19" t="n">
        <f aca="false">'CEMIUP0.9 Raw'!G397</f>
        <v>4064.62231578947</v>
      </c>
      <c r="H707" s="18" t="str">
        <f aca="false">'CEMIUP0.9 Raw'!A397</f>
        <v>107 - Pharmacies</v>
      </c>
    </row>
    <row r="708" customFormat="false" ht="15" hidden="false" customHeight="false" outlineLevel="0" collapsed="false">
      <c r="A708" s="18" t="n">
        <f aca="false">'CEMIUP0.9 Raw'!B810</f>
        <v>4413138</v>
      </c>
      <c r="B708" s="18" t="str">
        <f aca="false">'CEMIUP0.9 Raw'!C810</f>
        <v>85 XL (מתלה ליד )כיס</v>
      </c>
      <c r="C708" s="18" t="str">
        <f aca="false">'CEMIUP0.9 Raw'!C810</f>
        <v>85 XL (מתלה ליד )כיס</v>
      </c>
      <c r="D708" s="19" t="n">
        <f aca="false">'CEMIUP0.9 Raw'!D810</f>
        <v>133</v>
      </c>
      <c r="E708" s="19" t="n">
        <f aca="false">'CEMIUP0.9 Raw'!E810</f>
        <v>4655</v>
      </c>
      <c r="F708" s="19" t="n">
        <f aca="false">'CEMIUP0.9 Raw'!F810</f>
        <v>122.526315789474</v>
      </c>
      <c r="G708" s="19" t="n">
        <f aca="false">'CEMIUP0.9 Raw'!G810</f>
        <v>3902.63115789474</v>
      </c>
      <c r="H708" s="18" t="str">
        <f aca="false">'CEMIUP0.9 Raw'!A810</f>
        <v>113 - Kupat Holim Meuhedet</v>
      </c>
    </row>
    <row r="709" customFormat="false" ht="15" hidden="false" customHeight="false" outlineLevel="0" collapsed="false">
      <c r="A709" s="18" t="n">
        <f aca="false">'CEMIUP0.9 Raw'!B1523</f>
        <v>4413156</v>
      </c>
      <c r="B709" s="18" t="str">
        <f aca="false">'CEMIUP0.9 Raw'!C1523</f>
        <v>305GA מדרס אורטופ.מתכוון41-42</v>
      </c>
      <c r="C709" s="18" t="str">
        <f aca="false">'CEMIUP0.9 Raw'!C1523</f>
        <v>305GA מדרס אורטופ.מתכוון41-42</v>
      </c>
      <c r="D709" s="19" t="n">
        <f aca="false">'CEMIUP0.9 Raw'!D1523</f>
        <v>173</v>
      </c>
      <c r="E709" s="19" t="n">
        <f aca="false">'CEMIUP0.9 Raw'!E1523</f>
        <v>10224.487</v>
      </c>
      <c r="F709" s="19" t="n">
        <f aca="false">'CEMIUP0.9 Raw'!F1523</f>
        <v>122.526315789474</v>
      </c>
      <c r="G709" s="19" t="n">
        <f aca="false">'CEMIUP0.9 Raw'!G1523</f>
        <v>7229.95957894737</v>
      </c>
      <c r="H709" s="18" t="str">
        <f aca="false">'CEMIUP0.9 Raw'!A1523</f>
        <v>Super-Pharm Israel (CEMI internal group)</v>
      </c>
    </row>
    <row r="710" customFormat="false" ht="15" hidden="false" customHeight="false" outlineLevel="0" collapsed="false">
      <c r="A710" s="18" t="n">
        <f aca="false">'SALES Raw'!G3290</f>
        <v>4401014</v>
      </c>
      <c r="B710" s="18" t="str">
        <f aca="false">'SALES Raw'!B3290</f>
        <v>805AT-W</v>
      </c>
      <c r="C710" s="18" t="str">
        <f aca="false">'SALES Raw'!H3290</f>
        <v>805AT-W  אתלטיק טייפ לבן 20מ""""מ</v>
      </c>
      <c r="D710" s="19" t="n">
        <f aca="false">'SALES Raw'!C3290</f>
        <v>55</v>
      </c>
      <c r="E710" s="19" t="n">
        <f aca="false">'SALES Raw'!D3290</f>
        <v>490.11</v>
      </c>
      <c r="F710" s="19" t="n">
        <f aca="false">'SALES Raw'!E3290*$H$4</f>
        <v>122.526315789474</v>
      </c>
      <c r="G710" s="19" t="n">
        <f aca="false">'SALES Raw'!F3290*$H$4</f>
        <v>983.532631578947</v>
      </c>
      <c r="H710" s="18" t="str">
        <f aca="false">'SALES Raw'!A3290</f>
        <v>204 - Sanaflex Anatomic GREECE</v>
      </c>
    </row>
    <row r="711" customFormat="false" ht="15" hidden="false" customHeight="false" outlineLevel="0" collapsed="false">
      <c r="A711" s="18" t="n">
        <f aca="false">'SALES Raw'!G3141</f>
        <v>4408218</v>
      </c>
      <c r="B711" s="18" t="str">
        <f aca="false">'SALES Raw'!B3141</f>
        <v>078 XL</v>
      </c>
      <c r="C711" s="18" t="str">
        <f aca="false">'SALES Raw'!H3141</f>
        <v>078XL חגורת גב +סגירה כפולה</v>
      </c>
      <c r="D711" s="19" t="n">
        <f aca="false">'SALES Raw'!C3141</f>
        <v>170</v>
      </c>
      <c r="E711" s="19" t="n">
        <f aca="false">'SALES Raw'!D3141</f>
        <v>8877.12</v>
      </c>
      <c r="F711" s="19" t="n">
        <f aca="false">'SALES Raw'!E3141*$H$4</f>
        <v>120</v>
      </c>
      <c r="G711" s="19" t="n">
        <f aca="false">'SALES Raw'!F3141*$H$4</f>
        <v>5673.56210526316</v>
      </c>
      <c r="H711" s="18" t="str">
        <f aca="false">'SALES Raw'!A3141</f>
        <v>204 - Sanaflex Anatomic GREECE</v>
      </c>
    </row>
    <row r="712" customFormat="false" ht="15" hidden="false" customHeight="false" outlineLevel="0" collapsed="false">
      <c r="A712" s="18" t="str">
        <f aca="false">'SALES Raw'!G3188</f>
        <v/>
      </c>
      <c r="B712" s="18" t="str">
        <f aca="false">'SALES Raw'!B3188</f>
        <v>305-37-38</v>
      </c>
      <c r="C712" s="18" t="str">
        <f aca="false">'SALES Raw'!H3188</f>
        <v>305-37-38</v>
      </c>
      <c r="D712" s="19" t="n">
        <f aca="false">'SALES Raw'!C3188</f>
        <v>75</v>
      </c>
      <c r="E712" s="19" t="n">
        <f aca="false">'SALES Raw'!D3188</f>
        <v>2630.01</v>
      </c>
      <c r="F712" s="19" t="n">
        <f aca="false">'SALES Raw'!E3188*$H$4</f>
        <v>120</v>
      </c>
      <c r="G712" s="19" t="n">
        <f aca="false">'SALES Raw'!F3188*$H$4</f>
        <v>3782.18526315789</v>
      </c>
      <c r="H712" s="18" t="str">
        <f aca="false">'SALES Raw'!A3188</f>
        <v>204 - Sanaflex Anatomic GREECE</v>
      </c>
    </row>
    <row r="713" customFormat="false" ht="15" hidden="false" customHeight="false" outlineLevel="0" collapsed="false">
      <c r="A713" s="18" t="n">
        <f aca="false">'SALES Raw'!G3210</f>
        <v>4413491</v>
      </c>
      <c r="B713" s="18" t="str">
        <f aca="false">'SALES Raw'!B3210</f>
        <v>35B XL</v>
      </c>
      <c r="C713" s="18" t="str">
        <f aca="false">'SALES Raw'!H3210</f>
        <v>35B XL מגן קרסול שחור</v>
      </c>
      <c r="D713" s="19" t="n">
        <f aca="false">'SALES Raw'!C3210</f>
        <v>155</v>
      </c>
      <c r="E713" s="19" t="n">
        <f aca="false">'SALES Raw'!D3210</f>
        <v>1691.59</v>
      </c>
      <c r="F713" s="19" t="n">
        <f aca="false">'SALES Raw'!E3210*$H$4</f>
        <v>120</v>
      </c>
      <c r="G713" s="19" t="n">
        <f aca="false">'SALES Raw'!F3210*$H$4</f>
        <v>1164.75789473684</v>
      </c>
      <c r="H713" s="18" t="str">
        <f aca="false">'SALES Raw'!A3210</f>
        <v>204 - Sanaflex Anatomic GREECE</v>
      </c>
    </row>
    <row r="714" customFormat="false" ht="15" hidden="false" customHeight="false" outlineLevel="0" collapsed="false">
      <c r="A714" s="18" t="n">
        <f aca="false">'SALES Raw'!G3817</f>
        <v>4413059</v>
      </c>
      <c r="B714" s="18" t="str">
        <f aca="false">'SALES Raw'!B3817</f>
        <v>364-S-L</v>
      </c>
      <c r="C714" s="18" t="str">
        <f aca="false">'SALES Raw'!H3817</f>
        <v>364S Lמפר.אצבע סיליק. ליבל.זוג</v>
      </c>
      <c r="D714" s="19" t="n">
        <f aca="false">'SALES Raw'!C3817</f>
        <v>335</v>
      </c>
      <c r="E714" s="19" t="n">
        <f aca="false">'SALES Raw'!D3817</f>
        <v>2009.52</v>
      </c>
      <c r="F714" s="19" t="n">
        <f aca="false">'SALES Raw'!E3817*$H$4</f>
        <v>120</v>
      </c>
      <c r="G714" s="19" t="n">
        <f aca="false">'SALES Raw'!F3817*$H$4</f>
        <v>729.84</v>
      </c>
      <c r="H714" s="18" t="str">
        <f aca="false">'SALES Raw'!A3817</f>
        <v>209 - Ortoprofil Prod ROMANIA</v>
      </c>
    </row>
    <row r="715" customFormat="false" ht="15" hidden="false" customHeight="false" outlineLevel="0" collapsed="false">
      <c r="A715" s="18" t="n">
        <f aca="false">'CEMIUP0.9 Raw'!B72</f>
        <v>4408046</v>
      </c>
      <c r="B715" s="18" t="str">
        <f aca="false">'CEMIUP0.9 Raw'!C72</f>
        <v>20 L חבק יד מתכוון עם צמדן</v>
      </c>
      <c r="C715" s="18" t="str">
        <f aca="false">'CEMIUP0.9 Raw'!C72</f>
        <v>20 L חבק יד מתכוון עם צמדן</v>
      </c>
      <c r="D715" s="19" t="n">
        <f aca="false">'CEMIUP0.9 Raw'!D72</f>
        <v>170</v>
      </c>
      <c r="E715" s="19" t="n">
        <f aca="false">'CEMIUP0.9 Raw'!E72</f>
        <v>5070.08</v>
      </c>
      <c r="F715" s="19" t="n">
        <f aca="false">'CEMIUP0.9 Raw'!F72</f>
        <v>120</v>
      </c>
      <c r="G715" s="19" t="n">
        <f aca="false">'CEMIUP0.9 Raw'!G72</f>
        <v>3526.93010526316</v>
      </c>
      <c r="H715" s="18" t="str">
        <f aca="false">'CEMIUP0.9 Raw'!A72</f>
        <v>107 - Pharmacies</v>
      </c>
    </row>
    <row r="716" customFormat="false" ht="15" hidden="false" customHeight="false" outlineLevel="0" collapsed="false">
      <c r="A716" s="18" t="n">
        <f aca="false">'CEMIUP0.9 Raw'!B238</f>
        <v>4413050</v>
      </c>
      <c r="B716" s="18" t="str">
        <f aca="false">'CEMIUP0.9 Raw'!C238</f>
        <v>35 XL מגן קרסול לבן</v>
      </c>
      <c r="C716" s="18" t="str">
        <f aca="false">'CEMIUP0.9 Raw'!C238</f>
        <v>35 XL מגן קרסול לבן</v>
      </c>
      <c r="D716" s="19" t="n">
        <f aca="false">'CEMIUP0.9 Raw'!D238</f>
        <v>165</v>
      </c>
      <c r="E716" s="19" t="n">
        <f aca="false">'CEMIUP0.9 Raw'!E238</f>
        <v>4519.521</v>
      </c>
      <c r="F716" s="19" t="n">
        <f aca="false">'CEMIUP0.9 Raw'!F238</f>
        <v>120</v>
      </c>
      <c r="G716" s="19" t="n">
        <f aca="false">'CEMIUP0.9 Raw'!G238</f>
        <v>3294.78947368421</v>
      </c>
      <c r="H716" s="18" t="str">
        <f aca="false">'CEMIUP0.9 Raw'!A238</f>
        <v>107 - Pharmacies</v>
      </c>
    </row>
    <row r="717" customFormat="false" ht="15" hidden="false" customHeight="false" outlineLevel="0" collapsed="false">
      <c r="A717" s="18" t="n">
        <f aca="false">'CEMIUP0.9 Raw'!B822</f>
        <v>4413161</v>
      </c>
      <c r="B717" s="18" t="str">
        <f aca="false">'CEMIUP0.9 Raw'!C822</f>
        <v>34+ L מגן קרסול עקב סגור+רצוע</v>
      </c>
      <c r="C717" s="18" t="str">
        <f aca="false">'CEMIUP0.9 Raw'!C822</f>
        <v>34+ L מגן קרסול עקב סגור+רצוע</v>
      </c>
      <c r="D717" s="19" t="n">
        <f aca="false">'CEMIUP0.9 Raw'!D822</f>
        <v>105</v>
      </c>
      <c r="E717" s="19" t="n">
        <f aca="false">'CEMIUP0.9 Raw'!E822</f>
        <v>4427.85</v>
      </c>
      <c r="F717" s="19" t="n">
        <f aca="false">'CEMIUP0.9 Raw'!F822</f>
        <v>120</v>
      </c>
      <c r="G717" s="19" t="n">
        <f aca="false">'CEMIUP0.9 Raw'!G822</f>
        <v>4721.472</v>
      </c>
      <c r="H717" s="18" t="str">
        <f aca="false">'CEMIUP0.9 Raw'!A822</f>
        <v>113 - Kupat Holim Meuhedet</v>
      </c>
    </row>
    <row r="718" customFormat="false" ht="15" hidden="false" customHeight="false" outlineLevel="0" collapsed="false">
      <c r="A718" s="18" t="n">
        <f aca="false">'CEMIUP0.9 Raw'!B1094</f>
        <v>4413097</v>
      </c>
      <c r="B718" s="18" t="str">
        <f aca="false">'CEMIUP0.9 Raw'!C1094</f>
        <v>45C S מגן ברך חום</v>
      </c>
      <c r="C718" s="18" t="str">
        <f aca="false">'CEMIUP0.9 Raw'!C1094</f>
        <v>45C S מגן ברך חום</v>
      </c>
      <c r="D718" s="19" t="n">
        <f aca="false">'CEMIUP0.9 Raw'!D1094</f>
        <v>154</v>
      </c>
      <c r="E718" s="19" t="n">
        <f aca="false">'CEMIUP0.9 Raw'!E1094</f>
        <v>3893.981</v>
      </c>
      <c r="F718" s="19" t="n">
        <f aca="false">'CEMIUP0.9 Raw'!F1094</f>
        <v>120</v>
      </c>
      <c r="G718" s="19" t="n">
        <f aca="false">'CEMIUP0.9 Raw'!G1094</f>
        <v>3035.98989473684</v>
      </c>
      <c r="H718" s="18" t="str">
        <f aca="false">'CEMIUP0.9 Raw'!A1094</f>
        <v>BE (CEMI internal group)</v>
      </c>
    </row>
    <row r="719" customFormat="false" ht="15" hidden="false" customHeight="false" outlineLevel="0" collapsed="false">
      <c r="A719" s="18" t="n">
        <f aca="false">'CEMIUP0.9 Raw'!B1379</f>
        <v>4408223</v>
      </c>
      <c r="B719" s="18" t="str">
        <f aca="false">'CEMIUP0.9 Raw'!C1379</f>
        <v>078G-XXLחגורת גב אפורה</v>
      </c>
      <c r="C719" s="18" t="str">
        <f aca="false">'CEMIUP0.9 Raw'!C1379</f>
        <v>078G-XXLחגורת גב אפורה</v>
      </c>
      <c r="D719" s="19" t="n">
        <f aca="false">'CEMIUP0.9 Raw'!D1379</f>
        <v>161</v>
      </c>
      <c r="E719" s="19" t="n">
        <f aca="false">'CEMIUP0.9 Raw'!E1379</f>
        <v>13446.615</v>
      </c>
      <c r="F719" s="19" t="n">
        <f aca="false">'CEMIUP0.9 Raw'!F1379</f>
        <v>120</v>
      </c>
      <c r="G719" s="19" t="n">
        <f aca="false">'CEMIUP0.9 Raw'!G1379</f>
        <v>10224.3385263158</v>
      </c>
      <c r="H719" s="18" t="str">
        <f aca="false">'CEMIUP0.9 Raw'!A1379</f>
        <v>Super-Pharm Israel (CEMI internal group)</v>
      </c>
    </row>
    <row r="720" customFormat="false" ht="15" hidden="false" customHeight="false" outlineLevel="0" collapsed="false">
      <c r="A720" s="18" t="n">
        <f aca="false">'CEMIUP0.9 Raw'!B568</f>
        <v>4421001</v>
      </c>
      <c r="B720" s="18" t="str">
        <f aca="false">'CEMIUP0.9 Raw'!C568</f>
        <v>3611 שרוול מטטרזלי מסיליקון</v>
      </c>
      <c r="C720" s="18" t="str">
        <f aca="false">'CEMIUP0.9 Raw'!C568</f>
        <v>3611 שרוול מטטרזלי מסיליקון</v>
      </c>
      <c r="D720" s="19" t="n">
        <f aca="false">'CEMIUP0.9 Raw'!D568</f>
        <v>169</v>
      </c>
      <c r="E720" s="19" t="n">
        <f aca="false">'CEMIUP0.9 Raw'!E568</f>
        <v>8892.649</v>
      </c>
      <c r="F720" s="19" t="n">
        <f aca="false">'CEMIUP0.9 Raw'!F568</f>
        <v>118.736842105263</v>
      </c>
      <c r="G720" s="19" t="n">
        <f aca="false">'CEMIUP0.9 Raw'!G568</f>
        <v>6368.67410526316</v>
      </c>
      <c r="H720" s="18" t="str">
        <f aca="false">'CEMIUP0.9 Raw'!A568</f>
        <v>107 - Pharmacies</v>
      </c>
    </row>
    <row r="721" customFormat="false" ht="15" hidden="false" customHeight="false" outlineLevel="0" collapsed="false">
      <c r="A721" s="18" t="str">
        <f aca="false">'SALES Raw'!G2369</f>
        <v/>
      </c>
      <c r="B721" s="18" t="str">
        <f aca="false">'SALES Raw'!B2369</f>
        <v>395W-39-42</v>
      </c>
      <c r="C721" s="18" t="str">
        <f aca="false">'SALES Raw'!H2369</f>
        <v>395W-39-42</v>
      </c>
      <c r="D721" s="19" t="n">
        <f aca="false">'SALES Raw'!C2369</f>
        <v>0</v>
      </c>
      <c r="E721" s="19" t="n">
        <f aca="false">'SALES Raw'!D2369</f>
        <v>0</v>
      </c>
      <c r="F721" s="19" t="n">
        <f aca="false">'SALES Raw'!E2369*$H$4</f>
        <v>117.473684210526</v>
      </c>
      <c r="G721" s="19" t="n">
        <f aca="false">'SALES Raw'!F2369*$H$4</f>
        <v>5472.73263157895</v>
      </c>
      <c r="H721" s="18" t="str">
        <f aca="false">'SALES Raw'!A2369</f>
        <v>114 - IL online</v>
      </c>
    </row>
    <row r="722" customFormat="false" ht="15" hidden="false" customHeight="false" outlineLevel="0" collapsed="false">
      <c r="A722" s="18" t="n">
        <f aca="false">'SALES Raw'!G3060</f>
        <v>4415162</v>
      </c>
      <c r="B722" s="18" t="str">
        <f aca="false">'SALES Raw'!B3060</f>
        <v>238 L</v>
      </c>
      <c r="C722" s="18" t="str">
        <f aca="false">'SALES Raw'!H3060</f>
        <v>238L סד ליישור אצבע</v>
      </c>
      <c r="D722" s="19" t="n">
        <f aca="false">'SALES Raw'!C3060</f>
        <v>180</v>
      </c>
      <c r="E722" s="19" t="n">
        <f aca="false">'SALES Raw'!D3060</f>
        <v>1479.51</v>
      </c>
      <c r="F722" s="19" t="n">
        <f aca="false">'SALES Raw'!E3060*$H$4</f>
        <v>117.473684210526</v>
      </c>
      <c r="G722" s="19" t="n">
        <f aca="false">'SALES Raw'!F3060*$H$4</f>
        <v>901.023157894737</v>
      </c>
      <c r="H722" s="18" t="str">
        <f aca="false">'SALES Raw'!A3060</f>
        <v>203 - Ortho- Partner ag SWITZERLAND</v>
      </c>
    </row>
    <row r="723" customFormat="false" ht="15" hidden="false" customHeight="false" outlineLevel="0" collapsed="false">
      <c r="A723" s="18" t="n">
        <f aca="false">'CEMIUP0.9 Raw'!B792</f>
        <v>4413096</v>
      </c>
      <c r="B723" s="18" t="str">
        <f aca="false">'CEMIUP0.9 Raw'!C792</f>
        <v>45 XXL מגן ברך לבן</v>
      </c>
      <c r="C723" s="18" t="str">
        <f aca="false">'CEMIUP0.9 Raw'!C792</f>
        <v>45 XXL מגן ברך לבן</v>
      </c>
      <c r="D723" s="19" t="n">
        <f aca="false">'CEMIUP0.9 Raw'!D792</f>
        <v>178</v>
      </c>
      <c r="E723" s="19" t="n">
        <f aca="false">'CEMIUP0.9 Raw'!E792</f>
        <v>2937</v>
      </c>
      <c r="F723" s="19" t="n">
        <f aca="false">'CEMIUP0.9 Raw'!F792</f>
        <v>117.473684210526</v>
      </c>
      <c r="G723" s="19" t="n">
        <f aca="false">'CEMIUP0.9 Raw'!G792</f>
        <v>1797.96757894737</v>
      </c>
      <c r="H723" s="18" t="str">
        <f aca="false">'CEMIUP0.9 Raw'!A792</f>
        <v>113 - Kupat Holim Meuhedet</v>
      </c>
    </row>
    <row r="724" customFormat="false" ht="15" hidden="false" customHeight="false" outlineLevel="0" collapsed="false">
      <c r="A724" s="18" t="n">
        <f aca="false">'CEMIUP0.9 Raw'!B1234</f>
        <v>4416003</v>
      </c>
      <c r="B724" s="18" t="str">
        <f aca="false">'CEMIUP0.9 Raw'!C1234</f>
        <v>308 Lעקבים סיליקון כחול לדורבן</v>
      </c>
      <c r="C724" s="18" t="str">
        <f aca="false">'CEMIUP0.9 Raw'!C1234</f>
        <v>308 Lעקבים סיליקון כחול לדורבן</v>
      </c>
      <c r="D724" s="19" t="n">
        <f aca="false">'CEMIUP0.9 Raw'!D1234</f>
        <v>94</v>
      </c>
      <c r="E724" s="19" t="n">
        <f aca="false">'CEMIUP0.9 Raw'!E1234</f>
        <v>4663.659</v>
      </c>
      <c r="F724" s="19" t="n">
        <f aca="false">'CEMIUP0.9 Raw'!F1234</f>
        <v>117.473684210526</v>
      </c>
      <c r="G724" s="19" t="n">
        <f aca="false">'CEMIUP0.9 Raw'!G1234</f>
        <v>5828.29136842105</v>
      </c>
      <c r="H724" s="18" t="str">
        <f aca="false">'CEMIUP0.9 Raw'!A1234</f>
        <v>BE (CEMI internal group)</v>
      </c>
    </row>
    <row r="725" customFormat="false" ht="15" hidden="false" customHeight="false" outlineLevel="0" collapsed="false">
      <c r="A725" s="18" t="n">
        <f aca="false">'SALES Raw'!G2296</f>
        <v>4411001</v>
      </c>
      <c r="B725" s="18" t="str">
        <f aca="false">'SALES Raw'!B2296</f>
        <v>3623 0</v>
      </c>
      <c r="C725" s="18" t="str">
        <f aca="false">'SALES Raw'!H2296</f>
        <v>3623 כרית ליישור אצבע פטיש</v>
      </c>
      <c r="D725" s="19" t="n">
        <f aca="false">'SALES Raw'!C2296</f>
        <v>52</v>
      </c>
      <c r="E725" s="19" t="n">
        <f aca="false">'SALES Raw'!D2296</f>
        <v>2526.33</v>
      </c>
      <c r="F725" s="19" t="n">
        <f aca="false">'SALES Raw'!E2296*$H$4</f>
        <v>116.210526315789</v>
      </c>
      <c r="G725" s="19" t="n">
        <f aca="false">'SALES Raw'!F2296*$H$4</f>
        <v>5769.51157894737</v>
      </c>
      <c r="H725" s="18" t="str">
        <f aca="false">'SALES Raw'!A2296</f>
        <v>114 - IL online</v>
      </c>
    </row>
    <row r="726" customFormat="false" ht="15" hidden="false" customHeight="false" outlineLevel="0" collapsed="false">
      <c r="A726" s="18" t="n">
        <f aca="false">'SALES Raw'!G2660</f>
        <v>4413439</v>
      </c>
      <c r="B726" s="18" t="str">
        <f aca="false">'SALES Raw'!B2660</f>
        <v>SC422 M</v>
      </c>
      <c r="C726" s="18" t="str">
        <f aca="false">'SALES Raw'!H2660</f>
        <v>SC422  M מגן ברך</v>
      </c>
      <c r="D726" s="19" t="n">
        <f aca="false">'SALES Raw'!C2660</f>
        <v>110</v>
      </c>
      <c r="E726" s="19" t="n">
        <f aca="false">'SALES Raw'!D2660</f>
        <v>23786.53</v>
      </c>
      <c r="F726" s="19" t="n">
        <f aca="false">'SALES Raw'!E2660*$H$4</f>
        <v>116.210526315789</v>
      </c>
      <c r="G726" s="19" t="n">
        <f aca="false">'SALES Raw'!F2660*$H$4</f>
        <v>25798.8505263158</v>
      </c>
      <c r="H726" s="18" t="str">
        <f aca="false">'SALES Raw'!A2660</f>
        <v>114 - IL online</v>
      </c>
    </row>
    <row r="727" customFormat="false" ht="15" hidden="false" customHeight="false" outlineLevel="0" collapsed="false">
      <c r="A727" s="18" t="n">
        <f aca="false">'CEMIUP0.9 Raw'!B275</f>
        <v>4413102</v>
      </c>
      <c r="B727" s="18" t="str">
        <f aca="false">'CEMIUP0.9 Raw'!C275</f>
        <v>45E  L        מגן ברך ארוך לבן</v>
      </c>
      <c r="C727" s="18" t="str">
        <f aca="false">'CEMIUP0.9 Raw'!C275</f>
        <v>45E  L        מגן ברך ארוך לבן</v>
      </c>
      <c r="D727" s="19" t="n">
        <f aca="false">'CEMIUP0.9 Raw'!D275</f>
        <v>151</v>
      </c>
      <c r="E727" s="19" t="n">
        <f aca="false">'CEMIUP0.9 Raw'!E275</f>
        <v>4986.189</v>
      </c>
      <c r="F727" s="19" t="n">
        <f aca="false">'CEMIUP0.9 Raw'!F275</f>
        <v>116.210526315789</v>
      </c>
      <c r="G727" s="19" t="n">
        <f aca="false">'CEMIUP0.9 Raw'!G275</f>
        <v>3822.25136842105</v>
      </c>
      <c r="H727" s="18" t="str">
        <f aca="false">'CEMIUP0.9 Raw'!A275</f>
        <v>107 - Pharmacies</v>
      </c>
    </row>
    <row r="728" customFormat="false" ht="15" hidden="false" customHeight="false" outlineLevel="0" collapsed="false">
      <c r="A728" s="18" t="n">
        <f aca="false">'CEMIUP0.9 Raw'!B573</f>
        <v>4421008</v>
      </c>
      <c r="B728" s="18" t="str">
        <f aca="false">'CEMIUP0.9 Raw'!C573</f>
        <v>שרוול לגבס ארוך רגל</v>
      </c>
      <c r="C728" s="18" t="str">
        <f aca="false">'CEMIUP0.9 Raw'!C573</f>
        <v>שרוול לגבס ארוך רגל</v>
      </c>
      <c r="D728" s="19" t="n">
        <f aca="false">'CEMIUP0.9 Raw'!D573</f>
        <v>104</v>
      </c>
      <c r="E728" s="19" t="n">
        <f aca="false">'CEMIUP0.9 Raw'!E573</f>
        <v>4346.008</v>
      </c>
      <c r="F728" s="19" t="n">
        <f aca="false">'CEMIUP0.9 Raw'!F573</f>
        <v>116.210526315789</v>
      </c>
      <c r="G728" s="19" t="n">
        <f aca="false">'CEMIUP0.9 Raw'!G573</f>
        <v>4801.88715789474</v>
      </c>
      <c r="H728" s="18" t="str">
        <f aca="false">'CEMIUP0.9 Raw'!A573</f>
        <v>107 - Pharmacies</v>
      </c>
    </row>
    <row r="729" customFormat="false" ht="15" hidden="false" customHeight="false" outlineLevel="0" collapsed="false">
      <c r="A729" s="18" t="n">
        <f aca="false">'CEMIUP0.9 Raw'!B757</f>
        <v>4409017</v>
      </c>
      <c r="B729" s="18" t="str">
        <f aca="false">'CEMIUP0.9 Raw'!C757</f>
        <v>808KT-B        טייפ קינזיולוגי</v>
      </c>
      <c r="C729" s="18" t="str">
        <f aca="false">'CEMIUP0.9 Raw'!C757</f>
        <v>808KT-B        טייפ קינזיולוגי</v>
      </c>
      <c r="D729" s="19" t="n">
        <f aca="false">'CEMIUP0.9 Raw'!D757</f>
        <v>84</v>
      </c>
      <c r="E729" s="19" t="n">
        <f aca="false">'CEMIUP0.9 Raw'!E757</f>
        <v>2100</v>
      </c>
      <c r="F729" s="19" t="n">
        <f aca="false">'CEMIUP0.9 Raw'!F757</f>
        <v>116.210526315789</v>
      </c>
      <c r="G729" s="19" t="n">
        <f aca="false">'CEMIUP0.9 Raw'!G757</f>
        <v>2734.73684210526</v>
      </c>
      <c r="H729" s="18" t="str">
        <f aca="false">'CEMIUP0.9 Raw'!A757</f>
        <v>113 - Kupat Holim Meuhedet</v>
      </c>
    </row>
    <row r="730" customFormat="false" ht="15" hidden="false" customHeight="false" outlineLevel="0" collapsed="false">
      <c r="A730" s="18" t="n">
        <f aca="false">'CEMIUP0.9 Raw'!B862</f>
        <v>4420003</v>
      </c>
      <c r="B730" s="18" t="str">
        <f aca="false">'CEMIUP0.9 Raw'!C862</f>
        <v>374 רפידת בולמת זעזועים -זוג</v>
      </c>
      <c r="C730" s="18" t="str">
        <f aca="false">'CEMIUP0.9 Raw'!C862</f>
        <v>374 רפידת בולמת זעזועים -זוג</v>
      </c>
      <c r="D730" s="19" t="n">
        <f aca="false">'CEMIUP0.9 Raw'!D862</f>
        <v>170</v>
      </c>
      <c r="E730" s="19" t="n">
        <f aca="false">'CEMIUP0.9 Raw'!E862</f>
        <v>1669.4</v>
      </c>
      <c r="F730" s="19" t="n">
        <f aca="false">'CEMIUP0.9 Raw'!F862</f>
        <v>116.210526315789</v>
      </c>
      <c r="G730" s="19" t="n">
        <f aca="false">'CEMIUP0.9 Raw'!G862</f>
        <v>1055.42147368421</v>
      </c>
      <c r="H730" s="18" t="str">
        <f aca="false">'CEMIUP0.9 Raw'!A862</f>
        <v>113 - Kupat Holim Meuhedet</v>
      </c>
    </row>
    <row r="731" customFormat="false" ht="15" hidden="false" customHeight="false" outlineLevel="0" collapsed="false">
      <c r="A731" s="18" t="n">
        <f aca="false">'CEMIUP0.9 Raw'!B1317</f>
        <v>4408031</v>
      </c>
      <c r="B731" s="18" t="str">
        <f aca="false">'CEMIUP0.9 Raw'!C1317</f>
        <v>11 S""חגורת בטן""אורירית</v>
      </c>
      <c r="C731" s="18" t="str">
        <f aca="false">'CEMIUP0.9 Raw'!C1317</f>
        <v>11 S""חגורת בטן""אורירית</v>
      </c>
      <c r="D731" s="19" t="n">
        <f aca="false">'CEMIUP0.9 Raw'!D1317</f>
        <v>147</v>
      </c>
      <c r="E731" s="19" t="n">
        <f aca="false">'CEMIUP0.9 Raw'!E1317</f>
        <v>12052.677</v>
      </c>
      <c r="F731" s="19" t="n">
        <f aca="false">'CEMIUP0.9 Raw'!F1317</f>
        <v>116.210526315789</v>
      </c>
      <c r="G731" s="19" t="n">
        <f aca="false">'CEMIUP0.9 Raw'!G1317</f>
        <v>9783.74526315789</v>
      </c>
      <c r="H731" s="18" t="str">
        <f aca="false">'CEMIUP0.9 Raw'!A1317</f>
        <v>Super-Pharm Israel (CEMI internal group)</v>
      </c>
    </row>
    <row r="732" customFormat="false" ht="15" hidden="false" customHeight="false" outlineLevel="0" collapsed="false">
      <c r="A732" s="18" t="n">
        <f aca="false">'CEMIUP0.9 Raw'!B539</f>
        <v>4420001</v>
      </c>
      <c r="B732" s="18" t="str">
        <f aca="false">'CEMIUP0.9 Raw'!C539</f>
        <v>371 רפידת מגבת כותנה-זוג</v>
      </c>
      <c r="C732" s="18" t="str">
        <f aca="false">'CEMIUP0.9 Raw'!C539</f>
        <v>371 רפידת מגבת כותנה-זוג</v>
      </c>
      <c r="D732" s="19" t="n">
        <f aca="false">'CEMIUP0.9 Raw'!D539</f>
        <v>159</v>
      </c>
      <c r="E732" s="19" t="n">
        <f aca="false">'CEMIUP0.9 Raw'!E539</f>
        <v>1605.531</v>
      </c>
      <c r="F732" s="19" t="n">
        <f aca="false">'CEMIUP0.9 Raw'!F539</f>
        <v>114.947368421053</v>
      </c>
      <c r="G732" s="19" t="n">
        <f aca="false">'CEMIUP0.9 Raw'!G539</f>
        <v>1147.15326315789</v>
      </c>
      <c r="H732" s="18" t="str">
        <f aca="false">'CEMIUP0.9 Raw'!A539</f>
        <v>107 - Pharmacies</v>
      </c>
    </row>
    <row r="733" customFormat="false" ht="15" hidden="false" customHeight="false" outlineLevel="0" collapsed="false">
      <c r="A733" s="18" t="n">
        <f aca="false">'CEMIUP0.9 Raw'!B928</f>
        <v>4401000</v>
      </c>
      <c r="B733" s="18" t="str">
        <f aca="false">'CEMIUP0.9 Raw'!C928</f>
        <v>369  S-L אצבעון מסיליקון יחידה</v>
      </c>
      <c r="C733" s="18" t="str">
        <f aca="false">'CEMIUP0.9 Raw'!C928</f>
        <v>369  S-L אצבעון מסיליקון יחידה</v>
      </c>
      <c r="D733" s="19" t="n">
        <f aca="false">'CEMIUP0.9 Raw'!D928</f>
        <v>134</v>
      </c>
      <c r="E733" s="19" t="n">
        <f aca="false">'CEMIUP0.9 Raw'!E928</f>
        <v>2469.285</v>
      </c>
      <c r="F733" s="19" t="n">
        <f aca="false">'CEMIUP0.9 Raw'!F928</f>
        <v>114.947368421053</v>
      </c>
      <c r="G733" s="19" t="n">
        <f aca="false">'CEMIUP0.9 Raw'!G928</f>
        <v>2125.60673684211</v>
      </c>
      <c r="H733" s="18" t="str">
        <f aca="false">'CEMIUP0.9 Raw'!A928</f>
        <v>BE (CEMI internal group)</v>
      </c>
    </row>
    <row r="734" customFormat="false" ht="15" hidden="false" customHeight="false" outlineLevel="0" collapsed="false">
      <c r="A734" s="18" t="n">
        <f aca="false">'CEMIUP0.9 Raw'!B1063</f>
        <v>4413047</v>
      </c>
      <c r="B734" s="18" t="str">
        <f aca="false">'CEMIUP0.9 Raw'!C1063</f>
        <v>35 S מגן קרסול לבן</v>
      </c>
      <c r="C734" s="18" t="str">
        <f aca="false">'CEMIUP0.9 Raw'!C1063</f>
        <v>35 S מגן קרסול לבן</v>
      </c>
      <c r="D734" s="19" t="n">
        <f aca="false">'CEMIUP0.9 Raw'!D1063</f>
        <v>164</v>
      </c>
      <c r="E734" s="19" t="n">
        <f aca="false">'CEMIUP0.9 Raw'!E1063</f>
        <v>4144.686</v>
      </c>
      <c r="F734" s="19" t="n">
        <f aca="false">'CEMIUP0.9 Raw'!F1063</f>
        <v>114.947368421053</v>
      </c>
      <c r="G734" s="19" t="n">
        <f aca="false">'CEMIUP0.9 Raw'!G1063</f>
        <v>2908.39831578947</v>
      </c>
      <c r="H734" s="18" t="str">
        <f aca="false">'CEMIUP0.9 Raw'!A1063</f>
        <v>BE (CEMI internal group)</v>
      </c>
    </row>
    <row r="735" customFormat="false" ht="15" hidden="false" customHeight="false" outlineLevel="0" collapsed="false">
      <c r="A735" s="18" t="n">
        <f aca="false">'CEMIUP0.9 Raw'!B1235</f>
        <v>4416005</v>
      </c>
      <c r="B735" s="18" t="str">
        <f aca="false">'CEMIUP0.9 Raw'!C1235</f>
        <v>308 Mעקבים סיליק.כחול לדורבן</v>
      </c>
      <c r="C735" s="18" t="str">
        <f aca="false">'CEMIUP0.9 Raw'!C1235</f>
        <v>308 Mעקבים סיליק.כחול לדורבן</v>
      </c>
      <c r="D735" s="19" t="n">
        <f aca="false">'CEMIUP0.9 Raw'!D1235</f>
        <v>118</v>
      </c>
      <c r="E735" s="19" t="n">
        <f aca="false">'CEMIUP0.9 Raw'!E1235</f>
        <v>5875.597</v>
      </c>
      <c r="F735" s="19" t="n">
        <f aca="false">'CEMIUP0.9 Raw'!F1235</f>
        <v>114.947368421053</v>
      </c>
      <c r="G735" s="19" t="n">
        <f aca="false">'CEMIUP0.9 Raw'!G1235</f>
        <v>5702.88378947368</v>
      </c>
      <c r="H735" s="18" t="str">
        <f aca="false">'CEMIUP0.9 Raw'!A1235</f>
        <v>BE (CEMI internal group)</v>
      </c>
    </row>
    <row r="736" customFormat="false" ht="15" hidden="false" customHeight="false" outlineLevel="0" collapsed="false">
      <c r="A736" s="18" t="n">
        <f aca="false">'CEMIUP0.9 Raw'!B1260</f>
        <v>4420022</v>
      </c>
      <c r="B736" s="18" t="str">
        <f aca="false">'CEMIUP0.9 Raw'!C1260</f>
        <v>LF370 ריפוד סיליקון לעקב אחורי</v>
      </c>
      <c r="C736" s="18" t="str">
        <f aca="false">'CEMIUP0.9 Raw'!C1260</f>
        <v>LF370 ריפוד סיליקון לעקב אחורי</v>
      </c>
      <c r="D736" s="19" t="n">
        <f aca="false">'CEMIUP0.9 Raw'!D1260</f>
        <v>87</v>
      </c>
      <c r="E736" s="19" t="n">
        <f aca="false">'CEMIUP0.9 Raw'!E1260</f>
        <v>1701.973</v>
      </c>
      <c r="F736" s="19" t="n">
        <f aca="false">'CEMIUP0.9 Raw'!F1260</f>
        <v>114.947368421053</v>
      </c>
      <c r="G736" s="19" t="n">
        <f aca="false">'CEMIUP0.9 Raw'!G1260</f>
        <v>2262.73894736842</v>
      </c>
      <c r="H736" s="18" t="str">
        <f aca="false">'CEMIUP0.9 Raw'!A1260</f>
        <v>BE (CEMI internal group)</v>
      </c>
    </row>
    <row r="737" customFormat="false" ht="15" hidden="false" customHeight="false" outlineLevel="0" collapsed="false">
      <c r="A737" s="18" t="n">
        <f aca="false">'CEMIUP0.9 Raw'!B516</f>
        <v>4416001</v>
      </c>
      <c r="B737" s="18" t="str">
        <f aca="false">'CEMIUP0.9 Raw'!C516</f>
        <v>307 M עקבים לדורבן-זוג כריות</v>
      </c>
      <c r="C737" s="18" t="str">
        <f aca="false">'CEMIUP0.9 Raw'!C516</f>
        <v>307 M עקבים לדורבן-זוג כריות</v>
      </c>
      <c r="D737" s="19" t="n">
        <f aca="false">'CEMIUP0.9 Raw'!D516</f>
        <v>159</v>
      </c>
      <c r="E737" s="19" t="n">
        <f aca="false">'CEMIUP0.9 Raw'!E516</f>
        <v>11901.295</v>
      </c>
      <c r="F737" s="19" t="n">
        <f aca="false">'CEMIUP0.9 Raw'!F516</f>
        <v>113.684210526316</v>
      </c>
      <c r="G737" s="19" t="n">
        <f aca="false">'CEMIUP0.9 Raw'!G516</f>
        <v>9023.13852631579</v>
      </c>
      <c r="H737" s="18" t="str">
        <f aca="false">'CEMIUP0.9 Raw'!A516</f>
        <v>107 - Pharmacies</v>
      </c>
    </row>
    <row r="738" customFormat="false" ht="15" hidden="false" customHeight="false" outlineLevel="0" collapsed="false">
      <c r="A738" s="18" t="n">
        <f aca="false">'CEMIUP0.9 Raw'!B523</f>
        <v>4418000</v>
      </c>
      <c r="B738" s="18" t="str">
        <f aca="false">'CEMIUP0.9 Raw'!C523</f>
        <v>60 L צוארון ספוגי</v>
      </c>
      <c r="C738" s="18" t="str">
        <f aca="false">'CEMIUP0.9 Raw'!C523</f>
        <v>60 L צוארון ספוגי</v>
      </c>
      <c r="D738" s="19" t="n">
        <f aca="false">'CEMIUP0.9 Raw'!D523</f>
        <v>205</v>
      </c>
      <c r="E738" s="19" t="n">
        <f aca="false">'CEMIUP0.9 Raw'!E523</f>
        <v>9092.246</v>
      </c>
      <c r="F738" s="19" t="n">
        <f aca="false">'CEMIUP0.9 Raw'!F523</f>
        <v>113.684210526316</v>
      </c>
      <c r="G738" s="19" t="n">
        <f aca="false">'CEMIUP0.9 Raw'!G523</f>
        <v>5019.78189473684</v>
      </c>
      <c r="H738" s="18" t="str">
        <f aca="false">'CEMIUP0.9 Raw'!A523</f>
        <v>107 - Pharmacies</v>
      </c>
    </row>
    <row r="739" customFormat="false" ht="15" hidden="false" customHeight="false" outlineLevel="0" collapsed="false">
      <c r="A739" s="18" t="n">
        <f aca="false">'CEMIUP0.9 Raw'!B818</f>
        <v>4413150</v>
      </c>
      <c r="B739" s="18" t="str">
        <f aca="false">'CEMIUP0.9 Raw'!C818</f>
        <v>PD341-מקצוע להסרת עור קשה</v>
      </c>
      <c r="C739" s="18" t="str">
        <f aca="false">'CEMIUP0.9 Raw'!C818</f>
        <v>PD341-מקצוע להסרת עור קשה</v>
      </c>
      <c r="D739" s="19" t="n">
        <f aca="false">'CEMIUP0.9 Raw'!D818</f>
        <v>101</v>
      </c>
      <c r="E739" s="19" t="n">
        <f aca="false">'CEMIUP0.9 Raw'!E818</f>
        <v>2181.6</v>
      </c>
      <c r="F739" s="19" t="n">
        <f aca="false">'CEMIUP0.9 Raw'!F818</f>
        <v>113.684210526316</v>
      </c>
      <c r="G739" s="19" t="n">
        <f aca="false">'CEMIUP0.9 Raw'!G818</f>
        <v>2300.46821052632</v>
      </c>
      <c r="H739" s="18" t="str">
        <f aca="false">'CEMIUP0.9 Raw'!A818</f>
        <v>113 - Kupat Holim Meuhedet</v>
      </c>
    </row>
    <row r="740" customFormat="false" ht="15" hidden="false" customHeight="false" outlineLevel="0" collapsed="false">
      <c r="A740" s="18" t="n">
        <f aca="false">'CEMIUP0.9 Raw'!B929</f>
        <v>4401001</v>
      </c>
      <c r="B740" s="18" t="str">
        <f aca="false">'CEMIUP0.9 Raw'!C929</f>
        <v>369   XL אצבעון מסיליקון יחידה</v>
      </c>
      <c r="C740" s="18" t="str">
        <f aca="false">'CEMIUP0.9 Raw'!C929</f>
        <v>369   XL אצבעון מסיליקון יחידה</v>
      </c>
      <c r="D740" s="19" t="n">
        <f aca="false">'CEMIUP0.9 Raw'!D929</f>
        <v>168</v>
      </c>
      <c r="E740" s="19" t="n">
        <f aca="false">'CEMIUP0.9 Raw'!E929</f>
        <v>3344.887</v>
      </c>
      <c r="F740" s="19" t="n">
        <f aca="false">'CEMIUP0.9 Raw'!F929</f>
        <v>113.684210526316</v>
      </c>
      <c r="G740" s="19" t="n">
        <f aca="false">'CEMIUP0.9 Raw'!G929</f>
        <v>2258.37094736842</v>
      </c>
      <c r="H740" s="18" t="str">
        <f aca="false">'CEMIUP0.9 Raw'!A929</f>
        <v>BE (CEMI internal group)</v>
      </c>
    </row>
    <row r="741" customFormat="false" ht="15" hidden="false" customHeight="false" outlineLevel="0" collapsed="false">
      <c r="A741" s="18" t="n">
        <f aca="false">'SALES Raw'!G2181</f>
        <v>4411031</v>
      </c>
      <c r="B741" s="18" t="str">
        <f aca="false">'SALES Raw'!B2181</f>
        <v>213CTSR S</v>
      </c>
      <c r="C741" s="18" t="str">
        <f aca="false">'SALES Raw'!H2181</f>
        <v>213CTS  S ימין CTS כפפות</v>
      </c>
      <c r="D741" s="19" t="n">
        <f aca="false">'SALES Raw'!C2181</f>
        <v>21</v>
      </c>
      <c r="E741" s="19" t="n">
        <f aca="false">'SALES Raw'!D2181</f>
        <v>3928.48</v>
      </c>
      <c r="F741" s="19" t="n">
        <f aca="false">'SALES Raw'!E2181*$H$4</f>
        <v>113.684210526316</v>
      </c>
      <c r="G741" s="19" t="n">
        <f aca="false">'SALES Raw'!F2181*$H$4</f>
        <v>22179.5747368421</v>
      </c>
      <c r="H741" s="18" t="str">
        <f aca="false">'SALES Raw'!A2181</f>
        <v>114 - IL online</v>
      </c>
    </row>
    <row r="742" customFormat="false" ht="15" hidden="false" customHeight="false" outlineLevel="0" collapsed="false">
      <c r="A742" s="18" t="n">
        <f aca="false">'SALES Raw'!G2598</f>
        <v>4415028</v>
      </c>
      <c r="B742" s="18" t="str">
        <f aca="false">'SALES Raw'!B2598</f>
        <v>AC28 0</v>
      </c>
      <c r="C742" s="18" t="str">
        <f aca="false">'SALES Raw'!H2598</f>
        <v>AC-28 סד לאגודל</v>
      </c>
      <c r="D742" s="19" t="n">
        <f aca="false">'SALES Raw'!C2598</f>
        <v>78</v>
      </c>
      <c r="E742" s="19" t="n">
        <f aca="false">'SALES Raw'!D2598</f>
        <v>5485.72</v>
      </c>
      <c r="F742" s="19" t="n">
        <f aca="false">'SALES Raw'!E2598*$H$4</f>
        <v>113.684210526316</v>
      </c>
      <c r="G742" s="19" t="n">
        <f aca="false">'SALES Raw'!F2598*$H$4</f>
        <v>8468.95578947368</v>
      </c>
      <c r="H742" s="18" t="str">
        <f aca="false">'SALES Raw'!A2598</f>
        <v>114 - IL online</v>
      </c>
    </row>
    <row r="743" customFormat="false" ht="15" hidden="false" customHeight="false" outlineLevel="0" collapsed="false">
      <c r="A743" s="18" t="n">
        <f aca="false">'SALES Raw'!G2911</f>
        <v>4408052</v>
      </c>
      <c r="B743" s="18" t="str">
        <f aca="false">'SALES Raw'!B2911</f>
        <v>21 L</v>
      </c>
      <c r="C743" s="18" t="str">
        <f aca="false">'SALES Raw'!H2911</f>
        <v>21 L  חבק יד ארוך</v>
      </c>
      <c r="D743" s="19" t="n">
        <f aca="false">'SALES Raw'!C2911</f>
        <v>160</v>
      </c>
      <c r="E743" s="19" t="n">
        <f aca="false">'SALES Raw'!D2911</f>
        <v>3452.22</v>
      </c>
      <c r="F743" s="19" t="n">
        <f aca="false">'SALES Raw'!E2911*$H$4</f>
        <v>113.684210526316</v>
      </c>
      <c r="G743" s="19" t="n">
        <f aca="false">'SALES Raw'!F2911*$H$4</f>
        <v>2209.70526315789</v>
      </c>
      <c r="H743" s="18" t="str">
        <f aca="false">'SALES Raw'!A2911</f>
        <v>202 - Super-Pharm POLAND</v>
      </c>
    </row>
    <row r="744" customFormat="false" ht="15" hidden="false" customHeight="false" outlineLevel="0" collapsed="false">
      <c r="A744" s="18" t="n">
        <f aca="false">'SALES Raw'!G2936</f>
        <v>4409001</v>
      </c>
      <c r="B744" s="18" t="str">
        <f aca="false">'SALES Raw'!B2936</f>
        <v>365-XL</v>
      </c>
      <c r="C744" s="18" t="str">
        <f aca="false">'SALES Raw'!H2936</f>
        <v>365  X-Lטבעת אלסטית מסיליקון</v>
      </c>
      <c r="D744" s="19" t="n">
        <f aca="false">'SALES Raw'!C2936</f>
        <v>240</v>
      </c>
      <c r="E744" s="19" t="n">
        <f aca="false">'SALES Raw'!D2936</f>
        <v>1921.02</v>
      </c>
      <c r="F744" s="19" t="n">
        <f aca="false">'SALES Raw'!E2936*$H$4</f>
        <v>113.684210526316</v>
      </c>
      <c r="G744" s="19" t="n">
        <f aca="false">'SALES Raw'!F2936*$H$4</f>
        <v>819.587368421053</v>
      </c>
      <c r="H744" s="18" t="str">
        <f aca="false">'SALES Raw'!A2936</f>
        <v>202 - Super-Pharm POLAND</v>
      </c>
    </row>
    <row r="745" customFormat="false" ht="15" hidden="false" customHeight="false" outlineLevel="0" collapsed="false">
      <c r="A745" s="18" t="str">
        <f aca="false">'SALES Raw'!G2950</f>
        <v/>
      </c>
      <c r="B745" s="18" t="str">
        <f aca="false">'SALES Raw'!B2950</f>
        <v>376-44-46</v>
      </c>
      <c r="C745" s="18" t="str">
        <f aca="false">'SALES Raw'!H2950</f>
        <v>376-44-46</v>
      </c>
      <c r="D745" s="19" t="n">
        <f aca="false">'SALES Raw'!C2950</f>
        <v>0</v>
      </c>
      <c r="E745" s="19" t="n">
        <f aca="false">'SALES Raw'!D2950</f>
        <v>0</v>
      </c>
      <c r="F745" s="19" t="n">
        <f aca="false">'SALES Raw'!E2950*$H$4</f>
        <v>113.684210526316</v>
      </c>
      <c r="G745" s="19" t="n">
        <f aca="false">'SALES Raw'!F2950*$H$4</f>
        <v>2000.27368421053</v>
      </c>
      <c r="H745" s="18" t="str">
        <f aca="false">'SALES Raw'!A2950</f>
        <v>202 - Super-Pharm POLAND</v>
      </c>
    </row>
    <row r="746" customFormat="false" ht="15" hidden="false" customHeight="false" outlineLevel="0" collapsed="false">
      <c r="A746" s="18" t="n">
        <f aca="false">'SALES Raw'!G3012</f>
        <v>4408208</v>
      </c>
      <c r="B746" s="18" t="str">
        <f aca="false">'SALES Raw'!B3012</f>
        <v>AC91 0</v>
      </c>
      <c r="C746" s="18" t="str">
        <f aca="false">'SALES Raw'!H3012</f>
        <v>AC91 חבק טניס</v>
      </c>
      <c r="D746" s="19" t="n">
        <f aca="false">'SALES Raw'!C3012</f>
        <v>150</v>
      </c>
      <c r="E746" s="19" t="n">
        <f aca="false">'SALES Raw'!D3012</f>
        <v>3190.01</v>
      </c>
      <c r="F746" s="19" t="n">
        <f aca="false">'SALES Raw'!E3012*$H$4</f>
        <v>113.684210526316</v>
      </c>
      <c r="G746" s="19" t="n">
        <f aca="false">'SALES Raw'!F3012*$H$4</f>
        <v>2178.89684210526</v>
      </c>
      <c r="H746" s="18" t="str">
        <f aca="false">'SALES Raw'!A3012</f>
        <v>202 - Super-Pharm POLAND</v>
      </c>
    </row>
    <row r="747" customFormat="false" ht="15" hidden="false" customHeight="false" outlineLevel="0" collapsed="false">
      <c r="A747" s="18" t="str">
        <f aca="false">'SALES Raw'!G3022</f>
        <v/>
      </c>
      <c r="B747" s="18" t="str">
        <f aca="false">'SALES Raw'!B3022</f>
        <v>ST27R 0</v>
      </c>
      <c r="C747" s="18" t="str">
        <f aca="false">'SALES Raw'!H3022</f>
        <v>ST27R 0</v>
      </c>
      <c r="D747" s="19" t="n">
        <f aca="false">'SALES Raw'!C3022</f>
        <v>160</v>
      </c>
      <c r="E747" s="19" t="n">
        <f aca="false">'SALES Raw'!D3022</f>
        <v>5147.48</v>
      </c>
      <c r="F747" s="19" t="n">
        <f aca="false">'SALES Raw'!E3022*$H$4</f>
        <v>113.684210526316</v>
      </c>
      <c r="G747" s="19" t="n">
        <f aca="false">'SALES Raw'!F3022*$H$4</f>
        <v>3309.25894736842</v>
      </c>
      <c r="H747" s="18" t="str">
        <f aca="false">'SALES Raw'!A3022</f>
        <v>202 - Super-Pharm POLAND</v>
      </c>
    </row>
    <row r="748" customFormat="false" ht="15" hidden="false" customHeight="false" outlineLevel="0" collapsed="false">
      <c r="A748" s="18" t="n">
        <f aca="false">'SALES Raw'!G3198</f>
        <v>4413043</v>
      </c>
      <c r="B748" s="18" t="str">
        <f aca="false">'SALES Raw'!B3198</f>
        <v>34 L</v>
      </c>
      <c r="C748" s="18" t="str">
        <f aca="false">'SALES Raw'!H3198</f>
        <v>34  L מגן קרסול עקב סגור</v>
      </c>
      <c r="D748" s="19" t="n">
        <f aca="false">'SALES Raw'!C3198</f>
        <v>45</v>
      </c>
      <c r="E748" s="19" t="n">
        <f aca="false">'SALES Raw'!D3198</f>
        <v>928.42</v>
      </c>
      <c r="F748" s="19" t="n">
        <f aca="false">'SALES Raw'!E3198*$H$4</f>
        <v>113.684210526316</v>
      </c>
      <c r="G748" s="19" t="n">
        <f aca="false">'SALES Raw'!F3198*$H$4</f>
        <v>2137.62947368421</v>
      </c>
      <c r="H748" s="18" t="str">
        <f aca="false">'SALES Raw'!A3198</f>
        <v>204 - Sanaflex Anatomic GREECE</v>
      </c>
    </row>
    <row r="749" customFormat="false" ht="15" hidden="false" customHeight="false" outlineLevel="0" collapsed="false">
      <c r="A749" s="18" t="n">
        <f aca="false">'SALES Raw'!G3260</f>
        <v>4413498</v>
      </c>
      <c r="B749" s="18" t="str">
        <f aca="false">'SALES Raw'!B3260</f>
        <v>45B S</v>
      </c>
      <c r="C749" s="18" t="str">
        <f aca="false">'SALES Raw'!H3260</f>
        <v>45B S מגן ברך שחור</v>
      </c>
      <c r="D749" s="19" t="n">
        <f aca="false">'SALES Raw'!C3260</f>
        <v>90</v>
      </c>
      <c r="E749" s="19" t="n">
        <f aca="false">'SALES Raw'!D3260</f>
        <v>992.83</v>
      </c>
      <c r="F749" s="19" t="n">
        <f aca="false">'SALES Raw'!E3260*$H$4</f>
        <v>113.684210526316</v>
      </c>
      <c r="G749" s="19" t="n">
        <f aca="false">'SALES Raw'!F3260*$H$4</f>
        <v>1110.90947368421</v>
      </c>
      <c r="H749" s="18" t="str">
        <f aca="false">'SALES Raw'!A3260</f>
        <v>204 - Sanaflex Anatomic GREECE</v>
      </c>
    </row>
    <row r="750" customFormat="false" ht="15" hidden="false" customHeight="false" outlineLevel="0" collapsed="false">
      <c r="A750" s="18" t="n">
        <f aca="false">'SALES Raw'!G3288</f>
        <v>4401013</v>
      </c>
      <c r="B750" s="18" t="str">
        <f aca="false">'SALES Raw'!B3288</f>
        <v>805AT-BL</v>
      </c>
      <c r="C750" s="18" t="str">
        <f aca="false">'SALES Raw'!H3288</f>
        <v>805AT-BLאתלטיק טייפ כחול 20מ""""מ</v>
      </c>
      <c r="D750" s="19" t="n">
        <f aca="false">'SALES Raw'!C3288</f>
        <v>62</v>
      </c>
      <c r="E750" s="19" t="n">
        <f aca="false">'SALES Raw'!D3288</f>
        <v>537.87</v>
      </c>
      <c r="F750" s="19" t="n">
        <f aca="false">'SALES Raw'!E3288*$H$4</f>
        <v>113.684210526316</v>
      </c>
      <c r="G750" s="19" t="n">
        <f aca="false">'SALES Raw'!F3288*$H$4</f>
        <v>906.492631578947</v>
      </c>
      <c r="H750" s="18" t="str">
        <f aca="false">'SALES Raw'!A3288</f>
        <v>204 - Sanaflex Anatomic GREECE</v>
      </c>
    </row>
    <row r="751" customFormat="false" ht="15" hidden="false" customHeight="false" outlineLevel="0" collapsed="false">
      <c r="A751" s="18" t="n">
        <f aca="false">'SALES Raw'!G3291</f>
        <v>4422024</v>
      </c>
      <c r="B751" s="18" t="str">
        <f aca="false">'SALES Raw'!B3291</f>
        <v>806CB-B</v>
      </c>
      <c r="C751" s="18" t="str">
        <f aca="false">'SALES Raw'!H3291</f>
        <v>806CB-BLACK      תחבושת א.נצמ</v>
      </c>
      <c r="D751" s="19" t="n">
        <f aca="false">'SALES Raw'!C3291</f>
        <v>90</v>
      </c>
      <c r="E751" s="19" t="n">
        <f aca="false">'SALES Raw'!D3291</f>
        <v>561.79</v>
      </c>
      <c r="F751" s="19" t="n">
        <f aca="false">'SALES Raw'!E3291*$H$4</f>
        <v>113.684210526316</v>
      </c>
      <c r="G751" s="19" t="n">
        <f aca="false">'SALES Raw'!F3291*$H$4</f>
        <v>639.549473684211</v>
      </c>
      <c r="H751" s="18" t="str">
        <f aca="false">'SALES Raw'!A3291</f>
        <v>204 - Sanaflex Anatomic GREECE</v>
      </c>
    </row>
    <row r="752" customFormat="false" ht="15" hidden="false" customHeight="false" outlineLevel="0" collapsed="false">
      <c r="A752" s="18" t="n">
        <f aca="false">'SALES Raw'!G3325</f>
        <v>4420022</v>
      </c>
      <c r="B752" s="18" t="str">
        <f aca="false">'SALES Raw'!B3325</f>
        <v>LF370 0</v>
      </c>
      <c r="C752" s="18" t="str">
        <f aca="false">'SALES Raw'!H3325</f>
        <v>LF370 ריפוד סיליקון לעקב אחורי</v>
      </c>
      <c r="D752" s="19" t="n">
        <f aca="false">'SALES Raw'!C3325</f>
        <v>40</v>
      </c>
      <c r="E752" s="19" t="n">
        <f aca="false">'SALES Raw'!D3325</f>
        <v>245.41</v>
      </c>
      <c r="F752" s="19" t="n">
        <f aca="false">'SALES Raw'!E3325*$H$4</f>
        <v>113.684210526316</v>
      </c>
      <c r="G752" s="19" t="n">
        <f aca="false">'SALES Raw'!F3325*$H$4</f>
        <v>656.223157894737</v>
      </c>
      <c r="H752" s="18" t="str">
        <f aca="false">'SALES Raw'!A3325</f>
        <v>204 - Sanaflex Anatomic GREECE</v>
      </c>
    </row>
    <row r="753" customFormat="false" ht="15" hidden="false" customHeight="false" outlineLevel="0" collapsed="false">
      <c r="A753" s="18" t="str">
        <f aca="false">'SALES Raw'!G3577</f>
        <v/>
      </c>
      <c r="B753" s="18" t="str">
        <f aca="false">'SALES Raw'!B3577</f>
        <v>43BD L</v>
      </c>
      <c r="C753" s="18" t="str">
        <f aca="false">'SALES Raw'!H3577</f>
        <v>43BD L</v>
      </c>
      <c r="D753" s="19" t="n">
        <f aca="false">'SALES Raw'!C3577</f>
        <v>15</v>
      </c>
      <c r="E753" s="19" t="n">
        <f aca="false">'SALES Raw'!D3577</f>
        <v>1269.86</v>
      </c>
      <c r="F753" s="19" t="n">
        <f aca="false">'SALES Raw'!E3577*$H$4</f>
        <v>113.684210526316</v>
      </c>
      <c r="G753" s="19" t="n">
        <f aca="false">'SALES Raw'!F3577*$H$4</f>
        <v>10143.1831578947</v>
      </c>
      <c r="H753" s="18" t="str">
        <f aca="false">'SALES Raw'!A3577</f>
        <v>207 - Salus HUNGARY</v>
      </c>
    </row>
    <row r="754" customFormat="false" ht="15" hidden="false" customHeight="false" outlineLevel="0" collapsed="false">
      <c r="A754" s="18" t="n">
        <f aca="false">'SALES Raw'!G3625</f>
        <v>4413137</v>
      </c>
      <c r="B754" s="18" t="str">
        <f aca="false">'SALES Raw'!B3625</f>
        <v>85 S</v>
      </c>
      <c r="C754" s="18" t="str">
        <f aca="false">'SALES Raw'!H3625</f>
        <v>85 S (מתלה ליד )כיס</v>
      </c>
      <c r="D754" s="19" t="n">
        <f aca="false">'SALES Raw'!C3625</f>
        <v>116</v>
      </c>
      <c r="E754" s="19" t="n">
        <f aca="false">'SALES Raw'!D3625</f>
        <v>2175.49</v>
      </c>
      <c r="F754" s="19" t="n">
        <f aca="false">'SALES Raw'!E3625*$H$4</f>
        <v>113.684210526316</v>
      </c>
      <c r="G754" s="19" t="n">
        <f aca="false">'SALES Raw'!F3625*$H$4</f>
        <v>2092.61052631579</v>
      </c>
      <c r="H754" s="18" t="str">
        <f aca="false">'SALES Raw'!A3625</f>
        <v>207 - Salus HUNGARY</v>
      </c>
    </row>
    <row r="755" customFormat="false" ht="15" hidden="false" customHeight="false" outlineLevel="0" collapsed="false">
      <c r="A755" s="18" t="n">
        <f aca="false">'SALES Raw'!G4101</f>
        <v>4413328</v>
      </c>
      <c r="B755" s="18" t="str">
        <f aca="false">'SALES Raw'!B4101</f>
        <v>AC43D 0</v>
      </c>
      <c r="C755" s="18" t="str">
        <f aca="false">'SALES Raw'!H4101</f>
        <v>AC43D מגן ברך + צירים</v>
      </c>
      <c r="D755" s="19" t="n">
        <f aca="false">'SALES Raw'!C4101</f>
        <v>80</v>
      </c>
      <c r="E755" s="19" t="n">
        <f aca="false">'SALES Raw'!D4101</f>
        <v>3629.66</v>
      </c>
      <c r="F755" s="19" t="n">
        <f aca="false">'SALES Raw'!E4101*$H$4</f>
        <v>113.684210526316</v>
      </c>
      <c r="G755" s="19" t="n">
        <f aca="false">'SALES Raw'!F4101*$H$4</f>
        <v>4704.46736842105</v>
      </c>
      <c r="H755" s="18" t="str">
        <f aca="false">'SALES Raw'!A4101</f>
        <v>213 - E.f.m.o. SPAIN</v>
      </c>
    </row>
    <row r="756" customFormat="false" ht="15" hidden="false" customHeight="false" outlineLevel="0" collapsed="false">
      <c r="A756" s="18" t="str">
        <f aca="false">'SALES Raw'!G4433</f>
        <v/>
      </c>
      <c r="B756" s="18" t="str">
        <f aca="false">'SALES Raw'!B4433</f>
        <v>EC-59D S</v>
      </c>
      <c r="C756" s="18" t="str">
        <f aca="false">'SALES Raw'!H4433</f>
        <v>EC-59D S</v>
      </c>
      <c r="D756" s="19" t="n">
        <f aca="false">'SALES Raw'!C4433</f>
        <v>175</v>
      </c>
      <c r="E756" s="19" t="n">
        <f aca="false">'SALES Raw'!D4433</f>
        <v>33651.11</v>
      </c>
      <c r="F756" s="19" t="n">
        <f aca="false">'SALES Raw'!E4433*$H$4</f>
        <v>113.684210526316</v>
      </c>
      <c r="G756" s="19" t="n">
        <f aca="false">'SALES Raw'!F4433*$H$4</f>
        <v>20181.4610526316</v>
      </c>
      <c r="H756" s="18" t="str">
        <f aca="false">'SALES Raw'!A4433</f>
        <v>301 - Amazon</v>
      </c>
    </row>
    <row r="757" customFormat="false" ht="15" hidden="false" customHeight="false" outlineLevel="0" collapsed="false">
      <c r="A757" s="18" t="n">
        <f aca="false">'CEMIUP0.9 Raw'!B442</f>
        <v>4413498</v>
      </c>
      <c r="B757" s="18" t="str">
        <f aca="false">'CEMIUP0.9 Raw'!C442</f>
        <v>45B S מגן ברך שחור</v>
      </c>
      <c r="C757" s="18" t="str">
        <f aca="false">'CEMIUP0.9 Raw'!C442</f>
        <v>45B S מגן ברך שחור</v>
      </c>
      <c r="D757" s="19" t="n">
        <f aca="false">'CEMIUP0.9 Raw'!D442</f>
        <v>122</v>
      </c>
      <c r="E757" s="19" t="n">
        <f aca="false">'CEMIUP0.9 Raw'!E442</f>
        <v>3368.365</v>
      </c>
      <c r="F757" s="19" t="n">
        <f aca="false">'CEMIUP0.9 Raw'!F442</f>
        <v>112.421052631579</v>
      </c>
      <c r="G757" s="19" t="n">
        <f aca="false">'CEMIUP0.9 Raw'!G442</f>
        <v>3117.60252631579</v>
      </c>
      <c r="H757" s="18" t="str">
        <f aca="false">'CEMIUP0.9 Raw'!A442</f>
        <v>107 - Pharmacies</v>
      </c>
    </row>
    <row r="758" customFormat="false" ht="15" hidden="false" customHeight="false" outlineLevel="0" collapsed="false">
      <c r="A758" s="18" t="n">
        <f aca="false">'CEMIUP0.9 Raw'!B451</f>
        <v>4413518</v>
      </c>
      <c r="B758" s="18" t="str">
        <f aca="false">'CEMIUP0.9 Raw'!C451</f>
        <v>85B XL מתלה רשת לזרוע שחור</v>
      </c>
      <c r="C758" s="18" t="str">
        <f aca="false">'CEMIUP0.9 Raw'!C451</f>
        <v>85B XL מתלה רשת לזרוע שחור</v>
      </c>
      <c r="D758" s="19" t="n">
        <f aca="false">'CEMIUP0.9 Raw'!D451</f>
        <v>113</v>
      </c>
      <c r="E758" s="19" t="n">
        <f aca="false">'CEMIUP0.9 Raw'!E451</f>
        <v>5608.057</v>
      </c>
      <c r="F758" s="19" t="n">
        <f aca="false">'CEMIUP0.9 Raw'!F451</f>
        <v>112.421052631579</v>
      </c>
      <c r="G758" s="19" t="n">
        <f aca="false">'CEMIUP0.9 Raw'!G451</f>
        <v>5605.40842105263</v>
      </c>
      <c r="H758" s="18" t="str">
        <f aca="false">'CEMIUP0.9 Raw'!A451</f>
        <v>107 - Pharmacies</v>
      </c>
    </row>
    <row r="759" customFormat="false" ht="15" hidden="false" customHeight="false" outlineLevel="0" collapsed="false">
      <c r="A759" s="18" t="n">
        <f aca="false">'CEMIUP0.9 Raw'!B752</f>
        <v>4409001</v>
      </c>
      <c r="B759" s="18" t="str">
        <f aca="false">'CEMIUP0.9 Raw'!C752</f>
        <v>365  X-Lטבעת אלסטית מסיליקון</v>
      </c>
      <c r="C759" s="18" t="str">
        <f aca="false">'CEMIUP0.9 Raw'!C752</f>
        <v>365  X-Lטבעת אלסטית מסיליקון</v>
      </c>
      <c r="D759" s="19" t="n">
        <f aca="false">'CEMIUP0.9 Raw'!D752</f>
        <v>158</v>
      </c>
      <c r="E759" s="19" t="n">
        <f aca="false">'CEMIUP0.9 Raw'!E752</f>
        <v>1276.64</v>
      </c>
      <c r="F759" s="19" t="n">
        <f aca="false">'CEMIUP0.9 Raw'!F752</f>
        <v>112.421052631579</v>
      </c>
      <c r="G759" s="19" t="n">
        <f aca="false">'CEMIUP0.9 Raw'!G752</f>
        <v>872.892631578947</v>
      </c>
      <c r="H759" s="18" t="str">
        <f aca="false">'CEMIUP0.9 Raw'!A752</f>
        <v>113 - Kupat Holim Meuhedet</v>
      </c>
    </row>
    <row r="760" customFormat="false" ht="15" hidden="false" customHeight="false" outlineLevel="0" collapsed="false">
      <c r="A760" s="18" t="str">
        <f aca="false">'SALES Raw'!G1233</f>
        <v/>
      </c>
      <c r="B760" s="18" t="str">
        <f aca="false">'SALES Raw'!B1233</f>
        <v>67 0</v>
      </c>
      <c r="C760" s="18" t="str">
        <f aca="false">'SALES Raw'!H1233</f>
        <v>67 0</v>
      </c>
      <c r="D760" s="19" t="n">
        <f aca="false">'SALES Raw'!C1233</f>
        <v>216</v>
      </c>
      <c r="E760" s="19" t="n">
        <f aca="false">'SALES Raw'!D1233</f>
        <v>27989.58</v>
      </c>
      <c r="F760" s="19" t="n">
        <f aca="false">'SALES Raw'!E1233*$H$4</f>
        <v>112.421052631579</v>
      </c>
      <c r="G760" s="19" t="n">
        <f aca="false">'SALES Raw'!F1233*$H$4</f>
        <v>18650.1726315789</v>
      </c>
      <c r="H760" s="18" t="str">
        <f aca="false">'SALES Raw'!A1233</f>
        <v>103 - Physiotherapy institutes</v>
      </c>
    </row>
    <row r="761" customFormat="false" ht="15" hidden="false" customHeight="false" outlineLevel="0" collapsed="false">
      <c r="A761" s="18" t="n">
        <f aca="false">'SALES Raw'!G3859</f>
        <v>4413453</v>
      </c>
      <c r="B761" s="18" t="str">
        <f aca="false">'SALES Raw'!B3859</f>
        <v>AC75-S-XL</v>
      </c>
      <c r="C761" s="18" t="str">
        <f aca="false">'SALES Raw'!H3859</f>
        <v>AC75 מישר כתפיים אקטיב</v>
      </c>
      <c r="D761" s="19" t="n">
        <f aca="false">'SALES Raw'!C3859</f>
        <v>148</v>
      </c>
      <c r="E761" s="19" t="n">
        <f aca="false">'SALES Raw'!D3859</f>
        <v>4740.72</v>
      </c>
      <c r="F761" s="19" t="n">
        <f aca="false">'SALES Raw'!E3859*$H$4</f>
        <v>112.421052631579</v>
      </c>
      <c r="G761" s="19" t="n">
        <f aca="false">'SALES Raw'!F3859*$H$4</f>
        <v>3600.49263157895</v>
      </c>
      <c r="H761" s="18" t="str">
        <f aca="false">'SALES Raw'!A3859</f>
        <v>209 - Ortoprofil Prod ROMANIA</v>
      </c>
    </row>
    <row r="762" customFormat="false" ht="15" hidden="false" customHeight="false" outlineLevel="0" collapsed="false">
      <c r="A762" s="18" t="n">
        <f aca="false">'SALES Raw'!G1187</f>
        <v>4408218</v>
      </c>
      <c r="B762" s="18" t="str">
        <f aca="false">'SALES Raw'!B1187</f>
        <v>078 XL</v>
      </c>
      <c r="C762" s="18" t="str">
        <f aca="false">'SALES Raw'!H1187</f>
        <v>078XL חגורת גב +סגירה כפולה</v>
      </c>
      <c r="D762" s="19" t="n">
        <f aca="false">'SALES Raw'!C1187</f>
        <v>9</v>
      </c>
      <c r="E762" s="19" t="n">
        <f aca="false">'SALES Raw'!D1187</f>
        <v>753</v>
      </c>
      <c r="F762" s="19" t="n">
        <f aca="false">'SALES Raw'!E1187*$H$4</f>
        <v>111.157894736842</v>
      </c>
      <c r="G762" s="19" t="n">
        <f aca="false">'SALES Raw'!F1187*$H$4</f>
        <v>9564.89684210526</v>
      </c>
      <c r="H762" s="18" t="str">
        <f aca="false">'SALES Raw'!A1187</f>
        <v>103 - Physiotherapy institutes</v>
      </c>
    </row>
    <row r="763" customFormat="false" ht="15" hidden="false" customHeight="false" outlineLevel="0" collapsed="false">
      <c r="A763" s="18" t="n">
        <f aca="false">'CEMIUP0.9 Raw'!B855</f>
        <v>4417000</v>
      </c>
      <c r="B763" s="18" t="str">
        <f aca="false">'CEMIUP0.9 Raw'!C855</f>
        <v>PD342-פומפיה להסרת עור קשה</v>
      </c>
      <c r="C763" s="18" t="str">
        <f aca="false">'CEMIUP0.9 Raw'!C855</f>
        <v>PD342-פומפיה להסרת עור קשה</v>
      </c>
      <c r="D763" s="19" t="n">
        <f aca="false">'CEMIUP0.9 Raw'!D855</f>
        <v>205</v>
      </c>
      <c r="E763" s="19" t="n">
        <f aca="false">'CEMIUP0.9 Raw'!E855</f>
        <v>3679.75</v>
      </c>
      <c r="F763" s="19" t="n">
        <f aca="false">'CEMIUP0.9 Raw'!F855</f>
        <v>111.157894736842</v>
      </c>
      <c r="G763" s="19" t="n">
        <f aca="false">'CEMIUP0.9 Raw'!G855</f>
        <v>1896.24252631579</v>
      </c>
      <c r="H763" s="18" t="str">
        <f aca="false">'CEMIUP0.9 Raw'!A855</f>
        <v>113 - Kupat Holim Meuhedet</v>
      </c>
    </row>
    <row r="764" customFormat="false" ht="15" hidden="false" customHeight="false" outlineLevel="0" collapsed="false">
      <c r="A764" s="18" t="n">
        <f aca="false">'CEMIUP0.9 Raw'!B872</f>
        <v>4422000</v>
      </c>
      <c r="B764" s="18" t="str">
        <f aca="false">'CEMIUP0.9 Raw'!C872</f>
        <v>801  תחבושת אלסטית מקררת</v>
      </c>
      <c r="C764" s="18" t="str">
        <f aca="false">'CEMIUP0.9 Raw'!C872</f>
        <v>801  תחבושת אלסטית מקררת</v>
      </c>
      <c r="D764" s="19" t="n">
        <f aca="false">'CEMIUP0.9 Raw'!D872</f>
        <v>237</v>
      </c>
      <c r="E764" s="19" t="n">
        <f aca="false">'CEMIUP0.9 Raw'!E872</f>
        <v>3377.25</v>
      </c>
      <c r="F764" s="19" t="n">
        <f aca="false">'CEMIUP0.9 Raw'!F872</f>
        <v>111.157894736842</v>
      </c>
      <c r="G764" s="19" t="n">
        <f aca="false">'CEMIUP0.9 Raw'!G872</f>
        <v>1425.42189473684</v>
      </c>
      <c r="H764" s="18" t="str">
        <f aca="false">'CEMIUP0.9 Raw'!A872</f>
        <v>113 - Kupat Holim Meuhedet</v>
      </c>
    </row>
    <row r="765" customFormat="false" ht="15" hidden="false" customHeight="false" outlineLevel="0" collapsed="false">
      <c r="A765" s="18" t="n">
        <f aca="false">'CEMIUP0.9 Raw'!B1169</f>
        <v>4413366</v>
      </c>
      <c r="B765" s="18" t="str">
        <f aca="false">'CEMIUP0.9 Raw'!C1169</f>
        <v>95C S 'מגן מרפק בז</v>
      </c>
      <c r="C765" s="18" t="str">
        <f aca="false">'CEMIUP0.9 Raw'!C1169</f>
        <v>95C S 'מגן מרפק בז</v>
      </c>
      <c r="D765" s="19" t="n">
        <f aca="false">'CEMIUP0.9 Raw'!D1169</f>
        <v>109</v>
      </c>
      <c r="E765" s="19" t="n">
        <f aca="false">'CEMIUP0.9 Raw'!E1169</f>
        <v>2751.749</v>
      </c>
      <c r="F765" s="19" t="n">
        <f aca="false">'CEMIUP0.9 Raw'!F1169</f>
        <v>111.157894736842</v>
      </c>
      <c r="G765" s="19" t="n">
        <f aca="false">'CEMIUP0.9 Raw'!G1169</f>
        <v>2810.34821052632</v>
      </c>
      <c r="H765" s="18" t="str">
        <f aca="false">'CEMIUP0.9 Raw'!A1169</f>
        <v>BE (CEMI internal group)</v>
      </c>
    </row>
    <row r="766" customFormat="false" ht="15" hidden="false" customHeight="false" outlineLevel="0" collapsed="false">
      <c r="A766" s="18" t="n">
        <f aca="false">'CEMIUP0.9 Raw'!B1232</f>
        <v>4416001</v>
      </c>
      <c r="B766" s="18" t="str">
        <f aca="false">'CEMIUP0.9 Raw'!C1232</f>
        <v>307 M עקבים לדורבן-זוג כריות</v>
      </c>
      <c r="C766" s="18" t="str">
        <f aca="false">'CEMIUP0.9 Raw'!C1232</f>
        <v>307 M עקבים לדורבן-זוג כריות</v>
      </c>
      <c r="D766" s="19" t="n">
        <f aca="false">'CEMIUP0.9 Raw'!D1232</f>
        <v>96</v>
      </c>
      <c r="E766" s="19" t="n">
        <f aca="false">'CEMIUP0.9 Raw'!E1232</f>
        <v>7652.372</v>
      </c>
      <c r="F766" s="19" t="n">
        <f aca="false">'CEMIUP0.9 Raw'!F1232</f>
        <v>111.157894736842</v>
      </c>
      <c r="G766" s="19" t="n">
        <f aca="false">'CEMIUP0.9 Raw'!G1232</f>
        <v>8861.98231578947</v>
      </c>
      <c r="H766" s="18" t="str">
        <f aca="false">'CEMIUP0.9 Raw'!A1232</f>
        <v>BE (CEMI internal group)</v>
      </c>
    </row>
    <row r="767" customFormat="false" ht="15" hidden="false" customHeight="false" outlineLevel="0" collapsed="false">
      <c r="A767" s="18" t="n">
        <f aca="false">'CEMIUP0.9 Raw'!B245</f>
        <v>4413058</v>
      </c>
      <c r="B767" s="18" t="str">
        <f aca="false">'CEMIUP0.9 Raw'!C245</f>
        <v>3622S מדבקה לשחרור לחץ 2 יח</v>
      </c>
      <c r="C767" s="18" t="str">
        <f aca="false">'CEMIUP0.9 Raw'!C245</f>
        <v>3622S מדבקה לשחרור לחץ 2 יח</v>
      </c>
      <c r="D767" s="19" t="n">
        <f aca="false">'CEMIUP0.9 Raw'!D245</f>
        <v>113</v>
      </c>
      <c r="E767" s="19" t="n">
        <f aca="false">'CEMIUP0.9 Raw'!E245</f>
        <v>3136.497</v>
      </c>
      <c r="F767" s="19" t="n">
        <f aca="false">'CEMIUP0.9 Raw'!F245</f>
        <v>109.894736842105</v>
      </c>
      <c r="G767" s="19" t="n">
        <f aca="false">'CEMIUP0.9 Raw'!G245</f>
        <v>3033.99663157895</v>
      </c>
      <c r="H767" s="18" t="str">
        <f aca="false">'CEMIUP0.9 Raw'!A245</f>
        <v>107 - Pharmacies</v>
      </c>
    </row>
    <row r="768" customFormat="false" ht="15" hidden="false" customHeight="false" outlineLevel="0" collapsed="false">
      <c r="A768" s="18" t="n">
        <f aca="false">'CEMIUP0.9 Raw'!B1267</f>
        <v>4422000</v>
      </c>
      <c r="B768" s="18" t="str">
        <f aca="false">'CEMIUP0.9 Raw'!C1267</f>
        <v>801  תחבושת אלסטית מקררת</v>
      </c>
      <c r="C768" s="18" t="str">
        <f aca="false">'CEMIUP0.9 Raw'!C1267</f>
        <v>801  תחבושת אלסטית מקררת</v>
      </c>
      <c r="D768" s="19" t="n">
        <f aca="false">'CEMIUP0.9 Raw'!D1267</f>
        <v>134</v>
      </c>
      <c r="E768" s="19" t="n">
        <f aca="false">'CEMIUP0.9 Raw'!E1267</f>
        <v>2150.785</v>
      </c>
      <c r="F768" s="19" t="n">
        <f aca="false">'CEMIUP0.9 Raw'!F1267</f>
        <v>109.894736842105</v>
      </c>
      <c r="G768" s="19" t="n">
        <f aca="false">'CEMIUP0.9 Raw'!G1267</f>
        <v>1752.94736842105</v>
      </c>
      <c r="H768" s="18" t="str">
        <f aca="false">'CEMIUP0.9 Raw'!A1267</f>
        <v>BE (CEMI internal group)</v>
      </c>
    </row>
    <row r="769" customFormat="false" ht="15" hidden="false" customHeight="false" outlineLevel="0" collapsed="false">
      <c r="A769" s="18" t="n">
        <f aca="false">'SALES Raw'!G614</f>
        <v>4415161</v>
      </c>
      <c r="B769" s="18" t="str">
        <f aca="false">'SALES Raw'!B614</f>
        <v>238 M</v>
      </c>
      <c r="C769" s="18" t="str">
        <f aca="false">'SALES Raw'!H614</f>
        <v>238M סד ליישור אצבע</v>
      </c>
      <c r="D769" s="19" t="n">
        <f aca="false">'SALES Raw'!C614</f>
        <v>84</v>
      </c>
      <c r="E769" s="19" t="n">
        <f aca="false">'SALES Raw'!D614</f>
        <v>1658.33</v>
      </c>
      <c r="F769" s="19" t="n">
        <f aca="false">'SALES Raw'!E614*$H$4</f>
        <v>108.631578947368</v>
      </c>
      <c r="G769" s="19" t="n">
        <f aca="false">'SALES Raw'!F614*$H$4</f>
        <v>2184.2652631579</v>
      </c>
      <c r="H769" s="18" t="str">
        <f aca="false">'SALES Raw'!A614</f>
        <v>102 - Orthopedic institutes</v>
      </c>
    </row>
    <row r="770" customFormat="false" ht="15" hidden="false" customHeight="false" outlineLevel="0" collapsed="false">
      <c r="A770" s="18" t="n">
        <f aca="false">'SALES Raw'!G4313</f>
        <v>4422024</v>
      </c>
      <c r="B770" s="18" t="str">
        <f aca="false">'SALES Raw'!B4313</f>
        <v>806CB-B</v>
      </c>
      <c r="C770" s="18" t="str">
        <f aca="false">'SALES Raw'!H4313</f>
        <v>806CB-BLACK      תחבושת א.נצמ</v>
      </c>
      <c r="D770" s="19" t="n">
        <f aca="false">'SALES Raw'!C4313</f>
        <v>84</v>
      </c>
      <c r="E770" s="19" t="n">
        <f aca="false">'SALES Raw'!D4313</f>
        <v>595.13</v>
      </c>
      <c r="F770" s="19" t="n">
        <f aca="false">'SALES Raw'!E4313*$H$4</f>
        <v>108.631578947368</v>
      </c>
      <c r="G770" s="19" t="n">
        <f aca="false">'SALES Raw'!F4313*$H$4</f>
        <v>689.835789473684</v>
      </c>
      <c r="H770" s="18" t="str">
        <f aca="false">'SALES Raw'!A4313</f>
        <v>216 - Max Konnaris CYPRUS</v>
      </c>
    </row>
    <row r="771" customFormat="false" ht="15" hidden="false" customHeight="false" outlineLevel="0" collapsed="false">
      <c r="A771" s="18" t="n">
        <f aca="false">'CEMIUP0.9 Raw'!B1092</f>
        <v>4413095</v>
      </c>
      <c r="B771" s="18" t="str">
        <f aca="false">'CEMIUP0.9 Raw'!C1092</f>
        <v>45 XL מגן ברך לבן</v>
      </c>
      <c r="C771" s="18" t="str">
        <f aca="false">'CEMIUP0.9 Raw'!C1092</f>
        <v>45 XL מגן ברך לבן</v>
      </c>
      <c r="D771" s="19" t="n">
        <f aca="false">'CEMIUP0.9 Raw'!D1092</f>
        <v>147</v>
      </c>
      <c r="E771" s="19" t="n">
        <f aca="false">'CEMIUP0.9 Raw'!E1092</f>
        <v>3731.455</v>
      </c>
      <c r="F771" s="19" t="n">
        <f aca="false">'CEMIUP0.9 Raw'!F1092</f>
        <v>108.631578947368</v>
      </c>
      <c r="G771" s="19" t="n">
        <f aca="false">'CEMIUP0.9 Raw'!G1092</f>
        <v>2751.03536842105</v>
      </c>
      <c r="H771" s="18" t="str">
        <f aca="false">'CEMIUP0.9 Raw'!A1092</f>
        <v>BE (CEMI internal group)</v>
      </c>
    </row>
    <row r="772" customFormat="false" ht="15" hidden="false" customHeight="false" outlineLevel="0" collapsed="false">
      <c r="A772" s="18" t="n">
        <f aca="false">'CEMIUP0.9 Raw'!B365</f>
        <v>4413307</v>
      </c>
      <c r="B772" s="18" t="str">
        <f aca="false">'CEMIUP0.9 Raw'!C365</f>
        <v>URI 3667 מגן בוניון</v>
      </c>
      <c r="C772" s="18" t="str">
        <f aca="false">'CEMIUP0.9 Raw'!C365</f>
        <v>URI 3667 מגן בוניון</v>
      </c>
      <c r="D772" s="19" t="n">
        <f aca="false">'CEMIUP0.9 Raw'!D365</f>
        <v>157</v>
      </c>
      <c r="E772" s="19" t="n">
        <f aca="false">'CEMIUP0.9 Raw'!E365</f>
        <v>4466.764</v>
      </c>
      <c r="F772" s="19" t="n">
        <f aca="false">'CEMIUP0.9 Raw'!F365</f>
        <v>107.368421052632</v>
      </c>
      <c r="G772" s="19" t="n">
        <f aca="false">'CEMIUP0.9 Raw'!G365</f>
        <v>3065.45431578947</v>
      </c>
      <c r="H772" s="18" t="str">
        <f aca="false">'CEMIUP0.9 Raw'!A365</f>
        <v>107 - Pharmacies</v>
      </c>
    </row>
    <row r="773" customFormat="false" ht="15" hidden="false" customHeight="false" outlineLevel="0" collapsed="false">
      <c r="A773" s="18" t="n">
        <f aca="false">'CEMIUP0.9 Raw'!B446</f>
        <v>4413502</v>
      </c>
      <c r="B773" s="18" t="str">
        <f aca="false">'CEMIUP0.9 Raw'!C446</f>
        <v>95B S מגן מרפק שחור</v>
      </c>
      <c r="C773" s="18" t="str">
        <f aca="false">'CEMIUP0.9 Raw'!C446</f>
        <v>95B S מגן מרפק שחור</v>
      </c>
      <c r="D773" s="19" t="n">
        <f aca="false">'CEMIUP0.9 Raw'!D446</f>
        <v>119</v>
      </c>
      <c r="E773" s="19" t="n">
        <f aca="false">'CEMIUP0.9 Raw'!E446</f>
        <v>3240.692</v>
      </c>
      <c r="F773" s="19" t="n">
        <f aca="false">'CEMIUP0.9 Raw'!F446</f>
        <v>107.368421052632</v>
      </c>
      <c r="G773" s="19" t="n">
        <f aca="false">'CEMIUP0.9 Raw'!G446</f>
        <v>2973.11368421053</v>
      </c>
      <c r="H773" s="18" t="str">
        <f aca="false">'CEMIUP0.9 Raw'!A446</f>
        <v>107 - Pharmacies</v>
      </c>
    </row>
    <row r="774" customFormat="false" ht="15" hidden="false" customHeight="false" outlineLevel="0" collapsed="false">
      <c r="A774" s="18" t="str">
        <f aca="false">'SALES Raw'!G3281</f>
        <v/>
      </c>
      <c r="B774" s="18" t="str">
        <f aca="false">'SALES Raw'!B3281</f>
        <v>61 S</v>
      </c>
      <c r="C774" s="18" t="str">
        <f aca="false">'SALES Raw'!H3281</f>
        <v>61 S</v>
      </c>
      <c r="D774" s="19" t="n">
        <f aca="false">'SALES Raw'!C3281</f>
        <v>95</v>
      </c>
      <c r="E774" s="19" t="n">
        <f aca="false">'SALES Raw'!D3281</f>
        <v>1682.44</v>
      </c>
      <c r="F774" s="19" t="n">
        <f aca="false">'SALES Raw'!E3281*$H$4</f>
        <v>107.368421052632</v>
      </c>
      <c r="G774" s="19" t="n">
        <f aca="false">'SALES Raw'!F3281*$H$4</f>
        <v>1703.58315789474</v>
      </c>
      <c r="H774" s="18" t="str">
        <f aca="false">'SALES Raw'!A3281</f>
        <v>204 - Sanaflex Anatomic GREECE</v>
      </c>
    </row>
    <row r="775" customFormat="false" ht="15" hidden="false" customHeight="false" outlineLevel="0" collapsed="false">
      <c r="A775" s="18" t="n">
        <f aca="false">'SALES Raw'!G3309</f>
        <v>4413501</v>
      </c>
      <c r="B775" s="18" t="str">
        <f aca="false">'SALES Raw'!B3309</f>
        <v>95B M</v>
      </c>
      <c r="C775" s="18" t="str">
        <f aca="false">'SALES Raw'!H3309</f>
        <v>95B M מגן מרפק שחור</v>
      </c>
      <c r="D775" s="19" t="n">
        <f aca="false">'SALES Raw'!C3309</f>
        <v>145</v>
      </c>
      <c r="E775" s="19" t="n">
        <f aca="false">'SALES Raw'!D3309</f>
        <v>1571.6</v>
      </c>
      <c r="F775" s="19" t="n">
        <f aca="false">'SALES Raw'!E3309*$H$4</f>
        <v>107.368421052632</v>
      </c>
      <c r="G775" s="19" t="n">
        <f aca="false">'SALES Raw'!F3309*$H$4</f>
        <v>1031.94947368421</v>
      </c>
      <c r="H775" s="18" t="str">
        <f aca="false">'SALES Raw'!A3309</f>
        <v>204 - Sanaflex Anatomic GREECE</v>
      </c>
    </row>
    <row r="776" customFormat="false" ht="15" hidden="false" customHeight="false" outlineLevel="0" collapsed="false">
      <c r="A776" s="18" t="n">
        <f aca="false">'SALES Raw'!G3531</f>
        <v>4413050</v>
      </c>
      <c r="B776" s="18" t="str">
        <f aca="false">'SALES Raw'!B3531</f>
        <v>35 XL</v>
      </c>
      <c r="C776" s="18" t="str">
        <f aca="false">'SALES Raw'!H3531</f>
        <v>35 XL מגן קרסול לבן</v>
      </c>
      <c r="D776" s="19" t="n">
        <f aca="false">'SALES Raw'!C3531</f>
        <v>105</v>
      </c>
      <c r="E776" s="19" t="n">
        <f aca="false">'SALES Raw'!D3531</f>
        <v>1133.44</v>
      </c>
      <c r="F776" s="19" t="n">
        <f aca="false">'SALES Raw'!E3531*$H$4</f>
        <v>107.368421052632</v>
      </c>
      <c r="G776" s="19" t="n">
        <f aca="false">'SALES Raw'!F3531*$H$4</f>
        <v>1098.82105263158</v>
      </c>
      <c r="H776" s="18" t="str">
        <f aca="false">'SALES Raw'!A3531</f>
        <v>207 - Salus HUNGARY</v>
      </c>
    </row>
    <row r="777" customFormat="false" ht="15" hidden="false" customHeight="false" outlineLevel="0" collapsed="false">
      <c r="A777" s="18" t="n">
        <f aca="false">'SALES Raw'!G3814</f>
        <v>4411000</v>
      </c>
      <c r="B777" s="18" t="str">
        <f aca="false">'SALES Raw'!B3814</f>
        <v>362-L-R</v>
      </c>
      <c r="C777" s="18" t="str">
        <f aca="false">'SALES Raw'!H3814</f>
        <v>כרית מטטרזלי סיליקון362</v>
      </c>
      <c r="D777" s="19" t="n">
        <f aca="false">'SALES Raw'!C3814</f>
        <v>137</v>
      </c>
      <c r="E777" s="19" t="n">
        <f aca="false">'SALES Raw'!D3814</f>
        <v>1950.54</v>
      </c>
      <c r="F777" s="19" t="n">
        <f aca="false">'SALES Raw'!E3814*$H$4</f>
        <v>107.368421052632</v>
      </c>
      <c r="G777" s="19" t="n">
        <f aca="false">'SALES Raw'!F3814*$H$4</f>
        <v>1501.51578947368</v>
      </c>
      <c r="H777" s="18" t="str">
        <f aca="false">'SALES Raw'!A3814</f>
        <v>209 - Ortoprofil Prod ROMANIA</v>
      </c>
    </row>
    <row r="778" customFormat="false" ht="15" hidden="false" customHeight="false" outlineLevel="0" collapsed="false">
      <c r="A778" s="18" t="n">
        <f aca="false">'CEMIUP0.9 Raw'!B386</f>
        <v>4413365</v>
      </c>
      <c r="B778" s="18" t="str">
        <f aca="false">'CEMIUP0.9 Raw'!C386</f>
        <v>95C L 'מגן מרפק בז</v>
      </c>
      <c r="C778" s="18" t="str">
        <f aca="false">'CEMIUP0.9 Raw'!C386</f>
        <v>95C L 'מגן מרפק בז</v>
      </c>
      <c r="D778" s="19" t="n">
        <f aca="false">'CEMIUP0.9 Raw'!D386</f>
        <v>148</v>
      </c>
      <c r="E778" s="19" t="n">
        <f aca="false">'CEMIUP0.9 Raw'!E386</f>
        <v>4014.729</v>
      </c>
      <c r="F778" s="19" t="n">
        <f aca="false">'CEMIUP0.9 Raw'!F386</f>
        <v>106.105263157895</v>
      </c>
      <c r="G778" s="19" t="n">
        <f aca="false">'CEMIUP0.9 Raw'!G386</f>
        <v>2776.66863157895</v>
      </c>
      <c r="H778" s="18" t="str">
        <f aca="false">'CEMIUP0.9 Raw'!A386</f>
        <v>107 - Pharmacies</v>
      </c>
    </row>
    <row r="779" customFormat="false" ht="15" hidden="false" customHeight="false" outlineLevel="0" collapsed="false">
      <c r="A779" s="18" t="n">
        <f aca="false">'CEMIUP0.9 Raw'!B570</f>
        <v>4421005</v>
      </c>
      <c r="B779" s="18" t="str">
        <f aca="false">'CEMIUP0.9 Raw'!C570</f>
        <v>שרוול לגבס קצר יד</v>
      </c>
      <c r="C779" s="18" t="str">
        <f aca="false">'CEMIUP0.9 Raw'!C570</f>
        <v>שרוול לגבס קצר יד</v>
      </c>
      <c r="D779" s="19" t="n">
        <f aca="false">'CEMIUP0.9 Raw'!D570</f>
        <v>82</v>
      </c>
      <c r="E779" s="19" t="n">
        <f aca="false">'CEMIUP0.9 Raw'!E570</f>
        <v>2776.61</v>
      </c>
      <c r="F779" s="19" t="n">
        <f aca="false">'CEMIUP0.9 Raw'!F570</f>
        <v>106.105263157895</v>
      </c>
      <c r="G779" s="19" t="n">
        <f aca="false">'CEMIUP0.9 Raw'!G570</f>
        <v>3783.89052631579</v>
      </c>
      <c r="H779" s="18" t="str">
        <f aca="false">'CEMIUP0.9 Raw'!A570</f>
        <v>107 - Pharmacies</v>
      </c>
    </row>
    <row r="780" customFormat="false" ht="15" hidden="false" customHeight="false" outlineLevel="0" collapsed="false">
      <c r="A780" s="18" t="n">
        <f aca="false">'CEMIUP0.9 Raw'!B978</f>
        <v>4408054</v>
      </c>
      <c r="B780" s="18" t="str">
        <f aca="false">'CEMIUP0.9 Raw'!C978</f>
        <v>21 XL חבק יד ארוך</v>
      </c>
      <c r="C780" s="18" t="str">
        <f aca="false">'CEMIUP0.9 Raw'!C978</f>
        <v>21 XL חבק יד ארוך</v>
      </c>
      <c r="D780" s="19" t="n">
        <f aca="false">'CEMIUP0.9 Raw'!D978</f>
        <v>62</v>
      </c>
      <c r="E780" s="19" t="n">
        <f aca="false">'CEMIUP0.9 Raw'!E978</f>
        <v>1986.621</v>
      </c>
      <c r="F780" s="19" t="n">
        <f aca="false">'CEMIUP0.9 Raw'!F978</f>
        <v>106.105263157895</v>
      </c>
      <c r="G780" s="19" t="n">
        <f aca="false">'CEMIUP0.9 Raw'!G978</f>
        <v>3409.45389473684</v>
      </c>
      <c r="H780" s="18" t="str">
        <f aca="false">'CEMIUP0.9 Raw'!A978</f>
        <v>BE (CEMI internal group)</v>
      </c>
    </row>
    <row r="781" customFormat="false" ht="15" hidden="false" customHeight="false" outlineLevel="0" collapsed="false">
      <c r="A781" s="18" t="n">
        <f aca="false">'SALES Raw'!G2610</f>
        <v>4422036</v>
      </c>
      <c r="B781" s="18" t="str">
        <f aca="false">'SALES Raw'!B2610</f>
        <v>FC334 0</v>
      </c>
      <c r="C781" s="18" t="str">
        <f aca="false">'SALES Raw'!H2610</f>
        <v>FC334  תרסיס דאודורנט לכף הרגל</v>
      </c>
      <c r="D781" s="19" t="n">
        <f aca="false">'SALES Raw'!C2610</f>
        <v>37</v>
      </c>
      <c r="E781" s="19" t="n">
        <f aca="false">'SALES Raw'!D2610</f>
        <v>1488.94</v>
      </c>
      <c r="F781" s="19" t="n">
        <f aca="false">'SALES Raw'!E2610*$H$4</f>
        <v>106.105263157895</v>
      </c>
      <c r="G781" s="19" t="n">
        <f aca="false">'SALES Raw'!F2610*$H$4</f>
        <v>4296.39157894737</v>
      </c>
      <c r="H781" s="18" t="str">
        <f aca="false">'SALES Raw'!A2610</f>
        <v>114 - IL online</v>
      </c>
    </row>
    <row r="782" customFormat="false" ht="15" hidden="false" customHeight="false" outlineLevel="0" collapsed="false">
      <c r="A782" s="18" t="str">
        <f aca="false">'SALES Raw'!G4447</f>
        <v/>
      </c>
      <c r="B782" s="18" t="str">
        <f aca="false">'SALES Raw'!B4447</f>
        <v>EC-59DB S</v>
      </c>
      <c r="C782" s="18" t="str">
        <f aca="false">'SALES Raw'!H4447</f>
        <v>EC-59DB S</v>
      </c>
      <c r="D782" s="19" t="n">
        <f aca="false">'SALES Raw'!C4447</f>
        <v>49</v>
      </c>
      <c r="E782" s="19" t="n">
        <f aca="false">'SALES Raw'!D4447</f>
        <v>9171.45</v>
      </c>
      <c r="F782" s="19" t="n">
        <f aca="false">'SALES Raw'!E4447*$H$4</f>
        <v>106.105263157895</v>
      </c>
      <c r="G782" s="19" t="n">
        <f aca="false">'SALES Raw'!F4447*$H$4</f>
        <v>17979.1578947368</v>
      </c>
      <c r="H782" s="18" t="str">
        <f aca="false">'SALES Raw'!A4447</f>
        <v>301 - Amazon</v>
      </c>
    </row>
    <row r="783" customFormat="false" ht="15" hidden="false" customHeight="false" outlineLevel="0" collapsed="false">
      <c r="A783" s="18" t="n">
        <f aca="false">'CEMIUP0.9 Raw'!B269</f>
        <v>4413096</v>
      </c>
      <c r="B783" s="18" t="str">
        <f aca="false">'CEMIUP0.9 Raw'!C269</f>
        <v>45 XXL מגן ברך לבן</v>
      </c>
      <c r="C783" s="18" t="str">
        <f aca="false">'CEMIUP0.9 Raw'!C269</f>
        <v>45 XXL מגן ברך לבן</v>
      </c>
      <c r="D783" s="19" t="n">
        <f aca="false">'CEMIUP0.9 Raw'!D269</f>
        <v>124</v>
      </c>
      <c r="E783" s="19" t="n">
        <f aca="false">'CEMIUP0.9 Raw'!E269</f>
        <v>3398.584</v>
      </c>
      <c r="F783" s="19" t="n">
        <f aca="false">'CEMIUP0.9 Raw'!F269</f>
        <v>104.842105263158</v>
      </c>
      <c r="G783" s="19" t="n">
        <f aca="false">'CEMIUP0.9 Raw'!G269</f>
        <v>2854.71915789474</v>
      </c>
      <c r="H783" s="18" t="str">
        <f aca="false">'CEMIUP0.9 Raw'!A269</f>
        <v>107 - Pharmacies</v>
      </c>
    </row>
    <row r="784" customFormat="false" ht="15" hidden="false" customHeight="false" outlineLevel="0" collapsed="false">
      <c r="A784" s="18" t="n">
        <f aca="false">'CEMIUP0.9 Raw'!B1011</f>
        <v>4408154</v>
      </c>
      <c r="B784" s="18" t="str">
        <f aca="false">'CEMIUP0.9 Raw'!C1011</f>
        <v>11TO XXLחגורה למנותחי בית החזה</v>
      </c>
      <c r="C784" s="18" t="str">
        <f aca="false">'CEMIUP0.9 Raw'!C1011</f>
        <v>11TO XXLחגורה למנותחי בית החזה</v>
      </c>
      <c r="D784" s="19" t="n">
        <f aca="false">'CEMIUP0.9 Raw'!D1011</f>
        <v>61</v>
      </c>
      <c r="E784" s="19" t="n">
        <f aca="false">'CEMIUP0.9 Raw'!E1011</f>
        <v>8080.072</v>
      </c>
      <c r="F784" s="19" t="n">
        <f aca="false">'CEMIUP0.9 Raw'!F1011</f>
        <v>104.842105263158</v>
      </c>
      <c r="G784" s="19" t="n">
        <f aca="false">'CEMIUP0.9 Raw'!G1011</f>
        <v>13887.3663157895</v>
      </c>
      <c r="H784" s="18" t="str">
        <f aca="false">'CEMIUP0.9 Raw'!A1011</f>
        <v>BE (CEMI internal group)</v>
      </c>
    </row>
    <row r="785" customFormat="false" ht="15" hidden="false" customHeight="false" outlineLevel="0" collapsed="false">
      <c r="A785" s="18" t="n">
        <f aca="false">'CEMIUP0.9 Raw'!B1527</f>
        <v>4413160</v>
      </c>
      <c r="B785" s="18" t="str">
        <f aca="false">'CEMIUP0.9 Raw'!C1527</f>
        <v>34+ M מגן קרסול עקב סגור+רצוע</v>
      </c>
      <c r="C785" s="18" t="str">
        <f aca="false">'CEMIUP0.9 Raw'!C1527</f>
        <v>34+ M מגן קרסול עקב סגור+רצוע</v>
      </c>
      <c r="D785" s="19" t="n">
        <f aca="false">'CEMIUP0.9 Raw'!D1527</f>
        <v>123</v>
      </c>
      <c r="E785" s="19" t="n">
        <f aca="false">'CEMIUP0.9 Raw'!E1527</f>
        <v>5910.905</v>
      </c>
      <c r="F785" s="19" t="n">
        <f aca="false">'CEMIUP0.9 Raw'!F1527</f>
        <v>104.842105263158</v>
      </c>
      <c r="G785" s="19" t="n">
        <f aca="false">'CEMIUP0.9 Raw'!G1527</f>
        <v>5117.68673684211</v>
      </c>
      <c r="H785" s="18" t="str">
        <f aca="false">'CEMIUP0.9 Raw'!A1527</f>
        <v>Super-Pharm Israel (CEMI internal group)</v>
      </c>
    </row>
    <row r="786" customFormat="false" ht="15" hidden="false" customHeight="false" outlineLevel="0" collapsed="false">
      <c r="A786" s="18" t="n">
        <f aca="false">'SALES Raw'!G2174</f>
        <v>4411023</v>
      </c>
      <c r="B786" s="18" t="str">
        <f aca="false">'SALES Raw'!B2174</f>
        <v>212 S</v>
      </c>
      <c r="C786" s="18" t="str">
        <f aca="false">'SALES Raw'!H2174</f>
        <v>212S כפפות אגודל לחץ</v>
      </c>
      <c r="D786" s="19" t="n">
        <f aca="false">'SALES Raw'!C2174</f>
        <v>61</v>
      </c>
      <c r="E786" s="19" t="n">
        <f aca="false">'SALES Raw'!D2174</f>
        <v>3870.96</v>
      </c>
      <c r="F786" s="19" t="n">
        <f aca="false">'SALES Raw'!E2174*$H$4</f>
        <v>104.842105263158</v>
      </c>
      <c r="G786" s="19" t="n">
        <f aca="false">'SALES Raw'!F2174*$H$4</f>
        <v>7186.71157894737</v>
      </c>
      <c r="H786" s="18" t="str">
        <f aca="false">'SALES Raw'!A2174</f>
        <v>114 - IL online</v>
      </c>
    </row>
    <row r="787" customFormat="false" ht="15" hidden="false" customHeight="false" outlineLevel="0" collapsed="false">
      <c r="A787" s="18" t="n">
        <f aca="false">'SALES Raw'!G2199</f>
        <v>4415158</v>
      </c>
      <c r="B787" s="18" t="str">
        <f aca="false">'SALES Raw'!B2199</f>
        <v>266 0</v>
      </c>
      <c r="C787" s="18" t="str">
        <f aca="false">'SALES Raw'!H2199</f>
        <v>266 סד ליד דו צדדי</v>
      </c>
      <c r="D787" s="19" t="n">
        <f aca="false">'SALES Raw'!C2199</f>
        <v>111</v>
      </c>
      <c r="E787" s="19" t="n">
        <f aca="false">'SALES Raw'!D2199</f>
        <v>15059.63</v>
      </c>
      <c r="F787" s="19" t="n">
        <f aca="false">'SALES Raw'!E2199*$H$4</f>
        <v>103.578947368421</v>
      </c>
      <c r="G787" s="19" t="n">
        <f aca="false">'SALES Raw'!F2199*$H$4</f>
        <v>14313.3978947368</v>
      </c>
      <c r="H787" s="18" t="str">
        <f aca="false">'SALES Raw'!A2199</f>
        <v>114 - IL online</v>
      </c>
    </row>
    <row r="788" customFormat="false" ht="15" hidden="false" customHeight="false" outlineLevel="0" collapsed="false">
      <c r="A788" s="18" t="n">
        <f aca="false">'SALES Raw'!G3062</f>
        <v>4415160</v>
      </c>
      <c r="B788" s="18" t="str">
        <f aca="false">'SALES Raw'!B3062</f>
        <v>238 S</v>
      </c>
      <c r="C788" s="18" t="str">
        <f aca="false">'SALES Raw'!H3062</f>
        <v>238S סד ליישור אצבע</v>
      </c>
      <c r="D788" s="19" t="n">
        <f aca="false">'SALES Raw'!C3062</f>
        <v>120</v>
      </c>
      <c r="E788" s="19" t="n">
        <f aca="false">'SALES Raw'!D3062</f>
        <v>998.44</v>
      </c>
      <c r="F788" s="19" t="n">
        <f aca="false">'SALES Raw'!E3062*$H$4</f>
        <v>103.578947368421</v>
      </c>
      <c r="G788" s="19" t="n">
        <f aca="false">'SALES Raw'!F3062*$H$4</f>
        <v>792.618947368421</v>
      </c>
      <c r="H788" s="18" t="str">
        <f aca="false">'SALES Raw'!A3062</f>
        <v>203 - Ortho- Partner ag SWITZERLAND</v>
      </c>
    </row>
    <row r="789" customFormat="false" ht="15" hidden="false" customHeight="false" outlineLevel="0" collapsed="false">
      <c r="A789" s="18" t="n">
        <f aca="false">'CEMIUP0.9 Raw'!B797</f>
        <v>4413105</v>
      </c>
      <c r="B789" s="18" t="str">
        <f aca="false">'CEMIUP0.9 Raw'!C797</f>
        <v>45E XXLמגן ברך ארוך לבן</v>
      </c>
      <c r="C789" s="18" t="str">
        <f aca="false">'CEMIUP0.9 Raw'!C797</f>
        <v>45E XXLמגן ברך ארוך לבן</v>
      </c>
      <c r="D789" s="19" t="n">
        <f aca="false">'CEMIUP0.9 Raw'!D797</f>
        <v>135</v>
      </c>
      <c r="E789" s="19" t="n">
        <f aca="false">'CEMIUP0.9 Raw'!E797</f>
        <v>2767.5</v>
      </c>
      <c r="F789" s="19" t="n">
        <f aca="false">'CEMIUP0.9 Raw'!F797</f>
        <v>103.578947368421</v>
      </c>
      <c r="G789" s="19" t="n">
        <f aca="false">'CEMIUP0.9 Raw'!G797</f>
        <v>2010.11494736842</v>
      </c>
      <c r="H789" s="18" t="str">
        <f aca="false">'CEMIUP0.9 Raw'!A797</f>
        <v>113 - Kupat Holim Meuhedet</v>
      </c>
    </row>
    <row r="790" customFormat="false" ht="15" hidden="false" customHeight="false" outlineLevel="0" collapsed="false">
      <c r="A790" s="18" t="n">
        <f aca="false">'CEMIUP0.9 Raw'!B871</f>
        <v>4421001</v>
      </c>
      <c r="B790" s="18" t="str">
        <f aca="false">'CEMIUP0.9 Raw'!C871</f>
        <v>3611 שרוול מטטרזלי מסיליקון</v>
      </c>
      <c r="C790" s="18" t="str">
        <f aca="false">'CEMIUP0.9 Raw'!C871</f>
        <v>3611 שרוול מטטרזלי מסיליקון</v>
      </c>
      <c r="D790" s="19" t="n">
        <f aca="false">'CEMIUP0.9 Raw'!D871</f>
        <v>109</v>
      </c>
      <c r="E790" s="19" t="n">
        <f aca="false">'CEMIUP0.9 Raw'!E871</f>
        <v>4490.8</v>
      </c>
      <c r="F790" s="19" t="n">
        <f aca="false">'CEMIUP0.9 Raw'!F871</f>
        <v>103.578947368421</v>
      </c>
      <c r="G790" s="19" t="n">
        <f aca="false">'CEMIUP0.9 Raw'!G871</f>
        <v>3917.07915789474</v>
      </c>
      <c r="H790" s="18" t="str">
        <f aca="false">'CEMIUP0.9 Raw'!A871</f>
        <v>113 - Kupat Holim Meuhedet</v>
      </c>
    </row>
    <row r="791" customFormat="false" ht="15" hidden="false" customHeight="false" outlineLevel="0" collapsed="false">
      <c r="A791" s="18" t="n">
        <f aca="false">'CEMIUP0.9 Raw'!B971</f>
        <v>4408046</v>
      </c>
      <c r="B791" s="18" t="str">
        <f aca="false">'CEMIUP0.9 Raw'!C971</f>
        <v>20 L חבק יד מתכוון עם צמדן</v>
      </c>
      <c r="C791" s="18" t="str">
        <f aca="false">'CEMIUP0.9 Raw'!C971</f>
        <v>20 L חבק יד מתכוון עם צמדן</v>
      </c>
      <c r="D791" s="19" t="n">
        <f aca="false">'CEMIUP0.9 Raw'!D971</f>
        <v>98</v>
      </c>
      <c r="E791" s="19" t="n">
        <f aca="false">'CEMIUP0.9 Raw'!E971</f>
        <v>2422.966</v>
      </c>
      <c r="F791" s="19" t="n">
        <f aca="false">'CEMIUP0.9 Raw'!F971</f>
        <v>103.578947368421</v>
      </c>
      <c r="G791" s="19" t="n">
        <f aca="false">'CEMIUP0.9 Raw'!G971</f>
        <v>2563.78610526316</v>
      </c>
      <c r="H791" s="18" t="str">
        <f aca="false">'CEMIUP0.9 Raw'!A971</f>
        <v>BE (CEMI internal group)</v>
      </c>
    </row>
    <row r="792" customFormat="false" ht="15" hidden="false" customHeight="false" outlineLevel="0" collapsed="false">
      <c r="A792" s="18" t="n">
        <f aca="false">'CEMIUP0.9 Raw'!B1174</f>
        <v>4413372</v>
      </c>
      <c r="B792" s="18" t="str">
        <f aca="false">'CEMIUP0.9 Raw'!C1174</f>
        <v>302 W מדרס לאישה</v>
      </c>
      <c r="C792" s="18" t="str">
        <f aca="false">'CEMIUP0.9 Raw'!C1174</f>
        <v>302 W מדרס לאישה</v>
      </c>
      <c r="D792" s="19" t="n">
        <f aca="false">'CEMIUP0.9 Raw'!D1174</f>
        <v>99</v>
      </c>
      <c r="E792" s="19" t="n">
        <f aca="false">'CEMIUP0.9 Raw'!E1174</f>
        <v>5807.62</v>
      </c>
      <c r="F792" s="19" t="n">
        <f aca="false">'CEMIUP0.9 Raw'!F1174</f>
        <v>103.578947368421</v>
      </c>
      <c r="G792" s="19" t="n">
        <f aca="false">'CEMIUP0.9 Raw'!G1174</f>
        <v>6118.76336842105</v>
      </c>
      <c r="H792" s="18" t="str">
        <f aca="false">'CEMIUP0.9 Raw'!A1174</f>
        <v>BE (CEMI internal group)</v>
      </c>
    </row>
    <row r="793" customFormat="false" ht="15" hidden="false" customHeight="false" outlineLevel="0" collapsed="false">
      <c r="A793" s="18" t="n">
        <f aca="false">'CEMIUP0.9 Raw'!B1290</f>
        <v>4403019</v>
      </c>
      <c r="B793" s="18" t="str">
        <f aca="false">'CEMIUP0.9 Raw'!C1290</f>
        <v>394B גרב.כסף לסכרתים שחור43-46</v>
      </c>
      <c r="C793" s="18" t="str">
        <f aca="false">'CEMIUP0.9 Raw'!C1290</f>
        <v>394B גרב.כסף לסכרתים שחור43-46</v>
      </c>
      <c r="D793" s="19" t="n">
        <f aca="false">'CEMIUP0.9 Raw'!D1290</f>
        <v>213</v>
      </c>
      <c r="E793" s="19" t="n">
        <f aca="false">'CEMIUP0.9 Raw'!E1290</f>
        <v>4299.204</v>
      </c>
      <c r="F793" s="19" t="n">
        <f aca="false">'CEMIUP0.9 Raw'!F1290</f>
        <v>103.578947368421</v>
      </c>
      <c r="G793" s="19" t="n">
        <f aca="false">'CEMIUP0.9 Raw'!G1290</f>
        <v>2086.63957894737</v>
      </c>
      <c r="H793" s="18" t="str">
        <f aca="false">'CEMIUP0.9 Raw'!A1290</f>
        <v>Super-Pharm Israel (CEMI internal group)</v>
      </c>
    </row>
    <row r="794" customFormat="false" ht="15" hidden="false" customHeight="false" outlineLevel="0" collapsed="false">
      <c r="A794" s="18" t="n">
        <f aca="false">'CEMIUP0.9 Raw'!B1370</f>
        <v>4408192</v>
      </c>
      <c r="B794" s="18" t="str">
        <f aca="false">'CEMIUP0.9 Raw'!C1370</f>
        <v>078 L חגורת גב +סגירה</v>
      </c>
      <c r="C794" s="18" t="str">
        <f aca="false">'CEMIUP0.9 Raw'!C1370</f>
        <v>078 L חגורת גב +סגירה</v>
      </c>
      <c r="D794" s="19" t="n">
        <f aca="false">'CEMIUP0.9 Raw'!D1370</f>
        <v>164</v>
      </c>
      <c r="E794" s="19" t="n">
        <f aca="false">'CEMIUP0.9 Raw'!E1370</f>
        <v>14289.457</v>
      </c>
      <c r="F794" s="19" t="n">
        <f aca="false">'CEMIUP0.9 Raw'!F1370</f>
        <v>103.578947368421</v>
      </c>
      <c r="G794" s="19" t="n">
        <f aca="false">'CEMIUP0.9 Raw'!G1370</f>
        <v>9460.97305263158</v>
      </c>
      <c r="H794" s="18" t="str">
        <f aca="false">'CEMIUP0.9 Raw'!A1370</f>
        <v>Super-Pharm Israel (CEMI internal group)</v>
      </c>
    </row>
    <row r="795" customFormat="false" ht="15" hidden="false" customHeight="false" outlineLevel="0" collapsed="false">
      <c r="A795" s="18" t="n">
        <f aca="false">'SALES Raw'!G568</f>
        <v>4408273</v>
      </c>
      <c r="B795" s="18" t="str">
        <f aca="false">'SALES Raw'!B568</f>
        <v>70N M</v>
      </c>
      <c r="C795" s="18" t="str">
        <f aca="false">'SALES Raw'!H568</f>
        <v>70N M חגורת פאבליק</v>
      </c>
      <c r="D795" s="19" t="n">
        <f aca="false">'SALES Raw'!C568</f>
        <v>89</v>
      </c>
      <c r="E795" s="19" t="n">
        <f aca="false">'SALES Raw'!D568</f>
        <v>22242.73</v>
      </c>
      <c r="F795" s="19" t="n">
        <f aca="false">'SALES Raw'!E568*$H$4</f>
        <v>102.315789473684</v>
      </c>
      <c r="G795" s="19" t="n">
        <f aca="false">'SALES Raw'!F568*$H$4</f>
        <v>25837.9452631579</v>
      </c>
      <c r="H795" s="18" t="str">
        <f aca="false">'SALES Raw'!A568</f>
        <v>102 - Orthopedic institutes</v>
      </c>
    </row>
    <row r="796" customFormat="false" ht="15" hidden="false" customHeight="false" outlineLevel="0" collapsed="false">
      <c r="A796" s="18" t="n">
        <f aca="false">'SALES Raw'!G628</f>
        <v>4421007</v>
      </c>
      <c r="B796" s="18" t="str">
        <f aca="false">'SALES Raw'!B628</f>
        <v>350 0</v>
      </c>
      <c r="C796" s="18" t="str">
        <f aca="false">'SALES Raw'!H628</f>
        <v>שרוול לגבס קצר רגל</v>
      </c>
      <c r="D796" s="19" t="n">
        <f aca="false">'SALES Raw'!C628</f>
        <v>83</v>
      </c>
      <c r="E796" s="19" t="n">
        <f aca="false">'SALES Raw'!D628</f>
        <v>3706.12</v>
      </c>
      <c r="F796" s="19" t="n">
        <f aca="false">'SALES Raw'!E628*$H$4</f>
        <v>102.315789473684</v>
      </c>
      <c r="G796" s="19" t="n">
        <f aca="false">'SALES Raw'!F628*$H$4</f>
        <v>4595.07789473684</v>
      </c>
      <c r="H796" s="18" t="str">
        <f aca="false">'SALES Raw'!A628</f>
        <v>102 - Orthopedic institutes</v>
      </c>
    </row>
    <row r="797" customFormat="false" ht="15" hidden="false" customHeight="false" outlineLevel="0" collapsed="false">
      <c r="A797" s="18" t="n">
        <f aca="false">'SALES Raw'!G2173</f>
        <v>4411022</v>
      </c>
      <c r="B797" s="18" t="str">
        <f aca="false">'SALES Raw'!B2173</f>
        <v>212 M</v>
      </c>
      <c r="C797" s="18" t="str">
        <f aca="false">'SALES Raw'!H2173</f>
        <v>212M כפפות אגודל לחץ</v>
      </c>
      <c r="D797" s="19" t="n">
        <f aca="false">'SALES Raw'!C2173</f>
        <v>67</v>
      </c>
      <c r="E797" s="19" t="n">
        <f aca="false">'SALES Raw'!D2173</f>
        <v>4170.49</v>
      </c>
      <c r="F797" s="19" t="n">
        <f aca="false">'SALES Raw'!E2173*$H$4</f>
        <v>102.315789473684</v>
      </c>
      <c r="G797" s="19" t="n">
        <f aca="false">'SALES Raw'!F2173*$H$4</f>
        <v>6916.39578947368</v>
      </c>
      <c r="H797" s="18" t="str">
        <f aca="false">'SALES Raw'!A2173</f>
        <v>114 - IL online</v>
      </c>
    </row>
    <row r="798" customFormat="false" ht="15" hidden="false" customHeight="false" outlineLevel="0" collapsed="false">
      <c r="A798" s="18" t="n">
        <f aca="false">'SALES Raw'!G2180</f>
        <v>4411030</v>
      </c>
      <c r="B798" s="18" t="str">
        <f aca="false">'SALES Raw'!B2180</f>
        <v>213CTSR M</v>
      </c>
      <c r="C798" s="18" t="str">
        <f aca="false">'SALES Raw'!H2180</f>
        <v>213CTSR M ימין CTS כפפות</v>
      </c>
      <c r="D798" s="19" t="n">
        <f aca="false">'SALES Raw'!C2180</f>
        <v>29</v>
      </c>
      <c r="E798" s="19" t="n">
        <f aca="false">'SALES Raw'!D2180</f>
        <v>5601.54</v>
      </c>
      <c r="F798" s="19" t="n">
        <f aca="false">'SALES Raw'!E2180*$H$4</f>
        <v>102.315789473684</v>
      </c>
      <c r="G798" s="19" t="n">
        <f aca="false">'SALES Raw'!F2180*$H$4</f>
        <v>20023.5410526316</v>
      </c>
      <c r="H798" s="18" t="str">
        <f aca="false">'SALES Raw'!A2180</f>
        <v>114 - IL online</v>
      </c>
    </row>
    <row r="799" customFormat="false" ht="15" hidden="false" customHeight="false" outlineLevel="0" collapsed="false">
      <c r="A799" s="18" t="n">
        <f aca="false">'SALES Raw'!G3266</f>
        <v>4413100</v>
      </c>
      <c r="B799" s="18" t="str">
        <f aca="false">'SALES Raw'!B3266</f>
        <v>45C XL</v>
      </c>
      <c r="C799" s="18" t="str">
        <f aca="false">'SALES Raw'!H3266</f>
        <v>45C XL מגן ברך חום</v>
      </c>
      <c r="D799" s="19" t="n">
        <f aca="false">'SALES Raw'!C3266</f>
        <v>150</v>
      </c>
      <c r="E799" s="19" t="n">
        <f aca="false">'SALES Raw'!D3266</f>
        <v>1559.48</v>
      </c>
      <c r="F799" s="19" t="n">
        <f aca="false">'SALES Raw'!E3266*$H$4</f>
        <v>102.315789473684</v>
      </c>
      <c r="G799" s="19" t="n">
        <f aca="false">'SALES Raw'!F3266*$H$4</f>
        <v>939.827368421053</v>
      </c>
      <c r="H799" s="18" t="str">
        <f aca="false">'SALES Raw'!A3266</f>
        <v>204 - Sanaflex Anatomic GREECE</v>
      </c>
    </row>
    <row r="800" customFormat="false" ht="15" hidden="false" customHeight="false" outlineLevel="0" collapsed="false">
      <c r="A800" s="18" t="n">
        <f aca="false">'CEMIUP0.9 Raw'!B368</f>
        <v>4413328</v>
      </c>
      <c r="B800" s="18" t="str">
        <f aca="false">'CEMIUP0.9 Raw'!C368</f>
        <v>AC43D מגן ברך + צירים</v>
      </c>
      <c r="C800" s="18" t="str">
        <f aca="false">'CEMIUP0.9 Raw'!C368</f>
        <v>AC43D מגן ברך + צירים</v>
      </c>
      <c r="D800" s="19" t="n">
        <f aca="false">'CEMIUP0.9 Raw'!D368</f>
        <v>118</v>
      </c>
      <c r="E800" s="19" t="n">
        <f aca="false">'CEMIUP0.9 Raw'!E368</f>
        <v>10237.871</v>
      </c>
      <c r="F800" s="19" t="n">
        <f aca="false">'CEMIUP0.9 Raw'!F368</f>
        <v>102.315789473684</v>
      </c>
      <c r="G800" s="19" t="n">
        <f aca="false">'CEMIUP0.9 Raw'!G368</f>
        <v>9113.856</v>
      </c>
      <c r="H800" s="18" t="str">
        <f aca="false">'CEMIUP0.9 Raw'!A368</f>
        <v>107 - Pharmacies</v>
      </c>
    </row>
    <row r="801" customFormat="false" ht="15" hidden="false" customHeight="false" outlineLevel="0" collapsed="false">
      <c r="A801" s="18" t="n">
        <f aca="false">'CEMIUP0.9 Raw'!B387</f>
        <v>4413366</v>
      </c>
      <c r="B801" s="18" t="str">
        <f aca="false">'CEMIUP0.9 Raw'!C387</f>
        <v>95C S 'מגן מרפק בז</v>
      </c>
      <c r="C801" s="18" t="str">
        <f aca="false">'CEMIUP0.9 Raw'!C387</f>
        <v>95C S 'מגן מרפק בז</v>
      </c>
      <c r="D801" s="19" t="n">
        <f aca="false">'CEMIUP0.9 Raw'!D387</f>
        <v>155</v>
      </c>
      <c r="E801" s="19" t="n">
        <f aca="false">'CEMIUP0.9 Raw'!E387</f>
        <v>4216.576</v>
      </c>
      <c r="F801" s="19" t="n">
        <f aca="false">'CEMIUP0.9 Raw'!F387</f>
        <v>102.315789473684</v>
      </c>
      <c r="G801" s="19" t="n">
        <f aca="false">'CEMIUP0.9 Raw'!G387</f>
        <v>2780.00210526316</v>
      </c>
      <c r="H801" s="18" t="str">
        <f aca="false">'CEMIUP0.9 Raw'!A387</f>
        <v>107 - Pharmacies</v>
      </c>
    </row>
    <row r="802" customFormat="false" ht="15" hidden="false" customHeight="false" outlineLevel="0" collapsed="false">
      <c r="A802" s="18" t="n">
        <f aca="false">'CEMIUP0.9 Raw'!B705</f>
        <v>4408054</v>
      </c>
      <c r="B802" s="18" t="str">
        <f aca="false">'CEMIUP0.9 Raw'!C705</f>
        <v>21 XL חבק יד ארוך</v>
      </c>
      <c r="C802" s="18" t="str">
        <f aca="false">'CEMIUP0.9 Raw'!C705</f>
        <v>21 XL חבק יד ארוך</v>
      </c>
      <c r="D802" s="19" t="n">
        <f aca="false">'CEMIUP0.9 Raw'!D705</f>
        <v>157</v>
      </c>
      <c r="E802" s="19" t="n">
        <f aca="false">'CEMIUP0.9 Raw'!E705</f>
        <v>3835.51</v>
      </c>
      <c r="F802" s="19" t="n">
        <f aca="false">'CEMIUP0.9 Raw'!F705</f>
        <v>102.315789473684</v>
      </c>
      <c r="G802" s="19" t="n">
        <f aca="false">'CEMIUP0.9 Raw'!G705</f>
        <v>2336.66778947368</v>
      </c>
      <c r="H802" s="18" t="str">
        <f aca="false">'CEMIUP0.9 Raw'!A705</f>
        <v>113 - Kupat Holim Meuhedet</v>
      </c>
    </row>
    <row r="803" customFormat="false" ht="15" hidden="false" customHeight="false" outlineLevel="0" collapsed="false">
      <c r="A803" s="18" t="n">
        <f aca="false">'CEMIUP0.9 Raw'!B1043</f>
        <v>4411001</v>
      </c>
      <c r="B803" s="18" t="str">
        <f aca="false">'CEMIUP0.9 Raw'!C1043</f>
        <v>3623 כרית ליישור אצבע פטיש</v>
      </c>
      <c r="C803" s="18" t="str">
        <f aca="false">'CEMIUP0.9 Raw'!C1043</f>
        <v>3623 כרית ליישור אצבע פטיש</v>
      </c>
      <c r="D803" s="19" t="n">
        <f aca="false">'CEMIUP0.9 Raw'!D1043</f>
        <v>66</v>
      </c>
      <c r="E803" s="19" t="n">
        <f aca="false">'CEMIUP0.9 Raw'!E1043</f>
        <v>1571.843</v>
      </c>
      <c r="F803" s="19" t="n">
        <f aca="false">'CEMIUP0.9 Raw'!F1043</f>
        <v>102.315789473684</v>
      </c>
      <c r="G803" s="19" t="n">
        <f aca="false">'CEMIUP0.9 Raw'!G1043</f>
        <v>2446.30989473684</v>
      </c>
      <c r="H803" s="18" t="str">
        <f aca="false">'CEMIUP0.9 Raw'!A1043</f>
        <v>BE (CEMI internal group)</v>
      </c>
    </row>
    <row r="804" customFormat="false" ht="15" hidden="false" customHeight="false" outlineLevel="0" collapsed="false">
      <c r="A804" s="18" t="n">
        <f aca="false">'CEMIUP0.9 Raw'!B1123</f>
        <v>4413139</v>
      </c>
      <c r="B804" s="18" t="str">
        <f aca="false">'CEMIUP0.9 Raw'!C1123</f>
        <v>95 L מגן מרפק רגיל לבן</v>
      </c>
      <c r="C804" s="18" t="str">
        <f aca="false">'CEMIUP0.9 Raw'!C1123</f>
        <v>95 L מגן מרפק רגיל לבן</v>
      </c>
      <c r="D804" s="19" t="n">
        <f aca="false">'CEMIUP0.9 Raw'!D1123</f>
        <v>83</v>
      </c>
      <c r="E804" s="19" t="n">
        <f aca="false">'CEMIUP0.9 Raw'!E1123</f>
        <v>2107.56</v>
      </c>
      <c r="F804" s="19" t="n">
        <f aca="false">'CEMIUP0.9 Raw'!F1123</f>
        <v>102.315789473684</v>
      </c>
      <c r="G804" s="19" t="n">
        <f aca="false">'CEMIUP0.9 Raw'!G1123</f>
        <v>2587.00547368421</v>
      </c>
      <c r="H804" s="18" t="str">
        <f aca="false">'CEMIUP0.9 Raw'!A1123</f>
        <v>BE (CEMI internal group)</v>
      </c>
    </row>
    <row r="805" customFormat="false" ht="15" hidden="false" customHeight="false" outlineLevel="0" collapsed="false">
      <c r="A805" s="18" t="str">
        <f aca="false">'SALES Raw'!G185</f>
        <v/>
      </c>
      <c r="B805" s="18" t="str">
        <f aca="false">'SALES Raw'!B185</f>
        <v>67 0</v>
      </c>
      <c r="C805" s="18" t="str">
        <f aca="false">'SALES Raw'!H185</f>
        <v>67 0</v>
      </c>
      <c r="D805" s="19" t="n">
        <f aca="false">'SALES Raw'!C185</f>
        <v>186</v>
      </c>
      <c r="E805" s="19" t="n">
        <f aca="false">'SALES Raw'!D185</f>
        <v>25326.99</v>
      </c>
      <c r="F805" s="19" t="n">
        <f aca="false">'SALES Raw'!E185*$H$4</f>
        <v>101.052631578947</v>
      </c>
      <c r="G805" s="19" t="n">
        <f aca="false">'SALES Raw'!F185*$H$4</f>
        <v>18469.6421052632</v>
      </c>
      <c r="H805" s="18" t="str">
        <f aca="false">'SALES Raw'!A185</f>
        <v>101 - Factory customers</v>
      </c>
    </row>
    <row r="806" customFormat="false" ht="15" hidden="false" customHeight="false" outlineLevel="0" collapsed="false">
      <c r="A806" s="18" t="n">
        <f aca="false">'SALES Raw'!G528</f>
        <v>4408192</v>
      </c>
      <c r="B806" s="18" t="str">
        <f aca="false">'SALES Raw'!B528</f>
        <v>078 L</v>
      </c>
      <c r="C806" s="18" t="str">
        <f aca="false">'SALES Raw'!H528</f>
        <v>078 L חגורת גב +סגירה</v>
      </c>
      <c r="D806" s="19" t="n">
        <f aca="false">'SALES Raw'!C528</f>
        <v>88</v>
      </c>
      <c r="E806" s="19" t="n">
        <f aca="false">'SALES Raw'!D528</f>
        <v>7620.26</v>
      </c>
      <c r="F806" s="19" t="n">
        <f aca="false">'SALES Raw'!E528*$H$4</f>
        <v>101.052631578947</v>
      </c>
      <c r="G806" s="19" t="n">
        <f aca="false">'SALES Raw'!F528*$H$4</f>
        <v>9094.93894736842</v>
      </c>
      <c r="H806" s="18" t="str">
        <f aca="false">'SALES Raw'!A528</f>
        <v>102 - Orthopedic institutes</v>
      </c>
    </row>
    <row r="807" customFormat="false" ht="15" hidden="false" customHeight="false" outlineLevel="0" collapsed="false">
      <c r="A807" s="18" t="n">
        <f aca="false">'SALES Raw'!G2856</f>
        <v>4413307</v>
      </c>
      <c r="B807" s="18" t="str">
        <f aca="false">'SALES Raw'!B2856</f>
        <v>3667 0</v>
      </c>
      <c r="C807" s="18" t="str">
        <f aca="false">'SALES Raw'!H2856</f>
        <v>URI 3667 מגן בוניון</v>
      </c>
      <c r="D807" s="19" t="n">
        <f aca="false">'SALES Raw'!C2856</f>
        <v>40</v>
      </c>
      <c r="E807" s="19" t="n">
        <f aca="false">'SALES Raw'!D2856</f>
        <v>672.71</v>
      </c>
      <c r="F807" s="19" t="n">
        <f aca="false">'SALES Raw'!E2856*$H$4</f>
        <v>101.052631578947</v>
      </c>
      <c r="G807" s="19" t="n">
        <f aca="false">'SALES Raw'!F2856*$H$4</f>
        <v>1631.77263157895</v>
      </c>
      <c r="H807" s="18" t="str">
        <f aca="false">'SALES Raw'!A2856</f>
        <v>201- Seven Gear FINLAND oy</v>
      </c>
    </row>
    <row r="808" customFormat="false" ht="15" hidden="false" customHeight="false" outlineLevel="0" collapsed="false">
      <c r="A808" s="18" t="n">
        <f aca="false">'SALES Raw'!G2857</f>
        <v>4413370</v>
      </c>
      <c r="B808" s="18" t="str">
        <f aca="false">'SALES Raw'!B2857</f>
        <v>3674 0</v>
      </c>
      <c r="C808" s="18" t="str">
        <f aca="false">'SALES Raw'!H2857</f>
        <v>3674 0 מ.בוניון+מפריד אצבע</v>
      </c>
      <c r="D808" s="19" t="n">
        <f aca="false">'SALES Raw'!C2857</f>
        <v>140</v>
      </c>
      <c r="E808" s="19" t="n">
        <f aca="false">'SALES Raw'!D2857</f>
        <v>2491.69</v>
      </c>
      <c r="F808" s="19" t="n">
        <f aca="false">'SALES Raw'!E2857*$H$4</f>
        <v>101.052631578947</v>
      </c>
      <c r="G808" s="19" t="n">
        <f aca="false">'SALES Raw'!F2857*$H$4</f>
        <v>1667.63368421053</v>
      </c>
      <c r="H808" s="18" t="str">
        <f aca="false">'SALES Raw'!A2857</f>
        <v>201- Seven Gear FINLAND oy</v>
      </c>
    </row>
    <row r="809" customFormat="false" ht="15" hidden="false" customHeight="false" outlineLevel="0" collapsed="false">
      <c r="A809" s="18" t="n">
        <f aca="false">'SALES Raw'!G2896</f>
        <v>4408221</v>
      </c>
      <c r="B809" s="18" t="str">
        <f aca="false">'SALES Raw'!B2896</f>
        <v>078G L</v>
      </c>
      <c r="C809" s="18" t="str">
        <f aca="false">'SALES Raw'!H2896</f>
        <v>078G-L חגורת גב אפורה</v>
      </c>
      <c r="D809" s="19" t="n">
        <f aca="false">'SALES Raw'!C2896</f>
        <v>190</v>
      </c>
      <c r="E809" s="19" t="n">
        <f aca="false">'SALES Raw'!D2896</f>
        <v>13475.39</v>
      </c>
      <c r="F809" s="19" t="n">
        <f aca="false">'SALES Raw'!E2896*$H$4</f>
        <v>101.052631578947</v>
      </c>
      <c r="G809" s="19" t="n">
        <f aca="false">'SALES Raw'!F2896*$H$4</f>
        <v>6313.70526315789</v>
      </c>
      <c r="H809" s="18" t="str">
        <f aca="false">'SALES Raw'!A2896</f>
        <v>202 - Super-Pharm POLAND</v>
      </c>
    </row>
    <row r="810" customFormat="false" ht="15" hidden="false" customHeight="false" outlineLevel="0" collapsed="false">
      <c r="A810" s="18" t="n">
        <f aca="false">'SALES Raw'!G2990</f>
        <v>4413138</v>
      </c>
      <c r="B810" s="18" t="str">
        <f aca="false">'SALES Raw'!B2990</f>
        <v>85 XL</v>
      </c>
      <c r="C810" s="18" t="str">
        <f aca="false">'SALES Raw'!H2990</f>
        <v>85 XL (מתלה ליד )כיס</v>
      </c>
      <c r="D810" s="19" t="n">
        <f aca="false">'SALES Raw'!C2990</f>
        <v>170</v>
      </c>
      <c r="E810" s="19" t="n">
        <f aca="false">'SALES Raw'!D2990</f>
        <v>5328.74</v>
      </c>
      <c r="F810" s="19" t="n">
        <f aca="false">'SALES Raw'!E2990*$H$4</f>
        <v>101.052631578947</v>
      </c>
      <c r="G810" s="19" t="n">
        <f aca="false">'SALES Raw'!F2990*$H$4</f>
        <v>2789.17894736842</v>
      </c>
      <c r="H810" s="18" t="str">
        <f aca="false">'SALES Raw'!A2990</f>
        <v>202 - Super-Pharm POLAND</v>
      </c>
    </row>
    <row r="811" customFormat="false" ht="15" hidden="false" customHeight="false" outlineLevel="0" collapsed="false">
      <c r="A811" s="18" t="n">
        <f aca="false">'SALES Raw'!G3000</f>
        <v>4413364</v>
      </c>
      <c r="B811" s="18" t="str">
        <f aca="false">'SALES Raw'!B3000</f>
        <v>95C M</v>
      </c>
      <c r="C811" s="18" t="str">
        <f aca="false">'SALES Raw'!H3000</f>
        <v>95C M 'מגן מרפק בז</v>
      </c>
      <c r="D811" s="19" t="n">
        <f aca="false">'SALES Raw'!C3000</f>
        <v>170</v>
      </c>
      <c r="E811" s="19" t="n">
        <f aca="false">'SALES Raw'!D3000</f>
        <v>2469.69</v>
      </c>
      <c r="F811" s="19" t="n">
        <f aca="false">'SALES Raw'!E3000*$H$4</f>
        <v>101.052631578947</v>
      </c>
      <c r="G811" s="19" t="n">
        <f aca="false">'SALES Raw'!F3000*$H$4</f>
        <v>1321.22526315789</v>
      </c>
      <c r="H811" s="18" t="str">
        <f aca="false">'SALES Raw'!A3000</f>
        <v>202 - Super-Pharm POLAND</v>
      </c>
    </row>
    <row r="812" customFormat="false" ht="15" hidden="false" customHeight="false" outlineLevel="0" collapsed="false">
      <c r="A812" s="18" t="n">
        <f aca="false">'SALES Raw'!G3015</f>
        <v>4420023</v>
      </c>
      <c r="B812" s="18" t="str">
        <f aca="false">'SALES Raw'!B3015</f>
        <v>LF371 0</v>
      </c>
      <c r="C812" s="18" t="str">
        <f aca="false">'SALES Raw'!H3015</f>
        <v>LF371 ריפוד סיליקון לנעלי אצבע</v>
      </c>
      <c r="D812" s="19" t="n">
        <f aca="false">'SALES Raw'!C3015</f>
        <v>100</v>
      </c>
      <c r="E812" s="19" t="n">
        <f aca="false">'SALES Raw'!D3015</f>
        <v>1421.76</v>
      </c>
      <c r="F812" s="19" t="n">
        <f aca="false">'SALES Raw'!E3015*$H$4</f>
        <v>101.052631578947</v>
      </c>
      <c r="G812" s="19" t="n">
        <f aca="false">'SALES Raw'!F3015*$H$4</f>
        <v>1303.35157894737</v>
      </c>
      <c r="H812" s="18" t="str">
        <f aca="false">'SALES Raw'!A3015</f>
        <v>202 - Super-Pharm POLAND</v>
      </c>
    </row>
    <row r="813" customFormat="false" ht="15" hidden="false" customHeight="false" outlineLevel="0" collapsed="false">
      <c r="A813" s="18" t="n">
        <f aca="false">'SALES Raw'!G3020</f>
        <v>4413278</v>
      </c>
      <c r="B813" s="18" t="str">
        <f aca="false">'SALES Raw'!B3020</f>
        <v>LF377 S</v>
      </c>
      <c r="C813" s="18" t="str">
        <f aca="false">'SALES Raw'!H3020</f>
        <v>LF377 S-מדרס סיליקון לנעלי עקב</v>
      </c>
      <c r="D813" s="19" t="n">
        <f aca="false">'SALES Raw'!C3020</f>
        <v>120</v>
      </c>
      <c r="E813" s="19" t="n">
        <f aca="false">'SALES Raw'!D3020</f>
        <v>2954.02</v>
      </c>
      <c r="F813" s="19" t="n">
        <f aca="false">'SALES Raw'!E3020*$H$4</f>
        <v>101.052631578947</v>
      </c>
      <c r="G813" s="19" t="n">
        <f aca="false">'SALES Raw'!F3020*$H$4</f>
        <v>2285.35578947368</v>
      </c>
      <c r="H813" s="18" t="str">
        <f aca="false">'SALES Raw'!A3020</f>
        <v>202 - Super-Pharm POLAND</v>
      </c>
    </row>
    <row r="814" customFormat="false" ht="15" hidden="false" customHeight="false" outlineLevel="0" collapsed="false">
      <c r="A814" s="18" t="str">
        <f aca="false">'SALES Raw'!G3021</f>
        <v/>
      </c>
      <c r="B814" s="18" t="str">
        <f aca="false">'SALES Raw'!B3021</f>
        <v>ST27L 0</v>
      </c>
      <c r="C814" s="18" t="str">
        <f aca="false">'SALES Raw'!H3021</f>
        <v>ST27L 0</v>
      </c>
      <c r="D814" s="19" t="n">
        <f aca="false">'SALES Raw'!C3021</f>
        <v>210</v>
      </c>
      <c r="E814" s="19" t="n">
        <f aca="false">'SALES Raw'!D3021</f>
        <v>6824.86</v>
      </c>
      <c r="F814" s="19" t="n">
        <f aca="false">'SALES Raw'!E3021*$H$4</f>
        <v>101.052631578947</v>
      </c>
      <c r="G814" s="19" t="n">
        <f aca="false">'SALES Raw'!F3021*$H$4</f>
        <v>2952.61894736842</v>
      </c>
      <c r="H814" s="18" t="str">
        <f aca="false">'SALES Raw'!A3021</f>
        <v>202 - Super-Pharm POLAND</v>
      </c>
    </row>
    <row r="815" customFormat="false" ht="15" hidden="false" customHeight="false" outlineLevel="0" collapsed="false">
      <c r="A815" s="18" t="n">
        <f aca="false">'SALES Raw'!G3152</f>
        <v>4408046</v>
      </c>
      <c r="B815" s="18" t="str">
        <f aca="false">'SALES Raw'!B3152</f>
        <v>20 L</v>
      </c>
      <c r="C815" s="18" t="str">
        <f aca="false">'SALES Raw'!H3152</f>
        <v>20 L חבק יד מתכוון עם צמדן</v>
      </c>
      <c r="D815" s="19" t="n">
        <f aca="false">'SALES Raw'!C3152</f>
        <v>60</v>
      </c>
      <c r="E815" s="19" t="n">
        <f aca="false">'SALES Raw'!D3152</f>
        <v>925.58</v>
      </c>
      <c r="F815" s="19" t="n">
        <f aca="false">'SALES Raw'!E3152*$H$4</f>
        <v>101.052631578947</v>
      </c>
      <c r="G815" s="19" t="n">
        <f aca="false">'SALES Raw'!F3152*$H$4</f>
        <v>1374.39157894737</v>
      </c>
      <c r="H815" s="18" t="str">
        <f aca="false">'SALES Raw'!A3152</f>
        <v>204 - Sanaflex Anatomic GREECE</v>
      </c>
    </row>
    <row r="816" customFormat="false" ht="15" hidden="false" customHeight="false" outlineLevel="0" collapsed="false">
      <c r="A816" s="18" t="n">
        <f aca="false">'SALES Raw'!G3230</f>
        <v>4420027</v>
      </c>
      <c r="B816" s="18" t="str">
        <f aca="false">'SALES Raw'!B3230</f>
        <v>370K 0</v>
      </c>
      <c r="C816" s="18" t="str">
        <f aca="false">'SALES Raw'!H3230</f>
        <v>370K 0 רפידת לילדים אנטי ריח</v>
      </c>
      <c r="D816" s="19" t="n">
        <f aca="false">'SALES Raw'!C3230</f>
        <v>45</v>
      </c>
      <c r="E816" s="19" t="n">
        <f aca="false">'SALES Raw'!D3230</f>
        <v>291.19</v>
      </c>
      <c r="F816" s="19" t="n">
        <f aca="false">'SALES Raw'!E3230*$H$4</f>
        <v>101.052631578947</v>
      </c>
      <c r="G816" s="19" t="n">
        <f aca="false">'SALES Raw'!F3230*$H$4</f>
        <v>601.212631578947</v>
      </c>
      <c r="H816" s="18" t="str">
        <f aca="false">'SALES Raw'!A3230</f>
        <v>204 - Sanaflex Anatomic GREECE</v>
      </c>
    </row>
    <row r="817" customFormat="false" ht="15" hidden="false" customHeight="false" outlineLevel="0" collapsed="false">
      <c r="A817" s="18" t="str">
        <f aca="false">'SALES Raw'!G3235</f>
        <v/>
      </c>
      <c r="B817" s="18" t="str">
        <f aca="false">'SALES Raw'!B3235</f>
        <v>376-38-40</v>
      </c>
      <c r="C817" s="18" t="str">
        <f aca="false">'SALES Raw'!H3235</f>
        <v>376-38-40</v>
      </c>
      <c r="D817" s="19" t="n">
        <f aca="false">'SALES Raw'!C3235</f>
        <v>170</v>
      </c>
      <c r="E817" s="19" t="n">
        <f aca="false">'SALES Raw'!D3235</f>
        <v>2479.51</v>
      </c>
      <c r="F817" s="19" t="n">
        <f aca="false">'SALES Raw'!E3235*$H$4</f>
        <v>101.052631578947</v>
      </c>
      <c r="G817" s="19" t="n">
        <f aca="false">'SALES Raw'!F3235*$H$4</f>
        <v>1379.98736842105</v>
      </c>
      <c r="H817" s="18" t="str">
        <f aca="false">'SALES Raw'!A3235</f>
        <v>204 - Sanaflex Anatomic GREECE</v>
      </c>
    </row>
    <row r="818" customFormat="false" ht="15" hidden="false" customHeight="false" outlineLevel="0" collapsed="false">
      <c r="A818" s="18" t="n">
        <f aca="false">'SALES Raw'!G3340</f>
        <v>4408098</v>
      </c>
      <c r="B818" s="18" t="str">
        <f aca="false">'SALES Raw'!B3340</f>
        <v>T25 0</v>
      </c>
      <c r="C818" s="18" t="str">
        <f aca="false">'SALES Raw'!H3340</f>
        <v>T25-חבק יד אגודלי</v>
      </c>
      <c r="D818" s="19" t="n">
        <f aca="false">'SALES Raw'!C3340</f>
        <v>40</v>
      </c>
      <c r="E818" s="19" t="n">
        <f aca="false">'SALES Raw'!D3340</f>
        <v>676.67</v>
      </c>
      <c r="F818" s="19" t="n">
        <f aca="false">'SALES Raw'!E3340*$H$4</f>
        <v>101.052631578947</v>
      </c>
      <c r="G818" s="19" t="n">
        <f aca="false">'SALES Raw'!F3340*$H$4</f>
        <v>1534.26947368421</v>
      </c>
      <c r="H818" s="18" t="str">
        <f aca="false">'SALES Raw'!A3340</f>
        <v>204 - Sanaflex Anatomic GREECE</v>
      </c>
    </row>
    <row r="819" customFormat="false" ht="15" hidden="false" customHeight="false" outlineLevel="0" collapsed="false">
      <c r="A819" s="18" t="n">
        <f aca="false">'SALES Raw'!G3343</f>
        <v>4416005</v>
      </c>
      <c r="B819" s="18" t="str">
        <f aca="false">'SALES Raw'!B3343</f>
        <v>308 M</v>
      </c>
      <c r="C819" s="18" t="str">
        <f aca="false">'SALES Raw'!H3343</f>
        <v>308 Mעקבים סיליק.כחול לדורבן</v>
      </c>
      <c r="D819" s="19" t="n">
        <f aca="false">'SALES Raw'!C3343</f>
        <v>100</v>
      </c>
      <c r="E819" s="19" t="n">
        <f aca="false">'SALES Raw'!D3343</f>
        <v>2618.74</v>
      </c>
      <c r="F819" s="19" t="n">
        <f aca="false">'SALES Raw'!E3343*$H$4</f>
        <v>101.052631578947</v>
      </c>
      <c r="G819" s="19" t="n">
        <f aca="false">'SALES Raw'!F3343*$H$4</f>
        <v>2399.36842105263</v>
      </c>
      <c r="H819" s="18" t="str">
        <f aca="false">'SALES Raw'!A3343</f>
        <v>205 - Health Care Prod. Gmbh GERMANY</v>
      </c>
    </row>
    <row r="820" customFormat="false" ht="15" hidden="false" customHeight="false" outlineLevel="0" collapsed="false">
      <c r="A820" s="18" t="str">
        <f aca="false">'SALES Raw'!G3377</f>
        <v/>
      </c>
      <c r="B820" s="18" t="str">
        <f aca="false">'SALES Raw'!B3377</f>
        <v>ST45X 0</v>
      </c>
      <c r="C820" s="18" t="str">
        <f aca="false">'SALES Raw'!H3377</f>
        <v>ST45X 0</v>
      </c>
      <c r="D820" s="19" t="n">
        <f aca="false">'SALES Raw'!C3377</f>
        <v>110</v>
      </c>
      <c r="E820" s="19" t="n">
        <f aca="false">'SALES Raw'!D3377</f>
        <v>2049.75</v>
      </c>
      <c r="F820" s="19" t="n">
        <f aca="false">'SALES Raw'!E3377*$H$4</f>
        <v>101.052631578947</v>
      </c>
      <c r="G820" s="19" t="n">
        <f aca="false">'SALES Raw'!F3377*$H$4</f>
        <v>1807.92</v>
      </c>
      <c r="H820" s="18" t="str">
        <f aca="false">'SALES Raw'!A3377</f>
        <v>205 - Health Care Prod. Gmbh GERMANY</v>
      </c>
    </row>
    <row r="821" customFormat="false" ht="15" hidden="false" customHeight="false" outlineLevel="0" collapsed="false">
      <c r="A821" s="18" t="n">
        <f aca="false">'SALES Raw'!G3585</f>
        <v>4413095</v>
      </c>
      <c r="B821" s="18" t="str">
        <f aca="false">'SALES Raw'!B3585</f>
        <v>45 XL</v>
      </c>
      <c r="C821" s="18" t="str">
        <f aca="false">'SALES Raw'!H3585</f>
        <v>45 XL מגן ברך לבן</v>
      </c>
      <c r="D821" s="19" t="n">
        <f aca="false">'SALES Raw'!C3585</f>
        <v>110</v>
      </c>
      <c r="E821" s="19" t="n">
        <f aca="false">'SALES Raw'!D3585</f>
        <v>1115.69</v>
      </c>
      <c r="F821" s="19" t="n">
        <f aca="false">'SALES Raw'!E3585*$H$4</f>
        <v>101.052631578947</v>
      </c>
      <c r="G821" s="19" t="n">
        <f aca="false">'SALES Raw'!F3585*$H$4</f>
        <v>1026.42947368421</v>
      </c>
      <c r="H821" s="18" t="str">
        <f aca="false">'SALES Raw'!A3585</f>
        <v>207 - Salus HUNGARY</v>
      </c>
    </row>
    <row r="822" customFormat="false" ht="15" hidden="false" customHeight="false" outlineLevel="0" collapsed="false">
      <c r="A822" s="18" t="str">
        <f aca="false">'SALES Raw'!G4082</f>
        <v/>
      </c>
      <c r="B822" s="18" t="str">
        <f aca="false">'SALES Raw'!B4082</f>
        <v>305-39-40</v>
      </c>
      <c r="C822" s="18" t="str">
        <f aca="false">'SALES Raw'!H4082</f>
        <v>305-39-40</v>
      </c>
      <c r="D822" s="19" t="n">
        <f aca="false">'SALES Raw'!C4082</f>
        <v>85</v>
      </c>
      <c r="E822" s="19" t="n">
        <f aca="false">'SALES Raw'!D4082</f>
        <v>3115.64</v>
      </c>
      <c r="F822" s="19" t="n">
        <f aca="false">'SALES Raw'!E4082*$H$4</f>
        <v>101.052631578947</v>
      </c>
      <c r="G822" s="19" t="n">
        <f aca="false">'SALES Raw'!F4082*$H$4</f>
        <v>3387.22105263158</v>
      </c>
      <c r="H822" s="18" t="str">
        <f aca="false">'SALES Raw'!A4082</f>
        <v>213 - E.f.m.o. SPAIN</v>
      </c>
    </row>
    <row r="823" customFormat="false" ht="15" hidden="false" customHeight="false" outlineLevel="0" collapsed="false">
      <c r="A823" s="18" t="n">
        <f aca="false">'SALES Raw'!G4134</f>
        <v>4415026</v>
      </c>
      <c r="B823" s="18" t="str">
        <f aca="false">'SALES Raw'!B4134</f>
        <v>AC27L 0</v>
      </c>
      <c r="C823" s="18" t="str">
        <f aca="false">'SALES Raw'!H4134</f>
        <v>AC-27L סד לש.כף יד שמאל</v>
      </c>
      <c r="D823" s="19" t="n">
        <f aca="false">'SALES Raw'!C4134</f>
        <v>70</v>
      </c>
      <c r="E823" s="19" t="n">
        <f aca="false">'SALES Raw'!D4134</f>
        <v>2118.48</v>
      </c>
      <c r="F823" s="19" t="n">
        <f aca="false">'SALES Raw'!E4134*$H$4</f>
        <v>101.052631578947</v>
      </c>
      <c r="G823" s="19" t="n">
        <f aca="false">'SALES Raw'!F4134*$H$4</f>
        <v>2844.83368421053</v>
      </c>
      <c r="H823" s="18" t="str">
        <f aca="false">'SALES Raw'!A4134</f>
        <v>214 - Alfred Gera&amp; Sons Ltd. MALTA</v>
      </c>
    </row>
    <row r="824" customFormat="false" ht="15" hidden="false" customHeight="false" outlineLevel="0" collapsed="false">
      <c r="A824" s="18" t="n">
        <f aca="false">'SALES Raw'!G4135</f>
        <v>4415027</v>
      </c>
      <c r="B824" s="18" t="str">
        <f aca="false">'SALES Raw'!B4135</f>
        <v>AC27R 0</v>
      </c>
      <c r="C824" s="18" t="str">
        <f aca="false">'SALES Raw'!H4135</f>
        <v>AC-27R סד לש.כף יד ימין</v>
      </c>
      <c r="D824" s="19" t="n">
        <f aca="false">'SALES Raw'!C4135</f>
        <v>100</v>
      </c>
      <c r="E824" s="19" t="n">
        <f aca="false">'SALES Raw'!D4135</f>
        <v>3073.08</v>
      </c>
      <c r="F824" s="19" t="n">
        <f aca="false">'SALES Raw'!E4135*$H$4</f>
        <v>101.052631578947</v>
      </c>
      <c r="G824" s="19" t="n">
        <f aca="false">'SALES Raw'!F4135*$H$4</f>
        <v>2844.83368421053</v>
      </c>
      <c r="H824" s="18" t="str">
        <f aca="false">'SALES Raw'!A4135</f>
        <v>214 - Alfred Gera&amp; Sons Ltd. MALTA</v>
      </c>
    </row>
    <row r="825" customFormat="false" ht="15" hidden="false" customHeight="false" outlineLevel="0" collapsed="false">
      <c r="A825" s="18" t="n">
        <f aca="false">'CEMIUP0.9 Raw'!B181</f>
        <v>4408266</v>
      </c>
      <c r="B825" s="18" t="str">
        <f aca="false">'CEMIUP0.9 Raw'!C181</f>
        <v>91B חבק טניס אלבו</v>
      </c>
      <c r="C825" s="18" t="str">
        <f aca="false">'CEMIUP0.9 Raw'!C181</f>
        <v>91B חבק טניס אלבו</v>
      </c>
      <c r="D825" s="19" t="n">
        <f aca="false">'CEMIUP0.9 Raw'!D181</f>
        <v>83</v>
      </c>
      <c r="E825" s="19" t="n">
        <f aca="false">'CEMIUP0.9 Raw'!E181</f>
        <v>6255.829</v>
      </c>
      <c r="F825" s="19" t="n">
        <f aca="false">'CEMIUP0.9 Raw'!F181</f>
        <v>101.052631578947</v>
      </c>
      <c r="G825" s="19" t="n">
        <f aca="false">'CEMIUP0.9 Raw'!G181</f>
        <v>7749.24631578947</v>
      </c>
      <c r="H825" s="18" t="str">
        <f aca="false">'CEMIUP0.9 Raw'!A181</f>
        <v>107 - Pharmacies</v>
      </c>
    </row>
    <row r="826" customFormat="false" ht="15" hidden="false" customHeight="false" outlineLevel="0" collapsed="false">
      <c r="A826" s="18" t="n">
        <f aca="false">'CEMIUP0.9 Raw'!B569</f>
        <v>4421003</v>
      </c>
      <c r="B826" s="18" t="str">
        <f aca="false">'CEMIUP0.9 Raw'!C569</f>
        <v>3672 שרוול מגן לבוניון</v>
      </c>
      <c r="C826" s="18" t="str">
        <f aca="false">'CEMIUP0.9 Raw'!C569</f>
        <v>3672 שרוול מגן לבוניון</v>
      </c>
      <c r="D826" s="19" t="n">
        <f aca="false">'CEMIUP0.9 Raw'!D569</f>
        <v>136</v>
      </c>
      <c r="E826" s="19" t="n">
        <f aca="false">'CEMIUP0.9 Raw'!E569</f>
        <v>4349.887</v>
      </c>
      <c r="F826" s="19" t="n">
        <f aca="false">'CEMIUP0.9 Raw'!F569</f>
        <v>101.052631578947</v>
      </c>
      <c r="G826" s="19" t="n">
        <f aca="false">'CEMIUP0.9 Raw'!G569</f>
        <v>3320.22315789474</v>
      </c>
      <c r="H826" s="18" t="str">
        <f aca="false">'CEMIUP0.9 Raw'!A569</f>
        <v>107 - Pharmacies</v>
      </c>
    </row>
    <row r="827" customFormat="false" ht="15" hidden="false" customHeight="false" outlineLevel="0" collapsed="false">
      <c r="A827" s="18" t="n">
        <f aca="false">'CEMIUP0.9 Raw'!B1093</f>
        <v>4413096</v>
      </c>
      <c r="B827" s="18" t="str">
        <f aca="false">'CEMIUP0.9 Raw'!C1093</f>
        <v>45 XXL מגן ברך לבן</v>
      </c>
      <c r="C827" s="18" t="str">
        <f aca="false">'CEMIUP0.9 Raw'!C1093</f>
        <v>45 XXL מגן ברך לבן</v>
      </c>
      <c r="D827" s="19" t="n">
        <f aca="false">'CEMIUP0.9 Raw'!D1093</f>
        <v>94</v>
      </c>
      <c r="E827" s="19" t="n">
        <f aca="false">'CEMIUP0.9 Raw'!E1093</f>
        <v>2374.645</v>
      </c>
      <c r="F827" s="19" t="n">
        <f aca="false">'CEMIUP0.9 Raw'!F1093</f>
        <v>101.052631578947</v>
      </c>
      <c r="G827" s="19" t="n">
        <f aca="false">'CEMIUP0.9 Raw'!G1093</f>
        <v>2557.23410526316</v>
      </c>
      <c r="H827" s="18" t="str">
        <f aca="false">'CEMIUP0.9 Raw'!A1093</f>
        <v>BE (CEMI internal group)</v>
      </c>
    </row>
    <row r="828" customFormat="false" ht="15" hidden="false" customHeight="false" outlineLevel="0" collapsed="false">
      <c r="A828" s="18" t="str">
        <f aca="false">'SALES Raw'!G3075</f>
        <v/>
      </c>
      <c r="B828" s="18" t="str">
        <f aca="false">'SALES Raw'!B3075</f>
        <v>38L 0</v>
      </c>
      <c r="C828" s="18" t="str">
        <f aca="false">'SALES Raw'!H3075</f>
        <v>38L 0</v>
      </c>
      <c r="D828" s="19" t="n">
        <f aca="false">'SALES Raw'!C3075</f>
        <v>60</v>
      </c>
      <c r="E828" s="19" t="n">
        <f aca="false">'SALES Raw'!D3075</f>
        <v>1931.87</v>
      </c>
      <c r="F828" s="19" t="n">
        <f aca="false">'SALES Raw'!E3075*$H$4</f>
        <v>99.7894736842105</v>
      </c>
      <c r="G828" s="19" t="n">
        <f aca="false">'SALES Raw'!F3075*$H$4</f>
        <v>3017.62105263158</v>
      </c>
      <c r="H828" s="18" t="str">
        <f aca="false">'SALES Raw'!A3075</f>
        <v>203 - Ortho- Partner ag SWITZERLAND</v>
      </c>
    </row>
    <row r="829" customFormat="false" ht="15" hidden="false" customHeight="false" outlineLevel="0" collapsed="false">
      <c r="A829" s="18" t="n">
        <f aca="false">'SALES Raw'!G3528</f>
        <v>4413048</v>
      </c>
      <c r="B829" s="18" t="str">
        <f aca="false">'SALES Raw'!B3528</f>
        <v>35 L</v>
      </c>
      <c r="C829" s="18" t="str">
        <f aca="false">'SALES Raw'!H3528</f>
        <v>35 L מגן קרסול לבן</v>
      </c>
      <c r="D829" s="19" t="n">
        <f aca="false">'SALES Raw'!C3528</f>
        <v>180</v>
      </c>
      <c r="E829" s="19" t="n">
        <f aca="false">'SALES Raw'!D3528</f>
        <v>1962.61</v>
      </c>
      <c r="F829" s="19" t="n">
        <f aca="false">'SALES Raw'!E3528*$H$4</f>
        <v>99.7894736842105</v>
      </c>
      <c r="G829" s="19" t="n">
        <f aca="false">'SALES Raw'!F3528*$H$4</f>
        <v>1099.95789473684</v>
      </c>
      <c r="H829" s="18" t="str">
        <f aca="false">'SALES Raw'!A3528</f>
        <v>207 - Salus HUNGARY</v>
      </c>
    </row>
    <row r="830" customFormat="false" ht="15" hidden="false" customHeight="false" outlineLevel="0" collapsed="false">
      <c r="A830" s="18" t="n">
        <f aca="false">'CEMIUP0.9 Raw'!B1121</f>
        <v>4413137</v>
      </c>
      <c r="B830" s="18" t="str">
        <f aca="false">'CEMIUP0.9 Raw'!C1121</f>
        <v>85 S (מתלה ליד )כיס</v>
      </c>
      <c r="C830" s="18" t="str">
        <f aca="false">'CEMIUP0.9 Raw'!C1121</f>
        <v>85 S (מתלה ליד )כיס</v>
      </c>
      <c r="D830" s="19" t="n">
        <f aca="false">'CEMIUP0.9 Raw'!D1121</f>
        <v>119</v>
      </c>
      <c r="E830" s="19" t="n">
        <f aca="false">'CEMIUP0.9 Raw'!E1121</f>
        <v>5679.765</v>
      </c>
      <c r="F830" s="19" t="n">
        <f aca="false">'CEMIUP0.9 Raw'!F1121</f>
        <v>99.7894736842105</v>
      </c>
      <c r="G830" s="19" t="n">
        <f aca="false">'CEMIUP0.9 Raw'!G1121</f>
        <v>4765.94778947368</v>
      </c>
      <c r="H830" s="18" t="str">
        <f aca="false">'CEMIUP0.9 Raw'!A1121</f>
        <v>BE (CEMI internal group)</v>
      </c>
    </row>
    <row r="831" customFormat="false" ht="15" hidden="false" customHeight="false" outlineLevel="0" collapsed="false">
      <c r="A831" s="18" t="n">
        <f aca="false">'CEMIUP0.9 Raw'!B1197</f>
        <v>4413453</v>
      </c>
      <c r="B831" s="18" t="str">
        <f aca="false">'CEMIUP0.9 Raw'!C1197</f>
        <v>AC75 מישר כתפיים אקטיב</v>
      </c>
      <c r="C831" s="18" t="str">
        <f aca="false">'CEMIUP0.9 Raw'!C1197</f>
        <v>AC75 מישר כתפיים אקטיב</v>
      </c>
      <c r="D831" s="19" t="n">
        <f aca="false">'CEMIUP0.9 Raw'!D1197</f>
        <v>66</v>
      </c>
      <c r="E831" s="19" t="n">
        <f aca="false">'CEMIUP0.9 Raw'!E1197</f>
        <v>4774.77</v>
      </c>
      <c r="F831" s="19" t="n">
        <f aca="false">'CEMIUP0.9 Raw'!F1197</f>
        <v>99.7894736842105</v>
      </c>
      <c r="G831" s="19" t="n">
        <f aca="false">'CEMIUP0.9 Raw'!G1197</f>
        <v>7219.26947368421</v>
      </c>
      <c r="H831" s="18" t="str">
        <f aca="false">'CEMIUP0.9 Raw'!A1197</f>
        <v>BE (CEMI internal group)</v>
      </c>
    </row>
    <row r="832" customFormat="false" ht="15" hidden="false" customHeight="false" outlineLevel="0" collapsed="false">
      <c r="A832" s="18" t="n">
        <f aca="false">'CEMIUP0.9 Raw'!B317</f>
        <v>4413150</v>
      </c>
      <c r="B832" s="18" t="str">
        <f aca="false">'CEMIUP0.9 Raw'!C317</f>
        <v>PD341-מקצוע להסרת עור קשה</v>
      </c>
      <c r="C832" s="18" t="str">
        <f aca="false">'CEMIUP0.9 Raw'!C317</f>
        <v>PD341-מקצוע להסרת עור קשה</v>
      </c>
      <c r="D832" s="19" t="n">
        <f aca="false">'CEMIUP0.9 Raw'!D317</f>
        <v>53</v>
      </c>
      <c r="E832" s="19" t="n">
        <f aca="false">'CEMIUP0.9 Raw'!E317</f>
        <v>1377.178</v>
      </c>
      <c r="F832" s="19" t="n">
        <f aca="false">'CEMIUP0.9 Raw'!F317</f>
        <v>98.5263157894737</v>
      </c>
      <c r="G832" s="19" t="n">
        <f aca="false">'CEMIUP0.9 Raw'!G317</f>
        <v>2596.76336842105</v>
      </c>
      <c r="H832" s="18" t="str">
        <f aca="false">'CEMIUP0.9 Raw'!A317</f>
        <v>107 - Pharmacies</v>
      </c>
    </row>
    <row r="833" customFormat="false" ht="15" hidden="false" customHeight="false" outlineLevel="0" collapsed="false">
      <c r="A833" s="18" t="n">
        <f aca="false">'CEMIUP0.9 Raw'!B552</f>
        <v>4420022</v>
      </c>
      <c r="B833" s="18" t="str">
        <f aca="false">'CEMIUP0.9 Raw'!C552</f>
        <v>LF370 ריפוד סיליקון לעקב אחורי</v>
      </c>
      <c r="C833" s="18" t="str">
        <f aca="false">'CEMIUP0.9 Raw'!C552</f>
        <v>LF370 ריפוד סיליקון לעקב אחורי</v>
      </c>
      <c r="D833" s="19" t="n">
        <f aca="false">'CEMIUP0.9 Raw'!D552</f>
        <v>81</v>
      </c>
      <c r="E833" s="19" t="n">
        <f aca="false">'CEMIUP0.9 Raw'!E552</f>
        <v>1622.348</v>
      </c>
      <c r="F833" s="19" t="n">
        <f aca="false">'CEMIUP0.9 Raw'!F552</f>
        <v>98.5263157894737</v>
      </c>
      <c r="G833" s="19" t="n">
        <f aca="false">'CEMIUP0.9 Raw'!G552</f>
        <v>2045.94821052632</v>
      </c>
      <c r="H833" s="18" t="str">
        <f aca="false">'CEMIUP0.9 Raw'!A552</f>
        <v>107 - Pharmacies</v>
      </c>
    </row>
    <row r="834" customFormat="false" ht="15" hidden="false" customHeight="false" outlineLevel="0" collapsed="false">
      <c r="A834" s="18" t="n">
        <f aca="false">'CEMIUP0.9 Raw'!B676</f>
        <v>4403002</v>
      </c>
      <c r="B834" s="18" t="str">
        <f aca="false">'CEMIUP0.9 Raw'!C676</f>
        <v>390B 43-46.גרב.כסף לסכרתיים שח</v>
      </c>
      <c r="C834" s="18" t="str">
        <f aca="false">'CEMIUP0.9 Raw'!C676</f>
        <v>390B 43-46.גרב.כסף לסכרתיים שח</v>
      </c>
      <c r="D834" s="19" t="n">
        <f aca="false">'CEMIUP0.9 Raw'!D676</f>
        <v>43</v>
      </c>
      <c r="E834" s="19" t="n">
        <f aca="false">'CEMIUP0.9 Raw'!E676</f>
        <v>1014.8</v>
      </c>
      <c r="F834" s="19" t="n">
        <f aca="false">'CEMIUP0.9 Raw'!F676</f>
        <v>98.5263157894737</v>
      </c>
      <c r="G834" s="19" t="n">
        <f aca="false">'CEMIUP0.9 Raw'!G676</f>
        <v>2276.928</v>
      </c>
      <c r="H834" s="18" t="str">
        <f aca="false">'CEMIUP0.9 Raw'!A676</f>
        <v>113 - Kupat Holim Meuhedet</v>
      </c>
    </row>
    <row r="835" customFormat="false" ht="15" hidden="false" customHeight="false" outlineLevel="0" collapsed="false">
      <c r="A835" s="18" t="n">
        <f aca="false">'CEMIUP0.9 Raw'!B755</f>
        <v>4409015</v>
      </c>
      <c r="B835" s="18" t="str">
        <f aca="false">'CEMIUP0.9 Raw'!C755</f>
        <v>808KT-BL       טייפ קינזיולוגי</v>
      </c>
      <c r="C835" s="18" t="str">
        <f aca="false">'CEMIUP0.9 Raw'!C755</f>
        <v>808KT-BL       טייפ קינזיולוגי</v>
      </c>
      <c r="D835" s="19" t="n">
        <f aca="false">'CEMIUP0.9 Raw'!D755</f>
        <v>111</v>
      </c>
      <c r="E835" s="19" t="n">
        <f aca="false">'CEMIUP0.9 Raw'!E755</f>
        <v>2775</v>
      </c>
      <c r="F835" s="19" t="n">
        <f aca="false">'CEMIUP0.9 Raw'!F755</f>
        <v>98.5263157894737</v>
      </c>
      <c r="G835" s="19" t="n">
        <f aca="false">'CEMIUP0.9 Raw'!G755</f>
        <v>2363.68421052632</v>
      </c>
      <c r="H835" s="18" t="str">
        <f aca="false">'CEMIUP0.9 Raw'!A755</f>
        <v>113 - Kupat Holim Meuhedet</v>
      </c>
    </row>
    <row r="836" customFormat="false" ht="15" hidden="false" customHeight="false" outlineLevel="0" collapsed="false">
      <c r="A836" s="18" t="n">
        <f aca="false">'CEMIUP0.9 Raw'!B793</f>
        <v>4413101</v>
      </c>
      <c r="B836" s="18" t="str">
        <f aca="false">'CEMIUP0.9 Raw'!C793</f>
        <v>45E Sמגן ברך ארוך לבן</v>
      </c>
      <c r="C836" s="18" t="str">
        <f aca="false">'CEMIUP0.9 Raw'!C793</f>
        <v>45E Sמגן ברך ארוך לבן</v>
      </c>
      <c r="D836" s="19" t="n">
        <f aca="false">'CEMIUP0.9 Raw'!D793</f>
        <v>80</v>
      </c>
      <c r="E836" s="19" t="n">
        <f aca="false">'CEMIUP0.9 Raw'!E793</f>
        <v>1640</v>
      </c>
      <c r="F836" s="19" t="n">
        <f aca="false">'CEMIUP0.9 Raw'!F793</f>
        <v>98.5263157894737</v>
      </c>
      <c r="G836" s="19" t="n">
        <f aca="false">'CEMIUP0.9 Raw'!G793</f>
        <v>1893.61010526316</v>
      </c>
      <c r="H836" s="18" t="str">
        <f aca="false">'CEMIUP0.9 Raw'!A793</f>
        <v>113 - Kupat Holim Meuhedet</v>
      </c>
    </row>
    <row r="837" customFormat="false" ht="15" hidden="false" customHeight="false" outlineLevel="0" collapsed="false">
      <c r="A837" s="18" t="n">
        <f aca="false">'CEMIUP0.9 Raw'!B1067</f>
        <v>4413051</v>
      </c>
      <c r="B837" s="18" t="str">
        <f aca="false">'CEMIUP0.9 Raw'!C1067</f>
        <v>35 XXL מגן קרסול לבן</v>
      </c>
      <c r="C837" s="18" t="str">
        <f aca="false">'CEMIUP0.9 Raw'!C1067</f>
        <v>35 XXL מגן קרסול לבן</v>
      </c>
      <c r="D837" s="19" t="n">
        <f aca="false">'CEMIUP0.9 Raw'!D1067</f>
        <v>77</v>
      </c>
      <c r="E837" s="19" t="n">
        <f aca="false">'CEMIUP0.9 Raw'!E1067</f>
        <v>1945.125</v>
      </c>
      <c r="F837" s="19" t="n">
        <f aca="false">'CEMIUP0.9 Raw'!F1067</f>
        <v>98.5263157894737</v>
      </c>
      <c r="G837" s="19" t="n">
        <f aca="false">'CEMIUP0.9 Raw'!G1067</f>
        <v>2488.84042105263</v>
      </c>
      <c r="H837" s="18" t="str">
        <f aca="false">'CEMIUP0.9 Raw'!A1067</f>
        <v>BE (CEMI internal group)</v>
      </c>
    </row>
    <row r="838" customFormat="false" ht="15" hidden="false" customHeight="false" outlineLevel="0" collapsed="false">
      <c r="A838" s="18" t="n">
        <f aca="false">'SALES Raw'!G2291</f>
        <v>4421007</v>
      </c>
      <c r="B838" s="18" t="str">
        <f aca="false">'SALES Raw'!B2291</f>
        <v>350 0</v>
      </c>
      <c r="C838" s="18" t="str">
        <f aca="false">'SALES Raw'!H2291</f>
        <v>שרוול לגבס קצר רגל</v>
      </c>
      <c r="D838" s="19" t="n">
        <f aca="false">'SALES Raw'!C2291</f>
        <v>59</v>
      </c>
      <c r="E838" s="19" t="n">
        <f aca="false">'SALES Raw'!D2291</f>
        <v>4542.97</v>
      </c>
      <c r="F838" s="19" t="n">
        <f aca="false">'SALES Raw'!E2291*$H$4</f>
        <v>98.5263157894737</v>
      </c>
      <c r="G838" s="19" t="n">
        <f aca="false">'SALES Raw'!F2291*$H$4</f>
        <v>7740.46736842105</v>
      </c>
      <c r="H838" s="18" t="str">
        <f aca="false">'SALES Raw'!A2291</f>
        <v>114 - IL online</v>
      </c>
    </row>
    <row r="839" customFormat="false" ht="15" hidden="false" customHeight="false" outlineLevel="0" collapsed="false">
      <c r="A839" s="18" t="n">
        <f aca="false">'SALES Raw'!G2645</f>
        <v>4408250</v>
      </c>
      <c r="B839" s="18" t="str">
        <f aca="false">'SALES Raw'!B2645</f>
        <v>SC25 XL</v>
      </c>
      <c r="C839" s="18" t="str">
        <f aca="false">'SALES Raw'!H2645</f>
        <v>SC25 XL חבק יד</v>
      </c>
      <c r="D839" s="19" t="n">
        <f aca="false">'SALES Raw'!C2645</f>
        <v>117</v>
      </c>
      <c r="E839" s="19" t="n">
        <f aca="false">'SALES Raw'!D2645</f>
        <v>14875.86</v>
      </c>
      <c r="F839" s="19" t="n">
        <f aca="false">'SALES Raw'!E2645*$H$4</f>
        <v>98.5263157894737</v>
      </c>
      <c r="G839" s="19" t="n">
        <f aca="false">'SALES Raw'!F2645*$H$4</f>
        <v>14633.6842105263</v>
      </c>
      <c r="H839" s="18" t="str">
        <f aca="false">'SALES Raw'!A2645</f>
        <v>114 - IL online</v>
      </c>
    </row>
    <row r="840" customFormat="false" ht="15" hidden="false" customHeight="false" outlineLevel="0" collapsed="false">
      <c r="A840" s="18" t="n">
        <f aca="false">'SALES Raw'!G3036</f>
        <v>4408035</v>
      </c>
      <c r="B840" s="18" t="str">
        <f aca="false">'SALES Raw'!B3036</f>
        <v>11 XXL</v>
      </c>
      <c r="C840" s="18" t="str">
        <f aca="false">'SALES Raw'!H3036</f>
        <v>11 XXL""""חגורת בטן""""אורירית</v>
      </c>
      <c r="D840" s="19" t="n">
        <f aca="false">'SALES Raw'!C3036</f>
        <v>60</v>
      </c>
      <c r="E840" s="19" t="n">
        <f aca="false">'SALES Raw'!D3036</f>
        <v>2679.46</v>
      </c>
      <c r="F840" s="19" t="n">
        <f aca="false">'SALES Raw'!E3036*$H$4</f>
        <v>97.2631578947368</v>
      </c>
      <c r="G840" s="19" t="n">
        <f aca="false">'SALES Raw'!F3036*$H$4</f>
        <v>4203.28421052632</v>
      </c>
      <c r="H840" s="18" t="str">
        <f aca="false">'SALES Raw'!A3036</f>
        <v>203 - Ortho- Partner ag SWITZERLAND</v>
      </c>
    </row>
    <row r="841" customFormat="false" ht="15" hidden="false" customHeight="false" outlineLevel="0" collapsed="false">
      <c r="A841" s="18" t="str">
        <f aca="false">'SALES Raw'!G4399</f>
        <v/>
      </c>
      <c r="B841" s="18" t="str">
        <f aca="false">'SALES Raw'!B4399</f>
        <v>EC-11STO M</v>
      </c>
      <c r="C841" s="18" t="str">
        <f aca="false">'SALES Raw'!H4399</f>
        <v>EC-11STO M</v>
      </c>
      <c r="D841" s="19" t="n">
        <f aca="false">'SALES Raw'!C4399</f>
        <v>125</v>
      </c>
      <c r="E841" s="19" t="n">
        <f aca="false">'SALES Raw'!D4399</f>
        <v>16991.76</v>
      </c>
      <c r="F841" s="19" t="n">
        <f aca="false">'SALES Raw'!E4399*$H$4</f>
        <v>97.2631578947368</v>
      </c>
      <c r="G841" s="19" t="n">
        <f aca="false">'SALES Raw'!F4399*$H$4</f>
        <v>12988.2189473684</v>
      </c>
      <c r="H841" s="18" t="str">
        <f aca="false">'SALES Raw'!A4399</f>
        <v>301 - Amazon</v>
      </c>
    </row>
    <row r="842" customFormat="false" ht="15" hidden="false" customHeight="false" outlineLevel="0" collapsed="false">
      <c r="A842" s="18" t="str">
        <f aca="false">'SALES Raw'!G4404</f>
        <v/>
      </c>
      <c r="B842" s="18" t="str">
        <f aca="false">'SALES Raw'!B4404</f>
        <v>EC-11STOB M</v>
      </c>
      <c r="C842" s="18" t="str">
        <f aca="false">'SALES Raw'!H4404</f>
        <v>EC-11STOB M</v>
      </c>
      <c r="D842" s="19" t="n">
        <f aca="false">'SALES Raw'!C4404</f>
        <v>16</v>
      </c>
      <c r="E842" s="19" t="n">
        <f aca="false">'SALES Raw'!D4404</f>
        <v>2183.52</v>
      </c>
      <c r="F842" s="19" t="n">
        <f aca="false">'SALES Raw'!E4404*$H$4</f>
        <v>97.2631578947368</v>
      </c>
      <c r="G842" s="19" t="n">
        <f aca="false">'SALES Raw'!F4404*$H$4</f>
        <v>11556.3789473684</v>
      </c>
      <c r="H842" s="18" t="str">
        <f aca="false">'SALES Raw'!A4404</f>
        <v>301 - Amazon</v>
      </c>
    </row>
    <row r="843" customFormat="false" ht="15" hidden="false" customHeight="false" outlineLevel="0" collapsed="false">
      <c r="A843" s="18" t="n">
        <f aca="false">'CEMIUP0.9 Raw'!B276</f>
        <v>4413103</v>
      </c>
      <c r="B843" s="18" t="str">
        <f aca="false">'CEMIUP0.9 Raw'!C276</f>
        <v>45E Mמגן ברך ארוך לבן</v>
      </c>
      <c r="C843" s="18" t="str">
        <f aca="false">'CEMIUP0.9 Raw'!C276</f>
        <v>45E Mמגן ברך ארוך לבן</v>
      </c>
      <c r="D843" s="19" t="n">
        <f aca="false">'CEMIUP0.9 Raw'!D276</f>
        <v>143</v>
      </c>
      <c r="E843" s="19" t="n">
        <f aca="false">'CEMIUP0.9 Raw'!E276</f>
        <v>4653.172</v>
      </c>
      <c r="F843" s="19" t="n">
        <f aca="false">'CEMIUP0.9 Raw'!F276</f>
        <v>97.2631578947368</v>
      </c>
      <c r="G843" s="19" t="n">
        <f aca="false">'CEMIUP0.9 Raw'!G276</f>
        <v>3196.79368421053</v>
      </c>
      <c r="H843" s="18" t="str">
        <f aca="false">'CEMIUP0.9 Raw'!A276</f>
        <v>107 - Pharmacies</v>
      </c>
    </row>
    <row r="844" customFormat="false" ht="15" hidden="false" customHeight="false" outlineLevel="0" collapsed="false">
      <c r="A844" s="18" t="n">
        <f aca="false">'CEMIUP0.9 Raw'!B437</f>
        <v>4413493</v>
      </c>
      <c r="B844" s="18" t="str">
        <f aca="false">'CEMIUP0.9 Raw'!C437</f>
        <v>35B S מגן קרסול שחור</v>
      </c>
      <c r="C844" s="18" t="str">
        <f aca="false">'CEMIUP0.9 Raw'!C437</f>
        <v>35B S מגן קרסול שחור</v>
      </c>
      <c r="D844" s="19" t="n">
        <f aca="false">'CEMIUP0.9 Raw'!D437</f>
        <v>136</v>
      </c>
      <c r="E844" s="19" t="n">
        <f aca="false">'CEMIUP0.9 Raw'!E437</f>
        <v>3765.762</v>
      </c>
      <c r="F844" s="19" t="n">
        <f aca="false">'CEMIUP0.9 Raw'!F437</f>
        <v>97.2631578947368</v>
      </c>
      <c r="G844" s="19" t="n">
        <f aca="false">'CEMIUP0.9 Raw'!G437</f>
        <v>2712.75789473684</v>
      </c>
      <c r="H844" s="18" t="str">
        <f aca="false">'CEMIUP0.9 Raw'!A437</f>
        <v>107 - Pharmacies</v>
      </c>
    </row>
    <row r="845" customFormat="false" ht="15" hidden="false" customHeight="false" outlineLevel="0" collapsed="false">
      <c r="A845" s="18" t="n">
        <f aca="false">'CEMIUP0.9 Raw'!B1238</f>
        <v>4418000</v>
      </c>
      <c r="B845" s="18" t="str">
        <f aca="false">'CEMIUP0.9 Raw'!C1238</f>
        <v>60 L צוארון ספוגי</v>
      </c>
      <c r="C845" s="18" t="str">
        <f aca="false">'CEMIUP0.9 Raw'!C1238</f>
        <v>60 L צוארון ספוגי</v>
      </c>
      <c r="D845" s="19" t="n">
        <f aca="false">'CEMIUP0.9 Raw'!D1238</f>
        <v>120</v>
      </c>
      <c r="E845" s="19" t="n">
        <f aca="false">'CEMIUP0.9 Raw'!E1238</f>
        <v>3442.257</v>
      </c>
      <c r="F845" s="19" t="n">
        <f aca="false">'CEMIUP0.9 Raw'!F1238</f>
        <v>97.2631578947368</v>
      </c>
      <c r="G845" s="19" t="n">
        <f aca="false">'CEMIUP0.9 Raw'!G1238</f>
        <v>2864.94821052632</v>
      </c>
      <c r="H845" s="18" t="str">
        <f aca="false">'CEMIUP0.9 Raw'!A1238</f>
        <v>BE (CEMI internal group)</v>
      </c>
    </row>
    <row r="846" customFormat="false" ht="15" hidden="false" customHeight="false" outlineLevel="0" collapsed="false">
      <c r="A846" s="18" t="n">
        <f aca="false">'CEMIUP0.9 Raw'!B1353</f>
        <v>4408095</v>
      </c>
      <c r="B846" s="18" t="str">
        <f aca="false">'CEMIUP0.9 Raw'!C1353</f>
        <v>T20 L-XL  חבק יד עם צמדן</v>
      </c>
      <c r="C846" s="18" t="str">
        <f aca="false">'CEMIUP0.9 Raw'!C1353</f>
        <v>T20 L-XL  חבק יד עם צמדן</v>
      </c>
      <c r="D846" s="19" t="n">
        <f aca="false">'CEMIUP0.9 Raw'!D1353</f>
        <v>121</v>
      </c>
      <c r="E846" s="19" t="n">
        <f aca="false">'CEMIUP0.9 Raw'!E1353</f>
        <v>3507.413</v>
      </c>
      <c r="F846" s="19" t="n">
        <f aca="false">'CEMIUP0.9 Raw'!F1353</f>
        <v>97.2631578947368</v>
      </c>
      <c r="G846" s="19" t="n">
        <f aca="false">'CEMIUP0.9 Raw'!G1353</f>
        <v>2769.65684210526</v>
      </c>
      <c r="H846" s="18" t="str">
        <f aca="false">'CEMIUP0.9 Raw'!A1353</f>
        <v>Super-Pharm Israel (CEMI internal group)</v>
      </c>
    </row>
    <row r="847" customFormat="false" ht="15" hidden="false" customHeight="false" outlineLevel="0" collapsed="false">
      <c r="A847" s="18" t="n">
        <f aca="false">'SALES Raw'!G613</f>
        <v>4415162</v>
      </c>
      <c r="B847" s="18" t="str">
        <f aca="false">'SALES Raw'!B613</f>
        <v>238 L</v>
      </c>
      <c r="C847" s="18" t="str">
        <f aca="false">'SALES Raw'!H613</f>
        <v>238L סד ליישור אצבע</v>
      </c>
      <c r="D847" s="19" t="n">
        <f aca="false">'SALES Raw'!C613</f>
        <v>75</v>
      </c>
      <c r="E847" s="19" t="n">
        <f aca="false">'SALES Raw'!D613</f>
        <v>1492.71</v>
      </c>
      <c r="F847" s="19" t="n">
        <f aca="false">'SALES Raw'!E613*$H$4</f>
        <v>96</v>
      </c>
      <c r="G847" s="19" t="n">
        <f aca="false">'SALES Raw'!F613*$H$4</f>
        <v>1930.29473684211</v>
      </c>
      <c r="H847" s="18" t="str">
        <f aca="false">'SALES Raw'!A613</f>
        <v>102 - Orthopedic institutes</v>
      </c>
    </row>
    <row r="848" customFormat="false" ht="15" hidden="false" customHeight="false" outlineLevel="0" collapsed="false">
      <c r="A848" s="18" t="str">
        <f aca="false">'SALES Raw'!G2831</f>
        <v/>
      </c>
      <c r="B848" s="18" t="str">
        <f aca="false">'SALES Raw'!B2831</f>
        <v>M93</v>
      </c>
      <c r="C848" s="18" t="str">
        <f aca="false">'SALES Raw'!H2831</f>
        <v>M93</v>
      </c>
      <c r="D848" s="19" t="n">
        <f aca="false">'SALES Raw'!C2831</f>
        <v>167</v>
      </c>
      <c r="E848" s="19" t="n">
        <f aca="false">'SALES Raw'!D2831</f>
        <v>4230.96</v>
      </c>
      <c r="F848" s="19" t="n">
        <f aca="false">'SALES Raw'!E2831*$H$4</f>
        <v>96</v>
      </c>
      <c r="G848" s="19" t="n">
        <f aca="false">'SALES Raw'!F2831*$H$4</f>
        <v>2440.32</v>
      </c>
      <c r="H848" s="18" t="str">
        <f aca="false">'SALES Raw'!A2831</f>
        <v>115-SuperPharm Online</v>
      </c>
    </row>
    <row r="849" customFormat="false" ht="15" hidden="false" customHeight="false" outlineLevel="0" collapsed="false">
      <c r="A849" s="18" t="n">
        <f aca="false">'SALES Raw'!G3199</f>
        <v>4413041</v>
      </c>
      <c r="B849" s="18" t="str">
        <f aca="false">'SALES Raw'!B3199</f>
        <v>34 M</v>
      </c>
      <c r="C849" s="18" t="str">
        <f aca="false">'SALES Raw'!H3199</f>
        <v>34  M מגן קרסול עקב סגור</v>
      </c>
      <c r="D849" s="19" t="n">
        <f aca="false">'SALES Raw'!C3199</f>
        <v>65</v>
      </c>
      <c r="E849" s="19" t="n">
        <f aca="false">'SALES Raw'!D3199</f>
        <v>1357.65</v>
      </c>
      <c r="F849" s="19" t="n">
        <f aca="false">'SALES Raw'!E3199*$H$4</f>
        <v>96</v>
      </c>
      <c r="G849" s="19" t="n">
        <f aca="false">'SALES Raw'!F3199*$H$4</f>
        <v>1812.25263157895</v>
      </c>
      <c r="H849" s="18" t="str">
        <f aca="false">'SALES Raw'!A3199</f>
        <v>204 - Sanaflex Anatomic GREECE</v>
      </c>
    </row>
    <row r="850" customFormat="false" ht="15" hidden="false" customHeight="false" outlineLevel="0" collapsed="false">
      <c r="A850" s="18" t="str">
        <f aca="false">'SALES Raw'!G4431</f>
        <v/>
      </c>
      <c r="B850" s="18" t="str">
        <f aca="false">'SALES Raw'!B4431</f>
        <v>EC-59D L</v>
      </c>
      <c r="C850" s="18" t="str">
        <f aca="false">'SALES Raw'!H4431</f>
        <v>EC-59D L</v>
      </c>
      <c r="D850" s="19" t="n">
        <f aca="false">'SALES Raw'!C4431</f>
        <v>125</v>
      </c>
      <c r="E850" s="19" t="n">
        <f aca="false">'SALES Raw'!D4431</f>
        <v>23867.72</v>
      </c>
      <c r="F850" s="19" t="n">
        <f aca="false">'SALES Raw'!E4431*$H$4</f>
        <v>96</v>
      </c>
      <c r="G850" s="19" t="n">
        <f aca="false">'SALES Raw'!F4431*$H$4</f>
        <v>16136.1347368421</v>
      </c>
      <c r="H850" s="18" t="str">
        <f aca="false">'SALES Raw'!A4431</f>
        <v>301 - Amazon</v>
      </c>
    </row>
    <row r="851" customFormat="false" ht="15" hidden="false" customHeight="false" outlineLevel="0" collapsed="false">
      <c r="A851" s="18" t="n">
        <f aca="false">'CEMIUP0.9 Raw'!B444</f>
        <v>4413500</v>
      </c>
      <c r="B851" s="18" t="str">
        <f aca="false">'CEMIUP0.9 Raw'!C444</f>
        <v>95B L מגן מרפק שחור</v>
      </c>
      <c r="C851" s="18" t="str">
        <f aca="false">'CEMIUP0.9 Raw'!C444</f>
        <v>95B L מגן מרפק שחור</v>
      </c>
      <c r="D851" s="19" t="n">
        <f aca="false">'CEMIUP0.9 Raw'!D444</f>
        <v>94</v>
      </c>
      <c r="E851" s="19" t="n">
        <f aca="false">'CEMIUP0.9 Raw'!E444</f>
        <v>2429.336</v>
      </c>
      <c r="F851" s="19" t="n">
        <f aca="false">'CEMIUP0.9 Raw'!F444</f>
        <v>96</v>
      </c>
      <c r="G851" s="19" t="n">
        <f aca="false">'CEMIUP0.9 Raw'!G444</f>
        <v>2670.22736842105</v>
      </c>
      <c r="H851" s="18" t="str">
        <f aca="false">'CEMIUP0.9 Raw'!A444</f>
        <v>107 - Pharmacies</v>
      </c>
    </row>
    <row r="852" customFormat="false" ht="15" hidden="false" customHeight="false" outlineLevel="0" collapsed="false">
      <c r="A852" s="18" t="n">
        <f aca="false">'CEMIUP0.9 Raw'!B518</f>
        <v>4416003</v>
      </c>
      <c r="B852" s="18" t="str">
        <f aca="false">'CEMIUP0.9 Raw'!C518</f>
        <v>308 Lעקבים סיליקון כחול לדורבן</v>
      </c>
      <c r="C852" s="18" t="str">
        <f aca="false">'CEMIUP0.9 Raw'!C518</f>
        <v>308 Lעקבים סיליקון כחול לדורבן</v>
      </c>
      <c r="D852" s="19" t="n">
        <f aca="false">'CEMIUP0.9 Raw'!D518</f>
        <v>128</v>
      </c>
      <c r="E852" s="19" t="n">
        <f aca="false">'CEMIUP0.9 Raw'!E518</f>
        <v>6427.111</v>
      </c>
      <c r="F852" s="19" t="n">
        <f aca="false">'CEMIUP0.9 Raw'!F518</f>
        <v>96</v>
      </c>
      <c r="G852" s="19" t="n">
        <f aca="false">'CEMIUP0.9 Raw'!G518</f>
        <v>4968.94610526316</v>
      </c>
      <c r="H852" s="18" t="str">
        <f aca="false">'CEMIUP0.9 Raw'!A518</f>
        <v>107 - Pharmacies</v>
      </c>
    </row>
    <row r="853" customFormat="false" ht="15" hidden="false" customHeight="false" outlineLevel="0" collapsed="false">
      <c r="A853" s="18" t="n">
        <f aca="false">'CEMIUP0.9 Raw'!B1168</f>
        <v>4413365</v>
      </c>
      <c r="B853" s="18" t="str">
        <f aca="false">'CEMIUP0.9 Raw'!C1168</f>
        <v>95C L 'מגן מרפק בז</v>
      </c>
      <c r="C853" s="18" t="str">
        <f aca="false">'CEMIUP0.9 Raw'!C1168</f>
        <v>95C L 'מגן מרפק בז</v>
      </c>
      <c r="D853" s="19" t="n">
        <f aca="false">'CEMIUP0.9 Raw'!D1168</f>
        <v>107</v>
      </c>
      <c r="E853" s="19" t="n">
        <f aca="false">'CEMIUP0.9 Raw'!E1168</f>
        <v>2703.064</v>
      </c>
      <c r="F853" s="19" t="n">
        <f aca="false">'CEMIUP0.9 Raw'!F1168</f>
        <v>96</v>
      </c>
      <c r="G853" s="19" t="n">
        <f aca="false">'CEMIUP0.9 Raw'!G1168</f>
        <v>2427.34357894737</v>
      </c>
      <c r="H853" s="18" t="str">
        <f aca="false">'CEMIUP0.9 Raw'!A1168</f>
        <v>BE (CEMI internal group)</v>
      </c>
    </row>
    <row r="854" customFormat="false" ht="15" hidden="false" customHeight="false" outlineLevel="0" collapsed="false">
      <c r="A854" s="18" t="n">
        <f aca="false">'CEMIUP0.9 Raw'!B232</f>
        <v>4413044</v>
      </c>
      <c r="B854" s="18" t="str">
        <f aca="false">'CEMIUP0.9 Raw'!C232</f>
        <v>34 XL מגן קרסול עקב סגור</v>
      </c>
      <c r="C854" s="18" t="str">
        <f aca="false">'CEMIUP0.9 Raw'!C232</f>
        <v>34 XL מגן קרסול עקב סגור</v>
      </c>
      <c r="D854" s="19" t="n">
        <f aca="false">'CEMIUP0.9 Raw'!D232</f>
        <v>114</v>
      </c>
      <c r="E854" s="19" t="n">
        <f aca="false">'CEMIUP0.9 Raw'!E232</f>
        <v>4637.77</v>
      </c>
      <c r="F854" s="19" t="n">
        <f aca="false">'CEMIUP0.9 Raw'!F232</f>
        <v>94.7368421052632</v>
      </c>
      <c r="G854" s="19" t="n">
        <f aca="false">'CEMIUP0.9 Raw'!G232</f>
        <v>3954.60757894737</v>
      </c>
      <c r="H854" s="18" t="str">
        <f aca="false">'CEMIUP0.9 Raw'!A232</f>
        <v>107 - Pharmacies</v>
      </c>
    </row>
    <row r="855" customFormat="false" ht="15" hidden="false" customHeight="false" outlineLevel="0" collapsed="false">
      <c r="A855" s="18" t="n">
        <f aca="false">'CEMIUP0.9 Raw'!B309</f>
        <v>4413138</v>
      </c>
      <c r="B855" s="18" t="str">
        <f aca="false">'CEMIUP0.9 Raw'!C309</f>
        <v>85 XL (מתלה ליד )כיס</v>
      </c>
      <c r="C855" s="18" t="str">
        <f aca="false">'CEMIUP0.9 Raw'!C309</f>
        <v>85 XL (מתלה ליד )כיס</v>
      </c>
      <c r="D855" s="19" t="n">
        <f aca="false">'CEMIUP0.9 Raw'!D309</f>
        <v>95</v>
      </c>
      <c r="E855" s="19" t="n">
        <f aca="false">'CEMIUP0.9 Raw'!E309</f>
        <v>4716.822</v>
      </c>
      <c r="F855" s="19" t="n">
        <f aca="false">'CEMIUP0.9 Raw'!F309</f>
        <v>94.7368421052632</v>
      </c>
      <c r="G855" s="19" t="n">
        <f aca="false">'CEMIUP0.9 Raw'!G309</f>
        <v>4790.4947368421</v>
      </c>
      <c r="H855" s="18" t="str">
        <f aca="false">'CEMIUP0.9 Raw'!A309</f>
        <v>107 - Pharmacies</v>
      </c>
    </row>
    <row r="856" customFormat="false" ht="15" hidden="false" customHeight="false" outlineLevel="0" collapsed="false">
      <c r="A856" s="18" t="n">
        <f aca="false">'CEMIUP0.9 Raw'!B515</f>
        <v>4416000</v>
      </c>
      <c r="B856" s="18" t="str">
        <f aca="false">'CEMIUP0.9 Raw'!C515</f>
        <v>307 L עקבים לדורבן-זוג כריות</v>
      </c>
      <c r="C856" s="18" t="str">
        <f aca="false">'CEMIUP0.9 Raw'!C515</f>
        <v>307 L עקבים לדורבן-זוג כריות</v>
      </c>
      <c r="D856" s="19" t="n">
        <f aca="false">'CEMIUP0.9 Raw'!D515</f>
        <v>161</v>
      </c>
      <c r="E856" s="19" t="n">
        <f aca="false">'CEMIUP0.9 Raw'!E515</f>
        <v>12168.064</v>
      </c>
      <c r="F856" s="19" t="n">
        <f aca="false">'CEMIUP0.9 Raw'!F515</f>
        <v>94.7368421052632</v>
      </c>
      <c r="G856" s="19" t="n">
        <f aca="false">'CEMIUP0.9 Raw'!G515</f>
        <v>7227.22105263158</v>
      </c>
      <c r="H856" s="18" t="str">
        <f aca="false">'CEMIUP0.9 Raw'!A515</f>
        <v>107 - Pharmacies</v>
      </c>
    </row>
    <row r="857" customFormat="false" ht="15" hidden="false" customHeight="false" outlineLevel="0" collapsed="false">
      <c r="A857" s="18" t="n">
        <f aca="false">'CEMIUP0.9 Raw'!B771</f>
        <v>4413042</v>
      </c>
      <c r="B857" s="18" t="str">
        <f aca="false">'CEMIUP0.9 Raw'!C771</f>
        <v>34  S מגן קרסול עקב סגור</v>
      </c>
      <c r="C857" s="18" t="str">
        <f aca="false">'CEMIUP0.9 Raw'!C771</f>
        <v>34  S מגן קרסול עקב סגור</v>
      </c>
      <c r="D857" s="19" t="n">
        <f aca="false">'CEMIUP0.9 Raw'!D771</f>
        <v>119</v>
      </c>
      <c r="E857" s="19" t="n">
        <f aca="false">'CEMIUP0.9 Raw'!E771</f>
        <v>3442.67</v>
      </c>
      <c r="F857" s="19" t="n">
        <f aca="false">'CEMIUP0.9 Raw'!F771</f>
        <v>94.7368421052632</v>
      </c>
      <c r="G857" s="19" t="n">
        <f aca="false">'CEMIUP0.9 Raw'!G771</f>
        <v>2527.98442105263</v>
      </c>
      <c r="H857" s="18" t="str">
        <f aca="false">'CEMIUP0.9 Raw'!A771</f>
        <v>113 - Kupat Holim Meuhedet</v>
      </c>
    </row>
    <row r="858" customFormat="false" ht="15" hidden="false" customHeight="false" outlineLevel="0" collapsed="false">
      <c r="A858" s="18" t="n">
        <f aca="false">'CEMIUP0.9 Raw'!B1033</f>
        <v>4409001</v>
      </c>
      <c r="B858" s="18" t="str">
        <f aca="false">'CEMIUP0.9 Raw'!C1033</f>
        <v>365  X-Lטבעת אלסטית מסיליקון</v>
      </c>
      <c r="C858" s="18" t="str">
        <f aca="false">'CEMIUP0.9 Raw'!C1033</f>
        <v>365  X-Lטבעת אלסטית מסיליקון</v>
      </c>
      <c r="D858" s="19" t="n">
        <f aca="false">'CEMIUP0.9 Raw'!D1033</f>
        <v>112</v>
      </c>
      <c r="E858" s="19" t="n">
        <f aca="false">'CEMIUP0.9 Raw'!E1033</f>
        <v>1141.504</v>
      </c>
      <c r="F858" s="19" t="n">
        <f aca="false">'CEMIUP0.9 Raw'!F1033</f>
        <v>94.7368421052632</v>
      </c>
      <c r="G858" s="19" t="n">
        <f aca="false">'CEMIUP0.9 Raw'!G1033</f>
        <v>965.557894736842</v>
      </c>
      <c r="H858" s="18" t="str">
        <f aca="false">'CEMIUP0.9 Raw'!A1033</f>
        <v>BE (CEMI internal group)</v>
      </c>
    </row>
    <row r="859" customFormat="false" ht="15" hidden="false" customHeight="false" outlineLevel="0" collapsed="false">
      <c r="A859" s="18" t="str">
        <f aca="false">'SALES Raw'!G2352</f>
        <v/>
      </c>
      <c r="B859" s="18" t="str">
        <f aca="false">'SALES Raw'!B2352</f>
        <v>391B-43-46</v>
      </c>
      <c r="C859" s="18" t="str">
        <f aca="false">'SALES Raw'!H2352</f>
        <v>391B-43-46</v>
      </c>
      <c r="D859" s="19" t="n">
        <f aca="false">'SALES Raw'!C2352</f>
        <v>0</v>
      </c>
      <c r="E859" s="19" t="n">
        <f aca="false">'SALES Raw'!D2352</f>
        <v>0</v>
      </c>
      <c r="F859" s="19" t="n">
        <f aca="false">'SALES Raw'!E2352*$H$4</f>
        <v>94.7368421052632</v>
      </c>
      <c r="G859" s="19" t="n">
        <f aca="false">'SALES Raw'!F2352*$H$4</f>
        <v>4856.10947368421</v>
      </c>
      <c r="H859" s="18" t="str">
        <f aca="false">'SALES Raw'!A2352</f>
        <v>114 - IL online</v>
      </c>
    </row>
    <row r="860" customFormat="false" ht="15" hidden="false" customHeight="false" outlineLevel="0" collapsed="false">
      <c r="A860" s="18" t="n">
        <f aca="false">'SALES Raw'!G2601</f>
        <v>4413328</v>
      </c>
      <c r="B860" s="18" t="str">
        <f aca="false">'SALES Raw'!B2601</f>
        <v>AC43D 0</v>
      </c>
      <c r="C860" s="18" t="str">
        <f aca="false">'SALES Raw'!H2601</f>
        <v>AC43D מגן ברך + צירים</v>
      </c>
      <c r="D860" s="19" t="n">
        <f aca="false">'SALES Raw'!C2601</f>
        <v>75</v>
      </c>
      <c r="E860" s="19" t="n">
        <f aca="false">'SALES Raw'!D2601</f>
        <v>12803.3</v>
      </c>
      <c r="F860" s="19" t="n">
        <f aca="false">'SALES Raw'!E2601*$H$4</f>
        <v>94.7368421052632</v>
      </c>
      <c r="G860" s="19" t="n">
        <f aca="false">'SALES Raw'!F2601*$H$4</f>
        <v>17243.0147368421</v>
      </c>
      <c r="H860" s="18" t="str">
        <f aca="false">'SALES Raw'!A2601</f>
        <v>114 - IL online</v>
      </c>
    </row>
    <row r="861" customFormat="false" ht="15" hidden="false" customHeight="false" outlineLevel="0" collapsed="false">
      <c r="A861" s="18" t="n">
        <f aca="false">'SALES Raw'!G2682</f>
        <v>4408267</v>
      </c>
      <c r="B861" s="18" t="str">
        <f aca="false">'SALES Raw'!B2682</f>
        <v>ST25 0</v>
      </c>
      <c r="C861" s="18" t="str">
        <f aca="false">'SALES Raw'!H2682</f>
        <v>ST25 חבק שורש לכף היד</v>
      </c>
      <c r="D861" s="19" t="n">
        <f aca="false">'SALES Raw'!C2682</f>
        <v>119</v>
      </c>
      <c r="E861" s="19" t="n">
        <f aca="false">'SALES Raw'!D2682</f>
        <v>6627.84</v>
      </c>
      <c r="F861" s="19" t="n">
        <f aca="false">'SALES Raw'!E2682*$H$4</f>
        <v>94.7368421052632</v>
      </c>
      <c r="G861" s="19" t="n">
        <f aca="false">'SALES Raw'!F2682*$H$4</f>
        <v>5470.00421052632</v>
      </c>
      <c r="H861" s="18" t="str">
        <f aca="false">'SALES Raw'!A2682</f>
        <v>114 - IL online</v>
      </c>
    </row>
    <row r="862" customFormat="false" ht="15" hidden="false" customHeight="false" outlineLevel="0" collapsed="false">
      <c r="A862" s="18" t="n">
        <f aca="false">'SALES Raw'!G3163</f>
        <v>4415029</v>
      </c>
      <c r="B862" s="18" t="str">
        <f aca="false">'SALES Raw'!B3163</f>
        <v>237 0</v>
      </c>
      <c r="C862" s="18" t="str">
        <f aca="false">'SALES Raw'!H3163</f>
        <v>סד קיבוע לאצבע הדק</v>
      </c>
      <c r="D862" s="19" t="n">
        <f aca="false">'SALES Raw'!C3163</f>
        <v>150</v>
      </c>
      <c r="E862" s="19" t="n">
        <f aca="false">'SALES Raw'!D3163</f>
        <v>2045.29</v>
      </c>
      <c r="F862" s="19" t="n">
        <f aca="false">'SALES Raw'!E3163*$H$4</f>
        <v>94.7368421052632</v>
      </c>
      <c r="G862" s="19" t="n">
        <f aca="false">'SALES Raw'!F3163*$H$4</f>
        <v>1165.92</v>
      </c>
      <c r="H862" s="18" t="str">
        <f aca="false">'SALES Raw'!A3163</f>
        <v>204 - Sanaflex Anatomic GREECE</v>
      </c>
    </row>
    <row r="863" customFormat="false" ht="15" hidden="false" customHeight="false" outlineLevel="0" collapsed="false">
      <c r="A863" s="18" t="n">
        <f aca="false">'SALES Raw'!G3308</f>
        <v>4413500</v>
      </c>
      <c r="B863" s="18" t="str">
        <f aca="false">'SALES Raw'!B3308</f>
        <v>95B L</v>
      </c>
      <c r="C863" s="18" t="str">
        <f aca="false">'SALES Raw'!H3308</f>
        <v>95B L מגן מרפק שחור</v>
      </c>
      <c r="D863" s="19" t="n">
        <f aca="false">'SALES Raw'!C3308</f>
        <v>90</v>
      </c>
      <c r="E863" s="19" t="n">
        <f aca="false">'SALES Raw'!D3308</f>
        <v>967.11</v>
      </c>
      <c r="F863" s="19" t="n">
        <f aca="false">'SALES Raw'!E3308*$H$4</f>
        <v>94.7368421052632</v>
      </c>
      <c r="G863" s="19" t="n">
        <f aca="false">'SALES Raw'!F3308*$H$4</f>
        <v>918.138947368421</v>
      </c>
      <c r="H863" s="18" t="str">
        <f aca="false">'SALES Raw'!A3308</f>
        <v>204 - Sanaflex Anatomic GREECE</v>
      </c>
    </row>
    <row r="864" customFormat="false" ht="15" hidden="false" customHeight="false" outlineLevel="0" collapsed="false">
      <c r="A864" s="18" t="n">
        <f aca="false">'SALES Raw'!G3321</f>
        <v>4413453</v>
      </c>
      <c r="B864" s="18" t="str">
        <f aca="false">'SALES Raw'!B3321</f>
        <v>AC75-S-XL</v>
      </c>
      <c r="C864" s="18" t="str">
        <f aca="false">'SALES Raw'!H3321</f>
        <v>AC75 מישר כתפיים אקטיב</v>
      </c>
      <c r="D864" s="19" t="n">
        <f aca="false">'SALES Raw'!C3321</f>
        <v>115</v>
      </c>
      <c r="E864" s="19" t="n">
        <f aca="false">'SALES Raw'!D3321</f>
        <v>3675.09</v>
      </c>
      <c r="F864" s="19" t="n">
        <f aca="false">'SALES Raw'!E3321*$H$4</f>
        <v>94.7368421052632</v>
      </c>
      <c r="G864" s="19" t="n">
        <f aca="false">'SALES Raw'!F3321*$H$4</f>
        <v>2715.92842105263</v>
      </c>
      <c r="H864" s="18" t="str">
        <f aca="false">'SALES Raw'!A3321</f>
        <v>204 - Sanaflex Anatomic GREECE</v>
      </c>
    </row>
    <row r="865" customFormat="false" ht="15" hidden="false" customHeight="false" outlineLevel="0" collapsed="false">
      <c r="A865" s="18" t="n">
        <f aca="false">'SALES Raw'!G3541</f>
        <v>4409000</v>
      </c>
      <c r="B865" s="18" t="str">
        <f aca="false">'SALES Raw'!B3541</f>
        <v>365-S-L</v>
      </c>
      <c r="C865" s="18" t="str">
        <f aca="false">'SALES Raw'!H3541</f>
        <v>365 S-Lטבעת אלסטית מסיליקון</v>
      </c>
      <c r="D865" s="19" t="n">
        <f aca="false">'SALES Raw'!C3541</f>
        <v>60</v>
      </c>
      <c r="E865" s="19" t="n">
        <f aca="false">'SALES Raw'!D3541</f>
        <v>388.16</v>
      </c>
      <c r="F865" s="19" t="n">
        <f aca="false">'SALES Raw'!E3541*$H$4</f>
        <v>94.7368421052632</v>
      </c>
      <c r="G865" s="19" t="n">
        <f aca="false">'SALES Raw'!F3541*$H$4</f>
        <v>527.949473684211</v>
      </c>
      <c r="H865" s="18" t="str">
        <f aca="false">'SALES Raw'!A3541</f>
        <v>207 - Salus HUNGARY</v>
      </c>
    </row>
    <row r="866" customFormat="false" ht="15" hidden="false" customHeight="false" outlineLevel="0" collapsed="false">
      <c r="A866" s="18" t="n">
        <f aca="false">'SALES Raw'!G3567</f>
        <v>4408069</v>
      </c>
      <c r="B866" s="18" t="str">
        <f aca="false">'SALES Raw'!B3567</f>
        <v>38 0</v>
      </c>
      <c r="C866" s="18" t="str">
        <f aca="false">'SALES Raw'!H3567</f>
        <v>38 .חבישת""""הלוקס ולגוס""""לאחר נית</v>
      </c>
      <c r="D866" s="19" t="n">
        <f aca="false">'SALES Raw'!C3567</f>
        <v>20</v>
      </c>
      <c r="E866" s="19" t="n">
        <f aca="false">'SALES Raw'!D3567</f>
        <v>605.85</v>
      </c>
      <c r="F866" s="19" t="n">
        <f aca="false">'SALES Raw'!E3567*$H$4</f>
        <v>94.7368421052632</v>
      </c>
      <c r="G866" s="19" t="n">
        <f aca="false">'SALES Raw'!F3567*$H$4</f>
        <v>2882.21052631579</v>
      </c>
      <c r="H866" s="18" t="str">
        <f aca="false">'SALES Raw'!A3567</f>
        <v>207 - Salus HUNGARY</v>
      </c>
    </row>
    <row r="867" customFormat="false" ht="15" hidden="false" customHeight="false" outlineLevel="0" collapsed="false">
      <c r="A867" s="18" t="str">
        <f aca="false">'SALES Raw'!G3578</f>
        <v/>
      </c>
      <c r="B867" s="18" t="str">
        <f aca="false">'SALES Raw'!B3578</f>
        <v>43BD M</v>
      </c>
      <c r="C867" s="18" t="str">
        <f aca="false">'SALES Raw'!H3578</f>
        <v>43BD M</v>
      </c>
      <c r="D867" s="19" t="n">
        <f aca="false">'SALES Raw'!C3578</f>
        <v>20</v>
      </c>
      <c r="E867" s="19" t="n">
        <f aca="false">'SALES Raw'!D3578</f>
        <v>1693.14</v>
      </c>
      <c r="F867" s="19" t="n">
        <f aca="false">'SALES Raw'!E3578*$H$4</f>
        <v>94.7368421052632</v>
      </c>
      <c r="G867" s="19" t="n">
        <f aca="false">'SALES Raw'!F3578*$H$4</f>
        <v>8513.86105263158</v>
      </c>
      <c r="H867" s="18" t="str">
        <f aca="false">'SALES Raw'!A3578</f>
        <v>207 - Salus HUNGARY</v>
      </c>
    </row>
    <row r="868" customFormat="false" ht="15" hidden="false" customHeight="false" outlineLevel="0" collapsed="false">
      <c r="A868" s="18" t="n">
        <f aca="false">'SALES Raw'!G4102</f>
        <v>4413329</v>
      </c>
      <c r="B868" s="18" t="str">
        <f aca="false">'SALES Raw'!B4102</f>
        <v>AC45X 0</v>
      </c>
      <c r="C868" s="18" t="str">
        <f aca="false">'SALES Raw'!H4102</f>
        <v>AC45X מגן ברך עם תמיכות</v>
      </c>
      <c r="D868" s="19" t="n">
        <f aca="false">'SALES Raw'!C4102</f>
        <v>60</v>
      </c>
      <c r="E868" s="19" t="n">
        <f aca="false">'SALES Raw'!D4102</f>
        <v>2052.22</v>
      </c>
      <c r="F868" s="19" t="n">
        <f aca="false">'SALES Raw'!E4102*$H$4</f>
        <v>94.7368421052632</v>
      </c>
      <c r="G868" s="19" t="n">
        <f aca="false">'SALES Raw'!F4102*$H$4</f>
        <v>3052.20631578947</v>
      </c>
      <c r="H868" s="18" t="str">
        <f aca="false">'SALES Raw'!A4102</f>
        <v>213 - E.f.m.o. SPAIN</v>
      </c>
    </row>
    <row r="869" customFormat="false" ht="15" hidden="false" customHeight="false" outlineLevel="0" collapsed="false">
      <c r="A869" s="18" t="n">
        <f aca="false">'SALES Raw'!G930</f>
        <v>4413370</v>
      </c>
      <c r="B869" s="18" t="str">
        <f aca="false">'SALES Raw'!B930</f>
        <v>3674 0</v>
      </c>
      <c r="C869" s="18" t="str">
        <f aca="false">'SALES Raw'!H930</f>
        <v>3674 0 מ.בוניון+מפריד אצבע</v>
      </c>
      <c r="D869" s="19" t="n">
        <f aca="false">'SALES Raw'!C930</f>
        <v>99</v>
      </c>
      <c r="E869" s="19" t="n">
        <f aca="false">'SALES Raw'!D930</f>
        <v>3823.87</v>
      </c>
      <c r="F869" s="19" t="n">
        <f aca="false">'SALES Raw'!E930*$H$4</f>
        <v>93.4736842105263</v>
      </c>
      <c r="G869" s="19" t="n">
        <f aca="false">'SALES Raw'!F930*$H$4</f>
        <v>3662.23578947368</v>
      </c>
      <c r="H869" s="18" t="str">
        <f aca="false">'SALES Raw'!A930</f>
        <v>102 - Orthopedic institutes</v>
      </c>
    </row>
    <row r="870" customFormat="false" ht="15" hidden="false" customHeight="false" outlineLevel="0" collapsed="false">
      <c r="A870" s="18" t="n">
        <f aca="false">'CEMIUP0.9 Raw'!B775</f>
        <v>4413047</v>
      </c>
      <c r="B870" s="18" t="str">
        <f aca="false">'CEMIUP0.9 Raw'!C775</f>
        <v>35 S מגן קרסול לבן</v>
      </c>
      <c r="C870" s="18" t="str">
        <f aca="false">'CEMIUP0.9 Raw'!C775</f>
        <v>35 S מגן קרסול לבן</v>
      </c>
      <c r="D870" s="19" t="n">
        <f aca="false">'CEMIUP0.9 Raw'!D775</f>
        <v>95</v>
      </c>
      <c r="E870" s="19" t="n">
        <f aca="false">'CEMIUP0.9 Raw'!E775</f>
        <v>1615</v>
      </c>
      <c r="F870" s="19" t="n">
        <f aca="false">'CEMIUP0.9 Raw'!F775</f>
        <v>93.4736842105263</v>
      </c>
      <c r="G870" s="19" t="n">
        <f aca="false">'CEMIUP0.9 Raw'!G775</f>
        <v>1480.39578947368</v>
      </c>
      <c r="H870" s="18" t="str">
        <f aca="false">'CEMIUP0.9 Raw'!A775</f>
        <v>113 - Kupat Holim Meuhedet</v>
      </c>
    </row>
    <row r="871" customFormat="false" ht="15" hidden="false" customHeight="false" outlineLevel="0" collapsed="false">
      <c r="A871" s="18" t="n">
        <f aca="false">'CEMIUP0.9 Raw'!B1102</f>
        <v>4413105</v>
      </c>
      <c r="B871" s="18" t="str">
        <f aca="false">'CEMIUP0.9 Raw'!C1102</f>
        <v>45E XXLמגן ברך ארוך לבן</v>
      </c>
      <c r="C871" s="18" t="str">
        <f aca="false">'CEMIUP0.9 Raw'!C1102</f>
        <v>45E XXLמגן ברך ארוך לבן</v>
      </c>
      <c r="D871" s="19" t="n">
        <f aca="false">'CEMIUP0.9 Raw'!D1102</f>
        <v>131</v>
      </c>
      <c r="E871" s="19" t="n">
        <f aca="false">'CEMIUP0.9 Raw'!E1102</f>
        <v>4015.557</v>
      </c>
      <c r="F871" s="19" t="n">
        <f aca="false">'CEMIUP0.9 Raw'!F1102</f>
        <v>93.4736842105263</v>
      </c>
      <c r="G871" s="19" t="n">
        <f aca="false">'CEMIUP0.9 Raw'!G1102</f>
        <v>2848.74063157895</v>
      </c>
      <c r="H871" s="18" t="str">
        <f aca="false">'CEMIUP0.9 Raw'!A1102</f>
        <v>BE (CEMI internal group)</v>
      </c>
    </row>
    <row r="872" customFormat="false" ht="15" hidden="false" customHeight="false" outlineLevel="0" collapsed="false">
      <c r="A872" s="18" t="n">
        <f aca="false">'CEMIUP0.9 Raw'!B1124</f>
        <v>4413140</v>
      </c>
      <c r="B872" s="18" t="str">
        <f aca="false">'CEMIUP0.9 Raw'!C1124</f>
        <v>95 M מגן מרפק רגיל לבן</v>
      </c>
      <c r="C872" s="18" t="str">
        <f aca="false">'CEMIUP0.9 Raw'!C1124</f>
        <v>95 M מגן מרפק רגיל לבן</v>
      </c>
      <c r="D872" s="19" t="n">
        <f aca="false">'CEMIUP0.9 Raw'!D1124</f>
        <v>145</v>
      </c>
      <c r="E872" s="19" t="n">
        <f aca="false">'CEMIUP0.9 Raw'!E1124</f>
        <v>3668.392</v>
      </c>
      <c r="F872" s="19" t="n">
        <f aca="false">'CEMIUP0.9 Raw'!F1124</f>
        <v>93.4736842105263</v>
      </c>
      <c r="G872" s="19" t="n">
        <f aca="false">'CEMIUP0.9 Raw'!G1124</f>
        <v>2361.24884210526</v>
      </c>
      <c r="H872" s="18" t="str">
        <f aca="false">'CEMIUP0.9 Raw'!A1124</f>
        <v>BE (CEMI internal group)</v>
      </c>
    </row>
    <row r="873" customFormat="false" ht="15" hidden="false" customHeight="false" outlineLevel="0" collapsed="false">
      <c r="A873" s="18" t="n">
        <f aca="false">'CEMIUP0.9 Raw'!B1449</f>
        <v>4413051</v>
      </c>
      <c r="B873" s="18" t="str">
        <f aca="false">'CEMIUP0.9 Raw'!C1449</f>
        <v>35 XXL מגן קרסול לבן</v>
      </c>
      <c r="C873" s="18" t="str">
        <f aca="false">'CEMIUP0.9 Raw'!C1449</f>
        <v>35 XXL מגן קרסול לבן</v>
      </c>
      <c r="D873" s="19" t="n">
        <f aca="false">'CEMIUP0.9 Raw'!D1449</f>
        <v>88</v>
      </c>
      <c r="E873" s="19" t="n">
        <f aca="false">'CEMIUP0.9 Raw'!E1449</f>
        <v>2058.966</v>
      </c>
      <c r="F873" s="19" t="n">
        <f aca="false">'CEMIUP0.9 Raw'!F1449</f>
        <v>93.4736842105263</v>
      </c>
      <c r="G873" s="19" t="n">
        <f aca="false">'CEMIUP0.9 Raw'!G1449</f>
        <v>2218.02442105263</v>
      </c>
      <c r="H873" s="18" t="str">
        <f aca="false">'CEMIUP0.9 Raw'!A1449</f>
        <v>Super-Pharm Israel (CEMI internal group)</v>
      </c>
    </row>
    <row r="874" customFormat="false" ht="15" hidden="false" customHeight="false" outlineLevel="0" collapsed="false">
      <c r="A874" s="18" t="n">
        <f aca="false">'CEMIUP0.9 Raw'!B1609</f>
        <v>4413527</v>
      </c>
      <c r="B874" s="18" t="str">
        <f aca="false">'CEMIUP0.9 Raw'!C1609</f>
        <v>35-38 מדרסי אפיק ג'ל עבודה</v>
      </c>
      <c r="C874" s="18" t="str">
        <f aca="false">'CEMIUP0.9 Raw'!C1609</f>
        <v>35-38 מדרסי אפיק ג'ל עבודה</v>
      </c>
      <c r="D874" s="19" t="n">
        <f aca="false">'CEMIUP0.9 Raw'!D1609</f>
        <v>886</v>
      </c>
      <c r="E874" s="19" t="n">
        <f aca="false">'CEMIUP0.9 Raw'!E1609</f>
        <v>74692.254</v>
      </c>
      <c r="F874" s="19" t="n">
        <f aca="false">'CEMIUP0.9 Raw'!F1609</f>
        <v>93.4736842105263</v>
      </c>
      <c r="G874" s="19" t="n">
        <f aca="false">'CEMIUP0.9 Raw'!G1609</f>
        <v>8675.19284210526</v>
      </c>
      <c r="H874" s="18" t="str">
        <f aca="false">'CEMIUP0.9 Raw'!A1609</f>
        <v>Super-Pharm Israel (CEMI internal group)</v>
      </c>
    </row>
    <row r="875" customFormat="false" ht="15" hidden="false" customHeight="false" outlineLevel="0" collapsed="false">
      <c r="A875" s="18" t="n">
        <f aca="false">'CEMIUP0.9 Raw'!B267</f>
        <v>4413094</v>
      </c>
      <c r="B875" s="18" t="str">
        <f aca="false">'CEMIUP0.9 Raw'!C267</f>
        <v>45 S מגן ברך לבן</v>
      </c>
      <c r="C875" s="18" t="str">
        <f aca="false">'CEMIUP0.9 Raw'!C267</f>
        <v>45 S מגן ברך לבן</v>
      </c>
      <c r="D875" s="19" t="n">
        <f aca="false">'CEMIUP0.9 Raw'!D267</f>
        <v>123</v>
      </c>
      <c r="E875" s="19" t="n">
        <f aca="false">'CEMIUP0.9 Raw'!E267</f>
        <v>3306.641</v>
      </c>
      <c r="F875" s="19" t="n">
        <f aca="false">'CEMIUP0.9 Raw'!F267</f>
        <v>92.2105263157895</v>
      </c>
      <c r="G875" s="19" t="n">
        <f aca="false">'CEMIUP0.9 Raw'!G267</f>
        <v>2515.10021052632</v>
      </c>
      <c r="H875" s="18" t="str">
        <f aca="false">'CEMIUP0.9 Raw'!A267</f>
        <v>107 - Pharmacies</v>
      </c>
    </row>
    <row r="876" customFormat="false" ht="15" hidden="false" customHeight="false" outlineLevel="0" collapsed="false">
      <c r="A876" s="18" t="n">
        <f aca="false">'SALES Raw'!G611</f>
        <v>4408154</v>
      </c>
      <c r="B876" s="18" t="str">
        <f aca="false">'SALES Raw'!B611</f>
        <v>11TO XXL</v>
      </c>
      <c r="C876" s="18" t="str">
        <f aca="false">'SALES Raw'!H611</f>
        <v>11TO XXLחגורה למנותחי בית החזה</v>
      </c>
      <c r="D876" s="19" t="n">
        <f aca="false">'SALES Raw'!C611</f>
        <v>68</v>
      </c>
      <c r="E876" s="19" t="n">
        <f aca="false">'SALES Raw'!D611</f>
        <v>9400.21</v>
      </c>
      <c r="F876" s="19" t="n">
        <f aca="false">'SALES Raw'!E611*$H$4</f>
        <v>92.2105263157895</v>
      </c>
      <c r="G876" s="19" t="n">
        <f aca="false">'SALES Raw'!F611*$H$4</f>
        <v>11987.1410526316</v>
      </c>
      <c r="H876" s="18" t="str">
        <f aca="false">'SALES Raw'!A611</f>
        <v>102 - Orthopedic institutes</v>
      </c>
    </row>
    <row r="877" customFormat="false" ht="15" hidden="false" customHeight="false" outlineLevel="0" collapsed="false">
      <c r="A877" s="18" t="n">
        <f aca="false">'SALES Raw'!G3262</f>
        <v>4413499</v>
      </c>
      <c r="B877" s="18" t="str">
        <f aca="false">'SALES Raw'!B3262</f>
        <v>45B XXL</v>
      </c>
      <c r="C877" s="18" t="str">
        <f aca="false">'SALES Raw'!H3262</f>
        <v>45B XXLמגן ברך שחור</v>
      </c>
      <c r="D877" s="19" t="n">
        <f aca="false">'SALES Raw'!C3262</f>
        <v>80</v>
      </c>
      <c r="E877" s="19" t="n">
        <f aca="false">'SALES Raw'!D3262</f>
        <v>907.45</v>
      </c>
      <c r="F877" s="19" t="n">
        <f aca="false">'SALES Raw'!E3262*$H$4</f>
        <v>92.2105263157895</v>
      </c>
      <c r="G877" s="19" t="n">
        <f aca="false">'SALES Raw'!F3262*$H$4</f>
        <v>912.821052631579</v>
      </c>
      <c r="H877" s="18" t="str">
        <f aca="false">'SALES Raw'!A3262</f>
        <v>204 - Sanaflex Anatomic GREECE</v>
      </c>
    </row>
    <row r="878" customFormat="false" ht="15" hidden="false" customHeight="false" outlineLevel="0" collapsed="false">
      <c r="A878" s="18" t="n">
        <f aca="false">'SALES Raw'!G3499</f>
        <v>4413348</v>
      </c>
      <c r="B878" s="18" t="str">
        <f aca="false">'SALES Raw'!B3499</f>
        <v>302M 0</v>
      </c>
      <c r="C878" s="18" t="str">
        <f aca="false">'SALES Raw'!H3499</f>
        <v>302 מדרס ג'ל לגבר</v>
      </c>
      <c r="D878" s="19" t="n">
        <f aca="false">'SALES Raw'!C3499</f>
        <v>24</v>
      </c>
      <c r="E878" s="19" t="n">
        <f aca="false">'SALES Raw'!D3499</f>
        <v>689.66</v>
      </c>
      <c r="F878" s="19" t="n">
        <f aca="false">'SALES Raw'!E3499*$H$4</f>
        <v>92.2105263157895</v>
      </c>
      <c r="G878" s="19" t="n">
        <f aca="false">'SALES Raw'!F3499*$H$4</f>
        <v>2467.89473684211</v>
      </c>
      <c r="H878" s="18" t="str">
        <f aca="false">'SALES Raw'!A3499</f>
        <v>207 - Salus HUNGARY</v>
      </c>
    </row>
    <row r="879" customFormat="false" ht="15" hidden="false" customHeight="false" outlineLevel="0" collapsed="false">
      <c r="A879" s="18" t="n">
        <f aca="false">'SALES Raw'!G4421</f>
        <v>4413059</v>
      </c>
      <c r="B879" s="18" t="str">
        <f aca="false">'SALES Raw'!B4421</f>
        <v>364-S-L</v>
      </c>
      <c r="C879" s="18" t="str">
        <f aca="false">'SALES Raw'!H4421</f>
        <v>364S Lמפר.אצבע סיליק. ליבל.זוג</v>
      </c>
      <c r="D879" s="19" t="n">
        <f aca="false">'SALES Raw'!C4421</f>
        <v>33</v>
      </c>
      <c r="E879" s="19" t="n">
        <f aca="false">'SALES Raw'!D4421</f>
        <v>1082.62</v>
      </c>
      <c r="F879" s="19" t="n">
        <f aca="false">'SALES Raw'!E4421*$H$4</f>
        <v>92.2105263157895</v>
      </c>
      <c r="G879" s="19" t="n">
        <f aca="false">'SALES Raw'!F4421*$H$4</f>
        <v>2789.0652631579</v>
      </c>
      <c r="H879" s="18" t="str">
        <f aca="false">'SALES Raw'!A4421</f>
        <v>301 - Amazon</v>
      </c>
    </row>
    <row r="880" customFormat="false" ht="15" hidden="false" customHeight="false" outlineLevel="0" collapsed="false">
      <c r="A880" s="18" t="n">
        <f aca="false">'SALES Raw'!G3154</f>
        <v>4408048</v>
      </c>
      <c r="B880" s="18" t="str">
        <f aca="false">'SALES Raw'!B3154</f>
        <v>20 S</v>
      </c>
      <c r="C880" s="18" t="str">
        <f aca="false">'SALES Raw'!H3154</f>
        <v>20 S חבק יד מתכוון עם צמדן</v>
      </c>
      <c r="D880" s="19" t="n">
        <f aca="false">'SALES Raw'!C3154</f>
        <v>36</v>
      </c>
      <c r="E880" s="19" t="n">
        <f aca="false">'SALES Raw'!D3154</f>
        <v>569.47</v>
      </c>
      <c r="F880" s="19" t="n">
        <f aca="false">'SALES Raw'!E3154*$H$4</f>
        <v>90.9473684210526</v>
      </c>
      <c r="G880" s="19" t="n">
        <f aca="false">'SALES Raw'!F3154*$H$4</f>
        <v>1247.67157894737</v>
      </c>
      <c r="H880" s="18" t="str">
        <f aca="false">'SALES Raw'!A3154</f>
        <v>204 - Sanaflex Anatomic GREECE</v>
      </c>
    </row>
    <row r="881" customFormat="false" ht="15" hidden="false" customHeight="false" outlineLevel="0" collapsed="false">
      <c r="A881" s="18" t="n">
        <f aca="false">'SALES Raw'!G3849</f>
        <v>4409017</v>
      </c>
      <c r="B881" s="18" t="str">
        <f aca="false">'SALES Raw'!B3849</f>
        <v>808KT-B</v>
      </c>
      <c r="C881" s="18" t="str">
        <f aca="false">'SALES Raw'!H3849</f>
        <v>808KT-B        טייפ קינזיולוגי</v>
      </c>
      <c r="D881" s="19" t="n">
        <f aca="false">'SALES Raw'!C3849</f>
        <v>120</v>
      </c>
      <c r="E881" s="19" t="n">
        <f aca="false">'SALES Raw'!D3849</f>
        <v>1473.88</v>
      </c>
      <c r="F881" s="19" t="n">
        <f aca="false">'SALES Raw'!E3849*$H$4</f>
        <v>90.9473684210526</v>
      </c>
      <c r="G881" s="19" t="n">
        <f aca="false">'SALES Raw'!F3849*$H$4</f>
        <v>1119.29684210526</v>
      </c>
      <c r="H881" s="18" t="str">
        <f aca="false">'SALES Raw'!A3849</f>
        <v>209 - Ortoprofil Prod ROMANIA</v>
      </c>
    </row>
    <row r="882" customFormat="false" ht="15" hidden="false" customHeight="false" outlineLevel="0" collapsed="false">
      <c r="A882" s="18" t="n">
        <f aca="false">'SALES Raw'!G3850</f>
        <v>4409015</v>
      </c>
      <c r="B882" s="18" t="str">
        <f aca="false">'SALES Raw'!B3850</f>
        <v>808KT-BL</v>
      </c>
      <c r="C882" s="18" t="str">
        <f aca="false">'SALES Raw'!H3850</f>
        <v>808KT-BL       טייפ קינזיולוגי</v>
      </c>
      <c r="D882" s="19" t="n">
        <f aca="false">'SALES Raw'!C3850</f>
        <v>84</v>
      </c>
      <c r="E882" s="19" t="n">
        <f aca="false">'SALES Raw'!D3850</f>
        <v>1050.43</v>
      </c>
      <c r="F882" s="19" t="n">
        <f aca="false">'SALES Raw'!E3850*$H$4</f>
        <v>90.9473684210526</v>
      </c>
      <c r="G882" s="19" t="n">
        <f aca="false">'SALES Raw'!F3850*$H$4</f>
        <v>1132.23157894737</v>
      </c>
      <c r="H882" s="18" t="str">
        <f aca="false">'SALES Raw'!A3850</f>
        <v>209 - Ortoprofil Prod ROMANIA</v>
      </c>
    </row>
    <row r="883" customFormat="false" ht="15" hidden="false" customHeight="false" outlineLevel="0" collapsed="false">
      <c r="A883" s="18" t="n">
        <f aca="false">'CEMIUP0.9 Raw'!B1239</f>
        <v>4418001</v>
      </c>
      <c r="B883" s="18" t="str">
        <f aca="false">'CEMIUP0.9 Raw'!C1239</f>
        <v>60 M צוארון ספוגי</v>
      </c>
      <c r="C883" s="18" t="str">
        <f aca="false">'CEMIUP0.9 Raw'!C1239</f>
        <v>60 M צוארון ספוגי</v>
      </c>
      <c r="D883" s="19" t="n">
        <f aca="false">'CEMIUP0.9 Raw'!D1239</f>
        <v>127</v>
      </c>
      <c r="E883" s="19" t="n">
        <f aca="false">'CEMIUP0.9 Raw'!E1239</f>
        <v>3740.282</v>
      </c>
      <c r="F883" s="19" t="n">
        <f aca="false">'CEMIUP0.9 Raw'!F1239</f>
        <v>90.9473684210526</v>
      </c>
      <c r="G883" s="19" t="n">
        <f aca="false">'CEMIUP0.9 Raw'!G1239</f>
        <v>2674.02063157895</v>
      </c>
      <c r="H883" s="18" t="str">
        <f aca="false">'CEMIUP0.9 Raw'!A1239</f>
        <v>BE (CEMI internal group)</v>
      </c>
    </row>
    <row r="884" customFormat="false" ht="15" hidden="false" customHeight="false" outlineLevel="0" collapsed="false">
      <c r="A884" s="18" t="n">
        <f aca="false">'CEMIUP0.9 Raw'!B277</f>
        <v>4413104</v>
      </c>
      <c r="B884" s="18" t="str">
        <f aca="false">'CEMIUP0.9 Raw'!C277</f>
        <v>45E XLמגן ברך ארוך לבן</v>
      </c>
      <c r="C884" s="18" t="str">
        <f aca="false">'CEMIUP0.9 Raw'!C277</f>
        <v>45E XLמגן ברך ארוך לבן</v>
      </c>
      <c r="D884" s="19" t="n">
        <f aca="false">'CEMIUP0.9 Raw'!D277</f>
        <v>126</v>
      </c>
      <c r="E884" s="19" t="n">
        <f aca="false">'CEMIUP0.9 Raw'!E277</f>
        <v>4146.422</v>
      </c>
      <c r="F884" s="19" t="n">
        <f aca="false">'CEMIUP0.9 Raw'!F277</f>
        <v>89.6842105263158</v>
      </c>
      <c r="G884" s="19" t="n">
        <f aca="false">'CEMIUP0.9 Raw'!G277</f>
        <v>2992.71031578947</v>
      </c>
      <c r="H884" s="18" t="str">
        <f aca="false">'CEMIUP0.9 Raw'!A277</f>
        <v>107 - Pharmacies</v>
      </c>
    </row>
    <row r="885" customFormat="false" ht="15" hidden="false" customHeight="false" outlineLevel="0" collapsed="false">
      <c r="A885" s="18" t="n">
        <f aca="false">'CEMIUP0.9 Raw'!B1059</f>
        <v>4413042</v>
      </c>
      <c r="B885" s="18" t="str">
        <f aca="false">'CEMIUP0.9 Raw'!C1059</f>
        <v>34  S מגן קרסול עקב סגור</v>
      </c>
      <c r="C885" s="18" t="str">
        <f aca="false">'CEMIUP0.9 Raw'!C1059</f>
        <v>34  S מגן קרסול עקב סגור</v>
      </c>
      <c r="D885" s="19" t="n">
        <f aca="false">'CEMIUP0.9 Raw'!D1059</f>
        <v>119</v>
      </c>
      <c r="E885" s="19" t="n">
        <f aca="false">'CEMIUP0.9 Raw'!E1059</f>
        <v>4385.745</v>
      </c>
      <c r="F885" s="19" t="n">
        <f aca="false">'CEMIUP0.9 Raw'!F1059</f>
        <v>89.6842105263158</v>
      </c>
      <c r="G885" s="19" t="n">
        <f aca="false">'CEMIUP0.9 Raw'!G1059</f>
        <v>3308.64505263158</v>
      </c>
      <c r="H885" s="18" t="str">
        <f aca="false">'CEMIUP0.9 Raw'!A1059</f>
        <v>BE (CEMI internal group)</v>
      </c>
    </row>
    <row r="886" customFormat="false" ht="15" hidden="false" customHeight="false" outlineLevel="0" collapsed="false">
      <c r="A886" s="18" t="n">
        <f aca="false">'SALES Raw'!G2597</f>
        <v>4415027</v>
      </c>
      <c r="B886" s="18" t="str">
        <f aca="false">'SALES Raw'!B2597</f>
        <v>AC27R 0</v>
      </c>
      <c r="C886" s="18" t="str">
        <f aca="false">'SALES Raw'!H2597</f>
        <v>AC-27R סד לש.כף יד ימין</v>
      </c>
      <c r="D886" s="19" t="n">
        <f aca="false">'SALES Raw'!C2597</f>
        <v>35</v>
      </c>
      <c r="E886" s="19" t="n">
        <f aca="false">'SALES Raw'!D2597</f>
        <v>2758.36</v>
      </c>
      <c r="F886" s="19" t="n">
        <f aca="false">'SALES Raw'!E2597*$H$4</f>
        <v>89.6842105263158</v>
      </c>
      <c r="G886" s="19" t="n">
        <f aca="false">'SALES Raw'!F2597*$H$4</f>
        <v>7336.00421052632</v>
      </c>
      <c r="H886" s="18" t="str">
        <f aca="false">'SALES Raw'!A2597</f>
        <v>114 - IL online</v>
      </c>
    </row>
    <row r="887" customFormat="false" ht="15" hidden="false" customHeight="false" outlineLevel="0" collapsed="false">
      <c r="A887" s="18" t="n">
        <f aca="false">'CEMIUP0.9 Raw'!B250</f>
        <v>4413066</v>
      </c>
      <c r="B887" s="18" t="str">
        <f aca="false">'CEMIUP0.9 Raw'!C250</f>
        <v>3677S-מד.לשחרור לחץ א.הבוניון</v>
      </c>
      <c r="C887" s="18" t="str">
        <f aca="false">'CEMIUP0.9 Raw'!C250</f>
        <v>3677S-מד.לשחרור לחץ א.הבוניון</v>
      </c>
      <c r="D887" s="19" t="n">
        <f aca="false">'CEMIUP0.9 Raw'!D250</f>
        <v>156</v>
      </c>
      <c r="E887" s="19" t="n">
        <f aca="false">'CEMIUP0.9 Raw'!E250</f>
        <v>2700.907</v>
      </c>
      <c r="F887" s="19" t="n">
        <f aca="false">'CEMIUP0.9 Raw'!F250</f>
        <v>88.421052631579</v>
      </c>
      <c r="G887" s="19" t="n">
        <f aca="false">'CEMIUP0.9 Raw'!G250</f>
        <v>1603.64084210526</v>
      </c>
      <c r="H887" s="18" t="str">
        <f aca="false">'CEMIUP0.9 Raw'!A250</f>
        <v>107 - Pharmacies</v>
      </c>
    </row>
    <row r="888" customFormat="false" ht="15" hidden="false" customHeight="false" outlineLevel="0" collapsed="false">
      <c r="A888" s="18" t="n">
        <f aca="false">'CEMIUP0.9 Raw'!B519</f>
        <v>4416005</v>
      </c>
      <c r="B888" s="18" t="str">
        <f aca="false">'CEMIUP0.9 Raw'!C519</f>
        <v>308 Mעקבים סיליק.כחול לדורבן</v>
      </c>
      <c r="C888" s="18" t="str">
        <f aca="false">'CEMIUP0.9 Raw'!C519</f>
        <v>308 Mעקבים סיליק.כחול לדורבן</v>
      </c>
      <c r="D888" s="19" t="n">
        <f aca="false">'CEMIUP0.9 Raw'!D519</f>
        <v>129</v>
      </c>
      <c r="E888" s="19" t="n">
        <f aca="false">'CEMIUP0.9 Raw'!E519</f>
        <v>6513.689</v>
      </c>
      <c r="F888" s="19" t="n">
        <f aca="false">'CEMIUP0.9 Raw'!F519</f>
        <v>88.421052631579</v>
      </c>
      <c r="G888" s="19" t="n">
        <f aca="false">'CEMIUP0.9 Raw'!G519</f>
        <v>4596.40042105263</v>
      </c>
      <c r="H888" s="18" t="str">
        <f aca="false">'CEMIUP0.9 Raw'!A519</f>
        <v>107 - Pharmacies</v>
      </c>
    </row>
    <row r="889" customFormat="false" ht="15" hidden="false" customHeight="false" outlineLevel="0" collapsed="false">
      <c r="A889" s="18" t="n">
        <f aca="false">'CEMIUP0.9 Raw'!B761</f>
        <v>4411016</v>
      </c>
      <c r="B889" s="18" t="str">
        <f aca="false">'CEMIUP0.9 Raw'!C761</f>
        <v>307 XL כרית סיליקון לעקב</v>
      </c>
      <c r="C889" s="18" t="str">
        <f aca="false">'CEMIUP0.9 Raw'!C761</f>
        <v>307 XL כרית סיליקון לעקב</v>
      </c>
      <c r="D889" s="19" t="n">
        <f aca="false">'CEMIUP0.9 Raw'!D761</f>
        <v>135</v>
      </c>
      <c r="E889" s="19" t="n">
        <f aca="false">'CEMIUP0.9 Raw'!E761</f>
        <v>8541.45</v>
      </c>
      <c r="F889" s="19" t="n">
        <f aca="false">'CEMIUP0.9 Raw'!F761</f>
        <v>88.421052631579</v>
      </c>
      <c r="G889" s="19" t="n">
        <f aca="false">'CEMIUP0.9 Raw'!G761</f>
        <v>5472.168</v>
      </c>
      <c r="H889" s="18" t="str">
        <f aca="false">'CEMIUP0.9 Raw'!A761</f>
        <v>113 - Kupat Holim Meuhedet</v>
      </c>
    </row>
    <row r="890" customFormat="false" ht="15" hidden="false" customHeight="false" outlineLevel="0" collapsed="false">
      <c r="A890" s="18" t="n">
        <f aca="false">'CEMIUP0.9 Raw'!B1172</f>
        <v>4413370</v>
      </c>
      <c r="B890" s="18" t="str">
        <f aca="false">'CEMIUP0.9 Raw'!C1172</f>
        <v>3674 0 מ.בוניון+מפריד אצבע</v>
      </c>
      <c r="C890" s="18" t="str">
        <f aca="false">'CEMIUP0.9 Raw'!C1172</f>
        <v>3674 0 מ.בוניון+מפריד אצבע</v>
      </c>
      <c r="D890" s="19" t="n">
        <f aca="false">'CEMIUP0.9 Raw'!D1172</f>
        <v>142</v>
      </c>
      <c r="E890" s="19" t="n">
        <f aca="false">'CEMIUP0.9 Raw'!E1172</f>
        <v>4847.388</v>
      </c>
      <c r="F890" s="19" t="n">
        <f aca="false">'CEMIUP0.9 Raw'!F1172</f>
        <v>88.421052631579</v>
      </c>
      <c r="G890" s="19" t="n">
        <f aca="false">'CEMIUP0.9 Raw'!G1172</f>
        <v>3009.32210526316</v>
      </c>
      <c r="H890" s="18" t="str">
        <f aca="false">'CEMIUP0.9 Raw'!A1172</f>
        <v>BE (CEMI internal group)</v>
      </c>
    </row>
    <row r="891" customFormat="false" ht="15" hidden="false" customHeight="false" outlineLevel="0" collapsed="false">
      <c r="A891" s="18" t="n">
        <f aca="false">'CEMIUP0.9 Raw'!B1528</f>
        <v>4413161</v>
      </c>
      <c r="B891" s="18" t="str">
        <f aca="false">'CEMIUP0.9 Raw'!C1528</f>
        <v>34+ L מגן קרסול עקב סגור+רצוע</v>
      </c>
      <c r="C891" s="18" t="str">
        <f aca="false">'CEMIUP0.9 Raw'!C1528</f>
        <v>34+ L מגן קרסול עקב סגור+רצוע</v>
      </c>
      <c r="D891" s="19" t="n">
        <f aca="false">'CEMIUP0.9 Raw'!D1528</f>
        <v>112</v>
      </c>
      <c r="E891" s="19" t="n">
        <f aca="false">'CEMIUP0.9 Raw'!E1528</f>
        <v>5399.94</v>
      </c>
      <c r="F891" s="19" t="n">
        <f aca="false">'CEMIUP0.9 Raw'!F1528</f>
        <v>88.421052631579</v>
      </c>
      <c r="G891" s="19" t="n">
        <f aca="false">'CEMIUP0.9 Raw'!G1528</f>
        <v>4296.84757894737</v>
      </c>
      <c r="H891" s="18" t="str">
        <f aca="false">'CEMIUP0.9 Raw'!A1528</f>
        <v>Super-Pharm Israel (CEMI internal group)</v>
      </c>
    </row>
    <row r="892" customFormat="false" ht="15" hidden="false" customHeight="false" outlineLevel="0" collapsed="false">
      <c r="A892" s="18" t="n">
        <f aca="false">'SALES Raw'!G2899</f>
        <v>4408222</v>
      </c>
      <c r="B892" s="18" t="str">
        <f aca="false">'SALES Raw'!B2899</f>
        <v>078G XL</v>
      </c>
      <c r="C892" s="18" t="str">
        <f aca="false">'SALES Raw'!H2899</f>
        <v>078G-XLחגורת גב אפורה</v>
      </c>
      <c r="D892" s="19" t="n">
        <f aca="false">'SALES Raw'!C2899</f>
        <v>160</v>
      </c>
      <c r="E892" s="19" t="n">
        <f aca="false">'SALES Raw'!D2899</f>
        <v>11350</v>
      </c>
      <c r="F892" s="19" t="n">
        <f aca="false">'SALES Raw'!E2899*$H$4</f>
        <v>88.421052631579</v>
      </c>
      <c r="G892" s="19" t="n">
        <f aca="false">'SALES Raw'!F2899*$H$4</f>
        <v>5628.21473684211</v>
      </c>
      <c r="H892" s="18" t="str">
        <f aca="false">'SALES Raw'!A2899</f>
        <v>202 - Super-Pharm POLAND</v>
      </c>
    </row>
    <row r="893" customFormat="false" ht="15" hidden="false" customHeight="false" outlineLevel="0" collapsed="false">
      <c r="A893" s="18" t="n">
        <f aca="false">'SALES Raw'!G2923</f>
        <v>4413050</v>
      </c>
      <c r="B893" s="18" t="str">
        <f aca="false">'SALES Raw'!B2923</f>
        <v>35 XL</v>
      </c>
      <c r="C893" s="18" t="str">
        <f aca="false">'SALES Raw'!H2923</f>
        <v>35 XL מגן קרסול לבן</v>
      </c>
      <c r="D893" s="19" t="n">
        <f aca="false">'SALES Raw'!C2923</f>
        <v>90</v>
      </c>
      <c r="E893" s="19" t="n">
        <f aca="false">'SALES Raw'!D2923</f>
        <v>1217</v>
      </c>
      <c r="F893" s="19" t="n">
        <f aca="false">'SALES Raw'!E2923*$H$4</f>
        <v>88.421052631579</v>
      </c>
      <c r="G893" s="19" t="n">
        <f aca="false">'SALES Raw'!F2923*$H$4</f>
        <v>1061.17894736842</v>
      </c>
      <c r="H893" s="18" t="str">
        <f aca="false">'SALES Raw'!A2923</f>
        <v>202 - Super-Pharm POLAND</v>
      </c>
    </row>
    <row r="894" customFormat="false" ht="15" hidden="false" customHeight="false" outlineLevel="0" collapsed="false">
      <c r="A894" s="18" t="n">
        <f aca="false">'SALES Raw'!G3233</f>
        <v>4420003</v>
      </c>
      <c r="B894" s="18" t="str">
        <f aca="false">'SALES Raw'!B3233</f>
        <v>374 0</v>
      </c>
      <c r="C894" s="18" t="str">
        <f aca="false">'SALES Raw'!H3233</f>
        <v>374 רפידת בולמת זעזועים -זוג</v>
      </c>
      <c r="D894" s="19" t="n">
        <f aca="false">'SALES Raw'!C3233</f>
        <v>65</v>
      </c>
      <c r="E894" s="19" t="n">
        <f aca="false">'SALES Raw'!D3233</f>
        <v>552.9</v>
      </c>
      <c r="F894" s="19" t="n">
        <f aca="false">'SALES Raw'!E3233*$H$4</f>
        <v>88.421052631579</v>
      </c>
      <c r="G894" s="19" t="n">
        <f aca="false">'SALES Raw'!F3233*$H$4</f>
        <v>680.955789473684</v>
      </c>
      <c r="H894" s="18" t="str">
        <f aca="false">'SALES Raw'!A3233</f>
        <v>204 - Sanaflex Anatomic GREECE</v>
      </c>
    </row>
    <row r="895" customFormat="false" ht="15" hidden="false" customHeight="false" outlineLevel="0" collapsed="false">
      <c r="A895" s="18" t="n">
        <f aca="false">'SALES Raw'!G3287</f>
        <v>4401012</v>
      </c>
      <c r="B895" s="18" t="str">
        <f aca="false">'SALES Raw'!B3287</f>
        <v>805AT-B</v>
      </c>
      <c r="C895" s="18" t="str">
        <f aca="false">'SALES Raw'!H3287</f>
        <v>805AT-B אתלטיק טייפ שחור 20מ""""מ</v>
      </c>
      <c r="D895" s="19" t="n">
        <f aca="false">'SALES Raw'!C3287</f>
        <v>56</v>
      </c>
      <c r="E895" s="19" t="n">
        <f aca="false">'SALES Raw'!D3287</f>
        <v>501.97</v>
      </c>
      <c r="F895" s="19" t="n">
        <f aca="false">'SALES Raw'!E3287*$H$4</f>
        <v>88.421052631579</v>
      </c>
      <c r="G895" s="19" t="n">
        <f aca="false">'SALES Raw'!F3287*$H$4</f>
        <v>704.791578947368</v>
      </c>
      <c r="H895" s="18" t="str">
        <f aca="false">'SALES Raw'!A3287</f>
        <v>204 - Sanaflex Anatomic GREECE</v>
      </c>
    </row>
    <row r="896" customFormat="false" ht="15" hidden="false" customHeight="false" outlineLevel="0" collapsed="false">
      <c r="A896" s="18" t="str">
        <f aca="false">'SALES Raw'!G3491</f>
        <v/>
      </c>
      <c r="B896" s="18" t="str">
        <f aca="false">'SALES Raw'!B3491</f>
        <v>239P-S-M</v>
      </c>
      <c r="C896" s="18" t="str">
        <f aca="false">'SALES Raw'!H3491</f>
        <v>239P-S-M</v>
      </c>
      <c r="D896" s="19" t="n">
        <f aca="false">'SALES Raw'!C3491</f>
        <v>0</v>
      </c>
      <c r="E896" s="19" t="n">
        <f aca="false">'SALES Raw'!D3491</f>
        <v>0</v>
      </c>
      <c r="F896" s="19" t="n">
        <f aca="false">'SALES Raw'!E3491*$H$4</f>
        <v>88.421052631579</v>
      </c>
      <c r="G896" s="19" t="n">
        <f aca="false">'SALES Raw'!F3491*$H$4</f>
        <v>928.395789473684</v>
      </c>
      <c r="H896" s="18" t="str">
        <f aca="false">'SALES Raw'!A3491</f>
        <v>207 - Salus HUNGARY</v>
      </c>
    </row>
    <row r="897" customFormat="false" ht="15" hidden="false" customHeight="false" outlineLevel="0" collapsed="false">
      <c r="A897" s="18" t="str">
        <f aca="false">'SALES Raw'!G3537</f>
        <v/>
      </c>
      <c r="B897" s="18" t="str">
        <f aca="false">'SALES Raw'!B3537</f>
        <v>363 L/R</v>
      </c>
      <c r="C897" s="18" t="str">
        <f aca="false">'SALES Raw'!H3537</f>
        <v>363 L/R</v>
      </c>
      <c r="D897" s="19" t="n">
        <f aca="false">'SALES Raw'!C3537</f>
        <v>70</v>
      </c>
      <c r="E897" s="19" t="n">
        <f aca="false">'SALES Raw'!D3537</f>
        <v>830.35</v>
      </c>
      <c r="F897" s="19" t="n">
        <f aca="false">'SALES Raw'!E3537*$H$4</f>
        <v>88.421052631579</v>
      </c>
      <c r="G897" s="19" t="n">
        <f aca="false">'SALES Raw'!F3537*$H$4</f>
        <v>963.865263157895</v>
      </c>
      <c r="H897" s="18" t="str">
        <f aca="false">'SALES Raw'!A3537</f>
        <v>207 - Salus HUNGARY</v>
      </c>
    </row>
    <row r="898" customFormat="false" ht="15" hidden="false" customHeight="false" outlineLevel="0" collapsed="false">
      <c r="A898" s="18" t="n">
        <f aca="false">'SALES Raw'!G4066</f>
        <v>4408269</v>
      </c>
      <c r="B898" s="18" t="str">
        <f aca="false">'SALES Raw'!B4066</f>
        <v>ST37 0</v>
      </c>
      <c r="C898" s="18" t="str">
        <f aca="false">'SALES Raw'!H4066</f>
        <v>ST37 חבק לקרסול</v>
      </c>
      <c r="D898" s="19" t="n">
        <f aca="false">'SALES Raw'!C4066</f>
        <v>220</v>
      </c>
      <c r="E898" s="19" t="n">
        <f aca="false">'SALES Raw'!D4066</f>
        <v>3805.52</v>
      </c>
      <c r="F898" s="19" t="n">
        <f aca="false">'SALES Raw'!E4066*$H$4</f>
        <v>88.421052631579</v>
      </c>
      <c r="G898" s="19" t="n">
        <f aca="false">'SALES Raw'!F4066*$H$4</f>
        <v>1349.43157894737</v>
      </c>
      <c r="H898" s="18" t="str">
        <f aca="false">'SALES Raw'!A4066</f>
        <v>211 - Pharmag Lachmair Ges. Mbh AUSTRIA</v>
      </c>
    </row>
    <row r="899" customFormat="false" ht="15" hidden="false" customHeight="false" outlineLevel="0" collapsed="false">
      <c r="A899" s="18" t="n">
        <f aca="false">'SALES Raw'!G4143</f>
        <v>4413331</v>
      </c>
      <c r="B899" s="18" t="str">
        <f aca="false">'SALES Raw'!B4143</f>
        <v>AC95 0</v>
      </c>
      <c r="C899" s="18" t="str">
        <f aca="false">'SALES Raw'!H4143</f>
        <v>AC95 מגן מרפק</v>
      </c>
      <c r="D899" s="19" t="n">
        <f aca="false">'SALES Raw'!C4143</f>
        <v>50</v>
      </c>
      <c r="E899" s="19" t="n">
        <f aca="false">'SALES Raw'!D4143</f>
        <v>1134.9</v>
      </c>
      <c r="F899" s="19" t="n">
        <f aca="false">'SALES Raw'!E4143*$H$4</f>
        <v>88.421052631579</v>
      </c>
      <c r="G899" s="19" t="n">
        <f aca="false">'SALES Raw'!F4143*$H$4</f>
        <v>1866.92210526316</v>
      </c>
      <c r="H899" s="18" t="str">
        <f aca="false">'SALES Raw'!A4143</f>
        <v>214 - Alfred Gera&amp; Sons Ltd. MALTA</v>
      </c>
    </row>
    <row r="900" customFormat="false" ht="15" hidden="false" customHeight="false" outlineLevel="0" collapsed="false">
      <c r="A900" s="18" t="n">
        <f aca="false">'SALES Raw'!G2366</f>
        <v>4403044</v>
      </c>
      <c r="B900" s="18" t="str">
        <f aca="false">'SALES Raw'!B2366</f>
        <v>395B-39-42</v>
      </c>
      <c r="C900" s="18" t="str">
        <f aca="false">'SALES Raw'!H2366</f>
        <v>395B גרבי קיץ אנטי בקטריא39-42</v>
      </c>
      <c r="D900" s="19" t="n">
        <f aca="false">'SALES Raw'!C2366</f>
        <v>0</v>
      </c>
      <c r="E900" s="19" t="n">
        <f aca="false">'SALES Raw'!D2366</f>
        <v>0</v>
      </c>
      <c r="F900" s="19" t="n">
        <f aca="false">'SALES Raw'!E2366*$H$4</f>
        <v>87.1578947368421</v>
      </c>
      <c r="G900" s="19" t="n">
        <f aca="false">'SALES Raw'!F2366*$H$4</f>
        <v>4128.72</v>
      </c>
      <c r="H900" s="18" t="str">
        <f aca="false">'SALES Raw'!A2366</f>
        <v>114 - IL online</v>
      </c>
    </row>
    <row r="901" customFormat="false" ht="15" hidden="false" customHeight="false" outlineLevel="0" collapsed="false">
      <c r="A901" s="18" t="n">
        <f aca="false">'SALES Raw'!G2521</f>
        <v>4422024</v>
      </c>
      <c r="B901" s="18" t="str">
        <f aca="false">'SALES Raw'!B2521</f>
        <v>806CB-B</v>
      </c>
      <c r="C901" s="18" t="str">
        <f aca="false">'SALES Raw'!H2521</f>
        <v>806CB-BLACK      תחבושת א.נצמ</v>
      </c>
      <c r="D901" s="19" t="n">
        <f aca="false">'SALES Raw'!C2521</f>
        <v>56</v>
      </c>
      <c r="E901" s="19" t="n">
        <f aca="false">'SALES Raw'!D2521</f>
        <v>1127.78</v>
      </c>
      <c r="F901" s="19" t="n">
        <f aca="false">'SALES Raw'!E2521*$H$4</f>
        <v>87.1578947368421</v>
      </c>
      <c r="G901" s="19" t="n">
        <f aca="false">'SALES Raw'!F2521*$H$4</f>
        <v>1644.50526315789</v>
      </c>
      <c r="H901" s="18" t="str">
        <f aca="false">'SALES Raw'!A2521</f>
        <v>114 - IL online</v>
      </c>
    </row>
    <row r="902" customFormat="false" ht="15" hidden="false" customHeight="false" outlineLevel="0" collapsed="false">
      <c r="A902" s="18" t="n">
        <f aca="false">'SALES Raw'!G3095</f>
        <v>4418001</v>
      </c>
      <c r="B902" s="18" t="str">
        <f aca="false">'SALES Raw'!B3095</f>
        <v>60 M</v>
      </c>
      <c r="C902" s="18" t="str">
        <f aca="false">'SALES Raw'!H3095</f>
        <v>60 M צוארון ספוגי</v>
      </c>
      <c r="D902" s="19" t="n">
        <f aca="false">'SALES Raw'!C3095</f>
        <v>108</v>
      </c>
      <c r="E902" s="19" t="n">
        <f aca="false">'SALES Raw'!D3095</f>
        <v>2454.28</v>
      </c>
      <c r="F902" s="19" t="n">
        <f aca="false">'SALES Raw'!E3095*$H$4</f>
        <v>87.1578947368421</v>
      </c>
      <c r="G902" s="19" t="n">
        <f aca="false">'SALES Raw'!F3095*$H$4</f>
        <v>1818.49263157895</v>
      </c>
      <c r="H902" s="18" t="str">
        <f aca="false">'SALES Raw'!A3095</f>
        <v>203 - Ortho- Partner ag SWITZERLAND</v>
      </c>
    </row>
    <row r="903" customFormat="false" ht="15" hidden="false" customHeight="false" outlineLevel="0" collapsed="false">
      <c r="A903" s="18" t="n">
        <f aca="false">'CEMIUP0.9 Raw'!B1566</f>
        <v>4413371</v>
      </c>
      <c r="B903" s="18" t="str">
        <f aca="false">'CEMIUP0.9 Raw'!C1566</f>
        <v>3675    מגן זרת מסיליקון</v>
      </c>
      <c r="C903" s="18" t="str">
        <f aca="false">'CEMIUP0.9 Raw'!C1566</f>
        <v>3675    מגן זרת מסיליקון</v>
      </c>
      <c r="D903" s="19" t="n">
        <f aca="false">'CEMIUP0.9 Raw'!D1566</f>
        <v>84</v>
      </c>
      <c r="E903" s="19" t="n">
        <f aca="false">'CEMIUP0.9 Raw'!E1566</f>
        <v>1954.225</v>
      </c>
      <c r="F903" s="19" t="n">
        <f aca="false">'CEMIUP0.9 Raw'!F1566</f>
        <v>87.1578947368421</v>
      </c>
      <c r="G903" s="19" t="n">
        <f aca="false">'CEMIUP0.9 Raw'!G1566</f>
        <v>2039.28126315789</v>
      </c>
      <c r="H903" s="18" t="str">
        <f aca="false">'CEMIUP0.9 Raw'!A1566</f>
        <v>Super-Pharm Israel (CEMI internal group)</v>
      </c>
    </row>
    <row r="904" customFormat="false" ht="15" hidden="false" customHeight="false" outlineLevel="0" collapsed="false">
      <c r="A904" s="18" t="n">
        <f aca="false">'CEMIUP0.9 Raw'!B734</f>
        <v>4408223</v>
      </c>
      <c r="B904" s="18" t="str">
        <f aca="false">'CEMIUP0.9 Raw'!C734</f>
        <v>078G-XXLחגורת גב אפורה</v>
      </c>
      <c r="C904" s="18" t="str">
        <f aca="false">'CEMIUP0.9 Raw'!C734</f>
        <v>078G-XXLחגורת גב אפורה</v>
      </c>
      <c r="D904" s="19" t="n">
        <f aca="false">'CEMIUP0.9 Raw'!D734</f>
        <v>145</v>
      </c>
      <c r="E904" s="19" t="n">
        <f aca="false">'CEMIUP0.9 Raw'!E734</f>
        <v>9425</v>
      </c>
      <c r="F904" s="19" t="n">
        <f aca="false">'CEMIUP0.9 Raw'!F734</f>
        <v>85.8947368421053</v>
      </c>
      <c r="G904" s="19" t="n">
        <f aca="false">'CEMIUP0.9 Raw'!G734</f>
        <v>5525.31789473684</v>
      </c>
      <c r="H904" s="18" t="str">
        <f aca="false">'CEMIUP0.9 Raw'!A734</f>
        <v>113 - Kupat Holim Meuhedet</v>
      </c>
    </row>
    <row r="905" customFormat="false" ht="15" hidden="false" customHeight="false" outlineLevel="0" collapsed="false">
      <c r="A905" s="18" t="n">
        <f aca="false">'CEMIUP0.9 Raw'!B1296</f>
        <v>4403025</v>
      </c>
      <c r="B905" s="18" t="str">
        <f aca="false">'CEMIUP0.9 Raw'!C1296</f>
        <v>394W 43-46 גרב.כסף לסכרתים לבן</v>
      </c>
      <c r="C905" s="18" t="str">
        <f aca="false">'CEMIUP0.9 Raw'!C1296</f>
        <v>394W 43-46 גרב.כסף לסכרתים לבן</v>
      </c>
      <c r="D905" s="19" t="n">
        <f aca="false">'CEMIUP0.9 Raw'!D1296</f>
        <v>85</v>
      </c>
      <c r="E905" s="19" t="n">
        <f aca="false">'CEMIUP0.9 Raw'!E1296</f>
        <v>1716.806</v>
      </c>
      <c r="F905" s="19" t="n">
        <f aca="false">'CEMIUP0.9 Raw'!F1296</f>
        <v>85.8947368421053</v>
      </c>
      <c r="G905" s="19" t="n">
        <f aca="false">'CEMIUP0.9 Raw'!G1296</f>
        <v>1777.66105263158</v>
      </c>
      <c r="H905" s="18" t="str">
        <f aca="false">'CEMIUP0.9 Raw'!A1296</f>
        <v>Super-Pharm Israel (CEMI internal group)</v>
      </c>
    </row>
    <row r="906" customFormat="false" ht="15" hidden="false" customHeight="false" outlineLevel="0" collapsed="false">
      <c r="A906" s="18" t="n">
        <f aca="false">'SALES Raw'!G629</f>
        <v>4421008</v>
      </c>
      <c r="B906" s="18" t="str">
        <f aca="false">'SALES Raw'!B629</f>
        <v>351 0</v>
      </c>
      <c r="C906" s="18" t="str">
        <f aca="false">'SALES Raw'!H629</f>
        <v>שרוול לגבס ארוך רגל</v>
      </c>
      <c r="D906" s="19" t="n">
        <f aca="false">'SALES Raw'!C629</f>
        <v>72</v>
      </c>
      <c r="E906" s="19" t="n">
        <f aca="false">'SALES Raw'!D629</f>
        <v>3352.43</v>
      </c>
      <c r="F906" s="19" t="n">
        <f aca="false">'SALES Raw'!E629*$H$4</f>
        <v>84.6315789473684</v>
      </c>
      <c r="G906" s="19" t="n">
        <f aca="false">'SALES Raw'!F629*$H$4</f>
        <v>3958.66105263158</v>
      </c>
      <c r="H906" s="18" t="str">
        <f aca="false">'SALES Raw'!A629</f>
        <v>102 - Orthopedic institutes</v>
      </c>
    </row>
    <row r="907" customFormat="false" ht="15" hidden="false" customHeight="false" outlineLevel="0" collapsed="false">
      <c r="A907" s="18" t="n">
        <f aca="false">'CEMIUP0.9 Raw'!B671</f>
        <v>4402000</v>
      </c>
      <c r="B907" s="18" t="str">
        <f aca="false">'CEMIUP0.9 Raw'!C671</f>
        <v>363  בננה לתמיכת אצבעות ז.כרית</v>
      </c>
      <c r="C907" s="18" t="str">
        <f aca="false">'CEMIUP0.9 Raw'!C671</f>
        <v>363  בננה לתמיכת אצבעות ז.כרית</v>
      </c>
      <c r="D907" s="19" t="n">
        <f aca="false">'CEMIUP0.9 Raw'!D671</f>
        <v>154</v>
      </c>
      <c r="E907" s="19" t="n">
        <f aca="false">'CEMIUP0.9 Raw'!E671</f>
        <v>2671.9</v>
      </c>
      <c r="F907" s="19" t="n">
        <f aca="false">'CEMIUP0.9 Raw'!F671</f>
        <v>84.6315789473684</v>
      </c>
      <c r="G907" s="19" t="n">
        <f aca="false">'CEMIUP0.9 Raw'!G671</f>
        <v>1337.65894736842</v>
      </c>
      <c r="H907" s="18" t="str">
        <f aca="false">'CEMIUP0.9 Raw'!A671</f>
        <v>113 - Kupat Holim Meuhedet</v>
      </c>
    </row>
    <row r="908" customFormat="false" ht="15" hidden="false" customHeight="false" outlineLevel="0" collapsed="false">
      <c r="A908" s="18" t="n">
        <f aca="false">'CEMIUP0.9 Raw'!B1077</f>
        <v>4413063</v>
      </c>
      <c r="B908" s="18" t="str">
        <f aca="false">'CEMIUP0.9 Raw'!C1077</f>
        <v>366S-'מדבק.לשחרור לחץ מיבלת2יח</v>
      </c>
      <c r="C908" s="18" t="str">
        <f aca="false">'CEMIUP0.9 Raw'!C1077</f>
        <v>366S-'מדבק.לשחרור לחץ מיבלת2יח</v>
      </c>
      <c r="D908" s="19" t="n">
        <f aca="false">'CEMIUP0.9 Raw'!D1077</f>
        <v>88</v>
      </c>
      <c r="E908" s="19" t="n">
        <f aca="false">'CEMIUP0.9 Raw'!E1077</f>
        <v>1045.681</v>
      </c>
      <c r="F908" s="19" t="n">
        <f aca="false">'CEMIUP0.9 Raw'!F1077</f>
        <v>84.6315789473684</v>
      </c>
      <c r="G908" s="19" t="n">
        <f aca="false">'CEMIUP0.9 Raw'!G1077</f>
        <v>1024.52589473684</v>
      </c>
      <c r="H908" s="18" t="str">
        <f aca="false">'CEMIUP0.9 Raw'!A1077</f>
        <v>BE (CEMI internal group)</v>
      </c>
    </row>
    <row r="909" customFormat="false" ht="15" hidden="false" customHeight="false" outlineLevel="0" collapsed="false">
      <c r="A909" s="18" t="n">
        <f aca="false">'CEMIUP0.9 Raw'!B1415</f>
        <v>4411015</v>
      </c>
      <c r="B909" s="18" t="str">
        <f aca="false">'CEMIUP0.9 Raw'!C1415</f>
        <v>820 0 כרית חום וקור</v>
      </c>
      <c r="C909" s="18" t="str">
        <f aca="false">'CEMIUP0.9 Raw'!C1415</f>
        <v>820 0 כרית חום וקור</v>
      </c>
      <c r="D909" s="19" t="n">
        <f aca="false">'CEMIUP0.9 Raw'!D1415</f>
        <v>21</v>
      </c>
      <c r="E909" s="19" t="n">
        <f aca="false">'CEMIUP0.9 Raw'!E1415</f>
        <v>752.024</v>
      </c>
      <c r="F909" s="19" t="n">
        <f aca="false">'CEMIUP0.9 Raw'!F1415</f>
        <v>84.6315789473684</v>
      </c>
      <c r="G909" s="19" t="n">
        <f aca="false">'CEMIUP0.9 Raw'!G1415</f>
        <v>3007.25305263158</v>
      </c>
      <c r="H909" s="18" t="str">
        <f aca="false">'CEMIUP0.9 Raw'!A1415</f>
        <v>Super-Pharm Israel (CEMI internal group)</v>
      </c>
    </row>
    <row r="910" customFormat="false" ht="15" hidden="false" customHeight="false" outlineLevel="0" collapsed="false">
      <c r="A910" s="18" t="n">
        <f aca="false">'CEMIUP0.9 Raw'!B26</f>
        <v>4403019</v>
      </c>
      <c r="B910" s="18" t="str">
        <f aca="false">'CEMIUP0.9 Raw'!C26</f>
        <v>394B גרב.כסף לסכרתים שחור43-46</v>
      </c>
      <c r="C910" s="18" t="str">
        <f aca="false">'CEMIUP0.9 Raw'!C26</f>
        <v>394B גרב.כסף לסכרתים שחור43-46</v>
      </c>
      <c r="D910" s="19" t="n">
        <f aca="false">'CEMIUP0.9 Raw'!D26</f>
        <v>236</v>
      </c>
      <c r="E910" s="19" t="n">
        <f aca="false">'CEMIUP0.9 Raw'!E26</f>
        <v>5432.02</v>
      </c>
      <c r="F910" s="19" t="n">
        <f aca="false">'CEMIUP0.9 Raw'!F26</f>
        <v>83.3684210526316</v>
      </c>
      <c r="G910" s="19" t="n">
        <f aca="false">'CEMIUP0.9 Raw'!G26</f>
        <v>2025.78315789474</v>
      </c>
      <c r="H910" s="18" t="str">
        <f aca="false">'CEMIUP0.9 Raw'!A26</f>
        <v>107 - Pharmacies</v>
      </c>
    </row>
    <row r="911" customFormat="false" ht="15" hidden="false" customHeight="false" outlineLevel="0" collapsed="false">
      <c r="A911" s="18" t="n">
        <f aca="false">'CEMIUP0.9 Raw'!B588</f>
        <v>4422034</v>
      </c>
      <c r="B911" s="18" t="str">
        <f aca="false">'CEMIUP0.9 Raw'!C588</f>
        <v>807CB-P תחבושת נצמדת ורוד 20ממ</v>
      </c>
      <c r="C911" s="18" t="str">
        <f aca="false">'CEMIUP0.9 Raw'!C588</f>
        <v>807CB-P תחבושת נצמדת ורוד 20ממ</v>
      </c>
      <c r="D911" s="19" t="n">
        <f aca="false">'CEMIUP0.9 Raw'!D588</f>
        <v>201</v>
      </c>
      <c r="E911" s="19" t="n">
        <f aca="false">'CEMIUP0.9 Raw'!E588</f>
        <v>1753.115</v>
      </c>
      <c r="F911" s="19" t="n">
        <f aca="false">'CEMIUP0.9 Raw'!F588</f>
        <v>83.3684210526316</v>
      </c>
      <c r="G911" s="19" t="n">
        <f aca="false">'CEMIUP0.9 Raw'!G588</f>
        <v>892.467789473684</v>
      </c>
      <c r="H911" s="18" t="str">
        <f aca="false">'CEMIUP0.9 Raw'!A588</f>
        <v>107 - Pharmacies</v>
      </c>
    </row>
    <row r="912" customFormat="false" ht="15" hidden="false" customHeight="false" outlineLevel="0" collapsed="false">
      <c r="A912" s="18" t="n">
        <f aca="false">'CEMIUP0.9 Raw'!B1241</f>
        <v>4418003</v>
      </c>
      <c r="B912" s="18" t="str">
        <f aca="false">'CEMIUP0.9 Raw'!C1241</f>
        <v>60 XL צוארון ספוגי</v>
      </c>
      <c r="C912" s="18" t="str">
        <f aca="false">'CEMIUP0.9 Raw'!C1241</f>
        <v>60 XL צוארון ספוגי</v>
      </c>
      <c r="D912" s="19" t="n">
        <f aca="false">'CEMIUP0.9 Raw'!D1241</f>
        <v>88</v>
      </c>
      <c r="E912" s="19" t="n">
        <f aca="false">'CEMIUP0.9 Raw'!E1241</f>
        <v>2534.168</v>
      </c>
      <c r="F912" s="19" t="n">
        <f aca="false">'CEMIUP0.9 Raw'!F1241</f>
        <v>83.3684210526316</v>
      </c>
      <c r="G912" s="19" t="n">
        <f aca="false">'CEMIUP0.9 Raw'!G1241</f>
        <v>2453.89642105263</v>
      </c>
      <c r="H912" s="18" t="str">
        <f aca="false">'CEMIUP0.9 Raw'!A1241</f>
        <v>BE (CEMI internal group)</v>
      </c>
    </row>
    <row r="913" customFormat="false" ht="15" hidden="false" customHeight="false" outlineLevel="0" collapsed="false">
      <c r="A913" s="18" t="n">
        <f aca="false">'SALES Raw'!G554</f>
        <v>4403042</v>
      </c>
      <c r="B913" s="18" t="str">
        <f aca="false">'SALES Raw'!B554</f>
        <v>397A-39-42</v>
      </c>
      <c r="C913" s="18" t="str">
        <f aca="false">'SALES Raw'!H554</f>
        <v>397A-גרבי טיסה אנטי בקטרי39-42</v>
      </c>
      <c r="D913" s="19" t="n">
        <f aca="false">'SALES Raw'!C554</f>
        <v>0</v>
      </c>
      <c r="E913" s="19" t="n">
        <f aca="false">'SALES Raw'!D554</f>
        <v>0</v>
      </c>
      <c r="F913" s="19" t="n">
        <f aca="false">'SALES Raw'!E554*$H$4</f>
        <v>83.3684210526316</v>
      </c>
      <c r="G913" s="19" t="n">
        <f aca="false">'SALES Raw'!F554*$H$4</f>
        <v>5212.97684210526</v>
      </c>
      <c r="H913" s="18" t="str">
        <f aca="false">'SALES Raw'!A554</f>
        <v>102 - Orthopedic institutes</v>
      </c>
    </row>
    <row r="914" customFormat="false" ht="15" hidden="false" customHeight="false" outlineLevel="0" collapsed="false">
      <c r="A914" s="18" t="n">
        <f aca="false">'SALES Raw'!G662</f>
        <v>4413329</v>
      </c>
      <c r="B914" s="18" t="str">
        <f aca="false">'SALES Raw'!B662</f>
        <v>AC45X 0</v>
      </c>
      <c r="C914" s="18" t="str">
        <f aca="false">'SALES Raw'!H662</f>
        <v>AC45X מגן ברך עם תמיכות</v>
      </c>
      <c r="D914" s="19" t="n">
        <f aca="false">'SALES Raw'!C662</f>
        <v>81</v>
      </c>
      <c r="E914" s="19" t="n">
        <f aca="false">'SALES Raw'!D662</f>
        <v>5922.26</v>
      </c>
      <c r="F914" s="19" t="n">
        <f aca="false">'SALES Raw'!E662*$H$4</f>
        <v>83.3684210526316</v>
      </c>
      <c r="G914" s="19" t="n">
        <f aca="false">'SALES Raw'!F662*$H$4</f>
        <v>6248.18526315789</v>
      </c>
      <c r="H914" s="18" t="str">
        <f aca="false">'SALES Raw'!A662</f>
        <v>102 - Orthopedic institutes</v>
      </c>
    </row>
    <row r="915" customFormat="false" ht="15" hidden="false" customHeight="false" outlineLevel="0" collapsed="false">
      <c r="A915" s="18" t="str">
        <f aca="false">'SALES Raw'!G3131</f>
        <v/>
      </c>
      <c r="B915" s="18" t="str">
        <f aca="false">'SALES Raw'!B3131</f>
        <v>T43V XL</v>
      </c>
      <c r="C915" s="18" t="str">
        <f aca="false">'SALES Raw'!H3131</f>
        <v>T43V XL</v>
      </c>
      <c r="D915" s="19" t="n">
        <f aca="false">'SALES Raw'!C3131</f>
        <v>156</v>
      </c>
      <c r="E915" s="19" t="n">
        <f aca="false">'SALES Raw'!D3131</f>
        <v>19580.51</v>
      </c>
      <c r="F915" s="19" t="n">
        <f aca="false">'SALES Raw'!E3131*$H$4</f>
        <v>83.3684210526316</v>
      </c>
      <c r="G915" s="19" t="n">
        <f aca="false">'SALES Raw'!F3131*$H$4</f>
        <v>9730.95157894737</v>
      </c>
      <c r="H915" s="18" t="str">
        <f aca="false">'SALES Raw'!A3131</f>
        <v>203 - Ortho- Partner ag SWITZERLAND</v>
      </c>
    </row>
    <row r="916" customFormat="false" ht="15" hidden="false" customHeight="false" outlineLevel="0" collapsed="false">
      <c r="A916" s="18" t="str">
        <f aca="false">'SALES Raw'!G3133</f>
        <v/>
      </c>
      <c r="B916" s="18" t="str">
        <f aca="false">'SALES Raw'!B3133</f>
        <v>T43V XXL</v>
      </c>
      <c r="C916" s="18" t="str">
        <f aca="false">'SALES Raw'!H3133</f>
        <v>T43V XXL</v>
      </c>
      <c r="D916" s="19" t="n">
        <f aca="false">'SALES Raw'!C3133</f>
        <v>132</v>
      </c>
      <c r="E916" s="19" t="n">
        <f aca="false">'SALES Raw'!D3133</f>
        <v>16148.34</v>
      </c>
      <c r="F916" s="19" t="n">
        <f aca="false">'SALES Raw'!E3133*$H$4</f>
        <v>83.3684210526316</v>
      </c>
      <c r="G916" s="19" t="n">
        <f aca="false">'SALES Raw'!F3133*$H$4</f>
        <v>9693.32210526316</v>
      </c>
      <c r="H916" s="18" t="str">
        <f aca="false">'SALES Raw'!A3133</f>
        <v>203 - Ortho- Partner ag SWITZERLAND</v>
      </c>
    </row>
    <row r="917" customFormat="false" ht="15" hidden="false" customHeight="false" outlineLevel="0" collapsed="false">
      <c r="A917" s="18" t="n">
        <f aca="false">'SALES Raw'!G3588</f>
        <v>4413103</v>
      </c>
      <c r="B917" s="18" t="str">
        <f aca="false">'SALES Raw'!B3588</f>
        <v>45E M</v>
      </c>
      <c r="C917" s="18" t="str">
        <f aca="false">'SALES Raw'!H3588</f>
        <v>45E Mמגן ברך ארוך לבן</v>
      </c>
      <c r="D917" s="19" t="n">
        <f aca="false">'SALES Raw'!C3588</f>
        <v>50</v>
      </c>
      <c r="E917" s="19" t="n">
        <f aca="false">'SALES Raw'!D3588</f>
        <v>547.71</v>
      </c>
      <c r="F917" s="19" t="n">
        <f aca="false">'SALES Raw'!E3588*$H$4</f>
        <v>82.1052631578947</v>
      </c>
      <c r="G917" s="19" t="n">
        <f aca="false">'SALES Raw'!F3588*$H$4</f>
        <v>921.486315789474</v>
      </c>
      <c r="H917" s="18" t="str">
        <f aca="false">'SALES Raw'!A3588</f>
        <v>207 - Salus HUNGARY</v>
      </c>
    </row>
    <row r="918" customFormat="false" ht="15" hidden="false" customHeight="false" outlineLevel="0" collapsed="false">
      <c r="A918" s="18" t="str">
        <f aca="false">'SALES Raw'!G4396</f>
        <v/>
      </c>
      <c r="B918" s="18" t="str">
        <f aca="false">'SALES Raw'!B4396</f>
        <v>EC-11NOR XL</v>
      </c>
      <c r="C918" s="18" t="str">
        <f aca="false">'SALES Raw'!H4396</f>
        <v>EC-11NOR XL</v>
      </c>
      <c r="D918" s="19" t="n">
        <f aca="false">'SALES Raw'!C4396</f>
        <v>191</v>
      </c>
      <c r="E918" s="19" t="n">
        <f aca="false">'SALES Raw'!D4396</f>
        <v>26070.58</v>
      </c>
      <c r="F918" s="19" t="n">
        <f aca="false">'SALES Raw'!E4396*$H$4</f>
        <v>82.1052631578947</v>
      </c>
      <c r="G918" s="19" t="n">
        <f aca="false">'SALES Raw'!F4396*$H$4</f>
        <v>10279.5157894737</v>
      </c>
      <c r="H918" s="18" t="str">
        <f aca="false">'SALES Raw'!A4396</f>
        <v>301 - Amazon</v>
      </c>
    </row>
    <row r="919" customFormat="false" ht="15" hidden="false" customHeight="false" outlineLevel="0" collapsed="false">
      <c r="A919" s="18" t="n">
        <f aca="false">'CEMIUP0.9 Raw'!B572</f>
        <v>4421007</v>
      </c>
      <c r="B919" s="18" t="str">
        <f aca="false">'CEMIUP0.9 Raw'!C572</f>
        <v>שרוול לגבס קצר רגל</v>
      </c>
      <c r="C919" s="18" t="str">
        <f aca="false">'CEMIUP0.9 Raw'!C572</f>
        <v>שרוול לגבס קצר רגל</v>
      </c>
      <c r="D919" s="19" t="n">
        <f aca="false">'CEMIUP0.9 Raw'!D572</f>
        <v>89</v>
      </c>
      <c r="E919" s="19" t="n">
        <f aca="false">'CEMIUP0.9 Raw'!E572</f>
        <v>3548.496</v>
      </c>
      <c r="F919" s="19" t="n">
        <f aca="false">'CEMIUP0.9 Raw'!F572</f>
        <v>82.1052631578947</v>
      </c>
      <c r="G919" s="19" t="n">
        <f aca="false">'CEMIUP0.9 Raw'!G572</f>
        <v>3295.728</v>
      </c>
      <c r="H919" s="18" t="str">
        <f aca="false">'CEMIUP0.9 Raw'!A572</f>
        <v>107 - Pharmacies</v>
      </c>
    </row>
    <row r="920" customFormat="false" ht="15" hidden="false" customHeight="false" outlineLevel="0" collapsed="false">
      <c r="A920" s="18" t="n">
        <f aca="false">'CEMIUP0.9 Raw'!B814</f>
        <v>4413142</v>
      </c>
      <c r="B920" s="18" t="str">
        <f aca="false">'CEMIUP0.9 Raw'!C814</f>
        <v>95 XL מגן מרפק רגיל לבן</v>
      </c>
      <c r="C920" s="18" t="str">
        <f aca="false">'CEMIUP0.9 Raw'!C814</f>
        <v>95 XL מגן מרפק רגיל לבן</v>
      </c>
      <c r="D920" s="19" t="n">
        <f aca="false">'CEMIUP0.9 Raw'!D814</f>
        <v>85</v>
      </c>
      <c r="E920" s="19" t="n">
        <f aca="false">'CEMIUP0.9 Raw'!E814</f>
        <v>1445</v>
      </c>
      <c r="F920" s="19" t="n">
        <f aca="false">'CEMIUP0.9 Raw'!F814</f>
        <v>82.1052631578947</v>
      </c>
      <c r="G920" s="19" t="n">
        <f aca="false">'CEMIUP0.9 Raw'!G814</f>
        <v>1323.21221052632</v>
      </c>
      <c r="H920" s="18" t="str">
        <f aca="false">'CEMIUP0.9 Raw'!A814</f>
        <v>113 - Kupat Holim Meuhedet</v>
      </c>
    </row>
    <row r="921" customFormat="false" ht="15" hidden="false" customHeight="false" outlineLevel="0" collapsed="false">
      <c r="A921" s="18" t="n">
        <f aca="false">'CEMIUP0.9 Raw'!B1002</f>
        <v>4408132</v>
      </c>
      <c r="B921" s="18" t="str">
        <f aca="false">'CEMIUP0.9 Raw'!C1002</f>
        <v>11EU XXL חגורת בטןלאחר ניתוח</v>
      </c>
      <c r="C921" s="18" t="str">
        <f aca="false">'CEMIUP0.9 Raw'!C1002</f>
        <v>11EU XXL חגורת בטןלאחר ניתוח</v>
      </c>
      <c r="D921" s="19" t="n">
        <f aca="false">'CEMIUP0.9 Raw'!D1002</f>
        <v>63</v>
      </c>
      <c r="E921" s="19" t="n">
        <f aca="false">'CEMIUP0.9 Raw'!E1002</f>
        <v>5503.68</v>
      </c>
      <c r="F921" s="19" t="n">
        <f aca="false">'CEMIUP0.9 Raw'!F1002</f>
        <v>82.1052631578947</v>
      </c>
      <c r="G921" s="19" t="n">
        <f aca="false">'CEMIUP0.9 Raw'!G1002</f>
        <v>7172.71578947369</v>
      </c>
      <c r="H921" s="18" t="str">
        <f aca="false">'CEMIUP0.9 Raw'!A1002</f>
        <v>BE (CEMI internal group)</v>
      </c>
    </row>
    <row r="922" customFormat="false" ht="15" hidden="false" customHeight="false" outlineLevel="0" collapsed="false">
      <c r="A922" s="18" t="n">
        <f aca="false">'CEMIUP0.9 Raw'!B312</f>
        <v>4413141</v>
      </c>
      <c r="B922" s="18" t="str">
        <f aca="false">'CEMIUP0.9 Raw'!C312</f>
        <v>95 S מגן מרפק רגיל לבן</v>
      </c>
      <c r="C922" s="18" t="str">
        <f aca="false">'CEMIUP0.9 Raw'!C312</f>
        <v>95 S מגן מרפק רגיל לבן</v>
      </c>
      <c r="D922" s="19" t="n">
        <f aca="false">'CEMIUP0.9 Raw'!D312</f>
        <v>134</v>
      </c>
      <c r="E922" s="19" t="n">
        <f aca="false">'CEMIUP0.9 Raw'!E312</f>
        <v>3615.066</v>
      </c>
      <c r="F922" s="19" t="n">
        <f aca="false">'CEMIUP0.9 Raw'!F312</f>
        <v>80.8421052631579</v>
      </c>
      <c r="G922" s="19" t="n">
        <f aca="false">'CEMIUP0.9 Raw'!G312</f>
        <v>1956.17431578947</v>
      </c>
      <c r="H922" s="18" t="str">
        <f aca="false">'CEMIUP0.9 Raw'!A312</f>
        <v>107 - Pharmacies</v>
      </c>
    </row>
    <row r="923" customFormat="false" ht="15" hidden="false" customHeight="false" outlineLevel="0" collapsed="false">
      <c r="A923" s="18" t="n">
        <f aca="false">'CEMIUP0.9 Raw'!B838</f>
        <v>4413371</v>
      </c>
      <c r="B923" s="18" t="str">
        <f aca="false">'CEMIUP0.9 Raw'!C838</f>
        <v>3675    מגן זרת מסיליקון</v>
      </c>
      <c r="C923" s="18" t="str">
        <f aca="false">'CEMIUP0.9 Raw'!C838</f>
        <v>3675    מגן זרת מסיליקון</v>
      </c>
      <c r="D923" s="19" t="n">
        <f aca="false">'CEMIUP0.9 Raw'!D838</f>
        <v>75</v>
      </c>
      <c r="E923" s="19" t="n">
        <f aca="false">'CEMIUP0.9 Raw'!E838</f>
        <v>1518</v>
      </c>
      <c r="F923" s="19" t="n">
        <f aca="false">'CEMIUP0.9 Raw'!F838</f>
        <v>80.8421052631579</v>
      </c>
      <c r="G923" s="19" t="n">
        <f aca="false">'CEMIUP0.9 Raw'!G838</f>
        <v>1541.85852631579</v>
      </c>
      <c r="H923" s="18" t="str">
        <f aca="false">'CEMIUP0.9 Raw'!A838</f>
        <v>113 - Kupat Holim Meuhedet</v>
      </c>
    </row>
    <row r="924" customFormat="false" ht="15" hidden="false" customHeight="false" outlineLevel="0" collapsed="false">
      <c r="A924" s="18" t="n">
        <f aca="false">'CEMIUP0.9 Raw'!B1125</f>
        <v>4413141</v>
      </c>
      <c r="B924" s="18" t="str">
        <f aca="false">'CEMIUP0.9 Raw'!C1125</f>
        <v>95 S מגן מרפק רגיל לבן</v>
      </c>
      <c r="C924" s="18" t="str">
        <f aca="false">'CEMIUP0.9 Raw'!C1125</f>
        <v>95 S מגן מרפק רגיל לבן</v>
      </c>
      <c r="D924" s="19" t="n">
        <f aca="false">'CEMIUP0.9 Raw'!D1125</f>
        <v>72</v>
      </c>
      <c r="E924" s="19" t="n">
        <f aca="false">'CEMIUP0.9 Raw'!E1125</f>
        <v>1818.817</v>
      </c>
      <c r="F924" s="19" t="n">
        <f aca="false">'CEMIUP0.9 Raw'!F1125</f>
        <v>80.8421052631579</v>
      </c>
      <c r="G924" s="19" t="n">
        <f aca="false">'CEMIUP0.9 Raw'!G1125</f>
        <v>2044.45389473684</v>
      </c>
      <c r="H924" s="18" t="str">
        <f aca="false">'CEMIUP0.9 Raw'!A1125</f>
        <v>BE (CEMI internal group)</v>
      </c>
    </row>
    <row r="925" customFormat="false" ht="15" hidden="false" customHeight="false" outlineLevel="0" collapsed="false">
      <c r="A925" s="18" t="n">
        <f aca="false">'CEMIUP0.9 Raw'!B1295</f>
        <v>4403024</v>
      </c>
      <c r="B925" s="18" t="str">
        <f aca="false">'CEMIUP0.9 Raw'!C1295</f>
        <v>394W 39-42 גרב.כסף לסכרתים לבן</v>
      </c>
      <c r="C925" s="18" t="str">
        <f aca="false">'CEMIUP0.9 Raw'!C1295</f>
        <v>394W 39-42 גרב.כסף לסכרתים לבן</v>
      </c>
      <c r="D925" s="19" t="n">
        <f aca="false">'CEMIUP0.9 Raw'!D1295</f>
        <v>78</v>
      </c>
      <c r="E925" s="19" t="n">
        <f aca="false">'CEMIUP0.9 Raw'!E1295</f>
        <v>1578.213</v>
      </c>
      <c r="F925" s="19" t="n">
        <f aca="false">'CEMIUP0.9 Raw'!F1295</f>
        <v>80.8421052631579</v>
      </c>
      <c r="G925" s="19" t="n">
        <f aca="false">'CEMIUP0.9 Raw'!G1295</f>
        <v>1664.32294736842</v>
      </c>
      <c r="H925" s="18" t="str">
        <f aca="false">'CEMIUP0.9 Raw'!A1295</f>
        <v>Super-Pharm Israel (CEMI internal group)</v>
      </c>
    </row>
    <row r="926" customFormat="false" ht="15" hidden="false" customHeight="false" outlineLevel="0" collapsed="false">
      <c r="A926" s="18" t="n">
        <f aca="false">'CEMIUP0.9 Raw'!B195</f>
        <v>4409014</v>
      </c>
      <c r="B926" s="18" t="str">
        <f aca="false">'CEMIUP0.9 Raw'!C195</f>
        <v>808KT-P        טייפ קינזיולוגי</v>
      </c>
      <c r="C926" s="18" t="str">
        <f aca="false">'CEMIUP0.9 Raw'!C195</f>
        <v>808KT-P        טייפ קינזיולוגי</v>
      </c>
      <c r="D926" s="19" t="n">
        <f aca="false">'CEMIUP0.9 Raw'!D195</f>
        <v>300</v>
      </c>
      <c r="E926" s="19" t="n">
        <f aca="false">'CEMIUP0.9 Raw'!E195</f>
        <v>8227.03</v>
      </c>
      <c r="F926" s="19" t="n">
        <f aca="false">'CEMIUP0.9 Raw'!F195</f>
        <v>79.5789473684211</v>
      </c>
      <c r="G926" s="19" t="n">
        <f aca="false">'CEMIUP0.9 Raw'!G195</f>
        <v>2759.88631578947</v>
      </c>
      <c r="H926" s="18" t="str">
        <f aca="false">'CEMIUP0.9 Raw'!A195</f>
        <v>107 - Pharmacies</v>
      </c>
    </row>
    <row r="927" customFormat="false" ht="15" hidden="false" customHeight="false" outlineLevel="0" collapsed="false">
      <c r="A927" s="18" t="n">
        <f aca="false">'CEMIUP0.9 Raw'!B488</f>
        <v>4415074</v>
      </c>
      <c r="B927" s="18" t="str">
        <f aca="false">'CEMIUP0.9 Raw'!C488</f>
        <v>T28AC S-M סד לאגודל</v>
      </c>
      <c r="C927" s="18" t="str">
        <f aca="false">'CEMIUP0.9 Raw'!C488</f>
        <v>T28AC S-M סד לאגודל</v>
      </c>
      <c r="D927" s="19" t="n">
        <f aca="false">'CEMIUP0.9 Raw'!D488</f>
        <v>88</v>
      </c>
      <c r="E927" s="19" t="n">
        <f aca="false">'CEMIUP0.9 Raw'!E488</f>
        <v>5389.748</v>
      </c>
      <c r="F927" s="19" t="n">
        <f aca="false">'CEMIUP0.9 Raw'!F488</f>
        <v>79.5789473684211</v>
      </c>
      <c r="G927" s="19" t="n">
        <f aca="false">'CEMIUP0.9 Raw'!G488</f>
        <v>4921.01178947368</v>
      </c>
      <c r="H927" s="18" t="str">
        <f aca="false">'CEMIUP0.9 Raw'!A488</f>
        <v>107 - Pharmacies</v>
      </c>
    </row>
    <row r="928" customFormat="false" ht="15" hidden="false" customHeight="false" outlineLevel="0" collapsed="false">
      <c r="A928" s="18" t="n">
        <f aca="false">'CEMIUP0.9 Raw'!B1061</f>
        <v>4413044</v>
      </c>
      <c r="B928" s="18" t="str">
        <f aca="false">'CEMIUP0.9 Raw'!C1061</f>
        <v>34 XL מגן קרסול עקב סגור</v>
      </c>
      <c r="C928" s="18" t="str">
        <f aca="false">'CEMIUP0.9 Raw'!C1061</f>
        <v>34 XL מגן קרסול עקב סגור</v>
      </c>
      <c r="D928" s="19" t="n">
        <f aca="false">'CEMIUP0.9 Raw'!D1061</f>
        <v>122</v>
      </c>
      <c r="E928" s="19" t="n">
        <f aca="false">'CEMIUP0.9 Raw'!E1061</f>
        <v>4498.949</v>
      </c>
      <c r="F928" s="19" t="n">
        <f aca="false">'CEMIUP0.9 Raw'!F1061</f>
        <v>79.5789473684211</v>
      </c>
      <c r="G928" s="19" t="n">
        <f aca="false">'CEMIUP0.9 Raw'!G1061</f>
        <v>2946.10105263158</v>
      </c>
      <c r="H928" s="18" t="str">
        <f aca="false">'CEMIUP0.9 Raw'!A1061</f>
        <v>BE (CEMI internal group)</v>
      </c>
    </row>
    <row r="929" customFormat="false" ht="15" hidden="false" customHeight="false" outlineLevel="0" collapsed="false">
      <c r="A929" s="18" t="n">
        <f aca="false">'SALES Raw'!G2596</f>
        <v>4415026</v>
      </c>
      <c r="B929" s="18" t="str">
        <f aca="false">'SALES Raw'!B2596</f>
        <v>AC27L 0</v>
      </c>
      <c r="C929" s="18" t="str">
        <f aca="false">'SALES Raw'!H2596</f>
        <v>AC-27L סד לש.כף יד שמאל</v>
      </c>
      <c r="D929" s="19" t="n">
        <f aca="false">'SALES Raw'!C2596</f>
        <v>38</v>
      </c>
      <c r="E929" s="19" t="n">
        <f aca="false">'SALES Raw'!D2596</f>
        <v>2834.69</v>
      </c>
      <c r="F929" s="19" t="n">
        <f aca="false">'SALES Raw'!E2596*$H$4</f>
        <v>79.5789473684211</v>
      </c>
      <c r="G929" s="19" t="n">
        <f aca="false">'SALES Raw'!F2596*$H$4</f>
        <v>6528.69473684211</v>
      </c>
      <c r="H929" s="18" t="str">
        <f aca="false">'SALES Raw'!A2596</f>
        <v>114 - IL online</v>
      </c>
    </row>
    <row r="930" customFormat="false" ht="15" hidden="false" customHeight="false" outlineLevel="0" collapsed="false">
      <c r="A930" s="18" t="n">
        <f aca="false">'SALES Raw'!G2644</f>
        <v>4408247</v>
      </c>
      <c r="B930" s="18" t="str">
        <f aca="false">'SALES Raw'!B2644</f>
        <v>SC25 S</v>
      </c>
      <c r="C930" s="18" t="str">
        <f aca="false">'SALES Raw'!H2644</f>
        <v>SC25  S חבק יד</v>
      </c>
      <c r="D930" s="19" t="n">
        <f aca="false">'SALES Raw'!C2644</f>
        <v>78</v>
      </c>
      <c r="E930" s="19" t="n">
        <f aca="false">'SALES Raw'!D2644</f>
        <v>10651.73</v>
      </c>
      <c r="F930" s="19" t="n">
        <f aca="false">'SALES Raw'!E2644*$H$4</f>
        <v>79.5789473684211</v>
      </c>
      <c r="G930" s="19" t="n">
        <f aca="false">'SALES Raw'!F2644*$H$4</f>
        <v>12205.7936842105</v>
      </c>
      <c r="H930" s="18" t="str">
        <f aca="false">'SALES Raw'!A2644</f>
        <v>114 - IL online</v>
      </c>
    </row>
    <row r="931" customFormat="false" ht="15" hidden="false" customHeight="false" outlineLevel="0" collapsed="false">
      <c r="A931" s="18" t="n">
        <f aca="false">'SALES Raw'!G530</f>
        <v>4408218</v>
      </c>
      <c r="B931" s="18" t="str">
        <f aca="false">'SALES Raw'!B530</f>
        <v>078 XL</v>
      </c>
      <c r="C931" s="18" t="str">
        <f aca="false">'SALES Raw'!H530</f>
        <v>078XL חגורת גב +סגירה כפולה</v>
      </c>
      <c r="D931" s="19" t="n">
        <f aca="false">'SALES Raw'!C530</f>
        <v>70</v>
      </c>
      <c r="E931" s="19" t="n">
        <f aca="false">'SALES Raw'!D530</f>
        <v>5925.2</v>
      </c>
      <c r="F931" s="19" t="n">
        <f aca="false">'SALES Raw'!E530*$H$4</f>
        <v>78.3157894736842</v>
      </c>
      <c r="G931" s="19" t="n">
        <f aca="false">'SALES Raw'!F530*$H$4</f>
        <v>7048.43368421053</v>
      </c>
      <c r="H931" s="18" t="str">
        <f aca="false">'SALES Raw'!A530</f>
        <v>102 - Orthopedic institutes</v>
      </c>
    </row>
    <row r="932" customFormat="false" ht="15" hidden="false" customHeight="false" outlineLevel="0" collapsed="false">
      <c r="A932" s="18" t="n">
        <f aca="false">'CEMIUP0.9 Raw'!B25</f>
        <v>4403018</v>
      </c>
      <c r="B932" s="18" t="str">
        <f aca="false">'CEMIUP0.9 Raw'!C25</f>
        <v>394B גרב.כסף לסכרתים שחור39-42</v>
      </c>
      <c r="C932" s="18" t="str">
        <f aca="false">'CEMIUP0.9 Raw'!C25</f>
        <v>394B גרב.כסף לסכרתים שחור39-42</v>
      </c>
      <c r="D932" s="19" t="n">
        <f aca="false">'CEMIUP0.9 Raw'!D25</f>
        <v>142</v>
      </c>
      <c r="E932" s="19" t="n">
        <f aca="false">'CEMIUP0.9 Raw'!E25</f>
        <v>3264.411</v>
      </c>
      <c r="F932" s="19" t="n">
        <f aca="false">'CEMIUP0.9 Raw'!F25</f>
        <v>78.3157894736842</v>
      </c>
      <c r="G932" s="19" t="n">
        <f aca="false">'CEMIUP0.9 Raw'!G25</f>
        <v>1849.45389473684</v>
      </c>
      <c r="H932" s="18" t="str">
        <f aca="false">'CEMIUP0.9 Raw'!A25</f>
        <v>107 - Pharmacies</v>
      </c>
    </row>
    <row r="933" customFormat="false" ht="15" hidden="false" customHeight="false" outlineLevel="0" collapsed="false">
      <c r="A933" s="18" t="n">
        <f aca="false">'CEMIUP0.9 Raw'!B228</f>
        <v>4413034</v>
      </c>
      <c r="B933" s="18" t="str">
        <f aca="false">'CEMIUP0.9 Raw'!C228</f>
        <v>312 9 מ""ס להתאמהX5 מדבקה גדולה</v>
      </c>
      <c r="C933" s="18" t="str">
        <f aca="false">'CEMIUP0.9 Raw'!C228</f>
        <v>312 9 מ""ס להתאמהX5 מדבקה גדולה</v>
      </c>
      <c r="D933" s="19" t="n">
        <f aca="false">'CEMIUP0.9 Raw'!D228</f>
        <v>122</v>
      </c>
      <c r="E933" s="19" t="n">
        <f aca="false">'CEMIUP0.9 Raw'!E228</f>
        <v>2338.64</v>
      </c>
      <c r="F933" s="19" t="n">
        <f aca="false">'CEMIUP0.9 Raw'!F228</f>
        <v>78.3157894736842</v>
      </c>
      <c r="G933" s="19" t="n">
        <f aca="false">'CEMIUP0.9 Raw'!G228</f>
        <v>1470.49010526316</v>
      </c>
      <c r="H933" s="18" t="str">
        <f aca="false">'CEMIUP0.9 Raw'!A228</f>
        <v>107 - Pharmacies</v>
      </c>
    </row>
    <row r="934" customFormat="false" ht="15" hidden="false" customHeight="false" outlineLevel="0" collapsed="false">
      <c r="A934" s="18" t="n">
        <f aca="false">'CEMIUP0.9 Raw'!B465</f>
        <v>4415000</v>
      </c>
      <c r="B934" s="18" t="str">
        <f aca="false">'CEMIUP0.9 Raw'!C465</f>
        <v>26 L סד ליד דו צדדי לאחר שבר</v>
      </c>
      <c r="C934" s="18" t="str">
        <f aca="false">'CEMIUP0.9 Raw'!C465</f>
        <v>26 L סד ליד דו צדדי לאחר שבר</v>
      </c>
      <c r="D934" s="19" t="n">
        <f aca="false">'CEMIUP0.9 Raw'!D465</f>
        <v>106</v>
      </c>
      <c r="E934" s="19" t="n">
        <f aca="false">'CEMIUP0.9 Raw'!E465</f>
        <v>9478.014</v>
      </c>
      <c r="F934" s="19" t="n">
        <f aca="false">'CEMIUP0.9 Raw'!F465</f>
        <v>78.3157894736842</v>
      </c>
      <c r="G934" s="19" t="n">
        <f aca="false">'CEMIUP0.9 Raw'!G465</f>
        <v>7065.9612631579</v>
      </c>
      <c r="H934" s="18" t="str">
        <f aca="false">'CEMIUP0.9 Raw'!A465</f>
        <v>107 - Pharmacies</v>
      </c>
    </row>
    <row r="935" customFormat="false" ht="15" hidden="false" customHeight="false" outlineLevel="0" collapsed="false">
      <c r="A935" s="18" t="n">
        <f aca="false">'CEMIUP0.9 Raw'!B524</f>
        <v>4418001</v>
      </c>
      <c r="B935" s="18" t="str">
        <f aca="false">'CEMIUP0.9 Raw'!C524</f>
        <v>60 M צוארון ספוגי</v>
      </c>
      <c r="C935" s="18" t="str">
        <f aca="false">'CEMIUP0.9 Raw'!C524</f>
        <v>60 M צוארון ספוגי</v>
      </c>
      <c r="D935" s="19" t="n">
        <f aca="false">'CEMIUP0.9 Raw'!D524</f>
        <v>159</v>
      </c>
      <c r="E935" s="19" t="n">
        <f aca="false">'CEMIUP0.9 Raw'!E524</f>
        <v>7100.598</v>
      </c>
      <c r="F935" s="19" t="n">
        <f aca="false">'CEMIUP0.9 Raw'!F524</f>
        <v>78.3157894736842</v>
      </c>
      <c r="G935" s="19" t="n">
        <f aca="false">'CEMIUP0.9 Raw'!G524</f>
        <v>3492.90821052632</v>
      </c>
      <c r="H935" s="18" t="str">
        <f aca="false">'CEMIUP0.9 Raw'!A524</f>
        <v>107 - Pharmacies</v>
      </c>
    </row>
    <row r="936" customFormat="false" ht="15" hidden="false" customHeight="false" outlineLevel="0" collapsed="false">
      <c r="A936" s="18" t="n">
        <f aca="false">'CEMIUP0.9 Raw'!B725</f>
        <v>4408190</v>
      </c>
      <c r="B936" s="18" t="str">
        <f aca="false">'CEMIUP0.9 Raw'!C725</f>
        <v>M078 חגורת גב +סגירה כפולה</v>
      </c>
      <c r="C936" s="18" t="str">
        <f aca="false">'CEMIUP0.9 Raw'!C725</f>
        <v>M078 חגורת גב +סגירה כפולה</v>
      </c>
      <c r="D936" s="19" t="n">
        <f aca="false">'CEMIUP0.9 Raw'!D725</f>
        <v>59</v>
      </c>
      <c r="E936" s="19" t="n">
        <f aca="false">'CEMIUP0.9 Raw'!E725</f>
        <v>3835</v>
      </c>
      <c r="F936" s="19" t="n">
        <f aca="false">'CEMIUP0.9 Raw'!F725</f>
        <v>78.3157894736842</v>
      </c>
      <c r="G936" s="19" t="n">
        <f aca="false">'CEMIUP0.9 Raw'!G725</f>
        <v>4738.55747368421</v>
      </c>
      <c r="H936" s="18" t="str">
        <f aca="false">'CEMIUP0.9 Raw'!A725</f>
        <v>113 - Kupat Holim Meuhedet</v>
      </c>
    </row>
    <row r="937" customFormat="false" ht="15" hidden="false" customHeight="false" outlineLevel="0" collapsed="false">
      <c r="A937" s="18" t="n">
        <f aca="false">'CEMIUP0.9 Raw'!B973</f>
        <v>4408048</v>
      </c>
      <c r="B937" s="18" t="str">
        <f aca="false">'CEMIUP0.9 Raw'!C973</f>
        <v>20 S חבק יד מתכוון עם צמדן</v>
      </c>
      <c r="C937" s="18" t="str">
        <f aca="false">'CEMIUP0.9 Raw'!C973</f>
        <v>20 S חבק יד מתכוון עם צמדן</v>
      </c>
      <c r="D937" s="19" t="n">
        <f aca="false">'CEMIUP0.9 Raw'!D973</f>
        <v>98</v>
      </c>
      <c r="E937" s="19" t="n">
        <f aca="false">'CEMIUP0.9 Raw'!E973</f>
        <v>2420.145</v>
      </c>
      <c r="F937" s="19" t="n">
        <f aca="false">'CEMIUP0.9 Raw'!F973</f>
        <v>78.3157894736842</v>
      </c>
      <c r="G937" s="19" t="n">
        <f aca="false">'CEMIUP0.9 Raw'!G973</f>
        <v>1935.82863157895</v>
      </c>
      <c r="H937" s="18" t="str">
        <f aca="false">'CEMIUP0.9 Raw'!A973</f>
        <v>BE (CEMI internal group)</v>
      </c>
    </row>
    <row r="938" customFormat="false" ht="15" hidden="false" customHeight="false" outlineLevel="0" collapsed="false">
      <c r="A938" s="18" t="n">
        <f aca="false">'CEMIUP0.9 Raw'!B1300</f>
        <v>4403040</v>
      </c>
      <c r="B938" s="18" t="str">
        <f aca="false">'CEMIUP0.9 Raw'!C1300</f>
        <v>3444B גרבי ג'ל לריכוך עור העקב</v>
      </c>
      <c r="C938" s="18" t="str">
        <f aca="false">'CEMIUP0.9 Raw'!C1300</f>
        <v>3444B גרבי ג'ל לריכוך עור העקב</v>
      </c>
      <c r="D938" s="19" t="n">
        <f aca="false">'CEMIUP0.9 Raw'!D1300</f>
        <v>111</v>
      </c>
      <c r="E938" s="19" t="n">
        <f aca="false">'CEMIUP0.9 Raw'!E1300</f>
        <v>3080.077</v>
      </c>
      <c r="F938" s="19" t="n">
        <f aca="false">'CEMIUP0.9 Raw'!F1300</f>
        <v>78.3157894736842</v>
      </c>
      <c r="G938" s="19" t="n">
        <f aca="false">'CEMIUP0.9 Raw'!G1300</f>
        <v>2284.00421052632</v>
      </c>
      <c r="H938" s="18" t="str">
        <f aca="false">'CEMIUP0.9 Raw'!A1300</f>
        <v>Super-Pharm Israel (CEMI internal group)</v>
      </c>
    </row>
    <row r="939" customFormat="false" ht="15" hidden="false" customHeight="false" outlineLevel="0" collapsed="false">
      <c r="A939" s="18" t="n">
        <f aca="false">'CEMIUP0.9 Raw'!B107</f>
        <v>4408094</v>
      </c>
      <c r="B939" s="18" t="str">
        <f aca="false">'CEMIUP0.9 Raw'!C107</f>
        <v>T20 S-M חבק יד עם צמדן</v>
      </c>
      <c r="C939" s="18" t="str">
        <f aca="false">'CEMIUP0.9 Raw'!C107</f>
        <v>T20 S-M חבק יד עם צמדן</v>
      </c>
      <c r="D939" s="19" t="n">
        <f aca="false">'CEMIUP0.9 Raw'!D107</f>
        <v>106</v>
      </c>
      <c r="E939" s="19" t="n">
        <f aca="false">'CEMIUP0.9 Raw'!E107</f>
        <v>3382.743</v>
      </c>
      <c r="F939" s="19" t="n">
        <f aca="false">'CEMIUP0.9 Raw'!F107</f>
        <v>77.0526315789474</v>
      </c>
      <c r="G939" s="19" t="n">
        <f aca="false">'CEMIUP0.9 Raw'!G107</f>
        <v>2453.43663157895</v>
      </c>
      <c r="H939" s="18" t="str">
        <f aca="false">'CEMIUP0.9 Raw'!A107</f>
        <v>107 - Pharmacies</v>
      </c>
    </row>
    <row r="940" customFormat="false" ht="15" hidden="false" customHeight="false" outlineLevel="0" collapsed="false">
      <c r="A940" s="18" t="n">
        <f aca="false">'CEMIUP0.9 Raw'!B108</f>
        <v>4408095</v>
      </c>
      <c r="B940" s="18" t="str">
        <f aca="false">'CEMIUP0.9 Raw'!C108</f>
        <v>T20 L-XL  חבק יד עם צמדן</v>
      </c>
      <c r="C940" s="18" t="str">
        <f aca="false">'CEMIUP0.9 Raw'!C108</f>
        <v>T20 L-XL  חבק יד עם צמדן</v>
      </c>
      <c r="D940" s="19" t="n">
        <f aca="false">'CEMIUP0.9 Raw'!D108</f>
        <v>49</v>
      </c>
      <c r="E940" s="19" t="n">
        <f aca="false">'CEMIUP0.9 Raw'!E108</f>
        <v>1563.016</v>
      </c>
      <c r="F940" s="19" t="n">
        <f aca="false">'CEMIUP0.9 Raw'!F108</f>
        <v>77.0526315789474</v>
      </c>
      <c r="G940" s="19" t="n">
        <f aca="false">'CEMIUP0.9 Raw'!G108</f>
        <v>2455.73557894737</v>
      </c>
      <c r="H940" s="18" t="str">
        <f aca="false">'CEMIUP0.9 Raw'!A108</f>
        <v>107 - Pharmacies</v>
      </c>
    </row>
    <row r="941" customFormat="false" ht="15" hidden="false" customHeight="false" outlineLevel="0" collapsed="false">
      <c r="A941" s="18" t="n">
        <f aca="false">'CEMIUP0.9 Raw'!B392</f>
        <v>4413371</v>
      </c>
      <c r="B941" s="18" t="str">
        <f aca="false">'CEMIUP0.9 Raw'!C392</f>
        <v>3675    מגן זרת מסיליקון</v>
      </c>
      <c r="C941" s="18" t="str">
        <f aca="false">'CEMIUP0.9 Raw'!C392</f>
        <v>3675    מגן זרת מסיליקון</v>
      </c>
      <c r="D941" s="19" t="n">
        <f aca="false">'CEMIUP0.9 Raw'!D392</f>
        <v>75</v>
      </c>
      <c r="E941" s="19" t="n">
        <f aca="false">'CEMIUP0.9 Raw'!E392</f>
        <v>2048.736</v>
      </c>
      <c r="F941" s="19" t="n">
        <f aca="false">'CEMIUP0.9 Raw'!F392</f>
        <v>77.0526315789474</v>
      </c>
      <c r="G941" s="19" t="n">
        <f aca="false">'CEMIUP0.9 Raw'!G392</f>
        <v>2043.41936842105</v>
      </c>
      <c r="H941" s="18" t="str">
        <f aca="false">'CEMIUP0.9 Raw'!A392</f>
        <v>107 - Pharmacies</v>
      </c>
    </row>
    <row r="942" customFormat="false" ht="15" hidden="false" customHeight="false" outlineLevel="0" collapsed="false">
      <c r="A942" s="18" t="n">
        <f aca="false">'CEMIUP0.9 Raw'!B754</f>
        <v>4409014</v>
      </c>
      <c r="B942" s="18" t="str">
        <f aca="false">'CEMIUP0.9 Raw'!C754</f>
        <v>808KT-P        טייפ קינזיולוגי</v>
      </c>
      <c r="C942" s="18" t="str">
        <f aca="false">'CEMIUP0.9 Raw'!C754</f>
        <v>808KT-P        טייפ קינזיולוגי</v>
      </c>
      <c r="D942" s="19" t="n">
        <f aca="false">'CEMIUP0.9 Raw'!D754</f>
        <v>92</v>
      </c>
      <c r="E942" s="19" t="n">
        <f aca="false">'CEMIUP0.9 Raw'!E754</f>
        <v>2300</v>
      </c>
      <c r="F942" s="19" t="n">
        <f aca="false">'CEMIUP0.9 Raw'!F754</f>
        <v>77.0526315789474</v>
      </c>
      <c r="G942" s="19" t="n">
        <f aca="false">'CEMIUP0.9 Raw'!G754</f>
        <v>1838.21052631579</v>
      </c>
      <c r="H942" s="18" t="str">
        <f aca="false">'CEMIUP0.9 Raw'!A754</f>
        <v>113 - Kupat Holim Meuhedet</v>
      </c>
    </row>
    <row r="943" customFormat="false" ht="15" hidden="false" customHeight="false" outlineLevel="0" collapsed="false">
      <c r="A943" s="18" t="n">
        <f aca="false">'CEMIUP0.9 Raw'!B821</f>
        <v>4413160</v>
      </c>
      <c r="B943" s="18" t="str">
        <f aca="false">'CEMIUP0.9 Raw'!C821</f>
        <v>34+ M מגן קרסול עקב סגור+רצוע</v>
      </c>
      <c r="C943" s="18" t="str">
        <f aca="false">'CEMIUP0.9 Raw'!C821</f>
        <v>34+ M מגן קרסול עקב סגור+רצוע</v>
      </c>
      <c r="D943" s="19" t="n">
        <f aca="false">'CEMIUP0.9 Raw'!D821</f>
        <v>132</v>
      </c>
      <c r="E943" s="19" t="n">
        <f aca="false">'CEMIUP0.9 Raw'!E821</f>
        <v>5566.44</v>
      </c>
      <c r="F943" s="19" t="n">
        <f aca="false">'CEMIUP0.9 Raw'!F821</f>
        <v>77.0526315789474</v>
      </c>
      <c r="G943" s="19" t="n">
        <f aca="false">'CEMIUP0.9 Raw'!G821</f>
        <v>2897.74484210526</v>
      </c>
      <c r="H943" s="18" t="str">
        <f aca="false">'CEMIUP0.9 Raw'!A821</f>
        <v>113 - Kupat Holim Meuhedet</v>
      </c>
    </row>
    <row r="944" customFormat="false" ht="15" hidden="false" customHeight="false" outlineLevel="0" collapsed="false">
      <c r="A944" s="18" t="n">
        <f aca="false">'CEMIUP0.9 Raw'!B1044</f>
        <v>4411016</v>
      </c>
      <c r="B944" s="18" t="str">
        <f aca="false">'CEMIUP0.9 Raw'!C1044</f>
        <v>307 XL כרית סיליקון לעקב</v>
      </c>
      <c r="C944" s="18" t="str">
        <f aca="false">'CEMIUP0.9 Raw'!C1044</f>
        <v>307 XL כרית סיליקון לעקב</v>
      </c>
      <c r="D944" s="19" t="n">
        <f aca="false">'CEMIUP0.9 Raw'!D1044</f>
        <v>84</v>
      </c>
      <c r="E944" s="19" t="n">
        <f aca="false">'CEMIUP0.9 Raw'!E1044</f>
        <v>6652.555</v>
      </c>
      <c r="F944" s="19" t="n">
        <f aca="false">'CEMIUP0.9 Raw'!F1044</f>
        <v>77.0526315789474</v>
      </c>
      <c r="G944" s="19" t="n">
        <f aca="false">'CEMIUP0.9 Raw'!G1044</f>
        <v>6131.86736842105</v>
      </c>
      <c r="H944" s="18" t="str">
        <f aca="false">'CEMIUP0.9 Raw'!A1044</f>
        <v>BE (CEMI internal group)</v>
      </c>
    </row>
    <row r="945" customFormat="false" ht="15" hidden="false" customHeight="false" outlineLevel="0" collapsed="false">
      <c r="A945" s="18" t="n">
        <f aca="false">'CEMIUP0.9 Raw'!B1212</f>
        <v>4415007</v>
      </c>
      <c r="B945" s="18" t="str">
        <f aca="false">'CEMIUP0.9 Raw'!C1212</f>
        <v>28 S סד לאגודל לאחר שבר</v>
      </c>
      <c r="C945" s="18" t="str">
        <f aca="false">'CEMIUP0.9 Raw'!C1212</f>
        <v>28 S סד לאגודל לאחר שבר</v>
      </c>
      <c r="D945" s="19" t="n">
        <f aca="false">'CEMIUP0.9 Raw'!D1212</f>
        <v>80</v>
      </c>
      <c r="E945" s="19" t="n">
        <f aca="false">'CEMIUP0.9 Raw'!E1212</f>
        <v>6386.562</v>
      </c>
      <c r="F945" s="19" t="n">
        <f aca="false">'CEMIUP0.9 Raw'!F1212</f>
        <v>77.0526315789474</v>
      </c>
      <c r="G945" s="19" t="n">
        <f aca="false">'CEMIUP0.9 Raw'!G1212</f>
        <v>6184.39831578947</v>
      </c>
      <c r="H945" s="18" t="str">
        <f aca="false">'CEMIUP0.9 Raw'!A1212</f>
        <v>BE (CEMI internal group)</v>
      </c>
    </row>
    <row r="946" customFormat="false" ht="15" hidden="false" customHeight="false" outlineLevel="0" collapsed="false">
      <c r="A946" s="18" t="n">
        <f aca="false">'SALES Raw'!G2516</f>
        <v>4409010</v>
      </c>
      <c r="B946" s="18" t="str">
        <f aca="false">'SALES Raw'!B2516</f>
        <v>804AT-W</v>
      </c>
      <c r="C946" s="18" t="str">
        <f aca="false">'SALES Raw'!H2516</f>
        <v>804AT-W      טייפ חבישה לספורט</v>
      </c>
      <c r="D946" s="19" t="n">
        <f aca="false">'SALES Raw'!C2516</f>
        <v>21</v>
      </c>
      <c r="E946" s="19" t="n">
        <f aca="false">'SALES Raw'!D2516</f>
        <v>559.46</v>
      </c>
      <c r="F946" s="19" t="n">
        <f aca="false">'SALES Raw'!E2516*$H$4</f>
        <v>77.0526315789474</v>
      </c>
      <c r="G946" s="19" t="n">
        <f aca="false">'SALES Raw'!F2516*$H$4</f>
        <v>2044.29473684211</v>
      </c>
      <c r="H946" s="18" t="str">
        <f aca="false">'SALES Raw'!A2516</f>
        <v>114 - IL online</v>
      </c>
    </row>
    <row r="947" customFormat="false" ht="15" hidden="false" customHeight="false" outlineLevel="0" collapsed="false">
      <c r="A947" s="18" t="str">
        <f aca="false">'SALES Raw'!G4402</f>
        <v/>
      </c>
      <c r="B947" s="18" t="str">
        <f aca="false">'SALES Raw'!B4402</f>
        <v>EC-11STO XXL</v>
      </c>
      <c r="C947" s="18" t="str">
        <f aca="false">'SALES Raw'!H4402</f>
        <v>EC-11STO XXL</v>
      </c>
      <c r="D947" s="19" t="n">
        <f aca="false">'SALES Raw'!C4402</f>
        <v>224</v>
      </c>
      <c r="E947" s="19" t="n">
        <f aca="false">'SALES Raw'!D4402</f>
        <v>30949.19</v>
      </c>
      <c r="F947" s="19" t="n">
        <f aca="false">'SALES Raw'!E4402*$H$4</f>
        <v>77.0526315789474</v>
      </c>
      <c r="G947" s="19" t="n">
        <f aca="false">'SALES Raw'!F4402*$H$4</f>
        <v>10383.3347368421</v>
      </c>
      <c r="H947" s="18" t="str">
        <f aca="false">'SALES Raw'!A4402</f>
        <v>301 - Amazon</v>
      </c>
    </row>
    <row r="948" customFormat="false" ht="15" hidden="false" customHeight="false" outlineLevel="0" collapsed="false">
      <c r="A948" s="18" t="n">
        <f aca="false">'SALES Raw'!G2865</f>
        <v>4403041</v>
      </c>
      <c r="B948" s="18" t="str">
        <f aca="false">'SALES Raw'!B2865</f>
        <v>397A-35-38</v>
      </c>
      <c r="C948" s="18" t="str">
        <f aca="false">'SALES Raw'!H2865</f>
        <v>397A-גרבי טיסה אנטי בקטרי35-38</v>
      </c>
      <c r="D948" s="19" t="n">
        <f aca="false">'SALES Raw'!C2865</f>
        <v>0</v>
      </c>
      <c r="E948" s="19" t="n">
        <f aca="false">'SALES Raw'!D2865</f>
        <v>0</v>
      </c>
      <c r="F948" s="19" t="n">
        <f aca="false">'SALES Raw'!E2865*$H$4</f>
        <v>75.7894736842105</v>
      </c>
      <c r="G948" s="19" t="n">
        <f aca="false">'SALES Raw'!F2865*$H$4</f>
        <v>2168.08421052632</v>
      </c>
      <c r="H948" s="18" t="str">
        <f aca="false">'SALES Raw'!A2865</f>
        <v>201- Seven Gear FINLAND oy</v>
      </c>
    </row>
    <row r="949" customFormat="false" ht="15" hidden="false" customHeight="false" outlineLevel="0" collapsed="false">
      <c r="A949" s="18" t="n">
        <f aca="false">'SALES Raw'!G2909</f>
        <v>4408048</v>
      </c>
      <c r="B949" s="18" t="str">
        <f aca="false">'SALES Raw'!B2909</f>
        <v>20 S</v>
      </c>
      <c r="C949" s="18" t="str">
        <f aca="false">'SALES Raw'!H2909</f>
        <v>20 S חבק יד מתכוון עם צמדן</v>
      </c>
      <c r="D949" s="19" t="n">
        <f aca="false">'SALES Raw'!C2909</f>
        <v>150</v>
      </c>
      <c r="E949" s="19" t="n">
        <f aca="false">'SALES Raw'!D2909</f>
        <v>3032.25</v>
      </c>
      <c r="F949" s="19" t="n">
        <f aca="false">'SALES Raw'!E2909*$H$4</f>
        <v>75.7894736842105</v>
      </c>
      <c r="G949" s="19" t="n">
        <f aca="false">'SALES Raw'!F2909*$H$4</f>
        <v>1372.78736842105</v>
      </c>
      <c r="H949" s="18" t="str">
        <f aca="false">'SALES Raw'!A2909</f>
        <v>202 - Super-Pharm POLAND</v>
      </c>
    </row>
    <row r="950" customFormat="false" ht="15" hidden="false" customHeight="false" outlineLevel="0" collapsed="false">
      <c r="A950" s="18" t="n">
        <f aca="false">'SALES Raw'!G2918</f>
        <v>4416002</v>
      </c>
      <c r="B950" s="18" t="str">
        <f aca="false">'SALES Raw'!B2918</f>
        <v>307 S</v>
      </c>
      <c r="C950" s="18" t="str">
        <f aca="false">'SALES Raw'!H2918</f>
        <v>307 S עקבים לדורבן-זוג כריות</v>
      </c>
      <c r="D950" s="19" t="n">
        <f aca="false">'SALES Raw'!C2918</f>
        <v>110</v>
      </c>
      <c r="E950" s="19" t="n">
        <f aca="false">'SALES Raw'!D2918</f>
        <v>4372.45</v>
      </c>
      <c r="F950" s="19" t="n">
        <f aca="false">'SALES Raw'!E2918*$H$4</f>
        <v>75.7894736842105</v>
      </c>
      <c r="G950" s="19" t="n">
        <f aca="false">'SALES Raw'!F2918*$H$4</f>
        <v>2688.50526315789</v>
      </c>
      <c r="H950" s="18" t="str">
        <f aca="false">'SALES Raw'!A2918</f>
        <v>202 - Super-Pharm POLAND</v>
      </c>
    </row>
    <row r="951" customFormat="false" ht="15" hidden="false" customHeight="false" outlineLevel="0" collapsed="false">
      <c r="A951" s="18" t="n">
        <f aca="false">'SALES Raw'!G2921</f>
        <v>4413049</v>
      </c>
      <c r="B951" s="18" t="str">
        <f aca="false">'SALES Raw'!B2921</f>
        <v>35 M</v>
      </c>
      <c r="C951" s="18" t="str">
        <f aca="false">'SALES Raw'!H2921</f>
        <v>35 M מגן קרסול לבן</v>
      </c>
      <c r="D951" s="19" t="n">
        <f aca="false">'SALES Raw'!C2921</f>
        <v>130</v>
      </c>
      <c r="E951" s="19" t="n">
        <f aca="false">'SALES Raw'!D2921</f>
        <v>1745.61</v>
      </c>
      <c r="F951" s="19" t="n">
        <f aca="false">'SALES Raw'!E2921*$H$4</f>
        <v>75.7894736842105</v>
      </c>
      <c r="G951" s="19" t="n">
        <f aca="false">'SALES Raw'!F2921*$H$4</f>
        <v>895.818947368421</v>
      </c>
      <c r="H951" s="18" t="str">
        <f aca="false">'SALES Raw'!A2921</f>
        <v>202 - Super-Pharm POLAND</v>
      </c>
    </row>
    <row r="952" customFormat="false" ht="15" hidden="false" customHeight="false" outlineLevel="0" collapsed="false">
      <c r="A952" s="18" t="n">
        <f aca="false">'SALES Raw'!G2931</f>
        <v>4413055</v>
      </c>
      <c r="B952" s="18" t="str">
        <f aca="false">'SALES Raw'!B2931</f>
        <v>35C XL</v>
      </c>
      <c r="C952" s="18" t="str">
        <f aca="false">'SALES Raw'!H2931</f>
        <v>35C XL מגן קרסול חום</v>
      </c>
      <c r="D952" s="19" t="n">
        <f aca="false">'SALES Raw'!C2931</f>
        <v>110</v>
      </c>
      <c r="E952" s="19" t="n">
        <f aca="false">'SALES Raw'!D2931</f>
        <v>1506.19</v>
      </c>
      <c r="F952" s="19" t="n">
        <f aca="false">'SALES Raw'!E2931*$H$4</f>
        <v>75.7894736842105</v>
      </c>
      <c r="G952" s="19" t="n">
        <f aca="false">'SALES Raw'!F2931*$H$4</f>
        <v>958.534736842105</v>
      </c>
      <c r="H952" s="18" t="str">
        <f aca="false">'SALES Raw'!A2931</f>
        <v>202 - Super-Pharm POLAND</v>
      </c>
    </row>
    <row r="953" customFormat="false" ht="15" hidden="false" customHeight="false" outlineLevel="0" collapsed="false">
      <c r="A953" s="18" t="n">
        <f aca="false">'SALES Raw'!G2951</f>
        <v>4420032</v>
      </c>
      <c r="B953" s="18" t="str">
        <f aca="false">'SALES Raw'!B2951</f>
        <v>376-46-47</v>
      </c>
      <c r="C953" s="18" t="str">
        <f aca="false">'SALES Raw'!H2951</f>
        <v>46-47 רפידת ספורט 376 מידה</v>
      </c>
      <c r="D953" s="19" t="n">
        <f aca="false">'SALES Raw'!C2951</f>
        <v>210</v>
      </c>
      <c r="E953" s="19" t="n">
        <f aca="false">'SALES Raw'!D2951</f>
        <v>4085.1</v>
      </c>
      <c r="F953" s="19" t="n">
        <f aca="false">'SALES Raw'!E2951*$H$4</f>
        <v>75.7894736842105</v>
      </c>
      <c r="G953" s="19" t="n">
        <f aca="false">'SALES Raw'!F2951*$H$4</f>
        <v>1332.24</v>
      </c>
      <c r="H953" s="18" t="str">
        <f aca="false">'SALES Raw'!A2951</f>
        <v>202 - Super-Pharm POLAND</v>
      </c>
    </row>
    <row r="954" customFormat="false" ht="15" hidden="false" customHeight="false" outlineLevel="0" collapsed="false">
      <c r="A954" s="18" t="n">
        <f aca="false">'SALES Raw'!G2997</f>
        <v>4413502</v>
      </c>
      <c r="B954" s="18" t="str">
        <f aca="false">'SALES Raw'!B2997</f>
        <v>95B S</v>
      </c>
      <c r="C954" s="18" t="str">
        <f aca="false">'SALES Raw'!H2997</f>
        <v>95B S מגן מרפק שחור</v>
      </c>
      <c r="D954" s="19" t="n">
        <f aca="false">'SALES Raw'!C2997</f>
        <v>220</v>
      </c>
      <c r="E954" s="19" t="n">
        <f aca="false">'SALES Raw'!D2997</f>
        <v>3151.31</v>
      </c>
      <c r="F954" s="19" t="n">
        <f aca="false">'SALES Raw'!E2997*$H$4</f>
        <v>75.7894736842105</v>
      </c>
      <c r="G954" s="19" t="n">
        <f aca="false">'SALES Raw'!F2997*$H$4</f>
        <v>967.490526315789</v>
      </c>
      <c r="H954" s="18" t="str">
        <f aca="false">'SALES Raw'!A2997</f>
        <v>202 - Super-Pharm POLAND</v>
      </c>
    </row>
    <row r="955" customFormat="false" ht="15" hidden="false" customHeight="false" outlineLevel="0" collapsed="false">
      <c r="A955" s="18" t="n">
        <f aca="false">'SALES Raw'!G3180</f>
        <v>4415007</v>
      </c>
      <c r="B955" s="18" t="str">
        <f aca="false">'SALES Raw'!B3180</f>
        <v>28 S</v>
      </c>
      <c r="C955" s="18" t="str">
        <f aca="false">'SALES Raw'!H3180</f>
        <v>28 S סד לאגודל לאחר שבר</v>
      </c>
      <c r="D955" s="19" t="n">
        <f aca="false">'SALES Raw'!C3180</f>
        <v>27</v>
      </c>
      <c r="E955" s="19" t="n">
        <f aca="false">'SALES Raw'!D3180</f>
        <v>967.81</v>
      </c>
      <c r="F955" s="19" t="n">
        <f aca="false">'SALES Raw'!E3180*$H$4</f>
        <v>75.7894736842105</v>
      </c>
      <c r="G955" s="19" t="n">
        <f aca="false">'SALES Raw'!F3180*$H$4</f>
        <v>2465.15368421053</v>
      </c>
      <c r="H955" s="18" t="str">
        <f aca="false">'SALES Raw'!A3180</f>
        <v>204 - Sanaflex Anatomic GREECE</v>
      </c>
    </row>
    <row r="956" customFormat="false" ht="15" hidden="false" customHeight="false" outlineLevel="0" collapsed="false">
      <c r="A956" s="18" t="n">
        <f aca="false">'SALES Raw'!G3214</f>
        <v>4413052</v>
      </c>
      <c r="B956" s="18" t="str">
        <f aca="false">'SALES Raw'!B3214</f>
        <v>35C S</v>
      </c>
      <c r="C956" s="18" t="str">
        <f aca="false">'SALES Raw'!H3214</f>
        <v>35C S מגן קרסול חום</v>
      </c>
      <c r="D956" s="19" t="n">
        <f aca="false">'SALES Raw'!C3214</f>
        <v>35</v>
      </c>
      <c r="E956" s="19" t="n">
        <f aca="false">'SALES Raw'!D3214</f>
        <v>352.64</v>
      </c>
      <c r="F956" s="19" t="n">
        <f aca="false">'SALES Raw'!E3214*$H$4</f>
        <v>75.7894736842105</v>
      </c>
      <c r="G956" s="19" t="n">
        <f aca="false">'SALES Raw'!F3214*$H$4</f>
        <v>704.109473684211</v>
      </c>
      <c r="H956" s="18" t="str">
        <f aca="false">'SALES Raw'!A3214</f>
        <v>204 - Sanaflex Anatomic GREECE</v>
      </c>
    </row>
    <row r="957" customFormat="false" ht="15" hidden="false" customHeight="false" outlineLevel="0" collapsed="false">
      <c r="A957" s="18" t="str">
        <f aca="false">'SALES Raw'!G3234</f>
        <v/>
      </c>
      <c r="B957" s="18" t="str">
        <f aca="false">'SALES Raw'!B3234</f>
        <v>376-35-37</v>
      </c>
      <c r="C957" s="18" t="str">
        <f aca="false">'SALES Raw'!H3234</f>
        <v>376-35-37</v>
      </c>
      <c r="D957" s="19" t="n">
        <f aca="false">'SALES Raw'!C3234</f>
        <v>72</v>
      </c>
      <c r="E957" s="19" t="n">
        <f aca="false">'SALES Raw'!D3234</f>
        <v>1049.25</v>
      </c>
      <c r="F957" s="19" t="n">
        <f aca="false">'SALES Raw'!E3234*$H$4</f>
        <v>75.7894736842105</v>
      </c>
      <c r="G957" s="19" t="n">
        <f aca="false">'SALES Raw'!F3234*$H$4</f>
        <v>1005.28421052632</v>
      </c>
      <c r="H957" s="18" t="str">
        <f aca="false">'SALES Raw'!A3234</f>
        <v>204 - Sanaflex Anatomic GREECE</v>
      </c>
    </row>
    <row r="958" customFormat="false" ht="15" hidden="false" customHeight="false" outlineLevel="0" collapsed="false">
      <c r="A958" s="18" t="n">
        <f aca="false">'SALES Raw'!G3252</f>
        <v>4403045</v>
      </c>
      <c r="B958" s="18" t="str">
        <f aca="false">'SALES Raw'!B3252</f>
        <v>395B-43-46</v>
      </c>
      <c r="C958" s="18" t="str">
        <f aca="false">'SALES Raw'!H3252</f>
        <v>395B גרבי קיץ אנטי בקטריא43-46</v>
      </c>
      <c r="D958" s="19" t="n">
        <f aca="false">'SALES Raw'!C3252</f>
        <v>1</v>
      </c>
      <c r="E958" s="19" t="n">
        <f aca="false">'SALES Raw'!D3252</f>
        <v>0.04</v>
      </c>
      <c r="F958" s="19" t="n">
        <f aca="false">'SALES Raw'!E3252*$H$4</f>
        <v>75.7894736842105</v>
      </c>
      <c r="G958" s="19" t="n">
        <f aca="false">'SALES Raw'!F3252*$H$4</f>
        <v>1504.83789473684</v>
      </c>
      <c r="H958" s="18" t="str">
        <f aca="false">'SALES Raw'!A3252</f>
        <v>204 - Sanaflex Anatomic GREECE</v>
      </c>
    </row>
    <row r="959" customFormat="false" ht="15" hidden="false" customHeight="false" outlineLevel="0" collapsed="false">
      <c r="A959" s="18" t="n">
        <f aca="false">'SALES Raw'!G3310</f>
        <v>4413502</v>
      </c>
      <c r="B959" s="18" t="str">
        <f aca="false">'SALES Raw'!B3310</f>
        <v>95B S</v>
      </c>
      <c r="C959" s="18" t="str">
        <f aca="false">'SALES Raw'!H3310</f>
        <v>95B S מגן מרפק שחור</v>
      </c>
      <c r="D959" s="19" t="n">
        <f aca="false">'SALES Raw'!C3310</f>
        <v>35</v>
      </c>
      <c r="E959" s="19" t="n">
        <f aca="false">'SALES Raw'!D3310</f>
        <v>372.89</v>
      </c>
      <c r="F959" s="19" t="n">
        <f aca="false">'SALES Raw'!E3310*$H$4</f>
        <v>75.7894736842105</v>
      </c>
      <c r="G959" s="19" t="n">
        <f aca="false">'SALES Raw'!F3310*$H$4</f>
        <v>733.73052631579</v>
      </c>
      <c r="H959" s="18" t="str">
        <f aca="false">'SALES Raw'!A3310</f>
        <v>204 - Sanaflex Anatomic GREECE</v>
      </c>
    </row>
    <row r="960" customFormat="false" ht="15" hidden="false" customHeight="false" outlineLevel="0" collapsed="false">
      <c r="A960" s="18" t="str">
        <f aca="false">'SALES Raw'!G4030</f>
        <v/>
      </c>
      <c r="B960" s="18" t="str">
        <f aca="false">'SALES Raw'!B4030</f>
        <v>ST45X 0</v>
      </c>
      <c r="C960" s="18" t="str">
        <f aca="false">'SALES Raw'!H4030</f>
        <v>ST45X 0</v>
      </c>
      <c r="D960" s="19" t="n">
        <f aca="false">'SALES Raw'!C4030</f>
        <v>105</v>
      </c>
      <c r="E960" s="19" t="n">
        <f aca="false">'SALES Raw'!D4030</f>
        <v>2010.3</v>
      </c>
      <c r="F960" s="19" t="n">
        <f aca="false">'SALES Raw'!E4030*$H$4</f>
        <v>75.7894736842105</v>
      </c>
      <c r="G960" s="19" t="n">
        <f aca="false">'SALES Raw'!F4030*$H$4</f>
        <v>1235.28</v>
      </c>
      <c r="H960" s="18" t="str">
        <f aca="false">'SALES Raw'!A4030</f>
        <v>210 - Oy. Ea. Ab. FINLAND</v>
      </c>
    </row>
    <row r="961" customFormat="false" ht="15" hidden="false" customHeight="false" outlineLevel="0" collapsed="false">
      <c r="A961" s="18" t="str">
        <f aca="false">'SALES Raw'!G4063</f>
        <v/>
      </c>
      <c r="B961" s="18" t="str">
        <f aca="false">'SALES Raw'!B4063</f>
        <v>ST27L 0</v>
      </c>
      <c r="C961" s="18" t="str">
        <f aca="false">'SALES Raw'!H4063</f>
        <v>ST27L 0</v>
      </c>
      <c r="D961" s="19" t="n">
        <f aca="false">'SALES Raw'!C4063</f>
        <v>120</v>
      </c>
      <c r="E961" s="19" t="n">
        <f aca="false">'SALES Raw'!D4063</f>
        <v>2242.4</v>
      </c>
      <c r="F961" s="19" t="n">
        <f aca="false">'SALES Raw'!E4063*$H$4</f>
        <v>75.7894736842105</v>
      </c>
      <c r="G961" s="19" t="n">
        <f aca="false">'SALES Raw'!F4063*$H$4</f>
        <v>1248.65684210526</v>
      </c>
      <c r="H961" s="18" t="str">
        <f aca="false">'SALES Raw'!A4063</f>
        <v>211 - Pharmag Lachmair Ges. Mbh AUSTRIA</v>
      </c>
    </row>
    <row r="962" customFormat="false" ht="15" hidden="false" customHeight="false" outlineLevel="0" collapsed="false">
      <c r="A962" s="18" t="n">
        <f aca="false">'SALES Raw'!G4100</f>
        <v>4415028</v>
      </c>
      <c r="B962" s="18" t="str">
        <f aca="false">'SALES Raw'!B4100</f>
        <v>AC28 0</v>
      </c>
      <c r="C962" s="18" t="str">
        <f aca="false">'SALES Raw'!H4100</f>
        <v>AC-28 סד לאגודל</v>
      </c>
      <c r="D962" s="19" t="n">
        <f aca="false">'SALES Raw'!C4100</f>
        <v>35</v>
      </c>
      <c r="E962" s="19" t="n">
        <f aca="false">'SALES Raw'!D4100</f>
        <v>525.71</v>
      </c>
      <c r="F962" s="19" t="n">
        <f aca="false">'SALES Raw'!E4100*$H$4</f>
        <v>75.7894736842105</v>
      </c>
      <c r="G962" s="19" t="n">
        <f aca="false">'SALES Raw'!F4100*$H$4</f>
        <v>1079.92421052632</v>
      </c>
      <c r="H962" s="18" t="str">
        <f aca="false">'SALES Raw'!A4100</f>
        <v>213 - E.f.m.o. SPAIN</v>
      </c>
    </row>
    <row r="963" customFormat="false" ht="15" hidden="false" customHeight="false" outlineLevel="0" collapsed="false">
      <c r="A963" s="18" t="n">
        <f aca="false">'SALES Raw'!G4132</f>
        <v>4408205</v>
      </c>
      <c r="B963" s="18" t="str">
        <f aca="false">'SALES Raw'!B4132</f>
        <v>AC07 0</v>
      </c>
      <c r="C963" s="18" t="str">
        <f aca="false">'SALES Raw'!H4132</f>
        <v>AC-07 חגורת גב עם תמיכות</v>
      </c>
      <c r="D963" s="19" t="n">
        <f aca="false">'SALES Raw'!C4132</f>
        <v>80</v>
      </c>
      <c r="E963" s="19" t="n">
        <f aca="false">'SALES Raw'!D4132</f>
        <v>4565.43</v>
      </c>
      <c r="F963" s="19" t="n">
        <f aca="false">'SALES Raw'!E4132*$H$4</f>
        <v>75.7894736842105</v>
      </c>
      <c r="G963" s="19" t="n">
        <f aca="false">'SALES Raw'!F4132*$H$4</f>
        <v>3947.20421052632</v>
      </c>
      <c r="H963" s="18" t="str">
        <f aca="false">'SALES Raw'!A4132</f>
        <v>214 - Alfred Gera&amp; Sons Ltd. MALTA</v>
      </c>
    </row>
    <row r="964" customFormat="false" ht="15" hidden="false" customHeight="false" outlineLevel="0" collapsed="false">
      <c r="A964" s="18" t="n">
        <f aca="false">'SALES Raw'!G4139</f>
        <v>4413328</v>
      </c>
      <c r="B964" s="18" t="str">
        <f aca="false">'SALES Raw'!B4139</f>
        <v>AC43D 0</v>
      </c>
      <c r="C964" s="18" t="str">
        <f aca="false">'SALES Raw'!H4139</f>
        <v>AC43D מגן ברך + צירים</v>
      </c>
      <c r="D964" s="19" t="n">
        <f aca="false">'SALES Raw'!C4139</f>
        <v>70</v>
      </c>
      <c r="E964" s="19" t="n">
        <f aca="false">'SALES Raw'!D4139</f>
        <v>4236.96</v>
      </c>
      <c r="F964" s="19" t="n">
        <f aca="false">'SALES Raw'!E4139*$H$4</f>
        <v>75.7894736842105</v>
      </c>
      <c r="G964" s="19" t="n">
        <f aca="false">'SALES Raw'!F4139*$H$4</f>
        <v>4267.25052631579</v>
      </c>
      <c r="H964" s="18" t="str">
        <f aca="false">'SALES Raw'!A4139</f>
        <v>214 - Alfred Gera&amp; Sons Ltd. MALTA</v>
      </c>
    </row>
    <row r="965" customFormat="false" ht="15" hidden="false" customHeight="false" outlineLevel="0" collapsed="false">
      <c r="A965" s="18" t="n">
        <f aca="false">'SALES Raw'!G4314</f>
        <v>4422023</v>
      </c>
      <c r="B965" s="18" t="str">
        <f aca="false">'SALES Raw'!B4314</f>
        <v>806CB-C</v>
      </c>
      <c r="C965" s="18" t="str">
        <f aca="false">'SALES Raw'!H4314</f>
        <v>806CB-BEIGE      תחבושת א.נצמ</v>
      </c>
      <c r="D965" s="19" t="n">
        <f aca="false">'SALES Raw'!C4314</f>
        <v>48</v>
      </c>
      <c r="E965" s="19" t="n">
        <f aca="false">'SALES Raw'!D4314</f>
        <v>336.53</v>
      </c>
      <c r="F965" s="19" t="n">
        <f aca="false">'SALES Raw'!E4314*$H$4</f>
        <v>75.7894736842105</v>
      </c>
      <c r="G965" s="19" t="n">
        <f aca="false">'SALES Raw'!F4314*$H$4</f>
        <v>501.233684210526</v>
      </c>
      <c r="H965" s="18" t="str">
        <f aca="false">'SALES Raw'!A4314</f>
        <v>216 - Max Konnaris CYPRUS</v>
      </c>
    </row>
    <row r="966" customFormat="false" ht="15" hidden="false" customHeight="false" outlineLevel="0" collapsed="false">
      <c r="A966" s="18" t="n">
        <f aca="false">'CEMIUP0.9 Raw'!B326</f>
        <v>4413161</v>
      </c>
      <c r="B966" s="18" t="str">
        <f aca="false">'CEMIUP0.9 Raw'!C326</f>
        <v>34+ L מגן קרסול עקב סגור+רצוע</v>
      </c>
      <c r="C966" s="18" t="str">
        <f aca="false">'CEMIUP0.9 Raw'!C326</f>
        <v>34+ L מגן קרסול עקב סגור+רצוע</v>
      </c>
      <c r="D966" s="19" t="n">
        <f aca="false">'CEMIUP0.9 Raw'!D326</f>
        <v>74</v>
      </c>
      <c r="E966" s="19" t="n">
        <f aca="false">'CEMIUP0.9 Raw'!E326</f>
        <v>4411.415</v>
      </c>
      <c r="F966" s="19" t="n">
        <f aca="false">'CEMIUP0.9 Raw'!F326</f>
        <v>75.7894736842105</v>
      </c>
      <c r="G966" s="19" t="n">
        <f aca="false">'CEMIUP0.9 Raw'!G326</f>
        <v>4525.14315789474</v>
      </c>
      <c r="H966" s="18" t="str">
        <f aca="false">'CEMIUP0.9 Raw'!A326</f>
        <v>107 - Pharmacies</v>
      </c>
    </row>
    <row r="967" customFormat="false" ht="15" hidden="false" customHeight="false" outlineLevel="0" collapsed="false">
      <c r="A967" s="18" t="n">
        <f aca="false">'CEMIUP0.9 Raw'!B1091</f>
        <v>4413094</v>
      </c>
      <c r="B967" s="18" t="str">
        <f aca="false">'CEMIUP0.9 Raw'!C1091</f>
        <v>45 S מגן ברך לבן</v>
      </c>
      <c r="C967" s="18" t="str">
        <f aca="false">'CEMIUP0.9 Raw'!C1091</f>
        <v>45 S מגן ברך לבן</v>
      </c>
      <c r="D967" s="19" t="n">
        <f aca="false">'CEMIUP0.9 Raw'!D1091</f>
        <v>114</v>
      </c>
      <c r="E967" s="19" t="n">
        <f aca="false">'CEMIUP0.9 Raw'!E1091</f>
        <v>2879.786</v>
      </c>
      <c r="F967" s="19" t="n">
        <f aca="false">'CEMIUP0.9 Raw'!F1091</f>
        <v>75.7894736842105</v>
      </c>
      <c r="G967" s="19" t="n">
        <f aca="false">'CEMIUP0.9 Raw'!G1091</f>
        <v>1921.69010526316</v>
      </c>
      <c r="H967" s="18" t="str">
        <f aca="false">'CEMIUP0.9 Raw'!A1091</f>
        <v>BE (CEMI internal group)</v>
      </c>
    </row>
    <row r="968" customFormat="false" ht="15" hidden="false" customHeight="false" outlineLevel="0" collapsed="false">
      <c r="A968" s="18" t="n">
        <f aca="false">'CEMIUP0.9 Raw'!B1163</f>
        <v>4413307</v>
      </c>
      <c r="B968" s="18" t="str">
        <f aca="false">'CEMIUP0.9 Raw'!C1163</f>
        <v>URI 3667 מגן בוניון</v>
      </c>
      <c r="C968" s="18" t="str">
        <f aca="false">'CEMIUP0.9 Raw'!C1163</f>
        <v>URI 3667 מגן בוניון</v>
      </c>
      <c r="D968" s="19" t="n">
        <f aca="false">'CEMIUP0.9 Raw'!D1163</f>
        <v>79</v>
      </c>
      <c r="E968" s="19" t="n">
        <f aca="false">'CEMIUP0.9 Raw'!E1163</f>
        <v>2079.805</v>
      </c>
      <c r="F968" s="19" t="n">
        <f aca="false">'CEMIUP0.9 Raw'!F1163</f>
        <v>75.7894736842105</v>
      </c>
      <c r="G968" s="19" t="n">
        <f aca="false">'CEMIUP0.9 Raw'!G1163</f>
        <v>1988.35957894737</v>
      </c>
      <c r="H968" s="18" t="str">
        <f aca="false">'CEMIUP0.9 Raw'!A1163</f>
        <v>BE (CEMI internal group)</v>
      </c>
    </row>
    <row r="969" customFormat="false" ht="15" hidden="false" customHeight="false" outlineLevel="0" collapsed="false">
      <c r="A969" s="18" t="n">
        <f aca="false">'CEMIUP0.9 Raw'!B1355</f>
        <v>4408097</v>
      </c>
      <c r="B969" s="18" t="str">
        <f aca="false">'CEMIUP0.9 Raw'!C1355</f>
        <v>T20C L-XL חבק יד עם צמדן חום</v>
      </c>
      <c r="C969" s="18" t="str">
        <f aca="false">'CEMIUP0.9 Raw'!C1355</f>
        <v>T20C L-XL חבק יד עם צמדן חום</v>
      </c>
      <c r="D969" s="19" t="n">
        <f aca="false">'CEMIUP0.9 Raw'!D1355</f>
        <v>116</v>
      </c>
      <c r="E969" s="19" t="n">
        <f aca="false">'CEMIUP0.9 Raw'!E1355</f>
        <v>3356.353</v>
      </c>
      <c r="F969" s="19" t="n">
        <f aca="false">'CEMIUP0.9 Raw'!F1355</f>
        <v>75.7894736842105</v>
      </c>
      <c r="G969" s="19" t="n">
        <f aca="false">'CEMIUP0.9 Raw'!G1355</f>
        <v>2158.36673684211</v>
      </c>
      <c r="H969" s="18" t="str">
        <f aca="false">'CEMIUP0.9 Raw'!A1355</f>
        <v>Super-Pharm Israel (CEMI internal group)</v>
      </c>
    </row>
    <row r="970" customFormat="false" ht="15" hidden="false" customHeight="false" outlineLevel="0" collapsed="false">
      <c r="A970" s="18" t="n">
        <f aca="false">'CEMIUP0.9 Raw'!B428</f>
        <v>4413452</v>
      </c>
      <c r="B970" s="18" t="str">
        <f aca="false">'CEMIUP0.9 Raw'!C428</f>
        <v>386  מיישר בוניון-האלוקס ולגוס</v>
      </c>
      <c r="C970" s="18" t="str">
        <f aca="false">'CEMIUP0.9 Raw'!C428</f>
        <v>386  מיישר בוניון-האלוקס ולגוס</v>
      </c>
      <c r="D970" s="19" t="n">
        <f aca="false">'CEMIUP0.9 Raw'!D428</f>
        <v>63</v>
      </c>
      <c r="E970" s="19" t="n">
        <f aca="false">'CEMIUP0.9 Raw'!E428</f>
        <v>2652.741</v>
      </c>
      <c r="F970" s="19" t="n">
        <f aca="false">'CEMIUP0.9 Raw'!F428</f>
        <v>74.5263157894737</v>
      </c>
      <c r="G970" s="19" t="n">
        <f aca="false">'CEMIUP0.9 Raw'!G428</f>
        <v>3104.01347368421</v>
      </c>
      <c r="H970" s="18" t="str">
        <f aca="false">'CEMIUP0.9 Raw'!A428</f>
        <v>107 - Pharmacies</v>
      </c>
    </row>
    <row r="971" customFormat="false" ht="15" hidden="false" customHeight="false" outlineLevel="0" collapsed="false">
      <c r="A971" s="18" t="n">
        <f aca="false">'CEMIUP0.9 Raw'!B1010</f>
        <v>4408153</v>
      </c>
      <c r="B971" s="18" t="str">
        <f aca="false">'CEMIUP0.9 Raw'!C1010</f>
        <v>11TO XLחגורה למנותחי בית החזה</v>
      </c>
      <c r="C971" s="18" t="str">
        <f aca="false">'CEMIUP0.9 Raw'!C1010</f>
        <v>11TO XLחגורה למנותחי בית החזה</v>
      </c>
      <c r="D971" s="19" t="n">
        <f aca="false">'CEMIUP0.9 Raw'!D1010</f>
        <v>57</v>
      </c>
      <c r="E971" s="19" t="n">
        <f aca="false">'CEMIUP0.9 Raw'!E1010</f>
        <v>7550.179</v>
      </c>
      <c r="F971" s="19" t="n">
        <f aca="false">'CEMIUP0.9 Raw'!F1010</f>
        <v>74.5263157894737</v>
      </c>
      <c r="G971" s="19" t="n">
        <f aca="false">'CEMIUP0.9 Raw'!G1010</f>
        <v>9871.68</v>
      </c>
      <c r="H971" s="18" t="str">
        <f aca="false">'CEMIUP0.9 Raw'!A1010</f>
        <v>BE (CEMI internal group)</v>
      </c>
    </row>
    <row r="972" customFormat="false" ht="15" hidden="false" customHeight="false" outlineLevel="0" collapsed="false">
      <c r="A972" s="18" t="n">
        <f aca="false">'CEMIUP0.9 Raw'!B1018</f>
        <v>4408220</v>
      </c>
      <c r="B972" s="18" t="str">
        <f aca="false">'CEMIUP0.9 Raw'!C1018</f>
        <v>078G-M חגורת גב אפורה</v>
      </c>
      <c r="C972" s="18" t="str">
        <f aca="false">'CEMIUP0.9 Raw'!C1018</f>
        <v>078G-M חגורת גב אפורה</v>
      </c>
      <c r="D972" s="19" t="n">
        <f aca="false">'CEMIUP0.9 Raw'!D1018</f>
        <v>78</v>
      </c>
      <c r="E972" s="19" t="n">
        <f aca="false">'CEMIUP0.9 Raw'!E1018</f>
        <v>7043.4</v>
      </c>
      <c r="F972" s="19" t="n">
        <f aca="false">'CEMIUP0.9 Raw'!F1018</f>
        <v>74.5263157894737</v>
      </c>
      <c r="G972" s="19" t="n">
        <f aca="false">'CEMIUP0.9 Raw'!G1018</f>
        <v>6729.70863157895</v>
      </c>
      <c r="H972" s="18" t="str">
        <f aca="false">'CEMIUP0.9 Raw'!A1018</f>
        <v>BE (CEMI internal group)</v>
      </c>
    </row>
    <row r="973" customFormat="false" ht="15" hidden="false" customHeight="false" outlineLevel="0" collapsed="false">
      <c r="A973" s="18" t="n">
        <f aca="false">'CEMIUP0.9 Raw'!B1098</f>
        <v>4413101</v>
      </c>
      <c r="B973" s="18" t="str">
        <f aca="false">'CEMIUP0.9 Raw'!C1098</f>
        <v>45E Sמגן ברך ארוך לבן</v>
      </c>
      <c r="C973" s="18" t="str">
        <f aca="false">'CEMIUP0.9 Raw'!C1098</f>
        <v>45E Sמגן ברך ארוך לבן</v>
      </c>
      <c r="D973" s="19" t="n">
        <f aca="false">'CEMIUP0.9 Raw'!D1098</f>
        <v>86</v>
      </c>
      <c r="E973" s="19" t="n">
        <f aca="false">'CEMIUP0.9 Raw'!E1098</f>
        <v>2623.166</v>
      </c>
      <c r="F973" s="19" t="n">
        <f aca="false">'CEMIUP0.9 Raw'!F1098</f>
        <v>74.5263157894737</v>
      </c>
      <c r="G973" s="19" t="n">
        <f aca="false">'CEMIUP0.9 Raw'!G1098</f>
        <v>2274.00378947368</v>
      </c>
      <c r="H973" s="18" t="str">
        <f aca="false">'CEMIUP0.9 Raw'!A1098</f>
        <v>BE (CEMI internal group)</v>
      </c>
    </row>
    <row r="974" customFormat="false" ht="15" hidden="false" customHeight="false" outlineLevel="0" collapsed="false">
      <c r="A974" s="18" t="n">
        <f aca="false">'CEMIUP0.9 Raw'!B1206</f>
        <v>4415001</v>
      </c>
      <c r="B974" s="18" t="str">
        <f aca="false">'CEMIUP0.9 Raw'!C1206</f>
        <v>26 M סד ליד דו צדדי לאחר שבר</v>
      </c>
      <c r="C974" s="18" t="str">
        <f aca="false">'CEMIUP0.9 Raw'!C1206</f>
        <v>26 M סד ליד דו צדדי לאחר שבר</v>
      </c>
      <c r="D974" s="19" t="n">
        <f aca="false">'CEMIUP0.9 Raw'!D1206</f>
        <v>53</v>
      </c>
      <c r="E974" s="19" t="n">
        <f aca="false">'CEMIUP0.9 Raw'!E1206</f>
        <v>4253.886</v>
      </c>
      <c r="F974" s="19" t="n">
        <f aca="false">'CEMIUP0.9 Raw'!F1206</f>
        <v>74.5263157894737</v>
      </c>
      <c r="G974" s="19" t="n">
        <f aca="false">'CEMIUP0.9 Raw'!G1206</f>
        <v>5932.31873684211</v>
      </c>
      <c r="H974" s="18" t="str">
        <f aca="false">'CEMIUP0.9 Raw'!A1206</f>
        <v>BE (CEMI internal group)</v>
      </c>
    </row>
    <row r="975" customFormat="false" ht="15" hidden="false" customHeight="false" outlineLevel="0" collapsed="false">
      <c r="A975" s="18" t="n">
        <f aca="false">'CEMIUP0.9 Raw'!B1529</f>
        <v>4413162</v>
      </c>
      <c r="B975" s="18" t="str">
        <f aca="false">'CEMIUP0.9 Raw'!C1529</f>
        <v>34+XL מגן קרסול עקב סגור+רצוע</v>
      </c>
      <c r="C975" s="18" t="str">
        <f aca="false">'CEMIUP0.9 Raw'!C1529</f>
        <v>34+XL מגן קרסול עקב סגור+רצוע</v>
      </c>
      <c r="D975" s="19" t="n">
        <f aca="false">'CEMIUP0.9 Raw'!D1529</f>
        <v>83</v>
      </c>
      <c r="E975" s="19" t="n">
        <f aca="false">'CEMIUP0.9 Raw'!E1529</f>
        <v>4005.183</v>
      </c>
      <c r="F975" s="19" t="n">
        <f aca="false">'CEMIUP0.9 Raw'!F1529</f>
        <v>74.5263157894737</v>
      </c>
      <c r="G975" s="19" t="n">
        <f aca="false">'CEMIUP0.9 Raw'!G1529</f>
        <v>3710.15621052632</v>
      </c>
      <c r="H975" s="18" t="str">
        <f aca="false">'CEMIUP0.9 Raw'!A1529</f>
        <v>Super-Pharm Israel (CEMI internal group)</v>
      </c>
    </row>
    <row r="976" customFormat="false" ht="15" hidden="false" customHeight="false" outlineLevel="0" collapsed="false">
      <c r="A976" s="18" t="n">
        <f aca="false">'SALES Raw'!G576</f>
        <v>4413516</v>
      </c>
      <c r="B976" s="18" t="str">
        <f aca="false">'SALES Raw'!B576</f>
        <v>85B L</v>
      </c>
      <c r="C976" s="18" t="str">
        <f aca="false">'SALES Raw'!H576</f>
        <v>85B L מתלה רשת לזרוע שחור</v>
      </c>
      <c r="D976" s="19" t="n">
        <f aca="false">'SALES Raw'!C576</f>
        <v>97</v>
      </c>
      <c r="E976" s="19" t="n">
        <f aca="false">'SALES Raw'!D576</f>
        <v>4808.33</v>
      </c>
      <c r="F976" s="19" t="n">
        <f aca="false">'SALES Raw'!E576*$H$4</f>
        <v>74.5263157894737</v>
      </c>
      <c r="G976" s="19" t="n">
        <f aca="false">'SALES Raw'!F576*$H$4</f>
        <v>3651.66315789474</v>
      </c>
      <c r="H976" s="18" t="str">
        <f aca="false">'SALES Raw'!A576</f>
        <v>102 - Orthopedic institutes</v>
      </c>
    </row>
    <row r="977" customFormat="false" ht="15" hidden="false" customHeight="false" outlineLevel="0" collapsed="false">
      <c r="A977" s="18" t="n">
        <f aca="false">'SALES Raw'!G617</f>
        <v>4421005</v>
      </c>
      <c r="B977" s="18" t="str">
        <f aca="false">'SALES Raw'!B617</f>
        <v>250 0</v>
      </c>
      <c r="C977" s="18" t="str">
        <f aca="false">'SALES Raw'!H617</f>
        <v>שרוול לגבס קצר יד</v>
      </c>
      <c r="D977" s="19" t="n">
        <f aca="false">'SALES Raw'!C617</f>
        <v>53</v>
      </c>
      <c r="E977" s="19" t="n">
        <f aca="false">'SALES Raw'!D617</f>
        <v>2075.38</v>
      </c>
      <c r="F977" s="19" t="n">
        <f aca="false">'SALES Raw'!E617*$H$4</f>
        <v>74.5263157894737</v>
      </c>
      <c r="G977" s="19" t="n">
        <f aca="false">'SALES Raw'!F617*$H$4</f>
        <v>2959.06105263158</v>
      </c>
      <c r="H977" s="18" t="str">
        <f aca="false">'SALES Raw'!A617</f>
        <v>102 - Orthopedic institutes</v>
      </c>
    </row>
    <row r="978" customFormat="false" ht="15" hidden="false" customHeight="false" outlineLevel="0" collapsed="false">
      <c r="A978" s="18" t="str">
        <f aca="false">'SALES Raw'!G2613</f>
        <v/>
      </c>
      <c r="B978" s="18" t="str">
        <f aca="false">'SALES Raw'!B2613</f>
        <v>FC3422 0</v>
      </c>
      <c r="C978" s="18" t="str">
        <f aca="false">'SALES Raw'!H2613</f>
        <v>FC3422 0</v>
      </c>
      <c r="D978" s="19" t="n">
        <f aca="false">'SALES Raw'!C2613</f>
        <v>22</v>
      </c>
      <c r="E978" s="19" t="n">
        <f aca="false">'SALES Raw'!D2613</f>
        <v>2430.05</v>
      </c>
      <c r="F978" s="19" t="n">
        <f aca="false">'SALES Raw'!E2613*$H$4</f>
        <v>74.5263157894737</v>
      </c>
      <c r="G978" s="19" t="n">
        <f aca="false">'SALES Raw'!F2613*$H$4</f>
        <v>5968.74947368421</v>
      </c>
      <c r="H978" s="18" t="str">
        <f aca="false">'SALES Raw'!A2613</f>
        <v>114 - IL online</v>
      </c>
    </row>
    <row r="979" customFormat="false" ht="15" hidden="false" customHeight="false" outlineLevel="0" collapsed="false">
      <c r="A979" s="18" t="n">
        <f aca="false">'SALES Raw'!G3507</f>
        <v>4411016</v>
      </c>
      <c r="B979" s="18" t="str">
        <f aca="false">'SALES Raw'!B3507</f>
        <v>307 XL</v>
      </c>
      <c r="C979" s="18" t="str">
        <f aca="false">'SALES Raw'!H3507</f>
        <v>307 XL כרית סיליקון לעקב</v>
      </c>
      <c r="D979" s="19" t="n">
        <f aca="false">'SALES Raw'!C3507</f>
        <v>25</v>
      </c>
      <c r="E979" s="19" t="n">
        <f aca="false">'SALES Raw'!D3507</f>
        <v>645.74</v>
      </c>
      <c r="F979" s="19" t="n">
        <f aca="false">'SALES Raw'!E3507*$H$4</f>
        <v>74.5263157894737</v>
      </c>
      <c r="G979" s="19" t="n">
        <f aca="false">'SALES Raw'!F3507*$H$4</f>
        <v>2035.66736842105</v>
      </c>
      <c r="H979" s="18" t="str">
        <f aca="false">'SALES Raw'!A3507</f>
        <v>207 - Salus HUNGARY</v>
      </c>
    </row>
    <row r="980" customFormat="false" ht="15" hidden="false" customHeight="false" outlineLevel="0" collapsed="false">
      <c r="A980" s="18" t="n">
        <f aca="false">'SALES Raw'!G3844</f>
        <v>4413095</v>
      </c>
      <c r="B980" s="18" t="str">
        <f aca="false">'SALES Raw'!B3844</f>
        <v>45 XL</v>
      </c>
      <c r="C980" s="18" t="str">
        <f aca="false">'SALES Raw'!H3844</f>
        <v>45 XL מגן ברך לבן</v>
      </c>
      <c r="D980" s="19" t="n">
        <f aca="false">'SALES Raw'!C3844</f>
        <v>148</v>
      </c>
      <c r="E980" s="19" t="n">
        <f aca="false">'SALES Raw'!D3844</f>
        <v>1528.86</v>
      </c>
      <c r="F980" s="19" t="n">
        <f aca="false">'SALES Raw'!E3844*$H$4</f>
        <v>74.5263157894737</v>
      </c>
      <c r="G980" s="19" t="n">
        <f aca="false">'SALES Raw'!F3844*$H$4</f>
        <v>770.652631578947</v>
      </c>
      <c r="H980" s="18" t="str">
        <f aca="false">'SALES Raw'!A3844</f>
        <v>209 - Ortoprofil Prod ROMANIA</v>
      </c>
    </row>
    <row r="981" customFormat="false" ht="15" hidden="false" customHeight="false" outlineLevel="0" collapsed="false">
      <c r="A981" s="18" t="n">
        <f aca="false">'SALES Raw'!G3037</f>
        <v>4408147</v>
      </c>
      <c r="B981" s="18" t="str">
        <f aca="false">'SALES Raw'!B3037</f>
        <v>11PS L</v>
      </c>
      <c r="C981" s="18" t="str">
        <f aca="false">'SALES Raw'!H3037</f>
        <v>11PS Lחגורה למנותחי בטן</v>
      </c>
      <c r="D981" s="19" t="n">
        <f aca="false">'SALES Raw'!C3037</f>
        <v>60</v>
      </c>
      <c r="E981" s="19" t="n">
        <f aca="false">'SALES Raw'!D3037</f>
        <v>3158.62</v>
      </c>
      <c r="F981" s="19" t="n">
        <f aca="false">'SALES Raw'!E3037*$H$4</f>
        <v>73.2631578947368</v>
      </c>
      <c r="G981" s="19" t="n">
        <f aca="false">'SALES Raw'!F3037*$H$4</f>
        <v>3692.91789473684</v>
      </c>
      <c r="H981" s="18" t="str">
        <f aca="false">'SALES Raw'!A3037</f>
        <v>203 - Ortho- Partner ag SWITZERLAND</v>
      </c>
    </row>
    <row r="982" customFormat="false" ht="15" hidden="false" customHeight="false" outlineLevel="0" collapsed="false">
      <c r="A982" s="18" t="n">
        <f aca="false">'SALES Raw'!G3823</f>
        <v>4413340</v>
      </c>
      <c r="B982" s="18" t="str">
        <f aca="false">'SALES Raw'!B3823</f>
        <v>3666 0</v>
      </c>
      <c r="C982" s="18" t="str">
        <f aca="false">'SALES Raw'!H3823</f>
        <v>3666 מפריד הלוקס</v>
      </c>
      <c r="D982" s="19" t="n">
        <f aca="false">'SALES Raw'!C3823</f>
        <v>111</v>
      </c>
      <c r="E982" s="19" t="n">
        <f aca="false">'SALES Raw'!D3823</f>
        <v>2082.05</v>
      </c>
      <c r="F982" s="19" t="n">
        <f aca="false">'SALES Raw'!E3823*$H$4</f>
        <v>73.2631578947368</v>
      </c>
      <c r="G982" s="19" t="n">
        <f aca="false">'SALES Raw'!F3823*$H$4</f>
        <v>1368.25263157895</v>
      </c>
      <c r="H982" s="18" t="str">
        <f aca="false">'SALES Raw'!A3823</f>
        <v>209 - Ortoprofil Prod ROMANIA</v>
      </c>
    </row>
    <row r="983" customFormat="false" ht="15" hidden="false" customHeight="false" outlineLevel="0" collapsed="false">
      <c r="A983" s="18" t="str">
        <f aca="false">'SALES Raw'!G4445</f>
        <v/>
      </c>
      <c r="B983" s="18" t="str">
        <f aca="false">'SALES Raw'!B4445</f>
        <v>EC-59DB L</v>
      </c>
      <c r="C983" s="18" t="str">
        <f aca="false">'SALES Raw'!H4445</f>
        <v>EC-59DB L</v>
      </c>
      <c r="D983" s="19" t="n">
        <f aca="false">'SALES Raw'!C4445</f>
        <v>60</v>
      </c>
      <c r="E983" s="19" t="n">
        <f aca="false">'SALES Raw'!D4445</f>
        <v>11413.11</v>
      </c>
      <c r="F983" s="19" t="n">
        <f aca="false">'SALES Raw'!E4445*$H$4</f>
        <v>73.2631578947368</v>
      </c>
      <c r="G983" s="19" t="n">
        <f aca="false">'SALES Raw'!F4445*$H$4</f>
        <v>12205.0231578947</v>
      </c>
      <c r="H983" s="18" t="str">
        <f aca="false">'SALES Raw'!A4445</f>
        <v>301 - Amazon</v>
      </c>
    </row>
    <row r="984" customFormat="false" ht="15" hidden="false" customHeight="false" outlineLevel="0" collapsed="false">
      <c r="A984" s="18" t="n">
        <f aca="false">'CEMIUP0.9 Raw'!B74</f>
        <v>4408048</v>
      </c>
      <c r="B984" s="18" t="str">
        <f aca="false">'CEMIUP0.9 Raw'!C74</f>
        <v>20 S חבק יד מתכוון עם צמדן</v>
      </c>
      <c r="C984" s="18" t="str">
        <f aca="false">'CEMIUP0.9 Raw'!C74</f>
        <v>20 S חבק יד מתכוון עם צמדן</v>
      </c>
      <c r="D984" s="19" t="n">
        <f aca="false">'CEMIUP0.9 Raw'!D74</f>
        <v>129</v>
      </c>
      <c r="E984" s="19" t="n">
        <f aca="false">'CEMIUP0.9 Raw'!E74</f>
        <v>3836.833</v>
      </c>
      <c r="F984" s="19" t="n">
        <f aca="false">'CEMIUP0.9 Raw'!F74</f>
        <v>73.2631578947368</v>
      </c>
      <c r="G984" s="19" t="n">
        <f aca="false">'CEMIUP0.9 Raw'!G74</f>
        <v>2179.99578947368</v>
      </c>
      <c r="H984" s="18" t="str">
        <f aca="false">'CEMIUP0.9 Raw'!A74</f>
        <v>107 - Pharmacies</v>
      </c>
    </row>
    <row r="985" customFormat="false" ht="15" hidden="false" customHeight="false" outlineLevel="0" collapsed="false">
      <c r="A985" s="18" t="n">
        <f aca="false">'CEMIUP0.9 Raw'!B202</f>
        <v>4411016</v>
      </c>
      <c r="B985" s="18" t="str">
        <f aca="false">'CEMIUP0.9 Raw'!C202</f>
        <v>307 XL כרית סיליקון לעקב</v>
      </c>
      <c r="C985" s="18" t="str">
        <f aca="false">'CEMIUP0.9 Raw'!C202</f>
        <v>307 XL כרית סיליקון לעקב</v>
      </c>
      <c r="D985" s="19" t="n">
        <f aca="false">'CEMIUP0.9 Raw'!D202</f>
        <v>107</v>
      </c>
      <c r="E985" s="19" t="n">
        <f aca="false">'CEMIUP0.9 Raw'!E202</f>
        <v>7738.233</v>
      </c>
      <c r="F985" s="19" t="n">
        <f aca="false">'CEMIUP0.9 Raw'!F202</f>
        <v>73.2631578947368</v>
      </c>
      <c r="G985" s="19" t="n">
        <f aca="false">'CEMIUP0.9 Raw'!G202</f>
        <v>5613.84</v>
      </c>
      <c r="H985" s="18" t="str">
        <f aca="false">'CEMIUP0.9 Raw'!A202</f>
        <v>107 - Pharmacies</v>
      </c>
    </row>
    <row r="986" customFormat="false" ht="15" hidden="false" customHeight="false" outlineLevel="0" collapsed="false">
      <c r="A986" s="18" t="n">
        <f aca="false">'CEMIUP0.9 Raw'!B398</f>
        <v>4413398</v>
      </c>
      <c r="B986" s="18" t="str">
        <f aca="false">'CEMIUP0.9 Raw'!C398</f>
        <v>45EC XXL'מגן ברך ארוך בז</v>
      </c>
      <c r="C986" s="18" t="str">
        <f aca="false">'CEMIUP0.9 Raw'!C398</f>
        <v>45EC XXL'מגן ברך ארוך בז</v>
      </c>
      <c r="D986" s="19" t="n">
        <f aca="false">'CEMIUP0.9 Raw'!D398</f>
        <v>44</v>
      </c>
      <c r="E986" s="19" t="n">
        <f aca="false">'CEMIUP0.9 Raw'!E398</f>
        <v>1468.103</v>
      </c>
      <c r="F986" s="19" t="n">
        <f aca="false">'CEMIUP0.9 Raw'!F398</f>
        <v>73.2631578947368</v>
      </c>
      <c r="G986" s="19" t="n">
        <f aca="false">'CEMIUP0.9 Raw'!G398</f>
        <v>2481.09473684211</v>
      </c>
      <c r="H986" s="18" t="str">
        <f aca="false">'CEMIUP0.9 Raw'!A398</f>
        <v>107 - Pharmacies</v>
      </c>
    </row>
    <row r="987" customFormat="false" ht="15" hidden="false" customHeight="false" outlineLevel="0" collapsed="false">
      <c r="A987" s="18" t="n">
        <f aca="false">'CEMIUP0.9 Raw'!B443</f>
        <v>4413499</v>
      </c>
      <c r="B987" s="18" t="str">
        <f aca="false">'CEMIUP0.9 Raw'!C443</f>
        <v>45B XXLמגן ברך שחור</v>
      </c>
      <c r="C987" s="18" t="str">
        <f aca="false">'CEMIUP0.9 Raw'!C443</f>
        <v>45B XXLמגן ברך שחור</v>
      </c>
      <c r="D987" s="19" t="n">
        <f aca="false">'CEMIUP0.9 Raw'!D443</f>
        <v>83</v>
      </c>
      <c r="E987" s="19" t="n">
        <f aca="false">'CEMIUP0.9 Raw'!E443</f>
        <v>2233.231</v>
      </c>
      <c r="F987" s="19" t="n">
        <f aca="false">'CEMIUP0.9 Raw'!F443</f>
        <v>73.2631578947368</v>
      </c>
      <c r="G987" s="19" t="n">
        <f aca="false">'CEMIUP0.9 Raw'!G443</f>
        <v>2021.57936842105</v>
      </c>
      <c r="H987" s="18" t="str">
        <f aca="false">'CEMIUP0.9 Raw'!A443</f>
        <v>107 - Pharmacies</v>
      </c>
    </row>
    <row r="988" customFormat="false" ht="15" hidden="false" customHeight="false" outlineLevel="0" collapsed="false">
      <c r="A988" s="18" t="n">
        <f aca="false">'CEMIUP0.9 Raw'!B1354</f>
        <v>4408096</v>
      </c>
      <c r="B988" s="18" t="str">
        <f aca="false">'CEMIUP0.9 Raw'!C1354</f>
        <v>T20C S-M חבק יד עם צמדןחום</v>
      </c>
      <c r="C988" s="18" t="str">
        <f aca="false">'CEMIUP0.9 Raw'!C1354</f>
        <v>T20C S-M חבק יד עם צמדןחום</v>
      </c>
      <c r="D988" s="19" t="n">
        <f aca="false">'CEMIUP0.9 Raw'!D1354</f>
        <v>102</v>
      </c>
      <c r="E988" s="19" t="n">
        <f aca="false">'CEMIUP0.9 Raw'!E1354</f>
        <v>2954.679</v>
      </c>
      <c r="F988" s="19" t="n">
        <f aca="false">'CEMIUP0.9 Raw'!F1354</f>
        <v>73.2631578947368</v>
      </c>
      <c r="G988" s="19" t="n">
        <f aca="false">'CEMIUP0.9 Raw'!G1354</f>
        <v>2103.07705263158</v>
      </c>
      <c r="H988" s="18" t="str">
        <f aca="false">'CEMIUP0.9 Raw'!A1354</f>
        <v>Super-Pharm Israel (CEMI internal group)</v>
      </c>
    </row>
    <row r="989" customFormat="false" ht="15" hidden="false" customHeight="false" outlineLevel="0" collapsed="false">
      <c r="A989" s="18" t="n">
        <f aca="false">'SALES Raw'!G548</f>
        <v>4403017</v>
      </c>
      <c r="B989" s="18" t="str">
        <f aca="false">'SALES Raw'!B548</f>
        <v>394B-35-38</v>
      </c>
      <c r="C989" s="18" t="str">
        <f aca="false">'SALES Raw'!H548</f>
        <v>394B גרב.כסף לסכרתים שחור35-38</v>
      </c>
      <c r="D989" s="19" t="n">
        <f aca="false">'SALES Raw'!C548</f>
        <v>109</v>
      </c>
      <c r="E989" s="19" t="n">
        <f aca="false">'SALES Raw'!D548</f>
        <v>2569.68</v>
      </c>
      <c r="F989" s="19" t="n">
        <f aca="false">'SALES Raw'!E548*$H$4</f>
        <v>72</v>
      </c>
      <c r="G989" s="19" t="n">
        <f aca="false">'SALES Raw'!F548*$H$4</f>
        <v>1420.8</v>
      </c>
      <c r="H989" s="18" t="str">
        <f aca="false">'SALES Raw'!A548</f>
        <v>102 - Orthopedic institutes</v>
      </c>
    </row>
    <row r="990" customFormat="false" ht="15" hidden="false" customHeight="false" outlineLevel="0" collapsed="false">
      <c r="A990" s="18" t="str">
        <f aca="false">'SALES Raw'!G2368</f>
        <v/>
      </c>
      <c r="B990" s="18" t="str">
        <f aca="false">'SALES Raw'!B2368</f>
        <v>395W-35-38</v>
      </c>
      <c r="C990" s="18" t="str">
        <f aca="false">'SALES Raw'!H2368</f>
        <v>395W-35-38</v>
      </c>
      <c r="D990" s="19" t="n">
        <f aca="false">'SALES Raw'!C2368</f>
        <v>0</v>
      </c>
      <c r="E990" s="19" t="n">
        <f aca="false">'SALES Raw'!D2368</f>
        <v>0</v>
      </c>
      <c r="F990" s="19" t="n">
        <f aca="false">'SALES Raw'!E2368*$H$4</f>
        <v>72</v>
      </c>
      <c r="G990" s="19" t="n">
        <f aca="false">'SALES Raw'!F2368*$H$4</f>
        <v>3343.04842105263</v>
      </c>
      <c r="H990" s="18" t="str">
        <f aca="false">'SALES Raw'!A2368</f>
        <v>114 - IL online</v>
      </c>
    </row>
    <row r="991" customFormat="false" ht="15" hidden="false" customHeight="false" outlineLevel="0" collapsed="false">
      <c r="A991" s="18" t="str">
        <f aca="false">'SALES Raw'!G2539</f>
        <v/>
      </c>
      <c r="B991" s="18" t="str">
        <f aca="false">'SALES Raw'!B2539</f>
        <v>84-S-M</v>
      </c>
      <c r="C991" s="18" t="str">
        <f aca="false">'SALES Raw'!H2539</f>
        <v>84-S-M</v>
      </c>
      <c r="D991" s="19" t="n">
        <f aca="false">'SALES Raw'!C2539</f>
        <v>71</v>
      </c>
      <c r="E991" s="19" t="n">
        <f aca="false">'SALES Raw'!D2539</f>
        <v>17147.06</v>
      </c>
      <c r="F991" s="19" t="n">
        <f aca="false">'SALES Raw'!E2539*$H$4</f>
        <v>72</v>
      </c>
      <c r="G991" s="19" t="n">
        <f aca="false">'SALES Raw'!F2539*$H$4</f>
        <v>17801.28</v>
      </c>
      <c r="H991" s="18" t="str">
        <f aca="false">'SALES Raw'!A2539</f>
        <v>114 - IL online</v>
      </c>
    </row>
    <row r="992" customFormat="false" ht="15" hidden="false" customHeight="false" outlineLevel="0" collapsed="false">
      <c r="A992" s="18" t="n">
        <f aca="false">'SALES Raw'!G2612</f>
        <v>4414000</v>
      </c>
      <c r="B992" s="18" t="str">
        <f aca="false">'SALES Raw'!B2612</f>
        <v>FC342 0</v>
      </c>
      <c r="C992" s="18" t="str">
        <f aca="false">'SALES Raw'!H2612</f>
        <v>FC342-נוזל לציפורן חודרנית</v>
      </c>
      <c r="D992" s="19" t="n">
        <f aca="false">'SALES Raw'!C2612</f>
        <v>41</v>
      </c>
      <c r="E992" s="19" t="n">
        <f aca="false">'SALES Raw'!D2612</f>
        <v>2518.71</v>
      </c>
      <c r="F992" s="19" t="n">
        <f aca="false">'SALES Raw'!E2612*$H$4</f>
        <v>72</v>
      </c>
      <c r="G992" s="19" t="n">
        <f aca="false">'SALES Raw'!F2612*$H$4</f>
        <v>4553.34315789474</v>
      </c>
      <c r="H992" s="18" t="str">
        <f aca="false">'SALES Raw'!A2612</f>
        <v>114 - IL online</v>
      </c>
    </row>
    <row r="993" customFormat="false" ht="15" hidden="false" customHeight="false" outlineLevel="0" collapsed="false">
      <c r="A993" s="18" t="n">
        <f aca="false">'CEMIUP0.9 Raw'!B735</f>
        <v>4408230</v>
      </c>
      <c r="B993" s="18" t="str">
        <f aca="false">'CEMIUP0.9 Raw'!C735</f>
        <v>16 L-XL חגורת הריון</v>
      </c>
      <c r="C993" s="18" t="str">
        <f aca="false">'CEMIUP0.9 Raw'!C735</f>
        <v>16 L-XL חגורת הריון</v>
      </c>
      <c r="D993" s="19" t="n">
        <f aca="false">'CEMIUP0.9 Raw'!D735</f>
        <v>70</v>
      </c>
      <c r="E993" s="19" t="n">
        <f aca="false">'CEMIUP0.9 Raw'!E735</f>
        <v>5446</v>
      </c>
      <c r="F993" s="19" t="n">
        <f aca="false">'CEMIUP0.9 Raw'!F735</f>
        <v>72</v>
      </c>
      <c r="G993" s="19" t="n">
        <f aca="false">'CEMIUP0.9 Raw'!G735</f>
        <v>5327.41642105263</v>
      </c>
      <c r="H993" s="18" t="str">
        <f aca="false">'CEMIUP0.9 Raw'!A735</f>
        <v>113 - Kupat Holim Meuhedet</v>
      </c>
    </row>
    <row r="994" customFormat="false" ht="15" hidden="false" customHeight="false" outlineLevel="0" collapsed="false">
      <c r="A994" s="18" t="n">
        <f aca="false">'CEMIUP0.9 Raw'!B968</f>
        <v>4408034</v>
      </c>
      <c r="B994" s="18" t="str">
        <f aca="false">'CEMIUP0.9 Raw'!C968</f>
        <v>11 XL""חגורת בטן""אורירית</v>
      </c>
      <c r="C994" s="18" t="str">
        <f aca="false">'CEMIUP0.9 Raw'!C968</f>
        <v>11 XL""חגורת בטן""אורירית</v>
      </c>
      <c r="D994" s="19" t="n">
        <f aca="false">'CEMIUP0.9 Raw'!D968</f>
        <v>66</v>
      </c>
      <c r="E994" s="19" t="n">
        <f aca="false">'CEMIUP0.9 Raw'!E968</f>
        <v>5833.919</v>
      </c>
      <c r="F994" s="19" t="n">
        <f aca="false">'CEMIUP0.9 Raw'!F968</f>
        <v>72</v>
      </c>
      <c r="G994" s="19" t="n">
        <f aca="false">'CEMIUP0.9 Raw'!G968</f>
        <v>6357.27915789474</v>
      </c>
      <c r="H994" s="18" t="str">
        <f aca="false">'CEMIUP0.9 Raw'!A968</f>
        <v>BE (CEMI internal group)</v>
      </c>
    </row>
    <row r="995" customFormat="false" ht="15" hidden="false" customHeight="false" outlineLevel="0" collapsed="false">
      <c r="A995" s="18" t="n">
        <f aca="false">'CEMIUP0.9 Raw'!B1205</f>
        <v>4415000</v>
      </c>
      <c r="B995" s="18" t="str">
        <f aca="false">'CEMIUP0.9 Raw'!C1205</f>
        <v>26 L סד ליד דו צדדי לאחר שבר</v>
      </c>
      <c r="C995" s="18" t="str">
        <f aca="false">'CEMIUP0.9 Raw'!C1205</f>
        <v>26 L סד ליד דו צדדי לאחר שבר</v>
      </c>
      <c r="D995" s="19" t="n">
        <f aca="false">'CEMIUP0.9 Raw'!D1205</f>
        <v>56</v>
      </c>
      <c r="E995" s="19" t="n">
        <f aca="false">'CEMIUP0.9 Raw'!E1205</f>
        <v>4431.609</v>
      </c>
      <c r="F995" s="19" t="n">
        <f aca="false">'CEMIUP0.9 Raw'!F1205</f>
        <v>72</v>
      </c>
      <c r="G995" s="19" t="n">
        <f aca="false">'CEMIUP0.9 Raw'!G1205</f>
        <v>5778.864</v>
      </c>
      <c r="H995" s="18" t="str">
        <f aca="false">'CEMIUP0.9 Raw'!A1205</f>
        <v>BE (CEMI internal group)</v>
      </c>
    </row>
    <row r="996" customFormat="false" ht="15" hidden="false" customHeight="false" outlineLevel="0" collapsed="false">
      <c r="A996" s="18" t="n">
        <f aca="false">'CEMIUP0.9 Raw'!B1211</f>
        <v>4415006</v>
      </c>
      <c r="B996" s="18" t="str">
        <f aca="false">'CEMIUP0.9 Raw'!C1211</f>
        <v>28 M סד לאגודל לאחר שבר</v>
      </c>
      <c r="C996" s="18" t="str">
        <f aca="false">'CEMIUP0.9 Raw'!C1211</f>
        <v>28 M סד לאגודל לאחר שבר</v>
      </c>
      <c r="D996" s="19" t="n">
        <f aca="false">'CEMIUP0.9 Raw'!D1211</f>
        <v>63</v>
      </c>
      <c r="E996" s="19" t="n">
        <f aca="false">'CEMIUP0.9 Raw'!E1211</f>
        <v>5056.506</v>
      </c>
      <c r="F996" s="19" t="n">
        <f aca="false">'CEMIUP0.9 Raw'!F1211</f>
        <v>72</v>
      </c>
      <c r="G996" s="19" t="n">
        <f aca="false">'CEMIUP0.9 Raw'!G1211</f>
        <v>5778.864</v>
      </c>
      <c r="H996" s="18" t="str">
        <f aca="false">'CEMIUP0.9 Raw'!A1211</f>
        <v>BE (CEMI internal group)</v>
      </c>
    </row>
    <row r="997" customFormat="false" ht="15" hidden="false" customHeight="false" outlineLevel="0" collapsed="false">
      <c r="A997" s="18" t="n">
        <f aca="false">'CEMIUP0.9 Raw'!B1289</f>
        <v>4403018</v>
      </c>
      <c r="B997" s="18" t="str">
        <f aca="false">'CEMIUP0.9 Raw'!C1289</f>
        <v>394B גרב.כסף לסכרתים שחור39-42</v>
      </c>
      <c r="C997" s="18" t="str">
        <f aca="false">'CEMIUP0.9 Raw'!C1289</f>
        <v>394B גרב.כסף לסכרתים שחור39-42</v>
      </c>
      <c r="D997" s="19" t="n">
        <f aca="false">'CEMIUP0.9 Raw'!D1289</f>
        <v>148</v>
      </c>
      <c r="E997" s="19" t="n">
        <f aca="false">'CEMIUP0.9 Raw'!E1289</f>
        <v>2996.721</v>
      </c>
      <c r="F997" s="19" t="n">
        <f aca="false">'CEMIUP0.9 Raw'!F1289</f>
        <v>72</v>
      </c>
      <c r="G997" s="19" t="n">
        <f aca="false">'CEMIUP0.9 Raw'!G1289</f>
        <v>1448.10694736842</v>
      </c>
      <c r="H997" s="18" t="str">
        <f aca="false">'CEMIUP0.9 Raw'!A1289</f>
        <v>Super-Pharm Israel (CEMI internal group)</v>
      </c>
    </row>
    <row r="998" customFormat="false" ht="15" hidden="false" customHeight="false" outlineLevel="0" collapsed="false">
      <c r="A998" s="18" t="n">
        <f aca="false">'CEMIUP0.9 Raw'!B1559</f>
        <v>4413340</v>
      </c>
      <c r="B998" s="18" t="str">
        <f aca="false">'CEMIUP0.9 Raw'!C1559</f>
        <v>3666 מפריד הלוקס</v>
      </c>
      <c r="C998" s="18" t="str">
        <f aca="false">'CEMIUP0.9 Raw'!C1559</f>
        <v>3666 מפריד הלוקס</v>
      </c>
      <c r="D998" s="19" t="n">
        <f aca="false">'CEMIUP0.9 Raw'!D1559</f>
        <v>106</v>
      </c>
      <c r="E998" s="19" t="n">
        <f aca="false">'CEMIUP0.9 Raw'!E1559</f>
        <v>3911.362</v>
      </c>
      <c r="F998" s="19" t="n">
        <f aca="false">'CEMIUP0.9 Raw'!F1559</f>
        <v>72</v>
      </c>
      <c r="G998" s="19" t="n">
        <f aca="false">'CEMIUP0.9 Raw'!G1559</f>
        <v>2819.77389473684</v>
      </c>
      <c r="H998" s="18" t="str">
        <f aca="false">'CEMIUP0.9 Raw'!A1559</f>
        <v>Super-Pharm Israel (CEMI internal group)</v>
      </c>
    </row>
    <row r="999" customFormat="false" ht="15" hidden="false" customHeight="false" outlineLevel="0" collapsed="false">
      <c r="A999" s="18" t="n">
        <f aca="false">'CEMIUP0.9 Raw'!B147</f>
        <v>4408192</v>
      </c>
      <c r="B999" s="18" t="str">
        <f aca="false">'CEMIUP0.9 Raw'!C147</f>
        <v>078 L חגורת גב +סגירה</v>
      </c>
      <c r="C999" s="18" t="str">
        <f aca="false">'CEMIUP0.9 Raw'!C147</f>
        <v>078 L חגורת גב +סגירה</v>
      </c>
      <c r="D999" s="19" t="n">
        <f aca="false">'CEMIUP0.9 Raw'!D147</f>
        <v>140</v>
      </c>
      <c r="E999" s="19" t="n">
        <f aca="false">'CEMIUP0.9 Raw'!E147</f>
        <v>14166.63</v>
      </c>
      <c r="F999" s="19" t="n">
        <f aca="false">'CEMIUP0.9 Raw'!F147</f>
        <v>70.7368421052632</v>
      </c>
      <c r="G999" s="19" t="n">
        <f aca="false">'CEMIUP0.9 Raw'!G147</f>
        <v>7337.68168421053</v>
      </c>
      <c r="H999" s="18" t="str">
        <f aca="false">'CEMIUP0.9 Raw'!A147</f>
        <v>107 - Pharmacies</v>
      </c>
    </row>
    <row r="1000" customFormat="false" ht="15" hidden="false" customHeight="false" outlineLevel="0" collapsed="false">
      <c r="A1000" s="18" t="n">
        <f aca="false">'CEMIUP0.9 Raw'!B192</f>
        <v>4409011</v>
      </c>
      <c r="B1000" s="18" t="str">
        <f aca="false">'CEMIUP0.9 Raw'!C192</f>
        <v>804AT-B      טייפ חבישה לספורט</v>
      </c>
      <c r="C1000" s="18" t="str">
        <f aca="false">'CEMIUP0.9 Raw'!C192</f>
        <v>804AT-B      טייפ חבישה לספורט</v>
      </c>
      <c r="D1000" s="19" t="n">
        <f aca="false">'CEMIUP0.9 Raw'!D192</f>
        <v>26</v>
      </c>
      <c r="E1000" s="19" t="n">
        <f aca="false">'CEMIUP0.9 Raw'!E192</f>
        <v>379.652</v>
      </c>
      <c r="F1000" s="19" t="n">
        <f aca="false">'CEMIUP0.9 Raw'!F192</f>
        <v>70.7368421052632</v>
      </c>
      <c r="G1000" s="19" t="n">
        <f aca="false">'CEMIUP0.9 Raw'!G192</f>
        <v>1110.62147368421</v>
      </c>
      <c r="H1000" s="18" t="str">
        <f aca="false">'CEMIUP0.9 Raw'!A192</f>
        <v>107 - Pharmacies</v>
      </c>
    </row>
    <row r="1001" customFormat="false" ht="15" hidden="false" customHeight="false" outlineLevel="0" collapsed="false">
      <c r="A1001" s="18" t="n">
        <f aca="false">'CEMIUP0.9 Raw'!B481</f>
        <v>4415029</v>
      </c>
      <c r="B1001" s="18" t="str">
        <f aca="false">'CEMIUP0.9 Raw'!C481</f>
        <v>סד קיבוע לאצבע הדק</v>
      </c>
      <c r="C1001" s="18" t="str">
        <f aca="false">'CEMIUP0.9 Raw'!C481</f>
        <v>סד קיבוע לאצבע הדק</v>
      </c>
      <c r="D1001" s="19" t="n">
        <f aca="false">'CEMIUP0.9 Raw'!D481</f>
        <v>54</v>
      </c>
      <c r="E1001" s="19" t="n">
        <f aca="false">'CEMIUP0.9 Raw'!E481</f>
        <v>1479.029</v>
      </c>
      <c r="F1001" s="19" t="n">
        <f aca="false">'CEMIUP0.9 Raw'!F481</f>
        <v>70.7368421052632</v>
      </c>
      <c r="G1001" s="19" t="n">
        <f aca="false">'CEMIUP0.9 Raw'!G481</f>
        <v>2004.12378947368</v>
      </c>
      <c r="H1001" s="18" t="str">
        <f aca="false">'CEMIUP0.9 Raw'!A481</f>
        <v>107 - Pharmacies</v>
      </c>
    </row>
    <row r="1002" customFormat="false" ht="15" hidden="false" customHeight="false" outlineLevel="0" collapsed="false">
      <c r="A1002" s="18" t="n">
        <f aca="false">'CEMIUP0.9 Raw'!B1682</f>
        <v>4420027</v>
      </c>
      <c r="B1002" s="18" t="str">
        <f aca="false">'CEMIUP0.9 Raw'!C1682</f>
        <v>370K 0 רפידת לילדים אנטי ריח</v>
      </c>
      <c r="C1002" s="18" t="str">
        <f aca="false">'CEMIUP0.9 Raw'!C1682</f>
        <v>370K 0 רפידת לילדים אנטי ריח</v>
      </c>
      <c r="D1002" s="19" t="n">
        <f aca="false">'CEMIUP0.9 Raw'!D1682</f>
        <v>140</v>
      </c>
      <c r="E1002" s="19" t="n">
        <f aca="false">'CEMIUP0.9 Raw'!E1682</f>
        <v>1305.031</v>
      </c>
      <c r="F1002" s="19" t="n">
        <f aca="false">'CEMIUP0.9 Raw'!F1682</f>
        <v>70.7368421052632</v>
      </c>
      <c r="G1002" s="19" t="n">
        <f aca="false">'CEMIUP0.9 Raw'!G1682</f>
        <v>660.372631578947</v>
      </c>
      <c r="H1002" s="18" t="str">
        <f aca="false">'CEMIUP0.9 Raw'!A1682</f>
        <v>Super-Pharm Israel (CEMI internal group)</v>
      </c>
    </row>
    <row r="1003" customFormat="false" ht="15" hidden="false" customHeight="false" outlineLevel="0" collapsed="false">
      <c r="A1003" s="18" t="n">
        <f aca="false">'SALES Raw'!G3227</f>
        <v>4413370</v>
      </c>
      <c r="B1003" s="18" t="str">
        <f aca="false">'SALES Raw'!B3227</f>
        <v>3674 0</v>
      </c>
      <c r="C1003" s="18" t="str">
        <f aca="false">'SALES Raw'!H3227</f>
        <v>3674 0 מ.בוניון+מפריד אצבע</v>
      </c>
      <c r="D1003" s="19" t="n">
        <f aca="false">'SALES Raw'!C3227</f>
        <v>38</v>
      </c>
      <c r="E1003" s="19" t="n">
        <f aca="false">'SALES Raw'!D3227</f>
        <v>608.77</v>
      </c>
      <c r="F1003" s="19" t="n">
        <f aca="false">'SALES Raw'!E3227*$H$4</f>
        <v>70.7368421052632</v>
      </c>
      <c r="G1003" s="19" t="n">
        <f aca="false">'SALES Raw'!F3227*$H$4</f>
        <v>1036.29473684211</v>
      </c>
      <c r="H1003" s="18" t="str">
        <f aca="false">'SALES Raw'!A3227</f>
        <v>204 - Sanaflex Anatomic GREECE</v>
      </c>
    </row>
    <row r="1004" customFormat="false" ht="15" hidden="false" customHeight="false" outlineLevel="0" collapsed="false">
      <c r="A1004" s="18" t="n">
        <f aca="false">'SALES Raw'!G3242</f>
        <v>4415299</v>
      </c>
      <c r="B1004" s="18" t="str">
        <f aca="false">'SALES Raw'!B3242</f>
        <v>388BR 0</v>
      </c>
      <c r="C1004" s="18" t="str">
        <f aca="false">'SALES Raw'!H3242</f>
        <v>388B L סד לילה שחור לבוהן ימין</v>
      </c>
      <c r="D1004" s="19" t="n">
        <f aca="false">'SALES Raw'!C3242</f>
        <v>60</v>
      </c>
      <c r="E1004" s="19" t="n">
        <f aca="false">'SALES Raw'!D3242</f>
        <v>2060.36</v>
      </c>
      <c r="F1004" s="19" t="n">
        <f aca="false">'SALES Raw'!E3242*$H$4</f>
        <v>70.7368421052632</v>
      </c>
      <c r="G1004" s="19" t="n">
        <f aca="false">'SALES Raw'!F3242*$H$4</f>
        <v>2244.69473684211</v>
      </c>
      <c r="H1004" s="18" t="str">
        <f aca="false">'SALES Raw'!A3242</f>
        <v>204 - Sanaflex Anatomic GREECE</v>
      </c>
    </row>
    <row r="1005" customFormat="false" ht="15" hidden="false" customHeight="false" outlineLevel="0" collapsed="false">
      <c r="A1005" s="18" t="n">
        <f aca="false">'SALES Raw'!G618</f>
        <v>4421006</v>
      </c>
      <c r="B1005" s="18" t="str">
        <f aca="false">'SALES Raw'!B618</f>
        <v>251 0</v>
      </c>
      <c r="C1005" s="18" t="str">
        <f aca="false">'SALES Raw'!H618</f>
        <v>שרוול לגבס ארוך יד</v>
      </c>
      <c r="D1005" s="19" t="n">
        <f aca="false">'SALES Raw'!C618</f>
        <v>80</v>
      </c>
      <c r="E1005" s="19" t="n">
        <f aca="false">'SALES Raw'!D618</f>
        <v>3308.28</v>
      </c>
      <c r="F1005" s="19" t="n">
        <f aca="false">'SALES Raw'!E618*$H$4</f>
        <v>69.4736842105263</v>
      </c>
      <c r="G1005" s="19" t="n">
        <f aca="false">'SALES Raw'!F618*$H$4</f>
        <v>2920.13052631579</v>
      </c>
      <c r="H1005" s="18" t="str">
        <f aca="false">'SALES Raw'!A618</f>
        <v>102 - Orthopedic institutes</v>
      </c>
    </row>
    <row r="1006" customFormat="false" ht="15" hidden="false" customHeight="false" outlineLevel="0" collapsed="false">
      <c r="A1006" s="18" t="n">
        <f aca="false">'SALES Raw'!G2178</f>
        <v>4411028</v>
      </c>
      <c r="B1006" s="18" t="str">
        <f aca="false">'SALES Raw'!B2178</f>
        <v>213CTSL S</v>
      </c>
      <c r="C1006" s="18" t="str">
        <f aca="false">'SALES Raw'!H2178</f>
        <v>213CTSL S שמאל CTS כפפות</v>
      </c>
      <c r="D1006" s="19" t="n">
        <f aca="false">'SALES Raw'!C2178</f>
        <v>16</v>
      </c>
      <c r="E1006" s="19" t="n">
        <f aca="false">'SALES Raw'!D2178</f>
        <v>3060.19</v>
      </c>
      <c r="F1006" s="19" t="n">
        <f aca="false">'SALES Raw'!E2178*$H$4</f>
        <v>69.4736842105263</v>
      </c>
      <c r="G1006" s="19" t="n">
        <f aca="false">'SALES Raw'!F2178*$H$4</f>
        <v>13890.3663157895</v>
      </c>
      <c r="H1006" s="18" t="str">
        <f aca="false">'SALES Raw'!A2178</f>
        <v>114 - IL online</v>
      </c>
    </row>
    <row r="1007" customFormat="false" ht="15" hidden="false" customHeight="false" outlineLevel="0" collapsed="false">
      <c r="A1007" s="18" t="n">
        <f aca="false">'SALES Raw'!G3034</f>
        <v>4408031</v>
      </c>
      <c r="B1007" s="18" t="str">
        <f aca="false">'SALES Raw'!B3034</f>
        <v>11 S</v>
      </c>
      <c r="C1007" s="18" t="str">
        <f aca="false">'SALES Raw'!H3034</f>
        <v>11 S""""חגורת בטן""""אורירית</v>
      </c>
      <c r="D1007" s="19" t="n">
        <f aca="false">'SALES Raw'!C3034</f>
        <v>0</v>
      </c>
      <c r="E1007" s="19" t="n">
        <f aca="false">'SALES Raw'!D3034</f>
        <v>0</v>
      </c>
      <c r="F1007" s="19" t="n">
        <f aca="false">'SALES Raw'!E3034*$H$4</f>
        <v>69.4736842105263</v>
      </c>
      <c r="G1007" s="19" t="n">
        <f aca="false">'SALES Raw'!F3034*$H$4</f>
        <v>3002.37473684211</v>
      </c>
      <c r="H1007" s="18" t="str">
        <f aca="false">'SALES Raw'!A3034</f>
        <v>203 - Ortho- Partner ag SWITZERLAND</v>
      </c>
    </row>
    <row r="1008" customFormat="false" ht="15" hidden="false" customHeight="false" outlineLevel="0" collapsed="false">
      <c r="A1008" s="18" t="str">
        <f aca="false">'SALES Raw'!G3129</f>
        <v/>
      </c>
      <c r="B1008" s="18" t="str">
        <f aca="false">'SALES Raw'!B3129</f>
        <v>T43V M</v>
      </c>
      <c r="C1008" s="18" t="str">
        <f aca="false">'SALES Raw'!H3129</f>
        <v>T43V M</v>
      </c>
      <c r="D1008" s="19" t="n">
        <f aca="false">'SALES Raw'!C3129</f>
        <v>252</v>
      </c>
      <c r="E1008" s="19" t="n">
        <f aca="false">'SALES Raw'!D3129</f>
        <v>29952.79</v>
      </c>
      <c r="F1008" s="19" t="n">
        <f aca="false">'SALES Raw'!E3129*$H$4</f>
        <v>69.4736842105263</v>
      </c>
      <c r="G1008" s="19" t="n">
        <f aca="false">'SALES Raw'!F3129*$H$4</f>
        <v>8109.13263157895</v>
      </c>
      <c r="H1008" s="18" t="str">
        <f aca="false">'SALES Raw'!A3129</f>
        <v>203 - Ortho- Partner ag SWITZERLAND</v>
      </c>
    </row>
    <row r="1009" customFormat="false" ht="15" hidden="false" customHeight="false" outlineLevel="0" collapsed="false">
      <c r="A1009" s="18" t="n">
        <f aca="false">'SALES Raw'!G3640</f>
        <v>4413329</v>
      </c>
      <c r="B1009" s="18" t="str">
        <f aca="false">'SALES Raw'!B3640</f>
        <v>AC45X 0</v>
      </c>
      <c r="C1009" s="18" t="str">
        <f aca="false">'SALES Raw'!H3640</f>
        <v>AC45X מגן ברך עם תמיכות</v>
      </c>
      <c r="D1009" s="19" t="n">
        <f aca="false">'SALES Raw'!C3640</f>
        <v>55</v>
      </c>
      <c r="E1009" s="19" t="n">
        <f aca="false">'SALES Raw'!D3640</f>
        <v>1725.6</v>
      </c>
      <c r="F1009" s="19" t="n">
        <f aca="false">'SALES Raw'!E3640*$H$4</f>
        <v>69.4736842105263</v>
      </c>
      <c r="G1009" s="19" t="n">
        <f aca="false">'SALES Raw'!F3640*$H$4</f>
        <v>2293.47789473684</v>
      </c>
      <c r="H1009" s="18" t="str">
        <f aca="false">'SALES Raw'!A3640</f>
        <v>207 - Salus HUNGARY</v>
      </c>
    </row>
    <row r="1010" customFormat="false" ht="15" hidden="false" customHeight="false" outlineLevel="0" collapsed="false">
      <c r="A1010" s="18" t="n">
        <f aca="false">'SALES Raw'!G3848</f>
        <v>4422000</v>
      </c>
      <c r="B1010" s="18" t="str">
        <f aca="false">'SALES Raw'!B3848</f>
        <v>801 0</v>
      </c>
      <c r="C1010" s="18" t="str">
        <f aca="false">'SALES Raw'!H3848</f>
        <v>801  תחבושת אלסטית מקררת</v>
      </c>
      <c r="D1010" s="19" t="n">
        <f aca="false">'SALES Raw'!C3848</f>
        <v>40</v>
      </c>
      <c r="E1010" s="19" t="n">
        <f aca="false">'SALES Raw'!D3848</f>
        <v>389.19</v>
      </c>
      <c r="F1010" s="19" t="n">
        <f aca="false">'SALES Raw'!E3848*$H$4</f>
        <v>69.4736842105263</v>
      </c>
      <c r="G1010" s="19" t="n">
        <f aca="false">'SALES Raw'!F3848*$H$4</f>
        <v>672.366315789474</v>
      </c>
      <c r="H1010" s="18" t="str">
        <f aca="false">'SALES Raw'!A3848</f>
        <v>209 - Ortoprofil Prod ROMANIA</v>
      </c>
    </row>
    <row r="1011" customFormat="false" ht="15" hidden="false" customHeight="false" outlineLevel="0" collapsed="false">
      <c r="A1011" s="18" t="str">
        <f aca="false">'SALES Raw'!G4064</f>
        <v/>
      </c>
      <c r="B1011" s="18" t="str">
        <f aca="false">'SALES Raw'!B4064</f>
        <v>ST27R 0</v>
      </c>
      <c r="C1011" s="18" t="str">
        <f aca="false">'SALES Raw'!H4064</f>
        <v>ST27R 0</v>
      </c>
      <c r="D1011" s="19" t="n">
        <f aca="false">'SALES Raw'!C4064</f>
        <v>155</v>
      </c>
      <c r="E1011" s="19" t="n">
        <f aca="false">'SALES Raw'!D4064</f>
        <v>2893</v>
      </c>
      <c r="F1011" s="19" t="n">
        <f aca="false">'SALES Raw'!E4064*$H$4</f>
        <v>69.4736842105263</v>
      </c>
      <c r="G1011" s="19" t="n">
        <f aca="false">'SALES Raw'!F4064*$H$4</f>
        <v>1144.61052631579</v>
      </c>
      <c r="H1011" s="18" t="str">
        <f aca="false">'SALES Raw'!A4064</f>
        <v>211 - Pharmag Lachmair Ges. Mbh AUSTRIA</v>
      </c>
    </row>
    <row r="1012" customFormat="false" ht="15" hidden="false" customHeight="false" outlineLevel="0" collapsed="false">
      <c r="A1012" s="18" t="n">
        <f aca="false">'CEMIUP0.9 Raw'!B731</f>
        <v>4408220</v>
      </c>
      <c r="B1012" s="18" t="str">
        <f aca="false">'CEMIUP0.9 Raw'!C731</f>
        <v>078G-M חגורת גב אפורה</v>
      </c>
      <c r="C1012" s="18" t="str">
        <f aca="false">'CEMIUP0.9 Raw'!C731</f>
        <v>078G-M חגורת גב אפורה</v>
      </c>
      <c r="D1012" s="19" t="n">
        <f aca="false">'CEMIUP0.9 Raw'!D731</f>
        <v>150</v>
      </c>
      <c r="E1012" s="19" t="n">
        <f aca="false">'CEMIUP0.9 Raw'!E731</f>
        <v>9750</v>
      </c>
      <c r="F1012" s="19" t="n">
        <f aca="false">'CEMIUP0.9 Raw'!F731</f>
        <v>69.4736842105263</v>
      </c>
      <c r="G1012" s="19" t="n">
        <f aca="false">'CEMIUP0.9 Raw'!G731</f>
        <v>4524.4547368421</v>
      </c>
      <c r="H1012" s="18" t="str">
        <f aca="false">'CEMIUP0.9 Raw'!A731</f>
        <v>113 - Kupat Holim Meuhedet</v>
      </c>
    </row>
    <row r="1013" customFormat="false" ht="15" hidden="false" customHeight="false" outlineLevel="0" collapsed="false">
      <c r="A1013" s="18" t="n">
        <f aca="false">'CEMIUP0.9 Raw'!B1424</f>
        <v>4411024</v>
      </c>
      <c r="B1013" s="18" t="str">
        <f aca="false">'CEMIUP0.9 Raw'!C1424</f>
        <v>212XL כפפות אגודל לחץ</v>
      </c>
      <c r="C1013" s="18" t="str">
        <f aca="false">'CEMIUP0.9 Raw'!C1424</f>
        <v>212XL כפפות אגודל לחץ</v>
      </c>
      <c r="D1013" s="19" t="n">
        <f aca="false">'CEMIUP0.9 Raw'!D1424</f>
        <v>62</v>
      </c>
      <c r="E1013" s="19" t="n">
        <f aca="false">'CEMIUP0.9 Raw'!E1424</f>
        <v>1610.7</v>
      </c>
      <c r="F1013" s="19" t="n">
        <f aca="false">'CEMIUP0.9 Raw'!F1424</f>
        <v>68.2105263157895</v>
      </c>
      <c r="G1013" s="19" t="n">
        <f aca="false">'CEMIUP0.9 Raw'!G1424</f>
        <v>1839.15789473684</v>
      </c>
      <c r="H1013" s="18" t="str">
        <f aca="false">'CEMIUP0.9 Raw'!A1424</f>
        <v>Super-Pharm Israel (CEMI internal group)</v>
      </c>
    </row>
    <row r="1014" customFormat="false" ht="15" hidden="false" customHeight="false" outlineLevel="0" collapsed="false">
      <c r="A1014" s="18" t="n">
        <f aca="false">'SALES Raw'!G550</f>
        <v>4403019</v>
      </c>
      <c r="B1014" s="18" t="str">
        <f aca="false">'SALES Raw'!B550</f>
        <v>394B-43-46</v>
      </c>
      <c r="C1014" s="18" t="str">
        <f aca="false">'SALES Raw'!H550</f>
        <v>394B גרב.כסף לסכרתים שחור43-46</v>
      </c>
      <c r="D1014" s="19" t="n">
        <f aca="false">'SALES Raw'!C550</f>
        <v>374</v>
      </c>
      <c r="E1014" s="19" t="n">
        <f aca="false">'SALES Raw'!D550</f>
        <v>8728.94</v>
      </c>
      <c r="F1014" s="19" t="n">
        <f aca="false">'SALES Raw'!E550*$H$4</f>
        <v>68.2105263157895</v>
      </c>
      <c r="G1014" s="19" t="n">
        <f aca="false">'SALES Raw'!F550*$H$4</f>
        <v>1704.85894736842</v>
      </c>
      <c r="H1014" s="18" t="str">
        <f aca="false">'SALES Raw'!A550</f>
        <v>102 - Orthopedic institutes</v>
      </c>
    </row>
    <row r="1015" customFormat="false" ht="15" hidden="false" customHeight="false" outlineLevel="0" collapsed="false">
      <c r="A1015" s="18" t="str">
        <f aca="false">'SALES Raw'!G3798</f>
        <v/>
      </c>
      <c r="B1015" s="18" t="str">
        <f aca="false">'SALES Raw'!B3798</f>
        <v>305-35-36</v>
      </c>
      <c r="C1015" s="18" t="str">
        <f aca="false">'SALES Raw'!H3798</f>
        <v>305-35-36</v>
      </c>
      <c r="D1015" s="19" t="n">
        <f aca="false">'SALES Raw'!C3798</f>
        <v>86</v>
      </c>
      <c r="E1015" s="19" t="n">
        <f aca="false">'SALES Raw'!D3798</f>
        <v>3010.82</v>
      </c>
      <c r="F1015" s="19" t="n">
        <f aca="false">'SALES Raw'!E3798*$H$4</f>
        <v>68.2105263157895</v>
      </c>
      <c r="G1015" s="19" t="n">
        <f aca="false">'SALES Raw'!F3798*$H$4</f>
        <v>2376.56842105263</v>
      </c>
      <c r="H1015" s="18" t="str">
        <f aca="false">'SALES Raw'!A3798</f>
        <v>209 - Ortoprofil Prod ROMANIA</v>
      </c>
    </row>
    <row r="1016" customFormat="false" ht="15" hidden="false" customHeight="false" outlineLevel="0" collapsed="false">
      <c r="A1016" s="18" t="n">
        <f aca="false">'SALES Raw'!G615</f>
        <v>4415160</v>
      </c>
      <c r="B1016" s="18" t="str">
        <f aca="false">'SALES Raw'!B615</f>
        <v>238 S</v>
      </c>
      <c r="C1016" s="18" t="str">
        <f aca="false">'SALES Raw'!H615</f>
        <v>238S סד ליישור אצבע</v>
      </c>
      <c r="D1016" s="19" t="n">
        <f aca="false">'SALES Raw'!C615</f>
        <v>69</v>
      </c>
      <c r="E1016" s="19" t="n">
        <f aca="false">'SALES Raw'!D615</f>
        <v>1374.29</v>
      </c>
      <c r="F1016" s="19" t="n">
        <f aca="false">'SALES Raw'!E615*$H$4</f>
        <v>66.9473684210526</v>
      </c>
      <c r="G1016" s="19" t="n">
        <f aca="false">'SALES Raw'!F615*$H$4</f>
        <v>1346.12210526316</v>
      </c>
      <c r="H1016" s="18" t="str">
        <f aca="false">'SALES Raw'!A615</f>
        <v>102 - Orthopedic institutes</v>
      </c>
    </row>
    <row r="1017" customFormat="false" ht="15" hidden="false" customHeight="false" outlineLevel="0" collapsed="false">
      <c r="A1017" s="18" t="n">
        <f aca="false">'SALES Raw'!G3200</f>
        <v>4413042</v>
      </c>
      <c r="B1017" s="18" t="str">
        <f aca="false">'SALES Raw'!B3200</f>
        <v>34 S</v>
      </c>
      <c r="C1017" s="18" t="str">
        <f aca="false">'SALES Raw'!H3200</f>
        <v>34  S מגן קרסול עקב סגור</v>
      </c>
      <c r="D1017" s="19" t="n">
        <f aca="false">'SALES Raw'!C3200</f>
        <v>16</v>
      </c>
      <c r="E1017" s="19" t="n">
        <f aca="false">'SALES Raw'!D3200</f>
        <v>323.96</v>
      </c>
      <c r="F1017" s="19" t="n">
        <f aca="false">'SALES Raw'!E3200*$H$4</f>
        <v>66.9473684210526</v>
      </c>
      <c r="G1017" s="19" t="n">
        <f aca="false">'SALES Raw'!F3200*$H$4</f>
        <v>1253.45684210526</v>
      </c>
      <c r="H1017" s="18" t="str">
        <f aca="false">'SALES Raw'!A3200</f>
        <v>204 - Sanaflex Anatomic GREECE</v>
      </c>
    </row>
    <row r="1018" customFormat="false" ht="15" hidden="false" customHeight="false" outlineLevel="0" collapsed="false">
      <c r="A1018" s="18" t="str">
        <f aca="false">'SALES Raw'!G4401</f>
        <v/>
      </c>
      <c r="B1018" s="18" t="str">
        <f aca="false">'SALES Raw'!B4401</f>
        <v>EC-11STO XL</v>
      </c>
      <c r="C1018" s="18" t="str">
        <f aca="false">'SALES Raw'!H4401</f>
        <v>EC-11STO XL</v>
      </c>
      <c r="D1018" s="19" t="n">
        <f aca="false">'SALES Raw'!C4401</f>
        <v>195</v>
      </c>
      <c r="E1018" s="19" t="n">
        <f aca="false">'SALES Raw'!D4401</f>
        <v>27208.51</v>
      </c>
      <c r="F1018" s="19" t="n">
        <f aca="false">'SALES Raw'!E4401*$H$4</f>
        <v>66.9473684210526</v>
      </c>
      <c r="G1018" s="19" t="n">
        <f aca="false">'SALES Raw'!F4401*$H$4</f>
        <v>9125.76</v>
      </c>
      <c r="H1018" s="18" t="str">
        <f aca="false">'SALES Raw'!A4401</f>
        <v>301 - Amazon</v>
      </c>
    </row>
    <row r="1019" customFormat="false" ht="15" hidden="false" customHeight="false" outlineLevel="0" collapsed="false">
      <c r="A1019" s="18" t="n">
        <f aca="false">'CEMIUP0.9 Raw'!B154</f>
        <v>4408218</v>
      </c>
      <c r="B1019" s="18" t="str">
        <f aca="false">'CEMIUP0.9 Raw'!C154</f>
        <v>078XL חגורת גב +סגירה כפולה</v>
      </c>
      <c r="C1019" s="18" t="str">
        <f aca="false">'CEMIUP0.9 Raw'!C154</f>
        <v>078XL חגורת גב +סגירה כפולה</v>
      </c>
      <c r="D1019" s="19" t="n">
        <f aca="false">'CEMIUP0.9 Raw'!D154</f>
        <v>121</v>
      </c>
      <c r="E1019" s="19" t="n">
        <f aca="false">'CEMIUP0.9 Raw'!E154</f>
        <v>12175.982</v>
      </c>
      <c r="F1019" s="19" t="n">
        <f aca="false">'CEMIUP0.9 Raw'!F154</f>
        <v>66.9473684210526</v>
      </c>
      <c r="G1019" s="19" t="n">
        <f aca="false">'CEMIUP0.9 Raw'!G154</f>
        <v>7005.61136842105</v>
      </c>
      <c r="H1019" s="18" t="str">
        <f aca="false">'CEMIUP0.9 Raw'!A154</f>
        <v>107 - Pharmacies</v>
      </c>
    </row>
    <row r="1020" customFormat="false" ht="15" hidden="false" customHeight="false" outlineLevel="0" collapsed="false">
      <c r="A1020" s="18" t="n">
        <f aca="false">'CEMIUP0.9 Raw'!B431</f>
        <v>4413456</v>
      </c>
      <c r="B1020" s="18" t="str">
        <f aca="false">'CEMIUP0.9 Raw'!C431</f>
        <v>AC75 XXL  מיישר כתפיים אקטיב</v>
      </c>
      <c r="C1020" s="18" t="str">
        <f aca="false">'CEMIUP0.9 Raw'!C431</f>
        <v>AC75 XXL  מיישר כתפיים אקטיב</v>
      </c>
      <c r="D1020" s="19" t="n">
        <f aca="false">'CEMIUP0.9 Raw'!D431</f>
        <v>107</v>
      </c>
      <c r="E1020" s="19" t="n">
        <f aca="false">'CEMIUP0.9 Raw'!E431</f>
        <v>6616.875</v>
      </c>
      <c r="F1020" s="19" t="n">
        <f aca="false">'CEMIUP0.9 Raw'!F431</f>
        <v>66.9473684210526</v>
      </c>
      <c r="G1020" s="19" t="n">
        <f aca="false">'CEMIUP0.9 Raw'!G431</f>
        <v>4839.41052631579</v>
      </c>
      <c r="H1020" s="18" t="str">
        <f aca="false">'CEMIUP0.9 Raw'!A431</f>
        <v>107 - Pharmacies</v>
      </c>
    </row>
    <row r="1021" customFormat="false" ht="15" hidden="false" customHeight="false" outlineLevel="0" collapsed="false">
      <c r="A1021" s="18" t="n">
        <f aca="false">'CEMIUP0.9 Raw'!B32</f>
        <v>4403025</v>
      </c>
      <c r="B1021" s="18" t="str">
        <f aca="false">'CEMIUP0.9 Raw'!C32</f>
        <v>394W 43-46 גרב.כסף לסכרתים לבן</v>
      </c>
      <c r="C1021" s="18" t="str">
        <f aca="false">'CEMIUP0.9 Raw'!C32</f>
        <v>394W 43-46 גרב.כסף לסכרתים לבן</v>
      </c>
      <c r="D1021" s="19" t="n">
        <f aca="false">'CEMIUP0.9 Raw'!D32</f>
        <v>90</v>
      </c>
      <c r="E1021" s="19" t="n">
        <f aca="false">'CEMIUP0.9 Raw'!E32</f>
        <v>2049.914</v>
      </c>
      <c r="F1021" s="19" t="n">
        <f aca="false">'CEMIUP0.9 Raw'!F32</f>
        <v>65.6842105263158</v>
      </c>
      <c r="G1021" s="19" t="n">
        <f aca="false">'CEMIUP0.9 Raw'!G32</f>
        <v>1634.09178947368</v>
      </c>
      <c r="H1021" s="18" t="str">
        <f aca="false">'CEMIUP0.9 Raw'!A32</f>
        <v>107 - Pharmacies</v>
      </c>
    </row>
    <row r="1022" customFormat="false" ht="15" hidden="false" customHeight="false" outlineLevel="0" collapsed="false">
      <c r="A1022" s="18" t="n">
        <f aca="false">'SALES Raw'!G543</f>
        <v>4415158</v>
      </c>
      <c r="B1022" s="18" t="str">
        <f aca="false">'SALES Raw'!B543</f>
        <v>266 0</v>
      </c>
      <c r="C1022" s="18" t="str">
        <f aca="false">'SALES Raw'!H543</f>
        <v>266 סד ליד דו צדדי</v>
      </c>
      <c r="D1022" s="19" t="n">
        <f aca="false">'SALES Raw'!C543</f>
        <v>62</v>
      </c>
      <c r="E1022" s="19" t="n">
        <f aca="false">'SALES Raw'!D543</f>
        <v>3632.56</v>
      </c>
      <c r="F1022" s="19" t="n">
        <f aca="false">'SALES Raw'!E543*$H$4</f>
        <v>65.6842105263158</v>
      </c>
      <c r="G1022" s="19" t="n">
        <f aca="false">'SALES Raw'!F543*$H$4</f>
        <v>3963.06947368421</v>
      </c>
      <c r="H1022" s="18" t="str">
        <f aca="false">'SALES Raw'!A543</f>
        <v>102 - Orthopedic institutes</v>
      </c>
    </row>
    <row r="1023" customFormat="false" ht="15" hidden="false" customHeight="false" outlineLevel="0" collapsed="false">
      <c r="A1023" s="18" t="n">
        <f aca="false">'CEMIUP0.9 Raw'!B230</f>
        <v>4413042</v>
      </c>
      <c r="B1023" s="18" t="str">
        <f aca="false">'CEMIUP0.9 Raw'!C230</f>
        <v>34  S מגן קרסול עקב סגור</v>
      </c>
      <c r="C1023" s="18" t="str">
        <f aca="false">'CEMIUP0.9 Raw'!C230</f>
        <v>34  S מגן קרסול עקב סגור</v>
      </c>
      <c r="D1023" s="19" t="n">
        <f aca="false">'CEMIUP0.9 Raw'!D230</f>
        <v>79</v>
      </c>
      <c r="E1023" s="19" t="n">
        <f aca="false">'CEMIUP0.9 Raw'!E230</f>
        <v>3145.142</v>
      </c>
      <c r="F1023" s="19" t="n">
        <f aca="false">'CEMIUP0.9 Raw'!F230</f>
        <v>64.421052631579</v>
      </c>
      <c r="G1023" s="19" t="n">
        <f aca="false">'CEMIUP0.9 Raw'!G230</f>
        <v>2708.74863157895</v>
      </c>
      <c r="H1023" s="18" t="str">
        <f aca="false">'CEMIUP0.9 Raw'!A230</f>
        <v>107 - Pharmacies</v>
      </c>
    </row>
    <row r="1024" customFormat="false" ht="15" hidden="false" customHeight="false" outlineLevel="0" collapsed="false">
      <c r="A1024" s="18" t="str">
        <f aca="false">'CEMIUP0.9 Raw'!B648</f>
        <v>67 0</v>
      </c>
      <c r="B1024" s="18" t="str">
        <f aca="false">'CEMIUP0.9 Raw'!C648</f>
        <v>67 0</v>
      </c>
      <c r="C1024" s="18" t="str">
        <f aca="false">'CEMIUP0.9 Raw'!C648</f>
        <v>67 0</v>
      </c>
      <c r="D1024" s="19" t="n">
        <f aca="false">'CEMIUP0.9 Raw'!D648</f>
        <v>108</v>
      </c>
      <c r="E1024" s="19" t="n">
        <f aca="false">'CEMIUP0.9 Raw'!E648</f>
        <v>13580.19</v>
      </c>
      <c r="F1024" s="19" t="n">
        <f aca="false">'CEMIUP0.9 Raw'!F648</f>
        <v>64.421052631579</v>
      </c>
      <c r="G1024" s="19" t="n">
        <f aca="false">'CEMIUP0.9 Raw'!G648</f>
        <v>10731.1705263158</v>
      </c>
      <c r="H1024" s="18" t="str">
        <f aca="false">'CEMIUP0.9 Raw'!A648</f>
        <v>107 - Pharmacies</v>
      </c>
    </row>
    <row r="1025" customFormat="false" ht="15" hidden="false" customHeight="false" outlineLevel="0" collapsed="false">
      <c r="A1025" s="18" t="n">
        <f aca="false">'SALES Raw'!G632</f>
        <v>4415298</v>
      </c>
      <c r="B1025" s="18" t="str">
        <f aca="false">'SALES Raw'!B632</f>
        <v>388BL 0</v>
      </c>
      <c r="C1025" s="18" t="str">
        <f aca="false">'SALES Raw'!H632</f>
        <v>388B L סד לילה שחור לבוהן שמאל</v>
      </c>
      <c r="D1025" s="19" t="n">
        <f aca="false">'SALES Raw'!C632</f>
        <v>49</v>
      </c>
      <c r="E1025" s="19" t="n">
        <f aca="false">'SALES Raw'!D632</f>
        <v>2940</v>
      </c>
      <c r="F1025" s="19" t="n">
        <f aca="false">'SALES Raw'!E632*$H$4</f>
        <v>64.421052631579</v>
      </c>
      <c r="G1025" s="19" t="n">
        <f aca="false">'SALES Raw'!F632*$H$4</f>
        <v>3865.26315789474</v>
      </c>
      <c r="H1025" s="18" t="str">
        <f aca="false">'SALES Raw'!A632</f>
        <v>102 - Orthopedic institutes</v>
      </c>
    </row>
    <row r="1026" customFormat="false" ht="15" hidden="false" customHeight="false" outlineLevel="0" collapsed="false">
      <c r="A1026" s="18" t="n">
        <f aca="false">'SALES Raw'!G3215</f>
        <v>4413055</v>
      </c>
      <c r="B1026" s="18" t="str">
        <f aca="false">'SALES Raw'!B3215</f>
        <v>35C XL</v>
      </c>
      <c r="C1026" s="18" t="str">
        <f aca="false">'SALES Raw'!H3215</f>
        <v>35C XL מגן קרסול חום</v>
      </c>
      <c r="D1026" s="19" t="n">
        <f aca="false">'SALES Raw'!C3215</f>
        <v>60</v>
      </c>
      <c r="E1026" s="19" t="n">
        <f aca="false">'SALES Raw'!D3215</f>
        <v>616.44</v>
      </c>
      <c r="F1026" s="19" t="n">
        <f aca="false">'SALES Raw'!E3215*$H$4</f>
        <v>64.421052631579</v>
      </c>
      <c r="G1026" s="19" t="n">
        <f aca="false">'SALES Raw'!F3215*$H$4</f>
        <v>593.482105263158</v>
      </c>
      <c r="H1026" s="18" t="str">
        <f aca="false">'SALES Raw'!A3215</f>
        <v>204 - Sanaflex Anatomic GREECE</v>
      </c>
    </row>
    <row r="1027" customFormat="false" ht="15" hidden="false" customHeight="false" outlineLevel="0" collapsed="false">
      <c r="A1027" s="18" t="str">
        <f aca="false">'SALES Raw'!G4092</f>
        <v/>
      </c>
      <c r="B1027" s="18" t="str">
        <f aca="false">'SALES Raw'!B4092</f>
        <v>61 M</v>
      </c>
      <c r="C1027" s="18" t="str">
        <f aca="false">'SALES Raw'!H4092</f>
        <v>61 M</v>
      </c>
      <c r="D1027" s="19" t="n">
        <f aca="false">'SALES Raw'!C4092</f>
        <v>35</v>
      </c>
      <c r="E1027" s="19" t="n">
        <f aca="false">'SALES Raw'!D4092</f>
        <v>675.22</v>
      </c>
      <c r="F1027" s="19" t="n">
        <f aca="false">'SALES Raw'!E4092*$H$4</f>
        <v>64.421052631579</v>
      </c>
      <c r="G1027" s="19" t="n">
        <f aca="false">'SALES Raw'!F4092*$H$4</f>
        <v>1076.03368421053</v>
      </c>
      <c r="H1027" s="18" t="str">
        <f aca="false">'SALES Raw'!A4092</f>
        <v>213 - E.f.m.o. SPAIN</v>
      </c>
    </row>
    <row r="1028" customFormat="false" ht="15" hidden="false" customHeight="false" outlineLevel="0" collapsed="false">
      <c r="A1028" s="18" t="n">
        <f aca="false">'SALES Raw'!G633</f>
        <v>4415299</v>
      </c>
      <c r="B1028" s="18" t="str">
        <f aca="false">'SALES Raw'!B633</f>
        <v>388BR 0</v>
      </c>
      <c r="C1028" s="18" t="str">
        <f aca="false">'SALES Raw'!H633</f>
        <v>388B L סד לילה שחור לבוהן ימין</v>
      </c>
      <c r="D1028" s="19" t="n">
        <f aca="false">'SALES Raw'!C633</f>
        <v>61</v>
      </c>
      <c r="E1028" s="19" t="n">
        <f aca="false">'SALES Raw'!D633</f>
        <v>3600.01</v>
      </c>
      <c r="F1028" s="19" t="n">
        <f aca="false">'SALES Raw'!E633*$H$4</f>
        <v>63.1578947368421</v>
      </c>
      <c r="G1028" s="19" t="n">
        <f aca="false">'SALES Raw'!F633*$H$4</f>
        <v>3789.47368421053</v>
      </c>
      <c r="H1028" s="18" t="str">
        <f aca="false">'SALES Raw'!A633</f>
        <v>102 - Orthopedic institutes</v>
      </c>
    </row>
    <row r="1029" customFormat="false" ht="15" hidden="false" customHeight="false" outlineLevel="0" collapsed="false">
      <c r="A1029" s="18" t="n">
        <f aca="false">'SALES Raw'!G704</f>
        <v>4413161</v>
      </c>
      <c r="B1029" s="18" t="str">
        <f aca="false">'SALES Raw'!B704</f>
        <v>34+ L</v>
      </c>
      <c r="C1029" s="18" t="str">
        <f aca="false">'SALES Raw'!H704</f>
        <v>34+ L מגן קרסול עקב סגור+רצוע</v>
      </c>
      <c r="D1029" s="19" t="n">
        <f aca="false">'SALES Raw'!C704</f>
        <v>35</v>
      </c>
      <c r="E1029" s="19" t="n">
        <f aca="false">'SALES Raw'!D704</f>
        <v>2359.31</v>
      </c>
      <c r="F1029" s="19" t="n">
        <f aca="false">'SALES Raw'!E704*$H$4</f>
        <v>63.1578947368421</v>
      </c>
      <c r="G1029" s="19" t="n">
        <f aca="false">'SALES Raw'!F704*$H$4</f>
        <v>4236.32842105263</v>
      </c>
      <c r="H1029" s="18" t="str">
        <f aca="false">'SALES Raw'!A704</f>
        <v>102 - Orthopedic institutes</v>
      </c>
    </row>
    <row r="1030" customFormat="false" ht="15" hidden="false" customHeight="false" outlineLevel="0" collapsed="false">
      <c r="A1030" s="18" t="n">
        <f aca="false">'SALES Raw'!G1268</f>
        <v>4409016</v>
      </c>
      <c r="B1030" s="18" t="str">
        <f aca="false">'SALES Raw'!B1268</f>
        <v>808KT-C</v>
      </c>
      <c r="C1030" s="18" t="str">
        <f aca="false">'SALES Raw'!H1268</f>
        <v>808KT-C        טייפ קינזיולוגי</v>
      </c>
      <c r="D1030" s="19" t="n">
        <f aca="false">'SALES Raw'!C1268</f>
        <v>73</v>
      </c>
      <c r="E1030" s="19" t="n">
        <f aca="false">'SALES Raw'!D1268</f>
        <v>2258.97</v>
      </c>
      <c r="F1030" s="19" t="n">
        <f aca="false">'SALES Raw'!E1268*$H$4</f>
        <v>63.1578947368421</v>
      </c>
      <c r="G1030" s="19" t="n">
        <f aca="false">'SALES Raw'!F1268*$H$4</f>
        <v>1894.73684210526</v>
      </c>
      <c r="H1030" s="18" t="str">
        <f aca="false">'SALES Raw'!A1268</f>
        <v>103 - Physiotherapy institutes</v>
      </c>
    </row>
    <row r="1031" customFormat="false" ht="15" hidden="false" customHeight="false" outlineLevel="0" collapsed="false">
      <c r="A1031" s="18" t="n">
        <f aca="false">'SALES Raw'!G2312</f>
        <v>4413371</v>
      </c>
      <c r="B1031" s="18" t="str">
        <f aca="false">'SALES Raw'!B2312</f>
        <v>3675 0</v>
      </c>
      <c r="C1031" s="18" t="str">
        <f aca="false">'SALES Raw'!H2312</f>
        <v>3675    מגן זרת מסיליקון</v>
      </c>
      <c r="D1031" s="19" t="n">
        <f aca="false">'SALES Raw'!C2312</f>
        <v>21</v>
      </c>
      <c r="E1031" s="19" t="n">
        <f aca="false">'SALES Raw'!D2312</f>
        <v>1097.25</v>
      </c>
      <c r="F1031" s="19" t="n">
        <f aca="false">'SALES Raw'!E2312*$H$4</f>
        <v>63.1578947368421</v>
      </c>
      <c r="G1031" s="19" t="n">
        <f aca="false">'SALES Raw'!F2312*$H$4</f>
        <v>3384.42947368421</v>
      </c>
      <c r="H1031" s="18" t="str">
        <f aca="false">'SALES Raw'!A2312</f>
        <v>114 - IL online</v>
      </c>
    </row>
    <row r="1032" customFormat="false" ht="15" hidden="false" customHeight="false" outlineLevel="0" collapsed="false">
      <c r="A1032" s="18" t="n">
        <f aca="false">'SALES Raw'!G2893</f>
        <v>4408190</v>
      </c>
      <c r="B1032" s="18" t="str">
        <f aca="false">'SALES Raw'!B2893</f>
        <v>078 M</v>
      </c>
      <c r="C1032" s="18" t="str">
        <f aca="false">'SALES Raw'!H2893</f>
        <v>M078 חגורת גב +סגירה כפולה</v>
      </c>
      <c r="D1032" s="19" t="n">
        <f aca="false">'SALES Raw'!C2893</f>
        <v>0</v>
      </c>
      <c r="E1032" s="19" t="n">
        <f aca="false">'SALES Raw'!D2893</f>
        <v>0</v>
      </c>
      <c r="F1032" s="19" t="n">
        <f aca="false">'SALES Raw'!E2893*$H$4</f>
        <v>63.1578947368421</v>
      </c>
      <c r="G1032" s="19" t="n">
        <f aca="false">'SALES Raw'!F2893*$H$4</f>
        <v>3922.76210526316</v>
      </c>
      <c r="H1032" s="18" t="str">
        <f aca="false">'SALES Raw'!A2893</f>
        <v>202 - Super-Pharm POLAND</v>
      </c>
    </row>
    <row r="1033" customFormat="false" ht="15" hidden="false" customHeight="false" outlineLevel="0" collapsed="false">
      <c r="A1033" s="18" t="n">
        <f aca="false">'SALES Raw'!G2897</f>
        <v>4408220</v>
      </c>
      <c r="B1033" s="18" t="str">
        <f aca="false">'SALES Raw'!B2897</f>
        <v>078G M</v>
      </c>
      <c r="C1033" s="18" t="str">
        <f aca="false">'SALES Raw'!H2897</f>
        <v>078G-M חגורת גב אפורה</v>
      </c>
      <c r="D1033" s="19" t="n">
        <f aca="false">'SALES Raw'!C2897</f>
        <v>140</v>
      </c>
      <c r="E1033" s="19" t="n">
        <f aca="false">'SALES Raw'!D2897</f>
        <v>9909.22</v>
      </c>
      <c r="F1033" s="19" t="n">
        <f aca="false">'SALES Raw'!E2897*$H$4</f>
        <v>63.1578947368421</v>
      </c>
      <c r="G1033" s="19" t="n">
        <f aca="false">'SALES Raw'!F2897*$H$4</f>
        <v>3950.03368421053</v>
      </c>
      <c r="H1033" s="18" t="str">
        <f aca="false">'SALES Raw'!A2897</f>
        <v>202 - Super-Pharm POLAND</v>
      </c>
    </row>
    <row r="1034" customFormat="false" ht="15" hidden="false" customHeight="false" outlineLevel="0" collapsed="false">
      <c r="A1034" s="18" t="n">
        <f aca="false">'SALES Raw'!G2961</f>
        <v>4420017</v>
      </c>
      <c r="B1034" s="18" t="str">
        <f aca="false">'SALES Raw'!B2961</f>
        <v>4022 0</v>
      </c>
      <c r="C1034" s="18" t="str">
        <f aca="false">'SALES Raw'!H2961</f>
        <v>4022 רצועת """"פיקה""""+כרית</v>
      </c>
      <c r="D1034" s="19" t="n">
        <f aca="false">'SALES Raw'!C2961</f>
        <v>92</v>
      </c>
      <c r="E1034" s="19" t="n">
        <f aca="false">'SALES Raw'!D2961</f>
        <v>6336.99</v>
      </c>
      <c r="F1034" s="19" t="n">
        <f aca="false">'SALES Raw'!E2961*$H$4</f>
        <v>63.1578947368421</v>
      </c>
      <c r="G1034" s="19" t="n">
        <f aca="false">'SALES Raw'!F2961*$H$4</f>
        <v>3846.45473684211</v>
      </c>
      <c r="H1034" s="18" t="str">
        <f aca="false">'SALES Raw'!A2961</f>
        <v>202 - Super-Pharm POLAND</v>
      </c>
    </row>
    <row r="1035" customFormat="false" ht="15" hidden="false" customHeight="false" outlineLevel="0" collapsed="false">
      <c r="A1035" s="18" t="n">
        <f aca="false">'SALES Raw'!G2964</f>
        <v>4413094</v>
      </c>
      <c r="B1035" s="18" t="str">
        <f aca="false">'SALES Raw'!B2964</f>
        <v>45 S</v>
      </c>
      <c r="C1035" s="18" t="str">
        <f aca="false">'SALES Raw'!H2964</f>
        <v>45 S מגן ברך לבן</v>
      </c>
      <c r="D1035" s="19" t="n">
        <f aca="false">'SALES Raw'!C2964</f>
        <v>120</v>
      </c>
      <c r="E1035" s="19" t="n">
        <f aca="false">'SALES Raw'!D2964</f>
        <v>1690.84</v>
      </c>
      <c r="F1035" s="19" t="n">
        <f aca="false">'SALES Raw'!E2964*$H$4</f>
        <v>63.1578947368421</v>
      </c>
      <c r="G1035" s="19" t="n">
        <f aca="false">'SALES Raw'!F2964*$H$4</f>
        <v>782.513684210526</v>
      </c>
      <c r="H1035" s="18" t="str">
        <f aca="false">'SALES Raw'!A2964</f>
        <v>202 - Super-Pharm POLAND</v>
      </c>
    </row>
    <row r="1036" customFormat="false" ht="15" hidden="false" customHeight="false" outlineLevel="0" collapsed="false">
      <c r="A1036" s="18" t="n">
        <f aca="false">'SALES Raw'!G2998</f>
        <v>4413503</v>
      </c>
      <c r="B1036" s="18" t="str">
        <f aca="false">'SALES Raw'!B2998</f>
        <v>95B XL</v>
      </c>
      <c r="C1036" s="18" t="str">
        <f aca="false">'SALES Raw'!H2998</f>
        <v>95B XL מגן מרפק שחור</v>
      </c>
      <c r="D1036" s="19" t="n">
        <f aca="false">'SALES Raw'!C2998</f>
        <v>170</v>
      </c>
      <c r="E1036" s="19" t="n">
        <f aca="false">'SALES Raw'!D2998</f>
        <v>2444.95</v>
      </c>
      <c r="F1036" s="19" t="n">
        <f aca="false">'SALES Raw'!E2998*$H$4</f>
        <v>63.1578947368421</v>
      </c>
      <c r="G1036" s="19" t="n">
        <f aca="false">'SALES Raw'!F2998*$H$4</f>
        <v>803.027368421053</v>
      </c>
      <c r="H1036" s="18" t="str">
        <f aca="false">'SALES Raw'!A2998</f>
        <v>202 - Super-Pharm POLAND</v>
      </c>
    </row>
    <row r="1037" customFormat="false" ht="15" hidden="false" customHeight="false" outlineLevel="0" collapsed="false">
      <c r="A1037" s="18" t="n">
        <f aca="false">'SALES Raw'!G3004</f>
        <v>4415026</v>
      </c>
      <c r="B1037" s="18" t="str">
        <f aca="false">'SALES Raw'!B3004</f>
        <v>AC27L 0</v>
      </c>
      <c r="C1037" s="18" t="str">
        <f aca="false">'SALES Raw'!H3004</f>
        <v>AC-27L סד לש.כף יד שמאל</v>
      </c>
      <c r="D1037" s="19" t="n">
        <f aca="false">'SALES Raw'!C3004</f>
        <v>130</v>
      </c>
      <c r="E1037" s="19" t="n">
        <f aca="false">'SALES Raw'!D3004</f>
        <v>3257.15</v>
      </c>
      <c r="F1037" s="19" t="n">
        <f aca="false">'SALES Raw'!E3004*$H$4</f>
        <v>63.1578947368421</v>
      </c>
      <c r="G1037" s="19" t="n">
        <f aca="false">'SALES Raw'!F3004*$H$4</f>
        <v>1421.58315789474</v>
      </c>
      <c r="H1037" s="18" t="str">
        <f aca="false">'SALES Raw'!A3004</f>
        <v>202 - Super-Pharm POLAND</v>
      </c>
    </row>
    <row r="1038" customFormat="false" ht="15" hidden="false" customHeight="false" outlineLevel="0" collapsed="false">
      <c r="A1038" s="18" t="n">
        <f aca="false">'SALES Raw'!G3018</f>
        <v>4413276</v>
      </c>
      <c r="B1038" s="18" t="str">
        <f aca="false">'SALES Raw'!B3018</f>
        <v>LF377 L</v>
      </c>
      <c r="C1038" s="18" t="str">
        <f aca="false">'SALES Raw'!H3018</f>
        <v>LF377 L-מדרס סיליקון לנעלי עקב</v>
      </c>
      <c r="D1038" s="19" t="n">
        <f aca="false">'SALES Raw'!C3018</f>
        <v>80</v>
      </c>
      <c r="E1038" s="19" t="n">
        <f aca="false">'SALES Raw'!D3018</f>
        <v>2003.56</v>
      </c>
      <c r="F1038" s="19" t="n">
        <f aca="false">'SALES Raw'!E3018*$H$4</f>
        <v>63.1578947368421</v>
      </c>
      <c r="G1038" s="19" t="n">
        <f aca="false">'SALES Raw'!F3018*$H$4</f>
        <v>1400.16</v>
      </c>
      <c r="H1038" s="18" t="str">
        <f aca="false">'SALES Raw'!A3018</f>
        <v>202 - Super-Pharm POLAND</v>
      </c>
    </row>
    <row r="1039" customFormat="false" ht="15" hidden="false" customHeight="false" outlineLevel="0" collapsed="false">
      <c r="A1039" s="18" t="n">
        <f aca="false">'SALES Raw'!G3055</f>
        <v>4411027</v>
      </c>
      <c r="B1039" s="18" t="str">
        <f aca="false">'SALES Raw'!B3055</f>
        <v>213CTSL M</v>
      </c>
      <c r="C1039" s="18" t="str">
        <f aca="false">'SALES Raw'!H3055</f>
        <v>213CTSL M שמאל CTS כפפות</v>
      </c>
      <c r="D1039" s="19" t="n">
        <f aca="false">'SALES Raw'!C3055</f>
        <v>15</v>
      </c>
      <c r="E1039" s="19" t="n">
        <f aca="false">'SALES Raw'!D3055</f>
        <v>575.1</v>
      </c>
      <c r="F1039" s="19" t="n">
        <f aca="false">'SALES Raw'!E3055*$H$4</f>
        <v>63.1578947368421</v>
      </c>
      <c r="G1039" s="19" t="n">
        <f aca="false">'SALES Raw'!F3055*$H$4</f>
        <v>2287.76842105263</v>
      </c>
      <c r="H1039" s="18" t="str">
        <f aca="false">'SALES Raw'!A3055</f>
        <v>203 - Ortho- Partner ag SWITZERLAND</v>
      </c>
    </row>
    <row r="1040" customFormat="false" ht="15" hidden="false" customHeight="false" outlineLevel="0" collapsed="false">
      <c r="A1040" s="18" t="n">
        <f aca="false">'SALES Raw'!G3058</f>
        <v>4411030</v>
      </c>
      <c r="B1040" s="18" t="str">
        <f aca="false">'SALES Raw'!B3058</f>
        <v>213CTSR M</v>
      </c>
      <c r="C1040" s="18" t="str">
        <f aca="false">'SALES Raw'!H3058</f>
        <v>213CTSR M ימין CTS כפפות</v>
      </c>
      <c r="D1040" s="19" t="n">
        <f aca="false">'SALES Raw'!C3058</f>
        <v>15</v>
      </c>
      <c r="E1040" s="19" t="n">
        <f aca="false">'SALES Raw'!D3058</f>
        <v>575.1</v>
      </c>
      <c r="F1040" s="19" t="n">
        <f aca="false">'SALES Raw'!E3058*$H$4</f>
        <v>63.1578947368421</v>
      </c>
      <c r="G1040" s="19" t="n">
        <f aca="false">'SALES Raw'!F3058*$H$4</f>
        <v>2259.12</v>
      </c>
      <c r="H1040" s="18" t="str">
        <f aca="false">'SALES Raw'!A3058</f>
        <v>203 - Ortho- Partner ag SWITZERLAND</v>
      </c>
    </row>
    <row r="1041" customFormat="false" ht="15" hidden="false" customHeight="false" outlineLevel="0" collapsed="false">
      <c r="A1041" s="18" t="n">
        <f aca="false">'SALES Raw'!G3142</f>
        <v>4408265</v>
      </c>
      <c r="B1041" s="18" t="str">
        <f aca="false">'SALES Raw'!B3142</f>
        <v>078 XXL</v>
      </c>
      <c r="C1041" s="18" t="str">
        <f aca="false">'SALES Raw'!H3142</f>
        <v>078XXL חגורת גב +סגירה כפולה</v>
      </c>
      <c r="D1041" s="19" t="n">
        <f aca="false">'SALES Raw'!C3142</f>
        <v>135</v>
      </c>
      <c r="E1041" s="19" t="n">
        <f aca="false">'SALES Raw'!D3142</f>
        <v>7059.17</v>
      </c>
      <c r="F1041" s="19" t="n">
        <f aca="false">'SALES Raw'!E3142*$H$4</f>
        <v>63.1578947368421</v>
      </c>
      <c r="G1041" s="19" t="n">
        <f aca="false">'SALES Raw'!F3142*$H$4</f>
        <v>3002.82947368421</v>
      </c>
      <c r="H1041" s="18" t="str">
        <f aca="false">'SALES Raw'!A3142</f>
        <v>204 - Sanaflex Anatomic GREECE</v>
      </c>
    </row>
    <row r="1042" customFormat="false" ht="15" hidden="false" customHeight="false" outlineLevel="0" collapsed="false">
      <c r="A1042" s="18" t="n">
        <f aca="false">'SALES Raw'!G3255</f>
        <v>4413093</v>
      </c>
      <c r="B1042" s="18" t="str">
        <f aca="false">'SALES Raw'!B3255</f>
        <v>45 M</v>
      </c>
      <c r="C1042" s="18" t="str">
        <f aca="false">'SALES Raw'!H3255</f>
        <v>45 M מגן ברך לבן</v>
      </c>
      <c r="D1042" s="19" t="n">
        <f aca="false">'SALES Raw'!C3255</f>
        <v>22</v>
      </c>
      <c r="E1042" s="19" t="n">
        <f aca="false">'SALES Raw'!D3255</f>
        <v>221.1</v>
      </c>
      <c r="F1042" s="19" t="n">
        <f aca="false">'SALES Raw'!E3255*$H$4</f>
        <v>63.1578947368421</v>
      </c>
      <c r="G1042" s="19" t="n">
        <f aca="false">'SALES Raw'!F3255*$H$4</f>
        <v>597.258947368421</v>
      </c>
      <c r="H1042" s="18" t="str">
        <f aca="false">'SALES Raw'!A3255</f>
        <v>204 - Sanaflex Anatomic GREECE</v>
      </c>
    </row>
    <row r="1043" customFormat="false" ht="15" hidden="false" customHeight="false" outlineLevel="0" collapsed="false">
      <c r="A1043" s="18" t="n">
        <f aca="false">'SALES Raw'!G3295</f>
        <v>4409017</v>
      </c>
      <c r="B1043" s="18" t="str">
        <f aca="false">'SALES Raw'!B3295</f>
        <v>808KT-B</v>
      </c>
      <c r="C1043" s="18" t="str">
        <f aca="false">'SALES Raw'!H3295</f>
        <v>808KT-B        טייפ קינזיולוגי</v>
      </c>
      <c r="D1043" s="19" t="n">
        <f aca="false">'SALES Raw'!C3295</f>
        <v>20</v>
      </c>
      <c r="E1043" s="19" t="n">
        <f aca="false">'SALES Raw'!D3295</f>
        <v>239.39</v>
      </c>
      <c r="F1043" s="19" t="n">
        <f aca="false">'SALES Raw'!E3295*$H$4</f>
        <v>63.1578947368421</v>
      </c>
      <c r="G1043" s="19" t="n">
        <f aca="false">'SALES Raw'!F3295*$H$4</f>
        <v>709.263157894737</v>
      </c>
      <c r="H1043" s="18" t="str">
        <f aca="false">'SALES Raw'!A3295</f>
        <v>204 - Sanaflex Anatomic GREECE</v>
      </c>
    </row>
    <row r="1044" customFormat="false" ht="15" hidden="false" customHeight="false" outlineLevel="0" collapsed="false">
      <c r="A1044" s="18" t="n">
        <f aca="false">'SALES Raw'!G3296</f>
        <v>4409015</v>
      </c>
      <c r="B1044" s="18" t="str">
        <f aca="false">'SALES Raw'!B3296</f>
        <v>808KT-BL</v>
      </c>
      <c r="C1044" s="18" t="str">
        <f aca="false">'SALES Raw'!H3296</f>
        <v>808KT-BL       טייפ קינזיולוגי</v>
      </c>
      <c r="D1044" s="19" t="n">
        <f aca="false">'SALES Raw'!C3296</f>
        <v>26</v>
      </c>
      <c r="E1044" s="19" t="n">
        <f aca="false">'SALES Raw'!D3296</f>
        <v>322.75</v>
      </c>
      <c r="F1044" s="19" t="n">
        <f aca="false">'SALES Raw'!E3296*$H$4</f>
        <v>63.1578947368421</v>
      </c>
      <c r="G1044" s="19" t="n">
        <f aca="false">'SALES Raw'!F3296*$H$4</f>
        <v>712.534736842105</v>
      </c>
      <c r="H1044" s="18" t="str">
        <f aca="false">'SALES Raw'!A3296</f>
        <v>204 - Sanaflex Anatomic GREECE</v>
      </c>
    </row>
    <row r="1045" customFormat="false" ht="15" hidden="false" customHeight="false" outlineLevel="0" collapsed="false">
      <c r="A1045" s="18" t="n">
        <f aca="false">'SALES Raw'!G3356</f>
        <v>4420003</v>
      </c>
      <c r="B1045" s="18" t="str">
        <f aca="false">'SALES Raw'!B3356</f>
        <v>374 0</v>
      </c>
      <c r="C1045" s="18" t="str">
        <f aca="false">'SALES Raw'!H3356</f>
        <v>374 רפידת בולמת זעזועים -זוג</v>
      </c>
      <c r="D1045" s="19" t="n">
        <f aca="false">'SALES Raw'!C3356</f>
        <v>100</v>
      </c>
      <c r="E1045" s="19" t="n">
        <f aca="false">'SALES Raw'!D3356</f>
        <v>947.31</v>
      </c>
      <c r="F1045" s="19" t="n">
        <f aca="false">'SALES Raw'!E3356*$H$4</f>
        <v>63.1578947368421</v>
      </c>
      <c r="G1045" s="19" t="n">
        <f aca="false">'SALES Raw'!F3356*$H$4</f>
        <v>517.73052631579</v>
      </c>
      <c r="H1045" s="18" t="str">
        <f aca="false">'SALES Raw'!A3356</f>
        <v>205 - Health Care Prod. Gmbh GERMANY</v>
      </c>
    </row>
    <row r="1046" customFormat="false" ht="15" hidden="false" customHeight="false" outlineLevel="0" collapsed="false">
      <c r="A1046" s="18" t="str">
        <f aca="false">'SALES Raw'!G3378</f>
        <v/>
      </c>
      <c r="B1046" s="18" t="str">
        <f aca="false">'SALES Raw'!B3378</f>
        <v>ST95 0</v>
      </c>
      <c r="C1046" s="18" t="str">
        <f aca="false">'SALES Raw'!H3378</f>
        <v>ST95 0</v>
      </c>
      <c r="D1046" s="19" t="n">
        <f aca="false">'SALES Raw'!C3378</f>
        <v>20</v>
      </c>
      <c r="E1046" s="19" t="n">
        <f aca="false">'SALES Raw'!D3378</f>
        <v>412.16</v>
      </c>
      <c r="F1046" s="19" t="n">
        <f aca="false">'SALES Raw'!E3378*$H$4</f>
        <v>63.1578947368421</v>
      </c>
      <c r="G1046" s="19" t="n">
        <f aca="false">'SALES Raw'!F3378*$H$4</f>
        <v>1239.82736842105</v>
      </c>
      <c r="H1046" s="18" t="str">
        <f aca="false">'SALES Raw'!A3378</f>
        <v>205 - Health Care Prod. Gmbh GERMANY</v>
      </c>
    </row>
    <row r="1047" customFormat="false" ht="15" hidden="false" customHeight="false" outlineLevel="0" collapsed="false">
      <c r="A1047" s="18" t="n">
        <f aca="false">'SALES Raw'!G3486</f>
        <v>4415029</v>
      </c>
      <c r="B1047" s="18" t="str">
        <f aca="false">'SALES Raw'!B3486</f>
        <v>237 0</v>
      </c>
      <c r="C1047" s="18" t="str">
        <f aca="false">'SALES Raw'!H3486</f>
        <v>סד קיבוע לאצבע הדק</v>
      </c>
      <c r="D1047" s="19" t="n">
        <f aca="false">'SALES Raw'!C3486</f>
        <v>10</v>
      </c>
      <c r="E1047" s="19" t="n">
        <f aca="false">'SALES Raw'!D3486</f>
        <v>147.96</v>
      </c>
      <c r="F1047" s="19" t="n">
        <f aca="false">'SALES Raw'!E3486*$H$4</f>
        <v>63.1578947368421</v>
      </c>
      <c r="G1047" s="19" t="n">
        <f aca="false">'SALES Raw'!F3486*$H$4</f>
        <v>895.743157894737</v>
      </c>
      <c r="H1047" s="18" t="str">
        <f aca="false">'SALES Raw'!A3486</f>
        <v>207 - Salus HUNGARY</v>
      </c>
    </row>
    <row r="1048" customFormat="false" ht="15" hidden="false" customHeight="false" outlineLevel="0" collapsed="false">
      <c r="A1048" s="18" t="n">
        <f aca="false">'SALES Raw'!G3530</f>
        <v>4413047</v>
      </c>
      <c r="B1048" s="18" t="str">
        <f aca="false">'SALES Raw'!B3530</f>
        <v>35 S</v>
      </c>
      <c r="C1048" s="18" t="str">
        <f aca="false">'SALES Raw'!H3530</f>
        <v>35 S מגן קרסול לבן</v>
      </c>
      <c r="D1048" s="19" t="n">
        <f aca="false">'SALES Raw'!C3530</f>
        <v>79</v>
      </c>
      <c r="E1048" s="19" t="n">
        <f aca="false">'SALES Raw'!D3530</f>
        <v>828.66</v>
      </c>
      <c r="F1048" s="19" t="n">
        <f aca="false">'SALES Raw'!E3530*$H$4</f>
        <v>63.1578947368421</v>
      </c>
      <c r="G1048" s="19" t="n">
        <f aca="false">'SALES Raw'!F3530*$H$4</f>
        <v>636.025263157895</v>
      </c>
      <c r="H1048" s="18" t="str">
        <f aca="false">'SALES Raw'!A3530</f>
        <v>207 - Salus HUNGARY</v>
      </c>
    </row>
    <row r="1049" customFormat="false" ht="15" hidden="false" customHeight="false" outlineLevel="0" collapsed="false">
      <c r="A1049" s="18" t="n">
        <f aca="false">'SALES Raw'!G3532</f>
        <v>4413051</v>
      </c>
      <c r="B1049" s="18" t="str">
        <f aca="false">'SALES Raw'!B3532</f>
        <v>35 XXL</v>
      </c>
      <c r="C1049" s="18" t="str">
        <f aca="false">'SALES Raw'!H3532</f>
        <v>35 XXL מגן קרסול לבן</v>
      </c>
      <c r="D1049" s="19" t="n">
        <f aca="false">'SALES Raw'!C3532</f>
        <v>54</v>
      </c>
      <c r="E1049" s="19" t="n">
        <f aca="false">'SALES Raw'!D3532</f>
        <v>575.09</v>
      </c>
      <c r="F1049" s="19" t="n">
        <f aca="false">'SALES Raw'!E3532*$H$4</f>
        <v>63.1578947368421</v>
      </c>
      <c r="G1049" s="19" t="n">
        <f aca="false">'SALES Raw'!F3532*$H$4</f>
        <v>636.025263157895</v>
      </c>
      <c r="H1049" s="18" t="str">
        <f aca="false">'SALES Raw'!A3532</f>
        <v>207 - Salus HUNGARY</v>
      </c>
    </row>
    <row r="1050" customFormat="false" ht="15" hidden="false" customHeight="false" outlineLevel="0" collapsed="false">
      <c r="A1050" s="18" t="n">
        <f aca="false">'SALES Raw'!G3638</f>
        <v>4413326</v>
      </c>
      <c r="B1050" s="18" t="str">
        <f aca="false">'SALES Raw'!B3638</f>
        <v>AC37 0</v>
      </c>
      <c r="C1050" s="18" t="str">
        <f aca="false">'SALES Raw'!H3638</f>
        <v>AC37 מגן קרסול נושם</v>
      </c>
      <c r="D1050" s="19" t="n">
        <f aca="false">'SALES Raw'!C3638</f>
        <v>144</v>
      </c>
      <c r="E1050" s="19" t="n">
        <f aca="false">'SALES Raw'!D3638</f>
        <v>2751.43</v>
      </c>
      <c r="F1050" s="19" t="n">
        <f aca="false">'SALES Raw'!E3638*$H$4</f>
        <v>63.1578947368421</v>
      </c>
      <c r="G1050" s="19" t="n">
        <f aca="false">'SALES Raw'!F3638*$H$4</f>
        <v>1039.73052631579</v>
      </c>
      <c r="H1050" s="18" t="str">
        <f aca="false">'SALES Raw'!A3638</f>
        <v>207 - Salus HUNGARY</v>
      </c>
    </row>
    <row r="1051" customFormat="false" ht="15" hidden="false" customHeight="false" outlineLevel="0" collapsed="false">
      <c r="A1051" s="18" t="n">
        <f aca="false">'SALES Raw'!G3661</f>
        <v>4413532</v>
      </c>
      <c r="B1051" s="18" t="str">
        <f aca="false">'SALES Raw'!B3661</f>
        <v>ST433 0</v>
      </c>
      <c r="C1051" s="18" t="str">
        <f aca="false">'SALES Raw'!H3661</f>
        <v>ST433 H מגן ברך עם ציר</v>
      </c>
      <c r="D1051" s="19" t="n">
        <f aca="false">'SALES Raw'!C3661</f>
        <v>60</v>
      </c>
      <c r="E1051" s="19" t="n">
        <f aca="false">'SALES Raw'!D3661</f>
        <v>4107.28</v>
      </c>
      <c r="F1051" s="19" t="n">
        <f aca="false">'SALES Raw'!E3661*$H$4</f>
        <v>63.1578947368421</v>
      </c>
      <c r="G1051" s="19" t="n">
        <f aca="false">'SALES Raw'!F3661*$H$4</f>
        <v>4125.46105263158</v>
      </c>
      <c r="H1051" s="18" t="str">
        <f aca="false">'SALES Raw'!A3661</f>
        <v>207 - Salus HUNGARY</v>
      </c>
    </row>
    <row r="1052" customFormat="false" ht="15" hidden="false" customHeight="false" outlineLevel="0" collapsed="false">
      <c r="A1052" s="18" t="n">
        <f aca="false">'SALES Raw'!G3815</f>
        <v>4411001</v>
      </c>
      <c r="B1052" s="18" t="str">
        <f aca="false">'SALES Raw'!B3815</f>
        <v>3623 0</v>
      </c>
      <c r="C1052" s="18" t="str">
        <f aca="false">'SALES Raw'!H3815</f>
        <v>3623 כרית ליישור אצבע פטיש</v>
      </c>
      <c r="D1052" s="19" t="n">
        <f aca="false">'SALES Raw'!C3815</f>
        <v>49</v>
      </c>
      <c r="E1052" s="19" t="n">
        <f aca="false">'SALES Raw'!D3815</f>
        <v>775.84</v>
      </c>
      <c r="F1052" s="19" t="n">
        <f aca="false">'SALES Raw'!E3815*$H$4</f>
        <v>63.1578947368421</v>
      </c>
      <c r="G1052" s="19" t="n">
        <f aca="false">'SALES Raw'!F3815*$H$4</f>
        <v>970.837894736842</v>
      </c>
      <c r="H1052" s="18" t="str">
        <f aca="false">'SALES Raw'!A3815</f>
        <v>209 - Ortoprofil Prod ROMANIA</v>
      </c>
    </row>
    <row r="1053" customFormat="false" ht="15" hidden="false" customHeight="false" outlineLevel="0" collapsed="false">
      <c r="A1053" s="18" t="str">
        <f aca="false">'SALES Raw'!G3816</f>
        <v/>
      </c>
      <c r="B1053" s="18" t="str">
        <f aca="false">'SALES Raw'!B3816</f>
        <v>363 L/R</v>
      </c>
      <c r="C1053" s="18" t="str">
        <f aca="false">'SALES Raw'!H3816</f>
        <v>363 L/R</v>
      </c>
      <c r="D1053" s="19" t="n">
        <f aca="false">'SALES Raw'!C3816</f>
        <v>73</v>
      </c>
      <c r="E1053" s="19" t="n">
        <f aca="false">'SALES Raw'!D3816</f>
        <v>851.85</v>
      </c>
      <c r="F1053" s="19" t="n">
        <f aca="false">'SALES Raw'!E3816*$H$4</f>
        <v>63.1578947368421</v>
      </c>
      <c r="G1053" s="19" t="n">
        <f aca="false">'SALES Raw'!F3816*$H$4</f>
        <v>737.722105263158</v>
      </c>
      <c r="H1053" s="18" t="str">
        <f aca="false">'SALES Raw'!A3816</f>
        <v>209 - Ortoprofil Prod ROMANIA</v>
      </c>
    </row>
    <row r="1054" customFormat="false" ht="15" hidden="false" customHeight="false" outlineLevel="0" collapsed="false">
      <c r="A1054" s="18" t="str">
        <f aca="false">'SALES Raw'!G4067</f>
        <v/>
      </c>
      <c r="B1054" s="18" t="str">
        <f aca="false">'SALES Raw'!B4067</f>
        <v>ST45X 0</v>
      </c>
      <c r="C1054" s="18" t="str">
        <f aca="false">'SALES Raw'!H4067</f>
        <v>ST45X 0</v>
      </c>
      <c r="D1054" s="19" t="n">
        <f aca="false">'SALES Raw'!C4067</f>
        <v>470</v>
      </c>
      <c r="E1054" s="19" t="n">
        <f aca="false">'SALES Raw'!D4067</f>
        <v>9072.09</v>
      </c>
      <c r="F1054" s="19" t="n">
        <f aca="false">'SALES Raw'!E4067*$H$4</f>
        <v>63.1578947368421</v>
      </c>
      <c r="G1054" s="19" t="n">
        <f aca="false">'SALES Raw'!F4067*$H$4</f>
        <v>1073.40631578947</v>
      </c>
      <c r="H1054" s="18" t="str">
        <f aca="false">'SALES Raw'!A4067</f>
        <v>211 - Pharmag Lachmair Ges. Mbh AUSTRIA</v>
      </c>
    </row>
    <row r="1055" customFormat="false" ht="15" hidden="false" customHeight="false" outlineLevel="0" collapsed="false">
      <c r="A1055" s="18" t="n">
        <f aca="false">'SALES Raw'!G4138</f>
        <v>4420026</v>
      </c>
      <c r="B1055" s="18" t="str">
        <f aca="false">'SALES Raw'!B4138</f>
        <v>AC40 0</v>
      </c>
      <c r="C1055" s="18" t="str">
        <f aca="false">'SALES Raw'!H4138</f>
        <v>AC40 רצועה לפיקת הברך</v>
      </c>
      <c r="D1055" s="19" t="n">
        <f aca="false">'SALES Raw'!C4138</f>
        <v>30</v>
      </c>
      <c r="E1055" s="19" t="n">
        <f aca="false">'SALES Raw'!D4138</f>
        <v>964.67</v>
      </c>
      <c r="F1055" s="19" t="n">
        <f aca="false">'SALES Raw'!E4138*$H$4</f>
        <v>63.1578947368421</v>
      </c>
      <c r="G1055" s="19" t="n">
        <f aca="false">'SALES Raw'!F4138*$H$4</f>
        <v>1889.15368421053</v>
      </c>
      <c r="H1055" s="18" t="str">
        <f aca="false">'SALES Raw'!A4138</f>
        <v>214 - Alfred Gera&amp; Sons Ltd. MALTA</v>
      </c>
    </row>
    <row r="1056" customFormat="false" ht="15" hidden="false" customHeight="false" outlineLevel="0" collapsed="false">
      <c r="A1056" s="18" t="n">
        <f aca="false">'SALES Raw'!G4141</f>
        <v>4413453</v>
      </c>
      <c r="B1056" s="18" t="str">
        <f aca="false">'SALES Raw'!B4141</f>
        <v>AC75-S-XL</v>
      </c>
      <c r="C1056" s="18" t="str">
        <f aca="false">'SALES Raw'!H4141</f>
        <v>AC75 מישר כתפיים אקטיב</v>
      </c>
      <c r="D1056" s="19" t="n">
        <f aca="false">'SALES Raw'!C4141</f>
        <v>30</v>
      </c>
      <c r="E1056" s="19" t="n">
        <f aca="false">'SALES Raw'!D4141</f>
        <v>1191.65</v>
      </c>
      <c r="F1056" s="19" t="n">
        <f aca="false">'SALES Raw'!E4141*$H$4</f>
        <v>63.1578947368421</v>
      </c>
      <c r="G1056" s="19" t="n">
        <f aca="false">'SALES Raw'!F4141*$H$4</f>
        <v>2333.65894736842</v>
      </c>
      <c r="H1056" s="18" t="str">
        <f aca="false">'SALES Raw'!A4141</f>
        <v>214 - Alfred Gera&amp; Sons Ltd. MALTA</v>
      </c>
    </row>
    <row r="1057" customFormat="false" ht="15" hidden="false" customHeight="false" outlineLevel="0" collapsed="false">
      <c r="A1057" s="18" t="n">
        <f aca="false">'SALES Raw'!G4231</f>
        <v>4421008</v>
      </c>
      <c r="B1057" s="18" t="str">
        <f aca="false">'SALES Raw'!B4231</f>
        <v>351 0</v>
      </c>
      <c r="C1057" s="18" t="str">
        <f aca="false">'SALES Raw'!H4231</f>
        <v>שרוול לגבס ארוך רגל</v>
      </c>
      <c r="D1057" s="19" t="n">
        <f aca="false">'SALES Raw'!C4231</f>
        <v>30</v>
      </c>
      <c r="E1057" s="19" t="n">
        <f aca="false">'SALES Raw'!D4231</f>
        <v>919.47</v>
      </c>
      <c r="F1057" s="19" t="n">
        <f aca="false">'SALES Raw'!E4231*$H$4</f>
        <v>63.1578947368421</v>
      </c>
      <c r="G1057" s="19" t="n">
        <f aca="false">'SALES Raw'!F4231*$H$4</f>
        <v>1692.73263157895</v>
      </c>
      <c r="H1057" s="18" t="str">
        <f aca="false">'SALES Raw'!A4231</f>
        <v>216 - Max Konnaris CYPRUS</v>
      </c>
    </row>
    <row r="1058" customFormat="false" ht="15" hidden="false" customHeight="false" outlineLevel="0" collapsed="false">
      <c r="A1058" s="18" t="n">
        <f aca="false">'SALES Raw'!G4242</f>
        <v>4420002</v>
      </c>
      <c r="B1058" s="18" t="str">
        <f aca="false">'SALES Raw'!B4242</f>
        <v>372 0</v>
      </c>
      <c r="C1058" s="18" t="str">
        <f aca="false">'SALES Raw'!H4242</f>
        <v>372 רפידת אנטי ריח -זוג</v>
      </c>
      <c r="D1058" s="19" t="n">
        <f aca="false">'SALES Raw'!C4242</f>
        <v>150</v>
      </c>
      <c r="E1058" s="19" t="n">
        <f aca="false">'SALES Raw'!D4242</f>
        <v>1254.66</v>
      </c>
      <c r="F1058" s="19" t="n">
        <f aca="false">'SALES Raw'!E4242*$H$4</f>
        <v>63.1578947368421</v>
      </c>
      <c r="G1058" s="19" t="n">
        <f aca="false">'SALES Raw'!F4242*$H$4</f>
        <v>464.109473684211</v>
      </c>
      <c r="H1058" s="18" t="str">
        <f aca="false">'SALES Raw'!A4242</f>
        <v>216 - Max Konnaris CYPRUS</v>
      </c>
    </row>
    <row r="1059" customFormat="false" ht="15" hidden="false" customHeight="false" outlineLevel="0" collapsed="false">
      <c r="A1059" s="18" t="n">
        <f aca="false">'SALES Raw'!G4340</f>
        <v>4408206</v>
      </c>
      <c r="B1059" s="18" t="str">
        <f aca="false">'SALES Raw'!B4340</f>
        <v>AC11 0</v>
      </c>
      <c r="C1059" s="18" t="str">
        <f aca="false">'SALES Raw'!H4340</f>
        <v>AC-11 חגורת בטן קלה</v>
      </c>
      <c r="D1059" s="19" t="n">
        <f aca="false">'SALES Raw'!C4340</f>
        <v>6</v>
      </c>
      <c r="E1059" s="19" t="n">
        <f aca="false">'SALES Raw'!D4340</f>
        <v>245.91</v>
      </c>
      <c r="F1059" s="19" t="n">
        <f aca="false">'SALES Raw'!E4340*$H$4</f>
        <v>63.1578947368421</v>
      </c>
      <c r="G1059" s="19" t="n">
        <f aca="false">'SALES Raw'!F4340*$H$4</f>
        <v>2180.66526315789</v>
      </c>
      <c r="H1059" s="18" t="str">
        <f aca="false">'SALES Raw'!A4340</f>
        <v>216 - Max Konnaris CYPRUS</v>
      </c>
    </row>
    <row r="1060" customFormat="false" ht="15" hidden="false" customHeight="false" outlineLevel="0" collapsed="false">
      <c r="A1060" s="18" t="n">
        <f aca="false">'SALES Raw'!G4378</f>
        <v>4415177</v>
      </c>
      <c r="B1060" s="18" t="str">
        <f aca="false">'SALES Raw'!B4378</f>
        <v>ST28 0</v>
      </c>
      <c r="C1060" s="18" t="str">
        <f aca="false">'SALES Raw'!H4378</f>
        <v>ST28 סד אגודלי עם מוט תמיכה</v>
      </c>
      <c r="D1060" s="19" t="n">
        <f aca="false">'SALES Raw'!C4378</f>
        <v>30</v>
      </c>
      <c r="E1060" s="19" t="n">
        <f aca="false">'SALES Raw'!D4378</f>
        <v>511.47</v>
      </c>
      <c r="F1060" s="19" t="n">
        <f aca="false">'SALES Raw'!E4378*$H$4</f>
        <v>63.1578947368421</v>
      </c>
      <c r="G1060" s="19" t="n">
        <f aca="false">'SALES Raw'!F4378*$H$4</f>
        <v>990.189473684211</v>
      </c>
      <c r="H1060" s="18" t="str">
        <f aca="false">'SALES Raw'!A4378</f>
        <v>216 - Max Konnaris CYPRUS</v>
      </c>
    </row>
    <row r="1061" customFormat="false" ht="15" hidden="false" customHeight="false" outlineLevel="0" collapsed="false">
      <c r="A1061" s="18" t="n">
        <f aca="false">'CEMIUP0.9 Raw'!B31</f>
        <v>4403024</v>
      </c>
      <c r="B1061" s="18" t="str">
        <f aca="false">'CEMIUP0.9 Raw'!C31</f>
        <v>394W 39-42 גרב.כסף לסכרתים לבן</v>
      </c>
      <c r="C1061" s="18" t="str">
        <f aca="false">'CEMIUP0.9 Raw'!C31</f>
        <v>394W 39-42 גרב.כסף לסכרתים לבן</v>
      </c>
      <c r="D1061" s="19" t="n">
        <f aca="false">'CEMIUP0.9 Raw'!D31</f>
        <v>77</v>
      </c>
      <c r="E1061" s="19" t="n">
        <f aca="false">'CEMIUP0.9 Raw'!E31</f>
        <v>1782.567</v>
      </c>
      <c r="F1061" s="19" t="n">
        <f aca="false">'CEMIUP0.9 Raw'!F31</f>
        <v>63.1578947368421</v>
      </c>
      <c r="G1061" s="19" t="n">
        <f aca="false">'CEMIUP0.9 Raw'!G31</f>
        <v>1557.816</v>
      </c>
      <c r="H1061" s="18" t="str">
        <f aca="false">'CEMIUP0.9 Raw'!A31</f>
        <v>107 - Pharmacies</v>
      </c>
    </row>
    <row r="1062" customFormat="false" ht="15" hidden="false" customHeight="false" outlineLevel="0" collapsed="false">
      <c r="A1062" s="18" t="n">
        <f aca="false">'CEMIUP0.9 Raw'!B235</f>
        <v>4413047</v>
      </c>
      <c r="B1062" s="18" t="str">
        <f aca="false">'CEMIUP0.9 Raw'!C235</f>
        <v>35 S מגן קרסול לבן</v>
      </c>
      <c r="C1062" s="18" t="str">
        <f aca="false">'CEMIUP0.9 Raw'!C235</f>
        <v>35 S מגן קרסול לבן</v>
      </c>
      <c r="D1062" s="19" t="n">
        <f aca="false">'CEMIUP0.9 Raw'!D235</f>
        <v>113</v>
      </c>
      <c r="E1062" s="19" t="n">
        <f aca="false">'CEMIUP0.9 Raw'!E235</f>
        <v>3067.957</v>
      </c>
      <c r="F1062" s="19" t="n">
        <f aca="false">'CEMIUP0.9 Raw'!F235</f>
        <v>63.1578947368421</v>
      </c>
      <c r="G1062" s="19" t="n">
        <f aca="false">'CEMIUP0.9 Raw'!G235</f>
        <v>1741.68252631579</v>
      </c>
      <c r="H1062" s="18" t="str">
        <f aca="false">'CEMIUP0.9 Raw'!A235</f>
        <v>107 - Pharmacies</v>
      </c>
    </row>
    <row r="1063" customFormat="false" ht="15" hidden="false" customHeight="false" outlineLevel="0" collapsed="false">
      <c r="A1063" s="18" t="n">
        <f aca="false">'CEMIUP0.9 Raw'!B786</f>
        <v>4413066</v>
      </c>
      <c r="B1063" s="18" t="str">
        <f aca="false">'CEMIUP0.9 Raw'!C786</f>
        <v>3677S-מד.לשחרור לחץ א.הבוניון</v>
      </c>
      <c r="C1063" s="18" t="str">
        <f aca="false">'CEMIUP0.9 Raw'!C786</f>
        <v>3677S-מד.לשחרור לחץ א.הבוניון</v>
      </c>
      <c r="D1063" s="19" t="n">
        <f aca="false">'CEMIUP0.9 Raw'!D786</f>
        <v>104</v>
      </c>
      <c r="E1063" s="19" t="n">
        <f aca="false">'CEMIUP0.9 Raw'!E786</f>
        <v>1439.36</v>
      </c>
      <c r="F1063" s="19" t="n">
        <f aca="false">'CEMIUP0.9 Raw'!F786</f>
        <v>63.1578947368421</v>
      </c>
      <c r="G1063" s="19" t="n">
        <f aca="false">'CEMIUP0.9 Raw'!G786</f>
        <v>797.466947368421</v>
      </c>
      <c r="H1063" s="18" t="str">
        <f aca="false">'CEMIUP0.9 Raw'!A786</f>
        <v>113 - Kupat Holim Meuhedet</v>
      </c>
    </row>
    <row r="1064" customFormat="false" ht="15" hidden="false" customHeight="false" outlineLevel="0" collapsed="false">
      <c r="A1064" s="18" t="n">
        <f aca="false">'CEMIUP0.9 Raw'!B1519</f>
        <v>4413150</v>
      </c>
      <c r="B1064" s="18" t="str">
        <f aca="false">'CEMIUP0.9 Raw'!C1519</f>
        <v>PD341-מקצוע להסרת עור קשה</v>
      </c>
      <c r="C1064" s="18" t="str">
        <f aca="false">'CEMIUP0.9 Raw'!C1519</f>
        <v>PD341-מקצוע להסרת עור קשה</v>
      </c>
      <c r="D1064" s="19" t="n">
        <f aca="false">'CEMIUP0.9 Raw'!D1519</f>
        <v>68</v>
      </c>
      <c r="E1064" s="19" t="n">
        <f aca="false">'CEMIUP0.9 Raw'!E1519</f>
        <v>1534.988</v>
      </c>
      <c r="F1064" s="19" t="n">
        <f aca="false">'CEMIUP0.9 Raw'!F1519</f>
        <v>63.1578947368421</v>
      </c>
      <c r="G1064" s="19" t="n">
        <f aca="false">'CEMIUP0.9 Raw'!G1519</f>
        <v>1422.58863157895</v>
      </c>
      <c r="H1064" s="18" t="str">
        <f aca="false">'CEMIUP0.9 Raw'!A1519</f>
        <v>Super-Pharm Israel (CEMI internal group)</v>
      </c>
    </row>
    <row r="1065" customFormat="false" ht="15" hidden="false" customHeight="false" outlineLevel="0" collapsed="false">
      <c r="A1065" s="18" t="n">
        <f aca="false">'CEMIUP0.9 Raw'!B1547</f>
        <v>4413204</v>
      </c>
      <c r="B1065" s="18" t="str">
        <f aca="false">'CEMIUP0.9 Raw'!C1547</f>
        <v>87 XXL מקבע כתף ויד</v>
      </c>
      <c r="C1065" s="18" t="str">
        <f aca="false">'CEMIUP0.9 Raw'!C1547</f>
        <v>87 XXL מקבע כתף ויד</v>
      </c>
      <c r="D1065" s="19" t="n">
        <f aca="false">'CEMIUP0.9 Raw'!D1547</f>
        <v>49</v>
      </c>
      <c r="E1065" s="19" t="n">
        <f aca="false">'CEMIUP0.9 Raw'!E1547</f>
        <v>7140.77</v>
      </c>
      <c r="F1065" s="19" t="n">
        <f aca="false">'CEMIUP0.9 Raw'!F1547</f>
        <v>63.1578947368421</v>
      </c>
      <c r="G1065" s="19" t="n">
        <f aca="false">'CEMIUP0.9 Raw'!G1547</f>
        <v>9283.60926315789</v>
      </c>
      <c r="H1065" s="18" t="str">
        <f aca="false">'CEMIUP0.9 Raw'!A1547</f>
        <v>Super-Pharm Israel (CEMI internal group)</v>
      </c>
    </row>
    <row r="1066" customFormat="false" ht="15" hidden="false" customHeight="false" outlineLevel="0" collapsed="false">
      <c r="A1066" s="18" t="n">
        <f aca="false">'CEMIUP0.9 Raw'!B1632</f>
        <v>4415080</v>
      </c>
      <c r="B1066" s="18" t="str">
        <f aca="false">'CEMIUP0.9 Raw'!C1632</f>
        <v>PD346-10 סכינים למקצוע</v>
      </c>
      <c r="C1066" s="18" t="str">
        <f aca="false">'CEMIUP0.9 Raw'!C1632</f>
        <v>PD346-10 סכינים למקצוע</v>
      </c>
      <c r="D1066" s="19" t="n">
        <f aca="false">'CEMIUP0.9 Raw'!D1632</f>
        <v>97</v>
      </c>
      <c r="E1066" s="19" t="n">
        <f aca="false">'CEMIUP0.9 Raw'!E1632</f>
        <v>719.992</v>
      </c>
      <c r="F1066" s="19" t="n">
        <f aca="false">'CEMIUP0.9 Raw'!F1632</f>
        <v>63.1578947368421</v>
      </c>
      <c r="G1066" s="19" t="n">
        <f aca="false">'CEMIUP0.9 Raw'!G1632</f>
        <v>445.650947368421</v>
      </c>
      <c r="H1066" s="18" t="str">
        <f aca="false">'CEMIUP0.9 Raw'!A1632</f>
        <v>Super-Pharm Israel (CEMI internal group)</v>
      </c>
    </row>
    <row r="1067" customFormat="false" ht="15" hidden="false" customHeight="false" outlineLevel="0" collapsed="false">
      <c r="A1067" s="18" t="n">
        <f aca="false">'CEMIUP0.9 Raw'!B9</f>
        <v>4401011</v>
      </c>
      <c r="B1067" s="18" t="str">
        <f aca="false">'CEMIUP0.9 Raw'!C9</f>
        <v>805AT-Cאתלטיק טייפ בז' 20מ""מ20</v>
      </c>
      <c r="C1067" s="18" t="str">
        <f aca="false">'CEMIUP0.9 Raw'!C9</f>
        <v>805AT-Cאתלטיק טייפ בז' 20מ""מ20</v>
      </c>
      <c r="D1067" s="19" t="n">
        <f aca="false">'CEMIUP0.9 Raw'!D9</f>
        <v>72</v>
      </c>
      <c r="E1067" s="19" t="n">
        <f aca="false">'CEMIUP0.9 Raw'!E9</f>
        <v>1026.035</v>
      </c>
      <c r="F1067" s="19" t="n">
        <f aca="false">'CEMIUP0.9 Raw'!F9</f>
        <v>61.8947368421053</v>
      </c>
      <c r="G1067" s="19" t="n">
        <f aca="false">'CEMIUP0.9 Raw'!G9</f>
        <v>928.314947368421</v>
      </c>
      <c r="H1067" s="18" t="str">
        <f aca="false">'CEMIUP0.9 Raw'!A9</f>
        <v>107 - Pharmacies</v>
      </c>
    </row>
    <row r="1068" customFormat="false" ht="15" hidden="false" customHeight="false" outlineLevel="0" collapsed="false">
      <c r="A1068" s="18" t="n">
        <f aca="false">'CEMIUP0.9 Raw'!B447</f>
        <v>4413503</v>
      </c>
      <c r="B1068" s="18" t="str">
        <f aca="false">'CEMIUP0.9 Raw'!C447</f>
        <v>95B XL מגן מרפק שחור</v>
      </c>
      <c r="C1068" s="18" t="str">
        <f aca="false">'CEMIUP0.9 Raw'!C447</f>
        <v>95B XL מגן מרפק שחור</v>
      </c>
      <c r="D1068" s="19" t="n">
        <f aca="false">'CEMIUP0.9 Raw'!D447</f>
        <v>93</v>
      </c>
      <c r="E1068" s="19" t="n">
        <f aca="false">'CEMIUP0.9 Raw'!E447</f>
        <v>2492.895</v>
      </c>
      <c r="F1068" s="19" t="n">
        <f aca="false">'CEMIUP0.9 Raw'!F447</f>
        <v>61.8947368421053</v>
      </c>
      <c r="G1068" s="19" t="n">
        <f aca="false">'CEMIUP0.9 Raw'!G447</f>
        <v>1718.57810526316</v>
      </c>
      <c r="H1068" s="18" t="str">
        <f aca="false">'CEMIUP0.9 Raw'!A447</f>
        <v>107 - Pharmacies</v>
      </c>
    </row>
    <row r="1069" customFormat="false" ht="15" hidden="false" customHeight="false" outlineLevel="0" collapsed="false">
      <c r="A1069" s="18" t="n">
        <f aca="false">'CEMIUP0.9 Raw'!B774</f>
        <v>4413046</v>
      </c>
      <c r="B1069" s="18" t="str">
        <f aca="false">'CEMIUP0.9 Raw'!C774</f>
        <v>34 XXL מגן קרסול עקב סגור</v>
      </c>
      <c r="C1069" s="18" t="str">
        <f aca="false">'CEMIUP0.9 Raw'!C774</f>
        <v>34 XXL מגן קרסול עקב סגור</v>
      </c>
      <c r="D1069" s="19" t="n">
        <f aca="false">'CEMIUP0.9 Raw'!D774</f>
        <v>64</v>
      </c>
      <c r="E1069" s="19" t="n">
        <f aca="false">'CEMIUP0.9 Raw'!E774</f>
        <v>1851.52</v>
      </c>
      <c r="F1069" s="19" t="n">
        <f aca="false">'CEMIUP0.9 Raw'!F774</f>
        <v>61.8947368421053</v>
      </c>
      <c r="G1069" s="19" t="n">
        <f aca="false">'CEMIUP0.9 Raw'!G774</f>
        <v>1676.85978947368</v>
      </c>
      <c r="H1069" s="18" t="str">
        <f aca="false">'CEMIUP0.9 Raw'!A774</f>
        <v>113 - Kupat Holim Meuhedet</v>
      </c>
    </row>
    <row r="1070" customFormat="false" ht="15" hidden="false" customHeight="false" outlineLevel="0" collapsed="false">
      <c r="A1070" s="18" t="n">
        <f aca="false">'CEMIUP0.9 Raw'!B966</f>
        <v>4408032</v>
      </c>
      <c r="B1070" s="18" t="str">
        <f aca="false">'CEMIUP0.9 Raw'!C966</f>
        <v>11 L""חגורת בטן""אורירית</v>
      </c>
      <c r="C1070" s="18" t="str">
        <f aca="false">'CEMIUP0.9 Raw'!C966</f>
        <v>11 L""חגורת בטן""אורירית</v>
      </c>
      <c r="D1070" s="19" t="n">
        <f aca="false">'CEMIUP0.9 Raw'!D966</f>
        <v>67</v>
      </c>
      <c r="E1070" s="19" t="n">
        <f aca="false">'CEMIUP0.9 Raw'!E966</f>
        <v>5915.91</v>
      </c>
      <c r="F1070" s="19" t="n">
        <f aca="false">'CEMIUP0.9 Raw'!F966</f>
        <v>61.8947368421053</v>
      </c>
      <c r="G1070" s="19" t="n">
        <f aca="false">'CEMIUP0.9 Raw'!G966</f>
        <v>5465.17263157895</v>
      </c>
      <c r="H1070" s="18" t="str">
        <f aca="false">'CEMIUP0.9 Raw'!A966</f>
        <v>BE (CEMI internal group)</v>
      </c>
    </row>
    <row r="1071" customFormat="false" ht="15" hidden="false" customHeight="false" outlineLevel="0" collapsed="false">
      <c r="A1071" s="18" t="n">
        <f aca="false">'CEMIUP0.9 Raw'!B1009</f>
        <v>4408152</v>
      </c>
      <c r="B1071" s="18" t="str">
        <f aca="false">'CEMIUP0.9 Raw'!C1009</f>
        <v>11TO L חגורה למנותחי בית החזה</v>
      </c>
      <c r="C1071" s="18" t="str">
        <f aca="false">'CEMIUP0.9 Raw'!C1009</f>
        <v>11TO L חגורה למנותחי בית החזה</v>
      </c>
      <c r="D1071" s="19" t="n">
        <f aca="false">'CEMIUP0.9 Raw'!D1009</f>
        <v>41</v>
      </c>
      <c r="E1071" s="19" t="n">
        <f aca="false">'CEMIUP0.9 Raw'!E1009</f>
        <v>5203.744</v>
      </c>
      <c r="F1071" s="19" t="n">
        <f aca="false">'CEMIUP0.9 Raw'!F1009</f>
        <v>61.8947368421053</v>
      </c>
      <c r="G1071" s="19" t="n">
        <f aca="false">'CEMIUP0.9 Raw'!G1009</f>
        <v>8198.62105263158</v>
      </c>
      <c r="H1071" s="18" t="str">
        <f aca="false">'CEMIUP0.9 Raw'!A1009</f>
        <v>BE (CEMI internal group)</v>
      </c>
    </row>
    <row r="1072" customFormat="false" ht="15" hidden="false" customHeight="false" outlineLevel="0" collapsed="false">
      <c r="A1072" s="18" t="n">
        <f aca="false">'SALES Raw'!G1798</f>
        <v>4420002</v>
      </c>
      <c r="B1072" s="18" t="str">
        <f aca="false">'SALES Raw'!B1798</f>
        <v>372 0</v>
      </c>
      <c r="C1072" s="18" t="str">
        <f aca="false">'SALES Raw'!H1798</f>
        <v>372 רפידת אנטי ריח -זוג</v>
      </c>
      <c r="D1072" s="19" t="n">
        <f aca="false">'SALES Raw'!C1798</f>
        <v>102</v>
      </c>
      <c r="E1072" s="19" t="n">
        <f aca="false">'SALES Raw'!D1798</f>
        <v>1388.74</v>
      </c>
      <c r="F1072" s="19" t="n">
        <f aca="false">'SALES Raw'!E1798*$H$4</f>
        <v>61.8947368421053</v>
      </c>
      <c r="G1072" s="19" t="n">
        <f aca="false">'SALES Raw'!F1798*$H$4</f>
        <v>876.505263157895</v>
      </c>
      <c r="H1072" s="18" t="str">
        <f aca="false">'SALES Raw'!A1798</f>
        <v>109 - Private Shops</v>
      </c>
    </row>
    <row r="1073" customFormat="false" ht="15" hidden="false" customHeight="false" outlineLevel="0" collapsed="false">
      <c r="A1073" s="18" t="n">
        <f aca="false">'SALES Raw'!G2064</f>
        <v>4408192</v>
      </c>
      <c r="B1073" s="18" t="str">
        <f aca="false">'SALES Raw'!B2064</f>
        <v>078 L</v>
      </c>
      <c r="C1073" s="18" t="str">
        <f aca="false">'SALES Raw'!H2064</f>
        <v>078 L חגורת גב +סגירה</v>
      </c>
      <c r="D1073" s="19" t="n">
        <f aca="false">'SALES Raw'!C2064</f>
        <v>56</v>
      </c>
      <c r="E1073" s="19" t="n">
        <f aca="false">'SALES Raw'!D2064</f>
        <v>10667.91</v>
      </c>
      <c r="F1073" s="19" t="n">
        <f aca="false">'SALES Raw'!E2064*$H$4</f>
        <v>61.8947368421053</v>
      </c>
      <c r="G1073" s="19" t="n">
        <f aca="false">'SALES Raw'!F2064*$H$4</f>
        <v>12643.1621052632</v>
      </c>
      <c r="H1073" s="18" t="str">
        <f aca="false">'SALES Raw'!A2064</f>
        <v>114 - IL online</v>
      </c>
    </row>
    <row r="1074" customFormat="false" ht="15" hidden="false" customHeight="false" outlineLevel="0" collapsed="false">
      <c r="A1074" s="18" t="n">
        <f aca="false">'SALES Raw'!G2378</f>
        <v>4420017</v>
      </c>
      <c r="B1074" s="18" t="str">
        <f aca="false">'SALES Raw'!B2378</f>
        <v>4022 0</v>
      </c>
      <c r="C1074" s="18" t="str">
        <f aca="false">'SALES Raw'!H2378</f>
        <v>4022 רצועת """"פיקה""""+כרית</v>
      </c>
      <c r="D1074" s="19" t="n">
        <f aca="false">'SALES Raw'!C2378</f>
        <v>18</v>
      </c>
      <c r="E1074" s="19" t="n">
        <f aca="false">'SALES Raw'!D2378</f>
        <v>2925.79</v>
      </c>
      <c r="F1074" s="19" t="n">
        <f aca="false">'SALES Raw'!E2378*$H$4</f>
        <v>61.8947368421053</v>
      </c>
      <c r="G1074" s="19" t="n">
        <f aca="false">'SALES Raw'!F2378*$H$4</f>
        <v>10136.4252631579</v>
      </c>
      <c r="H1074" s="18" t="str">
        <f aca="false">'SALES Raw'!A2378</f>
        <v>114 - IL online</v>
      </c>
    </row>
    <row r="1075" customFormat="false" ht="15" hidden="false" customHeight="false" outlineLevel="0" collapsed="false">
      <c r="A1075" s="18" t="n">
        <f aca="false">'SALES Raw'!G2522</f>
        <v>4422023</v>
      </c>
      <c r="B1075" s="18" t="str">
        <f aca="false">'SALES Raw'!B2522</f>
        <v>806CB-C</v>
      </c>
      <c r="C1075" s="18" t="str">
        <f aca="false">'SALES Raw'!H2522</f>
        <v>806CB-BEIGE      תחבושת א.נצמ</v>
      </c>
      <c r="D1075" s="19" t="n">
        <f aca="false">'SALES Raw'!C2522</f>
        <v>59</v>
      </c>
      <c r="E1075" s="19" t="n">
        <f aca="false">'SALES Raw'!D2522</f>
        <v>1141.76</v>
      </c>
      <c r="F1075" s="19" t="n">
        <f aca="false">'SALES Raw'!E2522*$H$4</f>
        <v>61.8947368421053</v>
      </c>
      <c r="G1075" s="19" t="n">
        <f aca="false">'SALES Raw'!F2522*$H$4</f>
        <v>1207.06105263158</v>
      </c>
      <c r="H1075" s="18" t="str">
        <f aca="false">'SALES Raw'!A2522</f>
        <v>114 - IL online</v>
      </c>
    </row>
    <row r="1076" customFormat="false" ht="15" hidden="false" customHeight="false" outlineLevel="0" collapsed="false">
      <c r="A1076" s="18" t="n">
        <f aca="false">'SALES Raw'!G2664</f>
        <v>4413407</v>
      </c>
      <c r="B1076" s="18" t="str">
        <f aca="false">'SALES Raw'!B2664</f>
        <v>SC95 L</v>
      </c>
      <c r="C1076" s="18" t="str">
        <f aca="false">'SALES Raw'!H2664</f>
        <v>SC95 L מגן מרפק</v>
      </c>
      <c r="D1076" s="19" t="n">
        <f aca="false">'SALES Raw'!C2664</f>
        <v>57</v>
      </c>
      <c r="E1076" s="19" t="n">
        <f aca="false">'SALES Raw'!D2664</f>
        <v>7428.9</v>
      </c>
      <c r="F1076" s="19" t="n">
        <f aca="false">'SALES Raw'!E2664*$H$4</f>
        <v>61.8947368421053</v>
      </c>
      <c r="G1076" s="19" t="n">
        <f aca="false">'SALES Raw'!F2664*$H$4</f>
        <v>9447.57473684211</v>
      </c>
      <c r="H1076" s="18" t="str">
        <f aca="false">'SALES Raw'!A2664</f>
        <v>114 - IL online</v>
      </c>
    </row>
    <row r="1077" customFormat="false" ht="15" hidden="false" customHeight="false" outlineLevel="0" collapsed="false">
      <c r="A1077" s="18" t="n">
        <f aca="false">'SALES Raw'!G4427</f>
        <v>4413452</v>
      </c>
      <c r="B1077" s="18" t="str">
        <f aca="false">'SALES Raw'!B4427</f>
        <v>386 0</v>
      </c>
      <c r="C1077" s="18" t="str">
        <f aca="false">'SALES Raw'!H4427</f>
        <v>386  מיישר בוניון-האלוקס ולגוס</v>
      </c>
      <c r="D1077" s="19" t="n">
        <f aca="false">'SALES Raw'!C4427</f>
        <v>51</v>
      </c>
      <c r="E1077" s="19" t="n">
        <f aca="false">'SALES Raw'!D4427</f>
        <v>4500.68</v>
      </c>
      <c r="F1077" s="19" t="n">
        <f aca="false">'SALES Raw'!E4427*$H$4</f>
        <v>61.8947368421053</v>
      </c>
      <c r="G1077" s="19" t="n">
        <f aca="false">'SALES Raw'!F4427*$H$4</f>
        <v>4031.00210526316</v>
      </c>
      <c r="H1077" s="18" t="str">
        <f aca="false">'SALES Raw'!A4427</f>
        <v>301 - Amazon</v>
      </c>
    </row>
    <row r="1078" customFormat="false" ht="15" hidden="false" customHeight="false" outlineLevel="0" collapsed="false">
      <c r="A1078" s="18" t="n">
        <f aca="false">'SALES Raw'!G555</f>
        <v>4403043</v>
      </c>
      <c r="B1078" s="18" t="str">
        <f aca="false">'SALES Raw'!B555</f>
        <v>397A-43-46</v>
      </c>
      <c r="C1078" s="18" t="str">
        <f aca="false">'SALES Raw'!H555</f>
        <v>397A-גרבי טיסה אנטי בקטרי43-46</v>
      </c>
      <c r="D1078" s="19" t="n">
        <f aca="false">'SALES Raw'!C555</f>
        <v>3</v>
      </c>
      <c r="E1078" s="19" t="n">
        <f aca="false">'SALES Raw'!D555</f>
        <v>189.7</v>
      </c>
      <c r="F1078" s="19" t="n">
        <f aca="false">'SALES Raw'!E555*$H$4</f>
        <v>60.6315789473684</v>
      </c>
      <c r="G1078" s="19" t="n">
        <f aca="false">'SALES Raw'!F555*$H$4</f>
        <v>3791.22947368421</v>
      </c>
      <c r="H1078" s="18" t="str">
        <f aca="false">'SALES Raw'!A555</f>
        <v>102 - Orthopedic institutes</v>
      </c>
    </row>
    <row r="1079" customFormat="false" ht="15" hidden="false" customHeight="false" outlineLevel="0" collapsed="false">
      <c r="A1079" s="18" t="str">
        <f aca="false">'SALES Raw'!G711</f>
        <v/>
      </c>
      <c r="B1079" s="18" t="str">
        <f aca="false">'SALES Raw'!B711</f>
        <v>363 L/R</v>
      </c>
      <c r="C1079" s="18" t="str">
        <f aca="false">'SALES Raw'!H711</f>
        <v>363 L/R</v>
      </c>
      <c r="D1079" s="19" t="n">
        <f aca="false">'SALES Raw'!C711</f>
        <v>27</v>
      </c>
      <c r="E1079" s="19" t="n">
        <f aca="false">'SALES Raw'!D711</f>
        <v>741.12</v>
      </c>
      <c r="F1079" s="19" t="n">
        <f aca="false">'SALES Raw'!E711*$H$4</f>
        <v>60.6315789473684</v>
      </c>
      <c r="G1079" s="19" t="n">
        <f aca="false">'SALES Raw'!F711*$H$4</f>
        <v>1702.53473684211</v>
      </c>
      <c r="H1079" s="18" t="str">
        <f aca="false">'SALES Raw'!A711</f>
        <v>102 - Orthopedic institutes</v>
      </c>
    </row>
    <row r="1080" customFormat="false" ht="15" hidden="false" customHeight="false" outlineLevel="0" collapsed="false">
      <c r="A1080" s="18" t="n">
        <f aca="false">'SALES Raw'!G1079</f>
        <v>4419006</v>
      </c>
      <c r="B1080" s="18" t="str">
        <f aca="false">'SALES Raw'!B1079</f>
        <v>PD340 0</v>
      </c>
      <c r="C1080" s="18" t="str">
        <f aca="false">'SALES Raw'!H1079</f>
        <v>PD340-קוצץ ציפורניים</v>
      </c>
      <c r="D1080" s="19" t="n">
        <f aca="false">'SALES Raw'!C1079</f>
        <v>82</v>
      </c>
      <c r="E1080" s="19" t="n">
        <f aca="false">'SALES Raw'!D1079</f>
        <v>1183.43</v>
      </c>
      <c r="F1080" s="19" t="n">
        <f aca="false">'SALES Raw'!E1079*$H$4</f>
        <v>60.6315789473684</v>
      </c>
      <c r="G1080" s="19" t="n">
        <f aca="false">'SALES Raw'!F1079*$H$4</f>
        <v>878.096842105263</v>
      </c>
      <c r="H1080" s="18" t="str">
        <f aca="false">'SALES Raw'!A1079</f>
        <v>102 - Orthopedic institutes</v>
      </c>
    </row>
    <row r="1081" customFormat="false" ht="15" hidden="false" customHeight="false" outlineLevel="0" collapsed="false">
      <c r="A1081" s="18" t="n">
        <f aca="false">'SALES Raw'!G2172</f>
        <v>4411021</v>
      </c>
      <c r="B1081" s="18" t="str">
        <f aca="false">'SALES Raw'!B2172</f>
        <v>212 L</v>
      </c>
      <c r="C1081" s="18" t="str">
        <f aca="false">'SALES Raw'!H2172</f>
        <v>212L כפפות אגודל לחץ</v>
      </c>
      <c r="D1081" s="19" t="n">
        <f aca="false">'SALES Raw'!C2172</f>
        <v>26</v>
      </c>
      <c r="E1081" s="19" t="n">
        <f aca="false">'SALES Raw'!D2172</f>
        <v>1703.91</v>
      </c>
      <c r="F1081" s="19" t="n">
        <f aca="false">'SALES Raw'!E2172*$H$4</f>
        <v>60.6315789473684</v>
      </c>
      <c r="G1081" s="19" t="n">
        <f aca="false">'SALES Raw'!F2172*$H$4</f>
        <v>4122.63157894737</v>
      </c>
      <c r="H1081" s="18" t="str">
        <f aca="false">'SALES Raw'!A2172</f>
        <v>114 - IL online</v>
      </c>
    </row>
    <row r="1082" customFormat="false" ht="15" hidden="false" customHeight="false" outlineLevel="0" collapsed="false">
      <c r="A1082" s="18" t="n">
        <f aca="false">'SALES Raw'!G2179</f>
        <v>4411029</v>
      </c>
      <c r="B1082" s="18" t="str">
        <f aca="false">'SALES Raw'!B2179</f>
        <v>213CTSR L</v>
      </c>
      <c r="C1082" s="18" t="str">
        <f aca="false">'SALES Raw'!H2179</f>
        <v>213CTSR L ימין CTS כפפות</v>
      </c>
      <c r="D1082" s="19" t="n">
        <f aca="false">'SALES Raw'!C2179</f>
        <v>9</v>
      </c>
      <c r="E1082" s="19" t="n">
        <f aca="false">'SALES Raw'!D2179</f>
        <v>1662.46</v>
      </c>
      <c r="F1082" s="19" t="n">
        <f aca="false">'SALES Raw'!E2179*$H$4</f>
        <v>60.6315789473684</v>
      </c>
      <c r="G1082" s="19" t="n">
        <f aca="false">'SALES Raw'!F2179*$H$4</f>
        <v>12452.0968421053</v>
      </c>
      <c r="H1082" s="18" t="str">
        <f aca="false">'SALES Raw'!A2179</f>
        <v>114 - IL online</v>
      </c>
    </row>
    <row r="1083" customFormat="false" ht="15" hidden="false" customHeight="false" outlineLevel="0" collapsed="false">
      <c r="A1083" s="18" t="n">
        <f aca="false">'SALES Raw'!G2210</f>
        <v>4415159</v>
      </c>
      <c r="B1083" s="18" t="str">
        <f aca="false">'SALES Raw'!B2210</f>
        <v>268 0</v>
      </c>
      <c r="C1083" s="18" t="str">
        <f aca="false">'SALES Raw'!H2210</f>
        <v>268 סד לאגודל</v>
      </c>
      <c r="D1083" s="19" t="n">
        <f aca="false">'SALES Raw'!C2210</f>
        <v>37</v>
      </c>
      <c r="E1083" s="19" t="n">
        <f aca="false">'SALES Raw'!D2210</f>
        <v>7197.31</v>
      </c>
      <c r="F1083" s="19" t="n">
        <f aca="false">'SALES Raw'!E2210*$H$4</f>
        <v>60.6315789473684</v>
      </c>
      <c r="G1083" s="19" t="n">
        <f aca="false">'SALES Raw'!F2210*$H$4</f>
        <v>12619.9831578947</v>
      </c>
      <c r="H1083" s="18" t="str">
        <f aca="false">'SALES Raw'!A2210</f>
        <v>114 - IL online</v>
      </c>
    </row>
    <row r="1084" customFormat="false" ht="15" hidden="false" customHeight="false" outlineLevel="0" collapsed="false">
      <c r="A1084" s="18" t="n">
        <f aca="false">'SALES Raw'!G3063</f>
        <v>4415163</v>
      </c>
      <c r="B1084" s="18" t="str">
        <f aca="false">'SALES Raw'!B3063</f>
        <v>238 XL</v>
      </c>
      <c r="C1084" s="18" t="str">
        <f aca="false">'SALES Raw'!H3063</f>
        <v>238XL סד ליישור אצבע</v>
      </c>
      <c r="D1084" s="19" t="n">
        <f aca="false">'SALES Raw'!C3063</f>
        <v>60</v>
      </c>
      <c r="E1084" s="19" t="n">
        <f aca="false">'SALES Raw'!D3063</f>
        <v>491.5</v>
      </c>
      <c r="F1084" s="19" t="n">
        <f aca="false">'SALES Raw'!E3063*$H$4</f>
        <v>60.6315789473684</v>
      </c>
      <c r="G1084" s="19" t="n">
        <f aca="false">'SALES Raw'!F3063*$H$4</f>
        <v>460.762105263158</v>
      </c>
      <c r="H1084" s="18" t="str">
        <f aca="false">'SALES Raw'!A3063</f>
        <v>203 - Ortho- Partner ag SWITZERLAND</v>
      </c>
    </row>
    <row r="1085" customFormat="false" ht="15" hidden="false" customHeight="false" outlineLevel="0" collapsed="false">
      <c r="A1085" s="18" t="n">
        <f aca="false">'SALES Raw'!G3852</f>
        <v>4409014</v>
      </c>
      <c r="B1085" s="18" t="str">
        <f aca="false">'SALES Raw'!B3852</f>
        <v>808KT-P</v>
      </c>
      <c r="C1085" s="18" t="str">
        <f aca="false">'SALES Raw'!H3852</f>
        <v>808KT-P        טייפ קינזיולוגי</v>
      </c>
      <c r="D1085" s="19" t="n">
        <f aca="false">'SALES Raw'!C3852</f>
        <v>96</v>
      </c>
      <c r="E1085" s="19" t="n">
        <f aca="false">'SALES Raw'!D3852</f>
        <v>1190.84</v>
      </c>
      <c r="F1085" s="19" t="n">
        <f aca="false">'SALES Raw'!E3852*$H$4</f>
        <v>60.6315789473684</v>
      </c>
      <c r="G1085" s="19" t="n">
        <f aca="false">'SALES Raw'!F3852*$H$4</f>
        <v>743.065263157895</v>
      </c>
      <c r="H1085" s="18" t="str">
        <f aca="false">'SALES Raw'!A3852</f>
        <v>209 - Ortoprofil Prod ROMANIA</v>
      </c>
    </row>
    <row r="1086" customFormat="false" ht="15" hidden="false" customHeight="false" outlineLevel="0" collapsed="false">
      <c r="A1086" s="18" t="n">
        <f aca="false">'SALES Raw'!G3860</f>
        <v>4413056</v>
      </c>
      <c r="B1086" s="18" t="str">
        <f aca="false">'SALES Raw'!B3860</f>
        <v>LF360 0</v>
      </c>
      <c r="C1086" s="18" t="str">
        <f aca="false">'SALES Raw'!H3860</f>
        <v>LF360 מדרס מטטרזלי לנעלי עקב</v>
      </c>
      <c r="D1086" s="19" t="n">
        <f aca="false">'SALES Raw'!C3860</f>
        <v>98</v>
      </c>
      <c r="E1086" s="19" t="n">
        <f aca="false">'SALES Raw'!D3860</f>
        <v>1072.66</v>
      </c>
      <c r="F1086" s="19" t="n">
        <f aca="false">'SALES Raw'!E3860*$H$4</f>
        <v>60.6315789473684</v>
      </c>
      <c r="G1086" s="19" t="n">
        <f aca="false">'SALES Raw'!F3860*$H$4</f>
        <v>649.098947368421</v>
      </c>
      <c r="H1086" s="18" t="str">
        <f aca="false">'SALES Raw'!A3860</f>
        <v>209 - Ortoprofil Prod ROMANIA</v>
      </c>
    </row>
    <row r="1087" customFormat="false" ht="15" hidden="false" customHeight="false" outlineLevel="0" collapsed="false">
      <c r="A1087" s="18" t="n">
        <f aca="false">'CEMIUP0.9 Raw'!B526</f>
        <v>4418003</v>
      </c>
      <c r="B1087" s="18" t="str">
        <f aca="false">'CEMIUP0.9 Raw'!C526</f>
        <v>60 XL צוארון ספוגי</v>
      </c>
      <c r="C1087" s="18" t="str">
        <f aca="false">'CEMIUP0.9 Raw'!C526</f>
        <v>60 XL צוארון ספוגי</v>
      </c>
      <c r="D1087" s="19" t="n">
        <f aca="false">'CEMIUP0.9 Raw'!D526</f>
        <v>132</v>
      </c>
      <c r="E1087" s="19" t="n">
        <f aca="false">'CEMIUP0.9 Raw'!E526</f>
        <v>5830.348</v>
      </c>
      <c r="F1087" s="19" t="n">
        <f aca="false">'CEMIUP0.9 Raw'!F526</f>
        <v>60.6315789473684</v>
      </c>
      <c r="G1087" s="19" t="n">
        <f aca="false">'CEMIUP0.9 Raw'!G526</f>
        <v>2686.66484210526</v>
      </c>
      <c r="H1087" s="18" t="str">
        <f aca="false">'CEMIUP0.9 Raw'!A526</f>
        <v>107 - Pharmacies</v>
      </c>
    </row>
    <row r="1088" customFormat="false" ht="15" hidden="false" customHeight="false" outlineLevel="0" collapsed="false">
      <c r="A1088" s="18" t="n">
        <f aca="false">'CEMIUP0.9 Raw'!B1126</f>
        <v>4413142</v>
      </c>
      <c r="B1088" s="18" t="str">
        <f aca="false">'CEMIUP0.9 Raw'!C1126</f>
        <v>95 XL מגן מרפק רגיל לבן</v>
      </c>
      <c r="C1088" s="18" t="str">
        <f aca="false">'CEMIUP0.9 Raw'!C1126</f>
        <v>95 XL מגן מרפק רגיל לבן</v>
      </c>
      <c r="D1088" s="19" t="n">
        <f aca="false">'CEMIUP0.9 Raw'!D1126</f>
        <v>34</v>
      </c>
      <c r="E1088" s="19" t="n">
        <f aca="false">'CEMIUP0.9 Raw'!E1126</f>
        <v>860.678</v>
      </c>
      <c r="F1088" s="19" t="n">
        <f aca="false">'CEMIUP0.9 Raw'!F1126</f>
        <v>60.6315789473684</v>
      </c>
      <c r="G1088" s="19" t="n">
        <f aca="false">'CEMIUP0.9 Raw'!G1126</f>
        <v>1536.27157894737</v>
      </c>
      <c r="H1088" s="18" t="str">
        <f aca="false">'CEMIUP0.9 Raw'!A1126</f>
        <v>BE (CEMI internal group)</v>
      </c>
    </row>
    <row r="1089" customFormat="false" ht="15" hidden="false" customHeight="false" outlineLevel="0" collapsed="false">
      <c r="A1089" s="18" t="n">
        <f aca="false">'CEMIUP0.9 Raw'!B1210</f>
        <v>4415005</v>
      </c>
      <c r="B1089" s="18" t="str">
        <f aca="false">'CEMIUP0.9 Raw'!C1210</f>
        <v>28 L סד לאגודל לאחר שבר</v>
      </c>
      <c r="C1089" s="18" t="str">
        <f aca="false">'CEMIUP0.9 Raw'!C1210</f>
        <v>28 L סד לאגודל לאחר שבר</v>
      </c>
      <c r="D1089" s="19" t="n">
        <f aca="false">'CEMIUP0.9 Raw'!D1210</f>
        <v>46</v>
      </c>
      <c r="E1089" s="19" t="n">
        <f aca="false">'CEMIUP0.9 Raw'!E1210</f>
        <v>3657.654</v>
      </c>
      <c r="F1089" s="19" t="n">
        <f aca="false">'CEMIUP0.9 Raw'!F1210</f>
        <v>60.6315789473684</v>
      </c>
      <c r="G1089" s="19" t="n">
        <f aca="false">'CEMIUP0.9 Raw'!G1210</f>
        <v>4866.41178947369</v>
      </c>
      <c r="H1089" s="18" t="str">
        <f aca="false">'CEMIUP0.9 Raw'!A1210</f>
        <v>BE (CEMI internal group)</v>
      </c>
    </row>
    <row r="1090" customFormat="false" ht="15" hidden="false" customHeight="false" outlineLevel="0" collapsed="false">
      <c r="A1090" s="18" t="n">
        <f aca="false">'CEMIUP0.9 Raw'!B1240</f>
        <v>4418002</v>
      </c>
      <c r="B1090" s="18" t="str">
        <f aca="false">'CEMIUP0.9 Raw'!C1240</f>
        <v>60 S צוארון ספוגי</v>
      </c>
      <c r="C1090" s="18" t="str">
        <f aca="false">'CEMIUP0.9 Raw'!C1240</f>
        <v>60 S צוארון ספוגי</v>
      </c>
      <c r="D1090" s="19" t="n">
        <f aca="false">'CEMIUP0.9 Raw'!D1240</f>
        <v>52</v>
      </c>
      <c r="E1090" s="19" t="n">
        <f aca="false">'CEMIUP0.9 Raw'!E1240</f>
        <v>1528.891</v>
      </c>
      <c r="F1090" s="19" t="n">
        <f aca="false">'CEMIUP0.9 Raw'!F1240</f>
        <v>60.6315789473684</v>
      </c>
      <c r="G1090" s="19" t="n">
        <f aca="false">'CEMIUP0.9 Raw'!G1240</f>
        <v>1782.71873684211</v>
      </c>
      <c r="H1090" s="18" t="str">
        <f aca="false">'CEMIUP0.9 Raw'!A1240</f>
        <v>BE (CEMI internal group)</v>
      </c>
    </row>
    <row r="1091" customFormat="false" ht="15" hidden="false" customHeight="false" outlineLevel="0" collapsed="false">
      <c r="A1091" s="18" t="n">
        <f aca="false">'CEMIUP0.9 Raw'!B1663</f>
        <v>4419013</v>
      </c>
      <c r="B1091" s="18" t="str">
        <f aca="false">'CEMIUP0.9 Raw'!C1663</f>
        <v>239B L-XL STRAP4U</v>
      </c>
      <c r="C1091" s="18" t="str">
        <f aca="false">'CEMIUP0.9 Raw'!C1663</f>
        <v>239B L-XL STRAP4U</v>
      </c>
      <c r="D1091" s="19" t="n">
        <f aca="false">'CEMIUP0.9 Raw'!D1663</f>
        <v>239</v>
      </c>
      <c r="E1091" s="19" t="n">
        <f aca="false">'CEMIUP0.9 Raw'!E1663</f>
        <v>3634.085</v>
      </c>
      <c r="F1091" s="19" t="n">
        <f aca="false">'CEMIUP0.9 Raw'!F1663</f>
        <v>60.6315789473684</v>
      </c>
      <c r="G1091" s="19" t="n">
        <f aca="false">'CEMIUP0.9 Raw'!G1663</f>
        <v>1005.55957894737</v>
      </c>
      <c r="H1091" s="18" t="str">
        <f aca="false">'CEMIUP0.9 Raw'!A1663</f>
        <v>Super-Pharm Israel (CEMI internal group)</v>
      </c>
    </row>
    <row r="1092" customFormat="false" ht="15" hidden="false" customHeight="false" outlineLevel="0" collapsed="false">
      <c r="A1092" s="18" t="n">
        <f aca="false">'CEMIUP0.9 Raw'!B248</f>
        <v>4413061</v>
      </c>
      <c r="B1092" s="18" t="str">
        <f aca="false">'CEMIUP0.9 Raw'!C248</f>
        <v>3641-מיישר בוהן סיליקון קשיח</v>
      </c>
      <c r="C1092" s="18" t="str">
        <f aca="false">'CEMIUP0.9 Raw'!C248</f>
        <v>3641-מיישר בוהן סיליקון קשיח</v>
      </c>
      <c r="D1092" s="19" t="n">
        <f aca="false">'CEMIUP0.9 Raw'!D248</f>
        <v>181</v>
      </c>
      <c r="E1092" s="19" t="n">
        <f aca="false">'CEMIUP0.9 Raw'!E248</f>
        <v>3301.916</v>
      </c>
      <c r="F1092" s="19" t="n">
        <f aca="false">'CEMIUP0.9 Raw'!F248</f>
        <v>59.3684210526316</v>
      </c>
      <c r="G1092" s="19" t="n">
        <f aca="false">'CEMIUP0.9 Raw'!G248</f>
        <v>1076.39115789474</v>
      </c>
      <c r="H1092" s="18" t="str">
        <f aca="false">'CEMIUP0.9 Raw'!A248</f>
        <v>107 - Pharmacies</v>
      </c>
    </row>
    <row r="1093" customFormat="false" ht="15" hidden="false" customHeight="false" outlineLevel="0" collapsed="false">
      <c r="A1093" s="18" t="n">
        <f aca="false">'CEMIUP0.9 Raw'!B781</f>
        <v>4413058</v>
      </c>
      <c r="B1093" s="18" t="str">
        <f aca="false">'CEMIUP0.9 Raw'!C781</f>
        <v>3622S מדבקה לשחרור לחץ 2 יח</v>
      </c>
      <c r="C1093" s="18" t="str">
        <f aca="false">'CEMIUP0.9 Raw'!C781</f>
        <v>3622S מדבקה לשחרור לחץ 2 יח</v>
      </c>
      <c r="D1093" s="19" t="n">
        <f aca="false">'CEMIUP0.9 Raw'!D781</f>
        <v>71</v>
      </c>
      <c r="E1093" s="19" t="n">
        <f aca="false">'CEMIUP0.9 Raw'!E781</f>
        <v>1661.4</v>
      </c>
      <c r="F1093" s="19" t="n">
        <f aca="false">'CEMIUP0.9 Raw'!F781</f>
        <v>59.3684210526316</v>
      </c>
      <c r="G1093" s="19" t="n">
        <f aca="false">'CEMIUP0.9 Raw'!G781</f>
        <v>1239.65810526316</v>
      </c>
      <c r="H1093" s="18" t="str">
        <f aca="false">'CEMIUP0.9 Raw'!A781</f>
        <v>113 - Kupat Holim Meuhedet</v>
      </c>
    </row>
    <row r="1094" customFormat="false" ht="15" hidden="false" customHeight="false" outlineLevel="0" collapsed="false">
      <c r="A1094" s="18" t="n">
        <f aca="false">'CEMIUP0.9 Raw'!B1073</f>
        <v>4413058</v>
      </c>
      <c r="B1094" s="18" t="str">
        <f aca="false">'CEMIUP0.9 Raw'!C1073</f>
        <v>3622S מדבקה לשחרור לחץ 2 יח</v>
      </c>
      <c r="C1094" s="18" t="str">
        <f aca="false">'CEMIUP0.9 Raw'!C1073</f>
        <v>3622S מדבקה לשחרור לחץ 2 יח</v>
      </c>
      <c r="D1094" s="19" t="n">
        <f aca="false">'CEMIUP0.9 Raw'!D1073</f>
        <v>84</v>
      </c>
      <c r="E1094" s="19" t="n">
        <f aca="false">'CEMIUP0.9 Raw'!E1073</f>
        <v>2207.023</v>
      </c>
      <c r="F1094" s="19" t="n">
        <f aca="false">'CEMIUP0.9 Raw'!F1073</f>
        <v>59.3684210526316</v>
      </c>
      <c r="G1094" s="19" t="n">
        <f aca="false">'CEMIUP0.9 Raw'!G1073</f>
        <v>1559.95073684211</v>
      </c>
      <c r="H1094" s="18" t="str">
        <f aca="false">'CEMIUP0.9 Raw'!A1073</f>
        <v>BE (CEMI internal group)</v>
      </c>
    </row>
    <row r="1095" customFormat="false" ht="15" hidden="false" customHeight="false" outlineLevel="0" collapsed="false">
      <c r="A1095" s="18" t="n">
        <f aca="false">'SALES Raw'!G3824</f>
        <v>4413307</v>
      </c>
      <c r="B1095" s="18" t="str">
        <f aca="false">'SALES Raw'!B3824</f>
        <v>3667 0</v>
      </c>
      <c r="C1095" s="18" t="str">
        <f aca="false">'SALES Raw'!H3824</f>
        <v>URI 3667 מגן בוניון</v>
      </c>
      <c r="D1095" s="19" t="n">
        <f aca="false">'SALES Raw'!C3824</f>
        <v>64</v>
      </c>
      <c r="E1095" s="19" t="n">
        <f aca="false">'SALES Raw'!D3824</f>
        <v>991.77</v>
      </c>
      <c r="F1095" s="19" t="n">
        <f aca="false">'SALES Raw'!E3824*$H$4</f>
        <v>59.3684210526316</v>
      </c>
      <c r="G1095" s="19" t="n">
        <f aca="false">'SALES Raw'!F3824*$H$4</f>
        <v>930.025263157895</v>
      </c>
      <c r="H1095" s="18" t="str">
        <f aca="false">'SALES Raw'!A3824</f>
        <v>209 - Ortoprofil Prod ROMANIA</v>
      </c>
    </row>
    <row r="1096" customFormat="false" ht="15" hidden="false" customHeight="false" outlineLevel="0" collapsed="false">
      <c r="A1096" s="18" t="n">
        <f aca="false">'SALES Raw'!G603</f>
        <v>4408261</v>
      </c>
      <c r="B1096" s="18" t="str">
        <f aca="false">'SALES Raw'!B603</f>
        <v>11STO L</v>
      </c>
      <c r="C1096" s="18" t="str">
        <f aca="false">'SALES Raw'!H603</f>
        <v>11STO L חגורה אחרי ניתוח</v>
      </c>
      <c r="D1096" s="19" t="n">
        <f aca="false">'SALES Raw'!C603</f>
        <v>58</v>
      </c>
      <c r="E1096" s="19" t="n">
        <f aca="false">'SALES Raw'!D603</f>
        <v>5957.14</v>
      </c>
      <c r="F1096" s="19" t="n">
        <f aca="false">'SALES Raw'!E603*$H$4</f>
        <v>58.1052631578947</v>
      </c>
      <c r="G1096" s="19" t="n">
        <f aca="false">'SALES Raw'!F603*$H$4</f>
        <v>6059.14105263158</v>
      </c>
      <c r="H1096" s="18" t="str">
        <f aca="false">'SALES Raw'!A603</f>
        <v>102 - Orthopedic institutes</v>
      </c>
    </row>
    <row r="1097" customFormat="false" ht="15" hidden="false" customHeight="false" outlineLevel="0" collapsed="false">
      <c r="A1097" s="18" t="n">
        <f aca="false">'SALES Raw'!G619</f>
        <v>4415159</v>
      </c>
      <c r="B1097" s="18" t="str">
        <f aca="false">'SALES Raw'!B619</f>
        <v>268 0</v>
      </c>
      <c r="C1097" s="18" t="str">
        <f aca="false">'SALES Raw'!H619</f>
        <v>268 סד לאגודל</v>
      </c>
      <c r="D1097" s="19" t="n">
        <f aca="false">'SALES Raw'!C619</f>
        <v>65</v>
      </c>
      <c r="E1097" s="19" t="n">
        <f aca="false">'SALES Raw'!D619</f>
        <v>4853.2</v>
      </c>
      <c r="F1097" s="19" t="n">
        <f aca="false">'SALES Raw'!E619*$H$4</f>
        <v>58.1052631578947</v>
      </c>
      <c r="G1097" s="19" t="n">
        <f aca="false">'SALES Raw'!F619*$H$4</f>
        <v>4413.04421052632</v>
      </c>
      <c r="H1097" s="18" t="str">
        <f aca="false">'SALES Raw'!A619</f>
        <v>102 - Orthopedic institutes</v>
      </c>
    </row>
    <row r="1098" customFormat="false" ht="15" hidden="false" customHeight="false" outlineLevel="0" collapsed="false">
      <c r="A1098" s="18" t="n">
        <f aca="false">'SALES Raw'!G741</f>
        <v>4408099</v>
      </c>
      <c r="B1098" s="18" t="str">
        <f aca="false">'SALES Raw'!B741</f>
        <v>T25C 0</v>
      </c>
      <c r="C1098" s="18" t="str">
        <f aca="false">'SALES Raw'!H741</f>
        <v>T25C-חבק יד אגודלי</v>
      </c>
      <c r="D1098" s="19" t="n">
        <f aca="false">'SALES Raw'!C741</f>
        <v>54</v>
      </c>
      <c r="E1098" s="19" t="n">
        <f aca="false">'SALES Raw'!D741</f>
        <v>2455.89</v>
      </c>
      <c r="F1098" s="19" t="n">
        <f aca="false">'SALES Raw'!E741*$H$4</f>
        <v>58.1052631578947</v>
      </c>
      <c r="G1098" s="19" t="n">
        <f aca="false">'SALES Raw'!F741*$H$4</f>
        <v>2618.09684210526</v>
      </c>
      <c r="H1098" s="18" t="str">
        <f aca="false">'SALES Raw'!A741</f>
        <v>102 - Orthopedic institutes</v>
      </c>
    </row>
    <row r="1099" customFormat="false" ht="15" hidden="false" customHeight="false" outlineLevel="0" collapsed="false">
      <c r="A1099" s="18" t="n">
        <f aca="false">'SALES Raw'!G2515</f>
        <v>4409012</v>
      </c>
      <c r="B1099" s="18" t="str">
        <f aca="false">'SALES Raw'!B2515</f>
        <v>804AT-C</v>
      </c>
      <c r="C1099" s="18" t="str">
        <f aca="false">'SALES Raw'!H2515</f>
        <v>804AT-C      טייפ חבישה לספורט</v>
      </c>
      <c r="D1099" s="19" t="n">
        <f aca="false">'SALES Raw'!C2515</f>
        <v>29</v>
      </c>
      <c r="E1099" s="19" t="n">
        <f aca="false">'SALES Raw'!D2515</f>
        <v>742.52</v>
      </c>
      <c r="F1099" s="19" t="n">
        <f aca="false">'SALES Raw'!E2515*$H$4</f>
        <v>58.1052631578947</v>
      </c>
      <c r="G1099" s="19" t="n">
        <f aca="false">'SALES Raw'!F2515*$H$4</f>
        <v>1633.33894736842</v>
      </c>
      <c r="H1099" s="18" t="str">
        <f aca="false">'SALES Raw'!A2515</f>
        <v>114 - IL online</v>
      </c>
    </row>
    <row r="1100" customFormat="false" ht="15" hidden="false" customHeight="false" outlineLevel="0" collapsed="false">
      <c r="A1100" s="18" t="str">
        <f aca="false">'SALES Raw'!G3038</f>
        <v/>
      </c>
      <c r="B1100" s="18" t="str">
        <f aca="false">'SALES Raw'!B3038</f>
        <v>11PS M</v>
      </c>
      <c r="C1100" s="18" t="str">
        <f aca="false">'SALES Raw'!H3038</f>
        <v>11PS M</v>
      </c>
      <c r="D1100" s="19" t="n">
        <f aca="false">'SALES Raw'!C3038</f>
        <v>60</v>
      </c>
      <c r="E1100" s="19" t="n">
        <f aca="false">'SALES Raw'!D3038</f>
        <v>3197.73</v>
      </c>
      <c r="F1100" s="19" t="n">
        <f aca="false">'SALES Raw'!E3038*$H$4</f>
        <v>58.1052631578947</v>
      </c>
      <c r="G1100" s="19" t="n">
        <f aca="false">'SALES Raw'!F3038*$H$4</f>
        <v>2877.19578947368</v>
      </c>
      <c r="H1100" s="18" t="str">
        <f aca="false">'SALES Raw'!A3038</f>
        <v>203 - Ortho- Partner ag SWITZERLAND</v>
      </c>
    </row>
    <row r="1101" customFormat="false" ht="15" hidden="false" customHeight="false" outlineLevel="0" collapsed="false">
      <c r="A1101" s="18" t="n">
        <f aca="false">'SALES Raw'!G3112</f>
        <v>4413326</v>
      </c>
      <c r="B1101" s="18" t="str">
        <f aca="false">'SALES Raw'!B3112</f>
        <v>AC37 0</v>
      </c>
      <c r="C1101" s="18" t="str">
        <f aca="false">'SALES Raw'!H3112</f>
        <v>AC37 מגן קרסול נושם</v>
      </c>
      <c r="D1101" s="19" t="n">
        <f aca="false">'SALES Raw'!C3112</f>
        <v>36</v>
      </c>
      <c r="E1101" s="19" t="n">
        <f aca="false">'SALES Raw'!D3112</f>
        <v>739.08</v>
      </c>
      <c r="F1101" s="19" t="n">
        <f aca="false">'SALES Raw'!E3112*$H$4</f>
        <v>58.1052631578947</v>
      </c>
      <c r="G1101" s="19" t="n">
        <f aca="false">'SALES Raw'!F3112*$H$4</f>
        <v>1118.36210526316</v>
      </c>
      <c r="H1101" s="18" t="str">
        <f aca="false">'SALES Raw'!A3112</f>
        <v>203 - Ortho- Partner ag SWITZERLAND</v>
      </c>
    </row>
    <row r="1102" customFormat="false" ht="15" hidden="false" customHeight="false" outlineLevel="0" collapsed="false">
      <c r="A1102" s="18" t="str">
        <f aca="false">'SALES Raw'!G3134</f>
        <v/>
      </c>
      <c r="B1102" s="18" t="str">
        <f aca="false">'SALES Raw'!B3134</f>
        <v>T43V XXXL</v>
      </c>
      <c r="C1102" s="18" t="str">
        <f aca="false">'SALES Raw'!H3134</f>
        <v>T43V XXXL</v>
      </c>
      <c r="D1102" s="19" t="n">
        <f aca="false">'SALES Raw'!C3134</f>
        <v>36</v>
      </c>
      <c r="E1102" s="19" t="n">
        <f aca="false">'SALES Raw'!D3134</f>
        <v>4111.41</v>
      </c>
      <c r="F1102" s="19" t="n">
        <f aca="false">'SALES Raw'!E3134*$H$4</f>
        <v>58.1052631578947</v>
      </c>
      <c r="G1102" s="19" t="n">
        <f aca="false">'SALES Raw'!F3134*$H$4</f>
        <v>6448.09263157895</v>
      </c>
      <c r="H1102" s="18" t="str">
        <f aca="false">'SALES Raw'!A3134</f>
        <v>203 - Ortho- Partner ag SWITZERLAND</v>
      </c>
    </row>
    <row r="1103" customFormat="false" ht="15" hidden="false" customHeight="false" outlineLevel="0" collapsed="false">
      <c r="A1103" s="18" t="n">
        <f aca="false">'SALES Raw'!G3139</f>
        <v>4408190</v>
      </c>
      <c r="B1103" s="18" t="str">
        <f aca="false">'SALES Raw'!B3139</f>
        <v>078 M</v>
      </c>
      <c r="C1103" s="18" t="str">
        <f aca="false">'SALES Raw'!H3139</f>
        <v>M078 חגורת גב +סגירה כפולה</v>
      </c>
      <c r="D1103" s="19" t="n">
        <f aca="false">'SALES Raw'!C3139</f>
        <v>76</v>
      </c>
      <c r="E1103" s="19" t="n">
        <f aca="false">'SALES Raw'!D3139</f>
        <v>3931.49</v>
      </c>
      <c r="F1103" s="19" t="n">
        <f aca="false">'SALES Raw'!E3139*$H$4</f>
        <v>58.1052631578947</v>
      </c>
      <c r="G1103" s="19" t="n">
        <f aca="false">'SALES Raw'!F3139*$H$4</f>
        <v>2811.62526315789</v>
      </c>
      <c r="H1103" s="18" t="str">
        <f aca="false">'SALES Raw'!A3139</f>
        <v>204 - Sanaflex Anatomic GREECE</v>
      </c>
    </row>
    <row r="1104" customFormat="false" ht="15" hidden="false" customHeight="false" outlineLevel="0" collapsed="false">
      <c r="A1104" s="18" t="n">
        <f aca="false">'SALES Raw'!G3226</f>
        <v>4421003</v>
      </c>
      <c r="B1104" s="18" t="str">
        <f aca="false">'SALES Raw'!B3226</f>
        <v>3672 0</v>
      </c>
      <c r="C1104" s="18" t="str">
        <f aca="false">'SALES Raw'!H3226</f>
        <v>3672 שרוול מגן לבוניון</v>
      </c>
      <c r="D1104" s="19" t="n">
        <f aca="false">'SALES Raw'!C3226</f>
        <v>16</v>
      </c>
      <c r="E1104" s="19" t="n">
        <f aca="false">'SALES Raw'!D3226</f>
        <v>277.58</v>
      </c>
      <c r="F1104" s="19" t="n">
        <f aca="false">'SALES Raw'!E3226*$H$4</f>
        <v>58.1052631578947</v>
      </c>
      <c r="G1104" s="19" t="n">
        <f aca="false">'SALES Raw'!F3226*$H$4</f>
        <v>963.511578947368</v>
      </c>
      <c r="H1104" s="18" t="str">
        <f aca="false">'SALES Raw'!A3226</f>
        <v>204 - Sanaflex Anatomic GREECE</v>
      </c>
    </row>
    <row r="1105" customFormat="false" ht="15" hidden="false" customHeight="false" outlineLevel="0" collapsed="false">
      <c r="A1105" s="18" t="n">
        <f aca="false">'SALES Raw'!G3568</f>
        <v>4413452</v>
      </c>
      <c r="B1105" s="18" t="str">
        <f aca="false">'SALES Raw'!B3568</f>
        <v>386 0</v>
      </c>
      <c r="C1105" s="18" t="str">
        <f aca="false">'SALES Raw'!H3568</f>
        <v>386  מיישר בוניון-האלוקס ולגוס</v>
      </c>
      <c r="D1105" s="19" t="n">
        <f aca="false">'SALES Raw'!C3568</f>
        <v>54</v>
      </c>
      <c r="E1105" s="19" t="n">
        <f aca="false">'SALES Raw'!D3568</f>
        <v>874.13</v>
      </c>
      <c r="F1105" s="19" t="n">
        <f aca="false">'SALES Raw'!E3568*$H$4</f>
        <v>58.1052631578947</v>
      </c>
      <c r="G1105" s="19" t="n">
        <f aca="false">'SALES Raw'!F3568*$H$4</f>
        <v>912.151578947368</v>
      </c>
      <c r="H1105" s="18" t="str">
        <f aca="false">'SALES Raw'!A3568</f>
        <v>207 - Salus HUNGARY</v>
      </c>
    </row>
    <row r="1106" customFormat="false" ht="15" hidden="false" customHeight="false" outlineLevel="0" collapsed="false">
      <c r="A1106" s="18" t="n">
        <f aca="false">'SALES Raw'!G3832</f>
        <v>4413523</v>
      </c>
      <c r="B1106" s="18" t="str">
        <f aca="false">'SALES Raw'!B3832</f>
        <v>379COM-35-38</v>
      </c>
      <c r="C1106" s="18" t="str">
        <f aca="false">'SALES Raw'!H3832</f>
        <v>35-38 מדרסי אפיק ג'ל נוחות</v>
      </c>
      <c r="D1106" s="19" t="n">
        <f aca="false">'SALES Raw'!C3832</f>
        <v>105</v>
      </c>
      <c r="E1106" s="19" t="n">
        <f aca="false">'SALES Raw'!D3832</f>
        <v>4839.78</v>
      </c>
      <c r="F1106" s="19" t="n">
        <f aca="false">'SALES Raw'!E3832*$H$4</f>
        <v>58.1052631578947</v>
      </c>
      <c r="G1106" s="19" t="n">
        <f aca="false">'SALES Raw'!F3832*$H$4</f>
        <v>2342.41263157895</v>
      </c>
      <c r="H1106" s="18" t="str">
        <f aca="false">'SALES Raw'!A3832</f>
        <v>209 - Ortoprofil Prod ROMANIA</v>
      </c>
    </row>
    <row r="1107" customFormat="false" ht="15" hidden="false" customHeight="false" outlineLevel="0" collapsed="false">
      <c r="A1107" s="18" t="n">
        <f aca="false">'SALES Raw'!G4346</f>
        <v>4413329</v>
      </c>
      <c r="B1107" s="18" t="str">
        <f aca="false">'SALES Raw'!B4346</f>
        <v>AC45X 0</v>
      </c>
      <c r="C1107" s="18" t="str">
        <f aca="false">'SALES Raw'!H4346</f>
        <v>AC45X מגן ברך עם תמיכות</v>
      </c>
      <c r="D1107" s="19" t="n">
        <f aca="false">'SALES Raw'!C4346</f>
        <v>10</v>
      </c>
      <c r="E1107" s="19" t="n">
        <f aca="false">'SALES Raw'!D4346</f>
        <v>362.82</v>
      </c>
      <c r="F1107" s="19" t="n">
        <f aca="false">'SALES Raw'!E4346*$H$4</f>
        <v>58.1052631578947</v>
      </c>
      <c r="G1107" s="19" t="n">
        <f aca="false">'SALES Raw'!F4346*$H$4</f>
        <v>1990.25684210526</v>
      </c>
      <c r="H1107" s="18" t="str">
        <f aca="false">'SALES Raw'!A4346</f>
        <v>216 - Max Konnaris CYPRUS</v>
      </c>
    </row>
    <row r="1108" customFormat="false" ht="15" hidden="false" customHeight="false" outlineLevel="0" collapsed="false">
      <c r="A1108" s="18" t="n">
        <f aca="false">'CEMIUP0.9 Raw'!B452</f>
        <v>4413519</v>
      </c>
      <c r="B1108" s="18" t="str">
        <f aca="false">'CEMIUP0.9 Raw'!C452</f>
        <v>85B S מתלה רשת לזרוע שחור</v>
      </c>
      <c r="C1108" s="18" t="str">
        <f aca="false">'CEMIUP0.9 Raw'!C452</f>
        <v>85B S מתלה רשת לזרוע שחור</v>
      </c>
      <c r="D1108" s="19" t="n">
        <f aca="false">'CEMIUP0.9 Raw'!D452</f>
        <v>86</v>
      </c>
      <c r="E1108" s="19" t="n">
        <f aca="false">'CEMIUP0.9 Raw'!E452</f>
        <v>4295.382</v>
      </c>
      <c r="F1108" s="19" t="n">
        <f aca="false">'CEMIUP0.9 Raw'!F452</f>
        <v>58.1052631578947</v>
      </c>
      <c r="G1108" s="19" t="n">
        <f aca="false">'CEMIUP0.9 Raw'!G452</f>
        <v>2948.62989473684</v>
      </c>
      <c r="H1108" s="18" t="str">
        <f aca="false">'CEMIUP0.9 Raw'!A452</f>
        <v>107 - Pharmacies</v>
      </c>
    </row>
    <row r="1109" customFormat="false" ht="15" hidden="false" customHeight="false" outlineLevel="0" collapsed="false">
      <c r="A1109" s="18" t="n">
        <f aca="false">'CEMIUP0.9 Raw'!B686</f>
        <v>4403024</v>
      </c>
      <c r="B1109" s="18" t="str">
        <f aca="false">'CEMIUP0.9 Raw'!C686</f>
        <v>394W 39-42 גרב.כסף לסכרתים לבן</v>
      </c>
      <c r="C1109" s="18" t="str">
        <f aca="false">'CEMIUP0.9 Raw'!C686</f>
        <v>394W 39-42 גרב.כסף לסכרתים לבן</v>
      </c>
      <c r="D1109" s="19" t="n">
        <f aca="false">'CEMIUP0.9 Raw'!D686</f>
        <v>37</v>
      </c>
      <c r="E1109" s="19" t="n">
        <f aca="false">'CEMIUP0.9 Raw'!E686</f>
        <v>680.8</v>
      </c>
      <c r="F1109" s="19" t="n">
        <f aca="false">'CEMIUP0.9 Raw'!F686</f>
        <v>58.1052631578947</v>
      </c>
      <c r="G1109" s="19" t="n">
        <f aca="false">'CEMIUP0.9 Raw'!G686</f>
        <v>1037.76</v>
      </c>
      <c r="H1109" s="18" t="str">
        <f aca="false">'CEMIUP0.9 Raw'!A686</f>
        <v>113 - Kupat Holim Meuhedet</v>
      </c>
    </row>
    <row r="1110" customFormat="false" ht="15" hidden="false" customHeight="false" outlineLevel="0" collapsed="false">
      <c r="A1110" s="18" t="n">
        <f aca="false">'CEMIUP0.9 Raw'!B1021</f>
        <v>4408223</v>
      </c>
      <c r="B1110" s="18" t="str">
        <f aca="false">'CEMIUP0.9 Raw'!C1021</f>
        <v>078G-XXLחגורת גב אפורה</v>
      </c>
      <c r="C1110" s="18" t="str">
        <f aca="false">'CEMIUP0.9 Raw'!C1021</f>
        <v>078G-XXLחגורת גב אפורה</v>
      </c>
      <c r="D1110" s="19" t="n">
        <f aca="false">'CEMIUP0.9 Raw'!D1021</f>
        <v>60</v>
      </c>
      <c r="E1110" s="19" t="n">
        <f aca="false">'CEMIUP0.9 Raw'!E1021</f>
        <v>5417.958</v>
      </c>
      <c r="F1110" s="19" t="n">
        <f aca="false">'CEMIUP0.9 Raw'!F1021</f>
        <v>58.1052631578947</v>
      </c>
      <c r="G1110" s="19" t="n">
        <f aca="false">'CEMIUP0.9 Raw'!G1021</f>
        <v>5246.88757894737</v>
      </c>
      <c r="H1110" s="18" t="str">
        <f aca="false">'CEMIUP0.9 Raw'!A1021</f>
        <v>BE (CEMI internal group)</v>
      </c>
    </row>
    <row r="1111" customFormat="false" ht="15" hidden="false" customHeight="false" outlineLevel="0" collapsed="false">
      <c r="A1111" s="18" t="n">
        <f aca="false">'CEMIUP0.9 Raw'!B1062</f>
        <v>4413046</v>
      </c>
      <c r="B1111" s="18" t="str">
        <f aca="false">'CEMIUP0.9 Raw'!C1062</f>
        <v>34 XXL מגן קרסול עקב סגור</v>
      </c>
      <c r="C1111" s="18" t="str">
        <f aca="false">'CEMIUP0.9 Raw'!C1062</f>
        <v>34 XXL מגן קרסול עקב סגור</v>
      </c>
      <c r="D1111" s="19" t="n">
        <f aca="false">'CEMIUP0.9 Raw'!D1062</f>
        <v>59</v>
      </c>
      <c r="E1111" s="19" t="n">
        <f aca="false">'CEMIUP0.9 Raw'!E1062</f>
        <v>2174.445</v>
      </c>
      <c r="F1111" s="19" t="n">
        <f aca="false">'CEMIUP0.9 Raw'!F1062</f>
        <v>58.1052631578947</v>
      </c>
      <c r="G1111" s="19" t="n">
        <f aca="false">'CEMIUP0.9 Raw'!G1062</f>
        <v>2141.46947368421</v>
      </c>
      <c r="H1111" s="18" t="str">
        <f aca="false">'CEMIUP0.9 Raw'!A1062</f>
        <v>BE (CEMI internal group)</v>
      </c>
    </row>
    <row r="1112" customFormat="false" ht="15" hidden="false" customHeight="false" outlineLevel="0" collapsed="false">
      <c r="A1112" s="18" t="n">
        <f aca="false">'CEMIUP0.9 Raw'!B1128</f>
        <v>4413150</v>
      </c>
      <c r="B1112" s="18" t="str">
        <f aca="false">'CEMIUP0.9 Raw'!C1128</f>
        <v>PD341-מקצוע להסרת עור קשה</v>
      </c>
      <c r="C1112" s="18" t="str">
        <f aca="false">'CEMIUP0.9 Raw'!C1128</f>
        <v>PD341-מקצוע להסרת עור קשה</v>
      </c>
      <c r="D1112" s="19" t="n">
        <f aca="false">'CEMIUP0.9 Raw'!D1128</f>
        <v>111</v>
      </c>
      <c r="E1112" s="19" t="n">
        <f aca="false">'CEMIUP0.9 Raw'!E1128</f>
        <v>2695.147</v>
      </c>
      <c r="F1112" s="19" t="n">
        <f aca="false">'CEMIUP0.9 Raw'!F1128</f>
        <v>58.1052631578947</v>
      </c>
      <c r="G1112" s="19" t="n">
        <f aca="false">'CEMIUP0.9 Raw'!G1128</f>
        <v>1410.864</v>
      </c>
      <c r="H1112" s="18" t="str">
        <f aca="false">'CEMIUP0.9 Raw'!A1128</f>
        <v>BE (CEMI internal group)</v>
      </c>
    </row>
    <row r="1113" customFormat="false" ht="15" hidden="false" customHeight="false" outlineLevel="0" collapsed="false">
      <c r="A1113" s="18" t="n">
        <f aca="false">'CEMIUP0.9 Raw'!B1321</f>
        <v>4408035</v>
      </c>
      <c r="B1113" s="18" t="str">
        <f aca="false">'CEMIUP0.9 Raw'!C1321</f>
        <v>11 XXL""חגורת בטן""אורירית</v>
      </c>
      <c r="C1113" s="18" t="str">
        <f aca="false">'CEMIUP0.9 Raw'!C1321</f>
        <v>11 XXL""חגורת בטן""אורירית</v>
      </c>
      <c r="D1113" s="19" t="n">
        <f aca="false">'CEMIUP0.9 Raw'!D1321</f>
        <v>98</v>
      </c>
      <c r="E1113" s="19" t="n">
        <f aca="false">'CEMIUP0.9 Raw'!E1321</f>
        <v>7963.046</v>
      </c>
      <c r="F1113" s="19" t="n">
        <f aca="false">'CEMIUP0.9 Raw'!F1321</f>
        <v>58.1052631578947</v>
      </c>
      <c r="G1113" s="19" t="n">
        <f aca="false">'CEMIUP0.9 Raw'!G1321</f>
        <v>4756.17726315789</v>
      </c>
      <c r="H1113" s="18" t="str">
        <f aca="false">'CEMIUP0.9 Raw'!A1321</f>
        <v>Super-Pharm Israel (CEMI internal group)</v>
      </c>
    </row>
    <row r="1114" customFormat="false" ht="15" hidden="false" customHeight="false" outlineLevel="0" collapsed="false">
      <c r="A1114" s="18" t="n">
        <f aca="false">'CEMIUP0.9 Raw'!B308</f>
        <v>4413137</v>
      </c>
      <c r="B1114" s="18" t="str">
        <f aca="false">'CEMIUP0.9 Raw'!C308</f>
        <v>85 S (מתלה ליד )כיס</v>
      </c>
      <c r="C1114" s="18" t="str">
        <f aca="false">'CEMIUP0.9 Raw'!C308</f>
        <v>85 S (מתלה ליד )כיס</v>
      </c>
      <c r="D1114" s="19" t="n">
        <f aca="false">'CEMIUP0.9 Raw'!D308</f>
        <v>79</v>
      </c>
      <c r="E1114" s="19" t="n">
        <f aca="false">'CEMIUP0.9 Raw'!E308</f>
        <v>3973.648</v>
      </c>
      <c r="F1114" s="19" t="n">
        <f aca="false">'CEMIUP0.9 Raw'!F308</f>
        <v>56.8421052631579</v>
      </c>
      <c r="G1114" s="19" t="n">
        <f aca="false">'CEMIUP0.9 Raw'!G308</f>
        <v>2802.06947368421</v>
      </c>
      <c r="H1114" s="18" t="str">
        <f aca="false">'CEMIUP0.9 Raw'!A308</f>
        <v>107 - Pharmacies</v>
      </c>
    </row>
    <row r="1115" customFormat="false" ht="15" hidden="false" customHeight="false" outlineLevel="0" collapsed="false">
      <c r="A1115" s="18" t="n">
        <f aca="false">'CEMIUP0.9 Raw'!B471</f>
        <v>4415006</v>
      </c>
      <c r="B1115" s="18" t="str">
        <f aca="false">'CEMIUP0.9 Raw'!C471</f>
        <v>28 M סד לאגודל לאחר שבר</v>
      </c>
      <c r="C1115" s="18" t="str">
        <f aca="false">'CEMIUP0.9 Raw'!C471</f>
        <v>28 M סד לאגודל לאחר שבר</v>
      </c>
      <c r="D1115" s="19" t="n">
        <f aca="false">'CEMIUP0.9 Raw'!D471</f>
        <v>81</v>
      </c>
      <c r="E1115" s="19" t="n">
        <f aca="false">'CEMIUP0.9 Raw'!E471</f>
        <v>7185.145</v>
      </c>
      <c r="F1115" s="19" t="n">
        <f aca="false">'CEMIUP0.9 Raw'!F471</f>
        <v>56.8421052631579</v>
      </c>
      <c r="G1115" s="19" t="n">
        <f aca="false">'CEMIUP0.9 Raw'!G471</f>
        <v>5001.58989473684</v>
      </c>
      <c r="H1115" s="18" t="str">
        <f aca="false">'CEMIUP0.9 Raw'!A471</f>
        <v>107 - Pharmacies</v>
      </c>
    </row>
    <row r="1116" customFormat="false" ht="15" hidden="false" customHeight="false" outlineLevel="0" collapsed="false">
      <c r="A1116" s="18" t="n">
        <f aca="false">'CEMIUP0.9 Raw'!B1015</f>
        <v>4408207</v>
      </c>
      <c r="B1116" s="18" t="str">
        <f aca="false">'CEMIUP0.9 Raw'!C1015</f>
        <v>AC-25 חבק לשורש כף היד</v>
      </c>
      <c r="C1116" s="18" t="str">
        <f aca="false">'CEMIUP0.9 Raw'!C1015</f>
        <v>AC-25 חבק לשורש כף היד</v>
      </c>
      <c r="D1116" s="19" t="n">
        <f aca="false">'CEMIUP0.9 Raw'!D1015</f>
        <v>60</v>
      </c>
      <c r="E1116" s="19" t="n">
        <f aca="false">'CEMIUP0.9 Raw'!E1015</f>
        <v>1361.178</v>
      </c>
      <c r="F1116" s="19" t="n">
        <f aca="false">'CEMIUP0.9 Raw'!F1015</f>
        <v>56.8421052631579</v>
      </c>
      <c r="G1116" s="19" t="n">
        <f aca="false">'CEMIUP0.9 Raw'!G1015</f>
        <v>1289.59452631579</v>
      </c>
      <c r="H1116" s="18" t="str">
        <f aca="false">'CEMIUP0.9 Raw'!A1015</f>
        <v>BE (CEMI internal group)</v>
      </c>
    </row>
    <row r="1117" customFormat="false" ht="15" hidden="false" customHeight="false" outlineLevel="0" collapsed="false">
      <c r="A1117" s="18" t="n">
        <f aca="false">'CEMIUP0.9 Raw'!B1217</f>
        <v>4415028</v>
      </c>
      <c r="B1117" s="18" t="str">
        <f aca="false">'CEMIUP0.9 Raw'!C1217</f>
        <v>AC-28 סד לאגודל</v>
      </c>
      <c r="C1117" s="18" t="str">
        <f aca="false">'CEMIUP0.9 Raw'!C1217</f>
        <v>AC-28 סד לאגודל</v>
      </c>
      <c r="D1117" s="19" t="n">
        <f aca="false">'CEMIUP0.9 Raw'!D1217</f>
        <v>47</v>
      </c>
      <c r="E1117" s="19" t="n">
        <f aca="false">'CEMIUP0.9 Raw'!E1217</f>
        <v>1029.028</v>
      </c>
      <c r="F1117" s="19" t="n">
        <f aca="false">'CEMIUP0.9 Raw'!F1217</f>
        <v>56.8421052631579</v>
      </c>
      <c r="G1117" s="19" t="n">
        <f aca="false">'CEMIUP0.9 Raw'!G1217</f>
        <v>1244.53515789474</v>
      </c>
      <c r="H1117" s="18" t="str">
        <f aca="false">'CEMIUP0.9 Raw'!A1217</f>
        <v>BE (CEMI internal group)</v>
      </c>
    </row>
    <row r="1118" customFormat="false" ht="15" hidden="false" customHeight="false" outlineLevel="0" collapsed="false">
      <c r="A1118" s="18" t="n">
        <f aca="false">'SALES Raw'!G553</f>
        <v>4403041</v>
      </c>
      <c r="B1118" s="18" t="str">
        <f aca="false">'SALES Raw'!B553</f>
        <v>397A-35-38</v>
      </c>
      <c r="C1118" s="18" t="str">
        <f aca="false">'SALES Raw'!H553</f>
        <v>397A-גרבי טיסה אנטי בקטרי35-38</v>
      </c>
      <c r="D1118" s="19" t="n">
        <f aca="false">'SALES Raw'!C553</f>
        <v>1</v>
      </c>
      <c r="E1118" s="19" t="n">
        <f aca="false">'SALES Raw'!D553</f>
        <v>63.23</v>
      </c>
      <c r="F1118" s="19" t="n">
        <f aca="false">'SALES Raw'!E553*$H$4</f>
        <v>56.8421052631579</v>
      </c>
      <c r="G1118" s="19" t="n">
        <f aca="false">'SALES Raw'!F553*$H$4</f>
        <v>3556.96421052632</v>
      </c>
      <c r="H1118" s="18" t="str">
        <f aca="false">'SALES Raw'!A553</f>
        <v>102 - Orthopedic institutes</v>
      </c>
    </row>
    <row r="1119" customFormat="false" ht="15" hidden="false" customHeight="false" outlineLevel="0" collapsed="false">
      <c r="A1119" s="18" t="n">
        <f aca="false">'SALES Raw'!G705</f>
        <v>4413160</v>
      </c>
      <c r="B1119" s="18" t="str">
        <f aca="false">'SALES Raw'!B705</f>
        <v>34+ M</v>
      </c>
      <c r="C1119" s="18" t="str">
        <f aca="false">'SALES Raw'!H705</f>
        <v>34+ M מגן קרסול עקב סגור+רצוע</v>
      </c>
      <c r="D1119" s="19" t="n">
        <f aca="false">'SALES Raw'!C705</f>
        <v>27</v>
      </c>
      <c r="E1119" s="19" t="n">
        <f aca="false">'SALES Raw'!D705</f>
        <v>1786.85</v>
      </c>
      <c r="F1119" s="19" t="n">
        <f aca="false">'SALES Raw'!E705*$H$4</f>
        <v>56.8421052631579</v>
      </c>
      <c r="G1119" s="19" t="n">
        <f aca="false">'SALES Raw'!F705*$H$4</f>
        <v>3834.02526315789</v>
      </c>
      <c r="H1119" s="18" t="str">
        <f aca="false">'SALES Raw'!A705</f>
        <v>102 - Orthopedic institutes</v>
      </c>
    </row>
    <row r="1120" customFormat="false" ht="15" hidden="false" customHeight="false" outlineLevel="0" collapsed="false">
      <c r="A1120" s="18" t="n">
        <f aca="false">'SALES Raw'!G881</f>
        <v>4422035</v>
      </c>
      <c r="B1120" s="18" t="str">
        <f aca="false">'SALES Raw'!B881</f>
        <v>FC333 0</v>
      </c>
      <c r="C1120" s="18" t="str">
        <f aca="false">'SALES Raw'!H881</f>
        <v>FCתרסיס דאודורנט אנטיבק.נעל333</v>
      </c>
      <c r="D1120" s="19" t="n">
        <f aca="false">'SALES Raw'!C881</f>
        <v>114</v>
      </c>
      <c r="E1120" s="19" t="n">
        <f aca="false">'SALES Raw'!D881</f>
        <v>2245.01</v>
      </c>
      <c r="F1120" s="19" t="n">
        <f aca="false">'SALES Raw'!E881*$H$4</f>
        <v>56.8421052631579</v>
      </c>
      <c r="G1120" s="19" t="n">
        <f aca="false">'SALES Raw'!F881*$H$4</f>
        <v>1148.80421052632</v>
      </c>
      <c r="H1120" s="18" t="str">
        <f aca="false">'SALES Raw'!A881</f>
        <v>102 - Orthopedic institutes</v>
      </c>
    </row>
    <row r="1121" customFormat="false" ht="15" hidden="false" customHeight="false" outlineLevel="0" collapsed="false">
      <c r="A1121" s="18" t="n">
        <f aca="false">'SALES Raw'!G1796</f>
        <v>4413348</v>
      </c>
      <c r="B1121" s="18" t="str">
        <f aca="false">'SALES Raw'!B1796</f>
        <v>302M 0</v>
      </c>
      <c r="C1121" s="18" t="str">
        <f aca="false">'SALES Raw'!H1796</f>
        <v>302 מדרס ג'ל לגבר</v>
      </c>
      <c r="D1121" s="19" t="n">
        <f aca="false">'SALES Raw'!C1796</f>
        <v>60</v>
      </c>
      <c r="E1121" s="19" t="n">
        <f aca="false">'SALES Raw'!D1796</f>
        <v>3784.19</v>
      </c>
      <c r="F1121" s="19" t="n">
        <f aca="false">'SALES Raw'!E1796*$H$4</f>
        <v>56.8421052631579</v>
      </c>
      <c r="G1121" s="19" t="n">
        <f aca="false">'SALES Raw'!F1796*$H$4</f>
        <v>3627.34736842105</v>
      </c>
      <c r="H1121" s="18" t="str">
        <f aca="false">'SALES Raw'!A1796</f>
        <v>109 - Private Shops</v>
      </c>
    </row>
    <row r="1122" customFormat="false" ht="15" hidden="false" customHeight="false" outlineLevel="0" collapsed="false">
      <c r="A1122" s="18" t="n">
        <f aca="false">'SALES Raw'!G2191</f>
        <v>4421005</v>
      </c>
      <c r="B1122" s="18" t="str">
        <f aca="false">'SALES Raw'!B2191</f>
        <v>250 0</v>
      </c>
      <c r="C1122" s="18" t="str">
        <f aca="false">'SALES Raw'!H2191</f>
        <v>שרוול לגבס קצר יד</v>
      </c>
      <c r="D1122" s="19" t="n">
        <f aca="false">'SALES Raw'!C2191</f>
        <v>37</v>
      </c>
      <c r="E1122" s="19" t="n">
        <f aca="false">'SALES Raw'!D2191</f>
        <v>2516.81</v>
      </c>
      <c r="F1122" s="19" t="n">
        <f aca="false">'SALES Raw'!E2191*$H$4</f>
        <v>56.8421052631579</v>
      </c>
      <c r="G1122" s="19" t="n">
        <f aca="false">'SALES Raw'!F2191*$H$4</f>
        <v>3985.21263157895</v>
      </c>
      <c r="H1122" s="18" t="str">
        <f aca="false">'SALES Raw'!A2191</f>
        <v>114 - IL online</v>
      </c>
    </row>
    <row r="1123" customFormat="false" ht="15" hidden="false" customHeight="false" outlineLevel="0" collapsed="false">
      <c r="A1123" s="18" t="n">
        <f aca="false">'SALES Raw'!G3179</f>
        <v>4415006</v>
      </c>
      <c r="B1123" s="18" t="str">
        <f aca="false">'SALES Raw'!B3179</f>
        <v>28 M</v>
      </c>
      <c r="C1123" s="18" t="str">
        <f aca="false">'SALES Raw'!H3179</f>
        <v>28 M סד לאגודל לאחר שבר</v>
      </c>
      <c r="D1123" s="19" t="n">
        <f aca="false">'SALES Raw'!C3179</f>
        <v>61</v>
      </c>
      <c r="E1123" s="19" t="n">
        <f aca="false">'SALES Raw'!D3179</f>
        <v>2217.04</v>
      </c>
      <c r="F1123" s="19" t="n">
        <f aca="false">'SALES Raw'!E3179*$H$4</f>
        <v>56.8421052631579</v>
      </c>
      <c r="G1123" s="19" t="n">
        <f aca="false">'SALES Raw'!F3179*$H$4</f>
        <v>1835.53263157895</v>
      </c>
      <c r="H1123" s="18" t="str">
        <f aca="false">'SALES Raw'!A3179</f>
        <v>204 - Sanaflex Anatomic GREECE</v>
      </c>
    </row>
    <row r="1124" customFormat="false" ht="15" hidden="false" customHeight="false" outlineLevel="0" collapsed="false">
      <c r="A1124" s="18" t="n">
        <f aca="false">'SALES Raw'!G3783</f>
        <v>4408054</v>
      </c>
      <c r="B1124" s="18" t="str">
        <f aca="false">'SALES Raw'!B3783</f>
        <v>21 XL</v>
      </c>
      <c r="C1124" s="18" t="str">
        <f aca="false">'SALES Raw'!H3783</f>
        <v>21 XL חבק יד ארוך</v>
      </c>
      <c r="D1124" s="19" t="n">
        <f aca="false">'SALES Raw'!C3783</f>
        <v>95</v>
      </c>
      <c r="E1124" s="19" t="n">
        <f aca="false">'SALES Raw'!D3783</f>
        <v>1530.29</v>
      </c>
      <c r="F1124" s="19" t="n">
        <f aca="false">'SALES Raw'!E3783*$H$4</f>
        <v>56.8421052631579</v>
      </c>
      <c r="G1124" s="19" t="n">
        <f aca="false">'SALES Raw'!F3783*$H$4</f>
        <v>922.370526315789</v>
      </c>
      <c r="H1124" s="18" t="str">
        <f aca="false">'SALES Raw'!A3783</f>
        <v>209 - Ortoprofil Prod ROMANIA</v>
      </c>
    </row>
    <row r="1125" customFormat="false" ht="15" hidden="false" customHeight="false" outlineLevel="0" collapsed="false">
      <c r="A1125" s="18" t="n">
        <f aca="false">'SALES Raw'!G4110</f>
        <v>4413531</v>
      </c>
      <c r="B1125" s="18" t="str">
        <f aca="false">'SALES Raw'!B4110</f>
        <v>ST91 0</v>
      </c>
      <c r="C1125" s="18" t="str">
        <f aca="false">'SALES Raw'!H4110</f>
        <v>ST91 מגן מרפק לטניס</v>
      </c>
      <c r="D1125" s="19" t="n">
        <f aca="false">'SALES Raw'!C4110</f>
        <v>25</v>
      </c>
      <c r="E1125" s="19" t="n">
        <f aca="false">'SALES Raw'!D4110</f>
        <v>426.07</v>
      </c>
      <c r="F1125" s="19" t="n">
        <f aca="false">'SALES Raw'!E4110*$H$4</f>
        <v>56.8421052631579</v>
      </c>
      <c r="G1125" s="19" t="n">
        <f aca="false">'SALES Raw'!F4110*$H$4</f>
        <v>821.848421052632</v>
      </c>
      <c r="H1125" s="18" t="str">
        <f aca="false">'SALES Raw'!A4110</f>
        <v>213 - E.f.m.o. SPAIN</v>
      </c>
    </row>
    <row r="1126" customFormat="false" ht="15" hidden="false" customHeight="false" outlineLevel="0" collapsed="false">
      <c r="A1126" s="18" t="n">
        <f aca="false">'CEMIUP0.9 Raw'!B244</f>
        <v>4413056</v>
      </c>
      <c r="B1126" s="18" t="str">
        <f aca="false">'CEMIUP0.9 Raw'!C244</f>
        <v>LF360 מדרס מטטרזלי לנעלי עקב</v>
      </c>
      <c r="C1126" s="18" t="str">
        <f aca="false">'CEMIUP0.9 Raw'!C244</f>
        <v>LF360 מדרס מטטרזלי לנעלי עקב</v>
      </c>
      <c r="D1126" s="19" t="n">
        <f aca="false">'CEMIUP0.9 Raw'!D244</f>
        <v>82</v>
      </c>
      <c r="E1126" s="19" t="n">
        <f aca="false">'CEMIUP0.9 Raw'!E244</f>
        <v>1685.391</v>
      </c>
      <c r="F1126" s="19" t="n">
        <f aca="false">'CEMIUP0.9 Raw'!F244</f>
        <v>55.5789473684211</v>
      </c>
      <c r="G1126" s="19" t="n">
        <f aca="false">'CEMIUP0.9 Raw'!G244</f>
        <v>1177.94273684211</v>
      </c>
      <c r="H1126" s="18" t="str">
        <f aca="false">'CEMIUP0.9 Raw'!A244</f>
        <v>107 - Pharmacies</v>
      </c>
    </row>
    <row r="1127" customFormat="false" ht="15" hidden="false" customHeight="false" outlineLevel="0" collapsed="false">
      <c r="A1127" s="18" t="n">
        <f aca="false">'CEMIUP0.9 Raw'!B1171</f>
        <v>4413368</v>
      </c>
      <c r="B1127" s="18" t="str">
        <f aca="false">'CEMIUP0.9 Raw'!C1171</f>
        <v>95C XS'מגן מרפק בז</v>
      </c>
      <c r="C1127" s="18" t="str">
        <f aca="false">'CEMIUP0.9 Raw'!C1171</f>
        <v>95C XS'מגן מרפק בז</v>
      </c>
      <c r="D1127" s="19" t="n">
        <f aca="false">'CEMIUP0.9 Raw'!D1171</f>
        <v>44</v>
      </c>
      <c r="E1127" s="19" t="n">
        <f aca="false">'CEMIUP0.9 Raw'!E1171</f>
        <v>1111.474</v>
      </c>
      <c r="F1127" s="19" t="n">
        <f aca="false">'CEMIUP0.9 Raw'!F1171</f>
        <v>55.5789473684211</v>
      </c>
      <c r="G1127" s="19" t="n">
        <f aca="false">'CEMIUP0.9 Raw'!G1171</f>
        <v>1404.08210526316</v>
      </c>
      <c r="H1127" s="18" t="str">
        <f aca="false">'CEMIUP0.9 Raw'!A1171</f>
        <v>BE (CEMI internal group)</v>
      </c>
    </row>
    <row r="1128" customFormat="false" ht="15" hidden="false" customHeight="false" outlineLevel="0" collapsed="false">
      <c r="A1128" s="18" t="n">
        <f aca="false">'CEMIUP0.9 Raw'!B1263</f>
        <v>4420025</v>
      </c>
      <c r="B1128" s="18" t="str">
        <f aca="false">'CEMIUP0.9 Raw'!C1263</f>
        <v>LF374 ריפוד סיליק.לעקב תחתון</v>
      </c>
      <c r="C1128" s="18" t="str">
        <f aca="false">'CEMIUP0.9 Raw'!C1263</f>
        <v>LF374 ריפוד סיליק.לעקב תחתון</v>
      </c>
      <c r="D1128" s="19" t="n">
        <f aca="false">'CEMIUP0.9 Raw'!D1263</f>
        <v>41</v>
      </c>
      <c r="E1128" s="19" t="n">
        <f aca="false">'CEMIUP0.9 Raw'!E1263</f>
        <v>791.245</v>
      </c>
      <c r="F1128" s="19" t="n">
        <f aca="false">'CEMIUP0.9 Raw'!F1263</f>
        <v>55.5789473684211</v>
      </c>
      <c r="G1128" s="19" t="n">
        <f aca="false">'CEMIUP0.9 Raw'!G1263</f>
        <v>1081.19494736842</v>
      </c>
      <c r="H1128" s="18" t="str">
        <f aca="false">'CEMIUP0.9 Raw'!A1263</f>
        <v>BE (CEMI internal group)</v>
      </c>
    </row>
    <row r="1129" customFormat="false" ht="15" hidden="false" customHeight="false" outlineLevel="0" collapsed="false">
      <c r="A1129" s="18" t="n">
        <f aca="false">'SALES Raw'!G952</f>
        <v>4411000</v>
      </c>
      <c r="B1129" s="18" t="str">
        <f aca="false">'SALES Raw'!B952</f>
        <v>362-L-R</v>
      </c>
      <c r="C1129" s="18" t="str">
        <f aca="false">'SALES Raw'!H952</f>
        <v>כרית מטטרזלי סיליקון362</v>
      </c>
      <c r="D1129" s="19" t="n">
        <f aca="false">'SALES Raw'!C952</f>
        <v>15</v>
      </c>
      <c r="E1129" s="19" t="n">
        <f aca="false">'SALES Raw'!D952</f>
        <v>443.12</v>
      </c>
      <c r="F1129" s="19" t="n">
        <f aca="false">'SALES Raw'!E952*$H$4</f>
        <v>55.5789473684211</v>
      </c>
      <c r="G1129" s="19" t="n">
        <f aca="false">'SALES Raw'!F952*$H$4</f>
        <v>1588.24421052632</v>
      </c>
      <c r="H1129" s="18" t="str">
        <f aca="false">'SALES Raw'!A952</f>
        <v>102 - Orthopedic institutes</v>
      </c>
    </row>
    <row r="1130" customFormat="false" ht="15" hidden="false" customHeight="false" outlineLevel="0" collapsed="false">
      <c r="A1130" s="18" t="n">
        <f aca="false">'SALES Raw'!G2662</f>
        <v>4413441</v>
      </c>
      <c r="B1130" s="18" t="str">
        <f aca="false">'SALES Raw'!B2662</f>
        <v>SC422 XL</v>
      </c>
      <c r="C1130" s="18" t="str">
        <f aca="false">'SALES Raw'!H2662</f>
        <v>SC422 XL מגן ברך</v>
      </c>
      <c r="D1130" s="19" t="n">
        <f aca="false">'SALES Raw'!C2662</f>
        <v>30</v>
      </c>
      <c r="E1130" s="19" t="n">
        <f aca="false">'SALES Raw'!D2662</f>
        <v>6655.4</v>
      </c>
      <c r="F1130" s="19" t="n">
        <f aca="false">'SALES Raw'!E2662*$H$4</f>
        <v>55.5789473684211</v>
      </c>
      <c r="G1130" s="19" t="n">
        <f aca="false">'SALES Raw'!F2662*$H$4</f>
        <v>12600.1768421053</v>
      </c>
      <c r="H1130" s="18" t="str">
        <f aca="false">'SALES Raw'!A2662</f>
        <v>114 - IL online</v>
      </c>
    </row>
    <row r="1131" customFormat="false" ht="15" hidden="false" customHeight="false" outlineLevel="0" collapsed="false">
      <c r="A1131" s="18" t="n">
        <f aca="false">'SALES Raw'!G3040</f>
        <v>4408148</v>
      </c>
      <c r="B1131" s="18" t="str">
        <f aca="false">'SALES Raw'!B3040</f>
        <v>11PS XL</v>
      </c>
      <c r="C1131" s="18" t="str">
        <f aca="false">'SALES Raw'!H3040</f>
        <v>11PS XLחגורה למנותחי בטן</v>
      </c>
      <c r="D1131" s="19" t="n">
        <f aca="false">'SALES Raw'!C3040</f>
        <v>84</v>
      </c>
      <c r="E1131" s="19" t="n">
        <f aca="false">'SALES Raw'!D3040</f>
        <v>4705.74</v>
      </c>
      <c r="F1131" s="19" t="n">
        <f aca="false">'SALES Raw'!E3040*$H$4</f>
        <v>55.5789473684211</v>
      </c>
      <c r="G1131" s="19" t="n">
        <f aca="false">'SALES Raw'!F3040*$H$4</f>
        <v>2934.75789473684</v>
      </c>
      <c r="H1131" s="18" t="str">
        <f aca="false">'SALES Raw'!A3040</f>
        <v>203 - Ortho- Partner ag SWITZERLAND</v>
      </c>
    </row>
    <row r="1132" customFormat="false" ht="15" hidden="false" customHeight="false" outlineLevel="0" collapsed="false">
      <c r="A1132" s="18" t="str">
        <f aca="false">'SALES Raw'!G3093</f>
        <v/>
      </c>
      <c r="B1132" s="18" t="str">
        <f aca="false">'SALES Raw'!B3093</f>
        <v>49PS XXL</v>
      </c>
      <c r="C1132" s="18" t="str">
        <f aca="false">'SALES Raw'!H3093</f>
        <v>49PS XXL</v>
      </c>
      <c r="D1132" s="19" t="n">
        <f aca="false">'SALES Raw'!C3093</f>
        <v>61</v>
      </c>
      <c r="E1132" s="19" t="n">
        <f aca="false">'SALES Raw'!D3093</f>
        <v>3467</v>
      </c>
      <c r="F1132" s="19" t="n">
        <f aca="false">'SALES Raw'!E3093*$H$4</f>
        <v>55.5789473684211</v>
      </c>
      <c r="G1132" s="19" t="n">
        <f aca="false">'SALES Raw'!F3093*$H$4</f>
        <v>3282.29052631579</v>
      </c>
      <c r="H1132" s="18" t="str">
        <f aca="false">'SALES Raw'!A3093</f>
        <v>203 - Ortho- Partner ag SWITZERLAND</v>
      </c>
    </row>
    <row r="1133" customFormat="false" ht="15" hidden="false" customHeight="false" outlineLevel="0" collapsed="false">
      <c r="A1133" s="18" t="n">
        <f aca="false">'SALES Raw'!G3096</f>
        <v>4418002</v>
      </c>
      <c r="B1133" s="18" t="str">
        <f aca="false">'SALES Raw'!B3096</f>
        <v>60 S</v>
      </c>
      <c r="C1133" s="18" t="str">
        <f aca="false">'SALES Raw'!H3096</f>
        <v>60 S צוארון ספוגי</v>
      </c>
      <c r="D1133" s="19" t="n">
        <f aca="false">'SALES Raw'!C3096</f>
        <v>60</v>
      </c>
      <c r="E1133" s="19" t="n">
        <f aca="false">'SALES Raw'!D3096</f>
        <v>1374.44</v>
      </c>
      <c r="F1133" s="19" t="n">
        <f aca="false">'SALES Raw'!E3096*$H$4</f>
        <v>55.5789473684211</v>
      </c>
      <c r="G1133" s="19" t="n">
        <f aca="false">'SALES Raw'!F3096*$H$4</f>
        <v>1214.16</v>
      </c>
      <c r="H1133" s="18" t="str">
        <f aca="false">'SALES Raw'!A3096</f>
        <v>203 - Ortho- Partner ag SWITZERLAND</v>
      </c>
    </row>
    <row r="1134" customFormat="false" ht="15" hidden="false" customHeight="false" outlineLevel="0" collapsed="false">
      <c r="A1134" s="18" t="n">
        <f aca="false">'SALES Raw'!G3785</f>
        <v>4411027</v>
      </c>
      <c r="B1134" s="18" t="str">
        <f aca="false">'SALES Raw'!B3785</f>
        <v>213CTSL M</v>
      </c>
      <c r="C1134" s="18" t="str">
        <f aca="false">'SALES Raw'!H3785</f>
        <v>213CTSL M שמאל CTS כפפות</v>
      </c>
      <c r="D1134" s="19" t="n">
        <f aca="false">'SALES Raw'!C3785</f>
        <v>0</v>
      </c>
      <c r="E1134" s="19" t="n">
        <f aca="false">'SALES Raw'!D3785</f>
        <v>0</v>
      </c>
      <c r="F1134" s="19" t="n">
        <f aca="false">'SALES Raw'!E3785*$H$4</f>
        <v>55.5789473684211</v>
      </c>
      <c r="G1134" s="19" t="n">
        <f aca="false">'SALES Raw'!F3785*$H$4</f>
        <v>2411.77263157895</v>
      </c>
      <c r="H1134" s="18" t="str">
        <f aca="false">'SALES Raw'!A3785</f>
        <v>209 - Ortoprofil Prod ROMANIA</v>
      </c>
    </row>
    <row r="1135" customFormat="false" ht="15" hidden="false" customHeight="false" outlineLevel="0" collapsed="false">
      <c r="A1135" s="18" t="n">
        <f aca="false">'SALES Raw'!G529</f>
        <v>4408190</v>
      </c>
      <c r="B1135" s="18" t="str">
        <f aca="false">'SALES Raw'!B529</f>
        <v>078 M</v>
      </c>
      <c r="C1135" s="18" t="str">
        <f aca="false">'SALES Raw'!H529</f>
        <v>M078 חגורת גב +סגירה כפולה</v>
      </c>
      <c r="D1135" s="19" t="n">
        <f aca="false">'SALES Raw'!C529</f>
        <v>38</v>
      </c>
      <c r="E1135" s="19" t="n">
        <f aca="false">'SALES Raw'!D529</f>
        <v>3270.12</v>
      </c>
      <c r="F1135" s="19" t="n">
        <f aca="false">'SALES Raw'!E529*$H$4</f>
        <v>54.3157894736842</v>
      </c>
      <c r="G1135" s="19" t="n">
        <f aca="false">'SALES Raw'!F529*$H$4</f>
        <v>4888.54736842105</v>
      </c>
      <c r="H1135" s="18" t="str">
        <f aca="false">'SALES Raw'!A529</f>
        <v>102 - Orthopedic institutes</v>
      </c>
    </row>
    <row r="1136" customFormat="false" ht="15" hidden="false" customHeight="false" outlineLevel="0" collapsed="false">
      <c r="A1136" s="18" t="n">
        <f aca="false">'SALES Raw'!G587</f>
        <v>4422006</v>
      </c>
      <c r="B1136" s="18" t="str">
        <f aca="false">'SALES Raw'!B587</f>
        <v>T78 L</v>
      </c>
      <c r="C1136" s="18" t="str">
        <f aca="false">'SALES Raw'!H587</f>
        <v>T78 L תומך זרוע וכתף</v>
      </c>
      <c r="D1136" s="19" t="n">
        <f aca="false">'SALES Raw'!C587</f>
        <v>67</v>
      </c>
      <c r="E1136" s="19" t="n">
        <f aca="false">'SALES Raw'!D587</f>
        <v>8683.86</v>
      </c>
      <c r="F1136" s="19" t="n">
        <f aca="false">'SALES Raw'!E587*$H$4</f>
        <v>54.3157894736842</v>
      </c>
      <c r="G1136" s="19" t="n">
        <f aca="false">'SALES Raw'!F587*$H$4</f>
        <v>7060.85052631579</v>
      </c>
      <c r="H1136" s="18" t="str">
        <f aca="false">'SALES Raw'!A587</f>
        <v>102 - Orthopedic institutes</v>
      </c>
    </row>
    <row r="1137" customFormat="false" ht="15" hidden="false" customHeight="false" outlineLevel="0" collapsed="false">
      <c r="A1137" s="18" t="n">
        <f aca="false">'SALES Raw'!G2655</f>
        <v>4413416</v>
      </c>
      <c r="B1137" s="18" t="str">
        <f aca="false">'SALES Raw'!B2655</f>
        <v>SC39 M</v>
      </c>
      <c r="C1137" s="18" t="str">
        <f aca="false">'SALES Raw'!H2655</f>
        <v>SC39  M מגן שוק</v>
      </c>
      <c r="D1137" s="19" t="n">
        <f aca="false">'SALES Raw'!C2655</f>
        <v>48</v>
      </c>
      <c r="E1137" s="19" t="n">
        <f aca="false">'SALES Raw'!D2655</f>
        <v>11668.72</v>
      </c>
      <c r="F1137" s="19" t="n">
        <f aca="false">'SALES Raw'!E2655*$H$4</f>
        <v>54.3157894736842</v>
      </c>
      <c r="G1137" s="19" t="n">
        <f aca="false">'SALES Raw'!F2655*$H$4</f>
        <v>14553.12</v>
      </c>
      <c r="H1137" s="18" t="str">
        <f aca="false">'SALES Raw'!A2655</f>
        <v>114 - IL online</v>
      </c>
    </row>
    <row r="1138" customFormat="false" ht="15" hidden="false" customHeight="false" outlineLevel="0" collapsed="false">
      <c r="A1138" s="18" t="n">
        <f aca="false">'CEMIUP0.9 Raw'!B157</f>
        <v>4408221</v>
      </c>
      <c r="B1138" s="18" t="str">
        <f aca="false">'CEMIUP0.9 Raw'!C157</f>
        <v>078G-L חגורת גב אפורה</v>
      </c>
      <c r="C1138" s="18" t="str">
        <f aca="false">'CEMIUP0.9 Raw'!C157</f>
        <v>078G-L חגורת גב אפורה</v>
      </c>
      <c r="D1138" s="19" t="n">
        <f aca="false">'CEMIUP0.9 Raw'!D157</f>
        <v>50</v>
      </c>
      <c r="E1138" s="19" t="n">
        <f aca="false">'CEMIUP0.9 Raw'!E157</f>
        <v>5140.954</v>
      </c>
      <c r="F1138" s="19" t="n">
        <f aca="false">'CEMIUP0.9 Raw'!F157</f>
        <v>54.3157894736842</v>
      </c>
      <c r="G1138" s="19" t="n">
        <f aca="false">'CEMIUP0.9 Raw'!G157</f>
        <v>5694.26273684211</v>
      </c>
      <c r="H1138" s="18" t="str">
        <f aca="false">'CEMIUP0.9 Raw'!A157</f>
        <v>107 - Pharmacies</v>
      </c>
    </row>
    <row r="1139" customFormat="false" ht="15" hidden="false" customHeight="false" outlineLevel="0" collapsed="false">
      <c r="A1139" s="18" t="n">
        <f aca="false">'CEMIUP0.9 Raw'!B394</f>
        <v>4413394</v>
      </c>
      <c r="B1139" s="18" t="str">
        <f aca="false">'CEMIUP0.9 Raw'!C394</f>
        <v>45EC S 'מגן ברך ארוך בז</v>
      </c>
      <c r="C1139" s="18" t="str">
        <f aca="false">'CEMIUP0.9 Raw'!C394</f>
        <v>45EC S 'מגן ברך ארוך בז</v>
      </c>
      <c r="D1139" s="19" t="n">
        <f aca="false">'CEMIUP0.9 Raw'!D394</f>
        <v>37</v>
      </c>
      <c r="E1139" s="19" t="n">
        <f aca="false">'CEMIUP0.9 Raw'!E394</f>
        <v>1218.679</v>
      </c>
      <c r="F1139" s="19" t="n">
        <f aca="false">'CEMIUP0.9 Raw'!F394</f>
        <v>54.3157894736842</v>
      </c>
      <c r="G1139" s="19" t="n">
        <f aca="false">'CEMIUP0.9 Raw'!G394</f>
        <v>1809.44842105263</v>
      </c>
      <c r="H1139" s="18" t="str">
        <f aca="false">'CEMIUP0.9 Raw'!A394</f>
        <v>107 - Pharmacies</v>
      </c>
    </row>
    <row r="1140" customFormat="false" ht="15" hidden="false" customHeight="false" outlineLevel="0" collapsed="false">
      <c r="A1140" s="18" t="n">
        <f aca="false">'CEMIUP0.9 Raw'!B466</f>
        <v>4415001</v>
      </c>
      <c r="B1140" s="18" t="str">
        <f aca="false">'CEMIUP0.9 Raw'!C466</f>
        <v>26 M סד ליד דו צדדי לאחר שבר</v>
      </c>
      <c r="C1140" s="18" t="str">
        <f aca="false">'CEMIUP0.9 Raw'!C466</f>
        <v>26 M סד ליד דו צדדי לאחר שבר</v>
      </c>
      <c r="D1140" s="19" t="n">
        <f aca="false">'CEMIUP0.9 Raw'!D466</f>
        <v>91</v>
      </c>
      <c r="E1140" s="19" t="n">
        <f aca="false">'CEMIUP0.9 Raw'!E466</f>
        <v>8161.79</v>
      </c>
      <c r="F1140" s="19" t="n">
        <f aca="false">'CEMIUP0.9 Raw'!F466</f>
        <v>54.3157894736842</v>
      </c>
      <c r="G1140" s="19" t="n">
        <f aca="false">'CEMIUP0.9 Raw'!G466</f>
        <v>4852.91115789474</v>
      </c>
      <c r="H1140" s="18" t="str">
        <f aca="false">'CEMIUP0.9 Raw'!A466</f>
        <v>107 - Pharmacies</v>
      </c>
    </row>
    <row r="1141" customFormat="false" ht="15" hidden="false" customHeight="false" outlineLevel="0" collapsed="false">
      <c r="A1141" s="18" t="str">
        <f aca="false">'CEMIUP0.9 Raw'!B902</f>
        <v>312 9 מ""ס להתאמהX5 מדבקה גדולה</v>
      </c>
      <c r="B1141" s="18" t="str">
        <f aca="false">'CEMIUP0.9 Raw'!C902</f>
        <v>312 9 מ""ס להתאמהX5 מדבקה גדולה</v>
      </c>
      <c r="C1141" s="18" t="str">
        <f aca="false">'CEMIUP0.9 Raw'!C902</f>
        <v>312 9 מ""ס להתאמהX5 מדבקה גדולה</v>
      </c>
      <c r="D1141" s="19" t="n">
        <f aca="false">'CEMIUP0.9 Raw'!D902</f>
        <v>0</v>
      </c>
      <c r="E1141" s="19" t="n">
        <f aca="false">'CEMIUP0.9 Raw'!E902</f>
        <v>0</v>
      </c>
      <c r="F1141" s="19" t="n">
        <f aca="false">'CEMIUP0.9 Raw'!F902</f>
        <v>54.3157894736842</v>
      </c>
      <c r="G1141" s="19" t="n">
        <f aca="false">'CEMIUP0.9 Raw'!G902</f>
        <v>640.141894736842</v>
      </c>
      <c r="H1141" s="18" t="str">
        <f aca="false">'CEMIUP0.9 Raw'!A902</f>
        <v>113 - Kupat Holim Meuhedet</v>
      </c>
    </row>
    <row r="1142" customFormat="false" ht="15" hidden="false" customHeight="false" outlineLevel="0" collapsed="false">
      <c r="A1142" s="18" t="n">
        <f aca="false">'CEMIUP0.9 Raw'!B1170</f>
        <v>4413367</v>
      </c>
      <c r="B1142" s="18" t="str">
        <f aca="false">'CEMIUP0.9 Raw'!C1170</f>
        <v>95C XL'מגן מרפק בז</v>
      </c>
      <c r="C1142" s="18" t="str">
        <f aca="false">'CEMIUP0.9 Raw'!C1170</f>
        <v>95C XL'מגן מרפק בז</v>
      </c>
      <c r="D1142" s="19" t="n">
        <f aca="false">'CEMIUP0.9 Raw'!D1170</f>
        <v>47</v>
      </c>
      <c r="E1142" s="19" t="n">
        <f aca="false">'CEMIUP0.9 Raw'!E1170</f>
        <v>1185.457</v>
      </c>
      <c r="F1142" s="19" t="n">
        <f aca="false">'CEMIUP0.9 Raw'!F1170</f>
        <v>54.3157894736842</v>
      </c>
      <c r="G1142" s="19" t="n">
        <f aca="false">'CEMIUP0.9 Raw'!G1170</f>
        <v>1372.12673684211</v>
      </c>
      <c r="H1142" s="18" t="str">
        <f aca="false">'CEMIUP0.9 Raw'!A1170</f>
        <v>BE (CEMI internal group)</v>
      </c>
    </row>
    <row r="1143" customFormat="false" ht="15" hidden="false" customHeight="false" outlineLevel="0" collapsed="false">
      <c r="A1143" s="18" t="n">
        <f aca="false">'CEMIUP0.9 Raw'!B1265</f>
        <v>4421001</v>
      </c>
      <c r="B1143" s="18" t="str">
        <f aca="false">'CEMIUP0.9 Raw'!C1265</f>
        <v>3611 שרוול מטטרזלי מסיליקון</v>
      </c>
      <c r="C1143" s="18" t="str">
        <f aca="false">'CEMIUP0.9 Raw'!C1265</f>
        <v>3611 שרוול מטטרזלי מסיליקון</v>
      </c>
      <c r="D1143" s="19" t="n">
        <f aca="false">'CEMIUP0.9 Raw'!D1265</f>
        <v>59</v>
      </c>
      <c r="E1143" s="19" t="n">
        <f aca="false">'CEMIUP0.9 Raw'!E1265</f>
        <v>3006.64</v>
      </c>
      <c r="F1143" s="19" t="n">
        <f aca="false">'CEMIUP0.9 Raw'!F1265</f>
        <v>54.3157894736842</v>
      </c>
      <c r="G1143" s="19" t="n">
        <f aca="false">'CEMIUP0.9 Raw'!G1265</f>
        <v>2767.93263157895</v>
      </c>
      <c r="H1143" s="18" t="str">
        <f aca="false">'CEMIUP0.9 Raw'!A1265</f>
        <v>BE (CEMI internal group)</v>
      </c>
    </row>
    <row r="1144" customFormat="false" ht="15" hidden="false" customHeight="false" outlineLevel="0" collapsed="false">
      <c r="A1144" s="18" t="n">
        <f aca="false">'CEMIUP0.9 Raw'!B1113</f>
        <v>4413127</v>
      </c>
      <c r="B1144" s="18" t="str">
        <f aca="false">'CEMIUP0.9 Raw'!C1113</f>
        <v>75 Lמיישר כתף יציב יישור גב צר</v>
      </c>
      <c r="C1144" s="18" t="str">
        <f aca="false">'CEMIUP0.9 Raw'!C1113</f>
        <v>75 Lמיישר כתף יציב יישור גב צר</v>
      </c>
      <c r="D1144" s="19" t="n">
        <f aca="false">'CEMIUP0.9 Raw'!D1113</f>
        <v>33</v>
      </c>
      <c r="E1144" s="19" t="n">
        <f aca="false">'CEMIUP0.9 Raw'!E1113</f>
        <v>4238.78</v>
      </c>
      <c r="F1144" s="19" t="n">
        <f aca="false">'CEMIUP0.9 Raw'!F1113</f>
        <v>53.0526315789474</v>
      </c>
      <c r="G1144" s="19" t="n">
        <f aca="false">'CEMIUP0.9 Raw'!G1113</f>
        <v>6814.42484210526</v>
      </c>
      <c r="H1144" s="18" t="str">
        <f aca="false">'CEMIUP0.9 Raw'!A1113</f>
        <v>BE (CEMI internal group)</v>
      </c>
    </row>
    <row r="1145" customFormat="false" ht="15" hidden="false" customHeight="false" outlineLevel="0" collapsed="false">
      <c r="A1145" s="18" t="n">
        <f aca="false">'CEMIUP0.9 Raw'!B1374</f>
        <v>4408218</v>
      </c>
      <c r="B1145" s="18" t="str">
        <f aca="false">'CEMIUP0.9 Raw'!C1374</f>
        <v>078XL חגורת גב +סגירה כפולה</v>
      </c>
      <c r="C1145" s="18" t="str">
        <f aca="false">'CEMIUP0.9 Raw'!C1374</f>
        <v>078XL חגורת גב +סגירה כפולה</v>
      </c>
      <c r="D1145" s="19" t="n">
        <f aca="false">'CEMIUP0.9 Raw'!D1374</f>
        <v>132</v>
      </c>
      <c r="E1145" s="19" t="n">
        <f aca="false">'CEMIUP0.9 Raw'!E1374</f>
        <v>11466.182</v>
      </c>
      <c r="F1145" s="19" t="n">
        <f aca="false">'CEMIUP0.9 Raw'!F1374</f>
        <v>53.0526315789474</v>
      </c>
      <c r="G1145" s="19" t="n">
        <f aca="false">'CEMIUP0.9 Raw'!G1374</f>
        <v>4901.12589473684</v>
      </c>
      <c r="H1145" s="18" t="str">
        <f aca="false">'CEMIUP0.9 Raw'!A1374</f>
        <v>Super-Pharm Israel (CEMI internal group)</v>
      </c>
    </row>
    <row r="1146" customFormat="false" ht="15" hidden="false" customHeight="false" outlineLevel="0" collapsed="false">
      <c r="A1146" s="18" t="n">
        <f aca="false">'CEMIUP0.9 Raw'!B1426</f>
        <v>4411027</v>
      </c>
      <c r="B1146" s="18" t="str">
        <f aca="false">'CEMIUP0.9 Raw'!C1426</f>
        <v>213CTSL M שמאל CTS כפפות</v>
      </c>
      <c r="C1146" s="18" t="str">
        <f aca="false">'CEMIUP0.9 Raw'!C1426</f>
        <v>213CTSL M שמאל CTS כפפות</v>
      </c>
      <c r="D1146" s="19" t="n">
        <f aca="false">'CEMIUP0.9 Raw'!D1426</f>
        <v>0</v>
      </c>
      <c r="E1146" s="19" t="n">
        <f aca="false">'CEMIUP0.9 Raw'!E1426</f>
        <v>0</v>
      </c>
      <c r="F1146" s="19" t="n">
        <f aca="false">'CEMIUP0.9 Raw'!F1426</f>
        <v>53.0526315789474</v>
      </c>
      <c r="G1146" s="19" t="n">
        <f aca="false">'CEMIUP0.9 Raw'!G1426</f>
        <v>4866.18189473684</v>
      </c>
      <c r="H1146" s="18" t="str">
        <f aca="false">'CEMIUP0.9 Raw'!A1426</f>
        <v>Super-Pharm Israel (CEMI internal group)</v>
      </c>
    </row>
    <row r="1147" customFormat="false" ht="15" hidden="false" customHeight="false" outlineLevel="0" collapsed="false">
      <c r="A1147" s="18" t="n">
        <f aca="false">'CEMIUP0.9 Raw'!B1707</f>
        <v>4422040</v>
      </c>
      <c r="B1147" s="18" t="str">
        <f aca="false">'CEMIUP0.9 Raw'!C1707</f>
        <v>SH422 4 תומך ברך גנושילד</v>
      </c>
      <c r="C1147" s="18" t="str">
        <f aca="false">'CEMIUP0.9 Raw'!C1707</f>
        <v>SH422 4 תומך ברך גנושילד</v>
      </c>
      <c r="D1147" s="19" t="n">
        <f aca="false">'CEMIUP0.9 Raw'!D1707</f>
        <v>0</v>
      </c>
      <c r="E1147" s="19" t="n">
        <f aca="false">'CEMIUP0.9 Raw'!E1707</f>
        <v>0</v>
      </c>
      <c r="F1147" s="19" t="n">
        <f aca="false">'CEMIUP0.9 Raw'!F1707</f>
        <v>53.0526315789474</v>
      </c>
      <c r="G1147" s="19" t="n">
        <f aca="false">'CEMIUP0.9 Raw'!G1707</f>
        <v>8749.67873684211</v>
      </c>
      <c r="H1147" s="18" t="str">
        <f aca="false">'CEMIUP0.9 Raw'!A1707</f>
        <v>Super-Pharm Israel (CEMI internal group)</v>
      </c>
    </row>
    <row r="1148" customFormat="false" ht="15" hidden="false" customHeight="false" outlineLevel="0" collapsed="false">
      <c r="A1148" s="18" t="n">
        <f aca="false">'SALES Raw'!G192</f>
        <v>4422000</v>
      </c>
      <c r="B1148" s="18" t="str">
        <f aca="false">'SALES Raw'!B192</f>
        <v>801 0</v>
      </c>
      <c r="C1148" s="18" t="str">
        <f aca="false">'SALES Raw'!H192</f>
        <v>801  תחבושת אלסטית מקררת</v>
      </c>
      <c r="D1148" s="19" t="n">
        <f aca="false">'SALES Raw'!C192</f>
        <v>56</v>
      </c>
      <c r="E1148" s="19" t="n">
        <f aca="false">'SALES Raw'!D192</f>
        <v>1122.26</v>
      </c>
      <c r="F1148" s="19" t="n">
        <f aca="false">'SALES Raw'!E192*$H$4</f>
        <v>53.0526315789474</v>
      </c>
      <c r="G1148" s="19" t="n">
        <f aca="false">'SALES Raw'!F192*$H$4</f>
        <v>1036.10526315789</v>
      </c>
      <c r="H1148" s="18" t="str">
        <f aca="false">'SALES Raw'!A192</f>
        <v>101 - Factory customers</v>
      </c>
    </row>
    <row r="1149" customFormat="false" ht="15" hidden="false" customHeight="false" outlineLevel="0" collapsed="false">
      <c r="A1149" s="18" t="n">
        <f aca="false">'SALES Raw'!G573</f>
        <v>4413135</v>
      </c>
      <c r="B1149" s="18" t="str">
        <f aca="false">'SALES Raw'!B573</f>
        <v>85 L</v>
      </c>
      <c r="C1149" s="18" t="str">
        <f aca="false">'SALES Raw'!H573</f>
        <v>85 L (מתלה ליד )כיס</v>
      </c>
      <c r="D1149" s="19" t="n">
        <f aca="false">'SALES Raw'!C573</f>
        <v>55</v>
      </c>
      <c r="E1149" s="19" t="n">
        <f aca="false">'SALES Raw'!D573</f>
        <v>2694.86</v>
      </c>
      <c r="F1149" s="19" t="n">
        <f aca="false">'SALES Raw'!E573*$H$4</f>
        <v>53.0526315789474</v>
      </c>
      <c r="G1149" s="19" t="n">
        <f aca="false">'SALES Raw'!F573*$H$4</f>
        <v>2599.41473684211</v>
      </c>
      <c r="H1149" s="18" t="str">
        <f aca="false">'SALES Raw'!A573</f>
        <v>102 - Orthopedic institutes</v>
      </c>
    </row>
    <row r="1150" customFormat="false" ht="15" hidden="false" customHeight="false" outlineLevel="0" collapsed="false">
      <c r="A1150" s="18" t="n">
        <f aca="false">'SALES Raw'!G3241</f>
        <v>4415298</v>
      </c>
      <c r="B1150" s="18" t="str">
        <f aca="false">'SALES Raw'!B3241</f>
        <v>388BL 0</v>
      </c>
      <c r="C1150" s="18" t="str">
        <f aca="false">'SALES Raw'!H3241</f>
        <v>388B L סד לילה שחור לבוהן שמאל</v>
      </c>
      <c r="D1150" s="19" t="n">
        <f aca="false">'SALES Raw'!C3241</f>
        <v>50</v>
      </c>
      <c r="E1150" s="19" t="n">
        <f aca="false">'SALES Raw'!D3241</f>
        <v>1735.54</v>
      </c>
      <c r="F1150" s="19" t="n">
        <f aca="false">'SALES Raw'!E3241*$H$4</f>
        <v>53.0526315789474</v>
      </c>
      <c r="G1150" s="19" t="n">
        <f aca="false">'SALES Raw'!F3241*$H$4</f>
        <v>1679.14105263158</v>
      </c>
      <c r="H1150" s="18" t="str">
        <f aca="false">'SALES Raw'!A3241</f>
        <v>204 - Sanaflex Anatomic GREECE</v>
      </c>
    </row>
    <row r="1151" customFormat="false" ht="15" hidden="false" customHeight="false" outlineLevel="0" collapsed="false">
      <c r="A1151" s="18" t="n">
        <f aca="false">'SALES Raw'!G110</f>
        <v>4421000</v>
      </c>
      <c r="B1151" s="18" t="str">
        <f aca="false">'SALES Raw'!B110</f>
        <v>3655 0</v>
      </c>
      <c r="C1151" s="18" t="str">
        <f aca="false">'SALES Raw'!H110</f>
        <v>3655 שרוול מסיליקון לאצבע</v>
      </c>
      <c r="D1151" s="19" t="n">
        <f aca="false">'SALES Raw'!C110</f>
        <v>73</v>
      </c>
      <c r="E1151" s="19" t="n">
        <f aca="false">'SALES Raw'!D110</f>
        <v>1325.76</v>
      </c>
      <c r="F1151" s="19" t="n">
        <f aca="false">'SALES Raw'!E110*$H$4</f>
        <v>51.7894736842105</v>
      </c>
      <c r="G1151" s="19" t="n">
        <f aca="false">'SALES Raw'!F110*$H$4</f>
        <v>938.298947368421</v>
      </c>
      <c r="H1151" s="18" t="str">
        <f aca="false">'SALES Raw'!A110</f>
        <v>101 - Factory customers</v>
      </c>
    </row>
    <row r="1152" customFormat="false" ht="15" hidden="false" customHeight="false" outlineLevel="0" collapsed="false">
      <c r="A1152" s="18" t="n">
        <f aca="false">'SALES Raw'!G588</f>
        <v>4422005</v>
      </c>
      <c r="B1152" s="18" t="str">
        <f aca="false">'SALES Raw'!B588</f>
        <v>T78 M</v>
      </c>
      <c r="C1152" s="18" t="str">
        <f aca="false">'SALES Raw'!H588</f>
        <v>T78 M תומך זרוע וכתף</v>
      </c>
      <c r="D1152" s="19" t="n">
        <f aca="false">'SALES Raw'!C588</f>
        <v>78</v>
      </c>
      <c r="E1152" s="19" t="n">
        <f aca="false">'SALES Raw'!D588</f>
        <v>10108.89</v>
      </c>
      <c r="F1152" s="19" t="n">
        <f aca="false">'SALES Raw'!E588*$H$4</f>
        <v>51.7894736842105</v>
      </c>
      <c r="G1152" s="19" t="n">
        <f aca="false">'SALES Raw'!F588*$H$4</f>
        <v>6732.44210526316</v>
      </c>
      <c r="H1152" s="18" t="str">
        <f aca="false">'SALES Raw'!A588</f>
        <v>102 - Orthopedic institutes</v>
      </c>
    </row>
    <row r="1153" customFormat="false" ht="15" hidden="false" customHeight="false" outlineLevel="0" collapsed="false">
      <c r="A1153" s="18" t="n">
        <f aca="false">'SALES Raw'!G2182</f>
        <v>4415029</v>
      </c>
      <c r="B1153" s="18" t="str">
        <f aca="false">'SALES Raw'!B2182</f>
        <v>237 0</v>
      </c>
      <c r="C1153" s="18" t="str">
        <f aca="false">'SALES Raw'!H2182</f>
        <v>סד קיבוע לאצבע הדק</v>
      </c>
      <c r="D1153" s="19" t="n">
        <f aca="false">'SALES Raw'!C2182</f>
        <v>40</v>
      </c>
      <c r="E1153" s="19" t="n">
        <f aca="false">'SALES Raw'!D2182</f>
        <v>2072.6</v>
      </c>
      <c r="F1153" s="19" t="n">
        <f aca="false">'SALES Raw'!E2182*$H$4</f>
        <v>51.7894736842105</v>
      </c>
      <c r="G1153" s="19" t="n">
        <f aca="false">'SALES Raw'!F2182*$H$4</f>
        <v>2761.61684210526</v>
      </c>
      <c r="H1153" s="18" t="str">
        <f aca="false">'SALES Raw'!A2182</f>
        <v>114 - IL online</v>
      </c>
    </row>
    <row r="1154" customFormat="false" ht="15" hidden="false" customHeight="false" outlineLevel="0" collapsed="false">
      <c r="A1154" s="18" t="n">
        <f aca="false">'SALES Raw'!G2310</f>
        <v>4421003</v>
      </c>
      <c r="B1154" s="18" t="str">
        <f aca="false">'SALES Raw'!B2310</f>
        <v>3672 0</v>
      </c>
      <c r="C1154" s="18" t="str">
        <f aca="false">'SALES Raw'!H2310</f>
        <v>3672 שרוול מגן לבוניון</v>
      </c>
      <c r="D1154" s="19" t="n">
        <f aca="false">'SALES Raw'!C2310</f>
        <v>29</v>
      </c>
      <c r="E1154" s="19" t="n">
        <f aca="false">'SALES Raw'!D2310</f>
        <v>1777.68</v>
      </c>
      <c r="F1154" s="19" t="n">
        <f aca="false">'SALES Raw'!E2310*$H$4</f>
        <v>51.7894736842105</v>
      </c>
      <c r="G1154" s="19" t="n">
        <f aca="false">'SALES Raw'!F2310*$H$4</f>
        <v>3472.47157894737</v>
      </c>
      <c r="H1154" s="18" t="str">
        <f aca="false">'SALES Raw'!A2310</f>
        <v>114 - IL online</v>
      </c>
    </row>
    <row r="1155" customFormat="false" ht="15" hidden="false" customHeight="false" outlineLevel="0" collapsed="false">
      <c r="A1155" s="18" t="n">
        <f aca="false">'SALES Raw'!G2364</f>
        <v>4403025</v>
      </c>
      <c r="B1155" s="18" t="str">
        <f aca="false">'SALES Raw'!B2364</f>
        <v>394W-43-46</v>
      </c>
      <c r="C1155" s="18" t="str">
        <f aca="false">'SALES Raw'!H2364</f>
        <v>394W 43-46 גרב.כסף לסכרתים לבן</v>
      </c>
      <c r="D1155" s="19" t="n">
        <f aca="false">'SALES Raw'!C2364</f>
        <v>106</v>
      </c>
      <c r="E1155" s="19" t="n">
        <f aca="false">'SALES Raw'!D2364</f>
        <v>4288.69</v>
      </c>
      <c r="F1155" s="19" t="n">
        <f aca="false">'SALES Raw'!E2364*$H$4</f>
        <v>51.7894736842105</v>
      </c>
      <c r="G1155" s="19" t="n">
        <f aca="false">'SALES Raw'!F2364*$H$4</f>
        <v>2074.33263157895</v>
      </c>
      <c r="H1155" s="18" t="str">
        <f aca="false">'SALES Raw'!A2364</f>
        <v>114 - IL online</v>
      </c>
    </row>
    <row r="1156" customFormat="false" ht="15" hidden="false" customHeight="false" outlineLevel="0" collapsed="false">
      <c r="A1156" s="18" t="n">
        <f aca="false">'SALES Raw'!G2517</f>
        <v>4401012</v>
      </c>
      <c r="B1156" s="18" t="str">
        <f aca="false">'SALES Raw'!B2517</f>
        <v>805AT-B</v>
      </c>
      <c r="C1156" s="18" t="str">
        <f aca="false">'SALES Raw'!H2517</f>
        <v>805AT-B אתלטיק טייפ שחור 20מ""""מ</v>
      </c>
      <c r="D1156" s="19" t="n">
        <f aca="false">'SALES Raw'!C2517</f>
        <v>22</v>
      </c>
      <c r="E1156" s="19" t="n">
        <f aca="false">'SALES Raw'!D2517</f>
        <v>577.89</v>
      </c>
      <c r="F1156" s="19" t="n">
        <f aca="false">'SALES Raw'!E2517*$H$4</f>
        <v>51.7894736842105</v>
      </c>
      <c r="G1156" s="19" t="n">
        <f aca="false">'SALES Raw'!F2517*$H$4</f>
        <v>1471.40210526316</v>
      </c>
      <c r="H1156" s="18" t="str">
        <f aca="false">'SALES Raw'!A2517</f>
        <v>114 - IL online</v>
      </c>
    </row>
    <row r="1157" customFormat="false" ht="15" hidden="false" customHeight="false" outlineLevel="0" collapsed="false">
      <c r="A1157" s="18" t="n">
        <f aca="false">'SALES Raw'!G3027</f>
        <v>4408192</v>
      </c>
      <c r="B1157" s="18" t="str">
        <f aca="false">'SALES Raw'!B3027</f>
        <v>078 L</v>
      </c>
      <c r="C1157" s="18" t="str">
        <f aca="false">'SALES Raw'!H3027</f>
        <v>078 L חגורת גב +סגירה</v>
      </c>
      <c r="D1157" s="19" t="n">
        <f aca="false">'SALES Raw'!C3027</f>
        <v>21</v>
      </c>
      <c r="E1157" s="19" t="n">
        <f aca="false">'SALES Raw'!D3027</f>
        <v>1149.45</v>
      </c>
      <c r="F1157" s="19" t="n">
        <f aca="false">'SALES Raw'!E3027*$H$4</f>
        <v>51.7894736842105</v>
      </c>
      <c r="G1157" s="19" t="n">
        <f aca="false">'SALES Raw'!F3027*$H$4</f>
        <v>2405.45684210526</v>
      </c>
      <c r="H1157" s="18" t="str">
        <f aca="false">'SALES Raw'!A3027</f>
        <v>203 - Ortho- Partner ag SWITZERLAND</v>
      </c>
    </row>
    <row r="1158" customFormat="false" ht="15" hidden="false" customHeight="false" outlineLevel="0" collapsed="false">
      <c r="A1158" s="18" t="n">
        <f aca="false">'CEMIUP0.9 Raw'!B12</f>
        <v>4401014</v>
      </c>
      <c r="B1158" s="18" t="str">
        <f aca="false">'CEMIUP0.9 Raw'!C12</f>
        <v>805AT-W  אתלטיק טייפ לבן 20מ""מ</v>
      </c>
      <c r="C1158" s="18" t="str">
        <f aca="false">'CEMIUP0.9 Raw'!C12</f>
        <v>805AT-W  אתלטיק טייפ לבן 20מ""מ</v>
      </c>
      <c r="D1158" s="19" t="n">
        <f aca="false">'CEMIUP0.9 Raw'!D12</f>
        <v>49</v>
      </c>
      <c r="E1158" s="19" t="n">
        <f aca="false">'CEMIUP0.9 Raw'!E12</f>
        <v>688.971</v>
      </c>
      <c r="F1158" s="19" t="n">
        <f aca="false">'CEMIUP0.9 Raw'!F12</f>
        <v>51.7894736842105</v>
      </c>
      <c r="G1158" s="19" t="n">
        <f aca="false">'CEMIUP0.9 Raw'!G12</f>
        <v>764.629894736842</v>
      </c>
      <c r="H1158" s="18" t="str">
        <f aca="false">'CEMIUP0.9 Raw'!A12</f>
        <v>107 - Pharmacies</v>
      </c>
    </row>
    <row r="1159" customFormat="false" ht="15" hidden="false" customHeight="false" outlineLevel="0" collapsed="false">
      <c r="A1159" s="18" t="n">
        <f aca="false">'CEMIUP0.9 Raw'!B549</f>
        <v>4420016</v>
      </c>
      <c r="B1159" s="18" t="str">
        <f aca="false">'CEMIUP0.9 Raw'!C549</f>
        <v>40-רצועת פיקה לברך</v>
      </c>
      <c r="C1159" s="18" t="str">
        <f aca="false">'CEMIUP0.9 Raw'!C549</f>
        <v>40-רצועת פיקה לברך</v>
      </c>
      <c r="D1159" s="19" t="n">
        <f aca="false">'CEMIUP0.9 Raw'!D549</f>
        <v>46</v>
      </c>
      <c r="E1159" s="19" t="n">
        <f aca="false">'CEMIUP0.9 Raw'!E549</f>
        <v>2125.123</v>
      </c>
      <c r="F1159" s="19" t="n">
        <f aca="false">'CEMIUP0.9 Raw'!F549</f>
        <v>51.7894736842105</v>
      </c>
      <c r="G1159" s="19" t="n">
        <f aca="false">'CEMIUP0.9 Raw'!G549</f>
        <v>2417.91789473684</v>
      </c>
      <c r="H1159" s="18" t="str">
        <f aca="false">'CEMIUP0.9 Raw'!A549</f>
        <v>107 - Pharmacies</v>
      </c>
    </row>
    <row r="1160" customFormat="false" ht="15" hidden="false" customHeight="false" outlineLevel="0" collapsed="false">
      <c r="A1160" s="18" t="n">
        <f aca="false">'CEMIUP0.9 Raw'!B1367</f>
        <v>4408154</v>
      </c>
      <c r="B1160" s="18" t="str">
        <f aca="false">'CEMIUP0.9 Raw'!C1367</f>
        <v>11TO XXLחגורה למנותחי בית החזה</v>
      </c>
      <c r="C1160" s="18" t="str">
        <f aca="false">'CEMIUP0.9 Raw'!C1367</f>
        <v>11TO XXLחגורה למנותחי בית החזה</v>
      </c>
      <c r="D1160" s="19" t="n">
        <f aca="false">'CEMIUP0.9 Raw'!D1367</f>
        <v>21</v>
      </c>
      <c r="E1160" s="19" t="n">
        <f aca="false">'CEMIUP0.9 Raw'!E1367</f>
        <v>2527.525</v>
      </c>
      <c r="F1160" s="19" t="n">
        <f aca="false">'CEMIUP0.9 Raw'!F1367</f>
        <v>51.7894736842105</v>
      </c>
      <c r="G1160" s="19" t="n">
        <f aca="false">'CEMIUP0.9 Raw'!G1367</f>
        <v>6286.81642105263</v>
      </c>
      <c r="H1160" s="18" t="str">
        <f aca="false">'CEMIUP0.9 Raw'!A1367</f>
        <v>Super-Pharm Israel (CEMI internal group)</v>
      </c>
    </row>
    <row r="1161" customFormat="false" ht="15" hidden="false" customHeight="false" outlineLevel="0" collapsed="false">
      <c r="A1161" s="18" t="n">
        <f aca="false">'CEMIUP0.9 Raw'!B1429</f>
        <v>4411030</v>
      </c>
      <c r="B1161" s="18" t="str">
        <f aca="false">'CEMIUP0.9 Raw'!C1429</f>
        <v>213CTSR M ימין CTS כפפות</v>
      </c>
      <c r="C1161" s="18" t="str">
        <f aca="false">'CEMIUP0.9 Raw'!C1429</f>
        <v>213CTSR M ימין CTS כפפות</v>
      </c>
      <c r="D1161" s="19" t="n">
        <f aca="false">'CEMIUP0.9 Raw'!D1429</f>
        <v>0</v>
      </c>
      <c r="E1161" s="19" t="n">
        <f aca="false">'CEMIUP0.9 Raw'!E1429</f>
        <v>0</v>
      </c>
      <c r="F1161" s="19" t="n">
        <f aca="false">'CEMIUP0.9 Raw'!F1429</f>
        <v>51.7894736842105</v>
      </c>
      <c r="G1161" s="19" t="n">
        <f aca="false">'CEMIUP0.9 Raw'!G1429</f>
        <v>4749.39536842105</v>
      </c>
      <c r="H1161" s="18" t="str">
        <f aca="false">'CEMIUP0.9 Raw'!A1429</f>
        <v>Super-Pharm Israel (CEMI internal group)</v>
      </c>
    </row>
    <row r="1162" customFormat="false" ht="15" hidden="false" customHeight="false" outlineLevel="0" collapsed="false">
      <c r="A1162" s="18" t="n">
        <f aca="false">'CEMIUP0.9 Raw'!B1661</f>
        <v>4419011</v>
      </c>
      <c r="B1162" s="18" t="str">
        <f aca="false">'CEMIUP0.9 Raw'!C1661</f>
        <v>239B S-M STRAP4U</v>
      </c>
      <c r="C1162" s="18" t="str">
        <f aca="false">'CEMIUP0.9 Raw'!C1661</f>
        <v>239B S-M STRAP4U</v>
      </c>
      <c r="D1162" s="19" t="n">
        <f aca="false">'CEMIUP0.9 Raw'!D1661</f>
        <v>257</v>
      </c>
      <c r="E1162" s="19" t="n">
        <f aca="false">'CEMIUP0.9 Raw'!E1661</f>
        <v>3911.817</v>
      </c>
      <c r="F1162" s="19" t="n">
        <f aca="false">'CEMIUP0.9 Raw'!F1661</f>
        <v>51.7894736842105</v>
      </c>
      <c r="G1162" s="19" t="n">
        <f aca="false">'CEMIUP0.9 Raw'!G1661</f>
        <v>847.621894736842</v>
      </c>
      <c r="H1162" s="18" t="str">
        <f aca="false">'CEMIUP0.9 Raw'!A1661</f>
        <v>Super-Pharm Israel (CEMI internal group)</v>
      </c>
    </row>
    <row r="1163" customFormat="false" ht="15" hidden="false" customHeight="false" outlineLevel="0" collapsed="false">
      <c r="A1163" s="18" t="n">
        <f aca="false">'CEMIUP0.9 Raw'!B823</f>
        <v>4413162</v>
      </c>
      <c r="B1163" s="18" t="str">
        <f aca="false">'CEMIUP0.9 Raw'!C823</f>
        <v>34+XL מגן קרסול עקב סגור+רצוע</v>
      </c>
      <c r="C1163" s="18" t="str">
        <f aca="false">'CEMIUP0.9 Raw'!C823</f>
        <v>34+XL מגן קרסול עקב סגור+רצוע</v>
      </c>
      <c r="D1163" s="19" t="n">
        <f aca="false">'CEMIUP0.9 Raw'!D823</f>
        <v>100</v>
      </c>
      <c r="E1163" s="19" t="n">
        <f aca="false">'CEMIUP0.9 Raw'!E823</f>
        <v>4217</v>
      </c>
      <c r="F1163" s="19" t="n">
        <f aca="false">'CEMIUP0.9 Raw'!F823</f>
        <v>50.5263157894737</v>
      </c>
      <c r="G1163" s="19" t="n">
        <f aca="false">'CEMIUP0.9 Raw'!G823</f>
        <v>1947.65810526316</v>
      </c>
      <c r="H1163" s="18" t="str">
        <f aca="false">'CEMIUP0.9 Raw'!A823</f>
        <v>113 - Kupat Holim Meuhedet</v>
      </c>
    </row>
    <row r="1164" customFormat="false" ht="15" hidden="false" customHeight="false" outlineLevel="0" collapsed="false">
      <c r="A1164" s="18" t="n">
        <f aca="false">'CEMIUP0.9 Raw'!B932</f>
        <v>4402007</v>
      </c>
      <c r="B1164" s="18" t="str">
        <f aca="false">'CEMIUP0.9 Raw'!C932</f>
        <v>320 בליסטר פלסטר</v>
      </c>
      <c r="C1164" s="18" t="str">
        <f aca="false">'CEMIUP0.9 Raw'!C932</f>
        <v>320 בליסטר פלסטר</v>
      </c>
      <c r="D1164" s="19" t="n">
        <f aca="false">'CEMIUP0.9 Raw'!D932</f>
        <v>148</v>
      </c>
      <c r="E1164" s="19" t="n">
        <f aca="false">'CEMIUP0.9 Raw'!E932</f>
        <v>2581.852</v>
      </c>
      <c r="F1164" s="19" t="n">
        <f aca="false">'CEMIUP0.9 Raw'!F932</f>
        <v>50.5263157894737</v>
      </c>
      <c r="G1164" s="19" t="n">
        <f aca="false">'CEMIUP0.9 Raw'!G932</f>
        <v>881.416421052632</v>
      </c>
      <c r="H1164" s="18" t="str">
        <f aca="false">'CEMIUP0.9 Raw'!A932</f>
        <v>BE (CEMI internal group)</v>
      </c>
    </row>
    <row r="1165" customFormat="false" ht="15" hidden="false" customHeight="false" outlineLevel="0" collapsed="false">
      <c r="A1165" s="18" t="n">
        <f aca="false">'CEMIUP0.9 Raw'!B1207</f>
        <v>4415002</v>
      </c>
      <c r="B1165" s="18" t="str">
        <f aca="false">'CEMIUP0.9 Raw'!C1207</f>
        <v>26 S סד ליד דו צדדי לאחר שבר</v>
      </c>
      <c r="C1165" s="18" t="str">
        <f aca="false">'CEMIUP0.9 Raw'!C1207</f>
        <v>26 S סד ליד דו צדדי לאחר שבר</v>
      </c>
      <c r="D1165" s="19" t="n">
        <f aca="false">'CEMIUP0.9 Raw'!D1207</f>
        <v>49</v>
      </c>
      <c r="E1165" s="19" t="n">
        <f aca="false">'CEMIUP0.9 Raw'!E1207</f>
        <v>3932.838</v>
      </c>
      <c r="F1165" s="19" t="n">
        <f aca="false">'CEMIUP0.9 Raw'!F1207</f>
        <v>50.5263157894737</v>
      </c>
      <c r="G1165" s="19" t="n">
        <f aca="false">'CEMIUP0.9 Raw'!G1207</f>
        <v>4055.34315789474</v>
      </c>
      <c r="H1165" s="18" t="str">
        <f aca="false">'CEMIUP0.9 Raw'!A1207</f>
        <v>BE (CEMI internal group)</v>
      </c>
    </row>
    <row r="1166" customFormat="false" ht="15" hidden="false" customHeight="false" outlineLevel="0" collapsed="false">
      <c r="A1166" s="18" t="n">
        <f aca="false">'CEMIUP0.9 Raw'!B1541</f>
        <v>4413185</v>
      </c>
      <c r="B1166" s="18" t="str">
        <f aca="false">'CEMIUP0.9 Raw'!C1541</f>
        <v>T 45XL מגן ברך רגיל</v>
      </c>
      <c r="C1166" s="18" t="str">
        <f aca="false">'CEMIUP0.9 Raw'!C1541</f>
        <v>T 45XL מגן ברך רגיל</v>
      </c>
      <c r="D1166" s="19" t="n">
        <f aca="false">'CEMIUP0.9 Raw'!D1541</f>
        <v>95</v>
      </c>
      <c r="E1166" s="19" t="n">
        <f aca="false">'CEMIUP0.9 Raw'!E1541</f>
        <v>7797.426</v>
      </c>
      <c r="F1166" s="19" t="n">
        <f aca="false">'CEMIUP0.9 Raw'!F1541</f>
        <v>50.5263157894737</v>
      </c>
      <c r="G1166" s="19" t="n">
        <f aca="false">'CEMIUP0.9 Raw'!G1541</f>
        <v>4191.78568421053</v>
      </c>
      <c r="H1166" s="18" t="str">
        <f aca="false">'CEMIUP0.9 Raw'!A1541</f>
        <v>Super-Pharm Israel (CEMI internal group)</v>
      </c>
    </row>
    <row r="1167" customFormat="false" ht="15" hidden="false" customHeight="false" outlineLevel="0" collapsed="false">
      <c r="A1167" s="18" t="n">
        <f aca="false">'CEMIUP0.9 Raw'!B1612</f>
        <v>4413534</v>
      </c>
      <c r="B1167" s="18" t="str">
        <f aca="false">'CEMIUP0.9 Raw'!C1612</f>
        <v>SH333 מקבע קרסול</v>
      </c>
      <c r="C1167" s="18" t="str">
        <f aca="false">'CEMIUP0.9 Raw'!C1612</f>
        <v>SH333 מקבע קרסול</v>
      </c>
      <c r="D1167" s="19" t="n">
        <f aca="false">'CEMIUP0.9 Raw'!D1612</f>
        <v>0</v>
      </c>
      <c r="E1167" s="19" t="n">
        <f aca="false">'CEMIUP0.9 Raw'!E1612</f>
        <v>0</v>
      </c>
      <c r="F1167" s="19" t="n">
        <f aca="false">'CEMIUP0.9 Raw'!F1612</f>
        <v>50.5263157894737</v>
      </c>
      <c r="G1167" s="19" t="n">
        <f aca="false">'CEMIUP0.9 Raw'!G1612</f>
        <v>6478.20378947368</v>
      </c>
      <c r="H1167" s="18" t="str">
        <f aca="false">'CEMIUP0.9 Raw'!A1612</f>
        <v>Super-Pharm Israel (CEMI internal group)</v>
      </c>
    </row>
    <row r="1168" customFormat="false" ht="15" hidden="false" customHeight="false" outlineLevel="0" collapsed="false">
      <c r="A1168" s="18" t="n">
        <f aca="false">'SALES Raw'!G606</f>
        <v>4408262</v>
      </c>
      <c r="B1168" s="18" t="str">
        <f aca="false">'SALES Raw'!B606</f>
        <v>11STO XL</v>
      </c>
      <c r="C1168" s="18" t="str">
        <f aca="false">'SALES Raw'!H606</f>
        <v>11STO XL  חגורה אחרי ניתוח</v>
      </c>
      <c r="D1168" s="19" t="n">
        <f aca="false">'SALES Raw'!C606</f>
        <v>64</v>
      </c>
      <c r="E1168" s="19" t="n">
        <f aca="false">'SALES Raw'!D606</f>
        <v>6776.37</v>
      </c>
      <c r="F1168" s="19" t="n">
        <f aca="false">'SALES Raw'!E606*$H$4</f>
        <v>50.5263157894737</v>
      </c>
      <c r="G1168" s="19" t="n">
        <f aca="false">'SALES Raw'!F606*$H$4</f>
        <v>5305.31368421053</v>
      </c>
      <c r="H1168" s="18" t="str">
        <f aca="false">'SALES Raw'!A606</f>
        <v>102 - Orthopedic institutes</v>
      </c>
    </row>
    <row r="1169" customFormat="false" ht="15" hidden="false" customHeight="false" outlineLevel="0" collapsed="false">
      <c r="A1169" s="18" t="n">
        <f aca="false">'SALES Raw'!G630</f>
        <v>4401000</v>
      </c>
      <c r="B1169" s="18" t="str">
        <f aca="false">'SALES Raw'!B630</f>
        <v>369-S-L</v>
      </c>
      <c r="C1169" s="18" t="str">
        <f aca="false">'SALES Raw'!H630</f>
        <v>369  S-L אצבעון מסיליקון יחידה</v>
      </c>
      <c r="D1169" s="19" t="n">
        <f aca="false">'SALES Raw'!C630</f>
        <v>52</v>
      </c>
      <c r="E1169" s="19" t="n">
        <f aca="false">'SALES Raw'!D630</f>
        <v>1176.69</v>
      </c>
      <c r="F1169" s="19" t="n">
        <f aca="false">'SALES Raw'!E630*$H$4</f>
        <v>50.5263157894737</v>
      </c>
      <c r="G1169" s="19" t="n">
        <f aca="false">'SALES Raw'!F630*$H$4</f>
        <v>1165.25052631579</v>
      </c>
      <c r="H1169" s="18" t="str">
        <f aca="false">'SALES Raw'!A630</f>
        <v>102 - Orthopedic institutes</v>
      </c>
    </row>
    <row r="1170" customFormat="false" ht="15" hidden="false" customHeight="false" outlineLevel="0" collapsed="false">
      <c r="A1170" s="18" t="n">
        <f aca="false">'SALES Raw'!G2169</f>
        <v>4411018</v>
      </c>
      <c r="B1170" s="18" t="str">
        <f aca="false">'SALES Raw'!B2169</f>
        <v>211 M</v>
      </c>
      <c r="C1170" s="18" t="str">
        <f aca="false">'SALES Raw'!H2169</f>
        <v>211M כפפות לחץ</v>
      </c>
      <c r="D1170" s="19" t="n">
        <f aca="false">'SALES Raw'!C2169</f>
        <v>43</v>
      </c>
      <c r="E1170" s="19" t="n">
        <f aca="false">'SALES Raw'!D2169</f>
        <v>2531.63</v>
      </c>
      <c r="F1170" s="19" t="n">
        <f aca="false">'SALES Raw'!E2169*$H$4</f>
        <v>50.5263157894737</v>
      </c>
      <c r="G1170" s="19" t="n">
        <f aca="false">'SALES Raw'!F2169*$H$4</f>
        <v>3205.23789473684</v>
      </c>
      <c r="H1170" s="18" t="str">
        <f aca="false">'SALES Raw'!A2169</f>
        <v>114 - IL online</v>
      </c>
    </row>
    <row r="1171" customFormat="false" ht="15" hidden="false" customHeight="false" outlineLevel="0" collapsed="false">
      <c r="A1171" s="18" t="str">
        <f aca="false">'SALES Raw'!G2302</f>
        <v/>
      </c>
      <c r="B1171" s="18" t="str">
        <f aca="false">'SALES Raw'!B2302</f>
        <v>365 S-L</v>
      </c>
      <c r="C1171" s="18" t="str">
        <f aca="false">'SALES Raw'!H2302</f>
        <v>365 S-L</v>
      </c>
      <c r="D1171" s="19" t="n">
        <f aca="false">'SALES Raw'!C2302</f>
        <v>0</v>
      </c>
      <c r="E1171" s="19" t="n">
        <f aca="false">'SALES Raw'!D2302</f>
        <v>0</v>
      </c>
      <c r="F1171" s="19" t="n">
        <f aca="false">'SALES Raw'!E2302*$H$4</f>
        <v>50.5263157894737</v>
      </c>
      <c r="G1171" s="19" t="n">
        <f aca="false">'SALES Raw'!F2302*$H$4</f>
        <v>1253.73473684211</v>
      </c>
      <c r="H1171" s="18" t="str">
        <f aca="false">'SALES Raw'!A2302</f>
        <v>114 - IL online</v>
      </c>
    </row>
    <row r="1172" customFormat="false" ht="15" hidden="false" customHeight="false" outlineLevel="0" collapsed="false">
      <c r="A1172" s="18" t="n">
        <f aca="false">'SALES Raw'!G2846</f>
        <v>4416001</v>
      </c>
      <c r="B1172" s="18" t="str">
        <f aca="false">'SALES Raw'!B2846</f>
        <v>307 M</v>
      </c>
      <c r="C1172" s="18" t="str">
        <f aca="false">'SALES Raw'!H2846</f>
        <v>307 M עקבים לדורבן-זוג כריות</v>
      </c>
      <c r="D1172" s="19" t="n">
        <f aca="false">'SALES Raw'!C2846</f>
        <v>40</v>
      </c>
      <c r="E1172" s="19" t="n">
        <f aca="false">'SALES Raw'!D2846</f>
        <v>1583.48</v>
      </c>
      <c r="F1172" s="19" t="n">
        <f aca="false">'SALES Raw'!E2846*$H$4</f>
        <v>50.5263157894737</v>
      </c>
      <c r="G1172" s="19" t="n">
        <f aca="false">'SALES Raw'!F2846*$H$4</f>
        <v>1820.04631578947</v>
      </c>
      <c r="H1172" s="18" t="str">
        <f aca="false">'SALES Raw'!A2846</f>
        <v>201- Seven Gear FINLAND oy</v>
      </c>
    </row>
    <row r="1173" customFormat="false" ht="15" hidden="false" customHeight="false" outlineLevel="0" collapsed="false">
      <c r="A1173" s="18" t="n">
        <f aca="false">'SALES Raw'!G2848</f>
        <v>4413034</v>
      </c>
      <c r="B1173" s="18" t="str">
        <f aca="false">'SALES Raw'!B2848</f>
        <v>312 0</v>
      </c>
      <c r="C1173" s="18" t="str">
        <f aca="false">'SALES Raw'!H2848</f>
        <v>312 9 מ""""ס להתאמהX5 מדבקה גדולה</v>
      </c>
      <c r="D1173" s="19" t="n">
        <f aca="false">'SALES Raw'!C2848</f>
        <v>0</v>
      </c>
      <c r="E1173" s="19" t="n">
        <f aca="false">'SALES Raw'!D2848</f>
        <v>0</v>
      </c>
      <c r="F1173" s="19" t="n">
        <f aca="false">'SALES Raw'!E2848*$H$4</f>
        <v>50.5263157894737</v>
      </c>
      <c r="G1173" s="19" t="n">
        <f aca="false">'SALES Raw'!F2848*$H$4</f>
        <v>331.743157894737</v>
      </c>
      <c r="H1173" s="18" t="str">
        <f aca="false">'SALES Raw'!A2848</f>
        <v>201- Seven Gear FINLAND oy</v>
      </c>
    </row>
    <row r="1174" customFormat="false" ht="15" hidden="false" customHeight="false" outlineLevel="0" collapsed="false">
      <c r="A1174" s="18" t="n">
        <f aca="false">'SALES Raw'!G2850</f>
        <v>4413492</v>
      </c>
      <c r="B1174" s="18" t="str">
        <f aca="false">'SALES Raw'!B2850</f>
        <v>35B M</v>
      </c>
      <c r="C1174" s="18" t="str">
        <f aca="false">'SALES Raw'!H2850</f>
        <v>35B M מגן קרסול שחור</v>
      </c>
      <c r="D1174" s="19" t="n">
        <f aca="false">'SALES Raw'!C2850</f>
        <v>40</v>
      </c>
      <c r="E1174" s="19" t="n">
        <f aca="false">'SALES Raw'!D2850</f>
        <v>464.71</v>
      </c>
      <c r="F1174" s="19" t="n">
        <f aca="false">'SALES Raw'!E2850*$H$4</f>
        <v>50.5263157894737</v>
      </c>
      <c r="G1174" s="19" t="n">
        <f aca="false">'SALES Raw'!F2850*$H$4</f>
        <v>555.877894736842</v>
      </c>
      <c r="H1174" s="18" t="str">
        <f aca="false">'SALES Raw'!A2850</f>
        <v>201- Seven Gear FINLAND oy</v>
      </c>
    </row>
    <row r="1175" customFormat="false" ht="15" hidden="false" customHeight="false" outlineLevel="0" collapsed="false">
      <c r="A1175" s="18" t="n">
        <f aca="false">'SALES Raw'!G2855</f>
        <v>4421000</v>
      </c>
      <c r="B1175" s="18" t="str">
        <f aca="false">'SALES Raw'!B2855</f>
        <v>3655 0</v>
      </c>
      <c r="C1175" s="18" t="str">
        <f aca="false">'SALES Raw'!H2855</f>
        <v>3655 שרוול מסיליקון לאצבע</v>
      </c>
      <c r="D1175" s="19" t="n">
        <f aca="false">'SALES Raw'!C2855</f>
        <v>80</v>
      </c>
      <c r="E1175" s="19" t="n">
        <f aca="false">'SALES Raw'!D2855</f>
        <v>1154.65</v>
      </c>
      <c r="F1175" s="19" t="n">
        <f aca="false">'SALES Raw'!E2855*$H$4</f>
        <v>50.5263157894737</v>
      </c>
      <c r="G1175" s="19" t="n">
        <f aca="false">'SALES Raw'!F2855*$H$4</f>
        <v>681.397894736842</v>
      </c>
      <c r="H1175" s="18" t="str">
        <f aca="false">'SALES Raw'!A2855</f>
        <v>201- Seven Gear FINLAND oy</v>
      </c>
    </row>
    <row r="1176" customFormat="false" ht="15" hidden="false" customHeight="false" outlineLevel="0" collapsed="false">
      <c r="A1176" s="18" t="n">
        <f aca="false">'SALES Raw'!G2858</f>
        <v>4413371</v>
      </c>
      <c r="B1176" s="18" t="str">
        <f aca="false">'SALES Raw'!B2858</f>
        <v>3675 0</v>
      </c>
      <c r="C1176" s="18" t="str">
        <f aca="false">'SALES Raw'!H2858</f>
        <v>3675    מגן זרת מסיליקון</v>
      </c>
      <c r="D1176" s="19" t="n">
        <f aca="false">'SALES Raw'!C2858</f>
        <v>80</v>
      </c>
      <c r="E1176" s="19" t="n">
        <f aca="false">'SALES Raw'!D2858</f>
        <v>1162.48</v>
      </c>
      <c r="F1176" s="19" t="n">
        <f aca="false">'SALES Raw'!E2858*$H$4</f>
        <v>50.5263157894737</v>
      </c>
      <c r="G1176" s="19" t="n">
        <f aca="false">'SALES Raw'!F2858*$H$4</f>
        <v>681.397894736842</v>
      </c>
      <c r="H1176" s="18" t="str">
        <f aca="false">'SALES Raw'!A2858</f>
        <v>201- Seven Gear FINLAND oy</v>
      </c>
    </row>
    <row r="1177" customFormat="false" ht="15" hidden="false" customHeight="false" outlineLevel="0" collapsed="false">
      <c r="A1177" s="18" t="n">
        <f aca="false">'SALES Raw'!G2880</f>
        <v>4413501</v>
      </c>
      <c r="B1177" s="18" t="str">
        <f aca="false">'SALES Raw'!B2880</f>
        <v>95B M</v>
      </c>
      <c r="C1177" s="18" t="str">
        <f aca="false">'SALES Raw'!H2880</f>
        <v>95B M מגן מרפק שחור</v>
      </c>
      <c r="D1177" s="19" t="n">
        <f aca="false">'SALES Raw'!C2880</f>
        <v>0</v>
      </c>
      <c r="E1177" s="19" t="n">
        <f aca="false">'SALES Raw'!D2880</f>
        <v>0</v>
      </c>
      <c r="F1177" s="19" t="n">
        <f aca="false">'SALES Raw'!E2880*$H$4</f>
        <v>50.5263157894737</v>
      </c>
      <c r="G1177" s="19" t="n">
        <f aca="false">'SALES Raw'!F2880*$H$4</f>
        <v>555.877894736842</v>
      </c>
      <c r="H1177" s="18" t="str">
        <f aca="false">'SALES Raw'!A2880</f>
        <v>201- Seven Gear FINLAND oy</v>
      </c>
    </row>
    <row r="1178" customFormat="false" ht="15" hidden="false" customHeight="false" outlineLevel="0" collapsed="false">
      <c r="A1178" s="18" t="n">
        <f aca="false">'SALES Raw'!G2892</f>
        <v>4408192</v>
      </c>
      <c r="B1178" s="18" t="str">
        <f aca="false">'SALES Raw'!B2892</f>
        <v>078 L</v>
      </c>
      <c r="C1178" s="18" t="str">
        <f aca="false">'SALES Raw'!H2892</f>
        <v>078 L חגורת גב +סגירה</v>
      </c>
      <c r="D1178" s="19" t="n">
        <f aca="false">'SALES Raw'!C2892</f>
        <v>0</v>
      </c>
      <c r="E1178" s="19" t="n">
        <f aca="false">'SALES Raw'!D2892</f>
        <v>0</v>
      </c>
      <c r="F1178" s="19" t="n">
        <f aca="false">'SALES Raw'!E2892*$H$4</f>
        <v>50.5263157894737</v>
      </c>
      <c r="G1178" s="19" t="n">
        <f aca="false">'SALES Raw'!F2892*$H$4</f>
        <v>3138.21473684211</v>
      </c>
      <c r="H1178" s="18" t="str">
        <f aca="false">'SALES Raw'!A2892</f>
        <v>202 - Super-Pharm POLAND</v>
      </c>
    </row>
    <row r="1179" customFormat="false" ht="15" hidden="false" customHeight="false" outlineLevel="0" collapsed="false">
      <c r="A1179" s="18" t="n">
        <f aca="false">'SALES Raw'!G2895</f>
        <v>4408218</v>
      </c>
      <c r="B1179" s="18" t="str">
        <f aca="false">'SALES Raw'!B2895</f>
        <v>078 XL</v>
      </c>
      <c r="C1179" s="18" t="str">
        <f aca="false">'SALES Raw'!H2895</f>
        <v>078XL חגורת גב +סגירה כפולה</v>
      </c>
      <c r="D1179" s="19" t="n">
        <f aca="false">'SALES Raw'!C2895</f>
        <v>0</v>
      </c>
      <c r="E1179" s="19" t="n">
        <f aca="false">'SALES Raw'!D2895</f>
        <v>0</v>
      </c>
      <c r="F1179" s="19" t="n">
        <f aca="false">'SALES Raw'!E2895*$H$4</f>
        <v>50.5263157894737</v>
      </c>
      <c r="G1179" s="19" t="n">
        <f aca="false">'SALES Raw'!F2895*$H$4</f>
        <v>3138.21473684211</v>
      </c>
      <c r="H1179" s="18" t="str">
        <f aca="false">'SALES Raw'!A2895</f>
        <v>202 - Super-Pharm POLAND</v>
      </c>
    </row>
    <row r="1180" customFormat="false" ht="15" hidden="false" customHeight="false" outlineLevel="0" collapsed="false">
      <c r="A1180" s="18" t="n">
        <f aca="false">'SALES Raw'!G2904</f>
        <v>4408034</v>
      </c>
      <c r="B1180" s="18" t="str">
        <f aca="false">'SALES Raw'!B2904</f>
        <v>11 XL</v>
      </c>
      <c r="C1180" s="18" t="str">
        <f aca="false">'SALES Raw'!H2904</f>
        <v>11 XL""""חגורת בטן""""אורירית</v>
      </c>
      <c r="D1180" s="19" t="n">
        <f aca="false">'SALES Raw'!C2904</f>
        <v>74</v>
      </c>
      <c r="E1180" s="19" t="n">
        <f aca="false">'SALES Raw'!D2904</f>
        <v>5973.41</v>
      </c>
      <c r="F1180" s="19" t="n">
        <f aca="false">'SALES Raw'!E2904*$H$4</f>
        <v>50.5263157894737</v>
      </c>
      <c r="G1180" s="19" t="n">
        <f aca="false">'SALES Raw'!F2904*$H$4</f>
        <v>3556.19368421053</v>
      </c>
      <c r="H1180" s="18" t="str">
        <f aca="false">'SALES Raw'!A2904</f>
        <v>202 - Super-Pharm POLAND</v>
      </c>
    </row>
    <row r="1181" customFormat="false" ht="15" hidden="false" customHeight="false" outlineLevel="0" collapsed="false">
      <c r="A1181" s="18" t="n">
        <f aca="false">'SALES Raw'!G2907</f>
        <v>4408046</v>
      </c>
      <c r="B1181" s="18" t="str">
        <f aca="false">'SALES Raw'!B2907</f>
        <v>20 L</v>
      </c>
      <c r="C1181" s="18" t="str">
        <f aca="false">'SALES Raw'!H2907</f>
        <v>20 L חבק יד מתכוון עם צמדן</v>
      </c>
      <c r="D1181" s="19" t="n">
        <f aca="false">'SALES Raw'!C2907</f>
        <v>130</v>
      </c>
      <c r="E1181" s="19" t="n">
        <f aca="false">'SALES Raw'!D2907</f>
        <v>2673.97</v>
      </c>
      <c r="F1181" s="19" t="n">
        <f aca="false">'SALES Raw'!E2907*$H$4</f>
        <v>50.5263157894737</v>
      </c>
      <c r="G1181" s="19" t="n">
        <f aca="false">'SALES Raw'!F2907*$H$4</f>
        <v>924.328421052632</v>
      </c>
      <c r="H1181" s="18" t="str">
        <f aca="false">'SALES Raw'!A2907</f>
        <v>202 - Super-Pharm POLAND</v>
      </c>
    </row>
    <row r="1182" customFormat="false" ht="15" hidden="false" customHeight="false" outlineLevel="0" collapsed="false">
      <c r="A1182" s="18" t="n">
        <f aca="false">'SALES Raw'!G2920</f>
        <v>4413048</v>
      </c>
      <c r="B1182" s="18" t="str">
        <f aca="false">'SALES Raw'!B2920</f>
        <v>35 L</v>
      </c>
      <c r="C1182" s="18" t="str">
        <f aca="false">'SALES Raw'!H2920</f>
        <v>35 L מגן קרסול לבן</v>
      </c>
      <c r="D1182" s="19" t="n">
        <f aca="false">'SALES Raw'!C2920</f>
        <v>130</v>
      </c>
      <c r="E1182" s="19" t="n">
        <f aca="false">'SALES Raw'!D2920</f>
        <v>1732.73</v>
      </c>
      <c r="F1182" s="19" t="n">
        <f aca="false">'SALES Raw'!E2920*$H$4</f>
        <v>50.5263157894737</v>
      </c>
      <c r="G1182" s="19" t="n">
        <f aca="false">'SALES Raw'!F2920*$H$4</f>
        <v>601.111578947368</v>
      </c>
      <c r="H1182" s="18" t="str">
        <f aca="false">'SALES Raw'!A2920</f>
        <v>202 - Super-Pharm POLAND</v>
      </c>
    </row>
    <row r="1183" customFormat="false" ht="15" hidden="false" customHeight="false" outlineLevel="0" collapsed="false">
      <c r="A1183" s="18" t="n">
        <f aca="false">'SALES Raw'!G2922</f>
        <v>4413047</v>
      </c>
      <c r="B1183" s="18" t="str">
        <f aca="false">'SALES Raw'!B2922</f>
        <v>35 S</v>
      </c>
      <c r="C1183" s="18" t="str">
        <f aca="false">'SALES Raw'!H2922</f>
        <v>35 S מגן קרסול לבן</v>
      </c>
      <c r="D1183" s="19" t="n">
        <f aca="false">'SALES Raw'!C2922</f>
        <v>120</v>
      </c>
      <c r="E1183" s="19" t="n">
        <f aca="false">'SALES Raw'!D2922</f>
        <v>1625.19</v>
      </c>
      <c r="F1183" s="19" t="n">
        <f aca="false">'SALES Raw'!E2922*$H$4</f>
        <v>50.5263157894737</v>
      </c>
      <c r="G1183" s="19" t="n">
        <f aca="false">'SALES Raw'!F2922*$H$4</f>
        <v>601.111578947368</v>
      </c>
      <c r="H1183" s="18" t="str">
        <f aca="false">'SALES Raw'!A2922</f>
        <v>202 - Super-Pharm POLAND</v>
      </c>
    </row>
    <row r="1184" customFormat="false" ht="15" hidden="false" customHeight="false" outlineLevel="0" collapsed="false">
      <c r="A1184" s="18" t="n">
        <f aca="false">'SALES Raw'!G2965</f>
        <v>4413095</v>
      </c>
      <c r="B1184" s="18" t="str">
        <f aca="false">'SALES Raw'!B2965</f>
        <v>45 XL</v>
      </c>
      <c r="C1184" s="18" t="str">
        <f aca="false">'SALES Raw'!H2965</f>
        <v>45 XL מגן ברך לבן</v>
      </c>
      <c r="D1184" s="19" t="n">
        <f aca="false">'SALES Raw'!C2965</f>
        <v>120</v>
      </c>
      <c r="E1184" s="19" t="n">
        <f aca="false">'SALES Raw'!D2965</f>
        <v>1685.88</v>
      </c>
      <c r="F1184" s="19" t="n">
        <f aca="false">'SALES Raw'!E2965*$H$4</f>
        <v>50.5263157894737</v>
      </c>
      <c r="G1184" s="19" t="n">
        <f aca="false">'SALES Raw'!F2965*$H$4</f>
        <v>642.934736842105</v>
      </c>
      <c r="H1184" s="18" t="str">
        <f aca="false">'SALES Raw'!A2965</f>
        <v>202 - Super-Pharm POLAND</v>
      </c>
    </row>
    <row r="1185" customFormat="false" ht="15" hidden="false" customHeight="false" outlineLevel="0" collapsed="false">
      <c r="A1185" s="18" t="n">
        <f aca="false">'SALES Raw'!G2992</f>
        <v>4413139</v>
      </c>
      <c r="B1185" s="18" t="str">
        <f aca="false">'SALES Raw'!B2992</f>
        <v>95 L</v>
      </c>
      <c r="C1185" s="18" t="str">
        <f aca="false">'SALES Raw'!H2992</f>
        <v>95 L מגן מרפק רגיל לבן</v>
      </c>
      <c r="D1185" s="19" t="n">
        <f aca="false">'SALES Raw'!C2992</f>
        <v>90</v>
      </c>
      <c r="E1185" s="19" t="n">
        <f aca="false">'SALES Raw'!D2992</f>
        <v>1296.79</v>
      </c>
      <c r="F1185" s="19" t="n">
        <f aca="false">'SALES Raw'!E2992*$H$4</f>
        <v>50.5263157894737</v>
      </c>
      <c r="G1185" s="19" t="n">
        <f aca="false">'SALES Raw'!F2992*$H$4</f>
        <v>657.233684210526</v>
      </c>
      <c r="H1185" s="18" t="str">
        <f aca="false">'SALES Raw'!A2992</f>
        <v>202 - Super-Pharm POLAND</v>
      </c>
    </row>
    <row r="1186" customFormat="false" ht="15" hidden="false" customHeight="false" outlineLevel="0" collapsed="false">
      <c r="A1186" s="18" t="n">
        <f aca="false">'SALES Raw'!G2993</f>
        <v>4413140</v>
      </c>
      <c r="B1186" s="18" t="str">
        <f aca="false">'SALES Raw'!B2993</f>
        <v>95 M</v>
      </c>
      <c r="C1186" s="18" t="str">
        <f aca="false">'SALES Raw'!H2993</f>
        <v>95 M מגן מרפק רגיל לבן</v>
      </c>
      <c r="D1186" s="19" t="n">
        <f aca="false">'SALES Raw'!C2993</f>
        <v>120</v>
      </c>
      <c r="E1186" s="19" t="n">
        <f aca="false">'SALES Raw'!D2993</f>
        <v>1725.64</v>
      </c>
      <c r="F1186" s="19" t="n">
        <f aca="false">'SALES Raw'!E2993*$H$4</f>
        <v>50.5263157894737</v>
      </c>
      <c r="G1186" s="19" t="n">
        <f aca="false">'SALES Raw'!F2993*$H$4</f>
        <v>663.663157894737</v>
      </c>
      <c r="H1186" s="18" t="str">
        <f aca="false">'SALES Raw'!A2993</f>
        <v>202 - Super-Pharm POLAND</v>
      </c>
    </row>
    <row r="1187" customFormat="false" ht="15" hidden="false" customHeight="false" outlineLevel="0" collapsed="false">
      <c r="A1187" s="18" t="n">
        <f aca="false">'SALES Raw'!G3001</f>
        <v>4413366</v>
      </c>
      <c r="B1187" s="18" t="str">
        <f aca="false">'SALES Raw'!B3001</f>
        <v>95C S</v>
      </c>
      <c r="C1187" s="18" t="str">
        <f aca="false">'SALES Raw'!H3001</f>
        <v>95C S 'מגן מרפק בז</v>
      </c>
      <c r="D1187" s="19" t="n">
        <f aca="false">'SALES Raw'!C3001</f>
        <v>132</v>
      </c>
      <c r="E1187" s="19" t="n">
        <f aca="false">'SALES Raw'!D3001</f>
        <v>1887.79</v>
      </c>
      <c r="F1187" s="19" t="n">
        <f aca="false">'SALES Raw'!E3001*$H$4</f>
        <v>50.5263157894737</v>
      </c>
      <c r="G1187" s="19" t="n">
        <f aca="false">'SALES Raw'!F3001*$H$4</f>
        <v>657.233684210526</v>
      </c>
      <c r="H1187" s="18" t="str">
        <f aca="false">'SALES Raw'!A3001</f>
        <v>202 - Super-Pharm POLAND</v>
      </c>
    </row>
    <row r="1188" customFormat="false" ht="15" hidden="false" customHeight="false" outlineLevel="0" collapsed="false">
      <c r="A1188" s="18" t="n">
        <f aca="false">'SALES Raw'!G3026</f>
        <v>4415072</v>
      </c>
      <c r="B1188" s="18" t="str">
        <f aca="false">'SALES Raw'!B3026</f>
        <v>T28A-S-M</v>
      </c>
      <c r="C1188" s="18" t="str">
        <f aca="false">'SALES Raw'!H3026</f>
        <v>T28A S-M סד לאגודל</v>
      </c>
      <c r="D1188" s="19" t="n">
        <f aca="false">'SALES Raw'!C3026</f>
        <v>100</v>
      </c>
      <c r="E1188" s="19" t="n">
        <f aca="false">'SALES Raw'!D3026</f>
        <v>3878.72</v>
      </c>
      <c r="F1188" s="19" t="n">
        <f aca="false">'SALES Raw'!E3026*$H$4</f>
        <v>50.5263157894737</v>
      </c>
      <c r="G1188" s="19" t="n">
        <f aca="false">'SALES Raw'!F3026*$H$4</f>
        <v>1743.01894736842</v>
      </c>
      <c r="H1188" s="18" t="str">
        <f aca="false">'SALES Raw'!A3026</f>
        <v>202 - Super-Pharm POLAND</v>
      </c>
    </row>
    <row r="1189" customFormat="false" ht="15" hidden="false" customHeight="false" outlineLevel="0" collapsed="false">
      <c r="A1189" s="18" t="n">
        <f aca="false">'SALES Raw'!G3056</f>
        <v>4411028</v>
      </c>
      <c r="B1189" s="18" t="str">
        <f aca="false">'SALES Raw'!B3056</f>
        <v>213CTSL S</v>
      </c>
      <c r="C1189" s="18" t="str">
        <f aca="false">'SALES Raw'!H3056</f>
        <v>213CTSL S שמאל CTS כפפות</v>
      </c>
      <c r="D1189" s="19" t="n">
        <f aca="false">'SALES Raw'!C3056</f>
        <v>15</v>
      </c>
      <c r="E1189" s="19" t="n">
        <f aca="false">'SALES Raw'!D3056</f>
        <v>575.1</v>
      </c>
      <c r="F1189" s="19" t="n">
        <f aca="false">'SALES Raw'!E3056*$H$4</f>
        <v>50.5263157894737</v>
      </c>
      <c r="G1189" s="19" t="n">
        <f aca="false">'SALES Raw'!F3056*$H$4</f>
        <v>1827.66315789474</v>
      </c>
      <c r="H1189" s="18" t="str">
        <f aca="false">'SALES Raw'!A3056</f>
        <v>203 - Ortho- Partner ag SWITZERLAND</v>
      </c>
    </row>
    <row r="1190" customFormat="false" ht="15" hidden="false" customHeight="false" outlineLevel="0" collapsed="false">
      <c r="A1190" s="18" t="n">
        <f aca="false">'SALES Raw'!G3223</f>
        <v>4413061</v>
      </c>
      <c r="B1190" s="18" t="str">
        <f aca="false">'SALES Raw'!B3223</f>
        <v>3641 0</v>
      </c>
      <c r="C1190" s="18" t="str">
        <f aca="false">'SALES Raw'!H3223</f>
        <v>3641-מיישר בוהן סיליקון קשיח</v>
      </c>
      <c r="D1190" s="19" t="n">
        <f aca="false">'SALES Raw'!C3223</f>
        <v>300</v>
      </c>
      <c r="E1190" s="19" t="n">
        <f aca="false">'SALES Raw'!D3223</f>
        <v>1576.45</v>
      </c>
      <c r="F1190" s="19" t="n">
        <f aca="false">'SALES Raw'!E3223*$H$4</f>
        <v>50.5263157894737</v>
      </c>
      <c r="G1190" s="19" t="n">
        <f aca="false">'SALES Raw'!F3223*$H$4</f>
        <v>248.513684210526</v>
      </c>
      <c r="H1190" s="18" t="str">
        <f aca="false">'SALES Raw'!A3223</f>
        <v>204 - Sanaflex Anatomic GREECE</v>
      </c>
    </row>
    <row r="1191" customFormat="false" ht="15" hidden="false" customHeight="false" outlineLevel="0" collapsed="false">
      <c r="A1191" s="18" t="n">
        <f aca="false">'SALES Raw'!G3297</f>
        <v>4409016</v>
      </c>
      <c r="B1191" s="18" t="str">
        <f aca="false">'SALES Raw'!B3297</f>
        <v>808KT-C</v>
      </c>
      <c r="C1191" s="18" t="str">
        <f aca="false">'SALES Raw'!H3297</f>
        <v>808KT-C        טייפ קינזיולוגי</v>
      </c>
      <c r="D1191" s="19" t="n">
        <f aca="false">'SALES Raw'!C3297</f>
        <v>30</v>
      </c>
      <c r="E1191" s="19" t="n">
        <f aca="false">'SALES Raw'!D3297</f>
        <v>359.51</v>
      </c>
      <c r="F1191" s="19" t="n">
        <f aca="false">'SALES Raw'!E3297*$H$4</f>
        <v>50.5263157894737</v>
      </c>
      <c r="G1191" s="19" t="n">
        <f aca="false">'SALES Raw'!F3297*$H$4</f>
        <v>562.218947368421</v>
      </c>
      <c r="H1191" s="18" t="str">
        <f aca="false">'SALES Raw'!A3297</f>
        <v>204 - Sanaflex Anatomic GREECE</v>
      </c>
    </row>
    <row r="1192" customFormat="false" ht="15" hidden="false" customHeight="false" outlineLevel="0" collapsed="false">
      <c r="A1192" s="18" t="n">
        <f aca="false">'SALES Raw'!G3304</f>
        <v>4413137</v>
      </c>
      <c r="B1192" s="18" t="str">
        <f aca="false">'SALES Raw'!B3304</f>
        <v>85 S</v>
      </c>
      <c r="C1192" s="18" t="str">
        <f aca="false">'SALES Raw'!H3304</f>
        <v>85 S (מתלה ליד )כיס</v>
      </c>
      <c r="D1192" s="19" t="n">
        <f aca="false">'SALES Raw'!C3304</f>
        <v>56</v>
      </c>
      <c r="E1192" s="19" t="n">
        <f aca="false">'SALES Raw'!D3304</f>
        <v>1065.21</v>
      </c>
      <c r="F1192" s="19" t="n">
        <f aca="false">'SALES Raw'!E3304*$H$4</f>
        <v>50.5263157894737</v>
      </c>
      <c r="G1192" s="19" t="n">
        <f aca="false">'SALES Raw'!F3304*$H$4</f>
        <v>866.715789473684</v>
      </c>
      <c r="H1192" s="18" t="str">
        <f aca="false">'SALES Raw'!A3304</f>
        <v>204 - Sanaflex Anatomic GREECE</v>
      </c>
    </row>
    <row r="1193" customFormat="false" ht="15" hidden="false" customHeight="false" outlineLevel="0" collapsed="false">
      <c r="A1193" s="18" t="n">
        <f aca="false">'SALES Raw'!G3523</f>
        <v>4413160</v>
      </c>
      <c r="B1193" s="18" t="str">
        <f aca="false">'SALES Raw'!B3523</f>
        <v>34+ M</v>
      </c>
      <c r="C1193" s="18" t="str">
        <f aca="false">'SALES Raw'!H3523</f>
        <v>34+ M מגן קרסול עקב סגור+רצוע</v>
      </c>
      <c r="D1193" s="19" t="n">
        <f aca="false">'SALES Raw'!C3523</f>
        <v>39</v>
      </c>
      <c r="E1193" s="19" t="n">
        <f aca="false">'SALES Raw'!D3523</f>
        <v>1184.26</v>
      </c>
      <c r="F1193" s="19" t="n">
        <f aca="false">'SALES Raw'!E3523*$H$4</f>
        <v>50.5263157894737</v>
      </c>
      <c r="G1193" s="19" t="n">
        <f aca="false">'SALES Raw'!F3523*$H$4</f>
        <v>1375.38947368421</v>
      </c>
      <c r="H1193" s="18" t="str">
        <f aca="false">'SALES Raw'!A3523</f>
        <v>207 - Salus HUNGARY</v>
      </c>
    </row>
    <row r="1194" customFormat="false" ht="15" hidden="false" customHeight="false" outlineLevel="0" collapsed="false">
      <c r="A1194" s="18" t="n">
        <f aca="false">'SALES Raw'!G3574</f>
        <v>4420016</v>
      </c>
      <c r="B1194" s="18" t="str">
        <f aca="false">'SALES Raw'!B3574</f>
        <v>40 0</v>
      </c>
      <c r="C1194" s="18" t="str">
        <f aca="false">'SALES Raw'!H3574</f>
        <v>40-רצועת פיקה לברך</v>
      </c>
      <c r="D1194" s="19" t="n">
        <f aca="false">'SALES Raw'!C3574</f>
        <v>60</v>
      </c>
      <c r="E1194" s="19" t="n">
        <f aca="false">'SALES Raw'!D3574</f>
        <v>1363.08</v>
      </c>
      <c r="F1194" s="19" t="n">
        <f aca="false">'SALES Raw'!E3574*$H$4</f>
        <v>50.5263157894737</v>
      </c>
      <c r="G1194" s="19" t="n">
        <f aca="false">'SALES Raw'!F3574*$H$4</f>
        <v>1033.27578947368</v>
      </c>
      <c r="H1194" s="18" t="str">
        <f aca="false">'SALES Raw'!A3574</f>
        <v>207 - Salus HUNGARY</v>
      </c>
    </row>
    <row r="1195" customFormat="false" ht="15" hidden="false" customHeight="false" outlineLevel="0" collapsed="false">
      <c r="A1195" s="18" t="n">
        <f aca="false">'SALES Raw'!G3630</f>
        <v>4413140</v>
      </c>
      <c r="B1195" s="18" t="str">
        <f aca="false">'SALES Raw'!B3630</f>
        <v>95 M</v>
      </c>
      <c r="C1195" s="18" t="str">
        <f aca="false">'SALES Raw'!H3630</f>
        <v>95 M מגן מרפק רגיל לבן</v>
      </c>
      <c r="D1195" s="19" t="n">
        <f aca="false">'SALES Raw'!C3630</f>
        <v>36</v>
      </c>
      <c r="E1195" s="19" t="n">
        <f aca="false">'SALES Raw'!D3630</f>
        <v>406.21</v>
      </c>
      <c r="F1195" s="19" t="n">
        <f aca="false">'SALES Raw'!E3630*$H$4</f>
        <v>50.5263157894737</v>
      </c>
      <c r="G1195" s="19" t="n">
        <f aca="false">'SALES Raw'!F3630*$H$4</f>
        <v>513.221052631579</v>
      </c>
      <c r="H1195" s="18" t="str">
        <f aca="false">'SALES Raw'!A3630</f>
        <v>207 - Salus HUNGARY</v>
      </c>
    </row>
    <row r="1196" customFormat="false" ht="15" hidden="false" customHeight="false" outlineLevel="0" collapsed="false">
      <c r="A1196" s="18" t="n">
        <f aca="false">'SALES Raw'!G3788</f>
        <v>4411030</v>
      </c>
      <c r="B1196" s="18" t="str">
        <f aca="false">'SALES Raw'!B3788</f>
        <v>213CTSR M</v>
      </c>
      <c r="C1196" s="18" t="str">
        <f aca="false">'SALES Raw'!H3788</f>
        <v>213CTSR M ימין CTS כפפות</v>
      </c>
      <c r="D1196" s="19" t="n">
        <f aca="false">'SALES Raw'!C3788</f>
        <v>1</v>
      </c>
      <c r="E1196" s="19" t="n">
        <f aca="false">'SALES Raw'!D3788</f>
        <v>0.04</v>
      </c>
      <c r="F1196" s="19" t="n">
        <f aca="false">'SALES Raw'!E3788*$H$4</f>
        <v>50.5263157894737</v>
      </c>
      <c r="G1196" s="19" t="n">
        <f aca="false">'SALES Raw'!F3788*$H$4</f>
        <v>2205.53684210526</v>
      </c>
      <c r="H1196" s="18" t="str">
        <f aca="false">'SALES Raw'!A3788</f>
        <v>209 - Ortoprofil Prod ROMANIA</v>
      </c>
    </row>
    <row r="1197" customFormat="false" ht="15" hidden="false" customHeight="false" outlineLevel="0" collapsed="false">
      <c r="A1197" s="18" t="n">
        <f aca="false">'SALES Raw'!G3910</f>
        <v>4416001</v>
      </c>
      <c r="B1197" s="18" t="str">
        <f aca="false">'SALES Raw'!B3910</f>
        <v>307 M</v>
      </c>
      <c r="C1197" s="18" t="str">
        <f aca="false">'SALES Raw'!H3910</f>
        <v>307 M עקבים לדורבן-זוג כריות</v>
      </c>
      <c r="D1197" s="19" t="n">
        <f aca="false">'SALES Raw'!C3910</f>
        <v>45</v>
      </c>
      <c r="E1197" s="19" t="n">
        <f aca="false">'SALES Raw'!D3910</f>
        <v>1380.26</v>
      </c>
      <c r="F1197" s="19" t="n">
        <f aca="false">'SALES Raw'!E3910*$H$4</f>
        <v>50.5263157894737</v>
      </c>
      <c r="G1197" s="19" t="n">
        <f aca="false">'SALES Raw'!F3910*$H$4</f>
        <v>1319.31789473684</v>
      </c>
      <c r="H1197" s="18" t="str">
        <f aca="false">'SALES Raw'!A3910</f>
        <v>210 - Oy. Ea. Ab. FINLAND</v>
      </c>
    </row>
    <row r="1198" customFormat="false" ht="15" hidden="false" customHeight="false" outlineLevel="0" collapsed="false">
      <c r="A1198" s="18" t="n">
        <f aca="false">'SALES Raw'!G3932</f>
        <v>4411000</v>
      </c>
      <c r="B1198" s="18" t="str">
        <f aca="false">'SALES Raw'!B3932</f>
        <v>362-L-R</v>
      </c>
      <c r="C1198" s="18" t="str">
        <f aca="false">'SALES Raw'!H3932</f>
        <v>כרית מטטרזלי סיליקון362</v>
      </c>
      <c r="D1198" s="19" t="n">
        <f aca="false">'SALES Raw'!C3932</f>
        <v>60</v>
      </c>
      <c r="E1198" s="19" t="n">
        <f aca="false">'SALES Raw'!D3932</f>
        <v>921.74</v>
      </c>
      <c r="F1198" s="19" t="n">
        <f aca="false">'SALES Raw'!E3932*$H$4</f>
        <v>50.5263157894737</v>
      </c>
      <c r="G1198" s="19" t="n">
        <f aca="false">'SALES Raw'!F3932*$H$4</f>
        <v>672.265263157895</v>
      </c>
      <c r="H1198" s="18" t="str">
        <f aca="false">'SALES Raw'!A3932</f>
        <v>210 - Oy. Ea. Ab. FINLAND</v>
      </c>
    </row>
    <row r="1199" customFormat="false" ht="15" hidden="false" customHeight="false" outlineLevel="0" collapsed="false">
      <c r="A1199" s="18" t="n">
        <f aca="false">'SALES Raw'!G3941</f>
        <v>4413370</v>
      </c>
      <c r="B1199" s="18" t="str">
        <f aca="false">'SALES Raw'!B3941</f>
        <v>3674 0</v>
      </c>
      <c r="C1199" s="18" t="str">
        <f aca="false">'SALES Raw'!H3941</f>
        <v>3674 0 מ.בוניון+מפריד אצבע</v>
      </c>
      <c r="D1199" s="19" t="n">
        <f aca="false">'SALES Raw'!C3941</f>
        <v>200</v>
      </c>
      <c r="E1199" s="19" t="n">
        <f aca="false">'SALES Raw'!D3941</f>
        <v>3602.77</v>
      </c>
      <c r="F1199" s="19" t="n">
        <f aca="false">'SALES Raw'!E3941*$H$4</f>
        <v>50.5263157894737</v>
      </c>
      <c r="G1199" s="19" t="n">
        <f aca="false">'SALES Raw'!F3941*$H$4</f>
        <v>781.503157894737</v>
      </c>
      <c r="H1199" s="18" t="str">
        <f aca="false">'SALES Raw'!A3941</f>
        <v>210 - Oy. Ea. Ab. FINLAND</v>
      </c>
    </row>
    <row r="1200" customFormat="false" ht="15" hidden="false" customHeight="false" outlineLevel="0" collapsed="false">
      <c r="A1200" s="18" t="n">
        <f aca="false">'SALES Raw'!G4004</f>
        <v>4408205</v>
      </c>
      <c r="B1200" s="18" t="str">
        <f aca="false">'SALES Raw'!B4004</f>
        <v>AC07 0</v>
      </c>
      <c r="C1200" s="18" t="str">
        <f aca="false">'SALES Raw'!H4004</f>
        <v>AC-07 חגורת גב עם תמיכות</v>
      </c>
      <c r="D1200" s="19" t="n">
        <f aca="false">'SALES Raw'!C4004</f>
        <v>35</v>
      </c>
      <c r="E1200" s="19" t="n">
        <f aca="false">'SALES Raw'!D4004</f>
        <v>1954.88</v>
      </c>
      <c r="F1200" s="19" t="n">
        <f aca="false">'SALES Raw'!E4004*$H$4</f>
        <v>50.5263157894737</v>
      </c>
      <c r="G1200" s="19" t="n">
        <f aca="false">'SALES Raw'!F4004*$H$4</f>
        <v>2487.37263157895</v>
      </c>
      <c r="H1200" s="18" t="str">
        <f aca="false">'SALES Raw'!A4004</f>
        <v>210 - Oy. Ea. Ab. FINLAND</v>
      </c>
    </row>
    <row r="1201" customFormat="false" ht="15" hidden="false" customHeight="false" outlineLevel="0" collapsed="false">
      <c r="A1201" s="18" t="n">
        <f aca="false">'SALES Raw'!G4005</f>
        <v>4408207</v>
      </c>
      <c r="B1201" s="18" t="str">
        <f aca="false">'SALES Raw'!B4005</f>
        <v>AC25 0</v>
      </c>
      <c r="C1201" s="18" t="str">
        <f aca="false">'SALES Raw'!H4005</f>
        <v>AC-25 חבק לשורש כף היד</v>
      </c>
      <c r="D1201" s="19" t="n">
        <f aca="false">'SALES Raw'!C4005</f>
        <v>70</v>
      </c>
      <c r="E1201" s="19" t="n">
        <f aca="false">'SALES Raw'!D4005</f>
        <v>1148.25</v>
      </c>
      <c r="F1201" s="19" t="n">
        <f aca="false">'SALES Raw'!E4005*$H$4</f>
        <v>50.5263157894737</v>
      </c>
      <c r="G1201" s="19" t="n">
        <f aca="false">'SALES Raw'!F4005*$H$4</f>
        <v>714.277894736842</v>
      </c>
      <c r="H1201" s="18" t="str">
        <f aca="false">'SALES Raw'!A4005</f>
        <v>210 - Oy. Ea. Ab. FINLAND</v>
      </c>
    </row>
    <row r="1202" customFormat="false" ht="15" hidden="false" customHeight="false" outlineLevel="0" collapsed="false">
      <c r="A1202" s="18" t="n">
        <f aca="false">'SALES Raw'!G4027</f>
        <v>4403034</v>
      </c>
      <c r="B1202" s="18" t="str">
        <f aca="false">'SALES Raw'!B4027</f>
        <v>ST3555-S-M</v>
      </c>
      <c r="C1202" s="18" t="str">
        <f aca="false">'SALES Raw'!H4027</f>
        <v>ST3555 S-Mגרב לילה לטיפ.בדורבן</v>
      </c>
      <c r="D1202" s="19" t="n">
        <f aca="false">'SALES Raw'!C4027</f>
        <v>70</v>
      </c>
      <c r="E1202" s="19" t="n">
        <f aca="false">'SALES Raw'!D4027</f>
        <v>2654.93</v>
      </c>
      <c r="F1202" s="19" t="n">
        <f aca="false">'SALES Raw'!E4027*$H$4</f>
        <v>50.5263157894737</v>
      </c>
      <c r="G1202" s="19" t="n">
        <f aca="false">'SALES Raw'!F4027*$H$4</f>
        <v>1663.84421052632</v>
      </c>
      <c r="H1202" s="18" t="str">
        <f aca="false">'SALES Raw'!A4027</f>
        <v>210 - Oy. Ea. Ab. FINLAND</v>
      </c>
    </row>
    <row r="1203" customFormat="false" ht="15" hidden="false" customHeight="false" outlineLevel="0" collapsed="false">
      <c r="A1203" s="18" t="str">
        <f aca="false">'SALES Raw'!G4246</f>
        <v/>
      </c>
      <c r="B1203" s="18" t="str">
        <f aca="false">'SALES Raw'!B4246</f>
        <v>376-41-43</v>
      </c>
      <c r="C1203" s="18" t="str">
        <f aca="false">'SALES Raw'!H4246</f>
        <v>376-41-43</v>
      </c>
      <c r="D1203" s="19" t="n">
        <f aca="false">'SALES Raw'!C4246</f>
        <v>56</v>
      </c>
      <c r="E1203" s="19" t="n">
        <f aca="false">'SALES Raw'!D4246</f>
        <v>951.48</v>
      </c>
      <c r="F1203" s="19" t="n">
        <f aca="false">'SALES Raw'!E4246*$H$4</f>
        <v>50.5263157894737</v>
      </c>
      <c r="G1203" s="19" t="n">
        <f aca="false">'SALES Raw'!F4246*$H$4</f>
        <v>766.357894736842</v>
      </c>
      <c r="H1203" s="18" t="str">
        <f aca="false">'SALES Raw'!A4246</f>
        <v>216 - Max Konnaris CYPRUS</v>
      </c>
    </row>
    <row r="1204" customFormat="false" ht="15" hidden="false" customHeight="false" outlineLevel="0" collapsed="false">
      <c r="A1204" s="18" t="n">
        <f aca="false">'SALES Raw'!G4344</f>
        <v>4415028</v>
      </c>
      <c r="B1204" s="18" t="str">
        <f aca="false">'SALES Raw'!B4344</f>
        <v>AC28 0</v>
      </c>
      <c r="C1204" s="18" t="str">
        <f aca="false">'SALES Raw'!H4344</f>
        <v>AC-28 סד לאגודל</v>
      </c>
      <c r="D1204" s="19" t="n">
        <f aca="false">'SALES Raw'!C4344</f>
        <v>0</v>
      </c>
      <c r="E1204" s="19" t="n">
        <f aca="false">'SALES Raw'!D4344</f>
        <v>0</v>
      </c>
      <c r="F1204" s="19" t="n">
        <f aca="false">'SALES Raw'!E4344*$H$4</f>
        <v>50.5263157894737</v>
      </c>
      <c r="G1204" s="19" t="n">
        <f aca="false">'SALES Raw'!F4344*$H$4</f>
        <v>788.981052631579</v>
      </c>
      <c r="H1204" s="18" t="str">
        <f aca="false">'SALES Raw'!A4344</f>
        <v>216 - Max Konnaris CYPRUS</v>
      </c>
    </row>
    <row r="1205" customFormat="false" ht="15" hidden="false" customHeight="false" outlineLevel="0" collapsed="false">
      <c r="A1205" s="18" t="n">
        <f aca="false">'SALES Raw'!G4350</f>
        <v>4420022</v>
      </c>
      <c r="B1205" s="18" t="str">
        <f aca="false">'SALES Raw'!B4350</f>
        <v>LF370 0</v>
      </c>
      <c r="C1205" s="18" t="str">
        <f aca="false">'SALES Raw'!H4350</f>
        <v>LF370 ריפוד סיליקון לעקב אחורי</v>
      </c>
      <c r="D1205" s="19" t="n">
        <f aca="false">'SALES Raw'!C4350</f>
        <v>0</v>
      </c>
      <c r="E1205" s="19" t="n">
        <f aca="false">'SALES Raw'!D4350</f>
        <v>0</v>
      </c>
      <c r="F1205" s="19" t="n">
        <f aca="false">'SALES Raw'!E4350*$H$4</f>
        <v>50.5263157894737</v>
      </c>
      <c r="G1205" s="19" t="n">
        <f aca="false">'SALES Raw'!F4350*$H$4</f>
        <v>322.711578947368</v>
      </c>
      <c r="H1205" s="18" t="str">
        <f aca="false">'SALES Raw'!A4350</f>
        <v>216 - Max Konnaris CYPRUS</v>
      </c>
    </row>
    <row r="1206" customFormat="false" ht="15" hidden="false" customHeight="false" outlineLevel="0" collapsed="false">
      <c r="A1206" s="18" t="n">
        <f aca="false">'SALES Raw'!G2067</f>
        <v>4408218</v>
      </c>
      <c r="B1206" s="18" t="str">
        <f aca="false">'SALES Raw'!B2067</f>
        <v>078 XL</v>
      </c>
      <c r="C1206" s="18" t="str">
        <f aca="false">'SALES Raw'!H2067</f>
        <v>078XL חגורת גב +סגירה כפולה</v>
      </c>
      <c r="D1206" s="19" t="n">
        <f aca="false">'SALES Raw'!C2067</f>
        <v>47</v>
      </c>
      <c r="E1206" s="19" t="n">
        <f aca="false">'SALES Raw'!D2067</f>
        <v>8888.35</v>
      </c>
      <c r="F1206" s="19" t="n">
        <f aca="false">'SALES Raw'!E2067*$H$4</f>
        <v>49.2631578947368</v>
      </c>
      <c r="G1206" s="19" t="n">
        <f aca="false">'SALES Raw'!F2067*$H$4</f>
        <v>10071.7894736842</v>
      </c>
      <c r="H1206" s="18" t="str">
        <f aca="false">'SALES Raw'!A2067</f>
        <v>114 - IL online</v>
      </c>
    </row>
    <row r="1207" customFormat="false" ht="15" hidden="false" customHeight="false" outlineLevel="0" collapsed="false">
      <c r="A1207" s="18" t="n">
        <f aca="false">'SALES Raw'!G2513</f>
        <v>4409011</v>
      </c>
      <c r="B1207" s="18" t="str">
        <f aca="false">'SALES Raw'!B2513</f>
        <v>804AT-B</v>
      </c>
      <c r="C1207" s="18" t="str">
        <f aca="false">'SALES Raw'!H2513</f>
        <v>804AT-B      טייפ חבישה לספורט</v>
      </c>
      <c r="D1207" s="19" t="n">
        <f aca="false">'SALES Raw'!C2513</f>
        <v>21</v>
      </c>
      <c r="E1207" s="19" t="n">
        <f aca="false">'SALES Raw'!D2513</f>
        <v>577.66</v>
      </c>
      <c r="F1207" s="19" t="n">
        <f aca="false">'SALES Raw'!E2513*$H$4</f>
        <v>49.2631578947368</v>
      </c>
      <c r="G1207" s="19" t="n">
        <f aca="false">'SALES Raw'!F2513*$H$4</f>
        <v>1232.53894736842</v>
      </c>
      <c r="H1207" s="18" t="str">
        <f aca="false">'SALES Raw'!A2513</f>
        <v>114 - IL online</v>
      </c>
    </row>
    <row r="1208" customFormat="false" ht="15" hidden="false" customHeight="false" outlineLevel="0" collapsed="false">
      <c r="A1208" s="18" t="str">
        <f aca="false">'SALES Raw'!G2538</f>
        <v/>
      </c>
      <c r="B1208" s="18" t="str">
        <f aca="false">'SALES Raw'!B2538</f>
        <v>84-L-XXL</v>
      </c>
      <c r="C1208" s="18" t="str">
        <f aca="false">'SALES Raw'!H2538</f>
        <v>84-L-XXL</v>
      </c>
      <c r="D1208" s="19" t="n">
        <f aca="false">'SALES Raw'!C2538</f>
        <v>37</v>
      </c>
      <c r="E1208" s="19" t="n">
        <f aca="false">'SALES Raw'!D2538</f>
        <v>8672.74</v>
      </c>
      <c r="F1208" s="19" t="n">
        <f aca="false">'SALES Raw'!E2538*$H$4</f>
        <v>49.2631578947368</v>
      </c>
      <c r="G1208" s="19" t="n">
        <f aca="false">'SALES Raw'!F2538*$H$4</f>
        <v>11958.4547368421</v>
      </c>
      <c r="H1208" s="18" t="str">
        <f aca="false">'SALES Raw'!A2538</f>
        <v>114 - IL online</v>
      </c>
    </row>
    <row r="1209" customFormat="false" ht="15" hidden="false" customHeight="false" outlineLevel="0" collapsed="false">
      <c r="A1209" s="18" t="n">
        <f aca="false">'CEMIUP0.9 Raw'!B424</f>
        <v>4413445</v>
      </c>
      <c r="B1209" s="18" t="str">
        <f aca="false">'CEMIUP0.9 Raw'!C424</f>
        <v>302SP Wמדרס ג'ל ספורט לאישה</v>
      </c>
      <c r="C1209" s="18" t="str">
        <f aca="false">'CEMIUP0.9 Raw'!C424</f>
        <v>302SP Wמדרס ג'ל ספורט לאישה</v>
      </c>
      <c r="D1209" s="19" t="n">
        <f aca="false">'CEMIUP0.9 Raw'!D424</f>
        <v>1</v>
      </c>
      <c r="E1209" s="19" t="n">
        <f aca="false">'CEMIUP0.9 Raw'!E424</f>
        <v>50.96</v>
      </c>
      <c r="F1209" s="19" t="n">
        <f aca="false">'CEMIUP0.9 Raw'!F424</f>
        <v>49.2631578947368</v>
      </c>
      <c r="G1209" s="19" t="n">
        <f aca="false">'CEMIUP0.9 Raw'!G424</f>
        <v>2519.53136842105</v>
      </c>
      <c r="H1209" s="18" t="str">
        <f aca="false">'CEMIUP0.9 Raw'!A424</f>
        <v>107 - Pharmacies</v>
      </c>
    </row>
    <row r="1210" customFormat="false" ht="15" hidden="false" customHeight="false" outlineLevel="0" collapsed="false">
      <c r="A1210" s="18" t="n">
        <f aca="false">'CEMIUP0.9 Raw'!B684</f>
        <v>4403019</v>
      </c>
      <c r="B1210" s="18" t="str">
        <f aca="false">'CEMIUP0.9 Raw'!C684</f>
        <v>394B גרב.כסף לסכרתים שחור43-46</v>
      </c>
      <c r="C1210" s="18" t="str">
        <f aca="false">'CEMIUP0.9 Raw'!C684</f>
        <v>394B גרב.כסף לסכרתים שחור43-46</v>
      </c>
      <c r="D1210" s="19" t="n">
        <f aca="false">'CEMIUP0.9 Raw'!D684</f>
        <v>206</v>
      </c>
      <c r="E1210" s="19" t="n">
        <f aca="false">'CEMIUP0.9 Raw'!E684</f>
        <v>3790.4</v>
      </c>
      <c r="F1210" s="19" t="n">
        <f aca="false">'CEMIUP0.9 Raw'!F684</f>
        <v>49.2631578947368</v>
      </c>
      <c r="G1210" s="19" t="n">
        <f aca="false">'CEMIUP0.9 Raw'!G684</f>
        <v>868.789894736842</v>
      </c>
      <c r="H1210" s="18" t="str">
        <f aca="false">'CEMIUP0.9 Raw'!A684</f>
        <v>113 - Kupat Holim Meuhedet</v>
      </c>
    </row>
    <row r="1211" customFormat="false" ht="15" hidden="false" customHeight="false" outlineLevel="0" collapsed="false">
      <c r="A1211" s="18" t="n">
        <f aca="false">'CEMIUP0.9 Raw'!B687</f>
        <v>4403025</v>
      </c>
      <c r="B1211" s="18" t="str">
        <f aca="false">'CEMIUP0.9 Raw'!C687</f>
        <v>394W 43-46 גרב.כסף לסכרתים לבן</v>
      </c>
      <c r="C1211" s="18" t="str">
        <f aca="false">'CEMIUP0.9 Raw'!C687</f>
        <v>394W 43-46 גרב.כסף לסכרתים לבן</v>
      </c>
      <c r="D1211" s="19" t="n">
        <f aca="false">'CEMIUP0.9 Raw'!D687</f>
        <v>50</v>
      </c>
      <c r="E1211" s="19" t="n">
        <f aca="false">'CEMIUP0.9 Raw'!E687</f>
        <v>920</v>
      </c>
      <c r="F1211" s="19" t="n">
        <f aca="false">'CEMIUP0.9 Raw'!F687</f>
        <v>49.2631578947368</v>
      </c>
      <c r="G1211" s="19" t="n">
        <f aca="false">'CEMIUP0.9 Raw'!G687</f>
        <v>866.698105263158</v>
      </c>
      <c r="H1211" s="18" t="str">
        <f aca="false">'CEMIUP0.9 Raw'!A687</f>
        <v>113 - Kupat Holim Meuhedet</v>
      </c>
    </row>
    <row r="1212" customFormat="false" ht="15" hidden="false" customHeight="false" outlineLevel="0" collapsed="false">
      <c r="A1212" s="18" t="n">
        <f aca="false">'SALES Raw'!G577</f>
        <v>4413517</v>
      </c>
      <c r="B1212" s="18" t="str">
        <f aca="false">'SALES Raw'!B577</f>
        <v>85B M</v>
      </c>
      <c r="C1212" s="18" t="str">
        <f aca="false">'SALES Raw'!H577</f>
        <v>85B M מתלה רשת לזרוע שחור</v>
      </c>
      <c r="D1212" s="19" t="n">
        <f aca="false">'SALES Raw'!C577</f>
        <v>51</v>
      </c>
      <c r="E1212" s="19" t="n">
        <f aca="false">'SALES Raw'!D577</f>
        <v>2529.61</v>
      </c>
      <c r="F1212" s="19" t="n">
        <f aca="false">'SALES Raw'!E577*$H$4</f>
        <v>48</v>
      </c>
      <c r="G1212" s="19" t="n">
        <f aca="false">'SALES Raw'!F577*$H$4</f>
        <v>2351.92421052632</v>
      </c>
      <c r="H1212" s="18" t="str">
        <f aca="false">'SALES Raw'!A577</f>
        <v>102 - Orthopedic institutes</v>
      </c>
    </row>
    <row r="1213" customFormat="false" ht="15" hidden="false" customHeight="false" outlineLevel="0" collapsed="false">
      <c r="A1213" s="18" t="n">
        <f aca="false">'SALES Raw'!G2177</f>
        <v>4411027</v>
      </c>
      <c r="B1213" s="18" t="str">
        <f aca="false">'SALES Raw'!B2177</f>
        <v>213CTSL M</v>
      </c>
      <c r="C1213" s="18" t="str">
        <f aca="false">'SALES Raw'!H2177</f>
        <v>213CTSL M שמאל CTS כפפות</v>
      </c>
      <c r="D1213" s="19" t="n">
        <f aca="false">'SALES Raw'!C2177</f>
        <v>21</v>
      </c>
      <c r="E1213" s="19" t="n">
        <f aca="false">'SALES Raw'!D2177</f>
        <v>3886.13</v>
      </c>
      <c r="F1213" s="19" t="n">
        <f aca="false">'SALES Raw'!E2177*$H$4</f>
        <v>48</v>
      </c>
      <c r="G1213" s="19" t="n">
        <f aca="false">'SALES Raw'!F2177*$H$4</f>
        <v>9295.59157894737</v>
      </c>
      <c r="H1213" s="18" t="str">
        <f aca="false">'SALES Raw'!A2177</f>
        <v>114 - IL online</v>
      </c>
    </row>
    <row r="1214" customFormat="false" ht="15" hidden="false" customHeight="false" outlineLevel="0" collapsed="false">
      <c r="A1214" s="18" t="n">
        <f aca="false">'SALES Raw'!G2299</f>
        <v>4413059</v>
      </c>
      <c r="B1214" s="18" t="str">
        <f aca="false">'SALES Raw'!B2299</f>
        <v>364-S-L</v>
      </c>
      <c r="C1214" s="18" t="str">
        <f aca="false">'SALES Raw'!H2299</f>
        <v>364S Lמפר.אצבע סיליק. ליבל.זוג</v>
      </c>
      <c r="D1214" s="19" t="n">
        <f aca="false">'SALES Raw'!C2299</f>
        <v>47</v>
      </c>
      <c r="E1214" s="19" t="n">
        <f aca="false">'SALES Raw'!D2299</f>
        <v>1124.83</v>
      </c>
      <c r="F1214" s="19" t="n">
        <f aca="false">'SALES Raw'!E2299*$H$4</f>
        <v>48</v>
      </c>
      <c r="G1214" s="19" t="n">
        <f aca="false">'SALES Raw'!F2299*$H$4</f>
        <v>1233.94105263158</v>
      </c>
      <c r="H1214" s="18" t="str">
        <f aca="false">'SALES Raw'!A2299</f>
        <v>114 - IL online</v>
      </c>
    </row>
    <row r="1215" customFormat="false" ht="15" hidden="false" customHeight="false" outlineLevel="0" collapsed="false">
      <c r="A1215" s="18" t="n">
        <f aca="false">'SALES Raw'!G2525</f>
        <v>4422032</v>
      </c>
      <c r="B1215" s="18" t="str">
        <f aca="false">'SALES Raw'!B2525</f>
        <v>807CB-B</v>
      </c>
      <c r="C1215" s="18" t="str">
        <f aca="false">'SALES Raw'!H2525</f>
        <v>807B-Bתחבושת נצמדת שחור 20 מ""""מ</v>
      </c>
      <c r="D1215" s="19" t="n">
        <f aca="false">'SALES Raw'!C2525</f>
        <v>7</v>
      </c>
      <c r="E1215" s="19" t="n">
        <f aca="false">'SALES Raw'!D2525</f>
        <v>140.22</v>
      </c>
      <c r="F1215" s="19" t="n">
        <f aca="false">'SALES Raw'!E2525*$H$4</f>
        <v>48</v>
      </c>
      <c r="G1215" s="19" t="n">
        <f aca="false">'SALES Raw'!F2525*$H$4</f>
        <v>917.305263157895</v>
      </c>
      <c r="H1215" s="18" t="str">
        <f aca="false">'SALES Raw'!A2525</f>
        <v>114 - IL online</v>
      </c>
    </row>
    <row r="1216" customFormat="false" ht="15" hidden="false" customHeight="false" outlineLevel="0" collapsed="false">
      <c r="A1216" s="18" t="n">
        <f aca="false">'SALES Raw'!G2600</f>
        <v>4420026</v>
      </c>
      <c r="B1216" s="18" t="str">
        <f aca="false">'SALES Raw'!B2600</f>
        <v>AC40 0</v>
      </c>
      <c r="C1216" s="18" t="str">
        <f aca="false">'SALES Raw'!H2600</f>
        <v>AC40 רצועה לפיקת הברך</v>
      </c>
      <c r="D1216" s="19" t="n">
        <f aca="false">'SALES Raw'!C2600</f>
        <v>27</v>
      </c>
      <c r="E1216" s="19" t="n">
        <f aca="false">'SALES Raw'!D2600</f>
        <v>3649.3</v>
      </c>
      <c r="F1216" s="19" t="n">
        <f aca="false">'SALES Raw'!E2600*$H$4</f>
        <v>48</v>
      </c>
      <c r="G1216" s="19" t="n">
        <f aca="false">'SALES Raw'!F2600*$H$4</f>
        <v>6698.18526315789</v>
      </c>
      <c r="H1216" s="18" t="str">
        <f aca="false">'SALES Raw'!A2600</f>
        <v>114 - IL online</v>
      </c>
    </row>
    <row r="1217" customFormat="false" ht="15" hidden="false" customHeight="false" outlineLevel="0" collapsed="false">
      <c r="A1217" s="18" t="n">
        <f aca="false">'SALES Raw'!G3225</f>
        <v>4413307</v>
      </c>
      <c r="B1217" s="18" t="str">
        <f aca="false">'SALES Raw'!B3225</f>
        <v>3667 0</v>
      </c>
      <c r="C1217" s="18" t="str">
        <f aca="false">'SALES Raw'!H3225</f>
        <v>URI 3667 מגן בוניון</v>
      </c>
      <c r="D1217" s="19" t="n">
        <f aca="false">'SALES Raw'!C3225</f>
        <v>16</v>
      </c>
      <c r="E1217" s="19" t="n">
        <f aca="false">'SALES Raw'!D3225</f>
        <v>245.68</v>
      </c>
      <c r="F1217" s="19" t="n">
        <f aca="false">'SALES Raw'!E3225*$H$4</f>
        <v>48</v>
      </c>
      <c r="G1217" s="19" t="n">
        <f aca="false">'SALES Raw'!F3225*$H$4</f>
        <v>691.376842105263</v>
      </c>
      <c r="H1217" s="18" t="str">
        <f aca="false">'SALES Raw'!A3225</f>
        <v>204 - Sanaflex Anatomic GREECE</v>
      </c>
    </row>
    <row r="1218" customFormat="false" ht="15" hidden="false" customHeight="false" outlineLevel="0" collapsed="false">
      <c r="A1218" s="18" t="n">
        <f aca="false">'SALES Raw'!G3228</f>
        <v>4413371</v>
      </c>
      <c r="B1218" s="18" t="str">
        <f aca="false">'SALES Raw'!B3228</f>
        <v>3675 0</v>
      </c>
      <c r="C1218" s="18" t="str">
        <f aca="false">'SALES Raw'!H3228</f>
        <v>3675    מגן זרת מסיליקון</v>
      </c>
      <c r="D1218" s="19" t="n">
        <f aca="false">'SALES Raw'!C3228</f>
        <v>0</v>
      </c>
      <c r="E1218" s="19" t="n">
        <f aca="false">'SALES Raw'!D3228</f>
        <v>0</v>
      </c>
      <c r="F1218" s="19" t="n">
        <f aca="false">'SALES Raw'!E3228*$H$4</f>
        <v>48</v>
      </c>
      <c r="G1218" s="19" t="n">
        <f aca="false">'SALES Raw'!F3228*$H$4</f>
        <v>584.627368421053</v>
      </c>
      <c r="H1218" s="18" t="str">
        <f aca="false">'SALES Raw'!A3228</f>
        <v>204 - Sanaflex Anatomic GREECE</v>
      </c>
    </row>
    <row r="1219" customFormat="false" ht="15" hidden="false" customHeight="false" outlineLevel="0" collapsed="false">
      <c r="A1219" s="18" t="n">
        <f aca="false">'CEMIUP0.9 Raw'!B43</f>
        <v>4403045</v>
      </c>
      <c r="B1219" s="18" t="str">
        <f aca="false">'CEMIUP0.9 Raw'!C43</f>
        <v>395B גרבי קיץ אנטי בקטריא43-46</v>
      </c>
      <c r="C1219" s="18" t="str">
        <f aca="false">'CEMIUP0.9 Raw'!C43</f>
        <v>395B גרבי קיץ אנטי בקטריא43-46</v>
      </c>
      <c r="D1219" s="19" t="n">
        <f aca="false">'CEMIUP0.9 Raw'!D43</f>
        <v>0</v>
      </c>
      <c r="E1219" s="19" t="n">
        <f aca="false">'CEMIUP0.9 Raw'!E43</f>
        <v>0</v>
      </c>
      <c r="F1219" s="19" t="n">
        <f aca="false">'CEMIUP0.9 Raw'!F43</f>
        <v>48</v>
      </c>
      <c r="G1219" s="19" t="n">
        <f aca="false">'CEMIUP0.9 Raw'!G43</f>
        <v>1367.56168421053</v>
      </c>
      <c r="H1219" s="18" t="str">
        <f aca="false">'CEMIUP0.9 Raw'!A43</f>
        <v>107 - Pharmacies</v>
      </c>
    </row>
    <row r="1220" customFormat="false" ht="15" hidden="false" customHeight="false" outlineLevel="0" collapsed="false">
      <c r="A1220" s="18" t="n">
        <f aca="false">'CEMIUP0.9 Raw'!B348</f>
        <v>4413197</v>
      </c>
      <c r="B1220" s="18" t="str">
        <f aca="false">'CEMIUP0.9 Raw'!C348</f>
        <v>87 L מקבע כתף ויד</v>
      </c>
      <c r="C1220" s="18" t="str">
        <f aca="false">'CEMIUP0.9 Raw'!C348</f>
        <v>87 L מקבע כתף ויד</v>
      </c>
      <c r="D1220" s="19" t="n">
        <f aca="false">'CEMIUP0.9 Raw'!D348</f>
        <v>44</v>
      </c>
      <c r="E1220" s="19" t="n">
        <f aca="false">'CEMIUP0.9 Raw'!E348</f>
        <v>7528.857</v>
      </c>
      <c r="F1220" s="19" t="n">
        <f aca="false">'CEMIUP0.9 Raw'!F348</f>
        <v>48</v>
      </c>
      <c r="G1220" s="19" t="n">
        <f aca="false">'CEMIUP0.9 Raw'!G348</f>
        <v>8168.51873684211</v>
      </c>
      <c r="H1220" s="18" t="str">
        <f aca="false">'CEMIUP0.9 Raw'!A348</f>
        <v>107 - Pharmacies</v>
      </c>
    </row>
    <row r="1221" customFormat="false" ht="15" hidden="false" customHeight="false" outlineLevel="0" collapsed="false">
      <c r="A1221" s="18" t="n">
        <f aca="false">'CEMIUP0.9 Raw'!B489</f>
        <v>4415075</v>
      </c>
      <c r="B1221" s="18" t="str">
        <f aca="false">'CEMIUP0.9 Raw'!C489</f>
        <v>T28AC L-XL סד לאגודל</v>
      </c>
      <c r="C1221" s="18" t="str">
        <f aca="false">'CEMIUP0.9 Raw'!C489</f>
        <v>T28AC L-XL סד לאגודל</v>
      </c>
      <c r="D1221" s="19" t="n">
        <f aca="false">'CEMIUP0.9 Raw'!D489</f>
        <v>47</v>
      </c>
      <c r="E1221" s="19" t="n">
        <f aca="false">'CEMIUP0.9 Raw'!E489</f>
        <v>2895.438</v>
      </c>
      <c r="F1221" s="19" t="n">
        <f aca="false">'CEMIUP0.9 Raw'!F489</f>
        <v>48</v>
      </c>
      <c r="G1221" s="19" t="n">
        <f aca="false">'CEMIUP0.9 Raw'!G489</f>
        <v>2964.14778947368</v>
      </c>
      <c r="H1221" s="18" t="str">
        <f aca="false">'CEMIUP0.9 Raw'!A489</f>
        <v>107 - Pharmacies</v>
      </c>
    </row>
    <row r="1222" customFormat="false" ht="15" hidden="false" customHeight="false" outlineLevel="0" collapsed="false">
      <c r="A1222" s="18" t="n">
        <f aca="false">'CEMIUP0.9 Raw'!B525</f>
        <v>4418002</v>
      </c>
      <c r="B1222" s="18" t="str">
        <f aca="false">'CEMIUP0.9 Raw'!C525</f>
        <v>60 S צוארון ספוגי</v>
      </c>
      <c r="C1222" s="18" t="str">
        <f aca="false">'CEMIUP0.9 Raw'!C525</f>
        <v>60 S צוארון ספוגי</v>
      </c>
      <c r="D1222" s="19" t="n">
        <f aca="false">'CEMIUP0.9 Raw'!D525</f>
        <v>81</v>
      </c>
      <c r="E1222" s="19" t="n">
        <f aca="false">'CEMIUP0.9 Raw'!E525</f>
        <v>3596.438</v>
      </c>
      <c r="F1222" s="19" t="n">
        <f aca="false">'CEMIUP0.9 Raw'!F525</f>
        <v>48</v>
      </c>
      <c r="G1222" s="19" t="n">
        <f aca="false">'CEMIUP0.9 Raw'!G525</f>
        <v>2135.43410526316</v>
      </c>
      <c r="H1222" s="18" t="str">
        <f aca="false">'CEMIUP0.9 Raw'!A525</f>
        <v>107 - Pharmacies</v>
      </c>
    </row>
    <row r="1223" customFormat="false" ht="15" hidden="false" customHeight="false" outlineLevel="0" collapsed="false">
      <c r="A1223" s="18" t="n">
        <f aca="false">'CEMIUP0.9 Raw'!B700</f>
        <v>4408034</v>
      </c>
      <c r="B1223" s="18" t="str">
        <f aca="false">'CEMIUP0.9 Raw'!C700</f>
        <v>11 XL</v>
      </c>
      <c r="C1223" s="18" t="str">
        <f aca="false">'CEMIUP0.9 Raw'!C700</f>
        <v>11 XL</v>
      </c>
      <c r="D1223" s="19" t="n">
        <f aca="false">'CEMIUP0.9 Raw'!D700</f>
        <v>112</v>
      </c>
      <c r="E1223" s="19" t="n">
        <f aca="false">'CEMIUP0.9 Raw'!E700</f>
        <v>8102.08000000001</v>
      </c>
      <c r="F1223" s="19" t="n">
        <f aca="false">'CEMIUP0.9 Raw'!F700</f>
        <v>48</v>
      </c>
      <c r="G1223" s="19" t="n">
        <f aca="false">'CEMIUP0.9 Raw'!G700</f>
        <v>3472.32</v>
      </c>
      <c r="H1223" s="18" t="str">
        <f aca="false">'CEMIUP0.9 Raw'!A700</f>
        <v>113 - Kupat Holim Meuhedet</v>
      </c>
    </row>
    <row r="1224" customFormat="false" ht="15" hidden="false" customHeight="false" outlineLevel="0" collapsed="false">
      <c r="A1224" s="18" t="n">
        <f aca="false">'CEMIUP0.9 Raw'!B760</f>
        <v>4411015</v>
      </c>
      <c r="B1224" s="18" t="str">
        <f aca="false">'CEMIUP0.9 Raw'!C760</f>
        <v>820 0 כרית חום וקור</v>
      </c>
      <c r="C1224" s="18" t="str">
        <f aca="false">'CEMIUP0.9 Raw'!C760</f>
        <v>820 0 כרית חום וקור</v>
      </c>
      <c r="D1224" s="19" t="n">
        <f aca="false">'CEMIUP0.9 Raw'!D760</f>
        <v>76</v>
      </c>
      <c r="E1224" s="19" t="n">
        <f aca="false">'CEMIUP0.9 Raw'!E760</f>
        <v>2464.68</v>
      </c>
      <c r="F1224" s="19" t="n">
        <f aca="false">'CEMIUP0.9 Raw'!F760</f>
        <v>48</v>
      </c>
      <c r="G1224" s="19" t="n">
        <f aca="false">'CEMIUP0.9 Raw'!G760</f>
        <v>1490.232</v>
      </c>
      <c r="H1224" s="18" t="str">
        <f aca="false">'CEMIUP0.9 Raw'!A760</f>
        <v>113 - Kupat Holim Meuhedet</v>
      </c>
    </row>
    <row r="1225" customFormat="false" ht="15" hidden="false" customHeight="false" outlineLevel="0" collapsed="false">
      <c r="A1225" s="18" t="n">
        <f aca="false">'CEMIUP0.9 Raw'!B1057</f>
        <v>4413034</v>
      </c>
      <c r="B1225" s="18" t="str">
        <f aca="false">'CEMIUP0.9 Raw'!C1057</f>
        <v>312 9 מ""ס להתאמהX5 מדבקה גדולה</v>
      </c>
      <c r="C1225" s="18" t="str">
        <f aca="false">'CEMIUP0.9 Raw'!C1057</f>
        <v>312 9 מ""ס להתאמהX5 מדבקה גדולה</v>
      </c>
      <c r="D1225" s="19" t="n">
        <f aca="false">'CEMIUP0.9 Raw'!D1057</f>
        <v>45</v>
      </c>
      <c r="E1225" s="19" t="n">
        <f aca="false">'CEMIUP0.9 Raw'!E1057</f>
        <v>873.964</v>
      </c>
      <c r="F1225" s="19" t="n">
        <f aca="false">'CEMIUP0.9 Raw'!F1057</f>
        <v>48</v>
      </c>
      <c r="G1225" s="19" t="n">
        <f aca="false">'CEMIUP0.9 Raw'!G1057</f>
        <v>913.831578947369</v>
      </c>
      <c r="H1225" s="18" t="str">
        <f aca="false">'CEMIUP0.9 Raw'!A1057</f>
        <v>BE (CEMI internal group)</v>
      </c>
    </row>
    <row r="1226" customFormat="false" ht="15" hidden="false" customHeight="false" outlineLevel="0" collapsed="false">
      <c r="A1226" s="18" t="n">
        <f aca="false">'CEMIUP0.9 Raw'!B1526</f>
        <v>4413159</v>
      </c>
      <c r="B1226" s="18" t="str">
        <f aca="false">'CEMIUP0.9 Raw'!C1526</f>
        <v>34+ S מגן קרסול עקב סגור+רצוע</v>
      </c>
      <c r="C1226" s="18" t="str">
        <f aca="false">'CEMIUP0.9 Raw'!C1526</f>
        <v>34+ S מגן קרסול עקב סגור+רצוע</v>
      </c>
      <c r="D1226" s="19" t="n">
        <f aca="false">'CEMIUP0.9 Raw'!D1526</f>
        <v>53</v>
      </c>
      <c r="E1226" s="19" t="n">
        <f aca="false">'CEMIUP0.9 Raw'!E1526</f>
        <v>2540.174</v>
      </c>
      <c r="F1226" s="19" t="n">
        <f aca="false">'CEMIUP0.9 Raw'!F1526</f>
        <v>48</v>
      </c>
      <c r="G1226" s="19" t="n">
        <f aca="false">'CEMIUP0.9 Raw'!G1526</f>
        <v>2358.37515789474</v>
      </c>
      <c r="H1226" s="18" t="str">
        <f aca="false">'CEMIUP0.9 Raw'!A1526</f>
        <v>Super-Pharm Israel (CEMI internal group)</v>
      </c>
    </row>
    <row r="1227" customFormat="false" ht="15" hidden="false" customHeight="false" outlineLevel="0" collapsed="false">
      <c r="A1227" s="18" t="n">
        <f aca="false">'CEMIUP0.9 Raw'!B1606</f>
        <v>4413523</v>
      </c>
      <c r="B1227" s="18" t="str">
        <f aca="false">'CEMIUP0.9 Raw'!C1606</f>
        <v>35-38 מדרסי אפיק ג'ל נוחות</v>
      </c>
      <c r="C1227" s="18" t="str">
        <f aca="false">'CEMIUP0.9 Raw'!C1606</f>
        <v>35-38 מדרסי אפיק ג'ל נוחות</v>
      </c>
      <c r="D1227" s="19" t="n">
        <f aca="false">'CEMIUP0.9 Raw'!D1606</f>
        <v>890</v>
      </c>
      <c r="E1227" s="19" t="n">
        <f aca="false">'CEMIUP0.9 Raw'!E1606</f>
        <v>74940.593</v>
      </c>
      <c r="F1227" s="19" t="n">
        <f aca="false">'CEMIUP0.9 Raw'!F1606</f>
        <v>48</v>
      </c>
      <c r="G1227" s="19" t="n">
        <f aca="false">'CEMIUP0.9 Raw'!G1606</f>
        <v>4566.62905263158</v>
      </c>
      <c r="H1227" s="18" t="str">
        <f aca="false">'CEMIUP0.9 Raw'!A1606</f>
        <v>Super-Pharm Israel (CEMI internal group)</v>
      </c>
    </row>
    <row r="1228" customFormat="false" ht="15" hidden="false" customHeight="false" outlineLevel="0" collapsed="false">
      <c r="A1228" s="18" t="n">
        <f aca="false">'CEMIUP0.9 Raw'!B110</f>
        <v>4408097</v>
      </c>
      <c r="B1228" s="18" t="str">
        <f aca="false">'CEMIUP0.9 Raw'!C110</f>
        <v>T20C L-XL חבק יד עם צמדן חום</v>
      </c>
      <c r="C1228" s="18" t="str">
        <f aca="false">'CEMIUP0.9 Raw'!C110</f>
        <v>T20C L-XL חבק יד עם צמדן חום</v>
      </c>
      <c r="D1228" s="19" t="n">
        <f aca="false">'CEMIUP0.9 Raw'!D110</f>
        <v>78</v>
      </c>
      <c r="E1228" s="19" t="n">
        <f aca="false">'CEMIUP0.9 Raw'!E110</f>
        <v>2483.197</v>
      </c>
      <c r="F1228" s="19" t="n">
        <f aca="false">'CEMIUP0.9 Raw'!F110</f>
        <v>46.7368421052632</v>
      </c>
      <c r="G1228" s="19" t="n">
        <f aca="false">'CEMIUP0.9 Raw'!G110</f>
        <v>1483.16589473684</v>
      </c>
      <c r="H1228" s="18" t="str">
        <f aca="false">'CEMIUP0.9 Raw'!A110</f>
        <v>107 - Pharmacies</v>
      </c>
    </row>
    <row r="1229" customFormat="false" ht="15" hidden="false" customHeight="false" outlineLevel="0" collapsed="false">
      <c r="A1229" s="18" t="n">
        <f aca="false">'CEMIUP0.9 Raw'!B239</f>
        <v>4413051</v>
      </c>
      <c r="B1229" s="18" t="str">
        <f aca="false">'CEMIUP0.9 Raw'!C239</f>
        <v>35 XXL מגן קרסול לבן</v>
      </c>
      <c r="C1229" s="18" t="str">
        <f aca="false">'CEMIUP0.9 Raw'!C239</f>
        <v>35 XXL מגן קרסול לבן</v>
      </c>
      <c r="D1229" s="19" t="n">
        <f aca="false">'CEMIUP0.9 Raw'!D239</f>
        <v>84</v>
      </c>
      <c r="E1229" s="19" t="n">
        <f aca="false">'CEMIUP0.9 Raw'!E239</f>
        <v>2255.691</v>
      </c>
      <c r="F1229" s="19" t="n">
        <f aca="false">'CEMIUP0.9 Raw'!F239</f>
        <v>46.7368421052632</v>
      </c>
      <c r="G1229" s="19" t="n">
        <f aca="false">'CEMIUP0.9 Raw'!G239</f>
        <v>1250.85726315789</v>
      </c>
      <c r="H1229" s="18" t="str">
        <f aca="false">'CEMIUP0.9 Raw'!A239</f>
        <v>107 - Pharmacies</v>
      </c>
    </row>
    <row r="1230" customFormat="false" ht="15" hidden="false" customHeight="false" outlineLevel="0" collapsed="false">
      <c r="A1230" s="18" t="n">
        <f aca="false">'CEMIUP0.9 Raw'!B820</f>
        <v>4413159</v>
      </c>
      <c r="B1230" s="18" t="str">
        <f aca="false">'CEMIUP0.9 Raw'!C820</f>
        <v>34+ S מגן קרסול עקב סגור+רצוע</v>
      </c>
      <c r="C1230" s="18" t="str">
        <f aca="false">'CEMIUP0.9 Raw'!C820</f>
        <v>34+ S מגן קרסול עקב סגור+רצוע</v>
      </c>
      <c r="D1230" s="19" t="n">
        <f aca="false">'CEMIUP0.9 Raw'!D820</f>
        <v>31</v>
      </c>
      <c r="E1230" s="19" t="n">
        <f aca="false">'CEMIUP0.9 Raw'!E820</f>
        <v>1307.27</v>
      </c>
      <c r="F1230" s="19" t="n">
        <f aca="false">'CEMIUP0.9 Raw'!F820</f>
        <v>46.7368421052632</v>
      </c>
      <c r="G1230" s="19" t="n">
        <f aca="false">'CEMIUP0.9 Raw'!G820</f>
        <v>1751.53263157895</v>
      </c>
      <c r="H1230" s="18" t="str">
        <f aca="false">'CEMIUP0.9 Raw'!A820</f>
        <v>113 - Kupat Holim Meuhedet</v>
      </c>
    </row>
    <row r="1231" customFormat="false" ht="15" hidden="false" customHeight="false" outlineLevel="0" collapsed="false">
      <c r="A1231" s="18" t="n">
        <f aca="false">'CEMIUP0.9 Raw'!B827</f>
        <v>4413197</v>
      </c>
      <c r="B1231" s="18" t="str">
        <f aca="false">'CEMIUP0.9 Raw'!C827</f>
        <v>87 L מקבע כתף ויד</v>
      </c>
      <c r="C1231" s="18" t="str">
        <f aca="false">'CEMIUP0.9 Raw'!C827</f>
        <v>87 L מקבע כתף ויד</v>
      </c>
      <c r="D1231" s="19" t="n">
        <f aca="false">'CEMIUP0.9 Raw'!D827</f>
        <v>83</v>
      </c>
      <c r="E1231" s="19" t="n">
        <f aca="false">'CEMIUP0.9 Raw'!E827</f>
        <v>10499.5</v>
      </c>
      <c r="F1231" s="19" t="n">
        <f aca="false">'CEMIUP0.9 Raw'!F827</f>
        <v>46.7368421052632</v>
      </c>
      <c r="G1231" s="19" t="n">
        <f aca="false">'CEMIUP0.9 Raw'!G827</f>
        <v>5566.32378947369</v>
      </c>
      <c r="H1231" s="18" t="str">
        <f aca="false">'CEMIUP0.9 Raw'!A827</f>
        <v>113 - Kupat Holim Meuhedet</v>
      </c>
    </row>
    <row r="1232" customFormat="false" ht="15" hidden="false" customHeight="false" outlineLevel="0" collapsed="false">
      <c r="A1232" s="18" t="n">
        <f aca="false">'CEMIUP0.9 Raw'!B969</f>
        <v>4408035</v>
      </c>
      <c r="B1232" s="18" t="str">
        <f aca="false">'CEMIUP0.9 Raw'!C969</f>
        <v>11 XXL""חגורת בטן""אורירית</v>
      </c>
      <c r="C1232" s="18" t="str">
        <f aca="false">'CEMIUP0.9 Raw'!C969</f>
        <v>11 XXL""חגורת בטן""אורירית</v>
      </c>
      <c r="D1232" s="19" t="n">
        <f aca="false">'CEMIUP0.9 Raw'!D969</f>
        <v>28</v>
      </c>
      <c r="E1232" s="19" t="n">
        <f aca="false">'CEMIUP0.9 Raw'!E969</f>
        <v>2327.325</v>
      </c>
      <c r="F1232" s="19" t="n">
        <f aca="false">'CEMIUP0.9 Raw'!F969</f>
        <v>46.7368421052632</v>
      </c>
      <c r="G1232" s="19" t="n">
        <f aca="false">'CEMIUP0.9 Raw'!G969</f>
        <v>4126.72547368421</v>
      </c>
      <c r="H1232" s="18" t="str">
        <f aca="false">'CEMIUP0.9 Raw'!A969</f>
        <v>BE (CEMI internal group)</v>
      </c>
    </row>
    <row r="1233" customFormat="false" ht="15" hidden="false" customHeight="false" outlineLevel="0" collapsed="false">
      <c r="A1233" s="18" t="n">
        <f aca="false">'CEMIUP0.9 Raw'!B1114</f>
        <v>4413128</v>
      </c>
      <c r="B1233" s="18" t="str">
        <f aca="false">'CEMIUP0.9 Raw'!C1114</f>
        <v>75 Mמיישר כתף יציב יישור גב צר</v>
      </c>
      <c r="C1233" s="18" t="str">
        <f aca="false">'CEMIUP0.9 Raw'!C1114</f>
        <v>75 Mמיישר כתף יציב יישור גב צר</v>
      </c>
      <c r="D1233" s="19" t="n">
        <f aca="false">'CEMIUP0.9 Raw'!D1114</f>
        <v>32</v>
      </c>
      <c r="E1233" s="19" t="n">
        <f aca="false">'CEMIUP0.9 Raw'!E1114</f>
        <v>4110.288</v>
      </c>
      <c r="F1233" s="19" t="n">
        <f aca="false">'CEMIUP0.9 Raw'!F1114</f>
        <v>46.7368421052632</v>
      </c>
      <c r="G1233" s="19" t="n">
        <f aca="false">'CEMIUP0.9 Raw'!G1114</f>
        <v>6003.2412631579</v>
      </c>
      <c r="H1233" s="18" t="str">
        <f aca="false">'CEMIUP0.9 Raw'!A1114</f>
        <v>BE (CEMI internal group)</v>
      </c>
    </row>
    <row r="1234" customFormat="false" ht="15" hidden="false" customHeight="false" outlineLevel="0" collapsed="false">
      <c r="A1234" s="18" t="n">
        <f aca="false">'CEMIUP0.9 Raw'!B1288</f>
        <v>4403017</v>
      </c>
      <c r="B1234" s="18" t="str">
        <f aca="false">'CEMIUP0.9 Raw'!C1288</f>
        <v>394B גרב.כסף לסכרתים שחור35-38</v>
      </c>
      <c r="C1234" s="18" t="str">
        <f aca="false">'CEMIUP0.9 Raw'!C1288</f>
        <v>394B גרב.כסף לסכרתים שחור35-38</v>
      </c>
      <c r="D1234" s="19" t="n">
        <f aca="false">'CEMIUP0.9 Raw'!D1288</f>
        <v>77</v>
      </c>
      <c r="E1234" s="19" t="n">
        <f aca="false">'CEMIUP0.9 Raw'!E1288</f>
        <v>1560.559</v>
      </c>
      <c r="F1234" s="19" t="n">
        <f aca="false">'CEMIUP0.9 Raw'!F1288</f>
        <v>46.7368421052632</v>
      </c>
      <c r="G1234" s="19" t="n">
        <f aca="false">'CEMIUP0.9 Raw'!G1288</f>
        <v>970.84547368421</v>
      </c>
      <c r="H1234" s="18" t="str">
        <f aca="false">'CEMIUP0.9 Raw'!A1288</f>
        <v>Super-Pharm Israel (CEMI internal group)</v>
      </c>
    </row>
    <row r="1235" customFormat="false" ht="15" hidden="false" customHeight="false" outlineLevel="0" collapsed="false">
      <c r="A1235" s="18" t="n">
        <f aca="false">'CEMIUP0.9 Raw'!B1328</f>
        <v>4408049</v>
      </c>
      <c r="B1235" s="18" t="str">
        <f aca="false">'CEMIUP0.9 Raw'!C1328</f>
        <v>20 XL חבק יד מתכוון עם צמדן</v>
      </c>
      <c r="C1235" s="18" t="str">
        <f aca="false">'CEMIUP0.9 Raw'!C1328</f>
        <v>20 XL חבק יד מתכוון עם צמדן</v>
      </c>
      <c r="D1235" s="19" t="n">
        <f aca="false">'CEMIUP0.9 Raw'!D1328</f>
        <v>84</v>
      </c>
      <c r="E1235" s="19" t="n">
        <f aca="false">'CEMIUP0.9 Raw'!E1328</f>
        <v>1915.186</v>
      </c>
      <c r="F1235" s="19" t="n">
        <f aca="false">'CEMIUP0.9 Raw'!F1328</f>
        <v>46.7368421052632</v>
      </c>
      <c r="G1235" s="19" t="n">
        <f aca="false">'CEMIUP0.9 Raw'!G1328</f>
        <v>1079.24084210526</v>
      </c>
      <c r="H1235" s="18" t="str">
        <f aca="false">'CEMIUP0.9 Raw'!A1328</f>
        <v>Super-Pharm Israel (CEMI internal group)</v>
      </c>
    </row>
    <row r="1236" customFormat="false" ht="15" hidden="false" customHeight="false" outlineLevel="0" collapsed="false">
      <c r="A1236" s="18" t="n">
        <f aca="false">'CEMIUP0.9 Raw'!B1492</f>
        <v>4413114</v>
      </c>
      <c r="B1236" s="18" t="str">
        <f aca="false">'CEMIUP0.9 Raw'!C1492</f>
        <v>49 XL מגן ירך</v>
      </c>
      <c r="C1236" s="18" t="str">
        <f aca="false">'CEMIUP0.9 Raw'!C1492</f>
        <v>49 XL מגן ירך</v>
      </c>
      <c r="D1236" s="19" t="n">
        <f aca="false">'CEMIUP0.9 Raw'!D1492</f>
        <v>53</v>
      </c>
      <c r="E1236" s="19" t="n">
        <f aca="false">'CEMIUP0.9 Raw'!E1492</f>
        <v>1377.376</v>
      </c>
      <c r="F1236" s="19" t="n">
        <f aca="false">'CEMIUP0.9 Raw'!F1492</f>
        <v>46.7368421052632</v>
      </c>
      <c r="G1236" s="19" t="n">
        <f aca="false">'CEMIUP0.9 Raw'!G1492</f>
        <v>1232.92547368421</v>
      </c>
      <c r="H1236" s="18" t="str">
        <f aca="false">'CEMIUP0.9 Raw'!A1492</f>
        <v>Super-Pharm Israel (CEMI internal group)</v>
      </c>
    </row>
    <row r="1237" customFormat="false" ht="15" hidden="false" customHeight="false" outlineLevel="0" collapsed="false">
      <c r="A1237" s="18" t="n">
        <f aca="false">'CEMIUP0.9 Raw'!B1603</f>
        <v>4413520</v>
      </c>
      <c r="B1237" s="18" t="str">
        <f aca="false">'CEMIUP0.9 Raw'!C1603</f>
        <v>מדרסי אפיק ג'ל מולט.ספורט35-38</v>
      </c>
      <c r="C1237" s="18" t="str">
        <f aca="false">'CEMIUP0.9 Raw'!C1603</f>
        <v>מדרסי אפיק ג'ל מולט.ספורט35-38</v>
      </c>
      <c r="D1237" s="19" t="n">
        <f aca="false">'CEMIUP0.9 Raw'!D1603</f>
        <v>869</v>
      </c>
      <c r="E1237" s="19" t="n">
        <f aca="false">'CEMIUP0.9 Raw'!E1603</f>
        <v>73319.064</v>
      </c>
      <c r="F1237" s="19" t="n">
        <f aca="false">'CEMIUP0.9 Raw'!F1603</f>
        <v>46.7368421052632</v>
      </c>
      <c r="G1237" s="19" t="n">
        <f aca="false">'CEMIUP0.9 Raw'!G1603</f>
        <v>4527.54694736842</v>
      </c>
      <c r="H1237" s="18" t="str">
        <f aca="false">'CEMIUP0.9 Raw'!A1603</f>
        <v>Super-Pharm Israel (CEMI internal group)</v>
      </c>
    </row>
    <row r="1238" customFormat="false" ht="15" hidden="false" customHeight="false" outlineLevel="0" collapsed="false">
      <c r="A1238" s="18" t="n">
        <f aca="false">'SALES Raw'!G681</f>
        <v>4422040</v>
      </c>
      <c r="B1238" s="18" t="str">
        <f aca="false">'SALES Raw'!B681</f>
        <v>SH422 4</v>
      </c>
      <c r="C1238" s="18" t="str">
        <f aca="false">'SALES Raw'!H681</f>
        <v>SH422 4 תומך ברך גנושילד</v>
      </c>
      <c r="D1238" s="19" t="n">
        <f aca="false">'SALES Raw'!C681</f>
        <v>42</v>
      </c>
      <c r="E1238" s="19" t="n">
        <f aca="false">'SALES Raw'!D681</f>
        <v>5041.2</v>
      </c>
      <c r="F1238" s="19" t="n">
        <f aca="false">'SALES Raw'!E681*$H$4</f>
        <v>46.7368421052632</v>
      </c>
      <c r="G1238" s="19" t="n">
        <f aca="false">'SALES Raw'!F681*$H$4</f>
        <v>5153.70947368421</v>
      </c>
      <c r="H1238" s="18" t="str">
        <f aca="false">'SALES Raw'!A681</f>
        <v>102 - Orthopedic institutes</v>
      </c>
    </row>
    <row r="1239" customFormat="false" ht="15" hidden="false" customHeight="false" outlineLevel="0" collapsed="false">
      <c r="A1239" s="18" t="n">
        <f aca="false">'SALES Raw'!G2068</f>
        <v>4408265</v>
      </c>
      <c r="B1239" s="18" t="str">
        <f aca="false">'SALES Raw'!B2068</f>
        <v>078 XXL</v>
      </c>
      <c r="C1239" s="18" t="str">
        <f aca="false">'SALES Raw'!H2068</f>
        <v>078XXL חגורת גב +סגירה כפולה</v>
      </c>
      <c r="D1239" s="19" t="n">
        <f aca="false">'SALES Raw'!C2068</f>
        <v>34</v>
      </c>
      <c r="E1239" s="19" t="n">
        <f aca="false">'SALES Raw'!D2068</f>
        <v>6847.67</v>
      </c>
      <c r="F1239" s="19" t="n">
        <f aca="false">'SALES Raw'!E2068*$H$4</f>
        <v>46.7368421052632</v>
      </c>
      <c r="G1239" s="19" t="n">
        <f aca="false">'SALES Raw'!F2068*$H$4</f>
        <v>9617.07789473684</v>
      </c>
      <c r="H1239" s="18" t="str">
        <f aca="false">'SALES Raw'!A2068</f>
        <v>114 - IL online</v>
      </c>
    </row>
    <row r="1240" customFormat="false" ht="15" hidden="false" customHeight="false" outlineLevel="0" collapsed="false">
      <c r="A1240" s="18" t="n">
        <f aca="false">'SALES Raw'!G2527</f>
        <v>4422031</v>
      </c>
      <c r="B1240" s="18" t="str">
        <f aca="false">'SALES Raw'!B2527</f>
        <v>807CB-C</v>
      </c>
      <c r="C1240" s="18" t="str">
        <f aca="false">'SALES Raw'!H2527</f>
        <v>807CB-Cתחבושת נצמדת בז' 20 מ""""מ</v>
      </c>
      <c r="D1240" s="19" t="n">
        <f aca="false">'SALES Raw'!C2527</f>
        <v>26</v>
      </c>
      <c r="E1240" s="19" t="n">
        <f aca="false">'SALES Raw'!D2527</f>
        <v>496.32</v>
      </c>
      <c r="F1240" s="19" t="n">
        <f aca="false">'SALES Raw'!E2527*$H$4</f>
        <v>46.7368421052632</v>
      </c>
      <c r="G1240" s="19" t="n">
        <f aca="false">'SALES Raw'!F2527*$H$4</f>
        <v>991.086315789474</v>
      </c>
      <c r="H1240" s="18" t="str">
        <f aca="false">'SALES Raw'!A2527</f>
        <v>114 - IL online</v>
      </c>
    </row>
    <row r="1241" customFormat="false" ht="15" hidden="false" customHeight="false" outlineLevel="0" collapsed="false">
      <c r="A1241" s="18" t="n">
        <f aca="false">'SALES Raw'!G2537</f>
        <v>4411015</v>
      </c>
      <c r="B1241" s="18" t="str">
        <f aca="false">'SALES Raw'!B2537</f>
        <v>820 0</v>
      </c>
      <c r="C1241" s="18" t="str">
        <f aca="false">'SALES Raw'!H2537</f>
        <v>820 0 כרית חום וקור</v>
      </c>
      <c r="D1241" s="19" t="n">
        <f aca="false">'SALES Raw'!C2537</f>
        <v>19</v>
      </c>
      <c r="E1241" s="19" t="n">
        <f aca="false">'SALES Raw'!D2537</f>
        <v>1463.4</v>
      </c>
      <c r="F1241" s="19" t="n">
        <f aca="false">'SALES Raw'!E2537*$H$4</f>
        <v>46.7368421052632</v>
      </c>
      <c r="G1241" s="19" t="n">
        <f aca="false">'SALES Raw'!F2537*$H$4</f>
        <v>3845.21684210526</v>
      </c>
      <c r="H1241" s="18" t="str">
        <f aca="false">'SALES Raw'!A2537</f>
        <v>114 - IL online</v>
      </c>
    </row>
    <row r="1242" customFormat="false" ht="15" hidden="false" customHeight="false" outlineLevel="0" collapsed="false">
      <c r="A1242" s="18" t="n">
        <f aca="false">'SALES Raw'!G2552</f>
        <v>4413455</v>
      </c>
      <c r="B1242" s="18" t="str">
        <f aca="false">'SALES Raw'!B2552</f>
        <v>85K 0</v>
      </c>
      <c r="C1242" s="18" t="str">
        <f aca="false">'SALES Raw'!H2552</f>
        <v>85K מתלה ליד לילדים</v>
      </c>
      <c r="D1242" s="19" t="n">
        <f aca="false">'SALES Raw'!C2552</f>
        <v>63</v>
      </c>
      <c r="E1242" s="19" t="n">
        <f aca="false">'SALES Raw'!D2552</f>
        <v>5676.34</v>
      </c>
      <c r="F1242" s="19" t="n">
        <f aca="false">'SALES Raw'!E2552*$H$4</f>
        <v>46.7368421052632</v>
      </c>
      <c r="G1242" s="19" t="n">
        <f aca="false">'SALES Raw'!F2552*$H$4</f>
        <v>4303.37684210526</v>
      </c>
      <c r="H1242" s="18" t="str">
        <f aca="false">'SALES Raw'!A2552</f>
        <v>114 - IL online</v>
      </c>
    </row>
    <row r="1243" customFormat="false" ht="15" hidden="false" customHeight="false" outlineLevel="0" collapsed="false">
      <c r="A1243" s="18" t="n">
        <f aca="false">'SALES Raw'!G2603</f>
        <v>4413330</v>
      </c>
      <c r="B1243" s="18" t="str">
        <f aca="false">'SALES Raw'!B2603</f>
        <v>AC49 0</v>
      </c>
      <c r="C1243" s="18" t="str">
        <f aca="false">'SALES Raw'!H2603</f>
        <v>AC49 מגן ירך</v>
      </c>
      <c r="D1243" s="19" t="n">
        <f aca="false">'SALES Raw'!C2603</f>
        <v>33</v>
      </c>
      <c r="E1243" s="19" t="n">
        <f aca="false">'SALES Raw'!D2603</f>
        <v>3431.61</v>
      </c>
      <c r="F1243" s="19" t="n">
        <f aca="false">'SALES Raw'!E2603*$H$4</f>
        <v>46.7368421052632</v>
      </c>
      <c r="G1243" s="19" t="n">
        <f aca="false">'SALES Raw'!F2603*$H$4</f>
        <v>5005.38947368421</v>
      </c>
      <c r="H1243" s="18" t="str">
        <f aca="false">'SALES Raw'!A2603</f>
        <v>114 - IL online</v>
      </c>
    </row>
    <row r="1244" customFormat="false" ht="15" hidden="false" customHeight="false" outlineLevel="0" collapsed="false">
      <c r="A1244" s="18" t="n">
        <f aca="false">'SALES Raw'!G2681</f>
        <v>4408268</v>
      </c>
      <c r="B1244" s="18" t="str">
        <f aca="false">'SALES Raw'!B2681</f>
        <v>ST20 0</v>
      </c>
      <c r="C1244" s="18" t="str">
        <f aca="false">'SALES Raw'!H2681</f>
        <v>ST20 חבק יד</v>
      </c>
      <c r="D1244" s="19" t="n">
        <f aca="false">'SALES Raw'!C2681</f>
        <v>40</v>
      </c>
      <c r="E1244" s="19" t="n">
        <f aca="false">'SALES Raw'!D2681</f>
        <v>1979.25</v>
      </c>
      <c r="F1244" s="19" t="n">
        <f aca="false">'SALES Raw'!E2681*$H$4</f>
        <v>46.7368421052632</v>
      </c>
      <c r="G1244" s="19" t="n">
        <f aca="false">'SALES Raw'!F2681*$H$4</f>
        <v>2304.56842105263</v>
      </c>
      <c r="H1244" s="18" t="str">
        <f aca="false">'SALES Raw'!A2681</f>
        <v>114 - IL online</v>
      </c>
    </row>
    <row r="1245" customFormat="false" ht="15" hidden="false" customHeight="false" outlineLevel="0" collapsed="false">
      <c r="A1245" s="18" t="n">
        <f aca="false">'SALES Raw'!G3776</f>
        <v>4408259</v>
      </c>
      <c r="B1245" s="18" t="str">
        <f aca="false">'SALES Raw'!B3776</f>
        <v>11STO S</v>
      </c>
      <c r="C1245" s="18" t="str">
        <f aca="false">'SALES Raw'!H3776</f>
        <v>11STO S חגורה אחרי ניתוח</v>
      </c>
      <c r="D1245" s="19" t="n">
        <f aca="false">'SALES Raw'!C3776</f>
        <v>82</v>
      </c>
      <c r="E1245" s="19" t="n">
        <f aca="false">'SALES Raw'!D3776</f>
        <v>5125.13</v>
      </c>
      <c r="F1245" s="19" t="n">
        <f aca="false">'SALES Raw'!E3776*$H$4</f>
        <v>46.7368421052632</v>
      </c>
      <c r="G1245" s="19" t="n">
        <f aca="false">'SALES Raw'!F3776*$H$4</f>
        <v>2883.62526315789</v>
      </c>
      <c r="H1245" s="18" t="str">
        <f aca="false">'SALES Raw'!A3776</f>
        <v>209 - Ortoprofil Prod ROMANIA</v>
      </c>
    </row>
    <row r="1246" customFormat="false" ht="15" hidden="false" customHeight="false" outlineLevel="0" collapsed="false">
      <c r="A1246" s="18" t="n">
        <f aca="false">'SALES Raw'!G3833</f>
        <v>4413524</v>
      </c>
      <c r="B1246" s="18" t="str">
        <f aca="false">'SALES Raw'!B3833</f>
        <v>379COM-39-42</v>
      </c>
      <c r="C1246" s="18" t="str">
        <f aca="false">'SALES Raw'!H3833</f>
        <v>39-42 מדרסי אפיק ג'ל נוחות</v>
      </c>
      <c r="D1246" s="19" t="n">
        <f aca="false">'SALES Raw'!C3833</f>
        <v>125</v>
      </c>
      <c r="E1246" s="19" t="n">
        <f aca="false">'SALES Raw'!D3833</f>
        <v>5731.88</v>
      </c>
      <c r="F1246" s="19" t="n">
        <f aca="false">'SALES Raw'!E3833*$H$4</f>
        <v>46.7368421052632</v>
      </c>
      <c r="G1246" s="19" t="n">
        <f aca="false">'SALES Raw'!F3833*$H$4</f>
        <v>1891.94526315789</v>
      </c>
      <c r="H1246" s="18" t="str">
        <f aca="false">'SALES Raw'!A3833</f>
        <v>209 - Ortoprofil Prod ROMANIA</v>
      </c>
    </row>
    <row r="1247" customFormat="false" ht="15" hidden="false" customHeight="false" outlineLevel="0" collapsed="false">
      <c r="A1247" s="18" t="n">
        <f aca="false">'SALES Raw'!G3855</f>
        <v>4413141</v>
      </c>
      <c r="B1247" s="18" t="str">
        <f aca="false">'SALES Raw'!B3855</f>
        <v>95 S</v>
      </c>
      <c r="C1247" s="18" t="str">
        <f aca="false">'SALES Raw'!H3855</f>
        <v>95 S מגן מרפק רגיל לבן</v>
      </c>
      <c r="D1247" s="19" t="n">
        <f aca="false">'SALES Raw'!C3855</f>
        <v>59</v>
      </c>
      <c r="E1247" s="19" t="n">
        <f aca="false">'SALES Raw'!D3855</f>
        <v>613.19</v>
      </c>
      <c r="F1247" s="19" t="n">
        <f aca="false">'SALES Raw'!E3855*$H$4</f>
        <v>46.7368421052632</v>
      </c>
      <c r="G1247" s="19" t="n">
        <f aca="false">'SALES Raw'!F3855*$H$4</f>
        <v>477.625263157895</v>
      </c>
      <c r="H1247" s="18" t="str">
        <f aca="false">'SALES Raw'!A3855</f>
        <v>209 - Ortoprofil Prod ROMANIA</v>
      </c>
    </row>
    <row r="1248" customFormat="false" ht="15" hidden="false" customHeight="false" outlineLevel="0" collapsed="false">
      <c r="A1248" s="18" t="n">
        <f aca="false">'SALES Raw'!G631</f>
        <v>4401001</v>
      </c>
      <c r="B1248" s="18" t="str">
        <f aca="false">'SALES Raw'!B631</f>
        <v>369-XL</v>
      </c>
      <c r="C1248" s="18" t="str">
        <f aca="false">'SALES Raw'!H631</f>
        <v>369   XL אצבעון מסיליקון יחידה</v>
      </c>
      <c r="D1248" s="19" t="n">
        <f aca="false">'SALES Raw'!C631</f>
        <v>75</v>
      </c>
      <c r="E1248" s="19" t="n">
        <f aca="false">'SALES Raw'!D631</f>
        <v>1911.92</v>
      </c>
      <c r="F1248" s="19" t="n">
        <f aca="false">'SALES Raw'!E631*$H$4</f>
        <v>45.4736842105263</v>
      </c>
      <c r="G1248" s="19" t="n">
        <f aca="false">'SALES Raw'!F631*$H$4</f>
        <v>1147.17473684211</v>
      </c>
      <c r="H1248" s="18" t="str">
        <f aca="false">'SALES Raw'!A631</f>
        <v>102 - Orthopedic institutes</v>
      </c>
    </row>
    <row r="1249" customFormat="false" ht="15" hidden="false" customHeight="false" outlineLevel="0" collapsed="false">
      <c r="A1249" s="18" t="n">
        <f aca="false">'SALES Raw'!G712</f>
        <v>4413059</v>
      </c>
      <c r="B1249" s="18" t="str">
        <f aca="false">'SALES Raw'!B712</f>
        <v>364-S-L</v>
      </c>
      <c r="C1249" s="18" t="str">
        <f aca="false">'SALES Raw'!H712</f>
        <v>364S Lמפר.אצבע סיליק. ליבל.זוג</v>
      </c>
      <c r="D1249" s="19" t="n">
        <f aca="false">'SALES Raw'!C712</f>
        <v>101</v>
      </c>
      <c r="E1249" s="19" t="n">
        <f aca="false">'SALES Raw'!D712</f>
        <v>1430.33</v>
      </c>
      <c r="F1249" s="19" t="n">
        <f aca="false">'SALES Raw'!E712*$H$4</f>
        <v>45.4736842105263</v>
      </c>
      <c r="G1249" s="19" t="n">
        <f aca="false">'SALES Raw'!F712*$H$4</f>
        <v>658.547368421053</v>
      </c>
      <c r="H1249" s="18" t="str">
        <f aca="false">'SALES Raw'!A712</f>
        <v>102 - Orthopedic institutes</v>
      </c>
    </row>
    <row r="1250" customFormat="false" ht="15" hidden="false" customHeight="false" outlineLevel="0" collapsed="false">
      <c r="A1250" s="18" t="n">
        <f aca="false">'SALES Raw'!G2252</f>
        <v>4413034</v>
      </c>
      <c r="B1250" s="18" t="str">
        <f aca="false">'SALES Raw'!B2252</f>
        <v>312 0</v>
      </c>
      <c r="C1250" s="18" t="str">
        <f aca="false">'SALES Raw'!H2252</f>
        <v>312 9 מ""""ס להתאמהX5 מדבקה גדולה</v>
      </c>
      <c r="D1250" s="19" t="n">
        <f aca="false">'SALES Raw'!C2252</f>
        <v>47</v>
      </c>
      <c r="E1250" s="19" t="n">
        <f aca="false">'SALES Raw'!D2252</f>
        <v>1772.16</v>
      </c>
      <c r="F1250" s="19" t="n">
        <f aca="false">'SALES Raw'!E2252*$H$4</f>
        <v>45.4736842105263</v>
      </c>
      <c r="G1250" s="19" t="n">
        <f aca="false">'SALES Raw'!F2252*$H$4</f>
        <v>1787.38105263158</v>
      </c>
      <c r="H1250" s="18" t="str">
        <f aca="false">'SALES Raw'!A2252</f>
        <v>114 - IL online</v>
      </c>
    </row>
    <row r="1251" customFormat="false" ht="15" hidden="false" customHeight="false" outlineLevel="0" collapsed="false">
      <c r="A1251" s="18" t="n">
        <f aca="false">'SALES Raw'!G3843</f>
        <v>4413094</v>
      </c>
      <c r="B1251" s="18" t="str">
        <f aca="false">'SALES Raw'!B3843</f>
        <v>45 S</v>
      </c>
      <c r="C1251" s="18" t="str">
        <f aca="false">'SALES Raw'!H3843</f>
        <v>45 S מגן ברך לבן</v>
      </c>
      <c r="D1251" s="19" t="n">
        <f aca="false">'SALES Raw'!C3843</f>
        <v>26</v>
      </c>
      <c r="E1251" s="19" t="n">
        <f aca="false">'SALES Raw'!D3843</f>
        <v>269.78</v>
      </c>
      <c r="F1251" s="19" t="n">
        <f aca="false">'SALES Raw'!E3843*$H$4</f>
        <v>45.4736842105263</v>
      </c>
      <c r="G1251" s="19" t="n">
        <f aca="false">'SALES Raw'!F3843*$H$4</f>
        <v>468.012631578947</v>
      </c>
      <c r="H1251" s="18" t="str">
        <f aca="false">'SALES Raw'!A3843</f>
        <v>209 - Ortoprofil Prod ROMANIA</v>
      </c>
    </row>
    <row r="1252" customFormat="false" ht="15" hidden="false" customHeight="false" outlineLevel="0" collapsed="false">
      <c r="A1252" s="18" t="n">
        <f aca="false">'SALES Raw'!G3846</f>
        <v>4413096</v>
      </c>
      <c r="B1252" s="18" t="str">
        <f aca="false">'SALES Raw'!B3846</f>
        <v>45 XXL</v>
      </c>
      <c r="C1252" s="18" t="str">
        <f aca="false">'SALES Raw'!H3846</f>
        <v>45 XXL מגן ברך לבן</v>
      </c>
      <c r="D1252" s="19" t="n">
        <f aca="false">'SALES Raw'!C3846</f>
        <v>145</v>
      </c>
      <c r="E1252" s="19" t="n">
        <f aca="false">'SALES Raw'!D3846</f>
        <v>1506.46</v>
      </c>
      <c r="F1252" s="19" t="n">
        <f aca="false">'SALES Raw'!E3846*$H$4</f>
        <v>45.4736842105263</v>
      </c>
      <c r="G1252" s="19" t="n">
        <f aca="false">'SALES Raw'!F3846*$H$4</f>
        <v>467.204210526316</v>
      </c>
      <c r="H1252" s="18" t="str">
        <f aca="false">'SALES Raw'!A3846</f>
        <v>209 - Ortoprofil Prod ROMANIA</v>
      </c>
    </row>
    <row r="1253" customFormat="false" ht="15" hidden="false" customHeight="false" outlineLevel="0" collapsed="false">
      <c r="A1253" s="18" t="str">
        <f aca="false">'SALES Raw'!G4203</f>
        <v/>
      </c>
      <c r="B1253" s="18" t="str">
        <f aca="false">'SALES Raw'!B4203</f>
        <v>305-43-44</v>
      </c>
      <c r="C1253" s="18" t="str">
        <f aca="false">'SALES Raw'!H4203</f>
        <v>305-43-44</v>
      </c>
      <c r="D1253" s="19" t="n">
        <f aca="false">'SALES Raw'!C4203</f>
        <v>26</v>
      </c>
      <c r="E1253" s="19" t="n">
        <f aca="false">'SALES Raw'!D4203</f>
        <v>1010.16</v>
      </c>
      <c r="F1253" s="19" t="n">
        <f aca="false">'SALES Raw'!E4203*$H$4</f>
        <v>45.4736842105263</v>
      </c>
      <c r="G1253" s="19" t="n">
        <f aca="false">'SALES Raw'!F4203*$H$4</f>
        <v>1559.65894736842</v>
      </c>
      <c r="H1253" s="18" t="str">
        <f aca="false">'SALES Raw'!A4203</f>
        <v>216 - Max Konnaris CYPRUS</v>
      </c>
    </row>
    <row r="1254" customFormat="false" ht="15" hidden="false" customHeight="false" outlineLevel="0" collapsed="false">
      <c r="A1254" s="18" t="n">
        <f aca="false">'CEMIUP0.9 Raw'!B201</f>
        <v>4411015</v>
      </c>
      <c r="B1254" s="18" t="str">
        <f aca="false">'CEMIUP0.9 Raw'!C201</f>
        <v>820 0 כרית חום וקור</v>
      </c>
      <c r="C1254" s="18" t="str">
        <f aca="false">'CEMIUP0.9 Raw'!C201</f>
        <v>820 0 כרית חום וקור</v>
      </c>
      <c r="D1254" s="19" t="n">
        <f aca="false">'CEMIUP0.9 Raw'!D201</f>
        <v>50</v>
      </c>
      <c r="E1254" s="19" t="n">
        <f aca="false">'CEMIUP0.9 Raw'!E201</f>
        <v>2118.642</v>
      </c>
      <c r="F1254" s="19" t="n">
        <f aca="false">'CEMIUP0.9 Raw'!F201</f>
        <v>45.4736842105263</v>
      </c>
      <c r="G1254" s="19" t="n">
        <f aca="false">'CEMIUP0.9 Raw'!G201</f>
        <v>1928.12715789474</v>
      </c>
      <c r="H1254" s="18" t="str">
        <f aca="false">'CEMIUP0.9 Raw'!A201</f>
        <v>107 - Pharmacies</v>
      </c>
    </row>
    <row r="1255" customFormat="false" ht="15" hidden="false" customHeight="false" outlineLevel="0" collapsed="false">
      <c r="A1255" s="18" t="n">
        <f aca="false">'CEMIUP0.9 Raw'!B486</f>
        <v>4415072</v>
      </c>
      <c r="B1255" s="18" t="str">
        <f aca="false">'CEMIUP0.9 Raw'!C486</f>
        <v>T28A S-M סד לאגודל</v>
      </c>
      <c r="C1255" s="18" t="str">
        <f aca="false">'CEMIUP0.9 Raw'!C486</f>
        <v>T28A S-M סד לאגודל</v>
      </c>
      <c r="D1255" s="19" t="n">
        <f aca="false">'CEMIUP0.9 Raw'!D486</f>
        <v>47</v>
      </c>
      <c r="E1255" s="19" t="n">
        <f aca="false">'CEMIUP0.9 Raw'!E486</f>
        <v>2861.313</v>
      </c>
      <c r="F1255" s="19" t="n">
        <f aca="false">'CEMIUP0.9 Raw'!F486</f>
        <v>45.4736842105263</v>
      </c>
      <c r="G1255" s="19" t="n">
        <f aca="false">'CEMIUP0.9 Raw'!G486</f>
        <v>2787.93347368421</v>
      </c>
      <c r="H1255" s="18" t="str">
        <f aca="false">'CEMIUP0.9 Raw'!A486</f>
        <v>107 - Pharmacies</v>
      </c>
    </row>
    <row r="1256" customFormat="false" ht="15" hidden="false" customHeight="false" outlineLevel="0" collapsed="false">
      <c r="A1256" s="18" t="n">
        <f aca="false">'CEMIUP0.9 Raw'!B554</f>
        <v>4420024</v>
      </c>
      <c r="B1256" s="18" t="str">
        <f aca="false">'CEMIUP0.9 Raw'!C554</f>
        <v>LFריפוד סיליק.לכרית כף הרגל373</v>
      </c>
      <c r="C1256" s="18" t="str">
        <f aca="false">'CEMIUP0.9 Raw'!C554</f>
        <v>LFריפוד סיליק.לכרית כף הרגל373</v>
      </c>
      <c r="D1256" s="19" t="n">
        <f aca="false">'CEMIUP0.9 Raw'!D554</f>
        <v>54</v>
      </c>
      <c r="E1256" s="19" t="n">
        <f aca="false">'CEMIUP0.9 Raw'!E554</f>
        <v>976.339</v>
      </c>
      <c r="F1256" s="19" t="n">
        <f aca="false">'CEMIUP0.9 Raw'!F554</f>
        <v>45.4736842105263</v>
      </c>
      <c r="G1256" s="19" t="n">
        <f aca="false">'CEMIUP0.9 Raw'!G554</f>
        <v>864.511578947368</v>
      </c>
      <c r="H1256" s="18" t="str">
        <f aca="false">'CEMIUP0.9 Raw'!A554</f>
        <v>107 - Pharmacies</v>
      </c>
    </row>
    <row r="1257" customFormat="false" ht="15" hidden="false" customHeight="false" outlineLevel="0" collapsed="false">
      <c r="A1257" s="18" t="n">
        <f aca="false">'CEMIUP0.9 Raw'!B846</f>
        <v>4415080</v>
      </c>
      <c r="B1257" s="18" t="str">
        <f aca="false">'CEMIUP0.9 Raw'!C846</f>
        <v>PD346-10 סכינים למקצוע</v>
      </c>
      <c r="C1257" s="18" t="str">
        <f aca="false">'CEMIUP0.9 Raw'!C846</f>
        <v>PD346-10 סכינים למקצוע</v>
      </c>
      <c r="D1257" s="19" t="n">
        <f aca="false">'CEMIUP0.9 Raw'!D846</f>
        <v>58</v>
      </c>
      <c r="E1257" s="19" t="n">
        <f aca="false">'CEMIUP0.9 Raw'!E846</f>
        <v>394.4</v>
      </c>
      <c r="F1257" s="19" t="n">
        <f aca="false">'CEMIUP0.9 Raw'!F846</f>
        <v>45.4736842105263</v>
      </c>
      <c r="G1257" s="19" t="n">
        <f aca="false">'CEMIUP0.9 Raw'!G846</f>
        <v>296.079157894737</v>
      </c>
      <c r="H1257" s="18" t="str">
        <f aca="false">'CEMIUP0.9 Raw'!A846</f>
        <v>113 - Kupat Holim Meuhedet</v>
      </c>
    </row>
    <row r="1258" customFormat="false" ht="15" hidden="false" customHeight="false" outlineLevel="0" collapsed="false">
      <c r="A1258" s="18" t="str">
        <f aca="false">'CEMIUP0.9 Raw'!B895</f>
        <v>11 XL""חגורת בטן""אורירית</v>
      </c>
      <c r="B1258" s="18" t="str">
        <f aca="false">'CEMIUP0.9 Raw'!C895</f>
        <v>11 XL""חגורת בטן""אורירית</v>
      </c>
      <c r="C1258" s="18" t="str">
        <f aca="false">'CEMIUP0.9 Raw'!C895</f>
        <v>11 XL""חגורת בטן""אורירית</v>
      </c>
      <c r="D1258" s="19" t="n">
        <f aca="false">'CEMIUP0.9 Raw'!D895</f>
        <v>0</v>
      </c>
      <c r="E1258" s="19" t="n">
        <f aca="false">'CEMIUP0.9 Raw'!E895</f>
        <v>0</v>
      </c>
      <c r="F1258" s="19" t="n">
        <f aca="false">'CEMIUP0.9 Raw'!F895</f>
        <v>45.4736842105263</v>
      </c>
      <c r="G1258" s="19" t="n">
        <f aca="false">'CEMIUP0.9 Raw'!G895</f>
        <v>2910.35242105263</v>
      </c>
      <c r="H1258" s="18" t="str">
        <f aca="false">'CEMIUP0.9 Raw'!A895</f>
        <v>113 - Kupat Holim Meuhedet</v>
      </c>
    </row>
    <row r="1259" customFormat="false" ht="15" hidden="false" customHeight="false" outlineLevel="0" collapsed="false">
      <c r="A1259" s="18" t="n">
        <f aca="false">'CEMIUP0.9 Raw'!B1369</f>
        <v>4408190</v>
      </c>
      <c r="B1259" s="18" t="str">
        <f aca="false">'CEMIUP0.9 Raw'!C1369</f>
        <v>M078 חגורת גב +סגירה כפולה</v>
      </c>
      <c r="C1259" s="18" t="str">
        <f aca="false">'CEMIUP0.9 Raw'!C1369</f>
        <v>M078 חגורת גב +סגירה כפולה</v>
      </c>
      <c r="D1259" s="19" t="n">
        <f aca="false">'CEMIUP0.9 Raw'!D1369</f>
        <v>65</v>
      </c>
      <c r="E1259" s="19" t="n">
        <f aca="false">'CEMIUP0.9 Raw'!E1369</f>
        <v>5654.376</v>
      </c>
      <c r="F1259" s="19" t="n">
        <f aca="false">'CEMIUP0.9 Raw'!F1369</f>
        <v>45.4736842105263</v>
      </c>
      <c r="G1259" s="19" t="n">
        <f aca="false">'CEMIUP0.9 Raw'!G1369</f>
        <v>4189.37178947369</v>
      </c>
      <c r="H1259" s="18" t="str">
        <f aca="false">'CEMIUP0.9 Raw'!A1369</f>
        <v>Super-Pharm Israel (CEMI internal group)</v>
      </c>
    </row>
    <row r="1260" customFormat="false" ht="15" hidden="false" customHeight="false" outlineLevel="0" collapsed="false">
      <c r="A1260" s="18" t="n">
        <f aca="false">'CEMIUP0.9 Raw'!B1444</f>
        <v>4413046</v>
      </c>
      <c r="B1260" s="18" t="str">
        <f aca="false">'CEMIUP0.9 Raw'!C1444</f>
        <v>34 XXL מגן קרסול עקב סגור</v>
      </c>
      <c r="C1260" s="18" t="str">
        <f aca="false">'CEMIUP0.9 Raw'!C1444</f>
        <v>34 XXL מגן קרסול עקב סגור</v>
      </c>
      <c r="D1260" s="19" t="n">
        <f aca="false">'CEMIUP0.9 Raw'!D1444</f>
        <v>54</v>
      </c>
      <c r="E1260" s="19" t="n">
        <f aca="false">'CEMIUP0.9 Raw'!E1444</f>
        <v>1845.935</v>
      </c>
      <c r="F1260" s="19" t="n">
        <f aca="false">'CEMIUP0.9 Raw'!F1444</f>
        <v>45.4736842105263</v>
      </c>
      <c r="G1260" s="19" t="n">
        <f aca="false">'CEMIUP0.9 Raw'!G1444</f>
        <v>1577.76757894737</v>
      </c>
      <c r="H1260" s="18" t="str">
        <f aca="false">'CEMIUP0.9 Raw'!A1444</f>
        <v>Super-Pharm Israel (CEMI internal group)</v>
      </c>
    </row>
    <row r="1261" customFormat="false" ht="15" hidden="false" customHeight="false" outlineLevel="0" collapsed="false">
      <c r="A1261" s="18" t="n">
        <f aca="false">'CEMIUP0.9 Raw'!B158</f>
        <v>4408222</v>
      </c>
      <c r="B1261" s="18" t="str">
        <f aca="false">'CEMIUP0.9 Raw'!C158</f>
        <v>078G-XLחגורת גב אפורה</v>
      </c>
      <c r="C1261" s="18" t="str">
        <f aca="false">'CEMIUP0.9 Raw'!C158</f>
        <v>078G-XLחגורת גב אפורה</v>
      </c>
      <c r="D1261" s="19" t="n">
        <f aca="false">'CEMIUP0.9 Raw'!D158</f>
        <v>54</v>
      </c>
      <c r="E1261" s="19" t="n">
        <f aca="false">'CEMIUP0.9 Raw'!E158</f>
        <v>5464.809</v>
      </c>
      <c r="F1261" s="19" t="n">
        <f aca="false">'CEMIUP0.9 Raw'!F158</f>
        <v>44.2105263157895</v>
      </c>
      <c r="G1261" s="19" t="n">
        <f aca="false">'CEMIUP0.9 Raw'!G158</f>
        <v>4383.74778947368</v>
      </c>
      <c r="H1261" s="18" t="str">
        <f aca="false">'CEMIUP0.9 Raw'!A158</f>
        <v>107 - Pharmacies</v>
      </c>
    </row>
    <row r="1262" customFormat="false" ht="15" hidden="false" customHeight="false" outlineLevel="0" collapsed="false">
      <c r="A1262" s="18" t="n">
        <f aca="false">'CEMIUP0.9 Raw'!B193</f>
        <v>4409012</v>
      </c>
      <c r="B1262" s="18" t="str">
        <f aca="false">'CEMIUP0.9 Raw'!C193</f>
        <v>804AT-C      טייפ חבישה לספורט</v>
      </c>
      <c r="C1262" s="18" t="str">
        <f aca="false">'CEMIUP0.9 Raw'!C193</f>
        <v>804AT-C      טייפ חבישה לספורט</v>
      </c>
      <c r="D1262" s="19" t="n">
        <f aca="false">'CEMIUP0.9 Raw'!D193</f>
        <v>41</v>
      </c>
      <c r="E1262" s="19" t="n">
        <f aca="false">'CEMIUP0.9 Raw'!E193</f>
        <v>558.376</v>
      </c>
      <c r="F1262" s="19" t="n">
        <f aca="false">'CEMIUP0.9 Raw'!F193</f>
        <v>44.2105263157895</v>
      </c>
      <c r="G1262" s="19" t="n">
        <f aca="false">'CEMIUP0.9 Raw'!G193</f>
        <v>690.488842105263</v>
      </c>
      <c r="H1262" s="18" t="str">
        <f aca="false">'CEMIUP0.9 Raw'!A193</f>
        <v>107 - Pharmacies</v>
      </c>
    </row>
    <row r="1263" customFormat="false" ht="15" hidden="false" customHeight="false" outlineLevel="0" collapsed="false">
      <c r="A1263" s="18" t="n">
        <f aca="false">'CEMIUP0.9 Raw'!B388</f>
        <v>4413367</v>
      </c>
      <c r="B1263" s="18" t="str">
        <f aca="false">'CEMIUP0.9 Raw'!C388</f>
        <v>95C XL'מגן מרפק בז</v>
      </c>
      <c r="C1263" s="18" t="str">
        <f aca="false">'CEMIUP0.9 Raw'!C388</f>
        <v>95C XL'מגן מרפק בז</v>
      </c>
      <c r="D1263" s="19" t="n">
        <f aca="false">'CEMIUP0.9 Raw'!D388</f>
        <v>51</v>
      </c>
      <c r="E1263" s="19" t="n">
        <f aca="false">'CEMIUP0.9 Raw'!E388</f>
        <v>1405.122</v>
      </c>
      <c r="F1263" s="19" t="n">
        <f aca="false">'CEMIUP0.9 Raw'!F388</f>
        <v>44.2105263157895</v>
      </c>
      <c r="G1263" s="19" t="n">
        <f aca="false">'CEMIUP0.9 Raw'!G388</f>
        <v>1209.47621052632</v>
      </c>
      <c r="H1263" s="18" t="str">
        <f aca="false">'CEMIUP0.9 Raw'!A388</f>
        <v>107 - Pharmacies</v>
      </c>
    </row>
    <row r="1264" customFormat="false" ht="15" hidden="false" customHeight="false" outlineLevel="0" collapsed="false">
      <c r="A1264" s="18" t="n">
        <f aca="false">'CEMIUP0.9 Raw'!B851</f>
        <v>4415299</v>
      </c>
      <c r="B1264" s="18" t="str">
        <f aca="false">'CEMIUP0.9 Raw'!C851</f>
        <v>388B L סד לילה שחור לבוהן ימין</v>
      </c>
      <c r="C1264" s="18" t="str">
        <f aca="false">'CEMIUP0.9 Raw'!C851</f>
        <v>388B L סד לילה שחור לבוהן ימין</v>
      </c>
      <c r="D1264" s="19" t="n">
        <f aca="false">'CEMIUP0.9 Raw'!D851</f>
        <v>38</v>
      </c>
      <c r="E1264" s="19" t="n">
        <f aca="false">'CEMIUP0.9 Raw'!E851</f>
        <v>1596</v>
      </c>
      <c r="F1264" s="19" t="n">
        <f aca="false">'CEMIUP0.9 Raw'!F851</f>
        <v>44.2105263157895</v>
      </c>
      <c r="G1264" s="19" t="n">
        <f aca="false">'CEMIUP0.9 Raw'!G851</f>
        <v>1727.92421052632</v>
      </c>
      <c r="H1264" s="18" t="str">
        <f aca="false">'CEMIUP0.9 Raw'!A851</f>
        <v>113 - Kupat Holim Meuhedet</v>
      </c>
    </row>
    <row r="1265" customFormat="false" ht="15" hidden="false" customHeight="false" outlineLevel="0" collapsed="false">
      <c r="A1265" s="18" t="n">
        <f aca="false">'CEMIUP0.9 Raw'!B854</f>
        <v>4416002</v>
      </c>
      <c r="B1265" s="18" t="str">
        <f aca="false">'CEMIUP0.9 Raw'!C854</f>
        <v>307 S עקבים לדורבן-זוג כריות</v>
      </c>
      <c r="C1265" s="18" t="str">
        <f aca="false">'CEMIUP0.9 Raw'!C854</f>
        <v>307 S עקבים לדורבן-זוג כריות</v>
      </c>
      <c r="D1265" s="19" t="n">
        <f aca="false">'CEMIUP0.9 Raw'!D854</f>
        <v>65</v>
      </c>
      <c r="E1265" s="19" t="n">
        <f aca="false">'CEMIUP0.9 Raw'!E854</f>
        <v>4112.55</v>
      </c>
      <c r="F1265" s="19" t="n">
        <f aca="false">'CEMIUP0.9 Raw'!F854</f>
        <v>44.2105263157895</v>
      </c>
      <c r="G1265" s="19" t="n">
        <f aca="false">'CEMIUP0.9 Raw'!G854</f>
        <v>2782.80252631579</v>
      </c>
      <c r="H1265" s="18" t="str">
        <f aca="false">'CEMIUP0.9 Raw'!A854</f>
        <v>113 - Kupat Holim Meuhedet</v>
      </c>
    </row>
    <row r="1266" customFormat="false" ht="15" hidden="false" customHeight="false" outlineLevel="0" collapsed="false">
      <c r="A1266" s="18" t="n">
        <f aca="false">'SALES Raw'!G604</f>
        <v>4413204</v>
      </c>
      <c r="B1266" s="18" t="str">
        <f aca="false">'SALES Raw'!B604</f>
        <v>87 XXL</v>
      </c>
      <c r="C1266" s="18" t="str">
        <f aca="false">'SALES Raw'!H604</f>
        <v>87 XXL מקבע כתף ויד</v>
      </c>
      <c r="D1266" s="19" t="n">
        <f aca="false">'SALES Raw'!C604</f>
        <v>51</v>
      </c>
      <c r="E1266" s="19" t="n">
        <f aca="false">'SALES Raw'!D604</f>
        <v>7010.04</v>
      </c>
      <c r="F1266" s="19" t="n">
        <f aca="false">'SALES Raw'!E604*$H$4</f>
        <v>44.2105263157895</v>
      </c>
      <c r="G1266" s="19" t="n">
        <f aca="false">'SALES Raw'!F604*$H$4</f>
        <v>6189.52421052632</v>
      </c>
      <c r="H1266" s="18" t="str">
        <f aca="false">'SALES Raw'!A604</f>
        <v>102 - Orthopedic institutes</v>
      </c>
    </row>
    <row r="1267" customFormat="false" ht="15" hidden="false" customHeight="false" outlineLevel="0" collapsed="false">
      <c r="A1267" s="18" t="n">
        <f aca="false">'SALES Raw'!G2273</f>
        <v>4403040</v>
      </c>
      <c r="B1267" s="18" t="str">
        <f aca="false">'SALES Raw'!B2273</f>
        <v>3444B 0</v>
      </c>
      <c r="C1267" s="18" t="str">
        <f aca="false">'SALES Raw'!H2273</f>
        <v>3444B גרבי ג'ל לריכוך עור העקב</v>
      </c>
      <c r="D1267" s="19" t="n">
        <f aca="false">'SALES Raw'!C2273</f>
        <v>17</v>
      </c>
      <c r="E1267" s="19" t="n">
        <f aca="false">'SALES Raw'!D2273</f>
        <v>1083.19</v>
      </c>
      <c r="F1267" s="19" t="n">
        <f aca="false">'SALES Raw'!E2273*$H$4</f>
        <v>44.2105263157895</v>
      </c>
      <c r="G1267" s="19" t="n">
        <f aca="false">'SALES Raw'!F2273*$H$4</f>
        <v>2912.14736842105</v>
      </c>
      <c r="H1267" s="18" t="str">
        <f aca="false">'SALES Raw'!A2273</f>
        <v>114 - IL online</v>
      </c>
    </row>
    <row r="1268" customFormat="false" ht="15" hidden="false" customHeight="false" outlineLevel="0" collapsed="false">
      <c r="A1268" s="18" t="str">
        <f aca="false">'SALES Raw'!G2685</f>
        <v/>
      </c>
      <c r="B1268" s="18" t="str">
        <f aca="false">'SALES Raw'!B2685</f>
        <v>ST27R 0</v>
      </c>
      <c r="C1268" s="18" t="str">
        <f aca="false">'SALES Raw'!H2685</f>
        <v>ST27R 0</v>
      </c>
      <c r="D1268" s="19" t="n">
        <f aca="false">'SALES Raw'!C2685</f>
        <v>58</v>
      </c>
      <c r="E1268" s="19" t="n">
        <f aca="false">'SALES Raw'!D2685</f>
        <v>4518.28</v>
      </c>
      <c r="F1268" s="19" t="n">
        <f aca="false">'SALES Raw'!E2685*$H$4</f>
        <v>44.2105263157895</v>
      </c>
      <c r="G1268" s="19" t="n">
        <f aca="false">'SALES Raw'!F2685*$H$4</f>
        <v>3662.71578947368</v>
      </c>
      <c r="H1268" s="18" t="str">
        <f aca="false">'SALES Raw'!A2685</f>
        <v>114 - IL online</v>
      </c>
    </row>
    <row r="1269" customFormat="false" ht="15" hidden="false" customHeight="false" outlineLevel="0" collapsed="false">
      <c r="A1269" s="18" t="n">
        <f aca="false">'SALES Raw'!G3173</f>
        <v>4415001</v>
      </c>
      <c r="B1269" s="18" t="str">
        <f aca="false">'SALES Raw'!B3173</f>
        <v>26 M</v>
      </c>
      <c r="C1269" s="18" t="str">
        <f aca="false">'SALES Raw'!H3173</f>
        <v>26 M סד ליד דו צדדי לאחר שבר</v>
      </c>
      <c r="D1269" s="19" t="n">
        <f aca="false">'SALES Raw'!C3173</f>
        <v>73</v>
      </c>
      <c r="E1269" s="19" t="n">
        <f aca="false">'SALES Raw'!D3173</f>
        <v>3190.5</v>
      </c>
      <c r="F1269" s="19" t="n">
        <f aca="false">'SALES Raw'!E3173*$H$4</f>
        <v>44.2105263157895</v>
      </c>
      <c r="G1269" s="19" t="n">
        <f aca="false">'SALES Raw'!F3173*$H$4</f>
        <v>1733.54526315789</v>
      </c>
      <c r="H1269" s="18" t="str">
        <f aca="false">'SALES Raw'!A3173</f>
        <v>204 - Sanaflex Anatomic GREECE</v>
      </c>
    </row>
    <row r="1270" customFormat="false" ht="15" hidden="false" customHeight="false" outlineLevel="0" collapsed="false">
      <c r="A1270" s="18" t="n">
        <f aca="false">'SALES Raw'!G3476</f>
        <v>4408047</v>
      </c>
      <c r="B1270" s="18" t="str">
        <f aca="false">'SALES Raw'!B3476</f>
        <v>20 M</v>
      </c>
      <c r="C1270" s="18" t="str">
        <f aca="false">'SALES Raw'!H3476</f>
        <v>20 M חבק יד מתכוון עם צמדן</v>
      </c>
      <c r="D1270" s="19" t="n">
        <f aca="false">'SALES Raw'!C3476</f>
        <v>15</v>
      </c>
      <c r="E1270" s="19" t="n">
        <f aca="false">'SALES Raw'!D3476</f>
        <v>215.02</v>
      </c>
      <c r="F1270" s="19" t="n">
        <f aca="false">'SALES Raw'!E3476*$H$4</f>
        <v>44.2105263157895</v>
      </c>
      <c r="G1270" s="19" t="n">
        <f aca="false">'SALES Raw'!F3476*$H$4</f>
        <v>623.014736842105</v>
      </c>
      <c r="H1270" s="18" t="str">
        <f aca="false">'SALES Raw'!A3476</f>
        <v>207 - Salus HUNGARY</v>
      </c>
    </row>
    <row r="1271" customFormat="false" ht="15" hidden="false" customHeight="false" outlineLevel="0" collapsed="false">
      <c r="A1271" s="18" t="n">
        <f aca="false">'SALES Raw'!G3545</f>
        <v>4413370</v>
      </c>
      <c r="B1271" s="18" t="str">
        <f aca="false">'SALES Raw'!B3545</f>
        <v>3674 0</v>
      </c>
      <c r="C1271" s="18" t="str">
        <f aca="false">'SALES Raw'!H3545</f>
        <v>3674 0 מ.בוניון+מפריד אצבע</v>
      </c>
      <c r="D1271" s="19" t="n">
        <f aca="false">'SALES Raw'!C3545</f>
        <v>40</v>
      </c>
      <c r="E1271" s="19" t="n">
        <f aca="false">'SALES Raw'!D3545</f>
        <v>611.26</v>
      </c>
      <c r="F1271" s="19" t="n">
        <f aca="false">'SALES Raw'!E3545*$H$4</f>
        <v>44.2105263157895</v>
      </c>
      <c r="G1271" s="19" t="n">
        <f aca="false">'SALES Raw'!F3545*$H$4</f>
        <v>680.728421052632</v>
      </c>
      <c r="H1271" s="18" t="str">
        <f aca="false">'SALES Raw'!A3545</f>
        <v>207 - Salus HUNGARY</v>
      </c>
    </row>
    <row r="1272" customFormat="false" ht="15" hidden="false" customHeight="false" outlineLevel="0" collapsed="false">
      <c r="A1272" s="18" t="n">
        <f aca="false">'SALES Raw'!G3549</f>
        <v>4401001</v>
      </c>
      <c r="B1272" s="18" t="str">
        <f aca="false">'SALES Raw'!B3549</f>
        <v>369-XL</v>
      </c>
      <c r="C1272" s="18" t="str">
        <f aca="false">'SALES Raw'!H3549</f>
        <v>369   XL אצבעון מסיליקון יחידה</v>
      </c>
      <c r="D1272" s="19" t="n">
        <f aca="false">'SALES Raw'!C3549</f>
        <v>36</v>
      </c>
      <c r="E1272" s="19" t="n">
        <f aca="false">'SALES Raw'!D3549</f>
        <v>395.39</v>
      </c>
      <c r="F1272" s="19" t="n">
        <f aca="false">'SALES Raw'!E3549*$H$4</f>
        <v>44.2105263157895</v>
      </c>
      <c r="G1272" s="19" t="n">
        <f aca="false">'SALES Raw'!F3549*$H$4</f>
        <v>471.890526315789</v>
      </c>
      <c r="H1272" s="18" t="str">
        <f aca="false">'SALES Raw'!A3549</f>
        <v>207 - Salus HUNGARY</v>
      </c>
    </row>
    <row r="1273" customFormat="false" ht="15" hidden="false" customHeight="false" outlineLevel="0" collapsed="false">
      <c r="A1273" s="18" t="str">
        <f aca="false">'SALES Raw'!G3557</f>
        <v/>
      </c>
      <c r="B1273" s="18" t="str">
        <f aca="false">'SALES Raw'!B3557</f>
        <v>376-44-45</v>
      </c>
      <c r="C1273" s="18" t="str">
        <f aca="false">'SALES Raw'!H3557</f>
        <v>376-44-45</v>
      </c>
      <c r="D1273" s="19" t="n">
        <f aca="false">'SALES Raw'!C3557</f>
        <v>5</v>
      </c>
      <c r="E1273" s="19" t="n">
        <f aca="false">'SALES Raw'!D3557</f>
        <v>68.97</v>
      </c>
      <c r="F1273" s="19" t="n">
        <f aca="false">'SALES Raw'!E3557*$H$4</f>
        <v>44.2105263157895</v>
      </c>
      <c r="G1273" s="19" t="n">
        <f aca="false">'SALES Raw'!F3557*$H$4</f>
        <v>614.475789473684</v>
      </c>
      <c r="H1273" s="18" t="str">
        <f aca="false">'SALES Raw'!A3557</f>
        <v>207 - Salus HUNGARY</v>
      </c>
    </row>
    <row r="1274" customFormat="false" ht="15" hidden="false" customHeight="false" outlineLevel="0" collapsed="false">
      <c r="A1274" s="18" t="n">
        <f aca="false">'SALES Raw'!G3634</f>
        <v>4408206</v>
      </c>
      <c r="B1274" s="18" t="str">
        <f aca="false">'SALES Raw'!B3634</f>
        <v>AC11 0</v>
      </c>
      <c r="C1274" s="18" t="str">
        <f aca="false">'SALES Raw'!H3634</f>
        <v>AC-11 חגורת בטן קלה</v>
      </c>
      <c r="D1274" s="19" t="n">
        <f aca="false">'SALES Raw'!C3634</f>
        <v>50</v>
      </c>
      <c r="E1274" s="19" t="n">
        <f aca="false">'SALES Raw'!D3634</f>
        <v>1609.3</v>
      </c>
      <c r="F1274" s="19" t="n">
        <f aca="false">'SALES Raw'!E3634*$H$4</f>
        <v>44.2105263157895</v>
      </c>
      <c r="G1274" s="19" t="n">
        <f aca="false">'SALES Raw'!F3634*$H$4</f>
        <v>1398.83368421053</v>
      </c>
      <c r="H1274" s="18" t="str">
        <f aca="false">'SALES Raw'!A3634</f>
        <v>207 - Salus HUNGARY</v>
      </c>
    </row>
    <row r="1275" customFormat="false" ht="15" hidden="false" customHeight="false" outlineLevel="0" collapsed="false">
      <c r="A1275" s="18" t="n">
        <f aca="false">'SALES Raw'!G3854</f>
        <v>4413140</v>
      </c>
      <c r="B1275" s="18" t="str">
        <f aca="false">'SALES Raw'!B3854</f>
        <v>95 M</v>
      </c>
      <c r="C1275" s="18" t="str">
        <f aca="false">'SALES Raw'!H3854</f>
        <v>95 M מגן מרפק רגיל לבן</v>
      </c>
      <c r="D1275" s="19" t="n">
        <f aca="false">'SALES Raw'!C3854</f>
        <v>65</v>
      </c>
      <c r="E1275" s="19" t="n">
        <f aca="false">'SALES Raw'!D3854</f>
        <v>667.38</v>
      </c>
      <c r="F1275" s="19" t="n">
        <f aca="false">'SALES Raw'!E3854*$H$4</f>
        <v>44.2105263157895</v>
      </c>
      <c r="G1275" s="19" t="n">
        <f aca="false">'SALES Raw'!F3854*$H$4</f>
        <v>447.941052631579</v>
      </c>
      <c r="H1275" s="18" t="str">
        <f aca="false">'SALES Raw'!A3854</f>
        <v>209 - Ortoprofil Prod ROMANIA</v>
      </c>
    </row>
    <row r="1276" customFormat="false" ht="15" hidden="false" customHeight="false" outlineLevel="0" collapsed="false">
      <c r="A1276" s="18" t="str">
        <f aca="false">'SALES Raw'!G3934</f>
        <v/>
      </c>
      <c r="B1276" s="18" t="str">
        <f aca="false">'SALES Raw'!B3934</f>
        <v>363 L/R</v>
      </c>
      <c r="C1276" s="18" t="str">
        <f aca="false">'SALES Raw'!H3934</f>
        <v>363 L/R</v>
      </c>
      <c r="D1276" s="19" t="n">
        <f aca="false">'SALES Raw'!C3934</f>
        <v>75</v>
      </c>
      <c r="E1276" s="19" t="n">
        <f aca="false">'SALES Raw'!D3934</f>
        <v>960.46</v>
      </c>
      <c r="F1276" s="19" t="n">
        <f aca="false">'SALES Raw'!E3934*$H$4</f>
        <v>44.2105263157895</v>
      </c>
      <c r="G1276" s="19" t="n">
        <f aca="false">'SALES Raw'!F3934*$H$4</f>
        <v>485.292631578947</v>
      </c>
      <c r="H1276" s="18" t="str">
        <f aca="false">'SALES Raw'!A3934</f>
        <v>210 - Oy. Ea. Ab. FINLAND</v>
      </c>
    </row>
    <row r="1277" customFormat="false" ht="15" hidden="false" customHeight="false" outlineLevel="0" collapsed="false">
      <c r="A1277" s="18" t="str">
        <f aca="false">'SALES Raw'!G4081</f>
        <v/>
      </c>
      <c r="B1277" s="18" t="str">
        <f aca="false">'SALES Raw'!B4081</f>
        <v>305-37-38</v>
      </c>
      <c r="C1277" s="18" t="str">
        <f aca="false">'SALES Raw'!H4081</f>
        <v>305-37-38</v>
      </c>
      <c r="D1277" s="19" t="n">
        <f aca="false">'SALES Raw'!C4081</f>
        <v>55</v>
      </c>
      <c r="E1277" s="19" t="n">
        <f aca="false">'SALES Raw'!D4081</f>
        <v>2056.22</v>
      </c>
      <c r="F1277" s="19" t="n">
        <f aca="false">'SALES Raw'!E4081*$H$4</f>
        <v>44.2105263157895</v>
      </c>
      <c r="G1277" s="19" t="n">
        <f aca="false">'SALES Raw'!F4081*$H$4</f>
        <v>1463.39368421053</v>
      </c>
      <c r="H1277" s="18" t="str">
        <f aca="false">'SALES Raw'!A4081</f>
        <v>213 - E.f.m.o. SPAIN</v>
      </c>
    </row>
    <row r="1278" customFormat="false" ht="15" hidden="false" customHeight="false" outlineLevel="0" collapsed="false">
      <c r="A1278" s="18" t="n">
        <f aca="false">'SALES Raw'!G4099</f>
        <v>4408207</v>
      </c>
      <c r="B1278" s="18" t="str">
        <f aca="false">'SALES Raw'!B4099</f>
        <v>AC25 0</v>
      </c>
      <c r="C1278" s="18" t="str">
        <f aca="false">'SALES Raw'!H4099</f>
        <v>AC-25 חבק לשורש כף היד</v>
      </c>
      <c r="D1278" s="19" t="n">
        <f aca="false">'SALES Raw'!C4099</f>
        <v>45</v>
      </c>
      <c r="E1278" s="19" t="n">
        <f aca="false">'SALES Raw'!D4099</f>
        <v>725.03</v>
      </c>
      <c r="F1278" s="19" t="n">
        <f aca="false">'SALES Raw'!E4099*$H$4</f>
        <v>44.2105263157895</v>
      </c>
      <c r="G1278" s="19" t="n">
        <f aca="false">'SALES Raw'!F4099*$H$4</f>
        <v>638.324210526316</v>
      </c>
      <c r="H1278" s="18" t="str">
        <f aca="false">'SALES Raw'!A4099</f>
        <v>213 - E.f.m.o. SPAIN</v>
      </c>
    </row>
    <row r="1279" customFormat="false" ht="15" hidden="false" customHeight="false" outlineLevel="0" collapsed="false">
      <c r="A1279" s="18" t="n">
        <f aca="false">'SALES Raw'!G709</f>
        <v>4421001</v>
      </c>
      <c r="B1279" s="18" t="str">
        <f aca="false">'SALES Raw'!B709</f>
        <v>3611 0</v>
      </c>
      <c r="C1279" s="18" t="str">
        <f aca="false">'SALES Raw'!H709</f>
        <v>3611 שרוול מטטרזלי מסיליקון</v>
      </c>
      <c r="D1279" s="19" t="n">
        <f aca="false">'SALES Raw'!C709</f>
        <v>38</v>
      </c>
      <c r="E1279" s="19" t="n">
        <f aca="false">'SALES Raw'!D709</f>
        <v>2308.31</v>
      </c>
      <c r="F1279" s="19" t="n">
        <f aca="false">'SALES Raw'!E709*$H$4</f>
        <v>42.9473684210526</v>
      </c>
      <c r="G1279" s="19" t="n">
        <f aca="false">'SALES Raw'!F709*$H$4</f>
        <v>2614.83789473684</v>
      </c>
      <c r="H1279" s="18" t="str">
        <f aca="false">'SALES Raw'!A709</f>
        <v>102 - Orthopedic institutes</v>
      </c>
    </row>
    <row r="1280" customFormat="false" ht="15" hidden="false" customHeight="false" outlineLevel="0" collapsed="false">
      <c r="A1280" s="18" t="n">
        <f aca="false">'SALES Raw'!G2377</f>
        <v>4420016</v>
      </c>
      <c r="B1280" s="18" t="str">
        <f aca="false">'SALES Raw'!B2377</f>
        <v>40 0</v>
      </c>
      <c r="C1280" s="18" t="str">
        <f aca="false">'SALES Raw'!H2377</f>
        <v>40-רצועת פיקה לברך</v>
      </c>
      <c r="D1280" s="19" t="n">
        <f aca="false">'SALES Raw'!C2377</f>
        <v>20</v>
      </c>
      <c r="E1280" s="19" t="n">
        <f aca="false">'SALES Raw'!D2377</f>
        <v>1809.11</v>
      </c>
      <c r="F1280" s="19" t="n">
        <f aca="false">'SALES Raw'!E2377*$H$4</f>
        <v>42.9473684210526</v>
      </c>
      <c r="G1280" s="19" t="n">
        <f aca="false">'SALES Raw'!F2377*$H$4</f>
        <v>3965.20421052632</v>
      </c>
      <c r="H1280" s="18" t="str">
        <f aca="false">'SALES Raw'!A2377</f>
        <v>114 - IL online</v>
      </c>
    </row>
    <row r="1281" customFormat="false" ht="15" hidden="false" customHeight="false" outlineLevel="0" collapsed="false">
      <c r="A1281" s="18" t="n">
        <f aca="false">'SALES Raw'!G3782</f>
        <v>4408051</v>
      </c>
      <c r="B1281" s="18" t="str">
        <f aca="false">'SALES Raw'!B3782</f>
        <v>21 S</v>
      </c>
      <c r="C1281" s="18" t="str">
        <f aca="false">'SALES Raw'!H3782</f>
        <v>21 S  חבק יד ארוך</v>
      </c>
      <c r="D1281" s="19" t="n">
        <f aca="false">'SALES Raw'!C3782</f>
        <v>83</v>
      </c>
      <c r="E1281" s="19" t="n">
        <f aca="false">'SALES Raw'!D3782</f>
        <v>1334.38</v>
      </c>
      <c r="F1281" s="19" t="n">
        <f aca="false">'SALES Raw'!E3782*$H$4</f>
        <v>42.9473684210526</v>
      </c>
      <c r="G1281" s="19" t="n">
        <f aca="false">'SALES Raw'!F3782*$H$4</f>
        <v>701.835789473684</v>
      </c>
      <c r="H1281" s="18" t="str">
        <f aca="false">'SALES Raw'!A3782</f>
        <v>209 - Ortoprofil Prod ROMANIA</v>
      </c>
    </row>
    <row r="1282" customFormat="false" ht="15" hidden="false" customHeight="false" outlineLevel="0" collapsed="false">
      <c r="A1282" s="18" t="n">
        <f aca="false">'SALES Raw'!G3809</f>
        <v>4413048</v>
      </c>
      <c r="B1282" s="18" t="str">
        <f aca="false">'SALES Raw'!B3809</f>
        <v>35 L</v>
      </c>
      <c r="C1282" s="18" t="str">
        <f aca="false">'SALES Raw'!H3809</f>
        <v>35 L מגן קרסול לבן</v>
      </c>
      <c r="D1282" s="19" t="n">
        <f aca="false">'SALES Raw'!C3809</f>
        <v>93</v>
      </c>
      <c r="E1282" s="19" t="n">
        <f aca="false">'SALES Raw'!D3809</f>
        <v>948.26</v>
      </c>
      <c r="F1282" s="19" t="n">
        <f aca="false">'SALES Raw'!E3809*$H$4</f>
        <v>42.9473684210526</v>
      </c>
      <c r="G1282" s="19" t="n">
        <f aca="false">'SALES Raw'!F3809*$H$4</f>
        <v>426.783157894737</v>
      </c>
      <c r="H1282" s="18" t="str">
        <f aca="false">'SALES Raw'!A3809</f>
        <v>209 - Ortoprofil Prod ROMANIA</v>
      </c>
    </row>
    <row r="1283" customFormat="false" ht="15" hidden="false" customHeight="false" outlineLevel="0" collapsed="false">
      <c r="A1283" s="18" t="n">
        <f aca="false">'CEMIUP0.9 Raw'!B1244</f>
        <v>4420001</v>
      </c>
      <c r="B1283" s="18" t="str">
        <f aca="false">'CEMIUP0.9 Raw'!C1244</f>
        <v>371 רפידת מגבת כותנה-זוג</v>
      </c>
      <c r="C1283" s="18" t="str">
        <f aca="false">'CEMIUP0.9 Raw'!C1244</f>
        <v>371 רפידת מגבת כותנה-זוג</v>
      </c>
      <c r="D1283" s="19" t="n">
        <f aca="false">'CEMIUP0.9 Raw'!D1244</f>
        <v>54</v>
      </c>
      <c r="E1283" s="19" t="n">
        <f aca="false">'CEMIUP0.9 Raw'!E1244</f>
        <v>524.797</v>
      </c>
      <c r="F1283" s="19" t="n">
        <f aca="false">'CEMIUP0.9 Raw'!F1244</f>
        <v>42.9473684210526</v>
      </c>
      <c r="G1283" s="19" t="n">
        <f aca="false">'CEMIUP0.9 Raw'!G1244</f>
        <v>417.373894736842</v>
      </c>
      <c r="H1283" s="18" t="str">
        <f aca="false">'CEMIUP0.9 Raw'!A1244</f>
        <v>BE (CEMI internal group)</v>
      </c>
    </row>
    <row r="1284" customFormat="false" ht="15" hidden="false" customHeight="false" outlineLevel="0" collapsed="false">
      <c r="A1284" s="18" t="n">
        <f aca="false">'CEMIUP0.9 Raw'!B1420</f>
        <v>4411020</v>
      </c>
      <c r="B1284" s="18" t="str">
        <f aca="false">'CEMIUP0.9 Raw'!C1420</f>
        <v>211XL כפפות לחץ</v>
      </c>
      <c r="C1284" s="18" t="str">
        <f aca="false">'CEMIUP0.9 Raw'!C1420</f>
        <v>211XL כפפות לחץ</v>
      </c>
      <c r="D1284" s="19" t="n">
        <f aca="false">'CEMIUP0.9 Raw'!D1420</f>
        <v>76</v>
      </c>
      <c r="E1284" s="19" t="n">
        <f aca="false">'CEMIUP0.9 Raw'!E1420</f>
        <v>1962.506</v>
      </c>
      <c r="F1284" s="19" t="n">
        <f aca="false">'CEMIUP0.9 Raw'!F1420</f>
        <v>42.9473684210526</v>
      </c>
      <c r="G1284" s="19" t="n">
        <f aca="false">'CEMIUP0.9 Raw'!G1420</f>
        <v>1142.34694736842</v>
      </c>
      <c r="H1284" s="18" t="str">
        <f aca="false">'CEMIUP0.9 Raw'!A1420</f>
        <v>Super-Pharm Israel (CEMI internal group)</v>
      </c>
    </row>
    <row r="1285" customFormat="false" ht="15" hidden="false" customHeight="false" outlineLevel="0" collapsed="false">
      <c r="A1285" s="18" t="n">
        <f aca="false">'CEMIUP0.9 Raw'!B146</f>
        <v>4408190</v>
      </c>
      <c r="B1285" s="18" t="str">
        <f aca="false">'CEMIUP0.9 Raw'!C146</f>
        <v>M078 חגורת גב +סגירה כפולה</v>
      </c>
      <c r="C1285" s="18" t="str">
        <f aca="false">'CEMIUP0.9 Raw'!C146</f>
        <v>M078 חגורת גב +סגירה כפולה</v>
      </c>
      <c r="D1285" s="19" t="n">
        <f aca="false">'CEMIUP0.9 Raw'!D146</f>
        <v>86</v>
      </c>
      <c r="E1285" s="19" t="n">
        <f aca="false">'CEMIUP0.9 Raw'!E146</f>
        <v>8678.397</v>
      </c>
      <c r="F1285" s="19" t="n">
        <f aca="false">'CEMIUP0.9 Raw'!F146</f>
        <v>41.6842105263158</v>
      </c>
      <c r="G1285" s="19" t="n">
        <f aca="false">'CEMIUP0.9 Raw'!G146</f>
        <v>4294.08884210526</v>
      </c>
      <c r="H1285" s="18" t="str">
        <f aca="false">'CEMIUP0.9 Raw'!A146</f>
        <v>107 - Pharmacies</v>
      </c>
    </row>
    <row r="1286" customFormat="false" ht="15" hidden="false" customHeight="false" outlineLevel="0" collapsed="false">
      <c r="A1286" s="18" t="n">
        <f aca="false">'CEMIUP0.9 Raw'!B438</f>
        <v>4413494</v>
      </c>
      <c r="B1286" s="18" t="str">
        <f aca="false">'CEMIUP0.9 Raw'!C438</f>
        <v>35B XXL מגן קרסול שחור</v>
      </c>
      <c r="C1286" s="18" t="str">
        <f aca="false">'CEMIUP0.9 Raw'!C438</f>
        <v>35B XXL מגן קרסול שחור</v>
      </c>
      <c r="D1286" s="19" t="n">
        <f aca="false">'CEMIUP0.9 Raw'!D438</f>
        <v>47</v>
      </c>
      <c r="E1286" s="19" t="n">
        <f aca="false">'CEMIUP0.9 Raw'!E438</f>
        <v>1294.93</v>
      </c>
      <c r="F1286" s="19" t="n">
        <f aca="false">'CEMIUP0.9 Raw'!F438</f>
        <v>41.6842105263158</v>
      </c>
      <c r="G1286" s="19" t="n">
        <f aca="false">'CEMIUP0.9 Raw'!G438</f>
        <v>1159.93389473684</v>
      </c>
      <c r="H1286" s="18" t="str">
        <f aca="false">'CEMIUP0.9 Raw'!A438</f>
        <v>107 - Pharmacies</v>
      </c>
    </row>
    <row r="1287" customFormat="false" ht="15" hidden="false" customHeight="false" outlineLevel="0" collapsed="false">
      <c r="A1287" s="18" t="n">
        <f aca="false">'CEMIUP0.9 Raw'!B487</f>
        <v>4415073</v>
      </c>
      <c r="B1287" s="18" t="str">
        <f aca="false">'CEMIUP0.9 Raw'!C487</f>
        <v>T28A L-XL סד לאגודל</v>
      </c>
      <c r="C1287" s="18" t="str">
        <f aca="false">'CEMIUP0.9 Raw'!C487</f>
        <v>T28A L-XL סד לאגודל</v>
      </c>
      <c r="D1287" s="19" t="n">
        <f aca="false">'CEMIUP0.9 Raw'!D487</f>
        <v>44</v>
      </c>
      <c r="E1287" s="19" t="n">
        <f aca="false">'CEMIUP0.9 Raw'!E487</f>
        <v>2654.296</v>
      </c>
      <c r="F1287" s="19" t="n">
        <f aca="false">'CEMIUP0.9 Raw'!F487</f>
        <v>41.6842105263158</v>
      </c>
      <c r="G1287" s="19" t="n">
        <f aca="false">'CEMIUP0.9 Raw'!G487</f>
        <v>2574.47621052632</v>
      </c>
      <c r="H1287" s="18" t="str">
        <f aca="false">'CEMIUP0.9 Raw'!A487</f>
        <v>107 - Pharmacies</v>
      </c>
    </row>
    <row r="1288" customFormat="false" ht="15" hidden="false" customHeight="false" outlineLevel="0" collapsed="false">
      <c r="A1288" s="18" t="n">
        <f aca="false">'CEMIUP0.9 Raw'!B835</f>
        <v>4413340</v>
      </c>
      <c r="B1288" s="18" t="str">
        <f aca="false">'CEMIUP0.9 Raw'!C835</f>
        <v>3666 מפריד הלוקס</v>
      </c>
      <c r="C1288" s="18" t="str">
        <f aca="false">'CEMIUP0.9 Raw'!C835</f>
        <v>3666 מפריד הלוקס</v>
      </c>
      <c r="D1288" s="19" t="n">
        <f aca="false">'CEMIUP0.9 Raw'!D835</f>
        <v>76</v>
      </c>
      <c r="E1288" s="19" t="n">
        <f aca="false">'CEMIUP0.9 Raw'!E835</f>
        <v>2941.2</v>
      </c>
      <c r="F1288" s="19" t="n">
        <f aca="false">'CEMIUP0.9 Raw'!F835</f>
        <v>41.6842105263158</v>
      </c>
      <c r="G1288" s="19" t="n">
        <f aca="false">'CEMIUP0.9 Raw'!G835</f>
        <v>1542.78568421053</v>
      </c>
      <c r="H1288" s="18" t="str">
        <f aca="false">'CEMIUP0.9 Raw'!A835</f>
        <v>113 - Kupat Holim Meuhedet</v>
      </c>
    </row>
    <row r="1289" customFormat="false" ht="15" hidden="false" customHeight="false" outlineLevel="0" collapsed="false">
      <c r="A1289" s="18" t="n">
        <f aca="false">'CEMIUP0.9 Raw'!B967</f>
        <v>4408033</v>
      </c>
      <c r="B1289" s="18" t="str">
        <f aca="false">'CEMIUP0.9 Raw'!C967</f>
        <v>11 M""חגורת בטן""אורירית</v>
      </c>
      <c r="C1289" s="18" t="str">
        <f aca="false">'CEMIUP0.9 Raw'!C967</f>
        <v>11 M""חגורת בטן""אורירית</v>
      </c>
      <c r="D1289" s="19" t="n">
        <f aca="false">'CEMIUP0.9 Raw'!D967</f>
        <v>47</v>
      </c>
      <c r="E1289" s="19" t="n">
        <f aca="false">'CEMIUP0.9 Raw'!E967</f>
        <v>3998.631</v>
      </c>
      <c r="F1289" s="19" t="n">
        <f aca="false">'CEMIUP0.9 Raw'!F967</f>
        <v>41.6842105263158</v>
      </c>
      <c r="G1289" s="19" t="n">
        <f aca="false">'CEMIUP0.9 Raw'!G967</f>
        <v>3680.72968421053</v>
      </c>
      <c r="H1289" s="18" t="str">
        <f aca="false">'CEMIUP0.9 Raw'!A967</f>
        <v>BE (CEMI internal group)</v>
      </c>
    </row>
    <row r="1290" customFormat="false" ht="15" hidden="false" customHeight="false" outlineLevel="0" collapsed="false">
      <c r="A1290" s="18" t="n">
        <f aca="false">'CEMIUP0.9 Raw'!B974</f>
        <v>4408049</v>
      </c>
      <c r="B1290" s="18" t="str">
        <f aca="false">'CEMIUP0.9 Raw'!C974</f>
        <v>20 XL חבק יד מתכוון עם צמדן</v>
      </c>
      <c r="C1290" s="18" t="str">
        <f aca="false">'CEMIUP0.9 Raw'!C974</f>
        <v>20 XL חבק יד מתכוון עם צמדן</v>
      </c>
      <c r="D1290" s="19" t="n">
        <f aca="false">'CEMIUP0.9 Raw'!D974</f>
        <v>41</v>
      </c>
      <c r="E1290" s="19" t="n">
        <f aca="false">'CEMIUP0.9 Raw'!E974</f>
        <v>1013.922</v>
      </c>
      <c r="F1290" s="19" t="n">
        <f aca="false">'CEMIUP0.9 Raw'!F974</f>
        <v>41.6842105263158</v>
      </c>
      <c r="G1290" s="19" t="n">
        <f aca="false">'CEMIUP0.9 Raw'!G974</f>
        <v>1031.42273684211</v>
      </c>
      <c r="H1290" s="18" t="str">
        <f aca="false">'CEMIUP0.9 Raw'!A974</f>
        <v>BE (CEMI internal group)</v>
      </c>
    </row>
    <row r="1291" customFormat="false" ht="15" hidden="false" customHeight="false" outlineLevel="0" collapsed="false">
      <c r="A1291" s="18" t="n">
        <f aca="false">'CEMIUP0.9 Raw'!B1208</f>
        <v>4415003</v>
      </c>
      <c r="B1291" s="18" t="str">
        <f aca="false">'CEMIUP0.9 Raw'!C1208</f>
        <v>26 XL סד ליד דו צדדי לאחר שבר</v>
      </c>
      <c r="C1291" s="18" t="str">
        <f aca="false">'CEMIUP0.9 Raw'!C1208</f>
        <v>26 XL סד ליד דו צדדי לאחר שבר</v>
      </c>
      <c r="D1291" s="19" t="n">
        <f aca="false">'CEMIUP0.9 Raw'!D1208</f>
        <v>27</v>
      </c>
      <c r="E1291" s="19" t="n">
        <f aca="false">'CEMIUP0.9 Raw'!E1208</f>
        <v>2161.341</v>
      </c>
      <c r="F1291" s="19" t="n">
        <f aca="false">'CEMIUP0.9 Raw'!F1208</f>
        <v>41.6842105263158</v>
      </c>
      <c r="G1291" s="19" t="n">
        <f aca="false">'CEMIUP0.9 Raw'!G1208</f>
        <v>3345.65810526316</v>
      </c>
      <c r="H1291" s="18" t="str">
        <f aca="false">'CEMIUP0.9 Raw'!A1208</f>
        <v>BE (CEMI internal group)</v>
      </c>
    </row>
    <row r="1292" customFormat="false" ht="15" hidden="false" customHeight="false" outlineLevel="0" collapsed="false">
      <c r="A1292" s="18" t="n">
        <f aca="false">'CEMIUP0.9 Raw'!B1256</f>
        <v>4420016</v>
      </c>
      <c r="B1292" s="18" t="str">
        <f aca="false">'CEMIUP0.9 Raw'!C1256</f>
        <v>40-רצועת פיקה לברך</v>
      </c>
      <c r="C1292" s="18" t="str">
        <f aca="false">'CEMIUP0.9 Raw'!C1256</f>
        <v>40-רצועת פיקה לברך</v>
      </c>
      <c r="D1292" s="19" t="n">
        <f aca="false">'CEMIUP0.9 Raw'!D1256</f>
        <v>56</v>
      </c>
      <c r="E1292" s="19" t="n">
        <f aca="false">'CEMIUP0.9 Raw'!E1256</f>
        <v>2471.105</v>
      </c>
      <c r="F1292" s="19" t="n">
        <f aca="false">'CEMIUP0.9 Raw'!F1256</f>
        <v>41.6842105263158</v>
      </c>
      <c r="G1292" s="19" t="n">
        <f aca="false">'CEMIUP0.9 Raw'!G1256</f>
        <v>1839.38778947368</v>
      </c>
      <c r="H1292" s="18" t="str">
        <f aca="false">'CEMIUP0.9 Raw'!A1256</f>
        <v>BE (CEMI internal group)</v>
      </c>
    </row>
    <row r="1293" customFormat="false" ht="15" hidden="false" customHeight="false" outlineLevel="0" collapsed="false">
      <c r="A1293" s="18" t="n">
        <f aca="false">'CEMIUP0.9 Raw'!B1539</f>
        <v>4413183</v>
      </c>
      <c r="B1293" s="18" t="str">
        <f aca="false">'CEMIUP0.9 Raw'!C1539</f>
        <v>T 45 M מגן ברך רגיל</v>
      </c>
      <c r="C1293" s="18" t="str">
        <f aca="false">'CEMIUP0.9 Raw'!C1539</f>
        <v>T 45 M מגן ברך רגיל</v>
      </c>
      <c r="D1293" s="19" t="n">
        <f aca="false">'CEMIUP0.9 Raw'!D1539</f>
        <v>78</v>
      </c>
      <c r="E1293" s="19" t="n">
        <f aca="false">'CEMIUP0.9 Raw'!E1539</f>
        <v>6383.013</v>
      </c>
      <c r="F1293" s="19" t="n">
        <f aca="false">'CEMIUP0.9 Raw'!F1539</f>
        <v>41.6842105263158</v>
      </c>
      <c r="G1293" s="19" t="n">
        <f aca="false">'CEMIUP0.9 Raw'!G1539</f>
        <v>3465.54821052632</v>
      </c>
      <c r="H1293" s="18" t="str">
        <f aca="false">'CEMIUP0.9 Raw'!A1539</f>
        <v>Super-Pharm Israel (CEMI internal group)</v>
      </c>
    </row>
    <row r="1294" customFormat="false" ht="15" hidden="false" customHeight="false" outlineLevel="0" collapsed="false">
      <c r="A1294" s="18" t="n">
        <f aca="false">'SALES Raw'!G559</f>
        <v>4413100</v>
      </c>
      <c r="B1294" s="18" t="str">
        <f aca="false">'SALES Raw'!B559</f>
        <v>45C XL</v>
      </c>
      <c r="C1294" s="18" t="str">
        <f aca="false">'SALES Raw'!H559</f>
        <v>45C XL מגן ברך חום</v>
      </c>
      <c r="D1294" s="19" t="n">
        <f aca="false">'SALES Raw'!C559</f>
        <v>46</v>
      </c>
      <c r="E1294" s="19" t="n">
        <f aca="false">'SALES Raw'!D559</f>
        <v>1277.91</v>
      </c>
      <c r="F1294" s="19" t="n">
        <f aca="false">'SALES Raw'!E559*$H$4</f>
        <v>41.6842105263158</v>
      </c>
      <c r="G1294" s="19" t="n">
        <f aca="false">'SALES Raw'!F559*$H$4</f>
        <v>1153.38947368421</v>
      </c>
      <c r="H1294" s="18" t="str">
        <f aca="false">'SALES Raw'!A559</f>
        <v>102 - Orthopedic institutes</v>
      </c>
    </row>
    <row r="1295" customFormat="false" ht="15" hidden="false" customHeight="false" outlineLevel="0" collapsed="false">
      <c r="A1295" s="18" t="n">
        <f aca="false">'SALES Raw'!G1827</f>
        <v>4413453</v>
      </c>
      <c r="B1295" s="18" t="str">
        <f aca="false">'SALES Raw'!B1827</f>
        <v>AC75-S-XL</v>
      </c>
      <c r="C1295" s="18" t="str">
        <f aca="false">'SALES Raw'!H1827</f>
        <v>AC75 מישר כתפיים אקטיב</v>
      </c>
      <c r="D1295" s="19" t="n">
        <f aca="false">'SALES Raw'!C1827</f>
        <v>6</v>
      </c>
      <c r="E1295" s="19" t="n">
        <f aca="false">'SALES Raw'!D1827</f>
        <v>435.64</v>
      </c>
      <c r="F1295" s="19" t="n">
        <f aca="false">'SALES Raw'!E1827*$H$4</f>
        <v>41.6842105263158</v>
      </c>
      <c r="G1295" s="19" t="n">
        <f aca="false">'SALES Raw'!F1827*$H$4</f>
        <v>3320.16</v>
      </c>
      <c r="H1295" s="18" t="str">
        <f aca="false">'SALES Raw'!A1827</f>
        <v>109 - Private Shops</v>
      </c>
    </row>
    <row r="1296" customFormat="false" ht="15" hidden="false" customHeight="false" outlineLevel="0" collapsed="false">
      <c r="A1296" s="18" t="str">
        <f aca="false">'SALES Raw'!G2297</f>
        <v/>
      </c>
      <c r="B1296" s="18" t="str">
        <f aca="false">'SALES Raw'!B2297</f>
        <v>363 L/R</v>
      </c>
      <c r="C1296" s="18" t="str">
        <f aca="false">'SALES Raw'!H2297</f>
        <v>363 L/R</v>
      </c>
      <c r="D1296" s="19" t="n">
        <f aca="false">'SALES Raw'!C2297</f>
        <v>27</v>
      </c>
      <c r="E1296" s="19" t="n">
        <f aca="false">'SALES Raw'!D2297</f>
        <v>1298.25</v>
      </c>
      <c r="F1296" s="19" t="n">
        <f aca="false">'SALES Raw'!E2297*$H$4</f>
        <v>41.6842105263158</v>
      </c>
      <c r="G1296" s="19" t="n">
        <f aca="false">'SALES Raw'!F2297*$H$4</f>
        <v>2061.48631578947</v>
      </c>
      <c r="H1296" s="18" t="str">
        <f aca="false">'SALES Raw'!A2297</f>
        <v>114 - IL online</v>
      </c>
    </row>
    <row r="1297" customFormat="false" ht="15" hidden="false" customHeight="false" outlineLevel="0" collapsed="false">
      <c r="A1297" s="18" t="n">
        <f aca="false">'SALES Raw'!G2608</f>
        <v>4413149</v>
      </c>
      <c r="B1297" s="18" t="str">
        <f aca="false">'SALES Raw'!B2608</f>
        <v>FC321 0</v>
      </c>
      <c r="C1297" s="18" t="str">
        <f aca="false">'SALES Raw'!H2608</f>
        <v>FC321-מלח אמבט לכף הרגל</v>
      </c>
      <c r="D1297" s="19" t="n">
        <f aca="false">'SALES Raw'!C2608</f>
        <v>22</v>
      </c>
      <c r="E1297" s="19" t="n">
        <f aca="false">'SALES Raw'!D2608</f>
        <v>521.57</v>
      </c>
      <c r="F1297" s="19" t="n">
        <f aca="false">'SALES Raw'!E2608*$H$4</f>
        <v>41.6842105263158</v>
      </c>
      <c r="G1297" s="19" t="n">
        <f aca="false">'SALES Raw'!F2608*$H$4</f>
        <v>1027.47789473684</v>
      </c>
      <c r="H1297" s="18" t="str">
        <f aca="false">'SALES Raw'!A2608</f>
        <v>114 - IL online</v>
      </c>
    </row>
    <row r="1298" customFormat="false" ht="15" hidden="false" customHeight="false" outlineLevel="0" collapsed="false">
      <c r="A1298" s="18" t="n">
        <f aca="false">'SALES Raw'!G2651</f>
        <v>4413425</v>
      </c>
      <c r="B1298" s="18" t="str">
        <f aca="false">'SALES Raw'!B2651</f>
        <v>SC35R M</v>
      </c>
      <c r="C1298" s="18" t="str">
        <f aca="false">'SALES Raw'!H2651</f>
        <v>SC35R  M מגן קרסול ימין</v>
      </c>
      <c r="D1298" s="19" t="n">
        <f aca="false">'SALES Raw'!C2651</f>
        <v>22</v>
      </c>
      <c r="E1298" s="19" t="n">
        <f aca="false">'SALES Raw'!D2651</f>
        <v>2807.29</v>
      </c>
      <c r="F1298" s="19" t="n">
        <f aca="false">'SALES Raw'!E2651*$H$4</f>
        <v>41.6842105263158</v>
      </c>
      <c r="G1298" s="19" t="n">
        <f aca="false">'SALES Raw'!F2651*$H$4</f>
        <v>5734.83789473684</v>
      </c>
      <c r="H1298" s="18" t="str">
        <f aca="false">'SALES Raw'!A2651</f>
        <v>114 - IL online</v>
      </c>
    </row>
    <row r="1299" customFormat="false" ht="15" hidden="false" customHeight="false" outlineLevel="0" collapsed="false">
      <c r="A1299" s="18" t="n">
        <f aca="false">'SALES Raw'!G3069</f>
        <v>4415158</v>
      </c>
      <c r="B1299" s="18" t="str">
        <f aca="false">'SALES Raw'!B3069</f>
        <v>266 0</v>
      </c>
      <c r="C1299" s="18" t="str">
        <f aca="false">'SALES Raw'!H3069</f>
        <v>266 סד ליד דו צדדי</v>
      </c>
      <c r="D1299" s="19" t="n">
        <f aca="false">'SALES Raw'!C3069</f>
        <v>24</v>
      </c>
      <c r="E1299" s="19" t="n">
        <f aca="false">'SALES Raw'!D3069</f>
        <v>691.24</v>
      </c>
      <c r="F1299" s="19" t="n">
        <f aca="false">'SALES Raw'!E3069*$H$4</f>
        <v>41.6842105263158</v>
      </c>
      <c r="G1299" s="19" t="n">
        <f aca="false">'SALES Raw'!F3069*$H$4</f>
        <v>1112.14736842105</v>
      </c>
      <c r="H1299" s="18" t="str">
        <f aca="false">'SALES Raw'!A3069</f>
        <v>203 - Ortho- Partner ag SWITZERLAND</v>
      </c>
    </row>
    <row r="1300" customFormat="false" ht="15" hidden="false" customHeight="false" outlineLevel="0" collapsed="false">
      <c r="A1300" s="18" t="n">
        <f aca="false">'SALES Raw'!G3265</f>
        <v>4413097</v>
      </c>
      <c r="B1300" s="18" t="str">
        <f aca="false">'SALES Raw'!B3265</f>
        <v>45C S</v>
      </c>
      <c r="C1300" s="18" t="str">
        <f aca="false">'SALES Raw'!H3265</f>
        <v>45C S מגן ברך חום</v>
      </c>
      <c r="D1300" s="19" t="n">
        <f aca="false">'SALES Raw'!C3265</f>
        <v>42</v>
      </c>
      <c r="E1300" s="19" t="n">
        <f aca="false">'SALES Raw'!D3265</f>
        <v>431.24</v>
      </c>
      <c r="F1300" s="19" t="n">
        <f aca="false">'SALES Raw'!E3265*$H$4</f>
        <v>41.6842105263158</v>
      </c>
      <c r="G1300" s="19" t="n">
        <f aca="false">'SALES Raw'!F3265*$H$4</f>
        <v>386.311578947368</v>
      </c>
      <c r="H1300" s="18" t="str">
        <f aca="false">'SALES Raw'!A3265</f>
        <v>204 - Sanaflex Anatomic GREECE</v>
      </c>
    </row>
    <row r="1301" customFormat="false" ht="15" hidden="false" customHeight="false" outlineLevel="0" collapsed="false">
      <c r="A1301" s="18" t="n">
        <f aca="false">'SALES Raw'!G3842</f>
        <v>4413093</v>
      </c>
      <c r="B1301" s="18" t="str">
        <f aca="false">'SALES Raw'!B3842</f>
        <v>45 M</v>
      </c>
      <c r="C1301" s="18" t="str">
        <f aca="false">'SALES Raw'!H3842</f>
        <v>45 M מגן ברך לבן</v>
      </c>
      <c r="D1301" s="19" t="n">
        <f aca="false">'SALES Raw'!C3842</f>
        <v>82</v>
      </c>
      <c r="E1301" s="19" t="n">
        <f aca="false">'SALES Raw'!D3842</f>
        <v>856.66</v>
      </c>
      <c r="F1301" s="19" t="n">
        <f aca="false">'SALES Raw'!E3842*$H$4</f>
        <v>41.6842105263158</v>
      </c>
      <c r="G1301" s="19" t="n">
        <f aca="false">'SALES Raw'!F3842*$H$4</f>
        <v>427.44</v>
      </c>
      <c r="H1301" s="18" t="str">
        <f aca="false">'SALES Raw'!A3842</f>
        <v>209 - Ortoprofil Prod ROMANIA</v>
      </c>
    </row>
    <row r="1302" customFormat="false" ht="15" hidden="false" customHeight="false" outlineLevel="0" collapsed="false">
      <c r="A1302" s="18" t="n">
        <f aca="false">'SALES Raw'!G4112</f>
        <v>4408098</v>
      </c>
      <c r="B1302" s="18" t="str">
        <f aca="false">'SALES Raw'!B4112</f>
        <v>T25 0</v>
      </c>
      <c r="C1302" s="18" t="str">
        <f aca="false">'SALES Raw'!H4112</f>
        <v>T25-חבק יד אגודלי</v>
      </c>
      <c r="D1302" s="19" t="n">
        <f aca="false">'SALES Raw'!C4112</f>
        <v>40</v>
      </c>
      <c r="E1302" s="19" t="n">
        <f aca="false">'SALES Raw'!D4112</f>
        <v>691.48</v>
      </c>
      <c r="F1302" s="19" t="n">
        <f aca="false">'SALES Raw'!E4112*$H$4</f>
        <v>41.6842105263158</v>
      </c>
      <c r="G1302" s="19" t="n">
        <f aca="false">'SALES Raw'!F4112*$H$4</f>
        <v>686.64</v>
      </c>
      <c r="H1302" s="18" t="str">
        <f aca="false">'SALES Raw'!A4112</f>
        <v>213 - E.f.m.o. SPAIN</v>
      </c>
    </row>
    <row r="1303" customFormat="false" ht="15" hidden="false" customHeight="false" outlineLevel="0" collapsed="false">
      <c r="A1303" s="18" t="n">
        <f aca="false">'SALES Raw'!G637</f>
        <v>4403024</v>
      </c>
      <c r="B1303" s="18" t="str">
        <f aca="false">'SALES Raw'!B637</f>
        <v>394W-39-42</v>
      </c>
      <c r="C1303" s="18" t="str">
        <f aca="false">'SALES Raw'!H637</f>
        <v>394W 39-42 גרב.כסף לסכרתים לבן</v>
      </c>
      <c r="D1303" s="19" t="n">
        <f aca="false">'SALES Raw'!C637</f>
        <v>135</v>
      </c>
      <c r="E1303" s="19" t="n">
        <f aca="false">'SALES Raw'!D637</f>
        <v>3164.62</v>
      </c>
      <c r="F1303" s="19" t="n">
        <f aca="false">'SALES Raw'!E637*$H$4</f>
        <v>40.4210526315789</v>
      </c>
      <c r="G1303" s="19" t="n">
        <f aca="false">'SALES Raw'!F637*$H$4</f>
        <v>1136.55157894737</v>
      </c>
      <c r="H1303" s="18" t="str">
        <f aca="false">'SALES Raw'!A637</f>
        <v>102 - Orthopedic institutes</v>
      </c>
    </row>
    <row r="1304" customFormat="false" ht="15" hidden="false" customHeight="false" outlineLevel="0" collapsed="false">
      <c r="A1304" s="18" t="str">
        <f aca="false">'SALES Raw'!G691</f>
        <v/>
      </c>
      <c r="B1304" s="18" t="str">
        <f aca="false">'SALES Raw'!B691</f>
        <v>11TO XXXL</v>
      </c>
      <c r="C1304" s="18" t="str">
        <f aca="false">'SALES Raw'!H691</f>
        <v>11TO XXXL</v>
      </c>
      <c r="D1304" s="19" t="n">
        <f aca="false">'SALES Raw'!C691</f>
        <v>13</v>
      </c>
      <c r="E1304" s="19" t="n">
        <f aca="false">'SALES Raw'!D691</f>
        <v>1689.98</v>
      </c>
      <c r="F1304" s="19" t="n">
        <f aca="false">'SALES Raw'!E691*$H$4</f>
        <v>40.4210526315789</v>
      </c>
      <c r="G1304" s="19" t="n">
        <f aca="false">'SALES Raw'!F691*$H$4</f>
        <v>5746.64842105263</v>
      </c>
      <c r="H1304" s="18" t="str">
        <f aca="false">'SALES Raw'!A691</f>
        <v>102 - Orthopedic institutes</v>
      </c>
    </row>
    <row r="1305" customFormat="false" ht="15" hidden="false" customHeight="false" outlineLevel="0" collapsed="false">
      <c r="A1305" s="18" t="n">
        <f aca="false">'SALES Raw'!G2065</f>
        <v>4408190</v>
      </c>
      <c r="B1305" s="18" t="str">
        <f aca="false">'SALES Raw'!B2065</f>
        <v>078 M</v>
      </c>
      <c r="C1305" s="18" t="str">
        <f aca="false">'SALES Raw'!H2065</f>
        <v>M078 חגורת גב +סגירה כפולה</v>
      </c>
      <c r="D1305" s="19" t="n">
        <f aca="false">'SALES Raw'!C2065</f>
        <v>47</v>
      </c>
      <c r="E1305" s="19" t="n">
        <f aca="false">'SALES Raw'!D2065</f>
        <v>9331.31</v>
      </c>
      <c r="F1305" s="19" t="n">
        <f aca="false">'SALES Raw'!E2065*$H$4</f>
        <v>40.4210526315789</v>
      </c>
      <c r="G1305" s="19" t="n">
        <f aca="false">'SALES Raw'!F2065*$H$4</f>
        <v>8225.96210526316</v>
      </c>
      <c r="H1305" s="18" t="str">
        <f aca="false">'SALES Raw'!A2065</f>
        <v>114 - IL online</v>
      </c>
    </row>
    <row r="1306" customFormat="false" ht="15" hidden="false" customHeight="false" outlineLevel="0" collapsed="false">
      <c r="A1306" s="18" t="n">
        <f aca="false">'SALES Raw'!G2295</f>
        <v>4413058</v>
      </c>
      <c r="B1306" s="18" t="str">
        <f aca="false">'SALES Raw'!B2295</f>
        <v>3622S 0</v>
      </c>
      <c r="C1306" s="18" t="str">
        <f aca="false">'SALES Raw'!H2295</f>
        <v>3622S מדבקה לשחרור לחץ 2 יח</v>
      </c>
      <c r="D1306" s="19" t="n">
        <f aca="false">'SALES Raw'!C2295</f>
        <v>21</v>
      </c>
      <c r="E1306" s="19" t="n">
        <f aca="false">'SALES Raw'!D2295</f>
        <v>1221.99</v>
      </c>
      <c r="F1306" s="19" t="n">
        <f aca="false">'SALES Raw'!E2295*$H$4</f>
        <v>40.4210526315789</v>
      </c>
      <c r="G1306" s="19" t="n">
        <f aca="false">'SALES Raw'!F2295*$H$4</f>
        <v>2274.78315789474</v>
      </c>
      <c r="H1306" s="18" t="str">
        <f aca="false">'SALES Raw'!A2295</f>
        <v>114 - IL online</v>
      </c>
    </row>
    <row r="1307" customFormat="false" ht="15" hidden="false" customHeight="false" outlineLevel="0" collapsed="false">
      <c r="A1307" s="18" t="n">
        <f aca="false">'SALES Raw'!G2661</f>
        <v>4413438</v>
      </c>
      <c r="B1307" s="18" t="str">
        <f aca="false">'SALES Raw'!B2661</f>
        <v>SC422 S</v>
      </c>
      <c r="C1307" s="18" t="str">
        <f aca="false">'SALES Raw'!H2661</f>
        <v>SC422  S מגן ברך</v>
      </c>
      <c r="D1307" s="19" t="n">
        <f aca="false">'SALES Raw'!C2661</f>
        <v>24</v>
      </c>
      <c r="E1307" s="19" t="n">
        <f aca="false">'SALES Raw'!D2661</f>
        <v>5398.22</v>
      </c>
      <c r="F1307" s="19" t="n">
        <f aca="false">'SALES Raw'!E2661*$H$4</f>
        <v>40.4210526315789</v>
      </c>
      <c r="G1307" s="19" t="n">
        <f aca="false">'SALES Raw'!F2661*$H$4</f>
        <v>8667.89052631579</v>
      </c>
      <c r="H1307" s="18" t="str">
        <f aca="false">'SALES Raw'!A2661</f>
        <v>114 - IL online</v>
      </c>
    </row>
    <row r="1308" customFormat="false" ht="15" hidden="false" customHeight="false" outlineLevel="0" collapsed="false">
      <c r="A1308" s="18" t="n">
        <f aca="false">'SALES Raw'!G3305</f>
        <v>4413138</v>
      </c>
      <c r="B1308" s="18" t="str">
        <f aca="false">'SALES Raw'!B3305</f>
        <v>85 XL</v>
      </c>
      <c r="C1308" s="18" t="str">
        <f aca="false">'SALES Raw'!H3305</f>
        <v>85 XL (מתלה ליד )כיס</v>
      </c>
      <c r="D1308" s="19" t="n">
        <f aca="false">'SALES Raw'!C3305</f>
        <v>50</v>
      </c>
      <c r="E1308" s="19" t="n">
        <f aca="false">'SALES Raw'!D3305</f>
        <v>949.7</v>
      </c>
      <c r="F1308" s="19" t="n">
        <f aca="false">'SALES Raw'!E3305*$H$4</f>
        <v>40.4210526315789</v>
      </c>
      <c r="G1308" s="19" t="n">
        <f aca="false">'SALES Raw'!F3305*$H$4</f>
        <v>700.092631578947</v>
      </c>
      <c r="H1308" s="18" t="str">
        <f aca="false">'SALES Raw'!A3305</f>
        <v>204 - Sanaflex Anatomic GREECE</v>
      </c>
    </row>
    <row r="1309" customFormat="false" ht="15" hidden="false" customHeight="false" outlineLevel="0" collapsed="false">
      <c r="A1309" s="18" t="n">
        <f aca="false">'SALES Raw'!G4272</f>
        <v>4403042</v>
      </c>
      <c r="B1309" s="18" t="str">
        <f aca="false">'SALES Raw'!B4272</f>
        <v>397A-39-42</v>
      </c>
      <c r="C1309" s="18" t="str">
        <f aca="false">'SALES Raw'!H4272</f>
        <v>397A-גרבי טיסה אנטי בקטרי39-42</v>
      </c>
      <c r="D1309" s="19" t="n">
        <f aca="false">'SALES Raw'!C4272</f>
        <v>0</v>
      </c>
      <c r="E1309" s="19" t="n">
        <f aca="false">'SALES Raw'!D4272</f>
        <v>0</v>
      </c>
      <c r="F1309" s="19" t="n">
        <f aca="false">'SALES Raw'!E4272*$H$4</f>
        <v>40.4210526315789</v>
      </c>
      <c r="G1309" s="19" t="n">
        <f aca="false">'SALES Raw'!F4272*$H$4</f>
        <v>1151.46947368421</v>
      </c>
      <c r="H1309" s="18" t="str">
        <f aca="false">'SALES Raw'!A4272</f>
        <v>216 - Max Konnaris CYPRUS</v>
      </c>
    </row>
    <row r="1310" customFormat="false" ht="15" hidden="false" customHeight="false" outlineLevel="0" collapsed="false">
      <c r="A1310" s="18" t="n">
        <f aca="false">'SALES Raw'!G4374</f>
        <v>4408270</v>
      </c>
      <c r="B1310" s="18" t="str">
        <f aca="false">'SALES Raw'!B4374</f>
        <v>ST11 0</v>
      </c>
      <c r="C1310" s="18" t="str">
        <f aca="false">'SALES Raw'!H4374</f>
        <v>ST11  חגורת בטן</v>
      </c>
      <c r="D1310" s="19" t="n">
        <f aca="false">'SALES Raw'!C4374</f>
        <v>70</v>
      </c>
      <c r="E1310" s="19" t="n">
        <f aca="false">'SALES Raw'!D4374</f>
        <v>2065.81</v>
      </c>
      <c r="F1310" s="19" t="n">
        <f aca="false">'SALES Raw'!E4374*$H$4</f>
        <v>40.4210526315789</v>
      </c>
      <c r="G1310" s="19" t="n">
        <f aca="false">'SALES Raw'!F4374*$H$4</f>
        <v>1011.87789473684</v>
      </c>
      <c r="H1310" s="18" t="str">
        <f aca="false">'SALES Raw'!A4374</f>
        <v>216 - Max Konnaris CYPRUS</v>
      </c>
    </row>
    <row r="1311" customFormat="false" ht="15" hidden="false" customHeight="false" outlineLevel="0" collapsed="false">
      <c r="A1311" s="18" t="n">
        <f aca="false">'CEMIUP0.9 Raw'!B109</f>
        <v>4408096</v>
      </c>
      <c r="B1311" s="18" t="str">
        <f aca="false">'CEMIUP0.9 Raw'!C109</f>
        <v>T20C S-M חבק יד עם צמדןחום</v>
      </c>
      <c r="C1311" s="18" t="str">
        <f aca="false">'CEMIUP0.9 Raw'!C109</f>
        <v>T20C S-M חבק יד עם צמדןחום</v>
      </c>
      <c r="D1311" s="19" t="n">
        <f aca="false">'CEMIUP0.9 Raw'!D109</f>
        <v>109</v>
      </c>
      <c r="E1311" s="19" t="n">
        <f aca="false">'CEMIUP0.9 Raw'!E109</f>
        <v>3469.819</v>
      </c>
      <c r="F1311" s="19" t="n">
        <f aca="false">'CEMIUP0.9 Raw'!F109</f>
        <v>40.4210526315789</v>
      </c>
      <c r="G1311" s="19" t="n">
        <f aca="false">'CEMIUP0.9 Raw'!G109</f>
        <v>981.765473684211</v>
      </c>
      <c r="H1311" s="18" t="str">
        <f aca="false">'CEMIUP0.9 Raw'!A109</f>
        <v>107 - Pharmacies</v>
      </c>
    </row>
    <row r="1312" customFormat="false" ht="15" hidden="false" customHeight="false" outlineLevel="0" collapsed="false">
      <c r="A1312" s="18" t="n">
        <f aca="false">'CEMIUP0.9 Raw'!B180</f>
        <v>4408265</v>
      </c>
      <c r="B1312" s="18" t="str">
        <f aca="false">'CEMIUP0.9 Raw'!C180</f>
        <v>078XXL חגורת גב +סגירה כפולה</v>
      </c>
      <c r="C1312" s="18" t="str">
        <f aca="false">'CEMIUP0.9 Raw'!C180</f>
        <v>078XXL חגורת גב +סגירה כפולה</v>
      </c>
      <c r="D1312" s="19" t="n">
        <f aca="false">'CEMIUP0.9 Raw'!D180</f>
        <v>64</v>
      </c>
      <c r="E1312" s="19" t="n">
        <f aca="false">'CEMIUP0.9 Raw'!E180</f>
        <v>6144.866</v>
      </c>
      <c r="F1312" s="19" t="n">
        <f aca="false">'CEMIUP0.9 Raw'!F180</f>
        <v>40.4210526315789</v>
      </c>
      <c r="G1312" s="19" t="n">
        <f aca="false">'CEMIUP0.9 Raw'!G180</f>
        <v>3900.96884210526</v>
      </c>
      <c r="H1312" s="18" t="str">
        <f aca="false">'CEMIUP0.9 Raw'!A180</f>
        <v>107 - Pharmacies</v>
      </c>
    </row>
    <row r="1313" customFormat="false" ht="15" hidden="false" customHeight="false" outlineLevel="0" collapsed="false">
      <c r="A1313" s="18" t="n">
        <f aca="false">'CEMIUP0.9 Raw'!B313</f>
        <v>4413142</v>
      </c>
      <c r="B1313" s="18" t="str">
        <f aca="false">'CEMIUP0.9 Raw'!C313</f>
        <v>95 XL מגן מרפק רגיל לבן</v>
      </c>
      <c r="C1313" s="18" t="str">
        <f aca="false">'CEMIUP0.9 Raw'!C313</f>
        <v>95 XL מגן מרפק רגיל לבן</v>
      </c>
      <c r="D1313" s="19" t="n">
        <f aca="false">'CEMIUP0.9 Raw'!D313</f>
        <v>50</v>
      </c>
      <c r="E1313" s="19" t="n">
        <f aca="false">'CEMIUP0.9 Raw'!E313</f>
        <v>1341.381</v>
      </c>
      <c r="F1313" s="19" t="n">
        <f aca="false">'CEMIUP0.9 Raw'!F313</f>
        <v>40.4210526315789</v>
      </c>
      <c r="G1313" s="19" t="n">
        <f aca="false">'CEMIUP0.9 Raw'!G313</f>
        <v>1096.02315789474</v>
      </c>
      <c r="H1313" s="18" t="str">
        <f aca="false">'CEMIUP0.9 Raw'!A313</f>
        <v>107 - Pharmacies</v>
      </c>
    </row>
    <row r="1314" customFormat="false" ht="15" hidden="false" customHeight="false" outlineLevel="0" collapsed="false">
      <c r="A1314" s="18" t="n">
        <f aca="false">'CEMIUP0.9 Raw'!B470</f>
        <v>4415005</v>
      </c>
      <c r="B1314" s="18" t="str">
        <f aca="false">'CEMIUP0.9 Raw'!C470</f>
        <v>28 L סד לאגודל לאחר שבר</v>
      </c>
      <c r="C1314" s="18" t="str">
        <f aca="false">'CEMIUP0.9 Raw'!C470</f>
        <v>28 L סד לאגודל לאחר שבר</v>
      </c>
      <c r="D1314" s="19" t="n">
        <f aca="false">'CEMIUP0.9 Raw'!D470</f>
        <v>65</v>
      </c>
      <c r="E1314" s="19" t="n">
        <f aca="false">'CEMIUP0.9 Raw'!E470</f>
        <v>5937.534</v>
      </c>
      <c r="F1314" s="19" t="n">
        <f aca="false">'CEMIUP0.9 Raw'!F470</f>
        <v>40.4210526315789</v>
      </c>
      <c r="G1314" s="19" t="n">
        <f aca="false">'CEMIUP0.9 Raw'!G470</f>
        <v>3671.87873684211</v>
      </c>
      <c r="H1314" s="18" t="str">
        <f aca="false">'CEMIUP0.9 Raw'!A470</f>
        <v>107 - Pharmacies</v>
      </c>
    </row>
    <row r="1315" customFormat="false" ht="15" hidden="false" customHeight="false" outlineLevel="0" collapsed="false">
      <c r="A1315" s="18" t="n">
        <f aca="false">'CEMIUP0.9 Raw'!B863</f>
        <v>4420016</v>
      </c>
      <c r="B1315" s="18" t="str">
        <f aca="false">'CEMIUP0.9 Raw'!C863</f>
        <v>40-רצועת פיקה לברך</v>
      </c>
      <c r="C1315" s="18" t="str">
        <f aca="false">'CEMIUP0.9 Raw'!C863</f>
        <v>40-רצועת פיקה לברך</v>
      </c>
      <c r="D1315" s="19" t="n">
        <f aca="false">'CEMIUP0.9 Raw'!D863</f>
        <v>52</v>
      </c>
      <c r="E1315" s="19" t="n">
        <f aca="false">'CEMIUP0.9 Raw'!E863</f>
        <v>1854.84</v>
      </c>
      <c r="F1315" s="19" t="n">
        <f aca="false">'CEMIUP0.9 Raw'!F863</f>
        <v>40.4210526315789</v>
      </c>
      <c r="G1315" s="19" t="n">
        <f aca="false">'CEMIUP0.9 Raw'!G863</f>
        <v>1356.696</v>
      </c>
      <c r="H1315" s="18" t="str">
        <f aca="false">'CEMIUP0.9 Raw'!A863</f>
        <v>113 - Kupat Holim Meuhedet</v>
      </c>
    </row>
    <row r="1316" customFormat="false" ht="15" hidden="false" customHeight="false" outlineLevel="0" collapsed="false">
      <c r="A1316" s="18" t="n">
        <f aca="false">'CEMIUP0.9 Raw'!B1173</f>
        <v>4413371</v>
      </c>
      <c r="B1316" s="18" t="str">
        <f aca="false">'CEMIUP0.9 Raw'!C1173</f>
        <v>3675    מגן זרת מסיליקון</v>
      </c>
      <c r="C1316" s="18" t="str">
        <f aca="false">'CEMIUP0.9 Raw'!C1173</f>
        <v>3675    מגן זרת מסיליקון</v>
      </c>
      <c r="D1316" s="19" t="n">
        <f aca="false">'CEMIUP0.9 Raw'!D1173</f>
        <v>17</v>
      </c>
      <c r="E1316" s="19" t="n">
        <f aca="false">'CEMIUP0.9 Raw'!E1173</f>
        <v>425.698</v>
      </c>
      <c r="F1316" s="19" t="n">
        <f aca="false">'CEMIUP0.9 Raw'!F1173</f>
        <v>40.4210526315789</v>
      </c>
      <c r="G1316" s="19" t="n">
        <f aca="false">'CEMIUP0.9 Raw'!G1173</f>
        <v>1012.34147368421</v>
      </c>
      <c r="H1316" s="18" t="str">
        <f aca="false">'CEMIUP0.9 Raw'!A1173</f>
        <v>BE (CEMI internal group)</v>
      </c>
    </row>
    <row r="1317" customFormat="false" ht="15" hidden="false" customHeight="false" outlineLevel="0" collapsed="false">
      <c r="A1317" s="18" t="n">
        <f aca="false">'CEMIUP0.9 Raw'!B1233</f>
        <v>4416002</v>
      </c>
      <c r="B1317" s="18" t="str">
        <f aca="false">'CEMIUP0.9 Raw'!C1233</f>
        <v>307 S עקבים לדורבן-זוג כריות</v>
      </c>
      <c r="C1317" s="18" t="str">
        <f aca="false">'CEMIUP0.9 Raw'!C1233</f>
        <v>307 S עקבים לדורבן-זוג כריות</v>
      </c>
      <c r="D1317" s="19" t="n">
        <f aca="false">'CEMIUP0.9 Raw'!D1233</f>
        <v>30</v>
      </c>
      <c r="E1317" s="19" t="n">
        <f aca="false">'CEMIUP0.9 Raw'!E1233</f>
        <v>2355.262</v>
      </c>
      <c r="F1317" s="19" t="n">
        <f aca="false">'CEMIUP0.9 Raw'!F1233</f>
        <v>40.4210526315789</v>
      </c>
      <c r="G1317" s="19" t="n">
        <f aca="false">'CEMIUP0.9 Raw'!G1233</f>
        <v>3216.68715789474</v>
      </c>
      <c r="H1317" s="18" t="str">
        <f aca="false">'CEMIUP0.9 Raw'!A1233</f>
        <v>BE (CEMI internal group)</v>
      </c>
    </row>
    <row r="1318" customFormat="false" ht="15" hidden="false" customHeight="false" outlineLevel="0" collapsed="false">
      <c r="A1318" s="18" t="n">
        <f aca="false">'CEMIUP0.9 Raw'!B1514</f>
        <v>4413143</v>
      </c>
      <c r="B1318" s="18" t="str">
        <f aca="false">'CEMIUP0.9 Raw'!C1514</f>
        <v>95 XS מגן מרפק רגיל לבן</v>
      </c>
      <c r="C1318" s="18" t="str">
        <f aca="false">'CEMIUP0.9 Raw'!C1514</f>
        <v>95 XS מגן מרפק רגיל לבן</v>
      </c>
      <c r="D1318" s="19" t="n">
        <f aca="false">'CEMIUP0.9 Raw'!D1514</f>
        <v>37</v>
      </c>
      <c r="E1318" s="19" t="n">
        <f aca="false">'CEMIUP0.9 Raw'!E1514</f>
        <v>867.685</v>
      </c>
      <c r="F1318" s="19" t="n">
        <f aca="false">'CEMIUP0.9 Raw'!F1514</f>
        <v>40.4210526315789</v>
      </c>
      <c r="G1318" s="19" t="n">
        <f aca="false">'CEMIUP0.9 Raw'!G1514</f>
        <v>957.166736842105</v>
      </c>
      <c r="H1318" s="18" t="str">
        <f aca="false">'CEMIUP0.9 Raw'!A1514</f>
        <v>Super-Pharm Israel (CEMI internal group)</v>
      </c>
    </row>
    <row r="1319" customFormat="false" ht="15" hidden="false" customHeight="false" outlineLevel="0" collapsed="false">
      <c r="A1319" s="18" t="n">
        <f aca="false">'SALES Raw'!G8</f>
        <v>4413453</v>
      </c>
      <c r="B1319" s="18" t="str">
        <f aca="false">'SALES Raw'!B8</f>
        <v>AC75-S-XL</v>
      </c>
      <c r="C1319" s="18" t="str">
        <f aca="false">'SALES Raw'!H8</f>
        <v>AC75 מישר כתפיים אקטיב</v>
      </c>
      <c r="D1319" s="19" t="n">
        <f aca="false">'SALES Raw'!C8</f>
        <v>69</v>
      </c>
      <c r="E1319" s="19" t="n">
        <f aca="false">'SALES Raw'!D8</f>
        <v>5398.3</v>
      </c>
      <c r="F1319" s="19" t="n">
        <f aca="false">'SALES Raw'!E8*$H$4</f>
        <v>39.1578947368421</v>
      </c>
      <c r="G1319" s="19" t="n">
        <f aca="false">'SALES Raw'!F8*$H$4</f>
        <v>2978.70315789474</v>
      </c>
      <c r="H1319" s="18" t="str">
        <f aca="false">'SALES Raw'!A8</f>
        <v>101 - Factory customers</v>
      </c>
    </row>
    <row r="1320" customFormat="false" ht="15" hidden="false" customHeight="false" outlineLevel="0" collapsed="false">
      <c r="A1320" s="18" t="n">
        <f aca="false">'SALES Raw'!G136</f>
        <v>4403002</v>
      </c>
      <c r="B1320" s="18" t="str">
        <f aca="false">'SALES Raw'!B136</f>
        <v>390B-43-46</v>
      </c>
      <c r="C1320" s="18" t="str">
        <f aca="false">'SALES Raw'!H136</f>
        <v>390B 43-46.גרב.כסף לסכרתיים שח</v>
      </c>
      <c r="D1320" s="19" t="n">
        <f aca="false">'SALES Raw'!C136</f>
        <v>63</v>
      </c>
      <c r="E1320" s="19" t="n">
        <f aca="false">'SALES Raw'!D136</f>
        <v>1782.52</v>
      </c>
      <c r="F1320" s="19" t="n">
        <f aca="false">'SALES Raw'!E136*$H$4</f>
        <v>39.1578947368421</v>
      </c>
      <c r="G1320" s="19" t="n">
        <f aca="false">'SALES Raw'!F136*$H$4</f>
        <v>1437.53684210526</v>
      </c>
      <c r="H1320" s="18" t="str">
        <f aca="false">'SALES Raw'!A136</f>
        <v>101 - Factory customers</v>
      </c>
    </row>
    <row r="1321" customFormat="false" ht="15" hidden="false" customHeight="false" outlineLevel="0" collapsed="false">
      <c r="A1321" s="18" t="n">
        <f aca="false">'SALES Raw'!G636</f>
        <v>4403023</v>
      </c>
      <c r="B1321" s="18" t="str">
        <f aca="false">'SALES Raw'!B636</f>
        <v>394W-35-38</v>
      </c>
      <c r="C1321" s="18" t="str">
        <f aca="false">'SALES Raw'!H636</f>
        <v>394W 35-38 גרב.כסף לסכרתים לבן</v>
      </c>
      <c r="D1321" s="19" t="n">
        <f aca="false">'SALES Raw'!C636</f>
        <v>70</v>
      </c>
      <c r="E1321" s="19" t="n">
        <f aca="false">'SALES Raw'!D636</f>
        <v>1544.8</v>
      </c>
      <c r="F1321" s="19" t="n">
        <f aca="false">'SALES Raw'!E636*$H$4</f>
        <v>39.1578947368421</v>
      </c>
      <c r="G1321" s="19" t="n">
        <f aca="false">'SALES Raw'!F636*$H$4</f>
        <v>947.115789473684</v>
      </c>
      <c r="H1321" s="18" t="str">
        <f aca="false">'SALES Raw'!A636</f>
        <v>102 - Orthopedic institutes</v>
      </c>
    </row>
    <row r="1322" customFormat="false" ht="15" hidden="false" customHeight="false" outlineLevel="0" collapsed="false">
      <c r="A1322" s="18" t="n">
        <f aca="false">'SALES Raw'!G2253</f>
        <v>4415297</v>
      </c>
      <c r="B1322" s="18" t="str">
        <f aca="false">'SALES Raw'!B2253</f>
        <v>313 0</v>
      </c>
      <c r="C1322" s="18" t="str">
        <f aca="false">'SALES Raw'!H2253</f>
        <v>313 סט פלסטרים נגד שפשופים</v>
      </c>
      <c r="D1322" s="19" t="n">
        <f aca="false">'SALES Raw'!C2253</f>
        <v>20</v>
      </c>
      <c r="E1322" s="19" t="n">
        <f aca="false">'SALES Raw'!D2253</f>
        <v>791.62</v>
      </c>
      <c r="F1322" s="19" t="n">
        <f aca="false">'SALES Raw'!E2253*$H$4</f>
        <v>39.1578947368421</v>
      </c>
      <c r="G1322" s="19" t="n">
        <f aca="false">'SALES Raw'!F2253*$H$4</f>
        <v>1614.85894736842</v>
      </c>
      <c r="H1322" s="18" t="str">
        <f aca="false">'SALES Raw'!A2253</f>
        <v>114 - IL online</v>
      </c>
    </row>
    <row r="1323" customFormat="false" ht="15" hidden="false" customHeight="false" outlineLevel="0" collapsed="false">
      <c r="A1323" s="18" t="n">
        <f aca="false">'SALES Raw'!G2528</f>
        <v>4422034</v>
      </c>
      <c r="B1323" s="18" t="str">
        <f aca="false">'SALES Raw'!B2528</f>
        <v>807CB-P</v>
      </c>
      <c r="C1323" s="18" t="str">
        <f aca="false">'SALES Raw'!H2528</f>
        <v>807CB-P תחבושת נצמדת ורוד 20ממ</v>
      </c>
      <c r="D1323" s="19" t="n">
        <f aca="false">'SALES Raw'!C2528</f>
        <v>8</v>
      </c>
      <c r="E1323" s="19" t="n">
        <f aca="false">'SALES Raw'!D2528</f>
        <v>162.3</v>
      </c>
      <c r="F1323" s="19" t="n">
        <f aca="false">'SALES Raw'!E2528*$H$4</f>
        <v>39.1578947368421</v>
      </c>
      <c r="G1323" s="19" t="n">
        <f aca="false">'SALES Raw'!F2528*$H$4</f>
        <v>833.709473684211</v>
      </c>
      <c r="H1323" s="18" t="str">
        <f aca="false">'SALES Raw'!A2528</f>
        <v>114 - IL online</v>
      </c>
    </row>
    <row r="1324" customFormat="false" ht="15" hidden="false" customHeight="false" outlineLevel="0" collapsed="false">
      <c r="A1324" s="18" t="n">
        <f aca="false">'SALES Raw'!G2647</f>
        <v>4413421</v>
      </c>
      <c r="B1324" s="18" t="str">
        <f aca="false">'SALES Raw'!B2647</f>
        <v>SC35L M</v>
      </c>
      <c r="C1324" s="18" t="str">
        <f aca="false">'SALES Raw'!H2647</f>
        <v>SC35L  M מגן קרסול שמאל</v>
      </c>
      <c r="D1324" s="19" t="n">
        <f aca="false">'SALES Raw'!C2647</f>
        <v>29</v>
      </c>
      <c r="E1324" s="19" t="n">
        <f aca="false">'SALES Raw'!D2647</f>
        <v>3713.45</v>
      </c>
      <c r="F1324" s="19" t="n">
        <f aca="false">'SALES Raw'!E2647*$H$4</f>
        <v>39.1578947368421</v>
      </c>
      <c r="G1324" s="19" t="n">
        <f aca="false">'SALES Raw'!F2647*$H$4</f>
        <v>5873.38105263158</v>
      </c>
      <c r="H1324" s="18" t="str">
        <f aca="false">'SALES Raw'!A2647</f>
        <v>114 - IL online</v>
      </c>
    </row>
    <row r="1325" customFormat="false" ht="15" hidden="false" customHeight="false" outlineLevel="0" collapsed="false">
      <c r="A1325" s="18" t="str">
        <f aca="false">'SALES Raw'!G2684</f>
        <v/>
      </c>
      <c r="B1325" s="18" t="str">
        <f aca="false">'SALES Raw'!B2684</f>
        <v>ST27L 0</v>
      </c>
      <c r="C1325" s="18" t="str">
        <f aca="false">'SALES Raw'!H2684</f>
        <v>ST27L 0</v>
      </c>
      <c r="D1325" s="19" t="n">
        <f aca="false">'SALES Raw'!C2684</f>
        <v>27</v>
      </c>
      <c r="E1325" s="19" t="n">
        <f aca="false">'SALES Raw'!D2684</f>
        <v>2071.44</v>
      </c>
      <c r="F1325" s="19" t="n">
        <f aca="false">'SALES Raw'!E2684*$H$4</f>
        <v>39.1578947368421</v>
      </c>
      <c r="G1325" s="19" t="n">
        <f aca="false">'SALES Raw'!F2684*$H$4</f>
        <v>3240.26526315789</v>
      </c>
      <c r="H1325" s="18" t="str">
        <f aca="false">'SALES Raw'!A2684</f>
        <v>114 - IL online</v>
      </c>
    </row>
    <row r="1326" customFormat="false" ht="15" hidden="false" customHeight="false" outlineLevel="0" collapsed="false">
      <c r="A1326" s="18" t="n">
        <f aca="false">'SALES Raw'!G3178</f>
        <v>4415005</v>
      </c>
      <c r="B1326" s="18" t="str">
        <f aca="false">'SALES Raw'!B3178</f>
        <v>28 L</v>
      </c>
      <c r="C1326" s="18" t="str">
        <f aca="false">'SALES Raw'!H3178</f>
        <v>28 L סד לאגודל לאחר שבר</v>
      </c>
      <c r="D1326" s="19" t="n">
        <f aca="false">'SALES Raw'!C3178</f>
        <v>16</v>
      </c>
      <c r="E1326" s="19" t="n">
        <f aca="false">'SALES Raw'!D3178</f>
        <v>555.17</v>
      </c>
      <c r="F1326" s="19" t="n">
        <f aca="false">'SALES Raw'!E3178*$H$4</f>
        <v>39.1578947368421</v>
      </c>
      <c r="G1326" s="19" t="n">
        <f aca="false">'SALES Raw'!F3178*$H$4</f>
        <v>1277.93684210526</v>
      </c>
      <c r="H1326" s="18" t="str">
        <f aca="false">'SALES Raw'!A3178</f>
        <v>204 - Sanaflex Anatomic GREECE</v>
      </c>
    </row>
    <row r="1327" customFormat="false" ht="15" hidden="false" customHeight="false" outlineLevel="0" collapsed="false">
      <c r="A1327" s="18" t="n">
        <f aca="false">'SALES Raw'!G3211</f>
        <v>4413494</v>
      </c>
      <c r="B1327" s="18" t="str">
        <f aca="false">'SALES Raw'!B3211</f>
        <v>35B XXL</v>
      </c>
      <c r="C1327" s="18" t="str">
        <f aca="false">'SALES Raw'!H3211</f>
        <v>35B XXL מגן קרסול שחור</v>
      </c>
      <c r="D1327" s="19" t="n">
        <f aca="false">'SALES Raw'!C3211</f>
        <v>35</v>
      </c>
      <c r="E1327" s="19" t="n">
        <f aca="false">'SALES Raw'!D3211</f>
        <v>385.93</v>
      </c>
      <c r="F1327" s="19" t="n">
        <f aca="false">'SALES Raw'!E3211*$H$4</f>
        <v>39.1578947368421</v>
      </c>
      <c r="G1327" s="19" t="n">
        <f aca="false">'SALES Raw'!F3211*$H$4</f>
        <v>390.265263157895</v>
      </c>
      <c r="H1327" s="18" t="str">
        <f aca="false">'SALES Raw'!A3211</f>
        <v>204 - Sanaflex Anatomic GREECE</v>
      </c>
    </row>
    <row r="1328" customFormat="false" ht="15" hidden="false" customHeight="false" outlineLevel="0" collapsed="false">
      <c r="A1328" s="18" t="n">
        <f aca="false">'SALES Raw'!G3301</f>
        <v>4411015</v>
      </c>
      <c r="B1328" s="18" t="str">
        <f aca="false">'SALES Raw'!B3301</f>
        <v>820 0</v>
      </c>
      <c r="C1328" s="18" t="str">
        <f aca="false">'SALES Raw'!H3301</f>
        <v>820 0 כרית חום וקור</v>
      </c>
      <c r="D1328" s="19" t="n">
        <f aca="false">'SALES Raw'!C3301</f>
        <v>51</v>
      </c>
      <c r="E1328" s="19" t="n">
        <f aca="false">'SALES Raw'!D3301</f>
        <v>1198.79</v>
      </c>
      <c r="F1328" s="19" t="n">
        <f aca="false">'SALES Raw'!E3301*$H$4</f>
        <v>39.1578947368421</v>
      </c>
      <c r="G1328" s="19" t="n">
        <f aca="false">'SALES Raw'!F3301*$H$4</f>
        <v>814.736842105263</v>
      </c>
      <c r="H1328" s="18" t="str">
        <f aca="false">'SALES Raw'!A3301</f>
        <v>204 - Sanaflex Anatomic GREECE</v>
      </c>
    </row>
    <row r="1329" customFormat="false" ht="15" hidden="false" customHeight="false" outlineLevel="0" collapsed="false">
      <c r="A1329" s="18" t="n">
        <f aca="false">'CEMIUP0.9 Raw'!B278</f>
        <v>4413105</v>
      </c>
      <c r="B1329" s="18" t="str">
        <f aca="false">'CEMIUP0.9 Raw'!C278</f>
        <v>45E XXLמגן ברך ארוך לבן</v>
      </c>
      <c r="C1329" s="18" t="str">
        <f aca="false">'CEMIUP0.9 Raw'!C278</f>
        <v>45E XXLמגן ברך ארוך לבן</v>
      </c>
      <c r="D1329" s="19" t="n">
        <f aca="false">'CEMIUP0.9 Raw'!D278</f>
        <v>50</v>
      </c>
      <c r="E1329" s="19" t="n">
        <f aca="false">'CEMIUP0.9 Raw'!E278</f>
        <v>1669.311</v>
      </c>
      <c r="F1329" s="19" t="n">
        <f aca="false">'CEMIUP0.9 Raw'!F278</f>
        <v>39.1578947368421</v>
      </c>
      <c r="G1329" s="19" t="n">
        <f aca="false">'CEMIUP0.9 Raw'!G278</f>
        <v>1300.16968421053</v>
      </c>
      <c r="H1329" s="18" t="str">
        <f aca="false">'CEMIUP0.9 Raw'!A278</f>
        <v>107 - Pharmacies</v>
      </c>
    </row>
    <row r="1330" customFormat="false" ht="15" hidden="false" customHeight="false" outlineLevel="0" collapsed="false">
      <c r="A1330" s="18" t="n">
        <f aca="false">'CEMIUP0.9 Raw'!B594</f>
        <v>4422040</v>
      </c>
      <c r="B1330" s="18" t="str">
        <f aca="false">'CEMIUP0.9 Raw'!C594</f>
        <v>SH422 4 תומך ברך גנושילד</v>
      </c>
      <c r="C1330" s="18" t="str">
        <f aca="false">'CEMIUP0.9 Raw'!C594</f>
        <v>SH422 4 תומך ברך גנושילד</v>
      </c>
      <c r="D1330" s="19" t="n">
        <f aca="false">'CEMIUP0.9 Raw'!D594</f>
        <v>8</v>
      </c>
      <c r="E1330" s="19" t="n">
        <f aca="false">'CEMIUP0.9 Raw'!E594</f>
        <v>1389.785</v>
      </c>
      <c r="F1330" s="19" t="n">
        <f aca="false">'CEMIUP0.9 Raw'!F594</f>
        <v>39.1578947368421</v>
      </c>
      <c r="G1330" s="19" t="n">
        <f aca="false">'CEMIUP0.9 Raw'!G594</f>
        <v>6863.74736842105</v>
      </c>
      <c r="H1330" s="18" t="str">
        <f aca="false">'CEMIUP0.9 Raw'!A594</f>
        <v>107 - Pharmacies</v>
      </c>
    </row>
    <row r="1331" customFormat="false" ht="15" hidden="false" customHeight="false" outlineLevel="0" collapsed="false">
      <c r="A1331" s="18" t="n">
        <f aca="false">'CEMIUP0.9 Raw'!B736</f>
        <v>4408231</v>
      </c>
      <c r="B1331" s="18" t="str">
        <f aca="false">'CEMIUP0.9 Raw'!C736</f>
        <v>16 S-M חגורת הריון</v>
      </c>
      <c r="C1331" s="18" t="str">
        <f aca="false">'CEMIUP0.9 Raw'!C736</f>
        <v>16 S-M חגורת הריון</v>
      </c>
      <c r="D1331" s="19" t="n">
        <f aca="false">'CEMIUP0.9 Raw'!D736</f>
        <v>49</v>
      </c>
      <c r="E1331" s="19" t="n">
        <f aca="false">'CEMIUP0.9 Raw'!E736</f>
        <v>3812.2</v>
      </c>
      <c r="F1331" s="19" t="n">
        <f aca="false">'CEMIUP0.9 Raw'!F736</f>
        <v>39.1578947368421</v>
      </c>
      <c r="G1331" s="19" t="n">
        <f aca="false">'CEMIUP0.9 Raw'!G736</f>
        <v>2896.12547368421</v>
      </c>
      <c r="H1331" s="18" t="str">
        <f aca="false">'CEMIUP0.9 Raw'!A736</f>
        <v>113 - Kupat Holim Meuhedet</v>
      </c>
    </row>
    <row r="1332" customFormat="false" ht="15" hidden="false" customHeight="false" outlineLevel="0" collapsed="false">
      <c r="A1332" s="18" t="n">
        <f aca="false">'CEMIUP0.9 Raw'!B1430</f>
        <v>4411031</v>
      </c>
      <c r="B1332" s="18" t="str">
        <f aca="false">'CEMIUP0.9 Raw'!C1430</f>
        <v>213CTS  S ימין CTS כפפות</v>
      </c>
      <c r="C1332" s="18" t="str">
        <f aca="false">'CEMIUP0.9 Raw'!C1430</f>
        <v>213CTS  S ימין CTS כפפות</v>
      </c>
      <c r="D1332" s="19" t="n">
        <f aca="false">'CEMIUP0.9 Raw'!D1430</f>
        <v>0</v>
      </c>
      <c r="E1332" s="19" t="n">
        <f aca="false">'CEMIUP0.9 Raw'!E1430</f>
        <v>0</v>
      </c>
      <c r="F1332" s="19" t="n">
        <f aca="false">'CEMIUP0.9 Raw'!F1430</f>
        <v>39.1578947368421</v>
      </c>
      <c r="G1332" s="19" t="n">
        <f aca="false">'CEMIUP0.9 Raw'!G1430</f>
        <v>3576.70231578947</v>
      </c>
      <c r="H1332" s="18" t="str">
        <f aca="false">'CEMIUP0.9 Raw'!A1430</f>
        <v>Super-Pharm Israel (CEMI internal group)</v>
      </c>
    </row>
    <row r="1333" customFormat="false" ht="15" hidden="false" customHeight="false" outlineLevel="0" collapsed="false">
      <c r="A1333" s="18" t="n">
        <f aca="false">'CEMIUP0.9 Raw'!B42</f>
        <v>4403044</v>
      </c>
      <c r="B1333" s="18" t="str">
        <f aca="false">'CEMIUP0.9 Raw'!C42</f>
        <v>395B גרבי קיץ אנטי בקטריא39-42</v>
      </c>
      <c r="C1333" s="18" t="str">
        <f aca="false">'CEMIUP0.9 Raw'!C42</f>
        <v>395B גרבי קיץ אנטי בקטריא39-42</v>
      </c>
      <c r="D1333" s="19" t="n">
        <f aca="false">'CEMIUP0.9 Raw'!D42</f>
        <v>0</v>
      </c>
      <c r="E1333" s="19" t="n">
        <f aca="false">'CEMIUP0.9 Raw'!E42</f>
        <v>0</v>
      </c>
      <c r="F1333" s="19" t="n">
        <f aca="false">'CEMIUP0.9 Raw'!F42</f>
        <v>37.8947368421053</v>
      </c>
      <c r="G1333" s="19" t="n">
        <f aca="false">'CEMIUP0.9 Raw'!G42</f>
        <v>1042.86821052632</v>
      </c>
      <c r="H1333" s="18" t="str">
        <f aca="false">'CEMIUP0.9 Raw'!A42</f>
        <v>107 - Pharmacies</v>
      </c>
    </row>
    <row r="1334" customFormat="false" ht="15" hidden="false" customHeight="false" outlineLevel="0" collapsed="false">
      <c r="A1334" s="18" t="n">
        <f aca="false">'CEMIUP0.9 Raw'!B66</f>
        <v>4408034</v>
      </c>
      <c r="B1334" s="18" t="str">
        <f aca="false">'CEMIUP0.9 Raw'!C66</f>
        <v>11 XL""חגורת בטן""אורירית</v>
      </c>
      <c r="C1334" s="18" t="str">
        <f aca="false">'CEMIUP0.9 Raw'!C66</f>
        <v>11 XL""חגורת בטן""אורירית</v>
      </c>
      <c r="D1334" s="19" t="n">
        <f aca="false">'CEMIUP0.9 Raw'!D66</f>
        <v>49</v>
      </c>
      <c r="E1334" s="19" t="n">
        <f aca="false">'CEMIUP0.9 Raw'!E66</f>
        <v>4577.415</v>
      </c>
      <c r="F1334" s="19" t="n">
        <f aca="false">'CEMIUP0.9 Raw'!F66</f>
        <v>37.8947368421053</v>
      </c>
      <c r="G1334" s="19" t="n">
        <f aca="false">'CEMIUP0.9 Raw'!G66</f>
        <v>3521.24084210526</v>
      </c>
      <c r="H1334" s="18" t="str">
        <f aca="false">'CEMIUP0.9 Raw'!A66</f>
        <v>107 - Pharmacies</v>
      </c>
    </row>
    <row r="1335" customFormat="false" ht="15" hidden="false" customHeight="false" outlineLevel="0" collapsed="false">
      <c r="A1335" s="18" t="n">
        <f aca="false">'CEMIUP0.9 Raw'!B75</f>
        <v>4408049</v>
      </c>
      <c r="B1335" s="18" t="str">
        <f aca="false">'CEMIUP0.9 Raw'!C75</f>
        <v>20 XL חבק יד מתכוון עם צמדן</v>
      </c>
      <c r="C1335" s="18" t="str">
        <f aca="false">'CEMIUP0.9 Raw'!C75</f>
        <v>20 XL חבק יד מתכוון עם צמדן</v>
      </c>
      <c r="D1335" s="19" t="n">
        <f aca="false">'CEMIUP0.9 Raw'!D75</f>
        <v>80</v>
      </c>
      <c r="E1335" s="19" t="n">
        <f aca="false">'CEMIUP0.9 Raw'!E75</f>
        <v>2369.458</v>
      </c>
      <c r="F1335" s="19" t="n">
        <f aca="false">'CEMIUP0.9 Raw'!F75</f>
        <v>37.8947368421053</v>
      </c>
      <c r="G1335" s="19" t="n">
        <f aca="false">'CEMIUP0.9 Raw'!G75</f>
        <v>1116.48378947368</v>
      </c>
      <c r="H1335" s="18" t="str">
        <f aca="false">'CEMIUP0.9 Raw'!A75</f>
        <v>107 - Pharmacies</v>
      </c>
    </row>
    <row r="1336" customFormat="false" ht="15" hidden="false" customHeight="false" outlineLevel="0" collapsed="false">
      <c r="A1336" s="18" t="n">
        <f aca="false">'CEMIUP0.9 Raw'!B826</f>
        <v>4413196</v>
      </c>
      <c r="B1336" s="18" t="str">
        <f aca="false">'CEMIUP0.9 Raw'!C826</f>
        <v>87 M מקבע כתף ויד</v>
      </c>
      <c r="C1336" s="18" t="str">
        <f aca="false">'CEMIUP0.9 Raw'!C826</f>
        <v>87 M מקבע כתף ויד</v>
      </c>
      <c r="D1336" s="19" t="n">
        <f aca="false">'CEMIUP0.9 Raw'!D826</f>
        <v>61</v>
      </c>
      <c r="E1336" s="19" t="n">
        <f aca="false">'CEMIUP0.9 Raw'!E826</f>
        <v>7716.5</v>
      </c>
      <c r="F1336" s="19" t="n">
        <f aca="false">'CEMIUP0.9 Raw'!F826</f>
        <v>37.8947368421053</v>
      </c>
      <c r="G1336" s="19" t="n">
        <f aca="false">'CEMIUP0.9 Raw'!G826</f>
        <v>4309.95031578947</v>
      </c>
      <c r="H1336" s="18" t="str">
        <f aca="false">'CEMIUP0.9 Raw'!A826</f>
        <v>113 - Kupat Holim Meuhedet</v>
      </c>
    </row>
    <row r="1337" customFormat="false" ht="15" hidden="false" customHeight="false" outlineLevel="0" collapsed="false">
      <c r="A1337" s="18" t="n">
        <f aca="false">'CEMIUP0.9 Raw'!B1199</f>
        <v>4413495</v>
      </c>
      <c r="B1337" s="18" t="str">
        <f aca="false">'CEMIUP0.9 Raw'!C1199</f>
        <v>45B L מגן ברך שחור</v>
      </c>
      <c r="C1337" s="18" t="str">
        <f aca="false">'CEMIUP0.9 Raw'!C1199</f>
        <v>45B L מגן ברך שחור</v>
      </c>
      <c r="D1337" s="19" t="n">
        <f aca="false">'CEMIUP0.9 Raw'!D1199</f>
        <v>44</v>
      </c>
      <c r="E1337" s="19" t="n">
        <f aca="false">'CEMIUP0.9 Raw'!E1199</f>
        <v>1111.11</v>
      </c>
      <c r="F1337" s="19" t="n">
        <f aca="false">'CEMIUP0.9 Raw'!F1199</f>
        <v>37.8947368421053</v>
      </c>
      <c r="G1337" s="19" t="n">
        <f aca="false">'CEMIUP0.9 Raw'!G1199</f>
        <v>957.051789473684</v>
      </c>
      <c r="H1337" s="18" t="str">
        <f aca="false">'CEMIUP0.9 Raw'!A1199</f>
        <v>BE (CEMI internal group)</v>
      </c>
    </row>
    <row r="1338" customFormat="false" ht="15" hidden="false" customHeight="false" outlineLevel="0" collapsed="false">
      <c r="A1338" s="18" t="n">
        <f aca="false">'CEMIUP0.9 Raw'!B1218</f>
        <v>4415029</v>
      </c>
      <c r="B1338" s="18" t="str">
        <f aca="false">'CEMIUP0.9 Raw'!C1218</f>
        <v>סד קיבוע לאצבע הדק</v>
      </c>
      <c r="C1338" s="18" t="str">
        <f aca="false">'CEMIUP0.9 Raw'!C1218</f>
        <v>סד קיבוע לאצבע הדק</v>
      </c>
      <c r="D1338" s="19" t="n">
        <f aca="false">'CEMIUP0.9 Raw'!D1218</f>
        <v>13</v>
      </c>
      <c r="E1338" s="19" t="n">
        <f aca="false">'CEMIUP0.9 Raw'!E1218</f>
        <v>479.752</v>
      </c>
      <c r="F1338" s="19" t="n">
        <f aca="false">'CEMIUP0.9 Raw'!F1218</f>
        <v>37.8947368421053</v>
      </c>
      <c r="G1338" s="19" t="n">
        <f aca="false">'CEMIUP0.9 Raw'!G1218</f>
        <v>1398.67957894737</v>
      </c>
      <c r="H1338" s="18" t="str">
        <f aca="false">'CEMIUP0.9 Raw'!A1218</f>
        <v>BE (CEMI internal group)</v>
      </c>
    </row>
    <row r="1339" customFormat="false" ht="15" hidden="false" customHeight="false" outlineLevel="0" collapsed="false">
      <c r="A1339" s="18" t="n">
        <f aca="false">'CEMIUP0.9 Raw'!B1226</f>
        <v>4415159</v>
      </c>
      <c r="B1339" s="18" t="str">
        <f aca="false">'CEMIUP0.9 Raw'!C1226</f>
        <v>268 סד לאגודל</v>
      </c>
      <c r="C1339" s="18" t="str">
        <f aca="false">'CEMIUP0.9 Raw'!C1226</f>
        <v>268 סד לאגודל</v>
      </c>
      <c r="D1339" s="19" t="n">
        <f aca="false">'CEMIUP0.9 Raw'!D1226</f>
        <v>43</v>
      </c>
      <c r="E1339" s="19" t="n">
        <f aca="false">'CEMIUP0.9 Raw'!E1226</f>
        <v>4314.219</v>
      </c>
      <c r="F1339" s="19" t="n">
        <f aca="false">'CEMIUP0.9 Raw'!F1226</f>
        <v>37.8947368421053</v>
      </c>
      <c r="G1339" s="19" t="n">
        <f aca="false">'CEMIUP0.9 Raw'!G1226</f>
        <v>3801.99915789474</v>
      </c>
      <c r="H1339" s="18" t="str">
        <f aca="false">'CEMIUP0.9 Raw'!A1226</f>
        <v>BE (CEMI internal group)</v>
      </c>
    </row>
    <row r="1340" customFormat="false" ht="15" hidden="false" customHeight="false" outlineLevel="0" collapsed="false">
      <c r="A1340" s="18" t="n">
        <f aca="false">'CEMIUP0.9 Raw'!B1266</f>
        <v>4421003</v>
      </c>
      <c r="B1340" s="18" t="str">
        <f aca="false">'CEMIUP0.9 Raw'!C1266</f>
        <v>3672 שרוול מגן לבוניון</v>
      </c>
      <c r="C1340" s="18" t="str">
        <f aca="false">'CEMIUP0.9 Raw'!C1266</f>
        <v>3672 שרוול מגן לבוניון</v>
      </c>
      <c r="D1340" s="19" t="n">
        <f aca="false">'CEMIUP0.9 Raw'!D1266</f>
        <v>98</v>
      </c>
      <c r="E1340" s="19" t="n">
        <f aca="false">'CEMIUP0.9 Raw'!E1266</f>
        <v>2775.227</v>
      </c>
      <c r="F1340" s="19" t="n">
        <f aca="false">'CEMIUP0.9 Raw'!F1266</f>
        <v>37.8947368421053</v>
      </c>
      <c r="G1340" s="19" t="n">
        <f aca="false">'CEMIUP0.9 Raw'!G1266</f>
        <v>1008.20336842105</v>
      </c>
      <c r="H1340" s="18" t="str">
        <f aca="false">'CEMIUP0.9 Raw'!A1266</f>
        <v>BE (CEMI internal group)</v>
      </c>
    </row>
    <row r="1341" customFormat="false" ht="15" hidden="false" customHeight="false" outlineLevel="0" collapsed="false">
      <c r="A1341" s="18" t="n">
        <f aca="false">'CEMIUP0.9 Raw'!B1280</f>
        <v>4403002</v>
      </c>
      <c r="B1341" s="18" t="str">
        <f aca="false">'CEMIUP0.9 Raw'!C1280</f>
        <v>390B 43-46.גרב.כסף לסכרתיים שח</v>
      </c>
      <c r="C1341" s="18" t="str">
        <f aca="false">'CEMIUP0.9 Raw'!C1280</f>
        <v>390B 43-46.גרב.כסף לסכרתיים שח</v>
      </c>
      <c r="D1341" s="19" t="n">
        <f aca="false">'CEMIUP0.9 Raw'!D1280</f>
        <v>96</v>
      </c>
      <c r="E1341" s="19" t="n">
        <f aca="false">'CEMIUP0.9 Raw'!E1280</f>
        <v>2540.356</v>
      </c>
      <c r="F1341" s="19" t="n">
        <f aca="false">'CEMIUP0.9 Raw'!F1280</f>
        <v>37.8947368421053</v>
      </c>
      <c r="G1341" s="19" t="n">
        <f aca="false">'CEMIUP0.9 Raw'!G1280</f>
        <v>1010.04252631579</v>
      </c>
      <c r="H1341" s="18" t="str">
        <f aca="false">'CEMIUP0.9 Raw'!A1280</f>
        <v>Super-Pharm Israel (CEMI internal group)</v>
      </c>
    </row>
    <row r="1342" customFormat="false" ht="15" hidden="false" customHeight="false" outlineLevel="0" collapsed="false">
      <c r="A1342" s="18" t="n">
        <f aca="false">'CEMIUP0.9 Raw'!B1385</f>
        <v>4408230</v>
      </c>
      <c r="B1342" s="18" t="str">
        <f aca="false">'CEMIUP0.9 Raw'!C1385</f>
        <v>16 L-XL חגורת הריון</v>
      </c>
      <c r="C1342" s="18" t="str">
        <f aca="false">'CEMIUP0.9 Raw'!C1385</f>
        <v>16 L-XL חגורת הריון</v>
      </c>
      <c r="D1342" s="19" t="n">
        <f aca="false">'CEMIUP0.9 Raw'!D1385</f>
        <v>44</v>
      </c>
      <c r="E1342" s="19" t="n">
        <f aca="false">'CEMIUP0.9 Raw'!E1385</f>
        <v>4031.664</v>
      </c>
      <c r="F1342" s="19" t="n">
        <f aca="false">'CEMIUP0.9 Raw'!F1385</f>
        <v>37.8947368421053</v>
      </c>
      <c r="G1342" s="19" t="n">
        <f aca="false">'CEMIUP0.9 Raw'!G1385</f>
        <v>3575.43789473684</v>
      </c>
      <c r="H1342" s="18" t="str">
        <f aca="false">'CEMIUP0.9 Raw'!A1385</f>
        <v>Super-Pharm Israel (CEMI internal group)</v>
      </c>
    </row>
    <row r="1343" customFormat="false" ht="15" hidden="false" customHeight="false" outlineLevel="0" collapsed="false">
      <c r="A1343" s="18" t="n">
        <f aca="false">'CEMIUP0.9 Raw'!B1708</f>
        <v>4422041</v>
      </c>
      <c r="B1343" s="18" t="str">
        <f aca="false">'CEMIUP0.9 Raw'!C1708</f>
        <v>SH422 5 תומך ברך גנושילד</v>
      </c>
      <c r="C1343" s="18" t="str">
        <f aca="false">'CEMIUP0.9 Raw'!C1708</f>
        <v>SH422 5 תומך ברך גנושילד</v>
      </c>
      <c r="D1343" s="19" t="n">
        <f aca="false">'CEMIUP0.9 Raw'!D1708</f>
        <v>0</v>
      </c>
      <c r="E1343" s="19" t="n">
        <f aca="false">'CEMIUP0.9 Raw'!E1708</f>
        <v>0</v>
      </c>
      <c r="F1343" s="19" t="n">
        <f aca="false">'CEMIUP0.9 Raw'!F1708</f>
        <v>37.8947368421053</v>
      </c>
      <c r="G1343" s="19" t="n">
        <f aca="false">'CEMIUP0.9 Raw'!G1708</f>
        <v>6207.73263157895</v>
      </c>
      <c r="H1343" s="18" t="str">
        <f aca="false">'CEMIUP0.9 Raw'!A1708</f>
        <v>Super-Pharm Israel (CEMI internal group)</v>
      </c>
    </row>
    <row r="1344" customFormat="false" ht="15" hidden="false" customHeight="false" outlineLevel="0" collapsed="false">
      <c r="A1344" s="18" t="n">
        <f aca="false">'SALES Raw'!G564</f>
        <v>4408081</v>
      </c>
      <c r="B1344" s="18" t="str">
        <f aca="false">'SALES Raw'!B564</f>
        <v>59R M</v>
      </c>
      <c r="C1344" s="18" t="str">
        <f aca="false">'SALES Raw'!H564</f>
        <v>59R M חגורת שבר לצד ימין</v>
      </c>
      <c r="D1344" s="19" t="n">
        <f aca="false">'SALES Raw'!C564</f>
        <v>42</v>
      </c>
      <c r="E1344" s="19" t="n">
        <f aca="false">'SALES Raw'!D564</f>
        <v>5523.43</v>
      </c>
      <c r="F1344" s="19" t="n">
        <f aca="false">'SALES Raw'!E564*$H$4</f>
        <v>37.8947368421053</v>
      </c>
      <c r="G1344" s="19" t="n">
        <f aca="false">'SALES Raw'!F564*$H$4</f>
        <v>5274.15157894737</v>
      </c>
      <c r="H1344" s="18" t="str">
        <f aca="false">'SALES Raw'!A564</f>
        <v>102 - Orthopedic institutes</v>
      </c>
    </row>
    <row r="1345" customFormat="false" ht="15" hidden="false" customHeight="false" outlineLevel="0" collapsed="false">
      <c r="A1345" s="18" t="n">
        <f aca="false">'SALES Raw'!G612</f>
        <v>4408203</v>
      </c>
      <c r="B1345" s="18" t="str">
        <f aca="false">'SALES Raw'!B612</f>
        <v>14 0</v>
      </c>
      <c r="C1345" s="18" t="str">
        <f aca="false">'SALES Raw'!H612</f>
        <v>14 0 חגורה למנותחי בית חזה</v>
      </c>
      <c r="D1345" s="19" t="n">
        <f aca="false">'SALES Raw'!C612</f>
        <v>61</v>
      </c>
      <c r="E1345" s="19" t="n">
        <f aca="false">'SALES Raw'!D612</f>
        <v>10275.08</v>
      </c>
      <c r="F1345" s="19" t="n">
        <f aca="false">'SALES Raw'!E612*$H$4</f>
        <v>37.8947368421053</v>
      </c>
      <c r="G1345" s="19" t="n">
        <f aca="false">'SALES Raw'!F612*$H$4</f>
        <v>6415.35157894737</v>
      </c>
      <c r="H1345" s="18" t="str">
        <f aca="false">'SALES Raw'!A612</f>
        <v>102 - Orthopedic institutes</v>
      </c>
    </row>
    <row r="1346" customFormat="false" ht="15" hidden="false" customHeight="false" outlineLevel="0" collapsed="false">
      <c r="A1346" s="18" t="n">
        <f aca="false">'SALES Raw'!G738</f>
        <v>4408207</v>
      </c>
      <c r="B1346" s="18" t="str">
        <f aca="false">'SALES Raw'!B738</f>
        <v>AC25 0</v>
      </c>
      <c r="C1346" s="18" t="str">
        <f aca="false">'SALES Raw'!H738</f>
        <v>AC-25 חבק לשורש כף היד</v>
      </c>
      <c r="D1346" s="19" t="n">
        <f aca="false">'SALES Raw'!C738</f>
        <v>17</v>
      </c>
      <c r="E1346" s="19" t="n">
        <f aca="false">'SALES Raw'!D738</f>
        <v>636.73</v>
      </c>
      <c r="F1346" s="19" t="n">
        <f aca="false">'SALES Raw'!E738*$H$4</f>
        <v>37.8947368421053</v>
      </c>
      <c r="G1346" s="19" t="n">
        <f aca="false">'SALES Raw'!F738*$H$4</f>
        <v>1419.32210526316</v>
      </c>
      <c r="H1346" s="18" t="str">
        <f aca="false">'SALES Raw'!A738</f>
        <v>102 - Orthopedic institutes</v>
      </c>
    </row>
    <row r="1347" customFormat="false" ht="15" hidden="false" customHeight="false" outlineLevel="0" collapsed="false">
      <c r="A1347" s="18" t="n">
        <f aca="false">'SALES Raw'!G850</f>
        <v>4413455</v>
      </c>
      <c r="B1347" s="18" t="str">
        <f aca="false">'SALES Raw'!B850</f>
        <v>85K 0</v>
      </c>
      <c r="C1347" s="18" t="str">
        <f aca="false">'SALES Raw'!H850</f>
        <v>85K מתלה ליד לילדים</v>
      </c>
      <c r="D1347" s="19" t="n">
        <f aca="false">'SALES Raw'!C850</f>
        <v>32</v>
      </c>
      <c r="E1347" s="19" t="n">
        <f aca="false">'SALES Raw'!D850</f>
        <v>1663.44</v>
      </c>
      <c r="F1347" s="19" t="n">
        <f aca="false">'SALES Raw'!E850*$H$4</f>
        <v>37.8947368421053</v>
      </c>
      <c r="G1347" s="19" t="n">
        <f aca="false">'SALES Raw'!F850*$H$4</f>
        <v>1969.81894736842</v>
      </c>
      <c r="H1347" s="18" t="str">
        <f aca="false">'SALES Raw'!A850</f>
        <v>102 - Orthopedic institutes</v>
      </c>
    </row>
    <row r="1348" customFormat="false" ht="15" hidden="false" customHeight="false" outlineLevel="0" collapsed="false">
      <c r="A1348" s="18" t="n">
        <f aca="false">'SALES Raw'!G882</f>
        <v>4422036</v>
      </c>
      <c r="B1348" s="18" t="str">
        <f aca="false">'SALES Raw'!B882</f>
        <v>FC334 0</v>
      </c>
      <c r="C1348" s="18" t="str">
        <f aca="false">'SALES Raw'!H882</f>
        <v>FC334  תרסיס דאודורנט לכף הרגל</v>
      </c>
      <c r="D1348" s="19" t="n">
        <f aca="false">'SALES Raw'!C882</f>
        <v>54</v>
      </c>
      <c r="E1348" s="19" t="n">
        <f aca="false">'SALES Raw'!D882</f>
        <v>1053.08</v>
      </c>
      <c r="F1348" s="19" t="n">
        <f aca="false">'SALES Raw'!E882*$H$4</f>
        <v>37.8947368421053</v>
      </c>
      <c r="G1348" s="19" t="n">
        <f aca="false">'SALES Raw'!F882*$H$4</f>
        <v>815.823157894737</v>
      </c>
      <c r="H1348" s="18" t="str">
        <f aca="false">'SALES Raw'!A882</f>
        <v>102 - Orthopedic institutes</v>
      </c>
    </row>
    <row r="1349" customFormat="false" ht="15" hidden="false" customHeight="false" outlineLevel="0" collapsed="false">
      <c r="A1349" s="18" t="n">
        <f aca="false">'SALES Raw'!G913</f>
        <v>4422023</v>
      </c>
      <c r="B1349" s="18" t="str">
        <f aca="false">'SALES Raw'!B913</f>
        <v>806CB-C</v>
      </c>
      <c r="C1349" s="18" t="str">
        <f aca="false">'SALES Raw'!H913</f>
        <v>806CB-BEIGE      תחבושת א.נצמ</v>
      </c>
      <c r="D1349" s="19" t="n">
        <f aca="false">'SALES Raw'!C913</f>
        <v>23</v>
      </c>
      <c r="E1349" s="19" t="n">
        <f aca="false">'SALES Raw'!D913</f>
        <v>246.68</v>
      </c>
      <c r="F1349" s="19" t="n">
        <f aca="false">'SALES Raw'!E913*$H$4</f>
        <v>37.8947368421053</v>
      </c>
      <c r="G1349" s="19" t="n">
        <f aca="false">'SALES Raw'!F913*$H$4</f>
        <v>421.844210526316</v>
      </c>
      <c r="H1349" s="18" t="str">
        <f aca="false">'SALES Raw'!A913</f>
        <v>102 - Orthopedic institutes</v>
      </c>
    </row>
    <row r="1350" customFormat="false" ht="15" hidden="false" customHeight="false" outlineLevel="0" collapsed="false">
      <c r="A1350" s="18" t="n">
        <f aca="false">'SALES Raw'!G927</f>
        <v>4413060</v>
      </c>
      <c r="B1350" s="18" t="str">
        <f aca="false">'SALES Raw'!B927</f>
        <v>364 XL</v>
      </c>
      <c r="C1350" s="18" t="str">
        <f aca="false">'SALES Raw'!H927</f>
        <v>364 XLמפריד אצבע סיליקון ליבלת</v>
      </c>
      <c r="D1350" s="19" t="n">
        <f aca="false">'SALES Raw'!C927</f>
        <v>54</v>
      </c>
      <c r="E1350" s="19" t="n">
        <f aca="false">'SALES Raw'!D927</f>
        <v>760.32</v>
      </c>
      <c r="F1350" s="19" t="n">
        <f aca="false">'SALES Raw'!E927*$H$4</f>
        <v>37.8947368421053</v>
      </c>
      <c r="G1350" s="19" t="n">
        <f aca="false">'SALES Raw'!F927*$H$4</f>
        <v>548.791578947368</v>
      </c>
      <c r="H1350" s="18" t="str">
        <f aca="false">'SALES Raw'!A927</f>
        <v>102 - Orthopedic institutes</v>
      </c>
    </row>
    <row r="1351" customFormat="false" ht="15" hidden="false" customHeight="false" outlineLevel="0" collapsed="false">
      <c r="A1351" s="18" t="n">
        <f aca="false">'SALES Raw'!G1273</f>
        <v>4413453</v>
      </c>
      <c r="B1351" s="18" t="str">
        <f aca="false">'SALES Raw'!B1273</f>
        <v>AC75-S-XL</v>
      </c>
      <c r="C1351" s="18" t="str">
        <f aca="false">'SALES Raw'!H1273</f>
        <v>AC75 מישר כתפיים אקטיב</v>
      </c>
      <c r="D1351" s="19" t="n">
        <f aca="false">'SALES Raw'!C1273</f>
        <v>28</v>
      </c>
      <c r="E1351" s="19" t="n">
        <f aca="false">'SALES Raw'!D1273</f>
        <v>1993.56</v>
      </c>
      <c r="F1351" s="19" t="n">
        <f aca="false">'SALES Raw'!E1273*$H$4</f>
        <v>37.8947368421053</v>
      </c>
      <c r="G1351" s="19" t="n">
        <f aca="false">'SALES Raw'!F1273*$H$4</f>
        <v>2790.25263157895</v>
      </c>
      <c r="H1351" s="18" t="str">
        <f aca="false">'SALES Raw'!A1273</f>
        <v>103 - Physiotherapy institutes</v>
      </c>
    </row>
    <row r="1352" customFormat="false" ht="15" hidden="false" customHeight="false" outlineLevel="0" collapsed="false">
      <c r="A1352" s="18" t="n">
        <f aca="false">'SALES Raw'!G1665</f>
        <v>4413135</v>
      </c>
      <c r="B1352" s="18" t="str">
        <f aca="false">'SALES Raw'!B1665</f>
        <v>85 L</v>
      </c>
      <c r="C1352" s="18" t="str">
        <f aca="false">'SALES Raw'!H1665</f>
        <v>85 L (מתלה ליד )כיס</v>
      </c>
      <c r="D1352" s="19" t="n">
        <f aca="false">'SALES Raw'!C1665</f>
        <v>1</v>
      </c>
      <c r="E1352" s="19" t="n">
        <f aca="false">'SALES Raw'!D1665</f>
        <v>49</v>
      </c>
      <c r="F1352" s="19" t="n">
        <f aca="false">'SALES Raw'!E1665*$H$4</f>
        <v>37.8947368421053</v>
      </c>
      <c r="G1352" s="19" t="n">
        <f aca="false">'SALES Raw'!F1665*$H$4</f>
        <v>1856.84210526316</v>
      </c>
      <c r="H1352" s="18" t="str">
        <f aca="false">'SALES Raw'!A1665</f>
        <v>106 - Hospitals</v>
      </c>
    </row>
    <row r="1353" customFormat="false" ht="15" hidden="false" customHeight="false" outlineLevel="0" collapsed="false">
      <c r="A1353" s="18" t="n">
        <f aca="false">'SALES Raw'!G2514</f>
        <v>4409013</v>
      </c>
      <c r="B1353" s="18" t="str">
        <f aca="false">'SALES Raw'!B2514</f>
        <v>804AT-BL</v>
      </c>
      <c r="C1353" s="18" t="str">
        <f aca="false">'SALES Raw'!H2514</f>
        <v>804AT-BL     טייפ חבישה לספורט</v>
      </c>
      <c r="D1353" s="19" t="n">
        <f aca="false">'SALES Raw'!C2514</f>
        <v>31</v>
      </c>
      <c r="E1353" s="19" t="n">
        <f aca="false">'SALES Raw'!D2514</f>
        <v>851.24</v>
      </c>
      <c r="F1353" s="19" t="n">
        <f aca="false">'SALES Raw'!E2514*$H$4</f>
        <v>37.8947368421053</v>
      </c>
      <c r="G1353" s="19" t="n">
        <f aca="false">'SALES Raw'!F2514*$H$4</f>
        <v>1042.82526315789</v>
      </c>
      <c r="H1353" s="18" t="str">
        <f aca="false">'SALES Raw'!A2514</f>
        <v>114 - IL online</v>
      </c>
    </row>
    <row r="1354" customFormat="false" ht="15" hidden="false" customHeight="false" outlineLevel="0" collapsed="false">
      <c r="A1354" s="18" t="n">
        <f aca="false">'SALES Raw'!G2654</f>
        <v>4413417</v>
      </c>
      <c r="B1354" s="18" t="str">
        <f aca="false">'SALES Raw'!B2654</f>
        <v>SC39 L</v>
      </c>
      <c r="C1354" s="18" t="str">
        <f aca="false">'SALES Raw'!H2654</f>
        <v>SC39  L מגן שוק</v>
      </c>
      <c r="D1354" s="19" t="n">
        <f aca="false">'SALES Raw'!C2654</f>
        <v>32</v>
      </c>
      <c r="E1354" s="19" t="n">
        <f aca="false">'SALES Raw'!D2654</f>
        <v>7712.87</v>
      </c>
      <c r="F1354" s="19" t="n">
        <f aca="false">'SALES Raw'!E2654*$H$4</f>
        <v>37.8947368421053</v>
      </c>
      <c r="G1354" s="19" t="n">
        <f aca="false">'SALES Raw'!F2654*$H$4</f>
        <v>10712.3242105263</v>
      </c>
      <c r="H1354" s="18" t="str">
        <f aca="false">'SALES Raw'!A2654</f>
        <v>114 - IL online</v>
      </c>
    </row>
    <row r="1355" customFormat="false" ht="15" hidden="false" customHeight="false" outlineLevel="0" collapsed="false">
      <c r="A1355" s="18" t="n">
        <f aca="false">'SALES Raw'!G2894</f>
        <v>4408217</v>
      </c>
      <c r="B1355" s="18" t="str">
        <f aca="false">'SALES Raw'!B2894</f>
        <v>078 S</v>
      </c>
      <c r="C1355" s="18" t="str">
        <f aca="false">'SALES Raw'!H2894</f>
        <v>S078 חגורת גב +סגירה כפולה</v>
      </c>
      <c r="D1355" s="19" t="n">
        <f aca="false">'SALES Raw'!C2894</f>
        <v>0</v>
      </c>
      <c r="E1355" s="19" t="n">
        <f aca="false">'SALES Raw'!D2894</f>
        <v>0</v>
      </c>
      <c r="F1355" s="19" t="n">
        <f aca="false">'SALES Raw'!E2894*$H$4</f>
        <v>37.8947368421053</v>
      </c>
      <c r="G1355" s="19" t="n">
        <f aca="false">'SALES Raw'!F2894*$H$4</f>
        <v>2378.09684210526</v>
      </c>
      <c r="H1355" s="18" t="str">
        <f aca="false">'SALES Raw'!A2894</f>
        <v>202 - Super-Pharm POLAND</v>
      </c>
    </row>
    <row r="1356" customFormat="false" ht="15" hidden="false" customHeight="false" outlineLevel="0" collapsed="false">
      <c r="A1356" s="18" t="n">
        <f aca="false">'SALES Raw'!G2900</f>
        <v>4408223</v>
      </c>
      <c r="B1356" s="18" t="str">
        <f aca="false">'SALES Raw'!B2900</f>
        <v>078G XXL</v>
      </c>
      <c r="C1356" s="18" t="str">
        <f aca="false">'SALES Raw'!H2900</f>
        <v>078G-XXLחגורת גב אפורה</v>
      </c>
      <c r="D1356" s="19" t="n">
        <f aca="false">'SALES Raw'!C2900</f>
        <v>106</v>
      </c>
      <c r="E1356" s="19" t="n">
        <f aca="false">'SALES Raw'!D2900</f>
        <v>7580.06</v>
      </c>
      <c r="F1356" s="19" t="n">
        <f aca="false">'SALES Raw'!E2900*$H$4</f>
        <v>37.8947368421053</v>
      </c>
      <c r="G1356" s="19" t="n">
        <f aca="false">'SALES Raw'!F2900*$H$4</f>
        <v>2425.44</v>
      </c>
      <c r="H1356" s="18" t="str">
        <f aca="false">'SALES Raw'!A2900</f>
        <v>202 - Super-Pharm POLAND</v>
      </c>
    </row>
    <row r="1357" customFormat="false" ht="15" hidden="false" customHeight="false" outlineLevel="0" collapsed="false">
      <c r="A1357" s="18" t="n">
        <f aca="false">'SALES Raw'!G2902</f>
        <v>4408033</v>
      </c>
      <c r="B1357" s="18" t="str">
        <f aca="false">'SALES Raw'!B2902</f>
        <v>11 M</v>
      </c>
      <c r="C1357" s="18" t="str">
        <f aca="false">'SALES Raw'!H2902</f>
        <v>11 M""""חגורת בטן""""אורירית</v>
      </c>
      <c r="D1357" s="19" t="n">
        <f aca="false">'SALES Raw'!C2902</f>
        <v>92</v>
      </c>
      <c r="E1357" s="19" t="n">
        <f aca="false">'SALES Raw'!D2902</f>
        <v>7427.56</v>
      </c>
      <c r="F1357" s="19" t="n">
        <f aca="false">'SALES Raw'!E2902*$H$4</f>
        <v>37.8947368421053</v>
      </c>
      <c r="G1357" s="19" t="n">
        <f aca="false">'SALES Raw'!F2902*$H$4</f>
        <v>2613.92842105263</v>
      </c>
      <c r="H1357" s="18" t="str">
        <f aca="false">'SALES Raw'!A2902</f>
        <v>202 - Super-Pharm POLAND</v>
      </c>
    </row>
    <row r="1358" customFormat="false" ht="15" hidden="false" customHeight="false" outlineLevel="0" collapsed="false">
      <c r="A1358" s="18" t="n">
        <f aca="false">'SALES Raw'!G2903</f>
        <v>4408031</v>
      </c>
      <c r="B1358" s="18" t="str">
        <f aca="false">'SALES Raw'!B2903</f>
        <v>11 S</v>
      </c>
      <c r="C1358" s="18" t="str">
        <f aca="false">'SALES Raw'!H2903</f>
        <v>11 S""""חגורת בטן""""אורירית</v>
      </c>
      <c r="D1358" s="19" t="n">
        <f aca="false">'SALES Raw'!C2903</f>
        <v>44</v>
      </c>
      <c r="E1358" s="19" t="n">
        <f aca="false">'SALES Raw'!D2903</f>
        <v>3544.17</v>
      </c>
      <c r="F1358" s="19" t="n">
        <f aca="false">'SALES Raw'!E2903*$H$4</f>
        <v>37.8947368421053</v>
      </c>
      <c r="G1358" s="19" t="n">
        <f aca="false">'SALES Raw'!F2903*$H$4</f>
        <v>2684.89263157895</v>
      </c>
      <c r="H1358" s="18" t="str">
        <f aca="false">'SALES Raw'!A2903</f>
        <v>202 - Super-Pharm POLAND</v>
      </c>
    </row>
    <row r="1359" customFormat="false" ht="15" hidden="false" customHeight="false" outlineLevel="0" collapsed="false">
      <c r="A1359" s="18" t="n">
        <f aca="false">'SALES Raw'!G2932</f>
        <v>4411001</v>
      </c>
      <c r="B1359" s="18" t="str">
        <f aca="false">'SALES Raw'!B2932</f>
        <v>3623 0</v>
      </c>
      <c r="C1359" s="18" t="str">
        <f aca="false">'SALES Raw'!H2932</f>
        <v>3623 כרית ליישור אצבע פטיש</v>
      </c>
      <c r="D1359" s="19" t="n">
        <f aca="false">'SALES Raw'!C2932</f>
        <v>160</v>
      </c>
      <c r="E1359" s="19" t="n">
        <f aca="false">'SALES Raw'!D2932</f>
        <v>3432.56</v>
      </c>
      <c r="F1359" s="19" t="n">
        <f aca="false">'SALES Raw'!E2932*$H$4</f>
        <v>37.8947368421053</v>
      </c>
      <c r="G1359" s="19" t="n">
        <f aca="false">'SALES Raw'!F2932*$H$4</f>
        <v>733.44</v>
      </c>
      <c r="H1359" s="18" t="str">
        <f aca="false">'SALES Raw'!A2932</f>
        <v>202 - Super-Pharm POLAND</v>
      </c>
    </row>
    <row r="1360" customFormat="false" ht="15" hidden="false" customHeight="false" outlineLevel="0" collapsed="false">
      <c r="A1360" s="18" t="n">
        <f aca="false">'SALES Raw'!G3002</f>
        <v>4413367</v>
      </c>
      <c r="B1360" s="18" t="str">
        <f aca="false">'SALES Raw'!B3002</f>
        <v>95C XL</v>
      </c>
      <c r="C1360" s="18" t="str">
        <f aca="false">'SALES Raw'!H3002</f>
        <v>95C XL'מגן מרפק בז</v>
      </c>
      <c r="D1360" s="19" t="n">
        <f aca="false">'SALES Raw'!C3002</f>
        <v>90</v>
      </c>
      <c r="E1360" s="19" t="n">
        <f aca="false">'SALES Raw'!D3002</f>
        <v>1302.74</v>
      </c>
      <c r="F1360" s="19" t="n">
        <f aca="false">'SALES Raw'!E3002*$H$4</f>
        <v>37.8947368421053</v>
      </c>
      <c r="G1360" s="19" t="n">
        <f aca="false">'SALES Raw'!F3002*$H$4</f>
        <v>486.972631578947</v>
      </c>
      <c r="H1360" s="18" t="str">
        <f aca="false">'SALES Raw'!A3002</f>
        <v>202 - Super-Pharm POLAND</v>
      </c>
    </row>
    <row r="1361" customFormat="false" ht="15" hidden="false" customHeight="false" outlineLevel="0" collapsed="false">
      <c r="A1361" s="18" t="n">
        <f aca="false">'SALES Raw'!G3010</f>
        <v>4413456</v>
      </c>
      <c r="B1361" s="18" t="str">
        <f aca="false">'SALES Raw'!B3010</f>
        <v>AC75 XXL</v>
      </c>
      <c r="C1361" s="18" t="str">
        <f aca="false">'SALES Raw'!H3010</f>
        <v>AC75 XXL  מיישר כתפיים אקטיב</v>
      </c>
      <c r="D1361" s="19" t="n">
        <f aca="false">'SALES Raw'!C3010</f>
        <v>70</v>
      </c>
      <c r="E1361" s="19" t="n">
        <f aca="false">'SALES Raw'!D3010</f>
        <v>3583.91</v>
      </c>
      <c r="F1361" s="19" t="n">
        <f aca="false">'SALES Raw'!E3010*$H$4</f>
        <v>37.8947368421053</v>
      </c>
      <c r="G1361" s="19" t="n">
        <f aca="false">'SALES Raw'!F3010*$H$4</f>
        <v>1762.88842105263</v>
      </c>
      <c r="H1361" s="18" t="str">
        <f aca="false">'SALES Raw'!A3010</f>
        <v>202 - Super-Pharm POLAND</v>
      </c>
    </row>
    <row r="1362" customFormat="false" ht="15" hidden="false" customHeight="false" outlineLevel="0" collapsed="false">
      <c r="A1362" s="18" t="n">
        <f aca="false">'SALES Raw'!G3059</f>
        <v>4411031</v>
      </c>
      <c r="B1362" s="18" t="str">
        <f aca="false">'SALES Raw'!B3059</f>
        <v>213CTSR S</v>
      </c>
      <c r="C1362" s="18" t="str">
        <f aca="false">'SALES Raw'!H3059</f>
        <v>213CTS  S ימין CTS כפפות</v>
      </c>
      <c r="D1362" s="19" t="n">
        <f aca="false">'SALES Raw'!C3059</f>
        <v>15</v>
      </c>
      <c r="E1362" s="19" t="n">
        <f aca="false">'SALES Raw'!D3059</f>
        <v>575.1</v>
      </c>
      <c r="F1362" s="19" t="n">
        <f aca="false">'SALES Raw'!E3059*$H$4</f>
        <v>37.8947368421053</v>
      </c>
      <c r="G1362" s="19" t="n">
        <f aca="false">'SALES Raw'!F3059*$H$4</f>
        <v>1367.55789473684</v>
      </c>
      <c r="H1362" s="18" t="str">
        <f aca="false">'SALES Raw'!A3059</f>
        <v>203 - Ortho- Partner ag SWITZERLAND</v>
      </c>
    </row>
    <row r="1363" customFormat="false" ht="15" hidden="false" customHeight="false" outlineLevel="0" collapsed="false">
      <c r="A1363" s="18" t="n">
        <f aca="false">'SALES Raw'!G3119</f>
        <v>4422040</v>
      </c>
      <c r="B1363" s="18" t="str">
        <f aca="false">'SALES Raw'!B3119</f>
        <v>SH422 4</v>
      </c>
      <c r="C1363" s="18" t="str">
        <f aca="false">'SALES Raw'!H3119</f>
        <v>SH422 4 תומך ברך גנושילד</v>
      </c>
      <c r="D1363" s="19" t="n">
        <f aca="false">'SALES Raw'!C3119</f>
        <v>6</v>
      </c>
      <c r="E1363" s="19" t="n">
        <f aca="false">'SALES Raw'!D3119</f>
        <v>524.69</v>
      </c>
      <c r="F1363" s="19" t="n">
        <f aca="false">'SALES Raw'!E3119*$H$4</f>
        <v>37.8947368421053</v>
      </c>
      <c r="G1363" s="19" t="n">
        <f aca="false">'SALES Raw'!F3119*$H$4</f>
        <v>3068.41263157895</v>
      </c>
      <c r="H1363" s="18" t="str">
        <f aca="false">'SALES Raw'!A3119</f>
        <v>203 - Ortho- Partner ag SWITZERLAND</v>
      </c>
    </row>
    <row r="1364" customFormat="false" ht="15" hidden="false" customHeight="false" outlineLevel="0" collapsed="false">
      <c r="A1364" s="18" t="n">
        <f aca="false">'SALES Raw'!G3121</f>
        <v>4422042</v>
      </c>
      <c r="B1364" s="18" t="str">
        <f aca="false">'SALES Raw'!B3121</f>
        <v>SH422 6</v>
      </c>
      <c r="C1364" s="18" t="str">
        <f aca="false">'SALES Raw'!H3121</f>
        <v>SH422 6 תומך ברך גנושילד</v>
      </c>
      <c r="D1364" s="19" t="n">
        <f aca="false">'SALES Raw'!C3121</f>
        <v>5</v>
      </c>
      <c r="E1364" s="19" t="n">
        <f aca="false">'SALES Raw'!D3121</f>
        <v>437.24</v>
      </c>
      <c r="F1364" s="19" t="n">
        <f aca="false">'SALES Raw'!E3121*$H$4</f>
        <v>37.8947368421053</v>
      </c>
      <c r="G1364" s="19" t="n">
        <f aca="false">'SALES Raw'!F3121*$H$4</f>
        <v>2949.58736842105</v>
      </c>
      <c r="H1364" s="18" t="str">
        <f aca="false">'SALES Raw'!A3121</f>
        <v>203 - Ortho- Partner ag SWITZERLAND</v>
      </c>
    </row>
    <row r="1365" customFormat="false" ht="15" hidden="false" customHeight="false" outlineLevel="0" collapsed="false">
      <c r="A1365" s="18" t="n">
        <f aca="false">'SALES Raw'!G3238</f>
        <v>4420032</v>
      </c>
      <c r="B1365" s="18" t="str">
        <f aca="false">'SALES Raw'!B3238</f>
        <v>376-46-47</v>
      </c>
      <c r="C1365" s="18" t="str">
        <f aca="false">'SALES Raw'!H3238</f>
        <v>46-47 רפידת ספורט 376 מידה</v>
      </c>
      <c r="D1365" s="19" t="n">
        <f aca="false">'SALES Raw'!C3238</f>
        <v>80</v>
      </c>
      <c r="E1365" s="19" t="n">
        <f aca="false">'SALES Raw'!D3238</f>
        <v>1160.89</v>
      </c>
      <c r="F1365" s="19" t="n">
        <f aca="false">'SALES Raw'!E3238*$H$4</f>
        <v>37.8947368421053</v>
      </c>
      <c r="G1365" s="19" t="n">
        <f aca="false">'SALES Raw'!F3238*$H$4</f>
        <v>487.541052631579</v>
      </c>
      <c r="H1365" s="18" t="str">
        <f aca="false">'SALES Raw'!A3238</f>
        <v>204 - Sanaflex Anatomic GREECE</v>
      </c>
    </row>
    <row r="1366" customFormat="false" ht="15" hidden="false" customHeight="false" outlineLevel="0" collapsed="false">
      <c r="A1366" s="18" t="n">
        <f aca="false">'SALES Raw'!G3251</f>
        <v>4403044</v>
      </c>
      <c r="B1366" s="18" t="str">
        <f aca="false">'SALES Raw'!B3251</f>
        <v>395B-39-42</v>
      </c>
      <c r="C1366" s="18" t="str">
        <f aca="false">'SALES Raw'!H3251</f>
        <v>395B גרבי קיץ אנטי בקטריא39-42</v>
      </c>
      <c r="D1366" s="19" t="n">
        <f aca="false">'SALES Raw'!C3251</f>
        <v>0</v>
      </c>
      <c r="E1366" s="19" t="n">
        <f aca="false">'SALES Raw'!D3251</f>
        <v>0</v>
      </c>
      <c r="F1366" s="19" t="n">
        <f aca="false">'SALES Raw'!E3251*$H$4</f>
        <v>37.8947368421053</v>
      </c>
      <c r="G1366" s="19" t="n">
        <f aca="false">'SALES Raw'!F3251*$H$4</f>
        <v>758.501052631579</v>
      </c>
      <c r="H1366" s="18" t="str">
        <f aca="false">'SALES Raw'!A3251</f>
        <v>204 - Sanaflex Anatomic GREECE</v>
      </c>
    </row>
    <row r="1367" customFormat="false" ht="15" hidden="false" customHeight="false" outlineLevel="0" collapsed="false">
      <c r="A1367" s="18" t="n">
        <f aca="false">'SALES Raw'!G3293</f>
        <v>4422025</v>
      </c>
      <c r="B1367" s="18" t="str">
        <f aca="false">'SALES Raw'!B3293</f>
        <v>806CB-GR</v>
      </c>
      <c r="C1367" s="18" t="str">
        <f aca="false">'SALES Raw'!H3293</f>
        <v>806CB-GREEN      תחבושת א.נצמ</v>
      </c>
      <c r="D1367" s="19" t="n">
        <f aca="false">'SALES Raw'!C3293</f>
        <v>50</v>
      </c>
      <c r="E1367" s="19" t="n">
        <f aca="false">'SALES Raw'!D3293</f>
        <v>318.44</v>
      </c>
      <c r="F1367" s="19" t="n">
        <f aca="false">'SALES Raw'!E3293*$H$4</f>
        <v>37.8947368421053</v>
      </c>
      <c r="G1367" s="19" t="n">
        <f aca="false">'SALES Raw'!F3293*$H$4</f>
        <v>213.852631578947</v>
      </c>
      <c r="H1367" s="18" t="str">
        <f aca="false">'SALES Raw'!A3293</f>
        <v>204 - Sanaflex Anatomic GREECE</v>
      </c>
    </row>
    <row r="1368" customFormat="false" ht="15" hidden="false" customHeight="false" outlineLevel="0" collapsed="false">
      <c r="A1368" s="18" t="n">
        <f aca="false">'SALES Raw'!G3294</f>
        <v>4422026</v>
      </c>
      <c r="B1368" s="18" t="str">
        <f aca="false">'SALES Raw'!B3294</f>
        <v>806CB-P</v>
      </c>
      <c r="C1368" s="18" t="str">
        <f aca="false">'SALES Raw'!H3294</f>
        <v>806CB-PINK       תחבושת א.נצמ</v>
      </c>
      <c r="D1368" s="19" t="n">
        <f aca="false">'SALES Raw'!C3294</f>
        <v>41</v>
      </c>
      <c r="E1368" s="19" t="n">
        <f aca="false">'SALES Raw'!D3294</f>
        <v>255.66</v>
      </c>
      <c r="F1368" s="19" t="n">
        <f aca="false">'SALES Raw'!E3294*$H$4</f>
        <v>37.8947368421053</v>
      </c>
      <c r="G1368" s="19" t="n">
        <f aca="false">'SALES Raw'!F3294*$H$4</f>
        <v>213.852631578947</v>
      </c>
      <c r="H1368" s="18" t="str">
        <f aca="false">'SALES Raw'!A3294</f>
        <v>204 - Sanaflex Anatomic GREECE</v>
      </c>
    </row>
    <row r="1369" customFormat="false" ht="15" hidden="false" customHeight="false" outlineLevel="0" collapsed="false">
      <c r="A1369" s="18" t="n">
        <f aca="false">'SALES Raw'!G3298</f>
        <v>4409014</v>
      </c>
      <c r="B1369" s="18" t="str">
        <f aca="false">'SALES Raw'!B3298</f>
        <v>808KT-P</v>
      </c>
      <c r="C1369" s="18" t="str">
        <f aca="false">'SALES Raw'!H3298</f>
        <v>808KT-P        טייפ קינזיולוגי</v>
      </c>
      <c r="D1369" s="19" t="n">
        <f aca="false">'SALES Raw'!C3298</f>
        <v>20</v>
      </c>
      <c r="E1369" s="19" t="n">
        <f aca="false">'SALES Raw'!D3298</f>
        <v>250.68</v>
      </c>
      <c r="F1369" s="19" t="n">
        <f aca="false">'SALES Raw'!E3298*$H$4</f>
        <v>37.8947368421053</v>
      </c>
      <c r="G1369" s="19" t="n">
        <f aca="false">'SALES Raw'!F3298*$H$4</f>
        <v>428.463157894737</v>
      </c>
      <c r="H1369" s="18" t="str">
        <f aca="false">'SALES Raw'!A3298</f>
        <v>204 - Sanaflex Anatomic GREECE</v>
      </c>
    </row>
    <row r="1370" customFormat="false" ht="15" hidden="false" customHeight="false" outlineLevel="0" collapsed="false">
      <c r="A1370" s="18" t="n">
        <f aca="false">'SALES Raw'!G3328</f>
        <v>4420025</v>
      </c>
      <c r="B1370" s="18" t="str">
        <f aca="false">'SALES Raw'!B3328</f>
        <v>LF374 0</v>
      </c>
      <c r="C1370" s="18" t="str">
        <f aca="false">'SALES Raw'!H3328</f>
        <v>LF374 ריפוד סיליק.לעקב תחתון</v>
      </c>
      <c r="D1370" s="19" t="n">
        <f aca="false">'SALES Raw'!C3328</f>
        <v>41</v>
      </c>
      <c r="E1370" s="19" t="n">
        <f aca="false">'SALES Raw'!D3328</f>
        <v>430.3</v>
      </c>
      <c r="F1370" s="19" t="n">
        <f aca="false">'SALES Raw'!E3328*$H$4</f>
        <v>37.8947368421053</v>
      </c>
      <c r="G1370" s="19" t="n">
        <f aca="false">'SALES Raw'!F3328*$H$4</f>
        <v>365.292631578947</v>
      </c>
      <c r="H1370" s="18" t="str">
        <f aca="false">'SALES Raw'!A3328</f>
        <v>204 - Sanaflex Anatomic GREECE</v>
      </c>
    </row>
    <row r="1371" customFormat="false" ht="15" hidden="false" customHeight="false" outlineLevel="0" collapsed="false">
      <c r="A1371" s="18" t="n">
        <f aca="false">'SALES Raw'!G3342</f>
        <v>4416003</v>
      </c>
      <c r="B1371" s="18" t="str">
        <f aca="false">'SALES Raw'!B3342</f>
        <v>308 L</v>
      </c>
      <c r="C1371" s="18" t="str">
        <f aca="false">'SALES Raw'!H3342</f>
        <v>308 Lעקבים סיליקון כחול לדורבן</v>
      </c>
      <c r="D1371" s="19" t="n">
        <f aca="false">'SALES Raw'!C3342</f>
        <v>70</v>
      </c>
      <c r="E1371" s="19" t="n">
        <f aca="false">'SALES Raw'!D3342</f>
        <v>1792.62</v>
      </c>
      <c r="F1371" s="19" t="n">
        <f aca="false">'SALES Raw'!E3342*$H$4</f>
        <v>37.8947368421053</v>
      </c>
      <c r="G1371" s="19" t="n">
        <f aca="false">'SALES Raw'!F3342*$H$4</f>
        <v>933.385263157895</v>
      </c>
      <c r="H1371" s="18" t="str">
        <f aca="false">'SALES Raw'!A3342</f>
        <v>205 - Health Care Prod. Gmbh GERMANY</v>
      </c>
    </row>
    <row r="1372" customFormat="false" ht="15" hidden="false" customHeight="false" outlineLevel="0" collapsed="false">
      <c r="A1372" s="18" t="n">
        <f aca="false">'SALES Raw'!G3358</f>
        <v>4415298</v>
      </c>
      <c r="B1372" s="18" t="str">
        <f aca="false">'SALES Raw'!B3358</f>
        <v>388BL 0</v>
      </c>
      <c r="C1372" s="18" t="str">
        <f aca="false">'SALES Raw'!H3358</f>
        <v>388B L סד לילה שחור לבוהן שמאל</v>
      </c>
      <c r="D1372" s="19" t="n">
        <f aca="false">'SALES Raw'!C3358</f>
        <v>30</v>
      </c>
      <c r="E1372" s="19" t="n">
        <f aca="false">'SALES Raw'!D3358</f>
        <v>1059.18</v>
      </c>
      <c r="F1372" s="19" t="n">
        <f aca="false">'SALES Raw'!E3358*$H$4</f>
        <v>37.8947368421053</v>
      </c>
      <c r="G1372" s="19" t="n">
        <f aca="false">'SALES Raw'!F3358*$H$4</f>
        <v>1265.89894736842</v>
      </c>
      <c r="H1372" s="18" t="str">
        <f aca="false">'SALES Raw'!A3358</f>
        <v>205 - Health Care Prod. Gmbh GERMANY</v>
      </c>
    </row>
    <row r="1373" customFormat="false" ht="15" hidden="false" customHeight="false" outlineLevel="0" collapsed="false">
      <c r="A1373" s="18" t="n">
        <f aca="false">'SALES Raw'!G3359</f>
        <v>4415299</v>
      </c>
      <c r="B1373" s="18" t="str">
        <f aca="false">'SALES Raw'!B3359</f>
        <v>388BR 0</v>
      </c>
      <c r="C1373" s="18" t="str">
        <f aca="false">'SALES Raw'!H3359</f>
        <v>388B L סד לילה שחור לבוהן ימין</v>
      </c>
      <c r="D1373" s="19" t="n">
        <f aca="false">'SALES Raw'!C3359</f>
        <v>50</v>
      </c>
      <c r="E1373" s="19" t="n">
        <f aca="false">'SALES Raw'!D3359</f>
        <v>1742.86</v>
      </c>
      <c r="F1373" s="19" t="n">
        <f aca="false">'SALES Raw'!E3359*$H$4</f>
        <v>37.8947368421053</v>
      </c>
      <c r="G1373" s="19" t="n">
        <f aca="false">'SALES Raw'!F3359*$H$4</f>
        <v>1265.89894736842</v>
      </c>
      <c r="H1373" s="18" t="str">
        <f aca="false">'SALES Raw'!A3359</f>
        <v>205 - Health Care Prod. Gmbh GERMANY</v>
      </c>
    </row>
    <row r="1374" customFormat="false" ht="15" hidden="false" customHeight="false" outlineLevel="0" collapsed="false">
      <c r="A1374" s="18" t="n">
        <f aca="false">'SALES Raw'!G3548</f>
        <v>4401000</v>
      </c>
      <c r="B1374" s="18" t="str">
        <f aca="false">'SALES Raw'!B3548</f>
        <v>369-S-L</v>
      </c>
      <c r="C1374" s="18" t="str">
        <f aca="false">'SALES Raw'!H3548</f>
        <v>369  S-L אצבעון מסיליקון יחידה</v>
      </c>
      <c r="D1374" s="19" t="n">
        <f aca="false">'SALES Raw'!C3548</f>
        <v>54</v>
      </c>
      <c r="E1374" s="19" t="n">
        <f aca="false">'SALES Raw'!D3548</f>
        <v>498.41</v>
      </c>
      <c r="F1374" s="19" t="n">
        <f aca="false">'SALES Raw'!E3548*$H$4</f>
        <v>37.8947368421053</v>
      </c>
      <c r="G1374" s="19" t="n">
        <f aca="false">'SALES Raw'!F3548*$H$4</f>
        <v>338.349473684211</v>
      </c>
      <c r="H1374" s="18" t="str">
        <f aca="false">'SALES Raw'!A3548</f>
        <v>207 - Salus HUNGARY</v>
      </c>
    </row>
    <row r="1375" customFormat="false" ht="15" hidden="false" customHeight="false" outlineLevel="0" collapsed="false">
      <c r="A1375" s="18" t="str">
        <f aca="false">'SALES Raw'!G3556</f>
        <v/>
      </c>
      <c r="B1375" s="18" t="str">
        <f aca="false">'SALES Raw'!B3556</f>
        <v>376-41-43</v>
      </c>
      <c r="C1375" s="18" t="str">
        <f aca="false">'SALES Raw'!H3556</f>
        <v>376-41-43</v>
      </c>
      <c r="D1375" s="19" t="n">
        <f aca="false">'SALES Raw'!C3556</f>
        <v>50</v>
      </c>
      <c r="E1375" s="19" t="n">
        <f aca="false">'SALES Raw'!D3556</f>
        <v>689.7</v>
      </c>
      <c r="F1375" s="19" t="n">
        <f aca="false">'SALES Raw'!E3556*$H$4</f>
        <v>37.8947368421053</v>
      </c>
      <c r="G1375" s="19" t="n">
        <f aca="false">'SALES Raw'!F3556*$H$4</f>
        <v>503.305263157895</v>
      </c>
      <c r="H1375" s="18" t="str">
        <f aca="false">'SALES Raw'!A3556</f>
        <v>207 - Salus HUNGARY</v>
      </c>
    </row>
    <row r="1376" customFormat="false" ht="15" hidden="false" customHeight="false" outlineLevel="0" collapsed="false">
      <c r="A1376" s="18" t="str">
        <f aca="false">'SALES Raw'!G3581</f>
        <v/>
      </c>
      <c r="B1376" s="18" t="str">
        <f aca="false">'SALES Raw'!B3581</f>
        <v>43BD XXL</v>
      </c>
      <c r="C1376" s="18" t="str">
        <f aca="false">'SALES Raw'!H3581</f>
        <v>43BD XXL</v>
      </c>
      <c r="D1376" s="19" t="n">
        <f aca="false">'SALES Raw'!C3581</f>
        <v>25</v>
      </c>
      <c r="E1376" s="19" t="n">
        <f aca="false">'SALES Raw'!D3581</f>
        <v>2116.43</v>
      </c>
      <c r="F1376" s="19" t="n">
        <f aca="false">'SALES Raw'!E3581*$H$4</f>
        <v>37.8947368421053</v>
      </c>
      <c r="G1376" s="19" t="n">
        <f aca="false">'SALES Raw'!F3581*$H$4</f>
        <v>3442.26947368421</v>
      </c>
      <c r="H1376" s="18" t="str">
        <f aca="false">'SALES Raw'!A3581</f>
        <v>207 - Salus HUNGARY</v>
      </c>
    </row>
    <row r="1377" customFormat="false" ht="15" hidden="false" customHeight="false" outlineLevel="0" collapsed="false">
      <c r="A1377" s="18" t="n">
        <f aca="false">'SALES Raw'!G3584</f>
        <v>4413094</v>
      </c>
      <c r="B1377" s="18" t="str">
        <f aca="false">'SALES Raw'!B3584</f>
        <v>45 S</v>
      </c>
      <c r="C1377" s="18" t="str">
        <f aca="false">'SALES Raw'!H3584</f>
        <v>45 S מגן ברך לבן</v>
      </c>
      <c r="D1377" s="19" t="n">
        <f aca="false">'SALES Raw'!C3584</f>
        <v>60</v>
      </c>
      <c r="E1377" s="19" t="n">
        <f aca="false">'SALES Raw'!D3584</f>
        <v>677.02</v>
      </c>
      <c r="F1377" s="19" t="n">
        <f aca="false">'SALES Raw'!E3584*$H$4</f>
        <v>37.8947368421053</v>
      </c>
      <c r="G1377" s="19" t="n">
        <f aca="false">'SALES Raw'!F3584*$H$4</f>
        <v>412.421052631579</v>
      </c>
      <c r="H1377" s="18" t="str">
        <f aca="false">'SALES Raw'!A3584</f>
        <v>207 - Salus HUNGARY</v>
      </c>
    </row>
    <row r="1378" customFormat="false" ht="15" hidden="false" customHeight="false" outlineLevel="0" collapsed="false">
      <c r="A1378" s="18" t="n">
        <f aca="false">'SALES Raw'!G3592</f>
        <v>4413112</v>
      </c>
      <c r="B1378" s="18" t="str">
        <f aca="false">'SALES Raw'!B3592</f>
        <v>49 L</v>
      </c>
      <c r="C1378" s="18" t="str">
        <f aca="false">'SALES Raw'!H3592</f>
        <v>49  L מגן ירך</v>
      </c>
      <c r="D1378" s="19" t="n">
        <f aca="false">'SALES Raw'!C3592</f>
        <v>44</v>
      </c>
      <c r="E1378" s="19" t="n">
        <f aca="false">'SALES Raw'!D3592</f>
        <v>486.29</v>
      </c>
      <c r="F1378" s="19" t="n">
        <f aca="false">'SALES Raw'!E3592*$H$4</f>
        <v>37.8947368421053</v>
      </c>
      <c r="G1378" s="19" t="n">
        <f aca="false">'SALES Raw'!F3592*$H$4</f>
        <v>400.812631578947</v>
      </c>
      <c r="H1378" s="18" t="str">
        <f aca="false">'SALES Raw'!A3592</f>
        <v>207 - Salus HUNGARY</v>
      </c>
    </row>
    <row r="1379" customFormat="false" ht="15" hidden="false" customHeight="false" outlineLevel="0" collapsed="false">
      <c r="A1379" s="18" t="n">
        <f aca="false">'SALES Raw'!G3905</f>
        <v>4420035</v>
      </c>
      <c r="B1379" s="18" t="str">
        <f aca="false">'SALES Raw'!B3905</f>
        <v>301CW-36-40</v>
      </c>
      <c r="C1379" s="18" t="str">
        <f aca="false">'SALES Raw'!H3905</f>
        <v>301CW 36-40 'רפידת ג'ל בז</v>
      </c>
      <c r="D1379" s="19" t="n">
        <f aca="false">'SALES Raw'!C3905</f>
        <v>0</v>
      </c>
      <c r="E1379" s="19" t="n">
        <f aca="false">'SALES Raw'!D3905</f>
        <v>0</v>
      </c>
      <c r="F1379" s="19" t="n">
        <f aca="false">'SALES Raw'!E3905*$H$4</f>
        <v>37.8947368421053</v>
      </c>
      <c r="G1379" s="19" t="n">
        <f aca="false">'SALES Raw'!F3905*$H$4</f>
        <v>1020.99789473684</v>
      </c>
      <c r="H1379" s="18" t="str">
        <f aca="false">'SALES Raw'!A3905</f>
        <v>210 - Oy. Ea. Ab. FINLAND</v>
      </c>
    </row>
    <row r="1380" customFormat="false" ht="15" hidden="false" customHeight="false" outlineLevel="0" collapsed="false">
      <c r="A1380" s="18" t="n">
        <f aca="false">'SALES Raw'!G3933</f>
        <v>4411001</v>
      </c>
      <c r="B1380" s="18" t="str">
        <f aca="false">'SALES Raw'!B3933</f>
        <v>3623 0</v>
      </c>
      <c r="C1380" s="18" t="str">
        <f aca="false">'SALES Raw'!H3933</f>
        <v>3623 כרית ליישור אצבע פטיש</v>
      </c>
      <c r="D1380" s="19" t="n">
        <f aca="false">'SALES Raw'!C3933</f>
        <v>140</v>
      </c>
      <c r="E1380" s="19" t="n">
        <f aca="false">'SALES Raw'!D3933</f>
        <v>2377.55</v>
      </c>
      <c r="F1380" s="19" t="n">
        <f aca="false">'SALES Raw'!E3933*$H$4</f>
        <v>37.8947368421053</v>
      </c>
      <c r="G1380" s="19" t="n">
        <f aca="false">'SALES Raw'!F3933*$H$4</f>
        <v>554.614736842105</v>
      </c>
      <c r="H1380" s="18" t="str">
        <f aca="false">'SALES Raw'!A3933</f>
        <v>210 - Oy. Ea. Ab. FINLAND</v>
      </c>
    </row>
    <row r="1381" customFormat="false" ht="15" hidden="false" customHeight="false" outlineLevel="0" collapsed="false">
      <c r="A1381" s="18" t="n">
        <f aca="false">'SALES Raw'!G3938</f>
        <v>4421000</v>
      </c>
      <c r="B1381" s="18" t="str">
        <f aca="false">'SALES Raw'!B3938</f>
        <v>3655 0</v>
      </c>
      <c r="C1381" s="18" t="str">
        <f aca="false">'SALES Raw'!H3938</f>
        <v>3655 שרוול מסיליקון לאצבע</v>
      </c>
      <c r="D1381" s="19" t="n">
        <f aca="false">'SALES Raw'!C3938</f>
        <v>65</v>
      </c>
      <c r="E1381" s="19" t="n">
        <f aca="false">'SALES Raw'!D3938</f>
        <v>607.93</v>
      </c>
      <c r="F1381" s="19" t="n">
        <f aca="false">'SALES Raw'!E3938*$H$4</f>
        <v>37.8947368421053</v>
      </c>
      <c r="G1381" s="19" t="n">
        <f aca="false">'SALES Raw'!F3938*$H$4</f>
        <v>302.513684210526</v>
      </c>
      <c r="H1381" s="18" t="str">
        <f aca="false">'SALES Raw'!A3938</f>
        <v>210 - Oy. Ea. Ab. FINLAND</v>
      </c>
    </row>
    <row r="1382" customFormat="false" ht="15" hidden="false" customHeight="false" outlineLevel="0" collapsed="false">
      <c r="A1382" s="18" t="n">
        <f aca="false">'SALES Raw'!G3951</f>
        <v>4413452</v>
      </c>
      <c r="B1382" s="18" t="str">
        <f aca="false">'SALES Raw'!B3951</f>
        <v>386 0</v>
      </c>
      <c r="C1382" s="18" t="str">
        <f aca="false">'SALES Raw'!H3951</f>
        <v>386  מיישר בוניון-האלוקס ולגוס</v>
      </c>
      <c r="D1382" s="19" t="n">
        <f aca="false">'SALES Raw'!C3951</f>
        <v>70</v>
      </c>
      <c r="E1382" s="19" t="n">
        <f aca="false">'SALES Raw'!D3951</f>
        <v>1279.23</v>
      </c>
      <c r="F1382" s="19" t="n">
        <f aca="false">'SALES Raw'!E3951*$H$4</f>
        <v>37.8947368421053</v>
      </c>
      <c r="G1382" s="19" t="n">
        <f aca="false">'SALES Raw'!F3951*$H$4</f>
        <v>592.433684210526</v>
      </c>
      <c r="H1382" s="18" t="str">
        <f aca="false">'SALES Raw'!A3951</f>
        <v>210 - Oy. Ea. Ab. FINLAND</v>
      </c>
    </row>
    <row r="1383" customFormat="false" ht="15" hidden="false" customHeight="false" outlineLevel="0" collapsed="false">
      <c r="A1383" s="18" t="n">
        <f aca="false">'SALES Raw'!G4010</f>
        <v>4408208</v>
      </c>
      <c r="B1383" s="18" t="str">
        <f aca="false">'SALES Raw'!B4010</f>
        <v>AC91 0</v>
      </c>
      <c r="C1383" s="18" t="str">
        <f aca="false">'SALES Raw'!H4010</f>
        <v>AC91 חבק טניס</v>
      </c>
      <c r="D1383" s="19" t="n">
        <f aca="false">'SALES Raw'!C4010</f>
        <v>0</v>
      </c>
      <c r="E1383" s="19" t="n">
        <f aca="false">'SALES Raw'!D4010</f>
        <v>0</v>
      </c>
      <c r="F1383" s="19" t="n">
        <f aca="false">'SALES Raw'!E4010*$H$4</f>
        <v>37.8947368421053</v>
      </c>
      <c r="G1383" s="19" t="n">
        <f aca="false">'SALES Raw'!F4010*$H$4</f>
        <v>560.917894736842</v>
      </c>
      <c r="H1383" s="18" t="str">
        <f aca="false">'SALES Raw'!A4010</f>
        <v>210 - Oy. Ea. Ab. FINLAND</v>
      </c>
    </row>
    <row r="1384" customFormat="false" ht="15" hidden="false" customHeight="false" outlineLevel="0" collapsed="false">
      <c r="A1384" s="18" t="n">
        <f aca="false">'SALES Raw'!G4022</f>
        <v>4408267</v>
      </c>
      <c r="B1384" s="18" t="str">
        <f aca="false">'SALES Raw'!B4022</f>
        <v>ST25 0</v>
      </c>
      <c r="C1384" s="18" t="str">
        <f aca="false">'SALES Raw'!H4022</f>
        <v>ST25 חבק שורש לכף היד</v>
      </c>
      <c r="D1384" s="19" t="n">
        <f aca="false">'SALES Raw'!C4022</f>
        <v>80</v>
      </c>
      <c r="E1384" s="19" t="n">
        <f aca="false">'SALES Raw'!D4022</f>
        <v>1162.19</v>
      </c>
      <c r="F1384" s="19" t="n">
        <f aca="false">'SALES Raw'!E4022*$H$4</f>
        <v>37.8947368421053</v>
      </c>
      <c r="G1384" s="19" t="n">
        <f aca="false">'SALES Raw'!F4022*$H$4</f>
        <v>472.686315789474</v>
      </c>
      <c r="H1384" s="18" t="str">
        <f aca="false">'SALES Raw'!A4022</f>
        <v>210 - Oy. Ea. Ab. FINLAND</v>
      </c>
    </row>
    <row r="1385" customFormat="false" ht="15" hidden="false" customHeight="false" outlineLevel="0" collapsed="false">
      <c r="A1385" s="18" t="n">
        <f aca="false">'SALES Raw'!G4029</f>
        <v>4413532</v>
      </c>
      <c r="B1385" s="18" t="str">
        <f aca="false">'SALES Raw'!B4029</f>
        <v>ST433 0</v>
      </c>
      <c r="C1385" s="18" t="str">
        <f aca="false">'SALES Raw'!H4029</f>
        <v>ST433 H מגן ברך עם ציר</v>
      </c>
      <c r="D1385" s="19" t="n">
        <f aca="false">'SALES Raw'!C4029</f>
        <v>20</v>
      </c>
      <c r="E1385" s="19" t="n">
        <f aca="false">'SALES Raw'!D4029</f>
        <v>1411.44</v>
      </c>
      <c r="F1385" s="19" t="n">
        <f aca="false">'SALES Raw'!E4029*$H$4</f>
        <v>37.8947368421053</v>
      </c>
      <c r="G1385" s="19" t="n">
        <f aca="false">'SALES Raw'!F4029*$H$4</f>
        <v>2357.11578947368</v>
      </c>
      <c r="H1385" s="18" t="str">
        <f aca="false">'SALES Raw'!A4029</f>
        <v>210 - Oy. Ea. Ab. FINLAND</v>
      </c>
    </row>
    <row r="1386" customFormat="false" ht="15" hidden="false" customHeight="false" outlineLevel="0" collapsed="false">
      <c r="A1386" s="18" t="n">
        <f aca="false">'SALES Raw'!G4109</f>
        <v>4413533</v>
      </c>
      <c r="B1386" s="18" t="str">
        <f aca="false">'SALES Raw'!B4109</f>
        <v>ST49 0</v>
      </c>
      <c r="C1386" s="18" t="str">
        <f aca="false">'SALES Raw'!H4109</f>
        <v>ST49 מגן ירך</v>
      </c>
      <c r="D1386" s="19" t="n">
        <f aca="false">'SALES Raw'!C4109</f>
        <v>30</v>
      </c>
      <c r="E1386" s="19" t="n">
        <f aca="false">'SALES Raw'!D4109</f>
        <v>520.1</v>
      </c>
      <c r="F1386" s="19" t="n">
        <f aca="false">'SALES Raw'!E4109*$H$4</f>
        <v>37.8947368421053</v>
      </c>
      <c r="G1386" s="19" t="n">
        <f aca="false">'SALES Raw'!F4109*$H$4</f>
        <v>602.197894736842</v>
      </c>
      <c r="H1386" s="18" t="str">
        <f aca="false">'SALES Raw'!A4109</f>
        <v>213 - E.f.m.o. SPAIN</v>
      </c>
    </row>
    <row r="1387" customFormat="false" ht="15" hidden="false" customHeight="false" outlineLevel="0" collapsed="false">
      <c r="A1387" s="18" t="n">
        <f aca="false">'SALES Raw'!G4189</f>
        <v>4415158</v>
      </c>
      <c r="B1387" s="18" t="str">
        <f aca="false">'SALES Raw'!B4189</f>
        <v>266 0</v>
      </c>
      <c r="C1387" s="18" t="str">
        <f aca="false">'SALES Raw'!H4189</f>
        <v>266 סד ליד דו צדדי</v>
      </c>
      <c r="D1387" s="19" t="n">
        <f aca="false">'SALES Raw'!C4189</f>
        <v>20</v>
      </c>
      <c r="E1387" s="19" t="n">
        <f aca="false">'SALES Raw'!D4189</f>
        <v>484.75</v>
      </c>
      <c r="F1387" s="19" t="n">
        <f aca="false">'SALES Raw'!E4189*$H$4</f>
        <v>37.8947368421053</v>
      </c>
      <c r="G1387" s="19" t="n">
        <f aca="false">'SALES Raw'!F4189*$H$4</f>
        <v>837.107368421053</v>
      </c>
      <c r="H1387" s="18" t="str">
        <f aca="false">'SALES Raw'!A4189</f>
        <v>216 - Max Konnaris CYPRUS</v>
      </c>
    </row>
    <row r="1388" customFormat="false" ht="15" hidden="false" customHeight="false" outlineLevel="0" collapsed="false">
      <c r="A1388" s="18" t="n">
        <f aca="false">'SALES Raw'!G4197</f>
        <v>4413348</v>
      </c>
      <c r="B1388" s="18" t="str">
        <f aca="false">'SALES Raw'!B4197</f>
        <v>302M 0</v>
      </c>
      <c r="C1388" s="18" t="str">
        <f aca="false">'SALES Raw'!H4197</f>
        <v>302 מדרס ג'ל לגבר</v>
      </c>
      <c r="D1388" s="19" t="n">
        <f aca="false">'SALES Raw'!C4197</f>
        <v>32</v>
      </c>
      <c r="E1388" s="19" t="n">
        <f aca="false">'SALES Raw'!D4197</f>
        <v>1005.51</v>
      </c>
      <c r="F1388" s="19" t="n">
        <f aca="false">'SALES Raw'!E4197*$H$4</f>
        <v>37.8947368421053</v>
      </c>
      <c r="G1388" s="19" t="n">
        <f aca="false">'SALES Raw'!F4197*$H$4</f>
        <v>1018.10526315789</v>
      </c>
      <c r="H1388" s="18" t="str">
        <f aca="false">'SALES Raw'!A4197</f>
        <v>216 - Max Konnaris CYPRUS</v>
      </c>
    </row>
    <row r="1389" customFormat="false" ht="15" hidden="false" customHeight="false" outlineLevel="0" collapsed="false">
      <c r="A1389" s="18" t="str">
        <f aca="false">'SALES Raw'!G4320</f>
        <v/>
      </c>
      <c r="B1389" s="18" t="str">
        <f aca="false">'SALES Raw'!B4320</f>
        <v>82 0</v>
      </c>
      <c r="C1389" s="18" t="str">
        <f aca="false">'SALES Raw'!H4320</f>
        <v>82 0</v>
      </c>
      <c r="D1389" s="19" t="n">
        <f aca="false">'SALES Raw'!C4320</f>
        <v>40</v>
      </c>
      <c r="E1389" s="19" t="n">
        <f aca="false">'SALES Raw'!D4320</f>
        <v>1252.59</v>
      </c>
      <c r="F1389" s="19" t="n">
        <f aca="false">'SALES Raw'!E4320*$H$4</f>
        <v>37.8947368421053</v>
      </c>
      <c r="G1389" s="19" t="n">
        <f aca="false">'SALES Raw'!F4320*$H$4</f>
        <v>1061.22947368421</v>
      </c>
      <c r="H1389" s="18" t="str">
        <f aca="false">'SALES Raw'!A4320</f>
        <v>216 - Max Konnaris CYPRUS</v>
      </c>
    </row>
    <row r="1390" customFormat="false" ht="15" hidden="false" customHeight="false" outlineLevel="0" collapsed="false">
      <c r="A1390" s="18" t="n">
        <f aca="false">'SALES Raw'!G4341</f>
        <v>4408207</v>
      </c>
      <c r="B1390" s="18" t="str">
        <f aca="false">'SALES Raw'!B4341</f>
        <v>AC25 0</v>
      </c>
      <c r="C1390" s="18" t="str">
        <f aca="false">'SALES Raw'!H4341</f>
        <v>AC-25 חבק לשורש כף היד</v>
      </c>
      <c r="D1390" s="19" t="n">
        <f aca="false">'SALES Raw'!C4341</f>
        <v>0</v>
      </c>
      <c r="E1390" s="19" t="n">
        <f aca="false">'SALES Raw'!D4341</f>
        <v>0</v>
      </c>
      <c r="F1390" s="19" t="n">
        <f aca="false">'SALES Raw'!E4341*$H$4</f>
        <v>37.8947368421053</v>
      </c>
      <c r="G1390" s="19" t="n">
        <f aca="false">'SALES Raw'!F4341*$H$4</f>
        <v>578.235789473684</v>
      </c>
      <c r="H1390" s="18" t="str">
        <f aca="false">'SALES Raw'!A4341</f>
        <v>216 - Max Konnaris CYPRUS</v>
      </c>
    </row>
    <row r="1391" customFormat="false" ht="15" hidden="false" customHeight="false" outlineLevel="0" collapsed="false">
      <c r="A1391" s="18" t="n">
        <f aca="false">'SALES Raw'!G4351</f>
        <v>4420024</v>
      </c>
      <c r="B1391" s="18" t="str">
        <f aca="false">'SALES Raw'!B4351</f>
        <v>LF373 0</v>
      </c>
      <c r="C1391" s="18" t="str">
        <f aca="false">'SALES Raw'!H4351</f>
        <v>LFריפוד סיליק.לכרית כף הרגל373</v>
      </c>
      <c r="D1391" s="19" t="n">
        <f aca="false">'SALES Raw'!C4351</f>
        <v>0</v>
      </c>
      <c r="E1391" s="19" t="n">
        <f aca="false">'SALES Raw'!D4351</f>
        <v>0</v>
      </c>
      <c r="F1391" s="19" t="n">
        <f aca="false">'SALES Raw'!E4351*$H$4</f>
        <v>37.8947368421053</v>
      </c>
      <c r="G1391" s="19" t="n">
        <f aca="false">'SALES Raw'!F4351*$H$4</f>
        <v>343.692631578947</v>
      </c>
      <c r="H1391" s="18" t="str">
        <f aca="false">'SALES Raw'!A4351</f>
        <v>216 - Max Konnaris CYPRUS</v>
      </c>
    </row>
    <row r="1392" customFormat="false" ht="15" hidden="false" customHeight="false" outlineLevel="0" collapsed="false">
      <c r="A1392" s="18" t="n">
        <f aca="false">'SALES Raw'!G4379</f>
        <v>4408269</v>
      </c>
      <c r="B1392" s="18" t="str">
        <f aca="false">'SALES Raw'!B4379</f>
        <v>ST37 0</v>
      </c>
      <c r="C1392" s="18" t="str">
        <f aca="false">'SALES Raw'!H4379</f>
        <v>ST37 חבק לקרסול</v>
      </c>
      <c r="D1392" s="19" t="n">
        <f aca="false">'SALES Raw'!C4379</f>
        <v>30</v>
      </c>
      <c r="E1392" s="19" t="n">
        <f aca="false">'SALES Raw'!D4379</f>
        <v>505.71</v>
      </c>
      <c r="F1392" s="19" t="n">
        <f aca="false">'SALES Raw'!E4379*$H$4</f>
        <v>37.8947368421053</v>
      </c>
      <c r="G1392" s="19" t="n">
        <f aca="false">'SALES Raw'!F4379*$H$4</f>
        <v>584.64</v>
      </c>
      <c r="H1392" s="18" t="str">
        <f aca="false">'SALES Raw'!A4379</f>
        <v>216 - Max Konnaris CYPRUS</v>
      </c>
    </row>
    <row r="1393" customFormat="false" ht="15" hidden="false" customHeight="false" outlineLevel="0" collapsed="false">
      <c r="A1393" s="18" t="str">
        <f aca="false">'SALES Raw'!G4380</f>
        <v/>
      </c>
      <c r="B1393" s="18" t="str">
        <f aca="false">'SALES Raw'!B4380</f>
        <v>ST45X 0</v>
      </c>
      <c r="C1393" s="18" t="str">
        <f aca="false">'SALES Raw'!H4380</f>
        <v>ST45X 0</v>
      </c>
      <c r="D1393" s="19" t="n">
        <f aca="false">'SALES Raw'!C4380</f>
        <v>50</v>
      </c>
      <c r="E1393" s="19" t="n">
        <f aca="false">'SALES Raw'!D4380</f>
        <v>940.21</v>
      </c>
      <c r="F1393" s="19" t="n">
        <f aca="false">'SALES Raw'!E4380*$H$4</f>
        <v>37.8947368421053</v>
      </c>
      <c r="G1393" s="19" t="n">
        <f aca="false">'SALES Raw'!F4380*$H$4</f>
        <v>666.656842105263</v>
      </c>
      <c r="H1393" s="18" t="str">
        <f aca="false">'SALES Raw'!A4380</f>
        <v>216 - Max Konnaris CYPRUS</v>
      </c>
    </row>
    <row r="1394" customFormat="false" ht="15" hidden="false" customHeight="false" outlineLevel="0" collapsed="false">
      <c r="A1394" s="18" t="n">
        <f aca="false">'SALES Raw'!G574</f>
        <v>4413136</v>
      </c>
      <c r="B1394" s="18" t="str">
        <f aca="false">'SALES Raw'!B574</f>
        <v>85 M</v>
      </c>
      <c r="C1394" s="18" t="str">
        <f aca="false">'SALES Raw'!H574</f>
        <v>85 M (מתלה ליד )כיס</v>
      </c>
      <c r="D1394" s="19" t="n">
        <f aca="false">'SALES Raw'!C574</f>
        <v>59</v>
      </c>
      <c r="E1394" s="19" t="n">
        <f aca="false">'SALES Raw'!D574</f>
        <v>2890.94</v>
      </c>
      <c r="F1394" s="19" t="n">
        <f aca="false">'SALES Raw'!E574*$H$4</f>
        <v>36.6315789473684</v>
      </c>
      <c r="G1394" s="19" t="n">
        <f aca="false">'SALES Raw'!F574*$H$4</f>
        <v>1794.84631578947</v>
      </c>
      <c r="H1394" s="18" t="str">
        <f aca="false">'SALES Raw'!A574</f>
        <v>102 - Orthopedic institutes</v>
      </c>
    </row>
    <row r="1395" customFormat="false" ht="15" hidden="false" customHeight="false" outlineLevel="0" collapsed="false">
      <c r="A1395" s="18" t="n">
        <f aca="false">'SALES Raw'!G616</f>
        <v>4415163</v>
      </c>
      <c r="B1395" s="18" t="str">
        <f aca="false">'SALES Raw'!B616</f>
        <v>238 XL</v>
      </c>
      <c r="C1395" s="18" t="str">
        <f aca="false">'SALES Raw'!H616</f>
        <v>238XL סד ליישור אצבע</v>
      </c>
      <c r="D1395" s="19" t="n">
        <f aca="false">'SALES Raw'!C616</f>
        <v>38</v>
      </c>
      <c r="E1395" s="19" t="n">
        <f aca="false">'SALES Raw'!D616</f>
        <v>746.55</v>
      </c>
      <c r="F1395" s="19" t="n">
        <f aca="false">'SALES Raw'!E616*$H$4</f>
        <v>36.6315789473684</v>
      </c>
      <c r="G1395" s="19" t="n">
        <f aca="false">'SALES Raw'!F616*$H$4</f>
        <v>736.585263157895</v>
      </c>
      <c r="H1395" s="18" t="str">
        <f aca="false">'SALES Raw'!A616</f>
        <v>102 - Orthopedic institutes</v>
      </c>
    </row>
    <row r="1396" customFormat="false" ht="15" hidden="false" customHeight="false" outlineLevel="0" collapsed="false">
      <c r="A1396" s="18" t="n">
        <f aca="false">'SALES Raw'!G680</f>
        <v>4422039</v>
      </c>
      <c r="B1396" s="18" t="str">
        <f aca="false">'SALES Raw'!B680</f>
        <v>SH422 3</v>
      </c>
      <c r="C1396" s="18" t="str">
        <f aca="false">'SALES Raw'!H680</f>
        <v>SH422 3 תומך ברך גנושילד</v>
      </c>
      <c r="D1396" s="19" t="n">
        <f aca="false">'SALES Raw'!C680</f>
        <v>39</v>
      </c>
      <c r="E1396" s="19" t="n">
        <f aca="false">'SALES Raw'!D680</f>
        <v>4441.21</v>
      </c>
      <c r="F1396" s="19" t="n">
        <f aca="false">'SALES Raw'!E680*$H$4</f>
        <v>36.6315789473684</v>
      </c>
      <c r="G1396" s="19" t="n">
        <f aca="false">'SALES Raw'!F680*$H$4</f>
        <v>4244.23578947368</v>
      </c>
      <c r="H1396" s="18" t="str">
        <f aca="false">'SALES Raw'!A680</f>
        <v>102 - Orthopedic institutes</v>
      </c>
    </row>
    <row r="1397" customFormat="false" ht="15" hidden="false" customHeight="false" outlineLevel="0" collapsed="false">
      <c r="A1397" s="18" t="n">
        <f aca="false">'SALES Raw'!G2184</f>
        <v>4415161</v>
      </c>
      <c r="B1397" s="18" t="str">
        <f aca="false">'SALES Raw'!B2184</f>
        <v>238 M</v>
      </c>
      <c r="C1397" s="18" t="str">
        <f aca="false">'SALES Raw'!H2184</f>
        <v>238M סד ליישור אצבע</v>
      </c>
      <c r="D1397" s="19" t="n">
        <f aca="false">'SALES Raw'!C2184</f>
        <v>27</v>
      </c>
      <c r="E1397" s="19" t="n">
        <f aca="false">'SALES Raw'!D2184</f>
        <v>928.1</v>
      </c>
      <c r="F1397" s="19" t="n">
        <f aca="false">'SALES Raw'!E2184*$H$4</f>
        <v>36.6315789473684</v>
      </c>
      <c r="G1397" s="19" t="n">
        <f aca="false">'SALES Raw'!F2184*$H$4</f>
        <v>1300.15578947368</v>
      </c>
      <c r="H1397" s="18" t="str">
        <f aca="false">'SALES Raw'!A2184</f>
        <v>114 - IL online</v>
      </c>
    </row>
    <row r="1398" customFormat="false" ht="15" hidden="false" customHeight="false" outlineLevel="0" collapsed="false">
      <c r="A1398" s="18" t="n">
        <f aca="false">'SALES Raw'!G2548</f>
        <v>4413516</v>
      </c>
      <c r="B1398" s="18" t="str">
        <f aca="false">'SALES Raw'!B2548</f>
        <v>85B L</v>
      </c>
      <c r="C1398" s="18" t="str">
        <f aca="false">'SALES Raw'!H2548</f>
        <v>85B L מתלה רשת לזרוע שחור</v>
      </c>
      <c r="D1398" s="19" t="n">
        <f aca="false">'SALES Raw'!C2548</f>
        <v>19</v>
      </c>
      <c r="E1398" s="19" t="n">
        <f aca="false">'SALES Raw'!D2548</f>
        <v>1900.63</v>
      </c>
      <c r="F1398" s="19" t="n">
        <f aca="false">'SALES Raw'!E2548*$H$4</f>
        <v>36.6315789473684</v>
      </c>
      <c r="G1398" s="19" t="n">
        <f aca="false">'SALES Raw'!F2548*$H$4</f>
        <v>3649.69263157895</v>
      </c>
      <c r="H1398" s="18" t="str">
        <f aca="false">'SALES Raw'!A2548</f>
        <v>114 - IL online</v>
      </c>
    </row>
    <row r="1399" customFormat="false" ht="15" hidden="false" customHeight="false" outlineLevel="0" collapsed="false">
      <c r="A1399" s="18" t="n">
        <f aca="false">'SALES Raw'!G3500</f>
        <v>4413372</v>
      </c>
      <c r="B1399" s="18" t="str">
        <f aca="false">'SALES Raw'!B3500</f>
        <v>302W 0</v>
      </c>
      <c r="C1399" s="18" t="str">
        <f aca="false">'SALES Raw'!H3500</f>
        <v>302 W מדרס לאישה</v>
      </c>
      <c r="D1399" s="19" t="n">
        <f aca="false">'SALES Raw'!C3500</f>
        <v>10</v>
      </c>
      <c r="E1399" s="19" t="n">
        <f aca="false">'SALES Raw'!D3500</f>
        <v>242.07</v>
      </c>
      <c r="F1399" s="19" t="n">
        <f aca="false">'SALES Raw'!E3500*$H$4</f>
        <v>36.6315789473684</v>
      </c>
      <c r="G1399" s="19" t="n">
        <f aca="false">'SALES Raw'!F3500*$H$4</f>
        <v>897.221052631579</v>
      </c>
      <c r="H1399" s="18" t="str">
        <f aca="false">'SALES Raw'!A3500</f>
        <v>207 - Salus HUNGARY</v>
      </c>
    </row>
    <row r="1400" customFormat="false" ht="15" hidden="false" customHeight="false" outlineLevel="0" collapsed="false">
      <c r="A1400" s="18" t="n">
        <f aca="false">'SALES Raw'!G3841</f>
        <v>4413092</v>
      </c>
      <c r="B1400" s="18" t="str">
        <f aca="false">'SALES Raw'!B3841</f>
        <v>45 L</v>
      </c>
      <c r="C1400" s="18" t="str">
        <f aca="false">'SALES Raw'!H3841</f>
        <v>45 L מגן ברך לבן</v>
      </c>
      <c r="D1400" s="19" t="n">
        <f aca="false">'SALES Raw'!C3841</f>
        <v>130</v>
      </c>
      <c r="E1400" s="19" t="n">
        <f aca="false">'SALES Raw'!D3841</f>
        <v>1341.97</v>
      </c>
      <c r="F1400" s="19" t="n">
        <f aca="false">'SALES Raw'!E3841*$H$4</f>
        <v>36.6315789473684</v>
      </c>
      <c r="G1400" s="19" t="n">
        <f aca="false">'SALES Raw'!F3841*$H$4</f>
        <v>371.595789473684</v>
      </c>
      <c r="H1400" s="18" t="str">
        <f aca="false">'SALES Raw'!A3841</f>
        <v>209 - Ortoprofil Prod ROMANIA</v>
      </c>
    </row>
    <row r="1401" customFormat="false" ht="15" hidden="false" customHeight="false" outlineLevel="0" collapsed="false">
      <c r="A1401" s="18" t="n">
        <f aca="false">'SALES Raw'!G4420</f>
        <v>4421007</v>
      </c>
      <c r="B1401" s="18" t="str">
        <f aca="false">'SALES Raw'!B4420</f>
        <v>350 0</v>
      </c>
      <c r="C1401" s="18" t="str">
        <f aca="false">'SALES Raw'!H4420</f>
        <v>שרוול לגבס קצר רגל</v>
      </c>
      <c r="D1401" s="19" t="n">
        <f aca="false">'SALES Raw'!C4420</f>
        <v>12</v>
      </c>
      <c r="E1401" s="19" t="n">
        <f aca="false">'SALES Raw'!D4420</f>
        <v>859.76</v>
      </c>
      <c r="F1401" s="19" t="n">
        <f aca="false">'SALES Raw'!E4420*$H$4</f>
        <v>36.6315789473684</v>
      </c>
      <c r="G1401" s="19" t="n">
        <f aca="false">'SALES Raw'!F4420*$H$4</f>
        <v>2828.16</v>
      </c>
      <c r="H1401" s="18" t="str">
        <f aca="false">'SALES Raw'!A4420</f>
        <v>301 - Amazon</v>
      </c>
    </row>
    <row r="1402" customFormat="false" ht="15" hidden="false" customHeight="false" outlineLevel="0" collapsed="false">
      <c r="A1402" s="18" t="n">
        <f aca="false">'CEMIUP0.9 Raw'!B24</f>
        <v>4403017</v>
      </c>
      <c r="B1402" s="18" t="str">
        <f aca="false">'CEMIUP0.9 Raw'!C24</f>
        <v>394B גרב.כסף לסכרתים שחור35-38</v>
      </c>
      <c r="C1402" s="18" t="str">
        <f aca="false">'CEMIUP0.9 Raw'!C24</f>
        <v>394B גרב.כסף לסכרתים שחור35-38</v>
      </c>
      <c r="D1402" s="19" t="n">
        <f aca="false">'CEMIUP0.9 Raw'!D24</f>
        <v>67</v>
      </c>
      <c r="E1402" s="19" t="n">
        <f aca="false">'CEMIUP0.9 Raw'!E24</f>
        <v>1570.525</v>
      </c>
      <c r="F1402" s="19" t="n">
        <f aca="false">'CEMIUP0.9 Raw'!F24</f>
        <v>36.6315789473684</v>
      </c>
      <c r="G1402" s="19" t="n">
        <f aca="false">'CEMIUP0.9 Raw'!G24</f>
        <v>923.043789473684</v>
      </c>
      <c r="H1402" s="18" t="str">
        <f aca="false">'CEMIUP0.9 Raw'!A24</f>
        <v>107 - Pharmacies</v>
      </c>
    </row>
    <row r="1403" customFormat="false" ht="15" hidden="false" customHeight="false" outlineLevel="0" collapsed="false">
      <c r="A1403" s="18" t="n">
        <f aca="false">'CEMIUP0.9 Raw'!B208</f>
        <v>4411022</v>
      </c>
      <c r="B1403" s="18" t="str">
        <f aca="false">'CEMIUP0.9 Raw'!C208</f>
        <v>212M כפפות אגודל לחץ</v>
      </c>
      <c r="C1403" s="18" t="str">
        <f aca="false">'CEMIUP0.9 Raw'!C208</f>
        <v>212M כפפות אגודל לחץ</v>
      </c>
      <c r="D1403" s="19" t="n">
        <f aca="false">'CEMIUP0.9 Raw'!D208</f>
        <v>49</v>
      </c>
      <c r="E1403" s="19" t="n">
        <f aca="false">'CEMIUP0.9 Raw'!E208</f>
        <v>1719.979</v>
      </c>
      <c r="F1403" s="19" t="n">
        <f aca="false">'CEMIUP0.9 Raw'!F208</f>
        <v>36.6315789473684</v>
      </c>
      <c r="G1403" s="19" t="n">
        <f aca="false">'CEMIUP0.9 Raw'!G208</f>
        <v>1323.35747368421</v>
      </c>
      <c r="H1403" s="18" t="str">
        <f aca="false">'CEMIUP0.9 Raw'!A208</f>
        <v>107 - Pharmacies</v>
      </c>
    </row>
    <row r="1404" customFormat="false" ht="15" hidden="false" customHeight="false" outlineLevel="0" collapsed="false">
      <c r="A1404" s="18" t="n">
        <f aca="false">'CEMIUP0.9 Raw'!B209</f>
        <v>4411023</v>
      </c>
      <c r="B1404" s="18" t="str">
        <f aca="false">'CEMIUP0.9 Raw'!C209</f>
        <v>212S כפפות אגודל לחץ</v>
      </c>
      <c r="C1404" s="18" t="str">
        <f aca="false">'CEMIUP0.9 Raw'!C209</f>
        <v>212S כפפות אגודל לחץ</v>
      </c>
      <c r="D1404" s="19" t="n">
        <f aca="false">'CEMIUP0.9 Raw'!D209</f>
        <v>39</v>
      </c>
      <c r="E1404" s="19" t="n">
        <f aca="false">'CEMIUP0.9 Raw'!E209</f>
        <v>1362.156</v>
      </c>
      <c r="F1404" s="19" t="n">
        <f aca="false">'CEMIUP0.9 Raw'!F209</f>
        <v>36.6315789473684</v>
      </c>
      <c r="G1404" s="19" t="n">
        <f aca="false">'CEMIUP0.9 Raw'!G209</f>
        <v>1318.66105263158</v>
      </c>
      <c r="H1404" s="18" t="str">
        <f aca="false">'CEMIUP0.9 Raw'!A209</f>
        <v>107 - Pharmacies</v>
      </c>
    </row>
    <row r="1405" customFormat="false" ht="15" hidden="false" customHeight="false" outlineLevel="0" collapsed="false">
      <c r="A1405" s="18" t="n">
        <f aca="false">'CEMIUP0.9 Raw'!B274</f>
        <v>4413101</v>
      </c>
      <c r="B1405" s="18" t="str">
        <f aca="false">'CEMIUP0.9 Raw'!C274</f>
        <v>45E Sמגן ברך ארוך לבן</v>
      </c>
      <c r="C1405" s="18" t="str">
        <f aca="false">'CEMIUP0.9 Raw'!C274</f>
        <v>45E Sמגן ברך ארוך לבן</v>
      </c>
      <c r="D1405" s="19" t="n">
        <f aca="false">'CEMIUP0.9 Raw'!D274</f>
        <v>36</v>
      </c>
      <c r="E1405" s="19" t="n">
        <f aca="false">'CEMIUP0.9 Raw'!E274</f>
        <v>1200.381</v>
      </c>
      <c r="F1405" s="19" t="n">
        <f aca="false">'CEMIUP0.9 Raw'!F274</f>
        <v>36.6315789473684</v>
      </c>
      <c r="G1405" s="19" t="n">
        <f aca="false">'CEMIUP0.9 Raw'!G274</f>
        <v>1206.77936842105</v>
      </c>
      <c r="H1405" s="18" t="str">
        <f aca="false">'CEMIUP0.9 Raw'!A274</f>
        <v>107 - Pharmacies</v>
      </c>
    </row>
    <row r="1406" customFormat="false" ht="15" hidden="false" customHeight="false" outlineLevel="0" collapsed="false">
      <c r="A1406" s="18" t="n">
        <f aca="false">'CEMIUP0.9 Raw'!B420</f>
        <v>4413440</v>
      </c>
      <c r="B1406" s="18" t="str">
        <f aca="false">'CEMIUP0.9 Raw'!C420</f>
        <v>SC422  L מגן ברך</v>
      </c>
      <c r="C1406" s="18" t="str">
        <f aca="false">'CEMIUP0.9 Raw'!C420</f>
        <v>SC422  L מגן ברך</v>
      </c>
      <c r="D1406" s="19" t="n">
        <f aca="false">'CEMIUP0.9 Raw'!D420</f>
        <v>25</v>
      </c>
      <c r="E1406" s="19" t="n">
        <f aca="false">'CEMIUP0.9 Raw'!E420</f>
        <v>3179.055</v>
      </c>
      <c r="F1406" s="19" t="n">
        <f aca="false">'CEMIUP0.9 Raw'!F420</f>
        <v>36.6315789473684</v>
      </c>
      <c r="G1406" s="19" t="n">
        <f aca="false">'CEMIUP0.9 Raw'!G420</f>
        <v>4674.03031578947</v>
      </c>
      <c r="H1406" s="18" t="str">
        <f aca="false">'CEMIUP0.9 Raw'!A420</f>
        <v>107 - Pharmacies</v>
      </c>
    </row>
    <row r="1407" customFormat="false" ht="15" hidden="false" customHeight="false" outlineLevel="0" collapsed="false">
      <c r="A1407" s="18" t="n">
        <f aca="false">'CEMIUP0.9 Raw'!B879</f>
        <v>4422036</v>
      </c>
      <c r="B1407" s="18" t="str">
        <f aca="false">'CEMIUP0.9 Raw'!C879</f>
        <v>FC334  תרסיס דאודורנט לכף הרגל</v>
      </c>
      <c r="C1407" s="18" t="str">
        <f aca="false">'CEMIUP0.9 Raw'!C879</f>
        <v>FC334  תרסיס דאודורנט לכף הרגל</v>
      </c>
      <c r="D1407" s="19" t="n">
        <f aca="false">'CEMIUP0.9 Raw'!D879</f>
        <v>0</v>
      </c>
      <c r="E1407" s="19" t="n">
        <f aca="false">'CEMIUP0.9 Raw'!E879</f>
        <v>0</v>
      </c>
      <c r="F1407" s="19" t="n">
        <f aca="false">'CEMIUP0.9 Raw'!F879</f>
        <v>36.6315789473684</v>
      </c>
      <c r="G1407" s="19" t="n">
        <f aca="false">'CEMIUP0.9 Raw'!G879</f>
        <v>493.354105263158</v>
      </c>
      <c r="H1407" s="18" t="str">
        <f aca="false">'CEMIUP0.9 Raw'!A879</f>
        <v>113 - Kupat Holim Meuhedet</v>
      </c>
    </row>
    <row r="1408" customFormat="false" ht="15" hidden="false" customHeight="false" outlineLevel="0" collapsed="false">
      <c r="A1408" s="18" t="str">
        <f aca="false">'CEMIUP0.9 Raw'!B892</f>
        <v>11 L""חגורת בטן""אורירית</v>
      </c>
      <c r="B1408" s="18" t="str">
        <f aca="false">'CEMIUP0.9 Raw'!C892</f>
        <v>11 L""חגורת בטן""אורירית</v>
      </c>
      <c r="C1408" s="18" t="str">
        <f aca="false">'CEMIUP0.9 Raw'!C892</f>
        <v>11 L""חגורת בטן""אורירית</v>
      </c>
      <c r="D1408" s="19" t="n">
        <f aca="false">'CEMIUP0.9 Raw'!D892</f>
        <v>0</v>
      </c>
      <c r="E1408" s="19" t="n">
        <f aca="false">'CEMIUP0.9 Raw'!E892</f>
        <v>0</v>
      </c>
      <c r="F1408" s="19" t="n">
        <f aca="false">'CEMIUP0.9 Raw'!F892</f>
        <v>36.6315789473684</v>
      </c>
      <c r="G1408" s="19" t="n">
        <f aca="false">'CEMIUP0.9 Raw'!G892</f>
        <v>2349.06442105263</v>
      </c>
      <c r="H1408" s="18" t="str">
        <f aca="false">'CEMIUP0.9 Raw'!A892</f>
        <v>113 - Kupat Holim Meuhedet</v>
      </c>
    </row>
    <row r="1409" customFormat="false" ht="15" hidden="false" customHeight="false" outlineLevel="0" collapsed="false">
      <c r="A1409" s="18" t="n">
        <f aca="false">'CEMIUP0.9 Raw'!B1427</f>
        <v>4411028</v>
      </c>
      <c r="B1409" s="18" t="str">
        <f aca="false">'CEMIUP0.9 Raw'!C1427</f>
        <v>213CTSL S שמאל CTS כפפות</v>
      </c>
      <c r="C1409" s="18" t="str">
        <f aca="false">'CEMIUP0.9 Raw'!C1427</f>
        <v>213CTSL S שמאל CTS כפפות</v>
      </c>
      <c r="D1409" s="19" t="n">
        <f aca="false">'CEMIUP0.9 Raw'!D1427</f>
        <v>0</v>
      </c>
      <c r="E1409" s="19" t="n">
        <f aca="false">'CEMIUP0.9 Raw'!E1427</f>
        <v>0</v>
      </c>
      <c r="F1409" s="19" t="n">
        <f aca="false">'CEMIUP0.9 Raw'!F1427</f>
        <v>36.6315789473684</v>
      </c>
      <c r="G1409" s="19" t="n">
        <f aca="false">'CEMIUP0.9 Raw'!G1427</f>
        <v>3343.24421052632</v>
      </c>
      <c r="H1409" s="18" t="str">
        <f aca="false">'CEMIUP0.9 Raw'!A1427</f>
        <v>Super-Pharm Israel (CEMI internal group)</v>
      </c>
    </row>
    <row r="1410" customFormat="false" ht="15" hidden="false" customHeight="false" outlineLevel="0" collapsed="false">
      <c r="A1410" s="18" t="n">
        <f aca="false">'CEMIUP0.9 Raw'!B1490</f>
        <v>4413112</v>
      </c>
      <c r="B1410" s="18" t="str">
        <f aca="false">'CEMIUP0.9 Raw'!C1490</f>
        <v>49  L מגן ירך</v>
      </c>
      <c r="C1410" s="18" t="str">
        <f aca="false">'CEMIUP0.9 Raw'!C1490</f>
        <v>49  L מגן ירך</v>
      </c>
      <c r="D1410" s="19" t="n">
        <f aca="false">'CEMIUP0.9 Raw'!D1490</f>
        <v>82</v>
      </c>
      <c r="E1410" s="19" t="n">
        <f aca="false">'CEMIUP0.9 Raw'!E1490</f>
        <v>2124.122</v>
      </c>
      <c r="F1410" s="19" t="n">
        <f aca="false">'CEMIUP0.9 Raw'!F1490</f>
        <v>36.6315789473684</v>
      </c>
      <c r="G1410" s="19" t="n">
        <f aca="false">'CEMIUP0.9 Raw'!G1490</f>
        <v>956.821894736842</v>
      </c>
      <c r="H1410" s="18" t="str">
        <f aca="false">'CEMIUP0.9 Raw'!A1490</f>
        <v>Super-Pharm Israel (CEMI internal group)</v>
      </c>
    </row>
    <row r="1411" customFormat="false" ht="15" hidden="false" customHeight="false" outlineLevel="0" collapsed="false">
      <c r="A1411" s="18" t="n">
        <f aca="false">'CEMIUP0.9 Raw'!B1540</f>
        <v>4413184</v>
      </c>
      <c r="B1411" s="18" t="str">
        <f aca="false">'CEMIUP0.9 Raw'!C1540</f>
        <v>T 45 L מגן ברך רגיל</v>
      </c>
      <c r="C1411" s="18" t="str">
        <f aca="false">'CEMIUP0.9 Raw'!C1540</f>
        <v>T 45 L מגן ברך רגיל</v>
      </c>
      <c r="D1411" s="19" t="n">
        <f aca="false">'CEMIUP0.9 Raw'!D1540</f>
        <v>87</v>
      </c>
      <c r="E1411" s="19" t="n">
        <f aca="false">'CEMIUP0.9 Raw'!E1540</f>
        <v>7123.389</v>
      </c>
      <c r="F1411" s="19" t="n">
        <f aca="false">'CEMIUP0.9 Raw'!F1540</f>
        <v>36.6315789473684</v>
      </c>
      <c r="G1411" s="19" t="n">
        <f aca="false">'CEMIUP0.9 Raw'!G1540</f>
        <v>3073.80757894737</v>
      </c>
      <c r="H1411" s="18" t="str">
        <f aca="false">'CEMIUP0.9 Raw'!A1540</f>
        <v>Super-Pharm Israel (CEMI internal group)</v>
      </c>
    </row>
    <row r="1412" customFormat="false" ht="15" hidden="false" customHeight="false" outlineLevel="0" collapsed="false">
      <c r="A1412" s="18" t="n">
        <f aca="false">'CEMIUP0.9 Raw'!B325</f>
        <v>4413160</v>
      </c>
      <c r="B1412" s="18" t="str">
        <f aca="false">'CEMIUP0.9 Raw'!C325</f>
        <v>34+ M מגן קרסול עקב סגור+רצוע</v>
      </c>
      <c r="C1412" s="18" t="str">
        <f aca="false">'CEMIUP0.9 Raw'!C325</f>
        <v>34+ M מגן קרסול עקב סגור+רצוע</v>
      </c>
      <c r="D1412" s="19" t="n">
        <f aca="false">'CEMIUP0.9 Raw'!D325</f>
        <v>63</v>
      </c>
      <c r="E1412" s="19" t="n">
        <f aca="false">'CEMIUP0.9 Raw'!E325</f>
        <v>3773.323</v>
      </c>
      <c r="F1412" s="19" t="n">
        <f aca="false">'CEMIUP0.9 Raw'!F325</f>
        <v>35.3684210526316</v>
      </c>
      <c r="G1412" s="19" t="n">
        <f aca="false">'CEMIUP0.9 Raw'!G325</f>
        <v>2180.55157894737</v>
      </c>
      <c r="H1412" s="18" t="str">
        <f aca="false">'CEMIUP0.9 Raw'!A325</f>
        <v>107 - Pharmacies</v>
      </c>
    </row>
    <row r="1413" customFormat="false" ht="15" hidden="false" customHeight="false" outlineLevel="0" collapsed="false">
      <c r="A1413" s="18" t="n">
        <f aca="false">'CEMIUP0.9 Raw'!B467</f>
        <v>4415002</v>
      </c>
      <c r="B1413" s="18" t="str">
        <f aca="false">'CEMIUP0.9 Raw'!C467</f>
        <v>26 S סד ליד דו צדדי לאחר שבר</v>
      </c>
      <c r="C1413" s="18" t="str">
        <f aca="false">'CEMIUP0.9 Raw'!C467</f>
        <v>26 S סד ליד דו צדדי לאחר שבר</v>
      </c>
      <c r="D1413" s="19" t="n">
        <f aca="false">'CEMIUP0.9 Raw'!D467</f>
        <v>53</v>
      </c>
      <c r="E1413" s="19" t="n">
        <f aca="false">'CEMIUP0.9 Raw'!E467</f>
        <v>4708.067</v>
      </c>
      <c r="F1413" s="19" t="n">
        <f aca="false">'CEMIUP0.9 Raw'!F467</f>
        <v>35.3684210526316</v>
      </c>
      <c r="G1413" s="19" t="n">
        <f aca="false">'CEMIUP0.9 Raw'!G467</f>
        <v>3230.48084210526</v>
      </c>
      <c r="H1413" s="18" t="str">
        <f aca="false">'CEMIUP0.9 Raw'!A467</f>
        <v>107 - Pharmacies</v>
      </c>
    </row>
    <row r="1414" customFormat="false" ht="15" hidden="false" customHeight="false" outlineLevel="0" collapsed="false">
      <c r="A1414" s="18" t="n">
        <f aca="false">'CEMIUP0.9 Raw'!B468</f>
        <v>4415003</v>
      </c>
      <c r="B1414" s="18" t="str">
        <f aca="false">'CEMIUP0.9 Raw'!C468</f>
        <v>26 XL סד ליד דו צדדי לאחר שבר</v>
      </c>
      <c r="C1414" s="18" t="str">
        <f aca="false">'CEMIUP0.9 Raw'!C468</f>
        <v>26 XL סד ליד דו צדדי לאחר שבר</v>
      </c>
      <c r="D1414" s="19" t="n">
        <f aca="false">'CEMIUP0.9 Raw'!D468</f>
        <v>70</v>
      </c>
      <c r="E1414" s="19" t="n">
        <f aca="false">'CEMIUP0.9 Raw'!E468</f>
        <v>6205.199</v>
      </c>
      <c r="F1414" s="19" t="n">
        <f aca="false">'CEMIUP0.9 Raw'!F468</f>
        <v>35.3684210526316</v>
      </c>
      <c r="G1414" s="19" t="n">
        <f aca="false">'CEMIUP0.9 Raw'!G468</f>
        <v>3223.69894736842</v>
      </c>
      <c r="H1414" s="18" t="str">
        <f aca="false">'CEMIUP0.9 Raw'!A468</f>
        <v>107 - Pharmacies</v>
      </c>
    </row>
    <row r="1415" customFormat="false" ht="15" hidden="false" customHeight="false" outlineLevel="0" collapsed="false">
      <c r="A1415" s="18" t="n">
        <f aca="false">'CEMIUP0.9 Raw'!B595</f>
        <v>4422041</v>
      </c>
      <c r="B1415" s="18" t="str">
        <f aca="false">'CEMIUP0.9 Raw'!C595</f>
        <v>SH422 5 תומך ברך גנושילד</v>
      </c>
      <c r="C1415" s="18" t="str">
        <f aca="false">'CEMIUP0.9 Raw'!C595</f>
        <v>SH422 5 תומך ברך גנושילד</v>
      </c>
      <c r="D1415" s="19" t="n">
        <f aca="false">'CEMIUP0.9 Raw'!D595</f>
        <v>8</v>
      </c>
      <c r="E1415" s="19" t="n">
        <f aca="false">'CEMIUP0.9 Raw'!E595</f>
        <v>1389.785</v>
      </c>
      <c r="F1415" s="19" t="n">
        <f aca="false">'CEMIUP0.9 Raw'!F595</f>
        <v>35.3684210526316</v>
      </c>
      <c r="G1415" s="19" t="n">
        <f aca="false">'CEMIUP0.9 Raw'!G595</f>
        <v>6364.88589473684</v>
      </c>
      <c r="H1415" s="18" t="str">
        <f aca="false">'CEMIUP0.9 Raw'!A595</f>
        <v>107 - Pharmacies</v>
      </c>
    </row>
    <row r="1416" customFormat="false" ht="15" hidden="false" customHeight="false" outlineLevel="0" collapsed="false">
      <c r="A1416" s="18" t="n">
        <f aca="false">'CEMIUP0.9 Raw'!B828</f>
        <v>4413198</v>
      </c>
      <c r="B1416" s="18" t="str">
        <f aca="false">'CEMIUP0.9 Raw'!C828</f>
        <v>87 XL מקבע כתף ויד</v>
      </c>
      <c r="C1416" s="18" t="str">
        <f aca="false">'CEMIUP0.9 Raw'!C828</f>
        <v>87 XL מקבע כתף ויד</v>
      </c>
      <c r="D1416" s="19" t="n">
        <f aca="false">'CEMIUP0.9 Raw'!D828</f>
        <v>55</v>
      </c>
      <c r="E1416" s="19" t="n">
        <f aca="false">'CEMIUP0.9 Raw'!E828</f>
        <v>6957.5</v>
      </c>
      <c r="F1416" s="19" t="n">
        <f aca="false">'CEMIUP0.9 Raw'!F828</f>
        <v>35.3684210526316</v>
      </c>
      <c r="G1416" s="19" t="n">
        <f aca="false">'CEMIUP0.9 Raw'!G828</f>
        <v>4272.77052631579</v>
      </c>
      <c r="H1416" s="18" t="str">
        <f aca="false">'CEMIUP0.9 Raw'!A828</f>
        <v>113 - Kupat Holim Meuhedet</v>
      </c>
    </row>
    <row r="1417" customFormat="false" ht="15" hidden="false" customHeight="false" outlineLevel="0" collapsed="false">
      <c r="A1417" s="18" t="n">
        <f aca="false">'CEMIUP0.9 Raw'!B866</f>
        <v>4420022</v>
      </c>
      <c r="B1417" s="18" t="str">
        <f aca="false">'CEMIUP0.9 Raw'!C866</f>
        <v>LF370 ריפוד סיליקון לעקב אחורי</v>
      </c>
      <c r="C1417" s="18" t="str">
        <f aca="false">'CEMIUP0.9 Raw'!C866</f>
        <v>LF370 ריפוד סיליקון לעקב אחורי</v>
      </c>
      <c r="D1417" s="19" t="n">
        <f aca="false">'CEMIUP0.9 Raw'!D866</f>
        <v>59</v>
      </c>
      <c r="E1417" s="19" t="n">
        <f aca="false">'CEMIUP0.9 Raw'!E866</f>
        <v>938.69</v>
      </c>
      <c r="F1417" s="19" t="n">
        <f aca="false">'CEMIUP0.9 Raw'!F866</f>
        <v>35.3684210526316</v>
      </c>
      <c r="G1417" s="19" t="n">
        <f aca="false">'CEMIUP0.9 Raw'!G866</f>
        <v>537.248842105263</v>
      </c>
      <c r="H1417" s="18" t="str">
        <f aca="false">'CEMIUP0.9 Raw'!A866</f>
        <v>113 - Kupat Holim Meuhedet</v>
      </c>
    </row>
    <row r="1418" customFormat="false" ht="15" hidden="false" customHeight="false" outlineLevel="0" collapsed="false">
      <c r="A1418" s="18" t="n">
        <f aca="false">'CEMIUP0.9 Raw'!B1279</f>
        <v>4403001</v>
      </c>
      <c r="B1418" s="18" t="str">
        <f aca="false">'CEMIUP0.9 Raw'!C1279</f>
        <v>390B 39-42.גרב.כסף לסכרתיים שח</v>
      </c>
      <c r="C1418" s="18" t="str">
        <f aca="false">'CEMIUP0.9 Raw'!C1279</f>
        <v>390B 39-42.גרב.כסף לסכרתיים שח</v>
      </c>
      <c r="D1418" s="19" t="n">
        <f aca="false">'CEMIUP0.9 Raw'!D1279</f>
        <v>75</v>
      </c>
      <c r="E1418" s="19" t="n">
        <f aca="false">'CEMIUP0.9 Raw'!E1279</f>
        <v>1982.981</v>
      </c>
      <c r="F1418" s="19" t="n">
        <f aca="false">'CEMIUP0.9 Raw'!F1279</f>
        <v>35.3684210526316</v>
      </c>
      <c r="G1418" s="19" t="n">
        <f aca="false">'CEMIUP0.9 Raw'!G1279</f>
        <v>952.453894736842</v>
      </c>
      <c r="H1418" s="18" t="str">
        <f aca="false">'CEMIUP0.9 Raw'!A1279</f>
        <v>Super-Pharm Israel (CEMI internal group)</v>
      </c>
    </row>
    <row r="1419" customFormat="false" ht="15" hidden="false" customHeight="false" outlineLevel="0" collapsed="false">
      <c r="A1419" s="18" t="n">
        <f aca="false">'CEMIUP0.9 Raw'!B1286</f>
        <v>4403008</v>
      </c>
      <c r="B1419" s="18" t="str">
        <f aca="false">'CEMIUP0.9 Raw'!C1286</f>
        <v>390W גרב.כסף לסכרתיים לבן43-46</v>
      </c>
      <c r="C1419" s="18" t="str">
        <f aca="false">'CEMIUP0.9 Raw'!C1286</f>
        <v>390W גרב.כסף לסכרתיים לבן43-46</v>
      </c>
      <c r="D1419" s="19" t="n">
        <f aca="false">'CEMIUP0.9 Raw'!D1286</f>
        <v>34</v>
      </c>
      <c r="E1419" s="19" t="n">
        <f aca="false">'CEMIUP0.9 Raw'!E1286</f>
        <v>902.993</v>
      </c>
      <c r="F1419" s="19" t="n">
        <f aca="false">'CEMIUP0.9 Raw'!F1286</f>
        <v>35.3684210526316</v>
      </c>
      <c r="G1419" s="19" t="n">
        <f aca="false">'CEMIUP0.9 Raw'!G1286</f>
        <v>936.246315789474</v>
      </c>
      <c r="H1419" s="18" t="str">
        <f aca="false">'CEMIUP0.9 Raw'!A1286</f>
        <v>Super-Pharm Israel (CEMI internal group)</v>
      </c>
    </row>
    <row r="1420" customFormat="false" ht="15" hidden="false" customHeight="false" outlineLevel="0" collapsed="false">
      <c r="A1420" s="18" t="n">
        <f aca="false">'CEMIUP0.9 Raw'!B1665</f>
        <v>4420001</v>
      </c>
      <c r="B1420" s="18" t="str">
        <f aca="false">'CEMIUP0.9 Raw'!C1665</f>
        <v>371 רפידת מגבת כותנה-זוג</v>
      </c>
      <c r="C1420" s="18" t="str">
        <f aca="false">'CEMIUP0.9 Raw'!C1665</f>
        <v>371 רפידת מגבת כותנה-זוג</v>
      </c>
      <c r="D1420" s="19" t="n">
        <f aca="false">'CEMIUP0.9 Raw'!D1665</f>
        <v>34</v>
      </c>
      <c r="E1420" s="19" t="n">
        <f aca="false">'CEMIUP0.9 Raw'!E1665</f>
        <v>306.579</v>
      </c>
      <c r="F1420" s="19" t="n">
        <f aca="false">'CEMIUP0.9 Raw'!F1665</f>
        <v>35.3684210526316</v>
      </c>
      <c r="G1420" s="19" t="n">
        <f aca="false">'CEMIUP0.9 Raw'!G1665</f>
        <v>321.737684210526</v>
      </c>
      <c r="H1420" s="18" t="str">
        <f aca="false">'CEMIUP0.9 Raw'!A1665</f>
        <v>Super-Pharm Israel (CEMI internal group)</v>
      </c>
    </row>
    <row r="1421" customFormat="false" ht="15" hidden="false" customHeight="false" outlineLevel="0" collapsed="false">
      <c r="A1421" s="18" t="n">
        <f aca="false">'SALES Raw'!G150</f>
        <v>4403045</v>
      </c>
      <c r="B1421" s="18" t="str">
        <f aca="false">'SALES Raw'!B150</f>
        <v>395B-43-46</v>
      </c>
      <c r="C1421" s="18" t="str">
        <f aca="false">'SALES Raw'!H150</f>
        <v>395B גרבי קיץ אנטי בקטריא43-46</v>
      </c>
      <c r="D1421" s="19" t="n">
        <f aca="false">'SALES Raw'!C150</f>
        <v>0</v>
      </c>
      <c r="E1421" s="19" t="n">
        <f aca="false">'SALES Raw'!D150</f>
        <v>0</v>
      </c>
      <c r="F1421" s="19" t="n">
        <f aca="false">'SALES Raw'!E150*$H$4</f>
        <v>35.3684210526316</v>
      </c>
      <c r="G1421" s="19" t="n">
        <f aca="false">'SALES Raw'!F150*$H$4</f>
        <v>1075.04842105263</v>
      </c>
      <c r="H1421" s="18" t="str">
        <f aca="false">'SALES Raw'!A150</f>
        <v>101 - Factory customers</v>
      </c>
    </row>
    <row r="1422" customFormat="false" ht="15" hidden="false" customHeight="false" outlineLevel="0" collapsed="false">
      <c r="A1422" s="18" t="n">
        <f aca="false">'SALES Raw'!G575</f>
        <v>4413138</v>
      </c>
      <c r="B1422" s="18" t="str">
        <f aca="false">'SALES Raw'!B575</f>
        <v>85 XL</v>
      </c>
      <c r="C1422" s="18" t="str">
        <f aca="false">'SALES Raw'!H575</f>
        <v>85 XL (מתלה ליד )כיס</v>
      </c>
      <c r="D1422" s="19" t="n">
        <f aca="false">'SALES Raw'!C575</f>
        <v>25</v>
      </c>
      <c r="E1422" s="19" t="n">
        <f aca="false">'SALES Raw'!D575</f>
        <v>1224.98</v>
      </c>
      <c r="F1422" s="19" t="n">
        <f aca="false">'SALES Raw'!E575*$H$4</f>
        <v>35.3684210526316</v>
      </c>
      <c r="G1422" s="19" t="n">
        <f aca="false">'SALES Raw'!F575*$H$4</f>
        <v>1733.00210526316</v>
      </c>
      <c r="H1422" s="18" t="str">
        <f aca="false">'SALES Raw'!A575</f>
        <v>102 - Orthopedic institutes</v>
      </c>
    </row>
    <row r="1423" customFormat="false" ht="15" hidden="false" customHeight="false" outlineLevel="0" collapsed="false">
      <c r="A1423" s="18" t="n">
        <f aca="false">'SALES Raw'!G582</f>
        <v>4422041</v>
      </c>
      <c r="B1423" s="18" t="str">
        <f aca="false">'SALES Raw'!B582</f>
        <v>SH422 5</v>
      </c>
      <c r="C1423" s="18" t="str">
        <f aca="false">'SALES Raw'!H582</f>
        <v>SH422 5 תומך ברך גנושילד</v>
      </c>
      <c r="D1423" s="19" t="n">
        <f aca="false">'SALES Raw'!C582</f>
        <v>42</v>
      </c>
      <c r="E1423" s="19" t="n">
        <f aca="false">'SALES Raw'!D582</f>
        <v>4801.24</v>
      </c>
      <c r="F1423" s="19" t="n">
        <f aca="false">'SALES Raw'!E582*$H$4</f>
        <v>35.3684210526316</v>
      </c>
      <c r="G1423" s="19" t="n">
        <f aca="false">'SALES Raw'!F582*$H$4</f>
        <v>3789.47368421053</v>
      </c>
      <c r="H1423" s="18" t="str">
        <f aca="false">'SALES Raw'!A582</f>
        <v>102 - Orthopedic institutes</v>
      </c>
    </row>
    <row r="1424" customFormat="false" ht="15" hidden="false" customHeight="false" outlineLevel="0" collapsed="false">
      <c r="A1424" s="18" t="n">
        <f aca="false">'SALES Raw'!G607</f>
        <v>4408263</v>
      </c>
      <c r="B1424" s="18" t="str">
        <f aca="false">'SALES Raw'!B607</f>
        <v>11STO XXL</v>
      </c>
      <c r="C1424" s="18" t="str">
        <f aca="false">'SALES Raw'!H607</f>
        <v>11STO XXL חגורה אחרי ניתוח</v>
      </c>
      <c r="D1424" s="19" t="n">
        <f aca="false">'SALES Raw'!C607</f>
        <v>51</v>
      </c>
      <c r="E1424" s="19" t="n">
        <f aca="false">'SALES Raw'!D607</f>
        <v>5416.7</v>
      </c>
      <c r="F1424" s="19" t="n">
        <f aca="false">'SALES Raw'!E607*$H$4</f>
        <v>35.3684210526316</v>
      </c>
      <c r="G1424" s="19" t="n">
        <f aca="false">'SALES Raw'!F607*$H$4</f>
        <v>3979.01052631579</v>
      </c>
      <c r="H1424" s="18" t="str">
        <f aca="false">'SALES Raw'!A607</f>
        <v>102 - Orthopedic institutes</v>
      </c>
    </row>
    <row r="1425" customFormat="false" ht="15" hidden="false" customHeight="false" outlineLevel="0" collapsed="false">
      <c r="A1425" s="18" t="n">
        <f aca="false">'SALES Raw'!G2258</f>
        <v>4402007</v>
      </c>
      <c r="B1425" s="18" t="str">
        <f aca="false">'SALES Raw'!B2258</f>
        <v>320 0</v>
      </c>
      <c r="C1425" s="18" t="str">
        <f aca="false">'SALES Raw'!H2258</f>
        <v>320 בליסטר פלסטר</v>
      </c>
      <c r="D1425" s="19" t="n">
        <f aca="false">'SALES Raw'!C2258</f>
        <v>28</v>
      </c>
      <c r="E1425" s="19" t="n">
        <f aca="false">'SALES Raw'!D2258</f>
        <v>898.41</v>
      </c>
      <c r="F1425" s="19" t="n">
        <f aca="false">'SALES Raw'!E2258*$H$4</f>
        <v>35.3684210526316</v>
      </c>
      <c r="G1425" s="19" t="n">
        <f aca="false">'SALES Raw'!F2258*$H$4</f>
        <v>1231.25052631579</v>
      </c>
      <c r="H1425" s="18" t="str">
        <f aca="false">'SALES Raw'!A2258</f>
        <v>114 - IL online</v>
      </c>
    </row>
    <row r="1426" customFormat="false" ht="15" hidden="false" customHeight="false" outlineLevel="0" collapsed="false">
      <c r="A1426" s="18" t="n">
        <f aca="false">'SALES Raw'!G2267</f>
        <v>4413161</v>
      </c>
      <c r="B1426" s="18" t="str">
        <f aca="false">'SALES Raw'!B2267</f>
        <v>34+ L</v>
      </c>
      <c r="C1426" s="18" t="str">
        <f aca="false">'SALES Raw'!H2267</f>
        <v>34+ L מגן קרסול עקב סגור+רצוע</v>
      </c>
      <c r="D1426" s="19" t="n">
        <f aca="false">'SALES Raw'!C2267</f>
        <v>10</v>
      </c>
      <c r="E1426" s="19" t="n">
        <f aca="false">'SALES Raw'!D2267</f>
        <v>1165.88</v>
      </c>
      <c r="F1426" s="19" t="n">
        <f aca="false">'SALES Raw'!E2267*$H$4</f>
        <v>35.3684210526316</v>
      </c>
      <c r="G1426" s="19" t="n">
        <f aca="false">'SALES Raw'!F2267*$H$4</f>
        <v>4308.44210526316</v>
      </c>
      <c r="H1426" s="18" t="str">
        <f aca="false">'SALES Raw'!A2267</f>
        <v>114 - IL online</v>
      </c>
    </row>
    <row r="1427" customFormat="false" ht="15" hidden="false" customHeight="false" outlineLevel="0" collapsed="false">
      <c r="A1427" s="18" t="n">
        <f aca="false">'SALES Raw'!G2687</f>
        <v>4408269</v>
      </c>
      <c r="B1427" s="18" t="str">
        <f aca="false">'SALES Raw'!B2687</f>
        <v>ST37 0</v>
      </c>
      <c r="C1427" s="18" t="str">
        <f aca="false">'SALES Raw'!H2687</f>
        <v>ST37 חבק לקרסול</v>
      </c>
      <c r="D1427" s="19" t="n">
        <f aca="false">'SALES Raw'!C2687</f>
        <v>34</v>
      </c>
      <c r="E1427" s="19" t="n">
        <f aca="false">'SALES Raw'!D2687</f>
        <v>1954.84</v>
      </c>
      <c r="F1427" s="19" t="n">
        <f aca="false">'SALES Raw'!E2687*$H$4</f>
        <v>35.3684210526316</v>
      </c>
      <c r="G1427" s="19" t="n">
        <f aca="false">'SALES Raw'!F2687*$H$4</f>
        <v>2184.78315789474</v>
      </c>
      <c r="H1427" s="18" t="str">
        <f aca="false">'SALES Raw'!A2687</f>
        <v>114 - IL online</v>
      </c>
    </row>
    <row r="1428" customFormat="false" ht="15" hidden="false" customHeight="false" outlineLevel="0" collapsed="false">
      <c r="A1428" s="18" t="n">
        <f aca="false">'SALES Raw'!G3277</f>
        <v>4418001</v>
      </c>
      <c r="B1428" s="18" t="str">
        <f aca="false">'SALES Raw'!B3277</f>
        <v>60 M</v>
      </c>
      <c r="C1428" s="18" t="str">
        <f aca="false">'SALES Raw'!H3277</f>
        <v>60 M צוארון ספוגי</v>
      </c>
      <c r="D1428" s="19" t="n">
        <f aca="false">'SALES Raw'!C3277</f>
        <v>50</v>
      </c>
      <c r="E1428" s="19" t="n">
        <f aca="false">'SALES Raw'!D3277</f>
        <v>1127.64</v>
      </c>
      <c r="F1428" s="19" t="n">
        <f aca="false">'SALES Raw'!E3277*$H$4</f>
        <v>35.3684210526316</v>
      </c>
      <c r="G1428" s="19" t="n">
        <f aca="false">'SALES Raw'!F3277*$H$4</f>
        <v>727.654736842105</v>
      </c>
      <c r="H1428" s="18" t="str">
        <f aca="false">'SALES Raw'!A3277</f>
        <v>204 - Sanaflex Anatomic GREECE</v>
      </c>
    </row>
    <row r="1429" customFormat="false" ht="15" hidden="false" customHeight="false" outlineLevel="0" collapsed="false">
      <c r="A1429" s="18" t="n">
        <f aca="false">'SALES Raw'!G3344</f>
        <v>4413034</v>
      </c>
      <c r="B1429" s="18" t="str">
        <f aca="false">'SALES Raw'!B3344</f>
        <v>312 0</v>
      </c>
      <c r="C1429" s="18" t="str">
        <f aca="false">'SALES Raw'!H3344</f>
        <v>312 9 מ""""ס להתאמהX5 מדבקה גדולה</v>
      </c>
      <c r="D1429" s="19" t="n">
        <f aca="false">'SALES Raw'!C3344</f>
        <v>196</v>
      </c>
      <c r="E1429" s="19" t="n">
        <f aca="false">'SALES Raw'!D3344</f>
        <v>1570.61</v>
      </c>
      <c r="F1429" s="19" t="n">
        <f aca="false">'SALES Raw'!E3344*$H$4</f>
        <v>35.3684210526316</v>
      </c>
      <c r="G1429" s="19" t="n">
        <f aca="false">'SALES Raw'!F3344*$H$4</f>
        <v>275.103157894737</v>
      </c>
      <c r="H1429" s="18" t="str">
        <f aca="false">'SALES Raw'!A3344</f>
        <v>205 - Health Care Prod. Gmbh GERMANY</v>
      </c>
    </row>
    <row r="1430" customFormat="false" ht="15" hidden="false" customHeight="false" outlineLevel="0" collapsed="false">
      <c r="A1430" s="18" t="n">
        <f aca="false">'SALES Raw'!G542</f>
        <v>4415029</v>
      </c>
      <c r="B1430" s="18" t="str">
        <f aca="false">'SALES Raw'!B542</f>
        <v>237 0</v>
      </c>
      <c r="C1430" s="18" t="str">
        <f aca="false">'SALES Raw'!H542</f>
        <v>סד קיבוע לאצבע הדק</v>
      </c>
      <c r="D1430" s="19" t="n">
        <f aca="false">'SALES Raw'!C542</f>
        <v>20</v>
      </c>
      <c r="E1430" s="19" t="n">
        <f aca="false">'SALES Raw'!D542</f>
        <v>600.13</v>
      </c>
      <c r="F1430" s="19" t="n">
        <f aca="false">'SALES Raw'!E542*$H$4</f>
        <v>34.1052631578947</v>
      </c>
      <c r="G1430" s="19" t="n">
        <f aca="false">'SALES Raw'!F542*$H$4</f>
        <v>1037.48210526316</v>
      </c>
      <c r="H1430" s="18" t="str">
        <f aca="false">'SALES Raw'!A542</f>
        <v>102 - Orthopedic institutes</v>
      </c>
    </row>
    <row r="1431" customFormat="false" ht="15" hidden="false" customHeight="false" outlineLevel="0" collapsed="false">
      <c r="A1431" s="18" t="str">
        <f aca="false">'SALES Raw'!G2690</f>
        <v/>
      </c>
      <c r="B1431" s="18" t="str">
        <f aca="false">'SALES Raw'!B2690</f>
        <v>ST45X 0</v>
      </c>
      <c r="C1431" s="18" t="str">
        <f aca="false">'SALES Raw'!H2690</f>
        <v>ST45X 0</v>
      </c>
      <c r="D1431" s="19" t="n">
        <f aca="false">'SALES Raw'!C2690</f>
        <v>41</v>
      </c>
      <c r="E1431" s="19" t="n">
        <f aca="false">'SALES Raw'!D2690</f>
        <v>3157.24</v>
      </c>
      <c r="F1431" s="19" t="n">
        <f aca="false">'SALES Raw'!E2690*$H$4</f>
        <v>34.1052631578947</v>
      </c>
      <c r="G1431" s="19" t="n">
        <f aca="false">'SALES Raw'!F2690*$H$4</f>
        <v>2708.72842105263</v>
      </c>
      <c r="H1431" s="18" t="str">
        <f aca="false">'SALES Raw'!A2690</f>
        <v>114 - IL online</v>
      </c>
    </row>
    <row r="1432" customFormat="false" ht="15" hidden="false" customHeight="false" outlineLevel="0" collapsed="false">
      <c r="A1432" s="18" t="n">
        <f aca="false">'SALES Raw'!G3103</f>
        <v>4413165</v>
      </c>
      <c r="B1432" s="18" t="str">
        <f aca="false">'SALES Raw'!B3103</f>
        <v>74-L-XL</v>
      </c>
      <c r="C1432" s="18" t="str">
        <f aca="false">'SALES Raw'!H3103</f>
        <v>74 L-XL מיצב כתפיים</v>
      </c>
      <c r="D1432" s="19" t="n">
        <f aca="false">'SALES Raw'!C3103</f>
        <v>24</v>
      </c>
      <c r="E1432" s="19" t="n">
        <f aca="false">'SALES Raw'!D3103</f>
        <v>1954.03</v>
      </c>
      <c r="F1432" s="19" t="n">
        <f aca="false">'SALES Raw'!E3103*$H$4</f>
        <v>34.1052631578947</v>
      </c>
      <c r="G1432" s="19" t="n">
        <f aca="false">'SALES Raw'!F3103*$H$4</f>
        <v>2723.16631578947</v>
      </c>
      <c r="H1432" s="18" t="str">
        <f aca="false">'SALES Raw'!A3103</f>
        <v>203 - Ortho- Partner ag SWITZERLAND</v>
      </c>
    </row>
    <row r="1433" customFormat="false" ht="15" hidden="false" customHeight="false" outlineLevel="0" collapsed="false">
      <c r="A1433" s="18" t="str">
        <f aca="false">'SALES Raw'!G3187</f>
        <v/>
      </c>
      <c r="B1433" s="18" t="str">
        <f aca="false">'SALES Raw'!B3187</f>
        <v>305-35-36</v>
      </c>
      <c r="C1433" s="18" t="str">
        <f aca="false">'SALES Raw'!H3187</f>
        <v>305-35-36</v>
      </c>
      <c r="D1433" s="19" t="n">
        <f aca="false">'SALES Raw'!C3187</f>
        <v>6</v>
      </c>
      <c r="E1433" s="19" t="n">
        <f aca="false">'SALES Raw'!D3187</f>
        <v>200.98</v>
      </c>
      <c r="F1433" s="19" t="n">
        <f aca="false">'SALES Raw'!E3187*$H$4</f>
        <v>34.1052631578947</v>
      </c>
      <c r="G1433" s="19" t="n">
        <f aca="false">'SALES Raw'!F3187*$H$4</f>
        <v>1062.45473684211</v>
      </c>
      <c r="H1433" s="18" t="str">
        <f aca="false">'SALES Raw'!A3187</f>
        <v>204 - Sanaflex Anatomic GREECE</v>
      </c>
    </row>
    <row r="1434" customFormat="false" ht="15" hidden="false" customHeight="false" outlineLevel="0" collapsed="false">
      <c r="A1434" s="18" t="n">
        <f aca="false">'SALES Raw'!G3786</f>
        <v>4411028</v>
      </c>
      <c r="B1434" s="18" t="str">
        <f aca="false">'SALES Raw'!B3786</f>
        <v>213CTSL S</v>
      </c>
      <c r="C1434" s="18" t="str">
        <f aca="false">'SALES Raw'!H3786</f>
        <v>213CTSL S שמאל CTS כפפות</v>
      </c>
      <c r="D1434" s="19" t="n">
        <f aca="false">'SALES Raw'!C3786</f>
        <v>0</v>
      </c>
      <c r="E1434" s="19" t="n">
        <f aca="false">'SALES Raw'!D3786</f>
        <v>0</v>
      </c>
      <c r="F1434" s="19" t="n">
        <f aca="false">'SALES Raw'!E3786*$H$4</f>
        <v>34.1052631578947</v>
      </c>
      <c r="G1434" s="19" t="n">
        <f aca="false">'SALES Raw'!F3786*$H$4</f>
        <v>1479.94105263158</v>
      </c>
      <c r="H1434" s="18" t="str">
        <f aca="false">'SALES Raw'!A3786</f>
        <v>209 - Ortoprofil Prod ROMANIA</v>
      </c>
    </row>
    <row r="1435" customFormat="false" ht="15" hidden="false" customHeight="false" outlineLevel="0" collapsed="false">
      <c r="A1435" s="18" t="n">
        <f aca="false">'SALES Raw'!G3853</f>
        <v>4413139</v>
      </c>
      <c r="B1435" s="18" t="str">
        <f aca="false">'SALES Raw'!B3853</f>
        <v>95 L</v>
      </c>
      <c r="C1435" s="18" t="str">
        <f aca="false">'SALES Raw'!H3853</f>
        <v>95 L מגן מרפק רגיל לבן</v>
      </c>
      <c r="D1435" s="19" t="n">
        <f aca="false">'SALES Raw'!C3853</f>
        <v>40</v>
      </c>
      <c r="E1435" s="19" t="n">
        <f aca="false">'SALES Raw'!D3853</f>
        <v>417.89</v>
      </c>
      <c r="F1435" s="19" t="n">
        <f aca="false">'SALES Raw'!E3853*$H$4</f>
        <v>34.1052631578947</v>
      </c>
      <c r="G1435" s="19" t="n">
        <f aca="false">'SALES Raw'!F3853*$H$4</f>
        <v>353.406315789474</v>
      </c>
      <c r="H1435" s="18" t="str">
        <f aca="false">'SALES Raw'!A3853</f>
        <v>209 - Ortoprofil Prod ROMANIA</v>
      </c>
    </row>
    <row r="1436" customFormat="false" ht="15" hidden="false" customHeight="false" outlineLevel="0" collapsed="false">
      <c r="A1436" s="18" t="n">
        <f aca="false">'SALES Raw'!G4185</f>
        <v>4415160</v>
      </c>
      <c r="B1436" s="18" t="str">
        <f aca="false">'SALES Raw'!B4185</f>
        <v>238 S</v>
      </c>
      <c r="C1436" s="18" t="str">
        <f aca="false">'SALES Raw'!H4185</f>
        <v>238S סד ליישור אצבע</v>
      </c>
      <c r="D1436" s="19" t="n">
        <f aca="false">'SALES Raw'!C4185</f>
        <v>6</v>
      </c>
      <c r="E1436" s="19" t="n">
        <f aca="false">'SALES Raw'!D4185</f>
        <v>54.71</v>
      </c>
      <c r="F1436" s="19" t="n">
        <f aca="false">'SALES Raw'!E4185*$H$4</f>
        <v>34.1052631578947</v>
      </c>
      <c r="G1436" s="19" t="n">
        <f aca="false">'SALES Raw'!F4185*$H$4</f>
        <v>289.301052631579</v>
      </c>
      <c r="H1436" s="18" t="str">
        <f aca="false">'SALES Raw'!A4185</f>
        <v>216 - Max Konnaris CYPRUS</v>
      </c>
    </row>
    <row r="1437" customFormat="false" ht="15" hidden="false" customHeight="false" outlineLevel="0" collapsed="false">
      <c r="A1437" s="18" t="n">
        <f aca="false">'CEMIUP0.9 Raw'!B64</f>
        <v>4408032</v>
      </c>
      <c r="B1437" s="18" t="str">
        <f aca="false">'CEMIUP0.9 Raw'!C64</f>
        <v>11 L""חגורת בטן""אורירית</v>
      </c>
      <c r="C1437" s="18" t="str">
        <f aca="false">'CEMIUP0.9 Raw'!C64</f>
        <v>11 L""חגורת בטן""אורירית</v>
      </c>
      <c r="D1437" s="19" t="n">
        <f aca="false">'CEMIUP0.9 Raw'!D64</f>
        <v>50</v>
      </c>
      <c r="E1437" s="19" t="n">
        <f aca="false">'CEMIUP0.9 Raw'!E64</f>
        <v>4648.322</v>
      </c>
      <c r="F1437" s="19" t="n">
        <f aca="false">'CEMIUP0.9 Raw'!F64</f>
        <v>34.1052631578947</v>
      </c>
      <c r="G1437" s="19" t="n">
        <f aca="false">'CEMIUP0.9 Raw'!G64</f>
        <v>3237.048</v>
      </c>
      <c r="H1437" s="18" t="str">
        <f aca="false">'CEMIUP0.9 Raw'!A64</f>
        <v>107 - Pharmacies</v>
      </c>
    </row>
    <row r="1438" customFormat="false" ht="15" hidden="false" customHeight="false" outlineLevel="0" collapsed="false">
      <c r="A1438" s="18" t="n">
        <f aca="false">'CEMIUP0.9 Raw'!B156</f>
        <v>4408220</v>
      </c>
      <c r="B1438" s="18" t="str">
        <f aca="false">'CEMIUP0.9 Raw'!C156</f>
        <v>078G-M חגורת גב אפורה</v>
      </c>
      <c r="C1438" s="18" t="str">
        <f aca="false">'CEMIUP0.9 Raw'!C156</f>
        <v>078G-M חגורת גב אפורה</v>
      </c>
      <c r="D1438" s="19" t="n">
        <f aca="false">'CEMIUP0.9 Raw'!D156</f>
        <v>27</v>
      </c>
      <c r="E1438" s="19" t="n">
        <f aca="false">'CEMIUP0.9 Raw'!E156</f>
        <v>2709.707</v>
      </c>
      <c r="F1438" s="19" t="n">
        <f aca="false">'CEMIUP0.9 Raw'!F156</f>
        <v>34.1052631578947</v>
      </c>
      <c r="G1438" s="19" t="n">
        <f aca="false">'CEMIUP0.9 Raw'!G156</f>
        <v>3459.22610526316</v>
      </c>
      <c r="H1438" s="18" t="str">
        <f aca="false">'CEMIUP0.9 Raw'!A156</f>
        <v>107 - Pharmacies</v>
      </c>
    </row>
    <row r="1439" customFormat="false" ht="15" hidden="false" customHeight="false" outlineLevel="0" collapsed="false">
      <c r="A1439" s="18" t="n">
        <f aca="false">'CEMIUP0.9 Raw'!B419</f>
        <v>4413439</v>
      </c>
      <c r="B1439" s="18" t="str">
        <f aca="false">'CEMIUP0.9 Raw'!C419</f>
        <v>SC422  M מגן ברך</v>
      </c>
      <c r="C1439" s="18" t="str">
        <f aca="false">'CEMIUP0.9 Raw'!C419</f>
        <v>SC422  M מגן ברך</v>
      </c>
      <c r="D1439" s="19" t="n">
        <f aca="false">'CEMIUP0.9 Raw'!D419</f>
        <v>17</v>
      </c>
      <c r="E1439" s="19" t="n">
        <f aca="false">'CEMIUP0.9 Raw'!E419</f>
        <v>2177.811</v>
      </c>
      <c r="F1439" s="19" t="n">
        <f aca="false">'CEMIUP0.9 Raw'!F419</f>
        <v>34.1052631578947</v>
      </c>
      <c r="G1439" s="19" t="n">
        <f aca="false">'CEMIUP0.9 Raw'!G419</f>
        <v>4334.57178947368</v>
      </c>
      <c r="H1439" s="18" t="str">
        <f aca="false">'CEMIUP0.9 Raw'!A419</f>
        <v>107 - Pharmacies</v>
      </c>
    </row>
    <row r="1440" customFormat="false" ht="15" hidden="false" customHeight="false" outlineLevel="0" collapsed="false">
      <c r="A1440" s="18" t="n">
        <f aca="false">'CEMIUP0.9 Raw'!B550</f>
        <v>4420017</v>
      </c>
      <c r="B1440" s="18" t="str">
        <f aca="false">'CEMIUP0.9 Raw'!C550</f>
        <v>4022 רצועת ""פיקה""+כרית</v>
      </c>
      <c r="C1440" s="18" t="str">
        <f aca="false">'CEMIUP0.9 Raw'!C550</f>
        <v>4022 רצועת ""פיקה""+כרית</v>
      </c>
      <c r="D1440" s="19" t="n">
        <f aca="false">'CEMIUP0.9 Raw'!D550</f>
        <v>41</v>
      </c>
      <c r="E1440" s="19" t="n">
        <f aca="false">'CEMIUP0.9 Raw'!E550</f>
        <v>3471.711</v>
      </c>
      <c r="F1440" s="19" t="n">
        <f aca="false">'CEMIUP0.9 Raw'!F550</f>
        <v>34.1052631578947</v>
      </c>
      <c r="G1440" s="19" t="n">
        <f aca="false">'CEMIUP0.9 Raw'!G550</f>
        <v>2900.21178947368</v>
      </c>
      <c r="H1440" s="18" t="str">
        <f aca="false">'CEMIUP0.9 Raw'!A550</f>
        <v>107 - Pharmacies</v>
      </c>
    </row>
    <row r="1441" customFormat="false" ht="15" hidden="false" customHeight="false" outlineLevel="0" collapsed="false">
      <c r="A1441" s="18" t="n">
        <f aca="false">'CEMIUP0.9 Raw'!B578</f>
        <v>4422006</v>
      </c>
      <c r="B1441" s="18" t="str">
        <f aca="false">'CEMIUP0.9 Raw'!C578</f>
        <v>T78 L תומך זרוע וכתף</v>
      </c>
      <c r="C1441" s="18" t="str">
        <f aca="false">'CEMIUP0.9 Raw'!C578</f>
        <v>T78 L תומך זרוע וכתף</v>
      </c>
      <c r="D1441" s="19" t="n">
        <f aca="false">'CEMIUP0.9 Raw'!D578</f>
        <v>41</v>
      </c>
      <c r="E1441" s="19" t="n">
        <f aca="false">'CEMIUP0.9 Raw'!E578</f>
        <v>7031.042</v>
      </c>
      <c r="F1441" s="19" t="n">
        <f aca="false">'CEMIUP0.9 Raw'!F578</f>
        <v>34.1052631578947</v>
      </c>
      <c r="G1441" s="19" t="n">
        <f aca="false">'CEMIUP0.9 Raw'!G578</f>
        <v>5594.77136842105</v>
      </c>
      <c r="H1441" s="18" t="str">
        <f aca="false">'CEMIUP0.9 Raw'!A578</f>
        <v>107 - Pharmacies</v>
      </c>
    </row>
    <row r="1442" customFormat="false" ht="15" hidden="false" customHeight="false" outlineLevel="0" collapsed="false">
      <c r="A1442" s="18" t="n">
        <f aca="false">'CEMIUP0.9 Raw'!B780</f>
        <v>4413056</v>
      </c>
      <c r="B1442" s="18" t="str">
        <f aca="false">'CEMIUP0.9 Raw'!C780</f>
        <v>LF360 מדרס מטטרזלי לנעלי עקב</v>
      </c>
      <c r="C1442" s="18" t="str">
        <f aca="false">'CEMIUP0.9 Raw'!C780</f>
        <v>LF360 מדרס מטטרזלי לנעלי עקב</v>
      </c>
      <c r="D1442" s="19" t="n">
        <f aca="false">'CEMIUP0.9 Raw'!D780</f>
        <v>38</v>
      </c>
      <c r="E1442" s="19" t="n">
        <f aca="false">'CEMIUP0.9 Raw'!E780</f>
        <v>615.6</v>
      </c>
      <c r="F1442" s="19" t="n">
        <f aca="false">'CEMIUP0.9 Raw'!F780</f>
        <v>34.1052631578947</v>
      </c>
      <c r="G1442" s="19" t="n">
        <f aca="false">'CEMIUP0.9 Raw'!G780</f>
        <v>521.196631578947</v>
      </c>
      <c r="H1442" s="18" t="str">
        <f aca="false">'CEMIUP0.9 Raw'!A780</f>
        <v>113 - Kupat Holim Meuhedet</v>
      </c>
    </row>
    <row r="1443" customFormat="false" ht="15" hidden="false" customHeight="false" outlineLevel="0" collapsed="false">
      <c r="A1443" s="18" t="n">
        <f aca="false">'CEMIUP0.9 Raw'!B996</f>
        <v>4408094</v>
      </c>
      <c r="B1443" s="18" t="str">
        <f aca="false">'CEMIUP0.9 Raw'!C996</f>
        <v>T20 S-M חבק יד עם צמדן</v>
      </c>
      <c r="C1443" s="18" t="str">
        <f aca="false">'CEMIUP0.9 Raw'!C996</f>
        <v>T20 S-M חבק יד עם צמדן</v>
      </c>
      <c r="D1443" s="19" t="n">
        <f aca="false">'CEMIUP0.9 Raw'!D996</f>
        <v>42</v>
      </c>
      <c r="E1443" s="19" t="n">
        <f aca="false">'CEMIUP0.9 Raw'!E996</f>
        <v>1313.585</v>
      </c>
      <c r="F1443" s="19" t="n">
        <f aca="false">'CEMIUP0.9 Raw'!F996</f>
        <v>34.1052631578947</v>
      </c>
      <c r="G1443" s="19" t="n">
        <f aca="false">'CEMIUP0.9 Raw'!G996</f>
        <v>1066.71157894737</v>
      </c>
      <c r="H1443" s="18" t="str">
        <f aca="false">'CEMIUP0.9 Raw'!A996</f>
        <v>BE (CEMI internal group)</v>
      </c>
    </row>
    <row r="1444" customFormat="false" ht="15" hidden="false" customHeight="false" outlineLevel="0" collapsed="false">
      <c r="A1444" s="18" t="n">
        <f aca="false">'CEMIUP0.9 Raw'!B1008</f>
        <v>4408151</v>
      </c>
      <c r="B1444" s="18" t="str">
        <f aca="false">'CEMIUP0.9 Raw'!C1008</f>
        <v>11TO M חגורה למנותחי בית החזה</v>
      </c>
      <c r="C1444" s="18" t="str">
        <f aca="false">'CEMIUP0.9 Raw'!C1008</f>
        <v>11TO M חגורה למנותחי בית החזה</v>
      </c>
      <c r="D1444" s="19" t="n">
        <f aca="false">'CEMIUP0.9 Raw'!D1008</f>
        <v>17</v>
      </c>
      <c r="E1444" s="19" t="n">
        <f aca="false">'CEMIUP0.9 Raw'!E1008</f>
        <v>2024.75</v>
      </c>
      <c r="F1444" s="19" t="n">
        <f aca="false">'CEMIUP0.9 Raw'!F1008</f>
        <v>34.1052631578947</v>
      </c>
      <c r="G1444" s="19" t="n">
        <f aca="false">'CEMIUP0.9 Raw'!G1008</f>
        <v>4517.66147368421</v>
      </c>
      <c r="H1444" s="18" t="str">
        <f aca="false">'CEMIUP0.9 Raw'!A1008</f>
        <v>BE (CEMI internal group)</v>
      </c>
    </row>
    <row r="1445" customFormat="false" ht="15" hidden="false" customHeight="false" outlineLevel="0" collapsed="false">
      <c r="A1445" s="18" t="n">
        <f aca="false">'CEMIUP0.9 Raw'!B1017</f>
        <v>4408219</v>
      </c>
      <c r="B1445" s="18" t="str">
        <f aca="false">'CEMIUP0.9 Raw'!C1017</f>
        <v>078G-S חגורת גב אפורה</v>
      </c>
      <c r="C1445" s="18" t="str">
        <f aca="false">'CEMIUP0.9 Raw'!C1017</f>
        <v>078G-S חגורת גב אפורה</v>
      </c>
      <c r="D1445" s="19" t="n">
        <f aca="false">'CEMIUP0.9 Raw'!D1017</f>
        <v>18</v>
      </c>
      <c r="E1445" s="19" t="n">
        <f aca="false">'CEMIUP0.9 Raw'!E1017</f>
        <v>1459.094</v>
      </c>
      <c r="F1445" s="19" t="n">
        <f aca="false">'CEMIUP0.9 Raw'!F1017</f>
        <v>34.1052631578947</v>
      </c>
      <c r="G1445" s="19" t="n">
        <f aca="false">'CEMIUP0.9 Raw'!G1017</f>
        <v>3079.66989473684</v>
      </c>
      <c r="H1445" s="18" t="str">
        <f aca="false">'CEMIUP0.9 Raw'!A1017</f>
        <v>BE (CEMI internal group)</v>
      </c>
    </row>
    <row r="1446" customFormat="false" ht="15" hidden="false" customHeight="false" outlineLevel="0" collapsed="false">
      <c r="A1446" s="18" t="n">
        <f aca="false">'CEMIUP0.9 Raw'!B1196</f>
        <v>4413452</v>
      </c>
      <c r="B1446" s="18" t="str">
        <f aca="false">'CEMIUP0.9 Raw'!C1196</f>
        <v>386  מיישר בוניון-האלוקס ולגוס</v>
      </c>
      <c r="C1446" s="18" t="str">
        <f aca="false">'CEMIUP0.9 Raw'!C1196</f>
        <v>386  מיישר בוניון-האלוקס ולגוס</v>
      </c>
      <c r="D1446" s="19" t="n">
        <f aca="false">'CEMIUP0.9 Raw'!D1196</f>
        <v>28</v>
      </c>
      <c r="E1446" s="19" t="n">
        <f aca="false">'CEMIUP0.9 Raw'!E1196</f>
        <v>1123.122</v>
      </c>
      <c r="F1446" s="19" t="n">
        <f aca="false">'CEMIUP0.9 Raw'!F1196</f>
        <v>34.1052631578947</v>
      </c>
      <c r="G1446" s="19" t="n">
        <f aca="false">'CEMIUP0.9 Raw'!G1196</f>
        <v>1368.10357894737</v>
      </c>
      <c r="H1446" s="18" t="str">
        <f aca="false">'CEMIUP0.9 Raw'!A1196</f>
        <v>BE (CEMI internal group)</v>
      </c>
    </row>
    <row r="1447" customFormat="false" ht="15" hidden="false" customHeight="false" outlineLevel="0" collapsed="false">
      <c r="A1447" s="18" t="n">
        <f aca="false">'CEMIUP0.9 Raw'!B1315</f>
        <v>4408029</v>
      </c>
      <c r="B1447" s="18" t="str">
        <f aca="false">'CEMIUP0.9 Raw'!C1315</f>
        <v>10 XL ""חגורת גב ""לומבו</v>
      </c>
      <c r="C1447" s="18" t="str">
        <f aca="false">'CEMIUP0.9 Raw'!C1315</f>
        <v>10 XL ""חגורת גב ""לומבו</v>
      </c>
      <c r="D1447" s="19" t="n">
        <f aca="false">'CEMIUP0.9 Raw'!D1315</f>
        <v>65</v>
      </c>
      <c r="E1447" s="19" t="n">
        <f aca="false">'CEMIUP0.9 Raw'!E1315</f>
        <v>7752.836</v>
      </c>
      <c r="F1447" s="19" t="n">
        <f aca="false">'CEMIUP0.9 Raw'!F1315</f>
        <v>34.1052631578947</v>
      </c>
      <c r="G1447" s="19" t="n">
        <f aca="false">'CEMIUP0.9 Raw'!G1315</f>
        <v>4120.74821052632</v>
      </c>
      <c r="H1447" s="18" t="str">
        <f aca="false">'CEMIUP0.9 Raw'!A1315</f>
        <v>Super-Pharm Israel (CEMI internal group)</v>
      </c>
    </row>
    <row r="1448" customFormat="false" ht="15" hidden="false" customHeight="false" outlineLevel="0" collapsed="false">
      <c r="A1448" s="18" t="n">
        <f aca="false">'CEMIUP0.9 Raw'!B1622</f>
        <v>4415008</v>
      </c>
      <c r="B1448" s="18" t="str">
        <f aca="false">'CEMIUP0.9 Raw'!C1622</f>
        <v>28 XL סד לאגודל לאחר שבר</v>
      </c>
      <c r="C1448" s="18" t="str">
        <f aca="false">'CEMIUP0.9 Raw'!C1622</f>
        <v>28 XL סד לאגודל לאחר שבר</v>
      </c>
      <c r="D1448" s="19" t="n">
        <f aca="false">'CEMIUP0.9 Raw'!D1622</f>
        <v>224</v>
      </c>
      <c r="E1448" s="19" t="n">
        <f aca="false">'CEMIUP0.9 Raw'!E1622</f>
        <v>16694.496</v>
      </c>
      <c r="F1448" s="19" t="n">
        <f aca="false">'CEMIUP0.9 Raw'!F1622</f>
        <v>34.1052631578947</v>
      </c>
      <c r="G1448" s="19" t="n">
        <f aca="false">'CEMIUP0.9 Raw'!G1622</f>
        <v>2849.66021052632</v>
      </c>
      <c r="H1448" s="18" t="str">
        <f aca="false">'CEMIUP0.9 Raw'!A1622</f>
        <v>Super-Pharm Israel (CEMI internal group)</v>
      </c>
    </row>
    <row r="1449" customFormat="false" ht="15" hidden="false" customHeight="false" outlineLevel="0" collapsed="false">
      <c r="A1449" s="18" t="n">
        <f aca="false">'CEMIUP0.9 Raw'!B194</f>
        <v>4409013</v>
      </c>
      <c r="B1449" s="18" t="str">
        <f aca="false">'CEMIUP0.9 Raw'!C194</f>
        <v>804AT-BL     טייפ חבישה לספורט</v>
      </c>
      <c r="C1449" s="18" t="str">
        <f aca="false">'CEMIUP0.9 Raw'!C194</f>
        <v>804AT-BL     טייפ חבישה לספורט</v>
      </c>
      <c r="D1449" s="19" t="n">
        <f aca="false">'CEMIUP0.9 Raw'!D194</f>
        <v>7</v>
      </c>
      <c r="E1449" s="19" t="n">
        <f aca="false">'CEMIUP0.9 Raw'!E194</f>
        <v>108.108</v>
      </c>
      <c r="F1449" s="19" t="n">
        <f aca="false">'CEMIUP0.9 Raw'!F194</f>
        <v>32.8421052631579</v>
      </c>
      <c r="G1449" s="19" t="n">
        <f aca="false">'CEMIUP0.9 Raw'!G194</f>
        <v>516.918315789474</v>
      </c>
      <c r="H1449" s="18" t="str">
        <f aca="false">'CEMIUP0.9 Raw'!A194</f>
        <v>107 - Pharmacies</v>
      </c>
    </row>
    <row r="1450" customFormat="false" ht="15" hidden="false" customHeight="false" outlineLevel="0" collapsed="false">
      <c r="A1450" s="18" t="n">
        <f aca="false">'CEMIUP0.9 Raw'!B285</f>
        <v>4413112</v>
      </c>
      <c r="B1450" s="18" t="str">
        <f aca="false">'CEMIUP0.9 Raw'!C285</f>
        <v>49  L מגן ירך</v>
      </c>
      <c r="C1450" s="18" t="str">
        <f aca="false">'CEMIUP0.9 Raw'!C285</f>
        <v>49  L מגן ירך</v>
      </c>
      <c r="D1450" s="19" t="n">
        <f aca="false">'CEMIUP0.9 Raw'!D285</f>
        <v>35</v>
      </c>
      <c r="E1450" s="19" t="n">
        <f aca="false">'CEMIUP0.9 Raw'!E285</f>
        <v>1027.663</v>
      </c>
      <c r="F1450" s="19" t="n">
        <f aca="false">'CEMIUP0.9 Raw'!F285</f>
        <v>32.8421052631579</v>
      </c>
      <c r="G1450" s="19" t="n">
        <f aca="false">'CEMIUP0.9 Raw'!G285</f>
        <v>1050.31578947368</v>
      </c>
      <c r="H1450" s="18" t="str">
        <f aca="false">'CEMIUP0.9 Raw'!A285</f>
        <v>107 - Pharmacies</v>
      </c>
    </row>
    <row r="1451" customFormat="false" ht="15" hidden="false" customHeight="false" outlineLevel="0" collapsed="false">
      <c r="A1451" s="18" t="n">
        <f aca="false">'CEMIUP0.9 Raw'!B314</f>
        <v>4413143</v>
      </c>
      <c r="B1451" s="18" t="str">
        <f aca="false">'CEMIUP0.9 Raw'!C314</f>
        <v>95 XS מגן מרפק רגיל לבן</v>
      </c>
      <c r="C1451" s="18" t="str">
        <f aca="false">'CEMIUP0.9 Raw'!C314</f>
        <v>95 XS מגן מרפק רגיל לבן</v>
      </c>
      <c r="D1451" s="19" t="n">
        <f aca="false">'CEMIUP0.9 Raw'!D314</f>
        <v>25</v>
      </c>
      <c r="E1451" s="19" t="n">
        <f aca="false">'CEMIUP0.9 Raw'!E314</f>
        <v>685.685</v>
      </c>
      <c r="F1451" s="19" t="n">
        <f aca="false">'CEMIUP0.9 Raw'!F314</f>
        <v>32.8421052631579</v>
      </c>
      <c r="G1451" s="19" t="n">
        <f aca="false">'CEMIUP0.9 Raw'!G314</f>
        <v>912.377684210526</v>
      </c>
      <c r="H1451" s="18" t="str">
        <f aca="false">'CEMIUP0.9 Raw'!A314</f>
        <v>107 - Pharmacies</v>
      </c>
    </row>
    <row r="1452" customFormat="false" ht="15" hidden="false" customHeight="false" outlineLevel="0" collapsed="false">
      <c r="A1452" s="18" t="n">
        <f aca="false">'CEMIUP0.9 Raw'!B370</f>
        <v>4413330</v>
      </c>
      <c r="B1452" s="18" t="str">
        <f aca="false">'CEMIUP0.9 Raw'!C370</f>
        <v>AC49 מגן ירך</v>
      </c>
      <c r="C1452" s="18" t="str">
        <f aca="false">'CEMIUP0.9 Raw'!C370</f>
        <v>AC49 מגן ירך</v>
      </c>
      <c r="D1452" s="19" t="n">
        <f aca="false">'CEMIUP0.9 Raw'!D370</f>
        <v>22</v>
      </c>
      <c r="E1452" s="19" t="n">
        <f aca="false">'CEMIUP0.9 Raw'!E370</f>
        <v>1155.094</v>
      </c>
      <c r="F1452" s="19" t="n">
        <f aca="false">'CEMIUP0.9 Raw'!F370</f>
        <v>32.8421052631579</v>
      </c>
      <c r="G1452" s="19" t="n">
        <f aca="false">'CEMIUP0.9 Raw'!G370</f>
        <v>1847.24589473684</v>
      </c>
      <c r="H1452" s="18" t="str">
        <f aca="false">'CEMIUP0.9 Raw'!A370</f>
        <v>107 - Pharmacies</v>
      </c>
    </row>
    <row r="1453" customFormat="false" ht="15" hidden="false" customHeight="false" outlineLevel="0" collapsed="false">
      <c r="A1453" s="18" t="n">
        <f aca="false">'CEMIUP0.9 Raw'!B883</f>
        <v>4422041</v>
      </c>
      <c r="B1453" s="18" t="str">
        <f aca="false">'CEMIUP0.9 Raw'!C883</f>
        <v>SH422 5 תומך ברך גנושילד</v>
      </c>
      <c r="C1453" s="18" t="str">
        <f aca="false">'CEMIUP0.9 Raw'!C883</f>
        <v>SH422 5 תומך ברך גנושילד</v>
      </c>
      <c r="D1453" s="19" t="n">
        <f aca="false">'CEMIUP0.9 Raw'!D883</f>
        <v>0</v>
      </c>
      <c r="E1453" s="19" t="n">
        <f aca="false">'CEMIUP0.9 Raw'!E883</f>
        <v>0</v>
      </c>
      <c r="F1453" s="19" t="n">
        <f aca="false">'CEMIUP0.9 Raw'!F883</f>
        <v>32.8421052631579</v>
      </c>
      <c r="G1453" s="19" t="n">
        <f aca="false">'CEMIUP0.9 Raw'!G883</f>
        <v>3735.78947368421</v>
      </c>
      <c r="H1453" s="18" t="str">
        <f aca="false">'CEMIUP0.9 Raw'!A883</f>
        <v>113 - Kupat Holim Meuhedet</v>
      </c>
    </row>
    <row r="1454" customFormat="false" ht="15" hidden="false" customHeight="false" outlineLevel="0" collapsed="false">
      <c r="A1454" s="18" t="n">
        <f aca="false">'CEMIUP0.9 Raw'!B1078</f>
        <v>4413066</v>
      </c>
      <c r="B1454" s="18" t="str">
        <f aca="false">'CEMIUP0.9 Raw'!C1078</f>
        <v>3677S-מד.לשחרור לחץ א.הבוניון</v>
      </c>
      <c r="C1454" s="18" t="str">
        <f aca="false">'CEMIUP0.9 Raw'!C1078</f>
        <v>3677S-מד.לשחרור לחץ א.הבוניון</v>
      </c>
      <c r="D1454" s="19" t="n">
        <f aca="false">'CEMIUP0.9 Raw'!D1078</f>
        <v>35</v>
      </c>
      <c r="E1454" s="19" t="n">
        <f aca="false">'CEMIUP0.9 Raw'!E1078</f>
        <v>598.962</v>
      </c>
      <c r="F1454" s="19" t="n">
        <f aca="false">'CEMIUP0.9 Raw'!F1078</f>
        <v>32.8421052631579</v>
      </c>
      <c r="G1454" s="19" t="n">
        <f aca="false">'CEMIUP0.9 Raw'!G1078</f>
        <v>532.206315789474</v>
      </c>
      <c r="H1454" s="18" t="str">
        <f aca="false">'CEMIUP0.9 Raw'!A1078</f>
        <v>BE (CEMI internal group)</v>
      </c>
    </row>
    <row r="1455" customFormat="false" ht="15" hidden="false" customHeight="false" outlineLevel="0" collapsed="false">
      <c r="A1455" s="18" t="n">
        <f aca="false">'CEMIUP0.9 Raw'!B1216</f>
        <v>4415027</v>
      </c>
      <c r="B1455" s="18" t="str">
        <f aca="false">'CEMIUP0.9 Raw'!C1216</f>
        <v>AC-27R סד לש.כף יד ימין</v>
      </c>
      <c r="C1455" s="18" t="str">
        <f aca="false">'CEMIUP0.9 Raw'!C1216</f>
        <v>AC-27R סד לש.כף יד ימין</v>
      </c>
      <c r="D1455" s="19" t="n">
        <f aca="false">'CEMIUP0.9 Raw'!D1216</f>
        <v>24</v>
      </c>
      <c r="E1455" s="19" t="n">
        <f aca="false">'CEMIUP0.9 Raw'!E1216</f>
        <v>748.475</v>
      </c>
      <c r="F1455" s="19" t="n">
        <f aca="false">'CEMIUP0.9 Raw'!F1216</f>
        <v>32.8421052631579</v>
      </c>
      <c r="G1455" s="19" t="n">
        <f aca="false">'CEMIUP0.9 Raw'!G1216</f>
        <v>1036.71031578947</v>
      </c>
      <c r="H1455" s="18" t="str">
        <f aca="false">'CEMIUP0.9 Raw'!A1216</f>
        <v>BE (CEMI internal group)</v>
      </c>
    </row>
    <row r="1456" customFormat="false" ht="15" hidden="false" customHeight="false" outlineLevel="0" collapsed="false">
      <c r="A1456" s="18" t="n">
        <f aca="false">'CEMIUP0.9 Raw'!B1398</f>
        <v>4408265</v>
      </c>
      <c r="B1456" s="18" t="str">
        <f aca="false">'CEMIUP0.9 Raw'!C1398</f>
        <v>078XXL חגורת גב +סגירה כפולה</v>
      </c>
      <c r="C1456" s="18" t="str">
        <f aca="false">'CEMIUP0.9 Raw'!C1398</f>
        <v>078XXL חגורת גב +סגירה כפולה</v>
      </c>
      <c r="D1456" s="19" t="n">
        <f aca="false">'CEMIUP0.9 Raw'!D1398</f>
        <v>28</v>
      </c>
      <c r="E1456" s="19" t="n">
        <f aca="false">'CEMIUP0.9 Raw'!E1398</f>
        <v>2402.491</v>
      </c>
      <c r="F1456" s="19" t="n">
        <f aca="false">'CEMIUP0.9 Raw'!F1398</f>
        <v>32.8421052631579</v>
      </c>
      <c r="G1456" s="19" t="n">
        <f aca="false">'CEMIUP0.9 Raw'!G1398</f>
        <v>2884.71915789474</v>
      </c>
      <c r="H1456" s="18" t="str">
        <f aca="false">'CEMIUP0.9 Raw'!A1398</f>
        <v>Super-Pharm Israel (CEMI internal group)</v>
      </c>
    </row>
    <row r="1457" customFormat="false" ht="15" hidden="false" customHeight="false" outlineLevel="0" collapsed="false">
      <c r="A1457" s="18" t="n">
        <f aca="false">'CEMIUP0.9 Raw'!B1706</f>
        <v>4422039</v>
      </c>
      <c r="B1457" s="18" t="str">
        <f aca="false">'CEMIUP0.9 Raw'!C1706</f>
        <v>SH422 3 תומך ברך גנושילד</v>
      </c>
      <c r="C1457" s="18" t="str">
        <f aca="false">'CEMIUP0.9 Raw'!C1706</f>
        <v>SH422 3 תומך ברך גנושילד</v>
      </c>
      <c r="D1457" s="19" t="n">
        <f aca="false">'CEMIUP0.9 Raw'!D1706</f>
        <v>0</v>
      </c>
      <c r="E1457" s="19" t="n">
        <f aca="false">'CEMIUP0.9 Raw'!E1706</f>
        <v>0</v>
      </c>
      <c r="F1457" s="19" t="n">
        <f aca="false">'CEMIUP0.9 Raw'!F1706</f>
        <v>32.8421052631579</v>
      </c>
      <c r="G1457" s="19" t="n">
        <f aca="false">'CEMIUP0.9 Raw'!G1706</f>
        <v>5388.50273684211</v>
      </c>
      <c r="H1457" s="18" t="str">
        <f aca="false">'CEMIUP0.9 Raw'!A1706</f>
        <v>Super-Pharm Israel (CEMI internal group)</v>
      </c>
    </row>
    <row r="1458" customFormat="false" ht="15" hidden="false" customHeight="false" outlineLevel="0" collapsed="false">
      <c r="A1458" s="18" t="n">
        <f aca="false">'SALES Raw'!G605</f>
        <v>4408260</v>
      </c>
      <c r="B1458" s="18" t="str">
        <f aca="false">'SALES Raw'!B605</f>
        <v>11STO M</v>
      </c>
      <c r="C1458" s="18" t="str">
        <f aca="false">'SALES Raw'!H605</f>
        <v>11STO M חגורה אחרי ניתוח</v>
      </c>
      <c r="D1458" s="19" t="n">
        <f aca="false">'SALES Raw'!C605</f>
        <v>43</v>
      </c>
      <c r="E1458" s="19" t="n">
        <f aca="false">'SALES Raw'!D605</f>
        <v>4415.37</v>
      </c>
      <c r="F1458" s="19" t="n">
        <f aca="false">'SALES Raw'!E605*$H$4</f>
        <v>32.8421052631579</v>
      </c>
      <c r="G1458" s="19" t="n">
        <f aca="false">'SALES Raw'!F605*$H$4</f>
        <v>3406.58526315789</v>
      </c>
      <c r="H1458" s="18" t="str">
        <f aca="false">'SALES Raw'!A605</f>
        <v>102 - Orthopedic institutes</v>
      </c>
    </row>
    <row r="1459" customFormat="false" ht="15" hidden="false" customHeight="false" outlineLevel="0" collapsed="false">
      <c r="A1459" s="18" t="n">
        <f aca="false">'SALES Raw'!G610</f>
        <v>4408153</v>
      </c>
      <c r="B1459" s="18" t="str">
        <f aca="false">'SALES Raw'!B610</f>
        <v>11TO XL</v>
      </c>
      <c r="C1459" s="18" t="str">
        <f aca="false">'SALES Raw'!H610</f>
        <v>11TO XLחגורה למנותחי בית החזה</v>
      </c>
      <c r="D1459" s="19" t="n">
        <f aca="false">'SALES Raw'!C610</f>
        <v>40</v>
      </c>
      <c r="E1459" s="19" t="n">
        <f aca="false">'SALES Raw'!D610</f>
        <v>5598.45</v>
      </c>
      <c r="F1459" s="19" t="n">
        <f aca="false">'SALES Raw'!E610*$H$4</f>
        <v>32.8421052631579</v>
      </c>
      <c r="G1459" s="19" t="n">
        <f aca="false">'SALES Raw'!F610*$H$4</f>
        <v>4269.42315789474</v>
      </c>
      <c r="H1459" s="18" t="str">
        <f aca="false">'SALES Raw'!A610</f>
        <v>102 - Orthopedic institutes</v>
      </c>
    </row>
    <row r="1460" customFormat="false" ht="15" hidden="false" customHeight="false" outlineLevel="0" collapsed="false">
      <c r="A1460" s="18" t="n">
        <f aca="false">'SALES Raw'!G1318</f>
        <v>4408217</v>
      </c>
      <c r="B1460" s="18" t="str">
        <f aca="false">'SALES Raw'!B1318</f>
        <v>078 S</v>
      </c>
      <c r="C1460" s="18" t="str">
        <f aca="false">'SALES Raw'!H1318</f>
        <v>S078 חגורת גב +סגירה כפולה</v>
      </c>
      <c r="D1460" s="19" t="n">
        <f aca="false">'SALES Raw'!C1318</f>
        <v>2</v>
      </c>
      <c r="E1460" s="19" t="n">
        <f aca="false">'SALES Raw'!D1318</f>
        <v>195.11</v>
      </c>
      <c r="F1460" s="19" t="n">
        <f aca="false">'SALES Raw'!E1318*$H$4</f>
        <v>32.8421052631579</v>
      </c>
      <c r="G1460" s="19" t="n">
        <f aca="false">'SALES Raw'!F1318*$H$4</f>
        <v>2940.94736842105</v>
      </c>
      <c r="H1460" s="18" t="str">
        <f aca="false">'SALES Raw'!A1318</f>
        <v>103 - Physiotherapy institutes</v>
      </c>
    </row>
    <row r="1461" customFormat="false" ht="15" hidden="false" customHeight="false" outlineLevel="0" collapsed="false">
      <c r="A1461" s="18" t="n">
        <f aca="false">'SALES Raw'!G2170</f>
        <v>4411019</v>
      </c>
      <c r="B1461" s="18" t="str">
        <f aca="false">'SALES Raw'!B2170</f>
        <v>211 S</v>
      </c>
      <c r="C1461" s="18" t="str">
        <f aca="false">'SALES Raw'!H2170</f>
        <v>211S כפפות לחץ</v>
      </c>
      <c r="D1461" s="19" t="n">
        <f aca="false">'SALES Raw'!C2170</f>
        <v>31</v>
      </c>
      <c r="E1461" s="19" t="n">
        <f aca="false">'SALES Raw'!D2170</f>
        <v>1896.96</v>
      </c>
      <c r="F1461" s="19" t="n">
        <f aca="false">'SALES Raw'!E2170*$H$4</f>
        <v>32.8421052631579</v>
      </c>
      <c r="G1461" s="19" t="n">
        <f aca="false">'SALES Raw'!F2170*$H$4</f>
        <v>2082.63157894737</v>
      </c>
      <c r="H1461" s="18" t="str">
        <f aca="false">'SALES Raw'!A2170</f>
        <v>114 - IL online</v>
      </c>
    </row>
    <row r="1462" customFormat="false" ht="15" hidden="false" customHeight="false" outlineLevel="0" collapsed="false">
      <c r="A1462" s="18" t="n">
        <f aca="false">'SALES Raw'!G2319</f>
        <v>4420027</v>
      </c>
      <c r="B1462" s="18" t="str">
        <f aca="false">'SALES Raw'!B2319</f>
        <v>370K 0</v>
      </c>
      <c r="C1462" s="18" t="str">
        <f aca="false">'SALES Raw'!H2319</f>
        <v>370K 0 רפידת לילדים אנטי ריח</v>
      </c>
      <c r="D1462" s="19" t="n">
        <f aca="false">'SALES Raw'!C2319</f>
        <v>15</v>
      </c>
      <c r="E1462" s="19" t="n">
        <f aca="false">'SALES Raw'!D2319</f>
        <v>339.76</v>
      </c>
      <c r="F1462" s="19" t="n">
        <f aca="false">'SALES Raw'!E2319*$H$4</f>
        <v>32.8421052631579</v>
      </c>
      <c r="G1462" s="19" t="n">
        <f aca="false">'SALES Raw'!F2319*$H$4</f>
        <v>548.172631578947</v>
      </c>
      <c r="H1462" s="18" t="str">
        <f aca="false">'SALES Raw'!A2319</f>
        <v>114 - IL online</v>
      </c>
    </row>
    <row r="1463" customFormat="false" ht="15" hidden="false" customHeight="false" outlineLevel="0" collapsed="false">
      <c r="A1463" s="18" t="n">
        <f aca="false">'SALES Raw'!G2339</f>
        <v>4415298</v>
      </c>
      <c r="B1463" s="18" t="str">
        <f aca="false">'SALES Raw'!B2339</f>
        <v>388BL 0</v>
      </c>
      <c r="C1463" s="18" t="str">
        <f aca="false">'SALES Raw'!H2339</f>
        <v>388B L סד לילה שחור לבוהן שמאל</v>
      </c>
      <c r="D1463" s="19" t="n">
        <f aca="false">'SALES Raw'!C2339</f>
        <v>29</v>
      </c>
      <c r="E1463" s="19" t="n">
        <f aca="false">'SALES Raw'!D2339</f>
        <v>3537.02</v>
      </c>
      <c r="F1463" s="19" t="n">
        <f aca="false">'SALES Raw'!E2339*$H$4</f>
        <v>32.8421052631579</v>
      </c>
      <c r="G1463" s="19" t="n">
        <f aca="false">'SALES Raw'!F2339*$H$4</f>
        <v>4081.37684210526</v>
      </c>
      <c r="H1463" s="18" t="str">
        <f aca="false">'SALES Raw'!A2339</f>
        <v>114 - IL online</v>
      </c>
    </row>
    <row r="1464" customFormat="false" ht="15" hidden="false" customHeight="false" outlineLevel="0" collapsed="false">
      <c r="A1464" s="18" t="n">
        <f aca="false">'SALES Raw'!G2531</f>
        <v>4409016</v>
      </c>
      <c r="B1464" s="18" t="str">
        <f aca="false">'SALES Raw'!B2531</f>
        <v>808KT-C</v>
      </c>
      <c r="C1464" s="18" t="str">
        <f aca="false">'SALES Raw'!H2531</f>
        <v>808KT-C        טייפ קינזיולוגי</v>
      </c>
      <c r="D1464" s="19" t="n">
        <f aca="false">'SALES Raw'!C2531</f>
        <v>39</v>
      </c>
      <c r="E1464" s="19" t="n">
        <f aca="false">'SALES Raw'!D2531</f>
        <v>2903.04</v>
      </c>
      <c r="F1464" s="19" t="n">
        <f aca="false">'SALES Raw'!E2531*$H$4</f>
        <v>32.8421052631579</v>
      </c>
      <c r="G1464" s="19" t="n">
        <f aca="false">'SALES Raw'!F2531*$H$4</f>
        <v>2484.74526315789</v>
      </c>
      <c r="H1464" s="18" t="str">
        <f aca="false">'SALES Raw'!A2531</f>
        <v>114 - IL online</v>
      </c>
    </row>
    <row r="1465" customFormat="false" ht="15" hidden="false" customHeight="false" outlineLevel="0" collapsed="false">
      <c r="A1465" s="18" t="n">
        <f aca="false">'SALES Raw'!G3203</f>
        <v>4403040</v>
      </c>
      <c r="B1465" s="18" t="str">
        <f aca="false">'SALES Raw'!B3203</f>
        <v>3444B 0</v>
      </c>
      <c r="C1465" s="18" t="str">
        <f aca="false">'SALES Raw'!H3203</f>
        <v>3444B גרבי ג'ל לריכוך עור העקב</v>
      </c>
      <c r="D1465" s="19" t="n">
        <f aca="false">'SALES Raw'!C3203</f>
        <v>1</v>
      </c>
      <c r="E1465" s="19" t="n">
        <f aca="false">'SALES Raw'!D3203</f>
        <v>0.04</v>
      </c>
      <c r="F1465" s="19" t="n">
        <f aca="false">'SALES Raw'!E3203*$H$4</f>
        <v>32.8421052631579</v>
      </c>
      <c r="G1465" s="19" t="n">
        <f aca="false">'SALES Raw'!F3203*$H$4</f>
        <v>566.804210526316</v>
      </c>
      <c r="H1465" s="18" t="str">
        <f aca="false">'SALES Raw'!A3203</f>
        <v>204 - Sanaflex Anatomic GREECE</v>
      </c>
    </row>
    <row r="1466" customFormat="false" ht="15" hidden="false" customHeight="false" outlineLevel="0" collapsed="false">
      <c r="A1466" s="18" t="str">
        <f aca="false">'SALES Raw'!G3272</f>
        <v/>
      </c>
      <c r="B1466" s="18" t="str">
        <f aca="false">'SALES Raw'!B3272</f>
        <v>55 M</v>
      </c>
      <c r="C1466" s="18" t="str">
        <f aca="false">'SALES Raw'!H3272</f>
        <v>55 M</v>
      </c>
      <c r="D1466" s="19" t="n">
        <f aca="false">'SALES Raw'!C3272</f>
        <v>50</v>
      </c>
      <c r="E1466" s="19" t="n">
        <f aca="false">'SALES Raw'!D3272</f>
        <v>1584.91</v>
      </c>
      <c r="F1466" s="19" t="n">
        <f aca="false">'SALES Raw'!E3272*$H$4</f>
        <v>32.8421052631579</v>
      </c>
      <c r="G1466" s="19" t="n">
        <f aca="false">'SALES Raw'!F3272*$H$4</f>
        <v>932.917894736842</v>
      </c>
      <c r="H1466" s="18" t="str">
        <f aca="false">'SALES Raw'!A3272</f>
        <v>204 - Sanaflex Anatomic GREECE</v>
      </c>
    </row>
    <row r="1467" customFormat="false" ht="15" hidden="false" customHeight="false" outlineLevel="0" collapsed="false">
      <c r="A1467" s="18" t="n">
        <f aca="false">'SALES Raw'!G3330</f>
        <v>4413277</v>
      </c>
      <c r="B1467" s="18" t="str">
        <f aca="false">'SALES Raw'!B3330</f>
        <v>LF377 M</v>
      </c>
      <c r="C1467" s="18" t="str">
        <f aca="false">'SALES Raw'!H3330</f>
        <v>LF377 M-מדרס סיליקון לנעלי עקב</v>
      </c>
      <c r="D1467" s="19" t="n">
        <f aca="false">'SALES Raw'!C3330</f>
        <v>6</v>
      </c>
      <c r="E1467" s="19" t="n">
        <f aca="false">'SALES Raw'!D3330</f>
        <v>108.86</v>
      </c>
      <c r="F1467" s="19" t="n">
        <f aca="false">'SALES Raw'!E3330*$H$4</f>
        <v>32.8421052631579</v>
      </c>
      <c r="G1467" s="19" t="n">
        <f aca="false">'SALES Raw'!F3330*$H$4</f>
        <v>553.174736842105</v>
      </c>
      <c r="H1467" s="18" t="str">
        <f aca="false">'SALES Raw'!A3330</f>
        <v>204 - Sanaflex Anatomic GREECE</v>
      </c>
    </row>
    <row r="1468" customFormat="false" ht="15" hidden="false" customHeight="false" outlineLevel="0" collapsed="false">
      <c r="A1468" s="18" t="n">
        <f aca="false">'SALES Raw'!G3517</f>
        <v>4413043</v>
      </c>
      <c r="B1468" s="18" t="str">
        <f aca="false">'SALES Raw'!B3517</f>
        <v>34 L</v>
      </c>
      <c r="C1468" s="18" t="str">
        <f aca="false">'SALES Raw'!H3517</f>
        <v>34  L מגן קרסול עקב סגור</v>
      </c>
      <c r="D1468" s="19" t="n">
        <f aca="false">'SALES Raw'!C3517</f>
        <v>34</v>
      </c>
      <c r="E1468" s="19" t="n">
        <f aca="false">'SALES Raw'!D3517</f>
        <v>719.66</v>
      </c>
      <c r="F1468" s="19" t="n">
        <f aca="false">'SALES Raw'!E3517*$H$4</f>
        <v>32.8421052631579</v>
      </c>
      <c r="G1468" s="19" t="n">
        <f aca="false">'SALES Raw'!F3517*$H$4</f>
        <v>685.351578947369</v>
      </c>
      <c r="H1468" s="18" t="str">
        <f aca="false">'SALES Raw'!A3517</f>
        <v>207 - Salus HUNGARY</v>
      </c>
    </row>
    <row r="1469" customFormat="false" ht="15" hidden="false" customHeight="false" outlineLevel="0" collapsed="false">
      <c r="A1469" s="18" t="str">
        <f aca="false">'SALES Raw'!G4467</f>
        <v/>
      </c>
      <c r="B1469" s="18" t="str">
        <f aca="false">'SALES Raw'!B4467</f>
        <v>TC342 0</v>
      </c>
      <c r="C1469" s="18" t="str">
        <f aca="false">'SALES Raw'!H4467</f>
        <v>TC342 0</v>
      </c>
      <c r="D1469" s="19" t="n">
        <f aca="false">'SALES Raw'!C4467</f>
        <v>0</v>
      </c>
      <c r="E1469" s="19" t="n">
        <f aca="false">'SALES Raw'!D4467</f>
        <v>0</v>
      </c>
      <c r="F1469" s="19" t="n">
        <f aca="false">'SALES Raw'!E4467*$H$4</f>
        <v>32.8421052631579</v>
      </c>
      <c r="G1469" s="19" t="n">
        <f aca="false">'SALES Raw'!F4467*$H$4</f>
        <v>2744.75368421053</v>
      </c>
      <c r="H1469" s="18" t="str">
        <f aca="false">'SALES Raw'!A4467</f>
        <v>301 - Amazon</v>
      </c>
    </row>
    <row r="1470" customFormat="false" ht="15" hidden="false" customHeight="false" outlineLevel="0" collapsed="false">
      <c r="A1470" s="18" t="n">
        <f aca="false">'CEMIUP0.9 Raw'!B65</f>
        <v>4408033</v>
      </c>
      <c r="B1470" s="18" t="str">
        <f aca="false">'CEMIUP0.9 Raw'!C65</f>
        <v>11 M""חגורת בטן""אורירית</v>
      </c>
      <c r="C1470" s="18" t="str">
        <f aca="false">'CEMIUP0.9 Raw'!C65</f>
        <v>11 M""חגורת בטן""אורירית</v>
      </c>
      <c r="D1470" s="19" t="n">
        <f aca="false">'CEMIUP0.9 Raw'!D65</f>
        <v>43</v>
      </c>
      <c r="E1470" s="19" t="n">
        <f aca="false">'CEMIUP0.9 Raw'!E65</f>
        <v>4110.925</v>
      </c>
      <c r="F1470" s="19" t="n">
        <f aca="false">'CEMIUP0.9 Raw'!F65</f>
        <v>31.5789473684211</v>
      </c>
      <c r="G1470" s="19" t="n">
        <f aca="false">'CEMIUP0.9 Raw'!G65</f>
        <v>2943.00505263158</v>
      </c>
      <c r="H1470" s="18" t="str">
        <f aca="false">'CEMIUP0.9 Raw'!A65</f>
        <v>107 - Pharmacies</v>
      </c>
    </row>
    <row r="1471" customFormat="false" ht="15" hidden="false" customHeight="false" outlineLevel="0" collapsed="false">
      <c r="A1471" s="18" t="n">
        <f aca="false">'CEMIUP0.9 Raw'!B349</f>
        <v>4413198</v>
      </c>
      <c r="B1471" s="18" t="str">
        <f aca="false">'CEMIUP0.9 Raw'!C349</f>
        <v>87 XL מקבע כתף ויד</v>
      </c>
      <c r="C1471" s="18" t="str">
        <f aca="false">'CEMIUP0.9 Raw'!C349</f>
        <v>87 XL מקבע כתף ויד</v>
      </c>
      <c r="D1471" s="19" t="n">
        <f aca="false">'CEMIUP0.9 Raw'!D349</f>
        <v>34</v>
      </c>
      <c r="E1471" s="19" t="n">
        <f aca="false">'CEMIUP0.9 Raw'!E349</f>
        <v>5519.571</v>
      </c>
      <c r="F1471" s="19" t="n">
        <f aca="false">'CEMIUP0.9 Raw'!F349</f>
        <v>31.5789473684211</v>
      </c>
      <c r="G1471" s="19" t="n">
        <f aca="false">'CEMIUP0.9 Raw'!G349</f>
        <v>5389.02568421053</v>
      </c>
      <c r="H1471" s="18" t="str">
        <f aca="false">'CEMIUP0.9 Raw'!A349</f>
        <v>107 - Pharmacies</v>
      </c>
    </row>
    <row r="1472" customFormat="false" ht="15" hidden="false" customHeight="false" outlineLevel="0" collapsed="false">
      <c r="A1472" s="18" t="n">
        <f aca="false">'CEMIUP0.9 Raw'!B593</f>
        <v>4422039</v>
      </c>
      <c r="B1472" s="18" t="str">
        <f aca="false">'CEMIUP0.9 Raw'!C593</f>
        <v>SH422 3 תומך ברך גנושילד</v>
      </c>
      <c r="C1472" s="18" t="str">
        <f aca="false">'CEMIUP0.9 Raw'!C593</f>
        <v>SH422 3 תומך ברך גנושילד</v>
      </c>
      <c r="D1472" s="19" t="n">
        <f aca="false">'CEMIUP0.9 Raw'!D593</f>
        <v>5</v>
      </c>
      <c r="E1472" s="19" t="n">
        <f aca="false">'CEMIUP0.9 Raw'!E593</f>
        <v>827.951</v>
      </c>
      <c r="F1472" s="19" t="n">
        <f aca="false">'CEMIUP0.9 Raw'!F593</f>
        <v>31.5789473684211</v>
      </c>
      <c r="G1472" s="19" t="n">
        <f aca="false">'CEMIUP0.9 Raw'!G593</f>
        <v>5619.86021052632</v>
      </c>
      <c r="H1472" s="18" t="str">
        <f aca="false">'CEMIUP0.9 Raw'!A593</f>
        <v>107 - Pharmacies</v>
      </c>
    </row>
    <row r="1473" customFormat="false" ht="15" hidden="false" customHeight="false" outlineLevel="0" collapsed="false">
      <c r="A1473" s="18" t="n">
        <f aca="false">'CEMIUP0.9 Raw'!B882</f>
        <v>4422040</v>
      </c>
      <c r="B1473" s="18" t="str">
        <f aca="false">'CEMIUP0.9 Raw'!C882</f>
        <v>SH422 4 תומך ברך גנושילד</v>
      </c>
      <c r="C1473" s="18" t="str">
        <f aca="false">'CEMIUP0.9 Raw'!C882</f>
        <v>SH422 4 תומך ברך גנושילד</v>
      </c>
      <c r="D1473" s="19" t="n">
        <f aca="false">'CEMIUP0.9 Raw'!D882</f>
        <v>0</v>
      </c>
      <c r="E1473" s="19" t="n">
        <f aca="false">'CEMIUP0.9 Raw'!E882</f>
        <v>0</v>
      </c>
      <c r="F1473" s="19" t="n">
        <f aca="false">'CEMIUP0.9 Raw'!F882</f>
        <v>31.5789473684211</v>
      </c>
      <c r="G1473" s="19" t="n">
        <f aca="false">'CEMIUP0.9 Raw'!G882</f>
        <v>3592.10526315789</v>
      </c>
      <c r="H1473" s="18" t="str">
        <f aca="false">'CEMIUP0.9 Raw'!A882</f>
        <v>113 - Kupat Holim Meuhedet</v>
      </c>
    </row>
    <row r="1474" customFormat="false" ht="15" hidden="false" customHeight="false" outlineLevel="0" collapsed="false">
      <c r="A1474" s="18" t="n">
        <f aca="false">'CEMIUP0.9 Raw'!B1076</f>
        <v>4413061</v>
      </c>
      <c r="B1474" s="18" t="str">
        <f aca="false">'CEMIUP0.9 Raw'!C1076</f>
        <v>3641-מיישר בוהן סיליקון קשיח</v>
      </c>
      <c r="C1474" s="18" t="str">
        <f aca="false">'CEMIUP0.9 Raw'!C1076</f>
        <v>3641-מיישר בוהן סיליקון קשיח</v>
      </c>
      <c r="D1474" s="19" t="n">
        <f aca="false">'CEMIUP0.9 Raw'!D1076</f>
        <v>150</v>
      </c>
      <c r="E1474" s="19" t="n">
        <f aca="false">'CEMIUP0.9 Raw'!E1076</f>
        <v>2702.791</v>
      </c>
      <c r="F1474" s="19" t="n">
        <f aca="false">'CEMIUP0.9 Raw'!F1076</f>
        <v>31.5789473684211</v>
      </c>
      <c r="G1474" s="19" t="n">
        <f aca="false">'CEMIUP0.9 Raw'!G1076</f>
        <v>567.380210526316</v>
      </c>
      <c r="H1474" s="18" t="str">
        <f aca="false">'CEMIUP0.9 Raw'!A1076</f>
        <v>BE (CEMI internal group)</v>
      </c>
    </row>
    <row r="1475" customFormat="false" ht="15" hidden="false" customHeight="false" outlineLevel="0" collapsed="false">
      <c r="A1475" s="18" t="n">
        <f aca="false">'CEMIUP0.9 Raw'!B1499</f>
        <v>4413128</v>
      </c>
      <c r="B1475" s="18" t="str">
        <f aca="false">'CEMIUP0.9 Raw'!C1499</f>
        <v>75 Mמיישר כתף יציב יישור גב צר</v>
      </c>
      <c r="C1475" s="18" t="str">
        <f aca="false">'CEMIUP0.9 Raw'!C1499</f>
        <v>75 Mמיישר כתף יציב יישור גב צר</v>
      </c>
      <c r="D1475" s="19" t="n">
        <f aca="false">'CEMIUP0.9 Raw'!D1499</f>
        <v>37</v>
      </c>
      <c r="E1475" s="19" t="n">
        <f aca="false">'CEMIUP0.9 Raw'!E1499</f>
        <v>4490.577</v>
      </c>
      <c r="F1475" s="19" t="n">
        <f aca="false">'CEMIUP0.9 Raw'!F1499</f>
        <v>31.5789473684211</v>
      </c>
      <c r="G1475" s="19" t="n">
        <f aca="false">'CEMIUP0.9 Raw'!G1499</f>
        <v>3994.536</v>
      </c>
      <c r="H1475" s="18" t="str">
        <f aca="false">'CEMIUP0.9 Raw'!A1499</f>
        <v>Super-Pharm Israel (CEMI internal group)</v>
      </c>
    </row>
    <row r="1476" customFormat="false" ht="15" hidden="false" customHeight="false" outlineLevel="0" collapsed="false">
      <c r="A1476" s="18" t="n">
        <f aca="false">'SALES Raw'!G720</f>
        <v>4408072</v>
      </c>
      <c r="B1476" s="18" t="str">
        <f aca="false">'SALES Raw'!B720</f>
        <v>59D M</v>
      </c>
      <c r="C1476" s="18" t="str">
        <f aca="false">'SALES Raw'!H720</f>
        <v>59D M חגורת שבר דו צדדי</v>
      </c>
      <c r="D1476" s="19" t="n">
        <f aca="false">'SALES Raw'!C720</f>
        <v>42</v>
      </c>
      <c r="E1476" s="19" t="n">
        <f aca="false">'SALES Raw'!D720</f>
        <v>7313.06</v>
      </c>
      <c r="F1476" s="19" t="n">
        <f aca="false">'SALES Raw'!E720*$H$4</f>
        <v>31.5789473684211</v>
      </c>
      <c r="G1476" s="19" t="n">
        <f aca="false">'SALES Raw'!F720*$H$4</f>
        <v>5656.13052631579</v>
      </c>
      <c r="H1476" s="18" t="str">
        <f aca="false">'SALES Raw'!A720</f>
        <v>102 - Orthopedic institutes</v>
      </c>
    </row>
    <row r="1477" customFormat="false" ht="15" hidden="false" customHeight="false" outlineLevel="0" collapsed="false">
      <c r="A1477" s="18" t="n">
        <f aca="false">'SALES Raw'!G725</f>
        <v>4409016</v>
      </c>
      <c r="B1477" s="18" t="str">
        <f aca="false">'SALES Raw'!B725</f>
        <v>808KT-C</v>
      </c>
      <c r="C1477" s="18" t="str">
        <f aca="false">'SALES Raw'!H725</f>
        <v>808KT-C        טייפ קינזיולוגי</v>
      </c>
      <c r="D1477" s="19" t="n">
        <f aca="false">'SALES Raw'!C725</f>
        <v>82</v>
      </c>
      <c r="E1477" s="19" t="n">
        <f aca="false">'SALES Raw'!D725</f>
        <v>2045.9</v>
      </c>
      <c r="F1477" s="19" t="n">
        <f aca="false">'SALES Raw'!E725*$H$4</f>
        <v>31.5789473684211</v>
      </c>
      <c r="G1477" s="19" t="n">
        <f aca="false">'SALES Raw'!F725*$H$4</f>
        <v>885.789473684211</v>
      </c>
      <c r="H1477" s="18" t="str">
        <f aca="false">'SALES Raw'!A725</f>
        <v>102 - Orthopedic institutes</v>
      </c>
    </row>
    <row r="1478" customFormat="false" ht="15" hidden="false" customHeight="false" outlineLevel="0" collapsed="false">
      <c r="A1478" s="18" t="n">
        <f aca="false">'SALES Raw'!G1666</f>
        <v>4413136</v>
      </c>
      <c r="B1478" s="18" t="str">
        <f aca="false">'SALES Raw'!B1666</f>
        <v>85 M</v>
      </c>
      <c r="C1478" s="18" t="str">
        <f aca="false">'SALES Raw'!H1666</f>
        <v>85 M (מתלה ליד )כיס</v>
      </c>
      <c r="D1478" s="19" t="n">
        <f aca="false">'SALES Raw'!C1666</f>
        <v>1</v>
      </c>
      <c r="E1478" s="19" t="n">
        <f aca="false">'SALES Raw'!D1666</f>
        <v>49</v>
      </c>
      <c r="F1478" s="19" t="n">
        <f aca="false">'SALES Raw'!E1666*$H$4</f>
        <v>31.5789473684211</v>
      </c>
      <c r="G1478" s="19" t="n">
        <f aca="false">'SALES Raw'!F1666*$H$4</f>
        <v>1547.36842105263</v>
      </c>
      <c r="H1478" s="18" t="str">
        <f aca="false">'SALES Raw'!A1666</f>
        <v>106 - Hospitals</v>
      </c>
    </row>
    <row r="1479" customFormat="false" ht="15" hidden="false" customHeight="false" outlineLevel="0" collapsed="false">
      <c r="A1479" s="18" t="n">
        <f aca="false">'SALES Raw'!G2176</f>
        <v>4411026</v>
      </c>
      <c r="B1479" s="18" t="str">
        <f aca="false">'SALES Raw'!B2176</f>
        <v>213CTSL L</v>
      </c>
      <c r="C1479" s="18" t="str">
        <f aca="false">'SALES Raw'!H2176</f>
        <v>213CTSL L שמאל CTS כפפות</v>
      </c>
      <c r="D1479" s="19" t="n">
        <f aca="false">'SALES Raw'!C2176</f>
        <v>4</v>
      </c>
      <c r="E1479" s="19" t="n">
        <f aca="false">'SALES Raw'!D2176</f>
        <v>762.4</v>
      </c>
      <c r="F1479" s="19" t="n">
        <f aca="false">'SALES Raw'!E2176*$H$4</f>
        <v>31.5789473684211</v>
      </c>
      <c r="G1479" s="19" t="n">
        <f aca="false">'SALES Raw'!F2176*$H$4</f>
        <v>6207.04421052632</v>
      </c>
      <c r="H1479" s="18" t="str">
        <f aca="false">'SALES Raw'!A2176</f>
        <v>114 - IL online</v>
      </c>
    </row>
    <row r="1480" customFormat="false" ht="15" hidden="false" customHeight="false" outlineLevel="0" collapsed="false">
      <c r="A1480" s="18" t="n">
        <f aca="false">'SALES Raw'!G2321</f>
        <v>4420002</v>
      </c>
      <c r="B1480" s="18" t="str">
        <f aca="false">'SALES Raw'!B2321</f>
        <v>372 0</v>
      </c>
      <c r="C1480" s="18" t="str">
        <f aca="false">'SALES Raw'!H2321</f>
        <v>372 רפידת אנטי ריח -זוג</v>
      </c>
      <c r="D1480" s="19" t="n">
        <f aca="false">'SALES Raw'!C2321</f>
        <v>18</v>
      </c>
      <c r="E1480" s="19" t="n">
        <f aca="false">'SALES Raw'!D2321</f>
        <v>468.71</v>
      </c>
      <c r="F1480" s="19" t="n">
        <f aca="false">'SALES Raw'!E2321*$H$4</f>
        <v>31.5789473684211</v>
      </c>
      <c r="G1480" s="19" t="n">
        <f aca="false">'SALES Raw'!F2321*$H$4</f>
        <v>854.046315789474</v>
      </c>
      <c r="H1480" s="18" t="str">
        <f aca="false">'SALES Raw'!A2321</f>
        <v>114 - IL online</v>
      </c>
    </row>
    <row r="1481" customFormat="false" ht="15" hidden="false" customHeight="false" outlineLevel="0" collapsed="false">
      <c r="A1481" s="18" t="str">
        <f aca="false">'SALES Raw'!G2325</f>
        <v/>
      </c>
      <c r="B1481" s="18" t="str">
        <f aca="false">'SALES Raw'!B2325</f>
        <v>376-41-43</v>
      </c>
      <c r="C1481" s="18" t="str">
        <f aca="false">'SALES Raw'!H2325</f>
        <v>376-41-43</v>
      </c>
      <c r="D1481" s="19" t="n">
        <f aca="false">'SALES Raw'!C2325</f>
        <v>12</v>
      </c>
      <c r="E1481" s="19" t="n">
        <f aca="false">'SALES Raw'!D2325</f>
        <v>717.21</v>
      </c>
      <c r="F1481" s="19" t="n">
        <f aca="false">'SALES Raw'!E2325*$H$4</f>
        <v>31.5789473684211</v>
      </c>
      <c r="G1481" s="19" t="n">
        <f aca="false">'SALES Raw'!F2325*$H$4</f>
        <v>1926.39157894737</v>
      </c>
      <c r="H1481" s="18" t="str">
        <f aca="false">'SALES Raw'!A2325</f>
        <v>114 - IL online</v>
      </c>
    </row>
    <row r="1482" customFormat="false" ht="15" hidden="false" customHeight="false" outlineLevel="0" collapsed="false">
      <c r="A1482" s="18" t="n">
        <f aca="false">'SALES Raw'!G2336</f>
        <v>4413529</v>
      </c>
      <c r="B1482" s="18" t="str">
        <f aca="false">'SALES Raw'!B2336</f>
        <v>379WRK-43-46</v>
      </c>
      <c r="C1482" s="18" t="str">
        <f aca="false">'SALES Raw'!H2336</f>
        <v>43-47 מדרסי אפיק ג'ל עבודה</v>
      </c>
      <c r="D1482" s="19" t="n">
        <f aca="false">'SALES Raw'!C2336</f>
        <v>38</v>
      </c>
      <c r="E1482" s="19" t="n">
        <f aca="false">'SALES Raw'!D2336</f>
        <v>7404.9</v>
      </c>
      <c r="F1482" s="19" t="n">
        <f aca="false">'SALES Raw'!E2336*$H$4</f>
        <v>31.5789473684211</v>
      </c>
      <c r="G1482" s="19" t="n">
        <f aca="false">'SALES Raw'!F2336*$H$4</f>
        <v>6229.68</v>
      </c>
      <c r="H1482" s="18" t="str">
        <f aca="false">'SALES Raw'!A2336</f>
        <v>114 - IL online</v>
      </c>
    </row>
    <row r="1483" customFormat="false" ht="15" hidden="false" customHeight="false" outlineLevel="0" collapsed="false">
      <c r="A1483" s="18" t="n">
        <f aca="false">'SALES Raw'!G2340</f>
        <v>4415299</v>
      </c>
      <c r="B1483" s="18" t="str">
        <f aca="false">'SALES Raw'!B2340</f>
        <v>388BR 0</v>
      </c>
      <c r="C1483" s="18" t="str">
        <f aca="false">'SALES Raw'!H2340</f>
        <v>388B L סד לילה שחור לבוהן ימין</v>
      </c>
      <c r="D1483" s="19" t="n">
        <f aca="false">'SALES Raw'!C2340</f>
        <v>32</v>
      </c>
      <c r="E1483" s="19" t="n">
        <f aca="false">'SALES Raw'!D2340</f>
        <v>3896.02</v>
      </c>
      <c r="F1483" s="19" t="n">
        <f aca="false">'SALES Raw'!E2340*$H$4</f>
        <v>31.5789473684211</v>
      </c>
      <c r="G1483" s="19" t="n">
        <f aca="false">'SALES Raw'!F2340*$H$4</f>
        <v>3997.44</v>
      </c>
      <c r="H1483" s="18" t="str">
        <f aca="false">'SALES Raw'!A2340</f>
        <v>114 - IL online</v>
      </c>
    </row>
    <row r="1484" customFormat="false" ht="15" hidden="false" customHeight="false" outlineLevel="0" collapsed="false">
      <c r="A1484" s="18" t="n">
        <f aca="false">'SALES Raw'!G2607</f>
        <v>4413331</v>
      </c>
      <c r="B1484" s="18" t="str">
        <f aca="false">'SALES Raw'!B2607</f>
        <v>AC95 0</v>
      </c>
      <c r="C1484" s="18" t="str">
        <f aca="false">'SALES Raw'!H2607</f>
        <v>AC95 מגן מרפק</v>
      </c>
      <c r="D1484" s="19" t="n">
        <f aca="false">'SALES Raw'!C2607</f>
        <v>46</v>
      </c>
      <c r="E1484" s="19" t="n">
        <f aca="false">'SALES Raw'!D2607</f>
        <v>3244.73</v>
      </c>
      <c r="F1484" s="19" t="n">
        <f aca="false">'SALES Raw'!E2607*$H$4</f>
        <v>31.5789473684211</v>
      </c>
      <c r="G1484" s="19" t="n">
        <f aca="false">'SALES Raw'!F2607*$H$4</f>
        <v>2324.13473684211</v>
      </c>
      <c r="H1484" s="18" t="str">
        <f aca="false">'SALES Raw'!A2607</f>
        <v>114 - IL online</v>
      </c>
    </row>
    <row r="1485" customFormat="false" ht="15" hidden="false" customHeight="false" outlineLevel="0" collapsed="false">
      <c r="A1485" s="18" t="str">
        <f aca="false">'SALES Raw'!G2618</f>
        <v/>
      </c>
      <c r="B1485" s="18" t="str">
        <f aca="false">'SALES Raw'!B2618</f>
        <v>MSG001FB 0</v>
      </c>
      <c r="C1485" s="18" t="str">
        <f aca="false">'SALES Raw'!H2618</f>
        <v>MSG001FB 0</v>
      </c>
      <c r="D1485" s="19" t="n">
        <f aca="false">'SALES Raw'!C2618</f>
        <v>0</v>
      </c>
      <c r="E1485" s="19" t="n">
        <f aca="false">'SALES Raw'!D2618</f>
        <v>0</v>
      </c>
      <c r="F1485" s="19" t="n">
        <f aca="false">'SALES Raw'!E2618*$H$4</f>
        <v>31.5789473684211</v>
      </c>
      <c r="G1485" s="19" t="n">
        <f aca="false">'SALES Raw'!F2618*$H$4</f>
        <v>29242.9642105263</v>
      </c>
      <c r="H1485" s="18" t="str">
        <f aca="false">'SALES Raw'!A2618</f>
        <v>114 - IL online</v>
      </c>
    </row>
    <row r="1486" customFormat="false" ht="15" hidden="false" customHeight="false" outlineLevel="0" collapsed="false">
      <c r="A1486" s="18" t="n">
        <f aca="false">'SALES Raw'!G2671</f>
        <v>4422039</v>
      </c>
      <c r="B1486" s="18" t="str">
        <f aca="false">'SALES Raw'!B2671</f>
        <v>SH422 3</v>
      </c>
      <c r="C1486" s="18" t="str">
        <f aca="false">'SALES Raw'!H2671</f>
        <v>SH422 3 תומך ברך גנושילד</v>
      </c>
      <c r="D1486" s="19" t="n">
        <f aca="false">'SALES Raw'!C2671</f>
        <v>3</v>
      </c>
      <c r="E1486" s="19" t="n">
        <f aca="false">'SALES Raw'!D2671</f>
        <v>953.18</v>
      </c>
      <c r="F1486" s="19" t="n">
        <f aca="false">'SALES Raw'!E2671*$H$4</f>
        <v>31.5789473684211</v>
      </c>
      <c r="G1486" s="19" t="n">
        <f aca="false">'SALES Raw'!F2671*$H$4</f>
        <v>11197.2505263158</v>
      </c>
      <c r="H1486" s="18" t="str">
        <f aca="false">'SALES Raw'!A2671</f>
        <v>114 - IL online</v>
      </c>
    </row>
    <row r="1487" customFormat="false" ht="15" hidden="false" customHeight="false" outlineLevel="0" collapsed="false">
      <c r="A1487" s="18" t="n">
        <f aca="false">'SALES Raw'!G2680</f>
        <v>4408270</v>
      </c>
      <c r="B1487" s="18" t="str">
        <f aca="false">'SALES Raw'!B2680</f>
        <v>ST11 0</v>
      </c>
      <c r="C1487" s="18" t="str">
        <f aca="false">'SALES Raw'!H2680</f>
        <v>ST11  חגורת בטן</v>
      </c>
      <c r="D1487" s="19" t="n">
        <f aca="false">'SALES Raw'!C2680</f>
        <v>17</v>
      </c>
      <c r="E1487" s="19" t="n">
        <f aca="false">'SALES Raw'!D2680</f>
        <v>1808.7</v>
      </c>
      <c r="F1487" s="19" t="n">
        <f aca="false">'SALES Raw'!E2680*$H$4</f>
        <v>31.5789473684211</v>
      </c>
      <c r="G1487" s="19" t="n">
        <f aca="false">'SALES Raw'!F2680*$H$4</f>
        <v>3385.93263157895</v>
      </c>
      <c r="H1487" s="18" t="str">
        <f aca="false">'SALES Raw'!A2680</f>
        <v>114 - IL online</v>
      </c>
    </row>
    <row r="1488" customFormat="false" ht="15" hidden="false" customHeight="false" outlineLevel="0" collapsed="false">
      <c r="A1488" s="18" t="n">
        <f aca="false">'SALES Raw'!G3120</f>
        <v>4422041</v>
      </c>
      <c r="B1488" s="18" t="str">
        <f aca="false">'SALES Raw'!B3120</f>
        <v>SH422 5</v>
      </c>
      <c r="C1488" s="18" t="str">
        <f aca="false">'SALES Raw'!H3120</f>
        <v>SH422 5 תומך ברך גנושילד</v>
      </c>
      <c r="D1488" s="19" t="n">
        <f aca="false">'SALES Raw'!C3120</f>
        <v>5</v>
      </c>
      <c r="E1488" s="19" t="n">
        <f aca="false">'SALES Raw'!D3120</f>
        <v>437.24</v>
      </c>
      <c r="F1488" s="19" t="n">
        <f aca="false">'SALES Raw'!E3120*$H$4</f>
        <v>31.5789473684211</v>
      </c>
      <c r="G1488" s="19" t="n">
        <f aca="false">'SALES Raw'!F3120*$H$4</f>
        <v>2601.73894736842</v>
      </c>
      <c r="H1488" s="18" t="str">
        <f aca="false">'SALES Raw'!A3120</f>
        <v>203 - Ortho- Partner ag SWITZERLAND</v>
      </c>
    </row>
    <row r="1489" customFormat="false" ht="15" hidden="false" customHeight="false" outlineLevel="0" collapsed="false">
      <c r="A1489" s="18" t="n">
        <f aca="false">'SALES Raw'!G3286</f>
        <v>4422000</v>
      </c>
      <c r="B1489" s="18" t="str">
        <f aca="false">'SALES Raw'!B3286</f>
        <v>801 0</v>
      </c>
      <c r="C1489" s="18" t="str">
        <f aca="false">'SALES Raw'!H3286</f>
        <v>801  תחבושת אלסטית מקררת</v>
      </c>
      <c r="D1489" s="19" t="n">
        <f aca="false">'SALES Raw'!C3286</f>
        <v>50</v>
      </c>
      <c r="E1489" s="19" t="n">
        <f aca="false">'SALES Raw'!D3286</f>
        <v>498.16</v>
      </c>
      <c r="F1489" s="19" t="n">
        <f aca="false">'SALES Raw'!E3286*$H$4</f>
        <v>31.5789473684211</v>
      </c>
      <c r="G1489" s="19" t="n">
        <f aca="false">'SALES Raw'!F3286*$H$4</f>
        <v>278.665263157895</v>
      </c>
      <c r="H1489" s="18" t="str">
        <f aca="false">'SALES Raw'!A3286</f>
        <v>204 - Sanaflex Anatomic GREECE</v>
      </c>
    </row>
    <row r="1490" customFormat="false" ht="15" hidden="false" customHeight="false" outlineLevel="0" collapsed="false">
      <c r="A1490" s="18" t="n">
        <f aca="false">'SALES Raw'!G3475</f>
        <v>4408046</v>
      </c>
      <c r="B1490" s="18" t="str">
        <f aca="false">'SALES Raw'!B3475</f>
        <v>20 L</v>
      </c>
      <c r="C1490" s="18" t="str">
        <f aca="false">'SALES Raw'!H3475</f>
        <v>20 L חבק יד מתכוון עם צמדן</v>
      </c>
      <c r="D1490" s="19" t="n">
        <f aca="false">'SALES Raw'!C3475</f>
        <v>5</v>
      </c>
      <c r="E1490" s="19" t="n">
        <f aca="false">'SALES Raw'!D3475</f>
        <v>71.67</v>
      </c>
      <c r="F1490" s="19" t="n">
        <f aca="false">'SALES Raw'!E3475*$H$4</f>
        <v>31.5789473684211</v>
      </c>
      <c r="G1490" s="19" t="n">
        <f aca="false">'SALES Raw'!F3475*$H$4</f>
        <v>465.006315789474</v>
      </c>
      <c r="H1490" s="18" t="str">
        <f aca="false">'SALES Raw'!A3475</f>
        <v>207 - Salus HUNGARY</v>
      </c>
    </row>
    <row r="1491" customFormat="false" ht="15" hidden="false" customHeight="false" outlineLevel="0" collapsed="false">
      <c r="A1491" s="18" t="n">
        <f aca="false">'SALES Raw'!G3518</f>
        <v>4413041</v>
      </c>
      <c r="B1491" s="18" t="str">
        <f aca="false">'SALES Raw'!B3518</f>
        <v>34 M</v>
      </c>
      <c r="C1491" s="18" t="str">
        <f aca="false">'SALES Raw'!H3518</f>
        <v>34  M מגן קרסול עקב סגור</v>
      </c>
      <c r="D1491" s="19" t="n">
        <f aca="false">'SALES Raw'!C3518</f>
        <v>44</v>
      </c>
      <c r="E1491" s="19" t="n">
        <f aca="false">'SALES Raw'!D3518</f>
        <v>915.75</v>
      </c>
      <c r="F1491" s="19" t="n">
        <f aca="false">'SALES Raw'!E3518*$H$4</f>
        <v>31.5789473684211</v>
      </c>
      <c r="G1491" s="19" t="n">
        <f aca="false">'SALES Raw'!F3518*$H$4</f>
        <v>636.088421052632</v>
      </c>
      <c r="H1491" s="18" t="str">
        <f aca="false">'SALES Raw'!A3518</f>
        <v>207 - Salus HUNGARY</v>
      </c>
    </row>
    <row r="1492" customFormat="false" ht="15" hidden="false" customHeight="false" outlineLevel="0" collapsed="false">
      <c r="A1492" s="18" t="n">
        <f aca="false">'SALES Raw'!G3589</f>
        <v>4413101</v>
      </c>
      <c r="B1492" s="18" t="str">
        <f aca="false">'SALES Raw'!B3589</f>
        <v>45E S</v>
      </c>
      <c r="C1492" s="18" t="str">
        <f aca="false">'SALES Raw'!H3589</f>
        <v>45E Sמגן ברך ארוך לבן</v>
      </c>
      <c r="D1492" s="19" t="n">
        <f aca="false">'SALES Raw'!C3589</f>
        <v>20</v>
      </c>
      <c r="E1492" s="19" t="n">
        <f aca="false">'SALES Raw'!D3589</f>
        <v>219.08</v>
      </c>
      <c r="F1492" s="19" t="n">
        <f aca="false">'SALES Raw'!E3589*$H$4</f>
        <v>31.5789473684211</v>
      </c>
      <c r="G1492" s="19" t="n">
        <f aca="false">'SALES Raw'!F3589*$H$4</f>
        <v>355.338947368421</v>
      </c>
      <c r="H1492" s="18" t="str">
        <f aca="false">'SALES Raw'!A3589</f>
        <v>207 - Salus HUNGARY</v>
      </c>
    </row>
    <row r="1493" customFormat="false" ht="15" hidden="false" customHeight="false" outlineLevel="0" collapsed="false">
      <c r="A1493" s="18" t="n">
        <f aca="false">'SALES Raw'!G3595</f>
        <v>4413114</v>
      </c>
      <c r="B1493" s="18" t="str">
        <f aca="false">'SALES Raw'!B3595</f>
        <v>49 XL</v>
      </c>
      <c r="C1493" s="18" t="str">
        <f aca="false">'SALES Raw'!H3595</f>
        <v>49 XL מגן ירך</v>
      </c>
      <c r="D1493" s="19" t="n">
        <f aca="false">'SALES Raw'!C3595</f>
        <v>34</v>
      </c>
      <c r="E1493" s="19" t="n">
        <f aca="false">'SALES Raw'!D3595</f>
        <v>382.16</v>
      </c>
      <c r="F1493" s="19" t="n">
        <f aca="false">'SALES Raw'!E3595*$H$4</f>
        <v>31.5789473684211</v>
      </c>
      <c r="G1493" s="19" t="n">
        <f aca="false">'SALES Raw'!F3595*$H$4</f>
        <v>360.366315789474</v>
      </c>
      <c r="H1493" s="18" t="str">
        <f aca="false">'SALES Raw'!A3595</f>
        <v>207 - Salus HUNGARY</v>
      </c>
    </row>
    <row r="1494" customFormat="false" ht="15" hidden="false" customHeight="false" outlineLevel="0" collapsed="false">
      <c r="A1494" s="18" t="n">
        <f aca="false">'SALES Raw'!G3660</f>
        <v>4402011</v>
      </c>
      <c r="B1494" s="18" t="str">
        <f aca="false">'SALES Raw'!B3660</f>
        <v>ST422 0</v>
      </c>
      <c r="C1494" s="18" t="str">
        <f aca="false">'SALES Raw'!H3660</f>
        <v>S-XLST422 מגן ברך+כרית ג'ל</v>
      </c>
      <c r="D1494" s="19" t="n">
        <f aca="false">'SALES Raw'!C3660</f>
        <v>20</v>
      </c>
      <c r="E1494" s="19" t="n">
        <f aca="false">'SALES Raw'!D3660</f>
        <v>586.92</v>
      </c>
      <c r="F1494" s="19" t="n">
        <f aca="false">'SALES Raw'!E3660*$H$4</f>
        <v>31.5789473684211</v>
      </c>
      <c r="G1494" s="19" t="n">
        <f aca="false">'SALES Raw'!F3660*$H$4</f>
        <v>983.772631578947</v>
      </c>
      <c r="H1494" s="18" t="str">
        <f aca="false">'SALES Raw'!A3660</f>
        <v>207 - Salus HUNGARY</v>
      </c>
    </row>
    <row r="1495" customFormat="false" ht="15" hidden="false" customHeight="false" outlineLevel="0" collapsed="false">
      <c r="A1495" s="18" t="n">
        <f aca="false">'SALES Raw'!G3668</f>
        <v>4415072</v>
      </c>
      <c r="B1495" s="18" t="str">
        <f aca="false">'SALES Raw'!B3668</f>
        <v>T28A-S-M</v>
      </c>
      <c r="C1495" s="18" t="str">
        <f aca="false">'SALES Raw'!H3668</f>
        <v>T28A S-M סד לאגודל</v>
      </c>
      <c r="D1495" s="19" t="n">
        <f aca="false">'SALES Raw'!C3668</f>
        <v>22</v>
      </c>
      <c r="E1495" s="19" t="n">
        <f aca="false">'SALES Raw'!D3668</f>
        <v>565.24</v>
      </c>
      <c r="F1495" s="19" t="n">
        <f aca="false">'SALES Raw'!E3668*$H$4</f>
        <v>31.5789473684211</v>
      </c>
      <c r="G1495" s="19" t="n">
        <f aca="false">'SALES Raw'!F3668*$H$4</f>
        <v>758.981052631579</v>
      </c>
      <c r="H1495" s="18" t="str">
        <f aca="false">'SALES Raw'!A3668</f>
        <v>207 - Salus HUNGARY</v>
      </c>
    </row>
    <row r="1496" customFormat="false" ht="15" hidden="false" customHeight="false" outlineLevel="0" collapsed="false">
      <c r="A1496" s="18" t="n">
        <f aca="false">'SALES Raw'!G3789</f>
        <v>4411031</v>
      </c>
      <c r="B1496" s="18" t="str">
        <f aca="false">'SALES Raw'!B3789</f>
        <v>213CTSR S</v>
      </c>
      <c r="C1496" s="18" t="str">
        <f aca="false">'SALES Raw'!H3789</f>
        <v>213CTS  S ימין CTS כפפות</v>
      </c>
      <c r="D1496" s="19" t="n">
        <f aca="false">'SALES Raw'!C3789</f>
        <v>0</v>
      </c>
      <c r="E1496" s="19" t="n">
        <f aca="false">'SALES Raw'!D3789</f>
        <v>0</v>
      </c>
      <c r="F1496" s="19" t="n">
        <f aca="false">'SALES Raw'!E3789*$H$4</f>
        <v>31.5789473684211</v>
      </c>
      <c r="G1496" s="19" t="n">
        <f aca="false">'SALES Raw'!F3789*$H$4</f>
        <v>1378.45894736842</v>
      </c>
      <c r="H1496" s="18" t="str">
        <f aca="false">'SALES Raw'!A3789</f>
        <v>209 - Ortoprofil Prod ROMANIA</v>
      </c>
    </row>
    <row r="1497" customFormat="false" ht="15" hidden="false" customHeight="false" outlineLevel="0" collapsed="false">
      <c r="A1497" s="18" t="n">
        <f aca="false">'SALES Raw'!G3909</f>
        <v>4416000</v>
      </c>
      <c r="B1497" s="18" t="str">
        <f aca="false">'SALES Raw'!B3909</f>
        <v>307 L</v>
      </c>
      <c r="C1497" s="18" t="str">
        <f aca="false">'SALES Raw'!H3909</f>
        <v>307 L עקבים לדורבן-זוג כריות</v>
      </c>
      <c r="D1497" s="19" t="n">
        <f aca="false">'SALES Raw'!C3909</f>
        <v>25</v>
      </c>
      <c r="E1497" s="19" t="n">
        <f aca="false">'SALES Raw'!D3909</f>
        <v>764.19</v>
      </c>
      <c r="F1497" s="19" t="n">
        <f aca="false">'SALES Raw'!E3909*$H$4</f>
        <v>31.5789473684211</v>
      </c>
      <c r="G1497" s="19" t="n">
        <f aca="false">'SALES Raw'!F3909*$H$4</f>
        <v>824.576842105263</v>
      </c>
      <c r="H1497" s="18" t="str">
        <f aca="false">'SALES Raw'!A3909</f>
        <v>210 - Oy. Ea. Ab. FINLAND</v>
      </c>
    </row>
    <row r="1498" customFormat="false" ht="15" hidden="false" customHeight="false" outlineLevel="0" collapsed="false">
      <c r="A1498" s="18" t="n">
        <f aca="false">'SALES Raw'!G3942</f>
        <v>4413371</v>
      </c>
      <c r="B1498" s="18" t="str">
        <f aca="false">'SALES Raw'!B3942</f>
        <v>3675 0</v>
      </c>
      <c r="C1498" s="18" t="str">
        <f aca="false">'SALES Raw'!H3942</f>
        <v>3675    מגן זרת מסיליקון</v>
      </c>
      <c r="D1498" s="19" t="n">
        <f aca="false">'SALES Raw'!C3942</f>
        <v>10</v>
      </c>
      <c r="E1498" s="19" t="n">
        <f aca="false">'SALES Raw'!D3942</f>
        <v>143.41</v>
      </c>
      <c r="F1498" s="19" t="n">
        <f aca="false">'SALES Raw'!E3942*$H$4</f>
        <v>31.5789473684211</v>
      </c>
      <c r="G1498" s="19" t="n">
        <f aca="false">'SALES Raw'!F3942*$H$4</f>
        <v>399.157894736842</v>
      </c>
      <c r="H1498" s="18" t="str">
        <f aca="false">'SALES Raw'!A3942</f>
        <v>210 - Oy. Ea. Ab. FINLAND</v>
      </c>
    </row>
    <row r="1499" customFormat="false" ht="15" hidden="false" customHeight="false" outlineLevel="0" collapsed="false">
      <c r="A1499" s="18" t="n">
        <f aca="false">'SALES Raw'!G4006</f>
        <v>4415028</v>
      </c>
      <c r="B1499" s="18" t="str">
        <f aca="false">'SALES Raw'!B4006</f>
        <v>AC28 0</v>
      </c>
      <c r="C1499" s="18" t="str">
        <f aca="false">'SALES Raw'!H4006</f>
        <v>AC-28 סד לאגודל</v>
      </c>
      <c r="D1499" s="19" t="n">
        <f aca="false">'SALES Raw'!C4006</f>
        <v>50</v>
      </c>
      <c r="E1499" s="19" t="n">
        <f aca="false">'SALES Raw'!D4006</f>
        <v>819.34</v>
      </c>
      <c r="F1499" s="19" t="n">
        <f aca="false">'SALES Raw'!E4006*$H$4</f>
        <v>31.5789473684211</v>
      </c>
      <c r="G1499" s="19" t="n">
        <f aca="false">'SALES Raw'!F4006*$H$4</f>
        <v>444.328421052632</v>
      </c>
      <c r="H1499" s="18" t="str">
        <f aca="false">'SALES Raw'!A4006</f>
        <v>210 - Oy. Ea. Ab. FINLAND</v>
      </c>
    </row>
    <row r="1500" customFormat="false" ht="15" hidden="false" customHeight="false" outlineLevel="0" collapsed="false">
      <c r="A1500" s="18" t="n">
        <f aca="false">'SALES Raw'!G4021</f>
        <v>4408270</v>
      </c>
      <c r="B1500" s="18" t="str">
        <f aca="false">'SALES Raw'!B4021</f>
        <v>ST11 0</v>
      </c>
      <c r="C1500" s="18" t="str">
        <f aca="false">'SALES Raw'!H4021</f>
        <v>ST11  חגורת בטן</v>
      </c>
      <c r="D1500" s="19" t="n">
        <f aca="false">'SALES Raw'!C4021</f>
        <v>0</v>
      </c>
      <c r="E1500" s="19" t="n">
        <f aca="false">'SALES Raw'!D4021</f>
        <v>0</v>
      </c>
      <c r="F1500" s="19" t="n">
        <f aca="false">'SALES Raw'!E4021*$H$4</f>
        <v>31.5789473684211</v>
      </c>
      <c r="G1500" s="19" t="n">
        <f aca="false">'SALES Raw'!F4021*$H$4</f>
        <v>751.048421052632</v>
      </c>
      <c r="H1500" s="18" t="str">
        <f aca="false">'SALES Raw'!A4021</f>
        <v>210 - Oy. Ea. Ab. FINLAND</v>
      </c>
    </row>
    <row r="1501" customFormat="false" ht="15" hidden="false" customHeight="false" outlineLevel="0" collapsed="false">
      <c r="A1501" s="18" t="n">
        <f aca="false">'SALES Raw'!G4025</f>
        <v>4415177</v>
      </c>
      <c r="B1501" s="18" t="str">
        <f aca="false">'SALES Raw'!B4025</f>
        <v>ST28 0</v>
      </c>
      <c r="C1501" s="18" t="str">
        <f aca="false">'SALES Raw'!H4025</f>
        <v>ST28 סד אגודלי עם מוט תמיכה</v>
      </c>
      <c r="D1501" s="19" t="n">
        <f aca="false">'SALES Raw'!C4025</f>
        <v>50</v>
      </c>
      <c r="E1501" s="19" t="n">
        <f aca="false">'SALES Raw'!D4025</f>
        <v>861.96</v>
      </c>
      <c r="F1501" s="19" t="n">
        <f aca="false">'SALES Raw'!E4025*$H$4</f>
        <v>31.5789473684211</v>
      </c>
      <c r="G1501" s="19" t="n">
        <f aca="false">'SALES Raw'!F4025*$H$4</f>
        <v>467.431578947368</v>
      </c>
      <c r="H1501" s="18" t="str">
        <f aca="false">'SALES Raw'!A4025</f>
        <v>210 - Oy. Ea. Ab. FINLAND</v>
      </c>
    </row>
    <row r="1502" customFormat="false" ht="15" hidden="false" customHeight="false" outlineLevel="0" collapsed="false">
      <c r="A1502" s="18" t="n">
        <f aca="false">'SALES Raw'!G4107</f>
        <v>4408269</v>
      </c>
      <c r="B1502" s="18" t="str">
        <f aca="false">'SALES Raw'!B4107</f>
        <v>ST37 0</v>
      </c>
      <c r="C1502" s="18" t="str">
        <f aca="false">'SALES Raw'!H4107</f>
        <v>ST37 חבק לקרסול</v>
      </c>
      <c r="D1502" s="19" t="n">
        <f aca="false">'SALES Raw'!C4107</f>
        <v>0</v>
      </c>
      <c r="E1502" s="19" t="n">
        <f aca="false">'SALES Raw'!D4107</f>
        <v>0</v>
      </c>
      <c r="F1502" s="19" t="n">
        <f aca="false">'SALES Raw'!E4107*$H$4</f>
        <v>31.5789473684211</v>
      </c>
      <c r="G1502" s="19" t="n">
        <f aca="false">'SALES Raw'!F4107*$H$4</f>
        <v>475.023157894737</v>
      </c>
      <c r="H1502" s="18" t="str">
        <f aca="false">'SALES Raw'!A4107</f>
        <v>213 - E.f.m.o. SPAIN</v>
      </c>
    </row>
    <row r="1503" customFormat="false" ht="15" hidden="false" customHeight="false" outlineLevel="0" collapsed="false">
      <c r="A1503" s="18" t="n">
        <f aca="false">'SALES Raw'!G531</f>
        <v>4408265</v>
      </c>
      <c r="B1503" s="18" t="str">
        <f aca="false">'SALES Raw'!B531</f>
        <v>078 XXL</v>
      </c>
      <c r="C1503" s="18" t="str">
        <f aca="false">'SALES Raw'!H531</f>
        <v>078XXL חגורת גב +סגירה כפולה</v>
      </c>
      <c r="D1503" s="19" t="n">
        <f aca="false">'SALES Raw'!C531</f>
        <v>37</v>
      </c>
      <c r="E1503" s="19" t="n">
        <f aca="false">'SALES Raw'!D531</f>
        <v>3240.13</v>
      </c>
      <c r="F1503" s="19" t="n">
        <f aca="false">'SALES Raw'!E531*$H$4</f>
        <v>30.3157894736842</v>
      </c>
      <c r="G1503" s="19" t="n">
        <f aca="false">'SALES Raw'!F531*$H$4</f>
        <v>2728.44631578947</v>
      </c>
      <c r="H1503" s="18" t="str">
        <f aca="false">'SALES Raw'!A531</f>
        <v>102 - Orthopedic institutes</v>
      </c>
    </row>
    <row r="1504" customFormat="false" ht="15" hidden="false" customHeight="false" outlineLevel="0" collapsed="false">
      <c r="A1504" s="18" t="n">
        <f aca="false">'SALES Raw'!G707</f>
        <v>4413162</v>
      </c>
      <c r="B1504" s="18" t="str">
        <f aca="false">'SALES Raw'!B707</f>
        <v>34+ XL</v>
      </c>
      <c r="C1504" s="18" t="str">
        <f aca="false">'SALES Raw'!H707</f>
        <v>34+XL מגן קרסול עקב סגור+רצוע</v>
      </c>
      <c r="D1504" s="19" t="n">
        <f aca="false">'SALES Raw'!C707</f>
        <v>14</v>
      </c>
      <c r="E1504" s="19" t="n">
        <f aca="false">'SALES Raw'!D707</f>
        <v>930.17</v>
      </c>
      <c r="F1504" s="19" t="n">
        <f aca="false">'SALES Raw'!E707*$H$4</f>
        <v>30.3157894736842</v>
      </c>
      <c r="G1504" s="19" t="n">
        <f aca="false">'SALES Raw'!F707*$H$4</f>
        <v>2064.92210526316</v>
      </c>
      <c r="H1504" s="18" t="str">
        <f aca="false">'SALES Raw'!A707</f>
        <v>102 - Orthopedic institutes</v>
      </c>
    </row>
    <row r="1505" customFormat="false" ht="15" hidden="false" customHeight="false" outlineLevel="0" collapsed="false">
      <c r="A1505" s="18" t="n">
        <f aca="false">'SALES Raw'!G714</f>
        <v>4408069</v>
      </c>
      <c r="B1505" s="18" t="str">
        <f aca="false">'SALES Raw'!B714</f>
        <v>38 0</v>
      </c>
      <c r="C1505" s="18" t="str">
        <f aca="false">'SALES Raw'!H714</f>
        <v>38 .חבישת""""הלוקס ולגוס""""לאחר נית</v>
      </c>
      <c r="D1505" s="19" t="n">
        <f aca="false">'SALES Raw'!C714</f>
        <v>35</v>
      </c>
      <c r="E1505" s="19" t="n">
        <f aca="false">'SALES Raw'!D714</f>
        <v>2993.83</v>
      </c>
      <c r="F1505" s="19" t="n">
        <f aca="false">'SALES Raw'!E714*$H$4</f>
        <v>30.3157894736842</v>
      </c>
      <c r="G1505" s="19" t="n">
        <f aca="false">'SALES Raw'!F714*$H$4</f>
        <v>2570.99368421053</v>
      </c>
      <c r="H1505" s="18" t="str">
        <f aca="false">'SALES Raw'!A714</f>
        <v>102 - Orthopedic institutes</v>
      </c>
    </row>
    <row r="1506" customFormat="false" ht="15" hidden="false" customHeight="false" outlineLevel="0" collapsed="false">
      <c r="A1506" s="18" t="n">
        <f aca="false">'SALES Raw'!G994</f>
        <v>4422031</v>
      </c>
      <c r="B1506" s="18" t="str">
        <f aca="false">'SALES Raw'!B994</f>
        <v>807CB-C</v>
      </c>
      <c r="C1506" s="18" t="str">
        <f aca="false">'SALES Raw'!H994</f>
        <v>807CB-Cתחבושת נצמדת בז' 20 מ""""מ</v>
      </c>
      <c r="D1506" s="19" t="n">
        <f aca="false">'SALES Raw'!C994</f>
        <v>0</v>
      </c>
      <c r="E1506" s="19" t="n">
        <f aca="false">'SALES Raw'!D994</f>
        <v>0</v>
      </c>
      <c r="F1506" s="19" t="n">
        <f aca="false">'SALES Raw'!E994*$H$4</f>
        <v>30.3157894736842</v>
      </c>
      <c r="G1506" s="19" t="n">
        <f aca="false">'SALES Raw'!F994*$H$4</f>
        <v>318.315789473684</v>
      </c>
      <c r="H1506" s="18" t="str">
        <f aca="false">'SALES Raw'!A994</f>
        <v>102 - Orthopedic institutes</v>
      </c>
    </row>
    <row r="1507" customFormat="false" ht="15" hidden="false" customHeight="false" outlineLevel="0" collapsed="false">
      <c r="A1507" s="18" t="n">
        <f aca="false">'SALES Raw'!G1859</f>
        <v>4413372</v>
      </c>
      <c r="B1507" s="18" t="str">
        <f aca="false">'SALES Raw'!B1859</f>
        <v>302W 0</v>
      </c>
      <c r="C1507" s="18" t="str">
        <f aca="false">'SALES Raw'!H1859</f>
        <v>302 W מדרס לאישה</v>
      </c>
      <c r="D1507" s="19" t="n">
        <f aca="false">'SALES Raw'!C1859</f>
        <v>43</v>
      </c>
      <c r="E1507" s="19" t="n">
        <f aca="false">'SALES Raw'!D1859</f>
        <v>2680.6</v>
      </c>
      <c r="F1507" s="19" t="n">
        <f aca="false">'SALES Raw'!E1859*$H$4</f>
        <v>30.3157894736842</v>
      </c>
      <c r="G1507" s="19" t="n">
        <f aca="false">'SALES Raw'!F1859*$H$4</f>
        <v>1870.63578947368</v>
      </c>
      <c r="H1507" s="18" t="str">
        <f aca="false">'SALES Raw'!A1859</f>
        <v>109 - Private Shops</v>
      </c>
    </row>
    <row r="1508" customFormat="false" ht="15" hidden="false" customHeight="false" outlineLevel="0" collapsed="false">
      <c r="A1508" s="18" t="n">
        <f aca="false">'SALES Raw'!G2293</f>
        <v>4421001</v>
      </c>
      <c r="B1508" s="18" t="str">
        <f aca="false">'SALES Raw'!B2293</f>
        <v>3611 0</v>
      </c>
      <c r="C1508" s="18" t="str">
        <f aca="false">'SALES Raw'!H2293</f>
        <v>3611 שרוול מטטרזלי מסיליקון</v>
      </c>
      <c r="D1508" s="19" t="n">
        <f aca="false">'SALES Raw'!C2293</f>
        <v>23</v>
      </c>
      <c r="E1508" s="19" t="n">
        <f aca="false">'SALES Raw'!D2293</f>
        <v>2419.57</v>
      </c>
      <c r="F1508" s="19" t="n">
        <f aca="false">'SALES Raw'!E2293*$H$4</f>
        <v>30.3157894736842</v>
      </c>
      <c r="G1508" s="19" t="n">
        <f aca="false">'SALES Raw'!F2293*$H$4</f>
        <v>3260.76631578947</v>
      </c>
      <c r="H1508" s="18" t="str">
        <f aca="false">'SALES Raw'!A2293</f>
        <v>114 - IL online</v>
      </c>
    </row>
    <row r="1509" customFormat="false" ht="15" hidden="false" customHeight="false" outlineLevel="0" collapsed="false">
      <c r="A1509" s="18" t="n">
        <f aca="false">'SALES Raw'!G2407</f>
        <v>4413497</v>
      </c>
      <c r="B1509" s="18" t="str">
        <f aca="false">'SALES Raw'!B2407</f>
        <v>45B M</v>
      </c>
      <c r="C1509" s="18" t="str">
        <f aca="false">'SALES Raw'!H2407</f>
        <v>45B M מגן ברך שחור</v>
      </c>
      <c r="D1509" s="19" t="n">
        <f aca="false">'SALES Raw'!C2407</f>
        <v>17</v>
      </c>
      <c r="E1509" s="19" t="n">
        <f aca="false">'SALES Raw'!D2407</f>
        <v>875.61</v>
      </c>
      <c r="F1509" s="19" t="n">
        <f aca="false">'SALES Raw'!E2407*$H$4</f>
        <v>30.3157894736842</v>
      </c>
      <c r="G1509" s="19" t="n">
        <f aca="false">'SALES Raw'!F2407*$H$4</f>
        <v>1686.03789473684</v>
      </c>
      <c r="H1509" s="18" t="str">
        <f aca="false">'SALES Raw'!A2407</f>
        <v>114 - IL online</v>
      </c>
    </row>
    <row r="1510" customFormat="false" ht="15" hidden="false" customHeight="false" outlineLevel="0" collapsed="false">
      <c r="A1510" s="18" t="n">
        <f aca="false">'SALES Raw'!G2502</f>
        <v>4413133</v>
      </c>
      <c r="B1510" s="18" t="str">
        <f aca="false">'SALES Raw'!B2502</f>
        <v>76 M</v>
      </c>
      <c r="C1510" s="18" t="str">
        <f aca="false">'SALES Raw'!H2502</f>
        <v>76 Mמיישר כתף יציב,יישור רחב</v>
      </c>
      <c r="D1510" s="19" t="n">
        <f aca="false">'SALES Raw'!C2502</f>
        <v>23</v>
      </c>
      <c r="E1510" s="19" t="n">
        <f aca="false">'SALES Raw'!D2502</f>
        <v>7640.03</v>
      </c>
      <c r="F1510" s="19" t="n">
        <f aca="false">'SALES Raw'!E2502*$H$4</f>
        <v>30.3157894736842</v>
      </c>
      <c r="G1510" s="19" t="n">
        <f aca="false">'SALES Raw'!F2502*$H$4</f>
        <v>11100.9726315789</v>
      </c>
      <c r="H1510" s="18" t="str">
        <f aca="false">'SALES Raw'!A2502</f>
        <v>114 - IL online</v>
      </c>
    </row>
    <row r="1511" customFormat="false" ht="15" hidden="false" customHeight="false" outlineLevel="0" collapsed="false">
      <c r="A1511" s="18" t="n">
        <f aca="false">'SALES Raw'!G2511</f>
        <v>4422000</v>
      </c>
      <c r="B1511" s="18" t="str">
        <f aca="false">'SALES Raw'!B2511</f>
        <v>801 0</v>
      </c>
      <c r="C1511" s="18" t="str">
        <f aca="false">'SALES Raw'!H2511</f>
        <v>801  תחבושת אלסטית מקררת</v>
      </c>
      <c r="D1511" s="19" t="n">
        <f aca="false">'SALES Raw'!C2511</f>
        <v>28</v>
      </c>
      <c r="E1511" s="19" t="n">
        <f aca="false">'SALES Raw'!D2511</f>
        <v>1021.98</v>
      </c>
      <c r="F1511" s="19" t="n">
        <f aca="false">'SALES Raw'!E2511*$H$4</f>
        <v>30.3157894736842</v>
      </c>
      <c r="G1511" s="19" t="n">
        <f aca="false">'SALES Raw'!F2511*$H$4</f>
        <v>1126.01684210526</v>
      </c>
      <c r="H1511" s="18" t="str">
        <f aca="false">'SALES Raw'!A2511</f>
        <v>114 - IL online</v>
      </c>
    </row>
    <row r="1512" customFormat="false" ht="15" hidden="false" customHeight="false" outlineLevel="0" collapsed="false">
      <c r="A1512" s="18" t="n">
        <f aca="false">'SALES Raw'!G2665</f>
        <v>4413406</v>
      </c>
      <c r="B1512" s="18" t="str">
        <f aca="false">'SALES Raw'!B2665</f>
        <v>SC95 M</v>
      </c>
      <c r="C1512" s="18" t="str">
        <f aca="false">'SALES Raw'!H2665</f>
        <v>SC95 M מגן מרפק</v>
      </c>
      <c r="D1512" s="19" t="n">
        <f aca="false">'SALES Raw'!C2665</f>
        <v>62</v>
      </c>
      <c r="E1512" s="19" t="n">
        <f aca="false">'SALES Raw'!D2665</f>
        <v>7912.97</v>
      </c>
      <c r="F1512" s="19" t="n">
        <f aca="false">'SALES Raw'!E2665*$H$4</f>
        <v>30.3157894736842</v>
      </c>
      <c r="G1512" s="19" t="n">
        <f aca="false">'SALES Raw'!F2665*$H$4</f>
        <v>4435.45263157895</v>
      </c>
      <c r="H1512" s="18" t="str">
        <f aca="false">'SALES Raw'!A2665</f>
        <v>114 - IL online</v>
      </c>
    </row>
    <row r="1513" customFormat="false" ht="15" hidden="false" customHeight="false" outlineLevel="0" collapsed="false">
      <c r="A1513" s="18" t="str">
        <f aca="false">'SALES Raw'!G3216</f>
        <v/>
      </c>
      <c r="B1513" s="18" t="str">
        <f aca="false">'SALES Raw'!B3216</f>
        <v>35C XXL</v>
      </c>
      <c r="C1513" s="18" t="str">
        <f aca="false">'SALES Raw'!H3216</f>
        <v>35C XXL</v>
      </c>
      <c r="D1513" s="19" t="n">
        <f aca="false">'SALES Raw'!C3216</f>
        <v>6</v>
      </c>
      <c r="E1513" s="19" t="n">
        <f aca="false">'SALES Raw'!D3216</f>
        <v>59.89</v>
      </c>
      <c r="F1513" s="19" t="n">
        <f aca="false">'SALES Raw'!E3216*$H$4</f>
        <v>30.3157894736842</v>
      </c>
      <c r="G1513" s="19" t="n">
        <f aca="false">'SALES Raw'!F3216*$H$4</f>
        <v>281.949473684211</v>
      </c>
      <c r="H1513" s="18" t="str">
        <f aca="false">'SALES Raw'!A3216</f>
        <v>204 - Sanaflex Anatomic GREECE</v>
      </c>
    </row>
    <row r="1514" customFormat="false" ht="15" hidden="false" customHeight="false" outlineLevel="0" collapsed="false">
      <c r="A1514" s="18" t="str">
        <f aca="false">'SALES Raw'!G3502</f>
        <v/>
      </c>
      <c r="B1514" s="18" t="str">
        <f aca="false">'SALES Raw'!B3502</f>
        <v>305-43-44</v>
      </c>
      <c r="C1514" s="18" t="str">
        <f aca="false">'SALES Raw'!H3502</f>
        <v>305-43-44</v>
      </c>
      <c r="D1514" s="19" t="n">
        <f aca="false">'SALES Raw'!C3502</f>
        <v>0</v>
      </c>
      <c r="E1514" s="19" t="n">
        <f aca="false">'SALES Raw'!D3502</f>
        <v>0</v>
      </c>
      <c r="F1514" s="19" t="n">
        <f aca="false">'SALES Raw'!E3502*$H$4</f>
        <v>30.3157894736842</v>
      </c>
      <c r="G1514" s="19" t="n">
        <f aca="false">'SALES Raw'!F3502*$H$4</f>
        <v>1046.04631578947</v>
      </c>
      <c r="H1514" s="18" t="str">
        <f aca="false">'SALES Raw'!A3502</f>
        <v>207 - Salus HUNGARY</v>
      </c>
    </row>
    <row r="1515" customFormat="false" ht="15" hidden="false" customHeight="false" outlineLevel="0" collapsed="false">
      <c r="A1515" s="18" t="n">
        <f aca="false">'SALES Raw'!G4271</f>
        <v>4403041</v>
      </c>
      <c r="B1515" s="18" t="str">
        <f aca="false">'SALES Raw'!B4271</f>
        <v>397A-35-38</v>
      </c>
      <c r="C1515" s="18" t="str">
        <f aca="false">'SALES Raw'!H4271</f>
        <v>397A-גרבי טיסה אנטי בקטרי35-38</v>
      </c>
      <c r="D1515" s="19" t="n">
        <f aca="false">'SALES Raw'!C4271</f>
        <v>0</v>
      </c>
      <c r="E1515" s="19" t="n">
        <f aca="false">'SALES Raw'!D4271</f>
        <v>0</v>
      </c>
      <c r="F1515" s="19" t="n">
        <f aca="false">'SALES Raw'!E4271*$H$4</f>
        <v>30.3157894736842</v>
      </c>
      <c r="G1515" s="19" t="n">
        <f aca="false">'SALES Raw'!F4271*$H$4</f>
        <v>871.326315789474</v>
      </c>
      <c r="H1515" s="18" t="str">
        <f aca="false">'SALES Raw'!A4271</f>
        <v>216 - Max Konnaris CYPRUS</v>
      </c>
    </row>
    <row r="1516" customFormat="false" ht="15" hidden="false" customHeight="false" outlineLevel="0" collapsed="false">
      <c r="A1516" s="18" t="n">
        <f aca="false">'SALES Raw'!G4273</f>
        <v>4403043</v>
      </c>
      <c r="B1516" s="18" t="str">
        <f aca="false">'SALES Raw'!B4273</f>
        <v>397A-43-46</v>
      </c>
      <c r="C1516" s="18" t="str">
        <f aca="false">'SALES Raw'!H4273</f>
        <v>397A-גרבי טיסה אנטי בקטרי43-46</v>
      </c>
      <c r="D1516" s="19" t="n">
        <f aca="false">'SALES Raw'!C4273</f>
        <v>1</v>
      </c>
      <c r="E1516" s="19" t="n">
        <f aca="false">'SALES Raw'!D4273</f>
        <v>0.04</v>
      </c>
      <c r="F1516" s="19" t="n">
        <f aca="false">'SALES Raw'!E4273*$H$4</f>
        <v>30.3157894736842</v>
      </c>
      <c r="G1516" s="19" t="n">
        <f aca="false">'SALES Raw'!F4273*$H$4</f>
        <v>871.326315789474</v>
      </c>
      <c r="H1516" s="18" t="str">
        <f aca="false">'SALES Raw'!A4273</f>
        <v>216 - Max Konnaris CYPRUS</v>
      </c>
    </row>
    <row r="1517" customFormat="false" ht="15" hidden="false" customHeight="false" outlineLevel="0" collapsed="false">
      <c r="A1517" s="18" t="n">
        <f aca="false">'SALES Raw'!G4315</f>
        <v>4422025</v>
      </c>
      <c r="B1517" s="18" t="str">
        <f aca="false">'SALES Raw'!B4315</f>
        <v>806CB-GR</v>
      </c>
      <c r="C1517" s="18" t="str">
        <f aca="false">'SALES Raw'!H4315</f>
        <v>806CB-GREEN      תחבושת א.נצמ</v>
      </c>
      <c r="D1517" s="19" t="n">
        <f aca="false">'SALES Raw'!C4315</f>
        <v>24</v>
      </c>
      <c r="E1517" s="19" t="n">
        <f aca="false">'SALES Raw'!D4315</f>
        <v>180.67</v>
      </c>
      <c r="F1517" s="19" t="n">
        <f aca="false">'SALES Raw'!E4315*$H$4</f>
        <v>30.3157894736842</v>
      </c>
      <c r="G1517" s="19" t="n">
        <f aca="false">'SALES Raw'!F4315*$H$4</f>
        <v>200.501052631579</v>
      </c>
      <c r="H1517" s="18" t="str">
        <f aca="false">'SALES Raw'!A4315</f>
        <v>216 - Max Konnaris CYPRUS</v>
      </c>
    </row>
    <row r="1518" customFormat="false" ht="15" hidden="false" customHeight="false" outlineLevel="0" collapsed="false">
      <c r="A1518" s="18" t="str">
        <f aca="false">'SALES Raw'!G4400</f>
        <v/>
      </c>
      <c r="B1518" s="18" t="str">
        <f aca="false">'SALES Raw'!B4400</f>
        <v>EC-11STO S</v>
      </c>
      <c r="C1518" s="18" t="str">
        <f aca="false">'SALES Raw'!H4400</f>
        <v>EC-11STO S</v>
      </c>
      <c r="D1518" s="19" t="n">
        <f aca="false">'SALES Raw'!C4400</f>
        <v>27</v>
      </c>
      <c r="E1518" s="19" t="n">
        <f aca="false">'SALES Raw'!D4400</f>
        <v>3576.51</v>
      </c>
      <c r="F1518" s="19" t="n">
        <f aca="false">'SALES Raw'!E4400*$H$4</f>
        <v>30.3157894736842</v>
      </c>
      <c r="G1518" s="19" t="n">
        <f aca="false">'SALES Raw'!F4400*$H$4</f>
        <v>3947.70947368421</v>
      </c>
      <c r="H1518" s="18" t="str">
        <f aca="false">'SALES Raw'!A4400</f>
        <v>301 - Amazon</v>
      </c>
    </row>
    <row r="1519" customFormat="false" ht="15" hidden="false" customHeight="false" outlineLevel="0" collapsed="false">
      <c r="A1519" s="18" t="n">
        <f aca="false">'CEMIUP0.9 Raw'!B30</f>
        <v>4403023</v>
      </c>
      <c r="B1519" s="18" t="str">
        <f aca="false">'CEMIUP0.9 Raw'!C30</f>
        <v>394W 35-38 גרב.כסף לסכרתים לבן</v>
      </c>
      <c r="C1519" s="18" t="str">
        <f aca="false">'CEMIUP0.9 Raw'!C30</f>
        <v>394W 35-38 גרב.כסף לסכרתים לבן</v>
      </c>
      <c r="D1519" s="19" t="n">
        <f aca="false">'CEMIUP0.9 Raw'!D30</f>
        <v>34</v>
      </c>
      <c r="E1519" s="19" t="n">
        <f aca="false">'CEMIUP0.9 Raw'!E30</f>
        <v>767.312</v>
      </c>
      <c r="F1519" s="19" t="n">
        <f aca="false">'CEMIUP0.9 Raw'!F30</f>
        <v>30.3157894736842</v>
      </c>
      <c r="G1519" s="19" t="n">
        <f aca="false">'CEMIUP0.9 Raw'!G30</f>
        <v>744.415578947368</v>
      </c>
      <c r="H1519" s="18" t="str">
        <f aca="false">'CEMIUP0.9 Raw'!A30</f>
        <v>107 - Pharmacies</v>
      </c>
    </row>
    <row r="1520" customFormat="false" ht="15" hidden="false" customHeight="false" outlineLevel="0" collapsed="false">
      <c r="A1520" s="18" t="n">
        <f aca="false">'CEMIUP0.9 Raw'!B164</f>
        <v>4408230</v>
      </c>
      <c r="B1520" s="18" t="str">
        <f aca="false">'CEMIUP0.9 Raw'!C164</f>
        <v>16 L-XL חגורת הריון</v>
      </c>
      <c r="C1520" s="18" t="str">
        <f aca="false">'CEMIUP0.9 Raw'!C164</f>
        <v>16 L-XL חגורת הריון</v>
      </c>
      <c r="D1520" s="19" t="n">
        <f aca="false">'CEMIUP0.9 Raw'!D164</f>
        <v>27</v>
      </c>
      <c r="E1520" s="19" t="n">
        <f aca="false">'CEMIUP0.9 Raw'!E164</f>
        <v>2686.151</v>
      </c>
      <c r="F1520" s="19" t="n">
        <f aca="false">'CEMIUP0.9 Raw'!F164</f>
        <v>30.3157894736842</v>
      </c>
      <c r="G1520" s="19" t="n">
        <f aca="false">'CEMIUP0.9 Raw'!G164</f>
        <v>3226.74568421053</v>
      </c>
      <c r="H1520" s="18" t="str">
        <f aca="false">'CEMIUP0.9 Raw'!A164</f>
        <v>107 - Pharmacies</v>
      </c>
    </row>
    <row r="1521" customFormat="false" ht="15" hidden="false" customHeight="false" outlineLevel="0" collapsed="false">
      <c r="A1521" s="18" t="n">
        <f aca="false">'CEMIUP0.9 Raw'!B327</f>
        <v>4413162</v>
      </c>
      <c r="B1521" s="18" t="str">
        <f aca="false">'CEMIUP0.9 Raw'!C327</f>
        <v>34+XL מגן קרסול עקב סגור+רצוע</v>
      </c>
      <c r="C1521" s="18" t="str">
        <f aca="false">'CEMIUP0.9 Raw'!C327</f>
        <v>34+XL מגן קרסול עקב סגור+רצוע</v>
      </c>
      <c r="D1521" s="19" t="n">
        <f aca="false">'CEMIUP0.9 Raw'!D327</f>
        <v>47</v>
      </c>
      <c r="E1521" s="19" t="n">
        <f aca="false">'CEMIUP0.9 Raw'!E327</f>
        <v>2896.811</v>
      </c>
      <c r="F1521" s="19" t="n">
        <f aca="false">'CEMIUP0.9 Raw'!F327</f>
        <v>30.3157894736842</v>
      </c>
      <c r="G1521" s="19" t="n">
        <f aca="false">'CEMIUP0.9 Raw'!G327</f>
        <v>1841.34189473684</v>
      </c>
      <c r="H1521" s="18" t="str">
        <f aca="false">'CEMIUP0.9 Raw'!A327</f>
        <v>107 - Pharmacies</v>
      </c>
    </row>
    <row r="1522" customFormat="false" ht="15" hidden="false" customHeight="false" outlineLevel="0" collapsed="false">
      <c r="A1522" s="18" t="n">
        <f aca="false">'CEMIUP0.9 Raw'!B779</f>
        <v>4413051</v>
      </c>
      <c r="B1522" s="18" t="str">
        <f aca="false">'CEMIUP0.9 Raw'!C779</f>
        <v>35 XXL מגן קרסול לבן</v>
      </c>
      <c r="C1522" s="18" t="str">
        <f aca="false">'CEMIUP0.9 Raw'!C779</f>
        <v>35 XXL מגן קרסול לבן</v>
      </c>
      <c r="D1522" s="19" t="n">
        <f aca="false">'CEMIUP0.9 Raw'!D779</f>
        <v>77</v>
      </c>
      <c r="E1522" s="19" t="n">
        <f aca="false">'CEMIUP0.9 Raw'!E779</f>
        <v>1309</v>
      </c>
      <c r="F1522" s="19" t="n">
        <f aca="false">'CEMIUP0.9 Raw'!F779</f>
        <v>30.3157894736842</v>
      </c>
      <c r="G1522" s="19" t="n">
        <f aca="false">'CEMIUP0.9 Raw'!G779</f>
        <v>484.338947368421</v>
      </c>
      <c r="H1522" s="18" t="str">
        <f aca="false">'CEMIUP0.9 Raw'!A779</f>
        <v>113 - Kupat Holim Meuhedet</v>
      </c>
    </row>
    <row r="1523" customFormat="false" ht="15" hidden="false" customHeight="false" outlineLevel="0" collapsed="false">
      <c r="A1523" s="18" t="n">
        <f aca="false">'CEMIUP0.9 Raw'!B841</f>
        <v>4413532</v>
      </c>
      <c r="B1523" s="18" t="str">
        <f aca="false">'CEMIUP0.9 Raw'!C841</f>
        <v>ST433 H מגן ברך עם ציר</v>
      </c>
      <c r="C1523" s="18" t="str">
        <f aca="false">'CEMIUP0.9 Raw'!C841</f>
        <v>ST433 H מגן ברך עם ציר</v>
      </c>
      <c r="D1523" s="19" t="n">
        <f aca="false">'CEMIUP0.9 Raw'!D841</f>
        <v>48</v>
      </c>
      <c r="E1523" s="19" t="n">
        <f aca="false">'CEMIUP0.9 Raw'!E841</f>
        <v>4488</v>
      </c>
      <c r="F1523" s="19" t="n">
        <f aca="false">'CEMIUP0.9 Raw'!F841</f>
        <v>30.3157894736842</v>
      </c>
      <c r="G1523" s="19" t="n">
        <f aca="false">'CEMIUP0.9 Raw'!G841</f>
        <v>2664.45473684211</v>
      </c>
      <c r="H1523" s="18" t="str">
        <f aca="false">'CEMIUP0.9 Raw'!A841</f>
        <v>113 - Kupat Holim Meuhedet</v>
      </c>
    </row>
    <row r="1524" customFormat="false" ht="15" hidden="false" customHeight="false" outlineLevel="0" collapsed="false">
      <c r="A1524" s="18" t="n">
        <f aca="false">'CEMIUP0.9 Raw'!B931</f>
        <v>4402000</v>
      </c>
      <c r="B1524" s="18" t="str">
        <f aca="false">'CEMIUP0.9 Raw'!C931</f>
        <v>363  בננה לתמיכת אצבעות ז.כרית</v>
      </c>
      <c r="C1524" s="18" t="str">
        <f aca="false">'CEMIUP0.9 Raw'!C931</f>
        <v>363  בננה לתמיכת אצבעות ז.כרית</v>
      </c>
      <c r="D1524" s="19" t="n">
        <f aca="false">'CEMIUP0.9 Raw'!D931</f>
        <v>53</v>
      </c>
      <c r="E1524" s="19" t="n">
        <f aca="false">'CEMIUP0.9 Raw'!E931</f>
        <v>1137.318</v>
      </c>
      <c r="F1524" s="19" t="n">
        <f aca="false">'CEMIUP0.9 Raw'!F931</f>
        <v>30.3157894736842</v>
      </c>
      <c r="G1524" s="19" t="n">
        <f aca="false">'CEMIUP0.9 Raw'!G931</f>
        <v>650.487157894737</v>
      </c>
      <c r="H1524" s="18" t="str">
        <f aca="false">'CEMIUP0.9 Raw'!A931</f>
        <v>BE (CEMI internal group)</v>
      </c>
    </row>
    <row r="1525" customFormat="false" ht="15" hidden="false" customHeight="false" outlineLevel="0" collapsed="false">
      <c r="A1525" s="18" t="n">
        <f aca="false">'CEMIUP0.9 Raw'!B1001</f>
        <v>4408115</v>
      </c>
      <c r="B1525" s="18" t="str">
        <f aca="false">'CEMIUP0.9 Raw'!C1001</f>
        <v>11EU L ח.בטן לאחר ניתוח</v>
      </c>
      <c r="C1525" s="18" t="str">
        <f aca="false">'CEMIUP0.9 Raw'!C1001</f>
        <v>11EU L ח.בטן לאחר ניתוח</v>
      </c>
      <c r="D1525" s="19" t="n">
        <f aca="false">'CEMIUP0.9 Raw'!D1001</f>
        <v>11</v>
      </c>
      <c r="E1525" s="19" t="n">
        <f aca="false">'CEMIUP0.9 Raw'!E1001</f>
        <v>971.243</v>
      </c>
      <c r="F1525" s="19" t="n">
        <f aca="false">'CEMIUP0.9 Raw'!F1001</f>
        <v>30.3157894736842</v>
      </c>
      <c r="G1525" s="19" t="n">
        <f aca="false">'CEMIUP0.9 Raw'!G1001</f>
        <v>2676.89431578947</v>
      </c>
      <c r="H1525" s="18" t="str">
        <f aca="false">'CEMIUP0.9 Raw'!A1001</f>
        <v>BE (CEMI internal group)</v>
      </c>
    </row>
    <row r="1526" customFormat="false" ht="15" hidden="false" customHeight="false" outlineLevel="0" collapsed="false">
      <c r="A1526" s="18" t="n">
        <f aca="false">'CEMIUP0.9 Raw'!B1072</f>
        <v>4413056</v>
      </c>
      <c r="B1526" s="18" t="str">
        <f aca="false">'CEMIUP0.9 Raw'!C1072</f>
        <v>LF360 מדרס מטטרזלי לנעלי עקב</v>
      </c>
      <c r="C1526" s="18" t="str">
        <f aca="false">'CEMIUP0.9 Raw'!C1072</f>
        <v>LF360 מדרס מטטרזלי לנעלי עקב</v>
      </c>
      <c r="D1526" s="19" t="n">
        <f aca="false">'CEMIUP0.9 Raw'!D1072</f>
        <v>22</v>
      </c>
      <c r="E1526" s="19" t="n">
        <f aca="false">'CEMIUP0.9 Raw'!E1072</f>
        <v>437.073</v>
      </c>
      <c r="F1526" s="19" t="n">
        <f aca="false">'CEMIUP0.9 Raw'!F1072</f>
        <v>30.3157894736842</v>
      </c>
      <c r="G1526" s="19" t="n">
        <f aca="false">'CEMIUP0.9 Raw'!G1072</f>
        <v>602.324210526316</v>
      </c>
      <c r="H1526" s="18" t="str">
        <f aca="false">'CEMIUP0.9 Raw'!A1072</f>
        <v>BE (CEMI internal group)</v>
      </c>
    </row>
    <row r="1527" customFormat="false" ht="15" hidden="false" customHeight="false" outlineLevel="0" collapsed="false">
      <c r="A1527" s="18" t="n">
        <f aca="false">'CEMIUP0.9 Raw'!B17</f>
        <v>4403002</v>
      </c>
      <c r="B1527" s="18" t="str">
        <f aca="false">'CEMIUP0.9 Raw'!C17</f>
        <v>390B 43-46.גרב.כסף לסכרתיים שח</v>
      </c>
      <c r="C1527" s="18" t="str">
        <f aca="false">'CEMIUP0.9 Raw'!C17</f>
        <v>390B 43-46.גרב.כסף לסכרתיים שח</v>
      </c>
      <c r="D1527" s="19" t="n">
        <f aca="false">'CEMIUP0.9 Raw'!D17</f>
        <v>78</v>
      </c>
      <c r="E1527" s="19" t="n">
        <f aca="false">'CEMIUP0.9 Raw'!E17</f>
        <v>2224.36</v>
      </c>
      <c r="F1527" s="19" t="n">
        <f aca="false">'CEMIUP0.9 Raw'!F17</f>
        <v>29.0526315789474</v>
      </c>
      <c r="G1527" s="19" t="n">
        <f aca="false">'CEMIUP0.9 Raw'!G17</f>
        <v>877.048421052632</v>
      </c>
      <c r="H1527" s="18" t="str">
        <f aca="false">'CEMIUP0.9 Raw'!A17</f>
        <v>107 - Pharmacies</v>
      </c>
    </row>
    <row r="1528" customFormat="false" ht="15" hidden="false" customHeight="false" outlineLevel="0" collapsed="false">
      <c r="A1528" s="18" t="n">
        <f aca="false">'CEMIUP0.9 Raw'!B675</f>
        <v>4403001</v>
      </c>
      <c r="B1528" s="18" t="str">
        <f aca="false">'CEMIUP0.9 Raw'!C675</f>
        <v>390B 39-42.גרב.כסף לסכרתיים שח</v>
      </c>
      <c r="C1528" s="18" t="str">
        <f aca="false">'CEMIUP0.9 Raw'!C675</f>
        <v>390B 39-42.גרב.כסף לסכרתיים שח</v>
      </c>
      <c r="D1528" s="19" t="n">
        <f aca="false">'CEMIUP0.9 Raw'!D675</f>
        <v>40</v>
      </c>
      <c r="E1528" s="19" t="n">
        <f aca="false">'CEMIUP0.9 Raw'!E675</f>
        <v>944</v>
      </c>
      <c r="F1528" s="19" t="n">
        <f aca="false">'CEMIUP0.9 Raw'!F675</f>
        <v>29.0526315789474</v>
      </c>
      <c r="G1528" s="19" t="n">
        <f aca="false">'CEMIUP0.9 Raw'!G675</f>
        <v>635.634947368421</v>
      </c>
      <c r="H1528" s="18" t="str">
        <f aca="false">'CEMIUP0.9 Raw'!A675</f>
        <v>113 - Kupat Holim Meuhedet</v>
      </c>
    </row>
    <row r="1529" customFormat="false" ht="15" hidden="false" customHeight="false" outlineLevel="0" collapsed="false">
      <c r="A1529" s="18" t="n">
        <f aca="false">'CEMIUP0.9 Raw'!B784</f>
        <v>4413061</v>
      </c>
      <c r="B1529" s="18" t="str">
        <f aca="false">'CEMIUP0.9 Raw'!C784</f>
        <v>3641 0</v>
      </c>
      <c r="C1529" s="18" t="str">
        <f aca="false">'CEMIUP0.9 Raw'!C784</f>
        <v>3641 0</v>
      </c>
      <c r="D1529" s="19" t="n">
        <f aca="false">'CEMIUP0.9 Raw'!D784</f>
        <v>199</v>
      </c>
      <c r="E1529" s="19" t="n">
        <f aca="false">'CEMIUP0.9 Raw'!E784</f>
        <v>2577.05</v>
      </c>
      <c r="F1529" s="19" t="n">
        <f aca="false">'CEMIUP0.9 Raw'!F784</f>
        <v>29.0526315789474</v>
      </c>
      <c r="G1529" s="19" t="n">
        <f aca="false">'CEMIUP0.9 Raw'!G784</f>
        <v>376.231578947368</v>
      </c>
      <c r="H1529" s="18" t="str">
        <f aca="false">'CEMIUP0.9 Raw'!A784</f>
        <v>113 - Kupat Holim Meuhedet</v>
      </c>
    </row>
    <row r="1530" customFormat="false" ht="15" hidden="false" customHeight="false" outlineLevel="0" collapsed="false">
      <c r="A1530" s="18" t="n">
        <f aca="false">'CEMIUP0.9 Raw'!B850</f>
        <v>4415298</v>
      </c>
      <c r="B1530" s="18" t="str">
        <f aca="false">'CEMIUP0.9 Raw'!C850</f>
        <v>388B L סד לילה שחור לבוהן שמאל</v>
      </c>
      <c r="C1530" s="18" t="str">
        <f aca="false">'CEMIUP0.9 Raw'!C850</f>
        <v>388B L סד לילה שחור לבוהן שמאל</v>
      </c>
      <c r="D1530" s="19" t="n">
        <f aca="false">'CEMIUP0.9 Raw'!D850</f>
        <v>43</v>
      </c>
      <c r="E1530" s="19" t="n">
        <f aca="false">'CEMIUP0.9 Raw'!E850</f>
        <v>1806</v>
      </c>
      <c r="F1530" s="19" t="n">
        <f aca="false">'CEMIUP0.9 Raw'!F850</f>
        <v>29.0526315789474</v>
      </c>
      <c r="G1530" s="19" t="n">
        <f aca="false">'CEMIUP0.9 Raw'!G850</f>
        <v>1143.81473684211</v>
      </c>
      <c r="H1530" s="18" t="str">
        <f aca="false">'CEMIUP0.9 Raw'!A850</f>
        <v>113 - Kupat Holim Meuhedet</v>
      </c>
    </row>
    <row r="1531" customFormat="false" ht="15" hidden="false" customHeight="false" outlineLevel="0" collapsed="false">
      <c r="A1531" s="18" t="n">
        <f aca="false">'CEMIUP0.9 Raw'!B1222</f>
        <v>4415080</v>
      </c>
      <c r="B1531" s="18" t="str">
        <f aca="false">'CEMIUP0.9 Raw'!C1222</f>
        <v>PD346-10 סכינים למקצוע</v>
      </c>
      <c r="C1531" s="18" t="str">
        <f aca="false">'CEMIUP0.9 Raw'!C1222</f>
        <v>PD346-10 סכינים למקצוע</v>
      </c>
      <c r="D1531" s="19" t="n">
        <f aca="false">'CEMIUP0.9 Raw'!D1222</f>
        <v>69</v>
      </c>
      <c r="E1531" s="19" t="n">
        <f aca="false">'CEMIUP0.9 Raw'!E1222</f>
        <v>513.604</v>
      </c>
      <c r="F1531" s="19" t="n">
        <f aca="false">'CEMIUP0.9 Raw'!F1222</f>
        <v>29.0526315789474</v>
      </c>
      <c r="G1531" s="19" t="n">
        <f aca="false">'CEMIUP0.9 Raw'!G1222</f>
        <v>216.216</v>
      </c>
      <c r="H1531" s="18" t="str">
        <f aca="false">'CEMIUP0.9 Raw'!A1222</f>
        <v>BE (CEMI internal group)</v>
      </c>
    </row>
    <row r="1532" customFormat="false" ht="15" hidden="false" customHeight="false" outlineLevel="0" collapsed="false">
      <c r="A1532" s="18" t="n">
        <f aca="false">'CEMIUP0.9 Raw'!B1365</f>
        <v>4408152</v>
      </c>
      <c r="B1532" s="18" t="str">
        <f aca="false">'CEMIUP0.9 Raw'!C1365</f>
        <v>11TO L חגורה למנותחי בית החזה</v>
      </c>
      <c r="C1532" s="18" t="str">
        <f aca="false">'CEMIUP0.9 Raw'!C1365</f>
        <v>11TO L חגורה למנותחי בית החזה</v>
      </c>
      <c r="D1532" s="19" t="n">
        <f aca="false">'CEMIUP0.9 Raw'!D1365</f>
        <v>10</v>
      </c>
      <c r="E1532" s="19" t="n">
        <f aca="false">'CEMIUP0.9 Raw'!E1365</f>
        <v>1186.913</v>
      </c>
      <c r="F1532" s="19" t="n">
        <f aca="false">'CEMIUP0.9 Raw'!F1365</f>
        <v>29.0526315789474</v>
      </c>
      <c r="G1532" s="19" t="n">
        <f aca="false">'CEMIUP0.9 Raw'!G1365</f>
        <v>3518.30905263158</v>
      </c>
      <c r="H1532" s="18" t="str">
        <f aca="false">'CEMIUP0.9 Raw'!A1365</f>
        <v>Super-Pharm Israel (CEMI internal group)</v>
      </c>
    </row>
    <row r="1533" customFormat="false" ht="15" hidden="false" customHeight="false" outlineLevel="0" collapsed="false">
      <c r="A1533" s="18" t="n">
        <f aca="false">'CEMIUP0.9 Raw'!B1428</f>
        <v>4411029</v>
      </c>
      <c r="B1533" s="18" t="str">
        <f aca="false">'CEMIUP0.9 Raw'!C1428</f>
        <v>213CTSR L ימין CTS כפפות</v>
      </c>
      <c r="C1533" s="18" t="str">
        <f aca="false">'CEMIUP0.9 Raw'!C1428</f>
        <v>213CTSR L ימין CTS כפפות</v>
      </c>
      <c r="D1533" s="19" t="n">
        <f aca="false">'CEMIUP0.9 Raw'!D1428</f>
        <v>0</v>
      </c>
      <c r="E1533" s="19" t="n">
        <f aca="false">'CEMIUP0.9 Raw'!E1428</f>
        <v>0</v>
      </c>
      <c r="F1533" s="19" t="n">
        <f aca="false">'CEMIUP0.9 Raw'!F1428</f>
        <v>29.0526315789474</v>
      </c>
      <c r="G1533" s="19" t="n">
        <f aca="false">'CEMIUP0.9 Raw'!G1428</f>
        <v>2643.09978947368</v>
      </c>
      <c r="H1533" s="18" t="str">
        <f aca="false">'CEMIUP0.9 Raw'!A1428</f>
        <v>Super-Pharm Israel (CEMI internal group)</v>
      </c>
    </row>
    <row r="1534" customFormat="false" ht="15" hidden="false" customHeight="false" outlineLevel="0" collapsed="false">
      <c r="A1534" s="18" t="n">
        <f aca="false">'CEMIUP0.9 Raw'!B1491</f>
        <v>4413113</v>
      </c>
      <c r="B1534" s="18" t="str">
        <f aca="false">'CEMIUP0.9 Raw'!C1491</f>
        <v>49  M מגן ירך</v>
      </c>
      <c r="C1534" s="18" t="str">
        <f aca="false">'CEMIUP0.9 Raw'!C1491</f>
        <v>49  M מגן ירך</v>
      </c>
      <c r="D1534" s="19" t="n">
        <f aca="false">'CEMIUP0.9 Raw'!D1491</f>
        <v>54</v>
      </c>
      <c r="E1534" s="19" t="n">
        <f aca="false">'CEMIUP0.9 Raw'!E1491</f>
        <v>1413.867</v>
      </c>
      <c r="F1534" s="19" t="n">
        <f aca="false">'CEMIUP0.9 Raw'!F1491</f>
        <v>29.0526315789474</v>
      </c>
      <c r="G1534" s="19" t="n">
        <f aca="false">'CEMIUP0.9 Raw'!G1491</f>
        <v>771.98652631579</v>
      </c>
      <c r="H1534" s="18" t="str">
        <f aca="false">'CEMIUP0.9 Raw'!A1491</f>
        <v>Super-Pharm Israel (CEMI internal group)</v>
      </c>
    </row>
    <row r="1535" customFormat="false" ht="15" hidden="false" customHeight="false" outlineLevel="0" collapsed="false">
      <c r="A1535" s="18" t="str">
        <f aca="false">'SALES Raw'!G581</f>
        <v/>
      </c>
      <c r="B1535" s="18" t="str">
        <f aca="false">'SALES Raw'!B581</f>
        <v>M93</v>
      </c>
      <c r="C1535" s="18" t="str">
        <f aca="false">'SALES Raw'!H581</f>
        <v>M93</v>
      </c>
      <c r="D1535" s="19" t="n">
        <f aca="false">'SALES Raw'!C581</f>
        <v>46</v>
      </c>
      <c r="E1535" s="19" t="n">
        <f aca="false">'SALES Raw'!D581</f>
        <v>1407.25</v>
      </c>
      <c r="F1535" s="19" t="n">
        <f aca="false">'SALES Raw'!E581*$H$4</f>
        <v>29.0526315789474</v>
      </c>
      <c r="G1535" s="19" t="n">
        <f aca="false">'SALES Raw'!F581*$H$4</f>
        <v>857.772631578947</v>
      </c>
      <c r="H1535" s="18" t="str">
        <f aca="false">'SALES Raw'!A581</f>
        <v>102 - Orthopedic institutes</v>
      </c>
    </row>
    <row r="1536" customFormat="false" ht="15" hidden="false" customHeight="false" outlineLevel="0" collapsed="false">
      <c r="A1536" s="18" t="str">
        <f aca="false">'SALES Raw'!G583</f>
        <v/>
      </c>
      <c r="B1536" s="18" t="str">
        <f aca="false">'SALES Raw'!B583</f>
        <v>SH776 L</v>
      </c>
      <c r="C1536" s="18" t="str">
        <f aca="false">'SALES Raw'!H583</f>
        <v>SH776 L</v>
      </c>
      <c r="D1536" s="19" t="n">
        <f aca="false">'SALES Raw'!C583</f>
        <v>0</v>
      </c>
      <c r="E1536" s="19" t="n">
        <f aca="false">'SALES Raw'!D583</f>
        <v>0</v>
      </c>
      <c r="F1536" s="19" t="n">
        <f aca="false">'SALES Raw'!E583*$H$4</f>
        <v>29.0526315789474</v>
      </c>
      <c r="G1536" s="19" t="n">
        <f aca="false">'SALES Raw'!F583*$H$4</f>
        <v>10200</v>
      </c>
      <c r="H1536" s="18" t="str">
        <f aca="false">'SALES Raw'!A583</f>
        <v>102 - Orthopedic institutes</v>
      </c>
    </row>
    <row r="1537" customFormat="false" ht="15" hidden="false" customHeight="false" outlineLevel="0" collapsed="false">
      <c r="A1537" s="18" t="n">
        <f aca="false">'SALES Raw'!G597</f>
        <v>4416000</v>
      </c>
      <c r="B1537" s="18" t="str">
        <f aca="false">'SALES Raw'!B597</f>
        <v>307 L</v>
      </c>
      <c r="C1537" s="18" t="str">
        <f aca="false">'SALES Raw'!H597</f>
        <v>307 L עקבים לדורבן-זוג כריות</v>
      </c>
      <c r="D1537" s="19" t="n">
        <f aca="false">'SALES Raw'!C597</f>
        <v>33</v>
      </c>
      <c r="E1537" s="19" t="n">
        <f aca="false">'SALES Raw'!D597</f>
        <v>2290.18</v>
      </c>
      <c r="F1537" s="19" t="n">
        <f aca="false">'SALES Raw'!E597*$H$4</f>
        <v>29.0526315789474</v>
      </c>
      <c r="G1537" s="19" t="n">
        <f aca="false">'SALES Raw'!F597*$H$4</f>
        <v>2318.82947368421</v>
      </c>
      <c r="H1537" s="18" t="str">
        <f aca="false">'SALES Raw'!A597</f>
        <v>102 - Orthopedic institutes</v>
      </c>
    </row>
    <row r="1538" customFormat="false" ht="15" hidden="false" customHeight="false" outlineLevel="0" collapsed="false">
      <c r="A1538" s="18" t="n">
        <f aca="false">'SALES Raw'!G689</f>
        <v>4408034</v>
      </c>
      <c r="B1538" s="18" t="str">
        <f aca="false">'SALES Raw'!B689</f>
        <v>11 XL</v>
      </c>
      <c r="C1538" s="18" t="str">
        <f aca="false">'SALES Raw'!H689</f>
        <v>11 XL""""חגורת בטן""""אורירית</v>
      </c>
      <c r="D1538" s="19" t="n">
        <f aca="false">'SALES Raw'!C689</f>
        <v>42</v>
      </c>
      <c r="E1538" s="19" t="n">
        <f aca="false">'SALES Raw'!D689</f>
        <v>3569.81</v>
      </c>
      <c r="F1538" s="19" t="n">
        <f aca="false">'SALES Raw'!E689*$H$4</f>
        <v>29.0526315789474</v>
      </c>
      <c r="G1538" s="19" t="n">
        <f aca="false">'SALES Raw'!F689*$H$4</f>
        <v>2469.23368421053</v>
      </c>
      <c r="H1538" s="18" t="str">
        <f aca="false">'SALES Raw'!A689</f>
        <v>102 - Orthopedic institutes</v>
      </c>
    </row>
    <row r="1539" customFormat="false" ht="15" hidden="false" customHeight="false" outlineLevel="0" collapsed="false">
      <c r="A1539" s="18" t="n">
        <f aca="false">'SALES Raw'!G2320</f>
        <v>4420001</v>
      </c>
      <c r="B1539" s="18" t="str">
        <f aca="false">'SALES Raw'!B2320</f>
        <v>371 0</v>
      </c>
      <c r="C1539" s="18" t="str">
        <f aca="false">'SALES Raw'!H2320</f>
        <v>371 רפידת מגבת כותנה-זוג</v>
      </c>
      <c r="D1539" s="19" t="n">
        <f aca="false">'SALES Raw'!C2320</f>
        <v>27</v>
      </c>
      <c r="E1539" s="19" t="n">
        <f aca="false">'SALES Raw'!D2320</f>
        <v>602.49</v>
      </c>
      <c r="F1539" s="19" t="n">
        <f aca="false">'SALES Raw'!E2320*$H$4</f>
        <v>29.0526315789474</v>
      </c>
      <c r="G1539" s="19" t="n">
        <f aca="false">'SALES Raw'!F2320*$H$4</f>
        <v>405.322105263158</v>
      </c>
      <c r="H1539" s="18" t="str">
        <f aca="false">'SALES Raw'!A2320</f>
        <v>114 - IL online</v>
      </c>
    </row>
    <row r="1540" customFormat="false" ht="15" hidden="false" customHeight="false" outlineLevel="0" collapsed="false">
      <c r="A1540" s="18" t="str">
        <f aca="false">'SALES Raw'!G2355</f>
        <v/>
      </c>
      <c r="B1540" s="18" t="str">
        <f aca="false">'SALES Raw'!B2355</f>
        <v>391W-43-46</v>
      </c>
      <c r="C1540" s="18" t="str">
        <f aca="false">'SALES Raw'!H2355</f>
        <v>391W-43-46</v>
      </c>
      <c r="D1540" s="19" t="n">
        <f aca="false">'SALES Raw'!C2355</f>
        <v>0</v>
      </c>
      <c r="E1540" s="19" t="n">
        <f aca="false">'SALES Raw'!D2355</f>
        <v>0</v>
      </c>
      <c r="F1540" s="19" t="n">
        <f aca="false">'SALES Raw'!E2355*$H$4</f>
        <v>29.0526315789474</v>
      </c>
      <c r="G1540" s="19" t="n">
        <f aca="false">'SALES Raw'!F2355*$H$4</f>
        <v>1535.40631578947</v>
      </c>
      <c r="H1540" s="18" t="str">
        <f aca="false">'SALES Raw'!A2355</f>
        <v>114 - IL online</v>
      </c>
    </row>
    <row r="1541" customFormat="false" ht="15" hidden="false" customHeight="false" outlineLevel="0" collapsed="false">
      <c r="A1541" s="18" t="n">
        <f aca="false">'SALES Raw'!G2599</f>
        <v>4413326</v>
      </c>
      <c r="B1541" s="18" t="str">
        <f aca="false">'SALES Raw'!B2599</f>
        <v>AC37 0</v>
      </c>
      <c r="C1541" s="18" t="str">
        <f aca="false">'SALES Raw'!H2599</f>
        <v>AC37 מגן קרסול נושם</v>
      </c>
      <c r="D1541" s="19" t="n">
        <f aca="false">'SALES Raw'!C2599</f>
        <v>17</v>
      </c>
      <c r="E1541" s="19" t="n">
        <f aca="false">'SALES Raw'!D2599</f>
        <v>1019.63</v>
      </c>
      <c r="F1541" s="19" t="n">
        <f aca="false">'SALES Raw'!E2599*$H$4</f>
        <v>29.0526315789474</v>
      </c>
      <c r="G1541" s="19" t="n">
        <f aca="false">'SALES Raw'!F2599*$H$4</f>
        <v>1856.02105263158</v>
      </c>
      <c r="H1541" s="18" t="str">
        <f aca="false">'SALES Raw'!A2599</f>
        <v>114 - IL online</v>
      </c>
    </row>
    <row r="1542" customFormat="false" ht="15" hidden="false" customHeight="false" outlineLevel="0" collapsed="false">
      <c r="A1542" s="18" t="n">
        <f aca="false">'SALES Raw'!G2688</f>
        <v>4402011</v>
      </c>
      <c r="B1542" s="18" t="str">
        <f aca="false">'SALES Raw'!B2688</f>
        <v>ST422 0</v>
      </c>
      <c r="C1542" s="18" t="str">
        <f aca="false">'SALES Raw'!H2688</f>
        <v>S-XLST422 מגן ברך+כרית ג'ל</v>
      </c>
      <c r="D1542" s="19" t="n">
        <f aca="false">'SALES Raw'!C2688</f>
        <v>24</v>
      </c>
      <c r="E1542" s="19" t="n">
        <f aca="false">'SALES Raw'!D2688</f>
        <v>3685.84</v>
      </c>
      <c r="F1542" s="19" t="n">
        <f aca="false">'SALES Raw'!E2688*$H$4</f>
        <v>29.0526315789474</v>
      </c>
      <c r="G1542" s="19" t="n">
        <f aca="false">'SALES Raw'!F2688*$H$4</f>
        <v>4729.14947368421</v>
      </c>
      <c r="H1542" s="18" t="str">
        <f aca="false">'SALES Raw'!A2688</f>
        <v>114 - IL online</v>
      </c>
    </row>
    <row r="1543" customFormat="false" ht="15" hidden="false" customHeight="false" outlineLevel="0" collapsed="false">
      <c r="A1543" s="18" t="n">
        <f aca="false">'SALES Raw'!G3039</f>
        <v>4408145</v>
      </c>
      <c r="B1543" s="18" t="str">
        <f aca="false">'SALES Raw'!B3039</f>
        <v>11PS S</v>
      </c>
      <c r="C1543" s="18" t="str">
        <f aca="false">'SALES Raw'!H3039</f>
        <v>11PS Sחגורה למנותחי בטן</v>
      </c>
      <c r="D1543" s="19" t="n">
        <f aca="false">'SALES Raw'!C3039</f>
        <v>24</v>
      </c>
      <c r="E1543" s="19" t="n">
        <f aca="false">'SALES Raw'!D3039</f>
        <v>1279.11</v>
      </c>
      <c r="F1543" s="19" t="n">
        <f aca="false">'SALES Raw'!E3039*$H$4</f>
        <v>29.0526315789474</v>
      </c>
      <c r="G1543" s="19" t="n">
        <f aca="false">'SALES Raw'!F3039*$H$4</f>
        <v>1438.63578947368</v>
      </c>
      <c r="H1543" s="18" t="str">
        <f aca="false">'SALES Raw'!A3039</f>
        <v>203 - Ortho- Partner ag SWITZERLAND</v>
      </c>
    </row>
    <row r="1544" customFormat="false" ht="15" hidden="false" customHeight="false" outlineLevel="0" collapsed="false">
      <c r="A1544" s="18" t="n">
        <f aca="false">'SALES Raw'!G3052</f>
        <v>4408047</v>
      </c>
      <c r="B1544" s="18" t="str">
        <f aca="false">'SALES Raw'!B3052</f>
        <v>20 M</v>
      </c>
      <c r="C1544" s="18" t="str">
        <f aca="false">'SALES Raw'!H3052</f>
        <v>20 M חבק יד מתכוון עם צמדן</v>
      </c>
      <c r="D1544" s="19" t="n">
        <f aca="false">'SALES Raw'!C3052</f>
        <v>12</v>
      </c>
      <c r="E1544" s="19" t="n">
        <f aca="false">'SALES Raw'!D3052</f>
        <v>165</v>
      </c>
      <c r="F1544" s="19" t="n">
        <f aca="false">'SALES Raw'!E3052*$H$4</f>
        <v>29.0526315789474</v>
      </c>
      <c r="G1544" s="19" t="n">
        <f aca="false">'SALES Raw'!F3052*$H$4</f>
        <v>375.107368421053</v>
      </c>
      <c r="H1544" s="18" t="str">
        <f aca="false">'SALES Raw'!A3052</f>
        <v>203 - Ortho- Partner ag SWITZERLAND</v>
      </c>
    </row>
    <row r="1545" customFormat="false" ht="15" hidden="false" customHeight="false" outlineLevel="0" collapsed="false">
      <c r="A1545" s="18" t="n">
        <f aca="false">'SALES Raw'!G557</f>
        <v>4413098</v>
      </c>
      <c r="B1545" s="18" t="str">
        <f aca="false">'SALES Raw'!B557</f>
        <v>45C L</v>
      </c>
      <c r="C1545" s="18" t="str">
        <f aca="false">'SALES Raw'!H557</f>
        <v>45C L מגן ברך חום</v>
      </c>
      <c r="D1545" s="19" t="n">
        <f aca="false">'SALES Raw'!C557</f>
        <v>44</v>
      </c>
      <c r="E1545" s="19" t="n">
        <f aca="false">'SALES Raw'!D557</f>
        <v>1320.36</v>
      </c>
      <c r="F1545" s="19" t="n">
        <f aca="false">'SALES Raw'!E557*$H$4</f>
        <v>27.7894736842105</v>
      </c>
      <c r="G1545" s="19" t="n">
        <f aca="false">'SALES Raw'!F557*$H$4</f>
        <v>768.050526315789</v>
      </c>
      <c r="H1545" s="18" t="str">
        <f aca="false">'SALES Raw'!A557</f>
        <v>102 - Orthopedic institutes</v>
      </c>
    </row>
    <row r="1546" customFormat="false" ht="15" hidden="false" customHeight="false" outlineLevel="0" collapsed="false">
      <c r="A1546" s="18" t="n">
        <f aca="false">'SALES Raw'!G578</f>
        <v>4413518</v>
      </c>
      <c r="B1546" s="18" t="str">
        <f aca="false">'SALES Raw'!B578</f>
        <v>85B XL</v>
      </c>
      <c r="C1546" s="18" t="str">
        <f aca="false">'SALES Raw'!H578</f>
        <v>85B XL מתלה רשת לזרוע שחור</v>
      </c>
      <c r="D1546" s="19" t="n">
        <f aca="false">'SALES Raw'!C578</f>
        <v>50</v>
      </c>
      <c r="E1546" s="19" t="n">
        <f aca="false">'SALES Raw'!D578</f>
        <v>2557.39</v>
      </c>
      <c r="F1546" s="19" t="n">
        <f aca="false">'SALES Raw'!E578*$H$4</f>
        <v>27.7894736842105</v>
      </c>
      <c r="G1546" s="19" t="n">
        <f aca="false">'SALES Raw'!F578*$H$4</f>
        <v>1361.62105263158</v>
      </c>
      <c r="H1546" s="18" t="str">
        <f aca="false">'SALES Raw'!A578</f>
        <v>102 - Orthopedic institutes</v>
      </c>
    </row>
    <row r="1547" customFormat="false" ht="15" hidden="false" customHeight="false" outlineLevel="0" collapsed="false">
      <c r="A1547" s="18" t="n">
        <f aca="false">'SALES Raw'!G589</f>
        <v>4422004</v>
      </c>
      <c r="B1547" s="18" t="str">
        <f aca="false">'SALES Raw'!B589</f>
        <v>T78 S</v>
      </c>
      <c r="C1547" s="18" t="str">
        <f aca="false">'SALES Raw'!H589</f>
        <v>T78 S תומך זרוע וכתף</v>
      </c>
      <c r="D1547" s="19" t="n">
        <f aca="false">'SALES Raw'!C589</f>
        <v>43</v>
      </c>
      <c r="E1547" s="19" t="n">
        <f aca="false">'SALES Raw'!D589</f>
        <v>5576.92</v>
      </c>
      <c r="F1547" s="19" t="n">
        <f aca="false">'SALES Raw'!E589*$H$4</f>
        <v>27.7894736842105</v>
      </c>
      <c r="G1547" s="19" t="n">
        <f aca="false">'SALES Raw'!F589*$H$4</f>
        <v>3612.53052631579</v>
      </c>
      <c r="H1547" s="18" t="str">
        <f aca="false">'SALES Raw'!A589</f>
        <v>102 - Orthopedic institutes</v>
      </c>
    </row>
    <row r="1548" customFormat="false" ht="15" hidden="false" customHeight="false" outlineLevel="0" collapsed="false">
      <c r="A1548" s="18" t="n">
        <f aca="false">'SALES Raw'!G598</f>
        <v>4416001</v>
      </c>
      <c r="B1548" s="18" t="str">
        <f aca="false">'SALES Raw'!B598</f>
        <v>307 M</v>
      </c>
      <c r="C1548" s="18" t="str">
        <f aca="false">'SALES Raw'!H598</f>
        <v>307 M עקבים לדורבן-זוג כריות</v>
      </c>
      <c r="D1548" s="19" t="n">
        <f aca="false">'SALES Raw'!C598</f>
        <v>24</v>
      </c>
      <c r="E1548" s="19" t="n">
        <f aca="false">'SALES Raw'!D598</f>
        <v>1661.55</v>
      </c>
      <c r="F1548" s="19" t="n">
        <f aca="false">'SALES Raw'!E598*$H$4</f>
        <v>27.7894736842105</v>
      </c>
      <c r="G1548" s="19" t="n">
        <f aca="false">'SALES Raw'!F598*$H$4</f>
        <v>2178.96</v>
      </c>
      <c r="H1548" s="18" t="str">
        <f aca="false">'SALES Raw'!A598</f>
        <v>102 - Orthopedic institutes</v>
      </c>
    </row>
    <row r="1549" customFormat="false" ht="15" hidden="false" customHeight="false" outlineLevel="0" collapsed="false">
      <c r="A1549" s="18" t="n">
        <f aca="false">'SALES Raw'!G690</f>
        <v>4408035</v>
      </c>
      <c r="B1549" s="18" t="str">
        <f aca="false">'SALES Raw'!B690</f>
        <v>11 XXL</v>
      </c>
      <c r="C1549" s="18" t="str">
        <f aca="false">'SALES Raw'!H690</f>
        <v>11 XXL""""חגורת בטן""""אורירית</v>
      </c>
      <c r="D1549" s="19" t="n">
        <f aca="false">'SALES Raw'!C690</f>
        <v>40</v>
      </c>
      <c r="E1549" s="19" t="n">
        <f aca="false">'SALES Raw'!D690</f>
        <v>3739.29</v>
      </c>
      <c r="F1549" s="19" t="n">
        <f aca="false">'SALES Raw'!E690*$H$4</f>
        <v>27.7894736842105</v>
      </c>
      <c r="G1549" s="19" t="n">
        <f aca="false">'SALES Raw'!F690*$H$4</f>
        <v>2361.81473684211</v>
      </c>
      <c r="H1549" s="18" t="str">
        <f aca="false">'SALES Raw'!A690</f>
        <v>102 - Orthopedic institutes</v>
      </c>
    </row>
    <row r="1550" customFormat="false" ht="15" hidden="false" customHeight="false" outlineLevel="0" collapsed="false">
      <c r="A1550" s="18" t="n">
        <f aca="false">'SALES Raw'!G802</f>
        <v>4413133</v>
      </c>
      <c r="B1550" s="18" t="str">
        <f aca="false">'SALES Raw'!B802</f>
        <v>76 M</v>
      </c>
      <c r="C1550" s="18" t="str">
        <f aca="false">'SALES Raw'!H802</f>
        <v>76 Mמיישר כתף יציב,יישור רחב</v>
      </c>
      <c r="D1550" s="19" t="n">
        <f aca="false">'SALES Raw'!C802</f>
        <v>27</v>
      </c>
      <c r="E1550" s="19" t="n">
        <f aca="false">'SALES Raw'!D802</f>
        <v>4176.06</v>
      </c>
      <c r="F1550" s="19" t="n">
        <f aca="false">'SALES Raw'!E802*$H$4</f>
        <v>27.7894736842105</v>
      </c>
      <c r="G1550" s="19" t="n">
        <f aca="false">'SALES Raw'!F802*$H$4</f>
        <v>4446.36631578947</v>
      </c>
      <c r="H1550" s="18" t="str">
        <f aca="false">'SALES Raw'!A802</f>
        <v>102 - Orthopedic institutes</v>
      </c>
    </row>
    <row r="1551" customFormat="false" ht="15" hidden="false" customHeight="false" outlineLevel="0" collapsed="false">
      <c r="A1551" s="18" t="n">
        <f aca="false">'SALES Raw'!G976</f>
        <v>4415028</v>
      </c>
      <c r="B1551" s="18" t="str">
        <f aca="false">'SALES Raw'!B976</f>
        <v>AC28 0</v>
      </c>
      <c r="C1551" s="18" t="str">
        <f aca="false">'SALES Raw'!H976</f>
        <v>AC-28 סד לאגודל</v>
      </c>
      <c r="D1551" s="19" t="n">
        <f aca="false">'SALES Raw'!C976</f>
        <v>28</v>
      </c>
      <c r="E1551" s="19" t="n">
        <f aca="false">'SALES Raw'!D976</f>
        <v>993.22</v>
      </c>
      <c r="F1551" s="19" t="n">
        <f aca="false">'SALES Raw'!E976*$H$4</f>
        <v>27.7894736842105</v>
      </c>
      <c r="G1551" s="19" t="n">
        <f aca="false">'SALES Raw'!F976*$H$4</f>
        <v>1170.93473684211</v>
      </c>
      <c r="H1551" s="18" t="str">
        <f aca="false">'SALES Raw'!A976</f>
        <v>102 - Orthopedic institutes</v>
      </c>
    </row>
    <row r="1552" customFormat="false" ht="15" hidden="false" customHeight="false" outlineLevel="0" collapsed="false">
      <c r="A1552" s="18" t="str">
        <f aca="false">'SALES Raw'!G1573</f>
        <v/>
      </c>
      <c r="B1552" s="18" t="str">
        <f aca="false">'SALES Raw'!B1573</f>
        <v>621B-M</v>
      </c>
      <c r="C1552" s="18" t="str">
        <f aca="false">'SALES Raw'!H1573</f>
        <v>621B-M</v>
      </c>
      <c r="D1552" s="19" t="n">
        <f aca="false">'SALES Raw'!C1573</f>
        <v>0</v>
      </c>
      <c r="E1552" s="19" t="n">
        <f aca="false">'SALES Raw'!D1573</f>
        <v>0</v>
      </c>
      <c r="F1552" s="19" t="n">
        <f aca="false">'SALES Raw'!E1573*$H$4</f>
        <v>27.7894736842105</v>
      </c>
      <c r="G1552" s="19" t="n">
        <f aca="false">'SALES Raw'!F1573*$H$4</f>
        <v>1822.21894736842</v>
      </c>
      <c r="H1552" s="18" t="str">
        <f aca="false">'SALES Raw'!A1573</f>
        <v>103 - Physiotherapy institutes</v>
      </c>
    </row>
    <row r="1553" customFormat="false" ht="15" hidden="false" customHeight="false" outlineLevel="0" collapsed="false">
      <c r="A1553" s="18" t="n">
        <f aca="false">'SALES Raw'!G1799</f>
        <v>4420003</v>
      </c>
      <c r="B1553" s="18" t="str">
        <f aca="false">'SALES Raw'!B1799</f>
        <v>374 0</v>
      </c>
      <c r="C1553" s="18" t="str">
        <f aca="false">'SALES Raw'!H1799</f>
        <v>374 רפידת בולמת זעזועים -זוג</v>
      </c>
      <c r="D1553" s="19" t="n">
        <f aca="false">'SALES Raw'!C1799</f>
        <v>78</v>
      </c>
      <c r="E1553" s="19" t="n">
        <f aca="false">'SALES Raw'!D1799</f>
        <v>1059.78</v>
      </c>
      <c r="F1553" s="19" t="n">
        <f aca="false">'SALES Raw'!E1799*$H$4</f>
        <v>27.7894736842105</v>
      </c>
      <c r="G1553" s="19" t="n">
        <f aca="false">'SALES Raw'!F1799*$H$4</f>
        <v>402.543157894737</v>
      </c>
      <c r="H1553" s="18" t="str">
        <f aca="false">'SALES Raw'!A1799</f>
        <v>109 - Private Shops</v>
      </c>
    </row>
    <row r="1554" customFormat="false" ht="15" hidden="false" customHeight="false" outlineLevel="0" collapsed="false">
      <c r="A1554" s="18" t="str">
        <f aca="false">'SALES Raw'!G2351</f>
        <v/>
      </c>
      <c r="B1554" s="18" t="str">
        <f aca="false">'SALES Raw'!B2351</f>
        <v>391B-39-42</v>
      </c>
      <c r="C1554" s="18" t="str">
        <f aca="false">'SALES Raw'!H2351</f>
        <v>391B-39-42</v>
      </c>
      <c r="D1554" s="19" t="n">
        <f aca="false">'SALES Raw'!C2351</f>
        <v>0</v>
      </c>
      <c r="E1554" s="19" t="n">
        <f aca="false">'SALES Raw'!D2351</f>
        <v>0</v>
      </c>
      <c r="F1554" s="19" t="n">
        <f aca="false">'SALES Raw'!E2351*$H$4</f>
        <v>27.7894736842105</v>
      </c>
      <c r="G1554" s="19" t="n">
        <f aca="false">'SALES Raw'!F2351*$H$4</f>
        <v>1523.38105263158</v>
      </c>
      <c r="H1554" s="18" t="str">
        <f aca="false">'SALES Raw'!A2351</f>
        <v>114 - IL online</v>
      </c>
    </row>
    <row r="1555" customFormat="false" ht="15" hidden="false" customHeight="false" outlineLevel="0" collapsed="false">
      <c r="A1555" s="18" t="n">
        <f aca="false">'SALES Raw'!G2667</f>
        <v>4413408</v>
      </c>
      <c r="B1555" s="18" t="str">
        <f aca="false">'SALES Raw'!B2667</f>
        <v>SC95 XL</v>
      </c>
      <c r="C1555" s="18" t="str">
        <f aca="false">'SALES Raw'!H2667</f>
        <v>SC95 XLמגן מרפק</v>
      </c>
      <c r="D1555" s="19" t="n">
        <f aca="false">'SALES Raw'!C2667</f>
        <v>17</v>
      </c>
      <c r="E1555" s="19" t="n">
        <f aca="false">'SALES Raw'!D2667</f>
        <v>2215.35</v>
      </c>
      <c r="F1555" s="19" t="n">
        <f aca="false">'SALES Raw'!E2667*$H$4</f>
        <v>27.7894736842105</v>
      </c>
      <c r="G1555" s="19" t="n">
        <f aca="false">'SALES Raw'!F2667*$H$4</f>
        <v>4301.17894736842</v>
      </c>
      <c r="H1555" s="18" t="str">
        <f aca="false">'SALES Raw'!A2667</f>
        <v>114 - IL online</v>
      </c>
    </row>
    <row r="1556" customFormat="false" ht="15" hidden="false" customHeight="false" outlineLevel="0" collapsed="false">
      <c r="A1556" s="18" t="str">
        <f aca="false">'SALES Raw'!G2736</f>
        <v/>
      </c>
      <c r="B1556" s="18" t="str">
        <f aca="false">'SALES Raw'!B2736</f>
        <v>T40B 0</v>
      </c>
      <c r="C1556" s="18" t="str">
        <f aca="false">'SALES Raw'!H2736</f>
        <v>T40B 0</v>
      </c>
      <c r="D1556" s="19" t="n">
        <f aca="false">'SALES Raw'!C2736</f>
        <v>15</v>
      </c>
      <c r="E1556" s="19" t="n">
        <f aca="false">'SALES Raw'!D2736</f>
        <v>2057.92</v>
      </c>
      <c r="F1556" s="19" t="n">
        <f aca="false">'SALES Raw'!E2736*$H$4</f>
        <v>27.7894736842105</v>
      </c>
      <c r="G1556" s="19" t="n">
        <f aca="false">'SALES Raw'!F2736*$H$4</f>
        <v>4040.45052631579</v>
      </c>
      <c r="H1556" s="18" t="str">
        <f aca="false">'SALES Raw'!A2736</f>
        <v>114 - IL online</v>
      </c>
    </row>
    <row r="1557" customFormat="false" ht="15" hidden="false" customHeight="false" outlineLevel="0" collapsed="false">
      <c r="A1557" s="18" t="str">
        <f aca="false">'SALES Raw'!G3091</f>
        <v/>
      </c>
      <c r="B1557" s="18" t="str">
        <f aca="false">'SALES Raw'!B3091</f>
        <v>49PS S</v>
      </c>
      <c r="C1557" s="18" t="str">
        <f aca="false">'SALES Raw'!H3091</f>
        <v>49PS S</v>
      </c>
      <c r="D1557" s="19" t="n">
        <f aca="false">'SALES Raw'!C3091</f>
        <v>97</v>
      </c>
      <c r="E1557" s="19" t="n">
        <f aca="false">'SALES Raw'!D3091</f>
        <v>5547.16</v>
      </c>
      <c r="F1557" s="19" t="n">
        <f aca="false">'SALES Raw'!E3091*$H$4</f>
        <v>27.7894736842105</v>
      </c>
      <c r="G1557" s="19" t="n">
        <f aca="false">'SALES Raw'!F3091*$H$4</f>
        <v>1641.17052631579</v>
      </c>
      <c r="H1557" s="18" t="str">
        <f aca="false">'SALES Raw'!A3091</f>
        <v>203 - Ortho- Partner ag SWITZERLAND</v>
      </c>
    </row>
    <row r="1558" customFormat="false" ht="15" hidden="false" customHeight="false" outlineLevel="0" collapsed="false">
      <c r="A1558" s="18" t="str">
        <f aca="false">'SALES Raw'!G3130</f>
        <v/>
      </c>
      <c r="B1558" s="18" t="str">
        <f aca="false">'SALES Raw'!B3130</f>
        <v>T43V S</v>
      </c>
      <c r="C1558" s="18" t="str">
        <f aca="false">'SALES Raw'!H3130</f>
        <v>T43V S</v>
      </c>
      <c r="D1558" s="19" t="n">
        <f aca="false">'SALES Raw'!C3130</f>
        <v>96</v>
      </c>
      <c r="E1558" s="19" t="n">
        <f aca="false">'SALES Raw'!D3130</f>
        <v>11266.98</v>
      </c>
      <c r="F1558" s="19" t="n">
        <f aca="false">'SALES Raw'!E3130*$H$4</f>
        <v>27.7894736842105</v>
      </c>
      <c r="G1558" s="19" t="n">
        <f aca="false">'SALES Raw'!F3130*$H$4</f>
        <v>3168.37894736842</v>
      </c>
      <c r="H1558" s="18" t="str">
        <f aca="false">'SALES Raw'!A3130</f>
        <v>203 - Ortho- Partner ag SWITZERLAND</v>
      </c>
    </row>
    <row r="1559" customFormat="false" ht="15" hidden="false" customHeight="false" outlineLevel="0" collapsed="false">
      <c r="A1559" s="18" t="n">
        <f aca="false">'SALES Raw'!G3201</f>
        <v>4413044</v>
      </c>
      <c r="B1559" s="18" t="str">
        <f aca="false">'SALES Raw'!B3201</f>
        <v>34 XL</v>
      </c>
      <c r="C1559" s="18" t="str">
        <f aca="false">'SALES Raw'!H3201</f>
        <v>34 XL מגן קרסול עקב סגור</v>
      </c>
      <c r="D1559" s="19" t="n">
        <f aca="false">'SALES Raw'!C3201</f>
        <v>16</v>
      </c>
      <c r="E1559" s="19" t="n">
        <f aca="false">'SALES Raw'!D3201</f>
        <v>330.11</v>
      </c>
      <c r="F1559" s="19" t="n">
        <f aca="false">'SALES Raw'!E3201*$H$4</f>
        <v>27.7894736842105</v>
      </c>
      <c r="G1559" s="19" t="n">
        <f aca="false">'SALES Raw'!F3201*$H$4</f>
        <v>521.557894736842</v>
      </c>
      <c r="H1559" s="18" t="str">
        <f aca="false">'SALES Raw'!A3201</f>
        <v>204 - Sanaflex Anatomic GREECE</v>
      </c>
    </row>
    <row r="1560" customFormat="false" ht="15" hidden="false" customHeight="false" outlineLevel="0" collapsed="false">
      <c r="A1560" s="18" t="n">
        <f aca="false">'SALES Raw'!G3274</f>
        <v>4413124</v>
      </c>
      <c r="B1560" s="18" t="str">
        <f aca="false">'SALES Raw'!B3274</f>
        <v>55 XL</v>
      </c>
      <c r="C1560" s="18" t="str">
        <f aca="false">'SALES Raw'!H3274</f>
        <v>55 XL מתלה אשכים לספורטאים</v>
      </c>
      <c r="D1560" s="19" t="n">
        <f aca="false">'SALES Raw'!C3274</f>
        <v>31</v>
      </c>
      <c r="E1560" s="19" t="n">
        <f aca="false">'SALES Raw'!D3274</f>
        <v>991.17</v>
      </c>
      <c r="F1560" s="19" t="n">
        <f aca="false">'SALES Raw'!E3274*$H$4</f>
        <v>27.7894736842105</v>
      </c>
      <c r="G1560" s="19" t="n">
        <f aca="false">'SALES Raw'!F3274*$H$4</f>
        <v>805.313684210526</v>
      </c>
      <c r="H1560" s="18" t="str">
        <f aca="false">'SALES Raw'!A3274</f>
        <v>204 - Sanaflex Anatomic GREECE</v>
      </c>
    </row>
    <row r="1561" customFormat="false" ht="15" hidden="false" customHeight="false" outlineLevel="0" collapsed="false">
      <c r="A1561" s="18" t="n">
        <f aca="false">'SALES Raw'!G3338</f>
        <v>4413533</v>
      </c>
      <c r="B1561" s="18" t="str">
        <f aca="false">'SALES Raw'!B3338</f>
        <v>ST49 0</v>
      </c>
      <c r="C1561" s="18" t="str">
        <f aca="false">'SALES Raw'!H3338</f>
        <v>ST49 מגן ירך</v>
      </c>
      <c r="D1561" s="19" t="n">
        <f aca="false">'SALES Raw'!C3338</f>
        <v>28</v>
      </c>
      <c r="E1561" s="19" t="n">
        <f aca="false">'SALES Raw'!D3338</f>
        <v>454.61</v>
      </c>
      <c r="F1561" s="19" t="n">
        <f aca="false">'SALES Raw'!E3338*$H$4</f>
        <v>27.7894736842105</v>
      </c>
      <c r="G1561" s="19" t="n">
        <f aca="false">'SALES Raw'!F3338*$H$4</f>
        <v>407.949473684211</v>
      </c>
      <c r="H1561" s="18" t="str">
        <f aca="false">'SALES Raw'!A3338</f>
        <v>204 - Sanaflex Anatomic GREECE</v>
      </c>
    </row>
    <row r="1562" customFormat="false" ht="15" hidden="false" customHeight="false" outlineLevel="0" collapsed="false">
      <c r="A1562" s="18" t="n">
        <f aca="false">'SALES Raw'!G3787</f>
        <v>4411029</v>
      </c>
      <c r="B1562" s="18" t="str">
        <f aca="false">'SALES Raw'!B3787</f>
        <v>213CTSR L</v>
      </c>
      <c r="C1562" s="18" t="str">
        <f aca="false">'SALES Raw'!H3787</f>
        <v>213CTSR L ימין CTS כפפות</v>
      </c>
      <c r="D1562" s="19" t="n">
        <f aca="false">'SALES Raw'!C3787</f>
        <v>0</v>
      </c>
      <c r="E1562" s="19" t="n">
        <f aca="false">'SALES Raw'!D3787</f>
        <v>0</v>
      </c>
      <c r="F1562" s="19" t="n">
        <f aca="false">'SALES Raw'!E3787*$H$4</f>
        <v>27.7894736842105</v>
      </c>
      <c r="G1562" s="19" t="n">
        <f aca="false">'SALES Raw'!F3787*$H$4</f>
        <v>1206.12631578947</v>
      </c>
      <c r="H1562" s="18" t="str">
        <f aca="false">'SALES Raw'!A3787</f>
        <v>209 - Ortoprofil Prod ROMANIA</v>
      </c>
    </row>
    <row r="1563" customFormat="false" ht="15" hidden="false" customHeight="false" outlineLevel="0" collapsed="false">
      <c r="A1563" s="18" t="n">
        <f aca="false">'SALES Raw'!G4086</f>
        <v>4413161</v>
      </c>
      <c r="B1563" s="18" t="str">
        <f aca="false">'SALES Raw'!B4086</f>
        <v>34+ L</v>
      </c>
      <c r="C1563" s="18" t="str">
        <f aca="false">'SALES Raw'!H4086</f>
        <v>34+ L מגן קרסול עקב סגור+רצוע</v>
      </c>
      <c r="D1563" s="19" t="n">
        <f aca="false">'SALES Raw'!C4086</f>
        <v>27</v>
      </c>
      <c r="E1563" s="19" t="n">
        <f aca="false">'SALES Raw'!D4086</f>
        <v>858.7</v>
      </c>
      <c r="F1563" s="19" t="n">
        <f aca="false">'SALES Raw'!E4086*$H$4</f>
        <v>27.7894736842105</v>
      </c>
      <c r="G1563" s="19" t="n">
        <f aca="false">'SALES Raw'!F4086*$H$4</f>
        <v>815.204210526316</v>
      </c>
      <c r="H1563" s="18" t="str">
        <f aca="false">'SALES Raw'!A4086</f>
        <v>213 - E.f.m.o. SPAIN</v>
      </c>
    </row>
    <row r="1564" customFormat="false" ht="15" hidden="false" customHeight="false" outlineLevel="0" collapsed="false">
      <c r="A1564" s="18" t="n">
        <f aca="false">'SALES Raw'!G4140</f>
        <v>4413329</v>
      </c>
      <c r="B1564" s="18" t="str">
        <f aca="false">'SALES Raw'!B4140</f>
        <v>AC45X 0</v>
      </c>
      <c r="C1564" s="18" t="str">
        <f aca="false">'SALES Raw'!H4140</f>
        <v>AC45X מגן ברך עם תמיכות</v>
      </c>
      <c r="D1564" s="19" t="n">
        <f aca="false">'SALES Raw'!C4140</f>
        <v>515</v>
      </c>
      <c r="E1564" s="19" t="n">
        <f aca="false">'SALES Raw'!D4140</f>
        <v>19712.86</v>
      </c>
      <c r="F1564" s="19" t="n">
        <f aca="false">'SALES Raw'!E4140*$H$4</f>
        <v>27.7894736842105</v>
      </c>
      <c r="G1564" s="19" t="n">
        <f aca="false">'SALES Raw'!F4140*$H$4</f>
        <v>951.246315789474</v>
      </c>
      <c r="H1564" s="18" t="str">
        <f aca="false">'SALES Raw'!A4140</f>
        <v>214 - Alfred Gera&amp; Sons Ltd. MALTA</v>
      </c>
    </row>
    <row r="1565" customFormat="false" ht="15" hidden="false" customHeight="false" outlineLevel="0" collapsed="false">
      <c r="A1565" s="18" t="str">
        <f aca="false">'SALES Raw'!G4200</f>
        <v/>
      </c>
      <c r="B1565" s="18" t="str">
        <f aca="false">'SALES Raw'!B4200</f>
        <v>305-37-38</v>
      </c>
      <c r="C1565" s="18" t="str">
        <f aca="false">'SALES Raw'!H4200</f>
        <v>305-37-38</v>
      </c>
      <c r="D1565" s="19" t="n">
        <f aca="false">'SALES Raw'!C4200</f>
        <v>12</v>
      </c>
      <c r="E1565" s="19" t="n">
        <f aca="false">'SALES Raw'!D4200</f>
        <v>474.09</v>
      </c>
      <c r="F1565" s="19" t="n">
        <f aca="false">'SALES Raw'!E4200*$H$4</f>
        <v>27.7894736842105</v>
      </c>
      <c r="G1565" s="19" t="n">
        <f aca="false">'SALES Raw'!F4200*$H$4</f>
        <v>960.467368421053</v>
      </c>
      <c r="H1565" s="18" t="str">
        <f aca="false">'SALES Raw'!A4200</f>
        <v>216 - Max Konnaris CYPRUS</v>
      </c>
    </row>
    <row r="1566" customFormat="false" ht="15" hidden="false" customHeight="false" outlineLevel="0" collapsed="false">
      <c r="A1566" s="18" t="n">
        <f aca="false">'SALES Raw'!G4339</f>
        <v>4408205</v>
      </c>
      <c r="B1566" s="18" t="str">
        <f aca="false">'SALES Raw'!B4339</f>
        <v>AC07 0</v>
      </c>
      <c r="C1566" s="18" t="str">
        <f aca="false">'SALES Raw'!H4339</f>
        <v>AC-07 חגורת גב עם תמיכות</v>
      </c>
      <c r="D1566" s="19" t="n">
        <f aca="false">'SALES Raw'!C4339</f>
        <v>10</v>
      </c>
      <c r="E1566" s="19" t="n">
        <f aca="false">'SALES Raw'!D4339</f>
        <v>438.21</v>
      </c>
      <c r="F1566" s="19" t="n">
        <f aca="false">'SALES Raw'!E4339*$H$4</f>
        <v>27.7894736842105</v>
      </c>
      <c r="G1566" s="19" t="n">
        <f aca="false">'SALES Raw'!F4339*$H$4</f>
        <v>1112.90526315789</v>
      </c>
      <c r="H1566" s="18" t="str">
        <f aca="false">'SALES Raw'!A4339</f>
        <v>216 - Max Konnaris CYPRUS</v>
      </c>
    </row>
    <row r="1567" customFormat="false" ht="15" hidden="false" customHeight="false" outlineLevel="0" collapsed="false">
      <c r="A1567" s="18" t="str">
        <f aca="false">'SALES Raw'!G4377</f>
        <v/>
      </c>
      <c r="B1567" s="18" t="str">
        <f aca="false">'SALES Raw'!B4377</f>
        <v>ST27R 0</v>
      </c>
      <c r="C1567" s="18" t="str">
        <f aca="false">'SALES Raw'!H4377</f>
        <v>ST27R 0</v>
      </c>
      <c r="D1567" s="19" t="n">
        <f aca="false">'SALES Raw'!C4377</f>
        <v>40</v>
      </c>
      <c r="E1567" s="19" t="n">
        <f aca="false">'SALES Raw'!D4377</f>
        <v>780.98</v>
      </c>
      <c r="F1567" s="19" t="n">
        <f aca="false">'SALES Raw'!E4377*$H$4</f>
        <v>27.7894736842105</v>
      </c>
      <c r="G1567" s="19" t="n">
        <f aca="false">'SALES Raw'!F4377*$H$4</f>
        <v>451.768421052632</v>
      </c>
      <c r="H1567" s="18" t="str">
        <f aca="false">'SALES Raw'!A4377</f>
        <v>216 - Max Konnaris CYPRUS</v>
      </c>
    </row>
    <row r="1568" customFormat="false" ht="15" hidden="false" customHeight="false" outlineLevel="0" collapsed="false">
      <c r="A1568" s="18" t="str">
        <f aca="false">'SALES Raw'!G4448</f>
        <v/>
      </c>
      <c r="B1568" s="18" t="str">
        <f aca="false">'SALES Raw'!B4448</f>
        <v>EC-59DB XL</v>
      </c>
      <c r="C1568" s="18" t="str">
        <f aca="false">'SALES Raw'!H4448</f>
        <v>EC-59DB XL</v>
      </c>
      <c r="D1568" s="19" t="n">
        <f aca="false">'SALES Raw'!C4448</f>
        <v>7</v>
      </c>
      <c r="E1568" s="19" t="n">
        <f aca="false">'SALES Raw'!D4448</f>
        <v>1289.35</v>
      </c>
      <c r="F1568" s="19" t="n">
        <f aca="false">'SALES Raw'!E4448*$H$4</f>
        <v>27.7894736842105</v>
      </c>
      <c r="G1568" s="19" t="n">
        <f aca="false">'SALES Raw'!F4448*$H$4</f>
        <v>4704.30315789474</v>
      </c>
      <c r="H1568" s="18" t="str">
        <f aca="false">'SALES Raw'!A4448</f>
        <v>301 - Amazon</v>
      </c>
    </row>
    <row r="1569" customFormat="false" ht="15" hidden="false" customHeight="false" outlineLevel="0" collapsed="false">
      <c r="A1569" s="18" t="n">
        <f aca="false">'SALES Raw'!G4461</f>
        <v>4408208</v>
      </c>
      <c r="B1569" s="18" t="str">
        <f aca="false">'SALES Raw'!B4461</f>
        <v>AC91 0</v>
      </c>
      <c r="C1569" s="18" t="str">
        <f aca="false">'SALES Raw'!H4461</f>
        <v>AC91 חבק טניס</v>
      </c>
      <c r="D1569" s="19" t="n">
        <f aca="false">'SALES Raw'!C4461</f>
        <v>3</v>
      </c>
      <c r="E1569" s="19" t="n">
        <f aca="false">'SALES Raw'!D4461</f>
        <v>219.63</v>
      </c>
      <c r="F1569" s="19" t="n">
        <f aca="false">'SALES Raw'!E4461*$H$4</f>
        <v>27.7894736842105</v>
      </c>
      <c r="G1569" s="19" t="n">
        <f aca="false">'SALES Raw'!F4461*$H$4</f>
        <v>1712.76631578947</v>
      </c>
      <c r="H1569" s="18" t="str">
        <f aca="false">'SALES Raw'!A4461</f>
        <v>301 - Amazon</v>
      </c>
    </row>
    <row r="1570" customFormat="false" ht="15" hidden="false" customHeight="false" outlineLevel="0" collapsed="false">
      <c r="A1570" s="18" t="n">
        <f aca="false">'CEMIUP0.9 Raw'!B159</f>
        <v>4408223</v>
      </c>
      <c r="B1570" s="18" t="str">
        <f aca="false">'CEMIUP0.9 Raw'!C159</f>
        <v>078G-XXLחגורת גב אפורה</v>
      </c>
      <c r="C1570" s="18" t="str">
        <f aca="false">'CEMIUP0.9 Raw'!C159</f>
        <v>078G-XXLחגורת גב אפורה</v>
      </c>
      <c r="D1570" s="19" t="n">
        <f aca="false">'CEMIUP0.9 Raw'!D159</f>
        <v>41</v>
      </c>
      <c r="E1570" s="19" t="n">
        <f aca="false">'CEMIUP0.9 Raw'!E159</f>
        <v>4051.593</v>
      </c>
      <c r="F1570" s="19" t="n">
        <f aca="false">'CEMIUP0.9 Raw'!F159</f>
        <v>27.7894736842105</v>
      </c>
      <c r="G1570" s="19" t="n">
        <f aca="false">'CEMIUP0.9 Raw'!G159</f>
        <v>2866.90231578947</v>
      </c>
      <c r="H1570" s="18" t="str">
        <f aca="false">'CEMIUP0.9 Raw'!A159</f>
        <v>107 - Pharmacies</v>
      </c>
    </row>
    <row r="1571" customFormat="false" ht="15" hidden="false" customHeight="false" outlineLevel="0" collapsed="false">
      <c r="A1571" s="18" t="n">
        <f aca="false">'CEMIUP0.9 Raw'!B186</f>
        <v>4408275</v>
      </c>
      <c r="B1571" s="18" t="str">
        <f aca="false">'CEMIUP0.9 Raw'!C186</f>
        <v>202  ONE SIZE חבק יד</v>
      </c>
      <c r="C1571" s="18" t="str">
        <f aca="false">'CEMIUP0.9 Raw'!C186</f>
        <v>202  ONE SIZE חבק יד</v>
      </c>
      <c r="D1571" s="19" t="n">
        <f aca="false">'CEMIUP0.9 Raw'!D186</f>
        <v>0</v>
      </c>
      <c r="E1571" s="19" t="n">
        <f aca="false">'CEMIUP0.9 Raw'!E186</f>
        <v>0</v>
      </c>
      <c r="F1571" s="19" t="n">
        <f aca="false">'CEMIUP0.9 Raw'!F186</f>
        <v>27.7894736842105</v>
      </c>
      <c r="G1571" s="19" t="n">
        <f aca="false">'CEMIUP0.9 Raw'!G186</f>
        <v>1190.62484210526</v>
      </c>
      <c r="H1571" s="18" t="str">
        <f aca="false">'CEMIUP0.9 Raw'!A186</f>
        <v>107 - Pharmacies</v>
      </c>
    </row>
    <row r="1572" customFormat="false" ht="15" hidden="false" customHeight="false" outlineLevel="0" collapsed="false">
      <c r="A1572" s="18" t="n">
        <f aca="false">'CEMIUP0.9 Raw'!B303</f>
        <v>4413132</v>
      </c>
      <c r="B1572" s="18" t="str">
        <f aca="false">'CEMIUP0.9 Raw'!C303</f>
        <v>76 Lמיישר כתף יציב יישור רחב</v>
      </c>
      <c r="C1572" s="18" t="str">
        <f aca="false">'CEMIUP0.9 Raw'!C303</f>
        <v>76 Lמיישר כתף יציב יישור רחב</v>
      </c>
      <c r="D1572" s="19" t="n">
        <f aca="false">'CEMIUP0.9 Raw'!D303</f>
        <v>28</v>
      </c>
      <c r="E1572" s="19" t="n">
        <f aca="false">'CEMIUP0.9 Raw'!E303</f>
        <v>5097.933</v>
      </c>
      <c r="F1572" s="19" t="n">
        <f aca="false">'CEMIUP0.9 Raw'!F303</f>
        <v>27.7894736842105</v>
      </c>
      <c r="G1572" s="19" t="n">
        <f aca="false">'CEMIUP0.9 Raw'!G303</f>
        <v>5234.54273684211</v>
      </c>
      <c r="H1572" s="18" t="str">
        <f aca="false">'CEMIUP0.9 Raw'!A303</f>
        <v>107 - Pharmacies</v>
      </c>
    </row>
    <row r="1573" customFormat="false" ht="15" hidden="false" customHeight="false" outlineLevel="0" collapsed="false">
      <c r="A1573" s="18" t="n">
        <f aca="false">'CEMIUP0.9 Raw'!B514</f>
        <v>4415299</v>
      </c>
      <c r="B1573" s="18" t="str">
        <f aca="false">'CEMIUP0.9 Raw'!C514</f>
        <v>388B L סד לילה שחור לבוהן ימין</v>
      </c>
      <c r="C1573" s="18" t="str">
        <f aca="false">'CEMIUP0.9 Raw'!C514</f>
        <v>388B L סד לילה שחור לבוהן ימין</v>
      </c>
      <c r="D1573" s="19" t="n">
        <f aca="false">'CEMIUP0.9 Raw'!D514</f>
        <v>61</v>
      </c>
      <c r="E1573" s="19" t="n">
        <f aca="false">'CEMIUP0.9 Raw'!E514</f>
        <v>3834.165</v>
      </c>
      <c r="F1573" s="19" t="n">
        <f aca="false">'CEMIUP0.9 Raw'!F514</f>
        <v>27.7894736842105</v>
      </c>
      <c r="G1573" s="19" t="n">
        <f aca="false">'CEMIUP0.9 Raw'!G514</f>
        <v>1790.52884210526</v>
      </c>
      <c r="H1573" s="18" t="str">
        <f aca="false">'CEMIUP0.9 Raw'!A514</f>
        <v>107 - Pharmacies</v>
      </c>
    </row>
    <row r="1574" customFormat="false" ht="15" hidden="false" customHeight="false" outlineLevel="0" collapsed="false">
      <c r="A1574" s="18" t="n">
        <f aca="false">'CEMIUP0.9 Raw'!B592</f>
        <v>4422038</v>
      </c>
      <c r="B1574" s="18" t="str">
        <f aca="false">'CEMIUP0.9 Raw'!C592</f>
        <v>SH422 2 תומך ברך גנושילד</v>
      </c>
      <c r="C1574" s="18" t="str">
        <f aca="false">'CEMIUP0.9 Raw'!C592</f>
        <v>SH422 2 תומך ברך גנושילד</v>
      </c>
      <c r="D1574" s="19" t="n">
        <f aca="false">'CEMIUP0.9 Raw'!D592</f>
        <v>6</v>
      </c>
      <c r="E1574" s="19" t="n">
        <f aca="false">'CEMIUP0.9 Raw'!E592</f>
        <v>947.951</v>
      </c>
      <c r="F1574" s="19" t="n">
        <f aca="false">'CEMIUP0.9 Raw'!F592</f>
        <v>27.7894736842105</v>
      </c>
      <c r="G1574" s="19" t="n">
        <f aca="false">'CEMIUP0.9 Raw'!G592</f>
        <v>5302.49052631579</v>
      </c>
      <c r="H1574" s="18" t="str">
        <f aca="false">'CEMIUP0.9 Raw'!A592</f>
        <v>107 - Pharmacies</v>
      </c>
    </row>
    <row r="1575" customFormat="false" ht="15" hidden="false" customHeight="false" outlineLevel="0" collapsed="false">
      <c r="A1575" s="18" t="n">
        <f aca="false">'CEMIUP0.9 Raw'!B869</f>
        <v>4420025</v>
      </c>
      <c r="B1575" s="18" t="str">
        <f aca="false">'CEMIUP0.9 Raw'!C869</f>
        <v>LF374 ריפוד סיליק.לעקב תחתון</v>
      </c>
      <c r="C1575" s="18" t="str">
        <f aca="false">'CEMIUP0.9 Raw'!C869</f>
        <v>LF374 ריפוד סיליק.לעקב תחתון</v>
      </c>
      <c r="D1575" s="19" t="n">
        <f aca="false">'CEMIUP0.9 Raw'!D869</f>
        <v>55</v>
      </c>
      <c r="E1575" s="19" t="n">
        <f aca="false">'CEMIUP0.9 Raw'!E869</f>
        <v>875.05</v>
      </c>
      <c r="F1575" s="19" t="n">
        <f aca="false">'CEMIUP0.9 Raw'!F869</f>
        <v>27.7894736842105</v>
      </c>
      <c r="G1575" s="19" t="n">
        <f aca="false">'CEMIUP0.9 Raw'!G869</f>
        <v>417.625263157895</v>
      </c>
      <c r="H1575" s="18" t="str">
        <f aca="false">'CEMIUP0.9 Raw'!A869</f>
        <v>113 - Kupat Holim Meuhedet</v>
      </c>
    </row>
    <row r="1576" customFormat="false" ht="15" hidden="false" customHeight="false" outlineLevel="0" collapsed="false">
      <c r="A1576" s="18" t="n">
        <f aca="false">'CEMIUP0.9 Raw'!B1013</f>
        <v>4408205</v>
      </c>
      <c r="B1576" s="18" t="str">
        <f aca="false">'CEMIUP0.9 Raw'!C1013</f>
        <v>AC-07 חגורת גב עם תמיכות</v>
      </c>
      <c r="C1576" s="18" t="str">
        <f aca="false">'CEMIUP0.9 Raw'!C1013</f>
        <v>AC-07 חגורת גב עם תמיכות</v>
      </c>
      <c r="D1576" s="19" t="n">
        <f aca="false">'CEMIUP0.9 Raw'!D1013</f>
        <v>22</v>
      </c>
      <c r="E1576" s="19" t="n">
        <f aca="false">'CEMIUP0.9 Raw'!E1013</f>
        <v>1805.167</v>
      </c>
      <c r="F1576" s="19" t="n">
        <f aca="false">'CEMIUP0.9 Raw'!F1013</f>
        <v>27.7894736842105</v>
      </c>
      <c r="G1576" s="19" t="n">
        <f aca="false">'CEMIUP0.9 Raw'!G1013</f>
        <v>2230.09389473684</v>
      </c>
      <c r="H1576" s="18" t="str">
        <f aca="false">'CEMIUP0.9 Raw'!A1013</f>
        <v>BE (CEMI internal group)</v>
      </c>
    </row>
    <row r="1577" customFormat="false" ht="15" hidden="false" customHeight="false" outlineLevel="0" collapsed="false">
      <c r="A1577" s="18" t="n">
        <f aca="false">'CEMIUP0.9 Raw'!B1164</f>
        <v>4413328</v>
      </c>
      <c r="B1577" s="18" t="str">
        <f aca="false">'CEMIUP0.9 Raw'!C1164</f>
        <v>AC43D מגן ברך + צירים</v>
      </c>
      <c r="C1577" s="18" t="str">
        <f aca="false">'CEMIUP0.9 Raw'!C1164</f>
        <v>AC43D מגן ברך + צירים</v>
      </c>
      <c r="D1577" s="19" t="n">
        <f aca="false">'CEMIUP0.9 Raw'!D1164</f>
        <v>3</v>
      </c>
      <c r="E1577" s="19" t="n">
        <f aca="false">'CEMIUP0.9 Raw'!E1164</f>
        <v>245.973</v>
      </c>
      <c r="F1577" s="19" t="n">
        <f aca="false">'CEMIUP0.9 Raw'!F1164</f>
        <v>27.7894736842105</v>
      </c>
      <c r="G1577" s="19" t="n">
        <f aca="false">'CEMIUP0.9 Raw'!G1164</f>
        <v>2278.94652631579</v>
      </c>
      <c r="H1577" s="18" t="str">
        <f aca="false">'CEMIUP0.9 Raw'!A1164</f>
        <v>BE (CEMI internal group)</v>
      </c>
    </row>
    <row r="1578" customFormat="false" ht="15" hidden="false" customHeight="false" outlineLevel="0" collapsed="false">
      <c r="A1578" s="18" t="n">
        <f aca="false">'CEMIUP0.9 Raw'!B1215</f>
        <v>4415026</v>
      </c>
      <c r="B1578" s="18" t="str">
        <f aca="false">'CEMIUP0.9 Raw'!C1215</f>
        <v>AC-27L סד לש.כף יד שמאל</v>
      </c>
      <c r="C1578" s="18" t="str">
        <f aca="false">'CEMIUP0.9 Raw'!C1215</f>
        <v>AC-27L סד לש.כף יד שמאל</v>
      </c>
      <c r="D1578" s="19" t="n">
        <f aca="false">'CEMIUP0.9 Raw'!D1215</f>
        <v>23</v>
      </c>
      <c r="E1578" s="19" t="n">
        <f aca="false">'CEMIUP0.9 Raw'!E1215</f>
        <v>717.262</v>
      </c>
      <c r="F1578" s="19" t="n">
        <f aca="false">'CEMIUP0.9 Raw'!F1215</f>
        <v>27.7894736842105</v>
      </c>
      <c r="G1578" s="19" t="n">
        <f aca="false">'CEMIUP0.9 Raw'!G1215</f>
        <v>866.703157894737</v>
      </c>
      <c r="H1578" s="18" t="str">
        <f aca="false">'CEMIUP0.9 Raw'!A1215</f>
        <v>BE (CEMI internal group)</v>
      </c>
    </row>
    <row r="1579" customFormat="false" ht="15" hidden="false" customHeight="false" outlineLevel="0" collapsed="false">
      <c r="A1579" s="18" t="n">
        <f aca="false">'CEMIUP0.9 Raw'!B1366</f>
        <v>4408153</v>
      </c>
      <c r="B1579" s="18" t="str">
        <f aca="false">'CEMIUP0.9 Raw'!C1366</f>
        <v>11TO XLחגורה למנותחי בית החזה</v>
      </c>
      <c r="C1579" s="18" t="str">
        <f aca="false">'CEMIUP0.9 Raw'!C1366</f>
        <v>11TO XLחגורה למנותחי בית החזה</v>
      </c>
      <c r="D1579" s="19" t="n">
        <f aca="false">'CEMIUP0.9 Raw'!D1366</f>
        <v>19</v>
      </c>
      <c r="E1579" s="19" t="n">
        <f aca="false">'CEMIUP0.9 Raw'!E1366</f>
        <v>2275.364</v>
      </c>
      <c r="F1579" s="19" t="n">
        <f aca="false">'CEMIUP0.9 Raw'!F1366</f>
        <v>27.7894736842105</v>
      </c>
      <c r="G1579" s="19" t="n">
        <f aca="false">'CEMIUP0.9 Raw'!G1366</f>
        <v>3358.76210526316</v>
      </c>
      <c r="H1579" s="18" t="str">
        <f aca="false">'CEMIUP0.9 Raw'!A1366</f>
        <v>Super-Pharm Israel (CEMI internal group)</v>
      </c>
    </row>
    <row r="1580" customFormat="false" ht="15" hidden="false" customHeight="false" outlineLevel="0" collapsed="false">
      <c r="A1580" s="18" t="n">
        <f aca="false">'CEMIUP0.9 Raw'!B1425</f>
        <v>4411026</v>
      </c>
      <c r="B1580" s="18" t="str">
        <f aca="false">'CEMIUP0.9 Raw'!C1425</f>
        <v>213CTSL L שמאל CTS כפפות</v>
      </c>
      <c r="C1580" s="18" t="str">
        <f aca="false">'CEMIUP0.9 Raw'!C1425</f>
        <v>213CTSL L שמאל CTS כפפות</v>
      </c>
      <c r="D1580" s="19" t="n">
        <f aca="false">'CEMIUP0.9 Raw'!D1425</f>
        <v>0</v>
      </c>
      <c r="E1580" s="19" t="n">
        <f aca="false">'CEMIUP0.9 Raw'!E1425</f>
        <v>0</v>
      </c>
      <c r="F1580" s="19" t="n">
        <f aca="false">'CEMIUP0.9 Raw'!F1425</f>
        <v>27.7894736842105</v>
      </c>
      <c r="G1580" s="19" t="n">
        <f aca="false">'CEMIUP0.9 Raw'!G1425</f>
        <v>2532.29052631579</v>
      </c>
      <c r="H1580" s="18" t="str">
        <f aca="false">'CEMIUP0.9 Raw'!A1425</f>
        <v>Super-Pharm Israel (CEMI internal group)</v>
      </c>
    </row>
    <row r="1581" customFormat="false" ht="15" hidden="false" customHeight="false" outlineLevel="0" collapsed="false">
      <c r="A1581" s="18" t="n">
        <f aca="false">'CEMIUP0.9 Raw'!B1591</f>
        <v>4413440</v>
      </c>
      <c r="B1581" s="18" t="str">
        <f aca="false">'CEMIUP0.9 Raw'!C1591</f>
        <v>SC422  L מגן ברך</v>
      </c>
      <c r="C1581" s="18" t="str">
        <f aca="false">'CEMIUP0.9 Raw'!C1591</f>
        <v>SC422  L מגן ברך</v>
      </c>
      <c r="D1581" s="19" t="n">
        <f aca="false">'CEMIUP0.9 Raw'!D1591</f>
        <v>31</v>
      </c>
      <c r="E1581" s="19" t="n">
        <f aca="false">'CEMIUP0.9 Raw'!E1591</f>
        <v>3792.698</v>
      </c>
      <c r="F1581" s="19" t="n">
        <f aca="false">'CEMIUP0.9 Raw'!F1591</f>
        <v>27.7894736842105</v>
      </c>
      <c r="G1581" s="19" t="n">
        <f aca="false">'CEMIUP0.9 Raw'!G1591</f>
        <v>3405.54568421053</v>
      </c>
      <c r="H1581" s="18" t="str">
        <f aca="false">'CEMIUP0.9 Raw'!A1591</f>
        <v>Super-Pharm Israel (CEMI internal group)</v>
      </c>
    </row>
    <row r="1582" customFormat="false" ht="15" hidden="false" customHeight="false" outlineLevel="0" collapsed="false">
      <c r="A1582" s="18" t="n">
        <f aca="false">'CEMIUP0.9 Raw'!B10</f>
        <v>4401012</v>
      </c>
      <c r="B1582" s="18" t="str">
        <f aca="false">'CEMIUP0.9 Raw'!C10</f>
        <v>805AT-B אתלטיק טייפ שחור 20מ""מ</v>
      </c>
      <c r="C1582" s="18" t="str">
        <f aca="false">'CEMIUP0.9 Raw'!C10</f>
        <v>805AT-B אתלטיק טייפ שחור 20מ""מ</v>
      </c>
      <c r="D1582" s="19" t="n">
        <f aca="false">'CEMIUP0.9 Raw'!D10</f>
        <v>20</v>
      </c>
      <c r="E1582" s="19" t="n">
        <f aca="false">'CEMIUP0.9 Raw'!E10</f>
        <v>290.017</v>
      </c>
      <c r="F1582" s="19" t="n">
        <f aca="false">'CEMIUP0.9 Raw'!F10</f>
        <v>26.5263157894737</v>
      </c>
      <c r="G1582" s="19" t="n">
        <f aca="false">'CEMIUP0.9 Raw'!G10</f>
        <v>412.201263157895</v>
      </c>
      <c r="H1582" s="18" t="str">
        <f aca="false">'CEMIUP0.9 Raw'!A10</f>
        <v>107 - Pharmacies</v>
      </c>
    </row>
    <row r="1583" customFormat="false" ht="15" hidden="false" customHeight="false" outlineLevel="0" collapsed="false">
      <c r="A1583" s="18" t="n">
        <f aca="false">'CEMIUP0.9 Raw'!B126</f>
        <v>4408132</v>
      </c>
      <c r="B1583" s="18" t="str">
        <f aca="false">'CEMIUP0.9 Raw'!C126</f>
        <v>11EU XXL חגורת בטןלאחר ניתוח</v>
      </c>
      <c r="C1583" s="18" t="str">
        <f aca="false">'CEMIUP0.9 Raw'!C126</f>
        <v>11EU XXL חגורת בטןלאחר ניתוח</v>
      </c>
      <c r="D1583" s="19" t="n">
        <f aca="false">'CEMIUP0.9 Raw'!D126</f>
        <v>24</v>
      </c>
      <c r="E1583" s="19" t="n">
        <f aca="false">'CEMIUP0.9 Raw'!E126</f>
        <v>2299.115</v>
      </c>
      <c r="F1583" s="19" t="n">
        <f aca="false">'CEMIUP0.9 Raw'!F126</f>
        <v>26.5263157894737</v>
      </c>
      <c r="G1583" s="19" t="n">
        <f aca="false">'CEMIUP0.9 Raw'!G126</f>
        <v>2600.13221052632</v>
      </c>
      <c r="H1583" s="18" t="str">
        <f aca="false">'CEMIUP0.9 Raw'!A126</f>
        <v>107 - Pharmacies</v>
      </c>
    </row>
    <row r="1584" customFormat="false" ht="15" hidden="false" customHeight="false" outlineLevel="0" collapsed="false">
      <c r="A1584" s="18" t="n">
        <f aca="false">'CEMIUP0.9 Raw'!B172</f>
        <v>4408249</v>
      </c>
      <c r="B1584" s="18" t="str">
        <f aca="false">'CEMIUP0.9 Raw'!C172</f>
        <v>SC25  L חבק יד</v>
      </c>
      <c r="C1584" s="18" t="str">
        <f aca="false">'CEMIUP0.9 Raw'!C172</f>
        <v>SC25  L חבק יד</v>
      </c>
      <c r="D1584" s="19" t="n">
        <f aca="false">'CEMIUP0.9 Raw'!D172</f>
        <v>16</v>
      </c>
      <c r="E1584" s="19" t="n">
        <f aca="false">'CEMIUP0.9 Raw'!E172</f>
        <v>1246.37</v>
      </c>
      <c r="F1584" s="19" t="n">
        <f aca="false">'CEMIUP0.9 Raw'!F172</f>
        <v>26.5263157894737</v>
      </c>
      <c r="G1584" s="19" t="n">
        <f aca="false">'CEMIUP0.9 Raw'!G172</f>
        <v>2236.73684210526</v>
      </c>
      <c r="H1584" s="18" t="str">
        <f aca="false">'CEMIUP0.9 Raw'!A172</f>
        <v>107 - Pharmacies</v>
      </c>
    </row>
    <row r="1585" customFormat="false" ht="15" hidden="false" customHeight="false" outlineLevel="0" collapsed="false">
      <c r="A1585" s="18" t="n">
        <f aca="false">'CEMIUP0.9 Raw'!B323</f>
        <v>4413158</v>
      </c>
      <c r="B1585" s="18" t="str">
        <f aca="false">'CEMIUP0.9 Raw'!C323</f>
        <v>305GA מדרס אורטופ.מתכוון45-46</v>
      </c>
      <c r="C1585" s="18" t="str">
        <f aca="false">'CEMIUP0.9 Raw'!C323</f>
        <v>305GA מדרס אורטופ.מתכוון45-46</v>
      </c>
      <c r="D1585" s="19" t="n">
        <f aca="false">'CEMIUP0.9 Raw'!D323</f>
        <v>33</v>
      </c>
      <c r="E1585" s="19" t="n">
        <f aca="false">'CEMIUP0.9 Raw'!E323</f>
        <v>2583.399</v>
      </c>
      <c r="F1585" s="19" t="n">
        <f aca="false">'CEMIUP0.9 Raw'!F323</f>
        <v>26.5263157894737</v>
      </c>
      <c r="G1585" s="19" t="n">
        <f aca="false">'CEMIUP0.9 Raw'!G323</f>
        <v>2261.39873684211</v>
      </c>
      <c r="H1585" s="18" t="str">
        <f aca="false">'CEMIUP0.9 Raw'!A323</f>
        <v>107 - Pharmacies</v>
      </c>
    </row>
    <row r="1586" customFormat="false" ht="15" hidden="false" customHeight="false" outlineLevel="0" collapsed="false">
      <c r="A1586" s="18" t="n">
        <f aca="false">'CEMIUP0.9 Raw'!B513</f>
        <v>4415298</v>
      </c>
      <c r="B1586" s="18" t="str">
        <f aca="false">'CEMIUP0.9 Raw'!C513</f>
        <v>388B L סד לילה שחור לבוהן שמאל</v>
      </c>
      <c r="C1586" s="18" t="str">
        <f aca="false">'CEMIUP0.9 Raw'!C513</f>
        <v>388B L סד לילה שחור לבוהן שמאל</v>
      </c>
      <c r="D1586" s="19" t="n">
        <f aca="false">'CEMIUP0.9 Raw'!D513</f>
        <v>47</v>
      </c>
      <c r="E1586" s="19" t="n">
        <f aca="false">'CEMIUP0.9 Raw'!E513</f>
        <v>2959.808</v>
      </c>
      <c r="F1586" s="19" t="n">
        <f aca="false">'CEMIUP0.9 Raw'!F513</f>
        <v>26.5263157894737</v>
      </c>
      <c r="G1586" s="19" t="n">
        <f aca="false">'CEMIUP0.9 Raw'!G513</f>
        <v>1622.05263157895</v>
      </c>
      <c r="H1586" s="18" t="str">
        <f aca="false">'CEMIUP0.9 Raw'!A513</f>
        <v>107 - Pharmacies</v>
      </c>
    </row>
    <row r="1587" customFormat="false" ht="15" hidden="false" customHeight="false" outlineLevel="0" collapsed="false">
      <c r="A1587" s="18" t="n">
        <f aca="false">'CEMIUP0.9 Raw'!B685</f>
        <v>4403023</v>
      </c>
      <c r="B1587" s="18" t="str">
        <f aca="false">'CEMIUP0.9 Raw'!C685</f>
        <v>394W 35-38 גרב.כסף לסכרתים לבן</v>
      </c>
      <c r="C1587" s="18" t="str">
        <f aca="false">'CEMIUP0.9 Raw'!C685</f>
        <v>394W 35-38 גרב.כסף לסכרתים לבן</v>
      </c>
      <c r="D1587" s="19" t="n">
        <f aca="false">'CEMIUP0.9 Raw'!D685</f>
        <v>49</v>
      </c>
      <c r="E1587" s="19" t="n">
        <f aca="false">'CEMIUP0.9 Raw'!E685</f>
        <v>901.6</v>
      </c>
      <c r="F1587" s="19" t="n">
        <f aca="false">'CEMIUP0.9 Raw'!F685</f>
        <v>26.5263157894737</v>
      </c>
      <c r="G1587" s="19" t="n">
        <f aca="false">'CEMIUP0.9 Raw'!G685</f>
        <v>473.441684210526</v>
      </c>
      <c r="H1587" s="18" t="str">
        <f aca="false">'CEMIUP0.9 Raw'!A685</f>
        <v>113 - Kupat Holim Meuhedet</v>
      </c>
    </row>
    <row r="1588" customFormat="false" ht="15" hidden="false" customHeight="false" outlineLevel="0" collapsed="false">
      <c r="A1588" s="18" t="n">
        <f aca="false">'CEMIUP0.9 Raw'!B843</f>
        <v>4413534</v>
      </c>
      <c r="B1588" s="18" t="str">
        <f aca="false">'CEMIUP0.9 Raw'!C843</f>
        <v>SH333 מקבע קרסול</v>
      </c>
      <c r="C1588" s="18" t="str">
        <f aca="false">'CEMIUP0.9 Raw'!C843</f>
        <v>SH333 מקבע קרסול</v>
      </c>
      <c r="D1588" s="19" t="n">
        <f aca="false">'CEMIUP0.9 Raw'!D843</f>
        <v>0</v>
      </c>
      <c r="E1588" s="19" t="n">
        <f aca="false">'CEMIUP0.9 Raw'!E843</f>
        <v>0</v>
      </c>
      <c r="F1588" s="19" t="n">
        <f aca="false">'CEMIUP0.9 Raw'!F843</f>
        <v>26.5263157894737</v>
      </c>
      <c r="G1588" s="19" t="n">
        <f aca="false">'CEMIUP0.9 Raw'!G843</f>
        <v>2220.78315789474</v>
      </c>
      <c r="H1588" s="18" t="str">
        <f aca="false">'CEMIUP0.9 Raw'!A843</f>
        <v>113 - Kupat Holim Meuhedet</v>
      </c>
    </row>
    <row r="1589" customFormat="false" ht="15" hidden="false" customHeight="false" outlineLevel="0" collapsed="false">
      <c r="A1589" s="18" t="n">
        <f aca="false">'CEMIUP0.9 Raw'!B997</f>
        <v>4408095</v>
      </c>
      <c r="B1589" s="18" t="str">
        <f aca="false">'CEMIUP0.9 Raw'!C997</f>
        <v>T20 L-XL  חבק יד עם צמדן</v>
      </c>
      <c r="C1589" s="18" t="str">
        <f aca="false">'CEMIUP0.9 Raw'!C997</f>
        <v>T20 L-XL  חבק יד עם צמדן</v>
      </c>
      <c r="D1589" s="19" t="n">
        <f aca="false">'CEMIUP0.9 Raw'!D997</f>
        <v>31</v>
      </c>
      <c r="E1589" s="19" t="n">
        <f aca="false">'CEMIUP0.9 Raw'!E997</f>
        <v>969.605</v>
      </c>
      <c r="F1589" s="19" t="n">
        <f aca="false">'CEMIUP0.9 Raw'!F997</f>
        <v>26.5263157894737</v>
      </c>
      <c r="G1589" s="19" t="n">
        <f aca="false">'CEMIUP0.9 Raw'!G997</f>
        <v>832.333894736842</v>
      </c>
      <c r="H1589" s="18" t="str">
        <f aca="false">'CEMIUP0.9 Raw'!A997</f>
        <v>BE (CEMI internal group)</v>
      </c>
    </row>
    <row r="1590" customFormat="false" ht="15" hidden="false" customHeight="false" outlineLevel="0" collapsed="false">
      <c r="A1590" s="18" t="n">
        <f aca="false">'CEMIUP0.9 Raw'!B1201</f>
        <v>4413497</v>
      </c>
      <c r="B1590" s="18" t="str">
        <f aca="false">'CEMIUP0.9 Raw'!C1201</f>
        <v>45B M מגן ברך שחור</v>
      </c>
      <c r="C1590" s="18" t="str">
        <f aca="false">'CEMIUP0.9 Raw'!C1201</f>
        <v>45B M מגן ברך שחור</v>
      </c>
      <c r="D1590" s="19" t="n">
        <f aca="false">'CEMIUP0.9 Raw'!D1201</f>
        <v>40</v>
      </c>
      <c r="E1590" s="19" t="n">
        <f aca="false">'CEMIUP0.9 Raw'!E1201</f>
        <v>1010.191</v>
      </c>
      <c r="F1590" s="19" t="n">
        <f aca="false">'CEMIUP0.9 Raw'!F1201</f>
        <v>26.5263157894737</v>
      </c>
      <c r="G1590" s="19" t="n">
        <f aca="false">'CEMIUP0.9 Raw'!G1201</f>
        <v>669.913263157895</v>
      </c>
      <c r="H1590" s="18" t="str">
        <f aca="false">'CEMIUP0.9 Raw'!A1201</f>
        <v>BE (CEMI internal group)</v>
      </c>
    </row>
    <row r="1591" customFormat="false" ht="15" hidden="false" customHeight="false" outlineLevel="0" collapsed="false">
      <c r="A1591" s="18" t="n">
        <f aca="false">'SALES Raw'!G102</f>
        <v>4411000</v>
      </c>
      <c r="B1591" s="18" t="str">
        <f aca="false">'SALES Raw'!B102</f>
        <v>362-L-R</v>
      </c>
      <c r="C1591" s="18" t="str">
        <f aca="false">'SALES Raw'!H102</f>
        <v>כרית מטטרזלי סיליקון362</v>
      </c>
      <c r="D1591" s="19" t="n">
        <f aca="false">'SALES Raw'!C102</f>
        <v>15</v>
      </c>
      <c r="E1591" s="19" t="n">
        <f aca="false">'SALES Raw'!D102</f>
        <v>449.2</v>
      </c>
      <c r="F1591" s="19" t="n">
        <f aca="false">'SALES Raw'!E102*$H$4</f>
        <v>26.5263157894737</v>
      </c>
      <c r="G1591" s="19" t="n">
        <f aca="false">'SALES Raw'!F102*$H$4</f>
        <v>806.968421052632</v>
      </c>
      <c r="H1591" s="18" t="str">
        <f aca="false">'SALES Raw'!A102</f>
        <v>101 - Factory customers</v>
      </c>
    </row>
    <row r="1592" customFormat="false" ht="15" hidden="false" customHeight="false" outlineLevel="0" collapsed="false">
      <c r="A1592" s="18" t="n">
        <f aca="false">'SALES Raw'!G226</f>
        <v>4415028</v>
      </c>
      <c r="B1592" s="18" t="str">
        <f aca="false">'SALES Raw'!B226</f>
        <v>AC28 0</v>
      </c>
      <c r="C1592" s="18" t="str">
        <f aca="false">'SALES Raw'!H226</f>
        <v>AC-28 סד לאגודל</v>
      </c>
      <c r="D1592" s="19" t="n">
        <f aca="false">'SALES Raw'!C226</f>
        <v>71</v>
      </c>
      <c r="E1592" s="19" t="n">
        <f aca="false">'SALES Raw'!D226</f>
        <v>2760.42</v>
      </c>
      <c r="F1592" s="19" t="n">
        <f aca="false">'SALES Raw'!E226*$H$4</f>
        <v>26.5263157894737</v>
      </c>
      <c r="G1592" s="19" t="n">
        <f aca="false">'SALES Raw'!F226*$H$4</f>
        <v>1034.51368421053</v>
      </c>
      <c r="H1592" s="18" t="str">
        <f aca="false">'SALES Raw'!A226</f>
        <v>101 - Factory customers</v>
      </c>
    </row>
    <row r="1593" customFormat="false" ht="15" hidden="false" customHeight="false" outlineLevel="0" collapsed="false">
      <c r="A1593" s="18" t="n">
        <f aca="false">'SALES Raw'!G591</f>
        <v>4408116</v>
      </c>
      <c r="B1593" s="18" t="str">
        <f aca="false">'SALES Raw'!B591</f>
        <v>11EU XL</v>
      </c>
      <c r="C1593" s="18" t="str">
        <f aca="false">'SALES Raw'!H591</f>
        <v>11EU XLח.בטן לאחר ניתוח</v>
      </c>
      <c r="D1593" s="19" t="n">
        <f aca="false">'SALES Raw'!C591</f>
        <v>35</v>
      </c>
      <c r="E1593" s="19" t="n">
        <f aca="false">'SALES Raw'!D591</f>
        <v>2815.87</v>
      </c>
      <c r="F1593" s="19" t="n">
        <f aca="false">'SALES Raw'!E591*$H$4</f>
        <v>26.5263157894737</v>
      </c>
      <c r="G1593" s="19" t="n">
        <f aca="false">'SALES Raw'!F591*$H$4</f>
        <v>2254.64842105263</v>
      </c>
      <c r="H1593" s="18" t="str">
        <f aca="false">'SALES Raw'!A591</f>
        <v>102 - Orthopedic institutes</v>
      </c>
    </row>
    <row r="1594" customFormat="false" ht="15" hidden="false" customHeight="false" outlineLevel="0" collapsed="false">
      <c r="A1594" s="18" t="n">
        <f aca="false">'SALES Raw'!G602</f>
        <v>4413328</v>
      </c>
      <c r="B1594" s="18" t="str">
        <f aca="false">'SALES Raw'!B602</f>
        <v>AC43D 0</v>
      </c>
      <c r="C1594" s="18" t="str">
        <f aca="false">'SALES Raw'!H602</f>
        <v>AC43D מגן ברך + צירים</v>
      </c>
      <c r="D1594" s="19" t="n">
        <f aca="false">'SALES Raw'!C602</f>
        <v>22</v>
      </c>
      <c r="E1594" s="19" t="n">
        <f aca="false">'SALES Raw'!D602</f>
        <v>2224.72</v>
      </c>
      <c r="F1594" s="19" t="n">
        <f aca="false">'SALES Raw'!E602*$H$4</f>
        <v>26.5263157894737</v>
      </c>
      <c r="G1594" s="19" t="n">
        <f aca="false">'SALES Raw'!F602*$H$4</f>
        <v>2734.11789473684</v>
      </c>
      <c r="H1594" s="18" t="str">
        <f aca="false">'SALES Raw'!A602</f>
        <v>102 - Orthopedic institutes</v>
      </c>
    </row>
    <row r="1595" customFormat="false" ht="15" hidden="false" customHeight="false" outlineLevel="0" collapsed="false">
      <c r="A1595" s="18" t="n">
        <f aca="false">'SALES Raw'!G688</f>
        <v>4408032</v>
      </c>
      <c r="B1595" s="18" t="str">
        <f aca="false">'SALES Raw'!B688</f>
        <v>11 L</v>
      </c>
      <c r="C1595" s="18" t="str">
        <f aca="false">'SALES Raw'!H688</f>
        <v>11 L""""חגורת בטן""""אורירית</v>
      </c>
      <c r="D1595" s="19" t="n">
        <f aca="false">'SALES Raw'!C688</f>
        <v>61</v>
      </c>
      <c r="E1595" s="19" t="n">
        <f aca="false">'SALES Raw'!D688</f>
        <v>5184.78</v>
      </c>
      <c r="F1595" s="19" t="n">
        <f aca="false">'SALES Raw'!E688*$H$4</f>
        <v>26.5263157894737</v>
      </c>
      <c r="G1595" s="19" t="n">
        <f aca="false">'SALES Raw'!F688*$H$4</f>
        <v>2254.50947368421</v>
      </c>
      <c r="H1595" s="18" t="str">
        <f aca="false">'SALES Raw'!A688</f>
        <v>102 - Orthopedic institutes</v>
      </c>
    </row>
    <row r="1596" customFormat="false" ht="15" hidden="false" customHeight="false" outlineLevel="0" collapsed="false">
      <c r="A1596" s="18" t="n">
        <f aca="false">'SALES Raw'!G809</f>
        <v>4408266</v>
      </c>
      <c r="B1596" s="18" t="str">
        <f aca="false">'SALES Raw'!B809</f>
        <v>91B 0</v>
      </c>
      <c r="C1596" s="18" t="str">
        <f aca="false">'SALES Raw'!H809</f>
        <v>91B חבק טניס אלבו</v>
      </c>
      <c r="D1596" s="19" t="n">
        <f aca="false">'SALES Raw'!C809</f>
        <v>19</v>
      </c>
      <c r="E1596" s="19" t="n">
        <f aca="false">'SALES Raw'!D809</f>
        <v>1274.41</v>
      </c>
      <c r="F1596" s="19" t="n">
        <f aca="false">'SALES Raw'!E809*$H$4</f>
        <v>26.5263157894737</v>
      </c>
      <c r="G1596" s="19" t="n">
        <f aca="false">'SALES Raw'!F809*$H$4</f>
        <v>1724.27368421053</v>
      </c>
      <c r="H1596" s="18" t="str">
        <f aca="false">'SALES Raw'!A809</f>
        <v>102 - Orthopedic institutes</v>
      </c>
    </row>
    <row r="1597" customFormat="false" ht="15" hidden="false" customHeight="false" outlineLevel="0" collapsed="false">
      <c r="A1597" s="18" t="n">
        <f aca="false">'SALES Raw'!G820</f>
        <v>4413534</v>
      </c>
      <c r="B1597" s="18" t="str">
        <f aca="false">'SALES Raw'!B820</f>
        <v>SH333 0</v>
      </c>
      <c r="C1597" s="18" t="str">
        <f aca="false">'SALES Raw'!H820</f>
        <v>SH333 מקבע קרסול</v>
      </c>
      <c r="D1597" s="19" t="n">
        <f aca="false">'SALES Raw'!C820</f>
        <v>0</v>
      </c>
      <c r="E1597" s="19" t="n">
        <f aca="false">'SALES Raw'!D820</f>
        <v>0</v>
      </c>
      <c r="F1597" s="19" t="n">
        <f aca="false">'SALES Raw'!E820*$H$4</f>
        <v>26.5263157894737</v>
      </c>
      <c r="G1597" s="19" t="n">
        <f aca="false">'SALES Raw'!F820*$H$4</f>
        <v>1854.34105263158</v>
      </c>
      <c r="H1597" s="18" t="str">
        <f aca="false">'SALES Raw'!A820</f>
        <v>102 - Orthopedic institutes</v>
      </c>
    </row>
    <row r="1598" customFormat="false" ht="15" hidden="false" customHeight="false" outlineLevel="0" collapsed="false">
      <c r="A1598" s="18" t="str">
        <f aca="false">'SALES Raw'!G1019</f>
        <v/>
      </c>
      <c r="B1598" s="18" t="str">
        <f aca="false">'SALES Raw'!B1019</f>
        <v>84-L-XXL</v>
      </c>
      <c r="C1598" s="18" t="str">
        <f aca="false">'SALES Raw'!H1019</f>
        <v>84-L-XXL</v>
      </c>
      <c r="D1598" s="19" t="n">
        <f aca="false">'SALES Raw'!C1019</f>
        <v>16</v>
      </c>
      <c r="E1598" s="19" t="n">
        <f aca="false">'SALES Raw'!D1019</f>
        <v>2248.16</v>
      </c>
      <c r="F1598" s="19" t="n">
        <f aca="false">'SALES Raw'!E1019*$H$4</f>
        <v>26.5263157894737</v>
      </c>
      <c r="G1598" s="19" t="n">
        <f aca="false">'SALES Raw'!F1019*$H$4</f>
        <v>3728.89263157895</v>
      </c>
      <c r="H1598" s="18" t="str">
        <f aca="false">'SALES Raw'!A1019</f>
        <v>102 - Orthopedic institutes</v>
      </c>
    </row>
    <row r="1599" customFormat="false" ht="15" hidden="false" customHeight="false" outlineLevel="0" collapsed="false">
      <c r="A1599" s="18" t="n">
        <f aca="false">'SALES Raw'!G2069</f>
        <v>4408221</v>
      </c>
      <c r="B1599" s="18" t="str">
        <f aca="false">'SALES Raw'!B2069</f>
        <v>078G L</v>
      </c>
      <c r="C1599" s="18" t="str">
        <f aca="false">'SALES Raw'!H2069</f>
        <v>078G-L חגורת גב אפורה</v>
      </c>
      <c r="D1599" s="19" t="n">
        <f aca="false">'SALES Raw'!C2069</f>
        <v>14</v>
      </c>
      <c r="E1599" s="19" t="n">
        <f aca="false">'SALES Raw'!D2069</f>
        <v>2782.52</v>
      </c>
      <c r="F1599" s="19" t="n">
        <f aca="false">'SALES Raw'!E2069*$H$4</f>
        <v>26.5263157894737</v>
      </c>
      <c r="G1599" s="19" t="n">
        <f aca="false">'SALES Raw'!F2069*$H$4</f>
        <v>5564.23578947368</v>
      </c>
      <c r="H1599" s="18" t="str">
        <f aca="false">'SALES Raw'!A2069</f>
        <v>114 - IL online</v>
      </c>
    </row>
    <row r="1600" customFormat="false" ht="15" hidden="false" customHeight="false" outlineLevel="0" collapsed="false">
      <c r="A1600" s="18" t="n">
        <f aca="false">'SALES Raw'!G2300</f>
        <v>4413060</v>
      </c>
      <c r="B1600" s="18" t="str">
        <f aca="false">'SALES Raw'!B2300</f>
        <v>364 XL</v>
      </c>
      <c r="C1600" s="18" t="str">
        <f aca="false">'SALES Raw'!H2300</f>
        <v>364 XLמפריד אצבע סיליקון ליבלת</v>
      </c>
      <c r="D1600" s="19" t="n">
        <f aca="false">'SALES Raw'!C2300</f>
        <v>20</v>
      </c>
      <c r="E1600" s="19" t="n">
        <f aca="false">'SALES Raw'!D2300</f>
        <v>501.53</v>
      </c>
      <c r="F1600" s="19" t="n">
        <f aca="false">'SALES Raw'!E2300*$H$4</f>
        <v>26.5263157894737</v>
      </c>
      <c r="G1600" s="19" t="n">
        <f aca="false">'SALES Raw'!F2300*$H$4</f>
        <v>663.258947368421</v>
      </c>
      <c r="H1600" s="18" t="str">
        <f aca="false">'SALES Raw'!A2300</f>
        <v>114 - IL online</v>
      </c>
    </row>
    <row r="1601" customFormat="false" ht="15" hidden="false" customHeight="false" outlineLevel="0" collapsed="false">
      <c r="A1601" s="18" t="str">
        <f aca="false">'SALES Raw'!G2326</f>
        <v/>
      </c>
      <c r="B1601" s="18" t="str">
        <f aca="false">'SALES Raw'!B2326</f>
        <v>376-44-45</v>
      </c>
      <c r="C1601" s="18" t="str">
        <f aca="false">'SALES Raw'!H2326</f>
        <v>376-44-45</v>
      </c>
      <c r="D1601" s="19" t="n">
        <f aca="false">'SALES Raw'!C2326</f>
        <v>14</v>
      </c>
      <c r="E1601" s="19" t="n">
        <f aca="false">'SALES Raw'!D2326</f>
        <v>812.28</v>
      </c>
      <c r="F1601" s="19" t="n">
        <f aca="false">'SALES Raw'!E2326*$H$4</f>
        <v>26.5263157894737</v>
      </c>
      <c r="G1601" s="19" t="n">
        <f aca="false">'SALES Raw'!F2326*$H$4</f>
        <v>1659.63789473684</v>
      </c>
      <c r="H1601" s="18" t="str">
        <f aca="false">'SALES Raw'!A2326</f>
        <v>114 - IL online</v>
      </c>
    </row>
    <row r="1602" customFormat="false" ht="15" hidden="false" customHeight="false" outlineLevel="0" collapsed="false">
      <c r="A1602" s="18" t="n">
        <f aca="false">'SALES Raw'!G2358</f>
        <v>4403019</v>
      </c>
      <c r="B1602" s="18" t="str">
        <f aca="false">'SALES Raw'!B2358</f>
        <v>394B-43-46</v>
      </c>
      <c r="C1602" s="18" t="str">
        <f aca="false">'SALES Raw'!H2358</f>
        <v>394B גרב.כסף לסכרתים שחור43-46</v>
      </c>
      <c r="D1602" s="19" t="n">
        <f aca="false">'SALES Raw'!C2358</f>
        <v>214</v>
      </c>
      <c r="E1602" s="19" t="n">
        <f aca="false">'SALES Raw'!D2358</f>
        <v>8505.31</v>
      </c>
      <c r="F1602" s="19" t="n">
        <f aca="false">'SALES Raw'!E2358*$H$4</f>
        <v>26.5263157894737</v>
      </c>
      <c r="G1602" s="19" t="n">
        <f aca="false">'SALES Raw'!F2358*$H$4</f>
        <v>1045.51578947368</v>
      </c>
      <c r="H1602" s="18" t="str">
        <f aca="false">'SALES Raw'!A2358</f>
        <v>114 - IL online</v>
      </c>
    </row>
    <row r="1603" customFormat="false" ht="15" hidden="false" customHeight="false" outlineLevel="0" collapsed="false">
      <c r="A1603" s="18" t="n">
        <f aca="false">'SALES Raw'!G3140</f>
        <v>4408217</v>
      </c>
      <c r="B1603" s="18" t="str">
        <f aca="false">'SALES Raw'!B3140</f>
        <v>078 S</v>
      </c>
      <c r="C1603" s="18" t="str">
        <f aca="false">'SALES Raw'!H3140</f>
        <v>S078 חגורת גב +סגירה כפולה</v>
      </c>
      <c r="D1603" s="19" t="n">
        <f aca="false">'SALES Raw'!C3140</f>
        <v>21</v>
      </c>
      <c r="E1603" s="19" t="n">
        <f aca="false">'SALES Raw'!D3140</f>
        <v>1091.73</v>
      </c>
      <c r="F1603" s="19" t="n">
        <f aca="false">'SALES Raw'!E3140*$H$4</f>
        <v>26.5263157894737</v>
      </c>
      <c r="G1603" s="19" t="n">
        <f aca="false">'SALES Raw'!F3140*$H$4</f>
        <v>1289.49473684211</v>
      </c>
      <c r="H1603" s="18" t="str">
        <f aca="false">'SALES Raw'!A3140</f>
        <v>204 - Sanaflex Anatomic GREECE</v>
      </c>
    </row>
    <row r="1604" customFormat="false" ht="15" hidden="false" customHeight="false" outlineLevel="0" collapsed="false">
      <c r="A1604" s="18" t="n">
        <f aca="false">'SALES Raw'!G3219</f>
        <v>4421001</v>
      </c>
      <c r="B1604" s="18" t="str">
        <f aca="false">'SALES Raw'!B3219</f>
        <v>3611 0</v>
      </c>
      <c r="C1604" s="18" t="str">
        <f aca="false">'SALES Raw'!H3219</f>
        <v>3611 שרוול מטטרזלי מסיליקון</v>
      </c>
      <c r="D1604" s="19" t="n">
        <f aca="false">'SALES Raw'!C3219</f>
        <v>0</v>
      </c>
      <c r="E1604" s="19" t="n">
        <f aca="false">'SALES Raw'!D3219</f>
        <v>0</v>
      </c>
      <c r="F1604" s="19" t="n">
        <f aca="false">'SALES Raw'!E3219*$H$4</f>
        <v>26.5263157894737</v>
      </c>
      <c r="G1604" s="19" t="n">
        <f aca="false">'SALES Raw'!F3219*$H$4</f>
        <v>742.231578947369</v>
      </c>
      <c r="H1604" s="18" t="str">
        <f aca="false">'SALES Raw'!A3219</f>
        <v>204 - Sanaflex Anatomic GREECE</v>
      </c>
    </row>
    <row r="1605" customFormat="false" ht="15" hidden="false" customHeight="false" outlineLevel="0" collapsed="false">
      <c r="A1605" s="18" t="str">
        <f aca="false">'SALES Raw'!G3267</f>
        <v/>
      </c>
      <c r="B1605" s="18" t="str">
        <f aca="false">'SALES Raw'!B3267</f>
        <v>45C XXL</v>
      </c>
      <c r="C1605" s="18" t="str">
        <f aca="false">'SALES Raw'!H3267</f>
        <v>45C XXL</v>
      </c>
      <c r="D1605" s="19" t="n">
        <f aca="false">'SALES Raw'!C3267</f>
        <v>65</v>
      </c>
      <c r="E1605" s="19" t="n">
        <f aca="false">'SALES Raw'!D3267</f>
        <v>681.17</v>
      </c>
      <c r="F1605" s="19" t="n">
        <f aca="false">'SALES Raw'!E3267*$H$4</f>
        <v>26.5263157894737</v>
      </c>
      <c r="G1605" s="19" t="n">
        <f aca="false">'SALES Raw'!F3267*$H$4</f>
        <v>251.924210526316</v>
      </c>
      <c r="H1605" s="18" t="str">
        <f aca="false">'SALES Raw'!A3267</f>
        <v>204 - Sanaflex Anatomic GREECE</v>
      </c>
    </row>
    <row r="1606" customFormat="false" ht="15" hidden="false" customHeight="false" outlineLevel="0" collapsed="false">
      <c r="A1606" s="18" t="n">
        <f aca="false">'SALES Raw'!G155</f>
        <v>4403042</v>
      </c>
      <c r="B1606" s="18" t="str">
        <f aca="false">'SALES Raw'!B155</f>
        <v>397A-39-42</v>
      </c>
      <c r="C1606" s="18" t="str">
        <f aca="false">'SALES Raw'!H155</f>
        <v>397A-גרבי טיסה אנטי בקטרי39-42</v>
      </c>
      <c r="D1606" s="19" t="n">
        <f aca="false">'SALES Raw'!C155</f>
        <v>0</v>
      </c>
      <c r="E1606" s="19" t="n">
        <f aca="false">'SALES Raw'!D155</f>
        <v>0</v>
      </c>
      <c r="F1606" s="19" t="n">
        <f aca="false">'SALES Raw'!E155*$H$4</f>
        <v>25.2631578947368</v>
      </c>
      <c r="G1606" s="19" t="n">
        <f aca="false">'SALES Raw'!F155*$H$4</f>
        <v>1610.96842105263</v>
      </c>
      <c r="H1606" s="18" t="str">
        <f aca="false">'SALES Raw'!A155</f>
        <v>101 - Factory customers</v>
      </c>
    </row>
    <row r="1607" customFormat="false" ht="15" hidden="false" customHeight="false" outlineLevel="0" collapsed="false">
      <c r="A1607" s="18" t="n">
        <f aca="false">'SALES Raw'!G156</f>
        <v>4403043</v>
      </c>
      <c r="B1607" s="18" t="str">
        <f aca="false">'SALES Raw'!B156</f>
        <v>397A-43-46</v>
      </c>
      <c r="C1607" s="18" t="str">
        <f aca="false">'SALES Raw'!H156</f>
        <v>397A-גרבי טיסה אנטי בקטרי43-46</v>
      </c>
      <c r="D1607" s="19" t="n">
        <f aca="false">'SALES Raw'!C156</f>
        <v>0</v>
      </c>
      <c r="E1607" s="19" t="n">
        <f aca="false">'SALES Raw'!D156</f>
        <v>0</v>
      </c>
      <c r="F1607" s="19" t="n">
        <f aca="false">'SALES Raw'!E156*$H$4</f>
        <v>25.2631578947368</v>
      </c>
      <c r="G1607" s="19" t="n">
        <f aca="false">'SALES Raw'!F156*$H$4</f>
        <v>1597.47789473684</v>
      </c>
      <c r="H1607" s="18" t="str">
        <f aca="false">'SALES Raw'!A156</f>
        <v>101 - Factory customers</v>
      </c>
    </row>
    <row r="1608" customFormat="false" ht="15" hidden="false" customHeight="false" outlineLevel="0" collapsed="false">
      <c r="A1608" s="18" t="n">
        <f aca="false">'SALES Raw'!G485</f>
        <v>4408267</v>
      </c>
      <c r="B1608" s="18" t="str">
        <f aca="false">'SALES Raw'!B485</f>
        <v>ST25 0</v>
      </c>
      <c r="C1608" s="18" t="str">
        <f aca="false">'SALES Raw'!H485</f>
        <v>ST25 חבק שורש לכף היד</v>
      </c>
      <c r="D1608" s="19" t="n">
        <f aca="false">'SALES Raw'!C485</f>
        <v>6</v>
      </c>
      <c r="E1608" s="19" t="n">
        <f aca="false">'SALES Raw'!D485</f>
        <v>218.46</v>
      </c>
      <c r="F1608" s="19" t="n">
        <f aca="false">'SALES Raw'!E485*$H$4</f>
        <v>25.2631578947368</v>
      </c>
      <c r="G1608" s="19" t="n">
        <f aca="false">'SALES Raw'!F485*$H$4</f>
        <v>1103.74736842105</v>
      </c>
      <c r="H1608" s="18" t="str">
        <f aca="false">'SALES Raw'!A485</f>
        <v>101 - Factory customers</v>
      </c>
    </row>
    <row r="1609" customFormat="false" ht="15" hidden="false" customHeight="false" outlineLevel="0" collapsed="false">
      <c r="A1609" s="18" t="n">
        <f aca="false">'SALES Raw'!G558</f>
        <v>4413099</v>
      </c>
      <c r="B1609" s="18" t="str">
        <f aca="false">'SALES Raw'!B558</f>
        <v>45C M</v>
      </c>
      <c r="C1609" s="18" t="str">
        <f aca="false">'SALES Raw'!H558</f>
        <v>45C M מגן ברך חום</v>
      </c>
      <c r="D1609" s="19" t="n">
        <f aca="false">'SALES Raw'!C558</f>
        <v>23</v>
      </c>
      <c r="E1609" s="19" t="n">
        <f aca="false">'SALES Raw'!D558</f>
        <v>630.59</v>
      </c>
      <c r="F1609" s="19" t="n">
        <f aca="false">'SALES Raw'!E558*$H$4</f>
        <v>25.2631578947368</v>
      </c>
      <c r="G1609" s="19" t="n">
        <f aca="false">'SALES Raw'!F558*$H$4</f>
        <v>716.362105263158</v>
      </c>
      <c r="H1609" s="18" t="str">
        <f aca="false">'SALES Raw'!A558</f>
        <v>102 - Orthopedic institutes</v>
      </c>
    </row>
    <row r="1610" customFormat="false" ht="15" hidden="false" customHeight="false" outlineLevel="0" collapsed="false">
      <c r="A1610" s="18" t="n">
        <f aca="false">'SALES Raw'!G675</f>
        <v>4408033</v>
      </c>
      <c r="B1610" s="18" t="str">
        <f aca="false">'SALES Raw'!B675</f>
        <v>11 M</v>
      </c>
      <c r="C1610" s="18" t="str">
        <f aca="false">'SALES Raw'!H675</f>
        <v>11 M""""חגורת בטן""""אורירית</v>
      </c>
      <c r="D1610" s="19" t="n">
        <f aca="false">'SALES Raw'!C675</f>
        <v>25</v>
      </c>
      <c r="E1610" s="19" t="n">
        <f aca="false">'SALES Raw'!D675</f>
        <v>2124.87</v>
      </c>
      <c r="F1610" s="19" t="n">
        <f aca="false">'SALES Raw'!E675*$H$4</f>
        <v>25.2631578947368</v>
      </c>
      <c r="G1610" s="19" t="n">
        <f aca="false">'SALES Raw'!F675*$H$4</f>
        <v>2147.26736842105</v>
      </c>
      <c r="H1610" s="18" t="str">
        <f aca="false">'SALES Raw'!A675</f>
        <v>102 - Orthopedic institutes</v>
      </c>
    </row>
    <row r="1611" customFormat="false" ht="15" hidden="false" customHeight="false" outlineLevel="0" collapsed="false">
      <c r="A1611" s="18" t="n">
        <f aca="false">'SALES Raw'!G702</f>
        <v>4413157</v>
      </c>
      <c r="B1611" s="18" t="str">
        <f aca="false">'SALES Raw'!B702</f>
        <v>305GA-43-44</v>
      </c>
      <c r="C1611" s="18" t="str">
        <f aca="false">'SALES Raw'!H702</f>
        <v>305GA מדרס אורטופ.מתכוון43-44</v>
      </c>
      <c r="D1611" s="19" t="n">
        <f aca="false">'SALES Raw'!C702</f>
        <v>18</v>
      </c>
      <c r="E1611" s="19" t="n">
        <f aca="false">'SALES Raw'!D702</f>
        <v>1368.01</v>
      </c>
      <c r="F1611" s="19" t="n">
        <f aca="false">'SALES Raw'!E702*$H$4</f>
        <v>25.2631578947368</v>
      </c>
      <c r="G1611" s="19" t="n">
        <f aca="false">'SALES Raw'!F702*$H$4</f>
        <v>2021.12842105263</v>
      </c>
      <c r="H1611" s="18" t="str">
        <f aca="false">'SALES Raw'!A702</f>
        <v>102 - Orthopedic institutes</v>
      </c>
    </row>
    <row r="1612" customFormat="false" ht="15" hidden="false" customHeight="false" outlineLevel="0" collapsed="false">
      <c r="A1612" s="18" t="n">
        <f aca="false">'SALES Raw'!G724</f>
        <v>4422033</v>
      </c>
      <c r="B1612" s="18" t="str">
        <f aca="false">'SALES Raw'!B724</f>
        <v>807CB-BL</v>
      </c>
      <c r="C1612" s="18" t="str">
        <f aca="false">'SALES Raw'!H724</f>
        <v>807CB-BLתחבושת נצמדת כחול20מ""""מ</v>
      </c>
      <c r="D1612" s="19" t="n">
        <f aca="false">'SALES Raw'!C724</f>
        <v>28</v>
      </c>
      <c r="E1612" s="19" t="n">
        <f aca="false">'SALES Raw'!D724</f>
        <v>253.86</v>
      </c>
      <c r="F1612" s="19" t="n">
        <f aca="false">'SALES Raw'!E724*$H$4</f>
        <v>25.2631578947368</v>
      </c>
      <c r="G1612" s="19" t="n">
        <f aca="false">'SALES Raw'!F724*$H$4</f>
        <v>318.517894736842</v>
      </c>
      <c r="H1612" s="18" t="str">
        <f aca="false">'SALES Raw'!A724</f>
        <v>102 - Orthopedic institutes</v>
      </c>
    </row>
    <row r="1613" customFormat="false" ht="15" hidden="false" customHeight="false" outlineLevel="0" collapsed="false">
      <c r="A1613" s="18" t="n">
        <f aca="false">'SALES Raw'!G740</f>
        <v>4408098</v>
      </c>
      <c r="B1613" s="18" t="str">
        <f aca="false">'SALES Raw'!B740</f>
        <v>T25 0</v>
      </c>
      <c r="C1613" s="18" t="str">
        <f aca="false">'SALES Raw'!H740</f>
        <v>T25-חבק יד אגודלי</v>
      </c>
      <c r="D1613" s="19" t="n">
        <f aca="false">'SALES Raw'!C740</f>
        <v>37</v>
      </c>
      <c r="E1613" s="19" t="n">
        <f aca="false">'SALES Raw'!D740</f>
        <v>1686.28</v>
      </c>
      <c r="F1613" s="19" t="n">
        <f aca="false">'SALES Raw'!E740*$H$4</f>
        <v>25.2631578947368</v>
      </c>
      <c r="G1613" s="19" t="n">
        <f aca="false">'SALES Raw'!F740*$H$4</f>
        <v>1182.88421052632</v>
      </c>
      <c r="H1613" s="18" t="str">
        <f aca="false">'SALES Raw'!A740</f>
        <v>102 - Orthopedic institutes</v>
      </c>
    </row>
    <row r="1614" customFormat="false" ht="15" hidden="false" customHeight="false" outlineLevel="0" collapsed="false">
      <c r="A1614" s="18" t="n">
        <f aca="false">'SALES Raw'!G895</f>
        <v>4403001</v>
      </c>
      <c r="B1614" s="18" t="str">
        <f aca="false">'SALES Raw'!B895</f>
        <v>390B-39-42</v>
      </c>
      <c r="C1614" s="18" t="str">
        <f aca="false">'SALES Raw'!H895</f>
        <v>390B 39-42.גרב.כסף לסכרתיים שח</v>
      </c>
      <c r="D1614" s="19" t="n">
        <f aca="false">'SALES Raw'!C895</f>
        <v>4</v>
      </c>
      <c r="E1614" s="19" t="n">
        <f aca="false">'SALES Raw'!D895</f>
        <v>108</v>
      </c>
      <c r="F1614" s="19" t="n">
        <f aca="false">'SALES Raw'!E895*$H$4</f>
        <v>25.2631578947368</v>
      </c>
      <c r="G1614" s="19" t="n">
        <f aca="false">'SALES Raw'!F895*$H$4</f>
        <v>477.827368421053</v>
      </c>
      <c r="H1614" s="18" t="str">
        <f aca="false">'SALES Raw'!A895</f>
        <v>102 - Orthopedic institutes</v>
      </c>
    </row>
    <row r="1615" customFormat="false" ht="15" hidden="false" customHeight="false" outlineLevel="0" collapsed="false">
      <c r="A1615" s="18" t="n">
        <f aca="false">'SALES Raw'!G896</f>
        <v>4403002</v>
      </c>
      <c r="B1615" s="18" t="str">
        <f aca="false">'SALES Raw'!B896</f>
        <v>390B-43-46</v>
      </c>
      <c r="C1615" s="18" t="str">
        <f aca="false">'SALES Raw'!H896</f>
        <v>390B 43-46.גרב.כסף לסכרתיים שח</v>
      </c>
      <c r="D1615" s="19" t="n">
        <f aca="false">'SALES Raw'!C896</f>
        <v>22</v>
      </c>
      <c r="E1615" s="19" t="n">
        <f aca="false">'SALES Raw'!D896</f>
        <v>594</v>
      </c>
      <c r="F1615" s="19" t="n">
        <f aca="false">'SALES Raw'!E896*$H$4</f>
        <v>25.2631578947368</v>
      </c>
      <c r="G1615" s="19" t="n">
        <f aca="false">'SALES Raw'!F896*$H$4</f>
        <v>682.105263157895</v>
      </c>
      <c r="H1615" s="18" t="str">
        <f aca="false">'SALES Raw'!A896</f>
        <v>102 - Orthopedic institutes</v>
      </c>
    </row>
    <row r="1616" customFormat="false" ht="15" hidden="false" customHeight="false" outlineLevel="0" collapsed="false">
      <c r="A1616" s="18" t="str">
        <f aca="false">'SALES Raw'!G1566</f>
        <v/>
      </c>
      <c r="B1616" s="18" t="str">
        <f aca="false">'SALES Raw'!B1566</f>
        <v>60B S</v>
      </c>
      <c r="C1616" s="18" t="str">
        <f aca="false">'SALES Raw'!H1566</f>
        <v>60B S</v>
      </c>
      <c r="D1616" s="19" t="n">
        <f aca="false">'SALES Raw'!C1566</f>
        <v>17</v>
      </c>
      <c r="E1616" s="19" t="n">
        <f aca="false">'SALES Raw'!D1566</f>
        <v>843.8</v>
      </c>
      <c r="F1616" s="19" t="n">
        <f aca="false">'SALES Raw'!E1566*$H$4</f>
        <v>25.2631578947368</v>
      </c>
      <c r="G1616" s="19" t="n">
        <f aca="false">'SALES Raw'!F1566*$H$4</f>
        <v>1253.93684210526</v>
      </c>
      <c r="H1616" s="18" t="str">
        <f aca="false">'SALES Raw'!A1566</f>
        <v>103 - Physiotherapy institutes</v>
      </c>
    </row>
    <row r="1617" customFormat="false" ht="15" hidden="false" customHeight="false" outlineLevel="0" collapsed="false">
      <c r="A1617" s="18" t="str">
        <f aca="false">'SALES Raw'!G2220</f>
        <v/>
      </c>
      <c r="B1617" s="18" t="str">
        <f aca="false">'SALES Raw'!B2220</f>
        <v>30 Days Trial</v>
      </c>
      <c r="C1617" s="18" t="str">
        <f aca="false">'SALES Raw'!H2220</f>
        <v>30 Days Trial</v>
      </c>
      <c r="D1617" s="19" t="n">
        <f aca="false">'SALES Raw'!C2220</f>
        <v>0</v>
      </c>
      <c r="E1617" s="19" t="n">
        <f aca="false">'SALES Raw'!D2220</f>
        <v>0</v>
      </c>
      <c r="F1617" s="19" t="n">
        <f aca="false">'SALES Raw'!E2220*$H$4</f>
        <v>25.2631578947368</v>
      </c>
      <c r="G1617" s="19" t="n">
        <f aca="false">'SALES Raw'!F2220*$H$4</f>
        <v>0</v>
      </c>
      <c r="H1617" s="18" t="str">
        <f aca="false">'SALES Raw'!A2220</f>
        <v>114 - IL online</v>
      </c>
    </row>
    <row r="1618" customFormat="false" ht="15" hidden="false" customHeight="false" outlineLevel="0" collapsed="false">
      <c r="A1618" s="18" t="n">
        <f aca="false">'SALES Raw'!G2474</f>
        <v>4418001</v>
      </c>
      <c r="B1618" s="18" t="str">
        <f aca="false">'SALES Raw'!B2474</f>
        <v>60 M</v>
      </c>
      <c r="C1618" s="18" t="str">
        <f aca="false">'SALES Raw'!H2474</f>
        <v>60 M צוארון ספוגי</v>
      </c>
      <c r="D1618" s="19" t="n">
        <f aca="false">'SALES Raw'!C2474</f>
        <v>7</v>
      </c>
      <c r="E1618" s="19" t="n">
        <f aca="false">'SALES Raw'!D2474</f>
        <v>592.35</v>
      </c>
      <c r="F1618" s="19" t="n">
        <f aca="false">'SALES Raw'!E2474*$H$4</f>
        <v>25.2631578947368</v>
      </c>
      <c r="G1618" s="19" t="n">
        <f aca="false">'SALES Raw'!F2474*$H$4</f>
        <v>2187.91578947368</v>
      </c>
      <c r="H1618" s="18" t="str">
        <f aca="false">'SALES Raw'!A2474</f>
        <v>114 - IL online</v>
      </c>
    </row>
    <row r="1619" customFormat="false" ht="15" hidden="false" customHeight="false" outlineLevel="0" collapsed="false">
      <c r="A1619" s="18" t="n">
        <f aca="false">'SALES Raw'!G2551</f>
        <v>4413518</v>
      </c>
      <c r="B1619" s="18" t="str">
        <f aca="false">'SALES Raw'!B2551</f>
        <v>85B XL</v>
      </c>
      <c r="C1619" s="18" t="str">
        <f aca="false">'SALES Raw'!H2551</f>
        <v>85B XL מתלה רשת לזרוע שחור</v>
      </c>
      <c r="D1619" s="19" t="n">
        <f aca="false">'SALES Raw'!C2551</f>
        <v>9</v>
      </c>
      <c r="E1619" s="19" t="n">
        <f aca="false">'SALES Raw'!D2551</f>
        <v>891.4</v>
      </c>
      <c r="F1619" s="19" t="n">
        <f aca="false">'SALES Raw'!E2551*$H$4</f>
        <v>25.2631578947368</v>
      </c>
      <c r="G1619" s="19" t="n">
        <f aca="false">'SALES Raw'!F2551*$H$4</f>
        <v>2562.58105263158</v>
      </c>
      <c r="H1619" s="18" t="str">
        <f aca="false">'SALES Raw'!A2551</f>
        <v>114 - IL online</v>
      </c>
    </row>
    <row r="1620" customFormat="false" ht="15" hidden="false" customHeight="false" outlineLevel="0" collapsed="false">
      <c r="A1620" s="18" t="n">
        <f aca="false">'SALES Raw'!G2595</f>
        <v>4408207</v>
      </c>
      <c r="B1620" s="18" t="str">
        <f aca="false">'SALES Raw'!B2595</f>
        <v>AC25 0</v>
      </c>
      <c r="C1620" s="18" t="str">
        <f aca="false">'SALES Raw'!H2595</f>
        <v>AC-25 חבק לשורש כף היד</v>
      </c>
      <c r="D1620" s="19" t="n">
        <f aca="false">'SALES Raw'!C2595</f>
        <v>25</v>
      </c>
      <c r="E1620" s="19" t="n">
        <f aca="false">'SALES Raw'!D2595</f>
        <v>1540.71</v>
      </c>
      <c r="F1620" s="19" t="n">
        <f aca="false">'SALES Raw'!E2595*$H$4</f>
        <v>25.2631578947368</v>
      </c>
      <c r="G1620" s="19" t="n">
        <f aca="false">'SALES Raw'!F2595*$H$4</f>
        <v>1667.84842105263</v>
      </c>
      <c r="H1620" s="18" t="str">
        <f aca="false">'SALES Raw'!A2595</f>
        <v>114 - IL online</v>
      </c>
    </row>
    <row r="1621" customFormat="false" ht="15" hidden="false" customHeight="false" outlineLevel="0" collapsed="false">
      <c r="A1621" s="18" t="str">
        <f aca="false">'SALES Raw'!G2689</f>
        <v/>
      </c>
      <c r="B1621" s="18" t="str">
        <f aca="false">'SALES Raw'!B2689</f>
        <v>ST433D 0</v>
      </c>
      <c r="C1621" s="18" t="str">
        <f aca="false">'SALES Raw'!H2689</f>
        <v>ST433D 0</v>
      </c>
      <c r="D1621" s="19" t="n">
        <f aca="false">'SALES Raw'!C2689</f>
        <v>0</v>
      </c>
      <c r="E1621" s="19" t="n">
        <f aca="false">'SALES Raw'!D2689</f>
        <v>0</v>
      </c>
      <c r="F1621" s="19" t="n">
        <f aca="false">'SALES Raw'!E2689*$H$4</f>
        <v>25.2631578947368</v>
      </c>
      <c r="G1621" s="19" t="n">
        <f aca="false">'SALES Raw'!F2689*$H$4</f>
        <v>9827.87368421053</v>
      </c>
      <c r="H1621" s="18" t="str">
        <f aca="false">'SALES Raw'!A2689</f>
        <v>114 - IL online</v>
      </c>
    </row>
    <row r="1622" customFormat="false" ht="15" hidden="false" customHeight="false" outlineLevel="0" collapsed="false">
      <c r="A1622" s="18" t="str">
        <f aca="false">'SALES Raw'!G2767</f>
        <v/>
      </c>
      <c r="B1622" s="18" t="str">
        <f aca="false">'SALES Raw'!B2767</f>
        <v>WEB-AC75-S-XL</v>
      </c>
      <c r="C1622" s="18" t="str">
        <f aca="false">'SALES Raw'!H2767</f>
        <v>WEB-AC75-S-XL</v>
      </c>
      <c r="D1622" s="19" t="n">
        <f aca="false">'SALES Raw'!C2767</f>
        <v>1815</v>
      </c>
      <c r="E1622" s="19" t="n">
        <f aca="false">'SALES Raw'!D2767</f>
        <v>240271.27</v>
      </c>
      <c r="F1622" s="19" t="n">
        <f aca="false">'SALES Raw'!E2767*$H$4</f>
        <v>25.2631578947368</v>
      </c>
      <c r="G1622" s="19" t="n">
        <f aca="false">'SALES Raw'!F2767*$H$4</f>
        <v>3419.11578947368</v>
      </c>
      <c r="H1622" s="18" t="str">
        <f aca="false">'SALES Raw'!A2767</f>
        <v>114 - IL online</v>
      </c>
    </row>
    <row r="1623" customFormat="false" ht="15" hidden="false" customHeight="false" outlineLevel="0" collapsed="false">
      <c r="A1623" s="18" t="n">
        <f aca="false">'SALES Raw'!G2845</f>
        <v>4416000</v>
      </c>
      <c r="B1623" s="18" t="str">
        <f aca="false">'SALES Raw'!B2845</f>
        <v>307 L</v>
      </c>
      <c r="C1623" s="18" t="str">
        <f aca="false">'SALES Raw'!H2845</f>
        <v>307 L עקבים לדורבן-זוג כריות</v>
      </c>
      <c r="D1623" s="19" t="n">
        <f aca="false">'SALES Raw'!C2845</f>
        <v>20</v>
      </c>
      <c r="E1623" s="19" t="n">
        <f aca="false">'SALES Raw'!D2845</f>
        <v>771.24</v>
      </c>
      <c r="F1623" s="19" t="n">
        <f aca="false">'SALES Raw'!E2845*$H$4</f>
        <v>25.2631578947368</v>
      </c>
      <c r="G1623" s="19" t="n">
        <f aca="false">'SALES Raw'!F2845*$H$4</f>
        <v>910.029473684211</v>
      </c>
      <c r="H1623" s="18" t="str">
        <f aca="false">'SALES Raw'!A2845</f>
        <v>201- Seven Gear FINLAND oy</v>
      </c>
    </row>
    <row r="1624" customFormat="false" ht="15" hidden="false" customHeight="false" outlineLevel="0" collapsed="false">
      <c r="A1624" s="18" t="n">
        <f aca="false">'SALES Raw'!G2849</f>
        <v>4413490</v>
      </c>
      <c r="B1624" s="18" t="str">
        <f aca="false">'SALES Raw'!B2849</f>
        <v>35B L</v>
      </c>
      <c r="C1624" s="18" t="str">
        <f aca="false">'SALES Raw'!H2849</f>
        <v>35B L מגן קרסול שחור</v>
      </c>
      <c r="D1624" s="19" t="n">
        <f aca="false">'SALES Raw'!C2849</f>
        <v>40</v>
      </c>
      <c r="E1624" s="19" t="n">
        <f aca="false">'SALES Raw'!D2849</f>
        <v>467.91</v>
      </c>
      <c r="F1624" s="19" t="n">
        <f aca="false">'SALES Raw'!E2849*$H$4</f>
        <v>25.2631578947368</v>
      </c>
      <c r="G1624" s="19" t="n">
        <f aca="false">'SALES Raw'!F2849*$H$4</f>
        <v>277.932631578947</v>
      </c>
      <c r="H1624" s="18" t="str">
        <f aca="false">'SALES Raw'!A2849</f>
        <v>201- Seven Gear FINLAND oy</v>
      </c>
    </row>
    <row r="1625" customFormat="false" ht="15" hidden="false" customHeight="false" outlineLevel="0" collapsed="false">
      <c r="A1625" s="18" t="n">
        <f aca="false">'SALES Raw'!G2879</f>
        <v>4413500</v>
      </c>
      <c r="B1625" s="18" t="str">
        <f aca="false">'SALES Raw'!B2879</f>
        <v>95B L</v>
      </c>
      <c r="C1625" s="18" t="str">
        <f aca="false">'SALES Raw'!H2879</f>
        <v>95B L מגן מרפק שחור</v>
      </c>
      <c r="D1625" s="19" t="n">
        <f aca="false">'SALES Raw'!C2879</f>
        <v>10</v>
      </c>
      <c r="E1625" s="19" t="n">
        <f aca="false">'SALES Raw'!D2879</f>
        <v>114.58</v>
      </c>
      <c r="F1625" s="19" t="n">
        <f aca="false">'SALES Raw'!E2879*$H$4</f>
        <v>25.2631578947368</v>
      </c>
      <c r="G1625" s="19" t="n">
        <f aca="false">'SALES Raw'!F2879*$H$4</f>
        <v>277.932631578947</v>
      </c>
      <c r="H1625" s="18" t="str">
        <f aca="false">'SALES Raw'!A2879</f>
        <v>201- Seven Gear FINLAND oy</v>
      </c>
    </row>
    <row r="1626" customFormat="false" ht="15" hidden="false" customHeight="false" outlineLevel="0" collapsed="false">
      <c r="A1626" s="18" t="n">
        <f aca="false">'SALES Raw'!G2881</f>
        <v>4413503</v>
      </c>
      <c r="B1626" s="18" t="str">
        <f aca="false">'SALES Raw'!B2881</f>
        <v>95B XL</v>
      </c>
      <c r="C1626" s="18" t="str">
        <f aca="false">'SALES Raw'!H2881</f>
        <v>95B XL מגן מרפק שחור</v>
      </c>
      <c r="D1626" s="19" t="n">
        <f aca="false">'SALES Raw'!C2881</f>
        <v>10</v>
      </c>
      <c r="E1626" s="19" t="n">
        <f aca="false">'SALES Raw'!D2881</f>
        <v>117.78</v>
      </c>
      <c r="F1626" s="19" t="n">
        <f aca="false">'SALES Raw'!E2881*$H$4</f>
        <v>25.2631578947368</v>
      </c>
      <c r="G1626" s="19" t="n">
        <f aca="false">'SALES Raw'!F2881*$H$4</f>
        <v>277.932631578947</v>
      </c>
      <c r="H1626" s="18" t="str">
        <f aca="false">'SALES Raw'!A2881</f>
        <v>201- Seven Gear FINLAND oy</v>
      </c>
    </row>
    <row r="1627" customFormat="false" ht="15" hidden="false" customHeight="false" outlineLevel="0" collapsed="false">
      <c r="A1627" s="18" t="n">
        <f aca="false">'SALES Raw'!G2890</f>
        <v>4408208</v>
      </c>
      <c r="B1627" s="18" t="str">
        <f aca="false">'SALES Raw'!B2890</f>
        <v>AC91 0</v>
      </c>
      <c r="C1627" s="18" t="str">
        <f aca="false">'SALES Raw'!H2890</f>
        <v>AC91 חבק טניס</v>
      </c>
      <c r="D1627" s="19" t="n">
        <f aca="false">'SALES Raw'!C2890</f>
        <v>70</v>
      </c>
      <c r="E1627" s="19" t="n">
        <f aca="false">'SALES Raw'!D2890</f>
        <v>1192.26</v>
      </c>
      <c r="F1627" s="19" t="n">
        <f aca="false">'SALES Raw'!E2890*$H$4</f>
        <v>25.2631578947368</v>
      </c>
      <c r="G1627" s="19" t="n">
        <f aca="false">'SALES Raw'!F2890*$H$4</f>
        <v>398.981052631579</v>
      </c>
      <c r="H1627" s="18" t="str">
        <f aca="false">'SALES Raw'!A2890</f>
        <v>201- Seven Gear FINLAND oy</v>
      </c>
    </row>
    <row r="1628" customFormat="false" ht="15" hidden="false" customHeight="false" outlineLevel="0" collapsed="false">
      <c r="A1628" s="18" t="n">
        <f aca="false">'SALES Raw'!G2891</f>
        <v>4413331</v>
      </c>
      <c r="B1628" s="18" t="str">
        <f aca="false">'SALES Raw'!B2891</f>
        <v>AC95 0</v>
      </c>
      <c r="C1628" s="18" t="str">
        <f aca="false">'SALES Raw'!H2891</f>
        <v>AC95 מגן מרפק</v>
      </c>
      <c r="D1628" s="19" t="n">
        <f aca="false">'SALES Raw'!C2891</f>
        <v>20</v>
      </c>
      <c r="E1628" s="19" t="n">
        <f aca="false">'SALES Raw'!D2891</f>
        <v>348.53</v>
      </c>
      <c r="F1628" s="19" t="n">
        <f aca="false">'SALES Raw'!E2891*$H$4</f>
        <v>25.2631578947368</v>
      </c>
      <c r="G1628" s="19" t="n">
        <f aca="false">'SALES Raw'!F2891*$H$4</f>
        <v>416.905263157895</v>
      </c>
      <c r="H1628" s="18" t="str">
        <f aca="false">'SALES Raw'!A2891</f>
        <v>201- Seven Gear FINLAND oy</v>
      </c>
    </row>
    <row r="1629" customFormat="false" ht="15" hidden="false" customHeight="false" outlineLevel="0" collapsed="false">
      <c r="A1629" s="18" t="n">
        <f aca="false">'SALES Raw'!G2901</f>
        <v>4408032</v>
      </c>
      <c r="B1629" s="18" t="str">
        <f aca="false">'SALES Raw'!B2901</f>
        <v>11 L</v>
      </c>
      <c r="C1629" s="18" t="str">
        <f aca="false">'SALES Raw'!H2901</f>
        <v>11 L""""חגורת בטן""""אורירית</v>
      </c>
      <c r="D1629" s="19" t="n">
        <f aca="false">'SALES Raw'!C2901</f>
        <v>86</v>
      </c>
      <c r="E1629" s="19" t="n">
        <f aca="false">'SALES Raw'!D2901</f>
        <v>6914.07</v>
      </c>
      <c r="F1629" s="19" t="n">
        <f aca="false">'SALES Raw'!E2901*$H$4</f>
        <v>25.2631578947368</v>
      </c>
      <c r="G1629" s="19" t="n">
        <f aca="false">'SALES Raw'!F2901*$H$4</f>
        <v>1881.04421052632</v>
      </c>
      <c r="H1629" s="18" t="str">
        <f aca="false">'SALES Raw'!A2901</f>
        <v>202 - Super-Pharm POLAND</v>
      </c>
    </row>
    <row r="1630" customFormat="false" ht="15" hidden="false" customHeight="false" outlineLevel="0" collapsed="false">
      <c r="A1630" s="18" t="n">
        <f aca="false">'SALES Raw'!G2989</f>
        <v>4413137</v>
      </c>
      <c r="B1630" s="18" t="str">
        <f aca="false">'SALES Raw'!B2989</f>
        <v>85 S</v>
      </c>
      <c r="C1630" s="18" t="str">
        <f aca="false">'SALES Raw'!H2989</f>
        <v>85 S (מתלה ליד )כיס</v>
      </c>
      <c r="D1630" s="19" t="n">
        <f aca="false">'SALES Raw'!C2989</f>
        <v>110</v>
      </c>
      <c r="E1630" s="19" t="n">
        <f aca="false">'SALES Raw'!D2989</f>
        <v>3432.26</v>
      </c>
      <c r="F1630" s="19" t="n">
        <f aca="false">'SALES Raw'!E2989*$H$4</f>
        <v>25.2631578947368</v>
      </c>
      <c r="G1630" s="19" t="n">
        <f aca="false">'SALES Raw'!F2989*$H$4</f>
        <v>737.658947368421</v>
      </c>
      <c r="H1630" s="18" t="str">
        <f aca="false">'SALES Raw'!A2989</f>
        <v>202 - Super-Pharm POLAND</v>
      </c>
    </row>
    <row r="1631" customFormat="false" ht="15" hidden="false" customHeight="false" outlineLevel="0" collapsed="false">
      <c r="A1631" s="18" t="n">
        <f aca="false">'SALES Raw'!G2994</f>
        <v>4413141</v>
      </c>
      <c r="B1631" s="18" t="str">
        <f aca="false">'SALES Raw'!B2994</f>
        <v>95 S</v>
      </c>
      <c r="C1631" s="18" t="str">
        <f aca="false">'SALES Raw'!H2994</f>
        <v>95 S מגן מרפק רגיל לבן</v>
      </c>
      <c r="D1631" s="19" t="n">
        <f aca="false">'SALES Raw'!C2994</f>
        <v>90</v>
      </c>
      <c r="E1631" s="19" t="n">
        <f aca="false">'SALES Raw'!D2994</f>
        <v>1304.22</v>
      </c>
      <c r="F1631" s="19" t="n">
        <f aca="false">'SALES Raw'!E2994*$H$4</f>
        <v>25.2631578947368</v>
      </c>
      <c r="G1631" s="19" t="n">
        <f aca="false">'SALES Raw'!F2994*$H$4</f>
        <v>341.166315789474</v>
      </c>
      <c r="H1631" s="18" t="str">
        <f aca="false">'SALES Raw'!A2994</f>
        <v>202 - Super-Pharm POLAND</v>
      </c>
    </row>
    <row r="1632" customFormat="false" ht="15" hidden="false" customHeight="false" outlineLevel="0" collapsed="false">
      <c r="A1632" s="18" t="n">
        <f aca="false">'SALES Raw'!G2999</f>
        <v>4413365</v>
      </c>
      <c r="B1632" s="18" t="str">
        <f aca="false">'SALES Raw'!B2999</f>
        <v>95C L</v>
      </c>
      <c r="C1632" s="18" t="str">
        <f aca="false">'SALES Raw'!H2999</f>
        <v>95C L 'מגן מרפק בז</v>
      </c>
      <c r="D1632" s="19" t="n">
        <f aca="false">'SALES Raw'!C2999</f>
        <v>140</v>
      </c>
      <c r="E1632" s="19" t="n">
        <f aca="false">'SALES Raw'!D2999</f>
        <v>2022.47</v>
      </c>
      <c r="F1632" s="19" t="n">
        <f aca="false">'SALES Raw'!E2999*$H$4</f>
        <v>25.2631578947368</v>
      </c>
      <c r="G1632" s="19" t="n">
        <f aca="false">'SALES Raw'!F2999*$H$4</f>
        <v>316.067368421053</v>
      </c>
      <c r="H1632" s="18" t="str">
        <f aca="false">'SALES Raw'!A2999</f>
        <v>202 - Super-Pharm POLAND</v>
      </c>
    </row>
    <row r="1633" customFormat="false" ht="15" hidden="false" customHeight="false" outlineLevel="0" collapsed="false">
      <c r="A1633" s="18" t="n">
        <f aca="false">'SALES Raw'!G3028</f>
        <v>4408190</v>
      </c>
      <c r="B1633" s="18" t="str">
        <f aca="false">'SALES Raw'!B3028</f>
        <v>078 M</v>
      </c>
      <c r="C1633" s="18" t="str">
        <f aca="false">'SALES Raw'!H3028</f>
        <v>M078 חגורת גב +סגירה כפולה</v>
      </c>
      <c r="D1633" s="19" t="n">
        <f aca="false">'SALES Raw'!C3028</f>
        <v>10</v>
      </c>
      <c r="E1633" s="19" t="n">
        <f aca="false">'SALES Raw'!D3028</f>
        <v>574.7</v>
      </c>
      <c r="F1633" s="19" t="n">
        <f aca="false">'SALES Raw'!E3028*$H$4</f>
        <v>25.2631578947368</v>
      </c>
      <c r="G1633" s="19" t="n">
        <f aca="false">'SALES Raw'!F3028*$H$4</f>
        <v>1213.25052631579</v>
      </c>
      <c r="H1633" s="18" t="str">
        <f aca="false">'SALES Raw'!A3028</f>
        <v>203 - Ortho- Partner ag SWITZERLAND</v>
      </c>
    </row>
    <row r="1634" customFormat="false" ht="15" hidden="false" customHeight="false" outlineLevel="0" collapsed="false">
      <c r="A1634" s="18" t="n">
        <f aca="false">'SALES Raw'!G3030</f>
        <v>4408218</v>
      </c>
      <c r="B1634" s="18" t="str">
        <f aca="false">'SALES Raw'!B3030</f>
        <v>078 XL</v>
      </c>
      <c r="C1634" s="18" t="str">
        <f aca="false">'SALES Raw'!H3030</f>
        <v>078XL חגורת גב +סגירה כפולה</v>
      </c>
      <c r="D1634" s="19" t="n">
        <f aca="false">'SALES Raw'!C3030</f>
        <v>20</v>
      </c>
      <c r="E1634" s="19" t="n">
        <f aca="false">'SALES Raw'!D3030</f>
        <v>1149.41</v>
      </c>
      <c r="F1634" s="19" t="n">
        <f aca="false">'SALES Raw'!E3030*$H$4</f>
        <v>25.2631578947368</v>
      </c>
      <c r="G1634" s="19" t="n">
        <f aca="false">'SALES Raw'!F3030*$H$4</f>
        <v>1213.25052631579</v>
      </c>
      <c r="H1634" s="18" t="str">
        <f aca="false">'SALES Raw'!A3030</f>
        <v>203 - Ortho- Partner ag SWITZERLAND</v>
      </c>
    </row>
    <row r="1635" customFormat="false" ht="15" hidden="false" customHeight="false" outlineLevel="0" collapsed="false">
      <c r="A1635" s="18" t="n">
        <f aca="false">'SALES Raw'!G3057</f>
        <v>4411029</v>
      </c>
      <c r="B1635" s="18" t="str">
        <f aca="false">'SALES Raw'!B3057</f>
        <v>213CTSR L</v>
      </c>
      <c r="C1635" s="18" t="str">
        <f aca="false">'SALES Raw'!H3057</f>
        <v>213CTSR L ימין CTS כפפות</v>
      </c>
      <c r="D1635" s="19" t="n">
        <f aca="false">'SALES Raw'!C3057</f>
        <v>15</v>
      </c>
      <c r="E1635" s="19" t="n">
        <f aca="false">'SALES Raw'!D3057</f>
        <v>575.1</v>
      </c>
      <c r="F1635" s="19" t="n">
        <f aca="false">'SALES Raw'!E3057*$H$4</f>
        <v>25.2631578947368</v>
      </c>
      <c r="G1635" s="19" t="n">
        <f aca="false">'SALES Raw'!F3057*$H$4</f>
        <v>913.831578947369</v>
      </c>
      <c r="H1635" s="18" t="str">
        <f aca="false">'SALES Raw'!A3057</f>
        <v>203 - Ortho- Partner ag SWITZERLAND</v>
      </c>
    </row>
    <row r="1636" customFormat="false" ht="15" hidden="false" customHeight="false" outlineLevel="0" collapsed="false">
      <c r="A1636" s="18" t="n">
        <f aca="false">'SALES Raw'!G3118</f>
        <v>4422039</v>
      </c>
      <c r="B1636" s="18" t="str">
        <f aca="false">'SALES Raw'!B3118</f>
        <v>SH422 3</v>
      </c>
      <c r="C1636" s="18" t="str">
        <f aca="false">'SALES Raw'!H3118</f>
        <v>SH422 3 תומך ברך גנושילד</v>
      </c>
      <c r="D1636" s="19" t="n">
        <f aca="false">'SALES Raw'!C3118</f>
        <v>7</v>
      </c>
      <c r="E1636" s="19" t="n">
        <f aca="false">'SALES Raw'!D3118</f>
        <v>524.72</v>
      </c>
      <c r="F1636" s="19" t="n">
        <f aca="false">'SALES Raw'!E3118*$H$4</f>
        <v>25.2631578947368</v>
      </c>
      <c r="G1636" s="19" t="n">
        <f aca="false">'SALES Raw'!F3118*$H$4</f>
        <v>2033.53263157895</v>
      </c>
      <c r="H1636" s="18" t="str">
        <f aca="false">'SALES Raw'!A3118</f>
        <v>203 - Ortho- Partner ag SWITZERLAND</v>
      </c>
    </row>
    <row r="1637" customFormat="false" ht="15" hidden="false" customHeight="false" outlineLevel="0" collapsed="false">
      <c r="A1637" s="18" t="n">
        <f aca="false">'SALES Raw'!G3172</f>
        <v>4415000</v>
      </c>
      <c r="B1637" s="18" t="str">
        <f aca="false">'SALES Raw'!B3172</f>
        <v>26 L</v>
      </c>
      <c r="C1637" s="18" t="str">
        <f aca="false">'SALES Raw'!H3172</f>
        <v>26 L סד ליד דו צדדי לאחר שבר</v>
      </c>
      <c r="D1637" s="19" t="n">
        <f aca="false">'SALES Raw'!C3172</f>
        <v>78</v>
      </c>
      <c r="E1637" s="19" t="n">
        <f aca="false">'SALES Raw'!D3172</f>
        <v>3401.19</v>
      </c>
      <c r="F1637" s="19" t="n">
        <f aca="false">'SALES Raw'!E3172*$H$4</f>
        <v>25.2631578947368</v>
      </c>
      <c r="G1637" s="19" t="n">
        <f aca="false">'SALES Raw'!F3172*$H$4</f>
        <v>986.475789473684</v>
      </c>
      <c r="H1637" s="18" t="str">
        <f aca="false">'SALES Raw'!A3172</f>
        <v>204 - Sanaflex Anatomic GREECE</v>
      </c>
    </row>
    <row r="1638" customFormat="false" ht="15" hidden="false" customHeight="false" outlineLevel="0" collapsed="false">
      <c r="A1638" s="18" t="n">
        <f aca="false">'SALES Raw'!G3256</f>
        <v>4413094</v>
      </c>
      <c r="B1638" s="18" t="str">
        <f aca="false">'SALES Raw'!B3256</f>
        <v>45 S</v>
      </c>
      <c r="C1638" s="18" t="str">
        <f aca="false">'SALES Raw'!H3256</f>
        <v>45 S מגן ברך לבן</v>
      </c>
      <c r="D1638" s="19" t="n">
        <f aca="false">'SALES Raw'!C3256</f>
        <v>6</v>
      </c>
      <c r="E1638" s="19" t="n">
        <f aca="false">'SALES Raw'!D3256</f>
        <v>59.89</v>
      </c>
      <c r="F1638" s="19" t="n">
        <f aca="false">'SALES Raw'!E3256*$H$4</f>
        <v>25.2631578947368</v>
      </c>
      <c r="G1638" s="19" t="n">
        <f aca="false">'SALES Raw'!F3256*$H$4</f>
        <v>238.901052631579</v>
      </c>
      <c r="H1638" s="18" t="str">
        <f aca="false">'SALES Raw'!A3256</f>
        <v>204 - Sanaflex Anatomic GREECE</v>
      </c>
    </row>
    <row r="1639" customFormat="false" ht="15" hidden="false" customHeight="false" outlineLevel="0" collapsed="false">
      <c r="A1639" s="18" t="str">
        <f aca="false">'SALES Raw'!G3279</f>
        <v/>
      </c>
      <c r="B1639" s="18" t="str">
        <f aca="false">'SALES Raw'!B3279</f>
        <v>61 L</v>
      </c>
      <c r="C1639" s="18" t="str">
        <f aca="false">'SALES Raw'!H3279</f>
        <v>61 L</v>
      </c>
      <c r="D1639" s="19" t="n">
        <f aca="false">'SALES Raw'!C3279</f>
        <v>160</v>
      </c>
      <c r="E1639" s="19" t="n">
        <f aca="false">'SALES Raw'!D3279</f>
        <v>2814.71</v>
      </c>
      <c r="F1639" s="19" t="n">
        <f aca="false">'SALES Raw'!E3279*$H$4</f>
        <v>25.2631578947368</v>
      </c>
      <c r="G1639" s="19" t="n">
        <f aca="false">'SALES Raw'!F3279*$H$4</f>
        <v>400.332631578947</v>
      </c>
      <c r="H1639" s="18" t="str">
        <f aca="false">'SALES Raw'!A3279</f>
        <v>204 - Sanaflex Anatomic GREECE</v>
      </c>
    </row>
    <row r="1640" customFormat="false" ht="15" hidden="false" customHeight="false" outlineLevel="0" collapsed="false">
      <c r="A1640" s="18" t="str">
        <f aca="false">'SALES Raw'!G3374</f>
        <v/>
      </c>
      <c r="B1640" s="18" t="str">
        <f aca="false">'SALES Raw'!B3374</f>
        <v>ST27L 0</v>
      </c>
      <c r="C1640" s="18" t="str">
        <f aca="false">'SALES Raw'!H3374</f>
        <v>ST27L 0</v>
      </c>
      <c r="D1640" s="19" t="n">
        <f aca="false">'SALES Raw'!C3374</f>
        <v>10</v>
      </c>
      <c r="E1640" s="19" t="n">
        <f aca="false">'SALES Raw'!D3374</f>
        <v>183.25</v>
      </c>
      <c r="F1640" s="19" t="n">
        <f aca="false">'SALES Raw'!E3374*$H$4</f>
        <v>25.2631578947368</v>
      </c>
      <c r="G1640" s="19" t="n">
        <f aca="false">'SALES Raw'!F3374*$H$4</f>
        <v>432.277894736842</v>
      </c>
      <c r="H1640" s="18" t="str">
        <f aca="false">'SALES Raw'!A3374</f>
        <v>205 - Health Care Prod. Gmbh GERMANY</v>
      </c>
    </row>
    <row r="1641" customFormat="false" ht="15" hidden="false" customHeight="false" outlineLevel="0" collapsed="false">
      <c r="A1641" s="18" t="str">
        <f aca="false">'SALES Raw'!G3375</f>
        <v/>
      </c>
      <c r="B1641" s="18" t="str">
        <f aca="false">'SALES Raw'!B3375</f>
        <v>ST27R 0</v>
      </c>
      <c r="C1641" s="18" t="str">
        <f aca="false">'SALES Raw'!H3375</f>
        <v>ST27R 0</v>
      </c>
      <c r="D1641" s="19" t="n">
        <f aca="false">'SALES Raw'!C3375</f>
        <v>10</v>
      </c>
      <c r="E1641" s="19" t="n">
        <f aca="false">'SALES Raw'!D3375</f>
        <v>183.25</v>
      </c>
      <c r="F1641" s="19" t="n">
        <f aca="false">'SALES Raw'!E3375*$H$4</f>
        <v>25.2631578947368</v>
      </c>
      <c r="G1641" s="19" t="n">
        <f aca="false">'SALES Raw'!F3375*$H$4</f>
        <v>432.277894736842</v>
      </c>
      <c r="H1641" s="18" t="str">
        <f aca="false">'SALES Raw'!A3375</f>
        <v>205 - Health Care Prod. Gmbh GERMANY</v>
      </c>
    </row>
    <row r="1642" customFormat="false" ht="15" hidden="false" customHeight="false" outlineLevel="0" collapsed="false">
      <c r="A1642" s="18" t="n">
        <f aca="false">'SALES Raw'!G3506</f>
        <v>4416002</v>
      </c>
      <c r="B1642" s="18" t="str">
        <f aca="false">'SALES Raw'!B3506</f>
        <v>307 S</v>
      </c>
      <c r="C1642" s="18" t="str">
        <f aca="false">'SALES Raw'!H3506</f>
        <v>307 S עקבים לדורבן-זוג כריות</v>
      </c>
      <c r="D1642" s="19" t="n">
        <f aca="false">'SALES Raw'!C3506</f>
        <v>25</v>
      </c>
      <c r="E1642" s="19" t="n">
        <f aca="false">'SALES Raw'!D3506</f>
        <v>645.74</v>
      </c>
      <c r="F1642" s="19" t="n">
        <f aca="false">'SALES Raw'!E3506*$H$4</f>
        <v>25.2631578947368</v>
      </c>
      <c r="G1642" s="19" t="n">
        <f aca="false">'SALES Raw'!F3506*$H$4</f>
        <v>737.545263157895</v>
      </c>
      <c r="H1642" s="18" t="str">
        <f aca="false">'SALES Raw'!A3506</f>
        <v>207 - Salus HUNGARY</v>
      </c>
    </row>
    <row r="1643" customFormat="false" ht="15" hidden="false" customHeight="false" outlineLevel="0" collapsed="false">
      <c r="A1643" s="18" t="n">
        <f aca="false">'SALES Raw'!G3508</f>
        <v>4416003</v>
      </c>
      <c r="B1643" s="18" t="str">
        <f aca="false">'SALES Raw'!B3508</f>
        <v>308 L</v>
      </c>
      <c r="C1643" s="18" t="str">
        <f aca="false">'SALES Raw'!H3508</f>
        <v>308 Lעקבים סיליקון כחול לדורבן</v>
      </c>
      <c r="D1643" s="19" t="n">
        <f aca="false">'SALES Raw'!C3508</f>
        <v>12</v>
      </c>
      <c r="E1643" s="19" t="n">
        <f aca="false">'SALES Raw'!D3508</f>
        <v>288.86</v>
      </c>
      <c r="F1643" s="19" t="n">
        <f aca="false">'SALES Raw'!E3508*$H$4</f>
        <v>25.2631578947368</v>
      </c>
      <c r="G1643" s="19" t="n">
        <f aca="false">'SALES Raw'!F3508*$H$4</f>
        <v>523.957894736842</v>
      </c>
      <c r="H1643" s="18" t="str">
        <f aca="false">'SALES Raw'!A3508</f>
        <v>207 - Salus HUNGARY</v>
      </c>
    </row>
    <row r="1644" customFormat="false" ht="15" hidden="false" customHeight="false" outlineLevel="0" collapsed="false">
      <c r="A1644" s="18" t="n">
        <f aca="false">'SALES Raw'!G3509</f>
        <v>4416005</v>
      </c>
      <c r="B1644" s="18" t="str">
        <f aca="false">'SALES Raw'!B3509</f>
        <v>308 M</v>
      </c>
      <c r="C1644" s="18" t="str">
        <f aca="false">'SALES Raw'!H3509</f>
        <v>308 Mעקבים סיליק.כחול לדורבן</v>
      </c>
      <c r="D1644" s="19" t="n">
        <f aca="false">'SALES Raw'!C3509</f>
        <v>39</v>
      </c>
      <c r="E1644" s="19" t="n">
        <f aca="false">'SALES Raw'!D3509</f>
        <v>902.29</v>
      </c>
      <c r="F1644" s="19" t="n">
        <f aca="false">'SALES Raw'!E3509*$H$4</f>
        <v>25.2631578947368</v>
      </c>
      <c r="G1644" s="19" t="n">
        <f aca="false">'SALES Raw'!F3509*$H$4</f>
        <v>523.957894736842</v>
      </c>
      <c r="H1644" s="18" t="str">
        <f aca="false">'SALES Raw'!A3509</f>
        <v>207 - Salus HUNGARY</v>
      </c>
    </row>
    <row r="1645" customFormat="false" ht="15" hidden="false" customHeight="false" outlineLevel="0" collapsed="false">
      <c r="A1645" s="18" t="n">
        <f aca="false">'SALES Raw'!G3522</f>
        <v>4413161</v>
      </c>
      <c r="B1645" s="18" t="str">
        <f aca="false">'SALES Raw'!B3522</f>
        <v>34+ L</v>
      </c>
      <c r="C1645" s="18" t="str">
        <f aca="false">'SALES Raw'!H3522</f>
        <v>34+ L מגן קרסול עקב סגור+רצוע</v>
      </c>
      <c r="D1645" s="19" t="n">
        <f aca="false">'SALES Raw'!C3522</f>
        <v>25</v>
      </c>
      <c r="E1645" s="19" t="n">
        <f aca="false">'SALES Raw'!D3522</f>
        <v>709.99</v>
      </c>
      <c r="F1645" s="19" t="n">
        <f aca="false">'SALES Raw'!E3522*$H$4</f>
        <v>25.2631578947368</v>
      </c>
      <c r="G1645" s="19" t="n">
        <f aca="false">'SALES Raw'!F3522*$H$4</f>
        <v>687.701052631579</v>
      </c>
      <c r="H1645" s="18" t="str">
        <f aca="false">'SALES Raw'!A3522</f>
        <v>207 - Salus HUNGARY</v>
      </c>
    </row>
    <row r="1646" customFormat="false" ht="15" hidden="false" customHeight="false" outlineLevel="0" collapsed="false">
      <c r="A1646" s="18" t="n">
        <f aca="false">'SALES Raw'!G3524</f>
        <v>4413159</v>
      </c>
      <c r="B1646" s="18" t="str">
        <f aca="false">'SALES Raw'!B3524</f>
        <v>34+ S</v>
      </c>
      <c r="C1646" s="18" t="str">
        <f aca="false">'SALES Raw'!H3524</f>
        <v>34+ S מגן קרסול עקב סגור+רצוע</v>
      </c>
      <c r="D1646" s="19" t="n">
        <f aca="false">'SALES Raw'!C3524</f>
        <v>8</v>
      </c>
      <c r="E1646" s="19" t="n">
        <f aca="false">'SALES Raw'!D3524</f>
        <v>227.2</v>
      </c>
      <c r="F1646" s="19" t="n">
        <f aca="false">'SALES Raw'!E3524*$H$4</f>
        <v>25.2631578947368</v>
      </c>
      <c r="G1646" s="19" t="n">
        <f aca="false">'SALES Raw'!F3524*$H$4</f>
        <v>749.305263157895</v>
      </c>
      <c r="H1646" s="18" t="str">
        <f aca="false">'SALES Raw'!A3524</f>
        <v>207 - Salus HUNGARY</v>
      </c>
    </row>
    <row r="1647" customFormat="false" ht="15" hidden="false" customHeight="false" outlineLevel="0" collapsed="false">
      <c r="A1647" s="18" t="n">
        <f aca="false">'SALES Raw'!G3546</f>
        <v>4413371</v>
      </c>
      <c r="B1647" s="18" t="str">
        <f aca="false">'SALES Raw'!B3546</f>
        <v>3675 0</v>
      </c>
      <c r="C1647" s="18" t="str">
        <f aca="false">'SALES Raw'!H3546</f>
        <v>3675    מגן זרת מסיליקון</v>
      </c>
      <c r="D1647" s="19" t="n">
        <f aca="false">'SALES Raw'!C3546</f>
        <v>25</v>
      </c>
      <c r="E1647" s="19" t="n">
        <f aca="false">'SALES Raw'!D3546</f>
        <v>314.42</v>
      </c>
      <c r="F1647" s="19" t="n">
        <f aca="false">'SALES Raw'!E3546*$H$4</f>
        <v>25.2631578947368</v>
      </c>
      <c r="G1647" s="19" t="n">
        <f aca="false">'SALES Raw'!F3546*$H$4</f>
        <v>318.202105263158</v>
      </c>
      <c r="H1647" s="18" t="str">
        <f aca="false">'SALES Raw'!A3546</f>
        <v>207 - Salus HUNGARY</v>
      </c>
    </row>
    <row r="1648" customFormat="false" ht="15" hidden="false" customHeight="false" outlineLevel="0" collapsed="false">
      <c r="A1648" s="18" t="n">
        <f aca="false">'SALES Raw'!G3547</f>
        <v>4413066</v>
      </c>
      <c r="B1648" s="18" t="str">
        <f aca="false">'SALES Raw'!B3547</f>
        <v>3677S 0</v>
      </c>
      <c r="C1648" s="18" t="str">
        <f aca="false">'SALES Raw'!H3547</f>
        <v>3677S-מד.לשחרור לחץ א.הבוניון</v>
      </c>
      <c r="D1648" s="19" t="n">
        <f aca="false">'SALES Raw'!C3547</f>
        <v>17</v>
      </c>
      <c r="E1648" s="19" t="n">
        <f aca="false">'SALES Raw'!D3547</f>
        <v>168.8</v>
      </c>
      <c r="F1648" s="19" t="n">
        <f aca="false">'SALES Raw'!E3547*$H$4</f>
        <v>25.2631578947368</v>
      </c>
      <c r="G1648" s="19" t="n">
        <f aca="false">'SALES Raw'!F3547*$H$4</f>
        <v>225.814736842105</v>
      </c>
      <c r="H1648" s="18" t="str">
        <f aca="false">'SALES Raw'!A3547</f>
        <v>207 - Salus HUNGARY</v>
      </c>
    </row>
    <row r="1649" customFormat="false" ht="15" hidden="false" customHeight="false" outlineLevel="0" collapsed="false">
      <c r="A1649" s="18" t="str">
        <f aca="false">'SALES Raw'!G3554</f>
        <v/>
      </c>
      <c r="B1649" s="18" t="str">
        <f aca="false">'SALES Raw'!B3554</f>
        <v>376-35-37</v>
      </c>
      <c r="C1649" s="18" t="str">
        <f aca="false">'SALES Raw'!H3554</f>
        <v>376-35-37</v>
      </c>
      <c r="D1649" s="19" t="n">
        <f aca="false">'SALES Raw'!C3554</f>
        <v>0</v>
      </c>
      <c r="E1649" s="19" t="n">
        <f aca="false">'SALES Raw'!D3554</f>
        <v>0</v>
      </c>
      <c r="F1649" s="19" t="n">
        <f aca="false">'SALES Raw'!E3554*$H$4</f>
        <v>25.2631578947368</v>
      </c>
      <c r="G1649" s="19" t="n">
        <f aca="false">'SALES Raw'!F3554*$H$4</f>
        <v>334.029473684211</v>
      </c>
      <c r="H1649" s="18" t="str">
        <f aca="false">'SALES Raw'!A3554</f>
        <v>207 - Salus HUNGARY</v>
      </c>
    </row>
    <row r="1650" customFormat="false" ht="15" hidden="false" customHeight="false" outlineLevel="0" collapsed="false">
      <c r="A1650" s="18" t="n">
        <f aca="false">'SALES Raw'!G3596</f>
        <v>4413115</v>
      </c>
      <c r="B1650" s="18" t="str">
        <f aca="false">'SALES Raw'!B3596</f>
        <v>49 XXL</v>
      </c>
      <c r="C1650" s="18" t="str">
        <f aca="false">'SALES Raw'!H3596</f>
        <v>49 XXL מגן ירך</v>
      </c>
      <c r="D1650" s="19" t="n">
        <f aca="false">'SALES Raw'!C3596</f>
        <v>27</v>
      </c>
      <c r="E1650" s="19" t="n">
        <f aca="false">'SALES Raw'!D3596</f>
        <v>295.22</v>
      </c>
      <c r="F1650" s="19" t="n">
        <f aca="false">'SALES Raw'!E3596*$H$4</f>
        <v>25.2631578947368</v>
      </c>
      <c r="G1650" s="19" t="n">
        <f aca="false">'SALES Raw'!F3596*$H$4</f>
        <v>297.334736842105</v>
      </c>
      <c r="H1650" s="18" t="str">
        <f aca="false">'SALES Raw'!A3596</f>
        <v>207 - Salus HUNGARY</v>
      </c>
    </row>
    <row r="1651" customFormat="false" ht="15" hidden="false" customHeight="false" outlineLevel="0" collapsed="false">
      <c r="A1651" s="18" t="n">
        <f aca="false">'SALES Raw'!G3628</f>
        <v>4408266</v>
      </c>
      <c r="B1651" s="18" t="str">
        <f aca="false">'SALES Raw'!B3628</f>
        <v>91B 0</v>
      </c>
      <c r="C1651" s="18" t="str">
        <f aca="false">'SALES Raw'!H3628</f>
        <v>91B חבק טניס אלבו</v>
      </c>
      <c r="D1651" s="19" t="n">
        <f aca="false">'SALES Raw'!C3628</f>
        <v>1</v>
      </c>
      <c r="E1651" s="19" t="n">
        <f aca="false">'SALES Raw'!D3628</f>
        <v>0.03</v>
      </c>
      <c r="F1651" s="19" t="n">
        <f aca="false">'SALES Raw'!E3628*$H$4</f>
        <v>25.2631578947368</v>
      </c>
      <c r="G1651" s="19" t="n">
        <f aca="false">'SALES Raw'!F3628*$H$4</f>
        <v>924.631578947368</v>
      </c>
      <c r="H1651" s="18" t="str">
        <f aca="false">'SALES Raw'!A3628</f>
        <v>207 - Salus HUNGARY</v>
      </c>
    </row>
    <row r="1652" customFormat="false" ht="15" hidden="false" customHeight="false" outlineLevel="0" collapsed="false">
      <c r="A1652" s="18" t="n">
        <f aca="false">'SALES Raw'!G3667</f>
        <v>4415073</v>
      </c>
      <c r="B1652" s="18" t="str">
        <f aca="false">'SALES Raw'!B3667</f>
        <v>T28A-L-XL</v>
      </c>
      <c r="C1652" s="18" t="str">
        <f aca="false">'SALES Raw'!H3667</f>
        <v>T28A L-XL סד לאגודל</v>
      </c>
      <c r="D1652" s="19" t="n">
        <f aca="false">'SALES Raw'!C3667</f>
        <v>0</v>
      </c>
      <c r="E1652" s="19" t="n">
        <f aca="false">'SALES Raw'!D3667</f>
        <v>0</v>
      </c>
      <c r="F1652" s="19" t="n">
        <f aca="false">'SALES Raw'!E3667*$H$4</f>
        <v>25.2631578947368</v>
      </c>
      <c r="G1652" s="19" t="n">
        <f aca="false">'SALES Raw'!F3667*$H$4</f>
        <v>638.690526315789</v>
      </c>
      <c r="H1652" s="18" t="str">
        <f aca="false">'SALES Raw'!A3667</f>
        <v>207 - Salus HUNGARY</v>
      </c>
    </row>
    <row r="1653" customFormat="false" ht="15" hidden="false" customHeight="false" outlineLevel="0" collapsed="false">
      <c r="A1653" s="18" t="n">
        <f aca="false">'SALES Raw'!G3677</f>
        <v>4422006</v>
      </c>
      <c r="B1653" s="18" t="str">
        <f aca="false">'SALES Raw'!B3677</f>
        <v>T78 L</v>
      </c>
      <c r="C1653" s="18" t="str">
        <f aca="false">'SALES Raw'!H3677</f>
        <v>T78 L תומך זרוע וכתף</v>
      </c>
      <c r="D1653" s="19" t="n">
        <f aca="false">'SALES Raw'!C3677</f>
        <v>0</v>
      </c>
      <c r="E1653" s="19" t="n">
        <f aca="false">'SALES Raw'!D3677</f>
        <v>0</v>
      </c>
      <c r="F1653" s="19" t="n">
        <f aca="false">'SALES Raw'!E3677*$H$4</f>
        <v>25.2631578947368</v>
      </c>
      <c r="G1653" s="19" t="n">
        <f aca="false">'SALES Raw'!F3677*$H$4</f>
        <v>1883.93684210526</v>
      </c>
      <c r="H1653" s="18" t="str">
        <f aca="false">'SALES Raw'!A3677</f>
        <v>207 - Salus HUNGARY</v>
      </c>
    </row>
    <row r="1654" customFormat="false" ht="15" hidden="false" customHeight="false" outlineLevel="0" collapsed="false">
      <c r="A1654" s="18" t="n">
        <f aca="false">'SALES Raw'!G3784</f>
        <v>4411026</v>
      </c>
      <c r="B1654" s="18" t="str">
        <f aca="false">'SALES Raw'!B3784</f>
        <v>213CTSL L</v>
      </c>
      <c r="C1654" s="18" t="str">
        <f aca="false">'SALES Raw'!H3784</f>
        <v>213CTSL L שמאל CTS כפפות</v>
      </c>
      <c r="D1654" s="19" t="n">
        <f aca="false">'SALES Raw'!C3784</f>
        <v>0</v>
      </c>
      <c r="E1654" s="19" t="n">
        <f aca="false">'SALES Raw'!D3784</f>
        <v>0</v>
      </c>
      <c r="F1654" s="19" t="n">
        <f aca="false">'SALES Raw'!E3784*$H$4</f>
        <v>25.2631578947368</v>
      </c>
      <c r="G1654" s="19" t="n">
        <f aca="false">'SALES Raw'!F3784*$H$4</f>
        <v>1102.77473684211</v>
      </c>
      <c r="H1654" s="18" t="str">
        <f aca="false">'SALES Raw'!A3784</f>
        <v>209 - Ortoprofil Prod ROMANIA</v>
      </c>
    </row>
    <row r="1655" customFormat="false" ht="15" hidden="false" customHeight="false" outlineLevel="0" collapsed="false">
      <c r="A1655" s="18" t="n">
        <f aca="false">'SALES Raw'!G3812</f>
        <v>4413050</v>
      </c>
      <c r="B1655" s="18" t="str">
        <f aca="false">'SALES Raw'!B3812</f>
        <v>35 XL</v>
      </c>
      <c r="C1655" s="18" t="str">
        <f aca="false">'SALES Raw'!H3812</f>
        <v>35 XL מגן קרסול לבן</v>
      </c>
      <c r="D1655" s="19" t="n">
        <f aca="false">'SALES Raw'!C3812</f>
        <v>91</v>
      </c>
      <c r="E1655" s="19" t="n">
        <f aca="false">'SALES Raw'!D3812</f>
        <v>929.22</v>
      </c>
      <c r="F1655" s="19" t="n">
        <f aca="false">'SALES Raw'!E3812*$H$4</f>
        <v>25.2631578947368</v>
      </c>
      <c r="G1655" s="19" t="n">
        <f aca="false">'SALES Raw'!F3812*$H$4</f>
        <v>253.048421052632</v>
      </c>
      <c r="H1655" s="18" t="str">
        <f aca="false">'SALES Raw'!A3812</f>
        <v>209 - Ortoprofil Prod ROMANIA</v>
      </c>
    </row>
    <row r="1656" customFormat="false" ht="15" hidden="false" customHeight="false" outlineLevel="0" collapsed="false">
      <c r="A1656" s="18" t="n">
        <f aca="false">'SALES Raw'!G3944</f>
        <v>4401001</v>
      </c>
      <c r="B1656" s="18" t="str">
        <f aca="false">'SALES Raw'!B3944</f>
        <v>369-XL</v>
      </c>
      <c r="C1656" s="18" t="str">
        <f aca="false">'SALES Raw'!H3944</f>
        <v>369   XL אצבעון מסיליקון יחידה</v>
      </c>
      <c r="D1656" s="19" t="n">
        <f aca="false">'SALES Raw'!C3944</f>
        <v>10</v>
      </c>
      <c r="E1656" s="19" t="n">
        <f aca="false">'SALES Raw'!D3944</f>
        <v>119.22</v>
      </c>
      <c r="F1656" s="19" t="n">
        <f aca="false">'SALES Raw'!E3944*$H$4</f>
        <v>25.2631578947368</v>
      </c>
      <c r="G1656" s="19" t="n">
        <f aca="false">'SALES Raw'!F3944*$H$4</f>
        <v>252.101052631579</v>
      </c>
      <c r="H1656" s="18" t="str">
        <f aca="false">'SALES Raw'!A3944</f>
        <v>210 - Oy. Ea. Ab. FINLAND</v>
      </c>
    </row>
    <row r="1657" customFormat="false" ht="15" hidden="false" customHeight="false" outlineLevel="0" collapsed="false">
      <c r="A1657" s="18" t="n">
        <f aca="false">'SALES Raw'!G3946</f>
        <v>4420002</v>
      </c>
      <c r="B1657" s="18" t="str">
        <f aca="false">'SALES Raw'!B3946</f>
        <v>372 0</v>
      </c>
      <c r="C1657" s="18" t="str">
        <f aca="false">'SALES Raw'!H3946</f>
        <v>372 רפידת אנטי ריח -זוג</v>
      </c>
      <c r="D1657" s="19" t="n">
        <f aca="false">'SALES Raw'!C3946</f>
        <v>50</v>
      </c>
      <c r="E1657" s="19" t="n">
        <f aca="false">'SALES Raw'!D3946</f>
        <v>389.4</v>
      </c>
      <c r="F1657" s="19" t="n">
        <f aca="false">'SALES Raw'!E3946*$H$4</f>
        <v>25.2631578947368</v>
      </c>
      <c r="G1657" s="19" t="n">
        <f aca="false">'SALES Raw'!F3946*$H$4</f>
        <v>168.063157894737</v>
      </c>
      <c r="H1657" s="18" t="str">
        <f aca="false">'SALES Raw'!A3946</f>
        <v>210 - Oy. Ea. Ab. FINLAND</v>
      </c>
    </row>
    <row r="1658" customFormat="false" ht="15" hidden="false" customHeight="false" outlineLevel="0" collapsed="false">
      <c r="A1658" s="18" t="n">
        <f aca="false">'SALES Raw'!G4011</f>
        <v>4413056</v>
      </c>
      <c r="B1658" s="18" t="str">
        <f aca="false">'SALES Raw'!B4011</f>
        <v>LF360 0</v>
      </c>
      <c r="C1658" s="18" t="str">
        <f aca="false">'SALES Raw'!H4011</f>
        <v>LF360 מדרס מטטרזלי לנעלי עקב</v>
      </c>
      <c r="D1658" s="19" t="n">
        <f aca="false">'SALES Raw'!C4011</f>
        <v>20</v>
      </c>
      <c r="E1658" s="19" t="n">
        <f aca="false">'SALES Raw'!D4011</f>
        <v>246.39</v>
      </c>
      <c r="F1658" s="19" t="n">
        <f aca="false">'SALES Raw'!E4011*$H$4</f>
        <v>25.2631578947368</v>
      </c>
      <c r="G1658" s="19" t="n">
        <f aca="false">'SALES Raw'!F4011*$H$4</f>
        <v>260.501052631579</v>
      </c>
      <c r="H1658" s="18" t="str">
        <f aca="false">'SALES Raw'!A4011</f>
        <v>210 - Oy. Ea. Ab. FINLAND</v>
      </c>
    </row>
    <row r="1659" customFormat="false" ht="15" hidden="false" customHeight="false" outlineLevel="0" collapsed="false">
      <c r="A1659" s="18" t="str">
        <f aca="false">'SALES Raw'!G4024</f>
        <v/>
      </c>
      <c r="B1659" s="18" t="str">
        <f aca="false">'SALES Raw'!B4024</f>
        <v>ST27R 0</v>
      </c>
      <c r="C1659" s="18" t="str">
        <f aca="false">'SALES Raw'!H4024</f>
        <v>ST27R 0</v>
      </c>
      <c r="D1659" s="19" t="n">
        <f aca="false">'SALES Raw'!C4024</f>
        <v>60</v>
      </c>
      <c r="E1659" s="19" t="n">
        <f aca="false">'SALES Raw'!D4024</f>
        <v>1104.08</v>
      </c>
      <c r="F1659" s="19" t="n">
        <f aca="false">'SALES Raw'!E4024*$H$4</f>
        <v>25.2631578947368</v>
      </c>
      <c r="G1659" s="19" t="n">
        <f aca="false">'SALES Raw'!F4024*$H$4</f>
        <v>399.157894736842</v>
      </c>
      <c r="H1659" s="18" t="str">
        <f aca="false">'SALES Raw'!A4024</f>
        <v>210 - Oy. Ea. Ab. FINLAND</v>
      </c>
    </row>
    <row r="1660" customFormat="false" ht="15" hidden="false" customHeight="false" outlineLevel="0" collapsed="false">
      <c r="A1660" s="18" t="n">
        <f aca="false">'SALES Raw'!G4028</f>
        <v>4408269</v>
      </c>
      <c r="B1660" s="18" t="str">
        <f aca="false">'SALES Raw'!B4028</f>
        <v>ST37 0</v>
      </c>
      <c r="C1660" s="18" t="str">
        <f aca="false">'SALES Raw'!H4028</f>
        <v>ST37 חבק לקרסול</v>
      </c>
      <c r="D1660" s="19" t="n">
        <f aca="false">'SALES Raw'!C4028</f>
        <v>20</v>
      </c>
      <c r="E1660" s="19" t="n">
        <f aca="false">'SALES Raw'!D4028</f>
        <v>340.91</v>
      </c>
      <c r="F1660" s="19" t="n">
        <f aca="false">'SALES Raw'!E4028*$H$4</f>
        <v>25.2631578947368</v>
      </c>
      <c r="G1660" s="19" t="n">
        <f aca="false">'SALES Raw'!F4028*$H$4</f>
        <v>369.738947368421</v>
      </c>
      <c r="H1660" s="18" t="str">
        <f aca="false">'SALES Raw'!A4028</f>
        <v>210 - Oy. Ea. Ab. FINLAND</v>
      </c>
    </row>
    <row r="1661" customFormat="false" ht="15" hidden="false" customHeight="false" outlineLevel="0" collapsed="false">
      <c r="A1661" s="18" t="n">
        <f aca="false">'SALES Raw'!G4087</f>
        <v>4413160</v>
      </c>
      <c r="B1661" s="18" t="str">
        <f aca="false">'SALES Raw'!B4087</f>
        <v>34+ M</v>
      </c>
      <c r="C1661" s="18" t="str">
        <f aca="false">'SALES Raw'!H4087</f>
        <v>34+ M מגן קרסול עקב סגור+רצוע</v>
      </c>
      <c r="D1661" s="19" t="n">
        <f aca="false">'SALES Raw'!C4087</f>
        <v>29</v>
      </c>
      <c r="E1661" s="19" t="n">
        <f aca="false">'SALES Raw'!D4087</f>
        <v>928.08</v>
      </c>
      <c r="F1661" s="19" t="n">
        <f aca="false">'SALES Raw'!E4087*$H$4</f>
        <v>25.2631578947368</v>
      </c>
      <c r="G1661" s="19" t="n">
        <f aca="false">'SALES Raw'!F4087*$H$4</f>
        <v>740.501052631579</v>
      </c>
      <c r="H1661" s="18" t="str">
        <f aca="false">'SALES Raw'!A4087</f>
        <v>213 - E.f.m.o. SPAIN</v>
      </c>
    </row>
    <row r="1662" customFormat="false" ht="15" hidden="false" customHeight="false" outlineLevel="0" collapsed="false">
      <c r="A1662" s="18" t="n">
        <f aca="false">'SALES Raw'!G4173</f>
        <v>4408053</v>
      </c>
      <c r="B1662" s="18" t="str">
        <f aca="false">'SALES Raw'!B4173</f>
        <v>21 M</v>
      </c>
      <c r="C1662" s="18" t="str">
        <f aca="false">'SALES Raw'!H4173</f>
        <v>21 M  חבק יד ארוך</v>
      </c>
      <c r="D1662" s="19" t="n">
        <f aca="false">'SALES Raw'!C4173</f>
        <v>12</v>
      </c>
      <c r="E1662" s="19" t="n">
        <f aca="false">'SALES Raw'!D4173</f>
        <v>222.94</v>
      </c>
      <c r="F1662" s="19" t="n">
        <f aca="false">'SALES Raw'!E4173*$H$4</f>
        <v>25.2631578947368</v>
      </c>
      <c r="G1662" s="19" t="n">
        <f aca="false">'SALES Raw'!F4173*$H$4</f>
        <v>406.509473684211</v>
      </c>
      <c r="H1662" s="18" t="str">
        <f aca="false">'SALES Raw'!A4173</f>
        <v>216 - Max Konnaris CYPRUS</v>
      </c>
    </row>
    <row r="1663" customFormat="false" ht="15" hidden="false" customHeight="false" outlineLevel="0" collapsed="false">
      <c r="A1663" s="18" t="n">
        <f aca="false">'SALES Raw'!G4177</f>
        <v>4411027</v>
      </c>
      <c r="B1663" s="18" t="str">
        <f aca="false">'SALES Raw'!B4177</f>
        <v>213CTSL M</v>
      </c>
      <c r="C1663" s="18" t="str">
        <f aca="false">'SALES Raw'!H4177</f>
        <v>213CTSL M שמאל CTS כפפות</v>
      </c>
      <c r="D1663" s="19" t="n">
        <f aca="false">'SALES Raw'!C4177</f>
        <v>0</v>
      </c>
      <c r="E1663" s="19" t="n">
        <f aca="false">'SALES Raw'!D4177</f>
        <v>0</v>
      </c>
      <c r="F1663" s="19" t="n">
        <f aca="false">'SALES Raw'!E4177*$H$4</f>
        <v>25.2631578947368</v>
      </c>
      <c r="G1663" s="19" t="n">
        <f aca="false">'SALES Raw'!F4177*$H$4</f>
        <v>1090.66105263158</v>
      </c>
      <c r="H1663" s="18" t="str">
        <f aca="false">'SALES Raw'!A4177</f>
        <v>216 - Max Konnaris CYPRUS</v>
      </c>
    </row>
    <row r="1664" customFormat="false" ht="15" hidden="false" customHeight="false" outlineLevel="0" collapsed="false">
      <c r="A1664" s="18" t="n">
        <f aca="false">'SALES Raw'!G4178</f>
        <v>4411028</v>
      </c>
      <c r="B1664" s="18" t="str">
        <f aca="false">'SALES Raw'!B4178</f>
        <v>213CTSL S</v>
      </c>
      <c r="C1664" s="18" t="str">
        <f aca="false">'SALES Raw'!H4178</f>
        <v>213CTSL S שמאל CTS כפפות</v>
      </c>
      <c r="D1664" s="19" t="n">
        <f aca="false">'SALES Raw'!C4178</f>
        <v>0</v>
      </c>
      <c r="E1664" s="19" t="n">
        <f aca="false">'SALES Raw'!D4178</f>
        <v>0</v>
      </c>
      <c r="F1664" s="19" t="n">
        <f aca="false">'SALES Raw'!E4178*$H$4</f>
        <v>25.2631578947368</v>
      </c>
      <c r="G1664" s="19" t="n">
        <f aca="false">'SALES Raw'!F4178*$H$4</f>
        <v>1090.66105263158</v>
      </c>
      <c r="H1664" s="18" t="str">
        <f aca="false">'SALES Raw'!A4178</f>
        <v>216 - Max Konnaris CYPRUS</v>
      </c>
    </row>
    <row r="1665" customFormat="false" ht="15" hidden="false" customHeight="false" outlineLevel="0" collapsed="false">
      <c r="A1665" s="18" t="n">
        <f aca="false">'SALES Raw'!G4180</f>
        <v>4411030</v>
      </c>
      <c r="B1665" s="18" t="str">
        <f aca="false">'SALES Raw'!B4180</f>
        <v>213CTSR M</v>
      </c>
      <c r="C1665" s="18" t="str">
        <f aca="false">'SALES Raw'!H4180</f>
        <v>213CTSR M ימין CTS כפפות</v>
      </c>
      <c r="D1665" s="19" t="n">
        <f aca="false">'SALES Raw'!C4180</f>
        <v>0</v>
      </c>
      <c r="E1665" s="19" t="n">
        <f aca="false">'SALES Raw'!D4180</f>
        <v>0</v>
      </c>
      <c r="F1665" s="19" t="n">
        <f aca="false">'SALES Raw'!E4180*$H$4</f>
        <v>25.2631578947368</v>
      </c>
      <c r="G1665" s="19" t="n">
        <f aca="false">'SALES Raw'!F4180*$H$4</f>
        <v>1090.66105263158</v>
      </c>
      <c r="H1665" s="18" t="str">
        <f aca="false">'SALES Raw'!A4180</f>
        <v>216 - Max Konnaris CYPRUS</v>
      </c>
    </row>
    <row r="1666" customFormat="false" ht="15" hidden="false" customHeight="false" outlineLevel="0" collapsed="false">
      <c r="A1666" s="18" t="n">
        <f aca="false">'SALES Raw'!G4181</f>
        <v>4411031</v>
      </c>
      <c r="B1666" s="18" t="str">
        <f aca="false">'SALES Raw'!B4181</f>
        <v>213CTSR S</v>
      </c>
      <c r="C1666" s="18" t="str">
        <f aca="false">'SALES Raw'!H4181</f>
        <v>213CTS  S ימין CTS כפפות</v>
      </c>
      <c r="D1666" s="19" t="n">
        <f aca="false">'SALES Raw'!C4181</f>
        <v>0</v>
      </c>
      <c r="E1666" s="19" t="n">
        <f aca="false">'SALES Raw'!D4181</f>
        <v>0</v>
      </c>
      <c r="F1666" s="19" t="n">
        <f aca="false">'SALES Raw'!E4181*$H$4</f>
        <v>25.2631578947368</v>
      </c>
      <c r="G1666" s="19" t="n">
        <f aca="false">'SALES Raw'!F4181*$H$4</f>
        <v>1090.66105263158</v>
      </c>
      <c r="H1666" s="18" t="str">
        <f aca="false">'SALES Raw'!A4181</f>
        <v>216 - Max Konnaris CYPRUS</v>
      </c>
    </row>
    <row r="1667" customFormat="false" ht="15" hidden="false" customHeight="false" outlineLevel="0" collapsed="false">
      <c r="A1667" s="18" t="n">
        <f aca="false">'SALES Raw'!G4188</f>
        <v>4421006</v>
      </c>
      <c r="B1667" s="18" t="str">
        <f aca="false">'SALES Raw'!B4188</f>
        <v>251 0</v>
      </c>
      <c r="C1667" s="18" t="str">
        <f aca="false">'SALES Raw'!H4188</f>
        <v>שרוול לגבס ארוך יד</v>
      </c>
      <c r="D1667" s="19" t="n">
        <f aca="false">'SALES Raw'!C4188</f>
        <v>30</v>
      </c>
      <c r="E1667" s="19" t="n">
        <f aca="false">'SALES Raw'!D4188</f>
        <v>689.16</v>
      </c>
      <c r="F1667" s="19" t="n">
        <f aca="false">'SALES Raw'!E4188*$H$4</f>
        <v>25.2631578947368</v>
      </c>
      <c r="G1667" s="19" t="n">
        <f aca="false">'SALES Raw'!F4188*$H$4</f>
        <v>524.412631578947</v>
      </c>
      <c r="H1667" s="18" t="str">
        <f aca="false">'SALES Raw'!A4188</f>
        <v>216 - Max Konnaris CYPRUS</v>
      </c>
    </row>
    <row r="1668" customFormat="false" ht="15" hidden="false" customHeight="false" outlineLevel="0" collapsed="false">
      <c r="A1668" s="18" t="str">
        <f aca="false">'SALES Raw'!G4202</f>
        <v/>
      </c>
      <c r="B1668" s="18" t="str">
        <f aca="false">'SALES Raw'!B4202</f>
        <v>305-41-42</v>
      </c>
      <c r="C1668" s="18" t="str">
        <f aca="false">'SALES Raw'!H4202</f>
        <v>305-41-42</v>
      </c>
      <c r="D1668" s="19" t="n">
        <f aca="false">'SALES Raw'!C4202</f>
        <v>22</v>
      </c>
      <c r="E1668" s="19" t="n">
        <f aca="false">'SALES Raw'!D4202</f>
        <v>836.96</v>
      </c>
      <c r="F1668" s="19" t="n">
        <f aca="false">'SALES Raw'!E4202*$H$4</f>
        <v>25.2631578947368</v>
      </c>
      <c r="G1668" s="19" t="n">
        <f aca="false">'SALES Raw'!F4202*$H$4</f>
        <v>918.934736842105</v>
      </c>
      <c r="H1668" s="18" t="str">
        <f aca="false">'SALES Raw'!A4202</f>
        <v>216 - Max Konnaris CYPRUS</v>
      </c>
    </row>
    <row r="1669" customFormat="false" ht="15" hidden="false" customHeight="false" outlineLevel="0" collapsed="false">
      <c r="A1669" s="18" t="n">
        <f aca="false">'SALES Raw'!G4216</f>
        <v>4413161</v>
      </c>
      <c r="B1669" s="18" t="str">
        <f aca="false">'SALES Raw'!B4216</f>
        <v>34+ L</v>
      </c>
      <c r="C1669" s="18" t="str">
        <f aca="false">'SALES Raw'!H4216</f>
        <v>34+ L מגן קרסול עקב סגור+רצוע</v>
      </c>
      <c r="D1669" s="19" t="n">
        <f aca="false">'SALES Raw'!C4216</f>
        <v>0</v>
      </c>
      <c r="E1669" s="19" t="n">
        <f aca="false">'SALES Raw'!D4216</f>
        <v>0</v>
      </c>
      <c r="F1669" s="19" t="n">
        <f aca="false">'SALES Raw'!E4216*$H$4</f>
        <v>25.2631578947368</v>
      </c>
      <c r="G1669" s="19" t="n">
        <f aca="false">'SALES Raw'!F4216*$H$4</f>
        <v>802.913684210526</v>
      </c>
      <c r="H1669" s="18" t="str">
        <f aca="false">'SALES Raw'!A4216</f>
        <v>216 - Max Konnaris CYPRUS</v>
      </c>
    </row>
    <row r="1670" customFormat="false" ht="15" hidden="false" customHeight="false" outlineLevel="0" collapsed="false">
      <c r="A1670" s="18" t="n">
        <f aca="false">'SALES Raw'!G4217</f>
        <v>4413160</v>
      </c>
      <c r="B1670" s="18" t="str">
        <f aca="false">'SALES Raw'!B4217</f>
        <v>34+ M</v>
      </c>
      <c r="C1670" s="18" t="str">
        <f aca="false">'SALES Raw'!H4217</f>
        <v>34+ M מגן קרסול עקב סגור+רצוע</v>
      </c>
      <c r="D1670" s="19" t="n">
        <f aca="false">'SALES Raw'!C4217</f>
        <v>10</v>
      </c>
      <c r="E1670" s="19" t="n">
        <f aca="false">'SALES Raw'!D4217</f>
        <v>328.63</v>
      </c>
      <c r="F1670" s="19" t="n">
        <f aca="false">'SALES Raw'!E4217*$H$4</f>
        <v>25.2631578947368</v>
      </c>
      <c r="G1670" s="19" t="n">
        <f aca="false">'SALES Raw'!F4217*$H$4</f>
        <v>747.915789473684</v>
      </c>
      <c r="H1670" s="18" t="str">
        <f aca="false">'SALES Raw'!A4217</f>
        <v>216 - Max Konnaris CYPRUS</v>
      </c>
    </row>
    <row r="1671" customFormat="false" ht="15" hidden="false" customHeight="false" outlineLevel="0" collapsed="false">
      <c r="A1671" s="18" t="n">
        <f aca="false">'SALES Raw'!G4224</f>
        <v>4413492</v>
      </c>
      <c r="B1671" s="18" t="str">
        <f aca="false">'SALES Raw'!B4224</f>
        <v>35B M</v>
      </c>
      <c r="C1671" s="18" t="str">
        <f aca="false">'SALES Raw'!H4224</f>
        <v>35B M מגן קרסול שחור</v>
      </c>
      <c r="D1671" s="19" t="n">
        <f aca="false">'SALES Raw'!C4224</f>
        <v>15</v>
      </c>
      <c r="E1671" s="19" t="n">
        <f aca="false">'SALES Raw'!D4224</f>
        <v>194.47</v>
      </c>
      <c r="F1671" s="19" t="n">
        <f aca="false">'SALES Raw'!E4224*$H$4</f>
        <v>25.2631578947368</v>
      </c>
      <c r="G1671" s="19" t="n">
        <f aca="false">'SALES Raw'!F4224*$H$4</f>
        <v>277.894736842105</v>
      </c>
      <c r="H1671" s="18" t="str">
        <f aca="false">'SALES Raw'!A4224</f>
        <v>216 - Max Konnaris CYPRUS</v>
      </c>
    </row>
    <row r="1672" customFormat="false" ht="15" hidden="false" customHeight="false" outlineLevel="0" collapsed="false">
      <c r="A1672" s="18" t="str">
        <f aca="false">'SALES Raw'!G4245</f>
        <v/>
      </c>
      <c r="B1672" s="18" t="str">
        <f aca="false">'SALES Raw'!B4245</f>
        <v>376-38-40</v>
      </c>
      <c r="C1672" s="18" t="str">
        <f aca="false">'SALES Raw'!H4245</f>
        <v>376-38-40</v>
      </c>
      <c r="D1672" s="19" t="n">
        <f aca="false">'SALES Raw'!C4245</f>
        <v>28</v>
      </c>
      <c r="E1672" s="19" t="n">
        <f aca="false">'SALES Raw'!D4245</f>
        <v>475.74</v>
      </c>
      <c r="F1672" s="19" t="n">
        <f aca="false">'SALES Raw'!E4245*$H$4</f>
        <v>25.2631578947368</v>
      </c>
      <c r="G1672" s="19" t="n">
        <f aca="false">'SALES Raw'!F4245*$H$4</f>
        <v>389.848421052632</v>
      </c>
      <c r="H1672" s="18" t="str">
        <f aca="false">'SALES Raw'!A4245</f>
        <v>216 - Max Konnaris CYPRUS</v>
      </c>
    </row>
    <row r="1673" customFormat="false" ht="15" hidden="false" customHeight="false" outlineLevel="0" collapsed="false">
      <c r="A1673" s="18" t="n">
        <f aca="false">'SALES Raw'!G4311</f>
        <v>4401011</v>
      </c>
      <c r="B1673" s="18" t="str">
        <f aca="false">'SALES Raw'!B4311</f>
        <v>805AT-C</v>
      </c>
      <c r="C1673" s="18" t="str">
        <f aca="false">'SALES Raw'!H4311</f>
        <v>805AT-Cאתלטיק טייפ בז' 20מ""""מ20</v>
      </c>
      <c r="D1673" s="19" t="n">
        <f aca="false">'SALES Raw'!C4311</f>
        <v>20</v>
      </c>
      <c r="E1673" s="19" t="n">
        <f aca="false">'SALES Raw'!D4311</f>
        <v>198.66</v>
      </c>
      <c r="F1673" s="19" t="n">
        <f aca="false">'SALES Raw'!E4311*$H$4</f>
        <v>25.2631578947368</v>
      </c>
      <c r="G1673" s="19" t="n">
        <f aca="false">'SALES Raw'!F4311*$H$4</f>
        <v>236.690526315789</v>
      </c>
      <c r="H1673" s="18" t="str">
        <f aca="false">'SALES Raw'!A4311</f>
        <v>216 - Max Konnaris CYPRUS</v>
      </c>
    </row>
    <row r="1674" customFormat="false" ht="15" hidden="false" customHeight="false" outlineLevel="0" collapsed="false">
      <c r="A1674" s="18" t="n">
        <f aca="false">'SALES Raw'!G4334</f>
        <v>4413501</v>
      </c>
      <c r="B1674" s="18" t="str">
        <f aca="false">'SALES Raw'!B4334</f>
        <v>95B M</v>
      </c>
      <c r="C1674" s="18" t="str">
        <f aca="false">'SALES Raw'!H4334</f>
        <v>95B M מגן מרפק שחור</v>
      </c>
      <c r="D1674" s="19" t="n">
        <f aca="false">'SALES Raw'!C4334</f>
        <v>32</v>
      </c>
      <c r="E1674" s="19" t="n">
        <f aca="false">'SALES Raw'!D4334</f>
        <v>394.11</v>
      </c>
      <c r="F1674" s="19" t="n">
        <f aca="false">'SALES Raw'!E4334*$H$4</f>
        <v>25.2631578947368</v>
      </c>
      <c r="G1674" s="19" t="n">
        <f aca="false">'SALES Raw'!F4334*$H$4</f>
        <v>277.894736842105</v>
      </c>
      <c r="H1674" s="18" t="str">
        <f aca="false">'SALES Raw'!A4334</f>
        <v>216 - Max Konnaris CYPRUS</v>
      </c>
    </row>
    <row r="1675" customFormat="false" ht="15" hidden="false" customHeight="false" outlineLevel="0" collapsed="false">
      <c r="A1675" s="18" t="n">
        <f aca="false">'SALES Raw'!G4342</f>
        <v>4415026</v>
      </c>
      <c r="B1675" s="18" t="str">
        <f aca="false">'SALES Raw'!B4342</f>
        <v>AC27L 0</v>
      </c>
      <c r="C1675" s="18" t="str">
        <f aca="false">'SALES Raw'!H4342</f>
        <v>AC-27L סד לש.כף יד שמאל</v>
      </c>
      <c r="D1675" s="19" t="n">
        <f aca="false">'SALES Raw'!C4342</f>
        <v>0</v>
      </c>
      <c r="E1675" s="19" t="n">
        <f aca="false">'SALES Raw'!D4342</f>
        <v>0</v>
      </c>
      <c r="F1675" s="19" t="n">
        <f aca="false">'SALES Raw'!E4342*$H$4</f>
        <v>25.2631578947368</v>
      </c>
      <c r="G1675" s="19" t="n">
        <f aca="false">'SALES Raw'!F4342*$H$4</f>
        <v>440.968421052632</v>
      </c>
      <c r="H1675" s="18" t="str">
        <f aca="false">'SALES Raw'!A4342</f>
        <v>216 - Max Konnaris CYPRUS</v>
      </c>
    </row>
    <row r="1676" customFormat="false" ht="15" hidden="false" customHeight="false" outlineLevel="0" collapsed="false">
      <c r="A1676" s="18" t="n">
        <f aca="false">'SALES Raw'!G4345</f>
        <v>4413328</v>
      </c>
      <c r="B1676" s="18" t="str">
        <f aca="false">'SALES Raw'!B4345</f>
        <v>AC43D 0</v>
      </c>
      <c r="C1676" s="18" t="str">
        <f aca="false">'SALES Raw'!H4345</f>
        <v>AC43D מגן ברך + צירים</v>
      </c>
      <c r="D1676" s="19" t="n">
        <f aca="false">'SALES Raw'!C4345</f>
        <v>30</v>
      </c>
      <c r="E1676" s="19" t="n">
        <f aca="false">'SALES Raw'!D4345</f>
        <v>1460.82</v>
      </c>
      <c r="F1676" s="19" t="n">
        <f aca="false">'SALES Raw'!E4345*$H$4</f>
        <v>25.2631578947368</v>
      </c>
      <c r="G1676" s="19" t="n">
        <f aca="false">'SALES Raw'!F4345*$H$4</f>
        <v>1102.61052631579</v>
      </c>
      <c r="H1676" s="18" t="str">
        <f aca="false">'SALES Raw'!A4345</f>
        <v>216 - Max Konnaris CYPRUS</v>
      </c>
    </row>
    <row r="1677" customFormat="false" ht="15" hidden="false" customHeight="false" outlineLevel="0" collapsed="false">
      <c r="A1677" s="18" t="n">
        <f aca="false">'SALES Raw'!G4353</f>
        <v>4413276</v>
      </c>
      <c r="B1677" s="18" t="str">
        <f aca="false">'SALES Raw'!B4353</f>
        <v>LF377 L</v>
      </c>
      <c r="C1677" s="18" t="str">
        <f aca="false">'SALES Raw'!H4353</f>
        <v>LF377 L-מדרס סיליקון לנעלי עקב</v>
      </c>
      <c r="D1677" s="19" t="n">
        <f aca="false">'SALES Raw'!C4353</f>
        <v>0</v>
      </c>
      <c r="E1677" s="19" t="n">
        <f aca="false">'SALES Raw'!D4353</f>
        <v>0</v>
      </c>
      <c r="F1677" s="19" t="n">
        <f aca="false">'SALES Raw'!E4353*$H$4</f>
        <v>25.2631578947368</v>
      </c>
      <c r="G1677" s="19" t="n">
        <f aca="false">'SALES Raw'!F4353*$H$4</f>
        <v>501.233684210526</v>
      </c>
      <c r="H1677" s="18" t="str">
        <f aca="false">'SALES Raw'!A4353</f>
        <v>216 - Max Konnaris CYPRUS</v>
      </c>
    </row>
    <row r="1678" customFormat="false" ht="15" hidden="false" customHeight="false" outlineLevel="0" collapsed="false">
      <c r="A1678" s="18" t="n">
        <f aca="false">'SALES Raw'!G4354</f>
        <v>4413278</v>
      </c>
      <c r="B1678" s="18" t="str">
        <f aca="false">'SALES Raw'!B4354</f>
        <v>LF377 S</v>
      </c>
      <c r="C1678" s="18" t="str">
        <f aca="false">'SALES Raw'!H4354</f>
        <v>LF377 S-מדרס סיליקון לנעלי עקב</v>
      </c>
      <c r="D1678" s="19" t="n">
        <f aca="false">'SALES Raw'!C4354</f>
        <v>0</v>
      </c>
      <c r="E1678" s="19" t="n">
        <f aca="false">'SALES Raw'!D4354</f>
        <v>0</v>
      </c>
      <c r="F1678" s="19" t="n">
        <f aca="false">'SALES Raw'!E4354*$H$4</f>
        <v>25.2631578947368</v>
      </c>
      <c r="G1678" s="19" t="n">
        <f aca="false">'SALES Raw'!F4354*$H$4</f>
        <v>501.233684210526</v>
      </c>
      <c r="H1678" s="18" t="str">
        <f aca="false">'SALES Raw'!A4354</f>
        <v>216 - Max Konnaris CYPRUS</v>
      </c>
    </row>
    <row r="1679" customFormat="false" ht="15" hidden="false" customHeight="false" outlineLevel="0" collapsed="false">
      <c r="A1679" s="18" t="n">
        <f aca="false">'SALES Raw'!G4363</f>
        <v>4413534</v>
      </c>
      <c r="B1679" s="18" t="str">
        <f aca="false">'SALES Raw'!B4363</f>
        <v>SH333 0</v>
      </c>
      <c r="C1679" s="18" t="str">
        <f aca="false">'SALES Raw'!H4363</f>
        <v>SH333 מקבע קרסול</v>
      </c>
      <c r="D1679" s="19" t="n">
        <f aca="false">'SALES Raw'!C4363</f>
        <v>0</v>
      </c>
      <c r="E1679" s="19" t="n">
        <f aca="false">'SALES Raw'!D4363</f>
        <v>0</v>
      </c>
      <c r="F1679" s="19" t="n">
        <f aca="false">'SALES Raw'!E4363*$H$4</f>
        <v>25.2631578947368</v>
      </c>
      <c r="G1679" s="19" t="n">
        <f aca="false">'SALES Raw'!F4363*$H$4</f>
        <v>1420.18105263158</v>
      </c>
      <c r="H1679" s="18" t="str">
        <f aca="false">'SALES Raw'!A4363</f>
        <v>216 - Max Konnaris CYPRUS</v>
      </c>
    </row>
    <row r="1680" customFormat="false" ht="15" hidden="false" customHeight="false" outlineLevel="0" collapsed="false">
      <c r="A1680" s="18" t="n">
        <f aca="false">'SALES Raw'!G4366</f>
        <v>4422039</v>
      </c>
      <c r="B1680" s="18" t="str">
        <f aca="false">'SALES Raw'!B4366</f>
        <v>SH422 3</v>
      </c>
      <c r="C1680" s="18" t="str">
        <f aca="false">'SALES Raw'!H4366</f>
        <v>SH422 3 תומך ברך גנושילד</v>
      </c>
      <c r="D1680" s="19" t="n">
        <f aca="false">'SALES Raw'!C4366</f>
        <v>0</v>
      </c>
      <c r="E1680" s="19" t="n">
        <f aca="false">'SALES Raw'!D4366</f>
        <v>0</v>
      </c>
      <c r="F1680" s="19" t="n">
        <f aca="false">'SALES Raw'!E4366*$H$4</f>
        <v>25.2631578947368</v>
      </c>
      <c r="G1680" s="19" t="n">
        <f aca="false">'SALES Raw'!F4366*$H$4</f>
        <v>2487.62526315789</v>
      </c>
      <c r="H1680" s="18" t="str">
        <f aca="false">'SALES Raw'!A4366</f>
        <v>216 - Max Konnaris CYPRUS</v>
      </c>
    </row>
    <row r="1681" customFormat="false" ht="15" hidden="false" customHeight="false" outlineLevel="0" collapsed="false">
      <c r="A1681" s="18" t="n">
        <f aca="false">'SALES Raw'!G4367</f>
        <v>4422040</v>
      </c>
      <c r="B1681" s="18" t="str">
        <f aca="false">'SALES Raw'!B4367</f>
        <v>SH422 4</v>
      </c>
      <c r="C1681" s="18" t="str">
        <f aca="false">'SALES Raw'!H4367</f>
        <v>SH422 4 תומך ברך גנושילד</v>
      </c>
      <c r="D1681" s="19" t="n">
        <f aca="false">'SALES Raw'!C4367</f>
        <v>0</v>
      </c>
      <c r="E1681" s="19" t="n">
        <f aca="false">'SALES Raw'!D4367</f>
        <v>0</v>
      </c>
      <c r="F1681" s="19" t="n">
        <f aca="false">'SALES Raw'!E4367*$H$4</f>
        <v>25.2631578947368</v>
      </c>
      <c r="G1681" s="19" t="n">
        <f aca="false">'SALES Raw'!F4367*$H$4</f>
        <v>2487.62526315789</v>
      </c>
      <c r="H1681" s="18" t="str">
        <f aca="false">'SALES Raw'!A4367</f>
        <v>216 - Max Konnaris CYPRUS</v>
      </c>
    </row>
    <row r="1682" customFormat="false" ht="15" hidden="false" customHeight="false" outlineLevel="0" collapsed="false">
      <c r="A1682" s="18" t="str">
        <f aca="false">'SALES Raw'!G4383</f>
        <v/>
      </c>
      <c r="B1682" s="18" t="str">
        <f aca="false">'SALES Raw'!B4383</f>
        <v>ST95 0</v>
      </c>
      <c r="C1682" s="18" t="str">
        <f aca="false">'SALES Raw'!H4383</f>
        <v>ST95 0</v>
      </c>
      <c r="D1682" s="19" t="n">
        <f aca="false">'SALES Raw'!C4383</f>
        <v>10</v>
      </c>
      <c r="E1682" s="19" t="n">
        <f aca="false">'SALES Raw'!D4383</f>
        <v>206.45</v>
      </c>
      <c r="F1682" s="19" t="n">
        <f aca="false">'SALES Raw'!E4383*$H$4</f>
        <v>25.2631578947368</v>
      </c>
      <c r="G1682" s="19" t="n">
        <f aca="false">'SALES Raw'!F4383*$H$4</f>
        <v>491.962105263158</v>
      </c>
      <c r="H1682" s="18" t="str">
        <f aca="false">'SALES Raw'!A4383</f>
        <v>216 - Max Konnaris CYPRUS</v>
      </c>
    </row>
    <row r="1683" customFormat="false" ht="15" hidden="false" customHeight="false" outlineLevel="0" collapsed="false">
      <c r="A1683" s="18" t="str">
        <f aca="false">'SALES Raw'!G4405</f>
        <v/>
      </c>
      <c r="B1683" s="18" t="str">
        <f aca="false">'SALES Raw'!B4405</f>
        <v>EC-11STOB S</v>
      </c>
      <c r="C1683" s="18" t="str">
        <f aca="false">'SALES Raw'!H4405</f>
        <v>EC-11STOB S</v>
      </c>
      <c r="D1683" s="19" t="n">
        <f aca="false">'SALES Raw'!C4405</f>
        <v>1</v>
      </c>
      <c r="E1683" s="19" t="n">
        <f aca="false">'SALES Raw'!D4405</f>
        <v>137.01</v>
      </c>
      <c r="F1683" s="19" t="n">
        <f aca="false">'SALES Raw'!E4405*$H$4</f>
        <v>25.2631578947368</v>
      </c>
      <c r="G1683" s="19" t="n">
        <f aca="false">'SALES Raw'!F4405*$H$4</f>
        <v>3227.52</v>
      </c>
      <c r="H1683" s="18" t="str">
        <f aca="false">'SALES Raw'!A4405</f>
        <v>301 - Amazon</v>
      </c>
    </row>
    <row r="1684" customFormat="false" ht="15" hidden="false" customHeight="false" outlineLevel="0" collapsed="false">
      <c r="A1684" s="18" t="n">
        <f aca="false">'CEMIUP0.9 Raw'!B38</f>
        <v>4403040</v>
      </c>
      <c r="B1684" s="18" t="str">
        <f aca="false">'CEMIUP0.9 Raw'!C38</f>
        <v>3444B גרבי ג'ל לריכוך עור העקב</v>
      </c>
      <c r="C1684" s="18" t="str">
        <f aca="false">'CEMIUP0.9 Raw'!C38</f>
        <v>3444B גרבי ג'ל לריכוך עור העקב</v>
      </c>
      <c r="D1684" s="19" t="n">
        <f aca="false">'CEMIUP0.9 Raw'!D38</f>
        <v>110</v>
      </c>
      <c r="E1684" s="19" t="n">
        <f aca="false">'CEMIUP0.9 Raw'!E38</f>
        <v>3644.004</v>
      </c>
      <c r="F1684" s="19" t="n">
        <f aca="false">'CEMIUP0.9 Raw'!F38</f>
        <v>25.2631578947368</v>
      </c>
      <c r="G1684" s="19" t="n">
        <f aca="false">'CEMIUP0.9 Raw'!G38</f>
        <v>797.274947368421</v>
      </c>
      <c r="H1684" s="18" t="str">
        <f aca="false">'CEMIUP0.9 Raw'!A38</f>
        <v>107 - Pharmacies</v>
      </c>
    </row>
    <row r="1685" customFormat="false" ht="15" hidden="false" customHeight="false" outlineLevel="0" collapsed="false">
      <c r="A1685" s="18" t="n">
        <f aca="false">'CEMIUP0.9 Raw'!B378</f>
        <v>4413340</v>
      </c>
      <c r="B1685" s="18" t="str">
        <f aca="false">'CEMIUP0.9 Raw'!C378</f>
        <v>3666 מפריד הלוקס</v>
      </c>
      <c r="C1685" s="18" t="str">
        <f aca="false">'CEMIUP0.9 Raw'!C378</f>
        <v>3666 מפריד הלוקס</v>
      </c>
      <c r="D1685" s="19" t="n">
        <f aca="false">'CEMIUP0.9 Raw'!D378</f>
        <v>14</v>
      </c>
      <c r="E1685" s="19" t="n">
        <f aca="false">'CEMIUP0.9 Raw'!E378</f>
        <v>649.922</v>
      </c>
      <c r="F1685" s="19" t="n">
        <f aca="false">'CEMIUP0.9 Raw'!F378</f>
        <v>25.2631578947368</v>
      </c>
      <c r="G1685" s="19" t="n">
        <f aca="false">'CEMIUP0.9 Raw'!G378</f>
        <v>1450.06105263158</v>
      </c>
      <c r="H1685" s="18" t="str">
        <f aca="false">'CEMIUP0.9 Raw'!A378</f>
        <v>107 - Pharmacies</v>
      </c>
    </row>
    <row r="1686" customFormat="false" ht="15" hidden="false" customHeight="false" outlineLevel="0" collapsed="false">
      <c r="A1686" s="18" t="n">
        <f aca="false">'CEMIUP0.9 Raw'!B579</f>
        <v>4422007</v>
      </c>
      <c r="B1686" s="18" t="str">
        <f aca="false">'CEMIUP0.9 Raw'!C579</f>
        <v>T78 XLתומך זרוע וכתף</v>
      </c>
      <c r="C1686" s="18" t="str">
        <f aca="false">'CEMIUP0.9 Raw'!C579</f>
        <v>T78 XLתומך זרוע וכתף</v>
      </c>
      <c r="D1686" s="19" t="n">
        <f aca="false">'CEMIUP0.9 Raw'!D579</f>
        <v>20</v>
      </c>
      <c r="E1686" s="19" t="n">
        <f aca="false">'CEMIUP0.9 Raw'!E579</f>
        <v>3433.237</v>
      </c>
      <c r="F1686" s="19" t="n">
        <f aca="false">'CEMIUP0.9 Raw'!F579</f>
        <v>25.2631578947368</v>
      </c>
      <c r="G1686" s="19" t="n">
        <f aca="false">'CEMIUP0.9 Raw'!G579</f>
        <v>4299.24884210526</v>
      </c>
      <c r="H1686" s="18" t="str">
        <f aca="false">'CEMIUP0.9 Raw'!A579</f>
        <v>107 - Pharmacies</v>
      </c>
    </row>
    <row r="1687" customFormat="false" ht="15" hidden="false" customHeight="false" outlineLevel="0" collapsed="false">
      <c r="A1687" s="18" t="n">
        <f aca="false">'CEMIUP0.9 Raw'!B683</f>
        <v>4403018</v>
      </c>
      <c r="B1687" s="18" t="str">
        <f aca="false">'CEMIUP0.9 Raw'!C683</f>
        <v>394B-39-42</v>
      </c>
      <c r="C1687" s="18" t="str">
        <f aca="false">'CEMIUP0.9 Raw'!C683</f>
        <v>394B-39-42</v>
      </c>
      <c r="D1687" s="19" t="n">
        <f aca="false">'CEMIUP0.9 Raw'!D683</f>
        <v>191</v>
      </c>
      <c r="E1687" s="19" t="n">
        <f aca="false">'CEMIUP0.9 Raw'!E683</f>
        <v>3514.4</v>
      </c>
      <c r="F1687" s="19" t="n">
        <f aca="false">'CEMIUP0.9 Raw'!F683</f>
        <v>25.2631578947368</v>
      </c>
      <c r="G1687" s="19" t="n">
        <f aca="false">'CEMIUP0.9 Raw'!G683</f>
        <v>464.842105263158</v>
      </c>
      <c r="H1687" s="18" t="str">
        <f aca="false">'CEMIUP0.9 Raw'!A683</f>
        <v>113 - Kupat Holim Meuhedet</v>
      </c>
    </row>
    <row r="1688" customFormat="false" ht="15" hidden="false" customHeight="false" outlineLevel="0" collapsed="false">
      <c r="A1688" s="18" t="str">
        <f aca="false">'CEMIUP0.9 Raw'!B893</f>
        <v>11 M""חגורת בטן""אורירית</v>
      </c>
      <c r="B1688" s="18" t="str">
        <f aca="false">'CEMIUP0.9 Raw'!C893</f>
        <v>11 M""חגורת בטן""אורירית</v>
      </c>
      <c r="C1688" s="18" t="str">
        <f aca="false">'CEMIUP0.9 Raw'!C893</f>
        <v>11 M""חגורת בטן""אורירית</v>
      </c>
      <c r="D1688" s="19" t="n">
        <f aca="false">'CEMIUP0.9 Raw'!D893</f>
        <v>0</v>
      </c>
      <c r="E1688" s="19" t="n">
        <f aca="false">'CEMIUP0.9 Raw'!E893</f>
        <v>0</v>
      </c>
      <c r="F1688" s="19" t="n">
        <f aca="false">'CEMIUP0.9 Raw'!F893</f>
        <v>25.2631578947368</v>
      </c>
      <c r="G1688" s="19" t="n">
        <f aca="false">'CEMIUP0.9 Raw'!G893</f>
        <v>1663.05852631579</v>
      </c>
      <c r="H1688" s="18" t="str">
        <f aca="false">'CEMIUP0.9 Raw'!A893</f>
        <v>113 - Kupat Holim Meuhedet</v>
      </c>
    </row>
    <row r="1689" customFormat="false" ht="15" hidden="false" customHeight="false" outlineLevel="0" collapsed="false">
      <c r="A1689" s="18" t="str">
        <f aca="false">'CEMIUP0.9 Raw'!B896</f>
        <v>11 XXL""חגורת בטן""אורירית</v>
      </c>
      <c r="B1689" s="18" t="str">
        <f aca="false">'CEMIUP0.9 Raw'!C896</f>
        <v>11 XXL""חגורת בטן""אורירית</v>
      </c>
      <c r="C1689" s="18" t="str">
        <f aca="false">'CEMIUP0.9 Raw'!C896</f>
        <v>11 XXL""חגורת בטן""אורירית</v>
      </c>
      <c r="D1689" s="19" t="n">
        <f aca="false">'CEMIUP0.9 Raw'!D896</f>
        <v>0</v>
      </c>
      <c r="E1689" s="19" t="n">
        <f aca="false">'CEMIUP0.9 Raw'!E896</f>
        <v>0</v>
      </c>
      <c r="F1689" s="19" t="n">
        <f aca="false">'CEMIUP0.9 Raw'!F896</f>
        <v>25.2631578947368</v>
      </c>
      <c r="G1689" s="19" t="n">
        <f aca="false">'CEMIUP0.9 Raw'!G896</f>
        <v>1621.44757894737</v>
      </c>
      <c r="H1689" s="18" t="str">
        <f aca="false">'CEMIUP0.9 Raw'!A896</f>
        <v>113 - Kupat Holim Meuhedet</v>
      </c>
    </row>
    <row r="1690" customFormat="false" ht="15" hidden="false" customHeight="false" outlineLevel="0" collapsed="false">
      <c r="A1690" s="18" t="n">
        <f aca="false">'CEMIUP0.9 Raw'!B1221</f>
        <v>4415073</v>
      </c>
      <c r="B1690" s="18" t="str">
        <f aca="false">'CEMIUP0.9 Raw'!C1221</f>
        <v>T28A L-XL סד לאגודל</v>
      </c>
      <c r="C1690" s="18" t="str">
        <f aca="false">'CEMIUP0.9 Raw'!C1221</f>
        <v>T28A L-XL סד לאגודל</v>
      </c>
      <c r="D1690" s="19" t="n">
        <f aca="false">'CEMIUP0.9 Raw'!D1221</f>
        <v>31</v>
      </c>
      <c r="E1690" s="19" t="n">
        <f aca="false">'CEMIUP0.9 Raw'!E1221</f>
        <v>1782.872</v>
      </c>
      <c r="F1690" s="19" t="n">
        <f aca="false">'CEMIUP0.9 Raw'!F1221</f>
        <v>25.2631578947368</v>
      </c>
      <c r="G1690" s="19" t="n">
        <f aca="false">'CEMIUP0.9 Raw'!G1221</f>
        <v>1459.94652631579</v>
      </c>
      <c r="H1690" s="18" t="str">
        <f aca="false">'CEMIUP0.9 Raw'!A1221</f>
        <v>BE (CEMI internal group)</v>
      </c>
    </row>
    <row r="1691" customFormat="false" ht="15" hidden="false" customHeight="false" outlineLevel="0" collapsed="false">
      <c r="A1691" s="18" t="n">
        <f aca="false">'CEMIUP0.9 Raw'!B1294</f>
        <v>4403023</v>
      </c>
      <c r="B1691" s="18" t="str">
        <f aca="false">'CEMIUP0.9 Raw'!C1294</f>
        <v>394W 35-38 גרב.כסף לסכרתים לבן</v>
      </c>
      <c r="C1691" s="18" t="str">
        <f aca="false">'CEMIUP0.9 Raw'!C1294</f>
        <v>394W 35-38 גרב.כסף לסכרתים לבן</v>
      </c>
      <c r="D1691" s="19" t="n">
        <f aca="false">'CEMIUP0.9 Raw'!D1294</f>
        <v>25</v>
      </c>
      <c r="E1691" s="19" t="n">
        <f aca="false">'CEMIUP0.9 Raw'!E1294</f>
        <v>510.601</v>
      </c>
      <c r="F1691" s="19" t="n">
        <f aca="false">'CEMIUP0.9 Raw'!F1294</f>
        <v>25.2631578947368</v>
      </c>
      <c r="G1691" s="19" t="n">
        <f aca="false">'CEMIUP0.9 Raw'!G1294</f>
        <v>520.021894736842</v>
      </c>
      <c r="H1691" s="18" t="str">
        <f aca="false">'CEMIUP0.9 Raw'!A1294</f>
        <v>Super-Pharm Israel (CEMI internal group)</v>
      </c>
    </row>
    <row r="1692" customFormat="false" ht="15" hidden="false" customHeight="false" outlineLevel="0" collapsed="false">
      <c r="A1692" s="18" t="n">
        <f aca="false">'CEMIUP0.9 Raw'!B1590</f>
        <v>4413439</v>
      </c>
      <c r="B1692" s="18" t="str">
        <f aca="false">'CEMIUP0.9 Raw'!C1590</f>
        <v>SC422  M מגן ברך</v>
      </c>
      <c r="C1692" s="18" t="str">
        <f aca="false">'CEMIUP0.9 Raw'!C1590</f>
        <v>SC422  M מגן ברך</v>
      </c>
      <c r="D1692" s="19" t="n">
        <f aca="false">'CEMIUP0.9 Raw'!D1590</f>
        <v>20</v>
      </c>
      <c r="E1692" s="19" t="n">
        <f aca="false">'CEMIUP0.9 Raw'!E1590</f>
        <v>2433.795</v>
      </c>
      <c r="F1692" s="19" t="n">
        <f aca="false">'CEMIUP0.9 Raw'!F1590</f>
        <v>25.2631578947368</v>
      </c>
      <c r="G1692" s="19" t="n">
        <f aca="false">'CEMIUP0.9 Raw'!G1590</f>
        <v>3074.84210526316</v>
      </c>
      <c r="H1692" s="18" t="str">
        <f aca="false">'CEMIUP0.9 Raw'!A1590</f>
        <v>Super-Pharm Israel (CEMI internal group)</v>
      </c>
    </row>
    <row r="1693" customFormat="false" ht="15" hidden="false" customHeight="false" outlineLevel="0" collapsed="false">
      <c r="A1693" s="18" t="n">
        <f aca="false">'CEMIUP0.9 Raw'!B1645</f>
        <v>4415298</v>
      </c>
      <c r="B1693" s="18" t="str">
        <f aca="false">'CEMIUP0.9 Raw'!C1645</f>
        <v>388B L סד לילה שחור לבוהן שמאל</v>
      </c>
      <c r="C1693" s="18" t="str">
        <f aca="false">'CEMIUP0.9 Raw'!C1645</f>
        <v>388B L סד לילה שחור לבוהן שמאל</v>
      </c>
      <c r="D1693" s="19" t="n">
        <f aca="false">'CEMIUP0.9 Raw'!D1645</f>
        <v>40</v>
      </c>
      <c r="E1693" s="19" t="n">
        <f aca="false">'CEMIUP0.9 Raw'!E1645</f>
        <v>2149.693</v>
      </c>
      <c r="F1693" s="19" t="n">
        <f aca="false">'CEMIUP0.9 Raw'!F1645</f>
        <v>25.2631578947368</v>
      </c>
      <c r="G1693" s="19" t="n">
        <f aca="false">'CEMIUP0.9 Raw'!G1645</f>
        <v>1486.61431578947</v>
      </c>
      <c r="H1693" s="18" t="str">
        <f aca="false">'CEMIUP0.9 Raw'!A1645</f>
        <v>Super-Pharm Israel (CEMI internal group)</v>
      </c>
    </row>
    <row r="1694" customFormat="false" ht="15" hidden="false" customHeight="false" outlineLevel="0" collapsed="false">
      <c r="A1694" s="18" t="n">
        <f aca="false">'CEMIUP0.9 Raw'!B1646</f>
        <v>4415299</v>
      </c>
      <c r="B1694" s="18" t="str">
        <f aca="false">'CEMIUP0.9 Raw'!C1646</f>
        <v>388B L סד לילה שחור לבוהן ימין</v>
      </c>
      <c r="C1694" s="18" t="str">
        <f aca="false">'CEMIUP0.9 Raw'!C1646</f>
        <v>388B L סד לילה שחור לבוהן ימין</v>
      </c>
      <c r="D1694" s="19" t="n">
        <f aca="false">'CEMIUP0.9 Raw'!D1646</f>
        <v>47</v>
      </c>
      <c r="E1694" s="19" t="n">
        <f aca="false">'CEMIUP0.9 Raw'!E1646</f>
        <v>2535.715</v>
      </c>
      <c r="F1694" s="19" t="n">
        <f aca="false">'CEMIUP0.9 Raw'!F1646</f>
        <v>25.2631578947368</v>
      </c>
      <c r="G1694" s="19" t="n">
        <f aca="false">'CEMIUP0.9 Raw'!G1646</f>
        <v>1469.02736842105</v>
      </c>
      <c r="H1694" s="18" t="str">
        <f aca="false">'CEMIUP0.9 Raw'!A1646</f>
        <v>Super-Pharm Israel (CEMI internal group)</v>
      </c>
    </row>
    <row r="1695" customFormat="false" ht="15" hidden="false" customHeight="false" outlineLevel="0" collapsed="false">
      <c r="A1695" s="18" t="n">
        <f aca="false">'CEMIUP0.9 Raw'!B1705</f>
        <v>4422038</v>
      </c>
      <c r="B1695" s="18" t="str">
        <f aca="false">'CEMIUP0.9 Raw'!C1705</f>
        <v>SH422 2 תומך ברך גנושילד</v>
      </c>
      <c r="C1695" s="18" t="str">
        <f aca="false">'CEMIUP0.9 Raw'!C1705</f>
        <v>SH422 2 תומך ברך גנושילד</v>
      </c>
      <c r="D1695" s="19" t="n">
        <f aca="false">'CEMIUP0.9 Raw'!D1705</f>
        <v>0</v>
      </c>
      <c r="E1695" s="19" t="n">
        <f aca="false">'CEMIUP0.9 Raw'!E1705</f>
        <v>0</v>
      </c>
      <c r="F1695" s="19" t="n">
        <f aca="false">'CEMIUP0.9 Raw'!F1705</f>
        <v>25.2631578947368</v>
      </c>
      <c r="G1695" s="19" t="n">
        <f aca="false">'CEMIUP0.9 Raw'!G1705</f>
        <v>4170.06063157895</v>
      </c>
      <c r="H1695" s="18" t="str">
        <f aca="false">'CEMIUP0.9 Raw'!A1705</f>
        <v>Super-Pharm Israel (CEMI internal group)</v>
      </c>
    </row>
    <row r="1696" customFormat="false" ht="15" hidden="false" customHeight="false" outlineLevel="0" collapsed="false">
      <c r="A1696" s="18" t="str">
        <f aca="false">'SALES Raw'!G105</f>
        <v/>
      </c>
      <c r="B1696" s="18" t="str">
        <f aca="false">'SALES Raw'!B105</f>
        <v>363 L/R</v>
      </c>
      <c r="C1696" s="18" t="str">
        <f aca="false">'SALES Raw'!H105</f>
        <v>363 L/R</v>
      </c>
      <c r="D1696" s="19" t="n">
        <f aca="false">'SALES Raw'!C105</f>
        <v>2</v>
      </c>
      <c r="E1696" s="19" t="n">
        <f aca="false">'SALES Raw'!D105</f>
        <v>56.16</v>
      </c>
      <c r="F1696" s="19" t="n">
        <f aca="false">'SALES Raw'!E105*$H$4</f>
        <v>24</v>
      </c>
      <c r="G1696" s="19" t="n">
        <f aca="false">'SALES Raw'!F105*$H$4</f>
        <v>642.138947368421</v>
      </c>
      <c r="H1696" s="18" t="str">
        <f aca="false">'SALES Raw'!A105</f>
        <v>101 - Factory customers</v>
      </c>
    </row>
    <row r="1697" customFormat="false" ht="15" hidden="false" customHeight="false" outlineLevel="0" collapsed="false">
      <c r="A1697" s="18" t="n">
        <f aca="false">'SALES Raw'!G565</f>
        <v>4418000</v>
      </c>
      <c r="B1697" s="18" t="str">
        <f aca="false">'SALES Raw'!B565</f>
        <v>60 L</v>
      </c>
      <c r="C1697" s="18" t="str">
        <f aca="false">'SALES Raw'!H565</f>
        <v>60 L צוארון ספוגי</v>
      </c>
      <c r="D1697" s="19" t="n">
        <f aca="false">'SALES Raw'!C565</f>
        <v>36</v>
      </c>
      <c r="E1697" s="19" t="n">
        <f aca="false">'SALES Raw'!D565</f>
        <v>1786.7</v>
      </c>
      <c r="F1697" s="19" t="n">
        <f aca="false">'SALES Raw'!E565*$H$4</f>
        <v>24</v>
      </c>
      <c r="G1697" s="19" t="n">
        <f aca="false">'SALES Raw'!F565*$H$4</f>
        <v>1182.85894736842</v>
      </c>
      <c r="H1697" s="18" t="str">
        <f aca="false">'SALES Raw'!A565</f>
        <v>102 - Orthopedic institutes</v>
      </c>
    </row>
    <row r="1698" customFormat="false" ht="15" hidden="false" customHeight="false" outlineLevel="0" collapsed="false">
      <c r="A1698" s="18" t="str">
        <f aca="false">'SALES Raw'!G584</f>
        <v/>
      </c>
      <c r="B1698" s="18" t="str">
        <f aca="false">'SALES Raw'!B584</f>
        <v>SH776 XL</v>
      </c>
      <c r="C1698" s="18" t="str">
        <f aca="false">'SALES Raw'!H584</f>
        <v>SH776 XL</v>
      </c>
      <c r="D1698" s="19" t="n">
        <f aca="false">'SALES Raw'!C584</f>
        <v>0</v>
      </c>
      <c r="E1698" s="19" t="n">
        <f aca="false">'SALES Raw'!D584</f>
        <v>0</v>
      </c>
      <c r="F1698" s="19" t="n">
        <f aca="false">'SALES Raw'!E584*$H$4</f>
        <v>24</v>
      </c>
      <c r="G1698" s="19" t="n">
        <f aca="false">'SALES Raw'!F584*$H$4</f>
        <v>8400.03789473684</v>
      </c>
      <c r="H1698" s="18" t="str">
        <f aca="false">'SALES Raw'!A584</f>
        <v>102 - Orthopedic institutes</v>
      </c>
    </row>
    <row r="1699" customFormat="false" ht="15" hidden="false" customHeight="false" outlineLevel="0" collapsed="false">
      <c r="A1699" s="18" t="n">
        <f aca="false">'SALES Raw'!G778</f>
        <v>4413452</v>
      </c>
      <c r="B1699" s="18" t="str">
        <f aca="false">'SALES Raw'!B778</f>
        <v>386 0</v>
      </c>
      <c r="C1699" s="18" t="str">
        <f aca="false">'SALES Raw'!H778</f>
        <v>386  מיישר בוניון-האלוקס ולגוס</v>
      </c>
      <c r="D1699" s="19" t="n">
        <f aca="false">'SALES Raw'!C778</f>
        <v>18</v>
      </c>
      <c r="E1699" s="19" t="n">
        <f aca="false">'SALES Raw'!D778</f>
        <v>835.6</v>
      </c>
      <c r="F1699" s="19" t="n">
        <f aca="false">'SALES Raw'!E778*$H$4</f>
        <v>24</v>
      </c>
      <c r="G1699" s="19" t="n">
        <f aca="false">'SALES Raw'!F778*$H$4</f>
        <v>1127.09052631579</v>
      </c>
      <c r="H1699" s="18" t="str">
        <f aca="false">'SALES Raw'!A778</f>
        <v>102 - Orthopedic institutes</v>
      </c>
    </row>
    <row r="1700" customFormat="false" ht="15" hidden="false" customHeight="false" outlineLevel="0" collapsed="false">
      <c r="A1700" s="18" t="n">
        <f aca="false">'SALES Raw'!G801</f>
        <v>4413132</v>
      </c>
      <c r="B1700" s="18" t="str">
        <f aca="false">'SALES Raw'!B801</f>
        <v>76 L</v>
      </c>
      <c r="C1700" s="18" t="str">
        <f aca="false">'SALES Raw'!H801</f>
        <v>76 Lמיישר כתף יציב יישור רחב</v>
      </c>
      <c r="D1700" s="19" t="n">
        <f aca="false">'SALES Raw'!C801</f>
        <v>29</v>
      </c>
      <c r="E1700" s="19" t="n">
        <f aca="false">'SALES Raw'!D801</f>
        <v>4424.07</v>
      </c>
      <c r="F1700" s="19" t="n">
        <f aca="false">'SALES Raw'!E801*$H$4</f>
        <v>24</v>
      </c>
      <c r="G1700" s="19" t="n">
        <f aca="false">'SALES Raw'!F801*$H$4</f>
        <v>3840.03789473684</v>
      </c>
      <c r="H1700" s="18" t="str">
        <f aca="false">'SALES Raw'!A801</f>
        <v>102 - Orthopedic institutes</v>
      </c>
    </row>
    <row r="1701" customFormat="false" ht="15" hidden="false" customHeight="false" outlineLevel="0" collapsed="false">
      <c r="A1701" s="18" t="n">
        <f aca="false">'SALES Raw'!G805</f>
        <v>4413176</v>
      </c>
      <c r="B1701" s="18" t="str">
        <f aca="false">'SALES Raw'!B805</f>
        <v>85+ L</v>
      </c>
      <c r="C1701" s="18" t="str">
        <f aca="false">'SALES Raw'!H805</f>
        <v>85+ Lמתלה ליד)כיס(+רצועת חיזוק</v>
      </c>
      <c r="D1701" s="19" t="n">
        <f aca="false">'SALES Raw'!C805</f>
        <v>61</v>
      </c>
      <c r="E1701" s="19" t="n">
        <f aca="false">'SALES Raw'!D805</f>
        <v>4079.9</v>
      </c>
      <c r="F1701" s="19" t="n">
        <f aca="false">'SALES Raw'!E805*$H$4</f>
        <v>24</v>
      </c>
      <c r="G1701" s="19" t="n">
        <f aca="false">'SALES Raw'!F805*$H$4</f>
        <v>1679.96210526316</v>
      </c>
      <c r="H1701" s="18" t="str">
        <f aca="false">'SALES Raw'!A805</f>
        <v>102 - Orthopedic institutes</v>
      </c>
    </row>
    <row r="1702" customFormat="false" ht="15" hidden="false" customHeight="false" outlineLevel="0" collapsed="false">
      <c r="A1702" s="18" t="n">
        <f aca="false">'SALES Raw'!G1809</f>
        <v>4413522</v>
      </c>
      <c r="B1702" s="18" t="str">
        <f aca="false">'SALES Raw'!B1809</f>
        <v>379MSP-43-46</v>
      </c>
      <c r="C1702" s="18" t="str">
        <f aca="false">'SALES Raw'!H1809</f>
        <v>מדרסי אפיק ג'ל מולט.ספורט43-47</v>
      </c>
      <c r="D1702" s="19" t="n">
        <f aca="false">'SALES Raw'!C1809</f>
        <v>0</v>
      </c>
      <c r="E1702" s="19" t="n">
        <f aca="false">'SALES Raw'!D1809</f>
        <v>0</v>
      </c>
      <c r="F1702" s="19" t="n">
        <f aca="false">'SALES Raw'!E1809*$H$4</f>
        <v>24</v>
      </c>
      <c r="G1702" s="19" t="n">
        <f aca="false">'SALES Raw'!F1809*$H$4</f>
        <v>2605.31368421053</v>
      </c>
      <c r="H1702" s="18" t="str">
        <f aca="false">'SALES Raw'!A1809</f>
        <v>109 - Private Shops</v>
      </c>
    </row>
    <row r="1703" customFormat="false" ht="15" hidden="false" customHeight="false" outlineLevel="0" collapsed="false">
      <c r="A1703" s="18" t="n">
        <f aca="false">'SALES Raw'!G1812</f>
        <v>4413529</v>
      </c>
      <c r="B1703" s="18" t="str">
        <f aca="false">'SALES Raw'!B1812</f>
        <v>379WRK-43-46</v>
      </c>
      <c r="C1703" s="18" t="str">
        <f aca="false">'SALES Raw'!H1812</f>
        <v>43-47 מדרסי אפיק ג'ל עבודה</v>
      </c>
      <c r="D1703" s="19" t="n">
        <f aca="false">'SALES Raw'!C1812</f>
        <v>0</v>
      </c>
      <c r="E1703" s="19" t="n">
        <f aca="false">'SALES Raw'!D1812</f>
        <v>0</v>
      </c>
      <c r="F1703" s="19" t="n">
        <f aca="false">'SALES Raw'!E1812*$H$4</f>
        <v>24</v>
      </c>
      <c r="G1703" s="19" t="n">
        <f aca="false">'SALES Raw'!F1812*$H$4</f>
        <v>2601.87789473684</v>
      </c>
      <c r="H1703" s="18" t="str">
        <f aca="false">'SALES Raw'!A1812</f>
        <v>109 - Private Shops</v>
      </c>
    </row>
    <row r="1704" customFormat="false" ht="15" hidden="false" customHeight="false" outlineLevel="0" collapsed="false">
      <c r="A1704" s="18" t="n">
        <f aca="false">'SALES Raw'!G2168</f>
        <v>4411017</v>
      </c>
      <c r="B1704" s="18" t="str">
        <f aca="false">'SALES Raw'!B2168</f>
        <v>211 L</v>
      </c>
      <c r="C1704" s="18" t="str">
        <f aca="false">'SALES Raw'!H2168</f>
        <v>211L כפפות לחץ</v>
      </c>
      <c r="D1704" s="19" t="n">
        <f aca="false">'SALES Raw'!C2168</f>
        <v>10</v>
      </c>
      <c r="E1704" s="19" t="n">
        <f aca="false">'SALES Raw'!D2168</f>
        <v>631.37</v>
      </c>
      <c r="F1704" s="19" t="n">
        <f aca="false">'SALES Raw'!E2168*$H$4</f>
        <v>24</v>
      </c>
      <c r="G1704" s="19" t="n">
        <f aca="false">'SALES Raw'!F2168*$H$4</f>
        <v>1531.01052631579</v>
      </c>
      <c r="H1704" s="18" t="str">
        <f aca="false">'SALES Raw'!A2168</f>
        <v>114 - IL online</v>
      </c>
    </row>
    <row r="1705" customFormat="false" ht="15" hidden="false" customHeight="false" outlineLevel="0" collapsed="false">
      <c r="A1705" s="18" t="n">
        <f aca="false">'SALES Raw'!G2248</f>
        <v>4411016</v>
      </c>
      <c r="B1705" s="18" t="str">
        <f aca="false">'SALES Raw'!B2248</f>
        <v>307 XL</v>
      </c>
      <c r="C1705" s="18" t="str">
        <f aca="false">'SALES Raw'!H2248</f>
        <v>307 XL כרית סיליקון לעקב</v>
      </c>
      <c r="D1705" s="19" t="n">
        <f aca="false">'SALES Raw'!C2248</f>
        <v>9</v>
      </c>
      <c r="E1705" s="19" t="n">
        <f aca="false">'SALES Raw'!D2248</f>
        <v>1451.68</v>
      </c>
      <c r="F1705" s="19" t="n">
        <f aca="false">'SALES Raw'!E2248*$H$4</f>
        <v>24</v>
      </c>
      <c r="G1705" s="19" t="n">
        <f aca="false">'SALES Raw'!F2248*$H$4</f>
        <v>3762.35368421053</v>
      </c>
      <c r="H1705" s="18" t="str">
        <f aca="false">'SALES Raw'!A2248</f>
        <v>114 - IL online</v>
      </c>
    </row>
    <row r="1706" customFormat="false" ht="15" hidden="false" customHeight="false" outlineLevel="0" collapsed="false">
      <c r="A1706" s="18" t="n">
        <f aca="false">'SALES Raw'!G2266</f>
        <v>4413046</v>
      </c>
      <c r="B1706" s="18" t="str">
        <f aca="false">'SALES Raw'!B2266</f>
        <v>34 XXL</v>
      </c>
      <c r="C1706" s="18" t="str">
        <f aca="false">'SALES Raw'!H2266</f>
        <v>34 XXL מגן קרסול עקב סגור</v>
      </c>
      <c r="D1706" s="19" t="n">
        <f aca="false">'SALES Raw'!C2266</f>
        <v>11</v>
      </c>
      <c r="E1706" s="19" t="n">
        <f aca="false">'SALES Raw'!D2266</f>
        <v>863.53</v>
      </c>
      <c r="F1706" s="19" t="n">
        <f aca="false">'SALES Raw'!E2266*$H$4</f>
        <v>24</v>
      </c>
      <c r="G1706" s="19" t="n">
        <f aca="false">'SALES Raw'!F2266*$H$4</f>
        <v>1967.68421052632</v>
      </c>
      <c r="H1706" s="18" t="str">
        <f aca="false">'SALES Raw'!A2266</f>
        <v>114 - IL online</v>
      </c>
    </row>
    <row r="1707" customFormat="false" ht="15" hidden="false" customHeight="false" outlineLevel="0" collapsed="false">
      <c r="A1707" s="18" t="n">
        <f aca="false">'SALES Raw'!G2303</f>
        <v>4409000</v>
      </c>
      <c r="B1707" s="18" t="str">
        <f aca="false">'SALES Raw'!B2303</f>
        <v>365-S-L</v>
      </c>
      <c r="C1707" s="18" t="str">
        <f aca="false">'SALES Raw'!H2303</f>
        <v>365 S-Lטבעת אלסטית מסיליקון</v>
      </c>
      <c r="D1707" s="19" t="n">
        <f aca="false">'SALES Raw'!C2303</f>
        <v>33</v>
      </c>
      <c r="E1707" s="19" t="n">
        <f aca="false">'SALES Raw'!D2303</f>
        <v>791.32</v>
      </c>
      <c r="F1707" s="19" t="n">
        <f aca="false">'SALES Raw'!E2303*$H$4</f>
        <v>24</v>
      </c>
      <c r="G1707" s="19" t="n">
        <f aca="false">'SALES Raw'!F2303*$H$4</f>
        <v>612</v>
      </c>
      <c r="H1707" s="18" t="str">
        <f aca="false">'SALES Raw'!A2303</f>
        <v>114 - IL online</v>
      </c>
    </row>
    <row r="1708" customFormat="false" ht="15" hidden="false" customHeight="false" outlineLevel="0" collapsed="false">
      <c r="A1708" s="18" t="n">
        <f aca="false">'SALES Raw'!G2322</f>
        <v>4420003</v>
      </c>
      <c r="B1708" s="18" t="str">
        <f aca="false">'SALES Raw'!B2322</f>
        <v>374 0</v>
      </c>
      <c r="C1708" s="18" t="str">
        <f aca="false">'SALES Raw'!H2322</f>
        <v>374 רפידת בולמת זעזועים -זוג</v>
      </c>
      <c r="D1708" s="19" t="n">
        <f aca="false">'SALES Raw'!C2322</f>
        <v>18</v>
      </c>
      <c r="E1708" s="19" t="n">
        <f aca="false">'SALES Raw'!D2322</f>
        <v>443.78</v>
      </c>
      <c r="F1708" s="19" t="n">
        <f aca="false">'SALES Raw'!E2322*$H$4</f>
        <v>24</v>
      </c>
      <c r="G1708" s="19" t="n">
        <f aca="false">'SALES Raw'!F2322*$H$4</f>
        <v>644.488421052632</v>
      </c>
      <c r="H1708" s="18" t="str">
        <f aca="false">'SALES Raw'!A2322</f>
        <v>114 - IL online</v>
      </c>
    </row>
    <row r="1709" customFormat="false" ht="15" hidden="false" customHeight="false" outlineLevel="0" collapsed="false">
      <c r="A1709" s="18" t="n">
        <f aca="false">'SALES Raw'!G2329</f>
        <v>4413524</v>
      </c>
      <c r="B1709" s="18" t="str">
        <f aca="false">'SALES Raw'!B2329</f>
        <v>379COM-39-42</v>
      </c>
      <c r="C1709" s="18" t="str">
        <f aca="false">'SALES Raw'!H2329</f>
        <v>39-42 מדרסי אפיק ג'ל נוחות</v>
      </c>
      <c r="D1709" s="19" t="n">
        <f aca="false">'SALES Raw'!C2329</f>
        <v>15</v>
      </c>
      <c r="E1709" s="19" t="n">
        <f aca="false">'SALES Raw'!D2329</f>
        <v>2957.61</v>
      </c>
      <c r="F1709" s="19" t="n">
        <f aca="false">'SALES Raw'!E2329*$H$4</f>
        <v>24</v>
      </c>
      <c r="G1709" s="19" t="n">
        <f aca="false">'SALES Raw'!F2329*$H$4</f>
        <v>4832.37473684211</v>
      </c>
      <c r="H1709" s="18" t="str">
        <f aca="false">'SALES Raw'!A2329</f>
        <v>114 - IL online</v>
      </c>
    </row>
    <row r="1710" customFormat="false" ht="15" hidden="false" customHeight="false" outlineLevel="0" collapsed="false">
      <c r="A1710" s="18" t="str">
        <f aca="false">'SALES Raw'!G2365</f>
        <v/>
      </c>
      <c r="B1710" s="18" t="str">
        <f aca="false">'SALES Raw'!B2365</f>
        <v>395B-35-38</v>
      </c>
      <c r="C1710" s="18" t="str">
        <f aca="false">'SALES Raw'!H2365</f>
        <v>395B-35-38</v>
      </c>
      <c r="D1710" s="19" t="n">
        <f aca="false">'SALES Raw'!C2365</f>
        <v>0</v>
      </c>
      <c r="E1710" s="19" t="n">
        <f aca="false">'SALES Raw'!D2365</f>
        <v>0</v>
      </c>
      <c r="F1710" s="19" t="n">
        <f aca="false">'SALES Raw'!E2365*$H$4</f>
        <v>24</v>
      </c>
      <c r="G1710" s="19" t="n">
        <f aca="false">'SALES Raw'!F2365*$H$4</f>
        <v>1149.82736842105</v>
      </c>
      <c r="H1710" s="18" t="str">
        <f aca="false">'SALES Raw'!A2365</f>
        <v>114 - IL online</v>
      </c>
    </row>
    <row r="1711" customFormat="false" ht="15" hidden="false" customHeight="false" outlineLevel="0" collapsed="false">
      <c r="A1711" s="18" t="n">
        <f aca="false">'SALES Raw'!G2666</f>
        <v>4413405</v>
      </c>
      <c r="B1711" s="18" t="str">
        <f aca="false">'SALES Raw'!B2666</f>
        <v>SC95 S</v>
      </c>
      <c r="C1711" s="18" t="str">
        <f aca="false">'SALES Raw'!H2666</f>
        <v>SC95 S מגן מרפק</v>
      </c>
      <c r="D1711" s="19" t="n">
        <f aca="false">'SALES Raw'!C2666</f>
        <v>13</v>
      </c>
      <c r="E1711" s="19" t="n">
        <f aca="false">'SALES Raw'!D2666</f>
        <v>1727.35</v>
      </c>
      <c r="F1711" s="19" t="n">
        <f aca="false">'SALES Raw'!E2666*$H$4</f>
        <v>24</v>
      </c>
      <c r="G1711" s="19" t="n">
        <f aca="false">'SALES Raw'!F2666*$H$4</f>
        <v>3637.79368421053</v>
      </c>
      <c r="H1711" s="18" t="str">
        <f aca="false">'SALES Raw'!A2666</f>
        <v>114 - IL online</v>
      </c>
    </row>
    <row r="1712" customFormat="false" ht="15" hidden="false" customHeight="false" outlineLevel="0" collapsed="false">
      <c r="A1712" s="18" t="n">
        <f aca="false">'SALES Raw'!G2806</f>
        <v>4409010</v>
      </c>
      <c r="B1712" s="18" t="str">
        <f aca="false">'SALES Raw'!B2806</f>
        <v>804AT-W</v>
      </c>
      <c r="C1712" s="18" t="str">
        <f aca="false">'SALES Raw'!H2806</f>
        <v>804AT-W      טייפ חבישה לספורט</v>
      </c>
      <c r="D1712" s="19" t="n">
        <f aca="false">'SALES Raw'!C2806</f>
        <v>15</v>
      </c>
      <c r="E1712" s="19" t="n">
        <f aca="false">'SALES Raw'!D2806</f>
        <v>468.2</v>
      </c>
      <c r="F1712" s="19" t="n">
        <f aca="false">'SALES Raw'!E2806*$H$4</f>
        <v>24</v>
      </c>
      <c r="G1712" s="19" t="n">
        <f aca="false">'SALES Raw'!F2806*$H$4</f>
        <v>750.48</v>
      </c>
      <c r="H1712" s="18" t="str">
        <f aca="false">'SALES Raw'!A2806</f>
        <v>115-SuperPharm Online</v>
      </c>
    </row>
    <row r="1713" customFormat="false" ht="15" hidden="false" customHeight="false" outlineLevel="0" collapsed="false">
      <c r="A1713" s="18" t="n">
        <f aca="false">'SALES Raw'!G4419</f>
        <v>4415297</v>
      </c>
      <c r="B1713" s="18" t="str">
        <f aca="false">'SALES Raw'!B4419</f>
        <v>313 0</v>
      </c>
      <c r="C1713" s="18" t="str">
        <f aca="false">'SALES Raw'!H4419</f>
        <v>313 סט פלסטרים נגד שפשופים</v>
      </c>
      <c r="D1713" s="19" t="n">
        <f aca="false">'SALES Raw'!C4419</f>
        <v>6</v>
      </c>
      <c r="E1713" s="19" t="n">
        <f aca="false">'SALES Raw'!D4419</f>
        <v>339.07</v>
      </c>
      <c r="F1713" s="19" t="n">
        <f aca="false">'SALES Raw'!E4419*$H$4</f>
        <v>24</v>
      </c>
      <c r="G1713" s="19" t="n">
        <f aca="false">'SALES Raw'!F4419*$H$4</f>
        <v>724.825263157895</v>
      </c>
      <c r="H1713" s="18" t="str">
        <f aca="false">'SALES Raw'!A4419</f>
        <v>301 - Amazon</v>
      </c>
    </row>
    <row r="1714" customFormat="false" ht="15" hidden="false" customHeight="false" outlineLevel="0" collapsed="false">
      <c r="A1714" s="18" t="n">
        <f aca="false">'SALES Raw'!G4422</f>
        <v>4413060</v>
      </c>
      <c r="B1714" s="18" t="str">
        <f aca="false">'SALES Raw'!B4422</f>
        <v>364 XL</v>
      </c>
      <c r="C1714" s="18" t="str">
        <f aca="false">'SALES Raw'!H4422</f>
        <v>364 XLמפריד אצבע סיליקון ליבלת</v>
      </c>
      <c r="D1714" s="19" t="n">
        <f aca="false">'SALES Raw'!C4422</f>
        <v>10</v>
      </c>
      <c r="E1714" s="19" t="n">
        <f aca="false">'SALES Raw'!D4422</f>
        <v>447.58</v>
      </c>
      <c r="F1714" s="19" t="n">
        <f aca="false">'SALES Raw'!E4422*$H$4</f>
        <v>24</v>
      </c>
      <c r="G1714" s="19" t="n">
        <f aca="false">'SALES Raw'!F4422*$H$4</f>
        <v>1058.85473684211</v>
      </c>
      <c r="H1714" s="18" t="str">
        <f aca="false">'SALES Raw'!A4422</f>
        <v>301 - Amazon</v>
      </c>
    </row>
    <row r="1715" customFormat="false" ht="15" hidden="false" customHeight="false" outlineLevel="0" collapsed="false">
      <c r="A1715" s="18" t="n">
        <f aca="false">'CEMIUP0.9 Raw'!B11</f>
        <v>4401013</v>
      </c>
      <c r="B1715" s="18" t="str">
        <f aca="false">'CEMIUP0.9 Raw'!C11</f>
        <v>805AT-BLאתלטיק טייפ כחול 20מ""מ</v>
      </c>
      <c r="C1715" s="18" t="str">
        <f aca="false">'CEMIUP0.9 Raw'!C11</f>
        <v>805AT-BLאתלטיק טייפ כחול 20מ""מ</v>
      </c>
      <c r="D1715" s="19" t="n">
        <f aca="false">'CEMIUP0.9 Raw'!D11</f>
        <v>19</v>
      </c>
      <c r="E1715" s="19" t="n">
        <f aca="false">'CEMIUP0.9 Raw'!E11</f>
        <v>274.274</v>
      </c>
      <c r="F1715" s="19" t="n">
        <f aca="false">'CEMIUP0.9 Raw'!F11</f>
        <v>24</v>
      </c>
      <c r="G1715" s="19" t="n">
        <f aca="false">'CEMIUP0.9 Raw'!G11</f>
        <v>367.141894736842</v>
      </c>
      <c r="H1715" s="18" t="str">
        <f aca="false">'CEMIUP0.9 Raw'!A11</f>
        <v>107 - Pharmacies</v>
      </c>
    </row>
    <row r="1716" customFormat="false" ht="15" hidden="false" customHeight="false" outlineLevel="0" collapsed="false">
      <c r="A1716" s="18" t="n">
        <f aca="false">'CEMIUP0.9 Raw'!B165</f>
        <v>4408231</v>
      </c>
      <c r="B1716" s="18" t="str">
        <f aca="false">'CEMIUP0.9 Raw'!C165</f>
        <v>16 S-M חגורת הריון</v>
      </c>
      <c r="C1716" s="18" t="str">
        <f aca="false">'CEMIUP0.9 Raw'!C165</f>
        <v>16 S-M חגורת הריון</v>
      </c>
      <c r="D1716" s="19" t="n">
        <f aca="false">'CEMIUP0.9 Raw'!D165</f>
        <v>11</v>
      </c>
      <c r="E1716" s="19" t="n">
        <f aca="false">'CEMIUP0.9 Raw'!E165</f>
        <v>1089.066</v>
      </c>
      <c r="F1716" s="19" t="n">
        <f aca="false">'CEMIUP0.9 Raw'!F165</f>
        <v>24</v>
      </c>
      <c r="G1716" s="19" t="n">
        <f aca="false">'CEMIUP0.9 Raw'!G165</f>
        <v>2492.29768421053</v>
      </c>
      <c r="H1716" s="18" t="str">
        <f aca="false">'CEMIUP0.9 Raw'!A165</f>
        <v>107 - Pharmacies</v>
      </c>
    </row>
    <row r="1717" customFormat="false" ht="15" hidden="false" customHeight="false" outlineLevel="0" collapsed="false">
      <c r="A1717" s="18" t="n">
        <f aca="false">'CEMIUP0.9 Raw'!B473</f>
        <v>4415008</v>
      </c>
      <c r="B1717" s="18" t="str">
        <f aca="false">'CEMIUP0.9 Raw'!C473</f>
        <v>28 XL סד לאגודל לאחר שבר</v>
      </c>
      <c r="C1717" s="18" t="str">
        <f aca="false">'CEMIUP0.9 Raw'!C473</f>
        <v>28 XL סד לאגודל לאחר שבר</v>
      </c>
      <c r="D1717" s="19" t="n">
        <f aca="false">'CEMIUP0.9 Raw'!D473</f>
        <v>35</v>
      </c>
      <c r="E1717" s="19" t="n">
        <f aca="false">'CEMIUP0.9 Raw'!E473</f>
        <v>3212.218</v>
      </c>
      <c r="F1717" s="19" t="n">
        <f aca="false">'CEMIUP0.9 Raw'!F473</f>
        <v>24</v>
      </c>
      <c r="G1717" s="19" t="n">
        <f aca="false">'CEMIUP0.9 Raw'!G473</f>
        <v>2161.35536842105</v>
      </c>
      <c r="H1717" s="18" t="str">
        <f aca="false">'CEMIUP0.9 Raw'!A473</f>
        <v>107 - Pharmacies</v>
      </c>
    </row>
    <row r="1718" customFormat="false" ht="15" hidden="false" customHeight="false" outlineLevel="0" collapsed="false">
      <c r="A1718" s="18" t="n">
        <f aca="false">'CEMIUP0.9 Raw'!B517</f>
        <v>4416002</v>
      </c>
      <c r="B1718" s="18" t="str">
        <f aca="false">'CEMIUP0.9 Raw'!C517</f>
        <v>307 S עקבים לדורבן-זוג כריות</v>
      </c>
      <c r="C1718" s="18" t="str">
        <f aca="false">'CEMIUP0.9 Raw'!C517</f>
        <v>307 S עקבים לדורבן-זוג כריות</v>
      </c>
      <c r="D1718" s="19" t="n">
        <f aca="false">'CEMIUP0.9 Raw'!D517</f>
        <v>46</v>
      </c>
      <c r="E1718" s="19" t="n">
        <f aca="false">'CEMIUP0.9 Raw'!E517</f>
        <v>3308.305</v>
      </c>
      <c r="F1718" s="19" t="n">
        <f aca="false">'CEMIUP0.9 Raw'!F517</f>
        <v>24</v>
      </c>
      <c r="G1718" s="19" t="n">
        <f aca="false">'CEMIUP0.9 Raw'!G517</f>
        <v>1856.43284210526</v>
      </c>
      <c r="H1718" s="18" t="str">
        <f aca="false">'CEMIUP0.9 Raw'!A517</f>
        <v>107 - Pharmacies</v>
      </c>
    </row>
    <row r="1719" customFormat="false" ht="15" hidden="false" customHeight="false" outlineLevel="0" collapsed="false">
      <c r="A1719" s="18" t="n">
        <f aca="false">'CEMIUP0.9 Raw'!B965</f>
        <v>4408031</v>
      </c>
      <c r="B1719" s="18" t="str">
        <f aca="false">'CEMIUP0.9 Raw'!C965</f>
        <v>11 S""חגורת בטן""אורירית</v>
      </c>
      <c r="C1719" s="18" t="str">
        <f aca="false">'CEMIUP0.9 Raw'!C965</f>
        <v>11 S""חגורת בטן""אורירית</v>
      </c>
      <c r="D1719" s="19" t="n">
        <f aca="false">'CEMIUP0.9 Raw'!D965</f>
        <v>19</v>
      </c>
      <c r="E1719" s="19" t="n">
        <f aca="false">'CEMIUP0.9 Raw'!E965</f>
        <v>1677.585</v>
      </c>
      <c r="F1719" s="19" t="n">
        <f aca="false">'CEMIUP0.9 Raw'!F965</f>
        <v>24</v>
      </c>
      <c r="G1719" s="19" t="n">
        <f aca="false">'CEMIUP0.9 Raw'!G965</f>
        <v>2119.16968421053</v>
      </c>
      <c r="H1719" s="18" t="str">
        <f aca="false">'CEMIUP0.9 Raw'!A965</f>
        <v>BE (CEMI internal group)</v>
      </c>
    </row>
    <row r="1720" customFormat="false" ht="15" hidden="false" customHeight="false" outlineLevel="0" collapsed="false">
      <c r="A1720" s="18" t="n">
        <f aca="false">'CEMIUP0.9 Raw'!B1200</f>
        <v>4413496</v>
      </c>
      <c r="B1720" s="18" t="str">
        <f aca="false">'CEMIUP0.9 Raw'!C1200</f>
        <v>45B XL מגן ברך שחור</v>
      </c>
      <c r="C1720" s="18" t="str">
        <f aca="false">'CEMIUP0.9 Raw'!C1200</f>
        <v>45B XL מגן ברך שחור</v>
      </c>
      <c r="D1720" s="19" t="n">
        <f aca="false">'CEMIUP0.9 Raw'!D1200</f>
        <v>13</v>
      </c>
      <c r="E1720" s="19" t="n">
        <f aca="false">'CEMIUP0.9 Raw'!E1200</f>
        <v>328.328</v>
      </c>
      <c r="F1720" s="19" t="n">
        <f aca="false">'CEMIUP0.9 Raw'!F1200</f>
        <v>24</v>
      </c>
      <c r="G1720" s="19" t="n">
        <f aca="false">'CEMIUP0.9 Raw'!G1200</f>
        <v>606.117473684211</v>
      </c>
      <c r="H1720" s="18" t="str">
        <f aca="false">'CEMIUP0.9 Raw'!A1200</f>
        <v>BE (CEMI internal group)</v>
      </c>
    </row>
    <row r="1721" customFormat="false" ht="15" hidden="false" customHeight="false" outlineLevel="0" collapsed="false">
      <c r="A1721" s="18" t="n">
        <f aca="false">'CEMIUP0.9 Raw'!B1522</f>
        <v>4413155</v>
      </c>
      <c r="B1721" s="18" t="str">
        <f aca="false">'CEMIUP0.9 Raw'!C1522</f>
        <v>305GA מדרס אורטופ.מתכוון39-40</v>
      </c>
      <c r="C1721" s="18" t="str">
        <f aca="false">'CEMIUP0.9 Raw'!C1522</f>
        <v>305GA מדרס אורטופ.מתכוון39-40</v>
      </c>
      <c r="D1721" s="19" t="n">
        <f aca="false">'CEMIUP0.9 Raw'!D1522</f>
        <v>39</v>
      </c>
      <c r="E1721" s="19" t="n">
        <f aca="false">'CEMIUP0.9 Raw'!E1522</f>
        <v>2502.682</v>
      </c>
      <c r="F1721" s="19" t="n">
        <f aca="false">'CEMIUP0.9 Raw'!F1522</f>
        <v>24</v>
      </c>
      <c r="G1721" s="19" t="n">
        <f aca="false">'CEMIUP0.9 Raw'!G1522</f>
        <v>1457.41768421053</v>
      </c>
      <c r="H1721" s="18" t="str">
        <f aca="false">'CEMIUP0.9 Raw'!A1522</f>
        <v>Super-Pharm Israel (CEMI internal group)</v>
      </c>
    </row>
    <row r="1722" customFormat="false" ht="15" hidden="false" customHeight="false" outlineLevel="0" collapsed="false">
      <c r="A1722" s="18" t="n">
        <f aca="false">'CEMIUP0.9 Raw'!B1582</f>
        <v>4413425</v>
      </c>
      <c r="B1722" s="18" t="str">
        <f aca="false">'CEMIUP0.9 Raw'!C1582</f>
        <v>SC35R  M מגן קרסול ימין</v>
      </c>
      <c r="C1722" s="18" t="str">
        <f aca="false">'CEMIUP0.9 Raw'!C1582</f>
        <v>SC35R  M מגן קרסול ימין</v>
      </c>
      <c r="D1722" s="19" t="n">
        <f aca="false">'CEMIUP0.9 Raw'!D1582</f>
        <v>24</v>
      </c>
      <c r="E1722" s="19" t="n">
        <f aca="false">'CEMIUP0.9 Raw'!E1582</f>
        <v>1613.339</v>
      </c>
      <c r="F1722" s="19" t="n">
        <f aca="false">'CEMIUP0.9 Raw'!F1582</f>
        <v>24</v>
      </c>
      <c r="G1722" s="19" t="n">
        <f aca="false">'CEMIUP0.9 Raw'!G1582</f>
        <v>1640.75873684211</v>
      </c>
      <c r="H1722" s="18" t="str">
        <f aca="false">'CEMIUP0.9 Raw'!A1582</f>
        <v>Super-Pharm Israel (CEMI internal group)</v>
      </c>
    </row>
    <row r="1723" customFormat="false" ht="15" hidden="false" customHeight="false" outlineLevel="0" collapsed="false">
      <c r="A1723" s="18" t="n">
        <f aca="false">'CEMIUP0.9 Raw'!B171</f>
        <v>4408248</v>
      </c>
      <c r="B1723" s="18" t="str">
        <f aca="false">'CEMIUP0.9 Raw'!C171</f>
        <v>SC25  M חבק יד</v>
      </c>
      <c r="C1723" s="18" t="str">
        <f aca="false">'CEMIUP0.9 Raw'!C171</f>
        <v>SC25  M חבק יד</v>
      </c>
      <c r="D1723" s="19" t="n">
        <f aca="false">'CEMIUP0.9 Raw'!D171</f>
        <v>19</v>
      </c>
      <c r="E1723" s="19" t="n">
        <f aca="false">'CEMIUP0.9 Raw'!E171</f>
        <v>1548.773</v>
      </c>
      <c r="F1723" s="19" t="n">
        <f aca="false">'CEMIUP0.9 Raw'!F171</f>
        <v>22.7368421052632</v>
      </c>
      <c r="G1723" s="19" t="n">
        <f aca="false">'CEMIUP0.9 Raw'!G171</f>
        <v>1898.256</v>
      </c>
      <c r="H1723" s="18" t="str">
        <f aca="false">'CEMIUP0.9 Raw'!A171</f>
        <v>107 - Pharmacies</v>
      </c>
    </row>
    <row r="1724" customFormat="false" ht="15" hidden="false" customHeight="false" outlineLevel="0" collapsed="false">
      <c r="A1724" s="18" t="n">
        <f aca="false">'CEMIUP0.9 Raw'!B290</f>
        <v>4413117</v>
      </c>
      <c r="B1724" s="18" t="str">
        <f aca="false">'CEMIUP0.9 Raw'!C290</f>
        <v>50 L מתלה אשכים לאחר ניתוח</v>
      </c>
      <c r="C1724" s="18" t="str">
        <f aca="false">'CEMIUP0.9 Raw'!C290</f>
        <v>50 L מתלה אשכים לאחר ניתוח</v>
      </c>
      <c r="D1724" s="19" t="n">
        <f aca="false">'CEMIUP0.9 Raw'!D290</f>
        <v>16</v>
      </c>
      <c r="E1724" s="19" t="n">
        <f aca="false">'CEMIUP0.9 Raw'!E290</f>
        <v>1499.455</v>
      </c>
      <c r="F1724" s="19" t="n">
        <f aca="false">'CEMIUP0.9 Raw'!F290</f>
        <v>22.7368421052632</v>
      </c>
      <c r="G1724" s="19" t="n">
        <f aca="false">'CEMIUP0.9 Raw'!G290</f>
        <v>2474.08547368421</v>
      </c>
      <c r="H1724" s="18" t="str">
        <f aca="false">'CEMIUP0.9 Raw'!A290</f>
        <v>107 - Pharmacies</v>
      </c>
    </row>
    <row r="1725" customFormat="false" ht="15" hidden="false" customHeight="false" outlineLevel="0" collapsed="false">
      <c r="A1725" s="18" t="n">
        <f aca="false">'CEMIUP0.9 Raw'!B304</f>
        <v>4413133</v>
      </c>
      <c r="B1725" s="18" t="str">
        <f aca="false">'CEMIUP0.9 Raw'!C304</f>
        <v>76 Mמיישר כתף יציב,יישור רחב</v>
      </c>
      <c r="C1725" s="18" t="str">
        <f aca="false">'CEMIUP0.9 Raw'!C304</f>
        <v>76 Mמיישר כתף יציב,יישור רחב</v>
      </c>
      <c r="D1725" s="19" t="n">
        <f aca="false">'CEMIUP0.9 Raw'!D304</f>
        <v>31</v>
      </c>
      <c r="E1725" s="19" t="n">
        <f aca="false">'CEMIUP0.9 Raw'!E304</f>
        <v>5706.916</v>
      </c>
      <c r="F1725" s="19" t="n">
        <f aca="false">'CEMIUP0.9 Raw'!F304</f>
        <v>22.7368421052632</v>
      </c>
      <c r="G1725" s="19" t="n">
        <f aca="false">'CEMIUP0.9 Raw'!G304</f>
        <v>4242.04547368421</v>
      </c>
      <c r="H1725" s="18" t="str">
        <f aca="false">'CEMIUP0.9 Raw'!A304</f>
        <v>107 - Pharmacies</v>
      </c>
    </row>
    <row r="1726" customFormat="false" ht="15" hidden="false" customHeight="false" outlineLevel="0" collapsed="false">
      <c r="A1726" s="18" t="n">
        <f aca="false">'CEMIUP0.9 Raw'!B322</f>
        <v>4413157</v>
      </c>
      <c r="B1726" s="18" t="str">
        <f aca="false">'CEMIUP0.9 Raw'!C322</f>
        <v>305GA מדרס אורטופ.מתכוון43-44</v>
      </c>
      <c r="C1726" s="18" t="str">
        <f aca="false">'CEMIUP0.9 Raw'!C322</f>
        <v>305GA מדרס אורטופ.מתכוון43-44</v>
      </c>
      <c r="D1726" s="19" t="n">
        <f aca="false">'CEMIUP0.9 Raw'!D322</f>
        <v>60</v>
      </c>
      <c r="E1726" s="19" t="n">
        <f aca="false">'CEMIUP0.9 Raw'!E322</f>
        <v>4794.678</v>
      </c>
      <c r="F1726" s="19" t="n">
        <f aca="false">'CEMIUP0.9 Raw'!F322</f>
        <v>22.7368421052632</v>
      </c>
      <c r="G1726" s="19" t="n">
        <f aca="false">'CEMIUP0.9 Raw'!G322</f>
        <v>2034.56842105263</v>
      </c>
      <c r="H1726" s="18" t="str">
        <f aca="false">'CEMIUP0.9 Raw'!A322</f>
        <v>107 - Pharmacies</v>
      </c>
    </row>
    <row r="1727" customFormat="false" ht="15" hidden="false" customHeight="false" outlineLevel="0" collapsed="false">
      <c r="A1727" s="18" t="n">
        <f aca="false">'CEMIUP0.9 Raw'!B868</f>
        <v>4420024</v>
      </c>
      <c r="B1727" s="18" t="str">
        <f aca="false">'CEMIUP0.9 Raw'!C868</f>
        <v>LFריפוד סיליק.לכרית כף הרגל373</v>
      </c>
      <c r="C1727" s="18" t="str">
        <f aca="false">'CEMIUP0.9 Raw'!C868</f>
        <v>LFריפוד סיליק.לכרית כף הרגל373</v>
      </c>
      <c r="D1727" s="19" t="n">
        <f aca="false">'CEMIUP0.9 Raw'!D868</f>
        <v>69</v>
      </c>
      <c r="E1727" s="19" t="n">
        <f aca="false">'CEMIUP0.9 Raw'!E868</f>
        <v>997.05</v>
      </c>
      <c r="F1727" s="19" t="n">
        <f aca="false">'CEMIUP0.9 Raw'!F868</f>
        <v>22.7368421052632</v>
      </c>
      <c r="G1727" s="19" t="n">
        <f aca="false">'CEMIUP0.9 Raw'!G868</f>
        <v>291.434526315789</v>
      </c>
      <c r="H1727" s="18" t="str">
        <f aca="false">'CEMIUP0.9 Raw'!A868</f>
        <v>113 - Kupat Holim Meuhedet</v>
      </c>
    </row>
    <row r="1728" customFormat="false" ht="15" hidden="false" customHeight="false" outlineLevel="0" collapsed="false">
      <c r="A1728" s="18" t="n">
        <f aca="false">'CEMIUP0.9 Raw'!B1190</f>
        <v>4413439</v>
      </c>
      <c r="B1728" s="18" t="str">
        <f aca="false">'CEMIUP0.9 Raw'!C1190</f>
        <v>SC422  M מגן ברך</v>
      </c>
      <c r="C1728" s="18" t="str">
        <f aca="false">'CEMIUP0.9 Raw'!C1190</f>
        <v>SC422  M מגן ברך</v>
      </c>
      <c r="D1728" s="19" t="n">
        <f aca="false">'CEMIUP0.9 Raw'!D1190</f>
        <v>5</v>
      </c>
      <c r="E1728" s="19" t="n">
        <f aca="false">'CEMIUP0.9 Raw'!E1190</f>
        <v>489.489</v>
      </c>
      <c r="F1728" s="19" t="n">
        <f aca="false">'CEMIUP0.9 Raw'!F1190</f>
        <v>22.7368421052632</v>
      </c>
      <c r="G1728" s="19" t="n">
        <f aca="false">'CEMIUP0.9 Raw'!G1190</f>
        <v>2808.96884210526</v>
      </c>
      <c r="H1728" s="18" t="str">
        <f aca="false">'CEMIUP0.9 Raw'!A1190</f>
        <v>BE (CEMI internal group)</v>
      </c>
    </row>
    <row r="1729" customFormat="false" ht="15" hidden="false" customHeight="false" outlineLevel="0" collapsed="false">
      <c r="A1729" s="18" t="n">
        <f aca="false">'CEMIUP0.9 Raw'!B1203</f>
        <v>4413499</v>
      </c>
      <c r="B1729" s="18" t="str">
        <f aca="false">'CEMIUP0.9 Raw'!C1203</f>
        <v>45B XXLמגן ברך שחור</v>
      </c>
      <c r="C1729" s="18" t="str">
        <f aca="false">'CEMIUP0.9 Raw'!C1203</f>
        <v>45B XXLמגן ברך שחור</v>
      </c>
      <c r="D1729" s="19" t="n">
        <f aca="false">'CEMIUP0.9 Raw'!D1203</f>
        <v>20</v>
      </c>
      <c r="E1729" s="19" t="n">
        <f aca="false">'CEMIUP0.9 Raw'!E1203</f>
        <v>505.05</v>
      </c>
      <c r="F1729" s="19" t="n">
        <f aca="false">'CEMIUP0.9 Raw'!F1203</f>
        <v>22.7368421052632</v>
      </c>
      <c r="G1729" s="19" t="n">
        <f aca="false">'CEMIUP0.9 Raw'!G1203</f>
        <v>574.277052631579</v>
      </c>
      <c r="H1729" s="18" t="str">
        <f aca="false">'CEMIUP0.9 Raw'!A1203</f>
        <v>BE (CEMI internal group)</v>
      </c>
    </row>
    <row r="1730" customFormat="false" ht="15" hidden="false" customHeight="false" outlineLevel="0" collapsed="false">
      <c r="A1730" s="18" t="n">
        <f aca="false">'CEMIUP0.9 Raw'!B1262</f>
        <v>4420024</v>
      </c>
      <c r="B1730" s="18" t="str">
        <f aca="false">'CEMIUP0.9 Raw'!C1262</f>
        <v>LFריפוד סיליק.לכרית כף הרגל373</v>
      </c>
      <c r="C1730" s="18" t="str">
        <f aca="false">'CEMIUP0.9 Raw'!C1262</f>
        <v>LFריפוד סיליק.לכרית כף הרגל373</v>
      </c>
      <c r="D1730" s="19" t="n">
        <f aca="false">'CEMIUP0.9 Raw'!D1262</f>
        <v>57</v>
      </c>
      <c r="E1730" s="19" t="n">
        <f aca="false">'CEMIUP0.9 Raw'!E1262</f>
        <v>1010.828</v>
      </c>
      <c r="F1730" s="19" t="n">
        <f aca="false">'CEMIUP0.9 Raw'!F1262</f>
        <v>22.7368421052632</v>
      </c>
      <c r="G1730" s="19" t="n">
        <f aca="false">'CEMIUP0.9 Raw'!G1262</f>
        <v>395.993684210526</v>
      </c>
      <c r="H1730" s="18" t="str">
        <f aca="false">'CEMIUP0.9 Raw'!A1262</f>
        <v>BE (CEMI internal group)</v>
      </c>
    </row>
    <row r="1731" customFormat="false" ht="15" hidden="false" customHeight="false" outlineLevel="0" collapsed="false">
      <c r="A1731" s="18" t="n">
        <f aca="false">'CEMIUP0.9 Raw'!B1283</f>
        <v>4403005</v>
      </c>
      <c r="B1731" s="18" t="str">
        <f aca="false">'CEMIUP0.9 Raw'!C1283</f>
        <v>G390.43-46 גרבי כסף לסכרת מידה</v>
      </c>
      <c r="C1731" s="18" t="str">
        <f aca="false">'CEMIUP0.9 Raw'!C1283</f>
        <v>G390.43-46 גרבי כסף לסכרת מידה</v>
      </c>
      <c r="D1731" s="19" t="n">
        <f aca="false">'CEMIUP0.9 Raw'!D1283</f>
        <v>39</v>
      </c>
      <c r="E1731" s="19" t="n">
        <f aca="false">'CEMIUP0.9 Raw'!E1283</f>
        <v>1044.589</v>
      </c>
      <c r="F1731" s="19" t="n">
        <f aca="false">'CEMIUP0.9 Raw'!F1283</f>
        <v>22.7368421052632</v>
      </c>
      <c r="G1731" s="19" t="n">
        <f aca="false">'CEMIUP0.9 Raw'!G1283</f>
        <v>609.336</v>
      </c>
      <c r="H1731" s="18" t="str">
        <f aca="false">'CEMIUP0.9 Raw'!A1283</f>
        <v>Super-Pharm Israel (CEMI internal group)</v>
      </c>
    </row>
    <row r="1732" customFormat="false" ht="15" hidden="false" customHeight="false" outlineLevel="0" collapsed="false">
      <c r="A1732" s="18" t="n">
        <f aca="false">'CEMIUP0.9 Raw'!B1581</f>
        <v>4413422</v>
      </c>
      <c r="B1732" s="18" t="str">
        <f aca="false">'CEMIUP0.9 Raw'!C1581</f>
        <v>SC35L  L מגן קרסול שמאל</v>
      </c>
      <c r="C1732" s="18" t="str">
        <f aca="false">'CEMIUP0.9 Raw'!C1581</f>
        <v>SC35L  L מגן קרסול שמאל</v>
      </c>
      <c r="D1732" s="19" t="n">
        <f aca="false">'CEMIUP0.9 Raw'!D1581</f>
        <v>22</v>
      </c>
      <c r="E1732" s="19" t="n">
        <f aca="false">'CEMIUP0.9 Raw'!E1581</f>
        <v>1491.308</v>
      </c>
      <c r="F1732" s="19" t="n">
        <f aca="false">'CEMIUP0.9 Raw'!F1581</f>
        <v>22.7368421052632</v>
      </c>
      <c r="G1732" s="19" t="n">
        <f aca="false">'CEMIUP0.9 Raw'!G1581</f>
        <v>1559.03115789474</v>
      </c>
      <c r="H1732" s="18" t="str">
        <f aca="false">'CEMIUP0.9 Raw'!A1581</f>
        <v>Super-Pharm Israel (CEMI internal group)</v>
      </c>
    </row>
    <row r="1733" customFormat="false" ht="15" hidden="false" customHeight="false" outlineLevel="0" collapsed="false">
      <c r="A1733" s="18" t="n">
        <f aca="false">'SALES Raw'!G14</f>
        <v>4408192</v>
      </c>
      <c r="B1733" s="18" t="str">
        <f aca="false">'SALES Raw'!B14</f>
        <v>078 L</v>
      </c>
      <c r="C1733" s="18" t="str">
        <f aca="false">'SALES Raw'!H14</f>
        <v>078 L חגורת גב +סגירה</v>
      </c>
      <c r="D1733" s="19" t="n">
        <f aca="false">'SALES Raw'!C14</f>
        <v>9</v>
      </c>
      <c r="E1733" s="19" t="n">
        <f aca="false">'SALES Raw'!D14</f>
        <v>1045.57</v>
      </c>
      <c r="F1733" s="19" t="n">
        <f aca="false">'SALES Raw'!E14*$H$4</f>
        <v>22.7368421052632</v>
      </c>
      <c r="G1733" s="19" t="n">
        <f aca="false">'SALES Raw'!F14*$H$4</f>
        <v>3243.12</v>
      </c>
      <c r="H1733" s="18" t="str">
        <f aca="false">'SALES Raw'!A14</f>
        <v>101 - Factory customers</v>
      </c>
    </row>
    <row r="1734" customFormat="false" ht="15" hidden="false" customHeight="false" outlineLevel="0" collapsed="false">
      <c r="A1734" s="18" t="n">
        <f aca="false">'SALES Raw'!G655</f>
        <v>4408274</v>
      </c>
      <c r="B1734" s="18" t="str">
        <f aca="false">'SALES Raw'!B655</f>
        <v>70N L</v>
      </c>
      <c r="C1734" s="18" t="str">
        <f aca="false">'SALES Raw'!H655</f>
        <v>70N L חגורת פאבליק</v>
      </c>
      <c r="D1734" s="19" t="n">
        <f aca="false">'SALES Raw'!C655</f>
        <v>15</v>
      </c>
      <c r="E1734" s="19" t="n">
        <f aca="false">'SALES Raw'!D655</f>
        <v>3807.34</v>
      </c>
      <c r="F1734" s="19" t="n">
        <f aca="false">'SALES Raw'!E655*$H$4</f>
        <v>22.7368421052632</v>
      </c>
      <c r="G1734" s="19" t="n">
        <f aca="false">'SALES Raw'!F655*$H$4</f>
        <v>5557.30105263158</v>
      </c>
      <c r="H1734" s="18" t="str">
        <f aca="false">'SALES Raw'!A655</f>
        <v>102 - Orthopedic institutes</v>
      </c>
    </row>
    <row r="1735" customFormat="false" ht="15" hidden="false" customHeight="false" outlineLevel="0" collapsed="false">
      <c r="A1735" s="18" t="str">
        <f aca="false">'SALES Raw'!G671</f>
        <v/>
      </c>
      <c r="B1735" s="18" t="str">
        <f aca="false">'SALES Raw'!B671</f>
        <v>SH776 M</v>
      </c>
      <c r="C1735" s="18" t="str">
        <f aca="false">'SALES Raw'!H671</f>
        <v>SH776 M</v>
      </c>
      <c r="D1735" s="19" t="n">
        <f aca="false">'SALES Raw'!C671</f>
        <v>0</v>
      </c>
      <c r="E1735" s="19" t="n">
        <f aca="false">'SALES Raw'!D671</f>
        <v>0</v>
      </c>
      <c r="F1735" s="19" t="n">
        <f aca="false">'SALES Raw'!E671*$H$4</f>
        <v>22.7368421052632</v>
      </c>
      <c r="G1735" s="19" t="n">
        <f aca="false">'SALES Raw'!F671*$H$4</f>
        <v>7989.6</v>
      </c>
      <c r="H1735" s="18" t="str">
        <f aca="false">'SALES Raw'!A671</f>
        <v>102 - Orthopedic institutes</v>
      </c>
    </row>
    <row r="1736" customFormat="false" ht="15" hidden="false" customHeight="false" outlineLevel="0" collapsed="false">
      <c r="A1736" s="18" t="n">
        <f aca="false">'SALES Raw'!G701</f>
        <v>4413156</v>
      </c>
      <c r="B1736" s="18" t="str">
        <f aca="false">'SALES Raw'!B701</f>
        <v>305GA-41-42</v>
      </c>
      <c r="C1736" s="18" t="str">
        <f aca="false">'SALES Raw'!H701</f>
        <v>305GA מדרס אורטופ.מתכוון41-42</v>
      </c>
      <c r="D1736" s="19" t="n">
        <f aca="false">'SALES Raw'!C701</f>
        <v>12</v>
      </c>
      <c r="E1736" s="19" t="n">
        <f aca="false">'SALES Raw'!D701</f>
        <v>920.03</v>
      </c>
      <c r="F1736" s="19" t="n">
        <f aca="false">'SALES Raw'!E701*$H$4</f>
        <v>22.7368421052632</v>
      </c>
      <c r="G1736" s="19" t="n">
        <f aca="false">'SALES Raw'!F701*$H$4</f>
        <v>1819.06105263158</v>
      </c>
      <c r="H1736" s="18" t="str">
        <f aca="false">'SALES Raw'!A701</f>
        <v>102 - Orthopedic institutes</v>
      </c>
    </row>
    <row r="1737" customFormat="false" ht="15" hidden="false" customHeight="false" outlineLevel="0" collapsed="false">
      <c r="A1737" s="18" t="n">
        <f aca="false">'SALES Raw'!G755</f>
        <v>4413053</v>
      </c>
      <c r="B1737" s="18" t="str">
        <f aca="false">'SALES Raw'!B755</f>
        <v>35C L</v>
      </c>
      <c r="C1737" s="18" t="str">
        <f aca="false">'SALES Raw'!H755</f>
        <v>35C L מגן קרסול חום</v>
      </c>
      <c r="D1737" s="19" t="n">
        <f aca="false">'SALES Raw'!C755</f>
        <v>9</v>
      </c>
      <c r="E1737" s="19" t="n">
        <f aca="false">'SALES Raw'!D755</f>
        <v>278.02</v>
      </c>
      <c r="F1737" s="19" t="n">
        <f aca="false">'SALES Raw'!E755*$H$4</f>
        <v>22.7368421052632</v>
      </c>
      <c r="G1737" s="19" t="n">
        <f aca="false">'SALES Raw'!F755*$H$4</f>
        <v>699.776842105263</v>
      </c>
      <c r="H1737" s="18" t="str">
        <f aca="false">'SALES Raw'!A755</f>
        <v>102 - Orthopedic institutes</v>
      </c>
    </row>
    <row r="1738" customFormat="false" ht="15" hidden="false" customHeight="false" outlineLevel="0" collapsed="false">
      <c r="A1738" s="18" t="n">
        <f aca="false">'SALES Raw'!G821</f>
        <v>4422042</v>
      </c>
      <c r="B1738" s="18" t="str">
        <f aca="false">'SALES Raw'!B821</f>
        <v>SH422 6</v>
      </c>
      <c r="C1738" s="18" t="str">
        <f aca="false">'SALES Raw'!H821</f>
        <v>SH422 6 תומך ברך גנושילד</v>
      </c>
      <c r="D1738" s="19" t="n">
        <f aca="false">'SALES Raw'!C821</f>
        <v>29</v>
      </c>
      <c r="E1738" s="19" t="n">
        <f aca="false">'SALES Raw'!D821</f>
        <v>1560.48</v>
      </c>
      <c r="F1738" s="19" t="n">
        <f aca="false">'SALES Raw'!E821*$H$4</f>
        <v>22.7368421052632</v>
      </c>
      <c r="G1738" s="19" t="n">
        <f aca="false">'SALES Raw'!F821*$H$4</f>
        <v>2728.42105263158</v>
      </c>
      <c r="H1738" s="18" t="str">
        <f aca="false">'SALES Raw'!A821</f>
        <v>102 - Orthopedic institutes</v>
      </c>
    </row>
    <row r="1739" customFormat="false" ht="15" hidden="false" customHeight="false" outlineLevel="0" collapsed="false">
      <c r="A1739" s="18" t="n">
        <f aca="false">'SALES Raw'!G851</f>
        <v>4413456</v>
      </c>
      <c r="B1739" s="18" t="str">
        <f aca="false">'SALES Raw'!B851</f>
        <v>AC75 XXL</v>
      </c>
      <c r="C1739" s="18" t="str">
        <f aca="false">'SALES Raw'!H851</f>
        <v>AC75 XXL  מיישר כתפיים אקטיב</v>
      </c>
      <c r="D1739" s="19" t="n">
        <f aca="false">'SALES Raw'!C851</f>
        <v>14</v>
      </c>
      <c r="E1739" s="19" t="n">
        <f aca="false">'SALES Raw'!D851</f>
        <v>787.43</v>
      </c>
      <c r="F1739" s="19" t="n">
        <f aca="false">'SALES Raw'!E851*$H$4</f>
        <v>22.7368421052632</v>
      </c>
      <c r="G1739" s="19" t="n">
        <f aca="false">'SALES Raw'!F851*$H$4</f>
        <v>1804.28210526316</v>
      </c>
      <c r="H1739" s="18" t="str">
        <f aca="false">'SALES Raw'!A851</f>
        <v>102 - Orthopedic institutes</v>
      </c>
    </row>
    <row r="1740" customFormat="false" ht="15" hidden="false" customHeight="false" outlineLevel="0" collapsed="false">
      <c r="A1740" s="18" t="n">
        <f aca="false">'SALES Raw'!G912</f>
        <v>4422024</v>
      </c>
      <c r="B1740" s="18" t="str">
        <f aca="false">'SALES Raw'!B912</f>
        <v>806CB-B</v>
      </c>
      <c r="C1740" s="18" t="str">
        <f aca="false">'SALES Raw'!H912</f>
        <v>806CB-BLACK      תחבושת א.נצמ</v>
      </c>
      <c r="D1740" s="19" t="n">
        <f aca="false">'SALES Raw'!C912</f>
        <v>18</v>
      </c>
      <c r="E1740" s="19" t="n">
        <f aca="false">'SALES Raw'!D912</f>
        <v>183.64</v>
      </c>
      <c r="F1740" s="19" t="n">
        <f aca="false">'SALES Raw'!E912*$H$4</f>
        <v>22.7368421052632</v>
      </c>
      <c r="G1740" s="19" t="n">
        <f aca="false">'SALES Raw'!F912*$H$4</f>
        <v>262.686315789474</v>
      </c>
      <c r="H1740" s="18" t="str">
        <f aca="false">'SALES Raw'!A912</f>
        <v>102 - Orthopedic institutes</v>
      </c>
    </row>
    <row r="1741" customFormat="false" ht="15" hidden="false" customHeight="false" outlineLevel="0" collapsed="false">
      <c r="A1741" s="18" t="n">
        <f aca="false">'SALES Raw'!G1319</f>
        <v>4408265</v>
      </c>
      <c r="B1741" s="18" t="str">
        <f aca="false">'SALES Raw'!B1319</f>
        <v>078 XXL</v>
      </c>
      <c r="C1741" s="18" t="str">
        <f aca="false">'SALES Raw'!H1319</f>
        <v>078XXL חגורת גב +סגירה כפולה</v>
      </c>
      <c r="D1741" s="19" t="n">
        <f aca="false">'SALES Raw'!C1319</f>
        <v>1</v>
      </c>
      <c r="E1741" s="19" t="n">
        <f aca="false">'SALES Raw'!D1319</f>
        <v>78</v>
      </c>
      <c r="F1741" s="19" t="n">
        <f aca="false">'SALES Raw'!E1319*$H$4</f>
        <v>22.7368421052632</v>
      </c>
      <c r="G1741" s="19" t="n">
        <f aca="false">'SALES Raw'!F1319*$H$4</f>
        <v>1807.76842105263</v>
      </c>
      <c r="H1741" s="18" t="str">
        <f aca="false">'SALES Raw'!A1319</f>
        <v>103 - Physiotherapy institutes</v>
      </c>
    </row>
    <row r="1742" customFormat="false" ht="15" hidden="false" customHeight="false" outlineLevel="0" collapsed="false">
      <c r="A1742" s="18" t="str">
        <f aca="false">'SALES Raw'!G1655</f>
        <v/>
      </c>
      <c r="B1742" s="18" t="str">
        <f aca="false">'SALES Raw'!B1655</f>
        <v>363 L/R</v>
      </c>
      <c r="C1742" s="18" t="str">
        <f aca="false">'SALES Raw'!H1655</f>
        <v>363 L/R</v>
      </c>
      <c r="D1742" s="19" t="n">
        <f aca="false">'SALES Raw'!C1655</f>
        <v>14</v>
      </c>
      <c r="E1742" s="19" t="n">
        <f aca="false">'SALES Raw'!D1655</f>
        <v>401.15</v>
      </c>
      <c r="F1742" s="19" t="n">
        <f aca="false">'SALES Raw'!E1655*$H$4</f>
        <v>22.7368421052632</v>
      </c>
      <c r="G1742" s="19" t="n">
        <f aca="false">'SALES Raw'!F1655*$H$4</f>
        <v>737.747368421053</v>
      </c>
      <c r="H1742" s="18" t="str">
        <f aca="false">'SALES Raw'!A1655</f>
        <v>105 - Pedicure Salons</v>
      </c>
    </row>
    <row r="1743" customFormat="false" ht="15" hidden="false" customHeight="false" outlineLevel="0" collapsed="false">
      <c r="A1743" s="18" t="n">
        <f aca="false">'SALES Raw'!G1788</f>
        <v>4422035</v>
      </c>
      <c r="B1743" s="18" t="str">
        <f aca="false">'SALES Raw'!B1788</f>
        <v>FC333 0</v>
      </c>
      <c r="C1743" s="18" t="str">
        <f aca="false">'SALES Raw'!H1788</f>
        <v>FCתרסיס דאודורנט אנטיבק.נעל333</v>
      </c>
      <c r="D1743" s="19" t="n">
        <f aca="false">'SALES Raw'!C1788</f>
        <v>42</v>
      </c>
      <c r="E1743" s="19" t="n">
        <f aca="false">'SALES Raw'!D1788</f>
        <v>790.1</v>
      </c>
      <c r="F1743" s="19" t="n">
        <f aca="false">'SALES Raw'!E1788*$H$4</f>
        <v>22.7368421052632</v>
      </c>
      <c r="G1743" s="19" t="n">
        <f aca="false">'SALES Raw'!F1788*$H$4</f>
        <v>418.585263157895</v>
      </c>
      <c r="H1743" s="18" t="str">
        <f aca="false">'SALES Raw'!A1788</f>
        <v>109 - Private Shops</v>
      </c>
    </row>
    <row r="1744" customFormat="false" ht="15" hidden="false" customHeight="false" outlineLevel="0" collapsed="false">
      <c r="A1744" s="18" t="n">
        <f aca="false">'SALES Raw'!G2185</f>
        <v>4415160</v>
      </c>
      <c r="B1744" s="18" t="str">
        <f aca="false">'SALES Raw'!B2185</f>
        <v>238 S</v>
      </c>
      <c r="C1744" s="18" t="str">
        <f aca="false">'SALES Raw'!H2185</f>
        <v>238S סד ליישור אצבע</v>
      </c>
      <c r="D1744" s="19" t="n">
        <f aca="false">'SALES Raw'!C2185</f>
        <v>16</v>
      </c>
      <c r="E1744" s="19" t="n">
        <f aca="false">'SALES Raw'!D2185</f>
        <v>527.65</v>
      </c>
      <c r="F1744" s="19" t="n">
        <f aca="false">'SALES Raw'!E2185*$H$4</f>
        <v>22.7368421052632</v>
      </c>
      <c r="G1744" s="19" t="n">
        <f aca="false">'SALES Raw'!F2185*$H$4</f>
        <v>787.654736842105</v>
      </c>
      <c r="H1744" s="18" t="str">
        <f aca="false">'SALES Raw'!A2185</f>
        <v>114 - IL online</v>
      </c>
    </row>
    <row r="1745" customFormat="false" ht="15" hidden="false" customHeight="false" outlineLevel="0" collapsed="false">
      <c r="A1745" s="18" t="n">
        <f aca="false">'SALES Raw'!G2244</f>
        <v>4413158</v>
      </c>
      <c r="B1745" s="18" t="str">
        <f aca="false">'SALES Raw'!B2244</f>
        <v>305GA-45-46</v>
      </c>
      <c r="C1745" s="18" t="str">
        <f aca="false">'SALES Raw'!H2244</f>
        <v>305GA מדרס אורטופ.מתכוון45-46</v>
      </c>
      <c r="D1745" s="19" t="n">
        <f aca="false">'SALES Raw'!C2244</f>
        <v>24</v>
      </c>
      <c r="E1745" s="19" t="n">
        <f aca="false">'SALES Raw'!D2244</f>
        <v>3765.85</v>
      </c>
      <c r="F1745" s="19" t="n">
        <f aca="false">'SALES Raw'!E2244*$H$4</f>
        <v>22.7368421052632</v>
      </c>
      <c r="G1745" s="19" t="n">
        <f aca="false">'SALES Raw'!F2244*$H$4</f>
        <v>3605.76</v>
      </c>
      <c r="H1745" s="18" t="str">
        <f aca="false">'SALES Raw'!A2244</f>
        <v>114 - IL online</v>
      </c>
    </row>
    <row r="1746" customFormat="false" ht="15" hidden="false" customHeight="false" outlineLevel="0" collapsed="false">
      <c r="A1746" s="18" t="n">
        <f aca="false">'SALES Raw'!G2342</f>
        <v>4403001</v>
      </c>
      <c r="B1746" s="18" t="str">
        <f aca="false">'SALES Raw'!B2342</f>
        <v>390B-39-42</v>
      </c>
      <c r="C1746" s="18" t="str">
        <f aca="false">'SALES Raw'!H2342</f>
        <v>390B 39-42.גרב.כסף לסכרתיים שח</v>
      </c>
      <c r="D1746" s="19" t="n">
        <f aca="false">'SALES Raw'!C2342</f>
        <v>11</v>
      </c>
      <c r="E1746" s="19" t="n">
        <f aca="false">'SALES Raw'!D2342</f>
        <v>587.39</v>
      </c>
      <c r="F1746" s="19" t="n">
        <f aca="false">'SALES Raw'!E2342*$H$4</f>
        <v>22.7368421052632</v>
      </c>
      <c r="G1746" s="19" t="n">
        <f aca="false">'SALES Raw'!F2342*$H$4</f>
        <v>1210.33263157895</v>
      </c>
      <c r="H1746" s="18" t="str">
        <f aca="false">'SALES Raw'!A2342</f>
        <v>114 - IL online</v>
      </c>
    </row>
    <row r="1747" customFormat="false" ht="15" hidden="false" customHeight="false" outlineLevel="0" collapsed="false">
      <c r="A1747" s="18" t="n">
        <f aca="false">'SALES Raw'!G2406</f>
        <v>4413495</v>
      </c>
      <c r="B1747" s="18" t="str">
        <f aca="false">'SALES Raw'!B2406</f>
        <v>45B L</v>
      </c>
      <c r="C1747" s="18" t="str">
        <f aca="false">'SALES Raw'!H2406</f>
        <v>45B L מגן ברך שחור</v>
      </c>
      <c r="D1747" s="19" t="n">
        <f aca="false">'SALES Raw'!C2406</f>
        <v>29</v>
      </c>
      <c r="E1747" s="19" t="n">
        <f aca="false">'SALES Raw'!D2406</f>
        <v>1567.57</v>
      </c>
      <c r="F1747" s="19" t="n">
        <f aca="false">'SALES Raw'!E2406*$H$4</f>
        <v>22.7368421052632</v>
      </c>
      <c r="G1747" s="19" t="n">
        <f aca="false">'SALES Raw'!F2406*$H$4</f>
        <v>1227.49894736842</v>
      </c>
      <c r="H1747" s="18" t="str">
        <f aca="false">'SALES Raw'!A2406</f>
        <v>114 - IL online</v>
      </c>
    </row>
    <row r="1748" customFormat="false" ht="15" hidden="false" customHeight="false" outlineLevel="0" collapsed="false">
      <c r="A1748" s="18" t="n">
        <f aca="false">'SALES Raw'!G2504</f>
        <v>4413134</v>
      </c>
      <c r="B1748" s="18" t="str">
        <f aca="false">'SALES Raw'!B2504</f>
        <v>76 XL</v>
      </c>
      <c r="C1748" s="18" t="str">
        <f aca="false">'SALES Raw'!H2504</f>
        <v>76 XLמיישר כתף יציב יישור רחב</v>
      </c>
      <c r="D1748" s="19" t="n">
        <f aca="false">'SALES Raw'!C2504</f>
        <v>16</v>
      </c>
      <c r="E1748" s="19" t="n">
        <f aca="false">'SALES Raw'!D2504</f>
        <v>5754.54</v>
      </c>
      <c r="F1748" s="19" t="n">
        <f aca="false">'SALES Raw'!E2504*$H$4</f>
        <v>22.7368421052632</v>
      </c>
      <c r="G1748" s="19" t="n">
        <f aca="false">'SALES Raw'!F2504*$H$4</f>
        <v>8115.01894736842</v>
      </c>
      <c r="H1748" s="18" t="str">
        <f aca="false">'SALES Raw'!A2504</f>
        <v>114 - IL online</v>
      </c>
    </row>
    <row r="1749" customFormat="false" ht="15" hidden="false" customHeight="false" outlineLevel="0" collapsed="false">
      <c r="A1749" s="18" t="n">
        <f aca="false">'SALES Raw'!G2529</f>
        <v>4409017</v>
      </c>
      <c r="B1749" s="18" t="str">
        <f aca="false">'SALES Raw'!B2529</f>
        <v>808KT-B</v>
      </c>
      <c r="C1749" s="18" t="str">
        <f aca="false">'SALES Raw'!H2529</f>
        <v>808KT-B        טייפ קינזיולוגי</v>
      </c>
      <c r="D1749" s="19" t="n">
        <f aca="false">'SALES Raw'!C2529</f>
        <v>20</v>
      </c>
      <c r="E1749" s="19" t="n">
        <f aca="false">'SALES Raw'!D2529</f>
        <v>1479.33</v>
      </c>
      <c r="F1749" s="19" t="n">
        <f aca="false">'SALES Raw'!E2529*$H$4</f>
        <v>22.7368421052632</v>
      </c>
      <c r="G1749" s="19" t="n">
        <f aca="false">'SALES Raw'!F2529*$H$4</f>
        <v>1620.21473684211</v>
      </c>
      <c r="H1749" s="18" t="str">
        <f aca="false">'SALES Raw'!A2529</f>
        <v>114 - IL online</v>
      </c>
    </row>
    <row r="1750" customFormat="false" ht="15" hidden="false" customHeight="false" outlineLevel="0" collapsed="false">
      <c r="A1750" s="18" t="n">
        <f aca="false">'SALES Raw'!G2532</f>
        <v>4409014</v>
      </c>
      <c r="B1750" s="18" t="str">
        <f aca="false">'SALES Raw'!B2532</f>
        <v>808KT-P</v>
      </c>
      <c r="C1750" s="18" t="str">
        <f aca="false">'SALES Raw'!H2532</f>
        <v>808KT-P        טייפ קינזיולוגי</v>
      </c>
      <c r="D1750" s="19" t="n">
        <f aca="false">'SALES Raw'!C2532</f>
        <v>10</v>
      </c>
      <c r="E1750" s="19" t="n">
        <f aca="false">'SALES Raw'!D2532</f>
        <v>705.46</v>
      </c>
      <c r="F1750" s="19" t="n">
        <f aca="false">'SALES Raw'!E2532*$H$4</f>
        <v>22.7368421052632</v>
      </c>
      <c r="G1750" s="19" t="n">
        <f aca="false">'SALES Raw'!F2532*$H$4</f>
        <v>1512.22736842105</v>
      </c>
      <c r="H1750" s="18" t="str">
        <f aca="false">'SALES Raw'!A2532</f>
        <v>114 - IL online</v>
      </c>
    </row>
    <row r="1751" customFormat="false" ht="15" hidden="false" customHeight="false" outlineLevel="0" collapsed="false">
      <c r="A1751" s="18" t="str">
        <f aca="false">'SALES Raw'!G2620</f>
        <v/>
      </c>
      <c r="B1751" s="18" t="str">
        <f aca="false">'SALES Raw'!B2620</f>
        <v>MSG002S 0</v>
      </c>
      <c r="C1751" s="18" t="str">
        <f aca="false">'SALES Raw'!H2620</f>
        <v>MSG002S 0</v>
      </c>
      <c r="D1751" s="19" t="n">
        <f aca="false">'SALES Raw'!C2620</f>
        <v>0</v>
      </c>
      <c r="E1751" s="19" t="n">
        <f aca="false">'SALES Raw'!D2620</f>
        <v>0</v>
      </c>
      <c r="F1751" s="19" t="n">
        <f aca="false">'SALES Raw'!E2620*$H$4</f>
        <v>22.7368421052632</v>
      </c>
      <c r="G1751" s="19" t="n">
        <f aca="false">'SALES Raw'!F2620*$H$4</f>
        <v>21001.8189473684</v>
      </c>
      <c r="H1751" s="18" t="str">
        <f aca="false">'SALES Raw'!A2620</f>
        <v>114 - IL online</v>
      </c>
    </row>
    <row r="1752" customFormat="false" ht="15" hidden="false" customHeight="false" outlineLevel="0" collapsed="false">
      <c r="A1752" s="18" t="str">
        <f aca="false">'SALES Raw'!G2621</f>
        <v/>
      </c>
      <c r="B1752" s="18" t="str">
        <f aca="false">'SALES Raw'!B2621</f>
        <v>VMFPCB30 0</v>
      </c>
      <c r="C1752" s="18" t="str">
        <f aca="false">'SALES Raw'!H2621</f>
        <v>VMFPCB30 0</v>
      </c>
      <c r="D1752" s="19" t="n">
        <f aca="false">'SALES Raw'!C2621</f>
        <v>0</v>
      </c>
      <c r="E1752" s="19" t="n">
        <f aca="false">'SALES Raw'!D2621</f>
        <v>0</v>
      </c>
      <c r="F1752" s="19" t="n">
        <f aca="false">'SALES Raw'!E2621*$H$4</f>
        <v>22.7368421052632</v>
      </c>
      <c r="G1752" s="19" t="n">
        <f aca="false">'SALES Raw'!F2621*$H$4</f>
        <v>243.814736842105</v>
      </c>
      <c r="H1752" s="18" t="str">
        <f aca="false">'SALES Raw'!A2621</f>
        <v>114 - IL online</v>
      </c>
    </row>
    <row r="1753" customFormat="false" ht="15" hidden="false" customHeight="false" outlineLevel="0" collapsed="false">
      <c r="A1753" s="18" t="n">
        <f aca="false">'SALES Raw'!G2663</f>
        <v>4413442</v>
      </c>
      <c r="B1753" s="18" t="str">
        <f aca="false">'SALES Raw'!B2663</f>
        <v>SC422 XXL</v>
      </c>
      <c r="C1753" s="18" t="str">
        <f aca="false">'SALES Raw'!H2663</f>
        <v>SC422 XXLמגן ברך</v>
      </c>
      <c r="D1753" s="19" t="n">
        <f aca="false">'SALES Raw'!C2663</f>
        <v>19</v>
      </c>
      <c r="E1753" s="19" t="n">
        <f aca="false">'SALES Raw'!D2663</f>
        <v>4359.52</v>
      </c>
      <c r="F1753" s="19" t="n">
        <f aca="false">'SALES Raw'!E2663*$H$4</f>
        <v>22.7368421052632</v>
      </c>
      <c r="G1753" s="19" t="n">
        <f aca="false">'SALES Raw'!F2663*$H$4</f>
        <v>5056.28210526316</v>
      </c>
      <c r="H1753" s="18" t="str">
        <f aca="false">'SALES Raw'!A2663</f>
        <v>114 - IL online</v>
      </c>
    </row>
    <row r="1754" customFormat="false" ht="15" hidden="false" customHeight="false" outlineLevel="0" collapsed="false">
      <c r="A1754" s="18" t="str">
        <f aca="false">'SALES Raw'!G2716</f>
        <v/>
      </c>
      <c r="B1754" s="18" t="str">
        <f aca="false">'SALES Raw'!B2716</f>
        <v>T33 L</v>
      </c>
      <c r="C1754" s="18" t="str">
        <f aca="false">'SALES Raw'!H2716</f>
        <v>T33 L</v>
      </c>
      <c r="D1754" s="19" t="n">
        <f aca="false">'SALES Raw'!C2716</f>
        <v>7</v>
      </c>
      <c r="E1754" s="19" t="n">
        <f aca="false">'SALES Raw'!D2716</f>
        <v>1735.88</v>
      </c>
      <c r="F1754" s="19" t="n">
        <f aca="false">'SALES Raw'!E2716*$H$4</f>
        <v>22.7368421052632</v>
      </c>
      <c r="G1754" s="19" t="n">
        <f aca="false">'SALES Raw'!F2716*$H$4</f>
        <v>5553.90315789474</v>
      </c>
      <c r="H1754" s="18" t="str">
        <f aca="false">'SALES Raw'!A2716</f>
        <v>114 - IL online</v>
      </c>
    </row>
    <row r="1755" customFormat="false" ht="15" hidden="false" customHeight="false" outlineLevel="0" collapsed="false">
      <c r="A1755" s="18" t="n">
        <f aca="false">'SALES Raw'!G3148</f>
        <v>4408114</v>
      </c>
      <c r="B1755" s="18" t="str">
        <f aca="false">'SALES Raw'!B3148</f>
        <v>11EU M</v>
      </c>
      <c r="C1755" s="18" t="str">
        <f aca="false">'SALES Raw'!H3148</f>
        <v>11EU M ח.בטן לאחר ניתוח</v>
      </c>
      <c r="D1755" s="19" t="n">
        <f aca="false">'SALES Raw'!C3148</f>
        <v>26</v>
      </c>
      <c r="E1755" s="19" t="n">
        <f aca="false">'SALES Raw'!D3148</f>
        <v>1145.86</v>
      </c>
      <c r="F1755" s="19" t="n">
        <f aca="false">'SALES Raw'!E3148*$H$4</f>
        <v>22.7368421052632</v>
      </c>
      <c r="G1755" s="19" t="n">
        <f aca="false">'SALES Raw'!F3148*$H$4</f>
        <v>891.06947368421</v>
      </c>
      <c r="H1755" s="18" t="str">
        <f aca="false">'SALES Raw'!A3148</f>
        <v>204 - Sanaflex Anatomic GREECE</v>
      </c>
    </row>
    <row r="1756" customFormat="false" ht="15" hidden="false" customHeight="false" outlineLevel="0" collapsed="false">
      <c r="A1756" s="18" t="n">
        <f aca="false">'SALES Raw'!G3220</f>
        <v>4411000</v>
      </c>
      <c r="B1756" s="18" t="str">
        <f aca="false">'SALES Raw'!B3220</f>
        <v>362-L-R</v>
      </c>
      <c r="C1756" s="18" t="str">
        <f aca="false">'SALES Raw'!H3220</f>
        <v>כרית מטטרזלי סיליקון362</v>
      </c>
      <c r="D1756" s="19" t="n">
        <f aca="false">'SALES Raw'!C3220</f>
        <v>6</v>
      </c>
      <c r="E1756" s="19" t="n">
        <f aca="false">'SALES Raw'!D3220</f>
        <v>84.19</v>
      </c>
      <c r="F1756" s="19" t="n">
        <f aca="false">'SALES Raw'!E3220*$H$4</f>
        <v>22.7368421052632</v>
      </c>
      <c r="G1756" s="19" t="n">
        <f aca="false">'SALES Raw'!F3220*$H$4</f>
        <v>285.132631578947</v>
      </c>
      <c r="H1756" s="18" t="str">
        <f aca="false">'SALES Raw'!A3220</f>
        <v>204 - Sanaflex Anatomic GREECE</v>
      </c>
    </row>
    <row r="1757" customFormat="false" ht="15" hidden="false" customHeight="false" outlineLevel="0" collapsed="false">
      <c r="A1757" s="18" t="n">
        <f aca="false">'SALES Raw'!G3271</f>
        <v>4413122</v>
      </c>
      <c r="B1757" s="18" t="str">
        <f aca="false">'SALES Raw'!B3271</f>
        <v>55 L</v>
      </c>
      <c r="C1757" s="18" t="str">
        <f aca="false">'SALES Raw'!H3271</f>
        <v>55 L מתלה אשכים לספורטאים</v>
      </c>
      <c r="D1757" s="19" t="n">
        <f aca="false">'SALES Raw'!C3271</f>
        <v>100</v>
      </c>
      <c r="E1757" s="19" t="n">
        <f aca="false">'SALES Raw'!D3271</f>
        <v>3135.24</v>
      </c>
      <c r="F1757" s="19" t="n">
        <f aca="false">'SALES Raw'!E3271*$H$4</f>
        <v>22.7368421052632</v>
      </c>
      <c r="G1757" s="19" t="n">
        <f aca="false">'SALES Raw'!F3271*$H$4</f>
        <v>660.391578947368</v>
      </c>
      <c r="H1757" s="18" t="str">
        <f aca="false">'SALES Raw'!A3271</f>
        <v>204 - Sanaflex Anatomic GREECE</v>
      </c>
    </row>
    <row r="1758" customFormat="false" ht="15" hidden="false" customHeight="false" outlineLevel="0" collapsed="false">
      <c r="A1758" s="18" t="n">
        <f aca="false">'SALES Raw'!G121</f>
        <v>4420001</v>
      </c>
      <c r="B1758" s="18" t="str">
        <f aca="false">'SALES Raw'!B121</f>
        <v>371 0</v>
      </c>
      <c r="C1758" s="18" t="str">
        <f aca="false">'SALES Raw'!H121</f>
        <v>371 רפידת מגבת כותנה-זוג</v>
      </c>
      <c r="D1758" s="19" t="n">
        <f aca="false">'SALES Raw'!C121</f>
        <v>25</v>
      </c>
      <c r="E1758" s="19" t="n">
        <f aca="false">'SALES Raw'!D121</f>
        <v>302.73</v>
      </c>
      <c r="F1758" s="19" t="n">
        <f aca="false">'SALES Raw'!E121*$H$4</f>
        <v>21.4736842105263</v>
      </c>
      <c r="G1758" s="19" t="n">
        <f aca="false">'SALES Raw'!F121*$H$4</f>
        <v>260.741052631579</v>
      </c>
      <c r="H1758" s="18" t="str">
        <f aca="false">'SALES Raw'!A121</f>
        <v>101 - Factory customers</v>
      </c>
    </row>
    <row r="1759" customFormat="false" ht="15" hidden="false" customHeight="false" outlineLevel="0" collapsed="false">
      <c r="A1759" s="18" t="n">
        <f aca="false">'SALES Raw'!G201</f>
        <v>4409017</v>
      </c>
      <c r="B1759" s="18" t="str">
        <f aca="false">'SALES Raw'!B201</f>
        <v>808KT-B</v>
      </c>
      <c r="C1759" s="18" t="str">
        <f aca="false">'SALES Raw'!H201</f>
        <v>808KT-B        טייפ קינזיולוגי</v>
      </c>
      <c r="D1759" s="19" t="n">
        <f aca="false">'SALES Raw'!C201</f>
        <v>9</v>
      </c>
      <c r="E1759" s="19" t="n">
        <f aca="false">'SALES Raw'!D201</f>
        <v>389.59</v>
      </c>
      <c r="F1759" s="19" t="n">
        <f aca="false">'SALES Raw'!E201*$H$4</f>
        <v>21.4736842105263</v>
      </c>
      <c r="G1759" s="19" t="n">
        <f aca="false">'SALES Raw'!F201*$H$4</f>
        <v>1155.00631578947</v>
      </c>
      <c r="H1759" s="18" t="str">
        <f aca="false">'SALES Raw'!A201</f>
        <v>101 - Factory customers</v>
      </c>
    </row>
    <row r="1760" customFormat="false" ht="15" hidden="false" customHeight="false" outlineLevel="0" collapsed="false">
      <c r="A1760" s="18" t="n">
        <f aca="false">'SALES Raw'!G562</f>
        <v>4408077</v>
      </c>
      <c r="B1760" s="18" t="str">
        <f aca="false">'SALES Raw'!B562</f>
        <v>59L M</v>
      </c>
      <c r="C1760" s="18" t="str">
        <f aca="false">'SALES Raw'!H562</f>
        <v>59L M חגורת שבר לצד שמאל</v>
      </c>
      <c r="D1760" s="19" t="n">
        <f aca="false">'SALES Raw'!C562</f>
        <v>34</v>
      </c>
      <c r="E1760" s="19" t="n">
        <f aca="false">'SALES Raw'!D562</f>
        <v>4567.3</v>
      </c>
      <c r="F1760" s="19" t="n">
        <f aca="false">'SALES Raw'!E562*$H$4</f>
        <v>21.4736842105263</v>
      </c>
      <c r="G1760" s="19" t="n">
        <f aca="false">'SALES Raw'!F562*$H$4</f>
        <v>2944.11789473684</v>
      </c>
      <c r="H1760" s="18" t="str">
        <f aca="false">'SALES Raw'!A562</f>
        <v>102 - Orthopedic institutes</v>
      </c>
    </row>
    <row r="1761" customFormat="false" ht="15" hidden="false" customHeight="false" outlineLevel="0" collapsed="false">
      <c r="A1761" s="18" t="n">
        <f aca="false">'SALES Raw'!G703</f>
        <v>4413158</v>
      </c>
      <c r="B1761" s="18" t="str">
        <f aca="false">'SALES Raw'!B703</f>
        <v>305GA-45-46</v>
      </c>
      <c r="C1761" s="18" t="str">
        <f aca="false">'SALES Raw'!H703</f>
        <v>305GA מדרס אורטופ.מתכוון45-46</v>
      </c>
      <c r="D1761" s="19" t="n">
        <f aca="false">'SALES Raw'!C703</f>
        <v>20</v>
      </c>
      <c r="E1761" s="19" t="n">
        <f aca="false">'SALES Raw'!D703</f>
        <v>2094.02</v>
      </c>
      <c r="F1761" s="19" t="n">
        <f aca="false">'SALES Raw'!E703*$H$4</f>
        <v>21.4736842105263</v>
      </c>
      <c r="G1761" s="19" t="n">
        <f aca="false">'SALES Raw'!F703*$H$4</f>
        <v>2412.64421052632</v>
      </c>
      <c r="H1761" s="18" t="str">
        <f aca="false">'SALES Raw'!A703</f>
        <v>102 - Orthopedic institutes</v>
      </c>
    </row>
    <row r="1762" customFormat="false" ht="15" hidden="false" customHeight="false" outlineLevel="0" collapsed="false">
      <c r="A1762" s="18" t="n">
        <f aca="false">'SALES Raw'!G713</f>
        <v>4421003</v>
      </c>
      <c r="B1762" s="18" t="str">
        <f aca="false">'SALES Raw'!B713</f>
        <v>3672 0</v>
      </c>
      <c r="C1762" s="18" t="str">
        <f aca="false">'SALES Raw'!H713</f>
        <v>3672 שרוול מגן לבוניון</v>
      </c>
      <c r="D1762" s="19" t="n">
        <f aca="false">'SALES Raw'!C713</f>
        <v>41</v>
      </c>
      <c r="E1762" s="19" t="n">
        <f aca="false">'SALES Raw'!D713</f>
        <v>1500.23</v>
      </c>
      <c r="F1762" s="19" t="n">
        <f aca="false">'SALES Raw'!E713*$H$4</f>
        <v>21.4736842105263</v>
      </c>
      <c r="G1762" s="19" t="n">
        <f aca="false">'SALES Raw'!F713*$H$4</f>
        <v>804.290526315789</v>
      </c>
      <c r="H1762" s="18" t="str">
        <f aca="false">'SALES Raw'!A713</f>
        <v>102 - Orthopedic institutes</v>
      </c>
    </row>
    <row r="1763" customFormat="false" ht="15" hidden="false" customHeight="false" outlineLevel="0" collapsed="false">
      <c r="A1763" s="18" t="n">
        <f aca="false">'SALES Raw'!G747</f>
        <v>4422007</v>
      </c>
      <c r="B1763" s="18" t="str">
        <f aca="false">'SALES Raw'!B747</f>
        <v>T78 XL</v>
      </c>
      <c r="C1763" s="18" t="str">
        <f aca="false">'SALES Raw'!H747</f>
        <v>T78 XLתומך זרוע וכתף</v>
      </c>
      <c r="D1763" s="19" t="n">
        <f aca="false">'SALES Raw'!C747</f>
        <v>39</v>
      </c>
      <c r="E1763" s="19" t="n">
        <f aca="false">'SALES Raw'!D747</f>
        <v>5060.9</v>
      </c>
      <c r="F1763" s="19" t="n">
        <f aca="false">'SALES Raw'!E747*$H$4</f>
        <v>21.4736842105263</v>
      </c>
      <c r="G1763" s="19" t="n">
        <f aca="false">'SALES Raw'!F747*$H$4</f>
        <v>2791.50315789474</v>
      </c>
      <c r="H1763" s="18" t="str">
        <f aca="false">'SALES Raw'!A747</f>
        <v>102 - Orthopedic institutes</v>
      </c>
    </row>
    <row r="1764" customFormat="false" ht="15" hidden="false" customHeight="false" outlineLevel="0" collapsed="false">
      <c r="A1764" s="18" t="n">
        <f aca="false">'SALES Raw'!G752</f>
        <v>4415000</v>
      </c>
      <c r="B1764" s="18" t="str">
        <f aca="false">'SALES Raw'!B752</f>
        <v>26 L</v>
      </c>
      <c r="C1764" s="18" t="str">
        <f aca="false">'SALES Raw'!H752</f>
        <v>26 L סד ליד דו צדדי לאחר שבר</v>
      </c>
      <c r="D1764" s="19" t="n">
        <f aca="false">'SALES Raw'!C752</f>
        <v>18</v>
      </c>
      <c r="E1764" s="19" t="n">
        <f aca="false">'SALES Raw'!D752</f>
        <v>1838.14</v>
      </c>
      <c r="F1764" s="19" t="n">
        <f aca="false">'SALES Raw'!E752*$H$4</f>
        <v>21.4736842105263</v>
      </c>
      <c r="G1764" s="19" t="n">
        <f aca="false">'SALES Raw'!F752*$H$4</f>
        <v>2213.31789473684</v>
      </c>
      <c r="H1764" s="18" t="str">
        <f aca="false">'SALES Raw'!A752</f>
        <v>102 - Orthopedic institutes</v>
      </c>
    </row>
    <row r="1765" customFormat="false" ht="15" hidden="false" customHeight="false" outlineLevel="0" collapsed="false">
      <c r="A1765" s="18" t="n">
        <f aca="false">'SALES Raw'!G870</f>
        <v>4408053</v>
      </c>
      <c r="B1765" s="18" t="str">
        <f aca="false">'SALES Raw'!B870</f>
        <v>21 M</v>
      </c>
      <c r="C1765" s="18" t="str">
        <f aca="false">'SALES Raw'!H870</f>
        <v>21 M  חבק יד ארוך</v>
      </c>
      <c r="D1765" s="19" t="n">
        <f aca="false">'SALES Raw'!C870</f>
        <v>24</v>
      </c>
      <c r="E1765" s="19" t="n">
        <f aca="false">'SALES Raw'!D870</f>
        <v>951</v>
      </c>
      <c r="F1765" s="19" t="n">
        <f aca="false">'SALES Raw'!E870*$H$4</f>
        <v>21.4736842105263</v>
      </c>
      <c r="G1765" s="19" t="n">
        <f aca="false">'SALES Raw'!F870*$H$4</f>
        <v>851.153684210526</v>
      </c>
      <c r="H1765" s="18" t="str">
        <f aca="false">'SALES Raw'!A870</f>
        <v>102 - Orthopedic institutes</v>
      </c>
    </row>
    <row r="1766" customFormat="false" ht="15" hidden="false" customHeight="false" outlineLevel="0" collapsed="false">
      <c r="A1766" s="18" t="n">
        <f aca="false">'SALES Raw'!G928</f>
        <v>4413307</v>
      </c>
      <c r="B1766" s="18" t="str">
        <f aca="false">'SALES Raw'!B928</f>
        <v>3667 0</v>
      </c>
      <c r="C1766" s="18" t="str">
        <f aca="false">'SALES Raw'!H928</f>
        <v>URI 3667 מגן בוניון</v>
      </c>
      <c r="D1766" s="19" t="n">
        <f aca="false">'SALES Raw'!C928</f>
        <v>27</v>
      </c>
      <c r="E1766" s="19" t="n">
        <f aca="false">'SALES Raw'!D928</f>
        <v>841.03</v>
      </c>
      <c r="F1766" s="19" t="n">
        <f aca="false">'SALES Raw'!E928*$H$4</f>
        <v>21.4736842105263</v>
      </c>
      <c r="G1766" s="19" t="n">
        <f aca="false">'SALES Raw'!F928*$H$4</f>
        <v>676.042105263158</v>
      </c>
      <c r="H1766" s="18" t="str">
        <f aca="false">'SALES Raw'!A928</f>
        <v>102 - Orthopedic institutes</v>
      </c>
    </row>
    <row r="1767" customFormat="false" ht="15" hidden="false" customHeight="false" outlineLevel="0" collapsed="false">
      <c r="A1767" s="18" t="str">
        <f aca="false">'SALES Raw'!G2236</f>
        <v/>
      </c>
      <c r="B1767" s="18" t="str">
        <f aca="false">'SALES Raw'!B2236</f>
        <v>305-41-42</v>
      </c>
      <c r="C1767" s="18" t="str">
        <f aca="false">'SALES Raw'!H2236</f>
        <v>305-41-42</v>
      </c>
      <c r="D1767" s="19" t="n">
        <f aca="false">'SALES Raw'!C2236</f>
        <v>0</v>
      </c>
      <c r="E1767" s="19" t="n">
        <f aca="false">'SALES Raw'!D2236</f>
        <v>0</v>
      </c>
      <c r="F1767" s="19" t="n">
        <f aca="false">'SALES Raw'!E2236*$H$4</f>
        <v>21.4736842105263</v>
      </c>
      <c r="G1767" s="19" t="n">
        <f aca="false">'SALES Raw'!F2236*$H$4</f>
        <v>3477.33473684211</v>
      </c>
      <c r="H1767" s="18" t="str">
        <f aca="false">'SALES Raw'!A2236</f>
        <v>114 - IL online</v>
      </c>
    </row>
    <row r="1768" customFormat="false" ht="15" hidden="false" customHeight="false" outlineLevel="0" collapsed="false">
      <c r="A1768" s="18" t="n">
        <f aca="false">'SALES Raw'!G2280</f>
        <v>4413490</v>
      </c>
      <c r="B1768" s="18" t="str">
        <f aca="false">'SALES Raw'!B2280</f>
        <v>35B L</v>
      </c>
      <c r="C1768" s="18" t="str">
        <f aca="false">'SALES Raw'!H2280</f>
        <v>35B L מגן קרסול שחור</v>
      </c>
      <c r="D1768" s="19" t="n">
        <f aca="false">'SALES Raw'!C2280</f>
        <v>5</v>
      </c>
      <c r="E1768" s="19" t="n">
        <f aca="false">'SALES Raw'!D2280</f>
        <v>240.15</v>
      </c>
      <c r="F1768" s="19" t="n">
        <f aca="false">'SALES Raw'!E2280*$H$4</f>
        <v>21.4736842105263</v>
      </c>
      <c r="G1768" s="19" t="n">
        <f aca="false">'SALES Raw'!F2280*$H$4</f>
        <v>1167.52421052632</v>
      </c>
      <c r="H1768" s="18" t="str">
        <f aca="false">'SALES Raw'!A2280</f>
        <v>114 - IL online</v>
      </c>
    </row>
    <row r="1769" customFormat="false" ht="15" hidden="false" customHeight="false" outlineLevel="0" collapsed="false">
      <c r="A1769" s="18" t="str">
        <f aca="false">'SALES Raw'!G2360</f>
        <v/>
      </c>
      <c r="B1769" s="18" t="str">
        <f aca="false">'SALES Raw'!B2360</f>
        <v>394G-39-42</v>
      </c>
      <c r="C1769" s="18" t="str">
        <f aca="false">'SALES Raw'!H2360</f>
        <v>394G-39-42</v>
      </c>
      <c r="D1769" s="19" t="n">
        <f aca="false">'SALES Raw'!C2360</f>
        <v>37</v>
      </c>
      <c r="E1769" s="19" t="n">
        <f aca="false">'SALES Raw'!D2360</f>
        <v>1542.56</v>
      </c>
      <c r="F1769" s="19" t="n">
        <f aca="false">'SALES Raw'!E2360*$H$4</f>
        <v>21.4736842105263</v>
      </c>
      <c r="G1769" s="19" t="n">
        <f aca="false">'SALES Raw'!F2360*$H$4</f>
        <v>900.884210526316</v>
      </c>
      <c r="H1769" s="18" t="str">
        <f aca="false">'SALES Raw'!A2360</f>
        <v>114 - IL online</v>
      </c>
    </row>
    <row r="1770" customFormat="false" ht="15" hidden="false" customHeight="false" outlineLevel="0" collapsed="false">
      <c r="A1770" s="18" t="n">
        <f aca="false">'SALES Raw'!G2672</f>
        <v>4422040</v>
      </c>
      <c r="B1770" s="18" t="str">
        <f aca="false">'SALES Raw'!B2672</f>
        <v>SH422 4</v>
      </c>
      <c r="C1770" s="18" t="str">
        <f aca="false">'SALES Raw'!H2672</f>
        <v>SH422 4 תומך ברך גנושילד</v>
      </c>
      <c r="D1770" s="19" t="n">
        <f aca="false">'SALES Raw'!C2672</f>
        <v>3</v>
      </c>
      <c r="E1770" s="19" t="n">
        <f aca="false">'SALES Raw'!D2672</f>
        <v>972.23</v>
      </c>
      <c r="F1770" s="19" t="n">
        <f aca="false">'SALES Raw'!E2672*$H$4</f>
        <v>21.4736842105263</v>
      </c>
      <c r="G1770" s="19" t="n">
        <f aca="false">'SALES Raw'!F2672*$H$4</f>
        <v>7725.15789473684</v>
      </c>
      <c r="H1770" s="18" t="str">
        <f aca="false">'SALES Raw'!A2672</f>
        <v>114 - IL online</v>
      </c>
    </row>
    <row r="1771" customFormat="false" ht="15" hidden="false" customHeight="false" outlineLevel="0" collapsed="false">
      <c r="A1771" s="18" t="n">
        <f aca="false">'SALES Raw'!G2706</f>
        <v>4408264</v>
      </c>
      <c r="B1771" s="18" t="str">
        <f aca="false">'SALES Raw'!B2706</f>
        <v>T25B 0</v>
      </c>
      <c r="C1771" s="18" t="str">
        <f aca="false">'SALES Raw'!H2706</f>
        <v>T25B   חבק יד אגודלי</v>
      </c>
      <c r="D1771" s="19" t="n">
        <f aca="false">'SALES Raw'!C2706</f>
        <v>29</v>
      </c>
      <c r="E1771" s="19" t="n">
        <f aca="false">'SALES Raw'!D2706</f>
        <v>2256.45</v>
      </c>
      <c r="F1771" s="19" t="n">
        <f aca="false">'SALES Raw'!E2706*$H$4</f>
        <v>21.4736842105263</v>
      </c>
      <c r="G1771" s="19" t="n">
        <f aca="false">'SALES Raw'!F2706*$H$4</f>
        <v>1759.17473684211</v>
      </c>
      <c r="H1771" s="18" t="str">
        <f aca="false">'SALES Raw'!A2706</f>
        <v>114 - IL online</v>
      </c>
    </row>
    <row r="1772" customFormat="false" ht="15" hidden="false" customHeight="false" outlineLevel="0" collapsed="false">
      <c r="A1772" s="18" t="n">
        <f aca="false">'SALES Raw'!G2756</f>
        <v>4422006</v>
      </c>
      <c r="B1772" s="18" t="str">
        <f aca="false">'SALES Raw'!B2756</f>
        <v>T78 L</v>
      </c>
      <c r="C1772" s="18" t="str">
        <f aca="false">'SALES Raw'!H2756</f>
        <v>T78 L תומך זרוע וכתף</v>
      </c>
      <c r="D1772" s="19" t="n">
        <f aca="false">'SALES Raw'!C2756</f>
        <v>13</v>
      </c>
      <c r="E1772" s="19" t="n">
        <f aca="false">'SALES Raw'!D2756</f>
        <v>4143.74</v>
      </c>
      <c r="F1772" s="19" t="n">
        <f aca="false">'SALES Raw'!E2756*$H$4</f>
        <v>21.4736842105263</v>
      </c>
      <c r="G1772" s="19" t="n">
        <f aca="false">'SALES Raw'!F2756*$H$4</f>
        <v>6057.42315789474</v>
      </c>
      <c r="H1772" s="18" t="str">
        <f aca="false">'SALES Raw'!A2756</f>
        <v>114 - IL online</v>
      </c>
    </row>
    <row r="1773" customFormat="false" ht="15" hidden="false" customHeight="false" outlineLevel="0" collapsed="false">
      <c r="A1773" s="18" t="n">
        <f aca="false">'SALES Raw'!G2757</f>
        <v>4422005</v>
      </c>
      <c r="B1773" s="18" t="str">
        <f aca="false">'SALES Raw'!B2757</f>
        <v>T78 M</v>
      </c>
      <c r="C1773" s="18" t="str">
        <f aca="false">'SALES Raw'!H2757</f>
        <v>T78 M תומך זרוע וכתף</v>
      </c>
      <c r="D1773" s="19" t="n">
        <f aca="false">'SALES Raw'!C2757</f>
        <v>13</v>
      </c>
      <c r="E1773" s="19" t="n">
        <f aca="false">'SALES Raw'!D2757</f>
        <v>4112.05</v>
      </c>
      <c r="F1773" s="19" t="n">
        <f aca="false">'SALES Raw'!E2757*$H$4</f>
        <v>21.4736842105263</v>
      </c>
      <c r="G1773" s="19" t="n">
        <f aca="false">'SALES Raw'!F2757*$H$4</f>
        <v>6806.55157894737</v>
      </c>
      <c r="H1773" s="18" t="str">
        <f aca="false">'SALES Raw'!A2757</f>
        <v>114 - IL online</v>
      </c>
    </row>
    <row r="1774" customFormat="false" ht="15" hidden="false" customHeight="false" outlineLevel="0" collapsed="false">
      <c r="A1774" s="18" t="n">
        <f aca="false">'SALES Raw'!G3829</f>
        <v>4413066</v>
      </c>
      <c r="B1774" s="18" t="str">
        <f aca="false">'SALES Raw'!B3829</f>
        <v>3677S 0</v>
      </c>
      <c r="C1774" s="18" t="str">
        <f aca="false">'SALES Raw'!H3829</f>
        <v>3677S-מד.לשחרור לחץ א.הבוניון</v>
      </c>
      <c r="D1774" s="19" t="n">
        <f aca="false">'SALES Raw'!C3829</f>
        <v>11</v>
      </c>
      <c r="E1774" s="19" t="n">
        <f aca="false">'SALES Raw'!D3829</f>
        <v>107.18</v>
      </c>
      <c r="F1774" s="19" t="n">
        <f aca="false">'SALES Raw'!E3829*$H$4</f>
        <v>21.4736842105263</v>
      </c>
      <c r="G1774" s="19" t="n">
        <f aca="false">'SALES Raw'!F3829*$H$4</f>
        <v>202.635789473684</v>
      </c>
      <c r="H1774" s="18" t="str">
        <f aca="false">'SALES Raw'!A3829</f>
        <v>209 - Ortoprofil Prod ROMANIA</v>
      </c>
    </row>
    <row r="1775" customFormat="false" ht="15" hidden="false" customHeight="false" outlineLevel="0" collapsed="false">
      <c r="A1775" s="18" t="n">
        <f aca="false">'SALES Raw'!G3856</f>
        <v>4413142</v>
      </c>
      <c r="B1775" s="18" t="str">
        <f aca="false">'SALES Raw'!B3856</f>
        <v>95 XL</v>
      </c>
      <c r="C1775" s="18" t="str">
        <f aca="false">'SALES Raw'!H3856</f>
        <v>95 XL מגן מרפק רגיל לבן</v>
      </c>
      <c r="D1775" s="19" t="n">
        <f aca="false">'SALES Raw'!C3856</f>
        <v>22</v>
      </c>
      <c r="E1775" s="19" t="n">
        <f aca="false">'SALES Raw'!D3856</f>
        <v>226.6</v>
      </c>
      <c r="F1775" s="19" t="n">
        <f aca="false">'SALES Raw'!E3856*$H$4</f>
        <v>21.4736842105263</v>
      </c>
      <c r="G1775" s="19" t="n">
        <f aca="false">'SALES Raw'!F3856*$H$4</f>
        <v>218.955789473684</v>
      </c>
      <c r="H1775" s="18" t="str">
        <f aca="false">'SALES Raw'!A3856</f>
        <v>209 - Ortoprofil Prod ROMANIA</v>
      </c>
    </row>
    <row r="1776" customFormat="false" ht="15" hidden="false" customHeight="false" outlineLevel="0" collapsed="false">
      <c r="A1776" s="18" t="n">
        <f aca="false">'SALES Raw'!G4089</f>
        <v>4413162</v>
      </c>
      <c r="B1776" s="18" t="str">
        <f aca="false">'SALES Raw'!B4089</f>
        <v>34+ XL</v>
      </c>
      <c r="C1776" s="18" t="str">
        <f aca="false">'SALES Raw'!H4089</f>
        <v>34+XL מגן קרסול עקב סגור+רצוע</v>
      </c>
      <c r="D1776" s="19" t="n">
        <f aca="false">'SALES Raw'!C4089</f>
        <v>14</v>
      </c>
      <c r="E1776" s="19" t="n">
        <f aca="false">'SALES Raw'!D4089</f>
        <v>428.16</v>
      </c>
      <c r="F1776" s="19" t="n">
        <f aca="false">'SALES Raw'!E4089*$H$4</f>
        <v>21.4736842105263</v>
      </c>
      <c r="G1776" s="19" t="n">
        <f aca="false">'SALES Raw'!F4089*$H$4</f>
        <v>630.896842105263</v>
      </c>
      <c r="H1776" s="18" t="str">
        <f aca="false">'SALES Raw'!A4089</f>
        <v>213 - E.f.m.o. SPAIN</v>
      </c>
    </row>
    <row r="1777" customFormat="false" ht="15" hidden="false" customHeight="false" outlineLevel="0" collapsed="false">
      <c r="A1777" s="18" t="str">
        <f aca="false">'SALES Raw'!G4449</f>
        <v/>
      </c>
      <c r="B1777" s="18" t="str">
        <f aca="false">'SALES Raw'!B4449</f>
        <v>EC-59DB XXL</v>
      </c>
      <c r="C1777" s="18" t="str">
        <f aca="false">'SALES Raw'!H4449</f>
        <v>EC-59DB XXL</v>
      </c>
      <c r="D1777" s="19" t="n">
        <f aca="false">'SALES Raw'!C4449</f>
        <v>11</v>
      </c>
      <c r="E1777" s="19" t="n">
        <f aca="false">'SALES Raw'!D4449</f>
        <v>1984.08</v>
      </c>
      <c r="F1777" s="19" t="n">
        <f aca="false">'SALES Raw'!E4449*$H$4</f>
        <v>21.4736842105263</v>
      </c>
      <c r="G1777" s="19" t="n">
        <f aca="false">'SALES Raw'!F4449*$H$4</f>
        <v>3600.97263157895</v>
      </c>
      <c r="H1777" s="18" t="str">
        <f aca="false">'SALES Raw'!A4449</f>
        <v>301 - Amazon</v>
      </c>
    </row>
    <row r="1778" customFormat="false" ht="15" hidden="false" customHeight="false" outlineLevel="0" collapsed="false">
      <c r="A1778" s="18" t="n">
        <f aca="false">'CEMIUP0.9 Raw'!B59</f>
        <v>4408027</v>
      </c>
      <c r="B1778" s="18" t="str">
        <f aca="false">'CEMIUP0.9 Raw'!C59</f>
        <v>10 L ""חגורת גב ""לומבו</v>
      </c>
      <c r="C1778" s="18" t="str">
        <f aca="false">'CEMIUP0.9 Raw'!C59</f>
        <v>10 L ""חגורת גב ""לומבו</v>
      </c>
      <c r="D1778" s="19" t="n">
        <f aca="false">'CEMIUP0.9 Raw'!D59</f>
        <v>22</v>
      </c>
      <c r="E1778" s="19" t="n">
        <f aca="false">'CEMIUP0.9 Raw'!E59</f>
        <v>2885.857</v>
      </c>
      <c r="F1778" s="19" t="n">
        <f aca="false">'CEMIUP0.9 Raw'!F59</f>
        <v>21.4736842105263</v>
      </c>
      <c r="G1778" s="19" t="n">
        <f aca="false">'CEMIUP0.9 Raw'!G59</f>
        <v>2907.82357894737</v>
      </c>
      <c r="H1778" s="18" t="str">
        <f aca="false">'CEMIUP0.9 Raw'!A59</f>
        <v>107 - Pharmacies</v>
      </c>
    </row>
    <row r="1779" customFormat="false" ht="15" hidden="false" customHeight="false" outlineLevel="0" collapsed="false">
      <c r="A1779" s="18" t="n">
        <f aca="false">'CEMIUP0.9 Raw'!B234</f>
        <v>4413046</v>
      </c>
      <c r="B1779" s="18" t="str">
        <f aca="false">'CEMIUP0.9 Raw'!C234</f>
        <v>34 XXL מגן קרסול עקב סגור</v>
      </c>
      <c r="C1779" s="18" t="str">
        <f aca="false">'CEMIUP0.9 Raw'!C234</f>
        <v>34 XXL מגן קרסול עקב סגור</v>
      </c>
      <c r="D1779" s="19" t="n">
        <f aca="false">'CEMIUP0.9 Raw'!D234</f>
        <v>24</v>
      </c>
      <c r="E1779" s="19" t="n">
        <f aca="false">'CEMIUP0.9 Raw'!E234</f>
        <v>993.72</v>
      </c>
      <c r="F1779" s="19" t="n">
        <f aca="false">'CEMIUP0.9 Raw'!F234</f>
        <v>21.4736842105263</v>
      </c>
      <c r="G1779" s="19" t="n">
        <f aca="false">'CEMIUP0.9 Raw'!G234</f>
        <v>903.371368421053</v>
      </c>
      <c r="H1779" s="18" t="str">
        <f aca="false">'CEMIUP0.9 Raw'!A234</f>
        <v>107 - Pharmacies</v>
      </c>
    </row>
    <row r="1780" customFormat="false" ht="15" hidden="false" customHeight="false" outlineLevel="0" collapsed="false">
      <c r="A1780" s="18" t="n">
        <f aca="false">'CEMIUP0.9 Raw'!B298</f>
        <v>4413127</v>
      </c>
      <c r="B1780" s="18" t="str">
        <f aca="false">'CEMIUP0.9 Raw'!C298</f>
        <v>75 Lמיישר כתף יציב יישור גב צר</v>
      </c>
      <c r="C1780" s="18" t="str">
        <f aca="false">'CEMIUP0.9 Raw'!C298</f>
        <v>75 Lמיישר כתף יציב יישור גב צר</v>
      </c>
      <c r="D1780" s="19" t="n">
        <f aca="false">'CEMIUP0.9 Raw'!D298</f>
        <v>19</v>
      </c>
      <c r="E1780" s="19" t="n">
        <f aca="false">'CEMIUP0.9 Raw'!E298</f>
        <v>2730.455</v>
      </c>
      <c r="F1780" s="19" t="n">
        <f aca="false">'CEMIUP0.9 Raw'!F298</f>
        <v>21.4736842105263</v>
      </c>
      <c r="G1780" s="19" t="n">
        <f aca="false">'CEMIUP0.9 Raw'!G298</f>
        <v>3135.56968421053</v>
      </c>
      <c r="H1780" s="18" t="str">
        <f aca="false">'CEMIUP0.9 Raw'!A298</f>
        <v>107 - Pharmacies</v>
      </c>
    </row>
    <row r="1781" customFormat="false" ht="15" hidden="false" customHeight="false" outlineLevel="0" collapsed="false">
      <c r="A1781" s="18" t="n">
        <f aca="false">'CEMIUP0.9 Raw'!B421</f>
        <v>4413441</v>
      </c>
      <c r="B1781" s="18" t="str">
        <f aca="false">'CEMIUP0.9 Raw'!C421</f>
        <v>SC422 XL מגן ברך</v>
      </c>
      <c r="C1781" s="18" t="str">
        <f aca="false">'CEMIUP0.9 Raw'!C421</f>
        <v>SC422 XL מגן ברך</v>
      </c>
      <c r="D1781" s="19" t="n">
        <f aca="false">'CEMIUP0.9 Raw'!D421</f>
        <v>13</v>
      </c>
      <c r="E1781" s="19" t="n">
        <f aca="false">'CEMIUP0.9 Raw'!E421</f>
        <v>1605.554</v>
      </c>
      <c r="F1781" s="19" t="n">
        <f aca="false">'CEMIUP0.9 Raw'!F421</f>
        <v>21.4736842105263</v>
      </c>
      <c r="G1781" s="19" t="n">
        <f aca="false">'CEMIUP0.9 Raw'!G421</f>
        <v>2724.99410526316</v>
      </c>
      <c r="H1781" s="18" t="str">
        <f aca="false">'CEMIUP0.9 Raw'!A421</f>
        <v>107 - Pharmacies</v>
      </c>
    </row>
    <row r="1782" customFormat="false" ht="15" hidden="false" customHeight="false" outlineLevel="0" collapsed="false">
      <c r="A1782" s="18" t="n">
        <f aca="false">'CEMIUP0.9 Raw'!B596</f>
        <v>4422042</v>
      </c>
      <c r="B1782" s="18" t="str">
        <f aca="false">'CEMIUP0.9 Raw'!C596</f>
        <v>SH422 6 תומך ברך גנושילד</v>
      </c>
      <c r="C1782" s="18" t="str">
        <f aca="false">'CEMIUP0.9 Raw'!C596</f>
        <v>SH422 6 תומך ברך גנושילד</v>
      </c>
      <c r="D1782" s="19" t="n">
        <f aca="false">'CEMIUP0.9 Raw'!D596</f>
        <v>1</v>
      </c>
      <c r="E1782" s="19" t="n">
        <f aca="false">'CEMIUP0.9 Raw'!E596</f>
        <v>120</v>
      </c>
      <c r="F1782" s="19" t="n">
        <f aca="false">'CEMIUP0.9 Raw'!F596</f>
        <v>21.4736842105263</v>
      </c>
      <c r="G1782" s="19" t="n">
        <f aca="false">'CEMIUP0.9 Raw'!G596</f>
        <v>3859.22905263158</v>
      </c>
      <c r="H1782" s="18" t="str">
        <f aca="false">'CEMIUP0.9 Raw'!A596</f>
        <v>107 - Pharmacies</v>
      </c>
    </row>
    <row r="1783" customFormat="false" ht="15" hidden="false" customHeight="false" outlineLevel="0" collapsed="false">
      <c r="A1783" s="18" t="n">
        <f aca="false">'CEMIUP0.9 Raw'!B677</f>
        <v>4403003</v>
      </c>
      <c r="B1783" s="18" t="str">
        <f aca="false">'CEMIUP0.9 Raw'!C677</f>
        <v>390G ג.כסף לסכרתיים אפור35-38</v>
      </c>
      <c r="C1783" s="18" t="str">
        <f aca="false">'CEMIUP0.9 Raw'!C677</f>
        <v>390G ג.כסף לסכרתיים אפור35-38</v>
      </c>
      <c r="D1783" s="19" t="n">
        <f aca="false">'CEMIUP0.9 Raw'!D677</f>
        <v>7</v>
      </c>
      <c r="E1783" s="19" t="n">
        <f aca="false">'CEMIUP0.9 Raw'!E677</f>
        <v>165.2</v>
      </c>
      <c r="F1783" s="19" t="n">
        <f aca="false">'CEMIUP0.9 Raw'!F677</f>
        <v>21.4736842105263</v>
      </c>
      <c r="G1783" s="19" t="n">
        <f aca="false">'CEMIUP0.9 Raw'!G677</f>
        <v>493.364210526316</v>
      </c>
      <c r="H1783" s="18" t="str">
        <f aca="false">'CEMIUP0.9 Raw'!A677</f>
        <v>113 - Kupat Holim Meuhedet</v>
      </c>
    </row>
    <row r="1784" customFormat="false" ht="15" hidden="false" customHeight="false" outlineLevel="0" collapsed="false">
      <c r="A1784" s="18" t="n">
        <f aca="false">'CEMIUP0.9 Raw'!B698</f>
        <v>4408032</v>
      </c>
      <c r="B1784" s="18" t="str">
        <f aca="false">'CEMIUP0.9 Raw'!C698</f>
        <v>11 L</v>
      </c>
      <c r="C1784" s="18" t="str">
        <f aca="false">'CEMIUP0.9 Raw'!C698</f>
        <v>11 L</v>
      </c>
      <c r="D1784" s="19" t="n">
        <f aca="false">'CEMIUP0.9 Raw'!D698</f>
        <v>74</v>
      </c>
      <c r="E1784" s="19" t="n">
        <f aca="false">'CEMIUP0.9 Raw'!E698</f>
        <v>5353.16</v>
      </c>
      <c r="F1784" s="19" t="n">
        <f aca="false">'CEMIUP0.9 Raw'!F698</f>
        <v>21.4736842105263</v>
      </c>
      <c r="G1784" s="19" t="n">
        <f aca="false">'CEMIUP0.9 Raw'!G698</f>
        <v>1553.40631578947</v>
      </c>
      <c r="H1784" s="18" t="str">
        <f aca="false">'CEMIUP0.9 Raw'!A698</f>
        <v>113 - Kupat Holim Meuhedet</v>
      </c>
    </row>
    <row r="1785" customFormat="false" ht="15" hidden="false" customHeight="false" outlineLevel="0" collapsed="false">
      <c r="A1785" s="18" t="n">
        <f aca="false">'CEMIUP0.9 Raw'!B801</f>
        <v>4413114</v>
      </c>
      <c r="B1785" s="18" t="str">
        <f aca="false">'CEMIUP0.9 Raw'!C801</f>
        <v>49 XL מגן ירך</v>
      </c>
      <c r="C1785" s="18" t="str">
        <f aca="false">'CEMIUP0.9 Raw'!C801</f>
        <v>49 XL מגן ירך</v>
      </c>
      <c r="D1785" s="19" t="n">
        <f aca="false">'CEMIUP0.9 Raw'!D801</f>
        <v>10</v>
      </c>
      <c r="E1785" s="19" t="n">
        <f aca="false">'CEMIUP0.9 Raw'!E801</f>
        <v>210</v>
      </c>
      <c r="F1785" s="19" t="n">
        <f aca="false">'CEMIUP0.9 Raw'!F801</f>
        <v>21.4736842105263</v>
      </c>
      <c r="G1785" s="19" t="n">
        <f aca="false">'CEMIUP0.9 Raw'!G801</f>
        <v>394.570105263158</v>
      </c>
      <c r="H1785" s="18" t="str">
        <f aca="false">'CEMIUP0.9 Raw'!A801</f>
        <v>113 - Kupat Holim Meuhedet</v>
      </c>
    </row>
    <row r="1786" customFormat="false" ht="15" hidden="false" customHeight="false" outlineLevel="0" collapsed="false">
      <c r="A1786" s="18" t="n">
        <f aca="false">'CEMIUP0.9 Raw'!B881</f>
        <v>4422039</v>
      </c>
      <c r="B1786" s="18" t="str">
        <f aca="false">'CEMIUP0.9 Raw'!C881</f>
        <v>SH422 3 תומך ברך גנושילד</v>
      </c>
      <c r="C1786" s="18" t="str">
        <f aca="false">'CEMIUP0.9 Raw'!C881</f>
        <v>SH422 3 תומך ברך גנושילד</v>
      </c>
      <c r="D1786" s="19" t="n">
        <f aca="false">'CEMIUP0.9 Raw'!D881</f>
        <v>0</v>
      </c>
      <c r="E1786" s="19" t="n">
        <f aca="false">'CEMIUP0.9 Raw'!E881</f>
        <v>0</v>
      </c>
      <c r="F1786" s="19" t="n">
        <f aca="false">'CEMIUP0.9 Raw'!F881</f>
        <v>21.4736842105263</v>
      </c>
      <c r="G1786" s="19" t="n">
        <f aca="false">'CEMIUP0.9 Raw'!G881</f>
        <v>2442.63157894737</v>
      </c>
      <c r="H1786" s="18" t="str">
        <f aca="false">'CEMIUP0.9 Raw'!A881</f>
        <v>113 - Kupat Holim Meuhedet</v>
      </c>
    </row>
    <row r="1787" customFormat="false" ht="15" hidden="false" customHeight="false" outlineLevel="0" collapsed="false">
      <c r="A1787" s="18" t="n">
        <f aca="false">'CEMIUP0.9 Raw'!B884</f>
        <v>4422042</v>
      </c>
      <c r="B1787" s="18" t="str">
        <f aca="false">'CEMIUP0.9 Raw'!C884</f>
        <v>SH422 6 תומך ברך גנושילד</v>
      </c>
      <c r="C1787" s="18" t="str">
        <f aca="false">'CEMIUP0.9 Raw'!C884</f>
        <v>SH422 6 תומך ברך גנושילד</v>
      </c>
      <c r="D1787" s="19" t="n">
        <f aca="false">'CEMIUP0.9 Raw'!D884</f>
        <v>0</v>
      </c>
      <c r="E1787" s="19" t="n">
        <f aca="false">'CEMIUP0.9 Raw'!E884</f>
        <v>0</v>
      </c>
      <c r="F1787" s="19" t="n">
        <f aca="false">'CEMIUP0.9 Raw'!F884</f>
        <v>21.4736842105263</v>
      </c>
      <c r="G1787" s="19" t="n">
        <f aca="false">'CEMIUP0.9 Raw'!G884</f>
        <v>2442.63157894737</v>
      </c>
      <c r="H1787" s="18" t="str">
        <f aca="false">'CEMIUP0.9 Raw'!A884</f>
        <v>113 - Kupat Holim Meuhedet</v>
      </c>
    </row>
    <row r="1788" customFormat="false" ht="15" hidden="false" customHeight="false" outlineLevel="0" collapsed="false">
      <c r="A1788" s="18" t="n">
        <f aca="false">'CEMIUP0.9 Raw'!B1116</f>
        <v>4413130</v>
      </c>
      <c r="B1788" s="18" t="str">
        <f aca="false">'CEMIUP0.9 Raw'!C1116</f>
        <v>75  XXL מיישר כתף יציב ישור צר</v>
      </c>
      <c r="C1788" s="18" t="str">
        <f aca="false">'CEMIUP0.9 Raw'!C1116</f>
        <v>75  XXL מיישר כתף יציב ישור צר</v>
      </c>
      <c r="D1788" s="19" t="n">
        <f aca="false">'CEMIUP0.9 Raw'!D1116</f>
        <v>8</v>
      </c>
      <c r="E1788" s="19" t="n">
        <f aca="false">'CEMIUP0.9 Raw'!E1116</f>
        <v>807.443</v>
      </c>
      <c r="F1788" s="19" t="n">
        <f aca="false">'CEMIUP0.9 Raw'!F1116</f>
        <v>21.4736842105263</v>
      </c>
      <c r="G1788" s="19" t="n">
        <f aca="false">'CEMIUP0.9 Raw'!G1116</f>
        <v>2758.16210526316</v>
      </c>
      <c r="H1788" s="18" t="str">
        <f aca="false">'CEMIUP0.9 Raw'!A1116</f>
        <v>BE (CEMI internal group)</v>
      </c>
    </row>
    <row r="1789" customFormat="false" ht="15" hidden="false" customHeight="false" outlineLevel="0" collapsed="false">
      <c r="A1789" s="18" t="n">
        <f aca="false">'CEMIUP0.9 Raw'!B1202</f>
        <v>4413498</v>
      </c>
      <c r="B1789" s="18" t="str">
        <f aca="false">'CEMIUP0.9 Raw'!C1202</f>
        <v>45B S מגן ברך שחור</v>
      </c>
      <c r="C1789" s="18" t="str">
        <f aca="false">'CEMIUP0.9 Raw'!C1202</f>
        <v>45B S מגן ברך שחור</v>
      </c>
      <c r="D1789" s="19" t="n">
        <f aca="false">'CEMIUP0.9 Raw'!D1202</f>
        <v>12</v>
      </c>
      <c r="E1789" s="19" t="n">
        <f aca="false">'CEMIUP0.9 Raw'!E1202</f>
        <v>303.03</v>
      </c>
      <c r="F1789" s="19" t="n">
        <f aca="false">'CEMIUP0.9 Raw'!F1202</f>
        <v>21.4736842105263</v>
      </c>
      <c r="G1789" s="19" t="n">
        <f aca="false">'CEMIUP0.9 Raw'!G1202</f>
        <v>542.321684210526</v>
      </c>
      <c r="H1789" s="18" t="str">
        <f aca="false">'CEMIUP0.9 Raw'!A1202</f>
        <v>BE (CEMI internal group)</v>
      </c>
    </row>
    <row r="1790" customFormat="false" ht="15" hidden="false" customHeight="false" outlineLevel="0" collapsed="false">
      <c r="A1790" s="18" t="n">
        <f aca="false">'CEMIUP0.9 Raw'!B1285</f>
        <v>4403007</v>
      </c>
      <c r="B1790" s="18" t="str">
        <f aca="false">'CEMIUP0.9 Raw'!C1285</f>
        <v>390W גרב.כסף לסכרתיים לבן39-42</v>
      </c>
      <c r="C1790" s="18" t="str">
        <f aca="false">'CEMIUP0.9 Raw'!C1285</f>
        <v>390W גרב.כסף לסכרתיים לבן39-42</v>
      </c>
      <c r="D1790" s="19" t="n">
        <f aca="false">'CEMIUP0.9 Raw'!D1285</f>
        <v>35</v>
      </c>
      <c r="E1790" s="19" t="n">
        <f aca="false">'CEMIUP0.9 Raw'!E1285</f>
        <v>930.384</v>
      </c>
      <c r="F1790" s="19" t="n">
        <f aca="false">'CEMIUP0.9 Raw'!F1285</f>
        <v>21.4736842105263</v>
      </c>
      <c r="G1790" s="19" t="n">
        <f aca="false">'CEMIUP0.9 Raw'!G1285</f>
        <v>572.897684210526</v>
      </c>
      <c r="H1790" s="18" t="str">
        <f aca="false">'CEMIUP0.9 Raw'!A1285</f>
        <v>Super-Pharm Israel (CEMI internal group)</v>
      </c>
    </row>
    <row r="1791" customFormat="false" ht="15" hidden="false" customHeight="false" outlineLevel="0" collapsed="false">
      <c r="A1791" s="18" t="n">
        <f aca="false">'CEMIUP0.9 Raw'!B1543</f>
        <v>4413195</v>
      </c>
      <c r="B1791" s="18" t="str">
        <f aca="false">'CEMIUP0.9 Raw'!C1543</f>
        <v>87 S מקבע כתף ויד</v>
      </c>
      <c r="C1791" s="18" t="str">
        <f aca="false">'CEMIUP0.9 Raw'!C1543</f>
        <v>87 S מקבע כתף ויד</v>
      </c>
      <c r="D1791" s="19" t="n">
        <f aca="false">'CEMIUP0.9 Raw'!D1543</f>
        <v>21</v>
      </c>
      <c r="E1791" s="19" t="n">
        <f aca="false">'CEMIUP0.9 Raw'!E1543</f>
        <v>3108.651</v>
      </c>
      <c r="F1791" s="19" t="n">
        <f aca="false">'CEMIUP0.9 Raw'!F1543</f>
        <v>21.4736842105263</v>
      </c>
      <c r="G1791" s="19" t="n">
        <f aca="false">'CEMIUP0.9 Raw'!G1543</f>
        <v>3188.75494736842</v>
      </c>
      <c r="H1791" s="18" t="str">
        <f aca="false">'CEMIUP0.9 Raw'!A1543</f>
        <v>Super-Pharm Israel (CEMI internal group)</v>
      </c>
    </row>
    <row r="1792" customFormat="false" ht="15" hidden="false" customHeight="false" outlineLevel="0" collapsed="false">
      <c r="A1792" s="18" t="n">
        <f aca="false">'CEMIUP0.9 Raw'!B1554</f>
        <v>4413286</v>
      </c>
      <c r="B1792" s="18" t="str">
        <f aca="false">'CEMIUP0.9 Raw'!C1554</f>
        <v>T45 XXL מגן ברך רגיל</v>
      </c>
      <c r="C1792" s="18" t="str">
        <f aca="false">'CEMIUP0.9 Raw'!C1554</f>
        <v>T45 XXL מגן ברך רגיל</v>
      </c>
      <c r="D1792" s="19" t="n">
        <f aca="false">'CEMIUP0.9 Raw'!D1554</f>
        <v>27</v>
      </c>
      <c r="E1792" s="19" t="n">
        <f aca="false">'CEMIUP0.9 Raw'!E1554</f>
        <v>2209.662</v>
      </c>
      <c r="F1792" s="19" t="n">
        <f aca="false">'CEMIUP0.9 Raw'!F1554</f>
        <v>21.4736842105263</v>
      </c>
      <c r="G1792" s="19" t="n">
        <f aca="false">'CEMIUP0.9 Raw'!G1554</f>
        <v>1756.97052631579</v>
      </c>
      <c r="H1792" s="18" t="str">
        <f aca="false">'CEMIUP0.9 Raw'!A1554</f>
        <v>Super-Pharm Israel (CEMI internal group)</v>
      </c>
    </row>
    <row r="1793" customFormat="false" ht="15" hidden="false" customHeight="false" outlineLevel="0" collapsed="false">
      <c r="A1793" s="18" t="n">
        <f aca="false">'CEMIUP0.9 Raw'!B1704</f>
        <v>4422037</v>
      </c>
      <c r="B1793" s="18" t="str">
        <f aca="false">'CEMIUP0.9 Raw'!C1704</f>
        <v>SH422 1 תומך ברך גנושילד</v>
      </c>
      <c r="C1793" s="18" t="str">
        <f aca="false">'CEMIUP0.9 Raw'!C1704</f>
        <v>SH422 1 תומך ברך גנושילד</v>
      </c>
      <c r="D1793" s="19" t="n">
        <f aca="false">'CEMIUP0.9 Raw'!D1704</f>
        <v>0</v>
      </c>
      <c r="E1793" s="19" t="n">
        <f aca="false">'CEMIUP0.9 Raw'!E1704</f>
        <v>0</v>
      </c>
      <c r="F1793" s="19" t="n">
        <f aca="false">'CEMIUP0.9 Raw'!F1704</f>
        <v>21.4736842105263</v>
      </c>
      <c r="G1793" s="19" t="n">
        <f aca="false">'CEMIUP0.9 Raw'!G1704</f>
        <v>3497.84842105263</v>
      </c>
      <c r="H1793" s="18" t="str">
        <f aca="false">'CEMIUP0.9 Raw'!A1704</f>
        <v>Super-Pharm Israel (CEMI internal group)</v>
      </c>
    </row>
    <row r="1794" customFormat="false" ht="15" hidden="false" customHeight="false" outlineLevel="0" collapsed="false">
      <c r="A1794" s="18" t="n">
        <f aca="false">'CEMIUP0.9 Raw'!B117</f>
        <v>4408115</v>
      </c>
      <c r="B1794" s="18" t="str">
        <f aca="false">'CEMIUP0.9 Raw'!C117</f>
        <v>11EU L ח.בטן לאחר ניתוח</v>
      </c>
      <c r="C1794" s="18" t="str">
        <f aca="false">'CEMIUP0.9 Raw'!C117</f>
        <v>11EU L ח.בטן לאחר ניתוח</v>
      </c>
      <c r="D1794" s="19" t="n">
        <f aca="false">'CEMIUP0.9 Raw'!D117</f>
        <v>22</v>
      </c>
      <c r="E1794" s="19" t="n">
        <f aca="false">'CEMIUP0.9 Raw'!E117</f>
        <v>2042.256</v>
      </c>
      <c r="F1794" s="19" t="n">
        <f aca="false">'CEMIUP0.9 Raw'!F117</f>
        <v>20.2105263157895</v>
      </c>
      <c r="G1794" s="19" t="n">
        <f aca="false">'CEMIUP0.9 Raw'!G117</f>
        <v>1918.24926315789</v>
      </c>
      <c r="H1794" s="18" t="str">
        <f aca="false">'CEMIUP0.9 Raw'!A117</f>
        <v>107 - Pharmacies</v>
      </c>
    </row>
    <row r="1795" customFormat="false" ht="15" hidden="false" customHeight="false" outlineLevel="0" collapsed="false">
      <c r="A1795" s="18" t="n">
        <f aca="false">'CEMIUP0.9 Raw'!B204</f>
        <v>4411018</v>
      </c>
      <c r="B1795" s="18" t="str">
        <f aca="false">'CEMIUP0.9 Raw'!C204</f>
        <v>211M כפפות לחץ</v>
      </c>
      <c r="C1795" s="18" t="str">
        <f aca="false">'CEMIUP0.9 Raw'!C204</f>
        <v>211M כפפות לחץ</v>
      </c>
      <c r="D1795" s="19" t="n">
        <f aca="false">'CEMIUP0.9 Raw'!D204</f>
        <v>32</v>
      </c>
      <c r="E1795" s="19" t="n">
        <f aca="false">'CEMIUP0.9 Raw'!E204</f>
        <v>1057.602</v>
      </c>
      <c r="F1795" s="19" t="n">
        <f aca="false">'CEMIUP0.9 Raw'!F204</f>
        <v>20.2105263157895</v>
      </c>
      <c r="G1795" s="19" t="n">
        <f aca="false">'CEMIUP0.9 Raw'!G204</f>
        <v>680.143578947369</v>
      </c>
      <c r="H1795" s="18" t="str">
        <f aca="false">'CEMIUP0.9 Raw'!A204</f>
        <v>107 - Pharmacies</v>
      </c>
    </row>
    <row r="1796" customFormat="false" ht="15" hidden="false" customHeight="false" outlineLevel="0" collapsed="false">
      <c r="A1796" s="18" t="n">
        <f aca="false">'CEMIUP0.9 Raw'!B207</f>
        <v>4411021</v>
      </c>
      <c r="B1796" s="18" t="str">
        <f aca="false">'CEMIUP0.9 Raw'!C207</f>
        <v>212L כפפות אגודל לחץ</v>
      </c>
      <c r="C1796" s="18" t="str">
        <f aca="false">'CEMIUP0.9 Raw'!C207</f>
        <v>212L כפפות אגודל לחץ</v>
      </c>
      <c r="D1796" s="19" t="n">
        <f aca="false">'CEMIUP0.9 Raw'!D207</f>
        <v>28</v>
      </c>
      <c r="E1796" s="19" t="n">
        <f aca="false">'CEMIUP0.9 Raw'!E207</f>
        <v>975.429</v>
      </c>
      <c r="F1796" s="19" t="n">
        <f aca="false">'CEMIUP0.9 Raw'!F207</f>
        <v>20.2105263157895</v>
      </c>
      <c r="G1796" s="19" t="n">
        <f aca="false">'CEMIUP0.9 Raw'!G207</f>
        <v>739.338947368421</v>
      </c>
      <c r="H1796" s="18" t="str">
        <f aca="false">'CEMIUP0.9 Raw'!A207</f>
        <v>107 - Pharmacies</v>
      </c>
    </row>
    <row r="1797" customFormat="false" ht="15" hidden="false" customHeight="false" outlineLevel="0" collapsed="false">
      <c r="A1797" s="18" t="n">
        <f aca="false">'CEMIUP0.9 Raw'!B321</f>
        <v>4413156</v>
      </c>
      <c r="B1797" s="18" t="str">
        <f aca="false">'CEMIUP0.9 Raw'!C321</f>
        <v>305GA מדרס אורטופ.מתכוון41-42</v>
      </c>
      <c r="C1797" s="18" t="str">
        <f aca="false">'CEMIUP0.9 Raw'!C321</f>
        <v>305GA מדרס אורטופ.מתכוון41-42</v>
      </c>
      <c r="D1797" s="19" t="n">
        <f aca="false">'CEMIUP0.9 Raw'!D321</f>
        <v>44</v>
      </c>
      <c r="E1797" s="19" t="n">
        <f aca="false">'CEMIUP0.9 Raw'!E321</f>
        <v>3544.681</v>
      </c>
      <c r="F1797" s="19" t="n">
        <f aca="false">'CEMIUP0.9 Raw'!F321</f>
        <v>20.2105263157895</v>
      </c>
      <c r="G1797" s="19" t="n">
        <f aca="false">'CEMIUP0.9 Raw'!G321</f>
        <v>1786.28210526316</v>
      </c>
      <c r="H1797" s="18" t="str">
        <f aca="false">'CEMIUP0.9 Raw'!A321</f>
        <v>107 - Pharmacies</v>
      </c>
    </row>
    <row r="1798" customFormat="false" ht="15" hidden="false" customHeight="false" outlineLevel="0" collapsed="false">
      <c r="A1798" s="18" t="n">
        <f aca="false">'CEMIUP0.9 Raw'!B577</f>
        <v>4422005</v>
      </c>
      <c r="B1798" s="18" t="str">
        <f aca="false">'CEMIUP0.9 Raw'!C577</f>
        <v>T78 M תומך זרוע וכתף</v>
      </c>
      <c r="C1798" s="18" t="str">
        <f aca="false">'CEMIUP0.9 Raw'!C577</f>
        <v>T78 M תומך זרוע וכתף</v>
      </c>
      <c r="D1798" s="19" t="n">
        <f aca="false">'CEMIUP0.9 Raw'!D577</f>
        <v>32</v>
      </c>
      <c r="E1798" s="19" t="n">
        <f aca="false">'CEMIUP0.9 Raw'!E577</f>
        <v>5549.33</v>
      </c>
      <c r="F1798" s="19" t="n">
        <f aca="false">'CEMIUP0.9 Raw'!F577</f>
        <v>20.2105263157895</v>
      </c>
      <c r="G1798" s="19" t="n">
        <f aca="false">'CEMIUP0.9 Raw'!G577</f>
        <v>3442.96926315789</v>
      </c>
      <c r="H1798" s="18" t="str">
        <f aca="false">'CEMIUP0.9 Raw'!A577</f>
        <v>107 - Pharmacies</v>
      </c>
    </row>
    <row r="1799" customFormat="false" ht="15" hidden="false" customHeight="false" outlineLevel="0" collapsed="false">
      <c r="A1799" s="18" t="n">
        <f aca="false">'CEMIUP0.9 Raw'!B721</f>
        <v>4408152</v>
      </c>
      <c r="B1799" s="18" t="str">
        <f aca="false">'CEMIUP0.9 Raw'!C721</f>
        <v>11TO L חגורה למנותחי בית החזה</v>
      </c>
      <c r="C1799" s="18" t="str">
        <f aca="false">'CEMIUP0.9 Raw'!C721</f>
        <v>11TO L חגורה למנותחי בית החזה</v>
      </c>
      <c r="D1799" s="19" t="n">
        <f aca="false">'CEMIUP0.9 Raw'!D721</f>
        <v>17</v>
      </c>
      <c r="E1799" s="19" t="n">
        <f aca="false">'CEMIUP0.9 Raw'!E721</f>
        <v>1820.53</v>
      </c>
      <c r="F1799" s="19" t="n">
        <f aca="false">'CEMIUP0.9 Raw'!F721</f>
        <v>20.2105263157895</v>
      </c>
      <c r="G1799" s="19" t="n">
        <f aca="false">'CEMIUP0.9 Raw'!G721</f>
        <v>1980.98905263158</v>
      </c>
      <c r="H1799" s="18" t="str">
        <f aca="false">'CEMIUP0.9 Raw'!A721</f>
        <v>113 - Kupat Holim Meuhedet</v>
      </c>
    </row>
    <row r="1800" customFormat="false" ht="15" hidden="false" customHeight="false" outlineLevel="0" collapsed="false">
      <c r="A1800" s="18" t="str">
        <f aca="false">'CEMIUP0.9 Raw'!B910</f>
        <v>4022 רצועת ""פיקה""+כרית</v>
      </c>
      <c r="B1800" s="18" t="str">
        <f aca="false">'CEMIUP0.9 Raw'!C910</f>
        <v>4022 רצועת ""פיקה""+כרית</v>
      </c>
      <c r="C1800" s="18" t="str">
        <f aca="false">'CEMIUP0.9 Raw'!C910</f>
        <v>4022 רצועת ""פיקה""+כרית</v>
      </c>
      <c r="D1800" s="19" t="n">
        <f aca="false">'CEMIUP0.9 Raw'!D910</f>
        <v>0</v>
      </c>
      <c r="E1800" s="19" t="n">
        <f aca="false">'CEMIUP0.9 Raw'!E910</f>
        <v>0</v>
      </c>
      <c r="F1800" s="19" t="n">
        <f aca="false">'CEMIUP0.9 Raw'!F910</f>
        <v>20.2105263157895</v>
      </c>
      <c r="G1800" s="19" t="n">
        <f aca="false">'CEMIUP0.9 Raw'!G910</f>
        <v>1100.16126315789</v>
      </c>
      <c r="H1800" s="18" t="str">
        <f aca="false">'CEMIUP0.9 Raw'!A910</f>
        <v>113 - Kupat Holim Meuhedet</v>
      </c>
    </row>
    <row r="1801" customFormat="false" ht="15" hidden="false" customHeight="false" outlineLevel="0" collapsed="false">
      <c r="A1801" s="18" t="n">
        <f aca="false">'CEMIUP0.9 Raw'!B1108</f>
        <v>4413112</v>
      </c>
      <c r="B1801" s="18" t="str">
        <f aca="false">'CEMIUP0.9 Raw'!C1108</f>
        <v>49  L מגן ירך</v>
      </c>
      <c r="C1801" s="18" t="str">
        <f aca="false">'CEMIUP0.9 Raw'!C1108</f>
        <v>49  L מגן ירך</v>
      </c>
      <c r="D1801" s="19" t="n">
        <f aca="false">'CEMIUP0.9 Raw'!D1108</f>
        <v>25</v>
      </c>
      <c r="E1801" s="19" t="n">
        <f aca="false">'CEMIUP0.9 Raw'!E1108</f>
        <v>691.6</v>
      </c>
      <c r="F1801" s="19" t="n">
        <f aca="false">'CEMIUP0.9 Raw'!F1108</f>
        <v>20.2105263157895</v>
      </c>
      <c r="G1801" s="19" t="n">
        <f aca="false">'CEMIUP0.9 Raw'!G1108</f>
        <v>504.733894736842</v>
      </c>
      <c r="H1801" s="18" t="str">
        <f aca="false">'CEMIUP0.9 Raw'!A1108</f>
        <v>BE (CEMI internal group)</v>
      </c>
    </row>
    <row r="1802" customFormat="false" ht="15" hidden="false" customHeight="false" outlineLevel="0" collapsed="false">
      <c r="A1802" s="18" t="n">
        <f aca="false">'CEMIUP0.9 Raw'!B1198</f>
        <v>4413455</v>
      </c>
      <c r="B1802" s="18" t="str">
        <f aca="false">'CEMIUP0.9 Raw'!C1198</f>
        <v>85K מתלה ליד לילדים</v>
      </c>
      <c r="C1802" s="18" t="str">
        <f aca="false">'CEMIUP0.9 Raw'!C1198</f>
        <v>85K מתלה ליד לילדים</v>
      </c>
      <c r="D1802" s="19" t="n">
        <f aca="false">'CEMIUP0.9 Raw'!D1198</f>
        <v>15</v>
      </c>
      <c r="E1802" s="19" t="n">
        <f aca="false">'CEMIUP0.9 Raw'!E1198</f>
        <v>661.934</v>
      </c>
      <c r="F1802" s="19" t="n">
        <f aca="false">'CEMIUP0.9 Raw'!F1198</f>
        <v>20.2105263157895</v>
      </c>
      <c r="G1802" s="19" t="n">
        <f aca="false">'CEMIUP0.9 Raw'!G1198</f>
        <v>891.876631578947</v>
      </c>
      <c r="H1802" s="18" t="str">
        <f aca="false">'CEMIUP0.9 Raw'!A1198</f>
        <v>BE (CEMI internal group)</v>
      </c>
    </row>
    <row r="1803" customFormat="false" ht="15" hidden="false" customHeight="false" outlineLevel="0" collapsed="false">
      <c r="A1803" s="18" t="n">
        <f aca="false">'CEMIUP0.9 Raw'!B1576</f>
        <v>4413408</v>
      </c>
      <c r="B1803" s="18" t="str">
        <f aca="false">'CEMIUP0.9 Raw'!C1576</f>
        <v>SC95 XLמגן מרפק</v>
      </c>
      <c r="C1803" s="18" t="str">
        <f aca="false">'CEMIUP0.9 Raw'!C1576</f>
        <v>SC95 XLמגן מרפק</v>
      </c>
      <c r="D1803" s="19" t="n">
        <f aca="false">'CEMIUP0.9 Raw'!D1576</f>
        <v>13</v>
      </c>
      <c r="E1803" s="19" t="n">
        <f aca="false">'CEMIUP0.9 Raw'!E1576</f>
        <v>877.877</v>
      </c>
      <c r="F1803" s="19" t="n">
        <f aca="false">'CEMIUP0.9 Raw'!F1576</f>
        <v>20.2105263157895</v>
      </c>
      <c r="G1803" s="19" t="n">
        <f aca="false">'CEMIUP0.9 Raw'!G1576</f>
        <v>1379.94315789474</v>
      </c>
      <c r="H1803" s="18" t="str">
        <f aca="false">'CEMIUP0.9 Raw'!A1576</f>
        <v>Super-Pharm Israel (CEMI internal group)</v>
      </c>
    </row>
    <row r="1804" customFormat="false" ht="15" hidden="false" customHeight="false" outlineLevel="0" collapsed="false">
      <c r="A1804" s="18" t="n">
        <f aca="false">'SALES Raw'!G15</f>
        <v>4408218</v>
      </c>
      <c r="B1804" s="18" t="str">
        <f aca="false">'SALES Raw'!B15</f>
        <v>078 XL</v>
      </c>
      <c r="C1804" s="18" t="str">
        <f aca="false">'SALES Raw'!H15</f>
        <v>078XL חגורת גב +סגירה כפולה</v>
      </c>
      <c r="D1804" s="19" t="n">
        <f aca="false">'SALES Raw'!C15</f>
        <v>6</v>
      </c>
      <c r="E1804" s="19" t="n">
        <f aca="false">'SALES Raw'!D15</f>
        <v>645.81</v>
      </c>
      <c r="F1804" s="19" t="n">
        <f aca="false">'SALES Raw'!E15*$H$4</f>
        <v>20.2105263157895</v>
      </c>
      <c r="G1804" s="19" t="n">
        <f aca="false">'SALES Raw'!F15*$H$4</f>
        <v>3041.29263157895</v>
      </c>
      <c r="H1804" s="18" t="str">
        <f aca="false">'SALES Raw'!A15</f>
        <v>101 - Factory customers</v>
      </c>
    </row>
    <row r="1805" customFormat="false" ht="15" hidden="false" customHeight="false" outlineLevel="0" collapsed="false">
      <c r="A1805" s="18" t="n">
        <f aca="false">'SALES Raw'!G566</f>
        <v>4418001</v>
      </c>
      <c r="B1805" s="18" t="str">
        <f aca="false">'SALES Raw'!B566</f>
        <v>60 M</v>
      </c>
      <c r="C1805" s="18" t="str">
        <f aca="false">'SALES Raw'!H566</f>
        <v>60 M צוארון ספוגי</v>
      </c>
      <c r="D1805" s="19" t="n">
        <f aca="false">'SALES Raw'!C566</f>
        <v>50</v>
      </c>
      <c r="E1805" s="19" t="n">
        <f aca="false">'SALES Raw'!D566</f>
        <v>2481.29</v>
      </c>
      <c r="F1805" s="19" t="n">
        <f aca="false">'SALES Raw'!E566*$H$4</f>
        <v>20.2105263157895</v>
      </c>
      <c r="G1805" s="19" t="n">
        <f aca="false">'SALES Raw'!F566*$H$4</f>
        <v>1003.06105263158</v>
      </c>
      <c r="H1805" s="18" t="str">
        <f aca="false">'SALES Raw'!A566</f>
        <v>102 - Orthopedic institutes</v>
      </c>
    </row>
    <row r="1806" customFormat="false" ht="15" hidden="false" customHeight="false" outlineLevel="0" collapsed="false">
      <c r="A1806" s="18" t="str">
        <f aca="false">'SALES Raw'!G652</f>
        <v/>
      </c>
      <c r="B1806" s="18" t="str">
        <f aca="false">'SALES Raw'!B652</f>
        <v>63 L</v>
      </c>
      <c r="C1806" s="18" t="str">
        <f aca="false">'SALES Raw'!H652</f>
        <v>63 L</v>
      </c>
      <c r="D1806" s="19" t="n">
        <f aca="false">'SALES Raw'!C652</f>
        <v>35</v>
      </c>
      <c r="E1806" s="19" t="n">
        <f aca="false">'SALES Raw'!D652</f>
        <v>1980.07</v>
      </c>
      <c r="F1806" s="19" t="n">
        <f aca="false">'SALES Raw'!E652*$H$4</f>
        <v>20.2105263157895</v>
      </c>
      <c r="G1806" s="19" t="n">
        <f aca="false">'SALES Raw'!F652*$H$4</f>
        <v>1344.20210526316</v>
      </c>
      <c r="H1806" s="18" t="str">
        <f aca="false">'SALES Raw'!A652</f>
        <v>102 - Orthopedic institutes</v>
      </c>
    </row>
    <row r="1807" customFormat="false" ht="15" hidden="false" customHeight="false" outlineLevel="0" collapsed="false">
      <c r="A1807" s="18" t="n">
        <f aca="false">'SALES Raw'!G677</f>
        <v>4408132</v>
      </c>
      <c r="B1807" s="18" t="str">
        <f aca="false">'SALES Raw'!B677</f>
        <v>11EU XXL</v>
      </c>
      <c r="C1807" s="18" t="str">
        <f aca="false">'SALES Raw'!H677</f>
        <v>11EU XXL חגורת בטןלאחר ניתוח</v>
      </c>
      <c r="D1807" s="19" t="n">
        <f aca="false">'SALES Raw'!C677</f>
        <v>39</v>
      </c>
      <c r="E1807" s="19" t="n">
        <f aca="false">'SALES Raw'!D677</f>
        <v>3043.98</v>
      </c>
      <c r="F1807" s="19" t="n">
        <f aca="false">'SALES Raw'!E677*$H$4</f>
        <v>20.2105263157895</v>
      </c>
      <c r="G1807" s="19" t="n">
        <f aca="false">'SALES Raw'!F677*$H$4</f>
        <v>1717.86947368421</v>
      </c>
      <c r="H1807" s="18" t="str">
        <f aca="false">'SALES Raw'!A677</f>
        <v>102 - Orthopedic institutes</v>
      </c>
    </row>
    <row r="1808" customFormat="false" ht="15" hidden="false" customHeight="false" outlineLevel="0" collapsed="false">
      <c r="A1808" s="18" t="n">
        <f aca="false">'SALES Raw'!G679</f>
        <v>4422038</v>
      </c>
      <c r="B1808" s="18" t="str">
        <f aca="false">'SALES Raw'!B679</f>
        <v>SH422 2</v>
      </c>
      <c r="C1808" s="18" t="str">
        <f aca="false">'SALES Raw'!H679</f>
        <v>SH422 2 תומך ברך גנושילד</v>
      </c>
      <c r="D1808" s="19" t="n">
        <f aca="false">'SALES Raw'!C679</f>
        <v>22</v>
      </c>
      <c r="E1808" s="19" t="n">
        <f aca="false">'SALES Raw'!D679</f>
        <v>2640</v>
      </c>
      <c r="F1808" s="19" t="n">
        <f aca="false">'SALES Raw'!E679*$H$4</f>
        <v>20.2105263157895</v>
      </c>
      <c r="G1808" s="19" t="n">
        <f aca="false">'SALES Raw'!F679*$H$4</f>
        <v>2122.11789473684</v>
      </c>
      <c r="H1808" s="18" t="str">
        <f aca="false">'SALES Raw'!A679</f>
        <v>102 - Orthopedic institutes</v>
      </c>
    </row>
    <row r="1809" customFormat="false" ht="15" hidden="false" customHeight="false" outlineLevel="0" collapsed="false">
      <c r="A1809" s="18" t="n">
        <f aca="false">'SALES Raw'!G808</f>
        <v>4413137</v>
      </c>
      <c r="B1809" s="18" t="str">
        <f aca="false">'SALES Raw'!B808</f>
        <v>85 S</v>
      </c>
      <c r="C1809" s="18" t="str">
        <f aca="false">'SALES Raw'!H808</f>
        <v>85 S (מתלה ליד )כיס</v>
      </c>
      <c r="D1809" s="19" t="n">
        <f aca="false">'SALES Raw'!C808</f>
        <v>13</v>
      </c>
      <c r="E1809" s="19" t="n">
        <f aca="false">'SALES Raw'!D808</f>
        <v>637</v>
      </c>
      <c r="F1809" s="19" t="n">
        <f aca="false">'SALES Raw'!E808*$H$4</f>
        <v>20.2105263157895</v>
      </c>
      <c r="G1809" s="19" t="n">
        <f aca="false">'SALES Raw'!F808*$H$4</f>
        <v>990.265263157895</v>
      </c>
      <c r="H1809" s="18" t="str">
        <f aca="false">'SALES Raw'!A808</f>
        <v>102 - Orthopedic institutes</v>
      </c>
    </row>
    <row r="1810" customFormat="false" ht="15" hidden="false" customHeight="false" outlineLevel="0" collapsed="false">
      <c r="A1810" s="18" t="n">
        <f aca="false">'SALES Raw'!G926</f>
        <v>4403040</v>
      </c>
      <c r="B1810" s="18" t="str">
        <f aca="false">'SALES Raw'!B926</f>
        <v>3444B 0</v>
      </c>
      <c r="C1810" s="18" t="str">
        <f aca="false">'SALES Raw'!H926</f>
        <v>3444B גרבי ג'ל לריכוך עור העקב</v>
      </c>
      <c r="D1810" s="19" t="n">
        <f aca="false">'SALES Raw'!C926</f>
        <v>40</v>
      </c>
      <c r="E1810" s="19" t="n">
        <f aca="false">'SALES Raw'!D926</f>
        <v>1455.76</v>
      </c>
      <c r="F1810" s="19" t="n">
        <f aca="false">'SALES Raw'!E926*$H$4</f>
        <v>20.2105263157895</v>
      </c>
      <c r="G1810" s="19" t="n">
        <f aca="false">'SALES Raw'!F926*$H$4</f>
        <v>725.444210526316</v>
      </c>
      <c r="H1810" s="18" t="str">
        <f aca="false">'SALES Raw'!A926</f>
        <v>102 - Orthopedic institutes</v>
      </c>
    </row>
    <row r="1811" customFormat="false" ht="15" hidden="false" customHeight="false" outlineLevel="0" collapsed="false">
      <c r="A1811" s="18" t="str">
        <f aca="false">'SALES Raw'!G1245</f>
        <v/>
      </c>
      <c r="B1811" s="18" t="str">
        <f aca="false">'SALES Raw'!B1245</f>
        <v>808KTP-C</v>
      </c>
      <c r="C1811" s="18" t="str">
        <f aca="false">'SALES Raw'!H1245</f>
        <v>808KTP-C</v>
      </c>
      <c r="D1811" s="19" t="n">
        <f aca="false">'SALES Raw'!C1245</f>
        <v>10</v>
      </c>
      <c r="E1811" s="19" t="n">
        <f aca="false">'SALES Raw'!D1245</f>
        <v>250</v>
      </c>
      <c r="F1811" s="19" t="n">
        <f aca="false">'SALES Raw'!E1245*$H$4</f>
        <v>20.2105263157895</v>
      </c>
      <c r="G1811" s="19" t="n">
        <f aca="false">'SALES Raw'!F1245*$H$4</f>
        <v>600</v>
      </c>
      <c r="H1811" s="18" t="str">
        <f aca="false">'SALES Raw'!A1245</f>
        <v>103 - Physiotherapy institutes</v>
      </c>
    </row>
    <row r="1812" customFormat="false" ht="15" hidden="false" customHeight="false" outlineLevel="0" collapsed="false">
      <c r="A1812" s="18" t="str">
        <f aca="false">'SALES Raw'!G1270</f>
        <v/>
      </c>
      <c r="B1812" s="18" t="str">
        <f aca="false">'SALES Raw'!B1270</f>
        <v>808KTP-BL</v>
      </c>
      <c r="C1812" s="18" t="str">
        <f aca="false">'SALES Raw'!H1270</f>
        <v>808KTP-BL</v>
      </c>
      <c r="D1812" s="19" t="n">
        <f aca="false">'SALES Raw'!C1270</f>
        <v>1</v>
      </c>
      <c r="E1812" s="19" t="n">
        <f aca="false">'SALES Raw'!D1270</f>
        <v>47.23</v>
      </c>
      <c r="F1812" s="19" t="n">
        <f aca="false">'SALES Raw'!E1270*$H$4</f>
        <v>20.2105263157895</v>
      </c>
      <c r="G1812" s="19" t="n">
        <f aca="false">'SALES Raw'!F1270*$H$4</f>
        <v>628.08</v>
      </c>
      <c r="H1812" s="18" t="str">
        <f aca="false">'SALES Raw'!A1270</f>
        <v>103 - Physiotherapy institutes</v>
      </c>
    </row>
    <row r="1813" customFormat="false" ht="15" hidden="false" customHeight="false" outlineLevel="0" collapsed="false">
      <c r="A1813" s="18" t="n">
        <f aca="false">'SALES Raw'!G1659</f>
        <v>4421000</v>
      </c>
      <c r="B1813" s="18" t="str">
        <f aca="false">'SALES Raw'!B1659</f>
        <v>3655 0</v>
      </c>
      <c r="C1813" s="18" t="str">
        <f aca="false">'SALES Raw'!H1659</f>
        <v>3655 שרוול מסיליקון לאצבע</v>
      </c>
      <c r="D1813" s="19" t="n">
        <f aca="false">'SALES Raw'!C1659</f>
        <v>38</v>
      </c>
      <c r="E1813" s="19" t="n">
        <f aca="false">'SALES Raw'!D1659</f>
        <v>849.54</v>
      </c>
      <c r="F1813" s="19" t="n">
        <f aca="false">'SALES Raw'!E1659*$H$4</f>
        <v>20.2105263157895</v>
      </c>
      <c r="G1813" s="19" t="n">
        <f aca="false">'SALES Raw'!F1659*$H$4</f>
        <v>428.437894736842</v>
      </c>
      <c r="H1813" s="18" t="str">
        <f aca="false">'SALES Raw'!A1659</f>
        <v>105 - Pedicure Salons</v>
      </c>
    </row>
    <row r="1814" customFormat="false" ht="15" hidden="false" customHeight="false" outlineLevel="0" collapsed="false">
      <c r="A1814" s="18" t="str">
        <f aca="false">'SALES Raw'!G1970</f>
        <v/>
      </c>
      <c r="B1814" s="18" t="str">
        <f aca="false">'SALES Raw'!B1970</f>
        <v>M93</v>
      </c>
      <c r="C1814" s="18" t="str">
        <f aca="false">'SALES Raw'!H1970</f>
        <v>M93</v>
      </c>
      <c r="D1814" s="19" t="n">
        <f aca="false">'SALES Raw'!C1970</f>
        <v>8</v>
      </c>
      <c r="E1814" s="19" t="n">
        <f aca="false">'SALES Raw'!D1970</f>
        <v>246.75</v>
      </c>
      <c r="F1814" s="19" t="n">
        <f aca="false">'SALES Raw'!E1970*$H$4</f>
        <v>20.2105263157895</v>
      </c>
      <c r="G1814" s="19" t="n">
        <f aca="false">'SALES Raw'!F1970*$H$4</f>
        <v>578.677894736842</v>
      </c>
      <c r="H1814" s="18" t="str">
        <f aca="false">'SALES Raw'!A1970</f>
        <v>109 - Private Shops</v>
      </c>
    </row>
    <row r="1815" customFormat="false" ht="15" hidden="false" customHeight="false" outlineLevel="0" collapsed="false">
      <c r="A1815" s="18" t="n">
        <f aca="false">'SALES Raw'!G2186</f>
        <v>4415163</v>
      </c>
      <c r="B1815" s="18" t="str">
        <f aca="false">'SALES Raw'!B2186</f>
        <v>238 XL</v>
      </c>
      <c r="C1815" s="18" t="str">
        <f aca="false">'SALES Raw'!H2186</f>
        <v>238XL סד ליישור אצבע</v>
      </c>
      <c r="D1815" s="19" t="n">
        <f aca="false">'SALES Raw'!C2186</f>
        <v>10</v>
      </c>
      <c r="E1815" s="19" t="n">
        <f aca="false">'SALES Raw'!D2186</f>
        <v>335.78</v>
      </c>
      <c r="F1815" s="19" t="n">
        <f aca="false">'SALES Raw'!E2186*$H$4</f>
        <v>20.2105263157895</v>
      </c>
      <c r="G1815" s="19" t="n">
        <f aca="false">'SALES Raw'!F2186*$H$4</f>
        <v>725.633684210526</v>
      </c>
      <c r="H1815" s="18" t="str">
        <f aca="false">'SALES Raw'!A2186</f>
        <v>114 - IL online</v>
      </c>
    </row>
    <row r="1816" customFormat="false" ht="15" hidden="false" customHeight="false" outlineLevel="0" collapsed="false">
      <c r="A1816" s="18" t="n">
        <f aca="false">'SALES Raw'!G2226</f>
        <v>4413348</v>
      </c>
      <c r="B1816" s="18" t="str">
        <f aca="false">'SALES Raw'!B2226</f>
        <v>302M 0</v>
      </c>
      <c r="C1816" s="18" t="str">
        <f aca="false">'SALES Raw'!H2226</f>
        <v>302 מדרס ג'ל לגבר</v>
      </c>
      <c r="D1816" s="19" t="n">
        <f aca="false">'SALES Raw'!C2226</f>
        <v>13</v>
      </c>
      <c r="E1816" s="19" t="n">
        <f aca="false">'SALES Raw'!D2226</f>
        <v>1570.5</v>
      </c>
      <c r="F1816" s="19" t="n">
        <f aca="false">'SALES Raw'!E2226*$H$4</f>
        <v>20.2105263157895</v>
      </c>
      <c r="G1816" s="19" t="n">
        <f aca="false">'SALES Raw'!F2226*$H$4</f>
        <v>2455.32631578947</v>
      </c>
      <c r="H1816" s="18" t="str">
        <f aca="false">'SALES Raw'!A2226</f>
        <v>114 - IL online</v>
      </c>
    </row>
    <row r="1817" customFormat="false" ht="15" hidden="false" customHeight="false" outlineLevel="0" collapsed="false">
      <c r="A1817" s="18" t="str">
        <f aca="false">'SALES Raw'!G2237</f>
        <v/>
      </c>
      <c r="B1817" s="18" t="str">
        <f aca="false">'SALES Raw'!B2237</f>
        <v>305-43-44</v>
      </c>
      <c r="C1817" s="18" t="str">
        <f aca="false">'SALES Raw'!H2237</f>
        <v>305-43-44</v>
      </c>
      <c r="D1817" s="19" t="n">
        <f aca="false">'SALES Raw'!C2237</f>
        <v>0</v>
      </c>
      <c r="E1817" s="19" t="n">
        <f aca="false">'SALES Raw'!D2237</f>
        <v>0</v>
      </c>
      <c r="F1817" s="19" t="n">
        <f aca="false">'SALES Raw'!E2237*$H$4</f>
        <v>20.2105263157895</v>
      </c>
      <c r="G1817" s="19" t="n">
        <f aca="false">'SALES Raw'!F2237*$H$4</f>
        <v>3188.41263157895</v>
      </c>
      <c r="H1817" s="18" t="str">
        <f aca="false">'SALES Raw'!A2237</f>
        <v>114 - IL online</v>
      </c>
    </row>
    <row r="1818" customFormat="false" ht="15" hidden="false" customHeight="false" outlineLevel="0" collapsed="false">
      <c r="A1818" s="18" t="n">
        <f aca="false">'SALES Raw'!G2309</f>
        <v>4413063</v>
      </c>
      <c r="B1818" s="18" t="str">
        <f aca="false">'SALES Raw'!B2309</f>
        <v>366S 0</v>
      </c>
      <c r="C1818" s="18" t="str">
        <f aca="false">'SALES Raw'!H2309</f>
        <v>366S-'מדבק.לשחרור לחץ מיבלת2יח</v>
      </c>
      <c r="D1818" s="19" t="n">
        <f aca="false">'SALES Raw'!C2309</f>
        <v>5</v>
      </c>
      <c r="E1818" s="19" t="n">
        <f aca="false">'SALES Raw'!D2309</f>
        <v>152.1</v>
      </c>
      <c r="F1818" s="19" t="n">
        <f aca="false">'SALES Raw'!E2309*$H$4</f>
        <v>20.2105263157895</v>
      </c>
      <c r="G1818" s="19" t="n">
        <f aca="false">'SALES Raw'!F2309*$H$4</f>
        <v>593.709473684211</v>
      </c>
      <c r="H1818" s="18" t="str">
        <f aca="false">'SALES Raw'!A2309</f>
        <v>114 - IL online</v>
      </c>
    </row>
    <row r="1819" customFormat="false" ht="15" hidden="false" customHeight="false" outlineLevel="0" collapsed="false">
      <c r="A1819" s="18" t="str">
        <f aca="false">'SALES Raw'!G2480</f>
        <v/>
      </c>
      <c r="B1819" s="18" t="str">
        <f aca="false">'SALES Raw'!B2480</f>
        <v>60B M</v>
      </c>
      <c r="C1819" s="18" t="str">
        <f aca="false">'SALES Raw'!H2480</f>
        <v>60B M</v>
      </c>
      <c r="D1819" s="19" t="n">
        <f aca="false">'SALES Raw'!C2480</f>
        <v>7</v>
      </c>
      <c r="E1819" s="19" t="n">
        <f aca="false">'SALES Raw'!D2480</f>
        <v>569.92</v>
      </c>
      <c r="F1819" s="19" t="n">
        <f aca="false">'SALES Raw'!E2480*$H$4</f>
        <v>20.2105263157895</v>
      </c>
      <c r="G1819" s="19" t="n">
        <f aca="false">'SALES Raw'!F2480*$H$4</f>
        <v>1779.78947368421</v>
      </c>
      <c r="H1819" s="18" t="str">
        <f aca="false">'SALES Raw'!A2480</f>
        <v>114 - IL online</v>
      </c>
    </row>
    <row r="1820" customFormat="false" ht="15" hidden="false" customHeight="false" outlineLevel="0" collapsed="false">
      <c r="A1820" s="18" t="n">
        <f aca="false">'SALES Raw'!G2549</f>
        <v>4413517</v>
      </c>
      <c r="B1820" s="18" t="str">
        <f aca="false">'SALES Raw'!B2549</f>
        <v>85B M</v>
      </c>
      <c r="C1820" s="18" t="str">
        <f aca="false">'SALES Raw'!H2549</f>
        <v>85B M מתלה רשת לזרוע שחור</v>
      </c>
      <c r="D1820" s="19" t="n">
        <f aca="false">'SALES Raw'!C2549</f>
        <v>5</v>
      </c>
      <c r="E1820" s="19" t="n">
        <f aca="false">'SALES Raw'!D2549</f>
        <v>512.3</v>
      </c>
      <c r="F1820" s="19" t="n">
        <f aca="false">'SALES Raw'!E2549*$H$4</f>
        <v>20.2105263157895</v>
      </c>
      <c r="G1820" s="19" t="n">
        <f aca="false">'SALES Raw'!F2549*$H$4</f>
        <v>2044.87578947368</v>
      </c>
      <c r="H1820" s="18" t="str">
        <f aca="false">'SALES Raw'!A2549</f>
        <v>114 - IL online</v>
      </c>
    </row>
    <row r="1821" customFormat="false" ht="15" hidden="false" customHeight="false" outlineLevel="0" collapsed="false">
      <c r="A1821" s="18" t="n">
        <f aca="false">'SALES Raw'!G2640</f>
        <v>4401002</v>
      </c>
      <c r="B1821" s="18" t="str">
        <f aca="false">'SALES Raw'!B2640</f>
        <v>PD344 0</v>
      </c>
      <c r="C1821" s="18" t="str">
        <f aca="false">'SALES Raw'!H2640</f>
        <v>PD 344-אבן טבעית להסרת עור קשה</v>
      </c>
      <c r="D1821" s="19" t="n">
        <f aca="false">'SALES Raw'!C2640</f>
        <v>8</v>
      </c>
      <c r="E1821" s="19" t="n">
        <f aca="false">'SALES Raw'!D2640</f>
        <v>110.56</v>
      </c>
      <c r="F1821" s="19" t="n">
        <f aca="false">'SALES Raw'!E2640*$H$4</f>
        <v>20.2105263157895</v>
      </c>
      <c r="G1821" s="19" t="n">
        <f aca="false">'SALES Raw'!F2640*$H$4</f>
        <v>307.604210526316</v>
      </c>
      <c r="H1821" s="18" t="str">
        <f aca="false">'SALES Raw'!A2640</f>
        <v>114 - IL online</v>
      </c>
    </row>
    <row r="1822" customFormat="false" ht="15" hidden="false" customHeight="false" outlineLevel="0" collapsed="false">
      <c r="A1822" s="18" t="n">
        <f aca="false">'SALES Raw'!G2823</f>
        <v>4408207</v>
      </c>
      <c r="B1822" s="18" t="str">
        <f aca="false">'SALES Raw'!B2823</f>
        <v>AC25 0</v>
      </c>
      <c r="C1822" s="18" t="str">
        <f aca="false">'SALES Raw'!H2823</f>
        <v>AC-25 חבק לשורש כף היד</v>
      </c>
      <c r="D1822" s="19" t="n">
        <f aca="false">'SALES Raw'!C2823</f>
        <v>37</v>
      </c>
      <c r="E1822" s="19" t="n">
        <f aca="false">'SALES Raw'!D2823</f>
        <v>2350.84</v>
      </c>
      <c r="F1822" s="19" t="n">
        <f aca="false">'SALES Raw'!E2823*$H$4</f>
        <v>20.2105263157895</v>
      </c>
      <c r="G1822" s="19" t="n">
        <f aca="false">'SALES Raw'!F2823*$H$4</f>
        <v>1368.45473684211</v>
      </c>
      <c r="H1822" s="18" t="str">
        <f aca="false">'SALES Raw'!A2823</f>
        <v>115-SuperPharm Online</v>
      </c>
    </row>
    <row r="1823" customFormat="false" ht="15" hidden="false" customHeight="false" outlineLevel="0" collapsed="false">
      <c r="A1823" s="18" t="str">
        <f aca="false">'SALES Raw'!G3102</f>
        <v/>
      </c>
      <c r="B1823" s="18" t="str">
        <f aca="false">'SALES Raw'!B3102</f>
        <v>62FC XS</v>
      </c>
      <c r="C1823" s="18" t="str">
        <f aca="false">'SALES Raw'!H3102</f>
        <v>62FC XS</v>
      </c>
      <c r="D1823" s="19" t="n">
        <f aca="false">'SALES Raw'!C3102</f>
        <v>0</v>
      </c>
      <c r="E1823" s="19" t="n">
        <f aca="false">'SALES Raw'!D3102</f>
        <v>0</v>
      </c>
      <c r="F1823" s="19" t="n">
        <f aca="false">'SALES Raw'!E3102*$H$4</f>
        <v>20.2105263157895</v>
      </c>
      <c r="G1823" s="19" t="n">
        <f aca="false">'SALES Raw'!F3102*$H$4</f>
        <v>506.614736842105</v>
      </c>
      <c r="H1823" s="18" t="str">
        <f aca="false">'SALES Raw'!A3102</f>
        <v>203 - Ortho- Partner ag SWITZERLAND</v>
      </c>
    </row>
    <row r="1824" customFormat="false" ht="15" hidden="false" customHeight="false" outlineLevel="0" collapsed="false">
      <c r="A1824" s="18" t="n">
        <f aca="false">'SALES Raw'!G3160</f>
        <v>4408054</v>
      </c>
      <c r="B1824" s="18" t="str">
        <f aca="false">'SALES Raw'!B3160</f>
        <v>21 XL</v>
      </c>
      <c r="C1824" s="18" t="str">
        <f aca="false">'SALES Raw'!H3160</f>
        <v>21 XL חבק יד ארוך</v>
      </c>
      <c r="D1824" s="19" t="n">
        <f aca="false">'SALES Raw'!C3160</f>
        <v>30</v>
      </c>
      <c r="E1824" s="19" t="n">
        <f aca="false">'SALES Raw'!D3160</f>
        <v>478.33</v>
      </c>
      <c r="F1824" s="19" t="n">
        <f aca="false">'SALES Raw'!E3160*$H$4</f>
        <v>20.2105263157895</v>
      </c>
      <c r="G1824" s="19" t="n">
        <f aca="false">'SALES Raw'!F3160*$H$4</f>
        <v>302.286315789474</v>
      </c>
      <c r="H1824" s="18" t="str">
        <f aca="false">'SALES Raw'!A3160</f>
        <v>204 - Sanaflex Anatomic GREECE</v>
      </c>
    </row>
    <row r="1825" customFormat="false" ht="15" hidden="false" customHeight="false" outlineLevel="0" collapsed="false">
      <c r="A1825" s="18" t="n">
        <f aca="false">'SALES Raw'!G3174</f>
        <v>4415002</v>
      </c>
      <c r="B1825" s="18" t="str">
        <f aca="false">'SALES Raw'!B3174</f>
        <v>26 S</v>
      </c>
      <c r="C1825" s="18" t="str">
        <f aca="false">'SALES Raw'!H3174</f>
        <v>26 S סד ליד דו צדדי לאחר שבר</v>
      </c>
      <c r="D1825" s="19" t="n">
        <f aca="false">'SALES Raw'!C3174</f>
        <v>34</v>
      </c>
      <c r="E1825" s="19" t="n">
        <f aca="false">'SALES Raw'!D3174</f>
        <v>1463.36</v>
      </c>
      <c r="F1825" s="19" t="n">
        <f aca="false">'SALES Raw'!E3174*$H$4</f>
        <v>20.2105263157895</v>
      </c>
      <c r="G1825" s="19" t="n">
        <f aca="false">'SALES Raw'!F3174*$H$4</f>
        <v>803.722105263158</v>
      </c>
      <c r="H1825" s="18" t="str">
        <f aca="false">'SALES Raw'!A3174</f>
        <v>204 - Sanaflex Anatomic GREECE</v>
      </c>
    </row>
    <row r="1826" customFormat="false" ht="15" hidden="false" customHeight="false" outlineLevel="0" collapsed="false">
      <c r="A1826" s="18" t="n">
        <f aca="false">'SALES Raw'!G3243</f>
        <v>4403001</v>
      </c>
      <c r="B1826" s="18" t="str">
        <f aca="false">'SALES Raw'!B3243</f>
        <v>390B-39-42</v>
      </c>
      <c r="C1826" s="18" t="str">
        <f aca="false">'SALES Raw'!H3243</f>
        <v>390B 39-42.גרב.כסף לסכרתיים שח</v>
      </c>
      <c r="D1826" s="19" t="n">
        <f aca="false">'SALES Raw'!C3243</f>
        <v>10</v>
      </c>
      <c r="E1826" s="19" t="n">
        <f aca="false">'SALES Raw'!D3243</f>
        <v>213.16</v>
      </c>
      <c r="F1826" s="19" t="n">
        <f aca="false">'SALES Raw'!E3243*$H$4</f>
        <v>20.2105263157895</v>
      </c>
      <c r="G1826" s="19" t="n">
        <f aca="false">'SALES Raw'!F3243*$H$4</f>
        <v>397.402105263158</v>
      </c>
      <c r="H1826" s="18" t="str">
        <f aca="false">'SALES Raw'!A3243</f>
        <v>204 - Sanaflex Anatomic GREECE</v>
      </c>
    </row>
    <row r="1827" customFormat="false" ht="15" hidden="false" customHeight="false" outlineLevel="0" collapsed="false">
      <c r="A1827" s="18" t="n">
        <f aca="false">'SALES Raw'!G3244</f>
        <v>4403002</v>
      </c>
      <c r="B1827" s="18" t="str">
        <f aca="false">'SALES Raw'!B3244</f>
        <v>390B-43-46</v>
      </c>
      <c r="C1827" s="18" t="str">
        <f aca="false">'SALES Raw'!H3244</f>
        <v>390B 43-46.גרב.כסף לסכרתיים שח</v>
      </c>
      <c r="D1827" s="19" t="n">
        <f aca="false">'SALES Raw'!C3244</f>
        <v>45</v>
      </c>
      <c r="E1827" s="19" t="n">
        <f aca="false">'SALES Raw'!D3244</f>
        <v>982.73</v>
      </c>
      <c r="F1827" s="19" t="n">
        <f aca="false">'SALES Raw'!E3244*$H$4</f>
        <v>20.2105263157895</v>
      </c>
      <c r="G1827" s="19" t="n">
        <f aca="false">'SALES Raw'!F3244*$H$4</f>
        <v>414.012631578947</v>
      </c>
      <c r="H1827" s="18" t="str">
        <f aca="false">'SALES Raw'!A3244</f>
        <v>204 - Sanaflex Anatomic GREECE</v>
      </c>
    </row>
    <row r="1828" customFormat="false" ht="15" hidden="false" customHeight="false" outlineLevel="0" collapsed="false">
      <c r="A1828" s="18" t="n">
        <f aca="false">'SALES Raw'!G3254</f>
        <v>4413092</v>
      </c>
      <c r="B1828" s="18" t="str">
        <f aca="false">'SALES Raw'!B3254</f>
        <v>45 L</v>
      </c>
      <c r="C1828" s="18" t="str">
        <f aca="false">'SALES Raw'!H3254</f>
        <v>45 L מגן ברך לבן</v>
      </c>
      <c r="D1828" s="19" t="n">
        <f aca="false">'SALES Raw'!C3254</f>
        <v>26</v>
      </c>
      <c r="E1828" s="19" t="n">
        <f aca="false">'SALES Raw'!D3254</f>
        <v>268.92</v>
      </c>
      <c r="F1828" s="19" t="n">
        <f aca="false">'SALES Raw'!E3254*$H$4</f>
        <v>20.2105263157895</v>
      </c>
      <c r="G1828" s="19" t="n">
        <f aca="false">'SALES Raw'!F3254*$H$4</f>
        <v>191.115789473684</v>
      </c>
      <c r="H1828" s="18" t="str">
        <f aca="false">'SALES Raw'!A3254</f>
        <v>204 - Sanaflex Anatomic GREECE</v>
      </c>
    </row>
    <row r="1829" customFormat="false" ht="15" hidden="false" customHeight="false" outlineLevel="0" collapsed="false">
      <c r="A1829" s="18" t="n">
        <f aca="false">'SALES Raw'!G3276</f>
        <v>4418000</v>
      </c>
      <c r="B1829" s="18" t="str">
        <f aca="false">'SALES Raw'!B3276</f>
        <v>60 L</v>
      </c>
      <c r="C1829" s="18" t="str">
        <f aca="false">'SALES Raw'!H3276</f>
        <v>60 L צוארון ספוגי</v>
      </c>
      <c r="D1829" s="19" t="n">
        <f aca="false">'SALES Raw'!C3276</f>
        <v>37</v>
      </c>
      <c r="E1829" s="19" t="n">
        <f aca="false">'SALES Raw'!D3276</f>
        <v>844.36</v>
      </c>
      <c r="F1829" s="19" t="n">
        <f aca="false">'SALES Raw'!E3276*$H$4</f>
        <v>20.2105263157895</v>
      </c>
      <c r="G1829" s="19" t="n">
        <f aca="false">'SALES Raw'!F3276*$H$4</f>
        <v>405.751578947368</v>
      </c>
      <c r="H1829" s="18" t="str">
        <f aca="false">'SALES Raw'!A3276</f>
        <v>204 - Sanaflex Anatomic GREECE</v>
      </c>
    </row>
    <row r="1830" customFormat="false" ht="15" hidden="false" customHeight="false" outlineLevel="0" collapsed="false">
      <c r="A1830" s="18" t="n">
        <f aca="false">'SALES Raw'!G3311</f>
        <v>4413503</v>
      </c>
      <c r="B1830" s="18" t="str">
        <f aca="false">'SALES Raw'!B3311</f>
        <v>95B XL</v>
      </c>
      <c r="C1830" s="18" t="str">
        <f aca="false">'SALES Raw'!H3311</f>
        <v>95B XL מגן מרפק שחור</v>
      </c>
      <c r="D1830" s="19" t="n">
        <f aca="false">'SALES Raw'!C3311</f>
        <v>56</v>
      </c>
      <c r="E1830" s="19" t="n">
        <f aca="false">'SALES Raw'!D3311</f>
        <v>616.21</v>
      </c>
      <c r="F1830" s="19" t="n">
        <f aca="false">'SALES Raw'!E3311*$H$4</f>
        <v>20.2105263157895</v>
      </c>
      <c r="G1830" s="19" t="n">
        <f aca="false">'SALES Raw'!F3311*$H$4</f>
        <v>200.538947368421</v>
      </c>
      <c r="H1830" s="18" t="str">
        <f aca="false">'SALES Raw'!A3311</f>
        <v>204 - Sanaflex Anatomic GREECE</v>
      </c>
    </row>
    <row r="1831" customFormat="false" ht="15" hidden="false" customHeight="false" outlineLevel="0" collapsed="false">
      <c r="A1831" s="18" t="n">
        <f aca="false">'SALES Raw'!G4230</f>
        <v>4421007</v>
      </c>
      <c r="B1831" s="18" t="str">
        <f aca="false">'SALES Raw'!B4230</f>
        <v>350 0</v>
      </c>
      <c r="C1831" s="18" t="str">
        <f aca="false">'SALES Raw'!H4230</f>
        <v>שרוול לגבס קצר רגל</v>
      </c>
      <c r="D1831" s="19" t="n">
        <f aca="false">'SALES Raw'!C4230</f>
        <v>10</v>
      </c>
      <c r="E1831" s="19" t="n">
        <f aca="false">'SALES Raw'!D4230</f>
        <v>269.74</v>
      </c>
      <c r="F1831" s="19" t="n">
        <f aca="false">'SALES Raw'!E4230*$H$4</f>
        <v>20.2105263157895</v>
      </c>
      <c r="G1831" s="19" t="n">
        <f aca="false">'SALES Raw'!F4230*$H$4</f>
        <v>491.115789473684</v>
      </c>
      <c r="H1831" s="18" t="str">
        <f aca="false">'SALES Raw'!A4230</f>
        <v>216 - Max Konnaris CYPRUS</v>
      </c>
    </row>
    <row r="1832" customFormat="false" ht="15" hidden="false" customHeight="false" outlineLevel="0" collapsed="false">
      <c r="A1832" s="18" t="n">
        <f aca="false">'SALES Raw'!G4282</f>
        <v>4413098</v>
      </c>
      <c r="B1832" s="18" t="str">
        <f aca="false">'SALES Raw'!B4282</f>
        <v>45C L</v>
      </c>
      <c r="C1832" s="18" t="str">
        <f aca="false">'SALES Raw'!H4282</f>
        <v>45C L מגן ברך חום</v>
      </c>
      <c r="D1832" s="19" t="n">
        <f aca="false">'SALES Raw'!C4282</f>
        <v>0</v>
      </c>
      <c r="E1832" s="19" t="n">
        <f aca="false">'SALES Raw'!D4282</f>
        <v>0</v>
      </c>
      <c r="F1832" s="19" t="n">
        <f aca="false">'SALES Raw'!E4282*$H$4</f>
        <v>20.2105263157895</v>
      </c>
      <c r="G1832" s="19" t="n">
        <f aca="false">'SALES Raw'!F4282*$H$4</f>
        <v>209.671578947368</v>
      </c>
      <c r="H1832" s="18" t="str">
        <f aca="false">'SALES Raw'!A4282</f>
        <v>216 - Max Konnaris CYPRUS</v>
      </c>
    </row>
    <row r="1833" customFormat="false" ht="15" hidden="false" customHeight="false" outlineLevel="0" collapsed="false">
      <c r="A1833" s="18" t="n">
        <f aca="false">'SALES Raw'!G4288</f>
        <v>4413395</v>
      </c>
      <c r="B1833" s="18" t="str">
        <f aca="false">'SALES Raw'!B4288</f>
        <v>45EC M</v>
      </c>
      <c r="C1833" s="18" t="str">
        <f aca="false">'SALES Raw'!H4288</f>
        <v>45EC M 'מגן ברך ארוך בז</v>
      </c>
      <c r="D1833" s="19" t="n">
        <f aca="false">'SALES Raw'!C4288</f>
        <v>10</v>
      </c>
      <c r="E1833" s="19" t="n">
        <f aca="false">'SALES Raw'!D4288</f>
        <v>126.59</v>
      </c>
      <c r="F1833" s="19" t="n">
        <f aca="false">'SALES Raw'!E4288*$H$4</f>
        <v>20.2105263157895</v>
      </c>
      <c r="G1833" s="19" t="n">
        <f aca="false">'SALES Raw'!F4288*$H$4</f>
        <v>235.136842105263</v>
      </c>
      <c r="H1833" s="18" t="str">
        <f aca="false">'SALES Raw'!A4288</f>
        <v>216 - Max Konnaris CYPRUS</v>
      </c>
    </row>
    <row r="1834" customFormat="false" ht="15" hidden="false" customHeight="false" outlineLevel="0" collapsed="false">
      <c r="A1834" s="18" t="n">
        <f aca="false">'SALES Raw'!G4322</f>
        <v>4413136</v>
      </c>
      <c r="B1834" s="18" t="str">
        <f aca="false">'SALES Raw'!B4322</f>
        <v>85 M</v>
      </c>
      <c r="C1834" s="18" t="str">
        <f aca="false">'SALES Raw'!H4322</f>
        <v>85 M (מתלה ליד )כיס</v>
      </c>
      <c r="D1834" s="19" t="n">
        <f aca="false">'SALES Raw'!C4322</f>
        <v>20</v>
      </c>
      <c r="E1834" s="19" t="n">
        <f aca="false">'SALES Raw'!D4322</f>
        <v>423.2</v>
      </c>
      <c r="F1834" s="19" t="n">
        <f aca="false">'SALES Raw'!E4322*$H$4</f>
        <v>20.2105263157895</v>
      </c>
      <c r="G1834" s="19" t="n">
        <f aca="false">'SALES Raw'!F4322*$H$4</f>
        <v>380.437894736842</v>
      </c>
      <c r="H1834" s="18" t="str">
        <f aca="false">'SALES Raw'!A4322</f>
        <v>216 - Max Konnaris CYPRUS</v>
      </c>
    </row>
    <row r="1835" customFormat="false" ht="15" hidden="false" customHeight="false" outlineLevel="0" collapsed="false">
      <c r="A1835" s="18" t="n">
        <f aca="false">'SALES Raw'!G107</f>
        <v>4413060</v>
      </c>
      <c r="B1835" s="18" t="str">
        <f aca="false">'SALES Raw'!B107</f>
        <v>364 XL</v>
      </c>
      <c r="C1835" s="18" t="str">
        <f aca="false">'SALES Raw'!H107</f>
        <v>364 XLמפריד אצבע סיליקון ליבלת</v>
      </c>
      <c r="D1835" s="19" t="n">
        <f aca="false">'SALES Raw'!C107</f>
        <v>3</v>
      </c>
      <c r="E1835" s="19" t="n">
        <f aca="false">'SALES Raw'!D107</f>
        <v>42.41</v>
      </c>
      <c r="F1835" s="19" t="n">
        <f aca="false">'SALES Raw'!E107*$H$4</f>
        <v>18.9473684210526</v>
      </c>
      <c r="G1835" s="19" t="n">
        <f aca="false">'SALES Raw'!F107*$H$4</f>
        <v>274.395789473684</v>
      </c>
      <c r="H1835" s="18" t="str">
        <f aca="false">'SALES Raw'!A107</f>
        <v>101 - Factory customers</v>
      </c>
    </row>
    <row r="1836" customFormat="false" ht="15" hidden="false" customHeight="false" outlineLevel="0" collapsed="false">
      <c r="A1836" s="18" t="n">
        <f aca="false">'SALES Raw'!G119</f>
        <v>4420000</v>
      </c>
      <c r="B1836" s="18" t="str">
        <f aca="false">'SALES Raw'!B119</f>
        <v>370 0</v>
      </c>
      <c r="C1836" s="18" t="str">
        <f aca="false">'SALES Raw'!H119</f>
        <v>370  רפידת נוחות-זוג</v>
      </c>
      <c r="D1836" s="19" t="n">
        <f aca="false">'SALES Raw'!C119</f>
        <v>13</v>
      </c>
      <c r="E1836" s="19" t="n">
        <f aca="false">'SALES Raw'!D119</f>
        <v>148.77</v>
      </c>
      <c r="F1836" s="19" t="n">
        <f aca="false">'SALES Raw'!E119*$H$4</f>
        <v>18.9473684210526</v>
      </c>
      <c r="G1836" s="19" t="n">
        <f aca="false">'SALES Raw'!F119*$H$4</f>
        <v>218.147368421053</v>
      </c>
      <c r="H1836" s="18" t="str">
        <f aca="false">'SALES Raw'!A119</f>
        <v>101 - Factory customers</v>
      </c>
    </row>
    <row r="1837" customFormat="false" ht="15" hidden="false" customHeight="false" outlineLevel="0" collapsed="false">
      <c r="A1837" s="18" t="n">
        <f aca="false">'SALES Raw'!G408</f>
        <v>4408190</v>
      </c>
      <c r="B1837" s="18" t="str">
        <f aca="false">'SALES Raw'!B408</f>
        <v>078 M</v>
      </c>
      <c r="C1837" s="18" t="str">
        <f aca="false">'SALES Raw'!H408</f>
        <v>M078 חגורת גב +סגירה כפולה</v>
      </c>
      <c r="D1837" s="19" t="n">
        <f aca="false">'SALES Raw'!C408</f>
        <v>3</v>
      </c>
      <c r="E1837" s="19" t="n">
        <f aca="false">'SALES Raw'!D408</f>
        <v>315</v>
      </c>
      <c r="F1837" s="19" t="n">
        <f aca="false">'SALES Raw'!E408*$H$4</f>
        <v>18.9473684210526</v>
      </c>
      <c r="G1837" s="19" t="n">
        <f aca="false">'SALES Raw'!F408*$H$4</f>
        <v>2690.60210526316</v>
      </c>
      <c r="H1837" s="18" t="str">
        <f aca="false">'SALES Raw'!A408</f>
        <v>101 - Factory customers</v>
      </c>
    </row>
    <row r="1838" customFormat="false" ht="15" hidden="false" customHeight="false" outlineLevel="0" collapsed="false">
      <c r="A1838" s="18" t="str">
        <f aca="false">'SALES Raw'!G451</f>
        <v/>
      </c>
      <c r="B1838" s="18" t="str">
        <f aca="false">'SALES Raw'!B451</f>
        <v>67800020</v>
      </c>
      <c r="C1838" s="18" t="str">
        <f aca="false">'SALES Raw'!H451</f>
        <v>67800020</v>
      </c>
      <c r="D1838" s="19" t="n">
        <f aca="false">'SALES Raw'!C451</f>
        <v>40</v>
      </c>
      <c r="E1838" s="19" t="n">
        <f aca="false">'SALES Raw'!D451</f>
        <v>0.23</v>
      </c>
      <c r="F1838" s="19" t="n">
        <f aca="false">'SALES Raw'!E451*$H$4</f>
        <v>18.9473684210526</v>
      </c>
      <c r="G1838" s="19" t="n">
        <f aca="false">'SALES Raw'!F451*$H$4</f>
        <v>0.189473684210526</v>
      </c>
      <c r="H1838" s="18" t="str">
        <f aca="false">'SALES Raw'!A451</f>
        <v>101 - Factory customers</v>
      </c>
    </row>
    <row r="1839" customFormat="false" ht="15" hidden="false" customHeight="false" outlineLevel="0" collapsed="false">
      <c r="A1839" s="18" t="n">
        <f aca="false">'SALES Raw'!G560</f>
        <v>4408071</v>
      </c>
      <c r="B1839" s="18" t="str">
        <f aca="false">'SALES Raw'!B560</f>
        <v>59D L</v>
      </c>
      <c r="C1839" s="18" t="str">
        <f aca="false">'SALES Raw'!H560</f>
        <v>59D L חגורת שבר דו צדדי</v>
      </c>
      <c r="D1839" s="19" t="n">
        <f aca="false">'SALES Raw'!C560</f>
        <v>30</v>
      </c>
      <c r="E1839" s="19" t="n">
        <f aca="false">'SALES Raw'!D560</f>
        <v>5221.71</v>
      </c>
      <c r="F1839" s="19" t="n">
        <f aca="false">'SALES Raw'!E560*$H$4</f>
        <v>18.9473684210526</v>
      </c>
      <c r="G1839" s="19" t="n">
        <f aca="false">'SALES Raw'!F560*$H$4</f>
        <v>3382.69894736842</v>
      </c>
      <c r="H1839" s="18" t="str">
        <f aca="false">'SALES Raw'!A560</f>
        <v>102 - Orthopedic institutes</v>
      </c>
    </row>
    <row r="1840" customFormat="false" ht="15" hidden="false" customHeight="false" outlineLevel="0" collapsed="false">
      <c r="A1840" s="18" t="n">
        <f aca="false">'SALES Raw'!G585</f>
        <v>4408264</v>
      </c>
      <c r="B1840" s="18" t="str">
        <f aca="false">'SALES Raw'!B585</f>
        <v>T25B 0</v>
      </c>
      <c r="C1840" s="18" t="str">
        <f aca="false">'SALES Raw'!H585</f>
        <v>T25B   חבק יד אגודלי</v>
      </c>
      <c r="D1840" s="19" t="n">
        <f aca="false">'SALES Raw'!C585</f>
        <v>50</v>
      </c>
      <c r="E1840" s="19" t="n">
        <f aca="false">'SALES Raw'!D585</f>
        <v>2043.02</v>
      </c>
      <c r="F1840" s="19" t="n">
        <f aca="false">'SALES Raw'!E585*$H$4</f>
        <v>18.9473684210526</v>
      </c>
      <c r="G1840" s="19" t="n">
        <f aca="false">'SALES Raw'!F585*$H$4</f>
        <v>887.153684210526</v>
      </c>
      <c r="H1840" s="18" t="str">
        <f aca="false">'SALES Raw'!A585</f>
        <v>102 - Orthopedic institutes</v>
      </c>
    </row>
    <row r="1841" customFormat="false" ht="15" hidden="false" customHeight="false" outlineLevel="0" collapsed="false">
      <c r="A1841" s="18" t="str">
        <f aca="false">'SALES Raw'!G1020</f>
        <v/>
      </c>
      <c r="B1841" s="18" t="str">
        <f aca="false">'SALES Raw'!B1020</f>
        <v>84-S-M</v>
      </c>
      <c r="C1841" s="18" t="str">
        <f aca="false">'SALES Raw'!H1020</f>
        <v>84-S-M</v>
      </c>
      <c r="D1841" s="19" t="n">
        <f aca="false">'SALES Raw'!C1020</f>
        <v>15</v>
      </c>
      <c r="E1841" s="19" t="n">
        <f aca="false">'SALES Raw'!D1020</f>
        <v>2108.61</v>
      </c>
      <c r="F1841" s="19" t="n">
        <f aca="false">'SALES Raw'!E1020*$H$4</f>
        <v>18.9473684210526</v>
      </c>
      <c r="G1841" s="19" t="n">
        <f aca="false">'SALES Raw'!F1020*$H$4</f>
        <v>2663.48210526316</v>
      </c>
      <c r="H1841" s="18" t="str">
        <f aca="false">'SALES Raw'!A1020</f>
        <v>102 - Orthopedic institutes</v>
      </c>
    </row>
    <row r="1842" customFormat="false" ht="15" hidden="false" customHeight="false" outlineLevel="0" collapsed="false">
      <c r="A1842" s="18" t="str">
        <f aca="false">'SALES Raw'!G1269</f>
        <v/>
      </c>
      <c r="B1842" s="18" t="str">
        <f aca="false">'SALES Raw'!B1269</f>
        <v>808KTP-B</v>
      </c>
      <c r="C1842" s="18" t="str">
        <f aca="false">'SALES Raw'!H1269</f>
        <v>808KTP-B</v>
      </c>
      <c r="D1842" s="19" t="n">
        <f aca="false">'SALES Raw'!C1269</f>
        <v>1</v>
      </c>
      <c r="E1842" s="19" t="n">
        <f aca="false">'SALES Raw'!D1269</f>
        <v>47.23</v>
      </c>
      <c r="F1842" s="19" t="n">
        <f aca="false">'SALES Raw'!E1269*$H$4</f>
        <v>18.9473684210526</v>
      </c>
      <c r="G1842" s="19" t="n">
        <f aca="false">'SALES Raw'!F1269*$H$4</f>
        <v>568.421052631579</v>
      </c>
      <c r="H1842" s="18" t="str">
        <f aca="false">'SALES Raw'!A1269</f>
        <v>103 - Physiotherapy institutes</v>
      </c>
    </row>
    <row r="1843" customFormat="false" ht="15" hidden="false" customHeight="false" outlineLevel="0" collapsed="false">
      <c r="A1843" s="18" t="str">
        <f aca="false">'SALES Raw'!G1564</f>
        <v/>
      </c>
      <c r="B1843" s="18" t="str">
        <f aca="false">'SALES Raw'!B1564</f>
        <v>60B L</v>
      </c>
      <c r="C1843" s="18" t="str">
        <f aca="false">'SALES Raw'!H1564</f>
        <v>60B L</v>
      </c>
      <c r="D1843" s="19" t="n">
        <f aca="false">'SALES Raw'!C1564</f>
        <v>10</v>
      </c>
      <c r="E1843" s="19" t="n">
        <f aca="false">'SALES Raw'!D1564</f>
        <v>496.35</v>
      </c>
      <c r="F1843" s="19" t="n">
        <f aca="false">'SALES Raw'!E1564*$H$4</f>
        <v>18.9473684210526</v>
      </c>
      <c r="G1843" s="19" t="n">
        <f aca="false">'SALES Raw'!F1564*$H$4</f>
        <v>940.446315789474</v>
      </c>
      <c r="H1843" s="18" t="str">
        <f aca="false">'SALES Raw'!A1564</f>
        <v>103 - Physiotherapy institutes</v>
      </c>
    </row>
    <row r="1844" customFormat="false" ht="15" hidden="false" customHeight="false" outlineLevel="0" collapsed="false">
      <c r="A1844" s="18" t="str">
        <f aca="false">'SALES Raw'!G1565</f>
        <v/>
      </c>
      <c r="B1844" s="18" t="str">
        <f aca="false">'SALES Raw'!B1565</f>
        <v>60B M</v>
      </c>
      <c r="C1844" s="18" t="str">
        <f aca="false">'SALES Raw'!H1565</f>
        <v>60B M</v>
      </c>
      <c r="D1844" s="19" t="n">
        <f aca="false">'SALES Raw'!C1565</f>
        <v>10</v>
      </c>
      <c r="E1844" s="19" t="n">
        <f aca="false">'SALES Raw'!D1565</f>
        <v>496.35</v>
      </c>
      <c r="F1844" s="19" t="n">
        <f aca="false">'SALES Raw'!E1565*$H$4</f>
        <v>18.9473684210526</v>
      </c>
      <c r="G1844" s="19" t="n">
        <f aca="false">'SALES Raw'!F1565*$H$4</f>
        <v>940.446315789474</v>
      </c>
      <c r="H1844" s="18" t="str">
        <f aca="false">'SALES Raw'!A1565</f>
        <v>103 - Physiotherapy institutes</v>
      </c>
    </row>
    <row r="1845" customFormat="false" ht="15" hidden="false" customHeight="false" outlineLevel="0" collapsed="false">
      <c r="A1845" s="18" t="n">
        <f aca="false">'SALES Raw'!G2154</f>
        <v>4408230</v>
      </c>
      <c r="B1845" s="18" t="str">
        <f aca="false">'SALES Raw'!B2154</f>
        <v>16-L-XL</v>
      </c>
      <c r="C1845" s="18" t="str">
        <f aca="false">'SALES Raw'!H2154</f>
        <v>16 L-XL חגורת הריון</v>
      </c>
      <c r="D1845" s="19" t="n">
        <f aca="false">'SALES Raw'!C2154</f>
        <v>12</v>
      </c>
      <c r="E1845" s="19" t="n">
        <f aca="false">'SALES Raw'!D2154</f>
        <v>2550.34</v>
      </c>
      <c r="F1845" s="19" t="n">
        <f aca="false">'SALES Raw'!E2154*$H$4</f>
        <v>18.9473684210526</v>
      </c>
      <c r="G1845" s="19" t="n">
        <f aca="false">'SALES Raw'!F2154*$H$4</f>
        <v>4218.2652631579</v>
      </c>
      <c r="H1845" s="18" t="str">
        <f aca="false">'SALES Raw'!A2154</f>
        <v>114 - IL online</v>
      </c>
    </row>
    <row r="1846" customFormat="false" ht="15" hidden="false" customHeight="false" outlineLevel="0" collapsed="false">
      <c r="A1846" s="18" t="n">
        <f aca="false">'SALES Raw'!G2243</f>
        <v>4413157</v>
      </c>
      <c r="B1846" s="18" t="str">
        <f aca="false">'SALES Raw'!B2243</f>
        <v>305GA-43-44</v>
      </c>
      <c r="C1846" s="18" t="str">
        <f aca="false">'SALES Raw'!H2243</f>
        <v>305GA מדרס אורטופ.מתכוון43-44</v>
      </c>
      <c r="D1846" s="19" t="n">
        <f aca="false">'SALES Raw'!C2243</f>
        <v>32</v>
      </c>
      <c r="E1846" s="19" t="n">
        <f aca="false">'SALES Raw'!D2243</f>
        <v>4917.04</v>
      </c>
      <c r="F1846" s="19" t="n">
        <f aca="false">'SALES Raw'!E2243*$H$4</f>
        <v>18.9473684210526</v>
      </c>
      <c r="G1846" s="19" t="n">
        <f aca="false">'SALES Raw'!F2243*$H$4</f>
        <v>2920.97684210526</v>
      </c>
      <c r="H1846" s="18" t="str">
        <f aca="false">'SALES Raw'!A2243</f>
        <v>114 - IL online</v>
      </c>
    </row>
    <row r="1847" customFormat="false" ht="15" hidden="false" customHeight="false" outlineLevel="0" collapsed="false">
      <c r="A1847" s="18" t="n">
        <f aca="false">'SALES Raw'!G2246</f>
        <v>4416001</v>
      </c>
      <c r="B1847" s="18" t="str">
        <f aca="false">'SALES Raw'!B2246</f>
        <v>307 M</v>
      </c>
      <c r="C1847" s="18" t="str">
        <f aca="false">'SALES Raw'!H2246</f>
        <v>307 M עקבים לדורבן-זוג כריות</v>
      </c>
      <c r="D1847" s="19" t="n">
        <f aca="false">'SALES Raw'!C2246</f>
        <v>17</v>
      </c>
      <c r="E1847" s="19" t="n">
        <f aca="false">'SALES Raw'!D2246</f>
        <v>2561.29</v>
      </c>
      <c r="F1847" s="19" t="n">
        <f aca="false">'SALES Raw'!E2246*$H$4</f>
        <v>18.9473684210526</v>
      </c>
      <c r="G1847" s="19" t="n">
        <f aca="false">'SALES Raw'!F2246*$H$4</f>
        <v>3045.68842105263</v>
      </c>
      <c r="H1847" s="18" t="str">
        <f aca="false">'SALES Raw'!A2246</f>
        <v>114 - IL online</v>
      </c>
    </row>
    <row r="1848" customFormat="false" ht="15" hidden="false" customHeight="false" outlineLevel="0" collapsed="false">
      <c r="A1848" s="18" t="str">
        <f aca="false">'SALES Raw'!G2316</f>
        <v/>
      </c>
      <c r="B1848" s="18" t="str">
        <f aca="false">'SALES Raw'!B2316</f>
        <v>369 XL</v>
      </c>
      <c r="C1848" s="18" t="str">
        <f aca="false">'SALES Raw'!H2316</f>
        <v>369 XL</v>
      </c>
      <c r="D1848" s="19" t="n">
        <f aca="false">'SALES Raw'!C2316</f>
        <v>0</v>
      </c>
      <c r="E1848" s="19" t="n">
        <f aca="false">'SALES Raw'!D2316</f>
        <v>0</v>
      </c>
      <c r="F1848" s="19" t="n">
        <f aca="false">'SALES Raw'!E2316*$H$4</f>
        <v>18.9473684210526</v>
      </c>
      <c r="G1848" s="19" t="n">
        <f aca="false">'SALES Raw'!F2316*$H$4</f>
        <v>843.764210526316</v>
      </c>
      <c r="H1848" s="18" t="str">
        <f aca="false">'SALES Raw'!A2316</f>
        <v>114 - IL online</v>
      </c>
    </row>
    <row r="1849" customFormat="false" ht="15" hidden="false" customHeight="false" outlineLevel="0" collapsed="false">
      <c r="A1849" s="18" t="n">
        <f aca="false">'SALES Raw'!G2318</f>
        <v>4420000</v>
      </c>
      <c r="B1849" s="18" t="str">
        <f aca="false">'SALES Raw'!B2318</f>
        <v>370 0</v>
      </c>
      <c r="C1849" s="18" t="str">
        <f aca="false">'SALES Raw'!H2318</f>
        <v>370  רפידת נוחות-זוג</v>
      </c>
      <c r="D1849" s="19" t="n">
        <f aca="false">'SALES Raw'!C2318</f>
        <v>21</v>
      </c>
      <c r="E1849" s="19" t="n">
        <f aca="false">'SALES Raw'!D2318</f>
        <v>486.98</v>
      </c>
      <c r="F1849" s="19" t="n">
        <f aca="false">'SALES Raw'!E2318*$H$4</f>
        <v>18.9473684210526</v>
      </c>
      <c r="G1849" s="19" t="n">
        <f aca="false">'SALES Raw'!F2318*$H$4</f>
        <v>443.52</v>
      </c>
      <c r="H1849" s="18" t="str">
        <f aca="false">'SALES Raw'!A2318</f>
        <v>114 - IL online</v>
      </c>
    </row>
    <row r="1850" customFormat="false" ht="15" hidden="false" customHeight="false" outlineLevel="0" collapsed="false">
      <c r="A1850" s="18" t="n">
        <f aca="false">'SALES Raw'!G2333</f>
        <v>4413522</v>
      </c>
      <c r="B1850" s="18" t="str">
        <f aca="false">'SALES Raw'!B2333</f>
        <v>379MSP-43-46</v>
      </c>
      <c r="C1850" s="18" t="str">
        <f aca="false">'SALES Raw'!H2333</f>
        <v>מדרסי אפיק ג'ל מולט.ספורט43-47</v>
      </c>
      <c r="D1850" s="19" t="n">
        <f aca="false">'SALES Raw'!C2333</f>
        <v>19</v>
      </c>
      <c r="E1850" s="19" t="n">
        <f aca="false">'SALES Raw'!D2333</f>
        <v>3707.74</v>
      </c>
      <c r="F1850" s="19" t="n">
        <f aca="false">'SALES Raw'!E2333*$H$4</f>
        <v>18.9473684210526</v>
      </c>
      <c r="G1850" s="19" t="n">
        <f aca="false">'SALES Raw'!F2333*$H$4</f>
        <v>3733.37684210526</v>
      </c>
      <c r="H1850" s="18" t="str">
        <f aca="false">'SALES Raw'!A2333</f>
        <v>114 - IL online</v>
      </c>
    </row>
    <row r="1851" customFormat="false" ht="15" hidden="false" customHeight="false" outlineLevel="0" collapsed="false">
      <c r="A1851" s="18" t="str">
        <f aca="false">'SALES Raw'!G2416</f>
        <v/>
      </c>
      <c r="B1851" s="18" t="str">
        <f aca="false">'SALES Raw'!B2416</f>
        <v>45C XXL</v>
      </c>
      <c r="C1851" s="18" t="str">
        <f aca="false">'SALES Raw'!H2416</f>
        <v>45C XXL</v>
      </c>
      <c r="D1851" s="19" t="n">
        <f aca="false">'SALES Raw'!C2416</f>
        <v>14</v>
      </c>
      <c r="E1851" s="19" t="n">
        <f aca="false">'SALES Raw'!D2416</f>
        <v>693.62</v>
      </c>
      <c r="F1851" s="19" t="n">
        <f aca="false">'SALES Raw'!E2416*$H$4</f>
        <v>18.9473684210526</v>
      </c>
      <c r="G1851" s="19" t="n">
        <f aca="false">'SALES Raw'!F2416*$H$4</f>
        <v>1051.13684210526</v>
      </c>
      <c r="H1851" s="18" t="str">
        <f aca="false">'SALES Raw'!A2416</f>
        <v>114 - IL online</v>
      </c>
    </row>
    <row r="1852" customFormat="false" ht="15" hidden="false" customHeight="false" outlineLevel="0" collapsed="false">
      <c r="A1852" s="18" t="n">
        <f aca="false">'SALES Raw'!G2593</f>
        <v>4408205</v>
      </c>
      <c r="B1852" s="18" t="str">
        <f aca="false">'SALES Raw'!B2593</f>
        <v>AC07 0</v>
      </c>
      <c r="C1852" s="18" t="str">
        <f aca="false">'SALES Raw'!H2593</f>
        <v>AC-07 חגורת גב עם תמיכות</v>
      </c>
      <c r="D1852" s="19" t="n">
        <f aca="false">'SALES Raw'!C2593</f>
        <v>18</v>
      </c>
      <c r="E1852" s="19" t="n">
        <f aca="false">'SALES Raw'!D2593</f>
        <v>2871.51</v>
      </c>
      <c r="F1852" s="19" t="n">
        <f aca="false">'SALES Raw'!E2593*$H$4</f>
        <v>18.9473684210526</v>
      </c>
      <c r="G1852" s="19" t="n">
        <f aca="false">'SALES Raw'!F2593*$H$4</f>
        <v>3049.32631578947</v>
      </c>
      <c r="H1852" s="18" t="str">
        <f aca="false">'SALES Raw'!A2593</f>
        <v>114 - IL online</v>
      </c>
    </row>
    <row r="1853" customFormat="false" ht="15" hidden="false" customHeight="false" outlineLevel="0" collapsed="false">
      <c r="A1853" s="18" t="n">
        <f aca="false">'SALES Raw'!G3117</f>
        <v>4422038</v>
      </c>
      <c r="B1853" s="18" t="str">
        <f aca="false">'SALES Raw'!B3117</f>
        <v>SH422 2</v>
      </c>
      <c r="C1853" s="18" t="str">
        <f aca="false">'SALES Raw'!H3117</f>
        <v>SH422 2 תומך ברך גנושילד</v>
      </c>
      <c r="D1853" s="19" t="n">
        <f aca="false">'SALES Raw'!C3117</f>
        <v>5</v>
      </c>
      <c r="E1853" s="19" t="n">
        <f aca="false">'SALES Raw'!D3117</f>
        <v>437.24</v>
      </c>
      <c r="F1853" s="19" t="n">
        <f aca="false">'SALES Raw'!E3117*$H$4</f>
        <v>18.9473684210526</v>
      </c>
      <c r="G1853" s="19" t="n">
        <f aca="false">'SALES Raw'!F3117*$H$4</f>
        <v>1559.59578947368</v>
      </c>
      <c r="H1853" s="18" t="str">
        <f aca="false">'SALES Raw'!A3117</f>
        <v>203 - Ortho- Partner ag SWITZERLAND</v>
      </c>
    </row>
    <row r="1854" customFormat="false" ht="15" hidden="false" customHeight="false" outlineLevel="0" collapsed="false">
      <c r="A1854" s="18" t="n">
        <f aca="false">'SALES Raw'!G3239</f>
        <v>4408069</v>
      </c>
      <c r="B1854" s="18" t="str">
        <f aca="false">'SALES Raw'!B3239</f>
        <v>38 0</v>
      </c>
      <c r="C1854" s="18" t="str">
        <f aca="false">'SALES Raw'!H3239</f>
        <v>38 .חבישת""""הלוקס ולגוס""""לאחר נית</v>
      </c>
      <c r="D1854" s="19" t="n">
        <f aca="false">'SALES Raw'!C3239</f>
        <v>0</v>
      </c>
      <c r="E1854" s="19" t="n">
        <f aca="false">'SALES Raw'!D3239</f>
        <v>0</v>
      </c>
      <c r="F1854" s="19" t="n">
        <f aca="false">'SALES Raw'!E3239*$H$4</f>
        <v>18.9473684210526</v>
      </c>
      <c r="G1854" s="19" t="n">
        <f aca="false">'SALES Raw'!F3239*$H$4</f>
        <v>558.795789473684</v>
      </c>
      <c r="H1854" s="18" t="str">
        <f aca="false">'SALES Raw'!A3239</f>
        <v>204 - Sanaflex Anatomic GREECE</v>
      </c>
    </row>
    <row r="1855" customFormat="false" ht="15" hidden="false" customHeight="false" outlineLevel="0" collapsed="false">
      <c r="A1855" s="18" t="n">
        <f aca="false">'SALES Raw'!G3336</f>
        <v>4408267</v>
      </c>
      <c r="B1855" s="18" t="str">
        <f aca="false">'SALES Raw'!B3336</f>
        <v>ST25 0</v>
      </c>
      <c r="C1855" s="18" t="str">
        <f aca="false">'SALES Raw'!H3336</f>
        <v>ST25 חבק שורש לכף היד</v>
      </c>
      <c r="D1855" s="19" t="n">
        <f aca="false">'SALES Raw'!C3336</f>
        <v>27</v>
      </c>
      <c r="E1855" s="19" t="n">
        <f aca="false">'SALES Raw'!D3336</f>
        <v>359.77</v>
      </c>
      <c r="F1855" s="19" t="n">
        <f aca="false">'SALES Raw'!E3336*$H$4</f>
        <v>18.9473684210526</v>
      </c>
      <c r="G1855" s="19" t="n">
        <f aca="false">'SALES Raw'!F3336*$H$4</f>
        <v>227.76</v>
      </c>
      <c r="H1855" s="18" t="str">
        <f aca="false">'SALES Raw'!A3336</f>
        <v>204 - Sanaflex Anatomic GREECE</v>
      </c>
    </row>
    <row r="1856" customFormat="false" ht="15" hidden="false" customHeight="false" outlineLevel="0" collapsed="false">
      <c r="A1856" s="18" t="n">
        <f aca="false">'SALES Raw'!G3477</f>
        <v>4408048</v>
      </c>
      <c r="B1856" s="18" t="str">
        <f aca="false">'SALES Raw'!B3477</f>
        <v>20 S</v>
      </c>
      <c r="C1856" s="18" t="str">
        <f aca="false">'SALES Raw'!H3477</f>
        <v>20 S חבק יד מתכוון עם צמדן</v>
      </c>
      <c r="D1856" s="19" t="n">
        <f aca="false">'SALES Raw'!C3477</f>
        <v>12</v>
      </c>
      <c r="E1856" s="19" t="n">
        <f aca="false">'SALES Raw'!D3477</f>
        <v>191.37</v>
      </c>
      <c r="F1856" s="19" t="n">
        <f aca="false">'SALES Raw'!E3477*$H$4</f>
        <v>18.9473684210526</v>
      </c>
      <c r="G1856" s="19" t="n">
        <f aca="false">'SALES Raw'!F3477*$H$4</f>
        <v>260.349473684211</v>
      </c>
      <c r="H1856" s="18" t="str">
        <f aca="false">'SALES Raw'!A3477</f>
        <v>207 - Salus HUNGARY</v>
      </c>
    </row>
    <row r="1857" customFormat="false" ht="15" hidden="false" customHeight="false" outlineLevel="0" collapsed="false">
      <c r="A1857" s="18" t="str">
        <f aca="false">'SALES Raw'!G3501</f>
        <v/>
      </c>
      <c r="B1857" s="18" t="str">
        <f aca="false">'SALES Raw'!B3501</f>
        <v>305-41-42</v>
      </c>
      <c r="C1857" s="18" t="str">
        <f aca="false">'SALES Raw'!H3501</f>
        <v>305-41-42</v>
      </c>
      <c r="D1857" s="19" t="n">
        <f aca="false">'SALES Raw'!C3501</f>
        <v>10</v>
      </c>
      <c r="E1857" s="19" t="n">
        <f aca="false">'SALES Raw'!D3501</f>
        <v>325.92</v>
      </c>
      <c r="F1857" s="19" t="n">
        <f aca="false">'SALES Raw'!E3501*$H$4</f>
        <v>18.9473684210526</v>
      </c>
      <c r="G1857" s="19" t="n">
        <f aca="false">'SALES Raw'!F3501*$H$4</f>
        <v>627.258947368421</v>
      </c>
      <c r="H1857" s="18" t="str">
        <f aca="false">'SALES Raw'!A3501</f>
        <v>207 - Salus HUNGARY</v>
      </c>
    </row>
    <row r="1858" customFormat="false" ht="15" hidden="false" customHeight="false" outlineLevel="0" collapsed="false">
      <c r="A1858" s="18" t="str">
        <f aca="false">'SALES Raw'!G3512</f>
        <v/>
      </c>
      <c r="B1858" s="18" t="str">
        <f aca="false">'SALES Raw'!B3512</f>
        <v>32 M</v>
      </c>
      <c r="C1858" s="18" t="str">
        <f aca="false">'SALES Raw'!H3512</f>
        <v>32 M</v>
      </c>
      <c r="D1858" s="19" t="n">
        <f aca="false">'SALES Raw'!C3512</f>
        <v>20</v>
      </c>
      <c r="E1858" s="19" t="n">
        <f aca="false">'SALES Raw'!D3512</f>
        <v>1441.61</v>
      </c>
      <c r="F1858" s="19" t="n">
        <f aca="false">'SALES Raw'!E3512*$H$4</f>
        <v>18.9473684210526</v>
      </c>
      <c r="G1858" s="19" t="n">
        <f aca="false">'SALES Raw'!F3512*$H$4</f>
        <v>1465.44</v>
      </c>
      <c r="H1858" s="18" t="str">
        <f aca="false">'SALES Raw'!A3512</f>
        <v>207 - Salus HUNGARY</v>
      </c>
    </row>
    <row r="1859" customFormat="false" ht="15" hidden="false" customHeight="false" outlineLevel="0" collapsed="false">
      <c r="A1859" s="18" t="n">
        <f aca="false">'SALES Raw'!G3542</f>
        <v>4409001</v>
      </c>
      <c r="B1859" s="18" t="str">
        <f aca="false">'SALES Raw'!B3542</f>
        <v>365-XL</v>
      </c>
      <c r="C1859" s="18" t="str">
        <f aca="false">'SALES Raw'!H3542</f>
        <v>365  X-Lטבעת אלסטית מסיליקון</v>
      </c>
      <c r="D1859" s="19" t="n">
        <f aca="false">'SALES Raw'!C3542</f>
        <v>0</v>
      </c>
      <c r="E1859" s="19" t="n">
        <f aca="false">'SALES Raw'!D3542</f>
        <v>0</v>
      </c>
      <c r="F1859" s="19" t="n">
        <f aca="false">'SALES Raw'!E3542*$H$4</f>
        <v>18.9473684210526</v>
      </c>
      <c r="G1859" s="19" t="n">
        <f aca="false">'SALES Raw'!F3542*$H$4</f>
        <v>121.642105263158</v>
      </c>
      <c r="H1859" s="18" t="str">
        <f aca="false">'SALES Raw'!A3542</f>
        <v>207 - Salus HUNGARY</v>
      </c>
    </row>
    <row r="1860" customFormat="false" ht="15" hidden="false" customHeight="false" outlineLevel="0" collapsed="false">
      <c r="A1860" s="18" t="n">
        <f aca="false">'SALES Raw'!G3544</f>
        <v>4413063</v>
      </c>
      <c r="B1860" s="18" t="str">
        <f aca="false">'SALES Raw'!B3544</f>
        <v>366S 0</v>
      </c>
      <c r="C1860" s="18" t="str">
        <f aca="false">'SALES Raw'!H3544</f>
        <v>366S-'מדבק.לשחרור לחץ מיבלת2יח</v>
      </c>
      <c r="D1860" s="19" t="n">
        <f aca="false">'SALES Raw'!C3544</f>
        <v>10</v>
      </c>
      <c r="E1860" s="19" t="n">
        <f aca="false">'SALES Raw'!D3544</f>
        <v>68.97</v>
      </c>
      <c r="F1860" s="19" t="n">
        <f aca="false">'SALES Raw'!E3544*$H$4</f>
        <v>18.9473684210526</v>
      </c>
      <c r="G1860" s="19" t="n">
        <f aca="false">'SALES Raw'!F3544*$H$4</f>
        <v>125.254736842105</v>
      </c>
      <c r="H1860" s="18" t="str">
        <f aca="false">'SALES Raw'!A3544</f>
        <v>207 - Salus HUNGARY</v>
      </c>
    </row>
    <row r="1861" customFormat="false" ht="15" hidden="false" customHeight="false" outlineLevel="0" collapsed="false">
      <c r="A1861" s="18" t="str">
        <f aca="false">'SALES Raw'!G3579</f>
        <v/>
      </c>
      <c r="B1861" s="18" t="str">
        <f aca="false">'SALES Raw'!B3579</f>
        <v>43BD S</v>
      </c>
      <c r="C1861" s="18" t="str">
        <f aca="false">'SALES Raw'!H3579</f>
        <v>43BD S</v>
      </c>
      <c r="D1861" s="19" t="n">
        <f aca="false">'SALES Raw'!C3579</f>
        <v>0</v>
      </c>
      <c r="E1861" s="19" t="n">
        <f aca="false">'SALES Raw'!D3579</f>
        <v>0</v>
      </c>
      <c r="F1861" s="19" t="n">
        <f aca="false">'SALES Raw'!E3579*$H$4</f>
        <v>18.9473684210526</v>
      </c>
      <c r="G1861" s="19" t="n">
        <f aca="false">'SALES Raw'!F3579*$H$4</f>
        <v>1629.30947368421</v>
      </c>
      <c r="H1861" s="18" t="str">
        <f aca="false">'SALES Raw'!A3579</f>
        <v>207 - Salus HUNGARY</v>
      </c>
    </row>
    <row r="1862" customFormat="false" ht="15" hidden="false" customHeight="false" outlineLevel="0" collapsed="false">
      <c r="A1862" s="18" t="n">
        <f aca="false">'SALES Raw'!G3629</f>
        <v>4413139</v>
      </c>
      <c r="B1862" s="18" t="str">
        <f aca="false">'SALES Raw'!B3629</f>
        <v>95 L</v>
      </c>
      <c r="C1862" s="18" t="str">
        <f aca="false">'SALES Raw'!H3629</f>
        <v>95 L מגן מרפק רגיל לבן</v>
      </c>
      <c r="D1862" s="19" t="n">
        <f aca="false">'SALES Raw'!C3629</f>
        <v>5</v>
      </c>
      <c r="E1862" s="19" t="n">
        <f aca="false">'SALES Raw'!D3629</f>
        <v>50.71</v>
      </c>
      <c r="F1862" s="19" t="n">
        <f aca="false">'SALES Raw'!E3629*$H$4</f>
        <v>18.9473684210526</v>
      </c>
      <c r="G1862" s="19" t="n">
        <f aca="false">'SALES Raw'!F3629*$H$4</f>
        <v>184.206315789474</v>
      </c>
      <c r="H1862" s="18" t="str">
        <f aca="false">'SALES Raw'!A3629</f>
        <v>207 - Salus HUNGARY</v>
      </c>
    </row>
    <row r="1863" customFormat="false" ht="15" hidden="false" customHeight="false" outlineLevel="0" collapsed="false">
      <c r="A1863" s="18" t="n">
        <f aca="false">'SALES Raw'!G3678</f>
        <v>4422005</v>
      </c>
      <c r="B1863" s="18" t="str">
        <f aca="false">'SALES Raw'!B3678</f>
        <v>T78 M</v>
      </c>
      <c r="C1863" s="18" t="str">
        <f aca="false">'SALES Raw'!H3678</f>
        <v>T78 M תומך זרוע וכתף</v>
      </c>
      <c r="D1863" s="19" t="n">
        <f aca="false">'SALES Raw'!C3678</f>
        <v>0</v>
      </c>
      <c r="E1863" s="19" t="n">
        <f aca="false">'SALES Raw'!D3678</f>
        <v>0</v>
      </c>
      <c r="F1863" s="19" t="n">
        <f aca="false">'SALES Raw'!E3678*$H$4</f>
        <v>18.9473684210526</v>
      </c>
      <c r="G1863" s="19" t="n">
        <f aca="false">'SALES Raw'!F3678*$H$4</f>
        <v>1412.95578947368</v>
      </c>
      <c r="H1863" s="18" t="str">
        <f aca="false">'SALES Raw'!A3678</f>
        <v>207 - Salus HUNGARY</v>
      </c>
    </row>
    <row r="1864" customFormat="false" ht="15" hidden="false" customHeight="false" outlineLevel="0" collapsed="false">
      <c r="A1864" s="18" t="n">
        <f aca="false">'SALES Raw'!G3889</f>
        <v>4415029</v>
      </c>
      <c r="B1864" s="18" t="str">
        <f aca="false">'SALES Raw'!B3889</f>
        <v>237 0</v>
      </c>
      <c r="C1864" s="18" t="str">
        <f aca="false">'SALES Raw'!H3889</f>
        <v>סד קיבוע לאצבע הדק</v>
      </c>
      <c r="D1864" s="19" t="n">
        <f aca="false">'SALES Raw'!C3889</f>
        <v>20</v>
      </c>
      <c r="E1864" s="19" t="n">
        <f aca="false">'SALES Raw'!D3889</f>
        <v>302.17</v>
      </c>
      <c r="F1864" s="19" t="n">
        <f aca="false">'SALES Raw'!E3889*$H$4</f>
        <v>18.9473684210526</v>
      </c>
      <c r="G1864" s="19" t="n">
        <f aca="false">'SALES Raw'!F3889*$H$4</f>
        <v>245.797894736842</v>
      </c>
      <c r="H1864" s="18" t="str">
        <f aca="false">'SALES Raw'!A3889</f>
        <v>210 - Oy. Ea. Ab. FINLAND</v>
      </c>
    </row>
    <row r="1865" customFormat="false" ht="15" hidden="false" customHeight="false" outlineLevel="0" collapsed="false">
      <c r="A1865" s="18" t="n">
        <f aca="false">'SALES Raw'!G3913</f>
        <v>4416005</v>
      </c>
      <c r="B1865" s="18" t="str">
        <f aca="false">'SALES Raw'!B3913</f>
        <v>308 M</v>
      </c>
      <c r="C1865" s="18" t="str">
        <f aca="false">'SALES Raw'!H3913</f>
        <v>308 Mעקבים סיליק.כחול לדורבן</v>
      </c>
      <c r="D1865" s="19" t="n">
        <f aca="false">'SALES Raw'!C3913</f>
        <v>25</v>
      </c>
      <c r="E1865" s="19" t="n">
        <f aca="false">'SALES Raw'!D3913</f>
        <v>647.37</v>
      </c>
      <c r="F1865" s="19" t="n">
        <f aca="false">'SALES Raw'!E3913*$H$4</f>
        <v>18.9473684210526</v>
      </c>
      <c r="G1865" s="19" t="n">
        <f aca="false">'SALES Raw'!F3913*$H$4</f>
        <v>419.115789473684</v>
      </c>
      <c r="H1865" s="18" t="str">
        <f aca="false">'SALES Raw'!A3913</f>
        <v>210 - Oy. Ea. Ab. FINLAND</v>
      </c>
    </row>
    <row r="1866" customFormat="false" ht="15" hidden="false" customHeight="false" outlineLevel="0" collapsed="false">
      <c r="A1866" s="18" t="str">
        <f aca="false">'SALES Raw'!G3978</f>
        <v/>
      </c>
      <c r="B1866" s="18" t="str">
        <f aca="false">'SALES Raw'!B3978</f>
        <v>60B M</v>
      </c>
      <c r="C1866" s="18" t="str">
        <f aca="false">'SALES Raw'!H3978</f>
        <v>60B M</v>
      </c>
      <c r="D1866" s="19" t="n">
        <f aca="false">'SALES Raw'!C3978</f>
        <v>23</v>
      </c>
      <c r="E1866" s="19" t="n">
        <f aca="false">'SALES Raw'!D3978</f>
        <v>663</v>
      </c>
      <c r="F1866" s="19" t="n">
        <f aca="false">'SALES Raw'!E3978*$H$4</f>
        <v>18.9473684210526</v>
      </c>
      <c r="G1866" s="19" t="n">
        <f aca="false">'SALES Raw'!F3978*$H$4</f>
        <v>472.686315789474</v>
      </c>
      <c r="H1866" s="18" t="str">
        <f aca="false">'SALES Raw'!A3978</f>
        <v>210 - Oy. Ea. Ab. FINLAND</v>
      </c>
    </row>
    <row r="1867" customFormat="false" ht="15" hidden="false" customHeight="false" outlineLevel="0" collapsed="false">
      <c r="A1867" s="18" t="n">
        <f aca="false">'SALES Raw'!G4000</f>
        <v>4408266</v>
      </c>
      <c r="B1867" s="18" t="str">
        <f aca="false">'SALES Raw'!B4000</f>
        <v>91B 0</v>
      </c>
      <c r="C1867" s="18" t="str">
        <f aca="false">'SALES Raw'!H4000</f>
        <v>91B חבק טניס אלבו</v>
      </c>
      <c r="D1867" s="19" t="n">
        <f aca="false">'SALES Raw'!C4000</f>
        <v>0</v>
      </c>
      <c r="E1867" s="19" t="n">
        <f aca="false">'SALES Raw'!D4000</f>
        <v>0</v>
      </c>
      <c r="F1867" s="19" t="n">
        <f aca="false">'SALES Raw'!E4000*$H$4</f>
        <v>18.9473684210526</v>
      </c>
      <c r="G1867" s="19" t="n">
        <f aca="false">'SALES Raw'!F4000*$H$4</f>
        <v>756.290526315789</v>
      </c>
      <c r="H1867" s="18" t="str">
        <f aca="false">'SALES Raw'!A4000</f>
        <v>210 - Oy. Ea. Ab. FINLAND</v>
      </c>
    </row>
    <row r="1868" customFormat="false" ht="15" hidden="false" customHeight="false" outlineLevel="0" collapsed="false">
      <c r="A1868" s="18" t="n">
        <f aca="false">'SALES Raw'!G4007</f>
        <v>4413326</v>
      </c>
      <c r="B1868" s="18" t="str">
        <f aca="false">'SALES Raw'!B4007</f>
        <v>AC37 0</v>
      </c>
      <c r="C1868" s="18" t="str">
        <f aca="false">'SALES Raw'!H4007</f>
        <v>AC37 מגן קרסול נושם</v>
      </c>
      <c r="D1868" s="19" t="n">
        <f aca="false">'SALES Raw'!C4007</f>
        <v>20</v>
      </c>
      <c r="E1868" s="19" t="n">
        <f aca="false">'SALES Raw'!D4007</f>
        <v>406.77</v>
      </c>
      <c r="F1868" s="19" t="n">
        <f aca="false">'SALES Raw'!E4007*$H$4</f>
        <v>18.9473684210526</v>
      </c>
      <c r="G1868" s="19" t="n">
        <f aca="false">'SALES Raw'!F4007*$H$4</f>
        <v>330.884210526316</v>
      </c>
      <c r="H1868" s="18" t="str">
        <f aca="false">'SALES Raw'!A4007</f>
        <v>210 - Oy. Ea. Ab. FINLAND</v>
      </c>
    </row>
    <row r="1869" customFormat="false" ht="15" hidden="false" customHeight="false" outlineLevel="0" collapsed="false">
      <c r="A1869" s="18" t="str">
        <f aca="false">'SALES Raw'!G4023</f>
        <v/>
      </c>
      <c r="B1869" s="18" t="str">
        <f aca="false">'SALES Raw'!B4023</f>
        <v>ST27L 0</v>
      </c>
      <c r="C1869" s="18" t="str">
        <f aca="false">'SALES Raw'!H4023</f>
        <v>ST27L 0</v>
      </c>
      <c r="D1869" s="19" t="n">
        <f aca="false">'SALES Raw'!C4023</f>
        <v>50</v>
      </c>
      <c r="E1869" s="19" t="n">
        <f aca="false">'SALES Raw'!D4023</f>
        <v>924.82</v>
      </c>
      <c r="F1869" s="19" t="n">
        <f aca="false">'SALES Raw'!E4023*$H$4</f>
        <v>18.9473684210526</v>
      </c>
      <c r="G1869" s="19" t="n">
        <f aca="false">'SALES Raw'!F4023*$H$4</f>
        <v>299.368421052632</v>
      </c>
      <c r="H1869" s="18" t="str">
        <f aca="false">'SALES Raw'!A4023</f>
        <v>210 - Oy. Ea. Ab. FINLAND</v>
      </c>
    </row>
    <row r="1870" customFormat="false" ht="15" hidden="false" customHeight="false" outlineLevel="0" collapsed="false">
      <c r="A1870" s="18" t="n">
        <f aca="false">'SALES Raw'!G4026</f>
        <v>4403035</v>
      </c>
      <c r="B1870" s="18" t="str">
        <f aca="false">'SALES Raw'!B4026</f>
        <v>ST3555-L-XL</v>
      </c>
      <c r="C1870" s="18" t="str">
        <f aca="false">'SALES Raw'!H4026</f>
        <v>ST3555L-XLגרב לילה לטיפ.בדורבן</v>
      </c>
      <c r="D1870" s="19" t="n">
        <f aca="false">'SALES Raw'!C4026</f>
        <v>60</v>
      </c>
      <c r="E1870" s="19" t="n">
        <f aca="false">'SALES Raw'!D4026</f>
        <v>2271.41</v>
      </c>
      <c r="F1870" s="19" t="n">
        <f aca="false">'SALES Raw'!E4026*$H$4</f>
        <v>18.9473684210526</v>
      </c>
      <c r="G1870" s="19" t="n">
        <f aca="false">'SALES Raw'!F4026*$H$4</f>
        <v>623.949473684211</v>
      </c>
      <c r="H1870" s="18" t="str">
        <f aca="false">'SALES Raw'!A4026</f>
        <v>210 - Oy. Ea. Ab. FINLAND</v>
      </c>
    </row>
    <row r="1871" customFormat="false" ht="15" hidden="false" customHeight="false" outlineLevel="0" collapsed="false">
      <c r="A1871" s="18" t="str">
        <f aca="false">'SALES Raw'!G4069</f>
        <v/>
      </c>
      <c r="B1871" s="18" t="str">
        <f aca="false">'SALES Raw'!B4069</f>
        <v>ST95 0</v>
      </c>
      <c r="C1871" s="18" t="str">
        <f aca="false">'SALES Raw'!H4069</f>
        <v>ST95 0</v>
      </c>
      <c r="D1871" s="19" t="n">
        <f aca="false">'SALES Raw'!C4069</f>
        <v>30</v>
      </c>
      <c r="E1871" s="19" t="n">
        <f aca="false">'SALES Raw'!D4069</f>
        <v>626.55</v>
      </c>
      <c r="F1871" s="19" t="n">
        <f aca="false">'SALES Raw'!E4069*$H$4</f>
        <v>18.9473684210526</v>
      </c>
      <c r="G1871" s="19" t="n">
        <f aca="false">'SALES Raw'!F4069*$H$4</f>
        <v>348.315789473684</v>
      </c>
      <c r="H1871" s="18" t="str">
        <f aca="false">'SALES Raw'!A4069</f>
        <v>211 - Pharmag Lachmair Ges. Mbh AUSTRIA</v>
      </c>
    </row>
    <row r="1872" customFormat="false" ht="15" hidden="false" customHeight="false" outlineLevel="0" collapsed="false">
      <c r="A1872" s="18" t="n">
        <f aca="false">'SALES Raw'!G4090</f>
        <v>4408069</v>
      </c>
      <c r="B1872" s="18" t="str">
        <f aca="false">'SALES Raw'!B4090</f>
        <v>38 0</v>
      </c>
      <c r="C1872" s="18" t="str">
        <f aca="false">'SALES Raw'!H4090</f>
        <v>38 .חבישת""""הלוקס ולגוס""""לאחר נית</v>
      </c>
      <c r="D1872" s="19" t="n">
        <f aca="false">'SALES Raw'!C4090</f>
        <v>0</v>
      </c>
      <c r="E1872" s="19" t="n">
        <f aca="false">'SALES Raw'!D4090</f>
        <v>0</v>
      </c>
      <c r="F1872" s="19" t="n">
        <f aca="false">'SALES Raw'!E4090*$H$4</f>
        <v>18.9473684210526</v>
      </c>
      <c r="G1872" s="19" t="n">
        <f aca="false">'SALES Raw'!F4090*$H$4</f>
        <v>582.821052631579</v>
      </c>
      <c r="H1872" s="18" t="str">
        <f aca="false">'SALES Raw'!A4090</f>
        <v>213 - E.f.m.o. SPAIN</v>
      </c>
    </row>
    <row r="1873" customFormat="false" ht="15" hidden="false" customHeight="false" outlineLevel="0" collapsed="false">
      <c r="A1873" s="18" t="str">
        <f aca="false">'SALES Raw'!G4093</f>
        <v/>
      </c>
      <c r="B1873" s="18" t="str">
        <f aca="false">'SALES Raw'!B4093</f>
        <v>61 S</v>
      </c>
      <c r="C1873" s="18" t="str">
        <f aca="false">'SALES Raw'!H4093</f>
        <v>61 S</v>
      </c>
      <c r="D1873" s="19" t="n">
        <f aca="false">'SALES Raw'!C4093</f>
        <v>5</v>
      </c>
      <c r="E1873" s="19" t="n">
        <f aca="false">'SALES Raw'!D4093</f>
        <v>101.26</v>
      </c>
      <c r="F1873" s="19" t="n">
        <f aca="false">'SALES Raw'!E4093*$H$4</f>
        <v>18.9473684210526</v>
      </c>
      <c r="G1873" s="19" t="n">
        <f aca="false">'SALES Raw'!F4093*$H$4</f>
        <v>319.92</v>
      </c>
      <c r="H1873" s="18" t="str">
        <f aca="false">'SALES Raw'!A4093</f>
        <v>213 - E.f.m.o. SPAIN</v>
      </c>
    </row>
    <row r="1874" customFormat="false" ht="15" hidden="false" customHeight="false" outlineLevel="0" collapsed="false">
      <c r="A1874" s="18" t="n">
        <f aca="false">'SALES Raw'!G4103</f>
        <v>4408208</v>
      </c>
      <c r="B1874" s="18" t="str">
        <f aca="false">'SALES Raw'!B4103</f>
        <v>AC91 0</v>
      </c>
      <c r="C1874" s="18" t="str">
        <f aca="false">'SALES Raw'!H4103</f>
        <v>AC91 חבק טניס</v>
      </c>
      <c r="D1874" s="19" t="n">
        <f aca="false">'SALES Raw'!C4103</f>
        <v>45</v>
      </c>
      <c r="E1874" s="19" t="n">
        <f aca="false">'SALES Raw'!D4103</f>
        <v>745.8</v>
      </c>
      <c r="F1874" s="19" t="n">
        <f aca="false">'SALES Raw'!E4103*$H$4</f>
        <v>18.9473684210526</v>
      </c>
      <c r="G1874" s="19" t="n">
        <f aca="false">'SALES Raw'!F4103*$H$4</f>
        <v>281.911578947368</v>
      </c>
      <c r="H1874" s="18" t="str">
        <f aca="false">'SALES Raw'!A4103</f>
        <v>213 - E.f.m.o. SPAIN</v>
      </c>
    </row>
    <row r="1875" customFormat="false" ht="15" hidden="false" customHeight="false" outlineLevel="0" collapsed="false">
      <c r="A1875" s="18" t="str">
        <f aca="false">'SALES Raw'!G4111</f>
        <v/>
      </c>
      <c r="B1875" s="18" t="str">
        <f aca="false">'SALES Raw'!B4111</f>
        <v>ST95 0</v>
      </c>
      <c r="C1875" s="18" t="str">
        <f aca="false">'SALES Raw'!H4111</f>
        <v>ST95 0</v>
      </c>
      <c r="D1875" s="19" t="n">
        <f aca="false">'SALES Raw'!C4111</f>
        <v>25</v>
      </c>
      <c r="E1875" s="19" t="n">
        <f aca="false">'SALES Raw'!D4111</f>
        <v>446.17</v>
      </c>
      <c r="F1875" s="19" t="n">
        <f aca="false">'SALES Raw'!E4111*$H$4</f>
        <v>18.9473684210526</v>
      </c>
      <c r="G1875" s="19" t="n">
        <f aca="false">'SALES Raw'!F4111*$H$4</f>
        <v>340.787368421053</v>
      </c>
      <c r="H1875" s="18" t="str">
        <f aca="false">'SALES Raw'!A4111</f>
        <v>213 - E.f.m.o. SPAIN</v>
      </c>
    </row>
    <row r="1876" customFormat="false" ht="15" hidden="false" customHeight="false" outlineLevel="0" collapsed="false">
      <c r="A1876" s="18" t="str">
        <f aca="false">'SALES Raw'!G4459</f>
        <v/>
      </c>
      <c r="B1876" s="18" t="str">
        <f aca="false">'SALES Raw'!B4459</f>
        <v>EC-59RB XXL</v>
      </c>
      <c r="C1876" s="18" t="str">
        <f aca="false">'SALES Raw'!H4459</f>
        <v>EC-59RB XXL</v>
      </c>
      <c r="D1876" s="19" t="n">
        <f aca="false">'SALES Raw'!C4459</f>
        <v>15</v>
      </c>
      <c r="E1876" s="19" t="n">
        <f aca="false">'SALES Raw'!D4459</f>
        <v>2644.47</v>
      </c>
      <c r="F1876" s="19" t="n">
        <f aca="false">'SALES Raw'!E4459*$H$4</f>
        <v>18.9473684210526</v>
      </c>
      <c r="G1876" s="19" t="n">
        <f aca="false">'SALES Raw'!F4459*$H$4</f>
        <v>2861.96210526316</v>
      </c>
      <c r="H1876" s="18" t="str">
        <f aca="false">'SALES Raw'!A4459</f>
        <v>301 - Amazon</v>
      </c>
    </row>
    <row r="1877" customFormat="false" ht="15" hidden="false" customHeight="false" outlineLevel="0" collapsed="false">
      <c r="A1877" s="18" t="n">
        <f aca="false">'CEMIUP0.9 Raw'!B16</f>
        <v>4403001</v>
      </c>
      <c r="B1877" s="18" t="str">
        <f aca="false">'CEMIUP0.9 Raw'!C16</f>
        <v>390B 39-42.גרב.כסף לסכרתיים שח</v>
      </c>
      <c r="C1877" s="18" t="str">
        <f aca="false">'CEMIUP0.9 Raw'!C16</f>
        <v>390B 39-42.גרב.כסף לסכרתיים שח</v>
      </c>
      <c r="D1877" s="19" t="n">
        <f aca="false">'CEMIUP0.9 Raw'!D16</f>
        <v>42</v>
      </c>
      <c r="E1877" s="19" t="n">
        <f aca="false">'CEMIUP0.9 Raw'!E16</f>
        <v>1162.434</v>
      </c>
      <c r="F1877" s="19" t="n">
        <f aca="false">'CEMIUP0.9 Raw'!F16</f>
        <v>18.9473684210526</v>
      </c>
      <c r="G1877" s="19" t="n">
        <f aca="false">'CEMIUP0.9 Raw'!G16</f>
        <v>583.817684210526</v>
      </c>
      <c r="H1877" s="18" t="str">
        <f aca="false">'CEMIUP0.9 Raw'!A16</f>
        <v>107 - Pharmacies</v>
      </c>
    </row>
    <row r="1878" customFormat="false" ht="15" hidden="false" customHeight="false" outlineLevel="0" collapsed="false">
      <c r="A1878" s="18" t="n">
        <f aca="false">'CEMIUP0.9 Raw'!B170</f>
        <v>4408247</v>
      </c>
      <c r="B1878" s="18" t="str">
        <f aca="false">'CEMIUP0.9 Raw'!C170</f>
        <v>SC25  S חבק יד</v>
      </c>
      <c r="C1878" s="18" t="str">
        <f aca="false">'CEMIUP0.9 Raw'!C170</f>
        <v>SC25  S חבק יד</v>
      </c>
      <c r="D1878" s="19" t="n">
        <f aca="false">'CEMIUP0.9 Raw'!D170</f>
        <v>6</v>
      </c>
      <c r="E1878" s="19" t="n">
        <f aca="false">'CEMIUP0.9 Raw'!E170</f>
        <v>474.223</v>
      </c>
      <c r="F1878" s="19" t="n">
        <f aca="false">'CEMIUP0.9 Raw'!F170</f>
        <v>18.9473684210526</v>
      </c>
      <c r="G1878" s="19" t="n">
        <f aca="false">'CEMIUP0.9 Raw'!G170</f>
        <v>1579.008</v>
      </c>
      <c r="H1878" s="18" t="str">
        <f aca="false">'CEMIUP0.9 Raw'!A170</f>
        <v>107 - Pharmacies</v>
      </c>
    </row>
    <row r="1879" customFormat="false" ht="15" hidden="false" customHeight="false" outlineLevel="0" collapsed="false">
      <c r="A1879" s="18" t="n">
        <f aca="false">'CEMIUP0.9 Raw'!B305</f>
        <v>4413134</v>
      </c>
      <c r="B1879" s="18" t="str">
        <f aca="false">'CEMIUP0.9 Raw'!C305</f>
        <v>76 XLמיישר כתף יציב יישור רחב</v>
      </c>
      <c r="C1879" s="18" t="str">
        <f aca="false">'CEMIUP0.9 Raw'!C305</f>
        <v>76 XLמיישר כתף יציב יישור רחב</v>
      </c>
      <c r="D1879" s="19" t="n">
        <f aca="false">'CEMIUP0.9 Raw'!D305</f>
        <v>22</v>
      </c>
      <c r="E1879" s="19" t="n">
        <f aca="false">'CEMIUP0.9 Raw'!E305</f>
        <v>4027.66</v>
      </c>
      <c r="F1879" s="19" t="n">
        <f aca="false">'CEMIUP0.9 Raw'!F305</f>
        <v>18.9473684210526</v>
      </c>
      <c r="G1879" s="19" t="n">
        <f aca="false">'CEMIUP0.9 Raw'!G305</f>
        <v>3547.07368421053</v>
      </c>
      <c r="H1879" s="18" t="str">
        <f aca="false">'CEMIUP0.9 Raw'!A305</f>
        <v>107 - Pharmacies</v>
      </c>
    </row>
    <row r="1880" customFormat="false" ht="15" hidden="false" customHeight="false" outlineLevel="0" collapsed="false">
      <c r="A1880" s="18" t="n">
        <f aca="false">'CEMIUP0.9 Raw'!B350</f>
        <v>4413204</v>
      </c>
      <c r="B1880" s="18" t="str">
        <f aca="false">'CEMIUP0.9 Raw'!C350</f>
        <v>87 XXL מקבע כתף ויד</v>
      </c>
      <c r="C1880" s="18" t="str">
        <f aca="false">'CEMIUP0.9 Raw'!C350</f>
        <v>87 XXL מקבע כתף ויד</v>
      </c>
      <c r="D1880" s="19" t="n">
        <f aca="false">'CEMIUP0.9 Raw'!D350</f>
        <v>13</v>
      </c>
      <c r="E1880" s="19" t="n">
        <f aca="false">'CEMIUP0.9 Raw'!E350</f>
        <v>1965.28</v>
      </c>
      <c r="F1880" s="19" t="n">
        <f aca="false">'CEMIUP0.9 Raw'!F350</f>
        <v>18.9473684210526</v>
      </c>
      <c r="G1880" s="19" t="n">
        <f aca="false">'CEMIUP0.9 Raw'!G350</f>
        <v>3113.76631578947</v>
      </c>
      <c r="H1880" s="18" t="str">
        <f aca="false">'CEMIUP0.9 Raw'!A350</f>
        <v>107 - Pharmacies</v>
      </c>
    </row>
    <row r="1881" customFormat="false" ht="15" hidden="false" customHeight="false" outlineLevel="0" collapsed="false">
      <c r="A1881" s="18" t="n">
        <f aca="false">'CEMIUP0.9 Raw'!B460</f>
        <v>4413528</v>
      </c>
      <c r="B1881" s="18" t="str">
        <f aca="false">'CEMIUP0.9 Raw'!C460</f>
        <v>39-42 מדרסי אפיק ג'ל עבודה</v>
      </c>
      <c r="C1881" s="18" t="str">
        <f aca="false">'CEMIUP0.9 Raw'!C460</f>
        <v>39-42 מדרסי אפיק ג'ל עבודה</v>
      </c>
      <c r="D1881" s="19" t="n">
        <f aca="false">'CEMIUP0.9 Raw'!D460</f>
        <v>23</v>
      </c>
      <c r="E1881" s="19" t="n">
        <f aca="false">'CEMIUP0.9 Raw'!E460</f>
        <v>2146.235</v>
      </c>
      <c r="F1881" s="19" t="n">
        <f aca="false">'CEMIUP0.9 Raw'!F460</f>
        <v>18.9473684210526</v>
      </c>
      <c r="G1881" s="19" t="n">
        <f aca="false">'CEMIUP0.9 Raw'!G460</f>
        <v>1850.07789473684</v>
      </c>
      <c r="H1881" s="18" t="str">
        <f aca="false">'CEMIUP0.9 Raw'!A460</f>
        <v>107 - Pharmacies</v>
      </c>
    </row>
    <row r="1882" customFormat="false" ht="15" hidden="false" customHeight="false" outlineLevel="0" collapsed="false">
      <c r="A1882" s="18" t="n">
        <f aca="false">'CEMIUP0.9 Raw'!B534</f>
        <v>4419011</v>
      </c>
      <c r="B1882" s="18" t="str">
        <f aca="false">'CEMIUP0.9 Raw'!C534</f>
        <v>239B S-M STRAP4U</v>
      </c>
      <c r="C1882" s="18" t="str">
        <f aca="false">'CEMIUP0.9 Raw'!C534</f>
        <v>239B S-M STRAP4U</v>
      </c>
      <c r="D1882" s="19" t="n">
        <f aca="false">'CEMIUP0.9 Raw'!D534</f>
        <v>-1</v>
      </c>
      <c r="E1882" s="19" t="n">
        <f aca="false">'CEMIUP0.9 Raw'!E534</f>
        <v>7.783</v>
      </c>
      <c r="F1882" s="19" t="n">
        <f aca="false">'CEMIUP0.9 Raw'!F534</f>
        <v>18.9473684210526</v>
      </c>
      <c r="G1882" s="19" t="n">
        <f aca="false">'CEMIUP0.9 Raw'!G534</f>
        <v>337.023157894737</v>
      </c>
      <c r="H1882" s="18" t="str">
        <f aca="false">'CEMIUP0.9 Raw'!A534</f>
        <v>107 - Pharmacies</v>
      </c>
    </row>
    <row r="1883" customFormat="false" ht="15" hidden="false" customHeight="false" outlineLevel="0" collapsed="false">
      <c r="A1883" s="18" t="n">
        <f aca="false">'CEMIUP0.9 Raw'!B769</f>
        <v>4413034</v>
      </c>
      <c r="B1883" s="18" t="str">
        <f aca="false">'CEMIUP0.9 Raw'!C769</f>
        <v>312 0</v>
      </c>
      <c r="C1883" s="18" t="str">
        <f aca="false">'CEMIUP0.9 Raw'!C769</f>
        <v>312 0</v>
      </c>
      <c r="D1883" s="19" t="n">
        <f aca="false">'CEMIUP0.9 Raw'!D769</f>
        <v>69</v>
      </c>
      <c r="E1883" s="19" t="n">
        <f aca="false">'CEMIUP0.9 Raw'!E769</f>
        <v>985.32</v>
      </c>
      <c r="F1883" s="19" t="n">
        <f aca="false">'CEMIUP0.9 Raw'!F769</f>
        <v>18.9473684210526</v>
      </c>
      <c r="G1883" s="19" t="n">
        <f aca="false">'CEMIUP0.9 Raw'!G769</f>
        <v>270.568421052632</v>
      </c>
      <c r="H1883" s="18" t="str">
        <f aca="false">'CEMIUP0.9 Raw'!A769</f>
        <v>113 - Kupat Holim Meuhedet</v>
      </c>
    </row>
    <row r="1884" customFormat="false" ht="15" hidden="false" customHeight="false" outlineLevel="0" collapsed="false">
      <c r="A1884" s="18" t="n">
        <f aca="false">'CEMIUP0.9 Raw'!B806</f>
        <v>4413134</v>
      </c>
      <c r="B1884" s="18" t="str">
        <f aca="false">'CEMIUP0.9 Raw'!C806</f>
        <v>76 XLמיישר כתף יציב יישור רחב</v>
      </c>
      <c r="C1884" s="18" t="str">
        <f aca="false">'CEMIUP0.9 Raw'!C806</f>
        <v>76 XLמיישר כתף יציב יישור רחב</v>
      </c>
      <c r="D1884" s="19" t="n">
        <f aca="false">'CEMIUP0.9 Raw'!D806</f>
        <v>7</v>
      </c>
      <c r="E1884" s="19" t="n">
        <f aca="false">'CEMIUP0.9 Raw'!E806</f>
        <v>954.1</v>
      </c>
      <c r="F1884" s="19" t="n">
        <f aca="false">'CEMIUP0.9 Raw'!F806</f>
        <v>18.9473684210526</v>
      </c>
      <c r="G1884" s="19" t="n">
        <f aca="false">'CEMIUP0.9 Raw'!G806</f>
        <v>2474.06021052632</v>
      </c>
      <c r="H1884" s="18" t="str">
        <f aca="false">'CEMIUP0.9 Raw'!A806</f>
        <v>113 - Kupat Holim Meuhedet</v>
      </c>
    </row>
    <row r="1885" customFormat="false" ht="15" hidden="false" customHeight="false" outlineLevel="0" collapsed="false">
      <c r="A1885" s="18" t="n">
        <f aca="false">'CEMIUP0.9 Raw'!B1115</f>
        <v>4413129</v>
      </c>
      <c r="B1885" s="18" t="str">
        <f aca="false">'CEMIUP0.9 Raw'!C1115</f>
        <v>75 XLמיישר כתף יציב יישור ג.צר</v>
      </c>
      <c r="C1885" s="18" t="str">
        <f aca="false">'CEMIUP0.9 Raw'!C1115</f>
        <v>75 XLמיישר כתף יציב יישור ג.צר</v>
      </c>
      <c r="D1885" s="19" t="n">
        <f aca="false">'CEMIUP0.9 Raw'!D1115</f>
        <v>22</v>
      </c>
      <c r="E1885" s="19" t="n">
        <f aca="false">'CEMIUP0.9 Raw'!E1115</f>
        <v>2825.823</v>
      </c>
      <c r="F1885" s="19" t="n">
        <f aca="false">'CEMIUP0.9 Raw'!F1115</f>
        <v>18.9473684210526</v>
      </c>
      <c r="G1885" s="19" t="n">
        <f aca="false">'CEMIUP0.9 Raw'!G1115</f>
        <v>2433.78063157895</v>
      </c>
      <c r="H1885" s="18" t="str">
        <f aca="false">'CEMIUP0.9 Raw'!A1115</f>
        <v>BE (CEMI internal group)</v>
      </c>
    </row>
    <row r="1886" customFormat="false" ht="15" hidden="false" customHeight="false" outlineLevel="0" collapsed="false">
      <c r="A1886" s="18" t="n">
        <f aca="false">'CEMIUP0.9 Raw'!B1143</f>
        <v>4413183</v>
      </c>
      <c r="B1886" s="18" t="str">
        <f aca="false">'CEMIUP0.9 Raw'!C1143</f>
        <v>T 45 M מגן ברך רגיל</v>
      </c>
      <c r="C1886" s="18" t="str">
        <f aca="false">'CEMIUP0.9 Raw'!C1143</f>
        <v>T 45 M מגן ברך רגיל</v>
      </c>
      <c r="D1886" s="19" t="n">
        <f aca="false">'CEMIUP0.9 Raw'!D1143</f>
        <v>9</v>
      </c>
      <c r="E1886" s="19" t="n">
        <f aca="false">'CEMIUP0.9 Raw'!E1143</f>
        <v>794.703</v>
      </c>
      <c r="F1886" s="19" t="n">
        <f aca="false">'CEMIUP0.9 Raw'!F1143</f>
        <v>18.9473684210526</v>
      </c>
      <c r="G1886" s="19" t="n">
        <f aca="false">'CEMIUP0.9 Raw'!G1143</f>
        <v>1673.05894736842</v>
      </c>
      <c r="H1886" s="18" t="str">
        <f aca="false">'CEMIUP0.9 Raw'!A1143</f>
        <v>BE (CEMI internal group)</v>
      </c>
    </row>
    <row r="1887" customFormat="false" ht="15" hidden="false" customHeight="false" outlineLevel="0" collapsed="false">
      <c r="A1887" s="18" t="n">
        <f aca="false">'CEMIUP0.9 Raw'!B1213</f>
        <v>4415008</v>
      </c>
      <c r="B1887" s="18" t="str">
        <f aca="false">'CEMIUP0.9 Raw'!C1213</f>
        <v>28 XL סד לאגודל לאחר שבר</v>
      </c>
      <c r="C1887" s="18" t="str">
        <f aca="false">'CEMIUP0.9 Raw'!C1213</f>
        <v>28 XL סד לאגודל לאחר שבר</v>
      </c>
      <c r="D1887" s="19" t="n">
        <f aca="false">'CEMIUP0.9 Raw'!D1213</f>
        <v>18</v>
      </c>
      <c r="E1887" s="19" t="n">
        <f aca="false">'CEMIUP0.9 Raw'!E1213</f>
        <v>1410.318</v>
      </c>
      <c r="F1887" s="19" t="n">
        <f aca="false">'CEMIUP0.9 Raw'!F1213</f>
        <v>18.9473684210526</v>
      </c>
      <c r="G1887" s="19" t="n">
        <f aca="false">'CEMIUP0.9 Raw'!G1213</f>
        <v>1520.75368421053</v>
      </c>
      <c r="H1887" s="18" t="str">
        <f aca="false">'CEMIUP0.9 Raw'!A1213</f>
        <v>BE (CEMI internal group)</v>
      </c>
    </row>
    <row r="1888" customFormat="false" ht="15" hidden="false" customHeight="false" outlineLevel="0" collapsed="false">
      <c r="A1888" s="18" t="n">
        <f aca="false">'CEMIUP0.9 Raw'!B1498</f>
        <v>4413127</v>
      </c>
      <c r="B1888" s="18" t="str">
        <f aca="false">'CEMIUP0.9 Raw'!C1498</f>
        <v>75 Lמיישר כתף יציב יישור גב צר</v>
      </c>
      <c r="C1888" s="18" t="str">
        <f aca="false">'CEMIUP0.9 Raw'!C1498</f>
        <v>75 Lמיישר כתף יציב יישור גב צר</v>
      </c>
      <c r="D1888" s="19" t="n">
        <f aca="false">'CEMIUP0.9 Raw'!D1498</f>
        <v>69</v>
      </c>
      <c r="E1888" s="19" t="n">
        <f aca="false">'CEMIUP0.9 Raw'!E1498</f>
        <v>8265.621</v>
      </c>
      <c r="F1888" s="19" t="n">
        <f aca="false">'CEMIUP0.9 Raw'!F1498</f>
        <v>18.9473684210526</v>
      </c>
      <c r="G1888" s="19" t="n">
        <f aca="false">'CEMIUP0.9 Raw'!G1498</f>
        <v>2376.30694736842</v>
      </c>
      <c r="H1888" s="18" t="str">
        <f aca="false">'CEMIUP0.9 Raw'!A1498</f>
        <v>Super-Pharm Israel (CEMI internal group)</v>
      </c>
    </row>
    <row r="1889" customFormat="false" ht="15" hidden="false" customHeight="false" outlineLevel="0" collapsed="false">
      <c r="A1889" s="18" t="n">
        <f aca="false">'CEMIUP0.9 Raw'!B1521</f>
        <v>4413154</v>
      </c>
      <c r="B1889" s="18" t="str">
        <f aca="false">'CEMIUP0.9 Raw'!C1521</f>
        <v>305GA מדרס אורטופ.מתכוון37-38</v>
      </c>
      <c r="C1889" s="18" t="str">
        <f aca="false">'CEMIUP0.9 Raw'!C1521</f>
        <v>305GA מדרס אורטופ.מתכוון37-38</v>
      </c>
      <c r="D1889" s="19" t="n">
        <f aca="false">'CEMIUP0.9 Raw'!D1521</f>
        <v>9</v>
      </c>
      <c r="E1889" s="19" t="n">
        <f aca="false">'CEMIUP0.9 Raw'!E1521</f>
        <v>695.24</v>
      </c>
      <c r="F1889" s="19" t="n">
        <f aca="false">'CEMIUP0.9 Raw'!F1521</f>
        <v>18.9473684210526</v>
      </c>
      <c r="G1889" s="19" t="n">
        <f aca="false">'CEMIUP0.9 Raw'!G1521</f>
        <v>1131.08210526316</v>
      </c>
      <c r="H1889" s="18" t="str">
        <f aca="false">'CEMIUP0.9 Raw'!A1521</f>
        <v>Super-Pharm Israel (CEMI internal group)</v>
      </c>
    </row>
    <row r="1890" customFormat="false" ht="15" hidden="false" customHeight="false" outlineLevel="0" collapsed="false">
      <c r="A1890" s="18" t="n">
        <f aca="false">'CEMIUP0.9 Raw'!B95</f>
        <v>4408080</v>
      </c>
      <c r="B1890" s="18" t="str">
        <f aca="false">'CEMIUP0.9 Raw'!C95</f>
        <v>59R L חגורת שבר לצד ימין</v>
      </c>
      <c r="C1890" s="18" t="str">
        <f aca="false">'CEMIUP0.9 Raw'!C95</f>
        <v>59R L חגורת שבר לצד ימין</v>
      </c>
      <c r="D1890" s="19" t="n">
        <f aca="false">'CEMIUP0.9 Raw'!D95</f>
        <v>11</v>
      </c>
      <c r="E1890" s="19" t="n">
        <f aca="false">'CEMIUP0.9 Raw'!E95</f>
        <v>1831.702</v>
      </c>
      <c r="F1890" s="19" t="n">
        <f aca="false">'CEMIUP0.9 Raw'!F95</f>
        <v>17.6842105263158</v>
      </c>
      <c r="G1890" s="19" t="n">
        <f aca="false">'CEMIUP0.9 Raw'!G95</f>
        <v>3004.26063157895</v>
      </c>
      <c r="H1890" s="18" t="str">
        <f aca="false">'CEMIUP0.9 Raw'!A95</f>
        <v>107 - Pharmacies</v>
      </c>
    </row>
    <row r="1891" customFormat="false" ht="15" hidden="false" customHeight="false" outlineLevel="0" collapsed="false">
      <c r="A1891" s="18" t="n">
        <f aca="false">'CEMIUP0.9 Raw'!B176</f>
        <v>4408261</v>
      </c>
      <c r="B1891" s="18" t="str">
        <f aca="false">'CEMIUP0.9 Raw'!C176</f>
        <v>11STO L</v>
      </c>
      <c r="C1891" s="18" t="str">
        <f aca="false">'CEMIUP0.9 Raw'!C176</f>
        <v>11STO L</v>
      </c>
      <c r="D1891" s="19" t="n">
        <f aca="false">'CEMIUP0.9 Raw'!D176</f>
        <v>24</v>
      </c>
      <c r="E1891" s="19" t="n">
        <f aca="false">'CEMIUP0.9 Raw'!E176</f>
        <v>2704.04</v>
      </c>
      <c r="F1891" s="19" t="n">
        <f aca="false">'CEMIUP0.9 Raw'!F176</f>
        <v>17.6842105263158</v>
      </c>
      <c r="G1891" s="19" t="n">
        <f aca="false">'CEMIUP0.9 Raw'!G176</f>
        <v>1934.37473684211</v>
      </c>
      <c r="H1891" s="18" t="str">
        <f aca="false">'CEMIUP0.9 Raw'!A176</f>
        <v>107 - Pharmacies</v>
      </c>
    </row>
    <row r="1892" customFormat="false" ht="15" hidden="false" customHeight="false" outlineLevel="0" collapsed="false">
      <c r="A1892" s="18" t="n">
        <f aca="false">'CEMIUP0.9 Raw'!B292</f>
        <v>4413119</v>
      </c>
      <c r="B1892" s="18" t="str">
        <f aca="false">'CEMIUP0.9 Raw'!C292</f>
        <v>50 XL מתלה אשכים לאחר ניתוח</v>
      </c>
      <c r="C1892" s="18" t="str">
        <f aca="false">'CEMIUP0.9 Raw'!C292</f>
        <v>50 XL מתלה אשכים לאחר ניתוח</v>
      </c>
      <c r="D1892" s="19" t="n">
        <f aca="false">'CEMIUP0.9 Raw'!D292</f>
        <v>12</v>
      </c>
      <c r="E1892" s="19" t="n">
        <f aca="false">'CEMIUP0.9 Raw'!E292</f>
        <v>1132.894</v>
      </c>
      <c r="F1892" s="19" t="n">
        <f aca="false">'CEMIUP0.9 Raw'!F292</f>
        <v>17.6842105263158</v>
      </c>
      <c r="G1892" s="19" t="n">
        <f aca="false">'CEMIUP0.9 Raw'!G292</f>
        <v>1950.93473684211</v>
      </c>
      <c r="H1892" s="18" t="str">
        <f aca="false">'CEMIUP0.9 Raw'!A292</f>
        <v>107 - Pharmacies</v>
      </c>
    </row>
    <row r="1893" customFormat="false" ht="15" hidden="false" customHeight="false" outlineLevel="0" collapsed="false">
      <c r="A1893" s="18" t="n">
        <f aca="false">'CEMIUP0.9 Raw'!B461</f>
        <v>4413529</v>
      </c>
      <c r="B1893" s="18" t="str">
        <f aca="false">'CEMIUP0.9 Raw'!C461</f>
        <v>43-47 מדרסי אפיק ג'ל עבודה</v>
      </c>
      <c r="C1893" s="18" t="str">
        <f aca="false">'CEMIUP0.9 Raw'!C461</f>
        <v>43-47 מדרסי אפיק ג'ל עבודה</v>
      </c>
      <c r="D1893" s="19" t="n">
        <f aca="false">'CEMIUP0.9 Raw'!D461</f>
        <v>22</v>
      </c>
      <c r="E1893" s="19" t="n">
        <f aca="false">'CEMIUP0.9 Raw'!E461</f>
        <v>1964.235</v>
      </c>
      <c r="F1893" s="19" t="n">
        <f aca="false">'CEMIUP0.9 Raw'!F461</f>
        <v>17.6842105263158</v>
      </c>
      <c r="G1893" s="19" t="n">
        <f aca="false">'CEMIUP0.9 Raw'!G461</f>
        <v>1692.6</v>
      </c>
      <c r="H1893" s="18" t="str">
        <f aca="false">'CEMIUP0.9 Raw'!A461</f>
        <v>107 - Pharmacies</v>
      </c>
    </row>
    <row r="1894" customFormat="false" ht="15" hidden="false" customHeight="false" outlineLevel="0" collapsed="false">
      <c r="A1894" s="18" t="n">
        <f aca="false">'CEMIUP0.9 Raw'!B472</f>
        <v>4415007</v>
      </c>
      <c r="B1894" s="18" t="str">
        <f aca="false">'CEMIUP0.9 Raw'!C472</f>
        <v>28 S סד לאגודל לאחר שבר</v>
      </c>
      <c r="C1894" s="18" t="str">
        <f aca="false">'CEMIUP0.9 Raw'!C472</f>
        <v>28 S סד לאגודל לאחר שבר</v>
      </c>
      <c r="D1894" s="19" t="n">
        <f aca="false">'CEMIUP0.9 Raw'!D472</f>
        <v>63</v>
      </c>
      <c r="E1894" s="19" t="n">
        <f aca="false">'CEMIUP0.9 Raw'!E472</f>
        <v>5615.587</v>
      </c>
      <c r="F1894" s="19" t="n">
        <f aca="false">'CEMIUP0.9 Raw'!F472</f>
        <v>17.6842105263158</v>
      </c>
      <c r="G1894" s="19" t="n">
        <f aca="false">'CEMIUP0.9 Raw'!G472</f>
        <v>1634.73978947368</v>
      </c>
      <c r="H1894" s="18" t="str">
        <f aca="false">'CEMIUP0.9 Raw'!A472</f>
        <v>107 - Pharmacies</v>
      </c>
    </row>
    <row r="1895" customFormat="false" ht="15" hidden="false" customHeight="false" outlineLevel="0" collapsed="false">
      <c r="A1895" s="18" t="n">
        <f aca="false">'CEMIUP0.9 Raw'!B591</f>
        <v>4422037</v>
      </c>
      <c r="B1895" s="18" t="str">
        <f aca="false">'CEMIUP0.9 Raw'!C591</f>
        <v>SH422 1 תומך ברך גנושילד</v>
      </c>
      <c r="C1895" s="18" t="str">
        <f aca="false">'CEMIUP0.9 Raw'!C591</f>
        <v>SH422 1 תומך ברך גנושילד</v>
      </c>
      <c r="D1895" s="19" t="n">
        <f aca="false">'CEMIUP0.9 Raw'!D591</f>
        <v>1</v>
      </c>
      <c r="E1895" s="19" t="n">
        <f aca="false">'CEMIUP0.9 Raw'!E591</f>
        <v>196.014</v>
      </c>
      <c r="F1895" s="19" t="n">
        <f aca="false">'CEMIUP0.9 Raw'!F591</f>
        <v>17.6842105263158</v>
      </c>
      <c r="G1895" s="19" t="n">
        <f aca="false">'CEMIUP0.9 Raw'!G591</f>
        <v>3383.36084210526</v>
      </c>
      <c r="H1895" s="18" t="str">
        <f aca="false">'CEMIUP0.9 Raw'!A591</f>
        <v>107 - Pharmacies</v>
      </c>
    </row>
    <row r="1896" customFormat="false" ht="15" hidden="false" customHeight="false" outlineLevel="0" collapsed="false">
      <c r="A1896" s="18" t="n">
        <f aca="false">'CEMIUP0.9 Raw'!B766</f>
        <v>4411030</v>
      </c>
      <c r="B1896" s="18" t="str">
        <f aca="false">'CEMIUP0.9 Raw'!C766</f>
        <v>213CTSR M ימין CTS כפפות</v>
      </c>
      <c r="C1896" s="18" t="str">
        <f aca="false">'CEMIUP0.9 Raw'!C766</f>
        <v>213CTSR M ימין CTS כפפות</v>
      </c>
      <c r="D1896" s="19" t="n">
        <f aca="false">'CEMIUP0.9 Raw'!D766</f>
        <v>0</v>
      </c>
      <c r="E1896" s="19" t="n">
        <f aca="false">'CEMIUP0.9 Raw'!E766</f>
        <v>0</v>
      </c>
      <c r="F1896" s="19" t="n">
        <f aca="false">'CEMIUP0.9 Raw'!F766</f>
        <v>17.6842105263158</v>
      </c>
      <c r="G1896" s="19" t="n">
        <f aca="false">'CEMIUP0.9 Raw'!G766</f>
        <v>1142.57684210526</v>
      </c>
      <c r="H1896" s="18" t="str">
        <f aca="false">'CEMIUP0.9 Raw'!A766</f>
        <v>113 - Kupat Holim Meuhedet</v>
      </c>
    </row>
    <row r="1897" customFormat="false" ht="15" hidden="false" customHeight="false" outlineLevel="0" collapsed="false">
      <c r="A1897" s="18" t="n">
        <f aca="false">'CEMIUP0.9 Raw'!B805</f>
        <v>4413133</v>
      </c>
      <c r="B1897" s="18" t="str">
        <f aca="false">'CEMIUP0.9 Raw'!C805</f>
        <v>76 Mמיישר כתף יציב,יישור רחב</v>
      </c>
      <c r="C1897" s="18" t="str">
        <f aca="false">'CEMIUP0.9 Raw'!C805</f>
        <v>76 Mמיישר כתף יציב,יישור רחב</v>
      </c>
      <c r="D1897" s="19" t="n">
        <f aca="false">'CEMIUP0.9 Raw'!D805</f>
        <v>24</v>
      </c>
      <c r="E1897" s="19" t="n">
        <f aca="false">'CEMIUP0.9 Raw'!E805</f>
        <v>3271.2</v>
      </c>
      <c r="F1897" s="19" t="n">
        <f aca="false">'CEMIUP0.9 Raw'!F805</f>
        <v>17.6842105263158</v>
      </c>
      <c r="G1897" s="19" t="n">
        <f aca="false">'CEMIUP0.9 Raw'!G805</f>
        <v>2317.38694736842</v>
      </c>
      <c r="H1897" s="18" t="str">
        <f aca="false">'CEMIUP0.9 Raw'!A805</f>
        <v>113 - Kupat Holim Meuhedet</v>
      </c>
    </row>
    <row r="1898" customFormat="false" ht="15" hidden="false" customHeight="false" outlineLevel="0" collapsed="false">
      <c r="A1898" s="18" t="n">
        <f aca="false">'CEMIUP0.9 Raw'!B829</f>
        <v>4413204</v>
      </c>
      <c r="B1898" s="18" t="str">
        <f aca="false">'CEMIUP0.9 Raw'!C829</f>
        <v>87 XXL מקבע כתף ויד</v>
      </c>
      <c r="C1898" s="18" t="str">
        <f aca="false">'CEMIUP0.9 Raw'!C829</f>
        <v>87 XXL מקבע כתף ויד</v>
      </c>
      <c r="D1898" s="19" t="n">
        <f aca="false">'CEMIUP0.9 Raw'!D829</f>
        <v>18</v>
      </c>
      <c r="E1898" s="19" t="n">
        <f aca="false">'CEMIUP0.9 Raw'!E829</f>
        <v>2277</v>
      </c>
      <c r="F1898" s="19" t="n">
        <f aca="false">'CEMIUP0.9 Raw'!F829</f>
        <v>17.6842105263158</v>
      </c>
      <c r="G1898" s="19" t="n">
        <f aca="false">'CEMIUP0.9 Raw'!G829</f>
        <v>2136.38526315789</v>
      </c>
      <c r="H1898" s="18" t="str">
        <f aca="false">'CEMIUP0.9 Raw'!A829</f>
        <v>113 - Kupat Holim Meuhedet</v>
      </c>
    </row>
    <row r="1899" customFormat="false" ht="15" hidden="false" customHeight="false" outlineLevel="0" collapsed="false">
      <c r="A1899" s="18" t="n">
        <f aca="false">'CEMIUP0.9 Raw'!B864</f>
        <v>4420017</v>
      </c>
      <c r="B1899" s="18" t="str">
        <f aca="false">'CEMIUP0.9 Raw'!C864</f>
        <v>4022 0</v>
      </c>
      <c r="C1899" s="18" t="str">
        <f aca="false">'CEMIUP0.9 Raw'!C864</f>
        <v>4022 0</v>
      </c>
      <c r="D1899" s="19" t="n">
        <f aca="false">'CEMIUP0.9 Raw'!D864</f>
        <v>76</v>
      </c>
      <c r="E1899" s="19" t="n">
        <f aca="false">'CEMIUP0.9 Raw'!E864</f>
        <v>4931.64</v>
      </c>
      <c r="F1899" s="19" t="n">
        <f aca="false">'CEMIUP0.9 Raw'!F864</f>
        <v>17.6842105263158</v>
      </c>
      <c r="G1899" s="19" t="n">
        <f aca="false">'CEMIUP0.9 Raw'!G864</f>
        <v>1147.52842105263</v>
      </c>
      <c r="H1899" s="18" t="str">
        <f aca="false">'CEMIUP0.9 Raw'!A864</f>
        <v>113 - Kupat Holim Meuhedet</v>
      </c>
    </row>
    <row r="1900" customFormat="false" ht="15" hidden="false" customHeight="false" outlineLevel="0" collapsed="false">
      <c r="A1900" s="18" t="n">
        <f aca="false">'CEMIUP0.9 Raw'!B875</f>
        <v>4422006</v>
      </c>
      <c r="B1900" s="18" t="str">
        <f aca="false">'CEMIUP0.9 Raw'!C875</f>
        <v>T78 L תומך זרוע וכתף</v>
      </c>
      <c r="C1900" s="18" t="str">
        <f aca="false">'CEMIUP0.9 Raw'!C875</f>
        <v>T78 L תומך זרוע וכתף</v>
      </c>
      <c r="D1900" s="19" t="n">
        <f aca="false">'CEMIUP0.9 Raw'!D875</f>
        <v>9</v>
      </c>
      <c r="E1900" s="19" t="n">
        <f aca="false">'CEMIUP0.9 Raw'!E875</f>
        <v>1158.39</v>
      </c>
      <c r="F1900" s="19" t="n">
        <f aca="false">'CEMIUP0.9 Raw'!F875</f>
        <v>17.6842105263158</v>
      </c>
      <c r="G1900" s="19" t="n">
        <f aca="false">'CEMIUP0.9 Raw'!G875</f>
        <v>2159.09936842105</v>
      </c>
      <c r="H1900" s="18" t="str">
        <f aca="false">'CEMIUP0.9 Raw'!A875</f>
        <v>113 - Kupat Holim Meuhedet</v>
      </c>
    </row>
    <row r="1901" customFormat="false" ht="15" hidden="false" customHeight="false" outlineLevel="0" collapsed="false">
      <c r="A1901" s="18" t="n">
        <f aca="false">'CEMIUP0.9 Raw'!B1191</f>
        <v>4413440</v>
      </c>
      <c r="B1901" s="18" t="str">
        <f aca="false">'CEMIUP0.9 Raw'!C1191</f>
        <v>SC422  L מגן ברך</v>
      </c>
      <c r="C1901" s="18" t="str">
        <f aca="false">'CEMIUP0.9 Raw'!C1191</f>
        <v>SC422  L מגן ברך</v>
      </c>
      <c r="D1901" s="19" t="n">
        <f aca="false">'CEMIUP0.9 Raw'!D1191</f>
        <v>8</v>
      </c>
      <c r="E1901" s="19" t="n">
        <f aca="false">'CEMIUP0.9 Raw'!E1191</f>
        <v>902.811</v>
      </c>
      <c r="F1901" s="19" t="n">
        <f aca="false">'CEMIUP0.9 Raw'!F1191</f>
        <v>17.6842105263158</v>
      </c>
      <c r="G1901" s="19" t="n">
        <f aca="false">'CEMIUP0.9 Raw'!G1191</f>
        <v>2184.68968421053</v>
      </c>
      <c r="H1901" s="18" t="str">
        <f aca="false">'CEMIUP0.9 Raw'!A1191</f>
        <v>BE (CEMI internal group)</v>
      </c>
    </row>
    <row r="1902" customFormat="false" ht="15" hidden="false" customHeight="false" outlineLevel="0" collapsed="false">
      <c r="A1902" s="18" t="n">
        <f aca="false">'CEMIUP0.9 Raw'!B1192</f>
        <v>4413441</v>
      </c>
      <c r="B1902" s="18" t="str">
        <f aca="false">'CEMIUP0.9 Raw'!C1192</f>
        <v>SC422 XL מגן ברך</v>
      </c>
      <c r="C1902" s="18" t="str">
        <f aca="false">'CEMIUP0.9 Raw'!C1192</f>
        <v>SC422 XL מגן ברך</v>
      </c>
      <c r="D1902" s="19" t="n">
        <f aca="false">'CEMIUP0.9 Raw'!D1192</f>
        <v>1</v>
      </c>
      <c r="E1902" s="19" t="n">
        <f aca="false">'CEMIUP0.9 Raw'!E1192</f>
        <v>123.487</v>
      </c>
      <c r="F1902" s="19" t="n">
        <f aca="false">'CEMIUP0.9 Raw'!F1192</f>
        <v>17.6842105263158</v>
      </c>
      <c r="G1902" s="19" t="n">
        <f aca="false">'CEMIUP0.9 Raw'!G1192</f>
        <v>2184.80463157895</v>
      </c>
      <c r="H1902" s="18" t="str">
        <f aca="false">'CEMIUP0.9 Raw'!A1192</f>
        <v>BE (CEMI internal group)</v>
      </c>
    </row>
    <row r="1903" customFormat="false" ht="15" hidden="false" customHeight="false" outlineLevel="0" collapsed="false">
      <c r="A1903" s="18" t="n">
        <f aca="false">'CEMIUP0.9 Raw'!B1313</f>
        <v>4408027</v>
      </c>
      <c r="B1903" s="18" t="str">
        <f aca="false">'CEMIUP0.9 Raw'!C1313</f>
        <v>10 L ""חגורת גב ""לומבו</v>
      </c>
      <c r="C1903" s="18" t="str">
        <f aca="false">'CEMIUP0.9 Raw'!C1313</f>
        <v>10 L ""חגורת גב ""לומבו</v>
      </c>
      <c r="D1903" s="19" t="n">
        <f aca="false">'CEMIUP0.9 Raw'!D1313</f>
        <v>58</v>
      </c>
      <c r="E1903" s="19" t="n">
        <f aca="false">'CEMIUP0.9 Raw'!E1313</f>
        <v>6894.069</v>
      </c>
      <c r="F1903" s="19" t="n">
        <f aca="false">'CEMIUP0.9 Raw'!F1313</f>
        <v>17.6842105263158</v>
      </c>
      <c r="G1903" s="19" t="n">
        <f aca="false">'CEMIUP0.9 Raw'!G1313</f>
        <v>2157.792</v>
      </c>
      <c r="H1903" s="18" t="str">
        <f aca="false">'CEMIUP0.9 Raw'!A1313</f>
        <v>Super-Pharm Israel (CEMI internal group)</v>
      </c>
    </row>
    <row r="1904" customFormat="false" ht="15" hidden="false" customHeight="false" outlineLevel="0" collapsed="false">
      <c r="A1904" s="18" t="n">
        <f aca="false">'CEMIUP0.9 Raw'!B1359</f>
        <v>4408114</v>
      </c>
      <c r="B1904" s="18" t="str">
        <f aca="false">'CEMIUP0.9 Raw'!C1359</f>
        <v>11EU M ח.בטן לאחר ניתוח</v>
      </c>
      <c r="C1904" s="18" t="str">
        <f aca="false">'CEMIUP0.9 Raw'!C1359</f>
        <v>11EU M ח.בטן לאחר ניתוח</v>
      </c>
      <c r="D1904" s="19" t="n">
        <f aca="false">'CEMIUP0.9 Raw'!D1359</f>
        <v>10</v>
      </c>
      <c r="E1904" s="19" t="n">
        <f aca="false">'CEMIUP0.9 Raw'!E1359</f>
        <v>803.439</v>
      </c>
      <c r="F1904" s="19" t="n">
        <f aca="false">'CEMIUP0.9 Raw'!F1359</f>
        <v>17.6842105263158</v>
      </c>
      <c r="G1904" s="19" t="n">
        <f aca="false">'CEMIUP0.9 Raw'!G1359</f>
        <v>1436.61221052632</v>
      </c>
      <c r="H1904" s="18" t="str">
        <f aca="false">'CEMIUP0.9 Raw'!A1359</f>
        <v>Super-Pharm Israel (CEMI internal group)</v>
      </c>
    </row>
    <row r="1905" customFormat="false" ht="15" hidden="false" customHeight="false" outlineLevel="0" collapsed="false">
      <c r="A1905" s="18" t="n">
        <f aca="false">'CEMIUP0.9 Raw'!B1386</f>
        <v>4408231</v>
      </c>
      <c r="B1905" s="18" t="str">
        <f aca="false">'CEMIUP0.9 Raw'!C1386</f>
        <v>16 S-M חגורת הריון</v>
      </c>
      <c r="C1905" s="18" t="str">
        <f aca="false">'CEMIUP0.9 Raw'!C1386</f>
        <v>16 S-M חגורת הריון</v>
      </c>
      <c r="D1905" s="19" t="n">
        <f aca="false">'CEMIUP0.9 Raw'!D1386</f>
        <v>19</v>
      </c>
      <c r="E1905" s="19" t="n">
        <f aca="false">'CEMIUP0.9 Raw'!E1386</f>
        <v>1753.479</v>
      </c>
      <c r="F1905" s="19" t="n">
        <f aca="false">'CEMIUP0.9 Raw'!F1386</f>
        <v>17.6842105263158</v>
      </c>
      <c r="G1905" s="19" t="n">
        <f aca="false">'CEMIUP0.9 Raw'!G1386</f>
        <v>1602.94105263158</v>
      </c>
      <c r="H1905" s="18" t="str">
        <f aca="false">'CEMIUP0.9 Raw'!A1386</f>
        <v>Super-Pharm Israel (CEMI internal group)</v>
      </c>
    </row>
    <row r="1906" customFormat="false" ht="15" hidden="false" customHeight="false" outlineLevel="0" collapsed="false">
      <c r="A1906" s="18" t="n">
        <f aca="false">'CEMIUP0.9 Raw'!B1497</f>
        <v>4413126</v>
      </c>
      <c r="B1906" s="18" t="str">
        <f aca="false">'CEMIUP0.9 Raw'!C1497</f>
        <v>75 Sמיישר כתף יציב יישור גב צר</v>
      </c>
      <c r="C1906" s="18" t="str">
        <f aca="false">'CEMIUP0.9 Raw'!C1497</f>
        <v>75 Sמיישר כתף יציב יישור גב צר</v>
      </c>
      <c r="D1906" s="19" t="n">
        <f aca="false">'CEMIUP0.9 Raw'!D1497</f>
        <v>18</v>
      </c>
      <c r="E1906" s="19" t="n">
        <f aca="false">'CEMIUP0.9 Raw'!E1497</f>
        <v>2218.489</v>
      </c>
      <c r="F1906" s="19" t="n">
        <f aca="false">'CEMIUP0.9 Raw'!F1497</f>
        <v>17.6842105263158</v>
      </c>
      <c r="G1906" s="19" t="n">
        <f aca="false">'CEMIUP0.9 Raw'!G1497</f>
        <v>2951.27368421053</v>
      </c>
      <c r="H1906" s="18" t="str">
        <f aca="false">'CEMIUP0.9 Raw'!A1497</f>
        <v>Super-Pharm Israel (CEMI internal group)</v>
      </c>
    </row>
    <row r="1907" customFormat="false" ht="15" hidden="false" customHeight="false" outlineLevel="0" collapsed="false">
      <c r="A1907" s="18" t="n">
        <f aca="false">'CEMIUP0.9 Raw'!B1709</f>
        <v>4422042</v>
      </c>
      <c r="B1907" s="18" t="str">
        <f aca="false">'CEMIUP0.9 Raw'!C1709</f>
        <v>SH422 6 תומך ברך גנושילד</v>
      </c>
      <c r="C1907" s="18" t="str">
        <f aca="false">'CEMIUP0.9 Raw'!C1709</f>
        <v>SH422 6 תומך ברך גנושילד</v>
      </c>
      <c r="D1907" s="19" t="n">
        <f aca="false">'CEMIUP0.9 Raw'!D1709</f>
        <v>0</v>
      </c>
      <c r="E1907" s="19" t="n">
        <f aca="false">'CEMIUP0.9 Raw'!E1709</f>
        <v>0</v>
      </c>
      <c r="F1907" s="19" t="n">
        <f aca="false">'CEMIUP0.9 Raw'!F1709</f>
        <v>17.6842105263158</v>
      </c>
      <c r="G1907" s="19" t="n">
        <f aca="false">'CEMIUP0.9 Raw'!G1709</f>
        <v>2899.08757894737</v>
      </c>
      <c r="H1907" s="18" t="str">
        <f aca="false">'CEMIUP0.9 Raw'!A1709</f>
        <v>Super-Pharm Israel (CEMI internal group)</v>
      </c>
    </row>
    <row r="1908" customFormat="false" ht="15" hidden="false" customHeight="false" outlineLevel="0" collapsed="false">
      <c r="A1908" s="18" t="n">
        <f aca="false">'SALES Raw'!G532</f>
        <v>4408221</v>
      </c>
      <c r="B1908" s="18" t="str">
        <f aca="false">'SALES Raw'!B532</f>
        <v>078G L</v>
      </c>
      <c r="C1908" s="18" t="str">
        <f aca="false">'SALES Raw'!H532</f>
        <v>078G-L חגורת גב אפורה</v>
      </c>
      <c r="D1908" s="19" t="n">
        <f aca="false">'SALES Raw'!C532</f>
        <v>29</v>
      </c>
      <c r="E1908" s="19" t="n">
        <f aca="false">'SALES Raw'!D532</f>
        <v>2936.67</v>
      </c>
      <c r="F1908" s="19" t="n">
        <f aca="false">'SALES Raw'!E532*$H$4</f>
        <v>17.6842105263158</v>
      </c>
      <c r="G1908" s="19" t="n">
        <f aca="false">'SALES Raw'!F532*$H$4</f>
        <v>2382.65684210526</v>
      </c>
      <c r="H1908" s="18" t="str">
        <f aca="false">'SALES Raw'!A532</f>
        <v>102 - Orthopedic institutes</v>
      </c>
    </row>
    <row r="1909" customFormat="false" ht="15" hidden="false" customHeight="false" outlineLevel="0" collapsed="false">
      <c r="A1909" s="18" t="n">
        <f aca="false">'SALES Raw'!G544</f>
        <v>4413043</v>
      </c>
      <c r="B1909" s="18" t="str">
        <f aca="false">'SALES Raw'!B544</f>
        <v>34 L</v>
      </c>
      <c r="C1909" s="18" t="str">
        <f aca="false">'SALES Raw'!H544</f>
        <v>34  L מגן קרסול עקב סגור</v>
      </c>
      <c r="D1909" s="19" t="n">
        <f aca="false">'SALES Raw'!C544</f>
        <v>26</v>
      </c>
      <c r="E1909" s="19" t="n">
        <f aca="false">'SALES Raw'!D544</f>
        <v>1170.25</v>
      </c>
      <c r="F1909" s="19" t="n">
        <f aca="false">'SALES Raw'!E544*$H$4</f>
        <v>17.6842105263158</v>
      </c>
      <c r="G1909" s="19" t="n">
        <f aca="false">'SALES Raw'!F544*$H$4</f>
        <v>820.105263157895</v>
      </c>
      <c r="H1909" s="18" t="str">
        <f aca="false">'SALES Raw'!A544</f>
        <v>102 - Orthopedic institutes</v>
      </c>
    </row>
    <row r="1910" customFormat="false" ht="15" hidden="false" customHeight="false" outlineLevel="0" collapsed="false">
      <c r="A1910" s="18" t="n">
        <f aca="false">'SALES Raw'!G608</f>
        <v>4408152</v>
      </c>
      <c r="B1910" s="18" t="str">
        <f aca="false">'SALES Raw'!B608</f>
        <v>11TO L</v>
      </c>
      <c r="C1910" s="18" t="str">
        <f aca="false">'SALES Raw'!H608</f>
        <v>11TO L חגורה למנותחי בית החזה</v>
      </c>
      <c r="D1910" s="19" t="n">
        <f aca="false">'SALES Raw'!C608</f>
        <v>16</v>
      </c>
      <c r="E1910" s="19" t="n">
        <f aca="false">'SALES Raw'!D608</f>
        <v>2291.7</v>
      </c>
      <c r="F1910" s="19" t="n">
        <f aca="false">'SALES Raw'!E608*$H$4</f>
        <v>17.6842105263158</v>
      </c>
      <c r="G1910" s="19" t="n">
        <f aca="false">'SALES Raw'!F608*$H$4</f>
        <v>2298.98526315789</v>
      </c>
      <c r="H1910" s="18" t="str">
        <f aca="false">'SALES Raw'!A608</f>
        <v>102 - Orthopedic institutes</v>
      </c>
    </row>
    <row r="1911" customFormat="false" ht="15" hidden="false" customHeight="false" outlineLevel="0" collapsed="false">
      <c r="A1911" s="18" t="n">
        <f aca="false">'SALES Raw'!G867</f>
        <v>4408046</v>
      </c>
      <c r="B1911" s="18" t="str">
        <f aca="false">'SALES Raw'!B867</f>
        <v>20 L</v>
      </c>
      <c r="C1911" s="18" t="str">
        <f aca="false">'SALES Raw'!H867</f>
        <v>20 L חבק יד מתכוון עם צמדן</v>
      </c>
      <c r="D1911" s="19" t="n">
        <f aca="false">'SALES Raw'!C867</f>
        <v>7</v>
      </c>
      <c r="E1911" s="19" t="n">
        <f aca="false">'SALES Raw'!D867</f>
        <v>225.81</v>
      </c>
      <c r="F1911" s="19" t="n">
        <f aca="false">'SALES Raw'!E867*$H$4</f>
        <v>17.6842105263158</v>
      </c>
      <c r="G1911" s="19" t="n">
        <f aca="false">'SALES Raw'!F867*$H$4</f>
        <v>582.063157894737</v>
      </c>
      <c r="H1911" s="18" t="str">
        <f aca="false">'SALES Raw'!A867</f>
        <v>102 - Orthopedic institutes</v>
      </c>
    </row>
    <row r="1912" customFormat="false" ht="15" hidden="false" customHeight="false" outlineLevel="0" collapsed="false">
      <c r="A1912" s="18" t="n">
        <f aca="false">'SALES Raw'!G1468</f>
        <v>4408099</v>
      </c>
      <c r="B1912" s="18" t="str">
        <f aca="false">'SALES Raw'!B1468</f>
        <v>T25C 0</v>
      </c>
      <c r="C1912" s="18" t="str">
        <f aca="false">'SALES Raw'!H1468</f>
        <v>T25C-חבק יד אגודלי</v>
      </c>
      <c r="D1912" s="19" t="n">
        <f aca="false">'SALES Raw'!C1468</f>
        <v>4</v>
      </c>
      <c r="E1912" s="19" t="n">
        <f aca="false">'SALES Raw'!D1468</f>
        <v>181.05</v>
      </c>
      <c r="F1912" s="19" t="n">
        <f aca="false">'SALES Raw'!E1468*$H$4</f>
        <v>17.6842105263158</v>
      </c>
      <c r="G1912" s="19" t="n">
        <f aca="false">'SALES Raw'!F1468*$H$4</f>
        <v>804.353684210526</v>
      </c>
      <c r="H1912" s="18" t="str">
        <f aca="false">'SALES Raw'!A1468</f>
        <v>103 - Physiotherapy institutes</v>
      </c>
    </row>
    <row r="1913" customFormat="false" ht="15" hidden="false" customHeight="false" outlineLevel="0" collapsed="false">
      <c r="A1913" s="18" t="n">
        <f aca="false">'SALES Raw'!G2112</f>
        <v>4408261</v>
      </c>
      <c r="B1913" s="18" t="str">
        <f aca="false">'SALES Raw'!B2112</f>
        <v>11STO L</v>
      </c>
      <c r="C1913" s="18" t="str">
        <f aca="false">'SALES Raw'!H2112</f>
        <v>11STO L חגורה אחרי ניתוח</v>
      </c>
      <c r="D1913" s="19" t="n">
        <f aca="false">'SALES Raw'!C2112</f>
        <v>12</v>
      </c>
      <c r="E1913" s="19" t="n">
        <f aca="false">'SALES Raw'!D2112</f>
        <v>3470.66</v>
      </c>
      <c r="F1913" s="19" t="n">
        <f aca="false">'SALES Raw'!E2112*$H$4</f>
        <v>17.6842105263158</v>
      </c>
      <c r="G1913" s="19" t="n">
        <f aca="false">'SALES Raw'!F2112*$H$4</f>
        <v>5090.76631578947</v>
      </c>
      <c r="H1913" s="18" t="str">
        <f aca="false">'SALES Raw'!A2112</f>
        <v>114 - IL online</v>
      </c>
    </row>
    <row r="1914" customFormat="false" ht="15" hidden="false" customHeight="false" outlineLevel="0" collapsed="false">
      <c r="A1914" s="18" t="n">
        <f aca="false">'SALES Raw'!G2245</f>
        <v>4416000</v>
      </c>
      <c r="B1914" s="18" t="str">
        <f aca="false">'SALES Raw'!B2245</f>
        <v>307 L</v>
      </c>
      <c r="C1914" s="18" t="str">
        <f aca="false">'SALES Raw'!H2245</f>
        <v>307 L עקבים לדורבן-זוג כריות</v>
      </c>
      <c r="D1914" s="19" t="n">
        <f aca="false">'SALES Raw'!C2245</f>
        <v>12</v>
      </c>
      <c r="E1914" s="19" t="n">
        <f aca="false">'SALES Raw'!D2245</f>
        <v>1927.23</v>
      </c>
      <c r="F1914" s="19" t="n">
        <f aca="false">'SALES Raw'!E2245*$H$4</f>
        <v>17.6842105263158</v>
      </c>
      <c r="G1914" s="19" t="n">
        <f aca="false">'SALES Raw'!F2245*$H$4</f>
        <v>2877.09473684211</v>
      </c>
      <c r="H1914" s="18" t="str">
        <f aca="false">'SALES Raw'!A2245</f>
        <v>114 - IL online</v>
      </c>
    </row>
    <row r="1915" customFormat="false" ht="15" hidden="false" customHeight="false" outlineLevel="0" collapsed="false">
      <c r="A1915" s="18" t="n">
        <f aca="false">'SALES Raw'!G2251</f>
        <v>4413033</v>
      </c>
      <c r="B1915" s="18" t="str">
        <f aca="false">'SALES Raw'!B2251</f>
        <v>311 0</v>
      </c>
      <c r="C1915" s="18" t="str">
        <f aca="false">'SALES Raw'!H2251</f>
        <v>311'מדב.ג'ל למניעת שפשוף 5 יח</v>
      </c>
      <c r="D1915" s="19" t="n">
        <f aca="false">'SALES Raw'!C2251</f>
        <v>16</v>
      </c>
      <c r="E1915" s="19" t="n">
        <f aca="false">'SALES Raw'!D2251</f>
        <v>464.23</v>
      </c>
      <c r="F1915" s="19" t="n">
        <f aca="false">'SALES Raw'!E2251*$H$4</f>
        <v>17.6842105263158</v>
      </c>
      <c r="G1915" s="19" t="n">
        <f aca="false">'SALES Raw'!F2251*$H$4</f>
        <v>597.966315789474</v>
      </c>
      <c r="H1915" s="18" t="str">
        <f aca="false">'SALES Raw'!A2251</f>
        <v>114 - IL online</v>
      </c>
    </row>
    <row r="1916" customFormat="false" ht="15" hidden="false" customHeight="false" outlineLevel="0" collapsed="false">
      <c r="A1916" s="18" t="n">
        <f aca="false">'SALES Raw'!G2274</f>
        <v>4413048</v>
      </c>
      <c r="B1916" s="18" t="str">
        <f aca="false">'SALES Raw'!B2274</f>
        <v>35 L</v>
      </c>
      <c r="C1916" s="18" t="str">
        <f aca="false">'SALES Raw'!H2274</f>
        <v>35 L מגן קרסול לבן</v>
      </c>
      <c r="D1916" s="19" t="n">
        <f aca="false">'SALES Raw'!C2274</f>
        <v>10</v>
      </c>
      <c r="E1916" s="19" t="n">
        <f aca="false">'SALES Raw'!D2274</f>
        <v>503.64</v>
      </c>
      <c r="F1916" s="19" t="n">
        <f aca="false">'SALES Raw'!E2274*$H$4</f>
        <v>17.6842105263158</v>
      </c>
      <c r="G1916" s="19" t="n">
        <f aca="false">'SALES Raw'!F2274*$H$4</f>
        <v>945.334736842105</v>
      </c>
      <c r="H1916" s="18" t="str">
        <f aca="false">'SALES Raw'!A2274</f>
        <v>114 - IL online</v>
      </c>
    </row>
    <row r="1917" customFormat="false" ht="15" hidden="false" customHeight="false" outlineLevel="0" collapsed="false">
      <c r="A1917" s="18" t="n">
        <f aca="false">'SALES Raw'!G2332</f>
        <v>4413521</v>
      </c>
      <c r="B1917" s="18" t="str">
        <f aca="false">'SALES Raw'!B2332</f>
        <v>379MSP-39-42</v>
      </c>
      <c r="C1917" s="18" t="str">
        <f aca="false">'SALES Raw'!H2332</f>
        <v>מדרסי אפיק ג'ל מולטי ספור39-42</v>
      </c>
      <c r="D1917" s="19" t="n">
        <f aca="false">'SALES Raw'!C2332</f>
        <v>7</v>
      </c>
      <c r="E1917" s="19" t="n">
        <f aca="false">'SALES Raw'!D2332</f>
        <v>1382.35</v>
      </c>
      <c r="F1917" s="19" t="n">
        <f aca="false">'SALES Raw'!E2332*$H$4</f>
        <v>17.6842105263158</v>
      </c>
      <c r="G1917" s="19" t="n">
        <f aca="false">'SALES Raw'!F2332*$H$4</f>
        <v>3654.7452631579</v>
      </c>
      <c r="H1917" s="18" t="str">
        <f aca="false">'SALES Raw'!A2332</f>
        <v>114 - IL online</v>
      </c>
    </row>
    <row r="1918" customFormat="false" ht="15" hidden="false" customHeight="false" outlineLevel="0" collapsed="false">
      <c r="A1918" s="18" t="n">
        <f aca="false">'SALES Raw'!G2423</f>
        <v>4413395</v>
      </c>
      <c r="B1918" s="18" t="str">
        <f aca="false">'SALES Raw'!B2423</f>
        <v>45EC M</v>
      </c>
      <c r="C1918" s="18" t="str">
        <f aca="false">'SALES Raw'!H2423</f>
        <v>45EC M 'מגן ברך ארוך בז</v>
      </c>
      <c r="D1918" s="19" t="n">
        <f aca="false">'SALES Raw'!C2423</f>
        <v>9</v>
      </c>
      <c r="E1918" s="19" t="n">
        <f aca="false">'SALES Raw'!D2423</f>
        <v>582.31</v>
      </c>
      <c r="F1918" s="19" t="n">
        <f aca="false">'SALES Raw'!E2423*$H$4</f>
        <v>17.6842105263158</v>
      </c>
      <c r="G1918" s="19" t="n">
        <f aca="false">'SALES Raw'!F2423*$H$4</f>
        <v>1154.65263157895</v>
      </c>
      <c r="H1918" s="18" t="str">
        <f aca="false">'SALES Raw'!A2423</f>
        <v>114 - IL online</v>
      </c>
    </row>
    <row r="1919" customFormat="false" ht="15" hidden="false" customHeight="false" outlineLevel="0" collapsed="false">
      <c r="A1919" s="18" t="n">
        <f aca="false">'SALES Raw'!G2540</f>
        <v>4413176</v>
      </c>
      <c r="B1919" s="18" t="str">
        <f aca="false">'SALES Raw'!B2540</f>
        <v>85+ L</v>
      </c>
      <c r="C1919" s="18" t="str">
        <f aca="false">'SALES Raw'!H2540</f>
        <v>85+ Lמתלה ליד)כיס(+רצועת חיזוק</v>
      </c>
      <c r="D1919" s="19" t="n">
        <f aca="false">'SALES Raw'!C2540</f>
        <v>23</v>
      </c>
      <c r="E1919" s="19" t="n">
        <f aca="false">'SALES Raw'!D2540</f>
        <v>3618.72</v>
      </c>
      <c r="F1919" s="19" t="n">
        <f aca="false">'SALES Raw'!E2540*$H$4</f>
        <v>17.6842105263158</v>
      </c>
      <c r="G1919" s="19" t="n">
        <f aca="false">'SALES Raw'!F2540*$H$4</f>
        <v>2917.70526315789</v>
      </c>
      <c r="H1919" s="18" t="str">
        <f aca="false">'SALES Raw'!A2540</f>
        <v>114 - IL online</v>
      </c>
    </row>
    <row r="1920" customFormat="false" ht="15" hidden="false" customHeight="false" outlineLevel="0" collapsed="false">
      <c r="A1920" s="18" t="n">
        <f aca="false">'SALES Raw'!G2555</f>
        <v>4413197</v>
      </c>
      <c r="B1920" s="18" t="str">
        <f aca="false">'SALES Raw'!B2555</f>
        <v>87 L</v>
      </c>
      <c r="C1920" s="18" t="str">
        <f aca="false">'SALES Raw'!H2555</f>
        <v>87 L מקבע כתף ויד</v>
      </c>
      <c r="D1920" s="19" t="n">
        <f aca="false">'SALES Raw'!C2555</f>
        <v>6</v>
      </c>
      <c r="E1920" s="19" t="n">
        <f aca="false">'SALES Raw'!D2555</f>
        <v>2040.19</v>
      </c>
      <c r="F1920" s="19" t="n">
        <f aca="false">'SALES Raw'!E2555*$H$4</f>
        <v>17.6842105263158</v>
      </c>
      <c r="G1920" s="19" t="n">
        <f aca="false">'SALES Raw'!F2555*$H$4</f>
        <v>6143.59578947368</v>
      </c>
      <c r="H1920" s="18" t="str">
        <f aca="false">'SALES Raw'!A2555</f>
        <v>114 - IL online</v>
      </c>
    </row>
    <row r="1921" customFormat="false" ht="15" hidden="false" customHeight="false" outlineLevel="0" collapsed="false">
      <c r="A1921" s="18" t="n">
        <f aca="false">'SALES Raw'!G2715</f>
        <v>4415074</v>
      </c>
      <c r="B1921" s="18" t="str">
        <f aca="false">'SALES Raw'!B2715</f>
        <v>T28AC-S-M</v>
      </c>
      <c r="C1921" s="18" t="str">
        <f aca="false">'SALES Raw'!H2715</f>
        <v>T28AC S-M סד לאגודל</v>
      </c>
      <c r="D1921" s="19" t="n">
        <f aca="false">'SALES Raw'!C2715</f>
        <v>7</v>
      </c>
      <c r="E1921" s="19" t="n">
        <f aca="false">'SALES Raw'!D2715</f>
        <v>836.92</v>
      </c>
      <c r="F1921" s="19" t="n">
        <f aca="false">'SALES Raw'!E2715*$H$4</f>
        <v>17.6842105263158</v>
      </c>
      <c r="G1921" s="19" t="n">
        <f aca="false">'SALES Raw'!F2715*$H$4</f>
        <v>2150.22315789474</v>
      </c>
      <c r="H1921" s="18" t="str">
        <f aca="false">'SALES Raw'!A2715</f>
        <v>114 - IL online</v>
      </c>
    </row>
    <row r="1922" customFormat="false" ht="15" hidden="false" customHeight="false" outlineLevel="0" collapsed="false">
      <c r="A1922" s="18" t="n">
        <f aca="false">'SALES Raw'!G4088</f>
        <v>4413159</v>
      </c>
      <c r="B1922" s="18" t="str">
        <f aca="false">'SALES Raw'!B4088</f>
        <v>34+ S</v>
      </c>
      <c r="C1922" s="18" t="str">
        <f aca="false">'SALES Raw'!H4088</f>
        <v>34+ S מגן קרסול עקב סגור+רצוע</v>
      </c>
      <c r="D1922" s="19" t="n">
        <f aca="false">'SALES Raw'!C4088</f>
        <v>10</v>
      </c>
      <c r="E1922" s="19" t="n">
        <f aca="false">'SALES Raw'!D4088</f>
        <v>324.64</v>
      </c>
      <c r="F1922" s="19" t="n">
        <f aca="false">'SALES Raw'!E4088*$H$4</f>
        <v>17.6842105263158</v>
      </c>
      <c r="G1922" s="19" t="n">
        <f aca="false">'SALES Raw'!F4088*$H$4</f>
        <v>516.404210526316</v>
      </c>
      <c r="H1922" s="18" t="str">
        <f aca="false">'SALES Raw'!A4088</f>
        <v>213 - E.f.m.o. SPAIN</v>
      </c>
    </row>
    <row r="1923" customFormat="false" ht="15" hidden="false" customHeight="false" outlineLevel="0" collapsed="false">
      <c r="A1923" s="18" t="str">
        <f aca="false">'SALES Raw'!G4453</f>
        <v/>
      </c>
      <c r="B1923" s="18" t="str">
        <f aca="false">'SALES Raw'!B4453</f>
        <v>EC-59LB XL</v>
      </c>
      <c r="C1923" s="18" t="str">
        <f aca="false">'SALES Raw'!H4453</f>
        <v>EC-59LB XL</v>
      </c>
      <c r="D1923" s="19" t="n">
        <f aca="false">'SALES Raw'!C4453</f>
        <v>21</v>
      </c>
      <c r="E1923" s="19" t="n">
        <f aca="false">'SALES Raw'!D4453</f>
        <v>3503.89</v>
      </c>
      <c r="F1923" s="19" t="n">
        <f aca="false">'SALES Raw'!E4453*$H$4</f>
        <v>17.6842105263158</v>
      </c>
      <c r="G1923" s="19" t="n">
        <f aca="false">'SALES Raw'!F4453*$H$4</f>
        <v>2975.63368421053</v>
      </c>
      <c r="H1923" s="18" t="str">
        <f aca="false">'SALES Raw'!A4453</f>
        <v>301 - Amazon</v>
      </c>
    </row>
    <row r="1924" customFormat="false" ht="15" hidden="false" customHeight="false" outlineLevel="0" collapsed="false">
      <c r="A1924" s="18" t="n">
        <f aca="false">'SALES Raw'!G249</f>
        <v>4408250</v>
      </c>
      <c r="B1924" s="18" t="str">
        <f aca="false">'SALES Raw'!B249</f>
        <v>SC25 XL</v>
      </c>
      <c r="C1924" s="18" t="str">
        <f aca="false">'SALES Raw'!H249</f>
        <v>SC25 XL חבק יד</v>
      </c>
      <c r="D1924" s="19" t="n">
        <f aca="false">'SALES Raw'!C249</f>
        <v>9</v>
      </c>
      <c r="E1924" s="19" t="n">
        <f aca="false">'SALES Raw'!D249</f>
        <v>691.7</v>
      </c>
      <c r="F1924" s="19" t="n">
        <f aca="false">'SALES Raw'!E249*$H$4</f>
        <v>16.4210526315789</v>
      </c>
      <c r="G1924" s="19" t="n">
        <f aca="false">'SALES Raw'!F249*$H$4</f>
        <v>1490.90526315789</v>
      </c>
      <c r="H1924" s="18" t="str">
        <f aca="false">'SALES Raw'!A249</f>
        <v>101 - Factory customers</v>
      </c>
    </row>
    <row r="1925" customFormat="false" ht="15" hidden="false" customHeight="false" outlineLevel="0" collapsed="false">
      <c r="A1925" s="18" t="n">
        <f aca="false">'SALES Raw'!G599</f>
        <v>4411016</v>
      </c>
      <c r="B1925" s="18" t="str">
        <f aca="false">'SALES Raw'!B599</f>
        <v>307 XL</v>
      </c>
      <c r="C1925" s="18" t="str">
        <f aca="false">'SALES Raw'!H599</f>
        <v>307 XL כרית סיליקון לעקב</v>
      </c>
      <c r="D1925" s="19" t="n">
        <f aca="false">'SALES Raw'!C599</f>
        <v>21</v>
      </c>
      <c r="E1925" s="19" t="n">
        <f aca="false">'SALES Raw'!D599</f>
        <v>1433.15</v>
      </c>
      <c r="F1925" s="19" t="n">
        <f aca="false">'SALES Raw'!E599*$H$4</f>
        <v>16.4210526315789</v>
      </c>
      <c r="G1925" s="19" t="n">
        <f aca="false">'SALES Raw'!F599*$H$4</f>
        <v>1531.11157894737</v>
      </c>
      <c r="H1925" s="18" t="str">
        <f aca="false">'SALES Raw'!A599</f>
        <v>102 - Orthopedic institutes</v>
      </c>
    </row>
    <row r="1926" customFormat="false" ht="15" hidden="false" customHeight="false" outlineLevel="0" collapsed="false">
      <c r="A1926" s="18" t="str">
        <f aca="false">'SALES Raw'!G639</f>
        <v/>
      </c>
      <c r="B1926" s="18" t="str">
        <f aca="false">'SALES Raw'!B639</f>
        <v>395W-39-42</v>
      </c>
      <c r="C1926" s="18" t="str">
        <f aca="false">'SALES Raw'!H639</f>
        <v>395W-39-42</v>
      </c>
      <c r="D1926" s="19" t="n">
        <f aca="false">'SALES Raw'!C639</f>
        <v>0</v>
      </c>
      <c r="E1926" s="19" t="n">
        <f aca="false">'SALES Raw'!D639</f>
        <v>0</v>
      </c>
      <c r="F1926" s="19" t="n">
        <f aca="false">'SALES Raw'!E639*$H$4</f>
        <v>16.4210526315789</v>
      </c>
      <c r="G1926" s="19" t="n">
        <f aca="false">'SALES Raw'!F639*$H$4</f>
        <v>479.04</v>
      </c>
      <c r="H1926" s="18" t="str">
        <f aca="false">'SALES Raw'!A639</f>
        <v>102 - Orthopedic institutes</v>
      </c>
    </row>
    <row r="1927" customFormat="false" ht="15" hidden="false" customHeight="false" outlineLevel="0" collapsed="false">
      <c r="A1927" s="18" t="n">
        <f aca="false">'SALES Raw'!G906</f>
        <v>4413095</v>
      </c>
      <c r="B1927" s="18" t="str">
        <f aca="false">'SALES Raw'!B906</f>
        <v>45 XL</v>
      </c>
      <c r="C1927" s="18" t="str">
        <f aca="false">'SALES Raw'!H906</f>
        <v>45 XL מגן ברך לבן</v>
      </c>
      <c r="D1927" s="19" t="n">
        <f aca="false">'SALES Raw'!C906</f>
        <v>23</v>
      </c>
      <c r="E1927" s="19" t="n">
        <f aca="false">'SALES Raw'!D906</f>
        <v>704.1</v>
      </c>
      <c r="F1927" s="19" t="n">
        <f aca="false">'SALES Raw'!E906*$H$4</f>
        <v>16.4210526315789</v>
      </c>
      <c r="G1927" s="19" t="n">
        <f aca="false">'SALES Raw'!F906*$H$4</f>
        <v>507.271578947368</v>
      </c>
      <c r="H1927" s="18" t="str">
        <f aca="false">'SALES Raw'!A906</f>
        <v>102 - Orthopedic institutes</v>
      </c>
    </row>
    <row r="1928" customFormat="false" ht="15" hidden="false" customHeight="false" outlineLevel="0" collapsed="false">
      <c r="A1928" s="18" t="n">
        <f aca="false">'SALES Raw'!G933</f>
        <v>4409017</v>
      </c>
      <c r="B1928" s="18" t="str">
        <f aca="false">'SALES Raw'!B933</f>
        <v>808KT-B</v>
      </c>
      <c r="C1928" s="18" t="str">
        <f aca="false">'SALES Raw'!H933</f>
        <v>808KT-B        טייפ קינזיולוגי</v>
      </c>
      <c r="D1928" s="19" t="n">
        <f aca="false">'SALES Raw'!C933</f>
        <v>54</v>
      </c>
      <c r="E1928" s="19" t="n">
        <f aca="false">'SALES Raw'!D933</f>
        <v>1380.8</v>
      </c>
      <c r="F1928" s="19" t="n">
        <f aca="false">'SALES Raw'!E933*$H$4</f>
        <v>16.4210526315789</v>
      </c>
      <c r="G1928" s="19" t="n">
        <f aca="false">'SALES Raw'!F933*$H$4</f>
        <v>431.052631578947</v>
      </c>
      <c r="H1928" s="18" t="str">
        <f aca="false">'SALES Raw'!A933</f>
        <v>102 - Orthopedic institutes</v>
      </c>
    </row>
    <row r="1929" customFormat="false" ht="15" hidden="false" customHeight="false" outlineLevel="0" collapsed="false">
      <c r="A1929" s="18" t="n">
        <f aca="false">'SALES Raw'!G1075</f>
        <v>4413061</v>
      </c>
      <c r="B1929" s="18" t="str">
        <f aca="false">'SALES Raw'!B1075</f>
        <v>3641 0</v>
      </c>
      <c r="C1929" s="18" t="str">
        <f aca="false">'SALES Raw'!H1075</f>
        <v>3641-מיישר בוהן סיליקון קשיח</v>
      </c>
      <c r="D1929" s="19" t="n">
        <f aca="false">'SALES Raw'!C1075</f>
        <v>14</v>
      </c>
      <c r="E1929" s="19" t="n">
        <f aca="false">'SALES Raw'!D1075</f>
        <v>294.63</v>
      </c>
      <c r="F1929" s="19" t="n">
        <f aca="false">'SALES Raw'!E1075*$H$4</f>
        <v>16.4210526315789</v>
      </c>
      <c r="G1929" s="19" t="n">
        <f aca="false">'SALES Raw'!F1075*$H$4</f>
        <v>345.574736842105</v>
      </c>
      <c r="H1929" s="18" t="str">
        <f aca="false">'SALES Raw'!A1075</f>
        <v>102 - Orthopedic institutes</v>
      </c>
    </row>
    <row r="1930" customFormat="false" ht="15" hidden="false" customHeight="false" outlineLevel="0" collapsed="false">
      <c r="A1930" s="18" t="n">
        <f aca="false">'SALES Raw'!G1959</f>
        <v>4413157</v>
      </c>
      <c r="B1930" s="18" t="str">
        <f aca="false">'SALES Raw'!B1959</f>
        <v>305GA-43-44</v>
      </c>
      <c r="C1930" s="18" t="str">
        <f aca="false">'SALES Raw'!H1959</f>
        <v>305GA מדרס אורטופ.מתכוון43-44</v>
      </c>
      <c r="D1930" s="19" t="n">
        <f aca="false">'SALES Raw'!C1959</f>
        <v>23</v>
      </c>
      <c r="E1930" s="19" t="n">
        <f aca="false">'SALES Raw'!D1959</f>
        <v>1858.22</v>
      </c>
      <c r="F1930" s="19" t="n">
        <f aca="false">'SALES Raw'!E1959*$H$4</f>
        <v>16.4210526315789</v>
      </c>
      <c r="G1930" s="19" t="n">
        <f aca="false">'SALES Raw'!F1959*$H$4</f>
        <v>1333.42736842105</v>
      </c>
      <c r="H1930" s="18" t="str">
        <f aca="false">'SALES Raw'!A1959</f>
        <v>109 - Private Shops</v>
      </c>
    </row>
    <row r="1931" customFormat="false" ht="15" hidden="false" customHeight="false" outlineLevel="0" collapsed="false">
      <c r="A1931" s="18" t="n">
        <f aca="false">'SALES Raw'!G2125</f>
        <v>4408154</v>
      </c>
      <c r="B1931" s="18" t="str">
        <f aca="false">'SALES Raw'!B2125</f>
        <v>11TO XXL</v>
      </c>
      <c r="C1931" s="18" t="str">
        <f aca="false">'SALES Raw'!H2125</f>
        <v>11TO XXLחגורה למנותחי בית החזה</v>
      </c>
      <c r="D1931" s="19" t="n">
        <f aca="false">'SALES Raw'!C2125</f>
        <v>13</v>
      </c>
      <c r="E1931" s="19" t="n">
        <f aca="false">'SALES Raw'!D2125</f>
        <v>3788.89</v>
      </c>
      <c r="F1931" s="19" t="n">
        <f aca="false">'SALES Raw'!E2125*$H$4</f>
        <v>16.4210526315789</v>
      </c>
      <c r="G1931" s="19" t="n">
        <f aca="false">'SALES Raw'!F2125*$H$4</f>
        <v>4963.18736842105</v>
      </c>
      <c r="H1931" s="18" t="str">
        <f aca="false">'SALES Raw'!A2125</f>
        <v>114 - IL online</v>
      </c>
    </row>
    <row r="1932" customFormat="false" ht="15" hidden="false" customHeight="false" outlineLevel="0" collapsed="false">
      <c r="A1932" s="18" t="n">
        <f aca="false">'SALES Raw'!G2188</f>
        <v>4419011</v>
      </c>
      <c r="B1932" s="18" t="str">
        <f aca="false">'SALES Raw'!B2188</f>
        <v>239B-S-M</v>
      </c>
      <c r="C1932" s="18" t="str">
        <f aca="false">'SALES Raw'!H2188</f>
        <v>239B S-M STRAP4U</v>
      </c>
      <c r="D1932" s="19" t="n">
        <f aca="false">'SALES Raw'!C2188</f>
        <v>32</v>
      </c>
      <c r="E1932" s="19" t="n">
        <f aca="false">'SALES Raw'!D2188</f>
        <v>1041.52</v>
      </c>
      <c r="F1932" s="19" t="n">
        <f aca="false">'SALES Raw'!E2188*$H$4</f>
        <v>16.4210526315789</v>
      </c>
      <c r="G1932" s="19" t="n">
        <f aca="false">'SALES Raw'!F2188*$H$4</f>
        <v>564.770526315789</v>
      </c>
      <c r="H1932" s="18" t="str">
        <f aca="false">'SALES Raw'!A2188</f>
        <v>114 - IL online</v>
      </c>
    </row>
    <row r="1933" customFormat="false" ht="15" hidden="false" customHeight="false" outlineLevel="0" collapsed="false">
      <c r="A1933" s="18" t="n">
        <f aca="false">'SALES Raw'!G2313</f>
        <v>4413066</v>
      </c>
      <c r="B1933" s="18" t="str">
        <f aca="false">'SALES Raw'!B2313</f>
        <v>3677S 0</v>
      </c>
      <c r="C1933" s="18" t="str">
        <f aca="false">'SALES Raw'!H2313</f>
        <v>3677S-מד.לשחרור לחץ א.הבוניון</v>
      </c>
      <c r="D1933" s="19" t="n">
        <f aca="false">'SALES Raw'!C2313</f>
        <v>17</v>
      </c>
      <c r="E1933" s="19" t="n">
        <f aca="false">'SALES Raw'!D2313</f>
        <v>546.84</v>
      </c>
      <c r="F1933" s="19" t="n">
        <f aca="false">'SALES Raw'!E2313*$H$4</f>
        <v>16.4210526315789</v>
      </c>
      <c r="G1933" s="19" t="n">
        <f aca="false">'SALES Raw'!F2313*$H$4</f>
        <v>610.888421052632</v>
      </c>
      <c r="H1933" s="18" t="str">
        <f aca="false">'SALES Raw'!A2313</f>
        <v>114 - IL online</v>
      </c>
    </row>
    <row r="1934" customFormat="false" ht="15" hidden="false" customHeight="false" outlineLevel="0" collapsed="false">
      <c r="A1934" s="18" t="n">
        <f aca="false">'SALES Raw'!G2421</f>
        <v>4413105</v>
      </c>
      <c r="B1934" s="18" t="str">
        <f aca="false">'SALES Raw'!B2421</f>
        <v>45E XXL</v>
      </c>
      <c r="C1934" s="18" t="str">
        <f aca="false">'SALES Raw'!H2421</f>
        <v>45E XXLמגן ברך ארוך לבן</v>
      </c>
      <c r="D1934" s="19" t="n">
        <f aca="false">'SALES Raw'!C2421</f>
        <v>11</v>
      </c>
      <c r="E1934" s="19" t="n">
        <f aca="false">'SALES Raw'!D2421</f>
        <v>683.03</v>
      </c>
      <c r="F1934" s="19" t="n">
        <f aca="false">'SALES Raw'!E2421*$H$4</f>
        <v>16.4210526315789</v>
      </c>
      <c r="G1934" s="19" t="n">
        <f aca="false">'SALES Raw'!F2421*$H$4</f>
        <v>1081.95789473684</v>
      </c>
      <c r="H1934" s="18" t="str">
        <f aca="false">'SALES Raw'!A2421</f>
        <v>114 - IL online</v>
      </c>
    </row>
    <row r="1935" customFormat="false" ht="15" hidden="false" customHeight="false" outlineLevel="0" collapsed="false">
      <c r="A1935" s="18" t="n">
        <f aca="false">'SALES Raw'!G2501</f>
        <v>4413132</v>
      </c>
      <c r="B1935" s="18" t="str">
        <f aca="false">'SALES Raw'!B2501</f>
        <v>76 L</v>
      </c>
      <c r="C1935" s="18" t="str">
        <f aca="false">'SALES Raw'!H2501</f>
        <v>76 Lמיישר כתף יציב יישור רחב</v>
      </c>
      <c r="D1935" s="19" t="n">
        <f aca="false">'SALES Raw'!C2501</f>
        <v>18</v>
      </c>
      <c r="E1935" s="19" t="n">
        <f aca="false">'SALES Raw'!D2501</f>
        <v>6268.91</v>
      </c>
      <c r="F1935" s="19" t="n">
        <f aca="false">'SALES Raw'!E2501*$H$4</f>
        <v>16.4210526315789</v>
      </c>
      <c r="G1935" s="19" t="n">
        <f aca="false">'SALES Raw'!F2501*$H$4</f>
        <v>5971.86947368421</v>
      </c>
      <c r="H1935" s="18" t="str">
        <f aca="false">'SALES Raw'!A2501</f>
        <v>114 - IL online</v>
      </c>
    </row>
    <row r="1936" customFormat="false" ht="15" hidden="false" customHeight="false" outlineLevel="0" collapsed="false">
      <c r="A1936" s="18" t="n">
        <f aca="false">'SALES Raw'!G2520</f>
        <v>4401014</v>
      </c>
      <c r="B1936" s="18" t="str">
        <f aca="false">'SALES Raw'!B2520</f>
        <v>805AT-W</v>
      </c>
      <c r="C1936" s="18" t="str">
        <f aca="false">'SALES Raw'!H2520</f>
        <v>805AT-W  אתלטיק טייפ לבן 20מ""""מ</v>
      </c>
      <c r="D1936" s="19" t="n">
        <f aca="false">'SALES Raw'!C2520</f>
        <v>12</v>
      </c>
      <c r="E1936" s="19" t="n">
        <f aca="false">'SALES Raw'!D2520</f>
        <v>318.56</v>
      </c>
      <c r="F1936" s="19" t="n">
        <f aca="false">'SALES Raw'!E2520*$H$4</f>
        <v>16.4210526315789</v>
      </c>
      <c r="G1936" s="19" t="n">
        <f aca="false">'SALES Raw'!F2520*$H$4</f>
        <v>436.496842105263</v>
      </c>
      <c r="H1936" s="18" t="str">
        <f aca="false">'SALES Raw'!A2520</f>
        <v>114 - IL online</v>
      </c>
    </row>
    <row r="1937" customFormat="false" ht="15" hidden="false" customHeight="false" outlineLevel="0" collapsed="false">
      <c r="A1937" s="18" t="n">
        <f aca="false">'SALES Raw'!G2558</f>
        <v>4413198</v>
      </c>
      <c r="B1937" s="18" t="str">
        <f aca="false">'SALES Raw'!B2558</f>
        <v>87 XL</v>
      </c>
      <c r="C1937" s="18" t="str">
        <f aca="false">'SALES Raw'!H2558</f>
        <v>87 XL מקבע כתף ויד</v>
      </c>
      <c r="D1937" s="19" t="n">
        <f aca="false">'SALES Raw'!C2558</f>
        <v>8</v>
      </c>
      <c r="E1937" s="19" t="n">
        <f aca="false">'SALES Raw'!D2558</f>
        <v>2623.1</v>
      </c>
      <c r="F1937" s="19" t="n">
        <f aca="false">'SALES Raw'!E2558*$H$4</f>
        <v>16.4210526315789</v>
      </c>
      <c r="G1937" s="19" t="n">
        <f aca="false">'SALES Raw'!F2558*$H$4</f>
        <v>5666.70315789474</v>
      </c>
      <c r="H1937" s="18" t="str">
        <f aca="false">'SALES Raw'!A2558</f>
        <v>114 - IL online</v>
      </c>
    </row>
    <row r="1938" customFormat="false" ht="15" hidden="false" customHeight="false" outlineLevel="0" collapsed="false">
      <c r="A1938" s="18" t="n">
        <f aca="false">'SALES Raw'!G2646</f>
        <v>4413422</v>
      </c>
      <c r="B1938" s="18" t="str">
        <f aca="false">'SALES Raw'!B2646</f>
        <v>SC35L L</v>
      </c>
      <c r="C1938" s="18" t="str">
        <f aca="false">'SALES Raw'!H2646</f>
        <v>SC35L  L מגן קרסול שמאל</v>
      </c>
      <c r="D1938" s="19" t="n">
        <f aca="false">'SALES Raw'!C2646</f>
        <v>21</v>
      </c>
      <c r="E1938" s="19" t="n">
        <f aca="false">'SALES Raw'!D2646</f>
        <v>2759.77</v>
      </c>
      <c r="F1938" s="19" t="n">
        <f aca="false">'SALES Raw'!E2646*$H$4</f>
        <v>16.4210526315789</v>
      </c>
      <c r="G1938" s="19" t="n">
        <f aca="false">'SALES Raw'!F2646*$H$4</f>
        <v>2364.59368421053</v>
      </c>
      <c r="H1938" s="18" t="str">
        <f aca="false">'SALES Raw'!A2646</f>
        <v>114 - IL online</v>
      </c>
    </row>
    <row r="1939" customFormat="false" ht="15" hidden="false" customHeight="false" outlineLevel="0" collapsed="false">
      <c r="A1939" s="18" t="n">
        <f aca="false">'SALES Raw'!G2670</f>
        <v>4422038</v>
      </c>
      <c r="B1939" s="18" t="str">
        <f aca="false">'SALES Raw'!B2670</f>
        <v>SH422 2</v>
      </c>
      <c r="C1939" s="18" t="str">
        <f aca="false">'SALES Raw'!H2670</f>
        <v>SH422 2 תומך ברך גנושילד</v>
      </c>
      <c r="D1939" s="19" t="n">
        <f aca="false">'SALES Raw'!C2670</f>
        <v>0</v>
      </c>
      <c r="E1939" s="19" t="n">
        <f aca="false">'SALES Raw'!D2670</f>
        <v>0</v>
      </c>
      <c r="F1939" s="19" t="n">
        <f aca="false">'SALES Raw'!E2670*$H$4</f>
        <v>16.4210526315789</v>
      </c>
      <c r="G1939" s="19" t="n">
        <f aca="false">'SALES Raw'!F2670*$H$4</f>
        <v>5803.33894736842</v>
      </c>
      <c r="H1939" s="18" t="str">
        <f aca="false">'SALES Raw'!A2670</f>
        <v>114 - IL online</v>
      </c>
    </row>
    <row r="1940" customFormat="false" ht="15" hidden="false" customHeight="false" outlineLevel="0" collapsed="false">
      <c r="A1940" s="18" t="str">
        <f aca="false">'SALES Raw'!G2692</f>
        <v/>
      </c>
      <c r="B1940" s="18" t="str">
        <f aca="false">'SALES Raw'!B2692</f>
        <v>T03 L</v>
      </c>
      <c r="C1940" s="18" t="str">
        <f aca="false">'SALES Raw'!H2692</f>
        <v>T03 L</v>
      </c>
      <c r="D1940" s="19" t="n">
        <f aca="false">'SALES Raw'!C2692</f>
        <v>5</v>
      </c>
      <c r="E1940" s="19" t="n">
        <f aca="false">'SALES Raw'!D2692</f>
        <v>893.39</v>
      </c>
      <c r="F1940" s="19" t="n">
        <f aca="false">'SALES Raw'!E2692*$H$4</f>
        <v>16.4210526315789</v>
      </c>
      <c r="G1940" s="19" t="n">
        <f aca="false">'SALES Raw'!F2692*$H$4</f>
        <v>3207.95368421053</v>
      </c>
      <c r="H1940" s="18" t="str">
        <f aca="false">'SALES Raw'!A2692</f>
        <v>114 - IL online</v>
      </c>
    </row>
    <row r="1941" customFormat="false" ht="15" hidden="false" customHeight="false" outlineLevel="0" collapsed="false">
      <c r="A1941" s="18" t="n">
        <f aca="false">'SALES Raw'!G4324</f>
        <v>4413138</v>
      </c>
      <c r="B1941" s="18" t="str">
        <f aca="false">'SALES Raw'!B4324</f>
        <v>85 XL</v>
      </c>
      <c r="C1941" s="18" t="str">
        <f aca="false">'SALES Raw'!H4324</f>
        <v>85 XL (מתלה ליד )כיס</v>
      </c>
      <c r="D1941" s="19" t="n">
        <f aca="false">'SALES Raw'!C4324</f>
        <v>0</v>
      </c>
      <c r="E1941" s="19" t="n">
        <f aca="false">'SALES Raw'!D4324</f>
        <v>0</v>
      </c>
      <c r="F1941" s="19" t="n">
        <f aca="false">'SALES Raw'!E4324*$H$4</f>
        <v>16.4210526315789</v>
      </c>
      <c r="G1941" s="19" t="n">
        <f aca="false">'SALES Raw'!F4324*$H$4</f>
        <v>326.589473684211</v>
      </c>
      <c r="H1941" s="18" t="str">
        <f aca="false">'SALES Raw'!A4324</f>
        <v>216 - Max Konnaris CYPRUS</v>
      </c>
    </row>
    <row r="1942" customFormat="false" ht="15" hidden="false" customHeight="false" outlineLevel="0" collapsed="false">
      <c r="A1942" s="18" t="str">
        <f aca="false">'SALES Raw'!G4454</f>
        <v/>
      </c>
      <c r="B1942" s="18" t="str">
        <f aca="false">'SALES Raw'!B4454</f>
        <v>EC-59LB XXL</v>
      </c>
      <c r="C1942" s="18" t="str">
        <f aca="false">'SALES Raw'!H4454</f>
        <v>EC-59LB XXL</v>
      </c>
      <c r="D1942" s="19" t="n">
        <f aca="false">'SALES Raw'!C4454</f>
        <v>7</v>
      </c>
      <c r="E1942" s="19" t="n">
        <f aca="false">'SALES Raw'!D4454</f>
        <v>1230.79</v>
      </c>
      <c r="F1942" s="19" t="n">
        <f aca="false">'SALES Raw'!E4454*$H$4</f>
        <v>16.4210526315789</v>
      </c>
      <c r="G1942" s="19" t="n">
        <f aca="false">'SALES Raw'!F4454*$H$4</f>
        <v>2694.01263157895</v>
      </c>
      <c r="H1942" s="18" t="str">
        <f aca="false">'SALES Raw'!A4454</f>
        <v>301 - Amazon</v>
      </c>
    </row>
    <row r="1943" customFormat="false" ht="15" hidden="false" customHeight="false" outlineLevel="0" collapsed="false">
      <c r="A1943" s="18" t="n">
        <f aca="false">'CEMIUP0.9 Raw'!B22</f>
        <v>4403007</v>
      </c>
      <c r="B1943" s="18" t="str">
        <f aca="false">'CEMIUP0.9 Raw'!C22</f>
        <v>390W גרב.כסף לסכרתיים לבן39-42</v>
      </c>
      <c r="C1943" s="18" t="str">
        <f aca="false">'CEMIUP0.9 Raw'!C22</f>
        <v>390W גרב.כסף לסכרתיים לבן39-42</v>
      </c>
      <c r="D1943" s="19" t="n">
        <f aca="false">'CEMIUP0.9 Raw'!D22</f>
        <v>18</v>
      </c>
      <c r="E1943" s="19" t="n">
        <f aca="false">'CEMIUP0.9 Raw'!E22</f>
        <v>509.509</v>
      </c>
      <c r="F1943" s="19" t="n">
        <f aca="false">'CEMIUP0.9 Raw'!F22</f>
        <v>16.4210526315789</v>
      </c>
      <c r="G1943" s="19" t="n">
        <f aca="false">'CEMIUP0.9 Raw'!G22</f>
        <v>497.722105263158</v>
      </c>
      <c r="H1943" s="18" t="str">
        <f aca="false">'CEMIUP0.9 Raw'!A22</f>
        <v>107 - Pharmacies</v>
      </c>
    </row>
    <row r="1944" customFormat="false" ht="15" hidden="false" customHeight="false" outlineLevel="0" collapsed="false">
      <c r="A1944" s="18" t="n">
        <f aca="false">'CEMIUP0.9 Raw'!B23</f>
        <v>4403008</v>
      </c>
      <c r="B1944" s="18" t="str">
        <f aca="false">'CEMIUP0.9 Raw'!C23</f>
        <v>390W גרב.כסף לסכרתיים לבן43-46</v>
      </c>
      <c r="C1944" s="18" t="str">
        <f aca="false">'CEMIUP0.9 Raw'!C23</f>
        <v>390W גרב.כסף לסכרתיים לבן43-46</v>
      </c>
      <c r="D1944" s="19" t="n">
        <f aca="false">'CEMIUP0.9 Raw'!D23</f>
        <v>20</v>
      </c>
      <c r="E1944" s="19" t="n">
        <f aca="false">'CEMIUP0.9 Raw'!E23</f>
        <v>547.001</v>
      </c>
      <c r="F1944" s="19" t="n">
        <f aca="false">'CEMIUP0.9 Raw'!F23</f>
        <v>16.4210526315789</v>
      </c>
      <c r="G1944" s="19" t="n">
        <f aca="false">'CEMIUP0.9 Raw'!G23</f>
        <v>524.619789473684</v>
      </c>
      <c r="H1944" s="18" t="str">
        <f aca="false">'CEMIUP0.9 Raw'!A23</f>
        <v>107 - Pharmacies</v>
      </c>
    </row>
    <row r="1945" customFormat="false" ht="15" hidden="false" customHeight="false" outlineLevel="0" collapsed="false">
      <c r="A1945" s="18" t="n">
        <f aca="false">'CEMIUP0.9 Raw'!B61</f>
        <v>4408029</v>
      </c>
      <c r="B1945" s="18" t="str">
        <f aca="false">'CEMIUP0.9 Raw'!C61</f>
        <v>10 XL ""חגורת גב ""לומבו</v>
      </c>
      <c r="C1945" s="18" t="str">
        <f aca="false">'CEMIUP0.9 Raw'!C61</f>
        <v>10 XL ""חגורת גב ""לומבו</v>
      </c>
      <c r="D1945" s="19" t="n">
        <f aca="false">'CEMIUP0.9 Raw'!D61</f>
        <v>26</v>
      </c>
      <c r="E1945" s="19" t="n">
        <f aca="false">'CEMIUP0.9 Raw'!E61</f>
        <v>3464.526</v>
      </c>
      <c r="F1945" s="19" t="n">
        <f aca="false">'CEMIUP0.9 Raw'!F61</f>
        <v>16.4210526315789</v>
      </c>
      <c r="G1945" s="19" t="n">
        <f aca="false">'CEMIUP0.9 Raw'!G61</f>
        <v>2180.32168421053</v>
      </c>
      <c r="H1945" s="18" t="str">
        <f aca="false">'CEMIUP0.9 Raw'!A61</f>
        <v>107 - Pharmacies</v>
      </c>
    </row>
    <row r="1946" customFormat="false" ht="15" hidden="false" customHeight="false" outlineLevel="0" collapsed="false">
      <c r="A1946" s="18" t="n">
        <f aca="false">'CEMIUP0.9 Raw'!B173</f>
        <v>4408250</v>
      </c>
      <c r="B1946" s="18" t="str">
        <f aca="false">'CEMIUP0.9 Raw'!C173</f>
        <v>SC25 XL חבק יד</v>
      </c>
      <c r="C1946" s="18" t="str">
        <f aca="false">'CEMIUP0.9 Raw'!C173</f>
        <v>SC25 XL חבק יד</v>
      </c>
      <c r="D1946" s="19" t="n">
        <f aca="false">'CEMIUP0.9 Raw'!D173</f>
        <v>18</v>
      </c>
      <c r="E1946" s="19" t="n">
        <f aca="false">'CEMIUP0.9 Raw'!E173</f>
        <v>1393.161</v>
      </c>
      <c r="F1946" s="19" t="n">
        <f aca="false">'CEMIUP0.9 Raw'!F173</f>
        <v>16.4210526315789</v>
      </c>
      <c r="G1946" s="19" t="n">
        <f aca="false">'CEMIUP0.9 Raw'!G173</f>
        <v>1388.592</v>
      </c>
      <c r="H1946" s="18" t="str">
        <f aca="false">'CEMIUP0.9 Raw'!A173</f>
        <v>107 - Pharmacies</v>
      </c>
    </row>
    <row r="1947" customFormat="false" ht="15" hidden="false" customHeight="false" outlineLevel="0" collapsed="false">
      <c r="A1947" s="18" t="n">
        <f aca="false">'CEMIUP0.9 Raw'!B347</f>
        <v>4413196</v>
      </c>
      <c r="B1947" s="18" t="str">
        <f aca="false">'CEMIUP0.9 Raw'!C347</f>
        <v>87 M מקבע כתף ויד</v>
      </c>
      <c r="C1947" s="18" t="str">
        <f aca="false">'CEMIUP0.9 Raw'!C347</f>
        <v>87 M מקבע כתף ויד</v>
      </c>
      <c r="D1947" s="19" t="n">
        <f aca="false">'CEMIUP0.9 Raw'!D347</f>
        <v>26</v>
      </c>
      <c r="E1947" s="19" t="n">
        <f aca="false">'CEMIUP0.9 Raw'!E347</f>
        <v>4371.661</v>
      </c>
      <c r="F1947" s="19" t="n">
        <f aca="false">'CEMIUP0.9 Raw'!F347</f>
        <v>16.4210526315789</v>
      </c>
      <c r="G1947" s="19" t="n">
        <f aca="false">'CEMIUP0.9 Raw'!G347</f>
        <v>2901.51789473684</v>
      </c>
      <c r="H1947" s="18" t="str">
        <f aca="false">'CEMIUP0.9 Raw'!A347</f>
        <v>107 - Pharmacies</v>
      </c>
    </row>
    <row r="1948" customFormat="false" ht="15" hidden="false" customHeight="false" outlineLevel="0" collapsed="false">
      <c r="A1948" s="18" t="n">
        <f aca="false">'CEMIUP0.9 Raw'!B403</f>
        <v>4413407</v>
      </c>
      <c r="B1948" s="18" t="str">
        <f aca="false">'CEMIUP0.9 Raw'!C403</f>
        <v>SC95 L מגן מרפק</v>
      </c>
      <c r="C1948" s="18" t="str">
        <f aca="false">'CEMIUP0.9 Raw'!C403</f>
        <v>SC95 L מגן מרפק</v>
      </c>
      <c r="D1948" s="19" t="n">
        <f aca="false">'CEMIUP0.9 Raw'!D403</f>
        <v>11</v>
      </c>
      <c r="E1948" s="19" t="n">
        <f aca="false">'CEMIUP0.9 Raw'!E403</f>
        <v>857.819</v>
      </c>
      <c r="F1948" s="19" t="n">
        <f aca="false">'CEMIUP0.9 Raw'!F403</f>
        <v>16.4210526315789</v>
      </c>
      <c r="G1948" s="19" t="n">
        <f aca="false">'CEMIUP0.9 Raw'!G403</f>
        <v>1470.78189473684</v>
      </c>
      <c r="H1948" s="18" t="str">
        <f aca="false">'CEMIUP0.9 Raw'!A403</f>
        <v>107 - Pharmacies</v>
      </c>
    </row>
    <row r="1949" customFormat="false" ht="15" hidden="false" customHeight="false" outlineLevel="0" collapsed="false">
      <c r="A1949" s="18" t="n">
        <f aca="false">'CEMIUP0.9 Raw'!B674</f>
        <v>4403000</v>
      </c>
      <c r="B1949" s="18" t="str">
        <f aca="false">'CEMIUP0.9 Raw'!C674</f>
        <v>390B גרב.כסף לסכרתים שחור35-38</v>
      </c>
      <c r="C1949" s="18" t="str">
        <f aca="false">'CEMIUP0.9 Raw'!C674</f>
        <v>390B גרב.כסף לסכרתים שחור35-38</v>
      </c>
      <c r="D1949" s="19" t="n">
        <f aca="false">'CEMIUP0.9 Raw'!D674</f>
        <v>2</v>
      </c>
      <c r="E1949" s="19" t="n">
        <f aca="false">'CEMIUP0.9 Raw'!E674</f>
        <v>47.2</v>
      </c>
      <c r="F1949" s="19" t="n">
        <f aca="false">'CEMIUP0.9 Raw'!F674</f>
        <v>16.4210526315789</v>
      </c>
      <c r="G1949" s="19" t="n">
        <f aca="false">'CEMIUP0.9 Raw'!G674</f>
        <v>375.389052631579</v>
      </c>
      <c r="H1949" s="18" t="str">
        <f aca="false">'CEMIUP0.9 Raw'!A674</f>
        <v>113 - Kupat Holim Meuhedet</v>
      </c>
    </row>
    <row r="1950" customFormat="false" ht="15" hidden="false" customHeight="false" outlineLevel="0" collapsed="false">
      <c r="A1950" s="18" t="n">
        <f aca="false">'CEMIUP0.9 Raw'!B701</f>
        <v>4408035</v>
      </c>
      <c r="B1950" s="18" t="str">
        <f aca="false">'CEMIUP0.9 Raw'!C701</f>
        <v>11 XXL</v>
      </c>
      <c r="C1950" s="18" t="str">
        <f aca="false">'CEMIUP0.9 Raw'!C701</f>
        <v>11 XXL</v>
      </c>
      <c r="D1950" s="19" t="n">
        <f aca="false">'CEMIUP0.9 Raw'!D701</f>
        <v>76</v>
      </c>
      <c r="E1950" s="19" t="n">
        <f aca="false">'CEMIUP0.9 Raw'!E701</f>
        <v>5497.84</v>
      </c>
      <c r="F1950" s="19" t="n">
        <f aca="false">'CEMIUP0.9 Raw'!F701</f>
        <v>16.4210526315789</v>
      </c>
      <c r="G1950" s="19" t="n">
        <f aca="false">'CEMIUP0.9 Raw'!G701</f>
        <v>1187.89894736842</v>
      </c>
      <c r="H1950" s="18" t="str">
        <f aca="false">'CEMIUP0.9 Raw'!A701</f>
        <v>113 - Kupat Holim Meuhedet</v>
      </c>
    </row>
    <row r="1951" customFormat="false" ht="15" hidden="false" customHeight="false" outlineLevel="0" collapsed="false">
      <c r="A1951" s="18" t="n">
        <f aca="false">'CEMIUP0.9 Raw'!B730</f>
        <v>4408219</v>
      </c>
      <c r="B1951" s="18" t="str">
        <f aca="false">'CEMIUP0.9 Raw'!C730</f>
        <v>078G-S חגורת גב אפורה</v>
      </c>
      <c r="C1951" s="18" t="str">
        <f aca="false">'CEMIUP0.9 Raw'!C730</f>
        <v>078G-S חגורת גב אפורה</v>
      </c>
      <c r="D1951" s="19" t="n">
        <f aca="false">'CEMIUP0.9 Raw'!D730</f>
        <v>26</v>
      </c>
      <c r="E1951" s="19" t="n">
        <f aca="false">'CEMIUP0.9 Raw'!E730</f>
        <v>1690</v>
      </c>
      <c r="F1951" s="19" t="n">
        <f aca="false">'CEMIUP0.9 Raw'!F730</f>
        <v>16.4210526315789</v>
      </c>
      <c r="G1951" s="19" t="n">
        <f aca="false">'CEMIUP0.9 Raw'!G730</f>
        <v>1260.77052631579</v>
      </c>
      <c r="H1951" s="18" t="str">
        <f aca="false">'CEMIUP0.9 Raw'!A730</f>
        <v>113 - Kupat Holim Meuhedet</v>
      </c>
    </row>
    <row r="1952" customFormat="false" ht="15" hidden="false" customHeight="false" outlineLevel="0" collapsed="false">
      <c r="A1952" s="18" t="n">
        <f aca="false">'CEMIUP0.9 Raw'!B815</f>
        <v>4413143</v>
      </c>
      <c r="B1952" s="18" t="str">
        <f aca="false">'CEMIUP0.9 Raw'!C815</f>
        <v>95 XS מגן מרפק רגיל לבן</v>
      </c>
      <c r="C1952" s="18" t="str">
        <f aca="false">'CEMIUP0.9 Raw'!C815</f>
        <v>95 XS מגן מרפק רגיל לבן</v>
      </c>
      <c r="D1952" s="19" t="n">
        <f aca="false">'CEMIUP0.9 Raw'!D815</f>
        <v>40</v>
      </c>
      <c r="E1952" s="19" t="n">
        <f aca="false">'CEMIUP0.9 Raw'!E815</f>
        <v>680</v>
      </c>
      <c r="F1952" s="19" t="n">
        <f aca="false">'CEMIUP0.9 Raw'!F815</f>
        <v>16.4210526315789</v>
      </c>
      <c r="G1952" s="19" t="n">
        <f aca="false">'CEMIUP0.9 Raw'!G815</f>
        <v>271.427368421053</v>
      </c>
      <c r="H1952" s="18" t="str">
        <f aca="false">'CEMIUP0.9 Raw'!A815</f>
        <v>113 - Kupat Holim Meuhedet</v>
      </c>
    </row>
    <row r="1953" customFormat="false" ht="15" hidden="false" customHeight="false" outlineLevel="0" collapsed="false">
      <c r="A1953" s="18" t="n">
        <f aca="false">'CEMIUP0.9 Raw'!B1181</f>
        <v>4413417</v>
      </c>
      <c r="B1953" s="18" t="str">
        <f aca="false">'CEMIUP0.9 Raw'!C1181</f>
        <v>SC39  L מגן שוק</v>
      </c>
      <c r="C1953" s="18" t="str">
        <f aca="false">'CEMIUP0.9 Raw'!C1181</f>
        <v>SC39  L מגן שוק</v>
      </c>
      <c r="D1953" s="19" t="n">
        <f aca="false">'CEMIUP0.9 Raw'!D1181</f>
        <v>9</v>
      </c>
      <c r="E1953" s="19" t="n">
        <f aca="false">'CEMIUP0.9 Raw'!E1181</f>
        <v>1063.426</v>
      </c>
      <c r="F1953" s="19" t="n">
        <f aca="false">'CEMIUP0.9 Raw'!F1181</f>
        <v>16.4210526315789</v>
      </c>
      <c r="G1953" s="19" t="n">
        <f aca="false">'CEMIUP0.9 Raw'!G1181</f>
        <v>2028.59115789474</v>
      </c>
      <c r="H1953" s="18" t="str">
        <f aca="false">'CEMIUP0.9 Raw'!A1181</f>
        <v>BE (CEMI internal group)</v>
      </c>
    </row>
    <row r="1954" customFormat="false" ht="15" hidden="false" customHeight="false" outlineLevel="0" collapsed="false">
      <c r="A1954" s="18" t="n">
        <f aca="false">'CEMIUP0.9 Raw'!B1402</f>
        <v>4408273</v>
      </c>
      <c r="B1954" s="18" t="str">
        <f aca="false">'CEMIUP0.9 Raw'!C1402</f>
        <v>70N M חגורת פאבליק</v>
      </c>
      <c r="C1954" s="18" t="str">
        <f aca="false">'CEMIUP0.9 Raw'!C1402</f>
        <v>70N M חגורת פאבליק</v>
      </c>
      <c r="D1954" s="19" t="n">
        <f aca="false">'CEMIUP0.9 Raw'!D1402</f>
        <v>0</v>
      </c>
      <c r="E1954" s="19" t="n">
        <f aca="false">'CEMIUP0.9 Raw'!E1402</f>
        <v>0</v>
      </c>
      <c r="F1954" s="19" t="n">
        <f aca="false">'CEMIUP0.9 Raw'!F1402</f>
        <v>16.4210526315789</v>
      </c>
      <c r="G1954" s="19" t="n">
        <f aca="false">'CEMIUP0.9 Raw'!G1402</f>
        <v>4171.89978947368</v>
      </c>
      <c r="H1954" s="18" t="str">
        <f aca="false">'CEMIUP0.9 Raw'!A1402</f>
        <v>Super-Pharm Israel (CEMI internal group)</v>
      </c>
    </row>
    <row r="1955" customFormat="false" ht="15" hidden="false" customHeight="false" outlineLevel="0" collapsed="false">
      <c r="A1955" s="18" t="n">
        <f aca="false">'CEMIUP0.9 Raw'!B1454</f>
        <v>4413056</v>
      </c>
      <c r="B1955" s="18" t="str">
        <f aca="false">'CEMIUP0.9 Raw'!C1454</f>
        <v>LF360 מדרס מטטרזלי לנעלי עקב</v>
      </c>
      <c r="C1955" s="18" t="str">
        <f aca="false">'CEMIUP0.9 Raw'!C1454</f>
        <v>LF360 מדרס מטטרזלי לנעלי עקב</v>
      </c>
      <c r="D1955" s="19" t="n">
        <f aca="false">'CEMIUP0.9 Raw'!D1454</f>
        <v>44</v>
      </c>
      <c r="E1955" s="19" t="n">
        <f aca="false">'CEMIUP0.9 Raw'!E1454</f>
        <v>811.629</v>
      </c>
      <c r="F1955" s="19" t="n">
        <f aca="false">'CEMIUP0.9 Raw'!F1454</f>
        <v>16.4210526315789</v>
      </c>
      <c r="G1955" s="19" t="n">
        <f aca="false">'CEMIUP0.9 Raw'!G1454</f>
        <v>306.219789473684</v>
      </c>
      <c r="H1955" s="18" t="str">
        <f aca="false">'CEMIUP0.9 Raw'!A1454</f>
        <v>Super-Pharm Israel (CEMI internal group)</v>
      </c>
    </row>
    <row r="1956" customFormat="false" ht="15" hidden="false" customHeight="false" outlineLevel="0" collapsed="false">
      <c r="A1956" s="18" t="n">
        <f aca="false">'CEMIUP0.9 Raw'!B1592</f>
        <v>4413441</v>
      </c>
      <c r="B1956" s="18" t="str">
        <f aca="false">'CEMIUP0.9 Raw'!C1592</f>
        <v>SC422 XL מגן ברך</v>
      </c>
      <c r="C1956" s="18" t="str">
        <f aca="false">'CEMIUP0.9 Raw'!C1592</f>
        <v>SC422 XL מגן ברך</v>
      </c>
      <c r="D1956" s="19" t="n">
        <f aca="false">'CEMIUP0.9 Raw'!D1592</f>
        <v>13</v>
      </c>
      <c r="E1956" s="19" t="n">
        <f aca="false">'CEMIUP0.9 Raw'!E1592</f>
        <v>1593.683</v>
      </c>
      <c r="F1956" s="19" t="n">
        <f aca="false">'CEMIUP0.9 Raw'!F1592</f>
        <v>16.4210526315789</v>
      </c>
      <c r="G1956" s="19" t="n">
        <f aca="false">'CEMIUP0.9 Raw'!G1592</f>
        <v>1994.91157894737</v>
      </c>
      <c r="H1956" s="18" t="str">
        <f aca="false">'CEMIUP0.9 Raw'!A1592</f>
        <v>Super-Pharm Israel (CEMI internal group)</v>
      </c>
    </row>
    <row r="1957" customFormat="false" ht="15" hidden="false" customHeight="false" outlineLevel="0" collapsed="false">
      <c r="A1957" s="18" t="n">
        <f aca="false">'SALES Raw'!G231</f>
        <v>4408208</v>
      </c>
      <c r="B1957" s="18" t="str">
        <f aca="false">'SALES Raw'!B231</f>
        <v>AC91 0</v>
      </c>
      <c r="C1957" s="18" t="str">
        <f aca="false">'SALES Raw'!H231</f>
        <v>AC91 חבק טניס</v>
      </c>
      <c r="D1957" s="19" t="n">
        <f aca="false">'SALES Raw'!C231</f>
        <v>48</v>
      </c>
      <c r="E1957" s="19" t="n">
        <f aca="false">'SALES Raw'!D231</f>
        <v>1793.19</v>
      </c>
      <c r="F1957" s="19" t="n">
        <f aca="false">'SALES Raw'!E231*$H$4</f>
        <v>15.1578947368421</v>
      </c>
      <c r="G1957" s="19" t="n">
        <f aca="false">'SALES Raw'!F231*$H$4</f>
        <v>556.294736842105</v>
      </c>
      <c r="H1957" s="18" t="str">
        <f aca="false">'SALES Raw'!A231</f>
        <v>101 - Factory customers</v>
      </c>
    </row>
    <row r="1958" customFormat="false" ht="15" hidden="false" customHeight="false" outlineLevel="0" collapsed="false">
      <c r="A1958" s="18" t="n">
        <f aca="false">'SALES Raw'!G541</f>
        <v>4411031</v>
      </c>
      <c r="B1958" s="18" t="str">
        <f aca="false">'SALES Raw'!B541</f>
        <v>213CTSR S</v>
      </c>
      <c r="C1958" s="18" t="str">
        <f aca="false">'SALES Raw'!H541</f>
        <v>213CTS  S ימין CTS כפפות</v>
      </c>
      <c r="D1958" s="19" t="n">
        <f aca="false">'SALES Raw'!C541</f>
        <v>17</v>
      </c>
      <c r="E1958" s="19" t="n">
        <f aca="false">'SALES Raw'!D541</f>
        <v>1530.3</v>
      </c>
      <c r="F1958" s="19" t="n">
        <f aca="false">'SALES Raw'!E541*$H$4</f>
        <v>15.1578947368421</v>
      </c>
      <c r="G1958" s="19" t="n">
        <f aca="false">'SALES Raw'!F541*$H$4</f>
        <v>1364.22315789474</v>
      </c>
      <c r="H1958" s="18" t="str">
        <f aca="false">'SALES Raw'!A541</f>
        <v>102 - Orthopedic institutes</v>
      </c>
    </row>
    <row r="1959" customFormat="false" ht="15" hidden="false" customHeight="false" outlineLevel="0" collapsed="false">
      <c r="A1959" s="18" t="n">
        <f aca="false">'SALES Raw'!G545</f>
        <v>4413041</v>
      </c>
      <c r="B1959" s="18" t="str">
        <f aca="false">'SALES Raw'!B545</f>
        <v>34 M</v>
      </c>
      <c r="C1959" s="18" t="str">
        <f aca="false">'SALES Raw'!H545</f>
        <v>34  M מגן קרסול עקב סגור</v>
      </c>
      <c r="D1959" s="19" t="n">
        <f aca="false">'SALES Raw'!C545</f>
        <v>20</v>
      </c>
      <c r="E1959" s="19" t="n">
        <f aca="false">'SALES Raw'!D545</f>
        <v>900.62</v>
      </c>
      <c r="F1959" s="19" t="n">
        <f aca="false">'SALES Raw'!E545*$H$4</f>
        <v>15.1578947368421</v>
      </c>
      <c r="G1959" s="19" t="n">
        <f aca="false">'SALES Raw'!F545*$H$4</f>
        <v>709.73052631579</v>
      </c>
      <c r="H1959" s="18" t="str">
        <f aca="false">'SALES Raw'!A545</f>
        <v>102 - Orthopedic institutes</v>
      </c>
    </row>
    <row r="1960" customFormat="false" ht="15" hidden="false" customHeight="false" outlineLevel="0" collapsed="false">
      <c r="A1960" s="18" t="n">
        <f aca="false">'SALES Raw'!G571</f>
        <v>4413134</v>
      </c>
      <c r="B1960" s="18" t="str">
        <f aca="false">'SALES Raw'!B571</f>
        <v>76 XL</v>
      </c>
      <c r="C1960" s="18" t="str">
        <f aca="false">'SALES Raw'!H571</f>
        <v>76 XLמיישר כתף יציב יישור רחב</v>
      </c>
      <c r="D1960" s="19" t="n">
        <f aca="false">'SALES Raw'!C571</f>
        <v>26</v>
      </c>
      <c r="E1960" s="19" t="n">
        <f aca="false">'SALES Raw'!D571</f>
        <v>4064.18</v>
      </c>
      <c r="F1960" s="19" t="n">
        <f aca="false">'SALES Raw'!E571*$H$4</f>
        <v>15.1578947368421</v>
      </c>
      <c r="G1960" s="19" t="n">
        <f aca="false">'SALES Raw'!F571*$H$4</f>
        <v>2425.30105263158</v>
      </c>
      <c r="H1960" s="18" t="str">
        <f aca="false">'SALES Raw'!A571</f>
        <v>102 - Orthopedic institutes</v>
      </c>
    </row>
    <row r="1961" customFormat="false" ht="15" hidden="false" customHeight="false" outlineLevel="0" collapsed="false">
      <c r="A1961" s="18" t="n">
        <f aca="false">'SALES Raw'!G594</f>
        <v>4413020</v>
      </c>
      <c r="B1961" s="18" t="str">
        <f aca="false">'SALES Raw'!B594</f>
        <v>303-41-42</v>
      </c>
      <c r="C1961" s="18" t="str">
        <f aca="false">'SALES Raw'!H594</f>
        <v>303 41-42 מדרסי סיליק.לח.סכרת</v>
      </c>
      <c r="D1961" s="19" t="n">
        <f aca="false">'SALES Raw'!C594</f>
        <v>5</v>
      </c>
      <c r="E1961" s="19" t="n">
        <f aca="false">'SALES Raw'!D594</f>
        <v>592.7</v>
      </c>
      <c r="F1961" s="19" t="n">
        <f aca="false">'SALES Raw'!E594*$H$4</f>
        <v>15.1578947368421</v>
      </c>
      <c r="G1961" s="19" t="n">
        <f aca="false">'SALES Raw'!F594*$H$4</f>
        <v>1551.63789473684</v>
      </c>
      <c r="H1961" s="18" t="str">
        <f aca="false">'SALES Raw'!A594</f>
        <v>102 - Orthopedic institutes</v>
      </c>
    </row>
    <row r="1962" customFormat="false" ht="15" hidden="false" customHeight="false" outlineLevel="0" collapsed="false">
      <c r="A1962" s="18" t="n">
        <f aca="false">'SALES Raw'!G620</f>
        <v>4413348</v>
      </c>
      <c r="B1962" s="18" t="str">
        <f aca="false">'SALES Raw'!B620</f>
        <v>302M 0</v>
      </c>
      <c r="C1962" s="18" t="str">
        <f aca="false">'SALES Raw'!H620</f>
        <v>302 מדרס ג'ל לגבר</v>
      </c>
      <c r="D1962" s="19" t="n">
        <f aca="false">'SALES Raw'!C620</f>
        <v>17</v>
      </c>
      <c r="E1962" s="19" t="n">
        <f aca="false">'SALES Raw'!D620</f>
        <v>1045.75</v>
      </c>
      <c r="F1962" s="19" t="n">
        <f aca="false">'SALES Raw'!E620*$H$4</f>
        <v>15.1578947368421</v>
      </c>
      <c r="G1962" s="19" t="n">
        <f aca="false">'SALES Raw'!F620*$H$4</f>
        <v>1050.90947368421</v>
      </c>
      <c r="H1962" s="18" t="str">
        <f aca="false">'SALES Raw'!A620</f>
        <v>102 - Orthopedic institutes</v>
      </c>
    </row>
    <row r="1963" customFormat="false" ht="15" hidden="false" customHeight="false" outlineLevel="0" collapsed="false">
      <c r="A1963" s="18" t="n">
        <f aca="false">'SALES Raw'!G656</f>
        <v>4413128</v>
      </c>
      <c r="B1963" s="18" t="str">
        <f aca="false">'SALES Raw'!B656</f>
        <v>75 M</v>
      </c>
      <c r="C1963" s="18" t="str">
        <f aca="false">'SALES Raw'!H656</f>
        <v>75 Mמיישר כתף יציב יישור גב צר</v>
      </c>
      <c r="D1963" s="19" t="n">
        <f aca="false">'SALES Raw'!C656</f>
        <v>7</v>
      </c>
      <c r="E1963" s="19" t="n">
        <f aca="false">'SALES Raw'!D656</f>
        <v>1135.29</v>
      </c>
      <c r="F1963" s="19" t="n">
        <f aca="false">'SALES Raw'!E656*$H$4</f>
        <v>15.1578947368421</v>
      </c>
      <c r="G1963" s="19" t="n">
        <f aca="false">'SALES Raw'!F656*$H$4</f>
        <v>2458.42105263158</v>
      </c>
      <c r="H1963" s="18" t="str">
        <f aca="false">'SALES Raw'!A656</f>
        <v>102 - Orthopedic institutes</v>
      </c>
    </row>
    <row r="1964" customFormat="false" ht="15" hidden="false" customHeight="false" outlineLevel="0" collapsed="false">
      <c r="A1964" s="18" t="n">
        <f aca="false">'SALES Raw'!G696</f>
        <v>4408047</v>
      </c>
      <c r="B1964" s="18" t="str">
        <f aca="false">'SALES Raw'!B696</f>
        <v>20 M</v>
      </c>
      <c r="C1964" s="18" t="str">
        <f aca="false">'SALES Raw'!H696</f>
        <v>20 M חבק יד מתכוון עם צמדן</v>
      </c>
      <c r="D1964" s="19" t="n">
        <f aca="false">'SALES Raw'!C696</f>
        <v>15</v>
      </c>
      <c r="E1964" s="19" t="n">
        <f aca="false">'SALES Raw'!D696</f>
        <v>489.43</v>
      </c>
      <c r="F1964" s="19" t="n">
        <f aca="false">'SALES Raw'!E696*$H$4</f>
        <v>15.1578947368421</v>
      </c>
      <c r="G1964" s="19" t="n">
        <f aca="false">'SALES Raw'!F696*$H$4</f>
        <v>498.113684210526</v>
      </c>
      <c r="H1964" s="18" t="str">
        <f aca="false">'SALES Raw'!A696</f>
        <v>102 - Orthopedic institutes</v>
      </c>
    </row>
    <row r="1965" customFormat="false" ht="15" hidden="false" customHeight="false" outlineLevel="0" collapsed="false">
      <c r="A1965" s="18" t="n">
        <f aca="false">'SALES Raw'!G723</f>
        <v>4422032</v>
      </c>
      <c r="B1965" s="18" t="str">
        <f aca="false">'SALES Raw'!B723</f>
        <v>807CB-B</v>
      </c>
      <c r="C1965" s="18" t="str">
        <f aca="false">'SALES Raw'!H723</f>
        <v>807B-Bתחבושת נצמדת שחור 20 מ""""מ</v>
      </c>
      <c r="D1965" s="19" t="n">
        <f aca="false">'SALES Raw'!C723</f>
        <v>28</v>
      </c>
      <c r="E1965" s="19" t="n">
        <f aca="false">'SALES Raw'!D723</f>
        <v>253.86</v>
      </c>
      <c r="F1965" s="19" t="n">
        <f aca="false">'SALES Raw'!E723*$H$4</f>
        <v>15.1578947368421</v>
      </c>
      <c r="G1965" s="19" t="n">
        <f aca="false">'SALES Raw'!F723*$H$4</f>
        <v>159.157894736842</v>
      </c>
      <c r="H1965" s="18" t="str">
        <f aca="false">'SALES Raw'!A723</f>
        <v>102 - Orthopedic institutes</v>
      </c>
    </row>
    <row r="1966" customFormat="false" ht="15" hidden="false" customHeight="false" outlineLevel="0" collapsed="false">
      <c r="A1966" s="18" t="n">
        <f aca="false">'SALES Raw'!G767</f>
        <v>4415001</v>
      </c>
      <c r="B1966" s="18" t="str">
        <f aca="false">'SALES Raw'!B767</f>
        <v>26 M</v>
      </c>
      <c r="C1966" s="18" t="str">
        <f aca="false">'SALES Raw'!H767</f>
        <v>26 M סד ליד דו צדדי לאחר שבר</v>
      </c>
      <c r="D1966" s="19" t="n">
        <f aca="false">'SALES Raw'!C767</f>
        <v>13</v>
      </c>
      <c r="E1966" s="19" t="n">
        <f aca="false">'SALES Raw'!D767</f>
        <v>1331.38</v>
      </c>
      <c r="F1966" s="19" t="n">
        <f aca="false">'SALES Raw'!E767*$H$4</f>
        <v>15.1578947368421</v>
      </c>
      <c r="G1966" s="19" t="n">
        <f aca="false">'SALES Raw'!F767*$H$4</f>
        <v>1562.33684210526</v>
      </c>
      <c r="H1966" s="18" t="str">
        <f aca="false">'SALES Raw'!A767</f>
        <v>102 - Orthopedic institutes</v>
      </c>
    </row>
    <row r="1967" customFormat="false" ht="15" hidden="false" customHeight="false" outlineLevel="0" collapsed="false">
      <c r="A1967" s="18" t="n">
        <f aca="false">'SALES Raw'!G779</f>
        <v>4420017</v>
      </c>
      <c r="B1967" s="18" t="str">
        <f aca="false">'SALES Raw'!B779</f>
        <v>4022 0</v>
      </c>
      <c r="C1967" s="18" t="str">
        <f aca="false">'SALES Raw'!H779</f>
        <v>4022 רצועת """"פיקה""""+כרית</v>
      </c>
      <c r="D1967" s="19" t="n">
        <f aca="false">'SALES Raw'!C779</f>
        <v>19</v>
      </c>
      <c r="E1967" s="19" t="n">
        <f aca="false">'SALES Raw'!D779</f>
        <v>1791.61</v>
      </c>
      <c r="F1967" s="19" t="n">
        <f aca="false">'SALES Raw'!E779*$H$4</f>
        <v>15.1578947368421</v>
      </c>
      <c r="G1967" s="19" t="n">
        <f aca="false">'SALES Raw'!F779*$H$4</f>
        <v>1434.46736842105</v>
      </c>
      <c r="H1967" s="18" t="str">
        <f aca="false">'SALES Raw'!A779</f>
        <v>102 - Orthopedic institutes</v>
      </c>
    </row>
    <row r="1968" customFormat="false" ht="15" hidden="false" customHeight="false" outlineLevel="0" collapsed="false">
      <c r="A1968" s="18" t="n">
        <f aca="false">'SALES Raw'!G803</f>
        <v>4413131</v>
      </c>
      <c r="B1968" s="18" t="str">
        <f aca="false">'SALES Raw'!B803</f>
        <v>76 S</v>
      </c>
      <c r="C1968" s="18" t="str">
        <f aca="false">'SALES Raw'!H803</f>
        <v>76 Sמיישר כתף יציב יישור ג.רחב</v>
      </c>
      <c r="D1968" s="19" t="n">
        <f aca="false">'SALES Raw'!C803</f>
        <v>18</v>
      </c>
      <c r="E1968" s="19" t="n">
        <f aca="false">'SALES Raw'!D803</f>
        <v>2808.04</v>
      </c>
      <c r="F1968" s="19" t="n">
        <f aca="false">'SALES Raw'!E803*$H$4</f>
        <v>15.1578947368421</v>
      </c>
      <c r="G1968" s="19" t="n">
        <f aca="false">'SALES Raw'!F803*$H$4</f>
        <v>2425.27578947368</v>
      </c>
      <c r="H1968" s="18" t="str">
        <f aca="false">'SALES Raw'!A803</f>
        <v>102 - Orthopedic institutes</v>
      </c>
    </row>
    <row r="1969" customFormat="false" ht="15" hidden="false" customHeight="false" outlineLevel="0" collapsed="false">
      <c r="A1969" s="18" t="n">
        <f aca="false">'SALES Raw'!G894</f>
        <v>4413371</v>
      </c>
      <c r="B1969" s="18" t="str">
        <f aca="false">'SALES Raw'!B894</f>
        <v>3675 0</v>
      </c>
      <c r="C1969" s="18" t="str">
        <f aca="false">'SALES Raw'!H894</f>
        <v>3675    מגן זרת מסיליקון</v>
      </c>
      <c r="D1969" s="19" t="n">
        <f aca="false">'SALES Raw'!C894</f>
        <v>28</v>
      </c>
      <c r="E1969" s="19" t="n">
        <f aca="false">'SALES Raw'!D894</f>
        <v>809.33</v>
      </c>
      <c r="F1969" s="19" t="n">
        <f aca="false">'SALES Raw'!E894*$H$4</f>
        <v>15.1578947368421</v>
      </c>
      <c r="G1969" s="19" t="n">
        <f aca="false">'SALES Raw'!F894*$H$4</f>
        <v>461.103157894737</v>
      </c>
      <c r="H1969" s="18" t="str">
        <f aca="false">'SALES Raw'!A894</f>
        <v>102 - Orthopedic institutes</v>
      </c>
    </row>
    <row r="1970" customFormat="false" ht="15" hidden="false" customHeight="false" outlineLevel="0" collapsed="false">
      <c r="A1970" s="18" t="n">
        <f aca="false">'SALES Raw'!G1300</f>
        <v>4422024</v>
      </c>
      <c r="B1970" s="18" t="str">
        <f aca="false">'SALES Raw'!B1300</f>
        <v>806CB-B</v>
      </c>
      <c r="C1970" s="18" t="str">
        <f aca="false">'SALES Raw'!H1300</f>
        <v>806CB-BLACK      תחבושת א.נצמ</v>
      </c>
      <c r="D1970" s="19" t="n">
        <f aca="false">'SALES Raw'!C1300</f>
        <v>12</v>
      </c>
      <c r="E1970" s="19" t="n">
        <f aca="false">'SALES Raw'!D1300</f>
        <v>108</v>
      </c>
      <c r="F1970" s="19" t="n">
        <f aca="false">'SALES Raw'!E1300*$H$4</f>
        <v>15.1578947368421</v>
      </c>
      <c r="G1970" s="19" t="n">
        <f aca="false">'SALES Raw'!F1300*$H$4</f>
        <v>159.157894736842</v>
      </c>
      <c r="H1970" s="18" t="str">
        <f aca="false">'SALES Raw'!A1300</f>
        <v>103 - Physiotherapy institutes</v>
      </c>
    </row>
    <row r="1971" customFormat="false" ht="15" hidden="false" customHeight="false" outlineLevel="0" collapsed="false">
      <c r="A1971" s="18" t="n">
        <f aca="false">'SALES Raw'!G1301</f>
        <v>4422023</v>
      </c>
      <c r="B1971" s="18" t="str">
        <f aca="false">'SALES Raw'!B1301</f>
        <v>806CB-C</v>
      </c>
      <c r="C1971" s="18" t="str">
        <f aca="false">'SALES Raw'!H1301</f>
        <v>806CB-BEIGE      תחבושת א.נצמ</v>
      </c>
      <c r="D1971" s="19" t="n">
        <f aca="false">'SALES Raw'!C1301</f>
        <v>12</v>
      </c>
      <c r="E1971" s="19" t="n">
        <f aca="false">'SALES Raw'!D1301</f>
        <v>108</v>
      </c>
      <c r="F1971" s="19" t="n">
        <f aca="false">'SALES Raw'!E1301*$H$4</f>
        <v>15.1578947368421</v>
      </c>
      <c r="G1971" s="19" t="n">
        <f aca="false">'SALES Raw'!F1301*$H$4</f>
        <v>159.157894736842</v>
      </c>
      <c r="H1971" s="18" t="str">
        <f aca="false">'SALES Raw'!A1301</f>
        <v>103 - Physiotherapy institutes</v>
      </c>
    </row>
    <row r="1972" customFormat="false" ht="15" hidden="false" customHeight="false" outlineLevel="0" collapsed="false">
      <c r="A1972" s="18" t="str">
        <f aca="false">'SALES Raw'!G1423</f>
        <v/>
      </c>
      <c r="B1972" s="18" t="str">
        <f aca="false">'SALES Raw'!B1423</f>
        <v>809PW-C</v>
      </c>
      <c r="C1972" s="18" t="str">
        <f aca="false">'SALES Raw'!H1423</f>
        <v>809PW-C</v>
      </c>
      <c r="D1972" s="19" t="n">
        <f aca="false">'SALES Raw'!C1423</f>
        <v>0</v>
      </c>
      <c r="E1972" s="19" t="n">
        <f aca="false">'SALES Raw'!D1423</f>
        <v>0</v>
      </c>
      <c r="F1972" s="19" t="n">
        <f aca="false">'SALES Raw'!E1423*$H$4</f>
        <v>15.1578947368421</v>
      </c>
      <c r="G1972" s="19" t="n">
        <f aca="false">'SALES Raw'!F1423*$H$4</f>
        <v>214.888421052632</v>
      </c>
      <c r="H1972" s="18" t="str">
        <f aca="false">'SALES Raw'!A1423</f>
        <v>103 - Physiotherapy institutes</v>
      </c>
    </row>
    <row r="1973" customFormat="false" ht="15" hidden="false" customHeight="false" outlineLevel="0" collapsed="false">
      <c r="A1973" s="18" t="str">
        <f aca="false">'SALES Raw'!G1572</f>
        <v/>
      </c>
      <c r="B1973" s="18" t="str">
        <f aca="false">'SALES Raw'!B1572</f>
        <v>621B-L</v>
      </c>
      <c r="C1973" s="18" t="str">
        <f aca="false">'SALES Raw'!H1572</f>
        <v>621B-L</v>
      </c>
      <c r="D1973" s="19" t="n">
        <f aca="false">'SALES Raw'!C1572</f>
        <v>0</v>
      </c>
      <c r="E1973" s="19" t="n">
        <f aca="false">'SALES Raw'!D1572</f>
        <v>0</v>
      </c>
      <c r="F1973" s="19" t="n">
        <f aca="false">'SALES Raw'!E1572*$H$4</f>
        <v>15.1578947368421</v>
      </c>
      <c r="G1973" s="19" t="n">
        <f aca="false">'SALES Raw'!F1572*$H$4</f>
        <v>993.941052631579</v>
      </c>
      <c r="H1973" s="18" t="str">
        <f aca="false">'SALES Raw'!A1572</f>
        <v>103 - Physiotherapy institutes</v>
      </c>
    </row>
    <row r="1974" customFormat="false" ht="15" hidden="false" customHeight="false" outlineLevel="0" collapsed="false">
      <c r="A1974" s="18" t="str">
        <f aca="false">'SALES Raw'!G1575</f>
        <v/>
      </c>
      <c r="B1974" s="18" t="str">
        <f aca="false">'SALES Raw'!B1575</f>
        <v>621B-XL</v>
      </c>
      <c r="C1974" s="18" t="str">
        <f aca="false">'SALES Raw'!H1575</f>
        <v>621B-XL</v>
      </c>
      <c r="D1974" s="19" t="n">
        <f aca="false">'SALES Raw'!C1575</f>
        <v>0</v>
      </c>
      <c r="E1974" s="19" t="n">
        <f aca="false">'SALES Raw'!D1575</f>
        <v>0</v>
      </c>
      <c r="F1974" s="19" t="n">
        <f aca="false">'SALES Raw'!E1575*$H$4</f>
        <v>15.1578947368421</v>
      </c>
      <c r="G1974" s="19" t="n">
        <f aca="false">'SALES Raw'!F1575*$H$4</f>
        <v>993.928421052632</v>
      </c>
      <c r="H1974" s="18" t="str">
        <f aca="false">'SALES Raw'!A1575</f>
        <v>103 - Physiotherapy institutes</v>
      </c>
    </row>
    <row r="1975" customFormat="false" ht="15" hidden="false" customHeight="false" outlineLevel="0" collapsed="false">
      <c r="A1975" s="18" t="n">
        <f aca="false">'SALES Raw'!G2066</f>
        <v>4408217</v>
      </c>
      <c r="B1975" s="18" t="str">
        <f aca="false">'SALES Raw'!B2066</f>
        <v>078 S</v>
      </c>
      <c r="C1975" s="18" t="str">
        <f aca="false">'SALES Raw'!H2066</f>
        <v>S078 חגורת גב +סגירה כפולה</v>
      </c>
      <c r="D1975" s="19" t="n">
        <f aca="false">'SALES Raw'!C2066</f>
        <v>11</v>
      </c>
      <c r="E1975" s="19" t="n">
        <f aca="false">'SALES Raw'!D2066</f>
        <v>2420.12</v>
      </c>
      <c r="F1975" s="19" t="n">
        <f aca="false">'SALES Raw'!E2066*$H$4</f>
        <v>15.1578947368421</v>
      </c>
      <c r="G1975" s="19" t="n">
        <f aca="false">'SALES Raw'!F2066*$H$4</f>
        <v>3103.13684210526</v>
      </c>
      <c r="H1975" s="18" t="str">
        <f aca="false">'SALES Raw'!A2066</f>
        <v>114 - IL online</v>
      </c>
    </row>
    <row r="1976" customFormat="false" ht="15" hidden="false" customHeight="false" outlineLevel="0" collapsed="false">
      <c r="A1976" s="18" t="n">
        <f aca="false">'SALES Raw'!G2261</f>
        <v>4413043</v>
      </c>
      <c r="B1976" s="18" t="str">
        <f aca="false">'SALES Raw'!B2261</f>
        <v>34 L</v>
      </c>
      <c r="C1976" s="18" t="str">
        <f aca="false">'SALES Raw'!H2261</f>
        <v>34  L מגן קרסול עקב סגור</v>
      </c>
      <c r="D1976" s="19" t="n">
        <f aca="false">'SALES Raw'!C2261</f>
        <v>18</v>
      </c>
      <c r="E1976" s="19" t="n">
        <f aca="false">'SALES Raw'!D2261</f>
        <v>1328.31</v>
      </c>
      <c r="F1976" s="19" t="n">
        <f aca="false">'SALES Raw'!E2261*$H$4</f>
        <v>15.1578947368421</v>
      </c>
      <c r="G1976" s="19" t="n">
        <f aca="false">'SALES Raw'!F2261*$H$4</f>
        <v>1272.60631578947</v>
      </c>
      <c r="H1976" s="18" t="str">
        <f aca="false">'SALES Raw'!A2261</f>
        <v>114 - IL online</v>
      </c>
    </row>
    <row r="1977" customFormat="false" ht="15" hidden="false" customHeight="false" outlineLevel="0" collapsed="false">
      <c r="A1977" s="18" t="n">
        <f aca="false">'SALES Raw'!G2268</f>
        <v>4413160</v>
      </c>
      <c r="B1977" s="18" t="str">
        <f aca="false">'SALES Raw'!B2268</f>
        <v>34+ M</v>
      </c>
      <c r="C1977" s="18" t="str">
        <f aca="false">'SALES Raw'!H2268</f>
        <v>34+ M מגן קרסול עקב סגור+רצוע</v>
      </c>
      <c r="D1977" s="19" t="n">
        <f aca="false">'SALES Raw'!C2268</f>
        <v>18</v>
      </c>
      <c r="E1977" s="19" t="n">
        <f aca="false">'SALES Raw'!D2268</f>
        <v>2013.67</v>
      </c>
      <c r="F1977" s="19" t="n">
        <f aca="false">'SALES Raw'!E2268*$H$4</f>
        <v>15.1578947368421</v>
      </c>
      <c r="G1977" s="19" t="n">
        <f aca="false">'SALES Raw'!F2268*$H$4</f>
        <v>1845.29684210526</v>
      </c>
      <c r="H1977" s="18" t="str">
        <f aca="false">'SALES Raw'!A2268</f>
        <v>114 - IL online</v>
      </c>
    </row>
    <row r="1978" customFormat="false" ht="15" hidden="false" customHeight="false" outlineLevel="0" collapsed="false">
      <c r="A1978" s="18" t="n">
        <f aca="false">'SALES Raw'!G2275</f>
        <v>4413049</v>
      </c>
      <c r="B1978" s="18" t="str">
        <f aca="false">'SALES Raw'!B2275</f>
        <v>35 M</v>
      </c>
      <c r="C1978" s="18" t="str">
        <f aca="false">'SALES Raw'!H2275</f>
        <v>35 M מגן קרסול לבן</v>
      </c>
      <c r="D1978" s="19" t="n">
        <f aca="false">'SALES Raw'!C2275</f>
        <v>7</v>
      </c>
      <c r="E1978" s="19" t="n">
        <f aca="false">'SALES Raw'!D2275</f>
        <v>349.06</v>
      </c>
      <c r="F1978" s="19" t="n">
        <f aca="false">'SALES Raw'!E2275*$H$4</f>
        <v>15.1578947368421</v>
      </c>
      <c r="G1978" s="19" t="n">
        <f aca="false">'SALES Raw'!F2275*$H$4</f>
        <v>825.372631578947</v>
      </c>
      <c r="H1978" s="18" t="str">
        <f aca="false">'SALES Raw'!A2275</f>
        <v>114 - IL online</v>
      </c>
    </row>
    <row r="1979" customFormat="false" ht="15" hidden="false" customHeight="false" outlineLevel="0" collapsed="false">
      <c r="A1979" s="18" t="n">
        <f aca="false">'SALES Raw'!G2308</f>
        <v>4413307</v>
      </c>
      <c r="B1979" s="18" t="str">
        <f aca="false">'SALES Raw'!B2308</f>
        <v>3667 0</v>
      </c>
      <c r="C1979" s="18" t="str">
        <f aca="false">'SALES Raw'!H2308</f>
        <v>URI 3667 מגן בוניון</v>
      </c>
      <c r="D1979" s="19" t="n">
        <f aca="false">'SALES Raw'!C2308</f>
        <v>21</v>
      </c>
      <c r="E1979" s="19" t="n">
        <f aca="false">'SALES Raw'!D2308</f>
        <v>1172.09</v>
      </c>
      <c r="F1979" s="19" t="n">
        <f aca="false">'SALES Raw'!E2308*$H$4</f>
        <v>15.1578947368421</v>
      </c>
      <c r="G1979" s="19" t="n">
        <f aca="false">'SALES Raw'!F2308*$H$4</f>
        <v>867.966315789474</v>
      </c>
      <c r="H1979" s="18" t="str">
        <f aca="false">'SALES Raw'!A2308</f>
        <v>114 - IL online</v>
      </c>
    </row>
    <row r="1980" customFormat="false" ht="15" hidden="false" customHeight="false" outlineLevel="0" collapsed="false">
      <c r="A1980" s="18" t="str">
        <f aca="false">'SALES Raw'!G2324</f>
        <v/>
      </c>
      <c r="B1980" s="18" t="str">
        <f aca="false">'SALES Raw'!B2324</f>
        <v>376-38-40</v>
      </c>
      <c r="C1980" s="18" t="str">
        <f aca="false">'SALES Raw'!H2324</f>
        <v>376-38-40</v>
      </c>
      <c r="D1980" s="19" t="n">
        <f aca="false">'SALES Raw'!C2324</f>
        <v>9</v>
      </c>
      <c r="E1980" s="19" t="n">
        <f aca="false">'SALES Raw'!D2324</f>
        <v>495.74</v>
      </c>
      <c r="F1980" s="19" t="n">
        <f aca="false">'SALES Raw'!E2324*$H$4</f>
        <v>15.1578947368421</v>
      </c>
      <c r="G1980" s="19" t="n">
        <f aca="false">'SALES Raw'!F2324*$H$4</f>
        <v>922.029473684211</v>
      </c>
      <c r="H1980" s="18" t="str">
        <f aca="false">'SALES Raw'!A2324</f>
        <v>114 - IL online</v>
      </c>
    </row>
    <row r="1981" customFormat="false" ht="15" hidden="false" customHeight="false" outlineLevel="0" collapsed="false">
      <c r="A1981" s="18" t="n">
        <f aca="false">'SALES Raw'!G2346</f>
        <v>4403005</v>
      </c>
      <c r="B1981" s="18" t="str">
        <f aca="false">'SALES Raw'!B2346</f>
        <v>390G-43-46</v>
      </c>
      <c r="C1981" s="18" t="str">
        <f aca="false">'SALES Raw'!H2346</f>
        <v>G390.43-46 גרבי כסף לסכרת מידה</v>
      </c>
      <c r="D1981" s="19" t="n">
        <f aca="false">'SALES Raw'!C2346</f>
        <v>43</v>
      </c>
      <c r="E1981" s="19" t="n">
        <f aca="false">'SALES Raw'!D2346</f>
        <v>2129.24</v>
      </c>
      <c r="F1981" s="19" t="n">
        <f aca="false">'SALES Raw'!E2346*$H$4</f>
        <v>15.1578947368421</v>
      </c>
      <c r="G1981" s="19" t="n">
        <f aca="false">'SALES Raw'!F2346*$H$4</f>
        <v>753.701052631579</v>
      </c>
      <c r="H1981" s="18" t="str">
        <f aca="false">'SALES Raw'!A2346</f>
        <v>114 - IL online</v>
      </c>
    </row>
    <row r="1982" customFormat="false" ht="15" hidden="false" customHeight="false" outlineLevel="0" collapsed="false">
      <c r="A1982" s="18" t="n">
        <f aca="false">'SALES Raw'!G2349</f>
        <v>4403008</v>
      </c>
      <c r="B1982" s="18" t="str">
        <f aca="false">'SALES Raw'!B2349</f>
        <v>390W-43-46</v>
      </c>
      <c r="C1982" s="18" t="str">
        <f aca="false">'SALES Raw'!H2349</f>
        <v>390W גרב.כסף לסכרתיים לבן43-46</v>
      </c>
      <c r="D1982" s="19" t="n">
        <f aca="false">'SALES Raw'!C2349</f>
        <v>60</v>
      </c>
      <c r="E1982" s="19" t="n">
        <f aca="false">'SALES Raw'!D2349</f>
        <v>2866.3</v>
      </c>
      <c r="F1982" s="19" t="n">
        <f aca="false">'SALES Raw'!E2349*$H$4</f>
        <v>15.1578947368421</v>
      </c>
      <c r="G1982" s="19" t="n">
        <f aca="false">'SALES Raw'!F2349*$H$4</f>
        <v>805.755789473684</v>
      </c>
      <c r="H1982" s="18" t="str">
        <f aca="false">'SALES Raw'!A2349</f>
        <v>114 - IL online</v>
      </c>
    </row>
    <row r="1983" customFormat="false" ht="15" hidden="false" customHeight="false" outlineLevel="0" collapsed="false">
      <c r="A1983" s="18" t="n">
        <f aca="false">'SALES Raw'!G2496</f>
        <v>4413128</v>
      </c>
      <c r="B1983" s="18" t="str">
        <f aca="false">'SALES Raw'!B2496</f>
        <v>75 M</v>
      </c>
      <c r="C1983" s="18" t="str">
        <f aca="false">'SALES Raw'!H2496</f>
        <v>75 Mמיישר כתף יציב יישור גב צר</v>
      </c>
      <c r="D1983" s="19" t="n">
        <f aca="false">'SALES Raw'!C2496</f>
        <v>6</v>
      </c>
      <c r="E1983" s="19" t="n">
        <f aca="false">'SALES Raw'!D2496</f>
        <v>1645.74</v>
      </c>
      <c r="F1983" s="19" t="n">
        <f aca="false">'SALES Raw'!E2496*$H$4</f>
        <v>15.1578947368421</v>
      </c>
      <c r="G1983" s="19" t="n">
        <f aca="false">'SALES Raw'!F2496*$H$4</f>
        <v>4270.02947368421</v>
      </c>
      <c r="H1983" s="18" t="str">
        <f aca="false">'SALES Raw'!A2496</f>
        <v>114 - IL online</v>
      </c>
    </row>
    <row r="1984" customFormat="false" ht="15" hidden="false" customHeight="false" outlineLevel="0" collapsed="false">
      <c r="A1984" s="18" t="n">
        <f aca="false">'SALES Raw'!G2526</f>
        <v>4422033</v>
      </c>
      <c r="B1984" s="18" t="str">
        <f aca="false">'SALES Raw'!B2526</f>
        <v>807CB-BL</v>
      </c>
      <c r="C1984" s="18" t="str">
        <f aca="false">'SALES Raw'!H2526</f>
        <v>807CB-BLתחבושת נצמדת כחול20מ""""מ</v>
      </c>
      <c r="D1984" s="19" t="n">
        <f aca="false">'SALES Raw'!C2526</f>
        <v>6</v>
      </c>
      <c r="E1984" s="19" t="n">
        <f aca="false">'SALES Raw'!D2526</f>
        <v>117.41</v>
      </c>
      <c r="F1984" s="19" t="n">
        <f aca="false">'SALES Raw'!E2526*$H$4</f>
        <v>15.1578947368421</v>
      </c>
      <c r="G1984" s="19" t="n">
        <f aca="false">'SALES Raw'!F2526*$H$4</f>
        <v>318.202105263158</v>
      </c>
      <c r="H1984" s="18" t="str">
        <f aca="false">'SALES Raw'!A2526</f>
        <v>114 - IL online</v>
      </c>
    </row>
    <row r="1985" customFormat="false" ht="15" hidden="false" customHeight="false" outlineLevel="0" collapsed="false">
      <c r="A1985" s="18" t="n">
        <f aca="false">'SALES Raw'!G2543</f>
        <v>4413177</v>
      </c>
      <c r="B1985" s="18" t="str">
        <f aca="false">'SALES Raw'!B2543</f>
        <v>85+ XL</v>
      </c>
      <c r="C1985" s="18" t="str">
        <f aca="false">'SALES Raw'!H2543</f>
        <v>85+ XLמתלה ליד)כיס(רצועת חיזוק</v>
      </c>
      <c r="D1985" s="19" t="n">
        <f aca="false">'SALES Raw'!C2543</f>
        <v>9</v>
      </c>
      <c r="E1985" s="19" t="n">
        <f aca="false">'SALES Raw'!D2543</f>
        <v>1488.56</v>
      </c>
      <c r="F1985" s="19" t="n">
        <f aca="false">'SALES Raw'!E2543*$H$4</f>
        <v>15.1578947368421</v>
      </c>
      <c r="G1985" s="19" t="n">
        <f aca="false">'SALES Raw'!F2543*$H$4</f>
        <v>2507.09052631579</v>
      </c>
      <c r="H1985" s="18" t="str">
        <f aca="false">'SALES Raw'!A2543</f>
        <v>114 - IL online</v>
      </c>
    </row>
    <row r="1986" customFormat="false" ht="15" hidden="false" customHeight="false" outlineLevel="0" collapsed="false">
      <c r="A1986" s="18" t="str">
        <f aca="false">'SALES Raw'!G2619</f>
        <v/>
      </c>
      <c r="B1986" s="18" t="str">
        <f aca="false">'SALES Raw'!B2619</f>
        <v>MSG001FC</v>
      </c>
      <c r="C1986" s="18" t="str">
        <f aca="false">'SALES Raw'!H2619</f>
        <v>MSG001FC</v>
      </c>
      <c r="D1986" s="19" t="n">
        <f aca="false">'SALES Raw'!C2619</f>
        <v>0</v>
      </c>
      <c r="E1986" s="19" t="n">
        <f aca="false">'SALES Raw'!D2619</f>
        <v>0</v>
      </c>
      <c r="F1986" s="19" t="n">
        <f aca="false">'SALES Raw'!E2619*$H$4</f>
        <v>15.1578947368421</v>
      </c>
      <c r="G1986" s="19" t="n">
        <f aca="false">'SALES Raw'!F2619*$H$4</f>
        <v>14086.3326315789</v>
      </c>
      <c r="H1986" s="18" t="str">
        <f aca="false">'SALES Raw'!A2619</f>
        <v>114 - IL online</v>
      </c>
    </row>
    <row r="1987" customFormat="false" ht="15" hidden="false" customHeight="false" outlineLevel="0" collapsed="false">
      <c r="A1987" s="18" t="n">
        <f aca="false">'SALES Raw'!G2898</f>
        <v>4408219</v>
      </c>
      <c r="B1987" s="18" t="str">
        <f aca="false">'SALES Raw'!B2898</f>
        <v>078G S</v>
      </c>
      <c r="C1987" s="18" t="str">
        <f aca="false">'SALES Raw'!H2898</f>
        <v>078G-S חגורת גב אפורה</v>
      </c>
      <c r="D1987" s="19" t="n">
        <f aca="false">'SALES Raw'!C2898</f>
        <v>70</v>
      </c>
      <c r="E1987" s="19" t="n">
        <f aca="false">'SALES Raw'!D2898</f>
        <v>5033.1</v>
      </c>
      <c r="F1987" s="19" t="n">
        <f aca="false">'SALES Raw'!E2898*$H$4</f>
        <v>15.1578947368421</v>
      </c>
      <c r="G1987" s="19" t="n">
        <f aca="false">'SALES Raw'!F2898*$H$4</f>
        <v>932.816842105263</v>
      </c>
      <c r="H1987" s="18" t="str">
        <f aca="false">'SALES Raw'!A2898</f>
        <v>202 - Super-Pharm POLAND</v>
      </c>
    </row>
    <row r="1988" customFormat="false" ht="15" hidden="false" customHeight="false" outlineLevel="0" collapsed="false">
      <c r="A1988" s="18" t="str">
        <f aca="false">'SALES Raw'!G3042</f>
        <v/>
      </c>
      <c r="B1988" s="18" t="str">
        <f aca="false">'SALES Raw'!B3042</f>
        <v>15M L</v>
      </c>
      <c r="C1988" s="18" t="str">
        <f aca="false">'SALES Raw'!H3042</f>
        <v>15M L</v>
      </c>
      <c r="D1988" s="19" t="n">
        <f aca="false">'SALES Raw'!C3042</f>
        <v>36</v>
      </c>
      <c r="E1988" s="19" t="n">
        <f aca="false">'SALES Raw'!D3042</f>
        <v>1954.64</v>
      </c>
      <c r="F1988" s="19" t="n">
        <f aca="false">'SALES Raw'!E3042*$H$4</f>
        <v>15.1578947368421</v>
      </c>
      <c r="G1988" s="19" t="n">
        <f aca="false">'SALES Raw'!F3042*$H$4</f>
        <v>726.265263157895</v>
      </c>
      <c r="H1988" s="18" t="str">
        <f aca="false">'SALES Raw'!A3042</f>
        <v>203 - Ortho- Partner ag SWITZERLAND</v>
      </c>
    </row>
    <row r="1989" customFormat="false" ht="15" hidden="false" customHeight="false" outlineLevel="0" collapsed="false">
      <c r="A1989" s="18" t="str">
        <f aca="false">'SALES Raw'!G3046</f>
        <v/>
      </c>
      <c r="B1989" s="18" t="str">
        <f aca="false">'SALES Raw'!B3046</f>
        <v>15W M</v>
      </c>
      <c r="C1989" s="18" t="str">
        <f aca="false">'SALES Raw'!H3046</f>
        <v>15W M</v>
      </c>
      <c r="D1989" s="19" t="n">
        <f aca="false">'SALES Raw'!C3046</f>
        <v>12</v>
      </c>
      <c r="E1989" s="19" t="n">
        <f aca="false">'SALES Raw'!D3046</f>
        <v>593.66</v>
      </c>
      <c r="F1989" s="19" t="n">
        <f aca="false">'SALES Raw'!E3046*$H$4</f>
        <v>15.1578947368421</v>
      </c>
      <c r="G1989" s="19" t="n">
        <f aca="false">'SALES Raw'!F3046*$H$4</f>
        <v>648.176842105263</v>
      </c>
      <c r="H1989" s="18" t="str">
        <f aca="false">'SALES Raw'!A3046</f>
        <v>203 - Ortho- Partner ag SWITZERLAND</v>
      </c>
    </row>
    <row r="1990" customFormat="false" ht="15" hidden="false" customHeight="false" outlineLevel="0" collapsed="false">
      <c r="A1990" s="18" t="n">
        <f aca="false">'SALES Raw'!G3181</f>
        <v>4415008</v>
      </c>
      <c r="B1990" s="18" t="str">
        <f aca="false">'SALES Raw'!B3181</f>
        <v>28 XL</v>
      </c>
      <c r="C1990" s="18" t="str">
        <f aca="false">'SALES Raw'!H3181</f>
        <v>28 XL סד לאגודל לאחר שבר</v>
      </c>
      <c r="D1990" s="19" t="n">
        <f aca="false">'SALES Raw'!C3181</f>
        <v>0</v>
      </c>
      <c r="E1990" s="19" t="n">
        <f aca="false">'SALES Raw'!D3181</f>
        <v>0</v>
      </c>
      <c r="F1990" s="19" t="n">
        <f aca="false">'SALES Raw'!E3181*$H$4</f>
        <v>15.1578947368421</v>
      </c>
      <c r="G1990" s="19" t="n">
        <f aca="false">'SALES Raw'!F3181*$H$4</f>
        <v>495.637894736842</v>
      </c>
      <c r="H1990" s="18" t="str">
        <f aca="false">'SALES Raw'!A3181</f>
        <v>204 - Sanaflex Anatomic GREECE</v>
      </c>
    </row>
    <row r="1991" customFormat="false" ht="15" hidden="false" customHeight="false" outlineLevel="0" collapsed="false">
      <c r="A1991" s="18" t="n">
        <f aca="false">'SALES Raw'!G3278</f>
        <v>4418002</v>
      </c>
      <c r="B1991" s="18" t="str">
        <f aca="false">'SALES Raw'!B3278</f>
        <v>60 S</v>
      </c>
      <c r="C1991" s="18" t="str">
        <f aca="false">'SALES Raw'!H3278</f>
        <v>60 S צוארון ספוגי</v>
      </c>
      <c r="D1991" s="19" t="n">
        <f aca="false">'SALES Raw'!C3278</f>
        <v>26</v>
      </c>
      <c r="E1991" s="19" t="n">
        <f aca="false">'SALES Raw'!D3278</f>
        <v>595.57</v>
      </c>
      <c r="F1991" s="19" t="n">
        <f aca="false">'SALES Raw'!E3278*$H$4</f>
        <v>15.1578947368421</v>
      </c>
      <c r="G1991" s="19" t="n">
        <f aca="false">'SALES Raw'!F3278*$H$4</f>
        <v>311.545263157895</v>
      </c>
      <c r="H1991" s="18" t="str">
        <f aca="false">'SALES Raw'!A3278</f>
        <v>204 - Sanaflex Anatomic GREECE</v>
      </c>
    </row>
    <row r="1992" customFormat="false" ht="15" hidden="false" customHeight="false" outlineLevel="0" collapsed="false">
      <c r="A1992" s="18" t="n">
        <f aca="false">'SALES Raw'!G3312</f>
        <v>4413504</v>
      </c>
      <c r="B1992" s="18" t="str">
        <f aca="false">'SALES Raw'!B3312</f>
        <v>95B XXL</v>
      </c>
      <c r="C1992" s="18" t="str">
        <f aca="false">'SALES Raw'!H3312</f>
        <v>95B XXLמגן מרפק שחור</v>
      </c>
      <c r="D1992" s="19" t="n">
        <f aca="false">'SALES Raw'!C3312</f>
        <v>6</v>
      </c>
      <c r="E1992" s="19" t="n">
        <f aca="false">'SALES Raw'!D3312</f>
        <v>68.97</v>
      </c>
      <c r="F1992" s="19" t="n">
        <f aca="false">'SALES Raw'!E3312*$H$4</f>
        <v>15.1578947368421</v>
      </c>
      <c r="G1992" s="19" t="n">
        <f aca="false">'SALES Raw'!F3312*$H$4</f>
        <v>143.936842105263</v>
      </c>
      <c r="H1992" s="18" t="str">
        <f aca="false">'SALES Raw'!A3312</f>
        <v>204 - Sanaflex Anatomic GREECE</v>
      </c>
    </row>
    <row r="1993" customFormat="false" ht="15" hidden="false" customHeight="false" outlineLevel="0" collapsed="false">
      <c r="A1993" s="18" t="n">
        <f aca="false">'SALES Raw'!G3825</f>
        <v>4413063</v>
      </c>
      <c r="B1993" s="18" t="str">
        <f aca="false">'SALES Raw'!B3825</f>
        <v>366S 0</v>
      </c>
      <c r="C1993" s="18" t="str">
        <f aca="false">'SALES Raw'!H3825</f>
        <v>366S-'מדבק.לשחרור לחץ מיבלת2יח</v>
      </c>
      <c r="D1993" s="19" t="n">
        <f aca="false">'SALES Raw'!C3825</f>
        <v>9</v>
      </c>
      <c r="E1993" s="19" t="n">
        <f aca="false">'SALES Raw'!D3825</f>
        <v>65.79</v>
      </c>
      <c r="F1993" s="19" t="n">
        <f aca="false">'SALES Raw'!E3825*$H$4</f>
        <v>15.1578947368421</v>
      </c>
      <c r="G1993" s="19" t="n">
        <f aca="false">'SALES Raw'!F3825*$H$4</f>
        <v>114.922105263158</v>
      </c>
      <c r="H1993" s="18" t="str">
        <f aca="false">'SALES Raw'!A3825</f>
        <v>209 - Ortoprofil Prod ROMANIA</v>
      </c>
    </row>
    <row r="1994" customFormat="false" ht="15" hidden="false" customHeight="false" outlineLevel="0" collapsed="false">
      <c r="A1994" s="18" t="n">
        <f aca="false">'SALES Raw'!G3945</f>
        <v>4420000</v>
      </c>
      <c r="B1994" s="18" t="str">
        <f aca="false">'SALES Raw'!B3945</f>
        <v>370 0</v>
      </c>
      <c r="C1994" s="18" t="str">
        <f aca="false">'SALES Raw'!H3945</f>
        <v>370  רפידת נוחות-זוג</v>
      </c>
      <c r="D1994" s="19" t="n">
        <f aca="false">'SALES Raw'!C3945</f>
        <v>15</v>
      </c>
      <c r="E1994" s="19" t="n">
        <f aca="false">'SALES Raw'!D3945</f>
        <v>107.3</v>
      </c>
      <c r="F1994" s="19" t="n">
        <f aca="false">'SALES Raw'!E3945*$H$4</f>
        <v>15.1578947368421</v>
      </c>
      <c r="G1994" s="19" t="n">
        <f aca="false">'SALES Raw'!F3945*$H$4</f>
        <v>90.7578947368421</v>
      </c>
      <c r="H1994" s="18" t="str">
        <f aca="false">'SALES Raw'!A3945</f>
        <v>210 - Oy. Ea. Ab. FINLAND</v>
      </c>
    </row>
    <row r="1995" customFormat="false" ht="15" hidden="false" customHeight="false" outlineLevel="0" collapsed="false">
      <c r="A1995" s="18" t="n">
        <f aca="false">'SALES Raw'!G3991</f>
        <v>4409012</v>
      </c>
      <c r="B1995" s="18" t="str">
        <f aca="false">'SALES Raw'!B3991</f>
        <v>804AT-C</v>
      </c>
      <c r="C1995" s="18" t="str">
        <f aca="false">'SALES Raw'!H3991</f>
        <v>804AT-C      טייפ חבישה לספורט</v>
      </c>
      <c r="D1995" s="19" t="n">
        <f aca="false">'SALES Raw'!C3991</f>
        <v>0</v>
      </c>
      <c r="E1995" s="19" t="n">
        <f aca="false">'SALES Raw'!D3991</f>
        <v>0</v>
      </c>
      <c r="F1995" s="19" t="n">
        <f aca="false">'SALES Raw'!E3991*$H$4</f>
        <v>15.1578947368421</v>
      </c>
      <c r="G1995" s="19" t="n">
        <f aca="false">'SALES Raw'!F3991*$H$4</f>
        <v>126.050526315789</v>
      </c>
      <c r="H1995" s="18" t="str">
        <f aca="false">'SALES Raw'!A3991</f>
        <v>210 - Oy. Ea. Ab. FINLAND</v>
      </c>
    </row>
    <row r="1996" customFormat="false" ht="15" hidden="false" customHeight="false" outlineLevel="0" collapsed="false">
      <c r="A1996" s="18" t="str">
        <f aca="false">'SALES Raw'!G4013</f>
        <v/>
      </c>
      <c r="B1996" s="18" t="str">
        <f aca="false">'SALES Raw'!B4013</f>
        <v>N433D L</v>
      </c>
      <c r="C1996" s="18" t="str">
        <f aca="false">'SALES Raw'!H4013</f>
        <v>N433D L</v>
      </c>
      <c r="D1996" s="19" t="n">
        <f aca="false">'SALES Raw'!C4013</f>
        <v>0</v>
      </c>
      <c r="E1996" s="19" t="n">
        <f aca="false">'SALES Raw'!D4013</f>
        <v>0</v>
      </c>
      <c r="F1996" s="19" t="n">
        <f aca="false">'SALES Raw'!E4013*$H$4</f>
        <v>15.1578947368421</v>
      </c>
      <c r="G1996" s="19" t="n">
        <f aca="false">'SALES Raw'!F4013*$H$4</f>
        <v>1815.10736842105</v>
      </c>
      <c r="H1996" s="18" t="str">
        <f aca="false">'SALES Raw'!A4013</f>
        <v>210 - Oy. Ea. Ab. FINLAND</v>
      </c>
    </row>
    <row r="1997" customFormat="false" ht="15" hidden="false" customHeight="false" outlineLevel="0" collapsed="false">
      <c r="A1997" s="18" t="str">
        <f aca="false">'SALES Raw'!G4091</f>
        <v/>
      </c>
      <c r="B1997" s="18" t="str">
        <f aca="false">'SALES Raw'!B4091</f>
        <v>61 L</v>
      </c>
      <c r="C1997" s="18" t="str">
        <f aca="false">'SALES Raw'!H4091</f>
        <v>61 L</v>
      </c>
      <c r="D1997" s="19" t="n">
        <f aca="false">'SALES Raw'!C4091</f>
        <v>12</v>
      </c>
      <c r="E1997" s="19" t="n">
        <f aca="false">'SALES Raw'!D4091</f>
        <v>243.01</v>
      </c>
      <c r="F1997" s="19" t="n">
        <f aca="false">'SALES Raw'!E4091*$H$4</f>
        <v>15.1578947368421</v>
      </c>
      <c r="G1997" s="19" t="n">
        <f aca="false">'SALES Raw'!F4091*$H$4</f>
        <v>255.941052631579</v>
      </c>
      <c r="H1997" s="18" t="str">
        <f aca="false">'SALES Raw'!A4091</f>
        <v>213 - E.f.m.o. SPAIN</v>
      </c>
    </row>
    <row r="1998" customFormat="false" ht="15" hidden="false" customHeight="false" outlineLevel="0" collapsed="false">
      <c r="A1998" s="18" t="n">
        <f aca="false">'SALES Raw'!G4157</f>
        <v>4408032</v>
      </c>
      <c r="B1998" s="18" t="str">
        <f aca="false">'SALES Raw'!B4157</f>
        <v>11 L</v>
      </c>
      <c r="C1998" s="18" t="str">
        <f aca="false">'SALES Raw'!H4157</f>
        <v>11 L""""חגורת בטן""""אורירית</v>
      </c>
      <c r="D1998" s="19" t="n">
        <f aca="false">'SALES Raw'!C4157</f>
        <v>6</v>
      </c>
      <c r="E1998" s="19" t="n">
        <f aca="false">'SALES Raw'!D4157</f>
        <v>299.15</v>
      </c>
      <c r="F1998" s="19" t="n">
        <f aca="false">'SALES Raw'!E4157*$H$4</f>
        <v>15.1578947368421</v>
      </c>
      <c r="G1998" s="19" t="n">
        <f aca="false">'SALES Raw'!F4157*$H$4</f>
        <v>688.458947368421</v>
      </c>
      <c r="H1998" s="18" t="str">
        <f aca="false">'SALES Raw'!A4157</f>
        <v>216 - Max Konnaris CYPRUS</v>
      </c>
    </row>
    <row r="1999" customFormat="false" ht="15" hidden="false" customHeight="false" outlineLevel="0" collapsed="false">
      <c r="A1999" s="18" t="n">
        <f aca="false">'SALES Raw'!G4187</f>
        <v>4421005</v>
      </c>
      <c r="B1999" s="18" t="str">
        <f aca="false">'SALES Raw'!B4187</f>
        <v>250 0</v>
      </c>
      <c r="C1999" s="18" t="str">
        <f aca="false">'SALES Raw'!H4187</f>
        <v>שרוול לגבס קצר יד</v>
      </c>
      <c r="D1999" s="19" t="n">
        <f aca="false">'SALES Raw'!C4187</f>
        <v>20</v>
      </c>
      <c r="E1999" s="19" t="n">
        <f aca="false">'SALES Raw'!D4187</f>
        <v>411.65</v>
      </c>
      <c r="F1999" s="19" t="n">
        <f aca="false">'SALES Raw'!E4187*$H$4</f>
        <v>15.1578947368421</v>
      </c>
      <c r="G1999" s="19" t="n">
        <f aca="false">'SALES Raw'!F4187*$H$4</f>
        <v>277.541052631579</v>
      </c>
      <c r="H1999" s="18" t="str">
        <f aca="false">'SALES Raw'!A4187</f>
        <v>216 - Max Konnaris CYPRUS</v>
      </c>
    </row>
    <row r="2000" customFormat="false" ht="15" hidden="false" customHeight="false" outlineLevel="0" collapsed="false">
      <c r="A2000" s="18" t="n">
        <f aca="false">'SALES Raw'!G4218</f>
        <v>4413159</v>
      </c>
      <c r="B2000" s="18" t="str">
        <f aca="false">'SALES Raw'!B4218</f>
        <v>34+ S</v>
      </c>
      <c r="C2000" s="18" t="str">
        <f aca="false">'SALES Raw'!H4218</f>
        <v>34+ S מגן קרסול עקב סגור+רצוע</v>
      </c>
      <c r="D2000" s="19" t="n">
        <f aca="false">'SALES Raw'!C4218</f>
        <v>0</v>
      </c>
      <c r="E2000" s="19" t="n">
        <f aca="false">'SALES Raw'!D4218</f>
        <v>0</v>
      </c>
      <c r="F2000" s="19" t="n">
        <f aca="false">'SALES Raw'!E4218*$H$4</f>
        <v>15.1578947368421</v>
      </c>
      <c r="G2000" s="19" t="n">
        <f aca="false">'SALES Raw'!F4218*$H$4</f>
        <v>465.246315789474</v>
      </c>
      <c r="H2000" s="18" t="str">
        <f aca="false">'SALES Raw'!A4218</f>
        <v>216 - Max Konnaris CYPRUS</v>
      </c>
    </row>
    <row r="2001" customFormat="false" ht="15" hidden="false" customHeight="false" outlineLevel="0" collapsed="false">
      <c r="A2001" s="18" t="n">
        <f aca="false">'SALES Raw'!G4316</f>
        <v>4422026</v>
      </c>
      <c r="B2001" s="18" t="str">
        <f aca="false">'SALES Raw'!B4316</f>
        <v>806CB-P</v>
      </c>
      <c r="C2001" s="18" t="str">
        <f aca="false">'SALES Raw'!H4316</f>
        <v>806CB-PINK       תחבושת א.נצמ</v>
      </c>
      <c r="D2001" s="19" t="n">
        <f aca="false">'SALES Raw'!C4316</f>
        <v>12</v>
      </c>
      <c r="E2001" s="19" t="n">
        <f aca="false">'SALES Raw'!D4316</f>
        <v>82.06</v>
      </c>
      <c r="F2001" s="19" t="n">
        <f aca="false">'SALES Raw'!E4316*$H$4</f>
        <v>15.1578947368421</v>
      </c>
      <c r="G2001" s="19" t="n">
        <f aca="false">'SALES Raw'!F4316*$H$4</f>
        <v>100.244210526316</v>
      </c>
      <c r="H2001" s="18" t="str">
        <f aca="false">'SALES Raw'!A4316</f>
        <v>216 - Max Konnaris CYPRUS</v>
      </c>
    </row>
    <row r="2002" customFormat="false" ht="15" hidden="false" customHeight="false" outlineLevel="0" collapsed="false">
      <c r="A2002" s="18" t="n">
        <f aca="false">'SALES Raw'!G4385</f>
        <v>4422006</v>
      </c>
      <c r="B2002" s="18" t="str">
        <f aca="false">'SALES Raw'!B4385</f>
        <v>T78 L</v>
      </c>
      <c r="C2002" s="18" t="str">
        <f aca="false">'SALES Raw'!H4385</f>
        <v>T78 L תומך זרוע וכתף</v>
      </c>
      <c r="D2002" s="19" t="n">
        <f aca="false">'SALES Raw'!C4385</f>
        <v>0</v>
      </c>
      <c r="E2002" s="19" t="n">
        <f aca="false">'SALES Raw'!D4385</f>
        <v>0</v>
      </c>
      <c r="F2002" s="19" t="n">
        <f aca="false">'SALES Raw'!E4385*$H$4</f>
        <v>15.1578947368421</v>
      </c>
      <c r="G2002" s="19" t="n">
        <f aca="false">'SALES Raw'!F4385*$H$4</f>
        <v>1125.00631578947</v>
      </c>
      <c r="H2002" s="18" t="str">
        <f aca="false">'SALES Raw'!A4385</f>
        <v>216 - Max Konnaris CYPRUS</v>
      </c>
    </row>
    <row r="2003" customFormat="false" ht="15" hidden="false" customHeight="false" outlineLevel="0" collapsed="false">
      <c r="A2003" s="18" t="n">
        <f aca="false">'SALES Raw'!G4387</f>
        <v>4422007</v>
      </c>
      <c r="B2003" s="18" t="str">
        <f aca="false">'SALES Raw'!B4387</f>
        <v>T78 XL</v>
      </c>
      <c r="C2003" s="18" t="str">
        <f aca="false">'SALES Raw'!H4387</f>
        <v>T78 XLתומך זרוע וכתף</v>
      </c>
      <c r="D2003" s="19" t="n">
        <f aca="false">'SALES Raw'!C4387</f>
        <v>0</v>
      </c>
      <c r="E2003" s="19" t="n">
        <f aca="false">'SALES Raw'!D4387</f>
        <v>0</v>
      </c>
      <c r="F2003" s="19" t="n">
        <f aca="false">'SALES Raw'!E4387*$H$4</f>
        <v>15.1578947368421</v>
      </c>
      <c r="G2003" s="19" t="n">
        <f aca="false">'SALES Raw'!F4387*$H$4</f>
        <v>1125.00631578947</v>
      </c>
      <c r="H2003" s="18" t="str">
        <f aca="false">'SALES Raw'!A4387</f>
        <v>216 - Max Konnaris CYPRUS</v>
      </c>
    </row>
    <row r="2004" customFormat="false" ht="15" hidden="false" customHeight="false" outlineLevel="0" collapsed="false">
      <c r="A2004" s="18" t="n">
        <f aca="false">'SALES Raw'!G4416</f>
        <v>4416003</v>
      </c>
      <c r="B2004" s="18" t="str">
        <f aca="false">'SALES Raw'!B4416</f>
        <v>308 L</v>
      </c>
      <c r="C2004" s="18" t="str">
        <f aca="false">'SALES Raw'!H4416</f>
        <v>308 Lעקבים סיליקון כחול לדורבן</v>
      </c>
      <c r="D2004" s="19" t="n">
        <f aca="false">'SALES Raw'!C4416</f>
        <v>7</v>
      </c>
      <c r="E2004" s="19" t="n">
        <f aca="false">'SALES Raw'!D4416</f>
        <v>783.88</v>
      </c>
      <c r="F2004" s="19" t="n">
        <f aca="false">'SALES Raw'!E4416*$H$4</f>
        <v>15.1578947368421</v>
      </c>
      <c r="G2004" s="19" t="n">
        <f aca="false">'SALES Raw'!F4416*$H$4</f>
        <v>1601.16631578947</v>
      </c>
      <c r="H2004" s="18" t="str">
        <f aca="false">'SALES Raw'!A4416</f>
        <v>301 - Amazon</v>
      </c>
    </row>
    <row r="2005" customFormat="false" ht="15" hidden="false" customHeight="false" outlineLevel="0" collapsed="false">
      <c r="A2005" s="18" t="n">
        <f aca="false">'CEMIUP0.9 Raw'!B21</f>
        <v>4403006</v>
      </c>
      <c r="B2005" s="18" t="str">
        <f aca="false">'CEMIUP0.9 Raw'!C21</f>
        <v>390W גרב כסף לסכרתיים לבן35-38</v>
      </c>
      <c r="C2005" s="18" t="str">
        <f aca="false">'CEMIUP0.9 Raw'!C21</f>
        <v>390W גרב כסף לסכרתיים לבן35-38</v>
      </c>
      <c r="D2005" s="19" t="n">
        <f aca="false">'CEMIUP0.9 Raw'!D21</f>
        <v>12</v>
      </c>
      <c r="E2005" s="19" t="n">
        <f aca="false">'CEMIUP0.9 Raw'!E21</f>
        <v>313.95</v>
      </c>
      <c r="F2005" s="19" t="n">
        <f aca="false">'CEMIUP0.9 Raw'!F21</f>
        <v>15.1578947368421</v>
      </c>
      <c r="G2005" s="19" t="n">
        <f aca="false">'CEMIUP0.9 Raw'!G21</f>
        <v>484.273263157895</v>
      </c>
      <c r="H2005" s="18" t="str">
        <f aca="false">'CEMIUP0.9 Raw'!A21</f>
        <v>107 - Pharmacies</v>
      </c>
    </row>
    <row r="2006" customFormat="false" ht="15" hidden="false" customHeight="false" outlineLevel="0" collapsed="false">
      <c r="A2006" s="18" t="n">
        <f aca="false">'CEMIUP0.9 Raw'!B67</f>
        <v>4408035</v>
      </c>
      <c r="B2006" s="18" t="str">
        <f aca="false">'CEMIUP0.9 Raw'!C67</f>
        <v>11 XXL""חגורת בטן""אורירית</v>
      </c>
      <c r="C2006" s="18" t="str">
        <f aca="false">'CEMIUP0.9 Raw'!C67</f>
        <v>11 XXL""חגורת בטן""אורירית</v>
      </c>
      <c r="D2006" s="19" t="n">
        <f aca="false">'CEMIUP0.9 Raw'!D67</f>
        <v>29</v>
      </c>
      <c r="E2006" s="19" t="n">
        <f aca="false">'CEMIUP0.9 Raw'!E67</f>
        <v>2742.649</v>
      </c>
      <c r="F2006" s="19" t="n">
        <f aca="false">'CEMIUP0.9 Raw'!F67</f>
        <v>15.1578947368421</v>
      </c>
      <c r="G2006" s="19" t="n">
        <f aca="false">'CEMIUP0.9 Raw'!G67</f>
        <v>1453.40968421053</v>
      </c>
      <c r="H2006" s="18" t="str">
        <f aca="false">'CEMIUP0.9 Raw'!A67</f>
        <v>107 - Pharmacies</v>
      </c>
    </row>
    <row r="2007" customFormat="false" ht="15" hidden="false" customHeight="false" outlineLevel="0" collapsed="false">
      <c r="A2007" s="18" t="n">
        <f aca="false">'CEMIUP0.9 Raw'!B96</f>
        <v>4408081</v>
      </c>
      <c r="B2007" s="18" t="str">
        <f aca="false">'CEMIUP0.9 Raw'!C96</f>
        <v>59R M חגורת שבר לצד ימין</v>
      </c>
      <c r="C2007" s="18" t="str">
        <f aca="false">'CEMIUP0.9 Raw'!C96</f>
        <v>59R M חגורת שבר לצד ימין</v>
      </c>
      <c r="D2007" s="19" t="n">
        <f aca="false">'CEMIUP0.9 Raw'!D96</f>
        <v>14</v>
      </c>
      <c r="E2007" s="19" t="n">
        <f aca="false">'CEMIUP0.9 Raw'!E96</f>
        <v>2377.136</v>
      </c>
      <c r="F2007" s="19" t="n">
        <f aca="false">'CEMIUP0.9 Raw'!F96</f>
        <v>15.1578947368421</v>
      </c>
      <c r="G2007" s="19" t="n">
        <f aca="false">'CEMIUP0.9 Raw'!G96</f>
        <v>2490.57094736842</v>
      </c>
      <c r="H2007" s="18" t="str">
        <f aca="false">'CEMIUP0.9 Raw'!A96</f>
        <v>107 - Pharmacies</v>
      </c>
    </row>
    <row r="2008" customFormat="false" ht="15" hidden="false" customHeight="false" outlineLevel="0" collapsed="false">
      <c r="A2008" s="18" t="n">
        <f aca="false">'CEMIUP0.9 Raw'!B287</f>
        <v>4413114</v>
      </c>
      <c r="B2008" s="18" t="str">
        <f aca="false">'CEMIUP0.9 Raw'!C287</f>
        <v>49 XL מגן ירך</v>
      </c>
      <c r="C2008" s="18" t="str">
        <f aca="false">'CEMIUP0.9 Raw'!C287</f>
        <v>49 XL מגן ירך</v>
      </c>
      <c r="D2008" s="19" t="n">
        <f aca="false">'CEMIUP0.9 Raw'!D287</f>
        <v>36</v>
      </c>
      <c r="E2008" s="19" t="n">
        <f aca="false">'CEMIUP0.9 Raw'!E287</f>
        <v>1087.723</v>
      </c>
      <c r="F2008" s="19" t="n">
        <f aca="false">'CEMIUP0.9 Raw'!F287</f>
        <v>15.1578947368421</v>
      </c>
      <c r="G2008" s="19" t="n">
        <f aca="false">'CEMIUP0.9 Raw'!G287</f>
        <v>479.215578947368</v>
      </c>
      <c r="H2008" s="18" t="str">
        <f aca="false">'CEMIUP0.9 Raw'!A287</f>
        <v>107 - Pharmacies</v>
      </c>
    </row>
    <row r="2009" customFormat="false" ht="15" hidden="false" customHeight="false" outlineLevel="0" collapsed="false">
      <c r="A2009" s="18" t="n">
        <f aca="false">'CEMIUP0.9 Raw'!B324</f>
        <v>4413159</v>
      </c>
      <c r="B2009" s="18" t="str">
        <f aca="false">'CEMIUP0.9 Raw'!C324</f>
        <v>34+ S מגן קרסול עקב סגור+רצוע</v>
      </c>
      <c r="C2009" s="18" t="str">
        <f aca="false">'CEMIUP0.9 Raw'!C324</f>
        <v>34+ S מגן קרסול עקב סגור+רצוע</v>
      </c>
      <c r="D2009" s="19" t="n">
        <f aca="false">'CEMIUP0.9 Raw'!D324</f>
        <v>29</v>
      </c>
      <c r="E2009" s="19" t="n">
        <f aca="false">'CEMIUP0.9 Raw'!E324</f>
        <v>1808.716</v>
      </c>
      <c r="F2009" s="19" t="n">
        <f aca="false">'CEMIUP0.9 Raw'!F324</f>
        <v>15.1578947368421</v>
      </c>
      <c r="G2009" s="19" t="n">
        <f aca="false">'CEMIUP0.9 Raw'!G324</f>
        <v>915.210947368421</v>
      </c>
      <c r="H2009" s="18" t="str">
        <f aca="false">'CEMIUP0.9 Raw'!A324</f>
        <v>107 - Pharmacies</v>
      </c>
    </row>
    <row r="2010" customFormat="false" ht="15" hidden="false" customHeight="false" outlineLevel="0" collapsed="false">
      <c r="A2010" s="18" t="n">
        <f aca="false">'CEMIUP0.9 Raw'!B678</f>
        <v>4403005</v>
      </c>
      <c r="B2010" s="18" t="str">
        <f aca="false">'CEMIUP0.9 Raw'!C678</f>
        <v>G390.43-46 גרבי כסף לסכרת מידה</v>
      </c>
      <c r="C2010" s="18" t="str">
        <f aca="false">'CEMIUP0.9 Raw'!C678</f>
        <v>G390.43-46 גרבי כסף לסכרת מידה</v>
      </c>
      <c r="D2010" s="19" t="n">
        <f aca="false">'CEMIUP0.9 Raw'!D678</f>
        <v>25</v>
      </c>
      <c r="E2010" s="19" t="n">
        <f aca="false">'CEMIUP0.9 Raw'!E678</f>
        <v>590</v>
      </c>
      <c r="F2010" s="19" t="n">
        <f aca="false">'CEMIUP0.9 Raw'!F678</f>
        <v>15.1578947368421</v>
      </c>
      <c r="G2010" s="19" t="n">
        <f aca="false">'CEMIUP0.9 Raw'!G678</f>
        <v>329.331789473684</v>
      </c>
      <c r="H2010" s="18" t="str">
        <f aca="false">'CEMIUP0.9 Raw'!A678</f>
        <v>113 - Kupat Holim Meuhedet</v>
      </c>
    </row>
    <row r="2011" customFormat="false" ht="15" hidden="false" customHeight="false" outlineLevel="0" collapsed="false">
      <c r="A2011" s="18" t="n">
        <f aca="false">'CEMIUP0.9 Raw'!B693</f>
        <v>4408015</v>
      </c>
      <c r="B2011" s="18" t="str">
        <f aca="false">'CEMIUP0.9 Raw'!C693</f>
        <v>07AU L</v>
      </c>
      <c r="C2011" s="18" t="str">
        <f aca="false">'CEMIUP0.9 Raw'!C693</f>
        <v>07AU L</v>
      </c>
      <c r="D2011" s="19" t="n">
        <f aca="false">'CEMIUP0.9 Raw'!D693</f>
        <v>64</v>
      </c>
      <c r="E2011" s="19" t="n">
        <f aca="false">'CEMIUP0.9 Raw'!E693</f>
        <v>11232</v>
      </c>
      <c r="F2011" s="19" t="n">
        <f aca="false">'CEMIUP0.9 Raw'!F693</f>
        <v>15.1578947368421</v>
      </c>
      <c r="G2011" s="19" t="n">
        <f aca="false">'CEMIUP0.9 Raw'!G693</f>
        <v>2660.21052631579</v>
      </c>
      <c r="H2011" s="18" t="str">
        <f aca="false">'CEMIUP0.9 Raw'!A693</f>
        <v>113 - Kupat Holim Meuhedet</v>
      </c>
    </row>
    <row r="2012" customFormat="false" ht="15" hidden="false" customHeight="false" outlineLevel="0" collapsed="false">
      <c r="A2012" s="18" t="n">
        <f aca="false">'CEMIUP0.9 Raw'!B699</f>
        <v>4408033</v>
      </c>
      <c r="B2012" s="18" t="str">
        <f aca="false">'CEMIUP0.9 Raw'!C699</f>
        <v>11 M</v>
      </c>
      <c r="C2012" s="18" t="str">
        <f aca="false">'CEMIUP0.9 Raw'!C699</f>
        <v>11 M</v>
      </c>
      <c r="D2012" s="19" t="n">
        <f aca="false">'CEMIUP0.9 Raw'!D699</f>
        <v>57</v>
      </c>
      <c r="E2012" s="19" t="n">
        <f aca="false">'CEMIUP0.9 Raw'!E699</f>
        <v>4123.38</v>
      </c>
      <c r="F2012" s="19" t="n">
        <f aca="false">'CEMIUP0.9 Raw'!F699</f>
        <v>15.1578947368421</v>
      </c>
      <c r="G2012" s="19" t="n">
        <f aca="false">'CEMIUP0.9 Raw'!G699</f>
        <v>1096.52210526316</v>
      </c>
      <c r="H2012" s="18" t="str">
        <f aca="false">'CEMIUP0.9 Raw'!A699</f>
        <v>113 - Kupat Holim Meuhedet</v>
      </c>
    </row>
    <row r="2013" customFormat="false" ht="15" hidden="false" customHeight="false" outlineLevel="0" collapsed="false">
      <c r="A2013" s="18" t="n">
        <f aca="false">'CEMIUP0.9 Raw'!B717</f>
        <v>4408081</v>
      </c>
      <c r="B2013" s="18" t="str">
        <f aca="false">'CEMIUP0.9 Raw'!C717</f>
        <v>59R M חגורת שבר לצד ימין</v>
      </c>
      <c r="C2013" s="18" t="str">
        <f aca="false">'CEMIUP0.9 Raw'!C717</f>
        <v>59R M חגורת שבר לצד ימין</v>
      </c>
      <c r="D2013" s="19" t="n">
        <f aca="false">'CEMIUP0.9 Raw'!D717</f>
        <v>18</v>
      </c>
      <c r="E2013" s="19" t="n">
        <f aca="false">'CEMIUP0.9 Raw'!E717</f>
        <v>2278.26</v>
      </c>
      <c r="F2013" s="19" t="n">
        <f aca="false">'CEMIUP0.9 Raw'!F717</f>
        <v>15.1578947368421</v>
      </c>
      <c r="G2013" s="19" t="n">
        <f aca="false">'CEMIUP0.9 Raw'!G717</f>
        <v>1629.12126315789</v>
      </c>
      <c r="H2013" s="18" t="str">
        <f aca="false">'CEMIUP0.9 Raw'!A717</f>
        <v>113 - Kupat Holim Meuhedet</v>
      </c>
    </row>
    <row r="2014" customFormat="false" ht="15" hidden="false" customHeight="false" outlineLevel="0" collapsed="false">
      <c r="A2014" s="18" t="n">
        <f aca="false">'CEMIUP0.9 Raw'!B723</f>
        <v>4408154</v>
      </c>
      <c r="B2014" s="18" t="str">
        <f aca="false">'CEMIUP0.9 Raw'!C723</f>
        <v>11TO XXLחגורה למנותחי בית החזה</v>
      </c>
      <c r="C2014" s="18" t="str">
        <f aca="false">'CEMIUP0.9 Raw'!C723</f>
        <v>11TO XXLחגורה למנותחי בית החזה</v>
      </c>
      <c r="D2014" s="19" t="n">
        <f aca="false">'CEMIUP0.9 Raw'!D723</f>
        <v>0</v>
      </c>
      <c r="E2014" s="19" t="n">
        <f aca="false">'CEMIUP0.9 Raw'!E723</f>
        <v>2.8421709430404E-014</v>
      </c>
      <c r="F2014" s="19" t="n">
        <f aca="false">'CEMIUP0.9 Raw'!F723</f>
        <v>15.1578947368421</v>
      </c>
      <c r="G2014" s="19" t="n">
        <f aca="false">'CEMIUP0.9 Raw'!G723</f>
        <v>1414.89473684211</v>
      </c>
      <c r="H2014" s="18" t="str">
        <f aca="false">'CEMIUP0.9 Raw'!A723</f>
        <v>113 - Kupat Holim Meuhedet</v>
      </c>
    </row>
    <row r="2015" customFormat="false" ht="15" hidden="false" customHeight="false" outlineLevel="0" collapsed="false">
      <c r="A2015" s="18" t="n">
        <f aca="false">'CEMIUP0.9 Raw'!B799</f>
        <v>4413112</v>
      </c>
      <c r="B2015" s="18" t="str">
        <f aca="false">'CEMIUP0.9 Raw'!C799</f>
        <v>49  L מגן ירך</v>
      </c>
      <c r="C2015" s="18" t="str">
        <f aca="false">'CEMIUP0.9 Raw'!C799</f>
        <v>49  L מגן ירך</v>
      </c>
      <c r="D2015" s="19" t="n">
        <f aca="false">'CEMIUP0.9 Raw'!D799</f>
        <v>11</v>
      </c>
      <c r="E2015" s="19" t="n">
        <f aca="false">'CEMIUP0.9 Raw'!E799</f>
        <v>231</v>
      </c>
      <c r="F2015" s="19" t="n">
        <f aca="false">'CEMIUP0.9 Raw'!F799</f>
        <v>15.1578947368421</v>
      </c>
      <c r="G2015" s="19" t="n">
        <f aca="false">'CEMIUP0.9 Raw'!G799</f>
        <v>266.713263157895</v>
      </c>
      <c r="H2015" s="18" t="str">
        <f aca="false">'CEMIUP0.9 Raw'!A799</f>
        <v>113 - Kupat Holim Meuhedet</v>
      </c>
    </row>
    <row r="2016" customFormat="false" ht="15" hidden="false" customHeight="false" outlineLevel="0" collapsed="false">
      <c r="A2016" s="18" t="n">
        <f aca="false">'CEMIUP0.9 Raw'!B804</f>
        <v>4413132</v>
      </c>
      <c r="B2016" s="18" t="str">
        <f aca="false">'CEMIUP0.9 Raw'!C804</f>
        <v>76 Lמיישר כתף יציב יישור רחב</v>
      </c>
      <c r="C2016" s="18" t="str">
        <f aca="false">'CEMIUP0.9 Raw'!C804</f>
        <v>76 Lמיישר כתף יציב יישור רחב</v>
      </c>
      <c r="D2016" s="19" t="n">
        <f aca="false">'CEMIUP0.9 Raw'!D804</f>
        <v>19</v>
      </c>
      <c r="E2016" s="19" t="n">
        <f aca="false">'CEMIUP0.9 Raw'!E804</f>
        <v>2589.7</v>
      </c>
      <c r="F2016" s="19" t="n">
        <f aca="false">'CEMIUP0.9 Raw'!F804</f>
        <v>15.1578947368421</v>
      </c>
      <c r="G2016" s="19" t="n">
        <f aca="false">'CEMIUP0.9 Raw'!G804</f>
        <v>2035.03073684211</v>
      </c>
      <c r="H2016" s="18" t="str">
        <f aca="false">'CEMIUP0.9 Raw'!A804</f>
        <v>113 - Kupat Holim Meuhedet</v>
      </c>
    </row>
    <row r="2017" customFormat="false" ht="15" hidden="false" customHeight="false" outlineLevel="0" collapsed="false">
      <c r="A2017" s="18" t="n">
        <f aca="false">'CEMIUP0.9 Raw'!B880</f>
        <v>4422037</v>
      </c>
      <c r="B2017" s="18" t="str">
        <f aca="false">'CEMIUP0.9 Raw'!C880</f>
        <v>SH422 1 תומך ברך גנושילד</v>
      </c>
      <c r="C2017" s="18" t="str">
        <f aca="false">'CEMIUP0.9 Raw'!C880</f>
        <v>SH422 1 תומך ברך גנושילד</v>
      </c>
      <c r="D2017" s="19" t="n">
        <f aca="false">'CEMIUP0.9 Raw'!D880</f>
        <v>0</v>
      </c>
      <c r="E2017" s="19" t="n">
        <f aca="false">'CEMIUP0.9 Raw'!E880</f>
        <v>0</v>
      </c>
      <c r="F2017" s="19" t="n">
        <f aca="false">'CEMIUP0.9 Raw'!F880</f>
        <v>15.1578947368421</v>
      </c>
      <c r="G2017" s="19" t="n">
        <f aca="false">'CEMIUP0.9 Raw'!G880</f>
        <v>1724.21052631579</v>
      </c>
      <c r="H2017" s="18" t="str">
        <f aca="false">'CEMIUP0.9 Raw'!A880</f>
        <v>113 - Kupat Holim Meuhedet</v>
      </c>
    </row>
    <row r="2018" customFormat="false" ht="15" hidden="false" customHeight="false" outlineLevel="0" collapsed="false">
      <c r="A2018" s="18" t="n">
        <f aca="false">'CEMIUP0.9 Raw'!B1007</f>
        <v>4408150</v>
      </c>
      <c r="B2018" s="18" t="str">
        <f aca="false">'CEMIUP0.9 Raw'!C1007</f>
        <v>11TO S חגורה למנותחי בית החזה</v>
      </c>
      <c r="C2018" s="18" t="str">
        <f aca="false">'CEMIUP0.9 Raw'!C1007</f>
        <v>11TO S חגורה למנותחי בית החזה</v>
      </c>
      <c r="D2018" s="19" t="n">
        <f aca="false">'CEMIUP0.9 Raw'!D1007</f>
        <v>8</v>
      </c>
      <c r="E2018" s="19" t="n">
        <f aca="false">'CEMIUP0.9 Raw'!E1007</f>
        <v>1059.604</v>
      </c>
      <c r="F2018" s="19" t="n">
        <f aca="false">'CEMIUP0.9 Raw'!F1007</f>
        <v>15.1578947368421</v>
      </c>
      <c r="G2018" s="19" t="n">
        <f aca="false">'CEMIUP0.9 Raw'!G1007</f>
        <v>2007.90063157895</v>
      </c>
      <c r="H2018" s="18" t="str">
        <f aca="false">'CEMIUP0.9 Raw'!A1007</f>
        <v>BE (CEMI internal group)</v>
      </c>
    </row>
    <row r="2019" customFormat="false" ht="15" hidden="false" customHeight="false" outlineLevel="0" collapsed="false">
      <c r="A2019" s="18" t="n">
        <f aca="false">'CEMIUP0.9 Raw'!B1109</f>
        <v>4413113</v>
      </c>
      <c r="B2019" s="18" t="str">
        <f aca="false">'CEMIUP0.9 Raw'!C1109</f>
        <v>49  M מגן ירך</v>
      </c>
      <c r="C2019" s="18" t="str">
        <f aca="false">'CEMIUP0.9 Raw'!C1109</f>
        <v>49  M מגן ירך</v>
      </c>
      <c r="D2019" s="19" t="n">
        <f aca="false">'CEMIUP0.9 Raw'!D1109</f>
        <v>20</v>
      </c>
      <c r="E2019" s="19" t="n">
        <f aca="false">'CEMIUP0.9 Raw'!E1109</f>
        <v>555.1</v>
      </c>
      <c r="F2019" s="19" t="n">
        <f aca="false">'CEMIUP0.9 Raw'!F1109</f>
        <v>15.1578947368421</v>
      </c>
      <c r="G2019" s="19" t="n">
        <f aca="false">'CEMIUP0.9 Raw'!G1109</f>
        <v>420.707368421053</v>
      </c>
      <c r="H2019" s="18" t="str">
        <f aca="false">'CEMIUP0.9 Raw'!A1109</f>
        <v>BE (CEMI internal group)</v>
      </c>
    </row>
    <row r="2020" customFormat="false" ht="15" hidden="false" customHeight="false" outlineLevel="0" collapsed="false">
      <c r="A2020" s="18" t="n">
        <f aca="false">'CEMIUP0.9 Raw'!B1110</f>
        <v>4413114</v>
      </c>
      <c r="B2020" s="18" t="str">
        <f aca="false">'CEMIUP0.9 Raw'!C1110</f>
        <v>49 XL מגן ירך</v>
      </c>
      <c r="C2020" s="18" t="str">
        <f aca="false">'CEMIUP0.9 Raw'!C1110</f>
        <v>49 XL מגן ירך</v>
      </c>
      <c r="D2020" s="19" t="n">
        <f aca="false">'CEMIUP0.9 Raw'!D1110</f>
        <v>17</v>
      </c>
      <c r="E2020" s="19" t="n">
        <f aca="false">'CEMIUP0.9 Raw'!E1110</f>
        <v>471.835</v>
      </c>
      <c r="F2020" s="19" t="n">
        <f aca="false">'CEMIUP0.9 Raw'!F1110</f>
        <v>15.1578947368421</v>
      </c>
      <c r="G2020" s="19" t="n">
        <f aca="false">'CEMIUP0.9 Raw'!G1110</f>
        <v>420.707368421053</v>
      </c>
      <c r="H2020" s="18" t="str">
        <f aca="false">'CEMIUP0.9 Raw'!A1110</f>
        <v>BE (CEMI internal group)</v>
      </c>
    </row>
    <row r="2021" customFormat="false" ht="15" hidden="false" customHeight="false" outlineLevel="0" collapsed="false">
      <c r="A2021" s="18" t="n">
        <f aca="false">'CEMIUP0.9 Raw'!B1134</f>
        <v>4413158</v>
      </c>
      <c r="B2021" s="18" t="str">
        <f aca="false">'CEMIUP0.9 Raw'!C1134</f>
        <v>305GA מדרס אורטופ.מתכוון45-46</v>
      </c>
      <c r="C2021" s="18" t="str">
        <f aca="false">'CEMIUP0.9 Raw'!C1134</f>
        <v>305GA מדרס אורטופ.מתכוון45-46</v>
      </c>
      <c r="D2021" s="19" t="n">
        <f aca="false">'CEMIUP0.9 Raw'!D1134</f>
        <v>15</v>
      </c>
      <c r="E2021" s="19" t="n">
        <f aca="false">'CEMIUP0.9 Raw'!E1134</f>
        <v>954.772</v>
      </c>
      <c r="F2021" s="19" t="n">
        <f aca="false">'CEMIUP0.9 Raw'!F1134</f>
        <v>15.1578947368421</v>
      </c>
      <c r="G2021" s="19" t="n">
        <f aca="false">'CEMIUP0.9 Raw'!G1134</f>
        <v>964.868210526316</v>
      </c>
      <c r="H2021" s="18" t="str">
        <f aca="false">'CEMIUP0.9 Raw'!A1134</f>
        <v>BE (CEMI internal group)</v>
      </c>
    </row>
    <row r="2022" customFormat="false" ht="15" hidden="false" customHeight="false" outlineLevel="0" collapsed="false">
      <c r="A2022" s="18" t="n">
        <f aca="false">'CEMIUP0.9 Raw'!B1403</f>
        <v>4408274</v>
      </c>
      <c r="B2022" s="18" t="str">
        <f aca="false">'CEMIUP0.9 Raw'!C1403</f>
        <v>70N L חגורת פאבליק</v>
      </c>
      <c r="C2022" s="18" t="str">
        <f aca="false">'CEMIUP0.9 Raw'!C1403</f>
        <v>70N L חגורת פאבליק</v>
      </c>
      <c r="D2022" s="19" t="n">
        <f aca="false">'CEMIUP0.9 Raw'!D1403</f>
        <v>0</v>
      </c>
      <c r="E2022" s="19" t="n">
        <f aca="false">'CEMIUP0.9 Raw'!E1403</f>
        <v>0</v>
      </c>
      <c r="F2022" s="19" t="n">
        <f aca="false">'CEMIUP0.9 Raw'!F1403</f>
        <v>15.1578947368421</v>
      </c>
      <c r="G2022" s="19" t="n">
        <f aca="false">'CEMIUP0.9 Raw'!G1403</f>
        <v>3849.70231578947</v>
      </c>
      <c r="H2022" s="18" t="str">
        <f aca="false">'CEMIUP0.9 Raw'!A1403</f>
        <v>Super-Pharm Israel (CEMI internal group)</v>
      </c>
    </row>
    <row r="2023" customFormat="false" ht="15" hidden="false" customHeight="false" outlineLevel="0" collapsed="false">
      <c r="A2023" s="18" t="n">
        <f aca="false">'CEMIUP0.9 Raw'!B1489</f>
        <v>4413111</v>
      </c>
      <c r="B2023" s="18" t="str">
        <f aca="false">'CEMIUP0.9 Raw'!C1489</f>
        <v>49  S מגן ירך</v>
      </c>
      <c r="C2023" s="18" t="str">
        <f aca="false">'CEMIUP0.9 Raw'!C1489</f>
        <v>49  S מגן ירך</v>
      </c>
      <c r="D2023" s="19" t="n">
        <f aca="false">'CEMIUP0.9 Raw'!D1489</f>
        <v>28</v>
      </c>
      <c r="E2023" s="19" t="n">
        <f aca="false">'CEMIUP0.9 Raw'!E1489</f>
        <v>727.181</v>
      </c>
      <c r="F2023" s="19" t="n">
        <f aca="false">'CEMIUP0.9 Raw'!F1489</f>
        <v>15.1578947368421</v>
      </c>
      <c r="G2023" s="19" t="n">
        <f aca="false">'CEMIUP0.9 Raw'!G1489</f>
        <v>406.913684210526</v>
      </c>
      <c r="H2023" s="18" t="str">
        <f aca="false">'CEMIUP0.9 Raw'!A1489</f>
        <v>Super-Pharm Israel (CEMI internal group)</v>
      </c>
    </row>
    <row r="2024" customFormat="false" ht="15" hidden="false" customHeight="false" outlineLevel="0" collapsed="false">
      <c r="A2024" s="18" t="n">
        <f aca="false">'CEMIUP0.9 Raw'!B1504</f>
        <v>4413133</v>
      </c>
      <c r="B2024" s="18" t="str">
        <f aca="false">'CEMIUP0.9 Raw'!C1504</f>
        <v>76 Mמיישר כתף יציב,יישור רחב</v>
      </c>
      <c r="C2024" s="18" t="str">
        <f aca="false">'CEMIUP0.9 Raw'!C1504</f>
        <v>76 Mמיישר כתף יציב,יישור רחב</v>
      </c>
      <c r="D2024" s="19" t="n">
        <f aca="false">'CEMIUP0.9 Raw'!D1504</f>
        <v>10</v>
      </c>
      <c r="E2024" s="19" t="n">
        <f aca="false">'CEMIUP0.9 Raw'!E1504</f>
        <v>1490.944</v>
      </c>
      <c r="F2024" s="19" t="n">
        <f aca="false">'CEMIUP0.9 Raw'!F1504</f>
        <v>15.1578947368421</v>
      </c>
      <c r="G2024" s="19" t="n">
        <f aca="false">'CEMIUP0.9 Raw'!G1504</f>
        <v>2368.72042105263</v>
      </c>
      <c r="H2024" s="18" t="str">
        <f aca="false">'CEMIUP0.9 Raw'!A1504</f>
        <v>Super-Pharm Israel (CEMI internal group)</v>
      </c>
    </row>
    <row r="2025" customFormat="false" ht="15" hidden="false" customHeight="false" outlineLevel="0" collapsed="false">
      <c r="A2025" s="18" t="n">
        <f aca="false">'CEMIUP0.9 Raw'!B1577</f>
        <v>4413416</v>
      </c>
      <c r="B2025" s="18" t="str">
        <f aca="false">'CEMIUP0.9 Raw'!C1577</f>
        <v>SC39  M מגן שוק</v>
      </c>
      <c r="C2025" s="18" t="str">
        <f aca="false">'CEMIUP0.9 Raw'!C1577</f>
        <v>SC39  M מגן שוק</v>
      </c>
      <c r="D2025" s="19" t="n">
        <f aca="false">'CEMIUP0.9 Raw'!D1577</f>
        <v>11</v>
      </c>
      <c r="E2025" s="19" t="n">
        <f aca="false">'CEMIUP0.9 Raw'!E1577</f>
        <v>1346.618</v>
      </c>
      <c r="F2025" s="19" t="n">
        <f aca="false">'CEMIUP0.9 Raw'!F1577</f>
        <v>15.1578947368421</v>
      </c>
      <c r="G2025" s="19" t="n">
        <f aca="false">'CEMIUP0.9 Raw'!G1577</f>
        <v>1831.91621052632</v>
      </c>
      <c r="H2025" s="18" t="str">
        <f aca="false">'CEMIUP0.9 Raw'!A1577</f>
        <v>Super-Pharm Israel (CEMI internal group)</v>
      </c>
    </row>
    <row r="2026" customFormat="false" ht="15" hidden="false" customHeight="false" outlineLevel="0" collapsed="false">
      <c r="A2026" s="18" t="n">
        <f aca="false">'CEMIUP0.9 Raw'!B1593</f>
        <v>4413442</v>
      </c>
      <c r="B2026" s="18" t="str">
        <f aca="false">'CEMIUP0.9 Raw'!C1593</f>
        <v>SC422 XXLמגן ברך</v>
      </c>
      <c r="C2026" s="18" t="str">
        <f aca="false">'CEMIUP0.9 Raw'!C1593</f>
        <v>SC422 XXLמגן ברך</v>
      </c>
      <c r="D2026" s="19" t="n">
        <f aca="false">'CEMIUP0.9 Raw'!D1593</f>
        <v>4</v>
      </c>
      <c r="E2026" s="19" t="n">
        <f aca="false">'CEMIUP0.9 Raw'!E1593</f>
        <v>426.881</v>
      </c>
      <c r="F2026" s="19" t="n">
        <f aca="false">'CEMIUP0.9 Raw'!F1593</f>
        <v>15.1578947368421</v>
      </c>
      <c r="G2026" s="19" t="n">
        <f aca="false">'CEMIUP0.9 Raw'!G1593</f>
        <v>1667.88631578947</v>
      </c>
      <c r="H2026" s="18" t="str">
        <f aca="false">'CEMIUP0.9 Raw'!A1593</f>
        <v>Super-Pharm Israel (CEMI internal group)</v>
      </c>
    </row>
    <row r="2027" customFormat="false" ht="15" hidden="false" customHeight="false" outlineLevel="0" collapsed="false">
      <c r="A2027" s="18" t="n">
        <f aca="false">'CEMIUP0.9 Raw'!B1677</f>
        <v>4420017</v>
      </c>
      <c r="B2027" s="18" t="str">
        <f aca="false">'CEMIUP0.9 Raw'!C1677</f>
        <v>4022 רצועת ""פיקה""+כרית</v>
      </c>
      <c r="C2027" s="18" t="str">
        <f aca="false">'CEMIUP0.9 Raw'!C1677</f>
        <v>4022 רצועת ""פיקה""+כרית</v>
      </c>
      <c r="D2027" s="19" t="n">
        <f aca="false">'CEMIUP0.9 Raw'!D1677</f>
        <v>40</v>
      </c>
      <c r="E2027" s="19" t="n">
        <f aca="false">'CEMIUP0.9 Raw'!E1677</f>
        <v>3391.024</v>
      </c>
      <c r="F2027" s="19" t="n">
        <f aca="false">'CEMIUP0.9 Raw'!F1677</f>
        <v>15.1578947368421</v>
      </c>
      <c r="G2027" s="19" t="n">
        <f aca="false">'CEMIUP0.9 Raw'!G1677</f>
        <v>1362.47115789474</v>
      </c>
      <c r="H2027" s="18" t="str">
        <f aca="false">'CEMIUP0.9 Raw'!A1677</f>
        <v>Super-Pharm Israel (CEMI internal group)</v>
      </c>
    </row>
    <row r="2028" customFormat="false" ht="15" hidden="false" customHeight="false" outlineLevel="0" collapsed="false">
      <c r="A2028" s="18" t="n">
        <f aca="false">'CEMIUP0.9 Raw'!B15</f>
        <v>4403000</v>
      </c>
      <c r="B2028" s="18" t="str">
        <f aca="false">'CEMIUP0.9 Raw'!C15</f>
        <v>390B גרב.כסף לסכרתים שחור35-38</v>
      </c>
      <c r="C2028" s="18" t="str">
        <f aca="false">'CEMIUP0.9 Raw'!C15</f>
        <v>390B גרב.כסף לסכרתים שחור35-38</v>
      </c>
      <c r="D2028" s="19" t="n">
        <f aca="false">'CEMIUP0.9 Raw'!D15</f>
        <v>21</v>
      </c>
      <c r="E2028" s="19" t="n">
        <f aca="false">'CEMIUP0.9 Raw'!E15</f>
        <v>558.831</v>
      </c>
      <c r="F2028" s="19" t="n">
        <f aca="false">'CEMIUP0.9 Raw'!F15</f>
        <v>13.8947368421053</v>
      </c>
      <c r="G2028" s="19" t="n">
        <f aca="false">'CEMIUP0.9 Raw'!G15</f>
        <v>414.270315789474</v>
      </c>
      <c r="H2028" s="18" t="str">
        <f aca="false">'CEMIUP0.9 Raw'!A15</f>
        <v>107 - Pharmacies</v>
      </c>
    </row>
    <row r="2029" customFormat="false" ht="15" hidden="false" customHeight="false" outlineLevel="0" collapsed="false">
      <c r="A2029" s="18" t="n">
        <f aca="false">'CEMIUP0.9 Raw'!B18</f>
        <v>4403003</v>
      </c>
      <c r="B2029" s="18" t="str">
        <f aca="false">'CEMIUP0.9 Raw'!C18</f>
        <v>390G ג.כסף לסכרתיים אפור35-38</v>
      </c>
      <c r="C2029" s="18" t="str">
        <f aca="false">'CEMIUP0.9 Raw'!C18</f>
        <v>390G ג.כסף לסכרתיים אפור35-38</v>
      </c>
      <c r="D2029" s="19" t="n">
        <f aca="false">'CEMIUP0.9 Raw'!D18</f>
        <v>2</v>
      </c>
      <c r="E2029" s="19" t="n">
        <f aca="false">'CEMIUP0.9 Raw'!E18</f>
        <v>46.41</v>
      </c>
      <c r="F2029" s="19" t="n">
        <f aca="false">'CEMIUP0.9 Raw'!F18</f>
        <v>13.8947368421053</v>
      </c>
      <c r="G2029" s="19" t="n">
        <f aca="false">'CEMIUP0.9 Raw'!G18</f>
        <v>433.121684210526</v>
      </c>
      <c r="H2029" s="18" t="str">
        <f aca="false">'CEMIUP0.9 Raw'!A18</f>
        <v>107 - Pharmacies</v>
      </c>
    </row>
    <row r="2030" customFormat="false" ht="15" hidden="false" customHeight="false" outlineLevel="0" collapsed="false">
      <c r="A2030" s="18" t="n">
        <f aca="false">'CEMIUP0.9 Raw'!B101</f>
        <v>4408088</v>
      </c>
      <c r="B2030" s="18" t="str">
        <f aca="false">'CEMIUP0.9 Raw'!C101</f>
        <v>91  חבק ""טניס אלבו רצועה</v>
      </c>
      <c r="C2030" s="18" t="str">
        <f aca="false">'CEMIUP0.9 Raw'!C101</f>
        <v>91  חבק ""טניס אלבו רצועה</v>
      </c>
      <c r="D2030" s="19" t="n">
        <f aca="false">'CEMIUP0.9 Raw'!D101</f>
        <v>25</v>
      </c>
      <c r="E2030" s="19" t="n">
        <f aca="false">'CEMIUP0.9 Raw'!E101</f>
        <v>1777.048</v>
      </c>
      <c r="F2030" s="19" t="n">
        <f aca="false">'CEMIUP0.9 Raw'!F101</f>
        <v>13.8947368421053</v>
      </c>
      <c r="G2030" s="19" t="n">
        <f aca="false">'CEMIUP0.9 Raw'!G101</f>
        <v>987.857684210526</v>
      </c>
      <c r="H2030" s="18" t="str">
        <f aca="false">'CEMIUP0.9 Raw'!A101</f>
        <v>107 - Pharmacies</v>
      </c>
    </row>
    <row r="2031" customFormat="false" ht="15" hidden="false" customHeight="false" outlineLevel="0" collapsed="false">
      <c r="A2031" s="18" t="n">
        <f aca="false">'CEMIUP0.9 Raw'!B139</f>
        <v>4408153</v>
      </c>
      <c r="B2031" s="18" t="str">
        <f aca="false">'CEMIUP0.9 Raw'!C139</f>
        <v>11TO XLחגורה למנותחי בית החזה</v>
      </c>
      <c r="C2031" s="18" t="str">
        <f aca="false">'CEMIUP0.9 Raw'!C139</f>
        <v>11TO XLחגורה למנותחי בית החזה</v>
      </c>
      <c r="D2031" s="19" t="n">
        <f aca="false">'CEMIUP0.9 Raw'!D139</f>
        <v>14</v>
      </c>
      <c r="E2031" s="19" t="n">
        <f aca="false">'CEMIUP0.9 Raw'!E139</f>
        <v>1921.92</v>
      </c>
      <c r="F2031" s="19" t="n">
        <f aca="false">'CEMIUP0.9 Raw'!F139</f>
        <v>13.8947368421053</v>
      </c>
      <c r="G2031" s="19" t="n">
        <f aca="false">'CEMIUP0.9 Raw'!G139</f>
        <v>1984.79621052632</v>
      </c>
      <c r="H2031" s="18" t="str">
        <f aca="false">'CEMIUP0.9 Raw'!A139</f>
        <v>107 - Pharmacies</v>
      </c>
    </row>
    <row r="2032" customFormat="false" ht="15" hidden="false" customHeight="false" outlineLevel="0" collapsed="false">
      <c r="A2032" s="18" t="n">
        <f aca="false">'CEMIUP0.9 Raw'!B203</f>
        <v>4411017</v>
      </c>
      <c r="B2032" s="18" t="str">
        <f aca="false">'CEMIUP0.9 Raw'!C203</f>
        <v>211L כפפות לחץ</v>
      </c>
      <c r="C2032" s="18" t="str">
        <f aca="false">'CEMIUP0.9 Raw'!C203</f>
        <v>211L כפפות לחץ</v>
      </c>
      <c r="D2032" s="19" t="n">
        <f aca="false">'CEMIUP0.9 Raw'!D203</f>
        <v>26</v>
      </c>
      <c r="E2032" s="19" t="n">
        <f aca="false">'CEMIUP0.9 Raw'!E203</f>
        <v>839.293</v>
      </c>
      <c r="F2032" s="19" t="n">
        <f aca="false">'CEMIUP0.9 Raw'!F203</f>
        <v>13.8947368421053</v>
      </c>
      <c r="G2032" s="19" t="n">
        <f aca="false">'CEMIUP0.9 Raw'!G203</f>
        <v>467.835789473684</v>
      </c>
      <c r="H2032" s="18" t="str">
        <f aca="false">'CEMIUP0.9 Raw'!A203</f>
        <v>107 - Pharmacies</v>
      </c>
    </row>
    <row r="2033" customFormat="false" ht="15" hidden="false" customHeight="false" outlineLevel="0" collapsed="false">
      <c r="A2033" s="18" t="n">
        <f aca="false">'CEMIUP0.9 Raw'!B415</f>
        <v>4413425</v>
      </c>
      <c r="B2033" s="18" t="str">
        <f aca="false">'CEMIUP0.9 Raw'!C415</f>
        <v>SC35R  M מגן קרסול ימין</v>
      </c>
      <c r="C2033" s="18" t="str">
        <f aca="false">'CEMIUP0.9 Raw'!C415</f>
        <v>SC35R  M מגן קרסול ימין</v>
      </c>
      <c r="D2033" s="19" t="n">
        <f aca="false">'CEMIUP0.9 Raw'!D415</f>
        <v>9</v>
      </c>
      <c r="E2033" s="19" t="n">
        <f aca="false">'CEMIUP0.9 Raw'!E415</f>
        <v>659.568</v>
      </c>
      <c r="F2033" s="19" t="n">
        <f aca="false">'CEMIUP0.9 Raw'!F415</f>
        <v>13.8947368421053</v>
      </c>
      <c r="G2033" s="19" t="n">
        <f aca="false">'CEMIUP0.9 Raw'!G415</f>
        <v>1166.29515789474</v>
      </c>
      <c r="H2033" s="18" t="str">
        <f aca="false">'CEMIUP0.9 Raw'!A415</f>
        <v>107 - Pharmacies</v>
      </c>
    </row>
    <row r="2034" customFormat="false" ht="15" hidden="false" customHeight="false" outlineLevel="0" collapsed="false">
      <c r="A2034" s="18" t="n">
        <f aca="false">'CEMIUP0.9 Raw'!B455</f>
        <v>4413522</v>
      </c>
      <c r="B2034" s="18" t="str">
        <f aca="false">'CEMIUP0.9 Raw'!C455</f>
        <v>מדרסי אפיק ג'ל מולט.ספורט43-47</v>
      </c>
      <c r="C2034" s="18" t="str">
        <f aca="false">'CEMIUP0.9 Raw'!C455</f>
        <v>מדרסי אפיק ג'ל מולט.ספורט43-47</v>
      </c>
      <c r="D2034" s="19" t="n">
        <f aca="false">'CEMIUP0.9 Raw'!D455</f>
        <v>27</v>
      </c>
      <c r="E2034" s="19" t="n">
        <f aca="false">'CEMIUP0.9 Raw'!E455</f>
        <v>2570.477</v>
      </c>
      <c r="F2034" s="19" t="n">
        <f aca="false">'CEMIUP0.9 Raw'!F455</f>
        <v>13.8947368421053</v>
      </c>
      <c r="G2034" s="19" t="n">
        <f aca="false">'CEMIUP0.9 Raw'!G455</f>
        <v>1441.09515789474</v>
      </c>
      <c r="H2034" s="18" t="str">
        <f aca="false">'CEMIUP0.9 Raw'!A455</f>
        <v>107 - Pharmacies</v>
      </c>
    </row>
    <row r="2035" customFormat="false" ht="15" hidden="false" customHeight="false" outlineLevel="0" collapsed="false">
      <c r="A2035" s="18" t="n">
        <f aca="false">'CEMIUP0.9 Raw'!B555</f>
        <v>4420025</v>
      </c>
      <c r="B2035" s="18" t="str">
        <f aca="false">'CEMIUP0.9 Raw'!C555</f>
        <v>LF374 ריפוד סיליק.לעקב תחתון</v>
      </c>
      <c r="C2035" s="18" t="str">
        <f aca="false">'CEMIUP0.9 Raw'!C555</f>
        <v>LF374 ריפוד סיליק.לעקב תחתון</v>
      </c>
      <c r="D2035" s="19" t="n">
        <f aca="false">'CEMIUP0.9 Raw'!D555</f>
        <v>45</v>
      </c>
      <c r="E2035" s="19" t="n">
        <f aca="false">'CEMIUP0.9 Raw'!E555</f>
        <v>917.28</v>
      </c>
      <c r="F2035" s="19" t="n">
        <f aca="false">'CEMIUP0.9 Raw'!F555</f>
        <v>13.8947368421053</v>
      </c>
      <c r="G2035" s="19" t="n">
        <f aca="false">'CEMIUP0.9 Raw'!G555</f>
        <v>279.666947368421</v>
      </c>
      <c r="H2035" s="18" t="str">
        <f aca="false">'CEMIUP0.9 Raw'!A555</f>
        <v>107 - Pharmacies</v>
      </c>
    </row>
    <row r="2036" customFormat="false" ht="15" hidden="false" customHeight="false" outlineLevel="0" collapsed="false">
      <c r="A2036" s="18" t="n">
        <f aca="false">'CEMIUP0.9 Raw'!B695</f>
        <v>4408017</v>
      </c>
      <c r="B2036" s="18" t="str">
        <f aca="false">'CEMIUP0.9 Raw'!C695</f>
        <v>07AU XL</v>
      </c>
      <c r="C2036" s="18" t="str">
        <f aca="false">'CEMIUP0.9 Raw'!C695</f>
        <v>07AU XL</v>
      </c>
      <c r="D2036" s="19" t="n">
        <f aca="false">'CEMIUP0.9 Raw'!D695</f>
        <v>67</v>
      </c>
      <c r="E2036" s="19" t="n">
        <f aca="false">'CEMIUP0.9 Raw'!E695</f>
        <v>11758.5</v>
      </c>
      <c r="F2036" s="19" t="n">
        <f aca="false">'CEMIUP0.9 Raw'!F695</f>
        <v>13.8947368421053</v>
      </c>
      <c r="G2036" s="19" t="n">
        <f aca="false">'CEMIUP0.9 Raw'!G695</f>
        <v>2438.52631578947</v>
      </c>
      <c r="H2036" s="18" t="str">
        <f aca="false">'CEMIUP0.9 Raw'!A695</f>
        <v>113 - Kupat Holim Meuhedet</v>
      </c>
    </row>
    <row r="2037" customFormat="false" ht="15" hidden="false" customHeight="false" outlineLevel="0" collapsed="false">
      <c r="A2037" s="18" t="n">
        <f aca="false">'CEMIUP0.9 Raw'!B737</f>
        <v>4408232</v>
      </c>
      <c r="B2037" s="18" t="str">
        <f aca="false">'CEMIUP0.9 Raw'!C737</f>
        <v>16 XXL חגורת הריון</v>
      </c>
      <c r="C2037" s="18" t="str">
        <f aca="false">'CEMIUP0.9 Raw'!C737</f>
        <v>16 XXL חגורת הריון</v>
      </c>
      <c r="D2037" s="19" t="n">
        <f aca="false">'CEMIUP0.9 Raw'!D737</f>
        <v>24</v>
      </c>
      <c r="E2037" s="19" t="n">
        <f aca="false">'CEMIUP0.9 Raw'!E737</f>
        <v>1867.2</v>
      </c>
      <c r="F2037" s="19" t="n">
        <f aca="false">'CEMIUP0.9 Raw'!F737</f>
        <v>13.8947368421053</v>
      </c>
      <c r="G2037" s="19" t="n">
        <f aca="false">'CEMIUP0.9 Raw'!G737</f>
        <v>1063.32126315789</v>
      </c>
      <c r="H2037" s="18" t="str">
        <f aca="false">'CEMIUP0.9 Raw'!A737</f>
        <v>113 - Kupat Holim Meuhedet</v>
      </c>
    </row>
    <row r="2038" customFormat="false" ht="15" hidden="false" customHeight="false" outlineLevel="0" collapsed="false">
      <c r="A2038" s="18" t="n">
        <f aca="false">'CEMIUP0.9 Raw'!B746</f>
        <v>4408270</v>
      </c>
      <c r="B2038" s="18" t="str">
        <f aca="false">'CEMIUP0.9 Raw'!C746</f>
        <v>ST11  חגורת בטן</v>
      </c>
      <c r="C2038" s="18" t="str">
        <f aca="false">'CEMIUP0.9 Raw'!C746</f>
        <v>ST11  חגורת בטן</v>
      </c>
      <c r="D2038" s="19" t="n">
        <f aca="false">'CEMIUP0.9 Raw'!D746</f>
        <v>58</v>
      </c>
      <c r="E2038" s="19" t="n">
        <f aca="false">'CEMIUP0.9 Raw'!E746</f>
        <v>2088</v>
      </c>
      <c r="F2038" s="19" t="n">
        <f aca="false">'CEMIUP0.9 Raw'!F746</f>
        <v>13.8947368421053</v>
      </c>
      <c r="G2038" s="19" t="n">
        <f aca="false">'CEMIUP0.9 Raw'!G746</f>
        <v>583.541052631579</v>
      </c>
      <c r="H2038" s="18" t="str">
        <f aca="false">'CEMIUP0.9 Raw'!A746</f>
        <v>113 - Kupat Holim Meuhedet</v>
      </c>
    </row>
    <row r="2039" customFormat="false" ht="15" hidden="false" customHeight="false" outlineLevel="0" collapsed="false">
      <c r="A2039" s="18" t="n">
        <f aca="false">'CEMIUP0.9 Raw'!B763</f>
        <v>4411027</v>
      </c>
      <c r="B2039" s="18" t="str">
        <f aca="false">'CEMIUP0.9 Raw'!C763</f>
        <v>213CTSL M שמאל CTS כפפות</v>
      </c>
      <c r="C2039" s="18" t="str">
        <f aca="false">'CEMIUP0.9 Raw'!C763</f>
        <v>213CTSL M שמאל CTS כפפות</v>
      </c>
      <c r="D2039" s="19" t="n">
        <f aca="false">'CEMIUP0.9 Raw'!D763</f>
        <v>0</v>
      </c>
      <c r="E2039" s="19" t="n">
        <f aca="false">'CEMIUP0.9 Raw'!E763</f>
        <v>0</v>
      </c>
      <c r="F2039" s="19" t="n">
        <f aca="false">'CEMIUP0.9 Raw'!F763</f>
        <v>13.8947368421053</v>
      </c>
      <c r="G2039" s="19" t="n">
        <f aca="false">'CEMIUP0.9 Raw'!G763</f>
        <v>897.738947368421</v>
      </c>
      <c r="H2039" s="18" t="str">
        <f aca="false">'CEMIUP0.9 Raw'!A763</f>
        <v>113 - Kupat Holim Meuhedet</v>
      </c>
    </row>
    <row r="2040" customFormat="false" ht="15" hidden="false" customHeight="false" outlineLevel="0" collapsed="false">
      <c r="A2040" s="18" t="n">
        <f aca="false">'CEMIUP0.9 Raw'!B1185</f>
        <v>4413422</v>
      </c>
      <c r="B2040" s="18" t="str">
        <f aca="false">'CEMIUP0.9 Raw'!C1185</f>
        <v>SC35L  L מגן קרסול שמאל</v>
      </c>
      <c r="C2040" s="18" t="str">
        <f aca="false">'CEMIUP0.9 Raw'!C1185</f>
        <v>SC35L  L מגן קרסול שמאל</v>
      </c>
      <c r="D2040" s="19" t="n">
        <f aca="false">'CEMIUP0.9 Raw'!D1185</f>
        <v>9</v>
      </c>
      <c r="E2040" s="19" t="n">
        <f aca="false">'CEMIUP0.9 Raw'!E1185</f>
        <v>586.222</v>
      </c>
      <c r="F2040" s="19" t="n">
        <f aca="false">'CEMIUP0.9 Raw'!F1185</f>
        <v>13.8947368421053</v>
      </c>
      <c r="G2040" s="19" t="n">
        <f aca="false">'CEMIUP0.9 Raw'!G1185</f>
        <v>941.878736842105</v>
      </c>
      <c r="H2040" s="18" t="str">
        <f aca="false">'CEMIUP0.9 Raw'!A1185</f>
        <v>BE (CEMI internal group)</v>
      </c>
    </row>
    <row r="2041" customFormat="false" ht="15" hidden="false" customHeight="false" outlineLevel="0" collapsed="false">
      <c r="A2041" s="18" t="n">
        <f aca="false">'CEMIUP0.9 Raw'!B1371</f>
        <v>4408203</v>
      </c>
      <c r="B2041" s="18" t="str">
        <f aca="false">'CEMIUP0.9 Raw'!C1371</f>
        <v>14 0 חגורה למנותחי בית חזה</v>
      </c>
      <c r="C2041" s="18" t="str">
        <f aca="false">'CEMIUP0.9 Raw'!C1371</f>
        <v>14 0 חגורה למנותחי בית חזה</v>
      </c>
      <c r="D2041" s="19" t="n">
        <f aca="false">'CEMIUP0.9 Raw'!D1371</f>
        <v>2</v>
      </c>
      <c r="E2041" s="19" t="n">
        <f aca="false">'CEMIUP0.9 Raw'!E1371</f>
        <v>402.311</v>
      </c>
      <c r="F2041" s="19" t="n">
        <f aca="false">'CEMIUP0.9 Raw'!F1371</f>
        <v>13.8947368421053</v>
      </c>
      <c r="G2041" s="19" t="n">
        <f aca="false">'CEMIUP0.9 Raw'!G1371</f>
        <v>2179.86189473684</v>
      </c>
      <c r="H2041" s="18" t="str">
        <f aca="false">'CEMIUP0.9 Raw'!A1371</f>
        <v>Super-Pharm Israel (CEMI internal group)</v>
      </c>
    </row>
    <row r="2042" customFormat="false" ht="15" hidden="false" customHeight="false" outlineLevel="0" collapsed="false">
      <c r="A2042" s="18" t="n">
        <f aca="false">'CEMIUP0.9 Raw'!B1394</f>
        <v>4408249</v>
      </c>
      <c r="B2042" s="18" t="str">
        <f aca="false">'CEMIUP0.9 Raw'!C1394</f>
        <v>SC25  L חבק יד</v>
      </c>
      <c r="C2042" s="18" t="str">
        <f aca="false">'CEMIUP0.9 Raw'!C1394</f>
        <v>SC25  L חבק יד</v>
      </c>
      <c r="D2042" s="19" t="n">
        <f aca="false">'CEMIUP0.9 Raw'!D1394</f>
        <v>6</v>
      </c>
      <c r="E2042" s="19" t="n">
        <f aca="false">'CEMIUP0.9 Raw'!E1394</f>
        <v>411.502</v>
      </c>
      <c r="F2042" s="19" t="n">
        <f aca="false">'CEMIUP0.9 Raw'!F1394</f>
        <v>13.8947368421053</v>
      </c>
      <c r="G2042" s="19" t="n">
        <f aca="false">'CEMIUP0.9 Raw'!G1394</f>
        <v>944.52252631579</v>
      </c>
      <c r="H2042" s="18" t="str">
        <f aca="false">'CEMIUP0.9 Raw'!A1394</f>
        <v>Super-Pharm Israel (CEMI internal group)</v>
      </c>
    </row>
    <row r="2043" customFormat="false" ht="15" hidden="false" customHeight="false" outlineLevel="0" collapsed="false">
      <c r="A2043" s="18" t="n">
        <f aca="false">'CEMIUP0.9 Raw'!B1400</f>
        <v>4408271</v>
      </c>
      <c r="B2043" s="18" t="str">
        <f aca="false">'CEMIUP0.9 Raw'!C1400</f>
        <v>70N XS חגורת פאבליק</v>
      </c>
      <c r="C2043" s="18" t="str">
        <f aca="false">'CEMIUP0.9 Raw'!C1400</f>
        <v>70N XS חגורת פאבליק</v>
      </c>
      <c r="D2043" s="19" t="n">
        <f aca="false">'CEMIUP0.9 Raw'!D1400</f>
        <v>0</v>
      </c>
      <c r="E2043" s="19" t="n">
        <f aca="false">'CEMIUP0.9 Raw'!E1400</f>
        <v>0</v>
      </c>
      <c r="F2043" s="19" t="n">
        <f aca="false">'CEMIUP0.9 Raw'!F1400</f>
        <v>13.8947368421053</v>
      </c>
      <c r="G2043" s="19" t="n">
        <f aca="false">'CEMIUP0.9 Raw'!G1400</f>
        <v>3527.61978947368</v>
      </c>
      <c r="H2043" s="18" t="str">
        <f aca="false">'CEMIUP0.9 Raw'!A1400</f>
        <v>Super-Pharm Israel (CEMI internal group)</v>
      </c>
    </row>
    <row r="2044" customFormat="false" ht="15" hidden="false" customHeight="false" outlineLevel="0" collapsed="false">
      <c r="A2044" s="18" t="n">
        <f aca="false">'CEMIUP0.9 Raw'!B1401</f>
        <v>4408272</v>
      </c>
      <c r="B2044" s="18" t="str">
        <f aca="false">'CEMIUP0.9 Raw'!C1401</f>
        <v>70N S חגורת פאבליק</v>
      </c>
      <c r="C2044" s="18" t="str">
        <f aca="false">'CEMIUP0.9 Raw'!C1401</f>
        <v>70N S חגורת פאבליק</v>
      </c>
      <c r="D2044" s="19" t="n">
        <f aca="false">'CEMIUP0.9 Raw'!D1401</f>
        <v>0</v>
      </c>
      <c r="E2044" s="19" t="n">
        <f aca="false">'CEMIUP0.9 Raw'!E1401</f>
        <v>0</v>
      </c>
      <c r="F2044" s="19" t="n">
        <f aca="false">'CEMIUP0.9 Raw'!F1401</f>
        <v>13.8947368421053</v>
      </c>
      <c r="G2044" s="19" t="n">
        <f aca="false">'CEMIUP0.9 Raw'!G1401</f>
        <v>3543.71242105263</v>
      </c>
      <c r="H2044" s="18" t="str">
        <f aca="false">'CEMIUP0.9 Raw'!A1401</f>
        <v>Super-Pharm Israel (CEMI internal group)</v>
      </c>
    </row>
    <row r="2045" customFormat="false" ht="15" hidden="false" customHeight="false" outlineLevel="0" collapsed="false">
      <c r="A2045" s="18" t="n">
        <f aca="false">'CEMIUP0.9 Raw'!B1575</f>
        <v>4413407</v>
      </c>
      <c r="B2045" s="18" t="str">
        <f aca="false">'CEMIUP0.9 Raw'!C1575</f>
        <v>SC95 L מגן מרפק</v>
      </c>
      <c r="C2045" s="18" t="str">
        <f aca="false">'CEMIUP0.9 Raw'!C1575</f>
        <v>SC95 L מגן מרפק</v>
      </c>
      <c r="D2045" s="19" t="n">
        <f aca="false">'CEMIUP0.9 Raw'!D1575</f>
        <v>26</v>
      </c>
      <c r="E2045" s="19" t="n">
        <f aca="false">'CEMIUP0.9 Raw'!E1575</f>
        <v>1759.03</v>
      </c>
      <c r="F2045" s="19" t="n">
        <f aca="false">'CEMIUP0.9 Raw'!F1575</f>
        <v>13.8947368421053</v>
      </c>
      <c r="G2045" s="19" t="n">
        <f aca="false">'CEMIUP0.9 Raw'!G1575</f>
        <v>956.477052631579</v>
      </c>
      <c r="H2045" s="18" t="str">
        <f aca="false">'CEMIUP0.9 Raw'!A1575</f>
        <v>Super-Pharm Israel (CEMI internal group)</v>
      </c>
    </row>
    <row r="2046" customFormat="false" ht="15" hidden="false" customHeight="false" outlineLevel="0" collapsed="false">
      <c r="A2046" s="18" t="n">
        <f aca="false">'CEMIUP0.9 Raw'!B1583</f>
        <v>4413426</v>
      </c>
      <c r="B2046" s="18" t="str">
        <f aca="false">'CEMIUP0.9 Raw'!C1583</f>
        <v>SC35R  L מגן קרסול ימין</v>
      </c>
      <c r="C2046" s="18" t="str">
        <f aca="false">'CEMIUP0.9 Raw'!C1583</f>
        <v>SC35R  L מגן קרסול ימין</v>
      </c>
      <c r="D2046" s="19" t="n">
        <f aca="false">'CEMIUP0.9 Raw'!D1583</f>
        <v>21</v>
      </c>
      <c r="E2046" s="19" t="n">
        <f aca="false">'CEMIUP0.9 Raw'!E1583</f>
        <v>1409.954</v>
      </c>
      <c r="F2046" s="19" t="n">
        <f aca="false">'CEMIUP0.9 Raw'!F1583</f>
        <v>13.8947368421053</v>
      </c>
      <c r="G2046" s="19" t="n">
        <f aca="false">'CEMIUP0.9 Raw'!G1583</f>
        <v>942.798315789474</v>
      </c>
      <c r="H2046" s="18" t="str">
        <f aca="false">'CEMIUP0.9 Raw'!A1583</f>
        <v>Super-Pharm Israel (CEMI internal group)</v>
      </c>
    </row>
    <row r="2047" customFormat="false" ht="15" hidden="false" customHeight="false" outlineLevel="0" collapsed="false">
      <c r="A2047" s="18" t="n">
        <f aca="false">'CEMIUP0.9 Raw'!B1584</f>
        <v>4413427</v>
      </c>
      <c r="B2047" s="18" t="str">
        <f aca="false">'CEMIUP0.9 Raw'!C1584</f>
        <v>SC35R  XLמגן קרסול ימין</v>
      </c>
      <c r="C2047" s="18" t="str">
        <f aca="false">'CEMIUP0.9 Raw'!C1584</f>
        <v>SC35R  XLמגן קרסול ימין</v>
      </c>
      <c r="D2047" s="19" t="n">
        <f aca="false">'CEMIUP0.9 Raw'!D1584</f>
        <v>11</v>
      </c>
      <c r="E2047" s="19" t="n">
        <f aca="false">'CEMIUP0.9 Raw'!E1584</f>
        <v>742.287</v>
      </c>
      <c r="F2047" s="19" t="n">
        <f aca="false">'CEMIUP0.9 Raw'!F1584</f>
        <v>13.8947368421053</v>
      </c>
      <c r="G2047" s="19" t="n">
        <f aca="false">'CEMIUP0.9 Raw'!G1584</f>
        <v>946.70652631579</v>
      </c>
      <c r="H2047" s="18" t="str">
        <f aca="false">'CEMIUP0.9 Raw'!A1584</f>
        <v>Super-Pharm Israel (CEMI internal group)</v>
      </c>
    </row>
    <row r="2048" customFormat="false" ht="15" hidden="false" customHeight="false" outlineLevel="0" collapsed="false">
      <c r="A2048" s="18" t="n">
        <f aca="false">'CEMIUP0.9 Raw'!B1589</f>
        <v>4413438</v>
      </c>
      <c r="B2048" s="18" t="str">
        <f aca="false">'CEMIUP0.9 Raw'!C1589</f>
        <v>SC422  S מגן ברך</v>
      </c>
      <c r="C2048" s="18" t="str">
        <f aca="false">'CEMIUP0.9 Raw'!C1589</f>
        <v>SC422  S מגן ברך</v>
      </c>
      <c r="D2048" s="19" t="n">
        <f aca="false">'CEMIUP0.9 Raw'!D1589</f>
        <v>14</v>
      </c>
      <c r="E2048" s="19" t="n">
        <f aca="false">'CEMIUP0.9 Raw'!E1589</f>
        <v>1711.073</v>
      </c>
      <c r="F2048" s="19" t="n">
        <f aca="false">'CEMIUP0.9 Raw'!F1589</f>
        <v>13.8947368421053</v>
      </c>
      <c r="G2048" s="19" t="n">
        <f aca="false">'CEMIUP0.9 Raw'!G1589</f>
        <v>1693.74947368421</v>
      </c>
      <c r="H2048" s="18" t="str">
        <f aca="false">'CEMIUP0.9 Raw'!A1589</f>
        <v>Super-Pharm Israel (CEMI internal group)</v>
      </c>
    </row>
    <row r="2049" customFormat="false" ht="15" hidden="false" customHeight="false" outlineLevel="0" collapsed="false">
      <c r="A2049" s="18" t="n">
        <f aca="false">'SALES Raw'!G106</f>
        <v>4413059</v>
      </c>
      <c r="B2049" s="18" t="str">
        <f aca="false">'SALES Raw'!B106</f>
        <v>364-S-L</v>
      </c>
      <c r="C2049" s="18" t="str">
        <f aca="false">'SALES Raw'!H106</f>
        <v>364S Lמפר.אצבע סיליק. ליבל.זוג</v>
      </c>
      <c r="D2049" s="19" t="n">
        <f aca="false">'SALES Raw'!C106</f>
        <v>28</v>
      </c>
      <c r="E2049" s="19" t="n">
        <f aca="false">'SALES Raw'!D106</f>
        <v>379.94</v>
      </c>
      <c r="F2049" s="19" t="n">
        <f aca="false">'SALES Raw'!E106*$H$4</f>
        <v>13.8947368421053</v>
      </c>
      <c r="G2049" s="19" t="n">
        <f aca="false">'SALES Raw'!F106*$H$4</f>
        <v>201.221052631579</v>
      </c>
      <c r="H2049" s="18" t="str">
        <f aca="false">'SALES Raw'!A106</f>
        <v>101 - Factory customers</v>
      </c>
    </row>
    <row r="2050" customFormat="false" ht="15" hidden="false" customHeight="false" outlineLevel="0" collapsed="false">
      <c r="A2050" s="18" t="n">
        <f aca="false">'SALES Raw'!G115</f>
        <v>4413370</v>
      </c>
      <c r="B2050" s="18" t="str">
        <f aca="false">'SALES Raw'!B115</f>
        <v>3674 0</v>
      </c>
      <c r="C2050" s="18" t="str">
        <f aca="false">'SALES Raw'!H115</f>
        <v>3674 0 מ.בוניון+מפריד אצבע</v>
      </c>
      <c r="D2050" s="19" t="n">
        <f aca="false">'SALES Raw'!C115</f>
        <v>32</v>
      </c>
      <c r="E2050" s="19" t="n">
        <f aca="false">'SALES Raw'!D115</f>
        <v>1261.32</v>
      </c>
      <c r="F2050" s="19" t="n">
        <f aca="false">'SALES Raw'!E115*$H$4</f>
        <v>13.8947368421053</v>
      </c>
      <c r="G2050" s="19" t="n">
        <f aca="false">'SALES Raw'!F115*$H$4</f>
        <v>508.623157894737</v>
      </c>
      <c r="H2050" s="18" t="str">
        <f aca="false">'SALES Raw'!A115</f>
        <v>101 - Factory customers</v>
      </c>
    </row>
    <row r="2051" customFormat="false" ht="15" hidden="false" customHeight="false" outlineLevel="0" collapsed="false">
      <c r="A2051" s="18" t="n">
        <f aca="false">'SALES Raw'!G135</f>
        <v>4403001</v>
      </c>
      <c r="B2051" s="18" t="str">
        <f aca="false">'SALES Raw'!B135</f>
        <v>390B-39-42</v>
      </c>
      <c r="C2051" s="18" t="str">
        <f aca="false">'SALES Raw'!H135</f>
        <v>390B 39-42.גרב.כסף לסכרתיים שח</v>
      </c>
      <c r="D2051" s="19" t="n">
        <f aca="false">'SALES Raw'!C135</f>
        <v>6</v>
      </c>
      <c r="E2051" s="19" t="n">
        <f aca="false">'SALES Raw'!D135</f>
        <v>267.08</v>
      </c>
      <c r="F2051" s="19" t="n">
        <f aca="false">'SALES Raw'!E135*$H$4</f>
        <v>13.8947368421053</v>
      </c>
      <c r="G2051" s="19" t="n">
        <f aca="false">'SALES Raw'!F135*$H$4</f>
        <v>605.557894736842</v>
      </c>
      <c r="H2051" s="18" t="str">
        <f aca="false">'SALES Raw'!A135</f>
        <v>101 - Factory customers</v>
      </c>
    </row>
    <row r="2052" customFormat="false" ht="15" hidden="false" customHeight="false" outlineLevel="0" collapsed="false">
      <c r="A2052" s="18" t="n">
        <f aca="false">'SALES Raw'!G223</f>
        <v>4408207</v>
      </c>
      <c r="B2052" s="18" t="str">
        <f aca="false">'SALES Raw'!B223</f>
        <v>AC25 0</v>
      </c>
      <c r="C2052" s="18" t="str">
        <f aca="false">'SALES Raw'!H223</f>
        <v>AC-25 חבק לשורש כף היד</v>
      </c>
      <c r="D2052" s="19" t="n">
        <f aca="false">'SALES Raw'!C223</f>
        <v>6</v>
      </c>
      <c r="E2052" s="19" t="n">
        <f aca="false">'SALES Raw'!D223</f>
        <v>211.17</v>
      </c>
      <c r="F2052" s="19" t="n">
        <f aca="false">'SALES Raw'!E223*$H$4</f>
        <v>13.8947368421053</v>
      </c>
      <c r="G2052" s="19" t="n">
        <f aca="false">'SALES Raw'!F223*$H$4</f>
        <v>459.498947368421</v>
      </c>
      <c r="H2052" s="18" t="str">
        <f aca="false">'SALES Raw'!A223</f>
        <v>101 - Factory customers</v>
      </c>
    </row>
    <row r="2053" customFormat="false" ht="15" hidden="false" customHeight="false" outlineLevel="0" collapsed="false">
      <c r="A2053" s="18" t="n">
        <f aca="false">'SALES Raw'!G409</f>
        <v>4408217</v>
      </c>
      <c r="B2053" s="18" t="str">
        <f aca="false">'SALES Raw'!B409</f>
        <v>078 S</v>
      </c>
      <c r="C2053" s="18" t="str">
        <f aca="false">'SALES Raw'!H409</f>
        <v>S078 חגורת גב +סגירה כפולה</v>
      </c>
      <c r="D2053" s="19" t="n">
        <f aca="false">'SALES Raw'!C409</f>
        <v>0</v>
      </c>
      <c r="E2053" s="19" t="n">
        <f aca="false">'SALES Raw'!D409</f>
        <v>0</v>
      </c>
      <c r="F2053" s="19" t="n">
        <f aca="false">'SALES Raw'!E409*$H$4</f>
        <v>13.8947368421053</v>
      </c>
      <c r="G2053" s="19" t="n">
        <f aca="false">'SALES Raw'!F409*$H$4</f>
        <v>2149.64210526316</v>
      </c>
      <c r="H2053" s="18" t="str">
        <f aca="false">'SALES Raw'!A409</f>
        <v>101 - Factory customers</v>
      </c>
    </row>
    <row r="2054" customFormat="false" ht="15" hidden="false" customHeight="false" outlineLevel="0" collapsed="false">
      <c r="A2054" s="18" t="n">
        <f aca="false">'SALES Raw'!G561</f>
        <v>4408076</v>
      </c>
      <c r="B2054" s="18" t="str">
        <f aca="false">'SALES Raw'!B561</f>
        <v>59L L</v>
      </c>
      <c r="C2054" s="18" t="str">
        <f aca="false">'SALES Raw'!H561</f>
        <v>59L L חגורת שבר לצד שמאל</v>
      </c>
      <c r="D2054" s="19" t="n">
        <f aca="false">'SALES Raw'!C561</f>
        <v>20</v>
      </c>
      <c r="E2054" s="19" t="n">
        <f aca="false">'SALES Raw'!D561</f>
        <v>2735.76</v>
      </c>
      <c r="F2054" s="19" t="n">
        <f aca="false">'SALES Raw'!E561*$H$4</f>
        <v>13.8947368421053</v>
      </c>
      <c r="G2054" s="19" t="n">
        <f aca="false">'SALES Raw'!F561*$H$4</f>
        <v>1914.16421052632</v>
      </c>
      <c r="H2054" s="18" t="str">
        <f aca="false">'SALES Raw'!A561</f>
        <v>102 - Orthopedic institutes</v>
      </c>
    </row>
    <row r="2055" customFormat="false" ht="15" hidden="false" customHeight="false" outlineLevel="0" collapsed="false">
      <c r="A2055" s="18" t="n">
        <f aca="false">'SALES Raw'!G674</f>
        <v>4422009</v>
      </c>
      <c r="B2055" s="18" t="str">
        <f aca="false">'SALES Raw'!B674</f>
        <v>T78 XXL</v>
      </c>
      <c r="C2055" s="18" t="str">
        <f aca="false">'SALES Raw'!H674</f>
        <v>T78 XXL תומך זרוע וכתף</v>
      </c>
      <c r="D2055" s="19" t="n">
        <f aca="false">'SALES Raw'!C674</f>
        <v>22</v>
      </c>
      <c r="E2055" s="19" t="n">
        <f aca="false">'SALES Raw'!D674</f>
        <v>2853.93</v>
      </c>
      <c r="F2055" s="19" t="n">
        <f aca="false">'SALES Raw'!E674*$H$4</f>
        <v>13.8947368421053</v>
      </c>
      <c r="G2055" s="19" t="n">
        <f aca="false">'SALES Raw'!F674*$H$4</f>
        <v>1806.27789473684</v>
      </c>
      <c r="H2055" s="18" t="str">
        <f aca="false">'SALES Raw'!A674</f>
        <v>102 - Orthopedic institutes</v>
      </c>
    </row>
    <row r="2056" customFormat="false" ht="15" hidden="false" customHeight="false" outlineLevel="0" collapsed="false">
      <c r="A2056" s="18" t="n">
        <f aca="false">'SALES Raw'!G706</f>
        <v>4413159</v>
      </c>
      <c r="B2056" s="18" t="str">
        <f aca="false">'SALES Raw'!B706</f>
        <v>34+ S</v>
      </c>
      <c r="C2056" s="18" t="str">
        <f aca="false">'SALES Raw'!H706</f>
        <v>34+ S מגן קרסול עקב סגור+רצוע</v>
      </c>
      <c r="D2056" s="19" t="n">
        <f aca="false">'SALES Raw'!C706</f>
        <v>16</v>
      </c>
      <c r="E2056" s="19" t="n">
        <f aca="false">'SALES Raw'!D706</f>
        <v>1091.37</v>
      </c>
      <c r="F2056" s="19" t="n">
        <f aca="false">'SALES Raw'!E706*$H$4</f>
        <v>13.8947368421053</v>
      </c>
      <c r="G2056" s="19" t="n">
        <f aca="false">'SALES Raw'!F706*$H$4</f>
        <v>934.85052631579</v>
      </c>
      <c r="H2056" s="18" t="str">
        <f aca="false">'SALES Raw'!A706</f>
        <v>102 - Orthopedic institutes</v>
      </c>
    </row>
    <row r="2057" customFormat="false" ht="15" hidden="false" customHeight="false" outlineLevel="0" collapsed="false">
      <c r="A2057" s="18" t="n">
        <f aca="false">'SALES Raw'!G716</f>
        <v>4413097</v>
      </c>
      <c r="B2057" s="18" t="str">
        <f aca="false">'SALES Raw'!B716</f>
        <v>45C S</v>
      </c>
      <c r="C2057" s="18" t="str">
        <f aca="false">'SALES Raw'!H716</f>
        <v>45C S מגן ברך חום</v>
      </c>
      <c r="D2057" s="19" t="n">
        <f aca="false">'SALES Raw'!C716</f>
        <v>9</v>
      </c>
      <c r="E2057" s="19" t="n">
        <f aca="false">'SALES Raw'!D716</f>
        <v>239.15</v>
      </c>
      <c r="F2057" s="19" t="n">
        <f aca="false">'SALES Raw'!E716*$H$4</f>
        <v>13.8947368421053</v>
      </c>
      <c r="G2057" s="19" t="n">
        <f aca="false">'SALES Raw'!F716*$H$4</f>
        <v>385.313684210526</v>
      </c>
      <c r="H2057" s="18" t="str">
        <f aca="false">'SALES Raw'!A716</f>
        <v>102 - Orthopedic institutes</v>
      </c>
    </row>
    <row r="2058" customFormat="false" ht="15" hidden="false" customHeight="false" outlineLevel="0" collapsed="false">
      <c r="A2058" s="18" t="str">
        <f aca="false">'SALES Raw'!G717</f>
        <v/>
      </c>
      <c r="B2058" s="18" t="str">
        <f aca="false">'SALES Raw'!B717</f>
        <v>45C XXL</v>
      </c>
      <c r="C2058" s="18" t="str">
        <f aca="false">'SALES Raw'!H717</f>
        <v>45C XXL</v>
      </c>
      <c r="D2058" s="19" t="n">
        <f aca="false">'SALES Raw'!C717</f>
        <v>27</v>
      </c>
      <c r="E2058" s="19" t="n">
        <f aca="false">'SALES Raw'!D717</f>
        <v>729.81</v>
      </c>
      <c r="F2058" s="19" t="n">
        <f aca="false">'SALES Raw'!E717*$H$4</f>
        <v>13.8947368421053</v>
      </c>
      <c r="G2058" s="19" t="n">
        <f aca="false">'SALES Raw'!F717*$H$4</f>
        <v>394.092631578947</v>
      </c>
      <c r="H2058" s="18" t="str">
        <f aca="false">'SALES Raw'!A717</f>
        <v>102 - Orthopedic institutes</v>
      </c>
    </row>
    <row r="2059" customFormat="false" ht="15" hidden="false" customHeight="false" outlineLevel="0" collapsed="false">
      <c r="A2059" s="18" t="n">
        <f aca="false">'SALES Raw'!G761</f>
        <v>4408017</v>
      </c>
      <c r="B2059" s="18" t="str">
        <f aca="false">'SALES Raw'!B761</f>
        <v>07AU XL</v>
      </c>
      <c r="C2059" s="18" t="str">
        <f aca="false">'SALES Raw'!H761</f>
        <v>07AU XL ח.גב """"איטלקית"""" אורירית</v>
      </c>
      <c r="D2059" s="19" t="n">
        <f aca="false">'SALES Raw'!C761</f>
        <v>20</v>
      </c>
      <c r="E2059" s="19" t="n">
        <f aca="false">'SALES Raw'!D761</f>
        <v>4162.57</v>
      </c>
      <c r="F2059" s="19" t="n">
        <f aca="false">'SALES Raw'!E761*$H$4</f>
        <v>13.8947368421053</v>
      </c>
      <c r="G2059" s="19" t="n">
        <f aca="false">'SALES Raw'!F761*$H$4</f>
        <v>3056.82947368421</v>
      </c>
      <c r="H2059" s="18" t="str">
        <f aca="false">'SALES Raw'!A761</f>
        <v>102 - Orthopedic institutes</v>
      </c>
    </row>
    <row r="2060" customFormat="false" ht="15" hidden="false" customHeight="false" outlineLevel="0" collapsed="false">
      <c r="A2060" s="18" t="n">
        <f aca="false">'SALES Raw'!G773</f>
        <v>4416002</v>
      </c>
      <c r="B2060" s="18" t="str">
        <f aca="false">'SALES Raw'!B773</f>
        <v>307 S</v>
      </c>
      <c r="C2060" s="18" t="str">
        <f aca="false">'SALES Raw'!H773</f>
        <v>307 S עקבים לדורבן-זוג כריות</v>
      </c>
      <c r="D2060" s="19" t="n">
        <f aca="false">'SALES Raw'!C773</f>
        <v>3</v>
      </c>
      <c r="E2060" s="19" t="n">
        <f aca="false">'SALES Raw'!D773</f>
        <v>212.29</v>
      </c>
      <c r="F2060" s="19" t="n">
        <f aca="false">'SALES Raw'!E773*$H$4</f>
        <v>13.8947368421053</v>
      </c>
      <c r="G2060" s="19" t="n">
        <f aca="false">'SALES Raw'!F773*$H$4</f>
        <v>1128.07578947368</v>
      </c>
      <c r="H2060" s="18" t="str">
        <f aca="false">'SALES Raw'!A773</f>
        <v>102 - Orthopedic institutes</v>
      </c>
    </row>
    <row r="2061" customFormat="false" ht="15" hidden="false" customHeight="false" outlineLevel="0" collapsed="false">
      <c r="A2061" s="18" t="n">
        <f aca="false">'SALES Raw'!G844</f>
        <v>4418003</v>
      </c>
      <c r="B2061" s="18" t="str">
        <f aca="false">'SALES Raw'!B844</f>
        <v>60 XL</v>
      </c>
      <c r="C2061" s="18" t="str">
        <f aca="false">'SALES Raw'!H844</f>
        <v>60 XL צוארון ספוגי</v>
      </c>
      <c r="D2061" s="19" t="n">
        <f aca="false">'SALES Raw'!C844</f>
        <v>24</v>
      </c>
      <c r="E2061" s="19" t="n">
        <f aca="false">'SALES Raw'!D844</f>
        <v>1191.03</v>
      </c>
      <c r="F2061" s="19" t="n">
        <f aca="false">'SALES Raw'!E844*$H$4</f>
        <v>13.8947368421053</v>
      </c>
      <c r="G2061" s="19" t="n">
        <f aca="false">'SALES Raw'!F844*$H$4</f>
        <v>689.633684210526</v>
      </c>
      <c r="H2061" s="18" t="str">
        <f aca="false">'SALES Raw'!A844</f>
        <v>102 - Orthopedic institutes</v>
      </c>
    </row>
    <row r="2062" customFormat="false" ht="15" hidden="false" customHeight="false" outlineLevel="0" collapsed="false">
      <c r="A2062" s="18" t="n">
        <f aca="false">'SALES Raw'!G879</f>
        <v>4413055</v>
      </c>
      <c r="B2062" s="18" t="str">
        <f aca="false">'SALES Raw'!B879</f>
        <v>35C XL</v>
      </c>
      <c r="C2062" s="18" t="str">
        <f aca="false">'SALES Raw'!H879</f>
        <v>35C XL מגן קרסול חום</v>
      </c>
      <c r="D2062" s="19" t="n">
        <f aca="false">'SALES Raw'!C879</f>
        <v>11</v>
      </c>
      <c r="E2062" s="19" t="n">
        <f aca="false">'SALES Raw'!D879</f>
        <v>336.68</v>
      </c>
      <c r="F2062" s="19" t="n">
        <f aca="false">'SALES Raw'!E879*$H$4</f>
        <v>13.8947368421053</v>
      </c>
      <c r="G2062" s="19" t="n">
        <f aca="false">'SALES Raw'!F879*$H$4</f>
        <v>429.221052631579</v>
      </c>
      <c r="H2062" s="18" t="str">
        <f aca="false">'SALES Raw'!A879</f>
        <v>102 - Orthopedic institutes</v>
      </c>
    </row>
    <row r="2063" customFormat="false" ht="15" hidden="false" customHeight="false" outlineLevel="0" collapsed="false">
      <c r="A2063" s="18" t="n">
        <f aca="false">'SALES Raw'!G905</f>
        <v>4413093</v>
      </c>
      <c r="B2063" s="18" t="str">
        <f aca="false">'SALES Raw'!B905</f>
        <v>45 M</v>
      </c>
      <c r="C2063" s="18" t="str">
        <f aca="false">'SALES Raw'!H905</f>
        <v>45 M מגן ברך לבן</v>
      </c>
      <c r="D2063" s="19" t="n">
        <f aca="false">'SALES Raw'!C905</f>
        <v>23</v>
      </c>
      <c r="E2063" s="19" t="n">
        <f aca="false">'SALES Raw'!D905</f>
        <v>706.41</v>
      </c>
      <c r="F2063" s="19" t="n">
        <f aca="false">'SALES Raw'!E905*$H$4</f>
        <v>13.8947368421053</v>
      </c>
      <c r="G2063" s="19" t="n">
        <f aca="false">'SALES Raw'!F905*$H$4</f>
        <v>429.221052631579</v>
      </c>
      <c r="H2063" s="18" t="str">
        <f aca="false">'SALES Raw'!A905</f>
        <v>102 - Orthopedic institutes</v>
      </c>
    </row>
    <row r="2064" customFormat="false" ht="15" hidden="false" customHeight="false" outlineLevel="0" collapsed="false">
      <c r="A2064" s="18" t="n">
        <f aca="false">'SALES Raw'!G966</f>
        <v>4422000</v>
      </c>
      <c r="B2064" s="18" t="str">
        <f aca="false">'SALES Raw'!B966</f>
        <v>801 0</v>
      </c>
      <c r="C2064" s="18" t="str">
        <f aca="false">'SALES Raw'!H966</f>
        <v>801  תחבושת אלסטית מקררת</v>
      </c>
      <c r="D2064" s="19" t="n">
        <f aca="false">'SALES Raw'!C966</f>
        <v>17</v>
      </c>
      <c r="E2064" s="19" t="n">
        <f aca="false">'SALES Raw'!D966</f>
        <v>349.93</v>
      </c>
      <c r="F2064" s="19" t="n">
        <f aca="false">'SALES Raw'!E966*$H$4</f>
        <v>13.8947368421053</v>
      </c>
      <c r="G2064" s="19" t="n">
        <f aca="false">'SALES Raw'!F966*$H$4</f>
        <v>289.869473684211</v>
      </c>
      <c r="H2064" s="18" t="str">
        <f aca="false">'SALES Raw'!A966</f>
        <v>102 - Orthopedic institutes</v>
      </c>
    </row>
    <row r="2065" customFormat="false" ht="15" hidden="false" customHeight="false" outlineLevel="0" collapsed="false">
      <c r="A2065" s="18" t="n">
        <f aca="false">'SALES Raw'!G1254</f>
        <v>4413534</v>
      </c>
      <c r="B2065" s="18" t="str">
        <f aca="false">'SALES Raw'!B1254</f>
        <v>SH333 0</v>
      </c>
      <c r="C2065" s="18" t="str">
        <f aca="false">'SALES Raw'!H1254</f>
        <v>SH333 מקבע קרסול</v>
      </c>
      <c r="D2065" s="19" t="n">
        <f aca="false">'SALES Raw'!C1254</f>
        <v>0</v>
      </c>
      <c r="E2065" s="19" t="n">
        <f aca="false">'SALES Raw'!D1254</f>
        <v>0</v>
      </c>
      <c r="F2065" s="19" t="n">
        <f aca="false">'SALES Raw'!E1254*$H$4</f>
        <v>13.8947368421053</v>
      </c>
      <c r="G2065" s="19" t="n">
        <f aca="false">'SALES Raw'!F1254*$H$4</f>
        <v>1372.33263157895</v>
      </c>
      <c r="H2065" s="18" t="str">
        <f aca="false">'SALES Raw'!A1254</f>
        <v>103 - Physiotherapy institutes</v>
      </c>
    </row>
    <row r="2066" customFormat="false" ht="15" hidden="false" customHeight="false" outlineLevel="0" collapsed="false">
      <c r="A2066" s="18" t="n">
        <f aca="false">'SALES Raw'!G1256</f>
        <v>4422040</v>
      </c>
      <c r="B2066" s="18" t="str">
        <f aca="false">'SALES Raw'!B1256</f>
        <v>SH422 4</v>
      </c>
      <c r="C2066" s="18" t="str">
        <f aca="false">'SALES Raw'!H1256</f>
        <v>SH422 4 תומך ברך גנושילד</v>
      </c>
      <c r="D2066" s="19" t="n">
        <f aca="false">'SALES Raw'!C1256</f>
        <v>6</v>
      </c>
      <c r="E2066" s="19" t="n">
        <f aca="false">'SALES Raw'!D1256</f>
        <v>600.01</v>
      </c>
      <c r="F2066" s="19" t="n">
        <f aca="false">'SALES Raw'!E1256*$H$4</f>
        <v>13.8947368421053</v>
      </c>
      <c r="G2066" s="19" t="n">
        <f aca="false">'SALES Raw'!F1256*$H$4</f>
        <v>1782.16421052632</v>
      </c>
      <c r="H2066" s="18" t="str">
        <f aca="false">'SALES Raw'!A1256</f>
        <v>103 - Physiotherapy institutes</v>
      </c>
    </row>
    <row r="2067" customFormat="false" ht="15" hidden="false" customHeight="false" outlineLevel="0" collapsed="false">
      <c r="A2067" s="18" t="n">
        <f aca="false">'SALES Raw'!G1428</f>
        <v>4413455</v>
      </c>
      <c r="B2067" s="18" t="str">
        <f aca="false">'SALES Raw'!B1428</f>
        <v>85K 0</v>
      </c>
      <c r="C2067" s="18" t="str">
        <f aca="false">'SALES Raw'!H1428</f>
        <v>85K מתלה ליד לילדים</v>
      </c>
      <c r="D2067" s="19" t="n">
        <f aca="false">'SALES Raw'!C1428</f>
        <v>3</v>
      </c>
      <c r="E2067" s="19" t="n">
        <f aca="false">'SALES Raw'!D1428</f>
        <v>135.15</v>
      </c>
      <c r="F2067" s="19" t="n">
        <f aca="false">'SALES Raw'!E1428*$H$4</f>
        <v>13.8947368421053</v>
      </c>
      <c r="G2067" s="19" t="n">
        <f aca="false">'SALES Raw'!F1428*$H$4</f>
        <v>634.724210526316</v>
      </c>
      <c r="H2067" s="18" t="str">
        <f aca="false">'SALES Raw'!A1428</f>
        <v>103 - Physiotherapy institutes</v>
      </c>
    </row>
    <row r="2068" customFormat="false" ht="15" hidden="false" customHeight="false" outlineLevel="0" collapsed="false">
      <c r="A2068" s="18" t="n">
        <f aca="false">'SALES Raw'!G1441</f>
        <v>4408249</v>
      </c>
      <c r="B2068" s="18" t="str">
        <f aca="false">'SALES Raw'!B1441</f>
        <v>SC25 L</v>
      </c>
      <c r="C2068" s="18" t="str">
        <f aca="false">'SALES Raw'!H1441</f>
        <v>SC25  L חבק יד</v>
      </c>
      <c r="D2068" s="19" t="n">
        <f aca="false">'SALES Raw'!C1441</f>
        <v>0</v>
      </c>
      <c r="E2068" s="19" t="n">
        <f aca="false">'SALES Raw'!D1441</f>
        <v>0</v>
      </c>
      <c r="F2068" s="19" t="n">
        <f aca="false">'SALES Raw'!E1441*$H$4</f>
        <v>13.8947368421053</v>
      </c>
      <c r="G2068" s="19" t="n">
        <f aca="false">'SALES Raw'!F1441*$H$4</f>
        <v>1143.81473684211</v>
      </c>
      <c r="H2068" s="18" t="str">
        <f aca="false">'SALES Raw'!A1441</f>
        <v>103 - Physiotherapy institutes</v>
      </c>
    </row>
    <row r="2069" customFormat="false" ht="15" hidden="false" customHeight="false" outlineLevel="0" collapsed="false">
      <c r="A2069" s="18" t="n">
        <f aca="false">'SALES Raw'!G2092</f>
        <v>4408033</v>
      </c>
      <c r="B2069" s="18" t="str">
        <f aca="false">'SALES Raw'!B2092</f>
        <v>11 M</v>
      </c>
      <c r="C2069" s="18" t="str">
        <f aca="false">'SALES Raw'!H2092</f>
        <v>11 M""""חגורת בטן""""אורירית</v>
      </c>
      <c r="D2069" s="19" t="n">
        <f aca="false">'SALES Raw'!C2092</f>
        <v>7</v>
      </c>
      <c r="E2069" s="19" t="n">
        <f aca="false">'SALES Raw'!D2092</f>
        <v>1285.88</v>
      </c>
      <c r="F2069" s="19" t="n">
        <f aca="false">'SALES Raw'!E2092*$H$4</f>
        <v>13.8947368421053</v>
      </c>
      <c r="G2069" s="19" t="n">
        <f aca="false">'SALES Raw'!F2092*$H$4</f>
        <v>2608.68631578947</v>
      </c>
      <c r="H2069" s="18" t="str">
        <f aca="false">'SALES Raw'!A2092</f>
        <v>114 - IL online</v>
      </c>
    </row>
    <row r="2070" customFormat="false" ht="15" hidden="false" customHeight="false" outlineLevel="0" collapsed="false">
      <c r="A2070" s="18" t="n">
        <f aca="false">'SALES Raw'!G2175</f>
        <v>4411024</v>
      </c>
      <c r="B2070" s="18" t="str">
        <f aca="false">'SALES Raw'!B2175</f>
        <v>212 XL</v>
      </c>
      <c r="C2070" s="18" t="str">
        <f aca="false">'SALES Raw'!H2175</f>
        <v>212XL כפפות אגודל לחץ</v>
      </c>
      <c r="D2070" s="19" t="n">
        <f aca="false">'SALES Raw'!C2175</f>
        <v>17</v>
      </c>
      <c r="E2070" s="19" t="n">
        <f aca="false">'SALES Raw'!D2175</f>
        <v>1067.16</v>
      </c>
      <c r="F2070" s="19" t="n">
        <f aca="false">'SALES Raw'!E2175*$H$4</f>
        <v>13.8947368421053</v>
      </c>
      <c r="G2070" s="19" t="n">
        <f aca="false">'SALES Raw'!F2175*$H$4</f>
        <v>954.290526315789</v>
      </c>
      <c r="H2070" s="18" t="str">
        <f aca="false">'SALES Raw'!A2175</f>
        <v>114 - IL online</v>
      </c>
    </row>
    <row r="2071" customFormat="false" ht="15" hidden="false" customHeight="false" outlineLevel="0" collapsed="false">
      <c r="A2071" s="18" t="n">
        <f aca="false">'SALES Raw'!G2183</f>
        <v>4415162</v>
      </c>
      <c r="B2071" s="18" t="str">
        <f aca="false">'SALES Raw'!B2183</f>
        <v>238 L</v>
      </c>
      <c r="C2071" s="18" t="str">
        <f aca="false">'SALES Raw'!H2183</f>
        <v>238L סד ליישור אצבע</v>
      </c>
      <c r="D2071" s="19" t="n">
        <f aca="false">'SALES Raw'!C2183</f>
        <v>27</v>
      </c>
      <c r="E2071" s="19" t="n">
        <f aca="false">'SALES Raw'!D2183</f>
        <v>916.47</v>
      </c>
      <c r="F2071" s="19" t="n">
        <f aca="false">'SALES Raw'!E2183*$H$4</f>
        <v>13.8947368421053</v>
      </c>
      <c r="G2071" s="19" t="n">
        <f aca="false">'SALES Raw'!F2183*$H$4</f>
        <v>491.418947368421</v>
      </c>
      <c r="H2071" s="18" t="str">
        <f aca="false">'SALES Raw'!A2183</f>
        <v>114 - IL online</v>
      </c>
    </row>
    <row r="2072" customFormat="false" ht="15" hidden="false" customHeight="false" outlineLevel="0" collapsed="false">
      <c r="A2072" s="18" t="n">
        <f aca="false">'SALES Raw'!G2242</f>
        <v>4413156</v>
      </c>
      <c r="B2072" s="18" t="str">
        <f aca="false">'SALES Raw'!B2242</f>
        <v>305GA-41-42</v>
      </c>
      <c r="C2072" s="18" t="str">
        <f aca="false">'SALES Raw'!H2242</f>
        <v>305GA מדרס אורטופ.מתכוון41-42</v>
      </c>
      <c r="D2072" s="19" t="n">
        <f aca="false">'SALES Raw'!C2242</f>
        <v>23</v>
      </c>
      <c r="E2072" s="19" t="n">
        <f aca="false">'SALES Raw'!D2242</f>
        <v>3618.11</v>
      </c>
      <c r="F2072" s="19" t="n">
        <f aca="false">'SALES Raw'!E2242*$H$4</f>
        <v>13.8947368421053</v>
      </c>
      <c r="G2072" s="19" t="n">
        <f aca="false">'SALES Raw'!F2242*$H$4</f>
        <v>2214.78315789474</v>
      </c>
      <c r="H2072" s="18" t="str">
        <f aca="false">'SALES Raw'!A2242</f>
        <v>114 - IL online</v>
      </c>
    </row>
    <row r="2073" customFormat="false" ht="15" hidden="false" customHeight="false" outlineLevel="0" collapsed="false">
      <c r="A2073" s="18" t="n">
        <f aca="false">'SALES Raw'!G2249</f>
        <v>4416003</v>
      </c>
      <c r="B2073" s="18" t="str">
        <f aca="false">'SALES Raw'!B2249</f>
        <v>308 L</v>
      </c>
      <c r="C2073" s="18" t="str">
        <f aca="false">'SALES Raw'!H2249</f>
        <v>308 Lעקבים סיליקון כחול לדורבן</v>
      </c>
      <c r="D2073" s="19" t="n">
        <f aca="false">'SALES Raw'!C2249</f>
        <v>11</v>
      </c>
      <c r="E2073" s="19" t="n">
        <f aca="false">'SALES Raw'!D2249</f>
        <v>1072.24</v>
      </c>
      <c r="F2073" s="19" t="n">
        <f aca="false">'SALES Raw'!E2249*$H$4</f>
        <v>13.8947368421053</v>
      </c>
      <c r="G2073" s="19" t="n">
        <f aca="false">'SALES Raw'!F2249*$H$4</f>
        <v>1487.86105263158</v>
      </c>
      <c r="H2073" s="18" t="str">
        <f aca="false">'SALES Raw'!A2249</f>
        <v>114 - IL online</v>
      </c>
    </row>
    <row r="2074" customFormat="false" ht="15" hidden="false" customHeight="false" outlineLevel="0" collapsed="false">
      <c r="A2074" s="18" t="n">
        <f aca="false">'SALES Raw'!G2277</f>
        <v>4413050</v>
      </c>
      <c r="B2074" s="18" t="str">
        <f aca="false">'SALES Raw'!B2277</f>
        <v>35 XL</v>
      </c>
      <c r="C2074" s="18" t="str">
        <f aca="false">'SALES Raw'!H2277</f>
        <v>35 XL מגן קרסול לבן</v>
      </c>
      <c r="D2074" s="19" t="n">
        <f aca="false">'SALES Raw'!C2277</f>
        <v>1</v>
      </c>
      <c r="E2074" s="19" t="n">
        <f aca="false">'SALES Raw'!D2277</f>
        <v>47.47</v>
      </c>
      <c r="F2074" s="19" t="n">
        <f aca="false">'SALES Raw'!E2277*$H$4</f>
        <v>13.8947368421053</v>
      </c>
      <c r="G2074" s="19" t="n">
        <f aca="false">'SALES Raw'!F2277*$H$4</f>
        <v>747.322105263158</v>
      </c>
      <c r="H2074" s="18" t="str">
        <f aca="false">'SALES Raw'!A2277</f>
        <v>114 - IL online</v>
      </c>
    </row>
    <row r="2075" customFormat="false" ht="15" hidden="false" customHeight="false" outlineLevel="0" collapsed="false">
      <c r="A2075" s="18" t="n">
        <f aca="false">'SALES Raw'!G2307</f>
        <v>4413340</v>
      </c>
      <c r="B2075" s="18" t="str">
        <f aca="false">'SALES Raw'!B2307</f>
        <v>3666 0</v>
      </c>
      <c r="C2075" s="18" t="str">
        <f aca="false">'SALES Raw'!H2307</f>
        <v>3666 מפריד הלוקס</v>
      </c>
      <c r="D2075" s="19" t="n">
        <f aca="false">'SALES Raw'!C2307</f>
        <v>5</v>
      </c>
      <c r="E2075" s="19" t="n">
        <f aca="false">'SALES Raw'!D2307</f>
        <v>577.2</v>
      </c>
      <c r="F2075" s="19" t="n">
        <f aca="false">'SALES Raw'!E2307*$H$4</f>
        <v>13.8947368421053</v>
      </c>
      <c r="G2075" s="19" t="n">
        <f aca="false">'SALES Raw'!F2307*$H$4</f>
        <v>1617.68842105263</v>
      </c>
      <c r="H2075" s="18" t="str">
        <f aca="false">'SALES Raw'!A2307</f>
        <v>114 - IL online</v>
      </c>
    </row>
    <row r="2076" customFormat="false" ht="15" hidden="false" customHeight="false" outlineLevel="0" collapsed="false">
      <c r="A2076" s="18" t="n">
        <f aca="false">'SALES Raw'!G2363</f>
        <v>4403024</v>
      </c>
      <c r="B2076" s="18" t="str">
        <f aca="false">'SALES Raw'!B2363</f>
        <v>394W-39-42</v>
      </c>
      <c r="C2076" s="18" t="str">
        <f aca="false">'SALES Raw'!H2363</f>
        <v>394W 39-42 גרב.כסף לסכרתים לבן</v>
      </c>
      <c r="D2076" s="19" t="n">
        <f aca="false">'SALES Raw'!C2363</f>
        <v>70</v>
      </c>
      <c r="E2076" s="19" t="n">
        <f aca="false">'SALES Raw'!D2363</f>
        <v>2796.69</v>
      </c>
      <c r="F2076" s="19" t="n">
        <f aca="false">'SALES Raw'!E2363*$H$4</f>
        <v>13.8947368421053</v>
      </c>
      <c r="G2076" s="19" t="n">
        <f aca="false">'SALES Raw'!F2363*$H$4</f>
        <v>663.650526315789</v>
      </c>
      <c r="H2076" s="18" t="str">
        <f aca="false">'SALES Raw'!A2363</f>
        <v>114 - IL online</v>
      </c>
    </row>
    <row r="2077" customFormat="false" ht="15" hidden="false" customHeight="false" outlineLevel="0" collapsed="false">
      <c r="A2077" s="18" t="n">
        <f aca="false">'SALES Raw'!G2410</f>
        <v>4413499</v>
      </c>
      <c r="B2077" s="18" t="str">
        <f aca="false">'SALES Raw'!B2410</f>
        <v>45B XXL</v>
      </c>
      <c r="C2077" s="18" t="str">
        <f aca="false">'SALES Raw'!H2410</f>
        <v>45B XXLמגן ברך שחור</v>
      </c>
      <c r="D2077" s="19" t="n">
        <f aca="false">'SALES Raw'!C2410</f>
        <v>12</v>
      </c>
      <c r="E2077" s="19" t="n">
        <f aca="false">'SALES Raw'!D2410</f>
        <v>608.76</v>
      </c>
      <c r="F2077" s="19" t="n">
        <f aca="false">'SALES Raw'!E2410*$H$4</f>
        <v>13.8947368421053</v>
      </c>
      <c r="G2077" s="19" t="n">
        <f aca="false">'SALES Raw'!F2410*$H$4</f>
        <v>740.741052631579</v>
      </c>
      <c r="H2077" s="18" t="str">
        <f aca="false">'SALES Raw'!A2410</f>
        <v>114 - IL online</v>
      </c>
    </row>
    <row r="2078" customFormat="false" ht="15" hidden="false" customHeight="false" outlineLevel="0" collapsed="false">
      <c r="A2078" s="18" t="n">
        <f aca="false">'SALES Raw'!G2426</f>
        <v>4413398</v>
      </c>
      <c r="B2078" s="18" t="str">
        <f aca="false">'SALES Raw'!B2426</f>
        <v>45EC XXL</v>
      </c>
      <c r="C2078" s="18" t="str">
        <f aca="false">'SALES Raw'!H2426</f>
        <v>45EC XXL'מגן ברך ארוך בז</v>
      </c>
      <c r="D2078" s="19" t="n">
        <f aca="false">'SALES Raw'!C2426</f>
        <v>10</v>
      </c>
      <c r="E2078" s="19" t="n">
        <f aca="false">'SALES Raw'!D2426</f>
        <v>594.16</v>
      </c>
      <c r="F2078" s="19" t="n">
        <f aca="false">'SALES Raw'!E2426*$H$4</f>
        <v>13.8947368421053</v>
      </c>
      <c r="G2078" s="19" t="n">
        <f aca="false">'SALES Raw'!F2426*$H$4</f>
        <v>915.183157894737</v>
      </c>
      <c r="H2078" s="18" t="str">
        <f aca="false">'SALES Raw'!A2426</f>
        <v>114 - IL online</v>
      </c>
    </row>
    <row r="2079" customFormat="false" ht="15" hidden="false" customHeight="false" outlineLevel="0" collapsed="false">
      <c r="A2079" s="18" t="n">
        <f aca="false">'SALES Raw'!G2473</f>
        <v>4418000</v>
      </c>
      <c r="B2079" s="18" t="str">
        <f aca="false">'SALES Raw'!B2473</f>
        <v>60 L</v>
      </c>
      <c r="C2079" s="18" t="str">
        <f aca="false">'SALES Raw'!H2473</f>
        <v>60 L צוארון ספוגי</v>
      </c>
      <c r="D2079" s="19" t="n">
        <f aca="false">'SALES Raw'!C2473</f>
        <v>7</v>
      </c>
      <c r="E2079" s="19" t="n">
        <f aca="false">'SALES Raw'!D2473</f>
        <v>592.35</v>
      </c>
      <c r="F2079" s="19" t="n">
        <f aca="false">'SALES Raw'!E2473*$H$4</f>
        <v>13.8947368421053</v>
      </c>
      <c r="G2079" s="19" t="n">
        <f aca="false">'SALES Raw'!F2473*$H$4</f>
        <v>1230.18947368421</v>
      </c>
      <c r="H2079" s="18" t="str">
        <f aca="false">'SALES Raw'!A2473</f>
        <v>114 - IL online</v>
      </c>
    </row>
    <row r="2080" customFormat="false" ht="15" hidden="false" customHeight="false" outlineLevel="0" collapsed="false">
      <c r="A2080" s="18" t="n">
        <f aca="false">'SALES Raw'!G2503</f>
        <v>4413131</v>
      </c>
      <c r="B2080" s="18" t="str">
        <f aca="false">'SALES Raw'!B2503</f>
        <v>76 S</v>
      </c>
      <c r="C2080" s="18" t="str">
        <f aca="false">'SALES Raw'!H2503</f>
        <v>76 Sמיישר כתף יציב יישור ג.רחב</v>
      </c>
      <c r="D2080" s="19" t="n">
        <f aca="false">'SALES Raw'!C2503</f>
        <v>9</v>
      </c>
      <c r="E2080" s="19" t="n">
        <f aca="false">'SALES Raw'!D2503</f>
        <v>3108.02</v>
      </c>
      <c r="F2080" s="19" t="n">
        <f aca="false">'SALES Raw'!E2503*$H$4</f>
        <v>13.8947368421053</v>
      </c>
      <c r="G2080" s="19" t="n">
        <f aca="false">'SALES Raw'!F2503*$H$4</f>
        <v>5129.07789473684</v>
      </c>
      <c r="H2080" s="18" t="str">
        <f aca="false">'SALES Raw'!A2503</f>
        <v>114 - IL online</v>
      </c>
    </row>
    <row r="2081" customFormat="false" ht="15" hidden="false" customHeight="false" outlineLevel="0" collapsed="false">
      <c r="A2081" s="18" t="n">
        <f aca="false">'SALES Raw'!G2559</f>
        <v>4413204</v>
      </c>
      <c r="B2081" s="18" t="str">
        <f aca="false">'SALES Raw'!B2559</f>
        <v>87 XXL</v>
      </c>
      <c r="C2081" s="18" t="str">
        <f aca="false">'SALES Raw'!H2559</f>
        <v>87 XXL מקבע כתף ויד</v>
      </c>
      <c r="D2081" s="19" t="n">
        <f aca="false">'SALES Raw'!C2559</f>
        <v>13</v>
      </c>
      <c r="E2081" s="19" t="n">
        <f aca="false">'SALES Raw'!D2559</f>
        <v>4294.14</v>
      </c>
      <c r="F2081" s="19" t="n">
        <f aca="false">'SALES Raw'!E2559*$H$4</f>
        <v>13.8947368421053</v>
      </c>
      <c r="G2081" s="19" t="n">
        <f aca="false">'SALES Raw'!F2559*$H$4</f>
        <v>5108.16</v>
      </c>
      <c r="H2081" s="18" t="str">
        <f aca="false">'SALES Raw'!A2559</f>
        <v>114 - IL online</v>
      </c>
    </row>
    <row r="2082" customFormat="false" ht="15" hidden="false" customHeight="false" outlineLevel="0" collapsed="false">
      <c r="A2082" s="18" t="n">
        <f aca="false">'SALES Raw'!G2578</f>
        <v>4413500</v>
      </c>
      <c r="B2082" s="18" t="str">
        <f aca="false">'SALES Raw'!B2578</f>
        <v>95B L</v>
      </c>
      <c r="C2082" s="18" t="str">
        <f aca="false">'SALES Raw'!H2578</f>
        <v>95B L מגן מרפק שחור</v>
      </c>
      <c r="D2082" s="19" t="n">
        <f aca="false">'SALES Raw'!C2578</f>
        <v>14</v>
      </c>
      <c r="E2082" s="19" t="n">
        <f aca="false">'SALES Raw'!D2578</f>
        <v>730.67</v>
      </c>
      <c r="F2082" s="19" t="n">
        <f aca="false">'SALES Raw'!E2578*$H$4</f>
        <v>13.8947368421053</v>
      </c>
      <c r="G2082" s="19" t="n">
        <f aca="false">'SALES Raw'!F2578*$H$4</f>
        <v>460.661052631579</v>
      </c>
      <c r="H2082" s="18" t="str">
        <f aca="false">'SALES Raw'!A2578</f>
        <v>114 - IL online</v>
      </c>
    </row>
    <row r="2083" customFormat="false" ht="15" hidden="false" customHeight="false" outlineLevel="0" collapsed="false">
      <c r="A2083" s="18" t="n">
        <f aca="false">'SALES Raw'!G2579</f>
        <v>4413501</v>
      </c>
      <c r="B2083" s="18" t="str">
        <f aca="false">'SALES Raw'!B2579</f>
        <v>95B M</v>
      </c>
      <c r="C2083" s="18" t="str">
        <f aca="false">'SALES Raw'!H2579</f>
        <v>95B M מגן מרפק שחור</v>
      </c>
      <c r="D2083" s="19" t="n">
        <f aca="false">'SALES Raw'!C2579</f>
        <v>5</v>
      </c>
      <c r="E2083" s="19" t="n">
        <f aca="false">'SALES Raw'!D2579</f>
        <v>249.88</v>
      </c>
      <c r="F2083" s="19" t="n">
        <f aca="false">'SALES Raw'!E2579*$H$4</f>
        <v>13.8947368421053</v>
      </c>
      <c r="G2083" s="19" t="n">
        <f aca="false">'SALES Raw'!F2579*$H$4</f>
        <v>457.124210526316</v>
      </c>
      <c r="H2083" s="18" t="str">
        <f aca="false">'SALES Raw'!A2579</f>
        <v>114 - IL online</v>
      </c>
    </row>
    <row r="2084" customFormat="false" ht="15" hidden="false" customHeight="false" outlineLevel="0" collapsed="false">
      <c r="A2084" s="18" t="n">
        <f aca="false">'SALES Raw'!G2611</f>
        <v>4409004</v>
      </c>
      <c r="B2084" s="18" t="str">
        <f aca="false">'SALES Raw'!B2611</f>
        <v>FC335 0</v>
      </c>
      <c r="C2084" s="18" t="str">
        <f aca="false">'SALES Raw'!H2611</f>
        <v>FC335 טלק מעושר באלוורה</v>
      </c>
      <c r="D2084" s="19" t="n">
        <f aca="false">'SALES Raw'!C2611</f>
        <v>9</v>
      </c>
      <c r="E2084" s="19" t="n">
        <f aca="false">'SALES Raw'!D2611</f>
        <v>330.54</v>
      </c>
      <c r="F2084" s="19" t="n">
        <f aca="false">'SALES Raw'!E2611*$H$4</f>
        <v>13.8947368421053</v>
      </c>
      <c r="G2084" s="19" t="n">
        <f aca="false">'SALES Raw'!F2611*$H$4</f>
        <v>576.922105263158</v>
      </c>
      <c r="H2084" s="18" t="str">
        <f aca="false">'SALES Raw'!A2611</f>
        <v>114 - IL online</v>
      </c>
    </row>
    <row r="2085" customFormat="false" ht="15" hidden="false" customHeight="false" outlineLevel="0" collapsed="false">
      <c r="A2085" s="18" t="n">
        <f aca="false">'SALES Raw'!G2641</f>
        <v>4415080</v>
      </c>
      <c r="B2085" s="18" t="str">
        <f aca="false">'SALES Raw'!B2641</f>
        <v>PD346 0</v>
      </c>
      <c r="C2085" s="18" t="str">
        <f aca="false">'SALES Raw'!H2641</f>
        <v>PD346-10 סכינים למקצוע</v>
      </c>
      <c r="D2085" s="19" t="n">
        <f aca="false">'SALES Raw'!C2641</f>
        <v>7</v>
      </c>
      <c r="E2085" s="19" t="n">
        <f aca="false">'SALES Raw'!D2641</f>
        <v>120.43</v>
      </c>
      <c r="F2085" s="19" t="n">
        <f aca="false">'SALES Raw'!E2641*$H$4</f>
        <v>13.8947368421053</v>
      </c>
      <c r="G2085" s="19" t="n">
        <f aca="false">'SALES Raw'!F2641*$H$4</f>
        <v>237.183157894737</v>
      </c>
      <c r="H2085" s="18" t="str">
        <f aca="false">'SALES Raw'!A2641</f>
        <v>114 - IL online</v>
      </c>
    </row>
    <row r="2086" customFormat="false" ht="15" hidden="false" customHeight="false" outlineLevel="0" collapsed="false">
      <c r="A2086" s="18" t="n">
        <f aca="false">'SALES Raw'!G2673</f>
        <v>4422041</v>
      </c>
      <c r="B2086" s="18" t="str">
        <f aca="false">'SALES Raw'!B2673</f>
        <v>SH422 5</v>
      </c>
      <c r="C2086" s="18" t="str">
        <f aca="false">'SALES Raw'!H2673</f>
        <v>SH422 5 תומך ברך גנושילד</v>
      </c>
      <c r="D2086" s="19" t="n">
        <f aca="false">'SALES Raw'!C2673</f>
        <v>2</v>
      </c>
      <c r="E2086" s="19" t="n">
        <f aca="false">'SALES Raw'!D2673</f>
        <v>629.09</v>
      </c>
      <c r="F2086" s="19" t="n">
        <f aca="false">'SALES Raw'!E2673*$H$4</f>
        <v>13.8947368421053</v>
      </c>
      <c r="G2086" s="19" t="n">
        <f aca="false">'SALES Raw'!F2673*$H$4</f>
        <v>4925.48210526316</v>
      </c>
      <c r="H2086" s="18" t="str">
        <f aca="false">'SALES Raw'!A2673</f>
        <v>114 - IL online</v>
      </c>
    </row>
    <row r="2087" customFormat="false" ht="15" hidden="false" customHeight="false" outlineLevel="0" collapsed="false">
      <c r="A2087" s="18" t="n">
        <f aca="false">'SALES Raw'!G2705</f>
        <v>4408098</v>
      </c>
      <c r="B2087" s="18" t="str">
        <f aca="false">'SALES Raw'!B2705</f>
        <v>T25 0</v>
      </c>
      <c r="C2087" s="18" t="str">
        <f aca="false">'SALES Raw'!H2705</f>
        <v>T25-חבק יד אגודלי</v>
      </c>
      <c r="D2087" s="19" t="n">
        <f aca="false">'SALES Raw'!C2705</f>
        <v>15</v>
      </c>
      <c r="E2087" s="19" t="n">
        <f aca="false">'SALES Raw'!D2705</f>
        <v>1157.32</v>
      </c>
      <c r="F2087" s="19" t="n">
        <f aca="false">'SALES Raw'!E2705*$H$4</f>
        <v>13.8947368421053</v>
      </c>
      <c r="G2087" s="19" t="n">
        <f aca="false">'SALES Raw'!F2705*$H$4</f>
        <v>1144.23157894737</v>
      </c>
      <c r="H2087" s="18" t="str">
        <f aca="false">'SALES Raw'!A2705</f>
        <v>114 - IL online</v>
      </c>
    </row>
    <row r="2088" customFormat="false" ht="15" hidden="false" customHeight="false" outlineLevel="0" collapsed="false">
      <c r="A2088" s="18" t="n">
        <f aca="false">'SALES Raw'!G2710</f>
        <v>4415073</v>
      </c>
      <c r="B2088" s="18" t="str">
        <f aca="false">'SALES Raw'!B2710</f>
        <v>T28A-L-XL</v>
      </c>
      <c r="C2088" s="18" t="str">
        <f aca="false">'SALES Raw'!H2710</f>
        <v>T28A L-XL סד לאגודל</v>
      </c>
      <c r="D2088" s="19" t="n">
        <f aca="false">'SALES Raw'!C2710</f>
        <v>5</v>
      </c>
      <c r="E2088" s="19" t="n">
        <f aca="false">'SALES Raw'!D2710</f>
        <v>571.64</v>
      </c>
      <c r="F2088" s="19" t="n">
        <f aca="false">'SALES Raw'!E2710*$H$4</f>
        <v>13.8947368421053</v>
      </c>
      <c r="G2088" s="19" t="n">
        <f aca="false">'SALES Raw'!F2710*$H$4</f>
        <v>1708.93894736842</v>
      </c>
      <c r="H2088" s="18" t="str">
        <f aca="false">'SALES Raw'!A2710</f>
        <v>114 - IL online</v>
      </c>
    </row>
    <row r="2089" customFormat="false" ht="15" hidden="false" customHeight="false" outlineLevel="0" collapsed="false">
      <c r="A2089" s="18" t="str">
        <f aca="false">'SALES Raw'!G2760</f>
        <v/>
      </c>
      <c r="B2089" s="18" t="str">
        <f aca="false">'SALES Raw'!B2760</f>
        <v>T78 XS</v>
      </c>
      <c r="C2089" s="18" t="str">
        <f aca="false">'SALES Raw'!H2760</f>
        <v>T78 XS</v>
      </c>
      <c r="D2089" s="19" t="n">
        <f aca="false">'SALES Raw'!C2760</f>
        <v>7</v>
      </c>
      <c r="E2089" s="19" t="n">
        <f aca="false">'SALES Raw'!D2760</f>
        <v>2187.78</v>
      </c>
      <c r="F2089" s="19" t="n">
        <f aca="false">'SALES Raw'!E2760*$H$4</f>
        <v>13.8947368421053</v>
      </c>
      <c r="G2089" s="19" t="n">
        <f aca="false">'SALES Raw'!F2760*$H$4</f>
        <v>4537.69263157895</v>
      </c>
      <c r="H2089" s="18" t="str">
        <f aca="false">'SALES Raw'!A2760</f>
        <v>114 - IL online</v>
      </c>
    </row>
    <row r="2090" customFormat="false" ht="15" hidden="false" customHeight="false" outlineLevel="0" collapsed="false">
      <c r="A2090" s="18" t="str">
        <f aca="false">'SALES Raw'!G3044</f>
        <v/>
      </c>
      <c r="B2090" s="18" t="str">
        <f aca="false">'SALES Raw'!B3044</f>
        <v>15M XL</v>
      </c>
      <c r="C2090" s="18" t="str">
        <f aca="false">'SALES Raw'!H3044</f>
        <v>15M XL</v>
      </c>
      <c r="D2090" s="19" t="n">
        <f aca="false">'SALES Raw'!C3044</f>
        <v>12</v>
      </c>
      <c r="E2090" s="19" t="n">
        <f aca="false">'SALES Raw'!D3044</f>
        <v>626.11</v>
      </c>
      <c r="F2090" s="19" t="n">
        <f aca="false">'SALES Raw'!E3044*$H$4</f>
        <v>13.8947368421053</v>
      </c>
      <c r="G2090" s="19" t="n">
        <f aca="false">'SALES Raw'!F3044*$H$4</f>
        <v>683.027368421053</v>
      </c>
      <c r="H2090" s="18" t="str">
        <f aca="false">'SALES Raw'!A3044</f>
        <v>203 - Ortho- Partner ag SWITZERLAND</v>
      </c>
    </row>
    <row r="2091" customFormat="false" ht="15" hidden="false" customHeight="false" outlineLevel="0" collapsed="false">
      <c r="A2091" s="18" t="str">
        <f aca="false">'SALES Raw'!G3047</f>
        <v/>
      </c>
      <c r="B2091" s="18" t="str">
        <f aca="false">'SALES Raw'!B3047</f>
        <v>15W S</v>
      </c>
      <c r="C2091" s="18" t="str">
        <f aca="false">'SALES Raw'!H3047</f>
        <v>15W S</v>
      </c>
      <c r="D2091" s="19" t="n">
        <f aca="false">'SALES Raw'!C3047</f>
        <v>6</v>
      </c>
      <c r="E2091" s="19" t="n">
        <f aca="false">'SALES Raw'!D3047</f>
        <v>276.59</v>
      </c>
      <c r="F2091" s="19" t="n">
        <f aca="false">'SALES Raw'!E3047*$H$4</f>
        <v>13.8947368421053</v>
      </c>
      <c r="G2091" s="19" t="n">
        <f aca="false">'SALES Raw'!F3047*$H$4</f>
        <v>650.058947368421</v>
      </c>
      <c r="H2091" s="18" t="str">
        <f aca="false">'SALES Raw'!A3047</f>
        <v>203 - Ortho- Partner ag SWITZERLAND</v>
      </c>
    </row>
    <row r="2092" customFormat="false" ht="15" hidden="false" customHeight="false" outlineLevel="0" collapsed="false">
      <c r="A2092" s="18" t="n">
        <f aca="false">'SALES Raw'!G3064</f>
        <v>4415000</v>
      </c>
      <c r="B2092" s="18" t="str">
        <f aca="false">'SALES Raw'!B3064</f>
        <v>26 L</v>
      </c>
      <c r="C2092" s="18" t="str">
        <f aca="false">'SALES Raw'!H3064</f>
        <v>26 L סד ליד דו צדדי לאחר שבר</v>
      </c>
      <c r="D2092" s="19" t="n">
        <f aca="false">'SALES Raw'!C3064</f>
        <v>12</v>
      </c>
      <c r="E2092" s="19" t="n">
        <f aca="false">'SALES Raw'!D3064</f>
        <v>499.83</v>
      </c>
      <c r="F2092" s="19" t="n">
        <f aca="false">'SALES Raw'!E3064*$H$4</f>
        <v>13.8947368421053</v>
      </c>
      <c r="G2092" s="19" t="n">
        <f aca="false">'SALES Raw'!F3064*$H$4</f>
        <v>550.837894736842</v>
      </c>
      <c r="H2092" s="18" t="str">
        <f aca="false">'SALES Raw'!A3064</f>
        <v>203 - Ortho- Partner ag SWITZERLAND</v>
      </c>
    </row>
    <row r="2093" customFormat="false" ht="15" hidden="false" customHeight="false" outlineLevel="0" collapsed="false">
      <c r="A2093" s="18" t="n">
        <f aca="false">'SALES Raw'!G3065</f>
        <v>4415001</v>
      </c>
      <c r="B2093" s="18" t="str">
        <f aca="false">'SALES Raw'!B3065</f>
        <v>26 M</v>
      </c>
      <c r="C2093" s="18" t="str">
        <f aca="false">'SALES Raw'!H3065</f>
        <v>26 M סד ליד דו צדדי לאחר שבר</v>
      </c>
      <c r="D2093" s="19" t="n">
        <f aca="false">'SALES Raw'!C3065</f>
        <v>12</v>
      </c>
      <c r="E2093" s="19" t="n">
        <f aca="false">'SALES Raw'!D3065</f>
        <v>499.83</v>
      </c>
      <c r="F2093" s="19" t="n">
        <f aca="false">'SALES Raw'!E3065*$H$4</f>
        <v>13.8947368421053</v>
      </c>
      <c r="G2093" s="19" t="n">
        <f aca="false">'SALES Raw'!F3065*$H$4</f>
        <v>550.837894736842</v>
      </c>
      <c r="H2093" s="18" t="str">
        <f aca="false">'SALES Raw'!A3065</f>
        <v>203 - Ortho- Partner ag SWITZERLAND</v>
      </c>
    </row>
    <row r="2094" customFormat="false" ht="15" hidden="false" customHeight="false" outlineLevel="0" collapsed="false">
      <c r="A2094" s="18" t="n">
        <f aca="false">'SALES Raw'!G3072</f>
        <v>4413048</v>
      </c>
      <c r="B2094" s="18" t="str">
        <f aca="false">'SALES Raw'!B3072</f>
        <v>35 L</v>
      </c>
      <c r="C2094" s="18" t="str">
        <f aca="false">'SALES Raw'!H3072</f>
        <v>35 L מגן קרסול לבן</v>
      </c>
      <c r="D2094" s="19" t="n">
        <f aca="false">'SALES Raw'!C3072</f>
        <v>0</v>
      </c>
      <c r="E2094" s="19" t="n">
        <f aca="false">'SALES Raw'!D3072</f>
        <v>0</v>
      </c>
      <c r="F2094" s="19" t="n">
        <f aca="false">'SALES Raw'!E3072*$H$4</f>
        <v>13.8947368421053</v>
      </c>
      <c r="G2094" s="19" t="n">
        <f aca="false">'SALES Raw'!F3072*$H$4</f>
        <v>144.846315789474</v>
      </c>
      <c r="H2094" s="18" t="str">
        <f aca="false">'SALES Raw'!A3072</f>
        <v>203 - Ortho- Partner ag SWITZERLAND</v>
      </c>
    </row>
    <row r="2095" customFormat="false" ht="15" hidden="false" customHeight="false" outlineLevel="0" collapsed="false">
      <c r="A2095" s="18" t="n">
        <f aca="false">'SALES Raw'!G3073</f>
        <v>4413049</v>
      </c>
      <c r="B2095" s="18" t="str">
        <f aca="false">'SALES Raw'!B3073</f>
        <v>35 M</v>
      </c>
      <c r="C2095" s="18" t="str">
        <f aca="false">'SALES Raw'!H3073</f>
        <v>35 M מגן קרסול לבן</v>
      </c>
      <c r="D2095" s="19" t="n">
        <f aca="false">'SALES Raw'!C3073</f>
        <v>0</v>
      </c>
      <c r="E2095" s="19" t="n">
        <f aca="false">'SALES Raw'!D3073</f>
        <v>0</v>
      </c>
      <c r="F2095" s="19" t="n">
        <f aca="false">'SALES Raw'!E3073*$H$4</f>
        <v>13.8947368421053</v>
      </c>
      <c r="G2095" s="19" t="n">
        <f aca="false">'SALES Raw'!F3073*$H$4</f>
        <v>146.88</v>
      </c>
      <c r="H2095" s="18" t="str">
        <f aca="false">'SALES Raw'!A3073</f>
        <v>203 - Ortho- Partner ag SWITZERLAND</v>
      </c>
    </row>
    <row r="2096" customFormat="false" ht="15" hidden="false" customHeight="false" outlineLevel="0" collapsed="false">
      <c r="A2096" s="18" t="n">
        <f aca="false">'SALES Raw'!G3084</f>
        <v>4413092</v>
      </c>
      <c r="B2096" s="18" t="str">
        <f aca="false">'SALES Raw'!B3084</f>
        <v>45 L</v>
      </c>
      <c r="C2096" s="18" t="str">
        <f aca="false">'SALES Raw'!H3084</f>
        <v>45 L מגן ברך לבן</v>
      </c>
      <c r="D2096" s="19" t="n">
        <f aca="false">'SALES Raw'!C3084</f>
        <v>12</v>
      </c>
      <c r="E2096" s="19" t="n">
        <f aca="false">'SALES Raw'!D3084</f>
        <v>134.14</v>
      </c>
      <c r="F2096" s="19" t="n">
        <f aca="false">'SALES Raw'!E3084*$H$4</f>
        <v>13.8947368421053</v>
      </c>
      <c r="G2096" s="19" t="n">
        <f aca="false">'SALES Raw'!F3084*$H$4</f>
        <v>144.846315789474</v>
      </c>
      <c r="H2096" s="18" t="str">
        <f aca="false">'SALES Raw'!A3084</f>
        <v>203 - Ortho- Partner ag SWITZERLAND</v>
      </c>
    </row>
    <row r="2097" customFormat="false" ht="15" hidden="false" customHeight="false" outlineLevel="0" collapsed="false">
      <c r="A2097" s="18" t="n">
        <f aca="false">'SALES Raw'!G3094</f>
        <v>4418000</v>
      </c>
      <c r="B2097" s="18" t="str">
        <f aca="false">'SALES Raw'!B3094</f>
        <v>60 L</v>
      </c>
      <c r="C2097" s="18" t="str">
        <f aca="false">'SALES Raw'!H3094</f>
        <v>60 L צוארון ספוגי</v>
      </c>
      <c r="D2097" s="19" t="n">
        <f aca="false">'SALES Raw'!C3094</f>
        <v>60</v>
      </c>
      <c r="E2097" s="19" t="n">
        <f aca="false">'SALES Raw'!D3094</f>
        <v>1353.58</v>
      </c>
      <c r="F2097" s="19" t="n">
        <f aca="false">'SALES Raw'!E3094*$H$4</f>
        <v>13.8947368421053</v>
      </c>
      <c r="G2097" s="19" t="n">
        <f aca="false">'SALES Raw'!F3094*$H$4</f>
        <v>293.797894736842</v>
      </c>
      <c r="H2097" s="18" t="str">
        <f aca="false">'SALES Raw'!A3094</f>
        <v>203 - Ortho- Partner ag SWITZERLAND</v>
      </c>
    </row>
    <row r="2098" customFormat="false" ht="15" hidden="false" customHeight="false" outlineLevel="0" collapsed="false">
      <c r="A2098" s="18" t="n">
        <f aca="false">'SALES Raw'!G3111</f>
        <v>4408207</v>
      </c>
      <c r="B2098" s="18" t="str">
        <f aca="false">'SALES Raw'!B3111</f>
        <v>AC25 0</v>
      </c>
      <c r="C2098" s="18" t="str">
        <f aca="false">'SALES Raw'!H3111</f>
        <v>AC-25 חבק לשורש כף היד</v>
      </c>
      <c r="D2098" s="19" t="n">
        <f aca="false">'SALES Raw'!C3111</f>
        <v>0</v>
      </c>
      <c r="E2098" s="19" t="n">
        <f aca="false">'SALES Raw'!D3111</f>
        <v>0</v>
      </c>
      <c r="F2098" s="19" t="n">
        <f aca="false">'SALES Raw'!E3111*$H$4</f>
        <v>13.8947368421053</v>
      </c>
      <c r="G2098" s="19" t="n">
        <f aca="false">'SALES Raw'!F3111*$H$4</f>
        <v>203.709473684211</v>
      </c>
      <c r="H2098" s="18" t="str">
        <f aca="false">'SALES Raw'!A3111</f>
        <v>203 - Ortho- Partner ag SWITZERLAND</v>
      </c>
    </row>
    <row r="2099" customFormat="false" ht="15" hidden="false" customHeight="false" outlineLevel="0" collapsed="false">
      <c r="A2099" s="18" t="n">
        <f aca="false">'SALES Raw'!G3126</f>
        <v>4415177</v>
      </c>
      <c r="B2099" s="18" t="str">
        <f aca="false">'SALES Raw'!B3126</f>
        <v>ST28 0</v>
      </c>
      <c r="C2099" s="18" t="str">
        <f aca="false">'SALES Raw'!H3126</f>
        <v>ST28 סד אגודלי עם מוט תמיכה</v>
      </c>
      <c r="D2099" s="19" t="n">
        <f aca="false">'SALES Raw'!C3126</f>
        <v>0</v>
      </c>
      <c r="E2099" s="19" t="n">
        <f aca="false">'SALES Raw'!D3126</f>
        <v>0</v>
      </c>
      <c r="F2099" s="19" t="n">
        <f aca="false">'SALES Raw'!E3126*$H$4</f>
        <v>13.8947368421053</v>
      </c>
      <c r="G2099" s="19" t="n">
        <f aca="false">'SALES Raw'!F3126*$H$4</f>
        <v>211.263157894737</v>
      </c>
      <c r="H2099" s="18" t="str">
        <f aca="false">'SALES Raw'!A3126</f>
        <v>203 - Ortho- Partner ag SWITZERLAND</v>
      </c>
    </row>
    <row r="2100" customFormat="false" ht="15" hidden="false" customHeight="false" outlineLevel="0" collapsed="false">
      <c r="A2100" s="18" t="n">
        <f aca="false">'SALES Raw'!G3834</f>
        <v>4413525</v>
      </c>
      <c r="B2100" s="18" t="str">
        <f aca="false">'SALES Raw'!B3834</f>
        <v>379COM-43-46</v>
      </c>
      <c r="C2100" s="18" t="str">
        <f aca="false">'SALES Raw'!H3834</f>
        <v>43-47 מדרסי אפיק ג'ל נוחות</v>
      </c>
      <c r="D2100" s="19" t="n">
        <f aca="false">'SALES Raw'!C3834</f>
        <v>101</v>
      </c>
      <c r="E2100" s="19" t="n">
        <f aca="false">'SALES Raw'!D3834</f>
        <v>4660.82</v>
      </c>
      <c r="F2100" s="19" t="n">
        <f aca="false">'SALES Raw'!E3834*$H$4</f>
        <v>13.8947368421053</v>
      </c>
      <c r="G2100" s="19" t="n">
        <f aca="false">'SALES Raw'!F3834*$H$4</f>
        <v>562.345263157895</v>
      </c>
      <c r="H2100" s="18" t="str">
        <f aca="false">'SALES Raw'!A3834</f>
        <v>209 - Ortoprofil Prod ROMANIA</v>
      </c>
    </row>
    <row r="2101" customFormat="false" ht="15" hidden="false" customHeight="false" outlineLevel="0" collapsed="false">
      <c r="A2101" s="18" t="str">
        <f aca="false">'SALES Raw'!G4439</f>
        <v/>
      </c>
      <c r="B2101" s="18" t="str">
        <f aca="false">'SALES Raw'!B4439</f>
        <v>EC-59L XL</v>
      </c>
      <c r="C2101" s="18" t="str">
        <f aca="false">'SALES Raw'!H4439</f>
        <v>EC-59L XL</v>
      </c>
      <c r="D2101" s="19" t="n">
        <f aca="false">'SALES Raw'!C4439</f>
        <v>37</v>
      </c>
      <c r="E2101" s="19" t="n">
        <f aca="false">'SALES Raw'!D4439</f>
        <v>6684.46</v>
      </c>
      <c r="F2101" s="19" t="n">
        <f aca="false">'SALES Raw'!E4439*$H$4</f>
        <v>13.8947368421053</v>
      </c>
      <c r="G2101" s="19" t="n">
        <f aca="false">'SALES Raw'!F4439*$H$4</f>
        <v>2190.22736842105</v>
      </c>
      <c r="H2101" s="18" t="str">
        <f aca="false">'SALES Raw'!A4439</f>
        <v>301 - Amazon</v>
      </c>
    </row>
    <row r="2102" customFormat="false" ht="15" hidden="false" customHeight="false" outlineLevel="0" collapsed="false">
      <c r="A2102" s="18" t="n">
        <f aca="false">'SALES Raw'!G157</f>
        <v>4420016</v>
      </c>
      <c r="B2102" s="18" t="str">
        <f aca="false">'SALES Raw'!B157</f>
        <v>40 0</v>
      </c>
      <c r="C2102" s="18" t="str">
        <f aca="false">'SALES Raw'!H157</f>
        <v>40-רצועת פיקה לברך</v>
      </c>
      <c r="D2102" s="19" t="n">
        <f aca="false">'SALES Raw'!C157</f>
        <v>16</v>
      </c>
      <c r="E2102" s="19" t="n">
        <f aca="false">'SALES Raw'!D157</f>
        <v>876.61</v>
      </c>
      <c r="F2102" s="19" t="n">
        <f aca="false">'SALES Raw'!E157*$H$4</f>
        <v>12.6315789473684</v>
      </c>
      <c r="G2102" s="19" t="n">
        <f aca="false">'SALES Raw'!F157*$H$4</f>
        <v>656.602105263158</v>
      </c>
      <c r="H2102" s="18" t="str">
        <f aca="false">'SALES Raw'!A157</f>
        <v>101 - Factory customers</v>
      </c>
    </row>
    <row r="2103" customFormat="false" ht="15" hidden="false" customHeight="false" outlineLevel="0" collapsed="false">
      <c r="A2103" s="18" t="n">
        <f aca="false">'SALES Raw'!G343</f>
        <v>4413113</v>
      </c>
      <c r="B2103" s="18" t="str">
        <f aca="false">'SALES Raw'!B343</f>
        <v>49 M</v>
      </c>
      <c r="C2103" s="18" t="str">
        <f aca="false">'SALES Raw'!H343</f>
        <v>49  M מגן ירך</v>
      </c>
      <c r="D2103" s="19" t="n">
        <f aca="false">'SALES Raw'!C343</f>
        <v>6</v>
      </c>
      <c r="E2103" s="19" t="n">
        <f aca="false">'SALES Raw'!D343</f>
        <v>210.64</v>
      </c>
      <c r="F2103" s="19" t="n">
        <f aca="false">'SALES Raw'!E343*$H$4</f>
        <v>12.6315789473684</v>
      </c>
      <c r="G2103" s="19" t="n">
        <f aca="false">'SALES Raw'!F343*$H$4</f>
        <v>443.456842105263</v>
      </c>
      <c r="H2103" s="18" t="str">
        <f aca="false">'SALES Raw'!A343</f>
        <v>101 - Factory customers</v>
      </c>
    </row>
    <row r="2104" customFormat="false" ht="15" hidden="false" customHeight="false" outlineLevel="0" collapsed="false">
      <c r="A2104" s="18" t="n">
        <f aca="false">'SALES Raw'!G460</f>
        <v>4409015</v>
      </c>
      <c r="B2104" s="18" t="str">
        <f aca="false">'SALES Raw'!B460</f>
        <v>808KT-BL</v>
      </c>
      <c r="C2104" s="18" t="str">
        <f aca="false">'SALES Raw'!H460</f>
        <v>808KT-BL       טייפ קינזיולוגי</v>
      </c>
      <c r="D2104" s="19" t="n">
        <f aca="false">'SALES Raw'!C460</f>
        <v>3</v>
      </c>
      <c r="E2104" s="19" t="n">
        <f aca="false">'SALES Raw'!D460</f>
        <v>189.18</v>
      </c>
      <c r="F2104" s="19" t="n">
        <f aca="false">'SALES Raw'!E460*$H$4</f>
        <v>12.6315789473684</v>
      </c>
      <c r="G2104" s="19" t="n">
        <f aca="false">'SALES Raw'!F460*$H$4</f>
        <v>796.547368421053</v>
      </c>
      <c r="H2104" s="18" t="str">
        <f aca="false">'SALES Raw'!A460</f>
        <v>101 - Factory customers</v>
      </c>
    </row>
    <row r="2105" customFormat="false" ht="15" hidden="false" customHeight="false" outlineLevel="0" collapsed="false">
      <c r="A2105" s="18" t="n">
        <f aca="false">'SALES Raw'!G567</f>
        <v>4418002</v>
      </c>
      <c r="B2105" s="18" t="str">
        <f aca="false">'SALES Raw'!B567</f>
        <v>60 S</v>
      </c>
      <c r="C2105" s="18" t="str">
        <f aca="false">'SALES Raw'!H567</f>
        <v>60 S צוארון ספוגי</v>
      </c>
      <c r="D2105" s="19" t="n">
        <f aca="false">'SALES Raw'!C567</f>
        <v>24</v>
      </c>
      <c r="E2105" s="19" t="n">
        <f aca="false">'SALES Raw'!D567</f>
        <v>1191.06</v>
      </c>
      <c r="F2105" s="19" t="n">
        <f aca="false">'SALES Raw'!E567*$H$4</f>
        <v>12.6315789473684</v>
      </c>
      <c r="G2105" s="19" t="n">
        <f aca="false">'SALES Raw'!F567*$H$4</f>
        <v>626.930526315789</v>
      </c>
      <c r="H2105" s="18" t="str">
        <f aca="false">'SALES Raw'!A567</f>
        <v>102 - Orthopedic institutes</v>
      </c>
    </row>
    <row r="2106" customFormat="false" ht="15" hidden="false" customHeight="false" outlineLevel="0" collapsed="false">
      <c r="A2106" s="18" t="n">
        <f aca="false">'SALES Raw'!G697</f>
        <v>4408048</v>
      </c>
      <c r="B2106" s="18" t="str">
        <f aca="false">'SALES Raw'!B697</f>
        <v>20 S</v>
      </c>
      <c r="C2106" s="18" t="str">
        <f aca="false">'SALES Raw'!H697</f>
        <v>20 S חבק יד מתכוון עם צמדן</v>
      </c>
      <c r="D2106" s="19" t="n">
        <f aca="false">'SALES Raw'!C697</f>
        <v>9</v>
      </c>
      <c r="E2106" s="19" t="n">
        <f aca="false">'SALES Raw'!D697</f>
        <v>292.48</v>
      </c>
      <c r="F2106" s="19" t="n">
        <f aca="false">'SALES Raw'!E697*$H$4</f>
        <v>12.6315789473684</v>
      </c>
      <c r="G2106" s="19" t="n">
        <f aca="false">'SALES Raw'!F697*$H$4</f>
        <v>414.265263157895</v>
      </c>
      <c r="H2106" s="18" t="str">
        <f aca="false">'SALES Raw'!A697</f>
        <v>102 - Orthopedic institutes</v>
      </c>
    </row>
    <row r="2107" customFormat="false" ht="15" hidden="false" customHeight="false" outlineLevel="0" collapsed="false">
      <c r="A2107" s="18" t="n">
        <f aca="false">'SALES Raw'!G806</f>
        <v>4413175</v>
      </c>
      <c r="B2107" s="18" t="str">
        <f aca="false">'SALES Raw'!B806</f>
        <v>85+ M</v>
      </c>
      <c r="C2107" s="18" t="str">
        <f aca="false">'SALES Raw'!H806</f>
        <v>85+ Mמתלה ליד)כיס(+רצועת חיזוק</v>
      </c>
      <c r="D2107" s="19" t="n">
        <f aca="false">'SALES Raw'!C806</f>
        <v>40</v>
      </c>
      <c r="E2107" s="19" t="n">
        <f aca="false">'SALES Raw'!D806</f>
        <v>2669.88</v>
      </c>
      <c r="F2107" s="19" t="n">
        <f aca="false">'SALES Raw'!E806*$H$4</f>
        <v>12.6315789473684</v>
      </c>
      <c r="G2107" s="19" t="n">
        <f aca="false">'SALES Raw'!F806*$H$4</f>
        <v>884.16</v>
      </c>
      <c r="H2107" s="18" t="str">
        <f aca="false">'SALES Raw'!A806</f>
        <v>102 - Orthopedic institutes</v>
      </c>
    </row>
    <row r="2108" customFormat="false" ht="15" hidden="false" customHeight="false" outlineLevel="0" collapsed="false">
      <c r="A2108" s="18" t="n">
        <f aca="false">'SALES Raw'!G869</f>
        <v>4408052</v>
      </c>
      <c r="B2108" s="18" t="str">
        <f aca="false">'SALES Raw'!B869</f>
        <v>21 L</v>
      </c>
      <c r="C2108" s="18" t="str">
        <f aca="false">'SALES Raw'!H869</f>
        <v>21 L  חבק יד ארוך</v>
      </c>
      <c r="D2108" s="19" t="n">
        <f aca="false">'SALES Raw'!C869</f>
        <v>19</v>
      </c>
      <c r="E2108" s="19" t="n">
        <f aca="false">'SALES Raw'!D869</f>
        <v>748.75</v>
      </c>
      <c r="F2108" s="19" t="n">
        <f aca="false">'SALES Raw'!E869*$H$4</f>
        <v>12.6315789473684</v>
      </c>
      <c r="G2108" s="19" t="n">
        <f aca="false">'SALES Raw'!F869*$H$4</f>
        <v>499.301052631579</v>
      </c>
      <c r="H2108" s="18" t="str">
        <f aca="false">'SALES Raw'!A869</f>
        <v>102 - Orthopedic institutes</v>
      </c>
    </row>
    <row r="2109" customFormat="false" ht="15" hidden="false" customHeight="false" outlineLevel="0" collapsed="false">
      <c r="A2109" s="18" t="n">
        <f aca="false">'SALES Raw'!G878</f>
        <v>4413054</v>
      </c>
      <c r="B2109" s="18" t="str">
        <f aca="false">'SALES Raw'!B878</f>
        <v>35C M</v>
      </c>
      <c r="C2109" s="18" t="str">
        <f aca="false">'SALES Raw'!H878</f>
        <v>35C M מגן קרסול חום</v>
      </c>
      <c r="D2109" s="19" t="n">
        <f aca="false">'SALES Raw'!C878</f>
        <v>12</v>
      </c>
      <c r="E2109" s="19" t="n">
        <f aca="false">'SALES Raw'!D878</f>
        <v>367.57</v>
      </c>
      <c r="F2109" s="19" t="n">
        <f aca="false">'SALES Raw'!E878*$H$4</f>
        <v>12.6315789473684</v>
      </c>
      <c r="G2109" s="19" t="n">
        <f aca="false">'SALES Raw'!F878*$H$4</f>
        <v>387.6</v>
      </c>
      <c r="H2109" s="18" t="str">
        <f aca="false">'SALES Raw'!A878</f>
        <v>102 - Orthopedic institutes</v>
      </c>
    </row>
    <row r="2110" customFormat="false" ht="15" hidden="false" customHeight="false" outlineLevel="0" collapsed="false">
      <c r="A2110" s="18" t="n">
        <f aca="false">'SALES Raw'!G904</f>
        <v>4413092</v>
      </c>
      <c r="B2110" s="18" t="str">
        <f aca="false">'SALES Raw'!B904</f>
        <v>45 L</v>
      </c>
      <c r="C2110" s="18" t="str">
        <f aca="false">'SALES Raw'!H904</f>
        <v>45 L מגן ברך לבן</v>
      </c>
      <c r="D2110" s="19" t="n">
        <f aca="false">'SALES Raw'!C904</f>
        <v>25</v>
      </c>
      <c r="E2110" s="19" t="n">
        <f aca="false">'SALES Raw'!D904</f>
        <v>765.88</v>
      </c>
      <c r="F2110" s="19" t="n">
        <f aca="false">'SALES Raw'!E904*$H$4</f>
        <v>12.6315789473684</v>
      </c>
      <c r="G2110" s="19" t="n">
        <f aca="false">'SALES Raw'!F904*$H$4</f>
        <v>390.202105263158</v>
      </c>
      <c r="H2110" s="18" t="str">
        <f aca="false">'SALES Raw'!A904</f>
        <v>102 - Orthopedic institutes</v>
      </c>
    </row>
    <row r="2111" customFormat="false" ht="15" hidden="false" customHeight="false" outlineLevel="0" collapsed="false">
      <c r="A2111" s="18" t="n">
        <f aca="false">'SALES Raw'!G929</f>
        <v>4413063</v>
      </c>
      <c r="B2111" s="18" t="str">
        <f aca="false">'SALES Raw'!B929</f>
        <v>366S 0</v>
      </c>
      <c r="C2111" s="18" t="str">
        <f aca="false">'SALES Raw'!H929</f>
        <v>366S-'מדבק.לשחרור לחץ מיבלת2יח</v>
      </c>
      <c r="D2111" s="19" t="n">
        <f aca="false">'SALES Raw'!C929</f>
        <v>33</v>
      </c>
      <c r="E2111" s="19" t="n">
        <f aca="false">'SALES Raw'!D929</f>
        <v>540.7</v>
      </c>
      <c r="F2111" s="19" t="n">
        <f aca="false">'SALES Raw'!E929*$H$4</f>
        <v>12.6315789473684</v>
      </c>
      <c r="G2111" s="19" t="n">
        <f aca="false">'SALES Raw'!F929*$H$4</f>
        <v>198.328421052632</v>
      </c>
      <c r="H2111" s="18" t="str">
        <f aca="false">'SALES Raw'!A929</f>
        <v>102 - Orthopedic institutes</v>
      </c>
    </row>
    <row r="2112" customFormat="false" ht="15" hidden="false" customHeight="false" outlineLevel="0" collapsed="false">
      <c r="A2112" s="18" t="n">
        <f aca="false">'SALES Raw'!G967</f>
        <v>4413149</v>
      </c>
      <c r="B2112" s="18" t="str">
        <f aca="false">'SALES Raw'!B967</f>
        <v>FC321 0</v>
      </c>
      <c r="C2112" s="18" t="str">
        <f aca="false">'SALES Raw'!H967</f>
        <v>FC321-מלח אמבט לכף הרגל</v>
      </c>
      <c r="D2112" s="19" t="n">
        <f aca="false">'SALES Raw'!C967</f>
        <v>29</v>
      </c>
      <c r="E2112" s="19" t="n">
        <f aca="false">'SALES Raw'!D967</f>
        <v>384.3</v>
      </c>
      <c r="F2112" s="19" t="n">
        <f aca="false">'SALES Raw'!E967*$H$4</f>
        <v>12.6315789473684</v>
      </c>
      <c r="G2112" s="19" t="n">
        <f aca="false">'SALES Raw'!F967*$H$4</f>
        <v>177.056842105263</v>
      </c>
      <c r="H2112" s="18" t="str">
        <f aca="false">'SALES Raw'!A967</f>
        <v>102 - Orthopedic institutes</v>
      </c>
    </row>
    <row r="2113" customFormat="false" ht="15" hidden="false" customHeight="false" outlineLevel="0" collapsed="false">
      <c r="A2113" s="18" t="n">
        <f aca="false">'SALES Raw'!G970</f>
        <v>4409000</v>
      </c>
      <c r="B2113" s="18" t="str">
        <f aca="false">'SALES Raw'!B970</f>
        <v>365-S-L</v>
      </c>
      <c r="C2113" s="18" t="str">
        <f aca="false">'SALES Raw'!H970</f>
        <v>365 S-Lטבעת אלסטית מסיליקון</v>
      </c>
      <c r="D2113" s="19" t="n">
        <f aca="false">'SALES Raw'!C970</f>
        <v>13</v>
      </c>
      <c r="E2113" s="19" t="n">
        <f aca="false">'SALES Raw'!D970</f>
        <v>188.27</v>
      </c>
      <c r="F2113" s="19" t="n">
        <f aca="false">'SALES Raw'!E970*$H$4</f>
        <v>12.6315789473684</v>
      </c>
      <c r="G2113" s="19" t="n">
        <f aca="false">'SALES Raw'!F970*$H$4</f>
        <v>182.930526315789</v>
      </c>
      <c r="H2113" s="18" t="str">
        <f aca="false">'SALES Raw'!A970</f>
        <v>102 - Orthopedic institutes</v>
      </c>
    </row>
    <row r="2114" customFormat="false" ht="15" hidden="false" customHeight="false" outlineLevel="0" collapsed="false">
      <c r="A2114" s="18" t="n">
        <f aca="false">'SALES Raw'!G971</f>
        <v>4409001</v>
      </c>
      <c r="B2114" s="18" t="str">
        <f aca="false">'SALES Raw'!B971</f>
        <v>365-XL</v>
      </c>
      <c r="C2114" s="18" t="str">
        <f aca="false">'SALES Raw'!H971</f>
        <v>365  X-Lטבעת אלסטית מסיליקון</v>
      </c>
      <c r="D2114" s="19" t="n">
        <f aca="false">'SALES Raw'!C971</f>
        <v>12</v>
      </c>
      <c r="E2114" s="19" t="n">
        <f aca="false">'SALES Raw'!D971</f>
        <v>168.21</v>
      </c>
      <c r="F2114" s="19" t="n">
        <f aca="false">'SALES Raw'!E971*$H$4</f>
        <v>12.6315789473684</v>
      </c>
      <c r="G2114" s="19" t="n">
        <f aca="false">'SALES Raw'!F971*$H$4</f>
        <v>177.056842105263</v>
      </c>
      <c r="H2114" s="18" t="str">
        <f aca="false">'SALES Raw'!A971</f>
        <v>102 - Orthopedic institutes</v>
      </c>
    </row>
    <row r="2115" customFormat="false" ht="15" hidden="false" customHeight="false" outlineLevel="0" collapsed="false">
      <c r="A2115" s="18" t="str">
        <f aca="false">'SALES Raw'!G1048</f>
        <v/>
      </c>
      <c r="B2115" s="18" t="str">
        <f aca="false">'SALES Raw'!B1048</f>
        <v>67600000</v>
      </c>
      <c r="C2115" s="18" t="str">
        <f aca="false">'SALES Raw'!H1048</f>
        <v>67600000</v>
      </c>
      <c r="D2115" s="19" t="n">
        <f aca="false">'SALES Raw'!C1048</f>
        <v>0</v>
      </c>
      <c r="E2115" s="19" t="n">
        <f aca="false">'SALES Raw'!D1048</f>
        <v>0</v>
      </c>
      <c r="F2115" s="19" t="n">
        <f aca="false">'SALES Raw'!E1048*$H$4</f>
        <v>12.6315789473684</v>
      </c>
      <c r="G2115" s="19" t="n">
        <f aca="false">'SALES Raw'!F1048*$H$4</f>
        <v>0</v>
      </c>
      <c r="H2115" s="18" t="str">
        <f aca="false">'SALES Raw'!A1048</f>
        <v>102 - Orthopedic institutes</v>
      </c>
    </row>
    <row r="2116" customFormat="false" ht="15" hidden="false" customHeight="false" outlineLevel="0" collapsed="false">
      <c r="A2116" s="18" t="n">
        <f aca="false">'SALES Raw'!G1170</f>
        <v>4420022</v>
      </c>
      <c r="B2116" s="18" t="str">
        <f aca="false">'SALES Raw'!B1170</f>
        <v>LF370 0</v>
      </c>
      <c r="C2116" s="18" t="str">
        <f aca="false">'SALES Raw'!H1170</f>
        <v>LF370 ריפוד סיליקון לעקב אחורי</v>
      </c>
      <c r="D2116" s="19" t="n">
        <f aca="false">'SALES Raw'!C1170</f>
        <v>7</v>
      </c>
      <c r="E2116" s="19" t="n">
        <f aca="false">'SALES Raw'!D1170</f>
        <v>165.66</v>
      </c>
      <c r="F2116" s="19" t="n">
        <f aca="false">'SALES Raw'!E1170*$H$4</f>
        <v>12.6315789473684</v>
      </c>
      <c r="G2116" s="19" t="n">
        <f aca="false">'SALES Raw'!F1170*$H$4</f>
        <v>301.351578947368</v>
      </c>
      <c r="H2116" s="18" t="str">
        <f aca="false">'SALES Raw'!A1170</f>
        <v>102 - Orthopedic institutes</v>
      </c>
    </row>
    <row r="2117" customFormat="false" ht="15" hidden="false" customHeight="false" outlineLevel="0" collapsed="false">
      <c r="A2117" s="18" t="str">
        <f aca="false">'SALES Raw'!G1574</f>
        <v/>
      </c>
      <c r="B2117" s="18" t="str">
        <f aca="false">'SALES Raw'!B1574</f>
        <v>621B-S</v>
      </c>
      <c r="C2117" s="18" t="str">
        <f aca="false">'SALES Raw'!H1574</f>
        <v>621B-S</v>
      </c>
      <c r="D2117" s="19" t="n">
        <f aca="false">'SALES Raw'!C1574</f>
        <v>0</v>
      </c>
      <c r="E2117" s="19" t="n">
        <f aca="false">'SALES Raw'!D1574</f>
        <v>0</v>
      </c>
      <c r="F2117" s="19" t="n">
        <f aca="false">'SALES Raw'!E1574*$H$4</f>
        <v>12.6315789473684</v>
      </c>
      <c r="G2117" s="19" t="n">
        <f aca="false">'SALES Raw'!F1574*$H$4</f>
        <v>828.277894736842</v>
      </c>
      <c r="H2117" s="18" t="str">
        <f aca="false">'SALES Raw'!A1574</f>
        <v>103 - Physiotherapy institutes</v>
      </c>
    </row>
    <row r="2118" customFormat="false" ht="15" hidden="false" customHeight="false" outlineLevel="0" collapsed="false">
      <c r="A2118" s="18" t="n">
        <f aca="false">'SALES Raw'!G1668</f>
        <v>4413138</v>
      </c>
      <c r="B2118" s="18" t="str">
        <f aca="false">'SALES Raw'!B1668</f>
        <v>85 XL</v>
      </c>
      <c r="C2118" s="18" t="str">
        <f aca="false">'SALES Raw'!H1668</f>
        <v>85 XL (מתלה ליד )כיס</v>
      </c>
      <c r="D2118" s="19" t="n">
        <f aca="false">'SALES Raw'!C1668</f>
        <v>1</v>
      </c>
      <c r="E2118" s="19" t="n">
        <f aca="false">'SALES Raw'!D1668</f>
        <v>49</v>
      </c>
      <c r="F2118" s="19" t="n">
        <f aca="false">'SALES Raw'!E1668*$H$4</f>
        <v>12.6315789473684</v>
      </c>
      <c r="G2118" s="19" t="n">
        <f aca="false">'SALES Raw'!F1668*$H$4</f>
        <v>618.947368421053</v>
      </c>
      <c r="H2118" s="18" t="str">
        <f aca="false">'SALES Raw'!A1668</f>
        <v>106 - Hospitals</v>
      </c>
    </row>
    <row r="2119" customFormat="false" ht="15" hidden="false" customHeight="false" outlineLevel="0" collapsed="false">
      <c r="A2119" s="18" t="n">
        <f aca="false">'SALES Raw'!G1669</f>
        <v>4408090</v>
      </c>
      <c r="B2119" s="18" t="str">
        <f aca="false">'SALES Raw'!B1669</f>
        <v>T11C L</v>
      </c>
      <c r="C2119" s="18" t="str">
        <f aca="false">'SALES Raw'!H1669</f>
        <v>T11C L  חגורת גב פוג'יאמה</v>
      </c>
      <c r="D2119" s="19" t="n">
        <f aca="false">'SALES Raw'!C1669</f>
        <v>0</v>
      </c>
      <c r="E2119" s="19" t="n">
        <f aca="false">'SALES Raw'!D1669</f>
        <v>0</v>
      </c>
      <c r="F2119" s="19" t="n">
        <f aca="false">'SALES Raw'!E1669*$H$4</f>
        <v>12.6315789473684</v>
      </c>
      <c r="G2119" s="19" t="n">
        <f aca="false">'SALES Raw'!F1669*$H$4</f>
        <v>1593.85263157895</v>
      </c>
      <c r="H2119" s="18" t="str">
        <f aca="false">'SALES Raw'!A1669</f>
        <v>106 - Hospitals</v>
      </c>
    </row>
    <row r="2120" customFormat="false" ht="15" hidden="false" customHeight="false" outlineLevel="0" collapsed="false">
      <c r="A2120" s="18" t="n">
        <f aca="false">'SALES Raw'!G1672</f>
        <v>4408092</v>
      </c>
      <c r="B2120" s="18" t="str">
        <f aca="false">'SALES Raw'!B1672</f>
        <v>T11C XL</v>
      </c>
      <c r="C2120" s="18" t="str">
        <f aca="false">'SALES Raw'!H1672</f>
        <v>T11C XL חגורת גב פוג'יאמה</v>
      </c>
      <c r="D2120" s="19" t="n">
        <f aca="false">'SALES Raw'!C1672</f>
        <v>0</v>
      </c>
      <c r="E2120" s="19" t="n">
        <f aca="false">'SALES Raw'!D1672</f>
        <v>0</v>
      </c>
      <c r="F2120" s="19" t="n">
        <f aca="false">'SALES Raw'!E1672*$H$4</f>
        <v>12.6315789473684</v>
      </c>
      <c r="G2120" s="19" t="n">
        <f aca="false">'SALES Raw'!F1672*$H$4</f>
        <v>1593.85263157895</v>
      </c>
      <c r="H2120" s="18" t="str">
        <f aca="false">'SALES Raw'!A1672</f>
        <v>106 - Hospitals</v>
      </c>
    </row>
    <row r="2121" customFormat="false" ht="15" hidden="false" customHeight="false" outlineLevel="0" collapsed="false">
      <c r="A2121" s="18" t="n">
        <f aca="false">'SALES Raw'!G1723</f>
        <v>4413453</v>
      </c>
      <c r="B2121" s="18" t="str">
        <f aca="false">'SALES Raw'!B1723</f>
        <v>AC75-S-XL</v>
      </c>
      <c r="C2121" s="18" t="str">
        <f aca="false">'SALES Raw'!H1723</f>
        <v>AC75 מישר כתפיים אקטיב</v>
      </c>
      <c r="D2121" s="19" t="n">
        <f aca="false">'SALES Raw'!C1723</f>
        <v>12</v>
      </c>
      <c r="E2121" s="19" t="n">
        <f aca="false">'SALES Raw'!D1723</f>
        <v>859.16</v>
      </c>
      <c r="F2121" s="19" t="n">
        <f aca="false">'SALES Raw'!E1723*$H$4</f>
        <v>12.6315789473684</v>
      </c>
      <c r="G2121" s="19" t="n">
        <f aca="false">'SALES Raw'!F1723*$H$4</f>
        <v>950.677894736842</v>
      </c>
      <c r="H2121" s="18" t="str">
        <f aca="false">'SALES Raw'!A1723</f>
        <v>106 - Hospitals</v>
      </c>
    </row>
    <row r="2122" customFormat="false" ht="15" hidden="false" customHeight="false" outlineLevel="0" collapsed="false">
      <c r="A2122" s="18" t="n">
        <f aca="false">'SALES Raw'!G1789</f>
        <v>4420022</v>
      </c>
      <c r="B2122" s="18" t="str">
        <f aca="false">'SALES Raw'!B1789</f>
        <v>LF370 0</v>
      </c>
      <c r="C2122" s="18" t="str">
        <f aca="false">'SALES Raw'!H1789</f>
        <v>LF370 ריפוד סיליקון לעקב אחורי</v>
      </c>
      <c r="D2122" s="19" t="n">
        <f aca="false">'SALES Raw'!C1789</f>
        <v>6</v>
      </c>
      <c r="E2122" s="19" t="n">
        <f aca="false">'SALES Raw'!D1789</f>
        <v>143.14</v>
      </c>
      <c r="F2122" s="19" t="n">
        <f aca="false">'SALES Raw'!E1789*$H$4</f>
        <v>12.6315789473684</v>
      </c>
      <c r="G2122" s="19" t="n">
        <f aca="false">'SALES Raw'!F1789*$H$4</f>
        <v>301.351578947368</v>
      </c>
      <c r="H2122" s="18" t="str">
        <f aca="false">'SALES Raw'!A1789</f>
        <v>109 - Private Shops</v>
      </c>
    </row>
    <row r="2123" customFormat="false" ht="15" hidden="false" customHeight="false" outlineLevel="0" collapsed="false">
      <c r="A2123" s="18" t="n">
        <f aca="false">'SALES Raw'!G1810</f>
        <v>4413527</v>
      </c>
      <c r="B2123" s="18" t="str">
        <f aca="false">'SALES Raw'!B1810</f>
        <v>379WRK-35-38</v>
      </c>
      <c r="C2123" s="18" t="str">
        <f aca="false">'SALES Raw'!H1810</f>
        <v>35-38 מדרסי אפיק ג'ל עבודה</v>
      </c>
      <c r="D2123" s="19" t="n">
        <f aca="false">'SALES Raw'!C1810</f>
        <v>0</v>
      </c>
      <c r="E2123" s="19" t="n">
        <f aca="false">'SALES Raw'!D1810</f>
        <v>0</v>
      </c>
      <c r="F2123" s="19" t="n">
        <f aca="false">'SALES Raw'!E1810*$H$4</f>
        <v>12.6315789473684</v>
      </c>
      <c r="G2123" s="19" t="n">
        <f aca="false">'SALES Raw'!F1810*$H$4</f>
        <v>1286.57684210526</v>
      </c>
      <c r="H2123" s="18" t="str">
        <f aca="false">'SALES Raw'!A1810</f>
        <v>109 - Private Shops</v>
      </c>
    </row>
    <row r="2124" customFormat="false" ht="15" hidden="false" customHeight="false" outlineLevel="0" collapsed="false">
      <c r="A2124" s="18" t="str">
        <f aca="false">'SALES Raw'!G1816</f>
        <v/>
      </c>
      <c r="B2124" s="18" t="str">
        <f aca="false">'SALES Raw'!B1816</f>
        <v>8011 0</v>
      </c>
      <c r="C2124" s="18" t="str">
        <f aca="false">'SALES Raw'!H1816</f>
        <v>8011 0</v>
      </c>
      <c r="D2124" s="19" t="n">
        <f aca="false">'SALES Raw'!C1816</f>
        <v>0</v>
      </c>
      <c r="E2124" s="19" t="n">
        <f aca="false">'SALES Raw'!D1816</f>
        <v>0</v>
      </c>
      <c r="F2124" s="19" t="n">
        <f aca="false">'SALES Raw'!E1816*$H$4</f>
        <v>12.6315789473684</v>
      </c>
      <c r="G2124" s="19" t="n">
        <f aca="false">'SALES Raw'!F1816*$H$4</f>
        <v>40.7368421052632</v>
      </c>
      <c r="H2124" s="18" t="str">
        <f aca="false">'SALES Raw'!A1816</f>
        <v>109 - Private Shops</v>
      </c>
    </row>
    <row r="2125" customFormat="false" ht="15" hidden="false" customHeight="false" outlineLevel="0" collapsed="false">
      <c r="A2125" s="18" t="n">
        <f aca="false">'SALES Raw'!G1828</f>
        <v>4408208</v>
      </c>
      <c r="B2125" s="18" t="str">
        <f aca="false">'SALES Raw'!B1828</f>
        <v>AC91 0</v>
      </c>
      <c r="C2125" s="18" t="str">
        <f aca="false">'SALES Raw'!H1828</f>
        <v>AC91 חבק טניס</v>
      </c>
      <c r="D2125" s="19" t="n">
        <f aca="false">'SALES Raw'!C1828</f>
        <v>0</v>
      </c>
      <c r="E2125" s="19" t="n">
        <f aca="false">'SALES Raw'!D1828</f>
        <v>0</v>
      </c>
      <c r="F2125" s="19" t="n">
        <f aca="false">'SALES Raw'!E1828*$H$4</f>
        <v>12.6315789473684</v>
      </c>
      <c r="G2125" s="19" t="n">
        <f aca="false">'SALES Raw'!F1828*$H$4</f>
        <v>502.661052631579</v>
      </c>
      <c r="H2125" s="18" t="str">
        <f aca="false">'SALES Raw'!A1828</f>
        <v>109 - Private Shops</v>
      </c>
    </row>
    <row r="2126" customFormat="false" ht="15" hidden="false" customHeight="false" outlineLevel="0" collapsed="false">
      <c r="A2126" s="18" t="n">
        <f aca="false">'SALES Raw'!G1844</f>
        <v>4421001</v>
      </c>
      <c r="B2126" s="18" t="str">
        <f aca="false">'SALES Raw'!B1844</f>
        <v>3611 0</v>
      </c>
      <c r="C2126" s="18" t="str">
        <f aca="false">'SALES Raw'!H1844</f>
        <v>3611 שרוול מטטרזלי מסיליקון</v>
      </c>
      <c r="D2126" s="19" t="n">
        <f aca="false">'SALES Raw'!C1844</f>
        <v>0</v>
      </c>
      <c r="E2126" s="19" t="n">
        <f aca="false">'SALES Raw'!D1844</f>
        <v>0</v>
      </c>
      <c r="F2126" s="19" t="n">
        <f aca="false">'SALES Raw'!E1844*$H$4</f>
        <v>12.6315789473684</v>
      </c>
      <c r="G2126" s="19" t="n">
        <f aca="false">'SALES Raw'!F1844*$H$4</f>
        <v>769.098947368421</v>
      </c>
      <c r="H2126" s="18" t="str">
        <f aca="false">'SALES Raw'!A1844</f>
        <v>109 - Private Shops</v>
      </c>
    </row>
    <row r="2127" customFormat="false" ht="15" hidden="false" customHeight="false" outlineLevel="0" collapsed="false">
      <c r="A2127" s="18" t="n">
        <f aca="false">'SALES Raw'!G1849</f>
        <v>4420023</v>
      </c>
      <c r="B2127" s="18" t="str">
        <f aca="false">'SALES Raw'!B1849</f>
        <v>LF371 0</v>
      </c>
      <c r="C2127" s="18" t="str">
        <f aca="false">'SALES Raw'!H1849</f>
        <v>LF371 ריפוד סיליקון לנעלי אצבע</v>
      </c>
      <c r="D2127" s="19" t="n">
        <f aca="false">'SALES Raw'!C1849</f>
        <v>0</v>
      </c>
      <c r="E2127" s="19" t="n">
        <f aca="false">'SALES Raw'!D1849</f>
        <v>0</v>
      </c>
      <c r="F2127" s="19" t="n">
        <f aca="false">'SALES Raw'!E1849*$H$4</f>
        <v>12.6315789473684</v>
      </c>
      <c r="G2127" s="19" t="n">
        <f aca="false">'SALES Raw'!F1849*$H$4</f>
        <v>360.568421052632</v>
      </c>
      <c r="H2127" s="18" t="str">
        <f aca="false">'SALES Raw'!A1849</f>
        <v>109 - Private Shops</v>
      </c>
    </row>
    <row r="2128" customFormat="false" ht="15" hidden="false" customHeight="false" outlineLevel="0" collapsed="false">
      <c r="A2128" s="18" t="n">
        <f aca="false">'SALES Raw'!G1879</f>
        <v>4413456</v>
      </c>
      <c r="B2128" s="18" t="str">
        <f aca="false">'SALES Raw'!B1879</f>
        <v>AC75 XXL</v>
      </c>
      <c r="C2128" s="18" t="str">
        <f aca="false">'SALES Raw'!H1879</f>
        <v>AC75 XXL  מיישר כתפיים אקטיב</v>
      </c>
      <c r="D2128" s="19" t="n">
        <f aca="false">'SALES Raw'!C1879</f>
        <v>3</v>
      </c>
      <c r="E2128" s="19" t="n">
        <f aca="false">'SALES Raw'!D1879</f>
        <v>217.83</v>
      </c>
      <c r="F2128" s="19" t="n">
        <f aca="false">'SALES Raw'!E1879*$H$4</f>
        <v>12.6315789473684</v>
      </c>
      <c r="G2128" s="19" t="n">
        <f aca="false">'SALES Raw'!F1879*$H$4</f>
        <v>1006.13052631579</v>
      </c>
      <c r="H2128" s="18" t="str">
        <f aca="false">'SALES Raw'!A1879</f>
        <v>109 - Private Shops</v>
      </c>
    </row>
    <row r="2129" customFormat="false" ht="15" hidden="false" customHeight="false" outlineLevel="0" collapsed="false">
      <c r="A2129" s="18" t="str">
        <f aca="false">'SALES Raw'!G2084</f>
        <v/>
      </c>
      <c r="B2129" s="18" t="str">
        <f aca="false">'SALES Raw'!B2084</f>
        <v>099-L-XL</v>
      </c>
      <c r="C2129" s="18" t="str">
        <f aca="false">'SALES Raw'!H2084</f>
        <v>099-L-XL</v>
      </c>
      <c r="D2129" s="19" t="n">
        <f aca="false">'SALES Raw'!C2084</f>
        <v>10</v>
      </c>
      <c r="E2129" s="19" t="n">
        <f aca="false">'SALES Raw'!D2084</f>
        <v>1929.17</v>
      </c>
      <c r="F2129" s="19" t="n">
        <f aca="false">'SALES Raw'!E2084*$H$4</f>
        <v>12.6315789473684</v>
      </c>
      <c r="G2129" s="19" t="n">
        <f aca="false">'SALES Raw'!F2084*$H$4</f>
        <v>2480.00842105263</v>
      </c>
      <c r="H2129" s="18" t="str">
        <f aca="false">'SALES Raw'!A2084</f>
        <v>114 - IL online</v>
      </c>
    </row>
    <row r="2130" customFormat="false" ht="15" hidden="false" customHeight="false" outlineLevel="0" collapsed="false">
      <c r="A2130" s="18" t="n">
        <f aca="false">'SALES Raw'!G2096</f>
        <v>4408035</v>
      </c>
      <c r="B2130" s="18" t="str">
        <f aca="false">'SALES Raw'!B2096</f>
        <v>11 XXL</v>
      </c>
      <c r="C2130" s="18" t="str">
        <f aca="false">'SALES Raw'!H2096</f>
        <v>11 XXL""""חגורת בטן""""אורירית</v>
      </c>
      <c r="D2130" s="19" t="n">
        <f aca="false">'SALES Raw'!C2096</f>
        <v>9</v>
      </c>
      <c r="E2130" s="19" t="n">
        <f aca="false">'SALES Raw'!D2096</f>
        <v>1832.38</v>
      </c>
      <c r="F2130" s="19" t="n">
        <f aca="false">'SALES Raw'!E2096*$H$4</f>
        <v>12.6315789473684</v>
      </c>
      <c r="G2130" s="19" t="n">
        <f aca="false">'SALES Raw'!F2096*$H$4</f>
        <v>2411.78526315789</v>
      </c>
      <c r="H2130" s="18" t="str">
        <f aca="false">'SALES Raw'!A2096</f>
        <v>114 - IL online</v>
      </c>
    </row>
    <row r="2131" customFormat="false" ht="15" hidden="false" customHeight="false" outlineLevel="0" collapsed="false">
      <c r="A2131" s="18" t="n">
        <f aca="false">'SALES Raw'!G2098</f>
        <v>4408114</v>
      </c>
      <c r="B2131" s="18" t="str">
        <f aca="false">'SALES Raw'!B2098</f>
        <v>11EU M</v>
      </c>
      <c r="C2131" s="18" t="str">
        <f aca="false">'SALES Raw'!H2098</f>
        <v>11EU M ח.בטן לאחר ניתוח</v>
      </c>
      <c r="D2131" s="19" t="n">
        <f aca="false">'SALES Raw'!C2098</f>
        <v>5</v>
      </c>
      <c r="E2131" s="19" t="n">
        <f aca="false">'SALES Raw'!D2098</f>
        <v>973.31</v>
      </c>
      <c r="F2131" s="19" t="n">
        <f aca="false">'SALES Raw'!E2098*$H$4</f>
        <v>12.6315789473684</v>
      </c>
      <c r="G2131" s="19" t="n">
        <f aca="false">'SALES Raw'!F2098*$H$4</f>
        <v>2439.12</v>
      </c>
      <c r="H2131" s="18" t="str">
        <f aca="false">'SALES Raw'!A2098</f>
        <v>114 - IL online</v>
      </c>
    </row>
    <row r="2132" customFormat="false" ht="15" hidden="false" customHeight="false" outlineLevel="0" collapsed="false">
      <c r="A2132" s="18" t="n">
        <f aca="false">'SALES Raw'!G2155</f>
        <v>4408231</v>
      </c>
      <c r="B2132" s="18" t="str">
        <f aca="false">'SALES Raw'!B2155</f>
        <v>16-S-M</v>
      </c>
      <c r="C2132" s="18" t="str">
        <f aca="false">'SALES Raw'!H2155</f>
        <v>16 S-M חגורת הריון</v>
      </c>
      <c r="D2132" s="19" t="n">
        <f aca="false">'SALES Raw'!C2155</f>
        <v>3</v>
      </c>
      <c r="E2132" s="19" t="n">
        <f aca="false">'SALES Raw'!D2155</f>
        <v>640.44</v>
      </c>
      <c r="F2132" s="19" t="n">
        <f aca="false">'SALES Raw'!E2155*$H$4</f>
        <v>12.6315789473684</v>
      </c>
      <c r="G2132" s="19" t="n">
        <f aca="false">'SALES Raw'!F2155*$H$4</f>
        <v>2802.55578947368</v>
      </c>
      <c r="H2132" s="18" t="str">
        <f aca="false">'SALES Raw'!A2155</f>
        <v>114 - IL online</v>
      </c>
    </row>
    <row r="2133" customFormat="false" ht="15" hidden="false" customHeight="false" outlineLevel="0" collapsed="false">
      <c r="A2133" s="18" t="str">
        <f aca="false">'SALES Raw'!G2235</f>
        <v/>
      </c>
      <c r="B2133" s="18" t="str">
        <f aca="false">'SALES Raw'!B2235</f>
        <v>305-39-40</v>
      </c>
      <c r="C2133" s="18" t="str">
        <f aca="false">'SALES Raw'!H2235</f>
        <v>305-39-40</v>
      </c>
      <c r="D2133" s="19" t="n">
        <f aca="false">'SALES Raw'!C2235</f>
        <v>0</v>
      </c>
      <c r="E2133" s="19" t="n">
        <f aca="false">'SALES Raw'!D2235</f>
        <v>0</v>
      </c>
      <c r="F2133" s="19" t="n">
        <f aca="false">'SALES Raw'!E2235*$H$4</f>
        <v>12.6315789473684</v>
      </c>
      <c r="G2133" s="19" t="n">
        <f aca="false">'SALES Raw'!F2235*$H$4</f>
        <v>2097.06947368421</v>
      </c>
      <c r="H2133" s="18" t="str">
        <f aca="false">'SALES Raw'!A2235</f>
        <v>114 - IL online</v>
      </c>
    </row>
    <row r="2134" customFormat="false" ht="15" hidden="false" customHeight="false" outlineLevel="0" collapsed="false">
      <c r="A2134" s="18" t="n">
        <f aca="false">'SALES Raw'!G2330</f>
        <v>4413525</v>
      </c>
      <c r="B2134" s="18" t="str">
        <f aca="false">'SALES Raw'!B2330</f>
        <v>379COM-43-46</v>
      </c>
      <c r="C2134" s="18" t="str">
        <f aca="false">'SALES Raw'!H2330</f>
        <v>43-47 מדרסי אפיק ג'ל נוחות</v>
      </c>
      <c r="D2134" s="19" t="n">
        <f aca="false">'SALES Raw'!C2330</f>
        <v>21</v>
      </c>
      <c r="E2134" s="19" t="n">
        <f aca="false">'SALES Raw'!D2330</f>
        <v>3932.8</v>
      </c>
      <c r="F2134" s="19" t="n">
        <f aca="false">'SALES Raw'!E2330*$H$4</f>
        <v>12.6315789473684</v>
      </c>
      <c r="G2134" s="19" t="n">
        <f aca="false">'SALES Raw'!F2330*$H$4</f>
        <v>2555.70947368421</v>
      </c>
      <c r="H2134" s="18" t="str">
        <f aca="false">'SALES Raw'!A2330</f>
        <v>114 - IL online</v>
      </c>
    </row>
    <row r="2135" customFormat="false" ht="15" hidden="false" customHeight="false" outlineLevel="0" collapsed="false">
      <c r="A2135" s="18" t="n">
        <f aca="false">'SALES Raw'!G2335</f>
        <v>4413528</v>
      </c>
      <c r="B2135" s="18" t="str">
        <f aca="false">'SALES Raw'!B2335</f>
        <v>379WRK-39-42</v>
      </c>
      <c r="C2135" s="18" t="str">
        <f aca="false">'SALES Raw'!H2335</f>
        <v>39-42 מדרסי אפיק ג'ל עבודה</v>
      </c>
      <c r="D2135" s="19" t="n">
        <f aca="false">'SALES Raw'!C2335</f>
        <v>17</v>
      </c>
      <c r="E2135" s="19" t="n">
        <f aca="false">'SALES Raw'!D2335</f>
        <v>3236.36</v>
      </c>
      <c r="F2135" s="19" t="n">
        <f aca="false">'SALES Raw'!E2335*$H$4</f>
        <v>12.6315789473684</v>
      </c>
      <c r="G2135" s="19" t="n">
        <f aca="false">'SALES Raw'!F2335*$H$4</f>
        <v>2531.26736842105</v>
      </c>
      <c r="H2135" s="18" t="str">
        <f aca="false">'SALES Raw'!A2335</f>
        <v>114 - IL online</v>
      </c>
    </row>
    <row r="2136" customFormat="false" ht="15" hidden="false" customHeight="false" outlineLevel="0" collapsed="false">
      <c r="A2136" s="18" t="n">
        <f aca="false">'SALES Raw'!G2400</f>
        <v>4413092</v>
      </c>
      <c r="B2136" s="18" t="str">
        <f aca="false">'SALES Raw'!B2400</f>
        <v>45 L</v>
      </c>
      <c r="C2136" s="18" t="str">
        <f aca="false">'SALES Raw'!H2400</f>
        <v>45 L מגן ברך לבן</v>
      </c>
      <c r="D2136" s="19" t="n">
        <f aca="false">'SALES Raw'!C2400</f>
        <v>15</v>
      </c>
      <c r="E2136" s="19" t="n">
        <f aca="false">'SALES Raw'!D2400</f>
        <v>801.44</v>
      </c>
      <c r="F2136" s="19" t="n">
        <f aca="false">'SALES Raw'!E2400*$H$4</f>
        <v>12.6315789473684</v>
      </c>
      <c r="G2136" s="19" t="n">
        <f aca="false">'SALES Raw'!F2400*$H$4</f>
        <v>698.412631578947</v>
      </c>
      <c r="H2136" s="18" t="str">
        <f aca="false">'SALES Raw'!A2400</f>
        <v>114 - IL online</v>
      </c>
    </row>
    <row r="2137" customFormat="false" ht="15" hidden="false" customHeight="false" outlineLevel="0" collapsed="false">
      <c r="A2137" s="18" t="n">
        <f aca="false">'SALES Raw'!G2475</f>
        <v>4418002</v>
      </c>
      <c r="B2137" s="18" t="str">
        <f aca="false">'SALES Raw'!B2475</f>
        <v>60 S</v>
      </c>
      <c r="C2137" s="18" t="str">
        <f aca="false">'SALES Raw'!H2475</f>
        <v>60 S צוארון ספוגי</v>
      </c>
      <c r="D2137" s="19" t="n">
        <f aca="false">'SALES Raw'!C2475</f>
        <v>8</v>
      </c>
      <c r="E2137" s="19" t="n">
        <f aca="false">'SALES Raw'!D2475</f>
        <v>686.59</v>
      </c>
      <c r="F2137" s="19" t="n">
        <f aca="false">'SALES Raw'!E2475*$H$4</f>
        <v>12.6315789473684</v>
      </c>
      <c r="G2137" s="19" t="n">
        <f aca="false">'SALES Raw'!F2475*$H$4</f>
        <v>1122.32842105263</v>
      </c>
      <c r="H2137" s="18" t="str">
        <f aca="false">'SALES Raw'!A2475</f>
        <v>114 - IL online</v>
      </c>
    </row>
    <row r="2138" customFormat="false" ht="15" hidden="false" customHeight="false" outlineLevel="0" collapsed="false">
      <c r="A2138" s="18" t="str">
        <f aca="false">'SALES Raw'!G2506</f>
        <v/>
      </c>
      <c r="B2138" s="18" t="str">
        <f aca="false">'SALES Raw'!B2506</f>
        <v>76 XXL</v>
      </c>
      <c r="C2138" s="18" t="str">
        <f aca="false">'SALES Raw'!H2506</f>
        <v>76 XXL</v>
      </c>
      <c r="D2138" s="19" t="n">
        <f aca="false">'SALES Raw'!C2506</f>
        <v>12</v>
      </c>
      <c r="E2138" s="19" t="n">
        <f aca="false">'SALES Raw'!D2506</f>
        <v>4210.4</v>
      </c>
      <c r="F2138" s="19" t="n">
        <f aca="false">'SALES Raw'!E2506*$H$4</f>
        <v>12.6315789473684</v>
      </c>
      <c r="G2138" s="19" t="n">
        <f aca="false">'SALES Raw'!F2506*$H$4</f>
        <v>4599.32210526316</v>
      </c>
      <c r="H2138" s="18" t="str">
        <f aca="false">'SALES Raw'!A2506</f>
        <v>114 - IL online</v>
      </c>
    </row>
    <row r="2139" customFormat="false" ht="15" hidden="false" customHeight="false" outlineLevel="0" collapsed="false">
      <c r="A2139" s="18" t="n">
        <f aca="false">'SALES Raw'!G2519</f>
        <v>4401011</v>
      </c>
      <c r="B2139" s="18" t="str">
        <f aca="false">'SALES Raw'!B2519</f>
        <v>805AT-C</v>
      </c>
      <c r="C2139" s="18" t="str">
        <f aca="false">'SALES Raw'!H2519</f>
        <v>805AT-Cאתלטיק טייפ בז' 20מ""""מ20</v>
      </c>
      <c r="D2139" s="19" t="n">
        <f aca="false">'SALES Raw'!C2519</f>
        <v>14</v>
      </c>
      <c r="E2139" s="19" t="n">
        <f aca="false">'SALES Raw'!D2519</f>
        <v>378.95</v>
      </c>
      <c r="F2139" s="19" t="n">
        <f aca="false">'SALES Raw'!E2519*$H$4</f>
        <v>12.6315789473684</v>
      </c>
      <c r="G2139" s="19" t="n">
        <f aca="false">'SALES Raw'!F2519*$H$4</f>
        <v>365.368421052632</v>
      </c>
      <c r="H2139" s="18" t="str">
        <f aca="false">'SALES Raw'!A2519</f>
        <v>114 - IL online</v>
      </c>
    </row>
    <row r="2140" customFormat="false" ht="15" hidden="false" customHeight="false" outlineLevel="0" collapsed="false">
      <c r="A2140" s="18" t="n">
        <f aca="false">'SALES Raw'!G2530</f>
        <v>4409015</v>
      </c>
      <c r="B2140" s="18" t="str">
        <f aca="false">'SALES Raw'!B2530</f>
        <v>808KT-BL</v>
      </c>
      <c r="C2140" s="18" t="str">
        <f aca="false">'SALES Raw'!H2530</f>
        <v>808KT-BL       טייפ קינזיולוגי</v>
      </c>
      <c r="D2140" s="19" t="n">
        <f aca="false">'SALES Raw'!C2530</f>
        <v>5</v>
      </c>
      <c r="E2140" s="19" t="n">
        <f aca="false">'SALES Raw'!D2530</f>
        <v>359.14</v>
      </c>
      <c r="F2140" s="19" t="n">
        <f aca="false">'SALES Raw'!E2530*$H$4</f>
        <v>12.6315789473684</v>
      </c>
      <c r="G2140" s="19" t="n">
        <f aca="false">'SALES Raw'!F2530*$H$4</f>
        <v>702.985263157895</v>
      </c>
      <c r="H2140" s="18" t="str">
        <f aca="false">'SALES Raw'!A2530</f>
        <v>114 - IL online</v>
      </c>
    </row>
    <row r="2141" customFormat="false" ht="15" hidden="false" customHeight="false" outlineLevel="0" collapsed="false">
      <c r="A2141" s="18" t="n">
        <f aca="false">'SALES Raw'!G2567</f>
        <v>4408084</v>
      </c>
      <c r="B2141" s="18" t="str">
        <f aca="false">'SALES Raw'!B2567</f>
        <v>922 L</v>
      </c>
      <c r="C2141" s="18" t="str">
        <f aca="false">'SALES Raw'!H2567</f>
        <v>922L.חבק יד לטניס כרית סיליק</v>
      </c>
      <c r="D2141" s="19" t="n">
        <f aca="false">'SALES Raw'!C2567</f>
        <v>7</v>
      </c>
      <c r="E2141" s="19" t="n">
        <f aca="false">'SALES Raw'!D2567</f>
        <v>1719.83</v>
      </c>
      <c r="F2141" s="19" t="n">
        <f aca="false">'SALES Raw'!E2567*$H$4</f>
        <v>12.6315789473684</v>
      </c>
      <c r="G2141" s="19" t="n">
        <f aca="false">'SALES Raw'!F2567*$H$4</f>
        <v>2195.15368421053</v>
      </c>
      <c r="H2141" s="18" t="str">
        <f aca="false">'SALES Raw'!A2567</f>
        <v>114 - IL online</v>
      </c>
    </row>
    <row r="2142" customFormat="false" ht="15" hidden="false" customHeight="false" outlineLevel="0" collapsed="false">
      <c r="A2142" s="18" t="n">
        <f aca="false">'SALES Raw'!G2700</f>
        <v>4408095</v>
      </c>
      <c r="B2142" s="18" t="str">
        <f aca="false">'SALES Raw'!B2700</f>
        <v>T20-L-XL</v>
      </c>
      <c r="C2142" s="18" t="str">
        <f aca="false">'SALES Raw'!H2700</f>
        <v>T20 L-XL  חבק יד עם צמדן</v>
      </c>
      <c r="D2142" s="19" t="n">
        <f aca="false">'SALES Raw'!C2700</f>
        <v>5</v>
      </c>
      <c r="E2142" s="19" t="n">
        <f aca="false">'SALES Raw'!D2700</f>
        <v>295.88</v>
      </c>
      <c r="F2142" s="19" t="n">
        <f aca="false">'SALES Raw'!E2700*$H$4</f>
        <v>12.6315789473684</v>
      </c>
      <c r="G2142" s="19" t="n">
        <f aca="false">'SALES Raw'!F2700*$H$4</f>
        <v>747.511578947368</v>
      </c>
      <c r="H2142" s="18" t="str">
        <f aca="false">'SALES Raw'!A2700</f>
        <v>114 - IL online</v>
      </c>
    </row>
    <row r="2143" customFormat="false" ht="15" hidden="false" customHeight="false" outlineLevel="0" collapsed="false">
      <c r="A2143" s="18" t="n">
        <f aca="false">'SALES Raw'!G2711</f>
        <v>4415072</v>
      </c>
      <c r="B2143" s="18" t="str">
        <f aca="false">'SALES Raw'!B2711</f>
        <v>T28A-S-M</v>
      </c>
      <c r="C2143" s="18" t="str">
        <f aca="false">'SALES Raw'!H2711</f>
        <v>T28A S-M סד לאגודל</v>
      </c>
      <c r="D2143" s="19" t="n">
        <f aca="false">'SALES Raw'!C2711</f>
        <v>8</v>
      </c>
      <c r="E2143" s="19" t="n">
        <f aca="false">'SALES Raw'!D2711</f>
        <v>943.43</v>
      </c>
      <c r="F2143" s="19" t="n">
        <f aca="false">'SALES Raw'!E2711*$H$4</f>
        <v>12.6315789473684</v>
      </c>
      <c r="G2143" s="19" t="n">
        <f aca="false">'SALES Raw'!F2711*$H$4</f>
        <v>1572.54315789474</v>
      </c>
      <c r="H2143" s="18" t="str">
        <f aca="false">'SALES Raw'!A2711</f>
        <v>114 - IL online</v>
      </c>
    </row>
    <row r="2144" customFormat="false" ht="15" hidden="false" customHeight="false" outlineLevel="0" collapsed="false">
      <c r="A2144" s="18" t="n">
        <f aca="false">'SALES Raw'!G3054</f>
        <v>4411026</v>
      </c>
      <c r="B2144" s="18" t="str">
        <f aca="false">'SALES Raw'!B3054</f>
        <v>213CTSL L</v>
      </c>
      <c r="C2144" s="18" t="str">
        <f aca="false">'SALES Raw'!H3054</f>
        <v>213CTSL L שמאל CTS כפפות</v>
      </c>
      <c r="D2144" s="19" t="n">
        <f aca="false">'SALES Raw'!C3054</f>
        <v>15</v>
      </c>
      <c r="E2144" s="19" t="n">
        <f aca="false">'SALES Raw'!D3054</f>
        <v>575.1</v>
      </c>
      <c r="F2144" s="19" t="n">
        <f aca="false">'SALES Raw'!E3054*$H$4</f>
        <v>12.6315789473684</v>
      </c>
      <c r="G2144" s="19" t="n">
        <f aca="false">'SALES Raw'!F3054*$H$4</f>
        <v>460.105263157895</v>
      </c>
      <c r="H2144" s="18" t="str">
        <f aca="false">'SALES Raw'!A3054</f>
        <v>203 - Ortho- Partner ag SWITZERLAND</v>
      </c>
    </row>
    <row r="2145" customFormat="false" ht="15" hidden="false" customHeight="false" outlineLevel="0" collapsed="false">
      <c r="A2145" s="18" t="n">
        <f aca="false">'SALES Raw'!G3194</f>
        <v>4402007</v>
      </c>
      <c r="B2145" s="18" t="str">
        <f aca="false">'SALES Raw'!B3194</f>
        <v>320 0</v>
      </c>
      <c r="C2145" s="18" t="str">
        <f aca="false">'SALES Raw'!H3194</f>
        <v>320 בליסטר פלסטר</v>
      </c>
      <c r="D2145" s="19" t="n">
        <f aca="false">'SALES Raw'!C3194</f>
        <v>30</v>
      </c>
      <c r="E2145" s="19" t="n">
        <f aca="false">'SALES Raw'!D3194</f>
        <v>181.54</v>
      </c>
      <c r="F2145" s="19" t="n">
        <f aca="false">'SALES Raw'!E3194*$H$4</f>
        <v>12.6315789473684</v>
      </c>
      <c r="G2145" s="19" t="n">
        <f aca="false">'SALES Raw'!F3194*$H$4</f>
        <v>72.48</v>
      </c>
      <c r="H2145" s="18" t="str">
        <f aca="false">'SALES Raw'!A3194</f>
        <v>204 - Sanaflex Anatomic GREECE</v>
      </c>
    </row>
    <row r="2146" customFormat="false" ht="15" hidden="false" customHeight="false" outlineLevel="0" collapsed="false">
      <c r="A2146" s="18" t="str">
        <f aca="false">'SALES Raw'!G3245</f>
        <v/>
      </c>
      <c r="B2146" s="18" t="str">
        <f aca="false">'SALES Raw'!B3245</f>
        <v>390G-39-42</v>
      </c>
      <c r="C2146" s="18" t="str">
        <f aca="false">'SALES Raw'!H3245</f>
        <v>390G-39-42</v>
      </c>
      <c r="D2146" s="19" t="n">
        <f aca="false">'SALES Raw'!C3245</f>
        <v>12</v>
      </c>
      <c r="E2146" s="19" t="n">
        <f aca="false">'SALES Raw'!D3245</f>
        <v>251.12</v>
      </c>
      <c r="F2146" s="19" t="n">
        <f aca="false">'SALES Raw'!E3245*$H$4</f>
        <v>12.6315789473684</v>
      </c>
      <c r="G2146" s="19" t="n">
        <f aca="false">'SALES Raw'!F3245*$H$4</f>
        <v>224.930526315789</v>
      </c>
      <c r="H2146" s="18" t="str">
        <f aca="false">'SALES Raw'!A3245</f>
        <v>204 - Sanaflex Anatomic GREECE</v>
      </c>
    </row>
    <row r="2147" customFormat="false" ht="15" hidden="false" customHeight="false" outlineLevel="0" collapsed="false">
      <c r="A2147" s="18" t="n">
        <f aca="false">'SALES Raw'!G3326</f>
        <v>4420023</v>
      </c>
      <c r="B2147" s="18" t="str">
        <f aca="false">'SALES Raw'!B3326</f>
        <v>LF371 0</v>
      </c>
      <c r="C2147" s="18" t="str">
        <f aca="false">'SALES Raw'!H3326</f>
        <v>LF371 ריפוד סיליקון לנעלי אצבע</v>
      </c>
      <c r="D2147" s="19" t="n">
        <f aca="false">'SALES Raw'!C3326</f>
        <v>6</v>
      </c>
      <c r="E2147" s="19" t="n">
        <f aca="false">'SALES Raw'!D3326</f>
        <v>74.14</v>
      </c>
      <c r="F2147" s="19" t="n">
        <f aca="false">'SALES Raw'!E3326*$H$4</f>
        <v>12.6315789473684</v>
      </c>
      <c r="G2147" s="19" t="n">
        <f aca="false">'SALES Raw'!F3326*$H$4</f>
        <v>135.738947368421</v>
      </c>
      <c r="H2147" s="18" t="str">
        <f aca="false">'SALES Raw'!A3326</f>
        <v>204 - Sanaflex Anatomic GREECE</v>
      </c>
    </row>
    <row r="2148" customFormat="false" ht="15" hidden="false" customHeight="false" outlineLevel="0" collapsed="false">
      <c r="A2148" s="18" t="n">
        <f aca="false">'SALES Raw'!G3492</f>
        <v>4421005</v>
      </c>
      <c r="B2148" s="18" t="str">
        <f aca="false">'SALES Raw'!B3492</f>
        <v>250 0</v>
      </c>
      <c r="C2148" s="18" t="str">
        <f aca="false">'SALES Raw'!H3492</f>
        <v>שרוול לגבס קצר יד</v>
      </c>
      <c r="D2148" s="19" t="n">
        <f aca="false">'SALES Raw'!C3492</f>
        <v>10</v>
      </c>
      <c r="E2148" s="19" t="n">
        <f aca="false">'SALES Raw'!D3492</f>
        <v>210.01</v>
      </c>
      <c r="F2148" s="19" t="n">
        <f aca="false">'SALES Raw'!E3492*$H$4</f>
        <v>12.6315789473684</v>
      </c>
      <c r="G2148" s="19" t="n">
        <f aca="false">'SALES Raw'!F3492*$H$4</f>
        <v>254.273684210526</v>
      </c>
      <c r="H2148" s="18" t="str">
        <f aca="false">'SALES Raw'!A3492</f>
        <v>207 - Salus HUNGARY</v>
      </c>
    </row>
    <row r="2149" customFormat="false" ht="15" hidden="false" customHeight="false" outlineLevel="0" collapsed="false">
      <c r="A2149" s="18" t="n">
        <f aca="false">'SALES Raw'!G3493</f>
        <v>4421006</v>
      </c>
      <c r="B2149" s="18" t="str">
        <f aca="false">'SALES Raw'!B3493</f>
        <v>251 0</v>
      </c>
      <c r="C2149" s="18" t="str">
        <f aca="false">'SALES Raw'!H3493</f>
        <v>שרוול לגבס ארוך יד</v>
      </c>
      <c r="D2149" s="19" t="n">
        <f aca="false">'SALES Raw'!C3493</f>
        <v>10</v>
      </c>
      <c r="E2149" s="19" t="n">
        <f aca="false">'SALES Raw'!D3493</f>
        <v>238.65</v>
      </c>
      <c r="F2149" s="19" t="n">
        <f aca="false">'SALES Raw'!E3493*$H$4</f>
        <v>12.6315789473684</v>
      </c>
      <c r="G2149" s="19" t="n">
        <f aca="false">'SALES Raw'!F3493*$H$4</f>
        <v>288.947368421053</v>
      </c>
      <c r="H2149" s="18" t="str">
        <f aca="false">'SALES Raw'!A3493</f>
        <v>207 - Salus HUNGARY</v>
      </c>
    </row>
    <row r="2150" customFormat="false" ht="15" hidden="false" customHeight="false" outlineLevel="0" collapsed="false">
      <c r="A2150" s="18" t="n">
        <f aca="false">'SALES Raw'!G3525</f>
        <v>4413162</v>
      </c>
      <c r="B2150" s="18" t="str">
        <f aca="false">'SALES Raw'!B3525</f>
        <v>34+ XL</v>
      </c>
      <c r="C2150" s="18" t="str">
        <f aca="false">'SALES Raw'!H3525</f>
        <v>34+XL מגן קרסול עקב סגור+רצוע</v>
      </c>
      <c r="D2150" s="19" t="n">
        <f aca="false">'SALES Raw'!C3525</f>
        <v>5</v>
      </c>
      <c r="E2150" s="19" t="n">
        <f aca="false">'SALES Raw'!D3525</f>
        <v>142</v>
      </c>
      <c r="F2150" s="19" t="n">
        <f aca="false">'SALES Raw'!E3525*$H$4</f>
        <v>12.6315789473684</v>
      </c>
      <c r="G2150" s="19" t="n">
        <f aca="false">'SALES Raw'!F3525*$H$4</f>
        <v>343.844210526316</v>
      </c>
      <c r="H2150" s="18" t="str">
        <f aca="false">'SALES Raw'!A3525</f>
        <v>207 - Salus HUNGARY</v>
      </c>
    </row>
    <row r="2151" customFormat="false" ht="15" hidden="false" customHeight="false" outlineLevel="0" collapsed="false">
      <c r="A2151" s="18" t="str">
        <f aca="false">'SALES Raw'!G3526</f>
        <v/>
      </c>
      <c r="B2151" s="18" t="str">
        <f aca="false">'SALES Raw'!B3526</f>
        <v>34+ XS</v>
      </c>
      <c r="C2151" s="18" t="str">
        <f aca="false">'SALES Raw'!H3526</f>
        <v>34+ XS</v>
      </c>
      <c r="D2151" s="19" t="n">
        <f aca="false">'SALES Raw'!C3526</f>
        <v>5</v>
      </c>
      <c r="E2151" s="19" t="n">
        <f aca="false">'SALES Raw'!D3526</f>
        <v>142</v>
      </c>
      <c r="F2151" s="19" t="n">
        <f aca="false">'SALES Raw'!E3526*$H$4</f>
        <v>12.6315789473684</v>
      </c>
      <c r="G2151" s="19" t="n">
        <f aca="false">'SALES Raw'!F3526*$H$4</f>
        <v>343.844210526316</v>
      </c>
      <c r="H2151" s="18" t="str">
        <f aca="false">'SALES Raw'!A3526</f>
        <v>207 - Salus HUNGARY</v>
      </c>
    </row>
    <row r="2152" customFormat="false" ht="15" hidden="false" customHeight="false" outlineLevel="0" collapsed="false">
      <c r="A2152" s="18" t="n">
        <f aca="false">'SALES Raw'!G3527</f>
        <v>4403040</v>
      </c>
      <c r="B2152" s="18" t="str">
        <f aca="false">'SALES Raw'!B3527</f>
        <v>3444B 0</v>
      </c>
      <c r="C2152" s="18" t="str">
        <f aca="false">'SALES Raw'!H3527</f>
        <v>3444B גרבי ג'ל לריכוך עור העקב</v>
      </c>
      <c r="D2152" s="19" t="n">
        <f aca="false">'SALES Raw'!C3527</f>
        <v>11</v>
      </c>
      <c r="E2152" s="19" t="n">
        <f aca="false">'SALES Raw'!D3527</f>
        <v>171.72</v>
      </c>
      <c r="F2152" s="19" t="n">
        <f aca="false">'SALES Raw'!E3527*$H$4</f>
        <v>12.6315789473684</v>
      </c>
      <c r="G2152" s="19" t="n">
        <f aca="false">'SALES Raw'!F3527*$H$4</f>
        <v>187.275789473684</v>
      </c>
      <c r="H2152" s="18" t="str">
        <f aca="false">'SALES Raw'!A3527</f>
        <v>207 - Salus HUNGARY</v>
      </c>
    </row>
    <row r="2153" customFormat="false" ht="15" hidden="false" customHeight="false" outlineLevel="0" collapsed="false">
      <c r="A2153" s="18" t="n">
        <f aca="false">'SALES Raw'!G3533</f>
        <v>4421007</v>
      </c>
      <c r="B2153" s="18" t="str">
        <f aca="false">'SALES Raw'!B3533</f>
        <v>350 0</v>
      </c>
      <c r="C2153" s="18" t="str">
        <f aca="false">'SALES Raw'!H3533</f>
        <v>שרוול לגבס קצר רגל</v>
      </c>
      <c r="D2153" s="19" t="n">
        <f aca="false">'SALES Raw'!C3533</f>
        <v>10</v>
      </c>
      <c r="E2153" s="19" t="n">
        <f aca="false">'SALES Raw'!D3533</f>
        <v>275.24</v>
      </c>
      <c r="F2153" s="19" t="n">
        <f aca="false">'SALES Raw'!E3533*$H$4</f>
        <v>12.6315789473684</v>
      </c>
      <c r="G2153" s="19" t="n">
        <f aca="false">'SALES Raw'!F3533*$H$4</f>
        <v>333.258947368421</v>
      </c>
      <c r="H2153" s="18" t="str">
        <f aca="false">'SALES Raw'!A3533</f>
        <v>207 - Salus HUNGARY</v>
      </c>
    </row>
    <row r="2154" customFormat="false" ht="15" hidden="false" customHeight="false" outlineLevel="0" collapsed="false">
      <c r="A2154" s="18" t="n">
        <f aca="false">'SALES Raw'!G3534</f>
        <v>4421008</v>
      </c>
      <c r="B2154" s="18" t="str">
        <f aca="false">'SALES Raw'!B3534</f>
        <v>351 0</v>
      </c>
      <c r="C2154" s="18" t="str">
        <f aca="false">'SALES Raw'!H3534</f>
        <v>שרוול לגבס ארוך רגל</v>
      </c>
      <c r="D2154" s="19" t="n">
        <f aca="false">'SALES Raw'!C3534</f>
        <v>10</v>
      </c>
      <c r="E2154" s="19" t="n">
        <f aca="false">'SALES Raw'!D3534</f>
        <v>291.15</v>
      </c>
      <c r="F2154" s="19" t="n">
        <f aca="false">'SALES Raw'!E3534*$H$4</f>
        <v>12.6315789473684</v>
      </c>
      <c r="G2154" s="19" t="n">
        <f aca="false">'SALES Raw'!F3534*$H$4</f>
        <v>352.522105263158</v>
      </c>
      <c r="H2154" s="18" t="str">
        <f aca="false">'SALES Raw'!A3534</f>
        <v>207 - Salus HUNGARY</v>
      </c>
    </row>
    <row r="2155" customFormat="false" ht="15" hidden="false" customHeight="false" outlineLevel="0" collapsed="false">
      <c r="A2155" s="18" t="n">
        <f aca="false">'SALES Raw'!G3560</f>
        <v>4413525</v>
      </c>
      <c r="B2155" s="18" t="str">
        <f aca="false">'SALES Raw'!B3560</f>
        <v>379COM-43-46</v>
      </c>
      <c r="C2155" s="18" t="str">
        <f aca="false">'SALES Raw'!H3560</f>
        <v>43-47 מדרסי אפיק ג'ל נוחות</v>
      </c>
      <c r="D2155" s="19" t="n">
        <f aca="false">'SALES Raw'!C3560</f>
        <v>3</v>
      </c>
      <c r="E2155" s="19" t="n">
        <f aca="false">'SALES Raw'!D3560</f>
        <v>124.79</v>
      </c>
      <c r="F2155" s="19" t="n">
        <f aca="false">'SALES Raw'!E3560*$H$4</f>
        <v>12.6315789473684</v>
      </c>
      <c r="G2155" s="19" t="n">
        <f aca="false">'SALES Raw'!F3560*$H$4</f>
        <v>452.690526315789</v>
      </c>
      <c r="H2155" s="18" t="str">
        <f aca="false">'SALES Raw'!A3560</f>
        <v>207 - Salus HUNGARY</v>
      </c>
    </row>
    <row r="2156" customFormat="false" ht="15" hidden="false" customHeight="false" outlineLevel="0" collapsed="false">
      <c r="A2156" s="18" t="n">
        <f aca="false">'SALES Raw'!G3565</f>
        <v>4413528</v>
      </c>
      <c r="B2156" s="18" t="str">
        <f aca="false">'SALES Raw'!B3565</f>
        <v>379WRK-39-42</v>
      </c>
      <c r="C2156" s="18" t="str">
        <f aca="false">'SALES Raw'!H3565</f>
        <v>39-42 מדרסי אפיק ג'ל עבודה</v>
      </c>
      <c r="D2156" s="19" t="n">
        <f aca="false">'SALES Raw'!C3565</f>
        <v>7</v>
      </c>
      <c r="E2156" s="19" t="n">
        <f aca="false">'SALES Raw'!D3565</f>
        <v>249.6</v>
      </c>
      <c r="F2156" s="19" t="n">
        <f aca="false">'SALES Raw'!E3565*$H$4</f>
        <v>12.6315789473684</v>
      </c>
      <c r="G2156" s="19" t="n">
        <f aca="false">'SALES Raw'!F3565*$H$4</f>
        <v>452.690526315789</v>
      </c>
      <c r="H2156" s="18" t="str">
        <f aca="false">'SALES Raw'!A3565</f>
        <v>207 - Salus HUNGARY</v>
      </c>
    </row>
    <row r="2157" customFormat="false" ht="15" hidden="false" customHeight="false" outlineLevel="0" collapsed="false">
      <c r="A2157" s="18" t="n">
        <f aca="false">'SALES Raw'!G3566</f>
        <v>4413529</v>
      </c>
      <c r="B2157" s="18" t="str">
        <f aca="false">'SALES Raw'!B3566</f>
        <v>379WRK-43-46</v>
      </c>
      <c r="C2157" s="18" t="str">
        <f aca="false">'SALES Raw'!H3566</f>
        <v>43-47 מדרסי אפיק ג'ל עבודה</v>
      </c>
      <c r="D2157" s="19" t="n">
        <f aca="false">'SALES Raw'!C3566</f>
        <v>3</v>
      </c>
      <c r="E2157" s="19" t="n">
        <f aca="false">'SALES Raw'!D3566</f>
        <v>124.79</v>
      </c>
      <c r="F2157" s="19" t="n">
        <f aca="false">'SALES Raw'!E3566*$H$4</f>
        <v>12.6315789473684</v>
      </c>
      <c r="G2157" s="19" t="n">
        <f aca="false">'SALES Raw'!F3566*$H$4</f>
        <v>452.690526315789</v>
      </c>
      <c r="H2157" s="18" t="str">
        <f aca="false">'SALES Raw'!A3566</f>
        <v>207 - Salus HUNGARY</v>
      </c>
    </row>
    <row r="2158" customFormat="false" ht="15" hidden="false" customHeight="false" outlineLevel="0" collapsed="false">
      <c r="A2158" s="18" t="n">
        <f aca="false">'SALES Raw'!G3593</f>
        <v>4413113</v>
      </c>
      <c r="B2158" s="18" t="str">
        <f aca="false">'SALES Raw'!B3593</f>
        <v>49 M</v>
      </c>
      <c r="C2158" s="18" t="str">
        <f aca="false">'SALES Raw'!H3593</f>
        <v>49  M מגן ירך</v>
      </c>
      <c r="D2158" s="19" t="n">
        <f aca="false">'SALES Raw'!C3593</f>
        <v>24</v>
      </c>
      <c r="E2158" s="19" t="n">
        <f aca="false">'SALES Raw'!D3593</f>
        <v>278.03</v>
      </c>
      <c r="F2158" s="19" t="n">
        <f aca="false">'SALES Raw'!E3593*$H$4</f>
        <v>12.6315789473684</v>
      </c>
      <c r="G2158" s="19" t="n">
        <f aca="false">'SALES Raw'!F3593*$H$4</f>
        <v>126.088421052632</v>
      </c>
      <c r="H2158" s="18" t="str">
        <f aca="false">'SALES Raw'!A3593</f>
        <v>207 - Salus HUNGARY</v>
      </c>
    </row>
    <row r="2159" customFormat="false" ht="15" hidden="false" customHeight="false" outlineLevel="0" collapsed="false">
      <c r="A2159" s="18" t="n">
        <f aca="false">'SALES Raw'!G3631</f>
        <v>4413141</v>
      </c>
      <c r="B2159" s="18" t="str">
        <f aca="false">'SALES Raw'!B3631</f>
        <v>95 S</v>
      </c>
      <c r="C2159" s="18" t="str">
        <f aca="false">'SALES Raw'!H3631</f>
        <v>95 S מגן מרפק רגיל לבן</v>
      </c>
      <c r="D2159" s="19" t="n">
        <f aca="false">'SALES Raw'!C3631</f>
        <v>34</v>
      </c>
      <c r="E2159" s="19" t="n">
        <f aca="false">'SALES Raw'!D3631</f>
        <v>372.24</v>
      </c>
      <c r="F2159" s="19" t="n">
        <f aca="false">'SALES Raw'!E3631*$H$4</f>
        <v>12.6315789473684</v>
      </c>
      <c r="G2159" s="19" t="n">
        <f aca="false">'SALES Raw'!F3631*$H$4</f>
        <v>122.804210526316</v>
      </c>
      <c r="H2159" s="18" t="str">
        <f aca="false">'SALES Raw'!A3631</f>
        <v>207 - Salus HUNGARY</v>
      </c>
    </row>
    <row r="2160" customFormat="false" ht="15" hidden="false" customHeight="false" outlineLevel="0" collapsed="false">
      <c r="A2160" s="18" t="str">
        <f aca="false">'SALES Raw'!G3675</f>
        <v/>
      </c>
      <c r="B2160" s="18" t="str">
        <f aca="false">'SALES Raw'!B3675</f>
        <v>T40B 0</v>
      </c>
      <c r="C2160" s="18" t="str">
        <f aca="false">'SALES Raw'!H3675</f>
        <v>T40B 0</v>
      </c>
      <c r="D2160" s="19" t="n">
        <f aca="false">'SALES Raw'!C3675</f>
        <v>0</v>
      </c>
      <c r="E2160" s="19" t="n">
        <f aca="false">'SALES Raw'!D3675</f>
        <v>0</v>
      </c>
      <c r="F2160" s="19" t="n">
        <f aca="false">'SALES Raw'!E3675*$H$4</f>
        <v>12.6315789473684</v>
      </c>
      <c r="G2160" s="19" t="n">
        <f aca="false">'SALES Raw'!F3675*$H$4</f>
        <v>421.869473684211</v>
      </c>
      <c r="H2160" s="18" t="str">
        <f aca="false">'SALES Raw'!A3675</f>
        <v>207 - Salus HUNGARY</v>
      </c>
    </row>
    <row r="2161" customFormat="false" ht="15" hidden="false" customHeight="false" outlineLevel="0" collapsed="false">
      <c r="A2161" s="18" t="n">
        <f aca="false">'SALES Raw'!G3679</f>
        <v>4422007</v>
      </c>
      <c r="B2161" s="18" t="str">
        <f aca="false">'SALES Raw'!B3679</f>
        <v>T78 XL</v>
      </c>
      <c r="C2161" s="18" t="str">
        <f aca="false">'SALES Raw'!H3679</f>
        <v>T78 XLתומך זרוע וכתף</v>
      </c>
      <c r="D2161" s="19" t="n">
        <f aca="false">'SALES Raw'!C3679</f>
        <v>0</v>
      </c>
      <c r="E2161" s="19" t="n">
        <f aca="false">'SALES Raw'!D3679</f>
        <v>0</v>
      </c>
      <c r="F2161" s="19" t="n">
        <f aca="false">'SALES Raw'!E3679*$H$4</f>
        <v>12.6315789473684</v>
      </c>
      <c r="G2161" s="19" t="n">
        <f aca="false">'SALES Raw'!F3679*$H$4</f>
        <v>941.974736842105</v>
      </c>
      <c r="H2161" s="18" t="str">
        <f aca="false">'SALES Raw'!A3679</f>
        <v>207 - Salus HUNGARY</v>
      </c>
    </row>
    <row r="2162" customFormat="false" ht="15" hidden="false" customHeight="false" outlineLevel="0" collapsed="false">
      <c r="A2162" s="18" t="n">
        <f aca="false">'SALES Raw'!G3863</f>
        <v>4408221</v>
      </c>
      <c r="B2162" s="18" t="str">
        <f aca="false">'SALES Raw'!B3863</f>
        <v>078G L</v>
      </c>
      <c r="C2162" s="18" t="str">
        <f aca="false">'SALES Raw'!H3863</f>
        <v>078G-L חגורת גב אפורה</v>
      </c>
      <c r="D2162" s="19" t="n">
        <f aca="false">'SALES Raw'!C3863</f>
        <v>0</v>
      </c>
      <c r="E2162" s="19" t="n">
        <f aca="false">'SALES Raw'!D3863</f>
        <v>0</v>
      </c>
      <c r="F2162" s="19" t="n">
        <f aca="false">'SALES Raw'!E3863*$H$4</f>
        <v>12.6315789473684</v>
      </c>
      <c r="G2162" s="19" t="n">
        <f aca="false">'SALES Raw'!F3863*$H$4</f>
        <v>554.614736842105</v>
      </c>
      <c r="H2162" s="18" t="str">
        <f aca="false">'SALES Raw'!A3863</f>
        <v>210 - Oy. Ea. Ab. FINLAND</v>
      </c>
    </row>
    <row r="2163" customFormat="false" ht="15" hidden="false" customHeight="false" outlineLevel="0" collapsed="false">
      <c r="A2163" s="18" t="n">
        <f aca="false">'SALES Raw'!G3867</f>
        <v>4408223</v>
      </c>
      <c r="B2163" s="18" t="str">
        <f aca="false">'SALES Raw'!B3867</f>
        <v>078G XXL</v>
      </c>
      <c r="C2163" s="18" t="str">
        <f aca="false">'SALES Raw'!H3867</f>
        <v>078G-XXLחגורת גב אפורה</v>
      </c>
      <c r="D2163" s="19" t="n">
        <f aca="false">'SALES Raw'!C3867</f>
        <v>0</v>
      </c>
      <c r="E2163" s="19" t="n">
        <f aca="false">'SALES Raw'!D3867</f>
        <v>0</v>
      </c>
      <c r="F2163" s="19" t="n">
        <f aca="false">'SALES Raw'!E3867*$H$4</f>
        <v>12.6315789473684</v>
      </c>
      <c r="G2163" s="19" t="n">
        <f aca="false">'SALES Raw'!F3867*$H$4</f>
        <v>554.614736842105</v>
      </c>
      <c r="H2163" s="18" t="str">
        <f aca="false">'SALES Raw'!A3867</f>
        <v>210 - Oy. Ea. Ab. FINLAND</v>
      </c>
    </row>
    <row r="2164" customFormat="false" ht="15" hidden="false" customHeight="false" outlineLevel="0" collapsed="false">
      <c r="A2164" s="18" t="n">
        <f aca="false">'SALES Raw'!G3892</f>
        <v>4415160</v>
      </c>
      <c r="B2164" s="18" t="str">
        <f aca="false">'SALES Raw'!B3892</f>
        <v>238 S</v>
      </c>
      <c r="C2164" s="18" t="str">
        <f aca="false">'SALES Raw'!H3892</f>
        <v>238S סד ליישור אצבע</v>
      </c>
      <c r="D2164" s="19" t="n">
        <f aca="false">'SALES Raw'!C3892</f>
        <v>23</v>
      </c>
      <c r="E2164" s="19" t="n">
        <f aca="false">'SALES Raw'!D3892</f>
        <v>212.16</v>
      </c>
      <c r="F2164" s="19" t="n">
        <f aca="false">'SALES Raw'!E3892*$H$4</f>
        <v>12.6315789473684</v>
      </c>
      <c r="G2164" s="19" t="n">
        <f aca="false">'SALES Raw'!F3892*$H$4</f>
        <v>100.837894736842</v>
      </c>
      <c r="H2164" s="18" t="str">
        <f aca="false">'SALES Raw'!A3892</f>
        <v>210 - Oy. Ea. Ab. FINLAND</v>
      </c>
    </row>
    <row r="2165" customFormat="false" ht="15" hidden="false" customHeight="false" outlineLevel="0" collapsed="false">
      <c r="A2165" s="18" t="n">
        <f aca="false">'SALES Raw'!G3896</f>
        <v>4415158</v>
      </c>
      <c r="B2165" s="18" t="str">
        <f aca="false">'SALES Raw'!B3896</f>
        <v>266 0</v>
      </c>
      <c r="C2165" s="18" t="str">
        <f aca="false">'SALES Raw'!H3896</f>
        <v>266 סד ליד דו צדדי</v>
      </c>
      <c r="D2165" s="19" t="n">
        <f aca="false">'SALES Raw'!C3896</f>
        <v>30</v>
      </c>
      <c r="E2165" s="19" t="n">
        <f aca="false">'SALES Raw'!D3896</f>
        <v>751.09</v>
      </c>
      <c r="F2165" s="19" t="n">
        <f aca="false">'SALES Raw'!E3896*$H$4</f>
        <v>12.6315789473684</v>
      </c>
      <c r="G2165" s="19" t="n">
        <f aca="false">'SALES Raw'!F3896*$H$4</f>
        <v>264.707368421053</v>
      </c>
      <c r="H2165" s="18" t="str">
        <f aca="false">'SALES Raw'!A3896</f>
        <v>210 - Oy. Ea. Ab. FINLAND</v>
      </c>
    </row>
    <row r="2166" customFormat="false" ht="15" hidden="false" customHeight="false" outlineLevel="0" collapsed="false">
      <c r="A2166" s="18" t="n">
        <f aca="false">'SALES Raw'!G3897</f>
        <v>4415159</v>
      </c>
      <c r="B2166" s="18" t="str">
        <f aca="false">'SALES Raw'!B3897</f>
        <v>268 0</v>
      </c>
      <c r="C2166" s="18" t="str">
        <f aca="false">'SALES Raw'!H3897</f>
        <v>268 סד לאגודל</v>
      </c>
      <c r="D2166" s="19" t="n">
        <f aca="false">'SALES Raw'!C3897</f>
        <v>10</v>
      </c>
      <c r="E2166" s="19" t="n">
        <f aca="false">'SALES Raw'!D3897</f>
        <v>367.96</v>
      </c>
      <c r="F2166" s="19" t="n">
        <f aca="false">'SALES Raw'!E3897*$H$4</f>
        <v>12.6315789473684</v>
      </c>
      <c r="G2166" s="19" t="n">
        <f aca="false">'SALES Raw'!F3897*$H$4</f>
        <v>409.654736842105</v>
      </c>
      <c r="H2166" s="18" t="str">
        <f aca="false">'SALES Raw'!A3897</f>
        <v>210 - Oy. Ea. Ab. FINLAND</v>
      </c>
    </row>
    <row r="2167" customFormat="false" ht="15" hidden="false" customHeight="false" outlineLevel="0" collapsed="false">
      <c r="A2167" s="18" t="n">
        <f aca="false">'SALES Raw'!G3907</f>
        <v>4413348</v>
      </c>
      <c r="B2167" s="18" t="str">
        <f aca="false">'SALES Raw'!B3907</f>
        <v>302M 0</v>
      </c>
      <c r="C2167" s="18" t="str">
        <f aca="false">'SALES Raw'!H3907</f>
        <v>302 מדרס ג'ל לגבר</v>
      </c>
      <c r="D2167" s="19" t="n">
        <f aca="false">'SALES Raw'!C3907</f>
        <v>0</v>
      </c>
      <c r="E2167" s="19" t="n">
        <f aca="false">'SALES Raw'!D3907</f>
        <v>0</v>
      </c>
      <c r="F2167" s="19" t="n">
        <f aca="false">'SALES Raw'!E3907*$H$4</f>
        <v>12.6315789473684</v>
      </c>
      <c r="G2167" s="19" t="n">
        <f aca="false">'SALES Raw'!F3907*$H$4</f>
        <v>329.823157894737</v>
      </c>
      <c r="H2167" s="18" t="str">
        <f aca="false">'SALES Raw'!A3907</f>
        <v>210 - Oy. Ea. Ab. FINLAND</v>
      </c>
    </row>
    <row r="2168" customFormat="false" ht="15" hidden="false" customHeight="false" outlineLevel="0" collapsed="false">
      <c r="A2168" s="18" t="n">
        <f aca="false">'SALES Raw'!G3908</f>
        <v>4413372</v>
      </c>
      <c r="B2168" s="18" t="str">
        <f aca="false">'SALES Raw'!B3908</f>
        <v>302W 0</v>
      </c>
      <c r="C2168" s="18" t="str">
        <f aca="false">'SALES Raw'!H3908</f>
        <v>302 W מדרס לאישה</v>
      </c>
      <c r="D2168" s="19" t="n">
        <f aca="false">'SALES Raw'!C3908</f>
        <v>10</v>
      </c>
      <c r="E2168" s="19" t="n">
        <f aca="false">'SALES Raw'!D3908</f>
        <v>277.38</v>
      </c>
      <c r="F2168" s="19" t="n">
        <f aca="false">'SALES Raw'!E3908*$H$4</f>
        <v>12.6315789473684</v>
      </c>
      <c r="G2168" s="19" t="n">
        <f aca="false">'SALES Raw'!F3908*$H$4</f>
        <v>308.816842105263</v>
      </c>
      <c r="H2168" s="18" t="str">
        <f aca="false">'SALES Raw'!A3908</f>
        <v>210 - Oy. Ea. Ab. FINLAND</v>
      </c>
    </row>
    <row r="2169" customFormat="false" ht="15" hidden="false" customHeight="false" outlineLevel="0" collapsed="false">
      <c r="A2169" s="18" t="n">
        <f aca="false">'SALES Raw'!G3911</f>
        <v>4416002</v>
      </c>
      <c r="B2169" s="18" t="str">
        <f aca="false">'SALES Raw'!B3911</f>
        <v>307 S</v>
      </c>
      <c r="C2169" s="18" t="str">
        <f aca="false">'SALES Raw'!H3911</f>
        <v>307 S עקבים לדורבן-זוג כריות</v>
      </c>
      <c r="D2169" s="19" t="n">
        <f aca="false">'SALES Raw'!C3911</f>
        <v>20</v>
      </c>
      <c r="E2169" s="19" t="n">
        <f aca="false">'SALES Raw'!D3911</f>
        <v>592.5</v>
      </c>
      <c r="F2169" s="19" t="n">
        <f aca="false">'SALES Raw'!E3911*$H$4</f>
        <v>12.6315789473684</v>
      </c>
      <c r="G2169" s="19" t="n">
        <f aca="false">'SALES Raw'!F3911*$H$4</f>
        <v>329.823157894737</v>
      </c>
      <c r="H2169" s="18" t="str">
        <f aca="false">'SALES Raw'!A3911</f>
        <v>210 - Oy. Ea. Ab. FINLAND</v>
      </c>
    </row>
    <row r="2170" customFormat="false" ht="15" hidden="false" customHeight="false" outlineLevel="0" collapsed="false">
      <c r="A2170" s="18" t="n">
        <f aca="false">'SALES Raw'!G3914</f>
        <v>4413034</v>
      </c>
      <c r="B2170" s="18" t="str">
        <f aca="false">'SALES Raw'!B3914</f>
        <v>312 0</v>
      </c>
      <c r="C2170" s="18" t="str">
        <f aca="false">'SALES Raw'!H3914</f>
        <v>312 9 מ""""ס להתאמהX5 מדבקה גדולה</v>
      </c>
      <c r="D2170" s="19" t="n">
        <f aca="false">'SALES Raw'!C3914</f>
        <v>10</v>
      </c>
      <c r="E2170" s="19" t="n">
        <f aca="false">'SALES Raw'!D3914</f>
        <v>79.25</v>
      </c>
      <c r="F2170" s="19" t="n">
        <f aca="false">'SALES Raw'!E3914*$H$4</f>
        <v>12.6315789473684</v>
      </c>
      <c r="G2170" s="19" t="n">
        <f aca="false">'SALES Raw'!F3914*$H$4</f>
        <v>88.2315789473684</v>
      </c>
      <c r="H2170" s="18" t="str">
        <f aca="false">'SALES Raw'!A3914</f>
        <v>210 - Oy. Ea. Ab. FINLAND</v>
      </c>
    </row>
    <row r="2171" customFormat="false" ht="15" hidden="false" customHeight="false" outlineLevel="0" collapsed="false">
      <c r="A2171" s="18" t="n">
        <f aca="false">'SALES Raw'!G3921</f>
        <v>4413492</v>
      </c>
      <c r="B2171" s="18" t="str">
        <f aca="false">'SALES Raw'!B3921</f>
        <v>35B M</v>
      </c>
      <c r="C2171" s="18" t="str">
        <f aca="false">'SALES Raw'!H3921</f>
        <v>35B M מגן קרסול שחור</v>
      </c>
      <c r="D2171" s="19" t="n">
        <f aca="false">'SALES Raw'!C3921</f>
        <v>20</v>
      </c>
      <c r="E2171" s="19" t="n">
        <f aca="false">'SALES Raw'!D3921</f>
        <v>240.18</v>
      </c>
      <c r="F2171" s="19" t="n">
        <f aca="false">'SALES Raw'!E3921*$H$4</f>
        <v>12.6315789473684</v>
      </c>
      <c r="G2171" s="19" t="n">
        <f aca="false">'SALES Raw'!F3921*$H$4</f>
        <v>130.256842105263</v>
      </c>
      <c r="H2171" s="18" t="str">
        <f aca="false">'SALES Raw'!A3921</f>
        <v>210 - Oy. Ea. Ab. FINLAND</v>
      </c>
    </row>
    <row r="2172" customFormat="false" ht="15" hidden="false" customHeight="false" outlineLevel="0" collapsed="false">
      <c r="A2172" s="18" t="n">
        <f aca="false">'SALES Raw'!G3935</f>
        <v>4413059</v>
      </c>
      <c r="B2172" s="18" t="str">
        <f aca="false">'SALES Raw'!B3935</f>
        <v>364-S-L</v>
      </c>
      <c r="C2172" s="18" t="str">
        <f aca="false">'SALES Raw'!H3935</f>
        <v>364S Lמפר.אצבע סיליק. ליבל.זוג</v>
      </c>
      <c r="D2172" s="19" t="n">
        <f aca="false">'SALES Raw'!C3935</f>
        <v>10</v>
      </c>
      <c r="E2172" s="19" t="n">
        <f aca="false">'SALES Raw'!D3935</f>
        <v>64.16</v>
      </c>
      <c r="F2172" s="19" t="n">
        <f aca="false">'SALES Raw'!E3935*$H$4</f>
        <v>12.6315789473684</v>
      </c>
      <c r="G2172" s="19" t="n">
        <f aca="false">'SALES Raw'!F3935*$H$4</f>
        <v>71.4315789473684</v>
      </c>
      <c r="H2172" s="18" t="str">
        <f aca="false">'SALES Raw'!A3935</f>
        <v>210 - Oy. Ea. Ab. FINLAND</v>
      </c>
    </row>
    <row r="2173" customFormat="false" ht="15" hidden="false" customHeight="false" outlineLevel="0" collapsed="false">
      <c r="A2173" s="18" t="n">
        <f aca="false">'SALES Raw'!G3940</f>
        <v>4421003</v>
      </c>
      <c r="B2173" s="18" t="str">
        <f aca="false">'SALES Raw'!B3940</f>
        <v>3672 0</v>
      </c>
      <c r="C2173" s="18" t="str">
        <f aca="false">'SALES Raw'!H3940</f>
        <v>3672 שרוול מגן לבוניון</v>
      </c>
      <c r="D2173" s="19" t="n">
        <f aca="false">'SALES Raw'!C3940</f>
        <v>10</v>
      </c>
      <c r="E2173" s="19" t="n">
        <f aca="false">'SALES Raw'!D3940</f>
        <v>194.36</v>
      </c>
      <c r="F2173" s="19" t="n">
        <f aca="false">'SALES Raw'!E3940*$H$4</f>
        <v>12.6315789473684</v>
      </c>
      <c r="G2173" s="19" t="n">
        <f aca="false">'SALES Raw'!F3940*$H$4</f>
        <v>216.378947368421</v>
      </c>
      <c r="H2173" s="18" t="str">
        <f aca="false">'SALES Raw'!A3940</f>
        <v>210 - Oy. Ea. Ab. FINLAND</v>
      </c>
    </row>
    <row r="2174" customFormat="false" ht="15" hidden="false" customHeight="false" outlineLevel="0" collapsed="false">
      <c r="A2174" s="18" t="n">
        <f aca="false">'SALES Raw'!G3943</f>
        <v>4401000</v>
      </c>
      <c r="B2174" s="18" t="str">
        <f aca="false">'SALES Raw'!B3943</f>
        <v>369-S-L</v>
      </c>
      <c r="C2174" s="18" t="str">
        <f aca="false">'SALES Raw'!H3943</f>
        <v>369  S-L אצבעון מסיליקון יחידה</v>
      </c>
      <c r="D2174" s="19" t="n">
        <f aca="false">'SALES Raw'!C3943</f>
        <v>10</v>
      </c>
      <c r="E2174" s="19" t="n">
        <f aca="false">'SALES Raw'!D3943</f>
        <v>107.3</v>
      </c>
      <c r="F2174" s="19" t="n">
        <f aca="false">'SALES Raw'!E3943*$H$4</f>
        <v>12.6315789473684</v>
      </c>
      <c r="G2174" s="19" t="n">
        <f aca="false">'SALES Raw'!F3943*$H$4</f>
        <v>113.444210526316</v>
      </c>
      <c r="H2174" s="18" t="str">
        <f aca="false">'SALES Raw'!A3943</f>
        <v>210 - Oy. Ea. Ab. FINLAND</v>
      </c>
    </row>
    <row r="2175" customFormat="false" ht="15" hidden="false" customHeight="false" outlineLevel="0" collapsed="false">
      <c r="A2175" s="18" t="str">
        <f aca="false">'SALES Raw'!G3948</f>
        <v/>
      </c>
      <c r="B2175" s="18" t="str">
        <f aca="false">'SALES Raw'!B3948</f>
        <v>376-38-40</v>
      </c>
      <c r="C2175" s="18" t="str">
        <f aca="false">'SALES Raw'!H3948</f>
        <v>376-38-40</v>
      </c>
      <c r="D2175" s="19" t="n">
        <f aca="false">'SALES Raw'!C3948</f>
        <v>0</v>
      </c>
      <c r="E2175" s="19" t="n">
        <f aca="false">'SALES Raw'!D3948</f>
        <v>0</v>
      </c>
      <c r="F2175" s="19" t="n">
        <f aca="false">'SALES Raw'!E3948*$H$4</f>
        <v>12.6315789473684</v>
      </c>
      <c r="G2175" s="19" t="n">
        <f aca="false">'SALES Raw'!F3948*$H$4</f>
        <v>176.463157894737</v>
      </c>
      <c r="H2175" s="18" t="str">
        <f aca="false">'SALES Raw'!A3948</f>
        <v>210 - Oy. Ea. Ab. FINLAND</v>
      </c>
    </row>
    <row r="2176" customFormat="false" ht="15" hidden="false" customHeight="false" outlineLevel="0" collapsed="false">
      <c r="A2176" s="18" t="n">
        <f aca="false">'SALES Raw'!G3957</f>
        <v>4413495</v>
      </c>
      <c r="B2176" s="18" t="str">
        <f aca="false">'SALES Raw'!B3957</f>
        <v>45B L</v>
      </c>
      <c r="C2176" s="18" t="str">
        <f aca="false">'SALES Raw'!H3957</f>
        <v>45B L מגן ברך שחור</v>
      </c>
      <c r="D2176" s="19" t="n">
        <f aca="false">'SALES Raw'!C3957</f>
        <v>20</v>
      </c>
      <c r="E2176" s="19" t="n">
        <f aca="false">'SALES Raw'!D3957</f>
        <v>250.36</v>
      </c>
      <c r="F2176" s="19" t="n">
        <f aca="false">'SALES Raw'!E3957*$H$4</f>
        <v>12.6315789473684</v>
      </c>
      <c r="G2176" s="19" t="n">
        <f aca="false">'SALES Raw'!F3957*$H$4</f>
        <v>132.353684210526</v>
      </c>
      <c r="H2176" s="18" t="str">
        <f aca="false">'SALES Raw'!A3957</f>
        <v>210 - Oy. Ea. Ab. FINLAND</v>
      </c>
    </row>
    <row r="2177" customFormat="false" ht="15" hidden="false" customHeight="false" outlineLevel="0" collapsed="false">
      <c r="A2177" s="18" t="n">
        <f aca="false">'SALES Raw'!G3960</f>
        <v>4413496</v>
      </c>
      <c r="B2177" s="18" t="str">
        <f aca="false">'SALES Raw'!B3960</f>
        <v>45B XL</v>
      </c>
      <c r="C2177" s="18" t="str">
        <f aca="false">'SALES Raw'!H3960</f>
        <v>45B XL מגן ברך שחור</v>
      </c>
      <c r="D2177" s="19" t="n">
        <f aca="false">'SALES Raw'!C3960</f>
        <v>15</v>
      </c>
      <c r="E2177" s="19" t="n">
        <f aca="false">'SALES Raw'!D3960</f>
        <v>187.77</v>
      </c>
      <c r="F2177" s="19" t="n">
        <f aca="false">'SALES Raw'!E3960*$H$4</f>
        <v>12.6315789473684</v>
      </c>
      <c r="G2177" s="19" t="n">
        <f aca="false">'SALES Raw'!F3960*$H$4</f>
        <v>132.353684210526</v>
      </c>
      <c r="H2177" s="18" t="str">
        <f aca="false">'SALES Raw'!A3960</f>
        <v>210 - Oy. Ea. Ab. FINLAND</v>
      </c>
    </row>
    <row r="2178" customFormat="false" ht="15" hidden="false" customHeight="false" outlineLevel="0" collapsed="false">
      <c r="A2178" s="18" t="n">
        <f aca="false">'SALES Raw'!G3962</f>
        <v>4413098</v>
      </c>
      <c r="B2178" s="18" t="str">
        <f aca="false">'SALES Raw'!B3962</f>
        <v>45C L</v>
      </c>
      <c r="C2178" s="18" t="str">
        <f aca="false">'SALES Raw'!H3962</f>
        <v>45C L מגן ברך חום</v>
      </c>
      <c r="D2178" s="19" t="n">
        <f aca="false">'SALES Raw'!C3962</f>
        <v>30</v>
      </c>
      <c r="E2178" s="19" t="n">
        <f aca="false">'SALES Raw'!D3962</f>
        <v>345.8</v>
      </c>
      <c r="F2178" s="19" t="n">
        <f aca="false">'SALES Raw'!E3962*$H$4</f>
        <v>12.6315789473684</v>
      </c>
      <c r="G2178" s="19" t="n">
        <f aca="false">'SALES Raw'!F3962*$H$4</f>
        <v>123.953684210526</v>
      </c>
      <c r="H2178" s="18" t="str">
        <f aca="false">'SALES Raw'!A3962</f>
        <v>210 - Oy. Ea. Ab. FINLAND</v>
      </c>
    </row>
    <row r="2179" customFormat="false" ht="15" hidden="false" customHeight="false" outlineLevel="0" collapsed="false">
      <c r="A2179" s="18" t="n">
        <f aca="false">'SALES Raw'!G3964</f>
        <v>4413100</v>
      </c>
      <c r="B2179" s="18" t="str">
        <f aca="false">'SALES Raw'!B3964</f>
        <v>45C XL</v>
      </c>
      <c r="C2179" s="18" t="str">
        <f aca="false">'SALES Raw'!H3964</f>
        <v>45C XL מגן ברך חום</v>
      </c>
      <c r="D2179" s="19" t="n">
        <f aca="false">'SALES Raw'!C3964</f>
        <v>20</v>
      </c>
      <c r="E2179" s="19" t="n">
        <f aca="false">'SALES Raw'!D3964</f>
        <v>234.47</v>
      </c>
      <c r="F2179" s="19" t="n">
        <f aca="false">'SALES Raw'!E3964*$H$4</f>
        <v>12.6315789473684</v>
      </c>
      <c r="G2179" s="19" t="n">
        <f aca="false">'SALES Raw'!F3964*$H$4</f>
        <v>123.953684210526</v>
      </c>
      <c r="H2179" s="18" t="str">
        <f aca="false">'SALES Raw'!A3964</f>
        <v>210 - Oy. Ea. Ab. FINLAND</v>
      </c>
    </row>
    <row r="2180" customFormat="false" ht="15" hidden="false" customHeight="false" outlineLevel="0" collapsed="false">
      <c r="A2180" s="18" t="str">
        <f aca="false">'SALES Raw'!G3965</f>
        <v/>
      </c>
      <c r="B2180" s="18" t="str">
        <f aca="false">'SALES Raw'!B3965</f>
        <v>45C XXL</v>
      </c>
      <c r="C2180" s="18" t="str">
        <f aca="false">'SALES Raw'!H3965</f>
        <v>45C XXL</v>
      </c>
      <c r="D2180" s="19" t="n">
        <f aca="false">'SALES Raw'!C3965</f>
        <v>9</v>
      </c>
      <c r="E2180" s="19" t="n">
        <f aca="false">'SALES Raw'!D3965</f>
        <v>102.56</v>
      </c>
      <c r="F2180" s="19" t="n">
        <f aca="false">'SALES Raw'!E3965*$H$4</f>
        <v>12.6315789473684</v>
      </c>
      <c r="G2180" s="19" t="n">
        <f aca="false">'SALES Raw'!F3965*$H$4</f>
        <v>123.953684210526</v>
      </c>
      <c r="H2180" s="18" t="str">
        <f aca="false">'SALES Raw'!A3965</f>
        <v>210 - Oy. Ea. Ab. FINLAND</v>
      </c>
    </row>
    <row r="2181" customFormat="false" ht="15" hidden="false" customHeight="false" outlineLevel="0" collapsed="false">
      <c r="A2181" s="18" t="str">
        <f aca="false">'SALES Raw'!G3977</f>
        <v/>
      </c>
      <c r="B2181" s="18" t="str">
        <f aca="false">'SALES Raw'!B3977</f>
        <v>60B L</v>
      </c>
      <c r="C2181" s="18" t="str">
        <f aca="false">'SALES Raw'!H3977</f>
        <v>60B L</v>
      </c>
      <c r="D2181" s="19" t="n">
        <f aca="false">'SALES Raw'!C3977</f>
        <v>0</v>
      </c>
      <c r="E2181" s="19" t="n">
        <f aca="false">'SALES Raw'!D3977</f>
        <v>0</v>
      </c>
      <c r="F2181" s="19" t="n">
        <f aca="false">'SALES Raw'!E3977*$H$4</f>
        <v>12.6315789473684</v>
      </c>
      <c r="G2181" s="19" t="n">
        <f aca="false">'SALES Raw'!F3977*$H$4</f>
        <v>315.12</v>
      </c>
      <c r="H2181" s="18" t="str">
        <f aca="false">'SALES Raw'!A3977</f>
        <v>210 - Oy. Ea. Ab. FINLAND</v>
      </c>
    </row>
    <row r="2182" customFormat="false" ht="15" hidden="false" customHeight="false" outlineLevel="0" collapsed="false">
      <c r="A2182" s="18" t="str">
        <f aca="false">'SALES Raw'!G3979</f>
        <v/>
      </c>
      <c r="B2182" s="18" t="str">
        <f aca="false">'SALES Raw'!B3979</f>
        <v>60B S</v>
      </c>
      <c r="C2182" s="18" t="str">
        <f aca="false">'SALES Raw'!H3979</f>
        <v>60B S</v>
      </c>
      <c r="D2182" s="19" t="n">
        <f aca="false">'SALES Raw'!C3979</f>
        <v>18</v>
      </c>
      <c r="E2182" s="19" t="n">
        <f aca="false">'SALES Raw'!D3979</f>
        <v>521.48</v>
      </c>
      <c r="F2182" s="19" t="n">
        <f aca="false">'SALES Raw'!E3979*$H$4</f>
        <v>12.6315789473684</v>
      </c>
      <c r="G2182" s="19" t="n">
        <f aca="false">'SALES Raw'!F3979*$H$4</f>
        <v>315.12</v>
      </c>
      <c r="H2182" s="18" t="str">
        <f aca="false">'SALES Raw'!A3979</f>
        <v>210 - Oy. Ea. Ab. FINLAND</v>
      </c>
    </row>
    <row r="2183" customFormat="false" ht="15" hidden="false" customHeight="false" outlineLevel="0" collapsed="false">
      <c r="A2183" s="18" t="str">
        <f aca="false">'SALES Raw'!G4014</f>
        <v/>
      </c>
      <c r="B2183" s="18" t="str">
        <f aca="false">'SALES Raw'!B4014</f>
        <v>N433D XL</v>
      </c>
      <c r="C2183" s="18" t="str">
        <f aca="false">'SALES Raw'!H4014</f>
        <v>N433D XL</v>
      </c>
      <c r="D2183" s="19" t="n">
        <f aca="false">'SALES Raw'!C4014</f>
        <v>0</v>
      </c>
      <c r="E2183" s="19" t="n">
        <f aca="false">'SALES Raw'!D4014</f>
        <v>0</v>
      </c>
      <c r="F2183" s="19" t="n">
        <f aca="false">'SALES Raw'!E4014*$H$4</f>
        <v>12.6315789473684</v>
      </c>
      <c r="G2183" s="19" t="n">
        <f aca="false">'SALES Raw'!F4014*$H$4</f>
        <v>1512.59368421053</v>
      </c>
      <c r="H2183" s="18" t="str">
        <f aca="false">'SALES Raw'!A4014</f>
        <v>210 - Oy. Ea. Ab. FINLAND</v>
      </c>
    </row>
    <row r="2184" customFormat="false" ht="15" hidden="false" customHeight="false" outlineLevel="0" collapsed="false">
      <c r="A2184" s="18" t="n">
        <f aca="false">'SALES Raw'!G4018</f>
        <v>4422040</v>
      </c>
      <c r="B2184" s="18" t="str">
        <f aca="false">'SALES Raw'!B4018</f>
        <v>SH422 4</v>
      </c>
      <c r="C2184" s="18" t="str">
        <f aca="false">'SALES Raw'!H4018</f>
        <v>SH422 4 תומך ברך גנושילד</v>
      </c>
      <c r="D2184" s="19" t="n">
        <f aca="false">'SALES Raw'!C4018</f>
        <v>0</v>
      </c>
      <c r="E2184" s="19" t="n">
        <f aca="false">'SALES Raw'!D4018</f>
        <v>0</v>
      </c>
      <c r="F2184" s="19" t="n">
        <f aca="false">'SALES Raw'!E4018*$H$4</f>
        <v>12.6315789473684</v>
      </c>
      <c r="G2184" s="19" t="n">
        <f aca="false">'SALES Raw'!F4018*$H$4</f>
        <v>1126.04210526316</v>
      </c>
      <c r="H2184" s="18" t="str">
        <f aca="false">'SALES Raw'!A4018</f>
        <v>210 - Oy. Ea. Ab. FINLAND</v>
      </c>
    </row>
    <row r="2185" customFormat="false" ht="15" hidden="false" customHeight="false" outlineLevel="0" collapsed="false">
      <c r="A2185" s="18" t="str">
        <f aca="false">'SALES Raw'!G4032</f>
        <v/>
      </c>
      <c r="B2185" s="18" t="str">
        <f aca="false">'SALES Raw'!B4032</f>
        <v>ST95 0</v>
      </c>
      <c r="C2185" s="18" t="str">
        <f aca="false">'SALES Raw'!H4032</f>
        <v>ST95 0</v>
      </c>
      <c r="D2185" s="19" t="n">
        <f aca="false">'SALES Raw'!C4032</f>
        <v>30</v>
      </c>
      <c r="E2185" s="19" t="n">
        <f aca="false">'SALES Raw'!D4032</f>
        <v>621.26</v>
      </c>
      <c r="F2185" s="19" t="n">
        <f aca="false">'SALES Raw'!E4032*$H$4</f>
        <v>12.6315789473684</v>
      </c>
      <c r="G2185" s="19" t="n">
        <f aca="false">'SALES Raw'!F4032*$H$4</f>
        <v>222.682105263158</v>
      </c>
      <c r="H2185" s="18" t="str">
        <f aca="false">'SALES Raw'!A4032</f>
        <v>210 - Oy. Ea. Ab. FINLAND</v>
      </c>
    </row>
    <row r="2186" customFormat="false" ht="15" hidden="false" customHeight="false" outlineLevel="0" collapsed="false">
      <c r="A2186" s="18" t="n">
        <f aca="false">'SALES Raw'!G4098</f>
        <v>4408205</v>
      </c>
      <c r="B2186" s="18" t="str">
        <f aca="false">'SALES Raw'!B4098</f>
        <v>AC07 0</v>
      </c>
      <c r="C2186" s="18" t="str">
        <f aca="false">'SALES Raw'!H4098</f>
        <v>AC-07 חגורת גב עם תמיכות</v>
      </c>
      <c r="D2186" s="19" t="n">
        <f aca="false">'SALES Raw'!C4098</f>
        <v>0</v>
      </c>
      <c r="E2186" s="19" t="n">
        <f aca="false">'SALES Raw'!D4098</f>
        <v>0</v>
      </c>
      <c r="F2186" s="19" t="n">
        <f aca="false">'SALES Raw'!E4098*$H$4</f>
        <v>12.6315789473684</v>
      </c>
      <c r="G2186" s="19" t="n">
        <f aca="false">'SALES Raw'!F4098*$H$4</f>
        <v>485.81052631579</v>
      </c>
      <c r="H2186" s="18" t="str">
        <f aca="false">'SALES Raw'!A4098</f>
        <v>213 - E.f.m.o. SPAIN</v>
      </c>
    </row>
    <row r="2187" customFormat="false" ht="15" hidden="false" customHeight="false" outlineLevel="0" collapsed="false">
      <c r="A2187" s="18" t="n">
        <f aca="false">'SALES Raw'!G4176</f>
        <v>4411026</v>
      </c>
      <c r="B2187" s="18" t="str">
        <f aca="false">'SALES Raw'!B4176</f>
        <v>213CTSL L</v>
      </c>
      <c r="C2187" s="18" t="str">
        <f aca="false">'SALES Raw'!H4176</f>
        <v>213CTSL L שמאל CTS כפפות</v>
      </c>
      <c r="D2187" s="19" t="n">
        <f aca="false">'SALES Raw'!C4176</f>
        <v>0</v>
      </c>
      <c r="E2187" s="19" t="n">
        <f aca="false">'SALES Raw'!D4176</f>
        <v>0</v>
      </c>
      <c r="F2187" s="19" t="n">
        <f aca="false">'SALES Raw'!E4176*$H$4</f>
        <v>12.6315789473684</v>
      </c>
      <c r="G2187" s="19" t="n">
        <f aca="false">'SALES Raw'!F4176*$H$4</f>
        <v>545.33052631579</v>
      </c>
      <c r="H2187" s="18" t="str">
        <f aca="false">'SALES Raw'!A4176</f>
        <v>216 - Max Konnaris CYPRUS</v>
      </c>
    </row>
    <row r="2188" customFormat="false" ht="15" hidden="false" customHeight="false" outlineLevel="0" collapsed="false">
      <c r="A2188" s="18" t="n">
        <f aca="false">'SALES Raw'!G4179</f>
        <v>4411029</v>
      </c>
      <c r="B2188" s="18" t="str">
        <f aca="false">'SALES Raw'!B4179</f>
        <v>213CTSR L</v>
      </c>
      <c r="C2188" s="18" t="str">
        <f aca="false">'SALES Raw'!H4179</f>
        <v>213CTSR L ימין CTS כפפות</v>
      </c>
      <c r="D2188" s="19" t="n">
        <f aca="false">'SALES Raw'!C4179</f>
        <v>0</v>
      </c>
      <c r="E2188" s="19" t="n">
        <f aca="false">'SALES Raw'!D4179</f>
        <v>0</v>
      </c>
      <c r="F2188" s="19" t="n">
        <f aca="false">'SALES Raw'!E4179*$H$4</f>
        <v>12.6315789473684</v>
      </c>
      <c r="G2188" s="19" t="n">
        <f aca="false">'SALES Raw'!F4179*$H$4</f>
        <v>545.33052631579</v>
      </c>
      <c r="H2188" s="18" t="str">
        <f aca="false">'SALES Raw'!A4179</f>
        <v>216 - Max Konnaris CYPRUS</v>
      </c>
    </row>
    <row r="2189" customFormat="false" ht="15" hidden="false" customHeight="false" outlineLevel="0" collapsed="false">
      <c r="A2189" s="18" t="n">
        <f aca="false">'SALES Raw'!G4182</f>
        <v>4415029</v>
      </c>
      <c r="B2189" s="18" t="str">
        <f aca="false">'SALES Raw'!B4182</f>
        <v>237 0</v>
      </c>
      <c r="C2189" s="18" t="str">
        <f aca="false">'SALES Raw'!H4182</f>
        <v>סד קיבוע לאצבע הדק</v>
      </c>
      <c r="D2189" s="19" t="n">
        <f aca="false">'SALES Raw'!C4182</f>
        <v>0</v>
      </c>
      <c r="E2189" s="19" t="n">
        <f aca="false">'SALES Raw'!D4182</f>
        <v>0</v>
      </c>
      <c r="F2189" s="19" t="n">
        <f aca="false">'SALES Raw'!E4182*$H$4</f>
        <v>12.6315789473684</v>
      </c>
      <c r="G2189" s="19" t="n">
        <f aca="false">'SALES Raw'!F4182*$H$4</f>
        <v>168.606315789474</v>
      </c>
      <c r="H2189" s="18" t="str">
        <f aca="false">'SALES Raw'!A4182</f>
        <v>216 - Max Konnaris CYPRUS</v>
      </c>
    </row>
    <row r="2190" customFormat="false" ht="15" hidden="false" customHeight="false" outlineLevel="0" collapsed="false">
      <c r="A2190" s="18" t="n">
        <f aca="false">'SALES Raw'!G4183</f>
        <v>4415162</v>
      </c>
      <c r="B2190" s="18" t="str">
        <f aca="false">'SALES Raw'!B4183</f>
        <v>238 L</v>
      </c>
      <c r="C2190" s="18" t="str">
        <f aca="false">'SALES Raw'!H4183</f>
        <v>238L סד ליישור אצבע</v>
      </c>
      <c r="D2190" s="19" t="n">
        <f aca="false">'SALES Raw'!C4183</f>
        <v>0</v>
      </c>
      <c r="E2190" s="19" t="n">
        <f aca="false">'SALES Raw'!D4183</f>
        <v>0</v>
      </c>
      <c r="F2190" s="19" t="n">
        <f aca="false">'SALES Raw'!E4183*$H$4</f>
        <v>12.6315789473684</v>
      </c>
      <c r="G2190" s="19" t="n">
        <f aca="false">'SALES Raw'!F4183*$H$4</f>
        <v>103.755789473684</v>
      </c>
      <c r="H2190" s="18" t="str">
        <f aca="false">'SALES Raw'!A4183</f>
        <v>216 - Max Konnaris CYPRUS</v>
      </c>
    </row>
    <row r="2191" customFormat="false" ht="15" hidden="false" customHeight="false" outlineLevel="0" collapsed="false">
      <c r="A2191" s="18" t="n">
        <f aca="false">'SALES Raw'!G4190</f>
        <v>4415159</v>
      </c>
      <c r="B2191" s="18" t="str">
        <f aca="false">'SALES Raw'!B4190</f>
        <v>268 0</v>
      </c>
      <c r="C2191" s="18" t="str">
        <f aca="false">'SALES Raw'!H4190</f>
        <v>268 סד לאגודל</v>
      </c>
      <c r="D2191" s="19" t="n">
        <f aca="false">'SALES Raw'!C4190</f>
        <v>10</v>
      </c>
      <c r="E2191" s="19" t="n">
        <f aca="false">'SALES Raw'!D4190</f>
        <v>379.78</v>
      </c>
      <c r="F2191" s="19" t="n">
        <f aca="false">'SALES Raw'!E4190*$H$4</f>
        <v>12.6315789473684</v>
      </c>
      <c r="G2191" s="19" t="n">
        <f aca="false">'SALES Raw'!F4190*$H$4</f>
        <v>452.501052631579</v>
      </c>
      <c r="H2191" s="18" t="str">
        <f aca="false">'SALES Raw'!A4190</f>
        <v>216 - Max Konnaris CYPRUS</v>
      </c>
    </row>
    <row r="2192" customFormat="false" ht="15" hidden="false" customHeight="false" outlineLevel="0" collapsed="false">
      <c r="A2192" s="18" t="str">
        <f aca="false">'SALES Raw'!G4201</f>
        <v/>
      </c>
      <c r="B2192" s="18" t="str">
        <f aca="false">'SALES Raw'!B4201</f>
        <v>305-39-40</v>
      </c>
      <c r="C2192" s="18" t="str">
        <f aca="false">'SALES Raw'!H4201</f>
        <v>305-39-40</v>
      </c>
      <c r="D2192" s="19" t="n">
        <f aca="false">'SALES Raw'!C4201</f>
        <v>25</v>
      </c>
      <c r="E2192" s="19" t="n">
        <f aca="false">'SALES Raw'!D4201</f>
        <v>961.17</v>
      </c>
      <c r="F2192" s="19" t="n">
        <f aca="false">'SALES Raw'!E4201*$H$4</f>
        <v>12.6315789473684</v>
      </c>
      <c r="G2192" s="19" t="n">
        <f aca="false">'SALES Raw'!F4201*$H$4</f>
        <v>459.473684210526</v>
      </c>
      <c r="H2192" s="18" t="str">
        <f aca="false">'SALES Raw'!A4201</f>
        <v>216 - Max Konnaris CYPRUS</v>
      </c>
    </row>
    <row r="2193" customFormat="false" ht="15" hidden="false" customHeight="false" outlineLevel="0" collapsed="false">
      <c r="A2193" s="18" t="str">
        <f aca="false">'SALES Raw'!G4204</f>
        <v/>
      </c>
      <c r="B2193" s="18" t="str">
        <f aca="false">'SALES Raw'!B4204</f>
        <v>305-45-46</v>
      </c>
      <c r="C2193" s="18" t="str">
        <f aca="false">'SALES Raw'!H4204</f>
        <v>305-45-46</v>
      </c>
      <c r="D2193" s="19" t="n">
        <f aca="false">'SALES Raw'!C4204</f>
        <v>13</v>
      </c>
      <c r="E2193" s="19" t="n">
        <f aca="false">'SALES Raw'!D4204</f>
        <v>500.33</v>
      </c>
      <c r="F2193" s="19" t="n">
        <f aca="false">'SALES Raw'!E4204*$H$4</f>
        <v>12.6315789473684</v>
      </c>
      <c r="G2193" s="19" t="n">
        <f aca="false">'SALES Raw'!F4204*$H$4</f>
        <v>459.473684210526</v>
      </c>
      <c r="H2193" s="18" t="str">
        <f aca="false">'SALES Raw'!A4204</f>
        <v>216 - Max Konnaris CYPRUS</v>
      </c>
    </row>
    <row r="2194" customFormat="false" ht="15" hidden="false" customHeight="false" outlineLevel="0" collapsed="false">
      <c r="A2194" s="18" t="n">
        <f aca="false">'SALES Raw'!G4207</f>
        <v>4413033</v>
      </c>
      <c r="B2194" s="18" t="str">
        <f aca="false">'SALES Raw'!B4207</f>
        <v>311 0</v>
      </c>
      <c r="C2194" s="18" t="str">
        <f aca="false">'SALES Raw'!H4207</f>
        <v>311'מדב.ג'ל למניעת שפשוף 5 יח</v>
      </c>
      <c r="D2194" s="19" t="n">
        <f aca="false">'SALES Raw'!C4207</f>
        <v>10</v>
      </c>
      <c r="E2194" s="19" t="n">
        <f aca="false">'SALES Raw'!D4207</f>
        <v>108.28</v>
      </c>
      <c r="F2194" s="19" t="n">
        <f aca="false">'SALES Raw'!E4207*$H$4</f>
        <v>12.6315789473684</v>
      </c>
      <c r="G2194" s="19" t="n">
        <f aca="false">'SALES Raw'!F4207*$H$4</f>
        <v>132.265263157895</v>
      </c>
      <c r="H2194" s="18" t="str">
        <f aca="false">'SALES Raw'!A4207</f>
        <v>216 - Max Konnaris CYPRUS</v>
      </c>
    </row>
    <row r="2195" customFormat="false" ht="15" hidden="false" customHeight="false" outlineLevel="0" collapsed="false">
      <c r="A2195" s="18" t="n">
        <f aca="false">'SALES Raw'!G4208</f>
        <v>4415297</v>
      </c>
      <c r="B2195" s="18" t="str">
        <f aca="false">'SALES Raw'!B4208</f>
        <v>313 0</v>
      </c>
      <c r="C2195" s="18" t="str">
        <f aca="false">'SALES Raw'!H4208</f>
        <v>313 סט פלסטרים נגד שפשופים</v>
      </c>
      <c r="D2195" s="19" t="n">
        <f aca="false">'SALES Raw'!C4208</f>
        <v>10</v>
      </c>
      <c r="E2195" s="19" t="n">
        <f aca="false">'SALES Raw'!D4208</f>
        <v>138.28</v>
      </c>
      <c r="F2195" s="19" t="n">
        <f aca="false">'SALES Raw'!E4208*$H$4</f>
        <v>12.6315789473684</v>
      </c>
      <c r="G2195" s="19" t="n">
        <f aca="false">'SALES Raw'!F4208*$H$4</f>
        <v>164.753684210526</v>
      </c>
      <c r="H2195" s="18" t="str">
        <f aca="false">'SALES Raw'!A4208</f>
        <v>216 - Max Konnaris CYPRUS</v>
      </c>
    </row>
    <row r="2196" customFormat="false" ht="15" hidden="false" customHeight="false" outlineLevel="0" collapsed="false">
      <c r="A2196" s="18" t="n">
        <f aca="false">'SALES Raw'!G4209</f>
        <v>4402007</v>
      </c>
      <c r="B2196" s="18" t="str">
        <f aca="false">'SALES Raw'!B4209</f>
        <v>320 0</v>
      </c>
      <c r="C2196" s="18" t="str">
        <f aca="false">'SALES Raw'!H4209</f>
        <v>320 בליסטר פלסטר</v>
      </c>
      <c r="D2196" s="19" t="n">
        <f aca="false">'SALES Raw'!C4209</f>
        <v>0</v>
      </c>
      <c r="E2196" s="19" t="n">
        <f aca="false">'SALES Raw'!D4209</f>
        <v>0</v>
      </c>
      <c r="F2196" s="19" t="n">
        <f aca="false">'SALES Raw'!E4209*$H$4</f>
        <v>12.6315789473684</v>
      </c>
      <c r="G2196" s="19" t="n">
        <f aca="false">'SALES Raw'!F4209*$H$4</f>
        <v>88.181052631579</v>
      </c>
      <c r="H2196" s="18" t="str">
        <f aca="false">'SALES Raw'!A4209</f>
        <v>216 - Max Konnaris CYPRUS</v>
      </c>
    </row>
    <row r="2197" customFormat="false" ht="15" hidden="false" customHeight="false" outlineLevel="0" collapsed="false">
      <c r="A2197" s="18" t="n">
        <f aca="false">'SALES Raw'!G4210</f>
        <v>4413043</v>
      </c>
      <c r="B2197" s="18" t="str">
        <f aca="false">'SALES Raw'!B4210</f>
        <v>34 L</v>
      </c>
      <c r="C2197" s="18" t="str">
        <f aca="false">'SALES Raw'!H4210</f>
        <v>34  L מגן קרסול עקב סגור</v>
      </c>
      <c r="D2197" s="19" t="n">
        <f aca="false">'SALES Raw'!C4210</f>
        <v>13</v>
      </c>
      <c r="E2197" s="19" t="n">
        <f aca="false">'SALES Raw'!D4210</f>
        <v>308.99</v>
      </c>
      <c r="F2197" s="19" t="n">
        <f aca="false">'SALES Raw'!E4210*$H$4</f>
        <v>12.6315789473684</v>
      </c>
      <c r="G2197" s="19" t="n">
        <f aca="false">'SALES Raw'!F4210*$H$4</f>
        <v>278.463157894737</v>
      </c>
      <c r="H2197" s="18" t="str">
        <f aca="false">'SALES Raw'!A4210</f>
        <v>216 - Max Konnaris CYPRUS</v>
      </c>
    </row>
    <row r="2198" customFormat="false" ht="15" hidden="false" customHeight="false" outlineLevel="0" collapsed="false">
      <c r="A2198" s="18" t="n">
        <f aca="false">'SALES Raw'!G4223</f>
        <v>4413490</v>
      </c>
      <c r="B2198" s="18" t="str">
        <f aca="false">'SALES Raw'!B4223</f>
        <v>35B L</v>
      </c>
      <c r="C2198" s="18" t="str">
        <f aca="false">'SALES Raw'!H4223</f>
        <v>35B L מגן קרסול שחור</v>
      </c>
      <c r="D2198" s="19" t="n">
        <f aca="false">'SALES Raw'!C4223</f>
        <v>0</v>
      </c>
      <c r="E2198" s="19" t="n">
        <f aca="false">'SALES Raw'!D4223</f>
        <v>0</v>
      </c>
      <c r="F2198" s="19" t="n">
        <f aca="false">'SALES Raw'!E4223*$H$4</f>
        <v>12.6315789473684</v>
      </c>
      <c r="G2198" s="19" t="n">
        <f aca="false">'SALES Raw'!F4223*$H$4</f>
        <v>143.873684210526</v>
      </c>
      <c r="H2198" s="18" t="str">
        <f aca="false">'SALES Raw'!A4223</f>
        <v>216 - Max Konnaris CYPRUS</v>
      </c>
    </row>
    <row r="2199" customFormat="false" ht="15" hidden="false" customHeight="false" outlineLevel="0" collapsed="false">
      <c r="A2199" s="18" t="n">
        <f aca="false">'SALES Raw'!G4228</f>
        <v>4413053</v>
      </c>
      <c r="B2199" s="18" t="str">
        <f aca="false">'SALES Raw'!B4228</f>
        <v>35C L</v>
      </c>
      <c r="C2199" s="18" t="str">
        <f aca="false">'SALES Raw'!H4228</f>
        <v>35C L מגן קרסול חום</v>
      </c>
      <c r="D2199" s="19" t="n">
        <f aca="false">'SALES Raw'!C4228</f>
        <v>0</v>
      </c>
      <c r="E2199" s="19" t="n">
        <f aca="false">'SALES Raw'!D4228</f>
        <v>0</v>
      </c>
      <c r="F2199" s="19" t="n">
        <f aca="false">'SALES Raw'!E4228*$H$4</f>
        <v>12.6315789473684</v>
      </c>
      <c r="G2199" s="19" t="n">
        <f aca="false">'SALES Raw'!F4228*$H$4</f>
        <v>136.913684210526</v>
      </c>
      <c r="H2199" s="18" t="str">
        <f aca="false">'SALES Raw'!A4228</f>
        <v>216 - Max Konnaris CYPRUS</v>
      </c>
    </row>
    <row r="2200" customFormat="false" ht="15" hidden="false" customHeight="false" outlineLevel="0" collapsed="false">
      <c r="A2200" s="18" t="n">
        <f aca="false">'SALES Raw'!G4233</f>
        <v>4411000</v>
      </c>
      <c r="B2200" s="18" t="str">
        <f aca="false">'SALES Raw'!B4233</f>
        <v>362-L-R</v>
      </c>
      <c r="C2200" s="18" t="str">
        <f aca="false">'SALES Raw'!H4233</f>
        <v>כרית מטטרזלי סיליקון362</v>
      </c>
      <c r="D2200" s="19" t="n">
        <f aca="false">'SALES Raw'!C4233</f>
        <v>21</v>
      </c>
      <c r="E2200" s="19" t="n">
        <f aca="false">'SALES Raw'!D4233</f>
        <v>344.41</v>
      </c>
      <c r="F2200" s="19" t="n">
        <f aca="false">'SALES Raw'!E4233*$H$4</f>
        <v>12.6315789473684</v>
      </c>
      <c r="G2200" s="19" t="n">
        <f aca="false">'SALES Raw'!F4233*$H$4</f>
        <v>172.926315789474</v>
      </c>
      <c r="H2200" s="18" t="str">
        <f aca="false">'SALES Raw'!A4233</f>
        <v>216 - Max Konnaris CYPRUS</v>
      </c>
    </row>
    <row r="2201" customFormat="false" ht="15" hidden="false" customHeight="false" outlineLevel="0" collapsed="false">
      <c r="A2201" s="18" t="n">
        <f aca="false">'SALES Raw'!G4236</f>
        <v>4409000</v>
      </c>
      <c r="B2201" s="18" t="str">
        <f aca="false">'SALES Raw'!B4236</f>
        <v>365-S-L</v>
      </c>
      <c r="C2201" s="18" t="str">
        <f aca="false">'SALES Raw'!H4236</f>
        <v>365 S-Lטבעת אלסטית מסיליקון</v>
      </c>
      <c r="D2201" s="19" t="n">
        <f aca="false">'SALES Raw'!C4236</f>
        <v>10</v>
      </c>
      <c r="E2201" s="19" t="n">
        <f aca="false">'SALES Raw'!D4236</f>
        <v>68.39</v>
      </c>
      <c r="F2201" s="19" t="n">
        <f aca="false">'SALES Raw'!E4236*$H$4</f>
        <v>12.6315789473684</v>
      </c>
      <c r="G2201" s="19" t="n">
        <f aca="false">'SALES Raw'!F4236*$H$4</f>
        <v>77.8231578947368</v>
      </c>
      <c r="H2201" s="18" t="str">
        <f aca="false">'SALES Raw'!A4236</f>
        <v>216 - Max Konnaris CYPRUS</v>
      </c>
    </row>
    <row r="2202" customFormat="false" ht="15" hidden="false" customHeight="false" outlineLevel="0" collapsed="false">
      <c r="A2202" s="18" t="n">
        <f aca="false">'SALES Raw'!G4238</f>
        <v>4413370</v>
      </c>
      <c r="B2202" s="18" t="str">
        <f aca="false">'SALES Raw'!B4238</f>
        <v>3674 0</v>
      </c>
      <c r="C2202" s="18" t="str">
        <f aca="false">'SALES Raw'!H4238</f>
        <v>3674 0 מ.בוניון+מפריד אצבע</v>
      </c>
      <c r="D2202" s="19" t="n">
        <f aca="false">'SALES Raw'!C4238</f>
        <v>0</v>
      </c>
      <c r="E2202" s="19" t="n">
        <f aca="false">'SALES Raw'!D4238</f>
        <v>0</v>
      </c>
      <c r="F2202" s="19" t="n">
        <f aca="false">'SALES Raw'!E4238*$H$4</f>
        <v>12.6315789473684</v>
      </c>
      <c r="G2202" s="19" t="n">
        <f aca="false">'SALES Raw'!F4238*$H$4</f>
        <v>215.810526315789</v>
      </c>
      <c r="H2202" s="18" t="str">
        <f aca="false">'SALES Raw'!A4238</f>
        <v>216 - Max Konnaris CYPRUS</v>
      </c>
    </row>
    <row r="2203" customFormat="false" ht="15" hidden="false" customHeight="false" outlineLevel="0" collapsed="false">
      <c r="A2203" s="18" t="str">
        <f aca="false">'SALES Raw'!G4247</f>
        <v/>
      </c>
      <c r="B2203" s="18" t="str">
        <f aca="false">'SALES Raw'!B4247</f>
        <v>376-44-45</v>
      </c>
      <c r="C2203" s="18" t="str">
        <f aca="false">'SALES Raw'!H4247</f>
        <v>376-44-45</v>
      </c>
      <c r="D2203" s="19" t="n">
        <f aca="false">'SALES Raw'!C4247</f>
        <v>76</v>
      </c>
      <c r="E2203" s="19" t="n">
        <f aca="false">'SALES Raw'!D4247</f>
        <v>1270.62</v>
      </c>
      <c r="F2203" s="19" t="n">
        <f aca="false">'SALES Raw'!E4247*$H$4</f>
        <v>12.6315789473684</v>
      </c>
      <c r="G2203" s="19" t="n">
        <f aca="false">'SALES Raw'!F4247*$H$4</f>
        <v>181.578947368421</v>
      </c>
      <c r="H2203" s="18" t="str">
        <f aca="false">'SALES Raw'!A4247</f>
        <v>216 - Max Konnaris CYPRUS</v>
      </c>
    </row>
    <row r="2204" customFormat="false" ht="15" hidden="false" customHeight="false" outlineLevel="0" collapsed="false">
      <c r="A2204" s="18" t="n">
        <f aca="false">'SALES Raw'!G4258</f>
        <v>4415298</v>
      </c>
      <c r="B2204" s="18" t="str">
        <f aca="false">'SALES Raw'!B4258</f>
        <v>388BL 0</v>
      </c>
      <c r="C2204" s="18" t="str">
        <f aca="false">'SALES Raw'!H4258</f>
        <v>388B L סד לילה שחור לבוהן שמאל</v>
      </c>
      <c r="D2204" s="19" t="n">
        <f aca="false">'SALES Raw'!C4258</f>
        <v>25</v>
      </c>
      <c r="E2204" s="19" t="n">
        <f aca="false">'SALES Raw'!D4258</f>
        <v>913.43</v>
      </c>
      <c r="F2204" s="19" t="n">
        <f aca="false">'SALES Raw'!E4258*$H$4</f>
        <v>12.6315789473684</v>
      </c>
      <c r="G2204" s="19" t="n">
        <f aca="false">'SALES Raw'!F4258*$H$4</f>
        <v>393.410526315789</v>
      </c>
      <c r="H2204" s="18" t="str">
        <f aca="false">'SALES Raw'!A4258</f>
        <v>216 - Max Konnaris CYPRUS</v>
      </c>
    </row>
    <row r="2205" customFormat="false" ht="15" hidden="false" customHeight="false" outlineLevel="0" collapsed="false">
      <c r="A2205" s="18" t="n">
        <f aca="false">'SALES Raw'!G4297</f>
        <v>4418000</v>
      </c>
      <c r="B2205" s="18" t="str">
        <f aca="false">'SALES Raw'!B4297</f>
        <v>60 L</v>
      </c>
      <c r="C2205" s="18" t="str">
        <f aca="false">'SALES Raw'!H4297</f>
        <v>60 L צוארון ספוגי</v>
      </c>
      <c r="D2205" s="19" t="n">
        <f aca="false">'SALES Raw'!C4297</f>
        <v>0</v>
      </c>
      <c r="E2205" s="19" t="n">
        <f aca="false">'SALES Raw'!D4297</f>
        <v>0</v>
      </c>
      <c r="F2205" s="19" t="n">
        <f aca="false">'SALES Raw'!E4297*$H$4</f>
        <v>12.6315789473684</v>
      </c>
      <c r="G2205" s="19" t="n">
        <f aca="false">'SALES Raw'!F4297*$H$4</f>
        <v>303.991578947368</v>
      </c>
      <c r="H2205" s="18" t="str">
        <f aca="false">'SALES Raw'!A4297</f>
        <v>216 - Max Konnaris CYPRUS</v>
      </c>
    </row>
    <row r="2206" customFormat="false" ht="15" hidden="false" customHeight="false" outlineLevel="0" collapsed="false">
      <c r="A2206" s="18" t="n">
        <f aca="false">'SALES Raw'!G4298</f>
        <v>4418001</v>
      </c>
      <c r="B2206" s="18" t="str">
        <f aca="false">'SALES Raw'!B4298</f>
        <v>60 M</v>
      </c>
      <c r="C2206" s="18" t="str">
        <f aca="false">'SALES Raw'!H4298</f>
        <v>60 M צוארון ספוגי</v>
      </c>
      <c r="D2206" s="19" t="n">
        <f aca="false">'SALES Raw'!C4298</f>
        <v>0</v>
      </c>
      <c r="E2206" s="19" t="n">
        <f aca="false">'SALES Raw'!D4298</f>
        <v>0</v>
      </c>
      <c r="F2206" s="19" t="n">
        <f aca="false">'SALES Raw'!E4298*$H$4</f>
        <v>12.6315789473684</v>
      </c>
      <c r="G2206" s="19" t="n">
        <f aca="false">'SALES Raw'!F4298*$H$4</f>
        <v>283.162105263158</v>
      </c>
      <c r="H2206" s="18" t="str">
        <f aca="false">'SALES Raw'!A4298</f>
        <v>216 - Max Konnaris CYPRUS</v>
      </c>
    </row>
    <row r="2207" customFormat="false" ht="15" hidden="false" customHeight="false" outlineLevel="0" collapsed="false">
      <c r="A2207" s="18" t="str">
        <f aca="false">'SALES Raw'!G4300</f>
        <v/>
      </c>
      <c r="B2207" s="18" t="str">
        <f aca="false">'SALES Raw'!B4300</f>
        <v>60B L</v>
      </c>
      <c r="C2207" s="18" t="str">
        <f aca="false">'SALES Raw'!H4300</f>
        <v>60B L</v>
      </c>
      <c r="D2207" s="19" t="n">
        <f aca="false">'SALES Raw'!C4300</f>
        <v>10</v>
      </c>
      <c r="E2207" s="19" t="n">
        <f aca="false">'SALES Raw'!D4300</f>
        <v>292.14</v>
      </c>
      <c r="F2207" s="19" t="n">
        <f aca="false">'SALES Raw'!E4300*$H$4</f>
        <v>12.6315789473684</v>
      </c>
      <c r="G2207" s="19" t="n">
        <f aca="false">'SALES Raw'!F4300*$H$4</f>
        <v>348.088421052632</v>
      </c>
      <c r="H2207" s="18" t="str">
        <f aca="false">'SALES Raw'!A4300</f>
        <v>216 - Max Konnaris CYPRUS</v>
      </c>
    </row>
    <row r="2208" customFormat="false" ht="15" hidden="false" customHeight="false" outlineLevel="0" collapsed="false">
      <c r="A2208" s="18" t="str">
        <f aca="false">'SALES Raw'!G4301</f>
        <v/>
      </c>
      <c r="B2208" s="18" t="str">
        <f aca="false">'SALES Raw'!B4301</f>
        <v>60B M</v>
      </c>
      <c r="C2208" s="18" t="str">
        <f aca="false">'SALES Raw'!H4301</f>
        <v>60B M</v>
      </c>
      <c r="D2208" s="19" t="n">
        <f aca="false">'SALES Raw'!C4301</f>
        <v>0</v>
      </c>
      <c r="E2208" s="19" t="n">
        <f aca="false">'SALES Raw'!D4301</f>
        <v>0</v>
      </c>
      <c r="F2208" s="19" t="n">
        <f aca="false">'SALES Raw'!E4301*$H$4</f>
        <v>12.6315789473684</v>
      </c>
      <c r="G2208" s="19" t="n">
        <f aca="false">'SALES Raw'!F4301*$H$4</f>
        <v>324.24</v>
      </c>
      <c r="H2208" s="18" t="str">
        <f aca="false">'SALES Raw'!A4301</f>
        <v>216 - Max Konnaris CYPRUS</v>
      </c>
    </row>
    <row r="2209" customFormat="false" ht="15" hidden="false" customHeight="false" outlineLevel="0" collapsed="false">
      <c r="A2209" s="18" t="n">
        <f aca="false">'SALES Raw'!G4305</f>
        <v>4422000</v>
      </c>
      <c r="B2209" s="18" t="str">
        <f aca="false">'SALES Raw'!B4305</f>
        <v>801 0</v>
      </c>
      <c r="C2209" s="18" t="str">
        <f aca="false">'SALES Raw'!H4305</f>
        <v>801  תחבושת אלסטית מקררת</v>
      </c>
      <c r="D2209" s="19" t="n">
        <f aca="false">'SALES Raw'!C4305</f>
        <v>0</v>
      </c>
      <c r="E2209" s="19" t="n">
        <f aca="false">'SALES Raw'!D4305</f>
        <v>0</v>
      </c>
      <c r="F2209" s="19" t="n">
        <f aca="false">'SALES Raw'!E4305*$H$4</f>
        <v>12.6315789473684</v>
      </c>
      <c r="G2209" s="19" t="n">
        <f aca="false">'SALES Raw'!F4305*$H$4</f>
        <v>129.953684210526</v>
      </c>
      <c r="H2209" s="18" t="str">
        <f aca="false">'SALES Raw'!A4305</f>
        <v>216 - Max Konnaris CYPRUS</v>
      </c>
    </row>
    <row r="2210" customFormat="false" ht="15" hidden="false" customHeight="false" outlineLevel="0" collapsed="false">
      <c r="A2210" s="18" t="n">
        <f aca="false">'SALES Raw'!G4323</f>
        <v>4413137</v>
      </c>
      <c r="B2210" s="18" t="str">
        <f aca="false">'SALES Raw'!B4323</f>
        <v>85 S</v>
      </c>
      <c r="C2210" s="18" t="str">
        <f aca="false">'SALES Raw'!H4323</f>
        <v>85 S (מתלה ליד )כיס</v>
      </c>
      <c r="D2210" s="19" t="n">
        <f aca="false">'SALES Raw'!C4323</f>
        <v>6</v>
      </c>
      <c r="E2210" s="19" t="n">
        <f aca="false">'SALES Raw'!D4323</f>
        <v>128.54</v>
      </c>
      <c r="F2210" s="19" t="n">
        <f aca="false">'SALES Raw'!E4323*$H$4</f>
        <v>12.6315789473684</v>
      </c>
      <c r="G2210" s="19" t="n">
        <f aca="false">'SALES Raw'!F4323*$H$4</f>
        <v>255.258947368421</v>
      </c>
      <c r="H2210" s="18" t="str">
        <f aca="false">'SALES Raw'!A4323</f>
        <v>216 - Max Konnaris CYPRUS</v>
      </c>
    </row>
    <row r="2211" customFormat="false" ht="15" hidden="false" customHeight="false" outlineLevel="0" collapsed="false">
      <c r="A2211" s="18" t="n">
        <f aca="false">'SALES Raw'!G4333</f>
        <v>4413500</v>
      </c>
      <c r="B2211" s="18" t="str">
        <f aca="false">'SALES Raw'!B4333</f>
        <v>95B L</v>
      </c>
      <c r="C2211" s="18" t="str">
        <f aca="false">'SALES Raw'!H4333</f>
        <v>95B L מגן מרפק שחור</v>
      </c>
      <c r="D2211" s="19" t="n">
        <f aca="false">'SALES Raw'!C4333</f>
        <v>10</v>
      </c>
      <c r="E2211" s="19" t="n">
        <f aca="false">'SALES Raw'!D4333</f>
        <v>117.78</v>
      </c>
      <c r="F2211" s="19" t="n">
        <f aca="false">'SALES Raw'!E4333*$H$4</f>
        <v>12.6315789473684</v>
      </c>
      <c r="G2211" s="19" t="n">
        <f aca="false">'SALES Raw'!F4333*$H$4</f>
        <v>134.021052631579</v>
      </c>
      <c r="H2211" s="18" t="str">
        <f aca="false">'SALES Raw'!A4333</f>
        <v>216 - Max Konnaris CYPRUS</v>
      </c>
    </row>
    <row r="2212" customFormat="false" ht="15" hidden="false" customHeight="false" outlineLevel="0" collapsed="false">
      <c r="A2212" s="18" t="n">
        <f aca="false">'SALES Raw'!G4343</f>
        <v>4415027</v>
      </c>
      <c r="B2212" s="18" t="str">
        <f aca="false">'SALES Raw'!B4343</f>
        <v>AC27R 0</v>
      </c>
      <c r="C2212" s="18" t="str">
        <f aca="false">'SALES Raw'!H4343</f>
        <v>AC-27R סד לש.כף יד ימין</v>
      </c>
      <c r="D2212" s="19" t="n">
        <f aca="false">'SALES Raw'!C4343</f>
        <v>0</v>
      </c>
      <c r="E2212" s="19" t="n">
        <f aca="false">'SALES Raw'!D4343</f>
        <v>0</v>
      </c>
      <c r="F2212" s="19" t="n">
        <f aca="false">'SALES Raw'!E4343*$H$4</f>
        <v>12.6315789473684</v>
      </c>
      <c r="G2212" s="19" t="n">
        <f aca="false">'SALES Raw'!F4343*$H$4</f>
        <v>220.484210526316</v>
      </c>
      <c r="H2212" s="18" t="str">
        <f aca="false">'SALES Raw'!A4343</f>
        <v>216 - Max Konnaris CYPRUS</v>
      </c>
    </row>
    <row r="2213" customFormat="false" ht="15" hidden="false" customHeight="false" outlineLevel="0" collapsed="false">
      <c r="A2213" s="18" t="n">
        <f aca="false">'SALES Raw'!G4347</f>
        <v>4413453</v>
      </c>
      <c r="B2213" s="18" t="str">
        <f aca="false">'SALES Raw'!B4347</f>
        <v>AC75-S-XL</v>
      </c>
      <c r="C2213" s="18" t="str">
        <f aca="false">'SALES Raw'!H4347</f>
        <v>AC75 מישר כתפיים אקטיב</v>
      </c>
      <c r="D2213" s="19" t="n">
        <f aca="false">'SALES Raw'!C4347</f>
        <v>0</v>
      </c>
      <c r="E2213" s="19" t="n">
        <f aca="false">'SALES Raw'!D4347</f>
        <v>0</v>
      </c>
      <c r="F2213" s="19" t="n">
        <f aca="false">'SALES Raw'!E4347*$H$4</f>
        <v>12.6315789473684</v>
      </c>
      <c r="G2213" s="19" t="n">
        <f aca="false">'SALES Raw'!F4347*$H$4</f>
        <v>422.336842105263</v>
      </c>
      <c r="H2213" s="18" t="str">
        <f aca="false">'SALES Raw'!A4347</f>
        <v>216 - Max Konnaris CYPRUS</v>
      </c>
    </row>
    <row r="2214" customFormat="false" ht="15" hidden="false" customHeight="false" outlineLevel="0" collapsed="false">
      <c r="A2214" s="18" t="n">
        <f aca="false">'SALES Raw'!G4364</f>
        <v>4422037</v>
      </c>
      <c r="B2214" s="18" t="str">
        <f aca="false">'SALES Raw'!B4364</f>
        <v>SH422 1</v>
      </c>
      <c r="C2214" s="18" t="str">
        <f aca="false">'SALES Raw'!H4364</f>
        <v>SH422 1 תומך ברך גנושילד</v>
      </c>
      <c r="D2214" s="19" t="n">
        <f aca="false">'SALES Raw'!C4364</f>
        <v>0</v>
      </c>
      <c r="E2214" s="19" t="n">
        <f aca="false">'SALES Raw'!D4364</f>
        <v>0</v>
      </c>
      <c r="F2214" s="19" t="n">
        <f aca="false">'SALES Raw'!E4364*$H$4</f>
        <v>12.6315789473684</v>
      </c>
      <c r="G2214" s="19" t="n">
        <f aca="false">'SALES Raw'!F4364*$H$4</f>
        <v>1243.81894736842</v>
      </c>
      <c r="H2214" s="18" t="str">
        <f aca="false">'SALES Raw'!A4364</f>
        <v>216 - Max Konnaris CYPRUS</v>
      </c>
    </row>
    <row r="2215" customFormat="false" ht="15" hidden="false" customHeight="false" outlineLevel="0" collapsed="false">
      <c r="A2215" s="18" t="n">
        <f aca="false">'SALES Raw'!G4365</f>
        <v>4422038</v>
      </c>
      <c r="B2215" s="18" t="str">
        <f aca="false">'SALES Raw'!B4365</f>
        <v>SH422 2</v>
      </c>
      <c r="C2215" s="18" t="str">
        <f aca="false">'SALES Raw'!H4365</f>
        <v>SH422 2 תומך ברך גנושילד</v>
      </c>
      <c r="D2215" s="19" t="n">
        <f aca="false">'SALES Raw'!C4365</f>
        <v>0</v>
      </c>
      <c r="E2215" s="19" t="n">
        <f aca="false">'SALES Raw'!D4365</f>
        <v>0</v>
      </c>
      <c r="F2215" s="19" t="n">
        <f aca="false">'SALES Raw'!E4365*$H$4</f>
        <v>12.6315789473684</v>
      </c>
      <c r="G2215" s="19" t="n">
        <f aca="false">'SALES Raw'!F4365*$H$4</f>
        <v>1243.81894736842</v>
      </c>
      <c r="H2215" s="18" t="str">
        <f aca="false">'SALES Raw'!A4365</f>
        <v>216 - Max Konnaris CYPRUS</v>
      </c>
    </row>
    <row r="2216" customFormat="false" ht="15" hidden="false" customHeight="false" outlineLevel="0" collapsed="false">
      <c r="A2216" s="18" t="n">
        <f aca="false">'SALES Raw'!G4368</f>
        <v>4422041</v>
      </c>
      <c r="B2216" s="18" t="str">
        <f aca="false">'SALES Raw'!B4368</f>
        <v>SH422 5</v>
      </c>
      <c r="C2216" s="18" t="str">
        <f aca="false">'SALES Raw'!H4368</f>
        <v>SH422 5 תומך ברך גנושילד</v>
      </c>
      <c r="D2216" s="19" t="n">
        <f aca="false">'SALES Raw'!C4368</f>
        <v>0</v>
      </c>
      <c r="E2216" s="19" t="n">
        <f aca="false">'SALES Raw'!D4368</f>
        <v>0</v>
      </c>
      <c r="F2216" s="19" t="n">
        <f aca="false">'SALES Raw'!E4368*$H$4</f>
        <v>12.6315789473684</v>
      </c>
      <c r="G2216" s="19" t="n">
        <f aca="false">'SALES Raw'!F4368*$H$4</f>
        <v>1243.81894736842</v>
      </c>
      <c r="H2216" s="18" t="str">
        <f aca="false">'SALES Raw'!A4368</f>
        <v>216 - Max Konnaris CYPRUS</v>
      </c>
    </row>
    <row r="2217" customFormat="false" ht="15" hidden="false" customHeight="false" outlineLevel="0" collapsed="false">
      <c r="A2217" s="18" t="str">
        <f aca="false">'SALES Raw'!G4376</f>
        <v/>
      </c>
      <c r="B2217" s="18" t="str">
        <f aca="false">'SALES Raw'!B4376</f>
        <v>ST27L 0</v>
      </c>
      <c r="C2217" s="18" t="str">
        <f aca="false">'SALES Raw'!H4376</f>
        <v>ST27L 0</v>
      </c>
      <c r="D2217" s="19" t="n">
        <f aca="false">'SALES Raw'!C4376</f>
        <v>40</v>
      </c>
      <c r="E2217" s="19" t="n">
        <f aca="false">'SALES Raw'!D4376</f>
        <v>744.59</v>
      </c>
      <c r="F2217" s="19" t="n">
        <f aca="false">'SALES Raw'!E4376*$H$4</f>
        <v>12.6315789473684</v>
      </c>
      <c r="G2217" s="19" t="n">
        <f aca="false">'SALES Raw'!F4376*$H$4</f>
        <v>205.351578947368</v>
      </c>
      <c r="H2217" s="18" t="str">
        <f aca="false">'SALES Raw'!A4376</f>
        <v>216 - Max Konnaris CYPRUS</v>
      </c>
    </row>
    <row r="2218" customFormat="false" ht="15" hidden="false" customHeight="false" outlineLevel="0" collapsed="false">
      <c r="A2218" s="18" t="n">
        <f aca="false">'SALES Raw'!G4382</f>
        <v>4413531</v>
      </c>
      <c r="B2218" s="18" t="str">
        <f aca="false">'SALES Raw'!B4382</f>
        <v>ST91 0</v>
      </c>
      <c r="C2218" s="18" t="str">
        <f aca="false">'SALES Raw'!H4382</f>
        <v>ST91 מגן מרפק לטניס</v>
      </c>
      <c r="D2218" s="19" t="n">
        <f aca="false">'SALES Raw'!C4382</f>
        <v>30</v>
      </c>
      <c r="E2218" s="19" t="n">
        <f aca="false">'SALES Raw'!D4382</f>
        <v>533.23</v>
      </c>
      <c r="F2218" s="19" t="n">
        <f aca="false">'SALES Raw'!E4382*$H$4</f>
        <v>12.6315789473684</v>
      </c>
      <c r="G2218" s="19" t="n">
        <f aca="false">'SALES Raw'!F4382*$H$4</f>
        <v>197.242105263158</v>
      </c>
      <c r="H2218" s="18" t="str">
        <f aca="false">'SALES Raw'!A4382</f>
        <v>216 - Max Konnaris CYPRUS</v>
      </c>
    </row>
    <row r="2219" customFormat="false" ht="15" hidden="false" customHeight="false" outlineLevel="0" collapsed="false">
      <c r="A2219" s="18" t="n">
        <f aca="false">'SALES Raw'!G4424</f>
        <v>4413370</v>
      </c>
      <c r="B2219" s="18" t="str">
        <f aca="false">'SALES Raw'!B4424</f>
        <v>3674 0</v>
      </c>
      <c r="C2219" s="18" t="str">
        <f aca="false">'SALES Raw'!H4424</f>
        <v>3674 0 מ.בוניון+מפריד אצבע</v>
      </c>
      <c r="D2219" s="19" t="n">
        <f aca="false">'SALES Raw'!C4424</f>
        <v>16</v>
      </c>
      <c r="E2219" s="19" t="n">
        <f aca="false">'SALES Raw'!D4424</f>
        <v>1067.96</v>
      </c>
      <c r="F2219" s="19" t="n">
        <f aca="false">'SALES Raw'!E4424*$H$4</f>
        <v>12.6315789473684</v>
      </c>
      <c r="G2219" s="19" t="n">
        <f aca="false">'SALES Raw'!F4424*$H$4</f>
        <v>654.176842105263</v>
      </c>
      <c r="H2219" s="18" t="str">
        <f aca="false">'SALES Raw'!A4424</f>
        <v>301 - Amazon</v>
      </c>
    </row>
    <row r="2220" customFormat="false" ht="15" hidden="false" customHeight="false" outlineLevel="0" collapsed="false">
      <c r="A2220" s="18" t="n">
        <f aca="false">'CEMIUP0.9 Raw'!B92</f>
        <v>4408077</v>
      </c>
      <c r="B2220" s="18" t="str">
        <f aca="false">'CEMIUP0.9 Raw'!C92</f>
        <v>59L M חגורת שבר לצד שמאל</v>
      </c>
      <c r="C2220" s="18" t="str">
        <f aca="false">'CEMIUP0.9 Raw'!C92</f>
        <v>59L M חגורת שבר לצד שמאל</v>
      </c>
      <c r="D2220" s="19" t="n">
        <f aca="false">'CEMIUP0.9 Raw'!D92</f>
        <v>5</v>
      </c>
      <c r="E2220" s="19" t="n">
        <f aca="false">'CEMIUP0.9 Raw'!E92</f>
        <v>783.038</v>
      </c>
      <c r="F2220" s="19" t="n">
        <f aca="false">'CEMIUP0.9 Raw'!F92</f>
        <v>12.6315789473684</v>
      </c>
      <c r="G2220" s="19" t="n">
        <f aca="false">'CEMIUP0.9 Raw'!G92</f>
        <v>2085.40926315789</v>
      </c>
      <c r="H2220" s="18" t="str">
        <f aca="false">'CEMIUP0.9 Raw'!A92</f>
        <v>107 - Pharmacies</v>
      </c>
    </row>
    <row r="2221" customFormat="false" ht="15" hidden="false" customHeight="false" outlineLevel="0" collapsed="false">
      <c r="A2221" s="18" t="n">
        <f aca="false">'CEMIUP0.9 Raw'!B105</f>
        <v>4408092</v>
      </c>
      <c r="B2221" s="18" t="str">
        <f aca="false">'CEMIUP0.9 Raw'!C105</f>
        <v>T11C XL חגורת גב פוג'יאמה</v>
      </c>
      <c r="C2221" s="18" t="str">
        <f aca="false">'CEMIUP0.9 Raw'!C105</f>
        <v>T11C XL חגורת גב פוג'יאמה</v>
      </c>
      <c r="D2221" s="19" t="n">
        <f aca="false">'CEMIUP0.9 Raw'!D105</f>
        <v>14</v>
      </c>
      <c r="E2221" s="19" t="n">
        <f aca="false">'CEMIUP0.9 Raw'!E105</f>
        <v>1220.787</v>
      </c>
      <c r="F2221" s="19" t="n">
        <f aca="false">'CEMIUP0.9 Raw'!F105</f>
        <v>12.6315789473684</v>
      </c>
      <c r="G2221" s="19" t="n">
        <f aca="false">'CEMIUP0.9 Raw'!G105</f>
        <v>1091.18273684211</v>
      </c>
      <c r="H2221" s="18" t="str">
        <f aca="false">'CEMIUP0.9 Raw'!A105</f>
        <v>107 - Pharmacies</v>
      </c>
    </row>
    <row r="2222" customFormat="false" ht="15" hidden="false" customHeight="false" outlineLevel="0" collapsed="false">
      <c r="A2222" s="18" t="n">
        <f aca="false">'CEMIUP0.9 Raw'!B128</f>
        <v>4408135</v>
      </c>
      <c r="B2222" s="18" t="str">
        <f aca="false">'CEMIUP0.9 Raw'!C128</f>
        <v>077A L-XLחגורת גב</v>
      </c>
      <c r="C2222" s="18" t="str">
        <f aca="false">'CEMIUP0.9 Raw'!C128</f>
        <v>077A L-XLחגורת גב</v>
      </c>
      <c r="D2222" s="19" t="n">
        <f aca="false">'CEMIUP0.9 Raw'!D128</f>
        <v>47</v>
      </c>
      <c r="E2222" s="19" t="n">
        <f aca="false">'CEMIUP0.9 Raw'!E128</f>
        <v>5003.458</v>
      </c>
      <c r="F2222" s="19" t="n">
        <f aca="false">'CEMIUP0.9 Raw'!F128</f>
        <v>12.6315789473684</v>
      </c>
      <c r="G2222" s="19" t="n">
        <f aca="false">'CEMIUP0.9 Raw'!G128</f>
        <v>1494.79073684211</v>
      </c>
      <c r="H2222" s="18" t="str">
        <f aca="false">'CEMIUP0.9 Raw'!A128</f>
        <v>107 - Pharmacies</v>
      </c>
    </row>
    <row r="2223" customFormat="false" ht="15" hidden="false" customHeight="false" outlineLevel="0" collapsed="false">
      <c r="A2223" s="18" t="n">
        <f aca="false">'CEMIUP0.9 Raw'!B177</f>
        <v>4408262</v>
      </c>
      <c r="B2223" s="18" t="str">
        <f aca="false">'CEMIUP0.9 Raw'!C177</f>
        <v>11STO XL  חגורה אחרי ניתוח</v>
      </c>
      <c r="C2223" s="18" t="str">
        <f aca="false">'CEMIUP0.9 Raw'!C177</f>
        <v>11STO XL  חגורה אחרי ניתוח</v>
      </c>
      <c r="D2223" s="19" t="n">
        <f aca="false">'CEMIUP0.9 Raw'!D177</f>
        <v>11</v>
      </c>
      <c r="E2223" s="19" t="n">
        <f aca="false">'CEMIUP0.9 Raw'!E177</f>
        <v>1155</v>
      </c>
      <c r="F2223" s="19" t="n">
        <f aca="false">'CEMIUP0.9 Raw'!F177</f>
        <v>12.6315789473684</v>
      </c>
      <c r="G2223" s="19" t="n">
        <f aca="false">'CEMIUP0.9 Raw'!G177</f>
        <v>1598.48463157895</v>
      </c>
      <c r="H2223" s="18" t="str">
        <f aca="false">'CEMIUP0.9 Raw'!A177</f>
        <v>107 - Pharmacies</v>
      </c>
    </row>
    <row r="2224" customFormat="false" ht="15" hidden="false" customHeight="false" outlineLevel="0" collapsed="false">
      <c r="A2224" s="18" t="n">
        <f aca="false">'CEMIUP0.9 Raw'!B205</f>
        <v>4411019</v>
      </c>
      <c r="B2224" s="18" t="str">
        <f aca="false">'CEMIUP0.9 Raw'!C205</f>
        <v>211S כפפות לחץ</v>
      </c>
      <c r="C2224" s="18" t="str">
        <f aca="false">'CEMIUP0.9 Raw'!C205</f>
        <v>211S כפפות לחץ</v>
      </c>
      <c r="D2224" s="19" t="n">
        <f aca="false">'CEMIUP0.9 Raw'!D205</f>
        <v>24</v>
      </c>
      <c r="E2224" s="19" t="n">
        <f aca="false">'CEMIUP0.9 Raw'!E205</f>
        <v>779.961</v>
      </c>
      <c r="F2224" s="19" t="n">
        <f aca="false">'CEMIUP0.9 Raw'!F205</f>
        <v>12.6315789473684</v>
      </c>
      <c r="G2224" s="19" t="n">
        <f aca="false">'CEMIUP0.9 Raw'!G205</f>
        <v>413.350736842105</v>
      </c>
      <c r="H2224" s="18" t="str">
        <f aca="false">'CEMIUP0.9 Raw'!A205</f>
        <v>107 - Pharmacies</v>
      </c>
    </row>
    <row r="2225" customFormat="false" ht="15" hidden="false" customHeight="false" outlineLevel="0" collapsed="false">
      <c r="A2225" s="18" t="n">
        <f aca="false">'CEMIUP0.9 Raw'!B302</f>
        <v>4413131</v>
      </c>
      <c r="B2225" s="18" t="str">
        <f aca="false">'CEMIUP0.9 Raw'!C302</f>
        <v>76 Sמיישר כתף יציב יישור ג.רחב</v>
      </c>
      <c r="C2225" s="18" t="str">
        <f aca="false">'CEMIUP0.9 Raw'!C302</f>
        <v>76 Sמיישר כתף יציב יישור ג.רחב</v>
      </c>
      <c r="D2225" s="19" t="n">
        <f aca="false">'CEMIUP0.9 Raw'!D302</f>
        <v>9</v>
      </c>
      <c r="E2225" s="19" t="n">
        <f aca="false">'CEMIUP0.9 Raw'!E302</f>
        <v>1675.856</v>
      </c>
      <c r="F2225" s="19" t="n">
        <f aca="false">'CEMIUP0.9 Raw'!F302</f>
        <v>12.6315789473684</v>
      </c>
      <c r="G2225" s="19" t="n">
        <f aca="false">'CEMIUP0.9 Raw'!G302</f>
        <v>2415.54568421053</v>
      </c>
      <c r="H2225" s="18" t="str">
        <f aca="false">'CEMIUP0.9 Raw'!A302</f>
        <v>107 - Pharmacies</v>
      </c>
    </row>
    <row r="2226" customFormat="false" ht="15" hidden="false" customHeight="false" outlineLevel="0" collapsed="false">
      <c r="A2226" s="18" t="n">
        <f aca="false">'CEMIUP0.9 Raw'!B389</f>
        <v>4413368</v>
      </c>
      <c r="B2226" s="18" t="str">
        <f aca="false">'CEMIUP0.9 Raw'!C389</f>
        <v>95C XS'מגן מרפק בז</v>
      </c>
      <c r="C2226" s="18" t="str">
        <f aca="false">'CEMIUP0.9 Raw'!C389</f>
        <v>95C XS'מגן מרפק בז</v>
      </c>
      <c r="D2226" s="19" t="n">
        <f aca="false">'CEMIUP0.9 Raw'!D389</f>
        <v>12</v>
      </c>
      <c r="E2226" s="19" t="n">
        <f aca="false">'CEMIUP0.9 Raw'!E389</f>
        <v>320.229</v>
      </c>
      <c r="F2226" s="19" t="n">
        <f aca="false">'CEMIUP0.9 Raw'!F389</f>
        <v>12.6315789473684</v>
      </c>
      <c r="G2226" s="19" t="n">
        <f aca="false">'CEMIUP0.9 Raw'!G389</f>
        <v>349.210105263158</v>
      </c>
      <c r="H2226" s="18" t="str">
        <f aca="false">'CEMIUP0.9 Raw'!A389</f>
        <v>107 - Pharmacies</v>
      </c>
    </row>
    <row r="2227" customFormat="false" ht="15" hidden="false" customHeight="false" outlineLevel="0" collapsed="false">
      <c r="A2227" s="18" t="n">
        <f aca="false">'CEMIUP0.9 Raw'!B407</f>
        <v>4413417</v>
      </c>
      <c r="B2227" s="18" t="str">
        <f aca="false">'CEMIUP0.9 Raw'!C407</f>
        <v>SC39  L מגן שוק</v>
      </c>
      <c r="C2227" s="18" t="str">
        <f aca="false">'CEMIUP0.9 Raw'!C407</f>
        <v>SC39  L מגן שוק</v>
      </c>
      <c r="D2227" s="19" t="n">
        <f aca="false">'CEMIUP0.9 Raw'!D407</f>
        <v>4</v>
      </c>
      <c r="E2227" s="19" t="n">
        <f aca="false">'CEMIUP0.9 Raw'!E407</f>
        <v>554.875</v>
      </c>
      <c r="F2227" s="19" t="n">
        <f aca="false">'CEMIUP0.9 Raw'!F407</f>
        <v>12.6315789473684</v>
      </c>
      <c r="G2227" s="19" t="n">
        <f aca="false">'CEMIUP0.9 Raw'!G407</f>
        <v>2022.81221052632</v>
      </c>
      <c r="H2227" s="18" t="str">
        <f aca="false">'CEMIUP0.9 Raw'!A407</f>
        <v>107 - Pharmacies</v>
      </c>
    </row>
    <row r="2228" customFormat="false" ht="15" hidden="false" customHeight="false" outlineLevel="0" collapsed="false">
      <c r="A2228" s="18" t="n">
        <f aca="false">'CEMIUP0.9 Raw'!B418</f>
        <v>4413438</v>
      </c>
      <c r="B2228" s="18" t="str">
        <f aca="false">'CEMIUP0.9 Raw'!C418</f>
        <v>SC422  S מגן ברך</v>
      </c>
      <c r="C2228" s="18" t="str">
        <f aca="false">'CEMIUP0.9 Raw'!C418</f>
        <v>SC422  S מגן ברך</v>
      </c>
      <c r="D2228" s="19" t="n">
        <f aca="false">'CEMIUP0.9 Raw'!D418</f>
        <v>15</v>
      </c>
      <c r="E2228" s="19" t="n">
        <f aca="false">'CEMIUP0.9 Raw'!E418</f>
        <v>2003.285</v>
      </c>
      <c r="F2228" s="19" t="n">
        <f aca="false">'CEMIUP0.9 Raw'!F418</f>
        <v>12.6315789473684</v>
      </c>
      <c r="G2228" s="19" t="n">
        <f aca="false">'CEMIUP0.9 Raw'!G418</f>
        <v>1669.02442105263</v>
      </c>
      <c r="H2228" s="18" t="str">
        <f aca="false">'CEMIUP0.9 Raw'!A418</f>
        <v>107 - Pharmacies</v>
      </c>
    </row>
    <row r="2229" customFormat="false" ht="15" hidden="false" customHeight="false" outlineLevel="0" collapsed="false">
      <c r="A2229" s="18" t="n">
        <f aca="false">'CEMIUP0.9 Raw'!B457</f>
        <v>4413524</v>
      </c>
      <c r="B2229" s="18" t="str">
        <f aca="false">'CEMIUP0.9 Raw'!C457</f>
        <v>39-42 מדרסי אפיק ג'ל נוחות</v>
      </c>
      <c r="C2229" s="18" t="str">
        <f aca="false">'CEMIUP0.9 Raw'!C457</f>
        <v>39-42 מדרסי אפיק ג'ל נוחות</v>
      </c>
      <c r="D2229" s="19" t="n">
        <f aca="false">'CEMIUP0.9 Raw'!D457</f>
        <v>23</v>
      </c>
      <c r="E2229" s="19" t="n">
        <f aca="false">'CEMIUP0.9 Raw'!E457</f>
        <v>2170.259</v>
      </c>
      <c r="F2229" s="19" t="n">
        <f aca="false">'CEMIUP0.9 Raw'!F457</f>
        <v>12.6315789473684</v>
      </c>
      <c r="G2229" s="19" t="n">
        <f aca="false">'CEMIUP0.9 Raw'!G457</f>
        <v>1161.08336842105</v>
      </c>
      <c r="H2229" s="18" t="str">
        <f aca="false">'CEMIUP0.9 Raw'!A457</f>
        <v>107 - Pharmacies</v>
      </c>
    </row>
    <row r="2230" customFormat="false" ht="15" hidden="false" customHeight="false" outlineLevel="0" collapsed="false">
      <c r="A2230" s="18" t="n">
        <f aca="false">'CEMIUP0.9 Raw'!B681</f>
        <v>4403008</v>
      </c>
      <c r="B2230" s="18" t="str">
        <f aca="false">'CEMIUP0.9 Raw'!C681</f>
        <v>390W-43-46</v>
      </c>
      <c r="C2230" s="18" t="str">
        <f aca="false">'CEMIUP0.9 Raw'!C681</f>
        <v>390W-43-46</v>
      </c>
      <c r="D2230" s="19" t="n">
        <f aca="false">'CEMIUP0.9 Raw'!D681</f>
        <v>39</v>
      </c>
      <c r="E2230" s="19" t="n">
        <f aca="false">'CEMIUP0.9 Raw'!E681</f>
        <v>920.4</v>
      </c>
      <c r="F2230" s="19" t="n">
        <f aca="false">'CEMIUP0.9 Raw'!F681</f>
        <v>12.6315789473684</v>
      </c>
      <c r="G2230" s="19" t="n">
        <f aca="false">'CEMIUP0.9 Raw'!G681</f>
        <v>298.105263157895</v>
      </c>
      <c r="H2230" s="18" t="str">
        <f aca="false">'CEMIUP0.9 Raw'!A681</f>
        <v>113 - Kupat Holim Meuhedet</v>
      </c>
    </row>
    <row r="2231" customFormat="false" ht="15" hidden="false" customHeight="false" outlineLevel="0" collapsed="false">
      <c r="A2231" s="18" t="n">
        <f aca="false">'CEMIUP0.9 Raw'!B682</f>
        <v>4403017</v>
      </c>
      <c r="B2231" s="18" t="str">
        <f aca="false">'CEMIUP0.9 Raw'!C682</f>
        <v>394B גרב.כסף לסכרתים שחור35-38</v>
      </c>
      <c r="C2231" s="18" t="str">
        <f aca="false">'CEMIUP0.9 Raw'!C682</f>
        <v>394B גרב.כסף לסכרתים שחור35-38</v>
      </c>
      <c r="D2231" s="19" t="n">
        <f aca="false">'CEMIUP0.9 Raw'!D682</f>
        <v>63</v>
      </c>
      <c r="E2231" s="19" t="n">
        <f aca="false">'CEMIUP0.9 Raw'!E682</f>
        <v>1159.2</v>
      </c>
      <c r="F2231" s="19" t="n">
        <f aca="false">'CEMIUP0.9 Raw'!F682</f>
        <v>12.6315789473684</v>
      </c>
      <c r="G2231" s="19" t="n">
        <f aca="false">'CEMIUP0.9 Raw'!G682</f>
        <v>217.77852631579</v>
      </c>
      <c r="H2231" s="18" t="str">
        <f aca="false">'CEMIUP0.9 Raw'!A682</f>
        <v>113 - Kupat Holim Meuhedet</v>
      </c>
    </row>
    <row r="2232" customFormat="false" ht="15" hidden="false" customHeight="false" outlineLevel="0" collapsed="false">
      <c r="A2232" s="18" t="n">
        <f aca="false">'CEMIUP0.9 Raw'!B1022</f>
        <v>4408230</v>
      </c>
      <c r="B2232" s="18" t="str">
        <f aca="false">'CEMIUP0.9 Raw'!C1022</f>
        <v>16 L-XL חגורת הריון</v>
      </c>
      <c r="C2232" s="18" t="str">
        <f aca="false">'CEMIUP0.9 Raw'!C1022</f>
        <v>16 L-XL חגורת הריון</v>
      </c>
      <c r="D2232" s="19" t="n">
        <f aca="false">'CEMIUP0.9 Raw'!D1022</f>
        <v>4</v>
      </c>
      <c r="E2232" s="19" t="n">
        <f aca="false">'CEMIUP0.9 Raw'!E1022</f>
        <v>396.487</v>
      </c>
      <c r="F2232" s="19" t="n">
        <f aca="false">'CEMIUP0.9 Raw'!F1022</f>
        <v>12.6315789473684</v>
      </c>
      <c r="G2232" s="19" t="n">
        <f aca="false">'CEMIUP0.9 Raw'!G1022</f>
        <v>1252.12168421053</v>
      </c>
      <c r="H2232" s="18" t="str">
        <f aca="false">'CEMIUP0.9 Raw'!A1022</f>
        <v>BE (CEMI internal group)</v>
      </c>
    </row>
    <row r="2233" customFormat="false" ht="15" hidden="false" customHeight="false" outlineLevel="0" collapsed="false">
      <c r="A2233" s="18" t="n">
        <f aca="false">'CEMIUP0.9 Raw'!B1023</f>
        <v>4408231</v>
      </c>
      <c r="B2233" s="18" t="str">
        <f aca="false">'CEMIUP0.9 Raw'!C1023</f>
        <v>16 S-M חגורת הריון</v>
      </c>
      <c r="C2233" s="18" t="str">
        <f aca="false">'CEMIUP0.9 Raw'!C1023</f>
        <v>16 S-M חגורת הריון</v>
      </c>
      <c r="D2233" s="19" t="n">
        <f aca="false">'CEMIUP0.9 Raw'!D1023</f>
        <v>3</v>
      </c>
      <c r="E2233" s="19" t="n">
        <f aca="false">'CEMIUP0.9 Raw'!E1023</f>
        <v>297.388</v>
      </c>
      <c r="F2233" s="19" t="n">
        <f aca="false">'CEMIUP0.9 Raw'!F1023</f>
        <v>12.6315789473684</v>
      </c>
      <c r="G2233" s="19" t="n">
        <f aca="false">'CEMIUP0.9 Raw'!G1023</f>
        <v>1252.12168421053</v>
      </c>
      <c r="H2233" s="18" t="str">
        <f aca="false">'CEMIUP0.9 Raw'!A1023</f>
        <v>BE (CEMI internal group)</v>
      </c>
    </row>
    <row r="2234" customFormat="false" ht="15" hidden="false" customHeight="false" outlineLevel="0" collapsed="false">
      <c r="A2234" s="18" t="n">
        <f aca="false">'CEMIUP0.9 Raw'!B1028</f>
        <v>4408248</v>
      </c>
      <c r="B2234" s="18" t="str">
        <f aca="false">'CEMIUP0.9 Raw'!C1028</f>
        <v>SC25  M חבק יד</v>
      </c>
      <c r="C2234" s="18" t="str">
        <f aca="false">'CEMIUP0.9 Raw'!C1028</f>
        <v>SC25  M חבק יד</v>
      </c>
      <c r="D2234" s="19" t="n">
        <f aca="false">'CEMIUP0.9 Raw'!D1028</f>
        <v>3</v>
      </c>
      <c r="E2234" s="19" t="n">
        <f aca="false">'CEMIUP0.9 Raw'!E1028</f>
        <v>179.361</v>
      </c>
      <c r="F2234" s="19" t="n">
        <f aca="false">'CEMIUP0.9 Raw'!F1028</f>
        <v>12.6315789473684</v>
      </c>
      <c r="G2234" s="19" t="n">
        <f aca="false">'CEMIUP0.9 Raw'!G1028</f>
        <v>856.242947368421</v>
      </c>
      <c r="H2234" s="18" t="str">
        <f aca="false">'CEMIUP0.9 Raw'!A1028</f>
        <v>BE (CEMI internal group)</v>
      </c>
    </row>
    <row r="2235" customFormat="false" ht="15" hidden="false" customHeight="false" outlineLevel="0" collapsed="false">
      <c r="A2235" s="18" t="n">
        <f aca="false">'CEMIUP0.9 Raw'!B1148</f>
        <v>4413197</v>
      </c>
      <c r="B2235" s="18" t="str">
        <f aca="false">'CEMIUP0.9 Raw'!C1148</f>
        <v>87 L מקבע כתף ויד</v>
      </c>
      <c r="C2235" s="18" t="str">
        <f aca="false">'CEMIUP0.9 Raw'!C1148</f>
        <v>87 L מקבע כתף ויד</v>
      </c>
      <c r="D2235" s="19" t="n">
        <f aca="false">'CEMIUP0.9 Raw'!D1148</f>
        <v>13</v>
      </c>
      <c r="E2235" s="19" t="n">
        <f aca="false">'CEMIUP0.9 Raw'!E1148</f>
        <v>2087.358</v>
      </c>
      <c r="F2235" s="19" t="n">
        <f aca="false">'CEMIUP0.9 Raw'!F1148</f>
        <v>12.6315789473684</v>
      </c>
      <c r="G2235" s="19" t="n">
        <f aca="false">'CEMIUP0.9 Raw'!G1148</f>
        <v>2028.13136842105</v>
      </c>
      <c r="H2235" s="18" t="str">
        <f aca="false">'CEMIUP0.9 Raw'!A1148</f>
        <v>BE (CEMI internal group)</v>
      </c>
    </row>
    <row r="2236" customFormat="false" ht="15" hidden="false" customHeight="false" outlineLevel="0" collapsed="false">
      <c r="A2236" s="18" t="n">
        <f aca="false">'CEMIUP0.9 Raw'!B91</f>
        <v>4408076</v>
      </c>
      <c r="B2236" s="18" t="str">
        <f aca="false">'CEMIUP0.9 Raw'!C91</f>
        <v>59L L חגורת שבר לצד שמאל</v>
      </c>
      <c r="C2236" s="18" t="str">
        <f aca="false">'CEMIUP0.9 Raw'!C91</f>
        <v>59L L חגורת שבר לצד שמאל</v>
      </c>
      <c r="D2236" s="19" t="n">
        <f aca="false">'CEMIUP0.9 Raw'!D91</f>
        <v>8</v>
      </c>
      <c r="E2236" s="19" t="n">
        <f aca="false">'CEMIUP0.9 Raw'!E91</f>
        <v>1423.255</v>
      </c>
      <c r="F2236" s="19" t="n">
        <f aca="false">'CEMIUP0.9 Raw'!F91</f>
        <v>11.3684210526316</v>
      </c>
      <c r="G2236" s="19" t="n">
        <f aca="false">'CEMIUP0.9 Raw'!G91</f>
        <v>1918.39957894737</v>
      </c>
      <c r="H2236" s="18" t="str">
        <f aca="false">'CEMIUP0.9 Raw'!A91</f>
        <v>107 - Pharmacies</v>
      </c>
    </row>
    <row r="2237" customFormat="false" ht="15" hidden="false" customHeight="false" outlineLevel="0" collapsed="false">
      <c r="A2237" s="18" t="n">
        <f aca="false">'CEMIUP0.9 Raw'!B118</f>
        <v>4408116</v>
      </c>
      <c r="B2237" s="18" t="str">
        <f aca="false">'CEMIUP0.9 Raw'!C118</f>
        <v>11EU XLח.בטן לאחר ניתוח</v>
      </c>
      <c r="C2237" s="18" t="str">
        <f aca="false">'CEMIUP0.9 Raw'!C118</f>
        <v>11EU XLח.בטן לאחר ניתוח</v>
      </c>
      <c r="D2237" s="19" t="n">
        <f aca="false">'CEMIUP0.9 Raw'!D118</f>
        <v>35</v>
      </c>
      <c r="E2237" s="19" t="n">
        <f aca="false">'CEMIUP0.9 Raw'!E118</f>
        <v>3306.4</v>
      </c>
      <c r="F2237" s="19" t="n">
        <f aca="false">'CEMIUP0.9 Raw'!F118</f>
        <v>11.3684210526316</v>
      </c>
      <c r="G2237" s="19" t="n">
        <f aca="false">'CEMIUP0.9 Raw'!G118</f>
        <v>1139.01347368421</v>
      </c>
      <c r="H2237" s="18" t="str">
        <f aca="false">'CEMIUP0.9 Raw'!A118</f>
        <v>107 - Pharmacies</v>
      </c>
    </row>
    <row r="2238" customFormat="false" ht="15" hidden="false" customHeight="false" outlineLevel="0" collapsed="false">
      <c r="A2238" s="18" t="n">
        <f aca="false">'CEMIUP0.9 Raw'!B402</f>
        <v>4413406</v>
      </c>
      <c r="B2238" s="18" t="str">
        <f aca="false">'CEMIUP0.9 Raw'!C402</f>
        <v>SC95 M מגן מרפק</v>
      </c>
      <c r="C2238" s="18" t="str">
        <f aca="false">'CEMIUP0.9 Raw'!C402</f>
        <v>SC95 M מגן מרפק</v>
      </c>
      <c r="D2238" s="19" t="n">
        <f aca="false">'CEMIUP0.9 Raw'!D402</f>
        <v>11</v>
      </c>
      <c r="E2238" s="19" t="n">
        <f aca="false">'CEMIUP0.9 Raw'!E402</f>
        <v>895.907</v>
      </c>
      <c r="F2238" s="19" t="n">
        <f aca="false">'CEMIUP0.9 Raw'!F402</f>
        <v>11.3684210526316</v>
      </c>
      <c r="G2238" s="19" t="n">
        <f aca="false">'CEMIUP0.9 Raw'!G402</f>
        <v>990.362526315789</v>
      </c>
      <c r="H2238" s="18" t="str">
        <f aca="false">'CEMIUP0.9 Raw'!A402</f>
        <v>107 - Pharmacies</v>
      </c>
    </row>
    <row r="2239" customFormat="false" ht="15" hidden="false" customHeight="false" outlineLevel="0" collapsed="false">
      <c r="A2239" s="18" t="n">
        <f aca="false">'CEMIUP0.9 Raw'!B458</f>
        <v>4413525</v>
      </c>
      <c r="B2239" s="18" t="str">
        <f aca="false">'CEMIUP0.9 Raw'!C458</f>
        <v>43-47 מדרסי אפיק ג'ל נוחות</v>
      </c>
      <c r="C2239" s="18" t="str">
        <f aca="false">'CEMIUP0.9 Raw'!C458</f>
        <v>43-47 מדרסי אפיק ג'ל נוחות</v>
      </c>
      <c r="D2239" s="19" t="n">
        <f aca="false">'CEMIUP0.9 Raw'!D458</f>
        <v>20</v>
      </c>
      <c r="E2239" s="19" t="n">
        <f aca="false">'CEMIUP0.9 Raw'!E458</f>
        <v>1923.74</v>
      </c>
      <c r="F2239" s="19" t="n">
        <f aca="false">'CEMIUP0.9 Raw'!F458</f>
        <v>11.3684210526316</v>
      </c>
      <c r="G2239" s="19" t="n">
        <f aca="false">'CEMIUP0.9 Raw'!G458</f>
        <v>1096.48294736842</v>
      </c>
      <c r="H2239" s="18" t="str">
        <f aca="false">'CEMIUP0.9 Raw'!A458</f>
        <v>107 - Pharmacies</v>
      </c>
    </row>
    <row r="2240" customFormat="false" ht="15" hidden="false" customHeight="false" outlineLevel="0" collapsed="false">
      <c r="A2240" s="18" t="n">
        <f aca="false">'CEMIUP0.9 Raw'!B476</f>
        <v>4415019</v>
      </c>
      <c r="B2240" s="18" t="str">
        <f aca="false">'CEMIUP0.9 Raw'!C476</f>
        <v>333 סד לקרסול עם כריות אויר</v>
      </c>
      <c r="C2240" s="18" t="str">
        <f aca="false">'CEMIUP0.9 Raw'!C476</f>
        <v>333 סד לקרסול עם כריות אויר</v>
      </c>
      <c r="D2240" s="19" t="n">
        <f aca="false">'CEMIUP0.9 Raw'!D476</f>
        <v>10</v>
      </c>
      <c r="E2240" s="19" t="n">
        <f aca="false">'CEMIUP0.9 Raw'!E476</f>
        <v>1240.148</v>
      </c>
      <c r="F2240" s="19" t="n">
        <f aca="false">'CEMIUP0.9 Raw'!F476</f>
        <v>11.3684210526316</v>
      </c>
      <c r="G2240" s="19" t="n">
        <f aca="false">'CEMIUP0.9 Raw'!G476</f>
        <v>1258.55873684211</v>
      </c>
      <c r="H2240" s="18" t="str">
        <f aca="false">'CEMIUP0.9 Raw'!A476</f>
        <v>107 - Pharmacies</v>
      </c>
    </row>
    <row r="2241" customFormat="false" ht="15" hidden="false" customHeight="false" outlineLevel="0" collapsed="false">
      <c r="A2241" s="18" t="n">
        <f aca="false">'CEMIUP0.9 Raw'!B557</f>
        <v>4420027</v>
      </c>
      <c r="B2241" s="18" t="str">
        <f aca="false">'CEMIUP0.9 Raw'!C557</f>
        <v>370K 0 רפידת לילדים אנטי ריח</v>
      </c>
      <c r="C2241" s="18" t="str">
        <f aca="false">'CEMIUP0.9 Raw'!C557</f>
        <v>370K 0 רפידת לילדים אנטי ריח</v>
      </c>
      <c r="D2241" s="19" t="n">
        <f aca="false">'CEMIUP0.9 Raw'!D557</f>
        <v>58</v>
      </c>
      <c r="E2241" s="19" t="n">
        <f aca="false">'CEMIUP0.9 Raw'!E557</f>
        <v>617.799</v>
      </c>
      <c r="F2241" s="19" t="n">
        <f aca="false">'CEMIUP0.9 Raw'!F557</f>
        <v>11.3684210526316</v>
      </c>
      <c r="G2241" s="19" t="n">
        <f aca="false">'CEMIUP0.9 Raw'!G557</f>
        <v>129.315789473684</v>
      </c>
      <c r="H2241" s="18" t="str">
        <f aca="false">'CEMIUP0.9 Raw'!A557</f>
        <v>107 - Pharmacies</v>
      </c>
    </row>
    <row r="2242" customFormat="false" ht="15" hidden="false" customHeight="false" outlineLevel="0" collapsed="false">
      <c r="A2242" s="18" t="n">
        <f aca="false">'CEMIUP0.9 Raw'!B765</f>
        <v>4411029</v>
      </c>
      <c r="B2242" s="18" t="str">
        <f aca="false">'CEMIUP0.9 Raw'!C765</f>
        <v>213CTSR L ימין CTS כפפות</v>
      </c>
      <c r="C2242" s="18" t="str">
        <f aca="false">'CEMIUP0.9 Raw'!C765</f>
        <v>213CTSR L ימין CTS כפפות</v>
      </c>
      <c r="D2242" s="19" t="n">
        <f aca="false">'CEMIUP0.9 Raw'!D765</f>
        <v>0</v>
      </c>
      <c r="E2242" s="19" t="n">
        <f aca="false">'CEMIUP0.9 Raw'!E765</f>
        <v>0</v>
      </c>
      <c r="F2242" s="19" t="n">
        <f aca="false">'CEMIUP0.9 Raw'!F765</f>
        <v>11.3684210526316</v>
      </c>
      <c r="G2242" s="19" t="n">
        <f aca="false">'CEMIUP0.9 Raw'!G765</f>
        <v>734.513684210526</v>
      </c>
      <c r="H2242" s="18" t="str">
        <f aca="false">'CEMIUP0.9 Raw'!A765</f>
        <v>113 - Kupat Holim Meuhedet</v>
      </c>
    </row>
    <row r="2243" customFormat="false" ht="15" hidden="false" customHeight="false" outlineLevel="0" collapsed="false">
      <c r="A2243" s="18" t="n">
        <f aca="false">'CEMIUP0.9 Raw'!B816</f>
        <v>4413144</v>
      </c>
      <c r="B2243" s="18" t="str">
        <f aca="false">'CEMIUP0.9 Raw'!C816</f>
        <v>95 XXL מגן מרפק רגיל לבן</v>
      </c>
      <c r="C2243" s="18" t="str">
        <f aca="false">'CEMIUP0.9 Raw'!C816</f>
        <v>95 XXL מגן מרפק רגיל לבן</v>
      </c>
      <c r="D2243" s="19" t="n">
        <f aca="false">'CEMIUP0.9 Raw'!D816</f>
        <v>13</v>
      </c>
      <c r="E2243" s="19" t="n">
        <f aca="false">'CEMIUP0.9 Raw'!E816</f>
        <v>221</v>
      </c>
      <c r="F2243" s="19" t="n">
        <f aca="false">'CEMIUP0.9 Raw'!F816</f>
        <v>11.3684210526316</v>
      </c>
      <c r="G2243" s="19" t="n">
        <f aca="false">'CEMIUP0.9 Raw'!G816</f>
        <v>191.330526315789</v>
      </c>
      <c r="H2243" s="18" t="str">
        <f aca="false">'CEMIUP0.9 Raw'!A816</f>
        <v>113 - Kupat Holim Meuhedet</v>
      </c>
    </row>
    <row r="2244" customFormat="false" ht="15" hidden="false" customHeight="false" outlineLevel="0" collapsed="false">
      <c r="A2244" s="18" t="n">
        <f aca="false">'CEMIUP0.9 Raw'!B874</f>
        <v>4422005</v>
      </c>
      <c r="B2244" s="18" t="str">
        <f aca="false">'CEMIUP0.9 Raw'!C874</f>
        <v>T78 M תומך זרוע וכתף</v>
      </c>
      <c r="C2244" s="18" t="str">
        <f aca="false">'CEMIUP0.9 Raw'!C874</f>
        <v>T78 M תומך זרוע וכתף</v>
      </c>
      <c r="D2244" s="19" t="n">
        <f aca="false">'CEMIUP0.9 Raw'!D874</f>
        <v>16</v>
      </c>
      <c r="E2244" s="19" t="n">
        <f aca="false">'CEMIUP0.9 Raw'!E874</f>
        <v>2059.36</v>
      </c>
      <c r="F2244" s="19" t="n">
        <f aca="false">'CEMIUP0.9 Raw'!F874</f>
        <v>11.3684210526316</v>
      </c>
      <c r="G2244" s="19" t="n">
        <f aca="false">'CEMIUP0.9 Raw'!G874</f>
        <v>1338.46863157895</v>
      </c>
      <c r="H2244" s="18" t="str">
        <f aca="false">'CEMIUP0.9 Raw'!A874</f>
        <v>113 - Kupat Holim Meuhedet</v>
      </c>
    </row>
    <row r="2245" customFormat="false" ht="15" hidden="false" customHeight="false" outlineLevel="0" collapsed="false">
      <c r="A2245" s="18" t="str">
        <f aca="false">'CEMIUP0.9 Raw'!B906</f>
        <v>390G-39-42</v>
      </c>
      <c r="B2245" s="18" t="str">
        <f aca="false">'CEMIUP0.9 Raw'!C906</f>
        <v>390G-39-42</v>
      </c>
      <c r="C2245" s="18" t="str">
        <f aca="false">'CEMIUP0.9 Raw'!C906</f>
        <v>390G-39-42</v>
      </c>
      <c r="D2245" s="19" t="n">
        <f aca="false">'CEMIUP0.9 Raw'!D906</f>
        <v>31</v>
      </c>
      <c r="E2245" s="19" t="n">
        <f aca="false">'CEMIUP0.9 Raw'!E906</f>
        <v>731.6</v>
      </c>
      <c r="F2245" s="19" t="n">
        <f aca="false">'CEMIUP0.9 Raw'!F906</f>
        <v>11.3684210526316</v>
      </c>
      <c r="G2245" s="19" t="n">
        <f aca="false">'CEMIUP0.9 Raw'!G906</f>
        <v>268.294736842105</v>
      </c>
      <c r="H2245" s="18" t="str">
        <f aca="false">'CEMIUP0.9 Raw'!A906</f>
        <v>113 - Kupat Holim Meuhedet</v>
      </c>
    </row>
    <row r="2246" customFormat="false" ht="15" hidden="false" customHeight="false" outlineLevel="0" collapsed="false">
      <c r="A2246" s="18" t="n">
        <f aca="false">'CEMIUP0.9 Raw'!B1145</f>
        <v>4413185</v>
      </c>
      <c r="B2246" s="18" t="str">
        <f aca="false">'CEMIUP0.9 Raw'!C1145</f>
        <v>T 45XL מגן ברך רגיל</v>
      </c>
      <c r="C2246" s="18" t="str">
        <f aca="false">'CEMIUP0.9 Raw'!C1145</f>
        <v>T 45XL מגן ברך רגיל</v>
      </c>
      <c r="D2246" s="19" t="n">
        <f aca="false">'CEMIUP0.9 Raw'!D1145</f>
        <v>19</v>
      </c>
      <c r="E2246" s="19" t="n">
        <f aca="false">'CEMIUP0.9 Raw'!E1145</f>
        <v>1677.585</v>
      </c>
      <c r="F2246" s="19" t="n">
        <f aca="false">'CEMIUP0.9 Raw'!F1145</f>
        <v>11.3684210526316</v>
      </c>
      <c r="G2246" s="19" t="n">
        <f aca="false">'CEMIUP0.9 Raw'!G1145</f>
        <v>1003.72042105263</v>
      </c>
      <c r="H2246" s="18" t="str">
        <f aca="false">'CEMIUP0.9 Raw'!A1145</f>
        <v>BE (CEMI internal group)</v>
      </c>
    </row>
    <row r="2247" customFormat="false" ht="15" hidden="false" customHeight="false" outlineLevel="0" collapsed="false">
      <c r="A2247" s="18" t="n">
        <f aca="false">'CEMIUP0.9 Raw'!B1149</f>
        <v>4413198</v>
      </c>
      <c r="B2247" s="18" t="str">
        <f aca="false">'CEMIUP0.9 Raw'!C1149</f>
        <v>87 XL מקבע כתף ויד</v>
      </c>
      <c r="C2247" s="18" t="str">
        <f aca="false">'CEMIUP0.9 Raw'!C1149</f>
        <v>87 XL מקבע כתף ויד</v>
      </c>
      <c r="D2247" s="19" t="n">
        <f aca="false">'CEMIUP0.9 Raw'!D1149</f>
        <v>8</v>
      </c>
      <c r="E2247" s="19" t="n">
        <f aca="false">'CEMIUP0.9 Raw'!E1149</f>
        <v>1284.465</v>
      </c>
      <c r="F2247" s="19" t="n">
        <f aca="false">'CEMIUP0.9 Raw'!F1149</f>
        <v>11.3684210526316</v>
      </c>
      <c r="G2247" s="19" t="n">
        <f aca="false">'CEMIUP0.9 Raw'!G1149</f>
        <v>1825.36421052632</v>
      </c>
      <c r="H2247" s="18" t="str">
        <f aca="false">'CEMIUP0.9 Raw'!A1149</f>
        <v>BE (CEMI internal group)</v>
      </c>
    </row>
    <row r="2248" customFormat="false" ht="15" hidden="false" customHeight="false" outlineLevel="0" collapsed="false">
      <c r="A2248" s="18" t="n">
        <f aca="false">'CEMIUP0.9 Raw'!B1187</f>
        <v>4413425</v>
      </c>
      <c r="B2248" s="18" t="str">
        <f aca="false">'CEMIUP0.9 Raw'!C1187</f>
        <v>SC35R  M מגן קרסול ימין</v>
      </c>
      <c r="C2248" s="18" t="str">
        <f aca="false">'CEMIUP0.9 Raw'!C1187</f>
        <v>SC35R  M מגן קרסול ימין</v>
      </c>
      <c r="D2248" s="19" t="n">
        <f aca="false">'CEMIUP0.9 Raw'!D1187</f>
        <v>0</v>
      </c>
      <c r="E2248" s="19" t="n">
        <f aca="false">'CEMIUP0.9 Raw'!E1187</f>
        <v>-23.933</v>
      </c>
      <c r="F2248" s="19" t="n">
        <f aca="false">'CEMIUP0.9 Raw'!F1187</f>
        <v>11.3684210526316</v>
      </c>
      <c r="G2248" s="19" t="n">
        <f aca="false">'CEMIUP0.9 Raw'!G1187</f>
        <v>770.722105263158</v>
      </c>
      <c r="H2248" s="18" t="str">
        <f aca="false">'CEMIUP0.9 Raw'!A1187</f>
        <v>BE (CEMI internal group)</v>
      </c>
    </row>
    <row r="2249" customFormat="false" ht="15" hidden="false" customHeight="false" outlineLevel="0" collapsed="false">
      <c r="A2249" s="18" t="n">
        <f aca="false">'CEMIUP0.9 Raw'!B1193</f>
        <v>4413442</v>
      </c>
      <c r="B2249" s="18" t="str">
        <f aca="false">'CEMIUP0.9 Raw'!C1193</f>
        <v>SC422 XXLמגן ברך</v>
      </c>
      <c r="C2249" s="18" t="str">
        <f aca="false">'CEMIUP0.9 Raw'!C1193</f>
        <v>SC422 XXLמגן ברך</v>
      </c>
      <c r="D2249" s="19" t="n">
        <f aca="false">'CEMIUP0.9 Raw'!D1193</f>
        <v>0</v>
      </c>
      <c r="E2249" s="19" t="n">
        <f aca="false">'CEMIUP0.9 Raw'!E1193</f>
        <v>-85.54</v>
      </c>
      <c r="F2249" s="19" t="n">
        <f aca="false">'CEMIUP0.9 Raw'!F1193</f>
        <v>11.3684210526316</v>
      </c>
      <c r="G2249" s="19" t="n">
        <f aca="false">'CEMIUP0.9 Raw'!G1193</f>
        <v>1404.54189473684</v>
      </c>
      <c r="H2249" s="18" t="str">
        <f aca="false">'CEMIUP0.9 Raw'!A1193</f>
        <v>BE (CEMI internal group)</v>
      </c>
    </row>
    <row r="2250" customFormat="false" ht="15" hidden="false" customHeight="false" outlineLevel="0" collapsed="false">
      <c r="A2250" s="18" t="n">
        <f aca="false">'CEMIUP0.9 Raw'!B1284</f>
        <v>4403006</v>
      </c>
      <c r="B2250" s="18" t="str">
        <f aca="false">'CEMIUP0.9 Raw'!C1284</f>
        <v>390W גרב כסף לסכרתיים לבן35-38</v>
      </c>
      <c r="C2250" s="18" t="str">
        <f aca="false">'CEMIUP0.9 Raw'!C1284</f>
        <v>390W גרב כסף לסכרתיים לבן35-38</v>
      </c>
      <c r="D2250" s="19" t="n">
        <f aca="false">'CEMIUP0.9 Raw'!D1284</f>
        <v>20</v>
      </c>
      <c r="E2250" s="19" t="n">
        <f aca="false">'CEMIUP0.9 Raw'!E1284</f>
        <v>532.987</v>
      </c>
      <c r="F2250" s="19" t="n">
        <f aca="false">'CEMIUP0.9 Raw'!F1284</f>
        <v>11.3684210526316</v>
      </c>
      <c r="G2250" s="19" t="n">
        <f aca="false">'CEMIUP0.9 Raw'!G1284</f>
        <v>301.506947368421</v>
      </c>
      <c r="H2250" s="18" t="str">
        <f aca="false">'CEMIUP0.9 Raw'!A1284</f>
        <v>Super-Pharm Israel (CEMI internal group)</v>
      </c>
    </row>
    <row r="2251" customFormat="false" ht="15" hidden="false" customHeight="false" outlineLevel="0" collapsed="false">
      <c r="A2251" s="18" t="n">
        <f aca="false">'CEMIUP0.9 Raw'!B1364</f>
        <v>4408151</v>
      </c>
      <c r="B2251" s="18" t="str">
        <f aca="false">'CEMIUP0.9 Raw'!C1364</f>
        <v>11TO M חגורה למנותחי בית החזה</v>
      </c>
      <c r="C2251" s="18" t="str">
        <f aca="false">'CEMIUP0.9 Raw'!C1364</f>
        <v>11TO M חגורה למנותחי בית החזה</v>
      </c>
      <c r="D2251" s="19" t="n">
        <f aca="false">'CEMIUP0.9 Raw'!D1364</f>
        <v>13</v>
      </c>
      <c r="E2251" s="19" t="n">
        <f aca="false">'CEMIUP0.9 Raw'!E1364</f>
        <v>1586.676</v>
      </c>
      <c r="F2251" s="19" t="n">
        <f aca="false">'CEMIUP0.9 Raw'!F1364</f>
        <v>11.3684210526316</v>
      </c>
      <c r="G2251" s="19" t="n">
        <f aca="false">'CEMIUP0.9 Raw'!G1364</f>
        <v>1362.35621052632</v>
      </c>
      <c r="H2251" s="18" t="str">
        <f aca="false">'CEMIUP0.9 Raw'!A1364</f>
        <v>Super-Pharm Israel (CEMI internal group)</v>
      </c>
    </row>
    <row r="2252" customFormat="false" ht="15" hidden="false" customHeight="false" outlineLevel="0" collapsed="false">
      <c r="A2252" s="18" t="n">
        <f aca="false">'CEMIUP0.9 Raw'!B1505</f>
        <v>4413134</v>
      </c>
      <c r="B2252" s="18" t="str">
        <f aca="false">'CEMIUP0.9 Raw'!C1505</f>
        <v>76 XLמיישר כתף יציב יישור רחב</v>
      </c>
      <c r="C2252" s="18" t="str">
        <f aca="false">'CEMIUP0.9 Raw'!C1505</f>
        <v>76 XLמיישר כתף יציב יישור רחב</v>
      </c>
      <c r="D2252" s="19" t="n">
        <f aca="false">'CEMIUP0.9 Raw'!D1505</f>
        <v>2</v>
      </c>
      <c r="E2252" s="19" t="n">
        <f aca="false">'CEMIUP0.9 Raw'!E1505</f>
        <v>298.207</v>
      </c>
      <c r="F2252" s="19" t="n">
        <f aca="false">'CEMIUP0.9 Raw'!F1505</f>
        <v>11.3684210526316</v>
      </c>
      <c r="G2252" s="19" t="n">
        <f aca="false">'CEMIUP0.9 Raw'!G1505</f>
        <v>1865.48084210526</v>
      </c>
      <c r="H2252" s="18" t="str">
        <f aca="false">'CEMIUP0.9 Raw'!A1505</f>
        <v>Super-Pharm Israel (CEMI internal group)</v>
      </c>
    </row>
    <row r="2253" customFormat="false" ht="15" hidden="false" customHeight="false" outlineLevel="0" collapsed="false">
      <c r="A2253" s="18" t="n">
        <f aca="false">'CEMIUP0.9 Raw'!B1574</f>
        <v>4413406</v>
      </c>
      <c r="B2253" s="18" t="str">
        <f aca="false">'CEMIUP0.9 Raw'!C1574</f>
        <v>SC95 M מגן מרפק</v>
      </c>
      <c r="C2253" s="18" t="str">
        <f aca="false">'CEMIUP0.9 Raw'!C1574</f>
        <v>SC95 M מגן מרפק</v>
      </c>
      <c r="D2253" s="19" t="n">
        <f aca="false">'CEMIUP0.9 Raw'!D1574</f>
        <v>8</v>
      </c>
      <c r="E2253" s="19" t="n">
        <f aca="false">'CEMIUP0.9 Raw'!E1574</f>
        <v>552.461</v>
      </c>
      <c r="F2253" s="19" t="n">
        <f aca="false">'CEMIUP0.9 Raw'!F1574</f>
        <v>11.3684210526316</v>
      </c>
      <c r="G2253" s="19" t="n">
        <f aca="false">'CEMIUP0.9 Raw'!G1574</f>
        <v>780.952421052632</v>
      </c>
      <c r="H2253" s="18" t="str">
        <f aca="false">'CEMIUP0.9 Raw'!A1574</f>
        <v>Super-Pharm Israel (CEMI internal group)</v>
      </c>
    </row>
    <row r="2254" customFormat="false" ht="15" hidden="false" customHeight="false" outlineLevel="0" collapsed="false">
      <c r="A2254" s="18" t="str">
        <f aca="false">'SALES Raw'!G11</f>
        <v/>
      </c>
      <c r="B2254" s="18" t="str">
        <f aca="false">'SALES Raw'!B11</f>
        <v>M93</v>
      </c>
      <c r="C2254" s="18" t="str">
        <f aca="false">'SALES Raw'!H11</f>
        <v>M93</v>
      </c>
      <c r="D2254" s="19" t="n">
        <f aca="false">'SALES Raw'!C11</f>
        <v>33</v>
      </c>
      <c r="E2254" s="19" t="n">
        <f aca="false">'SALES Raw'!D11</f>
        <v>983.03</v>
      </c>
      <c r="F2254" s="19" t="n">
        <f aca="false">'SALES Raw'!E11*$H$4</f>
        <v>11.3684210526316</v>
      </c>
      <c r="G2254" s="19" t="n">
        <f aca="false">'SALES Raw'!F11*$H$4</f>
        <v>343.578947368421</v>
      </c>
      <c r="H2254" s="18" t="str">
        <f aca="false">'SALES Raw'!A11</f>
        <v>101 - Factory customers</v>
      </c>
    </row>
    <row r="2255" customFormat="false" ht="15" hidden="false" customHeight="false" outlineLevel="0" collapsed="false">
      <c r="A2255" s="18" t="n">
        <f aca="false">'SALES Raw'!G60</f>
        <v>4421006</v>
      </c>
      <c r="B2255" s="18" t="str">
        <f aca="false">'SALES Raw'!B60</f>
        <v>251 0</v>
      </c>
      <c r="C2255" s="18" t="str">
        <f aca="false">'SALES Raw'!H60</f>
        <v>שרוול לגבס ארוך יד</v>
      </c>
      <c r="D2255" s="19" t="n">
        <f aca="false">'SALES Raw'!C60</f>
        <v>5</v>
      </c>
      <c r="E2255" s="19" t="n">
        <f aca="false">'SALES Raw'!D60</f>
        <v>206.61</v>
      </c>
      <c r="F2255" s="19" t="n">
        <f aca="false">'SALES Raw'!E60*$H$4</f>
        <v>11.3684210526316</v>
      </c>
      <c r="G2255" s="19" t="n">
        <f aca="false">'SALES Raw'!F60*$H$4</f>
        <v>413.583157894737</v>
      </c>
      <c r="H2255" s="18" t="str">
        <f aca="false">'SALES Raw'!A60</f>
        <v>101 - Factory customers</v>
      </c>
    </row>
    <row r="2256" customFormat="false" ht="15" hidden="false" customHeight="false" outlineLevel="0" collapsed="false">
      <c r="A2256" s="18" t="str">
        <f aca="false">'SALES Raw'!G452</f>
        <v/>
      </c>
      <c r="B2256" s="18" t="str">
        <f aca="false">'SALES Raw'!B452</f>
        <v>67813000</v>
      </c>
      <c r="C2256" s="18" t="str">
        <f aca="false">'SALES Raw'!H452</f>
        <v>67813000</v>
      </c>
      <c r="D2256" s="19" t="n">
        <f aca="false">'SALES Raw'!C452</f>
        <v>12</v>
      </c>
      <c r="E2256" s="19" t="n">
        <f aca="false">'SALES Raw'!D452</f>
        <v>0.08</v>
      </c>
      <c r="F2256" s="19" t="n">
        <f aca="false">'SALES Raw'!E452*$H$4</f>
        <v>11.3684210526316</v>
      </c>
      <c r="G2256" s="19" t="n">
        <f aca="false">'SALES Raw'!F452*$H$4</f>
        <v>0.113684210526316</v>
      </c>
      <c r="H2256" s="18" t="str">
        <f aca="false">'SALES Raw'!A452</f>
        <v>101 - Factory customers</v>
      </c>
    </row>
    <row r="2257" customFormat="false" ht="15" hidden="false" customHeight="false" outlineLevel="0" collapsed="false">
      <c r="A2257" s="18" t="n">
        <f aca="false">'SALES Raw'!G537</f>
        <v>4411027</v>
      </c>
      <c r="B2257" s="18" t="str">
        <f aca="false">'SALES Raw'!B537</f>
        <v>213CTSL M</v>
      </c>
      <c r="C2257" s="18" t="str">
        <f aca="false">'SALES Raw'!H537</f>
        <v>213CTSL M שמאל CTS כפפות</v>
      </c>
      <c r="D2257" s="19" t="n">
        <f aca="false">'SALES Raw'!C537</f>
        <v>23</v>
      </c>
      <c r="E2257" s="19" t="n">
        <f aca="false">'SALES Raw'!D537</f>
        <v>2070.3</v>
      </c>
      <c r="F2257" s="19" t="n">
        <f aca="false">'SALES Raw'!E537*$H$4</f>
        <v>11.3684210526316</v>
      </c>
      <c r="G2257" s="19" t="n">
        <f aca="false">'SALES Raw'!F537*$H$4</f>
        <v>1023.15789473684</v>
      </c>
      <c r="H2257" s="18" t="str">
        <f aca="false">'SALES Raw'!A537</f>
        <v>102 - Orthopedic institutes</v>
      </c>
    </row>
    <row r="2258" customFormat="false" ht="15" hidden="false" customHeight="false" outlineLevel="0" collapsed="false">
      <c r="A2258" s="18" t="n">
        <f aca="false">'SALES Raw'!G540</f>
        <v>4411030</v>
      </c>
      <c r="B2258" s="18" t="str">
        <f aca="false">'SALES Raw'!B540</f>
        <v>213CTSR M</v>
      </c>
      <c r="C2258" s="18" t="str">
        <f aca="false">'SALES Raw'!H540</f>
        <v>213CTSR M ימין CTS כפפות</v>
      </c>
      <c r="D2258" s="19" t="n">
        <f aca="false">'SALES Raw'!C540</f>
        <v>24</v>
      </c>
      <c r="E2258" s="19" t="n">
        <f aca="false">'SALES Raw'!D540</f>
        <v>2160.3</v>
      </c>
      <c r="F2258" s="19" t="n">
        <f aca="false">'SALES Raw'!E540*$H$4</f>
        <v>11.3684210526316</v>
      </c>
      <c r="G2258" s="19" t="n">
        <f aca="false">'SALES Raw'!F540*$H$4</f>
        <v>1023.15789473684</v>
      </c>
      <c r="H2258" s="18" t="str">
        <f aca="false">'SALES Raw'!A540</f>
        <v>102 - Orthopedic institutes</v>
      </c>
    </row>
    <row r="2259" customFormat="false" ht="15" hidden="false" customHeight="false" outlineLevel="0" collapsed="false">
      <c r="A2259" s="18" t="n">
        <f aca="false">'SALES Raw'!G563</f>
        <v>4408080</v>
      </c>
      <c r="B2259" s="18" t="str">
        <f aca="false">'SALES Raw'!B563</f>
        <v>59R L</v>
      </c>
      <c r="C2259" s="18" t="str">
        <f aca="false">'SALES Raw'!H563</f>
        <v>59R L חגורת שבר לצד ימין</v>
      </c>
      <c r="D2259" s="19" t="n">
        <f aca="false">'SALES Raw'!C563</f>
        <v>22</v>
      </c>
      <c r="E2259" s="19" t="n">
        <f aca="false">'SALES Raw'!D563</f>
        <v>2896.91</v>
      </c>
      <c r="F2259" s="19" t="n">
        <f aca="false">'SALES Raw'!E563*$H$4</f>
        <v>11.3684210526316</v>
      </c>
      <c r="G2259" s="19" t="n">
        <f aca="false">'SALES Raw'!F563*$H$4</f>
        <v>1653.77684210526</v>
      </c>
      <c r="H2259" s="18" t="str">
        <f aca="false">'SALES Raw'!A563</f>
        <v>102 - Orthopedic institutes</v>
      </c>
    </row>
    <row r="2260" customFormat="false" ht="15" hidden="false" customHeight="false" outlineLevel="0" collapsed="false">
      <c r="A2260" s="18" t="n">
        <f aca="false">'SALES Raw'!G580</f>
        <v>4413195</v>
      </c>
      <c r="B2260" s="18" t="str">
        <f aca="false">'SALES Raw'!B580</f>
        <v>87 S</v>
      </c>
      <c r="C2260" s="18" t="str">
        <f aca="false">'SALES Raw'!H580</f>
        <v>87 S מקבע כתף ויד</v>
      </c>
      <c r="D2260" s="19" t="n">
        <f aca="false">'SALES Raw'!C580</f>
        <v>13</v>
      </c>
      <c r="E2260" s="19" t="n">
        <f aca="false">'SALES Raw'!D580</f>
        <v>1743.81</v>
      </c>
      <c r="F2260" s="19" t="n">
        <f aca="false">'SALES Raw'!E580*$H$4</f>
        <v>11.3684210526316</v>
      </c>
      <c r="G2260" s="19" t="n">
        <f aca="false">'SALES Raw'!F580*$H$4</f>
        <v>1591.66736842105</v>
      </c>
      <c r="H2260" s="18" t="str">
        <f aca="false">'SALES Raw'!A580</f>
        <v>102 - Orthopedic institutes</v>
      </c>
    </row>
    <row r="2261" customFormat="false" ht="15" hidden="false" customHeight="false" outlineLevel="0" collapsed="false">
      <c r="A2261" s="18" t="n">
        <f aca="false">'SALES Raw'!G590</f>
        <v>4408217</v>
      </c>
      <c r="B2261" s="18" t="str">
        <f aca="false">'SALES Raw'!B590</f>
        <v>078 S</v>
      </c>
      <c r="C2261" s="18" t="str">
        <f aca="false">'SALES Raw'!H590</f>
        <v>S078 חגורת גב +סגירה כפולה</v>
      </c>
      <c r="D2261" s="19" t="n">
        <f aca="false">'SALES Raw'!C590</f>
        <v>3</v>
      </c>
      <c r="E2261" s="19" t="n">
        <f aca="false">'SALES Raw'!D590</f>
        <v>239.99</v>
      </c>
      <c r="F2261" s="19" t="n">
        <f aca="false">'SALES Raw'!E590*$H$4</f>
        <v>11.3684210526316</v>
      </c>
      <c r="G2261" s="19" t="n">
        <f aca="false">'SALES Raw'!F590*$H$4</f>
        <v>1023.18315789474</v>
      </c>
      <c r="H2261" s="18" t="str">
        <f aca="false">'SALES Raw'!A590</f>
        <v>102 - Orthopedic institutes</v>
      </c>
    </row>
    <row r="2262" customFormat="false" ht="15" hidden="false" customHeight="false" outlineLevel="0" collapsed="false">
      <c r="A2262" s="18" t="n">
        <f aca="false">'SALES Raw'!G596</f>
        <v>4413022</v>
      </c>
      <c r="B2262" s="18" t="str">
        <f aca="false">'SALES Raw'!B596</f>
        <v>303-45-46</v>
      </c>
      <c r="C2262" s="18" t="str">
        <f aca="false">'SALES Raw'!H596</f>
        <v>303 45-46 מדרסי סיליק.לח.סכרת</v>
      </c>
      <c r="D2262" s="19" t="n">
        <f aca="false">'SALES Raw'!C596</f>
        <v>12</v>
      </c>
      <c r="E2262" s="19" t="n">
        <f aca="false">'SALES Raw'!D596</f>
        <v>1421.97</v>
      </c>
      <c r="F2262" s="19" t="n">
        <f aca="false">'SALES Raw'!E596*$H$4</f>
        <v>11.3684210526316</v>
      </c>
      <c r="G2262" s="19" t="n">
        <f aca="false">'SALES Raw'!F596*$H$4</f>
        <v>1151.46947368421</v>
      </c>
      <c r="H2262" s="18" t="str">
        <f aca="false">'SALES Raw'!A596</f>
        <v>102 - Orthopedic institutes</v>
      </c>
    </row>
    <row r="2263" customFormat="false" ht="15" hidden="false" customHeight="false" outlineLevel="0" collapsed="false">
      <c r="A2263" s="18" t="n">
        <f aca="false">'SALES Raw'!G651</f>
        <v>4408079</v>
      </c>
      <c r="B2263" s="18" t="str">
        <f aca="false">'SALES Raw'!B651</f>
        <v>59R S</v>
      </c>
      <c r="C2263" s="18" t="str">
        <f aca="false">'SALES Raw'!H651</f>
        <v>59R S חגורת שבר לצד ימין</v>
      </c>
      <c r="D2263" s="19" t="n">
        <f aca="false">'SALES Raw'!C651</f>
        <v>15</v>
      </c>
      <c r="E2263" s="19" t="n">
        <f aca="false">'SALES Raw'!D651</f>
        <v>1981.14</v>
      </c>
      <c r="F2263" s="19" t="n">
        <f aca="false">'SALES Raw'!E651*$H$4</f>
        <v>11.3684210526316</v>
      </c>
      <c r="G2263" s="19" t="n">
        <f aca="false">'SALES Raw'!F651*$H$4</f>
        <v>1591.57894736842</v>
      </c>
      <c r="H2263" s="18" t="str">
        <f aca="false">'SALES Raw'!A651</f>
        <v>102 - Orthopedic institutes</v>
      </c>
    </row>
    <row r="2264" customFormat="false" ht="15" hidden="false" customHeight="false" outlineLevel="0" collapsed="false">
      <c r="A2264" s="18" t="n">
        <f aca="false">'SALES Raw'!G728</f>
        <v>4413139</v>
      </c>
      <c r="B2264" s="18" t="str">
        <f aca="false">'SALES Raw'!B728</f>
        <v>95 L</v>
      </c>
      <c r="C2264" s="18" t="str">
        <f aca="false">'SALES Raw'!H728</f>
        <v>95 L מגן מרפק רגיל לבן</v>
      </c>
      <c r="D2264" s="19" t="n">
        <f aca="false">'SALES Raw'!C728</f>
        <v>7</v>
      </c>
      <c r="E2264" s="19" t="n">
        <f aca="false">'SALES Raw'!D728</f>
        <v>216.24</v>
      </c>
      <c r="F2264" s="19" t="n">
        <f aca="false">'SALES Raw'!E728*$H$4</f>
        <v>11.3684210526316</v>
      </c>
      <c r="G2264" s="19" t="n">
        <f aca="false">'SALES Raw'!F728*$H$4</f>
        <v>351.183157894737</v>
      </c>
      <c r="H2264" s="18" t="str">
        <f aca="false">'SALES Raw'!A728</f>
        <v>102 - Orthopedic institutes</v>
      </c>
    </row>
    <row r="2265" customFormat="false" ht="15" hidden="false" customHeight="false" outlineLevel="0" collapsed="false">
      <c r="A2265" s="18" t="n">
        <f aca="false">'SALES Raw'!G737</f>
        <v>4408205</v>
      </c>
      <c r="B2265" s="18" t="str">
        <f aca="false">'SALES Raw'!B737</f>
        <v>AC07 0</v>
      </c>
      <c r="C2265" s="18" t="str">
        <f aca="false">'SALES Raw'!H737</f>
        <v>AC-07 חגורת גב עם תמיכות</v>
      </c>
      <c r="D2265" s="19" t="n">
        <f aca="false">'SALES Raw'!C737</f>
        <v>7</v>
      </c>
      <c r="E2265" s="19" t="n">
        <f aca="false">'SALES Raw'!D737</f>
        <v>649.36</v>
      </c>
      <c r="F2265" s="19" t="n">
        <f aca="false">'SALES Raw'!E737*$H$4</f>
        <v>11.3684210526316</v>
      </c>
      <c r="G2265" s="19" t="n">
        <f aca="false">'SALES Raw'!F737*$H$4</f>
        <v>946.85052631579</v>
      </c>
      <c r="H2265" s="18" t="str">
        <f aca="false">'SALES Raw'!A737</f>
        <v>102 - Orthopedic institutes</v>
      </c>
    </row>
    <row r="2266" customFormat="false" ht="15" hidden="false" customHeight="false" outlineLevel="0" collapsed="false">
      <c r="A2266" s="18" t="n">
        <f aca="false">'SALES Raw'!G753</f>
        <v>4415002</v>
      </c>
      <c r="B2266" s="18" t="str">
        <f aca="false">'SALES Raw'!B753</f>
        <v>26 S</v>
      </c>
      <c r="C2266" s="18" t="str">
        <f aca="false">'SALES Raw'!H753</f>
        <v>26 S סד ליד דו צדדי לאחר שבר</v>
      </c>
      <c r="D2266" s="19" t="n">
        <f aca="false">'SALES Raw'!C753</f>
        <v>3</v>
      </c>
      <c r="E2266" s="19" t="n">
        <f aca="false">'SALES Raw'!D753</f>
        <v>300.65</v>
      </c>
      <c r="F2266" s="19" t="n">
        <f aca="false">'SALES Raw'!E753*$H$4</f>
        <v>11.3684210526316</v>
      </c>
      <c r="G2266" s="19" t="n">
        <f aca="false">'SALES Raw'!F753*$H$4</f>
        <v>1171.74315789474</v>
      </c>
      <c r="H2266" s="18" t="str">
        <f aca="false">'SALES Raw'!A753</f>
        <v>102 - Orthopedic institutes</v>
      </c>
    </row>
    <row r="2267" customFormat="false" ht="15" hidden="false" customHeight="false" outlineLevel="0" collapsed="false">
      <c r="A2267" s="18" t="n">
        <f aca="false">'SALES Raw'!G799</f>
        <v>4413127</v>
      </c>
      <c r="B2267" s="18" t="str">
        <f aca="false">'SALES Raw'!B799</f>
        <v>75 L</v>
      </c>
      <c r="C2267" s="18" t="str">
        <f aca="false">'SALES Raw'!H799</f>
        <v>75 Lמיישר כתף יציב יישור גב צר</v>
      </c>
      <c r="D2267" s="19" t="n">
        <f aca="false">'SALES Raw'!C799</f>
        <v>9</v>
      </c>
      <c r="E2267" s="19" t="n">
        <f aca="false">'SALES Raw'!D799</f>
        <v>1463.31</v>
      </c>
      <c r="F2267" s="19" t="n">
        <f aca="false">'SALES Raw'!E799*$H$4</f>
        <v>11.3684210526316</v>
      </c>
      <c r="G2267" s="19" t="n">
        <f aca="false">'SALES Raw'!F799*$H$4</f>
        <v>1850.72842105263</v>
      </c>
      <c r="H2267" s="18" t="str">
        <f aca="false">'SALES Raw'!A799</f>
        <v>102 - Orthopedic institutes</v>
      </c>
    </row>
    <row r="2268" customFormat="false" ht="15" hidden="false" customHeight="false" outlineLevel="0" collapsed="false">
      <c r="A2268" s="18" t="n">
        <f aca="false">'SALES Raw'!G845</f>
        <v>4408230</v>
      </c>
      <c r="B2268" s="18" t="str">
        <f aca="false">'SALES Raw'!B845</f>
        <v>16-L-XL</v>
      </c>
      <c r="C2268" s="18" t="str">
        <f aca="false">'SALES Raw'!H845</f>
        <v>16 L-XL חגורת הריון</v>
      </c>
      <c r="D2268" s="19" t="n">
        <f aca="false">'SALES Raw'!C845</f>
        <v>13</v>
      </c>
      <c r="E2268" s="19" t="n">
        <f aca="false">'SALES Raw'!D845</f>
        <v>1217.07</v>
      </c>
      <c r="F2268" s="19" t="n">
        <f aca="false">'SALES Raw'!E845*$H$4</f>
        <v>11.3684210526316</v>
      </c>
      <c r="G2268" s="19" t="n">
        <f aca="false">'SALES Raw'!F845*$H$4</f>
        <v>1023.20842105263</v>
      </c>
      <c r="H2268" s="18" t="str">
        <f aca="false">'SALES Raw'!A845</f>
        <v>102 - Orthopedic institutes</v>
      </c>
    </row>
    <row r="2269" customFormat="false" ht="15" hidden="false" customHeight="false" outlineLevel="0" collapsed="false">
      <c r="A2269" s="18" t="n">
        <f aca="false">'SALES Raw'!G872</f>
        <v>4408054</v>
      </c>
      <c r="B2269" s="18" t="str">
        <f aca="false">'SALES Raw'!B872</f>
        <v>21 XL</v>
      </c>
      <c r="C2269" s="18" t="str">
        <f aca="false">'SALES Raw'!H872</f>
        <v>21 XL חבק יד ארוך</v>
      </c>
      <c r="D2269" s="19" t="n">
        <f aca="false">'SALES Raw'!C872</f>
        <v>13</v>
      </c>
      <c r="E2269" s="19" t="n">
        <f aca="false">'SALES Raw'!D872</f>
        <v>514.66</v>
      </c>
      <c r="F2269" s="19" t="n">
        <f aca="false">'SALES Raw'!E872*$H$4</f>
        <v>11.3684210526316</v>
      </c>
      <c r="G2269" s="19" t="n">
        <f aca="false">'SALES Raw'!F872*$H$4</f>
        <v>452.412631578947</v>
      </c>
      <c r="H2269" s="18" t="str">
        <f aca="false">'SALES Raw'!A872</f>
        <v>102 - Orthopedic institutes</v>
      </c>
    </row>
    <row r="2270" customFormat="false" ht="15" hidden="false" customHeight="false" outlineLevel="0" collapsed="false">
      <c r="A2270" s="18" t="n">
        <f aca="false">'SALES Raw'!G942</f>
        <v>4413117</v>
      </c>
      <c r="B2270" s="18" t="str">
        <f aca="false">'SALES Raw'!B942</f>
        <v>50 L</v>
      </c>
      <c r="C2270" s="18" t="str">
        <f aca="false">'SALES Raw'!H942</f>
        <v>50 L מתלה אשכים לאחר ניתוח</v>
      </c>
      <c r="D2270" s="19" t="n">
        <f aca="false">'SALES Raw'!C942</f>
        <v>30</v>
      </c>
      <c r="E2270" s="19" t="n">
        <f aca="false">'SALES Raw'!D942</f>
        <v>3036.85</v>
      </c>
      <c r="F2270" s="19" t="n">
        <f aca="false">'SALES Raw'!E942*$H$4</f>
        <v>11.3684210526316</v>
      </c>
      <c r="G2270" s="19" t="n">
        <f aca="false">'SALES Raw'!F942*$H$4</f>
        <v>1225.11157894737</v>
      </c>
      <c r="H2270" s="18" t="str">
        <f aca="false">'SALES Raw'!A942</f>
        <v>102 - Orthopedic institutes</v>
      </c>
    </row>
    <row r="2271" customFormat="false" ht="15" hidden="false" customHeight="false" outlineLevel="0" collapsed="false">
      <c r="A2271" s="18" t="str">
        <f aca="false">'SALES Raw'!G957</f>
        <v/>
      </c>
      <c r="B2271" s="18" t="str">
        <f aca="false">'SALES Raw'!B957</f>
        <v>395W-43-46</v>
      </c>
      <c r="C2271" s="18" t="str">
        <f aca="false">'SALES Raw'!H957</f>
        <v>395W-43-46</v>
      </c>
      <c r="D2271" s="19" t="n">
        <f aca="false">'SALES Raw'!C957</f>
        <v>0</v>
      </c>
      <c r="E2271" s="19" t="n">
        <f aca="false">'SALES Raw'!D957</f>
        <v>0</v>
      </c>
      <c r="F2271" s="19" t="n">
        <f aca="false">'SALES Raw'!E957*$H$4</f>
        <v>11.3684210526316</v>
      </c>
      <c r="G2271" s="19" t="n">
        <f aca="false">'SALES Raw'!F957*$H$4</f>
        <v>335.583157894737</v>
      </c>
      <c r="H2271" s="18" t="str">
        <f aca="false">'SALES Raw'!A957</f>
        <v>102 - Orthopedic institutes</v>
      </c>
    </row>
    <row r="2272" customFormat="false" ht="15" hidden="false" customHeight="false" outlineLevel="0" collapsed="false">
      <c r="A2272" s="18" t="n">
        <f aca="false">'SALES Raw'!G974</f>
        <v>4413501</v>
      </c>
      <c r="B2272" s="18" t="str">
        <f aca="false">'SALES Raw'!B974</f>
        <v>95B M</v>
      </c>
      <c r="C2272" s="18" t="str">
        <f aca="false">'SALES Raw'!H974</f>
        <v>95B M מגן מרפק שחור</v>
      </c>
      <c r="D2272" s="19" t="n">
        <f aca="false">'SALES Raw'!C974</f>
        <v>16</v>
      </c>
      <c r="E2272" s="19" t="n">
        <f aca="false">'SALES Raw'!D974</f>
        <v>446.69</v>
      </c>
      <c r="F2272" s="19" t="n">
        <f aca="false">'SALES Raw'!E974*$H$4</f>
        <v>11.3684210526316</v>
      </c>
      <c r="G2272" s="19" t="n">
        <f aca="false">'SALES Raw'!F974*$H$4</f>
        <v>351.208421052632</v>
      </c>
      <c r="H2272" s="18" t="str">
        <f aca="false">'SALES Raw'!A974</f>
        <v>102 - Orthopedic institutes</v>
      </c>
    </row>
    <row r="2273" customFormat="false" ht="15" hidden="false" customHeight="false" outlineLevel="0" collapsed="false">
      <c r="A2273" s="18" t="n">
        <f aca="false">'SALES Raw'!G1211</f>
        <v>4415158</v>
      </c>
      <c r="B2273" s="18" t="str">
        <f aca="false">'SALES Raw'!B1211</f>
        <v>266 0</v>
      </c>
      <c r="C2273" s="18" t="str">
        <f aca="false">'SALES Raw'!H1211</f>
        <v>266 סד ליד דו צדדי</v>
      </c>
      <c r="D2273" s="19" t="n">
        <f aca="false">'SALES Raw'!C1211</f>
        <v>18</v>
      </c>
      <c r="E2273" s="19" t="n">
        <f aca="false">'SALES Raw'!D1211</f>
        <v>1075.39</v>
      </c>
      <c r="F2273" s="19" t="n">
        <f aca="false">'SALES Raw'!E1211*$H$4</f>
        <v>11.3684210526316</v>
      </c>
      <c r="G2273" s="19" t="n">
        <f aca="false">'SALES Raw'!F1211*$H$4</f>
        <v>756.505263157895</v>
      </c>
      <c r="H2273" s="18" t="str">
        <f aca="false">'SALES Raw'!A1211</f>
        <v>103 - Physiotherapy institutes</v>
      </c>
    </row>
    <row r="2274" customFormat="false" ht="15" hidden="false" customHeight="false" outlineLevel="0" collapsed="false">
      <c r="A2274" s="18" t="n">
        <f aca="false">'SALES Raw'!G1212</f>
        <v>4415159</v>
      </c>
      <c r="B2274" s="18" t="str">
        <f aca="false">'SALES Raw'!B1212</f>
        <v>268 0</v>
      </c>
      <c r="C2274" s="18" t="str">
        <f aca="false">'SALES Raw'!H1212</f>
        <v>268 סד לאגודל</v>
      </c>
      <c r="D2274" s="19" t="n">
        <f aca="false">'SALES Raw'!C1212</f>
        <v>13</v>
      </c>
      <c r="E2274" s="19" t="n">
        <f aca="false">'SALES Raw'!D1212</f>
        <v>964.99</v>
      </c>
      <c r="F2274" s="19" t="n">
        <f aca="false">'SALES Raw'!E1212*$H$4</f>
        <v>11.3684210526316</v>
      </c>
      <c r="G2274" s="19" t="n">
        <f aca="false">'SALES Raw'!F1212*$H$4</f>
        <v>776.842105263158</v>
      </c>
      <c r="H2274" s="18" t="str">
        <f aca="false">'SALES Raw'!A1212</f>
        <v>103 - Physiotherapy institutes</v>
      </c>
    </row>
    <row r="2275" customFormat="false" ht="15" hidden="false" customHeight="false" outlineLevel="0" collapsed="false">
      <c r="A2275" s="18" t="n">
        <f aca="false">'SALES Raw'!G1255</f>
        <v>4422039</v>
      </c>
      <c r="B2275" s="18" t="str">
        <f aca="false">'SALES Raw'!B1255</f>
        <v>SH422 3</v>
      </c>
      <c r="C2275" s="18" t="str">
        <f aca="false">'SALES Raw'!H1255</f>
        <v>SH422 3 תומך ברך גנושילד</v>
      </c>
      <c r="D2275" s="19" t="n">
        <f aca="false">'SALES Raw'!C1255</f>
        <v>5</v>
      </c>
      <c r="E2275" s="19" t="n">
        <f aca="false">'SALES Raw'!D1255</f>
        <v>600</v>
      </c>
      <c r="F2275" s="19" t="n">
        <f aca="false">'SALES Raw'!E1255*$H$4</f>
        <v>11.3684210526316</v>
      </c>
      <c r="G2275" s="19" t="n">
        <f aca="false">'SALES Raw'!F1255*$H$4</f>
        <v>1364.21052631579</v>
      </c>
      <c r="H2275" s="18" t="str">
        <f aca="false">'SALES Raw'!A1255</f>
        <v>103 - Physiotherapy institutes</v>
      </c>
    </row>
    <row r="2276" customFormat="false" ht="15" hidden="false" customHeight="false" outlineLevel="0" collapsed="false">
      <c r="A2276" s="18" t="n">
        <f aca="false">'SALES Raw'!G1340</f>
        <v>4408275</v>
      </c>
      <c r="B2276" s="18" t="str">
        <f aca="false">'SALES Raw'!B1340</f>
        <v>202 0</v>
      </c>
      <c r="C2276" s="18" t="str">
        <f aca="false">'SALES Raw'!H1340</f>
        <v>202  ONE SIZE חבק יד</v>
      </c>
      <c r="D2276" s="19" t="n">
        <f aca="false">'SALES Raw'!C1340</f>
        <v>0</v>
      </c>
      <c r="E2276" s="19" t="n">
        <f aca="false">'SALES Raw'!D1340</f>
        <v>0</v>
      </c>
      <c r="F2276" s="19" t="n">
        <f aca="false">'SALES Raw'!E1340*$H$4</f>
        <v>11.3684210526316</v>
      </c>
      <c r="G2276" s="19" t="n">
        <f aca="false">'SALES Raw'!F1340*$H$4</f>
        <v>461.343157894737</v>
      </c>
      <c r="H2276" s="18" t="str">
        <f aca="false">'SALES Raw'!A1340</f>
        <v>103 - Physiotherapy institutes</v>
      </c>
    </row>
    <row r="2277" customFormat="false" ht="15" hidden="false" customHeight="false" outlineLevel="0" collapsed="false">
      <c r="A2277" s="18" t="n">
        <f aca="false">'SALES Raw'!G1429</f>
        <v>4408266</v>
      </c>
      <c r="B2277" s="18" t="str">
        <f aca="false">'SALES Raw'!B1429</f>
        <v>91B 0</v>
      </c>
      <c r="C2277" s="18" t="str">
        <f aca="false">'SALES Raw'!H1429</f>
        <v>91B חבק טניס אלבו</v>
      </c>
      <c r="D2277" s="19" t="n">
        <f aca="false">'SALES Raw'!C1429</f>
        <v>23</v>
      </c>
      <c r="E2277" s="19" t="n">
        <f aca="false">'SALES Raw'!D1429</f>
        <v>1533.68</v>
      </c>
      <c r="F2277" s="19" t="n">
        <f aca="false">'SALES Raw'!E1429*$H$4</f>
        <v>11.3684210526316</v>
      </c>
      <c r="G2277" s="19" t="n">
        <f aca="false">'SALES Raw'!F1429*$H$4</f>
        <v>695.178947368421</v>
      </c>
      <c r="H2277" s="18" t="str">
        <f aca="false">'SALES Raw'!A1429</f>
        <v>103 - Physiotherapy institutes</v>
      </c>
    </row>
    <row r="2278" customFormat="false" ht="15" hidden="false" customHeight="false" outlineLevel="0" collapsed="false">
      <c r="A2278" s="18" t="n">
        <f aca="false">'SALES Raw'!G1791</f>
        <v>4408192</v>
      </c>
      <c r="B2278" s="18" t="str">
        <f aca="false">'SALES Raw'!B1791</f>
        <v>078 L</v>
      </c>
      <c r="C2278" s="18" t="str">
        <f aca="false">'SALES Raw'!H1791</f>
        <v>078 L חגורת גב +סגירה</v>
      </c>
      <c r="D2278" s="19" t="n">
        <f aca="false">'SALES Raw'!C1791</f>
        <v>14</v>
      </c>
      <c r="E2278" s="19" t="n">
        <f aca="false">'SALES Raw'!D1791</f>
        <v>1513.53</v>
      </c>
      <c r="F2278" s="19" t="n">
        <f aca="false">'SALES Raw'!E1791*$H$4</f>
        <v>11.3684210526316</v>
      </c>
      <c r="G2278" s="19" t="n">
        <f aca="false">'SALES Raw'!F1791*$H$4</f>
        <v>1475.38105263158</v>
      </c>
      <c r="H2278" s="18" t="str">
        <f aca="false">'SALES Raw'!A1791</f>
        <v>109 - Private Shops</v>
      </c>
    </row>
    <row r="2279" customFormat="false" ht="15" hidden="false" customHeight="false" outlineLevel="0" collapsed="false">
      <c r="A2279" s="18" t="n">
        <f aca="false">'SALES Raw'!G1811</f>
        <v>4413528</v>
      </c>
      <c r="B2279" s="18" t="str">
        <f aca="false">'SALES Raw'!B1811</f>
        <v>379WRK-39-42</v>
      </c>
      <c r="C2279" s="18" t="str">
        <f aca="false">'SALES Raw'!H1811</f>
        <v>39-42 מדרסי אפיק ג'ל עבודה</v>
      </c>
      <c r="D2279" s="19" t="n">
        <f aca="false">'SALES Raw'!C1811</f>
        <v>0</v>
      </c>
      <c r="E2279" s="19" t="n">
        <f aca="false">'SALES Raw'!D1811</f>
        <v>0</v>
      </c>
      <c r="F2279" s="19" t="n">
        <f aca="false">'SALES Raw'!E1811*$H$4</f>
        <v>11.3684210526316</v>
      </c>
      <c r="G2279" s="19" t="n">
        <f aca="false">'SALES Raw'!F1811*$H$4</f>
        <v>1200.93473684211</v>
      </c>
      <c r="H2279" s="18" t="str">
        <f aca="false">'SALES Raw'!A1811</f>
        <v>109 - Private Shops</v>
      </c>
    </row>
    <row r="2280" customFormat="false" ht="15" hidden="false" customHeight="false" outlineLevel="0" collapsed="false">
      <c r="A2280" s="18" t="n">
        <f aca="false">'SALES Raw'!G1922</f>
        <v>4403041</v>
      </c>
      <c r="B2280" s="18" t="str">
        <f aca="false">'SALES Raw'!B1922</f>
        <v>397A-35-38</v>
      </c>
      <c r="C2280" s="18" t="str">
        <f aca="false">'SALES Raw'!H1922</f>
        <v>397A-גרבי טיסה אנטי בקטרי35-38</v>
      </c>
      <c r="D2280" s="19" t="n">
        <f aca="false">'SALES Raw'!C1922</f>
        <v>0</v>
      </c>
      <c r="E2280" s="19" t="n">
        <f aca="false">'SALES Raw'!D1922</f>
        <v>0</v>
      </c>
      <c r="F2280" s="19" t="n">
        <f aca="false">'SALES Raw'!E1922*$H$4</f>
        <v>11.3684210526316</v>
      </c>
      <c r="G2280" s="19" t="n">
        <f aca="false">'SALES Raw'!F1922*$H$4</f>
        <v>654.934736842105</v>
      </c>
      <c r="H2280" s="18" t="str">
        <f aca="false">'SALES Raw'!A1922</f>
        <v>109 - Private Shops</v>
      </c>
    </row>
    <row r="2281" customFormat="false" ht="15" hidden="false" customHeight="false" outlineLevel="0" collapsed="false">
      <c r="A2281" s="18" t="str">
        <f aca="false">'SALES Raw'!G1933</f>
        <v/>
      </c>
      <c r="B2281" s="18" t="str">
        <f aca="false">'SALES Raw'!B1933</f>
        <v>84-S-M</v>
      </c>
      <c r="C2281" s="18" t="str">
        <f aca="false">'SALES Raw'!H1933</f>
        <v>84-S-M</v>
      </c>
      <c r="D2281" s="19" t="n">
        <f aca="false">'SALES Raw'!C1933</f>
        <v>17</v>
      </c>
      <c r="E2281" s="19" t="n">
        <f aca="false">'SALES Raw'!D1933</f>
        <v>2388.75</v>
      </c>
      <c r="F2281" s="19" t="n">
        <f aca="false">'SALES Raw'!E1933*$H$4</f>
        <v>11.3684210526316</v>
      </c>
      <c r="G2281" s="19" t="n">
        <f aca="false">'SALES Raw'!F1933*$H$4</f>
        <v>1598.09684210526</v>
      </c>
      <c r="H2281" s="18" t="str">
        <f aca="false">'SALES Raw'!A1933</f>
        <v>109 - Private Shops</v>
      </c>
    </row>
    <row r="2282" customFormat="false" ht="15" hidden="false" customHeight="false" outlineLevel="0" collapsed="false">
      <c r="A2282" s="18" t="n">
        <f aca="false">'SALES Raw'!G2171</f>
        <v>4411020</v>
      </c>
      <c r="B2282" s="18" t="str">
        <f aca="false">'SALES Raw'!B2171</f>
        <v>211 XL</v>
      </c>
      <c r="C2282" s="18" t="str">
        <f aca="false">'SALES Raw'!H2171</f>
        <v>211XL כפפות לחץ</v>
      </c>
      <c r="D2282" s="19" t="n">
        <f aca="false">'SALES Raw'!C2171</f>
        <v>8</v>
      </c>
      <c r="E2282" s="19" t="n">
        <f aca="false">'SALES Raw'!D2171</f>
        <v>507.82</v>
      </c>
      <c r="F2282" s="19" t="n">
        <f aca="false">'SALES Raw'!E2171*$H$4</f>
        <v>11.3684210526316</v>
      </c>
      <c r="G2282" s="19" t="n">
        <f aca="false">'SALES Raw'!F2171*$H$4</f>
        <v>733.414736842105</v>
      </c>
      <c r="H2282" s="18" t="str">
        <f aca="false">'SALES Raw'!A2171</f>
        <v>114 - IL online</v>
      </c>
    </row>
    <row r="2283" customFormat="false" ht="15" hidden="false" customHeight="false" outlineLevel="0" collapsed="false">
      <c r="A2283" s="18" t="n">
        <f aca="false">'SALES Raw'!G2187</f>
        <v>4419013</v>
      </c>
      <c r="B2283" s="18" t="str">
        <f aca="false">'SALES Raw'!B2187</f>
        <v>239B-L-XL</v>
      </c>
      <c r="C2283" s="18" t="str">
        <f aca="false">'SALES Raw'!H2187</f>
        <v>239B L-XL STRAP4U</v>
      </c>
      <c r="D2283" s="19" t="n">
        <f aca="false">'SALES Raw'!C2187</f>
        <v>22</v>
      </c>
      <c r="E2283" s="19" t="n">
        <f aca="false">'SALES Raw'!D2187</f>
        <v>750.39</v>
      </c>
      <c r="F2283" s="19" t="n">
        <f aca="false">'SALES Raw'!E2187*$H$4</f>
        <v>11.3684210526316</v>
      </c>
      <c r="G2283" s="19" t="n">
        <f aca="false">'SALES Raw'!F2187*$H$4</f>
        <v>394.029473684211</v>
      </c>
      <c r="H2283" s="18" t="str">
        <f aca="false">'SALES Raw'!A2187</f>
        <v>114 - IL online</v>
      </c>
    </row>
    <row r="2284" customFormat="false" ht="15" hidden="false" customHeight="false" outlineLevel="0" collapsed="false">
      <c r="A2284" s="18" t="n">
        <f aca="false">'SALES Raw'!G2227</f>
        <v>4413372</v>
      </c>
      <c r="B2284" s="18" t="str">
        <f aca="false">'SALES Raw'!B2227</f>
        <v>302W 0</v>
      </c>
      <c r="C2284" s="18" t="str">
        <f aca="false">'SALES Raw'!H2227</f>
        <v>302 W מדרס לאישה</v>
      </c>
      <c r="D2284" s="19" t="n">
        <f aca="false">'SALES Raw'!C2227</f>
        <v>3</v>
      </c>
      <c r="E2284" s="19" t="n">
        <f aca="false">'SALES Raw'!D2227</f>
        <v>367.11</v>
      </c>
      <c r="F2284" s="19" t="n">
        <f aca="false">'SALES Raw'!E2227*$H$4</f>
        <v>11.3684210526316</v>
      </c>
      <c r="G2284" s="19" t="n">
        <f aca="false">'SALES Raw'!F2227*$H$4</f>
        <v>1333.37684210526</v>
      </c>
      <c r="H2284" s="18" t="str">
        <f aca="false">'SALES Raw'!A2227</f>
        <v>114 - IL online</v>
      </c>
    </row>
    <row r="2285" customFormat="false" ht="15" hidden="false" customHeight="false" outlineLevel="0" collapsed="false">
      <c r="A2285" s="18" t="n">
        <f aca="false">'SALES Raw'!G2241</f>
        <v>4413155</v>
      </c>
      <c r="B2285" s="18" t="str">
        <f aca="false">'SALES Raw'!B2241</f>
        <v>305GA-39-40</v>
      </c>
      <c r="C2285" s="18" t="str">
        <f aca="false">'SALES Raw'!H2241</f>
        <v>305GA מדרס אורטופ.מתכוון39-40</v>
      </c>
      <c r="D2285" s="19" t="n">
        <f aca="false">'SALES Raw'!C2241</f>
        <v>13</v>
      </c>
      <c r="E2285" s="19" t="n">
        <f aca="false">'SALES Raw'!D2241</f>
        <v>1939.76</v>
      </c>
      <c r="F2285" s="19" t="n">
        <f aca="false">'SALES Raw'!E2241*$H$4</f>
        <v>11.3684210526316</v>
      </c>
      <c r="G2285" s="19" t="n">
        <f aca="false">'SALES Raw'!F2241*$H$4</f>
        <v>1739.70947368421</v>
      </c>
      <c r="H2285" s="18" t="str">
        <f aca="false">'SALES Raw'!A2241</f>
        <v>114 - IL online</v>
      </c>
    </row>
    <row r="2286" customFormat="false" ht="15" hidden="false" customHeight="false" outlineLevel="0" collapsed="false">
      <c r="A2286" s="18" t="n">
        <f aca="false">'SALES Raw'!G2272</f>
        <v>4413303</v>
      </c>
      <c r="B2286" s="18" t="str">
        <f aca="false">'SALES Raw'!B2272</f>
        <v>34+ XXL</v>
      </c>
      <c r="C2286" s="18" t="str">
        <f aca="false">'SALES Raw'!H2272</f>
        <v>34+XXL מ.קרסול+עכב סגור+רצועות</v>
      </c>
      <c r="D2286" s="19" t="n">
        <f aca="false">'SALES Raw'!C2272</f>
        <v>7</v>
      </c>
      <c r="E2286" s="19" t="n">
        <f aca="false">'SALES Raw'!D2272</f>
        <v>813.77</v>
      </c>
      <c r="F2286" s="19" t="n">
        <f aca="false">'SALES Raw'!E2272*$H$4</f>
        <v>11.3684210526316</v>
      </c>
      <c r="G2286" s="19" t="n">
        <f aca="false">'SALES Raw'!F2272*$H$4</f>
        <v>1396.04210526316</v>
      </c>
      <c r="H2286" s="18" t="str">
        <f aca="false">'SALES Raw'!A2272</f>
        <v>114 - IL online</v>
      </c>
    </row>
    <row r="2287" customFormat="false" ht="15" hidden="false" customHeight="false" outlineLevel="0" collapsed="false">
      <c r="A2287" s="18" t="n">
        <f aca="false">'SALES Raw'!G2279</f>
        <v>4413051</v>
      </c>
      <c r="B2287" s="18" t="str">
        <f aca="false">'SALES Raw'!B2279</f>
        <v>35 XXL</v>
      </c>
      <c r="C2287" s="18" t="str">
        <f aca="false">'SALES Raw'!H2279</f>
        <v>35 XXL מגן קרסול לבן</v>
      </c>
      <c r="D2287" s="19" t="n">
        <f aca="false">'SALES Raw'!C2279</f>
        <v>16</v>
      </c>
      <c r="E2287" s="19" t="n">
        <f aca="false">'SALES Raw'!D2279</f>
        <v>823.18</v>
      </c>
      <c r="F2287" s="19" t="n">
        <f aca="false">'SALES Raw'!E2279*$H$4</f>
        <v>11.3684210526316</v>
      </c>
      <c r="G2287" s="19" t="n">
        <f aca="false">'SALES Raw'!F2279*$H$4</f>
        <v>624.341052631579</v>
      </c>
      <c r="H2287" s="18" t="str">
        <f aca="false">'SALES Raw'!A2279</f>
        <v>114 - IL online</v>
      </c>
    </row>
    <row r="2288" customFormat="false" ht="15" hidden="false" customHeight="false" outlineLevel="0" collapsed="false">
      <c r="A2288" s="18" t="n">
        <f aca="false">'SALES Raw'!G2281</f>
        <v>4413492</v>
      </c>
      <c r="B2288" s="18" t="str">
        <f aca="false">'SALES Raw'!B2281</f>
        <v>35B M</v>
      </c>
      <c r="C2288" s="18" t="str">
        <f aca="false">'SALES Raw'!H2281</f>
        <v>35B M מגן קרסול שחור</v>
      </c>
      <c r="D2288" s="19" t="n">
        <f aca="false">'SALES Raw'!C2281</f>
        <v>10</v>
      </c>
      <c r="E2288" s="19" t="n">
        <f aca="false">'SALES Raw'!D2281</f>
        <v>505.44</v>
      </c>
      <c r="F2288" s="19" t="n">
        <f aca="false">'SALES Raw'!E2281*$H$4</f>
        <v>11.3684210526316</v>
      </c>
      <c r="G2288" s="19" t="n">
        <f aca="false">'SALES Raw'!F2281*$H$4</f>
        <v>634.926315789474</v>
      </c>
      <c r="H2288" s="18" t="str">
        <f aca="false">'SALES Raw'!A2281</f>
        <v>114 - IL online</v>
      </c>
    </row>
    <row r="2289" customFormat="false" ht="15" hidden="false" customHeight="false" outlineLevel="0" collapsed="false">
      <c r="A2289" s="18" t="n">
        <f aca="false">'SALES Raw'!G2285</f>
        <v>4413053</v>
      </c>
      <c r="B2289" s="18" t="str">
        <f aca="false">'SALES Raw'!B2285</f>
        <v>35C L</v>
      </c>
      <c r="C2289" s="18" t="str">
        <f aca="false">'SALES Raw'!H2285</f>
        <v>35C L מגן קרסול חום</v>
      </c>
      <c r="D2289" s="19" t="n">
        <f aca="false">'SALES Raw'!C2285</f>
        <v>13</v>
      </c>
      <c r="E2289" s="19" t="n">
        <f aca="false">'SALES Raw'!D2285</f>
        <v>636.69</v>
      </c>
      <c r="F2289" s="19" t="n">
        <f aca="false">'SALES Raw'!E2285*$H$4</f>
        <v>11.3684210526316</v>
      </c>
      <c r="G2289" s="19" t="n">
        <f aca="false">'SALES Raw'!F2285*$H$4</f>
        <v>557.33052631579</v>
      </c>
      <c r="H2289" s="18" t="str">
        <f aca="false">'SALES Raw'!A2285</f>
        <v>114 - IL online</v>
      </c>
    </row>
    <row r="2290" customFormat="false" ht="15" hidden="false" customHeight="false" outlineLevel="0" collapsed="false">
      <c r="A2290" s="18" t="n">
        <f aca="false">'SALES Raw'!G2287</f>
        <v>4413052</v>
      </c>
      <c r="B2290" s="18" t="str">
        <f aca="false">'SALES Raw'!B2287</f>
        <v>35C S</v>
      </c>
      <c r="C2290" s="18" t="str">
        <f aca="false">'SALES Raw'!H2287</f>
        <v>35C S מגן קרסול חום</v>
      </c>
      <c r="D2290" s="19" t="n">
        <f aca="false">'SALES Raw'!C2287</f>
        <v>11</v>
      </c>
      <c r="E2290" s="19" t="n">
        <f aca="false">'SALES Raw'!D2287</f>
        <v>565.17</v>
      </c>
      <c r="F2290" s="19" t="n">
        <f aca="false">'SALES Raw'!E2287*$H$4</f>
        <v>11.3684210526316</v>
      </c>
      <c r="G2290" s="19" t="n">
        <f aca="false">'SALES Raw'!F2287*$H$4</f>
        <v>599.633684210526</v>
      </c>
      <c r="H2290" s="18" t="str">
        <f aca="false">'SALES Raw'!A2287</f>
        <v>114 - IL online</v>
      </c>
    </row>
    <row r="2291" customFormat="false" ht="15" hidden="false" customHeight="false" outlineLevel="0" collapsed="false">
      <c r="A2291" s="18" t="str">
        <f aca="false">'SALES Raw'!G2298</f>
        <v/>
      </c>
      <c r="B2291" s="18" t="str">
        <f aca="false">'SALES Raw'!B2298</f>
        <v>364 S-L</v>
      </c>
      <c r="C2291" s="18" t="str">
        <f aca="false">'SALES Raw'!H2298</f>
        <v>364 S-L</v>
      </c>
      <c r="D2291" s="19" t="n">
        <f aca="false">'SALES Raw'!C2298</f>
        <v>0</v>
      </c>
      <c r="E2291" s="19" t="n">
        <f aca="false">'SALES Raw'!D2298</f>
        <v>0</v>
      </c>
      <c r="F2291" s="19" t="n">
        <f aca="false">'SALES Raw'!E2298*$H$4</f>
        <v>11.3684210526316</v>
      </c>
      <c r="G2291" s="19" t="n">
        <f aca="false">'SALES Raw'!F2298*$H$4</f>
        <v>291.12</v>
      </c>
      <c r="H2291" s="18" t="str">
        <f aca="false">'SALES Raw'!A2298</f>
        <v>114 - IL online</v>
      </c>
    </row>
    <row r="2292" customFormat="false" ht="15" hidden="false" customHeight="false" outlineLevel="0" collapsed="false">
      <c r="A2292" s="18" t="str">
        <f aca="false">'SALES Raw'!G2314</f>
        <v/>
      </c>
      <c r="B2292" s="18" t="str">
        <f aca="false">'SALES Raw'!B2314</f>
        <v>369 S-L</v>
      </c>
      <c r="C2292" s="18" t="str">
        <f aca="false">'SALES Raw'!H2314</f>
        <v>369 S-L</v>
      </c>
      <c r="D2292" s="19" t="n">
        <f aca="false">'SALES Raw'!C2314</f>
        <v>0</v>
      </c>
      <c r="E2292" s="19" t="n">
        <f aca="false">'SALES Raw'!D2314</f>
        <v>0</v>
      </c>
      <c r="F2292" s="19" t="n">
        <f aca="false">'SALES Raw'!E2314*$H$4</f>
        <v>11.3684210526316</v>
      </c>
      <c r="G2292" s="19" t="n">
        <f aca="false">'SALES Raw'!F2314*$H$4</f>
        <v>452.298947368421</v>
      </c>
      <c r="H2292" s="18" t="str">
        <f aca="false">'SALES Raw'!A2314</f>
        <v>114 - IL online</v>
      </c>
    </row>
    <row r="2293" customFormat="false" ht="15" hidden="false" customHeight="false" outlineLevel="0" collapsed="false">
      <c r="A2293" s="18" t="n">
        <f aca="false">'SALES Raw'!G2500</f>
        <v>4413130</v>
      </c>
      <c r="B2293" s="18" t="str">
        <f aca="false">'SALES Raw'!B2500</f>
        <v>75 XXL</v>
      </c>
      <c r="C2293" s="18" t="str">
        <f aca="false">'SALES Raw'!H2500</f>
        <v>75  XXL מיישר כתף יציב ישור צר</v>
      </c>
      <c r="D2293" s="19" t="n">
        <f aca="false">'SALES Raw'!C2500</f>
        <v>4</v>
      </c>
      <c r="E2293" s="19" t="n">
        <f aca="false">'SALES Raw'!D2500</f>
        <v>1082.33</v>
      </c>
      <c r="F2293" s="19" t="n">
        <f aca="false">'SALES Raw'!E2500*$H$4</f>
        <v>11.3684210526316</v>
      </c>
      <c r="G2293" s="19" t="n">
        <f aca="false">'SALES Raw'!F2500*$H$4</f>
        <v>3202.47157894737</v>
      </c>
      <c r="H2293" s="18" t="str">
        <f aca="false">'SALES Raw'!A2500</f>
        <v>114 - IL online</v>
      </c>
    </row>
    <row r="2294" customFormat="false" ht="15" hidden="false" customHeight="false" outlineLevel="0" collapsed="false">
      <c r="A2294" s="18" t="n">
        <f aca="false">'SALES Raw'!G2544</f>
        <v>4413135</v>
      </c>
      <c r="B2294" s="18" t="str">
        <f aca="false">'SALES Raw'!B2544</f>
        <v>85 L</v>
      </c>
      <c r="C2294" s="18" t="str">
        <f aca="false">'SALES Raw'!H2544</f>
        <v>85 L (מתלה ליד )כיס</v>
      </c>
      <c r="D2294" s="19" t="n">
        <f aca="false">'SALES Raw'!C2544</f>
        <v>7</v>
      </c>
      <c r="E2294" s="19" t="n">
        <f aca="false">'SALES Raw'!D2544</f>
        <v>701.97</v>
      </c>
      <c r="F2294" s="19" t="n">
        <f aca="false">'SALES Raw'!E2544*$H$4</f>
        <v>11.3684210526316</v>
      </c>
      <c r="G2294" s="19" t="n">
        <f aca="false">'SALES Raw'!F2544*$H$4</f>
        <v>1145.38105263158</v>
      </c>
      <c r="H2294" s="18" t="str">
        <f aca="false">'SALES Raw'!A2544</f>
        <v>114 - IL online</v>
      </c>
    </row>
    <row r="2295" customFormat="false" ht="15" hidden="false" customHeight="false" outlineLevel="0" collapsed="false">
      <c r="A2295" s="18" t="n">
        <f aca="false">'SALES Raw'!G2637</f>
        <v>4419006</v>
      </c>
      <c r="B2295" s="18" t="str">
        <f aca="false">'SALES Raw'!B2637</f>
        <v>PD340 0</v>
      </c>
      <c r="C2295" s="18" t="str">
        <f aca="false">'SALES Raw'!H2637</f>
        <v>PD340-קוצץ ציפורניים</v>
      </c>
      <c r="D2295" s="19" t="n">
        <f aca="false">'SALES Raw'!C2637</f>
        <v>12</v>
      </c>
      <c r="E2295" s="19" t="n">
        <f aca="false">'SALES Raw'!D2637</f>
        <v>288.08</v>
      </c>
      <c r="F2295" s="19" t="n">
        <f aca="false">'SALES Raw'!E2637*$H$4</f>
        <v>11.3684210526316</v>
      </c>
      <c r="G2295" s="19" t="n">
        <f aca="false">'SALES Raw'!F2637*$H$4</f>
        <v>282.833684210526</v>
      </c>
      <c r="H2295" s="18" t="str">
        <f aca="false">'SALES Raw'!A2637</f>
        <v>114 - IL online</v>
      </c>
    </row>
    <row r="2296" customFormat="false" ht="15" hidden="false" customHeight="false" outlineLevel="0" collapsed="false">
      <c r="A2296" s="18" t="n">
        <f aca="false">'SALES Raw'!G2656</f>
        <v>4413415</v>
      </c>
      <c r="B2296" s="18" t="str">
        <f aca="false">'SALES Raw'!B2656</f>
        <v>SC39 S</v>
      </c>
      <c r="C2296" s="18" t="str">
        <f aca="false">'SALES Raw'!H2656</f>
        <v>SC39  S מגן שוק</v>
      </c>
      <c r="D2296" s="19" t="n">
        <f aca="false">'SALES Raw'!C2656</f>
        <v>8</v>
      </c>
      <c r="E2296" s="19" t="n">
        <f aca="false">'SALES Raw'!D2656</f>
        <v>1905.33</v>
      </c>
      <c r="F2296" s="19" t="n">
        <f aca="false">'SALES Raw'!E2656*$H$4</f>
        <v>11.3684210526316</v>
      </c>
      <c r="G2296" s="19" t="n">
        <f aca="false">'SALES Raw'!F2656*$H$4</f>
        <v>3221.22947368421</v>
      </c>
      <c r="H2296" s="18" t="str">
        <f aca="false">'SALES Raw'!A2656</f>
        <v>114 - IL online</v>
      </c>
    </row>
    <row r="2297" customFormat="false" ht="15" hidden="false" customHeight="false" outlineLevel="0" collapsed="false">
      <c r="A2297" s="18" t="n">
        <f aca="false">'SALES Raw'!G2707</f>
        <v>4408099</v>
      </c>
      <c r="B2297" s="18" t="str">
        <f aca="false">'SALES Raw'!B2707</f>
        <v>T25C 0</v>
      </c>
      <c r="C2297" s="18" t="str">
        <f aca="false">'SALES Raw'!H2707</f>
        <v>T25C-חבק יד אגודלי</v>
      </c>
      <c r="D2297" s="19" t="n">
        <f aca="false">'SALES Raw'!C2707</f>
        <v>16</v>
      </c>
      <c r="E2297" s="19" t="n">
        <f aca="false">'SALES Raw'!D2707</f>
        <v>1155.27</v>
      </c>
      <c r="F2297" s="19" t="n">
        <f aca="false">'SALES Raw'!E2707*$H$4</f>
        <v>11.3684210526316</v>
      </c>
      <c r="G2297" s="19" t="n">
        <f aca="false">'SALES Raw'!F2707*$H$4</f>
        <v>903.675789473684</v>
      </c>
      <c r="H2297" s="18" t="str">
        <f aca="false">'SALES Raw'!A2707</f>
        <v>114 - IL online</v>
      </c>
    </row>
    <row r="2298" customFormat="false" ht="15" hidden="false" customHeight="false" outlineLevel="0" collapsed="false">
      <c r="A2298" s="18" t="str">
        <f aca="false">'SALES Raw'!G2717</f>
        <v/>
      </c>
      <c r="B2298" s="18" t="str">
        <f aca="false">'SALES Raw'!B2717</f>
        <v>T33 M</v>
      </c>
      <c r="C2298" s="18" t="str">
        <f aca="false">'SALES Raw'!H2717</f>
        <v>T33 M</v>
      </c>
      <c r="D2298" s="19" t="n">
        <f aca="false">'SALES Raw'!C2717</f>
        <v>2</v>
      </c>
      <c r="E2298" s="19" t="n">
        <f aca="false">'SALES Raw'!D2717</f>
        <v>508.3</v>
      </c>
      <c r="F2298" s="19" t="n">
        <f aca="false">'SALES Raw'!E2717*$H$4</f>
        <v>11.3684210526316</v>
      </c>
      <c r="G2298" s="19" t="n">
        <f aca="false">'SALES Raw'!F2717*$H$4</f>
        <v>2825.10315789474</v>
      </c>
      <c r="H2298" s="18" t="str">
        <f aca="false">'SALES Raw'!A2717</f>
        <v>114 - IL online</v>
      </c>
    </row>
    <row r="2299" customFormat="false" ht="15" hidden="false" customHeight="false" outlineLevel="0" collapsed="false">
      <c r="A2299" s="18" t="n">
        <f aca="false">'SALES Raw'!G2796</f>
        <v>4420017</v>
      </c>
      <c r="B2299" s="18" t="str">
        <f aca="false">'SALES Raw'!B2796</f>
        <v>4022 0</v>
      </c>
      <c r="C2299" s="18" t="str">
        <f aca="false">'SALES Raw'!H2796</f>
        <v>4022 רצועת """"פיקה""""+כרית</v>
      </c>
      <c r="D2299" s="19" t="n">
        <f aca="false">'SALES Raw'!C2796</f>
        <v>10</v>
      </c>
      <c r="E2299" s="19" t="n">
        <f aca="false">'SALES Raw'!D2796</f>
        <v>1711</v>
      </c>
      <c r="F2299" s="19" t="n">
        <f aca="false">'SALES Raw'!E2796*$H$4</f>
        <v>11.3684210526316</v>
      </c>
      <c r="G2299" s="19" t="n">
        <f aca="false">'SALES Raw'!F2796*$H$4</f>
        <v>1945.13684210526</v>
      </c>
      <c r="H2299" s="18" t="str">
        <f aca="false">'SALES Raw'!A2796</f>
        <v>115-SuperPharm Online</v>
      </c>
    </row>
    <row r="2300" customFormat="false" ht="15" hidden="false" customHeight="false" outlineLevel="0" collapsed="false">
      <c r="A2300" s="18" t="str">
        <f aca="false">'SALES Raw'!G3503</f>
        <v/>
      </c>
      <c r="B2300" s="18" t="str">
        <f aca="false">'SALES Raw'!B3503</f>
        <v>305-45-46</v>
      </c>
      <c r="C2300" s="18" t="str">
        <f aca="false">'SALES Raw'!H3503</f>
        <v>305-45-46</v>
      </c>
      <c r="D2300" s="19" t="n">
        <f aca="false">'SALES Raw'!C3503</f>
        <v>5</v>
      </c>
      <c r="E2300" s="19" t="n">
        <f aca="false">'SALES Raw'!D3503</f>
        <v>162.96</v>
      </c>
      <c r="F2300" s="19" t="n">
        <f aca="false">'SALES Raw'!E3503*$H$4</f>
        <v>11.3684210526316</v>
      </c>
      <c r="G2300" s="19" t="n">
        <f aca="false">'SALES Raw'!F3503*$H$4</f>
        <v>383.431578947368</v>
      </c>
      <c r="H2300" s="18" t="str">
        <f aca="false">'SALES Raw'!A3503</f>
        <v>207 - Salus HUNGARY</v>
      </c>
    </row>
    <row r="2301" customFormat="false" ht="15" hidden="false" customHeight="false" outlineLevel="0" collapsed="false">
      <c r="A2301" s="18" t="n">
        <f aca="false">'SALES Raw'!G3924</f>
        <v>4413494</v>
      </c>
      <c r="B2301" s="18" t="str">
        <f aca="false">'SALES Raw'!B3924</f>
        <v>35B XXL</v>
      </c>
      <c r="C2301" s="18" t="str">
        <f aca="false">'SALES Raw'!H3924</f>
        <v>35B XXL מגן קרסול שחור</v>
      </c>
      <c r="D2301" s="19" t="n">
        <f aca="false">'SALES Raw'!C3924</f>
        <v>0</v>
      </c>
      <c r="E2301" s="19" t="n">
        <f aca="false">'SALES Raw'!D3924</f>
        <v>0</v>
      </c>
      <c r="F2301" s="19" t="n">
        <f aca="false">'SALES Raw'!E3924*$H$4</f>
        <v>11.3684210526316</v>
      </c>
      <c r="G2301" s="19" t="n">
        <f aca="false">'SALES Raw'!F3924*$H$4</f>
        <v>117.221052631579</v>
      </c>
      <c r="H2301" s="18" t="str">
        <f aca="false">'SALES Raw'!A3924</f>
        <v>210 - Oy. Ea. Ab. FINLAND</v>
      </c>
    </row>
    <row r="2302" customFormat="false" ht="15" hidden="false" customHeight="false" outlineLevel="0" collapsed="false">
      <c r="A2302" s="18" t="str">
        <f aca="false">'SALES Raw'!G4046</f>
        <v/>
      </c>
      <c r="B2302" s="18" t="str">
        <f aca="false">'SALES Raw'!B4046</f>
        <v>25 M</v>
      </c>
      <c r="C2302" s="18" t="str">
        <f aca="false">'SALES Raw'!H4046</f>
        <v>25 M</v>
      </c>
      <c r="D2302" s="19" t="n">
        <f aca="false">'SALES Raw'!C4046</f>
        <v>15</v>
      </c>
      <c r="E2302" s="19" t="n">
        <f aca="false">'SALES Raw'!D4046</f>
        <v>496.51</v>
      </c>
      <c r="F2302" s="19" t="n">
        <f aca="false">'SALES Raw'!E4046*$H$4</f>
        <v>11.3684210526316</v>
      </c>
      <c r="G2302" s="19" t="n">
        <f aca="false">'SALES Raw'!F4046*$H$4</f>
        <v>331.225263157895</v>
      </c>
      <c r="H2302" s="18" t="str">
        <f aca="false">'SALES Raw'!A4046</f>
        <v>211 - Pharmag Lachmair Ges. Mbh AUSTRIA</v>
      </c>
    </row>
    <row r="2303" customFormat="false" ht="15" hidden="false" customHeight="false" outlineLevel="0" collapsed="false">
      <c r="A2303" s="18" t="n">
        <f aca="false">'SALES Raw'!G4172</f>
        <v>4408052</v>
      </c>
      <c r="B2303" s="18" t="str">
        <f aca="false">'SALES Raw'!B4172</f>
        <v>21 L</v>
      </c>
      <c r="C2303" s="18" t="str">
        <f aca="false">'SALES Raw'!H4172</f>
        <v>21 L  חבק יד ארוך</v>
      </c>
      <c r="D2303" s="19" t="n">
        <f aca="false">'SALES Raw'!C4172</f>
        <v>10</v>
      </c>
      <c r="E2303" s="19" t="n">
        <f aca="false">'SALES Raw'!D4172</f>
        <v>179.18</v>
      </c>
      <c r="F2303" s="19" t="n">
        <f aca="false">'SALES Raw'!E4172*$H$4</f>
        <v>11.3684210526316</v>
      </c>
      <c r="G2303" s="19" t="n">
        <f aca="false">'SALES Raw'!F4172*$H$4</f>
        <v>187.755789473684</v>
      </c>
      <c r="H2303" s="18" t="str">
        <f aca="false">'SALES Raw'!A4172</f>
        <v>216 - Max Konnaris CYPRUS</v>
      </c>
    </row>
    <row r="2304" customFormat="false" ht="15" hidden="false" customHeight="false" outlineLevel="0" collapsed="false">
      <c r="A2304" s="18" t="n">
        <f aca="false">'SALES Raw'!G4274</f>
        <v>4420016</v>
      </c>
      <c r="B2304" s="18" t="str">
        <f aca="false">'SALES Raw'!B4274</f>
        <v>40 0</v>
      </c>
      <c r="C2304" s="18" t="str">
        <f aca="false">'SALES Raw'!H4274</f>
        <v>40-רצועת פיקה לברך</v>
      </c>
      <c r="D2304" s="19" t="n">
        <f aca="false">'SALES Raw'!C4274</f>
        <v>6</v>
      </c>
      <c r="E2304" s="19" t="n">
        <f aca="false">'SALES Raw'!D4274</f>
        <v>141.33</v>
      </c>
      <c r="F2304" s="19" t="n">
        <f aca="false">'SALES Raw'!E4274*$H$4</f>
        <v>11.3684210526316</v>
      </c>
      <c r="G2304" s="19" t="n">
        <f aca="false">'SALES Raw'!F4274*$H$4</f>
        <v>253.061052631579</v>
      </c>
      <c r="H2304" s="18" t="str">
        <f aca="false">'SALES Raw'!A4274</f>
        <v>216 - Max Konnaris CYPRUS</v>
      </c>
    </row>
    <row r="2305" customFormat="false" ht="15" hidden="false" customHeight="false" outlineLevel="0" collapsed="false">
      <c r="A2305" s="18" t="n">
        <f aca="false">'SALES Raw'!G154</f>
        <v>4403041</v>
      </c>
      <c r="B2305" s="18" t="str">
        <f aca="false">'SALES Raw'!B154</f>
        <v>397A-35-38</v>
      </c>
      <c r="C2305" s="18" t="str">
        <f aca="false">'SALES Raw'!H154</f>
        <v>397A-גרבי טיסה אנטי בקטרי35-38</v>
      </c>
      <c r="D2305" s="19" t="n">
        <f aca="false">'SALES Raw'!C154</f>
        <v>0</v>
      </c>
      <c r="E2305" s="19" t="n">
        <f aca="false">'SALES Raw'!D154</f>
        <v>0</v>
      </c>
      <c r="F2305" s="19" t="n">
        <f aca="false">'SALES Raw'!E154*$H$4</f>
        <v>10.1052631578947</v>
      </c>
      <c r="G2305" s="19" t="n">
        <f aca="false">'SALES Raw'!F154*$H$4</f>
        <v>559.111578947368</v>
      </c>
      <c r="H2305" s="18" t="str">
        <f aca="false">'SALES Raw'!A154</f>
        <v>101 - Factory customers</v>
      </c>
    </row>
    <row r="2306" customFormat="false" ht="15" hidden="false" customHeight="false" outlineLevel="0" collapsed="false">
      <c r="A2306" s="18" t="n">
        <f aca="false">'SALES Raw'!G194</f>
        <v>4409013</v>
      </c>
      <c r="B2306" s="18" t="str">
        <f aca="false">'SALES Raw'!B194</f>
        <v>804AT-BL</v>
      </c>
      <c r="C2306" s="18" t="str">
        <f aca="false">'SALES Raw'!H194</f>
        <v>804AT-BL     טייפ חבישה לספורט</v>
      </c>
      <c r="D2306" s="19" t="n">
        <f aca="false">'SALES Raw'!C194</f>
        <v>0</v>
      </c>
      <c r="E2306" s="19" t="n">
        <f aca="false">'SALES Raw'!D194</f>
        <v>0</v>
      </c>
      <c r="F2306" s="19" t="n">
        <f aca="false">'SALES Raw'!E194*$H$4</f>
        <v>10.1052631578947</v>
      </c>
      <c r="G2306" s="19" t="n">
        <f aca="false">'SALES Raw'!F194*$H$4</f>
        <v>116.602105263158</v>
      </c>
      <c r="H2306" s="18" t="str">
        <f aca="false">'SALES Raw'!A194</f>
        <v>101 - Factory customers</v>
      </c>
    </row>
    <row r="2307" customFormat="false" ht="15" hidden="false" customHeight="false" outlineLevel="0" collapsed="false">
      <c r="A2307" s="18" t="n">
        <f aca="false">'SALES Raw'!G198</f>
        <v>4422032</v>
      </c>
      <c r="B2307" s="18" t="str">
        <f aca="false">'SALES Raw'!B198</f>
        <v>807CB-B</v>
      </c>
      <c r="C2307" s="18" t="str">
        <f aca="false">'SALES Raw'!H198</f>
        <v>807B-Bתחבושת נצמדת שחור 20 מ""""מ</v>
      </c>
      <c r="D2307" s="19" t="n">
        <f aca="false">'SALES Raw'!C198</f>
        <v>0</v>
      </c>
      <c r="E2307" s="19" t="n">
        <f aca="false">'SALES Raw'!D198</f>
        <v>0</v>
      </c>
      <c r="F2307" s="19" t="n">
        <f aca="false">'SALES Raw'!E198*$H$4</f>
        <v>10.1052631578947</v>
      </c>
      <c r="G2307" s="19" t="n">
        <f aca="false">'SALES Raw'!F198*$H$4</f>
        <v>127.389473684211</v>
      </c>
      <c r="H2307" s="18" t="str">
        <f aca="false">'SALES Raw'!A198</f>
        <v>101 - Factory customers</v>
      </c>
    </row>
    <row r="2308" customFormat="false" ht="15" hidden="false" customHeight="false" outlineLevel="0" collapsed="false">
      <c r="A2308" s="18" t="n">
        <f aca="false">'SALES Raw'!G202</f>
        <v>4409016</v>
      </c>
      <c r="B2308" s="18" t="str">
        <f aca="false">'SALES Raw'!B202</f>
        <v>808KT-C</v>
      </c>
      <c r="C2308" s="18" t="str">
        <f aca="false">'SALES Raw'!H202</f>
        <v>808KT-C        טייפ קינזיולוגי</v>
      </c>
      <c r="D2308" s="19" t="n">
        <f aca="false">'SALES Raw'!C202</f>
        <v>13</v>
      </c>
      <c r="E2308" s="19" t="n">
        <f aca="false">'SALES Raw'!D202</f>
        <v>658.5</v>
      </c>
      <c r="F2308" s="19" t="n">
        <f aca="false">'SALES Raw'!E202*$H$4</f>
        <v>10.1052631578947</v>
      </c>
      <c r="G2308" s="19" t="n">
        <f aca="false">'SALES Raw'!F202*$H$4</f>
        <v>621.044210526316</v>
      </c>
      <c r="H2308" s="18" t="str">
        <f aca="false">'SALES Raw'!A202</f>
        <v>101 - Factory customers</v>
      </c>
    </row>
    <row r="2309" customFormat="false" ht="15" hidden="false" customHeight="false" outlineLevel="0" collapsed="false">
      <c r="A2309" s="18" t="n">
        <f aca="false">'SALES Raw'!G221</f>
        <v>4408205</v>
      </c>
      <c r="B2309" s="18" t="str">
        <f aca="false">'SALES Raw'!B221</f>
        <v>AC07 0</v>
      </c>
      <c r="C2309" s="18" t="str">
        <f aca="false">'SALES Raw'!H221</f>
        <v>AC-07 חגורת גב עם תמיכות</v>
      </c>
      <c r="D2309" s="19" t="n">
        <f aca="false">'SALES Raw'!C221</f>
        <v>97</v>
      </c>
      <c r="E2309" s="19" t="n">
        <f aca="false">'SALES Raw'!D221</f>
        <v>7095.97</v>
      </c>
      <c r="F2309" s="19" t="n">
        <f aca="false">'SALES Raw'!E221*$H$4</f>
        <v>10.1052631578947</v>
      </c>
      <c r="G2309" s="19" t="n">
        <f aca="false">'SALES Raw'!F221*$H$4</f>
        <v>888.138947368421</v>
      </c>
      <c r="H2309" s="18" t="str">
        <f aca="false">'SALES Raw'!A221</f>
        <v>101 - Factory customers</v>
      </c>
    </row>
    <row r="2310" customFormat="false" ht="15" hidden="false" customHeight="false" outlineLevel="0" collapsed="false">
      <c r="A2310" s="18" t="n">
        <f aca="false">'SALES Raw'!G235</f>
        <v>4409004</v>
      </c>
      <c r="B2310" s="18" t="str">
        <f aca="false">'SALES Raw'!B235</f>
        <v>FC335 0</v>
      </c>
      <c r="C2310" s="18" t="str">
        <f aca="false">'SALES Raw'!H235</f>
        <v>FC335 טלק מעושר באלוורה</v>
      </c>
      <c r="D2310" s="19" t="n">
        <f aca="false">'SALES Raw'!C235</f>
        <v>37</v>
      </c>
      <c r="E2310" s="19" t="n">
        <f aca="false">'SALES Raw'!D235</f>
        <v>849.2</v>
      </c>
      <c r="F2310" s="19" t="n">
        <f aca="false">'SALES Raw'!E235*$H$4</f>
        <v>10.1052631578947</v>
      </c>
      <c r="G2310" s="19" t="n">
        <f aca="false">'SALES Raw'!F235*$H$4</f>
        <v>259.92</v>
      </c>
      <c r="H2310" s="18" t="str">
        <f aca="false">'SALES Raw'!A235</f>
        <v>101 - Factory customers</v>
      </c>
    </row>
    <row r="2311" customFormat="false" ht="15" hidden="false" customHeight="false" outlineLevel="0" collapsed="false">
      <c r="A2311" s="18" t="n">
        <f aca="false">'SALES Raw'!G247</f>
        <v>4408248</v>
      </c>
      <c r="B2311" s="18" t="str">
        <f aca="false">'SALES Raw'!B247</f>
        <v>SC25 M</v>
      </c>
      <c r="C2311" s="18" t="str">
        <f aca="false">'SALES Raw'!H247</f>
        <v>SC25  M חבק יד</v>
      </c>
      <c r="D2311" s="19" t="n">
        <f aca="false">'SALES Raw'!C247</f>
        <v>14</v>
      </c>
      <c r="E2311" s="19" t="n">
        <f aca="false">'SALES Raw'!D247</f>
        <v>1152.04</v>
      </c>
      <c r="F2311" s="19" t="n">
        <f aca="false">'SALES Raw'!E247*$H$4</f>
        <v>10.1052631578947</v>
      </c>
      <c r="G2311" s="19" t="n">
        <f aca="false">'SALES Raw'!F247*$H$4</f>
        <v>780.96</v>
      </c>
      <c r="H2311" s="18" t="str">
        <f aca="false">'SALES Raw'!A247</f>
        <v>101 - Factory customers</v>
      </c>
    </row>
    <row r="2312" customFormat="false" ht="15" hidden="false" customHeight="false" outlineLevel="0" collapsed="false">
      <c r="A2312" s="18" t="n">
        <f aca="false">'SALES Raw'!G263</f>
        <v>4403035</v>
      </c>
      <c r="B2312" s="18" t="str">
        <f aca="false">'SALES Raw'!B263</f>
        <v>ST3555-L-XL</v>
      </c>
      <c r="C2312" s="18" t="str">
        <f aca="false">'SALES Raw'!H263</f>
        <v>ST3555L-XLגרב לילה לטיפ.בדורבן</v>
      </c>
      <c r="D2312" s="19" t="n">
        <f aca="false">'SALES Raw'!C263</f>
        <v>18</v>
      </c>
      <c r="E2312" s="19" t="n">
        <f aca="false">'SALES Raw'!D263</f>
        <v>1385.33</v>
      </c>
      <c r="F2312" s="19" t="n">
        <f aca="false">'SALES Raw'!E263*$H$4</f>
        <v>10.1052631578947</v>
      </c>
      <c r="G2312" s="19" t="n">
        <f aca="false">'SALES Raw'!F263*$H$4</f>
        <v>656.854736842105</v>
      </c>
      <c r="H2312" s="18" t="str">
        <f aca="false">'SALES Raw'!A263</f>
        <v>101 - Factory customers</v>
      </c>
    </row>
    <row r="2313" customFormat="false" ht="15" hidden="false" customHeight="false" outlineLevel="0" collapsed="false">
      <c r="A2313" s="18" t="n">
        <f aca="false">'SALES Raw'!G264</f>
        <v>4403034</v>
      </c>
      <c r="B2313" s="18" t="str">
        <f aca="false">'SALES Raw'!B264</f>
        <v>ST3555-S-M</v>
      </c>
      <c r="C2313" s="18" t="str">
        <f aca="false">'SALES Raw'!H264</f>
        <v>ST3555 S-Mגרב לילה לטיפ.בדורבן</v>
      </c>
      <c r="D2313" s="19" t="n">
        <f aca="false">'SALES Raw'!C264</f>
        <v>17</v>
      </c>
      <c r="E2313" s="19" t="n">
        <f aca="false">'SALES Raw'!D264</f>
        <v>1296.07</v>
      </c>
      <c r="F2313" s="19" t="n">
        <f aca="false">'SALES Raw'!E264*$H$4</f>
        <v>10.1052631578947</v>
      </c>
      <c r="G2313" s="19" t="n">
        <f aca="false">'SALES Raw'!F264*$H$4</f>
        <v>656.867368421053</v>
      </c>
      <c r="H2313" s="18" t="str">
        <f aca="false">'SALES Raw'!A264</f>
        <v>101 - Factory customers</v>
      </c>
    </row>
    <row r="2314" customFormat="false" ht="15" hidden="false" customHeight="false" outlineLevel="0" collapsed="false">
      <c r="A2314" s="18" t="n">
        <f aca="false">'SALES Raw'!G312</f>
        <v>4403040</v>
      </c>
      <c r="B2314" s="18" t="str">
        <f aca="false">'SALES Raw'!B312</f>
        <v>3444B 0</v>
      </c>
      <c r="C2314" s="18" t="str">
        <f aca="false">'SALES Raw'!H312</f>
        <v>3444B גרבי ג'ל לריכוך עור העקב</v>
      </c>
      <c r="D2314" s="19" t="n">
        <f aca="false">'SALES Raw'!C312</f>
        <v>4</v>
      </c>
      <c r="E2314" s="19" t="n">
        <f aca="false">'SALES Raw'!D312</f>
        <v>174.79</v>
      </c>
      <c r="F2314" s="19" t="n">
        <f aca="false">'SALES Raw'!E312*$H$4</f>
        <v>10.1052631578947</v>
      </c>
      <c r="G2314" s="19" t="n">
        <f aca="false">'SALES Raw'!F312*$H$4</f>
        <v>378.492631578947</v>
      </c>
      <c r="H2314" s="18" t="str">
        <f aca="false">'SALES Raw'!A312</f>
        <v>101 - Factory customers</v>
      </c>
    </row>
    <row r="2315" customFormat="false" ht="15" hidden="false" customHeight="false" outlineLevel="0" collapsed="false">
      <c r="A2315" s="18" t="str">
        <f aca="false">'SALES Raw'!G595</f>
        <v/>
      </c>
      <c r="B2315" s="18" t="str">
        <f aca="false">'SALES Raw'!B595</f>
        <v>303-43-44</v>
      </c>
      <c r="C2315" s="18" t="str">
        <f aca="false">'SALES Raw'!H595</f>
        <v>303-43-44</v>
      </c>
      <c r="D2315" s="19" t="n">
        <f aca="false">'SALES Raw'!C595</f>
        <v>14</v>
      </c>
      <c r="E2315" s="19" t="n">
        <f aca="false">'SALES Raw'!D595</f>
        <v>1658.79</v>
      </c>
      <c r="F2315" s="19" t="n">
        <f aca="false">'SALES Raw'!E595*$H$4</f>
        <v>10.1052631578947</v>
      </c>
      <c r="G2315" s="19" t="n">
        <f aca="false">'SALES Raw'!F595*$H$4</f>
        <v>1001.73473684211</v>
      </c>
      <c r="H2315" s="18" t="str">
        <f aca="false">'SALES Raw'!A595</f>
        <v>102 - Orthopedic institutes</v>
      </c>
    </row>
    <row r="2316" customFormat="false" ht="15" hidden="false" customHeight="false" outlineLevel="0" collapsed="false">
      <c r="A2316" s="18" t="str">
        <f aca="false">'SALES Raw'!G653</f>
        <v/>
      </c>
      <c r="B2316" s="18" t="str">
        <f aca="false">'SALES Raw'!B653</f>
        <v>63 M</v>
      </c>
      <c r="C2316" s="18" t="str">
        <f aca="false">'SALES Raw'!H653</f>
        <v>63 M</v>
      </c>
      <c r="D2316" s="19" t="n">
        <f aca="false">'SALES Raw'!C653</f>
        <v>30</v>
      </c>
      <c r="E2316" s="19" t="n">
        <f aca="false">'SALES Raw'!D653</f>
        <v>1730.05</v>
      </c>
      <c r="F2316" s="19" t="n">
        <f aca="false">'SALES Raw'!E653*$H$4</f>
        <v>10.1052631578947</v>
      </c>
      <c r="G2316" s="19" t="n">
        <f aca="false">'SALES Raw'!F653*$H$4</f>
        <v>672.113684210526</v>
      </c>
      <c r="H2316" s="18" t="str">
        <f aca="false">'SALES Raw'!A653</f>
        <v>102 - Orthopedic institutes</v>
      </c>
    </row>
    <row r="2317" customFormat="false" ht="15" hidden="false" customHeight="false" outlineLevel="0" collapsed="false">
      <c r="A2317" s="18" t="n">
        <f aca="false">'SALES Raw'!G708</f>
        <v>4413303</v>
      </c>
      <c r="B2317" s="18" t="str">
        <f aca="false">'SALES Raw'!B708</f>
        <v>34+ XXL</v>
      </c>
      <c r="C2317" s="18" t="str">
        <f aca="false">'SALES Raw'!H708</f>
        <v>34+XXL מ.קרסול+עכב סגור+רצועות</v>
      </c>
      <c r="D2317" s="19" t="n">
        <f aca="false">'SALES Raw'!C708</f>
        <v>7</v>
      </c>
      <c r="E2317" s="19" t="n">
        <f aca="false">'SALES Raw'!D708</f>
        <v>487.14</v>
      </c>
      <c r="F2317" s="19" t="n">
        <f aca="false">'SALES Raw'!E708*$H$4</f>
        <v>10.1052631578947</v>
      </c>
      <c r="G2317" s="19" t="n">
        <f aca="false">'SALES Raw'!F708*$H$4</f>
        <v>704.084210526316</v>
      </c>
      <c r="H2317" s="18" t="str">
        <f aca="false">'SALES Raw'!A708</f>
        <v>102 - Orthopedic institutes</v>
      </c>
    </row>
    <row r="2318" customFormat="false" ht="15" hidden="false" customHeight="false" outlineLevel="0" collapsed="false">
      <c r="A2318" s="18" t="n">
        <f aca="false">'SALES Raw'!G729</f>
        <v>4413140</v>
      </c>
      <c r="B2318" s="18" t="str">
        <f aca="false">'SALES Raw'!B729</f>
        <v>95 M</v>
      </c>
      <c r="C2318" s="18" t="str">
        <f aca="false">'SALES Raw'!H729</f>
        <v>95 M מגן מרפק רגיל לבן</v>
      </c>
      <c r="D2318" s="19" t="n">
        <f aca="false">'SALES Raw'!C729</f>
        <v>11</v>
      </c>
      <c r="E2318" s="19" t="n">
        <f aca="false">'SALES Raw'!D729</f>
        <v>339.8</v>
      </c>
      <c r="F2318" s="19" t="n">
        <f aca="false">'SALES Raw'!E729*$H$4</f>
        <v>10.1052631578947</v>
      </c>
      <c r="G2318" s="19" t="n">
        <f aca="false">'SALES Raw'!F729*$H$4</f>
        <v>312.164210526316</v>
      </c>
      <c r="H2318" s="18" t="str">
        <f aca="false">'SALES Raw'!A729</f>
        <v>102 - Orthopedic institutes</v>
      </c>
    </row>
    <row r="2319" customFormat="false" ht="15" hidden="false" customHeight="false" outlineLevel="0" collapsed="false">
      <c r="A2319" s="18" t="n">
        <f aca="false">'SALES Raw'!G731</f>
        <v>4413142</v>
      </c>
      <c r="B2319" s="18" t="str">
        <f aca="false">'SALES Raw'!B731</f>
        <v>95 XL</v>
      </c>
      <c r="C2319" s="18" t="str">
        <f aca="false">'SALES Raw'!H731</f>
        <v>95 XL מגן מרפק רגיל לבן</v>
      </c>
      <c r="D2319" s="19" t="n">
        <f aca="false">'SALES Raw'!C731</f>
        <v>8</v>
      </c>
      <c r="E2319" s="19" t="n">
        <f aca="false">'SALES Raw'!D731</f>
        <v>247.14</v>
      </c>
      <c r="F2319" s="19" t="n">
        <f aca="false">'SALES Raw'!E731*$H$4</f>
        <v>10.1052631578947</v>
      </c>
      <c r="G2319" s="19" t="n">
        <f aca="false">'SALES Raw'!F731*$H$4</f>
        <v>312.164210526316</v>
      </c>
      <c r="H2319" s="18" t="str">
        <f aca="false">'SALES Raw'!A731</f>
        <v>102 - Orthopedic institutes</v>
      </c>
    </row>
    <row r="2320" customFormat="false" ht="15" hidden="false" customHeight="false" outlineLevel="0" collapsed="false">
      <c r="A2320" s="18" t="n">
        <f aca="false">'SALES Raw'!G762</f>
        <v>4408018</v>
      </c>
      <c r="B2320" s="18" t="str">
        <f aca="false">'SALES Raw'!B762</f>
        <v>07AU XXL</v>
      </c>
      <c r="C2320" s="18" t="str">
        <f aca="false">'SALES Raw'!H762</f>
        <v>07AU XXL.ח.גב """"איטלקית"""" אוריר</v>
      </c>
      <c r="D2320" s="19" t="n">
        <f aca="false">'SALES Raw'!C762</f>
        <v>10</v>
      </c>
      <c r="E2320" s="19" t="n">
        <f aca="false">'SALES Raw'!D762</f>
        <v>2120.04</v>
      </c>
      <c r="F2320" s="19" t="n">
        <f aca="false">'SALES Raw'!E762*$H$4</f>
        <v>10.1052631578947</v>
      </c>
      <c r="G2320" s="19" t="n">
        <f aca="false">'SALES Raw'!F762*$H$4</f>
        <v>2223.18315789474</v>
      </c>
      <c r="H2320" s="18" t="str">
        <f aca="false">'SALES Raw'!A762</f>
        <v>102 - Orthopedic institutes</v>
      </c>
    </row>
    <row r="2321" customFormat="false" ht="15" hidden="false" customHeight="false" outlineLevel="0" collapsed="false">
      <c r="A2321" s="18" t="n">
        <f aca="false">'SALES Raw'!G769</f>
        <v>4415005</v>
      </c>
      <c r="B2321" s="18" t="str">
        <f aca="false">'SALES Raw'!B769</f>
        <v>28 L</v>
      </c>
      <c r="C2321" s="18" t="str">
        <f aca="false">'SALES Raw'!H769</f>
        <v>28 L סד לאגודל לאחר שבר</v>
      </c>
      <c r="D2321" s="19" t="n">
        <f aca="false">'SALES Raw'!C769</f>
        <v>10</v>
      </c>
      <c r="E2321" s="19" t="n">
        <f aca="false">'SALES Raw'!D769</f>
        <v>1015.84</v>
      </c>
      <c r="F2321" s="19" t="n">
        <f aca="false">'SALES Raw'!E769*$H$4</f>
        <v>10.1052631578947</v>
      </c>
      <c r="G2321" s="19" t="n">
        <f aca="false">'SALES Raw'!F769*$H$4</f>
        <v>1041.56210526316</v>
      </c>
      <c r="H2321" s="18" t="str">
        <f aca="false">'SALES Raw'!A769</f>
        <v>102 - Orthopedic institutes</v>
      </c>
    </row>
    <row r="2322" customFormat="false" ht="15" hidden="false" customHeight="false" outlineLevel="0" collapsed="false">
      <c r="A2322" s="18" t="n">
        <f aca="false">'SALES Raw'!G840</f>
        <v>4413096</v>
      </c>
      <c r="B2322" s="18" t="str">
        <f aca="false">'SALES Raw'!B840</f>
        <v>45 XXL</v>
      </c>
      <c r="C2322" s="18" t="str">
        <f aca="false">'SALES Raw'!H840</f>
        <v>45 XXL מגן ברך לבן</v>
      </c>
      <c r="D2322" s="19" t="n">
        <f aca="false">'SALES Raw'!C840</f>
        <v>3</v>
      </c>
      <c r="E2322" s="19" t="n">
        <f aca="false">'SALES Raw'!D840</f>
        <v>92.67</v>
      </c>
      <c r="F2322" s="19" t="n">
        <f aca="false">'SALES Raw'!E840*$H$4</f>
        <v>10.1052631578947</v>
      </c>
      <c r="G2322" s="19" t="n">
        <f aca="false">'SALES Raw'!F840*$H$4</f>
        <v>312.176842105263</v>
      </c>
      <c r="H2322" s="18" t="str">
        <f aca="false">'SALES Raw'!A840</f>
        <v>102 - Orthopedic institutes</v>
      </c>
    </row>
    <row r="2323" customFormat="false" ht="15" hidden="false" customHeight="false" outlineLevel="0" collapsed="false">
      <c r="A2323" s="18" t="n">
        <f aca="false">'SALES Raw'!G852</f>
        <v>4420016</v>
      </c>
      <c r="B2323" s="18" t="str">
        <f aca="false">'SALES Raw'!B852</f>
        <v>40 0</v>
      </c>
      <c r="C2323" s="18" t="str">
        <f aca="false">'SALES Raw'!H852</f>
        <v>40-רצועת פיקה לברך</v>
      </c>
      <c r="D2323" s="19" t="n">
        <f aca="false">'SALES Raw'!C852</f>
        <v>11</v>
      </c>
      <c r="E2323" s="19" t="n">
        <f aca="false">'SALES Raw'!D852</f>
        <v>547.52</v>
      </c>
      <c r="F2323" s="19" t="n">
        <f aca="false">'SALES Raw'!E852*$H$4</f>
        <v>10.1052631578947</v>
      </c>
      <c r="G2323" s="19" t="n">
        <f aca="false">'SALES Raw'!F852*$H$4</f>
        <v>503.393684210526</v>
      </c>
      <c r="H2323" s="18" t="str">
        <f aca="false">'SALES Raw'!A852</f>
        <v>102 - Orthopedic institutes</v>
      </c>
    </row>
    <row r="2324" customFormat="false" ht="15" hidden="false" customHeight="false" outlineLevel="0" collapsed="false">
      <c r="A2324" s="18" t="n">
        <f aca="false">'SALES Raw'!G853</f>
        <v>4408115</v>
      </c>
      <c r="B2324" s="18" t="str">
        <f aca="false">'SALES Raw'!B853</f>
        <v>11EU L</v>
      </c>
      <c r="C2324" s="18" t="str">
        <f aca="false">'SALES Raw'!H853</f>
        <v>11EU L ח.בטן לאחר ניתוח</v>
      </c>
      <c r="D2324" s="19" t="n">
        <f aca="false">'SALES Raw'!C853</f>
        <v>23</v>
      </c>
      <c r="E2324" s="19" t="n">
        <f aca="false">'SALES Raw'!D853</f>
        <v>1843</v>
      </c>
      <c r="F2324" s="19" t="n">
        <f aca="false">'SALES Raw'!E853*$H$4</f>
        <v>10.1052631578947</v>
      </c>
      <c r="G2324" s="19" t="n">
        <f aca="false">'SALES Raw'!F853*$H$4</f>
        <v>858.934736842105</v>
      </c>
      <c r="H2324" s="18" t="str">
        <f aca="false">'SALES Raw'!A853</f>
        <v>102 - Orthopedic institutes</v>
      </c>
    </row>
    <row r="2325" customFormat="false" ht="15" hidden="false" customHeight="false" outlineLevel="0" collapsed="false">
      <c r="A2325" s="18" t="n">
        <f aca="false">'SALES Raw'!G868</f>
        <v>4408049</v>
      </c>
      <c r="B2325" s="18" t="str">
        <f aca="false">'SALES Raw'!B868</f>
        <v>20 XL</v>
      </c>
      <c r="C2325" s="18" t="str">
        <f aca="false">'SALES Raw'!H868</f>
        <v>20 XL חבק יד מתכוון עם צמדן</v>
      </c>
      <c r="D2325" s="19" t="n">
        <f aca="false">'SALES Raw'!C868</f>
        <v>4</v>
      </c>
      <c r="E2325" s="19" t="n">
        <f aca="false">'SALES Raw'!D868</f>
        <v>128.5</v>
      </c>
      <c r="F2325" s="19" t="n">
        <f aca="false">'SALES Raw'!E868*$H$4</f>
        <v>10.1052631578947</v>
      </c>
      <c r="G2325" s="19" t="n">
        <f aca="false">'SALES Raw'!F868*$H$4</f>
        <v>327.410526315789</v>
      </c>
      <c r="H2325" s="18" t="str">
        <f aca="false">'SALES Raw'!A868</f>
        <v>102 - Orthopedic institutes</v>
      </c>
    </row>
    <row r="2326" customFormat="false" ht="15" hidden="false" customHeight="false" outlineLevel="0" collapsed="false">
      <c r="A2326" s="18" t="n">
        <f aca="false">'SALES Raw'!G871</f>
        <v>4408051</v>
      </c>
      <c r="B2326" s="18" t="str">
        <f aca="false">'SALES Raw'!B871</f>
        <v>21 S</v>
      </c>
      <c r="C2326" s="18" t="str">
        <f aca="false">'SALES Raw'!H871</f>
        <v>21 S  חבק יד ארוך</v>
      </c>
      <c r="D2326" s="19" t="n">
        <f aca="false">'SALES Raw'!C871</f>
        <v>17</v>
      </c>
      <c r="E2326" s="19" t="n">
        <f aca="false">'SALES Raw'!D871</f>
        <v>673.86</v>
      </c>
      <c r="F2326" s="19" t="n">
        <f aca="false">'SALES Raw'!E871*$H$4</f>
        <v>10.1052631578947</v>
      </c>
      <c r="G2326" s="19" t="n">
        <f aca="false">'SALES Raw'!F871*$H$4</f>
        <v>402.138947368421</v>
      </c>
      <c r="H2326" s="18" t="str">
        <f aca="false">'SALES Raw'!A871</f>
        <v>102 - Orthopedic institutes</v>
      </c>
    </row>
    <row r="2327" customFormat="false" ht="15" hidden="false" customHeight="false" outlineLevel="0" collapsed="false">
      <c r="A2327" s="18" t="str">
        <f aca="false">'SALES Raw'!G920</f>
        <v/>
      </c>
      <c r="B2327" s="18" t="str">
        <f aca="false">'SALES Raw'!B920</f>
        <v>MSG002S 0</v>
      </c>
      <c r="C2327" s="18" t="str">
        <f aca="false">'SALES Raw'!H920</f>
        <v>MSG002S 0</v>
      </c>
      <c r="D2327" s="19" t="n">
        <f aca="false">'SALES Raw'!C920</f>
        <v>0</v>
      </c>
      <c r="E2327" s="19" t="n">
        <f aca="false">'SALES Raw'!D920</f>
        <v>0</v>
      </c>
      <c r="F2327" s="19" t="n">
        <f aca="false">'SALES Raw'!E920*$H$4</f>
        <v>10.1052631578947</v>
      </c>
      <c r="G2327" s="19" t="n">
        <f aca="false">'SALES Raw'!F920*$H$4</f>
        <v>5304.55578947368</v>
      </c>
      <c r="H2327" s="18" t="str">
        <f aca="false">'SALES Raw'!A920</f>
        <v>102 - Orthopedic institutes</v>
      </c>
    </row>
    <row r="2328" customFormat="false" ht="15" hidden="false" customHeight="false" outlineLevel="0" collapsed="false">
      <c r="A2328" s="18" t="n">
        <f aca="false">'SALES Raw'!G924</f>
        <v>4408231</v>
      </c>
      <c r="B2328" s="18" t="str">
        <f aca="false">'SALES Raw'!B924</f>
        <v>16-S-M</v>
      </c>
      <c r="C2328" s="18" t="str">
        <f aca="false">'SALES Raw'!H924</f>
        <v>16 S-M חגורת הריון</v>
      </c>
      <c r="D2328" s="19" t="n">
        <f aca="false">'SALES Raw'!C924</f>
        <v>9</v>
      </c>
      <c r="E2328" s="19" t="n">
        <f aca="false">'SALES Raw'!D924</f>
        <v>784.02</v>
      </c>
      <c r="F2328" s="19" t="n">
        <f aca="false">'SALES Raw'!E924*$H$4</f>
        <v>10.1052631578947</v>
      </c>
      <c r="G2328" s="19" t="n">
        <f aca="false">'SALES Raw'!F924*$H$4</f>
        <v>909.6</v>
      </c>
      <c r="H2328" s="18" t="str">
        <f aca="false">'SALES Raw'!A924</f>
        <v>102 - Orthopedic institutes</v>
      </c>
    </row>
    <row r="2329" customFormat="false" ht="15" hidden="false" customHeight="false" outlineLevel="0" collapsed="false">
      <c r="A2329" s="18" t="str">
        <f aca="false">'SALES Raw'!G955</f>
        <v/>
      </c>
      <c r="B2329" s="18" t="str">
        <f aca="false">'SALES Raw'!B955</f>
        <v>395B-35-38</v>
      </c>
      <c r="C2329" s="18" t="str">
        <f aca="false">'SALES Raw'!H955</f>
        <v>395B-35-38</v>
      </c>
      <c r="D2329" s="19" t="n">
        <f aca="false">'SALES Raw'!C955</f>
        <v>0</v>
      </c>
      <c r="E2329" s="19" t="n">
        <f aca="false">'SALES Raw'!D955</f>
        <v>0</v>
      </c>
      <c r="F2329" s="19" t="n">
        <f aca="false">'SALES Raw'!E955*$H$4</f>
        <v>10.1052631578947</v>
      </c>
      <c r="G2329" s="19" t="n">
        <f aca="false">'SALES Raw'!F955*$H$4</f>
        <v>261.183157894737</v>
      </c>
      <c r="H2329" s="18" t="str">
        <f aca="false">'SALES Raw'!A955</f>
        <v>102 - Orthopedic institutes</v>
      </c>
    </row>
    <row r="2330" customFormat="false" ht="15" hidden="false" customHeight="false" outlineLevel="0" collapsed="false">
      <c r="A2330" s="18" t="n">
        <f aca="false">'SALES Raw'!G1078</f>
        <v>4414000</v>
      </c>
      <c r="B2330" s="18" t="str">
        <f aca="false">'SALES Raw'!B1078</f>
        <v>FC342 0</v>
      </c>
      <c r="C2330" s="18" t="str">
        <f aca="false">'SALES Raw'!H1078</f>
        <v>FC342-נוזל לציפורן חודרנית</v>
      </c>
      <c r="D2330" s="19" t="n">
        <f aca="false">'SALES Raw'!C1078</f>
        <v>0</v>
      </c>
      <c r="E2330" s="19" t="n">
        <f aca="false">'SALES Raw'!D1078</f>
        <v>0</v>
      </c>
      <c r="F2330" s="19" t="n">
        <f aca="false">'SALES Raw'!E1078*$H$4</f>
        <v>10.1052631578947</v>
      </c>
      <c r="G2330" s="19" t="n">
        <f aca="false">'SALES Raw'!F1078*$H$4</f>
        <v>369.006315789474</v>
      </c>
      <c r="H2330" s="18" t="str">
        <f aca="false">'SALES Raw'!A1078</f>
        <v>102 - Orthopedic institutes</v>
      </c>
    </row>
    <row r="2331" customFormat="false" ht="15" hidden="false" customHeight="false" outlineLevel="0" collapsed="false">
      <c r="A2331" s="18" t="n">
        <f aca="false">'SALES Raw'!G1257</f>
        <v>4422041</v>
      </c>
      <c r="B2331" s="18" t="str">
        <f aca="false">'SALES Raw'!B1257</f>
        <v>SH422 5</v>
      </c>
      <c r="C2331" s="18" t="str">
        <f aca="false">'SALES Raw'!H1257</f>
        <v>SH422 5 תומך ברך גנושילד</v>
      </c>
      <c r="D2331" s="19" t="n">
        <f aca="false">'SALES Raw'!C1257</f>
        <v>4</v>
      </c>
      <c r="E2331" s="19" t="n">
        <f aca="false">'SALES Raw'!D1257</f>
        <v>480</v>
      </c>
      <c r="F2331" s="19" t="n">
        <f aca="false">'SALES Raw'!E1257*$H$4</f>
        <v>10.1052631578947</v>
      </c>
      <c r="G2331" s="19" t="n">
        <f aca="false">'SALES Raw'!F1257*$H$4</f>
        <v>909.486315789474</v>
      </c>
      <c r="H2331" s="18" t="str">
        <f aca="false">'SALES Raw'!A1257</f>
        <v>103 - Physiotherapy institutes</v>
      </c>
    </row>
    <row r="2332" customFormat="false" ht="15" hidden="false" customHeight="false" outlineLevel="0" collapsed="false">
      <c r="A2332" s="18" t="n">
        <f aca="false">'SALES Raw'!G1393</f>
        <v>4413060</v>
      </c>
      <c r="B2332" s="18" t="str">
        <f aca="false">'SALES Raw'!B1393</f>
        <v>364 XL</v>
      </c>
      <c r="C2332" s="18" t="str">
        <f aca="false">'SALES Raw'!H1393</f>
        <v>364 XLמפריד אצבע סיליקון ליבלת</v>
      </c>
      <c r="D2332" s="19" t="n">
        <f aca="false">'SALES Raw'!C1393</f>
        <v>5</v>
      </c>
      <c r="E2332" s="19" t="n">
        <f aca="false">'SALES Raw'!D1393</f>
        <v>66.61</v>
      </c>
      <c r="F2332" s="19" t="n">
        <f aca="false">'SALES Raw'!E1393*$H$4</f>
        <v>10.1052631578947</v>
      </c>
      <c r="G2332" s="19" t="n">
        <f aca="false">'SALES Raw'!F1393*$H$4</f>
        <v>146.349473684211</v>
      </c>
      <c r="H2332" s="18" t="str">
        <f aca="false">'SALES Raw'!A1393</f>
        <v>103 - Physiotherapy institutes</v>
      </c>
    </row>
    <row r="2333" customFormat="false" ht="15" hidden="false" customHeight="false" outlineLevel="0" collapsed="false">
      <c r="A2333" s="18" t="n">
        <f aca="false">'SALES Raw'!G1466</f>
        <v>4408098</v>
      </c>
      <c r="B2333" s="18" t="str">
        <f aca="false">'SALES Raw'!B1466</f>
        <v>T25 0</v>
      </c>
      <c r="C2333" s="18" t="str">
        <f aca="false">'SALES Raw'!H1466</f>
        <v>T25-חבק יד אגודלי</v>
      </c>
      <c r="D2333" s="19" t="n">
        <f aca="false">'SALES Raw'!C1466</f>
        <v>1</v>
      </c>
      <c r="E2333" s="19" t="n">
        <f aca="false">'SALES Raw'!D1466</f>
        <v>40.58</v>
      </c>
      <c r="F2333" s="19" t="n">
        <f aca="false">'SALES Raw'!E1466*$H$4</f>
        <v>10.1052631578947</v>
      </c>
      <c r="G2333" s="19" t="n">
        <f aca="false">'SALES Raw'!F1466*$H$4</f>
        <v>457.389473684211</v>
      </c>
      <c r="H2333" s="18" t="str">
        <f aca="false">'SALES Raw'!A1466</f>
        <v>103 - Physiotherapy institutes</v>
      </c>
    </row>
    <row r="2334" customFormat="false" ht="15" hidden="false" customHeight="false" outlineLevel="0" collapsed="false">
      <c r="A2334" s="18" t="n">
        <f aca="false">'SALES Raw'!G1494</f>
        <v>4411015</v>
      </c>
      <c r="B2334" s="18" t="str">
        <f aca="false">'SALES Raw'!B1494</f>
        <v>820 0</v>
      </c>
      <c r="C2334" s="18" t="str">
        <f aca="false">'SALES Raw'!H1494</f>
        <v>820 0 כרית חום וקור</v>
      </c>
      <c r="D2334" s="19" t="n">
        <f aca="false">'SALES Raw'!C1494</f>
        <v>7</v>
      </c>
      <c r="E2334" s="19" t="n">
        <f aca="false">'SALES Raw'!D1494</f>
        <v>330.86</v>
      </c>
      <c r="F2334" s="19" t="n">
        <f aca="false">'SALES Raw'!E1494*$H$4</f>
        <v>10.1052631578947</v>
      </c>
      <c r="G2334" s="19" t="n">
        <f aca="false">'SALES Raw'!F1494*$H$4</f>
        <v>477.928421052632</v>
      </c>
      <c r="H2334" s="18" t="str">
        <f aca="false">'SALES Raw'!A1494</f>
        <v>103 - Physiotherapy institutes</v>
      </c>
    </row>
    <row r="2335" customFormat="false" ht="15" hidden="false" customHeight="false" outlineLevel="0" collapsed="false">
      <c r="A2335" s="18" t="n">
        <f aca="false">'SALES Raw'!G1661</f>
        <v>4413063</v>
      </c>
      <c r="B2335" s="18" t="str">
        <f aca="false">'SALES Raw'!B1661</f>
        <v>366S 0</v>
      </c>
      <c r="C2335" s="18" t="str">
        <f aca="false">'SALES Raw'!H1661</f>
        <v>366S-'מדבק.לשחרור לחץ מיבלת2יח</v>
      </c>
      <c r="D2335" s="19" t="n">
        <f aca="false">'SALES Raw'!C1661</f>
        <v>8</v>
      </c>
      <c r="E2335" s="19" t="n">
        <f aca="false">'SALES Raw'!D1661</f>
        <v>179.44</v>
      </c>
      <c r="F2335" s="19" t="n">
        <f aca="false">'SALES Raw'!E1661*$H$4</f>
        <v>10.1052631578947</v>
      </c>
      <c r="G2335" s="19" t="n">
        <f aca="false">'SALES Raw'!F1661*$H$4</f>
        <v>181.326315789474</v>
      </c>
      <c r="H2335" s="18" t="str">
        <f aca="false">'SALES Raw'!A1661</f>
        <v>105 - Pedicure Salons</v>
      </c>
    </row>
    <row r="2336" customFormat="false" ht="15" hidden="false" customHeight="false" outlineLevel="0" collapsed="false">
      <c r="A2336" s="18" t="n">
        <f aca="false">'SALES Raw'!G1792</f>
        <v>4408218</v>
      </c>
      <c r="B2336" s="18" t="str">
        <f aca="false">'SALES Raw'!B1792</f>
        <v>078 XL</v>
      </c>
      <c r="C2336" s="18" t="str">
        <f aca="false">'SALES Raw'!H1792</f>
        <v>078XL חגורת גב +סגירה כפולה</v>
      </c>
      <c r="D2336" s="19" t="n">
        <f aca="false">'SALES Raw'!C1792</f>
        <v>1</v>
      </c>
      <c r="E2336" s="19" t="n">
        <f aca="false">'SALES Raw'!D1792</f>
        <v>117.13</v>
      </c>
      <c r="F2336" s="19" t="n">
        <f aca="false">'SALES Raw'!E1792*$H$4</f>
        <v>10.1052631578947</v>
      </c>
      <c r="G2336" s="19" t="n">
        <f aca="false">'SALES Raw'!F1792*$H$4</f>
        <v>1396.00421052632</v>
      </c>
      <c r="H2336" s="18" t="str">
        <f aca="false">'SALES Raw'!A1792</f>
        <v>109 - Private Shops</v>
      </c>
    </row>
    <row r="2337" customFormat="false" ht="15" hidden="false" customHeight="false" outlineLevel="0" collapsed="false">
      <c r="A2337" s="18" t="n">
        <f aca="false">'SALES Raw'!G1808</f>
        <v>4413521</v>
      </c>
      <c r="B2337" s="18" t="str">
        <f aca="false">'SALES Raw'!B1808</f>
        <v>379MSP-39-42</v>
      </c>
      <c r="C2337" s="18" t="str">
        <f aca="false">'SALES Raw'!H1808</f>
        <v>מדרסי אפיק ג'ל מולטי ספור39-42</v>
      </c>
      <c r="D2337" s="19" t="n">
        <f aca="false">'SALES Raw'!C1808</f>
        <v>0</v>
      </c>
      <c r="E2337" s="19" t="n">
        <f aca="false">'SALES Raw'!D1808</f>
        <v>0</v>
      </c>
      <c r="F2337" s="19" t="n">
        <f aca="false">'SALES Raw'!E1808*$H$4</f>
        <v>10.1052631578947</v>
      </c>
      <c r="G2337" s="19" t="n">
        <f aca="false">'SALES Raw'!F1808*$H$4</f>
        <v>1078.08</v>
      </c>
      <c r="H2337" s="18" t="str">
        <f aca="false">'SALES Raw'!A1808</f>
        <v>109 - Private Shops</v>
      </c>
    </row>
    <row r="2338" customFormat="false" ht="15" hidden="false" customHeight="false" outlineLevel="0" collapsed="false">
      <c r="A2338" s="18" t="n">
        <f aca="false">'SALES Raw'!G2062</f>
        <v>4408135</v>
      </c>
      <c r="B2338" s="18" t="str">
        <f aca="false">'SALES Raw'!B2062</f>
        <v>077A-L-XL</v>
      </c>
      <c r="C2338" s="18" t="str">
        <f aca="false">'SALES Raw'!H2062</f>
        <v>077A L-XLחגורת גב</v>
      </c>
      <c r="D2338" s="19" t="n">
        <f aca="false">'SALES Raw'!C2062</f>
        <v>5</v>
      </c>
      <c r="E2338" s="19" t="n">
        <f aca="false">'SALES Raw'!D2062</f>
        <v>1368.28</v>
      </c>
      <c r="F2338" s="19" t="n">
        <f aca="false">'SALES Raw'!E2062*$H$4</f>
        <v>10.1052631578947</v>
      </c>
      <c r="G2338" s="19" t="n">
        <f aca="false">'SALES Raw'!F2062*$H$4</f>
        <v>1832.84210526316</v>
      </c>
      <c r="H2338" s="18" t="str">
        <f aca="false">'SALES Raw'!A2062</f>
        <v>114 - IL online</v>
      </c>
    </row>
    <row r="2339" customFormat="false" ht="15" hidden="false" customHeight="false" outlineLevel="0" collapsed="false">
      <c r="A2339" s="18" t="str">
        <f aca="false">'SALES Raw'!G2082</f>
        <v/>
      </c>
      <c r="B2339" s="18" t="str">
        <f aca="false">'SALES Raw'!B2082</f>
        <v>07UB-L-XL</v>
      </c>
      <c r="C2339" s="18" t="str">
        <f aca="false">'SALES Raw'!H2082</f>
        <v>07UB-L-XL</v>
      </c>
      <c r="D2339" s="19" t="n">
        <f aca="false">'SALES Raw'!C2082</f>
        <v>6</v>
      </c>
      <c r="E2339" s="19" t="n">
        <f aca="false">'SALES Raw'!D2082</f>
        <v>2541.84</v>
      </c>
      <c r="F2339" s="19" t="n">
        <f aca="false">'SALES Raw'!E2082*$H$4</f>
        <v>10.1052631578947</v>
      </c>
      <c r="G2339" s="19" t="n">
        <f aca="false">'SALES Raw'!F2082*$H$4</f>
        <v>4013.45684210526</v>
      </c>
      <c r="H2339" s="18" t="str">
        <f aca="false">'SALES Raw'!A2082</f>
        <v>114 - IL online</v>
      </c>
    </row>
    <row r="2340" customFormat="false" ht="15" hidden="false" customHeight="false" outlineLevel="0" collapsed="false">
      <c r="A2340" s="18" t="n">
        <f aca="false">'SALES Raw'!G2097</f>
        <v>4408115</v>
      </c>
      <c r="B2340" s="18" t="str">
        <f aca="false">'SALES Raw'!B2097</f>
        <v>11EU L</v>
      </c>
      <c r="C2340" s="18" t="str">
        <f aca="false">'SALES Raw'!H2097</f>
        <v>11EU L ח.בטן לאחר ניתוח</v>
      </c>
      <c r="D2340" s="19" t="n">
        <f aca="false">'SALES Raw'!C2097</f>
        <v>10</v>
      </c>
      <c r="E2340" s="19" t="n">
        <f aca="false">'SALES Raw'!D2097</f>
        <v>1960.84</v>
      </c>
      <c r="F2340" s="19" t="n">
        <f aca="false">'SALES Raw'!E2097*$H$4</f>
        <v>10.1052631578947</v>
      </c>
      <c r="G2340" s="19" t="n">
        <f aca="false">'SALES Raw'!F2097*$H$4</f>
        <v>2011.64210526316</v>
      </c>
      <c r="H2340" s="18" t="str">
        <f aca="false">'SALES Raw'!A2097</f>
        <v>114 - IL online</v>
      </c>
    </row>
    <row r="2341" customFormat="false" ht="15" hidden="false" customHeight="false" outlineLevel="0" collapsed="false">
      <c r="A2341" s="18" t="n">
        <f aca="false">'SALES Raw'!G2111</f>
        <v>4408149</v>
      </c>
      <c r="B2341" s="18" t="str">
        <f aca="false">'SALES Raw'!B2111</f>
        <v>11PS XXL</v>
      </c>
      <c r="C2341" s="18" t="str">
        <f aca="false">'SALES Raw'!H2111</f>
        <v>11PS XXLחגורה למנותחי בטן</v>
      </c>
      <c r="D2341" s="19" t="n">
        <f aca="false">'SALES Raw'!C2111</f>
        <v>9</v>
      </c>
      <c r="E2341" s="19" t="n">
        <f aca="false">'SALES Raw'!D2111</f>
        <v>2803.61</v>
      </c>
      <c r="F2341" s="19" t="n">
        <f aca="false">'SALES Raw'!E2111*$H$4</f>
        <v>10.1052631578947</v>
      </c>
      <c r="G2341" s="19" t="n">
        <f aca="false">'SALES Raw'!F2111*$H$4</f>
        <v>3001.49052631579</v>
      </c>
      <c r="H2341" s="18" t="str">
        <f aca="false">'SALES Raw'!A2111</f>
        <v>114 - IL online</v>
      </c>
    </row>
    <row r="2342" customFormat="false" ht="15" hidden="false" customHeight="false" outlineLevel="0" collapsed="false">
      <c r="A2342" s="18" t="n">
        <f aca="false">'SALES Raw'!G2121</f>
        <v>4408152</v>
      </c>
      <c r="B2342" s="18" t="str">
        <f aca="false">'SALES Raw'!B2121</f>
        <v>11TO L</v>
      </c>
      <c r="C2342" s="18" t="str">
        <f aca="false">'SALES Raw'!H2121</f>
        <v>11TO L חגורה למנותחי בית החזה</v>
      </c>
      <c r="D2342" s="19" t="n">
        <f aca="false">'SALES Raw'!C2121</f>
        <v>3</v>
      </c>
      <c r="E2342" s="19" t="n">
        <f aca="false">'SALES Raw'!D2121</f>
        <v>807.17</v>
      </c>
      <c r="F2342" s="19" t="n">
        <f aca="false">'SALES Raw'!E2121*$H$4</f>
        <v>10.1052631578947</v>
      </c>
      <c r="G2342" s="19" t="n">
        <f aca="false">'SALES Raw'!F2121*$H$4</f>
        <v>2899.35157894737</v>
      </c>
      <c r="H2342" s="18" t="str">
        <f aca="false">'SALES Raw'!A2121</f>
        <v>114 - IL online</v>
      </c>
    </row>
    <row r="2343" customFormat="false" ht="15" hidden="false" customHeight="false" outlineLevel="0" collapsed="false">
      <c r="A2343" s="18" t="n">
        <f aca="false">'SALES Raw'!G2124</f>
        <v>4408153</v>
      </c>
      <c r="B2343" s="18" t="str">
        <f aca="false">'SALES Raw'!B2124</f>
        <v>11TO XL</v>
      </c>
      <c r="C2343" s="18" t="str">
        <f aca="false">'SALES Raw'!H2124</f>
        <v>11TO XLחגורה למנותחי בית החזה</v>
      </c>
      <c r="D2343" s="19" t="n">
        <f aca="false">'SALES Raw'!C2124</f>
        <v>5</v>
      </c>
      <c r="E2343" s="19" t="n">
        <f aca="false">'SALES Raw'!D2124</f>
        <v>1092.68</v>
      </c>
      <c r="F2343" s="19" t="n">
        <f aca="false">'SALES Raw'!E2124*$H$4</f>
        <v>10.1052631578947</v>
      </c>
      <c r="G2343" s="19" t="n">
        <f aca="false">'SALES Raw'!F2124*$H$4</f>
        <v>2778.35368421053</v>
      </c>
      <c r="H2343" s="18" t="str">
        <f aca="false">'SALES Raw'!A2124</f>
        <v>114 - IL online</v>
      </c>
    </row>
    <row r="2344" customFormat="false" ht="15" hidden="false" customHeight="false" outlineLevel="0" collapsed="false">
      <c r="A2344" s="18" t="str">
        <f aca="false">'SALES Raw'!G2133</f>
        <v/>
      </c>
      <c r="B2344" s="18" t="str">
        <f aca="false">'SALES Raw'!B2133</f>
        <v>11UG XXL</v>
      </c>
      <c r="C2344" s="18" t="str">
        <f aca="false">'SALES Raw'!H2133</f>
        <v>11UG XXL</v>
      </c>
      <c r="D2344" s="19" t="n">
        <f aca="false">'SALES Raw'!C2133</f>
        <v>11</v>
      </c>
      <c r="E2344" s="19" t="n">
        <f aca="false">'SALES Raw'!D2133</f>
        <v>2325.29</v>
      </c>
      <c r="F2344" s="19" t="n">
        <f aca="false">'SALES Raw'!E2133*$H$4</f>
        <v>10.1052631578947</v>
      </c>
      <c r="G2344" s="19" t="n">
        <f aca="false">'SALES Raw'!F2133*$H$4</f>
        <v>2004.05052631579</v>
      </c>
      <c r="H2344" s="18" t="str">
        <f aca="false">'SALES Raw'!A2133</f>
        <v>114 - IL online</v>
      </c>
    </row>
    <row r="2345" customFormat="false" ht="15" hidden="false" customHeight="false" outlineLevel="0" collapsed="false">
      <c r="A2345" s="18" t="n">
        <f aca="false">'SALES Raw'!G2164</f>
        <v>4408052</v>
      </c>
      <c r="B2345" s="18" t="str">
        <f aca="false">'SALES Raw'!B2164</f>
        <v>21 L</v>
      </c>
      <c r="C2345" s="18" t="str">
        <f aca="false">'SALES Raw'!H2164</f>
        <v>21 L  חבק יד ארוך</v>
      </c>
      <c r="D2345" s="19" t="n">
        <f aca="false">'SALES Raw'!C2164</f>
        <v>4</v>
      </c>
      <c r="E2345" s="19" t="n">
        <f aca="false">'SALES Raw'!D2164</f>
        <v>266.22</v>
      </c>
      <c r="F2345" s="19" t="n">
        <f aca="false">'SALES Raw'!E2164*$H$4</f>
        <v>10.1052631578947</v>
      </c>
      <c r="G2345" s="19" t="n">
        <f aca="false">'SALES Raw'!F2164*$H$4</f>
        <v>717.978947368421</v>
      </c>
      <c r="H2345" s="18" t="str">
        <f aca="false">'SALES Raw'!A2164</f>
        <v>114 - IL online</v>
      </c>
    </row>
    <row r="2346" customFormat="false" ht="15" hidden="false" customHeight="false" outlineLevel="0" collapsed="false">
      <c r="A2346" s="18" t="n">
        <f aca="false">'SALES Raw'!G2165</f>
        <v>4408053</v>
      </c>
      <c r="B2346" s="18" t="str">
        <f aca="false">'SALES Raw'!B2165</f>
        <v>21 M</v>
      </c>
      <c r="C2346" s="18" t="str">
        <f aca="false">'SALES Raw'!H2165</f>
        <v>21 M  חבק יד ארוך</v>
      </c>
      <c r="D2346" s="19" t="n">
        <f aca="false">'SALES Raw'!C2165</f>
        <v>8</v>
      </c>
      <c r="E2346" s="19" t="n">
        <f aca="false">'SALES Raw'!D2165</f>
        <v>557.82</v>
      </c>
      <c r="F2346" s="19" t="n">
        <f aca="false">'SALES Raw'!E2165*$H$4</f>
        <v>10.1052631578947</v>
      </c>
      <c r="G2346" s="19" t="n">
        <f aca="false">'SALES Raw'!F2165*$H$4</f>
        <v>717.978947368421</v>
      </c>
      <c r="H2346" s="18" t="str">
        <f aca="false">'SALES Raw'!A2165</f>
        <v>114 - IL online</v>
      </c>
    </row>
    <row r="2347" customFormat="false" ht="15" hidden="false" customHeight="false" outlineLevel="0" collapsed="false">
      <c r="A2347" s="18" t="n">
        <f aca="false">'SALES Raw'!G2264</f>
        <v>4413044</v>
      </c>
      <c r="B2347" s="18" t="str">
        <f aca="false">'SALES Raw'!B2264</f>
        <v>34 XL</v>
      </c>
      <c r="C2347" s="18" t="str">
        <f aca="false">'SALES Raw'!H2264</f>
        <v>34 XL מגן קרסול עקב סגור</v>
      </c>
      <c r="D2347" s="19" t="n">
        <f aca="false">'SALES Raw'!C2264</f>
        <v>6</v>
      </c>
      <c r="E2347" s="19" t="n">
        <f aca="false">'SALES Raw'!D2264</f>
        <v>469.86</v>
      </c>
      <c r="F2347" s="19" t="n">
        <f aca="false">'SALES Raw'!E2264*$H$4</f>
        <v>10.1052631578947</v>
      </c>
      <c r="G2347" s="19" t="n">
        <f aca="false">'SALES Raw'!F2264*$H$4</f>
        <v>828.770526315789</v>
      </c>
      <c r="H2347" s="18" t="str">
        <f aca="false">'SALES Raw'!A2264</f>
        <v>114 - IL online</v>
      </c>
    </row>
    <row r="2348" customFormat="false" ht="15" hidden="false" customHeight="false" outlineLevel="0" collapsed="false">
      <c r="A2348" s="18" t="n">
        <f aca="false">'SALES Raw'!G2276</f>
        <v>4413047</v>
      </c>
      <c r="B2348" s="18" t="str">
        <f aca="false">'SALES Raw'!B2276</f>
        <v>35 S</v>
      </c>
      <c r="C2348" s="18" t="str">
        <f aca="false">'SALES Raw'!H2276</f>
        <v>35 S מגן קרסול לבן</v>
      </c>
      <c r="D2348" s="19" t="n">
        <f aca="false">'SALES Raw'!C2276</f>
        <v>2</v>
      </c>
      <c r="E2348" s="19" t="n">
        <f aca="false">'SALES Raw'!D2276</f>
        <v>111.7</v>
      </c>
      <c r="F2348" s="19" t="n">
        <f aca="false">'SALES Raw'!E2276*$H$4</f>
        <v>10.1052631578947</v>
      </c>
      <c r="G2348" s="19" t="n">
        <f aca="false">'SALES Raw'!F2276*$H$4</f>
        <v>532.61052631579</v>
      </c>
      <c r="H2348" s="18" t="str">
        <f aca="false">'SALES Raw'!A2276</f>
        <v>114 - IL online</v>
      </c>
    </row>
    <row r="2349" customFormat="false" ht="15" hidden="false" customHeight="false" outlineLevel="0" collapsed="false">
      <c r="A2349" s="18" t="n">
        <f aca="false">'SALES Raw'!G2315</f>
        <v>4401000</v>
      </c>
      <c r="B2349" s="18" t="str">
        <f aca="false">'SALES Raw'!B2315</f>
        <v>369-S-L</v>
      </c>
      <c r="C2349" s="18" t="str">
        <f aca="false">'SALES Raw'!H2315</f>
        <v>369  S-L אצבעון מסיליקון יחידה</v>
      </c>
      <c r="D2349" s="19" t="n">
        <f aca="false">'SALES Raw'!C2315</f>
        <v>22</v>
      </c>
      <c r="E2349" s="19" t="n">
        <f aca="false">'SALES Raw'!D2315</f>
        <v>884.38</v>
      </c>
      <c r="F2349" s="19" t="n">
        <f aca="false">'SALES Raw'!E2315*$H$4</f>
        <v>10.1052631578947</v>
      </c>
      <c r="G2349" s="19" t="n">
        <f aca="false">'SALES Raw'!F2315*$H$4</f>
        <v>403.250526315789</v>
      </c>
      <c r="H2349" s="18" t="str">
        <f aca="false">'SALES Raw'!A2315</f>
        <v>114 - IL online</v>
      </c>
    </row>
    <row r="2350" customFormat="false" ht="15" hidden="false" customHeight="false" outlineLevel="0" collapsed="false">
      <c r="A2350" s="18" t="str">
        <f aca="false">'SALES Raw'!G2350</f>
        <v/>
      </c>
      <c r="B2350" s="18" t="str">
        <f aca="false">'SALES Raw'!B2350</f>
        <v>391B-35-38</v>
      </c>
      <c r="C2350" s="18" t="str">
        <f aca="false">'SALES Raw'!H2350</f>
        <v>391B-35-38</v>
      </c>
      <c r="D2350" s="19" t="n">
        <f aca="false">'SALES Raw'!C2350</f>
        <v>0</v>
      </c>
      <c r="E2350" s="19" t="n">
        <f aca="false">'SALES Raw'!D2350</f>
        <v>0</v>
      </c>
      <c r="F2350" s="19" t="n">
        <f aca="false">'SALES Raw'!E2350*$H$4</f>
        <v>10.1052631578947</v>
      </c>
      <c r="G2350" s="19" t="n">
        <f aca="false">'SALES Raw'!F2350*$H$4</f>
        <v>513.157894736842</v>
      </c>
      <c r="H2350" s="18" t="str">
        <f aca="false">'SALES Raw'!A2350</f>
        <v>114 - IL online</v>
      </c>
    </row>
    <row r="2351" customFormat="false" ht="15" hidden="false" customHeight="false" outlineLevel="0" collapsed="false">
      <c r="A2351" s="18" t="n">
        <f aca="false">'SALES Raw'!G2405</f>
        <v>4413096</v>
      </c>
      <c r="B2351" s="18" t="str">
        <f aca="false">'SALES Raw'!B2405</f>
        <v>45 XXL</v>
      </c>
      <c r="C2351" s="18" t="str">
        <f aca="false">'SALES Raw'!H2405</f>
        <v>45 XXL מגן ברך לבן</v>
      </c>
      <c r="D2351" s="19" t="n">
        <f aca="false">'SALES Raw'!C2405</f>
        <v>5</v>
      </c>
      <c r="E2351" s="19" t="n">
        <f aca="false">'SALES Raw'!D2405</f>
        <v>270.87</v>
      </c>
      <c r="F2351" s="19" t="n">
        <f aca="false">'SALES Raw'!E2405*$H$4</f>
        <v>10.1052631578947</v>
      </c>
      <c r="G2351" s="19" t="n">
        <f aca="false">'SALES Raw'!F2405*$H$4</f>
        <v>543.221052631579</v>
      </c>
      <c r="H2351" s="18" t="str">
        <f aca="false">'SALES Raw'!A2405</f>
        <v>114 - IL online</v>
      </c>
    </row>
    <row r="2352" customFormat="false" ht="15" hidden="false" customHeight="false" outlineLevel="0" collapsed="false">
      <c r="A2352" s="18" t="n">
        <f aca="false">'SALES Raw'!G2411</f>
        <v>4413098</v>
      </c>
      <c r="B2352" s="18" t="str">
        <f aca="false">'SALES Raw'!B2411</f>
        <v>45C L</v>
      </c>
      <c r="C2352" s="18" t="str">
        <f aca="false">'SALES Raw'!H2411</f>
        <v>45C L מגן ברך חום</v>
      </c>
      <c r="D2352" s="19" t="n">
        <f aca="false">'SALES Raw'!C2411</f>
        <v>10</v>
      </c>
      <c r="E2352" s="19" t="n">
        <f aca="false">'SALES Raw'!D2411</f>
        <v>531.92</v>
      </c>
      <c r="F2352" s="19" t="n">
        <f aca="false">'SALES Raw'!E2411*$H$4</f>
        <v>10.1052631578947</v>
      </c>
      <c r="G2352" s="19" t="n">
        <f aca="false">'SALES Raw'!F2411*$H$4</f>
        <v>550.256842105263</v>
      </c>
      <c r="H2352" s="18" t="str">
        <f aca="false">'SALES Raw'!A2411</f>
        <v>114 - IL online</v>
      </c>
    </row>
    <row r="2353" customFormat="false" ht="15" hidden="false" customHeight="false" outlineLevel="0" collapsed="false">
      <c r="A2353" s="18" t="n">
        <f aca="false">'SALES Raw'!G2412</f>
        <v>4413099</v>
      </c>
      <c r="B2353" s="18" t="str">
        <f aca="false">'SALES Raw'!B2412</f>
        <v>45C M</v>
      </c>
      <c r="C2353" s="18" t="str">
        <f aca="false">'SALES Raw'!H2412</f>
        <v>45C M מגן ברך חום</v>
      </c>
      <c r="D2353" s="19" t="n">
        <f aca="false">'SALES Raw'!C2412</f>
        <v>2</v>
      </c>
      <c r="E2353" s="19" t="n">
        <f aca="false">'SALES Raw'!D2412</f>
        <v>101.62</v>
      </c>
      <c r="F2353" s="19" t="n">
        <f aca="false">'SALES Raw'!E2412*$H$4</f>
        <v>10.1052631578947</v>
      </c>
      <c r="G2353" s="19" t="n">
        <f aca="false">'SALES Raw'!F2412*$H$4</f>
        <v>529.098947368421</v>
      </c>
      <c r="H2353" s="18" t="str">
        <f aca="false">'SALES Raw'!A2412</f>
        <v>114 - IL online</v>
      </c>
    </row>
    <row r="2354" customFormat="false" ht="15" hidden="false" customHeight="false" outlineLevel="0" collapsed="false">
      <c r="A2354" s="18" t="n">
        <f aca="false">'SALES Raw'!G2456</f>
        <v>4408077</v>
      </c>
      <c r="B2354" s="18" t="str">
        <f aca="false">'SALES Raw'!B2456</f>
        <v>59L M</v>
      </c>
      <c r="C2354" s="18" t="str">
        <f aca="false">'SALES Raw'!H2456</f>
        <v>59L M חגורת שבר לצד שמאל</v>
      </c>
      <c r="D2354" s="19" t="n">
        <f aca="false">'SALES Raw'!C2456</f>
        <v>19</v>
      </c>
      <c r="E2354" s="19" t="n">
        <f aca="false">'SALES Raw'!D2456</f>
        <v>6160.04</v>
      </c>
      <c r="F2354" s="19" t="n">
        <f aca="false">'SALES Raw'!E2456*$H$4</f>
        <v>10.1052631578947</v>
      </c>
      <c r="G2354" s="19" t="n">
        <f aca="false">'SALES Raw'!F2456*$H$4</f>
        <v>3339.05684210526</v>
      </c>
      <c r="H2354" s="18" t="str">
        <f aca="false">'SALES Raw'!A2456</f>
        <v>114 - IL online</v>
      </c>
    </row>
    <row r="2355" customFormat="false" ht="15" hidden="false" customHeight="false" outlineLevel="0" collapsed="false">
      <c r="A2355" s="18" t="n">
        <f aca="false">'SALES Raw'!G2490</f>
        <v>4408272</v>
      </c>
      <c r="B2355" s="18" t="str">
        <f aca="false">'SALES Raw'!B2490</f>
        <v>70N S</v>
      </c>
      <c r="C2355" s="18" t="str">
        <f aca="false">'SALES Raw'!H2490</f>
        <v>70N S חגורת פאבליק</v>
      </c>
      <c r="D2355" s="19" t="n">
        <f aca="false">'SALES Raw'!C2490</f>
        <v>1</v>
      </c>
      <c r="E2355" s="19" t="n">
        <f aca="false">'SALES Raw'!D2490</f>
        <v>467.73</v>
      </c>
      <c r="F2355" s="19" t="n">
        <f aca="false">'SALES Raw'!E2490*$H$4</f>
        <v>10.1052631578947</v>
      </c>
      <c r="G2355" s="19" t="n">
        <f aca="false">'SALES Raw'!F2490*$H$4</f>
        <v>5908.14315789474</v>
      </c>
      <c r="H2355" s="18" t="str">
        <f aca="false">'SALES Raw'!A2490</f>
        <v>114 - IL online</v>
      </c>
    </row>
    <row r="2356" customFormat="false" ht="15" hidden="false" customHeight="false" outlineLevel="0" collapsed="false">
      <c r="A2356" s="18" t="n">
        <f aca="false">'SALES Raw'!G2495</f>
        <v>4413127</v>
      </c>
      <c r="B2356" s="18" t="str">
        <f aca="false">'SALES Raw'!B2495</f>
        <v>75 L</v>
      </c>
      <c r="C2356" s="18" t="str">
        <f aca="false">'SALES Raw'!H2495</f>
        <v>75 Lמיישר כתף יציב יישור גב צר</v>
      </c>
      <c r="D2356" s="19" t="n">
        <f aca="false">'SALES Raw'!C2495</f>
        <v>10</v>
      </c>
      <c r="E2356" s="19" t="n">
        <f aca="false">'SALES Raw'!D2495</f>
        <v>2446.37</v>
      </c>
      <c r="F2356" s="19" t="n">
        <f aca="false">'SALES Raw'!E2495*$H$4</f>
        <v>10.1052631578947</v>
      </c>
      <c r="G2356" s="19" t="n">
        <f aca="false">'SALES Raw'!F2495*$H$4</f>
        <v>2827.95789473684</v>
      </c>
      <c r="H2356" s="18" t="str">
        <f aca="false">'SALES Raw'!A2495</f>
        <v>114 - IL online</v>
      </c>
    </row>
    <row r="2357" customFormat="false" ht="15" hidden="false" customHeight="false" outlineLevel="0" collapsed="false">
      <c r="A2357" s="18" t="str">
        <f aca="false">'SALES Raw'!G2505</f>
        <v/>
      </c>
      <c r="B2357" s="18" t="str">
        <f aca="false">'SALES Raw'!B2505</f>
        <v>76 XS</v>
      </c>
      <c r="C2357" s="18" t="str">
        <f aca="false">'SALES Raw'!H2505</f>
        <v>76 XS</v>
      </c>
      <c r="D2357" s="19" t="n">
        <f aca="false">'SALES Raw'!C2505</f>
        <v>4</v>
      </c>
      <c r="E2357" s="19" t="n">
        <f aca="false">'SALES Raw'!D2505</f>
        <v>1005.54</v>
      </c>
      <c r="F2357" s="19" t="n">
        <f aca="false">'SALES Raw'!E2505*$H$4</f>
        <v>10.1052631578947</v>
      </c>
      <c r="G2357" s="19" t="n">
        <f aca="false">'SALES Raw'!F2505*$H$4</f>
        <v>3612.05052631579</v>
      </c>
      <c r="H2357" s="18" t="str">
        <f aca="false">'SALES Raw'!A2505</f>
        <v>114 - IL online</v>
      </c>
    </row>
    <row r="2358" customFormat="false" ht="15" hidden="false" customHeight="false" outlineLevel="0" collapsed="false">
      <c r="A2358" s="18" t="n">
        <f aca="false">'SALES Raw'!G2594</f>
        <v>4408206</v>
      </c>
      <c r="B2358" s="18" t="str">
        <f aca="false">'SALES Raw'!B2594</f>
        <v>AC11 0</v>
      </c>
      <c r="C2358" s="18" t="str">
        <f aca="false">'SALES Raw'!H2594</f>
        <v>AC-11 חגורת בטן קלה</v>
      </c>
      <c r="D2358" s="19" t="n">
        <f aca="false">'SALES Raw'!C2594</f>
        <v>1</v>
      </c>
      <c r="E2358" s="19" t="n">
        <f aca="false">'SALES Raw'!D2594</f>
        <v>132.97</v>
      </c>
      <c r="F2358" s="19" t="n">
        <f aca="false">'SALES Raw'!E2594*$H$4</f>
        <v>10.1052631578947</v>
      </c>
      <c r="G2358" s="19" t="n">
        <f aca="false">'SALES Raw'!F2594*$H$4</f>
        <v>1310.07157894737</v>
      </c>
      <c r="H2358" s="18" t="str">
        <f aca="false">'SALES Raw'!A2594</f>
        <v>114 - IL online</v>
      </c>
    </row>
    <row r="2359" customFormat="false" ht="15" hidden="false" customHeight="false" outlineLevel="0" collapsed="false">
      <c r="A2359" s="18" t="str">
        <f aca="false">'SALES Raw'!G2632</f>
        <v/>
      </c>
      <c r="B2359" s="18" t="str">
        <f aca="false">'SALES Raw'!B2632</f>
        <v>N433D L</v>
      </c>
      <c r="C2359" s="18" t="str">
        <f aca="false">'SALES Raw'!H2632</f>
        <v>N433D L</v>
      </c>
      <c r="D2359" s="19" t="n">
        <f aca="false">'SALES Raw'!C2632</f>
        <v>13</v>
      </c>
      <c r="E2359" s="19" t="n">
        <f aca="false">'SALES Raw'!D2632</f>
        <v>6356.08</v>
      </c>
      <c r="F2359" s="19" t="n">
        <f aca="false">'SALES Raw'!E2632*$H$4</f>
        <v>10.1052631578947</v>
      </c>
      <c r="G2359" s="19" t="n">
        <f aca="false">'SALES Raw'!F2632*$H$4</f>
        <v>5619.20842105263</v>
      </c>
      <c r="H2359" s="18" t="str">
        <f aca="false">'SALES Raw'!A2632</f>
        <v>114 - IL online</v>
      </c>
    </row>
    <row r="2360" customFormat="false" ht="15" hidden="false" customHeight="false" outlineLevel="0" collapsed="false">
      <c r="A2360" s="18" t="n">
        <f aca="false">'SALES Raw'!G2638</f>
        <v>4413150</v>
      </c>
      <c r="B2360" s="18" t="str">
        <f aca="false">'SALES Raw'!B2638</f>
        <v>PD341 0</v>
      </c>
      <c r="C2360" s="18" t="str">
        <f aca="false">'SALES Raw'!H2638</f>
        <v>PD341-מקצוע להסרת עור קשה</v>
      </c>
      <c r="D2360" s="19" t="n">
        <f aca="false">'SALES Raw'!C2638</f>
        <v>3</v>
      </c>
      <c r="E2360" s="19" t="n">
        <f aca="false">'SALES Raw'!D2638</f>
        <v>149.27</v>
      </c>
      <c r="F2360" s="19" t="n">
        <f aca="false">'SALES Raw'!E2638*$H$4</f>
        <v>10.1052631578947</v>
      </c>
      <c r="G2360" s="19" t="n">
        <f aca="false">'SALES Raw'!F2638*$H$4</f>
        <v>518.475789473684</v>
      </c>
      <c r="H2360" s="18" t="str">
        <f aca="false">'SALES Raw'!A2638</f>
        <v>114 - IL online</v>
      </c>
    </row>
    <row r="2361" customFormat="false" ht="15" hidden="false" customHeight="false" outlineLevel="0" collapsed="false">
      <c r="A2361" s="18" t="n">
        <f aca="false">'SALES Raw'!G2650</f>
        <v>4413426</v>
      </c>
      <c r="B2361" s="18" t="str">
        <f aca="false">'SALES Raw'!B2650</f>
        <v>SC35R L</v>
      </c>
      <c r="C2361" s="18" t="str">
        <f aca="false">'SALES Raw'!H2650</f>
        <v>SC35R  L מגן קרסול ימין</v>
      </c>
      <c r="D2361" s="19" t="n">
        <f aca="false">'SALES Raw'!C2650</f>
        <v>19</v>
      </c>
      <c r="E2361" s="19" t="n">
        <f aca="false">'SALES Raw'!D2650</f>
        <v>2558.22</v>
      </c>
      <c r="F2361" s="19" t="n">
        <f aca="false">'SALES Raw'!E2650*$H$4</f>
        <v>10.1052631578947</v>
      </c>
      <c r="G2361" s="19" t="n">
        <f aca="false">'SALES Raw'!F2650*$H$4</f>
        <v>1476.51789473684</v>
      </c>
      <c r="H2361" s="18" t="str">
        <f aca="false">'SALES Raw'!A2650</f>
        <v>114 - IL online</v>
      </c>
    </row>
    <row r="2362" customFormat="false" ht="15" hidden="false" customHeight="false" outlineLevel="0" collapsed="false">
      <c r="A2362" s="18" t="n">
        <f aca="false">'SALES Raw'!G2652</f>
        <v>4413424</v>
      </c>
      <c r="B2362" s="18" t="str">
        <f aca="false">'SALES Raw'!B2652</f>
        <v>SC35R S</v>
      </c>
      <c r="C2362" s="18" t="str">
        <f aca="false">'SALES Raw'!H2652</f>
        <v>SC35R  S מגן קרסול ימין</v>
      </c>
      <c r="D2362" s="19" t="n">
        <f aca="false">'SALES Raw'!C2652</f>
        <v>10</v>
      </c>
      <c r="E2362" s="19" t="n">
        <f aca="false">'SALES Raw'!D2652</f>
        <v>1235.1</v>
      </c>
      <c r="F2362" s="19" t="n">
        <f aca="false">'SALES Raw'!E2652*$H$4</f>
        <v>10.1052631578947</v>
      </c>
      <c r="G2362" s="19" t="n">
        <f aca="false">'SALES Raw'!F2652*$H$4</f>
        <v>1540.73684210526</v>
      </c>
      <c r="H2362" s="18" t="str">
        <f aca="false">'SALES Raw'!A2652</f>
        <v>114 - IL online</v>
      </c>
    </row>
    <row r="2363" customFormat="false" ht="15" hidden="false" customHeight="false" outlineLevel="0" collapsed="false">
      <c r="A2363" s="18" t="n">
        <f aca="false">'SALES Raw'!G2657</f>
        <v>4413418</v>
      </c>
      <c r="B2363" s="18" t="str">
        <f aca="false">'SALES Raw'!B2657</f>
        <v>SC39 XL</v>
      </c>
      <c r="C2363" s="18" t="str">
        <f aca="false">'SALES Raw'!H2657</f>
        <v>SC39 XL מגן שוק</v>
      </c>
      <c r="D2363" s="19" t="n">
        <f aca="false">'SALES Raw'!C2657</f>
        <v>5</v>
      </c>
      <c r="E2363" s="19" t="n">
        <f aca="false">'SALES Raw'!D2657</f>
        <v>1239.44</v>
      </c>
      <c r="F2363" s="19" t="n">
        <f aca="false">'SALES Raw'!E2657*$H$4</f>
        <v>10.1052631578947</v>
      </c>
      <c r="G2363" s="19" t="n">
        <f aca="false">'SALES Raw'!F2657*$H$4</f>
        <v>2809.06105263158</v>
      </c>
      <c r="H2363" s="18" t="str">
        <f aca="false">'SALES Raw'!A2657</f>
        <v>114 - IL online</v>
      </c>
    </row>
    <row r="2364" customFormat="false" ht="15" hidden="false" customHeight="false" outlineLevel="0" collapsed="false">
      <c r="A2364" s="18" t="str">
        <f aca="false">'SALES Raw'!G2725</f>
        <v/>
      </c>
      <c r="B2364" s="18" t="str">
        <f aca="false">'SALES Raw'!B2725</f>
        <v>T39 L</v>
      </c>
      <c r="C2364" s="18" t="str">
        <f aca="false">'SALES Raw'!H2725</f>
        <v>T39 L</v>
      </c>
      <c r="D2364" s="19" t="n">
        <f aca="false">'SALES Raw'!C2725</f>
        <v>2</v>
      </c>
      <c r="E2364" s="19" t="n">
        <f aca="false">'SALES Raw'!D2725</f>
        <v>331.21</v>
      </c>
      <c r="F2364" s="19" t="n">
        <f aca="false">'SALES Raw'!E2725*$H$4</f>
        <v>10.1052631578947</v>
      </c>
      <c r="G2364" s="19" t="n">
        <f aca="false">'SALES Raw'!F2725*$H$4</f>
        <v>1845.76421052632</v>
      </c>
      <c r="H2364" s="18" t="str">
        <f aca="false">'SALES Raw'!A2725</f>
        <v>114 - IL online</v>
      </c>
    </row>
    <row r="2365" customFormat="false" ht="15" hidden="false" customHeight="false" outlineLevel="0" collapsed="false">
      <c r="A2365" s="18" t="n">
        <f aca="false">'SALES Raw'!G2747</f>
        <v>4413184</v>
      </c>
      <c r="B2365" s="18" t="str">
        <f aca="false">'SALES Raw'!B2747</f>
        <v>T45 L</v>
      </c>
      <c r="C2365" s="18" t="str">
        <f aca="false">'SALES Raw'!H2747</f>
        <v>T 45 L מגן ברך רגיל</v>
      </c>
      <c r="D2365" s="19" t="n">
        <f aca="false">'SALES Raw'!C2747</f>
        <v>8</v>
      </c>
      <c r="E2365" s="19" t="n">
        <f aca="false">'SALES Raw'!D2747</f>
        <v>1446.32</v>
      </c>
      <c r="F2365" s="19" t="n">
        <f aca="false">'SALES Raw'!E2747*$H$4</f>
        <v>10.1052631578947</v>
      </c>
      <c r="G2365" s="19" t="n">
        <f aca="false">'SALES Raw'!F2747*$H$4</f>
        <v>1925.97473684211</v>
      </c>
      <c r="H2365" s="18" t="str">
        <f aca="false">'SALES Raw'!A2747</f>
        <v>114 - IL online</v>
      </c>
    </row>
    <row r="2366" customFormat="false" ht="15" hidden="false" customHeight="false" outlineLevel="0" collapsed="false">
      <c r="A2366" s="18" t="n">
        <f aca="false">'SALES Raw'!G2803</f>
        <v>4409011</v>
      </c>
      <c r="B2366" s="18" t="str">
        <f aca="false">'SALES Raw'!B2803</f>
        <v>804AT-B</v>
      </c>
      <c r="C2366" s="18" t="str">
        <f aca="false">'SALES Raw'!H2803</f>
        <v>804AT-B      טייפ חבישה לספורט</v>
      </c>
      <c r="D2366" s="19" t="n">
        <f aca="false">'SALES Raw'!C2803</f>
        <v>12</v>
      </c>
      <c r="E2366" s="19" t="n">
        <f aca="false">'SALES Raw'!D2803</f>
        <v>373.55</v>
      </c>
      <c r="F2366" s="19" t="n">
        <f aca="false">'SALES Raw'!E2803*$H$4</f>
        <v>10.1052631578947</v>
      </c>
      <c r="G2366" s="19" t="n">
        <f aca="false">'SALES Raw'!F2803*$H$4</f>
        <v>315.991578947368</v>
      </c>
      <c r="H2366" s="18" t="str">
        <f aca="false">'SALES Raw'!A2803</f>
        <v>115-SuperPharm Online</v>
      </c>
    </row>
    <row r="2367" customFormat="false" ht="15" hidden="false" customHeight="false" outlineLevel="0" collapsed="false">
      <c r="A2367" s="18" t="str">
        <f aca="false">'SALES Raw'!G3306</f>
        <v/>
      </c>
      <c r="B2367" s="18" t="str">
        <f aca="false">'SALES Raw'!B3306</f>
        <v>91 0</v>
      </c>
      <c r="C2367" s="18" t="str">
        <f aca="false">'SALES Raw'!H3306</f>
        <v>91 0</v>
      </c>
      <c r="D2367" s="19" t="n">
        <f aca="false">'SALES Raw'!C3306</f>
        <v>0</v>
      </c>
      <c r="E2367" s="19" t="n">
        <f aca="false">'SALES Raw'!D3306</f>
        <v>0</v>
      </c>
      <c r="F2367" s="19" t="n">
        <f aca="false">'SALES Raw'!E3306*$H$4</f>
        <v>10.1052631578947</v>
      </c>
      <c r="G2367" s="19" t="n">
        <f aca="false">'SALES Raw'!F3306*$H$4</f>
        <v>312.745263157895</v>
      </c>
      <c r="H2367" s="18" t="str">
        <f aca="false">'SALES Raw'!A3306</f>
        <v>204 - Sanaflex Anatomic GREECE</v>
      </c>
    </row>
    <row r="2368" customFormat="false" ht="15" hidden="false" customHeight="false" outlineLevel="0" collapsed="false">
      <c r="A2368" s="18" t="str">
        <f aca="false">'SALES Raw'!G3915</f>
        <v/>
      </c>
      <c r="B2368" s="18" t="str">
        <f aca="false">'SALES Raw'!B3915</f>
        <v>332B L</v>
      </c>
      <c r="C2368" s="18" t="str">
        <f aca="false">'SALES Raw'!H3915</f>
        <v>332B L</v>
      </c>
      <c r="D2368" s="19" t="n">
        <f aca="false">'SALES Raw'!C3915</f>
        <v>0</v>
      </c>
      <c r="E2368" s="19" t="n">
        <f aca="false">'SALES Raw'!D3915</f>
        <v>0</v>
      </c>
      <c r="F2368" s="19" t="n">
        <f aca="false">'SALES Raw'!E3915*$H$4</f>
        <v>10.1052631578947</v>
      </c>
      <c r="G2368" s="19" t="n">
        <f aca="false">'SALES Raw'!F3915*$H$4</f>
        <v>623.52</v>
      </c>
      <c r="H2368" s="18" t="str">
        <f aca="false">'SALES Raw'!A3915</f>
        <v>210 - Oy. Ea. Ab. FINLAND</v>
      </c>
    </row>
    <row r="2369" customFormat="false" ht="15" hidden="false" customHeight="false" outlineLevel="0" collapsed="false">
      <c r="A2369" s="18" t="str">
        <f aca="false">'SALES Raw'!G3916</f>
        <v/>
      </c>
      <c r="B2369" s="18" t="str">
        <f aca="false">'SALES Raw'!B3916</f>
        <v>332B M</v>
      </c>
      <c r="C2369" s="18" t="str">
        <f aca="false">'SALES Raw'!H3916</f>
        <v>332B M</v>
      </c>
      <c r="D2369" s="19" t="n">
        <f aca="false">'SALES Raw'!C3916</f>
        <v>0</v>
      </c>
      <c r="E2369" s="19" t="n">
        <f aca="false">'SALES Raw'!D3916</f>
        <v>0</v>
      </c>
      <c r="F2369" s="19" t="n">
        <f aca="false">'SALES Raw'!E3916*$H$4</f>
        <v>10.1052631578947</v>
      </c>
      <c r="G2369" s="19" t="n">
        <f aca="false">'SALES Raw'!F3916*$H$4</f>
        <v>623.52</v>
      </c>
      <c r="H2369" s="18" t="str">
        <f aca="false">'SALES Raw'!A3916</f>
        <v>210 - Oy. Ea. Ab. FINLAND</v>
      </c>
    </row>
    <row r="2370" customFormat="false" ht="15" hidden="false" customHeight="false" outlineLevel="0" collapsed="false">
      <c r="A2370" s="18" t="str">
        <f aca="false">'SALES Raw'!G3949</f>
        <v/>
      </c>
      <c r="B2370" s="18" t="str">
        <f aca="false">'SALES Raw'!B3949</f>
        <v>376-41-43</v>
      </c>
      <c r="C2370" s="18" t="str">
        <f aca="false">'SALES Raw'!H3949</f>
        <v>376-41-43</v>
      </c>
      <c r="D2370" s="19" t="n">
        <f aca="false">'SALES Raw'!C3949</f>
        <v>10</v>
      </c>
      <c r="E2370" s="19" t="n">
        <f aca="false">'SALES Raw'!D3949</f>
        <v>158.5</v>
      </c>
      <c r="F2370" s="19" t="n">
        <f aca="false">'SALES Raw'!E3949*$H$4</f>
        <v>10.1052631578947</v>
      </c>
      <c r="G2370" s="19" t="n">
        <f aca="false">'SALES Raw'!F3949*$H$4</f>
        <v>141.170526315789</v>
      </c>
      <c r="H2370" s="18" t="str">
        <f aca="false">'SALES Raw'!A3949</f>
        <v>210 - Oy. Ea. Ab. FINLAND</v>
      </c>
    </row>
    <row r="2371" customFormat="false" ht="15" hidden="false" customHeight="false" outlineLevel="0" collapsed="false">
      <c r="A2371" s="18" t="n">
        <f aca="false">'SALES Raw'!G3958</f>
        <v>4413497</v>
      </c>
      <c r="B2371" s="18" t="str">
        <f aca="false">'SALES Raw'!B3958</f>
        <v>45B M</v>
      </c>
      <c r="C2371" s="18" t="str">
        <f aca="false">'SALES Raw'!H3958</f>
        <v>45B M מגן ברך שחור</v>
      </c>
      <c r="D2371" s="19" t="n">
        <f aca="false">'SALES Raw'!C3958</f>
        <v>30</v>
      </c>
      <c r="E2371" s="19" t="n">
        <f aca="false">'SALES Raw'!D3958</f>
        <v>369.24</v>
      </c>
      <c r="F2371" s="19" t="n">
        <f aca="false">'SALES Raw'!E3958*$H$4</f>
        <v>10.1052631578947</v>
      </c>
      <c r="G2371" s="19" t="n">
        <f aca="false">'SALES Raw'!F3958*$H$4</f>
        <v>105.877894736842</v>
      </c>
      <c r="H2371" s="18" t="str">
        <f aca="false">'SALES Raw'!A3958</f>
        <v>210 - Oy. Ea. Ab. FINLAND</v>
      </c>
    </row>
    <row r="2372" customFormat="false" ht="15" hidden="false" customHeight="false" outlineLevel="0" collapsed="false">
      <c r="A2372" s="18" t="n">
        <f aca="false">'SALES Raw'!G3961</f>
        <v>4413499</v>
      </c>
      <c r="B2372" s="18" t="str">
        <f aca="false">'SALES Raw'!B3961</f>
        <v>45B XXL</v>
      </c>
      <c r="C2372" s="18" t="str">
        <f aca="false">'SALES Raw'!H3961</f>
        <v>45B XXLמגן ברך שחור</v>
      </c>
      <c r="D2372" s="19" t="n">
        <f aca="false">'SALES Raw'!C3961</f>
        <v>4</v>
      </c>
      <c r="E2372" s="19" t="n">
        <f aca="false">'SALES Raw'!D3961</f>
        <v>50.07</v>
      </c>
      <c r="F2372" s="19" t="n">
        <f aca="false">'SALES Raw'!E3961*$H$4</f>
        <v>10.1052631578947</v>
      </c>
      <c r="G2372" s="19" t="n">
        <f aca="false">'SALES Raw'!F3961*$H$4</f>
        <v>105.877894736842</v>
      </c>
      <c r="H2372" s="18" t="str">
        <f aca="false">'SALES Raw'!A3961</f>
        <v>210 - Oy. Ea. Ab. FINLAND</v>
      </c>
    </row>
    <row r="2373" customFormat="false" ht="15" hidden="false" customHeight="false" outlineLevel="0" collapsed="false">
      <c r="A2373" s="18" t="n">
        <f aca="false">'SALES Raw'!G3966</f>
        <v>4413117</v>
      </c>
      <c r="B2373" s="18" t="str">
        <f aca="false">'SALES Raw'!B3966</f>
        <v>50 L</v>
      </c>
      <c r="C2373" s="18" t="str">
        <f aca="false">'SALES Raw'!H3966</f>
        <v>50 L מתלה אשכים לאחר ניתוח</v>
      </c>
      <c r="D2373" s="19" t="n">
        <f aca="false">'SALES Raw'!C3966</f>
        <v>10</v>
      </c>
      <c r="E2373" s="19" t="n">
        <f aca="false">'SALES Raw'!D3966</f>
        <v>476.88</v>
      </c>
      <c r="F2373" s="19" t="n">
        <f aca="false">'SALES Raw'!E3966*$H$4</f>
        <v>10.1052631578947</v>
      </c>
      <c r="G2373" s="19" t="n">
        <f aca="false">'SALES Raw'!F3966*$H$4</f>
        <v>403.351578947368</v>
      </c>
      <c r="H2373" s="18" t="str">
        <f aca="false">'SALES Raw'!A3966</f>
        <v>210 - Oy. Ea. Ab. FINLAND</v>
      </c>
    </row>
    <row r="2374" customFormat="false" ht="15" hidden="false" customHeight="false" outlineLevel="0" collapsed="false">
      <c r="A2374" s="18" t="str">
        <f aca="false">'SALES Raw'!G4015</f>
        <v/>
      </c>
      <c r="B2374" s="18" t="str">
        <f aca="false">'SALES Raw'!B4015</f>
        <v>N433D XXL</v>
      </c>
      <c r="C2374" s="18" t="str">
        <f aca="false">'SALES Raw'!H4015</f>
        <v>N433D XXL</v>
      </c>
      <c r="D2374" s="19" t="n">
        <f aca="false">'SALES Raw'!C4015</f>
        <v>0</v>
      </c>
      <c r="E2374" s="19" t="n">
        <f aca="false">'SALES Raw'!D4015</f>
        <v>0</v>
      </c>
      <c r="F2374" s="19" t="n">
        <f aca="false">'SALES Raw'!E4015*$H$4</f>
        <v>10.1052631578947</v>
      </c>
      <c r="G2374" s="19" t="n">
        <f aca="false">'SALES Raw'!F4015*$H$4</f>
        <v>1210.06736842105</v>
      </c>
      <c r="H2374" s="18" t="str">
        <f aca="false">'SALES Raw'!A4015</f>
        <v>210 - Oy. Ea. Ab. FINLAND</v>
      </c>
    </row>
    <row r="2375" customFormat="false" ht="15" hidden="false" customHeight="false" outlineLevel="0" collapsed="false">
      <c r="A2375" s="18" t="n">
        <f aca="false">'SALES Raw'!G4019</f>
        <v>4422041</v>
      </c>
      <c r="B2375" s="18" t="str">
        <f aca="false">'SALES Raw'!B4019</f>
        <v>SH422 5</v>
      </c>
      <c r="C2375" s="18" t="str">
        <f aca="false">'SALES Raw'!H4019</f>
        <v>SH422 5 תומך ברך גנושילד</v>
      </c>
      <c r="D2375" s="19" t="n">
        <f aca="false">'SALES Raw'!C4019</f>
        <v>0</v>
      </c>
      <c r="E2375" s="19" t="n">
        <f aca="false">'SALES Raw'!D4019</f>
        <v>0</v>
      </c>
      <c r="F2375" s="19" t="n">
        <f aca="false">'SALES Raw'!E4019*$H$4</f>
        <v>10.1052631578947</v>
      </c>
      <c r="G2375" s="19" t="n">
        <f aca="false">'SALES Raw'!F4019*$H$4</f>
        <v>900.833684210526</v>
      </c>
      <c r="H2375" s="18" t="str">
        <f aca="false">'SALES Raw'!A4019</f>
        <v>210 - Oy. Ea. Ab. FINLAND</v>
      </c>
    </row>
    <row r="2376" customFormat="false" ht="15" hidden="false" customHeight="false" outlineLevel="0" collapsed="false">
      <c r="A2376" s="18" t="n">
        <f aca="false">'SALES Raw'!G4418</f>
        <v>4413033</v>
      </c>
      <c r="B2376" s="18" t="str">
        <f aca="false">'SALES Raw'!B4418</f>
        <v>311 0</v>
      </c>
      <c r="C2376" s="18" t="str">
        <f aca="false">'SALES Raw'!H4418</f>
        <v>311'מדב.ג'ל למניעת שפשוף 5 יח</v>
      </c>
      <c r="D2376" s="19" t="n">
        <f aca="false">'SALES Raw'!C4418</f>
        <v>1</v>
      </c>
      <c r="E2376" s="19" t="n">
        <f aca="false">'SALES Raw'!D4418</f>
        <v>32.6</v>
      </c>
      <c r="F2376" s="19" t="n">
        <f aca="false">'SALES Raw'!E4418*$H$4</f>
        <v>10.1052631578947</v>
      </c>
      <c r="G2376" s="19" t="n">
        <f aca="false">'SALES Raw'!F4418*$H$4</f>
        <v>240.669473684211</v>
      </c>
      <c r="H2376" s="18" t="str">
        <f aca="false">'SALES Raw'!A4418</f>
        <v>301 - Amazon</v>
      </c>
    </row>
    <row r="2377" customFormat="false" ht="15" hidden="false" customHeight="false" outlineLevel="0" collapsed="false">
      <c r="A2377" s="18" t="n">
        <f aca="false">'SALES Raw'!G4425</f>
        <v>4413371</v>
      </c>
      <c r="B2377" s="18" t="str">
        <f aca="false">'SALES Raw'!B4425</f>
        <v>3675 0</v>
      </c>
      <c r="C2377" s="18" t="str">
        <f aca="false">'SALES Raw'!H4425</f>
        <v>3675    מגן זרת מסיליקון</v>
      </c>
      <c r="D2377" s="19" t="n">
        <f aca="false">'SALES Raw'!C4425</f>
        <v>46</v>
      </c>
      <c r="E2377" s="19" t="n">
        <f aca="false">'SALES Raw'!D4425</f>
        <v>2442.27</v>
      </c>
      <c r="F2377" s="19" t="n">
        <f aca="false">'SALES Raw'!E4425*$H$4</f>
        <v>10.1052631578947</v>
      </c>
      <c r="G2377" s="19" t="n">
        <f aca="false">'SALES Raw'!F4425*$H$4</f>
        <v>456.682105263158</v>
      </c>
      <c r="H2377" s="18" t="str">
        <f aca="false">'SALES Raw'!A4425</f>
        <v>301 - Amazon</v>
      </c>
    </row>
    <row r="2378" customFormat="false" ht="15" hidden="false" customHeight="false" outlineLevel="0" collapsed="false">
      <c r="A2378" s="18" t="n">
        <f aca="false">'CEMIUP0.9 Raw'!B60</f>
        <v>4408028</v>
      </c>
      <c r="B2378" s="18" t="str">
        <f aca="false">'CEMIUP0.9 Raw'!C60</f>
        <v>10 M ""חגורת גב ""לומבו</v>
      </c>
      <c r="C2378" s="18" t="str">
        <f aca="false">'CEMIUP0.9 Raw'!C60</f>
        <v>10 M ""חגורת גב ""לומבו</v>
      </c>
      <c r="D2378" s="19" t="n">
        <f aca="false">'CEMIUP0.9 Raw'!D60</f>
        <v>26</v>
      </c>
      <c r="E2378" s="19" t="n">
        <f aca="false">'CEMIUP0.9 Raw'!E60</f>
        <v>3375.152</v>
      </c>
      <c r="F2378" s="19" t="n">
        <f aca="false">'CEMIUP0.9 Raw'!F60</f>
        <v>10.1052631578947</v>
      </c>
      <c r="G2378" s="19" t="n">
        <f aca="false">'CEMIUP0.9 Raw'!G60</f>
        <v>1331.09052631579</v>
      </c>
      <c r="H2378" s="18" t="str">
        <f aca="false">'CEMIUP0.9 Raw'!A60</f>
        <v>107 - Pharmacies</v>
      </c>
    </row>
    <row r="2379" customFormat="false" ht="15" hidden="false" customHeight="false" outlineLevel="0" collapsed="false">
      <c r="A2379" s="18" t="n">
        <f aca="false">'CEMIUP0.9 Raw'!B127</f>
        <v>4408134</v>
      </c>
      <c r="B2379" s="18" t="str">
        <f aca="false">'CEMIUP0.9 Raw'!C127</f>
        <v>077A S-M חגורת גב</v>
      </c>
      <c r="C2379" s="18" t="str">
        <f aca="false">'CEMIUP0.9 Raw'!C127</f>
        <v>077A S-M חגורת גב</v>
      </c>
      <c r="D2379" s="19" t="n">
        <f aca="false">'CEMIUP0.9 Raw'!D127</f>
        <v>60</v>
      </c>
      <c r="E2379" s="19" t="n">
        <f aca="false">'CEMIUP0.9 Raw'!E127</f>
        <v>5283.444</v>
      </c>
      <c r="F2379" s="19" t="n">
        <f aca="false">'CEMIUP0.9 Raw'!F127</f>
        <v>10.1052631578947</v>
      </c>
      <c r="G2379" s="19" t="n">
        <f aca="false">'CEMIUP0.9 Raw'!G127</f>
        <v>1256.37473684211</v>
      </c>
      <c r="H2379" s="18" t="str">
        <f aca="false">'CEMIUP0.9 Raw'!A127</f>
        <v>107 - Pharmacies</v>
      </c>
    </row>
    <row r="2380" customFormat="false" ht="15" hidden="false" customHeight="false" outlineLevel="0" collapsed="false">
      <c r="A2380" s="18" t="n">
        <f aca="false">'CEMIUP0.9 Raw'!B153</f>
        <v>4408217</v>
      </c>
      <c r="B2380" s="18" t="str">
        <f aca="false">'CEMIUP0.9 Raw'!C153</f>
        <v>S078 חגורת גב +סגירה כפולה</v>
      </c>
      <c r="C2380" s="18" t="str">
        <f aca="false">'CEMIUP0.9 Raw'!C153</f>
        <v>S078 חגורת גב +סגירה כפולה</v>
      </c>
      <c r="D2380" s="19" t="n">
        <f aca="false">'CEMIUP0.9 Raw'!D153</f>
        <v>21</v>
      </c>
      <c r="E2380" s="19" t="n">
        <f aca="false">'CEMIUP0.9 Raw'!E153</f>
        <v>2115.022</v>
      </c>
      <c r="F2380" s="19" t="n">
        <f aca="false">'CEMIUP0.9 Raw'!F153</f>
        <v>10.1052631578947</v>
      </c>
      <c r="G2380" s="19" t="n">
        <f aca="false">'CEMIUP0.9 Raw'!G153</f>
        <v>987.282947368421</v>
      </c>
      <c r="H2380" s="18" t="str">
        <f aca="false">'CEMIUP0.9 Raw'!A153</f>
        <v>107 - Pharmacies</v>
      </c>
    </row>
    <row r="2381" customFormat="false" ht="15" hidden="false" customHeight="false" outlineLevel="0" collapsed="false">
      <c r="A2381" s="18" t="n">
        <f aca="false">'CEMIUP0.9 Raw'!B191</f>
        <v>4409010</v>
      </c>
      <c r="B2381" s="18" t="str">
        <f aca="false">'CEMIUP0.9 Raw'!C191</f>
        <v>804AT-W      טייפ חבישה לספורט</v>
      </c>
      <c r="C2381" s="18" t="str">
        <f aca="false">'CEMIUP0.9 Raw'!C191</f>
        <v>804AT-W      טייפ חבישה לספורט</v>
      </c>
      <c r="D2381" s="19" t="n">
        <f aca="false">'CEMIUP0.9 Raw'!D191</f>
        <v>10</v>
      </c>
      <c r="E2381" s="19" t="n">
        <f aca="false">'CEMIUP0.9 Raw'!E191</f>
        <v>144.781</v>
      </c>
      <c r="F2381" s="19" t="n">
        <f aca="false">'CEMIUP0.9 Raw'!F191</f>
        <v>10.1052631578947</v>
      </c>
      <c r="G2381" s="19" t="n">
        <f aca="false">'CEMIUP0.9 Raw'!G191</f>
        <v>156.443368421053</v>
      </c>
      <c r="H2381" s="18" t="str">
        <f aca="false">'CEMIUP0.9 Raw'!A191</f>
        <v>107 - Pharmacies</v>
      </c>
    </row>
    <row r="2382" customFormat="false" ht="15" hidden="false" customHeight="false" outlineLevel="0" collapsed="false">
      <c r="A2382" s="18" t="n">
        <f aca="false">'CEMIUP0.9 Raw'!B372</f>
        <v>4413332</v>
      </c>
      <c r="B2382" s="18" t="str">
        <f aca="false">'CEMIUP0.9 Raw'!C372</f>
        <v>45  XS מגן ברך רגיל לבן</v>
      </c>
      <c r="C2382" s="18" t="str">
        <f aca="false">'CEMIUP0.9 Raw'!C372</f>
        <v>45  XS מגן ברך רגיל לבן</v>
      </c>
      <c r="D2382" s="19" t="n">
        <f aca="false">'CEMIUP0.9 Raw'!D372</f>
        <v>6</v>
      </c>
      <c r="E2382" s="19" t="n">
        <f aca="false">'CEMIUP0.9 Raw'!E372</f>
        <v>162.782</v>
      </c>
      <c r="F2382" s="19" t="n">
        <f aca="false">'CEMIUP0.9 Raw'!F372</f>
        <v>10.1052631578947</v>
      </c>
      <c r="G2382" s="19" t="n">
        <f aca="false">'CEMIUP0.9 Raw'!G372</f>
        <v>263.856</v>
      </c>
      <c r="H2382" s="18" t="str">
        <f aca="false">'CEMIUP0.9 Raw'!A372</f>
        <v>107 - Pharmacies</v>
      </c>
    </row>
    <row r="2383" customFormat="false" ht="15" hidden="false" customHeight="false" outlineLevel="0" collapsed="false">
      <c r="A2383" s="18" t="n">
        <f aca="false">'CEMIUP0.9 Raw'!B406</f>
        <v>4413416</v>
      </c>
      <c r="B2383" s="18" t="str">
        <f aca="false">'CEMIUP0.9 Raw'!C406</f>
        <v>SC39  M מגן שוק</v>
      </c>
      <c r="C2383" s="18" t="str">
        <f aca="false">'CEMIUP0.9 Raw'!C406</f>
        <v>SC39  M מגן שוק</v>
      </c>
      <c r="D2383" s="19" t="n">
        <f aca="false">'CEMIUP0.9 Raw'!D406</f>
        <v>10</v>
      </c>
      <c r="E2383" s="19" t="n">
        <f aca="false">'CEMIUP0.9 Raw'!E406</f>
        <v>1529.893</v>
      </c>
      <c r="F2383" s="19" t="n">
        <f aca="false">'CEMIUP0.9 Raw'!F406</f>
        <v>10.1052631578947</v>
      </c>
      <c r="G2383" s="19" t="n">
        <f aca="false">'CEMIUP0.9 Raw'!G406</f>
        <v>1564.25810526316</v>
      </c>
      <c r="H2383" s="18" t="str">
        <f aca="false">'CEMIUP0.9 Raw'!A406</f>
        <v>107 - Pharmacies</v>
      </c>
    </row>
    <row r="2384" customFormat="false" ht="15" hidden="false" customHeight="false" outlineLevel="0" collapsed="false">
      <c r="A2384" s="18" t="n">
        <f aca="false">'CEMIUP0.9 Raw'!B448</f>
        <v>4413504</v>
      </c>
      <c r="B2384" s="18" t="str">
        <f aca="false">'CEMIUP0.9 Raw'!C448</f>
        <v>95B XXLמגן מרפק שחור</v>
      </c>
      <c r="C2384" s="18" t="str">
        <f aca="false">'CEMIUP0.9 Raw'!C448</f>
        <v>95B XXLמגן מרפק שחור</v>
      </c>
      <c r="D2384" s="19" t="n">
        <f aca="false">'CEMIUP0.9 Raw'!D448</f>
        <v>5</v>
      </c>
      <c r="E2384" s="19" t="n">
        <f aca="false">'CEMIUP0.9 Raw'!E448</f>
        <v>133.952</v>
      </c>
      <c r="F2384" s="19" t="n">
        <f aca="false">'CEMIUP0.9 Raw'!F448</f>
        <v>10.1052631578947</v>
      </c>
      <c r="G2384" s="19" t="n">
        <f aca="false">'CEMIUP0.9 Raw'!G448</f>
        <v>272.195368421053</v>
      </c>
      <c r="H2384" s="18" t="str">
        <f aca="false">'CEMIUP0.9 Raw'!A448</f>
        <v>107 - Pharmacies</v>
      </c>
    </row>
    <row r="2385" customFormat="false" ht="15" hidden="false" customHeight="false" outlineLevel="0" collapsed="false">
      <c r="A2385" s="18" t="n">
        <f aca="false">'CEMIUP0.9 Raw'!B453</f>
        <v>4413520</v>
      </c>
      <c r="B2385" s="18" t="str">
        <f aca="false">'CEMIUP0.9 Raw'!C453</f>
        <v>מדרסי אפיק ג'ל מולט.ספורט35-38</v>
      </c>
      <c r="C2385" s="18" t="str">
        <f aca="false">'CEMIUP0.9 Raw'!C453</f>
        <v>מדרסי אפיק ג'ל מולט.ספורט35-38</v>
      </c>
      <c r="D2385" s="19" t="n">
        <f aca="false">'CEMIUP0.9 Raw'!D453</f>
        <v>7</v>
      </c>
      <c r="E2385" s="19" t="n">
        <f aca="false">'CEMIUP0.9 Raw'!E453</f>
        <v>637.091</v>
      </c>
      <c r="F2385" s="19" t="n">
        <f aca="false">'CEMIUP0.9 Raw'!F453</f>
        <v>10.1052631578947</v>
      </c>
      <c r="G2385" s="19" t="n">
        <f aca="false">'CEMIUP0.9 Raw'!G453</f>
        <v>919.234105263158</v>
      </c>
      <c r="H2385" s="18" t="str">
        <f aca="false">'CEMIUP0.9 Raw'!A453</f>
        <v>107 - Pharmacies</v>
      </c>
    </row>
    <row r="2386" customFormat="false" ht="15" hidden="false" customHeight="false" outlineLevel="0" collapsed="false">
      <c r="A2386" s="18" t="n">
        <f aca="false">'CEMIUP0.9 Raw'!B456</f>
        <v>4413523</v>
      </c>
      <c r="B2386" s="18" t="str">
        <f aca="false">'CEMIUP0.9 Raw'!C456</f>
        <v>35-38 מדרסי אפיק ג'ל נוחות</v>
      </c>
      <c r="C2386" s="18" t="str">
        <f aca="false">'CEMIUP0.9 Raw'!C456</f>
        <v>35-38 מדרסי אפיק ג'ל נוחות</v>
      </c>
      <c r="D2386" s="19" t="n">
        <f aca="false">'CEMIUP0.9 Raw'!D456</f>
        <v>7</v>
      </c>
      <c r="E2386" s="19" t="n">
        <f aca="false">'CEMIUP0.9 Raw'!E456</f>
        <v>637.091</v>
      </c>
      <c r="F2386" s="19" t="n">
        <f aca="false">'CEMIUP0.9 Raw'!F456</f>
        <v>10.1052631578947</v>
      </c>
      <c r="G2386" s="19" t="n">
        <f aca="false">'CEMIUP0.9 Raw'!G456</f>
        <v>888.543157894737</v>
      </c>
      <c r="H2386" s="18" t="str">
        <f aca="false">'CEMIUP0.9 Raw'!A456</f>
        <v>107 - Pharmacies</v>
      </c>
    </row>
    <row r="2387" customFormat="false" ht="15" hidden="false" customHeight="false" outlineLevel="0" collapsed="false">
      <c r="A2387" s="18" t="n">
        <f aca="false">'CEMIUP0.9 Raw'!B463</f>
        <v>4413534</v>
      </c>
      <c r="B2387" s="18" t="str">
        <f aca="false">'CEMIUP0.9 Raw'!C463</f>
        <v>SH333 מקבע קרסול</v>
      </c>
      <c r="C2387" s="18" t="str">
        <f aca="false">'CEMIUP0.9 Raw'!C463</f>
        <v>SH333 מקבע קרסול</v>
      </c>
      <c r="D2387" s="19" t="n">
        <f aca="false">'CEMIUP0.9 Raw'!D463</f>
        <v>0</v>
      </c>
      <c r="E2387" s="19" t="n">
        <f aca="false">'CEMIUP0.9 Raw'!E463</f>
        <v>0</v>
      </c>
      <c r="F2387" s="19" t="n">
        <f aca="false">'CEMIUP0.9 Raw'!F463</f>
        <v>10.1052631578947</v>
      </c>
      <c r="G2387" s="19" t="n">
        <f aca="false">'CEMIUP0.9 Raw'!G463</f>
        <v>1495.58021052632</v>
      </c>
      <c r="H2387" s="18" t="str">
        <f aca="false">'CEMIUP0.9 Raw'!A463</f>
        <v>107 - Pharmacies</v>
      </c>
    </row>
    <row r="2388" customFormat="false" ht="15" hidden="false" customHeight="false" outlineLevel="0" collapsed="false">
      <c r="A2388" s="18" t="n">
        <f aca="false">'CEMIUP0.9 Raw'!B566</f>
        <v>4420039</v>
      </c>
      <c r="B2388" s="18" t="str">
        <f aca="false">'CEMIUP0.9 Raw'!C566</f>
        <v>T40B רצועה לפיקה</v>
      </c>
      <c r="C2388" s="18" t="str">
        <f aca="false">'CEMIUP0.9 Raw'!C566</f>
        <v>T40B רצועה לפיקה</v>
      </c>
      <c r="D2388" s="19" t="n">
        <f aca="false">'CEMIUP0.9 Raw'!D566</f>
        <v>0</v>
      </c>
      <c r="E2388" s="19" t="n">
        <f aca="false">'CEMIUP0.9 Raw'!E566</f>
        <v>0</v>
      </c>
      <c r="F2388" s="19" t="n">
        <f aca="false">'CEMIUP0.9 Raw'!F566</f>
        <v>10.1052631578947</v>
      </c>
      <c r="G2388" s="19" t="n">
        <f aca="false">'CEMIUP0.9 Raw'!G566</f>
        <v>742.904842105263</v>
      </c>
      <c r="H2388" s="18" t="str">
        <f aca="false">'CEMIUP0.9 Raw'!A566</f>
        <v>107 - Pharmacies</v>
      </c>
    </row>
    <row r="2389" customFormat="false" ht="15" hidden="false" customHeight="false" outlineLevel="0" collapsed="false">
      <c r="A2389" s="18" t="n">
        <f aca="false">'CEMIUP0.9 Raw'!B747</f>
        <v>4408271</v>
      </c>
      <c r="B2389" s="18" t="str">
        <f aca="false">'CEMIUP0.9 Raw'!C747</f>
        <v>70N XS חגורת פאבליק</v>
      </c>
      <c r="C2389" s="18" t="str">
        <f aca="false">'CEMIUP0.9 Raw'!C747</f>
        <v>70N XS חגורת פאבליק</v>
      </c>
      <c r="D2389" s="19" t="n">
        <f aca="false">'CEMIUP0.9 Raw'!D747</f>
        <v>0</v>
      </c>
      <c r="E2389" s="19" t="n">
        <f aca="false">'CEMIUP0.9 Raw'!E747</f>
        <v>0</v>
      </c>
      <c r="F2389" s="19" t="n">
        <f aca="false">'CEMIUP0.9 Raw'!F747</f>
        <v>10.1052631578947</v>
      </c>
      <c r="G2389" s="19" t="n">
        <f aca="false">'CEMIUP0.9 Raw'!G747</f>
        <v>1921.92</v>
      </c>
      <c r="H2389" s="18" t="str">
        <f aca="false">'CEMIUP0.9 Raw'!A747</f>
        <v>113 - Kupat Holim Meuhedet</v>
      </c>
    </row>
    <row r="2390" customFormat="false" ht="15" hidden="false" customHeight="false" outlineLevel="0" collapsed="false">
      <c r="A2390" s="18" t="n">
        <f aca="false">'CEMIUP0.9 Raw'!B767</f>
        <v>4411031</v>
      </c>
      <c r="B2390" s="18" t="str">
        <f aca="false">'CEMIUP0.9 Raw'!C767</f>
        <v>213CTS  S ימין CTS כפפות</v>
      </c>
      <c r="C2390" s="18" t="str">
        <f aca="false">'CEMIUP0.9 Raw'!C767</f>
        <v>213CTS  S ימין CTS כפפות</v>
      </c>
      <c r="D2390" s="19" t="n">
        <f aca="false">'CEMIUP0.9 Raw'!D767</f>
        <v>0</v>
      </c>
      <c r="E2390" s="19" t="n">
        <f aca="false">'CEMIUP0.9 Raw'!E767</f>
        <v>0</v>
      </c>
      <c r="F2390" s="19" t="n">
        <f aca="false">'CEMIUP0.9 Raw'!F767</f>
        <v>10.1052631578947</v>
      </c>
      <c r="G2390" s="19" t="n">
        <f aca="false">'CEMIUP0.9 Raw'!G767</f>
        <v>652.901052631579</v>
      </c>
      <c r="H2390" s="18" t="str">
        <f aca="false">'CEMIUP0.9 Raw'!A767</f>
        <v>113 - Kupat Holim Meuhedet</v>
      </c>
    </row>
    <row r="2391" customFormat="false" ht="15" hidden="false" customHeight="false" outlineLevel="0" collapsed="false">
      <c r="A2391" s="18" t="n">
        <f aca="false">'CEMIUP0.9 Raw'!B833</f>
        <v>4413303</v>
      </c>
      <c r="B2391" s="18" t="str">
        <f aca="false">'CEMIUP0.9 Raw'!C833</f>
        <v>34+XXL מ.קרסול+עכב סגור+רצועות</v>
      </c>
      <c r="C2391" s="18" t="str">
        <f aca="false">'CEMIUP0.9 Raw'!C833</f>
        <v>34+XXL מ.קרסול+עכב סגור+רצועות</v>
      </c>
      <c r="D2391" s="19" t="n">
        <f aca="false">'CEMIUP0.9 Raw'!D833</f>
        <v>22</v>
      </c>
      <c r="E2391" s="19" t="n">
        <f aca="false">'CEMIUP0.9 Raw'!E833</f>
        <v>927.74</v>
      </c>
      <c r="F2391" s="19" t="n">
        <f aca="false">'CEMIUP0.9 Raw'!F833</f>
        <v>10.1052631578947</v>
      </c>
      <c r="G2391" s="19" t="n">
        <f aca="false">'CEMIUP0.9 Raw'!G833</f>
        <v>394.801263157895</v>
      </c>
      <c r="H2391" s="18" t="str">
        <f aca="false">'CEMIUP0.9 Raw'!A833</f>
        <v>113 - Kupat Holim Meuhedet</v>
      </c>
    </row>
    <row r="2392" customFormat="false" ht="15" hidden="false" customHeight="false" outlineLevel="0" collapsed="false">
      <c r="A2392" s="18" t="n">
        <f aca="false">'CEMIUP0.9 Raw'!B1029</f>
        <v>4408249</v>
      </c>
      <c r="B2392" s="18" t="str">
        <f aca="false">'CEMIUP0.9 Raw'!C1029</f>
        <v>SC25  L חבק יד</v>
      </c>
      <c r="C2392" s="18" t="str">
        <f aca="false">'CEMIUP0.9 Raw'!C1029</f>
        <v>SC25  L חבק יד</v>
      </c>
      <c r="D2392" s="19" t="n">
        <f aca="false">'CEMIUP0.9 Raw'!D1029</f>
        <v>1</v>
      </c>
      <c r="E2392" s="19" t="n">
        <f aca="false">'CEMIUP0.9 Raw'!E1029</f>
        <v>-28.028</v>
      </c>
      <c r="F2392" s="19" t="n">
        <f aca="false">'CEMIUP0.9 Raw'!F1029</f>
        <v>10.1052631578947</v>
      </c>
      <c r="G2392" s="19" t="n">
        <f aca="false">'CEMIUP0.9 Raw'!G1029</f>
        <v>684.971368421053</v>
      </c>
      <c r="H2392" s="18" t="str">
        <f aca="false">'CEMIUP0.9 Raw'!A1029</f>
        <v>BE (CEMI internal group)</v>
      </c>
    </row>
    <row r="2393" customFormat="false" ht="15" hidden="false" customHeight="false" outlineLevel="0" collapsed="false">
      <c r="A2393" s="18" t="n">
        <f aca="false">'CEMIUP0.9 Raw'!B1112</f>
        <v>4413126</v>
      </c>
      <c r="B2393" s="18" t="str">
        <f aca="false">'CEMIUP0.9 Raw'!C1112</f>
        <v>75 Sמיישר כתף יציב יישור גב צר</v>
      </c>
      <c r="C2393" s="18" t="str">
        <f aca="false">'CEMIUP0.9 Raw'!C1112</f>
        <v>75 Sמיישר כתף יציב יישור גב צר</v>
      </c>
      <c r="D2393" s="19" t="n">
        <f aca="false">'CEMIUP0.9 Raw'!D1112</f>
        <v>17</v>
      </c>
      <c r="E2393" s="19" t="n">
        <f aca="false">'CEMIUP0.9 Raw'!E1112</f>
        <v>2183.636</v>
      </c>
      <c r="F2393" s="19" t="n">
        <f aca="false">'CEMIUP0.9 Raw'!F1112</f>
        <v>10.1052631578947</v>
      </c>
      <c r="G2393" s="19" t="n">
        <f aca="false">'CEMIUP0.9 Raw'!G1112</f>
        <v>1208.90147368421</v>
      </c>
      <c r="H2393" s="18" t="str">
        <f aca="false">'CEMIUP0.9 Raw'!A1112</f>
        <v>BE (CEMI internal group)</v>
      </c>
    </row>
    <row r="2394" customFormat="false" ht="15" hidden="false" customHeight="false" outlineLevel="0" collapsed="false">
      <c r="A2394" s="18" t="n">
        <f aca="false">'CEMIUP0.9 Raw'!B1133</f>
        <v>4413157</v>
      </c>
      <c r="B2394" s="18" t="str">
        <f aca="false">'CEMIUP0.9 Raw'!C1133</f>
        <v>305GA מדרס אורטופ.מתכוון43-44</v>
      </c>
      <c r="C2394" s="18" t="str">
        <f aca="false">'CEMIUP0.9 Raw'!C1133</f>
        <v>305GA מדרס אורטופ.מתכוון43-44</v>
      </c>
      <c r="D2394" s="19" t="n">
        <f aca="false">'CEMIUP0.9 Raw'!D1133</f>
        <v>21</v>
      </c>
      <c r="E2394" s="19" t="n">
        <f aca="false">'CEMIUP0.9 Raw'!E1133</f>
        <v>1336.79</v>
      </c>
      <c r="F2394" s="19" t="n">
        <f aca="false">'CEMIUP0.9 Raw'!F1133</f>
        <v>10.1052631578947</v>
      </c>
      <c r="G2394" s="19" t="n">
        <f aca="false">'CEMIUP0.9 Raw'!G1133</f>
        <v>643.245473684211</v>
      </c>
      <c r="H2394" s="18" t="str">
        <f aca="false">'CEMIUP0.9 Raw'!A1133</f>
        <v>BE (CEMI internal group)</v>
      </c>
    </row>
    <row r="2395" customFormat="false" ht="15" hidden="false" customHeight="false" outlineLevel="0" collapsed="false">
      <c r="A2395" s="18" t="n">
        <f aca="false">'CEMIUP0.9 Raw'!B1165</f>
        <v>4413340</v>
      </c>
      <c r="B2395" s="18" t="str">
        <f aca="false">'CEMIUP0.9 Raw'!C1165</f>
        <v>3666 מפריד הלוקס</v>
      </c>
      <c r="C2395" s="18" t="str">
        <f aca="false">'CEMIUP0.9 Raw'!C1165</f>
        <v>3666 מפריד הלוקס</v>
      </c>
      <c r="D2395" s="19" t="n">
        <f aca="false">'CEMIUP0.9 Raw'!D1165</f>
        <v>28</v>
      </c>
      <c r="E2395" s="19" t="n">
        <f aca="false">'CEMIUP0.9 Raw'!E1165</f>
        <v>1113.476</v>
      </c>
      <c r="F2395" s="19" t="n">
        <f aca="false">'CEMIUP0.9 Raw'!F1165</f>
        <v>10.1052631578947</v>
      </c>
      <c r="G2395" s="19" t="n">
        <f aca="false">'CEMIUP0.9 Raw'!G1165</f>
        <v>401.856</v>
      </c>
      <c r="H2395" s="18" t="str">
        <f aca="false">'CEMIUP0.9 Raw'!A1165</f>
        <v>BE (CEMI internal group)</v>
      </c>
    </row>
    <row r="2396" customFormat="false" ht="15" hidden="false" customHeight="false" outlineLevel="0" collapsed="false">
      <c r="A2396" s="18" t="n">
        <f aca="false">'CEMIUP0.9 Raw'!B1180</f>
        <v>4413416</v>
      </c>
      <c r="B2396" s="18" t="str">
        <f aca="false">'CEMIUP0.9 Raw'!C1180</f>
        <v>SC39  M מגן שוק</v>
      </c>
      <c r="C2396" s="18" t="str">
        <f aca="false">'CEMIUP0.9 Raw'!C1180</f>
        <v>SC39  M מגן שוק</v>
      </c>
      <c r="D2396" s="19" t="n">
        <f aca="false">'CEMIUP0.9 Raw'!D1180</f>
        <v>7</v>
      </c>
      <c r="E2396" s="19" t="n">
        <f aca="false">'CEMIUP0.9 Raw'!E1180</f>
        <v>767.858</v>
      </c>
      <c r="F2396" s="19" t="n">
        <f aca="false">'CEMIUP0.9 Raw'!F1180</f>
        <v>10.1052631578947</v>
      </c>
      <c r="G2396" s="19" t="n">
        <f aca="false">'CEMIUP0.9 Raw'!G1180</f>
        <v>1248.32842105263</v>
      </c>
      <c r="H2396" s="18" t="str">
        <f aca="false">'CEMIUP0.9 Raw'!A1180</f>
        <v>BE (CEMI internal group)</v>
      </c>
    </row>
    <row r="2397" customFormat="false" ht="15" hidden="false" customHeight="false" outlineLevel="0" collapsed="false">
      <c r="A2397" s="18" t="n">
        <f aca="false">'CEMIUP0.9 Raw'!B1184</f>
        <v>4413421</v>
      </c>
      <c r="B2397" s="18" t="str">
        <f aca="false">'CEMIUP0.9 Raw'!C1184</f>
        <v>SC35L  M מגן קרסול שמאל</v>
      </c>
      <c r="C2397" s="18" t="str">
        <f aca="false">'CEMIUP0.9 Raw'!C1184</f>
        <v>SC35L  M מגן קרסול שמאל</v>
      </c>
      <c r="D2397" s="19" t="n">
        <f aca="false">'CEMIUP0.9 Raw'!D1184</f>
        <v>7</v>
      </c>
      <c r="E2397" s="19" t="n">
        <f aca="false">'CEMIUP0.9 Raw'!E1184</f>
        <v>450.541</v>
      </c>
      <c r="F2397" s="19" t="n">
        <f aca="false">'CEMIUP0.9 Raw'!F1184</f>
        <v>10.1052631578947</v>
      </c>
      <c r="G2397" s="19" t="n">
        <f aca="false">'CEMIUP0.9 Raw'!G1184</f>
        <v>684.971368421053</v>
      </c>
      <c r="H2397" s="18" t="str">
        <f aca="false">'CEMIUP0.9 Raw'!A1184</f>
        <v>BE (CEMI internal group)</v>
      </c>
    </row>
    <row r="2398" customFormat="false" ht="15" hidden="false" customHeight="false" outlineLevel="0" collapsed="false">
      <c r="A2398" s="18" t="n">
        <f aca="false">'CEMIUP0.9 Raw'!B1281</f>
        <v>4403003</v>
      </c>
      <c r="B2398" s="18" t="str">
        <f aca="false">'CEMIUP0.9 Raw'!C1281</f>
        <v>390G ג.כסף לסכרתיים אפור35-38</v>
      </c>
      <c r="C2398" s="18" t="str">
        <f aca="false">'CEMIUP0.9 Raw'!C1281</f>
        <v>390G ג.כסף לסכרתיים אפור35-38</v>
      </c>
      <c r="D2398" s="19" t="n">
        <f aca="false">'CEMIUP0.9 Raw'!D1281</f>
        <v>22</v>
      </c>
      <c r="E2398" s="19" t="n">
        <f aca="false">'CEMIUP0.9 Raw'!E1281</f>
        <v>586.131</v>
      </c>
      <c r="F2398" s="19" t="n">
        <f aca="false">'CEMIUP0.9 Raw'!F1281</f>
        <v>10.1052631578947</v>
      </c>
      <c r="G2398" s="19" t="n">
        <f aca="false">'CEMIUP0.9 Raw'!G1281</f>
        <v>263.574315789474</v>
      </c>
      <c r="H2398" s="18" t="str">
        <f aca="false">'CEMIUP0.9 Raw'!A1281</f>
        <v>Super-Pharm Israel (CEMI internal group)</v>
      </c>
    </row>
    <row r="2399" customFormat="false" ht="15" hidden="false" customHeight="false" outlineLevel="0" collapsed="false">
      <c r="A2399" s="18" t="n">
        <f aca="false">'CEMIUP0.9 Raw'!B1314</f>
        <v>4408028</v>
      </c>
      <c r="B2399" s="18" t="str">
        <f aca="false">'CEMIUP0.9 Raw'!C1314</f>
        <v>10 M ""חגורת גב ""לומבו</v>
      </c>
      <c r="C2399" s="18" t="str">
        <f aca="false">'CEMIUP0.9 Raw'!C1314</f>
        <v>10 M ""חגורת גב ""לומבו</v>
      </c>
      <c r="D2399" s="19" t="n">
        <f aca="false">'CEMIUP0.9 Raw'!D1314</f>
        <v>37</v>
      </c>
      <c r="E2399" s="19" t="n">
        <f aca="false">'CEMIUP0.9 Raw'!E1314</f>
        <v>4436.978</v>
      </c>
      <c r="F2399" s="19" t="n">
        <f aca="false">'CEMIUP0.9 Raw'!F1314</f>
        <v>10.1052631578947</v>
      </c>
      <c r="G2399" s="19" t="n">
        <f aca="false">'CEMIUP0.9 Raw'!G1314</f>
        <v>1257.29431578947</v>
      </c>
      <c r="H2399" s="18" t="str">
        <f aca="false">'CEMIUP0.9 Raw'!A1314</f>
        <v>Super-Pharm Israel (CEMI internal group)</v>
      </c>
    </row>
    <row r="2400" customFormat="false" ht="15" hidden="false" customHeight="false" outlineLevel="0" collapsed="false">
      <c r="A2400" s="18" t="n">
        <f aca="false">'CEMIUP0.9 Raw'!B1393</f>
        <v>4408248</v>
      </c>
      <c r="B2400" s="18" t="str">
        <f aca="false">'CEMIUP0.9 Raw'!C1393</f>
        <v>SC25  M חבק יד</v>
      </c>
      <c r="C2400" s="18" t="str">
        <f aca="false">'CEMIUP0.9 Raw'!C1393</f>
        <v>SC25  M חבק יד</v>
      </c>
      <c r="D2400" s="19" t="n">
        <f aca="false">'CEMIUP0.9 Raw'!D1393</f>
        <v>13</v>
      </c>
      <c r="E2400" s="19" t="n">
        <f aca="false">'CEMIUP0.9 Raw'!E1393</f>
        <v>877.877</v>
      </c>
      <c r="F2400" s="19" t="n">
        <f aca="false">'CEMIUP0.9 Raw'!F1393</f>
        <v>10.1052631578947</v>
      </c>
      <c r="G2400" s="19" t="n">
        <f aca="false">'CEMIUP0.9 Raw'!G1393</f>
        <v>687.615157894737</v>
      </c>
      <c r="H2400" s="18" t="str">
        <f aca="false">'CEMIUP0.9 Raw'!A1393</f>
        <v>Super-Pharm Israel (CEMI internal group)</v>
      </c>
    </row>
    <row r="2401" customFormat="false" ht="15" hidden="false" customHeight="false" outlineLevel="0" collapsed="false">
      <c r="A2401" s="18" t="n">
        <f aca="false">'CEMIUP0.9 Raw'!B1578</f>
        <v>4413417</v>
      </c>
      <c r="B2401" s="18" t="str">
        <f aca="false">'CEMIUP0.9 Raw'!C1578</f>
        <v>SC39  L מגן שוק</v>
      </c>
      <c r="C2401" s="18" t="str">
        <f aca="false">'CEMIUP0.9 Raw'!C1578</f>
        <v>SC39  L מגן שוק</v>
      </c>
      <c r="D2401" s="19" t="n">
        <f aca="false">'CEMIUP0.9 Raw'!D1578</f>
        <v>3</v>
      </c>
      <c r="E2401" s="19" t="n">
        <f aca="false">'CEMIUP0.9 Raw'!E1578</f>
        <v>370.643</v>
      </c>
      <c r="F2401" s="19" t="n">
        <f aca="false">'CEMIUP0.9 Raw'!F1578</f>
        <v>10.1052631578947</v>
      </c>
      <c r="G2401" s="19" t="n">
        <f aca="false">'CEMIUP0.9 Raw'!G1578</f>
        <v>1237.98315789474</v>
      </c>
      <c r="H2401" s="18" t="str">
        <f aca="false">'CEMIUP0.9 Raw'!A1578</f>
        <v>Super-Pharm Israel (CEMI internal group)</v>
      </c>
    </row>
    <row r="2402" customFormat="false" ht="15" hidden="false" customHeight="false" outlineLevel="0" collapsed="false">
      <c r="A2402" s="18" t="n">
        <f aca="false">'SALES Raw'!G52</f>
        <v>4411023</v>
      </c>
      <c r="B2402" s="18" t="str">
        <f aca="false">'SALES Raw'!B52</f>
        <v>212 S</v>
      </c>
      <c r="C2402" s="18" t="str">
        <f aca="false">'SALES Raw'!H52</f>
        <v>212S כפפות אגודל לחץ</v>
      </c>
      <c r="D2402" s="19" t="n">
        <f aca="false">'SALES Raw'!C52</f>
        <v>11</v>
      </c>
      <c r="E2402" s="19" t="n">
        <f aca="false">'SALES Raw'!D52</f>
        <v>397.93</v>
      </c>
      <c r="F2402" s="19" t="n">
        <f aca="false">'SALES Raw'!E52*$H$4</f>
        <v>8.84210526315789</v>
      </c>
      <c r="G2402" s="19" t="n">
        <f aca="false">'SALES Raw'!F52*$H$4</f>
        <v>328.812631578947</v>
      </c>
      <c r="H2402" s="18" t="str">
        <f aca="false">'SALES Raw'!A52</f>
        <v>101 - Factory customers</v>
      </c>
    </row>
    <row r="2403" customFormat="false" ht="15" hidden="false" customHeight="false" outlineLevel="0" collapsed="false">
      <c r="A2403" s="18" t="n">
        <f aca="false">'SALES Raw'!G62</f>
        <v>4415158</v>
      </c>
      <c r="B2403" s="18" t="str">
        <f aca="false">'SALES Raw'!B62</f>
        <v>266 0</v>
      </c>
      <c r="C2403" s="18" t="str">
        <f aca="false">'SALES Raw'!H62</f>
        <v>266 סד ליד דו צדדי</v>
      </c>
      <c r="D2403" s="19" t="n">
        <f aca="false">'SALES Raw'!C62</f>
        <v>6</v>
      </c>
      <c r="E2403" s="19" t="n">
        <f aca="false">'SALES Raw'!D62</f>
        <v>453.61</v>
      </c>
      <c r="F2403" s="19" t="n">
        <f aca="false">'SALES Raw'!E62*$H$4</f>
        <v>8.84210526315789</v>
      </c>
      <c r="G2403" s="19" t="n">
        <f aca="false">'SALES Raw'!F62*$H$4</f>
        <v>201.195789473684</v>
      </c>
      <c r="H2403" s="18" t="str">
        <f aca="false">'SALES Raw'!A62</f>
        <v>101 - Factory customers</v>
      </c>
    </row>
    <row r="2404" customFormat="false" ht="15" hidden="false" customHeight="false" outlineLevel="0" collapsed="false">
      <c r="A2404" s="18" t="n">
        <f aca="false">'SALES Raw'!G103</f>
        <v>4413058</v>
      </c>
      <c r="B2404" s="18" t="str">
        <f aca="false">'SALES Raw'!B103</f>
        <v>3622S 0</v>
      </c>
      <c r="C2404" s="18" t="str">
        <f aca="false">'SALES Raw'!H103</f>
        <v>3622S מדבקה לשחרור לחץ 2 יח</v>
      </c>
      <c r="D2404" s="19" t="n">
        <f aca="false">'SALES Raw'!C103</f>
        <v>2</v>
      </c>
      <c r="E2404" s="19" t="n">
        <f aca="false">'SALES Raw'!D103</f>
        <v>65.54</v>
      </c>
      <c r="F2404" s="19" t="n">
        <f aca="false">'SALES Raw'!E103*$H$4</f>
        <v>8.84210526315789</v>
      </c>
      <c r="G2404" s="19" t="n">
        <f aca="false">'SALES Raw'!F103*$H$4</f>
        <v>289.730526315789</v>
      </c>
      <c r="H2404" s="18" t="str">
        <f aca="false">'SALES Raw'!A103</f>
        <v>101 - Factory customers</v>
      </c>
    </row>
    <row r="2405" customFormat="false" ht="15" hidden="false" customHeight="false" outlineLevel="0" collapsed="false">
      <c r="A2405" s="18" t="n">
        <f aca="false">'SALES Raw'!G109</f>
        <v>4409000</v>
      </c>
      <c r="B2405" s="18" t="str">
        <f aca="false">'SALES Raw'!B109</f>
        <v>365-S-L</v>
      </c>
      <c r="C2405" s="18" t="str">
        <f aca="false">'SALES Raw'!H109</f>
        <v>365 S-Lטבעת אלסטית מסיליקון</v>
      </c>
      <c r="D2405" s="19" t="n">
        <f aca="false">'SALES Raw'!C109</f>
        <v>24</v>
      </c>
      <c r="E2405" s="19" t="n">
        <f aca="false">'SALES Raw'!D109</f>
        <v>320.13</v>
      </c>
      <c r="F2405" s="19" t="n">
        <f aca="false">'SALES Raw'!E109*$H$4</f>
        <v>8.84210526315789</v>
      </c>
      <c r="G2405" s="19" t="n">
        <f aca="false">'SALES Raw'!F109*$H$4</f>
        <v>109.781052631579</v>
      </c>
      <c r="H2405" s="18" t="str">
        <f aca="false">'SALES Raw'!A109</f>
        <v>101 - Factory customers</v>
      </c>
    </row>
    <row r="2406" customFormat="false" ht="15" hidden="false" customHeight="false" outlineLevel="0" collapsed="false">
      <c r="A2406" s="18" t="n">
        <f aca="false">'SALES Raw'!G116</f>
        <v>4413371</v>
      </c>
      <c r="B2406" s="18" t="str">
        <f aca="false">'SALES Raw'!B116</f>
        <v>3675 0</v>
      </c>
      <c r="C2406" s="18" t="str">
        <f aca="false">'SALES Raw'!H116</f>
        <v>3675    מגן זרת מסיליקון</v>
      </c>
      <c r="D2406" s="19" t="n">
        <f aca="false">'SALES Raw'!C116</f>
        <v>0</v>
      </c>
      <c r="E2406" s="19" t="n">
        <f aca="false">'SALES Raw'!D116</f>
        <v>0</v>
      </c>
      <c r="F2406" s="19" t="n">
        <f aca="false">'SALES Raw'!E116*$H$4</f>
        <v>8.84210526315789</v>
      </c>
      <c r="G2406" s="19" t="n">
        <f aca="false">'SALES Raw'!F116*$H$4</f>
        <v>268.976842105263</v>
      </c>
      <c r="H2406" s="18" t="str">
        <f aca="false">'SALES Raw'!A116</f>
        <v>101 - Factory customers</v>
      </c>
    </row>
    <row r="2407" customFormat="false" ht="15" hidden="false" customHeight="false" outlineLevel="0" collapsed="false">
      <c r="A2407" s="18" t="n">
        <f aca="false">'SALES Raw'!G118</f>
        <v>4401001</v>
      </c>
      <c r="B2407" s="18" t="str">
        <f aca="false">'SALES Raw'!B118</f>
        <v>369-XL</v>
      </c>
      <c r="C2407" s="18" t="str">
        <f aca="false">'SALES Raw'!H118</f>
        <v>369   XL אצבעון מסיליקון יחידה</v>
      </c>
      <c r="D2407" s="19" t="n">
        <f aca="false">'SALES Raw'!C118</f>
        <v>19</v>
      </c>
      <c r="E2407" s="19" t="n">
        <f aca="false">'SALES Raw'!D118</f>
        <v>453.02</v>
      </c>
      <c r="F2407" s="19" t="n">
        <f aca="false">'SALES Raw'!E118*$H$4</f>
        <v>8.84210526315789</v>
      </c>
      <c r="G2407" s="19" t="n">
        <f aca="false">'SALES Raw'!F118*$H$4</f>
        <v>205.174736842105</v>
      </c>
      <c r="H2407" s="18" t="str">
        <f aca="false">'SALES Raw'!A118</f>
        <v>101 - Factory customers</v>
      </c>
    </row>
    <row r="2408" customFormat="false" ht="15" hidden="false" customHeight="false" outlineLevel="0" collapsed="false">
      <c r="A2408" s="18" t="n">
        <f aca="false">'SALES Raw'!G122</f>
        <v>4420002</v>
      </c>
      <c r="B2408" s="18" t="str">
        <f aca="false">'SALES Raw'!B122</f>
        <v>372 0</v>
      </c>
      <c r="C2408" s="18" t="str">
        <f aca="false">'SALES Raw'!H122</f>
        <v>372 רפידת אנטי ריח -זוג</v>
      </c>
      <c r="D2408" s="19" t="n">
        <f aca="false">'SALES Raw'!C122</f>
        <v>17</v>
      </c>
      <c r="E2408" s="19" t="n">
        <f aca="false">'SALES Raw'!D122</f>
        <v>238.75</v>
      </c>
      <c r="F2408" s="19" t="n">
        <f aca="false">'SALES Raw'!E122*$H$4</f>
        <v>8.84210526315789</v>
      </c>
      <c r="G2408" s="19" t="n">
        <f aca="false">'SALES Raw'!F122*$H$4</f>
        <v>116.905263157895</v>
      </c>
      <c r="H2408" s="18" t="str">
        <f aca="false">'SALES Raw'!A122</f>
        <v>101 - Factory customers</v>
      </c>
    </row>
    <row r="2409" customFormat="false" ht="15" hidden="false" customHeight="false" outlineLevel="0" collapsed="false">
      <c r="A2409" s="18" t="n">
        <f aca="false">'SALES Raw'!G182</f>
        <v>4418001</v>
      </c>
      <c r="B2409" s="18" t="str">
        <f aca="false">'SALES Raw'!B182</f>
        <v>60 M</v>
      </c>
      <c r="C2409" s="18" t="str">
        <f aca="false">'SALES Raw'!H182</f>
        <v>60 M צוארון ספוגי</v>
      </c>
      <c r="D2409" s="19" t="n">
        <f aca="false">'SALES Raw'!C182</f>
        <v>5</v>
      </c>
      <c r="E2409" s="19" t="n">
        <f aca="false">'SALES Raw'!D182</f>
        <v>247.99</v>
      </c>
      <c r="F2409" s="19" t="n">
        <f aca="false">'SALES Raw'!E182*$H$4</f>
        <v>8.84210526315789</v>
      </c>
      <c r="G2409" s="19" t="n">
        <f aca="false">'SALES Raw'!F182*$H$4</f>
        <v>438.884210526316</v>
      </c>
      <c r="H2409" s="18" t="str">
        <f aca="false">'SALES Raw'!A182</f>
        <v>101 - Factory customers</v>
      </c>
    </row>
    <row r="2410" customFormat="false" ht="15" hidden="false" customHeight="false" outlineLevel="0" collapsed="false">
      <c r="A2410" s="18" t="n">
        <f aca="false">'SALES Raw'!G193</f>
        <v>4409011</v>
      </c>
      <c r="B2410" s="18" t="str">
        <f aca="false">'SALES Raw'!B193</f>
        <v>804AT-B</v>
      </c>
      <c r="C2410" s="18" t="str">
        <f aca="false">'SALES Raw'!H193</f>
        <v>804AT-B      טייפ חבישה לספורט</v>
      </c>
      <c r="D2410" s="19" t="n">
        <f aca="false">'SALES Raw'!C193</f>
        <v>2</v>
      </c>
      <c r="E2410" s="19" t="n">
        <f aca="false">'SALES Raw'!D193</f>
        <v>39.29</v>
      </c>
      <c r="F2410" s="19" t="n">
        <f aca="false">'SALES Raw'!E193*$H$4</f>
        <v>8.84210526315789</v>
      </c>
      <c r="G2410" s="19" t="n">
        <f aca="false">'SALES Raw'!F193*$H$4</f>
        <v>116.589473684211</v>
      </c>
      <c r="H2410" s="18" t="str">
        <f aca="false">'SALES Raw'!A193</f>
        <v>101 - Factory customers</v>
      </c>
    </row>
    <row r="2411" customFormat="false" ht="15" hidden="false" customHeight="false" outlineLevel="0" collapsed="false">
      <c r="A2411" s="18" t="n">
        <f aca="false">'SALES Raw'!G195</f>
        <v>4409012</v>
      </c>
      <c r="B2411" s="18" t="str">
        <f aca="false">'SALES Raw'!B195</f>
        <v>804AT-C</v>
      </c>
      <c r="C2411" s="18" t="str">
        <f aca="false">'SALES Raw'!H195</f>
        <v>804AT-C      טייפ חבישה לספורט</v>
      </c>
      <c r="D2411" s="19" t="n">
        <f aca="false">'SALES Raw'!C195</f>
        <v>7</v>
      </c>
      <c r="E2411" s="19" t="n">
        <f aca="false">'SALES Raw'!D195</f>
        <v>121.06</v>
      </c>
      <c r="F2411" s="19" t="n">
        <f aca="false">'SALES Raw'!E195*$H$4</f>
        <v>8.84210526315789</v>
      </c>
      <c r="G2411" s="19" t="n">
        <f aca="false">'SALES Raw'!F195*$H$4</f>
        <v>116.576842105263</v>
      </c>
      <c r="H2411" s="18" t="str">
        <f aca="false">'SALES Raw'!A195</f>
        <v>101 - Factory customers</v>
      </c>
    </row>
    <row r="2412" customFormat="false" ht="15" hidden="false" customHeight="false" outlineLevel="0" collapsed="false">
      <c r="A2412" s="18" t="n">
        <f aca="false">'SALES Raw'!G227</f>
        <v>4413326</v>
      </c>
      <c r="B2412" s="18" t="str">
        <f aca="false">'SALES Raw'!B227</f>
        <v>AC37 0</v>
      </c>
      <c r="C2412" s="18" t="str">
        <f aca="false">'SALES Raw'!H227</f>
        <v>AC37 מגן קרסול נושם</v>
      </c>
      <c r="D2412" s="19" t="n">
        <f aca="false">'SALES Raw'!C227</f>
        <v>12</v>
      </c>
      <c r="E2412" s="19" t="n">
        <f aca="false">'SALES Raw'!D227</f>
        <v>361.3</v>
      </c>
      <c r="F2412" s="19" t="n">
        <f aca="false">'SALES Raw'!E227*$H$4</f>
        <v>8.84210526315789</v>
      </c>
      <c r="G2412" s="19" t="n">
        <f aca="false">'SALES Raw'!F227*$H$4</f>
        <v>260.4</v>
      </c>
      <c r="H2412" s="18" t="str">
        <f aca="false">'SALES Raw'!A227</f>
        <v>101 - Factory customers</v>
      </c>
    </row>
    <row r="2413" customFormat="false" ht="15" hidden="false" customHeight="false" outlineLevel="0" collapsed="false">
      <c r="A2413" s="18" t="n">
        <f aca="false">'SALES Raw'!G230</f>
        <v>4413456</v>
      </c>
      <c r="B2413" s="18" t="str">
        <f aca="false">'SALES Raw'!B230</f>
        <v>AC75 XXL</v>
      </c>
      <c r="C2413" s="18" t="str">
        <f aca="false">'SALES Raw'!H230</f>
        <v>AC75 XXL  מיישר כתפיים אקטיב</v>
      </c>
      <c r="D2413" s="19" t="n">
        <f aca="false">'SALES Raw'!C230</f>
        <v>13</v>
      </c>
      <c r="E2413" s="19" t="n">
        <f aca="false">'SALES Raw'!D230</f>
        <v>910.42</v>
      </c>
      <c r="F2413" s="19" t="n">
        <f aca="false">'SALES Raw'!E230*$H$4</f>
        <v>8.84210526315789</v>
      </c>
      <c r="G2413" s="19" t="n">
        <f aca="false">'SALES Raw'!F230*$H$4</f>
        <v>623.785263157895</v>
      </c>
      <c r="H2413" s="18" t="str">
        <f aca="false">'SALES Raw'!A230</f>
        <v>101 - Factory customers</v>
      </c>
    </row>
    <row r="2414" customFormat="false" ht="15" hidden="false" customHeight="false" outlineLevel="0" collapsed="false">
      <c r="A2414" s="18" t="n">
        <f aca="false">'SALES Raw'!G232</f>
        <v>4413331</v>
      </c>
      <c r="B2414" s="18" t="str">
        <f aca="false">'SALES Raw'!B232</f>
        <v>AC95 0</v>
      </c>
      <c r="C2414" s="18" t="str">
        <f aca="false">'SALES Raw'!H232</f>
        <v>AC95 מגן מרפק</v>
      </c>
      <c r="D2414" s="19" t="n">
        <f aca="false">'SALES Raw'!C232</f>
        <v>15</v>
      </c>
      <c r="E2414" s="19" t="n">
        <f aca="false">'SALES Raw'!D232</f>
        <v>573.36</v>
      </c>
      <c r="F2414" s="19" t="n">
        <f aca="false">'SALES Raw'!E232*$H$4</f>
        <v>8.84210526315789</v>
      </c>
      <c r="G2414" s="19" t="n">
        <f aca="false">'SALES Raw'!F232*$H$4</f>
        <v>367.44</v>
      </c>
      <c r="H2414" s="18" t="str">
        <f aca="false">'SALES Raw'!A232</f>
        <v>101 - Factory customers</v>
      </c>
    </row>
    <row r="2415" customFormat="false" ht="15" hidden="false" customHeight="false" outlineLevel="0" collapsed="false">
      <c r="A2415" s="18" t="n">
        <f aca="false">'SALES Raw'!G238</f>
        <v>4413056</v>
      </c>
      <c r="B2415" s="18" t="str">
        <f aca="false">'SALES Raw'!B238</f>
        <v>LF360 0</v>
      </c>
      <c r="C2415" s="18" t="str">
        <f aca="false">'SALES Raw'!H238</f>
        <v>LF360 מדרס מטטרזלי לנעלי עקב</v>
      </c>
      <c r="D2415" s="19" t="n">
        <f aca="false">'SALES Raw'!C238</f>
        <v>12</v>
      </c>
      <c r="E2415" s="19" t="n">
        <f aca="false">'SALES Raw'!D238</f>
        <v>286.31</v>
      </c>
      <c r="F2415" s="19" t="n">
        <f aca="false">'SALES Raw'!E238*$H$4</f>
        <v>8.84210526315789</v>
      </c>
      <c r="G2415" s="19" t="n">
        <f aca="false">'SALES Raw'!F238*$H$4</f>
        <v>210.947368421053</v>
      </c>
      <c r="H2415" s="18" t="str">
        <f aca="false">'SALES Raw'!A238</f>
        <v>101 - Factory customers</v>
      </c>
    </row>
    <row r="2416" customFormat="false" ht="15" hidden="false" customHeight="false" outlineLevel="0" collapsed="false">
      <c r="A2416" s="18" t="n">
        <f aca="false">'SALES Raw'!G367</f>
        <v>4409010</v>
      </c>
      <c r="B2416" s="18" t="str">
        <f aca="false">'SALES Raw'!B367</f>
        <v>804AT-W</v>
      </c>
      <c r="C2416" s="18" t="str">
        <f aca="false">'SALES Raw'!H367</f>
        <v>804AT-W      טייפ חבישה לספורט</v>
      </c>
      <c r="D2416" s="19" t="n">
        <f aca="false">'SALES Raw'!C367</f>
        <v>0</v>
      </c>
      <c r="E2416" s="19" t="n">
        <f aca="false">'SALES Raw'!D367</f>
        <v>0</v>
      </c>
      <c r="F2416" s="19" t="n">
        <f aca="false">'SALES Raw'!E367*$H$4</f>
        <v>8.84210526315789</v>
      </c>
      <c r="G2416" s="19" t="n">
        <f aca="false">'SALES Raw'!F367*$H$4</f>
        <v>94.7494736842105</v>
      </c>
      <c r="H2416" s="18" t="str">
        <f aca="false">'SALES Raw'!A367</f>
        <v>101 - Factory customers</v>
      </c>
    </row>
    <row r="2417" customFormat="false" ht="15" hidden="false" customHeight="false" outlineLevel="0" collapsed="false">
      <c r="A2417" s="18" t="n">
        <f aca="false">'SALES Raw'!G534</f>
        <v>4408222</v>
      </c>
      <c r="B2417" s="18" t="str">
        <f aca="false">'SALES Raw'!B534</f>
        <v>078G XL</v>
      </c>
      <c r="C2417" s="18" t="str">
        <f aca="false">'SALES Raw'!H534</f>
        <v>078G-XLחגורת גב אפורה</v>
      </c>
      <c r="D2417" s="19" t="n">
        <f aca="false">'SALES Raw'!C534</f>
        <v>59</v>
      </c>
      <c r="E2417" s="19" t="n">
        <f aca="false">'SALES Raw'!D534</f>
        <v>5869.12</v>
      </c>
      <c r="F2417" s="19" t="n">
        <f aca="false">'SALES Raw'!E534*$H$4</f>
        <v>8.84210526315789</v>
      </c>
      <c r="G2417" s="19" t="n">
        <f aca="false">'SALES Raw'!F534*$H$4</f>
        <v>1191.28421052632</v>
      </c>
      <c r="H2417" s="18" t="str">
        <f aca="false">'SALES Raw'!A534</f>
        <v>102 - Orthopedic institutes</v>
      </c>
    </row>
    <row r="2418" customFormat="false" ht="15" hidden="false" customHeight="false" outlineLevel="0" collapsed="false">
      <c r="A2418" s="18" t="n">
        <f aca="false">'SALES Raw'!G538</f>
        <v>4411028</v>
      </c>
      <c r="B2418" s="18" t="str">
        <f aca="false">'SALES Raw'!B538</f>
        <v>213CTSL S</v>
      </c>
      <c r="C2418" s="18" t="str">
        <f aca="false">'SALES Raw'!H538</f>
        <v>213CTSL S שמאל CTS כפפות</v>
      </c>
      <c r="D2418" s="19" t="n">
        <f aca="false">'SALES Raw'!C538</f>
        <v>15</v>
      </c>
      <c r="E2418" s="19" t="n">
        <f aca="false">'SALES Raw'!D538</f>
        <v>1350.3</v>
      </c>
      <c r="F2418" s="19" t="n">
        <f aca="false">'SALES Raw'!E538*$H$4</f>
        <v>8.84210526315789</v>
      </c>
      <c r="G2418" s="19" t="n">
        <f aca="false">'SALES Raw'!F538*$H$4</f>
        <v>795.789473684211</v>
      </c>
      <c r="H2418" s="18" t="str">
        <f aca="false">'SALES Raw'!A538</f>
        <v>102 - Orthopedic institutes</v>
      </c>
    </row>
    <row r="2419" customFormat="false" ht="15" hidden="false" customHeight="false" outlineLevel="0" collapsed="false">
      <c r="A2419" s="18" t="n">
        <f aca="false">'SALES Raw'!G549</f>
        <v>4403018</v>
      </c>
      <c r="B2419" s="18" t="str">
        <f aca="false">'SALES Raw'!B549</f>
        <v>394B-39-42</v>
      </c>
      <c r="C2419" s="18" t="str">
        <f aca="false">'SALES Raw'!H549</f>
        <v>394B גרב.כסף לסכרתים שחור39-42</v>
      </c>
      <c r="D2419" s="19" t="n">
        <f aca="false">'SALES Raw'!C549</f>
        <v>326</v>
      </c>
      <c r="E2419" s="19" t="n">
        <f aca="false">'SALES Raw'!D549</f>
        <v>7739.01</v>
      </c>
      <c r="F2419" s="19" t="n">
        <f aca="false">'SALES Raw'!E549*$H$4</f>
        <v>8.84210526315789</v>
      </c>
      <c r="G2419" s="19" t="n">
        <f aca="false">'SALES Raw'!F549*$H$4</f>
        <v>221.027368421053</v>
      </c>
      <c r="H2419" s="18" t="str">
        <f aca="false">'SALES Raw'!A549</f>
        <v>102 - Orthopedic institutes</v>
      </c>
    </row>
    <row r="2420" customFormat="false" ht="15" hidden="false" customHeight="false" outlineLevel="0" collapsed="false">
      <c r="A2420" s="18" t="n">
        <f aca="false">'SALES Raw'!G621</f>
        <v>4413372</v>
      </c>
      <c r="B2420" s="18" t="str">
        <f aca="false">'SALES Raw'!B621</f>
        <v>302W 0</v>
      </c>
      <c r="C2420" s="18" t="str">
        <f aca="false">'SALES Raw'!H621</f>
        <v>302 W מדרס לאישה</v>
      </c>
      <c r="D2420" s="19" t="n">
        <f aca="false">'SALES Raw'!C621</f>
        <v>18</v>
      </c>
      <c r="E2420" s="19" t="n">
        <f aca="false">'SALES Raw'!D621</f>
        <v>1085.18</v>
      </c>
      <c r="F2420" s="19" t="n">
        <f aca="false">'SALES Raw'!E621*$H$4</f>
        <v>8.84210526315789</v>
      </c>
      <c r="G2420" s="19" t="n">
        <f aca="false">'SALES Raw'!F621*$H$4</f>
        <v>601.237894736842</v>
      </c>
      <c r="H2420" s="18" t="str">
        <f aca="false">'SALES Raw'!A621</f>
        <v>102 - Orthopedic institutes</v>
      </c>
    </row>
    <row r="2421" customFormat="false" ht="15" hidden="false" customHeight="false" outlineLevel="0" collapsed="false">
      <c r="A2421" s="18" t="str">
        <f aca="false">'SALES Raw'!G666</f>
        <v/>
      </c>
      <c r="B2421" s="18" t="str">
        <f aca="false">'SALES Raw'!B666</f>
        <v>N433D XL</v>
      </c>
      <c r="C2421" s="18" t="str">
        <f aca="false">'SALES Raw'!H666</f>
        <v>N433D XL</v>
      </c>
      <c r="D2421" s="19" t="n">
        <f aca="false">'SALES Raw'!C666</f>
        <v>6</v>
      </c>
      <c r="E2421" s="19" t="n">
        <f aca="false">'SALES Raw'!D666</f>
        <v>1453.88</v>
      </c>
      <c r="F2421" s="19" t="n">
        <f aca="false">'SALES Raw'!E666*$H$4</f>
        <v>8.84210526315789</v>
      </c>
      <c r="G2421" s="19" t="n">
        <f aca="false">'SALES Raw'!F666*$H$4</f>
        <v>2298.93473684211</v>
      </c>
      <c r="H2421" s="18" t="str">
        <f aca="false">'SALES Raw'!A666</f>
        <v>102 - Orthopedic institutes</v>
      </c>
    </row>
    <row r="2422" customFormat="false" ht="15" hidden="false" customHeight="false" outlineLevel="0" collapsed="false">
      <c r="A2422" s="18" t="n">
        <f aca="false">'SALES Raw'!G678</f>
        <v>4422037</v>
      </c>
      <c r="B2422" s="18" t="str">
        <f aca="false">'SALES Raw'!B678</f>
        <v>SH422 1</v>
      </c>
      <c r="C2422" s="18" t="str">
        <f aca="false">'SALES Raw'!H678</f>
        <v>SH422 1 תומך ברך גנושילד</v>
      </c>
      <c r="D2422" s="19" t="n">
        <f aca="false">'SALES Raw'!C678</f>
        <v>12</v>
      </c>
      <c r="E2422" s="19" t="n">
        <f aca="false">'SALES Raw'!D678</f>
        <v>1440.01</v>
      </c>
      <c r="F2422" s="19" t="n">
        <f aca="false">'SALES Raw'!E678*$H$4</f>
        <v>8.84210526315789</v>
      </c>
      <c r="G2422" s="19" t="n">
        <f aca="false">'SALES Raw'!F678*$H$4</f>
        <v>1061.04</v>
      </c>
      <c r="H2422" s="18" t="str">
        <f aca="false">'SALES Raw'!A678</f>
        <v>102 - Orthopedic institutes</v>
      </c>
    </row>
    <row r="2423" customFormat="false" ht="15" hidden="false" customHeight="false" outlineLevel="0" collapsed="false">
      <c r="A2423" s="18" t="str">
        <f aca="false">'SALES Raw'!G683</f>
        <v/>
      </c>
      <c r="B2423" s="18" t="str">
        <f aca="false">'SALES Raw'!B683</f>
        <v>06U M</v>
      </c>
      <c r="C2423" s="18" t="str">
        <f aca="false">'SALES Raw'!H683</f>
        <v>06U M</v>
      </c>
      <c r="D2423" s="19" t="n">
        <f aca="false">'SALES Raw'!C683</f>
        <v>12</v>
      </c>
      <c r="E2423" s="19" t="n">
        <f aca="false">'SALES Raw'!D683</f>
        <v>1603.69</v>
      </c>
      <c r="F2423" s="19" t="n">
        <f aca="false">'SALES Raw'!E683*$H$4</f>
        <v>8.84210526315789</v>
      </c>
      <c r="G2423" s="19" t="n">
        <f aca="false">'SALES Raw'!F683*$H$4</f>
        <v>1242.97263157895</v>
      </c>
      <c r="H2423" s="18" t="str">
        <f aca="false">'SALES Raw'!A683</f>
        <v>102 - Orthopedic institutes</v>
      </c>
    </row>
    <row r="2424" customFormat="false" ht="15" hidden="false" customHeight="false" outlineLevel="0" collapsed="false">
      <c r="A2424" s="18" t="n">
        <f aca="false">'SALES Raw'!G730</f>
        <v>4413141</v>
      </c>
      <c r="B2424" s="18" t="str">
        <f aca="false">'SALES Raw'!B730</f>
        <v>95 S</v>
      </c>
      <c r="C2424" s="18" t="str">
        <f aca="false">'SALES Raw'!H730</f>
        <v>95 S מגן מרפק רגיל לבן</v>
      </c>
      <c r="D2424" s="19" t="n">
        <f aca="false">'SALES Raw'!C730</f>
        <v>4</v>
      </c>
      <c r="E2424" s="19" t="n">
        <f aca="false">'SALES Raw'!D730</f>
        <v>123.57</v>
      </c>
      <c r="F2424" s="19" t="n">
        <f aca="false">'SALES Raw'!E730*$H$4</f>
        <v>8.84210526315789</v>
      </c>
      <c r="G2424" s="19" t="n">
        <f aca="false">'SALES Raw'!F730*$H$4</f>
        <v>273.145263157895</v>
      </c>
      <c r="H2424" s="18" t="str">
        <f aca="false">'SALES Raw'!A730</f>
        <v>102 - Orthopedic institutes</v>
      </c>
    </row>
    <row r="2425" customFormat="false" ht="15" hidden="false" customHeight="false" outlineLevel="0" collapsed="false">
      <c r="A2425" s="18" t="n">
        <f aca="false">'SALES Raw'!G759</f>
        <v>4408015</v>
      </c>
      <c r="B2425" s="18" t="str">
        <f aca="false">'SALES Raw'!B759</f>
        <v>07AU L</v>
      </c>
      <c r="C2425" s="18" t="str">
        <f aca="false">'SALES Raw'!H759</f>
        <v>07AU L ח.גב """"איטלקית"""" אורירית</v>
      </c>
      <c r="D2425" s="19" t="n">
        <f aca="false">'SALES Raw'!C759</f>
        <v>11</v>
      </c>
      <c r="E2425" s="19" t="n">
        <f aca="false">'SALES Raw'!D759</f>
        <v>2302.45</v>
      </c>
      <c r="F2425" s="19" t="n">
        <f aca="false">'SALES Raw'!E759*$H$4</f>
        <v>8.84210526315789</v>
      </c>
      <c r="G2425" s="19" t="n">
        <f aca="false">'SALES Raw'!F759*$H$4</f>
        <v>1945.30105263158</v>
      </c>
      <c r="H2425" s="18" t="str">
        <f aca="false">'SALES Raw'!A759</f>
        <v>102 - Orthopedic institutes</v>
      </c>
    </row>
    <row r="2426" customFormat="false" ht="15" hidden="false" customHeight="false" outlineLevel="0" collapsed="false">
      <c r="A2426" s="18" t="n">
        <f aca="false">'SALES Raw'!G760</f>
        <v>4408016</v>
      </c>
      <c r="B2426" s="18" t="str">
        <f aca="false">'SALES Raw'!B760</f>
        <v>07AU M</v>
      </c>
      <c r="C2426" s="18" t="str">
        <f aca="false">'SALES Raw'!H760</f>
        <v>07AU M ח.גב """"איטלקית"""" אורירית</v>
      </c>
      <c r="D2426" s="19" t="n">
        <f aca="false">'SALES Raw'!C760</f>
        <v>6</v>
      </c>
      <c r="E2426" s="19" t="n">
        <f aca="false">'SALES Raw'!D760</f>
        <v>1282.45</v>
      </c>
      <c r="F2426" s="19" t="n">
        <f aca="false">'SALES Raw'!E760*$H$4</f>
        <v>8.84210526315789</v>
      </c>
      <c r="G2426" s="19" t="n">
        <f aca="false">'SALES Raw'!F760*$H$4</f>
        <v>1945.54105263158</v>
      </c>
      <c r="H2426" s="18" t="str">
        <f aca="false">'SALES Raw'!A760</f>
        <v>102 - Orthopedic institutes</v>
      </c>
    </row>
    <row r="2427" customFormat="false" ht="15" hidden="false" customHeight="false" outlineLevel="0" collapsed="false">
      <c r="A2427" s="18" t="n">
        <f aca="false">'SALES Raw'!G775</f>
        <v>4413337</v>
      </c>
      <c r="B2427" s="18" t="str">
        <f aca="false">'SALES Raw'!B775</f>
        <v>322 XL</v>
      </c>
      <c r="C2427" s="18" t="str">
        <f aca="false">'SALES Raw'!H775</f>
        <v>322XL מגן קרסול+כרית סילקון</v>
      </c>
      <c r="D2427" s="19" t="n">
        <f aca="false">'SALES Raw'!C775</f>
        <v>5</v>
      </c>
      <c r="E2427" s="19" t="n">
        <f aca="false">'SALES Raw'!D775</f>
        <v>378</v>
      </c>
      <c r="F2427" s="19" t="n">
        <f aca="false">'SALES Raw'!E775*$H$4</f>
        <v>8.84210526315789</v>
      </c>
      <c r="G2427" s="19" t="n">
        <f aca="false">'SALES Raw'!F775*$H$4</f>
        <v>618.922105263158</v>
      </c>
      <c r="H2427" s="18" t="str">
        <f aca="false">'SALES Raw'!A775</f>
        <v>102 - Orthopedic institutes</v>
      </c>
    </row>
    <row r="2428" customFormat="false" ht="15" hidden="false" customHeight="false" outlineLevel="0" collapsed="false">
      <c r="A2428" s="18" t="str">
        <f aca="false">'SALES Raw'!G776</f>
        <v/>
      </c>
      <c r="B2428" s="18" t="str">
        <f aca="false">'SALES Raw'!B776</f>
        <v>322B M</v>
      </c>
      <c r="C2428" s="18" t="str">
        <f aca="false">'SALES Raw'!H776</f>
        <v>322B M</v>
      </c>
      <c r="D2428" s="19" t="n">
        <f aca="false">'SALES Raw'!C776</f>
        <v>12</v>
      </c>
      <c r="E2428" s="19" t="n">
        <f aca="false">'SALES Raw'!D776</f>
        <v>1130.23</v>
      </c>
      <c r="F2428" s="19" t="n">
        <f aca="false">'SALES Raw'!E776*$H$4</f>
        <v>8.84210526315789</v>
      </c>
      <c r="G2428" s="19" t="n">
        <f aca="false">'SALES Raw'!F776*$H$4</f>
        <v>618.922105263158</v>
      </c>
      <c r="H2428" s="18" t="str">
        <f aca="false">'SALES Raw'!A776</f>
        <v>102 - Orthopedic institutes</v>
      </c>
    </row>
    <row r="2429" customFormat="false" ht="15" hidden="false" customHeight="false" outlineLevel="0" collapsed="false">
      <c r="A2429" s="18" t="n">
        <f aca="false">'SALES Raw'!G822</f>
        <v>4415073</v>
      </c>
      <c r="B2429" s="18" t="str">
        <f aca="false">'SALES Raw'!B822</f>
        <v>T28A-L-XL</v>
      </c>
      <c r="C2429" s="18" t="str">
        <f aca="false">'SALES Raw'!H822</f>
        <v>T28A L-XL סד לאגודל</v>
      </c>
      <c r="D2429" s="19" t="n">
        <f aca="false">'SALES Raw'!C822</f>
        <v>5</v>
      </c>
      <c r="E2429" s="19" t="n">
        <f aca="false">'SALES Raw'!D822</f>
        <v>348.59</v>
      </c>
      <c r="F2429" s="19" t="n">
        <f aca="false">'SALES Raw'!E822*$H$4</f>
        <v>8.84210526315789</v>
      </c>
      <c r="G2429" s="19" t="n">
        <f aca="false">'SALES Raw'!F822*$H$4</f>
        <v>609.410526315789</v>
      </c>
      <c r="H2429" s="18" t="str">
        <f aca="false">'SALES Raw'!A822</f>
        <v>102 - Orthopedic institutes</v>
      </c>
    </row>
    <row r="2430" customFormat="false" ht="15" hidden="false" customHeight="false" outlineLevel="0" collapsed="false">
      <c r="A2430" s="18" t="n">
        <f aca="false">'SALES Raw'!G959</f>
        <v>4408073</v>
      </c>
      <c r="B2430" s="18" t="str">
        <f aca="false">'SALES Raw'!B959</f>
        <v>59D XL</v>
      </c>
      <c r="C2430" s="18" t="str">
        <f aca="false">'SALES Raw'!H959</f>
        <v>59D XL חגורת שבר דו צדדי</v>
      </c>
      <c r="D2430" s="19" t="n">
        <f aca="false">'SALES Raw'!C959</f>
        <v>6</v>
      </c>
      <c r="E2430" s="19" t="n">
        <f aca="false">'SALES Raw'!D959</f>
        <v>990.48</v>
      </c>
      <c r="F2430" s="19" t="n">
        <f aca="false">'SALES Raw'!E959*$H$4</f>
        <v>8.84210526315789</v>
      </c>
      <c r="G2430" s="19" t="n">
        <f aca="false">'SALES Raw'!F959*$H$4</f>
        <v>1563.78947368421</v>
      </c>
      <c r="H2430" s="18" t="str">
        <f aca="false">'SALES Raw'!A959</f>
        <v>102 - Orthopedic institutes</v>
      </c>
    </row>
    <row r="2431" customFormat="false" ht="15" hidden="false" customHeight="false" outlineLevel="0" collapsed="false">
      <c r="A2431" s="18" t="str">
        <f aca="false">'SALES Raw'!G960</f>
        <v/>
      </c>
      <c r="B2431" s="18" t="str">
        <f aca="false">'SALES Raw'!B960</f>
        <v>61 M</v>
      </c>
      <c r="C2431" s="18" t="str">
        <f aca="false">'SALES Raw'!H960</f>
        <v>61 M</v>
      </c>
      <c r="D2431" s="19" t="n">
        <f aca="false">'SALES Raw'!C960</f>
        <v>13</v>
      </c>
      <c r="E2431" s="19" t="n">
        <f aca="false">'SALES Raw'!D960</f>
        <v>422.12</v>
      </c>
      <c r="F2431" s="19" t="n">
        <f aca="false">'SALES Raw'!E960*$H$4</f>
        <v>8.84210526315789</v>
      </c>
      <c r="G2431" s="19" t="n">
        <f aca="false">'SALES Raw'!F960*$H$4</f>
        <v>438.265263157895</v>
      </c>
      <c r="H2431" s="18" t="str">
        <f aca="false">'SALES Raw'!A960</f>
        <v>102 - Orthopedic institutes</v>
      </c>
    </row>
    <row r="2432" customFormat="false" ht="15" hidden="false" customHeight="false" outlineLevel="0" collapsed="false">
      <c r="A2432" s="18" t="n">
        <f aca="false">'SALES Raw'!G1012</f>
        <v>4413326</v>
      </c>
      <c r="B2432" s="18" t="str">
        <f aca="false">'SALES Raw'!B1012</f>
        <v>AC37 0</v>
      </c>
      <c r="C2432" s="18" t="str">
        <f aca="false">'SALES Raw'!H1012</f>
        <v>AC37 מגן קרסול נושם</v>
      </c>
      <c r="D2432" s="19" t="n">
        <f aca="false">'SALES Raw'!C1012</f>
        <v>3</v>
      </c>
      <c r="E2432" s="19" t="n">
        <f aca="false">'SALES Raw'!D1012</f>
        <v>89.22</v>
      </c>
      <c r="F2432" s="19" t="n">
        <f aca="false">'SALES Raw'!E1012*$H$4</f>
        <v>8.84210526315789</v>
      </c>
      <c r="G2432" s="19" t="n">
        <f aca="false">'SALES Raw'!F1012*$H$4</f>
        <v>331.174736842105</v>
      </c>
      <c r="H2432" s="18" t="str">
        <f aca="false">'SALES Raw'!A1012</f>
        <v>102 - Orthopedic institutes</v>
      </c>
    </row>
    <row r="2433" customFormat="false" ht="15" hidden="false" customHeight="false" outlineLevel="0" collapsed="false">
      <c r="A2433" s="18" t="n">
        <f aca="false">'SALES Raw'!G1017</f>
        <v>4403034</v>
      </c>
      <c r="B2433" s="18" t="str">
        <f aca="false">'SALES Raw'!B1017</f>
        <v>ST3555-S-M</v>
      </c>
      <c r="C2433" s="18" t="str">
        <f aca="false">'SALES Raw'!H1017</f>
        <v>ST3555 S-Mגרב לילה לטיפ.בדורבן</v>
      </c>
      <c r="D2433" s="19" t="n">
        <f aca="false">'SALES Raw'!C1017</f>
        <v>21</v>
      </c>
      <c r="E2433" s="19" t="n">
        <f aca="false">'SALES Raw'!D1017</f>
        <v>1285.01</v>
      </c>
      <c r="F2433" s="19" t="n">
        <f aca="false">'SALES Raw'!E1017*$H$4</f>
        <v>8.84210526315789</v>
      </c>
      <c r="G2433" s="19" t="n">
        <f aca="false">'SALES Raw'!F1017*$H$4</f>
        <v>574.74947368421</v>
      </c>
      <c r="H2433" s="18" t="str">
        <f aca="false">'SALES Raw'!A1017</f>
        <v>102 - Orthopedic institutes</v>
      </c>
    </row>
    <row r="2434" customFormat="false" ht="15" hidden="false" customHeight="false" outlineLevel="0" collapsed="false">
      <c r="A2434" s="18" t="n">
        <f aca="false">'SALES Raw'!G1056</f>
        <v>4413439</v>
      </c>
      <c r="B2434" s="18" t="str">
        <f aca="false">'SALES Raw'!B1056</f>
        <v>SC422 M</v>
      </c>
      <c r="C2434" s="18" t="str">
        <f aca="false">'SALES Raw'!H1056</f>
        <v>SC422  M מגן ברך</v>
      </c>
      <c r="D2434" s="19" t="n">
        <f aca="false">'SALES Raw'!C1056</f>
        <v>9</v>
      </c>
      <c r="E2434" s="19" t="n">
        <f aca="false">'SALES Raw'!D1056</f>
        <v>1265.14</v>
      </c>
      <c r="F2434" s="19" t="n">
        <f aca="false">'SALES Raw'!E1056*$H$4</f>
        <v>8.84210526315789</v>
      </c>
      <c r="G2434" s="19" t="n">
        <f aca="false">'SALES Raw'!F1056*$H$4</f>
        <v>1242.94736842105</v>
      </c>
      <c r="H2434" s="18" t="str">
        <f aca="false">'SALES Raw'!A1056</f>
        <v>102 - Orthopedic institutes</v>
      </c>
    </row>
    <row r="2435" customFormat="false" ht="15" hidden="false" customHeight="false" outlineLevel="0" collapsed="false">
      <c r="A2435" s="18" t="n">
        <f aca="false">'SALES Raw'!G1073</f>
        <v>4408275</v>
      </c>
      <c r="B2435" s="18" t="str">
        <f aca="false">'SALES Raw'!B1073</f>
        <v>202 0</v>
      </c>
      <c r="C2435" s="18" t="str">
        <f aca="false">'SALES Raw'!H1073</f>
        <v>202  ONE SIZE חבק יד</v>
      </c>
      <c r="D2435" s="19" t="n">
        <f aca="false">'SALES Raw'!C1073</f>
        <v>0</v>
      </c>
      <c r="E2435" s="19" t="n">
        <f aca="false">'SALES Raw'!D1073</f>
        <v>0</v>
      </c>
      <c r="F2435" s="19" t="n">
        <f aca="false">'SALES Raw'!E1073*$H$4</f>
        <v>8.84210526315789</v>
      </c>
      <c r="G2435" s="19" t="n">
        <f aca="false">'SALES Raw'!F1073*$H$4</f>
        <v>414.050526315789</v>
      </c>
      <c r="H2435" s="18" t="str">
        <f aca="false">'SALES Raw'!A1073</f>
        <v>102 - Orthopedic institutes</v>
      </c>
    </row>
    <row r="2436" customFormat="false" ht="15" hidden="false" customHeight="false" outlineLevel="0" collapsed="false">
      <c r="A2436" s="18" t="n">
        <f aca="false">'SALES Raw'!G1246</f>
        <v>4408205</v>
      </c>
      <c r="B2436" s="18" t="str">
        <f aca="false">'SALES Raw'!B1246</f>
        <v>AC07 0</v>
      </c>
      <c r="C2436" s="18" t="str">
        <f aca="false">'SALES Raw'!H1246</f>
        <v>AC-07 חגורת גב עם תמיכות</v>
      </c>
      <c r="D2436" s="19" t="n">
        <f aca="false">'SALES Raw'!C1246</f>
        <v>0</v>
      </c>
      <c r="E2436" s="19" t="n">
        <f aca="false">'SALES Raw'!D1246</f>
        <v>0</v>
      </c>
      <c r="F2436" s="19" t="n">
        <f aca="false">'SALES Raw'!E1246*$H$4</f>
        <v>8.84210526315789</v>
      </c>
      <c r="G2436" s="19" t="n">
        <f aca="false">'SALES Raw'!F1246*$H$4</f>
        <v>796.926315789474</v>
      </c>
      <c r="H2436" s="18" t="str">
        <f aca="false">'SALES Raw'!A1246</f>
        <v>103 - Physiotherapy institutes</v>
      </c>
    </row>
    <row r="2437" customFormat="false" ht="15" hidden="false" customHeight="false" outlineLevel="0" collapsed="false">
      <c r="A2437" s="18" t="n">
        <f aca="false">'SALES Raw'!G1272</f>
        <v>4413456</v>
      </c>
      <c r="B2437" s="18" t="str">
        <f aca="false">'SALES Raw'!B1272</f>
        <v>AC75 XXL</v>
      </c>
      <c r="C2437" s="18" t="str">
        <f aca="false">'SALES Raw'!H1272</f>
        <v>AC75 XXL  מיישר כתפיים אקטיב</v>
      </c>
      <c r="D2437" s="19" t="n">
        <f aca="false">'SALES Raw'!C1272</f>
        <v>0</v>
      </c>
      <c r="E2437" s="19" t="n">
        <f aca="false">'SALES Raw'!D1272</f>
        <v>0</v>
      </c>
      <c r="F2437" s="19" t="n">
        <f aca="false">'SALES Raw'!E1272*$H$4</f>
        <v>8.84210526315789</v>
      </c>
      <c r="G2437" s="19" t="n">
        <f aca="false">'SALES Raw'!F1272*$H$4</f>
        <v>664.029473684211</v>
      </c>
      <c r="H2437" s="18" t="str">
        <f aca="false">'SALES Raw'!A1272</f>
        <v>103 - Physiotherapy institutes</v>
      </c>
    </row>
    <row r="2438" customFormat="false" ht="15" hidden="false" customHeight="false" outlineLevel="0" collapsed="false">
      <c r="A2438" s="18" t="n">
        <f aca="false">'SALES Raw'!G1353</f>
        <v>4415000</v>
      </c>
      <c r="B2438" s="18" t="str">
        <f aca="false">'SALES Raw'!B1353</f>
        <v>26 L</v>
      </c>
      <c r="C2438" s="18" t="str">
        <f aca="false">'SALES Raw'!H1353</f>
        <v>26 L סד ליד דו צדדי לאחר שבר</v>
      </c>
      <c r="D2438" s="19" t="n">
        <f aca="false">'SALES Raw'!C1353</f>
        <v>7</v>
      </c>
      <c r="E2438" s="19" t="n">
        <f aca="false">'SALES Raw'!D1353</f>
        <v>721.5</v>
      </c>
      <c r="F2438" s="19" t="n">
        <f aca="false">'SALES Raw'!E1353*$H$4</f>
        <v>8.84210526315789</v>
      </c>
      <c r="G2438" s="19" t="n">
        <f aca="false">'SALES Raw'!F1353*$H$4</f>
        <v>876.656842105263</v>
      </c>
      <c r="H2438" s="18" t="str">
        <f aca="false">'SALES Raw'!A1353</f>
        <v>103 - Physiotherapy institutes</v>
      </c>
    </row>
    <row r="2439" customFormat="false" ht="15" hidden="false" customHeight="false" outlineLevel="0" collapsed="false">
      <c r="A2439" s="18" t="n">
        <f aca="false">'SALES Raw'!G1443</f>
        <v>4408247</v>
      </c>
      <c r="B2439" s="18" t="str">
        <f aca="false">'SALES Raw'!B1443</f>
        <v>SC25 S</v>
      </c>
      <c r="C2439" s="18" t="str">
        <f aca="false">'SALES Raw'!H1443</f>
        <v>SC25  S חבק יד</v>
      </c>
      <c r="D2439" s="19" t="n">
        <f aca="false">'SALES Raw'!C1443</f>
        <v>0</v>
      </c>
      <c r="E2439" s="19" t="n">
        <f aca="false">'SALES Raw'!D1443</f>
        <v>0</v>
      </c>
      <c r="F2439" s="19" t="n">
        <f aca="false">'SALES Raw'!E1443*$H$4</f>
        <v>8.84210526315789</v>
      </c>
      <c r="G2439" s="19" t="n">
        <f aca="false">'SALES Raw'!F1443*$H$4</f>
        <v>749.418947368421</v>
      </c>
      <c r="H2439" s="18" t="str">
        <f aca="false">'SALES Raw'!A1443</f>
        <v>103 - Physiotherapy institutes</v>
      </c>
    </row>
    <row r="2440" customFormat="false" ht="15" hidden="false" customHeight="false" outlineLevel="0" collapsed="false">
      <c r="A2440" s="18" t="n">
        <f aca="false">'SALES Raw'!G1716</f>
        <v>4415026</v>
      </c>
      <c r="B2440" s="18" t="str">
        <f aca="false">'SALES Raw'!B1716</f>
        <v>AC27L 0</v>
      </c>
      <c r="C2440" s="18" t="str">
        <f aca="false">'SALES Raw'!H1716</f>
        <v>AC-27L סד לש.כף יד שמאל</v>
      </c>
      <c r="D2440" s="19" t="n">
        <f aca="false">'SALES Raw'!C1716</f>
        <v>12</v>
      </c>
      <c r="E2440" s="19" t="n">
        <f aca="false">'SALES Raw'!D1716</f>
        <v>414.73</v>
      </c>
      <c r="F2440" s="19" t="n">
        <f aca="false">'SALES Raw'!E1716*$H$4</f>
        <v>8.84210526315789</v>
      </c>
      <c r="G2440" s="19" t="n">
        <f aca="false">'SALES Raw'!F1716*$H$4</f>
        <v>321.069473684211</v>
      </c>
      <c r="H2440" s="18" t="str">
        <f aca="false">'SALES Raw'!A1716</f>
        <v>106 - Hospitals</v>
      </c>
    </row>
    <row r="2441" customFormat="false" ht="15" hidden="false" customHeight="false" outlineLevel="0" collapsed="false">
      <c r="A2441" s="18" t="n">
        <f aca="false">'SALES Raw'!G1717</f>
        <v>4415027</v>
      </c>
      <c r="B2441" s="18" t="str">
        <f aca="false">'SALES Raw'!B1717</f>
        <v>AC27R 0</v>
      </c>
      <c r="C2441" s="18" t="str">
        <f aca="false">'SALES Raw'!H1717</f>
        <v>AC-27R סד לש.כף יד ימין</v>
      </c>
      <c r="D2441" s="19" t="n">
        <f aca="false">'SALES Raw'!C1717</f>
        <v>13</v>
      </c>
      <c r="E2441" s="19" t="n">
        <f aca="false">'SALES Raw'!D1717</f>
        <v>414.73</v>
      </c>
      <c r="F2441" s="19" t="n">
        <f aca="false">'SALES Raw'!E1717*$H$4</f>
        <v>8.84210526315789</v>
      </c>
      <c r="G2441" s="19" t="n">
        <f aca="false">'SALES Raw'!F1717*$H$4</f>
        <v>321.069473684211</v>
      </c>
      <c r="H2441" s="18" t="str">
        <f aca="false">'SALES Raw'!A1717</f>
        <v>106 - Hospitals</v>
      </c>
    </row>
    <row r="2442" customFormat="false" ht="15" hidden="false" customHeight="false" outlineLevel="0" collapsed="false">
      <c r="A2442" s="18" t="str">
        <f aca="false">'SALES Raw'!G1782</f>
        <v/>
      </c>
      <c r="B2442" s="18" t="str">
        <f aca="false">'SALES Raw'!B1782</f>
        <v>18 M</v>
      </c>
      <c r="C2442" s="18" t="str">
        <f aca="false">'SALES Raw'!H1782</f>
        <v>18 M</v>
      </c>
      <c r="D2442" s="19" t="n">
        <f aca="false">'SALES Raw'!C1782</f>
        <v>8</v>
      </c>
      <c r="E2442" s="19" t="n">
        <f aca="false">'SALES Raw'!D1782</f>
        <v>1791.99</v>
      </c>
      <c r="F2442" s="19" t="n">
        <f aca="false">'SALES Raw'!E1782*$H$4</f>
        <v>8.84210526315789</v>
      </c>
      <c r="G2442" s="19" t="n">
        <f aca="false">'SALES Raw'!F1782*$H$4</f>
        <v>2369.63368421053</v>
      </c>
      <c r="H2442" s="18" t="str">
        <f aca="false">'SALES Raw'!A1782</f>
        <v>109 - Private Shops</v>
      </c>
    </row>
    <row r="2443" customFormat="false" ht="15" hidden="false" customHeight="false" outlineLevel="0" collapsed="false">
      <c r="A2443" s="18" t="n">
        <f aca="false">'SALES Raw'!G1817</f>
        <v>4409011</v>
      </c>
      <c r="B2443" s="18" t="str">
        <f aca="false">'SALES Raw'!B1817</f>
        <v>804AT-B</v>
      </c>
      <c r="C2443" s="18" t="str">
        <f aca="false">'SALES Raw'!H1817</f>
        <v>804AT-B      טייפ חבישה לספורט</v>
      </c>
      <c r="D2443" s="19" t="n">
        <f aca="false">'SALES Raw'!C1817</f>
        <v>0</v>
      </c>
      <c r="E2443" s="19" t="n">
        <f aca="false">'SALES Raw'!D1817</f>
        <v>0</v>
      </c>
      <c r="F2443" s="19" t="n">
        <f aca="false">'SALES Raw'!E1817*$H$4</f>
        <v>8.84210526315789</v>
      </c>
      <c r="G2443" s="19" t="n">
        <f aca="false">'SALES Raw'!F1817*$H$4</f>
        <v>152.917894736842</v>
      </c>
      <c r="H2443" s="18" t="str">
        <f aca="false">'SALES Raw'!A1817</f>
        <v>109 - Private Shops</v>
      </c>
    </row>
    <row r="2444" customFormat="false" ht="15" hidden="false" customHeight="false" outlineLevel="0" collapsed="false">
      <c r="A2444" s="18" t="n">
        <f aca="false">'SALES Raw'!G2070</f>
        <v>4408220</v>
      </c>
      <c r="B2444" s="18" t="str">
        <f aca="false">'SALES Raw'!B2070</f>
        <v>078G M</v>
      </c>
      <c r="C2444" s="18" t="str">
        <f aca="false">'SALES Raw'!H2070</f>
        <v>078G-M חגורת גב אפורה</v>
      </c>
      <c r="D2444" s="19" t="n">
        <f aca="false">'SALES Raw'!C2070</f>
        <v>10</v>
      </c>
      <c r="E2444" s="19" t="n">
        <f aca="false">'SALES Raw'!D2070</f>
        <v>1958.96</v>
      </c>
      <c r="F2444" s="19" t="n">
        <f aca="false">'SALES Raw'!E2070*$H$4</f>
        <v>8.84210526315789</v>
      </c>
      <c r="G2444" s="19" t="n">
        <f aca="false">'SALES Raw'!F2070*$H$4</f>
        <v>1765.56631578947</v>
      </c>
      <c r="H2444" s="18" t="str">
        <f aca="false">'SALES Raw'!A2070</f>
        <v>114 - IL online</v>
      </c>
    </row>
    <row r="2445" customFormat="false" ht="15" hidden="false" customHeight="false" outlineLevel="0" collapsed="false">
      <c r="A2445" s="18" t="n">
        <f aca="false">'SALES Raw'!G2100</f>
        <v>4408116</v>
      </c>
      <c r="B2445" s="18" t="str">
        <f aca="false">'SALES Raw'!B2100</f>
        <v>11EU XL</v>
      </c>
      <c r="C2445" s="18" t="str">
        <f aca="false">'SALES Raw'!H2100</f>
        <v>11EU XLח.בטן לאחר ניתוח</v>
      </c>
      <c r="D2445" s="19" t="n">
        <f aca="false">'SALES Raw'!C2100</f>
        <v>5</v>
      </c>
      <c r="E2445" s="19" t="n">
        <f aca="false">'SALES Raw'!D2100</f>
        <v>973.31</v>
      </c>
      <c r="F2445" s="19" t="n">
        <f aca="false">'SALES Raw'!E2100*$H$4</f>
        <v>8.84210526315789</v>
      </c>
      <c r="G2445" s="19" t="n">
        <f aca="false">'SALES Raw'!F2100*$H$4</f>
        <v>1672.18105263158</v>
      </c>
      <c r="H2445" s="18" t="str">
        <f aca="false">'SALES Raw'!A2100</f>
        <v>114 - IL online</v>
      </c>
    </row>
    <row r="2446" customFormat="false" ht="15" hidden="false" customHeight="false" outlineLevel="0" collapsed="false">
      <c r="A2446" s="18" t="n">
        <f aca="false">'SALES Raw'!G2116</f>
        <v>4408263</v>
      </c>
      <c r="B2446" s="18" t="str">
        <f aca="false">'SALES Raw'!B2116</f>
        <v>11STO XXL</v>
      </c>
      <c r="C2446" s="18" t="str">
        <f aca="false">'SALES Raw'!H2116</f>
        <v>11STO XXL חגורה אחרי ניתוח</v>
      </c>
      <c r="D2446" s="19" t="n">
        <f aca="false">'SALES Raw'!C2116</f>
        <v>13</v>
      </c>
      <c r="E2446" s="19" t="n">
        <f aca="false">'SALES Raw'!D2116</f>
        <v>4020.81</v>
      </c>
      <c r="F2446" s="19" t="n">
        <f aca="false">'SALES Raw'!E2116*$H$4</f>
        <v>8.84210526315789</v>
      </c>
      <c r="G2446" s="19" t="n">
        <f aca="false">'SALES Raw'!F2116*$H$4</f>
        <v>2756.56421052632</v>
      </c>
      <c r="H2446" s="18" t="str">
        <f aca="false">'SALES Raw'!A2116</f>
        <v>114 - IL online</v>
      </c>
    </row>
    <row r="2447" customFormat="false" ht="15" hidden="false" customHeight="false" outlineLevel="0" collapsed="false">
      <c r="A2447" s="18" t="n">
        <f aca="false">'SALES Raw'!G2128</f>
        <v>4408226</v>
      </c>
      <c r="B2447" s="18" t="str">
        <f aca="false">'SALES Raw'!B2128</f>
        <v>11UG L</v>
      </c>
      <c r="C2447" s="18" t="str">
        <f aca="false">'SALES Raw'!H2128</f>
        <v>L 11 אפורUG חגורת בטן</v>
      </c>
      <c r="D2447" s="19" t="n">
        <f aca="false">'SALES Raw'!C2128</f>
        <v>5</v>
      </c>
      <c r="E2447" s="19" t="n">
        <f aca="false">'SALES Raw'!D2128</f>
        <v>810.68</v>
      </c>
      <c r="F2447" s="19" t="n">
        <f aca="false">'SALES Raw'!E2128*$H$4</f>
        <v>8.84210526315789</v>
      </c>
      <c r="G2447" s="19" t="n">
        <f aca="false">'SALES Raw'!F2128*$H$4</f>
        <v>1624.26947368421</v>
      </c>
      <c r="H2447" s="18" t="str">
        <f aca="false">'SALES Raw'!A2128</f>
        <v>114 - IL online</v>
      </c>
    </row>
    <row r="2448" customFormat="false" ht="15" hidden="false" customHeight="false" outlineLevel="0" collapsed="false">
      <c r="A2448" s="18" t="str">
        <f aca="false">'SALES Raw'!G2130</f>
        <v/>
      </c>
      <c r="B2448" s="18" t="str">
        <f aca="false">'SALES Raw'!B2130</f>
        <v>11UG S</v>
      </c>
      <c r="C2448" s="18" t="str">
        <f aca="false">'SALES Raw'!H2130</f>
        <v>11UG S</v>
      </c>
      <c r="D2448" s="19" t="n">
        <f aca="false">'SALES Raw'!C2130</f>
        <v>5</v>
      </c>
      <c r="E2448" s="19" t="n">
        <f aca="false">'SALES Raw'!D2130</f>
        <v>916.54</v>
      </c>
      <c r="F2448" s="19" t="n">
        <f aca="false">'SALES Raw'!E2130*$H$4</f>
        <v>8.84210526315789</v>
      </c>
      <c r="G2448" s="19" t="n">
        <f aca="false">'SALES Raw'!F2130*$H$4</f>
        <v>1565.41894736842</v>
      </c>
      <c r="H2448" s="18" t="str">
        <f aca="false">'SALES Raw'!A2130</f>
        <v>114 - IL online</v>
      </c>
    </row>
    <row r="2449" customFormat="false" ht="15" hidden="false" customHeight="false" outlineLevel="0" collapsed="false">
      <c r="A2449" s="18" t="n">
        <f aca="false">'SALES Raw'!G2139</f>
        <v>4408180</v>
      </c>
      <c r="B2449" s="18" t="str">
        <f aca="false">'SALES Raw'!B2139</f>
        <v>13 XXL</v>
      </c>
      <c r="C2449" s="18" t="str">
        <f aca="false">'SALES Raw'!H2139</f>
        <v>13 XXL חגורה לשבר טבור</v>
      </c>
      <c r="D2449" s="19" t="n">
        <f aca="false">'SALES Raw'!C2139</f>
        <v>2</v>
      </c>
      <c r="E2449" s="19" t="n">
        <f aca="false">'SALES Raw'!D2139</f>
        <v>481.04</v>
      </c>
      <c r="F2449" s="19" t="n">
        <f aca="false">'SALES Raw'!E2139*$H$4</f>
        <v>8.84210526315789</v>
      </c>
      <c r="G2449" s="19" t="n">
        <f aca="false">'SALES Raw'!F2139*$H$4</f>
        <v>2401.93263157895</v>
      </c>
      <c r="H2449" s="18" t="str">
        <f aca="false">'SALES Raw'!A2139</f>
        <v>114 - IL online</v>
      </c>
    </row>
    <row r="2450" customFormat="false" ht="15" hidden="false" customHeight="false" outlineLevel="0" collapsed="false">
      <c r="A2450" s="18" t="n">
        <f aca="false">'SALES Raw'!G2232</f>
        <v>4413022</v>
      </c>
      <c r="B2450" s="18" t="str">
        <f aca="false">'SALES Raw'!B2232</f>
        <v>303-45-46</v>
      </c>
      <c r="C2450" s="18" t="str">
        <f aca="false">'SALES Raw'!H2232</f>
        <v>303 45-46 מדרסי סיליק.לח.סכרת</v>
      </c>
      <c r="D2450" s="19" t="n">
        <f aca="false">'SALES Raw'!C2232</f>
        <v>4</v>
      </c>
      <c r="E2450" s="19" t="n">
        <f aca="false">'SALES Raw'!D2232</f>
        <v>814.42</v>
      </c>
      <c r="F2450" s="19" t="n">
        <f aca="false">'SALES Raw'!E2232*$H$4</f>
        <v>8.84210526315789</v>
      </c>
      <c r="G2450" s="19" t="n">
        <f aca="false">'SALES Raw'!F2232*$H$4</f>
        <v>1620.39157894737</v>
      </c>
      <c r="H2450" s="18" t="str">
        <f aca="false">'SALES Raw'!A2232</f>
        <v>114 - IL online</v>
      </c>
    </row>
    <row r="2451" customFormat="false" ht="15" hidden="false" customHeight="false" outlineLevel="0" collapsed="false">
      <c r="A2451" s="18" t="n">
        <f aca="false">'SALES Raw'!G2250</f>
        <v>4416005</v>
      </c>
      <c r="B2451" s="18" t="str">
        <f aca="false">'SALES Raw'!B2250</f>
        <v>308 M</v>
      </c>
      <c r="C2451" s="18" t="str">
        <f aca="false">'SALES Raw'!H2250</f>
        <v>308 Mעקבים סיליק.כחול לדורבן</v>
      </c>
      <c r="D2451" s="19" t="n">
        <f aca="false">'SALES Raw'!C2250</f>
        <v>7</v>
      </c>
      <c r="E2451" s="19" t="n">
        <f aca="false">'SALES Raw'!D2250</f>
        <v>696.69</v>
      </c>
      <c r="F2451" s="19" t="n">
        <f aca="false">'SALES Raw'!E2250*$H$4</f>
        <v>8.84210526315789</v>
      </c>
      <c r="G2451" s="19" t="n">
        <f aca="false">'SALES Raw'!F2250*$H$4</f>
        <v>959.469473684211</v>
      </c>
      <c r="H2451" s="18" t="str">
        <f aca="false">'SALES Raw'!A2250</f>
        <v>114 - IL online</v>
      </c>
    </row>
    <row r="2452" customFormat="false" ht="15" hidden="false" customHeight="false" outlineLevel="0" collapsed="false">
      <c r="A2452" s="18" t="n">
        <f aca="false">'SALES Raw'!G2283</f>
        <v>4413491</v>
      </c>
      <c r="B2452" s="18" t="str">
        <f aca="false">'SALES Raw'!B2283</f>
        <v>35B XL</v>
      </c>
      <c r="C2452" s="18" t="str">
        <f aca="false">'SALES Raw'!H2283</f>
        <v>35B XL מגן קרסול שחור</v>
      </c>
      <c r="D2452" s="19" t="n">
        <f aca="false">'SALES Raw'!C2283</f>
        <v>6</v>
      </c>
      <c r="E2452" s="19" t="n">
        <f aca="false">'SALES Raw'!D2283</f>
        <v>304.38</v>
      </c>
      <c r="F2452" s="19" t="n">
        <f aca="false">'SALES Raw'!E2283*$H$4</f>
        <v>8.84210526315789</v>
      </c>
      <c r="G2452" s="19" t="n">
        <f aca="false">'SALES Raw'!F2283*$H$4</f>
        <v>493.831578947368</v>
      </c>
      <c r="H2452" s="18" t="str">
        <f aca="false">'SALES Raw'!A2283</f>
        <v>114 - IL online</v>
      </c>
    </row>
    <row r="2453" customFormat="false" ht="15" hidden="false" customHeight="false" outlineLevel="0" collapsed="false">
      <c r="A2453" s="18" t="n">
        <f aca="false">'SALES Raw'!G2305</f>
        <v>4409001</v>
      </c>
      <c r="B2453" s="18" t="str">
        <f aca="false">'SALES Raw'!B2305</f>
        <v>365-XL</v>
      </c>
      <c r="C2453" s="18" t="str">
        <f aca="false">'SALES Raw'!H2305</f>
        <v>365  X-Lטבעת אלסטית מסיליקון</v>
      </c>
      <c r="D2453" s="19" t="n">
        <f aca="false">'SALES Raw'!C2305</f>
        <v>19</v>
      </c>
      <c r="E2453" s="19" t="n">
        <f aca="false">'SALES Raw'!D2305</f>
        <v>477.66</v>
      </c>
      <c r="F2453" s="19" t="n">
        <f aca="false">'SALES Raw'!E2305*$H$4</f>
        <v>8.84210526315789</v>
      </c>
      <c r="G2453" s="19" t="n">
        <f aca="false">'SALES Raw'!F2305*$H$4</f>
        <v>214.458947368421</v>
      </c>
      <c r="H2453" s="18" t="str">
        <f aca="false">'SALES Raw'!A2305</f>
        <v>114 - IL online</v>
      </c>
    </row>
    <row r="2454" customFormat="false" ht="15" hidden="false" customHeight="false" outlineLevel="0" collapsed="false">
      <c r="A2454" s="18" t="n">
        <f aca="false">'SALES Raw'!G2317</f>
        <v>4401001</v>
      </c>
      <c r="B2454" s="18" t="str">
        <f aca="false">'SALES Raw'!B2317</f>
        <v>369-XL</v>
      </c>
      <c r="C2454" s="18" t="str">
        <f aca="false">'SALES Raw'!H2317</f>
        <v>369   XL אצבעון מסיליקון יחידה</v>
      </c>
      <c r="D2454" s="19" t="n">
        <f aca="false">'SALES Raw'!C2317</f>
        <v>21</v>
      </c>
      <c r="E2454" s="19" t="n">
        <f aca="false">'SALES Raw'!D2317</f>
        <v>916.59</v>
      </c>
      <c r="F2454" s="19" t="n">
        <f aca="false">'SALES Raw'!E2317*$H$4</f>
        <v>8.84210526315789</v>
      </c>
      <c r="G2454" s="19" t="n">
        <f aca="false">'SALES Raw'!F2317*$H$4</f>
        <v>400.913684210526</v>
      </c>
      <c r="H2454" s="18" t="str">
        <f aca="false">'SALES Raw'!A2317</f>
        <v>114 - IL online</v>
      </c>
    </row>
    <row r="2455" customFormat="false" ht="15" hidden="false" customHeight="false" outlineLevel="0" collapsed="false">
      <c r="A2455" s="18" t="n">
        <f aca="false">'SALES Raw'!G2327</f>
        <v>4420032</v>
      </c>
      <c r="B2455" s="18" t="str">
        <f aca="false">'SALES Raw'!B2327</f>
        <v>376-46-47</v>
      </c>
      <c r="C2455" s="18" t="str">
        <f aca="false">'SALES Raw'!H2327</f>
        <v>46-47 רפידת ספורט 376 מידה</v>
      </c>
      <c r="D2455" s="19" t="n">
        <f aca="false">'SALES Raw'!C2327</f>
        <v>5</v>
      </c>
      <c r="E2455" s="19" t="n">
        <f aca="false">'SALES Raw'!D2327</f>
        <v>298.31</v>
      </c>
      <c r="F2455" s="19" t="n">
        <f aca="false">'SALES Raw'!E2327*$H$4</f>
        <v>8.84210526315789</v>
      </c>
      <c r="G2455" s="19" t="n">
        <f aca="false">'SALES Raw'!F2327*$H$4</f>
        <v>549.208421052632</v>
      </c>
      <c r="H2455" s="18" t="str">
        <f aca="false">'SALES Raw'!A2327</f>
        <v>114 - IL online</v>
      </c>
    </row>
    <row r="2456" customFormat="false" ht="15" hidden="false" customHeight="false" outlineLevel="0" collapsed="false">
      <c r="A2456" s="18" t="str">
        <f aca="false">'SALES Raw'!G2392</f>
        <v/>
      </c>
      <c r="B2456" s="18" t="str">
        <f aca="false">'SALES Raw'!B2392</f>
        <v>422EB L</v>
      </c>
      <c r="C2456" s="18" t="str">
        <f aca="false">'SALES Raw'!H2392</f>
        <v>422EB L</v>
      </c>
      <c r="D2456" s="19" t="n">
        <f aca="false">'SALES Raw'!C2392</f>
        <v>9</v>
      </c>
      <c r="E2456" s="19" t="n">
        <f aca="false">'SALES Raw'!D2392</f>
        <v>2960.06</v>
      </c>
      <c r="F2456" s="19" t="n">
        <f aca="false">'SALES Raw'!E2392*$H$4</f>
        <v>8.84210526315789</v>
      </c>
      <c r="G2456" s="19" t="n">
        <f aca="false">'SALES Raw'!F2392*$H$4</f>
        <v>2069.53263157895</v>
      </c>
      <c r="H2456" s="18" t="str">
        <f aca="false">'SALES Raw'!A2392</f>
        <v>114 - IL online</v>
      </c>
    </row>
    <row r="2457" customFormat="false" ht="15" hidden="false" customHeight="false" outlineLevel="0" collapsed="false">
      <c r="A2457" s="18" t="str">
        <f aca="false">'SALES Raw'!G2393</f>
        <v/>
      </c>
      <c r="B2457" s="18" t="str">
        <f aca="false">'SALES Raw'!B2393</f>
        <v>422EB M</v>
      </c>
      <c r="C2457" s="18" t="str">
        <f aca="false">'SALES Raw'!H2393</f>
        <v>422EB M</v>
      </c>
      <c r="D2457" s="19" t="n">
        <f aca="false">'SALES Raw'!C2393</f>
        <v>3</v>
      </c>
      <c r="E2457" s="19" t="n">
        <f aca="false">'SALES Raw'!D2393</f>
        <v>992.81</v>
      </c>
      <c r="F2457" s="19" t="n">
        <f aca="false">'SALES Raw'!E2393*$H$4</f>
        <v>8.84210526315789</v>
      </c>
      <c r="G2457" s="19" t="n">
        <f aca="false">'SALES Raw'!F2393*$H$4</f>
        <v>1845.84</v>
      </c>
      <c r="H2457" s="18" t="str">
        <f aca="false">'SALES Raw'!A2393</f>
        <v>114 - IL online</v>
      </c>
    </row>
    <row r="2458" customFormat="false" ht="15" hidden="false" customHeight="false" outlineLevel="0" collapsed="false">
      <c r="A2458" s="18" t="n">
        <f aca="false">'SALES Raw'!G2409</f>
        <v>4413496</v>
      </c>
      <c r="B2458" s="18" t="str">
        <f aca="false">'SALES Raw'!B2409</f>
        <v>45B XL</v>
      </c>
      <c r="C2458" s="18" t="str">
        <f aca="false">'SALES Raw'!H2409</f>
        <v>45B XL מגן ברך שחור</v>
      </c>
      <c r="D2458" s="19" t="n">
        <f aca="false">'SALES Raw'!C2409</f>
        <v>10</v>
      </c>
      <c r="E2458" s="19" t="n">
        <f aca="false">'SALES Raw'!D2409</f>
        <v>505.43</v>
      </c>
      <c r="F2458" s="19" t="n">
        <f aca="false">'SALES Raw'!E2409*$H$4</f>
        <v>8.84210526315789</v>
      </c>
      <c r="G2458" s="19" t="n">
        <f aca="false">'SALES Raw'!F2409*$H$4</f>
        <v>479.709473684211</v>
      </c>
      <c r="H2458" s="18" t="str">
        <f aca="false">'SALES Raw'!A2409</f>
        <v>114 - IL online</v>
      </c>
    </row>
    <row r="2459" customFormat="false" ht="15" hidden="false" customHeight="false" outlineLevel="0" collapsed="false">
      <c r="A2459" s="18" t="n">
        <f aca="false">'SALES Raw'!G2422</f>
        <v>4413396</v>
      </c>
      <c r="B2459" s="18" t="str">
        <f aca="false">'SALES Raw'!B2422</f>
        <v>45EC L</v>
      </c>
      <c r="C2459" s="18" t="str">
        <f aca="false">'SALES Raw'!H2422</f>
        <v>45EC L 'מגן ברך ארוך בז</v>
      </c>
      <c r="D2459" s="19" t="n">
        <f aca="false">'SALES Raw'!C2422</f>
        <v>1</v>
      </c>
      <c r="E2459" s="19" t="n">
        <f aca="false">'SALES Raw'!D2422</f>
        <v>54.17</v>
      </c>
      <c r="F2459" s="19" t="n">
        <f aca="false">'SALES Raw'!E2422*$H$4</f>
        <v>8.84210526315789</v>
      </c>
      <c r="G2459" s="19" t="n">
        <f aca="false">'SALES Raw'!F2422*$H$4</f>
        <v>581.595789473684</v>
      </c>
      <c r="H2459" s="18" t="str">
        <f aca="false">'SALES Raw'!A2422</f>
        <v>114 - IL online</v>
      </c>
    </row>
    <row r="2460" customFormat="false" ht="15" hidden="false" customHeight="false" outlineLevel="0" collapsed="false">
      <c r="A2460" s="18" t="n">
        <f aca="false">'SALES Raw'!G2442</f>
        <v>4413118</v>
      </c>
      <c r="B2460" s="18" t="str">
        <f aca="false">'SALES Raw'!B2442</f>
        <v>50 M</v>
      </c>
      <c r="C2460" s="18" t="str">
        <f aca="false">'SALES Raw'!H2442</f>
        <v>50 M מתלה אשכים לאחר ניתוח</v>
      </c>
      <c r="D2460" s="19" t="n">
        <f aca="false">'SALES Raw'!C2442</f>
        <v>8</v>
      </c>
      <c r="E2460" s="19" t="n">
        <f aca="false">'SALES Raw'!D2442</f>
        <v>1575.97</v>
      </c>
      <c r="F2460" s="19" t="n">
        <f aca="false">'SALES Raw'!E2442*$H$4</f>
        <v>8.84210526315789</v>
      </c>
      <c r="G2460" s="19" t="n">
        <f aca="false">'SALES Raw'!F2442*$H$4</f>
        <v>1711.76842105263</v>
      </c>
      <c r="H2460" s="18" t="str">
        <f aca="false">'SALES Raw'!A2442</f>
        <v>114 - IL online</v>
      </c>
    </row>
    <row r="2461" customFormat="false" ht="15" hidden="false" customHeight="false" outlineLevel="0" collapsed="false">
      <c r="A2461" s="18" t="n">
        <f aca="false">'SALES Raw'!G2444</f>
        <v>4413119</v>
      </c>
      <c r="B2461" s="18" t="str">
        <f aca="false">'SALES Raw'!B2444</f>
        <v>50 XL</v>
      </c>
      <c r="C2461" s="18" t="str">
        <f aca="false">'SALES Raw'!H2444</f>
        <v>50 XL מתלה אשכים לאחר ניתוח</v>
      </c>
      <c r="D2461" s="19" t="n">
        <f aca="false">'SALES Raw'!C2444</f>
        <v>7</v>
      </c>
      <c r="E2461" s="19" t="n">
        <f aca="false">'SALES Raw'!D2444</f>
        <v>1355.13</v>
      </c>
      <c r="F2461" s="19" t="n">
        <f aca="false">'SALES Raw'!E2444*$H$4</f>
        <v>8.84210526315789</v>
      </c>
      <c r="G2461" s="19" t="n">
        <f aca="false">'SALES Raw'!F2444*$H$4</f>
        <v>1737.14526315789</v>
      </c>
      <c r="H2461" s="18" t="str">
        <f aca="false">'SALES Raw'!A2444</f>
        <v>114 - IL online</v>
      </c>
    </row>
    <row r="2462" customFormat="false" ht="15" hidden="false" customHeight="false" outlineLevel="0" collapsed="false">
      <c r="A2462" s="18" t="n">
        <f aca="false">'SALES Raw'!G2523</f>
        <v>4422025</v>
      </c>
      <c r="B2462" s="18" t="str">
        <f aca="false">'SALES Raw'!B2523</f>
        <v>806CB-GR</v>
      </c>
      <c r="C2462" s="18" t="str">
        <f aca="false">'SALES Raw'!H2523</f>
        <v>806CB-GREEN      תחבושת א.נצמ</v>
      </c>
      <c r="D2462" s="19" t="n">
        <f aca="false">'SALES Raw'!C2523</f>
        <v>13</v>
      </c>
      <c r="E2462" s="19" t="n">
        <f aca="false">'SALES Raw'!D2523</f>
        <v>240.54</v>
      </c>
      <c r="F2462" s="19" t="n">
        <f aca="false">'SALES Raw'!E2523*$H$4</f>
        <v>8.84210526315789</v>
      </c>
      <c r="G2462" s="19" t="n">
        <f aca="false">'SALES Raw'!F2523*$H$4</f>
        <v>187.187368421053</v>
      </c>
      <c r="H2462" s="18" t="str">
        <f aca="false">'SALES Raw'!A2523</f>
        <v>114 - IL online</v>
      </c>
    </row>
    <row r="2463" customFormat="false" ht="15" hidden="false" customHeight="false" outlineLevel="0" collapsed="false">
      <c r="A2463" s="18" t="n">
        <f aca="false">'SALES Raw'!G2668</f>
        <v>4413534</v>
      </c>
      <c r="B2463" s="18" t="str">
        <f aca="false">'SALES Raw'!B2668</f>
        <v>SH333 0</v>
      </c>
      <c r="C2463" s="18" t="str">
        <f aca="false">'SALES Raw'!H2668</f>
        <v>SH333 מקבע קרסול</v>
      </c>
      <c r="D2463" s="19" t="n">
        <f aca="false">'SALES Raw'!C2668</f>
        <v>0</v>
      </c>
      <c r="E2463" s="19" t="n">
        <f aca="false">'SALES Raw'!D2668</f>
        <v>0</v>
      </c>
      <c r="F2463" s="19" t="n">
        <f aca="false">'SALES Raw'!E2668*$H$4</f>
        <v>8.84210526315789</v>
      </c>
      <c r="G2463" s="19" t="n">
        <f aca="false">'SALES Raw'!F2668*$H$4</f>
        <v>2496.49263157895</v>
      </c>
      <c r="H2463" s="18" t="str">
        <f aca="false">'SALES Raw'!A2668</f>
        <v>114 - IL online</v>
      </c>
    </row>
    <row r="2464" customFormat="false" ht="15" hidden="false" customHeight="false" outlineLevel="0" collapsed="false">
      <c r="A2464" s="18" t="str">
        <f aca="false">'SALES Raw'!G2693</f>
        <v/>
      </c>
      <c r="B2464" s="18" t="str">
        <f aca="false">'SALES Raw'!B2693</f>
        <v>T03 M</v>
      </c>
      <c r="C2464" s="18" t="str">
        <f aca="false">'SALES Raw'!H2693</f>
        <v>T03 M</v>
      </c>
      <c r="D2464" s="19" t="n">
        <f aca="false">'SALES Raw'!C2693</f>
        <v>7</v>
      </c>
      <c r="E2464" s="19" t="n">
        <f aca="false">'SALES Raw'!D2693</f>
        <v>1304.95</v>
      </c>
      <c r="F2464" s="19" t="n">
        <f aca="false">'SALES Raw'!E2693*$H$4</f>
        <v>8.84210526315789</v>
      </c>
      <c r="G2464" s="19" t="n">
        <f aca="false">'SALES Raw'!F2693*$H$4</f>
        <v>1724.43789473684</v>
      </c>
      <c r="H2464" s="18" t="str">
        <f aca="false">'SALES Raw'!A2693</f>
        <v>114 - IL online</v>
      </c>
    </row>
    <row r="2465" customFormat="false" ht="15" hidden="false" customHeight="false" outlineLevel="0" collapsed="false">
      <c r="A2465" s="18" t="n">
        <f aca="false">'SALES Raw'!G2758</f>
        <v>4422004</v>
      </c>
      <c r="B2465" s="18" t="str">
        <f aca="false">'SALES Raw'!B2758</f>
        <v>T78 S</v>
      </c>
      <c r="C2465" s="18" t="str">
        <f aca="false">'SALES Raw'!H2758</f>
        <v>T78 S תומך זרוע וכתף</v>
      </c>
      <c r="D2465" s="19" t="n">
        <f aca="false">'SALES Raw'!C2758</f>
        <v>9</v>
      </c>
      <c r="E2465" s="19" t="n">
        <f aca="false">'SALES Raw'!D2758</f>
        <v>2866.41</v>
      </c>
      <c r="F2465" s="19" t="n">
        <f aca="false">'SALES Raw'!E2758*$H$4</f>
        <v>8.84210526315789</v>
      </c>
      <c r="G2465" s="19" t="n">
        <f aca="false">'SALES Raw'!F2758*$H$4</f>
        <v>2889.56210526316</v>
      </c>
      <c r="H2465" s="18" t="str">
        <f aca="false">'SALES Raw'!A2758</f>
        <v>114 - IL online</v>
      </c>
    </row>
    <row r="2466" customFormat="false" ht="15" hidden="false" customHeight="false" outlineLevel="0" collapsed="false">
      <c r="A2466" s="18" t="n">
        <f aca="false">'SALES Raw'!G2804</f>
        <v>4409013</v>
      </c>
      <c r="B2466" s="18" t="str">
        <f aca="false">'SALES Raw'!B2804</f>
        <v>804AT-BL</v>
      </c>
      <c r="C2466" s="18" t="str">
        <f aca="false">'SALES Raw'!H2804</f>
        <v>804AT-BL     טייפ חבישה לספורט</v>
      </c>
      <c r="D2466" s="19" t="n">
        <f aca="false">'SALES Raw'!C2804</f>
        <v>13</v>
      </c>
      <c r="E2466" s="19" t="n">
        <f aca="false">'SALES Raw'!D2804</f>
        <v>401.41</v>
      </c>
      <c r="F2466" s="19" t="n">
        <f aca="false">'SALES Raw'!E2804*$H$4</f>
        <v>8.84210526315789</v>
      </c>
      <c r="G2466" s="19" t="n">
        <f aca="false">'SALES Raw'!F2804*$H$4</f>
        <v>276.492631578947</v>
      </c>
      <c r="H2466" s="18" t="str">
        <f aca="false">'SALES Raw'!A2804</f>
        <v>115-SuperPharm Online</v>
      </c>
    </row>
    <row r="2467" customFormat="false" ht="15" hidden="false" customHeight="false" outlineLevel="0" collapsed="false">
      <c r="A2467" s="18" t="n">
        <f aca="false">'SALES Raw'!G2825</f>
        <v>4420026</v>
      </c>
      <c r="B2467" s="18" t="str">
        <f aca="false">'SALES Raw'!B2825</f>
        <v>AC40 0</v>
      </c>
      <c r="C2467" s="18" t="str">
        <f aca="false">'SALES Raw'!H2825</f>
        <v>AC40 רצועה לפיקת הברך</v>
      </c>
      <c r="D2467" s="19" t="n">
        <f aca="false">'SALES Raw'!C2825</f>
        <v>10</v>
      </c>
      <c r="E2467" s="19" t="n">
        <f aca="false">'SALES Raw'!D2825</f>
        <v>1456.8</v>
      </c>
      <c r="F2467" s="19" t="n">
        <f aca="false">'SALES Raw'!E2825*$H$4</f>
        <v>8.84210526315789</v>
      </c>
      <c r="G2467" s="19" t="n">
        <f aca="false">'SALES Raw'!F2825*$H$4</f>
        <v>1288.11789473684</v>
      </c>
      <c r="H2467" s="18" t="str">
        <f aca="false">'SALES Raw'!A2825</f>
        <v>115-SuperPharm Online</v>
      </c>
    </row>
    <row r="2468" customFormat="false" ht="15" hidden="false" customHeight="false" outlineLevel="0" collapsed="false">
      <c r="A2468" s="18" t="n">
        <f aca="false">'SALES Raw'!G3613</f>
        <v>4413127</v>
      </c>
      <c r="B2468" s="18" t="str">
        <f aca="false">'SALES Raw'!B3613</f>
        <v>75 L</v>
      </c>
      <c r="C2468" s="18" t="str">
        <f aca="false">'SALES Raw'!H3613</f>
        <v>75 Lמיישר כתף יציב יישור גב צר</v>
      </c>
      <c r="D2468" s="19" t="n">
        <f aca="false">'SALES Raw'!C3613</f>
        <v>6</v>
      </c>
      <c r="E2468" s="19" t="n">
        <f aca="false">'SALES Raw'!D3613</f>
        <v>412.53</v>
      </c>
      <c r="F2468" s="19" t="n">
        <f aca="false">'SALES Raw'!E3613*$H$4</f>
        <v>8.84210526315789</v>
      </c>
      <c r="G2468" s="19" t="n">
        <f aca="false">'SALES Raw'!F3613*$H$4</f>
        <v>617.646315789474</v>
      </c>
      <c r="H2468" s="18" t="str">
        <f aca="false">'SALES Raw'!A3613</f>
        <v>207 - Salus HUNGARY</v>
      </c>
    </row>
    <row r="2469" customFormat="false" ht="15" hidden="false" customHeight="false" outlineLevel="0" collapsed="false">
      <c r="A2469" s="18" t="n">
        <f aca="false">'SALES Raw'!G4167</f>
        <v>4408230</v>
      </c>
      <c r="B2469" s="18" t="str">
        <f aca="false">'SALES Raw'!B4167</f>
        <v>16-L-XL</v>
      </c>
      <c r="C2469" s="18" t="str">
        <f aca="false">'SALES Raw'!H4167</f>
        <v>16 L-XL חגורת הריון</v>
      </c>
      <c r="D2469" s="19" t="n">
        <f aca="false">'SALES Raw'!C4167</f>
        <v>3</v>
      </c>
      <c r="E2469" s="19" t="n">
        <f aca="false">'SALES Raw'!D4167</f>
        <v>150.16</v>
      </c>
      <c r="F2469" s="19" t="n">
        <f aca="false">'SALES Raw'!E4167*$H$4</f>
        <v>8.84210526315789</v>
      </c>
      <c r="G2469" s="19" t="n">
        <f aca="false">'SALES Raw'!F4167*$H$4</f>
        <v>388.875789473684</v>
      </c>
      <c r="H2469" s="18" t="str">
        <f aca="false">'SALES Raw'!A4167</f>
        <v>216 - Max Konnaris CYPRUS</v>
      </c>
    </row>
    <row r="2470" customFormat="false" ht="15" hidden="false" customHeight="false" outlineLevel="0" collapsed="false">
      <c r="A2470" s="18" t="n">
        <f aca="false">'SALES Raw'!G4415</f>
        <v>4413372</v>
      </c>
      <c r="B2470" s="18" t="str">
        <f aca="false">'SALES Raw'!B4415</f>
        <v>302W 0</v>
      </c>
      <c r="C2470" s="18" t="str">
        <f aca="false">'SALES Raw'!H4415</f>
        <v>302 W מדרס לאישה</v>
      </c>
      <c r="D2470" s="19" t="n">
        <f aca="false">'SALES Raw'!C4415</f>
        <v>2</v>
      </c>
      <c r="E2470" s="19" t="n">
        <f aca="false">'SALES Raw'!D4415</f>
        <v>191.34</v>
      </c>
      <c r="F2470" s="19" t="n">
        <f aca="false">'SALES Raw'!E4415*$H$4</f>
        <v>8.84210526315789</v>
      </c>
      <c r="G2470" s="19" t="n">
        <f aca="false">'SALES Raw'!F4415*$H$4</f>
        <v>816.138947368421</v>
      </c>
      <c r="H2470" s="18" t="str">
        <f aca="false">'SALES Raw'!A4415</f>
        <v>301 - Amazon</v>
      </c>
    </row>
    <row r="2471" customFormat="false" ht="15" hidden="false" customHeight="false" outlineLevel="0" collapsed="false">
      <c r="A2471" s="18" t="str">
        <f aca="false">'SALES Raw'!G4443</f>
        <v/>
      </c>
      <c r="B2471" s="18" t="str">
        <f aca="false">'SALES Raw'!B4443</f>
        <v>EC-59R XL</v>
      </c>
      <c r="C2471" s="18" t="str">
        <f aca="false">'SALES Raw'!H4443</f>
        <v>EC-59R XL</v>
      </c>
      <c r="D2471" s="19" t="n">
        <f aca="false">'SALES Raw'!C4443</f>
        <v>54</v>
      </c>
      <c r="E2471" s="19" t="n">
        <f aca="false">'SALES Raw'!D4443</f>
        <v>8550.82</v>
      </c>
      <c r="F2471" s="19" t="n">
        <f aca="false">'SALES Raw'!E4443*$H$4</f>
        <v>8.84210526315789</v>
      </c>
      <c r="G2471" s="19" t="n">
        <f aca="false">'SALES Raw'!F4443*$H$4</f>
        <v>1395.96631578947</v>
      </c>
      <c r="H2471" s="18" t="str">
        <f aca="false">'SALES Raw'!A4443</f>
        <v>301 - Amazon</v>
      </c>
    </row>
    <row r="2472" customFormat="false" ht="15" hidden="false" customHeight="false" outlineLevel="0" collapsed="false">
      <c r="A2472" s="18" t="str">
        <f aca="false">'SALES Raw'!G4462</f>
        <v/>
      </c>
      <c r="B2472" s="18" t="str">
        <f aca="false">'SALES Raw'!B4462</f>
        <v>AC95</v>
      </c>
      <c r="C2472" s="18" t="str">
        <f aca="false">'SALES Raw'!H4462</f>
        <v>AC95</v>
      </c>
      <c r="D2472" s="19" t="n">
        <f aca="false">'SALES Raw'!C4462</f>
        <v>0</v>
      </c>
      <c r="E2472" s="19" t="n">
        <f aca="false">'SALES Raw'!D4462</f>
        <v>0</v>
      </c>
      <c r="F2472" s="19" t="n">
        <f aca="false">'SALES Raw'!E4462*$H$4</f>
        <v>8.84210526315789</v>
      </c>
      <c r="G2472" s="19" t="n">
        <f aca="false">'SALES Raw'!F4462*$H$4</f>
        <v>397.376842105263</v>
      </c>
      <c r="H2472" s="18" t="str">
        <f aca="false">'SALES Raw'!A4462</f>
        <v>301 - Amazon</v>
      </c>
    </row>
    <row r="2473" customFormat="false" ht="15" hidden="false" customHeight="false" outlineLevel="0" collapsed="false">
      <c r="A2473" s="18" t="n">
        <f aca="false">'CEMIUP0.9 Raw'!B106</f>
        <v>4408093</v>
      </c>
      <c r="B2473" s="18" t="str">
        <f aca="false">'CEMIUP0.9 Raw'!C106</f>
        <v>T11C XXL חגורת גב פוג'יאמה</v>
      </c>
      <c r="C2473" s="18" t="str">
        <f aca="false">'CEMIUP0.9 Raw'!C106</f>
        <v>T11C XXL חגורת גב פוג'יאמה</v>
      </c>
      <c r="D2473" s="19" t="n">
        <f aca="false">'CEMIUP0.9 Raw'!D106</f>
        <v>8</v>
      </c>
      <c r="E2473" s="19" t="n">
        <f aca="false">'CEMIUP0.9 Raw'!E106</f>
        <v>685.139</v>
      </c>
      <c r="F2473" s="19" t="n">
        <f aca="false">'CEMIUP0.9 Raw'!F106</f>
        <v>8.84210526315789</v>
      </c>
      <c r="G2473" s="19" t="n">
        <f aca="false">'CEMIUP0.9 Raw'!G106</f>
        <v>768.41052631579</v>
      </c>
      <c r="H2473" s="18" t="str">
        <f aca="false">'CEMIUP0.9 Raw'!A106</f>
        <v>107 - Pharmacies</v>
      </c>
    </row>
    <row r="2474" customFormat="false" ht="15" hidden="false" customHeight="false" outlineLevel="0" collapsed="false">
      <c r="A2474" s="18" t="n">
        <f aca="false">'CEMIUP0.9 Raw'!B254</f>
        <v>4413072</v>
      </c>
      <c r="B2474" s="18" t="str">
        <f aca="false">'CEMIUP0.9 Raw'!C254</f>
        <v>41 Lמ.ברך מוצלב+ספירלות בצדדים</v>
      </c>
      <c r="C2474" s="18" t="str">
        <f aca="false">'CEMIUP0.9 Raw'!C254</f>
        <v>41 Lמ.ברך מוצלב+ספירלות בצדדים</v>
      </c>
      <c r="D2474" s="19" t="n">
        <f aca="false">'CEMIUP0.9 Raw'!D254</f>
        <v>16</v>
      </c>
      <c r="E2474" s="19" t="n">
        <f aca="false">'CEMIUP0.9 Raw'!E254</f>
        <v>1785.571</v>
      </c>
      <c r="F2474" s="19" t="n">
        <f aca="false">'CEMIUP0.9 Raw'!F254</f>
        <v>8.84210526315789</v>
      </c>
      <c r="G2474" s="19" t="n">
        <f aca="false">'CEMIUP0.9 Raw'!G254</f>
        <v>959.695578947368</v>
      </c>
      <c r="H2474" s="18" t="str">
        <f aca="false">'CEMIUP0.9 Raw'!A254</f>
        <v>107 - Pharmacies</v>
      </c>
    </row>
    <row r="2475" customFormat="false" ht="15" hidden="false" customHeight="false" outlineLevel="0" collapsed="false">
      <c r="A2475" s="18" t="n">
        <f aca="false">'CEMIUP0.9 Raw'!B255</f>
        <v>4413073</v>
      </c>
      <c r="B2475" s="18" t="str">
        <f aca="false">'CEMIUP0.9 Raw'!C255</f>
        <v>41 Mמ.ברך מוצלב+ספירלות בצדדים</v>
      </c>
      <c r="C2475" s="18" t="str">
        <f aca="false">'CEMIUP0.9 Raw'!C255</f>
        <v>41 Mמ.ברך מוצלב+ספירלות בצדדים</v>
      </c>
      <c r="D2475" s="19" t="n">
        <f aca="false">'CEMIUP0.9 Raw'!D255</f>
        <v>4</v>
      </c>
      <c r="E2475" s="19" t="n">
        <f aca="false">'CEMIUP0.9 Raw'!E255</f>
        <v>375.011</v>
      </c>
      <c r="F2475" s="19" t="n">
        <f aca="false">'CEMIUP0.9 Raw'!F255</f>
        <v>8.84210526315789</v>
      </c>
      <c r="G2475" s="19" t="n">
        <f aca="false">'CEMIUP0.9 Raw'!G255</f>
        <v>1012.94147368421</v>
      </c>
      <c r="H2475" s="18" t="str">
        <f aca="false">'CEMIUP0.9 Raw'!A255</f>
        <v>107 - Pharmacies</v>
      </c>
    </row>
    <row r="2476" customFormat="false" ht="15" hidden="false" customHeight="false" outlineLevel="0" collapsed="false">
      <c r="A2476" s="18" t="n">
        <f aca="false">'CEMIUP0.9 Raw'!B256</f>
        <v>4413074</v>
      </c>
      <c r="B2476" s="18" t="str">
        <f aca="false">'CEMIUP0.9 Raw'!C256</f>
        <v>41  XL.מ.ברך מוצלב+ספירלות בצד</v>
      </c>
      <c r="C2476" s="18" t="str">
        <f aca="false">'CEMIUP0.9 Raw'!C256</f>
        <v>41  XL.מ.ברך מוצלב+ספירלות בצד</v>
      </c>
      <c r="D2476" s="19" t="n">
        <f aca="false">'CEMIUP0.9 Raw'!D256</f>
        <v>11</v>
      </c>
      <c r="E2476" s="19" t="n">
        <f aca="false">'CEMIUP0.9 Raw'!E256</f>
        <v>1184.638</v>
      </c>
      <c r="F2476" s="19" t="n">
        <f aca="false">'CEMIUP0.9 Raw'!F256</f>
        <v>8.84210526315789</v>
      </c>
      <c r="G2476" s="19" t="n">
        <f aca="false">'CEMIUP0.9 Raw'!G256</f>
        <v>906.270315789474</v>
      </c>
      <c r="H2476" s="18" t="str">
        <f aca="false">'CEMIUP0.9 Raw'!A256</f>
        <v>107 - Pharmacies</v>
      </c>
    </row>
    <row r="2477" customFormat="false" ht="15" hidden="false" customHeight="false" outlineLevel="0" collapsed="false">
      <c r="A2477" s="18" t="n">
        <f aca="false">'CEMIUP0.9 Raw'!B286</f>
        <v>4413113</v>
      </c>
      <c r="B2477" s="18" t="str">
        <f aca="false">'CEMIUP0.9 Raw'!C286</f>
        <v>49  M מגן ירך</v>
      </c>
      <c r="C2477" s="18" t="str">
        <f aca="false">'CEMIUP0.9 Raw'!C286</f>
        <v>49  M מגן ירך</v>
      </c>
      <c r="D2477" s="19" t="n">
        <f aca="false">'CEMIUP0.9 Raw'!D286</f>
        <v>25</v>
      </c>
      <c r="E2477" s="19" t="n">
        <f aca="false">'CEMIUP0.9 Raw'!E286</f>
        <v>751.933</v>
      </c>
      <c r="F2477" s="19" t="n">
        <f aca="false">'CEMIUP0.9 Raw'!F286</f>
        <v>8.84210526315789</v>
      </c>
      <c r="G2477" s="19" t="n">
        <f aca="false">'CEMIUP0.9 Raw'!G286</f>
        <v>278.862315789474</v>
      </c>
      <c r="H2477" s="18" t="str">
        <f aca="false">'CEMIUP0.9 Raw'!A286</f>
        <v>107 - Pharmacies</v>
      </c>
    </row>
    <row r="2478" customFormat="false" ht="15" hidden="false" customHeight="false" outlineLevel="0" collapsed="false">
      <c r="A2478" s="18" t="n">
        <f aca="false">'CEMIUP0.9 Raw'!B291</f>
        <v>4413118</v>
      </c>
      <c r="B2478" s="18" t="str">
        <f aca="false">'CEMIUP0.9 Raw'!C291</f>
        <v>50 M מתלה אשכים לאחר ניתוח</v>
      </c>
      <c r="C2478" s="18" t="str">
        <f aca="false">'CEMIUP0.9 Raw'!C291</f>
        <v>50 M מתלה אשכים לאחר ניתוח</v>
      </c>
      <c r="D2478" s="19" t="n">
        <f aca="false">'CEMIUP0.9 Raw'!D291</f>
        <v>10</v>
      </c>
      <c r="E2478" s="19" t="n">
        <f aca="false">'CEMIUP0.9 Raw'!E291</f>
        <v>950.732</v>
      </c>
      <c r="F2478" s="19" t="n">
        <f aca="false">'CEMIUP0.9 Raw'!F291</f>
        <v>8.84210526315789</v>
      </c>
      <c r="G2478" s="19" t="n">
        <f aca="false">'CEMIUP0.9 Raw'!G291</f>
        <v>969.145263157895</v>
      </c>
      <c r="H2478" s="18" t="str">
        <f aca="false">'CEMIUP0.9 Raw'!A291</f>
        <v>107 - Pharmacies</v>
      </c>
    </row>
    <row r="2479" customFormat="false" ht="15" hidden="false" customHeight="false" outlineLevel="0" collapsed="false">
      <c r="A2479" s="18" t="n">
        <f aca="false">'CEMIUP0.9 Raw'!B294</f>
        <v>4413122</v>
      </c>
      <c r="B2479" s="18" t="str">
        <f aca="false">'CEMIUP0.9 Raw'!C294</f>
        <v>55 L מתלה אשכים לספורטאים</v>
      </c>
      <c r="C2479" s="18" t="str">
        <f aca="false">'CEMIUP0.9 Raw'!C294</f>
        <v>55 L מתלה אשכים לספורטאים</v>
      </c>
      <c r="D2479" s="19" t="n">
        <f aca="false">'CEMIUP0.9 Raw'!D294</f>
        <v>4</v>
      </c>
      <c r="E2479" s="19" t="n">
        <f aca="false">'CEMIUP0.9 Raw'!E294</f>
        <v>304.267</v>
      </c>
      <c r="F2479" s="19" t="n">
        <f aca="false">'CEMIUP0.9 Raw'!F294</f>
        <v>8.84210526315789</v>
      </c>
      <c r="G2479" s="19" t="n">
        <f aca="false">'CEMIUP0.9 Raw'!G294</f>
        <v>703.878315789474</v>
      </c>
      <c r="H2479" s="18" t="str">
        <f aca="false">'CEMIUP0.9 Raw'!A294</f>
        <v>107 - Pharmacies</v>
      </c>
    </row>
    <row r="2480" customFormat="false" ht="15" hidden="false" customHeight="false" outlineLevel="0" collapsed="false">
      <c r="A2480" s="18" t="n">
        <f aca="false">'CEMIUP0.9 Raw'!B299</f>
        <v>4413128</v>
      </c>
      <c r="B2480" s="18" t="str">
        <f aca="false">'CEMIUP0.9 Raw'!C299</f>
        <v>75 Mמיישר כתף יציב יישור גב צר</v>
      </c>
      <c r="C2480" s="18" t="str">
        <f aca="false">'CEMIUP0.9 Raw'!C299</f>
        <v>75 Mמיישר כתף יציב יישור גב צר</v>
      </c>
      <c r="D2480" s="19" t="n">
        <f aca="false">'CEMIUP0.9 Raw'!D299</f>
        <v>21</v>
      </c>
      <c r="E2480" s="19" t="n">
        <f aca="false">'CEMIUP0.9 Raw'!E299</f>
        <v>3043.859</v>
      </c>
      <c r="F2480" s="19" t="n">
        <f aca="false">'CEMIUP0.9 Raw'!F299</f>
        <v>8.84210526315789</v>
      </c>
      <c r="G2480" s="19" t="n">
        <f aca="false">'CEMIUP0.9 Raw'!G299</f>
        <v>1219.01684210526</v>
      </c>
      <c r="H2480" s="18" t="str">
        <f aca="false">'CEMIUP0.9 Raw'!A299</f>
        <v>107 - Pharmacies</v>
      </c>
    </row>
    <row r="2481" customFormat="false" ht="15" hidden="false" customHeight="false" outlineLevel="0" collapsed="false">
      <c r="A2481" s="18" t="n">
        <f aca="false">'CEMIUP0.9 Raw'!B390</f>
        <v>4413369</v>
      </c>
      <c r="B2481" s="18" t="str">
        <f aca="false">'CEMIUP0.9 Raw'!C390</f>
        <v>95C XXL'מגן מרפק בז</v>
      </c>
      <c r="C2481" s="18" t="str">
        <f aca="false">'CEMIUP0.9 Raw'!C390</f>
        <v>95C XXL'מגן מרפק בז</v>
      </c>
      <c r="D2481" s="19" t="n">
        <f aca="false">'CEMIUP0.9 Raw'!D390</f>
        <v>6</v>
      </c>
      <c r="E2481" s="19" t="n">
        <f aca="false">'CEMIUP0.9 Raw'!E390</f>
        <v>163.072</v>
      </c>
      <c r="F2481" s="19" t="n">
        <f aca="false">'CEMIUP0.9 Raw'!F390</f>
        <v>8.84210526315789</v>
      </c>
      <c r="G2481" s="19" t="n">
        <f aca="false">'CEMIUP0.9 Raw'!G390</f>
        <v>234.377684210526</v>
      </c>
      <c r="H2481" s="18" t="str">
        <f aca="false">'CEMIUP0.9 Raw'!A390</f>
        <v>107 - Pharmacies</v>
      </c>
    </row>
    <row r="2482" customFormat="false" ht="15" hidden="false" customHeight="false" outlineLevel="0" collapsed="false">
      <c r="A2482" s="18" t="n">
        <f aca="false">'CEMIUP0.9 Raw'!B404</f>
        <v>4413408</v>
      </c>
      <c r="B2482" s="18" t="str">
        <f aca="false">'CEMIUP0.9 Raw'!C404</f>
        <v>SC95 XLמגן מרפק</v>
      </c>
      <c r="C2482" s="18" t="str">
        <f aca="false">'CEMIUP0.9 Raw'!C404</f>
        <v>SC95 XLמגן מרפק</v>
      </c>
      <c r="D2482" s="19" t="n">
        <f aca="false">'CEMIUP0.9 Raw'!D404</f>
        <v>7</v>
      </c>
      <c r="E2482" s="19" t="n">
        <f aca="false">'CEMIUP0.9 Raw'!E404</f>
        <v>497.923</v>
      </c>
      <c r="F2482" s="19" t="n">
        <f aca="false">'CEMIUP0.9 Raw'!F404</f>
        <v>8.84210526315789</v>
      </c>
      <c r="G2482" s="19" t="n">
        <f aca="false">'CEMIUP0.9 Raw'!G404</f>
        <v>796.294736842105</v>
      </c>
      <c r="H2482" s="18" t="str">
        <f aca="false">'CEMIUP0.9 Raw'!A404</f>
        <v>107 - Pharmacies</v>
      </c>
    </row>
    <row r="2483" customFormat="false" ht="15" hidden="false" customHeight="false" outlineLevel="0" collapsed="false">
      <c r="A2483" s="18" t="n">
        <f aca="false">'CEMIUP0.9 Raw'!B422</f>
        <v>4413442</v>
      </c>
      <c r="B2483" s="18" t="str">
        <f aca="false">'CEMIUP0.9 Raw'!C422</f>
        <v>SC422 XXLמגן ברך</v>
      </c>
      <c r="C2483" s="18" t="str">
        <f aca="false">'CEMIUP0.9 Raw'!C422</f>
        <v>SC422 XXLמגן ברך</v>
      </c>
      <c r="D2483" s="19" t="n">
        <f aca="false">'CEMIUP0.9 Raw'!D422</f>
        <v>2</v>
      </c>
      <c r="E2483" s="19" t="n">
        <f aca="false">'CEMIUP0.9 Raw'!E422</f>
        <v>239.607</v>
      </c>
      <c r="F2483" s="19" t="n">
        <f aca="false">'CEMIUP0.9 Raw'!F422</f>
        <v>8.84210526315789</v>
      </c>
      <c r="G2483" s="19" t="n">
        <f aca="false">'CEMIUP0.9 Raw'!G422</f>
        <v>1163.08926315789</v>
      </c>
      <c r="H2483" s="18" t="str">
        <f aca="false">'CEMIUP0.9 Raw'!A422</f>
        <v>107 - Pharmacies</v>
      </c>
    </row>
    <row r="2484" customFormat="false" ht="15" hidden="false" customHeight="false" outlineLevel="0" collapsed="false">
      <c r="A2484" s="18" t="n">
        <f aca="false">'CEMIUP0.9 Raw'!B454</f>
        <v>4413521</v>
      </c>
      <c r="B2484" s="18" t="str">
        <f aca="false">'CEMIUP0.9 Raw'!C454</f>
        <v>מדרסי אפיק ג'ל מולטי ספור39-42</v>
      </c>
      <c r="C2484" s="18" t="str">
        <f aca="false">'CEMIUP0.9 Raw'!C454</f>
        <v>מדרסי אפיק ג'ל מולטי ספור39-42</v>
      </c>
      <c r="D2484" s="19" t="n">
        <f aca="false">'CEMIUP0.9 Raw'!D454</f>
        <v>21</v>
      </c>
      <c r="E2484" s="19" t="n">
        <f aca="false">'CEMIUP0.9 Raw'!E454</f>
        <v>1944.943</v>
      </c>
      <c r="F2484" s="19" t="n">
        <f aca="false">'CEMIUP0.9 Raw'!F454</f>
        <v>8.84210526315789</v>
      </c>
      <c r="G2484" s="19" t="n">
        <f aca="false">'CEMIUP0.9 Raw'!G454</f>
        <v>779.802947368421</v>
      </c>
      <c r="H2484" s="18" t="str">
        <f aca="false">'CEMIUP0.9 Raw'!A454</f>
        <v>107 - Pharmacies</v>
      </c>
    </row>
    <row r="2485" customFormat="false" ht="15" hidden="false" customHeight="false" outlineLevel="0" collapsed="false">
      <c r="A2485" s="18" t="n">
        <f aca="false">'CEMIUP0.9 Raw'!B553</f>
        <v>4420023</v>
      </c>
      <c r="B2485" s="18" t="str">
        <f aca="false">'CEMIUP0.9 Raw'!C553</f>
        <v>LF371 ריפוד סיליקון לנעלי אצבע</v>
      </c>
      <c r="C2485" s="18" t="str">
        <f aca="false">'CEMIUP0.9 Raw'!C553</f>
        <v>LF371 ריפוד סיליקון לנעלי אצבע</v>
      </c>
      <c r="D2485" s="19" t="n">
        <f aca="false">'CEMIUP0.9 Raw'!D553</f>
        <v>11</v>
      </c>
      <c r="E2485" s="19" t="n">
        <f aca="false">'CEMIUP0.9 Raw'!E553</f>
        <v>278.799</v>
      </c>
      <c r="F2485" s="19" t="n">
        <f aca="false">'CEMIUP0.9 Raw'!F553</f>
        <v>8.84210526315789</v>
      </c>
      <c r="G2485" s="19" t="n">
        <f aca="false">'CEMIUP0.9 Raw'!G553</f>
        <v>263.268631578947</v>
      </c>
      <c r="H2485" s="18" t="str">
        <f aca="false">'CEMIUP0.9 Raw'!A553</f>
        <v>107 - Pharmacies</v>
      </c>
    </row>
    <row r="2486" customFormat="false" ht="15" hidden="false" customHeight="false" outlineLevel="0" collapsed="false">
      <c r="A2486" s="18" t="n">
        <f aca="false">'CEMIUP0.9 Raw'!B712</f>
        <v>4408076</v>
      </c>
      <c r="B2486" s="18" t="str">
        <f aca="false">'CEMIUP0.9 Raw'!C712</f>
        <v>59L L חגורת שבר לצד שמאל</v>
      </c>
      <c r="C2486" s="18" t="str">
        <f aca="false">'CEMIUP0.9 Raw'!C712</f>
        <v>59L L חגורת שבר לצד שמאל</v>
      </c>
      <c r="D2486" s="19" t="n">
        <f aca="false">'CEMIUP0.9 Raw'!D712</f>
        <v>4</v>
      </c>
      <c r="E2486" s="19" t="n">
        <f aca="false">'CEMIUP0.9 Raw'!E712</f>
        <v>506.28</v>
      </c>
      <c r="F2486" s="19" t="n">
        <f aca="false">'CEMIUP0.9 Raw'!F712</f>
        <v>8.84210526315789</v>
      </c>
      <c r="G2486" s="19" t="n">
        <f aca="false">'CEMIUP0.9 Raw'!G712</f>
        <v>945.672</v>
      </c>
      <c r="H2486" s="18" t="str">
        <f aca="false">'CEMIUP0.9 Raw'!A712</f>
        <v>113 - Kupat Holim Meuhedet</v>
      </c>
    </row>
    <row r="2487" customFormat="false" ht="15" hidden="false" customHeight="false" outlineLevel="0" collapsed="false">
      <c r="A2487" s="18" t="n">
        <f aca="false">'CEMIUP0.9 Raw'!B728</f>
        <v>4408217</v>
      </c>
      <c r="B2487" s="18" t="str">
        <f aca="false">'CEMIUP0.9 Raw'!C728</f>
        <v>S078 חגורת גב +סגירה כפולה</v>
      </c>
      <c r="C2487" s="18" t="str">
        <f aca="false">'CEMIUP0.9 Raw'!C728</f>
        <v>S078 חגורת גב +סגירה כפולה</v>
      </c>
      <c r="D2487" s="19" t="n">
        <f aca="false">'CEMIUP0.9 Raw'!D728</f>
        <v>3</v>
      </c>
      <c r="E2487" s="19" t="n">
        <f aca="false">'CEMIUP0.9 Raw'!E728</f>
        <v>195</v>
      </c>
      <c r="F2487" s="19" t="n">
        <f aca="false">'CEMIUP0.9 Raw'!F728</f>
        <v>8.84210526315789</v>
      </c>
      <c r="G2487" s="19" t="n">
        <f aca="false">'CEMIUP0.9 Raw'!G728</f>
        <v>545.178947368421</v>
      </c>
      <c r="H2487" s="18" t="str">
        <f aca="false">'CEMIUP0.9 Raw'!A728</f>
        <v>113 - Kupat Holim Meuhedet</v>
      </c>
    </row>
    <row r="2488" customFormat="false" ht="15" hidden="false" customHeight="false" outlineLevel="0" collapsed="false">
      <c r="A2488" s="18" t="n">
        <f aca="false">'CEMIUP0.9 Raw'!B800</f>
        <v>4413113</v>
      </c>
      <c r="B2488" s="18" t="str">
        <f aca="false">'CEMIUP0.9 Raw'!C800</f>
        <v>49 M</v>
      </c>
      <c r="C2488" s="18" t="str">
        <f aca="false">'CEMIUP0.9 Raw'!C800</f>
        <v>49 M</v>
      </c>
      <c r="D2488" s="19" t="n">
        <f aca="false">'CEMIUP0.9 Raw'!D800</f>
        <v>7</v>
      </c>
      <c r="E2488" s="19" t="n">
        <f aca="false">'CEMIUP0.9 Raw'!E800</f>
        <v>147</v>
      </c>
      <c r="F2488" s="19" t="n">
        <f aca="false">'CEMIUP0.9 Raw'!F800</f>
        <v>8.84210526315789</v>
      </c>
      <c r="G2488" s="19" t="n">
        <f aca="false">'CEMIUP0.9 Raw'!G800</f>
        <v>185.684210526316</v>
      </c>
      <c r="H2488" s="18" t="str">
        <f aca="false">'CEMIUP0.9 Raw'!A800</f>
        <v>113 - Kupat Holim Meuhedet</v>
      </c>
    </row>
    <row r="2489" customFormat="false" ht="15" hidden="false" customHeight="false" outlineLevel="0" collapsed="false">
      <c r="A2489" s="18" t="str">
        <f aca="false">'CEMIUP0.9 Raw'!B888</f>
        <v>07AU L ח.גב ""איטלקית"" אורירית</v>
      </c>
      <c r="B2489" s="18" t="str">
        <f aca="false">'CEMIUP0.9 Raw'!C888</f>
        <v>07AU L ח.גב ""איטלקית"" אורירית</v>
      </c>
      <c r="C2489" s="18" t="str">
        <f aca="false">'CEMIUP0.9 Raw'!C888</f>
        <v>07AU L ח.גב ""איטלקית"" אורירית</v>
      </c>
      <c r="D2489" s="19" t="n">
        <f aca="false">'CEMIUP0.9 Raw'!D888</f>
        <v>0</v>
      </c>
      <c r="E2489" s="19" t="n">
        <f aca="false">'CEMIUP0.9 Raw'!E888</f>
        <v>0</v>
      </c>
      <c r="F2489" s="19" t="n">
        <f aca="false">'CEMIUP0.9 Raw'!F888</f>
        <v>8.84210526315789</v>
      </c>
      <c r="G2489" s="19" t="n">
        <f aca="false">'CEMIUP0.9 Raw'!G888</f>
        <v>1260.85768421053</v>
      </c>
      <c r="H2489" s="18" t="str">
        <f aca="false">'CEMIUP0.9 Raw'!A888</f>
        <v>113 - Kupat Holim Meuhedet</v>
      </c>
    </row>
    <row r="2490" customFormat="false" ht="15" hidden="false" customHeight="false" outlineLevel="0" collapsed="false">
      <c r="A2490" s="18" t="str">
        <f aca="false">'CEMIUP0.9 Raw'!B891</f>
        <v>07AU XXL.ח.גב ""איטלקית"" אוריר</v>
      </c>
      <c r="B2490" s="18" t="str">
        <f aca="false">'CEMIUP0.9 Raw'!C891</f>
        <v>07AU XXL.ח.גב ""איטלקית"" אוריר</v>
      </c>
      <c r="C2490" s="18" t="str">
        <f aca="false">'CEMIUP0.9 Raw'!C891</f>
        <v>07AU XXL.ח.גב ""איטלקית"" אוריר</v>
      </c>
      <c r="D2490" s="19" t="n">
        <f aca="false">'CEMIUP0.9 Raw'!D891</f>
        <v>0</v>
      </c>
      <c r="E2490" s="19" t="n">
        <f aca="false">'CEMIUP0.9 Raw'!E891</f>
        <v>0</v>
      </c>
      <c r="F2490" s="19" t="n">
        <f aca="false">'CEMIUP0.9 Raw'!F891</f>
        <v>8.84210526315789</v>
      </c>
      <c r="G2490" s="19" t="n">
        <f aca="false">'CEMIUP0.9 Raw'!G891</f>
        <v>1159.93389473684</v>
      </c>
      <c r="H2490" s="18" t="str">
        <f aca="false">'CEMIUP0.9 Raw'!A891</f>
        <v>113 - Kupat Holim Meuhedet</v>
      </c>
    </row>
    <row r="2491" customFormat="false" ht="15" hidden="false" customHeight="false" outlineLevel="0" collapsed="false">
      <c r="A2491" s="18" t="str">
        <f aca="false">'CEMIUP0.9 Raw'!B908</f>
        <v>394G-39-42</v>
      </c>
      <c r="B2491" s="18" t="str">
        <f aca="false">'CEMIUP0.9 Raw'!C908</f>
        <v>394G-39-42</v>
      </c>
      <c r="C2491" s="18" t="str">
        <f aca="false">'CEMIUP0.9 Raw'!C908</f>
        <v>394G-39-42</v>
      </c>
      <c r="D2491" s="19" t="n">
        <f aca="false">'CEMIUP0.9 Raw'!D908</f>
        <v>45</v>
      </c>
      <c r="E2491" s="19" t="n">
        <f aca="false">'CEMIUP0.9 Raw'!E908</f>
        <v>828</v>
      </c>
      <c r="F2491" s="19" t="n">
        <f aca="false">'CEMIUP0.9 Raw'!F908</f>
        <v>8.84210526315789</v>
      </c>
      <c r="G2491" s="19" t="n">
        <f aca="false">'CEMIUP0.9 Raw'!G908</f>
        <v>162.694736842105</v>
      </c>
      <c r="H2491" s="18" t="str">
        <f aca="false">'CEMIUP0.9 Raw'!A908</f>
        <v>113 - Kupat Holim Meuhedet</v>
      </c>
    </row>
    <row r="2492" customFormat="false" ht="15" hidden="false" customHeight="false" outlineLevel="0" collapsed="false">
      <c r="A2492" s="18" t="str">
        <f aca="false">'CEMIUP0.9 Raw'!B921</f>
        <v>T33 XL</v>
      </c>
      <c r="B2492" s="18" t="str">
        <f aca="false">'CEMIUP0.9 Raw'!C921</f>
        <v>T33 XL</v>
      </c>
      <c r="C2492" s="18" t="str">
        <f aca="false">'CEMIUP0.9 Raw'!C921</f>
        <v>T33 XL</v>
      </c>
      <c r="D2492" s="19" t="n">
        <f aca="false">'CEMIUP0.9 Raw'!D921</f>
        <v>11</v>
      </c>
      <c r="E2492" s="19" t="n">
        <f aca="false">'CEMIUP0.9 Raw'!E921</f>
        <v>1035.1</v>
      </c>
      <c r="F2492" s="19" t="n">
        <f aca="false">'CEMIUP0.9 Raw'!F921</f>
        <v>8.84210526315789</v>
      </c>
      <c r="G2492" s="19" t="n">
        <f aca="false">'CEMIUP0.9 Raw'!G921</f>
        <v>832.042105263158</v>
      </c>
      <c r="H2492" s="18" t="str">
        <f aca="false">'CEMIUP0.9 Raw'!A921</f>
        <v>113 - Kupat Holim Meuhedet</v>
      </c>
    </row>
    <row r="2493" customFormat="false" ht="15" hidden="false" customHeight="false" outlineLevel="0" collapsed="false">
      <c r="A2493" s="18" t="n">
        <f aca="false">'CEMIUP0.9 Raw'!B942</f>
        <v>4403006</v>
      </c>
      <c r="B2493" s="18" t="str">
        <f aca="false">'CEMIUP0.9 Raw'!C942</f>
        <v>390W גרב כסף לסכרתיים לבן35-38</v>
      </c>
      <c r="C2493" s="18" t="str">
        <f aca="false">'CEMIUP0.9 Raw'!C942</f>
        <v>390W גרב כסף לסכרתיים לבן35-38</v>
      </c>
      <c r="D2493" s="19" t="n">
        <f aca="false">'CEMIUP0.9 Raw'!D942</f>
        <v>2</v>
      </c>
      <c r="E2493" s="19" t="n">
        <f aca="false">'CEMIUP0.9 Raw'!E942</f>
        <v>57.239</v>
      </c>
      <c r="F2493" s="19" t="n">
        <f aca="false">'CEMIUP0.9 Raw'!F942</f>
        <v>8.84210526315789</v>
      </c>
      <c r="G2493" s="19" t="n">
        <f aca="false">'CEMIUP0.9 Raw'!G942</f>
        <v>253.114105263158</v>
      </c>
      <c r="H2493" s="18" t="str">
        <f aca="false">'CEMIUP0.9 Raw'!A942</f>
        <v>BE (CEMI internal group)</v>
      </c>
    </row>
    <row r="2494" customFormat="false" ht="15" hidden="false" customHeight="false" outlineLevel="0" collapsed="false">
      <c r="A2494" s="18" t="n">
        <f aca="false">'CEMIUP0.9 Raw'!B948</f>
        <v>4403023</v>
      </c>
      <c r="B2494" s="18" t="str">
        <f aca="false">'CEMIUP0.9 Raw'!C948</f>
        <v>394W 35-38 גרב.כסף לסכרתים לבן</v>
      </c>
      <c r="C2494" s="18" t="str">
        <f aca="false">'CEMIUP0.9 Raw'!C948</f>
        <v>394W 35-38 גרב.כסף לסכרתים לבן</v>
      </c>
      <c r="D2494" s="19" t="n">
        <f aca="false">'CEMIUP0.9 Raw'!D948</f>
        <v>4</v>
      </c>
      <c r="E2494" s="19" t="n">
        <f aca="false">'CEMIUP0.9 Raw'!E948</f>
        <v>87.36</v>
      </c>
      <c r="F2494" s="19" t="n">
        <f aca="false">'CEMIUP0.9 Raw'!F948</f>
        <v>8.84210526315789</v>
      </c>
      <c r="G2494" s="19" t="n">
        <f aca="false">'CEMIUP0.9 Raw'!G948</f>
        <v>193.226526315789</v>
      </c>
      <c r="H2494" s="18" t="str">
        <f aca="false">'CEMIUP0.9 Raw'!A948</f>
        <v>BE (CEMI internal group)</v>
      </c>
    </row>
    <row r="2495" customFormat="false" ht="15" hidden="false" customHeight="false" outlineLevel="0" collapsed="false">
      <c r="A2495" s="18" t="n">
        <f aca="false">'CEMIUP0.9 Raw'!B949</f>
        <v>4403024</v>
      </c>
      <c r="B2495" s="18" t="str">
        <f aca="false">'CEMIUP0.9 Raw'!C949</f>
        <v>394W 39-42 גרב.כסף לסכרתים לבן</v>
      </c>
      <c r="C2495" s="18" t="str">
        <f aca="false">'CEMIUP0.9 Raw'!C949</f>
        <v>394W 39-42 גרב.כסף לסכרתים לבן</v>
      </c>
      <c r="D2495" s="19" t="n">
        <f aca="false">'CEMIUP0.9 Raw'!D949</f>
        <v>10</v>
      </c>
      <c r="E2495" s="19" t="n">
        <f aca="false">'CEMIUP0.9 Raw'!E949</f>
        <v>206.388</v>
      </c>
      <c r="F2495" s="19" t="n">
        <f aca="false">'CEMIUP0.9 Raw'!F949</f>
        <v>8.84210526315789</v>
      </c>
      <c r="G2495" s="19" t="n">
        <f aca="false">'CEMIUP0.9 Raw'!G949</f>
        <v>177.823578947368</v>
      </c>
      <c r="H2495" s="18" t="str">
        <f aca="false">'CEMIUP0.9 Raw'!A949</f>
        <v>BE (CEMI internal group)</v>
      </c>
    </row>
    <row r="2496" customFormat="false" ht="15" hidden="false" customHeight="false" outlineLevel="0" collapsed="false">
      <c r="A2496" s="18" t="n">
        <f aca="false">'CEMIUP0.9 Raw'!B950</f>
        <v>4403025</v>
      </c>
      <c r="B2496" s="18" t="str">
        <f aca="false">'CEMIUP0.9 Raw'!C950</f>
        <v>394W 43-46 גרב.כסף לסכרתים לבן</v>
      </c>
      <c r="C2496" s="18" t="str">
        <f aca="false">'CEMIUP0.9 Raw'!C950</f>
        <v>394W 43-46 גרב.כסף לסכרתים לבן</v>
      </c>
      <c r="D2496" s="19" t="n">
        <f aca="false">'CEMIUP0.9 Raw'!D950</f>
        <v>7</v>
      </c>
      <c r="E2496" s="19" t="n">
        <f aca="false">'CEMIUP0.9 Raw'!E950</f>
        <v>140.777</v>
      </c>
      <c r="F2496" s="19" t="n">
        <f aca="false">'CEMIUP0.9 Raw'!F950</f>
        <v>8.84210526315789</v>
      </c>
      <c r="G2496" s="19" t="n">
        <f aca="false">'CEMIUP0.9 Raw'!G950</f>
        <v>193.226526315789</v>
      </c>
      <c r="H2496" s="18" t="str">
        <f aca="false">'CEMIUP0.9 Raw'!A950</f>
        <v>BE (CEMI internal group)</v>
      </c>
    </row>
    <row r="2497" customFormat="false" ht="15" hidden="false" customHeight="false" outlineLevel="0" collapsed="false">
      <c r="A2497" s="18" t="n">
        <f aca="false">'CEMIUP0.9 Raw'!B1131</f>
        <v>4413155</v>
      </c>
      <c r="B2497" s="18" t="str">
        <f aca="false">'CEMIUP0.9 Raw'!C1131</f>
        <v>305GA מדרס אורטופ.מתכוון39-40</v>
      </c>
      <c r="C2497" s="18" t="str">
        <f aca="false">'CEMIUP0.9 Raw'!C1131</f>
        <v>305GA מדרס אורטופ.מתכוון39-40</v>
      </c>
      <c r="D2497" s="19" t="n">
        <f aca="false">'CEMIUP0.9 Raw'!D1131</f>
        <v>13</v>
      </c>
      <c r="E2497" s="19" t="n">
        <f aca="false">'CEMIUP0.9 Raw'!E1131</f>
        <v>827.463</v>
      </c>
      <c r="F2497" s="19" t="n">
        <f aca="false">'CEMIUP0.9 Raw'!F1131</f>
        <v>8.84210526315789</v>
      </c>
      <c r="G2497" s="19" t="n">
        <f aca="false">'CEMIUP0.9 Raw'!G1131</f>
        <v>562.897263157895</v>
      </c>
      <c r="H2497" s="18" t="str">
        <f aca="false">'CEMIUP0.9 Raw'!A1131</f>
        <v>BE (CEMI internal group)</v>
      </c>
    </row>
    <row r="2498" customFormat="false" ht="15" hidden="false" customHeight="false" outlineLevel="0" collapsed="false">
      <c r="A2498" s="18" t="n">
        <f aca="false">'CEMIUP0.9 Raw'!B1214</f>
        <v>4415025</v>
      </c>
      <c r="B2498" s="18" t="str">
        <f aca="false">'CEMIUP0.9 Raw'!C1214</f>
        <v>28-XS סד לאגודל לאחר שבר</v>
      </c>
      <c r="C2498" s="18" t="str">
        <f aca="false">'CEMIUP0.9 Raw'!C1214</f>
        <v>28-XS סד לאגודל לאחר שבר</v>
      </c>
      <c r="D2498" s="19" t="n">
        <f aca="false">'CEMIUP0.9 Raw'!D1214</f>
        <v>0</v>
      </c>
      <c r="E2498" s="19" t="n">
        <f aca="false">'CEMIUP0.9 Raw'!E1214</f>
        <v>0</v>
      </c>
      <c r="F2498" s="19" t="n">
        <f aca="false">'CEMIUP0.9 Raw'!F1214</f>
        <v>8.84210526315789</v>
      </c>
      <c r="G2498" s="19" t="n">
        <f aca="false">'CEMIUP0.9 Raw'!G1214</f>
        <v>709.685052631579</v>
      </c>
      <c r="H2498" s="18" t="str">
        <f aca="false">'CEMIUP0.9 Raw'!A1214</f>
        <v>BE (CEMI internal group)</v>
      </c>
    </row>
    <row r="2499" customFormat="false" ht="15" hidden="false" customHeight="false" outlineLevel="0" collapsed="false">
      <c r="A2499" s="18" t="n">
        <f aca="false">'CEMIUP0.9 Raw'!B1261</f>
        <v>4420023</v>
      </c>
      <c r="B2499" s="18" t="str">
        <f aca="false">'CEMIUP0.9 Raw'!C1261</f>
        <v>LF371 ריפוד סיליקון לנעלי אצבע</v>
      </c>
      <c r="C2499" s="18" t="str">
        <f aca="false">'CEMIUP0.9 Raw'!C1261</f>
        <v>LF371 ריפוד סיליקון לנעלי אצבע</v>
      </c>
      <c r="D2499" s="19" t="n">
        <f aca="false">'CEMIUP0.9 Raw'!D1261</f>
        <v>4</v>
      </c>
      <c r="E2499" s="19" t="n">
        <f aca="false">'CEMIUP0.9 Raw'!E1261</f>
        <v>39.858</v>
      </c>
      <c r="F2499" s="19" t="n">
        <f aca="false">'CEMIUP0.9 Raw'!F1261</f>
        <v>8.84210526315789</v>
      </c>
      <c r="G2499" s="19" t="n">
        <f aca="false">'CEMIUP0.9 Raw'!G1261</f>
        <v>197.249684210526</v>
      </c>
      <c r="H2499" s="18" t="str">
        <f aca="false">'CEMIUP0.9 Raw'!A1261</f>
        <v>BE (CEMI internal group)</v>
      </c>
    </row>
    <row r="2500" customFormat="false" ht="15" hidden="false" customHeight="false" outlineLevel="0" collapsed="false">
      <c r="A2500" s="18" t="n">
        <f aca="false">'CEMIUP0.9 Raw'!B1278</f>
        <v>4403000</v>
      </c>
      <c r="B2500" s="18" t="str">
        <f aca="false">'CEMIUP0.9 Raw'!C1278</f>
        <v>390B גרב.כסף לסכרתים שחור35-38</v>
      </c>
      <c r="C2500" s="18" t="str">
        <f aca="false">'CEMIUP0.9 Raw'!C1278</f>
        <v>390B גרב.כסף לסכרתים שחור35-38</v>
      </c>
      <c r="D2500" s="19" t="n">
        <f aca="false">'CEMIUP0.9 Raw'!D1278</f>
        <v>30</v>
      </c>
      <c r="E2500" s="19" t="n">
        <f aca="false">'CEMIUP0.9 Raw'!E1278</f>
        <v>802.711</v>
      </c>
      <c r="F2500" s="19" t="n">
        <f aca="false">'CEMIUP0.9 Raw'!F1278</f>
        <v>8.84210526315789</v>
      </c>
      <c r="G2500" s="19" t="n">
        <f aca="false">'CEMIUP0.9 Raw'!G1278</f>
        <v>242.883789473684</v>
      </c>
      <c r="H2500" s="18" t="str">
        <f aca="false">'CEMIUP0.9 Raw'!A1278</f>
        <v>Super-Pharm Israel (CEMI internal group)</v>
      </c>
    </row>
    <row r="2501" customFormat="false" ht="15" hidden="false" customHeight="false" outlineLevel="0" collapsed="false">
      <c r="A2501" s="18" t="n">
        <f aca="false">'CEMIUP0.9 Raw'!B1395</f>
        <v>4408250</v>
      </c>
      <c r="B2501" s="18" t="str">
        <f aca="false">'CEMIUP0.9 Raw'!C1395</f>
        <v>SC25 XL חבק יד</v>
      </c>
      <c r="C2501" s="18" t="str">
        <f aca="false">'CEMIUP0.9 Raw'!C1395</f>
        <v>SC25 XL חבק יד</v>
      </c>
      <c r="D2501" s="19" t="n">
        <f aca="false">'CEMIUP0.9 Raw'!D1395</f>
        <v>15</v>
      </c>
      <c r="E2501" s="19" t="n">
        <f aca="false">'CEMIUP0.9 Raw'!E1395</f>
        <v>1016.834</v>
      </c>
      <c r="F2501" s="19" t="n">
        <f aca="false">'CEMIUP0.9 Raw'!F1395</f>
        <v>8.84210526315789</v>
      </c>
      <c r="G2501" s="19" t="n">
        <f aca="false">'CEMIUP0.9 Raw'!G1395</f>
        <v>602.784</v>
      </c>
      <c r="H2501" s="18" t="str">
        <f aca="false">'CEMIUP0.9 Raw'!A1395</f>
        <v>Super-Pharm Israel (CEMI internal group)</v>
      </c>
    </row>
    <row r="2502" customFormat="false" ht="15" hidden="false" customHeight="false" outlineLevel="0" collapsed="false">
      <c r="A2502" s="18" t="n">
        <f aca="false">'CEMIUP0.9 Raw'!B1538</f>
        <v>4413182</v>
      </c>
      <c r="B2502" s="18" t="str">
        <f aca="false">'CEMIUP0.9 Raw'!C1538</f>
        <v>T45 S מגן ברך רגיל</v>
      </c>
      <c r="C2502" s="18" t="str">
        <f aca="false">'CEMIUP0.9 Raw'!C1538</f>
        <v>T45 S מגן ברך רגיל</v>
      </c>
      <c r="D2502" s="19" t="n">
        <f aca="false">'CEMIUP0.9 Raw'!D1538</f>
        <v>-2</v>
      </c>
      <c r="E2502" s="19" t="n">
        <f aca="false">'CEMIUP0.9 Raw'!E1538</f>
        <v>-158.249</v>
      </c>
      <c r="F2502" s="19" t="n">
        <f aca="false">'CEMIUP0.9 Raw'!F1538</f>
        <v>8.84210526315789</v>
      </c>
      <c r="G2502" s="19" t="n">
        <f aca="false">'CEMIUP0.9 Raw'!G1538</f>
        <v>724.973052631579</v>
      </c>
      <c r="H2502" s="18" t="str">
        <f aca="false">'CEMIUP0.9 Raw'!A1538</f>
        <v>Super-Pharm Israel (CEMI internal group)</v>
      </c>
    </row>
    <row r="2503" customFormat="false" ht="15" hidden="false" customHeight="false" outlineLevel="0" collapsed="false">
      <c r="A2503" s="18" t="n">
        <f aca="false">'SALES Raw'!G64</f>
        <v>4415159</v>
      </c>
      <c r="B2503" s="18" t="str">
        <f aca="false">'SALES Raw'!B64</f>
        <v>268 0</v>
      </c>
      <c r="C2503" s="18" t="str">
        <f aca="false">'SALES Raw'!H64</f>
        <v>268 סד לאגודל</v>
      </c>
      <c r="D2503" s="19" t="n">
        <f aca="false">'SALES Raw'!C64</f>
        <v>4</v>
      </c>
      <c r="E2503" s="19" t="n">
        <f aca="false">'SALES Raw'!D64</f>
        <v>387.6</v>
      </c>
      <c r="F2503" s="19" t="n">
        <f aca="false">'SALES Raw'!E64*$H$4</f>
        <v>7.57894736842105</v>
      </c>
      <c r="G2503" s="19" t="n">
        <f aca="false">'SALES Raw'!F64*$H$4</f>
        <v>378.96</v>
      </c>
      <c r="H2503" s="18" t="str">
        <f aca="false">'SALES Raw'!A64</f>
        <v>101 - Factory customers</v>
      </c>
    </row>
    <row r="2504" customFormat="false" ht="15" hidden="false" customHeight="false" outlineLevel="0" collapsed="false">
      <c r="A2504" s="18" t="n">
        <f aca="false">'SALES Raw'!G99</f>
        <v>4421007</v>
      </c>
      <c r="B2504" s="18" t="str">
        <f aca="false">'SALES Raw'!B99</f>
        <v>350 0</v>
      </c>
      <c r="C2504" s="18" t="str">
        <f aca="false">'SALES Raw'!H99</f>
        <v>שרוול לגבס קצר רגל</v>
      </c>
      <c r="D2504" s="19" t="n">
        <f aca="false">'SALES Raw'!C99</f>
        <v>7</v>
      </c>
      <c r="E2504" s="19" t="n">
        <f aca="false">'SALES Raw'!D99</f>
        <v>302.75</v>
      </c>
      <c r="F2504" s="19" t="n">
        <f aca="false">'SALES Raw'!E99*$H$4</f>
        <v>7.57894736842105</v>
      </c>
      <c r="G2504" s="19" t="n">
        <f aca="false">'SALES Raw'!F99*$H$4</f>
        <v>302.804210526316</v>
      </c>
      <c r="H2504" s="18" t="str">
        <f aca="false">'SALES Raw'!A99</f>
        <v>101 - Factory customers</v>
      </c>
    </row>
    <row r="2505" customFormat="false" ht="15" hidden="false" customHeight="false" outlineLevel="0" collapsed="false">
      <c r="A2505" s="18" t="n">
        <f aca="false">'SALES Raw'!G148</f>
        <v>4403025</v>
      </c>
      <c r="B2505" s="18" t="str">
        <f aca="false">'SALES Raw'!B148</f>
        <v>394W-43-46</v>
      </c>
      <c r="C2505" s="18" t="str">
        <f aca="false">'SALES Raw'!H148</f>
        <v>394W 43-46 גרב.כסף לסכרתים לבן</v>
      </c>
      <c r="D2505" s="19" t="n">
        <f aca="false">'SALES Raw'!C148</f>
        <v>8</v>
      </c>
      <c r="E2505" s="19" t="n">
        <f aca="false">'SALES Raw'!D148</f>
        <v>210.42</v>
      </c>
      <c r="F2505" s="19" t="n">
        <f aca="false">'SALES Raw'!E148*$H$4</f>
        <v>7.57894736842105</v>
      </c>
      <c r="G2505" s="19" t="n">
        <f aca="false">'SALES Raw'!F148*$H$4</f>
        <v>212.829473684211</v>
      </c>
      <c r="H2505" s="18" t="str">
        <f aca="false">'SALES Raw'!A148</f>
        <v>101 - Factory customers</v>
      </c>
    </row>
    <row r="2506" customFormat="false" ht="15" hidden="false" customHeight="false" outlineLevel="0" collapsed="false">
      <c r="A2506" s="18" t="n">
        <f aca="false">'SALES Raw'!G170</f>
        <v>4413104</v>
      </c>
      <c r="B2506" s="18" t="str">
        <f aca="false">'SALES Raw'!B170</f>
        <v>45E XL</v>
      </c>
      <c r="C2506" s="18" t="str">
        <f aca="false">'SALES Raw'!H170</f>
        <v>45E XLמגן ברך ארוך לבן</v>
      </c>
      <c r="D2506" s="19" t="n">
        <f aca="false">'SALES Raw'!C170</f>
        <v>0</v>
      </c>
      <c r="E2506" s="19" t="n">
        <f aca="false">'SALES Raw'!D170</f>
        <v>0</v>
      </c>
      <c r="F2506" s="19" t="n">
        <f aca="false">'SALES Raw'!E170*$H$4</f>
        <v>7.57894736842105</v>
      </c>
      <c r="G2506" s="19" t="n">
        <f aca="false">'SALES Raw'!F170*$H$4</f>
        <v>283.856842105263</v>
      </c>
      <c r="H2506" s="18" t="str">
        <f aca="false">'SALES Raw'!A170</f>
        <v>101 - Factory customers</v>
      </c>
    </row>
    <row r="2507" customFormat="false" ht="15" hidden="false" customHeight="false" outlineLevel="0" collapsed="false">
      <c r="A2507" s="18" t="str">
        <f aca="false">'SALES Raw'!G205</f>
        <v/>
      </c>
      <c r="B2507" s="18" t="str">
        <f aca="false">'SALES Raw'!B205</f>
        <v>84-S-M</v>
      </c>
      <c r="C2507" s="18" t="str">
        <f aca="false">'SALES Raw'!H205</f>
        <v>84-S-M</v>
      </c>
      <c r="D2507" s="19" t="n">
        <f aca="false">'SALES Raw'!C205</f>
        <v>2</v>
      </c>
      <c r="E2507" s="19" t="n">
        <f aca="false">'SALES Raw'!D205</f>
        <v>281.14</v>
      </c>
      <c r="F2507" s="19" t="n">
        <f aca="false">'SALES Raw'!E205*$H$4</f>
        <v>7.57894736842105</v>
      </c>
      <c r="G2507" s="19" t="n">
        <f aca="false">'SALES Raw'!F205*$H$4</f>
        <v>1006.18105263158</v>
      </c>
      <c r="H2507" s="18" t="str">
        <f aca="false">'SALES Raw'!A205</f>
        <v>101 - Factory customers</v>
      </c>
    </row>
    <row r="2508" customFormat="false" ht="15" hidden="false" customHeight="false" outlineLevel="0" collapsed="false">
      <c r="A2508" s="18" t="n">
        <f aca="false">'SALES Raw'!G303</f>
        <v>4408054</v>
      </c>
      <c r="B2508" s="18" t="str">
        <f aca="false">'SALES Raw'!B303</f>
        <v>21 XL</v>
      </c>
      <c r="C2508" s="18" t="str">
        <f aca="false">'SALES Raw'!H303</f>
        <v>21 XL חבק יד ארוך</v>
      </c>
      <c r="D2508" s="19" t="n">
        <f aca="false">'SALES Raw'!C303</f>
        <v>4</v>
      </c>
      <c r="E2508" s="19" t="n">
        <f aca="false">'SALES Raw'!D303</f>
        <v>141.01</v>
      </c>
      <c r="F2508" s="19" t="n">
        <f aca="false">'SALES Raw'!E303*$H$4</f>
        <v>7.57894736842105</v>
      </c>
      <c r="G2508" s="19" t="n">
        <f aca="false">'SALES Raw'!F303*$H$4</f>
        <v>301.591578947368</v>
      </c>
      <c r="H2508" s="18" t="str">
        <f aca="false">'SALES Raw'!A303</f>
        <v>101 - Factory customers</v>
      </c>
    </row>
    <row r="2509" customFormat="false" ht="15" hidden="false" customHeight="false" outlineLevel="0" collapsed="false">
      <c r="A2509" s="18" t="str">
        <f aca="false">'SALES Raw'!G319</f>
        <v/>
      </c>
      <c r="B2509" s="18" t="str">
        <f aca="false">'SALES Raw'!B319</f>
        <v>377-41</v>
      </c>
      <c r="C2509" s="18" t="str">
        <f aca="false">'SALES Raw'!H319</f>
        <v>377-41</v>
      </c>
      <c r="D2509" s="19" t="n">
        <f aca="false">'SALES Raw'!C319</f>
        <v>0</v>
      </c>
      <c r="E2509" s="19" t="n">
        <f aca="false">'SALES Raw'!D319</f>
        <v>0</v>
      </c>
      <c r="F2509" s="19" t="n">
        <f aca="false">'SALES Raw'!E319*$H$4</f>
        <v>7.57894736842105</v>
      </c>
      <c r="G2509" s="19" t="n">
        <f aca="false">'SALES Raw'!F319*$H$4</f>
        <v>322.913684210526</v>
      </c>
      <c r="H2509" s="18" t="str">
        <f aca="false">'SALES Raw'!A319</f>
        <v>101 - Factory customers</v>
      </c>
    </row>
    <row r="2510" customFormat="false" ht="15" hidden="false" customHeight="false" outlineLevel="0" collapsed="false">
      <c r="A2510" s="18" t="str">
        <f aca="false">'SALES Raw'!G386</f>
        <v/>
      </c>
      <c r="B2510" s="18" t="str">
        <f aca="false">'SALES Raw'!B386</f>
        <v>LUPD344 0</v>
      </c>
      <c r="C2510" s="18" t="str">
        <f aca="false">'SALES Raw'!H386</f>
        <v>LUPD344 0</v>
      </c>
      <c r="D2510" s="19" t="n">
        <f aca="false">'SALES Raw'!C386</f>
        <v>0</v>
      </c>
      <c r="E2510" s="19" t="n">
        <f aca="false">'SALES Raw'!D386</f>
        <v>0</v>
      </c>
      <c r="F2510" s="19" t="n">
        <f aca="false">'SALES Raw'!E386*$H$4</f>
        <v>7.57894736842105</v>
      </c>
      <c r="G2510" s="19" t="n">
        <f aca="false">'SALES Raw'!F386*$H$4</f>
        <v>31.8947368421053</v>
      </c>
      <c r="H2510" s="18" t="str">
        <f aca="false">'SALES Raw'!A386</f>
        <v>101 - Factory customers</v>
      </c>
    </row>
    <row r="2511" customFormat="false" ht="15" hidden="false" customHeight="false" outlineLevel="0" collapsed="false">
      <c r="A2511" s="18" t="str">
        <f aca="false">'SALES Raw'!G394</f>
        <v/>
      </c>
      <c r="B2511" s="18" t="str">
        <f aca="false">'SALES Raw'!B394</f>
        <v>SP302W 0</v>
      </c>
      <c r="C2511" s="18" t="str">
        <f aca="false">'SALES Raw'!H394</f>
        <v>SP302W 0</v>
      </c>
      <c r="D2511" s="19" t="n">
        <f aca="false">'SALES Raw'!C394</f>
        <v>0</v>
      </c>
      <c r="E2511" s="19" t="n">
        <f aca="false">'SALES Raw'!D394</f>
        <v>0</v>
      </c>
      <c r="F2511" s="19" t="n">
        <f aca="false">'SALES Raw'!E394*$H$4</f>
        <v>7.57894736842105</v>
      </c>
      <c r="G2511" s="19" t="n">
        <f aca="false">'SALES Raw'!F394*$H$4</f>
        <v>265.288421052632</v>
      </c>
      <c r="H2511" s="18" t="str">
        <f aca="false">'SALES Raw'!A394</f>
        <v>101 - Factory customers</v>
      </c>
    </row>
    <row r="2512" customFormat="false" ht="15" hidden="false" customHeight="false" outlineLevel="0" collapsed="false">
      <c r="A2512" s="18" t="str">
        <f aca="false">'SALES Raw'!G593</f>
        <v/>
      </c>
      <c r="B2512" s="18" t="str">
        <f aca="false">'SALES Raw'!B593</f>
        <v>303-39-40</v>
      </c>
      <c r="C2512" s="18" t="str">
        <f aca="false">'SALES Raw'!H593</f>
        <v>303-39-40</v>
      </c>
      <c r="D2512" s="19" t="n">
        <f aca="false">'SALES Raw'!C593</f>
        <v>4</v>
      </c>
      <c r="E2512" s="19" t="n">
        <f aca="false">'SALES Raw'!D593</f>
        <v>474.16</v>
      </c>
      <c r="F2512" s="19" t="n">
        <f aca="false">'SALES Raw'!E593*$H$4</f>
        <v>7.57894736842105</v>
      </c>
      <c r="G2512" s="19" t="n">
        <f aca="false">'SALES Raw'!F593*$H$4</f>
        <v>898.383157894737</v>
      </c>
      <c r="H2512" s="18" t="str">
        <f aca="false">'SALES Raw'!A593</f>
        <v>102 - Orthopedic institutes</v>
      </c>
    </row>
    <row r="2513" customFormat="false" ht="15" hidden="false" customHeight="false" outlineLevel="0" collapsed="false">
      <c r="A2513" s="18" t="str">
        <f aca="false">'SALES Raw'!G622</f>
        <v/>
      </c>
      <c r="B2513" s="18" t="str">
        <f aca="false">'SALES Raw'!B622</f>
        <v>322 M</v>
      </c>
      <c r="C2513" s="18" t="str">
        <f aca="false">'SALES Raw'!H622</f>
        <v>322 M</v>
      </c>
      <c r="D2513" s="19" t="n">
        <f aca="false">'SALES Raw'!C622</f>
        <v>4</v>
      </c>
      <c r="E2513" s="19" t="n">
        <f aca="false">'SALES Raw'!D622</f>
        <v>279.99</v>
      </c>
      <c r="F2513" s="19" t="n">
        <f aca="false">'SALES Raw'!E622*$H$4</f>
        <v>7.57894736842105</v>
      </c>
      <c r="G2513" s="19" t="n">
        <f aca="false">'SALES Raw'!F622*$H$4</f>
        <v>530.501052631579</v>
      </c>
      <c r="H2513" s="18" t="str">
        <f aca="false">'SALES Raw'!A622</f>
        <v>102 - Orthopedic institutes</v>
      </c>
    </row>
    <row r="2514" customFormat="false" ht="15" hidden="false" customHeight="false" outlineLevel="0" collapsed="false">
      <c r="A2514" s="18" t="n">
        <f aca="false">'SALES Raw'!G668</f>
        <v>4413417</v>
      </c>
      <c r="B2514" s="18" t="str">
        <f aca="false">'SALES Raw'!B668</f>
        <v>SC39 L</v>
      </c>
      <c r="C2514" s="18" t="str">
        <f aca="false">'SALES Raw'!H668</f>
        <v>SC39  L מגן שוק</v>
      </c>
      <c r="D2514" s="19" t="n">
        <f aca="false">'SALES Raw'!C668</f>
        <v>7</v>
      </c>
      <c r="E2514" s="19" t="n">
        <f aca="false">'SALES Raw'!D668</f>
        <v>1091.89</v>
      </c>
      <c r="F2514" s="19" t="n">
        <f aca="false">'SALES Raw'!E668*$H$4</f>
        <v>7.57894736842105</v>
      </c>
      <c r="G2514" s="19" t="n">
        <f aca="false">'SALES Raw'!F668*$H$4</f>
        <v>1243.12421052632</v>
      </c>
      <c r="H2514" s="18" t="str">
        <f aca="false">'SALES Raw'!A668</f>
        <v>102 - Orthopedic institutes</v>
      </c>
    </row>
    <row r="2515" customFormat="false" ht="15" hidden="false" customHeight="false" outlineLevel="0" collapsed="false">
      <c r="A2515" s="18" t="n">
        <f aca="false">'SALES Raw'!G676</f>
        <v>4408114</v>
      </c>
      <c r="B2515" s="18" t="str">
        <f aca="false">'SALES Raw'!B676</f>
        <v>11EU M</v>
      </c>
      <c r="C2515" s="18" t="str">
        <f aca="false">'SALES Raw'!H676</f>
        <v>11EU M ח.בטן לאחר ניתוח</v>
      </c>
      <c r="D2515" s="19" t="n">
        <f aca="false">'SALES Raw'!C676</f>
        <v>6</v>
      </c>
      <c r="E2515" s="19" t="n">
        <f aca="false">'SALES Raw'!D676</f>
        <v>477.85</v>
      </c>
      <c r="F2515" s="19" t="n">
        <f aca="false">'SALES Raw'!E676*$H$4</f>
        <v>7.57894736842105</v>
      </c>
      <c r="G2515" s="19" t="n">
        <f aca="false">'SALES Raw'!F676*$H$4</f>
        <v>644.223157894737</v>
      </c>
      <c r="H2515" s="18" t="str">
        <f aca="false">'SALES Raw'!A676</f>
        <v>102 - Orthopedic institutes</v>
      </c>
    </row>
    <row r="2516" customFormat="false" ht="15" hidden="false" customHeight="false" outlineLevel="0" collapsed="false">
      <c r="A2516" s="18" t="n">
        <f aca="false">'SALES Raw'!G682</f>
        <v>4408119</v>
      </c>
      <c r="B2516" s="18" t="str">
        <f aca="false">'SALES Raw'!B682</f>
        <v>06U L</v>
      </c>
      <c r="C2516" s="18" t="str">
        <f aca="false">'SALES Raw'!H682</f>
        <v>06U L ח.בטן מותנית צר</v>
      </c>
      <c r="D2516" s="19" t="n">
        <f aca="false">'SALES Raw'!C682</f>
        <v>13</v>
      </c>
      <c r="E2516" s="19" t="n">
        <f aca="false">'SALES Raw'!D682</f>
        <v>1702.63</v>
      </c>
      <c r="F2516" s="19" t="n">
        <f aca="false">'SALES Raw'!E682*$H$4</f>
        <v>7.57894736842105</v>
      </c>
      <c r="G2516" s="19" t="n">
        <f aca="false">'SALES Raw'!F682*$H$4</f>
        <v>1065.42315789474</v>
      </c>
      <c r="H2516" s="18" t="str">
        <f aca="false">'SALES Raw'!A682</f>
        <v>102 - Orthopedic institutes</v>
      </c>
    </row>
    <row r="2517" customFormat="false" ht="15" hidden="false" customHeight="false" outlineLevel="0" collapsed="false">
      <c r="A2517" s="18" t="n">
        <f aca="false">'SALES Raw'!G685</f>
        <v>4408120</v>
      </c>
      <c r="B2517" s="18" t="str">
        <f aca="false">'SALES Raw'!B685</f>
        <v>06U XL</v>
      </c>
      <c r="C2517" s="18" t="str">
        <f aca="false">'SALES Raw'!H685</f>
        <v>06U XL ח.בטן מותנית צר</v>
      </c>
      <c r="D2517" s="19" t="n">
        <f aca="false">'SALES Raw'!C685</f>
        <v>11</v>
      </c>
      <c r="E2517" s="19" t="n">
        <f aca="false">'SALES Raw'!D685</f>
        <v>1380.01</v>
      </c>
      <c r="F2517" s="19" t="n">
        <f aca="false">'SALES Raw'!E685*$H$4</f>
        <v>7.57894736842105</v>
      </c>
      <c r="G2517" s="19" t="n">
        <f aca="false">'SALES Raw'!F685*$H$4</f>
        <v>1065.41052631579</v>
      </c>
      <c r="H2517" s="18" t="str">
        <f aca="false">'SALES Raw'!A685</f>
        <v>102 - Orthopedic institutes</v>
      </c>
    </row>
    <row r="2518" customFormat="false" ht="15" hidden="false" customHeight="false" outlineLevel="0" collapsed="false">
      <c r="A2518" s="18" t="n">
        <f aca="false">'SALES Raw'!G700</f>
        <v>4413155</v>
      </c>
      <c r="B2518" s="18" t="str">
        <f aca="false">'SALES Raw'!B700</f>
        <v>305GA-39-40</v>
      </c>
      <c r="C2518" s="18" t="str">
        <f aca="false">'SALES Raw'!H700</f>
        <v>305GA מדרס אורטופ.מתכוון39-40</v>
      </c>
      <c r="D2518" s="19" t="n">
        <f aca="false">'SALES Raw'!C700</f>
        <v>5</v>
      </c>
      <c r="E2518" s="19" t="n">
        <f aca="false">'SALES Raw'!D700</f>
        <v>384</v>
      </c>
      <c r="F2518" s="19" t="n">
        <f aca="false">'SALES Raw'!E700*$H$4</f>
        <v>7.57894736842105</v>
      </c>
      <c r="G2518" s="19" t="n">
        <f aca="false">'SALES Raw'!F700*$H$4</f>
        <v>606.341052631579</v>
      </c>
      <c r="H2518" s="18" t="str">
        <f aca="false">'SALES Raw'!A700</f>
        <v>102 - Orthopedic institutes</v>
      </c>
    </row>
    <row r="2519" customFormat="false" ht="15" hidden="false" customHeight="false" outlineLevel="0" collapsed="false">
      <c r="A2519" s="18" t="n">
        <f aca="false">'SALES Raw'!G719</f>
        <v>4413119</v>
      </c>
      <c r="B2519" s="18" t="str">
        <f aca="false">'SALES Raw'!B719</f>
        <v>50 XL</v>
      </c>
      <c r="C2519" s="18" t="str">
        <f aca="false">'SALES Raw'!H719</f>
        <v>50 XL מתלה אשכים לאחר ניתוח</v>
      </c>
      <c r="D2519" s="19" t="n">
        <f aca="false">'SALES Raw'!C719</f>
        <v>12</v>
      </c>
      <c r="E2519" s="19" t="n">
        <f aca="false">'SALES Raw'!D719</f>
        <v>912.08</v>
      </c>
      <c r="F2519" s="19" t="n">
        <f aca="false">'SALES Raw'!E719*$H$4</f>
        <v>7.57894736842105</v>
      </c>
      <c r="G2519" s="19" t="n">
        <f aca="false">'SALES Raw'!F719*$H$4</f>
        <v>841.566315789474</v>
      </c>
      <c r="H2519" s="18" t="str">
        <f aca="false">'SALES Raw'!A719</f>
        <v>102 - Orthopedic institutes</v>
      </c>
    </row>
    <row r="2520" customFormat="false" ht="15" hidden="false" customHeight="false" outlineLevel="0" collapsed="false">
      <c r="A2520" s="18" t="str">
        <f aca="false">'SALES Raw'!G726</f>
        <v/>
      </c>
      <c r="B2520" s="18" t="str">
        <f aca="false">'SALES Raw'!B726</f>
        <v>808KTP-C</v>
      </c>
      <c r="C2520" s="18" t="str">
        <f aca="false">'SALES Raw'!H726</f>
        <v>808KTP-C</v>
      </c>
      <c r="D2520" s="19" t="n">
        <f aca="false">'SALES Raw'!C726</f>
        <v>27</v>
      </c>
      <c r="E2520" s="19" t="n">
        <f aca="false">'SALES Raw'!D726</f>
        <v>810</v>
      </c>
      <c r="F2520" s="19" t="n">
        <f aca="false">'SALES Raw'!E726*$H$4</f>
        <v>7.57894736842105</v>
      </c>
      <c r="G2520" s="19" t="n">
        <f aca="false">'SALES Raw'!F726*$H$4</f>
        <v>227.368421052632</v>
      </c>
      <c r="H2520" s="18" t="str">
        <f aca="false">'SALES Raw'!A726</f>
        <v>102 - Orthopedic institutes</v>
      </c>
    </row>
    <row r="2521" customFormat="false" ht="15" hidden="false" customHeight="false" outlineLevel="0" collapsed="false">
      <c r="A2521" s="18" t="n">
        <f aca="false">'SALES Raw'!G743</f>
        <v>4415074</v>
      </c>
      <c r="B2521" s="18" t="str">
        <f aca="false">'SALES Raw'!B743</f>
        <v>T28AC-S-M</v>
      </c>
      <c r="C2521" s="18" t="str">
        <f aca="false">'SALES Raw'!H743</f>
        <v>T28AC S-M סד לאגודל</v>
      </c>
      <c r="D2521" s="19" t="n">
        <f aca="false">'SALES Raw'!C743</f>
        <v>10</v>
      </c>
      <c r="E2521" s="19" t="n">
        <f aca="false">'SALES Raw'!D743</f>
        <v>702.6</v>
      </c>
      <c r="F2521" s="19" t="n">
        <f aca="false">'SALES Raw'!E743*$H$4</f>
        <v>7.57894736842105</v>
      </c>
      <c r="G2521" s="19" t="n">
        <f aca="false">'SALES Raw'!F743*$H$4</f>
        <v>532.496842105263</v>
      </c>
      <c r="H2521" s="18" t="str">
        <f aca="false">'SALES Raw'!A743</f>
        <v>102 - Orthopedic institutes</v>
      </c>
    </row>
    <row r="2522" customFormat="false" ht="15" hidden="false" customHeight="false" outlineLevel="0" collapsed="false">
      <c r="A2522" s="18" t="n">
        <f aca="false">'SALES Raw'!G754</f>
        <v>4415003</v>
      </c>
      <c r="B2522" s="18" t="str">
        <f aca="false">'SALES Raw'!B754</f>
        <v>26 XL</v>
      </c>
      <c r="C2522" s="18" t="str">
        <f aca="false">'SALES Raw'!H754</f>
        <v>26 XL סד ליד דו צדדי לאחר שבר</v>
      </c>
      <c r="D2522" s="19" t="n">
        <f aca="false">'SALES Raw'!C754</f>
        <v>18</v>
      </c>
      <c r="E2522" s="19" t="n">
        <f aca="false">'SALES Raw'!D754</f>
        <v>1855.27</v>
      </c>
      <c r="F2522" s="19" t="n">
        <f aca="false">'SALES Raw'!E754*$H$4</f>
        <v>7.57894736842105</v>
      </c>
      <c r="G2522" s="19" t="n">
        <f aca="false">'SALES Raw'!F754*$H$4</f>
        <v>781.174736842105</v>
      </c>
      <c r="H2522" s="18" t="str">
        <f aca="false">'SALES Raw'!A754</f>
        <v>102 - Orthopedic institutes</v>
      </c>
    </row>
    <row r="2523" customFormat="false" ht="15" hidden="false" customHeight="false" outlineLevel="0" collapsed="false">
      <c r="A2523" s="18" t="n">
        <f aca="false">'SALES Raw'!G807</f>
        <v>4413177</v>
      </c>
      <c r="B2523" s="18" t="str">
        <f aca="false">'SALES Raw'!B807</f>
        <v>85+ XL</v>
      </c>
      <c r="C2523" s="18" t="str">
        <f aca="false">'SALES Raw'!H807</f>
        <v>85+ XLמתלה ליד)כיס(רצועת חיזוק</v>
      </c>
      <c r="D2523" s="19" t="n">
        <f aca="false">'SALES Raw'!C807</f>
        <v>34</v>
      </c>
      <c r="E2523" s="19" t="n">
        <f aca="false">'SALES Raw'!D807</f>
        <v>2229.96</v>
      </c>
      <c r="F2523" s="19" t="n">
        <f aca="false">'SALES Raw'!E807*$H$4</f>
        <v>7.57894736842105</v>
      </c>
      <c r="G2523" s="19" t="n">
        <f aca="false">'SALES Raw'!F807*$H$4</f>
        <v>530.513684210526</v>
      </c>
      <c r="H2523" s="18" t="str">
        <f aca="false">'SALES Raw'!A807</f>
        <v>102 - Orthopedic institutes</v>
      </c>
    </row>
    <row r="2524" customFormat="false" ht="15" hidden="false" customHeight="false" outlineLevel="0" collapsed="false">
      <c r="A2524" s="18" t="n">
        <f aca="false">'SALES Raw'!G813</f>
        <v>4408087</v>
      </c>
      <c r="B2524" s="18" t="str">
        <f aca="false">'SALES Raw'!B813</f>
        <v>922 XL</v>
      </c>
      <c r="C2524" s="18" t="str">
        <f aca="false">'SALES Raw'!H813</f>
        <v>922XLחבק יד לטניס כרית סיליק</v>
      </c>
      <c r="D2524" s="19" t="n">
        <f aca="false">'SALES Raw'!C813</f>
        <v>8</v>
      </c>
      <c r="E2524" s="19" t="n">
        <f aca="false">'SALES Raw'!D813</f>
        <v>717</v>
      </c>
      <c r="F2524" s="19" t="n">
        <f aca="false">'SALES Raw'!E813*$H$4</f>
        <v>7.57894736842105</v>
      </c>
      <c r="G2524" s="19" t="n">
        <f aca="false">'SALES Raw'!F813*$H$4</f>
        <v>682.105263157895</v>
      </c>
      <c r="H2524" s="18" t="str">
        <f aca="false">'SALES Raw'!A813</f>
        <v>102 - Orthopedic institutes</v>
      </c>
    </row>
    <row r="2525" customFormat="false" ht="15" hidden="false" customHeight="false" outlineLevel="0" collapsed="false">
      <c r="A2525" s="18" t="n">
        <f aca="false">'SALES Raw'!G815</f>
        <v>4413500</v>
      </c>
      <c r="B2525" s="18" t="str">
        <f aca="false">'SALES Raw'!B815</f>
        <v>95B L</v>
      </c>
      <c r="C2525" s="18" t="str">
        <f aca="false">'SALES Raw'!H815</f>
        <v>95B L מגן מרפק שחור</v>
      </c>
      <c r="D2525" s="19" t="n">
        <f aca="false">'SALES Raw'!C815</f>
        <v>5</v>
      </c>
      <c r="E2525" s="19" t="n">
        <f aca="false">'SALES Raw'!D815</f>
        <v>142.56</v>
      </c>
      <c r="F2525" s="19" t="n">
        <f aca="false">'SALES Raw'!E815*$H$4</f>
        <v>7.57894736842105</v>
      </c>
      <c r="G2525" s="19" t="n">
        <f aca="false">'SALES Raw'!F815*$H$4</f>
        <v>234.138947368421</v>
      </c>
      <c r="H2525" s="18" t="str">
        <f aca="false">'SALES Raw'!A815</f>
        <v>102 - Orthopedic institutes</v>
      </c>
    </row>
    <row r="2526" customFormat="false" ht="15" hidden="false" customHeight="false" outlineLevel="0" collapsed="false">
      <c r="A2526" s="18" t="n">
        <f aca="false">'SALES Raw'!G914</f>
        <v>4422025</v>
      </c>
      <c r="B2526" s="18" t="str">
        <f aca="false">'SALES Raw'!B914</f>
        <v>806CB-GR</v>
      </c>
      <c r="C2526" s="18" t="str">
        <f aca="false">'SALES Raw'!H914</f>
        <v>806CB-GREEN      תחבושת א.נצמ</v>
      </c>
      <c r="D2526" s="19" t="n">
        <f aca="false">'SALES Raw'!C914</f>
        <v>0</v>
      </c>
      <c r="E2526" s="19" t="n">
        <f aca="false">'SALES Raw'!D914</f>
        <v>30.64</v>
      </c>
      <c r="F2526" s="19" t="n">
        <f aca="false">'SALES Raw'!E914*$H$4</f>
        <v>7.57894736842105</v>
      </c>
      <c r="G2526" s="19" t="n">
        <f aca="false">'SALES Raw'!F914*$H$4</f>
        <v>87.5621052631579</v>
      </c>
      <c r="H2526" s="18" t="str">
        <f aca="false">'SALES Raw'!A914</f>
        <v>102 - Orthopedic institutes</v>
      </c>
    </row>
    <row r="2527" customFormat="false" ht="15" hidden="false" customHeight="false" outlineLevel="0" collapsed="false">
      <c r="A2527" s="18" t="n">
        <f aca="false">'SALES Raw'!G915</f>
        <v>4422026</v>
      </c>
      <c r="B2527" s="18" t="str">
        <f aca="false">'SALES Raw'!B915</f>
        <v>806CB-P</v>
      </c>
      <c r="C2527" s="18" t="str">
        <f aca="false">'SALES Raw'!H915</f>
        <v>806CB-PINK       תחבושת א.נצמ</v>
      </c>
      <c r="D2527" s="19" t="n">
        <f aca="false">'SALES Raw'!C915</f>
        <v>0</v>
      </c>
      <c r="E2527" s="19" t="n">
        <f aca="false">'SALES Raw'!D915</f>
        <v>30.64</v>
      </c>
      <c r="F2527" s="19" t="n">
        <f aca="false">'SALES Raw'!E915*$H$4</f>
        <v>7.57894736842105</v>
      </c>
      <c r="G2527" s="19" t="n">
        <f aca="false">'SALES Raw'!F915*$H$4</f>
        <v>87.5621052631579</v>
      </c>
      <c r="H2527" s="18" t="str">
        <f aca="false">'SALES Raw'!A915</f>
        <v>102 - Orthopedic institutes</v>
      </c>
    </row>
    <row r="2528" customFormat="false" ht="15" hidden="false" customHeight="false" outlineLevel="0" collapsed="false">
      <c r="A2528" s="18" t="str">
        <f aca="false">'SALES Raw'!G916</f>
        <v/>
      </c>
      <c r="B2528" s="18" t="str">
        <f aca="false">'SALES Raw'!B916</f>
        <v>808KTP-BL</v>
      </c>
      <c r="C2528" s="18" t="str">
        <f aca="false">'SALES Raw'!H916</f>
        <v>808KTP-BL</v>
      </c>
      <c r="D2528" s="19" t="n">
        <f aca="false">'SALES Raw'!C916</f>
        <v>3</v>
      </c>
      <c r="E2528" s="19" t="n">
        <f aca="false">'SALES Raw'!D916</f>
        <v>90</v>
      </c>
      <c r="F2528" s="19" t="n">
        <f aca="false">'SALES Raw'!E916*$H$4</f>
        <v>7.57894736842105</v>
      </c>
      <c r="G2528" s="19" t="n">
        <f aca="false">'SALES Raw'!F916*$H$4</f>
        <v>227.368421052632</v>
      </c>
      <c r="H2528" s="18" t="str">
        <f aca="false">'SALES Raw'!A916</f>
        <v>102 - Orthopedic institutes</v>
      </c>
    </row>
    <row r="2529" customFormat="false" ht="15" hidden="false" customHeight="false" outlineLevel="0" collapsed="false">
      <c r="A2529" s="18" t="str">
        <f aca="false">'SALES Raw'!G917</f>
        <v/>
      </c>
      <c r="B2529" s="18" t="str">
        <f aca="false">'SALES Raw'!B917</f>
        <v>808KTP-P</v>
      </c>
      <c r="C2529" s="18" t="str">
        <f aca="false">'SALES Raw'!H917</f>
        <v>808KTP-P</v>
      </c>
      <c r="D2529" s="19" t="n">
        <f aca="false">'SALES Raw'!C917</f>
        <v>0</v>
      </c>
      <c r="E2529" s="19" t="n">
        <f aca="false">'SALES Raw'!D917</f>
        <v>0</v>
      </c>
      <c r="F2529" s="19" t="n">
        <f aca="false">'SALES Raw'!E917*$H$4</f>
        <v>7.57894736842105</v>
      </c>
      <c r="G2529" s="19" t="n">
        <f aca="false">'SALES Raw'!F917*$H$4</f>
        <v>227.368421052632</v>
      </c>
      <c r="H2529" s="18" t="str">
        <f aca="false">'SALES Raw'!A917</f>
        <v>102 - Orthopedic institutes</v>
      </c>
    </row>
    <row r="2530" customFormat="false" ht="15" hidden="false" customHeight="false" outlineLevel="0" collapsed="false">
      <c r="A2530" s="18" t="n">
        <f aca="false">'SALES Raw'!G947</f>
        <v>4408232</v>
      </c>
      <c r="B2530" s="18" t="str">
        <f aca="false">'SALES Raw'!B947</f>
        <v>16 XXL</v>
      </c>
      <c r="C2530" s="18" t="str">
        <f aca="false">'SALES Raw'!H947</f>
        <v>16 XXL חגורת הריון</v>
      </c>
      <c r="D2530" s="19" t="n">
        <f aca="false">'SALES Raw'!C947</f>
        <v>5</v>
      </c>
      <c r="E2530" s="19" t="n">
        <f aca="false">'SALES Raw'!D947</f>
        <v>510.04</v>
      </c>
      <c r="F2530" s="19" t="n">
        <f aca="false">'SALES Raw'!E947*$H$4</f>
        <v>7.57894736842105</v>
      </c>
      <c r="G2530" s="19" t="n">
        <f aca="false">'SALES Raw'!F947*$H$4</f>
        <v>682.117894736842</v>
      </c>
      <c r="H2530" s="18" t="str">
        <f aca="false">'SALES Raw'!A947</f>
        <v>102 - Orthopedic institutes</v>
      </c>
    </row>
    <row r="2531" customFormat="false" ht="15" hidden="false" customHeight="false" outlineLevel="0" collapsed="false">
      <c r="A2531" s="18" t="str">
        <f aca="false">'SALES Raw'!G949</f>
        <v/>
      </c>
      <c r="B2531" s="18" t="str">
        <f aca="false">'SALES Raw'!B949</f>
        <v>18 M</v>
      </c>
      <c r="C2531" s="18" t="str">
        <f aca="false">'SALES Raw'!H949</f>
        <v>18 M</v>
      </c>
      <c r="D2531" s="19" t="n">
        <f aca="false">'SALES Raw'!C949</f>
        <v>1</v>
      </c>
      <c r="E2531" s="19" t="n">
        <f aca="false">'SALES Raw'!D949</f>
        <v>268.03</v>
      </c>
      <c r="F2531" s="19" t="n">
        <f aca="false">'SALES Raw'!E949*$H$4</f>
        <v>7.57894736842105</v>
      </c>
      <c r="G2531" s="19" t="n">
        <f aca="false">'SALES Raw'!F949*$H$4</f>
        <v>2031.18315789474</v>
      </c>
      <c r="H2531" s="18" t="str">
        <f aca="false">'SALES Raw'!A949</f>
        <v>102 - Orthopedic institutes</v>
      </c>
    </row>
    <row r="2532" customFormat="false" ht="15" hidden="false" customHeight="false" outlineLevel="0" collapsed="false">
      <c r="A2532" s="18" t="str">
        <f aca="false">'SALES Raw'!G956</f>
        <v/>
      </c>
      <c r="B2532" s="18" t="str">
        <f aca="false">'SALES Raw'!B956</f>
        <v>395W-35-38</v>
      </c>
      <c r="C2532" s="18" t="str">
        <f aca="false">'SALES Raw'!H956</f>
        <v>395W-35-38</v>
      </c>
      <c r="D2532" s="19" t="n">
        <f aca="false">'SALES Raw'!C956</f>
        <v>0</v>
      </c>
      <c r="E2532" s="19" t="n">
        <f aca="false">'SALES Raw'!D956</f>
        <v>0</v>
      </c>
      <c r="F2532" s="19" t="n">
        <f aca="false">'SALES Raw'!E956*$H$4</f>
        <v>7.57894736842105</v>
      </c>
      <c r="G2532" s="19" t="n">
        <f aca="false">'SALES Raw'!F956*$H$4</f>
        <v>215.178947368421</v>
      </c>
      <c r="H2532" s="18" t="str">
        <f aca="false">'SALES Raw'!A956</f>
        <v>102 - Orthopedic institutes</v>
      </c>
    </row>
    <row r="2533" customFormat="false" ht="15" hidden="false" customHeight="false" outlineLevel="0" collapsed="false">
      <c r="A2533" s="18" t="str">
        <f aca="false">'SALES Raw'!G978</f>
        <v/>
      </c>
      <c r="B2533" s="18" t="str">
        <f aca="false">'SALES Raw'!B978</f>
        <v>FC330Z 0</v>
      </c>
      <c r="C2533" s="18" t="str">
        <f aca="false">'SALES Raw'!H978</f>
        <v>FC330Z 0</v>
      </c>
      <c r="D2533" s="19" t="n">
        <f aca="false">'SALES Raw'!C978</f>
        <v>0</v>
      </c>
      <c r="E2533" s="19" t="n">
        <f aca="false">'SALES Raw'!D978</f>
        <v>0</v>
      </c>
      <c r="F2533" s="19" t="n">
        <f aca="false">'SALES Raw'!E978*$H$4</f>
        <v>7.57894736842105</v>
      </c>
      <c r="G2533" s="19" t="n">
        <f aca="false">'SALES Raw'!F978*$H$4</f>
        <v>209.229473684211</v>
      </c>
      <c r="H2533" s="18" t="str">
        <f aca="false">'SALES Raw'!A978</f>
        <v>102 - Orthopedic institutes</v>
      </c>
    </row>
    <row r="2534" customFormat="false" ht="15" hidden="false" customHeight="false" outlineLevel="0" collapsed="false">
      <c r="A2534" s="18" t="n">
        <f aca="false">'SALES Raw'!G1016</f>
        <v>4403035</v>
      </c>
      <c r="B2534" s="18" t="str">
        <f aca="false">'SALES Raw'!B1016</f>
        <v>ST3555-L-XL</v>
      </c>
      <c r="C2534" s="18" t="str">
        <f aca="false">'SALES Raw'!H1016</f>
        <v>ST3555L-XLגרב לילה לטיפ.בדורבן</v>
      </c>
      <c r="D2534" s="19" t="n">
        <f aca="false">'SALES Raw'!C1016</f>
        <v>16</v>
      </c>
      <c r="E2534" s="19" t="n">
        <f aca="false">'SALES Raw'!D1016</f>
        <v>970</v>
      </c>
      <c r="F2534" s="19" t="n">
        <f aca="false">'SALES Raw'!E1016*$H$4</f>
        <v>7.57894736842105</v>
      </c>
      <c r="G2534" s="19" t="n">
        <f aca="false">'SALES Raw'!F1016*$H$4</f>
        <v>492.656842105263</v>
      </c>
      <c r="H2534" s="18" t="str">
        <f aca="false">'SALES Raw'!A1016</f>
        <v>102 - Orthopedic institutes</v>
      </c>
    </row>
    <row r="2535" customFormat="false" ht="15" hidden="false" customHeight="false" outlineLevel="0" collapsed="false">
      <c r="A2535" s="18" t="n">
        <f aca="false">'SALES Raw'!G1224</f>
        <v>4413452</v>
      </c>
      <c r="B2535" s="18" t="str">
        <f aca="false">'SALES Raw'!B1224</f>
        <v>386 0</v>
      </c>
      <c r="C2535" s="18" t="str">
        <f aca="false">'SALES Raw'!H1224</f>
        <v>386  מיישר בוניון-האלוקס ולגוס</v>
      </c>
      <c r="D2535" s="19" t="n">
        <f aca="false">'SALES Raw'!C1224</f>
        <v>13</v>
      </c>
      <c r="E2535" s="19" t="n">
        <f aca="false">'SALES Raw'!D1224</f>
        <v>614.63</v>
      </c>
      <c r="F2535" s="19" t="n">
        <f aca="false">'SALES Raw'!E1224*$H$4</f>
        <v>7.57894736842105</v>
      </c>
      <c r="G2535" s="19" t="n">
        <f aca="false">'SALES Raw'!F1224*$H$4</f>
        <v>358.446315789474</v>
      </c>
      <c r="H2535" s="18" t="str">
        <f aca="false">'SALES Raw'!A1224</f>
        <v>103 - Physiotherapy institutes</v>
      </c>
    </row>
    <row r="2536" customFormat="false" ht="15" hidden="false" customHeight="false" outlineLevel="0" collapsed="false">
      <c r="A2536" s="18" t="n">
        <f aca="false">'SALES Raw'!G1242</f>
        <v>4409017</v>
      </c>
      <c r="B2536" s="18" t="str">
        <f aca="false">'SALES Raw'!B1242</f>
        <v>808KT-B</v>
      </c>
      <c r="C2536" s="18" t="str">
        <f aca="false">'SALES Raw'!H1242</f>
        <v>808KT-B        טייפ קינזיולוגי</v>
      </c>
      <c r="D2536" s="19" t="n">
        <f aca="false">'SALES Raw'!C1242</f>
        <v>31</v>
      </c>
      <c r="E2536" s="19" t="n">
        <f aca="false">'SALES Raw'!D1242</f>
        <v>880</v>
      </c>
      <c r="F2536" s="19" t="n">
        <f aca="false">'SALES Raw'!E1242*$H$4</f>
        <v>7.57894736842105</v>
      </c>
      <c r="G2536" s="19" t="n">
        <f aca="false">'SALES Raw'!F1242*$H$4</f>
        <v>221.052631578947</v>
      </c>
      <c r="H2536" s="18" t="str">
        <f aca="false">'SALES Raw'!A1242</f>
        <v>103 - Physiotherapy institutes</v>
      </c>
    </row>
    <row r="2537" customFormat="false" ht="15" hidden="false" customHeight="false" outlineLevel="0" collapsed="false">
      <c r="A2537" s="18" t="n">
        <f aca="false">'SALES Raw'!G1243</f>
        <v>4409015</v>
      </c>
      <c r="B2537" s="18" t="str">
        <f aca="false">'SALES Raw'!B1243</f>
        <v>808KT-BL</v>
      </c>
      <c r="C2537" s="18" t="str">
        <f aca="false">'SALES Raw'!H1243</f>
        <v>808KT-BL       טייפ קינזיולוגי</v>
      </c>
      <c r="D2537" s="19" t="n">
        <f aca="false">'SALES Raw'!C1243</f>
        <v>31</v>
      </c>
      <c r="E2537" s="19" t="n">
        <f aca="false">'SALES Raw'!D1243</f>
        <v>880</v>
      </c>
      <c r="F2537" s="19" t="n">
        <f aca="false">'SALES Raw'!E1243*$H$4</f>
        <v>7.57894736842105</v>
      </c>
      <c r="G2537" s="19" t="n">
        <f aca="false">'SALES Raw'!F1243*$H$4</f>
        <v>221.052631578947</v>
      </c>
      <c r="H2537" s="18" t="str">
        <f aca="false">'SALES Raw'!A1243</f>
        <v>103 - Physiotherapy institutes</v>
      </c>
    </row>
    <row r="2538" customFormat="false" ht="15" hidden="false" customHeight="false" outlineLevel="0" collapsed="false">
      <c r="A2538" s="18" t="n">
        <f aca="false">'SALES Raw'!G1277</f>
        <v>4415003</v>
      </c>
      <c r="B2538" s="18" t="str">
        <f aca="false">'SALES Raw'!B1277</f>
        <v>26 XL</v>
      </c>
      <c r="C2538" s="18" t="str">
        <f aca="false">'SALES Raw'!H1277</f>
        <v>26 XL סד ליד דו צדדי לאחר שבר</v>
      </c>
      <c r="D2538" s="19" t="n">
        <f aca="false">'SALES Raw'!C1277</f>
        <v>7</v>
      </c>
      <c r="E2538" s="19" t="n">
        <f aca="false">'SALES Raw'!D1277</f>
        <v>721.5</v>
      </c>
      <c r="F2538" s="19" t="n">
        <f aca="false">'SALES Raw'!E1277*$H$4</f>
        <v>7.57894736842105</v>
      </c>
      <c r="G2538" s="19" t="n">
        <f aca="false">'SALES Raw'!F1277*$H$4</f>
        <v>763.818947368421</v>
      </c>
      <c r="H2538" s="18" t="str">
        <f aca="false">'SALES Raw'!A1277</f>
        <v>103 - Physiotherapy institutes</v>
      </c>
    </row>
    <row r="2539" customFormat="false" ht="15" hidden="false" customHeight="false" outlineLevel="0" collapsed="false">
      <c r="A2539" s="18" t="n">
        <f aca="false">'SALES Raw'!G1312</f>
        <v>4413516</v>
      </c>
      <c r="B2539" s="18" t="str">
        <f aca="false">'SALES Raw'!B1312</f>
        <v>85B L</v>
      </c>
      <c r="C2539" s="18" t="str">
        <f aca="false">'SALES Raw'!H1312</f>
        <v>85B L מתלה רשת לזרוע שחור</v>
      </c>
      <c r="D2539" s="19" t="n">
        <f aca="false">'SALES Raw'!C1312</f>
        <v>3</v>
      </c>
      <c r="E2539" s="19" t="n">
        <f aca="false">'SALES Raw'!D1312</f>
        <v>141.6</v>
      </c>
      <c r="F2539" s="19" t="n">
        <f aca="false">'SALES Raw'!E1312*$H$4</f>
        <v>7.57894736842105</v>
      </c>
      <c r="G2539" s="19" t="n">
        <f aca="false">'SALES Raw'!F1312*$H$4</f>
        <v>429.498947368421</v>
      </c>
      <c r="H2539" s="18" t="str">
        <f aca="false">'SALES Raw'!A1312</f>
        <v>103 - Physiotherapy institutes</v>
      </c>
    </row>
    <row r="2540" customFormat="false" ht="15" hidden="false" customHeight="false" outlineLevel="0" collapsed="false">
      <c r="A2540" s="18" t="n">
        <f aca="false">'SALES Raw'!G1352</f>
        <v>4421006</v>
      </c>
      <c r="B2540" s="18" t="str">
        <f aca="false">'SALES Raw'!B1352</f>
        <v>251 0</v>
      </c>
      <c r="C2540" s="18" t="str">
        <f aca="false">'SALES Raw'!H1352</f>
        <v>שרוול לגבס ארוך יד</v>
      </c>
      <c r="D2540" s="19" t="n">
        <f aca="false">'SALES Raw'!C1352</f>
        <v>4</v>
      </c>
      <c r="E2540" s="19" t="n">
        <f aca="false">'SALES Raw'!D1352</f>
        <v>157.3</v>
      </c>
      <c r="F2540" s="19" t="n">
        <f aca="false">'SALES Raw'!E1352*$H$4</f>
        <v>7.57894736842105</v>
      </c>
      <c r="G2540" s="19" t="n">
        <f aca="false">'SALES Raw'!F1352*$H$4</f>
        <v>276.757894736842</v>
      </c>
      <c r="H2540" s="18" t="str">
        <f aca="false">'SALES Raw'!A1352</f>
        <v>103 - Physiotherapy institutes</v>
      </c>
    </row>
    <row r="2541" customFormat="false" ht="15" hidden="false" customHeight="false" outlineLevel="0" collapsed="false">
      <c r="A2541" s="18" t="n">
        <f aca="false">'SALES Raw'!G1354</f>
        <v>4415001</v>
      </c>
      <c r="B2541" s="18" t="str">
        <f aca="false">'SALES Raw'!B1354</f>
        <v>26 M</v>
      </c>
      <c r="C2541" s="18" t="str">
        <f aca="false">'SALES Raw'!H1354</f>
        <v>26 M סד ליד דו צדדי לאחר שבר</v>
      </c>
      <c r="D2541" s="19" t="n">
        <f aca="false">'SALES Raw'!C1354</f>
        <v>3</v>
      </c>
      <c r="E2541" s="19" t="n">
        <f aca="false">'SALES Raw'!D1354</f>
        <v>309.21</v>
      </c>
      <c r="F2541" s="19" t="n">
        <f aca="false">'SALES Raw'!E1354*$H$4</f>
        <v>7.57894736842105</v>
      </c>
      <c r="G2541" s="19" t="n">
        <f aca="false">'SALES Raw'!F1354*$H$4</f>
        <v>763.806315789474</v>
      </c>
      <c r="H2541" s="18" t="str">
        <f aca="false">'SALES Raw'!A1354</f>
        <v>103 - Physiotherapy institutes</v>
      </c>
    </row>
    <row r="2542" customFormat="false" ht="15" hidden="false" customHeight="false" outlineLevel="0" collapsed="false">
      <c r="A2542" s="18" t="n">
        <f aca="false">'SALES Raw'!G1405</f>
        <v>4420027</v>
      </c>
      <c r="B2542" s="18" t="str">
        <f aca="false">'SALES Raw'!B1405</f>
        <v>370K 0</v>
      </c>
      <c r="C2542" s="18" t="str">
        <f aca="false">'SALES Raw'!H1405</f>
        <v>370K 0 רפידת לילדים אנטי ריח</v>
      </c>
      <c r="D2542" s="19" t="n">
        <f aca="false">'SALES Raw'!C1405</f>
        <v>0</v>
      </c>
      <c r="E2542" s="19" t="n">
        <f aca="false">'SALES Raw'!D1405</f>
        <v>0</v>
      </c>
      <c r="F2542" s="19" t="n">
        <f aca="false">'SALES Raw'!E1405*$H$4</f>
        <v>7.57894736842105</v>
      </c>
      <c r="G2542" s="19" t="n">
        <f aca="false">'SALES Raw'!F1405*$H$4</f>
        <v>85.92</v>
      </c>
      <c r="H2542" s="18" t="str">
        <f aca="false">'SALES Raw'!A1405</f>
        <v>103 - Physiotherapy institutes</v>
      </c>
    </row>
    <row r="2543" customFormat="false" ht="15" hidden="false" customHeight="false" outlineLevel="0" collapsed="false">
      <c r="A2543" s="18" t="n">
        <f aca="false">'SALES Raw'!G1426</f>
        <v>4413517</v>
      </c>
      <c r="B2543" s="18" t="str">
        <f aca="false">'SALES Raw'!B1426</f>
        <v>85B M</v>
      </c>
      <c r="C2543" s="18" t="str">
        <f aca="false">'SALES Raw'!H1426</f>
        <v>85B M מתלה רשת לזרוע שחור</v>
      </c>
      <c r="D2543" s="19" t="n">
        <f aca="false">'SALES Raw'!C1426</f>
        <v>7</v>
      </c>
      <c r="E2543" s="19" t="n">
        <f aca="false">'SALES Raw'!D1426</f>
        <v>368.27</v>
      </c>
      <c r="F2543" s="19" t="n">
        <f aca="false">'SALES Raw'!E1426*$H$4</f>
        <v>7.57894736842105</v>
      </c>
      <c r="G2543" s="19" t="n">
        <f aca="false">'SALES Raw'!F1426*$H$4</f>
        <v>429.498947368421</v>
      </c>
      <c r="H2543" s="18" t="str">
        <f aca="false">'SALES Raw'!A1426</f>
        <v>103 - Physiotherapy institutes</v>
      </c>
    </row>
    <row r="2544" customFormat="false" ht="15" hidden="false" customHeight="false" outlineLevel="0" collapsed="false">
      <c r="A2544" s="18" t="n">
        <f aca="false">'SALES Raw'!G1431</f>
        <v>4413500</v>
      </c>
      <c r="B2544" s="18" t="str">
        <f aca="false">'SALES Raw'!B1431</f>
        <v>95B L</v>
      </c>
      <c r="C2544" s="18" t="str">
        <f aca="false">'SALES Raw'!H1431</f>
        <v>95B L מגן מרפק שחור</v>
      </c>
      <c r="D2544" s="19" t="n">
        <f aca="false">'SALES Raw'!C1431</f>
        <v>4</v>
      </c>
      <c r="E2544" s="19" t="n">
        <f aca="false">'SALES Raw'!D1431</f>
        <v>107.55</v>
      </c>
      <c r="F2544" s="19" t="n">
        <f aca="false">'SALES Raw'!E1431*$H$4</f>
        <v>7.57894736842105</v>
      </c>
      <c r="G2544" s="19" t="n">
        <f aca="false">'SALES Raw'!F1431*$H$4</f>
        <v>234.126315789474</v>
      </c>
      <c r="H2544" s="18" t="str">
        <f aca="false">'SALES Raw'!A1431</f>
        <v>103 - Physiotherapy institutes</v>
      </c>
    </row>
    <row r="2545" customFormat="false" ht="15" hidden="false" customHeight="false" outlineLevel="0" collapsed="false">
      <c r="A2545" s="18" t="n">
        <f aca="false">'SALES Raw'!G1432</f>
        <v>4413501</v>
      </c>
      <c r="B2545" s="18" t="str">
        <f aca="false">'SALES Raw'!B1432</f>
        <v>95B M</v>
      </c>
      <c r="C2545" s="18" t="str">
        <f aca="false">'SALES Raw'!H1432</f>
        <v>95B M מגן מרפק שחור</v>
      </c>
      <c r="D2545" s="19" t="n">
        <f aca="false">'SALES Raw'!C1432</f>
        <v>6</v>
      </c>
      <c r="E2545" s="19" t="n">
        <f aca="false">'SALES Raw'!D1432</f>
        <v>169.33</v>
      </c>
      <c r="F2545" s="19" t="n">
        <f aca="false">'SALES Raw'!E1432*$H$4</f>
        <v>7.57894736842105</v>
      </c>
      <c r="G2545" s="19" t="n">
        <f aca="false">'SALES Raw'!F1432*$H$4</f>
        <v>234.126315789474</v>
      </c>
      <c r="H2545" s="18" t="str">
        <f aca="false">'SALES Raw'!A1432</f>
        <v>103 - Physiotherapy institutes</v>
      </c>
    </row>
    <row r="2546" customFormat="false" ht="15" hidden="false" customHeight="false" outlineLevel="0" collapsed="false">
      <c r="A2546" s="18" t="n">
        <f aca="false">'SALES Raw'!G1438</f>
        <v>4422035</v>
      </c>
      <c r="B2546" s="18" t="str">
        <f aca="false">'SALES Raw'!B1438</f>
        <v>FC333 0</v>
      </c>
      <c r="C2546" s="18" t="str">
        <f aca="false">'SALES Raw'!H1438</f>
        <v>FCתרסיס דאודורנט אנטיבק.נעל333</v>
      </c>
      <c r="D2546" s="19" t="n">
        <f aca="false">'SALES Raw'!C1438</f>
        <v>12</v>
      </c>
      <c r="E2546" s="19" t="n">
        <f aca="false">'SALES Raw'!D1438</f>
        <v>186.5</v>
      </c>
      <c r="F2546" s="19" t="n">
        <f aca="false">'SALES Raw'!E1438*$H$4</f>
        <v>7.57894736842105</v>
      </c>
      <c r="G2546" s="19" t="n">
        <f aca="false">'SALES Raw'!F1438*$H$4</f>
        <v>163.086315789474</v>
      </c>
      <c r="H2546" s="18" t="str">
        <f aca="false">'SALES Raw'!A1438</f>
        <v>103 - Physiotherapy institutes</v>
      </c>
    </row>
    <row r="2547" customFormat="false" ht="15" hidden="false" customHeight="false" outlineLevel="0" collapsed="false">
      <c r="A2547" s="18" t="n">
        <f aca="false">'SALES Raw'!G1487</f>
        <v>4413161</v>
      </c>
      <c r="B2547" s="18" t="str">
        <f aca="false">'SALES Raw'!B1487</f>
        <v>34+ L</v>
      </c>
      <c r="C2547" s="18" t="str">
        <f aca="false">'SALES Raw'!H1487</f>
        <v>34+ L מגן קרסול עקב סגור+רצוע</v>
      </c>
      <c r="D2547" s="19" t="n">
        <f aca="false">'SALES Raw'!C1487</f>
        <v>9</v>
      </c>
      <c r="E2547" s="19" t="n">
        <f aca="false">'SALES Raw'!D1487</f>
        <v>570.39</v>
      </c>
      <c r="F2547" s="19" t="n">
        <f aca="false">'SALES Raw'!E1487*$H$4</f>
        <v>7.57894736842105</v>
      </c>
      <c r="G2547" s="19" t="n">
        <f aca="false">'SALES Raw'!F1487*$H$4</f>
        <v>532.496842105263</v>
      </c>
      <c r="H2547" s="18" t="str">
        <f aca="false">'SALES Raw'!A1487</f>
        <v>103 - Physiotherapy institutes</v>
      </c>
    </row>
    <row r="2548" customFormat="false" ht="15" hidden="false" customHeight="false" outlineLevel="0" collapsed="false">
      <c r="A2548" s="18" t="n">
        <f aca="false">'SALES Raw'!G1489</f>
        <v>4413162</v>
      </c>
      <c r="B2548" s="18" t="str">
        <f aca="false">'SALES Raw'!B1489</f>
        <v>34+ XL</v>
      </c>
      <c r="C2548" s="18" t="str">
        <f aca="false">'SALES Raw'!H1489</f>
        <v>34+XL מגן קרסול עקב סגור+רצוע</v>
      </c>
      <c r="D2548" s="19" t="n">
        <f aca="false">'SALES Raw'!C1489</f>
        <v>6</v>
      </c>
      <c r="E2548" s="19" t="n">
        <f aca="false">'SALES Raw'!D1489</f>
        <v>377.31</v>
      </c>
      <c r="F2548" s="19" t="n">
        <f aca="false">'SALES Raw'!E1489*$H$4</f>
        <v>7.57894736842105</v>
      </c>
      <c r="G2548" s="19" t="n">
        <f aca="false">'SALES Raw'!F1489*$H$4</f>
        <v>532.496842105263</v>
      </c>
      <c r="H2548" s="18" t="str">
        <f aca="false">'SALES Raw'!A1489</f>
        <v>103 - Physiotherapy institutes</v>
      </c>
    </row>
    <row r="2549" customFormat="false" ht="15" hidden="false" customHeight="false" outlineLevel="0" collapsed="false">
      <c r="A2549" s="18" t="n">
        <f aca="false">'SALES Raw'!G1630</f>
        <v>4409017</v>
      </c>
      <c r="B2549" s="18" t="str">
        <f aca="false">'SALES Raw'!B1630</f>
        <v>808KT-B</v>
      </c>
      <c r="C2549" s="18" t="str">
        <f aca="false">'SALES Raw'!H1630</f>
        <v>808KT-B        טייפ קינזיולוגי</v>
      </c>
      <c r="D2549" s="19" t="n">
        <f aca="false">'SALES Raw'!C1630</f>
        <v>0</v>
      </c>
      <c r="E2549" s="19" t="n">
        <f aca="false">'SALES Raw'!D1630</f>
        <v>0</v>
      </c>
      <c r="F2549" s="19" t="n">
        <f aca="false">'SALES Raw'!E1630*$H$4</f>
        <v>7.57894736842105</v>
      </c>
      <c r="G2549" s="19" t="n">
        <f aca="false">'SALES Raw'!F1630*$H$4</f>
        <v>227.368421052632</v>
      </c>
      <c r="H2549" s="18" t="str">
        <f aca="false">'SALES Raw'!A1630</f>
        <v>104 - Sports Shop</v>
      </c>
    </row>
    <row r="2550" customFormat="false" ht="15" hidden="false" customHeight="false" outlineLevel="0" collapsed="false">
      <c r="A2550" s="18" t="n">
        <f aca="false">'SALES Raw'!G1631</f>
        <v>4409015</v>
      </c>
      <c r="B2550" s="18" t="str">
        <f aca="false">'SALES Raw'!B1631</f>
        <v>808KT-BL</v>
      </c>
      <c r="C2550" s="18" t="str">
        <f aca="false">'SALES Raw'!H1631</f>
        <v>808KT-BL       טייפ קינזיולוגי</v>
      </c>
      <c r="D2550" s="19" t="n">
        <f aca="false">'SALES Raw'!C1631</f>
        <v>0</v>
      </c>
      <c r="E2550" s="19" t="n">
        <f aca="false">'SALES Raw'!D1631</f>
        <v>0</v>
      </c>
      <c r="F2550" s="19" t="n">
        <f aca="false">'SALES Raw'!E1631*$H$4</f>
        <v>7.57894736842105</v>
      </c>
      <c r="G2550" s="19" t="n">
        <f aca="false">'SALES Raw'!F1631*$H$4</f>
        <v>227.368421052632</v>
      </c>
      <c r="H2550" s="18" t="str">
        <f aca="false">'SALES Raw'!A1631</f>
        <v>104 - Sports Shop</v>
      </c>
    </row>
    <row r="2551" customFormat="false" ht="15" hidden="false" customHeight="false" outlineLevel="0" collapsed="false">
      <c r="A2551" s="18" t="n">
        <f aca="false">'SALES Raw'!G1632</f>
        <v>4409016</v>
      </c>
      <c r="B2551" s="18" t="str">
        <f aca="false">'SALES Raw'!B1632</f>
        <v>808KT-C</v>
      </c>
      <c r="C2551" s="18" t="str">
        <f aca="false">'SALES Raw'!H1632</f>
        <v>808KT-C        טייפ קינזיולוגי</v>
      </c>
      <c r="D2551" s="19" t="n">
        <f aca="false">'SALES Raw'!C1632</f>
        <v>0</v>
      </c>
      <c r="E2551" s="19" t="n">
        <f aca="false">'SALES Raw'!D1632</f>
        <v>0</v>
      </c>
      <c r="F2551" s="19" t="n">
        <f aca="false">'SALES Raw'!E1632*$H$4</f>
        <v>7.57894736842105</v>
      </c>
      <c r="G2551" s="19" t="n">
        <f aca="false">'SALES Raw'!F1632*$H$4</f>
        <v>227.368421052632</v>
      </c>
      <c r="H2551" s="18" t="str">
        <f aca="false">'SALES Raw'!A1632</f>
        <v>104 - Sports Shop</v>
      </c>
    </row>
    <row r="2552" customFormat="false" ht="15" hidden="false" customHeight="false" outlineLevel="0" collapsed="false">
      <c r="A2552" s="18" t="n">
        <f aca="false">'SALES Raw'!G1633</f>
        <v>4409014</v>
      </c>
      <c r="B2552" s="18" t="str">
        <f aca="false">'SALES Raw'!B1633</f>
        <v>808KT-P</v>
      </c>
      <c r="C2552" s="18" t="str">
        <f aca="false">'SALES Raw'!H1633</f>
        <v>808KT-P        טייפ קינזיולוגי</v>
      </c>
      <c r="D2552" s="19" t="n">
        <f aca="false">'SALES Raw'!C1633</f>
        <v>0</v>
      </c>
      <c r="E2552" s="19" t="n">
        <f aca="false">'SALES Raw'!D1633</f>
        <v>0</v>
      </c>
      <c r="F2552" s="19" t="n">
        <f aca="false">'SALES Raw'!E1633*$H$4</f>
        <v>7.57894736842105</v>
      </c>
      <c r="G2552" s="19" t="n">
        <f aca="false">'SALES Raw'!F1633*$H$4</f>
        <v>227.368421052632</v>
      </c>
      <c r="H2552" s="18" t="str">
        <f aca="false">'SALES Raw'!A1633</f>
        <v>104 - Sports Shop</v>
      </c>
    </row>
    <row r="2553" customFormat="false" ht="15" hidden="false" customHeight="false" outlineLevel="0" collapsed="false">
      <c r="A2553" s="18" t="n">
        <f aca="false">'SALES Raw'!G1643</f>
        <v>4413018</v>
      </c>
      <c r="B2553" s="18" t="str">
        <f aca="false">'SALES Raw'!B1643</f>
        <v>303-37-38</v>
      </c>
      <c r="C2553" s="18" t="str">
        <f aca="false">'SALES Raw'!H1643</f>
        <v>303 37-38 מדרסי סיליק.לח.סכרת</v>
      </c>
      <c r="D2553" s="19" t="n">
        <f aca="false">'SALES Raw'!C1643</f>
        <v>0</v>
      </c>
      <c r="E2553" s="19" t="n">
        <f aca="false">'SALES Raw'!D1643</f>
        <v>0</v>
      </c>
      <c r="F2553" s="19" t="n">
        <f aca="false">'SALES Raw'!E1643*$H$4</f>
        <v>7.57894736842105</v>
      </c>
      <c r="G2553" s="19" t="n">
        <f aca="false">'SALES Raw'!F1643*$H$4</f>
        <v>645.12</v>
      </c>
      <c r="H2553" s="18" t="str">
        <f aca="false">'SALES Raw'!A1643</f>
        <v>105 - Pedicure Salons</v>
      </c>
    </row>
    <row r="2554" customFormat="false" ht="15" hidden="false" customHeight="false" outlineLevel="0" collapsed="false">
      <c r="A2554" s="18" t="n">
        <f aca="false">'SALES Raw'!G1654</f>
        <v>4411001</v>
      </c>
      <c r="B2554" s="18" t="str">
        <f aca="false">'SALES Raw'!B1654</f>
        <v>3623 0</v>
      </c>
      <c r="C2554" s="18" t="str">
        <f aca="false">'SALES Raw'!H1654</f>
        <v>3623 כרית ליישור אצבע פטיש</v>
      </c>
      <c r="D2554" s="19" t="n">
        <f aca="false">'SALES Raw'!C1654</f>
        <v>0</v>
      </c>
      <c r="E2554" s="19" t="n">
        <f aca="false">'SALES Raw'!D1654</f>
        <v>0</v>
      </c>
      <c r="F2554" s="19" t="n">
        <f aca="false">'SALES Raw'!E1654*$H$4</f>
        <v>7.57894736842105</v>
      </c>
      <c r="G2554" s="19" t="n">
        <f aca="false">'SALES Raw'!F1654*$H$4</f>
        <v>230.778947368421</v>
      </c>
      <c r="H2554" s="18" t="str">
        <f aca="false">'SALES Raw'!A1654</f>
        <v>105 - Pedicure Salons</v>
      </c>
    </row>
    <row r="2555" customFormat="false" ht="15" hidden="false" customHeight="false" outlineLevel="0" collapsed="false">
      <c r="A2555" s="18" t="n">
        <f aca="false">'SALES Raw'!G1660</f>
        <v>4413307</v>
      </c>
      <c r="B2555" s="18" t="str">
        <f aca="false">'SALES Raw'!B1660</f>
        <v>3667 0</v>
      </c>
      <c r="C2555" s="18" t="str">
        <f aca="false">'SALES Raw'!H1660</f>
        <v>URI 3667 מגן בוניון</v>
      </c>
      <c r="D2555" s="19" t="n">
        <f aca="false">'SALES Raw'!C1660</f>
        <v>4</v>
      </c>
      <c r="E2555" s="19" t="n">
        <f aca="false">'SALES Raw'!D1660</f>
        <v>135.81</v>
      </c>
      <c r="F2555" s="19" t="n">
        <f aca="false">'SALES Raw'!E1660*$H$4</f>
        <v>7.57894736842105</v>
      </c>
      <c r="G2555" s="19" t="n">
        <f aca="false">'SALES Raw'!F1660*$H$4</f>
        <v>298.016842105263</v>
      </c>
      <c r="H2555" s="18" t="str">
        <f aca="false">'SALES Raw'!A1660</f>
        <v>105 - Pedicure Salons</v>
      </c>
    </row>
    <row r="2556" customFormat="false" ht="15" hidden="false" customHeight="false" outlineLevel="0" collapsed="false">
      <c r="A2556" s="18" t="n">
        <f aca="false">'SALES Raw'!G1814</f>
        <v>4413495</v>
      </c>
      <c r="B2556" s="18" t="str">
        <f aca="false">'SALES Raw'!B1814</f>
        <v>45B L</v>
      </c>
      <c r="C2556" s="18" t="str">
        <f aca="false">'SALES Raw'!H1814</f>
        <v>45B L מגן ברך שחור</v>
      </c>
      <c r="D2556" s="19" t="n">
        <f aca="false">'SALES Raw'!C1814</f>
        <v>2</v>
      </c>
      <c r="E2556" s="19" t="n">
        <f aca="false">'SALES Raw'!D1814</f>
        <v>61.78</v>
      </c>
      <c r="F2556" s="19" t="n">
        <f aca="false">'SALES Raw'!E1814*$H$4</f>
        <v>7.57894736842105</v>
      </c>
      <c r="G2556" s="19" t="n">
        <f aca="false">'SALES Raw'!F1814*$H$4</f>
        <v>234.126315789474</v>
      </c>
      <c r="H2556" s="18" t="str">
        <f aca="false">'SALES Raw'!A1814</f>
        <v>109 - Private Shops</v>
      </c>
    </row>
    <row r="2557" customFormat="false" ht="15" hidden="false" customHeight="false" outlineLevel="0" collapsed="false">
      <c r="A2557" s="18" t="n">
        <f aca="false">'SALES Raw'!G1822</f>
        <v>4408266</v>
      </c>
      <c r="B2557" s="18" t="str">
        <f aca="false">'SALES Raw'!B1822</f>
        <v>91B 0</v>
      </c>
      <c r="C2557" s="18" t="str">
        <f aca="false">'SALES Raw'!H1822</f>
        <v>91B חבק טניס אלבו</v>
      </c>
      <c r="D2557" s="19" t="n">
        <f aca="false">'SALES Raw'!C1822</f>
        <v>3</v>
      </c>
      <c r="E2557" s="19" t="n">
        <f aca="false">'SALES Raw'!D1822</f>
        <v>252.97</v>
      </c>
      <c r="F2557" s="19" t="n">
        <f aca="false">'SALES Raw'!E1822*$H$4</f>
        <v>7.57894736842105</v>
      </c>
      <c r="G2557" s="19" t="n">
        <f aca="false">'SALES Raw'!F1822*$H$4</f>
        <v>565.856842105263</v>
      </c>
      <c r="H2557" s="18" t="str">
        <f aca="false">'SALES Raw'!A1822</f>
        <v>109 - Private Shops</v>
      </c>
    </row>
    <row r="2558" customFormat="false" ht="15" hidden="false" customHeight="false" outlineLevel="0" collapsed="false">
      <c r="A2558" s="18" t="n">
        <f aca="false">'SALES Raw'!G1826</f>
        <v>4408205</v>
      </c>
      <c r="B2558" s="18" t="str">
        <f aca="false">'SALES Raw'!B1826</f>
        <v>AC07 0</v>
      </c>
      <c r="C2558" s="18" t="str">
        <f aca="false">'SALES Raw'!H1826</f>
        <v>AC-07 חגורת גב עם תמיכות</v>
      </c>
      <c r="D2558" s="19" t="n">
        <f aca="false">'SALES Raw'!C1826</f>
        <v>0</v>
      </c>
      <c r="E2558" s="19" t="n">
        <f aca="false">'SALES Raw'!D1826</f>
        <v>0</v>
      </c>
      <c r="F2558" s="19" t="n">
        <f aca="false">'SALES Raw'!E1826*$H$4</f>
        <v>7.57894736842105</v>
      </c>
      <c r="G2558" s="19" t="n">
        <f aca="false">'SALES Raw'!F1826*$H$4</f>
        <v>710.273684210526</v>
      </c>
      <c r="H2558" s="18" t="str">
        <f aca="false">'SALES Raw'!A1826</f>
        <v>109 - Private Shops</v>
      </c>
    </row>
    <row r="2559" customFormat="false" ht="15" hidden="false" customHeight="false" outlineLevel="0" collapsed="false">
      <c r="A2559" s="18" t="n">
        <f aca="false">'SALES Raw'!G1966</f>
        <v>4403043</v>
      </c>
      <c r="B2559" s="18" t="str">
        <f aca="false">'SALES Raw'!B1966</f>
        <v>397A-43-46</v>
      </c>
      <c r="C2559" s="18" t="str">
        <f aca="false">'SALES Raw'!H1966</f>
        <v>397A-גרבי טיסה אנטי בקטרי43-46</v>
      </c>
      <c r="D2559" s="19" t="n">
        <f aca="false">'SALES Raw'!C1966</f>
        <v>0</v>
      </c>
      <c r="E2559" s="19" t="n">
        <f aca="false">'SALES Raw'!D1966</f>
        <v>0</v>
      </c>
      <c r="F2559" s="19" t="n">
        <f aca="false">'SALES Raw'!E1966*$H$4</f>
        <v>7.57894736842105</v>
      </c>
      <c r="G2559" s="19" t="n">
        <f aca="false">'SALES Raw'!F1966*$H$4</f>
        <v>415.326315789474</v>
      </c>
      <c r="H2559" s="18" t="str">
        <f aca="false">'SALES Raw'!A1966</f>
        <v>109 - Private Shops</v>
      </c>
    </row>
    <row r="2560" customFormat="false" ht="15" hidden="false" customHeight="false" outlineLevel="0" collapsed="false">
      <c r="A2560" s="18" t="n">
        <f aca="false">'SALES Raw'!G1969</f>
        <v>4408190</v>
      </c>
      <c r="B2560" s="18" t="str">
        <f aca="false">'SALES Raw'!B1969</f>
        <v>078 M</v>
      </c>
      <c r="C2560" s="18" t="str">
        <f aca="false">'SALES Raw'!H1969</f>
        <v>M078 חגורת גב +סגירה כפולה</v>
      </c>
      <c r="D2560" s="19" t="n">
        <f aca="false">'SALES Raw'!C1969</f>
        <v>11</v>
      </c>
      <c r="E2560" s="19" t="n">
        <f aca="false">'SALES Raw'!D1969</f>
        <v>1246.35</v>
      </c>
      <c r="F2560" s="19" t="n">
        <f aca="false">'SALES Raw'!E1969*$H$4</f>
        <v>7.57894736842105</v>
      </c>
      <c r="G2560" s="19" t="n">
        <f aca="false">'SALES Raw'!F1969*$H$4</f>
        <v>1100.08421052632</v>
      </c>
      <c r="H2560" s="18" t="str">
        <f aca="false">'SALES Raw'!A1969</f>
        <v>109 - Private Shops</v>
      </c>
    </row>
    <row r="2561" customFormat="false" ht="15" hidden="false" customHeight="false" outlineLevel="0" collapsed="false">
      <c r="A2561" s="18" t="n">
        <f aca="false">'SALES Raw'!G2058</f>
        <v>4408120</v>
      </c>
      <c r="B2561" s="18" t="str">
        <f aca="false">'SALES Raw'!B2058</f>
        <v>06U XL</v>
      </c>
      <c r="C2561" s="18" t="str">
        <f aca="false">'SALES Raw'!H2058</f>
        <v>06U XL ח.בטן מותנית צר</v>
      </c>
      <c r="D2561" s="19" t="n">
        <f aca="false">'SALES Raw'!C2058</f>
        <v>5</v>
      </c>
      <c r="E2561" s="19" t="n">
        <f aca="false">'SALES Raw'!D2058</f>
        <v>1256.35</v>
      </c>
      <c r="F2561" s="19" t="n">
        <f aca="false">'SALES Raw'!E2058*$H$4</f>
        <v>7.57894736842105</v>
      </c>
      <c r="G2561" s="19" t="n">
        <f aca="false">'SALES Raw'!F2058*$H$4</f>
        <v>1861.98315789474</v>
      </c>
      <c r="H2561" s="18" t="str">
        <f aca="false">'SALES Raw'!A2058</f>
        <v>114 - IL online</v>
      </c>
    </row>
    <row r="2562" customFormat="false" ht="15" hidden="false" customHeight="false" outlineLevel="0" collapsed="false">
      <c r="A2562" s="18" t="n">
        <f aca="false">'SALES Raw'!G2073</f>
        <v>4408223</v>
      </c>
      <c r="B2562" s="18" t="str">
        <f aca="false">'SALES Raw'!B2073</f>
        <v>078G XXL</v>
      </c>
      <c r="C2562" s="18" t="str">
        <f aca="false">'SALES Raw'!H2073</f>
        <v>078G-XXLחגורת גב אפורה</v>
      </c>
      <c r="D2562" s="19" t="n">
        <f aca="false">'SALES Raw'!C2073</f>
        <v>14</v>
      </c>
      <c r="E2562" s="19" t="n">
        <f aca="false">'SALES Raw'!D2073</f>
        <v>2824.88</v>
      </c>
      <c r="F2562" s="19" t="n">
        <f aca="false">'SALES Raw'!E2073*$H$4</f>
        <v>7.57894736842105</v>
      </c>
      <c r="G2562" s="19" t="n">
        <f aca="false">'SALES Raw'!F2073*$H$4</f>
        <v>1524.80842105263</v>
      </c>
      <c r="H2562" s="18" t="str">
        <f aca="false">'SALES Raw'!A2073</f>
        <v>114 - IL online</v>
      </c>
    </row>
    <row r="2563" customFormat="false" ht="15" hidden="false" customHeight="false" outlineLevel="0" collapsed="false">
      <c r="A2563" s="18" t="n">
        <f aca="false">'SALES Raw'!G2091</f>
        <v>4408032</v>
      </c>
      <c r="B2563" s="18" t="str">
        <f aca="false">'SALES Raw'!B2091</f>
        <v>11 L</v>
      </c>
      <c r="C2563" s="18" t="str">
        <f aca="false">'SALES Raw'!H2091</f>
        <v>11 L""""חגורת בטן""""אורירית</v>
      </c>
      <c r="D2563" s="19" t="n">
        <f aca="false">'SALES Raw'!C2091</f>
        <v>5</v>
      </c>
      <c r="E2563" s="19" t="n">
        <f aca="false">'SALES Raw'!D2091</f>
        <v>974.15</v>
      </c>
      <c r="F2563" s="19" t="n">
        <f aca="false">'SALES Raw'!E2091*$H$4</f>
        <v>7.57894736842105</v>
      </c>
      <c r="G2563" s="19" t="n">
        <f aca="false">'SALES Raw'!F2091*$H$4</f>
        <v>1452</v>
      </c>
      <c r="H2563" s="18" t="str">
        <f aca="false">'SALES Raw'!A2091</f>
        <v>114 - IL online</v>
      </c>
    </row>
    <row r="2564" customFormat="false" ht="15" hidden="false" customHeight="false" outlineLevel="0" collapsed="false">
      <c r="A2564" s="18" t="str">
        <f aca="false">'SALES Raw'!G2129</f>
        <v/>
      </c>
      <c r="B2564" s="18" t="str">
        <f aca="false">'SALES Raw'!B2129</f>
        <v>11UG M</v>
      </c>
      <c r="C2564" s="18" t="str">
        <f aca="false">'SALES Raw'!H2129</f>
        <v>11UG M</v>
      </c>
      <c r="D2564" s="19" t="n">
        <f aca="false">'SALES Raw'!C2129</f>
        <v>5</v>
      </c>
      <c r="E2564" s="19" t="n">
        <f aca="false">'SALES Raw'!D2129</f>
        <v>903.85</v>
      </c>
      <c r="F2564" s="19" t="n">
        <f aca="false">'SALES Raw'!E2129*$H$4</f>
        <v>7.57894736842105</v>
      </c>
      <c r="G2564" s="19" t="n">
        <f aca="false">'SALES Raw'!F2129*$H$4</f>
        <v>1341.76421052632</v>
      </c>
      <c r="H2564" s="18" t="str">
        <f aca="false">'SALES Raw'!A2129</f>
        <v>114 - IL online</v>
      </c>
    </row>
    <row r="2565" customFormat="false" ht="15" hidden="false" customHeight="false" outlineLevel="0" collapsed="false">
      <c r="A2565" s="18" t="str">
        <f aca="false">'SALES Raw'!G2189</f>
        <v/>
      </c>
      <c r="B2565" s="18" t="str">
        <f aca="false">'SALES Raw'!B2189</f>
        <v>239P-S-M</v>
      </c>
      <c r="C2565" s="18" t="str">
        <f aca="false">'SALES Raw'!H2189</f>
        <v>239P-S-M</v>
      </c>
      <c r="D2565" s="19" t="n">
        <f aca="false">'SALES Raw'!C2189</f>
        <v>4</v>
      </c>
      <c r="E2565" s="19" t="n">
        <f aca="false">'SALES Raw'!D2189</f>
        <v>133.44</v>
      </c>
      <c r="F2565" s="19" t="n">
        <f aca="false">'SALES Raw'!E2189*$H$4</f>
        <v>7.57894736842105</v>
      </c>
      <c r="G2565" s="19" t="n">
        <f aca="false">'SALES Raw'!F2189*$H$4</f>
        <v>262.686315789474</v>
      </c>
      <c r="H2565" s="18" t="str">
        <f aca="false">'SALES Raw'!A2189</f>
        <v>114 - IL online</v>
      </c>
    </row>
    <row r="2566" customFormat="false" ht="15" hidden="false" customHeight="false" outlineLevel="0" collapsed="false">
      <c r="A2566" s="18" t="n">
        <f aca="false">'SALES Raw'!G2212</f>
        <v>4415006</v>
      </c>
      <c r="B2566" s="18" t="str">
        <f aca="false">'SALES Raw'!B2212</f>
        <v>28 M</v>
      </c>
      <c r="C2566" s="18" t="str">
        <f aca="false">'SALES Raw'!H2212</f>
        <v>28 M סד לאגודל לאחר שבר</v>
      </c>
      <c r="D2566" s="19" t="n">
        <f aca="false">'SALES Raw'!C2212</f>
        <v>7</v>
      </c>
      <c r="E2566" s="19" t="n">
        <f aca="false">'SALES Raw'!D2212</f>
        <v>1289.26</v>
      </c>
      <c r="F2566" s="19" t="n">
        <f aca="false">'SALES Raw'!E2212*$H$4</f>
        <v>7.57894736842105</v>
      </c>
      <c r="G2566" s="19" t="n">
        <f aca="false">'SALES Raw'!F2212*$H$4</f>
        <v>1388.85473684211</v>
      </c>
      <c r="H2566" s="18" t="str">
        <f aca="false">'SALES Raw'!A2212</f>
        <v>114 - IL online</v>
      </c>
    </row>
    <row r="2567" customFormat="false" ht="15" hidden="false" customHeight="false" outlineLevel="0" collapsed="false">
      <c r="A2567" s="18" t="n">
        <f aca="false">'SALES Raw'!G2223</f>
        <v>4420035</v>
      </c>
      <c r="B2567" s="18" t="str">
        <f aca="false">'SALES Raw'!B2223</f>
        <v>301CW-36-40</v>
      </c>
      <c r="C2567" s="18" t="str">
        <f aca="false">'SALES Raw'!H2223</f>
        <v>301CW 36-40 'רפידת ג'ל בז</v>
      </c>
      <c r="D2567" s="19" t="n">
        <f aca="false">'SALES Raw'!C2223</f>
        <v>4</v>
      </c>
      <c r="E2567" s="19" t="n">
        <f aca="false">'SALES Raw'!D2223</f>
        <v>476.3</v>
      </c>
      <c r="F2567" s="19" t="n">
        <f aca="false">'SALES Raw'!E2223*$H$4</f>
        <v>7.57894736842105</v>
      </c>
      <c r="G2567" s="19" t="n">
        <f aca="false">'SALES Raw'!F2223*$H$4</f>
        <v>634.168421052632</v>
      </c>
      <c r="H2567" s="18" t="str">
        <f aca="false">'SALES Raw'!A2223</f>
        <v>114 - IL online</v>
      </c>
    </row>
    <row r="2568" customFormat="false" ht="15" hidden="false" customHeight="false" outlineLevel="0" collapsed="false">
      <c r="A2568" s="18" t="n">
        <f aca="false">'SALES Raw'!G2269</f>
        <v>4413159</v>
      </c>
      <c r="B2568" s="18" t="str">
        <f aca="false">'SALES Raw'!B2269</f>
        <v>34+ S</v>
      </c>
      <c r="C2568" s="18" t="str">
        <f aca="false">'SALES Raw'!H2269</f>
        <v>34+ S מגן קרסול עקב סגור+רצוע</v>
      </c>
      <c r="D2568" s="19" t="n">
        <f aca="false">'SALES Raw'!C2269</f>
        <v>6</v>
      </c>
      <c r="E2568" s="19" t="n">
        <f aca="false">'SALES Raw'!D2269</f>
        <v>693.58</v>
      </c>
      <c r="F2568" s="19" t="n">
        <f aca="false">'SALES Raw'!E2269*$H$4</f>
        <v>7.57894736842105</v>
      </c>
      <c r="G2568" s="19" t="n">
        <f aca="false">'SALES Raw'!F2269*$H$4</f>
        <v>930.707368421053</v>
      </c>
      <c r="H2568" s="18" t="str">
        <f aca="false">'SALES Raw'!A2269</f>
        <v>114 - IL online</v>
      </c>
    </row>
    <row r="2569" customFormat="false" ht="15" hidden="false" customHeight="false" outlineLevel="0" collapsed="false">
      <c r="A2569" s="18" t="str">
        <f aca="false">'SALES Raw'!G2289</f>
        <v/>
      </c>
      <c r="B2569" s="18" t="str">
        <f aca="false">'SALES Raw'!B2289</f>
        <v>35C XS</v>
      </c>
      <c r="C2569" s="18" t="str">
        <f aca="false">'SALES Raw'!H2289</f>
        <v>35C XS</v>
      </c>
      <c r="D2569" s="19" t="n">
        <f aca="false">'SALES Raw'!C2289</f>
        <v>6</v>
      </c>
      <c r="E2569" s="19" t="n">
        <f aca="false">'SALES Raw'!D2289</f>
        <v>314.94</v>
      </c>
      <c r="F2569" s="19" t="n">
        <f aca="false">'SALES Raw'!E2289*$H$4</f>
        <v>7.57894736842105</v>
      </c>
      <c r="G2569" s="19" t="n">
        <f aca="false">'SALES Raw'!F2289*$H$4</f>
        <v>416.210526315789</v>
      </c>
      <c r="H2569" s="18" t="str">
        <f aca="false">'SALES Raw'!A2289</f>
        <v>114 - IL online</v>
      </c>
    </row>
    <row r="2570" customFormat="false" ht="15" hidden="false" customHeight="false" outlineLevel="0" collapsed="false">
      <c r="A2570" s="18" t="n">
        <f aca="false">'SALES Raw'!G2328</f>
        <v>4413523</v>
      </c>
      <c r="B2570" s="18" t="str">
        <f aca="false">'SALES Raw'!B2328</f>
        <v>379COM-35-38</v>
      </c>
      <c r="C2570" s="18" t="str">
        <f aca="false">'SALES Raw'!H2328</f>
        <v>35-38 מדרסי אפיק ג'ל נוחות</v>
      </c>
      <c r="D2570" s="19" t="n">
        <f aca="false">'SALES Raw'!C2328</f>
        <v>19</v>
      </c>
      <c r="E2570" s="19" t="n">
        <f aca="false">'SALES Raw'!D2328</f>
        <v>3386.25</v>
      </c>
      <c r="F2570" s="19" t="n">
        <f aca="false">'SALES Raw'!E2328*$H$4</f>
        <v>7.57894736842105</v>
      </c>
      <c r="G2570" s="19" t="n">
        <f aca="false">'SALES Raw'!F2328*$H$4</f>
        <v>1461.89052631579</v>
      </c>
      <c r="H2570" s="18" t="str">
        <f aca="false">'SALES Raw'!A2328</f>
        <v>114 - IL online</v>
      </c>
    </row>
    <row r="2571" customFormat="false" ht="15" hidden="false" customHeight="false" outlineLevel="0" collapsed="false">
      <c r="A2571" s="18" t="n">
        <f aca="false">'SALES Raw'!G2417</f>
        <v>4413102</v>
      </c>
      <c r="B2571" s="18" t="str">
        <f aca="false">'SALES Raw'!B2417</f>
        <v>45E L</v>
      </c>
      <c r="C2571" s="18" t="str">
        <f aca="false">'SALES Raw'!H2417</f>
        <v>45E  L        מגן ברך ארוך לבן</v>
      </c>
      <c r="D2571" s="19" t="n">
        <f aca="false">'SALES Raw'!C2417</f>
        <v>8</v>
      </c>
      <c r="E2571" s="19" t="n">
        <f aca="false">'SALES Raw'!D2417</f>
        <v>521.37</v>
      </c>
      <c r="F2571" s="19" t="n">
        <f aca="false">'SALES Raw'!E2417*$H$4</f>
        <v>7.57894736842105</v>
      </c>
      <c r="G2571" s="19" t="n">
        <f aca="false">'SALES Raw'!F2417*$H$4</f>
        <v>500.362105263158</v>
      </c>
      <c r="H2571" s="18" t="str">
        <f aca="false">'SALES Raw'!A2417</f>
        <v>114 - IL online</v>
      </c>
    </row>
    <row r="2572" customFormat="false" ht="15" hidden="false" customHeight="false" outlineLevel="0" collapsed="false">
      <c r="A2572" s="18" t="n">
        <f aca="false">'SALES Raw'!G2441</f>
        <v>4413117</v>
      </c>
      <c r="B2572" s="18" t="str">
        <f aca="false">'SALES Raw'!B2441</f>
        <v>50 L</v>
      </c>
      <c r="C2572" s="18" t="str">
        <f aca="false">'SALES Raw'!H2441</f>
        <v>50 L מתלה אשכים לאחר ניתוח</v>
      </c>
      <c r="D2572" s="19" t="n">
        <f aca="false">'SALES Raw'!C2441</f>
        <v>6</v>
      </c>
      <c r="E2572" s="19" t="n">
        <f aca="false">'SALES Raw'!D2441</f>
        <v>1114.22</v>
      </c>
      <c r="F2572" s="19" t="n">
        <f aca="false">'SALES Raw'!E2441*$H$4</f>
        <v>7.57894736842105</v>
      </c>
      <c r="G2572" s="19" t="n">
        <f aca="false">'SALES Raw'!F2441*$H$4</f>
        <v>1432.81263157895</v>
      </c>
      <c r="H2572" s="18" t="str">
        <f aca="false">'SALES Raw'!A2441</f>
        <v>114 - IL online</v>
      </c>
    </row>
    <row r="2573" customFormat="false" ht="15" hidden="false" customHeight="false" outlineLevel="0" collapsed="false">
      <c r="A2573" s="18" t="n">
        <f aca="false">'SALES Raw'!G2460</f>
        <v>4408081</v>
      </c>
      <c r="B2573" s="18" t="str">
        <f aca="false">'SALES Raw'!B2460</f>
        <v>59R M</v>
      </c>
      <c r="C2573" s="18" t="str">
        <f aca="false">'SALES Raw'!H2460</f>
        <v>59R M חגורת שבר לצד ימין</v>
      </c>
      <c r="D2573" s="19" t="n">
        <f aca="false">'SALES Raw'!C2460</f>
        <v>22</v>
      </c>
      <c r="E2573" s="19" t="n">
        <f aca="false">'SALES Raw'!D2460</f>
        <v>6832</v>
      </c>
      <c r="F2573" s="19" t="n">
        <f aca="false">'SALES Raw'!E2460*$H$4</f>
        <v>7.57894736842105</v>
      </c>
      <c r="G2573" s="19" t="n">
        <f aca="false">'SALES Raw'!F2460*$H$4</f>
        <v>2568.50526315789</v>
      </c>
      <c r="H2573" s="18" t="str">
        <f aca="false">'SALES Raw'!A2460</f>
        <v>114 - IL online</v>
      </c>
    </row>
    <row r="2574" customFormat="false" ht="15" hidden="false" customHeight="false" outlineLevel="0" collapsed="false">
      <c r="A2574" s="18" t="str">
        <f aca="false">'SALES Raw'!G2479</f>
        <v/>
      </c>
      <c r="B2574" s="18" t="str">
        <f aca="false">'SALES Raw'!B2479</f>
        <v>60B L</v>
      </c>
      <c r="C2574" s="18" t="str">
        <f aca="false">'SALES Raw'!H2479</f>
        <v>60B L</v>
      </c>
      <c r="D2574" s="19" t="n">
        <f aca="false">'SALES Raw'!C2479</f>
        <v>3</v>
      </c>
      <c r="E2574" s="19" t="n">
        <f aca="false">'SALES Raw'!D2479</f>
        <v>255.79</v>
      </c>
      <c r="F2574" s="19" t="n">
        <f aca="false">'SALES Raw'!E2479*$H$4</f>
        <v>7.57894736842105</v>
      </c>
      <c r="G2574" s="19" t="n">
        <f aca="false">'SALES Raw'!F2479*$H$4</f>
        <v>680.197894736842</v>
      </c>
      <c r="H2574" s="18" t="str">
        <f aca="false">'SALES Raw'!A2479</f>
        <v>114 - IL online</v>
      </c>
    </row>
    <row r="2575" customFormat="false" ht="15" hidden="false" customHeight="false" outlineLevel="0" collapsed="false">
      <c r="A2575" s="18" t="str">
        <f aca="false">'SALES Raw'!G2481</f>
        <v/>
      </c>
      <c r="B2575" s="18" t="str">
        <f aca="false">'SALES Raw'!B2481</f>
        <v>60B S</v>
      </c>
      <c r="C2575" s="18" t="str">
        <f aca="false">'SALES Raw'!H2481</f>
        <v>60B S</v>
      </c>
      <c r="D2575" s="19" t="n">
        <f aca="false">'SALES Raw'!C2481</f>
        <v>9</v>
      </c>
      <c r="E2575" s="19" t="n">
        <f aca="false">'SALES Raw'!D2481</f>
        <v>776.34</v>
      </c>
      <c r="F2575" s="19" t="n">
        <f aca="false">'SALES Raw'!E2481*$H$4</f>
        <v>7.57894736842105</v>
      </c>
      <c r="G2575" s="19" t="n">
        <f aca="false">'SALES Raw'!F2481*$H$4</f>
        <v>668.854736842105</v>
      </c>
      <c r="H2575" s="18" t="str">
        <f aca="false">'SALES Raw'!A2481</f>
        <v>114 - IL online</v>
      </c>
    </row>
    <row r="2576" customFormat="false" ht="15" hidden="false" customHeight="false" outlineLevel="0" collapsed="false">
      <c r="A2576" s="18" t="n">
        <f aca="false">'SALES Raw'!G2491</f>
        <v>4408271</v>
      </c>
      <c r="B2576" s="18" t="str">
        <f aca="false">'SALES Raw'!B2491</f>
        <v>70N XS</v>
      </c>
      <c r="C2576" s="18" t="str">
        <f aca="false">'SALES Raw'!H2491</f>
        <v>70N XS חגורת פאבליק</v>
      </c>
      <c r="D2576" s="19" t="n">
        <f aca="false">'SALES Raw'!C2491</f>
        <v>3</v>
      </c>
      <c r="E2576" s="19" t="n">
        <f aca="false">'SALES Raw'!D2491</f>
        <v>1520.1</v>
      </c>
      <c r="F2576" s="19" t="n">
        <f aca="false">'SALES Raw'!E2491*$H$4</f>
        <v>7.57894736842105</v>
      </c>
      <c r="G2576" s="19" t="n">
        <f aca="false">'SALES Raw'!F2491*$H$4</f>
        <v>4209.53684210526</v>
      </c>
      <c r="H2576" s="18" t="str">
        <f aca="false">'SALES Raw'!A2491</f>
        <v>114 - IL online</v>
      </c>
    </row>
    <row r="2577" customFormat="false" ht="15" hidden="false" customHeight="false" outlineLevel="0" collapsed="false">
      <c r="A2577" s="18" t="n">
        <f aca="false">'SALES Raw'!G2545</f>
        <v>4413136</v>
      </c>
      <c r="B2577" s="18" t="str">
        <f aca="false">'SALES Raw'!B2545</f>
        <v>85 M</v>
      </c>
      <c r="C2577" s="18" t="str">
        <f aca="false">'SALES Raw'!H2545</f>
        <v>85 M (מתלה ליד )כיס</v>
      </c>
      <c r="D2577" s="19" t="n">
        <f aca="false">'SALES Raw'!C2545</f>
        <v>5</v>
      </c>
      <c r="E2577" s="19" t="n">
        <f aca="false">'SALES Raw'!D2545</f>
        <v>512.3</v>
      </c>
      <c r="F2577" s="19" t="n">
        <f aca="false">'SALES Raw'!E2545*$H$4</f>
        <v>7.57894736842105</v>
      </c>
      <c r="G2577" s="19" t="n">
        <f aca="false">'SALES Raw'!F2545*$H$4</f>
        <v>776.526315789474</v>
      </c>
      <c r="H2577" s="18" t="str">
        <f aca="false">'SALES Raw'!A2545</f>
        <v>114 - IL online</v>
      </c>
    </row>
    <row r="2578" customFormat="false" ht="15" hidden="false" customHeight="false" outlineLevel="0" collapsed="false">
      <c r="A2578" s="18" t="n">
        <f aca="false">'SALES Raw'!G2550</f>
        <v>4413519</v>
      </c>
      <c r="B2578" s="18" t="str">
        <f aca="false">'SALES Raw'!B2550</f>
        <v>85B S</v>
      </c>
      <c r="C2578" s="18" t="str">
        <f aca="false">'SALES Raw'!H2550</f>
        <v>85B S מתלה רשת לזרוע שחור</v>
      </c>
      <c r="D2578" s="19" t="n">
        <f aca="false">'SALES Raw'!C2550</f>
        <v>2</v>
      </c>
      <c r="E2578" s="19" t="n">
        <f aca="false">'SALES Raw'!D2550</f>
        <v>204.92</v>
      </c>
      <c r="F2578" s="19" t="n">
        <f aca="false">'SALES Raw'!E2550*$H$4</f>
        <v>7.57894736842105</v>
      </c>
      <c r="G2578" s="19" t="n">
        <f aca="false">'SALES Raw'!F2550*$H$4</f>
        <v>763.591578947368</v>
      </c>
      <c r="H2578" s="18" t="str">
        <f aca="false">'SALES Raw'!A2550</f>
        <v>114 - IL online</v>
      </c>
    </row>
    <row r="2579" customFormat="false" ht="15" hidden="false" customHeight="false" outlineLevel="0" collapsed="false">
      <c r="A2579" s="18" t="n">
        <f aca="false">'SALES Raw'!G2570</f>
        <v>4408087</v>
      </c>
      <c r="B2579" s="18" t="str">
        <f aca="false">'SALES Raw'!B2570</f>
        <v>922 XL</v>
      </c>
      <c r="C2579" s="18" t="str">
        <f aca="false">'SALES Raw'!H2570</f>
        <v>922XLחבק יד לטניס כרית סיליק</v>
      </c>
      <c r="D2579" s="19" t="n">
        <f aca="false">'SALES Raw'!C2570</f>
        <v>4</v>
      </c>
      <c r="E2579" s="19" t="n">
        <f aca="false">'SALES Raw'!D2570</f>
        <v>988.26</v>
      </c>
      <c r="F2579" s="19" t="n">
        <f aca="false">'SALES Raw'!E2570*$H$4</f>
        <v>7.57894736842105</v>
      </c>
      <c r="G2579" s="19" t="n">
        <f aca="false">'SALES Raw'!F2570*$H$4</f>
        <v>1520.33684210526</v>
      </c>
      <c r="H2579" s="18" t="str">
        <f aca="false">'SALES Raw'!A2570</f>
        <v>114 - IL online</v>
      </c>
    </row>
    <row r="2580" customFormat="false" ht="15" hidden="false" customHeight="false" outlineLevel="0" collapsed="false">
      <c r="A2580" s="18" t="n">
        <f aca="false">'SALES Raw'!G2572</f>
        <v>4413139</v>
      </c>
      <c r="B2580" s="18" t="str">
        <f aca="false">'SALES Raw'!B2572</f>
        <v>95 L</v>
      </c>
      <c r="C2580" s="18" t="str">
        <f aca="false">'SALES Raw'!H2572</f>
        <v>95 L מגן מרפק רגיל לבן</v>
      </c>
      <c r="D2580" s="19" t="n">
        <f aca="false">'SALES Raw'!C2572</f>
        <v>4</v>
      </c>
      <c r="E2580" s="19" t="n">
        <f aca="false">'SALES Raw'!D2572</f>
        <v>201.05</v>
      </c>
      <c r="F2580" s="19" t="n">
        <f aca="false">'SALES Raw'!E2572*$H$4</f>
        <v>7.57894736842105</v>
      </c>
      <c r="G2580" s="19" t="n">
        <f aca="false">'SALES Raw'!F2572*$H$4</f>
        <v>258.694736842105</v>
      </c>
      <c r="H2580" s="18" t="str">
        <f aca="false">'SALES Raw'!A2572</f>
        <v>114 - IL online</v>
      </c>
    </row>
    <row r="2581" customFormat="false" ht="15" hidden="false" customHeight="false" outlineLevel="0" collapsed="false">
      <c r="A2581" s="18" t="str">
        <f aca="false">'SALES Raw'!G2590</f>
        <v/>
      </c>
      <c r="B2581" s="18" t="str">
        <f aca="false">'SALES Raw'!B2590</f>
        <v>95G M</v>
      </c>
      <c r="C2581" s="18" t="str">
        <f aca="false">'SALES Raw'!H2590</f>
        <v>95G M</v>
      </c>
      <c r="D2581" s="19" t="n">
        <f aca="false">'SALES Raw'!C2590</f>
        <v>5</v>
      </c>
      <c r="E2581" s="19" t="n">
        <f aca="false">'SALES Raw'!D2590</f>
        <v>251.32</v>
      </c>
      <c r="F2581" s="19" t="n">
        <f aca="false">'SALES Raw'!E2590*$H$4</f>
        <v>7.57894736842105</v>
      </c>
      <c r="G2581" s="19" t="n">
        <f aca="false">'SALES Raw'!F2590*$H$4</f>
        <v>342.985263157895</v>
      </c>
      <c r="H2581" s="18" t="str">
        <f aca="false">'SALES Raw'!A2590</f>
        <v>114 - IL online</v>
      </c>
    </row>
    <row r="2582" customFormat="false" ht="15" hidden="false" customHeight="false" outlineLevel="0" collapsed="false">
      <c r="A2582" s="18" t="str">
        <f aca="false">'SALES Raw'!G2591</f>
        <v/>
      </c>
      <c r="B2582" s="18" t="str">
        <f aca="false">'SALES Raw'!B2591</f>
        <v>95G S</v>
      </c>
      <c r="C2582" s="18" t="str">
        <f aca="false">'SALES Raw'!H2591</f>
        <v>95G S</v>
      </c>
      <c r="D2582" s="19" t="n">
        <f aca="false">'SALES Raw'!C2591</f>
        <v>3</v>
      </c>
      <c r="E2582" s="19" t="n">
        <f aca="false">'SALES Raw'!D2591</f>
        <v>159.17</v>
      </c>
      <c r="F2582" s="19" t="n">
        <f aca="false">'SALES Raw'!E2591*$H$4</f>
        <v>7.57894736842105</v>
      </c>
      <c r="G2582" s="19" t="n">
        <f aca="false">'SALES Raw'!F2591*$H$4</f>
        <v>304.875789473684</v>
      </c>
      <c r="H2582" s="18" t="str">
        <f aca="false">'SALES Raw'!A2591</f>
        <v>114 - IL online</v>
      </c>
    </row>
    <row r="2583" customFormat="false" ht="15" hidden="false" customHeight="false" outlineLevel="0" collapsed="false">
      <c r="A2583" s="18" t="str">
        <f aca="false">'SALES Raw'!G2626</f>
        <v/>
      </c>
      <c r="B2583" s="18" t="str">
        <f aca="false">'SALES Raw'!B2626</f>
        <v>VMSPCC52 0</v>
      </c>
      <c r="C2583" s="18" t="str">
        <f aca="false">'SALES Raw'!H2626</f>
        <v>VMSPCC52 0</v>
      </c>
      <c r="D2583" s="19" t="n">
        <f aca="false">'SALES Raw'!C2626</f>
        <v>0</v>
      </c>
      <c r="E2583" s="19" t="n">
        <f aca="false">'SALES Raw'!D2626</f>
        <v>0</v>
      </c>
      <c r="F2583" s="19" t="n">
        <f aca="false">'SALES Raw'!E2626*$H$4</f>
        <v>7.57894736842105</v>
      </c>
      <c r="G2583" s="19" t="n">
        <f aca="false">'SALES Raw'!F2626*$H$4</f>
        <v>153.991578947368</v>
      </c>
      <c r="H2583" s="18" t="str">
        <f aca="false">'SALES Raw'!A2626</f>
        <v>114 - IL online</v>
      </c>
    </row>
    <row r="2584" customFormat="false" ht="15" hidden="false" customHeight="false" outlineLevel="0" collapsed="false">
      <c r="A2584" s="18" t="n">
        <f aca="false">'SALES Raw'!G2669</f>
        <v>4422037</v>
      </c>
      <c r="B2584" s="18" t="str">
        <f aca="false">'SALES Raw'!B2669</f>
        <v>SH422 1</v>
      </c>
      <c r="C2584" s="18" t="str">
        <f aca="false">'SALES Raw'!H2669</f>
        <v>SH422 1 תומך ברך גנושילד</v>
      </c>
      <c r="D2584" s="19" t="n">
        <f aca="false">'SALES Raw'!C2669</f>
        <v>1</v>
      </c>
      <c r="E2584" s="19" t="n">
        <f aca="false">'SALES Raw'!D2669</f>
        <v>324.08</v>
      </c>
      <c r="F2584" s="19" t="n">
        <f aca="false">'SALES Raw'!E2669*$H$4</f>
        <v>7.57894736842105</v>
      </c>
      <c r="G2584" s="19" t="n">
        <f aca="false">'SALES Raw'!F2669*$H$4</f>
        <v>2672.89263157895</v>
      </c>
      <c r="H2584" s="18" t="str">
        <f aca="false">'SALES Raw'!A2669</f>
        <v>114 - IL online</v>
      </c>
    </row>
    <row r="2585" customFormat="false" ht="15" hidden="false" customHeight="false" outlineLevel="0" collapsed="false">
      <c r="A2585" s="18" t="n">
        <f aca="false">'SALES Raw'!G2674</f>
        <v>4422042</v>
      </c>
      <c r="B2585" s="18" t="str">
        <f aca="false">'SALES Raw'!B2674</f>
        <v>SH422 6</v>
      </c>
      <c r="C2585" s="18" t="str">
        <f aca="false">'SALES Raw'!H2674</f>
        <v>SH422 6 תומך ברך גנושילד</v>
      </c>
      <c r="D2585" s="19" t="n">
        <f aca="false">'SALES Raw'!C2674</f>
        <v>3</v>
      </c>
      <c r="E2585" s="19" t="n">
        <f aca="false">'SALES Raw'!D2674</f>
        <v>953.18</v>
      </c>
      <c r="F2585" s="19" t="n">
        <f aca="false">'SALES Raw'!E2674*$H$4</f>
        <v>7.57894736842105</v>
      </c>
      <c r="G2585" s="19" t="n">
        <f aca="false">'SALES Raw'!F2674*$H$4</f>
        <v>2745.14526315789</v>
      </c>
      <c r="H2585" s="18" t="str">
        <f aca="false">'SALES Raw'!A2674</f>
        <v>114 - IL online</v>
      </c>
    </row>
    <row r="2586" customFormat="false" ht="15" hidden="false" customHeight="false" outlineLevel="0" collapsed="false">
      <c r="A2586" s="18" t="str">
        <f aca="false">'SALES Raw'!G2695</f>
        <v/>
      </c>
      <c r="B2586" s="18" t="str">
        <f aca="false">'SALES Raw'!B2695</f>
        <v>T03 XL</v>
      </c>
      <c r="C2586" s="18" t="str">
        <f aca="false">'SALES Raw'!H2695</f>
        <v>T03 XL</v>
      </c>
      <c r="D2586" s="19" t="n">
        <f aca="false">'SALES Raw'!C2695</f>
        <v>0</v>
      </c>
      <c r="E2586" s="19" t="n">
        <f aca="false">'SALES Raw'!D2695</f>
        <v>0</v>
      </c>
      <c r="F2586" s="19" t="n">
        <f aca="false">'SALES Raw'!E2695*$H$4</f>
        <v>7.57894736842105</v>
      </c>
      <c r="G2586" s="19" t="n">
        <f aca="false">'SALES Raw'!F2695*$H$4</f>
        <v>1521.56210526316</v>
      </c>
      <c r="H2586" s="18" t="str">
        <f aca="false">'SALES Raw'!A2695</f>
        <v>114 - IL online</v>
      </c>
    </row>
    <row r="2587" customFormat="false" ht="15" hidden="false" customHeight="false" outlineLevel="0" collapsed="false">
      <c r="A2587" s="18" t="str">
        <f aca="false">'SALES Raw'!G2731</f>
        <v/>
      </c>
      <c r="B2587" s="18" t="str">
        <f aca="false">'SALES Raw'!B2731</f>
        <v>T402 L</v>
      </c>
      <c r="C2587" s="18" t="str">
        <f aca="false">'SALES Raw'!H2731</f>
        <v>T402 L</v>
      </c>
      <c r="D2587" s="19" t="n">
        <f aca="false">'SALES Raw'!C2731</f>
        <v>5</v>
      </c>
      <c r="E2587" s="19" t="n">
        <f aca="false">'SALES Raw'!D2731</f>
        <v>778.5</v>
      </c>
      <c r="F2587" s="19" t="n">
        <f aca="false">'SALES Raw'!E2731*$H$4</f>
        <v>7.57894736842105</v>
      </c>
      <c r="G2587" s="19" t="n">
        <f aca="false">'SALES Raw'!F2731*$H$4</f>
        <v>1231.92</v>
      </c>
      <c r="H2587" s="18" t="str">
        <f aca="false">'SALES Raw'!A2731</f>
        <v>114 - IL online</v>
      </c>
    </row>
    <row r="2588" customFormat="false" ht="15" hidden="false" customHeight="false" outlineLevel="0" collapsed="false">
      <c r="A2588" s="18" t="n">
        <f aca="false">'SALES Raw'!G2805</f>
        <v>4409012</v>
      </c>
      <c r="B2588" s="18" t="str">
        <f aca="false">'SALES Raw'!B2805</f>
        <v>804AT-C</v>
      </c>
      <c r="C2588" s="18" t="str">
        <f aca="false">'SALES Raw'!H2805</f>
        <v>804AT-C      טייפ חבישה לספורט</v>
      </c>
      <c r="D2588" s="19" t="n">
        <f aca="false">'SALES Raw'!C2805</f>
        <v>6</v>
      </c>
      <c r="E2588" s="19" t="n">
        <f aca="false">'SALES Raw'!D2805</f>
        <v>186.85</v>
      </c>
      <c r="F2588" s="19" t="n">
        <f aca="false">'SALES Raw'!E2805*$H$4</f>
        <v>7.57894736842105</v>
      </c>
      <c r="G2588" s="19" t="n">
        <f aca="false">'SALES Raw'!F2805*$H$4</f>
        <v>236.993684210526</v>
      </c>
      <c r="H2588" s="18" t="str">
        <f aca="false">'SALES Raw'!A2805</f>
        <v>115-SuperPharm Online</v>
      </c>
    </row>
    <row r="2589" customFormat="false" ht="15" hidden="false" customHeight="false" outlineLevel="0" collapsed="false">
      <c r="A2589" s="18" t="n">
        <f aca="false">'SALES Raw'!G2906</f>
        <v>4408231</v>
      </c>
      <c r="B2589" s="18" t="str">
        <f aca="false">'SALES Raw'!B2906</f>
        <v>16-S-M</v>
      </c>
      <c r="C2589" s="18" t="str">
        <f aca="false">'SALES Raw'!H2906</f>
        <v>16 S-M חגורת הריון</v>
      </c>
      <c r="D2589" s="19" t="n">
        <f aca="false">'SALES Raw'!C2906</f>
        <v>36</v>
      </c>
      <c r="E2589" s="19" t="n">
        <f aca="false">'SALES Raw'!D2906</f>
        <v>2831.44</v>
      </c>
      <c r="F2589" s="19" t="n">
        <f aca="false">'SALES Raw'!E2906*$H$4</f>
        <v>7.57894736842105</v>
      </c>
      <c r="G2589" s="19" t="n">
        <f aca="false">'SALES Raw'!F2906*$H$4</f>
        <v>512.538947368421</v>
      </c>
      <c r="H2589" s="18" t="str">
        <f aca="false">'SALES Raw'!A2906</f>
        <v>202 - Super-Pharm POLAND</v>
      </c>
    </row>
    <row r="2590" customFormat="false" ht="15" hidden="false" customHeight="false" outlineLevel="0" collapsed="false">
      <c r="A2590" s="18" t="n">
        <f aca="false">'SALES Raw'!G3067</f>
        <v>4415003</v>
      </c>
      <c r="B2590" s="18" t="str">
        <f aca="false">'SALES Raw'!B3067</f>
        <v>26 XL</v>
      </c>
      <c r="C2590" s="18" t="str">
        <f aca="false">'SALES Raw'!H3067</f>
        <v>26 XL סד ליד דו צדדי לאחר שבר</v>
      </c>
      <c r="D2590" s="19" t="n">
        <f aca="false">'SALES Raw'!C3067</f>
        <v>12</v>
      </c>
      <c r="E2590" s="19" t="n">
        <f aca="false">'SALES Raw'!D3067</f>
        <v>499.83</v>
      </c>
      <c r="F2590" s="19" t="n">
        <f aca="false">'SALES Raw'!E3067*$H$4</f>
        <v>7.57894736842105</v>
      </c>
      <c r="G2590" s="19" t="n">
        <f aca="false">'SALES Raw'!F3067*$H$4</f>
        <v>275.444210526316</v>
      </c>
      <c r="H2590" s="18" t="str">
        <f aca="false">'SALES Raw'!A3067</f>
        <v>203 - Ortho- Partner ag SWITZERLAND</v>
      </c>
    </row>
    <row r="2591" customFormat="false" ht="15" hidden="false" customHeight="false" outlineLevel="0" collapsed="false">
      <c r="A2591" s="18" t="str">
        <f aca="false">'SALES Raw'!G3149</f>
        <v/>
      </c>
      <c r="B2591" s="18" t="str">
        <f aca="false">'SALES Raw'!B3149</f>
        <v>11EU S</v>
      </c>
      <c r="C2591" s="18" t="str">
        <f aca="false">'SALES Raw'!H3149</f>
        <v>11EU S</v>
      </c>
      <c r="D2591" s="19" t="n">
        <f aca="false">'SALES Raw'!C3149</f>
        <v>12</v>
      </c>
      <c r="E2591" s="19" t="n">
        <f aca="false">'SALES Raw'!D3149</f>
        <v>524.8</v>
      </c>
      <c r="F2591" s="19" t="n">
        <f aca="false">'SALES Raw'!E3149*$H$4</f>
        <v>7.57894736842105</v>
      </c>
      <c r="G2591" s="19" t="n">
        <f aca="false">'SALES Raw'!F3149*$H$4</f>
        <v>301.263157894737</v>
      </c>
      <c r="H2591" s="18" t="str">
        <f aca="false">'SALES Raw'!A3149</f>
        <v>204 - Sanaflex Anatomic GREECE</v>
      </c>
    </row>
    <row r="2592" customFormat="false" ht="15" hidden="false" customHeight="false" outlineLevel="0" collapsed="false">
      <c r="A2592" s="18" t="n">
        <f aca="false">'SALES Raw'!G3155</f>
        <v>4408049</v>
      </c>
      <c r="B2592" s="18" t="str">
        <f aca="false">'SALES Raw'!B3155</f>
        <v>20 XL</v>
      </c>
      <c r="C2592" s="18" t="str">
        <f aca="false">'SALES Raw'!H3155</f>
        <v>20 XL חבק יד מתכוון עם צמדן</v>
      </c>
      <c r="D2592" s="19" t="n">
        <f aca="false">'SALES Raw'!C3155</f>
        <v>20</v>
      </c>
      <c r="E2592" s="19" t="n">
        <f aca="false">'SALES Raw'!D3155</f>
        <v>302.18</v>
      </c>
      <c r="F2592" s="19" t="n">
        <f aca="false">'SALES Raw'!E3155*$H$4</f>
        <v>7.57894736842105</v>
      </c>
      <c r="G2592" s="19" t="n">
        <f aca="false">'SALES Raw'!F3155*$H$4</f>
        <v>109.338947368421</v>
      </c>
      <c r="H2592" s="18" t="str">
        <f aca="false">'SALES Raw'!A3155</f>
        <v>204 - Sanaflex Anatomic GREECE</v>
      </c>
    </row>
    <row r="2593" customFormat="false" ht="15" hidden="false" customHeight="false" outlineLevel="0" collapsed="false">
      <c r="A2593" s="18" t="n">
        <f aca="false">'SALES Raw'!G3175</f>
        <v>4415003</v>
      </c>
      <c r="B2593" s="18" t="str">
        <f aca="false">'SALES Raw'!B3175</f>
        <v>26 XL</v>
      </c>
      <c r="C2593" s="18" t="str">
        <f aca="false">'SALES Raw'!H3175</f>
        <v>26 XL סד ליד דו צדדי לאחר שבר</v>
      </c>
      <c r="D2593" s="19" t="n">
        <f aca="false">'SALES Raw'!C3175</f>
        <v>21</v>
      </c>
      <c r="E2593" s="19" t="n">
        <f aca="false">'SALES Raw'!D3175</f>
        <v>932.1</v>
      </c>
      <c r="F2593" s="19" t="n">
        <f aca="false">'SALES Raw'!E3175*$H$4</f>
        <v>7.57894736842105</v>
      </c>
      <c r="G2593" s="19" t="n">
        <f aca="false">'SALES Raw'!F3175*$H$4</f>
        <v>298.825263157895</v>
      </c>
      <c r="H2593" s="18" t="str">
        <f aca="false">'SALES Raw'!A3175</f>
        <v>204 - Sanaflex Anatomic GREECE</v>
      </c>
    </row>
    <row r="2594" customFormat="false" ht="15" hidden="false" customHeight="false" outlineLevel="0" collapsed="false">
      <c r="A2594" s="18" t="n">
        <f aca="false">'SALES Raw'!G3202</f>
        <v>4413046</v>
      </c>
      <c r="B2594" s="18" t="str">
        <f aca="false">'SALES Raw'!B3202</f>
        <v>34 XXL</v>
      </c>
      <c r="C2594" s="18" t="str">
        <f aca="false">'SALES Raw'!H3202</f>
        <v>34 XXL מגן קרסול עקב סגור</v>
      </c>
      <c r="D2594" s="19" t="n">
        <f aca="false">'SALES Raw'!C3202</f>
        <v>6</v>
      </c>
      <c r="E2594" s="19" t="n">
        <f aca="false">'SALES Raw'!D3202</f>
        <v>133.49</v>
      </c>
      <c r="F2594" s="19" t="n">
        <f aca="false">'SALES Raw'!E3202*$H$4</f>
        <v>7.57894736842105</v>
      </c>
      <c r="G2594" s="19" t="n">
        <f aca="false">'SALES Raw'!F3202*$H$4</f>
        <v>145.768421052632</v>
      </c>
      <c r="H2594" s="18" t="str">
        <f aca="false">'SALES Raw'!A3202</f>
        <v>204 - Sanaflex Anatomic GREECE</v>
      </c>
    </row>
    <row r="2595" customFormat="false" ht="15" hidden="false" customHeight="false" outlineLevel="0" collapsed="false">
      <c r="A2595" s="18" t="n">
        <f aca="false">'SALES Raw'!G3205</f>
        <v>4413049</v>
      </c>
      <c r="B2595" s="18" t="str">
        <f aca="false">'SALES Raw'!B3205</f>
        <v>35 M</v>
      </c>
      <c r="C2595" s="18" t="str">
        <f aca="false">'SALES Raw'!H3205</f>
        <v>35 M מגן קרסול לבן</v>
      </c>
      <c r="D2595" s="19" t="n">
        <f aca="false">'SALES Raw'!C3205</f>
        <v>20</v>
      </c>
      <c r="E2595" s="19" t="n">
        <f aca="false">'SALES Raw'!D3205</f>
        <v>199.82</v>
      </c>
      <c r="F2595" s="19" t="n">
        <f aca="false">'SALES Raw'!E3205*$H$4</f>
        <v>7.57894736842105</v>
      </c>
      <c r="G2595" s="19" t="n">
        <f aca="false">'SALES Raw'!F3205*$H$4</f>
        <v>67.1747368421053</v>
      </c>
      <c r="H2595" s="18" t="str">
        <f aca="false">'SALES Raw'!A3205</f>
        <v>204 - Sanaflex Anatomic GREECE</v>
      </c>
    </row>
    <row r="2596" customFormat="false" ht="15" hidden="false" customHeight="false" outlineLevel="0" collapsed="false">
      <c r="A2596" s="18" t="n">
        <f aca="false">'SALES Raw'!G3246</f>
        <v>4403005</v>
      </c>
      <c r="B2596" s="18" t="str">
        <f aca="false">'SALES Raw'!B3246</f>
        <v>390G-43-46</v>
      </c>
      <c r="C2596" s="18" t="str">
        <f aca="false">'SALES Raw'!H3246</f>
        <v>G390.43-46 גרבי כסף לסכרת מידה</v>
      </c>
      <c r="D2596" s="19" t="n">
        <f aca="false">'SALES Raw'!C3246</f>
        <v>0</v>
      </c>
      <c r="E2596" s="19" t="n">
        <f aca="false">'SALES Raw'!D3246</f>
        <v>0</v>
      </c>
      <c r="F2596" s="19" t="n">
        <f aca="false">'SALES Raw'!E3246*$H$4</f>
        <v>7.57894736842105</v>
      </c>
      <c r="G2596" s="19" t="n">
        <f aca="false">'SALES Raw'!F3246*$H$4</f>
        <v>140.905263157895</v>
      </c>
      <c r="H2596" s="18" t="str">
        <f aca="false">'SALES Raw'!A3246</f>
        <v>204 - Sanaflex Anatomic GREECE</v>
      </c>
    </row>
    <row r="2597" customFormat="false" ht="15" hidden="false" customHeight="false" outlineLevel="0" collapsed="false">
      <c r="A2597" s="18" t="str">
        <f aca="false">'SALES Raw'!G3250</f>
        <v/>
      </c>
      <c r="B2597" s="18" t="str">
        <f aca="false">'SALES Raw'!B3250</f>
        <v>395B-35-38</v>
      </c>
      <c r="C2597" s="18" t="str">
        <f aca="false">'SALES Raw'!H3250</f>
        <v>395B-35-38</v>
      </c>
      <c r="D2597" s="19" t="n">
        <f aca="false">'SALES Raw'!C3250</f>
        <v>0</v>
      </c>
      <c r="E2597" s="19" t="n">
        <f aca="false">'SALES Raw'!D3250</f>
        <v>0</v>
      </c>
      <c r="F2597" s="19" t="n">
        <f aca="false">'SALES Raw'!E3250*$H$4</f>
        <v>7.57894736842105</v>
      </c>
      <c r="G2597" s="19" t="n">
        <f aca="false">'SALES Raw'!F3250*$H$4</f>
        <v>156.568421052632</v>
      </c>
      <c r="H2597" s="18" t="str">
        <f aca="false">'SALES Raw'!A3250</f>
        <v>204 - Sanaflex Anatomic GREECE</v>
      </c>
    </row>
    <row r="2598" customFormat="false" ht="15" hidden="false" customHeight="false" outlineLevel="0" collapsed="false">
      <c r="A2598" s="18" t="str">
        <f aca="false">'SALES Raw'!G3275</f>
        <v/>
      </c>
      <c r="B2598" s="18" t="str">
        <f aca="false">'SALES Raw'!B3275</f>
        <v>55 XXL</v>
      </c>
      <c r="C2598" s="18" t="str">
        <f aca="false">'SALES Raw'!H3275</f>
        <v>55 XXL</v>
      </c>
      <c r="D2598" s="19" t="n">
        <f aca="false">'SALES Raw'!C3275</f>
        <v>26</v>
      </c>
      <c r="E2598" s="19" t="n">
        <f aca="false">'SALES Raw'!D3275</f>
        <v>823.38</v>
      </c>
      <c r="F2598" s="19" t="n">
        <f aca="false">'SALES Raw'!E3275*$H$4</f>
        <v>7.57894736842105</v>
      </c>
      <c r="G2598" s="19" t="n">
        <f aca="false">'SALES Raw'!F3275*$H$4</f>
        <v>224.905263157895</v>
      </c>
      <c r="H2598" s="18" t="str">
        <f aca="false">'SALES Raw'!A3275</f>
        <v>204 - Sanaflex Anatomic GREECE</v>
      </c>
    </row>
    <row r="2599" customFormat="false" ht="15" hidden="false" customHeight="false" outlineLevel="0" collapsed="false">
      <c r="A2599" s="18" t="n">
        <f aca="false">'SALES Raw'!G3331</f>
        <v>4413278</v>
      </c>
      <c r="B2599" s="18" t="str">
        <f aca="false">'SALES Raw'!B3331</f>
        <v>LF377 S</v>
      </c>
      <c r="C2599" s="18" t="str">
        <f aca="false">'SALES Raw'!H3331</f>
        <v>LF377 S-מדרס סיליקון לנעלי עקב</v>
      </c>
      <c r="D2599" s="19" t="n">
        <f aca="false">'SALES Raw'!C3331</f>
        <v>0</v>
      </c>
      <c r="E2599" s="19" t="n">
        <f aca="false">'SALES Raw'!D3331</f>
        <v>0</v>
      </c>
      <c r="F2599" s="19" t="n">
        <f aca="false">'SALES Raw'!E3331*$H$4</f>
        <v>7.57894736842105</v>
      </c>
      <c r="G2599" s="19" t="n">
        <f aca="false">'SALES Raw'!F3331*$H$4</f>
        <v>125.658947368421</v>
      </c>
      <c r="H2599" s="18" t="str">
        <f aca="false">'SALES Raw'!A3331</f>
        <v>204 - Sanaflex Anatomic GREECE</v>
      </c>
    </row>
    <row r="2600" customFormat="false" ht="15" hidden="false" customHeight="false" outlineLevel="0" collapsed="false">
      <c r="A2600" s="18" t="n">
        <f aca="false">'SALES Raw'!G3372</f>
        <v>4408270</v>
      </c>
      <c r="B2600" s="18" t="str">
        <f aca="false">'SALES Raw'!B3372</f>
        <v>ST11 0</v>
      </c>
      <c r="C2600" s="18" t="str">
        <f aca="false">'SALES Raw'!H3372</f>
        <v>ST11  חגורת בטן</v>
      </c>
      <c r="D2600" s="19" t="n">
        <f aca="false">'SALES Raw'!C3372</f>
        <v>7</v>
      </c>
      <c r="E2600" s="19" t="n">
        <f aca="false">'SALES Raw'!D3372</f>
        <v>186.01</v>
      </c>
      <c r="F2600" s="19" t="n">
        <f aca="false">'SALES Raw'!E3372*$H$4</f>
        <v>7.57894736842105</v>
      </c>
      <c r="G2600" s="19" t="n">
        <f aca="false">'SALES Raw'!F3372*$H$4</f>
        <v>195.208421052632</v>
      </c>
      <c r="H2600" s="18" t="str">
        <f aca="false">'SALES Raw'!A3372</f>
        <v>205 - Health Care Prod. Gmbh GERMANY</v>
      </c>
    </row>
    <row r="2601" customFormat="false" ht="15" hidden="false" customHeight="false" outlineLevel="0" collapsed="false">
      <c r="A2601" s="18" t="n">
        <f aca="false">'SALES Raw'!G3539</f>
        <v>4413060</v>
      </c>
      <c r="B2601" s="18" t="str">
        <f aca="false">'SALES Raw'!B3539</f>
        <v>364 XL</v>
      </c>
      <c r="C2601" s="18" t="str">
        <f aca="false">'SALES Raw'!H3539</f>
        <v>364 XLמפריד אצבע סיליקון ליבלת</v>
      </c>
      <c r="D2601" s="19" t="n">
        <f aca="false">'SALES Raw'!C3539</f>
        <v>12</v>
      </c>
      <c r="E2601" s="19" t="n">
        <f aca="false">'SALES Raw'!D3539</f>
        <v>57.77</v>
      </c>
      <c r="F2601" s="19" t="n">
        <f aca="false">'SALES Raw'!E3539*$H$4</f>
        <v>7.57894736842105</v>
      </c>
      <c r="G2601" s="19" t="n">
        <f aca="false">'SALES Raw'!F3539*$H$4</f>
        <v>30.9347368421053</v>
      </c>
      <c r="H2601" s="18" t="str">
        <f aca="false">'SALES Raw'!A3539</f>
        <v>207 - Salus HUNGARY</v>
      </c>
    </row>
    <row r="2602" customFormat="false" ht="15" hidden="false" customHeight="false" outlineLevel="0" collapsed="false">
      <c r="A2602" s="18" t="n">
        <f aca="false">'SALES Raw'!G3811</f>
        <v>4413047</v>
      </c>
      <c r="B2602" s="18" t="str">
        <f aca="false">'SALES Raw'!B3811</f>
        <v>35 S</v>
      </c>
      <c r="C2602" s="18" t="str">
        <f aca="false">'SALES Raw'!H3811</f>
        <v>35 S מגן קרסול לבן</v>
      </c>
      <c r="D2602" s="19" t="n">
        <f aca="false">'SALES Raw'!C3811</f>
        <v>31</v>
      </c>
      <c r="E2602" s="19" t="n">
        <f aca="false">'SALES Raw'!D3811</f>
        <v>318.6</v>
      </c>
      <c r="F2602" s="19" t="n">
        <f aca="false">'SALES Raw'!E3811*$H$4</f>
        <v>7.57894736842105</v>
      </c>
      <c r="G2602" s="19" t="n">
        <f aca="false">'SALES Raw'!F3811*$H$4</f>
        <v>74.64</v>
      </c>
      <c r="H2602" s="18" t="str">
        <f aca="false">'SALES Raw'!A3811</f>
        <v>209 - Ortoprofil Prod ROMANIA</v>
      </c>
    </row>
    <row r="2603" customFormat="false" ht="15" hidden="false" customHeight="false" outlineLevel="0" collapsed="false">
      <c r="A2603" s="18" t="n">
        <f aca="false">'SALES Raw'!G3845</f>
        <v>4413332</v>
      </c>
      <c r="B2603" s="18" t="str">
        <f aca="false">'SALES Raw'!B3845</f>
        <v>45 XS</v>
      </c>
      <c r="C2603" s="18" t="str">
        <f aca="false">'SALES Raw'!H3845</f>
        <v>45  XS מגן ברך רגיל לבן</v>
      </c>
      <c r="D2603" s="19" t="n">
        <f aca="false">'SALES Raw'!C3845</f>
        <v>0</v>
      </c>
      <c r="E2603" s="19" t="n">
        <f aca="false">'SALES Raw'!D3845</f>
        <v>0</v>
      </c>
      <c r="F2603" s="19" t="n">
        <f aca="false">'SALES Raw'!E3845*$H$4</f>
        <v>7.57894736842105</v>
      </c>
      <c r="G2603" s="19" t="n">
        <f aca="false">'SALES Raw'!F3845*$H$4</f>
        <v>78.8715789473684</v>
      </c>
      <c r="H2603" s="18" t="str">
        <f aca="false">'SALES Raw'!A3845</f>
        <v>209 - Ortoprofil Prod ROMANIA</v>
      </c>
    </row>
    <row r="2604" customFormat="false" ht="15" hidden="false" customHeight="false" outlineLevel="0" collapsed="false">
      <c r="A2604" s="18" t="n">
        <f aca="false">'SALES Raw'!G3866</f>
        <v>4408222</v>
      </c>
      <c r="B2604" s="18" t="str">
        <f aca="false">'SALES Raw'!B3866</f>
        <v>078G XL</v>
      </c>
      <c r="C2604" s="18" t="str">
        <f aca="false">'SALES Raw'!H3866</f>
        <v>078G-XLחגורת גב אפורה</v>
      </c>
      <c r="D2604" s="19" t="n">
        <f aca="false">'SALES Raw'!C3866</f>
        <v>0</v>
      </c>
      <c r="E2604" s="19" t="n">
        <f aca="false">'SALES Raw'!D3866</f>
        <v>0</v>
      </c>
      <c r="F2604" s="19" t="n">
        <f aca="false">'SALES Raw'!E3866*$H$4</f>
        <v>7.57894736842105</v>
      </c>
      <c r="G2604" s="19" t="n">
        <f aca="false">'SALES Raw'!F3866*$H$4</f>
        <v>332.766315789474</v>
      </c>
      <c r="H2604" s="18" t="str">
        <f aca="false">'SALES Raw'!A3866</f>
        <v>210 - Oy. Ea. Ab. FINLAND</v>
      </c>
    </row>
    <row r="2605" customFormat="false" ht="15" hidden="false" customHeight="false" outlineLevel="0" collapsed="false">
      <c r="A2605" s="18" t="n">
        <f aca="false">'SALES Raw'!G3871</f>
        <v>4408017</v>
      </c>
      <c r="B2605" s="18" t="str">
        <f aca="false">'SALES Raw'!B3871</f>
        <v>07AU XL</v>
      </c>
      <c r="C2605" s="18" t="str">
        <f aca="false">'SALES Raw'!H3871</f>
        <v>07AU XL ח.גב """"איטלקית"""" אורירית</v>
      </c>
      <c r="D2605" s="19" t="n">
        <f aca="false">'SALES Raw'!C3871</f>
        <v>6</v>
      </c>
      <c r="E2605" s="19" t="n">
        <f aca="false">'SALES Raw'!D3871</f>
        <v>751.76</v>
      </c>
      <c r="F2605" s="19" t="n">
        <f aca="false">'SALES Raw'!E3871*$H$4</f>
        <v>7.57894736842105</v>
      </c>
      <c r="G2605" s="19" t="n">
        <f aca="false">'SALES Raw'!F3871*$H$4</f>
        <v>836.968421052632</v>
      </c>
      <c r="H2605" s="18" t="str">
        <f aca="false">'SALES Raw'!A3871</f>
        <v>210 - Oy. Ea. Ab. FINLAND</v>
      </c>
    </row>
    <row r="2606" customFormat="false" ht="15" hidden="false" customHeight="false" outlineLevel="0" collapsed="false">
      <c r="A2606" s="18" t="n">
        <f aca="false">'SALES Raw'!G3872</f>
        <v>4408018</v>
      </c>
      <c r="B2606" s="18" t="str">
        <f aca="false">'SALES Raw'!B3872</f>
        <v>07AU XXL</v>
      </c>
      <c r="C2606" s="18" t="str">
        <f aca="false">'SALES Raw'!H3872</f>
        <v>07AU XXL.ח.גב """"איטלקית"""" אוריר</v>
      </c>
      <c r="D2606" s="19" t="n">
        <f aca="false">'SALES Raw'!C3872</f>
        <v>3</v>
      </c>
      <c r="E2606" s="19" t="n">
        <f aca="false">'SALES Raw'!D3872</f>
        <v>375.88</v>
      </c>
      <c r="F2606" s="19" t="n">
        <f aca="false">'SALES Raw'!E3872*$H$4</f>
        <v>7.57894736842105</v>
      </c>
      <c r="G2606" s="19" t="n">
        <f aca="false">'SALES Raw'!F3872*$H$4</f>
        <v>836.968421052632</v>
      </c>
      <c r="H2606" s="18" t="str">
        <f aca="false">'SALES Raw'!A3872</f>
        <v>210 - Oy. Ea. Ab. FINLAND</v>
      </c>
    </row>
    <row r="2607" customFormat="false" ht="15" hidden="false" customHeight="false" outlineLevel="0" collapsed="false">
      <c r="A2607" s="18" t="str">
        <f aca="false">'SALES Raw'!G3880</f>
        <v/>
      </c>
      <c r="B2607" s="18" t="str">
        <f aca="false">'SALES Raw'!B3880</f>
        <v>13 L</v>
      </c>
      <c r="C2607" s="18" t="str">
        <f aca="false">'SALES Raw'!H3880</f>
        <v>13 L</v>
      </c>
      <c r="D2607" s="19" t="n">
        <f aca="false">'SALES Raw'!C3880</f>
        <v>10</v>
      </c>
      <c r="E2607" s="19" t="n">
        <f aca="false">'SALES Raw'!D3880</f>
        <v>626.27</v>
      </c>
      <c r="F2607" s="19" t="n">
        <f aca="false">'SALES Raw'!E3880*$H$4</f>
        <v>7.57894736842105</v>
      </c>
      <c r="G2607" s="19" t="n">
        <f aca="false">'SALES Raw'!F3880*$H$4</f>
        <v>409.654736842105</v>
      </c>
      <c r="H2607" s="18" t="str">
        <f aca="false">'SALES Raw'!A3880</f>
        <v>210 - Oy. Ea. Ab. FINLAND</v>
      </c>
    </row>
    <row r="2608" customFormat="false" ht="15" hidden="false" customHeight="false" outlineLevel="0" collapsed="false">
      <c r="A2608" s="18" t="n">
        <f aca="false">'SALES Raw'!G3882</f>
        <v>4408179</v>
      </c>
      <c r="B2608" s="18" t="str">
        <f aca="false">'SALES Raw'!B3882</f>
        <v>13 XL</v>
      </c>
      <c r="C2608" s="18" t="str">
        <f aca="false">'SALES Raw'!H3882</f>
        <v>13 XL חגורה לשבר טבור</v>
      </c>
      <c r="D2608" s="19" t="n">
        <f aca="false">'SALES Raw'!C3882</f>
        <v>10</v>
      </c>
      <c r="E2608" s="19" t="n">
        <f aca="false">'SALES Raw'!D3882</f>
        <v>639.27</v>
      </c>
      <c r="F2608" s="19" t="n">
        <f aca="false">'SALES Raw'!E3882*$H$4</f>
        <v>7.57894736842105</v>
      </c>
      <c r="G2608" s="19" t="n">
        <f aca="false">'SALES Raw'!F3882*$H$4</f>
        <v>409.654736842105</v>
      </c>
      <c r="H2608" s="18" t="str">
        <f aca="false">'SALES Raw'!A3882</f>
        <v>210 - Oy. Ea. Ab. FINLAND</v>
      </c>
    </row>
    <row r="2609" customFormat="false" ht="15" hidden="false" customHeight="false" outlineLevel="0" collapsed="false">
      <c r="A2609" s="18" t="str">
        <f aca="false">'SALES Raw'!G3903</f>
        <v/>
      </c>
      <c r="B2609" s="18" t="str">
        <f aca="false">'SALES Raw'!B3903</f>
        <v>30 XL</v>
      </c>
      <c r="C2609" s="18" t="str">
        <f aca="false">'SALES Raw'!H3903</f>
        <v>30 XL</v>
      </c>
      <c r="D2609" s="19" t="n">
        <f aca="false">'SALES Raw'!C3903</f>
        <v>6</v>
      </c>
      <c r="E2609" s="19" t="n">
        <f aca="false">'SALES Raw'!D3903</f>
        <v>201.48</v>
      </c>
      <c r="F2609" s="19" t="n">
        <f aca="false">'SALES Raw'!E3903*$H$4</f>
        <v>7.57894736842105</v>
      </c>
      <c r="G2609" s="19" t="n">
        <f aca="false">'SALES Raw'!F3903*$H$4</f>
        <v>213.018947368421</v>
      </c>
      <c r="H2609" s="18" t="str">
        <f aca="false">'SALES Raw'!A3903</f>
        <v>210 - Oy. Ea. Ab. FINLAND</v>
      </c>
    </row>
    <row r="2610" customFormat="false" ht="15" hidden="false" customHeight="false" outlineLevel="0" collapsed="false">
      <c r="A2610" s="18" t="n">
        <f aca="false">'SALES Raw'!G3927</f>
        <v>4413052</v>
      </c>
      <c r="B2610" s="18" t="str">
        <f aca="false">'SALES Raw'!B3927</f>
        <v>35C S</v>
      </c>
      <c r="C2610" s="18" t="str">
        <f aca="false">'SALES Raw'!H3927</f>
        <v>35C S מגן קרסול חום</v>
      </c>
      <c r="D2610" s="19" t="n">
        <f aca="false">'SALES Raw'!C3927</f>
        <v>8</v>
      </c>
      <c r="E2610" s="19" t="n">
        <f aca="false">'SALES Raw'!D3927</f>
        <v>92.61</v>
      </c>
      <c r="F2610" s="19" t="n">
        <f aca="false">'SALES Raw'!E3927*$H$4</f>
        <v>7.57894736842105</v>
      </c>
      <c r="G2610" s="19" t="n">
        <f aca="false">'SALES Raw'!F3927*$H$4</f>
        <v>74.3747368421053</v>
      </c>
      <c r="H2610" s="18" t="str">
        <f aca="false">'SALES Raw'!A3927</f>
        <v>210 - Oy. Ea. Ab. FINLAND</v>
      </c>
    </row>
    <row r="2611" customFormat="false" ht="15" hidden="false" customHeight="false" outlineLevel="0" collapsed="false">
      <c r="A2611" s="18" t="n">
        <f aca="false">'SALES Raw'!G3972</f>
        <v>4408072</v>
      </c>
      <c r="B2611" s="18" t="str">
        <f aca="false">'SALES Raw'!B3972</f>
        <v>59D M</v>
      </c>
      <c r="C2611" s="18" t="str">
        <f aca="false">'SALES Raw'!H3972</f>
        <v>59D M חגורת שבר דו צדדי</v>
      </c>
      <c r="D2611" s="19" t="n">
        <f aca="false">'SALES Raw'!C3972</f>
        <v>6</v>
      </c>
      <c r="E2611" s="19" t="n">
        <f aca="false">'SALES Raw'!D3972</f>
        <v>604.45</v>
      </c>
      <c r="F2611" s="19" t="n">
        <f aca="false">'SALES Raw'!E3972*$H$4</f>
        <v>7.57894736842105</v>
      </c>
      <c r="G2611" s="19" t="n">
        <f aca="false">'SALES Raw'!F3972*$H$4</f>
        <v>639.069473684211</v>
      </c>
      <c r="H2611" s="18" t="str">
        <f aca="false">'SALES Raw'!A3972</f>
        <v>210 - Oy. Ea. Ab. FINLAND</v>
      </c>
    </row>
    <row r="2612" customFormat="false" ht="15" hidden="false" customHeight="false" outlineLevel="0" collapsed="false">
      <c r="A2612" s="18" t="n">
        <f aca="false">'SALES Raw'!G3975</f>
        <v>4418001</v>
      </c>
      <c r="B2612" s="18" t="str">
        <f aca="false">'SALES Raw'!B3975</f>
        <v>60 M</v>
      </c>
      <c r="C2612" s="18" t="str">
        <f aca="false">'SALES Raw'!H3975</f>
        <v>60 M צוארון ספוגי</v>
      </c>
      <c r="D2612" s="19" t="n">
        <f aca="false">'SALES Raw'!C3975</f>
        <v>9</v>
      </c>
      <c r="E2612" s="19" t="n">
        <f aca="false">'SALES Raw'!D3975</f>
        <v>226.4</v>
      </c>
      <c r="F2612" s="19" t="n">
        <f aca="false">'SALES Raw'!E3975*$H$4</f>
        <v>7.57894736842105</v>
      </c>
      <c r="G2612" s="19" t="n">
        <f aca="false">'SALES Raw'!F3975*$H$4</f>
        <v>165.12</v>
      </c>
      <c r="H2612" s="18" t="str">
        <f aca="false">'SALES Raw'!A3975</f>
        <v>210 - Oy. Ea. Ab. FINLAND</v>
      </c>
    </row>
    <row r="2613" customFormat="false" ht="15" hidden="false" customHeight="false" outlineLevel="0" collapsed="false">
      <c r="A2613" s="18" t="n">
        <f aca="false">'SALES Raw'!G4017</f>
        <v>4422039</v>
      </c>
      <c r="B2613" s="18" t="str">
        <f aca="false">'SALES Raw'!B4017</f>
        <v>SH422 3</v>
      </c>
      <c r="C2613" s="18" t="str">
        <f aca="false">'SALES Raw'!H4017</f>
        <v>SH422 3 תומך ברך גנושילד</v>
      </c>
      <c r="D2613" s="19" t="n">
        <f aca="false">'SALES Raw'!C4017</f>
        <v>0</v>
      </c>
      <c r="E2613" s="19" t="n">
        <f aca="false">'SALES Raw'!D4017</f>
        <v>0</v>
      </c>
      <c r="F2613" s="19" t="n">
        <f aca="false">'SALES Raw'!E4017*$H$4</f>
        <v>7.57894736842105</v>
      </c>
      <c r="G2613" s="19" t="n">
        <f aca="false">'SALES Raw'!F4017*$H$4</f>
        <v>675.625263157895</v>
      </c>
      <c r="H2613" s="18" t="str">
        <f aca="false">'SALES Raw'!A4017</f>
        <v>210 - Oy. Ea. Ab. FINLAND</v>
      </c>
    </row>
    <row r="2614" customFormat="false" ht="15" hidden="false" customHeight="false" outlineLevel="0" collapsed="false">
      <c r="A2614" s="18" t="n">
        <f aca="false">'SALES Raw'!G4031</f>
        <v>4413533</v>
      </c>
      <c r="B2614" s="18" t="str">
        <f aca="false">'SALES Raw'!B4031</f>
        <v>ST49 0</v>
      </c>
      <c r="C2614" s="18" t="str">
        <f aca="false">'SALES Raw'!H4031</f>
        <v>ST49 מגן ירך</v>
      </c>
      <c r="D2614" s="19" t="n">
        <f aca="false">'SALES Raw'!C4031</f>
        <v>4</v>
      </c>
      <c r="E2614" s="19" t="n">
        <f aca="false">'SALES Raw'!D4031</f>
        <v>70.95</v>
      </c>
      <c r="F2614" s="19" t="n">
        <f aca="false">'SALES Raw'!E4031*$H$4</f>
        <v>7.57894736842105</v>
      </c>
      <c r="G2614" s="19" t="n">
        <f aca="false">'SALES Raw'!F4031*$H$4</f>
        <v>118.484210526316</v>
      </c>
      <c r="H2614" s="18" t="str">
        <f aca="false">'SALES Raw'!A4031</f>
        <v>210 - Oy. Ea. Ab. FINLAND</v>
      </c>
    </row>
    <row r="2615" customFormat="false" ht="15" hidden="false" customHeight="false" outlineLevel="0" collapsed="false">
      <c r="A2615" s="18" t="n">
        <f aca="false">'SALES Raw'!G4041</f>
        <v>4422006</v>
      </c>
      <c r="B2615" s="18" t="str">
        <f aca="false">'SALES Raw'!B4041</f>
        <v>T78 L</v>
      </c>
      <c r="C2615" s="18" t="str">
        <f aca="false">'SALES Raw'!H4041</f>
        <v>T78 L תומך זרוע וכתף</v>
      </c>
      <c r="D2615" s="19" t="n">
        <f aca="false">'SALES Raw'!C4041</f>
        <v>4</v>
      </c>
      <c r="E2615" s="19" t="n">
        <f aca="false">'SALES Raw'!D4041</f>
        <v>321.1</v>
      </c>
      <c r="F2615" s="19" t="n">
        <f aca="false">'SALES Raw'!E4041*$H$4</f>
        <v>7.57894736842105</v>
      </c>
      <c r="G2615" s="19" t="n">
        <f aca="false">'SALES Raw'!F4041*$H$4</f>
        <v>509.242105263158</v>
      </c>
      <c r="H2615" s="18" t="str">
        <f aca="false">'SALES Raw'!A4041</f>
        <v>210 - Oy. Ea. Ab. FINLAND</v>
      </c>
    </row>
    <row r="2616" customFormat="false" ht="15" hidden="false" customHeight="false" outlineLevel="0" collapsed="false">
      <c r="A2616" s="18" t="n">
        <f aca="false">'SALES Raw'!G4044</f>
        <v>4422007</v>
      </c>
      <c r="B2616" s="18" t="str">
        <f aca="false">'SALES Raw'!B4044</f>
        <v>T78 XL</v>
      </c>
      <c r="C2616" s="18" t="str">
        <f aca="false">'SALES Raw'!H4044</f>
        <v>T78 XLתומך זרוע וכתף</v>
      </c>
      <c r="D2616" s="19" t="n">
        <f aca="false">'SALES Raw'!C4044</f>
        <v>4</v>
      </c>
      <c r="E2616" s="19" t="n">
        <f aca="false">'SALES Raw'!D4044</f>
        <v>321.1</v>
      </c>
      <c r="F2616" s="19" t="n">
        <f aca="false">'SALES Raw'!E4044*$H$4</f>
        <v>7.57894736842105</v>
      </c>
      <c r="G2616" s="19" t="n">
        <f aca="false">'SALES Raw'!F4044*$H$4</f>
        <v>509.242105263158</v>
      </c>
      <c r="H2616" s="18" t="str">
        <f aca="false">'SALES Raw'!A4044</f>
        <v>210 - Oy. Ea. Ab. FINLAND</v>
      </c>
    </row>
    <row r="2617" customFormat="false" ht="15" hidden="false" customHeight="false" outlineLevel="0" collapsed="false">
      <c r="A2617" s="18" t="n">
        <f aca="false">'SALES Raw'!G4045</f>
        <v>4422009</v>
      </c>
      <c r="B2617" s="18" t="str">
        <f aca="false">'SALES Raw'!B4045</f>
        <v>T78 XXL</v>
      </c>
      <c r="C2617" s="18" t="str">
        <f aca="false">'SALES Raw'!H4045</f>
        <v>T78 XXL תומך זרוע וכתף</v>
      </c>
      <c r="D2617" s="19" t="n">
        <f aca="false">'SALES Raw'!C4045</f>
        <v>0</v>
      </c>
      <c r="E2617" s="19" t="n">
        <f aca="false">'SALES Raw'!D4045</f>
        <v>0</v>
      </c>
      <c r="F2617" s="19" t="n">
        <f aca="false">'SALES Raw'!E4045*$H$4</f>
        <v>7.57894736842105</v>
      </c>
      <c r="G2617" s="19" t="n">
        <f aca="false">'SALES Raw'!F4045*$H$4</f>
        <v>509.242105263158</v>
      </c>
      <c r="H2617" s="18" t="str">
        <f aca="false">'SALES Raw'!A4045</f>
        <v>210 - Oy. Ea. Ab. FINLAND</v>
      </c>
    </row>
    <row r="2618" customFormat="false" ht="15" hidden="false" customHeight="false" outlineLevel="0" collapsed="false">
      <c r="A2618" s="18" t="n">
        <f aca="false">'SALES Raw'!G4151</f>
        <v>4408015</v>
      </c>
      <c r="B2618" s="18" t="str">
        <f aca="false">'SALES Raw'!B4151</f>
        <v>07AU L</v>
      </c>
      <c r="C2618" s="18" t="str">
        <f aca="false">'SALES Raw'!H4151</f>
        <v>07AU L ח.גב """"איטלקית"""" אורירית</v>
      </c>
      <c r="D2618" s="19" t="n">
        <f aca="false">'SALES Raw'!C4151</f>
        <v>10</v>
      </c>
      <c r="E2618" s="19" t="n">
        <f aca="false">'SALES Raw'!D4151</f>
        <v>1293.21</v>
      </c>
      <c r="F2618" s="19" t="n">
        <f aca="false">'SALES Raw'!E4151*$H$4</f>
        <v>7.57894736842105</v>
      </c>
      <c r="G2618" s="19" t="n">
        <f aca="false">'SALES Raw'!F4151*$H$4</f>
        <v>924.505263157895</v>
      </c>
      <c r="H2618" s="18" t="str">
        <f aca="false">'SALES Raw'!A4151</f>
        <v>216 - Max Konnaris CYPRUS</v>
      </c>
    </row>
    <row r="2619" customFormat="false" ht="15" hidden="false" customHeight="false" outlineLevel="0" collapsed="false">
      <c r="A2619" s="18" t="n">
        <f aca="false">'SALES Raw'!G4154</f>
        <v>4408017</v>
      </c>
      <c r="B2619" s="18" t="str">
        <f aca="false">'SALES Raw'!B4154</f>
        <v>07AU XL</v>
      </c>
      <c r="C2619" s="18" t="str">
        <f aca="false">'SALES Raw'!H4154</f>
        <v>07AU XL ח.גב """"איטלקית"""" אורירית</v>
      </c>
      <c r="D2619" s="19" t="n">
        <f aca="false">'SALES Raw'!C4154</f>
        <v>12</v>
      </c>
      <c r="E2619" s="19" t="n">
        <f aca="false">'SALES Raw'!D4154</f>
        <v>1570.91</v>
      </c>
      <c r="F2619" s="19" t="n">
        <f aca="false">'SALES Raw'!E4154*$H$4</f>
        <v>7.57894736842105</v>
      </c>
      <c r="G2619" s="19" t="n">
        <f aca="false">'SALES Raw'!F4154*$H$4</f>
        <v>924.505263157895</v>
      </c>
      <c r="H2619" s="18" t="str">
        <f aca="false">'SALES Raw'!A4154</f>
        <v>216 - Max Konnaris CYPRUS</v>
      </c>
    </row>
    <row r="2620" customFormat="false" ht="15" hidden="false" customHeight="false" outlineLevel="0" collapsed="false">
      <c r="A2620" s="18" t="n">
        <f aca="false">'SALES Raw'!G4158</f>
        <v>4408033</v>
      </c>
      <c r="B2620" s="18" t="str">
        <f aca="false">'SALES Raw'!B4158</f>
        <v>11 M</v>
      </c>
      <c r="C2620" s="18" t="str">
        <f aca="false">'SALES Raw'!H4158</f>
        <v>11 M""""חגורת בטן""""אורירית</v>
      </c>
      <c r="D2620" s="19" t="n">
        <f aca="false">'SALES Raw'!C4158</f>
        <v>0</v>
      </c>
      <c r="E2620" s="19" t="n">
        <f aca="false">'SALES Raw'!D4158</f>
        <v>0</v>
      </c>
      <c r="F2620" s="19" t="n">
        <f aca="false">'SALES Raw'!E4158*$H$4</f>
        <v>7.57894736842105</v>
      </c>
      <c r="G2620" s="19" t="n">
        <f aca="false">'SALES Raw'!F4158*$H$4</f>
        <v>356.437894736842</v>
      </c>
      <c r="H2620" s="18" t="str">
        <f aca="false">'SALES Raw'!A4158</f>
        <v>216 - Max Konnaris CYPRUS</v>
      </c>
    </row>
    <row r="2621" customFormat="false" ht="15" hidden="false" customHeight="false" outlineLevel="0" collapsed="false">
      <c r="A2621" s="18" t="n">
        <f aca="false">'SALES Raw'!G4159</f>
        <v>4408031</v>
      </c>
      <c r="B2621" s="18" t="str">
        <f aca="false">'SALES Raw'!B4159</f>
        <v>11 S</v>
      </c>
      <c r="C2621" s="18" t="str">
        <f aca="false">'SALES Raw'!H4159</f>
        <v>11 S""""חגורת בטן""""אורירית</v>
      </c>
      <c r="D2621" s="19" t="n">
        <f aca="false">'SALES Raw'!C4159</f>
        <v>0</v>
      </c>
      <c r="E2621" s="19" t="n">
        <f aca="false">'SALES Raw'!D4159</f>
        <v>0</v>
      </c>
      <c r="F2621" s="19" t="n">
        <f aca="false">'SALES Raw'!E4159*$H$4</f>
        <v>7.57894736842105</v>
      </c>
      <c r="G2621" s="19" t="n">
        <f aca="false">'SALES Raw'!F4159*$H$4</f>
        <v>356.437894736842</v>
      </c>
      <c r="H2621" s="18" t="str">
        <f aca="false">'SALES Raw'!A4159</f>
        <v>216 - Max Konnaris CYPRUS</v>
      </c>
    </row>
    <row r="2622" customFormat="false" ht="15" hidden="false" customHeight="false" outlineLevel="0" collapsed="false">
      <c r="A2622" s="18" t="n">
        <f aca="false">'SALES Raw'!G4160</f>
        <v>4408034</v>
      </c>
      <c r="B2622" s="18" t="str">
        <f aca="false">'SALES Raw'!B4160</f>
        <v>11 XL</v>
      </c>
      <c r="C2622" s="18" t="str">
        <f aca="false">'SALES Raw'!H4160</f>
        <v>11 XL""""חגורת בטן""""אורירית</v>
      </c>
      <c r="D2622" s="19" t="n">
        <f aca="false">'SALES Raw'!C4160</f>
        <v>0</v>
      </c>
      <c r="E2622" s="19" t="n">
        <f aca="false">'SALES Raw'!D4160</f>
        <v>0</v>
      </c>
      <c r="F2622" s="19" t="n">
        <f aca="false">'SALES Raw'!E4160*$H$4</f>
        <v>7.57894736842105</v>
      </c>
      <c r="G2622" s="19" t="n">
        <f aca="false">'SALES Raw'!F4160*$H$4</f>
        <v>356.437894736842</v>
      </c>
      <c r="H2622" s="18" t="str">
        <f aca="false">'SALES Raw'!A4160</f>
        <v>216 - Max Konnaris CYPRUS</v>
      </c>
    </row>
    <row r="2623" customFormat="false" ht="15" hidden="false" customHeight="false" outlineLevel="0" collapsed="false">
      <c r="A2623" s="18" t="n">
        <f aca="false">'SALES Raw'!G4162</f>
        <v>4408115</v>
      </c>
      <c r="B2623" s="18" t="str">
        <f aca="false">'SALES Raw'!B4162</f>
        <v>11EU L</v>
      </c>
      <c r="C2623" s="18" t="str">
        <f aca="false">'SALES Raw'!H4162</f>
        <v>11EU L ח.בטן לאחר ניתוח</v>
      </c>
      <c r="D2623" s="19" t="n">
        <f aca="false">'SALES Raw'!C4162</f>
        <v>0</v>
      </c>
      <c r="E2623" s="19" t="n">
        <f aca="false">'SALES Raw'!D4162</f>
        <v>0</v>
      </c>
      <c r="F2623" s="19" t="n">
        <f aca="false">'SALES Raw'!E4162*$H$4</f>
        <v>7.57894736842105</v>
      </c>
      <c r="G2623" s="19" t="n">
        <f aca="false">'SALES Raw'!F4162*$H$4</f>
        <v>345.296842105263</v>
      </c>
      <c r="H2623" s="18" t="str">
        <f aca="false">'SALES Raw'!A4162</f>
        <v>216 - Max Konnaris CYPRUS</v>
      </c>
    </row>
    <row r="2624" customFormat="false" ht="15" hidden="false" customHeight="false" outlineLevel="0" collapsed="false">
      <c r="A2624" s="18" t="n">
        <f aca="false">'SALES Raw'!G4164</f>
        <v>4408116</v>
      </c>
      <c r="B2624" s="18" t="str">
        <f aca="false">'SALES Raw'!B4164</f>
        <v>11EU XL</v>
      </c>
      <c r="C2624" s="18" t="str">
        <f aca="false">'SALES Raw'!H4164</f>
        <v>11EU XLח.בטן לאחר ניתוח</v>
      </c>
      <c r="D2624" s="19" t="n">
        <f aca="false">'SALES Raw'!C4164</f>
        <v>6</v>
      </c>
      <c r="E2624" s="19" t="n">
        <f aca="false">'SALES Raw'!D4164</f>
        <v>282.66</v>
      </c>
      <c r="F2624" s="19" t="n">
        <f aca="false">'SALES Raw'!E4164*$H$4</f>
        <v>7.57894736842105</v>
      </c>
      <c r="G2624" s="19" t="n">
        <f aca="false">'SALES Raw'!F4164*$H$4</f>
        <v>345.296842105263</v>
      </c>
      <c r="H2624" s="18" t="str">
        <f aca="false">'SALES Raw'!A4164</f>
        <v>216 - Max Konnaris CYPRUS</v>
      </c>
    </row>
    <row r="2625" customFormat="false" ht="15" hidden="false" customHeight="false" outlineLevel="0" collapsed="false">
      <c r="A2625" s="18" t="n">
        <f aca="false">'SALES Raw'!G4165</f>
        <v>4408132</v>
      </c>
      <c r="B2625" s="18" t="str">
        <f aca="false">'SALES Raw'!B4165</f>
        <v>11EU XXL</v>
      </c>
      <c r="C2625" s="18" t="str">
        <f aca="false">'SALES Raw'!H4165</f>
        <v>11EU XXL חגורת בטןלאחר ניתוח</v>
      </c>
      <c r="D2625" s="19" t="n">
        <f aca="false">'SALES Raw'!C4165</f>
        <v>0</v>
      </c>
      <c r="E2625" s="19" t="n">
        <f aca="false">'SALES Raw'!D4165</f>
        <v>0</v>
      </c>
      <c r="F2625" s="19" t="n">
        <f aca="false">'SALES Raw'!E4165*$H$4</f>
        <v>7.57894736842105</v>
      </c>
      <c r="G2625" s="19" t="n">
        <f aca="false">'SALES Raw'!F4165*$H$4</f>
        <v>345.296842105263</v>
      </c>
      <c r="H2625" s="18" t="str">
        <f aca="false">'SALES Raw'!A4165</f>
        <v>216 - Max Konnaris CYPRUS</v>
      </c>
    </row>
    <row r="2626" customFormat="false" ht="15" hidden="false" customHeight="false" outlineLevel="0" collapsed="false">
      <c r="A2626" s="18" t="n">
        <f aca="false">'SALES Raw'!G4169</f>
        <v>4408046</v>
      </c>
      <c r="B2626" s="18" t="str">
        <f aca="false">'SALES Raw'!B4169</f>
        <v>20 L</v>
      </c>
      <c r="C2626" s="18" t="str">
        <f aca="false">'SALES Raw'!H4169</f>
        <v>20 L חבק יד מתכוון עם צמדן</v>
      </c>
      <c r="D2626" s="19" t="n">
        <f aca="false">'SALES Raw'!C4169</f>
        <v>0</v>
      </c>
      <c r="E2626" s="19" t="n">
        <f aca="false">'SALES Raw'!D4169</f>
        <v>0</v>
      </c>
      <c r="F2626" s="19" t="n">
        <f aca="false">'SALES Raw'!E4169*$H$4</f>
        <v>7.57894736842105</v>
      </c>
      <c r="G2626" s="19" t="n">
        <f aca="false">'SALES Raw'!F4169*$H$4</f>
        <v>122.526315789474</v>
      </c>
      <c r="H2626" s="18" t="str">
        <f aca="false">'SALES Raw'!A4169</f>
        <v>216 - Max Konnaris CYPRUS</v>
      </c>
    </row>
    <row r="2627" customFormat="false" ht="15" hidden="false" customHeight="false" outlineLevel="0" collapsed="false">
      <c r="A2627" s="18" t="n">
        <f aca="false">'SALES Raw'!G4170</f>
        <v>4408047</v>
      </c>
      <c r="B2627" s="18" t="str">
        <f aca="false">'SALES Raw'!B4170</f>
        <v>20 M</v>
      </c>
      <c r="C2627" s="18" t="str">
        <f aca="false">'SALES Raw'!H4170</f>
        <v>20 M חבק יד מתכוון עם צמדן</v>
      </c>
      <c r="D2627" s="19" t="n">
        <f aca="false">'SALES Raw'!C4170</f>
        <v>10</v>
      </c>
      <c r="E2627" s="19" t="n">
        <f aca="false">'SALES Raw'!D4170</f>
        <v>171.39</v>
      </c>
      <c r="F2627" s="19" t="n">
        <f aca="false">'SALES Raw'!E4170*$H$4</f>
        <v>7.57894736842105</v>
      </c>
      <c r="G2627" s="19" t="n">
        <f aca="false">'SALES Raw'!F4170*$H$4</f>
        <v>122.526315789474</v>
      </c>
      <c r="H2627" s="18" t="str">
        <f aca="false">'SALES Raw'!A4170</f>
        <v>216 - Max Konnaris CYPRUS</v>
      </c>
    </row>
    <row r="2628" customFormat="false" ht="15" hidden="false" customHeight="false" outlineLevel="0" collapsed="false">
      <c r="A2628" s="18" t="n">
        <f aca="false">'SALES Raw'!G4193</f>
        <v>4415007</v>
      </c>
      <c r="B2628" s="18" t="str">
        <f aca="false">'SALES Raw'!B4193</f>
        <v>28 S</v>
      </c>
      <c r="C2628" s="18" t="str">
        <f aca="false">'SALES Raw'!H4193</f>
        <v>28 S סד לאגודל לאחר שבר</v>
      </c>
      <c r="D2628" s="19" t="n">
        <f aca="false">'SALES Raw'!C4193</f>
        <v>10</v>
      </c>
      <c r="E2628" s="19" t="n">
        <f aca="false">'SALES Raw'!D4193</f>
        <v>401.21</v>
      </c>
      <c r="F2628" s="19" t="n">
        <f aca="false">'SALES Raw'!E4193*$H$4</f>
        <v>7.57894736842105</v>
      </c>
      <c r="G2628" s="19" t="n">
        <f aca="false">'SALES Raw'!F4193*$H$4</f>
        <v>286.825263157895</v>
      </c>
      <c r="H2628" s="18" t="str">
        <f aca="false">'SALES Raw'!A4193</f>
        <v>216 - Max Konnaris CYPRUS</v>
      </c>
    </row>
    <row r="2629" customFormat="false" ht="15" hidden="false" customHeight="false" outlineLevel="0" collapsed="false">
      <c r="A2629" s="18" t="n">
        <f aca="false">'SALES Raw'!G4211</f>
        <v>4413041</v>
      </c>
      <c r="B2629" s="18" t="str">
        <f aca="false">'SALES Raw'!B4211</f>
        <v>34 M</v>
      </c>
      <c r="C2629" s="18" t="str">
        <f aca="false">'SALES Raw'!H4211</f>
        <v>34  M מגן קרסול עקב סגור</v>
      </c>
      <c r="D2629" s="19" t="n">
        <f aca="false">'SALES Raw'!C4211</f>
        <v>3</v>
      </c>
      <c r="E2629" s="19" t="n">
        <f aca="false">'SALES Raw'!D4211</f>
        <v>75.28</v>
      </c>
      <c r="F2629" s="19" t="n">
        <f aca="false">'SALES Raw'!E4211*$H$4</f>
        <v>7.57894736842105</v>
      </c>
      <c r="G2629" s="19" t="n">
        <f aca="false">'SALES Raw'!F4211*$H$4</f>
        <v>155.633684210526</v>
      </c>
      <c r="H2629" s="18" t="str">
        <f aca="false">'SALES Raw'!A4211</f>
        <v>216 - Max Konnaris CYPRUS</v>
      </c>
    </row>
    <row r="2630" customFormat="false" ht="15" hidden="false" customHeight="false" outlineLevel="0" collapsed="false">
      <c r="A2630" s="18" t="n">
        <f aca="false">'SALES Raw'!G4219</f>
        <v>4413162</v>
      </c>
      <c r="B2630" s="18" t="str">
        <f aca="false">'SALES Raw'!B4219</f>
        <v>34+ XL</v>
      </c>
      <c r="C2630" s="18" t="str">
        <f aca="false">'SALES Raw'!H4219</f>
        <v>34+XL מגן קרסול עקב סגור+רצוע</v>
      </c>
      <c r="D2630" s="19" t="n">
        <f aca="false">'SALES Raw'!C4219</f>
        <v>10</v>
      </c>
      <c r="E2630" s="19" t="n">
        <f aca="false">'SALES Raw'!D4219</f>
        <v>336.93</v>
      </c>
      <c r="F2630" s="19" t="n">
        <f aca="false">'SALES Raw'!E4219*$H$4</f>
        <v>7.57894736842105</v>
      </c>
      <c r="G2630" s="19" t="n">
        <f aca="false">'SALES Raw'!F4219*$H$4</f>
        <v>240.871578947368</v>
      </c>
      <c r="H2630" s="18" t="str">
        <f aca="false">'SALES Raw'!A4219</f>
        <v>216 - Max Konnaris CYPRUS</v>
      </c>
    </row>
    <row r="2631" customFormat="false" ht="15" hidden="false" customHeight="false" outlineLevel="0" collapsed="false">
      <c r="A2631" s="18" t="n">
        <f aca="false">'SALES Raw'!G4235</f>
        <v>4413059</v>
      </c>
      <c r="B2631" s="18" t="str">
        <f aca="false">'SALES Raw'!B4235</f>
        <v>364-S-L</v>
      </c>
      <c r="C2631" s="18" t="str">
        <f aca="false">'SALES Raw'!H4235</f>
        <v>364S Lמפר.אצבע סיליק. ליבל.זוג</v>
      </c>
      <c r="D2631" s="19" t="n">
        <f aca="false">'SALES Raw'!C4235</f>
        <v>10</v>
      </c>
      <c r="E2631" s="19" t="n">
        <f aca="false">'SALES Raw'!D4235</f>
        <v>66.22</v>
      </c>
      <c r="F2631" s="19" t="n">
        <f aca="false">'SALES Raw'!E4235*$H$4</f>
        <v>7.57894736842105</v>
      </c>
      <c r="G2631" s="19" t="n">
        <f aca="false">'SALES Raw'!F4235*$H$4</f>
        <v>47.3431578947368</v>
      </c>
      <c r="H2631" s="18" t="str">
        <f aca="false">'SALES Raw'!A4235</f>
        <v>216 - Max Konnaris CYPRUS</v>
      </c>
    </row>
    <row r="2632" customFormat="false" ht="15" hidden="false" customHeight="false" outlineLevel="0" collapsed="false">
      <c r="A2632" s="18" t="n">
        <f aca="false">'SALES Raw'!G4240</f>
        <v>4401001</v>
      </c>
      <c r="B2632" s="18" t="str">
        <f aca="false">'SALES Raw'!B4240</f>
        <v>369-XL</v>
      </c>
      <c r="C2632" s="18" t="str">
        <f aca="false">'SALES Raw'!H4240</f>
        <v>369   XL אצבעון מסיליקון יחידה</v>
      </c>
      <c r="D2632" s="19" t="n">
        <f aca="false">'SALES Raw'!C4240</f>
        <v>0</v>
      </c>
      <c r="E2632" s="19" t="n">
        <f aca="false">'SALES Raw'!D4240</f>
        <v>0</v>
      </c>
      <c r="F2632" s="19" t="n">
        <f aca="false">'SALES Raw'!E4240*$H$4</f>
        <v>7.57894736842105</v>
      </c>
      <c r="G2632" s="19" t="n">
        <f aca="false">'SALES Raw'!F4240*$H$4</f>
        <v>226.787368421053</v>
      </c>
      <c r="H2632" s="18" t="str">
        <f aca="false">'SALES Raw'!A4240</f>
        <v>216 - Max Konnaris CYPRUS</v>
      </c>
    </row>
    <row r="2633" customFormat="false" ht="15" hidden="false" customHeight="false" outlineLevel="0" collapsed="false">
      <c r="A2633" s="18" t="str">
        <f aca="false">'SALES Raw'!G4244</f>
        <v/>
      </c>
      <c r="B2633" s="18" t="str">
        <f aca="false">'SALES Raw'!B4244</f>
        <v>376-35-37</v>
      </c>
      <c r="C2633" s="18" t="str">
        <f aca="false">'SALES Raw'!H4244</f>
        <v>376-35-37</v>
      </c>
      <c r="D2633" s="19" t="n">
        <f aca="false">'SALES Raw'!C4244</f>
        <v>22</v>
      </c>
      <c r="E2633" s="19" t="n">
        <f aca="false">'SALES Raw'!D4244</f>
        <v>370.35</v>
      </c>
      <c r="F2633" s="19" t="n">
        <f aca="false">'SALES Raw'!E4244*$H$4</f>
        <v>7.57894736842105</v>
      </c>
      <c r="G2633" s="19" t="n">
        <f aca="false">'SALES Raw'!F4244*$H$4</f>
        <v>108.947368421053</v>
      </c>
      <c r="H2633" s="18" t="str">
        <f aca="false">'SALES Raw'!A4244</f>
        <v>216 - Max Konnaris CYPRUS</v>
      </c>
    </row>
    <row r="2634" customFormat="false" ht="15" hidden="false" customHeight="false" outlineLevel="0" collapsed="false">
      <c r="A2634" s="18" t="n">
        <f aca="false">'SALES Raw'!G4248</f>
        <v>4420032</v>
      </c>
      <c r="B2634" s="18" t="str">
        <f aca="false">'SALES Raw'!B4248</f>
        <v>376-46-47</v>
      </c>
      <c r="C2634" s="18" t="str">
        <f aca="false">'SALES Raw'!H4248</f>
        <v>46-47 רפידת ספורט 376 מידה</v>
      </c>
      <c r="D2634" s="19" t="n">
        <f aca="false">'SALES Raw'!C4248</f>
        <v>22</v>
      </c>
      <c r="E2634" s="19" t="n">
        <f aca="false">'SALES Raw'!D4248</f>
        <v>370.35</v>
      </c>
      <c r="F2634" s="19" t="n">
        <f aca="false">'SALES Raw'!E4248*$H$4</f>
        <v>7.57894736842105</v>
      </c>
      <c r="G2634" s="19" t="n">
        <f aca="false">'SALES Raw'!F4248*$H$4</f>
        <v>116.955789473684</v>
      </c>
      <c r="H2634" s="18" t="str">
        <f aca="false">'SALES Raw'!A4248</f>
        <v>216 - Max Konnaris CYPRUS</v>
      </c>
    </row>
    <row r="2635" customFormat="false" ht="15" hidden="false" customHeight="false" outlineLevel="0" collapsed="false">
      <c r="A2635" s="18" t="n">
        <f aca="false">'SALES Raw'!G4284</f>
        <v>4413100</v>
      </c>
      <c r="B2635" s="18" t="str">
        <f aca="false">'SALES Raw'!B4284</f>
        <v>45C XL</v>
      </c>
      <c r="C2635" s="18" t="str">
        <f aca="false">'SALES Raw'!H4284</f>
        <v>45C XL מגן ברך חום</v>
      </c>
      <c r="D2635" s="19" t="n">
        <f aca="false">'SALES Raw'!C4284</f>
        <v>10</v>
      </c>
      <c r="E2635" s="19" t="n">
        <f aca="false">'SALES Raw'!D4284</f>
        <v>114.91</v>
      </c>
      <c r="F2635" s="19" t="n">
        <f aca="false">'SALES Raw'!E4284*$H$4</f>
        <v>7.57894736842105</v>
      </c>
      <c r="G2635" s="19" t="n">
        <f aca="false">'SALES Raw'!F4284*$H$4</f>
        <v>82.1431578947369</v>
      </c>
      <c r="H2635" s="18" t="str">
        <f aca="false">'SALES Raw'!A4284</f>
        <v>216 - Max Konnaris CYPRUS</v>
      </c>
    </row>
    <row r="2636" customFormat="false" ht="15" hidden="false" customHeight="false" outlineLevel="0" collapsed="false">
      <c r="A2636" s="18" t="str">
        <f aca="false">'SALES Raw'!G4285</f>
        <v/>
      </c>
      <c r="B2636" s="18" t="str">
        <f aca="false">'SALES Raw'!B4285</f>
        <v>45C XS</v>
      </c>
      <c r="C2636" s="18" t="str">
        <f aca="false">'SALES Raw'!H4285</f>
        <v>45C XS</v>
      </c>
      <c r="D2636" s="19" t="n">
        <f aca="false">'SALES Raw'!C4285</f>
        <v>0</v>
      </c>
      <c r="E2636" s="19" t="n">
        <f aca="false">'SALES Raw'!D4285</f>
        <v>0</v>
      </c>
      <c r="F2636" s="19" t="n">
        <f aca="false">'SALES Raw'!E4285*$H$4</f>
        <v>7.57894736842105</v>
      </c>
      <c r="G2636" s="19" t="n">
        <f aca="false">'SALES Raw'!F4285*$H$4</f>
        <v>76.5221052631579</v>
      </c>
      <c r="H2636" s="18" t="str">
        <f aca="false">'SALES Raw'!A4285</f>
        <v>216 - Max Konnaris CYPRUS</v>
      </c>
    </row>
    <row r="2637" customFormat="false" ht="15" hidden="false" customHeight="false" outlineLevel="0" collapsed="false">
      <c r="A2637" s="18" t="n">
        <f aca="false">'SALES Raw'!G4290</f>
        <v>4413397</v>
      </c>
      <c r="B2637" s="18" t="str">
        <f aca="false">'SALES Raw'!B4290</f>
        <v>45EC XL</v>
      </c>
      <c r="C2637" s="18" t="str">
        <f aca="false">'SALES Raw'!H4290</f>
        <v>45EC XL'מגן ברך ארוך בז</v>
      </c>
      <c r="D2637" s="19" t="n">
        <f aca="false">'SALES Raw'!C4290</f>
        <v>6</v>
      </c>
      <c r="E2637" s="19" t="n">
        <f aca="false">'SALES Raw'!D4290</f>
        <v>74.08</v>
      </c>
      <c r="F2637" s="19" t="n">
        <f aca="false">'SALES Raw'!E4290*$H$4</f>
        <v>7.57894736842105</v>
      </c>
      <c r="G2637" s="19" t="n">
        <f aca="false">'SALES Raw'!F4290*$H$4</f>
        <v>90.5052631578948</v>
      </c>
      <c r="H2637" s="18" t="str">
        <f aca="false">'SALES Raw'!A4290</f>
        <v>216 - Max Konnaris CYPRUS</v>
      </c>
    </row>
    <row r="2638" customFormat="false" ht="15" hidden="false" customHeight="false" outlineLevel="0" collapsed="false">
      <c r="A2638" s="18" t="n">
        <f aca="false">'SALES Raw'!G4299</f>
        <v>4418002</v>
      </c>
      <c r="B2638" s="18" t="str">
        <f aca="false">'SALES Raw'!B4299</f>
        <v>60 S</v>
      </c>
      <c r="C2638" s="18" t="str">
        <f aca="false">'SALES Raw'!H4299</f>
        <v>60 S צוארון ספוגי</v>
      </c>
      <c r="D2638" s="19" t="n">
        <f aca="false">'SALES Raw'!C4299</f>
        <v>20</v>
      </c>
      <c r="E2638" s="19" t="n">
        <f aca="false">'SALES Raw'!D4299</f>
        <v>547.87</v>
      </c>
      <c r="F2638" s="19" t="n">
        <f aca="false">'SALES Raw'!E4299*$H$4</f>
        <v>7.57894736842105</v>
      </c>
      <c r="G2638" s="19" t="n">
        <f aca="false">'SALES Raw'!F4299*$H$4</f>
        <v>182.4</v>
      </c>
      <c r="H2638" s="18" t="str">
        <f aca="false">'SALES Raw'!A4299</f>
        <v>216 - Max Konnaris CYPRUS</v>
      </c>
    </row>
    <row r="2639" customFormat="false" ht="15" hidden="false" customHeight="false" outlineLevel="0" collapsed="false">
      <c r="A2639" s="18" t="str">
        <f aca="false">'SALES Raw'!G4302</f>
        <v/>
      </c>
      <c r="B2639" s="18" t="str">
        <f aca="false">'SALES Raw'!B4302</f>
        <v>60B S</v>
      </c>
      <c r="C2639" s="18" t="str">
        <f aca="false">'SALES Raw'!H4302</f>
        <v>60B S</v>
      </c>
      <c r="D2639" s="19" t="n">
        <f aca="false">'SALES Raw'!C4302</f>
        <v>10</v>
      </c>
      <c r="E2639" s="19" t="n">
        <f aca="false">'SALES Raw'!D4302</f>
        <v>292.14</v>
      </c>
      <c r="F2639" s="19" t="n">
        <f aca="false">'SALES Raw'!E4302*$H$4</f>
        <v>7.57894736842105</v>
      </c>
      <c r="G2639" s="19" t="n">
        <f aca="false">'SALES Raw'!F4302*$H$4</f>
        <v>208.850526315789</v>
      </c>
      <c r="H2639" s="18" t="str">
        <f aca="false">'SALES Raw'!A4302</f>
        <v>216 - Max Konnaris CYPRUS</v>
      </c>
    </row>
    <row r="2640" customFormat="false" ht="15" hidden="false" customHeight="false" outlineLevel="0" collapsed="false">
      <c r="A2640" s="18" t="n">
        <f aca="false">'SALES Raw'!G4321</f>
        <v>4413135</v>
      </c>
      <c r="B2640" s="18" t="str">
        <f aca="false">'SALES Raw'!B4321</f>
        <v>85 L</v>
      </c>
      <c r="C2640" s="18" t="str">
        <f aca="false">'SALES Raw'!H4321</f>
        <v>85 L (מתלה ליד )כיס</v>
      </c>
      <c r="D2640" s="19" t="n">
        <f aca="false">'SALES Raw'!C4321</f>
        <v>30</v>
      </c>
      <c r="E2640" s="19" t="n">
        <f aca="false">'SALES Raw'!D4321</f>
        <v>669</v>
      </c>
      <c r="F2640" s="19" t="n">
        <f aca="false">'SALES Raw'!E4321*$H$4</f>
        <v>7.57894736842105</v>
      </c>
      <c r="G2640" s="19" t="n">
        <f aca="false">'SALES Raw'!F4321*$H$4</f>
        <v>142.661052631579</v>
      </c>
      <c r="H2640" s="18" t="str">
        <f aca="false">'SALES Raw'!A4321</f>
        <v>216 - Max Konnaris CYPRUS</v>
      </c>
    </row>
    <row r="2641" customFormat="false" ht="15" hidden="false" customHeight="false" outlineLevel="0" collapsed="false">
      <c r="A2641" s="18" t="n">
        <f aca="false">'SALES Raw'!G4338</f>
        <v>4413366</v>
      </c>
      <c r="B2641" s="18" t="str">
        <f aca="false">'SALES Raw'!B4338</f>
        <v>95C S</v>
      </c>
      <c r="C2641" s="18" t="str">
        <f aca="false">'SALES Raw'!H4338</f>
        <v>95C S 'מגן מרפק בז</v>
      </c>
      <c r="D2641" s="19" t="n">
        <f aca="false">'SALES Raw'!C4338</f>
        <v>3</v>
      </c>
      <c r="E2641" s="19" t="n">
        <f aca="false">'SALES Raw'!D4338</f>
        <v>35.06</v>
      </c>
      <c r="F2641" s="19" t="n">
        <f aca="false">'SALES Raw'!E4338*$H$4</f>
        <v>7.57894736842105</v>
      </c>
      <c r="G2641" s="19" t="n">
        <f aca="false">'SALES Raw'!F4338*$H$4</f>
        <v>77.8231578947368</v>
      </c>
      <c r="H2641" s="18" t="str">
        <f aca="false">'SALES Raw'!A4338</f>
        <v>216 - Max Konnaris CYPRUS</v>
      </c>
    </row>
    <row r="2642" customFormat="false" ht="15" hidden="false" customHeight="false" outlineLevel="0" collapsed="false">
      <c r="A2642" s="18" t="n">
        <f aca="false">'SALES Raw'!G4388</f>
        <v>4422009</v>
      </c>
      <c r="B2642" s="18" t="str">
        <f aca="false">'SALES Raw'!B4388</f>
        <v>T78 XXL</v>
      </c>
      <c r="C2642" s="18" t="str">
        <f aca="false">'SALES Raw'!H4388</f>
        <v>T78 XXL תומך זרוע וכתף</v>
      </c>
      <c r="D2642" s="19" t="n">
        <f aca="false">'SALES Raw'!C4388</f>
        <v>0</v>
      </c>
      <c r="E2642" s="19" t="n">
        <f aca="false">'SALES Raw'!D4388</f>
        <v>0</v>
      </c>
      <c r="F2642" s="19" t="n">
        <f aca="false">'SALES Raw'!E4388*$H$4</f>
        <v>7.57894736842105</v>
      </c>
      <c r="G2642" s="19" t="n">
        <f aca="false">'SALES Raw'!F4388*$H$4</f>
        <v>562.496842105263</v>
      </c>
      <c r="H2642" s="18" t="str">
        <f aca="false">'SALES Raw'!A4388</f>
        <v>216 - Max Konnaris CYPRUS</v>
      </c>
    </row>
    <row r="2643" customFormat="false" ht="15" hidden="false" customHeight="false" outlineLevel="0" collapsed="false">
      <c r="A2643" s="18" t="n">
        <f aca="false">'CEMIUP0.9 Raw'!B63</f>
        <v>4408031</v>
      </c>
      <c r="B2643" s="18" t="str">
        <f aca="false">'CEMIUP0.9 Raw'!C63</f>
        <v>11 S""חגורת בטן""אורירית</v>
      </c>
      <c r="C2643" s="18" t="str">
        <f aca="false">'CEMIUP0.9 Raw'!C63</f>
        <v>11 S""חגורת בטן""אורירית</v>
      </c>
      <c r="D2643" s="19" t="n">
        <f aca="false">'CEMIUP0.9 Raw'!D63</f>
        <v>5</v>
      </c>
      <c r="E2643" s="19" t="n">
        <f aca="false">'CEMIUP0.9 Raw'!E63</f>
        <v>451.269</v>
      </c>
      <c r="F2643" s="19" t="n">
        <f aca="false">'CEMIUP0.9 Raw'!F63</f>
        <v>7.57894736842105</v>
      </c>
      <c r="G2643" s="19" t="n">
        <f aca="false">'CEMIUP0.9 Raw'!G63</f>
        <v>721.762105263158</v>
      </c>
      <c r="H2643" s="18" t="str">
        <f aca="false">'CEMIUP0.9 Raw'!A63</f>
        <v>107 - Pharmacies</v>
      </c>
    </row>
    <row r="2644" customFormat="false" ht="15" hidden="false" customHeight="false" outlineLevel="0" collapsed="false">
      <c r="A2644" s="18" t="n">
        <f aca="false">'CEMIUP0.9 Raw'!B97</f>
        <v>4408082</v>
      </c>
      <c r="B2644" s="18" t="str">
        <f aca="false">'CEMIUP0.9 Raw'!C97</f>
        <v>59R XL חגורת שבר לצד ימין</v>
      </c>
      <c r="C2644" s="18" t="str">
        <f aca="false">'CEMIUP0.9 Raw'!C97</f>
        <v>59R XL חגורת שבר לצד ימין</v>
      </c>
      <c r="D2644" s="19" t="n">
        <f aca="false">'CEMIUP0.9 Raw'!D97</f>
        <v>5</v>
      </c>
      <c r="E2644" s="19" t="n">
        <f aca="false">'CEMIUP0.9 Raw'!E97</f>
        <v>841.649</v>
      </c>
      <c r="F2644" s="19" t="n">
        <f aca="false">'CEMIUP0.9 Raw'!F97</f>
        <v>7.57894736842105</v>
      </c>
      <c r="G2644" s="19" t="n">
        <f aca="false">'CEMIUP0.9 Raw'!G97</f>
        <v>1318.11663157895</v>
      </c>
      <c r="H2644" s="18" t="str">
        <f aca="false">'CEMIUP0.9 Raw'!A97</f>
        <v>107 - Pharmacies</v>
      </c>
    </row>
    <row r="2645" customFormat="false" ht="15" hidden="false" customHeight="false" outlineLevel="0" collapsed="false">
      <c r="A2645" s="18" t="n">
        <f aca="false">'CEMIUP0.9 Raw'!B116</f>
        <v>4408114</v>
      </c>
      <c r="B2645" s="18" t="str">
        <f aca="false">'CEMIUP0.9 Raw'!C116</f>
        <v>11EU M ח.בטן לאחר ניתוח</v>
      </c>
      <c r="C2645" s="18" t="str">
        <f aca="false">'CEMIUP0.9 Raw'!C116</f>
        <v>11EU M ח.בטן לאחר ניתוח</v>
      </c>
      <c r="D2645" s="19" t="n">
        <f aca="false">'CEMIUP0.9 Raw'!D116</f>
        <v>12</v>
      </c>
      <c r="E2645" s="19" t="n">
        <f aca="false">'CEMIUP0.9 Raw'!E116</f>
        <v>1128.048</v>
      </c>
      <c r="F2645" s="19" t="n">
        <f aca="false">'CEMIUP0.9 Raw'!F116</f>
        <v>7.57894736842105</v>
      </c>
      <c r="G2645" s="19" t="n">
        <f aca="false">'CEMIUP0.9 Raw'!G116</f>
        <v>759.342315789474</v>
      </c>
      <c r="H2645" s="18" t="str">
        <f aca="false">'CEMIUP0.9 Raw'!A116</f>
        <v>107 - Pharmacies</v>
      </c>
    </row>
    <row r="2646" customFormat="false" ht="15" hidden="false" customHeight="false" outlineLevel="0" collapsed="false">
      <c r="A2646" s="18" t="n">
        <f aca="false">'CEMIUP0.9 Raw'!B138</f>
        <v>4408152</v>
      </c>
      <c r="B2646" s="18" t="str">
        <f aca="false">'CEMIUP0.9 Raw'!C138</f>
        <v>11TO L חגורה למנותחי בית החזה</v>
      </c>
      <c r="C2646" s="18" t="str">
        <f aca="false">'CEMIUP0.9 Raw'!C138</f>
        <v>11TO L חגורה למנותחי בית החזה</v>
      </c>
      <c r="D2646" s="19" t="n">
        <f aca="false">'CEMIUP0.9 Raw'!D138</f>
        <v>8</v>
      </c>
      <c r="E2646" s="19" t="n">
        <f aca="false">'CEMIUP0.9 Raw'!E138</f>
        <v>1018.199</v>
      </c>
      <c r="F2646" s="19" t="n">
        <f aca="false">'CEMIUP0.9 Raw'!F138</f>
        <v>7.57894736842105</v>
      </c>
      <c r="G2646" s="19" t="n">
        <f aca="false">'CEMIUP0.9 Raw'!G138</f>
        <v>1058.55031578947</v>
      </c>
      <c r="H2646" s="18" t="str">
        <f aca="false">'CEMIUP0.9 Raw'!A138</f>
        <v>107 - Pharmacies</v>
      </c>
    </row>
    <row r="2647" customFormat="false" ht="15" hidden="false" customHeight="false" outlineLevel="0" collapsed="false">
      <c r="A2647" s="18" t="n">
        <f aca="false">'CEMIUP0.9 Raw'!B175</f>
        <v>4408260</v>
      </c>
      <c r="B2647" s="18" t="str">
        <f aca="false">'CEMIUP0.9 Raw'!C175</f>
        <v>11STO M חגורה אחרי ניתוח</v>
      </c>
      <c r="C2647" s="18" t="str">
        <f aca="false">'CEMIUP0.9 Raw'!C175</f>
        <v>11STO M חגורה אחרי ניתוח</v>
      </c>
      <c r="D2647" s="19" t="n">
        <f aca="false">'CEMIUP0.9 Raw'!D175</f>
        <v>9</v>
      </c>
      <c r="E2647" s="19" t="n">
        <f aca="false">'CEMIUP0.9 Raw'!E175</f>
        <v>1017.555</v>
      </c>
      <c r="F2647" s="19" t="n">
        <f aca="false">'CEMIUP0.9 Raw'!F175</f>
        <v>7.57894736842105</v>
      </c>
      <c r="G2647" s="19" t="n">
        <f aca="false">'CEMIUP0.9 Raw'!G175</f>
        <v>854.442947368421</v>
      </c>
      <c r="H2647" s="18" t="str">
        <f aca="false">'CEMIUP0.9 Raw'!A175</f>
        <v>107 - Pharmacies</v>
      </c>
    </row>
    <row r="2648" customFormat="false" ht="15" hidden="false" customHeight="false" outlineLevel="0" collapsed="false">
      <c r="A2648" s="18" t="n">
        <f aca="false">'CEMIUP0.9 Raw'!B178</f>
        <v>4408263</v>
      </c>
      <c r="B2648" s="18" t="str">
        <f aca="false">'CEMIUP0.9 Raw'!C178</f>
        <v>11STO XXL</v>
      </c>
      <c r="C2648" s="18" t="str">
        <f aca="false">'CEMIUP0.9 Raw'!C178</f>
        <v>11STO XXL</v>
      </c>
      <c r="D2648" s="19" t="n">
        <f aca="false">'CEMIUP0.9 Raw'!D178</f>
        <v>14</v>
      </c>
      <c r="E2648" s="19" t="n">
        <f aca="false">'CEMIUP0.9 Raw'!E178</f>
        <v>1530.41</v>
      </c>
      <c r="F2648" s="19" t="n">
        <f aca="false">'CEMIUP0.9 Raw'!F178</f>
        <v>7.57894736842105</v>
      </c>
      <c r="G2648" s="19" t="n">
        <f aca="false">'CEMIUP0.9 Raw'!G178</f>
        <v>795.802105263158</v>
      </c>
      <c r="H2648" s="18" t="str">
        <f aca="false">'CEMIUP0.9 Raw'!A178</f>
        <v>107 - Pharmacies</v>
      </c>
    </row>
    <row r="2649" customFormat="false" ht="15" hidden="false" customHeight="false" outlineLevel="0" collapsed="false">
      <c r="A2649" s="18" t="n">
        <f aca="false">'CEMIUP0.9 Raw'!B284</f>
        <v>4413111</v>
      </c>
      <c r="B2649" s="18" t="str">
        <f aca="false">'CEMIUP0.9 Raw'!C284</f>
        <v>49  S מגן ירך</v>
      </c>
      <c r="C2649" s="18" t="str">
        <f aca="false">'CEMIUP0.9 Raw'!C284</f>
        <v>49  S מגן ירך</v>
      </c>
      <c r="D2649" s="19" t="n">
        <f aca="false">'CEMIUP0.9 Raw'!D284</f>
        <v>22</v>
      </c>
      <c r="E2649" s="19" t="n">
        <f aca="false">'CEMIUP0.9 Raw'!E284</f>
        <v>681.954</v>
      </c>
      <c r="F2649" s="19" t="n">
        <f aca="false">'CEMIUP0.9 Raw'!F284</f>
        <v>7.57894736842105</v>
      </c>
      <c r="G2649" s="19" t="n">
        <f aca="false">'CEMIUP0.9 Raw'!G284</f>
        <v>223.687578947368</v>
      </c>
      <c r="H2649" s="18" t="str">
        <f aca="false">'CEMIUP0.9 Raw'!A284</f>
        <v>107 - Pharmacies</v>
      </c>
    </row>
    <row r="2650" customFormat="false" ht="15" hidden="false" customHeight="false" outlineLevel="0" collapsed="false">
      <c r="A2650" s="18" t="n">
        <f aca="false">'CEMIUP0.9 Raw'!B459</f>
        <v>4413527</v>
      </c>
      <c r="B2650" s="18" t="str">
        <f aca="false">'CEMIUP0.9 Raw'!C459</f>
        <v>35-38 מדרסי אפיק ג'ל עבודה</v>
      </c>
      <c r="C2650" s="18" t="str">
        <f aca="false">'CEMIUP0.9 Raw'!C459</f>
        <v>35-38 מדרסי אפיק ג'ל עבודה</v>
      </c>
      <c r="D2650" s="19" t="n">
        <f aca="false">'CEMIUP0.9 Raw'!D459</f>
        <v>10</v>
      </c>
      <c r="E2650" s="19" t="n">
        <f aca="false">'CEMIUP0.9 Raw'!E459</f>
        <v>821.548</v>
      </c>
      <c r="F2650" s="19" t="n">
        <f aca="false">'CEMIUP0.9 Raw'!F459</f>
        <v>7.57894736842105</v>
      </c>
      <c r="G2650" s="19" t="n">
        <f aca="false">'CEMIUP0.9 Raw'!G459</f>
        <v>687.730105263158</v>
      </c>
      <c r="H2650" s="18" t="str">
        <f aca="false">'CEMIUP0.9 Raw'!A459</f>
        <v>107 - Pharmacies</v>
      </c>
    </row>
    <row r="2651" customFormat="false" ht="15" hidden="false" customHeight="false" outlineLevel="0" collapsed="false">
      <c r="A2651" s="18" t="n">
        <f aca="false">'CEMIUP0.9 Raw'!B536</f>
        <v>4419013</v>
      </c>
      <c r="B2651" s="18" t="str">
        <f aca="false">'CEMIUP0.9 Raw'!C536</f>
        <v>239B L-XL STRAP4U</v>
      </c>
      <c r="C2651" s="18" t="str">
        <f aca="false">'CEMIUP0.9 Raw'!C536</f>
        <v>239B L-XL STRAP4U</v>
      </c>
      <c r="D2651" s="19" t="n">
        <f aca="false">'CEMIUP0.9 Raw'!D536</f>
        <v>-6</v>
      </c>
      <c r="E2651" s="19" t="n">
        <f aca="false">'CEMIUP0.9 Raw'!E536</f>
        <v>-82.355</v>
      </c>
      <c r="F2651" s="19" t="n">
        <f aca="false">'CEMIUP0.9 Raw'!F536</f>
        <v>7.57894736842105</v>
      </c>
      <c r="G2651" s="19" t="n">
        <f aca="false">'CEMIUP0.9 Raw'!G536</f>
        <v>132.189473684211</v>
      </c>
      <c r="H2651" s="18" t="str">
        <f aca="false">'CEMIUP0.9 Raw'!A536</f>
        <v>107 - Pharmacies</v>
      </c>
    </row>
    <row r="2652" customFormat="false" ht="15" hidden="false" customHeight="false" outlineLevel="0" collapsed="false">
      <c r="A2652" s="18" t="n">
        <f aca="false">'CEMIUP0.9 Raw'!B556</f>
        <v>4420026</v>
      </c>
      <c r="B2652" s="18" t="str">
        <f aca="false">'CEMIUP0.9 Raw'!C556</f>
        <v>AC40 רצועה לפיקת הברך</v>
      </c>
      <c r="C2652" s="18" t="str">
        <f aca="false">'CEMIUP0.9 Raw'!C556</f>
        <v>AC40 רצועה לפיקת הברך</v>
      </c>
      <c r="D2652" s="19" t="n">
        <f aca="false">'CEMIUP0.9 Raw'!D556</f>
        <v>5</v>
      </c>
      <c r="E2652" s="19" t="n">
        <f aca="false">'CEMIUP0.9 Raw'!E556</f>
        <v>367.493</v>
      </c>
      <c r="F2652" s="19" t="n">
        <f aca="false">'CEMIUP0.9 Raw'!F556</f>
        <v>7.57894736842105</v>
      </c>
      <c r="G2652" s="19" t="n">
        <f aca="false">'CEMIUP0.9 Raw'!G556</f>
        <v>552.481263157895</v>
      </c>
      <c r="H2652" s="18" t="str">
        <f aca="false">'CEMIUP0.9 Raw'!A556</f>
        <v>107 - Pharmacies</v>
      </c>
    </row>
    <row r="2653" customFormat="false" ht="15" hidden="false" customHeight="false" outlineLevel="0" collapsed="false">
      <c r="A2653" s="18" t="n">
        <f aca="false">'CEMIUP0.9 Raw'!B716</f>
        <v>4408080</v>
      </c>
      <c r="B2653" s="18" t="str">
        <f aca="false">'CEMIUP0.9 Raw'!C716</f>
        <v>59R L חגורת שבר לצד ימין</v>
      </c>
      <c r="C2653" s="18" t="str">
        <f aca="false">'CEMIUP0.9 Raw'!C716</f>
        <v>59R L חגורת שבר לצד ימין</v>
      </c>
      <c r="D2653" s="19" t="n">
        <f aca="false">'CEMIUP0.9 Raw'!D716</f>
        <v>17</v>
      </c>
      <c r="E2653" s="19" t="n">
        <f aca="false">'CEMIUP0.9 Raw'!E716</f>
        <v>2151.69</v>
      </c>
      <c r="F2653" s="19" t="n">
        <f aca="false">'CEMIUP0.9 Raw'!F716</f>
        <v>7.57894736842105</v>
      </c>
      <c r="G2653" s="19" t="n">
        <f aca="false">'CEMIUP0.9 Raw'!G716</f>
        <v>879.765473684211</v>
      </c>
      <c r="H2653" s="18" t="str">
        <f aca="false">'CEMIUP0.9 Raw'!A716</f>
        <v>113 - Kupat Holim Meuhedet</v>
      </c>
    </row>
    <row r="2654" customFormat="false" ht="15" hidden="false" customHeight="false" outlineLevel="0" collapsed="false">
      <c r="A2654" s="18" t="n">
        <f aca="false">'CEMIUP0.9 Raw'!B722</f>
        <v>4408153</v>
      </c>
      <c r="B2654" s="18" t="str">
        <f aca="false">'CEMIUP0.9 Raw'!C722</f>
        <v>11TO XLחגורה למנותחי בית החזה</v>
      </c>
      <c r="C2654" s="18" t="str">
        <f aca="false">'CEMIUP0.9 Raw'!C722</f>
        <v>11TO XLחגורה למנותחי בית החזה</v>
      </c>
      <c r="D2654" s="19" t="n">
        <f aca="false">'CEMIUP0.9 Raw'!D722</f>
        <v>9</v>
      </c>
      <c r="E2654" s="19" t="n">
        <f aca="false">'CEMIUP0.9 Raw'!E722</f>
        <v>963.81</v>
      </c>
      <c r="F2654" s="19" t="n">
        <f aca="false">'CEMIUP0.9 Raw'!F722</f>
        <v>7.57894736842105</v>
      </c>
      <c r="G2654" s="19" t="n">
        <f aca="false">'CEMIUP0.9 Raw'!G722</f>
        <v>732.171789473684</v>
      </c>
      <c r="H2654" s="18" t="str">
        <f aca="false">'CEMIUP0.9 Raw'!A722</f>
        <v>113 - Kupat Holim Meuhedet</v>
      </c>
    </row>
    <row r="2655" customFormat="false" ht="15" hidden="false" customHeight="false" outlineLevel="0" collapsed="false">
      <c r="A2655" s="18" t="n">
        <f aca="false">'CEMIUP0.9 Raw'!B762</f>
        <v>4411026</v>
      </c>
      <c r="B2655" s="18" t="str">
        <f aca="false">'CEMIUP0.9 Raw'!C762</f>
        <v>213CTSL L שמאל CTS כפפות</v>
      </c>
      <c r="C2655" s="18" t="str">
        <f aca="false">'CEMIUP0.9 Raw'!C762</f>
        <v>213CTSL L שמאל CTS כפפות</v>
      </c>
      <c r="D2655" s="19" t="n">
        <f aca="false">'CEMIUP0.9 Raw'!D762</f>
        <v>0</v>
      </c>
      <c r="E2655" s="19" t="n">
        <f aca="false">'CEMIUP0.9 Raw'!E762</f>
        <v>0</v>
      </c>
      <c r="F2655" s="19" t="n">
        <f aca="false">'CEMIUP0.9 Raw'!F762</f>
        <v>7.57894736842105</v>
      </c>
      <c r="G2655" s="19" t="n">
        <f aca="false">'CEMIUP0.9 Raw'!G762</f>
        <v>489.675789473684</v>
      </c>
      <c r="H2655" s="18" t="str">
        <f aca="false">'CEMIUP0.9 Raw'!A762</f>
        <v>113 - Kupat Holim Meuhedet</v>
      </c>
    </row>
    <row r="2656" customFormat="false" ht="15" hidden="false" customHeight="false" outlineLevel="0" collapsed="false">
      <c r="A2656" s="18" t="n">
        <f aca="false">'CEMIUP0.9 Raw'!B844</f>
        <v>4415019</v>
      </c>
      <c r="B2656" s="18" t="str">
        <f aca="false">'CEMIUP0.9 Raw'!C844</f>
        <v>333 סד לקרסול עם כריות אויר</v>
      </c>
      <c r="C2656" s="18" t="str">
        <f aca="false">'CEMIUP0.9 Raw'!C844</f>
        <v>333 סד לקרסול עם כריות אויר</v>
      </c>
      <c r="D2656" s="19" t="n">
        <f aca="false">'CEMIUP0.9 Raw'!D844</f>
        <v>44</v>
      </c>
      <c r="E2656" s="19" t="n">
        <f aca="false">'CEMIUP0.9 Raw'!E844</f>
        <v>4283.4</v>
      </c>
      <c r="F2656" s="19" t="n">
        <f aca="false">'CEMIUP0.9 Raw'!F844</f>
        <v>7.57894736842105</v>
      </c>
      <c r="G2656" s="19" t="n">
        <f aca="false">'CEMIUP0.9 Raw'!G844</f>
        <v>604.418526315789</v>
      </c>
      <c r="H2656" s="18" t="str">
        <f aca="false">'CEMIUP0.9 Raw'!A844</f>
        <v>113 - Kupat Holim Meuhedet</v>
      </c>
    </row>
    <row r="2657" customFormat="false" ht="15" hidden="false" customHeight="false" outlineLevel="0" collapsed="false">
      <c r="A2657" s="18" t="str">
        <f aca="false">'CEMIUP0.9 Raw'!B918</f>
        <v>LUPD340 0</v>
      </c>
      <c r="B2657" s="18" t="str">
        <f aca="false">'CEMIUP0.9 Raw'!C918</f>
        <v>LUPD340 0</v>
      </c>
      <c r="C2657" s="18" t="str">
        <f aca="false">'CEMIUP0.9 Raw'!C918</f>
        <v>LUPD340 0</v>
      </c>
      <c r="D2657" s="19" t="n">
        <f aca="false">'CEMIUP0.9 Raw'!D918</f>
        <v>0</v>
      </c>
      <c r="E2657" s="19" t="n">
        <f aca="false">'CEMIUP0.9 Raw'!E918</f>
        <v>0</v>
      </c>
      <c r="F2657" s="19" t="n">
        <f aca="false">'CEMIUP0.9 Raw'!F918</f>
        <v>7.57894736842105</v>
      </c>
      <c r="G2657" s="19" t="n">
        <f aca="false">'CEMIUP0.9 Raw'!G918</f>
        <v>0</v>
      </c>
      <c r="H2657" s="18" t="str">
        <f aca="false">'CEMIUP0.9 Raw'!A918</f>
        <v>113 - Kupat Holim Meuhedet</v>
      </c>
    </row>
    <row r="2658" customFormat="false" ht="15" hidden="false" customHeight="false" outlineLevel="0" collapsed="false">
      <c r="A2658" s="18" t="str">
        <f aca="false">'CEMIUP0.9 Raw'!B924</f>
        <v>T39 M</v>
      </c>
      <c r="B2658" s="18" t="str">
        <f aca="false">'CEMIUP0.9 Raw'!C924</f>
        <v>T39 M</v>
      </c>
      <c r="C2658" s="18" t="str">
        <f aca="false">'CEMIUP0.9 Raw'!C924</f>
        <v>T39 M</v>
      </c>
      <c r="D2658" s="19" t="n">
        <f aca="false">'CEMIUP0.9 Raw'!D924</f>
        <v>1</v>
      </c>
      <c r="E2658" s="19" t="n">
        <f aca="false">'CEMIUP0.9 Raw'!E924</f>
        <v>73.8</v>
      </c>
      <c r="F2658" s="19" t="n">
        <f aca="false">'CEMIUP0.9 Raw'!F924</f>
        <v>7.57894736842105</v>
      </c>
      <c r="G2658" s="19" t="n">
        <f aca="false">'CEMIUP0.9 Raw'!G924</f>
        <v>559.326315789474</v>
      </c>
      <c r="H2658" s="18" t="str">
        <f aca="false">'CEMIUP0.9 Raw'!A924</f>
        <v>113 - Kupat Holim Meuhedet</v>
      </c>
    </row>
    <row r="2659" customFormat="false" ht="15" hidden="false" customHeight="false" outlineLevel="0" collapsed="false">
      <c r="A2659" s="18" t="n">
        <f aca="false">'CEMIUP0.9 Raw'!B943</f>
        <v>4403007</v>
      </c>
      <c r="B2659" s="18" t="str">
        <f aca="false">'CEMIUP0.9 Raw'!C943</f>
        <v>390W גרב.כסף לסכרתיים לבן39-42</v>
      </c>
      <c r="C2659" s="18" t="str">
        <f aca="false">'CEMIUP0.9 Raw'!C943</f>
        <v>390W גרב.כסף לסכרתיים לבן39-42</v>
      </c>
      <c r="D2659" s="19" t="n">
        <f aca="false">'CEMIUP0.9 Raw'!D943</f>
        <v>16</v>
      </c>
      <c r="E2659" s="19" t="n">
        <f aca="false">'CEMIUP0.9 Raw'!E943</f>
        <v>454.909</v>
      </c>
      <c r="F2659" s="19" t="n">
        <f aca="false">'CEMIUP0.9 Raw'!F943</f>
        <v>7.57894736842105</v>
      </c>
      <c r="G2659" s="19" t="n">
        <f aca="false">'CEMIUP0.9 Raw'!G943</f>
        <v>217.020631578947</v>
      </c>
      <c r="H2659" s="18" t="str">
        <f aca="false">'CEMIUP0.9 Raw'!A943</f>
        <v>BE (CEMI internal group)</v>
      </c>
    </row>
    <row r="2660" customFormat="false" ht="15" hidden="false" customHeight="false" outlineLevel="0" collapsed="false">
      <c r="A2660" s="18" t="n">
        <f aca="false">'CEMIUP0.9 Raw'!B964</f>
        <v>4408029</v>
      </c>
      <c r="B2660" s="18" t="str">
        <f aca="false">'CEMIUP0.9 Raw'!C964</f>
        <v>10 XL ""חגורת גב ""לומבו</v>
      </c>
      <c r="C2660" s="18" t="str">
        <f aca="false">'CEMIUP0.9 Raw'!C964</f>
        <v>10 XL ""חגורת גב ""לומבו</v>
      </c>
      <c r="D2660" s="19" t="n">
        <f aca="false">'CEMIUP0.9 Raw'!D964</f>
        <v>2</v>
      </c>
      <c r="E2660" s="19" t="n">
        <f aca="false">'CEMIUP0.9 Raw'!E964</f>
        <v>256.893</v>
      </c>
      <c r="F2660" s="19" t="n">
        <f aca="false">'CEMIUP0.9 Raw'!F964</f>
        <v>7.57894736842105</v>
      </c>
      <c r="G2660" s="19" t="n">
        <f aca="false">'CEMIUP0.9 Raw'!G964</f>
        <v>973.489263157895</v>
      </c>
      <c r="H2660" s="18" t="str">
        <f aca="false">'CEMIUP0.9 Raw'!A964</f>
        <v>BE (CEMI internal group)</v>
      </c>
    </row>
    <row r="2661" customFormat="false" ht="15" hidden="false" customHeight="false" outlineLevel="0" collapsed="false">
      <c r="A2661" s="18" t="n">
        <f aca="false">'CEMIUP0.9 Raw'!B983</f>
        <v>4408070</v>
      </c>
      <c r="B2661" s="18" t="str">
        <f aca="false">'CEMIUP0.9 Raw'!C983</f>
        <v>59D S חגורת שבר דו צדדי</v>
      </c>
      <c r="C2661" s="18" t="str">
        <f aca="false">'CEMIUP0.9 Raw'!C983</f>
        <v>59D S חגורת שבר דו צדדי</v>
      </c>
      <c r="D2661" s="19" t="n">
        <f aca="false">'CEMIUP0.9 Raw'!D983</f>
        <v>4</v>
      </c>
      <c r="E2661" s="19" t="n">
        <f aca="false">'CEMIUP0.9 Raw'!E983</f>
        <v>1098.188</v>
      </c>
      <c r="F2661" s="19" t="n">
        <f aca="false">'CEMIUP0.9 Raw'!F983</f>
        <v>7.57894736842105</v>
      </c>
      <c r="G2661" s="19" t="n">
        <f aca="false">'CEMIUP0.9 Raw'!G983</f>
        <v>2080.89221052632</v>
      </c>
      <c r="H2661" s="18" t="str">
        <f aca="false">'CEMIUP0.9 Raw'!A983</f>
        <v>BE (CEMI internal group)</v>
      </c>
    </row>
    <row r="2662" customFormat="false" ht="15" hidden="false" customHeight="false" outlineLevel="0" collapsed="false">
      <c r="A2662" s="18" t="n">
        <f aca="false">'CEMIUP0.9 Raw'!B1132</f>
        <v>4413156</v>
      </c>
      <c r="B2662" s="18" t="str">
        <f aca="false">'CEMIUP0.9 Raw'!C1132</f>
        <v>305GA מדרס אורטופ.מתכוון41-42</v>
      </c>
      <c r="C2662" s="18" t="str">
        <f aca="false">'CEMIUP0.9 Raw'!C1132</f>
        <v>305GA מדרס אורטופ.מתכוון41-42</v>
      </c>
      <c r="D2662" s="19" t="n">
        <f aca="false">'CEMIUP0.9 Raw'!D1132</f>
        <v>26</v>
      </c>
      <c r="E2662" s="19" t="n">
        <f aca="false">'CEMIUP0.9 Raw'!E1132</f>
        <v>1655.017</v>
      </c>
      <c r="F2662" s="19" t="n">
        <f aca="false">'CEMIUP0.9 Raw'!F1132</f>
        <v>7.57894736842105</v>
      </c>
      <c r="G2662" s="19" t="n">
        <f aca="false">'CEMIUP0.9 Raw'!G1132</f>
        <v>482.434105263158</v>
      </c>
      <c r="H2662" s="18" t="str">
        <f aca="false">'CEMIUP0.9 Raw'!A1132</f>
        <v>BE (CEMI internal group)</v>
      </c>
    </row>
    <row r="2663" customFormat="false" ht="15" hidden="false" customHeight="false" outlineLevel="0" collapsed="false">
      <c r="A2663" s="18" t="n">
        <f aca="false">'CEMIUP0.9 Raw'!B1144</f>
        <v>4413184</v>
      </c>
      <c r="B2663" s="18" t="str">
        <f aca="false">'CEMIUP0.9 Raw'!C1144</f>
        <v>T 45 L מגן ברך רגיל</v>
      </c>
      <c r="C2663" s="18" t="str">
        <f aca="false">'CEMIUP0.9 Raw'!C1144</f>
        <v>T 45 L מגן ברך רגיל</v>
      </c>
      <c r="D2663" s="19" t="n">
        <f aca="false">'CEMIUP0.9 Raw'!D1144</f>
        <v>14</v>
      </c>
      <c r="E2663" s="19" t="n">
        <f aca="false">'CEMIUP0.9 Raw'!E1144</f>
        <v>1236.235</v>
      </c>
      <c r="F2663" s="19" t="n">
        <f aca="false">'CEMIUP0.9 Raw'!F1144</f>
        <v>7.57894736842105</v>
      </c>
      <c r="G2663" s="19" t="n">
        <f aca="false">'CEMIUP0.9 Raw'!G1144</f>
        <v>669.223578947368</v>
      </c>
      <c r="H2663" s="18" t="str">
        <f aca="false">'CEMIUP0.9 Raw'!A1144</f>
        <v>BE (CEMI internal group)</v>
      </c>
    </row>
    <row r="2664" customFormat="false" ht="15" hidden="false" customHeight="false" outlineLevel="0" collapsed="false">
      <c r="A2664" s="18" t="n">
        <f aca="false">'CEMIUP0.9 Raw'!B1186</f>
        <v>4413423</v>
      </c>
      <c r="B2664" s="18" t="str">
        <f aca="false">'CEMIUP0.9 Raw'!C1186</f>
        <v>SC35L XL מגן קרסול שמאל</v>
      </c>
      <c r="C2664" s="18" t="str">
        <f aca="false">'CEMIUP0.9 Raw'!C1186</f>
        <v>SC35L XL מגן קרסול שמאל</v>
      </c>
      <c r="D2664" s="19" t="n">
        <f aca="false">'CEMIUP0.9 Raw'!D1186</f>
        <v>4</v>
      </c>
      <c r="E2664" s="19" t="n">
        <f aca="false">'CEMIUP0.9 Raw'!E1186</f>
        <v>223.314</v>
      </c>
      <c r="F2664" s="19" t="n">
        <f aca="false">'CEMIUP0.9 Raw'!F1186</f>
        <v>7.57894736842105</v>
      </c>
      <c r="G2664" s="19" t="n">
        <f aca="false">'CEMIUP0.9 Raw'!G1186</f>
        <v>513.699789473684</v>
      </c>
      <c r="H2664" s="18" t="str">
        <f aca="false">'CEMIUP0.9 Raw'!A1186</f>
        <v>BE (CEMI internal group)</v>
      </c>
    </row>
    <row r="2665" customFormat="false" ht="15" hidden="false" customHeight="false" outlineLevel="0" collapsed="false">
      <c r="A2665" s="18" t="n">
        <f aca="false">'CEMIUP0.9 Raw'!B1189</f>
        <v>4413427</v>
      </c>
      <c r="B2665" s="18" t="str">
        <f aca="false">'CEMIUP0.9 Raw'!C1189</f>
        <v>SC35R  XLמגן קרסול ימין</v>
      </c>
      <c r="C2665" s="18" t="str">
        <f aca="false">'CEMIUP0.9 Raw'!C1189</f>
        <v>SC35R  XLמגן קרסול ימין</v>
      </c>
      <c r="D2665" s="19" t="n">
        <f aca="false">'CEMIUP0.9 Raw'!D1189</f>
        <v>-1</v>
      </c>
      <c r="E2665" s="19" t="n">
        <f aca="false">'CEMIUP0.9 Raw'!E1189</f>
        <v>-115.661</v>
      </c>
      <c r="F2665" s="19" t="n">
        <f aca="false">'CEMIUP0.9 Raw'!F1189</f>
        <v>7.57894736842105</v>
      </c>
      <c r="G2665" s="19" t="n">
        <f aca="false">'CEMIUP0.9 Raw'!G1189</f>
        <v>513.814736842105</v>
      </c>
      <c r="H2665" s="18" t="str">
        <f aca="false">'CEMIUP0.9 Raw'!A1189</f>
        <v>BE (CEMI internal group)</v>
      </c>
    </row>
    <row r="2666" customFormat="false" ht="15" hidden="false" customHeight="false" outlineLevel="0" collapsed="false">
      <c r="A2666" s="18" t="n">
        <f aca="false">'CEMIUP0.9 Raw'!B1579</f>
        <v>4413418</v>
      </c>
      <c r="B2666" s="18" t="str">
        <f aca="false">'CEMIUP0.9 Raw'!C1579</f>
        <v>SC39 XL מגן שוק</v>
      </c>
      <c r="C2666" s="18" t="str">
        <f aca="false">'CEMIUP0.9 Raw'!C1579</f>
        <v>SC39 XL מגן שוק</v>
      </c>
      <c r="D2666" s="19" t="n">
        <f aca="false">'CEMIUP0.9 Raw'!D1579</f>
        <v>2</v>
      </c>
      <c r="E2666" s="19" t="n">
        <f aca="false">'CEMIUP0.9 Raw'!E1579</f>
        <v>259.441</v>
      </c>
      <c r="F2666" s="19" t="n">
        <f aca="false">'CEMIUP0.9 Raw'!F1579</f>
        <v>7.57894736842105</v>
      </c>
      <c r="G2666" s="19" t="n">
        <f aca="false">'CEMIUP0.9 Raw'!G1579</f>
        <v>941.533894736842</v>
      </c>
      <c r="H2666" s="18" t="str">
        <f aca="false">'CEMIUP0.9 Raw'!A1579</f>
        <v>Super-Pharm Israel (CEMI internal group)</v>
      </c>
    </row>
    <row r="2667" customFormat="false" ht="15" hidden="false" customHeight="false" outlineLevel="0" collapsed="false">
      <c r="A2667" s="18" t="n">
        <f aca="false">'CEMIUP0.9 Raw'!B1580</f>
        <v>4413421</v>
      </c>
      <c r="B2667" s="18" t="str">
        <f aca="false">'CEMIUP0.9 Raw'!C1580</f>
        <v>SC35L  M מגן קרסול שמאל</v>
      </c>
      <c r="C2667" s="18" t="str">
        <f aca="false">'CEMIUP0.9 Raw'!C1580</f>
        <v>SC35L  M מגן קרסול שמאל</v>
      </c>
      <c r="D2667" s="19" t="n">
        <f aca="false">'CEMIUP0.9 Raw'!D1580</f>
        <v>26</v>
      </c>
      <c r="E2667" s="19" t="n">
        <f aca="false">'CEMIUP0.9 Raw'!E1580</f>
        <v>1745.471</v>
      </c>
      <c r="F2667" s="19" t="n">
        <f aca="false">'CEMIUP0.9 Raw'!F1580</f>
        <v>7.57894736842105</v>
      </c>
      <c r="G2667" s="19" t="n">
        <f aca="false">'CEMIUP0.9 Raw'!G1580</f>
        <v>513.699789473684</v>
      </c>
      <c r="H2667" s="18" t="str">
        <f aca="false">'CEMIUP0.9 Raw'!A1580</f>
        <v>Super-Pharm Israel (CEMI internal group)</v>
      </c>
    </row>
    <row r="2668" customFormat="false" ht="15" hidden="false" customHeight="false" outlineLevel="0" collapsed="false">
      <c r="A2668" s="18" t="n">
        <f aca="false">'CEMIUP0.9 Raw'!B1691</f>
        <v>4422005</v>
      </c>
      <c r="B2668" s="18" t="str">
        <f aca="false">'CEMIUP0.9 Raw'!C1691</f>
        <v>T78 M תומך זרוע וכתף</v>
      </c>
      <c r="C2668" s="18" t="str">
        <f aca="false">'CEMIUP0.9 Raw'!C1691</f>
        <v>T78 M תומך זרוע וכתף</v>
      </c>
      <c r="D2668" s="19" t="n">
        <f aca="false">'CEMIUP0.9 Raw'!D1691</f>
        <v>5</v>
      </c>
      <c r="E2668" s="19" t="n">
        <f aca="false">'CEMIUP0.9 Raw'!E1691</f>
        <v>752.934</v>
      </c>
      <c r="F2668" s="19" t="n">
        <f aca="false">'CEMIUP0.9 Raw'!F1691</f>
        <v>7.57894736842105</v>
      </c>
      <c r="G2668" s="19" t="n">
        <f aca="false">'CEMIUP0.9 Raw'!G1691</f>
        <v>908.544</v>
      </c>
      <c r="H2668" s="18" t="str">
        <f aca="false">'CEMIUP0.9 Raw'!A1691</f>
        <v>Super-Pharm Israel (CEMI internal group)</v>
      </c>
    </row>
    <row r="2669" customFormat="false" ht="15" hidden="false" customHeight="false" outlineLevel="0" collapsed="false">
      <c r="A2669" s="18" t="n">
        <f aca="false">'CEMIUP0.9 Raw'!B1692</f>
        <v>4422006</v>
      </c>
      <c r="B2669" s="18" t="str">
        <f aca="false">'CEMIUP0.9 Raw'!C1692</f>
        <v>T78 L תומך זרוע וכתף</v>
      </c>
      <c r="C2669" s="18" t="str">
        <f aca="false">'CEMIUP0.9 Raw'!C1692</f>
        <v>T78 L תומך זרוע וכתף</v>
      </c>
      <c r="D2669" s="19" t="n">
        <f aca="false">'CEMIUP0.9 Raw'!D1692</f>
        <v>4</v>
      </c>
      <c r="E2669" s="19" t="n">
        <f aca="false">'CEMIUP0.9 Raw'!E1692</f>
        <v>596.414</v>
      </c>
      <c r="F2669" s="19" t="n">
        <f aca="false">'CEMIUP0.9 Raw'!F1692</f>
        <v>7.57894736842105</v>
      </c>
      <c r="G2669" s="19" t="n">
        <f aca="false">'CEMIUP0.9 Raw'!G1692</f>
        <v>1121.08168421053</v>
      </c>
      <c r="H2669" s="18" t="str">
        <f aca="false">'CEMIUP0.9 Raw'!A1692</f>
        <v>Super-Pharm Israel (CEMI internal group)</v>
      </c>
    </row>
    <row r="2670" customFormat="false" ht="15" hidden="false" customHeight="false" outlineLevel="0" collapsed="false">
      <c r="A2670" s="18" t="n">
        <f aca="false">'CEMIUP0.9 Raw'!B1693</f>
        <v>4422007</v>
      </c>
      <c r="B2670" s="18" t="str">
        <f aca="false">'CEMIUP0.9 Raw'!C1693</f>
        <v>T78 XLתומך זרוע וכתף</v>
      </c>
      <c r="C2670" s="18" t="str">
        <f aca="false">'CEMIUP0.9 Raw'!C1693</f>
        <v>T78 XLתומך זרוע וכתף</v>
      </c>
      <c r="D2670" s="19" t="n">
        <f aca="false">'CEMIUP0.9 Raw'!D1693</f>
        <v>4</v>
      </c>
      <c r="E2670" s="19" t="n">
        <f aca="false">'CEMIUP0.9 Raw'!E1693</f>
        <v>596.414</v>
      </c>
      <c r="F2670" s="19" t="n">
        <f aca="false">'CEMIUP0.9 Raw'!F1693</f>
        <v>7.57894736842105</v>
      </c>
      <c r="G2670" s="19" t="n">
        <f aca="false">'CEMIUP0.9 Raw'!G1693</f>
        <v>1121.08168421053</v>
      </c>
      <c r="H2670" s="18" t="str">
        <f aca="false">'CEMIUP0.9 Raw'!A1693</f>
        <v>Super-Pharm Israel (CEMI internal group)</v>
      </c>
    </row>
    <row r="2671" customFormat="false" ht="15" hidden="false" customHeight="false" outlineLevel="0" collapsed="false">
      <c r="A2671" s="18" t="str">
        <f aca="false">'SALES Raw'!G12</f>
        <v/>
      </c>
      <c r="B2671" s="18" t="str">
        <f aca="false">'SALES Raw'!B12</f>
        <v>T39 XL</v>
      </c>
      <c r="C2671" s="18" t="str">
        <f aca="false">'SALES Raw'!H12</f>
        <v>T39 XL</v>
      </c>
      <c r="D2671" s="19" t="n">
        <f aca="false">'SALES Raw'!C12</f>
        <v>2</v>
      </c>
      <c r="E2671" s="19" t="n">
        <f aca="false">'SALES Raw'!D12</f>
        <v>211.72</v>
      </c>
      <c r="F2671" s="19" t="n">
        <f aca="false">'SALES Raw'!E12*$H$4</f>
        <v>6.31578947368421</v>
      </c>
      <c r="G2671" s="19" t="n">
        <f aca="false">'SALES Raw'!F12*$H$4</f>
        <v>680.614736842105</v>
      </c>
      <c r="H2671" s="18" t="str">
        <f aca="false">'SALES Raw'!A12</f>
        <v>101 - Factory customers</v>
      </c>
    </row>
    <row r="2672" customFormat="false" ht="15" hidden="false" customHeight="false" outlineLevel="0" collapsed="false">
      <c r="A2672" s="18" t="n">
        <f aca="false">'SALES Raw'!G59</f>
        <v>4421005</v>
      </c>
      <c r="B2672" s="18" t="str">
        <f aca="false">'SALES Raw'!B59</f>
        <v>250 0</v>
      </c>
      <c r="C2672" s="18" t="str">
        <f aca="false">'SALES Raw'!H59</f>
        <v>שרוול לגבס קצר יד</v>
      </c>
      <c r="D2672" s="19" t="n">
        <f aca="false">'SALES Raw'!C59</f>
        <v>4</v>
      </c>
      <c r="E2672" s="19" t="n">
        <f aca="false">'SALES Raw'!D59</f>
        <v>183.01</v>
      </c>
      <c r="F2672" s="19" t="n">
        <f aca="false">'SALES Raw'!E59*$H$4</f>
        <v>6.31578947368421</v>
      </c>
      <c r="G2672" s="19" t="n">
        <f aca="false">'SALES Raw'!F59*$H$4</f>
        <v>217.806315789474</v>
      </c>
      <c r="H2672" s="18" t="str">
        <f aca="false">'SALES Raw'!A59</f>
        <v>101 - Factory customers</v>
      </c>
    </row>
    <row r="2673" customFormat="false" ht="15" hidden="false" customHeight="false" outlineLevel="0" collapsed="false">
      <c r="A2673" s="18" t="n">
        <f aca="false">'SALES Raw'!G75</f>
        <v>4416001</v>
      </c>
      <c r="B2673" s="18" t="str">
        <f aca="false">'SALES Raw'!B75</f>
        <v>307 M</v>
      </c>
      <c r="C2673" s="18" t="str">
        <f aca="false">'SALES Raw'!H75</f>
        <v>307 M עקבים לדורבן-זוג כריות</v>
      </c>
      <c r="D2673" s="19" t="n">
        <f aca="false">'SALES Raw'!C75</f>
        <v>4</v>
      </c>
      <c r="E2673" s="19" t="n">
        <f aca="false">'SALES Raw'!D75</f>
        <v>342.56</v>
      </c>
      <c r="F2673" s="19" t="n">
        <f aca="false">'SALES Raw'!E75*$H$4</f>
        <v>6.31578947368421</v>
      </c>
      <c r="G2673" s="19" t="n">
        <f aca="false">'SALES Raw'!F75*$H$4</f>
        <v>551.823157894737</v>
      </c>
      <c r="H2673" s="18" t="str">
        <f aca="false">'SALES Raw'!A75</f>
        <v>101 - Factory customers</v>
      </c>
    </row>
    <row r="2674" customFormat="false" ht="15" hidden="false" customHeight="false" outlineLevel="0" collapsed="false">
      <c r="A2674" s="18" t="n">
        <f aca="false">'SALES Raw'!G87</f>
        <v>4413048</v>
      </c>
      <c r="B2674" s="18" t="str">
        <f aca="false">'SALES Raw'!B87</f>
        <v>35 L</v>
      </c>
      <c r="C2674" s="18" t="str">
        <f aca="false">'SALES Raw'!H87</f>
        <v>35 L מגן קרסול לבן</v>
      </c>
      <c r="D2674" s="19" t="n">
        <f aca="false">'SALES Raw'!C87</f>
        <v>7</v>
      </c>
      <c r="E2674" s="19" t="n">
        <f aca="false">'SALES Raw'!D87</f>
        <v>220.39</v>
      </c>
      <c r="F2674" s="19" t="n">
        <f aca="false">'SALES Raw'!E87*$H$4</f>
        <v>6.31578947368421</v>
      </c>
      <c r="G2674" s="19" t="n">
        <f aca="false">'SALES Raw'!F87*$H$4</f>
        <v>156.075789473684</v>
      </c>
      <c r="H2674" s="18" t="str">
        <f aca="false">'SALES Raw'!A87</f>
        <v>101 - Factory customers</v>
      </c>
    </row>
    <row r="2675" customFormat="false" ht="15" hidden="false" customHeight="false" outlineLevel="0" collapsed="false">
      <c r="A2675" s="18" t="n">
        <f aca="false">'SALES Raw'!G100</f>
        <v>4421008</v>
      </c>
      <c r="B2675" s="18" t="str">
        <f aca="false">'SALES Raw'!B100</f>
        <v>351 0</v>
      </c>
      <c r="C2675" s="18" t="str">
        <f aca="false">'SALES Raw'!H100</f>
        <v>שרוול לגבס ארוך רגל</v>
      </c>
      <c r="D2675" s="19" t="n">
        <f aca="false">'SALES Raw'!C100</f>
        <v>4</v>
      </c>
      <c r="E2675" s="19" t="n">
        <f aca="false">'SALES Raw'!D100</f>
        <v>219.77</v>
      </c>
      <c r="F2675" s="19" t="n">
        <f aca="false">'SALES Raw'!E100*$H$4</f>
        <v>6.31578947368421</v>
      </c>
      <c r="G2675" s="19" t="n">
        <f aca="false">'SALES Raw'!F100*$H$4</f>
        <v>295.717894736842</v>
      </c>
      <c r="H2675" s="18" t="str">
        <f aca="false">'SALES Raw'!A100</f>
        <v>101 - Factory customers</v>
      </c>
    </row>
    <row r="2676" customFormat="false" ht="15" hidden="false" customHeight="false" outlineLevel="0" collapsed="false">
      <c r="A2676" s="18" t="n">
        <f aca="false">'SALES Raw'!G132</f>
        <v>4415298</v>
      </c>
      <c r="B2676" s="18" t="str">
        <f aca="false">'SALES Raw'!B132</f>
        <v>388BL 0</v>
      </c>
      <c r="C2676" s="18" t="str">
        <f aca="false">'SALES Raw'!H132</f>
        <v>388B L סד לילה שחור לבוהן שמאל</v>
      </c>
      <c r="D2676" s="19" t="n">
        <f aca="false">'SALES Raw'!C132</f>
        <v>10</v>
      </c>
      <c r="E2676" s="19" t="n">
        <f aca="false">'SALES Raw'!D132</f>
        <v>694.82</v>
      </c>
      <c r="F2676" s="19" t="n">
        <f aca="false">'SALES Raw'!E132*$H$4</f>
        <v>6.31578947368421</v>
      </c>
      <c r="G2676" s="19" t="n">
        <f aca="false">'SALES Raw'!F132*$H$4</f>
        <v>371.608421052632</v>
      </c>
      <c r="H2676" s="18" t="str">
        <f aca="false">'SALES Raw'!A132</f>
        <v>101 - Factory customers</v>
      </c>
    </row>
    <row r="2677" customFormat="false" ht="15" hidden="false" customHeight="false" outlineLevel="0" collapsed="false">
      <c r="A2677" s="18" t="n">
        <f aca="false">'SALES Raw'!G143</f>
        <v>4403019</v>
      </c>
      <c r="B2677" s="18" t="str">
        <f aca="false">'SALES Raw'!B143</f>
        <v>394B-43-46</v>
      </c>
      <c r="C2677" s="18" t="str">
        <f aca="false">'SALES Raw'!H143</f>
        <v>394B גרב.כסף לסכרתים שחור43-46</v>
      </c>
      <c r="D2677" s="19" t="n">
        <f aca="false">'SALES Raw'!C143</f>
        <v>63</v>
      </c>
      <c r="E2677" s="19" t="n">
        <f aca="false">'SALES Raw'!D143</f>
        <v>1674.81</v>
      </c>
      <c r="F2677" s="19" t="n">
        <f aca="false">'SALES Raw'!E143*$H$4</f>
        <v>6.31578947368421</v>
      </c>
      <c r="G2677" s="19" t="n">
        <f aca="false">'SALES Raw'!F143*$H$4</f>
        <v>177.347368421053</v>
      </c>
      <c r="H2677" s="18" t="str">
        <f aca="false">'SALES Raw'!A143</f>
        <v>101 - Factory customers</v>
      </c>
    </row>
    <row r="2678" customFormat="false" ht="15" hidden="false" customHeight="false" outlineLevel="0" collapsed="false">
      <c r="A2678" s="18" t="n">
        <f aca="false">'SALES Raw'!G162</f>
        <v>4413495</v>
      </c>
      <c r="B2678" s="18" t="str">
        <f aca="false">'SALES Raw'!B162</f>
        <v>45B L</v>
      </c>
      <c r="C2678" s="18" t="str">
        <f aca="false">'SALES Raw'!H162</f>
        <v>45B L מגן ברך שחור</v>
      </c>
      <c r="D2678" s="19" t="n">
        <f aca="false">'SALES Raw'!C162</f>
        <v>4</v>
      </c>
      <c r="E2678" s="19" t="n">
        <f aca="false">'SALES Raw'!D162</f>
        <v>133.86</v>
      </c>
      <c r="F2678" s="19" t="n">
        <f aca="false">'SALES Raw'!E162*$H$4</f>
        <v>6.31578947368421</v>
      </c>
      <c r="G2678" s="19" t="n">
        <f aca="false">'SALES Raw'!F162*$H$4</f>
        <v>195.107368421053</v>
      </c>
      <c r="H2678" s="18" t="str">
        <f aca="false">'SALES Raw'!A162</f>
        <v>101 - Factory customers</v>
      </c>
    </row>
    <row r="2679" customFormat="false" ht="15" hidden="false" customHeight="false" outlineLevel="0" collapsed="false">
      <c r="A2679" s="18" t="n">
        <f aca="false">'SALES Raw'!G163</f>
        <v>4413497</v>
      </c>
      <c r="B2679" s="18" t="str">
        <f aca="false">'SALES Raw'!B163</f>
        <v>45B M</v>
      </c>
      <c r="C2679" s="18" t="str">
        <f aca="false">'SALES Raw'!H163</f>
        <v>45B M מגן ברך שחור</v>
      </c>
      <c r="D2679" s="19" t="n">
        <f aca="false">'SALES Raw'!C163</f>
        <v>13</v>
      </c>
      <c r="E2679" s="19" t="n">
        <f aca="false">'SALES Raw'!D163</f>
        <v>365.91</v>
      </c>
      <c r="F2679" s="19" t="n">
        <f aca="false">'SALES Raw'!E163*$H$4</f>
        <v>6.31578947368421</v>
      </c>
      <c r="G2679" s="19" t="n">
        <f aca="false">'SALES Raw'!F163*$H$4</f>
        <v>195.107368421053</v>
      </c>
      <c r="H2679" s="18" t="str">
        <f aca="false">'SALES Raw'!A163</f>
        <v>101 - Factory customers</v>
      </c>
    </row>
    <row r="2680" customFormat="false" ht="15" hidden="false" customHeight="false" outlineLevel="0" collapsed="false">
      <c r="A2680" s="18" t="n">
        <f aca="false">'SALES Raw'!G228</f>
        <v>4420026</v>
      </c>
      <c r="B2680" s="18" t="str">
        <f aca="false">'SALES Raw'!B228</f>
        <v>AC40 0</v>
      </c>
      <c r="C2680" s="18" t="str">
        <f aca="false">'SALES Raw'!H228</f>
        <v>AC40 רצועה לפיקת הברך</v>
      </c>
      <c r="D2680" s="19" t="n">
        <f aca="false">'SALES Raw'!C228</f>
        <v>9</v>
      </c>
      <c r="E2680" s="19" t="n">
        <f aca="false">'SALES Raw'!D228</f>
        <v>767.44</v>
      </c>
      <c r="F2680" s="19" t="n">
        <f aca="false">'SALES Raw'!E228*$H$4</f>
        <v>6.31578947368421</v>
      </c>
      <c r="G2680" s="19" t="n">
        <f aca="false">'SALES Raw'!F228*$H$4</f>
        <v>499.098947368421</v>
      </c>
      <c r="H2680" s="18" t="str">
        <f aca="false">'SALES Raw'!A228</f>
        <v>101 - Factory customers</v>
      </c>
    </row>
    <row r="2681" customFormat="false" ht="15" hidden="false" customHeight="false" outlineLevel="0" collapsed="false">
      <c r="A2681" s="18" t="n">
        <f aca="false">'SALES Raw'!G302</f>
        <v>4408051</v>
      </c>
      <c r="B2681" s="18" t="str">
        <f aca="false">'SALES Raw'!B302</f>
        <v>21 S</v>
      </c>
      <c r="C2681" s="18" t="str">
        <f aca="false">'SALES Raw'!H302</f>
        <v>21 S  חבק יד ארוך</v>
      </c>
      <c r="D2681" s="19" t="n">
        <f aca="false">'SALES Raw'!C302</f>
        <v>2</v>
      </c>
      <c r="E2681" s="19" t="n">
        <f aca="false">'SALES Raw'!D302</f>
        <v>65.46</v>
      </c>
      <c r="F2681" s="19" t="n">
        <f aca="false">'SALES Raw'!E302*$H$4</f>
        <v>6.31578947368421</v>
      </c>
      <c r="G2681" s="19" t="n">
        <f aca="false">'SALES Raw'!F302*$H$4</f>
        <v>251.330526315789</v>
      </c>
      <c r="H2681" s="18" t="str">
        <f aca="false">'SALES Raw'!A302</f>
        <v>101 - Factory customers</v>
      </c>
    </row>
    <row r="2682" customFormat="false" ht="15" hidden="false" customHeight="false" outlineLevel="0" collapsed="false">
      <c r="A2682" s="18" t="n">
        <f aca="false">'SALES Raw'!G526</f>
        <v>4408135</v>
      </c>
      <c r="B2682" s="18" t="str">
        <f aca="false">'SALES Raw'!B526</f>
        <v>077A-L-XL</v>
      </c>
      <c r="C2682" s="18" t="str">
        <f aca="false">'SALES Raw'!H526</f>
        <v>077A L-XLחגורת גב</v>
      </c>
      <c r="D2682" s="19" t="n">
        <f aca="false">'SALES Raw'!C526</f>
        <v>13</v>
      </c>
      <c r="E2682" s="19" t="n">
        <f aca="false">'SALES Raw'!D526</f>
        <v>1128.44</v>
      </c>
      <c r="F2682" s="19" t="n">
        <f aca="false">'SALES Raw'!E526*$H$4</f>
        <v>6.31578947368421</v>
      </c>
      <c r="G2682" s="19" t="n">
        <f aca="false">'SALES Raw'!F526*$H$4</f>
        <v>548.842105263158</v>
      </c>
      <c r="H2682" s="18" t="str">
        <f aca="false">'SALES Raw'!A526</f>
        <v>102 - Orthopedic institutes</v>
      </c>
    </row>
    <row r="2683" customFormat="false" ht="15" hidden="false" customHeight="false" outlineLevel="0" collapsed="false">
      <c r="A2683" s="18" t="n">
        <f aca="false">'SALES Raw'!G546</f>
        <v>4413044</v>
      </c>
      <c r="B2683" s="18" t="str">
        <f aca="false">'SALES Raw'!B546</f>
        <v>34 XL</v>
      </c>
      <c r="C2683" s="18" t="str">
        <f aca="false">'SALES Raw'!H546</f>
        <v>34 XL מגן קרסול עקב סגור</v>
      </c>
      <c r="D2683" s="19" t="n">
        <f aca="false">'SALES Raw'!C546</f>
        <v>17</v>
      </c>
      <c r="E2683" s="19" t="n">
        <f aca="false">'SALES Raw'!D546</f>
        <v>778.65</v>
      </c>
      <c r="F2683" s="19" t="n">
        <f aca="false">'SALES Raw'!E546*$H$4</f>
        <v>6.31578947368421</v>
      </c>
      <c r="G2683" s="19" t="n">
        <f aca="false">'SALES Raw'!F546*$H$4</f>
        <v>287.823157894737</v>
      </c>
      <c r="H2683" s="18" t="str">
        <f aca="false">'SALES Raw'!A546</f>
        <v>102 - Orthopedic institutes</v>
      </c>
    </row>
    <row r="2684" customFormat="false" ht="15" hidden="false" customHeight="false" outlineLevel="0" collapsed="false">
      <c r="A2684" s="18" t="n">
        <f aca="false">'SALES Raw'!G556</f>
        <v>4413495</v>
      </c>
      <c r="B2684" s="18" t="str">
        <f aca="false">'SALES Raw'!B556</f>
        <v>45B L</v>
      </c>
      <c r="C2684" s="18" t="str">
        <f aca="false">'SALES Raw'!H556</f>
        <v>45B L מגן ברך שחור</v>
      </c>
      <c r="D2684" s="19" t="n">
        <f aca="false">'SALES Raw'!C556</f>
        <v>10</v>
      </c>
      <c r="E2684" s="19" t="n">
        <f aca="false">'SALES Raw'!D556</f>
        <v>285.13</v>
      </c>
      <c r="F2684" s="19" t="n">
        <f aca="false">'SALES Raw'!E556*$H$4</f>
        <v>6.31578947368421</v>
      </c>
      <c r="G2684" s="19" t="n">
        <f aca="false">'SALES Raw'!F556*$H$4</f>
        <v>195.12</v>
      </c>
      <c r="H2684" s="18" t="str">
        <f aca="false">'SALES Raw'!A556</f>
        <v>102 - Orthopedic institutes</v>
      </c>
    </row>
    <row r="2685" customFormat="false" ht="15" hidden="false" customHeight="false" outlineLevel="0" collapsed="false">
      <c r="A2685" s="18" t="str">
        <f aca="false">'SALES Raw'!G673</f>
        <v/>
      </c>
      <c r="B2685" s="18" t="str">
        <f aca="false">'SALES Raw'!B673</f>
        <v>T402 XXL</v>
      </c>
      <c r="C2685" s="18" t="str">
        <f aca="false">'SALES Raw'!H673</f>
        <v>T402 XXL</v>
      </c>
      <c r="D2685" s="19" t="n">
        <f aca="false">'SALES Raw'!C673</f>
        <v>9</v>
      </c>
      <c r="E2685" s="19" t="n">
        <f aca="false">'SALES Raw'!D673</f>
        <v>838.96</v>
      </c>
      <c r="F2685" s="19" t="n">
        <f aca="false">'SALES Raw'!E673*$H$4</f>
        <v>6.31578947368421</v>
      </c>
      <c r="G2685" s="19" t="n">
        <f aca="false">'SALES Raw'!F673*$H$4</f>
        <v>581.76</v>
      </c>
      <c r="H2685" s="18" t="str">
        <f aca="false">'SALES Raw'!A673</f>
        <v>102 - Orthopedic institutes</v>
      </c>
    </row>
    <row r="2686" customFormat="false" ht="15" hidden="false" customHeight="false" outlineLevel="0" collapsed="false">
      <c r="A2686" s="18" t="n">
        <f aca="false">'SALES Raw'!G742</f>
        <v>4415075</v>
      </c>
      <c r="B2686" s="18" t="str">
        <f aca="false">'SALES Raw'!B742</f>
        <v>T28AC-L-XL</v>
      </c>
      <c r="C2686" s="18" t="str">
        <f aca="false">'SALES Raw'!H742</f>
        <v>T28AC L-XL סד לאגודל</v>
      </c>
      <c r="D2686" s="19" t="n">
        <f aca="false">'SALES Raw'!C742</f>
        <v>6</v>
      </c>
      <c r="E2686" s="19" t="n">
        <f aca="false">'SALES Raw'!D742</f>
        <v>421.56</v>
      </c>
      <c r="F2686" s="19" t="n">
        <f aca="false">'SALES Raw'!E742*$H$4</f>
        <v>6.31578947368421</v>
      </c>
      <c r="G2686" s="19" t="n">
        <f aca="false">'SALES Raw'!F742*$H$4</f>
        <v>443.747368421053</v>
      </c>
      <c r="H2686" s="18" t="str">
        <f aca="false">'SALES Raw'!A742</f>
        <v>102 - Orthopedic institutes</v>
      </c>
    </row>
    <row r="2687" customFormat="false" ht="15" hidden="false" customHeight="false" outlineLevel="0" collapsed="false">
      <c r="A2687" s="18" t="n">
        <f aca="false">'SALES Raw'!G797</f>
        <v>4408082</v>
      </c>
      <c r="B2687" s="18" t="str">
        <f aca="false">'SALES Raw'!B797</f>
        <v>59R XL</v>
      </c>
      <c r="C2687" s="18" t="str">
        <f aca="false">'SALES Raw'!H797</f>
        <v>59R XL חגורת שבר לצד ימין</v>
      </c>
      <c r="D2687" s="19" t="n">
        <f aca="false">'SALES Raw'!C797</f>
        <v>5</v>
      </c>
      <c r="E2687" s="19" t="n">
        <f aca="false">'SALES Raw'!D797</f>
        <v>675.38</v>
      </c>
      <c r="F2687" s="19" t="n">
        <f aca="false">'SALES Raw'!E797*$H$4</f>
        <v>6.31578947368421</v>
      </c>
      <c r="G2687" s="19" t="n">
        <f aca="false">'SALES Raw'!F797*$H$4</f>
        <v>853.111578947368</v>
      </c>
      <c r="H2687" s="18" t="str">
        <f aca="false">'SALES Raw'!A797</f>
        <v>102 - Orthopedic institutes</v>
      </c>
    </row>
    <row r="2688" customFormat="false" ht="15" hidden="false" customHeight="false" outlineLevel="0" collapsed="false">
      <c r="A2688" s="18" t="str">
        <f aca="false">'SALES Raw'!G828</f>
        <v/>
      </c>
      <c r="B2688" s="18" t="str">
        <f aca="false">'SALES Raw'!B828</f>
        <v>T39 L</v>
      </c>
      <c r="C2688" s="18" t="str">
        <f aca="false">'SALES Raw'!H828</f>
        <v>T39 L</v>
      </c>
      <c r="D2688" s="19" t="n">
        <f aca="false">'SALES Raw'!C828</f>
        <v>9</v>
      </c>
      <c r="E2688" s="19" t="n">
        <f aca="false">'SALES Raw'!D828</f>
        <v>966.04</v>
      </c>
      <c r="F2688" s="19" t="n">
        <f aca="false">'SALES Raw'!E828*$H$4</f>
        <v>6.31578947368421</v>
      </c>
      <c r="G2688" s="19" t="n">
        <f aca="false">'SALES Raw'!F828*$H$4</f>
        <v>680.589473684211</v>
      </c>
      <c r="H2688" s="18" t="str">
        <f aca="false">'SALES Raw'!A828</f>
        <v>102 - Orthopedic institutes</v>
      </c>
    </row>
    <row r="2689" customFormat="false" ht="15" hidden="false" customHeight="false" outlineLevel="0" collapsed="false">
      <c r="A2689" s="18" t="n">
        <f aca="false">'SALES Raw'!G832</f>
        <v>4413183</v>
      </c>
      <c r="B2689" s="18" t="str">
        <f aca="false">'SALES Raw'!B832</f>
        <v>T45 M</v>
      </c>
      <c r="C2689" s="18" t="str">
        <f aca="false">'SALES Raw'!H832</f>
        <v>T 45 M מגן ברך רגיל</v>
      </c>
      <c r="D2689" s="19" t="n">
        <f aca="false">'SALES Raw'!C832</f>
        <v>0</v>
      </c>
      <c r="E2689" s="19" t="n">
        <f aca="false">'SALES Raw'!D832</f>
        <v>0</v>
      </c>
      <c r="F2689" s="19" t="n">
        <f aca="false">'SALES Raw'!E832*$H$4</f>
        <v>6.31578947368421</v>
      </c>
      <c r="G2689" s="19" t="n">
        <f aca="false">'SALES Raw'!F832*$H$4</f>
        <v>665.81052631579</v>
      </c>
      <c r="H2689" s="18" t="str">
        <f aca="false">'SALES Raw'!A832</f>
        <v>102 - Orthopedic institutes</v>
      </c>
    </row>
    <row r="2690" customFormat="false" ht="15" hidden="false" customHeight="false" outlineLevel="0" collapsed="false">
      <c r="A2690" s="18" t="n">
        <f aca="false">'SALES Raw'!G865</f>
        <v>4413519</v>
      </c>
      <c r="B2690" s="18" t="str">
        <f aca="false">'SALES Raw'!B865</f>
        <v>85B S</v>
      </c>
      <c r="C2690" s="18" t="str">
        <f aca="false">'SALES Raw'!H865</f>
        <v>85B S מתלה רשת לזרוע שחור</v>
      </c>
      <c r="D2690" s="19" t="n">
        <f aca="false">'SALES Raw'!C865</f>
        <v>25</v>
      </c>
      <c r="E2690" s="19" t="n">
        <f aca="false">'SALES Raw'!D865</f>
        <v>1232.58</v>
      </c>
      <c r="F2690" s="19" t="n">
        <f aca="false">'SALES Raw'!E865*$H$4</f>
        <v>6.31578947368421</v>
      </c>
      <c r="G2690" s="19" t="n">
        <f aca="false">'SALES Raw'!F865*$H$4</f>
        <v>309.486315789474</v>
      </c>
      <c r="H2690" s="18" t="str">
        <f aca="false">'SALES Raw'!A865</f>
        <v>102 - Orthopedic institutes</v>
      </c>
    </row>
    <row r="2691" customFormat="false" ht="15" hidden="false" customHeight="false" outlineLevel="0" collapsed="false">
      <c r="A2691" s="18" t="n">
        <f aca="false">'SALES Raw'!G907</f>
        <v>4413102</v>
      </c>
      <c r="B2691" s="18" t="str">
        <f aca="false">'SALES Raw'!B907</f>
        <v>45E L</v>
      </c>
      <c r="C2691" s="18" t="str">
        <f aca="false">'SALES Raw'!H907</f>
        <v>45E  L        מגן ברך ארוך לבן</v>
      </c>
      <c r="D2691" s="19" t="n">
        <f aca="false">'SALES Raw'!C907</f>
        <v>12</v>
      </c>
      <c r="E2691" s="19" t="n">
        <f aca="false">'SALES Raw'!D907</f>
        <v>444.71</v>
      </c>
      <c r="F2691" s="19" t="n">
        <f aca="false">'SALES Raw'!E907*$H$4</f>
        <v>6.31578947368421</v>
      </c>
      <c r="G2691" s="19" t="n">
        <f aca="false">'SALES Raw'!F907*$H$4</f>
        <v>236.538947368421</v>
      </c>
      <c r="H2691" s="18" t="str">
        <f aca="false">'SALES Raw'!A907</f>
        <v>102 - Orthopedic institutes</v>
      </c>
    </row>
    <row r="2692" customFormat="false" ht="15" hidden="false" customHeight="false" outlineLevel="0" collapsed="false">
      <c r="A2692" s="18" t="n">
        <f aca="false">'SALES Raw'!G908</f>
        <v>4413104</v>
      </c>
      <c r="B2692" s="18" t="str">
        <f aca="false">'SALES Raw'!B908</f>
        <v>45E XL</v>
      </c>
      <c r="C2692" s="18" t="str">
        <f aca="false">'SALES Raw'!H908</f>
        <v>45E XLמגן ברך ארוך לבן</v>
      </c>
      <c r="D2692" s="19" t="n">
        <f aca="false">'SALES Raw'!C908</f>
        <v>10</v>
      </c>
      <c r="E2692" s="19" t="n">
        <f aca="false">'SALES Raw'!D908</f>
        <v>369.82</v>
      </c>
      <c r="F2692" s="19" t="n">
        <f aca="false">'SALES Raw'!E908*$H$4</f>
        <v>6.31578947368421</v>
      </c>
      <c r="G2692" s="19" t="n">
        <f aca="false">'SALES Raw'!F908*$H$4</f>
        <v>236.551578947368</v>
      </c>
      <c r="H2692" s="18" t="str">
        <f aca="false">'SALES Raw'!A908</f>
        <v>102 - Orthopedic institutes</v>
      </c>
    </row>
    <row r="2693" customFormat="false" ht="15" hidden="false" customHeight="false" outlineLevel="0" collapsed="false">
      <c r="A2693" s="18" t="n">
        <f aca="false">'SALES Raw'!G975</f>
        <v>4413502</v>
      </c>
      <c r="B2693" s="18" t="str">
        <f aca="false">'SALES Raw'!B975</f>
        <v>95B S</v>
      </c>
      <c r="C2693" s="18" t="str">
        <f aca="false">'SALES Raw'!H975</f>
        <v>95B S מגן מרפק שחור</v>
      </c>
      <c r="D2693" s="19" t="n">
        <f aca="false">'SALES Raw'!C975</f>
        <v>10</v>
      </c>
      <c r="E2693" s="19" t="n">
        <f aca="false">'SALES Raw'!D975</f>
        <v>285.13</v>
      </c>
      <c r="F2693" s="19" t="n">
        <f aca="false">'SALES Raw'!E975*$H$4</f>
        <v>6.31578947368421</v>
      </c>
      <c r="G2693" s="19" t="n">
        <f aca="false">'SALES Raw'!F975*$H$4</f>
        <v>195.107368421053</v>
      </c>
      <c r="H2693" s="18" t="str">
        <f aca="false">'SALES Raw'!A975</f>
        <v>102 - Orthopedic institutes</v>
      </c>
    </row>
    <row r="2694" customFormat="false" ht="15" hidden="false" customHeight="false" outlineLevel="0" collapsed="false">
      <c r="A2694" s="18" t="n">
        <f aca="false">'SALES Raw'!G991</f>
        <v>4408075</v>
      </c>
      <c r="B2694" s="18" t="str">
        <f aca="false">'SALES Raw'!B991</f>
        <v>59L S</v>
      </c>
      <c r="C2694" s="18" t="str">
        <f aca="false">'SALES Raw'!H991</f>
        <v>59L S חגורת שבר לצד שמאל</v>
      </c>
      <c r="D2694" s="19" t="n">
        <f aca="false">'SALES Raw'!C991</f>
        <v>6</v>
      </c>
      <c r="E2694" s="19" t="n">
        <f aca="false">'SALES Raw'!D991</f>
        <v>760.76</v>
      </c>
      <c r="F2694" s="19" t="n">
        <f aca="false">'SALES Raw'!E991*$H$4</f>
        <v>6.31578947368421</v>
      </c>
      <c r="G2694" s="19" t="n">
        <f aca="false">'SALES Raw'!F991*$H$4</f>
        <v>853.111578947368</v>
      </c>
      <c r="H2694" s="18" t="str">
        <f aca="false">'SALES Raw'!A991</f>
        <v>102 - Orthopedic institutes</v>
      </c>
    </row>
    <row r="2695" customFormat="false" ht="15" hidden="false" customHeight="false" outlineLevel="0" collapsed="false">
      <c r="A2695" s="18" t="n">
        <f aca="false">'SALES Raw'!G1000</f>
        <v>4413529</v>
      </c>
      <c r="B2695" s="18" t="str">
        <f aca="false">'SALES Raw'!B1000</f>
        <v>379WRK-43-46</v>
      </c>
      <c r="C2695" s="18" t="str">
        <f aca="false">'SALES Raw'!H1000</f>
        <v>43-47 מדרסי אפיק ג'ל עבודה</v>
      </c>
      <c r="D2695" s="19" t="n">
        <f aca="false">'SALES Raw'!C1000</f>
        <v>2</v>
      </c>
      <c r="E2695" s="19" t="n">
        <f aca="false">'SALES Raw'!D1000</f>
        <v>219.04</v>
      </c>
      <c r="F2695" s="19" t="n">
        <f aca="false">'SALES Raw'!E1000*$H$4</f>
        <v>6.31578947368421</v>
      </c>
      <c r="G2695" s="19" t="n">
        <f aca="false">'SALES Raw'!F1000*$H$4</f>
        <v>670.256842105263</v>
      </c>
      <c r="H2695" s="18" t="str">
        <f aca="false">'SALES Raw'!A1000</f>
        <v>102 - Orthopedic institutes</v>
      </c>
    </row>
    <row r="2696" customFormat="false" ht="15" hidden="false" customHeight="false" outlineLevel="0" collapsed="false">
      <c r="A2696" s="18" t="str">
        <f aca="false">'SALES Raw'!G1111</f>
        <v/>
      </c>
      <c r="B2696" s="18" t="str">
        <f aca="false">'SALES Raw'!B1111</f>
        <v>322 XXL</v>
      </c>
      <c r="C2696" s="18" t="str">
        <f aca="false">'SALES Raw'!H1111</f>
        <v>322 XXL</v>
      </c>
      <c r="D2696" s="19" t="n">
        <f aca="false">'SALES Raw'!C1111</f>
        <v>3</v>
      </c>
      <c r="E2696" s="19" t="n">
        <f aca="false">'SALES Raw'!D1111</f>
        <v>210</v>
      </c>
      <c r="F2696" s="19" t="n">
        <f aca="false">'SALES Raw'!E1111*$H$4</f>
        <v>6.31578947368421</v>
      </c>
      <c r="G2696" s="19" t="n">
        <f aca="false">'SALES Raw'!F1111*$H$4</f>
        <v>442.08</v>
      </c>
      <c r="H2696" s="18" t="str">
        <f aca="false">'SALES Raw'!A1111</f>
        <v>102 - Orthopedic institutes</v>
      </c>
    </row>
    <row r="2697" customFormat="false" ht="15" hidden="false" customHeight="false" outlineLevel="0" collapsed="false">
      <c r="A2697" s="18" t="n">
        <f aca="false">'SALES Raw'!G1205</f>
        <v>4411024</v>
      </c>
      <c r="B2697" s="18" t="str">
        <f aca="false">'SALES Raw'!B1205</f>
        <v>212 XL</v>
      </c>
      <c r="C2697" s="18" t="str">
        <f aca="false">'SALES Raw'!H1205</f>
        <v>212XL כפפות אגודל לחץ</v>
      </c>
      <c r="D2697" s="19" t="n">
        <f aca="false">'SALES Raw'!C1205</f>
        <v>1</v>
      </c>
      <c r="E2697" s="19" t="n">
        <f aca="false">'SALES Raw'!D1205</f>
        <v>34.49</v>
      </c>
      <c r="F2697" s="19" t="n">
        <f aca="false">'SALES Raw'!E1205*$H$4</f>
        <v>6.31578947368421</v>
      </c>
      <c r="G2697" s="19" t="n">
        <f aca="false">'SALES Raw'!F1205*$H$4</f>
        <v>224.526315789474</v>
      </c>
      <c r="H2697" s="18" t="str">
        <f aca="false">'SALES Raw'!A1205</f>
        <v>103 - Physiotherapy institutes</v>
      </c>
    </row>
    <row r="2698" customFormat="false" ht="15" hidden="false" customHeight="false" outlineLevel="0" collapsed="false">
      <c r="A2698" s="18" t="n">
        <f aca="false">'SALES Raw'!G1206</f>
        <v>4415029</v>
      </c>
      <c r="B2698" s="18" t="str">
        <f aca="false">'SALES Raw'!B1206</f>
        <v>237 0</v>
      </c>
      <c r="C2698" s="18" t="str">
        <f aca="false">'SALES Raw'!H1206</f>
        <v>סד קיבוע לאצבע הדק</v>
      </c>
      <c r="D2698" s="19" t="n">
        <f aca="false">'SALES Raw'!C1206</f>
        <v>4</v>
      </c>
      <c r="E2698" s="19" t="n">
        <f aca="false">'SALES Raw'!D1206</f>
        <v>113.28</v>
      </c>
      <c r="F2698" s="19" t="n">
        <f aca="false">'SALES Raw'!E1206*$H$4</f>
        <v>6.31578947368421</v>
      </c>
      <c r="G2698" s="19" t="n">
        <f aca="false">'SALES Raw'!F1206*$H$4</f>
        <v>192.126315789474</v>
      </c>
      <c r="H2698" s="18" t="str">
        <f aca="false">'SALES Raw'!A1206</f>
        <v>103 - Physiotherapy institutes</v>
      </c>
    </row>
    <row r="2699" customFormat="false" ht="15" hidden="false" customHeight="false" outlineLevel="0" collapsed="false">
      <c r="A2699" s="18" t="n">
        <f aca="false">'SALES Raw'!G1208</f>
        <v>4415161</v>
      </c>
      <c r="B2699" s="18" t="str">
        <f aca="false">'SALES Raw'!B1208</f>
        <v>238 M</v>
      </c>
      <c r="C2699" s="18" t="str">
        <f aca="false">'SALES Raw'!H1208</f>
        <v>238M סד ליישור אצבע</v>
      </c>
      <c r="D2699" s="19" t="n">
        <f aca="false">'SALES Raw'!C1208</f>
        <v>10</v>
      </c>
      <c r="E2699" s="19" t="n">
        <f aca="false">'SALES Raw'!D1208</f>
        <v>196.74</v>
      </c>
      <c r="F2699" s="19" t="n">
        <f aca="false">'SALES Raw'!E1208*$H$4</f>
        <v>6.31578947368421</v>
      </c>
      <c r="G2699" s="19" t="n">
        <f aca="false">'SALES Raw'!F1208*$H$4</f>
        <v>126.997894736842</v>
      </c>
      <c r="H2699" s="18" t="str">
        <f aca="false">'SALES Raw'!A1208</f>
        <v>103 - Physiotherapy institutes</v>
      </c>
    </row>
    <row r="2700" customFormat="false" ht="15" hidden="false" customHeight="false" outlineLevel="0" collapsed="false">
      <c r="A2700" s="18" t="n">
        <f aca="false">'SALES Raw'!G1210</f>
        <v>4415163</v>
      </c>
      <c r="B2700" s="18" t="str">
        <f aca="false">'SALES Raw'!B1210</f>
        <v>238 XL</v>
      </c>
      <c r="C2700" s="18" t="str">
        <f aca="false">'SALES Raw'!H1210</f>
        <v>238XL סד ליישור אצבע</v>
      </c>
      <c r="D2700" s="19" t="n">
        <f aca="false">'SALES Raw'!C1210</f>
        <v>5</v>
      </c>
      <c r="E2700" s="19" t="n">
        <f aca="false">'SALES Raw'!D1210</f>
        <v>100.55</v>
      </c>
      <c r="F2700" s="19" t="n">
        <f aca="false">'SALES Raw'!E1210*$H$4</f>
        <v>6.31578947368421</v>
      </c>
      <c r="G2700" s="19" t="n">
        <f aca="false">'SALES Raw'!F1210*$H$4</f>
        <v>127.010526315789</v>
      </c>
      <c r="H2700" s="18" t="str">
        <f aca="false">'SALES Raw'!A1210</f>
        <v>103 - Physiotherapy institutes</v>
      </c>
    </row>
    <row r="2701" customFormat="false" ht="15" hidden="false" customHeight="false" outlineLevel="0" collapsed="false">
      <c r="A2701" s="18" t="n">
        <f aca="false">'SALES Raw'!G1220</f>
        <v>4421008</v>
      </c>
      <c r="B2701" s="18" t="str">
        <f aca="false">'SALES Raw'!B1220</f>
        <v>351 0</v>
      </c>
      <c r="C2701" s="18" t="str">
        <f aca="false">'SALES Raw'!H1220</f>
        <v>שרוול לגבס ארוך רגל</v>
      </c>
      <c r="D2701" s="19" t="n">
        <f aca="false">'SALES Raw'!C1220</f>
        <v>4</v>
      </c>
      <c r="E2701" s="19" t="n">
        <f aca="false">'SALES Raw'!D1220</f>
        <v>187.29</v>
      </c>
      <c r="F2701" s="19" t="n">
        <f aca="false">'SALES Raw'!E1220*$H$4</f>
        <v>6.31578947368421</v>
      </c>
      <c r="G2701" s="19" t="n">
        <f aca="false">'SALES Raw'!F1220*$H$4</f>
        <v>256.294736842105</v>
      </c>
      <c r="H2701" s="18" t="str">
        <f aca="false">'SALES Raw'!A1220</f>
        <v>103 - Physiotherapy institutes</v>
      </c>
    </row>
    <row r="2702" customFormat="false" ht="15" hidden="false" customHeight="false" outlineLevel="0" collapsed="false">
      <c r="A2702" s="18" t="n">
        <f aca="false">'SALES Raw'!G1228</f>
        <v>4403025</v>
      </c>
      <c r="B2702" s="18" t="str">
        <f aca="false">'SALES Raw'!B1228</f>
        <v>394W-43-46</v>
      </c>
      <c r="C2702" s="18" t="str">
        <f aca="false">'SALES Raw'!H1228</f>
        <v>394W 43-46 גרב.כסף לסכרתים לבן</v>
      </c>
      <c r="D2702" s="19" t="n">
        <f aca="false">'SALES Raw'!C1228</f>
        <v>12</v>
      </c>
      <c r="E2702" s="19" t="n">
        <f aca="false">'SALES Raw'!D1228</f>
        <v>287.32</v>
      </c>
      <c r="F2702" s="19" t="n">
        <f aca="false">'SALES Raw'!E1228*$H$4</f>
        <v>6.31578947368421</v>
      </c>
      <c r="G2702" s="19" t="n">
        <f aca="false">'SALES Raw'!F1228*$H$4</f>
        <v>157.882105263158</v>
      </c>
      <c r="H2702" s="18" t="str">
        <f aca="false">'SALES Raw'!A1228</f>
        <v>103 - Physiotherapy institutes</v>
      </c>
    </row>
    <row r="2703" customFormat="false" ht="15" hidden="false" customHeight="false" outlineLevel="0" collapsed="false">
      <c r="A2703" s="18" t="str">
        <f aca="false">'SALES Raw'!G1274</f>
        <v/>
      </c>
      <c r="B2703" s="18" t="str">
        <f aca="false">'SALES Raw'!B1274</f>
        <v>M93</v>
      </c>
      <c r="C2703" s="18" t="str">
        <f aca="false">'SALES Raw'!H1274</f>
        <v>M93</v>
      </c>
      <c r="D2703" s="19" t="n">
        <f aca="false">'SALES Raw'!C1274</f>
        <v>9</v>
      </c>
      <c r="E2703" s="19" t="n">
        <f aca="false">'SALES Raw'!D1274</f>
        <v>246.2</v>
      </c>
      <c r="F2703" s="19" t="n">
        <f aca="false">'SALES Raw'!E1274*$H$4</f>
        <v>6.31578947368421</v>
      </c>
      <c r="G2703" s="19" t="n">
        <f aca="false">'SALES Raw'!F1274*$H$4</f>
        <v>189.473684210526</v>
      </c>
      <c r="H2703" s="18" t="str">
        <f aca="false">'SALES Raw'!A1274</f>
        <v>103 - Physiotherapy institutes</v>
      </c>
    </row>
    <row r="2704" customFormat="false" ht="15" hidden="false" customHeight="false" outlineLevel="0" collapsed="false">
      <c r="A2704" s="18" t="n">
        <f aca="false">'SALES Raw'!G1341</f>
        <v>4408052</v>
      </c>
      <c r="B2704" s="18" t="str">
        <f aca="false">'SALES Raw'!B1341</f>
        <v>21 L</v>
      </c>
      <c r="C2704" s="18" t="str">
        <f aca="false">'SALES Raw'!H1341</f>
        <v>21 L  חבק יד ארוך</v>
      </c>
      <c r="D2704" s="19" t="n">
        <f aca="false">'SALES Raw'!C1341</f>
        <v>6</v>
      </c>
      <c r="E2704" s="19" t="n">
        <f aca="false">'SALES Raw'!D1341</f>
        <v>228.19</v>
      </c>
      <c r="F2704" s="19" t="n">
        <f aca="false">'SALES Raw'!E1341*$H$4</f>
        <v>6.31578947368421</v>
      </c>
      <c r="G2704" s="19" t="n">
        <f aca="false">'SALES Raw'!F1341*$H$4</f>
        <v>244.623157894737</v>
      </c>
      <c r="H2704" s="18" t="str">
        <f aca="false">'SALES Raw'!A1341</f>
        <v>103 - Physiotherapy institutes</v>
      </c>
    </row>
    <row r="2705" customFormat="false" ht="15" hidden="false" customHeight="false" outlineLevel="0" collapsed="false">
      <c r="A2705" s="18" t="n">
        <f aca="false">'SALES Raw'!G1342</f>
        <v>4408053</v>
      </c>
      <c r="B2705" s="18" t="str">
        <f aca="false">'SALES Raw'!B1342</f>
        <v>21 M</v>
      </c>
      <c r="C2705" s="18" t="str">
        <f aca="false">'SALES Raw'!H1342</f>
        <v>21 M  חבק יד ארוך</v>
      </c>
      <c r="D2705" s="19" t="n">
        <f aca="false">'SALES Raw'!C1342</f>
        <v>6</v>
      </c>
      <c r="E2705" s="19" t="n">
        <f aca="false">'SALES Raw'!D1342</f>
        <v>222.86</v>
      </c>
      <c r="F2705" s="19" t="n">
        <f aca="false">'SALES Raw'!E1342*$H$4</f>
        <v>6.31578947368421</v>
      </c>
      <c r="G2705" s="19" t="n">
        <f aca="false">'SALES Raw'!F1342*$H$4</f>
        <v>244.623157894737</v>
      </c>
      <c r="H2705" s="18" t="str">
        <f aca="false">'SALES Raw'!A1342</f>
        <v>103 - Physiotherapy institutes</v>
      </c>
    </row>
    <row r="2706" customFormat="false" ht="15" hidden="false" customHeight="false" outlineLevel="0" collapsed="false">
      <c r="A2706" s="18" t="n">
        <f aca="false">'SALES Raw'!G1383</f>
        <v>4413046</v>
      </c>
      <c r="B2706" s="18" t="str">
        <f aca="false">'SALES Raw'!B1383</f>
        <v>34 XXL</v>
      </c>
      <c r="C2706" s="18" t="str">
        <f aca="false">'SALES Raw'!H1383</f>
        <v>34 XXL מגן קרסול עקב סגור</v>
      </c>
      <c r="D2706" s="19" t="n">
        <f aca="false">'SALES Raw'!C1383</f>
        <v>0</v>
      </c>
      <c r="E2706" s="19" t="n">
        <f aca="false">'SALES Raw'!D1383</f>
        <v>0</v>
      </c>
      <c r="F2706" s="19" t="n">
        <f aca="false">'SALES Raw'!E1383*$H$4</f>
        <v>6.31578947368421</v>
      </c>
      <c r="G2706" s="19" t="n">
        <f aca="false">'SALES Raw'!F1383*$H$4</f>
        <v>256.294736842105</v>
      </c>
      <c r="H2706" s="18" t="str">
        <f aca="false">'SALES Raw'!A1383</f>
        <v>103 - Physiotherapy institutes</v>
      </c>
    </row>
    <row r="2707" customFormat="false" ht="15" hidden="false" customHeight="false" outlineLevel="0" collapsed="false">
      <c r="A2707" s="18" t="n">
        <f aca="false">'SALES Raw'!G1392</f>
        <v>4413059</v>
      </c>
      <c r="B2707" s="18" t="str">
        <f aca="false">'SALES Raw'!B1392</f>
        <v>364-S-L</v>
      </c>
      <c r="C2707" s="18" t="str">
        <f aca="false">'SALES Raw'!H1392</f>
        <v>364S Lמפר.אצבע סיליק. ליבל.זוג</v>
      </c>
      <c r="D2707" s="19" t="n">
        <f aca="false">'SALES Raw'!C1392</f>
        <v>7</v>
      </c>
      <c r="E2707" s="19" t="n">
        <f aca="false">'SALES Raw'!D1392</f>
        <v>95.57</v>
      </c>
      <c r="F2707" s="19" t="n">
        <f aca="false">'SALES Raw'!E1392*$H$4</f>
        <v>6.31578947368421</v>
      </c>
      <c r="G2707" s="19" t="n">
        <f aca="false">'SALES Raw'!F1392*$H$4</f>
        <v>91.4652631578947</v>
      </c>
      <c r="H2707" s="18" t="str">
        <f aca="false">'SALES Raw'!A1392</f>
        <v>103 - Physiotherapy institutes</v>
      </c>
    </row>
    <row r="2708" customFormat="false" ht="15" hidden="false" customHeight="false" outlineLevel="0" collapsed="false">
      <c r="A2708" s="18" t="n">
        <f aca="false">'SALES Raw'!G1411</f>
        <v>4403002</v>
      </c>
      <c r="B2708" s="18" t="str">
        <f aca="false">'SALES Raw'!B1411</f>
        <v>390B-43-46</v>
      </c>
      <c r="C2708" s="18" t="str">
        <f aca="false">'SALES Raw'!H1411</f>
        <v>390B 43-46.גרב.כסף לסכרתיים שח</v>
      </c>
      <c r="D2708" s="19" t="n">
        <f aca="false">'SALES Raw'!C1411</f>
        <v>25</v>
      </c>
      <c r="E2708" s="19" t="n">
        <f aca="false">'SALES Raw'!D1411</f>
        <v>234.1</v>
      </c>
      <c r="F2708" s="19" t="n">
        <f aca="false">'SALES Raw'!E1411*$H$4</f>
        <v>6.31578947368421</v>
      </c>
      <c r="G2708" s="19" t="n">
        <f aca="false">'SALES Raw'!F1411*$H$4</f>
        <v>170.526315789474</v>
      </c>
      <c r="H2708" s="18" t="str">
        <f aca="false">'SALES Raw'!A1411</f>
        <v>103 - Physiotherapy institutes</v>
      </c>
    </row>
    <row r="2709" customFormat="false" ht="15" hidden="false" customHeight="false" outlineLevel="0" collapsed="false">
      <c r="A2709" s="18" t="n">
        <f aca="false">'SALES Raw'!G1422</f>
        <v>4422000</v>
      </c>
      <c r="B2709" s="18" t="str">
        <f aca="false">'SALES Raw'!B1422</f>
        <v>801 0</v>
      </c>
      <c r="C2709" s="18" t="str">
        <f aca="false">'SALES Raw'!H1422</f>
        <v>801  תחבושת אלסטית מקררת</v>
      </c>
      <c r="D2709" s="19" t="n">
        <f aca="false">'SALES Raw'!C1422</f>
        <v>11</v>
      </c>
      <c r="E2709" s="19" t="n">
        <f aca="false">'SALES Raw'!D1422</f>
        <v>219.48</v>
      </c>
      <c r="F2709" s="19" t="n">
        <f aca="false">'SALES Raw'!E1422*$H$4</f>
        <v>6.31578947368421</v>
      </c>
      <c r="G2709" s="19" t="n">
        <f aca="false">'SALES Raw'!F1422*$H$4</f>
        <v>135.903157894737</v>
      </c>
      <c r="H2709" s="18" t="str">
        <f aca="false">'SALES Raw'!A1422</f>
        <v>103 - Physiotherapy institutes</v>
      </c>
    </row>
    <row r="2710" customFormat="false" ht="15" hidden="false" customHeight="false" outlineLevel="0" collapsed="false">
      <c r="A2710" s="18" t="n">
        <f aca="false">'SALES Raw'!G1436</f>
        <v>4413326</v>
      </c>
      <c r="B2710" s="18" t="str">
        <f aca="false">'SALES Raw'!B1436</f>
        <v>AC37 0</v>
      </c>
      <c r="C2710" s="18" t="str">
        <f aca="false">'SALES Raw'!H1436</f>
        <v>AC37 מגן קרסול נושם</v>
      </c>
      <c r="D2710" s="19" t="n">
        <f aca="false">'SALES Raw'!C1436</f>
        <v>2</v>
      </c>
      <c r="E2710" s="19" t="n">
        <f aca="false">'SALES Raw'!D1436</f>
        <v>67.19</v>
      </c>
      <c r="F2710" s="19" t="n">
        <f aca="false">'SALES Raw'!E1436*$H$4</f>
        <v>6.31578947368421</v>
      </c>
      <c r="G2710" s="19" t="n">
        <f aca="false">'SALES Raw'!F1436*$H$4</f>
        <v>217.629473684211</v>
      </c>
      <c r="H2710" s="18" t="str">
        <f aca="false">'SALES Raw'!A1436</f>
        <v>103 - Physiotherapy institutes</v>
      </c>
    </row>
    <row r="2711" customFormat="false" ht="15" hidden="false" customHeight="false" outlineLevel="0" collapsed="false">
      <c r="A2711" s="18" t="n">
        <f aca="false">'SALES Raw'!G1544</f>
        <v>4408208</v>
      </c>
      <c r="B2711" s="18" t="str">
        <f aca="false">'SALES Raw'!B1544</f>
        <v>AC91 0</v>
      </c>
      <c r="C2711" s="18" t="str">
        <f aca="false">'SALES Raw'!H1544</f>
        <v>AC91 חבק טניס</v>
      </c>
      <c r="D2711" s="19" t="n">
        <f aca="false">'SALES Raw'!C1544</f>
        <v>7</v>
      </c>
      <c r="E2711" s="19" t="n">
        <f aca="false">'SALES Raw'!D1544</f>
        <v>278.56</v>
      </c>
      <c r="F2711" s="19" t="n">
        <f aca="false">'SALES Raw'!E1544*$H$4</f>
        <v>6.31578947368421</v>
      </c>
      <c r="G2711" s="19" t="n">
        <f aca="false">'SALES Raw'!F1544*$H$4</f>
        <v>251.330526315789</v>
      </c>
      <c r="H2711" s="18" t="str">
        <f aca="false">'SALES Raw'!A1544</f>
        <v>103 - Physiotherapy institutes</v>
      </c>
    </row>
    <row r="2712" customFormat="false" ht="15" hidden="false" customHeight="false" outlineLevel="0" collapsed="false">
      <c r="A2712" s="18" t="str">
        <f aca="false">'SALES Raw'!G1644</f>
        <v/>
      </c>
      <c r="B2712" s="18" t="str">
        <f aca="false">'SALES Raw'!B1644</f>
        <v>303-39-40</v>
      </c>
      <c r="C2712" s="18" t="str">
        <f aca="false">'SALES Raw'!H1644</f>
        <v>303-39-40</v>
      </c>
      <c r="D2712" s="19" t="n">
        <f aca="false">'SALES Raw'!C1644</f>
        <v>10</v>
      </c>
      <c r="E2712" s="19" t="n">
        <f aca="false">'SALES Raw'!D1644</f>
        <v>850.41</v>
      </c>
      <c r="F2712" s="19" t="n">
        <f aca="false">'SALES Raw'!E1644*$H$4</f>
        <v>6.31578947368421</v>
      </c>
      <c r="G2712" s="19" t="n">
        <f aca="false">'SALES Raw'!F1644*$H$4</f>
        <v>537.6</v>
      </c>
      <c r="H2712" s="18" t="str">
        <f aca="false">'SALES Raw'!A1644</f>
        <v>105 - Pedicure Salons</v>
      </c>
    </row>
    <row r="2713" customFormat="false" ht="15" hidden="false" customHeight="false" outlineLevel="0" collapsed="false">
      <c r="A2713" s="18" t="n">
        <f aca="false">'SALES Raw'!G1645</f>
        <v>4413020</v>
      </c>
      <c r="B2713" s="18" t="str">
        <f aca="false">'SALES Raw'!B1645</f>
        <v>303-41-42</v>
      </c>
      <c r="C2713" s="18" t="str">
        <f aca="false">'SALES Raw'!H1645</f>
        <v>303 41-42 מדרסי סיליק.לח.סכרת</v>
      </c>
      <c r="D2713" s="19" t="n">
        <f aca="false">'SALES Raw'!C1645</f>
        <v>2</v>
      </c>
      <c r="E2713" s="19" t="n">
        <f aca="false">'SALES Raw'!D1645</f>
        <v>170.08</v>
      </c>
      <c r="F2713" s="19" t="n">
        <f aca="false">'SALES Raw'!E1645*$H$4</f>
        <v>6.31578947368421</v>
      </c>
      <c r="G2713" s="19" t="n">
        <f aca="false">'SALES Raw'!F1645*$H$4</f>
        <v>537.6</v>
      </c>
      <c r="H2713" s="18" t="str">
        <f aca="false">'SALES Raw'!A1645</f>
        <v>105 - Pedicure Salons</v>
      </c>
    </row>
    <row r="2714" customFormat="false" ht="15" hidden="false" customHeight="false" outlineLevel="0" collapsed="false">
      <c r="A2714" s="18" t="n">
        <f aca="false">'SALES Raw'!G1647</f>
        <v>4413022</v>
      </c>
      <c r="B2714" s="18" t="str">
        <f aca="false">'SALES Raw'!B1647</f>
        <v>303-45-46</v>
      </c>
      <c r="C2714" s="18" t="str">
        <f aca="false">'SALES Raw'!H1647</f>
        <v>303 45-46 מדרסי סיליק.לח.סכרת</v>
      </c>
      <c r="D2714" s="19" t="n">
        <f aca="false">'SALES Raw'!C1647</f>
        <v>2</v>
      </c>
      <c r="E2714" s="19" t="n">
        <f aca="false">'SALES Raw'!D1647</f>
        <v>170.08</v>
      </c>
      <c r="F2714" s="19" t="n">
        <f aca="false">'SALES Raw'!E1647*$H$4</f>
        <v>6.31578947368421</v>
      </c>
      <c r="G2714" s="19" t="n">
        <f aca="false">'SALES Raw'!F1647*$H$4</f>
        <v>537.6</v>
      </c>
      <c r="H2714" s="18" t="str">
        <f aca="false">'SALES Raw'!A1647</f>
        <v>105 - Pedicure Salons</v>
      </c>
    </row>
    <row r="2715" customFormat="false" ht="15" hidden="false" customHeight="false" outlineLevel="0" collapsed="false">
      <c r="A2715" s="18" t="n">
        <f aca="false">'SALES Raw'!G1667</f>
        <v>4413137</v>
      </c>
      <c r="B2715" s="18" t="str">
        <f aca="false">'SALES Raw'!B1667</f>
        <v>85 S</v>
      </c>
      <c r="C2715" s="18" t="str">
        <f aca="false">'SALES Raw'!H1667</f>
        <v>85 S (מתלה ליד )כיס</v>
      </c>
      <c r="D2715" s="19" t="n">
        <f aca="false">'SALES Raw'!C1667</f>
        <v>0</v>
      </c>
      <c r="E2715" s="19" t="n">
        <f aca="false">'SALES Raw'!D1667</f>
        <v>0</v>
      </c>
      <c r="F2715" s="19" t="n">
        <f aca="false">'SALES Raw'!E1667*$H$4</f>
        <v>6.31578947368421</v>
      </c>
      <c r="G2715" s="19" t="n">
        <f aca="false">'SALES Raw'!F1667*$H$4</f>
        <v>309.473684210526</v>
      </c>
      <c r="H2715" s="18" t="str">
        <f aca="false">'SALES Raw'!A1667</f>
        <v>106 - Hospitals</v>
      </c>
    </row>
    <row r="2716" customFormat="false" ht="15" hidden="false" customHeight="false" outlineLevel="0" collapsed="false">
      <c r="A2716" s="18" t="n">
        <f aca="false">'SALES Raw'!G1713</f>
        <v>4408205</v>
      </c>
      <c r="B2716" s="18" t="str">
        <f aca="false">'SALES Raw'!B1713</f>
        <v>AC07 0</v>
      </c>
      <c r="C2716" s="18" t="str">
        <f aca="false">'SALES Raw'!H1713</f>
        <v>AC-07 חגורת גב עם תמיכות</v>
      </c>
      <c r="D2716" s="19" t="n">
        <f aca="false">'SALES Raw'!C1713</f>
        <v>10</v>
      </c>
      <c r="E2716" s="19" t="n">
        <f aca="false">'SALES Raw'!D1713</f>
        <v>748.42</v>
      </c>
      <c r="F2716" s="19" t="n">
        <f aca="false">'SALES Raw'!E1713*$H$4</f>
        <v>6.31578947368421</v>
      </c>
      <c r="G2716" s="19" t="n">
        <f aca="false">'SALES Raw'!F1713*$H$4</f>
        <v>472.724210526316</v>
      </c>
      <c r="H2716" s="18" t="str">
        <f aca="false">'SALES Raw'!A1713</f>
        <v>106 - Hospitals</v>
      </c>
    </row>
    <row r="2717" customFormat="false" ht="15" hidden="false" customHeight="false" outlineLevel="0" collapsed="false">
      <c r="A2717" s="18" t="n">
        <f aca="false">'SALES Raw'!G1718</f>
        <v>4415028</v>
      </c>
      <c r="B2717" s="18" t="str">
        <f aca="false">'SALES Raw'!B1718</f>
        <v>AC28 0</v>
      </c>
      <c r="C2717" s="18" t="str">
        <f aca="false">'SALES Raw'!H1718</f>
        <v>AC-28 סד לאגודל</v>
      </c>
      <c r="D2717" s="19" t="n">
        <f aca="false">'SALES Raw'!C1718</f>
        <v>10</v>
      </c>
      <c r="E2717" s="19" t="n">
        <f aca="false">'SALES Raw'!D1718</f>
        <v>256.82</v>
      </c>
      <c r="F2717" s="19" t="n">
        <f aca="false">'SALES Raw'!E1718*$H$4</f>
        <v>6.31578947368421</v>
      </c>
      <c r="G2717" s="19" t="n">
        <f aca="false">'SALES Raw'!F1718*$H$4</f>
        <v>162.202105263158</v>
      </c>
      <c r="H2717" s="18" t="str">
        <f aca="false">'SALES Raw'!A1718</f>
        <v>106 - Hospitals</v>
      </c>
    </row>
    <row r="2718" customFormat="false" ht="15" hidden="false" customHeight="false" outlineLevel="0" collapsed="false">
      <c r="A2718" s="18" t="n">
        <f aca="false">'SALES Raw'!G1719</f>
        <v>4413326</v>
      </c>
      <c r="B2718" s="18" t="str">
        <f aca="false">'SALES Raw'!B1719</f>
        <v>AC37 0</v>
      </c>
      <c r="C2718" s="18" t="str">
        <f aca="false">'SALES Raw'!H1719</f>
        <v>AC37 מגן קרסול נושם</v>
      </c>
      <c r="D2718" s="19" t="n">
        <f aca="false">'SALES Raw'!C1719</f>
        <v>10</v>
      </c>
      <c r="E2718" s="19" t="n">
        <f aca="false">'SALES Raw'!D1719</f>
        <v>237.92</v>
      </c>
      <c r="F2718" s="19" t="n">
        <f aca="false">'SALES Raw'!E1719*$H$4</f>
        <v>6.31578947368421</v>
      </c>
      <c r="G2718" s="19" t="n">
        <f aca="false">'SALES Raw'!F1719*$H$4</f>
        <v>150.265263157895</v>
      </c>
      <c r="H2718" s="18" t="str">
        <f aca="false">'SALES Raw'!A1719</f>
        <v>106 - Hospitals</v>
      </c>
    </row>
    <row r="2719" customFormat="false" ht="15" hidden="false" customHeight="false" outlineLevel="0" collapsed="false">
      <c r="A2719" s="18" t="n">
        <f aca="false">'SALES Raw'!G1720</f>
        <v>4413328</v>
      </c>
      <c r="B2719" s="18" t="str">
        <f aca="false">'SALES Raw'!B1720</f>
        <v>AC43D 0</v>
      </c>
      <c r="C2719" s="18" t="str">
        <f aca="false">'SALES Raw'!H1720</f>
        <v>AC43D מגן ברך + צירים</v>
      </c>
      <c r="D2719" s="19" t="n">
        <f aca="false">'SALES Raw'!C1720</f>
        <v>12</v>
      </c>
      <c r="E2719" s="19" t="n">
        <f aca="false">'SALES Raw'!D1720</f>
        <v>962.16</v>
      </c>
      <c r="F2719" s="19" t="n">
        <f aca="false">'SALES Raw'!E1720*$H$4</f>
        <v>6.31578947368421</v>
      </c>
      <c r="G2719" s="19" t="n">
        <f aca="false">'SALES Raw'!F1720*$H$4</f>
        <v>477.486315789474</v>
      </c>
      <c r="H2719" s="18" t="str">
        <f aca="false">'SALES Raw'!A1720</f>
        <v>106 - Hospitals</v>
      </c>
    </row>
    <row r="2720" customFormat="false" ht="15" hidden="false" customHeight="false" outlineLevel="0" collapsed="false">
      <c r="A2720" s="18" t="n">
        <f aca="false">'SALES Raw'!G1721</f>
        <v>4413329</v>
      </c>
      <c r="B2720" s="18" t="str">
        <f aca="false">'SALES Raw'!B1721</f>
        <v>AC45X 0</v>
      </c>
      <c r="C2720" s="18" t="str">
        <f aca="false">'SALES Raw'!H1721</f>
        <v>AC45X מגן ברך עם תמיכות</v>
      </c>
      <c r="D2720" s="19" t="n">
        <f aca="false">'SALES Raw'!C1721</f>
        <v>14</v>
      </c>
      <c r="E2720" s="19" t="n">
        <f aca="false">'SALES Raw'!D1721</f>
        <v>866.69</v>
      </c>
      <c r="F2720" s="19" t="n">
        <f aca="false">'SALES Raw'!E1721*$H$4</f>
        <v>6.31578947368421</v>
      </c>
      <c r="G2720" s="19" t="n">
        <f aca="false">'SALES Raw'!F1721*$H$4</f>
        <v>358.042105263158</v>
      </c>
      <c r="H2720" s="18" t="str">
        <f aca="false">'SALES Raw'!A1721</f>
        <v>106 - Hospitals</v>
      </c>
    </row>
    <row r="2721" customFormat="false" ht="15" hidden="false" customHeight="false" outlineLevel="0" collapsed="false">
      <c r="A2721" s="18" t="n">
        <f aca="false">'SALES Raw'!G1724</f>
        <v>4408208</v>
      </c>
      <c r="B2721" s="18" t="str">
        <f aca="false">'SALES Raw'!B1724</f>
        <v>AC91 0</v>
      </c>
      <c r="C2721" s="18" t="str">
        <f aca="false">'SALES Raw'!H1724</f>
        <v>AC91 חבק טניס</v>
      </c>
      <c r="D2721" s="19" t="n">
        <f aca="false">'SALES Raw'!C1724</f>
        <v>10</v>
      </c>
      <c r="E2721" s="19" t="n">
        <f aca="false">'SALES Raw'!D1724</f>
        <v>264.38</v>
      </c>
      <c r="F2721" s="19" t="n">
        <f aca="false">'SALES Raw'!E1724*$H$4</f>
        <v>6.31578947368421</v>
      </c>
      <c r="G2721" s="19" t="n">
        <f aca="false">'SALES Raw'!F1724*$H$4</f>
        <v>166.976842105263</v>
      </c>
      <c r="H2721" s="18" t="str">
        <f aca="false">'SALES Raw'!A1724</f>
        <v>106 - Hospitals</v>
      </c>
    </row>
    <row r="2722" customFormat="false" ht="15" hidden="false" customHeight="false" outlineLevel="0" collapsed="false">
      <c r="A2722" s="18" t="n">
        <f aca="false">'SALES Raw'!G1725</f>
        <v>4413331</v>
      </c>
      <c r="B2722" s="18" t="str">
        <f aca="false">'SALES Raw'!B1725</f>
        <v>AC95 0</v>
      </c>
      <c r="C2722" s="18" t="str">
        <f aca="false">'SALES Raw'!H1725</f>
        <v>AC95 מגן מרפק</v>
      </c>
      <c r="D2722" s="19" t="n">
        <f aca="false">'SALES Raw'!C1725</f>
        <v>10</v>
      </c>
      <c r="E2722" s="19" t="n">
        <f aca="false">'SALES Raw'!D1725</f>
        <v>287.06</v>
      </c>
      <c r="F2722" s="19" t="n">
        <f aca="false">'SALES Raw'!E1725*$H$4</f>
        <v>6.31578947368421</v>
      </c>
      <c r="G2722" s="19" t="n">
        <f aca="false">'SALES Raw'!F1725*$H$4</f>
        <v>181.301052631579</v>
      </c>
      <c r="H2722" s="18" t="str">
        <f aca="false">'SALES Raw'!A1725</f>
        <v>106 - Hospitals</v>
      </c>
    </row>
    <row r="2723" customFormat="false" ht="15" hidden="false" customHeight="false" outlineLevel="0" collapsed="false">
      <c r="A2723" s="18" t="str">
        <f aca="false">'SALES Raw'!G1784</f>
        <v/>
      </c>
      <c r="B2723" s="18" t="str">
        <f aca="false">'SALES Raw'!B1784</f>
        <v>18 XL</v>
      </c>
      <c r="C2723" s="18" t="str">
        <f aca="false">'SALES Raw'!H1784</f>
        <v>18 XL</v>
      </c>
      <c r="D2723" s="19" t="n">
        <f aca="false">'SALES Raw'!C1784</f>
        <v>11</v>
      </c>
      <c r="E2723" s="19" t="n">
        <f aca="false">'SALES Raw'!D1784</f>
        <v>2595.98</v>
      </c>
      <c r="F2723" s="19" t="n">
        <f aca="false">'SALES Raw'!E1784*$H$4</f>
        <v>6.31578947368421</v>
      </c>
      <c r="G2723" s="19" t="n">
        <f aca="false">'SALES Raw'!F1784*$H$4</f>
        <v>1692.60631578947</v>
      </c>
      <c r="H2723" s="18" t="str">
        <f aca="false">'SALES Raw'!A1784</f>
        <v>109 - Private Shops</v>
      </c>
    </row>
    <row r="2724" customFormat="false" ht="15" hidden="false" customHeight="false" outlineLevel="0" collapsed="false">
      <c r="A2724" s="18" t="str">
        <f aca="false">'SALES Raw'!G1801</f>
        <v/>
      </c>
      <c r="B2724" s="18" t="str">
        <f aca="false">'SALES Raw'!B1801</f>
        <v>376-44-45</v>
      </c>
      <c r="C2724" s="18" t="str">
        <f aca="false">'SALES Raw'!H1801</f>
        <v>376-44-45</v>
      </c>
      <c r="D2724" s="19" t="n">
        <f aca="false">'SALES Raw'!C1801</f>
        <v>3</v>
      </c>
      <c r="E2724" s="19" t="n">
        <f aca="false">'SALES Raw'!D1801</f>
        <v>105.32</v>
      </c>
      <c r="F2724" s="19" t="n">
        <f aca="false">'SALES Raw'!E1801*$H$4</f>
        <v>6.31578947368421</v>
      </c>
      <c r="G2724" s="19" t="n">
        <f aca="false">'SALES Raw'!F1801*$H$4</f>
        <v>221.722105263158</v>
      </c>
      <c r="H2724" s="18" t="str">
        <f aca="false">'SALES Raw'!A1801</f>
        <v>109 - Private Shops</v>
      </c>
    </row>
    <row r="2725" customFormat="false" ht="15" hidden="false" customHeight="false" outlineLevel="0" collapsed="false">
      <c r="A2725" s="18" t="n">
        <f aca="false">'SALES Raw'!G1815</f>
        <v>4413496</v>
      </c>
      <c r="B2725" s="18" t="str">
        <f aca="false">'SALES Raw'!B1815</f>
        <v>45B XL</v>
      </c>
      <c r="C2725" s="18" t="str">
        <f aca="false">'SALES Raw'!H1815</f>
        <v>45B XL מגן ברך שחור</v>
      </c>
      <c r="D2725" s="19" t="n">
        <f aca="false">'SALES Raw'!C1815</f>
        <v>2</v>
      </c>
      <c r="E2725" s="19" t="n">
        <f aca="false">'SALES Raw'!D1815</f>
        <v>61.78</v>
      </c>
      <c r="F2725" s="19" t="n">
        <f aca="false">'SALES Raw'!E1815*$H$4</f>
        <v>6.31578947368421</v>
      </c>
      <c r="G2725" s="19" t="n">
        <f aca="false">'SALES Raw'!F1815*$H$4</f>
        <v>195.107368421053</v>
      </c>
      <c r="H2725" s="18" t="str">
        <f aca="false">'SALES Raw'!A1815</f>
        <v>109 - Private Shops</v>
      </c>
    </row>
    <row r="2726" customFormat="false" ht="15" hidden="false" customHeight="false" outlineLevel="0" collapsed="false">
      <c r="A2726" s="18" t="n">
        <f aca="false">'SALES Raw'!G1832</f>
        <v>4408250</v>
      </c>
      <c r="B2726" s="18" t="str">
        <f aca="false">'SALES Raw'!B1832</f>
        <v>SC25 XL</v>
      </c>
      <c r="C2726" s="18" t="str">
        <f aca="false">'SALES Raw'!H1832</f>
        <v>SC25 XL חבק יד</v>
      </c>
      <c r="D2726" s="19" t="n">
        <f aca="false">'SALES Raw'!C1832</f>
        <v>0</v>
      </c>
      <c r="E2726" s="19" t="n">
        <f aca="false">'SALES Raw'!D1832</f>
        <v>0</v>
      </c>
      <c r="F2726" s="19" t="n">
        <f aca="false">'SALES Raw'!E1832*$H$4</f>
        <v>6.31578947368421</v>
      </c>
      <c r="G2726" s="19" t="n">
        <f aca="false">'SALES Raw'!F1832*$H$4</f>
        <v>591.625263157895</v>
      </c>
      <c r="H2726" s="18" t="str">
        <f aca="false">'SALES Raw'!A1832</f>
        <v>109 - Private Shops</v>
      </c>
    </row>
    <row r="2727" customFormat="false" ht="15" hidden="false" customHeight="false" outlineLevel="0" collapsed="false">
      <c r="A2727" s="18" t="n">
        <f aca="false">'SALES Raw'!G1833</f>
        <v>4408095</v>
      </c>
      <c r="B2727" s="18" t="str">
        <f aca="false">'SALES Raw'!B1833</f>
        <v>T20-L-XL</v>
      </c>
      <c r="C2727" s="18" t="str">
        <f aca="false">'SALES Raw'!H1833</f>
        <v>T20 L-XL  חבק יד עם צמדן</v>
      </c>
      <c r="D2727" s="19" t="n">
        <f aca="false">'SALES Raw'!C1833</f>
        <v>12</v>
      </c>
      <c r="E2727" s="19" t="n">
        <f aca="false">'SALES Raw'!D1833</f>
        <v>426.86</v>
      </c>
      <c r="F2727" s="19" t="n">
        <f aca="false">'SALES Raw'!E1833*$H$4</f>
        <v>6.31578947368421</v>
      </c>
      <c r="G2727" s="19" t="n">
        <f aca="false">'SALES Raw'!F1833*$H$4</f>
        <v>224.665263157895</v>
      </c>
      <c r="H2727" s="18" t="str">
        <f aca="false">'SALES Raw'!A1833</f>
        <v>109 - Private Shops</v>
      </c>
    </row>
    <row r="2728" customFormat="false" ht="15" hidden="false" customHeight="false" outlineLevel="0" collapsed="false">
      <c r="A2728" s="18" t="n">
        <f aca="false">'SALES Raw'!G1834</f>
        <v>4408098</v>
      </c>
      <c r="B2728" s="18" t="str">
        <f aca="false">'SALES Raw'!B1834</f>
        <v>T25 0</v>
      </c>
      <c r="C2728" s="18" t="str">
        <f aca="false">'SALES Raw'!H1834</f>
        <v>T25-חבק יד אגודלי</v>
      </c>
      <c r="D2728" s="19" t="n">
        <f aca="false">'SALES Raw'!C1834</f>
        <v>0</v>
      </c>
      <c r="E2728" s="19" t="n">
        <f aca="false">'SALES Raw'!D1834</f>
        <v>0</v>
      </c>
      <c r="F2728" s="19" t="n">
        <f aca="false">'SALES Raw'!E1834*$H$4</f>
        <v>6.31578947368421</v>
      </c>
      <c r="G2728" s="19" t="n">
        <f aca="false">'SALES Raw'!F1834*$H$4</f>
        <v>295.717894736842</v>
      </c>
      <c r="H2728" s="18" t="str">
        <f aca="false">'SALES Raw'!A1834</f>
        <v>109 - Private Shops</v>
      </c>
    </row>
    <row r="2729" customFormat="false" ht="15" hidden="false" customHeight="false" outlineLevel="0" collapsed="false">
      <c r="A2729" s="18" t="n">
        <f aca="false">'SALES Raw'!G1846</f>
        <v>4421000</v>
      </c>
      <c r="B2729" s="18" t="str">
        <f aca="false">'SALES Raw'!B1846</f>
        <v>3655 0</v>
      </c>
      <c r="C2729" s="18" t="str">
        <f aca="false">'SALES Raw'!H1846</f>
        <v>3655 שרוול מסיליקון לאצבע</v>
      </c>
      <c r="D2729" s="19" t="n">
        <f aca="false">'SALES Raw'!C1846</f>
        <v>11</v>
      </c>
      <c r="E2729" s="19" t="n">
        <f aca="false">'SALES Raw'!D1846</f>
        <v>205.75</v>
      </c>
      <c r="F2729" s="19" t="n">
        <f aca="false">'SALES Raw'!E1846*$H$4</f>
        <v>6.31578947368421</v>
      </c>
      <c r="G2729" s="19" t="n">
        <f aca="false">'SALES Raw'!F1846*$H$4</f>
        <v>102.391578947368</v>
      </c>
      <c r="H2729" s="18" t="str">
        <f aca="false">'SALES Raw'!A1846</f>
        <v>109 - Private Shops</v>
      </c>
    </row>
    <row r="2730" customFormat="false" ht="15" hidden="false" customHeight="false" outlineLevel="0" collapsed="false">
      <c r="A2730" s="18" t="n">
        <f aca="false">'SALES Raw'!G1848</f>
        <v>4413056</v>
      </c>
      <c r="B2730" s="18" t="str">
        <f aca="false">'SALES Raw'!B1848</f>
        <v>LF360 0</v>
      </c>
      <c r="C2730" s="18" t="str">
        <f aca="false">'SALES Raw'!H1848</f>
        <v>LF360 מדרס מטטרזלי לנעלי עקב</v>
      </c>
      <c r="D2730" s="19" t="n">
        <f aca="false">'SALES Raw'!C1848</f>
        <v>0</v>
      </c>
      <c r="E2730" s="19" t="n">
        <f aca="false">'SALES Raw'!D1848</f>
        <v>0</v>
      </c>
      <c r="F2730" s="19" t="n">
        <f aca="false">'SALES Raw'!E1848*$H$4</f>
        <v>6.31578947368421</v>
      </c>
      <c r="G2730" s="19" t="n">
        <f aca="false">'SALES Raw'!F1848*$H$4</f>
        <v>150.682105263158</v>
      </c>
      <c r="H2730" s="18" t="str">
        <f aca="false">'SALES Raw'!A1848</f>
        <v>109 - Private Shops</v>
      </c>
    </row>
    <row r="2731" customFormat="false" ht="15" hidden="false" customHeight="false" outlineLevel="0" collapsed="false">
      <c r="A2731" s="18" t="n">
        <f aca="false">'SALES Raw'!G1901</f>
        <v>4413158</v>
      </c>
      <c r="B2731" s="18" t="str">
        <f aca="false">'SALES Raw'!B1901</f>
        <v>305GA-45-46</v>
      </c>
      <c r="C2731" s="18" t="str">
        <f aca="false">'SALES Raw'!H1901</f>
        <v>305GA מדרס אורטופ.מתכוון45-46</v>
      </c>
      <c r="D2731" s="19" t="n">
        <f aca="false">'SALES Raw'!C1901</f>
        <v>17</v>
      </c>
      <c r="E2731" s="19" t="n">
        <f aca="false">'SALES Raw'!D1901</f>
        <v>1381.93</v>
      </c>
      <c r="F2731" s="19" t="n">
        <f aca="false">'SALES Raw'!E1901*$H$4</f>
        <v>6.31578947368421</v>
      </c>
      <c r="G2731" s="19" t="n">
        <f aca="false">'SALES Raw'!F1901*$H$4</f>
        <v>512.867368421053</v>
      </c>
      <c r="H2731" s="18" t="str">
        <f aca="false">'SALES Raw'!A1901</f>
        <v>109 - Private Shops</v>
      </c>
    </row>
    <row r="2732" customFormat="false" ht="15" hidden="false" customHeight="false" outlineLevel="0" collapsed="false">
      <c r="A2732" s="18" t="n">
        <f aca="false">'SALES Raw'!G1918</f>
        <v>4403024</v>
      </c>
      <c r="B2732" s="18" t="str">
        <f aca="false">'SALES Raw'!B1918</f>
        <v>394W-39-42</v>
      </c>
      <c r="C2732" s="18" t="str">
        <f aca="false">'SALES Raw'!H1918</f>
        <v>394W 39-42 גרב.כסף לסכרתים לבן</v>
      </c>
      <c r="D2732" s="19" t="n">
        <f aca="false">'SALES Raw'!C1918</f>
        <v>0</v>
      </c>
      <c r="E2732" s="19" t="n">
        <f aca="false">'SALES Raw'!D1918</f>
        <v>0</v>
      </c>
      <c r="F2732" s="19" t="n">
        <f aca="false">'SALES Raw'!E1918*$H$4</f>
        <v>6.31578947368421</v>
      </c>
      <c r="G2732" s="19" t="n">
        <f aca="false">'SALES Raw'!F1918*$H$4</f>
        <v>163.162105263158</v>
      </c>
      <c r="H2732" s="18" t="str">
        <f aca="false">'SALES Raw'!A1918</f>
        <v>109 - Private Shops</v>
      </c>
    </row>
    <row r="2733" customFormat="false" ht="15" hidden="false" customHeight="false" outlineLevel="0" collapsed="false">
      <c r="A2733" s="18" t="n">
        <f aca="false">'SALES Raw'!G1919</f>
        <v>4403025</v>
      </c>
      <c r="B2733" s="18" t="str">
        <f aca="false">'SALES Raw'!B1919</f>
        <v>394W-43-46</v>
      </c>
      <c r="C2733" s="18" t="str">
        <f aca="false">'SALES Raw'!H1919</f>
        <v>394W 43-46 גרב.כסף לסכרתים לבן</v>
      </c>
      <c r="D2733" s="19" t="n">
        <f aca="false">'SALES Raw'!C1919</f>
        <v>0</v>
      </c>
      <c r="E2733" s="19" t="n">
        <f aca="false">'SALES Raw'!D1919</f>
        <v>0</v>
      </c>
      <c r="F2733" s="19" t="n">
        <f aca="false">'SALES Raw'!E1919*$H$4</f>
        <v>6.31578947368421</v>
      </c>
      <c r="G2733" s="19" t="n">
        <f aca="false">'SALES Raw'!F1919*$H$4</f>
        <v>163.162105263158</v>
      </c>
      <c r="H2733" s="18" t="str">
        <f aca="false">'SALES Raw'!A1919</f>
        <v>109 - Private Shops</v>
      </c>
    </row>
    <row r="2734" customFormat="false" ht="15" hidden="false" customHeight="false" outlineLevel="0" collapsed="false">
      <c r="A2734" s="18" t="n">
        <f aca="false">'SALES Raw'!G1920</f>
        <v>4403045</v>
      </c>
      <c r="B2734" s="18" t="str">
        <f aca="false">'SALES Raw'!B1920</f>
        <v>395B-43-46</v>
      </c>
      <c r="C2734" s="18" t="str">
        <f aca="false">'SALES Raw'!H1920</f>
        <v>395B גרבי קיץ אנטי בקטריא43-46</v>
      </c>
      <c r="D2734" s="19" t="n">
        <f aca="false">'SALES Raw'!C1920</f>
        <v>0</v>
      </c>
      <c r="E2734" s="19" t="n">
        <f aca="false">'SALES Raw'!D1920</f>
        <v>0</v>
      </c>
      <c r="F2734" s="19" t="n">
        <f aca="false">'SALES Raw'!E1920*$H$4</f>
        <v>6.31578947368421</v>
      </c>
      <c r="G2734" s="19" t="n">
        <f aca="false">'SALES Raw'!F1920*$H$4</f>
        <v>176.753684210526</v>
      </c>
      <c r="H2734" s="18" t="str">
        <f aca="false">'SALES Raw'!A1920</f>
        <v>109 - Private Shops</v>
      </c>
    </row>
    <row r="2735" customFormat="false" ht="15" hidden="false" customHeight="false" outlineLevel="0" collapsed="false">
      <c r="A2735" s="18" t="n">
        <f aca="false">'SALES Raw'!G1961</f>
        <v>4402007</v>
      </c>
      <c r="B2735" s="18" t="str">
        <f aca="false">'SALES Raw'!B1961</f>
        <v>320 0</v>
      </c>
      <c r="C2735" s="18" t="str">
        <f aca="false">'SALES Raw'!H1961</f>
        <v>320 בליסטר פלסטר</v>
      </c>
      <c r="D2735" s="19" t="n">
        <f aca="false">'SALES Raw'!C1961</f>
        <v>136</v>
      </c>
      <c r="E2735" s="19" t="n">
        <f aca="false">'SALES Raw'!D1961</f>
        <v>2266.58</v>
      </c>
      <c r="F2735" s="19" t="n">
        <f aca="false">'SALES Raw'!E1961*$H$4</f>
        <v>6.31578947368421</v>
      </c>
      <c r="G2735" s="19" t="n">
        <f aca="false">'SALES Raw'!F1961*$H$4</f>
        <v>114.126315789474</v>
      </c>
      <c r="H2735" s="18" t="str">
        <f aca="false">'SALES Raw'!A1961</f>
        <v>109 - Private Shops</v>
      </c>
    </row>
    <row r="2736" customFormat="false" ht="15" hidden="false" customHeight="false" outlineLevel="0" collapsed="false">
      <c r="A2736" s="18" t="str">
        <f aca="false">'SALES Raw'!G2056</f>
        <v/>
      </c>
      <c r="B2736" s="18" t="str">
        <f aca="false">'SALES Raw'!B2056</f>
        <v>06U M</v>
      </c>
      <c r="C2736" s="18" t="str">
        <f aca="false">'SALES Raw'!H2056</f>
        <v>06U M</v>
      </c>
      <c r="D2736" s="19" t="n">
        <f aca="false">'SALES Raw'!C2056</f>
        <v>6</v>
      </c>
      <c r="E2736" s="19" t="n">
        <f aca="false">'SALES Raw'!D2056</f>
        <v>1410.54</v>
      </c>
      <c r="F2736" s="19" t="n">
        <f aca="false">'SALES Raw'!E2056*$H$4</f>
        <v>6.31578947368421</v>
      </c>
      <c r="G2736" s="19" t="n">
        <f aca="false">'SALES Raw'!F2056*$H$4</f>
        <v>1557.00631578947</v>
      </c>
      <c r="H2736" s="18" t="str">
        <f aca="false">'SALES Raw'!A2056</f>
        <v>114 - IL online</v>
      </c>
    </row>
    <row r="2737" customFormat="false" ht="15" hidden="false" customHeight="false" outlineLevel="0" collapsed="false">
      <c r="A2737" s="18" t="str">
        <f aca="false">'SALES Raw'!G2060</f>
        <v/>
      </c>
      <c r="B2737" s="18" t="str">
        <f aca="false">'SALES Raw'!B2060</f>
        <v>06U XXL</v>
      </c>
      <c r="C2737" s="18" t="str">
        <f aca="false">'SALES Raw'!H2060</f>
        <v>06U XXL</v>
      </c>
      <c r="D2737" s="19" t="n">
        <f aca="false">'SALES Raw'!C2060</f>
        <v>6</v>
      </c>
      <c r="E2737" s="19" t="n">
        <f aca="false">'SALES Raw'!D2060</f>
        <v>1436.42</v>
      </c>
      <c r="F2737" s="19" t="n">
        <f aca="false">'SALES Raw'!E2060*$H$4</f>
        <v>6.31578947368421</v>
      </c>
      <c r="G2737" s="19" t="n">
        <f aca="false">'SALES Raw'!F2060*$H$4</f>
        <v>1524.90947368421</v>
      </c>
      <c r="H2737" s="18" t="str">
        <f aca="false">'SALES Raw'!A2060</f>
        <v>114 - IL online</v>
      </c>
    </row>
    <row r="2738" customFormat="false" ht="15" hidden="false" customHeight="false" outlineLevel="0" collapsed="false">
      <c r="A2738" s="18" t="n">
        <f aca="false">'SALES Raw'!G2093</f>
        <v>4408031</v>
      </c>
      <c r="B2738" s="18" t="str">
        <f aca="false">'SALES Raw'!B2093</f>
        <v>11 S</v>
      </c>
      <c r="C2738" s="18" t="str">
        <f aca="false">'SALES Raw'!H2093</f>
        <v>11 S""""חגורת בטן""""אורירית</v>
      </c>
      <c r="D2738" s="19" t="n">
        <f aca="false">'SALES Raw'!C2093</f>
        <v>4</v>
      </c>
      <c r="E2738" s="19" t="n">
        <f aca="false">'SALES Raw'!D2093</f>
        <v>711.13</v>
      </c>
      <c r="F2738" s="19" t="n">
        <f aca="false">'SALES Raw'!E2093*$H$4</f>
        <v>6.31578947368421</v>
      </c>
      <c r="G2738" s="19" t="n">
        <f aca="false">'SALES Raw'!F2093*$H$4</f>
        <v>1181.29263157895</v>
      </c>
      <c r="H2738" s="18" t="str">
        <f aca="false">'SALES Raw'!A2093</f>
        <v>114 - IL online</v>
      </c>
    </row>
    <row r="2739" customFormat="false" ht="15" hidden="false" customHeight="false" outlineLevel="0" collapsed="false">
      <c r="A2739" s="18" t="n">
        <f aca="false">'SALES Raw'!G2094</f>
        <v>4408034</v>
      </c>
      <c r="B2739" s="18" t="str">
        <f aca="false">'SALES Raw'!B2094</f>
        <v>11 XL</v>
      </c>
      <c r="C2739" s="18" t="str">
        <f aca="false">'SALES Raw'!H2094</f>
        <v>11 XL""""חגורת בטן""""אורירית</v>
      </c>
      <c r="D2739" s="19" t="n">
        <f aca="false">'SALES Raw'!C2094</f>
        <v>5</v>
      </c>
      <c r="E2739" s="19" t="n">
        <f aca="false">'SALES Raw'!D2094</f>
        <v>944.93</v>
      </c>
      <c r="F2739" s="19" t="n">
        <f aca="false">'SALES Raw'!E2094*$H$4</f>
        <v>6.31578947368421</v>
      </c>
      <c r="G2739" s="19" t="n">
        <f aca="false">'SALES Raw'!F2094*$H$4</f>
        <v>1181.29263157895</v>
      </c>
      <c r="H2739" s="18" t="str">
        <f aca="false">'SALES Raw'!A2094</f>
        <v>114 - IL online</v>
      </c>
    </row>
    <row r="2740" customFormat="false" ht="15" hidden="false" customHeight="false" outlineLevel="0" collapsed="false">
      <c r="A2740" s="18" t="str">
        <f aca="false">'SALES Raw'!G2099</f>
        <v/>
      </c>
      <c r="B2740" s="18" t="str">
        <f aca="false">'SALES Raw'!B2099</f>
        <v>11EU S</v>
      </c>
      <c r="C2740" s="18" t="str">
        <f aca="false">'SALES Raw'!H2099</f>
        <v>11EU S</v>
      </c>
      <c r="D2740" s="19" t="n">
        <f aca="false">'SALES Raw'!C2099</f>
        <v>4</v>
      </c>
      <c r="E2740" s="19" t="n">
        <f aca="false">'SALES Raw'!D2099</f>
        <v>705.15</v>
      </c>
      <c r="F2740" s="19" t="n">
        <f aca="false">'SALES Raw'!E2099*$H$4</f>
        <v>6.31578947368421</v>
      </c>
      <c r="G2740" s="19" t="n">
        <f aca="false">'SALES Raw'!F2099*$H$4</f>
        <v>1232.13473684211</v>
      </c>
      <c r="H2740" s="18" t="str">
        <f aca="false">'SALES Raw'!A2099</f>
        <v>114 - IL online</v>
      </c>
    </row>
    <row r="2741" customFormat="false" ht="15" hidden="false" customHeight="false" outlineLevel="0" collapsed="false">
      <c r="A2741" s="18" t="n">
        <f aca="false">'SALES Raw'!G2102</f>
        <v>4408132</v>
      </c>
      <c r="B2741" s="18" t="str">
        <f aca="false">'SALES Raw'!B2102</f>
        <v>11EU XXL</v>
      </c>
      <c r="C2741" s="18" t="str">
        <f aca="false">'SALES Raw'!H2102</f>
        <v>11EU XXL חגורת בטןלאחר ניתוח</v>
      </c>
      <c r="D2741" s="19" t="n">
        <f aca="false">'SALES Raw'!C2102</f>
        <v>11</v>
      </c>
      <c r="E2741" s="19" t="n">
        <f aca="false">'SALES Raw'!D2102</f>
        <v>2217.55</v>
      </c>
      <c r="F2741" s="19" t="n">
        <f aca="false">'SALES Raw'!E2102*$H$4</f>
        <v>6.31578947368421</v>
      </c>
      <c r="G2741" s="19" t="n">
        <f aca="false">'SALES Raw'!F2102*$H$4</f>
        <v>1156.68631578947</v>
      </c>
      <c r="H2741" s="18" t="str">
        <f aca="false">'SALES Raw'!A2102</f>
        <v>114 - IL online</v>
      </c>
    </row>
    <row r="2742" customFormat="false" ht="15" hidden="false" customHeight="false" outlineLevel="0" collapsed="false">
      <c r="A2742" s="18" t="str">
        <f aca="false">'SALES Raw'!G2135</f>
        <v/>
      </c>
      <c r="B2742" s="18" t="str">
        <f aca="false">'SALES Raw'!B2135</f>
        <v>13 M</v>
      </c>
      <c r="C2742" s="18" t="str">
        <f aca="false">'SALES Raw'!H2135</f>
        <v>13 M</v>
      </c>
      <c r="D2742" s="19" t="n">
        <f aca="false">'SALES Raw'!C2135</f>
        <v>1</v>
      </c>
      <c r="E2742" s="19" t="n">
        <f aca="false">'SALES Raw'!D2135</f>
        <v>227.05</v>
      </c>
      <c r="F2742" s="19" t="n">
        <f aca="false">'SALES Raw'!E2135*$H$4</f>
        <v>6.31578947368421</v>
      </c>
      <c r="G2742" s="19" t="n">
        <f aca="false">'SALES Raw'!F2135*$H$4</f>
        <v>1792.48421052632</v>
      </c>
      <c r="H2742" s="18" t="str">
        <f aca="false">'SALES Raw'!A2135</f>
        <v>114 - IL online</v>
      </c>
    </row>
    <row r="2743" customFormat="false" ht="15" hidden="false" customHeight="false" outlineLevel="0" collapsed="false">
      <c r="A2743" s="18" t="n">
        <f aca="false">'SALES Raw'!G2137</f>
        <v>4408179</v>
      </c>
      <c r="B2743" s="18" t="str">
        <f aca="false">'SALES Raw'!B2137</f>
        <v>13 XL</v>
      </c>
      <c r="C2743" s="18" t="str">
        <f aca="false">'SALES Raw'!H2137</f>
        <v>13 XL חגורה לשבר טבור</v>
      </c>
      <c r="D2743" s="19" t="n">
        <f aca="false">'SALES Raw'!C2137</f>
        <v>8</v>
      </c>
      <c r="E2743" s="19" t="n">
        <f aca="false">'SALES Raw'!D2137</f>
        <v>2185.34</v>
      </c>
      <c r="F2743" s="19" t="n">
        <f aca="false">'SALES Raw'!E2137*$H$4</f>
        <v>6.31578947368421</v>
      </c>
      <c r="G2743" s="19" t="n">
        <f aca="false">'SALES Raw'!F2137*$H$4</f>
        <v>1684.93894736842</v>
      </c>
      <c r="H2743" s="18" t="str">
        <f aca="false">'SALES Raw'!A2137</f>
        <v>114 - IL online</v>
      </c>
    </row>
    <row r="2744" customFormat="false" ht="15" hidden="false" customHeight="false" outlineLevel="0" collapsed="false">
      <c r="A2744" s="18" t="str">
        <f aca="false">'SALES Raw'!G2142</f>
        <v/>
      </c>
      <c r="B2744" s="18" t="str">
        <f aca="false">'SALES Raw'!B2142</f>
        <v>13B S</v>
      </c>
      <c r="C2744" s="18" t="str">
        <f aca="false">'SALES Raw'!H2142</f>
        <v>13B S</v>
      </c>
      <c r="D2744" s="19" t="n">
        <f aca="false">'SALES Raw'!C2142</f>
        <v>7</v>
      </c>
      <c r="E2744" s="19" t="n">
        <f aca="false">'SALES Raw'!D2142</f>
        <v>769.64</v>
      </c>
      <c r="F2744" s="19" t="n">
        <f aca="false">'SALES Raw'!E2142*$H$4</f>
        <v>6.31578947368421</v>
      </c>
      <c r="G2744" s="19" t="n">
        <f aca="false">'SALES Raw'!F2142*$H$4</f>
        <v>707.583157894737</v>
      </c>
      <c r="H2744" s="18" t="str">
        <f aca="false">'SALES Raw'!A2142</f>
        <v>114 - IL online</v>
      </c>
    </row>
    <row r="2745" customFormat="false" ht="15" hidden="false" customHeight="false" outlineLevel="0" collapsed="false">
      <c r="A2745" s="18" t="n">
        <f aca="false">'SALES Raw'!G2143</f>
        <v>4408203</v>
      </c>
      <c r="B2745" s="18" t="str">
        <f aca="false">'SALES Raw'!B2143</f>
        <v>14 0</v>
      </c>
      <c r="C2745" s="18" t="str">
        <f aca="false">'SALES Raw'!H2143</f>
        <v>14 0 חגורה למנותחי בית חזה</v>
      </c>
      <c r="D2745" s="19" t="n">
        <f aca="false">'SALES Raw'!C2143</f>
        <v>13</v>
      </c>
      <c r="E2745" s="19" t="n">
        <f aca="false">'SALES Raw'!D2143</f>
        <v>5658.71</v>
      </c>
      <c r="F2745" s="19" t="n">
        <f aca="false">'SALES Raw'!E2143*$H$4</f>
        <v>6.31578947368421</v>
      </c>
      <c r="G2745" s="19" t="n">
        <f aca="false">'SALES Raw'!F2143*$H$4</f>
        <v>2876.90526315789</v>
      </c>
      <c r="H2745" s="18" t="str">
        <f aca="false">'SALES Raw'!A2143</f>
        <v>114 - IL online</v>
      </c>
    </row>
    <row r="2746" customFormat="false" ht="15" hidden="false" customHeight="false" outlineLevel="0" collapsed="false">
      <c r="A2746" s="18" t="n">
        <f aca="false">'SALES Raw'!G2166</f>
        <v>4408051</v>
      </c>
      <c r="B2746" s="18" t="str">
        <f aca="false">'SALES Raw'!B2166</f>
        <v>21 S</v>
      </c>
      <c r="C2746" s="18" t="str">
        <f aca="false">'SALES Raw'!H2166</f>
        <v>21 S  חבק יד ארוך</v>
      </c>
      <c r="D2746" s="19" t="n">
        <f aca="false">'SALES Raw'!C2166</f>
        <v>3</v>
      </c>
      <c r="E2746" s="19" t="n">
        <f aca="false">'SALES Raw'!D2166</f>
        <v>205.06</v>
      </c>
      <c r="F2746" s="19" t="n">
        <f aca="false">'SALES Raw'!E2166*$H$4</f>
        <v>6.31578947368421</v>
      </c>
      <c r="G2746" s="19" t="n">
        <f aca="false">'SALES Raw'!F2166*$H$4</f>
        <v>436.244210526316</v>
      </c>
      <c r="H2746" s="18" t="str">
        <f aca="false">'SALES Raw'!A2166</f>
        <v>114 - IL online</v>
      </c>
    </row>
    <row r="2747" customFormat="false" ht="15" hidden="false" customHeight="false" outlineLevel="0" collapsed="false">
      <c r="A2747" s="18" t="n">
        <f aca="false">'SALES Raw'!G2194</f>
        <v>4415001</v>
      </c>
      <c r="B2747" s="18" t="str">
        <f aca="false">'SALES Raw'!B2194</f>
        <v>26 M</v>
      </c>
      <c r="C2747" s="18" t="str">
        <f aca="false">'SALES Raw'!H2194</f>
        <v>26 M סד ליד דו צדדי לאחר שבר</v>
      </c>
      <c r="D2747" s="19" t="n">
        <f aca="false">'SALES Raw'!C2194</f>
        <v>15</v>
      </c>
      <c r="E2747" s="19" t="n">
        <f aca="false">'SALES Raw'!D2194</f>
        <v>2693.71</v>
      </c>
      <c r="F2747" s="19" t="n">
        <f aca="false">'SALES Raw'!E2194*$H$4</f>
        <v>6.31578947368421</v>
      </c>
      <c r="G2747" s="19" t="n">
        <f aca="false">'SALES Raw'!F2194*$H$4</f>
        <v>1153.46526315789</v>
      </c>
      <c r="H2747" s="18" t="str">
        <f aca="false">'SALES Raw'!A2194</f>
        <v>114 - IL online</v>
      </c>
    </row>
    <row r="2748" customFormat="false" ht="15" hidden="false" customHeight="false" outlineLevel="0" collapsed="false">
      <c r="A2748" s="18" t="n">
        <f aca="false">'SALES Raw'!G2213</f>
        <v>4415007</v>
      </c>
      <c r="B2748" s="18" t="str">
        <f aca="false">'SALES Raw'!B2213</f>
        <v>28 S</v>
      </c>
      <c r="C2748" s="18" t="str">
        <f aca="false">'SALES Raw'!H2213</f>
        <v>28 S סד לאגודל לאחר שבר</v>
      </c>
      <c r="D2748" s="19" t="n">
        <f aca="false">'SALES Raw'!C2213</f>
        <v>8</v>
      </c>
      <c r="E2748" s="19" t="n">
        <f aca="false">'SALES Raw'!D2213</f>
        <v>1404.45</v>
      </c>
      <c r="F2748" s="19" t="n">
        <f aca="false">'SALES Raw'!E2213*$H$4</f>
        <v>6.31578947368421</v>
      </c>
      <c r="G2748" s="19" t="n">
        <f aca="false">'SALES Raw'!F2213*$H$4</f>
        <v>1176.98526315789</v>
      </c>
      <c r="H2748" s="18" t="str">
        <f aca="false">'SALES Raw'!A2213</f>
        <v>114 - IL online</v>
      </c>
    </row>
    <row r="2749" customFormat="false" ht="15" hidden="false" customHeight="false" outlineLevel="0" collapsed="false">
      <c r="A2749" s="18" t="str">
        <f aca="false">'SALES Raw'!G2217</f>
        <v/>
      </c>
      <c r="B2749" s="18" t="str">
        <f aca="false">'SALES Raw'!B2217</f>
        <v>30 M</v>
      </c>
      <c r="C2749" s="18" t="str">
        <f aca="false">'SALES Raw'!H2217</f>
        <v>30 M</v>
      </c>
      <c r="D2749" s="19" t="n">
        <f aca="false">'SALES Raw'!C2217</f>
        <v>1</v>
      </c>
      <c r="E2749" s="19" t="n">
        <f aca="false">'SALES Raw'!D2217</f>
        <v>120.25</v>
      </c>
      <c r="F2749" s="19" t="n">
        <f aca="false">'SALES Raw'!E2217*$H$4</f>
        <v>6.31578947368421</v>
      </c>
      <c r="G2749" s="19" t="n">
        <f aca="false">'SALES Raw'!F2217*$H$4</f>
        <v>698.728421052632</v>
      </c>
      <c r="H2749" s="18" t="str">
        <f aca="false">'SALES Raw'!A2217</f>
        <v>114 - IL online</v>
      </c>
    </row>
    <row r="2750" customFormat="false" ht="15" hidden="false" customHeight="false" outlineLevel="0" collapsed="false">
      <c r="A2750" s="18" t="str">
        <f aca="false">'SALES Raw'!G2234</f>
        <v/>
      </c>
      <c r="B2750" s="18" t="str">
        <f aca="false">'SALES Raw'!B2234</f>
        <v>305-37-38</v>
      </c>
      <c r="C2750" s="18" t="str">
        <f aca="false">'SALES Raw'!H2234</f>
        <v>305-37-38</v>
      </c>
      <c r="D2750" s="19" t="n">
        <f aca="false">'SALES Raw'!C2234</f>
        <v>0</v>
      </c>
      <c r="E2750" s="19" t="n">
        <f aca="false">'SALES Raw'!D2234</f>
        <v>0</v>
      </c>
      <c r="F2750" s="19" t="n">
        <f aca="false">'SALES Raw'!E2234*$H$4</f>
        <v>6.31578947368421</v>
      </c>
      <c r="G2750" s="19" t="n">
        <f aca="false">'SALES Raw'!F2234*$H$4</f>
        <v>1005.73894736842</v>
      </c>
      <c r="H2750" s="18" t="str">
        <f aca="false">'SALES Raw'!A2234</f>
        <v>114 - IL online</v>
      </c>
    </row>
    <row r="2751" customFormat="false" ht="15" hidden="false" customHeight="false" outlineLevel="0" collapsed="false">
      <c r="A2751" s="18" t="str">
        <f aca="false">'SALES Raw'!G2238</f>
        <v/>
      </c>
      <c r="B2751" s="18" t="str">
        <f aca="false">'SALES Raw'!B2238</f>
        <v>305-45-46</v>
      </c>
      <c r="C2751" s="18" t="str">
        <f aca="false">'SALES Raw'!H2238</f>
        <v>305-45-46</v>
      </c>
      <c r="D2751" s="19" t="n">
        <f aca="false">'SALES Raw'!C2238</f>
        <v>0</v>
      </c>
      <c r="E2751" s="19" t="n">
        <f aca="false">'SALES Raw'!D2238</f>
        <v>0</v>
      </c>
      <c r="F2751" s="19" t="n">
        <f aca="false">'SALES Raw'!E2238*$H$4</f>
        <v>6.31578947368421</v>
      </c>
      <c r="G2751" s="19" t="n">
        <f aca="false">'SALES Raw'!F2238*$H$4</f>
        <v>943.162105263158</v>
      </c>
      <c r="H2751" s="18" t="str">
        <f aca="false">'SALES Raw'!A2238</f>
        <v>114 - IL online</v>
      </c>
    </row>
    <row r="2752" customFormat="false" ht="15" hidden="false" customHeight="false" outlineLevel="0" collapsed="false">
      <c r="A2752" s="18" t="str">
        <f aca="false">'SALES Raw'!G2239</f>
        <v/>
      </c>
      <c r="B2752" s="18" t="str">
        <f aca="false">'SALES Raw'!B2239</f>
        <v>305GA-35-36</v>
      </c>
      <c r="C2752" s="18" t="str">
        <f aca="false">'SALES Raw'!H2239</f>
        <v>305GA-35-36</v>
      </c>
      <c r="D2752" s="19" t="n">
        <f aca="false">'SALES Raw'!C2239</f>
        <v>1</v>
      </c>
      <c r="E2752" s="19" t="n">
        <f aca="false">'SALES Raw'!D2239</f>
        <v>169.41</v>
      </c>
      <c r="F2752" s="19" t="n">
        <f aca="false">'SALES Raw'!E2239*$H$4</f>
        <v>6.31578947368421</v>
      </c>
      <c r="G2752" s="19" t="n">
        <f aca="false">'SALES Raw'!F2239*$H$4</f>
        <v>973.642105263158</v>
      </c>
      <c r="H2752" s="18" t="str">
        <f aca="false">'SALES Raw'!A2239</f>
        <v>114 - IL online</v>
      </c>
    </row>
    <row r="2753" customFormat="false" ht="15" hidden="false" customHeight="false" outlineLevel="0" collapsed="false">
      <c r="A2753" s="18" t="n">
        <f aca="false">'SALES Raw'!G2270</f>
        <v>4413162</v>
      </c>
      <c r="B2753" s="18" t="str">
        <f aca="false">'SALES Raw'!B2270</f>
        <v>34+ XL</v>
      </c>
      <c r="C2753" s="18" t="str">
        <f aca="false">'SALES Raw'!H2270</f>
        <v>34+XL מגן קרסול עקב סגור+רצוע</v>
      </c>
      <c r="D2753" s="19" t="n">
        <f aca="false">'SALES Raw'!C2270</f>
        <v>10</v>
      </c>
      <c r="E2753" s="19" t="n">
        <f aca="false">'SALES Raw'!D2270</f>
        <v>1181.38</v>
      </c>
      <c r="F2753" s="19" t="n">
        <f aca="false">'SALES Raw'!E2270*$H$4</f>
        <v>6.31578947368421</v>
      </c>
      <c r="G2753" s="19" t="n">
        <f aca="false">'SALES Raw'!F2270*$H$4</f>
        <v>770.197894736842</v>
      </c>
      <c r="H2753" s="18" t="str">
        <f aca="false">'SALES Raw'!A2270</f>
        <v>114 - IL online</v>
      </c>
    </row>
    <row r="2754" customFormat="false" ht="15" hidden="false" customHeight="false" outlineLevel="0" collapsed="false">
      <c r="A2754" s="18" t="str">
        <f aca="false">'SALES Raw'!G2271</f>
        <v/>
      </c>
      <c r="B2754" s="18" t="str">
        <f aca="false">'SALES Raw'!B2271</f>
        <v>34+ XS</v>
      </c>
      <c r="C2754" s="18" t="str">
        <f aca="false">'SALES Raw'!H2271</f>
        <v>34+ XS</v>
      </c>
      <c r="D2754" s="19" t="n">
        <f aca="false">'SALES Raw'!C2271</f>
        <v>2</v>
      </c>
      <c r="E2754" s="19" t="n">
        <f aca="false">'SALES Raw'!D2271</f>
        <v>222.04</v>
      </c>
      <c r="F2754" s="19" t="n">
        <f aca="false">'SALES Raw'!E2271*$H$4</f>
        <v>6.31578947368421</v>
      </c>
      <c r="G2754" s="19" t="n">
        <f aca="false">'SALES Raw'!F2271*$H$4</f>
        <v>786.265263157895</v>
      </c>
      <c r="H2754" s="18" t="str">
        <f aca="false">'SALES Raw'!A2271</f>
        <v>114 - IL online</v>
      </c>
    </row>
    <row r="2755" customFormat="false" ht="15" hidden="false" customHeight="false" outlineLevel="0" collapsed="false">
      <c r="A2755" s="18" t="str">
        <f aca="false">'SALES Raw'!G2361</f>
        <v/>
      </c>
      <c r="B2755" s="18" t="str">
        <f aca="false">'SALES Raw'!B2361</f>
        <v>394G-43-46</v>
      </c>
      <c r="C2755" s="18" t="str">
        <f aca="false">'SALES Raw'!H2361</f>
        <v>394G-43-46</v>
      </c>
      <c r="D2755" s="19" t="n">
        <f aca="false">'SALES Raw'!C2361</f>
        <v>23</v>
      </c>
      <c r="E2755" s="19" t="n">
        <f aca="false">'SALES Raw'!D2361</f>
        <v>893.96</v>
      </c>
      <c r="F2755" s="19" t="n">
        <f aca="false">'SALES Raw'!E2361*$H$4</f>
        <v>6.31578947368421</v>
      </c>
      <c r="G2755" s="19" t="n">
        <f aca="false">'SALES Raw'!F2361*$H$4</f>
        <v>320.589473684211</v>
      </c>
      <c r="H2755" s="18" t="str">
        <f aca="false">'SALES Raw'!A2361</f>
        <v>114 - IL online</v>
      </c>
    </row>
    <row r="2756" customFormat="false" ht="15" hidden="false" customHeight="false" outlineLevel="0" collapsed="false">
      <c r="A2756" s="18" t="n">
        <f aca="false">'SALES Raw'!G2385</f>
        <v>4413076</v>
      </c>
      <c r="B2756" s="18" t="str">
        <f aca="false">'SALES Raw'!B2385</f>
        <v>41X L</v>
      </c>
      <c r="C2756" s="18" t="str">
        <f aca="false">'SALES Raw'!H2385</f>
        <v>41X L מגן ברך מוצלב+מוט</v>
      </c>
      <c r="D2756" s="19" t="n">
        <f aca="false">'SALES Raw'!C2385</f>
        <v>1</v>
      </c>
      <c r="E2756" s="19" t="n">
        <f aca="false">'SALES Raw'!D2385</f>
        <v>245.68</v>
      </c>
      <c r="F2756" s="19" t="n">
        <f aca="false">'SALES Raw'!E2385*$H$4</f>
        <v>6.31578947368421</v>
      </c>
      <c r="G2756" s="19" t="n">
        <f aca="false">'SALES Raw'!F2385*$H$4</f>
        <v>1380.98526315789</v>
      </c>
      <c r="H2756" s="18" t="str">
        <f aca="false">'SALES Raw'!A2385</f>
        <v>114 - IL online</v>
      </c>
    </row>
    <row r="2757" customFormat="false" ht="15" hidden="false" customHeight="false" outlineLevel="0" collapsed="false">
      <c r="A2757" s="18" t="n">
        <f aca="false">'SALES Raw'!G2420</f>
        <v>4413104</v>
      </c>
      <c r="B2757" s="18" t="str">
        <f aca="false">'SALES Raw'!B2420</f>
        <v>45E XL</v>
      </c>
      <c r="C2757" s="18" t="str">
        <f aca="false">'SALES Raw'!H2420</f>
        <v>45E XLמגן ברך ארוך לבן</v>
      </c>
      <c r="D2757" s="19" t="n">
        <f aca="false">'SALES Raw'!C2420</f>
        <v>6</v>
      </c>
      <c r="E2757" s="19" t="n">
        <f aca="false">'SALES Raw'!D2420</f>
        <v>363.1</v>
      </c>
      <c r="F2757" s="19" t="n">
        <f aca="false">'SALES Raw'!E2420*$H$4</f>
        <v>6.31578947368421</v>
      </c>
      <c r="G2757" s="19" t="n">
        <f aca="false">'SALES Raw'!F2420*$H$4</f>
        <v>419.090526315789</v>
      </c>
      <c r="H2757" s="18" t="str">
        <f aca="false">'SALES Raw'!A2420</f>
        <v>114 - IL online</v>
      </c>
    </row>
    <row r="2758" customFormat="false" ht="15" hidden="false" customHeight="false" outlineLevel="0" collapsed="false">
      <c r="A2758" s="18" t="n">
        <f aca="false">'SALES Raw'!G2432</f>
        <v>4413112</v>
      </c>
      <c r="B2758" s="18" t="str">
        <f aca="false">'SALES Raw'!B2432</f>
        <v>49 L</v>
      </c>
      <c r="C2758" s="18" t="str">
        <f aca="false">'SALES Raw'!H2432</f>
        <v>49  L מגן ירך</v>
      </c>
      <c r="D2758" s="19" t="n">
        <f aca="false">'SALES Raw'!C2432</f>
        <v>7</v>
      </c>
      <c r="E2758" s="19" t="n">
        <f aca="false">'SALES Raw'!D2432</f>
        <v>396.99</v>
      </c>
      <c r="F2758" s="19" t="n">
        <f aca="false">'SALES Raw'!E2432*$H$4</f>
        <v>6.31578947368421</v>
      </c>
      <c r="G2758" s="19" t="n">
        <f aca="false">'SALES Raw'!F2432*$H$4</f>
        <v>392.854736842105</v>
      </c>
      <c r="H2758" s="18" t="str">
        <f aca="false">'SALES Raw'!A2432</f>
        <v>114 - IL online</v>
      </c>
    </row>
    <row r="2759" customFormat="false" ht="15" hidden="false" customHeight="false" outlineLevel="0" collapsed="false">
      <c r="A2759" s="18" t="n">
        <f aca="false">'SALES Raw'!G2452</f>
        <v>4408072</v>
      </c>
      <c r="B2759" s="18" t="str">
        <f aca="false">'SALES Raw'!B2452</f>
        <v>59D M</v>
      </c>
      <c r="C2759" s="18" t="str">
        <f aca="false">'SALES Raw'!H2452</f>
        <v>59D M חגורת שבר דו צדדי</v>
      </c>
      <c r="D2759" s="19" t="n">
        <f aca="false">'SALES Raw'!C2452</f>
        <v>10</v>
      </c>
      <c r="E2759" s="19" t="n">
        <f aca="false">'SALES Raw'!D2452</f>
        <v>5220.04</v>
      </c>
      <c r="F2759" s="19" t="n">
        <f aca="false">'SALES Raw'!E2452*$H$4</f>
        <v>6.31578947368421</v>
      </c>
      <c r="G2759" s="19" t="n">
        <f aca="false">'SALES Raw'!F2452*$H$4</f>
        <v>3370.40842105263</v>
      </c>
      <c r="H2759" s="18" t="str">
        <f aca="false">'SALES Raw'!A2452</f>
        <v>114 - IL online</v>
      </c>
    </row>
    <row r="2760" customFormat="false" ht="15" hidden="false" customHeight="false" outlineLevel="0" collapsed="false">
      <c r="A2760" s="18" t="n">
        <f aca="false">'SALES Raw'!G2459</f>
        <v>4408080</v>
      </c>
      <c r="B2760" s="18" t="str">
        <f aca="false">'SALES Raw'!B2459</f>
        <v>59R L</v>
      </c>
      <c r="C2760" s="18" t="str">
        <f aca="false">'SALES Raw'!H2459</f>
        <v>59R L חגורת שבר לצד ימין</v>
      </c>
      <c r="D2760" s="19" t="n">
        <f aca="false">'SALES Raw'!C2459</f>
        <v>12</v>
      </c>
      <c r="E2760" s="19" t="n">
        <f aca="false">'SALES Raw'!D2459</f>
        <v>3763.9</v>
      </c>
      <c r="F2760" s="19" t="n">
        <f aca="false">'SALES Raw'!E2459*$H$4</f>
        <v>6.31578947368421</v>
      </c>
      <c r="G2760" s="19" t="n">
        <f aca="false">'SALES Raw'!F2459*$H$4</f>
        <v>2033.40631578947</v>
      </c>
      <c r="H2760" s="18" t="str">
        <f aca="false">'SALES Raw'!A2459</f>
        <v>114 - IL online</v>
      </c>
    </row>
    <row r="2761" customFormat="false" ht="15" hidden="false" customHeight="false" outlineLevel="0" collapsed="false">
      <c r="A2761" s="18" t="n">
        <f aca="false">'SALES Raw'!G2461</f>
        <v>4408079</v>
      </c>
      <c r="B2761" s="18" t="str">
        <f aca="false">'SALES Raw'!B2461</f>
        <v>59R S</v>
      </c>
      <c r="C2761" s="18" t="str">
        <f aca="false">'SALES Raw'!H2461</f>
        <v>59R S חגורת שבר לצד ימין</v>
      </c>
      <c r="D2761" s="19" t="n">
        <f aca="false">'SALES Raw'!C2461</f>
        <v>7</v>
      </c>
      <c r="E2761" s="19" t="n">
        <f aca="false">'SALES Raw'!D2461</f>
        <v>2118.1</v>
      </c>
      <c r="F2761" s="19" t="n">
        <f aca="false">'SALES Raw'!E2461*$H$4</f>
        <v>6.31578947368421</v>
      </c>
      <c r="G2761" s="19" t="n">
        <f aca="false">'SALES Raw'!F2461*$H$4</f>
        <v>2097.61263157895</v>
      </c>
      <c r="H2761" s="18" t="str">
        <f aca="false">'SALES Raw'!A2461</f>
        <v>114 - IL online</v>
      </c>
    </row>
    <row r="2762" customFormat="false" ht="15" hidden="false" customHeight="false" outlineLevel="0" collapsed="false">
      <c r="A2762" s="18" t="str">
        <f aca="false">'SALES Raw'!G2468</f>
        <v/>
      </c>
      <c r="B2762" s="18" t="str">
        <f aca="false">'SALES Raw'!B2468</f>
        <v>59LB M</v>
      </c>
      <c r="C2762" s="18" t="str">
        <f aca="false">'SALES Raw'!H2468</f>
        <v>59LB M</v>
      </c>
      <c r="D2762" s="19" t="n">
        <f aca="false">'SALES Raw'!C2468</f>
        <v>0</v>
      </c>
      <c r="E2762" s="19" t="n">
        <f aca="false">'SALES Raw'!D2468</f>
        <v>0</v>
      </c>
      <c r="F2762" s="19" t="n">
        <f aca="false">'SALES Raw'!E2468*$H$4</f>
        <v>6.31578947368421</v>
      </c>
      <c r="G2762" s="19" t="n">
        <f aca="false">'SALES Raw'!F2468*$H$4</f>
        <v>2097.61263157895</v>
      </c>
      <c r="H2762" s="18" t="str">
        <f aca="false">'SALES Raw'!A2468</f>
        <v>114 - IL online</v>
      </c>
    </row>
    <row r="2763" customFormat="false" ht="15" hidden="false" customHeight="false" outlineLevel="0" collapsed="false">
      <c r="A2763" s="18" t="str">
        <f aca="false">'SALES Raw'!G2469</f>
        <v/>
      </c>
      <c r="B2763" s="18" t="str">
        <f aca="false">'SALES Raw'!B2469</f>
        <v>59RB L</v>
      </c>
      <c r="C2763" s="18" t="str">
        <f aca="false">'SALES Raw'!H2469</f>
        <v>59RB L</v>
      </c>
      <c r="D2763" s="19" t="n">
        <f aca="false">'SALES Raw'!C2469</f>
        <v>3</v>
      </c>
      <c r="E2763" s="19" t="n">
        <f aca="false">'SALES Raw'!D2469</f>
        <v>915.03</v>
      </c>
      <c r="F2763" s="19" t="n">
        <f aca="false">'SALES Raw'!E2469*$H$4</f>
        <v>6.31578947368421</v>
      </c>
      <c r="G2763" s="19" t="n">
        <f aca="false">'SALES Raw'!F2469*$H$4</f>
        <v>2054.80421052632</v>
      </c>
      <c r="H2763" s="18" t="str">
        <f aca="false">'SALES Raw'!A2469</f>
        <v>114 - IL online</v>
      </c>
    </row>
    <row r="2764" customFormat="false" ht="15" hidden="false" customHeight="false" outlineLevel="0" collapsed="false">
      <c r="A2764" s="18" t="str">
        <f aca="false">'SALES Raw'!G2470</f>
        <v/>
      </c>
      <c r="B2764" s="18" t="str">
        <f aca="false">'SALES Raw'!B2470</f>
        <v>59RB M</v>
      </c>
      <c r="C2764" s="18" t="str">
        <f aca="false">'SALES Raw'!H2470</f>
        <v>59RB M</v>
      </c>
      <c r="D2764" s="19" t="n">
        <f aca="false">'SALES Raw'!C2470</f>
        <v>0</v>
      </c>
      <c r="E2764" s="19" t="n">
        <f aca="false">'SALES Raw'!D2470</f>
        <v>0</v>
      </c>
      <c r="F2764" s="19" t="n">
        <f aca="false">'SALES Raw'!E2470*$H$4</f>
        <v>6.31578947368421</v>
      </c>
      <c r="G2764" s="19" t="n">
        <f aca="false">'SALES Raw'!F2470*$H$4</f>
        <v>2002.87578947368</v>
      </c>
      <c r="H2764" s="18" t="str">
        <f aca="false">'SALES Raw'!A2470</f>
        <v>114 - IL online</v>
      </c>
    </row>
    <row r="2765" customFormat="false" ht="15" hidden="false" customHeight="false" outlineLevel="0" collapsed="false">
      <c r="A2765" s="18" t="n">
        <f aca="false">'SALES Raw'!G2476</f>
        <v>4418003</v>
      </c>
      <c r="B2765" s="18" t="str">
        <f aca="false">'SALES Raw'!B2476</f>
        <v>60 XL</v>
      </c>
      <c r="C2765" s="18" t="str">
        <f aca="false">'SALES Raw'!H2476</f>
        <v>60 XL צוארון ספוגי</v>
      </c>
      <c r="D2765" s="19" t="n">
        <f aca="false">'SALES Raw'!C2476</f>
        <v>2</v>
      </c>
      <c r="E2765" s="19" t="n">
        <f aca="false">'SALES Raw'!D2476</f>
        <v>166.04</v>
      </c>
      <c r="F2765" s="19" t="n">
        <f aca="false">'SALES Raw'!E2476*$H$4</f>
        <v>6.31578947368421</v>
      </c>
      <c r="G2765" s="19" t="n">
        <f aca="false">'SALES Raw'!F2476*$H$4</f>
        <v>538.484210526316</v>
      </c>
      <c r="H2765" s="18" t="str">
        <f aca="false">'SALES Raw'!A2476</f>
        <v>114 - IL online</v>
      </c>
    </row>
    <row r="2766" customFormat="false" ht="15" hidden="false" customHeight="false" outlineLevel="0" collapsed="false">
      <c r="A2766" s="18" t="str">
        <f aca="false">'SALES Raw'!G2486</f>
        <v/>
      </c>
      <c r="B2766" s="18" t="str">
        <f aca="false">'SALES Raw'!B2486</f>
        <v>63 M</v>
      </c>
      <c r="C2766" s="18" t="str">
        <f aca="false">'SALES Raw'!H2486</f>
        <v>63 M</v>
      </c>
      <c r="D2766" s="19" t="n">
        <f aca="false">'SALES Raw'!C2486</f>
        <v>13</v>
      </c>
      <c r="E2766" s="19" t="n">
        <f aca="false">'SALES Raw'!D2486</f>
        <v>1521.16</v>
      </c>
      <c r="F2766" s="19" t="n">
        <f aca="false">'SALES Raw'!E2486*$H$4</f>
        <v>6.31578947368421</v>
      </c>
      <c r="G2766" s="19" t="n">
        <f aca="false">'SALES Raw'!F2486*$H$4</f>
        <v>713.898947368421</v>
      </c>
      <c r="H2766" s="18" t="str">
        <f aca="false">'SALES Raw'!A2486</f>
        <v>114 - IL online</v>
      </c>
    </row>
    <row r="2767" customFormat="false" ht="15" hidden="false" customHeight="false" outlineLevel="0" collapsed="false">
      <c r="A2767" s="18" t="n">
        <f aca="false">'SALES Raw'!G2498</f>
        <v>4413129</v>
      </c>
      <c r="B2767" s="18" t="str">
        <f aca="false">'SALES Raw'!B2498</f>
        <v>75 XL</v>
      </c>
      <c r="C2767" s="18" t="str">
        <f aca="false">'SALES Raw'!H2498</f>
        <v>75 XLמיישר כתף יציב יישור ג.צר</v>
      </c>
      <c r="D2767" s="19" t="n">
        <f aca="false">'SALES Raw'!C2498</f>
        <v>7</v>
      </c>
      <c r="E2767" s="19" t="n">
        <f aca="false">'SALES Raw'!D2498</f>
        <v>1912.61</v>
      </c>
      <c r="F2767" s="19" t="n">
        <f aca="false">'SALES Raw'!E2498*$H$4</f>
        <v>6.31578947368421</v>
      </c>
      <c r="G2767" s="19" t="n">
        <f aca="false">'SALES Raw'!F2498*$H$4</f>
        <v>1722.97263157895</v>
      </c>
      <c r="H2767" s="18" t="str">
        <f aca="false">'SALES Raw'!A2498</f>
        <v>114 - IL online</v>
      </c>
    </row>
    <row r="2768" customFormat="false" ht="15" hidden="false" customHeight="false" outlineLevel="0" collapsed="false">
      <c r="A2768" s="18" t="n">
        <f aca="false">'SALES Raw'!G2524</f>
        <v>4422026</v>
      </c>
      <c r="B2768" s="18" t="str">
        <f aca="false">'SALES Raw'!B2524</f>
        <v>806CB-P</v>
      </c>
      <c r="C2768" s="18" t="str">
        <f aca="false">'SALES Raw'!H2524</f>
        <v>806CB-PINK       תחבושת א.נצמ</v>
      </c>
      <c r="D2768" s="19" t="n">
        <f aca="false">'SALES Raw'!C2524</f>
        <v>3</v>
      </c>
      <c r="E2768" s="19" t="n">
        <f aca="false">'SALES Raw'!D2524</f>
        <v>59.28</v>
      </c>
      <c r="F2768" s="19" t="n">
        <f aca="false">'SALES Raw'!E2524*$H$4</f>
        <v>6.31578947368421</v>
      </c>
      <c r="G2768" s="19" t="n">
        <f aca="false">'SALES Raw'!F2524*$H$4</f>
        <v>126.72</v>
      </c>
      <c r="H2768" s="18" t="str">
        <f aca="false">'SALES Raw'!A2524</f>
        <v>114 - IL online</v>
      </c>
    </row>
    <row r="2769" customFormat="false" ht="15" hidden="false" customHeight="false" outlineLevel="0" collapsed="false">
      <c r="A2769" s="18" t="str">
        <f aca="false">'SALES Raw'!G2568</f>
        <v/>
      </c>
      <c r="B2769" s="18" t="str">
        <f aca="false">'SALES Raw'!B2568</f>
        <v>922 M</v>
      </c>
      <c r="C2769" s="18" t="str">
        <f aca="false">'SALES Raw'!H2568</f>
        <v>922 M</v>
      </c>
      <c r="D2769" s="19" t="n">
        <f aca="false">'SALES Raw'!C2568</f>
        <v>3</v>
      </c>
      <c r="E2769" s="19" t="n">
        <f aca="false">'SALES Raw'!D2568</f>
        <v>718.73</v>
      </c>
      <c r="F2769" s="19" t="n">
        <f aca="false">'SALES Raw'!E2568*$H$4</f>
        <v>6.31578947368421</v>
      </c>
      <c r="G2769" s="19" t="n">
        <f aca="false">'SALES Raw'!F2568*$H$4</f>
        <v>1264.56</v>
      </c>
      <c r="H2769" s="18" t="str">
        <f aca="false">'SALES Raw'!A2568</f>
        <v>114 - IL online</v>
      </c>
    </row>
    <row r="2770" customFormat="false" ht="15" hidden="false" customHeight="false" outlineLevel="0" collapsed="false">
      <c r="A2770" s="18" t="str">
        <f aca="false">'SALES Raw'!G2589</f>
        <v/>
      </c>
      <c r="B2770" s="18" t="str">
        <f aca="false">'SALES Raw'!B2589</f>
        <v>95G L</v>
      </c>
      <c r="C2770" s="18" t="str">
        <f aca="false">'SALES Raw'!H2589</f>
        <v>95G L</v>
      </c>
      <c r="D2770" s="19" t="n">
        <f aca="false">'SALES Raw'!C2589</f>
        <v>4</v>
      </c>
      <c r="E2770" s="19" t="n">
        <f aca="false">'SALES Raw'!D2589</f>
        <v>223</v>
      </c>
      <c r="F2770" s="19" t="n">
        <f aca="false">'SALES Raw'!E2589*$H$4</f>
        <v>6.31578947368421</v>
      </c>
      <c r="G2770" s="19" t="n">
        <f aca="false">'SALES Raw'!F2589*$H$4</f>
        <v>223.654736842105</v>
      </c>
      <c r="H2770" s="18" t="str">
        <f aca="false">'SALES Raw'!A2589</f>
        <v>114 - IL online</v>
      </c>
    </row>
    <row r="2771" customFormat="false" ht="15" hidden="false" customHeight="false" outlineLevel="0" collapsed="false">
      <c r="A2771" s="18" t="str">
        <f aca="false">'SALES Raw'!G2633</f>
        <v/>
      </c>
      <c r="B2771" s="18" t="str">
        <f aca="false">'SALES Raw'!B2633</f>
        <v>N433D M</v>
      </c>
      <c r="C2771" s="18" t="str">
        <f aca="false">'SALES Raw'!H2633</f>
        <v>N433D M</v>
      </c>
      <c r="D2771" s="19" t="n">
        <f aca="false">'SALES Raw'!C2633</f>
        <v>10</v>
      </c>
      <c r="E2771" s="19" t="n">
        <f aca="false">'SALES Raw'!D2633</f>
        <v>5369.65</v>
      </c>
      <c r="F2771" s="19" t="n">
        <f aca="false">'SALES Raw'!E2633*$H$4</f>
        <v>6.31578947368421</v>
      </c>
      <c r="G2771" s="19" t="n">
        <f aca="false">'SALES Raw'!F2633*$H$4</f>
        <v>3446.45052631579</v>
      </c>
      <c r="H2771" s="18" t="str">
        <f aca="false">'SALES Raw'!A2633</f>
        <v>114 - IL online</v>
      </c>
    </row>
    <row r="2772" customFormat="false" ht="15" hidden="false" customHeight="false" outlineLevel="0" collapsed="false">
      <c r="A2772" s="18" t="str">
        <f aca="false">'SALES Raw'!G2675</f>
        <v/>
      </c>
      <c r="B2772" s="18" t="str">
        <f aca="false">'SALES Raw'!B2675</f>
        <v>SH776 L</v>
      </c>
      <c r="C2772" s="18" t="str">
        <f aca="false">'SALES Raw'!H2675</f>
        <v>SH776 L</v>
      </c>
      <c r="D2772" s="19" t="n">
        <f aca="false">'SALES Raw'!C2675</f>
        <v>0</v>
      </c>
      <c r="E2772" s="19" t="n">
        <f aca="false">'SALES Raw'!D2675</f>
        <v>0</v>
      </c>
      <c r="F2772" s="19" t="n">
        <f aca="false">'SALES Raw'!E2675*$H$4</f>
        <v>6.31578947368421</v>
      </c>
      <c r="G2772" s="19" t="n">
        <f aca="false">'SALES Raw'!F2675*$H$4</f>
        <v>4763.16631578947</v>
      </c>
      <c r="H2772" s="18" t="str">
        <f aca="false">'SALES Raw'!A2675</f>
        <v>114 - IL online</v>
      </c>
    </row>
    <row r="2773" customFormat="false" ht="15" hidden="false" customHeight="false" outlineLevel="0" collapsed="false">
      <c r="A2773" s="18" t="str">
        <f aca="false">'SALES Raw'!G2677</f>
        <v/>
      </c>
      <c r="B2773" s="18" t="str">
        <f aca="false">'SALES Raw'!B2677</f>
        <v>SH776 S</v>
      </c>
      <c r="C2773" s="18" t="str">
        <f aca="false">'SALES Raw'!H2677</f>
        <v>SH776 S</v>
      </c>
      <c r="D2773" s="19" t="n">
        <f aca="false">'SALES Raw'!C2677</f>
        <v>0</v>
      </c>
      <c r="E2773" s="19" t="n">
        <f aca="false">'SALES Raw'!D2677</f>
        <v>0</v>
      </c>
      <c r="F2773" s="19" t="n">
        <f aca="false">'SALES Raw'!E2677*$H$4</f>
        <v>6.31578947368421</v>
      </c>
      <c r="G2773" s="19" t="n">
        <f aca="false">'SALES Raw'!F2677*$H$4</f>
        <v>5191.26315789474</v>
      </c>
      <c r="H2773" s="18" t="str">
        <f aca="false">'SALES Raw'!A2677</f>
        <v>114 - IL online</v>
      </c>
    </row>
    <row r="2774" customFormat="false" ht="15" hidden="false" customHeight="false" outlineLevel="0" collapsed="false">
      <c r="A2774" s="18" t="str">
        <f aca="false">'SALES Raw'!G2696</f>
        <v/>
      </c>
      <c r="B2774" s="18" t="str">
        <f aca="false">'SALES Raw'!B2696</f>
        <v>T03 XXL</v>
      </c>
      <c r="C2774" s="18" t="str">
        <f aca="false">'SALES Raw'!H2696</f>
        <v>T03 XXL</v>
      </c>
      <c r="D2774" s="19" t="n">
        <f aca="false">'SALES Raw'!C2696</f>
        <v>6</v>
      </c>
      <c r="E2774" s="19" t="n">
        <f aca="false">'SALES Raw'!D2696</f>
        <v>1114.23</v>
      </c>
      <c r="F2774" s="19" t="n">
        <f aca="false">'SALES Raw'!E2696*$H$4</f>
        <v>6.31578947368421</v>
      </c>
      <c r="G2774" s="19" t="n">
        <f aca="false">'SALES Raw'!F2696*$H$4</f>
        <v>1166.53894736842</v>
      </c>
      <c r="H2774" s="18" t="str">
        <f aca="false">'SALES Raw'!A2696</f>
        <v>114 - IL online</v>
      </c>
    </row>
    <row r="2775" customFormat="false" ht="15" hidden="false" customHeight="false" outlineLevel="0" collapsed="false">
      <c r="A2775" s="18" t="str">
        <f aca="false">'SALES Raw'!G2718</f>
        <v/>
      </c>
      <c r="B2775" s="18" t="str">
        <f aca="false">'SALES Raw'!B2718</f>
        <v>T33 S</v>
      </c>
      <c r="C2775" s="18" t="str">
        <f aca="false">'SALES Raw'!H2718</f>
        <v>T33 S</v>
      </c>
      <c r="D2775" s="19" t="n">
        <f aca="false">'SALES Raw'!C2718</f>
        <v>2</v>
      </c>
      <c r="E2775" s="19" t="n">
        <f aca="false">'SALES Raw'!D2718</f>
        <v>508.3</v>
      </c>
      <c r="F2775" s="19" t="n">
        <f aca="false">'SALES Raw'!E2718*$H$4</f>
        <v>6.31578947368421</v>
      </c>
      <c r="G2775" s="19" t="n">
        <f aca="false">'SALES Raw'!F2718*$H$4</f>
        <v>1573.06105263158</v>
      </c>
      <c r="H2775" s="18" t="str">
        <f aca="false">'SALES Raw'!A2718</f>
        <v>114 - IL online</v>
      </c>
    </row>
    <row r="2776" customFormat="false" ht="15" hidden="false" customHeight="false" outlineLevel="0" collapsed="false">
      <c r="A2776" s="18" t="n">
        <f aca="false">'SALES Raw'!G2761</f>
        <v>4422009</v>
      </c>
      <c r="B2776" s="18" t="str">
        <f aca="false">'SALES Raw'!B2761</f>
        <v>T78 XXL</v>
      </c>
      <c r="C2776" s="18" t="str">
        <f aca="false">'SALES Raw'!H2761</f>
        <v>T78 XXL תומך זרוע וכתף</v>
      </c>
      <c r="D2776" s="19" t="n">
        <f aca="false">'SALES Raw'!C2761</f>
        <v>5</v>
      </c>
      <c r="E2776" s="19" t="n">
        <f aca="false">'SALES Raw'!D2761</f>
        <v>1653.83</v>
      </c>
      <c r="F2776" s="19" t="n">
        <f aca="false">'SALES Raw'!E2761*$H$4</f>
        <v>6.31578947368421</v>
      </c>
      <c r="G2776" s="19" t="n">
        <f aca="false">'SALES Raw'!F2761*$H$4</f>
        <v>2033.40631578947</v>
      </c>
      <c r="H2776" s="18" t="str">
        <f aca="false">'SALES Raw'!A2761</f>
        <v>114 - IL online</v>
      </c>
    </row>
    <row r="2777" customFormat="false" ht="15" hidden="false" customHeight="false" outlineLevel="0" collapsed="false">
      <c r="A2777" s="18" t="str">
        <f aca="false">'SALES Raw'!G2818</f>
        <v/>
      </c>
      <c r="B2777" s="18" t="str">
        <f aca="false">'SALES Raw'!B2818</f>
        <v>95B XS</v>
      </c>
      <c r="C2777" s="18" t="str">
        <f aca="false">'SALES Raw'!H2818</f>
        <v>95B XS</v>
      </c>
      <c r="D2777" s="19" t="n">
        <f aca="false">'SALES Raw'!C2818</f>
        <v>1</v>
      </c>
      <c r="E2777" s="19" t="n">
        <f aca="false">'SALES Raw'!D2818</f>
        <v>55.85</v>
      </c>
      <c r="F2777" s="19" t="n">
        <f aca="false">'SALES Raw'!E2818*$H$4</f>
        <v>6.31578947368421</v>
      </c>
      <c r="G2777" s="19" t="n">
        <f aca="false">'SALES Raw'!F2818*$H$4</f>
        <v>352.736842105263</v>
      </c>
      <c r="H2777" s="18" t="str">
        <f aca="false">'SALES Raw'!A2818</f>
        <v>115-SuperPharm Online</v>
      </c>
    </row>
    <row r="2778" customFormat="false" ht="15" hidden="false" customHeight="false" outlineLevel="0" collapsed="false">
      <c r="A2778" s="18" t="n">
        <f aca="false">'SALES Raw'!G2822</f>
        <v>4408205</v>
      </c>
      <c r="B2778" s="18" t="str">
        <f aca="false">'SALES Raw'!B2822</f>
        <v>AC07 0</v>
      </c>
      <c r="C2778" s="18" t="str">
        <f aca="false">'SALES Raw'!H2822</f>
        <v>AC-07 חגורת גב עם תמיכות</v>
      </c>
      <c r="D2778" s="19" t="n">
        <f aca="false">'SALES Raw'!C2822</f>
        <v>8</v>
      </c>
      <c r="E2778" s="19" t="n">
        <f aca="false">'SALES Raw'!D2822</f>
        <v>1355.28</v>
      </c>
      <c r="F2778" s="19" t="n">
        <f aca="false">'SALES Raw'!E2822*$H$4</f>
        <v>6.31578947368421</v>
      </c>
      <c r="G2778" s="19" t="n">
        <f aca="false">'SALES Raw'!F2822*$H$4</f>
        <v>1069.95789473684</v>
      </c>
      <c r="H2778" s="18" t="str">
        <f aca="false">'SALES Raw'!A2822</f>
        <v>115-SuperPharm Online</v>
      </c>
    </row>
    <row r="2779" customFormat="false" ht="15" hidden="false" customHeight="false" outlineLevel="0" collapsed="false">
      <c r="A2779" s="18" t="n">
        <f aca="false">'SALES Raw'!G3068</f>
        <v>4415004</v>
      </c>
      <c r="B2779" s="18" t="str">
        <f aca="false">'SALES Raw'!B3068</f>
        <v>26 XXL</v>
      </c>
      <c r="C2779" s="18" t="str">
        <f aca="false">'SALES Raw'!H3068</f>
        <v>26 XXL סד ליד דו צדדי לאחר שבר</v>
      </c>
      <c r="D2779" s="19" t="n">
        <f aca="false">'SALES Raw'!C3068</f>
        <v>5</v>
      </c>
      <c r="E2779" s="19" t="n">
        <f aca="false">'SALES Raw'!D3068</f>
        <v>270</v>
      </c>
      <c r="F2779" s="19" t="n">
        <f aca="false">'SALES Raw'!E3068*$H$4</f>
        <v>6.31578947368421</v>
      </c>
      <c r="G2779" s="19" t="n">
        <f aca="false">'SALES Raw'!F3068*$H$4</f>
        <v>275.406315789474</v>
      </c>
      <c r="H2779" s="18" t="str">
        <f aca="false">'SALES Raw'!A3068</f>
        <v>203 - Ortho- Partner ag SWITZERLAND</v>
      </c>
    </row>
    <row r="2780" customFormat="false" ht="15" hidden="false" customHeight="false" outlineLevel="0" collapsed="false">
      <c r="A2780" s="18" t="n">
        <f aca="false">'SALES Raw'!G3074</f>
        <v>4413050</v>
      </c>
      <c r="B2780" s="18" t="str">
        <f aca="false">'SALES Raw'!B3074</f>
        <v>35 XL</v>
      </c>
      <c r="C2780" s="18" t="str">
        <f aca="false">'SALES Raw'!H3074</f>
        <v>35 XL מגן קרסול לבן</v>
      </c>
      <c r="D2780" s="19" t="n">
        <f aca="false">'SALES Raw'!C3074</f>
        <v>0</v>
      </c>
      <c r="E2780" s="19" t="n">
        <f aca="false">'SALES Raw'!D3074</f>
        <v>0</v>
      </c>
      <c r="F2780" s="19" t="n">
        <f aca="false">'SALES Raw'!E3074*$H$4</f>
        <v>6.31578947368421</v>
      </c>
      <c r="G2780" s="19" t="n">
        <f aca="false">'SALES Raw'!F3074*$H$4</f>
        <v>73.4273684210526</v>
      </c>
      <c r="H2780" s="18" t="str">
        <f aca="false">'SALES Raw'!A3074</f>
        <v>203 - Ortho- Partner ag SWITZERLAND</v>
      </c>
    </row>
    <row r="2781" customFormat="false" ht="15" hidden="false" customHeight="false" outlineLevel="0" collapsed="false">
      <c r="A2781" s="18" t="str">
        <f aca="false">'SALES Raw'!G3100</f>
        <v/>
      </c>
      <c r="B2781" s="18" t="str">
        <f aca="false">'SALES Raw'!B3100</f>
        <v>62FC S</v>
      </c>
      <c r="C2781" s="18" t="str">
        <f aca="false">'SALES Raw'!H3100</f>
        <v>62FC S</v>
      </c>
      <c r="D2781" s="19" t="n">
        <f aca="false">'SALES Raw'!C3100</f>
        <v>36</v>
      </c>
      <c r="E2781" s="19" t="n">
        <f aca="false">'SALES Raw'!D3100</f>
        <v>887.28</v>
      </c>
      <c r="F2781" s="19" t="n">
        <f aca="false">'SALES Raw'!E3100*$H$4</f>
        <v>6.31578947368421</v>
      </c>
      <c r="G2781" s="19" t="n">
        <f aca="false">'SALES Raw'!F3100*$H$4</f>
        <v>165.246315789474</v>
      </c>
      <c r="H2781" s="18" t="str">
        <f aca="false">'SALES Raw'!A3100</f>
        <v>203 - Ortho- Partner ag SWITZERLAND</v>
      </c>
    </row>
    <row r="2782" customFormat="false" ht="15" hidden="false" customHeight="false" outlineLevel="0" collapsed="false">
      <c r="A2782" s="18" t="str">
        <f aca="false">'SALES Raw'!G3104</f>
        <v/>
      </c>
      <c r="B2782" s="18" t="str">
        <f aca="false">'SALES Raw'!B3104</f>
        <v>74-S-M</v>
      </c>
      <c r="C2782" s="18" t="str">
        <f aca="false">'SALES Raw'!H3104</f>
        <v>74-S-M</v>
      </c>
      <c r="D2782" s="19" t="n">
        <f aca="false">'SALES Raw'!C3104</f>
        <v>12</v>
      </c>
      <c r="E2782" s="19" t="n">
        <f aca="false">'SALES Raw'!D3104</f>
        <v>934.66</v>
      </c>
      <c r="F2782" s="19" t="n">
        <f aca="false">'SALES Raw'!E3104*$H$4</f>
        <v>6.31578947368421</v>
      </c>
      <c r="G2782" s="19" t="n">
        <f aca="false">'SALES Raw'!F3104*$H$4</f>
        <v>515.002105263158</v>
      </c>
      <c r="H2782" s="18" t="str">
        <f aca="false">'SALES Raw'!A3104</f>
        <v>203 - Ortho- Partner ag SWITZERLAND</v>
      </c>
    </row>
    <row r="2783" customFormat="false" ht="15" hidden="false" customHeight="false" outlineLevel="0" collapsed="false">
      <c r="A2783" s="18" t="str">
        <f aca="false">'SALES Raw'!G3108</f>
        <v/>
      </c>
      <c r="B2783" s="18" t="str">
        <f aca="false">'SALES Raw'!B3108</f>
        <v>86U XXL</v>
      </c>
      <c r="C2783" s="18" t="str">
        <f aca="false">'SALES Raw'!H3108</f>
        <v>86U XXL</v>
      </c>
      <c r="D2783" s="19" t="n">
        <f aca="false">'SALES Raw'!C3108</f>
        <v>0</v>
      </c>
      <c r="E2783" s="19" t="n">
        <f aca="false">'SALES Raw'!D3108</f>
        <v>0</v>
      </c>
      <c r="F2783" s="19" t="n">
        <f aca="false">'SALES Raw'!E3108*$H$4</f>
        <v>6.31578947368421</v>
      </c>
      <c r="G2783" s="19" t="n">
        <f aca="false">'SALES Raw'!F3108*$H$4</f>
        <v>615.738947368421</v>
      </c>
      <c r="H2783" s="18" t="str">
        <f aca="false">'SALES Raw'!A3108</f>
        <v>203 - Ortho- Partner ag SWITZERLAND</v>
      </c>
    </row>
    <row r="2784" customFormat="false" ht="15" hidden="false" customHeight="false" outlineLevel="0" collapsed="false">
      <c r="A2784" s="18" t="n">
        <f aca="false">'SALES Raw'!G3150</f>
        <v>4408116</v>
      </c>
      <c r="B2784" s="18" t="str">
        <f aca="false">'SALES Raw'!B3150</f>
        <v>11EU XL</v>
      </c>
      <c r="C2784" s="18" t="str">
        <f aca="false">'SALES Raw'!H3150</f>
        <v>11EU XLח.בטן לאחר ניתוח</v>
      </c>
      <c r="D2784" s="19" t="n">
        <f aca="false">'SALES Raw'!C3150</f>
        <v>40</v>
      </c>
      <c r="E2784" s="19" t="n">
        <f aca="false">'SALES Raw'!D3150</f>
        <v>1764.75</v>
      </c>
      <c r="F2784" s="19" t="n">
        <f aca="false">'SALES Raw'!E3150*$H$4</f>
        <v>6.31578947368421</v>
      </c>
      <c r="G2784" s="19" t="n">
        <f aca="false">'SALES Raw'!F3150*$H$4</f>
        <v>251.052631578947</v>
      </c>
      <c r="H2784" s="18" t="str">
        <f aca="false">'SALES Raw'!A3150</f>
        <v>204 - Sanaflex Anatomic GREECE</v>
      </c>
    </row>
    <row r="2785" customFormat="false" ht="15" hidden="false" customHeight="false" outlineLevel="0" collapsed="false">
      <c r="A2785" s="18" t="n">
        <f aca="false">'SALES Raw'!G3151</f>
        <v>4408132</v>
      </c>
      <c r="B2785" s="18" t="str">
        <f aca="false">'SALES Raw'!B3151</f>
        <v>11EU XXL</v>
      </c>
      <c r="C2785" s="18" t="str">
        <f aca="false">'SALES Raw'!H3151</f>
        <v>11EU XXL חגורת בטןלאחר ניתוח</v>
      </c>
      <c r="D2785" s="19" t="n">
        <f aca="false">'SALES Raw'!C3151</f>
        <v>26</v>
      </c>
      <c r="E2785" s="19" t="n">
        <f aca="false">'SALES Raw'!D3151</f>
        <v>1145.86</v>
      </c>
      <c r="F2785" s="19" t="n">
        <f aca="false">'SALES Raw'!E3151*$H$4</f>
        <v>6.31578947368421</v>
      </c>
      <c r="G2785" s="19" t="n">
        <f aca="false">'SALES Raw'!F3151*$H$4</f>
        <v>251.052631578947</v>
      </c>
      <c r="H2785" s="18" t="str">
        <f aca="false">'SALES Raw'!A3151</f>
        <v>204 - Sanaflex Anatomic GREECE</v>
      </c>
    </row>
    <row r="2786" customFormat="false" ht="15" hidden="false" customHeight="false" outlineLevel="0" collapsed="false">
      <c r="A2786" s="18" t="n">
        <f aca="false">'SALES Raw'!G3465</f>
        <v>4408192</v>
      </c>
      <c r="B2786" s="18" t="str">
        <f aca="false">'SALES Raw'!B3465</f>
        <v>078 L</v>
      </c>
      <c r="C2786" s="18" t="str">
        <f aca="false">'SALES Raw'!H3465</f>
        <v>078 L חגורת גב +סגירה</v>
      </c>
      <c r="D2786" s="19" t="n">
        <f aca="false">'SALES Raw'!C3465</f>
        <v>5</v>
      </c>
      <c r="E2786" s="19" t="n">
        <f aca="false">'SALES Raw'!D3465</f>
        <v>262.52</v>
      </c>
      <c r="F2786" s="19" t="n">
        <f aca="false">'SALES Raw'!E3465*$H$4</f>
        <v>6.31578947368421</v>
      </c>
      <c r="G2786" s="19" t="n">
        <f aca="false">'SALES Raw'!F3465*$H$4</f>
        <v>317.848421052632</v>
      </c>
      <c r="H2786" s="18" t="str">
        <f aca="false">'SALES Raw'!A3465</f>
        <v>207 - Salus HUNGARY</v>
      </c>
    </row>
    <row r="2787" customFormat="false" ht="15" hidden="false" customHeight="false" outlineLevel="0" collapsed="false">
      <c r="A2787" s="18" t="n">
        <f aca="false">'SALES Raw'!G3478</f>
        <v>4408049</v>
      </c>
      <c r="B2787" s="18" t="str">
        <f aca="false">'SALES Raw'!B3478</f>
        <v>20 XL</v>
      </c>
      <c r="C2787" s="18" t="str">
        <f aca="false">'SALES Raw'!H3478</f>
        <v>20 XL חבק יד מתכוון עם צמדן</v>
      </c>
      <c r="D2787" s="19" t="n">
        <f aca="false">'SALES Raw'!C3478</f>
        <v>5</v>
      </c>
      <c r="E2787" s="19" t="n">
        <f aca="false">'SALES Raw'!D3478</f>
        <v>71.67</v>
      </c>
      <c r="F2787" s="19" t="n">
        <f aca="false">'SALES Raw'!E3478*$H$4</f>
        <v>6.31578947368421</v>
      </c>
      <c r="G2787" s="19" t="n">
        <f aca="false">'SALES Raw'!F3478*$H$4</f>
        <v>102.328421052632</v>
      </c>
      <c r="H2787" s="18" t="str">
        <f aca="false">'SALES Raw'!A3478</f>
        <v>207 - Salus HUNGARY</v>
      </c>
    </row>
    <row r="2788" customFormat="false" ht="15" hidden="false" customHeight="false" outlineLevel="0" collapsed="false">
      <c r="A2788" s="18" t="n">
        <f aca="false">'SALES Raw'!G3496</f>
        <v>4415006</v>
      </c>
      <c r="B2788" s="18" t="str">
        <f aca="false">'SALES Raw'!B3496</f>
        <v>28 M</v>
      </c>
      <c r="C2788" s="18" t="str">
        <f aca="false">'SALES Raw'!H3496</f>
        <v>28 M סד לאגודל לאחר שבר</v>
      </c>
      <c r="D2788" s="19" t="n">
        <f aca="false">'SALES Raw'!C3496</f>
        <v>11</v>
      </c>
      <c r="E2788" s="19" t="n">
        <f aca="false">'SALES Raw'!D3496</f>
        <v>394.72</v>
      </c>
      <c r="F2788" s="19" t="n">
        <f aca="false">'SALES Raw'!E3496*$H$4</f>
        <v>6.31578947368421</v>
      </c>
      <c r="G2788" s="19" t="n">
        <f aca="false">'SALES Raw'!F3496*$H$4</f>
        <v>241.338947368421</v>
      </c>
      <c r="H2788" s="18" t="str">
        <f aca="false">'SALES Raw'!A3496</f>
        <v>207 - Salus HUNGARY</v>
      </c>
    </row>
    <row r="2789" customFormat="false" ht="15" hidden="false" customHeight="false" outlineLevel="0" collapsed="false">
      <c r="A2789" s="18" t="str">
        <f aca="false">'SALES Raw'!G3511</f>
        <v/>
      </c>
      <c r="B2789" s="18" t="str">
        <f aca="false">'SALES Raw'!B3511</f>
        <v>32 L</v>
      </c>
      <c r="C2789" s="18" t="str">
        <f aca="false">'SALES Raw'!H3511</f>
        <v>32 L</v>
      </c>
      <c r="D2789" s="19" t="n">
        <f aca="false">'SALES Raw'!C3511</f>
        <v>10</v>
      </c>
      <c r="E2789" s="19" t="n">
        <f aca="false">'SALES Raw'!D3511</f>
        <v>720.8</v>
      </c>
      <c r="F2789" s="19" t="n">
        <f aca="false">'SALES Raw'!E3511*$H$4</f>
        <v>6.31578947368421</v>
      </c>
      <c r="G2789" s="19" t="n">
        <f aca="false">'SALES Raw'!F3511*$H$4</f>
        <v>436.357894736842</v>
      </c>
      <c r="H2789" s="18" t="str">
        <f aca="false">'SALES Raw'!A3511</f>
        <v>207 - Salus HUNGARY</v>
      </c>
    </row>
    <row r="2790" customFormat="false" ht="15" hidden="false" customHeight="false" outlineLevel="0" collapsed="false">
      <c r="A2790" s="18" t="n">
        <f aca="false">'SALES Raw'!G3519</f>
        <v>4413042</v>
      </c>
      <c r="B2790" s="18" t="str">
        <f aca="false">'SALES Raw'!B3519</f>
        <v>34 S</v>
      </c>
      <c r="C2790" s="18" t="str">
        <f aca="false">'SALES Raw'!H3519</f>
        <v>34  S מגן קרסול עקב סגור</v>
      </c>
      <c r="D2790" s="19" t="n">
        <f aca="false">'SALES Raw'!C3519</f>
        <v>15</v>
      </c>
      <c r="E2790" s="19" t="n">
        <f aca="false">'SALES Raw'!D3519</f>
        <v>294.13</v>
      </c>
      <c r="F2790" s="19" t="n">
        <f aca="false">'SALES Raw'!E3519*$H$4</f>
        <v>6.31578947368421</v>
      </c>
      <c r="G2790" s="19" t="n">
        <f aca="false">'SALES Raw'!F3519*$H$4</f>
        <v>118.711578947368</v>
      </c>
      <c r="H2790" s="18" t="str">
        <f aca="false">'SALES Raw'!A3519</f>
        <v>207 - Salus HUNGARY</v>
      </c>
    </row>
    <row r="2791" customFormat="false" ht="15" hidden="false" customHeight="false" outlineLevel="0" collapsed="false">
      <c r="A2791" s="18" t="str">
        <f aca="false">'SALES Raw'!G3521</f>
        <v/>
      </c>
      <c r="B2791" s="18" t="str">
        <f aca="false">'SALES Raw'!B3521</f>
        <v>34 XS</v>
      </c>
      <c r="C2791" s="18" t="str">
        <f aca="false">'SALES Raw'!H3521</f>
        <v>34 XS</v>
      </c>
      <c r="D2791" s="19" t="n">
        <f aca="false">'SALES Raw'!C3521</f>
        <v>6</v>
      </c>
      <c r="E2791" s="19" t="n">
        <f aca="false">'SALES Raw'!D3521</f>
        <v>117.66</v>
      </c>
      <c r="F2791" s="19" t="n">
        <f aca="false">'SALES Raw'!E3521*$H$4</f>
        <v>6.31578947368421</v>
      </c>
      <c r="G2791" s="19" t="n">
        <f aca="false">'SALES Raw'!F3521*$H$4</f>
        <v>139.983157894737</v>
      </c>
      <c r="H2791" s="18" t="str">
        <f aca="false">'SALES Raw'!A3521</f>
        <v>207 - Salus HUNGARY</v>
      </c>
    </row>
    <row r="2792" customFormat="false" ht="15" hidden="false" customHeight="false" outlineLevel="0" collapsed="false">
      <c r="A2792" s="18" t="n">
        <f aca="false">'SALES Raw'!G3559</f>
        <v>4413524</v>
      </c>
      <c r="B2792" s="18" t="str">
        <f aca="false">'SALES Raw'!B3559</f>
        <v>379COM-39-42</v>
      </c>
      <c r="C2792" s="18" t="str">
        <f aca="false">'SALES Raw'!H3559</f>
        <v>39-42 מדרסי אפיק ג'ל נוחות</v>
      </c>
      <c r="D2792" s="19" t="n">
        <f aca="false">'SALES Raw'!C3559</f>
        <v>7</v>
      </c>
      <c r="E2792" s="19" t="n">
        <f aca="false">'SALES Raw'!D3559</f>
        <v>249.6</v>
      </c>
      <c r="F2792" s="19" t="n">
        <f aca="false">'SALES Raw'!E3559*$H$4</f>
        <v>6.31578947368421</v>
      </c>
      <c r="G2792" s="19" t="n">
        <f aca="false">'SALES Raw'!F3559*$H$4</f>
        <v>226.345263157895</v>
      </c>
      <c r="H2792" s="18" t="str">
        <f aca="false">'SALES Raw'!A3559</f>
        <v>207 - Salus HUNGARY</v>
      </c>
    </row>
    <row r="2793" customFormat="false" ht="15" hidden="false" customHeight="false" outlineLevel="0" collapsed="false">
      <c r="A2793" s="18" t="n">
        <f aca="false">'SALES Raw'!G3564</f>
        <v>4413527</v>
      </c>
      <c r="B2793" s="18" t="str">
        <f aca="false">'SALES Raw'!B3564</f>
        <v>379WRK-35-38</v>
      </c>
      <c r="C2793" s="18" t="str">
        <f aca="false">'SALES Raw'!H3564</f>
        <v>35-38 מדרסי אפיק ג'ל עבודה</v>
      </c>
      <c r="D2793" s="19" t="n">
        <f aca="false">'SALES Raw'!C3564</f>
        <v>6</v>
      </c>
      <c r="E2793" s="19" t="n">
        <f aca="false">'SALES Raw'!D3564</f>
        <v>249.57</v>
      </c>
      <c r="F2793" s="19" t="n">
        <f aca="false">'SALES Raw'!E3564*$H$4</f>
        <v>6.31578947368421</v>
      </c>
      <c r="G2793" s="19" t="n">
        <f aca="false">'SALES Raw'!F3564*$H$4</f>
        <v>226.345263157895</v>
      </c>
      <c r="H2793" s="18" t="str">
        <f aca="false">'SALES Raw'!A3564</f>
        <v>207 - Salus HUNGARY</v>
      </c>
    </row>
    <row r="2794" customFormat="false" ht="15" hidden="false" customHeight="false" outlineLevel="0" collapsed="false">
      <c r="A2794" s="18" t="n">
        <f aca="false">'SALES Raw'!G3586</f>
        <v>4413332</v>
      </c>
      <c r="B2794" s="18" t="str">
        <f aca="false">'SALES Raw'!B3586</f>
        <v>45 XS</v>
      </c>
      <c r="C2794" s="18" t="str">
        <f aca="false">'SALES Raw'!H3586</f>
        <v>45  XS מגן ברך רגיל לבן</v>
      </c>
      <c r="D2794" s="19" t="n">
        <f aca="false">'SALES Raw'!C3586</f>
        <v>10</v>
      </c>
      <c r="E2794" s="19" t="n">
        <f aca="false">'SALES Raw'!D3586</f>
        <v>101.43</v>
      </c>
      <c r="F2794" s="19" t="n">
        <f aca="false">'SALES Raw'!E3586*$H$4</f>
        <v>6.31578947368421</v>
      </c>
      <c r="G2794" s="19" t="n">
        <f aca="false">'SALES Raw'!F3586*$H$4</f>
        <v>61.4021052631579</v>
      </c>
      <c r="H2794" s="18" t="str">
        <f aca="false">'SALES Raw'!A3586</f>
        <v>207 - Salus HUNGARY</v>
      </c>
    </row>
    <row r="2795" customFormat="false" ht="15" hidden="false" customHeight="false" outlineLevel="0" collapsed="false">
      <c r="A2795" s="18" t="n">
        <f aca="false">'SALES Raw'!G3594</f>
        <v>4413111</v>
      </c>
      <c r="B2795" s="18" t="str">
        <f aca="false">'SALES Raw'!B3594</f>
        <v>49 S</v>
      </c>
      <c r="C2795" s="18" t="str">
        <f aca="false">'SALES Raw'!H3594</f>
        <v>49  S מגן ירך</v>
      </c>
      <c r="D2795" s="19" t="n">
        <f aca="false">'SALES Raw'!C3594</f>
        <v>5</v>
      </c>
      <c r="E2795" s="19" t="n">
        <f aca="false">'SALES Raw'!D3594</f>
        <v>52.06</v>
      </c>
      <c r="F2795" s="19" t="n">
        <f aca="false">'SALES Raw'!E3594*$H$4</f>
        <v>6.31578947368421</v>
      </c>
      <c r="G2795" s="19" t="n">
        <f aca="false">'SALES Raw'!F3594*$H$4</f>
        <v>63.0315789473684</v>
      </c>
      <c r="H2795" s="18" t="str">
        <f aca="false">'SALES Raw'!A3594</f>
        <v>207 - Salus HUNGARY</v>
      </c>
    </row>
    <row r="2796" customFormat="false" ht="15" hidden="false" customHeight="false" outlineLevel="0" collapsed="false">
      <c r="A2796" s="18" t="n">
        <f aca="false">'SALES Raw'!G3614</f>
        <v>4413128</v>
      </c>
      <c r="B2796" s="18" t="str">
        <f aca="false">'SALES Raw'!B3614</f>
        <v>75 M</v>
      </c>
      <c r="C2796" s="18" t="str">
        <f aca="false">'SALES Raw'!H3614</f>
        <v>75 Mמיישר כתף יציב יישור גב צר</v>
      </c>
      <c r="D2796" s="19" t="n">
        <f aca="false">'SALES Raw'!C3614</f>
        <v>5</v>
      </c>
      <c r="E2796" s="19" t="n">
        <f aca="false">'SALES Raw'!D3614</f>
        <v>343.78</v>
      </c>
      <c r="F2796" s="19" t="n">
        <f aca="false">'SALES Raw'!E3614*$H$4</f>
        <v>6.31578947368421</v>
      </c>
      <c r="G2796" s="19" t="n">
        <f aca="false">'SALES Raw'!F3614*$H$4</f>
        <v>441.170526315789</v>
      </c>
      <c r="H2796" s="18" t="str">
        <f aca="false">'SALES Raw'!A3614</f>
        <v>207 - Salus HUNGARY</v>
      </c>
    </row>
    <row r="2797" customFormat="false" ht="15" hidden="false" customHeight="false" outlineLevel="0" collapsed="false">
      <c r="A2797" s="18" t="n">
        <f aca="false">'SALES Raw'!G3632</f>
        <v>4413142</v>
      </c>
      <c r="B2797" s="18" t="str">
        <f aca="false">'SALES Raw'!B3632</f>
        <v>95 XL</v>
      </c>
      <c r="C2797" s="18" t="str">
        <f aca="false">'SALES Raw'!H3632</f>
        <v>95 XL מגן מרפק רגיל לבן</v>
      </c>
      <c r="D2797" s="19" t="n">
        <f aca="false">'SALES Raw'!C3632</f>
        <v>24</v>
      </c>
      <c r="E2797" s="19" t="n">
        <f aca="false">'SALES Raw'!D3632</f>
        <v>270.81</v>
      </c>
      <c r="F2797" s="19" t="n">
        <f aca="false">'SALES Raw'!E3632*$H$4</f>
        <v>6.31578947368421</v>
      </c>
      <c r="G2797" s="19" t="n">
        <f aca="false">'SALES Raw'!F3632*$H$4</f>
        <v>61.4021052631579</v>
      </c>
      <c r="H2797" s="18" t="str">
        <f aca="false">'SALES Raw'!A3632</f>
        <v>207 - Salus HUNGARY</v>
      </c>
    </row>
    <row r="2798" customFormat="false" ht="15" hidden="false" customHeight="false" outlineLevel="0" collapsed="false">
      <c r="A2798" s="18" t="n">
        <f aca="false">'SALES Raw'!G3680</f>
        <v>4422009</v>
      </c>
      <c r="B2798" s="18" t="str">
        <f aca="false">'SALES Raw'!B3680</f>
        <v>T78 XXL</v>
      </c>
      <c r="C2798" s="18" t="str">
        <f aca="false">'SALES Raw'!H3680</f>
        <v>T78 XXL תומך זרוע וכתף</v>
      </c>
      <c r="D2798" s="19" t="n">
        <f aca="false">'SALES Raw'!C3680</f>
        <v>0</v>
      </c>
      <c r="E2798" s="19" t="n">
        <f aca="false">'SALES Raw'!D3680</f>
        <v>0</v>
      </c>
      <c r="F2798" s="19" t="n">
        <f aca="false">'SALES Raw'!E3680*$H$4</f>
        <v>6.31578947368421</v>
      </c>
      <c r="G2798" s="19" t="n">
        <f aca="false">'SALES Raw'!F3680*$H$4</f>
        <v>470.981052631579</v>
      </c>
      <c r="H2798" s="18" t="str">
        <f aca="false">'SALES Raw'!A3680</f>
        <v>207 - Salus HUNGARY</v>
      </c>
    </row>
    <row r="2799" customFormat="false" ht="15" hidden="false" customHeight="false" outlineLevel="0" collapsed="false">
      <c r="A2799" s="18" t="n">
        <f aca="false">'SALES Raw'!G3796</f>
        <v>4419011</v>
      </c>
      <c r="B2799" s="18" t="str">
        <f aca="false">'SALES Raw'!B3796</f>
        <v>239B-S-M</v>
      </c>
      <c r="C2799" s="18" t="str">
        <f aca="false">'SALES Raw'!H3796</f>
        <v>239B S-M STRAP4U</v>
      </c>
      <c r="D2799" s="19" t="n">
        <f aca="false">'SALES Raw'!C3796</f>
        <v>27</v>
      </c>
      <c r="E2799" s="19" t="n">
        <f aca="false">'SALES Raw'!D3796</f>
        <v>413.35</v>
      </c>
      <c r="F2799" s="19" t="n">
        <f aca="false">'SALES Raw'!E3796*$H$4</f>
        <v>6.31578947368421</v>
      </c>
      <c r="G2799" s="19" t="n">
        <f aca="false">'SALES Raw'!F3796*$H$4</f>
        <v>89.0526315789474</v>
      </c>
      <c r="H2799" s="18" t="str">
        <f aca="false">'SALES Raw'!A3796</f>
        <v>209 - Ortoprofil Prod ROMANIA</v>
      </c>
    </row>
    <row r="2800" customFormat="false" ht="15" hidden="false" customHeight="false" outlineLevel="0" collapsed="false">
      <c r="A2800" s="18" t="n">
        <f aca="false">'SALES Raw'!G3890</f>
        <v>4415162</v>
      </c>
      <c r="B2800" s="18" t="str">
        <f aca="false">'SALES Raw'!B3890</f>
        <v>238 L</v>
      </c>
      <c r="C2800" s="18" t="str">
        <f aca="false">'SALES Raw'!H3890</f>
        <v>238L סד ליישור אצבע</v>
      </c>
      <c r="D2800" s="19" t="n">
        <f aca="false">'SALES Raw'!C3890</f>
        <v>8</v>
      </c>
      <c r="E2800" s="19" t="n">
        <f aca="false">'SALES Raw'!D3890</f>
        <v>76.3</v>
      </c>
      <c r="F2800" s="19" t="n">
        <f aca="false">'SALES Raw'!E3890*$H$4</f>
        <v>6.31578947368421</v>
      </c>
      <c r="G2800" s="19" t="n">
        <f aca="false">'SALES Raw'!F3890*$H$4</f>
        <v>50.4252631578947</v>
      </c>
      <c r="H2800" s="18" t="str">
        <f aca="false">'SALES Raw'!A3890</f>
        <v>210 - Oy. Ea. Ab. FINLAND</v>
      </c>
    </row>
    <row r="2801" customFormat="false" ht="15" hidden="false" customHeight="false" outlineLevel="0" collapsed="false">
      <c r="A2801" s="18" t="n">
        <f aca="false">'SALES Raw'!G3891</f>
        <v>4415161</v>
      </c>
      <c r="B2801" s="18" t="str">
        <f aca="false">'SALES Raw'!B3891</f>
        <v>238 M</v>
      </c>
      <c r="C2801" s="18" t="str">
        <f aca="false">'SALES Raw'!H3891</f>
        <v>238M סד ליישור אצבע</v>
      </c>
      <c r="D2801" s="19" t="n">
        <f aca="false">'SALES Raw'!C3891</f>
        <v>15</v>
      </c>
      <c r="E2801" s="19" t="n">
        <f aca="false">'SALES Raw'!D3891</f>
        <v>140.67</v>
      </c>
      <c r="F2801" s="19" t="n">
        <f aca="false">'SALES Raw'!E3891*$H$4</f>
        <v>6.31578947368421</v>
      </c>
      <c r="G2801" s="19" t="n">
        <f aca="false">'SALES Raw'!F3891*$H$4</f>
        <v>50.4252631578947</v>
      </c>
      <c r="H2801" s="18" t="str">
        <f aca="false">'SALES Raw'!A3891</f>
        <v>210 - Oy. Ea. Ab. FINLAND</v>
      </c>
    </row>
    <row r="2802" customFormat="false" ht="15" hidden="false" customHeight="false" outlineLevel="0" collapsed="false">
      <c r="A2802" s="18" t="n">
        <f aca="false">'SALES Raw'!G3930</f>
        <v>4421007</v>
      </c>
      <c r="B2802" s="18" t="str">
        <f aca="false">'SALES Raw'!B3930</f>
        <v>350 0</v>
      </c>
      <c r="C2802" s="18" t="str">
        <f aca="false">'SALES Raw'!H3930</f>
        <v>שרוול לגבס קצר רגל</v>
      </c>
      <c r="D2802" s="19" t="n">
        <f aca="false">'SALES Raw'!C3930</f>
        <v>10</v>
      </c>
      <c r="E2802" s="19" t="n">
        <f aca="false">'SALES Raw'!D3930</f>
        <v>282.15</v>
      </c>
      <c r="F2802" s="19" t="n">
        <f aca="false">'SALES Raw'!E3930*$H$4</f>
        <v>6.31578947368421</v>
      </c>
      <c r="G2802" s="19" t="n">
        <f aca="false">'SALES Raw'!F3930*$H$4</f>
        <v>149.153684210526</v>
      </c>
      <c r="H2802" s="18" t="str">
        <f aca="false">'SALES Raw'!A3930</f>
        <v>210 - Oy. Ea. Ab. FINLAND</v>
      </c>
    </row>
    <row r="2803" customFormat="false" ht="15" hidden="false" customHeight="false" outlineLevel="0" collapsed="false">
      <c r="A2803" s="18" t="str">
        <f aca="false">'SALES Raw'!G3980</f>
        <v/>
      </c>
      <c r="B2803" s="18" t="str">
        <f aca="false">'SALES Raw'!B3980</f>
        <v>60B XL</v>
      </c>
      <c r="C2803" s="18" t="str">
        <f aca="false">'SALES Raw'!H3980</f>
        <v>60B XL</v>
      </c>
      <c r="D2803" s="19" t="n">
        <f aca="false">'SALES Raw'!C3980</f>
        <v>0</v>
      </c>
      <c r="E2803" s="19" t="n">
        <f aca="false">'SALES Raw'!D3980</f>
        <v>0</v>
      </c>
      <c r="F2803" s="19" t="n">
        <f aca="false">'SALES Raw'!E3980*$H$4</f>
        <v>6.31578947368421</v>
      </c>
      <c r="G2803" s="19" t="n">
        <f aca="false">'SALES Raw'!F3980*$H$4</f>
        <v>157.566315789474</v>
      </c>
      <c r="H2803" s="18" t="str">
        <f aca="false">'SALES Raw'!A3980</f>
        <v>210 - Oy. Ea. Ab. FINLAND</v>
      </c>
    </row>
    <row r="2804" customFormat="false" ht="15" hidden="false" customHeight="false" outlineLevel="0" collapsed="false">
      <c r="A2804" s="18" t="n">
        <f aca="false">'SALES Raw'!G4001</f>
        <v>4413140</v>
      </c>
      <c r="B2804" s="18" t="str">
        <f aca="false">'SALES Raw'!B4001</f>
        <v>95 M</v>
      </c>
      <c r="C2804" s="18" t="str">
        <f aca="false">'SALES Raw'!H4001</f>
        <v>95 M מגן מרפק רגיל לבן</v>
      </c>
      <c r="D2804" s="19" t="n">
        <f aca="false">'SALES Raw'!C4001</f>
        <v>0</v>
      </c>
      <c r="E2804" s="19" t="n">
        <f aca="false">'SALES Raw'!D4001</f>
        <v>0</v>
      </c>
      <c r="F2804" s="19" t="n">
        <f aca="false">'SALES Raw'!E4001*$H$4</f>
        <v>6.31578947368421</v>
      </c>
      <c r="G2804" s="19" t="n">
        <f aca="false">'SALES Raw'!F4001*$H$4</f>
        <v>65.1284210526316</v>
      </c>
      <c r="H2804" s="18" t="str">
        <f aca="false">'SALES Raw'!A4001</f>
        <v>210 - Oy. Ea. Ab. FINLAND</v>
      </c>
    </row>
    <row r="2805" customFormat="false" ht="15" hidden="false" customHeight="false" outlineLevel="0" collapsed="false">
      <c r="A2805" s="18" t="str">
        <f aca="false">'SALES Raw'!G4033</f>
        <v/>
      </c>
      <c r="B2805" s="18" t="str">
        <f aca="false">'SALES Raw'!B4033</f>
        <v>T03 L</v>
      </c>
      <c r="C2805" s="18" t="str">
        <f aca="false">'SALES Raw'!H4033</f>
        <v>T03 L</v>
      </c>
      <c r="D2805" s="19" t="n">
        <f aca="false">'SALES Raw'!C4033</f>
        <v>6</v>
      </c>
      <c r="E2805" s="19" t="n">
        <f aca="false">'SALES Raw'!D4033</f>
        <v>296.36</v>
      </c>
      <c r="F2805" s="19" t="n">
        <f aca="false">'SALES Raw'!E4033*$H$4</f>
        <v>6.31578947368421</v>
      </c>
      <c r="G2805" s="19" t="n">
        <f aca="false">'SALES Raw'!F4033*$H$4</f>
        <v>267.852631578947</v>
      </c>
      <c r="H2805" s="18" t="str">
        <f aca="false">'SALES Raw'!A4033</f>
        <v>210 - Oy. Ea. Ab. FINLAND</v>
      </c>
    </row>
    <row r="2806" customFormat="false" ht="15" hidden="false" customHeight="false" outlineLevel="0" collapsed="false">
      <c r="A2806" s="18" t="str">
        <f aca="false">'SALES Raw'!G4034</f>
        <v/>
      </c>
      <c r="B2806" s="18" t="str">
        <f aca="false">'SALES Raw'!B4034</f>
        <v>T03 M</v>
      </c>
      <c r="C2806" s="18" t="str">
        <f aca="false">'SALES Raw'!H4034</f>
        <v>T03 M</v>
      </c>
      <c r="D2806" s="19" t="n">
        <f aca="false">'SALES Raw'!C4034</f>
        <v>5</v>
      </c>
      <c r="E2806" s="19" t="n">
        <f aca="false">'SALES Raw'!D4034</f>
        <v>245.69</v>
      </c>
      <c r="F2806" s="19" t="n">
        <f aca="false">'SALES Raw'!E4034*$H$4</f>
        <v>6.31578947368421</v>
      </c>
      <c r="G2806" s="19" t="n">
        <f aca="false">'SALES Raw'!F4034*$H$4</f>
        <v>267.852631578947</v>
      </c>
      <c r="H2806" s="18" t="str">
        <f aca="false">'SALES Raw'!A4034</f>
        <v>210 - Oy. Ea. Ab. FINLAND</v>
      </c>
    </row>
    <row r="2807" customFormat="false" ht="15" hidden="false" customHeight="false" outlineLevel="0" collapsed="false">
      <c r="A2807" s="18" t="str">
        <f aca="false">'SALES Raw'!G4036</f>
        <v/>
      </c>
      <c r="B2807" s="18" t="str">
        <f aca="false">'SALES Raw'!B4036</f>
        <v>T03 XL</v>
      </c>
      <c r="C2807" s="18" t="str">
        <f aca="false">'SALES Raw'!H4036</f>
        <v>T03 XL</v>
      </c>
      <c r="D2807" s="19" t="n">
        <f aca="false">'SALES Raw'!C4036</f>
        <v>0</v>
      </c>
      <c r="E2807" s="19" t="n">
        <f aca="false">'SALES Raw'!D4036</f>
        <v>0</v>
      </c>
      <c r="F2807" s="19" t="n">
        <f aca="false">'SALES Raw'!E4036*$H$4</f>
        <v>6.31578947368421</v>
      </c>
      <c r="G2807" s="19" t="n">
        <f aca="false">'SALES Raw'!F4036*$H$4</f>
        <v>267.852631578947</v>
      </c>
      <c r="H2807" s="18" t="str">
        <f aca="false">'SALES Raw'!A4036</f>
        <v>210 - Oy. Ea. Ab. FINLAND</v>
      </c>
    </row>
    <row r="2808" customFormat="false" ht="15" hidden="false" customHeight="false" outlineLevel="0" collapsed="false">
      <c r="A2808" s="18" t="str">
        <f aca="false">'SALES Raw'!G4037</f>
        <v/>
      </c>
      <c r="B2808" s="18" t="str">
        <f aca="false">'SALES Raw'!B4037</f>
        <v>T03 XXL</v>
      </c>
      <c r="C2808" s="18" t="str">
        <f aca="false">'SALES Raw'!H4037</f>
        <v>T03 XXL</v>
      </c>
      <c r="D2808" s="19" t="n">
        <f aca="false">'SALES Raw'!C4037</f>
        <v>0</v>
      </c>
      <c r="E2808" s="19" t="n">
        <f aca="false">'SALES Raw'!D4037</f>
        <v>0</v>
      </c>
      <c r="F2808" s="19" t="n">
        <f aca="false">'SALES Raw'!E4037*$H$4</f>
        <v>6.31578947368421</v>
      </c>
      <c r="G2808" s="19" t="n">
        <f aca="false">'SALES Raw'!F4037*$H$4</f>
        <v>267.852631578947</v>
      </c>
      <c r="H2808" s="18" t="str">
        <f aca="false">'SALES Raw'!A4037</f>
        <v>210 - Oy. Ea. Ab. FINLAND</v>
      </c>
    </row>
    <row r="2809" customFormat="false" ht="15" hidden="false" customHeight="false" outlineLevel="0" collapsed="false">
      <c r="A2809" s="18" t="n">
        <f aca="false">'SALES Raw'!G4068</f>
        <v>4413533</v>
      </c>
      <c r="B2809" s="18" t="str">
        <f aca="false">'SALES Raw'!B4068</f>
        <v>ST49 0</v>
      </c>
      <c r="C2809" s="18" t="str">
        <f aca="false">'SALES Raw'!H4068</f>
        <v>ST49 מגן ירך</v>
      </c>
      <c r="D2809" s="19" t="n">
        <f aca="false">'SALES Raw'!C4068</f>
        <v>0</v>
      </c>
      <c r="E2809" s="19" t="n">
        <f aca="false">'SALES Raw'!D4068</f>
        <v>0</v>
      </c>
      <c r="F2809" s="19" t="n">
        <f aca="false">'SALES Raw'!E4068*$H$4</f>
        <v>6.31578947368421</v>
      </c>
      <c r="G2809" s="19" t="n">
        <f aca="false">'SALES Raw'!F4068*$H$4</f>
        <v>109.313684210526</v>
      </c>
      <c r="H2809" s="18" t="str">
        <f aca="false">'SALES Raw'!A4068</f>
        <v>211 - Pharmag Lachmair Ges. Mbh AUSTRIA</v>
      </c>
    </row>
    <row r="2810" customFormat="false" ht="15" hidden="false" customHeight="false" outlineLevel="0" collapsed="false">
      <c r="A2810" s="18" t="n">
        <f aca="false">'SALES Raw'!G4104</f>
        <v>4413331</v>
      </c>
      <c r="B2810" s="18" t="str">
        <f aca="false">'SALES Raw'!B4104</f>
        <v>AC95 0</v>
      </c>
      <c r="C2810" s="18" t="str">
        <f aca="false">'SALES Raw'!H4104</f>
        <v>AC95 מגן מרפק</v>
      </c>
      <c r="D2810" s="19" t="n">
        <f aca="false">'SALES Raw'!C4104</f>
        <v>12</v>
      </c>
      <c r="E2810" s="19" t="n">
        <f aca="false">'SALES Raw'!D4104</f>
        <v>223.76</v>
      </c>
      <c r="F2810" s="19" t="n">
        <f aca="false">'SALES Raw'!E4104*$H$4</f>
        <v>6.31578947368421</v>
      </c>
      <c r="G2810" s="19" t="n">
        <f aca="false">'SALES Raw'!F4104*$H$4</f>
        <v>100.395789473684</v>
      </c>
      <c r="H2810" s="18" t="str">
        <f aca="false">'SALES Raw'!A4104</f>
        <v>213 - E.f.m.o. SPAIN</v>
      </c>
    </row>
    <row r="2811" customFormat="false" ht="15" hidden="false" customHeight="false" outlineLevel="0" collapsed="false">
      <c r="A2811" s="18" t="n">
        <f aca="false">'SALES Raw'!G4123</f>
        <v>4411026</v>
      </c>
      <c r="B2811" s="18" t="str">
        <f aca="false">'SALES Raw'!B4123</f>
        <v>213CTSL L</v>
      </c>
      <c r="C2811" s="18" t="str">
        <f aca="false">'SALES Raw'!H4123</f>
        <v>213CTSL L שמאל CTS כפפות</v>
      </c>
      <c r="D2811" s="19" t="n">
        <f aca="false">'SALES Raw'!C4123</f>
        <v>5</v>
      </c>
      <c r="E2811" s="19" t="n">
        <f aca="false">'SALES Raw'!D4123</f>
        <v>222.25</v>
      </c>
      <c r="F2811" s="19" t="n">
        <f aca="false">'SALES Raw'!E4123*$H$4</f>
        <v>6.31578947368421</v>
      </c>
      <c r="G2811" s="19" t="n">
        <f aca="false">'SALES Raw'!F4123*$H$4</f>
        <v>261.145263157895</v>
      </c>
      <c r="H2811" s="18" t="str">
        <f aca="false">'SALES Raw'!A4123</f>
        <v>214 - Alfred Gera&amp; Sons Ltd. MALTA</v>
      </c>
    </row>
    <row r="2812" customFormat="false" ht="15" hidden="false" customHeight="false" outlineLevel="0" collapsed="false">
      <c r="A2812" s="18" t="n">
        <f aca="false">'SALES Raw'!G4126</f>
        <v>4411029</v>
      </c>
      <c r="B2812" s="18" t="str">
        <f aca="false">'SALES Raw'!B4126</f>
        <v>213CTSR L</v>
      </c>
      <c r="C2812" s="18" t="str">
        <f aca="false">'SALES Raw'!H4126</f>
        <v>213CTSR L ימין CTS כפפות</v>
      </c>
      <c r="D2812" s="19" t="n">
        <f aca="false">'SALES Raw'!C4126</f>
        <v>5</v>
      </c>
      <c r="E2812" s="19" t="n">
        <f aca="false">'SALES Raw'!D4126</f>
        <v>222.25</v>
      </c>
      <c r="F2812" s="19" t="n">
        <f aca="false">'SALES Raw'!E4126*$H$4</f>
        <v>6.31578947368421</v>
      </c>
      <c r="G2812" s="19" t="n">
        <f aca="false">'SALES Raw'!F4126*$H$4</f>
        <v>261.145263157895</v>
      </c>
      <c r="H2812" s="18" t="str">
        <f aca="false">'SALES Raw'!A4126</f>
        <v>214 - Alfred Gera&amp; Sons Ltd. MALTA</v>
      </c>
    </row>
    <row r="2813" customFormat="false" ht="15" hidden="false" customHeight="false" outlineLevel="0" collapsed="false">
      <c r="A2813" s="18" t="n">
        <f aca="false">'SALES Raw'!G4430</f>
        <v>4403043</v>
      </c>
      <c r="B2813" s="18" t="str">
        <f aca="false">'SALES Raw'!B4430</f>
        <v>397A-43-46</v>
      </c>
      <c r="C2813" s="18" t="str">
        <f aca="false">'SALES Raw'!H4430</f>
        <v>397A-גרבי טיסה אנטי בקטרי43-46</v>
      </c>
      <c r="D2813" s="19" t="n">
        <f aca="false">'SALES Raw'!C4430</f>
        <v>0</v>
      </c>
      <c r="E2813" s="19" t="n">
        <f aca="false">'SALES Raw'!D4430</f>
        <v>0</v>
      </c>
      <c r="F2813" s="19" t="n">
        <f aca="false">'SALES Raw'!E4430*$H$4</f>
        <v>6.31578947368421</v>
      </c>
      <c r="G2813" s="19" t="n">
        <f aca="false">'SALES Raw'!F4430*$H$4</f>
        <v>360.846315789474</v>
      </c>
      <c r="H2813" s="18" t="str">
        <f aca="false">'SALES Raw'!A4430</f>
        <v>301 - Amazon</v>
      </c>
    </row>
    <row r="2814" customFormat="false" ht="15" hidden="false" customHeight="false" outlineLevel="0" collapsed="false">
      <c r="A2814" s="18" t="str">
        <f aca="false">'SALES Raw'!G4435</f>
        <v/>
      </c>
      <c r="B2814" s="18" t="str">
        <f aca="false">'SALES Raw'!B4435</f>
        <v>EC-59D XXL</v>
      </c>
      <c r="C2814" s="18" t="str">
        <f aca="false">'SALES Raw'!H4435</f>
        <v>EC-59D XXL</v>
      </c>
      <c r="D2814" s="19" t="n">
        <f aca="false">'SALES Raw'!C4435</f>
        <v>12</v>
      </c>
      <c r="E2814" s="19" t="n">
        <f aca="false">'SALES Raw'!D4435</f>
        <v>2334.78</v>
      </c>
      <c r="F2814" s="19" t="n">
        <f aca="false">'SALES Raw'!E4435*$H$4</f>
        <v>6.31578947368421</v>
      </c>
      <c r="G2814" s="19" t="n">
        <f aca="false">'SALES Raw'!F4435*$H$4</f>
        <v>1031.59578947368</v>
      </c>
      <c r="H2814" s="18" t="str">
        <f aca="false">'SALES Raw'!A4435</f>
        <v>301 - Amazon</v>
      </c>
    </row>
    <row r="2815" customFormat="false" ht="15" hidden="false" customHeight="false" outlineLevel="0" collapsed="false">
      <c r="A2815" s="18" t="n">
        <f aca="false">'CEMIUP0.9 Raw'!B87</f>
        <v>4408071</v>
      </c>
      <c r="B2815" s="18" t="str">
        <f aca="false">'CEMIUP0.9 Raw'!C87</f>
        <v>59D L חגורת שבר דו צדדי</v>
      </c>
      <c r="C2815" s="18" t="str">
        <f aca="false">'CEMIUP0.9 Raw'!C87</f>
        <v>59D L חגורת שבר דו צדדי</v>
      </c>
      <c r="D2815" s="19" t="n">
        <f aca="false">'CEMIUP0.9 Raw'!D87</f>
        <v>4</v>
      </c>
      <c r="E2815" s="19" t="n">
        <f aca="false">'CEMIUP0.9 Raw'!E87</f>
        <v>1065.48</v>
      </c>
      <c r="F2815" s="19" t="n">
        <f aca="false">'CEMIUP0.9 Raw'!F87</f>
        <v>6.31578947368421</v>
      </c>
      <c r="G2815" s="19" t="n">
        <f aca="false">'CEMIUP0.9 Raw'!G87</f>
        <v>1465.35410526316</v>
      </c>
      <c r="H2815" s="18" t="str">
        <f aca="false">'CEMIUP0.9 Raw'!A87</f>
        <v>107 - Pharmacies</v>
      </c>
    </row>
    <row r="2816" customFormat="false" ht="15" hidden="false" customHeight="false" outlineLevel="0" collapsed="false">
      <c r="A2816" s="18" t="n">
        <f aca="false">'CEMIUP0.9 Raw'!B140</f>
        <v>4408154</v>
      </c>
      <c r="B2816" s="18" t="str">
        <f aca="false">'CEMIUP0.9 Raw'!C140</f>
        <v>11TO XXLחגורה למנותחי בית החזה</v>
      </c>
      <c r="C2816" s="18" t="str">
        <f aca="false">'CEMIUP0.9 Raw'!C140</f>
        <v>11TO XXLחגורה למנותחי בית החזה</v>
      </c>
      <c r="D2816" s="19" t="n">
        <f aca="false">'CEMIUP0.9 Raw'!D140</f>
        <v>7</v>
      </c>
      <c r="E2816" s="19" t="n">
        <f aca="false">'CEMIUP0.9 Raw'!E140</f>
        <v>946.587</v>
      </c>
      <c r="F2816" s="19" t="n">
        <f aca="false">'CEMIUP0.9 Raw'!F140</f>
        <v>6.31578947368421</v>
      </c>
      <c r="G2816" s="19" t="n">
        <f aca="false">'CEMIUP0.9 Raw'!G140</f>
        <v>878.082947368421</v>
      </c>
      <c r="H2816" s="18" t="str">
        <f aca="false">'CEMIUP0.9 Raw'!A140</f>
        <v>107 - Pharmacies</v>
      </c>
    </row>
    <row r="2817" customFormat="false" ht="15" hidden="false" customHeight="false" outlineLevel="0" collapsed="false">
      <c r="A2817" s="18" t="n">
        <f aca="false">'CEMIUP0.9 Raw'!B155</f>
        <v>4408219</v>
      </c>
      <c r="B2817" s="18" t="str">
        <f aca="false">'CEMIUP0.9 Raw'!C155</f>
        <v>078G-S חגורת גב אפורה</v>
      </c>
      <c r="C2817" s="18" t="str">
        <f aca="false">'CEMIUP0.9 Raw'!C155</f>
        <v>078G-S חגורת גב אפורה</v>
      </c>
      <c r="D2817" s="19" t="n">
        <f aca="false">'CEMIUP0.9 Raw'!D155</f>
        <v>5</v>
      </c>
      <c r="E2817" s="19" t="n">
        <f aca="false">'CEMIUP0.9 Raw'!E155</f>
        <v>525.798</v>
      </c>
      <c r="F2817" s="19" t="n">
        <f aca="false">'CEMIUP0.9 Raw'!F155</f>
        <v>6.31578947368421</v>
      </c>
      <c r="G2817" s="19" t="n">
        <f aca="false">'CEMIUP0.9 Raw'!G155</f>
        <v>637.268210526316</v>
      </c>
      <c r="H2817" s="18" t="str">
        <f aca="false">'CEMIUP0.9 Raw'!A155</f>
        <v>107 - Pharmacies</v>
      </c>
    </row>
    <row r="2818" customFormat="false" ht="15" hidden="false" customHeight="false" outlineLevel="0" collapsed="false">
      <c r="A2818" s="18" t="n">
        <f aca="false">'CEMIUP0.9 Raw'!B206</f>
        <v>4411020</v>
      </c>
      <c r="B2818" s="18" t="str">
        <f aca="false">'CEMIUP0.9 Raw'!C206</f>
        <v>211XL כפפות לחץ</v>
      </c>
      <c r="C2818" s="18" t="str">
        <f aca="false">'CEMIUP0.9 Raw'!C206</f>
        <v>211XL כפפות לחץ</v>
      </c>
      <c r="D2818" s="19" t="n">
        <f aca="false">'CEMIUP0.9 Raw'!D206</f>
        <v>13</v>
      </c>
      <c r="E2818" s="19" t="n">
        <f aca="false">'CEMIUP0.9 Raw'!E206</f>
        <v>427.154</v>
      </c>
      <c r="F2818" s="19" t="n">
        <f aca="false">'CEMIUP0.9 Raw'!F206</f>
        <v>6.31578947368421</v>
      </c>
      <c r="G2818" s="19" t="n">
        <f aca="false">'CEMIUP0.9 Raw'!G206</f>
        <v>212.422736842105</v>
      </c>
      <c r="H2818" s="18" t="str">
        <f aca="false">'CEMIUP0.9 Raw'!A206</f>
        <v>107 - Pharmacies</v>
      </c>
    </row>
    <row r="2819" customFormat="false" ht="15" hidden="false" customHeight="false" outlineLevel="0" collapsed="false">
      <c r="A2819" s="18" t="n">
        <f aca="false">'CEMIUP0.9 Raw'!B210</f>
        <v>4411024</v>
      </c>
      <c r="B2819" s="18" t="str">
        <f aca="false">'CEMIUP0.9 Raw'!C210</f>
        <v>212XL כפפות אגודל לחץ</v>
      </c>
      <c r="C2819" s="18" t="str">
        <f aca="false">'CEMIUP0.9 Raw'!C210</f>
        <v>212XL כפפות אגודל לחץ</v>
      </c>
      <c r="D2819" s="19" t="n">
        <f aca="false">'CEMIUP0.9 Raw'!D210</f>
        <v>16</v>
      </c>
      <c r="E2819" s="19" t="n">
        <f aca="false">'CEMIUP0.9 Raw'!E210</f>
        <v>554.554</v>
      </c>
      <c r="F2819" s="19" t="n">
        <f aca="false">'CEMIUP0.9 Raw'!F210</f>
        <v>6.31578947368421</v>
      </c>
      <c r="G2819" s="19" t="n">
        <f aca="false">'CEMIUP0.9 Raw'!G210</f>
        <v>228.745263157895</v>
      </c>
      <c r="H2819" s="18" t="str">
        <f aca="false">'CEMIUP0.9 Raw'!A210</f>
        <v>107 - Pharmacies</v>
      </c>
    </row>
    <row r="2820" customFormat="false" ht="15" hidden="false" customHeight="false" outlineLevel="0" collapsed="false">
      <c r="A2820" s="18" t="n">
        <f aca="false">'CEMIUP0.9 Raw'!B288</f>
        <v>4413115</v>
      </c>
      <c r="B2820" s="18" t="str">
        <f aca="false">'CEMIUP0.9 Raw'!C288</f>
        <v>49 XXL מגן ירך</v>
      </c>
      <c r="C2820" s="18" t="str">
        <f aca="false">'CEMIUP0.9 Raw'!C288</f>
        <v>49 XXL מגן ירך</v>
      </c>
      <c r="D2820" s="19" t="n">
        <f aca="false">'CEMIUP0.9 Raw'!D288</f>
        <v>4</v>
      </c>
      <c r="E2820" s="19" t="n">
        <f aca="false">'CEMIUP0.9 Raw'!E288</f>
        <v>125.853</v>
      </c>
      <c r="F2820" s="19" t="n">
        <f aca="false">'CEMIUP0.9 Raw'!F288</f>
        <v>6.31578947368421</v>
      </c>
      <c r="G2820" s="19" t="n">
        <f aca="false">'CEMIUP0.9 Raw'!G288</f>
        <v>201.732631578947</v>
      </c>
      <c r="H2820" s="18" t="str">
        <f aca="false">'CEMIUP0.9 Raw'!A288</f>
        <v>107 - Pharmacies</v>
      </c>
    </row>
    <row r="2821" customFormat="false" ht="15" hidden="false" customHeight="false" outlineLevel="0" collapsed="false">
      <c r="A2821" s="18" t="n">
        <f aca="false">'CEMIUP0.9 Raw'!B297</f>
        <v>4413126</v>
      </c>
      <c r="B2821" s="18" t="str">
        <f aca="false">'CEMIUP0.9 Raw'!C297</f>
        <v>75 Sמיישר כתף יציב יישור גב צר</v>
      </c>
      <c r="C2821" s="18" t="str">
        <f aca="false">'CEMIUP0.9 Raw'!C297</f>
        <v>75 Sמיישר כתף יציב יישור גב צר</v>
      </c>
      <c r="D2821" s="19" t="n">
        <f aca="false">'CEMIUP0.9 Raw'!D297</f>
        <v>4</v>
      </c>
      <c r="E2821" s="19" t="n">
        <f aca="false">'CEMIUP0.9 Raw'!E297</f>
        <v>638.638</v>
      </c>
      <c r="F2821" s="19" t="n">
        <f aca="false">'CEMIUP0.9 Raw'!F297</f>
        <v>6.31578947368421</v>
      </c>
      <c r="G2821" s="19" t="n">
        <f aca="false">'CEMIUP0.9 Raw'!G297</f>
        <v>942.683368421053</v>
      </c>
      <c r="H2821" s="18" t="str">
        <f aca="false">'CEMIUP0.9 Raw'!A297</f>
        <v>107 - Pharmacies</v>
      </c>
    </row>
    <row r="2822" customFormat="false" ht="15" hidden="false" customHeight="false" outlineLevel="0" collapsed="false">
      <c r="A2822" s="18" t="n">
        <f aca="false">'CEMIUP0.9 Raw'!B315</f>
        <v>4413144</v>
      </c>
      <c r="B2822" s="18" t="str">
        <f aca="false">'CEMIUP0.9 Raw'!C315</f>
        <v>95 XXL מגן מרפק רגיל לבן</v>
      </c>
      <c r="C2822" s="18" t="str">
        <f aca="false">'CEMIUP0.9 Raw'!C315</f>
        <v>95 XXL מגן מרפק רגיל לבן</v>
      </c>
      <c r="D2822" s="19" t="n">
        <f aca="false">'CEMIUP0.9 Raw'!D315</f>
        <v>2</v>
      </c>
      <c r="E2822" s="19" t="n">
        <f aca="false">'CEMIUP0.9 Raw'!E315</f>
        <v>56.238</v>
      </c>
      <c r="F2822" s="19" t="n">
        <f aca="false">'CEMIUP0.9 Raw'!F315</f>
        <v>6.31578947368421</v>
      </c>
      <c r="G2822" s="19" t="n">
        <f aca="false">'CEMIUP0.9 Raw'!G315</f>
        <v>168.053052631579</v>
      </c>
      <c r="H2822" s="18" t="str">
        <f aca="false">'CEMIUP0.9 Raw'!A315</f>
        <v>107 - Pharmacies</v>
      </c>
    </row>
    <row r="2823" customFormat="false" ht="15" hidden="false" customHeight="false" outlineLevel="0" collapsed="false">
      <c r="A2823" s="18" t="n">
        <f aca="false">'CEMIUP0.9 Raw'!B320</f>
        <v>4413155</v>
      </c>
      <c r="B2823" s="18" t="str">
        <f aca="false">'CEMIUP0.9 Raw'!C320</f>
        <v>305GA מדרס אורטופ.מתכוון39-40</v>
      </c>
      <c r="C2823" s="18" t="str">
        <f aca="false">'CEMIUP0.9 Raw'!C320</f>
        <v>305GA מדרס אורטופ.מתכוון39-40</v>
      </c>
      <c r="D2823" s="19" t="n">
        <f aca="false">'CEMIUP0.9 Raw'!D320</f>
        <v>19</v>
      </c>
      <c r="E2823" s="19" t="n">
        <f aca="false">'CEMIUP0.9 Raw'!E320</f>
        <v>1470.742</v>
      </c>
      <c r="F2823" s="19" t="n">
        <f aca="false">'CEMIUP0.9 Raw'!F320</f>
        <v>6.31578947368421</v>
      </c>
      <c r="G2823" s="19" t="n">
        <f aca="false">'CEMIUP0.9 Raw'!G320</f>
        <v>570.472421052632</v>
      </c>
      <c r="H2823" s="18" t="str">
        <f aca="false">'CEMIUP0.9 Raw'!A320</f>
        <v>107 - Pharmacies</v>
      </c>
    </row>
    <row r="2824" customFormat="false" ht="15" hidden="false" customHeight="false" outlineLevel="0" collapsed="false">
      <c r="A2824" s="18" t="n">
        <f aca="false">'CEMIUP0.9 Raw'!B346</f>
        <v>4413195</v>
      </c>
      <c r="B2824" s="18" t="str">
        <f aca="false">'CEMIUP0.9 Raw'!C346</f>
        <v>87 S מקבע כתף ויד</v>
      </c>
      <c r="C2824" s="18" t="str">
        <f aca="false">'CEMIUP0.9 Raw'!C346</f>
        <v>87 S מקבע כתף ויד</v>
      </c>
      <c r="D2824" s="19" t="n">
        <f aca="false">'CEMIUP0.9 Raw'!D346</f>
        <v>6</v>
      </c>
      <c r="E2824" s="19" t="n">
        <f aca="false">'CEMIUP0.9 Raw'!E346</f>
        <v>998.234</v>
      </c>
      <c r="F2824" s="19" t="n">
        <f aca="false">'CEMIUP0.9 Raw'!F346</f>
        <v>6.31578947368421</v>
      </c>
      <c r="G2824" s="19" t="n">
        <f aca="false">'CEMIUP0.9 Raw'!G346</f>
        <v>1103.31789473684</v>
      </c>
      <c r="H2824" s="18" t="str">
        <f aca="false">'CEMIUP0.9 Raw'!A346</f>
        <v>107 - Pharmacies</v>
      </c>
    </row>
    <row r="2825" customFormat="false" ht="15" hidden="false" customHeight="false" outlineLevel="0" collapsed="false">
      <c r="A2825" s="18" t="n">
        <f aca="false">'CEMIUP0.9 Raw'!B375</f>
        <v>4413337</v>
      </c>
      <c r="B2825" s="18" t="str">
        <f aca="false">'CEMIUP0.9 Raw'!C375</f>
        <v>322XL מגן קרסול+כרית סילקון</v>
      </c>
      <c r="C2825" s="18" t="str">
        <f aca="false">'CEMIUP0.9 Raw'!C375</f>
        <v>322XL מגן קרסול+כרית סילקון</v>
      </c>
      <c r="D2825" s="19" t="n">
        <f aca="false">'CEMIUP0.9 Raw'!D375</f>
        <v>0</v>
      </c>
      <c r="E2825" s="19" t="n">
        <f aca="false">'CEMIUP0.9 Raw'!E375</f>
        <v>0</v>
      </c>
      <c r="F2825" s="19" t="n">
        <f aca="false">'CEMIUP0.9 Raw'!F375</f>
        <v>6.31578947368421</v>
      </c>
      <c r="G2825" s="19" t="n">
        <f aca="false">'CEMIUP0.9 Raw'!G375</f>
        <v>735.203368421053</v>
      </c>
      <c r="H2825" s="18" t="str">
        <f aca="false">'CEMIUP0.9 Raw'!A375</f>
        <v>107 - Pharmacies</v>
      </c>
    </row>
    <row r="2826" customFormat="false" ht="15" hidden="false" customHeight="false" outlineLevel="0" collapsed="false">
      <c r="A2826" s="18" t="n">
        <f aca="false">'CEMIUP0.9 Raw'!B405</f>
        <v>4413415</v>
      </c>
      <c r="B2826" s="18" t="str">
        <f aca="false">'CEMIUP0.9 Raw'!C405</f>
        <v>SC39  S מגן שוק</v>
      </c>
      <c r="C2826" s="18" t="str">
        <f aca="false">'CEMIUP0.9 Raw'!C405</f>
        <v>SC39  S מגן שוק</v>
      </c>
      <c r="D2826" s="19" t="n">
        <f aca="false">'CEMIUP0.9 Raw'!D405</f>
        <v>6</v>
      </c>
      <c r="E2826" s="19" t="n">
        <f aca="false">'CEMIUP0.9 Raw'!E405</f>
        <v>823.663</v>
      </c>
      <c r="F2826" s="19" t="n">
        <f aca="false">'CEMIUP0.9 Raw'!F405</f>
        <v>6.31578947368421</v>
      </c>
      <c r="G2826" s="19" t="n">
        <f aca="false">'CEMIUP0.9 Raw'!G405</f>
        <v>961.365473684211</v>
      </c>
      <c r="H2826" s="18" t="str">
        <f aca="false">'CEMIUP0.9 Raw'!A405</f>
        <v>107 - Pharmacies</v>
      </c>
    </row>
    <row r="2827" customFormat="false" ht="15" hidden="false" customHeight="false" outlineLevel="0" collapsed="false">
      <c r="A2827" s="18" t="n">
        <f aca="false">'CEMIUP0.9 Raw'!B414</f>
        <v>4413424</v>
      </c>
      <c r="B2827" s="18" t="str">
        <f aca="false">'CEMIUP0.9 Raw'!C414</f>
        <v>SC35R  S מגן קרסול ימין</v>
      </c>
      <c r="C2827" s="18" t="str">
        <f aca="false">'CEMIUP0.9 Raw'!C414</f>
        <v>SC35R  S מגן קרסול ימין</v>
      </c>
      <c r="D2827" s="19" t="n">
        <f aca="false">'CEMIUP0.9 Raw'!D414</f>
        <v>3</v>
      </c>
      <c r="E2827" s="19" t="n">
        <f aca="false">'CEMIUP0.9 Raw'!E414</f>
        <v>211.029</v>
      </c>
      <c r="F2827" s="19" t="n">
        <f aca="false">'CEMIUP0.9 Raw'!F414</f>
        <v>6.31578947368421</v>
      </c>
      <c r="G2827" s="19" t="n">
        <f aca="false">'CEMIUP0.9 Raw'!G414</f>
        <v>520.290947368421</v>
      </c>
      <c r="H2827" s="18" t="str">
        <f aca="false">'CEMIUP0.9 Raw'!A414</f>
        <v>107 - Pharmacies</v>
      </c>
    </row>
    <row r="2828" customFormat="false" ht="15" hidden="false" customHeight="false" outlineLevel="0" collapsed="false">
      <c r="A2828" s="18" t="n">
        <f aca="false">'CEMIUP0.9 Raw'!B426</f>
        <v>4413450</v>
      </c>
      <c r="B2828" s="18" t="str">
        <f aca="false">'CEMIUP0.9 Raw'!C426</f>
        <v>LF378 M מדרס ג'ל לנעלי עקב</v>
      </c>
      <c r="C2828" s="18" t="str">
        <f aca="false">'CEMIUP0.9 Raw'!C426</f>
        <v>LF378 M מדרס ג'ל לנעלי עקב</v>
      </c>
      <c r="D2828" s="19" t="n">
        <f aca="false">'CEMIUP0.9 Raw'!D426</f>
        <v>0</v>
      </c>
      <c r="E2828" s="19" t="n">
        <f aca="false">'CEMIUP0.9 Raw'!E426</f>
        <v>0</v>
      </c>
      <c r="F2828" s="19" t="n">
        <f aca="false">'CEMIUP0.9 Raw'!F426</f>
        <v>6.31578947368421</v>
      </c>
      <c r="G2828" s="19" t="n">
        <f aca="false">'CEMIUP0.9 Raw'!G426</f>
        <v>422.661473684211</v>
      </c>
      <c r="H2828" s="18" t="str">
        <f aca="false">'CEMIUP0.9 Raw'!A426</f>
        <v>107 - Pharmacies</v>
      </c>
    </row>
    <row r="2829" customFormat="false" ht="15" hidden="false" customHeight="false" outlineLevel="0" collapsed="false">
      <c r="A2829" s="18" t="n">
        <f aca="false">'CEMIUP0.9 Raw'!B483</f>
        <v>4415069</v>
      </c>
      <c r="B2829" s="18" t="str">
        <f aca="false">'CEMIUP0.9 Raw'!C483</f>
        <v>T28C L סד לאגודל כפפה</v>
      </c>
      <c r="C2829" s="18" t="str">
        <f aca="false">'CEMIUP0.9 Raw'!C483</f>
        <v>T28C L סד לאגודל כפפה</v>
      </c>
      <c r="D2829" s="19" t="n">
        <f aca="false">'CEMIUP0.9 Raw'!D483</f>
        <v>7</v>
      </c>
      <c r="E2829" s="19" t="n">
        <f aca="false">'CEMIUP0.9 Raw'!E483</f>
        <v>442.806</v>
      </c>
      <c r="F2829" s="19" t="n">
        <f aca="false">'CEMIUP0.9 Raw'!F483</f>
        <v>6.31578947368421</v>
      </c>
      <c r="G2829" s="19" t="n">
        <f aca="false">'CEMIUP0.9 Raw'!G483</f>
        <v>407.25852631579</v>
      </c>
      <c r="H2829" s="18" t="str">
        <f aca="false">'CEMIUP0.9 Raw'!A483</f>
        <v>107 - Pharmacies</v>
      </c>
    </row>
    <row r="2830" customFormat="false" ht="15" hidden="false" customHeight="false" outlineLevel="0" collapsed="false">
      <c r="A2830" s="18" t="n">
        <f aca="false">'CEMIUP0.9 Raw'!B576</f>
        <v>4422004</v>
      </c>
      <c r="B2830" s="18" t="str">
        <f aca="false">'CEMIUP0.9 Raw'!C576</f>
        <v>T78 S תומך זרוע וכתף</v>
      </c>
      <c r="C2830" s="18" t="str">
        <f aca="false">'CEMIUP0.9 Raw'!C576</f>
        <v>T78 S תומך זרוע וכתף</v>
      </c>
      <c r="D2830" s="19" t="n">
        <f aca="false">'CEMIUP0.9 Raw'!D576</f>
        <v>13</v>
      </c>
      <c r="E2830" s="19" t="n">
        <f aca="false">'CEMIUP0.9 Raw'!E576</f>
        <v>2238.498</v>
      </c>
      <c r="F2830" s="19" t="n">
        <f aca="false">'CEMIUP0.9 Raw'!F576</f>
        <v>6.31578947368421</v>
      </c>
      <c r="G2830" s="19" t="n">
        <f aca="false">'CEMIUP0.9 Raw'!G576</f>
        <v>1102.57515789474</v>
      </c>
      <c r="H2830" s="18" t="str">
        <f aca="false">'CEMIUP0.9 Raw'!A576</f>
        <v>107 - Pharmacies</v>
      </c>
    </row>
    <row r="2831" customFormat="false" ht="15" hidden="false" customHeight="false" outlineLevel="0" collapsed="false">
      <c r="A2831" s="18" t="str">
        <f aca="false">'CEMIUP0.9 Raw'!B656</f>
        <v>M93</v>
      </c>
      <c r="B2831" s="18" t="str">
        <f aca="false">'CEMIUP0.9 Raw'!C656</f>
        <v>M93</v>
      </c>
      <c r="C2831" s="18" t="str">
        <f aca="false">'CEMIUP0.9 Raw'!C656</f>
        <v>M93</v>
      </c>
      <c r="D2831" s="19" t="n">
        <f aca="false">'CEMIUP0.9 Raw'!D656</f>
        <v>17</v>
      </c>
      <c r="E2831" s="19" t="n">
        <f aca="false">'CEMIUP0.9 Raw'!E656</f>
        <v>511.6</v>
      </c>
      <c r="F2831" s="19" t="n">
        <f aca="false">'CEMIUP0.9 Raw'!F656</f>
        <v>6.31578947368421</v>
      </c>
      <c r="G2831" s="19" t="n">
        <f aca="false">'CEMIUP0.9 Raw'!G656</f>
        <v>172.117894736842</v>
      </c>
      <c r="H2831" s="18" t="str">
        <f aca="false">'CEMIUP0.9 Raw'!A656</f>
        <v>107 - Pharmacies</v>
      </c>
    </row>
    <row r="2832" customFormat="false" ht="15" hidden="false" customHeight="false" outlineLevel="0" collapsed="false">
      <c r="A2832" s="18" t="n">
        <f aca="false">'CEMIUP0.9 Raw'!B713</f>
        <v>4408077</v>
      </c>
      <c r="B2832" s="18" t="str">
        <f aca="false">'CEMIUP0.9 Raw'!C713</f>
        <v>59L M חגורת שבר לצד שמאל</v>
      </c>
      <c r="C2832" s="18" t="str">
        <f aca="false">'CEMIUP0.9 Raw'!C713</f>
        <v>59L M חגורת שבר לצד שמאל</v>
      </c>
      <c r="D2832" s="19" t="n">
        <f aca="false">'CEMIUP0.9 Raw'!D713</f>
        <v>15</v>
      </c>
      <c r="E2832" s="19" t="n">
        <f aca="false">'CEMIUP0.9 Raw'!E713</f>
        <v>1898.55</v>
      </c>
      <c r="F2832" s="19" t="n">
        <f aca="false">'CEMIUP0.9 Raw'!F713</f>
        <v>6.31578947368421</v>
      </c>
      <c r="G2832" s="19" t="n">
        <f aca="false">'CEMIUP0.9 Raw'!G713</f>
        <v>785.034947368421</v>
      </c>
      <c r="H2832" s="18" t="str">
        <f aca="false">'CEMIUP0.9 Raw'!A713</f>
        <v>113 - Kupat Holim Meuhedet</v>
      </c>
    </row>
    <row r="2833" customFormat="false" ht="15" hidden="false" customHeight="false" outlineLevel="0" collapsed="false">
      <c r="A2833" s="18" t="n">
        <f aca="false">'CEMIUP0.9 Raw'!B727</f>
        <v>4408203</v>
      </c>
      <c r="B2833" s="18" t="str">
        <f aca="false">'CEMIUP0.9 Raw'!C727</f>
        <v>14 0 חגורה למנותחי בית חזה</v>
      </c>
      <c r="C2833" s="18" t="str">
        <f aca="false">'CEMIUP0.9 Raw'!C727</f>
        <v>14 0 חגורה למנותחי בית חזה</v>
      </c>
      <c r="D2833" s="19" t="n">
        <f aca="false">'CEMIUP0.9 Raw'!D727</f>
        <v>0</v>
      </c>
      <c r="E2833" s="19" t="n">
        <f aca="false">'CEMIUP0.9 Raw'!E727</f>
        <v>0</v>
      </c>
      <c r="F2833" s="19" t="n">
        <f aca="false">'CEMIUP0.9 Raw'!F727</f>
        <v>6.31578947368421</v>
      </c>
      <c r="G2833" s="19" t="n">
        <f aca="false">'CEMIUP0.9 Raw'!G727</f>
        <v>955.957894736842</v>
      </c>
      <c r="H2833" s="18" t="str">
        <f aca="false">'CEMIUP0.9 Raw'!A727</f>
        <v>113 - Kupat Holim Meuhedet</v>
      </c>
    </row>
    <row r="2834" customFormat="false" ht="15" hidden="false" customHeight="false" outlineLevel="0" collapsed="false">
      <c r="A2834" s="18" t="n">
        <f aca="false">'CEMIUP0.9 Raw'!B764</f>
        <v>4411028</v>
      </c>
      <c r="B2834" s="18" t="str">
        <f aca="false">'CEMIUP0.9 Raw'!C764</f>
        <v>213CTSL S שמאל CTS כפפות</v>
      </c>
      <c r="C2834" s="18" t="str">
        <f aca="false">'CEMIUP0.9 Raw'!C764</f>
        <v>213CTSL S שמאל CTS כפפות</v>
      </c>
      <c r="D2834" s="19" t="n">
        <f aca="false">'CEMIUP0.9 Raw'!D764</f>
        <v>0</v>
      </c>
      <c r="E2834" s="19" t="n">
        <f aca="false">'CEMIUP0.9 Raw'!E764</f>
        <v>0</v>
      </c>
      <c r="F2834" s="19" t="n">
        <f aca="false">'CEMIUP0.9 Raw'!F764</f>
        <v>6.31578947368421</v>
      </c>
      <c r="G2834" s="19" t="n">
        <f aca="false">'CEMIUP0.9 Raw'!G764</f>
        <v>408.063157894737</v>
      </c>
      <c r="H2834" s="18" t="str">
        <f aca="false">'CEMIUP0.9 Raw'!A764</f>
        <v>113 - Kupat Holim Meuhedet</v>
      </c>
    </row>
    <row r="2835" customFormat="false" ht="15" hidden="false" customHeight="false" outlineLevel="0" collapsed="false">
      <c r="A2835" s="18" t="n">
        <f aca="false">'CEMIUP0.9 Raw'!B787</f>
        <v>4413071</v>
      </c>
      <c r="B2835" s="18" t="str">
        <f aca="false">'CEMIUP0.9 Raw'!C787</f>
        <v>41 Sמ.ברך מוצלב+ספירלות בצדדים</v>
      </c>
      <c r="C2835" s="18" t="str">
        <f aca="false">'CEMIUP0.9 Raw'!C787</f>
        <v>41 Sמ.ברך מוצלב+ספירלות בצדדים</v>
      </c>
      <c r="D2835" s="19" t="n">
        <f aca="false">'CEMIUP0.9 Raw'!D787</f>
        <v>3</v>
      </c>
      <c r="E2835" s="19" t="n">
        <f aca="false">'CEMIUP0.9 Raw'!E787</f>
        <v>231.72</v>
      </c>
      <c r="F2835" s="19" t="n">
        <f aca="false">'CEMIUP0.9 Raw'!F787</f>
        <v>6.31578947368421</v>
      </c>
      <c r="G2835" s="19" t="n">
        <f aca="false">'CEMIUP0.9 Raw'!G787</f>
        <v>452.753684210526</v>
      </c>
      <c r="H2835" s="18" t="str">
        <f aca="false">'CEMIUP0.9 Raw'!A787</f>
        <v>113 - Kupat Holim Meuhedet</v>
      </c>
    </row>
    <row r="2836" customFormat="false" ht="15" hidden="false" customHeight="false" outlineLevel="0" collapsed="false">
      <c r="A2836" s="18" t="n">
        <f aca="false">'CEMIUP0.9 Raw'!B803</f>
        <v>4413131</v>
      </c>
      <c r="B2836" s="18" t="str">
        <f aca="false">'CEMIUP0.9 Raw'!C803</f>
        <v>76 Sמיישר כתף יציב יישור ג.רחב</v>
      </c>
      <c r="C2836" s="18" t="str">
        <f aca="false">'CEMIUP0.9 Raw'!C803</f>
        <v>76 Sמיישר כתף יציב יישור ג.רחב</v>
      </c>
      <c r="D2836" s="19" t="n">
        <f aca="false">'CEMIUP0.9 Raw'!D803</f>
        <v>14</v>
      </c>
      <c r="E2836" s="19" t="n">
        <f aca="false">'CEMIUP0.9 Raw'!E803</f>
        <v>1908.2</v>
      </c>
      <c r="F2836" s="19" t="n">
        <f aca="false">'CEMIUP0.9 Raw'!F803</f>
        <v>6.31578947368421</v>
      </c>
      <c r="G2836" s="19" t="n">
        <f aca="false">'CEMIUP0.9 Raw'!G803</f>
        <v>798.861473684211</v>
      </c>
      <c r="H2836" s="18" t="str">
        <f aca="false">'CEMIUP0.9 Raw'!A803</f>
        <v>113 - Kupat Holim Meuhedet</v>
      </c>
    </row>
    <row r="2837" customFormat="false" ht="15" hidden="false" customHeight="false" outlineLevel="0" collapsed="false">
      <c r="A2837" s="18" t="n">
        <f aca="false">'CEMIUP0.9 Raw'!B825</f>
        <v>4413195</v>
      </c>
      <c r="B2837" s="18" t="str">
        <f aca="false">'CEMIUP0.9 Raw'!C825</f>
        <v>87 S מקבע כתף ויד</v>
      </c>
      <c r="C2837" s="18" t="str">
        <f aca="false">'CEMIUP0.9 Raw'!C825</f>
        <v>87 S מקבע כתף ויד</v>
      </c>
      <c r="D2837" s="19" t="n">
        <f aca="false">'CEMIUP0.9 Raw'!D825</f>
        <v>2</v>
      </c>
      <c r="E2837" s="19" t="n">
        <f aca="false">'CEMIUP0.9 Raw'!E825</f>
        <v>253</v>
      </c>
      <c r="F2837" s="19" t="n">
        <f aca="false">'CEMIUP0.9 Raw'!F825</f>
        <v>6.31578947368421</v>
      </c>
      <c r="G2837" s="19" t="n">
        <f aca="false">'CEMIUP0.9 Raw'!G825</f>
        <v>741.423157894737</v>
      </c>
      <c r="H2837" s="18" t="str">
        <f aca="false">'CEMIUP0.9 Raw'!A825</f>
        <v>113 - Kupat Holim Meuhedet</v>
      </c>
    </row>
    <row r="2838" customFormat="false" ht="15" hidden="false" customHeight="false" outlineLevel="0" collapsed="false">
      <c r="A2838" s="18" t="str">
        <f aca="false">'CEMIUP0.9 Raw'!B890</f>
        <v>07AU XL ח.גב ""איטלקית"" אורירית</v>
      </c>
      <c r="B2838" s="18" t="str">
        <f aca="false">'CEMIUP0.9 Raw'!C890</f>
        <v>07AU XL ח.גב ""איטלקית"" אורירית</v>
      </c>
      <c r="C2838" s="18" t="str">
        <f aca="false">'CEMIUP0.9 Raw'!C890</f>
        <v>07AU XL ח.גב ""איטלקית"" אורירית</v>
      </c>
      <c r="D2838" s="19" t="n">
        <f aca="false">'CEMIUP0.9 Raw'!D890</f>
        <v>0</v>
      </c>
      <c r="E2838" s="19" t="n">
        <f aca="false">'CEMIUP0.9 Raw'!E890</f>
        <v>0</v>
      </c>
      <c r="F2838" s="19" t="n">
        <f aca="false">'CEMIUP0.9 Raw'!F890</f>
        <v>6.31578947368421</v>
      </c>
      <c r="G2838" s="19" t="n">
        <f aca="false">'CEMIUP0.9 Raw'!G890</f>
        <v>857.392421052632</v>
      </c>
      <c r="H2838" s="18" t="str">
        <f aca="false">'CEMIUP0.9 Raw'!A890</f>
        <v>113 - Kupat Holim Meuhedet</v>
      </c>
    </row>
    <row r="2839" customFormat="false" ht="15" hidden="false" customHeight="false" outlineLevel="0" collapsed="false">
      <c r="A2839" s="18" t="n">
        <f aca="false">'CEMIUP0.9 Raw'!B952</f>
        <v>4403029</v>
      </c>
      <c r="B2839" s="18" t="str">
        <f aca="false">'CEMIUP0.9 Raw'!C952</f>
        <v>397 39-42 גרבי טיסה מידה</v>
      </c>
      <c r="C2839" s="18" t="str">
        <f aca="false">'CEMIUP0.9 Raw'!C952</f>
        <v>397 39-42 גרבי טיסה מידה</v>
      </c>
      <c r="D2839" s="19" t="n">
        <f aca="false">'CEMIUP0.9 Raw'!D952</f>
        <v>247</v>
      </c>
      <c r="E2839" s="19" t="n">
        <f aca="false">'CEMIUP0.9 Raw'!E952</f>
        <v>12773.579</v>
      </c>
      <c r="F2839" s="19" t="n">
        <f aca="false">'CEMIUP0.9 Raw'!F952</f>
        <v>6.31578947368421</v>
      </c>
      <c r="G2839" s="19" t="n">
        <f aca="false">'CEMIUP0.9 Raw'!G952</f>
        <v>326.565473684211</v>
      </c>
      <c r="H2839" s="18" t="str">
        <f aca="false">'CEMIUP0.9 Raw'!A952</f>
        <v>BE (CEMI internal group)</v>
      </c>
    </row>
    <row r="2840" customFormat="false" ht="15" hidden="false" customHeight="false" outlineLevel="0" collapsed="false">
      <c r="A2840" s="18" t="n">
        <f aca="false">'CEMIUP0.9 Raw'!B1130</f>
        <v>4413154</v>
      </c>
      <c r="B2840" s="18" t="str">
        <f aca="false">'CEMIUP0.9 Raw'!C1130</f>
        <v>305GA מדרס אורטופ.מתכוון37-38</v>
      </c>
      <c r="C2840" s="18" t="str">
        <f aca="false">'CEMIUP0.9 Raw'!C1130</f>
        <v>305GA מדרס אורטופ.מתכוון37-38</v>
      </c>
      <c r="D2840" s="19" t="n">
        <f aca="false">'CEMIUP0.9 Raw'!D1130</f>
        <v>5</v>
      </c>
      <c r="E2840" s="19" t="n">
        <f aca="false">'CEMIUP0.9 Raw'!E1130</f>
        <v>268.177</v>
      </c>
      <c r="F2840" s="19" t="n">
        <f aca="false">'CEMIUP0.9 Raw'!F1130</f>
        <v>6.31578947368421</v>
      </c>
      <c r="G2840" s="19" t="n">
        <f aca="false">'CEMIUP0.9 Raw'!G1130</f>
        <v>402.085894736842</v>
      </c>
      <c r="H2840" s="18" t="str">
        <f aca="false">'CEMIUP0.9 Raw'!A1130</f>
        <v>BE (CEMI internal group)</v>
      </c>
    </row>
    <row r="2841" customFormat="false" ht="15" hidden="false" customHeight="false" outlineLevel="0" collapsed="false">
      <c r="A2841" s="18" t="n">
        <f aca="false">'CEMIUP0.9 Raw'!B1147</f>
        <v>4413196</v>
      </c>
      <c r="B2841" s="18" t="str">
        <f aca="false">'CEMIUP0.9 Raw'!C1147</f>
        <v>87 M מקבע כתף ויד</v>
      </c>
      <c r="C2841" s="18" t="str">
        <f aca="false">'CEMIUP0.9 Raw'!C1147</f>
        <v>87 M מקבע כתף ויד</v>
      </c>
      <c r="D2841" s="19" t="n">
        <f aca="false">'CEMIUP0.9 Raw'!D1147</f>
        <v>6</v>
      </c>
      <c r="E2841" s="19" t="n">
        <f aca="false">'CEMIUP0.9 Raw'!E1147</f>
        <v>963.417</v>
      </c>
      <c r="F2841" s="19" t="n">
        <f aca="false">'CEMIUP0.9 Raw'!F1147</f>
        <v>6.31578947368421</v>
      </c>
      <c r="G2841" s="19" t="n">
        <f aca="false">'CEMIUP0.9 Raw'!G1147</f>
        <v>1014.06568421053</v>
      </c>
      <c r="H2841" s="18" t="str">
        <f aca="false">'CEMIUP0.9 Raw'!A1147</f>
        <v>BE (CEMI internal group)</v>
      </c>
    </row>
    <row r="2842" customFormat="false" ht="15" hidden="false" customHeight="false" outlineLevel="0" collapsed="false">
      <c r="A2842" s="18" t="n">
        <f aca="false">'CEMIUP0.9 Raw'!B1349</f>
        <v>4408091</v>
      </c>
      <c r="B2842" s="18" t="str">
        <f aca="false">'CEMIUP0.9 Raw'!C1349</f>
        <v>T11C M  חגורת גב פוג'יאמה</v>
      </c>
      <c r="C2842" s="18" t="str">
        <f aca="false">'CEMIUP0.9 Raw'!C1349</f>
        <v>T11C M  חגורת גב פוג'יאמה</v>
      </c>
      <c r="D2842" s="19" t="n">
        <f aca="false">'CEMIUP0.9 Raw'!D1349</f>
        <v>7</v>
      </c>
      <c r="E2842" s="19" t="n">
        <f aca="false">'CEMIUP0.9 Raw'!E1349</f>
        <v>521.703</v>
      </c>
      <c r="F2842" s="19" t="n">
        <f aca="false">'CEMIUP0.9 Raw'!F1349</f>
        <v>6.31578947368421</v>
      </c>
      <c r="G2842" s="19" t="n">
        <f aca="false">'CEMIUP0.9 Raw'!G1349</f>
        <v>461.283789473684</v>
      </c>
      <c r="H2842" s="18" t="str">
        <f aca="false">'CEMIUP0.9 Raw'!A1349</f>
        <v>Super-Pharm Israel (CEMI internal group)</v>
      </c>
    </row>
    <row r="2843" customFormat="false" ht="15" hidden="false" customHeight="false" outlineLevel="0" collapsed="false">
      <c r="A2843" s="18" t="n">
        <f aca="false">'CEMIUP0.9 Raw'!B1485</f>
        <v>4413107</v>
      </c>
      <c r="B2843" s="18" t="str">
        <f aca="false">'CEMIUP0.9 Raw'!C1485</f>
        <v>48 L מגן ברך מחמם</v>
      </c>
      <c r="C2843" s="18" t="str">
        <f aca="false">'CEMIUP0.9 Raw'!C1485</f>
        <v>48 L מגן ברך מחמם</v>
      </c>
      <c r="D2843" s="19" t="n">
        <f aca="false">'CEMIUP0.9 Raw'!D1485</f>
        <v>13</v>
      </c>
      <c r="E2843" s="19" t="n">
        <f aca="false">'CEMIUP0.9 Raw'!E1485</f>
        <v>575.211</v>
      </c>
      <c r="F2843" s="19" t="n">
        <f aca="false">'CEMIUP0.9 Raw'!F1485</f>
        <v>6.31578947368421</v>
      </c>
      <c r="G2843" s="19" t="n">
        <f aca="false">'CEMIUP0.9 Raw'!G1485</f>
        <v>279.437052631579</v>
      </c>
      <c r="H2843" s="18" t="str">
        <f aca="false">'CEMIUP0.9 Raw'!A1485</f>
        <v>Super-Pharm Israel (CEMI internal group)</v>
      </c>
    </row>
    <row r="2844" customFormat="false" ht="15" hidden="false" customHeight="false" outlineLevel="0" collapsed="false">
      <c r="A2844" s="18" t="n">
        <f aca="false">'CEMIUP0.9 Raw'!B1503</f>
        <v>4413132</v>
      </c>
      <c r="B2844" s="18" t="str">
        <f aca="false">'CEMIUP0.9 Raw'!C1503</f>
        <v>76 Lמיישר כתף יציב יישור רחב</v>
      </c>
      <c r="C2844" s="18" t="str">
        <f aca="false">'CEMIUP0.9 Raw'!C1503</f>
        <v>76 Lמיישר כתף יציב יישור רחב</v>
      </c>
      <c r="D2844" s="19" t="n">
        <f aca="false">'CEMIUP0.9 Raw'!D1503</f>
        <v>6</v>
      </c>
      <c r="E2844" s="19" t="n">
        <f aca="false">'CEMIUP0.9 Raw'!E1503</f>
        <v>894.53</v>
      </c>
      <c r="F2844" s="19" t="n">
        <f aca="false">'CEMIUP0.9 Raw'!F1503</f>
        <v>6.31578947368421</v>
      </c>
      <c r="G2844" s="19" t="n">
        <f aca="false">'CEMIUP0.9 Raw'!G1503</f>
        <v>952.913684210526</v>
      </c>
      <c r="H2844" s="18" t="str">
        <f aca="false">'CEMIUP0.9 Raw'!A1503</f>
        <v>Super-Pharm Israel (CEMI internal group)</v>
      </c>
    </row>
    <row r="2845" customFormat="false" ht="15" hidden="false" customHeight="false" outlineLevel="0" collapsed="false">
      <c r="A2845" s="18" t="n">
        <f aca="false">'CEMIUP0.9 Raw'!B1515</f>
        <v>4413144</v>
      </c>
      <c r="B2845" s="18" t="str">
        <f aca="false">'CEMIUP0.9 Raw'!C1515</f>
        <v>95 XXL מגן מרפק רגיל לבן</v>
      </c>
      <c r="C2845" s="18" t="str">
        <f aca="false">'CEMIUP0.9 Raw'!C1515</f>
        <v>95 XXL מגן מרפק רגיל לבן</v>
      </c>
      <c r="D2845" s="19" t="n">
        <f aca="false">'CEMIUP0.9 Raw'!D1515</f>
        <v>5</v>
      </c>
      <c r="E2845" s="19" t="n">
        <f aca="false">'CEMIUP0.9 Raw'!E1515</f>
        <v>117.299</v>
      </c>
      <c r="F2845" s="19" t="n">
        <f aca="false">'CEMIUP0.9 Raw'!F1515</f>
        <v>6.31578947368421</v>
      </c>
      <c r="G2845" s="19" t="n">
        <f aca="false">'CEMIUP0.9 Raw'!G1515</f>
        <v>157.133052631579</v>
      </c>
      <c r="H2845" s="18" t="str">
        <f aca="false">'CEMIUP0.9 Raw'!A1515</f>
        <v>Super-Pharm Israel (CEMI internal group)</v>
      </c>
    </row>
    <row r="2846" customFormat="false" ht="15" hidden="false" customHeight="false" outlineLevel="0" collapsed="false">
      <c r="A2846" s="18" t="n">
        <f aca="false">'CEMIUP0.9 Raw'!B19</f>
        <v>4403004</v>
      </c>
      <c r="B2846" s="18" t="str">
        <f aca="false">'CEMIUP0.9 Raw'!C19</f>
        <v>390G 39-42.גרב.כסף לסכרתיים אפ</v>
      </c>
      <c r="C2846" s="18" t="str">
        <f aca="false">'CEMIUP0.9 Raw'!C19</f>
        <v>390G 39-42.גרב.כסף לסכרתיים אפ</v>
      </c>
      <c r="D2846" s="19" t="n">
        <f aca="false">'CEMIUP0.9 Raw'!D19</f>
        <v>16</v>
      </c>
      <c r="E2846" s="19" t="n">
        <f aca="false">'CEMIUP0.9 Raw'!E19</f>
        <v>500.045</v>
      </c>
      <c r="F2846" s="19" t="n">
        <f aca="false">'CEMIUP0.9 Raw'!F19</f>
        <v>5.05263157894737</v>
      </c>
      <c r="G2846" s="19" t="n">
        <f aca="false">'CEMIUP0.9 Raw'!G19</f>
        <v>161.386105263158</v>
      </c>
      <c r="H2846" s="18" t="str">
        <f aca="false">'CEMIUP0.9 Raw'!A19</f>
        <v>107 - Pharmacies</v>
      </c>
    </row>
    <row r="2847" customFormat="false" ht="15" hidden="false" customHeight="false" outlineLevel="0" collapsed="false">
      <c r="A2847" s="18" t="n">
        <f aca="false">'CEMIUP0.9 Raw'!B34</f>
        <v>4403029</v>
      </c>
      <c r="B2847" s="18" t="str">
        <f aca="false">'CEMIUP0.9 Raw'!C34</f>
        <v>397 39-42 גרבי טיסה מידה</v>
      </c>
      <c r="C2847" s="18" t="str">
        <f aca="false">'CEMIUP0.9 Raw'!C34</f>
        <v>397 39-42 גרבי טיסה מידה</v>
      </c>
      <c r="D2847" s="19" t="n">
        <f aca="false">'CEMIUP0.9 Raw'!D34</f>
        <v>225</v>
      </c>
      <c r="E2847" s="19" t="n">
        <f aca="false">'CEMIUP0.9 Raw'!E34</f>
        <v>12189.982</v>
      </c>
      <c r="F2847" s="19" t="n">
        <f aca="false">'CEMIUP0.9 Raw'!F34</f>
        <v>5.05263157894737</v>
      </c>
      <c r="G2847" s="19" t="n">
        <f aca="false">'CEMIUP0.9 Raw'!G34</f>
        <v>314.802947368421</v>
      </c>
      <c r="H2847" s="18" t="str">
        <f aca="false">'CEMIUP0.9 Raw'!A34</f>
        <v>107 - Pharmacies</v>
      </c>
    </row>
    <row r="2848" customFormat="false" ht="15" hidden="false" customHeight="false" outlineLevel="0" collapsed="false">
      <c r="A2848" s="18" t="n">
        <f aca="false">'CEMIUP0.9 Raw'!B144</f>
        <v>4408179</v>
      </c>
      <c r="B2848" s="18" t="str">
        <f aca="false">'CEMIUP0.9 Raw'!C144</f>
        <v>13 XL חגורה לשבר טבור</v>
      </c>
      <c r="C2848" s="18" t="str">
        <f aca="false">'CEMIUP0.9 Raw'!C144</f>
        <v>13 XL חגורה לשבר טבור</v>
      </c>
      <c r="D2848" s="19" t="n">
        <f aca="false">'CEMIUP0.9 Raw'!D144</f>
        <v>3</v>
      </c>
      <c r="E2848" s="19" t="n">
        <f aca="false">'CEMIUP0.9 Raw'!E144</f>
        <v>426.699</v>
      </c>
      <c r="F2848" s="19" t="n">
        <f aca="false">'CEMIUP0.9 Raw'!F144</f>
        <v>5.05263157894737</v>
      </c>
      <c r="G2848" s="19" t="n">
        <f aca="false">'CEMIUP0.9 Raw'!G144</f>
        <v>722.273684210526</v>
      </c>
      <c r="H2848" s="18" t="str">
        <f aca="false">'CEMIUP0.9 Raw'!A144</f>
        <v>107 - Pharmacies</v>
      </c>
    </row>
    <row r="2849" customFormat="false" ht="15" hidden="false" customHeight="false" outlineLevel="0" collapsed="false">
      <c r="A2849" s="18" t="n">
        <f aca="false">'CEMIUP0.9 Raw'!B148</f>
        <v>4408203</v>
      </c>
      <c r="B2849" s="18" t="str">
        <f aca="false">'CEMIUP0.9 Raw'!C148</f>
        <v>14 0 חגורה למנותחי בית חזה</v>
      </c>
      <c r="C2849" s="18" t="str">
        <f aca="false">'CEMIUP0.9 Raw'!C148</f>
        <v>14 0 חגורה למנותחי בית חזה</v>
      </c>
      <c r="D2849" s="19" t="n">
        <f aca="false">'CEMIUP0.9 Raw'!D148</f>
        <v>9</v>
      </c>
      <c r="E2849" s="19" t="n">
        <f aca="false">'CEMIUP0.9 Raw'!E148</f>
        <v>2030.305</v>
      </c>
      <c r="F2849" s="19" t="n">
        <f aca="false">'CEMIUP0.9 Raw'!F148</f>
        <v>5.05263157894737</v>
      </c>
      <c r="G2849" s="19" t="n">
        <f aca="false">'CEMIUP0.9 Raw'!G148</f>
        <v>1222.128</v>
      </c>
      <c r="H2849" s="18" t="str">
        <f aca="false">'CEMIUP0.9 Raw'!A148</f>
        <v>107 - Pharmacies</v>
      </c>
    </row>
    <row r="2850" customFormat="false" ht="15" hidden="false" customHeight="false" outlineLevel="0" collapsed="false">
      <c r="A2850" s="18" t="n">
        <f aca="false">'CEMIUP0.9 Raw'!B166</f>
        <v>4408232</v>
      </c>
      <c r="B2850" s="18" t="str">
        <f aca="false">'CEMIUP0.9 Raw'!C166</f>
        <v>16 XXL חגורת הריון</v>
      </c>
      <c r="C2850" s="18" t="str">
        <f aca="false">'CEMIUP0.9 Raw'!C166</f>
        <v>16 XXL חגורת הריון</v>
      </c>
      <c r="D2850" s="19" t="n">
        <f aca="false">'CEMIUP0.9 Raw'!D166</f>
        <v>2</v>
      </c>
      <c r="E2850" s="19" t="n">
        <f aca="false">'CEMIUP0.9 Raw'!E166</f>
        <v>214.942</v>
      </c>
      <c r="F2850" s="19" t="n">
        <f aca="false">'CEMIUP0.9 Raw'!F166</f>
        <v>5.05263157894737</v>
      </c>
      <c r="G2850" s="19" t="n">
        <f aca="false">'CEMIUP0.9 Raw'!G166</f>
        <v>562.322526315789</v>
      </c>
      <c r="H2850" s="18" t="str">
        <f aca="false">'CEMIUP0.9 Raw'!A166</f>
        <v>107 - Pharmacies</v>
      </c>
    </row>
    <row r="2851" customFormat="false" ht="15" hidden="false" customHeight="false" outlineLevel="0" collapsed="false">
      <c r="A2851" s="18" t="n">
        <f aca="false">'CEMIUP0.9 Raw'!B280</f>
        <v>4413107</v>
      </c>
      <c r="B2851" s="18" t="str">
        <f aca="false">'CEMIUP0.9 Raw'!C280</f>
        <v>48 L מגן ברך מחמם</v>
      </c>
      <c r="C2851" s="18" t="str">
        <f aca="false">'CEMIUP0.9 Raw'!C280</f>
        <v>48 L מגן ברך מחמם</v>
      </c>
      <c r="D2851" s="19" t="n">
        <f aca="false">'CEMIUP0.9 Raw'!D280</f>
        <v>17</v>
      </c>
      <c r="E2851" s="19" t="n">
        <f aca="false">'CEMIUP0.9 Raw'!E280</f>
        <v>866.284</v>
      </c>
      <c r="F2851" s="19" t="n">
        <f aca="false">'CEMIUP0.9 Raw'!F280</f>
        <v>5.05263157894737</v>
      </c>
      <c r="G2851" s="19" t="n">
        <f aca="false">'CEMIUP0.9 Raw'!G280</f>
        <v>266.993684210526</v>
      </c>
      <c r="H2851" s="18" t="str">
        <f aca="false">'CEMIUP0.9 Raw'!A280</f>
        <v>107 - Pharmacies</v>
      </c>
    </row>
    <row r="2852" customFormat="false" ht="15" hidden="false" customHeight="false" outlineLevel="0" collapsed="false">
      <c r="A2852" s="18" t="n">
        <f aca="false">'CEMIUP0.9 Raw'!B357</f>
        <v>4413276</v>
      </c>
      <c r="B2852" s="18" t="str">
        <f aca="false">'CEMIUP0.9 Raw'!C357</f>
        <v>LF377 L-מדרס סיליקון לנעלי עקב</v>
      </c>
      <c r="C2852" s="18" t="str">
        <f aca="false">'CEMIUP0.9 Raw'!C357</f>
        <v>LF377 L-מדרס סיליקון לנעלי עקב</v>
      </c>
      <c r="D2852" s="19" t="n">
        <f aca="false">'CEMIUP0.9 Raw'!D357</f>
        <v>2</v>
      </c>
      <c r="E2852" s="19" t="n">
        <f aca="false">'CEMIUP0.9 Raw'!E357</f>
        <v>43.134</v>
      </c>
      <c r="F2852" s="19" t="n">
        <f aca="false">'CEMIUP0.9 Raw'!F357</f>
        <v>5.05263157894737</v>
      </c>
      <c r="G2852" s="19" t="n">
        <f aca="false">'CEMIUP0.9 Raw'!G357</f>
        <v>210.238736842105</v>
      </c>
      <c r="H2852" s="18" t="str">
        <f aca="false">'CEMIUP0.9 Raw'!A357</f>
        <v>107 - Pharmacies</v>
      </c>
    </row>
    <row r="2853" customFormat="false" ht="15" hidden="false" customHeight="false" outlineLevel="0" collapsed="false">
      <c r="A2853" s="18" t="n">
        <f aca="false">'CEMIUP0.9 Raw'!B408</f>
        <v>4413418</v>
      </c>
      <c r="B2853" s="18" t="str">
        <f aca="false">'CEMIUP0.9 Raw'!C408</f>
        <v>SC39 XL מגן שוק</v>
      </c>
      <c r="C2853" s="18" t="str">
        <f aca="false">'CEMIUP0.9 Raw'!C408</f>
        <v>SC39 XL מגן שוק</v>
      </c>
      <c r="D2853" s="19" t="n">
        <f aca="false">'CEMIUP0.9 Raw'!D408</f>
        <v>2</v>
      </c>
      <c r="E2853" s="19" t="n">
        <f aca="false">'CEMIUP0.9 Raw'!E408</f>
        <v>284.581</v>
      </c>
      <c r="F2853" s="19" t="n">
        <f aca="false">'CEMIUP0.9 Raw'!F408</f>
        <v>5.05263157894737</v>
      </c>
      <c r="G2853" s="19" t="n">
        <f aca="false">'CEMIUP0.9 Raw'!G408</f>
        <v>703.937684210526</v>
      </c>
      <c r="H2853" s="18" t="str">
        <f aca="false">'CEMIUP0.9 Raw'!A408</f>
        <v>107 - Pharmacies</v>
      </c>
    </row>
    <row r="2854" customFormat="false" ht="15" hidden="false" customHeight="false" outlineLevel="0" collapsed="false">
      <c r="A2854" s="18" t="n">
        <f aca="false">'CEMIUP0.9 Raw'!B411</f>
        <v>4413421</v>
      </c>
      <c r="B2854" s="18" t="str">
        <f aca="false">'CEMIUP0.9 Raw'!C411</f>
        <v>SC35L  M מגן קרסול שמאל</v>
      </c>
      <c r="C2854" s="18" t="str">
        <f aca="false">'CEMIUP0.9 Raw'!C411</f>
        <v>SC35L  M מגן קרסול שמאל</v>
      </c>
      <c r="D2854" s="19" t="n">
        <f aca="false">'CEMIUP0.9 Raw'!D411</f>
        <v>8</v>
      </c>
      <c r="E2854" s="19" t="n">
        <f aca="false">'CEMIUP0.9 Raw'!E411</f>
        <v>600.763</v>
      </c>
      <c r="F2854" s="19" t="n">
        <f aca="false">'CEMIUP0.9 Raw'!F411</f>
        <v>5.05263157894737</v>
      </c>
      <c r="G2854" s="19" t="n">
        <f aca="false">'CEMIUP0.9 Raw'!G411</f>
        <v>462.127578947369</v>
      </c>
      <c r="H2854" s="18" t="str">
        <f aca="false">'CEMIUP0.9 Raw'!A411</f>
        <v>107 - Pharmacies</v>
      </c>
    </row>
    <row r="2855" customFormat="false" ht="15" hidden="false" customHeight="false" outlineLevel="0" collapsed="false">
      <c r="A2855" s="18" t="n">
        <f aca="false">'CEMIUP0.9 Raw'!B412</f>
        <v>4413422</v>
      </c>
      <c r="B2855" s="18" t="str">
        <f aca="false">'CEMIUP0.9 Raw'!C412</f>
        <v>SC35L  L מגן קרסול שמאל</v>
      </c>
      <c r="C2855" s="18" t="str">
        <f aca="false">'CEMIUP0.9 Raw'!C412</f>
        <v>SC35L  L מגן קרסול שמאל</v>
      </c>
      <c r="D2855" s="19" t="n">
        <f aca="false">'CEMIUP0.9 Raw'!D412</f>
        <v>4</v>
      </c>
      <c r="E2855" s="19" t="n">
        <f aca="false">'CEMIUP0.9 Raw'!E412</f>
        <v>288.319</v>
      </c>
      <c r="F2855" s="19" t="n">
        <f aca="false">'CEMIUP0.9 Raw'!F412</f>
        <v>5.05263157894737</v>
      </c>
      <c r="G2855" s="19" t="n">
        <f aca="false">'CEMIUP0.9 Raw'!G412</f>
        <v>441.322105263158</v>
      </c>
      <c r="H2855" s="18" t="str">
        <f aca="false">'CEMIUP0.9 Raw'!A412</f>
        <v>107 - Pharmacies</v>
      </c>
    </row>
    <row r="2856" customFormat="false" ht="15" hidden="false" customHeight="false" outlineLevel="0" collapsed="false">
      <c r="A2856" s="18" t="n">
        <f aca="false">'CEMIUP0.9 Raw'!B416</f>
        <v>4413426</v>
      </c>
      <c r="B2856" s="18" t="str">
        <f aca="false">'CEMIUP0.9 Raw'!C416</f>
        <v>SC35R  L מגן קרסול ימין</v>
      </c>
      <c r="C2856" s="18" t="str">
        <f aca="false">'CEMIUP0.9 Raw'!C416</f>
        <v>SC35R  L מגן קרסול ימין</v>
      </c>
      <c r="D2856" s="19" t="n">
        <f aca="false">'CEMIUP0.9 Raw'!D416</f>
        <v>8</v>
      </c>
      <c r="E2856" s="19" t="n">
        <f aca="false">'CEMIUP0.9 Raw'!E416</f>
        <v>590.542</v>
      </c>
      <c r="F2856" s="19" t="n">
        <f aca="false">'CEMIUP0.9 Raw'!F416</f>
        <v>5.05263157894737</v>
      </c>
      <c r="G2856" s="19" t="n">
        <f aca="false">'CEMIUP0.9 Raw'!G416</f>
        <v>416.339368421053</v>
      </c>
      <c r="H2856" s="18" t="str">
        <f aca="false">'CEMIUP0.9 Raw'!A416</f>
        <v>107 - Pharmacies</v>
      </c>
    </row>
    <row r="2857" customFormat="false" ht="15" hidden="false" customHeight="false" outlineLevel="0" collapsed="false">
      <c r="A2857" s="18" t="n">
        <f aca="false">'CEMIUP0.9 Raw'!B417</f>
        <v>4413427</v>
      </c>
      <c r="B2857" s="18" t="str">
        <f aca="false">'CEMIUP0.9 Raw'!C417</f>
        <v>SC35R  XLמגן קרסול ימין</v>
      </c>
      <c r="C2857" s="18" t="str">
        <f aca="false">'CEMIUP0.9 Raw'!C417</f>
        <v>SC35R  XLמגן קרסול ימין</v>
      </c>
      <c r="D2857" s="19" t="n">
        <f aca="false">'CEMIUP0.9 Raw'!D417</f>
        <v>2</v>
      </c>
      <c r="E2857" s="19" t="n">
        <f aca="false">'CEMIUP0.9 Raw'!E417</f>
        <v>147.633</v>
      </c>
      <c r="F2857" s="19" t="n">
        <f aca="false">'CEMIUP0.9 Raw'!F417</f>
        <v>5.05263157894737</v>
      </c>
      <c r="G2857" s="19" t="n">
        <f aca="false">'CEMIUP0.9 Raw'!G417</f>
        <v>416.339368421053</v>
      </c>
      <c r="H2857" s="18" t="str">
        <f aca="false">'CEMIUP0.9 Raw'!A417</f>
        <v>107 - Pharmacies</v>
      </c>
    </row>
    <row r="2858" customFormat="false" ht="15" hidden="false" customHeight="false" outlineLevel="0" collapsed="false">
      <c r="A2858" s="18" t="n">
        <f aca="false">'CEMIUP0.9 Raw'!B425</f>
        <v>4413449</v>
      </c>
      <c r="B2858" s="18" t="str">
        <f aca="false">'CEMIUP0.9 Raw'!C425</f>
        <v>LF378 S מדרס ג'ל לנעלי עקב</v>
      </c>
      <c r="C2858" s="18" t="str">
        <f aca="false">'CEMIUP0.9 Raw'!C425</f>
        <v>LF378 S מדרס ג'ל לנעלי עקב</v>
      </c>
      <c r="D2858" s="19" t="n">
        <f aca="false">'CEMIUP0.9 Raw'!D425</f>
        <v>2</v>
      </c>
      <c r="E2858" s="19" t="n">
        <f aca="false">'CEMIUP0.9 Raw'!E425</f>
        <v>147.09</v>
      </c>
      <c r="F2858" s="19" t="n">
        <f aca="false">'CEMIUP0.9 Raw'!F425</f>
        <v>5.05263157894737</v>
      </c>
      <c r="G2858" s="19" t="n">
        <f aca="false">'CEMIUP0.9 Raw'!G425</f>
        <v>338.175157894737</v>
      </c>
      <c r="H2858" s="18" t="str">
        <f aca="false">'CEMIUP0.9 Raw'!A425</f>
        <v>107 - Pharmacies</v>
      </c>
    </row>
    <row r="2859" customFormat="false" ht="15" hidden="false" customHeight="false" outlineLevel="0" collapsed="false">
      <c r="A2859" s="18" t="n">
        <f aca="false">'CEMIUP0.9 Raw'!B679</f>
        <v>4403006</v>
      </c>
      <c r="B2859" s="18" t="str">
        <f aca="false">'CEMIUP0.9 Raw'!C679</f>
        <v>390W-35-38</v>
      </c>
      <c r="C2859" s="18" t="str">
        <f aca="false">'CEMIUP0.9 Raw'!C679</f>
        <v>390W-35-38</v>
      </c>
      <c r="D2859" s="19" t="n">
        <f aca="false">'CEMIUP0.9 Raw'!D679</f>
        <v>3</v>
      </c>
      <c r="E2859" s="19" t="n">
        <f aca="false">'CEMIUP0.9 Raw'!E679</f>
        <v>70.8</v>
      </c>
      <c r="F2859" s="19" t="n">
        <f aca="false">'CEMIUP0.9 Raw'!F679</f>
        <v>5.05263157894737</v>
      </c>
      <c r="G2859" s="19" t="n">
        <f aca="false">'CEMIUP0.9 Raw'!G679</f>
        <v>119.242105263158</v>
      </c>
      <c r="H2859" s="18" t="str">
        <f aca="false">'CEMIUP0.9 Raw'!A679</f>
        <v>113 - Kupat Holim Meuhedet</v>
      </c>
    </row>
    <row r="2860" customFormat="false" ht="15" hidden="false" customHeight="false" outlineLevel="0" collapsed="false">
      <c r="A2860" s="18" t="n">
        <f aca="false">'CEMIUP0.9 Raw'!B694</f>
        <v>4408016</v>
      </c>
      <c r="B2860" s="18" t="str">
        <f aca="false">'CEMIUP0.9 Raw'!C694</f>
        <v>07AU M</v>
      </c>
      <c r="C2860" s="18" t="str">
        <f aca="false">'CEMIUP0.9 Raw'!C694</f>
        <v>07AU M</v>
      </c>
      <c r="D2860" s="19" t="n">
        <f aca="false">'CEMIUP0.9 Raw'!D694</f>
        <v>21</v>
      </c>
      <c r="E2860" s="19" t="n">
        <f aca="false">'CEMIUP0.9 Raw'!E694</f>
        <v>3685.5</v>
      </c>
      <c r="F2860" s="19" t="n">
        <f aca="false">'CEMIUP0.9 Raw'!F694</f>
        <v>5.05263157894737</v>
      </c>
      <c r="G2860" s="19" t="n">
        <f aca="false">'CEMIUP0.9 Raw'!G694</f>
        <v>886.736842105263</v>
      </c>
      <c r="H2860" s="18" t="str">
        <f aca="false">'CEMIUP0.9 Raw'!A694</f>
        <v>113 - Kupat Holim Meuhedet</v>
      </c>
    </row>
    <row r="2861" customFormat="false" ht="15" hidden="false" customHeight="false" outlineLevel="0" collapsed="false">
      <c r="A2861" s="18" t="n">
        <f aca="false">'CEMIUP0.9 Raw'!B696</f>
        <v>4408018</v>
      </c>
      <c r="B2861" s="18" t="str">
        <f aca="false">'CEMIUP0.9 Raw'!C696</f>
        <v>07AU XXL</v>
      </c>
      <c r="C2861" s="18" t="str">
        <f aca="false">'CEMIUP0.9 Raw'!C696</f>
        <v>07AU XXL</v>
      </c>
      <c r="D2861" s="19" t="n">
        <f aca="false">'CEMIUP0.9 Raw'!D696</f>
        <v>52</v>
      </c>
      <c r="E2861" s="19" t="n">
        <f aca="false">'CEMIUP0.9 Raw'!E696</f>
        <v>9126</v>
      </c>
      <c r="F2861" s="19" t="n">
        <f aca="false">'CEMIUP0.9 Raw'!F696</f>
        <v>5.05263157894737</v>
      </c>
      <c r="G2861" s="19" t="n">
        <f aca="false">'CEMIUP0.9 Raw'!G696</f>
        <v>886.736842105263</v>
      </c>
      <c r="H2861" s="18" t="str">
        <f aca="false">'CEMIUP0.9 Raw'!A696</f>
        <v>113 - Kupat Holim Meuhedet</v>
      </c>
    </row>
    <row r="2862" customFormat="false" ht="15" hidden="false" customHeight="false" outlineLevel="0" collapsed="false">
      <c r="A2862" s="18" t="n">
        <f aca="false">'CEMIUP0.9 Raw'!B709</f>
        <v>4408072</v>
      </c>
      <c r="B2862" s="18" t="str">
        <f aca="false">'CEMIUP0.9 Raw'!C709</f>
        <v>59D M חגורת שבר דו צדדי</v>
      </c>
      <c r="C2862" s="18" t="str">
        <f aca="false">'CEMIUP0.9 Raw'!C709</f>
        <v>59D M חגורת שבר דו צדדי</v>
      </c>
      <c r="D2862" s="19" t="n">
        <f aca="false">'CEMIUP0.9 Raw'!D709</f>
        <v>5</v>
      </c>
      <c r="E2862" s="19" t="n">
        <f aca="false">'CEMIUP0.9 Raw'!E709</f>
        <v>978.65</v>
      </c>
      <c r="F2862" s="19" t="n">
        <f aca="false">'CEMIUP0.9 Raw'!F709</f>
        <v>5.05263157894737</v>
      </c>
      <c r="G2862" s="19" t="n">
        <f aca="false">'CEMIUP0.9 Raw'!G709</f>
        <v>922.208842105263</v>
      </c>
      <c r="H2862" s="18" t="str">
        <f aca="false">'CEMIUP0.9 Raw'!A709</f>
        <v>113 - Kupat Holim Meuhedet</v>
      </c>
    </row>
    <row r="2863" customFormat="false" ht="15" hidden="false" customHeight="false" outlineLevel="0" collapsed="false">
      <c r="A2863" s="18" t="n">
        <f aca="false">'CEMIUP0.9 Raw'!B710</f>
        <v>4408073</v>
      </c>
      <c r="B2863" s="18" t="str">
        <f aca="false">'CEMIUP0.9 Raw'!C710</f>
        <v>59D XL חגורת שבר דו צדדי</v>
      </c>
      <c r="C2863" s="18" t="str">
        <f aca="false">'CEMIUP0.9 Raw'!C710</f>
        <v>59D XL חגורת שבר דו צדדי</v>
      </c>
      <c r="D2863" s="19" t="n">
        <f aca="false">'CEMIUP0.9 Raw'!D710</f>
        <v>1</v>
      </c>
      <c r="E2863" s="19" t="n">
        <f aca="false">'CEMIUP0.9 Raw'!E710</f>
        <v>195.73</v>
      </c>
      <c r="F2863" s="19" t="n">
        <f aca="false">'CEMIUP0.9 Raw'!F710</f>
        <v>5.05263157894737</v>
      </c>
      <c r="G2863" s="19" t="n">
        <f aca="false">'CEMIUP0.9 Raw'!G710</f>
        <v>888.170526315789</v>
      </c>
      <c r="H2863" s="18" t="str">
        <f aca="false">'CEMIUP0.9 Raw'!A710</f>
        <v>113 - Kupat Holim Meuhedet</v>
      </c>
    </row>
    <row r="2864" customFormat="false" ht="15" hidden="false" customHeight="false" outlineLevel="0" collapsed="false">
      <c r="A2864" s="18" t="n">
        <f aca="false">'CEMIUP0.9 Raw'!B741</f>
        <v>4408262</v>
      </c>
      <c r="B2864" s="18" t="str">
        <f aca="false">'CEMIUP0.9 Raw'!C741</f>
        <v>11STO XL  חגורה אחרי ניתוח</v>
      </c>
      <c r="C2864" s="18" t="str">
        <f aca="false">'CEMIUP0.9 Raw'!C741</f>
        <v>11STO XL  חגורה אחרי ניתוח</v>
      </c>
      <c r="D2864" s="19" t="n">
        <f aca="false">'CEMIUP0.9 Raw'!D741</f>
        <v>7</v>
      </c>
      <c r="E2864" s="19" t="n">
        <f aca="false">'CEMIUP0.9 Raw'!E741</f>
        <v>795.06</v>
      </c>
      <c r="F2864" s="19" t="n">
        <f aca="false">'CEMIUP0.9 Raw'!F741</f>
        <v>5.05263157894737</v>
      </c>
      <c r="G2864" s="19" t="n">
        <f aca="false">'CEMIUP0.9 Raw'!G741</f>
        <v>522.205894736842</v>
      </c>
      <c r="H2864" s="18" t="str">
        <f aca="false">'CEMIUP0.9 Raw'!A741</f>
        <v>113 - Kupat Holim Meuhedet</v>
      </c>
    </row>
    <row r="2865" customFormat="false" ht="15" hidden="false" customHeight="false" outlineLevel="0" collapsed="false">
      <c r="A2865" s="18" t="str">
        <f aca="false">'CEMIUP0.9 Raw'!B899</f>
        <v>11U XL</v>
      </c>
      <c r="B2865" s="18" t="str">
        <f aca="false">'CEMIUP0.9 Raw'!C899</f>
        <v>11U XL</v>
      </c>
      <c r="C2865" s="18" t="str">
        <f aca="false">'CEMIUP0.9 Raw'!C899</f>
        <v>11U XL</v>
      </c>
      <c r="D2865" s="19" t="n">
        <f aca="false">'CEMIUP0.9 Raw'!D899</f>
        <v>5</v>
      </c>
      <c r="E2865" s="19" t="n">
        <f aca="false">'CEMIUP0.9 Raw'!E899</f>
        <v>324.45</v>
      </c>
      <c r="F2865" s="19" t="n">
        <f aca="false">'CEMIUP0.9 Raw'!F899</f>
        <v>5.05263157894737</v>
      </c>
      <c r="G2865" s="19" t="n">
        <f aca="false">'CEMIUP0.9 Raw'!G899</f>
        <v>327.865263157895</v>
      </c>
      <c r="H2865" s="18" t="str">
        <f aca="false">'CEMIUP0.9 Raw'!A899</f>
        <v>113 - Kupat Holim Meuhedet</v>
      </c>
    </row>
    <row r="2866" customFormat="false" ht="15" hidden="false" customHeight="false" outlineLevel="0" collapsed="false">
      <c r="A2866" s="18" t="str">
        <f aca="false">'CEMIUP0.9 Raw'!B909</f>
        <v>394G-43-46</v>
      </c>
      <c r="B2866" s="18" t="str">
        <f aca="false">'CEMIUP0.9 Raw'!C909</f>
        <v>394G-43-46</v>
      </c>
      <c r="C2866" s="18" t="str">
        <f aca="false">'CEMIUP0.9 Raw'!C909</f>
        <v>394G-43-46</v>
      </c>
      <c r="D2866" s="19" t="n">
        <f aca="false">'CEMIUP0.9 Raw'!D909</f>
        <v>28</v>
      </c>
      <c r="E2866" s="19" t="n">
        <f aca="false">'CEMIUP0.9 Raw'!E909</f>
        <v>515.2</v>
      </c>
      <c r="F2866" s="19" t="n">
        <f aca="false">'CEMIUP0.9 Raw'!F909</f>
        <v>5.05263157894737</v>
      </c>
      <c r="G2866" s="19" t="n">
        <f aca="false">'CEMIUP0.9 Raw'!G909</f>
        <v>92.9684210526316</v>
      </c>
      <c r="H2866" s="18" t="str">
        <f aca="false">'CEMIUP0.9 Raw'!A909</f>
        <v>113 - Kupat Holim Meuhedet</v>
      </c>
    </row>
    <row r="2867" customFormat="false" ht="15" hidden="false" customHeight="false" outlineLevel="0" collapsed="false">
      <c r="A2867" s="18" t="str">
        <f aca="false">'CEMIUP0.9 Raw'!B916</f>
        <v>808KTP-BL</v>
      </c>
      <c r="B2867" s="18" t="str">
        <f aca="false">'CEMIUP0.9 Raw'!C916</f>
        <v>808KTP-BL</v>
      </c>
      <c r="C2867" s="18" t="str">
        <f aca="false">'CEMIUP0.9 Raw'!C916</f>
        <v>808KTP-BL</v>
      </c>
      <c r="D2867" s="19" t="n">
        <f aca="false">'CEMIUP0.9 Raw'!D916</f>
        <v>6</v>
      </c>
      <c r="E2867" s="19" t="n">
        <f aca="false">'CEMIUP0.9 Raw'!E916</f>
        <v>377.82</v>
      </c>
      <c r="F2867" s="19" t="n">
        <f aca="false">'CEMIUP0.9 Raw'!F916</f>
        <v>5.05263157894737</v>
      </c>
      <c r="G2867" s="19" t="n">
        <f aca="false">'CEMIUP0.9 Raw'!G916</f>
        <v>318.164210526316</v>
      </c>
      <c r="H2867" s="18" t="str">
        <f aca="false">'CEMIUP0.9 Raw'!A916</f>
        <v>113 - Kupat Holim Meuhedet</v>
      </c>
    </row>
    <row r="2868" customFormat="false" ht="15" hidden="false" customHeight="false" outlineLevel="0" collapsed="false">
      <c r="A2868" s="18" t="str">
        <f aca="false">'CEMIUP0.9 Raw'!B925</f>
        <v>T39 XL</v>
      </c>
      <c r="B2868" s="18" t="str">
        <f aca="false">'CEMIUP0.9 Raw'!C925</f>
        <v>T39 XL</v>
      </c>
      <c r="C2868" s="18" t="str">
        <f aca="false">'CEMIUP0.9 Raw'!C925</f>
        <v>T39 XL</v>
      </c>
      <c r="D2868" s="19" t="n">
        <f aca="false">'CEMIUP0.9 Raw'!D925</f>
        <v>0</v>
      </c>
      <c r="E2868" s="19" t="n">
        <f aca="false">'CEMIUP0.9 Raw'!E925</f>
        <v>0</v>
      </c>
      <c r="F2868" s="19" t="n">
        <f aca="false">'CEMIUP0.9 Raw'!F925</f>
        <v>5.05263157894737</v>
      </c>
      <c r="G2868" s="19" t="n">
        <f aca="false">'CEMIUP0.9 Raw'!G925</f>
        <v>372.884210526316</v>
      </c>
      <c r="H2868" s="18" t="str">
        <f aca="false">'CEMIUP0.9 Raw'!A925</f>
        <v>113 - Kupat Holim Meuhedet</v>
      </c>
    </row>
    <row r="2869" customFormat="false" ht="15" hidden="false" customHeight="false" outlineLevel="0" collapsed="false">
      <c r="A2869" s="18" t="n">
        <f aca="false">'CEMIUP0.9 Raw'!B936</f>
        <v>4403000</v>
      </c>
      <c r="B2869" s="18" t="str">
        <f aca="false">'CEMIUP0.9 Raw'!C936</f>
        <v>390B גרב.כסף לסכרתים שחור35-38</v>
      </c>
      <c r="C2869" s="18" t="str">
        <f aca="false">'CEMIUP0.9 Raw'!C936</f>
        <v>390B גרב.כסף לסכרתים שחור35-38</v>
      </c>
      <c r="D2869" s="19" t="n">
        <f aca="false">'CEMIUP0.9 Raw'!D936</f>
        <v>0</v>
      </c>
      <c r="E2869" s="19" t="n">
        <f aca="false">'CEMIUP0.9 Raw'!E936</f>
        <v>0</v>
      </c>
      <c r="F2869" s="19" t="n">
        <f aca="false">'CEMIUP0.9 Raw'!F936</f>
        <v>5.05263157894737</v>
      </c>
      <c r="G2869" s="19" t="n">
        <f aca="false">'CEMIUP0.9 Raw'!G936</f>
        <v>144.603789473684</v>
      </c>
      <c r="H2869" s="18" t="str">
        <f aca="false">'CEMIUP0.9 Raw'!A936</f>
        <v>BE (CEMI internal group)</v>
      </c>
    </row>
    <row r="2870" customFormat="false" ht="15" hidden="false" customHeight="false" outlineLevel="0" collapsed="false">
      <c r="A2870" s="18" t="n">
        <f aca="false">'CEMIUP0.9 Raw'!B945</f>
        <v>4403018</v>
      </c>
      <c r="B2870" s="18" t="str">
        <f aca="false">'CEMIUP0.9 Raw'!C945</f>
        <v>394B גרב.כסף לסכרתים שחור39-42</v>
      </c>
      <c r="C2870" s="18" t="str">
        <f aca="false">'CEMIUP0.9 Raw'!C945</f>
        <v>394B גרב.כסף לסכרתים שחור39-42</v>
      </c>
      <c r="D2870" s="19" t="n">
        <f aca="false">'CEMIUP0.9 Raw'!D945</f>
        <v>25</v>
      </c>
      <c r="E2870" s="19" t="n">
        <f aca="false">'CEMIUP0.9 Raw'!E945</f>
        <v>546.455</v>
      </c>
      <c r="F2870" s="19" t="n">
        <f aca="false">'CEMIUP0.9 Raw'!F945</f>
        <v>5.05263157894737</v>
      </c>
      <c r="G2870" s="19" t="n">
        <f aca="false">'CEMIUP0.9 Raw'!G945</f>
        <v>110.349473684211</v>
      </c>
      <c r="H2870" s="18" t="str">
        <f aca="false">'CEMIUP0.9 Raw'!A945</f>
        <v>BE (CEMI internal group)</v>
      </c>
    </row>
    <row r="2871" customFormat="false" ht="15" hidden="false" customHeight="false" outlineLevel="0" collapsed="false">
      <c r="A2871" s="18" t="n">
        <f aca="false">'CEMIUP0.9 Raw'!B1030</f>
        <v>4408250</v>
      </c>
      <c r="B2871" s="18" t="str">
        <f aca="false">'CEMIUP0.9 Raw'!C1030</f>
        <v>SC25 XL חבק יד</v>
      </c>
      <c r="C2871" s="18" t="str">
        <f aca="false">'CEMIUP0.9 Raw'!C1030</f>
        <v>SC25 XL חבק יד</v>
      </c>
      <c r="D2871" s="19" t="n">
        <f aca="false">'CEMIUP0.9 Raw'!D1030</f>
        <v>0</v>
      </c>
      <c r="E2871" s="19" t="n">
        <f aca="false">'CEMIUP0.9 Raw'!E1030</f>
        <v>-47.866</v>
      </c>
      <c r="F2871" s="19" t="n">
        <f aca="false">'CEMIUP0.9 Raw'!F1030</f>
        <v>5.05263157894737</v>
      </c>
      <c r="G2871" s="19" t="n">
        <f aca="false">'CEMIUP0.9 Raw'!G1030</f>
        <v>342.543157894737</v>
      </c>
      <c r="H2871" s="18" t="str">
        <f aca="false">'CEMIUP0.9 Raw'!A1030</f>
        <v>BE (CEMI internal group)</v>
      </c>
    </row>
    <row r="2872" customFormat="false" ht="15" hidden="false" customHeight="false" outlineLevel="0" collapsed="false">
      <c r="A2872" s="18" t="n">
        <f aca="false">'CEMIUP0.9 Raw'!B1079</f>
        <v>4413071</v>
      </c>
      <c r="B2872" s="18" t="str">
        <f aca="false">'CEMIUP0.9 Raw'!C1079</f>
        <v>41 Sמ.ברך מוצלב+ספירלות בצדדים</v>
      </c>
      <c r="C2872" s="18" t="str">
        <f aca="false">'CEMIUP0.9 Raw'!C1079</f>
        <v>41 Sמ.ברך מוצלב+ספירלות בצדדים</v>
      </c>
      <c r="D2872" s="19" t="n">
        <f aca="false">'CEMIUP0.9 Raw'!D1079</f>
        <v>2</v>
      </c>
      <c r="E2872" s="19" t="n">
        <f aca="false">'CEMIUP0.9 Raw'!E1079</f>
        <v>208.663</v>
      </c>
      <c r="F2872" s="19" t="n">
        <f aca="false">'CEMIUP0.9 Raw'!F1079</f>
        <v>5.05263157894737</v>
      </c>
      <c r="G2872" s="19" t="n">
        <f aca="false">'CEMIUP0.9 Raw'!G1079</f>
        <v>527.263578947368</v>
      </c>
      <c r="H2872" s="18" t="str">
        <f aca="false">'CEMIUP0.9 Raw'!A1079</f>
        <v>BE (CEMI internal group)</v>
      </c>
    </row>
    <row r="2873" customFormat="false" ht="15" hidden="false" customHeight="false" outlineLevel="0" collapsed="false">
      <c r="A2873" s="18" t="n">
        <f aca="false">'CEMIUP0.9 Raw'!B1117</f>
        <v>4413132</v>
      </c>
      <c r="B2873" s="18" t="str">
        <f aca="false">'CEMIUP0.9 Raw'!C1117</f>
        <v>76 Lמיישר כתף יציב יישור רחב</v>
      </c>
      <c r="C2873" s="18" t="str">
        <f aca="false">'CEMIUP0.9 Raw'!C1117</f>
        <v>76 Lמיישר כתף יציב יישור רחב</v>
      </c>
      <c r="D2873" s="19" t="n">
        <f aca="false">'CEMIUP0.9 Raw'!D1117</f>
        <v>3</v>
      </c>
      <c r="E2873" s="19" t="n">
        <f aca="false">'CEMIUP0.9 Raw'!E1117</f>
        <v>420.238</v>
      </c>
      <c r="F2873" s="19" t="n">
        <f aca="false">'CEMIUP0.9 Raw'!F1117</f>
        <v>5.05263157894737</v>
      </c>
      <c r="G2873" s="19" t="n">
        <f aca="false">'CEMIUP0.9 Raw'!G1117</f>
        <v>707.730947368421</v>
      </c>
      <c r="H2873" s="18" t="str">
        <f aca="false">'CEMIUP0.9 Raw'!A1117</f>
        <v>BE (CEMI internal group)</v>
      </c>
    </row>
    <row r="2874" customFormat="false" ht="15" hidden="false" customHeight="false" outlineLevel="0" collapsed="false">
      <c r="A2874" s="18" t="n">
        <f aca="false">'CEMIUP0.9 Raw'!B1156</f>
        <v>4413276</v>
      </c>
      <c r="B2874" s="18" t="str">
        <f aca="false">'CEMIUP0.9 Raw'!C1156</f>
        <v>LF377 L-מדרס סיליקון לנעלי עקב</v>
      </c>
      <c r="C2874" s="18" t="str">
        <f aca="false">'CEMIUP0.9 Raw'!C1156</f>
        <v>LF377 L-מדרס סיליקון לנעלי עקב</v>
      </c>
      <c r="D2874" s="19" t="n">
        <f aca="false">'CEMIUP0.9 Raw'!D1156</f>
        <v>0</v>
      </c>
      <c r="E2874" s="19" t="n">
        <f aca="false">'CEMIUP0.9 Raw'!E1156</f>
        <v>0</v>
      </c>
      <c r="F2874" s="19" t="n">
        <f aca="false">'CEMIUP0.9 Raw'!F1156</f>
        <v>5.05263157894737</v>
      </c>
      <c r="G2874" s="19" t="n">
        <f aca="false">'CEMIUP0.9 Raw'!G1156</f>
        <v>156.443368421053</v>
      </c>
      <c r="H2874" s="18" t="str">
        <f aca="false">'CEMIUP0.9 Raw'!A1156</f>
        <v>BE (CEMI internal group)</v>
      </c>
    </row>
    <row r="2875" customFormat="false" ht="15" hidden="false" customHeight="false" outlineLevel="0" collapsed="false">
      <c r="A2875" s="18" t="n">
        <f aca="false">'CEMIUP0.9 Raw'!B1157</f>
        <v>4413277</v>
      </c>
      <c r="B2875" s="18" t="str">
        <f aca="false">'CEMIUP0.9 Raw'!C1157</f>
        <v>LF377 M-מדרס סיליקון לנעלי עקב</v>
      </c>
      <c r="C2875" s="18" t="str">
        <f aca="false">'CEMIUP0.9 Raw'!C1157</f>
        <v>LF377 M-מדרס סיליקון לנעלי עקב</v>
      </c>
      <c r="D2875" s="19" t="n">
        <f aca="false">'CEMIUP0.9 Raw'!D1157</f>
        <v>5</v>
      </c>
      <c r="E2875" s="19" t="n">
        <f aca="false">'CEMIUP0.9 Raw'!E1157</f>
        <v>198.835</v>
      </c>
      <c r="F2875" s="19" t="n">
        <f aca="false">'CEMIUP0.9 Raw'!F1157</f>
        <v>5.05263157894737</v>
      </c>
      <c r="G2875" s="19" t="n">
        <f aca="false">'CEMIUP0.9 Raw'!G1157</f>
        <v>200.928</v>
      </c>
      <c r="H2875" s="18" t="str">
        <f aca="false">'CEMIUP0.9 Raw'!A1157</f>
        <v>BE (CEMI internal group)</v>
      </c>
    </row>
    <row r="2876" customFormat="false" ht="15" hidden="false" customHeight="false" outlineLevel="0" collapsed="false">
      <c r="A2876" s="18" t="n">
        <f aca="false">'CEMIUP0.9 Raw'!B1188</f>
        <v>4413426</v>
      </c>
      <c r="B2876" s="18" t="str">
        <f aca="false">'CEMIUP0.9 Raw'!C1188</f>
        <v>SC35R  L מגן קרסול ימין</v>
      </c>
      <c r="C2876" s="18" t="str">
        <f aca="false">'CEMIUP0.9 Raw'!C1188</f>
        <v>SC35R  L מגן קרסול ימין</v>
      </c>
      <c r="D2876" s="19" t="n">
        <f aca="false">'CEMIUP0.9 Raw'!D1188</f>
        <v>-3</v>
      </c>
      <c r="E2876" s="19" t="n">
        <f aca="false">'CEMIUP0.9 Raw'!E1188</f>
        <v>-251.251</v>
      </c>
      <c r="F2876" s="19" t="n">
        <f aca="false">'CEMIUP0.9 Raw'!F1188</f>
        <v>5.05263157894737</v>
      </c>
      <c r="G2876" s="19" t="n">
        <f aca="false">'CEMIUP0.9 Raw'!G1188</f>
        <v>342.543157894737</v>
      </c>
      <c r="H2876" s="18" t="str">
        <f aca="false">'CEMIUP0.9 Raw'!A1188</f>
        <v>BE (CEMI internal group)</v>
      </c>
    </row>
    <row r="2877" customFormat="false" ht="15" hidden="false" customHeight="false" outlineLevel="0" collapsed="false">
      <c r="A2877" s="18" t="n">
        <f aca="false">'CEMIUP0.9 Raw'!B1623</f>
        <v>4415019</v>
      </c>
      <c r="B2877" s="18" t="str">
        <f aca="false">'CEMIUP0.9 Raw'!C1623</f>
        <v>333 סד לקרסול עם כריות אויר</v>
      </c>
      <c r="C2877" s="18" t="str">
        <f aca="false">'CEMIUP0.9 Raw'!C1623</f>
        <v>333 סד לקרסול עם כריות אויר</v>
      </c>
      <c r="D2877" s="19" t="n">
        <f aca="false">'CEMIUP0.9 Raw'!D1623</f>
        <v>1</v>
      </c>
      <c r="E2877" s="19" t="n">
        <f aca="false">'CEMIUP0.9 Raw'!E1623</f>
        <v>130.494</v>
      </c>
      <c r="F2877" s="19" t="n">
        <f aca="false">'CEMIUP0.9 Raw'!F1623</f>
        <v>5.05263157894737</v>
      </c>
      <c r="G2877" s="19" t="n">
        <f aca="false">'CEMIUP0.9 Raw'!G1623</f>
        <v>295.644631578947</v>
      </c>
      <c r="H2877" s="18" t="str">
        <f aca="false">'CEMIUP0.9 Raw'!A1623</f>
        <v>Super-Pharm Israel (CEMI internal group)</v>
      </c>
    </row>
    <row r="2878" customFormat="false" ht="15" hidden="false" customHeight="false" outlineLevel="0" collapsed="false">
      <c r="A2878" s="18" t="n">
        <f aca="false">'SALES Raw'!G10</f>
        <v>4413328</v>
      </c>
      <c r="B2878" s="18" t="str">
        <f aca="false">'SALES Raw'!B10</f>
        <v>AC43D 0</v>
      </c>
      <c r="C2878" s="18" t="str">
        <f aca="false">'SALES Raw'!H10</f>
        <v>AC43D מגן ברך + צירים</v>
      </c>
      <c r="D2878" s="19" t="n">
        <f aca="false">'SALES Raw'!C10</f>
        <v>12</v>
      </c>
      <c r="E2878" s="19" t="n">
        <f aca="false">'SALES Raw'!D10</f>
        <v>1079.57</v>
      </c>
      <c r="F2878" s="19" t="n">
        <f aca="false">'SALES Raw'!E10*$H$4</f>
        <v>5.05263157894737</v>
      </c>
      <c r="G2878" s="19" t="n">
        <f aca="false">'SALES Raw'!F10*$H$4</f>
        <v>520.787368421053</v>
      </c>
      <c r="H2878" s="18" t="str">
        <f aca="false">'SALES Raw'!A10</f>
        <v>101 - Factory customers</v>
      </c>
    </row>
    <row r="2879" customFormat="false" ht="15" hidden="false" customHeight="false" outlineLevel="0" collapsed="false">
      <c r="A2879" s="18" t="n">
        <f aca="false">'SALES Raw'!G16</f>
        <v>4408220</v>
      </c>
      <c r="B2879" s="18" t="str">
        <f aca="false">'SALES Raw'!B16</f>
        <v>078G M</v>
      </c>
      <c r="C2879" s="18" t="str">
        <f aca="false">'SALES Raw'!H16</f>
        <v>078G-M חגורת גב אפורה</v>
      </c>
      <c r="D2879" s="19" t="n">
        <f aca="false">'SALES Raw'!C16</f>
        <v>2</v>
      </c>
      <c r="E2879" s="19" t="n">
        <f aca="false">'SALES Raw'!D16</f>
        <v>234.26</v>
      </c>
      <c r="F2879" s="19" t="n">
        <f aca="false">'SALES Raw'!E16*$H$4</f>
        <v>5.05263157894737</v>
      </c>
      <c r="G2879" s="19" t="n">
        <f aca="false">'SALES Raw'!F16*$H$4</f>
        <v>443.886315789474</v>
      </c>
      <c r="H2879" s="18" t="str">
        <f aca="false">'SALES Raw'!A16</f>
        <v>101 - Factory customers</v>
      </c>
    </row>
    <row r="2880" customFormat="false" ht="15" hidden="false" customHeight="false" outlineLevel="0" collapsed="false">
      <c r="A2880" s="18" t="n">
        <f aca="false">'SALES Raw'!G77</f>
        <v>4416005</v>
      </c>
      <c r="B2880" s="18" t="str">
        <f aca="false">'SALES Raw'!B77</f>
        <v>308 M</v>
      </c>
      <c r="C2880" s="18" t="str">
        <f aca="false">'SALES Raw'!H77</f>
        <v>308 Mעקבים סיליק.כחול לדורבן</v>
      </c>
      <c r="D2880" s="19" t="n">
        <f aca="false">'SALES Raw'!C77</f>
        <v>4</v>
      </c>
      <c r="E2880" s="19" t="n">
        <f aca="false">'SALES Raw'!D77</f>
        <v>263.82</v>
      </c>
      <c r="F2880" s="19" t="n">
        <f aca="false">'SALES Raw'!E77*$H$4</f>
        <v>5.05263157894737</v>
      </c>
      <c r="G2880" s="19" t="n">
        <f aca="false">'SALES Raw'!F77*$H$4</f>
        <v>307.616842105263</v>
      </c>
      <c r="H2880" s="18" t="str">
        <f aca="false">'SALES Raw'!A77</f>
        <v>101 - Factory customers</v>
      </c>
    </row>
    <row r="2881" customFormat="false" ht="15" hidden="false" customHeight="false" outlineLevel="0" collapsed="false">
      <c r="A2881" s="18" t="n">
        <f aca="false">'SALES Raw'!G147</f>
        <v>4403024</v>
      </c>
      <c r="B2881" s="18" t="str">
        <f aca="false">'SALES Raw'!B147</f>
        <v>394W-39-42</v>
      </c>
      <c r="C2881" s="18" t="str">
        <f aca="false">'SALES Raw'!H147</f>
        <v>394W 39-42 גרב.כסף לסכרתים לבן</v>
      </c>
      <c r="D2881" s="19" t="n">
        <f aca="false">'SALES Raw'!C147</f>
        <v>17</v>
      </c>
      <c r="E2881" s="19" t="n">
        <f aca="false">'SALES Raw'!D147</f>
        <v>475.02</v>
      </c>
      <c r="F2881" s="19" t="n">
        <f aca="false">'SALES Raw'!E147*$H$4</f>
        <v>5.05263157894737</v>
      </c>
      <c r="G2881" s="19" t="n">
        <f aca="false">'SALES Raw'!F147*$H$4</f>
        <v>141.890526315789</v>
      </c>
      <c r="H2881" s="18" t="str">
        <f aca="false">'SALES Raw'!A147</f>
        <v>101 - Factory customers</v>
      </c>
    </row>
    <row r="2882" customFormat="false" ht="15" hidden="false" customHeight="false" outlineLevel="0" collapsed="false">
      <c r="A2882" s="18" t="n">
        <f aca="false">'SALES Raw'!G246</f>
        <v>4408249</v>
      </c>
      <c r="B2882" s="18" t="str">
        <f aca="false">'SALES Raw'!B246</f>
        <v>SC25 L</v>
      </c>
      <c r="C2882" s="18" t="str">
        <f aca="false">'SALES Raw'!H246</f>
        <v>SC25  L חבק יד</v>
      </c>
      <c r="D2882" s="19" t="n">
        <f aca="false">'SALES Raw'!C246</f>
        <v>14</v>
      </c>
      <c r="E2882" s="19" t="n">
        <f aca="false">'SALES Raw'!D246</f>
        <v>1038.8</v>
      </c>
      <c r="F2882" s="19" t="n">
        <f aca="false">'SALES Raw'!E246*$H$4</f>
        <v>5.05263157894737</v>
      </c>
      <c r="G2882" s="19" t="n">
        <f aca="false">'SALES Raw'!F246*$H$4</f>
        <v>461.987368421053</v>
      </c>
      <c r="H2882" s="18" t="str">
        <f aca="false">'SALES Raw'!A246</f>
        <v>101 - Factory customers</v>
      </c>
    </row>
    <row r="2883" customFormat="false" ht="15" hidden="false" customHeight="false" outlineLevel="0" collapsed="false">
      <c r="A2883" s="18" t="n">
        <f aca="false">'SALES Raw'!G301</f>
        <v>4408052</v>
      </c>
      <c r="B2883" s="18" t="str">
        <f aca="false">'SALES Raw'!B301</f>
        <v>21 L</v>
      </c>
      <c r="C2883" s="18" t="str">
        <f aca="false">'SALES Raw'!H301</f>
        <v>21 L  חבק יד ארוך</v>
      </c>
      <c r="D2883" s="19" t="n">
        <f aca="false">'SALES Raw'!C301</f>
        <v>3</v>
      </c>
      <c r="E2883" s="19" t="n">
        <f aca="false">'SALES Raw'!D301</f>
        <v>103.24</v>
      </c>
      <c r="F2883" s="19" t="n">
        <f aca="false">'SALES Raw'!E301*$H$4</f>
        <v>5.05263157894737</v>
      </c>
      <c r="G2883" s="19" t="n">
        <f aca="false">'SALES Raw'!F301*$H$4</f>
        <v>201.069473684211</v>
      </c>
      <c r="H2883" s="18" t="str">
        <f aca="false">'SALES Raw'!A301</f>
        <v>101 - Factory customers</v>
      </c>
    </row>
    <row r="2884" customFormat="false" ht="15" hidden="false" customHeight="false" outlineLevel="0" collapsed="false">
      <c r="A2884" s="18" t="str">
        <f aca="false">'SALES Raw'!G315</f>
        <v/>
      </c>
      <c r="B2884" s="18" t="str">
        <f aca="false">'SALES Raw'!B315</f>
        <v>35 XS</v>
      </c>
      <c r="C2884" s="18" t="str">
        <f aca="false">'SALES Raw'!H315</f>
        <v>35 XS</v>
      </c>
      <c r="D2884" s="19" t="n">
        <f aca="false">'SALES Raw'!C315</f>
        <v>0</v>
      </c>
      <c r="E2884" s="19" t="n">
        <f aca="false">'SALES Raw'!D315</f>
        <v>0</v>
      </c>
      <c r="F2884" s="19" t="n">
        <f aca="false">'SALES Raw'!E315*$H$4</f>
        <v>5.05263157894737</v>
      </c>
      <c r="G2884" s="19" t="n">
        <f aca="false">'SALES Raw'!F315*$H$4</f>
        <v>156.088421052632</v>
      </c>
      <c r="H2884" s="18" t="str">
        <f aca="false">'SALES Raw'!A315</f>
        <v>101 - Factory customers</v>
      </c>
    </row>
    <row r="2885" customFormat="false" ht="15" hidden="false" customHeight="false" outlineLevel="0" collapsed="false">
      <c r="A2885" s="18" t="n">
        <f aca="false">'SALES Raw'!G333</f>
        <v>4413498</v>
      </c>
      <c r="B2885" s="18" t="str">
        <f aca="false">'SALES Raw'!B333</f>
        <v>45B S</v>
      </c>
      <c r="C2885" s="18" t="str">
        <f aca="false">'SALES Raw'!H333</f>
        <v>45B S מגן ברך שחור</v>
      </c>
      <c r="D2885" s="19" t="n">
        <f aca="false">'SALES Raw'!C333</f>
        <v>1</v>
      </c>
      <c r="E2885" s="19" t="n">
        <f aca="false">'SALES Raw'!D333</f>
        <v>41.19</v>
      </c>
      <c r="F2885" s="19" t="n">
        <f aca="false">'SALES Raw'!E333*$H$4</f>
        <v>5.05263157894737</v>
      </c>
      <c r="G2885" s="19" t="n">
        <f aca="false">'SALES Raw'!F333*$H$4</f>
        <v>156.088421052632</v>
      </c>
      <c r="H2885" s="18" t="str">
        <f aca="false">'SALES Raw'!A333</f>
        <v>101 - Factory customers</v>
      </c>
    </row>
    <row r="2886" customFormat="false" ht="15" hidden="false" customHeight="false" outlineLevel="0" collapsed="false">
      <c r="A2886" s="18" t="n">
        <f aca="false">'SALES Raw'!G334</f>
        <v>4413496</v>
      </c>
      <c r="B2886" s="18" t="str">
        <f aca="false">'SALES Raw'!B334</f>
        <v>45B XL</v>
      </c>
      <c r="C2886" s="18" t="str">
        <f aca="false">'SALES Raw'!H334</f>
        <v>45B XL מגן ברך שחור</v>
      </c>
      <c r="D2886" s="19" t="n">
        <f aca="false">'SALES Raw'!C334</f>
        <v>0</v>
      </c>
      <c r="E2886" s="19" t="n">
        <f aca="false">'SALES Raw'!D334</f>
        <v>0</v>
      </c>
      <c r="F2886" s="19" t="n">
        <f aca="false">'SALES Raw'!E334*$H$4</f>
        <v>5.05263157894737</v>
      </c>
      <c r="G2886" s="19" t="n">
        <f aca="false">'SALES Raw'!F334*$H$4</f>
        <v>156.088421052632</v>
      </c>
      <c r="H2886" s="18" t="str">
        <f aca="false">'SALES Raw'!A334</f>
        <v>101 - Factory customers</v>
      </c>
    </row>
    <row r="2887" customFormat="false" ht="15" hidden="false" customHeight="false" outlineLevel="0" collapsed="false">
      <c r="A2887" s="18" t="n">
        <f aca="false">'SALES Raw'!G344</f>
        <v>4413111</v>
      </c>
      <c r="B2887" s="18" t="str">
        <f aca="false">'SALES Raw'!B344</f>
        <v>49 S</v>
      </c>
      <c r="C2887" s="18" t="str">
        <f aca="false">'SALES Raw'!H344</f>
        <v>49  S מגן ירך</v>
      </c>
      <c r="D2887" s="19" t="n">
        <f aca="false">'SALES Raw'!C344</f>
        <v>5</v>
      </c>
      <c r="E2887" s="19" t="n">
        <f aca="false">'SALES Raw'!D344</f>
        <v>175.54</v>
      </c>
      <c r="F2887" s="19" t="n">
        <f aca="false">'SALES Raw'!E344*$H$4</f>
        <v>5.05263157894737</v>
      </c>
      <c r="G2887" s="19" t="n">
        <f aca="false">'SALES Raw'!F344*$H$4</f>
        <v>177.385263157895</v>
      </c>
      <c r="H2887" s="18" t="str">
        <f aca="false">'SALES Raw'!A344</f>
        <v>101 - Factory customers</v>
      </c>
    </row>
    <row r="2888" customFormat="false" ht="15" hidden="false" customHeight="false" outlineLevel="0" collapsed="false">
      <c r="A2888" s="18" t="n">
        <f aca="false">'SALES Raw'!G349</f>
        <v>4408077</v>
      </c>
      <c r="B2888" s="18" t="str">
        <f aca="false">'SALES Raw'!B349</f>
        <v>59L M</v>
      </c>
      <c r="C2888" s="18" t="str">
        <f aca="false">'SALES Raw'!H349</f>
        <v>59L M חגורת שבר לצד שמאל</v>
      </c>
      <c r="D2888" s="19" t="n">
        <f aca="false">'SALES Raw'!C349</f>
        <v>1</v>
      </c>
      <c r="E2888" s="19" t="n">
        <f aca="false">'SALES Raw'!D349</f>
        <v>125</v>
      </c>
      <c r="F2888" s="19" t="n">
        <f aca="false">'SALES Raw'!E349*$H$4</f>
        <v>5.05263157894737</v>
      </c>
      <c r="G2888" s="19" t="n">
        <f aca="false">'SALES Raw'!F349*$H$4</f>
        <v>707.368421052632</v>
      </c>
      <c r="H2888" s="18" t="str">
        <f aca="false">'SALES Raw'!A349</f>
        <v>101 - Factory customers</v>
      </c>
    </row>
    <row r="2889" customFormat="false" ht="15" hidden="false" customHeight="false" outlineLevel="0" collapsed="false">
      <c r="A2889" s="18" t="n">
        <f aca="false">'SALES Raw'!G379</f>
        <v>4408084</v>
      </c>
      <c r="B2889" s="18" t="str">
        <f aca="false">'SALES Raw'!B379</f>
        <v>922 L</v>
      </c>
      <c r="C2889" s="18" t="str">
        <f aca="false">'SALES Raw'!H379</f>
        <v>922L.חבק יד לטניס כרית סיליק</v>
      </c>
      <c r="D2889" s="19" t="n">
        <f aca="false">'SALES Raw'!C379</f>
        <v>0</v>
      </c>
      <c r="E2889" s="19" t="n">
        <f aca="false">'SALES Raw'!D379</f>
        <v>0</v>
      </c>
      <c r="F2889" s="19" t="n">
        <f aca="false">'SALES Raw'!E379*$H$4</f>
        <v>5.05263157894737</v>
      </c>
      <c r="G2889" s="19" t="n">
        <f aca="false">'SALES Raw'!F379*$H$4</f>
        <v>454.736842105263</v>
      </c>
      <c r="H2889" s="18" t="str">
        <f aca="false">'SALES Raw'!A379</f>
        <v>101 - Factory customers</v>
      </c>
    </row>
    <row r="2890" customFormat="false" ht="15" hidden="false" customHeight="false" outlineLevel="0" collapsed="false">
      <c r="A2890" s="18" t="n">
        <f aca="false">'SALES Raw'!G382</f>
        <v>4413141</v>
      </c>
      <c r="B2890" s="18" t="str">
        <f aca="false">'SALES Raw'!B382</f>
        <v>95 S</v>
      </c>
      <c r="C2890" s="18" t="str">
        <f aca="false">'SALES Raw'!H382</f>
        <v>95 S מגן מרפק רגיל לבן</v>
      </c>
      <c r="D2890" s="19" t="n">
        <f aca="false">'SALES Raw'!C382</f>
        <v>2</v>
      </c>
      <c r="E2890" s="19" t="n">
        <f aca="false">'SALES Raw'!D382</f>
        <v>61.79</v>
      </c>
      <c r="F2890" s="19" t="n">
        <f aca="false">'SALES Raw'!E382*$H$4</f>
        <v>5.05263157894737</v>
      </c>
      <c r="G2890" s="19" t="n">
        <f aca="false">'SALES Raw'!F382*$H$4</f>
        <v>156.088421052632</v>
      </c>
      <c r="H2890" s="18" t="str">
        <f aca="false">'SALES Raw'!A382</f>
        <v>101 - Factory customers</v>
      </c>
    </row>
    <row r="2891" customFormat="false" ht="15" hidden="false" customHeight="false" outlineLevel="0" collapsed="false">
      <c r="A2891" s="18" t="n">
        <f aca="false">'SALES Raw'!G390</f>
        <v>4413440</v>
      </c>
      <c r="B2891" s="18" t="str">
        <f aca="false">'SALES Raw'!B390</f>
        <v>SC422 L</v>
      </c>
      <c r="C2891" s="18" t="str">
        <f aca="false">'SALES Raw'!H390</f>
        <v>SC422  L מגן ברך</v>
      </c>
      <c r="D2891" s="19" t="n">
        <f aca="false">'SALES Raw'!C390</f>
        <v>2</v>
      </c>
      <c r="E2891" s="19" t="n">
        <f aca="false">'SALES Raw'!D390</f>
        <v>281.14</v>
      </c>
      <c r="F2891" s="19" t="n">
        <f aca="false">'SALES Raw'!E390*$H$4</f>
        <v>5.05263157894737</v>
      </c>
      <c r="G2891" s="19" t="n">
        <f aca="false">'SALES Raw'!F390*$H$4</f>
        <v>532.711578947368</v>
      </c>
      <c r="H2891" s="18" t="str">
        <f aca="false">'SALES Raw'!A390</f>
        <v>101 - Factory customers</v>
      </c>
    </row>
    <row r="2892" customFormat="false" ht="15" hidden="false" customHeight="false" outlineLevel="0" collapsed="false">
      <c r="A2892" s="18" t="n">
        <f aca="false">'SALES Raw'!G477</f>
        <v>4422039</v>
      </c>
      <c r="B2892" s="18" t="str">
        <f aca="false">'SALES Raw'!B477</f>
        <v>SH422 3</v>
      </c>
      <c r="C2892" s="18" t="str">
        <f aca="false">'SALES Raw'!H477</f>
        <v>SH422 3 תומך ברך גנושילד</v>
      </c>
      <c r="D2892" s="19" t="n">
        <f aca="false">'SALES Raw'!C477</f>
        <v>4</v>
      </c>
      <c r="E2892" s="19" t="n">
        <f aca="false">'SALES Raw'!D477</f>
        <v>1034.14</v>
      </c>
      <c r="F2892" s="19" t="n">
        <f aca="false">'SALES Raw'!E477*$H$4</f>
        <v>5.05263157894737</v>
      </c>
      <c r="G2892" s="19" t="n">
        <f aca="false">'SALES Raw'!F477*$H$4</f>
        <v>1204.00421052632</v>
      </c>
      <c r="H2892" s="18" t="str">
        <f aca="false">'SALES Raw'!A477</f>
        <v>101 - Factory customers</v>
      </c>
    </row>
    <row r="2893" customFormat="false" ht="15" hidden="false" customHeight="false" outlineLevel="0" collapsed="false">
      <c r="A2893" s="18" t="n">
        <f aca="false">'SALES Raw'!G535</f>
        <v>4408223</v>
      </c>
      <c r="B2893" s="18" t="str">
        <f aca="false">'SALES Raw'!B535</f>
        <v>078G XXL</v>
      </c>
      <c r="C2893" s="18" t="str">
        <f aca="false">'SALES Raw'!H535</f>
        <v>078G-XXLחגורת גב אפורה</v>
      </c>
      <c r="D2893" s="19" t="n">
        <f aca="false">'SALES Raw'!C535</f>
        <v>14</v>
      </c>
      <c r="E2893" s="19" t="n">
        <f aca="false">'SALES Raw'!D535</f>
        <v>1409.75</v>
      </c>
      <c r="F2893" s="19" t="n">
        <f aca="false">'SALES Raw'!E535*$H$4</f>
        <v>5.05263157894737</v>
      </c>
      <c r="G2893" s="19" t="n">
        <f aca="false">'SALES Raw'!F535*$H$4</f>
        <v>591.84</v>
      </c>
      <c r="H2893" s="18" t="str">
        <f aca="false">'SALES Raw'!A535</f>
        <v>102 - Orthopedic institutes</v>
      </c>
    </row>
    <row r="2894" customFormat="false" ht="15" hidden="false" customHeight="false" outlineLevel="0" collapsed="false">
      <c r="A2894" s="18" t="n">
        <f aca="false">'SALES Raw'!G539</f>
        <v>4411029</v>
      </c>
      <c r="B2894" s="18" t="str">
        <f aca="false">'SALES Raw'!B539</f>
        <v>213CTSR L</v>
      </c>
      <c r="C2894" s="18" t="str">
        <f aca="false">'SALES Raw'!H539</f>
        <v>213CTSR L ימין CTS כפפות</v>
      </c>
      <c r="D2894" s="19" t="n">
        <f aca="false">'SALES Raw'!C539</f>
        <v>22</v>
      </c>
      <c r="E2894" s="19" t="n">
        <f aca="false">'SALES Raw'!D539</f>
        <v>1980.3</v>
      </c>
      <c r="F2894" s="19" t="n">
        <f aca="false">'SALES Raw'!E539*$H$4</f>
        <v>5.05263157894737</v>
      </c>
      <c r="G2894" s="19" t="n">
        <f aca="false">'SALES Raw'!F539*$H$4</f>
        <v>454.736842105263</v>
      </c>
      <c r="H2894" s="18" t="str">
        <f aca="false">'SALES Raw'!A539</f>
        <v>102 - Orthopedic institutes</v>
      </c>
    </row>
    <row r="2895" customFormat="false" ht="15" hidden="false" customHeight="false" outlineLevel="0" collapsed="false">
      <c r="A2895" s="18" t="n">
        <f aca="false">'SALES Raw'!G592</f>
        <v>4413018</v>
      </c>
      <c r="B2895" s="18" t="str">
        <f aca="false">'SALES Raw'!B592</f>
        <v>303-37-38</v>
      </c>
      <c r="C2895" s="18" t="str">
        <f aca="false">'SALES Raw'!H592</f>
        <v>303 37-38 מדרסי סיליק.לח.סכרת</v>
      </c>
      <c r="D2895" s="19" t="n">
        <f aca="false">'SALES Raw'!C592</f>
        <v>1</v>
      </c>
      <c r="E2895" s="19" t="n">
        <f aca="false">'SALES Raw'!D592</f>
        <v>118.54</v>
      </c>
      <c r="F2895" s="19" t="n">
        <f aca="false">'SALES Raw'!E592*$H$4</f>
        <v>5.05263157894737</v>
      </c>
      <c r="G2895" s="19" t="n">
        <f aca="false">'SALES Raw'!F592*$H$4</f>
        <v>598.951578947368</v>
      </c>
      <c r="H2895" s="18" t="str">
        <f aca="false">'SALES Raw'!A592</f>
        <v>102 - Orthopedic institutes</v>
      </c>
    </row>
    <row r="2896" customFormat="false" ht="15" hidden="false" customHeight="false" outlineLevel="0" collapsed="false">
      <c r="A2896" s="18" t="str">
        <f aca="false">'SALES Raw'!G672</f>
        <v/>
      </c>
      <c r="B2896" s="18" t="str">
        <f aca="false">'SALES Raw'!B672</f>
        <v>T402 XL</v>
      </c>
      <c r="C2896" s="18" t="str">
        <f aca="false">'SALES Raw'!H672</f>
        <v>T402 XL</v>
      </c>
      <c r="D2896" s="19" t="n">
        <f aca="false">'SALES Raw'!C672</f>
        <v>7</v>
      </c>
      <c r="E2896" s="19" t="n">
        <f aca="false">'SALES Raw'!D672</f>
        <v>656.12</v>
      </c>
      <c r="F2896" s="19" t="n">
        <f aca="false">'SALES Raw'!E672*$H$4</f>
        <v>5.05263157894737</v>
      </c>
      <c r="G2896" s="19" t="n">
        <f aca="false">'SALES Raw'!F672*$H$4</f>
        <v>446.273684210526</v>
      </c>
      <c r="H2896" s="18" t="str">
        <f aca="false">'SALES Raw'!A672</f>
        <v>102 - Orthopedic institutes</v>
      </c>
    </row>
    <row r="2897" customFormat="false" ht="15" hidden="false" customHeight="false" outlineLevel="0" collapsed="false">
      <c r="A2897" s="18" t="n">
        <f aca="false">'SALES Raw'!G721</f>
        <v>4413165</v>
      </c>
      <c r="B2897" s="18" t="str">
        <f aca="false">'SALES Raw'!B721</f>
        <v>74-L-XL</v>
      </c>
      <c r="C2897" s="18" t="str">
        <f aca="false">'SALES Raw'!H721</f>
        <v>74 L-XL מיצב כתפיים</v>
      </c>
      <c r="D2897" s="19" t="n">
        <f aca="false">'SALES Raw'!C721</f>
        <v>4</v>
      </c>
      <c r="E2897" s="19" t="n">
        <f aca="false">'SALES Raw'!D721</f>
        <v>510</v>
      </c>
      <c r="F2897" s="19" t="n">
        <f aca="false">'SALES Raw'!E721*$H$4</f>
        <v>5.05263157894737</v>
      </c>
      <c r="G2897" s="19" t="n">
        <f aca="false">'SALES Raw'!F721*$H$4</f>
        <v>656.842105263158</v>
      </c>
      <c r="H2897" s="18" t="str">
        <f aca="false">'SALES Raw'!A721</f>
        <v>102 - Orthopedic institutes</v>
      </c>
    </row>
    <row r="2898" customFormat="false" ht="15" hidden="false" customHeight="false" outlineLevel="0" collapsed="false">
      <c r="A2898" s="18" t="n">
        <f aca="false">'SALES Raw'!G770</f>
        <v>4415006</v>
      </c>
      <c r="B2898" s="18" t="str">
        <f aca="false">'SALES Raw'!B770</f>
        <v>28 M</v>
      </c>
      <c r="C2898" s="18" t="str">
        <f aca="false">'SALES Raw'!H770</f>
        <v>28 M סד לאגודל לאחר שבר</v>
      </c>
      <c r="D2898" s="19" t="n">
        <f aca="false">'SALES Raw'!C770</f>
        <v>10</v>
      </c>
      <c r="E2898" s="19" t="n">
        <f aca="false">'SALES Raw'!D770</f>
        <v>1015.85</v>
      </c>
      <c r="F2898" s="19" t="n">
        <f aca="false">'SALES Raw'!E770*$H$4</f>
        <v>5.05263157894737</v>
      </c>
      <c r="G2898" s="19" t="n">
        <f aca="false">'SALES Raw'!F770*$H$4</f>
        <v>520.774736842105</v>
      </c>
      <c r="H2898" s="18" t="str">
        <f aca="false">'SALES Raw'!A770</f>
        <v>102 - Orthopedic institutes</v>
      </c>
    </row>
    <row r="2899" customFormat="false" ht="15" hidden="false" customHeight="false" outlineLevel="0" collapsed="false">
      <c r="A2899" s="18" t="n">
        <f aca="false">'SALES Raw'!G774</f>
        <v>4413347</v>
      </c>
      <c r="B2899" s="18" t="str">
        <f aca="false">'SALES Raw'!B774</f>
        <v>322 L</v>
      </c>
      <c r="C2899" s="18" t="str">
        <f aca="false">'SALES Raw'!H774</f>
        <v>322-L מגן קרסול+כרית סילקון</v>
      </c>
      <c r="D2899" s="19" t="n">
        <f aca="false">'SALES Raw'!C774</f>
        <v>11</v>
      </c>
      <c r="E2899" s="19" t="n">
        <f aca="false">'SALES Raw'!D774</f>
        <v>805.94</v>
      </c>
      <c r="F2899" s="19" t="n">
        <f aca="false">'SALES Raw'!E774*$H$4</f>
        <v>5.05263157894737</v>
      </c>
      <c r="G2899" s="19" t="n">
        <f aca="false">'SALES Raw'!F774*$H$4</f>
        <v>353.671578947368</v>
      </c>
      <c r="H2899" s="18" t="str">
        <f aca="false">'SALES Raw'!A774</f>
        <v>102 - Orthopedic institutes</v>
      </c>
    </row>
    <row r="2900" customFormat="false" ht="15" hidden="false" customHeight="false" outlineLevel="0" collapsed="false">
      <c r="A2900" s="18" t="n">
        <f aca="false">'SALES Raw'!G823</f>
        <v>4415072</v>
      </c>
      <c r="B2900" s="18" t="str">
        <f aca="false">'SALES Raw'!B823</f>
        <v>T28A-S-M</v>
      </c>
      <c r="C2900" s="18" t="str">
        <f aca="false">'SALES Raw'!H823</f>
        <v>T28A S-M סד לאגודל</v>
      </c>
      <c r="D2900" s="19" t="n">
        <f aca="false">'SALES Raw'!C823</f>
        <v>7</v>
      </c>
      <c r="E2900" s="19" t="n">
        <f aca="false">'SALES Raw'!D823</f>
        <v>480.99</v>
      </c>
      <c r="F2900" s="19" t="n">
        <f aca="false">'SALES Raw'!E823*$H$4</f>
        <v>5.05263157894737</v>
      </c>
      <c r="G2900" s="19" t="n">
        <f aca="false">'SALES Raw'!F823*$H$4</f>
        <v>354.997894736842</v>
      </c>
      <c r="H2900" s="18" t="str">
        <f aca="false">'SALES Raw'!A823</f>
        <v>102 - Orthopedic institutes</v>
      </c>
    </row>
    <row r="2901" customFormat="false" ht="15" hidden="false" customHeight="false" outlineLevel="0" collapsed="false">
      <c r="A2901" s="18" t="str">
        <f aca="false">'SALES Raw'!G829</f>
        <v/>
      </c>
      <c r="B2901" s="18" t="str">
        <f aca="false">'SALES Raw'!B829</f>
        <v>T39 M</v>
      </c>
      <c r="C2901" s="18" t="str">
        <f aca="false">'SALES Raw'!H829</f>
        <v>T39 M</v>
      </c>
      <c r="D2901" s="19" t="n">
        <f aca="false">'SALES Raw'!C829</f>
        <v>8</v>
      </c>
      <c r="E2901" s="19" t="n">
        <f aca="false">'SALES Raw'!D829</f>
        <v>854.45</v>
      </c>
      <c r="F2901" s="19" t="n">
        <f aca="false">'SALES Raw'!E829*$H$4</f>
        <v>5.05263157894737</v>
      </c>
      <c r="G2901" s="19" t="n">
        <f aca="false">'SALES Raw'!F829*$H$4</f>
        <v>544.471578947369</v>
      </c>
      <c r="H2901" s="18" t="str">
        <f aca="false">'SALES Raw'!A829</f>
        <v>102 - Orthopedic institutes</v>
      </c>
    </row>
    <row r="2902" customFormat="false" ht="15" hidden="false" customHeight="false" outlineLevel="0" collapsed="false">
      <c r="A2902" s="18" t="n">
        <f aca="false">'SALES Raw'!G841</f>
        <v>4408078</v>
      </c>
      <c r="B2902" s="18" t="str">
        <f aca="false">'SALES Raw'!B841</f>
        <v>59L XL</v>
      </c>
      <c r="C2902" s="18" t="str">
        <f aca="false">'SALES Raw'!H841</f>
        <v>59L XLחגורת שבר לצד שמאל</v>
      </c>
      <c r="D2902" s="19" t="n">
        <f aca="false">'SALES Raw'!C841</f>
        <v>0</v>
      </c>
      <c r="E2902" s="19" t="n">
        <f aca="false">'SALES Raw'!D841</f>
        <v>0</v>
      </c>
      <c r="F2902" s="19" t="n">
        <f aca="false">'SALES Raw'!E841*$H$4</f>
        <v>5.05263157894737</v>
      </c>
      <c r="G2902" s="19" t="n">
        <f aca="false">'SALES Raw'!F841*$H$4</f>
        <v>707.381052631579</v>
      </c>
      <c r="H2902" s="18" t="str">
        <f aca="false">'SALES Raw'!A841</f>
        <v>102 - Orthopedic institutes</v>
      </c>
    </row>
    <row r="2903" customFormat="false" ht="15" hidden="false" customHeight="false" outlineLevel="0" collapsed="false">
      <c r="A2903" s="18" t="str">
        <f aca="false">'SALES Raw'!G857</f>
        <v/>
      </c>
      <c r="B2903" s="18" t="str">
        <f aca="false">'SALES Raw'!B857</f>
        <v>SH776 S</v>
      </c>
      <c r="C2903" s="18" t="str">
        <f aca="false">'SALES Raw'!H857</f>
        <v>SH776 S</v>
      </c>
      <c r="D2903" s="19" t="n">
        <f aca="false">'SALES Raw'!C857</f>
        <v>0</v>
      </c>
      <c r="E2903" s="19" t="n">
        <f aca="false">'SALES Raw'!D857</f>
        <v>0</v>
      </c>
      <c r="F2903" s="19" t="n">
        <f aca="false">'SALES Raw'!E857*$H$4</f>
        <v>5.05263157894737</v>
      </c>
      <c r="G2903" s="19" t="n">
        <f aca="false">'SALES Raw'!F857*$H$4</f>
        <v>1768.42105263158</v>
      </c>
      <c r="H2903" s="18" t="str">
        <f aca="false">'SALES Raw'!A857</f>
        <v>102 - Orthopedic institutes</v>
      </c>
    </row>
    <row r="2904" customFormat="false" ht="15" hidden="false" customHeight="false" outlineLevel="0" collapsed="false">
      <c r="A2904" s="18" t="str">
        <f aca="false">'SALES Raw'!G880</f>
        <v/>
      </c>
      <c r="B2904" s="18" t="str">
        <f aca="false">'SALES Raw'!B880</f>
        <v>61 L</v>
      </c>
      <c r="C2904" s="18" t="str">
        <f aca="false">'SALES Raw'!H880</f>
        <v>61 L</v>
      </c>
      <c r="D2904" s="19" t="n">
        <f aca="false">'SALES Raw'!C880</f>
        <v>7</v>
      </c>
      <c r="E2904" s="19" t="n">
        <f aca="false">'SALES Raw'!D880</f>
        <v>232.52</v>
      </c>
      <c r="F2904" s="19" t="n">
        <f aca="false">'SALES Raw'!E880*$H$4</f>
        <v>5.05263157894737</v>
      </c>
      <c r="G2904" s="19" t="n">
        <f aca="false">'SALES Raw'!F880*$H$4</f>
        <v>272.741052631579</v>
      </c>
      <c r="H2904" s="18" t="str">
        <f aca="false">'SALES Raw'!A880</f>
        <v>102 - Orthopedic institutes</v>
      </c>
    </row>
    <row r="2905" customFormat="false" ht="15" hidden="false" customHeight="false" outlineLevel="0" collapsed="false">
      <c r="A2905" s="18" t="str">
        <f aca="false">'SALES Raw'!G918</f>
        <v/>
      </c>
      <c r="B2905" s="18" t="str">
        <f aca="false">'SALES Raw'!B918</f>
        <v>MSG001FB 0</v>
      </c>
      <c r="C2905" s="18" t="str">
        <f aca="false">'SALES Raw'!H918</f>
        <v>MSG001FB 0</v>
      </c>
      <c r="D2905" s="19" t="n">
        <f aca="false">'SALES Raw'!C918</f>
        <v>0</v>
      </c>
      <c r="E2905" s="19" t="n">
        <f aca="false">'SALES Raw'!D918</f>
        <v>0</v>
      </c>
      <c r="F2905" s="19" t="n">
        <f aca="false">'SALES Raw'!E918*$H$4</f>
        <v>5.05263157894737</v>
      </c>
      <c r="G2905" s="19" t="n">
        <f aca="false">'SALES Raw'!F918*$H$4</f>
        <v>2652.27789473684</v>
      </c>
      <c r="H2905" s="18" t="str">
        <f aca="false">'SALES Raw'!A918</f>
        <v>102 - Orthopedic institutes</v>
      </c>
    </row>
    <row r="2906" customFormat="false" ht="15" hidden="false" customHeight="false" outlineLevel="0" collapsed="false">
      <c r="A2906" s="18" t="str">
        <f aca="false">'SALES Raw'!G921</f>
        <v/>
      </c>
      <c r="B2906" s="18" t="str">
        <f aca="false">'SALES Raw'!B921</f>
        <v>SH776 XXL</v>
      </c>
      <c r="C2906" s="18" t="str">
        <f aca="false">'SALES Raw'!H921</f>
        <v>SH776 XXL</v>
      </c>
      <c r="D2906" s="19" t="n">
        <f aca="false">'SALES Raw'!C921</f>
        <v>0</v>
      </c>
      <c r="E2906" s="19" t="n">
        <f aca="false">'SALES Raw'!D921</f>
        <v>0</v>
      </c>
      <c r="F2906" s="19" t="n">
        <f aca="false">'SALES Raw'!E921*$H$4</f>
        <v>5.05263157894737</v>
      </c>
      <c r="G2906" s="19" t="n">
        <f aca="false">'SALES Raw'!F921*$H$4</f>
        <v>1768.42105263158</v>
      </c>
      <c r="H2906" s="18" t="str">
        <f aca="false">'SALES Raw'!A921</f>
        <v>102 - Orthopedic institutes</v>
      </c>
    </row>
    <row r="2907" customFormat="false" ht="15" hidden="false" customHeight="false" outlineLevel="0" collapsed="false">
      <c r="A2907" s="18" t="n">
        <f aca="false">'SALES Raw'!G931</f>
        <v>4413094</v>
      </c>
      <c r="B2907" s="18" t="str">
        <f aca="false">'SALES Raw'!B931</f>
        <v>45 S</v>
      </c>
      <c r="C2907" s="18" t="str">
        <f aca="false">'SALES Raw'!H931</f>
        <v>45 S מגן ברך לבן</v>
      </c>
      <c r="D2907" s="19" t="n">
        <f aca="false">'SALES Raw'!C931</f>
        <v>10</v>
      </c>
      <c r="E2907" s="19" t="n">
        <f aca="false">'SALES Raw'!D931</f>
        <v>304.83</v>
      </c>
      <c r="F2907" s="19" t="n">
        <f aca="false">'SALES Raw'!E931*$H$4</f>
        <v>5.05263157894737</v>
      </c>
      <c r="G2907" s="19" t="n">
        <f aca="false">'SALES Raw'!F931*$H$4</f>
        <v>156.075789473684</v>
      </c>
      <c r="H2907" s="18" t="str">
        <f aca="false">'SALES Raw'!A931</f>
        <v>102 - Orthopedic institutes</v>
      </c>
    </row>
    <row r="2908" customFormat="false" ht="15" hidden="false" customHeight="false" outlineLevel="0" collapsed="false">
      <c r="A2908" s="18" t="str">
        <f aca="false">'SALES Raw'!G948</f>
        <v/>
      </c>
      <c r="B2908" s="18" t="str">
        <f aca="false">'SALES Raw'!B948</f>
        <v>18 L</v>
      </c>
      <c r="C2908" s="18" t="str">
        <f aca="false">'SALES Raw'!H948</f>
        <v>18 L</v>
      </c>
      <c r="D2908" s="19" t="n">
        <f aca="false">'SALES Raw'!C948</f>
        <v>2</v>
      </c>
      <c r="E2908" s="19" t="n">
        <f aca="false">'SALES Raw'!D948</f>
        <v>536.06</v>
      </c>
      <c r="F2908" s="19" t="n">
        <f aca="false">'SALES Raw'!E948*$H$4</f>
        <v>5.05263157894737</v>
      </c>
      <c r="G2908" s="19" t="n">
        <f aca="false">'SALES Raw'!F948*$H$4</f>
        <v>1354.08</v>
      </c>
      <c r="H2908" s="18" t="str">
        <f aca="false">'SALES Raw'!A948</f>
        <v>102 - Orthopedic institutes</v>
      </c>
    </row>
    <row r="2909" customFormat="false" ht="15" hidden="false" customHeight="false" outlineLevel="0" collapsed="false">
      <c r="A2909" s="18" t="str">
        <f aca="false">'SALES Raw'!G961</f>
        <v/>
      </c>
      <c r="B2909" s="18" t="str">
        <f aca="false">'SALES Raw'!B961</f>
        <v>61 S</v>
      </c>
      <c r="C2909" s="18" t="str">
        <f aca="false">'SALES Raw'!H961</f>
        <v>61 S</v>
      </c>
      <c r="D2909" s="19" t="n">
        <f aca="false">'SALES Raw'!C961</f>
        <v>8</v>
      </c>
      <c r="E2909" s="19" t="n">
        <f aca="false">'SALES Raw'!D961</f>
        <v>287.66</v>
      </c>
      <c r="F2909" s="19" t="n">
        <f aca="false">'SALES Raw'!E961*$H$4</f>
        <v>5.05263157894737</v>
      </c>
      <c r="G2909" s="19" t="n">
        <f aca="false">'SALES Raw'!F961*$H$4</f>
        <v>220.686315789474</v>
      </c>
      <c r="H2909" s="18" t="str">
        <f aca="false">'SALES Raw'!A961</f>
        <v>102 - Orthopedic institutes</v>
      </c>
    </row>
    <row r="2910" customFormat="false" ht="15" hidden="false" customHeight="false" outlineLevel="0" collapsed="false">
      <c r="A2910" s="18" t="n">
        <f aca="false">'SALES Raw'!G980</f>
        <v>4413407</v>
      </c>
      <c r="B2910" s="18" t="str">
        <f aca="false">'SALES Raw'!B980</f>
        <v>SC95 L</v>
      </c>
      <c r="C2910" s="18" t="str">
        <f aca="false">'SALES Raw'!H980</f>
        <v>SC95 L מגן מרפק</v>
      </c>
      <c r="D2910" s="19" t="n">
        <f aca="false">'SALES Raw'!C980</f>
        <v>5</v>
      </c>
      <c r="E2910" s="19" t="n">
        <f aca="false">'SALES Raw'!D980</f>
        <v>401.15</v>
      </c>
      <c r="F2910" s="19" t="n">
        <f aca="false">'SALES Raw'!E980*$H$4</f>
        <v>5.05263157894737</v>
      </c>
      <c r="G2910" s="19" t="n">
        <f aca="false">'SALES Raw'!F980*$H$4</f>
        <v>473.28</v>
      </c>
      <c r="H2910" s="18" t="str">
        <f aca="false">'SALES Raw'!A980</f>
        <v>102 - Orthopedic institutes</v>
      </c>
    </row>
    <row r="2911" customFormat="false" ht="15" hidden="false" customHeight="false" outlineLevel="0" collapsed="false">
      <c r="A2911" s="18" t="n">
        <f aca="false">'SALES Raw'!G985</f>
        <v>4413180</v>
      </c>
      <c r="B2911" s="18" t="str">
        <f aca="false">'SALES Raw'!B985</f>
        <v>T39 S</v>
      </c>
      <c r="C2911" s="18" t="str">
        <f aca="false">'SALES Raw'!H985</f>
        <v>T39  S מגן שוק</v>
      </c>
      <c r="D2911" s="19" t="n">
        <f aca="false">'SALES Raw'!C985</f>
        <v>2</v>
      </c>
      <c r="E2911" s="19" t="n">
        <f aca="false">'SALES Raw'!D985</f>
        <v>211.72</v>
      </c>
      <c r="F2911" s="19" t="n">
        <f aca="false">'SALES Raw'!E985*$H$4</f>
        <v>5.05263157894737</v>
      </c>
      <c r="G2911" s="19" t="n">
        <f aca="false">'SALES Raw'!F985*$H$4</f>
        <v>544.471578947369</v>
      </c>
      <c r="H2911" s="18" t="str">
        <f aca="false">'SALES Raw'!A985</f>
        <v>102 - Orthopedic institutes</v>
      </c>
    </row>
    <row r="2912" customFormat="false" ht="15" hidden="false" customHeight="false" outlineLevel="0" collapsed="false">
      <c r="A2912" s="18" t="n">
        <f aca="false">'SALES Raw'!G1021</f>
        <v>4413416</v>
      </c>
      <c r="B2912" s="18" t="str">
        <f aca="false">'SALES Raw'!B1021</f>
        <v>SC39 M</v>
      </c>
      <c r="C2912" s="18" t="str">
        <f aca="false">'SALES Raw'!H1021</f>
        <v>SC39  M מגן שוק</v>
      </c>
      <c r="D2912" s="19" t="n">
        <f aca="false">'SALES Raw'!C1021</f>
        <v>5</v>
      </c>
      <c r="E2912" s="19" t="n">
        <f aca="false">'SALES Raw'!D1021</f>
        <v>801.36</v>
      </c>
      <c r="F2912" s="19" t="n">
        <f aca="false">'SALES Raw'!E1021*$H$4</f>
        <v>5.05263157894737</v>
      </c>
      <c r="G2912" s="19" t="n">
        <f aca="false">'SALES Raw'!F1021*$H$4</f>
        <v>828.732631578947</v>
      </c>
      <c r="H2912" s="18" t="str">
        <f aca="false">'SALES Raw'!A1021</f>
        <v>102 - Orthopedic institutes</v>
      </c>
    </row>
    <row r="2913" customFormat="false" ht="15" hidden="false" customHeight="false" outlineLevel="0" collapsed="false">
      <c r="A2913" s="18" t="n">
        <f aca="false">'SALES Raw'!G1035</f>
        <v>4413490</v>
      </c>
      <c r="B2913" s="18" t="str">
        <f aca="false">'SALES Raw'!B1035</f>
        <v>35B L</v>
      </c>
      <c r="C2913" s="18" t="str">
        <f aca="false">'SALES Raw'!H1035</f>
        <v>35B L מגן קרסול שחור</v>
      </c>
      <c r="D2913" s="19" t="n">
        <f aca="false">'SALES Raw'!C1035</f>
        <v>8</v>
      </c>
      <c r="E2913" s="19" t="n">
        <f aca="false">'SALES Raw'!D1035</f>
        <v>235.24</v>
      </c>
      <c r="F2913" s="19" t="n">
        <f aca="false">'SALES Raw'!E1035*$H$4</f>
        <v>5.05263157894737</v>
      </c>
      <c r="G2913" s="19" t="n">
        <f aca="false">'SALES Raw'!F1035*$H$4</f>
        <v>156.088421052632</v>
      </c>
      <c r="H2913" s="18" t="str">
        <f aca="false">'SALES Raw'!A1035</f>
        <v>102 - Orthopedic institutes</v>
      </c>
    </row>
    <row r="2914" customFormat="false" ht="15" hidden="false" customHeight="false" outlineLevel="0" collapsed="false">
      <c r="A2914" s="18" t="str">
        <f aca="false">'SALES Raw'!G1195</f>
        <v/>
      </c>
      <c r="B2914" s="18" t="str">
        <f aca="false">'SALES Raw'!B1195</f>
        <v>11UG M</v>
      </c>
      <c r="C2914" s="18" t="str">
        <f aca="false">'SALES Raw'!H1195</f>
        <v>11UG M</v>
      </c>
      <c r="D2914" s="19" t="n">
        <f aca="false">'SALES Raw'!C1195</f>
        <v>0</v>
      </c>
      <c r="E2914" s="19" t="n">
        <f aca="false">'SALES Raw'!D1195</f>
        <v>0</v>
      </c>
      <c r="F2914" s="19" t="n">
        <f aca="false">'SALES Raw'!E1195*$H$4</f>
        <v>5.05263157894737</v>
      </c>
      <c r="G2914" s="19" t="n">
        <f aca="false">'SALES Raw'!F1195*$H$4</f>
        <v>486.063157894737</v>
      </c>
      <c r="H2914" s="18" t="str">
        <f aca="false">'SALES Raw'!A1195</f>
        <v>103 - Physiotherapy institutes</v>
      </c>
    </row>
    <row r="2915" customFormat="false" ht="15" hidden="false" customHeight="false" outlineLevel="0" collapsed="false">
      <c r="A2915" s="18" t="n">
        <f aca="false">'SALES Raw'!G1198</f>
        <v>4411017</v>
      </c>
      <c r="B2915" s="18" t="str">
        <f aca="false">'SALES Raw'!B1198</f>
        <v>211 L</v>
      </c>
      <c r="C2915" s="18" t="str">
        <f aca="false">'SALES Raw'!H1198</f>
        <v>211L כפפות לחץ</v>
      </c>
      <c r="D2915" s="19" t="n">
        <f aca="false">'SALES Raw'!C1198</f>
        <v>2</v>
      </c>
      <c r="E2915" s="19" t="n">
        <f aca="false">'SALES Raw'!D1198</f>
        <v>65.5</v>
      </c>
      <c r="F2915" s="19" t="n">
        <f aca="false">'SALES Raw'!E1198*$H$4</f>
        <v>5.05263157894737</v>
      </c>
      <c r="G2915" s="19" t="n">
        <f aca="false">'SALES Raw'!F1198*$H$4</f>
        <v>170.311578947368</v>
      </c>
      <c r="H2915" s="18" t="str">
        <f aca="false">'SALES Raw'!A1198</f>
        <v>103 - Physiotherapy institutes</v>
      </c>
    </row>
    <row r="2916" customFormat="false" ht="15" hidden="false" customHeight="false" outlineLevel="0" collapsed="false">
      <c r="A2916" s="18" t="n">
        <f aca="false">'SALES Raw'!G1199</f>
        <v>4411018</v>
      </c>
      <c r="B2916" s="18" t="str">
        <f aca="false">'SALES Raw'!B1199</f>
        <v>211 M</v>
      </c>
      <c r="C2916" s="18" t="str">
        <f aca="false">'SALES Raw'!H1199</f>
        <v>211M כפפות לחץ</v>
      </c>
      <c r="D2916" s="19" t="n">
        <f aca="false">'SALES Raw'!C1199</f>
        <v>2</v>
      </c>
      <c r="E2916" s="19" t="n">
        <f aca="false">'SALES Raw'!D1199</f>
        <v>65.5</v>
      </c>
      <c r="F2916" s="19" t="n">
        <f aca="false">'SALES Raw'!E1199*$H$4</f>
        <v>5.05263157894737</v>
      </c>
      <c r="G2916" s="19" t="n">
        <f aca="false">'SALES Raw'!F1199*$H$4</f>
        <v>170.311578947368</v>
      </c>
      <c r="H2916" s="18" t="str">
        <f aca="false">'SALES Raw'!A1199</f>
        <v>103 - Physiotherapy institutes</v>
      </c>
    </row>
    <row r="2917" customFormat="false" ht="15" hidden="false" customHeight="false" outlineLevel="0" collapsed="false">
      <c r="A2917" s="18" t="n">
        <f aca="false">'SALES Raw'!G1201</f>
        <v>4411020</v>
      </c>
      <c r="B2917" s="18" t="str">
        <f aca="false">'SALES Raw'!B1201</f>
        <v>211 XL</v>
      </c>
      <c r="C2917" s="18" t="str">
        <f aca="false">'SALES Raw'!H1201</f>
        <v>211XL כפפות לחץ</v>
      </c>
      <c r="D2917" s="19" t="n">
        <f aca="false">'SALES Raw'!C1201</f>
        <v>2</v>
      </c>
      <c r="E2917" s="19" t="n">
        <f aca="false">'SALES Raw'!D1201</f>
        <v>65.5</v>
      </c>
      <c r="F2917" s="19" t="n">
        <f aca="false">'SALES Raw'!E1201*$H$4</f>
        <v>5.05263157894737</v>
      </c>
      <c r="G2917" s="19" t="n">
        <f aca="false">'SALES Raw'!F1201*$H$4</f>
        <v>170.311578947368</v>
      </c>
      <c r="H2917" s="18" t="str">
        <f aca="false">'SALES Raw'!A1201</f>
        <v>103 - Physiotherapy institutes</v>
      </c>
    </row>
    <row r="2918" customFormat="false" ht="15" hidden="false" customHeight="false" outlineLevel="0" collapsed="false">
      <c r="A2918" s="18" t="n">
        <f aca="false">'SALES Raw'!G1202</f>
        <v>4411021</v>
      </c>
      <c r="B2918" s="18" t="str">
        <f aca="false">'SALES Raw'!B1202</f>
        <v>212 L</v>
      </c>
      <c r="C2918" s="18" t="str">
        <f aca="false">'SALES Raw'!H1202</f>
        <v>212L כפפות אגודל לחץ</v>
      </c>
      <c r="D2918" s="19" t="n">
        <f aca="false">'SALES Raw'!C1202</f>
        <v>1</v>
      </c>
      <c r="E2918" s="19" t="n">
        <f aca="false">'SALES Raw'!D1202</f>
        <v>34.49</v>
      </c>
      <c r="F2918" s="19" t="n">
        <f aca="false">'SALES Raw'!E1202*$H$4</f>
        <v>5.05263157894737</v>
      </c>
      <c r="G2918" s="19" t="n">
        <f aca="false">'SALES Raw'!F1202*$H$4</f>
        <v>180.96</v>
      </c>
      <c r="H2918" s="18" t="str">
        <f aca="false">'SALES Raw'!A1202</f>
        <v>103 - Physiotherapy institutes</v>
      </c>
    </row>
    <row r="2919" customFormat="false" ht="15" hidden="false" customHeight="false" outlineLevel="0" collapsed="false">
      <c r="A2919" s="18" t="n">
        <f aca="false">'SALES Raw'!G1203</f>
        <v>4411022</v>
      </c>
      <c r="B2919" s="18" t="str">
        <f aca="false">'SALES Raw'!B1203</f>
        <v>212 M</v>
      </c>
      <c r="C2919" s="18" t="str">
        <f aca="false">'SALES Raw'!H1203</f>
        <v>212M כפפות אגודל לחץ</v>
      </c>
      <c r="D2919" s="19" t="n">
        <f aca="false">'SALES Raw'!C1203</f>
        <v>1</v>
      </c>
      <c r="E2919" s="19" t="n">
        <f aca="false">'SALES Raw'!D1203</f>
        <v>34.49</v>
      </c>
      <c r="F2919" s="19" t="n">
        <f aca="false">'SALES Raw'!E1203*$H$4</f>
        <v>5.05263157894737</v>
      </c>
      <c r="G2919" s="19" t="n">
        <f aca="false">'SALES Raw'!F1203*$H$4</f>
        <v>180.96</v>
      </c>
      <c r="H2919" s="18" t="str">
        <f aca="false">'SALES Raw'!A1203</f>
        <v>103 - Physiotherapy institutes</v>
      </c>
    </row>
    <row r="2920" customFormat="false" ht="15" hidden="false" customHeight="false" outlineLevel="0" collapsed="false">
      <c r="A2920" s="18" t="n">
        <f aca="false">'SALES Raw'!G1207</f>
        <v>4415162</v>
      </c>
      <c r="B2920" s="18" t="str">
        <f aca="false">'SALES Raw'!B1207</f>
        <v>238 L</v>
      </c>
      <c r="C2920" s="18" t="str">
        <f aca="false">'SALES Raw'!H1207</f>
        <v>238L סד ליישור אצבע</v>
      </c>
      <c r="D2920" s="19" t="n">
        <f aca="false">'SALES Raw'!C1207</f>
        <v>6</v>
      </c>
      <c r="E2920" s="19" t="n">
        <f aca="false">'SALES Raw'!D1207</f>
        <v>116.28</v>
      </c>
      <c r="F2920" s="19" t="n">
        <f aca="false">'SALES Raw'!E1207*$H$4</f>
        <v>5.05263157894737</v>
      </c>
      <c r="G2920" s="19" t="n">
        <f aca="false">'SALES Raw'!F1207*$H$4</f>
        <v>101.608421052632</v>
      </c>
      <c r="H2920" s="18" t="str">
        <f aca="false">'SALES Raw'!A1207</f>
        <v>103 - Physiotherapy institutes</v>
      </c>
    </row>
    <row r="2921" customFormat="false" ht="15" hidden="false" customHeight="false" outlineLevel="0" collapsed="false">
      <c r="A2921" s="18" t="n">
        <f aca="false">'SALES Raw'!G1209</f>
        <v>4415160</v>
      </c>
      <c r="B2921" s="18" t="str">
        <f aca="false">'SALES Raw'!B1209</f>
        <v>238 S</v>
      </c>
      <c r="C2921" s="18" t="str">
        <f aca="false">'SALES Raw'!H1209</f>
        <v>238S סד ליישור אצבע</v>
      </c>
      <c r="D2921" s="19" t="n">
        <f aca="false">'SALES Raw'!C1209</f>
        <v>5</v>
      </c>
      <c r="E2921" s="19" t="n">
        <f aca="false">'SALES Raw'!D1209</f>
        <v>100.5</v>
      </c>
      <c r="F2921" s="19" t="n">
        <f aca="false">'SALES Raw'!E1209*$H$4</f>
        <v>5.05263157894737</v>
      </c>
      <c r="G2921" s="19" t="n">
        <f aca="false">'SALES Raw'!F1209*$H$4</f>
        <v>101.583157894737</v>
      </c>
      <c r="H2921" s="18" t="str">
        <f aca="false">'SALES Raw'!A1209</f>
        <v>103 - Physiotherapy institutes</v>
      </c>
    </row>
    <row r="2922" customFormat="false" ht="15" hidden="false" customHeight="false" outlineLevel="0" collapsed="false">
      <c r="A2922" s="18" t="n">
        <f aca="false">'SALES Raw'!G1219</f>
        <v>4403040</v>
      </c>
      <c r="B2922" s="18" t="str">
        <f aca="false">'SALES Raw'!B1219</f>
        <v>3444B 0</v>
      </c>
      <c r="C2922" s="18" t="str">
        <f aca="false">'SALES Raw'!H1219</f>
        <v>3444B גרבי ג'ל לריכוך עור העקב</v>
      </c>
      <c r="D2922" s="19" t="n">
        <f aca="false">'SALES Raw'!C1219</f>
        <v>2</v>
      </c>
      <c r="E2922" s="19" t="n">
        <f aca="false">'SALES Raw'!D1219</f>
        <v>74.91</v>
      </c>
      <c r="F2922" s="19" t="n">
        <f aca="false">'SALES Raw'!E1219*$H$4</f>
        <v>5.05263157894737</v>
      </c>
      <c r="G2922" s="19" t="n">
        <f aca="false">'SALES Raw'!F1219*$H$4</f>
        <v>189.246315789474</v>
      </c>
      <c r="H2922" s="18" t="str">
        <f aca="false">'SALES Raw'!A1219</f>
        <v>103 - Physiotherapy institutes</v>
      </c>
    </row>
    <row r="2923" customFormat="false" ht="15" hidden="false" customHeight="false" outlineLevel="0" collapsed="false">
      <c r="A2923" s="18" t="n">
        <f aca="false">'SALES Raw'!G1247</f>
        <v>4408206</v>
      </c>
      <c r="B2923" s="18" t="str">
        <f aca="false">'SALES Raw'!B1247</f>
        <v>AC11 0</v>
      </c>
      <c r="C2923" s="18" t="str">
        <f aca="false">'SALES Raw'!H1247</f>
        <v>AC-11 חגורת בטן קלה</v>
      </c>
      <c r="D2923" s="19" t="n">
        <f aca="false">'SALES Raw'!C1247</f>
        <v>0</v>
      </c>
      <c r="E2923" s="19" t="n">
        <f aca="false">'SALES Raw'!D1247</f>
        <v>0</v>
      </c>
      <c r="F2923" s="19" t="n">
        <f aca="false">'SALES Raw'!E1247*$H$4</f>
        <v>5.05263157894737</v>
      </c>
      <c r="G2923" s="19" t="n">
        <f aca="false">'SALES Raw'!F1247*$H$4</f>
        <v>371.595789473684</v>
      </c>
      <c r="H2923" s="18" t="str">
        <f aca="false">'SALES Raw'!A1247</f>
        <v>103 - Physiotherapy institutes</v>
      </c>
    </row>
    <row r="2924" customFormat="false" ht="15" hidden="false" customHeight="false" outlineLevel="0" collapsed="false">
      <c r="A2924" s="18" t="n">
        <f aca="false">'SALES Raw'!G1271</f>
        <v>4403043</v>
      </c>
      <c r="B2924" s="18" t="str">
        <f aca="false">'SALES Raw'!B1271</f>
        <v>397A-43-46</v>
      </c>
      <c r="C2924" s="18" t="str">
        <f aca="false">'SALES Raw'!H1271</f>
        <v>397A-גרבי טיסה אנטי בקטרי43-46</v>
      </c>
      <c r="D2924" s="19" t="n">
        <f aca="false">'SALES Raw'!C1271</f>
        <v>0</v>
      </c>
      <c r="E2924" s="19" t="n">
        <f aca="false">'SALES Raw'!D1271</f>
        <v>0</v>
      </c>
      <c r="F2924" s="19" t="n">
        <f aca="false">'SALES Raw'!E1271*$H$4</f>
        <v>5.05263157894737</v>
      </c>
      <c r="G2924" s="19" t="n">
        <f aca="false">'SALES Raw'!F1271*$H$4</f>
        <v>319.490526315789</v>
      </c>
      <c r="H2924" s="18" t="str">
        <f aca="false">'SALES Raw'!A1271</f>
        <v>103 - Physiotherapy institutes</v>
      </c>
    </row>
    <row r="2925" customFormat="false" ht="15" hidden="false" customHeight="false" outlineLevel="0" collapsed="false">
      <c r="A2925" s="18" t="n">
        <f aca="false">'SALES Raw'!G1313</f>
        <v>4413518</v>
      </c>
      <c r="B2925" s="18" t="str">
        <f aca="false">'SALES Raw'!B1313</f>
        <v>85B XL</v>
      </c>
      <c r="C2925" s="18" t="str">
        <f aca="false">'SALES Raw'!H1313</f>
        <v>85B XL מתלה רשת לזרוע שחור</v>
      </c>
      <c r="D2925" s="19" t="n">
        <f aca="false">'SALES Raw'!C1313</f>
        <v>8</v>
      </c>
      <c r="E2925" s="19" t="n">
        <f aca="false">'SALES Raw'!D1313</f>
        <v>424.95</v>
      </c>
      <c r="F2925" s="19" t="n">
        <f aca="false">'SALES Raw'!E1313*$H$4</f>
        <v>5.05263157894737</v>
      </c>
      <c r="G2925" s="19" t="n">
        <f aca="false">'SALES Raw'!F1313*$H$4</f>
        <v>286.332631578947</v>
      </c>
      <c r="H2925" s="18" t="str">
        <f aca="false">'SALES Raw'!A1313</f>
        <v>103 - Physiotherapy institutes</v>
      </c>
    </row>
    <row r="2926" customFormat="false" ht="15" hidden="false" customHeight="false" outlineLevel="0" collapsed="false">
      <c r="A2926" s="18" t="n">
        <f aca="false">'SALES Raw'!G1344</f>
        <v>4408054</v>
      </c>
      <c r="B2926" s="18" t="str">
        <f aca="false">'SALES Raw'!B1344</f>
        <v>21 XL</v>
      </c>
      <c r="C2926" s="18" t="str">
        <f aca="false">'SALES Raw'!H1344</f>
        <v>21 XL חבק יד ארוך</v>
      </c>
      <c r="D2926" s="19" t="n">
        <f aca="false">'SALES Raw'!C1344</f>
        <v>4</v>
      </c>
      <c r="E2926" s="19" t="n">
        <f aca="false">'SALES Raw'!D1344</f>
        <v>153.88</v>
      </c>
      <c r="F2926" s="19" t="n">
        <f aca="false">'SALES Raw'!E1344*$H$4</f>
        <v>5.05263157894737</v>
      </c>
      <c r="G2926" s="19" t="n">
        <f aca="false">'SALES Raw'!F1344*$H$4</f>
        <v>201.056842105263</v>
      </c>
      <c r="H2926" s="18" t="str">
        <f aca="false">'SALES Raw'!A1344</f>
        <v>103 - Physiotherapy institutes</v>
      </c>
    </row>
    <row r="2927" customFormat="false" ht="15" hidden="false" customHeight="false" outlineLevel="0" collapsed="false">
      <c r="A2927" s="18" t="n">
        <f aca="false">'SALES Raw'!G1379</f>
        <v>4413043</v>
      </c>
      <c r="B2927" s="18" t="str">
        <f aca="false">'SALES Raw'!B1379</f>
        <v>34 L</v>
      </c>
      <c r="C2927" s="18" t="str">
        <f aca="false">'SALES Raw'!H1379</f>
        <v>34  L מגן קרסול עקב סגור</v>
      </c>
      <c r="D2927" s="19" t="n">
        <f aca="false">'SALES Raw'!C1379</f>
        <v>1</v>
      </c>
      <c r="E2927" s="19" t="n">
        <f aca="false">'SALES Raw'!D1379</f>
        <v>40.58</v>
      </c>
      <c r="F2927" s="19" t="n">
        <f aca="false">'SALES Raw'!E1379*$H$4</f>
        <v>5.05263157894737</v>
      </c>
      <c r="G2927" s="19" t="n">
        <f aca="false">'SALES Raw'!F1379*$H$4</f>
        <v>220.8</v>
      </c>
      <c r="H2927" s="18" t="str">
        <f aca="false">'SALES Raw'!A1379</f>
        <v>103 - Physiotherapy institutes</v>
      </c>
    </row>
    <row r="2928" customFormat="false" ht="15" hidden="false" customHeight="false" outlineLevel="0" collapsed="false">
      <c r="A2928" s="18" t="n">
        <f aca="false">'SALES Raw'!G1387</f>
        <v>4413491</v>
      </c>
      <c r="B2928" s="18" t="str">
        <f aca="false">'SALES Raw'!B1387</f>
        <v>35B XL</v>
      </c>
      <c r="C2928" s="18" t="str">
        <f aca="false">'SALES Raw'!H1387</f>
        <v>35B XL מגן קרסול שחור</v>
      </c>
      <c r="D2928" s="19" t="n">
        <f aca="false">'SALES Raw'!C1387</f>
        <v>6</v>
      </c>
      <c r="E2928" s="19" t="n">
        <f aca="false">'SALES Raw'!D1387</f>
        <v>168.88</v>
      </c>
      <c r="F2928" s="19" t="n">
        <f aca="false">'SALES Raw'!E1387*$H$4</f>
        <v>5.05263157894737</v>
      </c>
      <c r="G2928" s="19" t="n">
        <f aca="false">'SALES Raw'!F1387*$H$4</f>
        <v>135.271578947368</v>
      </c>
      <c r="H2928" s="18" t="str">
        <f aca="false">'SALES Raw'!A1387</f>
        <v>103 - Physiotherapy institutes</v>
      </c>
    </row>
    <row r="2929" customFormat="false" ht="15" hidden="false" customHeight="false" outlineLevel="0" collapsed="false">
      <c r="A2929" s="18" t="n">
        <f aca="false">'SALES Raw'!G1388</f>
        <v>4421007</v>
      </c>
      <c r="B2929" s="18" t="str">
        <f aca="false">'SALES Raw'!B1388</f>
        <v>350 0</v>
      </c>
      <c r="C2929" s="18" t="str">
        <f aca="false">'SALES Raw'!H1388</f>
        <v>שרוול לגבס קצר רגל</v>
      </c>
      <c r="D2929" s="19" t="n">
        <f aca="false">'SALES Raw'!C1388</f>
        <v>2</v>
      </c>
      <c r="E2929" s="19" t="n">
        <f aca="false">'SALES Raw'!D1388</f>
        <v>89.89</v>
      </c>
      <c r="F2929" s="19" t="n">
        <f aca="false">'SALES Raw'!E1388*$H$4</f>
        <v>5.05263157894737</v>
      </c>
      <c r="G2929" s="19" t="n">
        <f aca="false">'SALES Raw'!F1388*$H$4</f>
        <v>196.825263157895</v>
      </c>
      <c r="H2929" s="18" t="str">
        <f aca="false">'SALES Raw'!A1388</f>
        <v>103 - Physiotherapy institutes</v>
      </c>
    </row>
    <row r="2930" customFormat="false" ht="15" hidden="false" customHeight="false" outlineLevel="0" collapsed="false">
      <c r="A2930" s="18" t="str">
        <f aca="false">'SALES Raw'!G1394</f>
        <v/>
      </c>
      <c r="B2930" s="18" t="str">
        <f aca="false">'SALES Raw'!B1394</f>
        <v>364XL+ 0</v>
      </c>
      <c r="C2930" s="18" t="str">
        <f aca="false">'SALES Raw'!H1394</f>
        <v>364XL+ 0</v>
      </c>
      <c r="D2930" s="19" t="n">
        <f aca="false">'SALES Raw'!C1394</f>
        <v>0</v>
      </c>
      <c r="E2930" s="19" t="n">
        <f aca="false">'SALES Raw'!D1394</f>
        <v>0</v>
      </c>
      <c r="F2930" s="19" t="n">
        <f aca="false">'SALES Raw'!E1394*$H$4</f>
        <v>5.05263157894737</v>
      </c>
      <c r="G2930" s="19" t="n">
        <f aca="false">'SALES Raw'!F1394*$H$4</f>
        <v>63.4231578947368</v>
      </c>
      <c r="H2930" s="18" t="str">
        <f aca="false">'SALES Raw'!A1394</f>
        <v>103 - Physiotherapy institutes</v>
      </c>
    </row>
    <row r="2931" customFormat="false" ht="15" hidden="false" customHeight="false" outlineLevel="0" collapsed="false">
      <c r="A2931" s="18" t="n">
        <f aca="false">'SALES Raw'!G1400</f>
        <v>4413370</v>
      </c>
      <c r="B2931" s="18" t="str">
        <f aca="false">'SALES Raw'!B1400</f>
        <v>3674 0</v>
      </c>
      <c r="C2931" s="18" t="str">
        <f aca="false">'SALES Raw'!H1400</f>
        <v>3674 0 מ.בוניון+מפריד אצבע</v>
      </c>
      <c r="D2931" s="19" t="n">
        <f aca="false">'SALES Raw'!C1400</f>
        <v>5</v>
      </c>
      <c r="E2931" s="19" t="n">
        <f aca="false">'SALES Raw'!D1400</f>
        <v>185.24</v>
      </c>
      <c r="F2931" s="19" t="n">
        <f aca="false">'SALES Raw'!E1400*$H$4</f>
        <v>5.05263157894737</v>
      </c>
      <c r="G2931" s="19" t="n">
        <f aca="false">'SALES Raw'!F1400*$H$4</f>
        <v>203.456842105263</v>
      </c>
      <c r="H2931" s="18" t="str">
        <f aca="false">'SALES Raw'!A1400</f>
        <v>103 - Physiotherapy institutes</v>
      </c>
    </row>
    <row r="2932" customFormat="false" ht="15" hidden="false" customHeight="false" outlineLevel="0" collapsed="false">
      <c r="A2932" s="18" t="n">
        <f aca="false">'SALES Raw'!G1415</f>
        <v>4413495</v>
      </c>
      <c r="B2932" s="18" t="str">
        <f aca="false">'SALES Raw'!B1415</f>
        <v>45B L</v>
      </c>
      <c r="C2932" s="18" t="str">
        <f aca="false">'SALES Raw'!H1415</f>
        <v>45B L מגן ברך שחור</v>
      </c>
      <c r="D2932" s="19" t="n">
        <f aca="false">'SALES Raw'!C1415</f>
        <v>11</v>
      </c>
      <c r="E2932" s="19" t="n">
        <f aca="false">'SALES Raw'!D1415</f>
        <v>275.77</v>
      </c>
      <c r="F2932" s="19" t="n">
        <f aca="false">'SALES Raw'!E1415*$H$4</f>
        <v>5.05263157894737</v>
      </c>
      <c r="G2932" s="19" t="n">
        <f aca="false">'SALES Raw'!F1415*$H$4</f>
        <v>156.088421052632</v>
      </c>
      <c r="H2932" s="18" t="str">
        <f aca="false">'SALES Raw'!A1415</f>
        <v>103 - Physiotherapy institutes</v>
      </c>
    </row>
    <row r="2933" customFormat="false" ht="15" hidden="false" customHeight="false" outlineLevel="0" collapsed="false">
      <c r="A2933" s="18" t="n">
        <f aca="false">'SALES Raw'!G1416</f>
        <v>4413497</v>
      </c>
      <c r="B2933" s="18" t="str">
        <f aca="false">'SALES Raw'!B1416</f>
        <v>45B M</v>
      </c>
      <c r="C2933" s="18" t="str">
        <f aca="false">'SALES Raw'!H1416</f>
        <v>45B M מגן ברך שחור</v>
      </c>
      <c r="D2933" s="19" t="n">
        <f aca="false">'SALES Raw'!C1416</f>
        <v>7</v>
      </c>
      <c r="E2933" s="19" t="n">
        <f aca="false">'SALES Raw'!D1416</f>
        <v>160.44</v>
      </c>
      <c r="F2933" s="19" t="n">
        <f aca="false">'SALES Raw'!E1416*$H$4</f>
        <v>5.05263157894737</v>
      </c>
      <c r="G2933" s="19" t="n">
        <f aca="false">'SALES Raw'!F1416*$H$4</f>
        <v>156.088421052632</v>
      </c>
      <c r="H2933" s="18" t="str">
        <f aca="false">'SALES Raw'!A1416</f>
        <v>103 - Physiotherapy institutes</v>
      </c>
    </row>
    <row r="2934" customFormat="false" ht="15" hidden="false" customHeight="false" outlineLevel="0" collapsed="false">
      <c r="A2934" s="18" t="str">
        <f aca="false">'SALES Raw'!G1424</f>
        <v/>
      </c>
      <c r="B2934" s="18" t="str">
        <f aca="false">'SALES Raw'!B1424</f>
        <v>84-L-XXL</v>
      </c>
      <c r="C2934" s="18" t="str">
        <f aca="false">'SALES Raw'!H1424</f>
        <v>84-L-XXL</v>
      </c>
      <c r="D2934" s="19" t="n">
        <f aca="false">'SALES Raw'!C1424</f>
        <v>2</v>
      </c>
      <c r="E2934" s="19" t="n">
        <f aca="false">'SALES Raw'!D1424</f>
        <v>262.07</v>
      </c>
      <c r="F2934" s="19" t="n">
        <f aca="false">'SALES Raw'!E1424*$H$4</f>
        <v>5.05263157894737</v>
      </c>
      <c r="G2934" s="19" t="n">
        <f aca="false">'SALES Raw'!F1424*$H$4</f>
        <v>615.562105263158</v>
      </c>
      <c r="H2934" s="18" t="str">
        <f aca="false">'SALES Raw'!A1424</f>
        <v>103 - Physiotherapy institutes</v>
      </c>
    </row>
    <row r="2935" customFormat="false" ht="15" hidden="false" customHeight="false" outlineLevel="0" collapsed="false">
      <c r="A2935" s="18" t="n">
        <f aca="false">'SALES Raw'!G1427</f>
        <v>4413519</v>
      </c>
      <c r="B2935" s="18" t="str">
        <f aca="false">'SALES Raw'!B1427</f>
        <v>85B S</v>
      </c>
      <c r="C2935" s="18" t="str">
        <f aca="false">'SALES Raw'!H1427</f>
        <v>85B S מתלה רשת לזרוע שחור</v>
      </c>
      <c r="D2935" s="19" t="n">
        <f aca="false">'SALES Raw'!C1427</f>
        <v>2</v>
      </c>
      <c r="E2935" s="19" t="n">
        <f aca="false">'SALES Raw'!D1427</f>
        <v>84.93</v>
      </c>
      <c r="F2935" s="19" t="n">
        <f aca="false">'SALES Raw'!E1427*$H$4</f>
        <v>5.05263157894737</v>
      </c>
      <c r="G2935" s="19" t="n">
        <f aca="false">'SALES Raw'!F1427*$H$4</f>
        <v>286.345263157895</v>
      </c>
      <c r="H2935" s="18" t="str">
        <f aca="false">'SALES Raw'!A1427</f>
        <v>103 - Physiotherapy institutes</v>
      </c>
    </row>
    <row r="2936" customFormat="false" ht="15" hidden="false" customHeight="false" outlineLevel="0" collapsed="false">
      <c r="A2936" s="18" t="n">
        <f aca="false">'SALES Raw'!G1442</f>
        <v>4408248</v>
      </c>
      <c r="B2936" s="18" t="str">
        <f aca="false">'SALES Raw'!B1442</f>
        <v>SC25 M</v>
      </c>
      <c r="C2936" s="18" t="str">
        <f aca="false">'SALES Raw'!H1442</f>
        <v>SC25  M חבק יד</v>
      </c>
      <c r="D2936" s="19" t="n">
        <f aca="false">'SALES Raw'!C1442</f>
        <v>0</v>
      </c>
      <c r="E2936" s="19" t="n">
        <f aca="false">'SALES Raw'!D1442</f>
        <v>0</v>
      </c>
      <c r="F2936" s="19" t="n">
        <f aca="false">'SALES Raw'!E1442*$H$4</f>
        <v>5.05263157894737</v>
      </c>
      <c r="G2936" s="19" t="n">
        <f aca="false">'SALES Raw'!F1442*$H$4</f>
        <v>410.197894736842</v>
      </c>
      <c r="H2936" s="18" t="str">
        <f aca="false">'SALES Raw'!A1442</f>
        <v>103 - Physiotherapy institutes</v>
      </c>
    </row>
    <row r="2937" customFormat="false" ht="15" hidden="false" customHeight="false" outlineLevel="0" collapsed="false">
      <c r="A2937" s="18" t="n">
        <f aca="false">'SALES Raw'!G1444</f>
        <v>4408250</v>
      </c>
      <c r="B2937" s="18" t="str">
        <f aca="false">'SALES Raw'!B1444</f>
        <v>SC25 XL</v>
      </c>
      <c r="C2937" s="18" t="str">
        <f aca="false">'SALES Raw'!H1444</f>
        <v>SC25 XL חבק יד</v>
      </c>
      <c r="D2937" s="19" t="n">
        <f aca="false">'SALES Raw'!C1444</f>
        <v>0</v>
      </c>
      <c r="E2937" s="19" t="n">
        <f aca="false">'SALES Raw'!D1444</f>
        <v>0</v>
      </c>
      <c r="F2937" s="19" t="n">
        <f aca="false">'SALES Raw'!E1444*$H$4</f>
        <v>5.05263157894737</v>
      </c>
      <c r="G2937" s="19" t="n">
        <f aca="false">'SALES Raw'!F1444*$H$4</f>
        <v>410.197894736842</v>
      </c>
      <c r="H2937" s="18" t="str">
        <f aca="false">'SALES Raw'!A1444</f>
        <v>103 - Physiotherapy institutes</v>
      </c>
    </row>
    <row r="2938" customFormat="false" ht="15" hidden="false" customHeight="false" outlineLevel="0" collapsed="false">
      <c r="A2938" s="18" t="n">
        <f aca="false">'SALES Raw'!G1453</f>
        <v>4413439</v>
      </c>
      <c r="B2938" s="18" t="str">
        <f aca="false">'SALES Raw'!B1453</f>
        <v>SC422 M</v>
      </c>
      <c r="C2938" s="18" t="str">
        <f aca="false">'SALES Raw'!H1453</f>
        <v>SC422  M מגן ברך</v>
      </c>
      <c r="D2938" s="19" t="n">
        <f aca="false">'SALES Raw'!C1453</f>
        <v>0</v>
      </c>
      <c r="E2938" s="19" t="n">
        <f aca="false">'SALES Raw'!D1453</f>
        <v>0</v>
      </c>
      <c r="F2938" s="19" t="n">
        <f aca="false">'SALES Raw'!E1453*$H$4</f>
        <v>5.05263157894737</v>
      </c>
      <c r="G2938" s="19" t="n">
        <f aca="false">'SALES Raw'!F1453*$H$4</f>
        <v>639.233684210526</v>
      </c>
      <c r="H2938" s="18" t="str">
        <f aca="false">'SALES Raw'!A1453</f>
        <v>103 - Physiotherapy institutes</v>
      </c>
    </row>
    <row r="2939" customFormat="false" ht="15" hidden="false" customHeight="false" outlineLevel="0" collapsed="false">
      <c r="A2939" s="18" t="n">
        <f aca="false">'SALES Raw'!G1459</f>
        <v>4422038</v>
      </c>
      <c r="B2939" s="18" t="str">
        <f aca="false">'SALES Raw'!B1459</f>
        <v>SH422 2</v>
      </c>
      <c r="C2939" s="18" t="str">
        <f aca="false">'SALES Raw'!H1459</f>
        <v>SH422 2 תומך ברך גנושילד</v>
      </c>
      <c r="D2939" s="19" t="n">
        <f aca="false">'SALES Raw'!C1459</f>
        <v>4</v>
      </c>
      <c r="E2939" s="19" t="n">
        <f aca="false">'SALES Raw'!D1459</f>
        <v>480</v>
      </c>
      <c r="F2939" s="19" t="n">
        <f aca="false">'SALES Raw'!E1459*$H$4</f>
        <v>5.05263157894737</v>
      </c>
      <c r="G2939" s="19" t="n">
        <f aca="false">'SALES Raw'!F1459*$H$4</f>
        <v>303.170526315789</v>
      </c>
      <c r="H2939" s="18" t="str">
        <f aca="false">'SALES Raw'!A1459</f>
        <v>103 - Physiotherapy institutes</v>
      </c>
    </row>
    <row r="2940" customFormat="false" ht="15" hidden="false" customHeight="false" outlineLevel="0" collapsed="false">
      <c r="A2940" s="18" t="n">
        <f aca="false">'SALES Raw'!G1488</f>
        <v>4413160</v>
      </c>
      <c r="B2940" s="18" t="str">
        <f aca="false">'SALES Raw'!B1488</f>
        <v>34+ M</v>
      </c>
      <c r="C2940" s="18" t="str">
        <f aca="false">'SALES Raw'!H1488</f>
        <v>34+ M מגן קרסול עקב סגור+רצוע</v>
      </c>
      <c r="D2940" s="19" t="n">
        <f aca="false">'SALES Raw'!C1488</f>
        <v>7</v>
      </c>
      <c r="E2940" s="19" t="n">
        <f aca="false">'SALES Raw'!D1488</f>
        <v>438.72</v>
      </c>
      <c r="F2940" s="19" t="n">
        <f aca="false">'SALES Raw'!E1488*$H$4</f>
        <v>5.05263157894737</v>
      </c>
      <c r="G2940" s="19" t="n">
        <f aca="false">'SALES Raw'!F1488*$H$4</f>
        <v>354.997894736842</v>
      </c>
      <c r="H2940" s="18" t="str">
        <f aca="false">'SALES Raw'!A1488</f>
        <v>103 - Physiotherapy institutes</v>
      </c>
    </row>
    <row r="2941" customFormat="false" ht="15" hidden="false" customHeight="false" outlineLevel="0" collapsed="false">
      <c r="A2941" s="18" t="n">
        <f aca="false">'SALES Raw'!G1563</f>
        <v>4413100</v>
      </c>
      <c r="B2941" s="18" t="str">
        <f aca="false">'SALES Raw'!B1563</f>
        <v>45C XL</v>
      </c>
      <c r="C2941" s="18" t="str">
        <f aca="false">'SALES Raw'!H1563</f>
        <v>45C XL מגן ברך חום</v>
      </c>
      <c r="D2941" s="19" t="n">
        <f aca="false">'SALES Raw'!C1563</f>
        <v>0</v>
      </c>
      <c r="E2941" s="19" t="n">
        <f aca="false">'SALES Raw'!D1563</f>
        <v>0</v>
      </c>
      <c r="F2941" s="19" t="n">
        <f aca="false">'SALES Raw'!E1563*$H$4</f>
        <v>5.05263157894737</v>
      </c>
      <c r="G2941" s="19" t="n">
        <f aca="false">'SALES Raw'!F1563*$H$4</f>
        <v>156.088421052632</v>
      </c>
      <c r="H2941" s="18" t="str">
        <f aca="false">'SALES Raw'!A1563</f>
        <v>103 - Physiotherapy institutes</v>
      </c>
    </row>
    <row r="2942" customFormat="false" ht="15" hidden="false" customHeight="false" outlineLevel="0" collapsed="false">
      <c r="A2942" s="18" t="str">
        <f aca="false">'SALES Raw'!G1646</f>
        <v/>
      </c>
      <c r="B2942" s="18" t="str">
        <f aca="false">'SALES Raw'!B1646</f>
        <v>303-43-44</v>
      </c>
      <c r="C2942" s="18" t="str">
        <f aca="false">'SALES Raw'!H1646</f>
        <v>303-43-44</v>
      </c>
      <c r="D2942" s="19" t="n">
        <f aca="false">'SALES Raw'!C1646</f>
        <v>6</v>
      </c>
      <c r="E2942" s="19" t="n">
        <f aca="false">'SALES Raw'!D1646</f>
        <v>510.24</v>
      </c>
      <c r="F2942" s="19" t="n">
        <f aca="false">'SALES Raw'!E1646*$H$4</f>
        <v>5.05263157894737</v>
      </c>
      <c r="G2942" s="19" t="n">
        <f aca="false">'SALES Raw'!F1646*$H$4</f>
        <v>430.08</v>
      </c>
      <c r="H2942" s="18" t="str">
        <f aca="false">'SALES Raw'!A1646</f>
        <v>105 - Pedicure Salons</v>
      </c>
    </row>
    <row r="2943" customFormat="false" ht="15" hidden="false" customHeight="false" outlineLevel="0" collapsed="false">
      <c r="A2943" s="18" t="n">
        <f aca="false">'SALES Raw'!G1656</f>
        <v>4413059</v>
      </c>
      <c r="B2943" s="18" t="str">
        <f aca="false">'SALES Raw'!B1656</f>
        <v>364-S-L</v>
      </c>
      <c r="C2943" s="18" t="str">
        <f aca="false">'SALES Raw'!H1656</f>
        <v>364S Lמפר.אצבע סיליק. ליבל.זוג</v>
      </c>
      <c r="D2943" s="19" t="n">
        <f aca="false">'SALES Raw'!C1656</f>
        <v>7</v>
      </c>
      <c r="E2943" s="19" t="n">
        <f aca="false">'SALES Raw'!D1656</f>
        <v>122.48</v>
      </c>
      <c r="F2943" s="19" t="n">
        <f aca="false">'SALES Raw'!E1656*$H$4</f>
        <v>5.05263157894737</v>
      </c>
      <c r="G2943" s="19" t="n">
        <f aca="false">'SALES Raw'!F1656*$H$4</f>
        <v>78.0505263157895</v>
      </c>
      <c r="H2943" s="18" t="str">
        <f aca="false">'SALES Raw'!A1656</f>
        <v>105 - Pedicure Salons</v>
      </c>
    </row>
    <row r="2944" customFormat="false" ht="15" hidden="false" customHeight="false" outlineLevel="0" collapsed="false">
      <c r="A2944" s="18" t="n">
        <f aca="false">'SALES Raw'!G1693</f>
        <v>4415158</v>
      </c>
      <c r="B2944" s="18" t="str">
        <f aca="false">'SALES Raw'!B1693</f>
        <v>266 0</v>
      </c>
      <c r="C2944" s="18" t="str">
        <f aca="false">'SALES Raw'!H1693</f>
        <v>266 סד ליד דו צדדי</v>
      </c>
      <c r="D2944" s="19" t="n">
        <f aca="false">'SALES Raw'!C1693</f>
        <v>6</v>
      </c>
      <c r="E2944" s="19" t="n">
        <f aca="false">'SALES Raw'!D1693</f>
        <v>330</v>
      </c>
      <c r="F2944" s="19" t="n">
        <f aca="false">'SALES Raw'!E1693*$H$4</f>
        <v>5.05263157894737</v>
      </c>
      <c r="G2944" s="19" t="n">
        <f aca="false">'SALES Raw'!F1693*$H$4</f>
        <v>277.882105263158</v>
      </c>
      <c r="H2944" s="18" t="str">
        <f aca="false">'SALES Raw'!A1693</f>
        <v>106 - Hospitals</v>
      </c>
    </row>
    <row r="2945" customFormat="false" ht="15" hidden="false" customHeight="false" outlineLevel="0" collapsed="false">
      <c r="A2945" s="18" t="n">
        <f aca="false">'SALES Raw'!G1740</f>
        <v>4408098</v>
      </c>
      <c r="B2945" s="18" t="str">
        <f aca="false">'SALES Raw'!B1740</f>
        <v>T25 0</v>
      </c>
      <c r="C2945" s="18" t="str">
        <f aca="false">'SALES Raw'!H1740</f>
        <v>T25-חבק יד אגודלי</v>
      </c>
      <c r="D2945" s="19" t="n">
        <f aca="false">'SALES Raw'!C1740</f>
        <v>0</v>
      </c>
      <c r="E2945" s="19" t="n">
        <f aca="false">'SALES Raw'!D1740</f>
        <v>0</v>
      </c>
      <c r="F2945" s="19" t="n">
        <f aca="false">'SALES Raw'!E1740*$H$4</f>
        <v>5.05263157894737</v>
      </c>
      <c r="G2945" s="19" t="n">
        <f aca="false">'SALES Raw'!F1740*$H$4</f>
        <v>236.576842105263</v>
      </c>
      <c r="H2945" s="18" t="str">
        <f aca="false">'SALES Raw'!A1740</f>
        <v>106 - Hospitals</v>
      </c>
    </row>
    <row r="2946" customFormat="false" ht="15" hidden="false" customHeight="false" outlineLevel="0" collapsed="false">
      <c r="A2946" s="18" t="str">
        <f aca="false">'SALES Raw'!G1781</f>
        <v/>
      </c>
      <c r="B2946" s="18" t="str">
        <f aca="false">'SALES Raw'!B1781</f>
        <v>18 L</v>
      </c>
      <c r="C2946" s="18" t="str">
        <f aca="false">'SALES Raw'!H1781</f>
        <v>18 L</v>
      </c>
      <c r="D2946" s="19" t="n">
        <f aca="false">'SALES Raw'!C1781</f>
        <v>9</v>
      </c>
      <c r="E2946" s="19" t="n">
        <f aca="false">'SALES Raw'!D1781</f>
        <v>1883.99</v>
      </c>
      <c r="F2946" s="19" t="n">
        <f aca="false">'SALES Raw'!E1781*$H$4</f>
        <v>5.05263157894737</v>
      </c>
      <c r="G2946" s="19" t="n">
        <f aca="false">'SALES Raw'!F1781*$H$4</f>
        <v>1354.09263157895</v>
      </c>
      <c r="H2946" s="18" t="str">
        <f aca="false">'SALES Raw'!A1781</f>
        <v>109 - Private Shops</v>
      </c>
    </row>
    <row r="2947" customFormat="false" ht="15" hidden="false" customHeight="false" outlineLevel="0" collapsed="false">
      <c r="A2947" s="18" t="n">
        <f aca="false">'SALES Raw'!G1786</f>
        <v>4416000</v>
      </c>
      <c r="B2947" s="18" t="str">
        <f aca="false">'SALES Raw'!B1786</f>
        <v>307 L</v>
      </c>
      <c r="C2947" s="18" t="str">
        <f aca="false">'SALES Raw'!H1786</f>
        <v>307 L עקבים לדורבן-זוג כריות</v>
      </c>
      <c r="D2947" s="19" t="n">
        <f aca="false">'SALES Raw'!C1786</f>
        <v>1</v>
      </c>
      <c r="E2947" s="19" t="n">
        <f aca="false">'SALES Raw'!D1786</f>
        <v>92.29</v>
      </c>
      <c r="F2947" s="19" t="n">
        <f aca="false">'SALES Raw'!E1786*$H$4</f>
        <v>5.05263157894737</v>
      </c>
      <c r="G2947" s="19" t="n">
        <f aca="false">'SALES Raw'!F1786*$H$4</f>
        <v>466.32</v>
      </c>
      <c r="H2947" s="18" t="str">
        <f aca="false">'SALES Raw'!A1786</f>
        <v>109 - Private Shops</v>
      </c>
    </row>
    <row r="2948" customFormat="false" ht="15" hidden="false" customHeight="false" outlineLevel="0" collapsed="false">
      <c r="A2948" s="18" t="n">
        <f aca="false">'SALES Raw'!G1794</f>
        <v>4408052</v>
      </c>
      <c r="B2948" s="18" t="str">
        <f aca="false">'SALES Raw'!B1794</f>
        <v>21 L</v>
      </c>
      <c r="C2948" s="18" t="str">
        <f aca="false">'SALES Raw'!H1794</f>
        <v>21 L  חבק יד ארוך</v>
      </c>
      <c r="D2948" s="19" t="n">
        <f aca="false">'SALES Raw'!C1794</f>
        <v>0</v>
      </c>
      <c r="E2948" s="19" t="n">
        <f aca="false">'SALES Raw'!D1794</f>
        <v>0</v>
      </c>
      <c r="F2948" s="19" t="n">
        <f aca="false">'SALES Raw'!E1794*$H$4</f>
        <v>5.05263157894737</v>
      </c>
      <c r="G2948" s="19" t="n">
        <f aca="false">'SALES Raw'!F1794*$H$4</f>
        <v>201.056842105263</v>
      </c>
      <c r="H2948" s="18" t="str">
        <f aca="false">'SALES Raw'!A1794</f>
        <v>109 - Private Shops</v>
      </c>
    </row>
    <row r="2949" customFormat="false" ht="15" hidden="false" customHeight="false" outlineLevel="0" collapsed="false">
      <c r="A2949" s="18" t="n">
        <f aca="false">'SALES Raw'!G1820</f>
        <v>4409017</v>
      </c>
      <c r="B2949" s="18" t="str">
        <f aca="false">'SALES Raw'!B1820</f>
        <v>808KT-B</v>
      </c>
      <c r="C2949" s="18" t="str">
        <f aca="false">'SALES Raw'!H1820</f>
        <v>808KT-B        טייפ קינזיולוגי</v>
      </c>
      <c r="D2949" s="19" t="n">
        <f aca="false">'SALES Raw'!C1820</f>
        <v>3</v>
      </c>
      <c r="E2949" s="19" t="n">
        <f aca="false">'SALES Raw'!D1820</f>
        <v>90</v>
      </c>
      <c r="F2949" s="19" t="n">
        <f aca="false">'SALES Raw'!E1820*$H$4</f>
        <v>5.05263157894737</v>
      </c>
      <c r="G2949" s="19" t="n">
        <f aca="false">'SALES Raw'!F1820*$H$4</f>
        <v>238.964210526316</v>
      </c>
      <c r="H2949" s="18" t="str">
        <f aca="false">'SALES Raw'!A1820</f>
        <v>109 - Private Shops</v>
      </c>
    </row>
    <row r="2950" customFormat="false" ht="15" hidden="false" customHeight="false" outlineLevel="0" collapsed="false">
      <c r="A2950" s="18" t="n">
        <f aca="false">'SALES Raw'!G1830</f>
        <v>4408248</v>
      </c>
      <c r="B2950" s="18" t="str">
        <f aca="false">'SALES Raw'!B1830</f>
        <v>SC25 M</v>
      </c>
      <c r="C2950" s="18" t="str">
        <f aca="false">'SALES Raw'!H1830</f>
        <v>SC25  M חבק יד</v>
      </c>
      <c r="D2950" s="19" t="n">
        <f aca="false">'SALES Raw'!C1830</f>
        <v>0</v>
      </c>
      <c r="E2950" s="19" t="n">
        <f aca="false">'SALES Raw'!D1830</f>
        <v>0</v>
      </c>
      <c r="F2950" s="19" t="n">
        <f aca="false">'SALES Raw'!E1830*$H$4</f>
        <v>5.05263157894737</v>
      </c>
      <c r="G2950" s="19" t="n">
        <f aca="false">'SALES Raw'!F1830*$H$4</f>
        <v>473.305263157895</v>
      </c>
      <c r="H2950" s="18" t="str">
        <f aca="false">'SALES Raw'!A1830</f>
        <v>109 - Private Shops</v>
      </c>
    </row>
    <row r="2951" customFormat="false" ht="15" hidden="false" customHeight="false" outlineLevel="0" collapsed="false">
      <c r="A2951" s="18" t="n">
        <f aca="false">'SALES Raw'!G1911</f>
        <v>4403002</v>
      </c>
      <c r="B2951" s="18" t="str">
        <f aca="false">'SALES Raw'!B1911</f>
        <v>390B-43-46</v>
      </c>
      <c r="C2951" s="18" t="str">
        <f aca="false">'SALES Raw'!H1911</f>
        <v>390B 43-46.גרב.כסף לסכרתיים שח</v>
      </c>
      <c r="D2951" s="19" t="n">
        <f aca="false">'SALES Raw'!C1911</f>
        <v>6</v>
      </c>
      <c r="E2951" s="19" t="n">
        <f aca="false">'SALES Raw'!D1911</f>
        <v>210.64</v>
      </c>
      <c r="F2951" s="19" t="n">
        <f aca="false">'SALES Raw'!E1911*$H$4</f>
        <v>5.05263157894737</v>
      </c>
      <c r="G2951" s="19" t="n">
        <f aca="false">'SALES Raw'!F1911*$H$4</f>
        <v>177.372631578947</v>
      </c>
      <c r="H2951" s="18" t="str">
        <f aca="false">'SALES Raw'!A1911</f>
        <v>109 - Private Shops</v>
      </c>
    </row>
    <row r="2952" customFormat="false" ht="15" hidden="false" customHeight="false" outlineLevel="0" collapsed="false">
      <c r="A2952" s="18" t="n">
        <f aca="false">'SALES Raw'!G1923</f>
        <v>4403042</v>
      </c>
      <c r="B2952" s="18" t="str">
        <f aca="false">'SALES Raw'!B1923</f>
        <v>397A-39-42</v>
      </c>
      <c r="C2952" s="18" t="str">
        <f aca="false">'SALES Raw'!H1923</f>
        <v>397A-גרבי טיסה אנטי בקטרי39-42</v>
      </c>
      <c r="D2952" s="19" t="n">
        <f aca="false">'SALES Raw'!C1923</f>
        <v>0</v>
      </c>
      <c r="E2952" s="19" t="n">
        <f aca="false">'SALES Raw'!D1923</f>
        <v>0</v>
      </c>
      <c r="F2952" s="19" t="n">
        <f aca="false">'SALES Raw'!E1923*$H$4</f>
        <v>5.05263157894737</v>
      </c>
      <c r="G2952" s="19" t="n">
        <f aca="false">'SALES Raw'!F1923*$H$4</f>
        <v>287.532631578947</v>
      </c>
      <c r="H2952" s="18" t="str">
        <f aca="false">'SALES Raw'!A1923</f>
        <v>109 - Private Shops</v>
      </c>
    </row>
    <row r="2953" customFormat="false" ht="15" hidden="false" customHeight="false" outlineLevel="0" collapsed="false">
      <c r="A2953" s="18" t="str">
        <f aca="false">'SALES Raw'!G1932</f>
        <v/>
      </c>
      <c r="B2953" s="18" t="str">
        <f aca="false">'SALES Raw'!B1932</f>
        <v>84-L-XXL</v>
      </c>
      <c r="C2953" s="18" t="str">
        <f aca="false">'SALES Raw'!H1932</f>
        <v>84-L-XXL</v>
      </c>
      <c r="D2953" s="19" t="n">
        <f aca="false">'SALES Raw'!C1932</f>
        <v>8</v>
      </c>
      <c r="E2953" s="19" t="n">
        <f aca="false">'SALES Raw'!D1932</f>
        <v>1123.24</v>
      </c>
      <c r="F2953" s="19" t="n">
        <f aca="false">'SALES Raw'!E1932*$H$4</f>
        <v>5.05263157894737</v>
      </c>
      <c r="G2953" s="19" t="n">
        <f aca="false">'SALES Raw'!F1932*$H$4</f>
        <v>710.261052631579</v>
      </c>
      <c r="H2953" s="18" t="str">
        <f aca="false">'SALES Raw'!A1932</f>
        <v>109 - Private Shops</v>
      </c>
    </row>
    <row r="2954" customFormat="false" ht="15" hidden="false" customHeight="false" outlineLevel="0" collapsed="false">
      <c r="A2954" s="18" t="n">
        <f aca="false">'SALES Raw'!G1957</f>
        <v>4413155</v>
      </c>
      <c r="B2954" s="18" t="str">
        <f aca="false">'SALES Raw'!B1957</f>
        <v>305GA-39-40</v>
      </c>
      <c r="C2954" s="18" t="str">
        <f aca="false">'SALES Raw'!H1957</f>
        <v>305GA מדרס אורטופ.מתכוון39-40</v>
      </c>
      <c r="D2954" s="19" t="n">
        <f aca="false">'SALES Raw'!C1957</f>
        <v>6</v>
      </c>
      <c r="E2954" s="19" t="n">
        <f aca="false">'SALES Raw'!D1957</f>
        <v>485.86</v>
      </c>
      <c r="F2954" s="19" t="n">
        <f aca="false">'SALES Raw'!E1957*$H$4</f>
        <v>5.05263157894737</v>
      </c>
      <c r="G2954" s="19" t="n">
        <f aca="false">'SALES Raw'!F1957*$H$4</f>
        <v>410.311578947368</v>
      </c>
      <c r="H2954" s="18" t="str">
        <f aca="false">'SALES Raw'!A1957</f>
        <v>109 - Private Shops</v>
      </c>
    </row>
    <row r="2955" customFormat="false" ht="15" hidden="false" customHeight="false" outlineLevel="0" collapsed="false">
      <c r="A2955" s="18" t="n">
        <f aca="false">'SALES Raw'!G1958</f>
        <v>4413156</v>
      </c>
      <c r="B2955" s="18" t="str">
        <f aca="false">'SALES Raw'!B1958</f>
        <v>305GA-41-42</v>
      </c>
      <c r="C2955" s="18" t="str">
        <f aca="false">'SALES Raw'!H1958</f>
        <v>305GA מדרס אורטופ.מתכוון41-42</v>
      </c>
      <c r="D2955" s="19" t="n">
        <f aca="false">'SALES Raw'!C1958</f>
        <v>11</v>
      </c>
      <c r="E2955" s="19" t="n">
        <f aca="false">'SALES Raw'!D1958</f>
        <v>890.54</v>
      </c>
      <c r="F2955" s="19" t="n">
        <f aca="false">'SALES Raw'!E1958*$H$4</f>
        <v>5.05263157894737</v>
      </c>
      <c r="G2955" s="19" t="n">
        <f aca="false">'SALES Raw'!F1958*$H$4</f>
        <v>410.261052631579</v>
      </c>
      <c r="H2955" s="18" t="str">
        <f aca="false">'SALES Raw'!A1958</f>
        <v>109 - Private Shops</v>
      </c>
    </row>
    <row r="2956" customFormat="false" ht="15" hidden="false" customHeight="false" outlineLevel="0" collapsed="false">
      <c r="A2956" s="18" t="n">
        <f aca="false">'SALES Raw'!G1960</f>
        <v>4413033</v>
      </c>
      <c r="B2956" s="18" t="str">
        <f aca="false">'SALES Raw'!B1960</f>
        <v>311 0</v>
      </c>
      <c r="C2956" s="18" t="str">
        <f aca="false">'SALES Raw'!H1960</f>
        <v>311'מדב.ג'ל למניעת שפשוף 5 יח</v>
      </c>
      <c r="D2956" s="19" t="n">
        <f aca="false">'SALES Raw'!C1960</f>
        <v>116</v>
      </c>
      <c r="E2956" s="19" t="n">
        <f aca="false">'SALES Raw'!D1960</f>
        <v>1605.3</v>
      </c>
      <c r="F2956" s="19" t="n">
        <f aca="false">'SALES Raw'!E1960*$H$4</f>
        <v>5.05263157894737</v>
      </c>
      <c r="G2956" s="19" t="n">
        <f aca="false">'SALES Raw'!F1960*$H$4</f>
        <v>85.0484210526316</v>
      </c>
      <c r="H2956" s="18" t="str">
        <f aca="false">'SALES Raw'!A1960</f>
        <v>109 - Private Shops</v>
      </c>
    </row>
    <row r="2957" customFormat="false" ht="15" hidden="false" customHeight="false" outlineLevel="0" collapsed="false">
      <c r="A2957" s="18" t="n">
        <f aca="false">'SALES Raw'!G2063</f>
        <v>4408134</v>
      </c>
      <c r="B2957" s="18" t="str">
        <f aca="false">'SALES Raw'!B2063</f>
        <v>077A-S-M</v>
      </c>
      <c r="C2957" s="18" t="str">
        <f aca="false">'SALES Raw'!H2063</f>
        <v>077A S-M חגורת גב</v>
      </c>
      <c r="D2957" s="19" t="n">
        <f aca="false">'SALES Raw'!C2063</f>
        <v>0</v>
      </c>
      <c r="E2957" s="19" t="n">
        <f aca="false">'SALES Raw'!D2063</f>
        <v>0</v>
      </c>
      <c r="F2957" s="19" t="n">
        <f aca="false">'SALES Raw'!E2063*$H$4</f>
        <v>5.05263157894737</v>
      </c>
      <c r="G2957" s="19" t="n">
        <f aca="false">'SALES Raw'!F2063*$H$4</f>
        <v>1119.28421052632</v>
      </c>
      <c r="H2957" s="18" t="str">
        <f aca="false">'SALES Raw'!A2063</f>
        <v>114 - IL online</v>
      </c>
    </row>
    <row r="2958" customFormat="false" ht="15" hidden="false" customHeight="false" outlineLevel="0" collapsed="false">
      <c r="A2958" s="18" t="n">
        <f aca="false">'SALES Raw'!G2072</f>
        <v>4408222</v>
      </c>
      <c r="B2958" s="18" t="str">
        <f aca="false">'SALES Raw'!B2072</f>
        <v>078G XL</v>
      </c>
      <c r="C2958" s="18" t="str">
        <f aca="false">'SALES Raw'!H2072</f>
        <v>078G-XLחגורת גב אפורה</v>
      </c>
      <c r="D2958" s="19" t="n">
        <f aca="false">'SALES Raw'!C2072</f>
        <v>12</v>
      </c>
      <c r="E2958" s="19" t="n">
        <f aca="false">'SALES Raw'!D2072</f>
        <v>2290.76</v>
      </c>
      <c r="F2958" s="19" t="n">
        <f aca="false">'SALES Raw'!E2072*$H$4</f>
        <v>5.05263157894737</v>
      </c>
      <c r="G2958" s="19" t="n">
        <f aca="false">'SALES Raw'!F2072*$H$4</f>
        <v>1043.29263157895</v>
      </c>
      <c r="H2958" s="18" t="str">
        <f aca="false">'SALES Raw'!A2072</f>
        <v>114 - IL online</v>
      </c>
    </row>
    <row r="2959" customFormat="false" ht="15" hidden="false" customHeight="false" outlineLevel="0" collapsed="false">
      <c r="A2959" s="18" t="n">
        <f aca="false">'SALES Raw'!G2077</f>
        <v>4408017</v>
      </c>
      <c r="B2959" s="18" t="str">
        <f aca="false">'SALES Raw'!B2077</f>
        <v>07AU XL</v>
      </c>
      <c r="C2959" s="18" t="str">
        <f aca="false">'SALES Raw'!H2077</f>
        <v>07AU XL ח.גב """"איטלקית"""" אורירית</v>
      </c>
      <c r="D2959" s="19" t="n">
        <f aca="false">'SALES Raw'!C2077</f>
        <v>5</v>
      </c>
      <c r="E2959" s="19" t="n">
        <f aca="false">'SALES Raw'!D2077</f>
        <v>2301.28</v>
      </c>
      <c r="F2959" s="19" t="n">
        <f aca="false">'SALES Raw'!E2077*$H$4</f>
        <v>5.05263157894737</v>
      </c>
      <c r="G2959" s="19" t="n">
        <f aca="false">'SALES Raw'!F2077*$H$4</f>
        <v>2217.62526315789</v>
      </c>
      <c r="H2959" s="18" t="str">
        <f aca="false">'SALES Raw'!A2077</f>
        <v>114 - IL online</v>
      </c>
    </row>
    <row r="2960" customFormat="false" ht="15" hidden="false" customHeight="false" outlineLevel="0" collapsed="false">
      <c r="A2960" s="18" t="str">
        <f aca="false">'SALES Raw'!G2105</f>
        <v/>
      </c>
      <c r="B2960" s="18" t="str">
        <f aca="false">'SALES Raw'!B2105</f>
        <v>11NOR XXL</v>
      </c>
      <c r="C2960" s="18" t="str">
        <f aca="false">'SALES Raw'!H2105</f>
        <v>11NOR XXL</v>
      </c>
      <c r="D2960" s="19" t="n">
        <f aca="false">'SALES Raw'!C2105</f>
        <v>3</v>
      </c>
      <c r="E2960" s="19" t="n">
        <f aca="false">'SALES Raw'!D2105</f>
        <v>1387.82</v>
      </c>
      <c r="F2960" s="19" t="n">
        <f aca="false">'SALES Raw'!E2105*$H$4</f>
        <v>5.05263157894737</v>
      </c>
      <c r="G2960" s="19" t="n">
        <f aca="false">'SALES Raw'!F2105*$H$4</f>
        <v>2087.34315789474</v>
      </c>
      <c r="H2960" s="18" t="str">
        <f aca="false">'SALES Raw'!A2105</f>
        <v>114 - IL online</v>
      </c>
    </row>
    <row r="2961" customFormat="false" ht="15" hidden="false" customHeight="false" outlineLevel="0" collapsed="false">
      <c r="A2961" s="18" t="n">
        <f aca="false">'SALES Raw'!G2106</f>
        <v>4408147</v>
      </c>
      <c r="B2961" s="18" t="str">
        <f aca="false">'SALES Raw'!B2106</f>
        <v>11PS L</v>
      </c>
      <c r="C2961" s="18" t="str">
        <f aca="false">'SALES Raw'!H2106</f>
        <v>11PS Lחגורה למנותחי בטן</v>
      </c>
      <c r="D2961" s="19" t="n">
        <f aca="false">'SALES Raw'!C2106</f>
        <v>7</v>
      </c>
      <c r="E2961" s="19" t="n">
        <f aca="false">'SALES Raw'!D2106</f>
        <v>1560.07</v>
      </c>
      <c r="F2961" s="19" t="n">
        <f aca="false">'SALES Raw'!E2106*$H$4</f>
        <v>5.05263157894737</v>
      </c>
      <c r="G2961" s="19" t="n">
        <f aca="false">'SALES Raw'!F2106*$H$4</f>
        <v>1148.22315789474</v>
      </c>
      <c r="H2961" s="18" t="str">
        <f aca="false">'SALES Raw'!A2106</f>
        <v>114 - IL online</v>
      </c>
    </row>
    <row r="2962" customFormat="false" ht="15" hidden="false" customHeight="false" outlineLevel="0" collapsed="false">
      <c r="A2962" s="18" t="n">
        <f aca="false">'SALES Raw'!G2109</f>
        <v>4408148</v>
      </c>
      <c r="B2962" s="18" t="str">
        <f aca="false">'SALES Raw'!B2109</f>
        <v>11PS XL</v>
      </c>
      <c r="C2962" s="18" t="str">
        <f aca="false">'SALES Raw'!H2109</f>
        <v>11PS XLחגורה למנותחי בטן</v>
      </c>
      <c r="D2962" s="19" t="n">
        <f aca="false">'SALES Raw'!C2109</f>
        <v>7</v>
      </c>
      <c r="E2962" s="19" t="n">
        <f aca="false">'SALES Raw'!D2109</f>
        <v>1584.68</v>
      </c>
      <c r="F2962" s="19" t="n">
        <f aca="false">'SALES Raw'!E2109*$H$4</f>
        <v>5.05263157894737</v>
      </c>
      <c r="G2962" s="19" t="n">
        <f aca="false">'SALES Raw'!F2109*$H$4</f>
        <v>1148.22315789474</v>
      </c>
      <c r="H2962" s="18" t="str">
        <f aca="false">'SALES Raw'!A2109</f>
        <v>114 - IL online</v>
      </c>
    </row>
    <row r="2963" customFormat="false" ht="15" hidden="false" customHeight="false" outlineLevel="0" collapsed="false">
      <c r="A2963" s="18" t="n">
        <f aca="false">'SALES Raw'!G2113</f>
        <v>4408260</v>
      </c>
      <c r="B2963" s="18" t="str">
        <f aca="false">'SALES Raw'!B2113</f>
        <v>11STO M</v>
      </c>
      <c r="C2963" s="18" t="str">
        <f aca="false">'SALES Raw'!H2113</f>
        <v>11STO M חגורה אחרי ניתוח</v>
      </c>
      <c r="D2963" s="19" t="n">
        <f aca="false">'SALES Raw'!C2113</f>
        <v>8</v>
      </c>
      <c r="E2963" s="19" t="n">
        <f aca="false">'SALES Raw'!D2113</f>
        <v>2193.23</v>
      </c>
      <c r="F2963" s="19" t="n">
        <f aca="false">'SALES Raw'!E2113*$H$4</f>
        <v>5.05263157894737</v>
      </c>
      <c r="G2963" s="19" t="n">
        <f aca="false">'SALES Raw'!F2113*$H$4</f>
        <v>1481.64631578947</v>
      </c>
      <c r="H2963" s="18" t="str">
        <f aca="false">'SALES Raw'!A2113</f>
        <v>114 - IL online</v>
      </c>
    </row>
    <row r="2964" customFormat="false" ht="15" hidden="false" customHeight="false" outlineLevel="0" collapsed="false">
      <c r="A2964" s="18" t="n">
        <f aca="false">'SALES Raw'!G2114</f>
        <v>4408259</v>
      </c>
      <c r="B2964" s="18" t="str">
        <f aca="false">'SALES Raw'!B2114</f>
        <v>11STO S</v>
      </c>
      <c r="C2964" s="18" t="str">
        <f aca="false">'SALES Raw'!H2114</f>
        <v>11STO S חגורה אחרי ניתוח</v>
      </c>
      <c r="D2964" s="19" t="n">
        <f aca="false">'SALES Raw'!C2114</f>
        <v>1</v>
      </c>
      <c r="E2964" s="19" t="n">
        <f aca="false">'SALES Raw'!D2114</f>
        <v>240.61</v>
      </c>
      <c r="F2964" s="19" t="n">
        <f aca="false">'SALES Raw'!E2114*$H$4</f>
        <v>5.05263157894737</v>
      </c>
      <c r="G2964" s="19" t="n">
        <f aca="false">'SALES Raw'!F2114*$H$4</f>
        <v>1650.79578947368</v>
      </c>
      <c r="H2964" s="18" t="str">
        <f aca="false">'SALES Raw'!A2114</f>
        <v>114 - IL online</v>
      </c>
    </row>
    <row r="2965" customFormat="false" ht="15" hidden="false" customHeight="false" outlineLevel="0" collapsed="false">
      <c r="A2965" s="18" t="n">
        <f aca="false">'SALES Raw'!G2115</f>
        <v>4408262</v>
      </c>
      <c r="B2965" s="18" t="str">
        <f aca="false">'SALES Raw'!B2115</f>
        <v>11STO XL</v>
      </c>
      <c r="C2965" s="18" t="str">
        <f aca="false">'SALES Raw'!H2115</f>
        <v>11STO XL  חגורה אחרי ניתוח</v>
      </c>
      <c r="D2965" s="19" t="n">
        <f aca="false">'SALES Raw'!C2115</f>
        <v>11</v>
      </c>
      <c r="E2965" s="19" t="n">
        <f aca="false">'SALES Raw'!D2115</f>
        <v>3022.64</v>
      </c>
      <c r="F2965" s="19" t="n">
        <f aca="false">'SALES Raw'!E2115*$H$4</f>
        <v>5.05263157894737</v>
      </c>
      <c r="G2965" s="19" t="n">
        <f aca="false">'SALES Raw'!F2115*$H$4</f>
        <v>1481.64631578947</v>
      </c>
      <c r="H2965" s="18" t="str">
        <f aca="false">'SALES Raw'!A2115</f>
        <v>114 - IL online</v>
      </c>
    </row>
    <row r="2966" customFormat="false" ht="15" hidden="false" customHeight="false" outlineLevel="0" collapsed="false">
      <c r="A2966" s="18" t="str">
        <f aca="false">'SALES Raw'!G2117</f>
        <v/>
      </c>
      <c r="B2966" s="18" t="str">
        <f aca="false">'SALES Raw'!B2117</f>
        <v>11STOB L</v>
      </c>
      <c r="C2966" s="18" t="str">
        <f aca="false">'SALES Raw'!H2117</f>
        <v>11STOB L</v>
      </c>
      <c r="D2966" s="19" t="n">
        <f aca="false">'SALES Raw'!C2117</f>
        <v>0</v>
      </c>
      <c r="E2966" s="19" t="n">
        <f aca="false">'SALES Raw'!D2117</f>
        <v>0</v>
      </c>
      <c r="F2966" s="19" t="n">
        <f aca="false">'SALES Raw'!E2117*$H$4</f>
        <v>5.05263157894737</v>
      </c>
      <c r="G2966" s="19" t="n">
        <f aca="false">'SALES Raw'!F2117*$H$4</f>
        <v>1386.65684210526</v>
      </c>
      <c r="H2966" s="18" t="str">
        <f aca="false">'SALES Raw'!A2117</f>
        <v>114 - IL online</v>
      </c>
    </row>
    <row r="2967" customFormat="false" ht="15" hidden="false" customHeight="false" outlineLevel="0" collapsed="false">
      <c r="A2967" s="18" t="n">
        <f aca="false">'SALES Raw'!G2122</f>
        <v>4408151</v>
      </c>
      <c r="B2967" s="18" t="str">
        <f aca="false">'SALES Raw'!B2122</f>
        <v>11TO M</v>
      </c>
      <c r="C2967" s="18" t="str">
        <f aca="false">'SALES Raw'!H2122</f>
        <v>11TO M חגורה למנותחי בית החזה</v>
      </c>
      <c r="D2967" s="19" t="n">
        <f aca="false">'SALES Raw'!C2122</f>
        <v>4</v>
      </c>
      <c r="E2967" s="19" t="n">
        <f aca="false">'SALES Raw'!D2122</f>
        <v>1087.85</v>
      </c>
      <c r="F2967" s="19" t="n">
        <f aca="false">'SALES Raw'!E2122*$H$4</f>
        <v>5.05263157894737</v>
      </c>
      <c r="G2967" s="19" t="n">
        <f aca="false">'SALES Raw'!F2122*$H$4</f>
        <v>1398.13894736842</v>
      </c>
      <c r="H2967" s="18" t="str">
        <f aca="false">'SALES Raw'!A2122</f>
        <v>114 - IL online</v>
      </c>
    </row>
    <row r="2968" customFormat="false" ht="15" hidden="false" customHeight="false" outlineLevel="0" collapsed="false">
      <c r="A2968" s="18" t="str">
        <f aca="false">'SALES Raw'!G2197</f>
        <v/>
      </c>
      <c r="B2968" s="18" t="str">
        <f aca="false">'SALES Raw'!B2197</f>
        <v>26 XS</v>
      </c>
      <c r="C2968" s="18" t="str">
        <f aca="false">'SALES Raw'!H2197</f>
        <v>26 XS</v>
      </c>
      <c r="D2968" s="19" t="n">
        <f aca="false">'SALES Raw'!C2197</f>
        <v>1</v>
      </c>
      <c r="E2968" s="19" t="n">
        <f aca="false">'SALES Raw'!D2197</f>
        <v>171.1</v>
      </c>
      <c r="F2968" s="19" t="n">
        <f aca="false">'SALES Raw'!E2197*$H$4</f>
        <v>5.05263157894737</v>
      </c>
      <c r="G2968" s="19" t="n">
        <f aca="false">'SALES Raw'!F2197*$H$4</f>
        <v>918.063157894737</v>
      </c>
      <c r="H2968" s="18" t="str">
        <f aca="false">'SALES Raw'!A2197</f>
        <v>114 - IL online</v>
      </c>
    </row>
    <row r="2969" customFormat="false" ht="15" hidden="false" customHeight="false" outlineLevel="0" collapsed="false">
      <c r="A2969" s="18" t="n">
        <f aca="false">'SALES Raw'!G2225</f>
        <v>4420037</v>
      </c>
      <c r="B2969" s="18" t="str">
        <f aca="false">'SALES Raw'!B2225</f>
        <v>301JW-36-40</v>
      </c>
      <c r="C2969" s="18" t="str">
        <f aca="false">'SALES Raw'!H2225</f>
        <v>301JW רפידת ג'ל כחול36-40</v>
      </c>
      <c r="D2969" s="19" t="n">
        <f aca="false">'SALES Raw'!C2225</f>
        <v>1</v>
      </c>
      <c r="E2969" s="19" t="n">
        <f aca="false">'SALES Raw'!D2225</f>
        <v>128.73</v>
      </c>
      <c r="F2969" s="19" t="n">
        <f aca="false">'SALES Raw'!E2225*$H$4</f>
        <v>5.05263157894737</v>
      </c>
      <c r="G2969" s="19" t="n">
        <f aca="false">'SALES Raw'!F2225*$H$4</f>
        <v>325.225263157895</v>
      </c>
      <c r="H2969" s="18" t="str">
        <f aca="false">'SALES Raw'!A2225</f>
        <v>114 - IL online</v>
      </c>
    </row>
    <row r="2970" customFormat="false" ht="15" hidden="false" customHeight="false" outlineLevel="0" collapsed="false">
      <c r="A2970" s="18" t="str">
        <f aca="false">'SALES Raw'!G2233</f>
        <v/>
      </c>
      <c r="B2970" s="18" t="str">
        <f aca="false">'SALES Raw'!B2233</f>
        <v>305-35-36</v>
      </c>
      <c r="C2970" s="18" t="str">
        <f aca="false">'SALES Raw'!H2233</f>
        <v>305-35-36</v>
      </c>
      <c r="D2970" s="19" t="n">
        <f aca="false">'SALES Raw'!C2233</f>
        <v>0</v>
      </c>
      <c r="E2970" s="19" t="n">
        <f aca="false">'SALES Raw'!D2233</f>
        <v>0</v>
      </c>
      <c r="F2970" s="19" t="n">
        <f aca="false">'SALES Raw'!E2233*$H$4</f>
        <v>5.05263157894737</v>
      </c>
      <c r="G2970" s="19" t="n">
        <f aca="false">'SALES Raw'!F2233*$H$4</f>
        <v>781.048421052632</v>
      </c>
      <c r="H2970" s="18" t="str">
        <f aca="false">'SALES Raw'!A2233</f>
        <v>114 - IL online</v>
      </c>
    </row>
    <row r="2971" customFormat="false" ht="15" hidden="false" customHeight="false" outlineLevel="0" collapsed="false">
      <c r="A2971" s="18" t="n">
        <f aca="false">'SALES Raw'!G2240</f>
        <v>4413154</v>
      </c>
      <c r="B2971" s="18" t="str">
        <f aca="false">'SALES Raw'!B2240</f>
        <v>305GA-37-38</v>
      </c>
      <c r="C2971" s="18" t="str">
        <f aca="false">'SALES Raw'!H2240</f>
        <v>305GA מדרס אורטופ.מתכוון37-38</v>
      </c>
      <c r="D2971" s="19" t="n">
        <f aca="false">'SALES Raw'!C2240</f>
        <v>10</v>
      </c>
      <c r="E2971" s="19" t="n">
        <f aca="false">'SALES Raw'!D2240</f>
        <v>1558.57</v>
      </c>
      <c r="F2971" s="19" t="n">
        <f aca="false">'SALES Raw'!E2240*$H$4</f>
        <v>5.05263157894737</v>
      </c>
      <c r="G2971" s="19" t="n">
        <f aca="false">'SALES Raw'!F2240*$H$4</f>
        <v>834.568421052632</v>
      </c>
      <c r="H2971" s="18" t="str">
        <f aca="false">'SALES Raw'!A2240</f>
        <v>114 - IL online</v>
      </c>
    </row>
    <row r="2972" customFormat="false" ht="15" hidden="false" customHeight="false" outlineLevel="0" collapsed="false">
      <c r="A2972" s="18" t="str">
        <f aca="false">'SALES Raw'!G2254</f>
        <v/>
      </c>
      <c r="B2972" s="18" t="str">
        <f aca="false">'SALES Raw'!B2254</f>
        <v>32 L</v>
      </c>
      <c r="C2972" s="18" t="str">
        <f aca="false">'SALES Raw'!H2254</f>
        <v>32 L</v>
      </c>
      <c r="D2972" s="19" t="n">
        <f aca="false">'SALES Raw'!C2254</f>
        <v>6</v>
      </c>
      <c r="E2972" s="19" t="n">
        <f aca="false">'SALES Raw'!D2254</f>
        <v>1884.83</v>
      </c>
      <c r="F2972" s="19" t="n">
        <f aca="false">'SALES Raw'!E2254*$H$4</f>
        <v>5.05263157894737</v>
      </c>
      <c r="G2972" s="19" t="n">
        <f aca="false">'SALES Raw'!F2254*$H$4</f>
        <v>1749.19578947368</v>
      </c>
      <c r="H2972" s="18" t="str">
        <f aca="false">'SALES Raw'!A2254</f>
        <v>114 - IL online</v>
      </c>
    </row>
    <row r="2973" customFormat="false" ht="15" hidden="false" customHeight="false" outlineLevel="0" collapsed="false">
      <c r="A2973" s="18" t="n">
        <f aca="false">'SALES Raw'!G2256</f>
        <v>4415013</v>
      </c>
      <c r="B2973" s="18" t="str">
        <f aca="false">'SALES Raw'!B2256</f>
        <v>32 XL</v>
      </c>
      <c r="C2973" s="18" t="str">
        <f aca="false">'SALES Raw'!H2256</f>
        <v>32 XL סד קרסול+מוטות אלומיניום</v>
      </c>
      <c r="D2973" s="19" t="n">
        <f aca="false">'SALES Raw'!C2256</f>
        <v>0</v>
      </c>
      <c r="E2973" s="19" t="n">
        <f aca="false">'SALES Raw'!D2256</f>
        <v>0</v>
      </c>
      <c r="F2973" s="19" t="n">
        <f aca="false">'SALES Raw'!E2256*$H$4</f>
        <v>5.05263157894737</v>
      </c>
      <c r="G2973" s="19" t="n">
        <f aca="false">'SALES Raw'!F2256*$H$4</f>
        <v>1943.54526315789</v>
      </c>
      <c r="H2973" s="18" t="str">
        <f aca="false">'SALES Raw'!A2256</f>
        <v>114 - IL online</v>
      </c>
    </row>
    <row r="2974" customFormat="false" ht="15" hidden="false" customHeight="false" outlineLevel="0" collapsed="false">
      <c r="A2974" s="18" t="n">
        <f aca="false">'SALES Raw'!G2262</f>
        <v>4413041</v>
      </c>
      <c r="B2974" s="18" t="str">
        <f aca="false">'SALES Raw'!B2262</f>
        <v>34 M</v>
      </c>
      <c r="C2974" s="18" t="str">
        <f aca="false">'SALES Raw'!H2262</f>
        <v>34  M מגן קרסול עקב סגור</v>
      </c>
      <c r="D2974" s="19" t="n">
        <f aca="false">'SALES Raw'!C2262</f>
        <v>7</v>
      </c>
      <c r="E2974" s="19" t="n">
        <f aca="false">'SALES Raw'!D2262</f>
        <v>518.41</v>
      </c>
      <c r="F2974" s="19" t="n">
        <f aca="false">'SALES Raw'!E2262*$H$4</f>
        <v>5.05263157894737</v>
      </c>
      <c r="G2974" s="19" t="n">
        <f aca="false">'SALES Raw'!F2262*$H$4</f>
        <v>401.027368421053</v>
      </c>
      <c r="H2974" s="18" t="str">
        <f aca="false">'SALES Raw'!A2262</f>
        <v>114 - IL online</v>
      </c>
    </row>
    <row r="2975" customFormat="false" ht="15" hidden="false" customHeight="false" outlineLevel="0" collapsed="false">
      <c r="A2975" s="18" t="str">
        <f aca="false">'SALES Raw'!G2278</f>
        <v/>
      </c>
      <c r="B2975" s="18" t="str">
        <f aca="false">'SALES Raw'!B2278</f>
        <v>35 XS</v>
      </c>
      <c r="C2975" s="18" t="str">
        <f aca="false">'SALES Raw'!H2278</f>
        <v>35 XS</v>
      </c>
      <c r="D2975" s="19" t="n">
        <f aca="false">'SALES Raw'!C2278</f>
        <v>2</v>
      </c>
      <c r="E2975" s="19" t="n">
        <f aca="false">'SALES Raw'!D2278</f>
        <v>110</v>
      </c>
      <c r="F2975" s="19" t="n">
        <f aca="false">'SALES Raw'!E2278*$H$4</f>
        <v>5.05263157894737</v>
      </c>
      <c r="G2975" s="19" t="n">
        <f aca="false">'SALES Raw'!F2278*$H$4</f>
        <v>268.08</v>
      </c>
      <c r="H2975" s="18" t="str">
        <f aca="false">'SALES Raw'!A2278</f>
        <v>114 - IL online</v>
      </c>
    </row>
    <row r="2976" customFormat="false" ht="15" hidden="false" customHeight="false" outlineLevel="0" collapsed="false">
      <c r="A2976" s="18" t="n">
        <f aca="false">'SALES Raw'!G2282</f>
        <v>4413493</v>
      </c>
      <c r="B2976" s="18" t="str">
        <f aca="false">'SALES Raw'!B2282</f>
        <v>35B S</v>
      </c>
      <c r="C2976" s="18" t="str">
        <f aca="false">'SALES Raw'!H2282</f>
        <v>35B S מגן קרסול שחור</v>
      </c>
      <c r="D2976" s="19" t="n">
        <f aca="false">'SALES Raw'!C2282</f>
        <v>6</v>
      </c>
      <c r="E2976" s="19" t="n">
        <f aca="false">'SALES Raw'!D2282</f>
        <v>312.76</v>
      </c>
      <c r="F2976" s="19" t="n">
        <f aca="false">'SALES Raw'!E2282*$H$4</f>
        <v>5.05263157894737</v>
      </c>
      <c r="G2976" s="19" t="n">
        <f aca="false">'SALES Raw'!F2282*$H$4</f>
        <v>282.189473684211</v>
      </c>
      <c r="H2976" s="18" t="str">
        <f aca="false">'SALES Raw'!A2282</f>
        <v>114 - IL online</v>
      </c>
    </row>
    <row r="2977" customFormat="false" ht="15" hidden="false" customHeight="false" outlineLevel="0" collapsed="false">
      <c r="A2977" s="18" t="n">
        <f aca="false">'SALES Raw'!G2288</f>
        <v>4413055</v>
      </c>
      <c r="B2977" s="18" t="str">
        <f aca="false">'SALES Raw'!B2288</f>
        <v>35C XL</v>
      </c>
      <c r="C2977" s="18" t="str">
        <f aca="false">'SALES Raw'!H2288</f>
        <v>35C XL מגן קרסול חום</v>
      </c>
      <c r="D2977" s="19" t="n">
        <f aca="false">'SALES Raw'!C2288</f>
        <v>1</v>
      </c>
      <c r="E2977" s="19" t="n">
        <f aca="false">'SALES Raw'!D2288</f>
        <v>55.85</v>
      </c>
      <c r="F2977" s="19" t="n">
        <f aca="false">'SALES Raw'!E2288*$H$4</f>
        <v>5.05263157894737</v>
      </c>
      <c r="G2977" s="19" t="n">
        <f aca="false">'SALES Raw'!F2288*$H$4</f>
        <v>282.189473684211</v>
      </c>
      <c r="H2977" s="18" t="str">
        <f aca="false">'SALES Raw'!A2288</f>
        <v>114 - IL online</v>
      </c>
    </row>
    <row r="2978" customFormat="false" ht="15" hidden="false" customHeight="false" outlineLevel="0" collapsed="false">
      <c r="A2978" s="18" t="str">
        <f aca="false">'SALES Raw'!G2290</f>
        <v/>
      </c>
      <c r="B2978" s="18" t="str">
        <f aca="false">'SALES Raw'!B2290</f>
        <v>35C XXL</v>
      </c>
      <c r="C2978" s="18" t="str">
        <f aca="false">'SALES Raw'!H2290</f>
        <v>35C XXL</v>
      </c>
      <c r="D2978" s="19" t="n">
        <f aca="false">'SALES Raw'!C2290</f>
        <v>8</v>
      </c>
      <c r="E2978" s="19" t="n">
        <f aca="false">'SALES Raw'!D2290</f>
        <v>413.49</v>
      </c>
      <c r="F2978" s="19" t="n">
        <f aca="false">'SALES Raw'!E2290*$H$4</f>
        <v>5.05263157894737</v>
      </c>
      <c r="G2978" s="19" t="n">
        <f aca="false">'SALES Raw'!F2290*$H$4</f>
        <v>282.189473684211</v>
      </c>
      <c r="H2978" s="18" t="str">
        <f aca="false">'SALES Raw'!A2290</f>
        <v>114 - IL online</v>
      </c>
    </row>
    <row r="2979" customFormat="false" ht="15" hidden="false" customHeight="false" outlineLevel="0" collapsed="false">
      <c r="A2979" s="18" t="str">
        <f aca="false">'SALES Raw'!G2304</f>
        <v/>
      </c>
      <c r="B2979" s="18" t="str">
        <f aca="false">'SALES Raw'!B2304</f>
        <v>365 XL</v>
      </c>
      <c r="C2979" s="18" t="str">
        <f aca="false">'SALES Raw'!H2304</f>
        <v>365 XL</v>
      </c>
      <c r="D2979" s="19" t="n">
        <f aca="false">'SALES Raw'!C2304</f>
        <v>0</v>
      </c>
      <c r="E2979" s="19" t="n">
        <f aca="false">'SALES Raw'!D2304</f>
        <v>0</v>
      </c>
      <c r="F2979" s="19" t="n">
        <f aca="false">'SALES Raw'!E2304*$H$4</f>
        <v>5.05263157894737</v>
      </c>
      <c r="G2979" s="19" t="n">
        <f aca="false">'SALES Raw'!F2304*$H$4</f>
        <v>121.616842105263</v>
      </c>
      <c r="H2979" s="18" t="str">
        <f aca="false">'SALES Raw'!A2304</f>
        <v>114 - IL online</v>
      </c>
    </row>
    <row r="2980" customFormat="false" ht="15" hidden="false" customHeight="false" outlineLevel="0" collapsed="false">
      <c r="A2980" s="18" t="n">
        <f aca="false">'SALES Raw'!G2337</f>
        <v>4408069</v>
      </c>
      <c r="B2980" s="18" t="str">
        <f aca="false">'SALES Raw'!B2337</f>
        <v>38 0</v>
      </c>
      <c r="C2980" s="18" t="str">
        <f aca="false">'SALES Raw'!H2337</f>
        <v>38 .חבישת""""הלוקס ולגוס""""לאחר נית</v>
      </c>
      <c r="D2980" s="19" t="n">
        <f aca="false">'SALES Raw'!C2337</f>
        <v>14</v>
      </c>
      <c r="E2980" s="19" t="n">
        <f aca="false">'SALES Raw'!D2337</f>
        <v>2149.27</v>
      </c>
      <c r="F2980" s="19" t="n">
        <f aca="false">'SALES Raw'!E2337*$H$4</f>
        <v>5.05263157894737</v>
      </c>
      <c r="G2980" s="19" t="n">
        <f aca="false">'SALES Raw'!F2337*$H$4</f>
        <v>792.821052631579</v>
      </c>
      <c r="H2980" s="18" t="str">
        <f aca="false">'SALES Raw'!A2337</f>
        <v>114 - IL online</v>
      </c>
    </row>
    <row r="2981" customFormat="false" ht="15" hidden="false" customHeight="false" outlineLevel="0" collapsed="false">
      <c r="A2981" s="18" t="str">
        <f aca="false">'SALES Raw'!G2345</f>
        <v/>
      </c>
      <c r="B2981" s="18" t="str">
        <f aca="false">'SALES Raw'!B2345</f>
        <v>390G-39-42</v>
      </c>
      <c r="C2981" s="18" t="str">
        <f aca="false">'SALES Raw'!H2345</f>
        <v>390G-39-42</v>
      </c>
      <c r="D2981" s="19" t="n">
        <f aca="false">'SALES Raw'!C2345</f>
        <v>12</v>
      </c>
      <c r="E2981" s="19" t="n">
        <f aca="false">'SALES Raw'!D2345</f>
        <v>603.87</v>
      </c>
      <c r="F2981" s="19" t="n">
        <f aca="false">'SALES Raw'!E2345*$H$4</f>
        <v>5.05263157894737</v>
      </c>
      <c r="G2981" s="19" t="n">
        <f aca="false">'SALES Raw'!F2345*$H$4</f>
        <v>288.618947368421</v>
      </c>
      <c r="H2981" s="18" t="str">
        <f aca="false">'SALES Raw'!A2345</f>
        <v>114 - IL online</v>
      </c>
    </row>
    <row r="2982" customFormat="false" ht="15" hidden="false" customHeight="false" outlineLevel="0" collapsed="false">
      <c r="A2982" s="18" t="n">
        <f aca="false">'SALES Raw'!G2348</f>
        <v>4403007</v>
      </c>
      <c r="B2982" s="18" t="str">
        <f aca="false">'SALES Raw'!B2348</f>
        <v>390W-39-42</v>
      </c>
      <c r="C2982" s="18" t="str">
        <f aca="false">'SALES Raw'!H2348</f>
        <v>390W גרב.כסף לסכרתיים לבן39-42</v>
      </c>
      <c r="D2982" s="19" t="n">
        <f aca="false">'SALES Raw'!C2348</f>
        <v>14</v>
      </c>
      <c r="E2982" s="19" t="n">
        <f aca="false">'SALES Raw'!D2348</f>
        <v>725.3</v>
      </c>
      <c r="F2982" s="19" t="n">
        <f aca="false">'SALES Raw'!E2348*$H$4</f>
        <v>5.05263157894737</v>
      </c>
      <c r="G2982" s="19" t="n">
        <f aca="false">'SALES Raw'!F2348*$H$4</f>
        <v>256.572631578947</v>
      </c>
      <c r="H2982" s="18" t="str">
        <f aca="false">'SALES Raw'!A2348</f>
        <v>114 - IL online</v>
      </c>
    </row>
    <row r="2983" customFormat="false" ht="15" hidden="false" customHeight="false" outlineLevel="0" collapsed="false">
      <c r="A2983" s="18" t="str">
        <f aca="false">'SALES Raw'!G2353</f>
        <v/>
      </c>
      <c r="B2983" s="18" t="str">
        <f aca="false">'SALES Raw'!B2353</f>
        <v>391W-35-38</v>
      </c>
      <c r="C2983" s="18" t="str">
        <f aca="false">'SALES Raw'!H2353</f>
        <v>391W-35-38</v>
      </c>
      <c r="D2983" s="19" t="n">
        <f aca="false">'SALES Raw'!C2353</f>
        <v>0</v>
      </c>
      <c r="E2983" s="19" t="n">
        <f aca="false">'SALES Raw'!D2353</f>
        <v>0</v>
      </c>
      <c r="F2983" s="19" t="n">
        <f aca="false">'SALES Raw'!E2353*$H$4</f>
        <v>5.05263157894737</v>
      </c>
      <c r="G2983" s="19" t="n">
        <f aca="false">'SALES Raw'!F2353*$H$4</f>
        <v>276.593684210526</v>
      </c>
      <c r="H2983" s="18" t="str">
        <f aca="false">'SALES Raw'!A2353</f>
        <v>114 - IL online</v>
      </c>
    </row>
    <row r="2984" customFormat="false" ht="15" hidden="false" customHeight="false" outlineLevel="0" collapsed="false">
      <c r="A2984" s="18" t="n">
        <f aca="false">'SALES Raw'!G2356</f>
        <v>4403017</v>
      </c>
      <c r="B2984" s="18" t="str">
        <f aca="false">'SALES Raw'!B2356</f>
        <v>394B-35-38</v>
      </c>
      <c r="C2984" s="18" t="str">
        <f aca="false">'SALES Raw'!H2356</f>
        <v>394B גרב.כסף לסכרתים שחור35-38</v>
      </c>
      <c r="D2984" s="19" t="n">
        <f aca="false">'SALES Raw'!C2356</f>
        <v>10</v>
      </c>
      <c r="E2984" s="19" t="n">
        <f aca="false">'SALES Raw'!D2356</f>
        <v>477.98</v>
      </c>
      <c r="F2984" s="19" t="n">
        <f aca="false">'SALES Raw'!E2356*$H$4</f>
        <v>5.05263157894737</v>
      </c>
      <c r="G2984" s="19" t="n">
        <f aca="false">'SALES Raw'!F2356*$H$4</f>
        <v>208.383157894737</v>
      </c>
      <c r="H2984" s="18" t="str">
        <f aca="false">'SALES Raw'!A2356</f>
        <v>114 - IL online</v>
      </c>
    </row>
    <row r="2985" customFormat="false" ht="15" hidden="false" customHeight="false" outlineLevel="0" collapsed="false">
      <c r="A2985" s="18" t="n">
        <f aca="false">'SALES Raw'!G2380</f>
        <v>4413073</v>
      </c>
      <c r="B2985" s="18" t="str">
        <f aca="false">'SALES Raw'!B2380</f>
        <v>41 M</v>
      </c>
      <c r="C2985" s="18" t="str">
        <f aca="false">'SALES Raw'!H2380</f>
        <v>41 Mמ.ברך מוצלב+ספירלות בצדדים</v>
      </c>
      <c r="D2985" s="19" t="n">
        <f aca="false">'SALES Raw'!C2380</f>
        <v>4</v>
      </c>
      <c r="E2985" s="19" t="n">
        <f aca="false">'SALES Raw'!D2380</f>
        <v>846.3</v>
      </c>
      <c r="F2985" s="19" t="n">
        <f aca="false">'SALES Raw'!E2380*$H$4</f>
        <v>5.05263157894737</v>
      </c>
      <c r="G2985" s="19" t="n">
        <f aca="false">'SALES Raw'!F2380*$H$4</f>
        <v>1097.89894736842</v>
      </c>
      <c r="H2985" s="18" t="str">
        <f aca="false">'SALES Raw'!A2380</f>
        <v>114 - IL online</v>
      </c>
    </row>
    <row r="2986" customFormat="false" ht="15" hidden="false" customHeight="false" outlineLevel="0" collapsed="false">
      <c r="A2986" s="18" t="n">
        <f aca="false">'SALES Raw'!G2404</f>
        <v>4413332</v>
      </c>
      <c r="B2986" s="18" t="str">
        <f aca="false">'SALES Raw'!B2404</f>
        <v>45 XS</v>
      </c>
      <c r="C2986" s="18" t="str">
        <f aca="false">'SALES Raw'!H2404</f>
        <v>45  XS מגן ברך רגיל לבן</v>
      </c>
      <c r="D2986" s="19" t="n">
        <f aca="false">'SALES Raw'!C2404</f>
        <v>3</v>
      </c>
      <c r="E2986" s="19" t="n">
        <f aca="false">'SALES Raw'!D2404</f>
        <v>140.97</v>
      </c>
      <c r="F2986" s="19" t="n">
        <f aca="false">'SALES Raw'!E2404*$H$4</f>
        <v>5.05263157894737</v>
      </c>
      <c r="G2986" s="19" t="n">
        <f aca="false">'SALES Raw'!F2404*$H$4</f>
        <v>282.189473684211</v>
      </c>
      <c r="H2986" s="18" t="str">
        <f aca="false">'SALES Raw'!A2404</f>
        <v>114 - IL online</v>
      </c>
    </row>
    <row r="2987" customFormat="false" ht="15" hidden="false" customHeight="false" outlineLevel="0" collapsed="false">
      <c r="A2987" s="18" t="n">
        <f aca="false">'SALES Raw'!G2408</f>
        <v>4413498</v>
      </c>
      <c r="B2987" s="18" t="str">
        <f aca="false">'SALES Raw'!B2408</f>
        <v>45B S</v>
      </c>
      <c r="C2987" s="18" t="str">
        <f aca="false">'SALES Raw'!H2408</f>
        <v>45B S מגן ברך שחור</v>
      </c>
      <c r="D2987" s="19" t="n">
        <f aca="false">'SALES Raw'!C2408</f>
        <v>9</v>
      </c>
      <c r="E2987" s="19" t="n">
        <f aca="false">'SALES Raw'!D2408</f>
        <v>457.96</v>
      </c>
      <c r="F2987" s="19" t="n">
        <f aca="false">'SALES Raw'!E2408*$H$4</f>
        <v>5.05263157894737</v>
      </c>
      <c r="G2987" s="19" t="n">
        <f aca="false">'SALES Raw'!F2408*$H$4</f>
        <v>268.08</v>
      </c>
      <c r="H2987" s="18" t="str">
        <f aca="false">'SALES Raw'!A2408</f>
        <v>114 - IL online</v>
      </c>
    </row>
    <row r="2988" customFormat="false" ht="15" hidden="false" customHeight="false" outlineLevel="0" collapsed="false">
      <c r="A2988" s="18" t="n">
        <f aca="false">'SALES Raw'!G2413</f>
        <v>4413097</v>
      </c>
      <c r="B2988" s="18" t="str">
        <f aca="false">'SALES Raw'!B2413</f>
        <v>45C S</v>
      </c>
      <c r="C2988" s="18" t="str">
        <f aca="false">'SALES Raw'!H2413</f>
        <v>45C S מגן ברך חום</v>
      </c>
      <c r="D2988" s="19" t="n">
        <f aca="false">'SALES Raw'!C2413</f>
        <v>4</v>
      </c>
      <c r="E2988" s="19" t="n">
        <f aca="false">'SALES Raw'!D2413</f>
        <v>192.68</v>
      </c>
      <c r="F2988" s="19" t="n">
        <f aca="false">'SALES Raw'!E2413*$H$4</f>
        <v>5.05263157894737</v>
      </c>
      <c r="G2988" s="19" t="n">
        <f aca="false">'SALES Raw'!F2413*$H$4</f>
        <v>275.128421052632</v>
      </c>
      <c r="H2988" s="18" t="str">
        <f aca="false">'SALES Raw'!A2413</f>
        <v>114 - IL online</v>
      </c>
    </row>
    <row r="2989" customFormat="false" ht="15" hidden="false" customHeight="false" outlineLevel="0" collapsed="false">
      <c r="A2989" s="18" t="str">
        <f aca="false">'SALES Raw'!G2431</f>
        <v/>
      </c>
      <c r="B2989" s="18" t="str">
        <f aca="false">'SALES Raw'!B2431</f>
        <v>48 XXL</v>
      </c>
      <c r="C2989" s="18" t="str">
        <f aca="false">'SALES Raw'!H2431</f>
        <v>48 XXL</v>
      </c>
      <c r="D2989" s="19" t="n">
        <f aca="false">'SALES Raw'!C2431</f>
        <v>4</v>
      </c>
      <c r="E2989" s="19" t="n">
        <f aca="false">'SALES Raw'!D2431</f>
        <v>409.84</v>
      </c>
      <c r="F2989" s="19" t="n">
        <f aca="false">'SALES Raw'!E2431*$H$4</f>
        <v>5.05263157894737</v>
      </c>
      <c r="G2989" s="19" t="n">
        <f aca="false">'SALES Raw'!F2431*$H$4</f>
        <v>504.732631578947</v>
      </c>
      <c r="H2989" s="18" t="str">
        <f aca="false">'SALES Raw'!A2431</f>
        <v>114 - IL online</v>
      </c>
    </row>
    <row r="2990" customFormat="false" ht="15" hidden="false" customHeight="false" outlineLevel="0" collapsed="false">
      <c r="A2990" s="18" t="n">
        <f aca="false">'SALES Raw'!G2433</f>
        <v>4413113</v>
      </c>
      <c r="B2990" s="18" t="str">
        <f aca="false">'SALES Raw'!B2433</f>
        <v>49 M</v>
      </c>
      <c r="C2990" s="18" t="str">
        <f aca="false">'SALES Raw'!H2433</f>
        <v>49  M מגן ירך</v>
      </c>
      <c r="D2990" s="19" t="n">
        <f aca="false">'SALES Raw'!C2433</f>
        <v>11</v>
      </c>
      <c r="E2990" s="19" t="n">
        <f aca="false">'SALES Raw'!D2433</f>
        <v>675.74</v>
      </c>
      <c r="F2990" s="19" t="n">
        <f aca="false">'SALES Raw'!E2433*$H$4</f>
        <v>5.05263157894737</v>
      </c>
      <c r="G2990" s="19" t="n">
        <f aca="false">'SALES Raw'!F2433*$H$4</f>
        <v>300.669473684211</v>
      </c>
      <c r="H2990" s="18" t="str">
        <f aca="false">'SALES Raw'!A2433</f>
        <v>114 - IL online</v>
      </c>
    </row>
    <row r="2991" customFormat="false" ht="15" hidden="false" customHeight="false" outlineLevel="0" collapsed="false">
      <c r="A2991" s="18" t="n">
        <f aca="false">'SALES Raw'!G2435</f>
        <v>4413114</v>
      </c>
      <c r="B2991" s="18" t="str">
        <f aca="false">'SALES Raw'!B2435</f>
        <v>49 XL</v>
      </c>
      <c r="C2991" s="18" t="str">
        <f aca="false">'SALES Raw'!H2435</f>
        <v>49 XL מגן ירך</v>
      </c>
      <c r="D2991" s="19" t="n">
        <f aca="false">'SALES Raw'!C2435</f>
        <v>6</v>
      </c>
      <c r="E2991" s="19" t="n">
        <f aca="false">'SALES Raw'!D2435</f>
        <v>367.91</v>
      </c>
      <c r="F2991" s="19" t="n">
        <f aca="false">'SALES Raw'!E2435*$H$4</f>
        <v>5.05263157894737</v>
      </c>
      <c r="G2991" s="19" t="n">
        <f aca="false">'SALES Raw'!F2435*$H$4</f>
        <v>320.690526315789</v>
      </c>
      <c r="H2991" s="18" t="str">
        <f aca="false">'SALES Raw'!A2435</f>
        <v>114 - IL online</v>
      </c>
    </row>
    <row r="2992" customFormat="false" ht="15" hidden="false" customHeight="false" outlineLevel="0" collapsed="false">
      <c r="A2992" s="18" t="n">
        <f aca="false">'SALES Raw'!G2436</f>
        <v>4413115</v>
      </c>
      <c r="B2992" s="18" t="str">
        <f aca="false">'SALES Raw'!B2436</f>
        <v>49 XXL</v>
      </c>
      <c r="C2992" s="18" t="str">
        <f aca="false">'SALES Raw'!H2436</f>
        <v>49 XXL מגן ירך</v>
      </c>
      <c r="D2992" s="19" t="n">
        <f aca="false">'SALES Raw'!C2436</f>
        <v>6</v>
      </c>
      <c r="E2992" s="19" t="n">
        <f aca="false">'SALES Raw'!D2436</f>
        <v>358.61</v>
      </c>
      <c r="F2992" s="19" t="n">
        <f aca="false">'SALES Raw'!E2436*$H$4</f>
        <v>5.05263157894737</v>
      </c>
      <c r="G2992" s="19" t="n">
        <f aca="false">'SALES Raw'!F2436*$H$4</f>
        <v>320.703157894737</v>
      </c>
      <c r="H2992" s="18" t="str">
        <f aca="false">'SALES Raw'!A2436</f>
        <v>114 - IL online</v>
      </c>
    </row>
    <row r="2993" customFormat="false" ht="15" hidden="false" customHeight="false" outlineLevel="0" collapsed="false">
      <c r="A2993" s="18" t="str">
        <f aca="false">'SALES Raw'!G2437</f>
        <v/>
      </c>
      <c r="B2993" s="18" t="str">
        <f aca="false">'SALES Raw'!B2437</f>
        <v>49PS L</v>
      </c>
      <c r="C2993" s="18" t="str">
        <f aca="false">'SALES Raw'!H2437</f>
        <v>49PS L</v>
      </c>
      <c r="D2993" s="19" t="n">
        <f aca="false">'SALES Raw'!C2437</f>
        <v>1</v>
      </c>
      <c r="E2993" s="19" t="n">
        <f aca="false">'SALES Raw'!D2437</f>
        <v>240</v>
      </c>
      <c r="F2993" s="19" t="n">
        <f aca="false">'SALES Raw'!E2437*$H$4</f>
        <v>5.05263157894737</v>
      </c>
      <c r="G2993" s="19" t="n">
        <f aca="false">'SALES Raw'!F2437*$H$4</f>
        <v>1189.41473684211</v>
      </c>
      <c r="H2993" s="18" t="str">
        <f aca="false">'SALES Raw'!A2437</f>
        <v>114 - IL online</v>
      </c>
    </row>
    <row r="2994" customFormat="false" ht="15" hidden="false" customHeight="false" outlineLevel="0" collapsed="false">
      <c r="A2994" s="18" t="n">
        <f aca="false">'SALES Raw'!G2455</f>
        <v>4408076</v>
      </c>
      <c r="B2994" s="18" t="str">
        <f aca="false">'SALES Raw'!B2455</f>
        <v>59L L</v>
      </c>
      <c r="C2994" s="18" t="str">
        <f aca="false">'SALES Raw'!H2455</f>
        <v>59L L חגורת שבר לצד שמאל</v>
      </c>
      <c r="D2994" s="19" t="n">
        <f aca="false">'SALES Raw'!C2455</f>
        <v>7</v>
      </c>
      <c r="E2994" s="19" t="n">
        <f aca="false">'SALES Raw'!D2455</f>
        <v>2193.44</v>
      </c>
      <c r="F2994" s="19" t="n">
        <f aca="false">'SALES Raw'!E2455*$H$4</f>
        <v>5.05263157894737</v>
      </c>
      <c r="G2994" s="19" t="n">
        <f aca="false">'SALES Raw'!F2455*$H$4</f>
        <v>1712.33684210526</v>
      </c>
      <c r="H2994" s="18" t="str">
        <f aca="false">'SALES Raw'!A2455</f>
        <v>114 - IL online</v>
      </c>
    </row>
    <row r="2995" customFormat="false" ht="15" hidden="false" customHeight="false" outlineLevel="0" collapsed="false">
      <c r="A2995" s="18" t="str">
        <f aca="false">'SALES Raw'!G2485</f>
        <v/>
      </c>
      <c r="B2995" s="18" t="str">
        <f aca="false">'SALES Raw'!B2485</f>
        <v>63 L</v>
      </c>
      <c r="C2995" s="18" t="str">
        <f aca="false">'SALES Raw'!H2485</f>
        <v>63 L</v>
      </c>
      <c r="D2995" s="19" t="n">
        <f aca="false">'SALES Raw'!C2485</f>
        <v>5</v>
      </c>
      <c r="E2995" s="19" t="n">
        <f aca="false">'SALES Raw'!D2485</f>
        <v>559.16</v>
      </c>
      <c r="F2995" s="19" t="n">
        <f aca="false">'SALES Raw'!E2485*$H$4</f>
        <v>5.05263157894737</v>
      </c>
      <c r="G2995" s="19" t="n">
        <f aca="false">'SALES Raw'!F2485*$H$4</f>
        <v>577.212631578947</v>
      </c>
      <c r="H2995" s="18" t="str">
        <f aca="false">'SALES Raw'!A2485</f>
        <v>114 - IL online</v>
      </c>
    </row>
    <row r="2996" customFormat="false" ht="15" hidden="false" customHeight="false" outlineLevel="0" collapsed="false">
      <c r="A2996" s="18" t="str">
        <f aca="false">'SALES Raw'!G2487</f>
        <v/>
      </c>
      <c r="B2996" s="18" t="str">
        <f aca="false">'SALES Raw'!B2487</f>
        <v>63 S</v>
      </c>
      <c r="C2996" s="18" t="str">
        <f aca="false">'SALES Raw'!H2487</f>
        <v>63 S</v>
      </c>
      <c r="D2996" s="19" t="n">
        <f aca="false">'SALES Raw'!C2487</f>
        <v>7</v>
      </c>
      <c r="E2996" s="19" t="n">
        <f aca="false">'SALES Raw'!D2487</f>
        <v>805.67</v>
      </c>
      <c r="F2996" s="19" t="n">
        <f aca="false">'SALES Raw'!E2487*$H$4</f>
        <v>5.05263157894737</v>
      </c>
      <c r="G2996" s="19" t="n">
        <f aca="false">'SALES Raw'!F2487*$H$4</f>
        <v>554.437894736842</v>
      </c>
      <c r="H2996" s="18" t="str">
        <f aca="false">'SALES Raw'!A2487</f>
        <v>114 - IL online</v>
      </c>
    </row>
    <row r="2997" customFormat="false" ht="15" hidden="false" customHeight="false" outlineLevel="0" collapsed="false">
      <c r="A2997" s="18" t="n">
        <f aca="false">'SALES Raw'!G2518</f>
        <v>4401013</v>
      </c>
      <c r="B2997" s="18" t="str">
        <f aca="false">'SALES Raw'!B2518</f>
        <v>805AT-BL</v>
      </c>
      <c r="C2997" s="18" t="str">
        <f aca="false">'SALES Raw'!H2518</f>
        <v>805AT-BLאתלטיק טייפ כחול 20מ""""מ</v>
      </c>
      <c r="D2997" s="19" t="n">
        <f aca="false">'SALES Raw'!C2518</f>
        <v>6</v>
      </c>
      <c r="E2997" s="19" t="n">
        <f aca="false">'SALES Raw'!D2518</f>
        <v>158.5</v>
      </c>
      <c r="F2997" s="19" t="n">
        <f aca="false">'SALES Raw'!E2518*$H$4</f>
        <v>5.05263157894737</v>
      </c>
      <c r="G2997" s="19" t="n">
        <f aca="false">'SALES Raw'!F2518*$H$4</f>
        <v>136.294736842105</v>
      </c>
      <c r="H2997" s="18" t="str">
        <f aca="false">'SALES Raw'!A2518</f>
        <v>114 - IL online</v>
      </c>
    </row>
    <row r="2998" customFormat="false" ht="15" hidden="false" customHeight="false" outlineLevel="0" collapsed="false">
      <c r="A2998" s="18" t="n">
        <f aca="false">'SALES Raw'!G2547</f>
        <v>4413138</v>
      </c>
      <c r="B2998" s="18" t="str">
        <f aca="false">'SALES Raw'!B2547</f>
        <v>85 XL</v>
      </c>
      <c r="C2998" s="18" t="str">
        <f aca="false">'SALES Raw'!H2547</f>
        <v>85 XL (מתלה ליד )כיס</v>
      </c>
      <c r="D2998" s="19" t="n">
        <f aca="false">'SALES Raw'!C2547</f>
        <v>7</v>
      </c>
      <c r="E2998" s="19" t="n">
        <f aca="false">'SALES Raw'!D2547</f>
        <v>701.85</v>
      </c>
      <c r="F2998" s="19" t="n">
        <f aca="false">'SALES Raw'!E2547*$H$4</f>
        <v>5.05263157894737</v>
      </c>
      <c r="G2998" s="19" t="n">
        <f aca="false">'SALES Raw'!F2547*$H$4</f>
        <v>517.692631578947</v>
      </c>
      <c r="H2998" s="18" t="str">
        <f aca="false">'SALES Raw'!A2547</f>
        <v>114 - IL online</v>
      </c>
    </row>
    <row r="2999" customFormat="false" ht="15" hidden="false" customHeight="false" outlineLevel="0" collapsed="false">
      <c r="A2999" s="18" t="n">
        <f aca="false">'SALES Raw'!G2556</f>
        <v>4413196</v>
      </c>
      <c r="B2999" s="18" t="str">
        <f aca="false">'SALES Raw'!B2556</f>
        <v>87 M</v>
      </c>
      <c r="C2999" s="18" t="str">
        <f aca="false">'SALES Raw'!H2556</f>
        <v>87 M מקבע כתף ויד</v>
      </c>
      <c r="D2999" s="19" t="n">
        <f aca="false">'SALES Raw'!C2556</f>
        <v>6</v>
      </c>
      <c r="E2999" s="19" t="n">
        <f aca="false">'SALES Raw'!D2556</f>
        <v>2054.59</v>
      </c>
      <c r="F2999" s="19" t="n">
        <f aca="false">'SALES Raw'!E2556*$H$4</f>
        <v>5.05263157894737</v>
      </c>
      <c r="G2999" s="19" t="n">
        <f aca="false">'SALES Raw'!F2556*$H$4</f>
        <v>1794.75789473684</v>
      </c>
      <c r="H2999" s="18" t="str">
        <f aca="false">'SALES Raw'!A2556</f>
        <v>114 - IL online</v>
      </c>
    </row>
    <row r="3000" customFormat="false" ht="15" hidden="false" customHeight="false" outlineLevel="0" collapsed="false">
      <c r="A3000" s="18" t="str">
        <f aca="false">'SALES Raw'!G2571</f>
        <v/>
      </c>
      <c r="B3000" s="18" t="str">
        <f aca="false">'SALES Raw'!B2571</f>
        <v>922 XXL</v>
      </c>
      <c r="C3000" s="18" t="str">
        <f aca="false">'SALES Raw'!H2571</f>
        <v>922 XXL</v>
      </c>
      <c r="D3000" s="19" t="n">
        <f aca="false">'SALES Raw'!C2571</f>
        <v>1</v>
      </c>
      <c r="E3000" s="19" t="n">
        <f aca="false">'SALES Raw'!D2571</f>
        <v>256.69</v>
      </c>
      <c r="F3000" s="19" t="n">
        <f aca="false">'SALES Raw'!E2571*$H$4</f>
        <v>5.05263157894737</v>
      </c>
      <c r="G3000" s="19" t="n">
        <f aca="false">'SALES Raw'!F2571*$H$4</f>
        <v>1265.60842105263</v>
      </c>
      <c r="H3000" s="18" t="str">
        <f aca="false">'SALES Raw'!A2571</f>
        <v>114 - IL online</v>
      </c>
    </row>
    <row r="3001" customFormat="false" ht="15" hidden="false" customHeight="false" outlineLevel="0" collapsed="false">
      <c r="A3001" s="18" t="str">
        <f aca="false">'SALES Raw'!G2582</f>
        <v/>
      </c>
      <c r="B3001" s="18" t="str">
        <f aca="false">'SALES Raw'!B2582</f>
        <v>95B XS</v>
      </c>
      <c r="C3001" s="18" t="str">
        <f aca="false">'SALES Raw'!H2582</f>
        <v>95B XS</v>
      </c>
      <c r="D3001" s="19" t="n">
        <f aca="false">'SALES Raw'!C2582</f>
        <v>6</v>
      </c>
      <c r="E3001" s="19" t="n">
        <f aca="false">'SALES Raw'!D2582</f>
        <v>309.97</v>
      </c>
      <c r="F3001" s="19" t="n">
        <f aca="false">'SALES Raw'!E2582*$H$4</f>
        <v>5.05263157894737</v>
      </c>
      <c r="G3001" s="19" t="n">
        <f aca="false">'SALES Raw'!F2582*$H$4</f>
        <v>197.949473684211</v>
      </c>
      <c r="H3001" s="18" t="str">
        <f aca="false">'SALES Raw'!A2582</f>
        <v>114 - IL online</v>
      </c>
    </row>
    <row r="3002" customFormat="false" ht="15" hidden="false" customHeight="false" outlineLevel="0" collapsed="false">
      <c r="A3002" s="18" t="str">
        <f aca="false">'SALES Raw'!G2592</f>
        <v/>
      </c>
      <c r="B3002" s="18" t="str">
        <f aca="false">'SALES Raw'!B2592</f>
        <v>95G XL</v>
      </c>
      <c r="C3002" s="18" t="str">
        <f aca="false">'SALES Raw'!H2592</f>
        <v>95G XL</v>
      </c>
      <c r="D3002" s="19" t="n">
        <f aca="false">'SALES Raw'!C2592</f>
        <v>1</v>
      </c>
      <c r="E3002" s="19" t="n">
        <f aca="false">'SALES Raw'!D2592</f>
        <v>47.47</v>
      </c>
      <c r="F3002" s="19" t="n">
        <f aca="false">'SALES Raw'!E2592*$H$4</f>
        <v>5.05263157894737</v>
      </c>
      <c r="G3002" s="19" t="n">
        <f aca="false">'SALES Raw'!F2592*$H$4</f>
        <v>159.498947368421</v>
      </c>
      <c r="H3002" s="18" t="str">
        <f aca="false">'SALES Raw'!A2592</f>
        <v>114 - IL online</v>
      </c>
    </row>
    <row r="3003" customFormat="false" ht="15" hidden="false" customHeight="false" outlineLevel="0" collapsed="false">
      <c r="A3003" s="18" t="str">
        <f aca="false">'SALES Raw'!G2635</f>
        <v/>
      </c>
      <c r="B3003" s="18" t="str">
        <f aca="false">'SALES Raw'!B2635</f>
        <v>N433D XL</v>
      </c>
      <c r="C3003" s="18" t="str">
        <f aca="false">'SALES Raw'!H2635</f>
        <v>N433D XL</v>
      </c>
      <c r="D3003" s="19" t="n">
        <f aca="false">'SALES Raw'!C2635</f>
        <v>6</v>
      </c>
      <c r="E3003" s="19" t="n">
        <f aca="false">'SALES Raw'!D2635</f>
        <v>3347.07</v>
      </c>
      <c r="F3003" s="19" t="n">
        <f aca="false">'SALES Raw'!E2635*$H$4</f>
        <v>5.05263157894737</v>
      </c>
      <c r="G3003" s="19" t="n">
        <f aca="false">'SALES Raw'!F2635*$H$4</f>
        <v>2847.05684210526</v>
      </c>
      <c r="H3003" s="18" t="str">
        <f aca="false">'SALES Raw'!A2635</f>
        <v>114 - IL online</v>
      </c>
    </row>
    <row r="3004" customFormat="false" ht="15" hidden="false" customHeight="false" outlineLevel="0" collapsed="false">
      <c r="A3004" s="18" t="str">
        <f aca="false">'SALES Raw'!G2678</f>
        <v/>
      </c>
      <c r="B3004" s="18" t="str">
        <f aca="false">'SALES Raw'!B2678</f>
        <v>SH776 XL</v>
      </c>
      <c r="C3004" s="18" t="str">
        <f aca="false">'SALES Raw'!H2678</f>
        <v>SH776 XL</v>
      </c>
      <c r="D3004" s="19" t="n">
        <f aca="false">'SALES Raw'!C2678</f>
        <v>0</v>
      </c>
      <c r="E3004" s="19" t="n">
        <f aca="false">'SALES Raw'!D2678</f>
        <v>0</v>
      </c>
      <c r="F3004" s="19" t="n">
        <f aca="false">'SALES Raw'!E2678*$H$4</f>
        <v>5.05263157894737</v>
      </c>
      <c r="G3004" s="19" t="n">
        <f aca="false">'SALES Raw'!F2678*$H$4</f>
        <v>4227.92842105263</v>
      </c>
      <c r="H3004" s="18" t="str">
        <f aca="false">'SALES Raw'!A2678</f>
        <v>114 - IL online</v>
      </c>
    </row>
    <row r="3005" customFormat="false" ht="15" hidden="false" customHeight="false" outlineLevel="0" collapsed="false">
      <c r="A3005" s="18" t="str">
        <f aca="false">'SALES Raw'!G2679</f>
        <v/>
      </c>
      <c r="B3005" s="18" t="str">
        <f aca="false">'SALES Raw'!B2679</f>
        <v>SP302W 0</v>
      </c>
      <c r="C3005" s="18" t="str">
        <f aca="false">'SALES Raw'!H2679</f>
        <v>SP302W 0</v>
      </c>
      <c r="D3005" s="19" t="n">
        <f aca="false">'SALES Raw'!C2679</f>
        <v>3</v>
      </c>
      <c r="E3005" s="19" t="n">
        <f aca="false">'SALES Raw'!D2679</f>
        <v>347.57</v>
      </c>
      <c r="F3005" s="19" t="n">
        <f aca="false">'SALES Raw'!E2679*$H$4</f>
        <v>5.05263157894737</v>
      </c>
      <c r="G3005" s="19" t="n">
        <f aca="false">'SALES Raw'!F2679*$H$4</f>
        <v>487.831578947368</v>
      </c>
      <c r="H3005" s="18" t="str">
        <f aca="false">'SALES Raw'!A2679</f>
        <v>114 - IL online</v>
      </c>
    </row>
    <row r="3006" customFormat="false" ht="15" hidden="false" customHeight="false" outlineLevel="0" collapsed="false">
      <c r="A3006" s="18" t="str">
        <f aca="false">'SALES Raw'!G2694</f>
        <v/>
      </c>
      <c r="B3006" s="18" t="str">
        <f aca="false">'SALES Raw'!B2694</f>
        <v>T03 S</v>
      </c>
      <c r="C3006" s="18" t="str">
        <f aca="false">'SALES Raw'!H2694</f>
        <v>T03 S</v>
      </c>
      <c r="D3006" s="19" t="n">
        <f aca="false">'SALES Raw'!C2694</f>
        <v>1</v>
      </c>
      <c r="E3006" s="19" t="n">
        <f aca="false">'SALES Raw'!D2694</f>
        <v>200.76</v>
      </c>
      <c r="F3006" s="19" t="n">
        <f aca="false">'SALES Raw'!E2694*$H$4</f>
        <v>5.05263157894737</v>
      </c>
      <c r="G3006" s="19" t="n">
        <f aca="false">'SALES Raw'!F2694*$H$4</f>
        <v>1014.37894736842</v>
      </c>
      <c r="H3006" s="18" t="str">
        <f aca="false">'SALES Raw'!A2694</f>
        <v>114 - IL online</v>
      </c>
    </row>
    <row r="3007" customFormat="false" ht="15" hidden="false" customHeight="false" outlineLevel="0" collapsed="false">
      <c r="A3007" s="18" t="str">
        <f aca="false">'SALES Raw'!G2719</f>
        <v/>
      </c>
      <c r="B3007" s="18" t="str">
        <f aca="false">'SALES Raw'!B2719</f>
        <v>T33 XL</v>
      </c>
      <c r="C3007" s="18" t="str">
        <f aca="false">'SALES Raw'!H2719</f>
        <v>T33 XL</v>
      </c>
      <c r="D3007" s="19" t="n">
        <f aca="false">'SALES Raw'!C2719</f>
        <v>4</v>
      </c>
      <c r="E3007" s="19" t="n">
        <f aca="false">'SALES Raw'!D2719</f>
        <v>927.65</v>
      </c>
      <c r="F3007" s="19" t="n">
        <f aca="false">'SALES Raw'!E2719*$H$4</f>
        <v>5.05263157894737</v>
      </c>
      <c r="G3007" s="19" t="n">
        <f aca="false">'SALES Raw'!F2719*$H$4</f>
        <v>1284.13894736842</v>
      </c>
      <c r="H3007" s="18" t="str">
        <f aca="false">'SALES Raw'!A2719</f>
        <v>114 - IL online</v>
      </c>
    </row>
    <row r="3008" customFormat="false" ht="15" hidden="false" customHeight="false" outlineLevel="0" collapsed="false">
      <c r="A3008" s="18" t="str">
        <f aca="false">'SALES Raw'!G2734</f>
        <v/>
      </c>
      <c r="B3008" s="18" t="str">
        <f aca="false">'SALES Raw'!B2734</f>
        <v>T402 XL</v>
      </c>
      <c r="C3008" s="18" t="str">
        <f aca="false">'SALES Raw'!H2734</f>
        <v>T402 XL</v>
      </c>
      <c r="D3008" s="19" t="n">
        <f aca="false">'SALES Raw'!C2734</f>
        <v>2</v>
      </c>
      <c r="E3008" s="19" t="n">
        <f aca="false">'SALES Raw'!D2734</f>
        <v>316.53</v>
      </c>
      <c r="F3008" s="19" t="n">
        <f aca="false">'SALES Raw'!E2734*$H$4</f>
        <v>5.05263157894737</v>
      </c>
      <c r="G3008" s="19" t="n">
        <f aca="false">'SALES Raw'!F2734*$H$4</f>
        <v>799.667368421053</v>
      </c>
      <c r="H3008" s="18" t="str">
        <f aca="false">'SALES Raw'!A2734</f>
        <v>114 - IL online</v>
      </c>
    </row>
    <row r="3009" customFormat="false" ht="15" hidden="false" customHeight="false" outlineLevel="0" collapsed="false">
      <c r="A3009" s="18" t="n">
        <f aca="false">'SALES Raw'!G2749</f>
        <v>4413185</v>
      </c>
      <c r="B3009" s="18" t="str">
        <f aca="false">'SALES Raw'!B2749</f>
        <v>T45 XL</v>
      </c>
      <c r="C3009" s="18" t="str">
        <f aca="false">'SALES Raw'!H2749</f>
        <v>T 45XL מגן ברך רגיל</v>
      </c>
      <c r="D3009" s="19" t="n">
        <f aca="false">'SALES Raw'!C2749</f>
        <v>2</v>
      </c>
      <c r="E3009" s="19" t="n">
        <f aca="false">'SALES Raw'!D2749</f>
        <v>321.84</v>
      </c>
      <c r="F3009" s="19" t="n">
        <f aca="false">'SALES Raw'!E2749*$H$4</f>
        <v>5.05263157894737</v>
      </c>
      <c r="G3009" s="19" t="n">
        <f aca="false">'SALES Raw'!F2749*$H$4</f>
        <v>938.917894736842</v>
      </c>
      <c r="H3009" s="18" t="str">
        <f aca="false">'SALES Raw'!A2749</f>
        <v>114 - IL online</v>
      </c>
    </row>
    <row r="3010" customFormat="false" ht="15" hidden="false" customHeight="false" outlineLevel="0" collapsed="false">
      <c r="A3010" s="18" t="n">
        <f aca="false">'SALES Raw'!G2755</f>
        <v>4413260</v>
      </c>
      <c r="B3010" s="18" t="str">
        <f aca="false">'SALES Raw'!B2755</f>
        <v>T45X XXL</v>
      </c>
      <c r="C3010" s="18" t="str">
        <f aca="false">'SALES Raw'!H2755</f>
        <v>T45X-XXLמגן ברך רגיל</v>
      </c>
      <c r="D3010" s="19" t="n">
        <f aca="false">'SALES Raw'!C2755</f>
        <v>3</v>
      </c>
      <c r="E3010" s="19" t="n">
        <f aca="false">'SALES Raw'!D2755</f>
        <v>610.81</v>
      </c>
      <c r="F3010" s="19" t="n">
        <f aca="false">'SALES Raw'!E2755*$H$4</f>
        <v>5.05263157894737</v>
      </c>
      <c r="G3010" s="19" t="n">
        <f aca="false">'SALES Raw'!F2755*$H$4</f>
        <v>1082.88</v>
      </c>
      <c r="H3010" s="18" t="str">
        <f aca="false">'SALES Raw'!A2755</f>
        <v>114 - IL online</v>
      </c>
    </row>
    <row r="3011" customFormat="false" ht="15" hidden="false" customHeight="false" outlineLevel="0" collapsed="false">
      <c r="A3011" s="18" t="str">
        <f aca="false">'SALES Raw'!G2766</f>
        <v/>
      </c>
      <c r="B3011" s="18" t="str">
        <f aca="false">'SALES Raw'!B2766</f>
        <v>WEB-AC75 XXL</v>
      </c>
      <c r="C3011" s="18" t="str">
        <f aca="false">'SALES Raw'!H2766</f>
        <v>WEB-AC75 XXL</v>
      </c>
      <c r="D3011" s="19" t="n">
        <f aca="false">'SALES Raw'!C2766</f>
        <v>342</v>
      </c>
      <c r="E3011" s="19" t="n">
        <f aca="false">'SALES Raw'!D2766</f>
        <v>45417.98</v>
      </c>
      <c r="F3011" s="19" t="n">
        <f aca="false">'SALES Raw'!E2766*$H$4</f>
        <v>5.05263157894737</v>
      </c>
      <c r="G3011" s="19" t="n">
        <f aca="false">'SALES Raw'!F2766*$H$4</f>
        <v>672.909473684211</v>
      </c>
      <c r="H3011" s="18" t="str">
        <f aca="false">'SALES Raw'!A2766</f>
        <v>114 - IL online</v>
      </c>
    </row>
    <row r="3012" customFormat="false" ht="15" hidden="false" customHeight="false" outlineLevel="0" collapsed="false">
      <c r="A3012" s="18" t="n">
        <f aca="false">'SALES Raw'!G2808</f>
        <v>4401013</v>
      </c>
      <c r="B3012" s="18" t="str">
        <f aca="false">'SALES Raw'!B2808</f>
        <v>805AT-BL</v>
      </c>
      <c r="C3012" s="18" t="str">
        <f aca="false">'SALES Raw'!H2808</f>
        <v>805AT-BLאתלטיק טייפ כחול 20מ""""מ</v>
      </c>
      <c r="D3012" s="19" t="n">
        <f aca="false">'SALES Raw'!C2808</f>
        <v>1</v>
      </c>
      <c r="E3012" s="19" t="n">
        <f aca="false">'SALES Raw'!D2808</f>
        <v>28.73</v>
      </c>
      <c r="F3012" s="19" t="n">
        <f aca="false">'SALES Raw'!E2808*$H$4</f>
        <v>5.05263157894737</v>
      </c>
      <c r="G3012" s="19" t="n">
        <f aca="false">'SALES Raw'!F2808*$H$4</f>
        <v>157.995789473684</v>
      </c>
      <c r="H3012" s="18" t="str">
        <f aca="false">'SALES Raw'!A2808</f>
        <v>115-SuperPharm Online</v>
      </c>
    </row>
    <row r="3013" customFormat="false" ht="15" hidden="false" customHeight="false" outlineLevel="0" collapsed="false">
      <c r="A3013" s="18" t="str">
        <f aca="false">'SALES Raw'!G3071</f>
        <v/>
      </c>
      <c r="B3013" s="18" t="str">
        <f aca="false">'SALES Raw'!B3071</f>
        <v>305-39-40</v>
      </c>
      <c r="C3013" s="18" t="str">
        <f aca="false">'SALES Raw'!H3071</f>
        <v>305-39-40</v>
      </c>
      <c r="D3013" s="19" t="n">
        <f aca="false">'SALES Raw'!C3071</f>
        <v>0</v>
      </c>
      <c r="E3013" s="19" t="n">
        <f aca="false">'SALES Raw'!D3071</f>
        <v>0</v>
      </c>
      <c r="F3013" s="19" t="n">
        <f aca="false">'SALES Raw'!E3071*$H$4</f>
        <v>5.05263157894737</v>
      </c>
      <c r="G3013" s="19" t="n">
        <f aca="false">'SALES Raw'!F3071*$H$4</f>
        <v>173.115789473684</v>
      </c>
      <c r="H3013" s="18" t="str">
        <f aca="false">'SALES Raw'!A3071</f>
        <v>203 - Ortho- Partner ag SWITZERLAND</v>
      </c>
    </row>
    <row r="3014" customFormat="false" ht="15" hidden="false" customHeight="false" outlineLevel="0" collapsed="false">
      <c r="A3014" s="18" t="n">
        <f aca="false">'SALES Raw'!G3858</f>
        <v>4413144</v>
      </c>
      <c r="B3014" s="18" t="str">
        <f aca="false">'SALES Raw'!B3858</f>
        <v>95 XXL</v>
      </c>
      <c r="C3014" s="18" t="str">
        <f aca="false">'SALES Raw'!H3858</f>
        <v>95 XXL מגן מרפק רגיל לבן</v>
      </c>
      <c r="D3014" s="19" t="n">
        <f aca="false">'SALES Raw'!C3858</f>
        <v>12</v>
      </c>
      <c r="E3014" s="19" t="n">
        <f aca="false">'SALES Raw'!D3858</f>
        <v>123.47</v>
      </c>
      <c r="F3014" s="19" t="n">
        <f aca="false">'SALES Raw'!E3858*$H$4</f>
        <v>5.05263157894737</v>
      </c>
      <c r="G3014" s="19" t="n">
        <f aca="false">'SALES Raw'!F3858*$H$4</f>
        <v>52.9263157894737</v>
      </c>
      <c r="H3014" s="18" t="str">
        <f aca="false">'SALES Raw'!A3858</f>
        <v>209 - Ortoprofil Prod ROMANIA</v>
      </c>
    </row>
    <row r="3015" customFormat="false" ht="15" hidden="false" customHeight="false" outlineLevel="0" collapsed="false">
      <c r="A3015" s="18" t="n">
        <f aca="false">'SALES Raw'!G3868</f>
        <v>4408015</v>
      </c>
      <c r="B3015" s="18" t="str">
        <f aca="false">'SALES Raw'!B3868</f>
        <v>07AU L</v>
      </c>
      <c r="C3015" s="18" t="str">
        <f aca="false">'SALES Raw'!H3868</f>
        <v>07AU L ח.גב """"איטלקית"""" אורירית</v>
      </c>
      <c r="D3015" s="19" t="n">
        <f aca="false">'SALES Raw'!C3868</f>
        <v>3</v>
      </c>
      <c r="E3015" s="19" t="n">
        <f aca="false">'SALES Raw'!D3868</f>
        <v>395.81</v>
      </c>
      <c r="F3015" s="19" t="n">
        <f aca="false">'SALES Raw'!E3868*$H$4</f>
        <v>5.05263157894737</v>
      </c>
      <c r="G3015" s="19" t="n">
        <f aca="false">'SALES Raw'!F3868*$H$4</f>
        <v>557.974736842105</v>
      </c>
      <c r="H3015" s="18" t="str">
        <f aca="false">'SALES Raw'!A3868</f>
        <v>210 - Oy. Ea. Ab. FINLAND</v>
      </c>
    </row>
    <row r="3016" customFormat="false" ht="15" hidden="false" customHeight="false" outlineLevel="0" collapsed="false">
      <c r="A3016" s="18" t="n">
        <f aca="false">'SALES Raw'!G3875</f>
        <v>4408029</v>
      </c>
      <c r="B3016" s="18" t="str">
        <f aca="false">'SALES Raw'!B3875</f>
        <v>10 XL</v>
      </c>
      <c r="C3016" s="18" t="str">
        <f aca="false">'SALES Raw'!H3875</f>
        <v>10 XL """"חגורת גב """"לומבו</v>
      </c>
      <c r="D3016" s="19" t="n">
        <f aca="false">'SALES Raw'!C3875</f>
        <v>6</v>
      </c>
      <c r="E3016" s="19" t="n">
        <f aca="false">'SALES Raw'!D3875</f>
        <v>467.34</v>
      </c>
      <c r="F3016" s="19" t="n">
        <f aca="false">'SALES Raw'!E3875*$H$4</f>
        <v>5.05263157894737</v>
      </c>
      <c r="G3016" s="19" t="n">
        <f aca="false">'SALES Raw'!F3875*$H$4</f>
        <v>329.406315789474</v>
      </c>
      <c r="H3016" s="18" t="str">
        <f aca="false">'SALES Raw'!A3875</f>
        <v>210 - Oy. Ea. Ab. FINLAND</v>
      </c>
    </row>
    <row r="3017" customFormat="false" ht="15" hidden="false" customHeight="false" outlineLevel="0" collapsed="false">
      <c r="A3017" s="18" t="str">
        <f aca="false">'SALES Raw'!G3876</f>
        <v/>
      </c>
      <c r="B3017" s="18" t="str">
        <f aca="false">'SALES Raw'!B3876</f>
        <v>10 XXL</v>
      </c>
      <c r="C3017" s="18" t="str">
        <f aca="false">'SALES Raw'!H3876</f>
        <v>10 XXL</v>
      </c>
      <c r="D3017" s="19" t="n">
        <f aca="false">'SALES Raw'!C3876</f>
        <v>2</v>
      </c>
      <c r="E3017" s="19" t="n">
        <f aca="false">'SALES Raw'!D3876</f>
        <v>155.78</v>
      </c>
      <c r="F3017" s="19" t="n">
        <f aca="false">'SALES Raw'!E3876*$H$4</f>
        <v>5.05263157894737</v>
      </c>
      <c r="G3017" s="19" t="n">
        <f aca="false">'SALES Raw'!F3876*$H$4</f>
        <v>329.406315789474</v>
      </c>
      <c r="H3017" s="18" t="str">
        <f aca="false">'SALES Raw'!A3876</f>
        <v>210 - Oy. Ea. Ab. FINLAND</v>
      </c>
    </row>
    <row r="3018" customFormat="false" ht="15" hidden="false" customHeight="false" outlineLevel="0" collapsed="false">
      <c r="A3018" s="18" t="n">
        <f aca="false">'SALES Raw'!G3879</f>
        <v>4408132</v>
      </c>
      <c r="B3018" s="18" t="str">
        <f aca="false">'SALES Raw'!B3879</f>
        <v>11EU XXL</v>
      </c>
      <c r="C3018" s="18" t="str">
        <f aca="false">'SALES Raw'!H3879</f>
        <v>11EU XXL חגורת בטןלאחר ניתוח</v>
      </c>
      <c r="D3018" s="19" t="n">
        <f aca="false">'SALES Raw'!C3879</f>
        <v>0</v>
      </c>
      <c r="E3018" s="19" t="n">
        <f aca="false">'SALES Raw'!D3879</f>
        <v>0</v>
      </c>
      <c r="F3018" s="19" t="n">
        <f aca="false">'SALES Raw'!E3879*$H$4</f>
        <v>5.05263157894737</v>
      </c>
      <c r="G3018" s="19" t="n">
        <f aca="false">'SALES Raw'!F3879*$H$4</f>
        <v>208.395789473684</v>
      </c>
      <c r="H3018" s="18" t="str">
        <f aca="false">'SALES Raw'!A3879</f>
        <v>210 - Oy. Ea. Ab. FINLAND</v>
      </c>
    </row>
    <row r="3019" customFormat="false" ht="15" hidden="false" customHeight="false" outlineLevel="0" collapsed="false">
      <c r="A3019" s="18" t="n">
        <f aca="false">'SALES Raw'!G3883</f>
        <v>4408180</v>
      </c>
      <c r="B3019" s="18" t="str">
        <f aca="false">'SALES Raw'!B3883</f>
        <v>13 XXL</v>
      </c>
      <c r="C3019" s="18" t="str">
        <f aca="false">'SALES Raw'!H3883</f>
        <v>13 XXL חגורה לשבר טבור</v>
      </c>
      <c r="D3019" s="19" t="n">
        <f aca="false">'SALES Raw'!C3883</f>
        <v>8</v>
      </c>
      <c r="E3019" s="19" t="n">
        <f aca="false">'SALES Raw'!D3883</f>
        <v>516.62</v>
      </c>
      <c r="F3019" s="19" t="n">
        <f aca="false">'SALES Raw'!E3883*$H$4</f>
        <v>5.05263157894737</v>
      </c>
      <c r="G3019" s="19" t="n">
        <f aca="false">'SALES Raw'!F3883*$H$4</f>
        <v>273.107368421053</v>
      </c>
      <c r="H3019" s="18" t="str">
        <f aca="false">'SALES Raw'!A3883</f>
        <v>210 - Oy. Ea. Ab. FINLAND</v>
      </c>
    </row>
    <row r="3020" customFormat="false" ht="15" hidden="false" customHeight="false" outlineLevel="0" collapsed="false">
      <c r="A3020" s="18" t="n">
        <f aca="false">'SALES Raw'!G3886</f>
        <v>4408232</v>
      </c>
      <c r="B3020" s="18" t="str">
        <f aca="false">'SALES Raw'!B3886</f>
        <v>16 XXL</v>
      </c>
      <c r="C3020" s="18" t="str">
        <f aca="false">'SALES Raw'!H3886</f>
        <v>16 XXL חגורת הריון</v>
      </c>
      <c r="D3020" s="19" t="n">
        <f aca="false">'SALES Raw'!C3886</f>
        <v>2</v>
      </c>
      <c r="E3020" s="19" t="n">
        <f aca="false">'SALES Raw'!D3886</f>
        <v>102.13</v>
      </c>
      <c r="F3020" s="19" t="n">
        <f aca="false">'SALES Raw'!E3886*$H$4</f>
        <v>5.05263157894737</v>
      </c>
      <c r="G3020" s="19" t="n">
        <f aca="false">'SALES Raw'!F3886*$H$4</f>
        <v>215.962105263158</v>
      </c>
      <c r="H3020" s="18" t="str">
        <f aca="false">'SALES Raw'!A3886</f>
        <v>210 - Oy. Ea. Ab. FINLAND</v>
      </c>
    </row>
    <row r="3021" customFormat="false" ht="15" hidden="false" customHeight="false" outlineLevel="0" collapsed="false">
      <c r="A3021" s="18" t="n">
        <f aca="false">'SALES Raw'!G3887</f>
        <v>4408230</v>
      </c>
      <c r="B3021" s="18" t="str">
        <f aca="false">'SALES Raw'!B3887</f>
        <v>16-L-XL</v>
      </c>
      <c r="C3021" s="18" t="str">
        <f aca="false">'SALES Raw'!H3887</f>
        <v>16 L-XL חגורת הריון</v>
      </c>
      <c r="D3021" s="19" t="n">
        <f aca="false">'SALES Raw'!C3887</f>
        <v>0</v>
      </c>
      <c r="E3021" s="19" t="n">
        <f aca="false">'SALES Raw'!D3887</f>
        <v>0</v>
      </c>
      <c r="F3021" s="19" t="n">
        <f aca="false">'SALES Raw'!E3887*$H$4</f>
        <v>5.05263157894737</v>
      </c>
      <c r="G3021" s="19" t="n">
        <f aca="false">'SALES Raw'!F3887*$H$4</f>
        <v>215.962105263158</v>
      </c>
      <c r="H3021" s="18" t="str">
        <f aca="false">'SALES Raw'!A3887</f>
        <v>210 - Oy. Ea. Ab. FINLAND</v>
      </c>
    </row>
    <row r="3022" customFormat="false" ht="15" hidden="false" customHeight="false" outlineLevel="0" collapsed="false">
      <c r="A3022" s="18" t="n">
        <f aca="false">'SALES Raw'!G3888</f>
        <v>4408231</v>
      </c>
      <c r="B3022" s="18" t="str">
        <f aca="false">'SALES Raw'!B3888</f>
        <v>16-S-M</v>
      </c>
      <c r="C3022" s="18" t="str">
        <f aca="false">'SALES Raw'!H3888</f>
        <v>16 S-M חגורת הריון</v>
      </c>
      <c r="D3022" s="19" t="n">
        <f aca="false">'SALES Raw'!C3888</f>
        <v>5</v>
      </c>
      <c r="E3022" s="19" t="n">
        <f aca="false">'SALES Raw'!D3888</f>
        <v>247.61</v>
      </c>
      <c r="F3022" s="19" t="n">
        <f aca="false">'SALES Raw'!E3888*$H$4</f>
        <v>5.05263157894737</v>
      </c>
      <c r="G3022" s="19" t="n">
        <f aca="false">'SALES Raw'!F3888*$H$4</f>
        <v>215.962105263158</v>
      </c>
      <c r="H3022" s="18" t="str">
        <f aca="false">'SALES Raw'!A3888</f>
        <v>210 - Oy. Ea. Ab. FINLAND</v>
      </c>
    </row>
    <row r="3023" customFormat="false" ht="15" hidden="false" customHeight="false" outlineLevel="0" collapsed="false">
      <c r="A3023" s="18" t="n">
        <f aca="false">'SALES Raw'!G3894</f>
        <v>4415001</v>
      </c>
      <c r="B3023" s="18" t="str">
        <f aca="false">'SALES Raw'!B3894</f>
        <v>26 M</v>
      </c>
      <c r="C3023" s="18" t="str">
        <f aca="false">'SALES Raw'!H3894</f>
        <v>26 M סד ליד דו צדדי לאחר שבר</v>
      </c>
      <c r="D3023" s="19" t="n">
        <f aca="false">'SALES Raw'!C3894</f>
        <v>4</v>
      </c>
      <c r="E3023" s="19" t="n">
        <f aca="false">'SALES Raw'!D3894</f>
        <v>185.68</v>
      </c>
      <c r="F3023" s="19" t="n">
        <f aca="false">'SALES Raw'!E3894*$H$4</f>
        <v>5.05263157894737</v>
      </c>
      <c r="G3023" s="19" t="n">
        <f aca="false">'SALES Raw'!F3894*$H$4</f>
        <v>206.715789473684</v>
      </c>
      <c r="H3023" s="18" t="str">
        <f aca="false">'SALES Raw'!A3894</f>
        <v>210 - Oy. Ea. Ab. FINLAND</v>
      </c>
    </row>
    <row r="3024" customFormat="false" ht="15" hidden="false" customHeight="false" outlineLevel="0" collapsed="false">
      <c r="A3024" s="18" t="n">
        <f aca="false">'SALES Raw'!G3898</f>
        <v>4415006</v>
      </c>
      <c r="B3024" s="18" t="str">
        <f aca="false">'SALES Raw'!B3898</f>
        <v>28 M</v>
      </c>
      <c r="C3024" s="18" t="str">
        <f aca="false">'SALES Raw'!H3898</f>
        <v>28 M סד לאגודל לאחר שבר</v>
      </c>
      <c r="D3024" s="19" t="n">
        <f aca="false">'SALES Raw'!C3898</f>
        <v>10</v>
      </c>
      <c r="E3024" s="19" t="n">
        <f aca="false">'SALES Raw'!D3898</f>
        <v>396.96</v>
      </c>
      <c r="F3024" s="19" t="n">
        <f aca="false">'SALES Raw'!E3898*$H$4</f>
        <v>5.05263157894737</v>
      </c>
      <c r="G3024" s="19" t="n">
        <f aca="false">'SALES Raw'!F3898*$H$4</f>
        <v>173.103157894737</v>
      </c>
      <c r="H3024" s="18" t="str">
        <f aca="false">'SALES Raw'!A3898</f>
        <v>210 - Oy. Ea. Ab. FINLAND</v>
      </c>
    </row>
    <row r="3025" customFormat="false" ht="15" hidden="false" customHeight="false" outlineLevel="0" collapsed="false">
      <c r="A3025" s="18" t="str">
        <f aca="false">'SALES Raw'!G3902</f>
        <v/>
      </c>
      <c r="B3025" s="18" t="str">
        <f aca="false">'SALES Raw'!B3902</f>
        <v>30 S</v>
      </c>
      <c r="C3025" s="18" t="str">
        <f aca="false">'SALES Raw'!H3902</f>
        <v>30 S</v>
      </c>
      <c r="D3025" s="19" t="n">
        <f aca="false">'SALES Raw'!C3902</f>
        <v>0</v>
      </c>
      <c r="E3025" s="19" t="n">
        <f aca="false">'SALES Raw'!D3902</f>
        <v>0</v>
      </c>
      <c r="F3025" s="19" t="n">
        <f aca="false">'SALES Raw'!E3902*$H$4</f>
        <v>5.05263157894737</v>
      </c>
      <c r="G3025" s="19" t="n">
        <f aca="false">'SALES Raw'!F3902*$H$4</f>
        <v>142.016842105263</v>
      </c>
      <c r="H3025" s="18" t="str">
        <f aca="false">'SALES Raw'!A3902</f>
        <v>210 - Oy. Ea. Ab. FINLAND</v>
      </c>
    </row>
    <row r="3026" customFormat="false" ht="15" hidden="false" customHeight="false" outlineLevel="0" collapsed="false">
      <c r="A3026" s="18" t="str">
        <f aca="false">'SALES Raw'!G3917</f>
        <v/>
      </c>
      <c r="B3026" s="18" t="str">
        <f aca="false">'SALES Raw'!B3917</f>
        <v>332B S</v>
      </c>
      <c r="C3026" s="18" t="str">
        <f aca="false">'SALES Raw'!H3917</f>
        <v>332B S</v>
      </c>
      <c r="D3026" s="19" t="n">
        <f aca="false">'SALES Raw'!C3917</f>
        <v>0</v>
      </c>
      <c r="E3026" s="19" t="n">
        <f aca="false">'SALES Raw'!D3917</f>
        <v>0</v>
      </c>
      <c r="F3026" s="19" t="n">
        <f aca="false">'SALES Raw'!E3917*$H$4</f>
        <v>5.05263157894737</v>
      </c>
      <c r="G3026" s="19" t="n">
        <f aca="false">'SALES Raw'!F3917*$H$4</f>
        <v>311.76</v>
      </c>
      <c r="H3026" s="18" t="str">
        <f aca="false">'SALES Raw'!A3917</f>
        <v>210 - Oy. Ea. Ab. FINLAND</v>
      </c>
    </row>
    <row r="3027" customFormat="false" ht="15" hidden="false" customHeight="false" outlineLevel="0" collapsed="false">
      <c r="A3027" s="18" t="str">
        <f aca="false">'SALES Raw'!G3919</f>
        <v/>
      </c>
      <c r="B3027" s="18" t="str">
        <f aca="false">'SALES Raw'!B3919</f>
        <v>332B XXL</v>
      </c>
      <c r="C3027" s="18" t="str">
        <f aca="false">'SALES Raw'!H3919</f>
        <v>332B XXL</v>
      </c>
      <c r="D3027" s="19" t="n">
        <f aca="false">'SALES Raw'!C3919</f>
        <v>0</v>
      </c>
      <c r="E3027" s="19" t="n">
        <f aca="false">'SALES Raw'!D3919</f>
        <v>0</v>
      </c>
      <c r="F3027" s="19" t="n">
        <f aca="false">'SALES Raw'!E3919*$H$4</f>
        <v>5.05263157894737</v>
      </c>
      <c r="G3027" s="19" t="n">
        <f aca="false">'SALES Raw'!F3919*$H$4</f>
        <v>311.76</v>
      </c>
      <c r="H3027" s="18" t="str">
        <f aca="false">'SALES Raw'!A3919</f>
        <v>210 - Oy. Ea. Ab. FINLAND</v>
      </c>
    </row>
    <row r="3028" customFormat="false" ht="15" hidden="false" customHeight="false" outlineLevel="0" collapsed="false">
      <c r="A3028" s="18" t="n">
        <f aca="false">'SALES Raw'!G3922</f>
        <v>4413493</v>
      </c>
      <c r="B3028" s="18" t="str">
        <f aca="false">'SALES Raw'!B3922</f>
        <v>35B S</v>
      </c>
      <c r="C3028" s="18" t="str">
        <f aca="false">'SALES Raw'!H3922</f>
        <v>35B S מגן קרסול שחור</v>
      </c>
      <c r="D3028" s="19" t="n">
        <f aca="false">'SALES Raw'!C3922</f>
        <v>17</v>
      </c>
      <c r="E3028" s="19" t="n">
        <f aca="false">'SALES Raw'!D3922</f>
        <v>205.08</v>
      </c>
      <c r="F3028" s="19" t="n">
        <f aca="false">'SALES Raw'!E3922*$H$4</f>
        <v>5.05263157894737</v>
      </c>
      <c r="G3028" s="19" t="n">
        <f aca="false">'SALES Raw'!F3922*$H$4</f>
        <v>52.1052631578947</v>
      </c>
      <c r="H3028" s="18" t="str">
        <f aca="false">'SALES Raw'!A3922</f>
        <v>210 - Oy. Ea. Ab. FINLAND</v>
      </c>
    </row>
    <row r="3029" customFormat="false" ht="15" hidden="false" customHeight="false" outlineLevel="0" collapsed="false">
      <c r="A3029" s="18" t="str">
        <f aca="false">'SALES Raw'!G3950</f>
        <v/>
      </c>
      <c r="B3029" s="18" t="str">
        <f aca="false">'SALES Raw'!B3950</f>
        <v>376-44-45</v>
      </c>
      <c r="C3029" s="18" t="str">
        <f aca="false">'SALES Raw'!H3950</f>
        <v>376-44-45</v>
      </c>
      <c r="D3029" s="19" t="n">
        <f aca="false">'SALES Raw'!C3950</f>
        <v>8</v>
      </c>
      <c r="E3029" s="19" t="n">
        <f aca="false">'SALES Raw'!D3950</f>
        <v>126.8</v>
      </c>
      <c r="F3029" s="19" t="n">
        <f aca="false">'SALES Raw'!E3950*$H$4</f>
        <v>5.05263157894737</v>
      </c>
      <c r="G3029" s="19" t="n">
        <f aca="false">'SALES Raw'!F3950*$H$4</f>
        <v>70.5852631578947</v>
      </c>
      <c r="H3029" s="18" t="str">
        <f aca="false">'SALES Raw'!A3950</f>
        <v>210 - Oy. Ea. Ab. FINLAND</v>
      </c>
    </row>
    <row r="3030" customFormat="false" ht="15" hidden="false" customHeight="false" outlineLevel="0" collapsed="false">
      <c r="A3030" s="18" t="n">
        <f aca="false">'SALES Raw'!G3963</f>
        <v>4413099</v>
      </c>
      <c r="B3030" s="18" t="str">
        <f aca="false">'SALES Raw'!B3963</f>
        <v>45C M</v>
      </c>
      <c r="C3030" s="18" t="str">
        <f aca="false">'SALES Raw'!H3963</f>
        <v>45C M מגן ברך חום</v>
      </c>
      <c r="D3030" s="19" t="n">
        <f aca="false">'SALES Raw'!C3963</f>
        <v>20</v>
      </c>
      <c r="E3030" s="19" t="n">
        <f aca="false">'SALES Raw'!D3963</f>
        <v>228.56</v>
      </c>
      <c r="F3030" s="19" t="n">
        <f aca="false">'SALES Raw'!E3963*$H$4</f>
        <v>5.05263157894737</v>
      </c>
      <c r="G3030" s="19" t="n">
        <f aca="false">'SALES Raw'!F3963*$H$4</f>
        <v>49.5789473684211</v>
      </c>
      <c r="H3030" s="18" t="str">
        <f aca="false">'SALES Raw'!A3963</f>
        <v>210 - Oy. Ea. Ab. FINLAND</v>
      </c>
    </row>
    <row r="3031" customFormat="false" ht="15" hidden="false" customHeight="false" outlineLevel="0" collapsed="false">
      <c r="A3031" s="18" t="n">
        <f aca="false">'SALES Raw'!G3985</f>
        <v>4413132</v>
      </c>
      <c r="B3031" s="18" t="str">
        <f aca="false">'SALES Raw'!B3985</f>
        <v>76 L</v>
      </c>
      <c r="C3031" s="18" t="str">
        <f aca="false">'SALES Raw'!H3985</f>
        <v>76 Lמיישר כתף יציב יישור רחב</v>
      </c>
      <c r="D3031" s="19" t="n">
        <f aca="false">'SALES Raw'!C3985</f>
        <v>0</v>
      </c>
      <c r="E3031" s="19" t="n">
        <f aca="false">'SALES Raw'!D3985</f>
        <v>0</v>
      </c>
      <c r="F3031" s="19" t="n">
        <f aca="false">'SALES Raw'!E3985*$H$4</f>
        <v>5.05263157894737</v>
      </c>
      <c r="G3031" s="19" t="n">
        <f aca="false">'SALES Raw'!F3985*$H$4</f>
        <v>436.976842105263</v>
      </c>
      <c r="H3031" s="18" t="str">
        <f aca="false">'SALES Raw'!A3985</f>
        <v>210 - Oy. Ea. Ab. FINLAND</v>
      </c>
    </row>
    <row r="3032" customFormat="false" ht="15" hidden="false" customHeight="false" outlineLevel="0" collapsed="false">
      <c r="A3032" s="18" t="n">
        <f aca="false">'SALES Raw'!G3997</f>
        <v>4413136</v>
      </c>
      <c r="B3032" s="18" t="str">
        <f aca="false">'SALES Raw'!B3997</f>
        <v>85 M</v>
      </c>
      <c r="C3032" s="18" t="str">
        <f aca="false">'SALES Raw'!H3997</f>
        <v>85 M (מתלה ליד )כיס</v>
      </c>
      <c r="D3032" s="19" t="n">
        <f aca="false">'SALES Raw'!C3997</f>
        <v>0</v>
      </c>
      <c r="E3032" s="19" t="n">
        <f aca="false">'SALES Raw'!D3997</f>
        <v>0</v>
      </c>
      <c r="F3032" s="19" t="n">
        <f aca="false">'SALES Raw'!E3997*$H$4</f>
        <v>5.05263157894737</v>
      </c>
      <c r="G3032" s="19" t="n">
        <f aca="false">'SALES Raw'!F3997*$H$4</f>
        <v>92.4378947368421</v>
      </c>
      <c r="H3032" s="18" t="str">
        <f aca="false">'SALES Raw'!A3997</f>
        <v>210 - Oy. Ea. Ab. FINLAND</v>
      </c>
    </row>
    <row r="3033" customFormat="false" ht="15" hidden="false" customHeight="false" outlineLevel="0" collapsed="false">
      <c r="A3033" s="18" t="n">
        <f aca="false">'SALES Raw'!G4003</f>
        <v>4413502</v>
      </c>
      <c r="B3033" s="18" t="str">
        <f aca="false">'SALES Raw'!B4003</f>
        <v>95B S</v>
      </c>
      <c r="C3033" s="18" t="str">
        <f aca="false">'SALES Raw'!H4003</f>
        <v>95B S מגן מרפק שחור</v>
      </c>
      <c r="D3033" s="19" t="n">
        <f aca="false">'SALES Raw'!C4003</f>
        <v>0</v>
      </c>
      <c r="E3033" s="19" t="n">
        <f aca="false">'SALES Raw'!D4003</f>
        <v>0</v>
      </c>
      <c r="F3033" s="19" t="n">
        <f aca="false">'SALES Raw'!E4003*$H$4</f>
        <v>5.05263157894737</v>
      </c>
      <c r="G3033" s="19" t="n">
        <f aca="false">'SALES Raw'!F4003*$H$4</f>
        <v>52.1052631578947</v>
      </c>
      <c r="H3033" s="18" t="str">
        <f aca="false">'SALES Raw'!A4003</f>
        <v>210 - Oy. Ea. Ab. FINLAND</v>
      </c>
    </row>
    <row r="3034" customFormat="false" ht="15" hidden="false" customHeight="false" outlineLevel="0" collapsed="false">
      <c r="A3034" s="18" t="n">
        <f aca="false">'SALES Raw'!G4020</f>
        <v>4422042</v>
      </c>
      <c r="B3034" s="18" t="str">
        <f aca="false">'SALES Raw'!B4020</f>
        <v>SH422 6</v>
      </c>
      <c r="C3034" s="18" t="str">
        <f aca="false">'SALES Raw'!H4020</f>
        <v>SH422 6 תומך ברך גנושילד</v>
      </c>
      <c r="D3034" s="19" t="n">
        <f aca="false">'SALES Raw'!C4020</f>
        <v>0</v>
      </c>
      <c r="E3034" s="19" t="n">
        <f aca="false">'SALES Raw'!D4020</f>
        <v>0</v>
      </c>
      <c r="F3034" s="19" t="n">
        <f aca="false">'SALES Raw'!E4020*$H$4</f>
        <v>5.05263157894737</v>
      </c>
      <c r="G3034" s="19" t="n">
        <f aca="false">'SALES Raw'!F4020*$H$4</f>
        <v>450.416842105263</v>
      </c>
      <c r="H3034" s="18" t="str">
        <f aca="false">'SALES Raw'!A4020</f>
        <v>210 - Oy. Ea. Ab. FINLAND</v>
      </c>
    </row>
    <row r="3035" customFormat="false" ht="15" hidden="false" customHeight="false" outlineLevel="0" collapsed="false">
      <c r="A3035" s="18" t="n">
        <f aca="false">'SALES Raw'!G4386</f>
        <v>4422005</v>
      </c>
      <c r="B3035" s="18" t="str">
        <f aca="false">'SALES Raw'!B4386</f>
        <v>T78 M</v>
      </c>
      <c r="C3035" s="18" t="str">
        <f aca="false">'SALES Raw'!H4386</f>
        <v>T78 M תומך זרוע וכתף</v>
      </c>
      <c r="D3035" s="19" t="n">
        <f aca="false">'SALES Raw'!C4386</f>
        <v>0</v>
      </c>
      <c r="E3035" s="19" t="n">
        <f aca="false">'SALES Raw'!D4386</f>
        <v>0</v>
      </c>
      <c r="F3035" s="19" t="n">
        <f aca="false">'SALES Raw'!E4386*$H$4</f>
        <v>5.05263157894737</v>
      </c>
      <c r="G3035" s="19" t="n">
        <f aca="false">'SALES Raw'!F4386*$H$4</f>
        <v>349.313684210526</v>
      </c>
      <c r="H3035" s="18" t="str">
        <f aca="false">'SALES Raw'!A4386</f>
        <v>216 - Max Konnaris CYPRUS</v>
      </c>
    </row>
    <row r="3036" customFormat="false" ht="15" hidden="false" customHeight="false" outlineLevel="0" collapsed="false">
      <c r="A3036" s="18" t="n">
        <f aca="false">'SALES Raw'!G4428</f>
        <v>4403041</v>
      </c>
      <c r="B3036" s="18" t="str">
        <f aca="false">'SALES Raw'!B4428</f>
        <v>397A-35-38</v>
      </c>
      <c r="C3036" s="18" t="str">
        <f aca="false">'SALES Raw'!H4428</f>
        <v>397A-גרבי טיסה אנטי בקטרי35-38</v>
      </c>
      <c r="D3036" s="19" t="n">
        <f aca="false">'SALES Raw'!C4428</f>
        <v>0</v>
      </c>
      <c r="E3036" s="19" t="n">
        <f aca="false">'SALES Raw'!D4428</f>
        <v>0</v>
      </c>
      <c r="F3036" s="19" t="n">
        <f aca="false">'SALES Raw'!E4428*$H$4</f>
        <v>5.05263157894737</v>
      </c>
      <c r="G3036" s="19" t="n">
        <f aca="false">'SALES Raw'!F4428*$H$4</f>
        <v>297.511578947368</v>
      </c>
      <c r="H3036" s="18" t="str">
        <f aca="false">'SALES Raw'!A4428</f>
        <v>301 - Amazon</v>
      </c>
    </row>
    <row r="3037" customFormat="false" ht="15" hidden="false" customHeight="false" outlineLevel="0" collapsed="false">
      <c r="A3037" s="18" t="n">
        <f aca="false">'SALES Raw'!G4429</f>
        <v>4403042</v>
      </c>
      <c r="B3037" s="18" t="str">
        <f aca="false">'SALES Raw'!B4429</f>
        <v>397A-39-42</v>
      </c>
      <c r="C3037" s="18" t="str">
        <f aca="false">'SALES Raw'!H4429</f>
        <v>397A-גרבי טיסה אנטי בקטרי39-42</v>
      </c>
      <c r="D3037" s="19" t="n">
        <f aca="false">'SALES Raw'!C4429</f>
        <v>0</v>
      </c>
      <c r="E3037" s="19" t="n">
        <f aca="false">'SALES Raw'!D4429</f>
        <v>0</v>
      </c>
      <c r="F3037" s="19" t="n">
        <f aca="false">'SALES Raw'!E4429*$H$4</f>
        <v>5.05263157894737</v>
      </c>
      <c r="G3037" s="19" t="n">
        <f aca="false">'SALES Raw'!F4429*$H$4</f>
        <v>260.046315789474</v>
      </c>
      <c r="H3037" s="18" t="str">
        <f aca="false">'SALES Raw'!A4429</f>
        <v>301 - Amazon</v>
      </c>
    </row>
    <row r="3038" customFormat="false" ht="15" hidden="false" customHeight="false" outlineLevel="0" collapsed="false">
      <c r="A3038" s="18" t="n">
        <f aca="false">'CEMIUP0.9 Raw'!B55</f>
        <v>4408017</v>
      </c>
      <c r="B3038" s="18" t="str">
        <f aca="false">'CEMIUP0.9 Raw'!C55</f>
        <v>07AU XL ח.גב ""איטלקית"" אורירית</v>
      </c>
      <c r="C3038" s="18" t="str">
        <f aca="false">'CEMIUP0.9 Raw'!C55</f>
        <v>07AU XL ח.גב ""איטלקית"" אורירית</v>
      </c>
      <c r="D3038" s="19" t="n">
        <f aca="false">'CEMIUP0.9 Raw'!D55</f>
        <v>4</v>
      </c>
      <c r="E3038" s="19" t="n">
        <f aca="false">'CEMIUP0.9 Raw'!E55</f>
        <v>887.341</v>
      </c>
      <c r="F3038" s="19" t="n">
        <f aca="false">'CEMIUP0.9 Raw'!F55</f>
        <v>3.78947368421053</v>
      </c>
      <c r="G3038" s="19" t="n">
        <f aca="false">'CEMIUP0.9 Raw'!G55</f>
        <v>854.424</v>
      </c>
      <c r="H3038" s="18" t="str">
        <f aca="false">'CEMIUP0.9 Raw'!A55</f>
        <v>107 - Pharmacies</v>
      </c>
    </row>
    <row r="3039" customFormat="false" ht="15" hidden="false" customHeight="false" outlineLevel="0" collapsed="false">
      <c r="A3039" s="18" t="n">
        <f aca="false">'CEMIUP0.9 Raw'!B88</f>
        <v>4408072</v>
      </c>
      <c r="B3039" s="18" t="str">
        <f aca="false">'CEMIUP0.9 Raw'!C88</f>
        <v>59D M חגורת שבר דו צדדי</v>
      </c>
      <c r="C3039" s="18" t="str">
        <f aca="false">'CEMIUP0.9 Raw'!C88</f>
        <v>59D M חגורת שבר דו צדדי</v>
      </c>
      <c r="D3039" s="19" t="n">
        <f aca="false">'CEMIUP0.9 Raw'!D88</f>
        <v>5</v>
      </c>
      <c r="E3039" s="19" t="n">
        <f aca="false">'CEMIUP0.9 Raw'!E88</f>
        <v>1245.48</v>
      </c>
      <c r="F3039" s="19" t="n">
        <f aca="false">'CEMIUP0.9 Raw'!F88</f>
        <v>3.78947368421053</v>
      </c>
      <c r="G3039" s="19" t="n">
        <f aca="false">'CEMIUP0.9 Raw'!G88</f>
        <v>815.671578947368</v>
      </c>
      <c r="H3039" s="18" t="str">
        <f aca="false">'CEMIUP0.9 Raw'!A88</f>
        <v>107 - Pharmacies</v>
      </c>
    </row>
    <row r="3040" customFormat="false" ht="15" hidden="false" customHeight="false" outlineLevel="0" collapsed="false">
      <c r="A3040" s="18" t="n">
        <f aca="false">'CEMIUP0.9 Raw'!B98</f>
        <v>4408084</v>
      </c>
      <c r="B3040" s="18" t="str">
        <f aca="false">'CEMIUP0.9 Raw'!C98</f>
        <v>922L.חבק יד לטניס כרית סיליק</v>
      </c>
      <c r="C3040" s="18" t="str">
        <f aca="false">'CEMIUP0.9 Raw'!C98</f>
        <v>922L.חבק יד לטניס כרית סיליק</v>
      </c>
      <c r="D3040" s="19" t="n">
        <f aca="false">'CEMIUP0.9 Raw'!D98</f>
        <v>1</v>
      </c>
      <c r="E3040" s="19" t="n">
        <f aca="false">'CEMIUP0.9 Raw'!E98</f>
        <v>129.038</v>
      </c>
      <c r="F3040" s="19" t="n">
        <f aca="false">'CEMIUP0.9 Raw'!F98</f>
        <v>3.78947368421053</v>
      </c>
      <c r="G3040" s="19" t="n">
        <f aca="false">'CEMIUP0.9 Raw'!G98</f>
        <v>505.666105263158</v>
      </c>
      <c r="H3040" s="18" t="str">
        <f aca="false">'CEMIUP0.9 Raw'!A98</f>
        <v>107 - Pharmacies</v>
      </c>
    </row>
    <row r="3041" customFormat="false" ht="15" hidden="false" customHeight="false" outlineLevel="0" collapsed="false">
      <c r="A3041" s="18" t="n">
        <f aca="false">'CEMIUP0.9 Raw'!B169</f>
        <v>4408245</v>
      </c>
      <c r="B3041" s="18" t="str">
        <f aca="false">'CEMIUP0.9 Raw'!C169</f>
        <v>077A   XXL חגורת גב עם חיזוקים</v>
      </c>
      <c r="C3041" s="18" t="str">
        <f aca="false">'CEMIUP0.9 Raw'!C169</f>
        <v>077A   XXL חגורת גב עם חיזוקים</v>
      </c>
      <c r="D3041" s="19" t="n">
        <f aca="false">'CEMIUP0.9 Raw'!D169</f>
        <v>7</v>
      </c>
      <c r="E3041" s="19" t="n">
        <f aca="false">'CEMIUP0.9 Raw'!E169</f>
        <v>909.09</v>
      </c>
      <c r="F3041" s="19" t="n">
        <f aca="false">'CEMIUP0.9 Raw'!F169</f>
        <v>3.78947368421053</v>
      </c>
      <c r="G3041" s="19" t="n">
        <f aca="false">'CEMIUP0.9 Raw'!G169</f>
        <v>597.841263157895</v>
      </c>
      <c r="H3041" s="18" t="str">
        <f aca="false">'CEMIUP0.9 Raw'!A169</f>
        <v>107 - Pharmacies</v>
      </c>
    </row>
    <row r="3042" customFormat="false" ht="15" hidden="false" customHeight="false" outlineLevel="0" collapsed="false">
      <c r="A3042" s="18" t="n">
        <f aca="false">'CEMIUP0.9 Raw'!B174</f>
        <v>4408259</v>
      </c>
      <c r="B3042" s="18" t="str">
        <f aca="false">'CEMIUP0.9 Raw'!C174</f>
        <v>11STO S חגורה אחרי ניתוח</v>
      </c>
      <c r="C3042" s="18" t="str">
        <f aca="false">'CEMIUP0.9 Raw'!C174</f>
        <v>11STO S חגורה אחרי ניתוח</v>
      </c>
      <c r="D3042" s="19" t="n">
        <f aca="false">'CEMIUP0.9 Raw'!D174</f>
        <v>1</v>
      </c>
      <c r="E3042" s="19" t="n">
        <f aca="false">'CEMIUP0.9 Raw'!E174</f>
        <v>105</v>
      </c>
      <c r="F3042" s="19" t="n">
        <f aca="false">'CEMIUP0.9 Raw'!F174</f>
        <v>3.78947368421053</v>
      </c>
      <c r="G3042" s="19" t="n">
        <f aca="false">'CEMIUP0.9 Raw'!G174</f>
        <v>456.548210526316</v>
      </c>
      <c r="H3042" s="18" t="str">
        <f aca="false">'CEMIUP0.9 Raw'!A174</f>
        <v>107 - Pharmacies</v>
      </c>
    </row>
    <row r="3043" customFormat="false" ht="15" hidden="false" customHeight="false" outlineLevel="0" collapsed="false">
      <c r="A3043" s="18" t="n">
        <f aca="false">'CEMIUP0.9 Raw'!B222</f>
        <v>4413018</v>
      </c>
      <c r="B3043" s="18" t="str">
        <f aca="false">'CEMIUP0.9 Raw'!C222</f>
        <v>303 37-38 מדרסי סיליק.לח.סכרת</v>
      </c>
      <c r="C3043" s="18" t="str">
        <f aca="false">'CEMIUP0.9 Raw'!C222</f>
        <v>303 37-38 מדרסי סיליק.לח.סכרת</v>
      </c>
      <c r="D3043" s="19" t="n">
        <f aca="false">'CEMIUP0.9 Raw'!D222</f>
        <v>1</v>
      </c>
      <c r="E3043" s="19" t="n">
        <f aca="false">'CEMIUP0.9 Raw'!E222</f>
        <v>107.835</v>
      </c>
      <c r="F3043" s="19" t="n">
        <f aca="false">'CEMIUP0.9 Raw'!F222</f>
        <v>3.78947368421053</v>
      </c>
      <c r="G3043" s="19" t="n">
        <f aca="false">'CEMIUP0.9 Raw'!G222</f>
        <v>408.752842105263</v>
      </c>
      <c r="H3043" s="18" t="str">
        <f aca="false">'CEMIUP0.9 Raw'!A222</f>
        <v>107 - Pharmacies</v>
      </c>
    </row>
    <row r="3044" customFormat="false" ht="15" hidden="false" customHeight="false" outlineLevel="0" collapsed="false">
      <c r="A3044" s="18" t="n">
        <f aca="false">'CEMIUP0.9 Raw'!B257</f>
        <v>4413076</v>
      </c>
      <c r="B3044" s="18" t="str">
        <f aca="false">'CEMIUP0.9 Raw'!C257</f>
        <v>41X L מגן ברך מוצלב+מוט</v>
      </c>
      <c r="C3044" s="18" t="str">
        <f aca="false">'CEMIUP0.9 Raw'!C257</f>
        <v>41X L מגן ברך מוצלב+מוט</v>
      </c>
      <c r="D3044" s="19" t="n">
        <f aca="false">'CEMIUP0.9 Raw'!D257</f>
        <v>9</v>
      </c>
      <c r="E3044" s="19" t="n">
        <f aca="false">'CEMIUP0.9 Raw'!E257</f>
        <v>1129.081</v>
      </c>
      <c r="F3044" s="19" t="n">
        <f aca="false">'CEMIUP0.9 Raw'!F257</f>
        <v>3.78947368421053</v>
      </c>
      <c r="G3044" s="19" t="n">
        <f aca="false">'CEMIUP0.9 Raw'!G257</f>
        <v>458.180210526316</v>
      </c>
      <c r="H3044" s="18" t="str">
        <f aca="false">'CEMIUP0.9 Raw'!A257</f>
        <v>107 - Pharmacies</v>
      </c>
    </row>
    <row r="3045" customFormat="false" ht="15" hidden="false" customHeight="false" outlineLevel="0" collapsed="false">
      <c r="A3045" s="18" t="n">
        <f aca="false">'CEMIUP0.9 Raw'!B319</f>
        <v>4413154</v>
      </c>
      <c r="B3045" s="18" t="str">
        <f aca="false">'CEMIUP0.9 Raw'!C319</f>
        <v>305GA מדרס אורטופ.מתכוון37-38</v>
      </c>
      <c r="C3045" s="18" t="str">
        <f aca="false">'CEMIUP0.9 Raw'!C319</f>
        <v>305GA מדרס אורטופ.מתכוון37-38</v>
      </c>
      <c r="D3045" s="19" t="n">
        <f aca="false">'CEMIUP0.9 Raw'!D319</f>
        <v>6</v>
      </c>
      <c r="E3045" s="19" t="n">
        <f aca="false">'CEMIUP0.9 Raw'!E319</f>
        <v>493.766</v>
      </c>
      <c r="F3045" s="19" t="n">
        <f aca="false">'CEMIUP0.9 Raw'!F319</f>
        <v>3.78947368421053</v>
      </c>
      <c r="G3045" s="19" t="n">
        <f aca="false">'CEMIUP0.9 Raw'!G319</f>
        <v>323.117052631579</v>
      </c>
      <c r="H3045" s="18" t="str">
        <f aca="false">'CEMIUP0.9 Raw'!A319</f>
        <v>107 - Pharmacies</v>
      </c>
    </row>
    <row r="3046" customFormat="false" ht="15" hidden="false" customHeight="false" outlineLevel="0" collapsed="false">
      <c r="A3046" s="18" t="n">
        <f aca="false">'CEMIUP0.9 Raw'!B355</f>
        <v>4413260</v>
      </c>
      <c r="B3046" s="18" t="str">
        <f aca="false">'CEMIUP0.9 Raw'!C355</f>
        <v>T45X-XXLמגן ברך רגיל</v>
      </c>
      <c r="C3046" s="18" t="str">
        <f aca="false">'CEMIUP0.9 Raw'!C355</f>
        <v>T45X-XXLמגן ברך רגיל</v>
      </c>
      <c r="D3046" s="19" t="n">
        <f aca="false">'CEMIUP0.9 Raw'!D355</f>
        <v>0</v>
      </c>
      <c r="E3046" s="19" t="n">
        <f aca="false">'CEMIUP0.9 Raw'!E355</f>
        <v>0</v>
      </c>
      <c r="F3046" s="19" t="n">
        <f aca="false">'CEMIUP0.9 Raw'!F355</f>
        <v>3.78947368421053</v>
      </c>
      <c r="G3046" s="19" t="n">
        <f aca="false">'CEMIUP0.9 Raw'!G355</f>
        <v>434.761263157895</v>
      </c>
      <c r="H3046" s="18" t="str">
        <f aca="false">'CEMIUP0.9 Raw'!A355</f>
        <v>107 - Pharmacies</v>
      </c>
    </row>
    <row r="3047" customFormat="false" ht="15" hidden="false" customHeight="false" outlineLevel="0" collapsed="false">
      <c r="A3047" s="18" t="n">
        <f aca="false">'CEMIUP0.9 Raw'!B363</f>
        <v>4413286</v>
      </c>
      <c r="B3047" s="18" t="str">
        <f aca="false">'CEMIUP0.9 Raw'!C363</f>
        <v>T45 XXL מגן ברך רגיל</v>
      </c>
      <c r="C3047" s="18" t="str">
        <f aca="false">'CEMIUP0.9 Raw'!C363</f>
        <v>T45 XXL מגן ברך רגיל</v>
      </c>
      <c r="D3047" s="19" t="n">
        <f aca="false">'CEMIUP0.9 Raw'!D363</f>
        <v>1</v>
      </c>
      <c r="E3047" s="19" t="n">
        <f aca="false">'CEMIUP0.9 Raw'!E363</f>
        <v>103.96</v>
      </c>
      <c r="F3047" s="19" t="n">
        <f aca="false">'CEMIUP0.9 Raw'!F363</f>
        <v>3.78947368421053</v>
      </c>
      <c r="G3047" s="19" t="n">
        <f aca="false">'CEMIUP0.9 Raw'!G363</f>
        <v>358.635789473684</v>
      </c>
      <c r="H3047" s="18" t="str">
        <f aca="false">'CEMIUP0.9 Raw'!A363</f>
        <v>107 - Pharmacies</v>
      </c>
    </row>
    <row r="3048" customFormat="false" ht="15" hidden="false" customHeight="false" outlineLevel="0" collapsed="false">
      <c r="A3048" s="18" t="n">
        <f aca="false">'CEMIUP0.9 Raw'!B401</f>
        <v>4413405</v>
      </c>
      <c r="B3048" s="18" t="str">
        <f aca="false">'CEMIUP0.9 Raw'!C401</f>
        <v>SC95 S מגן מרפק</v>
      </c>
      <c r="C3048" s="18" t="str">
        <f aca="false">'CEMIUP0.9 Raw'!C401</f>
        <v>SC95 S מגן מרפק</v>
      </c>
      <c r="D3048" s="19" t="n">
        <f aca="false">'CEMIUP0.9 Raw'!D401</f>
        <v>0</v>
      </c>
      <c r="E3048" s="19" t="n">
        <f aca="false">'CEMIUP0.9 Raw'!E401</f>
        <v>0</v>
      </c>
      <c r="F3048" s="19" t="n">
        <f aca="false">'CEMIUP0.9 Raw'!F401</f>
        <v>3.78947368421053</v>
      </c>
      <c r="G3048" s="19" t="n">
        <f aca="false">'CEMIUP0.9 Raw'!G401</f>
        <v>323.002105263158</v>
      </c>
      <c r="H3048" s="18" t="str">
        <f aca="false">'CEMIUP0.9 Raw'!A401</f>
        <v>107 - Pharmacies</v>
      </c>
    </row>
    <row r="3049" customFormat="false" ht="15" hidden="false" customHeight="false" outlineLevel="0" collapsed="false">
      <c r="A3049" s="18" t="n">
        <f aca="false">'CEMIUP0.9 Raw'!B427</f>
        <v>4413451</v>
      </c>
      <c r="B3049" s="18" t="str">
        <f aca="false">'CEMIUP0.9 Raw'!C427</f>
        <v>LF378 L מדרס ג'ל לנעלי עקב</v>
      </c>
      <c r="C3049" s="18" t="str">
        <f aca="false">'CEMIUP0.9 Raw'!C427</f>
        <v>LF378 L מדרס ג'ל לנעלי עקב</v>
      </c>
      <c r="D3049" s="19" t="n">
        <f aca="false">'CEMIUP0.9 Raw'!D427</f>
        <v>0</v>
      </c>
      <c r="E3049" s="19" t="n">
        <f aca="false">'CEMIUP0.9 Raw'!E427</f>
        <v>0</v>
      </c>
      <c r="F3049" s="19" t="n">
        <f aca="false">'CEMIUP0.9 Raw'!F427</f>
        <v>3.78947368421053</v>
      </c>
      <c r="G3049" s="19" t="n">
        <f aca="false">'CEMIUP0.9 Raw'!G427</f>
        <v>247.941473684211</v>
      </c>
      <c r="H3049" s="18" t="str">
        <f aca="false">'CEMIUP0.9 Raw'!A427</f>
        <v>107 - Pharmacies</v>
      </c>
    </row>
    <row r="3050" customFormat="false" ht="15" hidden="false" customHeight="false" outlineLevel="0" collapsed="false">
      <c r="A3050" s="18" t="n">
        <f aca="false">'CEMIUP0.9 Raw'!B482</f>
        <v>4415067</v>
      </c>
      <c r="B3050" s="18" t="str">
        <f aca="false">'CEMIUP0.9 Raw'!C482</f>
        <v>T28 XL סד לאגודל כפפה</v>
      </c>
      <c r="C3050" s="18" t="str">
        <f aca="false">'CEMIUP0.9 Raw'!C482</f>
        <v>T28 XL סד לאגודל כפפה</v>
      </c>
      <c r="D3050" s="19" t="n">
        <f aca="false">'CEMIUP0.9 Raw'!D482</f>
        <v>0</v>
      </c>
      <c r="E3050" s="19" t="n">
        <f aca="false">'CEMIUP0.9 Raw'!E482</f>
        <v>-11.83</v>
      </c>
      <c r="F3050" s="19" t="n">
        <f aca="false">'CEMIUP0.9 Raw'!F482</f>
        <v>3.78947368421053</v>
      </c>
      <c r="G3050" s="19" t="n">
        <f aca="false">'CEMIUP0.9 Raw'!G482</f>
        <v>241.044631578947</v>
      </c>
      <c r="H3050" s="18" t="str">
        <f aca="false">'CEMIUP0.9 Raw'!A482</f>
        <v>107 - Pharmacies</v>
      </c>
    </row>
    <row r="3051" customFormat="false" ht="15" hidden="false" customHeight="false" outlineLevel="0" collapsed="false">
      <c r="A3051" s="18" t="n">
        <f aca="false">'CEMIUP0.9 Raw'!B560</f>
        <v>4420031</v>
      </c>
      <c r="B3051" s="18" t="str">
        <f aca="false">'CEMIUP0.9 Raw'!C560</f>
        <v>44-45 רפידת ספורט 376 מידה</v>
      </c>
      <c r="C3051" s="18" t="str">
        <f aca="false">'CEMIUP0.9 Raw'!C560</f>
        <v>44-45 רפידת ספורט 376 מידה</v>
      </c>
      <c r="D3051" s="19" t="n">
        <f aca="false">'CEMIUP0.9 Raw'!D560</f>
        <v>0</v>
      </c>
      <c r="E3051" s="19" t="n">
        <f aca="false">'CEMIUP0.9 Raw'!E560</f>
        <v>0</v>
      </c>
      <c r="F3051" s="19" t="n">
        <f aca="false">'CEMIUP0.9 Raw'!F560</f>
        <v>3.78947368421053</v>
      </c>
      <c r="G3051" s="19" t="n">
        <f aca="false">'CEMIUP0.9 Raw'!G560</f>
        <v>121.039578947368</v>
      </c>
      <c r="H3051" s="18" t="str">
        <f aca="false">'CEMIUP0.9 Raw'!A560</f>
        <v>107 - Pharmacies</v>
      </c>
    </row>
    <row r="3052" customFormat="false" ht="15" hidden="false" customHeight="false" outlineLevel="0" collapsed="false">
      <c r="A3052" s="18" t="n">
        <f aca="false">'CEMIUP0.9 Raw'!B562</f>
        <v>4420034</v>
      </c>
      <c r="B3052" s="18" t="str">
        <f aca="false">'CEMIUP0.9 Raw'!C562</f>
        <v>381 HV רצועה אלסטית</v>
      </c>
      <c r="C3052" s="18" t="str">
        <f aca="false">'CEMIUP0.9 Raw'!C562</f>
        <v>381 HV רצועה אלסטית</v>
      </c>
      <c r="D3052" s="19" t="n">
        <f aca="false">'CEMIUP0.9 Raw'!D562</f>
        <v>2</v>
      </c>
      <c r="E3052" s="19" t="n">
        <f aca="false">'CEMIUP0.9 Raw'!E562</f>
        <v>68.705</v>
      </c>
      <c r="F3052" s="19" t="n">
        <f aca="false">'CEMIUP0.9 Raw'!F562</f>
        <v>3.78947368421053</v>
      </c>
      <c r="G3052" s="19" t="n">
        <f aca="false">'CEMIUP0.9 Raw'!G562</f>
        <v>130.235368421053</v>
      </c>
      <c r="H3052" s="18" t="str">
        <f aca="false">'CEMIUP0.9 Raw'!A562</f>
        <v>107 - Pharmacies</v>
      </c>
    </row>
    <row r="3053" customFormat="false" ht="15" hidden="false" customHeight="false" outlineLevel="0" collapsed="false">
      <c r="A3053" s="18" t="n">
        <f aca="false">'CEMIUP0.9 Raw'!B563</f>
        <v>4420035</v>
      </c>
      <c r="B3053" s="18" t="str">
        <f aca="false">'CEMIUP0.9 Raw'!C563</f>
        <v>301CW 36-40 'רפידת ג'ל בז</v>
      </c>
      <c r="C3053" s="18" t="str">
        <f aca="false">'CEMIUP0.9 Raw'!C563</f>
        <v>301CW 36-40 'רפידת ג'ל בז</v>
      </c>
      <c r="D3053" s="19" t="n">
        <f aca="false">'CEMIUP0.9 Raw'!D563</f>
        <v>8</v>
      </c>
      <c r="E3053" s="19" t="n">
        <f aca="false">'CEMIUP0.9 Raw'!E563</f>
        <v>364.91</v>
      </c>
      <c r="F3053" s="19" t="n">
        <f aca="false">'CEMIUP0.9 Raw'!F563</f>
        <v>3.78947368421053</v>
      </c>
      <c r="G3053" s="19" t="n">
        <f aca="false">'CEMIUP0.9 Raw'!G563</f>
        <v>223.687578947368</v>
      </c>
      <c r="H3053" s="18" t="str">
        <f aca="false">'CEMIUP0.9 Raw'!A563</f>
        <v>107 - Pharmacies</v>
      </c>
    </row>
    <row r="3054" customFormat="false" ht="15" hidden="false" customHeight="false" outlineLevel="0" collapsed="false">
      <c r="A3054" s="18" t="n">
        <f aca="false">'CEMIUP0.9 Raw'!B564</f>
        <v>4420036</v>
      </c>
      <c r="B3054" s="18" t="str">
        <f aca="false">'CEMIUP0.9 Raw'!C564</f>
        <v>301CM 41-45 'רפידת ג'ל בז</v>
      </c>
      <c r="C3054" s="18" t="str">
        <f aca="false">'CEMIUP0.9 Raw'!C564</f>
        <v>301CM 41-45 'רפידת ג'ל בז</v>
      </c>
      <c r="D3054" s="19" t="n">
        <f aca="false">'CEMIUP0.9 Raw'!D564</f>
        <v>28</v>
      </c>
      <c r="E3054" s="19" t="n">
        <f aca="false">'CEMIUP0.9 Raw'!E564</f>
        <v>1302.301</v>
      </c>
      <c r="F3054" s="19" t="n">
        <f aca="false">'CEMIUP0.9 Raw'!F564</f>
        <v>3.78947368421053</v>
      </c>
      <c r="G3054" s="19" t="n">
        <f aca="false">'CEMIUP0.9 Raw'!G564</f>
        <v>212.767578947368</v>
      </c>
      <c r="H3054" s="18" t="str">
        <f aca="false">'CEMIUP0.9 Raw'!A564</f>
        <v>107 - Pharmacies</v>
      </c>
    </row>
    <row r="3055" customFormat="false" ht="15" hidden="false" customHeight="false" outlineLevel="0" collapsed="false">
      <c r="A3055" s="18" t="n">
        <f aca="false">'CEMIUP0.9 Raw'!B580</f>
        <v>4422009</v>
      </c>
      <c r="B3055" s="18" t="str">
        <f aca="false">'CEMIUP0.9 Raw'!C580</f>
        <v>T78 XXL תומך זרוע וכתף</v>
      </c>
      <c r="C3055" s="18" t="str">
        <f aca="false">'CEMIUP0.9 Raw'!C580</f>
        <v>T78 XXL תומך זרוע וכתף</v>
      </c>
      <c r="D3055" s="19" t="n">
        <f aca="false">'CEMIUP0.9 Raw'!D580</f>
        <v>5</v>
      </c>
      <c r="E3055" s="19" t="n">
        <f aca="false">'CEMIUP0.9 Raw'!E580</f>
        <v>843.974</v>
      </c>
      <c r="F3055" s="19" t="n">
        <f aca="false">'CEMIUP0.9 Raw'!F580</f>
        <v>3.78947368421053</v>
      </c>
      <c r="G3055" s="19" t="n">
        <f aca="false">'CEMIUP0.9 Raw'!G580</f>
        <v>652.901052631579</v>
      </c>
      <c r="H3055" s="18" t="str">
        <f aca="false">'CEMIUP0.9 Raw'!A580</f>
        <v>107 - Pharmacies</v>
      </c>
    </row>
    <row r="3056" customFormat="false" ht="15" hidden="false" customHeight="false" outlineLevel="0" collapsed="false">
      <c r="A3056" s="18" t="str">
        <f aca="false">'CEMIUP0.9 Raw'!B641</f>
        <v>50 XXL</v>
      </c>
      <c r="B3056" s="18" t="str">
        <f aca="false">'CEMIUP0.9 Raw'!C641</f>
        <v>50 XXL</v>
      </c>
      <c r="C3056" s="18" t="str">
        <f aca="false">'CEMIUP0.9 Raw'!C641</f>
        <v>50 XXL</v>
      </c>
      <c r="D3056" s="19" t="n">
        <f aca="false">'CEMIUP0.9 Raw'!D641</f>
        <v>2</v>
      </c>
      <c r="E3056" s="19" t="n">
        <f aca="false">'CEMIUP0.9 Raw'!E641</f>
        <v>180.04</v>
      </c>
      <c r="F3056" s="19" t="n">
        <f aca="false">'CEMIUP0.9 Raw'!F641</f>
        <v>3.78947368421053</v>
      </c>
      <c r="G3056" s="19" t="n">
        <f aca="false">'CEMIUP0.9 Raw'!G641</f>
        <v>420.77052631579</v>
      </c>
      <c r="H3056" s="18" t="str">
        <f aca="false">'CEMIUP0.9 Raw'!A641</f>
        <v>107 - Pharmacies</v>
      </c>
    </row>
    <row r="3057" customFormat="false" ht="15" hidden="false" customHeight="false" outlineLevel="0" collapsed="false">
      <c r="A3057" s="18" t="str">
        <f aca="false">'CEMIUP0.9 Raw'!B644</f>
        <v>56B XL</v>
      </c>
      <c r="B3057" s="18" t="str">
        <f aca="false">'CEMIUP0.9 Raw'!C644</f>
        <v>56B XL</v>
      </c>
      <c r="C3057" s="18" t="str">
        <f aca="false">'CEMIUP0.9 Raw'!C644</f>
        <v>56B XL</v>
      </c>
      <c r="D3057" s="19" t="n">
        <f aca="false">'CEMIUP0.9 Raw'!D644</f>
        <v>0</v>
      </c>
      <c r="E3057" s="19" t="n">
        <f aca="false">'CEMIUP0.9 Raw'!E644</f>
        <v>0</v>
      </c>
      <c r="F3057" s="19" t="n">
        <f aca="false">'CEMIUP0.9 Raw'!F644</f>
        <v>3.78947368421053</v>
      </c>
      <c r="G3057" s="19" t="n">
        <f aca="false">'CEMIUP0.9 Raw'!G644</f>
        <v>319.528421052632</v>
      </c>
      <c r="H3057" s="18" t="str">
        <f aca="false">'CEMIUP0.9 Raw'!A644</f>
        <v>107 - Pharmacies</v>
      </c>
    </row>
    <row r="3058" customFormat="false" ht="15" hidden="false" customHeight="false" outlineLevel="0" collapsed="false">
      <c r="A3058" s="18" t="str">
        <f aca="false">'CEMIUP0.9 Raw'!B649</f>
        <v>67600000</v>
      </c>
      <c r="B3058" s="18" t="str">
        <f aca="false">'CEMIUP0.9 Raw'!C649</f>
        <v>67600000</v>
      </c>
      <c r="C3058" s="18" t="str">
        <f aca="false">'CEMIUP0.9 Raw'!C649</f>
        <v>67600000</v>
      </c>
      <c r="D3058" s="19" t="n">
        <f aca="false">'CEMIUP0.9 Raw'!D649</f>
        <v>0</v>
      </c>
      <c r="E3058" s="19" t="n">
        <f aca="false">'CEMIUP0.9 Raw'!E649</f>
        <v>0</v>
      </c>
      <c r="F3058" s="19" t="n">
        <f aca="false">'CEMIUP0.9 Raw'!F649</f>
        <v>3.78947368421053</v>
      </c>
      <c r="G3058" s="19" t="n">
        <f aca="false">'CEMIUP0.9 Raw'!G649</f>
        <v>0</v>
      </c>
      <c r="H3058" s="18" t="str">
        <f aca="false">'CEMIUP0.9 Raw'!A649</f>
        <v>107 - Pharmacies</v>
      </c>
    </row>
    <row r="3059" customFormat="false" ht="15" hidden="false" customHeight="false" outlineLevel="0" collapsed="false">
      <c r="A3059" s="18" t="str">
        <f aca="false">'CEMIUP0.9 Raw'!B662</f>
        <v>T402 L</v>
      </c>
      <c r="B3059" s="18" t="str">
        <f aca="false">'CEMIUP0.9 Raw'!C662</f>
        <v>T402 L</v>
      </c>
      <c r="C3059" s="18" t="str">
        <f aca="false">'CEMIUP0.9 Raw'!C662</f>
        <v>T402 L</v>
      </c>
      <c r="D3059" s="19" t="n">
        <f aca="false">'CEMIUP0.9 Raw'!D662</f>
        <v>3</v>
      </c>
      <c r="E3059" s="19" t="n">
        <f aca="false">'CEMIUP0.9 Raw'!E662</f>
        <v>283.89</v>
      </c>
      <c r="F3059" s="19" t="n">
        <f aca="false">'CEMIUP0.9 Raw'!F662</f>
        <v>3.78947368421053</v>
      </c>
      <c r="G3059" s="19" t="n">
        <f aca="false">'CEMIUP0.9 Raw'!G662</f>
        <v>358.610526315789</v>
      </c>
      <c r="H3059" s="18" t="str">
        <f aca="false">'CEMIUP0.9 Raw'!A662</f>
        <v>107 - Pharmacies</v>
      </c>
    </row>
    <row r="3060" customFormat="false" ht="15" hidden="false" customHeight="false" outlineLevel="0" collapsed="false">
      <c r="A3060" s="18" t="n">
        <f aca="false">'CEMIUP0.9 Raw'!B680</f>
        <v>4403007</v>
      </c>
      <c r="B3060" s="18" t="str">
        <f aca="false">'CEMIUP0.9 Raw'!C680</f>
        <v>390W-39-42</v>
      </c>
      <c r="C3060" s="18" t="str">
        <f aca="false">'CEMIUP0.9 Raw'!C680</f>
        <v>390W-39-42</v>
      </c>
      <c r="D3060" s="19" t="n">
        <f aca="false">'CEMIUP0.9 Raw'!D680</f>
        <v>31</v>
      </c>
      <c r="E3060" s="19" t="n">
        <f aca="false">'CEMIUP0.9 Raw'!E680</f>
        <v>731.6</v>
      </c>
      <c r="F3060" s="19" t="n">
        <f aca="false">'CEMIUP0.9 Raw'!F680</f>
        <v>3.78947368421053</v>
      </c>
      <c r="G3060" s="19" t="n">
        <f aca="false">'CEMIUP0.9 Raw'!G680</f>
        <v>89.4315789473684</v>
      </c>
      <c r="H3060" s="18" t="str">
        <f aca="false">'CEMIUP0.9 Raw'!A680</f>
        <v>113 - Kupat Holim Meuhedet</v>
      </c>
    </row>
    <row r="3061" customFormat="false" ht="15" hidden="false" customHeight="false" outlineLevel="0" collapsed="false">
      <c r="A3061" s="18" t="n">
        <f aca="false">'CEMIUP0.9 Raw'!B692</f>
        <v>4408014</v>
      </c>
      <c r="B3061" s="18" t="str">
        <f aca="false">'CEMIUP0.9 Raw'!C692</f>
        <v>07AU S</v>
      </c>
      <c r="C3061" s="18" t="str">
        <f aca="false">'CEMIUP0.9 Raw'!C692</f>
        <v>07AU S</v>
      </c>
      <c r="D3061" s="19" t="n">
        <f aca="false">'CEMIUP0.9 Raw'!D692</f>
        <v>6</v>
      </c>
      <c r="E3061" s="19" t="n">
        <f aca="false">'CEMIUP0.9 Raw'!E692</f>
        <v>1053</v>
      </c>
      <c r="F3061" s="19" t="n">
        <f aca="false">'CEMIUP0.9 Raw'!F692</f>
        <v>3.78947368421053</v>
      </c>
      <c r="G3061" s="19" t="n">
        <f aca="false">'CEMIUP0.9 Raw'!G692</f>
        <v>665.052631578947</v>
      </c>
      <c r="H3061" s="18" t="str">
        <f aca="false">'CEMIUP0.9 Raw'!A692</f>
        <v>113 - Kupat Holim Meuhedet</v>
      </c>
    </row>
    <row r="3062" customFormat="false" ht="15" hidden="false" customHeight="false" outlineLevel="0" collapsed="false">
      <c r="A3062" s="18" t="n">
        <f aca="false">'CEMIUP0.9 Raw'!B711</f>
        <v>4408075</v>
      </c>
      <c r="B3062" s="18" t="str">
        <f aca="false">'CEMIUP0.9 Raw'!C711</f>
        <v>59L S חגורת שבר לצד שמאל</v>
      </c>
      <c r="C3062" s="18" t="str">
        <f aca="false">'CEMIUP0.9 Raw'!C711</f>
        <v>59L S חגורת שבר לצד שמאל</v>
      </c>
      <c r="D3062" s="19" t="n">
        <f aca="false">'CEMIUP0.9 Raw'!D711</f>
        <v>1</v>
      </c>
      <c r="E3062" s="19" t="n">
        <f aca="false">'CEMIUP0.9 Raw'!E711</f>
        <v>126.57</v>
      </c>
      <c r="F3062" s="19" t="n">
        <f aca="false">'CEMIUP0.9 Raw'!F711</f>
        <v>3.78947368421053</v>
      </c>
      <c r="G3062" s="19" t="n">
        <f aca="false">'CEMIUP0.9 Raw'!G711</f>
        <v>450.809684210526</v>
      </c>
      <c r="H3062" s="18" t="str">
        <f aca="false">'CEMIUP0.9 Raw'!A711</f>
        <v>113 - Kupat Holim Meuhedet</v>
      </c>
    </row>
    <row r="3063" customFormat="false" ht="15" hidden="false" customHeight="false" outlineLevel="0" collapsed="false">
      <c r="A3063" s="18" t="n">
        <f aca="false">'CEMIUP0.9 Raw'!B740</f>
        <v>4408261</v>
      </c>
      <c r="B3063" s="18" t="str">
        <f aca="false">'CEMIUP0.9 Raw'!C740</f>
        <v>11STO L חגורה אחרי ניתוח</v>
      </c>
      <c r="C3063" s="18" t="str">
        <f aca="false">'CEMIUP0.9 Raw'!C740</f>
        <v>11STO L חגורה אחרי ניתוח</v>
      </c>
      <c r="D3063" s="19" t="n">
        <f aca="false">'CEMIUP0.9 Raw'!D740</f>
        <v>8</v>
      </c>
      <c r="E3063" s="19" t="n">
        <f aca="false">'CEMIUP0.9 Raw'!E740</f>
        <v>908.64</v>
      </c>
      <c r="F3063" s="19" t="n">
        <f aca="false">'CEMIUP0.9 Raw'!F740</f>
        <v>3.78947368421053</v>
      </c>
      <c r="G3063" s="19" t="n">
        <f aca="false">'CEMIUP0.9 Raw'!G740</f>
        <v>417.519157894737</v>
      </c>
      <c r="H3063" s="18" t="str">
        <f aca="false">'CEMIUP0.9 Raw'!A740</f>
        <v>113 - Kupat Holim Meuhedet</v>
      </c>
    </row>
    <row r="3064" customFormat="false" ht="15" hidden="false" customHeight="false" outlineLevel="0" collapsed="false">
      <c r="A3064" s="18" t="n">
        <f aca="false">'CEMIUP0.9 Raw'!B842</f>
        <v>4413533</v>
      </c>
      <c r="B3064" s="18" t="str">
        <f aca="false">'CEMIUP0.9 Raw'!C842</f>
        <v>ST49 מגן ירך</v>
      </c>
      <c r="C3064" s="18" t="str">
        <f aca="false">'CEMIUP0.9 Raw'!C842</f>
        <v>ST49 מגן ירך</v>
      </c>
      <c r="D3064" s="19" t="n">
        <f aca="false">'CEMIUP0.9 Raw'!D842</f>
        <v>36</v>
      </c>
      <c r="E3064" s="19" t="n">
        <f aca="false">'CEMIUP0.9 Raw'!E842</f>
        <v>738</v>
      </c>
      <c r="F3064" s="19" t="n">
        <f aca="false">'CEMIUP0.9 Raw'!F842</f>
        <v>3.78947368421053</v>
      </c>
      <c r="G3064" s="19" t="n">
        <f aca="false">'CEMIUP0.9 Raw'!G842</f>
        <v>70.6926315789474</v>
      </c>
      <c r="H3064" s="18" t="str">
        <f aca="false">'CEMIUP0.9 Raw'!A842</f>
        <v>113 - Kupat Holim Meuhedet</v>
      </c>
    </row>
    <row r="3065" customFormat="false" ht="15" hidden="false" customHeight="false" outlineLevel="0" collapsed="false">
      <c r="A3065" s="18" t="n">
        <f aca="false">'CEMIUP0.9 Raw'!B859</f>
        <v>4419014</v>
      </c>
      <c r="B3065" s="18" t="str">
        <f aca="false">'CEMIUP0.9 Raw'!C859</f>
        <v>239TR L-XL STRAP4U</v>
      </c>
      <c r="C3065" s="18" t="str">
        <f aca="false">'CEMIUP0.9 Raw'!C859</f>
        <v>239TR L-XL STRAP4U</v>
      </c>
      <c r="D3065" s="19" t="n">
        <f aca="false">'CEMIUP0.9 Raw'!D859</f>
        <v>36</v>
      </c>
      <c r="E3065" s="19" t="n">
        <f aca="false">'CEMIUP0.9 Raw'!E859</f>
        <v>396</v>
      </c>
      <c r="F3065" s="19" t="n">
        <f aca="false">'CEMIUP0.9 Raw'!F859</f>
        <v>3.78947368421053</v>
      </c>
      <c r="G3065" s="19" t="n">
        <f aca="false">'CEMIUP0.9 Raw'!G859</f>
        <v>34.181052631579</v>
      </c>
      <c r="H3065" s="18" t="str">
        <f aca="false">'CEMIUP0.9 Raw'!A859</f>
        <v>113 - Kupat Holim Meuhedet</v>
      </c>
    </row>
    <row r="3066" customFormat="false" ht="15" hidden="false" customHeight="false" outlineLevel="0" collapsed="false">
      <c r="A3066" s="18" t="n">
        <f aca="false">'CEMIUP0.9 Raw'!B876</f>
        <v>4422007</v>
      </c>
      <c r="B3066" s="18" t="str">
        <f aca="false">'CEMIUP0.9 Raw'!C876</f>
        <v>T78 XLתומך זרוע וכתף</v>
      </c>
      <c r="C3066" s="18" t="str">
        <f aca="false">'CEMIUP0.9 Raw'!C876</f>
        <v>T78 XLתומך זרוע וכתף</v>
      </c>
      <c r="D3066" s="19" t="n">
        <f aca="false">'CEMIUP0.9 Raw'!D876</f>
        <v>10</v>
      </c>
      <c r="E3066" s="19" t="n">
        <f aca="false">'CEMIUP0.9 Raw'!E876</f>
        <v>1287.1</v>
      </c>
      <c r="F3066" s="19" t="n">
        <f aca="false">'CEMIUP0.9 Raw'!F876</f>
        <v>3.78947368421053</v>
      </c>
      <c r="G3066" s="19" t="n">
        <f aca="false">'CEMIUP0.9 Raw'!G876</f>
        <v>458.455578947368</v>
      </c>
      <c r="H3066" s="18" t="str">
        <f aca="false">'CEMIUP0.9 Raw'!A876</f>
        <v>113 - Kupat Holim Meuhedet</v>
      </c>
    </row>
    <row r="3067" customFormat="false" ht="15" hidden="false" customHeight="false" outlineLevel="0" collapsed="false">
      <c r="A3067" s="18" t="n">
        <f aca="false">'CEMIUP0.9 Raw'!B877</f>
        <v>4422009</v>
      </c>
      <c r="B3067" s="18" t="str">
        <f aca="false">'CEMIUP0.9 Raw'!C877</f>
        <v>T78 XXL</v>
      </c>
      <c r="C3067" s="18" t="str">
        <f aca="false">'CEMIUP0.9 Raw'!C877</f>
        <v>T78 XXL</v>
      </c>
      <c r="D3067" s="19" t="n">
        <f aca="false">'CEMIUP0.9 Raw'!D877</f>
        <v>1</v>
      </c>
      <c r="E3067" s="19" t="n">
        <f aca="false">'CEMIUP0.9 Raw'!E877</f>
        <v>128.71</v>
      </c>
      <c r="F3067" s="19" t="n">
        <f aca="false">'CEMIUP0.9 Raw'!F877</f>
        <v>3.78947368421053</v>
      </c>
      <c r="G3067" s="19" t="n">
        <f aca="false">'CEMIUP0.9 Raw'!G877</f>
        <v>487.743157894737</v>
      </c>
      <c r="H3067" s="18" t="str">
        <f aca="false">'CEMIUP0.9 Raw'!A877</f>
        <v>113 - Kupat Holim Meuhedet</v>
      </c>
    </row>
    <row r="3068" customFormat="false" ht="15" hidden="false" customHeight="false" outlineLevel="0" collapsed="false">
      <c r="A3068" s="18" t="str">
        <f aca="false">'CEMIUP0.9 Raw'!B904</f>
        <v>35 XS</v>
      </c>
      <c r="B3068" s="18" t="str">
        <f aca="false">'CEMIUP0.9 Raw'!C904</f>
        <v>35 XS</v>
      </c>
      <c r="C3068" s="18" t="str">
        <f aca="false">'CEMIUP0.9 Raw'!C904</f>
        <v>35 XS</v>
      </c>
      <c r="D3068" s="19" t="n">
        <f aca="false">'CEMIUP0.9 Raw'!D904</f>
        <v>8</v>
      </c>
      <c r="E3068" s="19" t="n">
        <f aca="false">'CEMIUP0.9 Raw'!E904</f>
        <v>136</v>
      </c>
      <c r="F3068" s="19" t="n">
        <f aca="false">'CEMIUP0.9 Raw'!F904</f>
        <v>3.78947368421053</v>
      </c>
      <c r="G3068" s="19" t="n">
        <f aca="false">'CEMIUP0.9 Raw'!G904</f>
        <v>64.421052631579</v>
      </c>
      <c r="H3068" s="18" t="str">
        <f aca="false">'CEMIUP0.9 Raw'!A904</f>
        <v>113 - Kupat Holim Meuhedet</v>
      </c>
    </row>
    <row r="3069" customFormat="false" ht="15" hidden="false" customHeight="false" outlineLevel="0" collapsed="false">
      <c r="A3069" s="18" t="n">
        <f aca="false">'CEMIUP0.9 Raw'!B962</f>
        <v>4408027</v>
      </c>
      <c r="B3069" s="18" t="str">
        <f aca="false">'CEMIUP0.9 Raw'!C962</f>
        <v>10 L ""חגורת גב ""לומבו</v>
      </c>
      <c r="C3069" s="18" t="str">
        <f aca="false">'CEMIUP0.9 Raw'!C962</f>
        <v>10 L ""חגורת גב ""לומבו</v>
      </c>
      <c r="D3069" s="19" t="n">
        <f aca="false">'CEMIUP0.9 Raw'!D962</f>
        <v>2</v>
      </c>
      <c r="E3069" s="19" t="n">
        <f aca="false">'CEMIUP0.9 Raw'!E962</f>
        <v>256.893</v>
      </c>
      <c r="F3069" s="19" t="n">
        <f aca="false">'CEMIUP0.9 Raw'!F962</f>
        <v>3.78947368421053</v>
      </c>
      <c r="G3069" s="19" t="n">
        <f aca="false">'CEMIUP0.9 Raw'!G962</f>
        <v>486.802105263158</v>
      </c>
      <c r="H3069" s="18" t="str">
        <f aca="false">'CEMIUP0.9 Raw'!A962</f>
        <v>BE (CEMI internal group)</v>
      </c>
    </row>
    <row r="3070" customFormat="false" ht="15" hidden="false" customHeight="false" outlineLevel="0" collapsed="false">
      <c r="A3070" s="18" t="n">
        <f aca="false">'CEMIUP0.9 Raw'!B963</f>
        <v>4408028</v>
      </c>
      <c r="B3070" s="18" t="str">
        <f aca="false">'CEMIUP0.9 Raw'!C963</f>
        <v>10 M ""חגורת גב ""לומבו</v>
      </c>
      <c r="C3070" s="18" t="str">
        <f aca="false">'CEMIUP0.9 Raw'!C963</f>
        <v>10 M ""חגורת גב ""לומבו</v>
      </c>
      <c r="D3070" s="19" t="n">
        <f aca="false">'CEMIUP0.9 Raw'!D963</f>
        <v>3</v>
      </c>
      <c r="E3070" s="19" t="n">
        <f aca="false">'CEMIUP0.9 Raw'!E963</f>
        <v>385.385</v>
      </c>
      <c r="F3070" s="19" t="n">
        <f aca="false">'CEMIUP0.9 Raw'!F963</f>
        <v>3.78947368421053</v>
      </c>
      <c r="G3070" s="19" t="n">
        <f aca="false">'CEMIUP0.9 Raw'!G963</f>
        <v>486.687157894737</v>
      </c>
      <c r="H3070" s="18" t="str">
        <f aca="false">'CEMIUP0.9 Raw'!A963</f>
        <v>BE (CEMI internal group)</v>
      </c>
    </row>
    <row r="3071" customFormat="false" ht="15" hidden="false" customHeight="false" outlineLevel="0" collapsed="false">
      <c r="A3071" s="18" t="n">
        <f aca="false">'CEMIUP0.9 Raw'!B1006</f>
        <v>4408149</v>
      </c>
      <c r="B3071" s="18" t="str">
        <f aca="false">'CEMIUP0.9 Raw'!C1006</f>
        <v>11PS XXLחגורה למנותחי בטן</v>
      </c>
      <c r="C3071" s="18" t="str">
        <f aca="false">'CEMIUP0.9 Raw'!C1006</f>
        <v>11PS XXLחגורה למנותחי בטן</v>
      </c>
      <c r="D3071" s="19" t="n">
        <f aca="false">'CEMIUP0.9 Raw'!D1006</f>
        <v>12</v>
      </c>
      <c r="E3071" s="19" t="n">
        <f aca="false">'CEMIUP0.9 Raw'!E1006</f>
        <v>1295.567</v>
      </c>
      <c r="F3071" s="19" t="n">
        <f aca="false">'CEMIUP0.9 Raw'!F1006</f>
        <v>3.78947368421053</v>
      </c>
      <c r="G3071" s="19" t="n">
        <f aca="false">'CEMIUP0.9 Raw'!G1006</f>
        <v>409.097684210526</v>
      </c>
      <c r="H3071" s="18" t="str">
        <f aca="false">'CEMIUP0.9 Raw'!A1006</f>
        <v>BE (CEMI internal group)</v>
      </c>
    </row>
    <row r="3072" customFormat="false" ht="15" hidden="false" customHeight="false" outlineLevel="0" collapsed="false">
      <c r="A3072" s="18" t="n">
        <f aca="false">'CEMIUP0.9 Raw'!B1150</f>
        <v>4413204</v>
      </c>
      <c r="B3072" s="18" t="str">
        <f aca="false">'CEMIUP0.9 Raw'!C1150</f>
        <v>87 XXL מקבע כתף ויד</v>
      </c>
      <c r="C3072" s="18" t="str">
        <f aca="false">'CEMIUP0.9 Raw'!C1150</f>
        <v>87 XXL מקבע כתף ויד</v>
      </c>
      <c r="D3072" s="19" t="n">
        <f aca="false">'CEMIUP0.9 Raw'!D1150</f>
        <v>4</v>
      </c>
      <c r="E3072" s="19" t="n">
        <f aca="false">'CEMIUP0.9 Raw'!E1150</f>
        <v>642.278</v>
      </c>
      <c r="F3072" s="19" t="n">
        <f aca="false">'CEMIUP0.9 Raw'!F1150</f>
        <v>3.78947368421053</v>
      </c>
      <c r="G3072" s="19" t="n">
        <f aca="false">'CEMIUP0.9 Raw'!G1150</f>
        <v>608.416421052631</v>
      </c>
      <c r="H3072" s="18" t="str">
        <f aca="false">'CEMIUP0.9 Raw'!A1150</f>
        <v>BE (CEMI internal group)</v>
      </c>
    </row>
    <row r="3073" customFormat="false" ht="15" hidden="false" customHeight="false" outlineLevel="0" collapsed="false">
      <c r="A3073" s="18" t="n">
        <f aca="false">'CEMIUP0.9 Raw'!B1178</f>
        <v>4413408</v>
      </c>
      <c r="B3073" s="18" t="str">
        <f aca="false">'CEMIUP0.9 Raw'!C1178</f>
        <v>SC95 XLמגן מרפק</v>
      </c>
      <c r="C3073" s="18" t="str">
        <f aca="false">'CEMIUP0.9 Raw'!C1178</f>
        <v>SC95 XLמגן מרפק</v>
      </c>
      <c r="D3073" s="19" t="n">
        <f aca="false">'CEMIUP0.9 Raw'!D1178</f>
        <v>6</v>
      </c>
      <c r="E3073" s="19" t="n">
        <f aca="false">'CEMIUP0.9 Raw'!E1178</f>
        <v>382.746</v>
      </c>
      <c r="F3073" s="19" t="n">
        <f aca="false">'CEMIUP0.9 Raw'!F1178</f>
        <v>3.78947368421053</v>
      </c>
      <c r="G3073" s="19" t="n">
        <f aca="false">'CEMIUP0.9 Raw'!G1178</f>
        <v>256.907368421053</v>
      </c>
      <c r="H3073" s="18" t="str">
        <f aca="false">'CEMIUP0.9 Raw'!A1178</f>
        <v>BE (CEMI internal group)</v>
      </c>
    </row>
    <row r="3074" customFormat="false" ht="15" hidden="false" customHeight="false" outlineLevel="0" collapsed="false">
      <c r="A3074" s="18" t="n">
        <f aca="false">'CEMIUP0.9 Raw'!B1195</f>
        <v>4413445</v>
      </c>
      <c r="B3074" s="18" t="str">
        <f aca="false">'CEMIUP0.9 Raw'!C1195</f>
        <v>302SP Wמדרס ג'ל ספורט לאישה</v>
      </c>
      <c r="C3074" s="18" t="str">
        <f aca="false">'CEMIUP0.9 Raw'!C1195</f>
        <v>302SP Wמדרס ג'ל ספורט לאישה</v>
      </c>
      <c r="D3074" s="19" t="n">
        <f aca="false">'CEMIUP0.9 Raw'!D1195</f>
        <v>3</v>
      </c>
      <c r="E3074" s="19" t="n">
        <f aca="false">'CEMIUP0.9 Raw'!E1195</f>
        <v>179.27</v>
      </c>
      <c r="F3074" s="19" t="n">
        <f aca="false">'CEMIUP0.9 Raw'!F1195</f>
        <v>3.78947368421053</v>
      </c>
      <c r="G3074" s="19" t="n">
        <f aca="false">'CEMIUP0.9 Raw'!G1195</f>
        <v>226.331368421053</v>
      </c>
      <c r="H3074" s="18" t="str">
        <f aca="false">'CEMIUP0.9 Raw'!A1195</f>
        <v>BE (CEMI internal group)</v>
      </c>
    </row>
    <row r="3075" customFormat="false" ht="15" hidden="false" customHeight="false" outlineLevel="0" collapsed="false">
      <c r="A3075" s="18" t="n">
        <f aca="false">'CEMIUP0.9 Raw'!B1350</f>
        <v>4408092</v>
      </c>
      <c r="B3075" s="18" t="str">
        <f aca="false">'CEMIUP0.9 Raw'!C1350</f>
        <v>T11C XL חגורת גב פוג'יאמה</v>
      </c>
      <c r="C3075" s="18" t="str">
        <f aca="false">'CEMIUP0.9 Raw'!C1350</f>
        <v>T11C XL חגורת גב פוג'יאמה</v>
      </c>
      <c r="D3075" s="19" t="n">
        <f aca="false">'CEMIUP0.9 Raw'!D1350</f>
        <v>13</v>
      </c>
      <c r="E3075" s="19" t="n">
        <f aca="false">'CEMIUP0.9 Raw'!E1350</f>
        <v>957.684</v>
      </c>
      <c r="F3075" s="19" t="n">
        <f aca="false">'CEMIUP0.9 Raw'!F1350</f>
        <v>3.78947368421053</v>
      </c>
      <c r="G3075" s="19" t="n">
        <f aca="false">'CEMIUP0.9 Raw'!G1350</f>
        <v>287.13852631579</v>
      </c>
      <c r="H3075" s="18" t="str">
        <f aca="false">'CEMIUP0.9 Raw'!A1350</f>
        <v>Super-Pharm Israel (CEMI internal group)</v>
      </c>
    </row>
    <row r="3076" customFormat="false" ht="15" hidden="false" customHeight="false" outlineLevel="0" collapsed="false">
      <c r="A3076" s="18" t="n">
        <f aca="false">'CEMIUP0.9 Raw'!B1373</f>
        <v>4408217</v>
      </c>
      <c r="B3076" s="18" t="str">
        <f aca="false">'CEMIUP0.9 Raw'!C1373</f>
        <v>S078 חגורת גב +סגירה כפולה</v>
      </c>
      <c r="C3076" s="18" t="str">
        <f aca="false">'CEMIUP0.9 Raw'!C1373</f>
        <v>S078 חגורת גב +סגירה כפולה</v>
      </c>
      <c r="D3076" s="19" t="n">
        <f aca="false">'CEMIUP0.9 Raw'!D1373</f>
        <v>11</v>
      </c>
      <c r="E3076" s="19" t="n">
        <f aca="false">'CEMIUP0.9 Raw'!E1373</f>
        <v>942.305</v>
      </c>
      <c r="F3076" s="19" t="n">
        <f aca="false">'CEMIUP0.9 Raw'!F1373</f>
        <v>3.78947368421053</v>
      </c>
      <c r="G3076" s="19" t="n">
        <f aca="false">'CEMIUP0.9 Raw'!G1373</f>
        <v>361.739368421053</v>
      </c>
      <c r="H3076" s="18" t="str">
        <f aca="false">'CEMIUP0.9 Raw'!A1373</f>
        <v>Super-Pharm Israel (CEMI internal group)</v>
      </c>
    </row>
    <row r="3077" customFormat="false" ht="15" hidden="false" customHeight="false" outlineLevel="0" collapsed="false">
      <c r="A3077" s="18" t="n">
        <f aca="false">'CEMIUP0.9 Raw'!B1486</f>
        <v>4413108</v>
      </c>
      <c r="B3077" s="18" t="str">
        <f aca="false">'CEMIUP0.9 Raw'!C1486</f>
        <v>48 M מגן ברך מחמם</v>
      </c>
      <c r="C3077" s="18" t="str">
        <f aca="false">'CEMIUP0.9 Raw'!C1486</f>
        <v>48 M מגן ברך מחמם</v>
      </c>
      <c r="D3077" s="19" t="n">
        <f aca="false">'CEMIUP0.9 Raw'!D1486</f>
        <v>5</v>
      </c>
      <c r="E3077" s="19" t="n">
        <f aca="false">'CEMIUP0.9 Raw'!E1486</f>
        <v>221.221</v>
      </c>
      <c r="F3077" s="19" t="n">
        <f aca="false">'CEMIUP0.9 Raw'!F1486</f>
        <v>3.78947368421053</v>
      </c>
      <c r="G3077" s="19" t="n">
        <f aca="false">'CEMIUP0.9 Raw'!G1486</f>
        <v>175.524631578947</v>
      </c>
      <c r="H3077" s="18" t="str">
        <f aca="false">'CEMIUP0.9 Raw'!A1486</f>
        <v>Super-Pharm Israel (CEMI internal group)</v>
      </c>
    </row>
    <row r="3078" customFormat="false" ht="15" hidden="false" customHeight="false" outlineLevel="0" collapsed="false">
      <c r="A3078" s="18" t="n">
        <f aca="false">'CEMIUP0.9 Raw'!B1548</f>
        <v>4413276</v>
      </c>
      <c r="B3078" s="18" t="str">
        <f aca="false">'CEMIUP0.9 Raw'!C1548</f>
        <v>LF377 L-מדרס סיליקון לנעלי עקב</v>
      </c>
      <c r="C3078" s="18" t="str">
        <f aca="false">'CEMIUP0.9 Raw'!C1548</f>
        <v>LF377 L-מדרס סיליקון לנעלי עקב</v>
      </c>
      <c r="D3078" s="19" t="n">
        <f aca="false">'CEMIUP0.9 Raw'!D1548</f>
        <v>1</v>
      </c>
      <c r="E3078" s="19" t="n">
        <f aca="false">'CEMIUP0.9 Raw'!E1548</f>
        <v>36.946</v>
      </c>
      <c r="F3078" s="19" t="n">
        <f aca="false">'CEMIUP0.9 Raw'!F1548</f>
        <v>3.78947368421053</v>
      </c>
      <c r="G3078" s="19" t="n">
        <f aca="false">'CEMIUP0.9 Raw'!G1548</f>
        <v>131.04</v>
      </c>
      <c r="H3078" s="18" t="str">
        <f aca="false">'CEMIUP0.9 Raw'!A1548</f>
        <v>Super-Pharm Israel (CEMI internal group)</v>
      </c>
    </row>
    <row r="3079" customFormat="false" ht="15" hidden="false" customHeight="false" outlineLevel="0" collapsed="false">
      <c r="A3079" s="18" t="n">
        <f aca="false">'CEMIUP0.9 Raw'!B1550</f>
        <v>4413278</v>
      </c>
      <c r="B3079" s="18" t="str">
        <f aca="false">'CEMIUP0.9 Raw'!C1550</f>
        <v>LF377 S-מדרס סיליקון לנעלי עקב</v>
      </c>
      <c r="C3079" s="18" t="str">
        <f aca="false">'CEMIUP0.9 Raw'!C1550</f>
        <v>LF377 S-מדרס סיליקון לנעלי עקב</v>
      </c>
      <c r="D3079" s="19" t="n">
        <f aca="false">'CEMIUP0.9 Raw'!D1550</f>
        <v>-1</v>
      </c>
      <c r="E3079" s="19" t="n">
        <f aca="false">'CEMIUP0.9 Raw'!E1550</f>
        <v>-36.946</v>
      </c>
      <c r="F3079" s="19" t="n">
        <f aca="false">'CEMIUP0.9 Raw'!F1550</f>
        <v>3.78947368421053</v>
      </c>
      <c r="G3079" s="19" t="n">
        <f aca="false">'CEMIUP0.9 Raw'!G1550</f>
        <v>140.465684210526</v>
      </c>
      <c r="H3079" s="18" t="str">
        <f aca="false">'CEMIUP0.9 Raw'!A1550</f>
        <v>Super-Pharm Israel (CEMI internal group)</v>
      </c>
    </row>
    <row r="3080" customFormat="false" ht="15" hidden="false" customHeight="false" outlineLevel="0" collapsed="false">
      <c r="A3080" s="18" t="n">
        <f aca="false">'CEMIUP0.9 Raw'!B1573</f>
        <v>4413405</v>
      </c>
      <c r="B3080" s="18" t="str">
        <f aca="false">'CEMIUP0.9 Raw'!C1573</f>
        <v>SC95 S מגן מרפק</v>
      </c>
      <c r="C3080" s="18" t="str">
        <f aca="false">'CEMIUP0.9 Raw'!C1573</f>
        <v>SC95 S מגן מרפק</v>
      </c>
      <c r="D3080" s="19" t="n">
        <f aca="false">'CEMIUP0.9 Raw'!D1573</f>
        <v>7</v>
      </c>
      <c r="E3080" s="19" t="n">
        <f aca="false">'CEMIUP0.9 Raw'!E1573</f>
        <v>464.373</v>
      </c>
      <c r="F3080" s="19" t="n">
        <f aca="false">'CEMIUP0.9 Raw'!F1573</f>
        <v>3.78947368421053</v>
      </c>
      <c r="G3080" s="19" t="n">
        <f aca="false">'CEMIUP0.9 Raw'!G1573</f>
        <v>274.954105263158</v>
      </c>
      <c r="H3080" s="18" t="str">
        <f aca="false">'CEMIUP0.9 Raw'!A1573</f>
        <v>Super-Pharm Israel (CEMI internal group)</v>
      </c>
    </row>
    <row r="3081" customFormat="false" ht="15" hidden="false" customHeight="false" outlineLevel="0" collapsed="false">
      <c r="A3081" s="18" t="n">
        <f aca="false">'SALES Raw'!G70</f>
        <v>4413155</v>
      </c>
      <c r="B3081" s="18" t="str">
        <f aca="false">'SALES Raw'!B70</f>
        <v>305GA-39-40</v>
      </c>
      <c r="C3081" s="18" t="str">
        <f aca="false">'SALES Raw'!H70</f>
        <v>305GA מדרס אורטופ.מתכוון39-40</v>
      </c>
      <c r="D3081" s="19" t="n">
        <f aca="false">'SALES Raw'!C70</f>
        <v>5</v>
      </c>
      <c r="E3081" s="19" t="n">
        <f aca="false">'SALES Raw'!D70</f>
        <v>499.72</v>
      </c>
      <c r="F3081" s="19" t="n">
        <f aca="false">'SALES Raw'!E70*$H$4</f>
        <v>3.78947368421053</v>
      </c>
      <c r="G3081" s="19" t="n">
        <f aca="false">'SALES Raw'!F70*$H$4</f>
        <v>197.28</v>
      </c>
      <c r="H3081" s="18" t="str">
        <f aca="false">'SALES Raw'!A70</f>
        <v>101 - Factory customers</v>
      </c>
    </row>
    <row r="3082" customFormat="false" ht="15" hidden="false" customHeight="false" outlineLevel="0" collapsed="false">
      <c r="A3082" s="18" t="n">
        <f aca="false">'SALES Raw'!G117</f>
        <v>4401000</v>
      </c>
      <c r="B3082" s="18" t="str">
        <f aca="false">'SALES Raw'!B117</f>
        <v>369-S-L</v>
      </c>
      <c r="C3082" s="18" t="str">
        <f aca="false">'SALES Raw'!H117</f>
        <v>369  S-L אצבעון מסיליקון יחידה</v>
      </c>
      <c r="D3082" s="19" t="n">
        <f aca="false">'SALES Raw'!C117</f>
        <v>27</v>
      </c>
      <c r="E3082" s="19" t="n">
        <f aca="false">'SALES Raw'!D117</f>
        <v>601.58</v>
      </c>
      <c r="F3082" s="19" t="n">
        <f aca="false">'SALES Raw'!E117*$H$4</f>
        <v>3.78947368421053</v>
      </c>
      <c r="G3082" s="19" t="n">
        <f aca="false">'SALES Raw'!F117*$H$4</f>
        <v>90.4168421052632</v>
      </c>
      <c r="H3082" s="18" t="str">
        <f aca="false">'SALES Raw'!A117</f>
        <v>101 - Factory customers</v>
      </c>
    </row>
    <row r="3083" customFormat="false" ht="15" hidden="false" customHeight="false" outlineLevel="0" collapsed="false">
      <c r="A3083" s="18" t="n">
        <f aca="false">'SALES Raw'!G133</f>
        <v>4415299</v>
      </c>
      <c r="B3083" s="18" t="str">
        <f aca="false">'SALES Raw'!B133</f>
        <v>388BR 0</v>
      </c>
      <c r="C3083" s="18" t="str">
        <f aca="false">'SALES Raw'!H133</f>
        <v>388B L סד לילה שחור לבוהן ימין</v>
      </c>
      <c r="D3083" s="19" t="n">
        <f aca="false">'SALES Raw'!C133</f>
        <v>13</v>
      </c>
      <c r="E3083" s="19" t="n">
        <f aca="false">'SALES Raw'!D133</f>
        <v>1037.59</v>
      </c>
      <c r="F3083" s="19" t="n">
        <f aca="false">'SALES Raw'!E133*$H$4</f>
        <v>3.78947368421053</v>
      </c>
      <c r="G3083" s="19" t="n">
        <f aca="false">'SALES Raw'!F133*$H$4</f>
        <v>244.484210526316</v>
      </c>
      <c r="H3083" s="18" t="str">
        <f aca="false">'SALES Raw'!A133</f>
        <v>101 - Factory customers</v>
      </c>
    </row>
    <row r="3084" customFormat="false" ht="15" hidden="false" customHeight="false" outlineLevel="0" collapsed="false">
      <c r="A3084" s="18" t="str">
        <f aca="false">'SALES Raw'!G138</f>
        <v/>
      </c>
      <c r="B3084" s="18" t="str">
        <f aca="false">'SALES Raw'!B138</f>
        <v>390G-39-42</v>
      </c>
      <c r="C3084" s="18" t="str">
        <f aca="false">'SALES Raw'!H138</f>
        <v>390G-39-42</v>
      </c>
      <c r="D3084" s="19" t="n">
        <f aca="false">'SALES Raw'!C138</f>
        <v>3</v>
      </c>
      <c r="E3084" s="19" t="n">
        <f aca="false">'SALES Raw'!D138</f>
        <v>105.32</v>
      </c>
      <c r="F3084" s="19" t="n">
        <f aca="false">'SALES Raw'!E138*$H$4</f>
        <v>3.78947368421053</v>
      </c>
      <c r="G3084" s="19" t="n">
        <f aca="false">'SALES Raw'!F138*$H$4</f>
        <v>133.048421052632</v>
      </c>
      <c r="H3084" s="18" t="str">
        <f aca="false">'SALES Raw'!A138</f>
        <v>101 - Factory customers</v>
      </c>
    </row>
    <row r="3085" customFormat="false" ht="15" hidden="false" customHeight="false" outlineLevel="0" collapsed="false">
      <c r="A3085" s="18" t="str">
        <f aca="false">'SALES Raw'!G145</f>
        <v/>
      </c>
      <c r="B3085" s="18" t="str">
        <f aca="false">'SALES Raw'!B145</f>
        <v>394G-39-42</v>
      </c>
      <c r="C3085" s="18" t="str">
        <f aca="false">'SALES Raw'!H145</f>
        <v>394G-39-42</v>
      </c>
      <c r="D3085" s="19" t="n">
        <f aca="false">'SALES Raw'!C145</f>
        <v>4</v>
      </c>
      <c r="E3085" s="19" t="n">
        <f aca="false">'SALES Raw'!D145</f>
        <v>105.27</v>
      </c>
      <c r="F3085" s="19" t="n">
        <f aca="false">'SALES Raw'!E145*$H$4</f>
        <v>3.78947368421053</v>
      </c>
      <c r="G3085" s="19" t="n">
        <f aca="false">'SALES Raw'!F145*$H$4</f>
        <v>106.408421052632</v>
      </c>
      <c r="H3085" s="18" t="str">
        <f aca="false">'SALES Raw'!A145</f>
        <v>101 - Factory customers</v>
      </c>
    </row>
    <row r="3086" customFormat="false" ht="15" hidden="false" customHeight="false" outlineLevel="0" collapsed="false">
      <c r="A3086" s="18" t="n">
        <f aca="false">'SALES Raw'!G158</f>
        <v>4420017</v>
      </c>
      <c r="B3086" s="18" t="str">
        <f aca="false">'SALES Raw'!B158</f>
        <v>4022 0</v>
      </c>
      <c r="C3086" s="18" t="str">
        <f aca="false">'SALES Raw'!H158</f>
        <v>4022 רצועת """"פיקה""""+כרית</v>
      </c>
      <c r="D3086" s="19" t="n">
        <f aca="false">'SALES Raw'!C158</f>
        <v>0</v>
      </c>
      <c r="E3086" s="19" t="n">
        <f aca="false">'SALES Raw'!D158</f>
        <v>0</v>
      </c>
      <c r="F3086" s="19" t="n">
        <f aca="false">'SALES Raw'!E158*$H$4</f>
        <v>3.78947368421053</v>
      </c>
      <c r="G3086" s="19" t="n">
        <f aca="false">'SALES Raw'!F158*$H$4</f>
        <v>358.610526315789</v>
      </c>
      <c r="H3086" s="18" t="str">
        <f aca="false">'SALES Raw'!A158</f>
        <v>101 - Factory customers</v>
      </c>
    </row>
    <row r="3087" customFormat="false" ht="15" hidden="false" customHeight="false" outlineLevel="0" collapsed="false">
      <c r="A3087" s="18" t="str">
        <f aca="false">'SALES Raw'!G204</f>
        <v/>
      </c>
      <c r="B3087" s="18" t="str">
        <f aca="false">'SALES Raw'!B204</f>
        <v>84-L-XXL</v>
      </c>
      <c r="C3087" s="18" t="str">
        <f aca="false">'SALES Raw'!H204</f>
        <v>84-L-XXL</v>
      </c>
      <c r="D3087" s="19" t="n">
        <f aca="false">'SALES Raw'!C204</f>
        <v>5</v>
      </c>
      <c r="E3087" s="19" t="n">
        <f aca="false">'SALES Raw'!D204</f>
        <v>765.27</v>
      </c>
      <c r="F3087" s="19" t="n">
        <f aca="false">'SALES Raw'!E204*$H$4</f>
        <v>3.78947368421053</v>
      </c>
      <c r="G3087" s="19" t="n">
        <f aca="false">'SALES Raw'!F204*$H$4</f>
        <v>485.343157894737</v>
      </c>
      <c r="H3087" s="18" t="str">
        <f aca="false">'SALES Raw'!A204</f>
        <v>101 - Factory customers</v>
      </c>
    </row>
    <row r="3088" customFormat="false" ht="15" hidden="false" customHeight="false" outlineLevel="0" collapsed="false">
      <c r="A3088" s="18" t="n">
        <f aca="false">'SALES Raw'!G209</f>
        <v>4413516</v>
      </c>
      <c r="B3088" s="18" t="str">
        <f aca="false">'SALES Raw'!B209</f>
        <v>85B L</v>
      </c>
      <c r="C3088" s="18" t="str">
        <f aca="false">'SALES Raw'!H209</f>
        <v>85B L מתלה רשת לזרוע שחור</v>
      </c>
      <c r="D3088" s="19" t="n">
        <f aca="false">'SALES Raw'!C209</f>
        <v>9</v>
      </c>
      <c r="E3088" s="19" t="n">
        <f aca="false">'SALES Raw'!D209</f>
        <v>498.6</v>
      </c>
      <c r="F3088" s="19" t="n">
        <f aca="false">'SALES Raw'!E209*$H$4</f>
        <v>3.78947368421053</v>
      </c>
      <c r="G3088" s="19" t="n">
        <f aca="false">'SALES Raw'!F209*$H$4</f>
        <v>177.145263157895</v>
      </c>
      <c r="H3088" s="18" t="str">
        <f aca="false">'SALES Raw'!A209</f>
        <v>101 - Factory customers</v>
      </c>
    </row>
    <row r="3089" customFormat="false" ht="15" hidden="false" customHeight="false" outlineLevel="0" collapsed="false">
      <c r="A3089" s="18" t="n">
        <f aca="false">'SALES Raw'!G212</f>
        <v>4413518</v>
      </c>
      <c r="B3089" s="18" t="str">
        <f aca="false">'SALES Raw'!B212</f>
        <v>85B XL</v>
      </c>
      <c r="C3089" s="18" t="str">
        <f aca="false">'SALES Raw'!H212</f>
        <v>85B XL מתלה רשת לזרוע שחור</v>
      </c>
      <c r="D3089" s="19" t="n">
        <f aca="false">'SALES Raw'!C212</f>
        <v>7</v>
      </c>
      <c r="E3089" s="19" t="n">
        <f aca="false">'SALES Raw'!D212</f>
        <v>388.07</v>
      </c>
      <c r="F3089" s="19" t="n">
        <f aca="false">'SALES Raw'!E212*$H$4</f>
        <v>3.78947368421053</v>
      </c>
      <c r="G3089" s="19" t="n">
        <f aca="false">'SALES Raw'!F212*$H$4</f>
        <v>195.372631578947</v>
      </c>
      <c r="H3089" s="18" t="str">
        <f aca="false">'SALES Raw'!A212</f>
        <v>101 - Factory customers</v>
      </c>
    </row>
    <row r="3090" customFormat="false" ht="15" hidden="false" customHeight="false" outlineLevel="0" collapsed="false">
      <c r="A3090" s="18" t="n">
        <f aca="false">'SALES Raw'!G229</f>
        <v>4413329</v>
      </c>
      <c r="B3090" s="18" t="str">
        <f aca="false">'SALES Raw'!B229</f>
        <v>AC45X 0</v>
      </c>
      <c r="C3090" s="18" t="str">
        <f aca="false">'SALES Raw'!H229</f>
        <v>AC45X מגן ברך עם תמיכות</v>
      </c>
      <c r="D3090" s="19" t="n">
        <f aca="false">'SALES Raw'!C229</f>
        <v>10</v>
      </c>
      <c r="E3090" s="19" t="n">
        <f aca="false">'SALES Raw'!D229</f>
        <v>750.91</v>
      </c>
      <c r="F3090" s="19" t="n">
        <f aca="false">'SALES Raw'!E229*$H$4</f>
        <v>3.78947368421053</v>
      </c>
      <c r="G3090" s="19" t="n">
        <f aca="false">'SALES Raw'!F229*$H$4</f>
        <v>284.008421052632</v>
      </c>
      <c r="H3090" s="18" t="str">
        <f aca="false">'SALES Raw'!A229</f>
        <v>101 - Factory customers</v>
      </c>
    </row>
    <row r="3091" customFormat="false" ht="15" hidden="false" customHeight="false" outlineLevel="0" collapsed="false">
      <c r="A3091" s="18" t="n">
        <f aca="false">'SALES Raw'!G237</f>
        <v>4414000</v>
      </c>
      <c r="B3091" s="18" t="str">
        <f aca="false">'SALES Raw'!B237</f>
        <v>FC342 0</v>
      </c>
      <c r="C3091" s="18" t="str">
        <f aca="false">'SALES Raw'!H237</f>
        <v>FC342-נוזל לציפורן חודרנית</v>
      </c>
      <c r="D3091" s="19" t="n">
        <f aca="false">'SALES Raw'!C237</f>
        <v>28</v>
      </c>
      <c r="E3091" s="19" t="n">
        <f aca="false">'SALES Raw'!D237</f>
        <v>1001.53</v>
      </c>
      <c r="F3091" s="19" t="n">
        <f aca="false">'SALES Raw'!E237*$H$4</f>
        <v>3.78947368421053</v>
      </c>
      <c r="G3091" s="19" t="n">
        <f aca="false">'SALES Raw'!F237*$H$4</f>
        <v>92.2736842105263</v>
      </c>
      <c r="H3091" s="18" t="str">
        <f aca="false">'SALES Raw'!A237</f>
        <v>101 - Factory customers</v>
      </c>
    </row>
    <row r="3092" customFormat="false" ht="15" hidden="false" customHeight="false" outlineLevel="0" collapsed="false">
      <c r="A3092" s="18" t="n">
        <f aca="false">'SALES Raw'!G256</f>
        <v>4413439</v>
      </c>
      <c r="B3092" s="18" t="str">
        <f aca="false">'SALES Raw'!B256</f>
        <v>SC422 M</v>
      </c>
      <c r="C3092" s="18" t="str">
        <f aca="false">'SALES Raw'!H256</f>
        <v>SC422  M מגן ברך</v>
      </c>
      <c r="D3092" s="19" t="n">
        <f aca="false">'SALES Raw'!C256</f>
        <v>11</v>
      </c>
      <c r="E3092" s="19" t="n">
        <f aca="false">'SALES Raw'!D256</f>
        <v>1266.8</v>
      </c>
      <c r="F3092" s="19" t="n">
        <f aca="false">'SALES Raw'!E256*$H$4</f>
        <v>3.78947368421053</v>
      </c>
      <c r="G3092" s="19" t="n">
        <f aca="false">'SALES Raw'!F256*$H$4</f>
        <v>461.671578947368</v>
      </c>
      <c r="H3092" s="18" t="str">
        <f aca="false">'SALES Raw'!A256</f>
        <v>101 - Factory customers</v>
      </c>
    </row>
    <row r="3093" customFormat="false" ht="15" hidden="false" customHeight="false" outlineLevel="0" collapsed="false">
      <c r="A3093" s="18" t="n">
        <f aca="false">'SALES Raw'!G289</f>
        <v>4408221</v>
      </c>
      <c r="B3093" s="18" t="str">
        <f aca="false">'SALES Raw'!B289</f>
        <v>078G L</v>
      </c>
      <c r="C3093" s="18" t="str">
        <f aca="false">'SALES Raw'!H289</f>
        <v>078G-L חגורת גב אפורה</v>
      </c>
      <c r="D3093" s="19" t="n">
        <f aca="false">'SALES Raw'!C289</f>
        <v>0</v>
      </c>
      <c r="E3093" s="19" t="n">
        <f aca="false">'SALES Raw'!D289</f>
        <v>0</v>
      </c>
      <c r="F3093" s="19" t="n">
        <f aca="false">'SALES Raw'!E289*$H$4</f>
        <v>3.78947368421053</v>
      </c>
      <c r="G3093" s="19" t="n">
        <f aca="false">'SALES Raw'!F289*$H$4</f>
        <v>295.932631578947</v>
      </c>
      <c r="H3093" s="18" t="str">
        <f aca="false">'SALES Raw'!A289</f>
        <v>101 - Factory customers</v>
      </c>
    </row>
    <row r="3094" customFormat="false" ht="15" hidden="false" customHeight="false" outlineLevel="0" collapsed="false">
      <c r="A3094" s="18" t="n">
        <f aca="false">'SALES Raw'!G290</f>
        <v>4408222</v>
      </c>
      <c r="B3094" s="18" t="str">
        <f aca="false">'SALES Raw'!B290</f>
        <v>078G XL</v>
      </c>
      <c r="C3094" s="18" t="str">
        <f aca="false">'SALES Raw'!H290</f>
        <v>078G-XLחגורת גב אפורה</v>
      </c>
      <c r="D3094" s="19" t="n">
        <f aca="false">'SALES Raw'!C290</f>
        <v>0</v>
      </c>
      <c r="E3094" s="19" t="n">
        <f aca="false">'SALES Raw'!D290</f>
        <v>0</v>
      </c>
      <c r="F3094" s="19" t="n">
        <f aca="false">'SALES Raw'!E290*$H$4</f>
        <v>3.78947368421053</v>
      </c>
      <c r="G3094" s="19" t="n">
        <f aca="false">'SALES Raw'!F290*$H$4</f>
        <v>295.932631578947</v>
      </c>
      <c r="H3094" s="18" t="str">
        <f aca="false">'SALES Raw'!A290</f>
        <v>101 - Factory customers</v>
      </c>
    </row>
    <row r="3095" customFormat="false" ht="15" hidden="false" customHeight="false" outlineLevel="0" collapsed="false">
      <c r="A3095" s="18" t="n">
        <f aca="false">'SALES Raw'!G291</f>
        <v>4408223</v>
      </c>
      <c r="B3095" s="18" t="str">
        <f aca="false">'SALES Raw'!B291</f>
        <v>078G XXL</v>
      </c>
      <c r="C3095" s="18" t="str">
        <f aca="false">'SALES Raw'!H291</f>
        <v>078G-XXLחגורת גב אפורה</v>
      </c>
      <c r="D3095" s="19" t="n">
        <f aca="false">'SALES Raw'!C291</f>
        <v>0</v>
      </c>
      <c r="E3095" s="19" t="n">
        <f aca="false">'SALES Raw'!D291</f>
        <v>0</v>
      </c>
      <c r="F3095" s="19" t="n">
        <f aca="false">'SALES Raw'!E291*$H$4</f>
        <v>3.78947368421053</v>
      </c>
      <c r="G3095" s="19" t="n">
        <f aca="false">'SALES Raw'!F291*$H$4</f>
        <v>295.932631578947</v>
      </c>
      <c r="H3095" s="18" t="str">
        <f aca="false">'SALES Raw'!A291</f>
        <v>101 - Factory customers</v>
      </c>
    </row>
    <row r="3096" customFormat="false" ht="15" hidden="false" customHeight="false" outlineLevel="0" collapsed="false">
      <c r="A3096" s="18" t="n">
        <f aca="false">'SALES Raw'!G304</f>
        <v>4413399</v>
      </c>
      <c r="B3096" s="18" t="str">
        <f aca="false">'SALES Raw'!B304</f>
        <v>21 XS</v>
      </c>
      <c r="C3096" s="18" t="str">
        <f aca="false">'SALES Raw'!H304</f>
        <v>21 XS מגן יד</v>
      </c>
      <c r="D3096" s="19" t="n">
        <f aca="false">'SALES Raw'!C304</f>
        <v>0</v>
      </c>
      <c r="E3096" s="19" t="n">
        <f aca="false">'SALES Raw'!D304</f>
        <v>0</v>
      </c>
      <c r="F3096" s="19" t="n">
        <f aca="false">'SALES Raw'!E304*$H$4</f>
        <v>3.78947368421053</v>
      </c>
      <c r="G3096" s="19" t="n">
        <f aca="false">'SALES Raw'!F304*$H$4</f>
        <v>150.808421052632</v>
      </c>
      <c r="H3096" s="18" t="str">
        <f aca="false">'SALES Raw'!A304</f>
        <v>101 - Factory customers</v>
      </c>
    </row>
    <row r="3097" customFormat="false" ht="15" hidden="false" customHeight="false" outlineLevel="0" collapsed="false">
      <c r="A3097" s="18" t="str">
        <f aca="false">'SALES Raw'!G305</f>
        <v/>
      </c>
      <c r="B3097" s="18" t="str">
        <f aca="false">'SALES Raw'!B305</f>
        <v>25 L</v>
      </c>
      <c r="C3097" s="18" t="str">
        <f aca="false">'SALES Raw'!H305</f>
        <v>25 L</v>
      </c>
      <c r="D3097" s="19" t="n">
        <f aca="false">'SALES Raw'!C305</f>
        <v>0</v>
      </c>
      <c r="E3097" s="19" t="n">
        <f aca="false">'SALES Raw'!D305</f>
        <v>0</v>
      </c>
      <c r="F3097" s="19" t="n">
        <f aca="false">'SALES Raw'!E305*$H$4</f>
        <v>3.78947368421053</v>
      </c>
      <c r="G3097" s="19" t="n">
        <f aca="false">'SALES Raw'!F305*$H$4</f>
        <v>252.037894736842</v>
      </c>
      <c r="H3097" s="18" t="str">
        <f aca="false">'SALES Raw'!A305</f>
        <v>101 - Factory customers</v>
      </c>
    </row>
    <row r="3098" customFormat="false" ht="15" hidden="false" customHeight="false" outlineLevel="0" collapsed="false">
      <c r="A3098" s="18" t="n">
        <f aca="false">'SALES Raw'!G308</f>
        <v>4420035</v>
      </c>
      <c r="B3098" s="18" t="str">
        <f aca="false">'SALES Raw'!B308</f>
        <v>301CW-36-40</v>
      </c>
      <c r="C3098" s="18" t="str">
        <f aca="false">'SALES Raw'!H308</f>
        <v>301CW 36-40 'רפידת ג'ל בז</v>
      </c>
      <c r="D3098" s="19" t="n">
        <f aca="false">'SALES Raw'!C308</f>
        <v>0</v>
      </c>
      <c r="E3098" s="19" t="n">
        <f aca="false">'SALES Raw'!D308</f>
        <v>0</v>
      </c>
      <c r="F3098" s="19" t="n">
        <f aca="false">'SALES Raw'!E308*$H$4</f>
        <v>3.78947368421053</v>
      </c>
      <c r="G3098" s="19" t="n">
        <f aca="false">'SALES Raw'!F308*$H$4</f>
        <v>269.797894736842</v>
      </c>
      <c r="H3098" s="18" t="str">
        <f aca="false">'SALES Raw'!A308</f>
        <v>101 - Factory customers</v>
      </c>
    </row>
    <row r="3099" customFormat="false" ht="15" hidden="false" customHeight="false" outlineLevel="0" collapsed="false">
      <c r="A3099" s="18" t="n">
        <f aca="false">'SALES Raw'!G311</f>
        <v>4413160</v>
      </c>
      <c r="B3099" s="18" t="str">
        <f aca="false">'SALES Raw'!B311</f>
        <v>34+ M</v>
      </c>
      <c r="C3099" s="18" t="str">
        <f aca="false">'SALES Raw'!H311</f>
        <v>34+ M מגן קרסול עקב סגור+רצוע</v>
      </c>
      <c r="D3099" s="19" t="n">
        <f aca="false">'SALES Raw'!C311</f>
        <v>2</v>
      </c>
      <c r="E3099" s="19" t="n">
        <f aca="false">'SALES Raw'!D311</f>
        <v>152.43</v>
      </c>
      <c r="F3099" s="19" t="n">
        <f aca="false">'SALES Raw'!E311*$H$4</f>
        <v>3.78947368421053</v>
      </c>
      <c r="G3099" s="19" t="n">
        <f aca="false">'SALES Raw'!F311*$H$4</f>
        <v>266.248421052632</v>
      </c>
      <c r="H3099" s="18" t="str">
        <f aca="false">'SALES Raw'!A311</f>
        <v>101 - Factory customers</v>
      </c>
    </row>
    <row r="3100" customFormat="false" ht="15" hidden="false" customHeight="false" outlineLevel="0" collapsed="false">
      <c r="A3100" s="18" t="n">
        <f aca="false">'SALES Raw'!G335</f>
        <v>4413499</v>
      </c>
      <c r="B3100" s="18" t="str">
        <f aca="false">'SALES Raw'!B335</f>
        <v>45B XXL</v>
      </c>
      <c r="C3100" s="18" t="str">
        <f aca="false">'SALES Raw'!H335</f>
        <v>45B XXLמגן ברך שחור</v>
      </c>
      <c r="D3100" s="19" t="n">
        <f aca="false">'SALES Raw'!C335</f>
        <v>0</v>
      </c>
      <c r="E3100" s="19" t="n">
        <f aca="false">'SALES Raw'!D335</f>
        <v>0</v>
      </c>
      <c r="F3100" s="19" t="n">
        <f aca="false">'SALES Raw'!E335*$H$4</f>
        <v>3.78947368421053</v>
      </c>
      <c r="G3100" s="19" t="n">
        <f aca="false">'SALES Raw'!F335*$H$4</f>
        <v>101.456842105263</v>
      </c>
      <c r="H3100" s="18" t="str">
        <f aca="false">'SALES Raw'!A335</f>
        <v>101 - Factory customers</v>
      </c>
    </row>
    <row r="3101" customFormat="false" ht="15" hidden="false" customHeight="false" outlineLevel="0" collapsed="false">
      <c r="A3101" s="18" t="n">
        <f aca="false">'SALES Raw'!G337</f>
        <v>4413103</v>
      </c>
      <c r="B3101" s="18" t="str">
        <f aca="false">'SALES Raw'!B337</f>
        <v>45E M</v>
      </c>
      <c r="C3101" s="18" t="str">
        <f aca="false">'SALES Raw'!H337</f>
        <v>45E Mמגן ברך ארוך לבן</v>
      </c>
      <c r="D3101" s="19" t="n">
        <f aca="false">'SALES Raw'!C337</f>
        <v>0</v>
      </c>
      <c r="E3101" s="19" t="n">
        <f aca="false">'SALES Raw'!D337</f>
        <v>0</v>
      </c>
      <c r="F3101" s="19" t="n">
        <f aca="false">'SALES Raw'!E337*$H$4</f>
        <v>3.78947368421053</v>
      </c>
      <c r="G3101" s="19" t="n">
        <f aca="false">'SALES Raw'!F337*$H$4</f>
        <v>141.928421052632</v>
      </c>
      <c r="H3101" s="18" t="str">
        <f aca="false">'SALES Raw'!A337</f>
        <v>101 - Factory customers</v>
      </c>
    </row>
    <row r="3102" customFormat="false" ht="15" hidden="false" customHeight="false" outlineLevel="0" collapsed="false">
      <c r="A3102" s="18" t="n">
        <f aca="false">'SALES Raw'!G338</f>
        <v>4413101</v>
      </c>
      <c r="B3102" s="18" t="str">
        <f aca="false">'SALES Raw'!B338</f>
        <v>45E S</v>
      </c>
      <c r="C3102" s="18" t="str">
        <f aca="false">'SALES Raw'!H338</f>
        <v>45E Sמגן ברך ארוך לבן</v>
      </c>
      <c r="D3102" s="19" t="n">
        <f aca="false">'SALES Raw'!C338</f>
        <v>0</v>
      </c>
      <c r="E3102" s="19" t="n">
        <f aca="false">'SALES Raw'!D338</f>
        <v>0</v>
      </c>
      <c r="F3102" s="19" t="n">
        <f aca="false">'SALES Raw'!E338*$H$4</f>
        <v>3.78947368421053</v>
      </c>
      <c r="G3102" s="19" t="n">
        <f aca="false">'SALES Raw'!F338*$H$4</f>
        <v>141.928421052632</v>
      </c>
      <c r="H3102" s="18" t="str">
        <f aca="false">'SALES Raw'!A338</f>
        <v>101 - Factory customers</v>
      </c>
    </row>
    <row r="3103" customFormat="false" ht="15" hidden="false" customHeight="false" outlineLevel="0" collapsed="false">
      <c r="A3103" s="18" t="n">
        <f aca="false">'SALES Raw'!G354</f>
        <v>4418003</v>
      </c>
      <c r="B3103" s="18" t="str">
        <f aca="false">'SALES Raw'!B354</f>
        <v>60 XL</v>
      </c>
      <c r="C3103" s="18" t="str">
        <f aca="false">'SALES Raw'!H354</f>
        <v>60 XL צוארון ספוגי</v>
      </c>
      <c r="D3103" s="19" t="n">
        <f aca="false">'SALES Raw'!C354</f>
        <v>0</v>
      </c>
      <c r="E3103" s="19" t="n">
        <f aca="false">'SALES Raw'!D354</f>
        <v>0</v>
      </c>
      <c r="F3103" s="19" t="n">
        <f aca="false">'SALES Raw'!E354*$H$4</f>
        <v>3.78947368421053</v>
      </c>
      <c r="G3103" s="19" t="n">
        <f aca="false">'SALES Raw'!F354*$H$4</f>
        <v>188.084210526316</v>
      </c>
      <c r="H3103" s="18" t="str">
        <f aca="false">'SALES Raw'!A354</f>
        <v>101 - Factory customers</v>
      </c>
    </row>
    <row r="3104" customFormat="false" ht="15" hidden="false" customHeight="false" outlineLevel="0" collapsed="false">
      <c r="A3104" s="18" t="str">
        <f aca="false">'SALES Raw'!G471</f>
        <v/>
      </c>
      <c r="B3104" s="18" t="str">
        <f aca="false">'SALES Raw'!B471</f>
        <v>MSG001FB 0</v>
      </c>
      <c r="C3104" s="18" t="str">
        <f aca="false">'SALES Raw'!H471</f>
        <v>MSG001FB 0</v>
      </c>
      <c r="D3104" s="19" t="n">
        <f aca="false">'SALES Raw'!C471</f>
        <v>0</v>
      </c>
      <c r="E3104" s="19" t="n">
        <f aca="false">'SALES Raw'!D471</f>
        <v>0</v>
      </c>
      <c r="F3104" s="19" t="n">
        <f aca="false">'SALES Raw'!E471*$H$4</f>
        <v>3.78947368421053</v>
      </c>
      <c r="G3104" s="19" t="n">
        <f aca="false">'SALES Raw'!F471*$H$4</f>
        <v>642.227368421053</v>
      </c>
      <c r="H3104" s="18" t="str">
        <f aca="false">'SALES Raw'!A471</f>
        <v>101 - Factory customers</v>
      </c>
    </row>
    <row r="3105" customFormat="false" ht="15" hidden="false" customHeight="false" outlineLevel="0" collapsed="false">
      <c r="A3105" s="18" t="n">
        <f aca="false">'SALES Raw'!G536</f>
        <v>4411026</v>
      </c>
      <c r="B3105" s="18" t="str">
        <f aca="false">'SALES Raw'!B536</f>
        <v>213CTSL L</v>
      </c>
      <c r="C3105" s="18" t="str">
        <f aca="false">'SALES Raw'!H536</f>
        <v>213CTSL L שמאל CTS כפפות</v>
      </c>
      <c r="D3105" s="19" t="n">
        <f aca="false">'SALES Raw'!C536</f>
        <v>20</v>
      </c>
      <c r="E3105" s="19" t="n">
        <f aca="false">'SALES Raw'!D536</f>
        <v>1800.3</v>
      </c>
      <c r="F3105" s="19" t="n">
        <f aca="false">'SALES Raw'!E536*$H$4</f>
        <v>3.78947368421053</v>
      </c>
      <c r="G3105" s="19" t="n">
        <f aca="false">'SALES Raw'!F536*$H$4</f>
        <v>341.052631578947</v>
      </c>
      <c r="H3105" s="18" t="str">
        <f aca="false">'SALES Raw'!A536</f>
        <v>102 - Orthopedic institutes</v>
      </c>
    </row>
    <row r="3106" customFormat="false" ht="15" hidden="false" customHeight="false" outlineLevel="0" collapsed="false">
      <c r="A3106" s="18" t="str">
        <f aca="false">'SALES Raw'!G586</f>
        <v/>
      </c>
      <c r="B3106" s="18" t="str">
        <f aca="false">'SALES Raw'!B586</f>
        <v>T402 L</v>
      </c>
      <c r="C3106" s="18" t="str">
        <f aca="false">'SALES Raw'!H586</f>
        <v>T402 L</v>
      </c>
      <c r="D3106" s="19" t="n">
        <f aca="false">'SALES Raw'!C586</f>
        <v>11</v>
      </c>
      <c r="E3106" s="19" t="n">
        <f aca="false">'SALES Raw'!D586</f>
        <v>1015.62</v>
      </c>
      <c r="F3106" s="19" t="n">
        <f aca="false">'SALES Raw'!E586*$H$4</f>
        <v>3.78947368421053</v>
      </c>
      <c r="G3106" s="19" t="n">
        <f aca="false">'SALES Raw'!F586*$H$4</f>
        <v>342.682105263158</v>
      </c>
      <c r="H3106" s="18" t="str">
        <f aca="false">'SALES Raw'!A586</f>
        <v>102 - Orthopedic institutes</v>
      </c>
    </row>
    <row r="3107" customFormat="false" ht="15" hidden="false" customHeight="false" outlineLevel="0" collapsed="false">
      <c r="A3107" s="18" t="n">
        <f aca="false">'SALES Raw'!G609</f>
        <v>4408151</v>
      </c>
      <c r="B3107" s="18" t="str">
        <f aca="false">'SALES Raw'!B609</f>
        <v>11TO M</v>
      </c>
      <c r="C3107" s="18" t="str">
        <f aca="false">'SALES Raw'!H609</f>
        <v>11TO M חגורה למנותחי בית החזה</v>
      </c>
      <c r="D3107" s="19" t="n">
        <f aca="false">'SALES Raw'!C609</f>
        <v>1</v>
      </c>
      <c r="E3107" s="19" t="n">
        <f aca="false">'SALES Raw'!D609</f>
        <v>130.01</v>
      </c>
      <c r="F3107" s="19" t="n">
        <f aca="false">'SALES Raw'!E609*$H$4</f>
        <v>3.78947368421053</v>
      </c>
      <c r="G3107" s="19" t="n">
        <f aca="false">'SALES Raw'!F609*$H$4</f>
        <v>492.631578947368</v>
      </c>
      <c r="H3107" s="18" t="str">
        <f aca="false">'SALES Raw'!A609</f>
        <v>102 - Orthopedic institutes</v>
      </c>
    </row>
    <row r="3108" customFormat="false" ht="15" hidden="false" customHeight="false" outlineLevel="0" collapsed="false">
      <c r="A3108" s="18" t="n">
        <f aca="false">'SALES Raw'!G642</f>
        <v>4413112</v>
      </c>
      <c r="B3108" s="18" t="str">
        <f aca="false">'SALES Raw'!B642</f>
        <v>49 L</v>
      </c>
      <c r="C3108" s="18" t="str">
        <f aca="false">'SALES Raw'!H642</f>
        <v>49  L מגן ירך</v>
      </c>
      <c r="D3108" s="19" t="n">
        <f aca="false">'SALES Raw'!C642</f>
        <v>1</v>
      </c>
      <c r="E3108" s="19" t="n">
        <f aca="false">'SALES Raw'!D642</f>
        <v>35.11</v>
      </c>
      <c r="F3108" s="19" t="n">
        <f aca="false">'SALES Raw'!E642*$H$4</f>
        <v>3.78947368421053</v>
      </c>
      <c r="G3108" s="19" t="n">
        <f aca="false">'SALES Raw'!F642*$H$4</f>
        <v>133.048421052632</v>
      </c>
      <c r="H3108" s="18" t="str">
        <f aca="false">'SALES Raw'!A642</f>
        <v>102 - Orthopedic institutes</v>
      </c>
    </row>
    <row r="3109" customFormat="false" ht="15" hidden="false" customHeight="false" outlineLevel="0" collapsed="false">
      <c r="A3109" s="18" t="str">
        <f aca="false">'SALES Raw'!G648</f>
        <v/>
      </c>
      <c r="B3109" s="18" t="str">
        <f aca="false">'SALES Raw'!B648</f>
        <v>56B L</v>
      </c>
      <c r="C3109" s="18" t="str">
        <f aca="false">'SALES Raw'!H648</f>
        <v>56B L</v>
      </c>
      <c r="D3109" s="19" t="n">
        <f aca="false">'SALES Raw'!C648</f>
        <v>0</v>
      </c>
      <c r="E3109" s="19" t="n">
        <f aca="false">'SALES Raw'!D648</f>
        <v>0</v>
      </c>
      <c r="F3109" s="19" t="n">
        <f aca="false">'SALES Raw'!E648*$H$4</f>
        <v>3.78947368421053</v>
      </c>
      <c r="G3109" s="19" t="n">
        <f aca="false">'SALES Raw'!F648*$H$4</f>
        <v>305.330526315789</v>
      </c>
      <c r="H3109" s="18" t="str">
        <f aca="false">'SALES Raw'!A648</f>
        <v>102 - Orthopedic institutes</v>
      </c>
    </row>
    <row r="3110" customFormat="false" ht="15" hidden="false" customHeight="false" outlineLevel="0" collapsed="false">
      <c r="A3110" s="18" t="str">
        <f aca="false">'SALES Raw'!G649</f>
        <v/>
      </c>
      <c r="B3110" s="18" t="str">
        <f aca="false">'SALES Raw'!B649</f>
        <v>56B M</v>
      </c>
      <c r="C3110" s="18" t="str">
        <f aca="false">'SALES Raw'!H649</f>
        <v>56B M</v>
      </c>
      <c r="D3110" s="19" t="n">
        <f aca="false">'SALES Raw'!C649</f>
        <v>0</v>
      </c>
      <c r="E3110" s="19" t="n">
        <f aca="false">'SALES Raw'!D649</f>
        <v>0</v>
      </c>
      <c r="F3110" s="19" t="n">
        <f aca="false">'SALES Raw'!E649*$H$4</f>
        <v>3.78947368421053</v>
      </c>
      <c r="G3110" s="19" t="n">
        <f aca="false">'SALES Raw'!F649*$H$4</f>
        <v>312.429473684211</v>
      </c>
      <c r="H3110" s="18" t="str">
        <f aca="false">'SALES Raw'!A649</f>
        <v>102 - Orthopedic institutes</v>
      </c>
    </row>
    <row r="3111" customFormat="false" ht="15" hidden="false" customHeight="false" outlineLevel="0" collapsed="false">
      <c r="A3111" s="18" t="str">
        <f aca="false">'SALES Raw'!G650</f>
        <v/>
      </c>
      <c r="B3111" s="18" t="str">
        <f aca="false">'SALES Raw'!B650</f>
        <v>56B XL</v>
      </c>
      <c r="C3111" s="18" t="str">
        <f aca="false">'SALES Raw'!H650</f>
        <v>56B XL</v>
      </c>
      <c r="D3111" s="19" t="n">
        <f aca="false">'SALES Raw'!C650</f>
        <v>0</v>
      </c>
      <c r="E3111" s="19" t="n">
        <f aca="false">'SALES Raw'!D650</f>
        <v>0</v>
      </c>
      <c r="F3111" s="19" t="n">
        <f aca="false">'SALES Raw'!E650*$H$4</f>
        <v>3.78947368421053</v>
      </c>
      <c r="G3111" s="19" t="n">
        <f aca="false">'SALES Raw'!F650*$H$4</f>
        <v>305.330526315789</v>
      </c>
      <c r="H3111" s="18" t="str">
        <f aca="false">'SALES Raw'!A650</f>
        <v>102 - Orthopedic institutes</v>
      </c>
    </row>
    <row r="3112" customFormat="false" ht="15" hidden="false" customHeight="false" outlineLevel="0" collapsed="false">
      <c r="A3112" s="18" t="n">
        <f aca="false">'SALES Raw'!G695</f>
        <v>4408180</v>
      </c>
      <c r="B3112" s="18" t="str">
        <f aca="false">'SALES Raw'!B695</f>
        <v>13 XXL</v>
      </c>
      <c r="C3112" s="18" t="str">
        <f aca="false">'SALES Raw'!H695</f>
        <v>13 XXL חגורה לשבר טבור</v>
      </c>
      <c r="D3112" s="19" t="n">
        <f aca="false">'SALES Raw'!C695</f>
        <v>5</v>
      </c>
      <c r="E3112" s="19" t="n">
        <f aca="false">'SALES Raw'!D695</f>
        <v>539.02</v>
      </c>
      <c r="F3112" s="19" t="n">
        <f aca="false">'SALES Raw'!E695*$H$4</f>
        <v>3.78947368421053</v>
      </c>
      <c r="G3112" s="19" t="n">
        <f aca="false">'SALES Raw'!F695*$H$4</f>
        <v>410.526315789474</v>
      </c>
      <c r="H3112" s="18" t="str">
        <f aca="false">'SALES Raw'!A695</f>
        <v>102 - Orthopedic institutes</v>
      </c>
    </row>
    <row r="3113" customFormat="false" ht="15" hidden="false" customHeight="false" outlineLevel="0" collapsed="false">
      <c r="A3113" s="18" t="n">
        <f aca="false">'SALES Raw'!G739</f>
        <v>4408249</v>
      </c>
      <c r="B3113" s="18" t="str">
        <f aca="false">'SALES Raw'!B739</f>
        <v>SC25 L</v>
      </c>
      <c r="C3113" s="18" t="str">
        <f aca="false">'SALES Raw'!H739</f>
        <v>SC25  L חבק יד</v>
      </c>
      <c r="D3113" s="19" t="n">
        <f aca="false">'SALES Raw'!C739</f>
        <v>8</v>
      </c>
      <c r="E3113" s="19" t="n">
        <f aca="false">'SALES Raw'!D739</f>
        <v>651.11</v>
      </c>
      <c r="F3113" s="19" t="n">
        <f aca="false">'SALES Raw'!E739*$H$4</f>
        <v>3.78947368421053</v>
      </c>
      <c r="G3113" s="19" t="n">
        <f aca="false">'SALES Raw'!F739*$H$4</f>
        <v>354.96</v>
      </c>
      <c r="H3113" s="18" t="str">
        <f aca="false">'SALES Raw'!A739</f>
        <v>102 - Orthopedic institutes</v>
      </c>
    </row>
    <row r="3114" customFormat="false" ht="15" hidden="false" customHeight="false" outlineLevel="0" collapsed="false">
      <c r="A3114" s="18" t="n">
        <f aca="false">'SALES Raw'!G748</f>
        <v>4408226</v>
      </c>
      <c r="B3114" s="18" t="str">
        <f aca="false">'SALES Raw'!B748</f>
        <v>11UG L</v>
      </c>
      <c r="C3114" s="18" t="str">
        <f aca="false">'SALES Raw'!H748</f>
        <v>L 11 אפורUG חגורת בטן</v>
      </c>
      <c r="D3114" s="19" t="n">
        <f aca="false">'SALES Raw'!C748</f>
        <v>2</v>
      </c>
      <c r="E3114" s="19" t="n">
        <f aca="false">'SALES Raw'!D748</f>
        <v>206.14</v>
      </c>
      <c r="F3114" s="19" t="n">
        <f aca="false">'SALES Raw'!E748*$H$4</f>
        <v>3.78947368421053</v>
      </c>
      <c r="G3114" s="19" t="n">
        <f aca="false">'SALES Raw'!F748*$H$4</f>
        <v>390.581052631579</v>
      </c>
      <c r="H3114" s="18" t="str">
        <f aca="false">'SALES Raw'!A748</f>
        <v>102 - Orthopedic institutes</v>
      </c>
    </row>
    <row r="3115" customFormat="false" ht="15" hidden="false" customHeight="false" outlineLevel="0" collapsed="false">
      <c r="A3115" s="18" t="n">
        <f aca="false">'SALES Raw'!G768</f>
        <v>4415004</v>
      </c>
      <c r="B3115" s="18" t="str">
        <f aca="false">'SALES Raw'!B768</f>
        <v>26 XXL</v>
      </c>
      <c r="C3115" s="18" t="str">
        <f aca="false">'SALES Raw'!H768</f>
        <v>26 XXL סד ליד דו צדדי לאחר שבר</v>
      </c>
      <c r="D3115" s="19" t="n">
        <f aca="false">'SALES Raw'!C768</f>
        <v>4</v>
      </c>
      <c r="E3115" s="19" t="n">
        <f aca="false">'SALES Raw'!D768</f>
        <v>412.29</v>
      </c>
      <c r="F3115" s="19" t="n">
        <f aca="false">'SALES Raw'!E768*$H$4</f>
        <v>3.78947368421053</v>
      </c>
      <c r="G3115" s="19" t="n">
        <f aca="false">'SALES Raw'!F768*$H$4</f>
        <v>390.593684210526</v>
      </c>
      <c r="H3115" s="18" t="str">
        <f aca="false">'SALES Raw'!A768</f>
        <v>102 - Orthopedic institutes</v>
      </c>
    </row>
    <row r="3116" customFormat="false" ht="15" hidden="false" customHeight="false" outlineLevel="0" collapsed="false">
      <c r="A3116" s="18" t="n">
        <f aca="false">'SALES Raw'!G771</f>
        <v>4415007</v>
      </c>
      <c r="B3116" s="18" t="str">
        <f aca="false">'SALES Raw'!B771</f>
        <v>28 S</v>
      </c>
      <c r="C3116" s="18" t="str">
        <f aca="false">'SALES Raw'!H771</f>
        <v>28 S סד לאגודל לאחר שבר</v>
      </c>
      <c r="D3116" s="19" t="n">
        <f aca="false">'SALES Raw'!C771</f>
        <v>6</v>
      </c>
      <c r="E3116" s="19" t="n">
        <f aca="false">'SALES Raw'!D771</f>
        <v>618.41</v>
      </c>
      <c r="F3116" s="19" t="n">
        <f aca="false">'SALES Raw'!E771*$H$4</f>
        <v>3.78947368421053</v>
      </c>
      <c r="G3116" s="19" t="n">
        <f aca="false">'SALES Raw'!F771*$H$4</f>
        <v>390.581052631579</v>
      </c>
      <c r="H3116" s="18" t="str">
        <f aca="false">'SALES Raw'!A771</f>
        <v>102 - Orthopedic institutes</v>
      </c>
    </row>
    <row r="3117" customFormat="false" ht="15" hidden="false" customHeight="false" outlineLevel="0" collapsed="false">
      <c r="A3117" s="18" t="n">
        <f aca="false">'SALES Raw'!G772</f>
        <v>4415008</v>
      </c>
      <c r="B3117" s="18" t="str">
        <f aca="false">'SALES Raw'!B772</f>
        <v>28 XL</v>
      </c>
      <c r="C3117" s="18" t="str">
        <f aca="false">'SALES Raw'!H772</f>
        <v>28 XL סד לאגודל לאחר שבר</v>
      </c>
      <c r="D3117" s="19" t="n">
        <f aca="false">'SALES Raw'!C772</f>
        <v>2</v>
      </c>
      <c r="E3117" s="19" t="n">
        <f aca="false">'SALES Raw'!D772</f>
        <v>191.27</v>
      </c>
      <c r="F3117" s="19" t="n">
        <f aca="false">'SALES Raw'!E772*$H$4</f>
        <v>3.78947368421053</v>
      </c>
      <c r="G3117" s="19" t="n">
        <f aca="false">'SALES Raw'!F772*$H$4</f>
        <v>390.581052631579</v>
      </c>
      <c r="H3117" s="18" t="str">
        <f aca="false">'SALES Raw'!A772</f>
        <v>102 - Orthopedic institutes</v>
      </c>
    </row>
    <row r="3118" customFormat="false" ht="15" hidden="false" customHeight="false" outlineLevel="0" collapsed="false">
      <c r="A3118" s="18" t="str">
        <f aca="false">'SALES Raw'!G834</f>
        <v/>
      </c>
      <c r="B3118" s="18" t="str">
        <f aca="false">'SALES Raw'!B834</f>
        <v>T45X L</v>
      </c>
      <c r="C3118" s="18" t="str">
        <f aca="false">'SALES Raw'!H834</f>
        <v>T45X L</v>
      </c>
      <c r="D3118" s="19" t="n">
        <f aca="false">'SALES Raw'!C834</f>
        <v>0</v>
      </c>
      <c r="E3118" s="19" t="n">
        <f aca="false">'SALES Raw'!D834</f>
        <v>0</v>
      </c>
      <c r="F3118" s="19" t="n">
        <f aca="false">'SALES Raw'!E834*$H$4</f>
        <v>3.78947368421053</v>
      </c>
      <c r="G3118" s="19" t="n">
        <f aca="false">'SALES Raw'!F834*$H$4</f>
        <v>303.157894736842</v>
      </c>
      <c r="H3118" s="18" t="str">
        <f aca="false">'SALES Raw'!A834</f>
        <v>102 - Orthopedic institutes</v>
      </c>
    </row>
    <row r="3119" customFormat="false" ht="15" hidden="false" customHeight="false" outlineLevel="0" collapsed="false">
      <c r="A3119" s="18" t="n">
        <f aca="false">'SALES Raw'!G864</f>
        <v>4408070</v>
      </c>
      <c r="B3119" s="18" t="str">
        <f aca="false">'SALES Raw'!B864</f>
        <v>59D S</v>
      </c>
      <c r="C3119" s="18" t="str">
        <f aca="false">'SALES Raw'!H864</f>
        <v>59D S חגורת שבר דו צדדי</v>
      </c>
      <c r="D3119" s="19" t="n">
        <f aca="false">'SALES Raw'!C864</f>
        <v>8</v>
      </c>
      <c r="E3119" s="19" t="n">
        <f aca="false">'SALES Raw'!D864</f>
        <v>1394.24</v>
      </c>
      <c r="F3119" s="19" t="n">
        <f aca="false">'SALES Raw'!E864*$H$4</f>
        <v>3.78947368421053</v>
      </c>
      <c r="G3119" s="19" t="n">
        <f aca="false">'SALES Raw'!F864*$H$4</f>
        <v>709.62947368421</v>
      </c>
      <c r="H3119" s="18" t="str">
        <f aca="false">'SALES Raw'!A864</f>
        <v>102 - Orthopedic institutes</v>
      </c>
    </row>
    <row r="3120" customFormat="false" ht="15" hidden="false" customHeight="false" outlineLevel="0" collapsed="false">
      <c r="A3120" s="18" t="n">
        <f aca="false">'SALES Raw'!G883</f>
        <v>4408090</v>
      </c>
      <c r="B3120" s="18" t="str">
        <f aca="false">'SALES Raw'!B883</f>
        <v>T11C L</v>
      </c>
      <c r="C3120" s="18" t="str">
        <f aca="false">'SALES Raw'!H883</f>
        <v>T11C L  חגורת גב פוג'יאמה</v>
      </c>
      <c r="D3120" s="19" t="n">
        <f aca="false">'SALES Raw'!C883</f>
        <v>2</v>
      </c>
      <c r="E3120" s="19" t="n">
        <f aca="false">'SALES Raw'!D883</f>
        <v>182.98</v>
      </c>
      <c r="F3120" s="19" t="n">
        <f aca="false">'SALES Raw'!E883*$H$4</f>
        <v>3.78947368421053</v>
      </c>
      <c r="G3120" s="19" t="n">
        <f aca="false">'SALES Raw'!F883*$H$4</f>
        <v>358.623157894737</v>
      </c>
      <c r="H3120" s="18" t="str">
        <f aca="false">'SALES Raw'!A883</f>
        <v>102 - Orthopedic institutes</v>
      </c>
    </row>
    <row r="3121" customFormat="false" ht="15" hidden="false" customHeight="false" outlineLevel="0" collapsed="false">
      <c r="A3121" s="18" t="n">
        <f aca="false">'SALES Raw'!G889</f>
        <v>4413048</v>
      </c>
      <c r="B3121" s="18" t="str">
        <f aca="false">'SALES Raw'!B889</f>
        <v>35 L</v>
      </c>
      <c r="C3121" s="18" t="str">
        <f aca="false">'SALES Raw'!H889</f>
        <v>35 L מגן קרסול לבן</v>
      </c>
      <c r="D3121" s="19" t="n">
        <f aca="false">'SALES Raw'!C889</f>
        <v>8</v>
      </c>
      <c r="E3121" s="19" t="n">
        <f aca="false">'SALES Raw'!D889</f>
        <v>247.13</v>
      </c>
      <c r="F3121" s="19" t="n">
        <f aca="false">'SALES Raw'!E889*$H$4</f>
        <v>3.78947368421053</v>
      </c>
      <c r="G3121" s="19" t="n">
        <f aca="false">'SALES Raw'!F889*$H$4</f>
        <v>117.056842105263</v>
      </c>
      <c r="H3121" s="18" t="str">
        <f aca="false">'SALES Raw'!A889</f>
        <v>102 - Orthopedic institutes</v>
      </c>
    </row>
    <row r="3122" customFormat="false" ht="15" hidden="false" customHeight="false" outlineLevel="0" collapsed="false">
      <c r="A3122" s="18" t="n">
        <f aca="false">'SALES Raw'!G890</f>
        <v>4413049</v>
      </c>
      <c r="B3122" s="18" t="str">
        <f aca="false">'SALES Raw'!B890</f>
        <v>35 M</v>
      </c>
      <c r="C3122" s="18" t="str">
        <f aca="false">'SALES Raw'!H890</f>
        <v>35 M מגן קרסול לבן</v>
      </c>
      <c r="D3122" s="19" t="n">
        <f aca="false">'SALES Raw'!C890</f>
        <v>6</v>
      </c>
      <c r="E3122" s="19" t="n">
        <f aca="false">'SALES Raw'!D890</f>
        <v>185.34</v>
      </c>
      <c r="F3122" s="19" t="n">
        <f aca="false">'SALES Raw'!E890*$H$4</f>
        <v>3.78947368421053</v>
      </c>
      <c r="G3122" s="19" t="n">
        <f aca="false">'SALES Raw'!F890*$H$4</f>
        <v>117.056842105263</v>
      </c>
      <c r="H3122" s="18" t="str">
        <f aca="false">'SALES Raw'!A890</f>
        <v>102 - Orthopedic institutes</v>
      </c>
    </row>
    <row r="3123" customFormat="false" ht="15" hidden="false" customHeight="false" outlineLevel="0" collapsed="false">
      <c r="A3123" s="18" t="n">
        <f aca="false">'SALES Raw'!G891</f>
        <v>4413047</v>
      </c>
      <c r="B3123" s="18" t="str">
        <f aca="false">'SALES Raw'!B891</f>
        <v>35 S</v>
      </c>
      <c r="C3123" s="18" t="str">
        <f aca="false">'SALES Raw'!H891</f>
        <v>35 S מגן קרסול לבן</v>
      </c>
      <c r="D3123" s="19" t="n">
        <f aca="false">'SALES Raw'!C891</f>
        <v>5</v>
      </c>
      <c r="E3123" s="19" t="n">
        <f aca="false">'SALES Raw'!D891</f>
        <v>154.45</v>
      </c>
      <c r="F3123" s="19" t="n">
        <f aca="false">'SALES Raw'!E891*$H$4</f>
        <v>3.78947368421053</v>
      </c>
      <c r="G3123" s="19" t="n">
        <f aca="false">'SALES Raw'!F891*$H$4</f>
        <v>117.056842105263</v>
      </c>
      <c r="H3123" s="18" t="str">
        <f aca="false">'SALES Raw'!A891</f>
        <v>102 - Orthopedic institutes</v>
      </c>
    </row>
    <row r="3124" customFormat="false" ht="15" hidden="false" customHeight="false" outlineLevel="0" collapsed="false">
      <c r="A3124" s="18" t="n">
        <f aca="false">'SALES Raw'!G893</f>
        <v>4413052</v>
      </c>
      <c r="B3124" s="18" t="str">
        <f aca="false">'SALES Raw'!B893</f>
        <v>35C S</v>
      </c>
      <c r="C3124" s="18" t="str">
        <f aca="false">'SALES Raw'!H893</f>
        <v>35C S מגן קרסול חום</v>
      </c>
      <c r="D3124" s="19" t="n">
        <f aca="false">'SALES Raw'!C893</f>
        <v>9</v>
      </c>
      <c r="E3124" s="19" t="n">
        <f aca="false">'SALES Raw'!D893</f>
        <v>278.04</v>
      </c>
      <c r="F3124" s="19" t="n">
        <f aca="false">'SALES Raw'!E893*$H$4</f>
        <v>3.78947368421053</v>
      </c>
      <c r="G3124" s="19" t="n">
        <f aca="false">'SALES Raw'!F893*$H$4</f>
        <v>117.056842105263</v>
      </c>
      <c r="H3124" s="18" t="str">
        <f aca="false">'SALES Raw'!A893</f>
        <v>102 - Orthopedic institutes</v>
      </c>
    </row>
    <row r="3125" customFormat="false" ht="15" hidden="false" customHeight="false" outlineLevel="0" collapsed="false">
      <c r="A3125" s="18" t="n">
        <f aca="false">'SALES Raw'!G923</f>
        <v>4408094</v>
      </c>
      <c r="B3125" s="18" t="str">
        <f aca="false">'SALES Raw'!B923</f>
        <v>T20-S-M</v>
      </c>
      <c r="C3125" s="18" t="str">
        <f aca="false">'SALES Raw'!H923</f>
        <v>T20 S-M חבק יד עם צמדן</v>
      </c>
      <c r="D3125" s="19" t="n">
        <f aca="false">'SALES Raw'!C923</f>
        <v>13</v>
      </c>
      <c r="E3125" s="19" t="n">
        <f aca="false">'SALES Raw'!D923</f>
        <v>462.25</v>
      </c>
      <c r="F3125" s="19" t="n">
        <f aca="false">'SALES Raw'!E923*$H$4</f>
        <v>3.78947368421053</v>
      </c>
      <c r="G3125" s="19" t="n">
        <f aca="false">'SALES Raw'!F923*$H$4</f>
        <v>134.804210526316</v>
      </c>
      <c r="H3125" s="18" t="str">
        <f aca="false">'SALES Raw'!A923</f>
        <v>102 - Orthopedic institutes</v>
      </c>
    </row>
    <row r="3126" customFormat="false" ht="15" hidden="false" customHeight="false" outlineLevel="0" collapsed="false">
      <c r="A3126" s="18" t="n">
        <f aca="false">'SALES Raw'!G934</f>
        <v>4409015</v>
      </c>
      <c r="B3126" s="18" t="str">
        <f aca="false">'SALES Raw'!B934</f>
        <v>808KT-BL</v>
      </c>
      <c r="C3126" s="18" t="str">
        <f aca="false">'SALES Raw'!H934</f>
        <v>808KT-BL       טייפ קינזיולוגי</v>
      </c>
      <c r="D3126" s="19" t="n">
        <f aca="false">'SALES Raw'!C934</f>
        <v>44</v>
      </c>
      <c r="E3126" s="19" t="n">
        <f aca="false">'SALES Raw'!D934</f>
        <v>974.3</v>
      </c>
      <c r="F3126" s="19" t="n">
        <f aca="false">'SALES Raw'!E934*$H$4</f>
        <v>3.78947368421053</v>
      </c>
      <c r="G3126" s="19" t="n">
        <f aca="false">'SALES Raw'!F934*$H$4</f>
        <v>113.684210526316</v>
      </c>
      <c r="H3126" s="18" t="str">
        <f aca="false">'SALES Raw'!A934</f>
        <v>102 - Orthopedic institutes</v>
      </c>
    </row>
    <row r="3127" customFormat="false" ht="15" hidden="false" customHeight="false" outlineLevel="0" collapsed="false">
      <c r="A3127" s="18" t="n">
        <f aca="false">'SALES Raw'!G935</f>
        <v>4409014</v>
      </c>
      <c r="B3127" s="18" t="str">
        <f aca="false">'SALES Raw'!B935</f>
        <v>808KT-P</v>
      </c>
      <c r="C3127" s="18" t="str">
        <f aca="false">'SALES Raw'!H935</f>
        <v>808KT-P        טייפ קינזיולוגי</v>
      </c>
      <c r="D3127" s="19" t="n">
        <f aca="false">'SALES Raw'!C935</f>
        <v>47</v>
      </c>
      <c r="E3127" s="19" t="n">
        <f aca="false">'SALES Raw'!D935</f>
        <v>1064.3</v>
      </c>
      <c r="F3127" s="19" t="n">
        <f aca="false">'SALES Raw'!E935*$H$4</f>
        <v>3.78947368421053</v>
      </c>
      <c r="G3127" s="19" t="n">
        <f aca="false">'SALES Raw'!F935*$H$4</f>
        <v>113.684210526316</v>
      </c>
      <c r="H3127" s="18" t="str">
        <f aca="false">'SALES Raw'!A935</f>
        <v>102 - Orthopedic institutes</v>
      </c>
    </row>
    <row r="3128" customFormat="false" ht="15" hidden="false" customHeight="false" outlineLevel="0" collapsed="false">
      <c r="A3128" s="18" t="n">
        <f aca="false">'SALES Raw'!G953</f>
        <v>4420002</v>
      </c>
      <c r="B3128" s="18" t="str">
        <f aca="false">'SALES Raw'!B953</f>
        <v>372 0</v>
      </c>
      <c r="C3128" s="18" t="str">
        <f aca="false">'SALES Raw'!H953</f>
        <v>372 רפידת אנטי ריח -זוג</v>
      </c>
      <c r="D3128" s="19" t="n">
        <f aca="false">'SALES Raw'!C953</f>
        <v>44</v>
      </c>
      <c r="E3128" s="19" t="n">
        <f aca="false">'SALES Raw'!D953</f>
        <v>578.83</v>
      </c>
      <c r="F3128" s="19" t="n">
        <f aca="false">'SALES Raw'!E953*$H$4</f>
        <v>3.78947368421053</v>
      </c>
      <c r="G3128" s="19" t="n">
        <f aca="false">'SALES Raw'!F953*$H$4</f>
        <v>58.4336842105263</v>
      </c>
      <c r="H3128" s="18" t="str">
        <f aca="false">'SALES Raw'!A953</f>
        <v>102 - Orthopedic institutes</v>
      </c>
    </row>
    <row r="3129" customFormat="false" ht="15" hidden="false" customHeight="false" outlineLevel="0" collapsed="false">
      <c r="A3129" s="18" t="n">
        <f aca="false">'SALES Raw'!G968</f>
        <v>4408150</v>
      </c>
      <c r="B3129" s="18" t="str">
        <f aca="false">'SALES Raw'!B968</f>
        <v>11TO S</v>
      </c>
      <c r="C3129" s="18" t="str">
        <f aca="false">'SALES Raw'!H968</f>
        <v>11TO S חגורה למנותחי בית החזה</v>
      </c>
      <c r="D3129" s="19" t="n">
        <f aca="false">'SALES Raw'!C968</f>
        <v>3</v>
      </c>
      <c r="E3129" s="19" t="n">
        <f aca="false">'SALES Raw'!D968</f>
        <v>389.97</v>
      </c>
      <c r="F3129" s="19" t="n">
        <f aca="false">'SALES Raw'!E968*$H$4</f>
        <v>3.78947368421053</v>
      </c>
      <c r="G3129" s="19" t="n">
        <f aca="false">'SALES Raw'!F968*$H$4</f>
        <v>492.631578947368</v>
      </c>
      <c r="H3129" s="18" t="str">
        <f aca="false">'SALES Raw'!A968</f>
        <v>102 - Orthopedic institutes</v>
      </c>
    </row>
    <row r="3130" customFormat="false" ht="15" hidden="false" customHeight="false" outlineLevel="0" collapsed="false">
      <c r="A3130" s="18" t="n">
        <f aca="false">'SALES Raw'!G977</f>
        <v>4413331</v>
      </c>
      <c r="B3130" s="18" t="str">
        <f aca="false">'SALES Raw'!B977</f>
        <v>AC95 0</v>
      </c>
      <c r="C3130" s="18" t="str">
        <f aca="false">'SALES Raw'!H977</f>
        <v>AC95 מגן מרפק</v>
      </c>
      <c r="D3130" s="19" t="n">
        <f aca="false">'SALES Raw'!C977</f>
        <v>2</v>
      </c>
      <c r="E3130" s="19" t="n">
        <f aca="false">'SALES Raw'!D977</f>
        <v>84.27</v>
      </c>
      <c r="F3130" s="19" t="n">
        <f aca="false">'SALES Raw'!E977*$H$4</f>
        <v>3.78947368421053</v>
      </c>
      <c r="G3130" s="19" t="n">
        <f aca="false">'SALES Raw'!F977*$H$4</f>
        <v>159.675789473684</v>
      </c>
      <c r="H3130" s="18" t="str">
        <f aca="false">'SALES Raw'!A977</f>
        <v>102 - Orthopedic institutes</v>
      </c>
    </row>
    <row r="3131" customFormat="false" ht="15" hidden="false" customHeight="false" outlineLevel="0" collapsed="false">
      <c r="A3131" s="18" t="n">
        <f aca="false">'SALES Raw'!G981</f>
        <v>4413406</v>
      </c>
      <c r="B3131" s="18" t="str">
        <f aca="false">'SALES Raw'!B981</f>
        <v>SC95 M</v>
      </c>
      <c r="C3131" s="18" t="str">
        <f aca="false">'SALES Raw'!H981</f>
        <v>SC95 M מגן מרפק</v>
      </c>
      <c r="D3131" s="19" t="n">
        <f aca="false">'SALES Raw'!C981</f>
        <v>5</v>
      </c>
      <c r="E3131" s="19" t="n">
        <f aca="false">'SALES Raw'!D981</f>
        <v>402.86</v>
      </c>
      <c r="F3131" s="19" t="n">
        <f aca="false">'SALES Raw'!E981*$H$4</f>
        <v>3.78947368421053</v>
      </c>
      <c r="G3131" s="19" t="n">
        <f aca="false">'SALES Raw'!F981*$H$4</f>
        <v>354.96</v>
      </c>
      <c r="H3131" s="18" t="str">
        <f aca="false">'SALES Raw'!A981</f>
        <v>102 - Orthopedic institutes</v>
      </c>
    </row>
    <row r="3132" customFormat="false" ht="15" hidden="false" customHeight="false" outlineLevel="0" collapsed="false">
      <c r="A3132" s="18" t="n">
        <f aca="false">'SALES Raw'!G1050</f>
        <v>4413126</v>
      </c>
      <c r="B3132" s="18" t="str">
        <f aca="false">'SALES Raw'!B1050</f>
        <v>75 S</v>
      </c>
      <c r="C3132" s="18" t="str">
        <f aca="false">'SALES Raw'!H1050</f>
        <v>75 Sמיישר כתף יציב יישור גב צר</v>
      </c>
      <c r="D3132" s="19" t="n">
        <f aca="false">'SALES Raw'!C1050</f>
        <v>2</v>
      </c>
      <c r="E3132" s="19" t="n">
        <f aca="false">'SALES Raw'!D1050</f>
        <v>328.02</v>
      </c>
      <c r="F3132" s="19" t="n">
        <f aca="false">'SALES Raw'!E1050*$H$4</f>
        <v>3.78947368421053</v>
      </c>
      <c r="G3132" s="19" t="n">
        <f aca="false">'SALES Raw'!F1050*$H$4</f>
        <v>621.511578947368</v>
      </c>
      <c r="H3132" s="18" t="str">
        <f aca="false">'SALES Raw'!A1050</f>
        <v>102 - Orthopedic institutes</v>
      </c>
    </row>
    <row r="3133" customFormat="false" ht="15" hidden="false" customHeight="false" outlineLevel="0" collapsed="false">
      <c r="A3133" s="18" t="n">
        <f aca="false">'SALES Raw'!G1053</f>
        <v>4408208</v>
      </c>
      <c r="B3133" s="18" t="str">
        <f aca="false">'SALES Raw'!B1053</f>
        <v>AC91 0</v>
      </c>
      <c r="C3133" s="18" t="str">
        <f aca="false">'SALES Raw'!H1053</f>
        <v>AC91 חבק טניס</v>
      </c>
      <c r="D3133" s="19" t="n">
        <f aca="false">'SALES Raw'!C1053</f>
        <v>13</v>
      </c>
      <c r="E3133" s="19" t="n">
        <f aca="false">'SALES Raw'!D1053</f>
        <v>503.87</v>
      </c>
      <c r="F3133" s="19" t="n">
        <f aca="false">'SALES Raw'!E1053*$H$4</f>
        <v>3.78947368421053</v>
      </c>
      <c r="G3133" s="19" t="n">
        <f aca="false">'SALES Raw'!F1053*$H$4</f>
        <v>150.808421052632</v>
      </c>
      <c r="H3133" s="18" t="str">
        <f aca="false">'SALES Raw'!A1053</f>
        <v>102 - Orthopedic institutes</v>
      </c>
    </row>
    <row r="3134" customFormat="false" ht="15" hidden="false" customHeight="false" outlineLevel="0" collapsed="false">
      <c r="A3134" s="18" t="n">
        <f aca="false">'SALES Raw'!G1074</f>
        <v>4411022</v>
      </c>
      <c r="B3134" s="18" t="str">
        <f aca="false">'SALES Raw'!B1074</f>
        <v>212 M</v>
      </c>
      <c r="C3134" s="18" t="str">
        <f aca="false">'SALES Raw'!H1074</f>
        <v>212M כפפות אגודל לחץ</v>
      </c>
      <c r="D3134" s="19" t="n">
        <f aca="false">'SALES Raw'!C1074</f>
        <v>5</v>
      </c>
      <c r="E3134" s="19" t="n">
        <f aca="false">'SALES Raw'!D1074</f>
        <v>190.2</v>
      </c>
      <c r="F3134" s="19" t="n">
        <f aca="false">'SALES Raw'!E1074*$H$4</f>
        <v>3.78947368421053</v>
      </c>
      <c r="G3134" s="19" t="n">
        <f aca="false">'SALES Raw'!F1074*$H$4</f>
        <v>150.795789473684</v>
      </c>
      <c r="H3134" s="18" t="str">
        <f aca="false">'SALES Raw'!A1074</f>
        <v>102 - Orthopedic institutes</v>
      </c>
    </row>
    <row r="3135" customFormat="false" ht="15" hidden="false" customHeight="false" outlineLevel="0" collapsed="false">
      <c r="A3135" s="18" t="n">
        <f aca="false">'SALES Raw'!G1089</f>
        <v>4408206</v>
      </c>
      <c r="B3135" s="18" t="str">
        <f aca="false">'SALES Raw'!B1089</f>
        <v>AC11 0</v>
      </c>
      <c r="C3135" s="18" t="str">
        <f aca="false">'SALES Raw'!H1089</f>
        <v>AC-11 חגורת בטן קלה</v>
      </c>
      <c r="D3135" s="19" t="n">
        <f aca="false">'SALES Raw'!C1089</f>
        <v>3</v>
      </c>
      <c r="E3135" s="19" t="n">
        <f aca="false">'SALES Raw'!D1089</f>
        <v>219.69</v>
      </c>
      <c r="F3135" s="19" t="n">
        <f aca="false">'SALES Raw'!E1089*$H$4</f>
        <v>3.78947368421053</v>
      </c>
      <c r="G3135" s="19" t="n">
        <f aca="false">'SALES Raw'!F1089*$H$4</f>
        <v>278.703157894737</v>
      </c>
      <c r="H3135" s="18" t="str">
        <f aca="false">'SALES Raw'!A1089</f>
        <v>102 - Orthopedic institutes</v>
      </c>
    </row>
    <row r="3136" customFormat="false" ht="15" hidden="false" customHeight="false" outlineLevel="0" collapsed="false">
      <c r="A3136" s="18" t="str">
        <f aca="false">'SALES Raw'!G1102</f>
        <v/>
      </c>
      <c r="B3136" s="18" t="str">
        <f aca="false">'SALES Raw'!B1102</f>
        <v>322 S</v>
      </c>
      <c r="C3136" s="18" t="str">
        <f aca="false">'SALES Raw'!H1102</f>
        <v>322 S</v>
      </c>
      <c r="D3136" s="19" t="n">
        <f aca="false">'SALES Raw'!C1102</f>
        <v>4</v>
      </c>
      <c r="E3136" s="19" t="n">
        <f aca="false">'SALES Raw'!D1102</f>
        <v>279.98</v>
      </c>
      <c r="F3136" s="19" t="n">
        <f aca="false">'SALES Raw'!E1102*$H$4</f>
        <v>3.78947368421053</v>
      </c>
      <c r="G3136" s="19" t="n">
        <f aca="false">'SALES Raw'!F1102*$H$4</f>
        <v>265.250526315789</v>
      </c>
      <c r="H3136" s="18" t="str">
        <f aca="false">'SALES Raw'!A1102</f>
        <v>102 - Orthopedic institutes</v>
      </c>
    </row>
    <row r="3137" customFormat="false" ht="15" hidden="false" customHeight="false" outlineLevel="0" collapsed="false">
      <c r="A3137" s="18" t="n">
        <f aca="false">'SALES Raw'!G1184</f>
        <v>4415026</v>
      </c>
      <c r="B3137" s="18" t="str">
        <f aca="false">'SALES Raw'!B1184</f>
        <v>AC27L 0</v>
      </c>
      <c r="C3137" s="18" t="str">
        <f aca="false">'SALES Raw'!H1184</f>
        <v>AC-27L סד לש.כף יד שמאל</v>
      </c>
      <c r="D3137" s="19" t="n">
        <f aca="false">'SALES Raw'!C1184</f>
        <v>0</v>
      </c>
      <c r="E3137" s="19" t="n">
        <f aca="false">'SALES Raw'!D1184</f>
        <v>0</v>
      </c>
      <c r="F3137" s="19" t="n">
        <f aca="false">'SALES Raw'!E1184*$H$4</f>
        <v>3.78947368421053</v>
      </c>
      <c r="G3137" s="19" t="n">
        <f aca="false">'SALES Raw'!F1184*$H$4</f>
        <v>118.307368421053</v>
      </c>
      <c r="H3137" s="18" t="str">
        <f aca="false">'SALES Raw'!A1184</f>
        <v>102 - Orthopedic institutes</v>
      </c>
    </row>
    <row r="3138" customFormat="false" ht="15" hidden="false" customHeight="false" outlineLevel="0" collapsed="false">
      <c r="A3138" s="18" t="n">
        <f aca="false">'SALES Raw'!G1185</f>
        <v>4415027</v>
      </c>
      <c r="B3138" s="18" t="str">
        <f aca="false">'SALES Raw'!B1185</f>
        <v>AC27R 0</v>
      </c>
      <c r="C3138" s="18" t="str">
        <f aca="false">'SALES Raw'!H1185</f>
        <v>AC-27R סד לש.כף יד ימין</v>
      </c>
      <c r="D3138" s="19" t="n">
        <f aca="false">'SALES Raw'!C1185</f>
        <v>0</v>
      </c>
      <c r="E3138" s="19" t="n">
        <f aca="false">'SALES Raw'!D1185</f>
        <v>0</v>
      </c>
      <c r="F3138" s="19" t="n">
        <f aca="false">'SALES Raw'!E1185*$H$4</f>
        <v>3.78947368421053</v>
      </c>
      <c r="G3138" s="19" t="n">
        <f aca="false">'SALES Raw'!F1185*$H$4</f>
        <v>177.435789473684</v>
      </c>
      <c r="H3138" s="18" t="str">
        <f aca="false">'SALES Raw'!A1185</f>
        <v>102 - Orthopedic institutes</v>
      </c>
    </row>
    <row r="3139" customFormat="false" ht="15" hidden="false" customHeight="false" outlineLevel="0" collapsed="false">
      <c r="A3139" s="18" t="n">
        <f aca="false">'SALES Raw'!G1194</f>
        <v>4408226</v>
      </c>
      <c r="B3139" s="18" t="str">
        <f aca="false">'SALES Raw'!B1194</f>
        <v>11UG L</v>
      </c>
      <c r="C3139" s="18" t="str">
        <f aca="false">'SALES Raw'!H1194</f>
        <v>L 11 אפורUG חגורת בטן</v>
      </c>
      <c r="D3139" s="19" t="n">
        <f aca="false">'SALES Raw'!C1194</f>
        <v>0</v>
      </c>
      <c r="E3139" s="19" t="n">
        <f aca="false">'SALES Raw'!D1194</f>
        <v>0</v>
      </c>
      <c r="F3139" s="19" t="n">
        <f aca="false">'SALES Raw'!E1194*$H$4</f>
        <v>3.78947368421053</v>
      </c>
      <c r="G3139" s="19" t="n">
        <f aca="false">'SALES Raw'!F1194*$H$4</f>
        <v>373.225263157895</v>
      </c>
      <c r="H3139" s="18" t="str">
        <f aca="false">'SALES Raw'!A1194</f>
        <v>103 - Physiotherapy institutes</v>
      </c>
    </row>
    <row r="3140" customFormat="false" ht="15" hidden="false" customHeight="false" outlineLevel="0" collapsed="false">
      <c r="A3140" s="18" t="n">
        <f aca="false">'SALES Raw'!G1200</f>
        <v>4411019</v>
      </c>
      <c r="B3140" s="18" t="str">
        <f aca="false">'SALES Raw'!B1200</f>
        <v>211 S</v>
      </c>
      <c r="C3140" s="18" t="str">
        <f aca="false">'SALES Raw'!H1200</f>
        <v>211S כפפות לחץ</v>
      </c>
      <c r="D3140" s="19" t="n">
        <f aca="false">'SALES Raw'!C1200</f>
        <v>1</v>
      </c>
      <c r="E3140" s="19" t="n">
        <f aca="false">'SALES Raw'!D1200</f>
        <v>33.06</v>
      </c>
      <c r="F3140" s="19" t="n">
        <f aca="false">'SALES Raw'!E1200*$H$4</f>
        <v>3.78947368421053</v>
      </c>
      <c r="G3140" s="19" t="n">
        <f aca="false">'SALES Raw'!F1200*$H$4</f>
        <v>129.372631578947</v>
      </c>
      <c r="H3140" s="18" t="str">
        <f aca="false">'SALES Raw'!A1200</f>
        <v>103 - Physiotherapy institutes</v>
      </c>
    </row>
    <row r="3141" customFormat="false" ht="15" hidden="false" customHeight="false" outlineLevel="0" collapsed="false">
      <c r="A3141" s="18" t="n">
        <f aca="false">'SALES Raw'!G1232</f>
        <v>4413096</v>
      </c>
      <c r="B3141" s="18" t="str">
        <f aca="false">'SALES Raw'!B1232</f>
        <v>45 XXL</v>
      </c>
      <c r="C3141" s="18" t="str">
        <f aca="false">'SALES Raw'!H1232</f>
        <v>45 XXL מגן ברך לבן</v>
      </c>
      <c r="D3141" s="19" t="n">
        <f aca="false">'SALES Raw'!C1232</f>
        <v>0</v>
      </c>
      <c r="E3141" s="19" t="n">
        <f aca="false">'SALES Raw'!D1232</f>
        <v>0</v>
      </c>
      <c r="F3141" s="19" t="n">
        <f aca="false">'SALES Raw'!E1232*$H$4</f>
        <v>3.78947368421053</v>
      </c>
      <c r="G3141" s="19" t="n">
        <f aca="false">'SALES Raw'!F1232*$H$4</f>
        <v>117.069473684211</v>
      </c>
      <c r="H3141" s="18" t="str">
        <f aca="false">'SALES Raw'!A1232</f>
        <v>103 - Physiotherapy institutes</v>
      </c>
    </row>
    <row r="3142" customFormat="false" ht="15" hidden="false" customHeight="false" outlineLevel="0" collapsed="false">
      <c r="A3142" s="18" t="n">
        <f aca="false">'SALES Raw'!G1238</f>
        <v>4413132</v>
      </c>
      <c r="B3142" s="18" t="str">
        <f aca="false">'SALES Raw'!B1238</f>
        <v>76 L</v>
      </c>
      <c r="C3142" s="18" t="str">
        <f aca="false">'SALES Raw'!H1238</f>
        <v>76 Lמיישר כתף יציב יישור רחב</v>
      </c>
      <c r="D3142" s="19" t="n">
        <f aca="false">'SALES Raw'!C1238</f>
        <v>7</v>
      </c>
      <c r="E3142" s="19" t="n">
        <f aca="false">'SALES Raw'!D1238</f>
        <v>1072</v>
      </c>
      <c r="F3142" s="19" t="n">
        <f aca="false">'SALES Raw'!E1238*$H$4</f>
        <v>3.78947368421053</v>
      </c>
      <c r="G3142" s="19" t="n">
        <f aca="false">'SALES Raw'!F1238*$H$4</f>
        <v>606.303157894737</v>
      </c>
      <c r="H3142" s="18" t="str">
        <f aca="false">'SALES Raw'!A1238</f>
        <v>103 - Physiotherapy institutes</v>
      </c>
    </row>
    <row r="3143" customFormat="false" ht="15" hidden="false" customHeight="false" outlineLevel="0" collapsed="false">
      <c r="A3143" s="18" t="n">
        <f aca="false">'SALES Raw'!G1239</f>
        <v>4413134</v>
      </c>
      <c r="B3143" s="18" t="str">
        <f aca="false">'SALES Raw'!B1239</f>
        <v>76 XL</v>
      </c>
      <c r="C3143" s="18" t="str">
        <f aca="false">'SALES Raw'!H1239</f>
        <v>76 XLמיישר כתף יציב יישור רחב</v>
      </c>
      <c r="D3143" s="19" t="n">
        <f aca="false">'SALES Raw'!C1239</f>
        <v>5</v>
      </c>
      <c r="E3143" s="19" t="n">
        <f aca="false">'SALES Raw'!D1239</f>
        <v>775.99</v>
      </c>
      <c r="F3143" s="19" t="n">
        <f aca="false">'SALES Raw'!E1239*$H$4</f>
        <v>3.78947368421053</v>
      </c>
      <c r="G3143" s="19" t="n">
        <f aca="false">'SALES Raw'!F1239*$H$4</f>
        <v>606.303157894737</v>
      </c>
      <c r="H3143" s="18" t="str">
        <f aca="false">'SALES Raw'!A1239</f>
        <v>103 - Physiotherapy institutes</v>
      </c>
    </row>
    <row r="3144" customFormat="false" ht="15" hidden="false" customHeight="false" outlineLevel="0" collapsed="false">
      <c r="A3144" s="18" t="str">
        <f aca="false">'SALES Raw'!G1261</f>
        <v/>
      </c>
      <c r="B3144" s="18" t="str">
        <f aca="false">'SALES Raw'!B1261</f>
        <v>T33 XXL</v>
      </c>
      <c r="C3144" s="18" t="str">
        <f aca="false">'SALES Raw'!H1261</f>
        <v>T33 XXL</v>
      </c>
      <c r="D3144" s="19" t="n">
        <f aca="false">'SALES Raw'!C1261</f>
        <v>0</v>
      </c>
      <c r="E3144" s="19" t="n">
        <f aca="false">'SALES Raw'!D1261</f>
        <v>0</v>
      </c>
      <c r="F3144" s="19" t="n">
        <f aca="false">'SALES Raw'!E1261*$H$4</f>
        <v>3.78947368421053</v>
      </c>
      <c r="G3144" s="19" t="n">
        <f aca="false">'SALES Raw'!F1261*$H$4</f>
        <v>435.789473684211</v>
      </c>
      <c r="H3144" s="18" t="str">
        <f aca="false">'SALES Raw'!A1261</f>
        <v>103 - Physiotherapy institutes</v>
      </c>
    </row>
    <row r="3145" customFormat="false" ht="15" hidden="false" customHeight="false" outlineLevel="0" collapsed="false">
      <c r="A3145" s="18" t="n">
        <f aca="false">'SALES Raw'!G1278</f>
        <v>4415004</v>
      </c>
      <c r="B3145" s="18" t="str">
        <f aca="false">'SALES Raw'!B1278</f>
        <v>26 XXL</v>
      </c>
      <c r="C3145" s="18" t="str">
        <f aca="false">'SALES Raw'!H1278</f>
        <v>26 XXL סד ליד דו צדדי לאחר שבר</v>
      </c>
      <c r="D3145" s="19" t="n">
        <f aca="false">'SALES Raw'!C1278</f>
        <v>1</v>
      </c>
      <c r="E3145" s="19" t="n">
        <f aca="false">'SALES Raw'!D1278</f>
        <v>103.07</v>
      </c>
      <c r="F3145" s="19" t="n">
        <f aca="false">'SALES Raw'!E1278*$H$4</f>
        <v>3.78947368421053</v>
      </c>
      <c r="G3145" s="19" t="n">
        <f aca="false">'SALES Raw'!F1278*$H$4</f>
        <v>390.593684210526</v>
      </c>
      <c r="H3145" s="18" t="str">
        <f aca="false">'SALES Raw'!A1278</f>
        <v>103 - Physiotherapy institutes</v>
      </c>
    </row>
    <row r="3146" customFormat="false" ht="15" hidden="false" customHeight="false" outlineLevel="0" collapsed="false">
      <c r="A3146" s="18" t="n">
        <f aca="false">'SALES Raw'!G1290</f>
        <v>4403024</v>
      </c>
      <c r="B3146" s="18" t="str">
        <f aca="false">'SALES Raw'!B1290</f>
        <v>394W-39-42</v>
      </c>
      <c r="C3146" s="18" t="str">
        <f aca="false">'SALES Raw'!H1290</f>
        <v>394W 39-42 גרב.כסף לסכרתים לבן</v>
      </c>
      <c r="D3146" s="19" t="n">
        <f aca="false">'SALES Raw'!C1290</f>
        <v>8</v>
      </c>
      <c r="E3146" s="19" t="n">
        <f aca="false">'SALES Raw'!D1290</f>
        <v>175</v>
      </c>
      <c r="F3146" s="19" t="n">
        <f aca="false">'SALES Raw'!E1290*$H$4</f>
        <v>3.78947368421053</v>
      </c>
      <c r="G3146" s="19" t="n">
        <f aca="false">'SALES Raw'!F1290*$H$4</f>
        <v>106.408421052632</v>
      </c>
      <c r="H3146" s="18" t="str">
        <f aca="false">'SALES Raw'!A1290</f>
        <v>103 - Physiotherapy institutes</v>
      </c>
    </row>
    <row r="3147" customFormat="false" ht="15" hidden="false" customHeight="false" outlineLevel="0" collapsed="false">
      <c r="A3147" s="18" t="n">
        <f aca="false">'SALES Raw'!G1311</f>
        <v>4413135</v>
      </c>
      <c r="B3147" s="18" t="str">
        <f aca="false">'SALES Raw'!B1311</f>
        <v>85 L</v>
      </c>
      <c r="C3147" s="18" t="str">
        <f aca="false">'SALES Raw'!H1311</f>
        <v>85 L (מתלה ליד )כיס</v>
      </c>
      <c r="D3147" s="19" t="n">
        <f aca="false">'SALES Raw'!C1311</f>
        <v>4</v>
      </c>
      <c r="E3147" s="19" t="n">
        <f aca="false">'SALES Raw'!D1311</f>
        <v>203.66</v>
      </c>
      <c r="F3147" s="19" t="n">
        <f aca="false">'SALES Raw'!E1311*$H$4</f>
        <v>3.78947368421053</v>
      </c>
      <c r="G3147" s="19" t="n">
        <f aca="false">'SALES Raw'!F1311*$H$4</f>
        <v>185.671578947368</v>
      </c>
      <c r="H3147" s="18" t="str">
        <f aca="false">'SALES Raw'!A1311</f>
        <v>103 - Physiotherapy institutes</v>
      </c>
    </row>
    <row r="3148" customFormat="false" ht="15" hidden="false" customHeight="false" outlineLevel="0" collapsed="false">
      <c r="A3148" s="18" t="n">
        <f aca="false">'SALES Raw'!G1335</f>
        <v>4408046</v>
      </c>
      <c r="B3148" s="18" t="str">
        <f aca="false">'SALES Raw'!B1335</f>
        <v>20 L</v>
      </c>
      <c r="C3148" s="18" t="str">
        <f aca="false">'SALES Raw'!H1335</f>
        <v>20 L חבק יד מתכוון עם צמדן</v>
      </c>
      <c r="D3148" s="19" t="n">
        <f aca="false">'SALES Raw'!C1335</f>
        <v>3</v>
      </c>
      <c r="E3148" s="19" t="n">
        <f aca="false">'SALES Raw'!D1335</f>
        <v>90.83</v>
      </c>
      <c r="F3148" s="19" t="n">
        <f aca="false">'SALES Raw'!E1335*$H$4</f>
        <v>3.78947368421053</v>
      </c>
      <c r="G3148" s="19" t="n">
        <f aca="false">'SALES Raw'!F1335*$H$4</f>
        <v>120.341052631579</v>
      </c>
      <c r="H3148" s="18" t="str">
        <f aca="false">'SALES Raw'!A1335</f>
        <v>103 - Physiotherapy institutes</v>
      </c>
    </row>
    <row r="3149" customFormat="false" ht="15" hidden="false" customHeight="false" outlineLevel="0" collapsed="false">
      <c r="A3149" s="18" t="n">
        <f aca="false">'SALES Raw'!G1338</f>
        <v>4408049</v>
      </c>
      <c r="B3149" s="18" t="str">
        <f aca="false">'SALES Raw'!B1338</f>
        <v>20 XL</v>
      </c>
      <c r="C3149" s="18" t="str">
        <f aca="false">'SALES Raw'!H1338</f>
        <v>20 XL חבק יד מתכוון עם צמדן</v>
      </c>
      <c r="D3149" s="19" t="n">
        <f aca="false">'SALES Raw'!C1338</f>
        <v>4</v>
      </c>
      <c r="E3149" s="19" t="n">
        <f aca="false">'SALES Raw'!D1338</f>
        <v>124.08</v>
      </c>
      <c r="F3149" s="19" t="n">
        <f aca="false">'SALES Raw'!E1338*$H$4</f>
        <v>3.78947368421053</v>
      </c>
      <c r="G3149" s="19" t="n">
        <f aca="false">'SALES Raw'!F1338*$H$4</f>
        <v>125.936842105263</v>
      </c>
      <c r="H3149" s="18" t="str">
        <f aca="false">'SALES Raw'!A1338</f>
        <v>103 - Physiotherapy institutes</v>
      </c>
    </row>
    <row r="3150" customFormat="false" ht="15" hidden="false" customHeight="false" outlineLevel="0" collapsed="false">
      <c r="A3150" s="18" t="n">
        <f aca="false">'SALES Raw'!G1343</f>
        <v>4408051</v>
      </c>
      <c r="B3150" s="18" t="str">
        <f aca="false">'SALES Raw'!B1343</f>
        <v>21 S</v>
      </c>
      <c r="C3150" s="18" t="str">
        <f aca="false">'SALES Raw'!H1343</f>
        <v>21 S  חבק יד ארוך</v>
      </c>
      <c r="D3150" s="19" t="n">
        <f aca="false">'SALES Raw'!C1343</f>
        <v>5</v>
      </c>
      <c r="E3150" s="19" t="n">
        <f aca="false">'SALES Raw'!D1343</f>
        <v>183.11</v>
      </c>
      <c r="F3150" s="19" t="n">
        <f aca="false">'SALES Raw'!E1343*$H$4</f>
        <v>3.78947368421053</v>
      </c>
      <c r="G3150" s="19" t="n">
        <f aca="false">'SALES Raw'!F1343*$H$4</f>
        <v>150.871578947368</v>
      </c>
      <c r="H3150" s="18" t="str">
        <f aca="false">'SALES Raw'!A1343</f>
        <v>103 - Physiotherapy institutes</v>
      </c>
    </row>
    <row r="3151" customFormat="false" ht="15" hidden="false" customHeight="false" outlineLevel="0" collapsed="false">
      <c r="A3151" s="18" t="n">
        <f aca="false">'SALES Raw'!G1365</f>
        <v>4416003</v>
      </c>
      <c r="B3151" s="18" t="str">
        <f aca="false">'SALES Raw'!B1365</f>
        <v>308 L</v>
      </c>
      <c r="C3151" s="18" t="str">
        <f aca="false">'SALES Raw'!H1365</f>
        <v>308 Lעקבים סיליקון כחול לדורבן</v>
      </c>
      <c r="D3151" s="19" t="n">
        <f aca="false">'SALES Raw'!C1365</f>
        <v>1</v>
      </c>
      <c r="E3151" s="19" t="n">
        <f aca="false">'SALES Raw'!D1365</f>
        <v>40.5</v>
      </c>
      <c r="F3151" s="19" t="n">
        <f aca="false">'SALES Raw'!E1365*$H$4</f>
        <v>3.78947368421053</v>
      </c>
      <c r="G3151" s="19" t="n">
        <f aca="false">'SALES Raw'!F1365*$H$4</f>
        <v>230.703157894737</v>
      </c>
      <c r="H3151" s="18" t="str">
        <f aca="false">'SALES Raw'!A1365</f>
        <v>103 - Physiotherapy institutes</v>
      </c>
    </row>
    <row r="3152" customFormat="false" ht="15" hidden="false" customHeight="false" outlineLevel="0" collapsed="false">
      <c r="A3152" s="18" t="n">
        <f aca="false">'SALES Raw'!G1366</f>
        <v>4416005</v>
      </c>
      <c r="B3152" s="18" t="str">
        <f aca="false">'SALES Raw'!B1366</f>
        <v>308 M</v>
      </c>
      <c r="C3152" s="18" t="str">
        <f aca="false">'SALES Raw'!H1366</f>
        <v>308 Mעקבים סיליק.כחול לדורבן</v>
      </c>
      <c r="D3152" s="19" t="n">
        <f aca="false">'SALES Raw'!C1366</f>
        <v>1</v>
      </c>
      <c r="E3152" s="19" t="n">
        <f aca="false">'SALES Raw'!D1366</f>
        <v>40.5</v>
      </c>
      <c r="F3152" s="19" t="n">
        <f aca="false">'SALES Raw'!E1366*$H$4</f>
        <v>3.78947368421053</v>
      </c>
      <c r="G3152" s="19" t="n">
        <f aca="false">'SALES Raw'!F1366*$H$4</f>
        <v>230.703157894737</v>
      </c>
      <c r="H3152" s="18" t="str">
        <f aca="false">'SALES Raw'!A1366</f>
        <v>103 - Physiotherapy institutes</v>
      </c>
    </row>
    <row r="3153" customFormat="false" ht="15" hidden="false" customHeight="false" outlineLevel="0" collapsed="false">
      <c r="A3153" s="18" t="n">
        <f aca="false">'SALES Raw'!G1367</f>
        <v>4413033</v>
      </c>
      <c r="B3153" s="18" t="str">
        <f aca="false">'SALES Raw'!B1367</f>
        <v>311 0</v>
      </c>
      <c r="C3153" s="18" t="str">
        <f aca="false">'SALES Raw'!H1367</f>
        <v>311'מדב.ג'ל למניעת שפשוף 5 יח</v>
      </c>
      <c r="D3153" s="19" t="n">
        <f aca="false">'SALES Raw'!C1367</f>
        <v>8</v>
      </c>
      <c r="E3153" s="19" t="n">
        <f aca="false">'SALES Raw'!D1367</f>
        <v>134.68</v>
      </c>
      <c r="F3153" s="19" t="n">
        <f aca="false">'SALES Raw'!E1367*$H$4</f>
        <v>3.78947368421053</v>
      </c>
      <c r="G3153" s="19" t="n">
        <f aca="false">'SALES Raw'!F1367*$H$4</f>
        <v>70.8757894736842</v>
      </c>
      <c r="H3153" s="18" t="str">
        <f aca="false">'SALES Raw'!A1367</f>
        <v>103 - Physiotherapy institutes</v>
      </c>
    </row>
    <row r="3154" customFormat="false" ht="15" hidden="false" customHeight="false" outlineLevel="0" collapsed="false">
      <c r="A3154" s="18" t="n">
        <f aca="false">'SALES Raw'!G1380</f>
        <v>4413041</v>
      </c>
      <c r="B3154" s="18" t="str">
        <f aca="false">'SALES Raw'!B1380</f>
        <v>34 M</v>
      </c>
      <c r="C3154" s="18" t="str">
        <f aca="false">'SALES Raw'!H1380</f>
        <v>34  M מגן קרסול עקב סגור</v>
      </c>
      <c r="D3154" s="19" t="n">
        <f aca="false">'SALES Raw'!C1380</f>
        <v>1</v>
      </c>
      <c r="E3154" s="19" t="n">
        <f aca="false">'SALES Raw'!D1380</f>
        <v>40.58</v>
      </c>
      <c r="F3154" s="19" t="n">
        <f aca="false">'SALES Raw'!E1380*$H$4</f>
        <v>3.78947368421053</v>
      </c>
      <c r="G3154" s="19" t="n">
        <f aca="false">'SALES Raw'!F1380*$H$4</f>
        <v>161.658947368421</v>
      </c>
      <c r="H3154" s="18" t="str">
        <f aca="false">'SALES Raw'!A1380</f>
        <v>103 - Physiotherapy institutes</v>
      </c>
    </row>
    <row r="3155" customFormat="false" ht="15" hidden="false" customHeight="false" outlineLevel="0" collapsed="false">
      <c r="A3155" s="18" t="n">
        <f aca="false">'SALES Raw'!G1382</f>
        <v>4413044</v>
      </c>
      <c r="B3155" s="18" t="str">
        <f aca="false">'SALES Raw'!B1382</f>
        <v>34 XL</v>
      </c>
      <c r="C3155" s="18" t="str">
        <f aca="false">'SALES Raw'!H1382</f>
        <v>34 XL מגן קרסול עקב סגור</v>
      </c>
      <c r="D3155" s="19" t="n">
        <f aca="false">'SALES Raw'!C1382</f>
        <v>1</v>
      </c>
      <c r="E3155" s="19" t="n">
        <f aca="false">'SALES Raw'!D1382</f>
        <v>40.58</v>
      </c>
      <c r="F3155" s="19" t="n">
        <f aca="false">'SALES Raw'!E1382*$H$4</f>
        <v>3.78947368421053</v>
      </c>
      <c r="G3155" s="19" t="n">
        <f aca="false">'SALES Raw'!F1382*$H$4</f>
        <v>161.658947368421</v>
      </c>
      <c r="H3155" s="18" t="str">
        <f aca="false">'SALES Raw'!A1382</f>
        <v>103 - Physiotherapy institutes</v>
      </c>
    </row>
    <row r="3156" customFormat="false" ht="15" hidden="false" customHeight="false" outlineLevel="0" collapsed="false">
      <c r="A3156" s="18" t="n">
        <f aca="false">'SALES Raw'!G1418</f>
        <v>4413496</v>
      </c>
      <c r="B3156" s="18" t="str">
        <f aca="false">'SALES Raw'!B1418</f>
        <v>45B XL</v>
      </c>
      <c r="C3156" s="18" t="str">
        <f aca="false">'SALES Raw'!H1418</f>
        <v>45B XL מגן ברך שחור</v>
      </c>
      <c r="D3156" s="19" t="n">
        <f aca="false">'SALES Raw'!C1418</f>
        <v>11</v>
      </c>
      <c r="E3156" s="19" t="n">
        <f aca="false">'SALES Raw'!D1418</f>
        <v>284.01</v>
      </c>
      <c r="F3156" s="19" t="n">
        <f aca="false">'SALES Raw'!E1418*$H$4</f>
        <v>3.78947368421053</v>
      </c>
      <c r="G3156" s="19" t="n">
        <f aca="false">'SALES Raw'!F1418*$H$4</f>
        <v>117.069473684211</v>
      </c>
      <c r="H3156" s="18" t="str">
        <f aca="false">'SALES Raw'!A1418</f>
        <v>103 - Physiotherapy institutes</v>
      </c>
    </row>
    <row r="3157" customFormat="false" ht="15" hidden="false" customHeight="false" outlineLevel="0" collapsed="false">
      <c r="A3157" s="18" t="n">
        <f aca="false">'SALES Raw'!G1445</f>
        <v>4413422</v>
      </c>
      <c r="B3157" s="18" t="str">
        <f aca="false">'SALES Raw'!B1445</f>
        <v>SC35L L</v>
      </c>
      <c r="C3157" s="18" t="str">
        <f aca="false">'SALES Raw'!H1445</f>
        <v>SC35L  L מגן קרסול שמאל</v>
      </c>
      <c r="D3157" s="19" t="n">
        <f aca="false">'SALES Raw'!C1445</f>
        <v>0</v>
      </c>
      <c r="E3157" s="19" t="n">
        <f aca="false">'SALES Raw'!D1445</f>
        <v>0</v>
      </c>
      <c r="F3157" s="19" t="n">
        <f aca="false">'SALES Raw'!E1445*$H$4</f>
        <v>3.78947368421053</v>
      </c>
      <c r="G3157" s="19" t="n">
        <f aca="false">'SALES Raw'!F1445*$H$4</f>
        <v>323.418947368421</v>
      </c>
      <c r="H3157" s="18" t="str">
        <f aca="false">'SALES Raw'!A1445</f>
        <v>103 - Physiotherapy institutes</v>
      </c>
    </row>
    <row r="3158" customFormat="false" ht="15" hidden="false" customHeight="false" outlineLevel="0" collapsed="false">
      <c r="A3158" s="18" t="n">
        <f aca="false">'SALES Raw'!G1448</f>
        <v>4413426</v>
      </c>
      <c r="B3158" s="18" t="str">
        <f aca="false">'SALES Raw'!B1448</f>
        <v>SC35R L</v>
      </c>
      <c r="C3158" s="18" t="str">
        <f aca="false">'SALES Raw'!H1448</f>
        <v>SC35R  L מגן קרסול ימין</v>
      </c>
      <c r="D3158" s="19" t="n">
        <f aca="false">'SALES Raw'!C1448</f>
        <v>0</v>
      </c>
      <c r="E3158" s="19" t="n">
        <f aca="false">'SALES Raw'!D1448</f>
        <v>0</v>
      </c>
      <c r="F3158" s="19" t="n">
        <f aca="false">'SALES Raw'!E1448*$H$4</f>
        <v>3.78947368421053</v>
      </c>
      <c r="G3158" s="19" t="n">
        <f aca="false">'SALES Raw'!F1448*$H$4</f>
        <v>323.418947368421</v>
      </c>
      <c r="H3158" s="18" t="str">
        <f aca="false">'SALES Raw'!A1448</f>
        <v>103 - Physiotherapy institutes</v>
      </c>
    </row>
    <row r="3159" customFormat="false" ht="15" hidden="false" customHeight="false" outlineLevel="0" collapsed="false">
      <c r="A3159" s="18" t="n">
        <f aca="false">'SALES Raw'!G1499</f>
        <v>4408219</v>
      </c>
      <c r="B3159" s="18" t="str">
        <f aca="false">'SALES Raw'!B1499</f>
        <v>078G S</v>
      </c>
      <c r="C3159" s="18" t="str">
        <f aca="false">'SALES Raw'!H1499</f>
        <v>078G-S חגורת גב אפורה</v>
      </c>
      <c r="D3159" s="19" t="n">
        <f aca="false">'SALES Raw'!C1499</f>
        <v>0</v>
      </c>
      <c r="E3159" s="19" t="n">
        <f aca="false">'SALES Raw'!D1499</f>
        <v>0</v>
      </c>
      <c r="F3159" s="19" t="n">
        <f aca="false">'SALES Raw'!E1499*$H$4</f>
        <v>3.78947368421053</v>
      </c>
      <c r="G3159" s="19" t="n">
        <f aca="false">'SALES Raw'!F1499*$H$4</f>
        <v>443.873684210526</v>
      </c>
      <c r="H3159" s="18" t="str">
        <f aca="false">'SALES Raw'!A1499</f>
        <v>103 - Physiotherapy institutes</v>
      </c>
    </row>
    <row r="3160" customFormat="false" ht="15" hidden="false" customHeight="false" outlineLevel="0" collapsed="false">
      <c r="A3160" s="18" t="n">
        <f aca="false">'SALES Raw'!G1524</f>
        <v>4418001</v>
      </c>
      <c r="B3160" s="18" t="str">
        <f aca="false">'SALES Raw'!B1524</f>
        <v>60 M</v>
      </c>
      <c r="C3160" s="18" t="str">
        <f aca="false">'SALES Raw'!H1524</f>
        <v>60 M צוארון ספוגי</v>
      </c>
      <c r="D3160" s="19" t="n">
        <f aca="false">'SALES Raw'!C1524</f>
        <v>2</v>
      </c>
      <c r="E3160" s="19" t="n">
        <f aca="false">'SALES Raw'!D1524</f>
        <v>99.27</v>
      </c>
      <c r="F3160" s="19" t="n">
        <f aca="false">'SALES Raw'!E1524*$H$4</f>
        <v>3.78947368421053</v>
      </c>
      <c r="G3160" s="19" t="n">
        <f aca="false">'SALES Raw'!F1524*$H$4</f>
        <v>188.084210526316</v>
      </c>
      <c r="H3160" s="18" t="str">
        <f aca="false">'SALES Raw'!A1524</f>
        <v>103 - Physiotherapy institutes</v>
      </c>
    </row>
    <row r="3161" customFormat="false" ht="15" hidden="false" customHeight="false" outlineLevel="0" collapsed="false">
      <c r="A3161" s="18" t="n">
        <f aca="false">'SALES Raw'!G1543</f>
        <v>4415028</v>
      </c>
      <c r="B3161" s="18" t="str">
        <f aca="false">'SALES Raw'!B1543</f>
        <v>AC28 0</v>
      </c>
      <c r="C3161" s="18" t="str">
        <f aca="false">'SALES Raw'!H1543</f>
        <v>AC-28 סד לאגודל</v>
      </c>
      <c r="D3161" s="19" t="n">
        <f aca="false">'SALES Raw'!C1543</f>
        <v>9</v>
      </c>
      <c r="E3161" s="19" t="n">
        <f aca="false">'SALES Raw'!D1543</f>
        <v>359.14</v>
      </c>
      <c r="F3161" s="19" t="n">
        <f aca="false">'SALES Raw'!E1543*$H$4</f>
        <v>3.78947368421053</v>
      </c>
      <c r="G3161" s="19" t="n">
        <f aca="false">'SALES Raw'!F1543*$H$4</f>
        <v>159.675789473684</v>
      </c>
      <c r="H3161" s="18" t="str">
        <f aca="false">'SALES Raw'!A1543</f>
        <v>103 - Physiotherapy institutes</v>
      </c>
    </row>
    <row r="3162" customFormat="false" ht="15" hidden="false" customHeight="false" outlineLevel="0" collapsed="false">
      <c r="A3162" s="18" t="n">
        <f aca="false">'SALES Raw'!G1584</f>
        <v>4413137</v>
      </c>
      <c r="B3162" s="18" t="str">
        <f aca="false">'SALES Raw'!B1584</f>
        <v>85 S</v>
      </c>
      <c r="C3162" s="18" t="str">
        <f aca="false">'SALES Raw'!H1584</f>
        <v>85 S (מתלה ליד )כיס</v>
      </c>
      <c r="D3162" s="19" t="n">
        <f aca="false">'SALES Raw'!C1584</f>
        <v>2</v>
      </c>
      <c r="E3162" s="19" t="n">
        <f aca="false">'SALES Raw'!D1584</f>
        <v>113.32</v>
      </c>
      <c r="F3162" s="19" t="n">
        <f aca="false">'SALES Raw'!E1584*$H$4</f>
        <v>3.78947368421053</v>
      </c>
      <c r="G3162" s="19" t="n">
        <f aca="false">'SALES Raw'!F1584*$H$4</f>
        <v>195.36</v>
      </c>
      <c r="H3162" s="18" t="str">
        <f aca="false">'SALES Raw'!A1584</f>
        <v>103 - Physiotherapy institutes</v>
      </c>
    </row>
    <row r="3163" customFormat="false" ht="15" hidden="false" customHeight="false" outlineLevel="0" collapsed="false">
      <c r="A3163" s="18" t="n">
        <f aca="false">'SALES Raw'!G1585</f>
        <v>4413138</v>
      </c>
      <c r="B3163" s="18" t="str">
        <f aca="false">'SALES Raw'!B1585</f>
        <v>85 XL</v>
      </c>
      <c r="C3163" s="18" t="str">
        <f aca="false">'SALES Raw'!H1585</f>
        <v>85 XL (מתלה ליד )כיס</v>
      </c>
      <c r="D3163" s="19" t="n">
        <f aca="false">'SALES Raw'!C1585</f>
        <v>0</v>
      </c>
      <c r="E3163" s="19" t="n">
        <f aca="false">'SALES Raw'!D1585</f>
        <v>0</v>
      </c>
      <c r="F3163" s="19" t="n">
        <f aca="false">'SALES Raw'!E1585*$H$4</f>
        <v>3.78947368421053</v>
      </c>
      <c r="G3163" s="19" t="n">
        <f aca="false">'SALES Raw'!F1585*$H$4</f>
        <v>195.36</v>
      </c>
      <c r="H3163" s="18" t="str">
        <f aca="false">'SALES Raw'!A1585</f>
        <v>103 - Physiotherapy institutes</v>
      </c>
    </row>
    <row r="3164" customFormat="false" ht="15" hidden="false" customHeight="false" outlineLevel="0" collapsed="false">
      <c r="A3164" s="18" t="n">
        <f aca="false">'SALES Raw'!G1664</f>
        <v>4417000</v>
      </c>
      <c r="B3164" s="18" t="str">
        <f aca="false">'SALES Raw'!B1664</f>
        <v>PD342 0</v>
      </c>
      <c r="C3164" s="18" t="str">
        <f aca="false">'SALES Raw'!H1664</f>
        <v>PD342-פומפיה להסרת עור קשה</v>
      </c>
      <c r="D3164" s="19" t="n">
        <f aca="false">'SALES Raw'!C1664</f>
        <v>3</v>
      </c>
      <c r="E3164" s="19" t="n">
        <f aca="false">'SALES Raw'!D1664</f>
        <v>80.86</v>
      </c>
      <c r="F3164" s="19" t="n">
        <f aca="false">'SALES Raw'!E1664*$H$4</f>
        <v>3.78947368421053</v>
      </c>
      <c r="G3164" s="19" t="n">
        <f aca="false">'SALES Raw'!F1664*$H$4</f>
        <v>127.667368421053</v>
      </c>
      <c r="H3164" s="18" t="str">
        <f aca="false">'SALES Raw'!A1664</f>
        <v>105 - Pedicure Salons</v>
      </c>
    </row>
    <row r="3165" customFormat="false" ht="15" hidden="false" customHeight="false" outlineLevel="0" collapsed="false">
      <c r="A3165" s="18" t="n">
        <f aca="false">'SALES Raw'!G1671</f>
        <v>4408089</v>
      </c>
      <c r="B3165" s="18" t="str">
        <f aca="false">'SALES Raw'!B1671</f>
        <v>T11C S</v>
      </c>
      <c r="C3165" s="18" t="str">
        <f aca="false">'SALES Raw'!H1671</f>
        <v>T11C S  חגורת גב פוג'יאמה</v>
      </c>
      <c r="D3165" s="19" t="n">
        <f aca="false">'SALES Raw'!C1671</f>
        <v>0</v>
      </c>
      <c r="E3165" s="19" t="n">
        <f aca="false">'SALES Raw'!D1671</f>
        <v>0</v>
      </c>
      <c r="F3165" s="19" t="n">
        <f aca="false">'SALES Raw'!E1671*$H$4</f>
        <v>3.78947368421053</v>
      </c>
      <c r="G3165" s="19" t="n">
        <f aca="false">'SALES Raw'!F1671*$H$4</f>
        <v>604.042105263158</v>
      </c>
      <c r="H3165" s="18" t="str">
        <f aca="false">'SALES Raw'!A1671</f>
        <v>106 - Hospitals</v>
      </c>
    </row>
    <row r="3166" customFormat="false" ht="15" hidden="false" customHeight="false" outlineLevel="0" collapsed="false">
      <c r="A3166" s="18" t="n">
        <f aca="false">'SALES Raw'!G1712</f>
        <v>4413503</v>
      </c>
      <c r="B3166" s="18" t="str">
        <f aca="false">'SALES Raw'!B1712</f>
        <v>95B XL</v>
      </c>
      <c r="C3166" s="18" t="str">
        <f aca="false">'SALES Raw'!H1712</f>
        <v>95B XL מגן מרפק שחור</v>
      </c>
      <c r="D3166" s="19" t="n">
        <f aca="false">'SALES Raw'!C1712</f>
        <v>5</v>
      </c>
      <c r="E3166" s="19" t="n">
        <f aca="false">'SALES Raw'!D1712</f>
        <v>76.01</v>
      </c>
      <c r="F3166" s="19" t="n">
        <f aca="false">'SALES Raw'!E1712*$H$4</f>
        <v>3.78947368421053</v>
      </c>
      <c r="G3166" s="19" t="n">
        <f aca="false">'SALES Raw'!F1712*$H$4</f>
        <v>71.9873684210526</v>
      </c>
      <c r="H3166" s="18" t="str">
        <f aca="false">'SALES Raw'!A1712</f>
        <v>106 - Hospitals</v>
      </c>
    </row>
    <row r="3167" customFormat="false" ht="15" hidden="false" customHeight="false" outlineLevel="0" collapsed="false">
      <c r="A3167" s="18" t="n">
        <f aca="false">'SALES Raw'!G1726</f>
        <v>4408264</v>
      </c>
      <c r="B3167" s="18" t="str">
        <f aca="false">'SALES Raw'!B1726</f>
        <v>T25B 0</v>
      </c>
      <c r="C3167" s="18" t="str">
        <f aca="false">'SALES Raw'!H1726</f>
        <v>T25B   חבק יד אגודלי</v>
      </c>
      <c r="D3167" s="19" t="n">
        <f aca="false">'SALES Raw'!C1726</f>
        <v>9</v>
      </c>
      <c r="E3167" s="19" t="n">
        <f aca="false">'SALES Raw'!D1726</f>
        <v>339.96</v>
      </c>
      <c r="F3167" s="19" t="n">
        <f aca="false">'SALES Raw'!E1726*$H$4</f>
        <v>3.78947368421053</v>
      </c>
      <c r="G3167" s="19" t="n">
        <f aca="false">'SALES Raw'!F1726*$H$4</f>
        <v>161.027368421053</v>
      </c>
      <c r="H3167" s="18" t="str">
        <f aca="false">'SALES Raw'!A1726</f>
        <v>106 - Hospitals</v>
      </c>
    </row>
    <row r="3168" customFormat="false" ht="15" hidden="false" customHeight="false" outlineLevel="0" collapsed="false">
      <c r="A3168" s="18" t="str">
        <f aca="false">'SALES Raw'!G1783</f>
        <v/>
      </c>
      <c r="B3168" s="18" t="str">
        <f aca="false">'SALES Raw'!B1783</f>
        <v>18 S</v>
      </c>
      <c r="C3168" s="18" t="str">
        <f aca="false">'SALES Raw'!H1783</f>
        <v>18 S</v>
      </c>
      <c r="D3168" s="19" t="n">
        <f aca="false">'SALES Raw'!C1783</f>
        <v>6</v>
      </c>
      <c r="E3168" s="19" t="n">
        <f aca="false">'SALES Raw'!D1783</f>
        <v>1431.99</v>
      </c>
      <c r="F3168" s="19" t="n">
        <f aca="false">'SALES Raw'!E1783*$H$4</f>
        <v>3.78947368421053</v>
      </c>
      <c r="G3168" s="19" t="n">
        <f aca="false">'SALES Raw'!F1783*$H$4</f>
        <v>1015.59157894737</v>
      </c>
      <c r="H3168" s="18" t="str">
        <f aca="false">'SALES Raw'!A1783</f>
        <v>109 - Private Shops</v>
      </c>
    </row>
    <row r="3169" customFormat="false" ht="15" hidden="false" customHeight="false" outlineLevel="0" collapsed="false">
      <c r="A3169" s="18" t="n">
        <f aca="false">'SALES Raw'!G1787</f>
        <v>4411016</v>
      </c>
      <c r="B3169" s="18" t="str">
        <f aca="false">'SALES Raw'!B1787</f>
        <v>307 XL</v>
      </c>
      <c r="C3169" s="18" t="str">
        <f aca="false">'SALES Raw'!H1787</f>
        <v>307 XL כרית סיליקון לעקב</v>
      </c>
      <c r="D3169" s="19" t="n">
        <f aca="false">'SALES Raw'!C1787</f>
        <v>1</v>
      </c>
      <c r="E3169" s="19" t="n">
        <f aca="false">'SALES Raw'!D1787</f>
        <v>92.29</v>
      </c>
      <c r="F3169" s="19" t="n">
        <f aca="false">'SALES Raw'!E1787*$H$4</f>
        <v>3.78947368421053</v>
      </c>
      <c r="G3169" s="19" t="n">
        <f aca="false">'SALES Raw'!F1787*$H$4</f>
        <v>349.730526315789</v>
      </c>
      <c r="H3169" s="18" t="str">
        <f aca="false">'SALES Raw'!A1787</f>
        <v>109 - Private Shops</v>
      </c>
    </row>
    <row r="3170" customFormat="false" ht="15" hidden="false" customHeight="false" outlineLevel="0" collapsed="false">
      <c r="A3170" s="18" t="n">
        <f aca="false">'SALES Raw'!G1795</f>
        <v>4411024</v>
      </c>
      <c r="B3170" s="18" t="str">
        <f aca="false">'SALES Raw'!B1795</f>
        <v>212 XL</v>
      </c>
      <c r="C3170" s="18" t="str">
        <f aca="false">'SALES Raw'!H1795</f>
        <v>212XL כפפות אגודל לחץ</v>
      </c>
      <c r="D3170" s="19" t="n">
        <f aca="false">'SALES Raw'!C1795</f>
        <v>0</v>
      </c>
      <c r="E3170" s="19" t="n">
        <f aca="false">'SALES Raw'!D1795</f>
        <v>0</v>
      </c>
      <c r="F3170" s="19" t="n">
        <f aca="false">'SALES Raw'!E1795*$H$4</f>
        <v>3.78947368421053</v>
      </c>
      <c r="G3170" s="19" t="n">
        <f aca="false">'SALES Raw'!F1795*$H$4</f>
        <v>150.795789473684</v>
      </c>
      <c r="H3170" s="18" t="str">
        <f aca="false">'SALES Raw'!A1795</f>
        <v>109 - Private Shops</v>
      </c>
    </row>
    <row r="3171" customFormat="false" ht="15" hidden="false" customHeight="false" outlineLevel="0" collapsed="false">
      <c r="A3171" s="18" t="n">
        <f aca="false">'SALES Raw'!G1818</f>
        <v>4409013</v>
      </c>
      <c r="B3171" s="18" t="str">
        <f aca="false">'SALES Raw'!B1818</f>
        <v>804AT-BL</v>
      </c>
      <c r="C3171" s="18" t="str">
        <f aca="false">'SALES Raw'!H1818</f>
        <v>804AT-BL     טייפ חבישה לספורט</v>
      </c>
      <c r="D3171" s="19" t="n">
        <f aca="false">'SALES Raw'!C1818</f>
        <v>4</v>
      </c>
      <c r="E3171" s="19" t="n">
        <f aca="false">'SALES Raw'!D1818</f>
        <v>69.18</v>
      </c>
      <c r="F3171" s="19" t="n">
        <f aca="false">'SALES Raw'!E1818*$H$4</f>
        <v>3.78947368421053</v>
      </c>
      <c r="G3171" s="19" t="n">
        <f aca="false">'SALES Raw'!F1818*$H$4</f>
        <v>65.5326315789474</v>
      </c>
      <c r="H3171" s="18" t="str">
        <f aca="false">'SALES Raw'!A1818</f>
        <v>109 - Private Shops</v>
      </c>
    </row>
    <row r="3172" customFormat="false" ht="15" hidden="false" customHeight="false" outlineLevel="0" collapsed="false">
      <c r="A3172" s="18" t="n">
        <f aca="false">'SALES Raw'!G1819</f>
        <v>4409012</v>
      </c>
      <c r="B3172" s="18" t="str">
        <f aca="false">'SALES Raw'!B1819</f>
        <v>804AT-C</v>
      </c>
      <c r="C3172" s="18" t="str">
        <f aca="false">'SALES Raw'!H1819</f>
        <v>804AT-C      טייפ חבישה לספורט</v>
      </c>
      <c r="D3172" s="19" t="n">
        <f aca="false">'SALES Raw'!C1819</f>
        <v>0</v>
      </c>
      <c r="E3172" s="19" t="n">
        <f aca="false">'SALES Raw'!D1819</f>
        <v>0</v>
      </c>
      <c r="F3172" s="19" t="n">
        <f aca="false">'SALES Raw'!E1819*$H$4</f>
        <v>3.78947368421053</v>
      </c>
      <c r="G3172" s="19" t="n">
        <f aca="false">'SALES Raw'!F1819*$H$4</f>
        <v>65.5326315789474</v>
      </c>
      <c r="H3172" s="18" t="str">
        <f aca="false">'SALES Raw'!A1819</f>
        <v>109 - Private Shops</v>
      </c>
    </row>
    <row r="3173" customFormat="false" ht="15" hidden="false" customHeight="false" outlineLevel="0" collapsed="false">
      <c r="A3173" s="18" t="str">
        <f aca="false">'SALES Raw'!G1821</f>
        <v/>
      </c>
      <c r="B3173" s="18" t="str">
        <f aca="false">'SALES Raw'!B1821</f>
        <v>808KTP-C</v>
      </c>
      <c r="C3173" s="18" t="str">
        <f aca="false">'SALES Raw'!H1821</f>
        <v>808KTP-C</v>
      </c>
      <c r="D3173" s="19" t="n">
        <f aca="false">'SALES Raw'!C1821</f>
        <v>0</v>
      </c>
      <c r="E3173" s="19" t="n">
        <f aca="false">'SALES Raw'!D1821</f>
        <v>0</v>
      </c>
      <c r="F3173" s="19" t="n">
        <f aca="false">'SALES Raw'!E1821*$H$4</f>
        <v>3.78947368421053</v>
      </c>
      <c r="G3173" s="19" t="n">
        <f aca="false">'SALES Raw'!F1821*$H$4</f>
        <v>178.964210526316</v>
      </c>
      <c r="H3173" s="18" t="str">
        <f aca="false">'SALES Raw'!A1821</f>
        <v>109 - Private Shops</v>
      </c>
    </row>
    <row r="3174" customFormat="false" ht="15" hidden="false" customHeight="false" outlineLevel="0" collapsed="false">
      <c r="A3174" s="18" t="n">
        <f aca="false">'SALES Raw'!G1823</f>
        <v>4413500</v>
      </c>
      <c r="B3174" s="18" t="str">
        <f aca="false">'SALES Raw'!B1823</f>
        <v>95B L</v>
      </c>
      <c r="C3174" s="18" t="str">
        <f aca="false">'SALES Raw'!H1823</f>
        <v>95B L מגן מרפק שחור</v>
      </c>
      <c r="D3174" s="19" t="n">
        <f aca="false">'SALES Raw'!C1823</f>
        <v>2</v>
      </c>
      <c r="E3174" s="19" t="n">
        <f aca="false">'SALES Raw'!D1823</f>
        <v>61.78</v>
      </c>
      <c r="F3174" s="19" t="n">
        <f aca="false">'SALES Raw'!E1823*$H$4</f>
        <v>3.78947368421053</v>
      </c>
      <c r="G3174" s="19" t="n">
        <f aca="false">'SALES Raw'!F1823*$H$4</f>
        <v>117.069473684211</v>
      </c>
      <c r="H3174" s="18" t="str">
        <f aca="false">'SALES Raw'!A1823</f>
        <v>109 - Private Shops</v>
      </c>
    </row>
    <row r="3175" customFormat="false" ht="15" hidden="false" customHeight="false" outlineLevel="0" collapsed="false">
      <c r="A3175" s="18" t="n">
        <f aca="false">'SALES Raw'!G1831</f>
        <v>4408247</v>
      </c>
      <c r="B3175" s="18" t="str">
        <f aca="false">'SALES Raw'!B1831</f>
        <v>SC25 S</v>
      </c>
      <c r="C3175" s="18" t="str">
        <f aca="false">'SALES Raw'!H1831</f>
        <v>SC25  S חבק יד</v>
      </c>
      <c r="D3175" s="19" t="n">
        <f aca="false">'SALES Raw'!C1831</f>
        <v>0</v>
      </c>
      <c r="E3175" s="19" t="n">
        <f aca="false">'SALES Raw'!D1831</f>
        <v>0</v>
      </c>
      <c r="F3175" s="19" t="n">
        <f aca="false">'SALES Raw'!E1831*$H$4</f>
        <v>3.78947368421053</v>
      </c>
      <c r="G3175" s="19" t="n">
        <f aca="false">'SALES Raw'!F1831*$H$4</f>
        <v>354.972631578947</v>
      </c>
      <c r="H3175" s="18" t="str">
        <f aca="false">'SALES Raw'!A1831</f>
        <v>109 - Private Shops</v>
      </c>
    </row>
    <row r="3176" customFormat="false" ht="15" hidden="false" customHeight="false" outlineLevel="0" collapsed="false">
      <c r="A3176" s="18" t="n">
        <f aca="false">'SALES Raw'!G1915</f>
        <v>4403017</v>
      </c>
      <c r="B3176" s="18" t="str">
        <f aca="false">'SALES Raw'!B1915</f>
        <v>394B-35-38</v>
      </c>
      <c r="C3176" s="18" t="str">
        <f aca="false">'SALES Raw'!H1915</f>
        <v>394B גרב.כסף לסכרתים שחור35-38</v>
      </c>
      <c r="D3176" s="19" t="n">
        <f aca="false">'SALES Raw'!C1915</f>
        <v>7</v>
      </c>
      <c r="E3176" s="19" t="n">
        <f aca="false">'SALES Raw'!D1915</f>
        <v>174.1</v>
      </c>
      <c r="F3176" s="19" t="n">
        <f aca="false">'SALES Raw'!E1915*$H$4</f>
        <v>3.78947368421053</v>
      </c>
      <c r="G3176" s="19" t="n">
        <f aca="false">'SALES Raw'!F1915*$H$4</f>
        <v>92.2231578947368</v>
      </c>
      <c r="H3176" s="18" t="str">
        <f aca="false">'SALES Raw'!A1915</f>
        <v>109 - Private Shops</v>
      </c>
    </row>
    <row r="3177" customFormat="false" ht="15" hidden="false" customHeight="false" outlineLevel="0" collapsed="false">
      <c r="A3177" s="18" t="n">
        <f aca="false">'SALES Raw'!G1926</f>
        <v>4413115</v>
      </c>
      <c r="B3177" s="18" t="str">
        <f aca="false">'SALES Raw'!B1926</f>
        <v>49 XXL</v>
      </c>
      <c r="C3177" s="18" t="str">
        <f aca="false">'SALES Raw'!H1926</f>
        <v>49 XXL מגן ירך</v>
      </c>
      <c r="D3177" s="19" t="n">
        <f aca="false">'SALES Raw'!C1926</f>
        <v>0</v>
      </c>
      <c r="E3177" s="19" t="n">
        <f aca="false">'SALES Raw'!D1926</f>
        <v>0</v>
      </c>
      <c r="F3177" s="19" t="n">
        <f aca="false">'SALES Raw'!E1926*$H$4</f>
        <v>3.78947368421053</v>
      </c>
      <c r="G3177" s="19" t="n">
        <f aca="false">'SALES Raw'!F1926*$H$4</f>
        <v>133.035789473684</v>
      </c>
      <c r="H3177" s="18" t="str">
        <f aca="false">'SALES Raw'!A1926</f>
        <v>109 - Private Shops</v>
      </c>
    </row>
    <row r="3178" customFormat="false" ht="15" hidden="false" customHeight="false" outlineLevel="0" collapsed="false">
      <c r="A3178" s="18" t="n">
        <f aca="false">'SALES Raw'!G1962</f>
        <v>4413063</v>
      </c>
      <c r="B3178" s="18" t="str">
        <f aca="false">'SALES Raw'!B1962</f>
        <v>366S 0</v>
      </c>
      <c r="C3178" s="18" t="str">
        <f aca="false">'SALES Raw'!H1962</f>
        <v>366S-'מדבק.לשחרור לחץ מיבלת2יח</v>
      </c>
      <c r="D3178" s="19" t="n">
        <f aca="false">'SALES Raw'!C1962</f>
        <v>25</v>
      </c>
      <c r="E3178" s="19" t="n">
        <f aca="false">'SALES Raw'!D1962</f>
        <v>363.41</v>
      </c>
      <c r="F3178" s="19" t="n">
        <f aca="false">'SALES Raw'!E1962*$H$4</f>
        <v>3.78947368421053</v>
      </c>
      <c r="G3178" s="19" t="n">
        <f aca="false">'SALES Raw'!F1962*$H$4</f>
        <v>55.2631578947368</v>
      </c>
      <c r="H3178" s="18" t="str">
        <f aca="false">'SALES Raw'!A1962</f>
        <v>109 - Private Shops</v>
      </c>
    </row>
    <row r="3179" customFormat="false" ht="15" hidden="false" customHeight="false" outlineLevel="0" collapsed="false">
      <c r="A3179" s="18" t="n">
        <f aca="false">'SALES Raw'!G1964</f>
        <v>4403023</v>
      </c>
      <c r="B3179" s="18" t="str">
        <f aca="false">'SALES Raw'!B1964</f>
        <v>394W-35-38</v>
      </c>
      <c r="C3179" s="18" t="str">
        <f aca="false">'SALES Raw'!H1964</f>
        <v>394W 35-38 גרב.כסף לסכרתים לבן</v>
      </c>
      <c r="D3179" s="19" t="n">
        <f aca="false">'SALES Raw'!C1964</f>
        <v>0</v>
      </c>
      <c r="E3179" s="19" t="n">
        <f aca="false">'SALES Raw'!D1964</f>
        <v>0</v>
      </c>
      <c r="F3179" s="19" t="n">
        <f aca="false">'SALES Raw'!E1964*$H$4</f>
        <v>3.78947368421053</v>
      </c>
      <c r="G3179" s="19" t="n">
        <f aca="false">'SALES Raw'!F1964*$H$4</f>
        <v>92.2231578947368</v>
      </c>
      <c r="H3179" s="18" t="str">
        <f aca="false">'SALES Raw'!A1964</f>
        <v>109 - Private Shops</v>
      </c>
    </row>
    <row r="3180" customFormat="false" ht="15" hidden="false" customHeight="false" outlineLevel="0" collapsed="false">
      <c r="A3180" s="18" t="n">
        <f aca="false">'SALES Raw'!G1965</f>
        <v>4403044</v>
      </c>
      <c r="B3180" s="18" t="str">
        <f aca="false">'SALES Raw'!B1965</f>
        <v>395B-39-42</v>
      </c>
      <c r="C3180" s="18" t="str">
        <f aca="false">'SALES Raw'!H1965</f>
        <v>395B גרבי קיץ אנטי בקטריא39-42</v>
      </c>
      <c r="D3180" s="19" t="n">
        <f aca="false">'SALES Raw'!C1965</f>
        <v>0</v>
      </c>
      <c r="E3180" s="19" t="n">
        <f aca="false">'SALES Raw'!D1965</f>
        <v>0</v>
      </c>
      <c r="F3180" s="19" t="n">
        <f aca="false">'SALES Raw'!E1965*$H$4</f>
        <v>3.78947368421053</v>
      </c>
      <c r="G3180" s="19" t="n">
        <f aca="false">'SALES Raw'!F1965*$H$4</f>
        <v>99.9031578947368</v>
      </c>
      <c r="H3180" s="18" t="str">
        <f aca="false">'SALES Raw'!A1965</f>
        <v>109 - Private Shops</v>
      </c>
    </row>
    <row r="3181" customFormat="false" ht="15" hidden="false" customHeight="false" outlineLevel="0" collapsed="false">
      <c r="A3181" s="18" t="n">
        <f aca="false">'SALES Raw'!G1989</f>
        <v>4403035</v>
      </c>
      <c r="B3181" s="18" t="str">
        <f aca="false">'SALES Raw'!B1989</f>
        <v>ST3555-L-XL</v>
      </c>
      <c r="C3181" s="18" t="str">
        <f aca="false">'SALES Raw'!H1989</f>
        <v>ST3555L-XLגרב לילה לטיפ.בדורבן</v>
      </c>
      <c r="D3181" s="19" t="n">
        <f aca="false">'SALES Raw'!C1989</f>
        <v>1</v>
      </c>
      <c r="E3181" s="19" t="n">
        <f aca="false">'SALES Raw'!D1989</f>
        <v>65</v>
      </c>
      <c r="F3181" s="19" t="n">
        <f aca="false">'SALES Raw'!E1989*$H$4</f>
        <v>3.78947368421053</v>
      </c>
      <c r="G3181" s="19" t="n">
        <f aca="false">'SALES Raw'!F1989*$H$4</f>
        <v>246.315789473684</v>
      </c>
      <c r="H3181" s="18" t="str">
        <f aca="false">'SALES Raw'!A1989</f>
        <v>109 - Private Shops</v>
      </c>
    </row>
    <row r="3182" customFormat="false" ht="15" hidden="false" customHeight="false" outlineLevel="0" collapsed="false">
      <c r="A3182" s="18" t="n">
        <f aca="false">'SALES Raw'!G2055</f>
        <v>4408119</v>
      </c>
      <c r="B3182" s="18" t="str">
        <f aca="false">'SALES Raw'!B2055</f>
        <v>06U L</v>
      </c>
      <c r="C3182" s="18" t="str">
        <f aca="false">'SALES Raw'!H2055</f>
        <v>06U L ח.בטן מותנית צר</v>
      </c>
      <c r="D3182" s="19" t="n">
        <f aca="false">'SALES Raw'!C2055</f>
        <v>8</v>
      </c>
      <c r="E3182" s="19" t="n">
        <f aca="false">'SALES Raw'!D2055</f>
        <v>1890.04</v>
      </c>
      <c r="F3182" s="19" t="n">
        <f aca="false">'SALES Raw'!E2055*$H$4</f>
        <v>3.78947368421053</v>
      </c>
      <c r="G3182" s="19" t="n">
        <f aca="false">'SALES Raw'!F2055*$H$4</f>
        <v>963.094736842105</v>
      </c>
      <c r="H3182" s="18" t="str">
        <f aca="false">'SALES Raw'!A2055</f>
        <v>114 - IL online</v>
      </c>
    </row>
    <row r="3183" customFormat="false" ht="15" hidden="false" customHeight="false" outlineLevel="0" collapsed="false">
      <c r="A3183" s="18" t="str">
        <f aca="false">'SALES Raw'!G2078</f>
        <v/>
      </c>
      <c r="B3183" s="18" t="str">
        <f aca="false">'SALES Raw'!B2078</f>
        <v>07AU XS</v>
      </c>
      <c r="C3183" s="18" t="str">
        <f aca="false">'SALES Raw'!H2078</f>
        <v>07AU XS</v>
      </c>
      <c r="D3183" s="19" t="n">
        <f aca="false">'SALES Raw'!C2078</f>
        <v>0</v>
      </c>
      <c r="E3183" s="19" t="n">
        <f aca="false">'SALES Raw'!D2078</f>
        <v>0</v>
      </c>
      <c r="F3183" s="19" t="n">
        <f aca="false">'SALES Raw'!E2078*$H$4</f>
        <v>3.78947368421053</v>
      </c>
      <c r="G3183" s="19" t="n">
        <f aca="false">'SALES Raw'!F2078*$H$4</f>
        <v>1798.06736842105</v>
      </c>
      <c r="H3183" s="18" t="str">
        <f aca="false">'SALES Raw'!A2078</f>
        <v>114 - IL online</v>
      </c>
    </row>
    <row r="3184" customFormat="false" ht="15" hidden="false" customHeight="false" outlineLevel="0" collapsed="false">
      <c r="A3184" s="18" t="str">
        <f aca="false">'SALES Raw'!G2085</f>
        <v/>
      </c>
      <c r="B3184" s="18" t="str">
        <f aca="false">'SALES Raw'!B2085</f>
        <v>099-S-M</v>
      </c>
      <c r="C3184" s="18" t="str">
        <f aca="false">'SALES Raw'!H2085</f>
        <v>099-S-M</v>
      </c>
      <c r="D3184" s="19" t="n">
        <f aca="false">'SALES Raw'!C2085</f>
        <v>3</v>
      </c>
      <c r="E3184" s="19" t="n">
        <f aca="false">'SALES Raw'!D2085</f>
        <v>456.69</v>
      </c>
      <c r="F3184" s="19" t="n">
        <f aca="false">'SALES Raw'!E2085*$H$4</f>
        <v>3.78947368421053</v>
      </c>
      <c r="G3184" s="19" t="n">
        <f aca="false">'SALES Raw'!F2085*$H$4</f>
        <v>556.332631578947</v>
      </c>
      <c r="H3184" s="18" t="str">
        <f aca="false">'SALES Raw'!A2085</f>
        <v>114 - IL online</v>
      </c>
    </row>
    <row r="3185" customFormat="false" ht="15" hidden="false" customHeight="false" outlineLevel="0" collapsed="false">
      <c r="A3185" s="18" t="str">
        <f aca="false">'SALES Raw'!G2120</f>
        <v/>
      </c>
      <c r="B3185" s="18" t="str">
        <f aca="false">'SALES Raw'!B2120</f>
        <v>11STOB XL</v>
      </c>
      <c r="C3185" s="18" t="str">
        <f aca="false">'SALES Raw'!H2120</f>
        <v>11STOB XL</v>
      </c>
      <c r="D3185" s="19" t="n">
        <f aca="false">'SALES Raw'!C2120</f>
        <v>1</v>
      </c>
      <c r="E3185" s="19" t="n">
        <f aca="false">'SALES Raw'!D2120</f>
        <v>255.65</v>
      </c>
      <c r="F3185" s="19" t="n">
        <f aca="false">'SALES Raw'!E2120*$H$4</f>
        <v>3.78947368421053</v>
      </c>
      <c r="G3185" s="19" t="n">
        <f aca="false">'SALES Raw'!F2120*$H$4</f>
        <v>1101.72631578947</v>
      </c>
      <c r="H3185" s="18" t="str">
        <f aca="false">'SALES Raw'!A2120</f>
        <v>114 - IL online</v>
      </c>
    </row>
    <row r="3186" customFormat="false" ht="15" hidden="false" customHeight="false" outlineLevel="0" collapsed="false">
      <c r="A3186" s="18" t="str">
        <f aca="false">'SALES Raw'!G2131</f>
        <v/>
      </c>
      <c r="B3186" s="18" t="str">
        <f aca="false">'SALES Raw'!B2131</f>
        <v>11UG XL</v>
      </c>
      <c r="C3186" s="18" t="str">
        <f aca="false">'SALES Raw'!H2131</f>
        <v>11UG XL</v>
      </c>
      <c r="D3186" s="19" t="n">
        <f aca="false">'SALES Raw'!C2131</f>
        <v>5</v>
      </c>
      <c r="E3186" s="19" t="n">
        <f aca="false">'SALES Raw'!D2131</f>
        <v>845.38</v>
      </c>
      <c r="F3186" s="19" t="n">
        <f aca="false">'SALES Raw'!E2131*$H$4</f>
        <v>3.78947368421053</v>
      </c>
      <c r="G3186" s="19" t="n">
        <f aca="false">'SALES Raw'!F2131*$H$4</f>
        <v>682.648421052632</v>
      </c>
      <c r="H3186" s="18" t="str">
        <f aca="false">'SALES Raw'!A2131</f>
        <v>114 - IL online</v>
      </c>
    </row>
    <row r="3187" customFormat="false" ht="15" hidden="false" customHeight="false" outlineLevel="0" collapsed="false">
      <c r="A3187" s="18" t="str">
        <f aca="false">'SALES Raw'!G2132</f>
        <v/>
      </c>
      <c r="B3187" s="18" t="str">
        <f aca="false">'SALES Raw'!B2132</f>
        <v>11UG XS</v>
      </c>
      <c r="C3187" s="18" t="str">
        <f aca="false">'SALES Raw'!H2132</f>
        <v>11UG XS</v>
      </c>
      <c r="D3187" s="19" t="n">
        <f aca="false">'SALES Raw'!C2132</f>
        <v>1</v>
      </c>
      <c r="E3187" s="19" t="n">
        <f aca="false">'SALES Raw'!D2132</f>
        <v>186.36</v>
      </c>
      <c r="F3187" s="19" t="n">
        <f aca="false">'SALES Raw'!E2132*$H$4</f>
        <v>3.78947368421053</v>
      </c>
      <c r="G3187" s="19" t="n">
        <f aca="false">'SALES Raw'!F2132*$H$4</f>
        <v>682.635789473684</v>
      </c>
      <c r="H3187" s="18" t="str">
        <f aca="false">'SALES Raw'!A2132</f>
        <v>114 - IL online</v>
      </c>
    </row>
    <row r="3188" customFormat="false" ht="15" hidden="false" customHeight="false" outlineLevel="0" collapsed="false">
      <c r="A3188" s="18" t="n">
        <f aca="false">'SALES Raw'!G2148</f>
        <v>4408131</v>
      </c>
      <c r="B3188" s="18" t="str">
        <f aca="false">'SALES Raw'!B2148</f>
        <v>15W L</v>
      </c>
      <c r="C3188" s="18" t="str">
        <f aca="false">'SALES Raw'!H2148</f>
        <v>15W L חגורת צלעות לאשה</v>
      </c>
      <c r="D3188" s="19" t="n">
        <f aca="false">'SALES Raw'!C2148</f>
        <v>3</v>
      </c>
      <c r="E3188" s="19" t="n">
        <f aca="false">'SALES Raw'!D2148</f>
        <v>709.93</v>
      </c>
      <c r="F3188" s="19" t="n">
        <f aca="false">'SALES Raw'!E2148*$H$4</f>
        <v>3.78947368421053</v>
      </c>
      <c r="G3188" s="19" t="n">
        <f aca="false">'SALES Raw'!F2148*$H$4</f>
        <v>963.107368421053</v>
      </c>
      <c r="H3188" s="18" t="str">
        <f aca="false">'SALES Raw'!A2148</f>
        <v>114 - IL online</v>
      </c>
    </row>
    <row r="3189" customFormat="false" ht="15" hidden="false" customHeight="false" outlineLevel="0" collapsed="false">
      <c r="A3189" s="18" t="n">
        <f aca="false">'SALES Raw'!G2153</f>
        <v>4408232</v>
      </c>
      <c r="B3189" s="18" t="str">
        <f aca="false">'SALES Raw'!B2153</f>
        <v>16 XXL</v>
      </c>
      <c r="C3189" s="18" t="str">
        <f aca="false">'SALES Raw'!H2153</f>
        <v>16 XXL חגורת הריון</v>
      </c>
      <c r="D3189" s="19" t="n">
        <f aca="false">'SALES Raw'!C2153</f>
        <v>3</v>
      </c>
      <c r="E3189" s="19" t="n">
        <f aca="false">'SALES Raw'!D2153</f>
        <v>651.88</v>
      </c>
      <c r="F3189" s="19" t="n">
        <f aca="false">'SALES Raw'!E2153*$H$4</f>
        <v>3.78947368421053</v>
      </c>
      <c r="G3189" s="19" t="n">
        <f aca="false">'SALES Raw'!F2153*$H$4</f>
        <v>837.877894736842</v>
      </c>
      <c r="H3189" s="18" t="str">
        <f aca="false">'SALES Raw'!A2153</f>
        <v>114 - IL online</v>
      </c>
    </row>
    <row r="3190" customFormat="false" ht="15" hidden="false" customHeight="false" outlineLevel="0" collapsed="false">
      <c r="A3190" s="18" t="n">
        <f aca="false">'SALES Raw'!G2163</f>
        <v>4408275</v>
      </c>
      <c r="B3190" s="18" t="str">
        <f aca="false">'SALES Raw'!B2163</f>
        <v>202 0</v>
      </c>
      <c r="C3190" s="18" t="str">
        <f aca="false">'SALES Raw'!H2163</f>
        <v>202  ONE SIZE חבק יד</v>
      </c>
      <c r="D3190" s="19" t="n">
        <f aca="false">'SALES Raw'!C2163</f>
        <v>0</v>
      </c>
      <c r="E3190" s="19" t="n">
        <f aca="false">'SALES Raw'!D2163</f>
        <v>0</v>
      </c>
      <c r="F3190" s="19" t="n">
        <f aca="false">'SALES Raw'!E2163*$H$4</f>
        <v>3.78947368421053</v>
      </c>
      <c r="G3190" s="19" t="n">
        <f aca="false">'SALES Raw'!F2163*$H$4</f>
        <v>299.418947368421</v>
      </c>
      <c r="H3190" s="18" t="str">
        <f aca="false">'SALES Raw'!A2163</f>
        <v>114 - IL online</v>
      </c>
    </row>
    <row r="3191" customFormat="false" ht="15" hidden="false" customHeight="false" outlineLevel="0" collapsed="false">
      <c r="A3191" s="18" t="n">
        <f aca="false">'SALES Raw'!G2193</f>
        <v>4415000</v>
      </c>
      <c r="B3191" s="18" t="str">
        <f aca="false">'SALES Raw'!B2193</f>
        <v>26 L</v>
      </c>
      <c r="C3191" s="18" t="str">
        <f aca="false">'SALES Raw'!H2193</f>
        <v>26 L סד ליד דו צדדי לאחר שבר</v>
      </c>
      <c r="D3191" s="19" t="n">
        <f aca="false">'SALES Raw'!C2193</f>
        <v>8</v>
      </c>
      <c r="E3191" s="19" t="n">
        <f aca="false">'SALES Raw'!D2193</f>
        <v>1373.13</v>
      </c>
      <c r="F3191" s="19" t="n">
        <f aca="false">'SALES Raw'!E2193*$H$4</f>
        <v>3.78947368421053</v>
      </c>
      <c r="G3191" s="19" t="n">
        <f aca="false">'SALES Raw'!F2193*$H$4</f>
        <v>706.193684210526</v>
      </c>
      <c r="H3191" s="18" t="str">
        <f aca="false">'SALES Raw'!A2193</f>
        <v>114 - IL online</v>
      </c>
    </row>
    <row r="3192" customFormat="false" ht="15" hidden="false" customHeight="false" outlineLevel="0" collapsed="false">
      <c r="A3192" s="18" t="n">
        <f aca="false">'SALES Raw'!G2195</f>
        <v>4415002</v>
      </c>
      <c r="B3192" s="18" t="str">
        <f aca="false">'SALES Raw'!B2195</f>
        <v>26 S</v>
      </c>
      <c r="C3192" s="18" t="str">
        <f aca="false">'SALES Raw'!H2195</f>
        <v>26 S סד ליד דו צדדי לאחר שבר</v>
      </c>
      <c r="D3192" s="19" t="n">
        <f aca="false">'SALES Raw'!C2195</f>
        <v>7</v>
      </c>
      <c r="E3192" s="19" t="n">
        <f aca="false">'SALES Raw'!D2195</f>
        <v>1205.4</v>
      </c>
      <c r="F3192" s="19" t="n">
        <f aca="false">'SALES Raw'!E2195*$H$4</f>
        <v>3.78947368421053</v>
      </c>
      <c r="G3192" s="19" t="n">
        <f aca="false">'SALES Raw'!F2195*$H$4</f>
        <v>706.206315789474</v>
      </c>
      <c r="H3192" s="18" t="str">
        <f aca="false">'SALES Raw'!A2195</f>
        <v>114 - IL online</v>
      </c>
    </row>
    <row r="3193" customFormat="false" ht="15" hidden="false" customHeight="false" outlineLevel="0" collapsed="false">
      <c r="A3193" s="18" t="n">
        <f aca="false">'SALES Raw'!G2198</f>
        <v>4415004</v>
      </c>
      <c r="B3193" s="18" t="str">
        <f aca="false">'SALES Raw'!B2198</f>
        <v>26 XXL</v>
      </c>
      <c r="C3193" s="18" t="str">
        <f aca="false">'SALES Raw'!H2198</f>
        <v>26 XXL סד ליד דו צדדי לאחר שבר</v>
      </c>
      <c r="D3193" s="19" t="n">
        <f aca="false">'SALES Raw'!C2198</f>
        <v>1</v>
      </c>
      <c r="E3193" s="19" t="n">
        <f aca="false">'SALES Raw'!D2198</f>
        <v>158.41</v>
      </c>
      <c r="F3193" s="19" t="n">
        <f aca="false">'SALES Raw'!E2198*$H$4</f>
        <v>3.78947368421053</v>
      </c>
      <c r="G3193" s="19" t="n">
        <f aca="false">'SALES Raw'!F2198*$H$4</f>
        <v>651.89052631579</v>
      </c>
      <c r="H3193" s="18" t="str">
        <f aca="false">'SALES Raw'!A2198</f>
        <v>114 - IL online</v>
      </c>
    </row>
    <row r="3194" customFormat="false" ht="15" hidden="false" customHeight="false" outlineLevel="0" collapsed="false">
      <c r="A3194" s="18" t="str">
        <f aca="false">'SALES Raw'!G2207</f>
        <v/>
      </c>
      <c r="B3194" s="18" t="str">
        <f aca="false">'SALES Raw'!B2207</f>
        <v>267LC-S-M</v>
      </c>
      <c r="C3194" s="18" t="str">
        <f aca="false">'SALES Raw'!H2207</f>
        <v>267LC-S-M</v>
      </c>
      <c r="D3194" s="19" t="n">
        <f aca="false">'SALES Raw'!C2207</f>
        <v>0</v>
      </c>
      <c r="E3194" s="19" t="n">
        <f aca="false">'SALES Raw'!D2207</f>
        <v>0</v>
      </c>
      <c r="F3194" s="19" t="n">
        <f aca="false">'SALES Raw'!E2207*$H$4</f>
        <v>3.78947368421053</v>
      </c>
      <c r="G3194" s="19" t="n">
        <f aca="false">'SALES Raw'!F2207*$H$4</f>
        <v>744.732631578947</v>
      </c>
      <c r="H3194" s="18" t="str">
        <f aca="false">'SALES Raw'!A2207</f>
        <v>114 - IL online</v>
      </c>
    </row>
    <row r="3195" customFormat="false" ht="15" hidden="false" customHeight="false" outlineLevel="0" collapsed="false">
      <c r="A3195" s="18" t="str">
        <f aca="false">'SALES Raw'!G2219</f>
        <v/>
      </c>
      <c r="B3195" s="18" t="str">
        <f aca="false">'SALES Raw'!B2219</f>
        <v>30 XXL</v>
      </c>
      <c r="C3195" s="18" t="str">
        <f aca="false">'SALES Raw'!H2219</f>
        <v>30 XXL</v>
      </c>
      <c r="D3195" s="19" t="n">
        <f aca="false">'SALES Raw'!C2219</f>
        <v>0</v>
      </c>
      <c r="E3195" s="19" t="n">
        <f aca="false">'SALES Raw'!D2219</f>
        <v>0</v>
      </c>
      <c r="F3195" s="19" t="n">
        <f aca="false">'SALES Raw'!E2219*$H$4</f>
        <v>3.78947368421053</v>
      </c>
      <c r="G3195" s="19" t="n">
        <f aca="false">'SALES Raw'!F2219*$H$4</f>
        <v>425.305263157895</v>
      </c>
      <c r="H3195" s="18" t="str">
        <f aca="false">'SALES Raw'!A2219</f>
        <v>114 - IL online</v>
      </c>
    </row>
    <row r="3196" customFormat="false" ht="15" hidden="false" customHeight="false" outlineLevel="0" collapsed="false">
      <c r="A3196" s="18" t="n">
        <f aca="false">'SALES Raw'!G2230</f>
        <v>4413020</v>
      </c>
      <c r="B3196" s="18" t="str">
        <f aca="false">'SALES Raw'!B2230</f>
        <v>303-41-42</v>
      </c>
      <c r="C3196" s="18" t="str">
        <f aca="false">'SALES Raw'!H2230</f>
        <v>303 41-42 מדרסי סיליק.לח.סכרת</v>
      </c>
      <c r="D3196" s="19" t="n">
        <f aca="false">'SALES Raw'!C2230</f>
        <v>2</v>
      </c>
      <c r="E3196" s="19" t="n">
        <f aca="false">'SALES Raw'!D2230</f>
        <v>428.64</v>
      </c>
      <c r="F3196" s="19" t="n">
        <f aca="false">'SALES Raw'!E2230*$H$4</f>
        <v>3.78947368421053</v>
      </c>
      <c r="G3196" s="19" t="n">
        <f aca="false">'SALES Raw'!F2230*$H$4</f>
        <v>758.008421052632</v>
      </c>
      <c r="H3196" s="18" t="str">
        <f aca="false">'SALES Raw'!A2230</f>
        <v>114 - IL online</v>
      </c>
    </row>
    <row r="3197" customFormat="false" ht="15" hidden="false" customHeight="false" outlineLevel="0" collapsed="false">
      <c r="A3197" s="18" t="str">
        <f aca="false">'SALES Raw'!G2231</f>
        <v/>
      </c>
      <c r="B3197" s="18" t="str">
        <f aca="false">'SALES Raw'!B2231</f>
        <v>303-43-44</v>
      </c>
      <c r="C3197" s="18" t="str">
        <f aca="false">'SALES Raw'!H2231</f>
        <v>303-43-44</v>
      </c>
      <c r="D3197" s="19" t="n">
        <f aca="false">'SALES Raw'!C2231</f>
        <v>4</v>
      </c>
      <c r="E3197" s="19" t="n">
        <f aca="false">'SALES Raw'!D2231</f>
        <v>782.27</v>
      </c>
      <c r="F3197" s="19" t="n">
        <f aca="false">'SALES Raw'!E2231*$H$4</f>
        <v>3.78947368421053</v>
      </c>
      <c r="G3197" s="19" t="n">
        <f aca="false">'SALES Raw'!F2231*$H$4</f>
        <v>565.035789473684</v>
      </c>
      <c r="H3197" s="18" t="str">
        <f aca="false">'SALES Raw'!A2231</f>
        <v>114 - IL online</v>
      </c>
    </row>
    <row r="3198" customFormat="false" ht="15" hidden="false" customHeight="false" outlineLevel="0" collapsed="false">
      <c r="A3198" s="18" t="n">
        <f aca="false">'SALES Raw'!G2334</f>
        <v>4413527</v>
      </c>
      <c r="B3198" s="18" t="str">
        <f aca="false">'SALES Raw'!B2334</f>
        <v>379WRK-35-38</v>
      </c>
      <c r="C3198" s="18" t="str">
        <f aca="false">'SALES Raw'!H2334</f>
        <v>35-38 מדרסי אפיק ג'ל עבודה</v>
      </c>
      <c r="D3198" s="19" t="n">
        <f aca="false">'SALES Raw'!C2334</f>
        <v>5</v>
      </c>
      <c r="E3198" s="19" t="n">
        <f aca="false">'SALES Raw'!D2334</f>
        <v>953.72</v>
      </c>
      <c r="F3198" s="19" t="n">
        <f aca="false">'SALES Raw'!E2334*$H$4</f>
        <v>3.78947368421053</v>
      </c>
      <c r="G3198" s="19" t="n">
        <f aca="false">'SALES Raw'!F2334*$H$4</f>
        <v>785.103157894737</v>
      </c>
      <c r="H3198" s="18" t="str">
        <f aca="false">'SALES Raw'!A2334</f>
        <v>114 - IL online</v>
      </c>
    </row>
    <row r="3199" customFormat="false" ht="15" hidden="false" customHeight="false" outlineLevel="0" collapsed="false">
      <c r="A3199" s="18" t="n">
        <f aca="false">'SALES Raw'!G2419</f>
        <v>4413101</v>
      </c>
      <c r="B3199" s="18" t="str">
        <f aca="false">'SALES Raw'!B2419</f>
        <v>45E S</v>
      </c>
      <c r="C3199" s="18" t="str">
        <f aca="false">'SALES Raw'!H2419</f>
        <v>45E Sמגן ברך ארוך לבן</v>
      </c>
      <c r="D3199" s="19" t="n">
        <f aca="false">'SALES Raw'!C2419</f>
        <v>2</v>
      </c>
      <c r="E3199" s="19" t="n">
        <f aca="false">'SALES Raw'!D2419</f>
        <v>108.34</v>
      </c>
      <c r="F3199" s="19" t="n">
        <f aca="false">'SALES Raw'!E2419*$H$4</f>
        <v>3.78947368421053</v>
      </c>
      <c r="G3199" s="19" t="n">
        <f aca="false">'SALES Raw'!F2419*$H$4</f>
        <v>248.033684210526</v>
      </c>
      <c r="H3199" s="18" t="str">
        <f aca="false">'SALES Raw'!A2419</f>
        <v>114 - IL online</v>
      </c>
    </row>
    <row r="3200" customFormat="false" ht="15" hidden="false" customHeight="false" outlineLevel="0" collapsed="false">
      <c r="A3200" s="18" t="str">
        <f aca="false">'SALES Raw'!G2438</f>
        <v/>
      </c>
      <c r="B3200" s="18" t="str">
        <f aca="false">'SALES Raw'!B2438</f>
        <v>49PS M</v>
      </c>
      <c r="C3200" s="18" t="str">
        <f aca="false">'SALES Raw'!H2438</f>
        <v>49PS M</v>
      </c>
      <c r="D3200" s="19" t="n">
        <f aca="false">'SALES Raw'!C2438</f>
        <v>1</v>
      </c>
      <c r="E3200" s="19" t="n">
        <f aca="false">'SALES Raw'!D2438</f>
        <v>241.44</v>
      </c>
      <c r="F3200" s="19" t="n">
        <f aca="false">'SALES Raw'!E2438*$H$4</f>
        <v>3.78947368421053</v>
      </c>
      <c r="G3200" s="19" t="n">
        <f aca="false">'SALES Raw'!F2438*$H$4</f>
        <v>914.93052631579</v>
      </c>
      <c r="H3200" s="18" t="str">
        <f aca="false">'SALES Raw'!A2438</f>
        <v>114 - IL online</v>
      </c>
    </row>
    <row r="3201" customFormat="false" ht="15" hidden="false" customHeight="false" outlineLevel="0" collapsed="false">
      <c r="A3201" s="18" t="n">
        <f aca="false">'SALES Raw'!G2448</f>
        <v>4413124</v>
      </c>
      <c r="B3201" s="18" t="str">
        <f aca="false">'SALES Raw'!B2448</f>
        <v>55 XL</v>
      </c>
      <c r="C3201" s="18" t="str">
        <f aca="false">'SALES Raw'!H2448</f>
        <v>55 XL מתלה אשכים לספורטאים</v>
      </c>
      <c r="D3201" s="19" t="n">
        <f aca="false">'SALES Raw'!C2448</f>
        <v>0</v>
      </c>
      <c r="E3201" s="19" t="n">
        <f aca="false">'SALES Raw'!D2448</f>
        <v>0</v>
      </c>
      <c r="F3201" s="19" t="n">
        <f aca="false">'SALES Raw'!E2448*$H$4</f>
        <v>3.78947368421053</v>
      </c>
      <c r="G3201" s="19" t="n">
        <f aca="false">'SALES Raw'!F2448*$H$4</f>
        <v>558.48</v>
      </c>
      <c r="H3201" s="18" t="str">
        <f aca="false">'SALES Raw'!A2448</f>
        <v>114 - IL online</v>
      </c>
    </row>
    <row r="3202" customFormat="false" ht="15" hidden="false" customHeight="false" outlineLevel="0" collapsed="false">
      <c r="A3202" s="18" t="str">
        <f aca="false">'SALES Raw'!G2449</f>
        <v/>
      </c>
      <c r="B3202" s="18" t="str">
        <f aca="false">'SALES Raw'!B2449</f>
        <v>55 XXL</v>
      </c>
      <c r="C3202" s="18" t="str">
        <f aca="false">'SALES Raw'!H2449</f>
        <v>55 XXL</v>
      </c>
      <c r="D3202" s="19" t="n">
        <f aca="false">'SALES Raw'!C2449</f>
        <v>4</v>
      </c>
      <c r="E3202" s="19" t="n">
        <f aca="false">'SALES Raw'!D2449</f>
        <v>762.31</v>
      </c>
      <c r="F3202" s="19" t="n">
        <f aca="false">'SALES Raw'!E2449*$H$4</f>
        <v>3.78947368421053</v>
      </c>
      <c r="G3202" s="19" t="n">
        <f aca="false">'SALES Raw'!F2449*$H$4</f>
        <v>577.743157894737</v>
      </c>
      <c r="H3202" s="18" t="str">
        <f aca="false">'SALES Raw'!A2449</f>
        <v>114 - IL online</v>
      </c>
    </row>
    <row r="3203" customFormat="false" ht="15" hidden="false" customHeight="false" outlineLevel="0" collapsed="false">
      <c r="A3203" s="18" t="n">
        <f aca="false">'SALES Raw'!G2458</f>
        <v>4408078</v>
      </c>
      <c r="B3203" s="18" t="str">
        <f aca="false">'SALES Raw'!B2458</f>
        <v>59L XL</v>
      </c>
      <c r="C3203" s="18" t="str">
        <f aca="false">'SALES Raw'!H2458</f>
        <v>59L XLחגורת שבר לצד שמאל</v>
      </c>
      <c r="D3203" s="19" t="n">
        <f aca="false">'SALES Raw'!C2458</f>
        <v>1</v>
      </c>
      <c r="E3203" s="19" t="n">
        <f aca="false">'SALES Raw'!D2458</f>
        <v>288.06</v>
      </c>
      <c r="F3203" s="19" t="n">
        <f aca="false">'SALES Raw'!E2458*$H$4</f>
        <v>3.78947368421053</v>
      </c>
      <c r="G3203" s="19" t="n">
        <f aca="false">'SALES Raw'!F2458*$H$4</f>
        <v>1155.82736842105</v>
      </c>
      <c r="H3203" s="18" t="str">
        <f aca="false">'SALES Raw'!A2458</f>
        <v>114 - IL online</v>
      </c>
    </row>
    <row r="3204" customFormat="false" ht="15" hidden="false" customHeight="false" outlineLevel="0" collapsed="false">
      <c r="A3204" s="18" t="str">
        <f aca="false">'SALES Raw'!G2467</f>
        <v/>
      </c>
      <c r="B3204" s="18" t="str">
        <f aca="false">'SALES Raw'!B2467</f>
        <v>59LB L</v>
      </c>
      <c r="C3204" s="18" t="str">
        <f aca="false">'SALES Raw'!H2467</f>
        <v>59LB L</v>
      </c>
      <c r="D3204" s="19" t="n">
        <f aca="false">'SALES Raw'!C2467</f>
        <v>4</v>
      </c>
      <c r="E3204" s="19" t="n">
        <f aca="false">'SALES Raw'!D2467</f>
        <v>1270.87</v>
      </c>
      <c r="F3204" s="19" t="n">
        <f aca="false">'SALES Raw'!E2467*$H$4</f>
        <v>3.78947368421053</v>
      </c>
      <c r="G3204" s="19" t="n">
        <f aca="false">'SALES Raw'!F2467*$H$4</f>
        <v>1220.04631578947</v>
      </c>
      <c r="H3204" s="18" t="str">
        <f aca="false">'SALES Raw'!A2467</f>
        <v>114 - IL online</v>
      </c>
    </row>
    <row r="3205" customFormat="false" ht="15" hidden="false" customHeight="false" outlineLevel="0" collapsed="false">
      <c r="A3205" s="18" t="str">
        <f aca="false">'SALES Raw'!G2482</f>
        <v/>
      </c>
      <c r="B3205" s="18" t="str">
        <f aca="false">'SALES Raw'!B2482</f>
        <v>60B XL</v>
      </c>
      <c r="C3205" s="18" t="str">
        <f aca="false">'SALES Raw'!H2482</f>
        <v>60B XL</v>
      </c>
      <c r="D3205" s="19" t="n">
        <f aca="false">'SALES Raw'!C2482</f>
        <v>0</v>
      </c>
      <c r="E3205" s="19" t="n">
        <f aca="false">'SALES Raw'!D2482</f>
        <v>0</v>
      </c>
      <c r="F3205" s="19" t="n">
        <f aca="false">'SALES Raw'!E2482*$H$4</f>
        <v>3.78947368421053</v>
      </c>
      <c r="G3205" s="19" t="n">
        <f aca="false">'SALES Raw'!F2482*$H$4</f>
        <v>328.762105263158</v>
      </c>
      <c r="H3205" s="18" t="str">
        <f aca="false">'SALES Raw'!A2482</f>
        <v>114 - IL online</v>
      </c>
    </row>
    <row r="3206" customFormat="false" ht="15" hidden="false" customHeight="false" outlineLevel="0" collapsed="false">
      <c r="A3206" s="18" t="str">
        <f aca="false">'SALES Raw'!G2494</f>
        <v/>
      </c>
      <c r="B3206" s="18" t="str">
        <f aca="false">'SALES Raw'!B2494</f>
        <v>74-S-M</v>
      </c>
      <c r="C3206" s="18" t="str">
        <f aca="false">'SALES Raw'!H2494</f>
        <v>74-S-M</v>
      </c>
      <c r="D3206" s="19" t="n">
        <f aca="false">'SALES Raw'!C2494</f>
        <v>3</v>
      </c>
      <c r="E3206" s="19" t="n">
        <f aca="false">'SALES Raw'!D2494</f>
        <v>931.76</v>
      </c>
      <c r="F3206" s="19" t="n">
        <f aca="false">'SALES Raw'!E2494*$H$4</f>
        <v>3.78947368421053</v>
      </c>
      <c r="G3206" s="19" t="n">
        <f aca="false">'SALES Raw'!F2494*$H$4</f>
        <v>1288.00421052632</v>
      </c>
      <c r="H3206" s="18" t="str">
        <f aca="false">'SALES Raw'!A2494</f>
        <v>114 - IL online</v>
      </c>
    </row>
    <row r="3207" customFormat="false" ht="15" hidden="false" customHeight="false" outlineLevel="0" collapsed="false">
      <c r="A3207" s="18" t="n">
        <f aca="false">'SALES Raw'!G2497</f>
        <v>4413126</v>
      </c>
      <c r="B3207" s="18" t="str">
        <f aca="false">'SALES Raw'!B2497</f>
        <v>75 S</v>
      </c>
      <c r="C3207" s="18" t="str">
        <f aca="false">'SALES Raw'!H2497</f>
        <v>75 Sמיישר כתף יציב יישור גב צר</v>
      </c>
      <c r="D3207" s="19" t="n">
        <f aca="false">'SALES Raw'!C2497</f>
        <v>4</v>
      </c>
      <c r="E3207" s="19" t="n">
        <f aca="false">'SALES Raw'!D2497</f>
        <v>1126.81</v>
      </c>
      <c r="F3207" s="19" t="n">
        <f aca="false">'SALES Raw'!E2497*$H$4</f>
        <v>3.78947368421053</v>
      </c>
      <c r="G3207" s="19" t="n">
        <f aca="false">'SALES Raw'!F2497*$H$4</f>
        <v>1067.49473684211</v>
      </c>
      <c r="H3207" s="18" t="str">
        <f aca="false">'SALES Raw'!A2497</f>
        <v>114 - IL online</v>
      </c>
    </row>
    <row r="3208" customFormat="false" ht="15" hidden="false" customHeight="false" outlineLevel="0" collapsed="false">
      <c r="A3208" s="18" t="str">
        <f aca="false">'SALES Raw'!G2499</f>
        <v/>
      </c>
      <c r="B3208" s="18" t="str">
        <f aca="false">'SALES Raw'!B2499</f>
        <v>75 XS</v>
      </c>
      <c r="C3208" s="18" t="str">
        <f aca="false">'SALES Raw'!H2499</f>
        <v>75 XS</v>
      </c>
      <c r="D3208" s="19" t="n">
        <f aca="false">'SALES Raw'!C2499</f>
        <v>2</v>
      </c>
      <c r="E3208" s="19" t="n">
        <f aca="false">'SALES Raw'!D2499</f>
        <v>800.62</v>
      </c>
      <c r="F3208" s="19" t="n">
        <f aca="false">'SALES Raw'!E2499*$H$4</f>
        <v>3.78947368421053</v>
      </c>
      <c r="G3208" s="19" t="n">
        <f aca="false">'SALES Raw'!F2499*$H$4</f>
        <v>1048.77473684211</v>
      </c>
      <c r="H3208" s="18" t="str">
        <f aca="false">'SALES Raw'!A2499</f>
        <v>114 - IL online</v>
      </c>
    </row>
    <row r="3209" customFormat="false" ht="15" hidden="false" customHeight="false" outlineLevel="0" collapsed="false">
      <c r="A3209" s="18" t="n">
        <f aca="false">'SALES Raw'!G2541</f>
        <v>4413175</v>
      </c>
      <c r="B3209" s="18" t="str">
        <f aca="false">'SALES Raw'!B2541</f>
        <v>85+ M</v>
      </c>
      <c r="C3209" s="18" t="str">
        <f aca="false">'SALES Raw'!H2541</f>
        <v>85+ Mמתלה ליד)כיס(+רצועת חיזוק</v>
      </c>
      <c r="D3209" s="19" t="n">
        <f aca="false">'SALES Raw'!C2541</f>
        <v>15</v>
      </c>
      <c r="E3209" s="19" t="n">
        <f aca="false">'SALES Raw'!D2541</f>
        <v>2455.27</v>
      </c>
      <c r="F3209" s="19" t="n">
        <f aca="false">'SALES Raw'!E2541*$H$4</f>
        <v>3.78947368421053</v>
      </c>
      <c r="G3209" s="19" t="n">
        <f aca="false">'SALES Raw'!F2541*$H$4</f>
        <v>626.778947368421</v>
      </c>
      <c r="H3209" s="18" t="str">
        <f aca="false">'SALES Raw'!A2541</f>
        <v>114 - IL online</v>
      </c>
    </row>
    <row r="3210" customFormat="false" ht="15" hidden="false" customHeight="false" outlineLevel="0" collapsed="false">
      <c r="A3210" s="18" t="str">
        <f aca="false">'SALES Raw'!G2564</f>
        <v/>
      </c>
      <c r="B3210" s="18" t="str">
        <f aca="false">'SALES Raw'!B2564</f>
        <v>88R- L-XL</v>
      </c>
      <c r="C3210" s="18" t="str">
        <f aca="false">'SALES Raw'!H2564</f>
        <v>88R- L-XL</v>
      </c>
      <c r="D3210" s="19" t="n">
        <f aca="false">'SALES Raw'!C2564</f>
        <v>5</v>
      </c>
      <c r="E3210" s="19" t="n">
        <f aca="false">'SALES Raw'!D2564</f>
        <v>2557.65</v>
      </c>
      <c r="F3210" s="19" t="n">
        <f aca="false">'SALES Raw'!E2564*$H$4</f>
        <v>3.78947368421053</v>
      </c>
      <c r="G3210" s="19" t="n">
        <f aca="false">'SALES Raw'!F2564*$H$4</f>
        <v>1878.37894736842</v>
      </c>
      <c r="H3210" s="18" t="str">
        <f aca="false">'SALES Raw'!A2564</f>
        <v>114 - IL online</v>
      </c>
    </row>
    <row r="3211" customFormat="false" ht="15" hidden="false" customHeight="false" outlineLevel="0" collapsed="false">
      <c r="A3211" s="18" t="n">
        <f aca="false">'SALES Raw'!G2577</f>
        <v>4413144</v>
      </c>
      <c r="B3211" s="18" t="str">
        <f aca="false">'SALES Raw'!B2577</f>
        <v>95 XXL</v>
      </c>
      <c r="C3211" s="18" t="str">
        <f aca="false">'SALES Raw'!H2577</f>
        <v>95 XXL מגן מרפק רגיל לבן</v>
      </c>
      <c r="D3211" s="19" t="n">
        <f aca="false">'SALES Raw'!C2577</f>
        <v>0</v>
      </c>
      <c r="E3211" s="19" t="n">
        <f aca="false">'SALES Raw'!D2577</f>
        <v>0</v>
      </c>
      <c r="F3211" s="19" t="n">
        <f aca="false">'SALES Raw'!E2577*$H$4</f>
        <v>3.78947368421053</v>
      </c>
      <c r="G3211" s="19" t="n">
        <f aca="false">'SALES Raw'!F2577*$H$4</f>
        <v>96.1768421052632</v>
      </c>
      <c r="H3211" s="18" t="str">
        <f aca="false">'SALES Raw'!A2577</f>
        <v>114 - IL online</v>
      </c>
    </row>
    <row r="3212" customFormat="false" ht="15" hidden="false" customHeight="false" outlineLevel="0" collapsed="false">
      <c r="A3212" s="18" t="n">
        <f aca="false">'SALES Raw'!G2580</f>
        <v>4413502</v>
      </c>
      <c r="B3212" s="18" t="str">
        <f aca="false">'SALES Raw'!B2580</f>
        <v>95B S</v>
      </c>
      <c r="C3212" s="18" t="str">
        <f aca="false">'SALES Raw'!H2580</f>
        <v>95B S מגן מרפק שחור</v>
      </c>
      <c r="D3212" s="19" t="n">
        <f aca="false">'SALES Raw'!C2580</f>
        <v>1</v>
      </c>
      <c r="E3212" s="19" t="n">
        <f aca="false">'SALES Raw'!D2580</f>
        <v>55.85</v>
      </c>
      <c r="F3212" s="19" t="n">
        <f aca="false">'SALES Raw'!E2580*$H$4</f>
        <v>3.78947368421053</v>
      </c>
      <c r="G3212" s="19" t="n">
        <f aca="false">'SALES Raw'!F2580*$H$4</f>
        <v>211.629473684211</v>
      </c>
      <c r="H3212" s="18" t="str">
        <f aca="false">'SALES Raw'!A2580</f>
        <v>114 - IL online</v>
      </c>
    </row>
    <row r="3213" customFormat="false" ht="15" hidden="false" customHeight="false" outlineLevel="0" collapsed="false">
      <c r="A3213" s="18" t="n">
        <f aca="false">'SALES Raw'!G2586</f>
        <v>4413367</v>
      </c>
      <c r="B3213" s="18" t="str">
        <f aca="false">'SALES Raw'!B2586</f>
        <v>95C XL</v>
      </c>
      <c r="C3213" s="18" t="str">
        <f aca="false">'SALES Raw'!H2586</f>
        <v>95C XL'מגן מרפק בז</v>
      </c>
      <c r="D3213" s="19" t="n">
        <f aca="false">'SALES Raw'!C2586</f>
        <v>0</v>
      </c>
      <c r="E3213" s="19" t="n">
        <f aca="false">'SALES Raw'!D2586</f>
        <v>0</v>
      </c>
      <c r="F3213" s="19" t="n">
        <f aca="false">'SALES Raw'!E2586*$H$4</f>
        <v>3.78947368421053</v>
      </c>
      <c r="G3213" s="19" t="n">
        <f aca="false">'SALES Raw'!F2586*$H$4</f>
        <v>173.103157894737</v>
      </c>
      <c r="H3213" s="18" t="str">
        <f aca="false">'SALES Raw'!A2586</f>
        <v>114 - IL online</v>
      </c>
    </row>
    <row r="3214" customFormat="false" ht="15" hidden="false" customHeight="false" outlineLevel="0" collapsed="false">
      <c r="A3214" s="18" t="n">
        <f aca="false">'SALES Raw'!G2587</f>
        <v>4413368</v>
      </c>
      <c r="B3214" s="18" t="str">
        <f aca="false">'SALES Raw'!B2587</f>
        <v>95C XS</v>
      </c>
      <c r="C3214" s="18" t="str">
        <f aca="false">'SALES Raw'!H2587</f>
        <v>95C XS'מגן מרפק בז</v>
      </c>
      <c r="D3214" s="19" t="n">
        <f aca="false">'SALES Raw'!C2587</f>
        <v>2</v>
      </c>
      <c r="E3214" s="19" t="n">
        <f aca="false">'SALES Raw'!D2587</f>
        <v>110</v>
      </c>
      <c r="F3214" s="19" t="n">
        <f aca="false">'SALES Raw'!E2587*$H$4</f>
        <v>3.78947368421053</v>
      </c>
      <c r="G3214" s="19" t="n">
        <f aca="false">'SALES Raw'!F2587*$H$4</f>
        <v>204.581052631579</v>
      </c>
      <c r="H3214" s="18" t="str">
        <f aca="false">'SALES Raw'!A2587</f>
        <v>114 - IL online</v>
      </c>
    </row>
    <row r="3215" customFormat="false" ht="15" hidden="false" customHeight="false" outlineLevel="0" collapsed="false">
      <c r="A3215" s="18" t="str">
        <f aca="false">'SALES Raw'!G2624</f>
        <v/>
      </c>
      <c r="B3215" s="18" t="str">
        <f aca="false">'SALES Raw'!B2624</f>
        <v>VMFPCN32 0</v>
      </c>
      <c r="C3215" s="18" t="str">
        <f aca="false">'SALES Raw'!H2624</f>
        <v>VMFPCN32 0</v>
      </c>
      <c r="D3215" s="19" t="n">
        <f aca="false">'SALES Raw'!C2624</f>
        <v>0</v>
      </c>
      <c r="E3215" s="19" t="n">
        <f aca="false">'SALES Raw'!D2624</f>
        <v>0</v>
      </c>
      <c r="F3215" s="19" t="n">
        <f aca="false">'SALES Raw'!E2624*$H$4</f>
        <v>3.78947368421053</v>
      </c>
      <c r="G3215" s="19" t="n">
        <f aca="false">'SALES Raw'!F2624*$H$4</f>
        <v>230.955789473684</v>
      </c>
      <c r="H3215" s="18" t="str">
        <f aca="false">'SALES Raw'!A2624</f>
        <v>114 - IL online</v>
      </c>
    </row>
    <row r="3216" customFormat="false" ht="15" hidden="false" customHeight="false" outlineLevel="0" collapsed="false">
      <c r="A3216" s="18" t="n">
        <f aca="false">'SALES Raw'!G2658</f>
        <v>4413419</v>
      </c>
      <c r="B3216" s="18" t="str">
        <f aca="false">'SALES Raw'!B2658</f>
        <v>SC39 XXL</v>
      </c>
      <c r="C3216" s="18" t="str">
        <f aca="false">'SALES Raw'!H2658</f>
        <v>SC39 XXLמגן שוק</v>
      </c>
      <c r="D3216" s="19" t="n">
        <f aca="false">'SALES Raw'!C2658</f>
        <v>5</v>
      </c>
      <c r="E3216" s="19" t="n">
        <f aca="false">'SALES Raw'!D2658</f>
        <v>1131.82</v>
      </c>
      <c r="F3216" s="19" t="n">
        <f aca="false">'SALES Raw'!E2658*$H$4</f>
        <v>3.78947368421053</v>
      </c>
      <c r="G3216" s="19" t="n">
        <f aca="false">'SALES Raw'!F2658*$H$4</f>
        <v>1048.77473684211</v>
      </c>
      <c r="H3216" s="18" t="str">
        <f aca="false">'SALES Raw'!A2658</f>
        <v>114 - IL online</v>
      </c>
    </row>
    <row r="3217" customFormat="false" ht="15" hidden="false" customHeight="false" outlineLevel="0" collapsed="false">
      <c r="A3217" s="18" t="n">
        <f aca="false">'SALES Raw'!G2714</f>
        <v>4415075</v>
      </c>
      <c r="B3217" s="18" t="str">
        <f aca="false">'SALES Raw'!B2714</f>
        <v>T28AC-L-XL</v>
      </c>
      <c r="C3217" s="18" t="str">
        <f aca="false">'SALES Raw'!H2714</f>
        <v>T28AC L-XL סד לאגודל</v>
      </c>
      <c r="D3217" s="19" t="n">
        <f aca="false">'SALES Raw'!C2714</f>
        <v>1</v>
      </c>
      <c r="E3217" s="19" t="n">
        <f aca="false">'SALES Raw'!D2714</f>
        <v>127.03</v>
      </c>
      <c r="F3217" s="19" t="n">
        <f aca="false">'SALES Raw'!E2714*$H$4</f>
        <v>3.78947368421053</v>
      </c>
      <c r="G3217" s="19" t="n">
        <f aca="false">'SALES Raw'!F2714*$H$4</f>
        <v>481.389473684211</v>
      </c>
      <c r="H3217" s="18" t="str">
        <f aca="false">'SALES Raw'!A2714</f>
        <v>114 - IL online</v>
      </c>
    </row>
    <row r="3218" customFormat="false" ht="15" hidden="false" customHeight="false" outlineLevel="0" collapsed="false">
      <c r="A3218" s="18" t="str">
        <f aca="false">'SALES Raw'!G2720</f>
        <v/>
      </c>
      <c r="B3218" s="18" t="str">
        <f aca="false">'SALES Raw'!B2720</f>
        <v>T33 XXL</v>
      </c>
      <c r="C3218" s="18" t="str">
        <f aca="false">'SALES Raw'!H2720</f>
        <v>T33 XXL</v>
      </c>
      <c r="D3218" s="19" t="n">
        <f aca="false">'SALES Raw'!C2720</f>
        <v>5</v>
      </c>
      <c r="E3218" s="19" t="n">
        <f aca="false">'SALES Raw'!D2720</f>
        <v>1138.64</v>
      </c>
      <c r="F3218" s="19" t="n">
        <f aca="false">'SALES Raw'!E2720*$H$4</f>
        <v>3.78947368421053</v>
      </c>
      <c r="G3218" s="19" t="n">
        <f aca="false">'SALES Raw'!F2720*$H$4</f>
        <v>963.094736842105</v>
      </c>
      <c r="H3218" s="18" t="str">
        <f aca="false">'SALES Raw'!A2720</f>
        <v>114 - IL online</v>
      </c>
    </row>
    <row r="3219" customFormat="false" ht="15" hidden="false" customHeight="false" outlineLevel="0" collapsed="false">
      <c r="A3219" s="18" t="str">
        <f aca="false">'SALES Raw'!G2726</f>
        <v/>
      </c>
      <c r="B3219" s="18" t="str">
        <f aca="false">'SALES Raw'!B2726</f>
        <v>T39 M</v>
      </c>
      <c r="C3219" s="18" t="str">
        <f aca="false">'SALES Raw'!H2726</f>
        <v>T39 M</v>
      </c>
      <c r="D3219" s="19" t="n">
        <f aca="false">'SALES Raw'!C2726</f>
        <v>0</v>
      </c>
      <c r="E3219" s="19" t="n">
        <f aca="false">'SALES Raw'!D2726</f>
        <v>0</v>
      </c>
      <c r="F3219" s="19" t="n">
        <f aca="false">'SALES Raw'!E2726*$H$4</f>
        <v>3.78947368421053</v>
      </c>
      <c r="G3219" s="19" t="n">
        <f aca="false">'SALES Raw'!F2726*$H$4</f>
        <v>713.696842105263</v>
      </c>
      <c r="H3219" s="18" t="str">
        <f aca="false">'SALES Raw'!A2726</f>
        <v>114 - IL online</v>
      </c>
    </row>
    <row r="3220" customFormat="false" ht="15" hidden="false" customHeight="false" outlineLevel="0" collapsed="false">
      <c r="A3220" s="18" t="n">
        <f aca="false">'SALES Raw'!G2759</f>
        <v>4422007</v>
      </c>
      <c r="B3220" s="18" t="str">
        <f aca="false">'SALES Raw'!B2759</f>
        <v>T78 XL</v>
      </c>
      <c r="C3220" s="18" t="str">
        <f aca="false">'SALES Raw'!H2759</f>
        <v>T78 XLתומך זרוע וכתף</v>
      </c>
      <c r="D3220" s="19" t="n">
        <f aca="false">'SALES Raw'!C2759</f>
        <v>4</v>
      </c>
      <c r="E3220" s="19" t="n">
        <f aca="false">'SALES Raw'!D2759</f>
        <v>1266.48</v>
      </c>
      <c r="F3220" s="19" t="n">
        <f aca="false">'SALES Raw'!E2759*$H$4</f>
        <v>3.78947368421053</v>
      </c>
      <c r="G3220" s="19" t="n">
        <f aca="false">'SALES Raw'!F2759*$H$4</f>
        <v>1113.03157894737</v>
      </c>
      <c r="H3220" s="18" t="str">
        <f aca="false">'SALES Raw'!A2759</f>
        <v>114 - IL online</v>
      </c>
    </row>
    <row r="3221" customFormat="false" ht="15" hidden="false" customHeight="false" outlineLevel="0" collapsed="false">
      <c r="A3221" s="18" t="n">
        <f aca="false">'SALES Raw'!G2798</f>
        <v>4413495</v>
      </c>
      <c r="B3221" s="18" t="str">
        <f aca="false">'SALES Raw'!B2798</f>
        <v>45B L</v>
      </c>
      <c r="C3221" s="18" t="str">
        <f aca="false">'SALES Raw'!H2798</f>
        <v>45B L מגן ברך שחור</v>
      </c>
      <c r="D3221" s="19" t="n">
        <f aca="false">'SALES Raw'!C2798</f>
        <v>6</v>
      </c>
      <c r="E3221" s="19" t="n">
        <f aca="false">'SALES Raw'!D2798</f>
        <v>335.1</v>
      </c>
      <c r="F3221" s="19" t="n">
        <f aca="false">'SALES Raw'!E2798*$H$4</f>
        <v>3.78947368421053</v>
      </c>
      <c r="G3221" s="19" t="n">
        <f aca="false">'SALES Raw'!F2798*$H$4</f>
        <v>211.642105263158</v>
      </c>
      <c r="H3221" s="18" t="str">
        <f aca="false">'SALES Raw'!A2798</f>
        <v>115-SuperPharm Online</v>
      </c>
    </row>
    <row r="3222" customFormat="false" ht="15" hidden="false" customHeight="false" outlineLevel="0" collapsed="false">
      <c r="A3222" s="18" t="n">
        <f aca="false">'SALES Raw'!G2824</f>
        <v>4413326</v>
      </c>
      <c r="B3222" s="18" t="str">
        <f aca="false">'SALES Raw'!B2824</f>
        <v>AC37 0</v>
      </c>
      <c r="C3222" s="18" t="str">
        <f aca="false">'SALES Raw'!H2824</f>
        <v>AC37 מגן קרסול נושם</v>
      </c>
      <c r="D3222" s="19" t="n">
        <f aca="false">'SALES Raw'!C2824</f>
        <v>6</v>
      </c>
      <c r="E3222" s="19" t="n">
        <f aca="false">'SALES Raw'!D2824</f>
        <v>357.87</v>
      </c>
      <c r="F3222" s="19" t="n">
        <f aca="false">'SALES Raw'!E2824*$H$4</f>
        <v>3.78947368421053</v>
      </c>
      <c r="G3222" s="19" t="n">
        <f aca="false">'SALES Raw'!F2824*$H$4</f>
        <v>226.623157894737</v>
      </c>
      <c r="H3222" s="18" t="str">
        <f aca="false">'SALES Raw'!A2824</f>
        <v>115-SuperPharm Online</v>
      </c>
    </row>
    <row r="3223" customFormat="false" ht="15" hidden="false" customHeight="false" outlineLevel="0" collapsed="false">
      <c r="A3223" s="18" t="str">
        <f aca="false">'SALES Raw'!G3197</f>
        <v/>
      </c>
      <c r="B3223" s="18" t="str">
        <f aca="false">'SALES Raw'!B3197</f>
        <v>332B XL</v>
      </c>
      <c r="C3223" s="18" t="str">
        <f aca="false">'SALES Raw'!H3197</f>
        <v>332B XL</v>
      </c>
      <c r="D3223" s="19" t="n">
        <f aca="false">'SALES Raw'!C3197</f>
        <v>0</v>
      </c>
      <c r="E3223" s="19" t="n">
        <f aca="false">'SALES Raw'!D3197</f>
        <v>0</v>
      </c>
      <c r="F3223" s="19" t="n">
        <f aca="false">'SALES Raw'!E3197*$H$4</f>
        <v>3.78947368421053</v>
      </c>
      <c r="G3223" s="19" t="n">
        <f aca="false">'SALES Raw'!F3197*$H$4</f>
        <v>225.334736842105</v>
      </c>
      <c r="H3223" s="18" t="str">
        <f aca="false">'SALES Raw'!A3197</f>
        <v>204 - Sanaflex Anatomic GREECE</v>
      </c>
    </row>
    <row r="3224" customFormat="false" ht="15" hidden="false" customHeight="false" outlineLevel="0" collapsed="false">
      <c r="A3224" s="18" t="n">
        <f aca="false">'SALES Raw'!G3562</f>
        <v>4413521</v>
      </c>
      <c r="B3224" s="18" t="str">
        <f aca="false">'SALES Raw'!B3562</f>
        <v>379MSP-39-42</v>
      </c>
      <c r="C3224" s="18" t="str">
        <f aca="false">'SALES Raw'!H3562</f>
        <v>מדרסי אפיק ג'ל מולטי ספור39-42</v>
      </c>
      <c r="D3224" s="19" t="n">
        <f aca="false">'SALES Raw'!C3562</f>
        <v>6</v>
      </c>
      <c r="E3224" s="19" t="n">
        <f aca="false">'SALES Raw'!D3562</f>
        <v>249.57</v>
      </c>
      <c r="F3224" s="19" t="n">
        <f aca="false">'SALES Raw'!E3562*$H$4</f>
        <v>3.78947368421053</v>
      </c>
      <c r="G3224" s="19" t="n">
        <f aca="false">'SALES Raw'!F3562*$H$4</f>
        <v>135.802105263158</v>
      </c>
      <c r="H3224" s="18" t="str">
        <f aca="false">'SALES Raw'!A3562</f>
        <v>207 - Salus HUNGARY</v>
      </c>
    </row>
    <row r="3225" customFormat="false" ht="15" hidden="false" customHeight="false" outlineLevel="0" collapsed="false">
      <c r="A3225" s="18" t="n">
        <f aca="false">'SALES Raw'!G3563</f>
        <v>4413522</v>
      </c>
      <c r="B3225" s="18" t="str">
        <f aca="false">'SALES Raw'!B3563</f>
        <v>379MSP-43-46</v>
      </c>
      <c r="C3225" s="18" t="str">
        <f aca="false">'SALES Raw'!H3563</f>
        <v>מדרסי אפיק ג'ל מולט.ספורט43-47</v>
      </c>
      <c r="D3225" s="19" t="n">
        <f aca="false">'SALES Raw'!C3563</f>
        <v>4</v>
      </c>
      <c r="E3225" s="19" t="n">
        <f aca="false">'SALES Raw'!D3563</f>
        <v>124.82</v>
      </c>
      <c r="F3225" s="19" t="n">
        <f aca="false">'SALES Raw'!E3563*$H$4</f>
        <v>3.78947368421053</v>
      </c>
      <c r="G3225" s="19" t="n">
        <f aca="false">'SALES Raw'!F3563*$H$4</f>
        <v>135.802105263158</v>
      </c>
      <c r="H3225" s="18" t="str">
        <f aca="false">'SALES Raw'!A3563</f>
        <v>207 - Salus HUNGARY</v>
      </c>
    </row>
    <row r="3226" customFormat="false" ht="15" hidden="false" customHeight="false" outlineLevel="0" collapsed="false">
      <c r="A3226" s="18" t="str">
        <f aca="false">'SALES Raw'!G3602</f>
        <v/>
      </c>
      <c r="B3226" s="18" t="str">
        <f aca="false">'SALES Raw'!B3602</f>
        <v>59LB L</v>
      </c>
      <c r="C3226" s="18" t="str">
        <f aca="false">'SALES Raw'!H3602</f>
        <v>59LB L</v>
      </c>
      <c r="D3226" s="19" t="n">
        <f aca="false">'SALES Raw'!C3602</f>
        <v>5</v>
      </c>
      <c r="E3226" s="19" t="n">
        <f aca="false">'SALES Raw'!D3602</f>
        <v>405.71</v>
      </c>
      <c r="F3226" s="19" t="n">
        <f aca="false">'SALES Raw'!E3602*$H$4</f>
        <v>3.78947368421053</v>
      </c>
      <c r="G3226" s="19" t="n">
        <f aca="false">'SALES Raw'!F3602*$H$4</f>
        <v>294.732631578947</v>
      </c>
      <c r="H3226" s="18" t="str">
        <f aca="false">'SALES Raw'!A3602</f>
        <v>207 - Salus HUNGARY</v>
      </c>
    </row>
    <row r="3227" customFormat="false" ht="15" hidden="false" customHeight="false" outlineLevel="0" collapsed="false">
      <c r="A3227" s="18" t="str">
        <f aca="false">'SALES Raw'!G3603</f>
        <v/>
      </c>
      <c r="B3227" s="18" t="str">
        <f aca="false">'SALES Raw'!B3603</f>
        <v>59LB M</v>
      </c>
      <c r="C3227" s="18" t="str">
        <f aca="false">'SALES Raw'!H3603</f>
        <v>59LB M</v>
      </c>
      <c r="D3227" s="19" t="n">
        <f aca="false">'SALES Raw'!C3603</f>
        <v>5</v>
      </c>
      <c r="E3227" s="19" t="n">
        <f aca="false">'SALES Raw'!D3603</f>
        <v>405.71</v>
      </c>
      <c r="F3227" s="19" t="n">
        <f aca="false">'SALES Raw'!E3603*$H$4</f>
        <v>3.78947368421053</v>
      </c>
      <c r="G3227" s="19" t="n">
        <f aca="false">'SALES Raw'!F3603*$H$4</f>
        <v>294.732631578947</v>
      </c>
      <c r="H3227" s="18" t="str">
        <f aca="false">'SALES Raw'!A3603</f>
        <v>207 - Salus HUNGARY</v>
      </c>
    </row>
    <row r="3228" customFormat="false" ht="15" hidden="false" customHeight="false" outlineLevel="0" collapsed="false">
      <c r="A3228" s="18" t="str">
        <f aca="false">'SALES Raw'!G3607</f>
        <v/>
      </c>
      <c r="B3228" s="18" t="str">
        <f aca="false">'SALES Raw'!B3607</f>
        <v>59RB L</v>
      </c>
      <c r="C3228" s="18" t="str">
        <f aca="false">'SALES Raw'!H3607</f>
        <v>59RB L</v>
      </c>
      <c r="D3228" s="19" t="n">
        <f aca="false">'SALES Raw'!C3607</f>
        <v>5</v>
      </c>
      <c r="E3228" s="19" t="n">
        <f aca="false">'SALES Raw'!D3607</f>
        <v>405.71</v>
      </c>
      <c r="F3228" s="19" t="n">
        <f aca="false">'SALES Raw'!E3607*$H$4</f>
        <v>3.78947368421053</v>
      </c>
      <c r="G3228" s="19" t="n">
        <f aca="false">'SALES Raw'!F3607*$H$4</f>
        <v>294.732631578947</v>
      </c>
      <c r="H3228" s="18" t="str">
        <f aca="false">'SALES Raw'!A3607</f>
        <v>207 - Salus HUNGARY</v>
      </c>
    </row>
    <row r="3229" customFormat="false" ht="15" hidden="false" customHeight="false" outlineLevel="0" collapsed="false">
      <c r="A3229" s="18" t="str">
        <f aca="false">'SALES Raw'!G3608</f>
        <v/>
      </c>
      <c r="B3229" s="18" t="str">
        <f aca="false">'SALES Raw'!B3608</f>
        <v>59RB M</v>
      </c>
      <c r="C3229" s="18" t="str">
        <f aca="false">'SALES Raw'!H3608</f>
        <v>59RB M</v>
      </c>
      <c r="D3229" s="19" t="n">
        <f aca="false">'SALES Raw'!C3608</f>
        <v>5</v>
      </c>
      <c r="E3229" s="19" t="n">
        <f aca="false">'SALES Raw'!D3608</f>
        <v>405.71</v>
      </c>
      <c r="F3229" s="19" t="n">
        <f aca="false">'SALES Raw'!E3608*$H$4</f>
        <v>3.78947368421053</v>
      </c>
      <c r="G3229" s="19" t="n">
        <f aca="false">'SALES Raw'!F3608*$H$4</f>
        <v>294.732631578947</v>
      </c>
      <c r="H3229" s="18" t="str">
        <f aca="false">'SALES Raw'!A3608</f>
        <v>207 - Salus HUNGARY</v>
      </c>
    </row>
    <row r="3230" customFormat="false" ht="15" hidden="false" customHeight="false" outlineLevel="0" collapsed="false">
      <c r="A3230" s="18" t="n">
        <f aca="false">'SALES Raw'!G3615</f>
        <v>4413126</v>
      </c>
      <c r="B3230" s="18" t="str">
        <f aca="false">'SALES Raw'!B3615</f>
        <v>75 S</v>
      </c>
      <c r="C3230" s="18" t="str">
        <f aca="false">'SALES Raw'!H3615</f>
        <v>75 Sמיישר כתף יציב יישור גב צר</v>
      </c>
      <c r="D3230" s="19" t="n">
        <f aca="false">'SALES Raw'!C3615</f>
        <v>2</v>
      </c>
      <c r="E3230" s="19" t="n">
        <f aca="false">'SALES Raw'!D3615</f>
        <v>123.61</v>
      </c>
      <c r="F3230" s="19" t="n">
        <f aca="false">'SALES Raw'!E3615*$H$4</f>
        <v>3.78947368421053</v>
      </c>
      <c r="G3230" s="19" t="n">
        <f aca="false">'SALES Raw'!F3615*$H$4</f>
        <v>264.707368421053</v>
      </c>
      <c r="H3230" s="18" t="str">
        <f aca="false">'SALES Raw'!A3615</f>
        <v>207 - Salus HUNGARY</v>
      </c>
    </row>
    <row r="3231" customFormat="false" ht="15" hidden="false" customHeight="false" outlineLevel="0" collapsed="false">
      <c r="A3231" s="18" t="n">
        <f aca="false">'SALES Raw'!G3808</f>
        <v>4413033</v>
      </c>
      <c r="B3231" s="18" t="str">
        <f aca="false">'SALES Raw'!B3808</f>
        <v>311 0</v>
      </c>
      <c r="C3231" s="18" t="str">
        <f aca="false">'SALES Raw'!H3808</f>
        <v>311'מדב.ג'ל למניעת שפשוף 5 יח</v>
      </c>
      <c r="D3231" s="19" t="n">
        <f aca="false">'SALES Raw'!C3808</f>
        <v>2</v>
      </c>
      <c r="E3231" s="19" t="n">
        <f aca="false">'SALES Raw'!D3808</f>
        <v>20.05</v>
      </c>
      <c r="F3231" s="19" t="n">
        <f aca="false">'SALES Raw'!E3808*$H$4</f>
        <v>3.78947368421053</v>
      </c>
      <c r="G3231" s="19" t="n">
        <f aca="false">'SALES Raw'!F3808*$H$4</f>
        <v>36.9221052631579</v>
      </c>
      <c r="H3231" s="18" t="str">
        <f aca="false">'SALES Raw'!A3808</f>
        <v>209 - Ortoprofil Prod ROMANIA</v>
      </c>
    </row>
    <row r="3232" customFormat="false" ht="15" hidden="false" customHeight="false" outlineLevel="0" collapsed="false">
      <c r="A3232" s="18" t="n">
        <f aca="false">'SALES Raw'!G3864</f>
        <v>4408220</v>
      </c>
      <c r="B3232" s="18" t="str">
        <f aca="false">'SALES Raw'!B3864</f>
        <v>078G M</v>
      </c>
      <c r="C3232" s="18" t="str">
        <f aca="false">'SALES Raw'!H3864</f>
        <v>078G-M חגורת גב אפורה</v>
      </c>
      <c r="D3232" s="19" t="n">
        <f aca="false">'SALES Raw'!C3864</f>
        <v>0</v>
      </c>
      <c r="E3232" s="19" t="n">
        <f aca="false">'SALES Raw'!D3864</f>
        <v>0</v>
      </c>
      <c r="F3232" s="19" t="n">
        <f aca="false">'SALES Raw'!E3864*$H$4</f>
        <v>3.78947368421053</v>
      </c>
      <c r="G3232" s="19" t="n">
        <f aca="false">'SALES Raw'!F3864*$H$4</f>
        <v>166.383157894737</v>
      </c>
      <c r="H3232" s="18" t="str">
        <f aca="false">'SALES Raw'!A3864</f>
        <v>210 - Oy. Ea. Ab. FINLAND</v>
      </c>
    </row>
    <row r="3233" customFormat="false" ht="15" hidden="false" customHeight="false" outlineLevel="0" collapsed="false">
      <c r="A3233" s="18" t="n">
        <f aca="false">'SALES Raw'!G3865</f>
        <v>4408219</v>
      </c>
      <c r="B3233" s="18" t="str">
        <f aca="false">'SALES Raw'!B3865</f>
        <v>078G S</v>
      </c>
      <c r="C3233" s="18" t="str">
        <f aca="false">'SALES Raw'!H3865</f>
        <v>078G-S חגורת גב אפורה</v>
      </c>
      <c r="D3233" s="19" t="n">
        <f aca="false">'SALES Raw'!C3865</f>
        <v>0</v>
      </c>
      <c r="E3233" s="19" t="n">
        <f aca="false">'SALES Raw'!D3865</f>
        <v>0</v>
      </c>
      <c r="F3233" s="19" t="n">
        <f aca="false">'SALES Raw'!E3865*$H$4</f>
        <v>3.78947368421053</v>
      </c>
      <c r="G3233" s="19" t="n">
        <f aca="false">'SALES Raw'!F3865*$H$4</f>
        <v>166.383157894737</v>
      </c>
      <c r="H3233" s="18" t="str">
        <f aca="false">'SALES Raw'!A3865</f>
        <v>210 - Oy. Ea. Ab. FINLAND</v>
      </c>
    </row>
    <row r="3234" customFormat="false" ht="15" hidden="false" customHeight="false" outlineLevel="0" collapsed="false">
      <c r="A3234" s="18" t="str">
        <f aca="false">'SALES Raw'!G3881</f>
        <v/>
      </c>
      <c r="B3234" s="18" t="str">
        <f aca="false">'SALES Raw'!B3881</f>
        <v>13 M</v>
      </c>
      <c r="C3234" s="18" t="str">
        <f aca="false">'SALES Raw'!H3881</f>
        <v>13 M</v>
      </c>
      <c r="D3234" s="19" t="n">
        <f aca="false">'SALES Raw'!C3881</f>
        <v>2</v>
      </c>
      <c r="E3234" s="19" t="n">
        <f aca="false">'SALES Raw'!D3881</f>
        <v>122.65</v>
      </c>
      <c r="F3234" s="19" t="n">
        <f aca="false">'SALES Raw'!E3881*$H$4</f>
        <v>3.78947368421053</v>
      </c>
      <c r="G3234" s="19" t="n">
        <f aca="false">'SALES Raw'!F3881*$H$4</f>
        <v>204.833684210526</v>
      </c>
      <c r="H3234" s="18" t="str">
        <f aca="false">'SALES Raw'!A3881</f>
        <v>210 - Oy. Ea. Ab. FINLAND</v>
      </c>
    </row>
    <row r="3235" customFormat="false" ht="15" hidden="false" customHeight="false" outlineLevel="0" collapsed="false">
      <c r="A3235" s="18" t="n">
        <f aca="false">'SALES Raw'!G3884</f>
        <v>4408131</v>
      </c>
      <c r="B3235" s="18" t="str">
        <f aca="false">'SALES Raw'!B3884</f>
        <v>15W L</v>
      </c>
      <c r="C3235" s="18" t="str">
        <f aca="false">'SALES Raw'!H3884</f>
        <v>15W L חגורת צלעות לאשה</v>
      </c>
      <c r="D3235" s="19" t="n">
        <f aca="false">'SALES Raw'!C3884</f>
        <v>0</v>
      </c>
      <c r="E3235" s="19" t="n">
        <f aca="false">'SALES Raw'!D3884</f>
        <v>0</v>
      </c>
      <c r="F3235" s="19" t="n">
        <f aca="false">'SALES Raw'!E3884*$H$4</f>
        <v>3.78947368421053</v>
      </c>
      <c r="G3235" s="19" t="n">
        <f aca="false">'SALES Raw'!F3884*$H$4</f>
        <v>172.054736842105</v>
      </c>
      <c r="H3235" s="18" t="str">
        <f aca="false">'SALES Raw'!A3884</f>
        <v>210 - Oy. Ea. Ab. FINLAND</v>
      </c>
    </row>
    <row r="3236" customFormat="false" ht="15" hidden="false" customHeight="false" outlineLevel="0" collapsed="false">
      <c r="A3236" s="18" t="n">
        <f aca="false">'SALES Raw'!G3969</f>
        <v>4413119</v>
      </c>
      <c r="B3236" s="18" t="str">
        <f aca="false">'SALES Raw'!B3969</f>
        <v>50 XL</v>
      </c>
      <c r="C3236" s="18" t="str">
        <f aca="false">'SALES Raw'!H3969</f>
        <v>50 XL מתלה אשכים לאחר ניתוח</v>
      </c>
      <c r="D3236" s="19" t="n">
        <f aca="false">'SALES Raw'!C3969</f>
        <v>4</v>
      </c>
      <c r="E3236" s="19" t="n">
        <f aca="false">'SALES Raw'!D3969</f>
        <v>190.75</v>
      </c>
      <c r="F3236" s="19" t="n">
        <f aca="false">'SALES Raw'!E3969*$H$4</f>
        <v>3.78947368421053</v>
      </c>
      <c r="G3236" s="19" t="n">
        <f aca="false">'SALES Raw'!F3969*$H$4</f>
        <v>151.263157894737</v>
      </c>
      <c r="H3236" s="18" t="str">
        <f aca="false">'SALES Raw'!A3969</f>
        <v>210 - Oy. Ea. Ab. FINLAND</v>
      </c>
    </row>
    <row r="3237" customFormat="false" ht="15" hidden="false" customHeight="false" outlineLevel="0" collapsed="false">
      <c r="A3237" s="18" t="n">
        <f aca="false">'SALES Raw'!G3976</f>
        <v>4418002</v>
      </c>
      <c r="B3237" s="18" t="str">
        <f aca="false">'SALES Raw'!B3976</f>
        <v>60 S</v>
      </c>
      <c r="C3237" s="18" t="str">
        <f aca="false">'SALES Raw'!H3976</f>
        <v>60 S צוארון ספוגי</v>
      </c>
      <c r="D3237" s="19" t="n">
        <f aca="false">'SALES Raw'!C3976</f>
        <v>8</v>
      </c>
      <c r="E3237" s="19" t="n">
        <f aca="false">'SALES Raw'!D3976</f>
        <v>200.37</v>
      </c>
      <c r="F3237" s="19" t="n">
        <f aca="false">'SALES Raw'!E3976*$H$4</f>
        <v>3.78947368421053</v>
      </c>
      <c r="G3237" s="19" t="n">
        <f aca="false">'SALES Raw'!F3976*$H$4</f>
        <v>82.56</v>
      </c>
      <c r="H3237" s="18" t="str">
        <f aca="false">'SALES Raw'!A3976</f>
        <v>210 - Oy. Ea. Ab. FINLAND</v>
      </c>
    </row>
    <row r="3238" customFormat="false" ht="15" hidden="false" customHeight="false" outlineLevel="0" collapsed="false">
      <c r="A3238" s="18" t="str">
        <f aca="false">'SALES Raw'!G3982</f>
        <v/>
      </c>
      <c r="B3238" s="18" t="str">
        <f aca="false">'SALES Raw'!B3982</f>
        <v>63 L</v>
      </c>
      <c r="C3238" s="18" t="str">
        <f aca="false">'SALES Raw'!H3982</f>
        <v>63 L</v>
      </c>
      <c r="D3238" s="19" t="n">
        <f aca="false">'SALES Raw'!C3982</f>
        <v>0</v>
      </c>
      <c r="E3238" s="19" t="n">
        <f aca="false">'SALES Raw'!D3982</f>
        <v>0</v>
      </c>
      <c r="F3238" s="19" t="n">
        <f aca="false">'SALES Raw'!E3982*$H$4</f>
        <v>3.78947368421053</v>
      </c>
      <c r="G3238" s="19" t="n">
        <f aca="false">'SALES Raw'!F3982*$H$4</f>
        <v>94.5347368421053</v>
      </c>
      <c r="H3238" s="18" t="str">
        <f aca="false">'SALES Raw'!A3982</f>
        <v>210 - Oy. Ea. Ab. FINLAND</v>
      </c>
    </row>
    <row r="3239" customFormat="false" ht="15" hidden="false" customHeight="false" outlineLevel="0" collapsed="false">
      <c r="A3239" s="18" t="str">
        <f aca="false">'SALES Raw'!G3983</f>
        <v/>
      </c>
      <c r="B3239" s="18" t="str">
        <f aca="false">'SALES Raw'!B3983</f>
        <v>63 M</v>
      </c>
      <c r="C3239" s="18" t="str">
        <f aca="false">'SALES Raw'!H3983</f>
        <v>63 M</v>
      </c>
      <c r="D3239" s="19" t="n">
        <f aca="false">'SALES Raw'!C3983</f>
        <v>2</v>
      </c>
      <c r="E3239" s="19" t="n">
        <f aca="false">'SALES Raw'!D3983</f>
        <v>56.61</v>
      </c>
      <c r="F3239" s="19" t="n">
        <f aca="false">'SALES Raw'!E3983*$H$4</f>
        <v>3.78947368421053</v>
      </c>
      <c r="G3239" s="19" t="n">
        <f aca="false">'SALES Raw'!F3983*$H$4</f>
        <v>94.5347368421053</v>
      </c>
      <c r="H3239" s="18" t="str">
        <f aca="false">'SALES Raw'!A3983</f>
        <v>210 - Oy. Ea. Ab. FINLAND</v>
      </c>
    </row>
    <row r="3240" customFormat="false" ht="15" hidden="false" customHeight="false" outlineLevel="0" collapsed="false">
      <c r="A3240" s="18" t="n">
        <f aca="false">'SALES Raw'!G3996</f>
        <v>4413135</v>
      </c>
      <c r="B3240" s="18" t="str">
        <f aca="false">'SALES Raw'!B3996</f>
        <v>85 L</v>
      </c>
      <c r="C3240" s="18" t="str">
        <f aca="false">'SALES Raw'!H3996</f>
        <v>85 L (מתלה ליד )כיס</v>
      </c>
      <c r="D3240" s="19" t="n">
        <f aca="false">'SALES Raw'!C3996</f>
        <v>0</v>
      </c>
      <c r="E3240" s="19" t="n">
        <f aca="false">'SALES Raw'!D3996</f>
        <v>0</v>
      </c>
      <c r="F3240" s="19" t="n">
        <f aca="false">'SALES Raw'!E3996*$H$4</f>
        <v>3.78947368421053</v>
      </c>
      <c r="G3240" s="19" t="n">
        <f aca="false">'SALES Raw'!F3996*$H$4</f>
        <v>69.3221052631579</v>
      </c>
      <c r="H3240" s="18" t="str">
        <f aca="false">'SALES Raw'!A3996</f>
        <v>210 - Oy. Ea. Ab. FINLAND</v>
      </c>
    </row>
    <row r="3241" customFormat="false" ht="15" hidden="false" customHeight="false" outlineLevel="0" collapsed="false">
      <c r="A3241" s="18" t="n">
        <f aca="false">'SALES Raw'!G4002</f>
        <v>4413141</v>
      </c>
      <c r="B3241" s="18" t="str">
        <f aca="false">'SALES Raw'!B4002</f>
        <v>95 S</v>
      </c>
      <c r="C3241" s="18" t="str">
        <f aca="false">'SALES Raw'!H4002</f>
        <v>95 S מגן מרפק רגיל לבן</v>
      </c>
      <c r="D3241" s="19" t="n">
        <f aca="false">'SALES Raw'!C4002</f>
        <v>0</v>
      </c>
      <c r="E3241" s="19" t="n">
        <f aca="false">'SALES Raw'!D4002</f>
        <v>0</v>
      </c>
      <c r="F3241" s="19" t="n">
        <f aca="false">'SALES Raw'!E4002*$H$4</f>
        <v>3.78947368421053</v>
      </c>
      <c r="G3241" s="19" t="n">
        <f aca="false">'SALES Raw'!F4002*$H$4</f>
        <v>39.0694736842105</v>
      </c>
      <c r="H3241" s="18" t="str">
        <f aca="false">'SALES Raw'!A4002</f>
        <v>210 - Oy. Ea. Ab. FINLAND</v>
      </c>
    </row>
    <row r="3242" customFormat="false" ht="15" hidden="false" customHeight="false" outlineLevel="0" collapsed="false">
      <c r="A3242" s="18" t="str">
        <f aca="false">'SALES Raw'!G4038</f>
        <v/>
      </c>
      <c r="B3242" s="18" t="str">
        <f aca="false">'SALES Raw'!B4038</f>
        <v>T402 XL</v>
      </c>
      <c r="C3242" s="18" t="str">
        <f aca="false">'SALES Raw'!H4038</f>
        <v>T402 XL</v>
      </c>
      <c r="D3242" s="19" t="n">
        <f aca="false">'SALES Raw'!C4038</f>
        <v>0</v>
      </c>
      <c r="E3242" s="19" t="n">
        <f aca="false">'SALES Raw'!D4038</f>
        <v>0</v>
      </c>
      <c r="F3242" s="19" t="n">
        <f aca="false">'SALES Raw'!E4038*$H$4</f>
        <v>3.78947368421053</v>
      </c>
      <c r="G3242" s="19" t="n">
        <f aca="false">'SALES Raw'!F4038*$H$4</f>
        <v>138.025263157895</v>
      </c>
      <c r="H3242" s="18" t="str">
        <f aca="false">'SALES Raw'!A4038</f>
        <v>210 - Oy. Ea. Ab. FINLAND</v>
      </c>
    </row>
    <row r="3243" customFormat="false" ht="15" hidden="false" customHeight="false" outlineLevel="0" collapsed="false">
      <c r="A3243" s="18" t="str">
        <f aca="false">'SALES Raw'!G4039</f>
        <v/>
      </c>
      <c r="B3243" s="18" t="str">
        <f aca="false">'SALES Raw'!B4039</f>
        <v>T402 XXL</v>
      </c>
      <c r="C3243" s="18" t="str">
        <f aca="false">'SALES Raw'!H4039</f>
        <v>T402 XXL</v>
      </c>
      <c r="D3243" s="19" t="n">
        <f aca="false">'SALES Raw'!C4039</f>
        <v>0</v>
      </c>
      <c r="E3243" s="19" t="n">
        <f aca="false">'SALES Raw'!D4039</f>
        <v>0</v>
      </c>
      <c r="F3243" s="19" t="n">
        <f aca="false">'SALES Raw'!E4039*$H$4</f>
        <v>3.78947368421053</v>
      </c>
      <c r="G3243" s="19" t="n">
        <f aca="false">'SALES Raw'!F4039*$H$4</f>
        <v>138.025263157895</v>
      </c>
      <c r="H3243" s="18" t="str">
        <f aca="false">'SALES Raw'!A4039</f>
        <v>210 - Oy. Ea. Ab. FINLAND</v>
      </c>
    </row>
    <row r="3244" customFormat="false" ht="15" hidden="false" customHeight="false" outlineLevel="0" collapsed="false">
      <c r="A3244" s="18" t="str">
        <f aca="false">'SALES Raw'!G4040</f>
        <v/>
      </c>
      <c r="B3244" s="18" t="str">
        <f aca="false">'SALES Raw'!B4040</f>
        <v>T43F XXL</v>
      </c>
      <c r="C3244" s="18" t="str">
        <f aca="false">'SALES Raw'!H4040</f>
        <v>T43F XXL</v>
      </c>
      <c r="D3244" s="19" t="n">
        <f aca="false">'SALES Raw'!C4040</f>
        <v>0</v>
      </c>
      <c r="E3244" s="19" t="n">
        <f aca="false">'SALES Raw'!D4040</f>
        <v>0</v>
      </c>
      <c r="F3244" s="19" t="n">
        <f aca="false">'SALES Raw'!E4040*$H$4</f>
        <v>3.78947368421053</v>
      </c>
      <c r="G3244" s="19" t="n">
        <f aca="false">'SALES Raw'!F4040*$H$4</f>
        <v>378.151578947368</v>
      </c>
      <c r="H3244" s="18" t="str">
        <f aca="false">'SALES Raw'!A4040</f>
        <v>210 - Oy. Ea. Ab. FINLAND</v>
      </c>
    </row>
    <row r="3245" customFormat="false" ht="15" hidden="false" customHeight="false" outlineLevel="0" collapsed="false">
      <c r="A3245" s="18" t="n">
        <f aca="false">'SALES Raw'!G4042</f>
        <v>4422005</v>
      </c>
      <c r="B3245" s="18" t="str">
        <f aca="false">'SALES Raw'!B4042</f>
        <v>T78 M</v>
      </c>
      <c r="C3245" s="18" t="str">
        <f aca="false">'SALES Raw'!H4042</f>
        <v>T78 M תומך זרוע וכתף</v>
      </c>
      <c r="D3245" s="19" t="n">
        <f aca="false">'SALES Raw'!C4042</f>
        <v>2</v>
      </c>
      <c r="E3245" s="19" t="n">
        <f aca="false">'SALES Raw'!D4042</f>
        <v>152.47</v>
      </c>
      <c r="F3245" s="19" t="n">
        <f aca="false">'SALES Raw'!E4042*$H$4</f>
        <v>3.78947368421053</v>
      </c>
      <c r="G3245" s="19" t="n">
        <f aca="false">'SALES Raw'!F4042*$H$4</f>
        <v>254.614736842105</v>
      </c>
      <c r="H3245" s="18" t="str">
        <f aca="false">'SALES Raw'!A4042</f>
        <v>210 - Oy. Ea. Ab. FINLAND</v>
      </c>
    </row>
    <row r="3246" customFormat="false" ht="15" hidden="false" customHeight="false" outlineLevel="0" collapsed="false">
      <c r="A3246" s="18" t="n">
        <f aca="false">'SALES Raw'!G4043</f>
        <v>4422004</v>
      </c>
      <c r="B3246" s="18" t="str">
        <f aca="false">'SALES Raw'!B4043</f>
        <v>T78 S</v>
      </c>
      <c r="C3246" s="18" t="str">
        <f aca="false">'SALES Raw'!H4043</f>
        <v>T78 S תומך זרוע וכתף</v>
      </c>
      <c r="D3246" s="19" t="n">
        <f aca="false">'SALES Raw'!C4043</f>
        <v>2</v>
      </c>
      <c r="E3246" s="19" t="n">
        <f aca="false">'SALES Raw'!D4043</f>
        <v>160.55</v>
      </c>
      <c r="F3246" s="19" t="n">
        <f aca="false">'SALES Raw'!E4043*$H$4</f>
        <v>3.78947368421053</v>
      </c>
      <c r="G3246" s="19" t="n">
        <f aca="false">'SALES Raw'!F4043*$H$4</f>
        <v>254.614736842105</v>
      </c>
      <c r="H3246" s="18" t="str">
        <f aca="false">'SALES Raw'!A4043</f>
        <v>210 - Oy. Ea. Ab. FINLAND</v>
      </c>
    </row>
    <row r="3247" customFormat="false" ht="15" hidden="false" customHeight="false" outlineLevel="0" collapsed="false">
      <c r="A3247" s="18" t="str">
        <f aca="false">'SALES Raw'!G4080</f>
        <v/>
      </c>
      <c r="B3247" s="18" t="str">
        <f aca="false">'SALES Raw'!B4080</f>
        <v>305-35-36</v>
      </c>
      <c r="C3247" s="18" t="str">
        <f aca="false">'SALES Raw'!H4080</f>
        <v>305-35-36</v>
      </c>
      <c r="D3247" s="19" t="n">
        <f aca="false">'SALES Raw'!C4080</f>
        <v>0</v>
      </c>
      <c r="E3247" s="19" t="n">
        <f aca="false">'SALES Raw'!D4080</f>
        <v>0</v>
      </c>
      <c r="F3247" s="19" t="n">
        <f aca="false">'SALES Raw'!E4080*$H$4</f>
        <v>3.78947368421053</v>
      </c>
      <c r="G3247" s="19" t="n">
        <f aca="false">'SALES Raw'!F4080*$H$4</f>
        <v>128.261052631579</v>
      </c>
      <c r="H3247" s="18" t="str">
        <f aca="false">'SALES Raw'!A4080</f>
        <v>213 - E.f.m.o. SPAIN</v>
      </c>
    </row>
    <row r="3248" customFormat="false" ht="15" hidden="false" customHeight="false" outlineLevel="0" collapsed="false">
      <c r="A3248" s="18" t="str">
        <f aca="false">'SALES Raw'!G4085</f>
        <v/>
      </c>
      <c r="B3248" s="18" t="str">
        <f aca="false">'SALES Raw'!B4085</f>
        <v>305-45-46</v>
      </c>
      <c r="C3248" s="18" t="str">
        <f aca="false">'SALES Raw'!H4085</f>
        <v>305-45-46</v>
      </c>
      <c r="D3248" s="19" t="n">
        <f aca="false">'SALES Raw'!C4085</f>
        <v>4</v>
      </c>
      <c r="E3248" s="19" t="n">
        <f aca="false">'SALES Raw'!D4085</f>
        <v>146.07</v>
      </c>
      <c r="F3248" s="19" t="n">
        <f aca="false">'SALES Raw'!E4085*$H$4</f>
        <v>3.78947368421053</v>
      </c>
      <c r="G3248" s="19" t="n">
        <f aca="false">'SALES Raw'!F4085*$H$4</f>
        <v>125.444210526316</v>
      </c>
      <c r="H3248" s="18" t="str">
        <f aca="false">'SALES Raw'!A4085</f>
        <v>213 - E.f.m.o. SPAIN</v>
      </c>
    </row>
    <row r="3249" customFormat="false" ht="15" hidden="false" customHeight="false" outlineLevel="0" collapsed="false">
      <c r="A3249" s="18" t="str">
        <f aca="false">'SALES Raw'!G4115</f>
        <v/>
      </c>
      <c r="B3249" s="18" t="str">
        <f aca="false">'SALES Raw'!B4115</f>
        <v>T33 XL</v>
      </c>
      <c r="C3249" s="18" t="str">
        <f aca="false">'SALES Raw'!H4115</f>
        <v>T33 XL</v>
      </c>
      <c r="D3249" s="19" t="n">
        <f aca="false">'SALES Raw'!C4115</f>
        <v>2</v>
      </c>
      <c r="E3249" s="19" t="n">
        <f aca="false">'SALES Raw'!D4115</f>
        <v>124.31</v>
      </c>
      <c r="F3249" s="19" t="n">
        <f aca="false">'SALES Raw'!E4115*$H$4</f>
        <v>3.78947368421053</v>
      </c>
      <c r="G3249" s="19" t="n">
        <f aca="false">'SALES Raw'!F4115*$H$4</f>
        <v>200.804210526316</v>
      </c>
      <c r="H3249" s="18" t="str">
        <f aca="false">'SALES Raw'!A4115</f>
        <v>213 - E.f.m.o. SPAIN</v>
      </c>
    </row>
    <row r="3250" customFormat="false" ht="15" hidden="false" customHeight="false" outlineLevel="0" collapsed="false">
      <c r="A3250" s="18" t="n">
        <f aca="false">'SALES Raw'!G4120</f>
        <v>4422005</v>
      </c>
      <c r="B3250" s="18" t="str">
        <f aca="false">'SALES Raw'!B4120</f>
        <v>T78 M</v>
      </c>
      <c r="C3250" s="18" t="str">
        <f aca="false">'SALES Raw'!H4120</f>
        <v>T78 M תומך זרוע וכתף</v>
      </c>
      <c r="D3250" s="19" t="n">
        <f aca="false">'SALES Raw'!C4120</f>
        <v>4</v>
      </c>
      <c r="E3250" s="19" t="n">
        <f aca="false">'SALES Raw'!D4120</f>
        <v>311.03</v>
      </c>
      <c r="F3250" s="19" t="n">
        <f aca="false">'SALES Raw'!E4120*$H$4</f>
        <v>3.78947368421053</v>
      </c>
      <c r="G3250" s="19" t="n">
        <f aca="false">'SALES Raw'!F4120*$H$4</f>
        <v>255.941052631579</v>
      </c>
      <c r="H3250" s="18" t="str">
        <f aca="false">'SALES Raw'!A4120</f>
        <v>213 - E.f.m.o. SPAIN</v>
      </c>
    </row>
    <row r="3251" customFormat="false" ht="15" hidden="false" customHeight="false" outlineLevel="0" collapsed="false">
      <c r="A3251" s="18" t="n">
        <f aca="false">'SALES Raw'!G4148</f>
        <v>4408221</v>
      </c>
      <c r="B3251" s="18" t="str">
        <f aca="false">'SALES Raw'!B4148</f>
        <v>078G L</v>
      </c>
      <c r="C3251" s="18" t="str">
        <f aca="false">'SALES Raw'!H4148</f>
        <v>078G-L חגורת גב אפורה</v>
      </c>
      <c r="D3251" s="19" t="n">
        <f aca="false">'SALES Raw'!C4148</f>
        <v>0</v>
      </c>
      <c r="E3251" s="19" t="n">
        <f aca="false">'SALES Raw'!D4148</f>
        <v>0</v>
      </c>
      <c r="F3251" s="19" t="n">
        <f aca="false">'SALES Raw'!E4148*$H$4</f>
        <v>3.78947368421053</v>
      </c>
      <c r="G3251" s="19" t="n">
        <f aca="false">'SALES Raw'!F4148*$H$4</f>
        <v>195.84</v>
      </c>
      <c r="H3251" s="18" t="str">
        <f aca="false">'SALES Raw'!A4148</f>
        <v>216 - Max Konnaris CYPRUS</v>
      </c>
    </row>
    <row r="3252" customFormat="false" ht="15" hidden="false" customHeight="false" outlineLevel="0" collapsed="false">
      <c r="A3252" s="18" t="n">
        <f aca="false">'SALES Raw'!G4152</f>
        <v>4408016</v>
      </c>
      <c r="B3252" s="18" t="str">
        <f aca="false">'SALES Raw'!B4152</f>
        <v>07AU M</v>
      </c>
      <c r="C3252" s="18" t="str">
        <f aca="false">'SALES Raw'!H4152</f>
        <v>07AU M ח.גב """"איטלקית"""" אורירית</v>
      </c>
      <c r="D3252" s="19" t="n">
        <f aca="false">'SALES Raw'!C4152</f>
        <v>3</v>
      </c>
      <c r="E3252" s="19" t="n">
        <f aca="false">'SALES Raw'!D4152</f>
        <v>387.96</v>
      </c>
      <c r="F3252" s="19" t="n">
        <f aca="false">'SALES Raw'!E4152*$H$4</f>
        <v>3.78947368421053</v>
      </c>
      <c r="G3252" s="19" t="n">
        <f aca="false">'SALES Raw'!F4152*$H$4</f>
        <v>462.252631578947</v>
      </c>
      <c r="H3252" s="18" t="str">
        <f aca="false">'SALES Raw'!A4152</f>
        <v>216 - Max Konnaris CYPRUS</v>
      </c>
    </row>
    <row r="3253" customFormat="false" ht="15" hidden="false" customHeight="false" outlineLevel="0" collapsed="false">
      <c r="A3253" s="18" t="n">
        <f aca="false">'SALES Raw'!G4153</f>
        <v>4408014</v>
      </c>
      <c r="B3253" s="18" t="str">
        <f aca="false">'SALES Raw'!B4153</f>
        <v>07AU S</v>
      </c>
      <c r="C3253" s="18" t="str">
        <f aca="false">'SALES Raw'!H4153</f>
        <v>07AU S ח.גב """"איטלקית"""" אורירית</v>
      </c>
      <c r="D3253" s="19" t="n">
        <f aca="false">'SALES Raw'!C4153</f>
        <v>2</v>
      </c>
      <c r="E3253" s="19" t="n">
        <f aca="false">'SALES Raw'!D4153</f>
        <v>258.64</v>
      </c>
      <c r="F3253" s="19" t="n">
        <f aca="false">'SALES Raw'!E4153*$H$4</f>
        <v>3.78947368421053</v>
      </c>
      <c r="G3253" s="19" t="n">
        <f aca="false">'SALES Raw'!F4153*$H$4</f>
        <v>462.252631578947</v>
      </c>
      <c r="H3253" s="18" t="str">
        <f aca="false">'SALES Raw'!A4153</f>
        <v>216 - Max Konnaris CYPRUS</v>
      </c>
    </row>
    <row r="3254" customFormat="false" ht="15" hidden="false" customHeight="false" outlineLevel="0" collapsed="false">
      <c r="A3254" s="18" t="n">
        <f aca="false">'SALES Raw'!G4161</f>
        <v>4408035</v>
      </c>
      <c r="B3254" s="18" t="str">
        <f aca="false">'SALES Raw'!B4161</f>
        <v>11 XXL</v>
      </c>
      <c r="C3254" s="18" t="str">
        <f aca="false">'SALES Raw'!H4161</f>
        <v>11 XXL""""חגורת בטן""""אורירית</v>
      </c>
      <c r="D3254" s="19" t="n">
        <f aca="false">'SALES Raw'!C4161</f>
        <v>6</v>
      </c>
      <c r="E3254" s="19" t="n">
        <f aca="false">'SALES Raw'!D4161</f>
        <v>299.15</v>
      </c>
      <c r="F3254" s="19" t="n">
        <f aca="false">'SALES Raw'!E4161*$H$4</f>
        <v>3.78947368421053</v>
      </c>
      <c r="G3254" s="19" t="n">
        <f aca="false">'SALES Raw'!F4161*$H$4</f>
        <v>166.004210526316</v>
      </c>
      <c r="H3254" s="18" t="str">
        <f aca="false">'SALES Raw'!A4161</f>
        <v>216 - Max Konnaris CYPRUS</v>
      </c>
    </row>
    <row r="3255" customFormat="false" ht="15" hidden="false" customHeight="false" outlineLevel="0" collapsed="false">
      <c r="A3255" s="18" t="n">
        <f aca="false">'SALES Raw'!G4166</f>
        <v>4408232</v>
      </c>
      <c r="B3255" s="18" t="str">
        <f aca="false">'SALES Raw'!B4166</f>
        <v>16 XXL</v>
      </c>
      <c r="C3255" s="18" t="str">
        <f aca="false">'SALES Raw'!H4166</f>
        <v>16 XXL חגורת הריון</v>
      </c>
      <c r="D3255" s="19" t="n">
        <f aca="false">'SALES Raw'!C4166</f>
        <v>3</v>
      </c>
      <c r="E3255" s="19" t="n">
        <f aca="false">'SALES Raw'!D4166</f>
        <v>150.16</v>
      </c>
      <c r="F3255" s="19" t="n">
        <f aca="false">'SALES Raw'!E4166*$H$4</f>
        <v>3.78947368421053</v>
      </c>
      <c r="G3255" s="19" t="n">
        <f aca="false">'SALES Raw'!F4166*$H$4</f>
        <v>166.661052631579</v>
      </c>
      <c r="H3255" s="18" t="str">
        <f aca="false">'SALES Raw'!A4166</f>
        <v>216 - Max Konnaris CYPRUS</v>
      </c>
    </row>
    <row r="3256" customFormat="false" ht="15" hidden="false" customHeight="false" outlineLevel="0" collapsed="false">
      <c r="A3256" s="18" t="n">
        <f aca="false">'SALES Raw'!G4168</f>
        <v>4408231</v>
      </c>
      <c r="B3256" s="18" t="str">
        <f aca="false">'SALES Raw'!B4168</f>
        <v>16-S-M</v>
      </c>
      <c r="C3256" s="18" t="str">
        <f aca="false">'SALES Raw'!H4168</f>
        <v>16 S-M חגורת הריון</v>
      </c>
      <c r="D3256" s="19" t="n">
        <f aca="false">'SALES Raw'!C4168</f>
        <v>5</v>
      </c>
      <c r="E3256" s="19" t="n">
        <f aca="false">'SALES Raw'!D4168</f>
        <v>257.64</v>
      </c>
      <c r="F3256" s="19" t="n">
        <f aca="false">'SALES Raw'!E4168*$H$4</f>
        <v>3.78947368421053</v>
      </c>
      <c r="G3256" s="19" t="n">
        <f aca="false">'SALES Raw'!F4168*$H$4</f>
        <v>166.661052631579</v>
      </c>
      <c r="H3256" s="18" t="str">
        <f aca="false">'SALES Raw'!A4168</f>
        <v>216 - Max Konnaris CYPRUS</v>
      </c>
    </row>
    <row r="3257" customFormat="false" ht="15" hidden="false" customHeight="false" outlineLevel="0" collapsed="false">
      <c r="A3257" s="18" t="n">
        <f aca="false">'SALES Raw'!G4191</f>
        <v>4415005</v>
      </c>
      <c r="B3257" s="18" t="str">
        <f aca="false">'SALES Raw'!B4191</f>
        <v>28 L</v>
      </c>
      <c r="C3257" s="18" t="str">
        <f aca="false">'SALES Raw'!H4191</f>
        <v>28 L סד לאגודל לאחר שבר</v>
      </c>
      <c r="D3257" s="19" t="n">
        <f aca="false">'SALES Raw'!C4191</f>
        <v>3</v>
      </c>
      <c r="E3257" s="19" t="n">
        <f aca="false">'SALES Raw'!D4191</f>
        <v>120.36</v>
      </c>
      <c r="F3257" s="19" t="n">
        <f aca="false">'SALES Raw'!E4191*$H$4</f>
        <v>3.78947368421053</v>
      </c>
      <c r="G3257" s="19" t="n">
        <f aca="false">'SALES Raw'!F4191*$H$4</f>
        <v>133.591578947368</v>
      </c>
      <c r="H3257" s="18" t="str">
        <f aca="false">'SALES Raw'!A4191</f>
        <v>216 - Max Konnaris CYPRUS</v>
      </c>
    </row>
    <row r="3258" customFormat="false" ht="15" hidden="false" customHeight="false" outlineLevel="0" collapsed="false">
      <c r="A3258" s="18" t="n">
        <f aca="false">'SALES Raw'!G4195</f>
        <v>4415025</v>
      </c>
      <c r="B3258" s="18" t="str">
        <f aca="false">'SALES Raw'!B4195</f>
        <v>28 XS</v>
      </c>
      <c r="C3258" s="18" t="str">
        <f aca="false">'SALES Raw'!H4195</f>
        <v>28-XS סד לאגודל לאחר שבר</v>
      </c>
      <c r="D3258" s="19" t="n">
        <f aca="false">'SALES Raw'!C4195</f>
        <v>0</v>
      </c>
      <c r="E3258" s="19" t="n">
        <f aca="false">'SALES Raw'!D4195</f>
        <v>0</v>
      </c>
      <c r="F3258" s="19" t="n">
        <f aca="false">'SALES Raw'!E4195*$H$4</f>
        <v>3.78947368421053</v>
      </c>
      <c r="G3258" s="19" t="n">
        <f aca="false">'SALES Raw'!F4195*$H$4</f>
        <v>143.406315789474</v>
      </c>
      <c r="H3258" s="18" t="str">
        <f aca="false">'SALES Raw'!A4195</f>
        <v>216 - Max Konnaris CYPRUS</v>
      </c>
    </row>
    <row r="3259" customFormat="false" ht="15" hidden="false" customHeight="false" outlineLevel="0" collapsed="false">
      <c r="A3259" s="18" t="n">
        <f aca="false">'SALES Raw'!G4226</f>
        <v>4413491</v>
      </c>
      <c r="B3259" s="18" t="str">
        <f aca="false">'SALES Raw'!B4226</f>
        <v>35B XL</v>
      </c>
      <c r="C3259" s="18" t="str">
        <f aca="false">'SALES Raw'!H4226</f>
        <v>35B XL מגן קרסול שחור</v>
      </c>
      <c r="D3259" s="19" t="n">
        <f aca="false">'SALES Raw'!C4226</f>
        <v>6</v>
      </c>
      <c r="E3259" s="19" t="n">
        <f aca="false">'SALES Raw'!D4226</f>
        <v>77.79</v>
      </c>
      <c r="F3259" s="19" t="n">
        <f aca="false">'SALES Raw'!E4226*$H$4</f>
        <v>3.78947368421053</v>
      </c>
      <c r="G3259" s="19" t="n">
        <f aca="false">'SALES Raw'!F4226*$H$4</f>
        <v>40.2063157894737</v>
      </c>
      <c r="H3259" s="18" t="str">
        <f aca="false">'SALES Raw'!A4226</f>
        <v>216 - Max Konnaris CYPRUS</v>
      </c>
    </row>
    <row r="3260" customFormat="false" ht="15" hidden="false" customHeight="false" outlineLevel="0" collapsed="false">
      <c r="A3260" s="18" t="n">
        <f aca="false">'SALES Raw'!G4275</f>
        <v>4420017</v>
      </c>
      <c r="B3260" s="18" t="str">
        <f aca="false">'SALES Raw'!B4275</f>
        <v>4022 0</v>
      </c>
      <c r="C3260" s="18" t="str">
        <f aca="false">'SALES Raw'!H4275</f>
        <v>4022 רצועת """"פיקה""""+כרית</v>
      </c>
      <c r="D3260" s="19" t="n">
        <f aca="false">'SALES Raw'!C4275</f>
        <v>6</v>
      </c>
      <c r="E3260" s="19" t="n">
        <f aca="false">'SALES Raw'!D4275</f>
        <v>275.78</v>
      </c>
      <c r="F3260" s="19" t="n">
        <f aca="false">'SALES Raw'!E4275*$H$4</f>
        <v>3.78947368421053</v>
      </c>
      <c r="G3260" s="19" t="n">
        <f aca="false">'SALES Raw'!F4275*$H$4</f>
        <v>153.044210526316</v>
      </c>
      <c r="H3260" s="18" t="str">
        <f aca="false">'SALES Raw'!A4275</f>
        <v>216 - Max Konnaris CYPRUS</v>
      </c>
    </row>
    <row r="3261" customFormat="false" ht="15" hidden="false" customHeight="false" outlineLevel="0" collapsed="false">
      <c r="A3261" s="18" t="n">
        <f aca="false">'SALES Raw'!G4277</f>
        <v>4413093</v>
      </c>
      <c r="B3261" s="18" t="str">
        <f aca="false">'SALES Raw'!B4277</f>
        <v>45 M</v>
      </c>
      <c r="C3261" s="18" t="str">
        <f aca="false">'SALES Raw'!H4277</f>
        <v>45 M מגן ברך לבן</v>
      </c>
      <c r="D3261" s="19" t="n">
        <f aca="false">'SALES Raw'!C4277</f>
        <v>0</v>
      </c>
      <c r="E3261" s="19" t="n">
        <f aca="false">'SALES Raw'!D4277</f>
        <v>0</v>
      </c>
      <c r="F3261" s="19" t="n">
        <f aca="false">'SALES Raw'!E4277*$H$4</f>
        <v>3.78947368421053</v>
      </c>
      <c r="G3261" s="19" t="n">
        <f aca="false">'SALES Raw'!F4277*$H$4</f>
        <v>38.2610526315789</v>
      </c>
      <c r="H3261" s="18" t="str">
        <f aca="false">'SALES Raw'!A4277</f>
        <v>216 - Max Konnaris CYPRUS</v>
      </c>
    </row>
    <row r="3262" customFormat="false" ht="15" hidden="false" customHeight="false" outlineLevel="0" collapsed="false">
      <c r="A3262" s="18" t="n">
        <f aca="false">'SALES Raw'!G4283</f>
        <v>4413099</v>
      </c>
      <c r="B3262" s="18" t="str">
        <f aca="false">'SALES Raw'!B4283</f>
        <v>45C M</v>
      </c>
      <c r="C3262" s="18" t="str">
        <f aca="false">'SALES Raw'!H4283</f>
        <v>45C M מגן ברך חום</v>
      </c>
      <c r="D3262" s="19" t="n">
        <f aca="false">'SALES Raw'!C4283</f>
        <v>10</v>
      </c>
      <c r="E3262" s="19" t="n">
        <f aca="false">'SALES Raw'!D4283</f>
        <v>112.08</v>
      </c>
      <c r="F3262" s="19" t="n">
        <f aca="false">'SALES Raw'!E4283*$H$4</f>
        <v>3.78947368421053</v>
      </c>
      <c r="G3262" s="19" t="n">
        <f aca="false">'SALES Raw'!F4283*$H$4</f>
        <v>38.2610526315789</v>
      </c>
      <c r="H3262" s="18" t="str">
        <f aca="false">'SALES Raw'!A4283</f>
        <v>216 - Max Konnaris CYPRUS</v>
      </c>
    </row>
    <row r="3263" customFormat="false" ht="15" hidden="false" customHeight="false" outlineLevel="0" collapsed="false">
      <c r="A3263" s="18" t="n">
        <f aca="false">'SALES Raw'!G4295</f>
        <v>4408080</v>
      </c>
      <c r="B3263" s="18" t="str">
        <f aca="false">'SALES Raw'!B4295</f>
        <v>59R L</v>
      </c>
      <c r="C3263" s="18" t="str">
        <f aca="false">'SALES Raw'!H4295</f>
        <v>59R L חגורת שבר לצד ימין</v>
      </c>
      <c r="D3263" s="19" t="n">
        <f aca="false">'SALES Raw'!C4295</f>
        <v>1</v>
      </c>
      <c r="E3263" s="19" t="n">
        <f aca="false">'SALES Raw'!D4295</f>
        <v>81.3</v>
      </c>
      <c r="F3263" s="19" t="n">
        <f aca="false">'SALES Raw'!E4295*$H$4</f>
        <v>3.78947368421053</v>
      </c>
      <c r="G3263" s="19" t="n">
        <f aca="false">'SALES Raw'!F4295*$H$4</f>
        <v>297.953684210526</v>
      </c>
      <c r="H3263" s="18" t="str">
        <f aca="false">'SALES Raw'!A4295</f>
        <v>216 - Max Konnaris CYPRUS</v>
      </c>
    </row>
    <row r="3264" customFormat="false" ht="15" hidden="false" customHeight="false" outlineLevel="0" collapsed="false">
      <c r="A3264" s="18" t="n">
        <f aca="false">'SALES Raw'!G4336</f>
        <v>4413503</v>
      </c>
      <c r="B3264" s="18" t="str">
        <f aca="false">'SALES Raw'!B4336</f>
        <v>95B XL</v>
      </c>
      <c r="C3264" s="18" t="str">
        <f aca="false">'SALES Raw'!H4336</f>
        <v>95B XL מגן מרפק שחור</v>
      </c>
      <c r="D3264" s="19" t="n">
        <f aca="false">'SALES Raw'!C4336</f>
        <v>0</v>
      </c>
      <c r="E3264" s="19" t="n">
        <f aca="false">'SALES Raw'!D4336</f>
        <v>0</v>
      </c>
      <c r="F3264" s="19" t="n">
        <f aca="false">'SALES Raw'!E4336*$H$4</f>
        <v>3.78947368421053</v>
      </c>
      <c r="G3264" s="19" t="n">
        <f aca="false">'SALES Raw'!F4336*$H$4</f>
        <v>43.1621052631579</v>
      </c>
      <c r="H3264" s="18" t="str">
        <f aca="false">'SALES Raw'!A4336</f>
        <v>216 - Max Konnaris CYPRUS</v>
      </c>
    </row>
    <row r="3265" customFormat="false" ht="15" hidden="false" customHeight="false" outlineLevel="0" collapsed="false">
      <c r="A3265" s="18" t="n">
        <f aca="false">'SALES Raw'!G4348</f>
        <v>4414000</v>
      </c>
      <c r="B3265" s="18" t="str">
        <f aca="false">'SALES Raw'!B4348</f>
        <v>FC342 0</v>
      </c>
      <c r="C3265" s="18" t="str">
        <f aca="false">'SALES Raw'!H4348</f>
        <v>FC342-נוזל לציפורן חודרנית</v>
      </c>
      <c r="D3265" s="19" t="n">
        <f aca="false">'SALES Raw'!C4348</f>
        <v>10</v>
      </c>
      <c r="E3265" s="19" t="n">
        <f aca="false">'SALES Raw'!D4348</f>
        <v>192.81</v>
      </c>
      <c r="F3265" s="19" t="n">
        <f aca="false">'SALES Raw'!E4348*$H$4</f>
        <v>3.78947368421053</v>
      </c>
      <c r="G3265" s="19" t="n">
        <f aca="false">'SALES Raw'!F4348*$H$4</f>
        <v>64.1936842105263</v>
      </c>
      <c r="H3265" s="18" t="str">
        <f aca="false">'SALES Raw'!A4348</f>
        <v>216 - Max Konnaris CYPRUS</v>
      </c>
    </row>
    <row r="3266" customFormat="false" ht="15" hidden="false" customHeight="false" outlineLevel="0" collapsed="false">
      <c r="A3266" s="18" t="str">
        <f aca="false">'SALES Raw'!G4369</f>
        <v/>
      </c>
      <c r="B3266" s="18" t="str">
        <f aca="false">'SALES Raw'!B4369</f>
        <v>SH776 L</v>
      </c>
      <c r="C3266" s="18" t="str">
        <f aca="false">'SALES Raw'!H4369</f>
        <v>SH776 L</v>
      </c>
      <c r="D3266" s="19" t="n">
        <f aca="false">'SALES Raw'!C4369</f>
        <v>0</v>
      </c>
      <c r="E3266" s="19" t="n">
        <f aca="false">'SALES Raw'!D4369</f>
        <v>0</v>
      </c>
      <c r="F3266" s="19" t="n">
        <f aca="false">'SALES Raw'!E4369*$H$4</f>
        <v>3.78947368421053</v>
      </c>
      <c r="G3266" s="19" t="n">
        <f aca="false">'SALES Raw'!F4369*$H$4</f>
        <v>584.778947368421</v>
      </c>
      <c r="H3266" s="18" t="str">
        <f aca="false">'SALES Raw'!A4369</f>
        <v>216 - Max Konnaris CYPRUS</v>
      </c>
    </row>
    <row r="3267" customFormat="false" ht="15" hidden="false" customHeight="false" outlineLevel="0" collapsed="false">
      <c r="A3267" s="18" t="str">
        <f aca="false">'SALES Raw'!G4372</f>
        <v/>
      </c>
      <c r="B3267" s="18" t="str">
        <f aca="false">'SALES Raw'!B4372</f>
        <v>SH776 XL</v>
      </c>
      <c r="C3267" s="18" t="str">
        <f aca="false">'SALES Raw'!H4372</f>
        <v>SH776 XL</v>
      </c>
      <c r="D3267" s="19" t="n">
        <f aca="false">'SALES Raw'!C4372</f>
        <v>0</v>
      </c>
      <c r="E3267" s="19" t="n">
        <f aca="false">'SALES Raw'!D4372</f>
        <v>0</v>
      </c>
      <c r="F3267" s="19" t="n">
        <f aca="false">'SALES Raw'!E4372*$H$4</f>
        <v>3.78947368421053</v>
      </c>
      <c r="G3267" s="19" t="n">
        <f aca="false">'SALES Raw'!F4372*$H$4</f>
        <v>584.778947368421</v>
      </c>
      <c r="H3267" s="18" t="str">
        <f aca="false">'SALES Raw'!A4372</f>
        <v>216 - Max Konnaris CYPRUS</v>
      </c>
    </row>
    <row r="3268" customFormat="false" ht="15" hidden="false" customHeight="false" outlineLevel="0" collapsed="false">
      <c r="A3268" s="18" t="str">
        <f aca="false">'SALES Raw'!G4373</f>
        <v/>
      </c>
      <c r="B3268" s="18" t="str">
        <f aca="false">'SALES Raw'!B4373</f>
        <v>SH776 XXL</v>
      </c>
      <c r="C3268" s="18" t="str">
        <f aca="false">'SALES Raw'!H4373</f>
        <v>SH776 XXL</v>
      </c>
      <c r="D3268" s="19" t="n">
        <f aca="false">'SALES Raw'!C4373</f>
        <v>0</v>
      </c>
      <c r="E3268" s="19" t="n">
        <f aca="false">'SALES Raw'!D4373</f>
        <v>0</v>
      </c>
      <c r="F3268" s="19" t="n">
        <f aca="false">'SALES Raw'!E4373*$H$4</f>
        <v>3.78947368421053</v>
      </c>
      <c r="G3268" s="19" t="n">
        <f aca="false">'SALES Raw'!F4373*$H$4</f>
        <v>584.778947368421</v>
      </c>
      <c r="H3268" s="18" t="str">
        <f aca="false">'SALES Raw'!A4373</f>
        <v>216 - Max Konnaris CYPRUS</v>
      </c>
    </row>
    <row r="3269" customFormat="false" ht="15" hidden="false" customHeight="false" outlineLevel="0" collapsed="false">
      <c r="A3269" s="18" t="n">
        <f aca="false">'SALES Raw'!G4384</f>
        <v>4408099</v>
      </c>
      <c r="B3269" s="18" t="str">
        <f aca="false">'SALES Raw'!B4384</f>
        <v>T25C 0</v>
      </c>
      <c r="C3269" s="18" t="str">
        <f aca="false">'SALES Raw'!H4384</f>
        <v>T25C-חבק יד אגודלי</v>
      </c>
      <c r="D3269" s="19" t="n">
        <f aca="false">'SALES Raw'!C4384</f>
        <v>0</v>
      </c>
      <c r="E3269" s="19" t="n">
        <f aca="false">'SALES Raw'!D4384</f>
        <v>0</v>
      </c>
      <c r="F3269" s="19" t="n">
        <f aca="false">'SALES Raw'!E4384*$H$4</f>
        <v>3.78947368421053</v>
      </c>
      <c r="G3269" s="19" t="n">
        <f aca="false">'SALES Raw'!F4384*$H$4</f>
        <v>75.2210526315789</v>
      </c>
      <c r="H3269" s="18" t="str">
        <f aca="false">'SALES Raw'!A4384</f>
        <v>216 - Max Konnaris CYPRUS</v>
      </c>
    </row>
    <row r="3270" customFormat="false" ht="15" hidden="false" customHeight="false" outlineLevel="0" collapsed="false">
      <c r="A3270" s="18" t="str">
        <f aca="false">'SALES Raw'!G17</f>
        <v/>
      </c>
      <c r="B3270" s="18" t="str">
        <f aca="false">'SALES Raw'!B17</f>
        <v>079 M</v>
      </c>
      <c r="C3270" s="18" t="str">
        <f aca="false">'SALES Raw'!H17</f>
        <v>079 M</v>
      </c>
      <c r="D3270" s="19" t="n">
        <f aca="false">'SALES Raw'!C17</f>
        <v>0</v>
      </c>
      <c r="E3270" s="19" t="n">
        <f aca="false">'SALES Raw'!D17</f>
        <v>0</v>
      </c>
      <c r="F3270" s="19" t="n">
        <f aca="false">'SALES Raw'!E17*$H$4</f>
        <v>2.52631578947368</v>
      </c>
      <c r="G3270" s="19" t="n">
        <f aca="false">'SALES Raw'!F17*$H$4</f>
        <v>274.623157894737</v>
      </c>
      <c r="H3270" s="18" t="str">
        <f aca="false">'SALES Raw'!A17</f>
        <v>101 - Factory customers</v>
      </c>
    </row>
    <row r="3271" customFormat="false" ht="15" hidden="false" customHeight="false" outlineLevel="0" collapsed="false">
      <c r="A3271" s="18" t="str">
        <f aca="false">'SALES Raw'!G35</f>
        <v/>
      </c>
      <c r="B3271" s="18" t="str">
        <f aca="false">'SALES Raw'!B35</f>
        <v>13B S</v>
      </c>
      <c r="C3271" s="18" t="str">
        <f aca="false">'SALES Raw'!H35</f>
        <v>13B S</v>
      </c>
      <c r="D3271" s="19" t="n">
        <f aca="false">'SALES Raw'!C35</f>
        <v>0</v>
      </c>
      <c r="E3271" s="19" t="n">
        <f aca="false">'SALES Raw'!D35</f>
        <v>0</v>
      </c>
      <c r="F3271" s="19" t="n">
        <f aca="false">'SALES Raw'!E35*$H$4</f>
        <v>2.52631578947368</v>
      </c>
      <c r="G3271" s="19" t="n">
        <f aca="false">'SALES Raw'!F35*$H$4</f>
        <v>159.738947368421</v>
      </c>
      <c r="H3271" s="18" t="str">
        <f aca="false">'SALES Raw'!A35</f>
        <v>101 - Factory customers</v>
      </c>
    </row>
    <row r="3272" customFormat="false" ht="15" hidden="false" customHeight="false" outlineLevel="0" collapsed="false">
      <c r="A3272" s="18" t="n">
        <f aca="false">'SALES Raw'!G47</f>
        <v>4411017</v>
      </c>
      <c r="B3272" s="18" t="str">
        <f aca="false">'SALES Raw'!B47</f>
        <v>211 L</v>
      </c>
      <c r="C3272" s="18" t="str">
        <f aca="false">'SALES Raw'!H47</f>
        <v>211L כפפות לחץ</v>
      </c>
      <c r="D3272" s="19" t="n">
        <f aca="false">'SALES Raw'!C47</f>
        <v>3</v>
      </c>
      <c r="E3272" s="19" t="n">
        <f aca="false">'SALES Raw'!D47</f>
        <v>112.37</v>
      </c>
      <c r="F3272" s="19" t="n">
        <f aca="false">'SALES Raw'!E47*$H$4</f>
        <v>2.52631578947368</v>
      </c>
      <c r="G3272" s="19" t="n">
        <f aca="false">'SALES Raw'!F47*$H$4</f>
        <v>94.6231578947368</v>
      </c>
      <c r="H3272" s="18" t="str">
        <f aca="false">'SALES Raw'!A47</f>
        <v>101 - Factory customers</v>
      </c>
    </row>
    <row r="3273" customFormat="false" ht="15" hidden="false" customHeight="false" outlineLevel="0" collapsed="false">
      <c r="A3273" s="18" t="n">
        <f aca="false">'SALES Raw'!G51</f>
        <v>4411022</v>
      </c>
      <c r="B3273" s="18" t="str">
        <f aca="false">'SALES Raw'!B51</f>
        <v>212 M</v>
      </c>
      <c r="C3273" s="18" t="str">
        <f aca="false">'SALES Raw'!H51</f>
        <v>212M כפפות אגודל לחץ</v>
      </c>
      <c r="D3273" s="19" t="n">
        <f aca="false">'SALES Raw'!C51</f>
        <v>21</v>
      </c>
      <c r="E3273" s="19" t="n">
        <f aca="false">'SALES Raw'!D51</f>
        <v>811.15</v>
      </c>
      <c r="F3273" s="19" t="n">
        <f aca="false">'SALES Raw'!E51*$H$4</f>
        <v>2.52631578947368</v>
      </c>
      <c r="G3273" s="19" t="n">
        <f aca="false">'SALES Raw'!F51*$H$4</f>
        <v>87.1326315789474</v>
      </c>
      <c r="H3273" s="18" t="str">
        <f aca="false">'SALES Raw'!A51</f>
        <v>101 - Factory customers</v>
      </c>
    </row>
    <row r="3274" customFormat="false" ht="15" hidden="false" customHeight="false" outlineLevel="0" collapsed="false">
      <c r="A3274" s="18" t="n">
        <f aca="false">'SALES Raw'!G53</f>
        <v>4415029</v>
      </c>
      <c r="B3274" s="18" t="str">
        <f aca="false">'SALES Raw'!B53</f>
        <v>237 0</v>
      </c>
      <c r="C3274" s="18" t="str">
        <f aca="false">'SALES Raw'!H53</f>
        <v>סד קיבוע לאצבע הדק</v>
      </c>
      <c r="D3274" s="19" t="n">
        <f aca="false">'SALES Raw'!C53</f>
        <v>9</v>
      </c>
      <c r="E3274" s="19" t="n">
        <f aca="false">'SALES Raw'!D53</f>
        <v>243.37</v>
      </c>
      <c r="F3274" s="19" t="n">
        <f aca="false">'SALES Raw'!E53*$H$4</f>
        <v>2.52631578947368</v>
      </c>
      <c r="G3274" s="19" t="n">
        <f aca="false">'SALES Raw'!F53*$H$4</f>
        <v>38.4378947368421</v>
      </c>
      <c r="H3274" s="18" t="str">
        <f aca="false">'SALES Raw'!A53</f>
        <v>101 - Factory customers</v>
      </c>
    </row>
    <row r="3275" customFormat="false" ht="15" hidden="false" customHeight="false" outlineLevel="0" collapsed="false">
      <c r="A3275" s="18" t="n">
        <f aca="false">'SALES Raw'!G69</f>
        <v>4413372</v>
      </c>
      <c r="B3275" s="18" t="str">
        <f aca="false">'SALES Raw'!B69</f>
        <v>302W 0</v>
      </c>
      <c r="C3275" s="18" t="str">
        <f aca="false">'SALES Raw'!H69</f>
        <v>302 W מדרס לאישה</v>
      </c>
      <c r="D3275" s="19" t="n">
        <f aca="false">'SALES Raw'!C69</f>
        <v>174</v>
      </c>
      <c r="E3275" s="19" t="n">
        <f aca="false">'SALES Raw'!D69</f>
        <v>355.54</v>
      </c>
      <c r="F3275" s="19" t="n">
        <f aca="false">'SALES Raw'!E69*$H$4</f>
        <v>2.52631578947368</v>
      </c>
      <c r="G3275" s="19" t="n">
        <f aca="false">'SALES Raw'!F69*$H$4</f>
        <v>89.9494736842105</v>
      </c>
      <c r="H3275" s="18" t="str">
        <f aca="false">'SALES Raw'!A69</f>
        <v>101 - Factory customers</v>
      </c>
    </row>
    <row r="3276" customFormat="false" ht="15" hidden="false" customHeight="false" outlineLevel="0" collapsed="false">
      <c r="A3276" s="18" t="n">
        <f aca="false">'SALES Raw'!G89</f>
        <v>4413490</v>
      </c>
      <c r="B3276" s="18" t="str">
        <f aca="false">'SALES Raw'!B89</f>
        <v>35B L</v>
      </c>
      <c r="C3276" s="18" t="str">
        <f aca="false">'SALES Raw'!H89</f>
        <v>35B L מגן קרסול שחור</v>
      </c>
      <c r="D3276" s="19" t="n">
        <f aca="false">'SALES Raw'!C89</f>
        <v>1</v>
      </c>
      <c r="E3276" s="19" t="n">
        <f aca="false">'SALES Raw'!D89</f>
        <v>30.89</v>
      </c>
      <c r="F3276" s="19" t="n">
        <f aca="false">'SALES Raw'!E89*$H$4</f>
        <v>2.52631578947368</v>
      </c>
      <c r="G3276" s="19" t="n">
        <f aca="false">'SALES Raw'!F89*$H$4</f>
        <v>78.0378947368421</v>
      </c>
      <c r="H3276" s="18" t="str">
        <f aca="false">'SALES Raw'!A89</f>
        <v>101 - Factory customers</v>
      </c>
    </row>
    <row r="3277" customFormat="false" ht="15" hidden="false" customHeight="false" outlineLevel="0" collapsed="false">
      <c r="A3277" s="18" t="n">
        <f aca="false">'SALES Raw'!G112</f>
        <v>4413307</v>
      </c>
      <c r="B3277" s="18" t="str">
        <f aca="false">'SALES Raw'!B112</f>
        <v>3667 0</v>
      </c>
      <c r="C3277" s="18" t="str">
        <f aca="false">'SALES Raw'!H112</f>
        <v>URI 3667 מגן בוניון</v>
      </c>
      <c r="D3277" s="19" t="n">
        <f aca="false">'SALES Raw'!C112</f>
        <v>4</v>
      </c>
      <c r="E3277" s="19" t="n">
        <f aca="false">'SALES Raw'!D112</f>
        <v>131.07</v>
      </c>
      <c r="F3277" s="19" t="n">
        <f aca="false">'SALES Raw'!E112*$H$4</f>
        <v>2.52631578947368</v>
      </c>
      <c r="G3277" s="19" t="n">
        <f aca="false">'SALES Raw'!F112*$H$4</f>
        <v>82.7747368421053</v>
      </c>
      <c r="H3277" s="18" t="str">
        <f aca="false">'SALES Raw'!A112</f>
        <v>101 - Factory customers</v>
      </c>
    </row>
    <row r="3278" customFormat="false" ht="15" hidden="false" customHeight="false" outlineLevel="0" collapsed="false">
      <c r="A3278" s="18" t="n">
        <f aca="false">'SALES Raw'!G114</f>
        <v>4421003</v>
      </c>
      <c r="B3278" s="18" t="str">
        <f aca="false">'SALES Raw'!B114</f>
        <v>3672 0</v>
      </c>
      <c r="C3278" s="18" t="str">
        <f aca="false">'SALES Raw'!H114</f>
        <v>3672 שרוול מגן לבוניון</v>
      </c>
      <c r="D3278" s="19" t="n">
        <f aca="false">'SALES Raw'!C114</f>
        <v>4</v>
      </c>
      <c r="E3278" s="19" t="n">
        <f aca="false">'SALES Raw'!D114</f>
        <v>149.82</v>
      </c>
      <c r="F3278" s="19" t="n">
        <f aca="false">'SALES Raw'!E114*$H$4</f>
        <v>2.52631578947368</v>
      </c>
      <c r="G3278" s="19" t="n">
        <f aca="false">'SALES Raw'!F114*$H$4</f>
        <v>94.6105263157895</v>
      </c>
      <c r="H3278" s="18" t="str">
        <f aca="false">'SALES Raw'!A114</f>
        <v>101 - Factory customers</v>
      </c>
    </row>
    <row r="3279" customFormat="false" ht="15" hidden="false" customHeight="false" outlineLevel="0" collapsed="false">
      <c r="A3279" s="18" t="n">
        <f aca="false">'SALES Raw'!G129</f>
        <v>4408069</v>
      </c>
      <c r="B3279" s="18" t="str">
        <f aca="false">'SALES Raw'!B129</f>
        <v>38 0</v>
      </c>
      <c r="C3279" s="18" t="str">
        <f aca="false">'SALES Raw'!H129</f>
        <v>38 .חבישת""""הלוקס ולגוס""""לאחר נית</v>
      </c>
      <c r="D3279" s="19" t="n">
        <f aca="false">'SALES Raw'!C129</f>
        <v>1</v>
      </c>
      <c r="E3279" s="19" t="n">
        <f aca="false">'SALES Raw'!D129</f>
        <v>89.01</v>
      </c>
      <c r="F3279" s="19" t="n">
        <f aca="false">'SALES Raw'!E129*$H$4</f>
        <v>2.52631578947368</v>
      </c>
      <c r="G3279" s="19" t="n">
        <f aca="false">'SALES Raw'!F129*$H$4</f>
        <v>224.867368421053</v>
      </c>
      <c r="H3279" s="18" t="str">
        <f aca="false">'SALES Raw'!A129</f>
        <v>101 - Factory customers</v>
      </c>
    </row>
    <row r="3280" customFormat="false" ht="15" hidden="false" customHeight="false" outlineLevel="0" collapsed="false">
      <c r="A3280" s="18" t="n">
        <f aca="false">'SALES Raw'!G130</f>
        <v>4413452</v>
      </c>
      <c r="B3280" s="18" t="str">
        <f aca="false">'SALES Raw'!B130</f>
        <v>386 0</v>
      </c>
      <c r="C3280" s="18" t="str">
        <f aca="false">'SALES Raw'!H130</f>
        <v>386  מיישר בוניון-האלוקס ולגוס</v>
      </c>
      <c r="D3280" s="19" t="n">
        <f aca="false">'SALES Raw'!C130</f>
        <v>16</v>
      </c>
      <c r="E3280" s="19" t="n">
        <f aca="false">'SALES Raw'!D130</f>
        <v>767.87</v>
      </c>
      <c r="F3280" s="19" t="n">
        <f aca="false">'SALES Raw'!E130*$H$4</f>
        <v>2.52631578947368</v>
      </c>
      <c r="G3280" s="19" t="n">
        <f aca="false">'SALES Raw'!F130*$H$4</f>
        <v>119.482105263158</v>
      </c>
      <c r="H3280" s="18" t="str">
        <f aca="false">'SALES Raw'!A130</f>
        <v>101 - Factory customers</v>
      </c>
    </row>
    <row r="3281" customFormat="false" ht="15" hidden="false" customHeight="false" outlineLevel="0" collapsed="false">
      <c r="A3281" s="18" t="n">
        <f aca="false">'SALES Raw'!G134</f>
        <v>4403000</v>
      </c>
      <c r="B3281" s="18" t="str">
        <f aca="false">'SALES Raw'!B134</f>
        <v>390B-35-38</v>
      </c>
      <c r="C3281" s="18" t="str">
        <f aca="false">'SALES Raw'!H134</f>
        <v>390B גרב.כסף לסכרתים שחור35-38</v>
      </c>
      <c r="D3281" s="19" t="n">
        <f aca="false">'SALES Raw'!C134</f>
        <v>3</v>
      </c>
      <c r="E3281" s="19" t="n">
        <f aca="false">'SALES Raw'!D134</f>
        <v>105.32</v>
      </c>
      <c r="F3281" s="19" t="n">
        <f aca="false">'SALES Raw'!E134*$H$4</f>
        <v>2.52631578947368</v>
      </c>
      <c r="G3281" s="19" t="n">
        <f aca="false">'SALES Raw'!F134*$H$4</f>
        <v>88.6989473684211</v>
      </c>
      <c r="H3281" s="18" t="str">
        <f aca="false">'SALES Raw'!A134</f>
        <v>101 - Factory customers</v>
      </c>
    </row>
    <row r="3282" customFormat="false" ht="15" hidden="false" customHeight="false" outlineLevel="0" collapsed="false">
      <c r="A3282" s="18" t="n">
        <f aca="false">'SALES Raw'!G149</f>
        <v>4403044</v>
      </c>
      <c r="B3282" s="18" t="str">
        <f aca="false">'SALES Raw'!B149</f>
        <v>395B-39-42</v>
      </c>
      <c r="C3282" s="18" t="str">
        <f aca="false">'SALES Raw'!H149</f>
        <v>395B גרבי קיץ אנטי בקטריא39-42</v>
      </c>
      <c r="D3282" s="19" t="n">
        <f aca="false">'SALES Raw'!C149</f>
        <v>0</v>
      </c>
      <c r="E3282" s="19" t="n">
        <f aca="false">'SALES Raw'!D149</f>
        <v>0</v>
      </c>
      <c r="F3282" s="19" t="n">
        <f aca="false">'SALES Raw'!E149*$H$4</f>
        <v>2.52631578947368</v>
      </c>
      <c r="G3282" s="19" t="n">
        <f aca="false">'SALES Raw'!F149*$H$4</f>
        <v>38.4757894736842</v>
      </c>
      <c r="H3282" s="18" t="str">
        <f aca="false">'SALES Raw'!A149</f>
        <v>101 - Factory customers</v>
      </c>
    </row>
    <row r="3283" customFormat="false" ht="15" hidden="false" customHeight="false" outlineLevel="0" collapsed="false">
      <c r="A3283" s="18" t="n">
        <f aca="false">'SALES Raw'!G165</f>
        <v>4413099</v>
      </c>
      <c r="B3283" s="18" t="str">
        <f aca="false">'SALES Raw'!B165</f>
        <v>45C M</v>
      </c>
      <c r="C3283" s="18" t="str">
        <f aca="false">'SALES Raw'!H165</f>
        <v>45C M מגן ברך חום</v>
      </c>
      <c r="D3283" s="19" t="n">
        <f aca="false">'SALES Raw'!C165</f>
        <v>20</v>
      </c>
      <c r="E3283" s="19" t="n">
        <f aca="false">'SALES Raw'!D165</f>
        <v>613.74</v>
      </c>
      <c r="F3283" s="19" t="n">
        <f aca="false">'SALES Raw'!E165*$H$4</f>
        <v>2.52631578947368</v>
      </c>
      <c r="G3283" s="19" t="n">
        <f aca="false">'SALES Raw'!F165*$H$4</f>
        <v>78.0378947368421</v>
      </c>
      <c r="H3283" s="18" t="str">
        <f aca="false">'SALES Raw'!A165</f>
        <v>101 - Factory customers</v>
      </c>
    </row>
    <row r="3284" customFormat="false" ht="15" hidden="false" customHeight="false" outlineLevel="0" collapsed="false">
      <c r="A3284" s="18" t="n">
        <f aca="false">'SALES Raw'!G173</f>
        <v>4413395</v>
      </c>
      <c r="B3284" s="18" t="str">
        <f aca="false">'SALES Raw'!B173</f>
        <v>45EC M</v>
      </c>
      <c r="C3284" s="18" t="str">
        <f aca="false">'SALES Raw'!H173</f>
        <v>45EC M 'מגן ברך ארוך בז</v>
      </c>
      <c r="D3284" s="19" t="n">
        <f aca="false">'SALES Raw'!C173</f>
        <v>5</v>
      </c>
      <c r="E3284" s="19" t="n">
        <f aca="false">'SALES Raw'!D173</f>
        <v>199.76</v>
      </c>
      <c r="F3284" s="19" t="n">
        <f aca="false">'SALES Raw'!E173*$H$4</f>
        <v>2.52631578947368</v>
      </c>
      <c r="G3284" s="19" t="n">
        <f aca="false">'SALES Raw'!F173*$H$4</f>
        <v>94.6231578947368</v>
      </c>
      <c r="H3284" s="18" t="str">
        <f aca="false">'SALES Raw'!A173</f>
        <v>101 - Factory customers</v>
      </c>
    </row>
    <row r="3285" customFormat="false" ht="15" hidden="false" customHeight="false" outlineLevel="0" collapsed="false">
      <c r="A3285" s="18" t="n">
        <f aca="false">'SALES Raw'!G178</f>
        <v>4408076</v>
      </c>
      <c r="B3285" s="18" t="str">
        <f aca="false">'SALES Raw'!B178</f>
        <v>59L L</v>
      </c>
      <c r="C3285" s="18" t="str">
        <f aca="false">'SALES Raw'!H178</f>
        <v>59L L חגורת שבר לצד שמאל</v>
      </c>
      <c r="D3285" s="19" t="n">
        <f aca="false">'SALES Raw'!C178</f>
        <v>5</v>
      </c>
      <c r="E3285" s="19" t="n">
        <f aca="false">'SALES Raw'!D178</f>
        <v>874.8</v>
      </c>
      <c r="F3285" s="19" t="n">
        <f aca="false">'SALES Raw'!E178*$H$4</f>
        <v>2.52631578947368</v>
      </c>
      <c r="G3285" s="19" t="n">
        <f aca="false">'SALES Raw'!F178*$H$4</f>
        <v>353.696842105263</v>
      </c>
      <c r="H3285" s="18" t="str">
        <f aca="false">'SALES Raw'!A178</f>
        <v>101 - Factory customers</v>
      </c>
    </row>
    <row r="3286" customFormat="false" ht="15" hidden="false" customHeight="false" outlineLevel="0" collapsed="false">
      <c r="A3286" s="18" t="n">
        <f aca="false">'SALES Raw'!G180</f>
        <v>4408081</v>
      </c>
      <c r="B3286" s="18" t="str">
        <f aca="false">'SALES Raw'!B180</f>
        <v>59R M</v>
      </c>
      <c r="C3286" s="18" t="str">
        <f aca="false">'SALES Raw'!H180</f>
        <v>59R M חגורת שבר לצד ימין</v>
      </c>
      <c r="D3286" s="19" t="n">
        <f aca="false">'SALES Raw'!C180</f>
        <v>2</v>
      </c>
      <c r="E3286" s="19" t="n">
        <f aca="false">'SALES Raw'!D180</f>
        <v>371.77</v>
      </c>
      <c r="F3286" s="19" t="n">
        <f aca="false">'SALES Raw'!E180*$H$4</f>
        <v>2.52631578947368</v>
      </c>
      <c r="G3286" s="19" t="n">
        <f aca="false">'SALES Raw'!F180*$H$4</f>
        <v>353.684210526316</v>
      </c>
      <c r="H3286" s="18" t="str">
        <f aca="false">'SALES Raw'!A180</f>
        <v>101 - Factory customers</v>
      </c>
    </row>
    <row r="3287" customFormat="false" ht="15" hidden="false" customHeight="false" outlineLevel="0" collapsed="false">
      <c r="A3287" s="18" t="n">
        <f aca="false">'SALES Raw'!G208</f>
        <v>4413138</v>
      </c>
      <c r="B3287" s="18" t="str">
        <f aca="false">'SALES Raw'!B208</f>
        <v>85 XL</v>
      </c>
      <c r="C3287" s="18" t="str">
        <f aca="false">'SALES Raw'!H208</f>
        <v>85 XL (מתלה ליד )כיס</v>
      </c>
      <c r="D3287" s="19" t="n">
        <f aca="false">'SALES Raw'!C208</f>
        <v>1</v>
      </c>
      <c r="E3287" s="19" t="n">
        <f aca="false">'SALES Raw'!D208</f>
        <v>56.67</v>
      </c>
      <c r="F3287" s="19" t="n">
        <f aca="false">'SALES Raw'!E208*$H$4</f>
        <v>2.52631578947368</v>
      </c>
      <c r="G3287" s="19" t="n">
        <f aca="false">'SALES Raw'!F208*$H$4</f>
        <v>123.776842105263</v>
      </c>
      <c r="H3287" s="18" t="str">
        <f aca="false">'SALES Raw'!A208</f>
        <v>101 - Factory customers</v>
      </c>
    </row>
    <row r="3288" customFormat="false" ht="15" hidden="false" customHeight="false" outlineLevel="0" collapsed="false">
      <c r="A3288" s="18" t="n">
        <f aca="false">'SALES Raw'!G213</f>
        <v>4413455</v>
      </c>
      <c r="B3288" s="18" t="str">
        <f aca="false">'SALES Raw'!B213</f>
        <v>85K 0</v>
      </c>
      <c r="C3288" s="18" t="str">
        <f aca="false">'SALES Raw'!H213</f>
        <v>85K מתלה ליד לילדים</v>
      </c>
      <c r="D3288" s="19" t="n">
        <f aca="false">'SALES Raw'!C213</f>
        <v>17</v>
      </c>
      <c r="E3288" s="19" t="n">
        <f aca="false">'SALES Raw'!D213</f>
        <v>831.59</v>
      </c>
      <c r="F3288" s="19" t="n">
        <f aca="false">'SALES Raw'!E213*$H$4</f>
        <v>2.52631578947368</v>
      </c>
      <c r="G3288" s="19" t="n">
        <f aca="false">'SALES Raw'!F213*$H$4</f>
        <v>131.317894736842</v>
      </c>
      <c r="H3288" s="18" t="str">
        <f aca="false">'SALES Raw'!A213</f>
        <v>101 - Factory customers</v>
      </c>
    </row>
    <row r="3289" customFormat="false" ht="15" hidden="false" customHeight="false" outlineLevel="0" collapsed="false">
      <c r="A3289" s="18" t="n">
        <f aca="false">'SALES Raw'!G224</f>
        <v>4415026</v>
      </c>
      <c r="B3289" s="18" t="str">
        <f aca="false">'SALES Raw'!B224</f>
        <v>AC27L 0</v>
      </c>
      <c r="C3289" s="18" t="str">
        <f aca="false">'SALES Raw'!H224</f>
        <v>AC-27L סד לש.כף יד שמאל</v>
      </c>
      <c r="D3289" s="19" t="n">
        <f aca="false">'SALES Raw'!C224</f>
        <v>4</v>
      </c>
      <c r="E3289" s="19" t="n">
        <f aca="false">'SALES Raw'!D224</f>
        <v>180.59</v>
      </c>
      <c r="F3289" s="19" t="n">
        <f aca="false">'SALES Raw'!E224*$H$4</f>
        <v>2.52631578947368</v>
      </c>
      <c r="G3289" s="19" t="n">
        <f aca="false">'SALES Raw'!F224*$H$4</f>
        <v>118.282105263158</v>
      </c>
      <c r="H3289" s="18" t="str">
        <f aca="false">'SALES Raw'!A224</f>
        <v>101 - Factory customers</v>
      </c>
    </row>
    <row r="3290" customFormat="false" ht="15" hidden="false" customHeight="false" outlineLevel="0" collapsed="false">
      <c r="A3290" s="18" t="n">
        <f aca="false">'SALES Raw'!G225</f>
        <v>4415027</v>
      </c>
      <c r="B3290" s="18" t="str">
        <f aca="false">'SALES Raw'!B225</f>
        <v>AC27R 0</v>
      </c>
      <c r="C3290" s="18" t="str">
        <f aca="false">'SALES Raw'!H225</f>
        <v>AC-27R סד לש.כף יד ימין</v>
      </c>
      <c r="D3290" s="19" t="n">
        <f aca="false">'SALES Raw'!C225</f>
        <v>3</v>
      </c>
      <c r="E3290" s="19" t="n">
        <f aca="false">'SALES Raw'!D225</f>
        <v>46.84</v>
      </c>
      <c r="F3290" s="19" t="n">
        <f aca="false">'SALES Raw'!E225*$H$4</f>
        <v>2.52631578947368</v>
      </c>
      <c r="G3290" s="19" t="n">
        <f aca="false">'SALES Raw'!F225*$H$4</f>
        <v>59.1536842105263</v>
      </c>
      <c r="H3290" s="18" t="str">
        <f aca="false">'SALES Raw'!A225</f>
        <v>101 - Factory customers</v>
      </c>
    </row>
    <row r="3291" customFormat="false" ht="15" hidden="false" customHeight="false" outlineLevel="0" collapsed="false">
      <c r="A3291" s="18" t="n">
        <f aca="false">'SALES Raw'!G233</f>
        <v>4413149</v>
      </c>
      <c r="B3291" s="18" t="str">
        <f aca="false">'SALES Raw'!B233</f>
        <v>FC321 0</v>
      </c>
      <c r="C3291" s="18" t="str">
        <f aca="false">'SALES Raw'!H233</f>
        <v>FC321-מלח אמבט לכף הרגל</v>
      </c>
      <c r="D3291" s="19" t="n">
        <f aca="false">'SALES Raw'!C233</f>
        <v>13</v>
      </c>
      <c r="E3291" s="19" t="n">
        <f aca="false">'SALES Raw'!D233</f>
        <v>182.32</v>
      </c>
      <c r="F3291" s="19" t="n">
        <f aca="false">'SALES Raw'!E233*$H$4</f>
        <v>2.52631578947368</v>
      </c>
      <c r="G3291" s="19" t="n">
        <f aca="false">'SALES Raw'!F233*$H$4</f>
        <v>35.4063157894737</v>
      </c>
      <c r="H3291" s="18" t="str">
        <f aca="false">'SALES Raw'!A233</f>
        <v>101 - Factory customers</v>
      </c>
    </row>
    <row r="3292" customFormat="false" ht="15" hidden="false" customHeight="false" outlineLevel="0" collapsed="false">
      <c r="A3292" s="18" t="n">
        <f aca="false">'SALES Raw'!G244</f>
        <v>4401002</v>
      </c>
      <c r="B3292" s="18" t="str">
        <f aca="false">'SALES Raw'!B244</f>
        <v>PD344 0</v>
      </c>
      <c r="C3292" s="18" t="str">
        <f aca="false">'SALES Raw'!H244</f>
        <v>PD 344-אבן טבעית להסרת עור קשה</v>
      </c>
      <c r="D3292" s="19" t="n">
        <f aca="false">'SALES Raw'!C244</f>
        <v>9</v>
      </c>
      <c r="E3292" s="19" t="n">
        <f aca="false">'SALES Raw'!D244</f>
        <v>78.87</v>
      </c>
      <c r="F3292" s="19" t="n">
        <f aca="false">'SALES Raw'!E244*$H$4</f>
        <v>2.52631578947368</v>
      </c>
      <c r="G3292" s="19" t="n">
        <f aca="false">'SALES Raw'!F244*$H$4</f>
        <v>21.3094736842105</v>
      </c>
      <c r="H3292" s="18" t="str">
        <f aca="false">'SALES Raw'!A244</f>
        <v>101 - Factory customers</v>
      </c>
    </row>
    <row r="3293" customFormat="false" ht="15" hidden="false" customHeight="false" outlineLevel="0" collapsed="false">
      <c r="A3293" s="18" t="n">
        <f aca="false">'SALES Raw'!G245</f>
        <v>4415080</v>
      </c>
      <c r="B3293" s="18" t="str">
        <f aca="false">'SALES Raw'!B245</f>
        <v>PD346 0</v>
      </c>
      <c r="C3293" s="18" t="str">
        <f aca="false">'SALES Raw'!H245</f>
        <v>PD346-10 סכינים למקצוע</v>
      </c>
      <c r="D3293" s="19" t="n">
        <f aca="false">'SALES Raw'!C245</f>
        <v>6</v>
      </c>
      <c r="E3293" s="19" t="n">
        <f aca="false">'SALES Raw'!D245</f>
        <v>58.76</v>
      </c>
      <c r="F3293" s="19" t="n">
        <f aca="false">'SALES Raw'!E245*$H$4</f>
        <v>2.52631578947368</v>
      </c>
      <c r="G3293" s="19" t="n">
        <f aca="false">'SALES Raw'!F245*$H$4</f>
        <v>24.7326315789474</v>
      </c>
      <c r="H3293" s="18" t="str">
        <f aca="false">'SALES Raw'!A245</f>
        <v>101 - Factory customers</v>
      </c>
    </row>
    <row r="3294" customFormat="false" ht="15" hidden="false" customHeight="false" outlineLevel="0" collapsed="false">
      <c r="A3294" s="18" t="n">
        <f aca="false">'SALES Raw'!G261</f>
        <v>4413534</v>
      </c>
      <c r="B3294" s="18" t="str">
        <f aca="false">'SALES Raw'!B261</f>
        <v>SH333 0</v>
      </c>
      <c r="C3294" s="18" t="str">
        <f aca="false">'SALES Raw'!H261</f>
        <v>SH333 מקבע קרסול</v>
      </c>
      <c r="D3294" s="19" t="n">
        <f aca="false">'SALES Raw'!C261</f>
        <v>0</v>
      </c>
      <c r="E3294" s="19" t="n">
        <f aca="false">'SALES Raw'!D261</f>
        <v>0</v>
      </c>
      <c r="F3294" s="19" t="n">
        <f aca="false">'SALES Raw'!E261*$H$4</f>
        <v>2.52631578947368</v>
      </c>
      <c r="G3294" s="19" t="n">
        <f aca="false">'SALES Raw'!F261*$H$4</f>
        <v>207.183157894737</v>
      </c>
      <c r="H3294" s="18" t="str">
        <f aca="false">'SALES Raw'!A261</f>
        <v>101 - Factory customers</v>
      </c>
    </row>
    <row r="3295" customFormat="false" ht="15" hidden="false" customHeight="false" outlineLevel="0" collapsed="false">
      <c r="A3295" s="18" t="str">
        <f aca="false">'SALES Raw'!G265</f>
        <v/>
      </c>
      <c r="B3295" s="18" t="str">
        <f aca="false">'SALES Raw'!B265</f>
        <v>T03 L</v>
      </c>
      <c r="C3295" s="18" t="str">
        <f aca="false">'SALES Raw'!H265</f>
        <v>T03 L</v>
      </c>
      <c r="D3295" s="19" t="n">
        <f aca="false">'SALES Raw'!C265</f>
        <v>1</v>
      </c>
      <c r="E3295" s="19" t="n">
        <f aca="false">'SALES Raw'!D265</f>
        <v>111.04</v>
      </c>
      <c r="F3295" s="19" t="n">
        <f aca="false">'SALES Raw'!E265*$H$4</f>
        <v>2.52631578947368</v>
      </c>
      <c r="G3295" s="19" t="n">
        <f aca="false">'SALES Raw'!F265*$H$4</f>
        <v>280.522105263158</v>
      </c>
      <c r="H3295" s="18" t="str">
        <f aca="false">'SALES Raw'!A265</f>
        <v>101 - Factory customers</v>
      </c>
    </row>
    <row r="3296" customFormat="false" ht="15" hidden="false" customHeight="false" outlineLevel="0" collapsed="false">
      <c r="A3296" s="18" t="n">
        <f aca="false">'SALES Raw'!G286</f>
        <v>4422006</v>
      </c>
      <c r="B3296" s="18" t="str">
        <f aca="false">'SALES Raw'!B286</f>
        <v>T78 L</v>
      </c>
      <c r="C3296" s="18" t="str">
        <f aca="false">'SALES Raw'!H286</f>
        <v>T78 L תומך זרוע וכתף</v>
      </c>
      <c r="D3296" s="19" t="n">
        <f aca="false">'SALES Raw'!C286</f>
        <v>5</v>
      </c>
      <c r="E3296" s="19" t="n">
        <f aca="false">'SALES Raw'!D286</f>
        <v>787.91</v>
      </c>
      <c r="F3296" s="19" t="n">
        <f aca="false">'SALES Raw'!E286*$H$4</f>
        <v>2.52631578947368</v>
      </c>
      <c r="G3296" s="19" t="n">
        <f aca="false">'SALES Raw'!F286*$H$4</f>
        <v>328.421052631579</v>
      </c>
      <c r="H3296" s="18" t="str">
        <f aca="false">'SALES Raw'!A286</f>
        <v>101 - Factory customers</v>
      </c>
    </row>
    <row r="3297" customFormat="false" ht="15" hidden="false" customHeight="false" outlineLevel="0" collapsed="false">
      <c r="A3297" s="18" t="str">
        <f aca="false">'SALES Raw'!G292</f>
        <v/>
      </c>
      <c r="B3297" s="18" t="str">
        <f aca="false">'SALES Raw'!B292</f>
        <v>07AE XL</v>
      </c>
      <c r="C3297" s="18" t="str">
        <f aca="false">'SALES Raw'!H292</f>
        <v>07AE XL</v>
      </c>
      <c r="D3297" s="19" t="n">
        <f aca="false">'SALES Raw'!C292</f>
        <v>0</v>
      </c>
      <c r="E3297" s="19" t="n">
        <f aca="false">'SALES Raw'!D292</f>
        <v>0</v>
      </c>
      <c r="F3297" s="19" t="n">
        <f aca="false">'SALES Raw'!E292*$H$4</f>
        <v>2.52631578947368</v>
      </c>
      <c r="G3297" s="19" t="n">
        <f aca="false">'SALES Raw'!F292*$H$4</f>
        <v>991.023157894737</v>
      </c>
      <c r="H3297" s="18" t="str">
        <f aca="false">'SALES Raw'!A292</f>
        <v>101 - Factory customers</v>
      </c>
    </row>
    <row r="3298" customFormat="false" ht="15" hidden="false" customHeight="false" outlineLevel="0" collapsed="false">
      <c r="A3298" s="18" t="n">
        <f aca="false">'SALES Raw'!G296</f>
        <v>4408149</v>
      </c>
      <c r="B3298" s="18" t="str">
        <f aca="false">'SALES Raw'!B296</f>
        <v>11PS XXL</v>
      </c>
      <c r="C3298" s="18" t="str">
        <f aca="false">'SALES Raw'!H296</f>
        <v>11PS XXLחגורה למנותחי בטן</v>
      </c>
      <c r="D3298" s="19" t="n">
        <f aca="false">'SALES Raw'!C296</f>
        <v>0</v>
      </c>
      <c r="E3298" s="19" t="n">
        <f aca="false">'SALES Raw'!D296</f>
        <v>0</v>
      </c>
      <c r="F3298" s="19" t="n">
        <f aca="false">'SALES Raw'!E296*$H$4</f>
        <v>2.52631578947368</v>
      </c>
      <c r="G3298" s="19" t="n">
        <f aca="false">'SALES Raw'!F296*$H$4</f>
        <v>343.288421052632</v>
      </c>
      <c r="H3298" s="18" t="str">
        <f aca="false">'SALES Raw'!A296</f>
        <v>101 - Factory customers</v>
      </c>
    </row>
    <row r="3299" customFormat="false" ht="15" hidden="false" customHeight="false" outlineLevel="0" collapsed="false">
      <c r="A3299" s="18" t="n">
        <f aca="false">'SALES Raw'!G307</f>
        <v>4420036</v>
      </c>
      <c r="B3299" s="18" t="str">
        <f aca="false">'SALES Raw'!B307</f>
        <v>301CM-41-45</v>
      </c>
      <c r="C3299" s="18" t="str">
        <f aca="false">'SALES Raw'!H307</f>
        <v>301CM 41-45 'רפידת ג'ל בז</v>
      </c>
      <c r="D3299" s="19" t="n">
        <f aca="false">'SALES Raw'!C307</f>
        <v>0</v>
      </c>
      <c r="E3299" s="19" t="n">
        <f aca="false">'SALES Raw'!D307</f>
        <v>0</v>
      </c>
      <c r="F3299" s="19" t="n">
        <f aca="false">'SALES Raw'!E307*$H$4</f>
        <v>2.52631578947368</v>
      </c>
      <c r="G3299" s="19" t="n">
        <f aca="false">'SALES Raw'!F307*$H$4</f>
        <v>179.861052631579</v>
      </c>
      <c r="H3299" s="18" t="str">
        <f aca="false">'SALES Raw'!A307</f>
        <v>101 - Factory customers</v>
      </c>
    </row>
    <row r="3300" customFormat="false" ht="15" hidden="false" customHeight="false" outlineLevel="0" collapsed="false">
      <c r="A3300" s="18" t="n">
        <f aca="false">'SALES Raw'!G314</f>
        <v>4413050</v>
      </c>
      <c r="B3300" s="18" t="str">
        <f aca="false">'SALES Raw'!B314</f>
        <v>35 XL</v>
      </c>
      <c r="C3300" s="18" t="str">
        <f aca="false">'SALES Raw'!H314</f>
        <v>35 XL מגן קרסול לבן</v>
      </c>
      <c r="D3300" s="19" t="n">
        <f aca="false">'SALES Raw'!C314</f>
        <v>2</v>
      </c>
      <c r="E3300" s="19" t="n">
        <f aca="false">'SALES Raw'!D314</f>
        <v>61.79</v>
      </c>
      <c r="F3300" s="19" t="n">
        <f aca="false">'SALES Raw'!E314*$H$4</f>
        <v>2.52631578947368</v>
      </c>
      <c r="G3300" s="19" t="n">
        <f aca="false">'SALES Raw'!F314*$H$4</f>
        <v>78.0378947368421</v>
      </c>
      <c r="H3300" s="18" t="str">
        <f aca="false">'SALES Raw'!A314</f>
        <v>101 - Factory customers</v>
      </c>
    </row>
    <row r="3301" customFormat="false" ht="15" hidden="false" customHeight="false" outlineLevel="0" collapsed="false">
      <c r="A3301" s="18" t="n">
        <f aca="false">'SALES Raw'!G336</f>
        <v>4413102</v>
      </c>
      <c r="B3301" s="18" t="str">
        <f aca="false">'SALES Raw'!B336</f>
        <v>45E L</v>
      </c>
      <c r="C3301" s="18" t="str">
        <f aca="false">'SALES Raw'!H336</f>
        <v>45E  L        מגן ברך ארוך לבן</v>
      </c>
      <c r="D3301" s="19" t="n">
        <f aca="false">'SALES Raw'!C336</f>
        <v>2</v>
      </c>
      <c r="E3301" s="19" t="n">
        <f aca="false">'SALES Raw'!D336</f>
        <v>71.76</v>
      </c>
      <c r="F3301" s="19" t="n">
        <f aca="false">'SALES Raw'!E336*$H$4</f>
        <v>2.52631578947368</v>
      </c>
      <c r="G3301" s="19" t="n">
        <f aca="false">'SALES Raw'!F336*$H$4</f>
        <v>94.6357894736842</v>
      </c>
      <c r="H3301" s="18" t="str">
        <f aca="false">'SALES Raw'!A336</f>
        <v>101 - Factory customers</v>
      </c>
    </row>
    <row r="3302" customFormat="false" ht="15" hidden="false" customHeight="false" outlineLevel="0" collapsed="false">
      <c r="A3302" s="18" t="str">
        <f aca="false">'SALES Raw'!G347</f>
        <v/>
      </c>
      <c r="B3302" s="18" t="str">
        <f aca="false">'SALES Raw'!B347</f>
        <v>50 S</v>
      </c>
      <c r="C3302" s="18" t="str">
        <f aca="false">'SALES Raw'!H347</f>
        <v>50 S</v>
      </c>
      <c r="D3302" s="19" t="n">
        <f aca="false">'SALES Raw'!C347</f>
        <v>0</v>
      </c>
      <c r="E3302" s="19" t="n">
        <f aca="false">'SALES Raw'!D347</f>
        <v>0</v>
      </c>
      <c r="F3302" s="19" t="n">
        <f aca="false">'SALES Raw'!E347*$H$4</f>
        <v>2.52631578947368</v>
      </c>
      <c r="G3302" s="19" t="n">
        <f aca="false">'SALES Raw'!F347*$H$4</f>
        <v>280.509473684211</v>
      </c>
      <c r="H3302" s="18" t="str">
        <f aca="false">'SALES Raw'!A347</f>
        <v>101 - Factory customers</v>
      </c>
    </row>
    <row r="3303" customFormat="false" ht="15" hidden="false" customHeight="false" outlineLevel="0" collapsed="false">
      <c r="A3303" s="18" t="n">
        <f aca="false">'SALES Raw'!G350</f>
        <v>4408075</v>
      </c>
      <c r="B3303" s="18" t="str">
        <f aca="false">'SALES Raw'!B350</f>
        <v>59L S</v>
      </c>
      <c r="C3303" s="18" t="str">
        <f aca="false">'SALES Raw'!H350</f>
        <v>59L S חגורת שבר לצד שמאל</v>
      </c>
      <c r="D3303" s="19" t="n">
        <f aca="false">'SALES Raw'!C350</f>
        <v>4</v>
      </c>
      <c r="E3303" s="19" t="n">
        <f aca="false">'SALES Raw'!D350</f>
        <v>574.44</v>
      </c>
      <c r="F3303" s="19" t="n">
        <f aca="false">'SALES Raw'!E350*$H$4</f>
        <v>2.52631578947368</v>
      </c>
      <c r="G3303" s="19" t="n">
        <f aca="false">'SALES Raw'!F350*$H$4</f>
        <v>353.684210526316</v>
      </c>
      <c r="H3303" s="18" t="str">
        <f aca="false">'SALES Raw'!A350</f>
        <v>101 - Factory customers</v>
      </c>
    </row>
    <row r="3304" customFormat="false" ht="15" hidden="false" customHeight="false" outlineLevel="0" collapsed="false">
      <c r="A3304" s="18" t="n">
        <f aca="false">'SALES Raw'!G353</f>
        <v>4408082</v>
      </c>
      <c r="B3304" s="18" t="str">
        <f aca="false">'SALES Raw'!B353</f>
        <v>59R XL</v>
      </c>
      <c r="C3304" s="18" t="str">
        <f aca="false">'SALES Raw'!H353</f>
        <v>59R XL חגורת שבר לצד ימין</v>
      </c>
      <c r="D3304" s="19" t="n">
        <f aca="false">'SALES Raw'!C353</f>
        <v>1</v>
      </c>
      <c r="E3304" s="19" t="n">
        <f aca="false">'SALES Raw'!D353</f>
        <v>125</v>
      </c>
      <c r="F3304" s="19" t="n">
        <f aca="false">'SALES Raw'!E353*$H$4</f>
        <v>2.52631578947368</v>
      </c>
      <c r="G3304" s="19" t="n">
        <f aca="false">'SALES Raw'!F353*$H$4</f>
        <v>353.684210526316</v>
      </c>
      <c r="H3304" s="18" t="str">
        <f aca="false">'SALES Raw'!A353</f>
        <v>101 - Factory customers</v>
      </c>
    </row>
    <row r="3305" customFormat="false" ht="15" hidden="false" customHeight="false" outlineLevel="0" collapsed="false">
      <c r="A3305" s="18" t="str">
        <f aca="false">'SALES Raw'!G355</f>
        <v/>
      </c>
      <c r="B3305" s="18" t="str">
        <f aca="false">'SALES Raw'!B355</f>
        <v>63 M</v>
      </c>
      <c r="C3305" s="18" t="str">
        <f aca="false">'SALES Raw'!H355</f>
        <v>63 M</v>
      </c>
      <c r="D3305" s="19" t="n">
        <f aca="false">'SALES Raw'!C355</f>
        <v>0</v>
      </c>
      <c r="E3305" s="19" t="n">
        <f aca="false">'SALES Raw'!D355</f>
        <v>0</v>
      </c>
      <c r="F3305" s="19" t="n">
        <f aca="false">'SALES Raw'!E355*$H$4</f>
        <v>2.52631578947368</v>
      </c>
      <c r="G3305" s="19" t="n">
        <f aca="false">'SALES Raw'!F355*$H$4</f>
        <v>168.025263157895</v>
      </c>
      <c r="H3305" s="18" t="str">
        <f aca="false">'SALES Raw'!A355</f>
        <v>101 - Factory customers</v>
      </c>
    </row>
    <row r="3306" customFormat="false" ht="15" hidden="false" customHeight="false" outlineLevel="0" collapsed="false">
      <c r="A3306" s="18" t="str">
        <f aca="false">'SALES Raw'!G356</f>
        <v/>
      </c>
      <c r="B3306" s="18" t="str">
        <f aca="false">'SALES Raw'!B356</f>
        <v>63 S</v>
      </c>
      <c r="C3306" s="18" t="str">
        <f aca="false">'SALES Raw'!H356</f>
        <v>63 S</v>
      </c>
      <c r="D3306" s="19" t="n">
        <f aca="false">'SALES Raw'!C356</f>
        <v>0</v>
      </c>
      <c r="E3306" s="19" t="n">
        <f aca="false">'SALES Raw'!D356</f>
        <v>0</v>
      </c>
      <c r="F3306" s="19" t="n">
        <f aca="false">'SALES Raw'!E356*$H$4</f>
        <v>2.52631578947368</v>
      </c>
      <c r="G3306" s="19" t="n">
        <f aca="false">'SALES Raw'!F356*$H$4</f>
        <v>168.025263157895</v>
      </c>
      <c r="H3306" s="18" t="str">
        <f aca="false">'SALES Raw'!A356</f>
        <v>101 - Factory customers</v>
      </c>
    </row>
    <row r="3307" customFormat="false" ht="15" hidden="false" customHeight="false" outlineLevel="0" collapsed="false">
      <c r="A3307" s="18" t="n">
        <f aca="false">'SALES Raw'!G357</f>
        <v>4413165</v>
      </c>
      <c r="B3307" s="18" t="str">
        <f aca="false">'SALES Raw'!B357</f>
        <v>74-L-XL</v>
      </c>
      <c r="C3307" s="18" t="str">
        <f aca="false">'SALES Raw'!H357</f>
        <v>74 L-XL מיצב כתפיים</v>
      </c>
      <c r="D3307" s="19" t="n">
        <f aca="false">'SALES Raw'!C357</f>
        <v>0</v>
      </c>
      <c r="E3307" s="19" t="n">
        <f aca="false">'SALES Raw'!D357</f>
        <v>0</v>
      </c>
      <c r="F3307" s="19" t="n">
        <f aca="false">'SALES Raw'!E357*$H$4</f>
        <v>2.52631578947368</v>
      </c>
      <c r="G3307" s="19" t="n">
        <f aca="false">'SALES Raw'!F357*$H$4</f>
        <v>328.408421052632</v>
      </c>
      <c r="H3307" s="18" t="str">
        <f aca="false">'SALES Raw'!A357</f>
        <v>101 - Factory customers</v>
      </c>
    </row>
    <row r="3308" customFormat="false" ht="15" hidden="false" customHeight="false" outlineLevel="0" collapsed="false">
      <c r="A3308" s="18" t="n">
        <f aca="false">'SALES Raw'!G358</f>
        <v>4413131</v>
      </c>
      <c r="B3308" s="18" t="str">
        <f aca="false">'SALES Raw'!B358</f>
        <v>76 S</v>
      </c>
      <c r="C3308" s="18" t="str">
        <f aca="false">'SALES Raw'!H358</f>
        <v>76 Sמיישר כתף יציב יישור ג.רחב</v>
      </c>
      <c r="D3308" s="19" t="n">
        <f aca="false">'SALES Raw'!C358</f>
        <v>0</v>
      </c>
      <c r="E3308" s="19" t="n">
        <f aca="false">'SALES Raw'!D358</f>
        <v>0</v>
      </c>
      <c r="F3308" s="19" t="n">
        <f aca="false">'SALES Raw'!E358*$H$4</f>
        <v>2.52631578947368</v>
      </c>
      <c r="G3308" s="19" t="n">
        <f aca="false">'SALES Raw'!F358*$H$4</f>
        <v>404.197894736842</v>
      </c>
      <c r="H3308" s="18" t="str">
        <f aca="false">'SALES Raw'!A358</f>
        <v>101 - Factory customers</v>
      </c>
    </row>
    <row r="3309" customFormat="false" ht="15" hidden="false" customHeight="false" outlineLevel="0" collapsed="false">
      <c r="A3309" s="18" t="n">
        <f aca="false">'SALES Raw'!G372</f>
        <v>4413176</v>
      </c>
      <c r="B3309" s="18" t="str">
        <f aca="false">'SALES Raw'!B372</f>
        <v>85+ L</v>
      </c>
      <c r="C3309" s="18" t="str">
        <f aca="false">'SALES Raw'!H372</f>
        <v>85+ Lמתלה ליד)כיס(+רצועת חיזוק</v>
      </c>
      <c r="D3309" s="19" t="n">
        <f aca="false">'SALES Raw'!C372</f>
        <v>2</v>
      </c>
      <c r="E3309" s="19" t="n">
        <f aca="false">'SALES Raw'!D372</f>
        <v>139.99</v>
      </c>
      <c r="F3309" s="19" t="n">
        <f aca="false">'SALES Raw'!E372*$H$4</f>
        <v>2.52631578947368</v>
      </c>
      <c r="G3309" s="19" t="n">
        <f aca="false">'SALES Raw'!F372*$H$4</f>
        <v>176.829473684211</v>
      </c>
      <c r="H3309" s="18" t="str">
        <f aca="false">'SALES Raw'!A372</f>
        <v>101 - Factory customers</v>
      </c>
    </row>
    <row r="3310" customFormat="false" ht="15" hidden="false" customHeight="false" outlineLevel="0" collapsed="false">
      <c r="A3310" s="18" t="n">
        <f aca="false">'SALES Raw'!G373</f>
        <v>4413175</v>
      </c>
      <c r="B3310" s="18" t="str">
        <f aca="false">'SALES Raw'!B373</f>
        <v>85+ M</v>
      </c>
      <c r="C3310" s="18" t="str">
        <f aca="false">'SALES Raw'!H373</f>
        <v>85+ Mמתלה ליד)כיס(+רצועת חיזוק</v>
      </c>
      <c r="D3310" s="19" t="n">
        <f aca="false">'SALES Raw'!C373</f>
        <v>1</v>
      </c>
      <c r="E3310" s="19" t="n">
        <f aca="false">'SALES Raw'!D373</f>
        <v>119.77</v>
      </c>
      <c r="F3310" s="19" t="n">
        <f aca="false">'SALES Raw'!E373*$H$4</f>
        <v>2.52631578947368</v>
      </c>
      <c r="G3310" s="19" t="n">
        <f aca="false">'SALES Raw'!F373*$H$4</f>
        <v>176.829473684211</v>
      </c>
      <c r="H3310" s="18" t="str">
        <f aca="false">'SALES Raw'!A373</f>
        <v>101 - Factory customers</v>
      </c>
    </row>
    <row r="3311" customFormat="false" ht="15" hidden="false" customHeight="false" outlineLevel="0" collapsed="false">
      <c r="A3311" s="18" t="n">
        <f aca="false">'SALES Raw'!G374</f>
        <v>4413177</v>
      </c>
      <c r="B3311" s="18" t="str">
        <f aca="false">'SALES Raw'!B374</f>
        <v>85+ XL</v>
      </c>
      <c r="C3311" s="18" t="str">
        <f aca="false">'SALES Raw'!H374</f>
        <v>85+ XLמתלה ליד)כיס(רצועת חיזוק</v>
      </c>
      <c r="D3311" s="19" t="n">
        <f aca="false">'SALES Raw'!C374</f>
        <v>0</v>
      </c>
      <c r="E3311" s="19" t="n">
        <f aca="false">'SALES Raw'!D374</f>
        <v>0</v>
      </c>
      <c r="F3311" s="19" t="n">
        <f aca="false">'SALES Raw'!E374*$H$4</f>
        <v>2.52631578947368</v>
      </c>
      <c r="G3311" s="19" t="n">
        <f aca="false">'SALES Raw'!F374*$H$4</f>
        <v>176.829473684211</v>
      </c>
      <c r="H3311" s="18" t="str">
        <f aca="false">'SALES Raw'!A374</f>
        <v>101 - Factory customers</v>
      </c>
    </row>
    <row r="3312" customFormat="false" ht="15" hidden="false" customHeight="false" outlineLevel="0" collapsed="false">
      <c r="A3312" s="18" t="n">
        <f aca="false">'SALES Raw'!G381</f>
        <v>4413139</v>
      </c>
      <c r="B3312" s="18" t="str">
        <f aca="false">'SALES Raw'!B381</f>
        <v>95 L</v>
      </c>
      <c r="C3312" s="18" t="str">
        <f aca="false">'SALES Raw'!H381</f>
        <v>95 L מגן מרפק רגיל לבן</v>
      </c>
      <c r="D3312" s="19" t="n">
        <f aca="false">'SALES Raw'!C381</f>
        <v>2</v>
      </c>
      <c r="E3312" s="19" t="n">
        <f aca="false">'SALES Raw'!D381</f>
        <v>61.79</v>
      </c>
      <c r="F3312" s="19" t="n">
        <f aca="false">'SALES Raw'!E381*$H$4</f>
        <v>2.52631578947368</v>
      </c>
      <c r="G3312" s="19" t="n">
        <f aca="false">'SALES Raw'!F381*$H$4</f>
        <v>78.0378947368421</v>
      </c>
      <c r="H3312" s="18" t="str">
        <f aca="false">'SALES Raw'!A381</f>
        <v>101 - Factory customers</v>
      </c>
    </row>
    <row r="3313" customFormat="false" ht="15" hidden="false" customHeight="false" outlineLevel="0" collapsed="false">
      <c r="A3313" s="18" t="n">
        <f aca="false">'SALES Raw'!G392</f>
        <v>4413441</v>
      </c>
      <c r="B3313" s="18" t="str">
        <f aca="false">'SALES Raw'!B392</f>
        <v>SC422 XL</v>
      </c>
      <c r="C3313" s="18" t="str">
        <f aca="false">'SALES Raw'!H392</f>
        <v>SC422 XL מגן ברך</v>
      </c>
      <c r="D3313" s="19" t="n">
        <f aca="false">'SALES Raw'!C392</f>
        <v>0</v>
      </c>
      <c r="E3313" s="19" t="n">
        <f aca="false">'SALES Raw'!D392</f>
        <v>0</v>
      </c>
      <c r="F3313" s="19" t="n">
        <f aca="false">'SALES Raw'!E392*$H$4</f>
        <v>2.52631578947368</v>
      </c>
      <c r="G3313" s="19" t="n">
        <f aca="false">'SALES Raw'!F392*$H$4</f>
        <v>355.136842105263</v>
      </c>
      <c r="H3313" s="18" t="str">
        <f aca="false">'SALES Raw'!A392</f>
        <v>101 - Factory customers</v>
      </c>
    </row>
    <row r="3314" customFormat="false" ht="15" hidden="false" customHeight="false" outlineLevel="0" collapsed="false">
      <c r="A3314" s="18" t="n">
        <f aca="false">'SALES Raw'!G393</f>
        <v>4413408</v>
      </c>
      <c r="B3314" s="18" t="str">
        <f aca="false">'SALES Raw'!B393</f>
        <v>SC95 XL</v>
      </c>
      <c r="C3314" s="18" t="str">
        <f aca="false">'SALES Raw'!H393</f>
        <v>SC95 XLמגן מרפק</v>
      </c>
      <c r="D3314" s="19" t="n">
        <f aca="false">'SALES Raw'!C393</f>
        <v>2</v>
      </c>
      <c r="E3314" s="19" t="n">
        <f aca="false">'SALES Raw'!D393</f>
        <v>154.59</v>
      </c>
      <c r="F3314" s="19" t="n">
        <f aca="false">'SALES Raw'!E393*$H$4</f>
        <v>2.52631578947368</v>
      </c>
      <c r="G3314" s="19" t="n">
        <f aca="false">'SALES Raw'!F393*$H$4</f>
        <v>252.429473684211</v>
      </c>
      <c r="H3314" s="18" t="str">
        <f aca="false">'SALES Raw'!A393</f>
        <v>101 - Factory customers</v>
      </c>
    </row>
    <row r="3315" customFormat="false" ht="15" hidden="false" customHeight="false" outlineLevel="0" collapsed="false">
      <c r="A3315" s="18" t="n">
        <f aca="false">'SALES Raw'!G410</f>
        <v>4408265</v>
      </c>
      <c r="B3315" s="18" t="str">
        <f aca="false">'SALES Raw'!B410</f>
        <v>078 XXL</v>
      </c>
      <c r="C3315" s="18" t="str">
        <f aca="false">'SALES Raw'!H410</f>
        <v>078XXL חגורת גב +סגירה כפולה</v>
      </c>
      <c r="D3315" s="19" t="n">
        <f aca="false">'SALES Raw'!C410</f>
        <v>0</v>
      </c>
      <c r="E3315" s="19" t="n">
        <f aca="false">'SALES Raw'!D410</f>
        <v>0</v>
      </c>
      <c r="F3315" s="19" t="n">
        <f aca="false">'SALES Raw'!E410*$H$4</f>
        <v>2.52631578947368</v>
      </c>
      <c r="G3315" s="19" t="n">
        <f aca="false">'SALES Raw'!F410*$H$4</f>
        <v>404.21052631579</v>
      </c>
      <c r="H3315" s="18" t="str">
        <f aca="false">'SALES Raw'!A410</f>
        <v>101 - Factory customers</v>
      </c>
    </row>
    <row r="3316" customFormat="false" ht="15" hidden="false" customHeight="false" outlineLevel="0" collapsed="false">
      <c r="A3316" s="18" t="n">
        <f aca="false">'SALES Raw'!G420</f>
        <v>4411027</v>
      </c>
      <c r="B3316" s="18" t="str">
        <f aca="false">'SALES Raw'!B420</f>
        <v>213CTSL M</v>
      </c>
      <c r="C3316" s="18" t="str">
        <f aca="false">'SALES Raw'!H420</f>
        <v>213CTSL M שמאל CTS כפפות</v>
      </c>
      <c r="D3316" s="19" t="n">
        <f aca="false">'SALES Raw'!C420</f>
        <v>2</v>
      </c>
      <c r="E3316" s="19" t="n">
        <f aca="false">'SALES Raw'!D420</f>
        <v>312.36</v>
      </c>
      <c r="F3316" s="19" t="n">
        <f aca="false">'SALES Raw'!E420*$H$4</f>
        <v>2.52631578947368</v>
      </c>
      <c r="G3316" s="19" t="n">
        <f aca="false">'SALES Raw'!F420*$H$4</f>
        <v>300.934736842105</v>
      </c>
      <c r="H3316" s="18" t="str">
        <f aca="false">'SALES Raw'!A420</f>
        <v>101 - Factory customers</v>
      </c>
    </row>
    <row r="3317" customFormat="false" ht="15" hidden="false" customHeight="false" outlineLevel="0" collapsed="false">
      <c r="A3317" s="18" t="str">
        <f aca="false">'SALES Raw'!G427</f>
        <v/>
      </c>
      <c r="B3317" s="18" t="str">
        <f aca="false">'SALES Raw'!B427</f>
        <v>LU302M 0</v>
      </c>
      <c r="C3317" s="18" t="str">
        <f aca="false">'SALES Raw'!H427</f>
        <v>LU302M 0</v>
      </c>
      <c r="D3317" s="19" t="n">
        <f aca="false">'SALES Raw'!C427</f>
        <v>11</v>
      </c>
      <c r="E3317" s="19" t="n">
        <f aca="false">'SALES Raw'!D427</f>
        <v>188.91</v>
      </c>
      <c r="F3317" s="19" t="n">
        <f aca="false">'SALES Raw'!E427*$H$4</f>
        <v>2.52631578947368</v>
      </c>
      <c r="G3317" s="19" t="n">
        <f aca="false">'SALES Raw'!F427*$H$4</f>
        <v>0.0252631578947368</v>
      </c>
      <c r="H3317" s="18" t="str">
        <f aca="false">'SALES Raw'!A427</f>
        <v>101 - Factory customers</v>
      </c>
    </row>
    <row r="3318" customFormat="false" ht="15" hidden="false" customHeight="false" outlineLevel="0" collapsed="false">
      <c r="A3318" s="18" t="str">
        <f aca="false">'SALES Raw'!G428</f>
        <v/>
      </c>
      <c r="B3318" s="18" t="str">
        <f aca="false">'SALES Raw'!B428</f>
        <v>LU302W 0</v>
      </c>
      <c r="C3318" s="18" t="str">
        <f aca="false">'SALES Raw'!H428</f>
        <v>LU302W 0</v>
      </c>
      <c r="D3318" s="19" t="n">
        <f aca="false">'SALES Raw'!C428</f>
        <v>23</v>
      </c>
      <c r="E3318" s="19" t="n">
        <f aca="false">'SALES Raw'!D428</f>
        <v>897.21</v>
      </c>
      <c r="F3318" s="19" t="n">
        <f aca="false">'SALES Raw'!E428*$H$4</f>
        <v>2.52631578947368</v>
      </c>
      <c r="G3318" s="19" t="n">
        <f aca="false">'SALES Raw'!F428*$H$4</f>
        <v>0.0252631578947368</v>
      </c>
      <c r="H3318" s="18" t="str">
        <f aca="false">'SALES Raw'!A428</f>
        <v>101 - Factory customers</v>
      </c>
    </row>
    <row r="3319" customFormat="false" ht="15" hidden="false" customHeight="false" outlineLevel="0" collapsed="false">
      <c r="A3319" s="18" t="n">
        <f aca="false">'SALES Raw'!G438</f>
        <v>4413522</v>
      </c>
      <c r="B3319" s="18" t="str">
        <f aca="false">'SALES Raw'!B438</f>
        <v>379MSP-43-46</v>
      </c>
      <c r="C3319" s="18" t="str">
        <f aca="false">'SALES Raw'!H438</f>
        <v>מדרסי אפיק ג'ל מולט.ספורט43-47</v>
      </c>
      <c r="D3319" s="19" t="n">
        <f aca="false">'SALES Raw'!C438</f>
        <v>8</v>
      </c>
      <c r="E3319" s="19" t="n">
        <f aca="false">'SALES Raw'!D438</f>
        <v>794.57</v>
      </c>
      <c r="F3319" s="19" t="n">
        <f aca="false">'SALES Raw'!E438*$H$4</f>
        <v>2.52631578947368</v>
      </c>
      <c r="G3319" s="19" t="n">
        <f aca="false">'SALES Raw'!F438*$H$4</f>
        <v>270.72</v>
      </c>
      <c r="H3319" s="18" t="str">
        <f aca="false">'SALES Raw'!A438</f>
        <v>101 - Factory customers</v>
      </c>
    </row>
    <row r="3320" customFormat="false" ht="15" hidden="false" customHeight="false" outlineLevel="0" collapsed="false">
      <c r="A3320" s="18" t="str">
        <f aca="false">'SALES Raw'!G464</f>
        <v/>
      </c>
      <c r="B3320" s="18" t="str">
        <f aca="false">'SALES Raw'!B464</f>
        <v>809PW-C</v>
      </c>
      <c r="C3320" s="18" t="str">
        <f aca="false">'SALES Raw'!H464</f>
        <v>809PW-C</v>
      </c>
      <c r="D3320" s="19" t="n">
        <f aca="false">'SALES Raw'!C464</f>
        <v>0</v>
      </c>
      <c r="E3320" s="19" t="n">
        <f aca="false">'SALES Raw'!D464</f>
        <v>0</v>
      </c>
      <c r="F3320" s="19" t="n">
        <f aca="false">'SALES Raw'!E464*$H$4</f>
        <v>2.52631578947368</v>
      </c>
      <c r="G3320" s="19" t="n">
        <f aca="false">'SALES Raw'!F464*$H$4</f>
        <v>0.0252631578947368</v>
      </c>
      <c r="H3320" s="18" t="str">
        <f aca="false">'SALES Raw'!A464</f>
        <v>101 - Factory customers</v>
      </c>
    </row>
    <row r="3321" customFormat="false" ht="15" hidden="false" customHeight="false" outlineLevel="0" collapsed="false">
      <c r="A3321" s="18" t="str">
        <f aca="false">'SALES Raw'!G472</f>
        <v/>
      </c>
      <c r="B3321" s="18" t="str">
        <f aca="false">'SALES Raw'!B472</f>
        <v>MSG002S 0</v>
      </c>
      <c r="C3321" s="18" t="str">
        <f aca="false">'SALES Raw'!H472</f>
        <v>MSG002S 0</v>
      </c>
      <c r="D3321" s="19" t="n">
        <f aca="false">'SALES Raw'!C472</f>
        <v>0</v>
      </c>
      <c r="E3321" s="19" t="n">
        <f aca="false">'SALES Raw'!D472</f>
        <v>0</v>
      </c>
      <c r="F3321" s="19" t="n">
        <f aca="false">'SALES Raw'!E472*$H$4</f>
        <v>2.52631578947368</v>
      </c>
      <c r="G3321" s="19" t="n">
        <f aca="false">'SALES Raw'!F472*$H$4</f>
        <v>0</v>
      </c>
      <c r="H3321" s="18" t="str">
        <f aca="false">'SALES Raw'!A472</f>
        <v>101 - Factory customers</v>
      </c>
    </row>
    <row r="3322" customFormat="false" ht="15" hidden="false" customHeight="false" outlineLevel="0" collapsed="false">
      <c r="A3322" s="18" t="str">
        <f aca="false">'SALES Raw'!G473</f>
        <v/>
      </c>
      <c r="B3322" s="18" t="str">
        <f aca="false">'SALES Raw'!B473</f>
        <v>N433D M</v>
      </c>
      <c r="C3322" s="18" t="str">
        <f aca="false">'SALES Raw'!H473</f>
        <v>N433D M</v>
      </c>
      <c r="D3322" s="19" t="n">
        <f aca="false">'SALES Raw'!C473</f>
        <v>4</v>
      </c>
      <c r="E3322" s="19" t="n">
        <f aca="false">'SALES Raw'!D473</f>
        <v>1186.25</v>
      </c>
      <c r="F3322" s="19" t="n">
        <f aca="false">'SALES Raw'!E473*$H$4</f>
        <v>2.52631578947368</v>
      </c>
      <c r="G3322" s="19" t="n">
        <f aca="false">'SALES Raw'!F473*$H$4</f>
        <v>749.229473684211</v>
      </c>
      <c r="H3322" s="18" t="str">
        <f aca="false">'SALES Raw'!A473</f>
        <v>101 - Factory customers</v>
      </c>
    </row>
    <row r="3323" customFormat="false" ht="15" hidden="false" customHeight="false" outlineLevel="0" collapsed="false">
      <c r="A3323" s="18" t="str">
        <f aca="false">'SALES Raw'!G474</f>
        <v/>
      </c>
      <c r="B3323" s="18" t="str">
        <f aca="false">'SALES Raw'!B474</f>
        <v>N433D XL</v>
      </c>
      <c r="C3323" s="18" t="str">
        <f aca="false">'SALES Raw'!H474</f>
        <v>N433D XL</v>
      </c>
      <c r="D3323" s="19" t="n">
        <f aca="false">'SALES Raw'!C474</f>
        <v>0</v>
      </c>
      <c r="E3323" s="19" t="n">
        <f aca="false">'SALES Raw'!D474</f>
        <v>0</v>
      </c>
      <c r="F3323" s="19" t="n">
        <f aca="false">'SALES Raw'!E474*$H$4</f>
        <v>2.52631578947368</v>
      </c>
      <c r="G3323" s="19" t="n">
        <f aca="false">'SALES Raw'!F474*$H$4</f>
        <v>749.229473684211</v>
      </c>
      <c r="H3323" s="18" t="str">
        <f aca="false">'SALES Raw'!A474</f>
        <v>101 - Factory customers</v>
      </c>
    </row>
    <row r="3324" customFormat="false" ht="15" hidden="false" customHeight="false" outlineLevel="0" collapsed="false">
      <c r="A3324" s="18" t="n">
        <f aca="false">'SALES Raw'!G476</f>
        <v>4422038</v>
      </c>
      <c r="B3324" s="18" t="str">
        <f aca="false">'SALES Raw'!B476</f>
        <v>SH422 2</v>
      </c>
      <c r="C3324" s="18" t="str">
        <f aca="false">'SALES Raw'!H476</f>
        <v>SH422 2 תומך ברך גנושילד</v>
      </c>
      <c r="D3324" s="19" t="n">
        <f aca="false">'SALES Raw'!C476</f>
        <v>1</v>
      </c>
      <c r="E3324" s="19" t="n">
        <f aca="false">'SALES Raw'!D476</f>
        <v>281.17</v>
      </c>
      <c r="F3324" s="19" t="n">
        <f aca="false">'SALES Raw'!E476*$H$4</f>
        <v>2.52631578947368</v>
      </c>
      <c r="G3324" s="19" t="n">
        <f aca="false">'SALES Raw'!F476*$H$4</f>
        <v>481.604210526316</v>
      </c>
      <c r="H3324" s="18" t="str">
        <f aca="false">'SALES Raw'!A476</f>
        <v>101 - Factory customers</v>
      </c>
    </row>
    <row r="3325" customFormat="false" ht="15" hidden="false" customHeight="false" outlineLevel="0" collapsed="false">
      <c r="A3325" s="18" t="n">
        <f aca="false">'SALES Raw'!G488</f>
        <v>4415177</v>
      </c>
      <c r="B3325" s="18" t="str">
        <f aca="false">'SALES Raw'!B488</f>
        <v>ST28 0</v>
      </c>
      <c r="C3325" s="18" t="str">
        <f aca="false">'SALES Raw'!H488</f>
        <v>ST28 סד אגודלי עם מוט תמיכה</v>
      </c>
      <c r="D3325" s="19" t="n">
        <f aca="false">'SALES Raw'!C488</f>
        <v>2</v>
      </c>
      <c r="E3325" s="19" t="n">
        <f aca="false">'SALES Raw'!D488</f>
        <v>57.07</v>
      </c>
      <c r="F3325" s="19" t="n">
        <f aca="false">'SALES Raw'!E488*$H$4</f>
        <v>2.52631578947368</v>
      </c>
      <c r="G3325" s="19" t="n">
        <f aca="false">'SALES Raw'!F488*$H$4</f>
        <v>35.4947368421053</v>
      </c>
      <c r="H3325" s="18" t="str">
        <f aca="false">'SALES Raw'!A488</f>
        <v>101 - Factory customers</v>
      </c>
    </row>
    <row r="3326" customFormat="false" ht="15" hidden="false" customHeight="false" outlineLevel="0" collapsed="false">
      <c r="A3326" s="18" t="n">
        <f aca="false">'SALES Raw'!G491</f>
        <v>4402011</v>
      </c>
      <c r="B3326" s="18" t="str">
        <f aca="false">'SALES Raw'!B491</f>
        <v>ST422 0</v>
      </c>
      <c r="C3326" s="18" t="str">
        <f aca="false">'SALES Raw'!H491</f>
        <v>S-XLST422 מגן ברך+כרית ג'ל</v>
      </c>
      <c r="D3326" s="19" t="n">
        <f aca="false">'SALES Raw'!C491</f>
        <v>4</v>
      </c>
      <c r="E3326" s="19" t="n">
        <f aca="false">'SALES Raw'!D491</f>
        <v>249.88</v>
      </c>
      <c r="F3326" s="19" t="n">
        <f aca="false">'SALES Raw'!E491*$H$4</f>
        <v>2.52631578947368</v>
      </c>
      <c r="G3326" s="19" t="n">
        <f aca="false">'SALES Raw'!F491*$H$4</f>
        <v>157.818947368421</v>
      </c>
      <c r="H3326" s="18" t="str">
        <f aca="false">'SALES Raw'!A491</f>
        <v>101 - Factory customers</v>
      </c>
    </row>
    <row r="3327" customFormat="false" ht="15" hidden="false" customHeight="false" outlineLevel="0" collapsed="false">
      <c r="A3327" s="18" t="str">
        <f aca="false">'SALES Raw'!G501</f>
        <v/>
      </c>
      <c r="B3327" s="18" t="str">
        <f aca="false">'SALES Raw'!B501</f>
        <v>T95 XL</v>
      </c>
      <c r="C3327" s="18" t="str">
        <f aca="false">'SALES Raw'!H501</f>
        <v>T95 XL</v>
      </c>
      <c r="D3327" s="19" t="n">
        <f aca="false">'SALES Raw'!C501</f>
        <v>1</v>
      </c>
      <c r="E3327" s="19" t="n">
        <f aca="false">'SALES Raw'!D501</f>
        <v>85.54</v>
      </c>
      <c r="F3327" s="19" t="n">
        <f aca="false">'SALES Raw'!E501*$H$4</f>
        <v>2.52631578947368</v>
      </c>
      <c r="G3327" s="19" t="n">
        <f aca="false">'SALES Raw'!F501*$H$4</f>
        <v>303.372631578947</v>
      </c>
      <c r="H3327" s="18" t="str">
        <f aca="false">'SALES Raw'!A501</f>
        <v>101 - Factory customers</v>
      </c>
    </row>
    <row r="3328" customFormat="false" ht="15" hidden="false" customHeight="false" outlineLevel="0" collapsed="false">
      <c r="A3328" s="18" t="str">
        <f aca="false">'SALES Raw'!G510</f>
        <v/>
      </c>
      <c r="B3328" s="18" t="str">
        <f aca="false">'SALES Raw'!B510</f>
        <v>N433D L</v>
      </c>
      <c r="C3328" s="18" t="str">
        <f aca="false">'SALES Raw'!H510</f>
        <v>N433D L</v>
      </c>
      <c r="D3328" s="19" t="n">
        <f aca="false">'SALES Raw'!C510</f>
        <v>1</v>
      </c>
      <c r="E3328" s="19" t="n">
        <f aca="false">'SALES Raw'!D510</f>
        <v>296.56</v>
      </c>
      <c r="F3328" s="19" t="n">
        <f aca="false">'SALES Raw'!E510*$H$4</f>
        <v>2.52631578947368</v>
      </c>
      <c r="G3328" s="19" t="n">
        <f aca="false">'SALES Raw'!F510*$H$4</f>
        <v>749.229473684211</v>
      </c>
      <c r="H3328" s="18" t="str">
        <f aca="false">'SALES Raw'!A510</f>
        <v>101 - Factory customers</v>
      </c>
    </row>
    <row r="3329" customFormat="false" ht="15" hidden="false" customHeight="false" outlineLevel="0" collapsed="false">
      <c r="A3329" s="18" t="n">
        <f aca="false">'SALES Raw'!G527</f>
        <v>4408134</v>
      </c>
      <c r="B3329" s="18" t="str">
        <f aca="false">'SALES Raw'!B527</f>
        <v>077A-S-M</v>
      </c>
      <c r="C3329" s="18" t="str">
        <f aca="false">'SALES Raw'!H527</f>
        <v>077A S-M חגורת גב</v>
      </c>
      <c r="D3329" s="19" t="n">
        <f aca="false">'SALES Raw'!C527</f>
        <v>10</v>
      </c>
      <c r="E3329" s="19" t="n">
        <f aca="false">'SALES Raw'!D527</f>
        <v>854.75</v>
      </c>
      <c r="F3329" s="19" t="n">
        <f aca="false">'SALES Raw'!E527*$H$4</f>
        <v>2.52631578947368</v>
      </c>
      <c r="G3329" s="19" t="n">
        <f aca="false">'SALES Raw'!F527*$H$4</f>
        <v>214.686315789474</v>
      </c>
      <c r="H3329" s="18" t="str">
        <f aca="false">'SALES Raw'!A527</f>
        <v>102 - Orthopedic institutes</v>
      </c>
    </row>
    <row r="3330" customFormat="false" ht="15" hidden="false" customHeight="false" outlineLevel="0" collapsed="false">
      <c r="A3330" s="18" t="str">
        <f aca="false">'SALES Raw'!G626</f>
        <v/>
      </c>
      <c r="B3330" s="18" t="str">
        <f aca="false">'SALES Raw'!B626</f>
        <v>332B XL</v>
      </c>
      <c r="C3330" s="18" t="str">
        <f aca="false">'SALES Raw'!H626</f>
        <v>332B XL</v>
      </c>
      <c r="D3330" s="19" t="n">
        <f aca="false">'SALES Raw'!C626</f>
        <v>4</v>
      </c>
      <c r="E3330" s="19" t="n">
        <f aca="false">'SALES Raw'!D626</f>
        <v>325</v>
      </c>
      <c r="F3330" s="19" t="n">
        <f aca="false">'SALES Raw'!E626*$H$4</f>
        <v>2.52631578947368</v>
      </c>
      <c r="G3330" s="19" t="n">
        <f aca="false">'SALES Raw'!F626*$H$4</f>
        <v>189.473684210526</v>
      </c>
      <c r="H3330" s="18" t="str">
        <f aca="false">'SALES Raw'!A626</f>
        <v>102 - Orthopedic institutes</v>
      </c>
    </row>
    <row r="3331" customFormat="false" ht="15" hidden="false" customHeight="false" outlineLevel="0" collapsed="false">
      <c r="A3331" s="18" t="n">
        <f aca="false">'SALES Raw'!G643</f>
        <v>4413113</v>
      </c>
      <c r="B3331" s="18" t="str">
        <f aca="false">'SALES Raw'!B643</f>
        <v>49 M</v>
      </c>
      <c r="C3331" s="18" t="str">
        <f aca="false">'SALES Raw'!H643</f>
        <v>49  M מגן ירך</v>
      </c>
      <c r="D3331" s="19" t="n">
        <f aca="false">'SALES Raw'!C643</f>
        <v>0</v>
      </c>
      <c r="E3331" s="19" t="n">
        <f aca="false">'SALES Raw'!D643</f>
        <v>0</v>
      </c>
      <c r="F3331" s="19" t="n">
        <f aca="false">'SALES Raw'!E643*$H$4</f>
        <v>2.52631578947368</v>
      </c>
      <c r="G3331" s="19" t="n">
        <f aca="false">'SALES Raw'!F643*$H$4</f>
        <v>88.6989473684211</v>
      </c>
      <c r="H3331" s="18" t="str">
        <f aca="false">'SALES Raw'!A643</f>
        <v>102 - Orthopedic institutes</v>
      </c>
    </row>
    <row r="3332" customFormat="false" ht="15" hidden="false" customHeight="false" outlineLevel="0" collapsed="false">
      <c r="A3332" s="18" t="n">
        <f aca="false">'SALES Raw'!G644</f>
        <v>4413114</v>
      </c>
      <c r="B3332" s="18" t="str">
        <f aca="false">'SALES Raw'!B644</f>
        <v>49 XL</v>
      </c>
      <c r="C3332" s="18" t="str">
        <f aca="false">'SALES Raw'!H644</f>
        <v>49 XL מגן ירך</v>
      </c>
      <c r="D3332" s="19" t="n">
        <f aca="false">'SALES Raw'!C644</f>
        <v>1</v>
      </c>
      <c r="E3332" s="19" t="n">
        <f aca="false">'SALES Raw'!D644</f>
        <v>35.1</v>
      </c>
      <c r="F3332" s="19" t="n">
        <f aca="false">'SALES Raw'!E644*$H$4</f>
        <v>2.52631578947368</v>
      </c>
      <c r="G3332" s="19" t="n">
        <f aca="false">'SALES Raw'!F644*$H$4</f>
        <v>88.6989473684211</v>
      </c>
      <c r="H3332" s="18" t="str">
        <f aca="false">'SALES Raw'!A644</f>
        <v>102 - Orthopedic institutes</v>
      </c>
    </row>
    <row r="3333" customFormat="false" ht="15" hidden="false" customHeight="false" outlineLevel="0" collapsed="false">
      <c r="A3333" s="18" t="n">
        <f aca="false">'SALES Raw'!G646</f>
        <v>4413122</v>
      </c>
      <c r="B3333" s="18" t="str">
        <f aca="false">'SALES Raw'!B646</f>
        <v>55 L</v>
      </c>
      <c r="C3333" s="18" t="str">
        <f aca="false">'SALES Raw'!H646</f>
        <v>55 L מתלה אשכים לספורטאים</v>
      </c>
      <c r="D3333" s="19" t="n">
        <f aca="false">'SALES Raw'!C646</f>
        <v>6</v>
      </c>
      <c r="E3333" s="19" t="n">
        <f aca="false">'SALES Raw'!D646</f>
        <v>412.71</v>
      </c>
      <c r="F3333" s="19" t="n">
        <f aca="false">'SALES Raw'!E646*$H$4</f>
        <v>2.52631578947368</v>
      </c>
      <c r="G3333" s="19" t="n">
        <f aca="false">'SALES Raw'!F646*$H$4</f>
        <v>205.894736842105</v>
      </c>
      <c r="H3333" s="18" t="str">
        <f aca="false">'SALES Raw'!A646</f>
        <v>102 - Orthopedic institutes</v>
      </c>
    </row>
    <row r="3334" customFormat="false" ht="15" hidden="false" customHeight="false" outlineLevel="0" collapsed="false">
      <c r="A3334" s="18" t="str">
        <f aca="false">'SALES Raw'!G665</f>
        <v/>
      </c>
      <c r="B3334" s="18" t="str">
        <f aca="false">'SALES Raw'!B665</f>
        <v>N433D M</v>
      </c>
      <c r="C3334" s="18" t="str">
        <f aca="false">'SALES Raw'!H665</f>
        <v>N433D M</v>
      </c>
      <c r="D3334" s="19" t="n">
        <f aca="false">'SALES Raw'!C665</f>
        <v>5</v>
      </c>
      <c r="E3334" s="19" t="n">
        <f aca="false">'SALES Raw'!D665</f>
        <v>1300</v>
      </c>
      <c r="F3334" s="19" t="n">
        <f aca="false">'SALES Raw'!E665*$H$4</f>
        <v>2.52631578947368</v>
      </c>
      <c r="G3334" s="19" t="n">
        <f aca="false">'SALES Raw'!F665*$H$4</f>
        <v>656.842105263158</v>
      </c>
      <c r="H3334" s="18" t="str">
        <f aca="false">'SALES Raw'!A665</f>
        <v>102 - Orthopedic institutes</v>
      </c>
    </row>
    <row r="3335" customFormat="false" ht="15" hidden="false" customHeight="false" outlineLevel="0" collapsed="false">
      <c r="A3335" s="18" t="n">
        <f aca="false">'SALES Raw'!G669</f>
        <v>4413418</v>
      </c>
      <c r="B3335" s="18" t="str">
        <f aca="false">'SALES Raw'!B669</f>
        <v>SC39 XL</v>
      </c>
      <c r="C3335" s="18" t="str">
        <f aca="false">'SALES Raw'!H669</f>
        <v>SC39 XL מגן שוק</v>
      </c>
      <c r="D3335" s="19" t="n">
        <f aca="false">'SALES Raw'!C669</f>
        <v>8</v>
      </c>
      <c r="E3335" s="19" t="n">
        <f aca="false">'SALES Raw'!D669</f>
        <v>1218.38</v>
      </c>
      <c r="F3335" s="19" t="n">
        <f aca="false">'SALES Raw'!E669*$H$4</f>
        <v>2.52631578947368</v>
      </c>
      <c r="G3335" s="19" t="n">
        <f aca="false">'SALES Raw'!F669*$H$4</f>
        <v>414.366315789474</v>
      </c>
      <c r="H3335" s="18" t="str">
        <f aca="false">'SALES Raw'!A669</f>
        <v>102 - Orthopedic institutes</v>
      </c>
    </row>
    <row r="3336" customFormat="false" ht="15" hidden="false" customHeight="false" outlineLevel="0" collapsed="false">
      <c r="A3336" s="18" t="str">
        <f aca="false">'SALES Raw'!G684</f>
        <v/>
      </c>
      <c r="B3336" s="18" t="str">
        <f aca="false">'SALES Raw'!B684</f>
        <v>06U S</v>
      </c>
      <c r="C3336" s="18" t="str">
        <f aca="false">'SALES Raw'!H684</f>
        <v>06U S</v>
      </c>
      <c r="D3336" s="19" t="n">
        <f aca="false">'SALES Raw'!C684</f>
        <v>3</v>
      </c>
      <c r="E3336" s="19" t="n">
        <f aca="false">'SALES Raw'!D684</f>
        <v>380.16</v>
      </c>
      <c r="F3336" s="19" t="n">
        <f aca="false">'SALES Raw'!E684*$H$4</f>
        <v>2.52631578947368</v>
      </c>
      <c r="G3336" s="19" t="n">
        <f aca="false">'SALES Raw'!F684*$H$4</f>
        <v>355.174736842105</v>
      </c>
      <c r="H3336" s="18" t="str">
        <f aca="false">'SALES Raw'!A684</f>
        <v>102 - Orthopedic institutes</v>
      </c>
    </row>
    <row r="3337" customFormat="false" ht="15" hidden="false" customHeight="false" outlineLevel="0" collapsed="false">
      <c r="A3337" s="18" t="str">
        <f aca="false">'SALES Raw'!G692</f>
        <v/>
      </c>
      <c r="B3337" s="18" t="str">
        <f aca="false">'SALES Raw'!B692</f>
        <v>13 L</v>
      </c>
      <c r="C3337" s="18" t="str">
        <f aca="false">'SALES Raw'!H692</f>
        <v>13 L</v>
      </c>
      <c r="D3337" s="19" t="n">
        <f aca="false">'SALES Raw'!C692</f>
        <v>3</v>
      </c>
      <c r="E3337" s="19" t="n">
        <f aca="false">'SALES Raw'!D692</f>
        <v>314.98</v>
      </c>
      <c r="F3337" s="19" t="n">
        <f aca="false">'SALES Raw'!E692*$H$4</f>
        <v>2.52631578947368</v>
      </c>
      <c r="G3337" s="19" t="n">
        <f aca="false">'SALES Raw'!F692*$H$4</f>
        <v>290.513684210526</v>
      </c>
      <c r="H3337" s="18" t="str">
        <f aca="false">'SALES Raw'!A692</f>
        <v>102 - Orthopedic institutes</v>
      </c>
    </row>
    <row r="3338" customFormat="false" ht="15" hidden="false" customHeight="false" outlineLevel="0" collapsed="false">
      <c r="A3338" s="18" t="n">
        <f aca="false">'SALES Raw'!G699</f>
        <v>4413154</v>
      </c>
      <c r="B3338" s="18" t="str">
        <f aca="false">'SALES Raw'!B699</f>
        <v>305GA-37-38</v>
      </c>
      <c r="C3338" s="18" t="str">
        <f aca="false">'SALES Raw'!H699</f>
        <v>305GA מדרס אורטופ.מתכוון37-38</v>
      </c>
      <c r="D3338" s="19" t="n">
        <f aca="false">'SALES Raw'!C699</f>
        <v>7</v>
      </c>
      <c r="E3338" s="19" t="n">
        <f aca="false">'SALES Raw'!D699</f>
        <v>560.01</v>
      </c>
      <c r="F3338" s="19" t="n">
        <f aca="false">'SALES Raw'!E699*$H$4</f>
        <v>2.52631578947368</v>
      </c>
      <c r="G3338" s="19" t="n">
        <f aca="false">'SALES Raw'!F699*$H$4</f>
        <v>202.143157894737</v>
      </c>
      <c r="H3338" s="18" t="str">
        <f aca="false">'SALES Raw'!A699</f>
        <v>102 - Orthopedic institutes</v>
      </c>
    </row>
    <row r="3339" customFormat="false" ht="15" hidden="false" customHeight="false" outlineLevel="0" collapsed="false">
      <c r="A3339" s="18" t="str">
        <f aca="false">'SALES Raw'!G722</f>
        <v/>
      </c>
      <c r="B3339" s="18" t="str">
        <f aca="false">'SALES Raw'!B722</f>
        <v>74-S-M</v>
      </c>
      <c r="C3339" s="18" t="str">
        <f aca="false">'SALES Raw'!H722</f>
        <v>74-S-M</v>
      </c>
      <c r="D3339" s="19" t="n">
        <f aca="false">'SALES Raw'!C722</f>
        <v>7</v>
      </c>
      <c r="E3339" s="19" t="n">
        <f aca="false">'SALES Raw'!D722</f>
        <v>894.99</v>
      </c>
      <c r="F3339" s="19" t="n">
        <f aca="false">'SALES Raw'!E722*$H$4</f>
        <v>2.52631578947368</v>
      </c>
      <c r="G3339" s="19" t="n">
        <f aca="false">'SALES Raw'!F722*$H$4</f>
        <v>328.421052631579</v>
      </c>
      <c r="H3339" s="18" t="str">
        <f aca="false">'SALES Raw'!A722</f>
        <v>102 - Orthopedic institutes</v>
      </c>
    </row>
    <row r="3340" customFormat="false" ht="15" hidden="false" customHeight="false" outlineLevel="0" collapsed="false">
      <c r="A3340" s="18" t="n">
        <f aca="false">'SALES Raw'!G727</f>
        <v>4411015</v>
      </c>
      <c r="B3340" s="18" t="str">
        <f aca="false">'SALES Raw'!B727</f>
        <v>820 0</v>
      </c>
      <c r="C3340" s="18" t="str">
        <f aca="false">'SALES Raw'!H727</f>
        <v>820 0 כרית חום וקור</v>
      </c>
      <c r="D3340" s="19" t="n">
        <f aca="false">'SALES Raw'!C727</f>
        <v>6</v>
      </c>
      <c r="E3340" s="19" t="n">
        <f aca="false">'SALES Raw'!D727</f>
        <v>283.57</v>
      </c>
      <c r="F3340" s="19" t="n">
        <f aca="false">'SALES Raw'!E727*$H$4</f>
        <v>2.52631578947368</v>
      </c>
      <c r="G3340" s="19" t="n">
        <f aca="false">'SALES Raw'!F727*$H$4</f>
        <v>119.482105263158</v>
      </c>
      <c r="H3340" s="18" t="str">
        <f aca="false">'SALES Raw'!A727</f>
        <v>102 - Orthopedic institutes</v>
      </c>
    </row>
    <row r="3341" customFormat="false" ht="15" hidden="false" customHeight="false" outlineLevel="0" collapsed="false">
      <c r="A3341" s="18" t="n">
        <f aca="false">'SALES Raw'!G734</f>
        <v>4413364</v>
      </c>
      <c r="B3341" s="18" t="str">
        <f aca="false">'SALES Raw'!B734</f>
        <v>95C M</v>
      </c>
      <c r="C3341" s="18" t="str">
        <f aca="false">'SALES Raw'!H734</f>
        <v>95C M 'מגן מרפק בז</v>
      </c>
      <c r="D3341" s="19" t="n">
        <f aca="false">'SALES Raw'!C734</f>
        <v>0</v>
      </c>
      <c r="E3341" s="19" t="n">
        <f aca="false">'SALES Raw'!D734</f>
        <v>0</v>
      </c>
      <c r="F3341" s="19" t="n">
        <f aca="false">'SALES Raw'!E734*$H$4</f>
        <v>2.52631578947368</v>
      </c>
      <c r="G3341" s="19" t="n">
        <f aca="false">'SALES Raw'!F734*$H$4</f>
        <v>78.0378947368421</v>
      </c>
      <c r="H3341" s="18" t="str">
        <f aca="false">'SALES Raw'!A734</f>
        <v>102 - Orthopedic institutes</v>
      </c>
    </row>
    <row r="3342" customFormat="false" ht="15" hidden="false" customHeight="false" outlineLevel="0" collapsed="false">
      <c r="A3342" s="18" t="n">
        <f aca="false">'SALES Raw'!G735</f>
        <v>4413366</v>
      </c>
      <c r="B3342" s="18" t="str">
        <f aca="false">'SALES Raw'!B735</f>
        <v>95C S</v>
      </c>
      <c r="C3342" s="18" t="str">
        <f aca="false">'SALES Raw'!H735</f>
        <v>95C S 'מגן מרפק בז</v>
      </c>
      <c r="D3342" s="19" t="n">
        <f aca="false">'SALES Raw'!C735</f>
        <v>2</v>
      </c>
      <c r="E3342" s="19" t="n">
        <f aca="false">'SALES Raw'!D735</f>
        <v>60.63</v>
      </c>
      <c r="F3342" s="19" t="n">
        <f aca="false">'SALES Raw'!E735*$H$4</f>
        <v>2.52631578947368</v>
      </c>
      <c r="G3342" s="19" t="n">
        <f aca="false">'SALES Raw'!F735*$H$4</f>
        <v>78.0378947368421</v>
      </c>
      <c r="H3342" s="18" t="str">
        <f aca="false">'SALES Raw'!A735</f>
        <v>102 - Orthopedic institutes</v>
      </c>
    </row>
    <row r="3343" customFormat="false" ht="15" hidden="false" customHeight="false" outlineLevel="0" collapsed="false">
      <c r="A3343" s="18" t="str">
        <f aca="false">'SALES Raw'!G749</f>
        <v/>
      </c>
      <c r="B3343" s="18" t="str">
        <f aca="false">'SALES Raw'!B749</f>
        <v>11UG M</v>
      </c>
      <c r="C3343" s="18" t="str">
        <f aca="false">'SALES Raw'!H749</f>
        <v>11UG M</v>
      </c>
      <c r="D3343" s="19" t="n">
        <f aca="false">'SALES Raw'!C749</f>
        <v>2</v>
      </c>
      <c r="E3343" s="19" t="n">
        <f aca="false">'SALES Raw'!D749</f>
        <v>206.14</v>
      </c>
      <c r="F3343" s="19" t="n">
        <f aca="false">'SALES Raw'!E749*$H$4</f>
        <v>2.52631578947368</v>
      </c>
      <c r="G3343" s="19" t="n">
        <f aca="false">'SALES Raw'!F749*$H$4</f>
        <v>260.4</v>
      </c>
      <c r="H3343" s="18" t="str">
        <f aca="false">'SALES Raw'!A749</f>
        <v>102 - Orthopedic institutes</v>
      </c>
    </row>
    <row r="3344" customFormat="false" ht="15" hidden="false" customHeight="false" outlineLevel="0" collapsed="false">
      <c r="A3344" s="18" t="n">
        <f aca="false">'SALES Raw'!G782</f>
        <v>4413284</v>
      </c>
      <c r="B3344" s="18" t="str">
        <f aca="false">'SALES Raw'!B782</f>
        <v>422E XXXL</v>
      </c>
      <c r="C3344" s="18" t="str">
        <f aca="false">'SALES Raw'!H782</f>
        <v>422E XXXL מגן ברך ארוך עם כרית</v>
      </c>
      <c r="D3344" s="19" t="n">
        <f aca="false">'SALES Raw'!C782</f>
        <v>5</v>
      </c>
      <c r="E3344" s="19" t="n">
        <f aca="false">'SALES Raw'!D782</f>
        <v>640</v>
      </c>
      <c r="F3344" s="19" t="n">
        <f aca="false">'SALES Raw'!E782*$H$4</f>
        <v>2.52631578947368</v>
      </c>
      <c r="G3344" s="19" t="n">
        <f aca="false">'SALES Raw'!F782*$H$4</f>
        <v>513.802105263158</v>
      </c>
      <c r="H3344" s="18" t="str">
        <f aca="false">'SALES Raw'!A782</f>
        <v>102 - Orthopedic institutes</v>
      </c>
    </row>
    <row r="3345" customFormat="false" ht="15" hidden="false" customHeight="false" outlineLevel="0" collapsed="false">
      <c r="A3345" s="18" t="n">
        <f aca="false">'SALES Raw'!G810</f>
        <v>4408084</v>
      </c>
      <c r="B3345" s="18" t="str">
        <f aca="false">'SALES Raw'!B810</f>
        <v>922 L</v>
      </c>
      <c r="C3345" s="18" t="str">
        <f aca="false">'SALES Raw'!H810</f>
        <v>922L.חבק יד לטניס כרית סיליק</v>
      </c>
      <c r="D3345" s="19" t="n">
        <f aca="false">'SALES Raw'!C810</f>
        <v>8</v>
      </c>
      <c r="E3345" s="19" t="n">
        <f aca="false">'SALES Raw'!D810</f>
        <v>703.92</v>
      </c>
      <c r="F3345" s="19" t="n">
        <f aca="false">'SALES Raw'!E810*$H$4</f>
        <v>2.52631578947368</v>
      </c>
      <c r="G3345" s="19" t="n">
        <f aca="false">'SALES Raw'!F810*$H$4</f>
        <v>227.368421052632</v>
      </c>
      <c r="H3345" s="18" t="str">
        <f aca="false">'SALES Raw'!A810</f>
        <v>102 - Orthopedic institutes</v>
      </c>
    </row>
    <row r="3346" customFormat="false" ht="15" hidden="false" customHeight="false" outlineLevel="0" collapsed="false">
      <c r="A3346" s="18" t="n">
        <f aca="false">'SALES Raw'!G816</f>
        <v>4413503</v>
      </c>
      <c r="B3346" s="18" t="str">
        <f aca="false">'SALES Raw'!B816</f>
        <v>95B XL</v>
      </c>
      <c r="C3346" s="18" t="str">
        <f aca="false">'SALES Raw'!H816</f>
        <v>95B XL מגן מרפק שחור</v>
      </c>
      <c r="D3346" s="19" t="n">
        <f aca="false">'SALES Raw'!C816</f>
        <v>8</v>
      </c>
      <c r="E3346" s="19" t="n">
        <f aca="false">'SALES Raw'!D816</f>
        <v>211.46</v>
      </c>
      <c r="F3346" s="19" t="n">
        <f aca="false">'SALES Raw'!E816*$H$4</f>
        <v>2.52631578947368</v>
      </c>
      <c r="G3346" s="19" t="n">
        <f aca="false">'SALES Raw'!F816*$H$4</f>
        <v>78.0378947368421</v>
      </c>
      <c r="H3346" s="18" t="str">
        <f aca="false">'SALES Raw'!A816</f>
        <v>102 - Orthopedic institutes</v>
      </c>
    </row>
    <row r="3347" customFormat="false" ht="15" hidden="false" customHeight="false" outlineLevel="0" collapsed="false">
      <c r="A3347" s="18" t="n">
        <f aca="false">'SALES Raw'!G817</f>
        <v>4413330</v>
      </c>
      <c r="B3347" s="18" t="str">
        <f aca="false">'SALES Raw'!B817</f>
        <v>AC49 0</v>
      </c>
      <c r="C3347" s="18" t="str">
        <f aca="false">'SALES Raw'!H817</f>
        <v>AC49 מגן ירך</v>
      </c>
      <c r="D3347" s="19" t="n">
        <f aca="false">'SALES Raw'!C817</f>
        <v>6</v>
      </c>
      <c r="E3347" s="19" t="n">
        <f aca="false">'SALES Raw'!D817</f>
        <v>365.6</v>
      </c>
      <c r="F3347" s="19" t="n">
        <f aca="false">'SALES Raw'!E817*$H$4</f>
        <v>2.52631578947368</v>
      </c>
      <c r="G3347" s="19" t="n">
        <f aca="false">'SALES Raw'!F817*$H$4</f>
        <v>156.176842105263</v>
      </c>
      <c r="H3347" s="18" t="str">
        <f aca="false">'SALES Raw'!A817</f>
        <v>102 - Orthopedic institutes</v>
      </c>
    </row>
    <row r="3348" customFormat="false" ht="15" hidden="false" customHeight="false" outlineLevel="0" collapsed="false">
      <c r="A3348" s="18" t="str">
        <f aca="false">'SALES Raw'!G825</f>
        <v/>
      </c>
      <c r="B3348" s="18" t="str">
        <f aca="false">'SALES Raw'!B825</f>
        <v>T33 L</v>
      </c>
      <c r="C3348" s="18" t="str">
        <f aca="false">'SALES Raw'!H825</f>
        <v>T33 L</v>
      </c>
      <c r="D3348" s="19" t="n">
        <f aca="false">'SALES Raw'!C825</f>
        <v>8</v>
      </c>
      <c r="E3348" s="19" t="n">
        <f aca="false">'SALES Raw'!D825</f>
        <v>904.99</v>
      </c>
      <c r="F3348" s="19" t="n">
        <f aca="false">'SALES Raw'!E825*$H$4</f>
        <v>2.52631578947368</v>
      </c>
      <c r="G3348" s="19" t="n">
        <f aca="false">'SALES Raw'!F825*$H$4</f>
        <v>290.513684210526</v>
      </c>
      <c r="H3348" s="18" t="str">
        <f aca="false">'SALES Raw'!A825</f>
        <v>102 - Orthopedic institutes</v>
      </c>
    </row>
    <row r="3349" customFormat="false" ht="15" hidden="false" customHeight="false" outlineLevel="0" collapsed="false">
      <c r="A3349" s="18" t="str">
        <f aca="false">'SALES Raw'!G835</f>
        <v/>
      </c>
      <c r="B3349" s="18" t="str">
        <f aca="false">'SALES Raw'!B835</f>
        <v>T45X M</v>
      </c>
      <c r="C3349" s="18" t="str">
        <f aca="false">'SALES Raw'!H835</f>
        <v>T45X M</v>
      </c>
      <c r="D3349" s="19" t="n">
        <f aca="false">'SALES Raw'!C835</f>
        <v>0</v>
      </c>
      <c r="E3349" s="19" t="n">
        <f aca="false">'SALES Raw'!D835</f>
        <v>0</v>
      </c>
      <c r="F3349" s="19" t="n">
        <f aca="false">'SALES Raw'!E835*$H$4</f>
        <v>2.52631578947368</v>
      </c>
      <c r="G3349" s="19" t="n">
        <f aca="false">'SALES Raw'!F835*$H$4</f>
        <v>202.117894736842</v>
      </c>
      <c r="H3349" s="18" t="str">
        <f aca="false">'SALES Raw'!A835</f>
        <v>102 - Orthopedic institutes</v>
      </c>
    </row>
    <row r="3350" customFormat="false" ht="15" hidden="false" customHeight="false" outlineLevel="0" collapsed="false">
      <c r="A3350" s="18" t="str">
        <f aca="false">'SALES Raw'!G911</f>
        <v/>
      </c>
      <c r="B3350" s="18" t="str">
        <f aca="false">'SALES Raw'!B911</f>
        <v>60 XXL</v>
      </c>
      <c r="C3350" s="18" t="str">
        <f aca="false">'SALES Raw'!H911</f>
        <v>60 XXL</v>
      </c>
      <c r="D3350" s="19" t="n">
        <f aca="false">'SALES Raw'!C911</f>
        <v>2</v>
      </c>
      <c r="E3350" s="19" t="n">
        <f aca="false">'SALES Raw'!D911</f>
        <v>99.27</v>
      </c>
      <c r="F3350" s="19" t="n">
        <f aca="false">'SALES Raw'!E911*$H$4</f>
        <v>2.52631578947368</v>
      </c>
      <c r="G3350" s="19" t="n">
        <f aca="false">'SALES Raw'!F911*$H$4</f>
        <v>125.393684210526</v>
      </c>
      <c r="H3350" s="18" t="str">
        <f aca="false">'SALES Raw'!A911</f>
        <v>102 - Orthopedic institutes</v>
      </c>
    </row>
    <row r="3351" customFormat="false" ht="15" hidden="false" customHeight="false" outlineLevel="0" collapsed="false">
      <c r="A3351" s="18" t="str">
        <f aca="false">'SALES Raw'!G919</f>
        <v/>
      </c>
      <c r="B3351" s="18" t="str">
        <f aca="false">'SALES Raw'!B919</f>
        <v>MSG001FC</v>
      </c>
      <c r="C3351" s="18" t="str">
        <f aca="false">'SALES Raw'!H919</f>
        <v>MSG001FC</v>
      </c>
      <c r="D3351" s="19" t="n">
        <f aca="false">'SALES Raw'!C919</f>
        <v>0</v>
      </c>
      <c r="E3351" s="19" t="n">
        <f aca="false">'SALES Raw'!D919</f>
        <v>0</v>
      </c>
      <c r="F3351" s="19" t="n">
        <f aca="false">'SALES Raw'!E919*$H$4</f>
        <v>2.52631578947368</v>
      </c>
      <c r="G3351" s="19" t="n">
        <f aca="false">'SALES Raw'!F919*$H$4</f>
        <v>1326.13894736842</v>
      </c>
      <c r="H3351" s="18" t="str">
        <f aca="false">'SALES Raw'!A919</f>
        <v>102 - Orthopedic institutes</v>
      </c>
    </row>
    <row r="3352" customFormat="false" ht="15" hidden="false" customHeight="false" outlineLevel="0" collapsed="false">
      <c r="A3352" s="18" t="str">
        <f aca="false">'SALES Raw'!G941</f>
        <v/>
      </c>
      <c r="B3352" s="18" t="str">
        <f aca="false">'SALES Raw'!B941</f>
        <v>WEB-AC75 XXL</v>
      </c>
      <c r="C3352" s="18" t="str">
        <f aca="false">'SALES Raw'!H941</f>
        <v>WEB-AC75 XXL</v>
      </c>
      <c r="D3352" s="19" t="n">
        <f aca="false">'SALES Raw'!C941</f>
        <v>0</v>
      </c>
      <c r="E3352" s="19" t="n">
        <f aca="false">'SALES Raw'!D941</f>
        <v>0</v>
      </c>
      <c r="F3352" s="19" t="n">
        <f aca="false">'SALES Raw'!E941*$H$4</f>
        <v>2.52631578947368</v>
      </c>
      <c r="G3352" s="19" t="n">
        <f aca="false">'SALES Raw'!F941*$H$4</f>
        <v>254.614736842105</v>
      </c>
      <c r="H3352" s="18" t="str">
        <f aca="false">'SALES Raw'!A941</f>
        <v>102 - Orthopedic institutes</v>
      </c>
    </row>
    <row r="3353" customFormat="false" ht="15" hidden="false" customHeight="false" outlineLevel="0" collapsed="false">
      <c r="A3353" s="18" t="n">
        <f aca="false">'SALES Raw'!G982</f>
        <v>4408093</v>
      </c>
      <c r="B3353" s="18" t="str">
        <f aca="false">'SALES Raw'!B982</f>
        <v>T11C XXL</v>
      </c>
      <c r="C3353" s="18" t="str">
        <f aca="false">'SALES Raw'!H982</f>
        <v>T11C XXL חגורת גב פוג'יאמה</v>
      </c>
      <c r="D3353" s="19" t="n">
        <f aca="false">'SALES Raw'!C982</f>
        <v>2</v>
      </c>
      <c r="E3353" s="19" t="n">
        <f aca="false">'SALES Raw'!D982</f>
        <v>189.28</v>
      </c>
      <c r="F3353" s="19" t="n">
        <f aca="false">'SALES Raw'!E982*$H$4</f>
        <v>2.52631578947368</v>
      </c>
      <c r="G3353" s="19" t="n">
        <f aca="false">'SALES Raw'!F982*$H$4</f>
        <v>239.077894736842</v>
      </c>
      <c r="H3353" s="18" t="str">
        <f aca="false">'SALES Raw'!A982</f>
        <v>102 - Orthopedic institutes</v>
      </c>
    </row>
    <row r="3354" customFormat="false" ht="15" hidden="false" customHeight="false" outlineLevel="0" collapsed="false">
      <c r="A3354" s="18" t="str">
        <f aca="false">'SALES Raw'!G996</f>
        <v/>
      </c>
      <c r="B3354" s="18" t="str">
        <f aca="false">'SALES Raw'!B996</f>
        <v>15W M</v>
      </c>
      <c r="C3354" s="18" t="str">
        <f aca="false">'SALES Raw'!H996</f>
        <v>15W M</v>
      </c>
      <c r="D3354" s="19" t="n">
        <f aca="false">'SALES Raw'!C996</f>
        <v>3</v>
      </c>
      <c r="E3354" s="19" t="n">
        <f aca="false">'SALES Raw'!D996</f>
        <v>366.14</v>
      </c>
      <c r="F3354" s="19" t="n">
        <f aca="false">'SALES Raw'!E996*$H$4</f>
        <v>2.52631578947368</v>
      </c>
      <c r="G3354" s="19" t="n">
        <f aca="false">'SALES Raw'!F996*$H$4</f>
        <v>355.124210526316</v>
      </c>
      <c r="H3354" s="18" t="str">
        <f aca="false">'SALES Raw'!A996</f>
        <v>102 - Orthopedic institutes</v>
      </c>
    </row>
    <row r="3355" customFormat="false" ht="15" hidden="false" customHeight="false" outlineLevel="0" collapsed="false">
      <c r="A3355" s="18" t="n">
        <f aca="false">'SALES Raw'!G998</f>
        <v>4413525</v>
      </c>
      <c r="B3355" s="18" t="str">
        <f aca="false">'SALES Raw'!B998</f>
        <v>379COM-43-46</v>
      </c>
      <c r="C3355" s="18" t="str">
        <f aca="false">'SALES Raw'!H998</f>
        <v>43-47 מדרסי אפיק ג'ל נוחות</v>
      </c>
      <c r="D3355" s="19" t="n">
        <f aca="false">'SALES Raw'!C998</f>
        <v>2</v>
      </c>
      <c r="E3355" s="19" t="n">
        <f aca="false">'SALES Raw'!D998</f>
        <v>219.04</v>
      </c>
      <c r="F3355" s="19" t="n">
        <f aca="false">'SALES Raw'!E998*$H$4</f>
        <v>2.52631578947368</v>
      </c>
      <c r="G3355" s="19" t="n">
        <f aca="false">'SALES Raw'!F998*$H$4</f>
        <v>299.469473684211</v>
      </c>
      <c r="H3355" s="18" t="str">
        <f aca="false">'SALES Raw'!A998</f>
        <v>102 - Orthopedic institutes</v>
      </c>
    </row>
    <row r="3356" customFormat="false" ht="15" hidden="false" customHeight="false" outlineLevel="0" collapsed="false">
      <c r="A3356" s="18" t="n">
        <f aca="false">'SALES Raw'!G999</f>
        <v>4413528</v>
      </c>
      <c r="B3356" s="18" t="str">
        <f aca="false">'SALES Raw'!B999</f>
        <v>379WRK-39-42</v>
      </c>
      <c r="C3356" s="18" t="str">
        <f aca="false">'SALES Raw'!H999</f>
        <v>39-42 מדרסי אפיק ג'ל עבודה</v>
      </c>
      <c r="D3356" s="19" t="n">
        <f aca="false">'SALES Raw'!C999</f>
        <v>3</v>
      </c>
      <c r="E3356" s="19" t="n">
        <f aca="false">'SALES Raw'!D999</f>
        <v>337.58</v>
      </c>
      <c r="F3356" s="19" t="n">
        <f aca="false">'SALES Raw'!E999*$H$4</f>
        <v>2.52631578947368</v>
      </c>
      <c r="G3356" s="19" t="n">
        <f aca="false">'SALES Raw'!F999*$H$4</f>
        <v>244.471578947368</v>
      </c>
      <c r="H3356" s="18" t="str">
        <f aca="false">'SALES Raw'!A999</f>
        <v>102 - Orthopedic institutes</v>
      </c>
    </row>
    <row r="3357" customFormat="false" ht="15" hidden="false" customHeight="false" outlineLevel="0" collapsed="false">
      <c r="A3357" s="18" t="str">
        <f aca="false">'SALES Raw'!G1031</f>
        <v/>
      </c>
      <c r="B3357" s="18" t="str">
        <f aca="false">'SALES Raw'!B1031</f>
        <v>15M XL</v>
      </c>
      <c r="C3357" s="18" t="str">
        <f aca="false">'SALES Raw'!H1031</f>
        <v>15M XL</v>
      </c>
      <c r="D3357" s="19" t="n">
        <f aca="false">'SALES Raw'!C1031</f>
        <v>4</v>
      </c>
      <c r="E3357" s="19" t="n">
        <f aca="false">'SALES Raw'!D1031</f>
        <v>451.14</v>
      </c>
      <c r="F3357" s="19" t="n">
        <f aca="false">'SALES Raw'!E1031*$H$4</f>
        <v>2.52631578947368</v>
      </c>
      <c r="G3357" s="19" t="n">
        <f aca="false">'SALES Raw'!F1031*$H$4</f>
        <v>355.124210526316</v>
      </c>
      <c r="H3357" s="18" t="str">
        <f aca="false">'SALES Raw'!A1031</f>
        <v>102 - Orthopedic institutes</v>
      </c>
    </row>
    <row r="3358" customFormat="false" ht="15" hidden="false" customHeight="false" outlineLevel="0" collapsed="false">
      <c r="A3358" s="18" t="n">
        <f aca="false">'SALES Raw'!G1034</f>
        <v>4413046</v>
      </c>
      <c r="B3358" s="18" t="str">
        <f aca="false">'SALES Raw'!B1034</f>
        <v>34 XXL</v>
      </c>
      <c r="C3358" s="18" t="str">
        <f aca="false">'SALES Raw'!H1034</f>
        <v>34 XXL מגן קרסול עקב סגור</v>
      </c>
      <c r="D3358" s="19" t="n">
        <f aca="false">'SALES Raw'!C1034</f>
        <v>10</v>
      </c>
      <c r="E3358" s="19" t="n">
        <f aca="false">'SALES Raw'!D1034</f>
        <v>468.21</v>
      </c>
      <c r="F3358" s="19" t="n">
        <f aca="false">'SALES Raw'!E1034*$H$4</f>
        <v>2.52631578947368</v>
      </c>
      <c r="G3358" s="19" t="n">
        <f aca="false">'SALES Raw'!F1034*$H$4</f>
        <v>118.282105263158</v>
      </c>
      <c r="H3358" s="18" t="str">
        <f aca="false">'SALES Raw'!A1034</f>
        <v>102 - Orthopedic institutes</v>
      </c>
    </row>
    <row r="3359" customFormat="false" ht="15" hidden="false" customHeight="false" outlineLevel="0" collapsed="false">
      <c r="A3359" s="18" t="n">
        <f aca="false">'SALES Raw'!G1040</f>
        <v>4413066</v>
      </c>
      <c r="B3359" s="18" t="str">
        <f aca="false">'SALES Raw'!B1040</f>
        <v>3677S 0</v>
      </c>
      <c r="C3359" s="18" t="str">
        <f aca="false">'SALES Raw'!H1040</f>
        <v>3677S-מד.לשחרור לחץ א.הבוניון</v>
      </c>
      <c r="D3359" s="19" t="n">
        <f aca="false">'SALES Raw'!C1040</f>
        <v>6</v>
      </c>
      <c r="E3359" s="19" t="n">
        <f aca="false">'SALES Raw'!D1040</f>
        <v>123.43</v>
      </c>
      <c r="F3359" s="19" t="n">
        <f aca="false">'SALES Raw'!E1040*$H$4</f>
        <v>2.52631578947368</v>
      </c>
      <c r="G3359" s="19" t="n">
        <f aca="false">'SALES Raw'!F1040*$H$4</f>
        <v>51.978947368421</v>
      </c>
      <c r="H3359" s="18" t="str">
        <f aca="false">'SALES Raw'!A1040</f>
        <v>102 - Orthopedic institutes</v>
      </c>
    </row>
    <row r="3360" customFormat="false" ht="15" hidden="false" customHeight="false" outlineLevel="0" collapsed="false">
      <c r="A3360" s="18" t="str">
        <f aca="false">'SALES Raw'!G1045</f>
        <v/>
      </c>
      <c r="B3360" s="18" t="str">
        <f aca="false">'SALES Raw'!B1045</f>
        <v>50 XXL</v>
      </c>
      <c r="C3360" s="18" t="str">
        <f aca="false">'SALES Raw'!H1045</f>
        <v>50 XXL</v>
      </c>
      <c r="D3360" s="19" t="n">
        <f aca="false">'SALES Raw'!C1045</f>
        <v>7</v>
      </c>
      <c r="E3360" s="19" t="n">
        <f aca="false">'SALES Raw'!D1045</f>
        <v>651.15</v>
      </c>
      <c r="F3360" s="19" t="n">
        <f aca="false">'SALES Raw'!E1045*$H$4</f>
        <v>2.52631578947368</v>
      </c>
      <c r="G3360" s="19" t="n">
        <f aca="false">'SALES Raw'!F1045*$H$4</f>
        <v>280.509473684211</v>
      </c>
      <c r="H3360" s="18" t="str">
        <f aca="false">'SALES Raw'!A1045</f>
        <v>102 - Orthopedic institutes</v>
      </c>
    </row>
    <row r="3361" customFormat="false" ht="15" hidden="false" customHeight="false" outlineLevel="0" collapsed="false">
      <c r="A3361" s="18" t="n">
        <f aca="false">'SALES Raw'!G1069</f>
        <v>4413033</v>
      </c>
      <c r="B3361" s="18" t="str">
        <f aca="false">'SALES Raw'!B1069</f>
        <v>311 0</v>
      </c>
      <c r="C3361" s="18" t="str">
        <f aca="false">'SALES Raw'!H1069</f>
        <v>311'מדב.ג'ל למניעת שפשוף 5 יח</v>
      </c>
      <c r="D3361" s="19" t="n">
        <f aca="false">'SALES Raw'!C1069</f>
        <v>11</v>
      </c>
      <c r="E3361" s="19" t="n">
        <f aca="false">'SALES Raw'!D1069</f>
        <v>183.7</v>
      </c>
      <c r="F3361" s="19" t="n">
        <f aca="false">'SALES Raw'!E1069*$H$4</f>
        <v>2.52631578947368</v>
      </c>
      <c r="G3361" s="19" t="n">
        <f aca="false">'SALES Raw'!F1069*$H$4</f>
        <v>47.2547368421053</v>
      </c>
      <c r="H3361" s="18" t="str">
        <f aca="false">'SALES Raw'!A1069</f>
        <v>102 - Orthopedic institutes</v>
      </c>
    </row>
    <row r="3362" customFormat="false" ht="15" hidden="false" customHeight="false" outlineLevel="0" collapsed="false">
      <c r="A3362" s="18" t="n">
        <f aca="false">'SALES Raw'!G1091</f>
        <v>4411023</v>
      </c>
      <c r="B3362" s="18" t="str">
        <f aca="false">'SALES Raw'!B1091</f>
        <v>212 S</v>
      </c>
      <c r="C3362" s="18" t="str">
        <f aca="false">'SALES Raw'!H1091</f>
        <v>212S כפפות אגודל לחץ</v>
      </c>
      <c r="D3362" s="19" t="n">
        <f aca="false">'SALES Raw'!C1091</f>
        <v>3</v>
      </c>
      <c r="E3362" s="19" t="n">
        <f aca="false">'SALES Raw'!D1091</f>
        <v>110.61</v>
      </c>
      <c r="F3362" s="19" t="n">
        <f aca="false">'SALES Raw'!E1091*$H$4</f>
        <v>2.52631578947368</v>
      </c>
      <c r="G3362" s="19" t="n">
        <f aca="false">'SALES Raw'!F1091*$H$4</f>
        <v>100.534736842105</v>
      </c>
      <c r="H3362" s="18" t="str">
        <f aca="false">'SALES Raw'!A1091</f>
        <v>102 - Orthopedic institutes</v>
      </c>
    </row>
    <row r="3363" customFormat="false" ht="15" hidden="false" customHeight="false" outlineLevel="0" collapsed="false">
      <c r="A3363" s="18" t="str">
        <f aca="false">'SALES Raw'!G1098</f>
        <v/>
      </c>
      <c r="B3363" s="18" t="str">
        <f aca="false">'SALES Raw'!B1098</f>
        <v>34 XS</v>
      </c>
      <c r="C3363" s="18" t="str">
        <f aca="false">'SALES Raw'!H1098</f>
        <v>34 XS</v>
      </c>
      <c r="D3363" s="19" t="n">
        <f aca="false">'SALES Raw'!C1098</f>
        <v>1</v>
      </c>
      <c r="E3363" s="19" t="n">
        <f aca="false">'SALES Raw'!D1098</f>
        <v>46.82</v>
      </c>
      <c r="F3363" s="19" t="n">
        <f aca="false">'SALES Raw'!E1098*$H$4</f>
        <v>2.52631578947368</v>
      </c>
      <c r="G3363" s="19" t="n">
        <f aca="false">'SALES Raw'!F1098*$H$4</f>
        <v>110.4</v>
      </c>
      <c r="H3363" s="18" t="str">
        <f aca="false">'SALES Raw'!A1098</f>
        <v>102 - Orthopedic institutes</v>
      </c>
    </row>
    <row r="3364" customFormat="false" ht="15" hidden="false" customHeight="false" outlineLevel="0" collapsed="false">
      <c r="A3364" s="18" t="n">
        <f aca="false">'SALES Raw'!G1129</f>
        <v>4413415</v>
      </c>
      <c r="B3364" s="18" t="str">
        <f aca="false">'SALES Raw'!B1129</f>
        <v>SC39 S</v>
      </c>
      <c r="C3364" s="18" t="str">
        <f aca="false">'SALES Raw'!H1129</f>
        <v>SC39  S מגן שוק</v>
      </c>
      <c r="D3364" s="19" t="n">
        <f aca="false">'SALES Raw'!C1129</f>
        <v>1</v>
      </c>
      <c r="E3364" s="19" t="n">
        <f aca="false">'SALES Raw'!D1129</f>
        <v>145.26</v>
      </c>
      <c r="F3364" s="19" t="n">
        <f aca="false">'SALES Raw'!E1129*$H$4</f>
        <v>2.52631578947368</v>
      </c>
      <c r="G3364" s="19" t="n">
        <f aca="false">'SALES Raw'!F1129*$H$4</f>
        <v>414.366315789474</v>
      </c>
      <c r="H3364" s="18" t="str">
        <f aca="false">'SALES Raw'!A1129</f>
        <v>102 - Orthopedic institutes</v>
      </c>
    </row>
    <row r="3365" customFormat="false" ht="15" hidden="false" customHeight="false" outlineLevel="0" collapsed="false">
      <c r="A3365" s="18" t="str">
        <f aca="false">'SALES Raw'!G1139</f>
        <v/>
      </c>
      <c r="B3365" s="18" t="str">
        <f aca="false">'SALES Raw'!B1139</f>
        <v>T43V L</v>
      </c>
      <c r="C3365" s="18" t="str">
        <f aca="false">'SALES Raw'!H1139</f>
        <v>T43V L</v>
      </c>
      <c r="D3365" s="19" t="n">
        <f aca="false">'SALES Raw'!C1139</f>
        <v>2</v>
      </c>
      <c r="E3365" s="19" t="n">
        <f aca="false">'SALES Raw'!D1139</f>
        <v>806.12</v>
      </c>
      <c r="F3365" s="19" t="n">
        <f aca="false">'SALES Raw'!E1139*$H$4</f>
        <v>2.52631578947368</v>
      </c>
      <c r="G3365" s="19" t="n">
        <f aca="false">'SALES Raw'!F1139*$H$4</f>
        <v>1018.24421052632</v>
      </c>
      <c r="H3365" s="18" t="str">
        <f aca="false">'SALES Raw'!A1139</f>
        <v>102 - Orthopedic institutes</v>
      </c>
    </row>
    <row r="3366" customFormat="false" ht="15" hidden="false" customHeight="false" outlineLevel="0" collapsed="false">
      <c r="A3366" s="18" t="n">
        <f aca="false">'SALES Raw'!G1145</f>
        <v>4413497</v>
      </c>
      <c r="B3366" s="18" t="str">
        <f aca="false">'SALES Raw'!B1145</f>
        <v>45B M</v>
      </c>
      <c r="C3366" s="18" t="str">
        <f aca="false">'SALES Raw'!H1145</f>
        <v>45B M מגן ברך שחור</v>
      </c>
      <c r="D3366" s="19" t="n">
        <f aca="false">'SALES Raw'!C1145</f>
        <v>5</v>
      </c>
      <c r="E3366" s="19" t="n">
        <f aca="false">'SALES Raw'!D1145</f>
        <v>130.67</v>
      </c>
      <c r="F3366" s="19" t="n">
        <f aca="false">'SALES Raw'!E1145*$H$4</f>
        <v>2.52631578947368</v>
      </c>
      <c r="G3366" s="19" t="n">
        <f aca="false">'SALES Raw'!F1145*$H$4</f>
        <v>78.0378947368421</v>
      </c>
      <c r="H3366" s="18" t="str">
        <f aca="false">'SALES Raw'!A1145</f>
        <v>102 - Orthopedic institutes</v>
      </c>
    </row>
    <row r="3367" customFormat="false" ht="15" hidden="false" customHeight="false" outlineLevel="0" collapsed="false">
      <c r="A3367" s="18" t="n">
        <f aca="false">'SALES Raw'!G1150</f>
        <v>4413072</v>
      </c>
      <c r="B3367" s="18" t="str">
        <f aca="false">'SALES Raw'!B1150</f>
        <v>41 L</v>
      </c>
      <c r="C3367" s="18" t="str">
        <f aca="false">'SALES Raw'!H1150</f>
        <v>41 Lמ.ברך מוצלב+ספירלות בצדדים</v>
      </c>
      <c r="D3367" s="19" t="n">
        <f aca="false">'SALES Raw'!C1150</f>
        <v>1</v>
      </c>
      <c r="E3367" s="19" t="n">
        <f aca="false">'SALES Raw'!D1150</f>
        <v>126.51</v>
      </c>
      <c r="F3367" s="19" t="n">
        <f aca="false">'SALES Raw'!E1150*$H$4</f>
        <v>2.52631578947368</v>
      </c>
      <c r="G3367" s="19" t="n">
        <f aca="false">'SALES Raw'!F1150*$H$4</f>
        <v>319.604210526316</v>
      </c>
      <c r="H3367" s="18" t="str">
        <f aca="false">'SALES Raw'!A1150</f>
        <v>102 - Orthopedic institutes</v>
      </c>
    </row>
    <row r="3368" customFormat="false" ht="15" hidden="false" customHeight="false" outlineLevel="0" collapsed="false">
      <c r="A3368" s="18" t="n">
        <f aca="false">'SALES Raw'!G1152</f>
        <v>4413074</v>
      </c>
      <c r="B3368" s="18" t="str">
        <f aca="false">'SALES Raw'!B1152</f>
        <v>41 XL</v>
      </c>
      <c r="C3368" s="18" t="str">
        <f aca="false">'SALES Raw'!H1152</f>
        <v>41  XL.מ.ברך מוצלב+ספירלות בצד</v>
      </c>
      <c r="D3368" s="19" t="n">
        <f aca="false">'SALES Raw'!C1152</f>
        <v>1</v>
      </c>
      <c r="E3368" s="19" t="n">
        <f aca="false">'SALES Raw'!D1152</f>
        <v>126.51</v>
      </c>
      <c r="F3368" s="19" t="n">
        <f aca="false">'SALES Raw'!E1152*$H$4</f>
        <v>2.52631578947368</v>
      </c>
      <c r="G3368" s="19" t="n">
        <f aca="false">'SALES Raw'!F1152*$H$4</f>
        <v>319.604210526316</v>
      </c>
      <c r="H3368" s="18" t="str">
        <f aca="false">'SALES Raw'!A1152</f>
        <v>102 - Orthopedic institutes</v>
      </c>
    </row>
    <row r="3369" customFormat="false" ht="15" hidden="false" customHeight="false" outlineLevel="0" collapsed="false">
      <c r="A3369" s="18" t="n">
        <f aca="false">'SALES Raw'!G1183</f>
        <v>4413058</v>
      </c>
      <c r="B3369" s="18" t="str">
        <f aca="false">'SALES Raw'!B1183</f>
        <v>3622S 0</v>
      </c>
      <c r="C3369" s="18" t="str">
        <f aca="false">'SALES Raw'!H1183</f>
        <v>3622S מדבקה לשחרור לחץ 2 יח</v>
      </c>
      <c r="D3369" s="19" t="n">
        <f aca="false">'SALES Raw'!C1183</f>
        <v>0</v>
      </c>
      <c r="E3369" s="19" t="n">
        <f aca="false">'SALES Raw'!D1183</f>
        <v>0</v>
      </c>
      <c r="F3369" s="19" t="n">
        <f aca="false">'SALES Raw'!E1183*$H$4</f>
        <v>2.52631578947368</v>
      </c>
      <c r="G3369" s="19" t="n">
        <f aca="false">'SALES Raw'!F1183*$H$4</f>
        <v>82.7873684210526</v>
      </c>
      <c r="H3369" s="18" t="str">
        <f aca="false">'SALES Raw'!A1183</f>
        <v>102 - Orthopedic institutes</v>
      </c>
    </row>
    <row r="3370" customFormat="false" ht="15" hidden="false" customHeight="false" outlineLevel="0" collapsed="false">
      <c r="A3370" s="18" t="str">
        <f aca="false">'SALES Raw'!G1196</f>
        <v/>
      </c>
      <c r="B3370" s="18" t="str">
        <f aca="false">'SALES Raw'!B1196</f>
        <v>11UG S</v>
      </c>
      <c r="C3370" s="18" t="str">
        <f aca="false">'SALES Raw'!H1196</f>
        <v>11UG S</v>
      </c>
      <c r="D3370" s="19" t="n">
        <f aca="false">'SALES Raw'!C1196</f>
        <v>0</v>
      </c>
      <c r="E3370" s="19" t="n">
        <f aca="false">'SALES Raw'!D1196</f>
        <v>0</v>
      </c>
      <c r="F3370" s="19" t="n">
        <f aca="false">'SALES Raw'!E1196*$H$4</f>
        <v>2.52631578947368</v>
      </c>
      <c r="G3370" s="19" t="n">
        <f aca="false">'SALES Raw'!F1196*$H$4</f>
        <v>260.412631578947</v>
      </c>
      <c r="H3370" s="18" t="str">
        <f aca="false">'SALES Raw'!A1196</f>
        <v>103 - Physiotherapy institutes</v>
      </c>
    </row>
    <row r="3371" customFormat="false" ht="15" hidden="false" customHeight="false" outlineLevel="0" collapsed="false">
      <c r="A3371" s="18" t="str">
        <f aca="false">'SALES Raw'!G1197</f>
        <v/>
      </c>
      <c r="B3371" s="18" t="str">
        <f aca="false">'SALES Raw'!B1197</f>
        <v>11UG XXL</v>
      </c>
      <c r="C3371" s="18" t="str">
        <f aca="false">'SALES Raw'!H1197</f>
        <v>11UG XXL</v>
      </c>
      <c r="D3371" s="19" t="n">
        <f aca="false">'SALES Raw'!C1197</f>
        <v>0</v>
      </c>
      <c r="E3371" s="19" t="n">
        <f aca="false">'SALES Raw'!D1197</f>
        <v>0</v>
      </c>
      <c r="F3371" s="19" t="n">
        <f aca="false">'SALES Raw'!E1197*$H$4</f>
        <v>2.52631578947368</v>
      </c>
      <c r="G3371" s="19" t="n">
        <f aca="false">'SALES Raw'!F1197*$H$4</f>
        <v>260.387368421053</v>
      </c>
      <c r="H3371" s="18" t="str">
        <f aca="false">'SALES Raw'!A1197</f>
        <v>103 - Physiotherapy institutes</v>
      </c>
    </row>
    <row r="3372" customFormat="false" ht="15" hidden="false" customHeight="false" outlineLevel="0" collapsed="false">
      <c r="A3372" s="18" t="n">
        <f aca="false">'SALES Raw'!G1204</f>
        <v>4411023</v>
      </c>
      <c r="B3372" s="18" t="str">
        <f aca="false">'SALES Raw'!B1204</f>
        <v>212 S</v>
      </c>
      <c r="C3372" s="18" t="str">
        <f aca="false">'SALES Raw'!H1204</f>
        <v>212S כפפות אגודל לחץ</v>
      </c>
      <c r="D3372" s="19" t="n">
        <f aca="false">'SALES Raw'!C1204</f>
        <v>0</v>
      </c>
      <c r="E3372" s="19" t="n">
        <f aca="false">'SALES Raw'!D1204</f>
        <v>0</v>
      </c>
      <c r="F3372" s="19" t="n">
        <f aca="false">'SALES Raw'!E1204*$H$4</f>
        <v>2.52631578947368</v>
      </c>
      <c r="G3372" s="19" t="n">
        <f aca="false">'SALES Raw'!F1204*$H$4</f>
        <v>93.8273684210526</v>
      </c>
      <c r="H3372" s="18" t="str">
        <f aca="false">'SALES Raw'!A1204</f>
        <v>103 - Physiotherapy institutes</v>
      </c>
    </row>
    <row r="3373" customFormat="false" ht="15" hidden="false" customHeight="false" outlineLevel="0" collapsed="false">
      <c r="A3373" s="18" t="str">
        <f aca="false">'SALES Raw'!G1217</f>
        <v/>
      </c>
      <c r="B3373" s="18" t="str">
        <f aca="false">'SALES Raw'!B1217</f>
        <v>32 XXL</v>
      </c>
      <c r="C3373" s="18" t="str">
        <f aca="false">'SALES Raw'!H1217</f>
        <v>32 XXL</v>
      </c>
      <c r="D3373" s="19" t="n">
        <f aca="false">'SALES Raw'!C1217</f>
        <v>0</v>
      </c>
      <c r="E3373" s="19" t="n">
        <f aca="false">'SALES Raw'!D1217</f>
        <v>0</v>
      </c>
      <c r="F3373" s="19" t="n">
        <f aca="false">'SALES Raw'!E1217*$H$4</f>
        <v>2.52631578947368</v>
      </c>
      <c r="G3373" s="19" t="n">
        <f aca="false">'SALES Raw'!F1217*$H$4</f>
        <v>341.052631578947</v>
      </c>
      <c r="H3373" s="18" t="str">
        <f aca="false">'SALES Raw'!A1217</f>
        <v>103 - Physiotherapy institutes</v>
      </c>
    </row>
    <row r="3374" customFormat="false" ht="15" hidden="false" customHeight="false" outlineLevel="0" collapsed="false">
      <c r="A3374" s="18" t="n">
        <f aca="false">'SALES Raw'!G1223</f>
        <v>4421003</v>
      </c>
      <c r="B3374" s="18" t="str">
        <f aca="false">'SALES Raw'!B1223</f>
        <v>3672 0</v>
      </c>
      <c r="C3374" s="18" t="str">
        <f aca="false">'SALES Raw'!H1223</f>
        <v>3672 שרוול מגן לבוניון</v>
      </c>
      <c r="D3374" s="19" t="n">
        <f aca="false">'SALES Raw'!C1223</f>
        <v>7</v>
      </c>
      <c r="E3374" s="19" t="n">
        <f aca="false">'SALES Raw'!D1223</f>
        <v>247.19</v>
      </c>
      <c r="F3374" s="19" t="n">
        <f aca="false">'SALES Raw'!E1223*$H$4</f>
        <v>2.52631578947368</v>
      </c>
      <c r="G3374" s="19" t="n">
        <f aca="false">'SALES Raw'!F1223*$H$4</f>
        <v>94.6231578947368</v>
      </c>
      <c r="H3374" s="18" t="str">
        <f aca="false">'SALES Raw'!A1223</f>
        <v>103 - Physiotherapy institutes</v>
      </c>
    </row>
    <row r="3375" customFormat="false" ht="15" hidden="false" customHeight="false" outlineLevel="0" collapsed="false">
      <c r="A3375" s="18" t="n">
        <f aca="false">'SALES Raw'!G1229</f>
        <v>4413092</v>
      </c>
      <c r="B3375" s="18" t="str">
        <f aca="false">'SALES Raw'!B1229</f>
        <v>45 L</v>
      </c>
      <c r="C3375" s="18" t="str">
        <f aca="false">'SALES Raw'!H1229</f>
        <v>45 L מגן ברך לבן</v>
      </c>
      <c r="D3375" s="19" t="n">
        <f aca="false">'SALES Raw'!C1229</f>
        <v>1</v>
      </c>
      <c r="E3375" s="19" t="n">
        <f aca="false">'SALES Raw'!D1229</f>
        <v>30.89</v>
      </c>
      <c r="F3375" s="19" t="n">
        <f aca="false">'SALES Raw'!E1229*$H$4</f>
        <v>2.52631578947368</v>
      </c>
      <c r="G3375" s="19" t="n">
        <f aca="false">'SALES Raw'!F1229*$H$4</f>
        <v>78.0378947368421</v>
      </c>
      <c r="H3375" s="18" t="str">
        <f aca="false">'SALES Raw'!A1229</f>
        <v>103 - Physiotherapy institutes</v>
      </c>
    </row>
    <row r="3376" customFormat="false" ht="15" hidden="false" customHeight="false" outlineLevel="0" collapsed="false">
      <c r="A3376" s="18" t="n">
        <f aca="false">'SALES Raw'!G1230</f>
        <v>4413093</v>
      </c>
      <c r="B3376" s="18" t="str">
        <f aca="false">'SALES Raw'!B1230</f>
        <v>45 M</v>
      </c>
      <c r="C3376" s="18" t="str">
        <f aca="false">'SALES Raw'!H1230</f>
        <v>45 M מגן ברך לבן</v>
      </c>
      <c r="D3376" s="19" t="n">
        <f aca="false">'SALES Raw'!C1230</f>
        <v>1</v>
      </c>
      <c r="E3376" s="19" t="n">
        <f aca="false">'SALES Raw'!D1230</f>
        <v>30.89</v>
      </c>
      <c r="F3376" s="19" t="n">
        <f aca="false">'SALES Raw'!E1230*$H$4</f>
        <v>2.52631578947368</v>
      </c>
      <c r="G3376" s="19" t="n">
        <f aca="false">'SALES Raw'!F1230*$H$4</f>
        <v>78.0378947368421</v>
      </c>
      <c r="H3376" s="18" t="str">
        <f aca="false">'SALES Raw'!A1230</f>
        <v>103 - Physiotherapy institutes</v>
      </c>
    </row>
    <row r="3377" customFormat="false" ht="15" hidden="false" customHeight="false" outlineLevel="0" collapsed="false">
      <c r="A3377" s="18" t="n">
        <f aca="false">'SALES Raw'!G1231</f>
        <v>4413095</v>
      </c>
      <c r="B3377" s="18" t="str">
        <f aca="false">'SALES Raw'!B1231</f>
        <v>45 XL</v>
      </c>
      <c r="C3377" s="18" t="str">
        <f aca="false">'SALES Raw'!H1231</f>
        <v>45 XL מגן ברך לבן</v>
      </c>
      <c r="D3377" s="19" t="n">
        <f aca="false">'SALES Raw'!C1231</f>
        <v>3</v>
      </c>
      <c r="E3377" s="19" t="n">
        <f aca="false">'SALES Raw'!D1231</f>
        <v>92.67</v>
      </c>
      <c r="F3377" s="19" t="n">
        <f aca="false">'SALES Raw'!E1231*$H$4</f>
        <v>2.52631578947368</v>
      </c>
      <c r="G3377" s="19" t="n">
        <f aca="false">'SALES Raw'!F1231*$H$4</f>
        <v>78.0378947368421</v>
      </c>
      <c r="H3377" s="18" t="str">
        <f aca="false">'SALES Raw'!A1231</f>
        <v>103 - Physiotherapy institutes</v>
      </c>
    </row>
    <row r="3378" customFormat="false" ht="15" hidden="false" customHeight="false" outlineLevel="0" collapsed="false">
      <c r="A3378" s="18" t="n">
        <f aca="false">'SALES Raw'!G1248</f>
        <v>4415026</v>
      </c>
      <c r="B3378" s="18" t="str">
        <f aca="false">'SALES Raw'!B1248</f>
        <v>AC27L 0</v>
      </c>
      <c r="C3378" s="18" t="str">
        <f aca="false">'SALES Raw'!H1248</f>
        <v>AC-27L סד לש.כף יד שמאל</v>
      </c>
      <c r="D3378" s="19" t="n">
        <f aca="false">'SALES Raw'!C1248</f>
        <v>2</v>
      </c>
      <c r="E3378" s="19" t="n">
        <f aca="false">'SALES Raw'!D1248</f>
        <v>86.95</v>
      </c>
      <c r="F3378" s="19" t="n">
        <f aca="false">'SALES Raw'!E1248*$H$4</f>
        <v>2.52631578947368</v>
      </c>
      <c r="G3378" s="19" t="n">
        <f aca="false">'SALES Raw'!F1248*$H$4</f>
        <v>118.282105263158</v>
      </c>
      <c r="H3378" s="18" t="str">
        <f aca="false">'SALES Raw'!A1248</f>
        <v>103 - Physiotherapy institutes</v>
      </c>
    </row>
    <row r="3379" customFormat="false" ht="15" hidden="false" customHeight="false" outlineLevel="0" collapsed="false">
      <c r="A3379" s="18" t="n">
        <f aca="false">'SALES Raw'!G1249</f>
        <v>4415027</v>
      </c>
      <c r="B3379" s="18" t="str">
        <f aca="false">'SALES Raw'!B1249</f>
        <v>AC27R 0</v>
      </c>
      <c r="C3379" s="18" t="str">
        <f aca="false">'SALES Raw'!H1249</f>
        <v>AC-27R סד לש.כף יד ימין</v>
      </c>
      <c r="D3379" s="19" t="n">
        <f aca="false">'SALES Raw'!C1249</f>
        <v>2</v>
      </c>
      <c r="E3379" s="19" t="n">
        <f aca="false">'SALES Raw'!D1249</f>
        <v>86.95</v>
      </c>
      <c r="F3379" s="19" t="n">
        <f aca="false">'SALES Raw'!E1249*$H$4</f>
        <v>2.52631578947368</v>
      </c>
      <c r="G3379" s="19" t="n">
        <f aca="false">'SALES Raw'!F1249*$H$4</f>
        <v>118.282105263158</v>
      </c>
      <c r="H3379" s="18" t="str">
        <f aca="false">'SALES Raw'!A1249</f>
        <v>103 - Physiotherapy institutes</v>
      </c>
    </row>
    <row r="3380" customFormat="false" ht="15" hidden="false" customHeight="false" outlineLevel="0" collapsed="false">
      <c r="A3380" s="18" t="str">
        <f aca="false">'SALES Raw'!G1250</f>
        <v/>
      </c>
      <c r="B3380" s="18" t="str">
        <f aca="false">'SALES Raw'!B1250</f>
        <v>MSG002S 0</v>
      </c>
      <c r="C3380" s="18" t="str">
        <f aca="false">'SALES Raw'!H1250</f>
        <v>MSG002S 0</v>
      </c>
      <c r="D3380" s="19" t="n">
        <f aca="false">'SALES Raw'!C1250</f>
        <v>0</v>
      </c>
      <c r="E3380" s="19" t="n">
        <f aca="false">'SALES Raw'!D1250</f>
        <v>0</v>
      </c>
      <c r="F3380" s="19" t="n">
        <f aca="false">'SALES Raw'!E1250*$H$4</f>
        <v>2.52631578947368</v>
      </c>
      <c r="G3380" s="19" t="n">
        <f aca="false">'SALES Raw'!F1250*$H$4</f>
        <v>1278.77052631579</v>
      </c>
      <c r="H3380" s="18" t="str">
        <f aca="false">'SALES Raw'!A1250</f>
        <v>103 - Physiotherapy institutes</v>
      </c>
    </row>
    <row r="3381" customFormat="false" ht="15" hidden="false" customHeight="false" outlineLevel="0" collapsed="false">
      <c r="A3381" s="18" t="n">
        <f aca="false">'SALES Raw'!G1288</f>
        <v>4413529</v>
      </c>
      <c r="B3381" s="18" t="str">
        <f aca="false">'SALES Raw'!B1288</f>
        <v>379WRK-43-46</v>
      </c>
      <c r="C3381" s="18" t="str">
        <f aca="false">'SALES Raw'!H1288</f>
        <v>43-47 מדרסי אפיק ג'ל עבודה</v>
      </c>
      <c r="D3381" s="19" t="n">
        <f aca="false">'SALES Raw'!C1288</f>
        <v>5</v>
      </c>
      <c r="E3381" s="19" t="n">
        <f aca="false">'SALES Raw'!D1288</f>
        <v>573.9</v>
      </c>
      <c r="F3381" s="19" t="n">
        <f aca="false">'SALES Raw'!E1288*$H$4</f>
        <v>2.52631578947368</v>
      </c>
      <c r="G3381" s="19" t="n">
        <f aca="false">'SALES Raw'!F1288*$H$4</f>
        <v>299.494736842105</v>
      </c>
      <c r="H3381" s="18" t="str">
        <f aca="false">'SALES Raw'!A1288</f>
        <v>103 - Physiotherapy institutes</v>
      </c>
    </row>
    <row r="3382" customFormat="false" ht="15" hidden="false" customHeight="false" outlineLevel="0" collapsed="false">
      <c r="A3382" s="18" t="str">
        <f aca="false">'SALES Raw'!G1320</f>
        <v/>
      </c>
      <c r="B3382" s="18" t="str">
        <f aca="false">'SALES Raw'!B1320</f>
        <v>079 L</v>
      </c>
      <c r="C3382" s="18" t="str">
        <f aca="false">'SALES Raw'!H1320</f>
        <v>079 L</v>
      </c>
      <c r="D3382" s="19" t="n">
        <f aca="false">'SALES Raw'!C1320</f>
        <v>0</v>
      </c>
      <c r="E3382" s="19" t="n">
        <f aca="false">'SALES Raw'!D1320</f>
        <v>0</v>
      </c>
      <c r="F3382" s="19" t="n">
        <f aca="false">'SALES Raw'!E1320*$H$4</f>
        <v>2.52631578947368</v>
      </c>
      <c r="G3382" s="19" t="n">
        <f aca="false">'SALES Raw'!F1320*$H$4</f>
        <v>227.368421052632</v>
      </c>
      <c r="H3382" s="18" t="str">
        <f aca="false">'SALES Raw'!A1320</f>
        <v>103 - Physiotherapy institutes</v>
      </c>
    </row>
    <row r="3383" customFormat="false" ht="15" hidden="false" customHeight="false" outlineLevel="0" collapsed="false">
      <c r="A3383" s="18" t="str">
        <f aca="false">'SALES Raw'!G1321</f>
        <v/>
      </c>
      <c r="B3383" s="18" t="str">
        <f aca="false">'SALES Raw'!B1321</f>
        <v>079 M</v>
      </c>
      <c r="C3383" s="18" t="str">
        <f aca="false">'SALES Raw'!H1321</f>
        <v>079 M</v>
      </c>
      <c r="D3383" s="19" t="n">
        <f aca="false">'SALES Raw'!C1321</f>
        <v>0</v>
      </c>
      <c r="E3383" s="19" t="n">
        <f aca="false">'SALES Raw'!D1321</f>
        <v>0</v>
      </c>
      <c r="F3383" s="19" t="n">
        <f aca="false">'SALES Raw'!E1321*$H$4</f>
        <v>2.52631578947368</v>
      </c>
      <c r="G3383" s="19" t="n">
        <f aca="false">'SALES Raw'!F1321*$H$4</f>
        <v>227.368421052632</v>
      </c>
      <c r="H3383" s="18" t="str">
        <f aca="false">'SALES Raw'!A1321</f>
        <v>103 - Physiotherapy institutes</v>
      </c>
    </row>
    <row r="3384" customFormat="false" ht="15" hidden="false" customHeight="false" outlineLevel="0" collapsed="false">
      <c r="A3384" s="18" t="str">
        <f aca="false">'SALES Raw'!G1323</f>
        <v/>
      </c>
      <c r="B3384" s="18" t="str">
        <f aca="false">'SALES Raw'!B1323</f>
        <v>079 XL</v>
      </c>
      <c r="C3384" s="18" t="str">
        <f aca="false">'SALES Raw'!H1323</f>
        <v>079 XL</v>
      </c>
      <c r="D3384" s="19" t="n">
        <f aca="false">'SALES Raw'!C1323</f>
        <v>0</v>
      </c>
      <c r="E3384" s="19" t="n">
        <f aca="false">'SALES Raw'!D1323</f>
        <v>0</v>
      </c>
      <c r="F3384" s="19" t="n">
        <f aca="false">'SALES Raw'!E1323*$H$4</f>
        <v>2.52631578947368</v>
      </c>
      <c r="G3384" s="19" t="n">
        <f aca="false">'SALES Raw'!F1323*$H$4</f>
        <v>227.368421052632</v>
      </c>
      <c r="H3384" s="18" t="str">
        <f aca="false">'SALES Raw'!A1323</f>
        <v>103 - Physiotherapy institutes</v>
      </c>
    </row>
    <row r="3385" customFormat="false" ht="15" hidden="false" customHeight="false" outlineLevel="0" collapsed="false">
      <c r="A3385" s="18" t="str">
        <f aca="false">'SALES Raw'!G1324</f>
        <v/>
      </c>
      <c r="B3385" s="18" t="str">
        <f aca="false">'SALES Raw'!B1324</f>
        <v>079 XXL</v>
      </c>
      <c r="C3385" s="18" t="str">
        <f aca="false">'SALES Raw'!H1324</f>
        <v>079 XXL</v>
      </c>
      <c r="D3385" s="19" t="n">
        <f aca="false">'SALES Raw'!C1324</f>
        <v>0</v>
      </c>
      <c r="E3385" s="19" t="n">
        <f aca="false">'SALES Raw'!D1324</f>
        <v>0</v>
      </c>
      <c r="F3385" s="19" t="n">
        <f aca="false">'SALES Raw'!E1324*$H$4</f>
        <v>2.52631578947368</v>
      </c>
      <c r="G3385" s="19" t="n">
        <f aca="false">'SALES Raw'!F1324*$H$4</f>
        <v>227.368421052632</v>
      </c>
      <c r="H3385" s="18" t="str">
        <f aca="false">'SALES Raw'!A1324</f>
        <v>103 - Physiotherapy institutes</v>
      </c>
    </row>
    <row r="3386" customFormat="false" ht="15" hidden="false" customHeight="false" outlineLevel="0" collapsed="false">
      <c r="A3386" s="18" t="n">
        <f aca="false">'SALES Raw'!G1330</f>
        <v>4408179</v>
      </c>
      <c r="B3386" s="18" t="str">
        <f aca="false">'SALES Raw'!B1330</f>
        <v>13 XL</v>
      </c>
      <c r="C3386" s="18" t="str">
        <f aca="false">'SALES Raw'!H1330</f>
        <v>13 XL חגורה לשבר טבור</v>
      </c>
      <c r="D3386" s="19" t="n">
        <f aca="false">'SALES Raw'!C1330</f>
        <v>0</v>
      </c>
      <c r="E3386" s="19" t="n">
        <f aca="false">'SALES Raw'!D1330</f>
        <v>0</v>
      </c>
      <c r="F3386" s="19" t="n">
        <f aca="false">'SALES Raw'!E1330*$H$4</f>
        <v>2.52631578947368</v>
      </c>
      <c r="G3386" s="19" t="n">
        <f aca="false">'SALES Raw'!F1330*$H$4</f>
        <v>251.785263157895</v>
      </c>
      <c r="H3386" s="18" t="str">
        <f aca="false">'SALES Raw'!A1330</f>
        <v>103 - Physiotherapy institutes</v>
      </c>
    </row>
    <row r="3387" customFormat="false" ht="15" hidden="false" customHeight="false" outlineLevel="0" collapsed="false">
      <c r="A3387" s="18" t="n">
        <f aca="false">'SALES Raw'!G1331</f>
        <v>4408180</v>
      </c>
      <c r="B3387" s="18" t="str">
        <f aca="false">'SALES Raw'!B1331</f>
        <v>13 XXL</v>
      </c>
      <c r="C3387" s="18" t="str">
        <f aca="false">'SALES Raw'!H1331</f>
        <v>13 XXL חגורה לשבר טבור</v>
      </c>
      <c r="D3387" s="19" t="n">
        <f aca="false">'SALES Raw'!C1331</f>
        <v>0</v>
      </c>
      <c r="E3387" s="19" t="n">
        <f aca="false">'SALES Raw'!D1331</f>
        <v>0</v>
      </c>
      <c r="F3387" s="19" t="n">
        <f aca="false">'SALES Raw'!E1331*$H$4</f>
        <v>2.52631578947368</v>
      </c>
      <c r="G3387" s="19" t="n">
        <f aca="false">'SALES Raw'!F1331*$H$4</f>
        <v>251.785263157895</v>
      </c>
      <c r="H3387" s="18" t="str">
        <f aca="false">'SALES Raw'!A1331</f>
        <v>103 - Physiotherapy institutes</v>
      </c>
    </row>
    <row r="3388" customFormat="false" ht="15" hidden="false" customHeight="false" outlineLevel="0" collapsed="false">
      <c r="A3388" s="18" t="n">
        <f aca="false">'SALES Raw'!G1336</f>
        <v>4408047</v>
      </c>
      <c r="B3388" s="18" t="str">
        <f aca="false">'SALES Raw'!B1336</f>
        <v>20 M</v>
      </c>
      <c r="C3388" s="18" t="str">
        <f aca="false">'SALES Raw'!H1336</f>
        <v>20 M חבק יד מתכוון עם צמדן</v>
      </c>
      <c r="D3388" s="19" t="n">
        <f aca="false">'SALES Raw'!C1336</f>
        <v>3</v>
      </c>
      <c r="E3388" s="19" t="n">
        <f aca="false">'SALES Raw'!D1336</f>
        <v>90.83</v>
      </c>
      <c r="F3388" s="19" t="n">
        <f aca="false">'SALES Raw'!E1336*$H$4</f>
        <v>2.52631578947368</v>
      </c>
      <c r="G3388" s="19" t="n">
        <f aca="false">'SALES Raw'!F1336*$H$4</f>
        <v>83.9621052631579</v>
      </c>
      <c r="H3388" s="18" t="str">
        <f aca="false">'SALES Raw'!A1336</f>
        <v>103 - Physiotherapy institutes</v>
      </c>
    </row>
    <row r="3389" customFormat="false" ht="15" hidden="false" customHeight="false" outlineLevel="0" collapsed="false">
      <c r="A3389" s="18" t="n">
        <f aca="false">'SALES Raw'!G1339</f>
        <v>4408050</v>
      </c>
      <c r="B3389" s="18" t="str">
        <f aca="false">'SALES Raw'!B1339</f>
        <v>20 XXL</v>
      </c>
      <c r="C3389" s="18" t="str">
        <f aca="false">'SALES Raw'!H1339</f>
        <v>20 XXL חבק יד מתכוון עם צמדן</v>
      </c>
      <c r="D3389" s="19" t="n">
        <f aca="false">'SALES Raw'!C1339</f>
        <v>1</v>
      </c>
      <c r="E3389" s="19" t="n">
        <f aca="false">'SALES Raw'!D1339</f>
        <v>33.23</v>
      </c>
      <c r="F3389" s="19" t="n">
        <f aca="false">'SALES Raw'!E1339*$H$4</f>
        <v>2.52631578947368</v>
      </c>
      <c r="G3389" s="19" t="n">
        <f aca="false">'SALES Raw'!F1339*$H$4</f>
        <v>72.7578947368421</v>
      </c>
      <c r="H3389" s="18" t="str">
        <f aca="false">'SALES Raw'!A1339</f>
        <v>103 - Physiotherapy institutes</v>
      </c>
    </row>
    <row r="3390" customFormat="false" ht="15" hidden="false" customHeight="false" outlineLevel="0" collapsed="false">
      <c r="A3390" s="18" t="n">
        <f aca="false">'SALES Raw'!G1346</f>
        <v>4411027</v>
      </c>
      <c r="B3390" s="18" t="str">
        <f aca="false">'SALES Raw'!B1346</f>
        <v>213CTSL M</v>
      </c>
      <c r="C3390" s="18" t="str">
        <f aca="false">'SALES Raw'!H1346</f>
        <v>213CTSL M שמאל CTS כפפות</v>
      </c>
      <c r="D3390" s="19" t="n">
        <f aca="false">'SALES Raw'!C1346</f>
        <v>3</v>
      </c>
      <c r="E3390" s="19" t="n">
        <f aca="false">'SALES Raw'!D1346</f>
        <v>270</v>
      </c>
      <c r="F3390" s="19" t="n">
        <f aca="false">'SALES Raw'!E1346*$H$4</f>
        <v>2.52631578947368</v>
      </c>
      <c r="G3390" s="19" t="n">
        <f aca="false">'SALES Raw'!F1346*$H$4</f>
        <v>261.637894736842</v>
      </c>
      <c r="H3390" s="18" t="str">
        <f aca="false">'SALES Raw'!A1346</f>
        <v>103 - Physiotherapy institutes</v>
      </c>
    </row>
    <row r="3391" customFormat="false" ht="15" hidden="false" customHeight="false" outlineLevel="0" collapsed="false">
      <c r="A3391" s="18" t="n">
        <f aca="false">'SALES Raw'!G1349</f>
        <v>4411030</v>
      </c>
      <c r="B3391" s="18" t="str">
        <f aca="false">'SALES Raw'!B1349</f>
        <v>213CTSR M</v>
      </c>
      <c r="C3391" s="18" t="str">
        <f aca="false">'SALES Raw'!H1349</f>
        <v>213CTSR M ימין CTS כפפות</v>
      </c>
      <c r="D3391" s="19" t="n">
        <f aca="false">'SALES Raw'!C1349</f>
        <v>3</v>
      </c>
      <c r="E3391" s="19" t="n">
        <f aca="false">'SALES Raw'!D1349</f>
        <v>270</v>
      </c>
      <c r="F3391" s="19" t="n">
        <f aca="false">'SALES Raw'!E1349*$H$4</f>
        <v>2.52631578947368</v>
      </c>
      <c r="G3391" s="19" t="n">
        <f aca="false">'SALES Raw'!F1349*$H$4</f>
        <v>261.637894736842</v>
      </c>
      <c r="H3391" s="18" t="str">
        <f aca="false">'SALES Raw'!A1349</f>
        <v>103 - Physiotherapy institutes</v>
      </c>
    </row>
    <row r="3392" customFormat="false" ht="15" hidden="false" customHeight="false" outlineLevel="0" collapsed="false">
      <c r="A3392" s="18" t="n">
        <f aca="false">'SALES Raw'!G1361</f>
        <v>4416000</v>
      </c>
      <c r="B3392" s="18" t="str">
        <f aca="false">'SALES Raw'!B1361</f>
        <v>307 L</v>
      </c>
      <c r="C3392" s="18" t="str">
        <f aca="false">'SALES Raw'!H1361</f>
        <v>307 L עקבים לדורבן-זוג כריות</v>
      </c>
      <c r="D3392" s="19" t="n">
        <f aca="false">'SALES Raw'!C1361</f>
        <v>1</v>
      </c>
      <c r="E3392" s="19" t="n">
        <f aca="false">'SALES Raw'!D1361</f>
        <v>54</v>
      </c>
      <c r="F3392" s="19" t="n">
        <f aca="false">'SALES Raw'!E1361*$H$4</f>
        <v>2.52631578947368</v>
      </c>
      <c r="G3392" s="19" t="n">
        <f aca="false">'SALES Raw'!F1361*$H$4</f>
        <v>233.153684210526</v>
      </c>
      <c r="H3392" s="18" t="str">
        <f aca="false">'SALES Raw'!A1361</f>
        <v>103 - Physiotherapy institutes</v>
      </c>
    </row>
    <row r="3393" customFormat="false" ht="15" hidden="false" customHeight="false" outlineLevel="0" collapsed="false">
      <c r="A3393" s="18" t="n">
        <f aca="false">'SALES Raw'!G1362</f>
        <v>4416001</v>
      </c>
      <c r="B3393" s="18" t="str">
        <f aca="false">'SALES Raw'!B1362</f>
        <v>307 M</v>
      </c>
      <c r="C3393" s="18" t="str">
        <f aca="false">'SALES Raw'!H1362</f>
        <v>307 M עקבים לדורבן-זוג כריות</v>
      </c>
      <c r="D3393" s="19" t="n">
        <f aca="false">'SALES Raw'!C1362</f>
        <v>1</v>
      </c>
      <c r="E3393" s="19" t="n">
        <f aca="false">'SALES Raw'!D1362</f>
        <v>54</v>
      </c>
      <c r="F3393" s="19" t="n">
        <f aca="false">'SALES Raw'!E1362*$H$4</f>
        <v>2.52631578947368</v>
      </c>
      <c r="G3393" s="19" t="n">
        <f aca="false">'SALES Raw'!F1362*$H$4</f>
        <v>233.153684210526</v>
      </c>
      <c r="H3393" s="18" t="str">
        <f aca="false">'SALES Raw'!A1362</f>
        <v>103 - Physiotherapy institutes</v>
      </c>
    </row>
    <row r="3394" customFormat="false" ht="15" hidden="false" customHeight="false" outlineLevel="0" collapsed="false">
      <c r="A3394" s="18" t="str">
        <f aca="false">'SALES Raw'!G1371</f>
        <v/>
      </c>
      <c r="B3394" s="18" t="str">
        <f aca="false">'SALES Raw'!B1371</f>
        <v>332B L</v>
      </c>
      <c r="C3394" s="18" t="str">
        <f aca="false">'SALES Raw'!H1371</f>
        <v>332B L</v>
      </c>
      <c r="D3394" s="19" t="n">
        <f aca="false">'SALES Raw'!C1371</f>
        <v>0</v>
      </c>
      <c r="E3394" s="19" t="n">
        <f aca="false">'SALES Raw'!D1371</f>
        <v>0</v>
      </c>
      <c r="F3394" s="19" t="n">
        <f aca="false">'SALES Raw'!E1371*$H$4</f>
        <v>2.52631578947368</v>
      </c>
      <c r="G3394" s="19" t="n">
        <f aca="false">'SALES Raw'!F1371*$H$4</f>
        <v>164.210526315789</v>
      </c>
      <c r="H3394" s="18" t="str">
        <f aca="false">'SALES Raw'!A1371</f>
        <v>103 - Physiotherapy institutes</v>
      </c>
    </row>
    <row r="3395" customFormat="false" ht="15" hidden="false" customHeight="false" outlineLevel="0" collapsed="false">
      <c r="A3395" s="18" t="str">
        <f aca="false">'SALES Raw'!G1372</f>
        <v/>
      </c>
      <c r="B3395" s="18" t="str">
        <f aca="false">'SALES Raw'!B1372</f>
        <v>332B M</v>
      </c>
      <c r="C3395" s="18" t="str">
        <f aca="false">'SALES Raw'!H1372</f>
        <v>332B M</v>
      </c>
      <c r="D3395" s="19" t="n">
        <f aca="false">'SALES Raw'!C1372</f>
        <v>0</v>
      </c>
      <c r="E3395" s="19" t="n">
        <f aca="false">'SALES Raw'!D1372</f>
        <v>0</v>
      </c>
      <c r="F3395" s="19" t="n">
        <f aca="false">'SALES Raw'!E1372*$H$4</f>
        <v>2.52631578947368</v>
      </c>
      <c r="G3395" s="19" t="n">
        <f aca="false">'SALES Raw'!F1372*$H$4</f>
        <v>164.210526315789</v>
      </c>
      <c r="H3395" s="18" t="str">
        <f aca="false">'SALES Raw'!A1372</f>
        <v>103 - Physiotherapy institutes</v>
      </c>
    </row>
    <row r="3396" customFormat="false" ht="15" hidden="false" customHeight="false" outlineLevel="0" collapsed="false">
      <c r="A3396" s="18" t="str">
        <f aca="false">'SALES Raw'!G1373</f>
        <v/>
      </c>
      <c r="B3396" s="18" t="str">
        <f aca="false">'SALES Raw'!B1373</f>
        <v>332B S</v>
      </c>
      <c r="C3396" s="18" t="str">
        <f aca="false">'SALES Raw'!H1373</f>
        <v>332B S</v>
      </c>
      <c r="D3396" s="19" t="n">
        <f aca="false">'SALES Raw'!C1373</f>
        <v>0</v>
      </c>
      <c r="E3396" s="19" t="n">
        <f aca="false">'SALES Raw'!D1373</f>
        <v>0</v>
      </c>
      <c r="F3396" s="19" t="n">
        <f aca="false">'SALES Raw'!E1373*$H$4</f>
        <v>2.52631578947368</v>
      </c>
      <c r="G3396" s="19" t="n">
        <f aca="false">'SALES Raw'!F1373*$H$4</f>
        <v>164.210526315789</v>
      </c>
      <c r="H3396" s="18" t="str">
        <f aca="false">'SALES Raw'!A1373</f>
        <v>103 - Physiotherapy institutes</v>
      </c>
    </row>
    <row r="3397" customFormat="false" ht="15" hidden="false" customHeight="false" outlineLevel="0" collapsed="false">
      <c r="A3397" s="18" t="str">
        <f aca="false">'SALES Raw'!G1374</f>
        <v/>
      </c>
      <c r="B3397" s="18" t="str">
        <f aca="false">'SALES Raw'!B1374</f>
        <v>332B XL</v>
      </c>
      <c r="C3397" s="18" t="str">
        <f aca="false">'SALES Raw'!H1374</f>
        <v>332B XL</v>
      </c>
      <c r="D3397" s="19" t="n">
        <f aca="false">'SALES Raw'!C1374</f>
        <v>0</v>
      </c>
      <c r="E3397" s="19" t="n">
        <f aca="false">'SALES Raw'!D1374</f>
        <v>0</v>
      </c>
      <c r="F3397" s="19" t="n">
        <f aca="false">'SALES Raw'!E1374*$H$4</f>
        <v>2.52631578947368</v>
      </c>
      <c r="G3397" s="19" t="n">
        <f aca="false">'SALES Raw'!F1374*$H$4</f>
        <v>164.210526315789</v>
      </c>
      <c r="H3397" s="18" t="str">
        <f aca="false">'SALES Raw'!A1374</f>
        <v>103 - Physiotherapy institutes</v>
      </c>
    </row>
    <row r="3398" customFormat="false" ht="15" hidden="false" customHeight="false" outlineLevel="0" collapsed="false">
      <c r="A3398" s="18" t="str">
        <f aca="false">'SALES Raw'!G1375</f>
        <v/>
      </c>
      <c r="B3398" s="18" t="str">
        <f aca="false">'SALES Raw'!B1375</f>
        <v>332C L</v>
      </c>
      <c r="C3398" s="18" t="str">
        <f aca="false">'SALES Raw'!H1375</f>
        <v>332C L</v>
      </c>
      <c r="D3398" s="19" t="n">
        <f aca="false">'SALES Raw'!C1375</f>
        <v>0</v>
      </c>
      <c r="E3398" s="19" t="n">
        <f aca="false">'SALES Raw'!D1375</f>
        <v>0</v>
      </c>
      <c r="F3398" s="19" t="n">
        <f aca="false">'SALES Raw'!E1375*$H$4</f>
        <v>2.52631578947368</v>
      </c>
      <c r="G3398" s="19" t="n">
        <f aca="false">'SALES Raw'!F1375*$H$4</f>
        <v>164.210526315789</v>
      </c>
      <c r="H3398" s="18" t="str">
        <f aca="false">'SALES Raw'!A1375</f>
        <v>103 - Physiotherapy institutes</v>
      </c>
    </row>
    <row r="3399" customFormat="false" ht="15" hidden="false" customHeight="false" outlineLevel="0" collapsed="false">
      <c r="A3399" s="18" t="str">
        <f aca="false">'SALES Raw'!G1376</f>
        <v/>
      </c>
      <c r="B3399" s="18" t="str">
        <f aca="false">'SALES Raw'!B1376</f>
        <v>332C M</v>
      </c>
      <c r="C3399" s="18" t="str">
        <f aca="false">'SALES Raw'!H1376</f>
        <v>332C M</v>
      </c>
      <c r="D3399" s="19" t="n">
        <f aca="false">'SALES Raw'!C1376</f>
        <v>0</v>
      </c>
      <c r="E3399" s="19" t="n">
        <f aca="false">'SALES Raw'!D1376</f>
        <v>0</v>
      </c>
      <c r="F3399" s="19" t="n">
        <f aca="false">'SALES Raw'!E1376*$H$4</f>
        <v>2.52631578947368</v>
      </c>
      <c r="G3399" s="19" t="n">
        <f aca="false">'SALES Raw'!F1376*$H$4</f>
        <v>164.210526315789</v>
      </c>
      <c r="H3399" s="18" t="str">
        <f aca="false">'SALES Raw'!A1376</f>
        <v>103 - Physiotherapy institutes</v>
      </c>
    </row>
    <row r="3400" customFormat="false" ht="15" hidden="false" customHeight="false" outlineLevel="0" collapsed="false">
      <c r="A3400" s="18" t="str">
        <f aca="false">'SALES Raw'!G1377</f>
        <v/>
      </c>
      <c r="B3400" s="18" t="str">
        <f aca="false">'SALES Raw'!B1377</f>
        <v>332C S</v>
      </c>
      <c r="C3400" s="18" t="str">
        <f aca="false">'SALES Raw'!H1377</f>
        <v>332C S</v>
      </c>
      <c r="D3400" s="19" t="n">
        <f aca="false">'SALES Raw'!C1377</f>
        <v>0</v>
      </c>
      <c r="E3400" s="19" t="n">
        <f aca="false">'SALES Raw'!D1377</f>
        <v>0</v>
      </c>
      <c r="F3400" s="19" t="n">
        <f aca="false">'SALES Raw'!E1377*$H$4</f>
        <v>2.52631578947368</v>
      </c>
      <c r="G3400" s="19" t="n">
        <f aca="false">'SALES Raw'!F1377*$H$4</f>
        <v>164.210526315789</v>
      </c>
      <c r="H3400" s="18" t="str">
        <f aca="false">'SALES Raw'!A1377</f>
        <v>103 - Physiotherapy institutes</v>
      </c>
    </row>
    <row r="3401" customFormat="false" ht="15" hidden="false" customHeight="false" outlineLevel="0" collapsed="false">
      <c r="A3401" s="18" t="str">
        <f aca="false">'SALES Raw'!G1378</f>
        <v/>
      </c>
      <c r="B3401" s="18" t="str">
        <f aca="false">'SALES Raw'!B1378</f>
        <v>332C XL</v>
      </c>
      <c r="C3401" s="18" t="str">
        <f aca="false">'SALES Raw'!H1378</f>
        <v>332C XL</v>
      </c>
      <c r="D3401" s="19" t="n">
        <f aca="false">'SALES Raw'!C1378</f>
        <v>0</v>
      </c>
      <c r="E3401" s="19" t="n">
        <f aca="false">'SALES Raw'!D1378</f>
        <v>0</v>
      </c>
      <c r="F3401" s="19" t="n">
        <f aca="false">'SALES Raw'!E1378*$H$4</f>
        <v>2.52631578947368</v>
      </c>
      <c r="G3401" s="19" t="n">
        <f aca="false">'SALES Raw'!F1378*$H$4</f>
        <v>164.210526315789</v>
      </c>
      <c r="H3401" s="18" t="str">
        <f aca="false">'SALES Raw'!A1378</f>
        <v>103 - Physiotherapy institutes</v>
      </c>
    </row>
    <row r="3402" customFormat="false" ht="15" hidden="false" customHeight="false" outlineLevel="0" collapsed="false">
      <c r="A3402" s="18" t="n">
        <f aca="false">'SALES Raw'!G1384</f>
        <v>4413490</v>
      </c>
      <c r="B3402" s="18" t="str">
        <f aca="false">'SALES Raw'!B1384</f>
        <v>35B L</v>
      </c>
      <c r="C3402" s="18" t="str">
        <f aca="false">'SALES Raw'!H1384</f>
        <v>35B L מגן קרסול שחור</v>
      </c>
      <c r="D3402" s="19" t="n">
        <f aca="false">'SALES Raw'!C1384</f>
        <v>8</v>
      </c>
      <c r="E3402" s="19" t="n">
        <f aca="false">'SALES Raw'!D1384</f>
        <v>218.77</v>
      </c>
      <c r="F3402" s="19" t="n">
        <f aca="false">'SALES Raw'!E1384*$H$4</f>
        <v>2.52631578947368</v>
      </c>
      <c r="G3402" s="19" t="n">
        <f aca="false">'SALES Raw'!F1384*$H$4</f>
        <v>67.6421052631579</v>
      </c>
      <c r="H3402" s="18" t="str">
        <f aca="false">'SALES Raw'!A1384</f>
        <v>103 - Physiotherapy institutes</v>
      </c>
    </row>
    <row r="3403" customFormat="false" ht="15" hidden="false" customHeight="false" outlineLevel="0" collapsed="false">
      <c r="A3403" s="18" t="n">
        <f aca="false">'SALES Raw'!G1398</f>
        <v>4421000</v>
      </c>
      <c r="B3403" s="18" t="str">
        <f aca="false">'SALES Raw'!B1398</f>
        <v>3655 0</v>
      </c>
      <c r="C3403" s="18" t="str">
        <f aca="false">'SALES Raw'!H1398</f>
        <v>3655 שרוול מסיליקון לאצבע</v>
      </c>
      <c r="D3403" s="19" t="n">
        <f aca="false">'SALES Raw'!C1398</f>
        <v>6</v>
      </c>
      <c r="E3403" s="19" t="n">
        <f aca="false">'SALES Raw'!D1398</f>
        <v>97.27</v>
      </c>
      <c r="F3403" s="19" t="n">
        <f aca="false">'SALES Raw'!E1398*$H$4</f>
        <v>2.52631578947368</v>
      </c>
      <c r="G3403" s="19" t="n">
        <f aca="false">'SALES Raw'!F1398*$H$4</f>
        <v>47.2547368421053</v>
      </c>
      <c r="H3403" s="18" t="str">
        <f aca="false">'SALES Raw'!A1398</f>
        <v>103 - Physiotherapy institutes</v>
      </c>
    </row>
    <row r="3404" customFormat="false" ht="15" hidden="false" customHeight="false" outlineLevel="0" collapsed="false">
      <c r="A3404" s="18" t="n">
        <f aca="false">'SALES Raw'!G1421</f>
        <v>4408080</v>
      </c>
      <c r="B3404" s="18" t="str">
        <f aca="false">'SALES Raw'!B1421</f>
        <v>59R L</v>
      </c>
      <c r="C3404" s="18" t="str">
        <f aca="false">'SALES Raw'!H1421</f>
        <v>59R L חגורת שבר לצד ימין</v>
      </c>
      <c r="D3404" s="19" t="n">
        <f aca="false">'SALES Raw'!C1421</f>
        <v>0</v>
      </c>
      <c r="E3404" s="19" t="n">
        <f aca="false">'SALES Raw'!D1421</f>
        <v>0</v>
      </c>
      <c r="F3404" s="19" t="n">
        <f aca="false">'SALES Raw'!E1421*$H$4</f>
        <v>2.52631578947368</v>
      </c>
      <c r="G3404" s="19" t="n">
        <f aca="false">'SALES Raw'!F1421*$H$4</f>
        <v>176.854736842105</v>
      </c>
      <c r="H3404" s="18" t="str">
        <f aca="false">'SALES Raw'!A1421</f>
        <v>103 - Physiotherapy institutes</v>
      </c>
    </row>
    <row r="3405" customFormat="false" ht="15" hidden="false" customHeight="false" outlineLevel="0" collapsed="false">
      <c r="A3405" s="18" t="n">
        <f aca="false">'SALES Raw'!G1435</f>
        <v>4408207</v>
      </c>
      <c r="B3405" s="18" t="str">
        <f aca="false">'SALES Raw'!B1435</f>
        <v>AC25 0</v>
      </c>
      <c r="C3405" s="18" t="str">
        <f aca="false">'SALES Raw'!H1435</f>
        <v>AC-25 חבק לשורש כף היד</v>
      </c>
      <c r="D3405" s="19" t="n">
        <f aca="false">'SALES Raw'!C1435</f>
        <v>16</v>
      </c>
      <c r="E3405" s="19" t="n">
        <f aca="false">'SALES Raw'!D1435</f>
        <v>531.86</v>
      </c>
      <c r="F3405" s="19" t="n">
        <f aca="false">'SALES Raw'!E1435*$H$4</f>
        <v>2.52631578947368</v>
      </c>
      <c r="G3405" s="19" t="n">
        <f aca="false">'SALES Raw'!F1435*$H$4</f>
        <v>94.6231578947368</v>
      </c>
      <c r="H3405" s="18" t="str">
        <f aca="false">'SALES Raw'!A1435</f>
        <v>103 - Physiotherapy institutes</v>
      </c>
    </row>
    <row r="3406" customFormat="false" ht="15" hidden="false" customHeight="false" outlineLevel="0" collapsed="false">
      <c r="A3406" s="18" t="n">
        <f aca="false">'SALES Raw'!G1446</f>
        <v>4413421</v>
      </c>
      <c r="B3406" s="18" t="str">
        <f aca="false">'SALES Raw'!B1446</f>
        <v>SC35L M</v>
      </c>
      <c r="C3406" s="18" t="str">
        <f aca="false">'SALES Raw'!H1446</f>
        <v>SC35L  M מגן קרסול שמאל</v>
      </c>
      <c r="D3406" s="19" t="n">
        <f aca="false">'SALES Raw'!C1446</f>
        <v>0</v>
      </c>
      <c r="E3406" s="19" t="n">
        <f aca="false">'SALES Raw'!D1446</f>
        <v>0</v>
      </c>
      <c r="F3406" s="19" t="n">
        <f aca="false">'SALES Raw'!E1446*$H$4</f>
        <v>2.52631578947368</v>
      </c>
      <c r="G3406" s="19" t="n">
        <f aca="false">'SALES Raw'!F1446*$H$4</f>
        <v>205.098947368421</v>
      </c>
      <c r="H3406" s="18" t="str">
        <f aca="false">'SALES Raw'!A1446</f>
        <v>103 - Physiotherapy institutes</v>
      </c>
    </row>
    <row r="3407" customFormat="false" ht="15" hidden="false" customHeight="false" outlineLevel="0" collapsed="false">
      <c r="A3407" s="18" t="n">
        <f aca="false">'SALES Raw'!G1449</f>
        <v>4413425</v>
      </c>
      <c r="B3407" s="18" t="str">
        <f aca="false">'SALES Raw'!B1449</f>
        <v>SC35R M</v>
      </c>
      <c r="C3407" s="18" t="str">
        <f aca="false">'SALES Raw'!H1449</f>
        <v>SC35R  M מגן קרסול ימין</v>
      </c>
      <c r="D3407" s="19" t="n">
        <f aca="false">'SALES Raw'!C1449</f>
        <v>0</v>
      </c>
      <c r="E3407" s="19" t="n">
        <f aca="false">'SALES Raw'!D1449</f>
        <v>0</v>
      </c>
      <c r="F3407" s="19" t="n">
        <f aca="false">'SALES Raw'!E1449*$H$4</f>
        <v>2.52631578947368</v>
      </c>
      <c r="G3407" s="19" t="n">
        <f aca="false">'SALES Raw'!F1449*$H$4</f>
        <v>220.863157894737</v>
      </c>
      <c r="H3407" s="18" t="str">
        <f aca="false">'SALES Raw'!A1449</f>
        <v>103 - Physiotherapy institutes</v>
      </c>
    </row>
    <row r="3408" customFormat="false" ht="15" hidden="false" customHeight="false" outlineLevel="0" collapsed="false">
      <c r="A3408" s="18" t="n">
        <f aca="false">'SALES Raw'!G1455</f>
        <v>4413441</v>
      </c>
      <c r="B3408" s="18" t="str">
        <f aca="false">'SALES Raw'!B1455</f>
        <v>SC422 XL</v>
      </c>
      <c r="C3408" s="18" t="str">
        <f aca="false">'SALES Raw'!H1455</f>
        <v>SC422 XL מגן ברך</v>
      </c>
      <c r="D3408" s="19" t="n">
        <f aca="false">'SALES Raw'!C1455</f>
        <v>0</v>
      </c>
      <c r="E3408" s="19" t="n">
        <f aca="false">'SALES Raw'!D1455</f>
        <v>0</v>
      </c>
      <c r="F3408" s="19" t="n">
        <f aca="false">'SALES Raw'!E1455*$H$4</f>
        <v>2.52631578947368</v>
      </c>
      <c r="G3408" s="19" t="n">
        <f aca="false">'SALES Raw'!F1455*$H$4</f>
        <v>331.452631578947</v>
      </c>
      <c r="H3408" s="18" t="str">
        <f aca="false">'SALES Raw'!A1455</f>
        <v>103 - Physiotherapy institutes</v>
      </c>
    </row>
    <row r="3409" customFormat="false" ht="15" hidden="false" customHeight="false" outlineLevel="0" collapsed="false">
      <c r="A3409" s="18" t="n">
        <f aca="false">'SALES Raw'!G1456</f>
        <v>4413407</v>
      </c>
      <c r="B3409" s="18" t="str">
        <f aca="false">'SALES Raw'!B1456</f>
        <v>SC95 L</v>
      </c>
      <c r="C3409" s="18" t="str">
        <f aca="false">'SALES Raw'!H1456</f>
        <v>SC95 L מגן מרפק</v>
      </c>
      <c r="D3409" s="19" t="n">
        <f aca="false">'SALES Raw'!C1456</f>
        <v>0</v>
      </c>
      <c r="E3409" s="19" t="n">
        <f aca="false">'SALES Raw'!D1456</f>
        <v>0</v>
      </c>
      <c r="F3409" s="19" t="n">
        <f aca="false">'SALES Raw'!E1456*$H$4</f>
        <v>2.52631578947368</v>
      </c>
      <c r="G3409" s="19" t="n">
        <f aca="false">'SALES Raw'!F1456*$H$4</f>
        <v>205.098947368421</v>
      </c>
      <c r="H3409" s="18" t="str">
        <f aca="false">'SALES Raw'!A1456</f>
        <v>103 - Physiotherapy institutes</v>
      </c>
    </row>
    <row r="3410" customFormat="false" ht="15" hidden="false" customHeight="false" outlineLevel="0" collapsed="false">
      <c r="A3410" s="18" t="str">
        <f aca="false">'SALES Raw'!G1461</f>
        <v/>
      </c>
      <c r="B3410" s="18" t="str">
        <f aca="false">'SALES Raw'!B1461</f>
        <v>SH776 L</v>
      </c>
      <c r="C3410" s="18" t="str">
        <f aca="false">'SALES Raw'!H1461</f>
        <v>SH776 L</v>
      </c>
      <c r="D3410" s="19" t="n">
        <f aca="false">'SALES Raw'!C1461</f>
        <v>0</v>
      </c>
      <c r="E3410" s="19" t="n">
        <f aca="false">'SALES Raw'!D1461</f>
        <v>0</v>
      </c>
      <c r="F3410" s="19" t="n">
        <f aca="false">'SALES Raw'!E1461*$H$4</f>
        <v>2.52631578947368</v>
      </c>
      <c r="G3410" s="19" t="n">
        <f aca="false">'SALES Raw'!F1461*$H$4</f>
        <v>884.665263157895</v>
      </c>
      <c r="H3410" s="18" t="str">
        <f aca="false">'SALES Raw'!A1461</f>
        <v>103 - Physiotherapy institutes</v>
      </c>
    </row>
    <row r="3411" customFormat="false" ht="15" hidden="false" customHeight="false" outlineLevel="0" collapsed="false">
      <c r="A3411" s="18" t="str">
        <f aca="false">'SALES Raw'!G1462</f>
        <v/>
      </c>
      <c r="B3411" s="18" t="str">
        <f aca="false">'SALES Raw'!B1462</f>
        <v>SH776 XL</v>
      </c>
      <c r="C3411" s="18" t="str">
        <f aca="false">'SALES Raw'!H1462</f>
        <v>SH776 XL</v>
      </c>
      <c r="D3411" s="19" t="n">
        <f aca="false">'SALES Raw'!C1462</f>
        <v>0</v>
      </c>
      <c r="E3411" s="19" t="n">
        <f aca="false">'SALES Raw'!D1462</f>
        <v>0</v>
      </c>
      <c r="F3411" s="19" t="n">
        <f aca="false">'SALES Raw'!E1462*$H$4</f>
        <v>2.52631578947368</v>
      </c>
      <c r="G3411" s="19" t="n">
        <f aca="false">'SALES Raw'!F1462*$H$4</f>
        <v>884.652631578947</v>
      </c>
      <c r="H3411" s="18" t="str">
        <f aca="false">'SALES Raw'!A1462</f>
        <v>103 - Physiotherapy institutes</v>
      </c>
    </row>
    <row r="3412" customFormat="false" ht="15" hidden="false" customHeight="false" outlineLevel="0" collapsed="false">
      <c r="A3412" s="18" t="str">
        <f aca="false">'SALES Raw'!G1464</f>
        <v/>
      </c>
      <c r="B3412" s="18" t="str">
        <f aca="false">'SALES Raw'!B1464</f>
        <v>T066B-L-XL</v>
      </c>
      <c r="C3412" s="18" t="str">
        <f aca="false">'SALES Raw'!H1464</f>
        <v>T066B-L-XL</v>
      </c>
      <c r="D3412" s="19" t="n">
        <f aca="false">'SALES Raw'!C1464</f>
        <v>0</v>
      </c>
      <c r="E3412" s="19" t="n">
        <f aca="false">'SALES Raw'!D1464</f>
        <v>0</v>
      </c>
      <c r="F3412" s="19" t="n">
        <f aca="false">'SALES Raw'!E1464*$H$4</f>
        <v>2.52631578947368</v>
      </c>
      <c r="G3412" s="19" t="n">
        <f aca="false">'SALES Raw'!F1464*$H$4</f>
        <v>359.090526315789</v>
      </c>
      <c r="H3412" s="18" t="str">
        <f aca="false">'SALES Raw'!A1464</f>
        <v>103 - Physiotherapy institutes</v>
      </c>
    </row>
    <row r="3413" customFormat="false" ht="15" hidden="false" customHeight="false" outlineLevel="0" collapsed="false">
      <c r="A3413" s="18" t="str">
        <f aca="false">'SALES Raw'!G1465</f>
        <v/>
      </c>
      <c r="B3413" s="18" t="str">
        <f aca="false">'SALES Raw'!B1465</f>
        <v>T066B-S-M</v>
      </c>
      <c r="C3413" s="18" t="str">
        <f aca="false">'SALES Raw'!H1465</f>
        <v>T066B-S-M</v>
      </c>
      <c r="D3413" s="19" t="n">
        <f aca="false">'SALES Raw'!C1465</f>
        <v>0</v>
      </c>
      <c r="E3413" s="19" t="n">
        <f aca="false">'SALES Raw'!D1465</f>
        <v>0</v>
      </c>
      <c r="F3413" s="19" t="n">
        <f aca="false">'SALES Raw'!E1465*$H$4</f>
        <v>2.52631578947368</v>
      </c>
      <c r="G3413" s="19" t="n">
        <f aca="false">'SALES Raw'!F1465*$H$4</f>
        <v>359.090526315789</v>
      </c>
      <c r="H3413" s="18" t="str">
        <f aca="false">'SALES Raw'!A1465</f>
        <v>103 - Physiotherapy institutes</v>
      </c>
    </row>
    <row r="3414" customFormat="false" ht="15" hidden="false" customHeight="false" outlineLevel="0" collapsed="false">
      <c r="A3414" s="18" t="n">
        <f aca="false">'SALES Raw'!G1479</f>
        <v>4408220</v>
      </c>
      <c r="B3414" s="18" t="str">
        <f aca="false">'SALES Raw'!B1479</f>
        <v>078G M</v>
      </c>
      <c r="C3414" s="18" t="str">
        <f aca="false">'SALES Raw'!H1479</f>
        <v>078G-M חגורת גב אפורה</v>
      </c>
      <c r="D3414" s="19" t="n">
        <f aca="false">'SALES Raw'!C1479</f>
        <v>9</v>
      </c>
      <c r="E3414" s="19" t="n">
        <f aca="false">'SALES Raw'!D1479</f>
        <v>885.67</v>
      </c>
      <c r="F3414" s="19" t="n">
        <f aca="false">'SALES Raw'!E1479*$H$4</f>
        <v>2.52631578947368</v>
      </c>
      <c r="G3414" s="19" t="n">
        <f aca="false">'SALES Raw'!F1479*$H$4</f>
        <v>295.92</v>
      </c>
      <c r="H3414" s="18" t="str">
        <f aca="false">'SALES Raw'!A1479</f>
        <v>103 - Physiotherapy institutes</v>
      </c>
    </row>
    <row r="3415" customFormat="false" ht="15" hidden="false" customHeight="false" outlineLevel="0" collapsed="false">
      <c r="A3415" s="18" t="n">
        <f aca="false">'SALES Raw'!G1480</f>
        <v>4408222</v>
      </c>
      <c r="B3415" s="18" t="str">
        <f aca="false">'SALES Raw'!B1480</f>
        <v>078G XL</v>
      </c>
      <c r="C3415" s="18" t="str">
        <f aca="false">'SALES Raw'!H1480</f>
        <v>078G-XLחגורת גב אפורה</v>
      </c>
      <c r="D3415" s="19" t="n">
        <f aca="false">'SALES Raw'!C1480</f>
        <v>9</v>
      </c>
      <c r="E3415" s="19" t="n">
        <f aca="false">'SALES Raw'!D1480</f>
        <v>843.55</v>
      </c>
      <c r="F3415" s="19" t="n">
        <f aca="false">'SALES Raw'!E1480*$H$4</f>
        <v>2.52631578947368</v>
      </c>
      <c r="G3415" s="19" t="n">
        <f aca="false">'SALES Raw'!F1480*$H$4</f>
        <v>295.92</v>
      </c>
      <c r="H3415" s="18" t="str">
        <f aca="false">'SALES Raw'!A1480</f>
        <v>103 - Physiotherapy institutes</v>
      </c>
    </row>
    <row r="3416" customFormat="false" ht="15" hidden="false" customHeight="false" outlineLevel="0" collapsed="false">
      <c r="A3416" s="18" t="n">
        <f aca="false">'SALES Raw'!G1485</f>
        <v>4413416</v>
      </c>
      <c r="B3416" s="18" t="str">
        <f aca="false">'SALES Raw'!B1485</f>
        <v>SC39 M</v>
      </c>
      <c r="C3416" s="18" t="str">
        <f aca="false">'SALES Raw'!H1485</f>
        <v>SC39  M מגן שוק</v>
      </c>
      <c r="D3416" s="19" t="n">
        <f aca="false">'SALES Raw'!C1485</f>
        <v>1</v>
      </c>
      <c r="E3416" s="19" t="n">
        <f aca="false">'SALES Raw'!D1485</f>
        <v>145.26</v>
      </c>
      <c r="F3416" s="19" t="n">
        <f aca="false">'SALES Raw'!E1485*$H$4</f>
        <v>2.52631578947368</v>
      </c>
      <c r="G3416" s="19" t="n">
        <f aca="false">'SALES Raw'!F1485*$H$4</f>
        <v>414.378947368421</v>
      </c>
      <c r="H3416" s="18" t="str">
        <f aca="false">'SALES Raw'!A1485</f>
        <v>103 - Physiotherapy institutes</v>
      </c>
    </row>
    <row r="3417" customFormat="false" ht="15" hidden="false" customHeight="false" outlineLevel="0" collapsed="false">
      <c r="A3417" s="18" t="n">
        <f aca="false">'SALES Raw'!G1498</f>
        <v>4408094</v>
      </c>
      <c r="B3417" s="18" t="str">
        <f aca="false">'SALES Raw'!B1498</f>
        <v>T20-S-M</v>
      </c>
      <c r="C3417" s="18" t="str">
        <f aca="false">'SALES Raw'!H1498</f>
        <v>T20 S-M חבק יד עם צמדן</v>
      </c>
      <c r="D3417" s="19" t="n">
        <f aca="false">'SALES Raw'!C1498</f>
        <v>8</v>
      </c>
      <c r="E3417" s="19" t="n">
        <f aca="false">'SALES Raw'!D1498</f>
        <v>284.57</v>
      </c>
      <c r="F3417" s="19" t="n">
        <f aca="false">'SALES Raw'!E1498*$H$4</f>
        <v>2.52631578947368</v>
      </c>
      <c r="G3417" s="19" t="n">
        <f aca="false">'SALES Raw'!F1498*$H$4</f>
        <v>89.8736842105263</v>
      </c>
      <c r="H3417" s="18" t="str">
        <f aca="false">'SALES Raw'!A1498</f>
        <v>103 - Physiotherapy institutes</v>
      </c>
    </row>
    <row r="3418" customFormat="false" ht="15" hidden="false" customHeight="false" outlineLevel="0" collapsed="false">
      <c r="A3418" s="18" t="str">
        <f aca="false">'SALES Raw'!G1504</f>
        <v/>
      </c>
      <c r="B3418" s="18" t="str">
        <f aca="false">'SALES Raw'!B1504</f>
        <v>099-L-XL</v>
      </c>
      <c r="C3418" s="18" t="str">
        <f aca="false">'SALES Raw'!H1504</f>
        <v>099-L-XL</v>
      </c>
      <c r="D3418" s="19" t="n">
        <f aca="false">'SALES Raw'!C1504</f>
        <v>2</v>
      </c>
      <c r="E3418" s="19" t="n">
        <f aca="false">'SALES Raw'!D1504</f>
        <v>140</v>
      </c>
      <c r="F3418" s="19" t="n">
        <f aca="false">'SALES Raw'!E1504*$H$4</f>
        <v>2.52631578947368</v>
      </c>
      <c r="G3418" s="19" t="n">
        <f aca="false">'SALES Raw'!F1504*$H$4</f>
        <v>176.981052631579</v>
      </c>
      <c r="H3418" s="18" t="str">
        <f aca="false">'SALES Raw'!A1504</f>
        <v>103 - Physiotherapy institutes</v>
      </c>
    </row>
    <row r="3419" customFormat="false" ht="15" hidden="false" customHeight="false" outlineLevel="0" collapsed="false">
      <c r="A3419" s="18" t="str">
        <f aca="false">'SALES Raw'!G1505</f>
        <v/>
      </c>
      <c r="B3419" s="18" t="str">
        <f aca="false">'SALES Raw'!B1505</f>
        <v>099-S-M</v>
      </c>
      <c r="C3419" s="18" t="str">
        <f aca="false">'SALES Raw'!H1505</f>
        <v>099-S-M</v>
      </c>
      <c r="D3419" s="19" t="n">
        <f aca="false">'SALES Raw'!C1505</f>
        <v>2</v>
      </c>
      <c r="E3419" s="19" t="n">
        <f aca="false">'SALES Raw'!D1505</f>
        <v>140</v>
      </c>
      <c r="F3419" s="19" t="n">
        <f aca="false">'SALES Raw'!E1505*$H$4</f>
        <v>2.52631578947368</v>
      </c>
      <c r="G3419" s="19" t="n">
        <f aca="false">'SALES Raw'!F1505*$H$4</f>
        <v>176.829473684211</v>
      </c>
      <c r="H3419" s="18" t="str">
        <f aca="false">'SALES Raw'!A1505</f>
        <v>103 - Physiotherapy institutes</v>
      </c>
    </row>
    <row r="3420" customFormat="false" ht="15" hidden="false" customHeight="false" outlineLevel="0" collapsed="false">
      <c r="A3420" s="18" t="n">
        <f aca="false">'SALES Raw'!G1515</f>
        <v>4413063</v>
      </c>
      <c r="B3420" s="18" t="str">
        <f aca="false">'SALES Raw'!B1515</f>
        <v>366S 0</v>
      </c>
      <c r="C3420" s="18" t="str">
        <f aca="false">'SALES Raw'!H1515</f>
        <v>366S-'מדבק.לשחרור לחץ מיבלת2יח</v>
      </c>
      <c r="D3420" s="19" t="n">
        <f aca="false">'SALES Raw'!C1515</f>
        <v>0</v>
      </c>
      <c r="E3420" s="19" t="n">
        <f aca="false">'SALES Raw'!D1515</f>
        <v>0</v>
      </c>
      <c r="F3420" s="19" t="n">
        <f aca="false">'SALES Raw'!E1515*$H$4</f>
        <v>2.52631578947368</v>
      </c>
      <c r="G3420" s="19" t="n">
        <f aca="false">'SALES Raw'!F1515*$H$4</f>
        <v>42.4926315789474</v>
      </c>
      <c r="H3420" s="18" t="str">
        <f aca="false">'SALES Raw'!A1515</f>
        <v>103 - Physiotherapy institutes</v>
      </c>
    </row>
    <row r="3421" customFormat="false" ht="15" hidden="false" customHeight="false" outlineLevel="0" collapsed="false">
      <c r="A3421" s="18" t="n">
        <f aca="false">'SALES Raw'!G1523</f>
        <v>4418000</v>
      </c>
      <c r="B3421" s="18" t="str">
        <f aca="false">'SALES Raw'!B1523</f>
        <v>60 L</v>
      </c>
      <c r="C3421" s="18" t="str">
        <f aca="false">'SALES Raw'!H1523</f>
        <v>60 L צוארון ספוגי</v>
      </c>
      <c r="D3421" s="19" t="n">
        <f aca="false">'SALES Raw'!C1523</f>
        <v>1</v>
      </c>
      <c r="E3421" s="19" t="n">
        <f aca="false">'SALES Raw'!D1523</f>
        <v>49.63</v>
      </c>
      <c r="F3421" s="19" t="n">
        <f aca="false">'SALES Raw'!E1523*$H$4</f>
        <v>2.52631578947368</v>
      </c>
      <c r="G3421" s="19" t="n">
        <f aca="false">'SALES Raw'!F1523*$H$4</f>
        <v>125.393684210526</v>
      </c>
      <c r="H3421" s="18" t="str">
        <f aca="false">'SALES Raw'!A1523</f>
        <v>103 - Physiotherapy institutes</v>
      </c>
    </row>
    <row r="3422" customFormat="false" ht="15" hidden="false" customHeight="false" outlineLevel="0" collapsed="false">
      <c r="A3422" s="18" t="n">
        <f aca="false">'SALES Raw'!G1550</f>
        <v>4415002</v>
      </c>
      <c r="B3422" s="18" t="str">
        <f aca="false">'SALES Raw'!B1550</f>
        <v>26 S</v>
      </c>
      <c r="C3422" s="18" t="str">
        <f aca="false">'SALES Raw'!H1550</f>
        <v>26 S סד ליד דו צדדי לאחר שבר</v>
      </c>
      <c r="D3422" s="19" t="n">
        <f aca="false">'SALES Raw'!C1550</f>
        <v>3</v>
      </c>
      <c r="E3422" s="19" t="n">
        <f aca="false">'SALES Raw'!D1550</f>
        <v>309.22</v>
      </c>
      <c r="F3422" s="19" t="n">
        <f aca="false">'SALES Raw'!E1550*$H$4</f>
        <v>2.52631578947368</v>
      </c>
      <c r="G3422" s="19" t="n">
        <f aca="false">'SALES Raw'!F1550*$H$4</f>
        <v>260.387368421053</v>
      </c>
      <c r="H3422" s="18" t="str">
        <f aca="false">'SALES Raw'!A1550</f>
        <v>103 - Physiotherapy institutes</v>
      </c>
    </row>
    <row r="3423" customFormat="false" ht="15" hidden="false" customHeight="false" outlineLevel="0" collapsed="false">
      <c r="A3423" s="18" t="str">
        <f aca="false">'SALES Raw'!G1554</f>
        <v/>
      </c>
      <c r="B3423" s="18" t="str">
        <f aca="false">'SALES Raw'!B1554</f>
        <v>422E M</v>
      </c>
      <c r="C3423" s="18" t="str">
        <f aca="false">'SALES Raw'!H1554</f>
        <v>422E M</v>
      </c>
      <c r="D3423" s="19" t="n">
        <f aca="false">'SALES Raw'!C1554</f>
        <v>0</v>
      </c>
      <c r="E3423" s="19" t="n">
        <f aca="false">'SALES Raw'!D1554</f>
        <v>0</v>
      </c>
      <c r="F3423" s="19" t="n">
        <f aca="false">'SALES Raw'!E1554*$H$4</f>
        <v>2.52631578947368</v>
      </c>
      <c r="G3423" s="19" t="n">
        <f aca="false">'SALES Raw'!F1554*$H$4</f>
        <v>242.526315789474</v>
      </c>
      <c r="H3423" s="18" t="str">
        <f aca="false">'SALES Raw'!A1554</f>
        <v>103 - Physiotherapy institutes</v>
      </c>
    </row>
    <row r="3424" customFormat="false" ht="15" hidden="false" customHeight="false" outlineLevel="0" collapsed="false">
      <c r="A3424" s="18" t="str">
        <f aca="false">'SALES Raw'!G1555</f>
        <v/>
      </c>
      <c r="B3424" s="18" t="str">
        <f aca="false">'SALES Raw'!B1555</f>
        <v>422E XL</v>
      </c>
      <c r="C3424" s="18" t="str">
        <f aca="false">'SALES Raw'!H1555</f>
        <v>422E XL</v>
      </c>
      <c r="D3424" s="19" t="n">
        <f aca="false">'SALES Raw'!C1555</f>
        <v>2</v>
      </c>
      <c r="E3424" s="19" t="n">
        <f aca="false">'SALES Raw'!D1555</f>
        <v>406.75</v>
      </c>
      <c r="F3424" s="19" t="n">
        <f aca="false">'SALES Raw'!E1555*$H$4</f>
        <v>2.52631578947368</v>
      </c>
      <c r="G3424" s="19" t="n">
        <f aca="false">'SALES Raw'!F1555*$H$4</f>
        <v>242.526315789474</v>
      </c>
      <c r="H3424" s="18" t="str">
        <f aca="false">'SALES Raw'!A1555</f>
        <v>103 - Physiotherapy institutes</v>
      </c>
    </row>
    <row r="3425" customFormat="false" ht="15" hidden="false" customHeight="false" outlineLevel="0" collapsed="false">
      <c r="A3425" s="18" t="str">
        <f aca="false">'SALES Raw'!G1568</f>
        <v/>
      </c>
      <c r="B3425" s="18" t="str">
        <f aca="false">'SALES Raw'!B1568</f>
        <v>61BL-L</v>
      </c>
      <c r="C3425" s="18" t="str">
        <f aca="false">'SALES Raw'!H1568</f>
        <v>61BL-L</v>
      </c>
      <c r="D3425" s="19" t="n">
        <f aca="false">'SALES Raw'!C1568</f>
        <v>0</v>
      </c>
      <c r="E3425" s="19" t="n">
        <f aca="false">'SALES Raw'!D1568</f>
        <v>0</v>
      </c>
      <c r="F3425" s="19" t="n">
        <f aca="false">'SALES Raw'!E1568*$H$4</f>
        <v>2.52631578947368</v>
      </c>
      <c r="G3425" s="19" t="n">
        <f aca="false">'SALES Raw'!F1568*$H$4</f>
        <v>118.282105263158</v>
      </c>
      <c r="H3425" s="18" t="str">
        <f aca="false">'SALES Raw'!A1568</f>
        <v>103 - Physiotherapy institutes</v>
      </c>
    </row>
    <row r="3426" customFormat="false" ht="15" hidden="false" customHeight="false" outlineLevel="0" collapsed="false">
      <c r="A3426" s="18" t="str">
        <f aca="false">'SALES Raw'!G1569</f>
        <v/>
      </c>
      <c r="B3426" s="18" t="str">
        <f aca="false">'SALES Raw'!B1569</f>
        <v>61BL-M</v>
      </c>
      <c r="C3426" s="18" t="str">
        <f aca="false">'SALES Raw'!H1569</f>
        <v>61BL-M</v>
      </c>
      <c r="D3426" s="19" t="n">
        <f aca="false">'SALES Raw'!C1569</f>
        <v>0</v>
      </c>
      <c r="E3426" s="19" t="n">
        <f aca="false">'SALES Raw'!D1569</f>
        <v>0</v>
      </c>
      <c r="F3426" s="19" t="n">
        <f aca="false">'SALES Raw'!E1569*$H$4</f>
        <v>2.52631578947368</v>
      </c>
      <c r="G3426" s="19" t="n">
        <f aca="false">'SALES Raw'!F1569*$H$4</f>
        <v>118.282105263158</v>
      </c>
      <c r="H3426" s="18" t="str">
        <f aca="false">'SALES Raw'!A1569</f>
        <v>103 - Physiotherapy institutes</v>
      </c>
    </row>
    <row r="3427" customFormat="false" ht="15" hidden="false" customHeight="false" outlineLevel="0" collapsed="false">
      <c r="A3427" s="18" t="str">
        <f aca="false">'SALES Raw'!G1570</f>
        <v/>
      </c>
      <c r="B3427" s="18" t="str">
        <f aca="false">'SALES Raw'!B1570</f>
        <v>61BL-S</v>
      </c>
      <c r="C3427" s="18" t="str">
        <f aca="false">'SALES Raw'!H1570</f>
        <v>61BL-S</v>
      </c>
      <c r="D3427" s="19" t="n">
        <f aca="false">'SALES Raw'!C1570</f>
        <v>0</v>
      </c>
      <c r="E3427" s="19" t="n">
        <f aca="false">'SALES Raw'!D1570</f>
        <v>0</v>
      </c>
      <c r="F3427" s="19" t="n">
        <f aca="false">'SALES Raw'!E1570*$H$4</f>
        <v>2.52631578947368</v>
      </c>
      <c r="G3427" s="19" t="n">
        <f aca="false">'SALES Raw'!F1570*$H$4</f>
        <v>118.332631578947</v>
      </c>
      <c r="H3427" s="18" t="str">
        <f aca="false">'SALES Raw'!A1570</f>
        <v>103 - Physiotherapy institutes</v>
      </c>
    </row>
    <row r="3428" customFormat="false" ht="15" hidden="false" customHeight="false" outlineLevel="0" collapsed="false">
      <c r="A3428" s="18" t="str">
        <f aca="false">'SALES Raw'!G1571</f>
        <v/>
      </c>
      <c r="B3428" s="18" t="str">
        <f aca="false">'SALES Raw'!B1571</f>
        <v>61BL-XL</v>
      </c>
      <c r="C3428" s="18" t="str">
        <f aca="false">'SALES Raw'!H1571</f>
        <v>61BL-XL</v>
      </c>
      <c r="D3428" s="19" t="n">
        <f aca="false">'SALES Raw'!C1571</f>
        <v>0</v>
      </c>
      <c r="E3428" s="19" t="n">
        <f aca="false">'SALES Raw'!D1571</f>
        <v>0</v>
      </c>
      <c r="F3428" s="19" t="n">
        <f aca="false">'SALES Raw'!E1571*$H$4</f>
        <v>2.52631578947368</v>
      </c>
      <c r="G3428" s="19" t="n">
        <f aca="false">'SALES Raw'!F1571*$H$4</f>
        <v>118.282105263158</v>
      </c>
      <c r="H3428" s="18" t="str">
        <f aca="false">'SALES Raw'!A1571</f>
        <v>103 - Physiotherapy institutes</v>
      </c>
    </row>
    <row r="3429" customFormat="false" ht="15" hidden="false" customHeight="false" outlineLevel="0" collapsed="false">
      <c r="A3429" s="18" t="str">
        <f aca="false">'SALES Raw'!G1595</f>
        <v/>
      </c>
      <c r="B3429" s="18" t="str">
        <f aca="false">'SALES Raw'!B1595</f>
        <v>26 XS</v>
      </c>
      <c r="C3429" s="18" t="str">
        <f aca="false">'SALES Raw'!H1595</f>
        <v>26 XS</v>
      </c>
      <c r="D3429" s="19" t="n">
        <f aca="false">'SALES Raw'!C1595</f>
        <v>0</v>
      </c>
      <c r="E3429" s="19" t="n">
        <f aca="false">'SALES Raw'!D1595</f>
        <v>0</v>
      </c>
      <c r="F3429" s="19" t="n">
        <f aca="false">'SALES Raw'!E1595*$H$4</f>
        <v>2.52631578947368</v>
      </c>
      <c r="G3429" s="19" t="n">
        <f aca="false">'SALES Raw'!F1595*$H$4</f>
        <v>260.387368421053</v>
      </c>
      <c r="H3429" s="18" t="str">
        <f aca="false">'SALES Raw'!A1595</f>
        <v>103 - Physiotherapy institutes</v>
      </c>
    </row>
    <row r="3430" customFormat="false" ht="15" hidden="false" customHeight="false" outlineLevel="0" collapsed="false">
      <c r="A3430" s="18" t="n">
        <f aca="false">'SALES Raw'!G1599</f>
        <v>4413337</v>
      </c>
      <c r="B3430" s="18" t="str">
        <f aca="false">'SALES Raw'!B1599</f>
        <v>322 XL</v>
      </c>
      <c r="C3430" s="18" t="str">
        <f aca="false">'SALES Raw'!H1599</f>
        <v>322XL מגן קרסול+כרית סילקון</v>
      </c>
      <c r="D3430" s="19" t="n">
        <f aca="false">'SALES Raw'!C1599</f>
        <v>0</v>
      </c>
      <c r="E3430" s="19" t="n">
        <f aca="false">'SALES Raw'!D1599</f>
        <v>0</v>
      </c>
      <c r="F3430" s="19" t="n">
        <f aca="false">'SALES Raw'!E1599*$H$4</f>
        <v>2.52631578947368</v>
      </c>
      <c r="G3430" s="19" t="n">
        <f aca="false">'SALES Raw'!F1599*$H$4</f>
        <v>323.141052631579</v>
      </c>
      <c r="H3430" s="18" t="str">
        <f aca="false">'SALES Raw'!A1599</f>
        <v>103 - Physiotherapy institutes</v>
      </c>
    </row>
    <row r="3431" customFormat="false" ht="15" hidden="false" customHeight="false" outlineLevel="0" collapsed="false">
      <c r="A3431" s="18" t="n">
        <f aca="false">'SALES Raw'!G1607</f>
        <v>4408097</v>
      </c>
      <c r="B3431" s="18" t="str">
        <f aca="false">'SALES Raw'!B1607</f>
        <v>T20C-L-XL</v>
      </c>
      <c r="C3431" s="18" t="str">
        <f aca="false">'SALES Raw'!H1607</f>
        <v>T20C L-XL חבק יד עם צמדן חום</v>
      </c>
      <c r="D3431" s="19" t="n">
        <f aca="false">'SALES Raw'!C1607</f>
        <v>0</v>
      </c>
      <c r="E3431" s="19" t="n">
        <f aca="false">'SALES Raw'!D1607</f>
        <v>0</v>
      </c>
      <c r="F3431" s="19" t="n">
        <f aca="false">'SALES Raw'!E1607*$H$4</f>
        <v>2.52631578947368</v>
      </c>
      <c r="G3431" s="19" t="n">
        <f aca="false">'SALES Raw'!F1607*$H$4</f>
        <v>89.8736842105263</v>
      </c>
      <c r="H3431" s="18" t="str">
        <f aca="false">'SALES Raw'!A1607</f>
        <v>103 - Physiotherapy institutes</v>
      </c>
    </row>
    <row r="3432" customFormat="false" ht="15" hidden="false" customHeight="false" outlineLevel="0" collapsed="false">
      <c r="A3432" s="18" t="n">
        <f aca="false">'SALES Raw'!G1608</f>
        <v>4408096</v>
      </c>
      <c r="B3432" s="18" t="str">
        <f aca="false">'SALES Raw'!B1608</f>
        <v>T20C-S-M</v>
      </c>
      <c r="C3432" s="18" t="str">
        <f aca="false">'SALES Raw'!H1608</f>
        <v>T20C S-M חבק יד עם צמדןחום</v>
      </c>
      <c r="D3432" s="19" t="n">
        <f aca="false">'SALES Raw'!C1608</f>
        <v>0</v>
      </c>
      <c r="E3432" s="19" t="n">
        <f aca="false">'SALES Raw'!D1608</f>
        <v>0</v>
      </c>
      <c r="F3432" s="19" t="n">
        <f aca="false">'SALES Raw'!E1608*$H$4</f>
        <v>2.52631578947368</v>
      </c>
      <c r="G3432" s="19" t="n">
        <f aca="false">'SALES Raw'!F1608*$H$4</f>
        <v>89.8736842105263</v>
      </c>
      <c r="H3432" s="18" t="str">
        <f aca="false">'SALES Raw'!A1608</f>
        <v>103 - Physiotherapy institutes</v>
      </c>
    </row>
    <row r="3433" customFormat="false" ht="15" hidden="false" customHeight="false" outlineLevel="0" collapsed="false">
      <c r="A3433" s="18" t="n">
        <f aca="false">'SALES Raw'!G1618</f>
        <v>4413490</v>
      </c>
      <c r="B3433" s="18" t="str">
        <f aca="false">'SALES Raw'!B1618</f>
        <v>35B L</v>
      </c>
      <c r="C3433" s="18" t="str">
        <f aca="false">'SALES Raw'!H1618</f>
        <v>35B L מגן קרסול שחור</v>
      </c>
      <c r="D3433" s="19" t="n">
        <f aca="false">'SALES Raw'!C1618</f>
        <v>0</v>
      </c>
      <c r="E3433" s="19" t="n">
        <f aca="false">'SALES Raw'!D1618</f>
        <v>0</v>
      </c>
      <c r="F3433" s="19" t="n">
        <f aca="false">'SALES Raw'!E1618*$H$4</f>
        <v>2.52631578947368</v>
      </c>
      <c r="G3433" s="19" t="n">
        <f aca="false">'SALES Raw'!F1618*$H$4</f>
        <v>78.0505263157895</v>
      </c>
      <c r="H3433" s="18" t="str">
        <f aca="false">'SALES Raw'!A1618</f>
        <v>104 - Sports Shop</v>
      </c>
    </row>
    <row r="3434" customFormat="false" ht="15" hidden="false" customHeight="false" outlineLevel="0" collapsed="false">
      <c r="A3434" s="18" t="n">
        <f aca="false">'SALES Raw'!G1619</f>
        <v>4413492</v>
      </c>
      <c r="B3434" s="18" t="str">
        <f aca="false">'SALES Raw'!B1619</f>
        <v>35B M</v>
      </c>
      <c r="C3434" s="18" t="str">
        <f aca="false">'SALES Raw'!H1619</f>
        <v>35B M מגן קרסול שחור</v>
      </c>
      <c r="D3434" s="19" t="n">
        <f aca="false">'SALES Raw'!C1619</f>
        <v>0</v>
      </c>
      <c r="E3434" s="19" t="n">
        <f aca="false">'SALES Raw'!D1619</f>
        <v>0</v>
      </c>
      <c r="F3434" s="19" t="n">
        <f aca="false">'SALES Raw'!E1619*$H$4</f>
        <v>2.52631578947368</v>
      </c>
      <c r="G3434" s="19" t="n">
        <f aca="false">'SALES Raw'!F1619*$H$4</f>
        <v>78.0505263157895</v>
      </c>
      <c r="H3434" s="18" t="str">
        <f aca="false">'SALES Raw'!A1619</f>
        <v>104 - Sports Shop</v>
      </c>
    </row>
    <row r="3435" customFormat="false" ht="15" hidden="false" customHeight="false" outlineLevel="0" collapsed="false">
      <c r="A3435" s="18" t="n">
        <f aca="false">'SALES Raw'!G1621</f>
        <v>4413053</v>
      </c>
      <c r="B3435" s="18" t="str">
        <f aca="false">'SALES Raw'!B1621</f>
        <v>35C L</v>
      </c>
      <c r="C3435" s="18" t="str">
        <f aca="false">'SALES Raw'!H1621</f>
        <v>35C L מגן קרסול חום</v>
      </c>
      <c r="D3435" s="19" t="n">
        <f aca="false">'SALES Raw'!C1621</f>
        <v>0</v>
      </c>
      <c r="E3435" s="19" t="n">
        <f aca="false">'SALES Raw'!D1621</f>
        <v>0</v>
      </c>
      <c r="F3435" s="19" t="n">
        <f aca="false">'SALES Raw'!E1621*$H$4</f>
        <v>2.52631578947368</v>
      </c>
      <c r="G3435" s="19" t="n">
        <f aca="false">'SALES Raw'!F1621*$H$4</f>
        <v>78.0505263157895</v>
      </c>
      <c r="H3435" s="18" t="str">
        <f aca="false">'SALES Raw'!A1621</f>
        <v>104 - Sports Shop</v>
      </c>
    </row>
    <row r="3436" customFormat="false" ht="15" hidden="false" customHeight="false" outlineLevel="0" collapsed="false">
      <c r="A3436" s="18" t="n">
        <f aca="false">'SALES Raw'!G1622</f>
        <v>4413054</v>
      </c>
      <c r="B3436" s="18" t="str">
        <f aca="false">'SALES Raw'!B1622</f>
        <v>35C M</v>
      </c>
      <c r="C3436" s="18" t="str">
        <f aca="false">'SALES Raw'!H1622</f>
        <v>35C M מגן קרסול חום</v>
      </c>
      <c r="D3436" s="19" t="n">
        <f aca="false">'SALES Raw'!C1622</f>
        <v>0</v>
      </c>
      <c r="E3436" s="19" t="n">
        <f aca="false">'SALES Raw'!D1622</f>
        <v>0</v>
      </c>
      <c r="F3436" s="19" t="n">
        <f aca="false">'SALES Raw'!E1622*$H$4</f>
        <v>2.52631578947368</v>
      </c>
      <c r="G3436" s="19" t="n">
        <f aca="false">'SALES Raw'!F1622*$H$4</f>
        <v>78.0505263157895</v>
      </c>
      <c r="H3436" s="18" t="str">
        <f aca="false">'SALES Raw'!A1622</f>
        <v>104 - Sports Shop</v>
      </c>
    </row>
    <row r="3437" customFormat="false" ht="15" hidden="false" customHeight="false" outlineLevel="0" collapsed="false">
      <c r="A3437" s="18" t="n">
        <f aca="false">'SALES Raw'!G1624</f>
        <v>4413495</v>
      </c>
      <c r="B3437" s="18" t="str">
        <f aca="false">'SALES Raw'!B1624</f>
        <v>45B L</v>
      </c>
      <c r="C3437" s="18" t="str">
        <f aca="false">'SALES Raw'!H1624</f>
        <v>45B L מגן ברך שחור</v>
      </c>
      <c r="D3437" s="19" t="n">
        <f aca="false">'SALES Raw'!C1624</f>
        <v>0</v>
      </c>
      <c r="E3437" s="19" t="n">
        <f aca="false">'SALES Raw'!D1624</f>
        <v>0</v>
      </c>
      <c r="F3437" s="19" t="n">
        <f aca="false">'SALES Raw'!E1624*$H$4</f>
        <v>2.52631578947368</v>
      </c>
      <c r="G3437" s="19" t="n">
        <f aca="false">'SALES Raw'!F1624*$H$4</f>
        <v>78.0505263157895</v>
      </c>
      <c r="H3437" s="18" t="str">
        <f aca="false">'SALES Raw'!A1624</f>
        <v>104 - Sports Shop</v>
      </c>
    </row>
    <row r="3438" customFormat="false" ht="15" hidden="false" customHeight="false" outlineLevel="0" collapsed="false">
      <c r="A3438" s="18" t="n">
        <f aca="false">'SALES Raw'!G1625</f>
        <v>4413497</v>
      </c>
      <c r="B3438" s="18" t="str">
        <f aca="false">'SALES Raw'!B1625</f>
        <v>45B M</v>
      </c>
      <c r="C3438" s="18" t="str">
        <f aca="false">'SALES Raw'!H1625</f>
        <v>45B M מגן ברך שחור</v>
      </c>
      <c r="D3438" s="19" t="n">
        <f aca="false">'SALES Raw'!C1625</f>
        <v>0</v>
      </c>
      <c r="E3438" s="19" t="n">
        <f aca="false">'SALES Raw'!D1625</f>
        <v>0</v>
      </c>
      <c r="F3438" s="19" t="n">
        <f aca="false">'SALES Raw'!E1625*$H$4</f>
        <v>2.52631578947368</v>
      </c>
      <c r="G3438" s="19" t="n">
        <f aca="false">'SALES Raw'!F1625*$H$4</f>
        <v>78.0505263157895</v>
      </c>
      <c r="H3438" s="18" t="str">
        <f aca="false">'SALES Raw'!A1625</f>
        <v>104 - Sports Shop</v>
      </c>
    </row>
    <row r="3439" customFormat="false" ht="15" hidden="false" customHeight="false" outlineLevel="0" collapsed="false">
      <c r="A3439" s="18" t="n">
        <f aca="false">'SALES Raw'!G1626</f>
        <v>4413496</v>
      </c>
      <c r="B3439" s="18" t="str">
        <f aca="false">'SALES Raw'!B1626</f>
        <v>45B XL</v>
      </c>
      <c r="C3439" s="18" t="str">
        <f aca="false">'SALES Raw'!H1626</f>
        <v>45B XL מגן ברך שחור</v>
      </c>
      <c r="D3439" s="19" t="n">
        <f aca="false">'SALES Raw'!C1626</f>
        <v>0</v>
      </c>
      <c r="E3439" s="19" t="n">
        <f aca="false">'SALES Raw'!D1626</f>
        <v>0</v>
      </c>
      <c r="F3439" s="19" t="n">
        <f aca="false">'SALES Raw'!E1626*$H$4</f>
        <v>2.52631578947368</v>
      </c>
      <c r="G3439" s="19" t="n">
        <f aca="false">'SALES Raw'!F1626*$H$4</f>
        <v>78.0505263157895</v>
      </c>
      <c r="H3439" s="18" t="str">
        <f aca="false">'SALES Raw'!A1626</f>
        <v>104 - Sports Shop</v>
      </c>
    </row>
    <row r="3440" customFormat="false" ht="15" hidden="false" customHeight="false" outlineLevel="0" collapsed="false">
      <c r="A3440" s="18" t="n">
        <f aca="false">'SALES Raw'!G1627</f>
        <v>4413098</v>
      </c>
      <c r="B3440" s="18" t="str">
        <f aca="false">'SALES Raw'!B1627</f>
        <v>45C L</v>
      </c>
      <c r="C3440" s="18" t="str">
        <f aca="false">'SALES Raw'!H1627</f>
        <v>45C L מגן ברך חום</v>
      </c>
      <c r="D3440" s="19" t="n">
        <f aca="false">'SALES Raw'!C1627</f>
        <v>0</v>
      </c>
      <c r="E3440" s="19" t="n">
        <f aca="false">'SALES Raw'!D1627</f>
        <v>0</v>
      </c>
      <c r="F3440" s="19" t="n">
        <f aca="false">'SALES Raw'!E1627*$H$4</f>
        <v>2.52631578947368</v>
      </c>
      <c r="G3440" s="19" t="n">
        <f aca="false">'SALES Raw'!F1627*$H$4</f>
        <v>78.0505263157895</v>
      </c>
      <c r="H3440" s="18" t="str">
        <f aca="false">'SALES Raw'!A1627</f>
        <v>104 - Sports Shop</v>
      </c>
    </row>
    <row r="3441" customFormat="false" ht="15" hidden="false" customHeight="false" outlineLevel="0" collapsed="false">
      <c r="A3441" s="18" t="n">
        <f aca="false">'SALES Raw'!G1628</f>
        <v>4413099</v>
      </c>
      <c r="B3441" s="18" t="str">
        <f aca="false">'SALES Raw'!B1628</f>
        <v>45C M</v>
      </c>
      <c r="C3441" s="18" t="str">
        <f aca="false">'SALES Raw'!H1628</f>
        <v>45C M מגן ברך חום</v>
      </c>
      <c r="D3441" s="19" t="n">
        <f aca="false">'SALES Raw'!C1628</f>
        <v>0</v>
      </c>
      <c r="E3441" s="19" t="n">
        <f aca="false">'SALES Raw'!D1628</f>
        <v>0</v>
      </c>
      <c r="F3441" s="19" t="n">
        <f aca="false">'SALES Raw'!E1628*$H$4</f>
        <v>2.52631578947368</v>
      </c>
      <c r="G3441" s="19" t="n">
        <f aca="false">'SALES Raw'!F1628*$H$4</f>
        <v>78.0505263157895</v>
      </c>
      <c r="H3441" s="18" t="str">
        <f aca="false">'SALES Raw'!A1628</f>
        <v>104 - Sports Shop</v>
      </c>
    </row>
    <row r="3442" customFormat="false" ht="15" hidden="false" customHeight="false" outlineLevel="0" collapsed="false">
      <c r="A3442" s="18" t="n">
        <f aca="false">'SALES Raw'!G1629</f>
        <v>4413100</v>
      </c>
      <c r="B3442" s="18" t="str">
        <f aca="false">'SALES Raw'!B1629</f>
        <v>45C XL</v>
      </c>
      <c r="C3442" s="18" t="str">
        <f aca="false">'SALES Raw'!H1629</f>
        <v>45C XL מגן ברך חום</v>
      </c>
      <c r="D3442" s="19" t="n">
        <f aca="false">'SALES Raw'!C1629</f>
        <v>0</v>
      </c>
      <c r="E3442" s="19" t="n">
        <f aca="false">'SALES Raw'!D1629</f>
        <v>0</v>
      </c>
      <c r="F3442" s="19" t="n">
        <f aca="false">'SALES Raw'!E1629*$H$4</f>
        <v>2.52631578947368</v>
      </c>
      <c r="G3442" s="19" t="n">
        <f aca="false">'SALES Raw'!F1629*$H$4</f>
        <v>78.0505263157895</v>
      </c>
      <c r="H3442" s="18" t="str">
        <f aca="false">'SALES Raw'!A1629</f>
        <v>104 - Sports Shop</v>
      </c>
    </row>
    <row r="3443" customFormat="false" ht="15" hidden="false" customHeight="false" outlineLevel="0" collapsed="false">
      <c r="A3443" s="18" t="n">
        <f aca="false">'SALES Raw'!G1637</f>
        <v>4413365</v>
      </c>
      <c r="B3443" s="18" t="str">
        <f aca="false">'SALES Raw'!B1637</f>
        <v>95C L</v>
      </c>
      <c r="C3443" s="18" t="str">
        <f aca="false">'SALES Raw'!H1637</f>
        <v>95C L 'מגן מרפק בז</v>
      </c>
      <c r="D3443" s="19" t="n">
        <f aca="false">'SALES Raw'!C1637</f>
        <v>0</v>
      </c>
      <c r="E3443" s="19" t="n">
        <f aca="false">'SALES Raw'!D1637</f>
        <v>0</v>
      </c>
      <c r="F3443" s="19" t="n">
        <f aca="false">'SALES Raw'!E1637*$H$4</f>
        <v>2.52631578947368</v>
      </c>
      <c r="G3443" s="19" t="n">
        <f aca="false">'SALES Raw'!F1637*$H$4</f>
        <v>78.0505263157895</v>
      </c>
      <c r="H3443" s="18" t="str">
        <f aca="false">'SALES Raw'!A1637</f>
        <v>104 - Sports Shop</v>
      </c>
    </row>
    <row r="3444" customFormat="false" ht="15" hidden="false" customHeight="false" outlineLevel="0" collapsed="false">
      <c r="A3444" s="18" t="n">
        <f aca="false">'SALES Raw'!G1640</f>
        <v>4408098</v>
      </c>
      <c r="B3444" s="18" t="str">
        <f aca="false">'SALES Raw'!B1640</f>
        <v>T25 0</v>
      </c>
      <c r="C3444" s="18" t="str">
        <f aca="false">'SALES Raw'!H1640</f>
        <v>T25-חבק יד אגודלי</v>
      </c>
      <c r="D3444" s="19" t="n">
        <f aca="false">'SALES Raw'!C1640</f>
        <v>0</v>
      </c>
      <c r="E3444" s="19" t="n">
        <f aca="false">'SALES Raw'!D1640</f>
        <v>0</v>
      </c>
      <c r="F3444" s="19" t="n">
        <f aca="false">'SALES Raw'!E1640*$H$4</f>
        <v>2.52631578947368</v>
      </c>
      <c r="G3444" s="19" t="n">
        <f aca="false">'SALES Raw'!F1640*$H$4</f>
        <v>118.231578947368</v>
      </c>
      <c r="H3444" s="18" t="str">
        <f aca="false">'SALES Raw'!A1640</f>
        <v>104 - Sports Shop</v>
      </c>
    </row>
    <row r="3445" customFormat="false" ht="15" hidden="false" customHeight="false" outlineLevel="0" collapsed="false">
      <c r="A3445" s="18" t="n">
        <f aca="false">'SALES Raw'!G1641</f>
        <v>4408264</v>
      </c>
      <c r="B3445" s="18" t="str">
        <f aca="false">'SALES Raw'!B1641</f>
        <v>T25B 0</v>
      </c>
      <c r="C3445" s="18" t="str">
        <f aca="false">'SALES Raw'!H1641</f>
        <v>T25B   חבק יד אגודלי</v>
      </c>
      <c r="D3445" s="19" t="n">
        <f aca="false">'SALES Raw'!C1641</f>
        <v>0</v>
      </c>
      <c r="E3445" s="19" t="n">
        <f aca="false">'SALES Raw'!D1641</f>
        <v>0</v>
      </c>
      <c r="F3445" s="19" t="n">
        <f aca="false">'SALES Raw'!E1641*$H$4</f>
        <v>2.52631578947368</v>
      </c>
      <c r="G3445" s="19" t="n">
        <f aca="false">'SALES Raw'!F1641*$H$4</f>
        <v>118.294736842105</v>
      </c>
      <c r="H3445" s="18" t="str">
        <f aca="false">'SALES Raw'!A1641</f>
        <v>104 - Sports Shop</v>
      </c>
    </row>
    <row r="3446" customFormat="false" ht="15" hidden="false" customHeight="false" outlineLevel="0" collapsed="false">
      <c r="A3446" s="18" t="n">
        <f aca="false">'SALES Raw'!G1642</f>
        <v>4408099</v>
      </c>
      <c r="B3446" s="18" t="str">
        <f aca="false">'SALES Raw'!B1642</f>
        <v>T25C 0</v>
      </c>
      <c r="C3446" s="18" t="str">
        <f aca="false">'SALES Raw'!H1642</f>
        <v>T25C-חבק יד אגודלי</v>
      </c>
      <c r="D3446" s="19" t="n">
        <f aca="false">'SALES Raw'!C1642</f>
        <v>0</v>
      </c>
      <c r="E3446" s="19" t="n">
        <f aca="false">'SALES Raw'!D1642</f>
        <v>0</v>
      </c>
      <c r="F3446" s="19" t="n">
        <f aca="false">'SALES Raw'!E1642*$H$4</f>
        <v>2.52631578947368</v>
      </c>
      <c r="G3446" s="19" t="n">
        <f aca="false">'SALES Raw'!F1642*$H$4</f>
        <v>118.294736842105</v>
      </c>
      <c r="H3446" s="18" t="str">
        <f aca="false">'SALES Raw'!A1642</f>
        <v>104 - Sports Shop</v>
      </c>
    </row>
    <row r="3447" customFormat="false" ht="15" hidden="false" customHeight="false" outlineLevel="0" collapsed="false">
      <c r="A3447" s="18" t="n">
        <f aca="false">'SALES Raw'!G1650</f>
        <v>4416000</v>
      </c>
      <c r="B3447" s="18" t="str">
        <f aca="false">'SALES Raw'!B1650</f>
        <v>307 L</v>
      </c>
      <c r="C3447" s="18" t="str">
        <f aca="false">'SALES Raw'!H1650</f>
        <v>307 L עקבים לדורבן-זוג כריות</v>
      </c>
      <c r="D3447" s="19" t="n">
        <f aca="false">'SALES Raw'!C1650</f>
        <v>0</v>
      </c>
      <c r="E3447" s="19" t="n">
        <f aca="false">'SALES Raw'!D1650</f>
        <v>0</v>
      </c>
      <c r="F3447" s="19" t="n">
        <f aca="false">'SALES Raw'!E1650*$H$4</f>
        <v>2.52631578947368</v>
      </c>
      <c r="G3447" s="19" t="n">
        <f aca="false">'SALES Raw'!F1650*$H$4</f>
        <v>279.802105263158</v>
      </c>
      <c r="H3447" s="18" t="str">
        <f aca="false">'SALES Raw'!A1650</f>
        <v>105 - Pedicure Salons</v>
      </c>
    </row>
    <row r="3448" customFormat="false" ht="15" hidden="false" customHeight="false" outlineLevel="0" collapsed="false">
      <c r="A3448" s="18" t="n">
        <f aca="false">'SALES Raw'!G1651</f>
        <v>4413033</v>
      </c>
      <c r="B3448" s="18" t="str">
        <f aca="false">'SALES Raw'!B1651</f>
        <v>311 0</v>
      </c>
      <c r="C3448" s="18" t="str">
        <f aca="false">'SALES Raw'!H1651</f>
        <v>311'מדב.ג'ל למניעת שפשוף 5 יח</v>
      </c>
      <c r="D3448" s="19" t="n">
        <f aca="false">'SALES Raw'!C1651</f>
        <v>11</v>
      </c>
      <c r="E3448" s="19" t="n">
        <f aca="false">'SALES Raw'!D1651</f>
        <v>225.31</v>
      </c>
      <c r="F3448" s="19" t="n">
        <f aca="false">'SALES Raw'!E1651*$H$4</f>
        <v>2.52631578947368</v>
      </c>
      <c r="G3448" s="19" t="n">
        <f aca="false">'SALES Raw'!F1651*$H$4</f>
        <v>63.0063157894737</v>
      </c>
      <c r="H3448" s="18" t="str">
        <f aca="false">'SALES Raw'!A1651</f>
        <v>105 - Pedicure Salons</v>
      </c>
    </row>
    <row r="3449" customFormat="false" ht="15" hidden="false" customHeight="false" outlineLevel="0" collapsed="false">
      <c r="A3449" s="18" t="n">
        <f aca="false">'SALES Raw'!G1652</f>
        <v>4402007</v>
      </c>
      <c r="B3449" s="18" t="str">
        <f aca="false">'SALES Raw'!B1652</f>
        <v>320 0</v>
      </c>
      <c r="C3449" s="18" t="str">
        <f aca="false">'SALES Raw'!H1652</f>
        <v>320 בליסטר פלסטר</v>
      </c>
      <c r="D3449" s="19" t="n">
        <f aca="false">'SALES Raw'!C1652</f>
        <v>0</v>
      </c>
      <c r="E3449" s="19" t="n">
        <f aca="false">'SALES Raw'!D1652</f>
        <v>0</v>
      </c>
      <c r="F3449" s="19" t="n">
        <f aca="false">'SALES Raw'!E1652*$H$4</f>
        <v>2.52631578947368</v>
      </c>
      <c r="G3449" s="19" t="n">
        <f aca="false">'SALES Raw'!F1652*$H$4</f>
        <v>52.9263157894737</v>
      </c>
      <c r="H3449" s="18" t="str">
        <f aca="false">'SALES Raw'!A1652</f>
        <v>105 - Pedicure Salons</v>
      </c>
    </row>
    <row r="3450" customFormat="false" ht="15" hidden="false" customHeight="false" outlineLevel="0" collapsed="false">
      <c r="A3450" s="18" t="n">
        <f aca="false">'SALES Raw'!G1662</f>
        <v>4413371</v>
      </c>
      <c r="B3450" s="18" t="str">
        <f aca="false">'SALES Raw'!B1662</f>
        <v>3675 0</v>
      </c>
      <c r="C3450" s="18" t="str">
        <f aca="false">'SALES Raw'!H1662</f>
        <v>3675    מגן זרת מסיליקון</v>
      </c>
      <c r="D3450" s="19" t="n">
        <f aca="false">'SALES Raw'!C1662</f>
        <v>2</v>
      </c>
      <c r="E3450" s="19" t="n">
        <f aca="false">'SALES Raw'!D1662</f>
        <v>64.89</v>
      </c>
      <c r="F3450" s="19" t="n">
        <f aca="false">'SALES Raw'!E1662*$H$4</f>
        <v>2.52631578947368</v>
      </c>
      <c r="G3450" s="19" t="n">
        <f aca="false">'SALES Raw'!F1662*$H$4</f>
        <v>102.467368421053</v>
      </c>
      <c r="H3450" s="18" t="str">
        <f aca="false">'SALES Raw'!A1662</f>
        <v>105 - Pedicure Salons</v>
      </c>
    </row>
    <row r="3451" customFormat="false" ht="15" hidden="false" customHeight="false" outlineLevel="0" collapsed="false">
      <c r="A3451" s="18" t="n">
        <f aca="false">'SALES Raw'!G1663</f>
        <v>4401001</v>
      </c>
      <c r="B3451" s="18" t="str">
        <f aca="false">'SALES Raw'!B1663</f>
        <v>369-XL</v>
      </c>
      <c r="C3451" s="18" t="str">
        <f aca="false">'SALES Raw'!H1663</f>
        <v>369   XL אצבעון מסיליקון יחידה</v>
      </c>
      <c r="D3451" s="19" t="n">
        <f aca="false">'SALES Raw'!C1663</f>
        <v>0</v>
      </c>
      <c r="E3451" s="19" t="n">
        <f aca="false">'SALES Raw'!D1663</f>
        <v>0</v>
      </c>
      <c r="F3451" s="19" t="n">
        <f aca="false">'SALES Raw'!E1663*$H$4</f>
        <v>2.52631578947368</v>
      </c>
      <c r="G3451" s="19" t="n">
        <f aca="false">'SALES Raw'!F1663*$H$4</f>
        <v>70.5978947368421</v>
      </c>
      <c r="H3451" s="18" t="str">
        <f aca="false">'SALES Raw'!A1663</f>
        <v>105 - Pedicure Salons</v>
      </c>
    </row>
    <row r="3452" customFormat="false" ht="15" hidden="false" customHeight="false" outlineLevel="0" collapsed="false">
      <c r="A3452" s="18" t="n">
        <f aca="false">'SALES Raw'!G1673</f>
        <v>4408221</v>
      </c>
      <c r="B3452" s="18" t="str">
        <f aca="false">'SALES Raw'!B1673</f>
        <v>078G L</v>
      </c>
      <c r="C3452" s="18" t="str">
        <f aca="false">'SALES Raw'!H1673</f>
        <v>078G-L חגורת גב אפורה</v>
      </c>
      <c r="D3452" s="19" t="n">
        <f aca="false">'SALES Raw'!C1673</f>
        <v>3</v>
      </c>
      <c r="E3452" s="19" t="n">
        <f aca="false">'SALES Raw'!D1673</f>
        <v>225</v>
      </c>
      <c r="F3452" s="19" t="n">
        <f aca="false">'SALES Raw'!E1673*$H$4</f>
        <v>2.52631578947368</v>
      </c>
      <c r="G3452" s="19" t="n">
        <f aca="false">'SALES Raw'!F1673*$H$4</f>
        <v>189.473684210526</v>
      </c>
      <c r="H3452" s="18" t="str">
        <f aca="false">'SALES Raw'!A1673</f>
        <v>106 - Hospitals</v>
      </c>
    </row>
    <row r="3453" customFormat="false" ht="15" hidden="false" customHeight="false" outlineLevel="0" collapsed="false">
      <c r="A3453" s="18" t="n">
        <f aca="false">'SALES Raw'!G1675</f>
        <v>4408222</v>
      </c>
      <c r="B3453" s="18" t="str">
        <f aca="false">'SALES Raw'!B1675</f>
        <v>078G XL</v>
      </c>
      <c r="C3453" s="18" t="str">
        <f aca="false">'SALES Raw'!H1675</f>
        <v>078G-XLחגורת גב אפורה</v>
      </c>
      <c r="D3453" s="19" t="n">
        <f aca="false">'SALES Raw'!C1675</f>
        <v>3</v>
      </c>
      <c r="E3453" s="19" t="n">
        <f aca="false">'SALES Raw'!D1675</f>
        <v>225</v>
      </c>
      <c r="F3453" s="19" t="n">
        <f aca="false">'SALES Raw'!E1675*$H$4</f>
        <v>2.52631578947368</v>
      </c>
      <c r="G3453" s="19" t="n">
        <f aca="false">'SALES Raw'!F1675*$H$4</f>
        <v>189.473684210526</v>
      </c>
      <c r="H3453" s="18" t="str">
        <f aca="false">'SALES Raw'!A1675</f>
        <v>106 - Hospitals</v>
      </c>
    </row>
    <row r="3454" customFormat="false" ht="15" hidden="false" customHeight="false" outlineLevel="0" collapsed="false">
      <c r="A3454" s="18" t="n">
        <f aca="false">'SALES Raw'!G1679</f>
        <v>4411017</v>
      </c>
      <c r="B3454" s="18" t="str">
        <f aca="false">'SALES Raw'!B1679</f>
        <v>211 L</v>
      </c>
      <c r="C3454" s="18" t="str">
        <f aca="false">'SALES Raw'!H1679</f>
        <v>211L כפפות לחץ</v>
      </c>
      <c r="D3454" s="19" t="n">
        <f aca="false">'SALES Raw'!C1679</f>
        <v>1</v>
      </c>
      <c r="E3454" s="19" t="n">
        <f aca="false">'SALES Raw'!D1679</f>
        <v>33.04</v>
      </c>
      <c r="F3454" s="19" t="n">
        <f aca="false">'SALES Raw'!E1679*$H$4</f>
        <v>2.52631578947368</v>
      </c>
      <c r="G3454" s="19" t="n">
        <f aca="false">'SALES Raw'!F1679*$H$4</f>
        <v>94.6357894736842</v>
      </c>
      <c r="H3454" s="18" t="str">
        <f aca="false">'SALES Raw'!A1679</f>
        <v>106 - Hospitals</v>
      </c>
    </row>
    <row r="3455" customFormat="false" ht="15" hidden="false" customHeight="false" outlineLevel="0" collapsed="false">
      <c r="A3455" s="18" t="n">
        <f aca="false">'SALES Raw'!G1687</f>
        <v>4415162</v>
      </c>
      <c r="B3455" s="18" t="str">
        <f aca="false">'SALES Raw'!B1687</f>
        <v>238 L</v>
      </c>
      <c r="C3455" s="18" t="str">
        <f aca="false">'SALES Raw'!H1687</f>
        <v>238L סד ליישור אצבע</v>
      </c>
      <c r="D3455" s="19" t="n">
        <f aca="false">'SALES Raw'!C1687</f>
        <v>3</v>
      </c>
      <c r="E3455" s="19" t="n">
        <f aca="false">'SALES Raw'!D1687</f>
        <v>53.75</v>
      </c>
      <c r="F3455" s="19" t="n">
        <f aca="false">'SALES Raw'!E1687*$H$4</f>
        <v>2.52631578947368</v>
      </c>
      <c r="G3455" s="19" t="n">
        <f aca="false">'SALES Raw'!F1687*$H$4</f>
        <v>45.2589473684211</v>
      </c>
      <c r="H3455" s="18" t="str">
        <f aca="false">'SALES Raw'!A1687</f>
        <v>106 - Hospitals</v>
      </c>
    </row>
    <row r="3456" customFormat="false" ht="15" hidden="false" customHeight="false" outlineLevel="0" collapsed="false">
      <c r="A3456" s="18" t="n">
        <f aca="false">'SALES Raw'!G1690</f>
        <v>4415163</v>
      </c>
      <c r="B3456" s="18" t="str">
        <f aca="false">'SALES Raw'!B1690</f>
        <v>238 XL</v>
      </c>
      <c r="C3456" s="18" t="str">
        <f aca="false">'SALES Raw'!H1690</f>
        <v>238XL סד ליישור אצבע</v>
      </c>
      <c r="D3456" s="19" t="n">
        <f aca="false">'SALES Raw'!C1690</f>
        <v>3</v>
      </c>
      <c r="E3456" s="19" t="n">
        <f aca="false">'SALES Raw'!D1690</f>
        <v>53.75</v>
      </c>
      <c r="F3456" s="19" t="n">
        <f aca="false">'SALES Raw'!E1690*$H$4</f>
        <v>2.52631578947368</v>
      </c>
      <c r="G3456" s="19" t="n">
        <f aca="false">'SALES Raw'!F1690*$H$4</f>
        <v>45.2589473684211</v>
      </c>
      <c r="H3456" s="18" t="str">
        <f aca="false">'SALES Raw'!A1690</f>
        <v>106 - Hospitals</v>
      </c>
    </row>
    <row r="3457" customFormat="false" ht="15" hidden="false" customHeight="false" outlineLevel="0" collapsed="false">
      <c r="A3457" s="18" t="n">
        <f aca="false">'SALES Raw'!G1694</f>
        <v>4415159</v>
      </c>
      <c r="B3457" s="18" t="str">
        <f aca="false">'SALES Raw'!B1694</f>
        <v>268 0</v>
      </c>
      <c r="C3457" s="18" t="str">
        <f aca="false">'SALES Raw'!H1694</f>
        <v>268 סד לאגודל</v>
      </c>
      <c r="D3457" s="19" t="n">
        <f aca="false">'SALES Raw'!C1694</f>
        <v>4</v>
      </c>
      <c r="E3457" s="19" t="n">
        <f aca="false">'SALES Raw'!D1694</f>
        <v>300</v>
      </c>
      <c r="F3457" s="19" t="n">
        <f aca="false">'SALES Raw'!E1694*$H$4</f>
        <v>2.52631578947368</v>
      </c>
      <c r="G3457" s="19" t="n">
        <f aca="false">'SALES Raw'!F1694*$H$4</f>
        <v>189.473684210526</v>
      </c>
      <c r="H3457" s="18" t="str">
        <f aca="false">'SALES Raw'!A1694</f>
        <v>106 - Hospitals</v>
      </c>
    </row>
    <row r="3458" customFormat="false" ht="15" hidden="false" customHeight="false" outlineLevel="0" collapsed="false">
      <c r="A3458" s="18" t="n">
        <f aca="false">'SALES Raw'!G1697</f>
        <v>4413490</v>
      </c>
      <c r="B3458" s="18" t="str">
        <f aca="false">'SALES Raw'!B1697</f>
        <v>35B L</v>
      </c>
      <c r="C3458" s="18" t="str">
        <f aca="false">'SALES Raw'!H1697</f>
        <v>35B L מגן קרסול שחור</v>
      </c>
      <c r="D3458" s="19" t="n">
        <f aca="false">'SALES Raw'!C1697</f>
        <v>4</v>
      </c>
      <c r="E3458" s="19" t="n">
        <f aca="false">'SALES Raw'!D1697</f>
        <v>76</v>
      </c>
      <c r="F3458" s="19" t="n">
        <f aca="false">'SALES Raw'!E1697*$H$4</f>
        <v>2.52631578947368</v>
      </c>
      <c r="G3458" s="19" t="n">
        <f aca="false">'SALES Raw'!F1697*$H$4</f>
        <v>47.9873684210526</v>
      </c>
      <c r="H3458" s="18" t="str">
        <f aca="false">'SALES Raw'!A1697</f>
        <v>106 - Hospitals</v>
      </c>
    </row>
    <row r="3459" customFormat="false" ht="15" hidden="false" customHeight="false" outlineLevel="0" collapsed="false">
      <c r="A3459" s="18" t="n">
        <f aca="false">'SALES Raw'!G1698</f>
        <v>4413492</v>
      </c>
      <c r="B3459" s="18" t="str">
        <f aca="false">'SALES Raw'!B1698</f>
        <v>35B M</v>
      </c>
      <c r="C3459" s="18" t="str">
        <f aca="false">'SALES Raw'!H1698</f>
        <v>35B M מגן קרסול שחור</v>
      </c>
      <c r="D3459" s="19" t="n">
        <f aca="false">'SALES Raw'!C1698</f>
        <v>4</v>
      </c>
      <c r="E3459" s="19" t="n">
        <f aca="false">'SALES Raw'!D1698</f>
        <v>76</v>
      </c>
      <c r="F3459" s="19" t="n">
        <f aca="false">'SALES Raw'!E1698*$H$4</f>
        <v>2.52631578947368</v>
      </c>
      <c r="G3459" s="19" t="n">
        <f aca="false">'SALES Raw'!F1698*$H$4</f>
        <v>47.9873684210526</v>
      </c>
      <c r="H3459" s="18" t="str">
        <f aca="false">'SALES Raw'!A1698</f>
        <v>106 - Hospitals</v>
      </c>
    </row>
    <row r="3460" customFormat="false" ht="15" hidden="false" customHeight="false" outlineLevel="0" collapsed="false">
      <c r="A3460" s="18" t="n">
        <f aca="false">'SALES Raw'!G1699</f>
        <v>4413491</v>
      </c>
      <c r="B3460" s="18" t="str">
        <f aca="false">'SALES Raw'!B1699</f>
        <v>35B XL</v>
      </c>
      <c r="C3460" s="18" t="str">
        <f aca="false">'SALES Raw'!H1699</f>
        <v>35B XL מגן קרסול שחור</v>
      </c>
      <c r="D3460" s="19" t="n">
        <f aca="false">'SALES Raw'!C1699</f>
        <v>4</v>
      </c>
      <c r="E3460" s="19" t="n">
        <f aca="false">'SALES Raw'!D1699</f>
        <v>38.02</v>
      </c>
      <c r="F3460" s="19" t="n">
        <f aca="false">'SALES Raw'!E1699*$H$4</f>
        <v>2.52631578947368</v>
      </c>
      <c r="G3460" s="19" t="n">
        <f aca="false">'SALES Raw'!F1699*$H$4</f>
        <v>24.0126315789474</v>
      </c>
      <c r="H3460" s="18" t="str">
        <f aca="false">'SALES Raw'!A1699</f>
        <v>106 - Hospitals</v>
      </c>
    </row>
    <row r="3461" customFormat="false" ht="15" hidden="false" customHeight="false" outlineLevel="0" collapsed="false">
      <c r="A3461" s="18" t="n">
        <f aca="false">'SALES Raw'!G1702</f>
        <v>4413495</v>
      </c>
      <c r="B3461" s="18" t="str">
        <f aca="false">'SALES Raw'!B1702</f>
        <v>45B L</v>
      </c>
      <c r="C3461" s="18" t="str">
        <f aca="false">'SALES Raw'!H1702</f>
        <v>45B L מגן ברך שחור</v>
      </c>
      <c r="D3461" s="19" t="n">
        <f aca="false">'SALES Raw'!C1702</f>
        <v>4</v>
      </c>
      <c r="E3461" s="19" t="n">
        <f aca="false">'SALES Raw'!D1702</f>
        <v>76</v>
      </c>
      <c r="F3461" s="19" t="n">
        <f aca="false">'SALES Raw'!E1702*$H$4</f>
        <v>2.52631578947368</v>
      </c>
      <c r="G3461" s="19" t="n">
        <f aca="false">'SALES Raw'!F1702*$H$4</f>
        <v>47.9873684210526</v>
      </c>
      <c r="H3461" s="18" t="str">
        <f aca="false">'SALES Raw'!A1702</f>
        <v>106 - Hospitals</v>
      </c>
    </row>
    <row r="3462" customFormat="false" ht="15" hidden="false" customHeight="false" outlineLevel="0" collapsed="false">
      <c r="A3462" s="18" t="n">
        <f aca="false">'SALES Raw'!G1703</f>
        <v>4413497</v>
      </c>
      <c r="B3462" s="18" t="str">
        <f aca="false">'SALES Raw'!B1703</f>
        <v>45B M</v>
      </c>
      <c r="C3462" s="18" t="str">
        <f aca="false">'SALES Raw'!H1703</f>
        <v>45B M מגן ברך שחור</v>
      </c>
      <c r="D3462" s="19" t="n">
        <f aca="false">'SALES Raw'!C1703</f>
        <v>4</v>
      </c>
      <c r="E3462" s="19" t="n">
        <f aca="false">'SALES Raw'!D1703</f>
        <v>76</v>
      </c>
      <c r="F3462" s="19" t="n">
        <f aca="false">'SALES Raw'!E1703*$H$4</f>
        <v>2.52631578947368</v>
      </c>
      <c r="G3462" s="19" t="n">
        <f aca="false">'SALES Raw'!F1703*$H$4</f>
        <v>47.9873684210526</v>
      </c>
      <c r="H3462" s="18" t="str">
        <f aca="false">'SALES Raw'!A1703</f>
        <v>106 - Hospitals</v>
      </c>
    </row>
    <row r="3463" customFormat="false" ht="15" hidden="false" customHeight="false" outlineLevel="0" collapsed="false">
      <c r="A3463" s="18" t="n">
        <f aca="false">'SALES Raw'!G1704</f>
        <v>4413496</v>
      </c>
      <c r="B3463" s="18" t="str">
        <f aca="false">'SALES Raw'!B1704</f>
        <v>45B XL</v>
      </c>
      <c r="C3463" s="18" t="str">
        <f aca="false">'SALES Raw'!H1704</f>
        <v>45B XL מגן ברך שחור</v>
      </c>
      <c r="D3463" s="19" t="n">
        <f aca="false">'SALES Raw'!C1704</f>
        <v>4</v>
      </c>
      <c r="E3463" s="19" t="n">
        <f aca="false">'SALES Raw'!D1704</f>
        <v>38.02</v>
      </c>
      <c r="F3463" s="19" t="n">
        <f aca="false">'SALES Raw'!E1704*$H$4</f>
        <v>2.52631578947368</v>
      </c>
      <c r="G3463" s="19" t="n">
        <f aca="false">'SALES Raw'!F1704*$H$4</f>
        <v>24.0126315789474</v>
      </c>
      <c r="H3463" s="18" t="str">
        <f aca="false">'SALES Raw'!A1704</f>
        <v>106 - Hospitals</v>
      </c>
    </row>
    <row r="3464" customFormat="false" ht="15" hidden="false" customHeight="false" outlineLevel="0" collapsed="false">
      <c r="A3464" s="18" t="n">
        <f aca="false">'SALES Raw'!G1710</f>
        <v>4413500</v>
      </c>
      <c r="B3464" s="18" t="str">
        <f aca="false">'SALES Raw'!B1710</f>
        <v>95B L</v>
      </c>
      <c r="C3464" s="18" t="str">
        <f aca="false">'SALES Raw'!H1710</f>
        <v>95B L מגן מרפק שחור</v>
      </c>
      <c r="D3464" s="19" t="n">
        <f aca="false">'SALES Raw'!C1710</f>
        <v>4</v>
      </c>
      <c r="E3464" s="19" t="n">
        <f aca="false">'SALES Raw'!D1710</f>
        <v>76</v>
      </c>
      <c r="F3464" s="19" t="n">
        <f aca="false">'SALES Raw'!E1710*$H$4</f>
        <v>2.52631578947368</v>
      </c>
      <c r="G3464" s="19" t="n">
        <f aca="false">'SALES Raw'!F1710*$H$4</f>
        <v>47.9873684210526</v>
      </c>
      <c r="H3464" s="18" t="str">
        <f aca="false">'SALES Raw'!A1710</f>
        <v>106 - Hospitals</v>
      </c>
    </row>
    <row r="3465" customFormat="false" ht="15" hidden="false" customHeight="false" outlineLevel="0" collapsed="false">
      <c r="A3465" s="18" t="n">
        <f aca="false">'SALES Raw'!G1735</f>
        <v>4421000</v>
      </c>
      <c r="B3465" s="18" t="str">
        <f aca="false">'SALES Raw'!B1735</f>
        <v>3655 0</v>
      </c>
      <c r="C3465" s="18" t="str">
        <f aca="false">'SALES Raw'!H1735</f>
        <v>3655 שרוול מסיליקון לאצבע</v>
      </c>
      <c r="D3465" s="19" t="n">
        <f aca="false">'SALES Raw'!C1735</f>
        <v>2</v>
      </c>
      <c r="E3465" s="19" t="n">
        <f aca="false">'SALES Raw'!D1735</f>
        <v>35.83</v>
      </c>
      <c r="F3465" s="19" t="n">
        <f aca="false">'SALES Raw'!E1735*$H$4</f>
        <v>2.52631578947368</v>
      </c>
      <c r="G3465" s="19" t="n">
        <f aca="false">'SALES Raw'!F1735*$H$4</f>
        <v>45.2589473684211</v>
      </c>
      <c r="H3465" s="18" t="str">
        <f aca="false">'SALES Raw'!A1735</f>
        <v>106 - Hospitals</v>
      </c>
    </row>
    <row r="3466" customFormat="false" ht="15" hidden="false" customHeight="false" outlineLevel="0" collapsed="false">
      <c r="A3466" s="18" t="str">
        <f aca="false">'SALES Raw'!G1746</f>
        <v/>
      </c>
      <c r="B3466" s="18" t="str">
        <f aca="false">'SALES Raw'!B1746</f>
        <v>T03 L</v>
      </c>
      <c r="C3466" s="18" t="str">
        <f aca="false">'SALES Raw'!H1746</f>
        <v>T03 L</v>
      </c>
      <c r="D3466" s="19" t="n">
        <f aca="false">'SALES Raw'!C1746</f>
        <v>0</v>
      </c>
      <c r="E3466" s="19" t="n">
        <f aca="false">'SALES Raw'!D1746</f>
        <v>0</v>
      </c>
      <c r="F3466" s="19" t="n">
        <f aca="false">'SALES Raw'!E1746*$H$4</f>
        <v>2.52631578947368</v>
      </c>
      <c r="G3466" s="19" t="n">
        <f aca="false">'SALES Raw'!F1746*$H$4</f>
        <v>280.522105263158</v>
      </c>
      <c r="H3466" s="18" t="str">
        <f aca="false">'SALES Raw'!A1746</f>
        <v>106 - Hospitals</v>
      </c>
    </row>
    <row r="3467" customFormat="false" ht="15" hidden="false" customHeight="false" outlineLevel="0" collapsed="false">
      <c r="A3467" s="18" t="str">
        <f aca="false">'SALES Raw'!G1747</f>
        <v/>
      </c>
      <c r="B3467" s="18" t="str">
        <f aca="false">'SALES Raw'!B1747</f>
        <v>T03 M</v>
      </c>
      <c r="C3467" s="18" t="str">
        <f aca="false">'SALES Raw'!H1747</f>
        <v>T03 M</v>
      </c>
      <c r="D3467" s="19" t="n">
        <f aca="false">'SALES Raw'!C1747</f>
        <v>0</v>
      </c>
      <c r="E3467" s="19" t="n">
        <f aca="false">'SALES Raw'!D1747</f>
        <v>0</v>
      </c>
      <c r="F3467" s="19" t="n">
        <f aca="false">'SALES Raw'!E1747*$H$4</f>
        <v>2.52631578947368</v>
      </c>
      <c r="G3467" s="19" t="n">
        <f aca="false">'SALES Raw'!F1747*$H$4</f>
        <v>280.522105263158</v>
      </c>
      <c r="H3467" s="18" t="str">
        <f aca="false">'SALES Raw'!A1747</f>
        <v>106 - Hospitals</v>
      </c>
    </row>
    <row r="3468" customFormat="false" ht="15" hidden="false" customHeight="false" outlineLevel="0" collapsed="false">
      <c r="A3468" s="18" t="str">
        <f aca="false">'SALES Raw'!G1748</f>
        <v/>
      </c>
      <c r="B3468" s="18" t="str">
        <f aca="false">'SALES Raw'!B1748</f>
        <v>T03 XL</v>
      </c>
      <c r="C3468" s="18" t="str">
        <f aca="false">'SALES Raw'!H1748</f>
        <v>T03 XL</v>
      </c>
      <c r="D3468" s="19" t="n">
        <f aca="false">'SALES Raw'!C1748</f>
        <v>0</v>
      </c>
      <c r="E3468" s="19" t="n">
        <f aca="false">'SALES Raw'!D1748</f>
        <v>0</v>
      </c>
      <c r="F3468" s="19" t="n">
        <f aca="false">'SALES Raw'!E1748*$H$4</f>
        <v>2.52631578947368</v>
      </c>
      <c r="G3468" s="19" t="n">
        <f aca="false">'SALES Raw'!F1748*$H$4</f>
        <v>280.522105263158</v>
      </c>
      <c r="H3468" s="18" t="str">
        <f aca="false">'SALES Raw'!A1748</f>
        <v>106 - Hospitals</v>
      </c>
    </row>
    <row r="3469" customFormat="false" ht="15" hidden="false" customHeight="false" outlineLevel="0" collapsed="false">
      <c r="A3469" s="18" t="n">
        <f aca="false">'SALES Raw'!G1797</f>
        <v>4413492</v>
      </c>
      <c r="B3469" s="18" t="str">
        <f aca="false">'SALES Raw'!B1797</f>
        <v>35B M</v>
      </c>
      <c r="C3469" s="18" t="str">
        <f aca="false">'SALES Raw'!H1797</f>
        <v>35B M מגן קרסול שחור</v>
      </c>
      <c r="D3469" s="19" t="n">
        <f aca="false">'SALES Raw'!C1797</f>
        <v>0</v>
      </c>
      <c r="E3469" s="19" t="n">
        <f aca="false">'SALES Raw'!D1797</f>
        <v>0</v>
      </c>
      <c r="F3469" s="19" t="n">
        <f aca="false">'SALES Raw'!E1797*$H$4</f>
        <v>2.52631578947368</v>
      </c>
      <c r="G3469" s="19" t="n">
        <f aca="false">'SALES Raw'!F1797*$H$4</f>
        <v>78.0378947368421</v>
      </c>
      <c r="H3469" s="18" t="str">
        <f aca="false">'SALES Raw'!A1797</f>
        <v>109 - Private Shops</v>
      </c>
    </row>
    <row r="3470" customFormat="false" ht="15" hidden="false" customHeight="false" outlineLevel="0" collapsed="false">
      <c r="A3470" s="18" t="str">
        <f aca="false">'SALES Raw'!G1800</f>
        <v/>
      </c>
      <c r="B3470" s="18" t="str">
        <f aca="false">'SALES Raw'!B1800</f>
        <v>376-41-43</v>
      </c>
      <c r="C3470" s="18" t="str">
        <f aca="false">'SALES Raw'!H1800</f>
        <v>376-41-43</v>
      </c>
      <c r="D3470" s="19" t="n">
        <f aca="false">'SALES Raw'!C1800</f>
        <v>3</v>
      </c>
      <c r="E3470" s="19" t="n">
        <f aca="false">'SALES Raw'!D1800</f>
        <v>105.32</v>
      </c>
      <c r="F3470" s="19" t="n">
        <f aca="false">'SALES Raw'!E1800*$H$4</f>
        <v>2.52631578947368</v>
      </c>
      <c r="G3470" s="19" t="n">
        <f aca="false">'SALES Raw'!F1800*$H$4</f>
        <v>88.6863157894737</v>
      </c>
      <c r="H3470" s="18" t="str">
        <f aca="false">'SALES Raw'!A1800</f>
        <v>109 - Private Shops</v>
      </c>
    </row>
    <row r="3471" customFormat="false" ht="15" hidden="false" customHeight="false" outlineLevel="0" collapsed="false">
      <c r="A3471" s="18" t="str">
        <f aca="false">'SALES Raw'!G1802</f>
        <v/>
      </c>
      <c r="B3471" s="18" t="str">
        <f aca="false">'SALES Raw'!B1802</f>
        <v>376-44-46</v>
      </c>
      <c r="C3471" s="18" t="str">
        <f aca="false">'SALES Raw'!H1802</f>
        <v>376-44-46</v>
      </c>
      <c r="D3471" s="19" t="n">
        <f aca="false">'SALES Raw'!C1802</f>
        <v>0</v>
      </c>
      <c r="E3471" s="19" t="n">
        <f aca="false">'SALES Raw'!D1802</f>
        <v>0</v>
      </c>
      <c r="F3471" s="19" t="n">
        <f aca="false">'SALES Raw'!E1802*$H$4</f>
        <v>2.52631578947368</v>
      </c>
      <c r="G3471" s="19" t="n">
        <f aca="false">'SALES Raw'!F1802*$H$4</f>
        <v>88.6863157894737</v>
      </c>
      <c r="H3471" s="18" t="str">
        <f aca="false">'SALES Raw'!A1802</f>
        <v>109 - Private Shops</v>
      </c>
    </row>
    <row r="3472" customFormat="false" ht="15" hidden="false" customHeight="false" outlineLevel="0" collapsed="false">
      <c r="A3472" s="18" t="n">
        <f aca="false">'SALES Raw'!G1803</f>
        <v>4420032</v>
      </c>
      <c r="B3472" s="18" t="str">
        <f aca="false">'SALES Raw'!B1803</f>
        <v>376-46-47</v>
      </c>
      <c r="C3472" s="18" t="str">
        <f aca="false">'SALES Raw'!H1803</f>
        <v>46-47 רפידת ספורט 376 מידה</v>
      </c>
      <c r="D3472" s="19" t="n">
        <f aca="false">'SALES Raw'!C1803</f>
        <v>2</v>
      </c>
      <c r="E3472" s="19" t="n">
        <f aca="false">'SALES Raw'!D1803</f>
        <v>70.21</v>
      </c>
      <c r="F3472" s="19" t="n">
        <f aca="false">'SALES Raw'!E1803*$H$4</f>
        <v>2.52631578947368</v>
      </c>
      <c r="G3472" s="19" t="n">
        <f aca="false">'SALES Raw'!F1803*$H$4</f>
        <v>88.6989473684211</v>
      </c>
      <c r="H3472" s="18" t="str">
        <f aca="false">'SALES Raw'!A1803</f>
        <v>109 - Private Shops</v>
      </c>
    </row>
    <row r="3473" customFormat="false" ht="15" hidden="false" customHeight="false" outlineLevel="0" collapsed="false">
      <c r="A3473" s="18" t="n">
        <f aca="false">'SALES Raw'!G1805</f>
        <v>4413524</v>
      </c>
      <c r="B3473" s="18" t="str">
        <f aca="false">'SALES Raw'!B1805</f>
        <v>379COM-39-42</v>
      </c>
      <c r="C3473" s="18" t="str">
        <f aca="false">'SALES Raw'!H1805</f>
        <v>39-42 מדרסי אפיק ג'ל נוחות</v>
      </c>
      <c r="D3473" s="19" t="n">
        <f aca="false">'SALES Raw'!C1805</f>
        <v>0</v>
      </c>
      <c r="E3473" s="19" t="n">
        <f aca="false">'SALES Raw'!D1805</f>
        <v>0</v>
      </c>
      <c r="F3473" s="19" t="n">
        <f aca="false">'SALES Raw'!E1805*$H$4</f>
        <v>2.52631578947368</v>
      </c>
      <c r="G3473" s="19" t="n">
        <f aca="false">'SALES Raw'!F1805*$H$4</f>
        <v>299.456842105263</v>
      </c>
      <c r="H3473" s="18" t="str">
        <f aca="false">'SALES Raw'!A1805</f>
        <v>109 - Private Shops</v>
      </c>
    </row>
    <row r="3474" customFormat="false" ht="15" hidden="false" customHeight="false" outlineLevel="0" collapsed="false">
      <c r="A3474" s="18" t="n">
        <f aca="false">'SALES Raw'!G1806</f>
        <v>4413525</v>
      </c>
      <c r="B3474" s="18" t="str">
        <f aca="false">'SALES Raw'!B1806</f>
        <v>379COM-43-46</v>
      </c>
      <c r="C3474" s="18" t="str">
        <f aca="false">'SALES Raw'!H1806</f>
        <v>43-47 מדרסי אפיק ג'ל נוחות</v>
      </c>
      <c r="D3474" s="19" t="n">
        <f aca="false">'SALES Raw'!C1806</f>
        <v>0</v>
      </c>
      <c r="E3474" s="19" t="n">
        <f aca="false">'SALES Raw'!D1806</f>
        <v>0</v>
      </c>
      <c r="F3474" s="19" t="n">
        <f aca="false">'SALES Raw'!E1806*$H$4</f>
        <v>2.52631578947368</v>
      </c>
      <c r="G3474" s="19" t="n">
        <f aca="false">'SALES Raw'!F1806*$H$4</f>
        <v>299.456842105263</v>
      </c>
      <c r="H3474" s="18" t="str">
        <f aca="false">'SALES Raw'!A1806</f>
        <v>109 - Private Shops</v>
      </c>
    </row>
    <row r="3475" customFormat="false" ht="15" hidden="false" customHeight="false" outlineLevel="0" collapsed="false">
      <c r="A3475" s="18" t="n">
        <f aca="false">'SALES Raw'!G1825</f>
        <v>4413365</v>
      </c>
      <c r="B3475" s="18" t="str">
        <f aca="false">'SALES Raw'!B1825</f>
        <v>95C L</v>
      </c>
      <c r="C3475" s="18" t="str">
        <f aca="false">'SALES Raw'!H1825</f>
        <v>95C L 'מגן מרפק בז</v>
      </c>
      <c r="D3475" s="19" t="n">
        <f aca="false">'SALES Raw'!C1825</f>
        <v>0</v>
      </c>
      <c r="E3475" s="19" t="n">
        <f aca="false">'SALES Raw'!D1825</f>
        <v>0</v>
      </c>
      <c r="F3475" s="19" t="n">
        <f aca="false">'SALES Raw'!E1825*$H$4</f>
        <v>2.52631578947368</v>
      </c>
      <c r="G3475" s="19" t="n">
        <f aca="false">'SALES Raw'!F1825*$H$4</f>
        <v>78.0505263157895</v>
      </c>
      <c r="H3475" s="18" t="str">
        <f aca="false">'SALES Raw'!A1825</f>
        <v>109 - Private Shops</v>
      </c>
    </row>
    <row r="3476" customFormat="false" ht="15" hidden="false" customHeight="false" outlineLevel="0" collapsed="false">
      <c r="A3476" s="18" t="n">
        <f aca="false">'SALES Raw'!G1840</f>
        <v>4416001</v>
      </c>
      <c r="B3476" s="18" t="str">
        <f aca="false">'SALES Raw'!B1840</f>
        <v>307 M</v>
      </c>
      <c r="C3476" s="18" t="str">
        <f aca="false">'SALES Raw'!H1840</f>
        <v>307 M עקבים לדורבן-זוג כריות</v>
      </c>
      <c r="D3476" s="19" t="n">
        <f aca="false">'SALES Raw'!C1840</f>
        <v>3</v>
      </c>
      <c r="E3476" s="19" t="n">
        <f aca="false">'SALES Raw'!D1840</f>
        <v>276.87</v>
      </c>
      <c r="F3476" s="19" t="n">
        <f aca="false">'SALES Raw'!E1840*$H$4</f>
        <v>2.52631578947368</v>
      </c>
      <c r="G3476" s="19" t="n">
        <f aca="false">'SALES Raw'!F1840*$H$4</f>
        <v>233.153684210526</v>
      </c>
      <c r="H3476" s="18" t="str">
        <f aca="false">'SALES Raw'!A1840</f>
        <v>109 - Private Shops</v>
      </c>
    </row>
    <row r="3477" customFormat="false" ht="15" hidden="false" customHeight="false" outlineLevel="0" collapsed="false">
      <c r="A3477" s="18" t="n">
        <f aca="false">'SALES Raw'!G1841</f>
        <v>4416002</v>
      </c>
      <c r="B3477" s="18" t="str">
        <f aca="false">'SALES Raw'!B1841</f>
        <v>307 S</v>
      </c>
      <c r="C3477" s="18" t="str">
        <f aca="false">'SALES Raw'!H1841</f>
        <v>307 S עקבים לדורבן-זוג כריות</v>
      </c>
      <c r="D3477" s="19" t="n">
        <f aca="false">'SALES Raw'!C1841</f>
        <v>1</v>
      </c>
      <c r="E3477" s="19" t="n">
        <f aca="false">'SALES Raw'!D1841</f>
        <v>92.29</v>
      </c>
      <c r="F3477" s="19" t="n">
        <f aca="false">'SALES Raw'!E1841*$H$4</f>
        <v>2.52631578947368</v>
      </c>
      <c r="G3477" s="19" t="n">
        <f aca="false">'SALES Raw'!F1841*$H$4</f>
        <v>233.153684210526</v>
      </c>
      <c r="H3477" s="18" t="str">
        <f aca="false">'SALES Raw'!A1841</f>
        <v>109 - Private Shops</v>
      </c>
    </row>
    <row r="3478" customFormat="false" ht="15" hidden="false" customHeight="false" outlineLevel="0" collapsed="false">
      <c r="A3478" s="18" t="n">
        <f aca="false">'SALES Raw'!G1842</f>
        <v>4416003</v>
      </c>
      <c r="B3478" s="18" t="str">
        <f aca="false">'SALES Raw'!B1842</f>
        <v>308 L</v>
      </c>
      <c r="C3478" s="18" t="str">
        <f aca="false">'SALES Raw'!H1842</f>
        <v>308 Lעקבים סיליקון כחול לדורבן</v>
      </c>
      <c r="D3478" s="19" t="n">
        <f aca="false">'SALES Raw'!C1842</f>
        <v>3</v>
      </c>
      <c r="E3478" s="19" t="n">
        <f aca="false">'SALES Raw'!D1842</f>
        <v>182.65</v>
      </c>
      <c r="F3478" s="19" t="n">
        <f aca="false">'SALES Raw'!E1842*$H$4</f>
        <v>2.52631578947368</v>
      </c>
      <c r="G3478" s="19" t="n">
        <f aca="false">'SALES Raw'!F1842*$H$4</f>
        <v>153.802105263158</v>
      </c>
      <c r="H3478" s="18" t="str">
        <f aca="false">'SALES Raw'!A1842</f>
        <v>109 - Private Shops</v>
      </c>
    </row>
    <row r="3479" customFormat="false" ht="15" hidden="false" customHeight="false" outlineLevel="0" collapsed="false">
      <c r="A3479" s="18" t="n">
        <f aca="false">'SALES Raw'!G1843</f>
        <v>4416005</v>
      </c>
      <c r="B3479" s="18" t="str">
        <f aca="false">'SALES Raw'!B1843</f>
        <v>308 M</v>
      </c>
      <c r="C3479" s="18" t="str">
        <f aca="false">'SALES Raw'!H1843</f>
        <v>308 Mעקבים סיליק.כחול לדורבן</v>
      </c>
      <c r="D3479" s="19" t="n">
        <f aca="false">'SALES Raw'!C1843</f>
        <v>3</v>
      </c>
      <c r="E3479" s="19" t="n">
        <f aca="false">'SALES Raw'!D1843</f>
        <v>182.65</v>
      </c>
      <c r="F3479" s="19" t="n">
        <f aca="false">'SALES Raw'!E1843*$H$4</f>
        <v>2.52631578947368</v>
      </c>
      <c r="G3479" s="19" t="n">
        <f aca="false">'SALES Raw'!F1843*$H$4</f>
        <v>153.802105263158</v>
      </c>
      <c r="H3479" s="18" t="str">
        <f aca="false">'SALES Raw'!A1843</f>
        <v>109 - Private Shops</v>
      </c>
    </row>
    <row r="3480" customFormat="false" ht="15" hidden="false" customHeight="false" outlineLevel="0" collapsed="false">
      <c r="A3480" s="18" t="n">
        <f aca="false">'SALES Raw'!G1855</f>
        <v>4413417</v>
      </c>
      <c r="B3480" s="18" t="str">
        <f aca="false">'SALES Raw'!B1855</f>
        <v>SC39 L</v>
      </c>
      <c r="C3480" s="18" t="str">
        <f aca="false">'SALES Raw'!H1855</f>
        <v>SC39  L מגן שוק</v>
      </c>
      <c r="D3480" s="19" t="n">
        <f aca="false">'SALES Raw'!C1855</f>
        <v>2</v>
      </c>
      <c r="E3480" s="19" t="n">
        <f aca="false">'SALES Raw'!D1855</f>
        <v>287.03</v>
      </c>
      <c r="F3480" s="19" t="n">
        <f aca="false">'SALES Raw'!E1855*$H$4</f>
        <v>2.52631578947368</v>
      </c>
      <c r="G3480" s="19" t="n">
        <f aca="false">'SALES Raw'!F1855*$H$4</f>
        <v>414.378947368421</v>
      </c>
      <c r="H3480" s="18" t="str">
        <f aca="false">'SALES Raw'!A1855</f>
        <v>109 - Private Shops</v>
      </c>
    </row>
    <row r="3481" customFormat="false" ht="15" hidden="false" customHeight="false" outlineLevel="0" collapsed="false">
      <c r="A3481" s="18" t="n">
        <f aca="false">'SALES Raw'!G1878</f>
        <v>4413326</v>
      </c>
      <c r="B3481" s="18" t="str">
        <f aca="false">'SALES Raw'!B1878</f>
        <v>AC37 0</v>
      </c>
      <c r="C3481" s="18" t="str">
        <f aca="false">'SALES Raw'!H1878</f>
        <v>AC37 מגן קרסול נושם</v>
      </c>
      <c r="D3481" s="19" t="n">
        <f aca="false">'SALES Raw'!C1878</f>
        <v>9</v>
      </c>
      <c r="E3481" s="19" t="n">
        <f aca="false">'SALES Raw'!D1878</f>
        <v>337.09</v>
      </c>
      <c r="F3481" s="19" t="n">
        <f aca="false">'SALES Raw'!E1878*$H$4</f>
        <v>2.52631578947368</v>
      </c>
      <c r="G3481" s="19" t="n">
        <f aca="false">'SALES Raw'!F1878*$H$4</f>
        <v>94.6231578947368</v>
      </c>
      <c r="H3481" s="18" t="str">
        <f aca="false">'SALES Raw'!A1878</f>
        <v>109 - Private Shops</v>
      </c>
    </row>
    <row r="3482" customFormat="false" ht="15" hidden="false" customHeight="false" outlineLevel="0" collapsed="false">
      <c r="A3482" s="18" t="n">
        <f aca="false">'SALES Raw'!G1890</f>
        <v>4408179</v>
      </c>
      <c r="B3482" s="18" t="str">
        <f aca="false">'SALES Raw'!B1890</f>
        <v>13 XL</v>
      </c>
      <c r="C3482" s="18" t="str">
        <f aca="false">'SALES Raw'!H1890</f>
        <v>13 XL חגורה לשבר טבור</v>
      </c>
      <c r="D3482" s="19" t="n">
        <f aca="false">'SALES Raw'!C1890</f>
        <v>0</v>
      </c>
      <c r="E3482" s="19" t="n">
        <f aca="false">'SALES Raw'!D1890</f>
        <v>0</v>
      </c>
      <c r="F3482" s="19" t="n">
        <f aca="false">'SALES Raw'!E1890*$H$4</f>
        <v>2.52631578947368</v>
      </c>
      <c r="G3482" s="19" t="n">
        <f aca="false">'SALES Raw'!F1890*$H$4</f>
        <v>396.555789473684</v>
      </c>
      <c r="H3482" s="18" t="str">
        <f aca="false">'SALES Raw'!A1890</f>
        <v>109 - Private Shops</v>
      </c>
    </row>
    <row r="3483" customFormat="false" ht="15" hidden="false" customHeight="false" outlineLevel="0" collapsed="false">
      <c r="A3483" s="18" t="n">
        <f aca="false">'SALES Raw'!G1892</f>
        <v>4408203</v>
      </c>
      <c r="B3483" s="18" t="str">
        <f aca="false">'SALES Raw'!B1892</f>
        <v>14 0</v>
      </c>
      <c r="C3483" s="18" t="str">
        <f aca="false">'SALES Raw'!H1892</f>
        <v>14 0 חגורה למנותחי בית חזה</v>
      </c>
      <c r="D3483" s="19" t="n">
        <f aca="false">'SALES Raw'!C1892</f>
        <v>5</v>
      </c>
      <c r="E3483" s="19" t="n">
        <f aca="false">'SALES Raw'!D1892</f>
        <v>1312.2</v>
      </c>
      <c r="F3483" s="19" t="n">
        <f aca="false">'SALES Raw'!E1892*$H$4</f>
        <v>2.52631578947368</v>
      </c>
      <c r="G3483" s="19" t="n">
        <f aca="false">'SALES Raw'!F1892*$H$4</f>
        <v>546.24</v>
      </c>
      <c r="H3483" s="18" t="str">
        <f aca="false">'SALES Raw'!A1892</f>
        <v>109 - Private Shops</v>
      </c>
    </row>
    <row r="3484" customFormat="false" ht="15" hidden="false" customHeight="false" outlineLevel="0" collapsed="false">
      <c r="A3484" s="18" t="n">
        <f aca="false">'SALES Raw'!G1893</f>
        <v>4411017</v>
      </c>
      <c r="B3484" s="18" t="str">
        <f aca="false">'SALES Raw'!B1893</f>
        <v>211 L</v>
      </c>
      <c r="C3484" s="18" t="str">
        <f aca="false">'SALES Raw'!H1893</f>
        <v>211L כפפות לחץ</v>
      </c>
      <c r="D3484" s="19" t="n">
        <f aca="false">'SALES Raw'!C1893</f>
        <v>3</v>
      </c>
      <c r="E3484" s="19" t="n">
        <f aca="false">'SALES Raw'!D1893</f>
        <v>112.36</v>
      </c>
      <c r="F3484" s="19" t="n">
        <f aca="false">'SALES Raw'!E1893*$H$4</f>
        <v>2.52631578947368</v>
      </c>
      <c r="G3484" s="19" t="n">
        <f aca="false">'SALES Raw'!F1893*$H$4</f>
        <v>94.6231578947368</v>
      </c>
      <c r="H3484" s="18" t="str">
        <f aca="false">'SALES Raw'!A1893</f>
        <v>109 - Private Shops</v>
      </c>
    </row>
    <row r="3485" customFormat="false" ht="15" hidden="false" customHeight="false" outlineLevel="0" collapsed="false">
      <c r="A3485" s="18" t="n">
        <f aca="false">'SALES Raw'!G1897</f>
        <v>4411021</v>
      </c>
      <c r="B3485" s="18" t="str">
        <f aca="false">'SALES Raw'!B1897</f>
        <v>212 L</v>
      </c>
      <c r="C3485" s="18" t="str">
        <f aca="false">'SALES Raw'!H1897</f>
        <v>212L כפפות אגודל לחץ</v>
      </c>
      <c r="D3485" s="19" t="n">
        <f aca="false">'SALES Raw'!C1897</f>
        <v>0</v>
      </c>
      <c r="E3485" s="19" t="n">
        <f aca="false">'SALES Raw'!D1897</f>
        <v>0</v>
      </c>
      <c r="F3485" s="19" t="n">
        <f aca="false">'SALES Raw'!E1897*$H$4</f>
        <v>2.52631578947368</v>
      </c>
      <c r="G3485" s="19" t="n">
        <f aca="false">'SALES Raw'!F1897*$H$4</f>
        <v>100.534736842105</v>
      </c>
      <c r="H3485" s="18" t="str">
        <f aca="false">'SALES Raw'!A1897</f>
        <v>109 - Private Shops</v>
      </c>
    </row>
    <row r="3486" customFormat="false" ht="15" hidden="false" customHeight="false" outlineLevel="0" collapsed="false">
      <c r="A3486" s="18" t="n">
        <f aca="false">'SALES Raw'!G1898</f>
        <v>4411022</v>
      </c>
      <c r="B3486" s="18" t="str">
        <f aca="false">'SALES Raw'!B1898</f>
        <v>212 M</v>
      </c>
      <c r="C3486" s="18" t="str">
        <f aca="false">'SALES Raw'!H1898</f>
        <v>212M כפפות אגודל לחץ</v>
      </c>
      <c r="D3486" s="19" t="n">
        <f aca="false">'SALES Raw'!C1898</f>
        <v>1</v>
      </c>
      <c r="E3486" s="19" t="n">
        <f aca="false">'SALES Raw'!D1898</f>
        <v>39.79</v>
      </c>
      <c r="F3486" s="19" t="n">
        <f aca="false">'SALES Raw'!E1898*$H$4</f>
        <v>2.52631578947368</v>
      </c>
      <c r="G3486" s="19" t="n">
        <f aca="false">'SALES Raw'!F1898*$H$4</f>
        <v>100.534736842105</v>
      </c>
      <c r="H3486" s="18" t="str">
        <f aca="false">'SALES Raw'!A1898</f>
        <v>109 - Private Shops</v>
      </c>
    </row>
    <row r="3487" customFormat="false" ht="15" hidden="false" customHeight="false" outlineLevel="0" collapsed="false">
      <c r="A3487" s="18" t="n">
        <f aca="false">'SALES Raw'!G1899</f>
        <v>4411023</v>
      </c>
      <c r="B3487" s="18" t="str">
        <f aca="false">'SALES Raw'!B1899</f>
        <v>212 S</v>
      </c>
      <c r="C3487" s="18" t="str">
        <f aca="false">'SALES Raw'!H1899</f>
        <v>212S כפפות אגודל לחץ</v>
      </c>
      <c r="D3487" s="19" t="n">
        <f aca="false">'SALES Raw'!C1899</f>
        <v>0</v>
      </c>
      <c r="E3487" s="19" t="n">
        <f aca="false">'SALES Raw'!D1899</f>
        <v>0</v>
      </c>
      <c r="F3487" s="19" t="n">
        <f aca="false">'SALES Raw'!E1899*$H$4</f>
        <v>2.52631578947368</v>
      </c>
      <c r="G3487" s="19" t="n">
        <f aca="false">'SALES Raw'!F1899*$H$4</f>
        <v>100.534736842105</v>
      </c>
      <c r="H3487" s="18" t="str">
        <f aca="false">'SALES Raw'!A1899</f>
        <v>109 - Private Shops</v>
      </c>
    </row>
    <row r="3488" customFormat="false" ht="15" hidden="false" customHeight="false" outlineLevel="0" collapsed="false">
      <c r="A3488" s="18" t="n">
        <f aca="false">'SALES Raw'!G1910</f>
        <v>4403001</v>
      </c>
      <c r="B3488" s="18" t="str">
        <f aca="false">'SALES Raw'!B1910</f>
        <v>390B-39-42</v>
      </c>
      <c r="C3488" s="18" t="str">
        <f aca="false">'SALES Raw'!H1910</f>
        <v>390B 39-42.גרב.כסף לסכרתיים שח</v>
      </c>
      <c r="D3488" s="19" t="n">
        <f aca="false">'SALES Raw'!C1910</f>
        <v>3</v>
      </c>
      <c r="E3488" s="19" t="n">
        <f aca="false">'SALES Raw'!D1910</f>
        <v>102.52</v>
      </c>
      <c r="F3488" s="19" t="n">
        <f aca="false">'SALES Raw'!E1910*$H$4</f>
        <v>2.52631578947368</v>
      </c>
      <c r="G3488" s="19" t="n">
        <f aca="false">'SALES Raw'!F1910*$H$4</f>
        <v>88.6989473684211</v>
      </c>
      <c r="H3488" s="18" t="str">
        <f aca="false">'SALES Raw'!A1910</f>
        <v>109 - Private Shops</v>
      </c>
    </row>
    <row r="3489" customFormat="false" ht="15" hidden="false" customHeight="false" outlineLevel="0" collapsed="false">
      <c r="A3489" s="18" t="n">
        <f aca="false">'SALES Raw'!G1924</f>
        <v>4413112</v>
      </c>
      <c r="B3489" s="18" t="str">
        <f aca="false">'SALES Raw'!B1924</f>
        <v>49 L</v>
      </c>
      <c r="C3489" s="18" t="str">
        <f aca="false">'SALES Raw'!H1924</f>
        <v>49  L מגן ירך</v>
      </c>
      <c r="D3489" s="19" t="n">
        <f aca="false">'SALES Raw'!C1924</f>
        <v>0</v>
      </c>
      <c r="E3489" s="19" t="n">
        <f aca="false">'SALES Raw'!D1924</f>
        <v>0</v>
      </c>
      <c r="F3489" s="19" t="n">
        <f aca="false">'SALES Raw'!E1924*$H$4</f>
        <v>2.52631578947368</v>
      </c>
      <c r="G3489" s="19" t="n">
        <f aca="false">'SALES Raw'!F1924*$H$4</f>
        <v>88.6863157894737</v>
      </c>
      <c r="H3489" s="18" t="str">
        <f aca="false">'SALES Raw'!A1924</f>
        <v>109 - Private Shops</v>
      </c>
    </row>
    <row r="3490" customFormat="false" ht="15" hidden="false" customHeight="false" outlineLevel="0" collapsed="false">
      <c r="A3490" s="18" t="n">
        <f aca="false">'SALES Raw'!G1925</f>
        <v>4413114</v>
      </c>
      <c r="B3490" s="18" t="str">
        <f aca="false">'SALES Raw'!B1925</f>
        <v>49 XL</v>
      </c>
      <c r="C3490" s="18" t="str">
        <f aca="false">'SALES Raw'!H1925</f>
        <v>49 XL מגן ירך</v>
      </c>
      <c r="D3490" s="19" t="n">
        <f aca="false">'SALES Raw'!C1925</f>
        <v>0</v>
      </c>
      <c r="E3490" s="19" t="n">
        <f aca="false">'SALES Raw'!D1925</f>
        <v>0</v>
      </c>
      <c r="F3490" s="19" t="n">
        <f aca="false">'SALES Raw'!E1925*$H$4</f>
        <v>2.52631578947368</v>
      </c>
      <c r="G3490" s="19" t="n">
        <f aca="false">'SALES Raw'!F1925*$H$4</f>
        <v>88.6863157894737</v>
      </c>
      <c r="H3490" s="18" t="str">
        <f aca="false">'SALES Raw'!A1925</f>
        <v>109 - Private Shops</v>
      </c>
    </row>
    <row r="3491" customFormat="false" ht="15" hidden="false" customHeight="false" outlineLevel="0" collapsed="false">
      <c r="A3491" s="18" t="n">
        <f aca="false">'SALES Raw'!G1927</f>
        <v>4413132</v>
      </c>
      <c r="B3491" s="18" t="str">
        <f aca="false">'SALES Raw'!B1927</f>
        <v>76 L</v>
      </c>
      <c r="C3491" s="18" t="str">
        <f aca="false">'SALES Raw'!H1927</f>
        <v>76 Lמיישר כתף יציב יישור רחב</v>
      </c>
      <c r="D3491" s="19" t="n">
        <f aca="false">'SALES Raw'!C1927</f>
        <v>0</v>
      </c>
      <c r="E3491" s="19" t="n">
        <f aca="false">'SALES Raw'!D1927</f>
        <v>0</v>
      </c>
      <c r="F3491" s="19" t="n">
        <f aca="false">'SALES Raw'!E1927*$H$4</f>
        <v>2.52631578947368</v>
      </c>
      <c r="G3491" s="19" t="n">
        <f aca="false">'SALES Raw'!F1927*$H$4</f>
        <v>468.48</v>
      </c>
      <c r="H3491" s="18" t="str">
        <f aca="false">'SALES Raw'!A1927</f>
        <v>109 - Private Shops</v>
      </c>
    </row>
    <row r="3492" customFormat="false" ht="15" hidden="false" customHeight="false" outlineLevel="0" collapsed="false">
      <c r="A3492" s="18" t="n">
        <f aca="false">'SALES Raw'!G1928</f>
        <v>4413134</v>
      </c>
      <c r="B3492" s="18" t="str">
        <f aca="false">'SALES Raw'!B1928</f>
        <v>76 XL</v>
      </c>
      <c r="C3492" s="18" t="str">
        <f aca="false">'SALES Raw'!H1928</f>
        <v>76 XLמיישר כתף יציב יישור רחב</v>
      </c>
      <c r="D3492" s="19" t="n">
        <f aca="false">'SALES Raw'!C1928</f>
        <v>0</v>
      </c>
      <c r="E3492" s="19" t="n">
        <f aca="false">'SALES Raw'!D1928</f>
        <v>0</v>
      </c>
      <c r="F3492" s="19" t="n">
        <f aca="false">'SALES Raw'!E1928*$H$4</f>
        <v>2.52631578947368</v>
      </c>
      <c r="G3492" s="19" t="n">
        <f aca="false">'SALES Raw'!F1928*$H$4</f>
        <v>468.48</v>
      </c>
      <c r="H3492" s="18" t="str">
        <f aca="false">'SALES Raw'!A1928</f>
        <v>109 - Private Shops</v>
      </c>
    </row>
    <row r="3493" customFormat="false" ht="15" hidden="false" customHeight="false" outlineLevel="0" collapsed="false">
      <c r="A3493" s="18" t="n">
        <f aca="false">'SALES Raw'!G1944</f>
        <v>4413415</v>
      </c>
      <c r="B3493" s="18" t="str">
        <f aca="false">'SALES Raw'!B1944</f>
        <v>SC39 S</v>
      </c>
      <c r="C3493" s="18" t="str">
        <f aca="false">'SALES Raw'!H1944</f>
        <v>SC39  S מגן שוק</v>
      </c>
      <c r="D3493" s="19" t="n">
        <f aca="false">'SALES Raw'!C1944</f>
        <v>1</v>
      </c>
      <c r="E3493" s="19" t="n">
        <f aca="false">'SALES Raw'!D1944</f>
        <v>141.77</v>
      </c>
      <c r="F3493" s="19" t="n">
        <f aca="false">'SALES Raw'!E1944*$H$4</f>
        <v>2.52631578947368</v>
      </c>
      <c r="G3493" s="19" t="n">
        <f aca="false">'SALES Raw'!F1944*$H$4</f>
        <v>414.391578947368</v>
      </c>
      <c r="H3493" s="18" t="str">
        <f aca="false">'SALES Raw'!A1944</f>
        <v>109 - Private Shops</v>
      </c>
    </row>
    <row r="3494" customFormat="false" ht="15" hidden="false" customHeight="false" outlineLevel="0" collapsed="false">
      <c r="A3494" s="18" t="n">
        <f aca="false">'SALES Raw'!G1950</f>
        <v>4422006</v>
      </c>
      <c r="B3494" s="18" t="str">
        <f aca="false">'SALES Raw'!B1950</f>
        <v>T78 L</v>
      </c>
      <c r="C3494" s="18" t="str">
        <f aca="false">'SALES Raw'!H1950</f>
        <v>T78 L תומך זרוע וכתף</v>
      </c>
      <c r="D3494" s="19" t="n">
        <f aca="false">'SALES Raw'!C1950</f>
        <v>1</v>
      </c>
      <c r="E3494" s="19" t="n">
        <f aca="false">'SALES Raw'!D1950</f>
        <v>187.45</v>
      </c>
      <c r="F3494" s="19" t="n">
        <f aca="false">'SALES Raw'!E1950*$H$4</f>
        <v>2.52631578947368</v>
      </c>
      <c r="G3494" s="19" t="n">
        <f aca="false">'SALES Raw'!F1950*$H$4</f>
        <v>473.557894736842</v>
      </c>
      <c r="H3494" s="18" t="str">
        <f aca="false">'SALES Raw'!A1950</f>
        <v>109 - Private Shops</v>
      </c>
    </row>
    <row r="3495" customFormat="false" ht="15" hidden="false" customHeight="false" outlineLevel="0" collapsed="false">
      <c r="A3495" s="18" t="str">
        <f aca="false">'SALES Raw'!G1991</f>
        <v/>
      </c>
      <c r="B3495" s="18" t="str">
        <f aca="false">'SALES Raw'!B1991</f>
        <v>T39 M</v>
      </c>
      <c r="C3495" s="18" t="str">
        <f aca="false">'SALES Raw'!H1991</f>
        <v>T39 M</v>
      </c>
      <c r="D3495" s="19" t="n">
        <f aca="false">'SALES Raw'!C1991</f>
        <v>0</v>
      </c>
      <c r="E3495" s="19" t="n">
        <f aca="false">'SALES Raw'!D1991</f>
        <v>0</v>
      </c>
      <c r="F3495" s="19" t="n">
        <f aca="false">'SALES Raw'!E1991*$H$4</f>
        <v>2.52631578947368</v>
      </c>
      <c r="G3495" s="19" t="n">
        <f aca="false">'SALES Raw'!F1991*$H$4</f>
        <v>272.235789473684</v>
      </c>
      <c r="H3495" s="18" t="str">
        <f aca="false">'SALES Raw'!A1991</f>
        <v>109 - Private Shops</v>
      </c>
    </row>
    <row r="3496" customFormat="false" ht="15" hidden="false" customHeight="false" outlineLevel="0" collapsed="false">
      <c r="A3496" s="18" t="n">
        <f aca="false">'SALES Raw'!G2071</f>
        <v>4408219</v>
      </c>
      <c r="B3496" s="18" t="str">
        <f aca="false">'SALES Raw'!B2071</f>
        <v>078G S</v>
      </c>
      <c r="C3496" s="18" t="str">
        <f aca="false">'SALES Raw'!H2071</f>
        <v>078G-S חגורת גב אפורה</v>
      </c>
      <c r="D3496" s="19" t="n">
        <f aca="false">'SALES Raw'!C2071</f>
        <v>7</v>
      </c>
      <c r="E3496" s="19" t="n">
        <f aca="false">'SALES Raw'!D2071</f>
        <v>1354.28</v>
      </c>
      <c r="F3496" s="19" t="n">
        <f aca="false">'SALES Raw'!E2071*$H$4</f>
        <v>2.52631578947368</v>
      </c>
      <c r="G3496" s="19" t="n">
        <f aca="false">'SALES Raw'!F2071*$H$4</f>
        <v>508.269473684211</v>
      </c>
      <c r="H3496" s="18" t="str">
        <f aca="false">'SALES Raw'!A2071</f>
        <v>114 - IL online</v>
      </c>
    </row>
    <row r="3497" customFormat="false" ht="15" hidden="false" customHeight="false" outlineLevel="0" collapsed="false">
      <c r="A3497" s="18" t="n">
        <f aca="false">'SALES Raw'!G2075</f>
        <v>4408016</v>
      </c>
      <c r="B3497" s="18" t="str">
        <f aca="false">'SALES Raw'!B2075</f>
        <v>07AU M</v>
      </c>
      <c r="C3497" s="18" t="str">
        <f aca="false">'SALES Raw'!H2075</f>
        <v>07AU M ח.גב """"איטלקית"""" אורירית</v>
      </c>
      <c r="D3497" s="19" t="n">
        <f aca="false">'SALES Raw'!C2075</f>
        <v>3</v>
      </c>
      <c r="E3497" s="19" t="n">
        <f aca="false">'SALES Raw'!D2075</f>
        <v>1328.57</v>
      </c>
      <c r="F3497" s="19" t="n">
        <f aca="false">'SALES Raw'!E2075*$H$4</f>
        <v>2.52631578947368</v>
      </c>
      <c r="G3497" s="19" t="n">
        <f aca="false">'SALES Raw'!F2075*$H$4</f>
        <v>1198.71157894737</v>
      </c>
      <c r="H3497" s="18" t="str">
        <f aca="false">'SALES Raw'!A2075</f>
        <v>114 - IL online</v>
      </c>
    </row>
    <row r="3498" customFormat="false" ht="15" hidden="false" customHeight="false" outlineLevel="0" collapsed="false">
      <c r="A3498" s="18" t="n">
        <f aca="false">'SALES Raw'!G2079</f>
        <v>4408018</v>
      </c>
      <c r="B3498" s="18" t="str">
        <f aca="false">'SALES Raw'!B2079</f>
        <v>07AU XXL</v>
      </c>
      <c r="C3498" s="18" t="str">
        <f aca="false">'SALES Raw'!H2079</f>
        <v>07AU XXL.ח.גב """"איטלקית"""" אוריר</v>
      </c>
      <c r="D3498" s="19" t="n">
        <f aca="false">'SALES Raw'!C2079</f>
        <v>3</v>
      </c>
      <c r="E3498" s="19" t="n">
        <f aca="false">'SALES Raw'!D2079</f>
        <v>1209.96</v>
      </c>
      <c r="F3498" s="19" t="n">
        <f aca="false">'SALES Raw'!E2079*$H$4</f>
        <v>2.52631578947368</v>
      </c>
      <c r="G3498" s="19" t="n">
        <f aca="false">'SALES Raw'!F2079*$H$4</f>
        <v>1138.77473684211</v>
      </c>
      <c r="H3498" s="18" t="str">
        <f aca="false">'SALES Raw'!A2079</f>
        <v>114 - IL online</v>
      </c>
    </row>
    <row r="3499" customFormat="false" ht="15" hidden="false" customHeight="false" outlineLevel="0" collapsed="false">
      <c r="A3499" s="18" t="str">
        <f aca="false">'SALES Raw'!G2081</f>
        <v/>
      </c>
      <c r="B3499" s="18" t="str">
        <f aca="false">'SALES Raw'!B2081</f>
        <v>07UB XXL</v>
      </c>
      <c r="C3499" s="18" t="str">
        <f aca="false">'SALES Raw'!H2081</f>
        <v>07UB XXL</v>
      </c>
      <c r="D3499" s="19" t="n">
        <f aca="false">'SALES Raw'!C2081</f>
        <v>2</v>
      </c>
      <c r="E3499" s="19" t="n">
        <f aca="false">'SALES Raw'!D2081</f>
        <v>847.28</v>
      </c>
      <c r="F3499" s="19" t="n">
        <f aca="false">'SALES Raw'!E2081*$H$4</f>
        <v>2.52631578947368</v>
      </c>
      <c r="G3499" s="19" t="n">
        <f aca="false">'SALES Raw'!F2081*$H$4</f>
        <v>989.974736842105</v>
      </c>
      <c r="H3499" s="18" t="str">
        <f aca="false">'SALES Raw'!A2081</f>
        <v>114 - IL online</v>
      </c>
    </row>
    <row r="3500" customFormat="false" ht="15" hidden="false" customHeight="false" outlineLevel="0" collapsed="false">
      <c r="A3500" s="18" t="str">
        <f aca="false">'SALES Raw'!G2095</f>
        <v/>
      </c>
      <c r="B3500" s="18" t="str">
        <f aca="false">'SALES Raw'!B2095</f>
        <v>11 XS</v>
      </c>
      <c r="C3500" s="18" t="str">
        <f aca="false">'SALES Raw'!H2095</f>
        <v>11 XS</v>
      </c>
      <c r="D3500" s="19" t="n">
        <f aca="false">'SALES Raw'!C2095</f>
        <v>0</v>
      </c>
      <c r="E3500" s="19" t="n">
        <f aca="false">'SALES Raw'!D2095</f>
        <v>0</v>
      </c>
      <c r="F3500" s="19" t="n">
        <f aca="false">'SALES Raw'!E2095*$H$4</f>
        <v>2.52631578947368</v>
      </c>
      <c r="G3500" s="19" t="n">
        <f aca="false">'SALES Raw'!F2095*$H$4</f>
        <v>642.063157894737</v>
      </c>
      <c r="H3500" s="18" t="str">
        <f aca="false">'SALES Raw'!A2095</f>
        <v>114 - IL online</v>
      </c>
    </row>
    <row r="3501" customFormat="false" ht="15" hidden="false" customHeight="false" outlineLevel="0" collapsed="false">
      <c r="A3501" s="18" t="str">
        <f aca="false">'SALES Raw'!G2110</f>
        <v/>
      </c>
      <c r="B3501" s="18" t="str">
        <f aca="false">'SALES Raw'!B2110</f>
        <v>11PS XS</v>
      </c>
      <c r="C3501" s="18" t="str">
        <f aca="false">'SALES Raw'!H2110</f>
        <v>11PS XS</v>
      </c>
      <c r="D3501" s="19" t="n">
        <f aca="false">'SALES Raw'!C2110</f>
        <v>1</v>
      </c>
      <c r="E3501" s="19" t="n">
        <f aca="false">'SALES Raw'!D2110</f>
        <v>208.83</v>
      </c>
      <c r="F3501" s="19" t="n">
        <f aca="false">'SALES Raw'!E2110*$H$4</f>
        <v>2.52631578947368</v>
      </c>
      <c r="G3501" s="19" t="n">
        <f aca="false">'SALES Raw'!F2110*$H$4</f>
        <v>1006.02947368421</v>
      </c>
      <c r="H3501" s="18" t="str">
        <f aca="false">'SALES Raw'!A2110</f>
        <v>114 - IL online</v>
      </c>
    </row>
    <row r="3502" customFormat="false" ht="15" hidden="false" customHeight="false" outlineLevel="0" collapsed="false">
      <c r="A3502" s="18" t="str">
        <f aca="false">'SALES Raw'!G2118</f>
        <v/>
      </c>
      <c r="B3502" s="18" t="str">
        <f aca="false">'SALES Raw'!B2118</f>
        <v>11STOB M</v>
      </c>
      <c r="C3502" s="18" t="str">
        <f aca="false">'SALES Raw'!H2118</f>
        <v>11STOB M</v>
      </c>
      <c r="D3502" s="19" t="n">
        <f aca="false">'SALES Raw'!C2118</f>
        <v>2</v>
      </c>
      <c r="E3502" s="19" t="n">
        <f aca="false">'SALES Raw'!D2118</f>
        <v>541.37</v>
      </c>
      <c r="F3502" s="19" t="n">
        <f aca="false">'SALES Raw'!E2118*$H$4</f>
        <v>2.52631578947368</v>
      </c>
      <c r="G3502" s="19" t="n">
        <f aca="false">'SALES Raw'!F2118*$H$4</f>
        <v>759.814736842105</v>
      </c>
      <c r="H3502" s="18" t="str">
        <f aca="false">'SALES Raw'!A2118</f>
        <v>114 - IL online</v>
      </c>
    </row>
    <row r="3503" customFormat="false" ht="15" hidden="false" customHeight="false" outlineLevel="0" collapsed="false">
      <c r="A3503" s="18" t="str">
        <f aca="false">'SALES Raw'!G2144</f>
        <v/>
      </c>
      <c r="B3503" s="18" t="str">
        <f aca="false">'SALES Raw'!B2144</f>
        <v>15M L</v>
      </c>
      <c r="C3503" s="18" t="str">
        <f aca="false">'SALES Raw'!H2144</f>
        <v>15M L</v>
      </c>
      <c r="D3503" s="19" t="n">
        <f aca="false">'SALES Raw'!C2144</f>
        <v>3</v>
      </c>
      <c r="E3503" s="19" t="n">
        <f aca="false">'SALES Raw'!D2144</f>
        <v>457.95</v>
      </c>
      <c r="F3503" s="19" t="n">
        <f aca="false">'SALES Raw'!E2144*$H$4</f>
        <v>2.52631578947368</v>
      </c>
      <c r="G3503" s="19" t="n">
        <f aca="false">'SALES Raw'!F2144*$H$4</f>
        <v>609.966315789474</v>
      </c>
      <c r="H3503" s="18" t="str">
        <f aca="false">'SALES Raw'!A2144</f>
        <v>114 - IL online</v>
      </c>
    </row>
    <row r="3504" customFormat="false" ht="15" hidden="false" customHeight="false" outlineLevel="0" collapsed="false">
      <c r="A3504" s="18" t="str">
        <f aca="false">'SALES Raw'!G2147</f>
        <v/>
      </c>
      <c r="B3504" s="18" t="str">
        <f aca="false">'SALES Raw'!B2147</f>
        <v>15M XXL</v>
      </c>
      <c r="C3504" s="18" t="str">
        <f aca="false">'SALES Raw'!H2147</f>
        <v>15M XXL</v>
      </c>
      <c r="D3504" s="19" t="n">
        <f aca="false">'SALES Raw'!C2147</f>
        <v>2</v>
      </c>
      <c r="E3504" s="19" t="n">
        <f aca="false">'SALES Raw'!D2147</f>
        <v>393.94</v>
      </c>
      <c r="F3504" s="19" t="n">
        <f aca="false">'SALES Raw'!E2147*$H$4</f>
        <v>2.52631578947368</v>
      </c>
      <c r="G3504" s="19" t="n">
        <f aca="false">'SALES Raw'!F2147*$H$4</f>
        <v>609.966315789474</v>
      </c>
      <c r="H3504" s="18" t="str">
        <f aca="false">'SALES Raw'!A2147</f>
        <v>114 - IL online</v>
      </c>
    </row>
    <row r="3505" customFormat="false" ht="15" hidden="false" customHeight="false" outlineLevel="0" collapsed="false">
      <c r="A3505" s="18" t="n">
        <f aca="false">'SALES Raw'!G2167</f>
        <v>4408054</v>
      </c>
      <c r="B3505" s="18" t="str">
        <f aca="false">'SALES Raw'!B2167</f>
        <v>21 XL</v>
      </c>
      <c r="C3505" s="18" t="str">
        <f aca="false">'SALES Raw'!H2167</f>
        <v>21 XL חבק יד ארוך</v>
      </c>
      <c r="D3505" s="19" t="n">
        <f aca="false">'SALES Raw'!C2167</f>
        <v>4</v>
      </c>
      <c r="E3505" s="19" t="n">
        <f aca="false">'SALES Raw'!D2167</f>
        <v>262.82</v>
      </c>
      <c r="F3505" s="19" t="n">
        <f aca="false">'SALES Raw'!E2167*$H$4</f>
        <v>2.52631578947368</v>
      </c>
      <c r="G3505" s="19" t="n">
        <f aca="false">'SALES Raw'!F2167*$H$4</f>
        <v>172.686315789474</v>
      </c>
      <c r="H3505" s="18" t="str">
        <f aca="false">'SALES Raw'!A2167</f>
        <v>114 - IL online</v>
      </c>
    </row>
    <row r="3506" customFormat="false" ht="15" hidden="false" customHeight="false" outlineLevel="0" collapsed="false">
      <c r="A3506" s="18" t="n">
        <f aca="false">'SALES Raw'!G2190</f>
        <v>4419014</v>
      </c>
      <c r="B3506" s="18" t="str">
        <f aca="false">'SALES Raw'!B2190</f>
        <v>239TR-L-XL</v>
      </c>
      <c r="C3506" s="18" t="str">
        <f aca="false">'SALES Raw'!H2190</f>
        <v>239TR L-XL STRAP4U</v>
      </c>
      <c r="D3506" s="19" t="n">
        <f aca="false">'SALES Raw'!C2190</f>
        <v>3</v>
      </c>
      <c r="E3506" s="19" t="n">
        <f aca="false">'SALES Raw'!D2190</f>
        <v>98.78</v>
      </c>
      <c r="F3506" s="19" t="n">
        <f aca="false">'SALES Raw'!E2190*$H$4</f>
        <v>2.52631578947368</v>
      </c>
      <c r="G3506" s="19" t="n">
        <f aca="false">'SALES Raw'!F2190*$H$4</f>
        <v>83.178947368421</v>
      </c>
      <c r="H3506" s="18" t="str">
        <f aca="false">'SALES Raw'!A2190</f>
        <v>114 - IL online</v>
      </c>
    </row>
    <row r="3507" customFormat="false" ht="15" hidden="false" customHeight="false" outlineLevel="0" collapsed="false">
      <c r="A3507" s="18" t="str">
        <f aca="false">'SALES Raw'!G2200</f>
        <v/>
      </c>
      <c r="B3507" s="18" t="str">
        <f aca="false">'SALES Raw'!B2200</f>
        <v>267LB-L-XL</v>
      </c>
      <c r="C3507" s="18" t="str">
        <f aca="false">'SALES Raw'!H2200</f>
        <v>267LB-L-XL</v>
      </c>
      <c r="D3507" s="19" t="n">
        <f aca="false">'SALES Raw'!C2200</f>
        <v>1</v>
      </c>
      <c r="E3507" s="19" t="n">
        <f aca="false">'SALES Raw'!D2200</f>
        <v>196.53</v>
      </c>
      <c r="F3507" s="19" t="n">
        <f aca="false">'SALES Raw'!E2200*$H$4</f>
        <v>2.52631578947368</v>
      </c>
      <c r="G3507" s="19" t="n">
        <f aca="false">'SALES Raw'!F2200*$H$4</f>
        <v>408.707368421053</v>
      </c>
      <c r="H3507" s="18" t="str">
        <f aca="false">'SALES Raw'!A2200</f>
        <v>114 - IL online</v>
      </c>
    </row>
    <row r="3508" customFormat="false" ht="15" hidden="false" customHeight="false" outlineLevel="0" collapsed="false">
      <c r="A3508" s="18" t="str">
        <f aca="false">'SALES Raw'!G2201</f>
        <v/>
      </c>
      <c r="B3508" s="18" t="str">
        <f aca="false">'SALES Raw'!B2201</f>
        <v>267LB-S-M</v>
      </c>
      <c r="C3508" s="18" t="str">
        <f aca="false">'SALES Raw'!H2201</f>
        <v>267LB-S-M</v>
      </c>
      <c r="D3508" s="19" t="n">
        <f aca="false">'SALES Raw'!C2201</f>
        <v>1</v>
      </c>
      <c r="E3508" s="19" t="n">
        <f aca="false">'SALES Raw'!D2201</f>
        <v>167.05</v>
      </c>
      <c r="F3508" s="19" t="n">
        <f aca="false">'SALES Raw'!E2201*$H$4</f>
        <v>2.52631578947368</v>
      </c>
      <c r="G3508" s="19" t="n">
        <f aca="false">'SALES Raw'!F2201*$H$4</f>
        <v>471.675789473684</v>
      </c>
      <c r="H3508" s="18" t="str">
        <f aca="false">'SALES Raw'!A2201</f>
        <v>114 - IL online</v>
      </c>
    </row>
    <row r="3509" customFormat="false" ht="15" hidden="false" customHeight="false" outlineLevel="0" collapsed="false">
      <c r="A3509" s="18" t="str">
        <f aca="false">'SALES Raw'!G2206</f>
        <v/>
      </c>
      <c r="B3509" s="18" t="str">
        <f aca="false">'SALES Raw'!B2206</f>
        <v>267LC-L-XL</v>
      </c>
      <c r="C3509" s="18" t="str">
        <f aca="false">'SALES Raw'!H2206</f>
        <v>267LC-L-XL</v>
      </c>
      <c r="D3509" s="19" t="n">
        <f aca="false">'SALES Raw'!C2206</f>
        <v>0</v>
      </c>
      <c r="E3509" s="19" t="n">
        <f aca="false">'SALES Raw'!D2206</f>
        <v>0</v>
      </c>
      <c r="F3509" s="19" t="n">
        <f aca="false">'SALES Raw'!E2206*$H$4</f>
        <v>2.52631578947368</v>
      </c>
      <c r="G3509" s="19" t="n">
        <f aca="false">'SALES Raw'!F2206*$H$4</f>
        <v>383.873684210526</v>
      </c>
      <c r="H3509" s="18" t="str">
        <f aca="false">'SALES Raw'!A2206</f>
        <v>114 - IL online</v>
      </c>
    </row>
    <row r="3510" customFormat="false" ht="15" hidden="false" customHeight="false" outlineLevel="0" collapsed="false">
      <c r="A3510" s="18" t="str">
        <f aca="false">'SALES Raw'!G2209</f>
        <v/>
      </c>
      <c r="B3510" s="18" t="str">
        <f aca="false">'SALES Raw'!B2209</f>
        <v>267RC-S-M</v>
      </c>
      <c r="C3510" s="18" t="str">
        <f aca="false">'SALES Raw'!H2209</f>
        <v>267RC-S-M</v>
      </c>
      <c r="D3510" s="19" t="n">
        <f aca="false">'SALES Raw'!C2209</f>
        <v>1</v>
      </c>
      <c r="E3510" s="19" t="n">
        <f aca="false">'SALES Raw'!D2209</f>
        <v>167.05</v>
      </c>
      <c r="F3510" s="19" t="n">
        <f aca="false">'SALES Raw'!E2209*$H$4</f>
        <v>2.52631578947368</v>
      </c>
      <c r="G3510" s="19" t="n">
        <f aca="false">'SALES Raw'!F2209*$H$4</f>
        <v>383.886315789474</v>
      </c>
      <c r="H3510" s="18" t="str">
        <f aca="false">'SALES Raw'!A2209</f>
        <v>114 - IL online</v>
      </c>
    </row>
    <row r="3511" customFormat="false" ht="15" hidden="false" customHeight="false" outlineLevel="0" collapsed="false">
      <c r="A3511" s="18" t="str">
        <f aca="false">'SALES Raw'!G2216</f>
        <v/>
      </c>
      <c r="B3511" s="18" t="str">
        <f aca="false">'SALES Raw'!B2216</f>
        <v>30 L</v>
      </c>
      <c r="C3511" s="18" t="str">
        <f aca="false">'SALES Raw'!H2216</f>
        <v>30 L</v>
      </c>
      <c r="D3511" s="19" t="n">
        <f aca="false">'SALES Raw'!C2216</f>
        <v>4</v>
      </c>
      <c r="E3511" s="19" t="n">
        <f aca="false">'SALES Raw'!D2216</f>
        <v>426.88</v>
      </c>
      <c r="F3511" s="19" t="n">
        <f aca="false">'SALES Raw'!E2216*$H$4</f>
        <v>2.52631578947368</v>
      </c>
      <c r="G3511" s="19" t="n">
        <f aca="false">'SALES Raw'!F2216*$H$4</f>
        <v>303.814736842105</v>
      </c>
      <c r="H3511" s="18" t="str">
        <f aca="false">'SALES Raw'!A2216</f>
        <v>114 - IL online</v>
      </c>
    </row>
    <row r="3512" customFormat="false" ht="15" hidden="false" customHeight="false" outlineLevel="0" collapsed="false">
      <c r="A3512" s="18" t="n">
        <f aca="false">'SALES Raw'!G2247</f>
        <v>4416002</v>
      </c>
      <c r="B3512" s="18" t="str">
        <f aca="false">'SALES Raw'!B2247</f>
        <v>307 S</v>
      </c>
      <c r="C3512" s="18" t="str">
        <f aca="false">'SALES Raw'!H2247</f>
        <v>307 S עקבים לדורבן-זוג כריות</v>
      </c>
      <c r="D3512" s="19" t="n">
        <f aca="false">'SALES Raw'!C2247</f>
        <v>3</v>
      </c>
      <c r="E3512" s="19" t="n">
        <f aca="false">'SALES Raw'!D2247</f>
        <v>475.55</v>
      </c>
      <c r="F3512" s="19" t="n">
        <f aca="false">'SALES Raw'!E2247*$H$4</f>
        <v>2.52631578947368</v>
      </c>
      <c r="G3512" s="19" t="n">
        <f aca="false">'SALES Raw'!F2247*$H$4</f>
        <v>400.484210526316</v>
      </c>
      <c r="H3512" s="18" t="str">
        <f aca="false">'SALES Raw'!A2247</f>
        <v>114 - IL online</v>
      </c>
    </row>
    <row r="3513" customFormat="false" ht="15" hidden="false" customHeight="false" outlineLevel="0" collapsed="false">
      <c r="A3513" s="18" t="str">
        <f aca="false">'SALES Raw'!G2255</f>
        <v/>
      </c>
      <c r="B3513" s="18" t="str">
        <f aca="false">'SALES Raw'!B2255</f>
        <v>32 M</v>
      </c>
      <c r="C3513" s="18" t="str">
        <f aca="false">'SALES Raw'!H2255</f>
        <v>32 M</v>
      </c>
      <c r="D3513" s="19" t="n">
        <f aca="false">'SALES Raw'!C2255</f>
        <v>2</v>
      </c>
      <c r="E3513" s="19" t="n">
        <f aca="false">'SALES Raw'!D2255</f>
        <v>634.68</v>
      </c>
      <c r="F3513" s="19" t="n">
        <f aca="false">'SALES Raw'!E2255*$H$4</f>
        <v>2.52631578947368</v>
      </c>
      <c r="G3513" s="19" t="n">
        <f aca="false">'SALES Raw'!F2255*$H$4</f>
        <v>971.772631578947</v>
      </c>
      <c r="H3513" s="18" t="str">
        <f aca="false">'SALES Raw'!A2255</f>
        <v>114 - IL online</v>
      </c>
    </row>
    <row r="3514" customFormat="false" ht="15" hidden="false" customHeight="false" outlineLevel="0" collapsed="false">
      <c r="A3514" s="18" t="n">
        <f aca="false">'SALES Raw'!G2284</f>
        <v>4413494</v>
      </c>
      <c r="B3514" s="18" t="str">
        <f aca="false">'SALES Raw'!B2284</f>
        <v>35B XXL</v>
      </c>
      <c r="C3514" s="18" t="str">
        <f aca="false">'SALES Raw'!H2284</f>
        <v>35B XXL מגן קרסול שחור</v>
      </c>
      <c r="D3514" s="19" t="n">
        <f aca="false">'SALES Raw'!C2284</f>
        <v>9</v>
      </c>
      <c r="E3514" s="19" t="n">
        <f aca="false">'SALES Raw'!D2284</f>
        <v>485.89</v>
      </c>
      <c r="F3514" s="19" t="n">
        <f aca="false">'SALES Raw'!E2284*$H$4</f>
        <v>2.52631578947368</v>
      </c>
      <c r="G3514" s="19" t="n">
        <f aca="false">'SALES Raw'!F2284*$H$4</f>
        <v>130.522105263158</v>
      </c>
      <c r="H3514" s="18" t="str">
        <f aca="false">'SALES Raw'!A2284</f>
        <v>114 - IL online</v>
      </c>
    </row>
    <row r="3515" customFormat="false" ht="15" hidden="false" customHeight="false" outlineLevel="0" collapsed="false">
      <c r="A3515" s="18" t="str">
        <f aca="false">'SALES Raw'!G2323</f>
        <v/>
      </c>
      <c r="B3515" s="18" t="str">
        <f aca="false">'SALES Raw'!B2323</f>
        <v>376-35-37</v>
      </c>
      <c r="C3515" s="18" t="str">
        <f aca="false">'SALES Raw'!H2323</f>
        <v>376-35-37</v>
      </c>
      <c r="D3515" s="19" t="n">
        <f aca="false">'SALES Raw'!C2323</f>
        <v>5</v>
      </c>
      <c r="E3515" s="19" t="n">
        <f aca="false">'SALES Raw'!D2323</f>
        <v>279.35</v>
      </c>
      <c r="F3515" s="19" t="n">
        <f aca="false">'SALES Raw'!E2323*$H$4</f>
        <v>2.52631578947368</v>
      </c>
      <c r="G3515" s="19" t="n">
        <f aca="false">'SALES Raw'!F2323*$H$4</f>
        <v>152.336842105263</v>
      </c>
      <c r="H3515" s="18" t="str">
        <f aca="false">'SALES Raw'!A2323</f>
        <v>114 - IL online</v>
      </c>
    </row>
    <row r="3516" customFormat="false" ht="15" hidden="false" customHeight="false" outlineLevel="0" collapsed="false">
      <c r="A3516" s="18" t="str">
        <f aca="false">'SALES Raw'!G2359</f>
        <v/>
      </c>
      <c r="B3516" s="18" t="str">
        <f aca="false">'SALES Raw'!B2359</f>
        <v>394G-35-38</v>
      </c>
      <c r="C3516" s="18" t="str">
        <f aca="false">'SALES Raw'!H2359</f>
        <v>394G-35-38</v>
      </c>
      <c r="D3516" s="19" t="n">
        <f aca="false">'SALES Raw'!C2359</f>
        <v>25</v>
      </c>
      <c r="E3516" s="19" t="n">
        <f aca="false">'SALES Raw'!D2359</f>
        <v>1017.05</v>
      </c>
      <c r="F3516" s="19" t="n">
        <f aca="false">'SALES Raw'!E2359*$H$4</f>
        <v>2.52631578947368</v>
      </c>
      <c r="G3516" s="19" t="n">
        <f aca="false">'SALES Raw'!F2359*$H$4</f>
        <v>96.1768421052632</v>
      </c>
      <c r="H3516" s="18" t="str">
        <f aca="false">'SALES Raw'!A2359</f>
        <v>114 - IL online</v>
      </c>
    </row>
    <row r="3517" customFormat="false" ht="15" hidden="false" customHeight="false" outlineLevel="0" collapsed="false">
      <c r="A3517" s="18" t="n">
        <f aca="false">'SALES Raw'!G2379</f>
        <v>4413072</v>
      </c>
      <c r="B3517" s="18" t="str">
        <f aca="false">'SALES Raw'!B2379</f>
        <v>41 L</v>
      </c>
      <c r="C3517" s="18" t="str">
        <f aca="false">'SALES Raw'!H2379</f>
        <v>41 Lמ.ברך מוצלב+ספירלות בצדדים</v>
      </c>
      <c r="D3517" s="19" t="n">
        <f aca="false">'SALES Raw'!C2379</f>
        <v>5</v>
      </c>
      <c r="E3517" s="19" t="n">
        <f aca="false">'SALES Raw'!D2379</f>
        <v>1109.34</v>
      </c>
      <c r="F3517" s="19" t="n">
        <f aca="false">'SALES Raw'!E2379*$H$4</f>
        <v>2.52631578947368</v>
      </c>
      <c r="G3517" s="19" t="n">
        <f aca="false">'SALES Raw'!F2379*$H$4</f>
        <v>520.054736842105</v>
      </c>
      <c r="H3517" s="18" t="str">
        <f aca="false">'SALES Raw'!A2379</f>
        <v>114 - IL online</v>
      </c>
    </row>
    <row r="3518" customFormat="false" ht="15" hidden="false" customHeight="false" outlineLevel="0" collapsed="false">
      <c r="A3518" s="18" t="str">
        <f aca="false">'SALES Raw'!G2386</f>
        <v/>
      </c>
      <c r="B3518" s="18" t="str">
        <f aca="false">'SALES Raw'!B2386</f>
        <v>41X M</v>
      </c>
      <c r="C3518" s="18" t="str">
        <f aca="false">'SALES Raw'!H2386</f>
        <v>41X M</v>
      </c>
      <c r="D3518" s="19" t="n">
        <f aca="false">'SALES Raw'!C2386</f>
        <v>0</v>
      </c>
      <c r="E3518" s="19" t="n">
        <f aca="false">'SALES Raw'!D2386</f>
        <v>0</v>
      </c>
      <c r="F3518" s="19" t="n">
        <f aca="false">'SALES Raw'!E2386*$H$4</f>
        <v>2.52631578947368</v>
      </c>
      <c r="G3518" s="19" t="n">
        <f aca="false">'SALES Raw'!F2386*$H$4</f>
        <v>620.665263157895</v>
      </c>
      <c r="H3518" s="18" t="str">
        <f aca="false">'SALES Raw'!A2386</f>
        <v>114 - IL online</v>
      </c>
    </row>
    <row r="3519" customFormat="false" ht="15" hidden="false" customHeight="false" outlineLevel="0" collapsed="false">
      <c r="A3519" s="18" t="str">
        <f aca="false">'SALES Raw'!G2388</f>
        <v/>
      </c>
      <c r="B3519" s="18" t="str">
        <f aca="false">'SALES Raw'!B2388</f>
        <v>41X XXL</v>
      </c>
      <c r="C3519" s="18" t="str">
        <f aca="false">'SALES Raw'!H2388</f>
        <v>41X XXL</v>
      </c>
      <c r="D3519" s="19" t="n">
        <f aca="false">'SALES Raw'!C2388</f>
        <v>1</v>
      </c>
      <c r="E3519" s="19" t="n">
        <f aca="false">'SALES Raw'!D2388</f>
        <v>245.68</v>
      </c>
      <c r="F3519" s="19" t="n">
        <f aca="false">'SALES Raw'!E2388*$H$4</f>
        <v>2.52631578947368</v>
      </c>
      <c r="G3519" s="19" t="n">
        <f aca="false">'SALES Raw'!F2388*$H$4</f>
        <v>620.665263157895</v>
      </c>
      <c r="H3519" s="18" t="str">
        <f aca="false">'SALES Raw'!A2388</f>
        <v>114 - IL online</v>
      </c>
    </row>
    <row r="3520" customFormat="false" ht="15" hidden="false" customHeight="false" outlineLevel="0" collapsed="false">
      <c r="A3520" s="18" t="n">
        <f aca="false">'SALES Raw'!G2401</f>
        <v>4413093</v>
      </c>
      <c r="B3520" s="18" t="str">
        <f aca="false">'SALES Raw'!B2401</f>
        <v>45 M</v>
      </c>
      <c r="C3520" s="18" t="str">
        <f aca="false">'SALES Raw'!H2401</f>
        <v>45 M מגן ברך לבן</v>
      </c>
      <c r="D3520" s="19" t="n">
        <f aca="false">'SALES Raw'!C2401</f>
        <v>7</v>
      </c>
      <c r="E3520" s="19" t="n">
        <f aca="false">'SALES Raw'!D2401</f>
        <v>333.4</v>
      </c>
      <c r="F3520" s="19" t="n">
        <f aca="false">'SALES Raw'!E2401*$H$4</f>
        <v>2.52631578947368</v>
      </c>
      <c r="G3520" s="19" t="n">
        <f aca="false">'SALES Raw'!F2401*$H$4</f>
        <v>141.094736842105</v>
      </c>
      <c r="H3520" s="18" t="str">
        <f aca="false">'SALES Raw'!A2401</f>
        <v>114 - IL online</v>
      </c>
    </row>
    <row r="3521" customFormat="false" ht="15" hidden="false" customHeight="false" outlineLevel="0" collapsed="false">
      <c r="A3521" s="18" t="n">
        <f aca="false">'SALES Raw'!G2414</f>
        <v>4413100</v>
      </c>
      <c r="B3521" s="18" t="str">
        <f aca="false">'SALES Raw'!B2414</f>
        <v>45C XL</v>
      </c>
      <c r="C3521" s="18" t="str">
        <f aca="false">'SALES Raw'!H2414</f>
        <v>45C XL מגן ברך חום</v>
      </c>
      <c r="D3521" s="19" t="n">
        <f aca="false">'SALES Raw'!C2414</f>
        <v>2</v>
      </c>
      <c r="E3521" s="19" t="n">
        <f aca="false">'SALES Raw'!D2414</f>
        <v>111.7</v>
      </c>
      <c r="F3521" s="19" t="n">
        <f aca="false">'SALES Raw'!E2414*$H$4</f>
        <v>2.52631578947368</v>
      </c>
      <c r="G3521" s="19" t="n">
        <f aca="false">'SALES Raw'!F2414*$H$4</f>
        <v>141.082105263158</v>
      </c>
      <c r="H3521" s="18" t="str">
        <f aca="false">'SALES Raw'!A2414</f>
        <v>114 - IL online</v>
      </c>
    </row>
    <row r="3522" customFormat="false" ht="15" hidden="false" customHeight="false" outlineLevel="0" collapsed="false">
      <c r="A3522" s="18" t="str">
        <f aca="false">'SALES Raw'!G2415</f>
        <v/>
      </c>
      <c r="B3522" s="18" t="str">
        <f aca="false">'SALES Raw'!B2415</f>
        <v>45C XS</v>
      </c>
      <c r="C3522" s="18" t="str">
        <f aca="false">'SALES Raw'!H2415</f>
        <v>45C XS</v>
      </c>
      <c r="D3522" s="19" t="n">
        <f aca="false">'SALES Raw'!C2415</f>
        <v>3</v>
      </c>
      <c r="E3522" s="19" t="n">
        <f aca="false">'SALES Raw'!D2415</f>
        <v>139.63</v>
      </c>
      <c r="F3522" s="19" t="n">
        <f aca="false">'SALES Raw'!E2415*$H$4</f>
        <v>2.52631578947368</v>
      </c>
      <c r="G3522" s="19" t="n">
        <f aca="false">'SALES Raw'!F2415*$H$4</f>
        <v>134.033684210526</v>
      </c>
      <c r="H3522" s="18" t="str">
        <f aca="false">'SALES Raw'!A2415</f>
        <v>114 - IL online</v>
      </c>
    </row>
    <row r="3523" customFormat="false" ht="15" hidden="false" customHeight="false" outlineLevel="0" collapsed="false">
      <c r="A3523" s="18" t="n">
        <f aca="false">'SALES Raw'!G2425</f>
        <v>4413397</v>
      </c>
      <c r="B3523" s="18" t="str">
        <f aca="false">'SALES Raw'!B2425</f>
        <v>45EC XL</v>
      </c>
      <c r="C3523" s="18" t="str">
        <f aca="false">'SALES Raw'!H2425</f>
        <v>45EC XL'מגן ברך ארוך בז</v>
      </c>
      <c r="D3523" s="19" t="n">
        <f aca="false">'SALES Raw'!C2425</f>
        <v>0</v>
      </c>
      <c r="E3523" s="19" t="n">
        <f aca="false">'SALES Raw'!D2425</f>
        <v>0</v>
      </c>
      <c r="F3523" s="19" t="n">
        <f aca="false">'SALES Raw'!E2425*$H$4</f>
        <v>2.52631578947368</v>
      </c>
      <c r="G3523" s="19" t="n">
        <f aca="false">'SALES Raw'!F2425*$H$4</f>
        <v>162.505263157895</v>
      </c>
      <c r="H3523" s="18" t="str">
        <f aca="false">'SALES Raw'!A2425</f>
        <v>114 - IL online</v>
      </c>
    </row>
    <row r="3524" customFormat="false" ht="15" hidden="false" customHeight="false" outlineLevel="0" collapsed="false">
      <c r="A3524" s="18" t="n">
        <f aca="false">'SALES Raw'!G2428</f>
        <v>4413108</v>
      </c>
      <c r="B3524" s="18" t="str">
        <f aca="false">'SALES Raw'!B2428</f>
        <v>48 M</v>
      </c>
      <c r="C3524" s="18" t="str">
        <f aca="false">'SALES Raw'!H2428</f>
        <v>48 M מגן ברך מחמם</v>
      </c>
      <c r="D3524" s="19" t="n">
        <f aca="false">'SALES Raw'!C2428</f>
        <v>0</v>
      </c>
      <c r="E3524" s="19" t="n">
        <f aca="false">'SALES Raw'!D2428</f>
        <v>0</v>
      </c>
      <c r="F3524" s="19" t="n">
        <f aca="false">'SALES Raw'!E2428*$H$4</f>
        <v>2.52631578947368</v>
      </c>
      <c r="G3524" s="19" t="n">
        <f aca="false">'SALES Raw'!F2428*$H$4</f>
        <v>258.846315789474</v>
      </c>
      <c r="H3524" s="18" t="str">
        <f aca="false">'SALES Raw'!A2428</f>
        <v>114 - IL online</v>
      </c>
    </row>
    <row r="3525" customFormat="false" ht="15" hidden="false" customHeight="false" outlineLevel="0" collapsed="false">
      <c r="A3525" s="18" t="n">
        <f aca="false">'SALES Raw'!G2434</f>
        <v>4413111</v>
      </c>
      <c r="B3525" s="18" t="str">
        <f aca="false">'SALES Raw'!B2434</f>
        <v>49 S</v>
      </c>
      <c r="C3525" s="18" t="str">
        <f aca="false">'SALES Raw'!H2434</f>
        <v>49  S מגן ירך</v>
      </c>
      <c r="D3525" s="19" t="n">
        <f aca="false">'SALES Raw'!C2434</f>
        <v>3</v>
      </c>
      <c r="E3525" s="19" t="n">
        <f aca="false">'SALES Raw'!D2434</f>
        <v>183.63</v>
      </c>
      <c r="F3525" s="19" t="n">
        <f aca="false">'SALES Raw'!E2434*$H$4</f>
        <v>2.52631578947368</v>
      </c>
      <c r="G3525" s="19" t="n">
        <f aca="false">'SALES Raw'!F2434*$H$4</f>
        <v>160.357894736842</v>
      </c>
      <c r="H3525" s="18" t="str">
        <f aca="false">'SALES Raw'!A2434</f>
        <v>114 - IL online</v>
      </c>
    </row>
    <row r="3526" customFormat="false" ht="15" hidden="false" customHeight="false" outlineLevel="0" collapsed="false">
      <c r="A3526" s="18" t="str">
        <f aca="false">'SALES Raw'!G2446</f>
        <v/>
      </c>
      <c r="B3526" s="18" t="str">
        <f aca="false">'SALES Raw'!B2446</f>
        <v>50 XXL</v>
      </c>
      <c r="C3526" s="18" t="str">
        <f aca="false">'SALES Raw'!H2446</f>
        <v>50 XXL</v>
      </c>
      <c r="D3526" s="19" t="n">
        <f aca="false">'SALES Raw'!C2446</f>
        <v>2</v>
      </c>
      <c r="E3526" s="19" t="n">
        <f aca="false">'SALES Raw'!D2446</f>
        <v>401.52</v>
      </c>
      <c r="F3526" s="19" t="n">
        <f aca="false">'SALES Raw'!E2446*$H$4</f>
        <v>2.52631578947368</v>
      </c>
      <c r="G3526" s="19" t="n">
        <f aca="false">'SALES Raw'!F2446*$H$4</f>
        <v>481.818947368421</v>
      </c>
      <c r="H3526" s="18" t="str">
        <f aca="false">'SALES Raw'!A2446</f>
        <v>114 - IL online</v>
      </c>
    </row>
    <row r="3527" customFormat="false" ht="15" hidden="false" customHeight="false" outlineLevel="0" collapsed="false">
      <c r="A3527" s="18" t="str">
        <f aca="false">'SALES Raw'!G2447</f>
        <v/>
      </c>
      <c r="B3527" s="18" t="str">
        <f aca="false">'SALES Raw'!B2447</f>
        <v>55 M</v>
      </c>
      <c r="C3527" s="18" t="str">
        <f aca="false">'SALES Raw'!H2447</f>
        <v>55 M</v>
      </c>
      <c r="D3527" s="19" t="n">
        <f aca="false">'SALES Raw'!C2447</f>
        <v>4</v>
      </c>
      <c r="E3527" s="19" t="n">
        <f aca="false">'SALES Raw'!D2447</f>
        <v>594.59</v>
      </c>
      <c r="F3527" s="19" t="n">
        <f aca="false">'SALES Raw'!E2447*$H$4</f>
        <v>2.52631578947368</v>
      </c>
      <c r="G3527" s="19" t="n">
        <f aca="false">'SALES Raw'!F2447*$H$4</f>
        <v>385.162105263158</v>
      </c>
      <c r="H3527" s="18" t="str">
        <f aca="false">'SALES Raw'!A2447</f>
        <v>114 - IL online</v>
      </c>
    </row>
    <row r="3528" customFormat="false" ht="15" hidden="false" customHeight="false" outlineLevel="0" collapsed="false">
      <c r="A3528" s="18" t="n">
        <f aca="false">'SALES Raw'!G2451</f>
        <v>4408071</v>
      </c>
      <c r="B3528" s="18" t="str">
        <f aca="false">'SALES Raw'!B2451</f>
        <v>59D L</v>
      </c>
      <c r="C3528" s="18" t="str">
        <f aca="false">'SALES Raw'!H2451</f>
        <v>59D L חגורת שבר דו צדדי</v>
      </c>
      <c r="D3528" s="19" t="n">
        <f aca="false">'SALES Raw'!C2451</f>
        <v>3</v>
      </c>
      <c r="E3528" s="19" t="n">
        <f aca="false">'SALES Raw'!D2451</f>
        <v>1615.09</v>
      </c>
      <c r="F3528" s="19" t="n">
        <f aca="false">'SALES Raw'!E2451*$H$4</f>
        <v>2.52631578947368</v>
      </c>
      <c r="G3528" s="19" t="n">
        <f aca="false">'SALES Raw'!F2451*$H$4</f>
        <v>1362.5052631579</v>
      </c>
      <c r="H3528" s="18" t="str">
        <f aca="false">'SALES Raw'!A2451</f>
        <v>114 - IL online</v>
      </c>
    </row>
    <row r="3529" customFormat="false" ht="15" hidden="false" customHeight="false" outlineLevel="0" collapsed="false">
      <c r="A3529" s="18" t="n">
        <f aca="false">'SALES Raw'!G2454</f>
        <v>4408073</v>
      </c>
      <c r="B3529" s="18" t="str">
        <f aca="false">'SALES Raw'!B2454</f>
        <v>59D XL</v>
      </c>
      <c r="C3529" s="18" t="str">
        <f aca="false">'SALES Raw'!H2454</f>
        <v>59D XL חגורת שבר דו צדדי</v>
      </c>
      <c r="D3529" s="19" t="n">
        <f aca="false">'SALES Raw'!C2454</f>
        <v>1</v>
      </c>
      <c r="E3529" s="19" t="n">
        <f aca="false">'SALES Raw'!D2454</f>
        <v>567.71</v>
      </c>
      <c r="F3529" s="19" t="n">
        <f aca="false">'SALES Raw'!E2454*$H$4</f>
        <v>2.52631578947368</v>
      </c>
      <c r="G3529" s="19" t="n">
        <f aca="false">'SALES Raw'!F2454*$H$4</f>
        <v>1362.5052631579</v>
      </c>
      <c r="H3529" s="18" t="str">
        <f aca="false">'SALES Raw'!A2454</f>
        <v>114 - IL online</v>
      </c>
    </row>
    <row r="3530" customFormat="false" ht="15" hidden="false" customHeight="false" outlineLevel="0" collapsed="false">
      <c r="A3530" s="18" t="n">
        <f aca="false">'SALES Raw'!G2462</f>
        <v>4408082</v>
      </c>
      <c r="B3530" s="18" t="str">
        <f aca="false">'SALES Raw'!B2462</f>
        <v>59R XL</v>
      </c>
      <c r="C3530" s="18" t="str">
        <f aca="false">'SALES Raw'!H2462</f>
        <v>59R XL חגורת שבר לצד ימין</v>
      </c>
      <c r="D3530" s="19" t="n">
        <f aca="false">'SALES Raw'!C2462</f>
        <v>5</v>
      </c>
      <c r="E3530" s="19" t="n">
        <f aca="false">'SALES Raw'!D2462</f>
        <v>1643.66</v>
      </c>
      <c r="F3530" s="19" t="n">
        <f aca="false">'SALES Raw'!E2462*$H$4</f>
        <v>2.52631578947368</v>
      </c>
      <c r="G3530" s="19" t="n">
        <f aca="false">'SALES Raw'!F2462*$H$4</f>
        <v>856.168421052632</v>
      </c>
      <c r="H3530" s="18" t="str">
        <f aca="false">'SALES Raw'!A2462</f>
        <v>114 - IL online</v>
      </c>
    </row>
    <row r="3531" customFormat="false" ht="15" hidden="false" customHeight="false" outlineLevel="0" collapsed="false">
      <c r="A3531" s="18" t="str">
        <f aca="false">'SALES Raw'!G2463</f>
        <v/>
      </c>
      <c r="B3531" s="18" t="str">
        <f aca="false">'SALES Raw'!B2463</f>
        <v>59DB L</v>
      </c>
      <c r="C3531" s="18" t="str">
        <f aca="false">'SALES Raw'!H2463</f>
        <v>59DB L</v>
      </c>
      <c r="D3531" s="19" t="n">
        <f aca="false">'SALES Raw'!C2463</f>
        <v>0</v>
      </c>
      <c r="E3531" s="19" t="n">
        <f aca="false">'SALES Raw'!D2463</f>
        <v>0</v>
      </c>
      <c r="F3531" s="19" t="n">
        <f aca="false">'SALES Raw'!E2463*$H$4</f>
        <v>2.52631578947368</v>
      </c>
      <c r="G3531" s="19" t="n">
        <f aca="false">'SALES Raw'!F2463*$H$4</f>
        <v>1362.5052631579</v>
      </c>
      <c r="H3531" s="18" t="str">
        <f aca="false">'SALES Raw'!A2463</f>
        <v>114 - IL online</v>
      </c>
    </row>
    <row r="3532" customFormat="false" ht="15" hidden="false" customHeight="false" outlineLevel="0" collapsed="false">
      <c r="A3532" s="18" t="str">
        <f aca="false">'SALES Raw'!G2464</f>
        <v/>
      </c>
      <c r="B3532" s="18" t="str">
        <f aca="false">'SALES Raw'!B2464</f>
        <v>59DB M</v>
      </c>
      <c r="C3532" s="18" t="str">
        <f aca="false">'SALES Raw'!H2464</f>
        <v>59DB M</v>
      </c>
      <c r="D3532" s="19" t="n">
        <f aca="false">'SALES Raw'!C2464</f>
        <v>0</v>
      </c>
      <c r="E3532" s="19" t="n">
        <f aca="false">'SALES Raw'!D2464</f>
        <v>0</v>
      </c>
      <c r="F3532" s="19" t="n">
        <f aca="false">'SALES Raw'!E2464*$H$4</f>
        <v>2.52631578947368</v>
      </c>
      <c r="G3532" s="19" t="n">
        <f aca="false">'SALES Raw'!F2464*$H$4</f>
        <v>1254.94736842105</v>
      </c>
      <c r="H3532" s="18" t="str">
        <f aca="false">'SALES Raw'!A2464</f>
        <v>114 - IL online</v>
      </c>
    </row>
    <row r="3533" customFormat="false" ht="15" hidden="false" customHeight="false" outlineLevel="0" collapsed="false">
      <c r="A3533" s="18" t="str">
        <f aca="false">'SALES Raw'!G2478</f>
        <v/>
      </c>
      <c r="B3533" s="18" t="str">
        <f aca="false">'SALES Raw'!B2478</f>
        <v>60 XXL</v>
      </c>
      <c r="C3533" s="18" t="str">
        <f aca="false">'SALES Raw'!H2478</f>
        <v>60 XXL</v>
      </c>
      <c r="D3533" s="19" t="n">
        <f aca="false">'SALES Raw'!C2478</f>
        <v>1</v>
      </c>
      <c r="E3533" s="19" t="n">
        <f aca="false">'SALES Raw'!D2478</f>
        <v>89.75</v>
      </c>
      <c r="F3533" s="19" t="n">
        <f aca="false">'SALES Raw'!E2478*$H$4</f>
        <v>2.52631578947368</v>
      </c>
      <c r="G3533" s="19" t="n">
        <f aca="false">'SALES Raw'!F2478*$H$4</f>
        <v>215.393684210526</v>
      </c>
      <c r="H3533" s="18" t="str">
        <f aca="false">'SALES Raw'!A2478</f>
        <v>114 - IL online</v>
      </c>
    </row>
    <row r="3534" customFormat="false" ht="15" hidden="false" customHeight="false" outlineLevel="0" collapsed="false">
      <c r="A3534" s="18" t="n">
        <f aca="false">'SALES Raw'!G2489</f>
        <v>4408273</v>
      </c>
      <c r="B3534" s="18" t="str">
        <f aca="false">'SALES Raw'!B2489</f>
        <v>70N M</v>
      </c>
      <c r="C3534" s="18" t="str">
        <f aca="false">'SALES Raw'!H2489</f>
        <v>70N M חגורת פאבליק</v>
      </c>
      <c r="D3534" s="19" t="n">
        <f aca="false">'SALES Raw'!C2489</f>
        <v>1</v>
      </c>
      <c r="E3534" s="19" t="n">
        <f aca="false">'SALES Raw'!D2489</f>
        <v>581.27</v>
      </c>
      <c r="F3534" s="19" t="n">
        <f aca="false">'SALES Raw'!E2489*$H$4</f>
        <v>2.52631578947368</v>
      </c>
      <c r="G3534" s="19" t="n">
        <f aca="false">'SALES Raw'!F2489*$H$4</f>
        <v>1477.03578947368</v>
      </c>
      <c r="H3534" s="18" t="str">
        <f aca="false">'SALES Raw'!A2489</f>
        <v>114 - IL online</v>
      </c>
    </row>
    <row r="3535" customFormat="false" ht="15" hidden="false" customHeight="false" outlineLevel="0" collapsed="false">
      <c r="A3535" s="18" t="n">
        <f aca="false">'SALES Raw'!G2546</f>
        <v>4413137</v>
      </c>
      <c r="B3535" s="18" t="str">
        <f aca="false">'SALES Raw'!B2546</f>
        <v>85 S</v>
      </c>
      <c r="C3535" s="18" t="str">
        <f aca="false">'SALES Raw'!H2546</f>
        <v>85 S (מתלה ליד )כיס</v>
      </c>
      <c r="D3535" s="19" t="n">
        <f aca="false">'SALES Raw'!C2546</f>
        <v>1</v>
      </c>
      <c r="E3535" s="19" t="n">
        <f aca="false">'SALES Raw'!D2546</f>
        <v>102.46</v>
      </c>
      <c r="F3535" s="19" t="n">
        <f aca="false">'SALES Raw'!E2546*$H$4</f>
        <v>2.52631578947368</v>
      </c>
      <c r="G3535" s="19" t="n">
        <f aca="false">'SALES Raw'!F2546*$H$4</f>
        <v>258.846315789474</v>
      </c>
      <c r="H3535" s="18" t="str">
        <f aca="false">'SALES Raw'!A2546</f>
        <v>114 - IL online</v>
      </c>
    </row>
    <row r="3536" customFormat="false" ht="15" hidden="false" customHeight="false" outlineLevel="0" collapsed="false">
      <c r="A3536" s="18" t="str">
        <f aca="false">'SALES Raw'!G2565</f>
        <v/>
      </c>
      <c r="B3536" s="18" t="str">
        <f aca="false">'SALES Raw'!B2565</f>
        <v>88R- S-M</v>
      </c>
      <c r="C3536" s="18" t="str">
        <f aca="false">'SALES Raw'!H2565</f>
        <v>88R- S-M</v>
      </c>
      <c r="D3536" s="19" t="n">
        <f aca="false">'SALES Raw'!C2565</f>
        <v>1</v>
      </c>
      <c r="E3536" s="19" t="n">
        <f aca="false">'SALES Raw'!D2565</f>
        <v>468.15</v>
      </c>
      <c r="F3536" s="19" t="n">
        <f aca="false">'SALES Raw'!E2565*$H$4</f>
        <v>2.52631578947368</v>
      </c>
      <c r="G3536" s="19" t="n">
        <f aca="false">'SALES Raw'!F2565*$H$4</f>
        <v>1321.83157894737</v>
      </c>
      <c r="H3536" s="18" t="str">
        <f aca="false">'SALES Raw'!A2565</f>
        <v>114 - IL online</v>
      </c>
    </row>
    <row r="3537" customFormat="false" ht="15" hidden="false" customHeight="false" outlineLevel="0" collapsed="false">
      <c r="A3537" s="18" t="str">
        <f aca="false">'SALES Raw'!G2569</f>
        <v/>
      </c>
      <c r="B3537" s="18" t="str">
        <f aca="false">'SALES Raw'!B2569</f>
        <v>922 S</v>
      </c>
      <c r="C3537" s="18" t="str">
        <f aca="false">'SALES Raw'!H2569</f>
        <v>922 S</v>
      </c>
      <c r="D3537" s="19" t="n">
        <f aca="false">'SALES Raw'!C2569</f>
        <v>1</v>
      </c>
      <c r="E3537" s="19" t="n">
        <f aca="false">'SALES Raw'!D2569</f>
        <v>256.69</v>
      </c>
      <c r="F3537" s="19" t="n">
        <f aca="false">'SALES Raw'!E2569*$H$4</f>
        <v>2.52631578947368</v>
      </c>
      <c r="G3537" s="19" t="n">
        <f aca="false">'SALES Raw'!F2569*$H$4</f>
        <v>484.711578947368</v>
      </c>
      <c r="H3537" s="18" t="str">
        <f aca="false">'SALES Raw'!A2569</f>
        <v>114 - IL online</v>
      </c>
    </row>
    <row r="3538" customFormat="false" ht="15" hidden="false" customHeight="false" outlineLevel="0" collapsed="false">
      <c r="A3538" s="18" t="n">
        <f aca="false">'SALES Raw'!G2573</f>
        <v>4413140</v>
      </c>
      <c r="B3538" s="18" t="str">
        <f aca="false">'SALES Raw'!B2573</f>
        <v>95 M</v>
      </c>
      <c r="C3538" s="18" t="str">
        <f aca="false">'SALES Raw'!H2573</f>
        <v>95 M מגן מרפק רגיל לבן</v>
      </c>
      <c r="D3538" s="19" t="n">
        <f aca="false">'SALES Raw'!C2573</f>
        <v>3</v>
      </c>
      <c r="E3538" s="19" t="n">
        <f aca="false">'SALES Raw'!D2573</f>
        <v>165.85</v>
      </c>
      <c r="F3538" s="19" t="n">
        <f aca="false">'SALES Raw'!E2573*$H$4</f>
        <v>2.52631578947368</v>
      </c>
      <c r="G3538" s="19" t="n">
        <f aca="false">'SALES Raw'!F2573*$H$4</f>
        <v>102.555789473684</v>
      </c>
      <c r="H3538" s="18" t="str">
        <f aca="false">'SALES Raw'!A2573</f>
        <v>114 - IL online</v>
      </c>
    </row>
    <row r="3539" customFormat="false" ht="15" hidden="false" customHeight="false" outlineLevel="0" collapsed="false">
      <c r="A3539" s="18" t="n">
        <f aca="false">'SALES Raw'!G2585</f>
        <v>4413364</v>
      </c>
      <c r="B3539" s="18" t="str">
        <f aca="false">'SALES Raw'!B2585</f>
        <v>95C M</v>
      </c>
      <c r="C3539" s="18" t="str">
        <f aca="false">'SALES Raw'!H2585</f>
        <v>95C M 'מגן מרפק בז</v>
      </c>
      <c r="D3539" s="19" t="n">
        <f aca="false">'SALES Raw'!C2585</f>
        <v>1</v>
      </c>
      <c r="E3539" s="19" t="n">
        <f aca="false">'SALES Raw'!D2585</f>
        <v>55.85</v>
      </c>
      <c r="F3539" s="19" t="n">
        <f aca="false">'SALES Raw'!E2585*$H$4</f>
        <v>2.52631578947368</v>
      </c>
      <c r="G3539" s="19" t="n">
        <f aca="false">'SALES Raw'!F2585*$H$4</f>
        <v>102.543157894737</v>
      </c>
      <c r="H3539" s="18" t="str">
        <f aca="false">'SALES Raw'!A2585</f>
        <v>114 - IL online</v>
      </c>
    </row>
    <row r="3540" customFormat="false" ht="15" hidden="false" customHeight="false" outlineLevel="0" collapsed="false">
      <c r="A3540" s="18" t="n">
        <f aca="false">'SALES Raw'!G2588</f>
        <v>4413369</v>
      </c>
      <c r="B3540" s="18" t="str">
        <f aca="false">'SALES Raw'!B2588</f>
        <v>95C XXL</v>
      </c>
      <c r="C3540" s="18" t="str">
        <f aca="false">'SALES Raw'!H2588</f>
        <v>95C XXL'מגן מרפק בז</v>
      </c>
      <c r="D3540" s="19" t="n">
        <f aca="false">'SALES Raw'!C2588</f>
        <v>0</v>
      </c>
      <c r="E3540" s="19" t="n">
        <f aca="false">'SALES Raw'!D2588</f>
        <v>0</v>
      </c>
      <c r="F3540" s="19" t="n">
        <f aca="false">'SALES Raw'!E2588*$H$4</f>
        <v>2.52631578947368</v>
      </c>
      <c r="G3540" s="19" t="n">
        <f aca="false">'SALES Raw'!F2588*$H$4</f>
        <v>141.082105263158</v>
      </c>
      <c r="H3540" s="18" t="str">
        <f aca="false">'SALES Raw'!A2588</f>
        <v>114 - IL online</v>
      </c>
    </row>
    <row r="3541" customFormat="false" ht="15" hidden="false" customHeight="false" outlineLevel="0" collapsed="false">
      <c r="A3541" s="18" t="str">
        <f aca="false">'SALES Raw'!G2622</f>
        <v/>
      </c>
      <c r="B3541" s="18" t="str">
        <f aca="false">'SALES Raw'!B2622</f>
        <v>VMFPCB31 0</v>
      </c>
      <c r="C3541" s="18" t="str">
        <f aca="false">'SALES Raw'!H2622</f>
        <v>VMFPCB31 0</v>
      </c>
      <c r="D3541" s="19" t="n">
        <f aca="false">'SALES Raw'!C2622</f>
        <v>0</v>
      </c>
      <c r="E3541" s="19" t="n">
        <f aca="false">'SALES Raw'!D2622</f>
        <v>0</v>
      </c>
      <c r="F3541" s="19" t="n">
        <f aca="false">'SALES Raw'!E2622*$H$4</f>
        <v>2.52631578947368</v>
      </c>
      <c r="G3541" s="19" t="n">
        <f aca="false">'SALES Raw'!F2622*$H$4</f>
        <v>76.9768421052632</v>
      </c>
      <c r="H3541" s="18" t="str">
        <f aca="false">'SALES Raw'!A2622</f>
        <v>114 - IL online</v>
      </c>
    </row>
    <row r="3542" customFormat="false" ht="15" hidden="false" customHeight="false" outlineLevel="0" collapsed="false">
      <c r="A3542" s="18" t="str">
        <f aca="false">'SALES Raw'!G2623</f>
        <v/>
      </c>
      <c r="B3542" s="18" t="str">
        <f aca="false">'SALES Raw'!B2623</f>
        <v>VMFPCG34 0</v>
      </c>
      <c r="C3542" s="18" t="str">
        <f aca="false">'SALES Raw'!H2623</f>
        <v>VMFPCG34 0</v>
      </c>
      <c r="D3542" s="19" t="n">
        <f aca="false">'SALES Raw'!C2623</f>
        <v>0</v>
      </c>
      <c r="E3542" s="19" t="n">
        <f aca="false">'SALES Raw'!D2623</f>
        <v>0</v>
      </c>
      <c r="F3542" s="19" t="n">
        <f aca="false">'SALES Raw'!E2623*$H$4</f>
        <v>2.52631578947368</v>
      </c>
      <c r="G3542" s="19" t="n">
        <f aca="false">'SALES Raw'!F2623*$H$4</f>
        <v>72.7073684210526</v>
      </c>
      <c r="H3542" s="18" t="str">
        <f aca="false">'SALES Raw'!A2623</f>
        <v>114 - IL online</v>
      </c>
    </row>
    <row r="3543" customFormat="false" ht="15" hidden="false" customHeight="false" outlineLevel="0" collapsed="false">
      <c r="A3543" s="18" t="str">
        <f aca="false">'SALES Raw'!G2628</f>
        <v/>
      </c>
      <c r="B3543" s="18" t="str">
        <f aca="false">'SALES Raw'!B2628</f>
        <v>VMSPCL55 0</v>
      </c>
      <c r="C3543" s="18" t="str">
        <f aca="false">'SALES Raw'!H2628</f>
        <v>VMSPCL55 0</v>
      </c>
      <c r="D3543" s="19" t="n">
        <f aca="false">'SALES Raw'!C2628</f>
        <v>0</v>
      </c>
      <c r="E3543" s="19" t="n">
        <f aca="false">'SALES Raw'!D2628</f>
        <v>0</v>
      </c>
      <c r="F3543" s="19" t="n">
        <f aca="false">'SALES Raw'!E2628*$H$4</f>
        <v>2.52631578947368</v>
      </c>
      <c r="G3543" s="19" t="n">
        <f aca="false">'SALES Raw'!F2628*$H$4</f>
        <v>77.0021052631579</v>
      </c>
      <c r="H3543" s="18" t="str">
        <f aca="false">'SALES Raw'!A2628</f>
        <v>114 - IL online</v>
      </c>
    </row>
    <row r="3544" customFormat="false" ht="15" hidden="false" customHeight="false" outlineLevel="0" collapsed="false">
      <c r="A3544" s="18" t="str">
        <f aca="false">'SALES Raw'!G2630</f>
        <v/>
      </c>
      <c r="B3544" s="18" t="str">
        <f aca="false">'SALES Raw'!B2630</f>
        <v>VMSPCS48 0</v>
      </c>
      <c r="C3544" s="18" t="str">
        <f aca="false">'SALES Raw'!H2630</f>
        <v>VMSPCS48 0</v>
      </c>
      <c r="D3544" s="19" t="n">
        <f aca="false">'SALES Raw'!C2630</f>
        <v>0</v>
      </c>
      <c r="E3544" s="19" t="n">
        <f aca="false">'SALES Raw'!D2630</f>
        <v>0</v>
      </c>
      <c r="F3544" s="19" t="n">
        <f aca="false">'SALES Raw'!E2630*$H$4</f>
        <v>2.52631578947368</v>
      </c>
      <c r="G3544" s="19" t="n">
        <f aca="false">'SALES Raw'!F2630*$H$4</f>
        <v>0.0252631578947368</v>
      </c>
      <c r="H3544" s="18" t="str">
        <f aca="false">'SALES Raw'!A2630</f>
        <v>114 - IL online</v>
      </c>
    </row>
    <row r="3545" customFormat="false" ht="15" hidden="false" customHeight="false" outlineLevel="0" collapsed="false">
      <c r="A3545" s="18" t="n">
        <f aca="false">'SALES Raw'!G2639</f>
        <v>4417000</v>
      </c>
      <c r="B3545" s="18" t="str">
        <f aca="false">'SALES Raw'!B2639</f>
        <v>PD342 0</v>
      </c>
      <c r="C3545" s="18" t="str">
        <f aca="false">'SALES Raw'!H2639</f>
        <v>PD342-פומפיה להסרת עור קשה</v>
      </c>
      <c r="D3545" s="19" t="n">
        <f aca="false">'SALES Raw'!C2639</f>
        <v>3</v>
      </c>
      <c r="E3545" s="19" t="n">
        <f aca="false">'SALES Raw'!D2639</f>
        <v>109.62</v>
      </c>
      <c r="F3545" s="19" t="n">
        <f aca="false">'SALES Raw'!E2639*$H$4</f>
        <v>2.52631578947368</v>
      </c>
      <c r="G3545" s="19" t="n">
        <f aca="false">'SALES Raw'!F2639*$H$4</f>
        <v>109.629473684211</v>
      </c>
      <c r="H3545" s="18" t="str">
        <f aca="false">'SALES Raw'!A2639</f>
        <v>114 - IL online</v>
      </c>
    </row>
    <row r="3546" customFormat="false" ht="15" hidden="false" customHeight="false" outlineLevel="0" collapsed="false">
      <c r="A3546" s="18" t="n">
        <f aca="false">'SALES Raw'!G2648</f>
        <v>4413420</v>
      </c>
      <c r="B3546" s="18" t="str">
        <f aca="false">'SALES Raw'!B2648</f>
        <v>SC35L S</v>
      </c>
      <c r="C3546" s="18" t="str">
        <f aca="false">'SALES Raw'!H2648</f>
        <v>SC35L  S מגן קרסול שמאל</v>
      </c>
      <c r="D3546" s="19" t="n">
        <f aca="false">'SALES Raw'!C2648</f>
        <v>6</v>
      </c>
      <c r="E3546" s="19" t="n">
        <f aca="false">'SALES Raw'!D2648</f>
        <v>749.8</v>
      </c>
      <c r="F3546" s="19" t="n">
        <f aca="false">'SALES Raw'!E2648*$H$4</f>
        <v>2.52631578947368</v>
      </c>
      <c r="G3546" s="19" t="n">
        <f aca="false">'SALES Raw'!F2648*$H$4</f>
        <v>342.391578947368</v>
      </c>
      <c r="H3546" s="18" t="str">
        <f aca="false">'SALES Raw'!A2648</f>
        <v>114 - IL online</v>
      </c>
    </row>
    <row r="3547" customFormat="false" ht="15" hidden="false" customHeight="false" outlineLevel="0" collapsed="false">
      <c r="A3547" s="18" t="n">
        <f aca="false">'SALES Raw'!G2653</f>
        <v>4413427</v>
      </c>
      <c r="B3547" s="18" t="str">
        <f aca="false">'SALES Raw'!B2653</f>
        <v>SC35R XL</v>
      </c>
      <c r="C3547" s="18" t="str">
        <f aca="false">'SALES Raw'!H2653</f>
        <v>SC35R  XLמגן קרסול ימין</v>
      </c>
      <c r="D3547" s="19" t="n">
        <f aca="false">'SALES Raw'!C2653</f>
        <v>2</v>
      </c>
      <c r="E3547" s="19" t="n">
        <f aca="false">'SALES Raw'!D2653</f>
        <v>279.5</v>
      </c>
      <c r="F3547" s="19" t="n">
        <f aca="false">'SALES Raw'!E2653*$H$4</f>
        <v>2.52631578947368</v>
      </c>
      <c r="G3547" s="19" t="n">
        <f aca="false">'SALES Raw'!F2653*$H$4</f>
        <v>406.572631578947</v>
      </c>
      <c r="H3547" s="18" t="str">
        <f aca="false">'SALES Raw'!A2653</f>
        <v>114 - IL online</v>
      </c>
    </row>
    <row r="3548" customFormat="false" ht="15" hidden="false" customHeight="false" outlineLevel="0" collapsed="false">
      <c r="A3548" s="18" t="n">
        <f aca="false">'SALES Raw'!G2699</f>
        <v>4408093</v>
      </c>
      <c r="B3548" s="18" t="str">
        <f aca="false">'SALES Raw'!B2699</f>
        <v>T11C XXL</v>
      </c>
      <c r="C3548" s="18" t="str">
        <f aca="false">'SALES Raw'!H2699</f>
        <v>T11C XXL חגורת גב פוג'יאמה</v>
      </c>
      <c r="D3548" s="19" t="n">
        <f aca="false">'SALES Raw'!C2699</f>
        <v>5</v>
      </c>
      <c r="E3548" s="19" t="n">
        <f aca="false">'SALES Raw'!D2699</f>
        <v>855.5</v>
      </c>
      <c r="F3548" s="19" t="n">
        <f aca="false">'SALES Raw'!E2699*$H$4</f>
        <v>2.52631578947368</v>
      </c>
      <c r="G3548" s="19" t="n">
        <f aca="false">'SALES Raw'!F2699*$H$4</f>
        <v>533.873684210526</v>
      </c>
      <c r="H3548" s="18" t="str">
        <f aca="false">'SALES Raw'!A2699</f>
        <v>114 - IL online</v>
      </c>
    </row>
    <row r="3549" customFormat="false" ht="15" hidden="false" customHeight="false" outlineLevel="0" collapsed="false">
      <c r="A3549" s="18" t="n">
        <f aca="false">'SALES Raw'!G2704</f>
        <v>4408096</v>
      </c>
      <c r="B3549" s="18" t="str">
        <f aca="false">'SALES Raw'!B2704</f>
        <v>T20C-S-M</v>
      </c>
      <c r="C3549" s="18" t="str">
        <f aca="false">'SALES Raw'!H2704</f>
        <v>T20C S-M חבק יד עם צמדןחום</v>
      </c>
      <c r="D3549" s="19" t="n">
        <f aca="false">'SALES Raw'!C2704</f>
        <v>3</v>
      </c>
      <c r="E3549" s="19" t="n">
        <f aca="false">'SALES Raw'!D2704</f>
        <v>180.1</v>
      </c>
      <c r="F3549" s="19" t="n">
        <f aca="false">'SALES Raw'!E2704*$H$4</f>
        <v>2.52631578947368</v>
      </c>
      <c r="G3549" s="19" t="n">
        <f aca="false">'SALES Raw'!F2704*$H$4</f>
        <v>162.492631578947</v>
      </c>
      <c r="H3549" s="18" t="str">
        <f aca="false">'SALES Raw'!A2704</f>
        <v>114 - IL online</v>
      </c>
    </row>
    <row r="3550" customFormat="false" ht="15" hidden="false" customHeight="false" outlineLevel="0" collapsed="false">
      <c r="A3550" s="18" t="str">
        <f aca="false">'SALES Raw'!G2708</f>
        <v/>
      </c>
      <c r="B3550" s="18" t="str">
        <f aca="false">'SALES Raw'!B2708</f>
        <v>T28A XS</v>
      </c>
      <c r="C3550" s="18" t="str">
        <f aca="false">'SALES Raw'!H2708</f>
        <v>T28A XS</v>
      </c>
      <c r="D3550" s="19" t="n">
        <f aca="false">'SALES Raw'!C2708</f>
        <v>3</v>
      </c>
      <c r="E3550" s="19" t="n">
        <f aca="false">'SALES Raw'!D2708</f>
        <v>381.09</v>
      </c>
      <c r="F3550" s="19" t="n">
        <f aca="false">'SALES Raw'!E2708*$H$4</f>
        <v>2.52631578947368</v>
      </c>
      <c r="G3550" s="19" t="n">
        <f aca="false">'SALES Raw'!F2708*$H$4</f>
        <v>304.888421052632</v>
      </c>
      <c r="H3550" s="18" t="str">
        <f aca="false">'SALES Raw'!A2708</f>
        <v>114 - IL online</v>
      </c>
    </row>
    <row r="3551" customFormat="false" ht="15" hidden="false" customHeight="false" outlineLevel="0" collapsed="false">
      <c r="A3551" s="18" t="str">
        <f aca="false">'SALES Raw'!G2713</f>
        <v/>
      </c>
      <c r="B3551" s="18" t="str">
        <f aca="false">'SALES Raw'!B2713</f>
        <v>T28AC XXL</v>
      </c>
      <c r="C3551" s="18" t="str">
        <f aca="false">'SALES Raw'!H2713</f>
        <v>T28AC XXL</v>
      </c>
      <c r="D3551" s="19" t="n">
        <f aca="false">'SALES Raw'!C2713</f>
        <v>2</v>
      </c>
      <c r="E3551" s="19" t="n">
        <f aca="false">'SALES Raw'!D2713</f>
        <v>228.65</v>
      </c>
      <c r="F3551" s="19" t="n">
        <f aca="false">'SALES Raw'!E2713*$H$4</f>
        <v>2.52631578947368</v>
      </c>
      <c r="G3551" s="19" t="n">
        <f aca="false">'SALES Raw'!F2713*$H$4</f>
        <v>288.833684210526</v>
      </c>
      <c r="H3551" s="18" t="str">
        <f aca="false">'SALES Raw'!A2713</f>
        <v>114 - IL online</v>
      </c>
    </row>
    <row r="3552" customFormat="false" ht="15" hidden="false" customHeight="false" outlineLevel="0" collapsed="false">
      <c r="A3552" s="18" t="str">
        <f aca="false">'SALES Raw'!G2735</f>
        <v/>
      </c>
      <c r="B3552" s="18" t="str">
        <f aca="false">'SALES Raw'!B2735</f>
        <v>T402 XXL</v>
      </c>
      <c r="C3552" s="18" t="str">
        <f aca="false">'SALES Raw'!H2735</f>
        <v>T402 XXL</v>
      </c>
      <c r="D3552" s="19" t="n">
        <f aca="false">'SALES Raw'!C2735</f>
        <v>6</v>
      </c>
      <c r="E3552" s="19" t="n">
        <f aca="false">'SALES Raw'!D2735</f>
        <v>1000.93</v>
      </c>
      <c r="F3552" s="19" t="n">
        <f aca="false">'SALES Raw'!E2735*$H$4</f>
        <v>2.52631578947368</v>
      </c>
      <c r="G3552" s="19" t="n">
        <f aca="false">'SALES Raw'!F2735*$H$4</f>
        <v>410.64</v>
      </c>
      <c r="H3552" s="18" t="str">
        <f aca="false">'SALES Raw'!A2735</f>
        <v>114 - IL online</v>
      </c>
    </row>
    <row r="3553" customFormat="false" ht="15" hidden="false" customHeight="false" outlineLevel="0" collapsed="false">
      <c r="A3553" s="18" t="str">
        <f aca="false">'SALES Raw'!G2745</f>
        <v/>
      </c>
      <c r="B3553" s="18" t="str">
        <f aca="false">'SALES Raw'!B2745</f>
        <v>T43V XL</v>
      </c>
      <c r="C3553" s="18" t="str">
        <f aca="false">'SALES Raw'!H2745</f>
        <v>T43V XL</v>
      </c>
      <c r="D3553" s="19" t="n">
        <f aca="false">'SALES Raw'!C2745</f>
        <v>0</v>
      </c>
      <c r="E3553" s="19" t="n">
        <f aca="false">'SALES Raw'!D2745</f>
        <v>0</v>
      </c>
      <c r="F3553" s="19" t="n">
        <f aca="false">'SALES Raw'!E2745*$H$4</f>
        <v>2.52631578947368</v>
      </c>
      <c r="G3553" s="19" t="n">
        <f aca="false">'SALES Raw'!F2745*$H$4</f>
        <v>1748.95578947368</v>
      </c>
      <c r="H3553" s="18" t="str">
        <f aca="false">'SALES Raw'!A2745</f>
        <v>114 - IL online</v>
      </c>
    </row>
    <row r="3554" customFormat="false" ht="15" hidden="false" customHeight="false" outlineLevel="0" collapsed="false">
      <c r="A3554" s="18" t="n">
        <f aca="false">'SALES Raw'!G2748</f>
        <v>4413183</v>
      </c>
      <c r="B3554" s="18" t="str">
        <f aca="false">'SALES Raw'!B2748</f>
        <v>T45 M</v>
      </c>
      <c r="C3554" s="18" t="str">
        <f aca="false">'SALES Raw'!H2748</f>
        <v>T 45 M מגן ברך רגיל</v>
      </c>
      <c r="D3554" s="19" t="n">
        <f aca="false">'SALES Raw'!C2748</f>
        <v>2</v>
      </c>
      <c r="E3554" s="19" t="n">
        <f aca="false">'SALES Raw'!D2748</f>
        <v>381.18</v>
      </c>
      <c r="F3554" s="19" t="n">
        <f aca="false">'SALES Raw'!E2748*$H$4</f>
        <v>2.52631578947368</v>
      </c>
      <c r="G3554" s="19" t="n">
        <f aca="false">'SALES Raw'!F2748*$H$4</f>
        <v>481.490526315789</v>
      </c>
      <c r="H3554" s="18" t="str">
        <f aca="false">'SALES Raw'!A2748</f>
        <v>114 - IL online</v>
      </c>
    </row>
    <row r="3555" customFormat="false" ht="15" hidden="false" customHeight="false" outlineLevel="0" collapsed="false">
      <c r="A3555" s="18" t="n">
        <f aca="false">'SALES Raw'!G2751</f>
        <v>4413286</v>
      </c>
      <c r="B3555" s="18" t="str">
        <f aca="false">'SALES Raw'!B2751</f>
        <v>T45 XXL</v>
      </c>
      <c r="C3555" s="18" t="str">
        <f aca="false">'SALES Raw'!H2751</f>
        <v>T45 XXL מגן ברך רגיל</v>
      </c>
      <c r="D3555" s="19" t="n">
        <f aca="false">'SALES Raw'!C2751</f>
        <v>2</v>
      </c>
      <c r="E3555" s="19" t="n">
        <f aca="false">'SALES Raw'!D2751</f>
        <v>381.18</v>
      </c>
      <c r="F3555" s="19" t="n">
        <f aca="false">'SALES Raw'!E2751*$H$4</f>
        <v>2.52631578947368</v>
      </c>
      <c r="G3555" s="19" t="n">
        <f aca="false">'SALES Raw'!F2751*$H$4</f>
        <v>457.427368421053</v>
      </c>
      <c r="H3555" s="18" t="str">
        <f aca="false">'SALES Raw'!A2751</f>
        <v>114 - IL online</v>
      </c>
    </row>
    <row r="3556" customFormat="false" ht="15" hidden="false" customHeight="false" outlineLevel="0" collapsed="false">
      <c r="A3556" s="18" t="str">
        <f aca="false">'SALES Raw'!G2752</f>
        <v/>
      </c>
      <c r="B3556" s="18" t="str">
        <f aca="false">'SALES Raw'!B2752</f>
        <v>T45X L</v>
      </c>
      <c r="C3556" s="18" t="str">
        <f aca="false">'SALES Raw'!H2752</f>
        <v>T45X L</v>
      </c>
      <c r="D3556" s="19" t="n">
        <f aca="false">'SALES Raw'!C2752</f>
        <v>5</v>
      </c>
      <c r="E3556" s="19" t="n">
        <f aca="false">'SALES Raw'!D2752</f>
        <v>964.44</v>
      </c>
      <c r="F3556" s="19" t="n">
        <f aca="false">'SALES Raw'!E2752*$H$4</f>
        <v>2.52631578947368</v>
      </c>
      <c r="G3556" s="19" t="n">
        <f aca="false">'SALES Raw'!F2752*$H$4</f>
        <v>514.370526315789</v>
      </c>
      <c r="H3556" s="18" t="str">
        <f aca="false">'SALES Raw'!A2752</f>
        <v>114 - IL online</v>
      </c>
    </row>
    <row r="3557" customFormat="false" ht="15" hidden="false" customHeight="false" outlineLevel="0" collapsed="false">
      <c r="A3557" s="18" t="n">
        <f aca="false">'SALES Raw'!G2754</f>
        <v>4413224</v>
      </c>
      <c r="B3557" s="18" t="str">
        <f aca="false">'SALES Raw'!B2754</f>
        <v>T45X XL</v>
      </c>
      <c r="C3557" s="18" t="str">
        <f aca="false">'SALES Raw'!H2754</f>
        <v>T45X XL מגן ברך רגיל</v>
      </c>
      <c r="D3557" s="19" t="n">
        <f aca="false">'SALES Raw'!C2754</f>
        <v>3</v>
      </c>
      <c r="E3557" s="19" t="n">
        <f aca="false">'SALES Raw'!D2754</f>
        <v>610.81</v>
      </c>
      <c r="F3557" s="19" t="n">
        <f aca="false">'SALES Raw'!E2754*$H$4</f>
        <v>2.52631578947368</v>
      </c>
      <c r="G3557" s="19" t="n">
        <f aca="false">'SALES Raw'!F2754*$H$4</f>
        <v>541.44</v>
      </c>
      <c r="H3557" s="18" t="str">
        <f aca="false">'SALES Raw'!A2754</f>
        <v>114 - IL online</v>
      </c>
    </row>
    <row r="3558" customFormat="false" ht="15" hidden="false" customHeight="false" outlineLevel="0" collapsed="false">
      <c r="A3558" s="18" t="n">
        <f aca="false">'SALES Raw'!G2771</f>
        <v>4408135</v>
      </c>
      <c r="B3558" s="18" t="str">
        <f aca="false">'SALES Raw'!B2771</f>
        <v>077A-L-XL</v>
      </c>
      <c r="C3558" s="18" t="str">
        <f aca="false">'SALES Raw'!H2771</f>
        <v>077A L-XLחגורת גב</v>
      </c>
      <c r="D3558" s="19" t="n">
        <f aca="false">'SALES Raw'!C2771</f>
        <v>2</v>
      </c>
      <c r="E3558" s="19" t="n">
        <f aca="false">'SALES Raw'!D2771</f>
        <v>564.24</v>
      </c>
      <c r="F3558" s="19" t="n">
        <f aca="false">'SALES Raw'!E2771*$H$4</f>
        <v>2.52631578947368</v>
      </c>
      <c r="G3558" s="19" t="n">
        <f aca="false">'SALES Raw'!F2771*$H$4</f>
        <v>712.724210526316</v>
      </c>
      <c r="H3558" s="18" t="str">
        <f aca="false">'SALES Raw'!A2771</f>
        <v>115-SuperPharm Online</v>
      </c>
    </row>
    <row r="3559" customFormat="false" ht="15" hidden="false" customHeight="false" outlineLevel="0" collapsed="false">
      <c r="A3559" s="18" t="n">
        <f aca="false">'SALES Raw'!G2801</f>
        <v>4413496</v>
      </c>
      <c r="B3559" s="18" t="str">
        <f aca="false">'SALES Raw'!B2801</f>
        <v>45B XL</v>
      </c>
      <c r="C3559" s="18" t="str">
        <f aca="false">'SALES Raw'!H2801</f>
        <v>45B XL מגן ברך שחור</v>
      </c>
      <c r="D3559" s="19" t="n">
        <f aca="false">'SALES Raw'!C2801</f>
        <v>8</v>
      </c>
      <c r="E3559" s="19" t="n">
        <f aca="false">'SALES Raw'!D2801</f>
        <v>443.4</v>
      </c>
      <c r="F3559" s="19" t="n">
        <f aca="false">'SALES Raw'!E2801*$H$4</f>
        <v>2.52631578947368</v>
      </c>
      <c r="G3559" s="19" t="n">
        <f aca="false">'SALES Raw'!F2801*$H$4</f>
        <v>141.094736842105</v>
      </c>
      <c r="H3559" s="18" t="str">
        <f aca="false">'SALES Raw'!A2801</f>
        <v>115-SuperPharm Online</v>
      </c>
    </row>
    <row r="3560" customFormat="false" ht="15" hidden="false" customHeight="false" outlineLevel="0" collapsed="false">
      <c r="A3560" s="18" t="n">
        <f aca="false">'SALES Raw'!G2802</f>
        <v>4413499</v>
      </c>
      <c r="B3560" s="18" t="str">
        <f aca="false">'SALES Raw'!B2802</f>
        <v>45B XXL</v>
      </c>
      <c r="C3560" s="18" t="str">
        <f aca="false">'SALES Raw'!H2802</f>
        <v>45B XXLמגן ברך שחור</v>
      </c>
      <c r="D3560" s="19" t="n">
        <f aca="false">'SALES Raw'!C2802</f>
        <v>8</v>
      </c>
      <c r="E3560" s="19" t="n">
        <f aca="false">'SALES Raw'!D2802</f>
        <v>443.45</v>
      </c>
      <c r="F3560" s="19" t="n">
        <f aca="false">'SALES Raw'!E2802*$H$4</f>
        <v>2.52631578947368</v>
      </c>
      <c r="G3560" s="19" t="n">
        <f aca="false">'SALES Raw'!F2802*$H$4</f>
        <v>141.094736842105</v>
      </c>
      <c r="H3560" s="18" t="str">
        <f aca="false">'SALES Raw'!A2802</f>
        <v>115-SuperPharm Online</v>
      </c>
    </row>
    <row r="3561" customFormat="false" ht="15" hidden="false" customHeight="false" outlineLevel="0" collapsed="false">
      <c r="A3561" s="18" t="n">
        <f aca="false">'SALES Raw'!G2814</f>
        <v>4413500</v>
      </c>
      <c r="B3561" s="18" t="str">
        <f aca="false">'SALES Raw'!B2814</f>
        <v>95B L</v>
      </c>
      <c r="C3561" s="18" t="str">
        <f aca="false">'SALES Raw'!H2814</f>
        <v>95B L מגן מרפק שחור</v>
      </c>
      <c r="D3561" s="19" t="n">
        <f aca="false">'SALES Raw'!C2814</f>
        <v>0</v>
      </c>
      <c r="E3561" s="19" t="n">
        <f aca="false">'SALES Raw'!D2814</f>
        <v>0</v>
      </c>
      <c r="F3561" s="19" t="n">
        <f aca="false">'SALES Raw'!E2814*$H$4</f>
        <v>2.52631578947368</v>
      </c>
      <c r="G3561" s="19" t="n">
        <f aca="false">'SALES Raw'!F2814*$H$4</f>
        <v>141.094736842105</v>
      </c>
      <c r="H3561" s="18" t="str">
        <f aca="false">'SALES Raw'!A2814</f>
        <v>115-SuperPharm Online</v>
      </c>
    </row>
    <row r="3562" customFormat="false" ht="15" hidden="false" customHeight="false" outlineLevel="0" collapsed="false">
      <c r="A3562" s="18" t="n">
        <f aca="false">'SALES Raw'!G2815</f>
        <v>4413501</v>
      </c>
      <c r="B3562" s="18" t="str">
        <f aca="false">'SALES Raw'!B2815</f>
        <v>95B M</v>
      </c>
      <c r="C3562" s="18" t="str">
        <f aca="false">'SALES Raw'!H2815</f>
        <v>95B M מגן מרפק שחור</v>
      </c>
      <c r="D3562" s="19" t="n">
        <f aca="false">'SALES Raw'!C2815</f>
        <v>7</v>
      </c>
      <c r="E3562" s="19" t="n">
        <f aca="false">'SALES Raw'!D2815</f>
        <v>390.95</v>
      </c>
      <c r="F3562" s="19" t="n">
        <f aca="false">'SALES Raw'!E2815*$H$4</f>
        <v>2.52631578947368</v>
      </c>
      <c r="G3562" s="19" t="n">
        <f aca="false">'SALES Raw'!F2815*$H$4</f>
        <v>141.094736842105</v>
      </c>
      <c r="H3562" s="18" t="str">
        <f aca="false">'SALES Raw'!A2815</f>
        <v>115-SuperPharm Online</v>
      </c>
    </row>
    <row r="3563" customFormat="false" ht="15" hidden="false" customHeight="false" outlineLevel="0" collapsed="false">
      <c r="A3563" s="18" t="str">
        <f aca="false">'SALES Raw'!G2830</f>
        <v/>
      </c>
      <c r="B3563" s="18" t="str">
        <f aca="false">'SALES Raw'!B2830</f>
        <v>M92</v>
      </c>
      <c r="C3563" s="18" t="str">
        <f aca="false">'SALES Raw'!H2830</f>
        <v>M92</v>
      </c>
      <c r="D3563" s="19" t="n">
        <f aca="false">'SALES Raw'!C2830</f>
        <v>0</v>
      </c>
      <c r="E3563" s="19" t="n">
        <f aca="false">'SALES Raw'!D2830</f>
        <v>0</v>
      </c>
      <c r="F3563" s="19" t="n">
        <f aca="false">'SALES Raw'!E2830*$H$4</f>
        <v>2.52631578947368</v>
      </c>
      <c r="G3563" s="19" t="n">
        <f aca="false">'SALES Raw'!F2830*$H$4</f>
        <v>0.0126315789473684</v>
      </c>
      <c r="H3563" s="18" t="str">
        <f aca="false">'SALES Raw'!A2830</f>
        <v>115-SuperPharm Online</v>
      </c>
    </row>
    <row r="3564" customFormat="false" ht="15" hidden="false" customHeight="false" outlineLevel="0" collapsed="false">
      <c r="A3564" s="18" t="str">
        <f aca="false">'SALES Raw'!G2834</f>
        <v/>
      </c>
      <c r="B3564" s="18" t="str">
        <f aca="false">'SALES Raw'!B2834</f>
        <v>T401 L</v>
      </c>
      <c r="C3564" s="18" t="str">
        <f aca="false">'SALES Raw'!H2834</f>
        <v>T401 L</v>
      </c>
      <c r="D3564" s="19" t="n">
        <f aca="false">'SALES Raw'!C2834</f>
        <v>3</v>
      </c>
      <c r="E3564" s="19" t="n">
        <f aca="false">'SALES Raw'!D2834</f>
        <v>897.21</v>
      </c>
      <c r="F3564" s="19" t="n">
        <f aca="false">'SALES Raw'!E2834*$H$4</f>
        <v>2.52631578947368</v>
      </c>
      <c r="G3564" s="19" t="n">
        <f aca="false">'SALES Raw'!F2834*$H$4</f>
        <v>755.545263157895</v>
      </c>
      <c r="H3564" s="18" t="str">
        <f aca="false">'SALES Raw'!A2834</f>
        <v>115-SuperPharm Online</v>
      </c>
    </row>
    <row r="3565" customFormat="false" ht="15" hidden="false" customHeight="false" outlineLevel="0" collapsed="false">
      <c r="A3565" s="18" t="n">
        <f aca="false">'SALES Raw'!G3116</f>
        <v>4422037</v>
      </c>
      <c r="B3565" s="18" t="str">
        <f aca="false">'SALES Raw'!B3116</f>
        <v>SH422 1</v>
      </c>
      <c r="C3565" s="18" t="str">
        <f aca="false">'SALES Raw'!H3116</f>
        <v>SH422 1 תומך ברך גנושילד</v>
      </c>
      <c r="D3565" s="19" t="n">
        <f aca="false">'SALES Raw'!C3116</f>
        <v>3</v>
      </c>
      <c r="E3565" s="19" t="n">
        <f aca="false">'SALES Raw'!D3116</f>
        <v>262.35</v>
      </c>
      <c r="F3565" s="19" t="n">
        <f aca="false">'SALES Raw'!E3116*$H$4</f>
        <v>2.52631578947368</v>
      </c>
      <c r="G3565" s="19" t="n">
        <f aca="false">'SALES Raw'!F3116*$H$4</f>
        <v>206.981052631579</v>
      </c>
      <c r="H3565" s="18" t="str">
        <f aca="false">'SALES Raw'!A3116</f>
        <v>203 - Ortho- Partner ag SWITZERLAND</v>
      </c>
    </row>
    <row r="3566" customFormat="false" ht="15" hidden="false" customHeight="false" outlineLevel="0" collapsed="false">
      <c r="A3566" s="18" t="n">
        <f aca="false">'SALES Raw'!G3795</f>
        <v>4419013</v>
      </c>
      <c r="B3566" s="18" t="str">
        <f aca="false">'SALES Raw'!B3795</f>
        <v>239B-L-XL</v>
      </c>
      <c r="C3566" s="18" t="str">
        <f aca="false">'SALES Raw'!H3795</f>
        <v>239B L-XL STRAP4U</v>
      </c>
      <c r="D3566" s="19" t="n">
        <f aca="false">'SALES Raw'!C3795</f>
        <v>0</v>
      </c>
      <c r="E3566" s="19" t="n">
        <f aca="false">'SALES Raw'!D3795</f>
        <v>0</v>
      </c>
      <c r="F3566" s="19" t="n">
        <f aca="false">'SALES Raw'!E3795*$H$4</f>
        <v>2.52631578947368</v>
      </c>
      <c r="G3566" s="19" t="n">
        <f aca="false">'SALES Raw'!F3795*$H$4</f>
        <v>132.088421052632</v>
      </c>
      <c r="H3566" s="18" t="str">
        <f aca="false">'SALES Raw'!A3795</f>
        <v>209 - Ortoprofil Prod ROMANIA</v>
      </c>
    </row>
    <row r="3567" customFormat="false" ht="15" hidden="false" customHeight="false" outlineLevel="0" collapsed="false">
      <c r="A3567" s="18" t="n">
        <f aca="false">'SALES Raw'!G3869</f>
        <v>4408016</v>
      </c>
      <c r="B3567" s="18" t="str">
        <f aca="false">'SALES Raw'!B3869</f>
        <v>07AU M</v>
      </c>
      <c r="C3567" s="18" t="str">
        <f aca="false">'SALES Raw'!H3869</f>
        <v>07AU M ח.גב """"איטלקית"""" אורירית</v>
      </c>
      <c r="D3567" s="19" t="n">
        <f aca="false">'SALES Raw'!C3869</f>
        <v>3</v>
      </c>
      <c r="E3567" s="19" t="n">
        <f aca="false">'SALES Raw'!D3869</f>
        <v>395.81</v>
      </c>
      <c r="F3567" s="19" t="n">
        <f aca="false">'SALES Raw'!E3869*$H$4</f>
        <v>2.52631578947368</v>
      </c>
      <c r="G3567" s="19" t="n">
        <f aca="false">'SALES Raw'!F3869*$H$4</f>
        <v>278.993684210526</v>
      </c>
      <c r="H3567" s="18" t="str">
        <f aca="false">'SALES Raw'!A3869</f>
        <v>210 - Oy. Ea. Ab. FINLAND</v>
      </c>
    </row>
    <row r="3568" customFormat="false" ht="15" hidden="false" customHeight="false" outlineLevel="0" collapsed="false">
      <c r="A3568" s="18" t="n">
        <f aca="false">'SALES Raw'!G3874</f>
        <v>4408028</v>
      </c>
      <c r="B3568" s="18" t="str">
        <f aca="false">'SALES Raw'!B3874</f>
        <v>10 M</v>
      </c>
      <c r="C3568" s="18" t="str">
        <f aca="false">'SALES Raw'!H3874</f>
        <v>10 M """"חגורת גב """"לומבו</v>
      </c>
      <c r="D3568" s="19" t="n">
        <f aca="false">'SALES Raw'!C3874</f>
        <v>2</v>
      </c>
      <c r="E3568" s="19" t="n">
        <f aca="false">'SALES Raw'!D3874</f>
        <v>155.78</v>
      </c>
      <c r="F3568" s="19" t="n">
        <f aca="false">'SALES Raw'!E3874*$H$4</f>
        <v>2.52631578947368</v>
      </c>
      <c r="G3568" s="19" t="n">
        <f aca="false">'SALES Raw'!F3874*$H$4</f>
        <v>164.703157894737</v>
      </c>
      <c r="H3568" s="18" t="str">
        <f aca="false">'SALES Raw'!A3874</f>
        <v>210 - Oy. Ea. Ab. FINLAND</v>
      </c>
    </row>
    <row r="3569" customFormat="false" ht="15" hidden="false" customHeight="false" outlineLevel="0" collapsed="false">
      <c r="A3569" s="18" t="n">
        <f aca="false">'SALES Raw'!G3878</f>
        <v>4408116</v>
      </c>
      <c r="B3569" s="18" t="str">
        <f aca="false">'SALES Raw'!B3878</f>
        <v>11EU XL</v>
      </c>
      <c r="C3569" s="18" t="str">
        <f aca="false">'SALES Raw'!H3878</f>
        <v>11EU XLח.בטן לאחר ניתוח</v>
      </c>
      <c r="D3569" s="19" t="n">
        <f aca="false">'SALES Raw'!C3878</f>
        <v>0</v>
      </c>
      <c r="E3569" s="19" t="n">
        <f aca="false">'SALES Raw'!D3878</f>
        <v>0</v>
      </c>
      <c r="F3569" s="19" t="n">
        <f aca="false">'SALES Raw'!E3878*$H$4</f>
        <v>2.52631578947368</v>
      </c>
      <c r="G3569" s="19" t="n">
        <f aca="false">'SALES Raw'!F3878*$H$4</f>
        <v>104.197894736842</v>
      </c>
      <c r="H3569" s="18" t="str">
        <f aca="false">'SALES Raw'!A3878</f>
        <v>210 - Oy. Ea. Ab. FINLAND</v>
      </c>
    </row>
    <row r="3570" customFormat="false" ht="15" hidden="false" customHeight="false" outlineLevel="0" collapsed="false">
      <c r="A3570" s="18" t="str">
        <f aca="false">'SALES Raw'!G3885</f>
        <v/>
      </c>
      <c r="B3570" s="18" t="str">
        <f aca="false">'SALES Raw'!B3885</f>
        <v>15W S</v>
      </c>
      <c r="C3570" s="18" t="str">
        <f aca="false">'SALES Raw'!H3885</f>
        <v>15W S</v>
      </c>
      <c r="D3570" s="19" t="n">
        <f aca="false">'SALES Raw'!C3885</f>
        <v>0</v>
      </c>
      <c r="E3570" s="19" t="n">
        <f aca="false">'SALES Raw'!D3885</f>
        <v>0</v>
      </c>
      <c r="F3570" s="19" t="n">
        <f aca="false">'SALES Raw'!E3885*$H$4</f>
        <v>2.52631578947368</v>
      </c>
      <c r="G3570" s="19" t="n">
        <f aca="false">'SALES Raw'!F3885*$H$4</f>
        <v>114.707368421053</v>
      </c>
      <c r="H3570" s="18" t="str">
        <f aca="false">'SALES Raw'!A3885</f>
        <v>210 - Oy. Ea. Ab. FINLAND</v>
      </c>
    </row>
    <row r="3571" customFormat="false" ht="15" hidden="false" customHeight="false" outlineLevel="0" collapsed="false">
      <c r="A3571" s="18" t="n">
        <f aca="false">'SALES Raw'!G3893</f>
        <v>4415000</v>
      </c>
      <c r="B3571" s="18" t="str">
        <f aca="false">'SALES Raw'!B3893</f>
        <v>26 L</v>
      </c>
      <c r="C3571" s="18" t="str">
        <f aca="false">'SALES Raw'!H3893</f>
        <v>26 L סד ליד דו צדדי לאחר שבר</v>
      </c>
      <c r="D3571" s="19" t="n">
        <f aca="false">'SALES Raw'!C3893</f>
        <v>0</v>
      </c>
      <c r="E3571" s="19" t="n">
        <f aca="false">'SALES Raw'!D3893</f>
        <v>0</v>
      </c>
      <c r="F3571" s="19" t="n">
        <f aca="false">'SALES Raw'!E3893*$H$4</f>
        <v>2.52631578947368</v>
      </c>
      <c r="G3571" s="19" t="n">
        <f aca="false">'SALES Raw'!F3893*$H$4</f>
        <v>103.364210526316</v>
      </c>
      <c r="H3571" s="18" t="str">
        <f aca="false">'SALES Raw'!A3893</f>
        <v>210 - Oy. Ea. Ab. FINLAND</v>
      </c>
    </row>
    <row r="3572" customFormat="false" ht="15" hidden="false" customHeight="false" outlineLevel="0" collapsed="false">
      <c r="A3572" s="18" t="n">
        <f aca="false">'SALES Raw'!G3899</f>
        <v>4415007</v>
      </c>
      <c r="B3572" s="18" t="str">
        <f aca="false">'SALES Raw'!B3899</f>
        <v>28 S</v>
      </c>
      <c r="C3572" s="18" t="str">
        <f aca="false">'SALES Raw'!H3899</f>
        <v>28 S סד לאגודל לאחר שבר</v>
      </c>
      <c r="D3572" s="19" t="n">
        <f aca="false">'SALES Raw'!C3899</f>
        <v>2</v>
      </c>
      <c r="E3572" s="19" t="n">
        <f aca="false">'SALES Raw'!D3899</f>
        <v>77.74</v>
      </c>
      <c r="F3572" s="19" t="n">
        <f aca="false">'SALES Raw'!E3899*$H$4</f>
        <v>2.52631578947368</v>
      </c>
      <c r="G3572" s="19" t="n">
        <f aca="false">'SALES Raw'!F3899*$H$4</f>
        <v>86.5515789473684</v>
      </c>
      <c r="H3572" s="18" t="str">
        <f aca="false">'SALES Raw'!A3899</f>
        <v>210 - Oy. Ea. Ab. FINLAND</v>
      </c>
    </row>
    <row r="3573" customFormat="false" ht="15" hidden="false" customHeight="false" outlineLevel="0" collapsed="false">
      <c r="A3573" s="18" t="str">
        <f aca="false">'SALES Raw'!G3918</f>
        <v/>
      </c>
      <c r="B3573" s="18" t="str">
        <f aca="false">'SALES Raw'!B3918</f>
        <v>332B XL</v>
      </c>
      <c r="C3573" s="18" t="str">
        <f aca="false">'SALES Raw'!H3918</f>
        <v>332B XL</v>
      </c>
      <c r="D3573" s="19" t="n">
        <f aca="false">'SALES Raw'!C3918</f>
        <v>0</v>
      </c>
      <c r="E3573" s="19" t="n">
        <f aca="false">'SALES Raw'!D3918</f>
        <v>0</v>
      </c>
      <c r="F3573" s="19" t="n">
        <f aca="false">'SALES Raw'!E3918*$H$4</f>
        <v>2.52631578947368</v>
      </c>
      <c r="G3573" s="19" t="n">
        <f aca="false">'SALES Raw'!F3918*$H$4</f>
        <v>155.886315789474</v>
      </c>
      <c r="H3573" s="18" t="str">
        <f aca="false">'SALES Raw'!A3918</f>
        <v>210 - Oy. Ea. Ab. FINLAND</v>
      </c>
    </row>
    <row r="3574" customFormat="false" ht="15" hidden="false" customHeight="false" outlineLevel="0" collapsed="false">
      <c r="A3574" s="18" t="n">
        <f aca="false">'SALES Raw'!G3967</f>
        <v>4413118</v>
      </c>
      <c r="B3574" s="18" t="str">
        <f aca="false">'SALES Raw'!B3967</f>
        <v>50 M</v>
      </c>
      <c r="C3574" s="18" t="str">
        <f aca="false">'SALES Raw'!H3967</f>
        <v>50 M מתלה אשכים לאחר ניתוח</v>
      </c>
      <c r="D3574" s="19" t="n">
        <f aca="false">'SALES Raw'!C3967</f>
        <v>10</v>
      </c>
      <c r="E3574" s="19" t="n">
        <f aca="false">'SALES Raw'!D3967</f>
        <v>476.88</v>
      </c>
      <c r="F3574" s="19" t="n">
        <f aca="false">'SALES Raw'!E3967*$H$4</f>
        <v>2.52631578947368</v>
      </c>
      <c r="G3574" s="19" t="n">
        <f aca="false">'SALES Raw'!F3967*$H$4</f>
        <v>100.837894736842</v>
      </c>
      <c r="H3574" s="18" t="str">
        <f aca="false">'SALES Raw'!A3967</f>
        <v>210 - Oy. Ea. Ab. FINLAND</v>
      </c>
    </row>
    <row r="3575" customFormat="false" ht="15" hidden="false" customHeight="false" outlineLevel="0" collapsed="false">
      <c r="A3575" s="18" t="str">
        <f aca="false">'SALES Raw'!G3968</f>
        <v/>
      </c>
      <c r="B3575" s="18" t="str">
        <f aca="false">'SALES Raw'!B3968</f>
        <v>50 S</v>
      </c>
      <c r="C3575" s="18" t="str">
        <f aca="false">'SALES Raw'!H3968</f>
        <v>50 S</v>
      </c>
      <c r="D3575" s="19" t="n">
        <f aca="false">'SALES Raw'!C3968</f>
        <v>0</v>
      </c>
      <c r="E3575" s="19" t="n">
        <f aca="false">'SALES Raw'!D3968</f>
        <v>0</v>
      </c>
      <c r="F3575" s="19" t="n">
        <f aca="false">'SALES Raw'!E3968*$H$4</f>
        <v>2.52631578947368</v>
      </c>
      <c r="G3575" s="19" t="n">
        <f aca="false">'SALES Raw'!F3968*$H$4</f>
        <v>100.837894736842</v>
      </c>
      <c r="H3575" s="18" t="str">
        <f aca="false">'SALES Raw'!A3968</f>
        <v>210 - Oy. Ea. Ab. FINLAND</v>
      </c>
    </row>
    <row r="3576" customFormat="false" ht="15" hidden="false" customHeight="false" outlineLevel="0" collapsed="false">
      <c r="A3576" s="18" t="str">
        <f aca="false">'SALES Raw'!G3970</f>
        <v/>
      </c>
      <c r="B3576" s="18" t="str">
        <f aca="false">'SALES Raw'!B3970</f>
        <v>50 XXL</v>
      </c>
      <c r="C3576" s="18" t="str">
        <f aca="false">'SALES Raw'!H3970</f>
        <v>50 XXL</v>
      </c>
      <c r="D3576" s="19" t="n">
        <f aca="false">'SALES Raw'!C3970</f>
        <v>0</v>
      </c>
      <c r="E3576" s="19" t="n">
        <f aca="false">'SALES Raw'!D3970</f>
        <v>0</v>
      </c>
      <c r="F3576" s="19" t="n">
        <f aca="false">'SALES Raw'!E3970*$H$4</f>
        <v>2.52631578947368</v>
      </c>
      <c r="G3576" s="19" t="n">
        <f aca="false">'SALES Raw'!F3970*$H$4</f>
        <v>100.837894736842</v>
      </c>
      <c r="H3576" s="18" t="str">
        <f aca="false">'SALES Raw'!A3970</f>
        <v>210 - Oy. Ea. Ab. FINLAND</v>
      </c>
    </row>
    <row r="3577" customFormat="false" ht="15" hidden="false" customHeight="false" outlineLevel="0" collapsed="false">
      <c r="A3577" s="18" t="n">
        <f aca="false">'SALES Raw'!G3971</f>
        <v>4408071</v>
      </c>
      <c r="B3577" s="18" t="str">
        <f aca="false">'SALES Raw'!B3971</f>
        <v>59D L</v>
      </c>
      <c r="C3577" s="18" t="str">
        <f aca="false">'SALES Raw'!H3971</f>
        <v>59D L חגורת שבר דו צדדי</v>
      </c>
      <c r="D3577" s="19" t="n">
        <f aca="false">'SALES Raw'!C3971</f>
        <v>6</v>
      </c>
      <c r="E3577" s="19" t="n">
        <f aca="false">'SALES Raw'!D3971</f>
        <v>604.45</v>
      </c>
      <c r="F3577" s="19" t="n">
        <f aca="false">'SALES Raw'!E3971*$H$4</f>
        <v>2.52631578947368</v>
      </c>
      <c r="G3577" s="19" t="n">
        <f aca="false">'SALES Raw'!F3971*$H$4</f>
        <v>213.018947368421</v>
      </c>
      <c r="H3577" s="18" t="str">
        <f aca="false">'SALES Raw'!A3971</f>
        <v>210 - Oy. Ea. Ab. FINLAND</v>
      </c>
    </row>
    <row r="3578" customFormat="false" ht="15" hidden="false" customHeight="false" outlineLevel="0" collapsed="false">
      <c r="A3578" s="18" t="n">
        <f aca="false">'SALES Raw'!G3973</f>
        <v>4408070</v>
      </c>
      <c r="B3578" s="18" t="str">
        <f aca="false">'SALES Raw'!B3973</f>
        <v>59D S</v>
      </c>
      <c r="C3578" s="18" t="str">
        <f aca="false">'SALES Raw'!H3973</f>
        <v>59D S חגורת שבר דו צדדי</v>
      </c>
      <c r="D3578" s="19" t="n">
        <f aca="false">'SALES Raw'!C3973</f>
        <v>0</v>
      </c>
      <c r="E3578" s="19" t="n">
        <f aca="false">'SALES Raw'!D3973</f>
        <v>0</v>
      </c>
      <c r="F3578" s="19" t="n">
        <f aca="false">'SALES Raw'!E3973*$H$4</f>
        <v>2.52631578947368</v>
      </c>
      <c r="G3578" s="19" t="n">
        <f aca="false">'SALES Raw'!F3973*$H$4</f>
        <v>213.018947368421</v>
      </c>
      <c r="H3578" s="18" t="str">
        <f aca="false">'SALES Raw'!A3973</f>
        <v>210 - Oy. Ea. Ab. FINLAND</v>
      </c>
    </row>
    <row r="3579" customFormat="false" ht="15" hidden="false" customHeight="false" outlineLevel="0" collapsed="false">
      <c r="A3579" s="18" t="str">
        <f aca="false">'SALES Raw'!G3984</f>
        <v/>
      </c>
      <c r="B3579" s="18" t="str">
        <f aca="false">'SALES Raw'!B3984</f>
        <v>63 S</v>
      </c>
      <c r="C3579" s="18" t="str">
        <f aca="false">'SALES Raw'!H3984</f>
        <v>63 S</v>
      </c>
      <c r="D3579" s="19" t="n">
        <f aca="false">'SALES Raw'!C3984</f>
        <v>2</v>
      </c>
      <c r="E3579" s="19" t="n">
        <f aca="false">'SALES Raw'!D3984</f>
        <v>56.61</v>
      </c>
      <c r="F3579" s="19" t="n">
        <f aca="false">'SALES Raw'!E3984*$H$4</f>
        <v>2.52631578947368</v>
      </c>
      <c r="G3579" s="19" t="n">
        <f aca="false">'SALES Raw'!F3984*$H$4</f>
        <v>63.0189473684211</v>
      </c>
      <c r="H3579" s="18" t="str">
        <f aca="false">'SALES Raw'!A3984</f>
        <v>210 - Oy. Ea. Ab. FINLAND</v>
      </c>
    </row>
    <row r="3580" customFormat="false" ht="15" hidden="false" customHeight="false" outlineLevel="0" collapsed="false">
      <c r="A3580" s="18" t="n">
        <f aca="false">'SALES Raw'!G3986</f>
        <v>4413133</v>
      </c>
      <c r="B3580" s="18" t="str">
        <f aca="false">'SALES Raw'!B3986</f>
        <v>76 M</v>
      </c>
      <c r="C3580" s="18" t="str">
        <f aca="false">'SALES Raw'!H3986</f>
        <v>76 Mמיישר כתף יציב,יישור רחב</v>
      </c>
      <c r="D3580" s="19" t="n">
        <f aca="false">'SALES Raw'!C3986</f>
        <v>3</v>
      </c>
      <c r="E3580" s="19" t="n">
        <f aca="false">'SALES Raw'!D3986</f>
        <v>309.97</v>
      </c>
      <c r="F3580" s="19" t="n">
        <f aca="false">'SALES Raw'!E3986*$H$4</f>
        <v>2.52631578947368</v>
      </c>
      <c r="G3580" s="19" t="n">
        <f aca="false">'SALES Raw'!F3986*$H$4</f>
        <v>218.488421052632</v>
      </c>
      <c r="H3580" s="18" t="str">
        <f aca="false">'SALES Raw'!A3986</f>
        <v>210 - Oy. Ea. Ab. FINLAND</v>
      </c>
    </row>
    <row r="3581" customFormat="false" ht="15" hidden="false" customHeight="false" outlineLevel="0" collapsed="false">
      <c r="A3581" s="18" t="n">
        <f aca="false">'SALES Raw'!G3987</f>
        <v>4413131</v>
      </c>
      <c r="B3581" s="18" t="str">
        <f aca="false">'SALES Raw'!B3987</f>
        <v>76 S</v>
      </c>
      <c r="C3581" s="18" t="str">
        <f aca="false">'SALES Raw'!H3987</f>
        <v>76 Sמיישר כתף יציב יישור ג.רחב</v>
      </c>
      <c r="D3581" s="19" t="n">
        <f aca="false">'SALES Raw'!C3987</f>
        <v>0</v>
      </c>
      <c r="E3581" s="19" t="n">
        <f aca="false">'SALES Raw'!D3987</f>
        <v>0</v>
      </c>
      <c r="F3581" s="19" t="n">
        <f aca="false">'SALES Raw'!E3987*$H$4</f>
        <v>2.52631578947368</v>
      </c>
      <c r="G3581" s="19" t="n">
        <f aca="false">'SALES Raw'!F3987*$H$4</f>
        <v>218.488421052632</v>
      </c>
      <c r="H3581" s="18" t="str">
        <f aca="false">'SALES Raw'!A3987</f>
        <v>210 - Oy. Ea. Ab. FINLAND</v>
      </c>
    </row>
    <row r="3582" customFormat="false" ht="15" hidden="false" customHeight="false" outlineLevel="0" collapsed="false">
      <c r="A3582" s="18" t="n">
        <f aca="false">'SALES Raw'!G3988</f>
        <v>4413134</v>
      </c>
      <c r="B3582" s="18" t="str">
        <f aca="false">'SALES Raw'!B3988</f>
        <v>76 XL</v>
      </c>
      <c r="C3582" s="18" t="str">
        <f aca="false">'SALES Raw'!H3988</f>
        <v>76 XLמיישר כתף יציב יישור רחב</v>
      </c>
      <c r="D3582" s="19" t="n">
        <f aca="false">'SALES Raw'!C3988</f>
        <v>0</v>
      </c>
      <c r="E3582" s="19" t="n">
        <f aca="false">'SALES Raw'!D3988</f>
        <v>0</v>
      </c>
      <c r="F3582" s="19" t="n">
        <f aca="false">'SALES Raw'!E3988*$H$4</f>
        <v>2.52631578947368</v>
      </c>
      <c r="G3582" s="19" t="n">
        <f aca="false">'SALES Raw'!F3988*$H$4</f>
        <v>218.488421052632</v>
      </c>
      <c r="H3582" s="18" t="str">
        <f aca="false">'SALES Raw'!A3988</f>
        <v>210 - Oy. Ea. Ab. FINLAND</v>
      </c>
    </row>
    <row r="3583" customFormat="false" ht="15" hidden="false" customHeight="false" outlineLevel="0" collapsed="false">
      <c r="A3583" s="18" t="n">
        <f aca="false">'SALES Raw'!G3999</f>
        <v>4413138</v>
      </c>
      <c r="B3583" s="18" t="str">
        <f aca="false">'SALES Raw'!B3999</f>
        <v>85 XL</v>
      </c>
      <c r="C3583" s="18" t="str">
        <f aca="false">'SALES Raw'!H3999</f>
        <v>85 XL (מתלה ליד )כיס</v>
      </c>
      <c r="D3583" s="19" t="n">
        <f aca="false">'SALES Raw'!C3999</f>
        <v>0</v>
      </c>
      <c r="E3583" s="19" t="n">
        <f aca="false">'SALES Raw'!D3999</f>
        <v>0</v>
      </c>
      <c r="F3583" s="19" t="n">
        <f aca="false">'SALES Raw'!E3999*$H$4</f>
        <v>2.52631578947368</v>
      </c>
      <c r="G3583" s="19" t="n">
        <f aca="false">'SALES Raw'!F3999*$H$4</f>
        <v>46.2189473684211</v>
      </c>
      <c r="H3583" s="18" t="str">
        <f aca="false">'SALES Raw'!A3999</f>
        <v>210 - Oy. Ea. Ab. FINLAND</v>
      </c>
    </row>
    <row r="3584" customFormat="false" ht="15" hidden="false" customHeight="false" outlineLevel="0" collapsed="false">
      <c r="A3584" s="18" t="n">
        <f aca="false">'SALES Raw'!G4016</f>
        <v>4422038</v>
      </c>
      <c r="B3584" s="18" t="str">
        <f aca="false">'SALES Raw'!B4016</f>
        <v>SH422 2</v>
      </c>
      <c r="C3584" s="18" t="str">
        <f aca="false">'SALES Raw'!H4016</f>
        <v>SH422 2 תומך ברך גנושילד</v>
      </c>
      <c r="D3584" s="19" t="n">
        <f aca="false">'SALES Raw'!C4016</f>
        <v>0</v>
      </c>
      <c r="E3584" s="19" t="n">
        <f aca="false">'SALES Raw'!D4016</f>
        <v>0</v>
      </c>
      <c r="F3584" s="19" t="n">
        <f aca="false">'SALES Raw'!E4016*$H$4</f>
        <v>2.52631578947368</v>
      </c>
      <c r="G3584" s="19" t="n">
        <f aca="false">'SALES Raw'!F4016*$H$4</f>
        <v>225.208421052632</v>
      </c>
      <c r="H3584" s="18" t="str">
        <f aca="false">'SALES Raw'!A4016</f>
        <v>210 - Oy. Ea. Ab. FINLAND</v>
      </c>
    </row>
    <row r="3585" customFormat="false" ht="15" hidden="false" customHeight="false" outlineLevel="0" collapsed="false">
      <c r="A3585" s="18" t="str">
        <f aca="false">'SALES Raw'!G4035</f>
        <v/>
      </c>
      <c r="B3585" s="18" t="str">
        <f aca="false">'SALES Raw'!B4035</f>
        <v>T03 S</v>
      </c>
      <c r="C3585" s="18" t="str">
        <f aca="false">'SALES Raw'!H4035</f>
        <v>T03 S</v>
      </c>
      <c r="D3585" s="19" t="n">
        <f aca="false">'SALES Raw'!C4035</f>
        <v>0</v>
      </c>
      <c r="E3585" s="19" t="n">
        <f aca="false">'SALES Raw'!D4035</f>
        <v>0</v>
      </c>
      <c r="F3585" s="19" t="n">
        <f aca="false">'SALES Raw'!E4035*$H$4</f>
        <v>2.52631578947368</v>
      </c>
      <c r="G3585" s="19" t="n">
        <f aca="false">'SALES Raw'!F4035*$H$4</f>
        <v>107.141052631579</v>
      </c>
      <c r="H3585" s="18" t="str">
        <f aca="false">'SALES Raw'!A4035</f>
        <v>210 - Oy. Ea. Ab. FINLAND</v>
      </c>
    </row>
    <row r="3586" customFormat="false" ht="15" hidden="false" customHeight="false" outlineLevel="0" collapsed="false">
      <c r="A3586" s="18" t="str">
        <f aca="false">'SALES Raw'!G4113</f>
        <v/>
      </c>
      <c r="B3586" s="18" t="str">
        <f aca="false">'SALES Raw'!B4113</f>
        <v>T33 L</v>
      </c>
      <c r="C3586" s="18" t="str">
        <f aca="false">'SALES Raw'!H4113</f>
        <v>T33 L</v>
      </c>
      <c r="D3586" s="19" t="n">
        <f aca="false">'SALES Raw'!C4113</f>
        <v>2</v>
      </c>
      <c r="E3586" s="19" t="n">
        <f aca="false">'SALES Raw'!D4113</f>
        <v>124.31</v>
      </c>
      <c r="F3586" s="19" t="n">
        <f aca="false">'SALES Raw'!E4113*$H$4</f>
        <v>2.52631578947368</v>
      </c>
      <c r="G3586" s="19" t="n">
        <f aca="false">'SALES Raw'!F4113*$H$4</f>
        <v>133.869473684211</v>
      </c>
      <c r="H3586" s="18" t="str">
        <f aca="false">'SALES Raw'!A4113</f>
        <v>213 - E.f.m.o. SPAIN</v>
      </c>
    </row>
    <row r="3587" customFormat="false" ht="15" hidden="false" customHeight="false" outlineLevel="0" collapsed="false">
      <c r="A3587" s="18" t="n">
        <f aca="false">'SALES Raw'!G4124</f>
        <v>4411027</v>
      </c>
      <c r="B3587" s="18" t="str">
        <f aca="false">'SALES Raw'!B4124</f>
        <v>213CTSL M</v>
      </c>
      <c r="C3587" s="18" t="str">
        <f aca="false">'SALES Raw'!H4124</f>
        <v>213CTSL M שמאל CTS כפפות</v>
      </c>
      <c r="D3587" s="19" t="n">
        <f aca="false">'SALES Raw'!C4124</f>
        <v>10</v>
      </c>
      <c r="E3587" s="19" t="n">
        <f aca="false">'SALES Raw'!D4124</f>
        <v>444.5</v>
      </c>
      <c r="F3587" s="19" t="n">
        <f aca="false">'SALES Raw'!E4124*$H$4</f>
        <v>2.52631578947368</v>
      </c>
      <c r="G3587" s="19" t="n">
        <f aca="false">'SALES Raw'!F4124*$H$4</f>
        <v>104.463157894737</v>
      </c>
      <c r="H3587" s="18" t="str">
        <f aca="false">'SALES Raw'!A4124</f>
        <v>214 - Alfred Gera&amp; Sons Ltd. MALTA</v>
      </c>
    </row>
    <row r="3588" customFormat="false" ht="15" hidden="false" customHeight="false" outlineLevel="0" collapsed="false">
      <c r="A3588" s="18" t="n">
        <f aca="false">'SALES Raw'!G4127</f>
        <v>4411030</v>
      </c>
      <c r="B3588" s="18" t="str">
        <f aca="false">'SALES Raw'!B4127</f>
        <v>213CTSR M</v>
      </c>
      <c r="C3588" s="18" t="str">
        <f aca="false">'SALES Raw'!H4127</f>
        <v>213CTSR M ימין CTS כפפות</v>
      </c>
      <c r="D3588" s="19" t="n">
        <f aca="false">'SALES Raw'!C4127</f>
        <v>10</v>
      </c>
      <c r="E3588" s="19" t="n">
        <f aca="false">'SALES Raw'!D4127</f>
        <v>444.5</v>
      </c>
      <c r="F3588" s="19" t="n">
        <f aca="false">'SALES Raw'!E4127*$H$4</f>
        <v>2.52631578947368</v>
      </c>
      <c r="G3588" s="19" t="n">
        <f aca="false">'SALES Raw'!F4127*$H$4</f>
        <v>104.463157894737</v>
      </c>
      <c r="H3588" s="18" t="str">
        <f aca="false">'SALES Raw'!A4127</f>
        <v>214 - Alfred Gera&amp; Sons Ltd. MALTA</v>
      </c>
    </row>
    <row r="3589" customFormat="false" ht="15" hidden="false" customHeight="false" outlineLevel="0" collapsed="false">
      <c r="A3589" s="18" t="str">
        <f aca="false">'SALES Raw'!G4199</f>
        <v/>
      </c>
      <c r="B3589" s="18" t="str">
        <f aca="false">'SALES Raw'!B4199</f>
        <v>305-35-36</v>
      </c>
      <c r="C3589" s="18" t="str">
        <f aca="false">'SALES Raw'!H4199</f>
        <v>305-35-36</v>
      </c>
      <c r="D3589" s="19" t="n">
        <f aca="false">'SALES Raw'!C4199</f>
        <v>0</v>
      </c>
      <c r="E3589" s="19" t="n">
        <f aca="false">'SALES Raw'!D4199</f>
        <v>0</v>
      </c>
      <c r="F3589" s="19" t="n">
        <f aca="false">'SALES Raw'!E4199*$H$4</f>
        <v>2.52631578947368</v>
      </c>
      <c r="G3589" s="19" t="n">
        <f aca="false">'SALES Raw'!F4199*$H$4</f>
        <v>85.6042105263158</v>
      </c>
      <c r="H3589" s="18" t="str">
        <f aca="false">'SALES Raw'!A4199</f>
        <v>216 - Max Konnaris CYPRUS</v>
      </c>
    </row>
    <row r="3590" customFormat="false" ht="15" hidden="false" customHeight="false" outlineLevel="0" collapsed="false">
      <c r="A3590" s="18" t="n">
        <f aca="false">'SALES Raw'!G4278</f>
        <v>4413094</v>
      </c>
      <c r="B3590" s="18" t="str">
        <f aca="false">'SALES Raw'!B4278</f>
        <v>45 S</v>
      </c>
      <c r="C3590" s="18" t="str">
        <f aca="false">'SALES Raw'!H4278</f>
        <v>45 S מגן ברך לבן</v>
      </c>
      <c r="D3590" s="19" t="n">
        <f aca="false">'SALES Raw'!C4278</f>
        <v>0</v>
      </c>
      <c r="E3590" s="19" t="n">
        <f aca="false">'SALES Raw'!D4278</f>
        <v>0</v>
      </c>
      <c r="F3590" s="19" t="n">
        <f aca="false">'SALES Raw'!E4278*$H$4</f>
        <v>2.52631578947368</v>
      </c>
      <c r="G3590" s="19" t="n">
        <f aca="false">'SALES Raw'!F4278*$H$4</f>
        <v>25.5031578947368</v>
      </c>
      <c r="H3590" s="18" t="str">
        <f aca="false">'SALES Raw'!A4278</f>
        <v>216 - Max Konnaris CYPRUS</v>
      </c>
    </row>
    <row r="3591" customFormat="false" ht="15" hidden="false" customHeight="false" outlineLevel="0" collapsed="false">
      <c r="A3591" s="18" t="n">
        <f aca="false">'SALES Raw'!G4289</f>
        <v>4413394</v>
      </c>
      <c r="B3591" s="18" t="str">
        <f aca="false">'SALES Raw'!B4289</f>
        <v>45EC S</v>
      </c>
      <c r="C3591" s="18" t="str">
        <f aca="false">'SALES Raw'!H4289</f>
        <v>45EC S 'מגן ברך ארוך בז</v>
      </c>
      <c r="D3591" s="19" t="n">
        <f aca="false">'SALES Raw'!C4289</f>
        <v>0</v>
      </c>
      <c r="E3591" s="19" t="n">
        <f aca="false">'SALES Raw'!D4289</f>
        <v>0</v>
      </c>
      <c r="F3591" s="19" t="n">
        <f aca="false">'SALES Raw'!E4289*$H$4</f>
        <v>2.52631578947368</v>
      </c>
      <c r="G3591" s="19" t="n">
        <f aca="false">'SALES Raw'!F4289*$H$4</f>
        <v>28.1052631578947</v>
      </c>
      <c r="H3591" s="18" t="str">
        <f aca="false">'SALES Raw'!A4289</f>
        <v>216 - Max Konnaris CYPRUS</v>
      </c>
    </row>
    <row r="3592" customFormat="false" ht="15" hidden="false" customHeight="false" outlineLevel="0" collapsed="false">
      <c r="A3592" s="18" t="n">
        <f aca="false">'SALES Raw'!G4291</f>
        <v>4408071</v>
      </c>
      <c r="B3592" s="18" t="str">
        <f aca="false">'SALES Raw'!B4291</f>
        <v>59D L</v>
      </c>
      <c r="C3592" s="18" t="str">
        <f aca="false">'SALES Raw'!H4291</f>
        <v>59D L חגורת שבר דו צדדי</v>
      </c>
      <c r="D3592" s="19" t="n">
        <f aca="false">'SALES Raw'!C4291</f>
        <v>0</v>
      </c>
      <c r="E3592" s="19" t="n">
        <f aca="false">'SALES Raw'!D4291</f>
        <v>0</v>
      </c>
      <c r="F3592" s="19" t="n">
        <f aca="false">'SALES Raw'!E4291*$H$4</f>
        <v>2.52631578947368</v>
      </c>
      <c r="G3592" s="19" t="n">
        <f aca="false">'SALES Raw'!F4291*$H$4</f>
        <v>196.698947368421</v>
      </c>
      <c r="H3592" s="18" t="str">
        <f aca="false">'SALES Raw'!A4291</f>
        <v>216 - Max Konnaris CYPRUS</v>
      </c>
    </row>
    <row r="3593" customFormat="false" ht="15" hidden="false" customHeight="false" outlineLevel="0" collapsed="false">
      <c r="A3593" s="18" t="n">
        <f aca="false">'SALES Raw'!G4293</f>
        <v>4408077</v>
      </c>
      <c r="B3593" s="18" t="str">
        <f aca="false">'SALES Raw'!B4293</f>
        <v>59L M</v>
      </c>
      <c r="C3593" s="18" t="str">
        <f aca="false">'SALES Raw'!H4293</f>
        <v>59L M חגורת שבר לצד שמאל</v>
      </c>
      <c r="D3593" s="19" t="n">
        <f aca="false">'SALES Raw'!C4293</f>
        <v>0</v>
      </c>
      <c r="E3593" s="19" t="n">
        <f aca="false">'SALES Raw'!D4293</f>
        <v>0</v>
      </c>
      <c r="F3593" s="19" t="n">
        <f aca="false">'SALES Raw'!E4293*$H$4</f>
        <v>2.52631578947368</v>
      </c>
      <c r="G3593" s="19" t="n">
        <f aca="false">'SALES Raw'!F4293*$H$4</f>
        <v>198.644210526316</v>
      </c>
      <c r="H3593" s="18" t="str">
        <f aca="false">'SALES Raw'!A4293</f>
        <v>216 - Max Konnaris CYPRUS</v>
      </c>
    </row>
    <row r="3594" customFormat="false" ht="15" hidden="false" customHeight="false" outlineLevel="0" collapsed="false">
      <c r="A3594" s="18" t="n">
        <f aca="false">'SALES Raw'!G4294</f>
        <v>4408078</v>
      </c>
      <c r="B3594" s="18" t="str">
        <f aca="false">'SALES Raw'!B4294</f>
        <v>59L XL</v>
      </c>
      <c r="C3594" s="18" t="str">
        <f aca="false">'SALES Raw'!H4294</f>
        <v>59L XLחגורת שבר לצד שמאל</v>
      </c>
      <c r="D3594" s="19" t="n">
        <f aca="false">'SALES Raw'!C4294</f>
        <v>1</v>
      </c>
      <c r="E3594" s="19" t="n">
        <f aca="false">'SALES Raw'!D4294</f>
        <v>81.3</v>
      </c>
      <c r="F3594" s="19" t="n">
        <f aca="false">'SALES Raw'!E4294*$H$4</f>
        <v>2.52631578947368</v>
      </c>
      <c r="G3594" s="19" t="n">
        <f aca="false">'SALES Raw'!F4294*$H$4</f>
        <v>198.644210526316</v>
      </c>
      <c r="H3594" s="18" t="str">
        <f aca="false">'SALES Raw'!A4294</f>
        <v>216 - Max Konnaris CYPRUS</v>
      </c>
    </row>
    <row r="3595" customFormat="false" ht="15" hidden="false" customHeight="false" outlineLevel="0" collapsed="false">
      <c r="A3595" s="18" t="n">
        <f aca="false">'SALES Raw'!G4296</f>
        <v>4408081</v>
      </c>
      <c r="B3595" s="18" t="str">
        <f aca="false">'SALES Raw'!B4296</f>
        <v>59R M</v>
      </c>
      <c r="C3595" s="18" t="str">
        <f aca="false">'SALES Raw'!H4296</f>
        <v>59R M חגורת שבר לצד ימין</v>
      </c>
      <c r="D3595" s="19" t="n">
        <f aca="false">'SALES Raw'!C4296</f>
        <v>1</v>
      </c>
      <c r="E3595" s="19" t="n">
        <f aca="false">'SALES Raw'!D4296</f>
        <v>81.3</v>
      </c>
      <c r="F3595" s="19" t="n">
        <f aca="false">'SALES Raw'!E4296*$H$4</f>
        <v>2.52631578947368</v>
      </c>
      <c r="G3595" s="19" t="n">
        <f aca="false">'SALES Raw'!F4296*$H$4</f>
        <v>198.644210526316</v>
      </c>
      <c r="H3595" s="18" t="str">
        <f aca="false">'SALES Raw'!A4296</f>
        <v>216 - Max Konnaris CYPRUS</v>
      </c>
    </row>
    <row r="3596" customFormat="false" ht="15" hidden="false" customHeight="false" outlineLevel="0" collapsed="false">
      <c r="A3596" s="18" t="n">
        <f aca="false">'SALES Raw'!G4359</f>
        <v>4413416</v>
      </c>
      <c r="B3596" s="18" t="str">
        <f aca="false">'SALES Raw'!B4359</f>
        <v>SC39 M</v>
      </c>
      <c r="C3596" s="18" t="str">
        <f aca="false">'SALES Raw'!H4359</f>
        <v>SC39  M מגן שוק</v>
      </c>
      <c r="D3596" s="19" t="n">
        <f aca="false">'SALES Raw'!C4359</f>
        <v>0</v>
      </c>
      <c r="E3596" s="19" t="n">
        <f aca="false">'SALES Raw'!D4359</f>
        <v>0</v>
      </c>
      <c r="F3596" s="19" t="n">
        <f aca="false">'SALES Raw'!E4359*$H$4</f>
        <v>2.52631578947368</v>
      </c>
      <c r="G3596" s="19" t="n">
        <f aca="false">'SALES Raw'!F4359*$H$4</f>
        <v>207.511578947368</v>
      </c>
      <c r="H3596" s="18" t="str">
        <f aca="false">'SALES Raw'!A4359</f>
        <v>216 - Max Konnaris CYPRUS</v>
      </c>
    </row>
    <row r="3597" customFormat="false" ht="15" hidden="false" customHeight="false" outlineLevel="0" collapsed="false">
      <c r="A3597" s="18" t="n">
        <f aca="false">'SALES Raw'!G4360</f>
        <v>4413415</v>
      </c>
      <c r="B3597" s="18" t="str">
        <f aca="false">'SALES Raw'!B4360</f>
        <v>SC39 S</v>
      </c>
      <c r="C3597" s="18" t="str">
        <f aca="false">'SALES Raw'!H4360</f>
        <v>SC39  S מגן שוק</v>
      </c>
      <c r="D3597" s="19" t="n">
        <f aca="false">'SALES Raw'!C4360</f>
        <v>0</v>
      </c>
      <c r="E3597" s="19" t="n">
        <f aca="false">'SALES Raw'!D4360</f>
        <v>0</v>
      </c>
      <c r="F3597" s="19" t="n">
        <f aca="false">'SALES Raw'!E4360*$H$4</f>
        <v>2.52631578947368</v>
      </c>
      <c r="G3597" s="19" t="n">
        <f aca="false">'SALES Raw'!F4360*$H$4</f>
        <v>207.511578947368</v>
      </c>
      <c r="H3597" s="18" t="str">
        <f aca="false">'SALES Raw'!A4360</f>
        <v>216 - Max Konnaris CYPRUS</v>
      </c>
    </row>
    <row r="3598" customFormat="false" ht="15" hidden="false" customHeight="false" outlineLevel="0" collapsed="false">
      <c r="A3598" s="18" t="n">
        <f aca="false">'SALES Raw'!G4361</f>
        <v>4413440</v>
      </c>
      <c r="B3598" s="18" t="str">
        <f aca="false">'SALES Raw'!B4361</f>
        <v>SC422 L</v>
      </c>
      <c r="C3598" s="18" t="str">
        <f aca="false">'SALES Raw'!H4361</f>
        <v>SC422  L מגן ברך</v>
      </c>
      <c r="D3598" s="19" t="n">
        <f aca="false">'SALES Raw'!C4361</f>
        <v>0</v>
      </c>
      <c r="E3598" s="19" t="n">
        <f aca="false">'SALES Raw'!D4361</f>
        <v>0</v>
      </c>
      <c r="F3598" s="19" t="n">
        <f aca="false">'SALES Raw'!E4361*$H$4</f>
        <v>2.52631578947368</v>
      </c>
      <c r="G3598" s="19" t="n">
        <f aca="false">'SALES Raw'!F4361*$H$4</f>
        <v>173.355789473684</v>
      </c>
      <c r="H3598" s="18" t="str">
        <f aca="false">'SALES Raw'!A4361</f>
        <v>216 - Max Konnaris CYPRUS</v>
      </c>
    </row>
    <row r="3599" customFormat="false" ht="15" hidden="false" customHeight="false" outlineLevel="0" collapsed="false">
      <c r="A3599" s="18" t="str">
        <f aca="false">'SALES Raw'!G4370</f>
        <v/>
      </c>
      <c r="B3599" s="18" t="str">
        <f aca="false">'SALES Raw'!B4370</f>
        <v>SH776 M</v>
      </c>
      <c r="C3599" s="18" t="str">
        <f aca="false">'SALES Raw'!H4370</f>
        <v>SH776 M</v>
      </c>
      <c r="D3599" s="19" t="n">
        <f aca="false">'SALES Raw'!C4370</f>
        <v>0</v>
      </c>
      <c r="E3599" s="19" t="n">
        <f aca="false">'SALES Raw'!D4370</f>
        <v>0</v>
      </c>
      <c r="F3599" s="19" t="n">
        <f aca="false">'SALES Raw'!E4370*$H$4</f>
        <v>2.52631578947368</v>
      </c>
      <c r="G3599" s="19" t="n">
        <f aca="false">'SALES Raw'!F4370*$H$4</f>
        <v>389.848421052632</v>
      </c>
      <c r="H3599" s="18" t="str">
        <f aca="false">'SALES Raw'!A4370</f>
        <v>216 - Max Konnaris CYPRUS</v>
      </c>
    </row>
    <row r="3600" customFormat="false" ht="15" hidden="false" customHeight="false" outlineLevel="0" collapsed="false">
      <c r="A3600" s="18" t="str">
        <f aca="false">'SALES Raw'!G4371</f>
        <v/>
      </c>
      <c r="B3600" s="18" t="str">
        <f aca="false">'SALES Raw'!B4371</f>
        <v>SH776 S</v>
      </c>
      <c r="C3600" s="18" t="str">
        <f aca="false">'SALES Raw'!H4371</f>
        <v>SH776 S</v>
      </c>
      <c r="D3600" s="19" t="n">
        <f aca="false">'SALES Raw'!C4371</f>
        <v>0</v>
      </c>
      <c r="E3600" s="19" t="n">
        <f aca="false">'SALES Raw'!D4371</f>
        <v>0</v>
      </c>
      <c r="F3600" s="19" t="n">
        <f aca="false">'SALES Raw'!E4371*$H$4</f>
        <v>2.52631578947368</v>
      </c>
      <c r="G3600" s="19" t="n">
        <f aca="false">'SALES Raw'!F4371*$H$4</f>
        <v>389.848421052632</v>
      </c>
      <c r="H3600" s="18" t="str">
        <f aca="false">'SALES Raw'!A4371</f>
        <v>216 - Max Konnaris CYPRUS</v>
      </c>
    </row>
    <row r="3601" customFormat="false" ht="15" hidden="false" customHeight="false" outlineLevel="0" collapsed="false">
      <c r="A3601" s="18" t="str">
        <f aca="false">'SALES Raw'!G4408</f>
        <v/>
      </c>
      <c r="B3601" s="18" t="str">
        <f aca="false">'SALES Raw'!B4408</f>
        <v>13B L</v>
      </c>
      <c r="C3601" s="18" t="str">
        <f aca="false">'SALES Raw'!H4408</f>
        <v>13B L</v>
      </c>
      <c r="D3601" s="19" t="n">
        <f aca="false">'SALES Raw'!C4408</f>
        <v>15</v>
      </c>
      <c r="E3601" s="19" t="n">
        <f aca="false">'SALES Raw'!D4408</f>
        <v>636.25</v>
      </c>
      <c r="F3601" s="19" t="n">
        <f aca="false">'SALES Raw'!E4408*$H$4</f>
        <v>2.52631578947368</v>
      </c>
      <c r="G3601" s="19" t="n">
        <f aca="false">'SALES Raw'!F4408*$H$4</f>
        <v>103.149473684211</v>
      </c>
      <c r="H3601" s="18" t="str">
        <f aca="false">'SALES Raw'!A4408</f>
        <v>301 - Amazon</v>
      </c>
    </row>
    <row r="3602" customFormat="false" ht="15" hidden="false" customHeight="false" outlineLevel="0" collapsed="false">
      <c r="A3602" s="18" t="n">
        <f aca="false">'SALES Raw'!G4417</f>
        <v>4416005</v>
      </c>
      <c r="B3602" s="18" t="str">
        <f aca="false">'SALES Raw'!B4417</f>
        <v>308 M</v>
      </c>
      <c r="C3602" s="18" t="str">
        <f aca="false">'SALES Raw'!H4417</f>
        <v>308 Mעקבים סיליק.כחול לדורבן</v>
      </c>
      <c r="D3602" s="19" t="n">
        <f aca="false">'SALES Raw'!C4417</f>
        <v>7</v>
      </c>
      <c r="E3602" s="19" t="n">
        <f aca="false">'SALES Raw'!D4417</f>
        <v>786.43</v>
      </c>
      <c r="F3602" s="19" t="n">
        <f aca="false">'SALES Raw'!E4417*$H$4</f>
        <v>2.52631578947368</v>
      </c>
      <c r="G3602" s="19" t="n">
        <f aca="false">'SALES Raw'!F4417*$H$4</f>
        <v>262.496842105263</v>
      </c>
      <c r="H3602" s="18" t="str">
        <f aca="false">'SALES Raw'!A4417</f>
        <v>301 - Amazon</v>
      </c>
    </row>
    <row r="3603" customFormat="false" ht="15" hidden="false" customHeight="false" outlineLevel="0" collapsed="false">
      <c r="A3603" s="18" t="str">
        <f aca="false">'SALES Raw'!G4434</f>
        <v/>
      </c>
      <c r="B3603" s="18" t="str">
        <f aca="false">'SALES Raw'!B4434</f>
        <v>EC-59D XL</v>
      </c>
      <c r="C3603" s="18" t="str">
        <f aca="false">'SALES Raw'!H4434</f>
        <v>EC-59D XL</v>
      </c>
      <c r="D3603" s="19" t="n">
        <f aca="false">'SALES Raw'!C4434</f>
        <v>34</v>
      </c>
      <c r="E3603" s="19" t="n">
        <f aca="false">'SALES Raw'!D4434</f>
        <v>6355.2</v>
      </c>
      <c r="F3603" s="19" t="n">
        <f aca="false">'SALES Raw'!E4434*$H$4</f>
        <v>2.52631578947368</v>
      </c>
      <c r="G3603" s="19" t="n">
        <f aca="false">'SALES Raw'!F4434*$H$4</f>
        <v>451.553684210526</v>
      </c>
      <c r="H3603" s="18" t="str">
        <f aca="false">'SALES Raw'!A4434</f>
        <v>301 - Amazon</v>
      </c>
    </row>
    <row r="3604" customFormat="false" ht="15" hidden="false" customHeight="false" outlineLevel="0" collapsed="false">
      <c r="A3604" s="18" t="n">
        <f aca="false">'CEMIUP0.9 Raw'!B28</f>
        <v>4403021</v>
      </c>
      <c r="B3604" s="18" t="str">
        <f aca="false">'CEMIUP0.9 Raw'!C28</f>
        <v>394G גרב.כסף לסכרתים אפור39-42</v>
      </c>
      <c r="C3604" s="18" t="str">
        <f aca="false">'CEMIUP0.9 Raw'!C28</f>
        <v>394G גרב.כסף לסכרתים אפור39-42</v>
      </c>
      <c r="D3604" s="19" t="n">
        <f aca="false">'CEMIUP0.9 Raw'!D28</f>
        <v>44</v>
      </c>
      <c r="E3604" s="19" t="n">
        <f aca="false">'CEMIUP0.9 Raw'!E28</f>
        <v>1035.525</v>
      </c>
      <c r="F3604" s="19" t="n">
        <f aca="false">'CEMIUP0.9 Raw'!F28</f>
        <v>2.52631578947368</v>
      </c>
      <c r="G3604" s="19" t="n">
        <f aca="false">'CEMIUP0.9 Raw'!G28</f>
        <v>70.9642105263158</v>
      </c>
      <c r="H3604" s="18" t="str">
        <f aca="false">'CEMIUP0.9 Raw'!A28</f>
        <v>107 - Pharmacies</v>
      </c>
    </row>
    <row r="3605" customFormat="false" ht="15" hidden="false" customHeight="false" outlineLevel="0" collapsed="false">
      <c r="A3605" s="18" t="n">
        <f aca="false">'CEMIUP0.9 Raw'!B36</f>
        <v>4403034</v>
      </c>
      <c r="B3605" s="18" t="str">
        <f aca="false">'CEMIUP0.9 Raw'!C36</f>
        <v>ST3555 S-Mגרב לילה לטיפ.בדורבן</v>
      </c>
      <c r="C3605" s="18" t="str">
        <f aca="false">'CEMIUP0.9 Raw'!C36</f>
        <v>ST3555 S-Mגרב לילה לטיפ.בדורבן</v>
      </c>
      <c r="D3605" s="19" t="n">
        <f aca="false">'CEMIUP0.9 Raw'!D36</f>
        <v>6</v>
      </c>
      <c r="E3605" s="19" t="n">
        <f aca="false">'CEMIUP0.9 Raw'!E36</f>
        <v>378.811</v>
      </c>
      <c r="F3605" s="19" t="n">
        <f aca="false">'CEMIUP0.9 Raw'!F36</f>
        <v>2.52631578947368</v>
      </c>
      <c r="G3605" s="19" t="n">
        <f aca="false">'CEMIUP0.9 Raw'!G36</f>
        <v>212.192842105263</v>
      </c>
      <c r="H3605" s="18" t="str">
        <f aca="false">'CEMIUP0.9 Raw'!A36</f>
        <v>107 - Pharmacies</v>
      </c>
    </row>
    <row r="3606" customFormat="false" ht="15" hidden="false" customHeight="false" outlineLevel="0" collapsed="false">
      <c r="A3606" s="18" t="n">
        <f aca="false">'CEMIUP0.9 Raw'!B76</f>
        <v>4408050</v>
      </c>
      <c r="B3606" s="18" t="str">
        <f aca="false">'CEMIUP0.9 Raw'!C76</f>
        <v>20 XXL חבק יד מתכוון עם צמדן</v>
      </c>
      <c r="C3606" s="18" t="str">
        <f aca="false">'CEMIUP0.9 Raw'!C76</f>
        <v>20 XXL חבק יד מתכוון עם צמדן</v>
      </c>
      <c r="D3606" s="19" t="n">
        <f aca="false">'CEMIUP0.9 Raw'!D76</f>
        <v>4</v>
      </c>
      <c r="E3606" s="19" t="n">
        <f aca="false">'CEMIUP0.9 Raw'!E76</f>
        <v>118.937</v>
      </c>
      <c r="F3606" s="19" t="n">
        <f aca="false">'CEMIUP0.9 Raw'!F76</f>
        <v>2.52631578947368</v>
      </c>
      <c r="G3606" s="19" t="n">
        <f aca="false">'CEMIUP0.9 Raw'!G76</f>
        <v>76.44</v>
      </c>
      <c r="H3606" s="18" t="str">
        <f aca="false">'CEMIUP0.9 Raw'!A76</f>
        <v>107 - Pharmacies</v>
      </c>
    </row>
    <row r="3607" customFormat="false" ht="15" hidden="false" customHeight="false" outlineLevel="0" collapsed="false">
      <c r="A3607" s="18" t="n">
        <f aca="false">'CEMIUP0.9 Raw'!B85</f>
        <v>4408069</v>
      </c>
      <c r="B3607" s="18" t="str">
        <f aca="false">'CEMIUP0.9 Raw'!C85</f>
        <v>38 .חבישת""הלוקס ולגוס""לאחר נית</v>
      </c>
      <c r="C3607" s="18" t="str">
        <f aca="false">'CEMIUP0.9 Raw'!C85</f>
        <v>38 .חבישת""הלוקס ולגוס""לאחר נית</v>
      </c>
      <c r="D3607" s="19" t="n">
        <f aca="false">'CEMIUP0.9 Raw'!D85</f>
        <v>0</v>
      </c>
      <c r="E3607" s="19" t="n">
        <f aca="false">'CEMIUP0.9 Raw'!E85</f>
        <v>0</v>
      </c>
      <c r="F3607" s="19" t="n">
        <f aca="false">'CEMIUP0.9 Raw'!F85</f>
        <v>2.52631578947368</v>
      </c>
      <c r="G3607" s="19" t="n">
        <f aca="false">'CEMIUP0.9 Raw'!G85</f>
        <v>204.606315789474</v>
      </c>
      <c r="H3607" s="18" t="str">
        <f aca="false">'CEMIUP0.9 Raw'!A85</f>
        <v>107 - Pharmacies</v>
      </c>
    </row>
    <row r="3608" customFormat="false" ht="15" hidden="false" customHeight="false" outlineLevel="0" collapsed="false">
      <c r="A3608" s="18" t="n">
        <f aca="false">'CEMIUP0.9 Raw'!B89</f>
        <v>4408073</v>
      </c>
      <c r="B3608" s="18" t="str">
        <f aca="false">'CEMIUP0.9 Raw'!C89</f>
        <v>59D XL חגורת שבר דו צדדי</v>
      </c>
      <c r="C3608" s="18" t="str">
        <f aca="false">'CEMIUP0.9 Raw'!C89</f>
        <v>59D XL חגורת שבר דו צדדי</v>
      </c>
      <c r="D3608" s="19" t="n">
        <f aca="false">'CEMIUP0.9 Raw'!D89</f>
        <v>4</v>
      </c>
      <c r="E3608" s="19" t="n">
        <f aca="false">'CEMIUP0.9 Raw'!E89</f>
        <v>929.48</v>
      </c>
      <c r="F3608" s="19" t="n">
        <f aca="false">'CEMIUP0.9 Raw'!F89</f>
        <v>2.52631578947368</v>
      </c>
      <c r="G3608" s="19" t="n">
        <f aca="false">'CEMIUP0.9 Raw'!G89</f>
        <v>590.717052631579</v>
      </c>
      <c r="H3608" s="18" t="str">
        <f aca="false">'CEMIUP0.9 Raw'!A89</f>
        <v>107 - Pharmacies</v>
      </c>
    </row>
    <row r="3609" customFormat="false" ht="15" hidden="false" customHeight="false" outlineLevel="0" collapsed="false">
      <c r="A3609" s="18" t="n">
        <f aca="false">'CEMIUP0.9 Raw'!B104</f>
        <v>4408091</v>
      </c>
      <c r="B3609" s="18" t="str">
        <f aca="false">'CEMIUP0.9 Raw'!C104</f>
        <v>T11C M  חגורת גב פוג'יאמה</v>
      </c>
      <c r="C3609" s="18" t="str">
        <f aca="false">'CEMIUP0.9 Raw'!C104</f>
        <v>T11C M  חגורת גב פוג'יאמה</v>
      </c>
      <c r="D3609" s="19" t="n">
        <f aca="false">'CEMIUP0.9 Raw'!D104</f>
        <v>1</v>
      </c>
      <c r="E3609" s="19" t="n">
        <f aca="false">'CEMIUP0.9 Raw'!E104</f>
        <v>94.591</v>
      </c>
      <c r="F3609" s="19" t="n">
        <f aca="false">'CEMIUP0.9 Raw'!F104</f>
        <v>2.52631578947368</v>
      </c>
      <c r="G3609" s="19" t="n">
        <f aca="false">'CEMIUP0.9 Raw'!G104</f>
        <v>217.595368421053</v>
      </c>
      <c r="H3609" s="18" t="str">
        <f aca="false">'CEMIUP0.9 Raw'!A104</f>
        <v>107 - Pharmacies</v>
      </c>
    </row>
    <row r="3610" customFormat="false" ht="15" hidden="false" customHeight="false" outlineLevel="0" collapsed="false">
      <c r="A3610" s="18" t="n">
        <f aca="false">'CEMIUP0.9 Raw'!B133</f>
        <v>4408147</v>
      </c>
      <c r="B3610" s="18" t="str">
        <f aca="false">'CEMIUP0.9 Raw'!C133</f>
        <v>11PS Lחגורה למנותחי בטן</v>
      </c>
      <c r="C3610" s="18" t="str">
        <f aca="false">'CEMIUP0.9 Raw'!C133</f>
        <v>11PS Lחגורה למנותחי בטן</v>
      </c>
      <c r="D3610" s="19" t="n">
        <f aca="false">'CEMIUP0.9 Raw'!D133</f>
        <v>4</v>
      </c>
      <c r="E3610" s="19" t="n">
        <f aca="false">'CEMIUP0.9 Raw'!E133</f>
        <v>491.716</v>
      </c>
      <c r="F3610" s="19" t="n">
        <f aca="false">'CEMIUP0.9 Raw'!F133</f>
        <v>2.52631578947368</v>
      </c>
      <c r="G3610" s="19" t="n">
        <f aca="false">'CEMIUP0.9 Raw'!G133</f>
        <v>327.851368421053</v>
      </c>
      <c r="H3610" s="18" t="str">
        <f aca="false">'CEMIUP0.9 Raw'!A133</f>
        <v>107 - Pharmacies</v>
      </c>
    </row>
    <row r="3611" customFormat="false" ht="15" hidden="false" customHeight="false" outlineLevel="0" collapsed="false">
      <c r="A3611" s="18" t="n">
        <f aca="false">'CEMIUP0.9 Raw'!B182</f>
        <v>4408271</v>
      </c>
      <c r="B3611" s="18" t="str">
        <f aca="false">'CEMIUP0.9 Raw'!C182</f>
        <v>70N XS</v>
      </c>
      <c r="C3611" s="18" t="str">
        <f aca="false">'CEMIUP0.9 Raw'!C182</f>
        <v>70N XS</v>
      </c>
      <c r="D3611" s="19" t="n">
        <f aca="false">'CEMIUP0.9 Raw'!D182</f>
        <v>1</v>
      </c>
      <c r="E3611" s="19" t="n">
        <f aca="false">'CEMIUP0.9 Raw'!E182</f>
        <v>260</v>
      </c>
      <c r="F3611" s="19" t="n">
        <f aca="false">'CEMIUP0.9 Raw'!F182</f>
        <v>2.52631578947368</v>
      </c>
      <c r="G3611" s="19" t="n">
        <f aca="false">'CEMIUP0.9 Raw'!G182</f>
        <v>736.901052631579</v>
      </c>
      <c r="H3611" s="18" t="str">
        <f aca="false">'CEMIUP0.9 Raw'!A182</f>
        <v>107 - Pharmacies</v>
      </c>
    </row>
    <row r="3612" customFormat="false" ht="15" hidden="false" customHeight="false" outlineLevel="0" collapsed="false">
      <c r="A3612" s="18" t="n">
        <f aca="false">'CEMIUP0.9 Raw'!B211</f>
        <v>4411026</v>
      </c>
      <c r="B3612" s="18" t="str">
        <f aca="false">'CEMIUP0.9 Raw'!C211</f>
        <v>213CTSL L שמאל CTS כפפות</v>
      </c>
      <c r="C3612" s="18" t="str">
        <f aca="false">'CEMIUP0.9 Raw'!C211</f>
        <v>213CTSL L שמאל CTS כפפות</v>
      </c>
      <c r="D3612" s="19" t="n">
        <f aca="false">'CEMIUP0.9 Raw'!D211</f>
        <v>0</v>
      </c>
      <c r="E3612" s="19" t="n">
        <f aca="false">'CEMIUP0.9 Raw'!E211</f>
        <v>0</v>
      </c>
      <c r="F3612" s="19" t="n">
        <f aca="false">'CEMIUP0.9 Raw'!F211</f>
        <v>2.52631578947368</v>
      </c>
      <c r="G3612" s="19" t="n">
        <f aca="false">'CEMIUP0.9 Raw'!G211</f>
        <v>269.321684210526</v>
      </c>
      <c r="H3612" s="18" t="str">
        <f aca="false">'CEMIUP0.9 Raw'!A211</f>
        <v>107 - Pharmacies</v>
      </c>
    </row>
    <row r="3613" customFormat="false" ht="15" hidden="false" customHeight="false" outlineLevel="0" collapsed="false">
      <c r="A3613" s="18" t="n">
        <f aca="false">'CEMIUP0.9 Raw'!B216</f>
        <v>4411031</v>
      </c>
      <c r="B3613" s="18" t="str">
        <f aca="false">'CEMIUP0.9 Raw'!C216</f>
        <v>213CTS  S ימין CTS כפפות</v>
      </c>
      <c r="C3613" s="18" t="str">
        <f aca="false">'CEMIUP0.9 Raw'!C216</f>
        <v>213CTS  S ימין CTS כפפות</v>
      </c>
      <c r="D3613" s="19" t="n">
        <f aca="false">'CEMIUP0.9 Raw'!D216</f>
        <v>0</v>
      </c>
      <c r="E3613" s="19" t="n">
        <f aca="false">'CEMIUP0.9 Raw'!E216</f>
        <v>0</v>
      </c>
      <c r="F3613" s="19" t="n">
        <f aca="false">'CEMIUP0.9 Raw'!F216</f>
        <v>2.52631578947368</v>
      </c>
      <c r="G3613" s="19" t="n">
        <f aca="false">'CEMIUP0.9 Raw'!G216</f>
        <v>269.321684210526</v>
      </c>
      <c r="H3613" s="18" t="str">
        <f aca="false">'CEMIUP0.9 Raw'!A216</f>
        <v>107 - Pharmacies</v>
      </c>
    </row>
    <row r="3614" customFormat="false" ht="15" hidden="false" customHeight="false" outlineLevel="0" collapsed="false">
      <c r="A3614" s="18" t="n">
        <f aca="false">'CEMIUP0.9 Raw'!B226</f>
        <v>4413022</v>
      </c>
      <c r="B3614" s="18" t="str">
        <f aca="false">'CEMIUP0.9 Raw'!C226</f>
        <v>303 45-46 מדרסי סיליק.לח.סכרת</v>
      </c>
      <c r="C3614" s="18" t="str">
        <f aca="false">'CEMIUP0.9 Raw'!C226</f>
        <v>303 45-46 מדרסי סיליק.לח.סכרת</v>
      </c>
      <c r="D3614" s="19" t="n">
        <f aca="false">'CEMIUP0.9 Raw'!D226</f>
        <v>3</v>
      </c>
      <c r="E3614" s="19" t="n">
        <f aca="false">'CEMIUP0.9 Raw'!E226</f>
        <v>297.57</v>
      </c>
      <c r="F3614" s="19" t="n">
        <f aca="false">'CEMIUP0.9 Raw'!F226</f>
        <v>2.52631578947368</v>
      </c>
      <c r="G3614" s="19" t="n">
        <f aca="false">'CEMIUP0.9 Raw'!G226</f>
        <v>272.540210526316</v>
      </c>
      <c r="H3614" s="18" t="str">
        <f aca="false">'CEMIUP0.9 Raw'!A226</f>
        <v>107 - Pharmacies</v>
      </c>
    </row>
    <row r="3615" customFormat="false" ht="15" hidden="false" customHeight="false" outlineLevel="0" collapsed="false">
      <c r="A3615" s="18" t="n">
        <f aca="false">'CEMIUP0.9 Raw'!B259</f>
        <v>4413079</v>
      </c>
      <c r="B3615" s="18" t="str">
        <f aca="false">'CEMIUP0.9 Raw'!C259</f>
        <v>41X XL מגן ברך מוצלב+מוט</v>
      </c>
      <c r="C3615" s="18" t="str">
        <f aca="false">'CEMIUP0.9 Raw'!C259</f>
        <v>41X XL מגן ברך מוצלב+מוט</v>
      </c>
      <c r="D3615" s="19" t="n">
        <f aca="false">'CEMIUP0.9 Raw'!D259</f>
        <v>1</v>
      </c>
      <c r="E3615" s="19" t="n">
        <f aca="false">'CEMIUP0.9 Raw'!E259</f>
        <v>123.669</v>
      </c>
      <c r="F3615" s="19" t="n">
        <f aca="false">'CEMIUP0.9 Raw'!F259</f>
        <v>2.52631578947368</v>
      </c>
      <c r="G3615" s="19" t="n">
        <f aca="false">'CEMIUP0.9 Raw'!G259</f>
        <v>301.966736842105</v>
      </c>
      <c r="H3615" s="18" t="str">
        <f aca="false">'CEMIUP0.9 Raw'!A259</f>
        <v>107 - Pharmacies</v>
      </c>
    </row>
    <row r="3616" customFormat="false" ht="15" hidden="false" customHeight="false" outlineLevel="0" collapsed="false">
      <c r="A3616" s="18" t="n">
        <f aca="false">'CEMIUP0.9 Raw'!B262</f>
        <v>4413089</v>
      </c>
      <c r="B3616" s="18" t="str">
        <f aca="false">'CEMIUP0.9 Raw'!C262</f>
        <v>422 Sמ.ברך+כרית סיל.סביב לפיקה</v>
      </c>
      <c r="C3616" s="18" t="str">
        <f aca="false">'CEMIUP0.9 Raw'!C262</f>
        <v>422 Sמ.ברך+כרית סיל.סביב לפיקה</v>
      </c>
      <c r="D3616" s="19" t="n">
        <f aca="false">'CEMIUP0.9 Raw'!D262</f>
        <v>0</v>
      </c>
      <c r="E3616" s="19" t="n">
        <f aca="false">'CEMIUP0.9 Raw'!E262</f>
        <v>0</v>
      </c>
      <c r="F3616" s="19" t="n">
        <f aca="false">'CEMIUP0.9 Raw'!F262</f>
        <v>2.52631578947368</v>
      </c>
      <c r="G3616" s="19" t="n">
        <f aca="false">'CEMIUP0.9 Raw'!G262</f>
        <v>402.200842105263</v>
      </c>
      <c r="H3616" s="18" t="str">
        <f aca="false">'CEMIUP0.9 Raw'!A262</f>
        <v>107 - Pharmacies</v>
      </c>
    </row>
    <row r="3617" customFormat="false" ht="15" hidden="false" customHeight="false" outlineLevel="0" collapsed="false">
      <c r="A3617" s="18" t="n">
        <f aca="false">'CEMIUP0.9 Raw'!B281</f>
        <v>4413108</v>
      </c>
      <c r="B3617" s="18" t="str">
        <f aca="false">'CEMIUP0.9 Raw'!C281</f>
        <v>48 M מגן ברך מחמם</v>
      </c>
      <c r="C3617" s="18" t="str">
        <f aca="false">'CEMIUP0.9 Raw'!C281</f>
        <v>48 M מגן ברך מחמם</v>
      </c>
      <c r="D3617" s="19" t="n">
        <f aca="false">'CEMIUP0.9 Raw'!D281</f>
        <v>14</v>
      </c>
      <c r="E3617" s="19" t="n">
        <f aca="false">'CEMIUP0.9 Raw'!E281</f>
        <v>713.326</v>
      </c>
      <c r="F3617" s="19" t="n">
        <f aca="false">'CEMIUP0.9 Raw'!F281</f>
        <v>2.52631578947368</v>
      </c>
      <c r="G3617" s="19" t="n">
        <f aca="false">'CEMIUP0.9 Raw'!G281</f>
        <v>130.235368421053</v>
      </c>
      <c r="H3617" s="18" t="str">
        <f aca="false">'CEMIUP0.9 Raw'!A281</f>
        <v>107 - Pharmacies</v>
      </c>
    </row>
    <row r="3618" customFormat="false" ht="15" hidden="false" customHeight="false" outlineLevel="0" collapsed="false">
      <c r="A3618" s="18" t="n">
        <f aca="false">'CEMIUP0.9 Raw'!B296</f>
        <v>4413124</v>
      </c>
      <c r="B3618" s="18" t="str">
        <f aca="false">'CEMIUP0.9 Raw'!C296</f>
        <v>55 XL מתלה אשכים לספורטאים</v>
      </c>
      <c r="C3618" s="18" t="str">
        <f aca="false">'CEMIUP0.9 Raw'!C296</f>
        <v>55 XL מתלה אשכים לספורטאים</v>
      </c>
      <c r="D3618" s="19" t="n">
        <f aca="false">'CEMIUP0.9 Raw'!D296</f>
        <v>1</v>
      </c>
      <c r="E3618" s="19" t="n">
        <f aca="false">'CEMIUP0.9 Raw'!E296</f>
        <v>84.32</v>
      </c>
      <c r="F3618" s="19" t="n">
        <f aca="false">'CEMIUP0.9 Raw'!F296</f>
        <v>2.52631578947368</v>
      </c>
      <c r="G3618" s="19" t="n">
        <f aca="false">'CEMIUP0.9 Raw'!G296</f>
        <v>203.410105263158</v>
      </c>
      <c r="H3618" s="18" t="str">
        <f aca="false">'CEMIUP0.9 Raw'!A296</f>
        <v>107 - Pharmacies</v>
      </c>
    </row>
    <row r="3619" customFormat="false" ht="15" hidden="false" customHeight="false" outlineLevel="0" collapsed="false">
      <c r="A3619" s="18" t="n">
        <f aca="false">'CEMIUP0.9 Raw'!B300</f>
        <v>4413129</v>
      </c>
      <c r="B3619" s="18" t="str">
        <f aca="false">'CEMIUP0.9 Raw'!C300</f>
        <v>75 XLמיישר כתף יציב יישור ג.צר</v>
      </c>
      <c r="C3619" s="18" t="str">
        <f aca="false">'CEMIUP0.9 Raw'!C300</f>
        <v>75 XLמיישר כתף יציב יישור ג.צר</v>
      </c>
      <c r="D3619" s="19" t="n">
        <f aca="false">'CEMIUP0.9 Raw'!D300</f>
        <v>15</v>
      </c>
      <c r="E3619" s="19" t="n">
        <f aca="false">'CEMIUP0.9 Raw'!E300</f>
        <v>2243.878</v>
      </c>
      <c r="F3619" s="19" t="n">
        <f aca="false">'CEMIUP0.9 Raw'!F300</f>
        <v>2.52631578947368</v>
      </c>
      <c r="G3619" s="19" t="n">
        <f aca="false">'CEMIUP0.9 Raw'!G300</f>
        <v>368.751157894737</v>
      </c>
      <c r="H3619" s="18" t="str">
        <f aca="false">'CEMIUP0.9 Raw'!A300</f>
        <v>107 - Pharmacies</v>
      </c>
    </row>
    <row r="3620" customFormat="false" ht="15" hidden="false" customHeight="false" outlineLevel="0" collapsed="false">
      <c r="A3620" s="18" t="n">
        <f aca="false">'CEMIUP0.9 Raw'!B301</f>
        <v>4413130</v>
      </c>
      <c r="B3620" s="18" t="str">
        <f aca="false">'CEMIUP0.9 Raw'!C301</f>
        <v>75  XXL מיישר כתף יציב ישור צר</v>
      </c>
      <c r="C3620" s="18" t="str">
        <f aca="false">'CEMIUP0.9 Raw'!C301</f>
        <v>75  XXL מיישר כתף יציב ישור צר</v>
      </c>
      <c r="D3620" s="19" t="n">
        <f aca="false">'CEMIUP0.9 Raw'!D301</f>
        <v>10</v>
      </c>
      <c r="E3620" s="19" t="n">
        <f aca="false">'CEMIUP0.9 Raw'!E301</f>
        <v>1407.525</v>
      </c>
      <c r="F3620" s="19" t="n">
        <f aca="false">'CEMIUP0.9 Raw'!F301</f>
        <v>2.52631578947368</v>
      </c>
      <c r="G3620" s="19" t="n">
        <f aca="false">'CEMIUP0.9 Raw'!G301</f>
        <v>427.374315789474</v>
      </c>
      <c r="H3620" s="18" t="str">
        <f aca="false">'CEMIUP0.9 Raw'!A301</f>
        <v>107 - Pharmacies</v>
      </c>
    </row>
    <row r="3621" customFormat="false" ht="15" hidden="false" customHeight="false" outlineLevel="0" collapsed="false">
      <c r="A3621" s="18" t="n">
        <f aca="false">'CEMIUP0.9 Raw'!B338</f>
        <v>4413177</v>
      </c>
      <c r="B3621" s="18" t="str">
        <f aca="false">'CEMIUP0.9 Raw'!C338</f>
        <v>85+ XLמתלה ליד)כיס(רצועת חיזוק</v>
      </c>
      <c r="C3621" s="18" t="str">
        <f aca="false">'CEMIUP0.9 Raw'!C338</f>
        <v>85+ XLמתלה ליד)כיס(רצועת חיזוק</v>
      </c>
      <c r="D3621" s="19" t="n">
        <f aca="false">'CEMIUP0.9 Raw'!D338</f>
        <v>4</v>
      </c>
      <c r="E3621" s="19" t="n">
        <f aca="false">'CEMIUP0.9 Raw'!E338</f>
        <v>296.076</v>
      </c>
      <c r="F3621" s="19" t="n">
        <f aca="false">'CEMIUP0.9 Raw'!F338</f>
        <v>2.52631578947368</v>
      </c>
      <c r="G3621" s="19" t="n">
        <f aca="false">'CEMIUP0.9 Raw'!G338</f>
        <v>217.595368421053</v>
      </c>
      <c r="H3621" s="18" t="str">
        <f aca="false">'CEMIUP0.9 Raw'!A338</f>
        <v>107 - Pharmacies</v>
      </c>
    </row>
    <row r="3622" customFormat="false" ht="15" hidden="false" customHeight="false" outlineLevel="0" collapsed="false">
      <c r="A3622" s="18" t="n">
        <f aca="false">'CEMIUP0.9 Raw'!B343</f>
        <v>4413183</v>
      </c>
      <c r="B3622" s="18" t="str">
        <f aca="false">'CEMIUP0.9 Raw'!C343</f>
        <v>T 45 M מגן ברך רגיל</v>
      </c>
      <c r="C3622" s="18" t="str">
        <f aca="false">'CEMIUP0.9 Raw'!C343</f>
        <v>T 45 M מגן ברך רגיל</v>
      </c>
      <c r="D3622" s="19" t="n">
        <f aca="false">'CEMIUP0.9 Raw'!D343</f>
        <v>1</v>
      </c>
      <c r="E3622" s="19" t="n">
        <f aca="false">'CEMIUP0.9 Raw'!E343</f>
        <v>94.64</v>
      </c>
      <c r="F3622" s="19" t="n">
        <f aca="false">'CEMIUP0.9 Raw'!F343</f>
        <v>2.52631578947368</v>
      </c>
      <c r="G3622" s="19" t="n">
        <f aca="false">'CEMIUP0.9 Raw'!G343</f>
        <v>242.309052631579</v>
      </c>
      <c r="H3622" s="18" t="str">
        <f aca="false">'CEMIUP0.9 Raw'!A343</f>
        <v>107 - Pharmacies</v>
      </c>
    </row>
    <row r="3623" customFormat="false" ht="15" hidden="false" customHeight="false" outlineLevel="0" collapsed="false">
      <c r="A3623" s="18" t="n">
        <f aca="false">'CEMIUP0.9 Raw'!B345</f>
        <v>4413185</v>
      </c>
      <c r="B3623" s="18" t="str">
        <f aca="false">'CEMIUP0.9 Raw'!C345</f>
        <v>T 45XL מגן ברך רגיל</v>
      </c>
      <c r="C3623" s="18" t="str">
        <f aca="false">'CEMIUP0.9 Raw'!C345</f>
        <v>T 45XL מגן ברך רגיל</v>
      </c>
      <c r="D3623" s="19" t="n">
        <f aca="false">'CEMIUP0.9 Raw'!D345</f>
        <v>5</v>
      </c>
      <c r="E3623" s="19" t="n">
        <f aca="false">'CEMIUP0.9 Raw'!E345</f>
        <v>478.296</v>
      </c>
      <c r="F3623" s="19" t="n">
        <f aca="false">'CEMIUP0.9 Raw'!F345</f>
        <v>2.52631578947368</v>
      </c>
      <c r="G3623" s="19" t="n">
        <f aca="false">'CEMIUP0.9 Raw'!G345</f>
        <v>242.309052631579</v>
      </c>
      <c r="H3623" s="18" t="str">
        <f aca="false">'CEMIUP0.9 Raw'!A345</f>
        <v>107 - Pharmacies</v>
      </c>
    </row>
    <row r="3624" customFormat="false" ht="15" hidden="false" customHeight="false" outlineLevel="0" collapsed="false">
      <c r="A3624" s="18" t="n">
        <f aca="false">'CEMIUP0.9 Raw'!B352</f>
        <v>4413224</v>
      </c>
      <c r="B3624" s="18" t="str">
        <f aca="false">'CEMIUP0.9 Raw'!C352</f>
        <v>T45X XL מגן ברך רגיל</v>
      </c>
      <c r="C3624" s="18" t="str">
        <f aca="false">'CEMIUP0.9 Raw'!C352</f>
        <v>T45X XL מגן ברך רגיל</v>
      </c>
      <c r="D3624" s="19" t="n">
        <f aca="false">'CEMIUP0.9 Raw'!D352</f>
        <v>2</v>
      </c>
      <c r="E3624" s="19" t="n">
        <f aca="false">'CEMIUP0.9 Raw'!E352</f>
        <v>215.761</v>
      </c>
      <c r="F3624" s="19" t="n">
        <f aca="false">'CEMIUP0.9 Raw'!F352</f>
        <v>2.52631578947368</v>
      </c>
      <c r="G3624" s="19" t="n">
        <f aca="false">'CEMIUP0.9 Raw'!G352</f>
        <v>285.544421052632</v>
      </c>
      <c r="H3624" s="18" t="str">
        <f aca="false">'CEMIUP0.9 Raw'!A352</f>
        <v>107 - Pharmacies</v>
      </c>
    </row>
    <row r="3625" customFormat="false" ht="15" hidden="false" customHeight="false" outlineLevel="0" collapsed="false">
      <c r="A3625" s="18" t="n">
        <f aca="false">'CEMIUP0.9 Raw'!B358</f>
        <v>4413277</v>
      </c>
      <c r="B3625" s="18" t="str">
        <f aca="false">'CEMIUP0.9 Raw'!C358</f>
        <v>LF377 M-מדרס סיליקון לנעלי עקב</v>
      </c>
      <c r="C3625" s="18" t="str">
        <f aca="false">'CEMIUP0.9 Raw'!C358</f>
        <v>LF377 M-מדרס סיליקון לנעלי עקב</v>
      </c>
      <c r="D3625" s="19" t="n">
        <f aca="false">'CEMIUP0.9 Raw'!D358</f>
        <v>4</v>
      </c>
      <c r="E3625" s="19" t="n">
        <f aca="false">'CEMIUP0.9 Raw'!E358</f>
        <v>169.26</v>
      </c>
      <c r="F3625" s="19" t="n">
        <f aca="false">'CEMIUP0.9 Raw'!F358</f>
        <v>2.52631578947368</v>
      </c>
      <c r="G3625" s="19" t="n">
        <f aca="false">'CEMIUP0.9 Raw'!G358</f>
        <v>87.0151578947368</v>
      </c>
      <c r="H3625" s="18" t="str">
        <f aca="false">'CEMIUP0.9 Raw'!A358</f>
        <v>107 - Pharmacies</v>
      </c>
    </row>
    <row r="3626" customFormat="false" ht="15" hidden="false" customHeight="false" outlineLevel="0" collapsed="false">
      <c r="A3626" s="18" t="n">
        <f aca="false">'CEMIUP0.9 Raw'!B362</f>
        <v>4413284</v>
      </c>
      <c r="B3626" s="18" t="str">
        <f aca="false">'CEMIUP0.9 Raw'!C362</f>
        <v>422E XXXL מגן ברך ארוך עם כרית</v>
      </c>
      <c r="C3626" s="18" t="str">
        <f aca="false">'CEMIUP0.9 Raw'!C362</f>
        <v>422E XXXL מגן ברך ארוך עם כרית</v>
      </c>
      <c r="D3626" s="19" t="n">
        <f aca="false">'CEMIUP0.9 Raw'!D362</f>
        <v>1</v>
      </c>
      <c r="E3626" s="19" t="n">
        <f aca="false">'CEMIUP0.9 Raw'!E362</f>
        <v>185.094</v>
      </c>
      <c r="F3626" s="19" t="n">
        <f aca="false">'CEMIUP0.9 Raw'!F362</f>
        <v>2.52631578947368</v>
      </c>
      <c r="G3626" s="19" t="n">
        <f aca="false">'CEMIUP0.9 Raw'!G362</f>
        <v>467.605894736842</v>
      </c>
      <c r="H3626" s="18" t="str">
        <f aca="false">'CEMIUP0.9 Raw'!A362</f>
        <v>107 - Pharmacies</v>
      </c>
    </row>
    <row r="3627" customFormat="false" ht="15" hidden="false" customHeight="false" outlineLevel="0" collapsed="false">
      <c r="A3627" s="18" t="n">
        <f aca="false">'CEMIUP0.9 Raw'!B383</f>
        <v>4413347</v>
      </c>
      <c r="B3627" s="18" t="str">
        <f aca="false">'CEMIUP0.9 Raw'!C383</f>
        <v>322-L מגן קרסול+כרית סילקון</v>
      </c>
      <c r="C3627" s="18" t="str">
        <f aca="false">'CEMIUP0.9 Raw'!C383</f>
        <v>322-L מגן קרסול+כרית סילקון</v>
      </c>
      <c r="D3627" s="19" t="n">
        <f aca="false">'CEMIUP0.9 Raw'!D383</f>
        <v>1</v>
      </c>
      <c r="E3627" s="19" t="n">
        <f aca="false">'CEMIUP0.9 Raw'!E383</f>
        <v>116.389</v>
      </c>
      <c r="F3627" s="19" t="n">
        <f aca="false">'CEMIUP0.9 Raw'!F383</f>
        <v>2.52631578947368</v>
      </c>
      <c r="G3627" s="19" t="n">
        <f aca="false">'CEMIUP0.9 Raw'!G383</f>
        <v>294.035368421053</v>
      </c>
      <c r="H3627" s="18" t="str">
        <f aca="false">'CEMIUP0.9 Raw'!A383</f>
        <v>107 - Pharmacies</v>
      </c>
    </row>
    <row r="3628" customFormat="false" ht="15" hidden="false" customHeight="false" outlineLevel="0" collapsed="false">
      <c r="A3628" s="18" t="n">
        <f aca="false">'CEMIUP0.9 Raw'!B410</f>
        <v>4413420</v>
      </c>
      <c r="B3628" s="18" t="str">
        <f aca="false">'CEMIUP0.9 Raw'!C410</f>
        <v>SC35L  S מגן קרסול שמאל</v>
      </c>
      <c r="C3628" s="18" t="str">
        <f aca="false">'CEMIUP0.9 Raw'!C410</f>
        <v>SC35L  S מגן קרסול שמאל</v>
      </c>
      <c r="D3628" s="19" t="n">
        <f aca="false">'CEMIUP0.9 Raw'!D410</f>
        <v>3</v>
      </c>
      <c r="E3628" s="19" t="n">
        <f aca="false">'CEMIUP0.9 Raw'!E410</f>
        <v>217.986</v>
      </c>
      <c r="F3628" s="19" t="n">
        <f aca="false">'CEMIUP0.9 Raw'!F410</f>
        <v>2.52631578947368</v>
      </c>
      <c r="G3628" s="19" t="n">
        <f aca="false">'CEMIUP0.9 Raw'!G410</f>
        <v>226.038315789474</v>
      </c>
      <c r="H3628" s="18" t="str">
        <f aca="false">'CEMIUP0.9 Raw'!A410</f>
        <v>107 - Pharmacies</v>
      </c>
    </row>
    <row r="3629" customFormat="false" ht="15" hidden="false" customHeight="false" outlineLevel="0" collapsed="false">
      <c r="A3629" s="18" t="n">
        <f aca="false">'CEMIUP0.9 Raw'!B469</f>
        <v>4415004</v>
      </c>
      <c r="B3629" s="18" t="str">
        <f aca="false">'CEMIUP0.9 Raw'!C469</f>
        <v>26 XXL סד ליד דו צדדי לאחר שבר</v>
      </c>
      <c r="C3629" s="18" t="str">
        <f aca="false">'CEMIUP0.9 Raw'!C469</f>
        <v>26 XXL סד ליד דו צדדי לאחר שבר</v>
      </c>
      <c r="D3629" s="19" t="n">
        <f aca="false">'CEMIUP0.9 Raw'!D469</f>
        <v>3</v>
      </c>
      <c r="E3629" s="19" t="n">
        <f aca="false">'CEMIUP0.9 Raw'!E469</f>
        <v>281.372</v>
      </c>
      <c r="F3629" s="19" t="n">
        <f aca="false">'CEMIUP0.9 Raw'!F469</f>
        <v>2.52631578947368</v>
      </c>
      <c r="G3629" s="19" t="n">
        <f aca="false">'CEMIUP0.9 Raw'!G469</f>
        <v>236.906526315789</v>
      </c>
      <c r="H3629" s="18" t="str">
        <f aca="false">'CEMIUP0.9 Raw'!A469</f>
        <v>107 - Pharmacies</v>
      </c>
    </row>
    <row r="3630" customFormat="false" ht="15" hidden="false" customHeight="false" outlineLevel="0" collapsed="false">
      <c r="A3630" s="18" t="n">
        <f aca="false">'CEMIUP0.9 Raw'!B475</f>
        <v>4415013</v>
      </c>
      <c r="B3630" s="18" t="str">
        <f aca="false">'CEMIUP0.9 Raw'!C475</f>
        <v>32 XL סד קרסול+מוטות אלומיניום</v>
      </c>
      <c r="C3630" s="18" t="str">
        <f aca="false">'CEMIUP0.9 Raw'!C475</f>
        <v>32 XL סד קרסול+מוטות אלומיניום</v>
      </c>
      <c r="D3630" s="19" t="n">
        <f aca="false">'CEMIUP0.9 Raw'!D475</f>
        <v>0</v>
      </c>
      <c r="E3630" s="19" t="n">
        <f aca="false">'CEMIUP0.9 Raw'!E475</f>
        <v>0</v>
      </c>
      <c r="F3630" s="19" t="n">
        <f aca="false">'CEMIUP0.9 Raw'!F475</f>
        <v>2.52631578947368</v>
      </c>
      <c r="G3630" s="19" t="n">
        <f aca="false">'CEMIUP0.9 Raw'!G475</f>
        <v>489.101052631579</v>
      </c>
      <c r="H3630" s="18" t="str">
        <f aca="false">'CEMIUP0.9 Raw'!A475</f>
        <v>107 - Pharmacies</v>
      </c>
    </row>
    <row r="3631" customFormat="false" ht="15" hidden="false" customHeight="false" outlineLevel="0" collapsed="false">
      <c r="A3631" s="18" t="n">
        <f aca="false">'CEMIUP0.9 Raw'!B565</f>
        <v>4420037</v>
      </c>
      <c r="B3631" s="18" t="str">
        <f aca="false">'CEMIUP0.9 Raw'!C565</f>
        <v>301JW רפידת ג'ל כחול36-40</v>
      </c>
      <c r="C3631" s="18" t="str">
        <f aca="false">'CEMIUP0.9 Raw'!C565</f>
        <v>301JW רפידת ג'ל כחול36-40</v>
      </c>
      <c r="D3631" s="19" t="n">
        <f aca="false">'CEMIUP0.9 Raw'!D565</f>
        <v>-2</v>
      </c>
      <c r="E3631" s="19" t="n">
        <f aca="false">'CEMIUP0.9 Raw'!E565</f>
        <v>-97.552</v>
      </c>
      <c r="F3631" s="19" t="n">
        <f aca="false">'CEMIUP0.9 Raw'!F565</f>
        <v>2.52631578947368</v>
      </c>
      <c r="G3631" s="19" t="n">
        <f aca="false">'CEMIUP0.9 Raw'!G565</f>
        <v>168.397894736842</v>
      </c>
      <c r="H3631" s="18" t="str">
        <f aca="false">'CEMIUP0.9 Raw'!A565</f>
        <v>107 - Pharmacies</v>
      </c>
    </row>
    <row r="3632" customFormat="false" ht="15" hidden="false" customHeight="false" outlineLevel="0" collapsed="false">
      <c r="A3632" s="18" t="str">
        <f aca="false">'CEMIUP0.9 Raw'!B609</f>
        <v>15M XL</v>
      </c>
      <c r="B3632" s="18" t="str">
        <f aca="false">'CEMIUP0.9 Raw'!C609</f>
        <v>15M XL</v>
      </c>
      <c r="C3632" s="18" t="str">
        <f aca="false">'CEMIUP0.9 Raw'!C609</f>
        <v>15M XL</v>
      </c>
      <c r="D3632" s="19" t="n">
        <f aca="false">'CEMIUP0.9 Raw'!D609</f>
        <v>0</v>
      </c>
      <c r="E3632" s="19" t="n">
        <f aca="false">'CEMIUP0.9 Raw'!E609</f>
        <v>0</v>
      </c>
      <c r="F3632" s="19" t="n">
        <f aca="false">'CEMIUP0.9 Raw'!F609</f>
        <v>2.52631578947368</v>
      </c>
      <c r="G3632" s="19" t="n">
        <f aca="false">'CEMIUP0.9 Raw'!G609</f>
        <v>355.124210526316</v>
      </c>
      <c r="H3632" s="18" t="str">
        <f aca="false">'CEMIUP0.9 Raw'!A609</f>
        <v>107 - Pharmacies</v>
      </c>
    </row>
    <row r="3633" customFormat="false" ht="15" hidden="false" customHeight="false" outlineLevel="0" collapsed="false">
      <c r="A3633" s="18" t="str">
        <f aca="false">'CEMIUP0.9 Raw'!B627</f>
        <v>376-44-45</v>
      </c>
      <c r="B3633" s="18" t="str">
        <f aca="false">'CEMIUP0.9 Raw'!C627</f>
        <v>376-44-45</v>
      </c>
      <c r="C3633" s="18" t="str">
        <f aca="false">'CEMIUP0.9 Raw'!C627</f>
        <v>376-44-45</v>
      </c>
      <c r="D3633" s="19" t="n">
        <f aca="false">'CEMIUP0.9 Raw'!D627</f>
        <v>0</v>
      </c>
      <c r="E3633" s="19" t="n">
        <f aca="false">'CEMIUP0.9 Raw'!E627</f>
        <v>0</v>
      </c>
      <c r="F3633" s="19" t="n">
        <f aca="false">'CEMIUP0.9 Raw'!F627</f>
        <v>2.52631578947368</v>
      </c>
      <c r="G3633" s="19" t="n">
        <f aca="false">'CEMIUP0.9 Raw'!G627</f>
        <v>88.6863157894737</v>
      </c>
      <c r="H3633" s="18" t="str">
        <f aca="false">'CEMIUP0.9 Raw'!A627</f>
        <v>107 - Pharmacies</v>
      </c>
    </row>
    <row r="3634" customFormat="false" ht="15" hidden="false" customHeight="false" outlineLevel="0" collapsed="false">
      <c r="A3634" s="18" t="str">
        <f aca="false">'CEMIUP0.9 Raw'!B635</f>
        <v>48 S</v>
      </c>
      <c r="B3634" s="18" t="str">
        <f aca="false">'CEMIUP0.9 Raw'!C635</f>
        <v>48 S</v>
      </c>
      <c r="C3634" s="18" t="str">
        <f aca="false">'CEMIUP0.9 Raw'!C635</f>
        <v>48 S</v>
      </c>
      <c r="D3634" s="19" t="n">
        <f aca="false">'CEMIUP0.9 Raw'!D635</f>
        <v>0</v>
      </c>
      <c r="E3634" s="19" t="n">
        <f aca="false">'CEMIUP0.9 Raw'!E635</f>
        <v>0</v>
      </c>
      <c r="F3634" s="19" t="n">
        <f aca="false">'CEMIUP0.9 Raw'!F635</f>
        <v>2.52631578947368</v>
      </c>
      <c r="G3634" s="19" t="n">
        <f aca="false">'CEMIUP0.9 Raw'!G635</f>
        <v>143.166315789474</v>
      </c>
      <c r="H3634" s="18" t="str">
        <f aca="false">'CEMIUP0.9 Raw'!A635</f>
        <v>107 - Pharmacies</v>
      </c>
    </row>
    <row r="3635" customFormat="false" ht="15" hidden="false" customHeight="false" outlineLevel="0" collapsed="false">
      <c r="A3635" s="18" t="str">
        <f aca="false">'CEMIUP0.9 Raw'!B640</f>
        <v>50 S</v>
      </c>
      <c r="B3635" s="18" t="str">
        <f aca="false">'CEMIUP0.9 Raw'!C640</f>
        <v>50 S</v>
      </c>
      <c r="C3635" s="18" t="str">
        <f aca="false">'CEMIUP0.9 Raw'!C640</f>
        <v>50 S</v>
      </c>
      <c r="D3635" s="19" t="n">
        <f aca="false">'CEMIUP0.9 Raw'!D640</f>
        <v>0</v>
      </c>
      <c r="E3635" s="19" t="n">
        <f aca="false">'CEMIUP0.9 Raw'!E640</f>
        <v>0</v>
      </c>
      <c r="F3635" s="19" t="n">
        <f aca="false">'CEMIUP0.9 Raw'!F640</f>
        <v>2.52631578947368</v>
      </c>
      <c r="G3635" s="19" t="n">
        <f aca="false">'CEMIUP0.9 Raw'!G640</f>
        <v>280.522105263158</v>
      </c>
      <c r="H3635" s="18" t="str">
        <f aca="false">'CEMIUP0.9 Raw'!A640</f>
        <v>107 - Pharmacies</v>
      </c>
    </row>
    <row r="3636" customFormat="false" ht="15" hidden="false" customHeight="false" outlineLevel="0" collapsed="false">
      <c r="A3636" s="18" t="str">
        <f aca="false">'CEMIUP0.9 Raw'!B642</f>
        <v>55 M</v>
      </c>
      <c r="B3636" s="18" t="str">
        <f aca="false">'CEMIUP0.9 Raw'!C642</f>
        <v>55 M</v>
      </c>
      <c r="C3636" s="18" t="str">
        <f aca="false">'CEMIUP0.9 Raw'!C642</f>
        <v>55 M</v>
      </c>
      <c r="D3636" s="19" t="n">
        <f aca="false">'CEMIUP0.9 Raw'!D642</f>
        <v>1</v>
      </c>
      <c r="E3636" s="19" t="n">
        <f aca="false">'CEMIUP0.9 Raw'!E642</f>
        <v>80.32</v>
      </c>
      <c r="F3636" s="19" t="n">
        <f aca="false">'CEMIUP0.9 Raw'!F642</f>
        <v>2.52631578947368</v>
      </c>
      <c r="G3636" s="19" t="n">
        <f aca="false">'CEMIUP0.9 Raw'!G642</f>
        <v>213.018947368421</v>
      </c>
      <c r="H3636" s="18" t="str">
        <f aca="false">'CEMIUP0.9 Raw'!A642</f>
        <v>107 - Pharmacies</v>
      </c>
    </row>
    <row r="3637" customFormat="false" ht="15" hidden="false" customHeight="false" outlineLevel="0" collapsed="false">
      <c r="A3637" s="18" t="str">
        <f aca="false">'CEMIUP0.9 Raw'!B663</f>
        <v>T402 M</v>
      </c>
      <c r="B3637" s="18" t="str">
        <f aca="false">'CEMIUP0.9 Raw'!C663</f>
        <v>T402 M</v>
      </c>
      <c r="C3637" s="18" t="str">
        <f aca="false">'CEMIUP0.9 Raw'!C663</f>
        <v>T402 M</v>
      </c>
      <c r="D3637" s="19" t="n">
        <f aca="false">'CEMIUP0.9 Raw'!D663</f>
        <v>4</v>
      </c>
      <c r="E3637" s="19" t="n">
        <f aca="false">'CEMIUP0.9 Raw'!E663</f>
        <v>378.54</v>
      </c>
      <c r="F3637" s="19" t="n">
        <f aca="false">'CEMIUP0.9 Raw'!F663</f>
        <v>2.52631578947368</v>
      </c>
      <c r="G3637" s="19" t="n">
        <f aca="false">'CEMIUP0.9 Raw'!G663</f>
        <v>239.065263157895</v>
      </c>
      <c r="H3637" s="18" t="str">
        <f aca="false">'CEMIUP0.9 Raw'!A663</f>
        <v>107 - Pharmacies</v>
      </c>
    </row>
    <row r="3638" customFormat="false" ht="15" hidden="false" customHeight="false" outlineLevel="0" collapsed="false">
      <c r="A3638" s="18" t="str">
        <f aca="false">'CEMIUP0.9 Raw'!B667</f>
        <v>T45X M</v>
      </c>
      <c r="B3638" s="18" t="str">
        <f aca="false">'CEMIUP0.9 Raw'!C667</f>
        <v>T45X M</v>
      </c>
      <c r="C3638" s="18" t="str">
        <f aca="false">'CEMIUP0.9 Raw'!C667</f>
        <v>T45X M</v>
      </c>
      <c r="D3638" s="19" t="n">
        <f aca="false">'CEMIUP0.9 Raw'!D667</f>
        <v>0</v>
      </c>
      <c r="E3638" s="19" t="n">
        <f aca="false">'CEMIUP0.9 Raw'!E667</f>
        <v>0</v>
      </c>
      <c r="F3638" s="19" t="n">
        <f aca="false">'CEMIUP0.9 Raw'!F667</f>
        <v>2.52631578947368</v>
      </c>
      <c r="G3638" s="19" t="n">
        <f aca="false">'CEMIUP0.9 Raw'!G667</f>
        <v>298.433684210526</v>
      </c>
      <c r="H3638" s="18" t="str">
        <f aca="false">'CEMIUP0.9 Raw'!A667</f>
        <v>107 - Pharmacies</v>
      </c>
    </row>
    <row r="3639" customFormat="false" ht="15" hidden="false" customHeight="false" outlineLevel="0" collapsed="false">
      <c r="A3639" s="18" t="n">
        <f aca="false">'CEMIUP0.9 Raw'!B697</f>
        <v>4408031</v>
      </c>
      <c r="B3639" s="18" t="str">
        <f aca="false">'CEMIUP0.9 Raw'!C697</f>
        <v>11 S</v>
      </c>
      <c r="C3639" s="18" t="str">
        <f aca="false">'CEMIUP0.9 Raw'!C697</f>
        <v>11 S</v>
      </c>
      <c r="D3639" s="19" t="n">
        <f aca="false">'CEMIUP0.9 Raw'!D697</f>
        <v>33</v>
      </c>
      <c r="E3639" s="19" t="n">
        <f aca="false">'CEMIUP0.9 Raw'!E697</f>
        <v>2387.22</v>
      </c>
      <c r="F3639" s="19" t="n">
        <f aca="false">'CEMIUP0.9 Raw'!F697</f>
        <v>2.52631578947368</v>
      </c>
      <c r="G3639" s="19" t="n">
        <f aca="false">'CEMIUP0.9 Raw'!G697</f>
        <v>182.753684210526</v>
      </c>
      <c r="H3639" s="18" t="str">
        <f aca="false">'CEMIUP0.9 Raw'!A697</f>
        <v>113 - Kupat Holim Meuhedet</v>
      </c>
    </row>
    <row r="3640" customFormat="false" ht="15" hidden="false" customHeight="false" outlineLevel="0" collapsed="false">
      <c r="A3640" s="18" t="n">
        <f aca="false">'CEMIUP0.9 Raw'!B738</f>
        <v>4408259</v>
      </c>
      <c r="B3640" s="18" t="str">
        <f aca="false">'CEMIUP0.9 Raw'!C738</f>
        <v>11STO S חגורה אחרי ניתוח</v>
      </c>
      <c r="C3640" s="18" t="str">
        <f aca="false">'CEMIUP0.9 Raw'!C738</f>
        <v>11STO S חגורה אחרי ניתוח</v>
      </c>
      <c r="D3640" s="19" t="n">
        <f aca="false">'CEMIUP0.9 Raw'!D738</f>
        <v>1</v>
      </c>
      <c r="E3640" s="19" t="n">
        <f aca="false">'CEMIUP0.9 Raw'!E738</f>
        <v>113.58</v>
      </c>
      <c r="F3640" s="19" t="n">
        <f aca="false">'CEMIUP0.9 Raw'!F738</f>
        <v>2.52631578947368</v>
      </c>
      <c r="G3640" s="19" t="n">
        <f aca="false">'CEMIUP0.9 Raw'!G738</f>
        <v>261.160421052632</v>
      </c>
      <c r="H3640" s="18" t="str">
        <f aca="false">'CEMIUP0.9 Raw'!A738</f>
        <v>113 - Kupat Holim Meuhedet</v>
      </c>
    </row>
    <row r="3641" customFormat="false" ht="15" hidden="false" customHeight="false" outlineLevel="0" collapsed="false">
      <c r="A3641" s="18" t="n">
        <f aca="false">'CEMIUP0.9 Raw'!B748</f>
        <v>4408272</v>
      </c>
      <c r="B3641" s="18" t="str">
        <f aca="false">'CEMIUP0.9 Raw'!C748</f>
        <v>70N S חגורת פאבליק</v>
      </c>
      <c r="C3641" s="18" t="str">
        <f aca="false">'CEMIUP0.9 Raw'!C748</f>
        <v>70N S חגורת פאבליק</v>
      </c>
      <c r="D3641" s="19" t="n">
        <f aca="false">'CEMIUP0.9 Raw'!D748</f>
        <v>0</v>
      </c>
      <c r="E3641" s="19" t="n">
        <f aca="false">'CEMIUP0.9 Raw'!E748</f>
        <v>0</v>
      </c>
      <c r="F3641" s="19" t="n">
        <f aca="false">'CEMIUP0.9 Raw'!F748</f>
        <v>2.52631578947368</v>
      </c>
      <c r="G3641" s="19" t="n">
        <f aca="false">'CEMIUP0.9 Raw'!G748</f>
        <v>495.423157894737</v>
      </c>
      <c r="H3641" s="18" t="str">
        <f aca="false">'CEMIUP0.9 Raw'!A748</f>
        <v>113 - Kupat Holim Meuhedet</v>
      </c>
    </row>
    <row r="3642" customFormat="false" ht="15" hidden="false" customHeight="false" outlineLevel="0" collapsed="false">
      <c r="A3642" s="18" t="n">
        <f aca="false">'CEMIUP0.9 Raw'!B798</f>
        <v>4413111</v>
      </c>
      <c r="B3642" s="18" t="str">
        <f aca="false">'CEMIUP0.9 Raw'!C798</f>
        <v>49  S מגן ירך</v>
      </c>
      <c r="C3642" s="18" t="str">
        <f aca="false">'CEMIUP0.9 Raw'!C798</f>
        <v>49  S מגן ירך</v>
      </c>
      <c r="D3642" s="19" t="n">
        <f aca="false">'CEMIUP0.9 Raw'!D798</f>
        <v>0</v>
      </c>
      <c r="E3642" s="19" t="n">
        <f aca="false">'CEMIUP0.9 Raw'!E798</f>
        <v>0</v>
      </c>
      <c r="F3642" s="19" t="n">
        <f aca="false">'CEMIUP0.9 Raw'!F798</f>
        <v>2.52631578947368</v>
      </c>
      <c r="G3642" s="19" t="n">
        <f aca="false">'CEMIUP0.9 Raw'!G798</f>
        <v>50.6652631578947</v>
      </c>
      <c r="H3642" s="18" t="str">
        <f aca="false">'CEMIUP0.9 Raw'!A798</f>
        <v>113 - Kupat Holim Meuhedet</v>
      </c>
    </row>
    <row r="3643" customFormat="false" ht="15" hidden="false" customHeight="false" outlineLevel="0" collapsed="false">
      <c r="A3643" s="18" t="n">
        <f aca="false">'CEMIUP0.9 Raw'!B865</f>
        <v>4420018</v>
      </c>
      <c r="B3643" s="18" t="str">
        <f aca="false">'CEMIUP0.9 Raw'!C865</f>
        <v>T90 רצועת טניס אלבו עם פלסטיק</v>
      </c>
      <c r="C3643" s="18" t="str">
        <f aca="false">'CEMIUP0.9 Raw'!C865</f>
        <v>T90 רצועת טניס אלבו עם פלסטיק</v>
      </c>
      <c r="D3643" s="19" t="n">
        <f aca="false">'CEMIUP0.9 Raw'!D865</f>
        <v>63</v>
      </c>
      <c r="E3643" s="19" t="n">
        <f aca="false">'CEMIUP0.9 Raw'!E865</f>
        <v>4866.12</v>
      </c>
      <c r="F3643" s="19" t="n">
        <f aca="false">'CEMIUP0.9 Raw'!F865</f>
        <v>2.52631578947368</v>
      </c>
      <c r="G3643" s="19" t="n">
        <f aca="false">'CEMIUP0.9 Raw'!G865</f>
        <v>133.224</v>
      </c>
      <c r="H3643" s="18" t="str">
        <f aca="false">'CEMIUP0.9 Raw'!A865</f>
        <v>113 - Kupat Holim Meuhedet</v>
      </c>
    </row>
    <row r="3644" customFormat="false" ht="15" hidden="false" customHeight="false" outlineLevel="0" collapsed="false">
      <c r="A3644" s="18" t="n">
        <f aca="false">'CEMIUP0.9 Raw'!B873</f>
        <v>4422004</v>
      </c>
      <c r="B3644" s="18" t="str">
        <f aca="false">'CEMIUP0.9 Raw'!C873</f>
        <v>T78 S</v>
      </c>
      <c r="C3644" s="18" t="str">
        <f aca="false">'CEMIUP0.9 Raw'!C873</f>
        <v>T78 S</v>
      </c>
      <c r="D3644" s="19" t="n">
        <f aca="false">'CEMIUP0.9 Raw'!D873</f>
        <v>2</v>
      </c>
      <c r="E3644" s="19" t="n">
        <f aca="false">'CEMIUP0.9 Raw'!E873</f>
        <v>257.42</v>
      </c>
      <c r="F3644" s="19" t="n">
        <f aca="false">'CEMIUP0.9 Raw'!F873</f>
        <v>2.52631578947368</v>
      </c>
      <c r="G3644" s="19" t="n">
        <f aca="false">'CEMIUP0.9 Raw'!G873</f>
        <v>325.162105263158</v>
      </c>
      <c r="H3644" s="18" t="str">
        <f aca="false">'CEMIUP0.9 Raw'!A873</f>
        <v>113 - Kupat Holim Meuhedet</v>
      </c>
    </row>
    <row r="3645" customFormat="false" ht="15" hidden="false" customHeight="false" outlineLevel="0" collapsed="false">
      <c r="A3645" s="18" t="str">
        <f aca="false">'CEMIUP0.9 Raw'!B889</f>
        <v>07AU M ח.גב ""איטלקית"" אורירית</v>
      </c>
      <c r="B3645" s="18" t="str">
        <f aca="false">'CEMIUP0.9 Raw'!C889</f>
        <v>07AU M ח.גב ""איטלקית"" אורירית</v>
      </c>
      <c r="C3645" s="18" t="str">
        <f aca="false">'CEMIUP0.9 Raw'!C889</f>
        <v>07AU M ח.גב ""איטלקית"" אורירית</v>
      </c>
      <c r="D3645" s="19" t="n">
        <f aca="false">'CEMIUP0.9 Raw'!D889</f>
        <v>0</v>
      </c>
      <c r="E3645" s="19" t="n">
        <f aca="false">'CEMIUP0.9 Raw'!E889</f>
        <v>0</v>
      </c>
      <c r="F3645" s="19" t="n">
        <f aca="false">'CEMIUP0.9 Raw'!F889</f>
        <v>2.52631578947368</v>
      </c>
      <c r="G3645" s="19" t="n">
        <f aca="false">'CEMIUP0.9 Raw'!G889</f>
        <v>403.465263157895</v>
      </c>
      <c r="H3645" s="18" t="str">
        <f aca="false">'CEMIUP0.9 Raw'!A889</f>
        <v>113 - Kupat Holim Meuhedet</v>
      </c>
    </row>
    <row r="3646" customFormat="false" ht="15" hidden="false" customHeight="false" outlineLevel="0" collapsed="false">
      <c r="A3646" s="18" t="str">
        <f aca="false">'CEMIUP0.9 Raw'!B894</f>
        <v>11 S""חגורת בטן""אורירית</v>
      </c>
      <c r="B3646" s="18" t="str">
        <f aca="false">'CEMIUP0.9 Raw'!C894</f>
        <v>11 S""חגורת בטן""אורירית</v>
      </c>
      <c r="C3646" s="18" t="str">
        <f aca="false">'CEMIUP0.9 Raw'!C894</f>
        <v>11 S""חגורת בטן""אורירית</v>
      </c>
      <c r="D3646" s="19" t="n">
        <f aca="false">'CEMIUP0.9 Raw'!D894</f>
        <v>0</v>
      </c>
      <c r="E3646" s="19" t="n">
        <f aca="false">'CEMIUP0.9 Raw'!E894</f>
        <v>0</v>
      </c>
      <c r="F3646" s="19" t="n">
        <f aca="false">'CEMIUP0.9 Raw'!F894</f>
        <v>2.52631578947368</v>
      </c>
      <c r="G3646" s="19" t="n">
        <f aca="false">'CEMIUP0.9 Raw'!G894</f>
        <v>166.328842105263</v>
      </c>
      <c r="H3646" s="18" t="str">
        <f aca="false">'CEMIUP0.9 Raw'!A894</f>
        <v>113 - Kupat Holim Meuhedet</v>
      </c>
    </row>
    <row r="3647" customFormat="false" ht="15" hidden="false" customHeight="false" outlineLevel="0" collapsed="false">
      <c r="A3647" s="18" t="str">
        <f aca="false">'CEMIUP0.9 Raw'!B903</f>
        <v>34 XS</v>
      </c>
      <c r="B3647" s="18" t="str">
        <f aca="false">'CEMIUP0.9 Raw'!C903</f>
        <v>34 XS</v>
      </c>
      <c r="C3647" s="18" t="str">
        <f aca="false">'CEMIUP0.9 Raw'!C903</f>
        <v>34 XS</v>
      </c>
      <c r="D3647" s="19" t="n">
        <f aca="false">'CEMIUP0.9 Raw'!D903</f>
        <v>25</v>
      </c>
      <c r="E3647" s="19" t="n">
        <f aca="false">'CEMIUP0.9 Raw'!E903</f>
        <v>723.25</v>
      </c>
      <c r="F3647" s="19" t="n">
        <f aca="false">'CEMIUP0.9 Raw'!F903</f>
        <v>2.52631578947368</v>
      </c>
      <c r="G3647" s="19" t="n">
        <f aca="false">'CEMIUP0.9 Raw'!G903</f>
        <v>73.0863157894737</v>
      </c>
      <c r="H3647" s="18" t="str">
        <f aca="false">'CEMIUP0.9 Raw'!A903</f>
        <v>113 - Kupat Holim Meuhedet</v>
      </c>
    </row>
    <row r="3648" customFormat="false" ht="15" hidden="false" customHeight="false" outlineLevel="0" collapsed="false">
      <c r="A3648" s="18" t="str">
        <f aca="false">'CEMIUP0.9 Raw'!B913</f>
        <v>67813000</v>
      </c>
      <c r="B3648" s="18" t="str">
        <f aca="false">'CEMIUP0.9 Raw'!C913</f>
        <v>67813000</v>
      </c>
      <c r="C3648" s="18" t="str">
        <f aca="false">'CEMIUP0.9 Raw'!C913</f>
        <v>67813000</v>
      </c>
      <c r="D3648" s="19" t="n">
        <f aca="false">'CEMIUP0.9 Raw'!D913</f>
        <v>0</v>
      </c>
      <c r="E3648" s="19" t="n">
        <f aca="false">'CEMIUP0.9 Raw'!E913</f>
        <v>0</v>
      </c>
      <c r="F3648" s="19" t="n">
        <f aca="false">'CEMIUP0.9 Raw'!F913</f>
        <v>2.52631578947368</v>
      </c>
      <c r="G3648" s="19" t="n">
        <f aca="false">'CEMIUP0.9 Raw'!G913</f>
        <v>0</v>
      </c>
      <c r="H3648" s="18" t="str">
        <f aca="false">'CEMIUP0.9 Raw'!A913</f>
        <v>113 - Kupat Holim Meuhedet</v>
      </c>
    </row>
    <row r="3649" customFormat="false" ht="15" hidden="false" customHeight="false" outlineLevel="0" collapsed="false">
      <c r="A3649" s="18" t="str">
        <f aca="false">'CEMIUP0.9 Raw'!B920</f>
        <v>T33 M</v>
      </c>
      <c r="B3649" s="18" t="str">
        <f aca="false">'CEMIUP0.9 Raw'!C920</f>
        <v>T33 M</v>
      </c>
      <c r="C3649" s="18" t="str">
        <f aca="false">'CEMIUP0.9 Raw'!C920</f>
        <v>T33 M</v>
      </c>
      <c r="D3649" s="19" t="n">
        <f aca="false">'CEMIUP0.9 Raw'!D920</f>
        <v>10</v>
      </c>
      <c r="E3649" s="19" t="n">
        <f aca="false">'CEMIUP0.9 Raw'!E920</f>
        <v>941</v>
      </c>
      <c r="F3649" s="19" t="n">
        <f aca="false">'CEMIUP0.9 Raw'!F920</f>
        <v>2.52631578947368</v>
      </c>
      <c r="G3649" s="19" t="n">
        <f aca="false">'CEMIUP0.9 Raw'!G920</f>
        <v>237.726315789474</v>
      </c>
      <c r="H3649" s="18" t="str">
        <f aca="false">'CEMIUP0.9 Raw'!A920</f>
        <v>113 - Kupat Holim Meuhedet</v>
      </c>
    </row>
    <row r="3650" customFormat="false" ht="15" hidden="false" customHeight="false" outlineLevel="0" collapsed="false">
      <c r="A3650" s="18" t="str">
        <f aca="false">'CEMIUP0.9 Raw'!B922</f>
        <v>T33 XXL</v>
      </c>
      <c r="B3650" s="18" t="str">
        <f aca="false">'CEMIUP0.9 Raw'!C922</f>
        <v>T33 XXL</v>
      </c>
      <c r="C3650" s="18" t="str">
        <f aca="false">'CEMIUP0.9 Raw'!C922</f>
        <v>T33 XXL</v>
      </c>
      <c r="D3650" s="19" t="n">
        <f aca="false">'CEMIUP0.9 Raw'!D922</f>
        <v>1</v>
      </c>
      <c r="E3650" s="19" t="n">
        <f aca="false">'CEMIUP0.9 Raw'!E922</f>
        <v>94.1</v>
      </c>
      <c r="F3650" s="19" t="n">
        <f aca="false">'CEMIUP0.9 Raw'!F922</f>
        <v>2.52631578947368</v>
      </c>
      <c r="G3650" s="19" t="n">
        <f aca="false">'CEMIUP0.9 Raw'!G922</f>
        <v>237.726315789474</v>
      </c>
      <c r="H3650" s="18" t="str">
        <f aca="false">'CEMIUP0.9 Raw'!A922</f>
        <v>113 - Kupat Holim Meuhedet</v>
      </c>
    </row>
    <row r="3651" customFormat="false" ht="15" hidden="false" customHeight="false" outlineLevel="0" collapsed="false">
      <c r="A3651" s="18" t="str">
        <f aca="false">'CEMIUP0.9 Raw'!B923</f>
        <v>T39 L</v>
      </c>
      <c r="B3651" s="18" t="str">
        <f aca="false">'CEMIUP0.9 Raw'!C923</f>
        <v>T39 L</v>
      </c>
      <c r="C3651" s="18" t="str">
        <f aca="false">'CEMIUP0.9 Raw'!C923</f>
        <v>T39 L</v>
      </c>
      <c r="D3651" s="19" t="n">
        <f aca="false">'CEMIUP0.9 Raw'!D923</f>
        <v>2</v>
      </c>
      <c r="E3651" s="19" t="n">
        <f aca="false">'CEMIUP0.9 Raw'!E923</f>
        <v>147.6</v>
      </c>
      <c r="F3651" s="19" t="n">
        <f aca="false">'CEMIUP0.9 Raw'!F923</f>
        <v>2.52631578947368</v>
      </c>
      <c r="G3651" s="19" t="n">
        <f aca="false">'CEMIUP0.9 Raw'!G923</f>
        <v>186.442105263158</v>
      </c>
      <c r="H3651" s="18" t="str">
        <f aca="false">'CEMIUP0.9 Raw'!A923</f>
        <v>113 - Kupat Holim Meuhedet</v>
      </c>
    </row>
    <row r="3652" customFormat="false" ht="15" hidden="false" customHeight="false" outlineLevel="0" collapsed="false">
      <c r="A3652" s="18" t="n">
        <f aca="false">'CEMIUP0.9 Raw'!B937</f>
        <v>4403001</v>
      </c>
      <c r="B3652" s="18" t="str">
        <f aca="false">'CEMIUP0.9 Raw'!C937</f>
        <v>390B 39-42.גרב.כסף לסכרתיים שח</v>
      </c>
      <c r="C3652" s="18" t="str">
        <f aca="false">'CEMIUP0.9 Raw'!C937</f>
        <v>390B 39-42.גרב.כסף לסכרתיים שח</v>
      </c>
      <c r="D3652" s="19" t="n">
        <f aca="false">'CEMIUP0.9 Raw'!D937</f>
        <v>14</v>
      </c>
      <c r="E3652" s="19" t="n">
        <f aca="false">'CEMIUP0.9 Raw'!E937</f>
        <v>400.764</v>
      </c>
      <c r="F3652" s="19" t="n">
        <f aca="false">'CEMIUP0.9 Raw'!F937</f>
        <v>2.52631578947368</v>
      </c>
      <c r="G3652" s="19" t="n">
        <f aca="false">'CEMIUP0.9 Raw'!G937</f>
        <v>72.3018947368421</v>
      </c>
      <c r="H3652" s="18" t="str">
        <f aca="false">'CEMIUP0.9 Raw'!A937</f>
        <v>BE (CEMI internal group)</v>
      </c>
    </row>
    <row r="3653" customFormat="false" ht="15" hidden="false" customHeight="false" outlineLevel="0" collapsed="false">
      <c r="A3653" s="18" t="n">
        <f aca="false">'CEMIUP0.9 Raw'!B938</f>
        <v>4403002</v>
      </c>
      <c r="B3653" s="18" t="str">
        <f aca="false">'CEMIUP0.9 Raw'!C938</f>
        <v>390B 43-46.גרב.כסף לסכרתיים שח</v>
      </c>
      <c r="C3653" s="18" t="str">
        <f aca="false">'CEMIUP0.9 Raw'!C938</f>
        <v>390B 43-46.גרב.כסף לסכרתיים שח</v>
      </c>
      <c r="D3653" s="19" t="n">
        <f aca="false">'CEMIUP0.9 Raw'!D938</f>
        <v>18</v>
      </c>
      <c r="E3653" s="19" t="n">
        <f aca="false">'CEMIUP0.9 Raw'!E938</f>
        <v>515.333</v>
      </c>
      <c r="F3653" s="19" t="n">
        <f aca="false">'CEMIUP0.9 Raw'!F938</f>
        <v>2.52631578947368</v>
      </c>
      <c r="G3653" s="19" t="n">
        <f aca="false">'CEMIUP0.9 Raw'!G938</f>
        <v>72.3018947368421</v>
      </c>
      <c r="H3653" s="18" t="str">
        <f aca="false">'CEMIUP0.9 Raw'!A938</f>
        <v>BE (CEMI internal group)</v>
      </c>
    </row>
    <row r="3654" customFormat="false" ht="15" hidden="false" customHeight="false" outlineLevel="0" collapsed="false">
      <c r="A3654" s="18" t="n">
        <f aca="false">'CEMIUP0.9 Raw'!B984</f>
        <v>4408072</v>
      </c>
      <c r="B3654" s="18" t="str">
        <f aca="false">'CEMIUP0.9 Raw'!C984</f>
        <v>59D M חגורת שבר דו צדדי</v>
      </c>
      <c r="C3654" s="18" t="str">
        <f aca="false">'CEMIUP0.9 Raw'!C984</f>
        <v>59D M חגורת שבר דו צדדי</v>
      </c>
      <c r="D3654" s="19" t="n">
        <f aca="false">'CEMIUP0.9 Raw'!D984</f>
        <v>0</v>
      </c>
      <c r="E3654" s="19" t="n">
        <f aca="false">'CEMIUP0.9 Raw'!E984</f>
        <v>0</v>
      </c>
      <c r="F3654" s="19" t="n">
        <f aca="false">'CEMIUP0.9 Raw'!F984</f>
        <v>2.52631578947368</v>
      </c>
      <c r="G3654" s="19" t="n">
        <f aca="false">'CEMIUP0.9 Raw'!G984</f>
        <v>693.592421052632</v>
      </c>
      <c r="H3654" s="18" t="str">
        <f aca="false">'CEMIUP0.9 Raw'!A984</f>
        <v>BE (CEMI internal group)</v>
      </c>
    </row>
    <row r="3655" customFormat="false" ht="15" hidden="false" customHeight="false" outlineLevel="0" collapsed="false">
      <c r="A3655" s="18" t="n">
        <f aca="false">'CEMIUP0.9 Raw'!B992</f>
        <v>4408090</v>
      </c>
      <c r="B3655" s="18" t="str">
        <f aca="false">'CEMIUP0.9 Raw'!C992</f>
        <v>T11C L  חגורת גב פוג'יאמה</v>
      </c>
      <c r="C3655" s="18" t="str">
        <f aca="false">'CEMIUP0.9 Raw'!C992</f>
        <v>T11C L  חגורת גב פוג'יאמה</v>
      </c>
      <c r="D3655" s="19" t="n">
        <f aca="false">'CEMIUP0.9 Raw'!D992</f>
        <v>8</v>
      </c>
      <c r="E3655" s="19" t="n">
        <f aca="false">'CEMIUP0.9 Raw'!E992</f>
        <v>642.096</v>
      </c>
      <c r="F3655" s="19" t="n">
        <f aca="false">'CEMIUP0.9 Raw'!F992</f>
        <v>2.52631578947368</v>
      </c>
      <c r="G3655" s="19" t="n">
        <f aca="false">'CEMIUP0.9 Raw'!G992</f>
        <v>202.767157894737</v>
      </c>
      <c r="H3655" s="18" t="str">
        <f aca="false">'CEMIUP0.9 Raw'!A992</f>
        <v>BE (CEMI internal group)</v>
      </c>
    </row>
    <row r="3656" customFormat="false" ht="15" hidden="false" customHeight="false" outlineLevel="0" collapsed="false">
      <c r="A3656" s="18" t="n">
        <f aca="false">'CEMIUP0.9 Raw'!B993</f>
        <v>4408091</v>
      </c>
      <c r="B3656" s="18" t="str">
        <f aca="false">'CEMIUP0.9 Raw'!C993</f>
        <v>T11C M  חגורת גב פוג'יאמה</v>
      </c>
      <c r="C3656" s="18" t="str">
        <f aca="false">'CEMIUP0.9 Raw'!C993</f>
        <v>T11C M  חגורת גב פוג'יאמה</v>
      </c>
      <c r="D3656" s="19" t="n">
        <f aca="false">'CEMIUP0.9 Raw'!D993</f>
        <v>0</v>
      </c>
      <c r="E3656" s="19" t="n">
        <f aca="false">'CEMIUP0.9 Raw'!E993</f>
        <v>0</v>
      </c>
      <c r="F3656" s="19" t="n">
        <f aca="false">'CEMIUP0.9 Raw'!F993</f>
        <v>2.52631578947368</v>
      </c>
      <c r="G3656" s="19" t="n">
        <f aca="false">'CEMIUP0.9 Raw'!G993</f>
        <v>202.767157894737</v>
      </c>
      <c r="H3656" s="18" t="str">
        <f aca="false">'CEMIUP0.9 Raw'!A993</f>
        <v>BE (CEMI internal group)</v>
      </c>
    </row>
    <row r="3657" customFormat="false" ht="15" hidden="false" customHeight="false" outlineLevel="0" collapsed="false">
      <c r="A3657" s="18" t="n">
        <f aca="false">'CEMIUP0.9 Raw'!B994</f>
        <v>4408092</v>
      </c>
      <c r="B3657" s="18" t="str">
        <f aca="false">'CEMIUP0.9 Raw'!C994</f>
        <v>T11C XL חגורת גב פוג'יאמה</v>
      </c>
      <c r="C3657" s="18" t="str">
        <f aca="false">'CEMIUP0.9 Raw'!C994</f>
        <v>T11C XL חגורת גב פוג'יאמה</v>
      </c>
      <c r="D3657" s="19" t="n">
        <f aca="false">'CEMIUP0.9 Raw'!D994</f>
        <v>6</v>
      </c>
      <c r="E3657" s="19" t="n">
        <f aca="false">'CEMIUP0.9 Raw'!E994</f>
        <v>481.572</v>
      </c>
      <c r="F3657" s="19" t="n">
        <f aca="false">'CEMIUP0.9 Raw'!F994</f>
        <v>2.52631578947368</v>
      </c>
      <c r="G3657" s="19" t="n">
        <f aca="false">'CEMIUP0.9 Raw'!G994</f>
        <v>202.767157894737</v>
      </c>
      <c r="H3657" s="18" t="str">
        <f aca="false">'CEMIUP0.9 Raw'!A994</f>
        <v>BE (CEMI internal group)</v>
      </c>
    </row>
    <row r="3658" customFormat="false" ht="15" hidden="false" customHeight="false" outlineLevel="0" collapsed="false">
      <c r="A3658" s="18" t="n">
        <f aca="false">'CEMIUP0.9 Raw'!B1012</f>
        <v>4408203</v>
      </c>
      <c r="B3658" s="18" t="str">
        <f aca="false">'CEMIUP0.9 Raw'!C1012</f>
        <v>14 0 חגורה למנותחי בית חזה</v>
      </c>
      <c r="C3658" s="18" t="str">
        <f aca="false">'CEMIUP0.9 Raw'!C1012</f>
        <v>14 0 חגורה למנותחי בית חזה</v>
      </c>
      <c r="D3658" s="19" t="n">
        <f aca="false">'CEMIUP0.9 Raw'!D1012</f>
        <v>0</v>
      </c>
      <c r="E3658" s="19" t="n">
        <f aca="false">'CEMIUP0.9 Raw'!E1012</f>
        <v>0</v>
      </c>
      <c r="F3658" s="19" t="n">
        <f aca="false">'CEMIUP0.9 Raw'!F1012</f>
        <v>2.52631578947368</v>
      </c>
      <c r="G3658" s="19" t="n">
        <f aca="false">'CEMIUP0.9 Raw'!G1012</f>
        <v>578.070315789474</v>
      </c>
      <c r="H3658" s="18" t="str">
        <f aca="false">'CEMIUP0.9 Raw'!A1012</f>
        <v>BE (CEMI internal group)</v>
      </c>
    </row>
    <row r="3659" customFormat="false" ht="15" hidden="false" customHeight="false" outlineLevel="0" collapsed="false">
      <c r="A3659" s="18" t="n">
        <f aca="false">'CEMIUP0.9 Raw'!B1014</f>
        <v>4408206</v>
      </c>
      <c r="B3659" s="18" t="str">
        <f aca="false">'CEMIUP0.9 Raw'!C1014</f>
        <v>AC-11 חגורת בטן קלה</v>
      </c>
      <c r="C3659" s="18" t="str">
        <f aca="false">'CEMIUP0.9 Raw'!C1014</f>
        <v>AC-11 חגורת בטן קלה</v>
      </c>
      <c r="D3659" s="19" t="n">
        <f aca="false">'CEMIUP0.9 Raw'!D1014</f>
        <v>-1</v>
      </c>
      <c r="E3659" s="19" t="n">
        <f aca="false">'CEMIUP0.9 Raw'!E1014</f>
        <v>-68.523</v>
      </c>
      <c r="F3659" s="19" t="n">
        <f aca="false">'CEMIUP0.9 Raw'!F1014</f>
        <v>2.52631578947368</v>
      </c>
      <c r="G3659" s="19" t="n">
        <f aca="false">'CEMIUP0.9 Raw'!G1014</f>
        <v>172.995789473684</v>
      </c>
      <c r="H3659" s="18" t="str">
        <f aca="false">'CEMIUP0.9 Raw'!A1014</f>
        <v>BE (CEMI internal group)</v>
      </c>
    </row>
    <row r="3660" customFormat="false" ht="15" hidden="false" customHeight="false" outlineLevel="0" collapsed="false">
      <c r="A3660" s="18" t="n">
        <f aca="false">'CEMIUP0.9 Raw'!B1027</f>
        <v>4408247</v>
      </c>
      <c r="B3660" s="18" t="str">
        <f aca="false">'CEMIUP0.9 Raw'!C1027</f>
        <v>SC25  S חבק יד</v>
      </c>
      <c r="C3660" s="18" t="str">
        <f aca="false">'CEMIUP0.9 Raw'!C1027</f>
        <v>SC25  S חבק יד</v>
      </c>
      <c r="D3660" s="19" t="n">
        <f aca="false">'CEMIUP0.9 Raw'!D1027</f>
        <v>1</v>
      </c>
      <c r="E3660" s="19" t="n">
        <f aca="false">'CEMIUP0.9 Raw'!E1027</f>
        <v>64.155</v>
      </c>
      <c r="F3660" s="19" t="n">
        <f aca="false">'CEMIUP0.9 Raw'!F1027</f>
        <v>2.52631578947368</v>
      </c>
      <c r="G3660" s="19" t="n">
        <f aca="false">'CEMIUP0.9 Raw'!G1027</f>
        <v>162.190736842105</v>
      </c>
      <c r="H3660" s="18" t="str">
        <f aca="false">'CEMIUP0.9 Raw'!A1027</f>
        <v>BE (CEMI internal group)</v>
      </c>
    </row>
    <row r="3661" customFormat="false" ht="15" hidden="false" customHeight="false" outlineLevel="0" collapsed="false">
      <c r="A3661" s="18" t="n">
        <f aca="false">'CEMIUP0.9 Raw'!B1082</f>
        <v>4413074</v>
      </c>
      <c r="B3661" s="18" t="str">
        <f aca="false">'CEMIUP0.9 Raw'!C1082</f>
        <v>41  XL.מ.ברך מוצלב+ספירלות בצד</v>
      </c>
      <c r="C3661" s="18" t="str">
        <f aca="false">'CEMIUP0.9 Raw'!C1082</f>
        <v>41  XL.מ.ברך מוצלב+ספירלות בצד</v>
      </c>
      <c r="D3661" s="19" t="n">
        <f aca="false">'CEMIUP0.9 Raw'!D1082</f>
        <v>6</v>
      </c>
      <c r="E3661" s="19" t="n">
        <f aca="false">'CEMIUP0.9 Raw'!E1082</f>
        <v>626.08</v>
      </c>
      <c r="F3661" s="19" t="n">
        <f aca="false">'CEMIUP0.9 Raw'!F1082</f>
        <v>2.52631578947368</v>
      </c>
      <c r="G3661" s="19" t="n">
        <f aca="false">'CEMIUP0.9 Raw'!G1082</f>
        <v>263.574315789474</v>
      </c>
      <c r="H3661" s="18" t="str">
        <f aca="false">'CEMIUP0.9 Raw'!A1082</f>
        <v>BE (CEMI internal group)</v>
      </c>
    </row>
    <row r="3662" customFormat="false" ht="15" hidden="false" customHeight="false" outlineLevel="0" collapsed="false">
      <c r="A3662" s="18" t="n">
        <f aca="false">'CEMIUP0.9 Raw'!B1118</f>
        <v>4413133</v>
      </c>
      <c r="B3662" s="18" t="str">
        <f aca="false">'CEMIUP0.9 Raw'!C1118</f>
        <v>76 Mמיישר כתף יציב,יישור רחב</v>
      </c>
      <c r="C3662" s="18" t="str">
        <f aca="false">'CEMIUP0.9 Raw'!C1118</f>
        <v>76 Mמיישר כתף יציב,יישור רחב</v>
      </c>
      <c r="D3662" s="19" t="n">
        <f aca="false">'CEMIUP0.9 Raw'!D1118</f>
        <v>5</v>
      </c>
      <c r="E3662" s="19" t="n">
        <f aca="false">'CEMIUP0.9 Raw'!E1118</f>
        <v>802.802</v>
      </c>
      <c r="F3662" s="19" t="n">
        <f aca="false">'CEMIUP0.9 Raw'!F1118</f>
        <v>2.52631578947368</v>
      </c>
      <c r="G3662" s="19" t="n">
        <f aca="false">'CEMIUP0.9 Raw'!G1118</f>
        <v>405.649263157895</v>
      </c>
      <c r="H3662" s="18" t="str">
        <f aca="false">'CEMIUP0.9 Raw'!A1118</f>
        <v>BE (CEMI internal group)</v>
      </c>
    </row>
    <row r="3663" customFormat="false" ht="15" hidden="false" customHeight="false" outlineLevel="0" collapsed="false">
      <c r="A3663" s="18" t="n">
        <f aca="false">'CEMIUP0.9 Raw'!B1129</f>
        <v>4413153</v>
      </c>
      <c r="B3663" s="18" t="str">
        <f aca="false">'CEMIUP0.9 Raw'!C1129</f>
        <v>305GA מדרס אורטופ.מתכוון35-36</v>
      </c>
      <c r="C3663" s="18" t="str">
        <f aca="false">'CEMIUP0.9 Raw'!C1129</f>
        <v>305GA מדרס אורטופ.מתכוון35-36</v>
      </c>
      <c r="D3663" s="19" t="n">
        <f aca="false">'CEMIUP0.9 Raw'!D1129</f>
        <v>3</v>
      </c>
      <c r="E3663" s="19" t="n">
        <f aca="false">'CEMIUP0.9 Raw'!E1129</f>
        <v>190.918</v>
      </c>
      <c r="F3663" s="19" t="n">
        <f aca="false">'CEMIUP0.9 Raw'!F1129</f>
        <v>2.52631578947368</v>
      </c>
      <c r="G3663" s="19" t="n">
        <f aca="false">'CEMIUP0.9 Raw'!G1129</f>
        <v>97.7052631578948</v>
      </c>
      <c r="H3663" s="18" t="str">
        <f aca="false">'CEMIUP0.9 Raw'!A1129</f>
        <v>BE (CEMI internal group)</v>
      </c>
    </row>
    <row r="3664" customFormat="false" ht="15" hidden="false" customHeight="false" outlineLevel="0" collapsed="false">
      <c r="A3664" s="18" t="n">
        <f aca="false">'CEMIUP0.9 Raw'!B1142</f>
        <v>4413182</v>
      </c>
      <c r="B3664" s="18" t="str">
        <f aca="false">'CEMIUP0.9 Raw'!C1142</f>
        <v>T45 S מגן ברך רגיל</v>
      </c>
      <c r="C3664" s="18" t="str">
        <f aca="false">'CEMIUP0.9 Raw'!C1142</f>
        <v>T45 S מגן ברך רגיל</v>
      </c>
      <c r="D3664" s="19" t="n">
        <f aca="false">'CEMIUP0.9 Raw'!D1142</f>
        <v>0</v>
      </c>
      <c r="E3664" s="19" t="n">
        <f aca="false">'CEMIUP0.9 Raw'!E1142</f>
        <v>0</v>
      </c>
      <c r="F3664" s="19" t="n">
        <f aca="false">'CEMIUP0.9 Raw'!F1142</f>
        <v>2.52631578947368</v>
      </c>
      <c r="G3664" s="19" t="n">
        <f aca="false">'CEMIUP0.9 Raw'!G1142</f>
        <v>223.112842105263</v>
      </c>
      <c r="H3664" s="18" t="str">
        <f aca="false">'CEMIUP0.9 Raw'!A1142</f>
        <v>BE (CEMI internal group)</v>
      </c>
    </row>
    <row r="3665" customFormat="false" ht="15" hidden="false" customHeight="false" outlineLevel="0" collapsed="false">
      <c r="A3665" s="18" t="n">
        <f aca="false">'CEMIUP0.9 Raw'!B1146</f>
        <v>4413195</v>
      </c>
      <c r="B3665" s="18" t="str">
        <f aca="false">'CEMIUP0.9 Raw'!C1146</f>
        <v>87 S מקבע כתף ויד</v>
      </c>
      <c r="C3665" s="18" t="str">
        <f aca="false">'CEMIUP0.9 Raw'!C1146</f>
        <v>87 S מקבע כתף ויד</v>
      </c>
      <c r="D3665" s="19" t="n">
        <f aca="false">'CEMIUP0.9 Raw'!D1146</f>
        <v>2</v>
      </c>
      <c r="E3665" s="19" t="n">
        <f aca="false">'CEMIUP0.9 Raw'!E1146</f>
        <v>321.139</v>
      </c>
      <c r="F3665" s="19" t="n">
        <f aca="false">'CEMIUP0.9 Raw'!F1146</f>
        <v>2.52631578947368</v>
      </c>
      <c r="G3665" s="19" t="n">
        <f aca="false">'CEMIUP0.9 Raw'!G1146</f>
        <v>405.649263157895</v>
      </c>
      <c r="H3665" s="18" t="str">
        <f aca="false">'CEMIUP0.9 Raw'!A1146</f>
        <v>BE (CEMI internal group)</v>
      </c>
    </row>
    <row r="3666" customFormat="false" ht="15" hidden="false" customHeight="false" outlineLevel="0" collapsed="false">
      <c r="A3666" s="18" t="n">
        <f aca="false">'CEMIUP0.9 Raw'!B1177</f>
        <v>4413407</v>
      </c>
      <c r="B3666" s="18" t="str">
        <f aca="false">'CEMIUP0.9 Raw'!C1177</f>
        <v>SC95 L מגן מרפק</v>
      </c>
      <c r="C3666" s="18" t="str">
        <f aca="false">'CEMIUP0.9 Raw'!C1177</f>
        <v>SC95 L מגן מרפק</v>
      </c>
      <c r="D3666" s="19" t="n">
        <f aca="false">'CEMIUP0.9 Raw'!D1177</f>
        <v>4</v>
      </c>
      <c r="E3666" s="19" t="n">
        <f aca="false">'CEMIUP0.9 Raw'!E1177</f>
        <v>223.223</v>
      </c>
      <c r="F3666" s="19" t="n">
        <f aca="false">'CEMIUP0.9 Raw'!F1177</f>
        <v>2.52631578947368</v>
      </c>
      <c r="G3666" s="19" t="n">
        <f aca="false">'CEMIUP0.9 Raw'!G1177</f>
        <v>171.271578947368</v>
      </c>
      <c r="H3666" s="18" t="str">
        <f aca="false">'CEMIUP0.9 Raw'!A1177</f>
        <v>BE (CEMI internal group)</v>
      </c>
    </row>
    <row r="3667" customFormat="false" ht="15" hidden="false" customHeight="false" outlineLevel="0" collapsed="false">
      <c r="A3667" s="18" t="n">
        <f aca="false">'CEMIUP0.9 Raw'!B1183</f>
        <v>4413419</v>
      </c>
      <c r="B3667" s="18" t="str">
        <f aca="false">'CEMIUP0.9 Raw'!C1183</f>
        <v>SC39 XXLמגן שוק</v>
      </c>
      <c r="C3667" s="18" t="str">
        <f aca="false">'CEMIUP0.9 Raw'!C1183</f>
        <v>SC39 XXLמגן שוק</v>
      </c>
      <c r="D3667" s="19" t="n">
        <f aca="false">'CEMIUP0.9 Raw'!D1183</f>
        <v>-4</v>
      </c>
      <c r="E3667" s="19" t="n">
        <f aca="false">'CEMIUP0.9 Raw'!E1183</f>
        <v>-542.633</v>
      </c>
      <c r="F3667" s="19" t="n">
        <f aca="false">'CEMIUP0.9 Raw'!F1183</f>
        <v>2.52631578947368</v>
      </c>
      <c r="G3667" s="19" t="n">
        <f aca="false">'CEMIUP0.9 Raw'!G1183</f>
        <v>312.082105263158</v>
      </c>
      <c r="H3667" s="18" t="str">
        <f aca="false">'CEMIUP0.9 Raw'!A1183</f>
        <v>BE (CEMI internal group)</v>
      </c>
    </row>
    <row r="3668" customFormat="false" ht="15" hidden="false" customHeight="false" outlineLevel="0" collapsed="false">
      <c r="A3668" s="18" t="n">
        <f aca="false">'CEMIUP0.9 Raw'!B1268</f>
        <v>4422005</v>
      </c>
      <c r="B3668" s="18" t="str">
        <f aca="false">'CEMIUP0.9 Raw'!C1268</f>
        <v>T78 M תומך זרוע וכתף</v>
      </c>
      <c r="C3668" s="18" t="str">
        <f aca="false">'CEMIUP0.9 Raw'!C1268</f>
        <v>T78 M תומך זרוע וכתף</v>
      </c>
      <c r="D3668" s="19" t="n">
        <f aca="false">'CEMIUP0.9 Raw'!D1268</f>
        <v>5</v>
      </c>
      <c r="E3668" s="19" t="n">
        <f aca="false">'CEMIUP0.9 Raw'!E1268</f>
        <v>852.215</v>
      </c>
      <c r="F3668" s="19" t="n">
        <f aca="false">'CEMIUP0.9 Raw'!F1268</f>
        <v>2.52631578947368</v>
      </c>
      <c r="G3668" s="19" t="n">
        <f aca="false">'CEMIUP0.9 Raw'!G1268</f>
        <v>430.592842105263</v>
      </c>
      <c r="H3668" s="18" t="str">
        <f aca="false">'CEMIUP0.9 Raw'!A1268</f>
        <v>BE (CEMI internal group)</v>
      </c>
    </row>
    <row r="3669" customFormat="false" ht="15" hidden="false" customHeight="false" outlineLevel="0" collapsed="false">
      <c r="A3669" s="18" t="n">
        <f aca="false">'CEMIUP0.9 Raw'!B1269</f>
        <v>4422006</v>
      </c>
      <c r="B3669" s="18" t="str">
        <f aca="false">'CEMIUP0.9 Raw'!C1269</f>
        <v>T78 L תומך זרוע וכתף</v>
      </c>
      <c r="C3669" s="18" t="str">
        <f aca="false">'CEMIUP0.9 Raw'!C1269</f>
        <v>T78 L תומך זרוע וכתף</v>
      </c>
      <c r="D3669" s="19" t="n">
        <f aca="false">'CEMIUP0.9 Raw'!D1269</f>
        <v>2</v>
      </c>
      <c r="E3669" s="19" t="n">
        <f aca="false">'CEMIUP0.9 Raw'!E1269</f>
        <v>340.886</v>
      </c>
      <c r="F3669" s="19" t="n">
        <f aca="false">'CEMIUP0.9 Raw'!F1269</f>
        <v>2.52631578947368</v>
      </c>
      <c r="G3669" s="19" t="n">
        <f aca="false">'CEMIUP0.9 Raw'!G1269</f>
        <v>430.592842105263</v>
      </c>
      <c r="H3669" s="18" t="str">
        <f aca="false">'CEMIUP0.9 Raw'!A1269</f>
        <v>BE (CEMI internal group)</v>
      </c>
    </row>
    <row r="3670" customFormat="false" ht="15" hidden="false" customHeight="false" outlineLevel="0" collapsed="false">
      <c r="A3670" s="18" t="n">
        <f aca="false">'CEMIUP0.9 Raw'!B1348</f>
        <v>4408090</v>
      </c>
      <c r="B3670" s="18" t="str">
        <f aca="false">'CEMIUP0.9 Raw'!C1348</f>
        <v>T11C L  חגורת גב פוג'יאמה</v>
      </c>
      <c r="C3670" s="18" t="str">
        <f aca="false">'CEMIUP0.9 Raw'!C1348</f>
        <v>T11C L  חגורת גב פוג'יאמה</v>
      </c>
      <c r="D3670" s="19" t="n">
        <f aca="false">'CEMIUP0.9 Raw'!D1348</f>
        <v>9</v>
      </c>
      <c r="E3670" s="19" t="n">
        <f aca="false">'CEMIUP0.9 Raw'!E1348</f>
        <v>663.299</v>
      </c>
      <c r="F3670" s="19" t="n">
        <f aca="false">'CEMIUP0.9 Raw'!F1348</f>
        <v>2.52631578947368</v>
      </c>
      <c r="G3670" s="19" t="n">
        <f aca="false">'CEMIUP0.9 Raw'!G1348</f>
        <v>183.685894736842</v>
      </c>
      <c r="H3670" s="18" t="str">
        <f aca="false">'CEMIUP0.9 Raw'!A1348</f>
        <v>Super-Pharm Israel (CEMI internal group)</v>
      </c>
    </row>
    <row r="3671" customFormat="false" ht="15" hidden="false" customHeight="false" outlineLevel="0" collapsed="false">
      <c r="A3671" s="18" t="n">
        <f aca="false">'CEMIUP0.9 Raw'!B1382</f>
        <v>4408226</v>
      </c>
      <c r="B3671" s="18" t="str">
        <f aca="false">'CEMIUP0.9 Raw'!C1382</f>
        <v>L 11 אפורUG חגורת בטן</v>
      </c>
      <c r="C3671" s="18" t="str">
        <f aca="false">'CEMIUP0.9 Raw'!C1382</f>
        <v>L 11 אפורUG חגורת בטן</v>
      </c>
      <c r="D3671" s="19" t="n">
        <f aca="false">'CEMIUP0.9 Raw'!D1382</f>
        <v>45</v>
      </c>
      <c r="E3671" s="19" t="n">
        <f aca="false">'CEMIUP0.9 Raw'!E1382</f>
        <v>3286.283</v>
      </c>
      <c r="F3671" s="19" t="n">
        <f aca="false">'CEMIUP0.9 Raw'!F1382</f>
        <v>2.52631578947368</v>
      </c>
      <c r="G3671" s="19" t="n">
        <f aca="false">'CEMIUP0.9 Raw'!G1382</f>
        <v>233.458105263158</v>
      </c>
      <c r="H3671" s="18" t="str">
        <f aca="false">'CEMIUP0.9 Raw'!A1382</f>
        <v>Super-Pharm Israel (CEMI internal group)</v>
      </c>
    </row>
    <row r="3672" customFormat="false" ht="15" hidden="false" customHeight="false" outlineLevel="0" collapsed="false">
      <c r="A3672" s="18" t="n">
        <f aca="false">'CEMIUP0.9 Raw'!B1460</f>
        <v>4413072</v>
      </c>
      <c r="B3672" s="18" t="str">
        <f aca="false">'CEMIUP0.9 Raw'!C1460</f>
        <v>41 Lמ.ברך מוצלב+ספירלות בצדדים</v>
      </c>
      <c r="C3672" s="18" t="str">
        <f aca="false">'CEMIUP0.9 Raw'!C1460</f>
        <v>41 Lמ.ברך מוצלב+ספירלות בצדדים</v>
      </c>
      <c r="D3672" s="19" t="n">
        <f aca="false">'CEMIUP0.9 Raw'!D1460</f>
        <v>3</v>
      </c>
      <c r="E3672" s="19" t="n">
        <f aca="false">'CEMIUP0.9 Raw'!E1460</f>
        <v>290.654</v>
      </c>
      <c r="F3672" s="19" t="n">
        <f aca="false">'CEMIUP0.9 Raw'!F1460</f>
        <v>2.52631578947368</v>
      </c>
      <c r="G3672" s="19" t="n">
        <f aca="false">'CEMIUP0.9 Raw'!G1460</f>
        <v>248.401263157895</v>
      </c>
      <c r="H3672" s="18" t="str">
        <f aca="false">'CEMIUP0.9 Raw'!A1460</f>
        <v>Super-Pharm Israel (CEMI internal group)</v>
      </c>
    </row>
    <row r="3673" customFormat="false" ht="15" hidden="false" customHeight="false" outlineLevel="0" collapsed="false">
      <c r="A3673" s="18" t="n">
        <f aca="false">'CEMIUP0.9 Raw'!B1461</f>
        <v>4413073</v>
      </c>
      <c r="B3673" s="18" t="str">
        <f aca="false">'CEMIUP0.9 Raw'!C1461</f>
        <v>41 Mמ.ברך מוצלב+ספירלות בצדדים</v>
      </c>
      <c r="C3673" s="18" t="str">
        <f aca="false">'CEMIUP0.9 Raw'!C1461</f>
        <v>41 Mמ.ברך מוצלב+ספירלות בצדדים</v>
      </c>
      <c r="D3673" s="19" t="n">
        <f aca="false">'CEMIUP0.9 Raw'!D1461</f>
        <v>1</v>
      </c>
      <c r="E3673" s="19" t="n">
        <f aca="false">'CEMIUP0.9 Raw'!E1461</f>
        <v>96.915</v>
      </c>
      <c r="F3673" s="19" t="n">
        <f aca="false">'CEMIUP0.9 Raw'!F1461</f>
        <v>2.52631578947368</v>
      </c>
      <c r="G3673" s="19" t="n">
        <f aca="false">'CEMIUP0.9 Raw'!G1461</f>
        <v>244.837894736842</v>
      </c>
      <c r="H3673" s="18" t="str">
        <f aca="false">'CEMIUP0.9 Raw'!A1461</f>
        <v>Super-Pharm Israel (CEMI internal group)</v>
      </c>
    </row>
    <row r="3674" customFormat="false" ht="15" hidden="false" customHeight="false" outlineLevel="0" collapsed="false">
      <c r="A3674" s="18" t="n">
        <f aca="false">'CEMIUP0.9 Raw'!B1493</f>
        <v>4413115</v>
      </c>
      <c r="B3674" s="18" t="str">
        <f aca="false">'CEMIUP0.9 Raw'!C1493</f>
        <v>49 XXL מגן ירך</v>
      </c>
      <c r="C3674" s="18" t="str">
        <f aca="false">'CEMIUP0.9 Raw'!C1493</f>
        <v>49 XXL מגן ירך</v>
      </c>
      <c r="D3674" s="19" t="n">
        <f aca="false">'CEMIUP0.9 Raw'!D1493</f>
        <v>1</v>
      </c>
      <c r="E3674" s="19" t="n">
        <f aca="false">'CEMIUP0.9 Raw'!E1493</f>
        <v>26.026</v>
      </c>
      <c r="F3674" s="19" t="n">
        <f aca="false">'CEMIUP0.9 Raw'!F1493</f>
        <v>2.52631578947368</v>
      </c>
      <c r="G3674" s="19" t="n">
        <f aca="false">'CEMIUP0.9 Raw'!G1493</f>
        <v>84.2564210526316</v>
      </c>
      <c r="H3674" s="18" t="str">
        <f aca="false">'CEMIUP0.9 Raw'!A1493</f>
        <v>Super-Pharm Israel (CEMI internal group)</v>
      </c>
    </row>
    <row r="3675" customFormat="false" ht="15" hidden="false" customHeight="false" outlineLevel="0" collapsed="false">
      <c r="A3675" s="18" t="str">
        <f aca="false">'SALES Raw'!G20</f>
        <v/>
      </c>
      <c r="B3675" s="18" t="str">
        <f aca="false">'SALES Raw'!B20</f>
        <v>099-L-XL</v>
      </c>
      <c r="C3675" s="18" t="str">
        <f aca="false">'SALES Raw'!H20</f>
        <v>099-L-XL</v>
      </c>
      <c r="D3675" s="19" t="n">
        <f aca="false">'SALES Raw'!C20</f>
        <v>0</v>
      </c>
      <c r="E3675" s="19" t="n">
        <f aca="false">'SALES Raw'!D20</f>
        <v>0</v>
      </c>
      <c r="F3675" s="19" t="n">
        <f aca="false">'SALES Raw'!E20*$H$4</f>
        <v>1.26315789473684</v>
      </c>
      <c r="G3675" s="19" t="n">
        <f aca="false">'SALES Raw'!F20*$H$4</f>
        <v>173.431578947368</v>
      </c>
      <c r="H3675" s="18" t="str">
        <f aca="false">'SALES Raw'!A20</f>
        <v>101 - Factory customers</v>
      </c>
    </row>
    <row r="3676" customFormat="false" ht="15" hidden="false" customHeight="false" outlineLevel="0" collapsed="false">
      <c r="A3676" s="18" t="n">
        <f aca="false">'SALES Raw'!G26</f>
        <v>4408115</v>
      </c>
      <c r="B3676" s="18" t="str">
        <f aca="false">'SALES Raw'!B26</f>
        <v>11EU L</v>
      </c>
      <c r="C3676" s="18" t="str">
        <f aca="false">'SALES Raw'!H26</f>
        <v>11EU L ח.בטן לאחר ניתוח</v>
      </c>
      <c r="D3676" s="19" t="n">
        <f aca="false">'SALES Raw'!C26</f>
        <v>0</v>
      </c>
      <c r="E3676" s="19" t="n">
        <f aca="false">'SALES Raw'!D26</f>
        <v>0</v>
      </c>
      <c r="F3676" s="19" t="n">
        <f aca="false">'SALES Raw'!E26*$H$4</f>
        <v>1.26315789473684</v>
      </c>
      <c r="G3676" s="19" t="n">
        <f aca="false">'SALES Raw'!F26*$H$4</f>
        <v>139.086315789474</v>
      </c>
      <c r="H3676" s="18" t="str">
        <f aca="false">'SALES Raw'!A26</f>
        <v>101 - Factory customers</v>
      </c>
    </row>
    <row r="3677" customFormat="false" ht="15" hidden="false" customHeight="false" outlineLevel="0" collapsed="false">
      <c r="A3677" s="18" t="n">
        <f aca="false">'SALES Raw'!G27</f>
        <v>4408114</v>
      </c>
      <c r="B3677" s="18" t="str">
        <f aca="false">'SALES Raw'!B27</f>
        <v>11EU M</v>
      </c>
      <c r="C3677" s="18" t="str">
        <f aca="false">'SALES Raw'!H27</f>
        <v>11EU M ח.בטן לאחר ניתוח</v>
      </c>
      <c r="D3677" s="19" t="n">
        <f aca="false">'SALES Raw'!C27</f>
        <v>1</v>
      </c>
      <c r="E3677" s="19" t="n">
        <f aca="false">'SALES Raw'!D27</f>
        <v>110.15</v>
      </c>
      <c r="F3677" s="19" t="n">
        <f aca="false">'SALES Raw'!E27*$H$4</f>
        <v>1.26315789473684</v>
      </c>
      <c r="G3677" s="19" t="n">
        <f aca="false">'SALES Raw'!F27*$H$4</f>
        <v>107.368421052632</v>
      </c>
      <c r="H3677" s="18" t="str">
        <f aca="false">'SALES Raw'!A27</f>
        <v>101 - Factory customers</v>
      </c>
    </row>
    <row r="3678" customFormat="false" ht="15" hidden="false" customHeight="false" outlineLevel="0" collapsed="false">
      <c r="A3678" s="18" t="str">
        <f aca="false">'SALES Raw'!G28</f>
        <v/>
      </c>
      <c r="B3678" s="18" t="str">
        <f aca="false">'SALES Raw'!B28</f>
        <v>11EU S</v>
      </c>
      <c r="C3678" s="18" t="str">
        <f aca="false">'SALES Raw'!H28</f>
        <v>11EU S</v>
      </c>
      <c r="D3678" s="19" t="n">
        <f aca="false">'SALES Raw'!C28</f>
        <v>0</v>
      </c>
      <c r="E3678" s="19" t="n">
        <f aca="false">'SALES Raw'!D28</f>
        <v>0</v>
      </c>
      <c r="F3678" s="19" t="n">
        <f aca="false">'SALES Raw'!E28*$H$4</f>
        <v>1.26315789473684</v>
      </c>
      <c r="G3678" s="19" t="n">
        <f aca="false">'SALES Raw'!F28*$H$4</f>
        <v>139.086315789474</v>
      </c>
      <c r="H3678" s="18" t="str">
        <f aca="false">'SALES Raw'!A28</f>
        <v>101 - Factory customers</v>
      </c>
    </row>
    <row r="3679" customFormat="false" ht="15" hidden="false" customHeight="false" outlineLevel="0" collapsed="false">
      <c r="A3679" s="18" t="n">
        <f aca="false">'SALES Raw'!G30</f>
        <v>4408154</v>
      </c>
      <c r="B3679" s="18" t="str">
        <f aca="false">'SALES Raw'!B30</f>
        <v>11TO XXL</v>
      </c>
      <c r="C3679" s="18" t="str">
        <f aca="false">'SALES Raw'!H30</f>
        <v>11TO XXLחגורה למנותחי בית החזה</v>
      </c>
      <c r="D3679" s="19" t="n">
        <f aca="false">'SALES Raw'!C30</f>
        <v>1</v>
      </c>
      <c r="E3679" s="19" t="n">
        <f aca="false">'SALES Raw'!D30</f>
        <v>155.95</v>
      </c>
      <c r="F3679" s="19" t="n">
        <f aca="false">'SALES Raw'!E30*$H$4</f>
        <v>1.26315789473684</v>
      </c>
      <c r="G3679" s="19" t="n">
        <f aca="false">'SALES Raw'!F30*$H$4</f>
        <v>396.568421052632</v>
      </c>
      <c r="H3679" s="18" t="str">
        <f aca="false">'SALES Raw'!A30</f>
        <v>101 - Factory customers</v>
      </c>
    </row>
    <row r="3680" customFormat="false" ht="15" hidden="false" customHeight="false" outlineLevel="0" collapsed="false">
      <c r="A3680" s="18" t="str">
        <f aca="false">'SALES Raw'!G34</f>
        <v/>
      </c>
      <c r="B3680" s="18" t="str">
        <f aca="false">'SALES Raw'!B34</f>
        <v>13 L</v>
      </c>
      <c r="C3680" s="18" t="str">
        <f aca="false">'SALES Raw'!H34</f>
        <v>13 L</v>
      </c>
      <c r="D3680" s="19" t="n">
        <f aca="false">'SALES Raw'!C34</f>
        <v>1</v>
      </c>
      <c r="E3680" s="19" t="n">
        <f aca="false">'SALES Raw'!D34</f>
        <v>156.97</v>
      </c>
      <c r="F3680" s="19" t="n">
        <f aca="false">'SALES Raw'!E34*$H$4</f>
        <v>1.26315789473684</v>
      </c>
      <c r="G3680" s="19" t="n">
        <f aca="false">'SALES Raw'!F34*$H$4</f>
        <v>145.263157894737</v>
      </c>
      <c r="H3680" s="18" t="str">
        <f aca="false">'SALES Raw'!A34</f>
        <v>101 - Factory customers</v>
      </c>
    </row>
    <row r="3681" customFormat="false" ht="15" hidden="false" customHeight="false" outlineLevel="0" collapsed="false">
      <c r="A3681" s="18" t="n">
        <f aca="false">'SALES Raw'!G36</f>
        <v>4408203</v>
      </c>
      <c r="B3681" s="18" t="str">
        <f aca="false">'SALES Raw'!B36</f>
        <v>14 0</v>
      </c>
      <c r="C3681" s="18" t="str">
        <f aca="false">'SALES Raw'!H36</f>
        <v>14 0 חגורה למנותחי בית חזה</v>
      </c>
      <c r="D3681" s="19" t="n">
        <f aca="false">'SALES Raw'!C36</f>
        <v>3</v>
      </c>
      <c r="E3681" s="19" t="n">
        <f aca="false">'SALES Raw'!D36</f>
        <v>692.4</v>
      </c>
      <c r="F3681" s="19" t="n">
        <f aca="false">'SALES Raw'!E36*$H$4</f>
        <v>1.26315789473684</v>
      </c>
      <c r="G3681" s="19" t="n">
        <f aca="false">'SALES Raw'!F36*$H$4</f>
        <v>0.0126315789473684</v>
      </c>
      <c r="H3681" s="18" t="str">
        <f aca="false">'SALES Raw'!A36</f>
        <v>101 - Factory customers</v>
      </c>
    </row>
    <row r="3682" customFormat="false" ht="15" hidden="false" customHeight="false" outlineLevel="0" collapsed="false">
      <c r="A3682" s="18" t="n">
        <f aca="false">'SALES Raw'!G44</f>
        <v>4408230</v>
      </c>
      <c r="B3682" s="18" t="str">
        <f aca="false">'SALES Raw'!B44</f>
        <v>16-L-XL</v>
      </c>
      <c r="C3682" s="18" t="str">
        <f aca="false">'SALES Raw'!H44</f>
        <v>16 L-XL חגורת הריון</v>
      </c>
      <c r="D3682" s="19" t="n">
        <f aca="false">'SALES Raw'!C44</f>
        <v>1</v>
      </c>
      <c r="E3682" s="19" t="n">
        <f aca="false">'SALES Raw'!D44</f>
        <v>126.51</v>
      </c>
      <c r="F3682" s="19" t="n">
        <f aca="false">'SALES Raw'!E44*$H$4</f>
        <v>1.26315789473684</v>
      </c>
      <c r="G3682" s="19" t="n">
        <f aca="false">'SALES Raw'!F44*$H$4</f>
        <v>159.802105263158</v>
      </c>
      <c r="H3682" s="18" t="str">
        <f aca="false">'SALES Raw'!A44</f>
        <v>101 - Factory customers</v>
      </c>
    </row>
    <row r="3683" customFormat="false" ht="15" hidden="false" customHeight="false" outlineLevel="0" collapsed="false">
      <c r="A3683" s="18" t="n">
        <f aca="false">'SALES Raw'!G45</f>
        <v>4408231</v>
      </c>
      <c r="B3683" s="18" t="str">
        <f aca="false">'SALES Raw'!B45</f>
        <v>16-S-M</v>
      </c>
      <c r="C3683" s="18" t="str">
        <f aca="false">'SALES Raw'!H45</f>
        <v>16 S-M חגורת הריון</v>
      </c>
      <c r="D3683" s="19" t="n">
        <f aca="false">'SALES Raw'!C45</f>
        <v>1</v>
      </c>
      <c r="E3683" s="19" t="n">
        <f aca="false">'SALES Raw'!D45</f>
        <v>0.01</v>
      </c>
      <c r="F3683" s="19" t="n">
        <f aca="false">'SALES Raw'!E45*$H$4</f>
        <v>1.26315789473684</v>
      </c>
      <c r="G3683" s="19" t="n">
        <f aca="false">'SALES Raw'!F45*$H$4</f>
        <v>159.802105263158</v>
      </c>
      <c r="H3683" s="18" t="str">
        <f aca="false">'SALES Raw'!A45</f>
        <v>101 - Factory customers</v>
      </c>
    </row>
    <row r="3684" customFormat="false" ht="15" hidden="false" customHeight="false" outlineLevel="0" collapsed="false">
      <c r="A3684" s="18" t="n">
        <f aca="false">'SALES Raw'!G54</f>
        <v>4415162</v>
      </c>
      <c r="B3684" s="18" t="str">
        <f aca="false">'SALES Raw'!B54</f>
        <v>238 L</v>
      </c>
      <c r="C3684" s="18" t="str">
        <f aca="false">'SALES Raw'!H54</f>
        <v>238L סד ליישור אצבע</v>
      </c>
      <c r="D3684" s="19" t="n">
        <f aca="false">'SALES Raw'!C54</f>
        <v>7</v>
      </c>
      <c r="E3684" s="19" t="n">
        <f aca="false">'SALES Raw'!D54</f>
        <v>140.76</v>
      </c>
      <c r="F3684" s="19" t="n">
        <f aca="false">'SALES Raw'!E54*$H$4</f>
        <v>1.26315789473684</v>
      </c>
      <c r="G3684" s="19" t="n">
        <f aca="false">'SALES Raw'!F54*$H$4</f>
        <v>0.0126315789473684</v>
      </c>
      <c r="H3684" s="18" t="str">
        <f aca="false">'SALES Raw'!A54</f>
        <v>101 - Factory customers</v>
      </c>
    </row>
    <row r="3685" customFormat="false" ht="15" hidden="false" customHeight="false" outlineLevel="0" collapsed="false">
      <c r="A3685" s="18" t="n">
        <f aca="false">'SALES Raw'!G57</f>
        <v>4419011</v>
      </c>
      <c r="B3685" s="18" t="str">
        <f aca="false">'SALES Raw'!B57</f>
        <v>239B-S-M</v>
      </c>
      <c r="C3685" s="18" t="str">
        <f aca="false">'SALES Raw'!H57</f>
        <v>239B S-M STRAP4U</v>
      </c>
      <c r="D3685" s="19" t="n">
        <f aca="false">'SALES Raw'!C57</f>
        <v>8</v>
      </c>
      <c r="E3685" s="19" t="n">
        <f aca="false">'SALES Raw'!D57</f>
        <v>191.39</v>
      </c>
      <c r="F3685" s="19" t="n">
        <f aca="false">'SALES Raw'!E57*$H$4</f>
        <v>1.26315789473684</v>
      </c>
      <c r="G3685" s="19" t="n">
        <f aca="false">'SALES Raw'!F57*$H$4</f>
        <v>30.6442105263158</v>
      </c>
      <c r="H3685" s="18" t="str">
        <f aca="false">'SALES Raw'!A57</f>
        <v>101 - Factory customers</v>
      </c>
    </row>
    <row r="3686" customFormat="false" ht="15" hidden="false" customHeight="false" outlineLevel="0" collapsed="false">
      <c r="A3686" s="18" t="str">
        <f aca="false">'SALES Raw'!G66</f>
        <v/>
      </c>
      <c r="B3686" s="18" t="str">
        <f aca="false">'SALES Raw'!B66</f>
        <v>30 M</v>
      </c>
      <c r="C3686" s="18" t="str">
        <f aca="false">'SALES Raw'!H66</f>
        <v>30 M</v>
      </c>
      <c r="D3686" s="19" t="n">
        <f aca="false">'SALES Raw'!C66</f>
        <v>0</v>
      </c>
      <c r="E3686" s="19" t="n">
        <f aca="false">'SALES Raw'!D66</f>
        <v>0</v>
      </c>
      <c r="F3686" s="19" t="n">
        <f aca="false">'SALES Raw'!E66*$H$4</f>
        <v>1.26315789473684</v>
      </c>
      <c r="G3686" s="19" t="n">
        <f aca="false">'SALES Raw'!F66*$H$4</f>
        <v>84.0126315789474</v>
      </c>
      <c r="H3686" s="18" t="str">
        <f aca="false">'SALES Raw'!A66</f>
        <v>101 - Factory customers</v>
      </c>
    </row>
    <row r="3687" customFormat="false" ht="15" hidden="false" customHeight="false" outlineLevel="0" collapsed="false">
      <c r="A3687" s="18" t="n">
        <f aca="false">'SALES Raw'!G68</f>
        <v>4413348</v>
      </c>
      <c r="B3687" s="18" t="str">
        <f aca="false">'SALES Raw'!B68</f>
        <v>302M 0</v>
      </c>
      <c r="C3687" s="18" t="str">
        <f aca="false">'SALES Raw'!H68</f>
        <v>302 מדרס ג'ל לגבר</v>
      </c>
      <c r="D3687" s="19" t="n">
        <f aca="false">'SALES Raw'!C68</f>
        <v>42</v>
      </c>
      <c r="E3687" s="19" t="n">
        <f aca="false">'SALES Raw'!D68</f>
        <v>869.48</v>
      </c>
      <c r="F3687" s="19" t="n">
        <f aca="false">'SALES Raw'!E68*$H$4</f>
        <v>1.26315789473684</v>
      </c>
      <c r="G3687" s="19" t="n">
        <f aca="false">'SALES Raw'!F68*$H$4</f>
        <v>0.0126315789473684</v>
      </c>
      <c r="H3687" s="18" t="str">
        <f aca="false">'SALES Raw'!A68</f>
        <v>101 - Factory customers</v>
      </c>
    </row>
    <row r="3688" customFormat="false" ht="15" hidden="false" customHeight="false" outlineLevel="0" collapsed="false">
      <c r="A3688" s="18" t="n">
        <f aca="false">'SALES Raw'!G71</f>
        <v>4413156</v>
      </c>
      <c r="B3688" s="18" t="str">
        <f aca="false">'SALES Raw'!B71</f>
        <v>305GA-41-42</v>
      </c>
      <c r="C3688" s="18" t="str">
        <f aca="false">'SALES Raw'!H71</f>
        <v>305GA מדרס אורטופ.מתכוון41-42</v>
      </c>
      <c r="D3688" s="19" t="n">
        <f aca="false">'SALES Raw'!C71</f>
        <v>4</v>
      </c>
      <c r="E3688" s="19" t="n">
        <f aca="false">'SALES Raw'!D71</f>
        <v>404.47</v>
      </c>
      <c r="F3688" s="19" t="n">
        <f aca="false">'SALES Raw'!E71*$H$4</f>
        <v>1.26315789473684</v>
      </c>
      <c r="G3688" s="19" t="n">
        <f aca="false">'SALES Raw'!F71*$H$4</f>
        <v>78.9094736842105</v>
      </c>
      <c r="H3688" s="18" t="str">
        <f aca="false">'SALES Raw'!A71</f>
        <v>101 - Factory customers</v>
      </c>
    </row>
    <row r="3689" customFormat="false" ht="15" hidden="false" customHeight="false" outlineLevel="0" collapsed="false">
      <c r="A3689" s="18" t="n">
        <f aca="false">'SALES Raw'!G72</f>
        <v>4413157</v>
      </c>
      <c r="B3689" s="18" t="str">
        <f aca="false">'SALES Raw'!B72</f>
        <v>305GA-43-44</v>
      </c>
      <c r="C3689" s="18" t="str">
        <f aca="false">'SALES Raw'!H72</f>
        <v>305GA מדרס אורטופ.מתכוון43-44</v>
      </c>
      <c r="D3689" s="19" t="n">
        <f aca="false">'SALES Raw'!C72</f>
        <v>2</v>
      </c>
      <c r="E3689" s="19" t="n">
        <f aca="false">'SALES Raw'!D72</f>
        <v>185.84</v>
      </c>
      <c r="F3689" s="19" t="n">
        <f aca="false">'SALES Raw'!E72*$H$4</f>
        <v>1.26315789473684</v>
      </c>
      <c r="G3689" s="19" t="n">
        <f aca="false">'SALES Raw'!F72*$H$4</f>
        <v>118.357894736842</v>
      </c>
      <c r="H3689" s="18" t="str">
        <f aca="false">'SALES Raw'!A72</f>
        <v>101 - Factory customers</v>
      </c>
    </row>
    <row r="3690" customFormat="false" ht="15" hidden="false" customHeight="false" outlineLevel="0" collapsed="false">
      <c r="A3690" s="18" t="n">
        <f aca="false">'SALES Raw'!G73</f>
        <v>4413158</v>
      </c>
      <c r="B3690" s="18" t="str">
        <f aca="false">'SALES Raw'!B73</f>
        <v>305GA-45-46</v>
      </c>
      <c r="C3690" s="18" t="str">
        <f aca="false">'SALES Raw'!H73</f>
        <v>305GA מדרס אורטופ.מתכוון45-46</v>
      </c>
      <c r="D3690" s="19" t="n">
        <f aca="false">'SALES Raw'!C73</f>
        <v>1</v>
      </c>
      <c r="E3690" s="19" t="n">
        <f aca="false">'SALES Raw'!D73</f>
        <v>93.7</v>
      </c>
      <c r="F3690" s="19" t="n">
        <f aca="false">'SALES Raw'!E73*$H$4</f>
        <v>1.26315789473684</v>
      </c>
      <c r="G3690" s="19" t="n">
        <f aca="false">'SALES Raw'!F73*$H$4</f>
        <v>118.357894736842</v>
      </c>
      <c r="H3690" s="18" t="str">
        <f aca="false">'SALES Raw'!A73</f>
        <v>101 - Factory customers</v>
      </c>
    </row>
    <row r="3691" customFormat="false" ht="15" hidden="false" customHeight="false" outlineLevel="0" collapsed="false">
      <c r="A3691" s="18" t="n">
        <f aca="false">'SALES Raw'!G74</f>
        <v>4416000</v>
      </c>
      <c r="B3691" s="18" t="str">
        <f aca="false">'SALES Raw'!B74</f>
        <v>307 L</v>
      </c>
      <c r="C3691" s="18" t="str">
        <f aca="false">'SALES Raw'!H74</f>
        <v>307 L עקבים לדורבן-זוג כריות</v>
      </c>
      <c r="D3691" s="19" t="n">
        <f aca="false">'SALES Raw'!C74</f>
        <v>2</v>
      </c>
      <c r="E3691" s="19" t="n">
        <f aca="false">'SALES Raw'!D74</f>
        <v>175.71</v>
      </c>
      <c r="F3691" s="19" t="n">
        <f aca="false">'SALES Raw'!E74*$H$4</f>
        <v>1.26315789473684</v>
      </c>
      <c r="G3691" s="19" t="n">
        <f aca="false">'SALES Raw'!F74*$H$4</f>
        <v>105.385263157895</v>
      </c>
      <c r="H3691" s="18" t="str">
        <f aca="false">'SALES Raw'!A74</f>
        <v>101 - Factory customers</v>
      </c>
    </row>
    <row r="3692" customFormat="false" ht="15" hidden="false" customHeight="false" outlineLevel="0" collapsed="false">
      <c r="A3692" s="18" t="n">
        <f aca="false">'SALES Raw'!G78</f>
        <v>4413033</v>
      </c>
      <c r="B3692" s="18" t="str">
        <f aca="false">'SALES Raw'!B78</f>
        <v>311 0</v>
      </c>
      <c r="C3692" s="18" t="str">
        <f aca="false">'SALES Raw'!H78</f>
        <v>311'מדב.ג'ל למניעת שפשוף 5 יח</v>
      </c>
      <c r="D3692" s="19" t="n">
        <f aca="false">'SALES Raw'!C78</f>
        <v>7</v>
      </c>
      <c r="E3692" s="19" t="n">
        <f aca="false">'SALES Raw'!D78</f>
        <v>134.09</v>
      </c>
      <c r="F3692" s="19" t="n">
        <f aca="false">'SALES Raw'!E78*$H$4</f>
        <v>1.26315789473684</v>
      </c>
      <c r="G3692" s="19" t="n">
        <f aca="false">'SALES Raw'!F78*$H$4</f>
        <v>0.0126315789473684</v>
      </c>
      <c r="H3692" s="18" t="str">
        <f aca="false">'SALES Raw'!A78</f>
        <v>101 - Factory customers</v>
      </c>
    </row>
    <row r="3693" customFormat="false" ht="15" hidden="false" customHeight="false" outlineLevel="0" collapsed="false">
      <c r="A3693" s="18" t="n">
        <f aca="false">'SALES Raw'!G79</f>
        <v>4413034</v>
      </c>
      <c r="B3693" s="18" t="str">
        <f aca="false">'SALES Raw'!B79</f>
        <v>312 0</v>
      </c>
      <c r="C3693" s="18" t="str">
        <f aca="false">'SALES Raw'!H79</f>
        <v>312 9 מ""""ס להתאמהX5 מדבקה גדולה</v>
      </c>
      <c r="D3693" s="19" t="n">
        <f aca="false">'SALES Raw'!C79</f>
        <v>7</v>
      </c>
      <c r="E3693" s="19" t="n">
        <f aca="false">'SALES Raw'!D79</f>
        <v>148.81</v>
      </c>
      <c r="F3693" s="19" t="n">
        <f aca="false">'SALES Raw'!E79*$H$4</f>
        <v>1.26315789473684</v>
      </c>
      <c r="G3693" s="19" t="n">
        <f aca="false">'SALES Raw'!F79*$H$4</f>
        <v>27.7642105263158</v>
      </c>
      <c r="H3693" s="18" t="str">
        <f aca="false">'SALES Raw'!A79</f>
        <v>101 - Factory customers</v>
      </c>
    </row>
    <row r="3694" customFormat="false" ht="15" hidden="false" customHeight="false" outlineLevel="0" collapsed="false">
      <c r="A3694" s="18" t="n">
        <f aca="false">'SALES Raw'!G80</f>
        <v>4415297</v>
      </c>
      <c r="B3694" s="18" t="str">
        <f aca="false">'SALES Raw'!B80</f>
        <v>313 0</v>
      </c>
      <c r="C3694" s="18" t="str">
        <f aca="false">'SALES Raw'!H80</f>
        <v>313 סט פלסטרים נגד שפשופים</v>
      </c>
      <c r="D3694" s="19" t="n">
        <f aca="false">'SALES Raw'!C80</f>
        <v>7</v>
      </c>
      <c r="E3694" s="19" t="n">
        <f aca="false">'SALES Raw'!D80</f>
        <v>133.6</v>
      </c>
      <c r="F3694" s="19" t="n">
        <f aca="false">'SALES Raw'!E80*$H$4</f>
        <v>1.26315789473684</v>
      </c>
      <c r="G3694" s="19" t="n">
        <f aca="false">'SALES Raw'!F80*$H$4</f>
        <v>30.1389473684211</v>
      </c>
      <c r="H3694" s="18" t="str">
        <f aca="false">'SALES Raw'!A80</f>
        <v>101 - Factory customers</v>
      </c>
    </row>
    <row r="3695" customFormat="false" ht="15" hidden="false" customHeight="false" outlineLevel="0" collapsed="false">
      <c r="A3695" s="18" t="n">
        <f aca="false">'SALES Raw'!G81</f>
        <v>4415013</v>
      </c>
      <c r="B3695" s="18" t="str">
        <f aca="false">'SALES Raw'!B81</f>
        <v>32 XL</v>
      </c>
      <c r="C3695" s="18" t="str">
        <f aca="false">'SALES Raw'!H81</f>
        <v>32 XL סד קרסול+מוטות אלומיניום</v>
      </c>
      <c r="D3695" s="19" t="n">
        <f aca="false">'SALES Raw'!C81</f>
        <v>0</v>
      </c>
      <c r="E3695" s="19" t="n">
        <f aca="false">'SALES Raw'!D81</f>
        <v>0</v>
      </c>
      <c r="F3695" s="19" t="n">
        <f aca="false">'SALES Raw'!E81*$H$4</f>
        <v>1.26315789473684</v>
      </c>
      <c r="G3695" s="19" t="n">
        <f aca="false">'SALES Raw'!F81*$H$4</f>
        <v>268.736842105263</v>
      </c>
      <c r="H3695" s="18" t="str">
        <f aca="false">'SALES Raw'!A81</f>
        <v>101 - Factory customers</v>
      </c>
    </row>
    <row r="3696" customFormat="false" ht="15" hidden="false" customHeight="false" outlineLevel="0" collapsed="false">
      <c r="A3696" s="18" t="str">
        <f aca="false">'SALES Raw'!G84</f>
        <v/>
      </c>
      <c r="B3696" s="18" t="str">
        <f aca="false">'SALES Raw'!B84</f>
        <v>332B L</v>
      </c>
      <c r="C3696" s="18" t="str">
        <f aca="false">'SALES Raw'!H84</f>
        <v>332B L</v>
      </c>
      <c r="D3696" s="19" t="n">
        <f aca="false">'SALES Raw'!C84</f>
        <v>1</v>
      </c>
      <c r="E3696" s="19" t="n">
        <f aca="false">'SALES Raw'!D84</f>
        <v>123.23</v>
      </c>
      <c r="F3696" s="19" t="n">
        <f aca="false">'SALES Raw'!E84*$H$4</f>
        <v>1.26315789473684</v>
      </c>
      <c r="G3696" s="19" t="n">
        <f aca="false">'SALES Raw'!F84*$H$4</f>
        <v>155.658947368421</v>
      </c>
      <c r="H3696" s="18" t="str">
        <f aca="false">'SALES Raw'!A84</f>
        <v>101 - Factory customers</v>
      </c>
    </row>
    <row r="3697" customFormat="false" ht="15" hidden="false" customHeight="false" outlineLevel="0" collapsed="false">
      <c r="A3697" s="18" t="n">
        <f aca="false">'SALES Raw'!G88</f>
        <v>4413049</v>
      </c>
      <c r="B3697" s="18" t="str">
        <f aca="false">'SALES Raw'!B88</f>
        <v>35 M</v>
      </c>
      <c r="C3697" s="18" t="str">
        <f aca="false">'SALES Raw'!H88</f>
        <v>35 M מגן קרסול לבן</v>
      </c>
      <c r="D3697" s="19" t="n">
        <f aca="false">'SALES Raw'!C88</f>
        <v>3</v>
      </c>
      <c r="E3697" s="19" t="n">
        <f aca="false">'SALES Raw'!D88</f>
        <v>102.98</v>
      </c>
      <c r="F3697" s="19" t="n">
        <f aca="false">'SALES Raw'!E88*$H$4</f>
        <v>1.26315789473684</v>
      </c>
      <c r="G3697" s="19" t="n">
        <f aca="false">'SALES Raw'!F88*$H$4</f>
        <v>39.0189473684211</v>
      </c>
      <c r="H3697" s="18" t="str">
        <f aca="false">'SALES Raw'!A88</f>
        <v>101 - Factory customers</v>
      </c>
    </row>
    <row r="3698" customFormat="false" ht="15" hidden="false" customHeight="false" outlineLevel="0" collapsed="false">
      <c r="A3698" s="18" t="n">
        <f aca="false">'SALES Raw'!G95</f>
        <v>4413054</v>
      </c>
      <c r="B3698" s="18" t="str">
        <f aca="false">'SALES Raw'!B95</f>
        <v>35C M</v>
      </c>
      <c r="C3698" s="18" t="str">
        <f aca="false">'SALES Raw'!H95</f>
        <v>35C M מגן קרסול חום</v>
      </c>
      <c r="D3698" s="19" t="n">
        <f aca="false">'SALES Raw'!C95</f>
        <v>4</v>
      </c>
      <c r="E3698" s="19" t="n">
        <f aca="false">'SALES Raw'!D95</f>
        <v>119.46</v>
      </c>
      <c r="F3698" s="19" t="n">
        <f aca="false">'SALES Raw'!E95*$H$4</f>
        <v>1.26315789473684</v>
      </c>
      <c r="G3698" s="19" t="n">
        <f aca="false">'SALES Raw'!F95*$H$4</f>
        <v>39.0189473684211</v>
      </c>
      <c r="H3698" s="18" t="str">
        <f aca="false">'SALES Raw'!A95</f>
        <v>101 - Factory customers</v>
      </c>
    </row>
    <row r="3699" customFormat="false" ht="15" hidden="false" customHeight="false" outlineLevel="0" collapsed="false">
      <c r="A3699" s="18" t="str">
        <f aca="false">'SALES Raw'!G97</f>
        <v/>
      </c>
      <c r="B3699" s="18" t="str">
        <f aca="false">'SALES Raw'!B97</f>
        <v>35C XS</v>
      </c>
      <c r="C3699" s="18" t="str">
        <f aca="false">'SALES Raw'!H97</f>
        <v>35C XS</v>
      </c>
      <c r="D3699" s="19" t="n">
        <f aca="false">'SALES Raw'!C97</f>
        <v>5</v>
      </c>
      <c r="E3699" s="19" t="n">
        <f aca="false">'SALES Raw'!D97</f>
        <v>154.45</v>
      </c>
      <c r="F3699" s="19" t="n">
        <f aca="false">'SALES Raw'!E97*$H$4</f>
        <v>1.26315789473684</v>
      </c>
      <c r="G3699" s="19" t="n">
        <f aca="false">'SALES Raw'!F97*$H$4</f>
        <v>39.0189473684211</v>
      </c>
      <c r="H3699" s="18" t="str">
        <f aca="false">'SALES Raw'!A97</f>
        <v>101 - Factory customers</v>
      </c>
    </row>
    <row r="3700" customFormat="false" ht="15" hidden="false" customHeight="false" outlineLevel="0" collapsed="false">
      <c r="A3700" s="18" t="n">
        <f aca="false">'SALES Raw'!G111</f>
        <v>4413340</v>
      </c>
      <c r="B3700" s="18" t="str">
        <f aca="false">'SALES Raw'!B111</f>
        <v>3666 0</v>
      </c>
      <c r="C3700" s="18" t="str">
        <f aca="false">'SALES Raw'!H111</f>
        <v>3666 מפריד הלוקס</v>
      </c>
      <c r="D3700" s="19" t="n">
        <f aca="false">'SALES Raw'!C111</f>
        <v>14</v>
      </c>
      <c r="E3700" s="19" t="n">
        <f aca="false">'SALES Raw'!D111</f>
        <v>842.46</v>
      </c>
      <c r="F3700" s="19" t="n">
        <f aca="false">'SALES Raw'!E111*$H$4</f>
        <v>1.26315789473684</v>
      </c>
      <c r="G3700" s="19" t="n">
        <f aca="false">'SALES Raw'!F111*$H$4</f>
        <v>84.0126315789474</v>
      </c>
      <c r="H3700" s="18" t="str">
        <f aca="false">'SALES Raw'!A111</f>
        <v>101 - Factory customers</v>
      </c>
    </row>
    <row r="3701" customFormat="false" ht="15" hidden="false" customHeight="false" outlineLevel="0" collapsed="false">
      <c r="A3701" s="18" t="str">
        <f aca="false">'SALES Raw'!G125</f>
        <v/>
      </c>
      <c r="B3701" s="18" t="str">
        <f aca="false">'SALES Raw'!B125</f>
        <v>376-38-40</v>
      </c>
      <c r="C3701" s="18" t="str">
        <f aca="false">'SALES Raw'!H125</f>
        <v>376-38-40</v>
      </c>
      <c r="D3701" s="19" t="n">
        <f aca="false">'SALES Raw'!C125</f>
        <v>4</v>
      </c>
      <c r="E3701" s="19" t="n">
        <f aca="false">'SALES Raw'!D125</f>
        <v>140.43</v>
      </c>
      <c r="F3701" s="19" t="n">
        <f aca="false">'SALES Raw'!E125*$H$4</f>
        <v>1.26315789473684</v>
      </c>
      <c r="G3701" s="19" t="n">
        <f aca="false">'SALES Raw'!F125*$H$4</f>
        <v>44.3494736842105</v>
      </c>
      <c r="H3701" s="18" t="str">
        <f aca="false">'SALES Raw'!A125</f>
        <v>101 - Factory customers</v>
      </c>
    </row>
    <row r="3702" customFormat="false" ht="15" hidden="false" customHeight="false" outlineLevel="0" collapsed="false">
      <c r="A3702" s="18" t="str">
        <f aca="false">'SALES Raw'!G126</f>
        <v/>
      </c>
      <c r="B3702" s="18" t="str">
        <f aca="false">'SALES Raw'!B126</f>
        <v>376-41-43</v>
      </c>
      <c r="C3702" s="18" t="str">
        <f aca="false">'SALES Raw'!H126</f>
        <v>376-41-43</v>
      </c>
      <c r="D3702" s="19" t="n">
        <f aca="false">'SALES Raw'!C126</f>
        <v>11</v>
      </c>
      <c r="E3702" s="19" t="n">
        <f aca="false">'SALES Raw'!D126</f>
        <v>386.19</v>
      </c>
      <c r="F3702" s="19" t="n">
        <f aca="false">'SALES Raw'!E126*$H$4</f>
        <v>1.26315789473684</v>
      </c>
      <c r="G3702" s="19" t="n">
        <f aca="false">'SALES Raw'!F126*$H$4</f>
        <v>44.3494736842105</v>
      </c>
      <c r="H3702" s="18" t="str">
        <f aca="false">'SALES Raw'!A126</f>
        <v>101 - Factory customers</v>
      </c>
    </row>
    <row r="3703" customFormat="false" ht="15" hidden="false" customHeight="false" outlineLevel="0" collapsed="false">
      <c r="A3703" s="18" t="n">
        <f aca="false">'SALES Raw'!G128</f>
        <v>4420032</v>
      </c>
      <c r="B3703" s="18" t="str">
        <f aca="false">'SALES Raw'!B128</f>
        <v>376-46-47</v>
      </c>
      <c r="C3703" s="18" t="str">
        <f aca="false">'SALES Raw'!H128</f>
        <v>46-47 רפידת ספורט 376 מידה</v>
      </c>
      <c r="D3703" s="19" t="n">
        <f aca="false">'SALES Raw'!C128</f>
        <v>2</v>
      </c>
      <c r="E3703" s="19" t="n">
        <f aca="false">'SALES Raw'!D128</f>
        <v>66.84</v>
      </c>
      <c r="F3703" s="19" t="n">
        <f aca="false">'SALES Raw'!E128*$H$4</f>
        <v>1.26315789473684</v>
      </c>
      <c r="G3703" s="19" t="n">
        <f aca="false">'SALES Raw'!F128*$H$4</f>
        <v>40.08</v>
      </c>
      <c r="H3703" s="18" t="str">
        <f aca="false">'SALES Raw'!A128</f>
        <v>101 - Factory customers</v>
      </c>
    </row>
    <row r="3704" customFormat="false" ht="15" hidden="false" customHeight="false" outlineLevel="0" collapsed="false">
      <c r="A3704" s="18" t="str">
        <f aca="false">'SALES Raw'!G144</f>
        <v/>
      </c>
      <c r="B3704" s="18" t="str">
        <f aca="false">'SALES Raw'!B144</f>
        <v>394G-35-38</v>
      </c>
      <c r="C3704" s="18" t="str">
        <f aca="false">'SALES Raw'!H144</f>
        <v>394G-35-38</v>
      </c>
      <c r="D3704" s="19" t="n">
        <f aca="false">'SALES Raw'!C144</f>
        <v>0</v>
      </c>
      <c r="E3704" s="19" t="n">
        <f aca="false">'SALES Raw'!D144</f>
        <v>0</v>
      </c>
      <c r="F3704" s="19" t="n">
        <f aca="false">'SALES Raw'!E144*$H$4</f>
        <v>1.26315789473684</v>
      </c>
      <c r="G3704" s="19" t="n">
        <f aca="false">'SALES Raw'!F144*$H$4</f>
        <v>35.4694736842105</v>
      </c>
      <c r="H3704" s="18" t="str">
        <f aca="false">'SALES Raw'!A144</f>
        <v>101 - Factory customers</v>
      </c>
    </row>
    <row r="3705" customFormat="false" ht="15" hidden="false" customHeight="false" outlineLevel="0" collapsed="false">
      <c r="A3705" s="18" t="n">
        <f aca="false">'SALES Raw'!G146</f>
        <v>4403023</v>
      </c>
      <c r="B3705" s="18" t="str">
        <f aca="false">'SALES Raw'!B146</f>
        <v>394W-35-38</v>
      </c>
      <c r="C3705" s="18" t="str">
        <f aca="false">'SALES Raw'!H146</f>
        <v>394W 35-38 גרב.כסף לסכרתים לבן</v>
      </c>
      <c r="D3705" s="19" t="n">
        <f aca="false">'SALES Raw'!C146</f>
        <v>6</v>
      </c>
      <c r="E3705" s="19" t="n">
        <f aca="false">'SALES Raw'!D146</f>
        <v>168.5</v>
      </c>
      <c r="F3705" s="19" t="n">
        <f aca="false">'SALES Raw'!E146*$H$4</f>
        <v>1.26315789473684</v>
      </c>
      <c r="G3705" s="19" t="n">
        <f aca="false">'SALES Raw'!F146*$H$4</f>
        <v>35.4694736842105</v>
      </c>
      <c r="H3705" s="18" t="str">
        <f aca="false">'SALES Raw'!A146</f>
        <v>101 - Factory customers</v>
      </c>
    </row>
    <row r="3706" customFormat="false" ht="15" hidden="false" customHeight="false" outlineLevel="0" collapsed="false">
      <c r="A3706" s="18" t="n">
        <f aca="false">'SALES Raw'!G166</f>
        <v>4413097</v>
      </c>
      <c r="B3706" s="18" t="str">
        <f aca="false">'SALES Raw'!B166</f>
        <v>45C S</v>
      </c>
      <c r="C3706" s="18" t="str">
        <f aca="false">'SALES Raw'!H166</f>
        <v>45C S מגן ברך חום</v>
      </c>
      <c r="D3706" s="19" t="n">
        <f aca="false">'SALES Raw'!C166</f>
        <v>3</v>
      </c>
      <c r="E3706" s="19" t="n">
        <f aca="false">'SALES Raw'!D166</f>
        <v>92.68</v>
      </c>
      <c r="F3706" s="19" t="n">
        <f aca="false">'SALES Raw'!E166*$H$4</f>
        <v>1.26315789473684</v>
      </c>
      <c r="G3706" s="19" t="n">
        <f aca="false">'SALES Raw'!F166*$H$4</f>
        <v>39.0189473684211</v>
      </c>
      <c r="H3706" s="18" t="str">
        <f aca="false">'SALES Raw'!A166</f>
        <v>101 - Factory customers</v>
      </c>
    </row>
    <row r="3707" customFormat="false" ht="15" hidden="false" customHeight="false" outlineLevel="0" collapsed="false">
      <c r="A3707" s="18" t="n">
        <f aca="false">'SALES Raw'!G167</f>
        <v>4413100</v>
      </c>
      <c r="B3707" s="18" t="str">
        <f aca="false">'SALES Raw'!B167</f>
        <v>45C XL</v>
      </c>
      <c r="C3707" s="18" t="str">
        <f aca="false">'SALES Raw'!H167</f>
        <v>45C XL מגן ברך חום</v>
      </c>
      <c r="D3707" s="19" t="n">
        <f aca="false">'SALES Raw'!C167</f>
        <v>4</v>
      </c>
      <c r="E3707" s="19" t="n">
        <f aca="false">'SALES Raw'!D167</f>
        <v>123.57</v>
      </c>
      <c r="F3707" s="19" t="n">
        <f aca="false">'SALES Raw'!E167*$H$4</f>
        <v>1.26315789473684</v>
      </c>
      <c r="G3707" s="19" t="n">
        <f aca="false">'SALES Raw'!F167*$H$4</f>
        <v>39.0189473684211</v>
      </c>
      <c r="H3707" s="18" t="str">
        <f aca="false">'SALES Raw'!A167</f>
        <v>101 - Factory customers</v>
      </c>
    </row>
    <row r="3708" customFormat="false" ht="15" hidden="false" customHeight="false" outlineLevel="0" collapsed="false">
      <c r="A3708" s="18" t="n">
        <f aca="false">'SALES Raw'!G175</f>
        <v>4413398</v>
      </c>
      <c r="B3708" s="18" t="str">
        <f aca="false">'SALES Raw'!B175</f>
        <v>45EC XXL</v>
      </c>
      <c r="C3708" s="18" t="str">
        <f aca="false">'SALES Raw'!H175</f>
        <v>45EC XXL'מגן ברך ארוך בז</v>
      </c>
      <c r="D3708" s="19" t="n">
        <f aca="false">'SALES Raw'!C175</f>
        <v>4</v>
      </c>
      <c r="E3708" s="19" t="n">
        <f aca="false">'SALES Raw'!D175</f>
        <v>148.24</v>
      </c>
      <c r="F3708" s="19" t="n">
        <f aca="false">'SALES Raw'!E175*$H$4</f>
        <v>1.26315789473684</v>
      </c>
      <c r="G3708" s="19" t="n">
        <f aca="false">'SALES Raw'!F175*$H$4</f>
        <v>47.3178947368421</v>
      </c>
      <c r="H3708" s="18" t="str">
        <f aca="false">'SALES Raw'!A175</f>
        <v>101 - Factory customers</v>
      </c>
    </row>
    <row r="3709" customFormat="false" ht="15" hidden="false" customHeight="false" outlineLevel="0" collapsed="false">
      <c r="A3709" s="18" t="n">
        <f aca="false">'SALES Raw'!G187</f>
        <v>4413132</v>
      </c>
      <c r="B3709" s="18" t="str">
        <f aca="false">'SALES Raw'!B187</f>
        <v>76 L</v>
      </c>
      <c r="C3709" s="18" t="str">
        <f aca="false">'SALES Raw'!H187</f>
        <v>76 Lמיישר כתף יציב יישור רחב</v>
      </c>
      <c r="D3709" s="19" t="n">
        <f aca="false">'SALES Raw'!C187</f>
        <v>2</v>
      </c>
      <c r="E3709" s="19" t="n">
        <f aca="false">'SALES Raw'!D187</f>
        <v>421.76</v>
      </c>
      <c r="F3709" s="19" t="n">
        <f aca="false">'SALES Raw'!E187*$H$4</f>
        <v>1.26315789473684</v>
      </c>
      <c r="G3709" s="19" t="n">
        <f aca="false">'SALES Raw'!F187*$H$4</f>
        <v>240.795789473684</v>
      </c>
      <c r="H3709" s="18" t="str">
        <f aca="false">'SALES Raw'!A187</f>
        <v>101 - Factory customers</v>
      </c>
    </row>
    <row r="3710" customFormat="false" ht="15" hidden="false" customHeight="false" outlineLevel="0" collapsed="false">
      <c r="A3710" s="18" t="n">
        <f aca="false">'SALES Raw'!G206</f>
        <v>4413135</v>
      </c>
      <c r="B3710" s="18" t="str">
        <f aca="false">'SALES Raw'!B206</f>
        <v>85 L</v>
      </c>
      <c r="C3710" s="18" t="str">
        <f aca="false">'SALES Raw'!H206</f>
        <v>85 L (מתלה ליד )כיס</v>
      </c>
      <c r="D3710" s="19" t="n">
        <f aca="false">'SALES Raw'!C206</f>
        <v>2</v>
      </c>
      <c r="E3710" s="19" t="n">
        <f aca="false">'SALES Raw'!D206</f>
        <v>98</v>
      </c>
      <c r="F3710" s="19" t="n">
        <f aca="false">'SALES Raw'!E206*$H$4</f>
        <v>1.26315789473684</v>
      </c>
      <c r="G3710" s="19" t="n">
        <f aca="false">'SALES Raw'!F206*$H$4</f>
        <v>71.5831578947368</v>
      </c>
      <c r="H3710" s="18" t="str">
        <f aca="false">'SALES Raw'!A206</f>
        <v>101 - Factory customers</v>
      </c>
    </row>
    <row r="3711" customFormat="false" ht="15" hidden="false" customHeight="false" outlineLevel="0" collapsed="false">
      <c r="A3711" s="18" t="n">
        <f aca="false">'SALES Raw'!G222</f>
        <v>4408206</v>
      </c>
      <c r="B3711" s="18" t="str">
        <f aca="false">'SALES Raw'!B222</f>
        <v>AC11 0</v>
      </c>
      <c r="C3711" s="18" t="str">
        <f aca="false">'SALES Raw'!H222</f>
        <v>AC-11 חגורת בטן קלה</v>
      </c>
      <c r="D3711" s="19" t="n">
        <f aca="false">'SALES Raw'!C222</f>
        <v>6</v>
      </c>
      <c r="E3711" s="19" t="n">
        <f aca="false">'SALES Raw'!D222</f>
        <v>366.47</v>
      </c>
      <c r="F3711" s="19" t="n">
        <f aca="false">'SALES Raw'!E222*$H$4</f>
        <v>1.26315789473684</v>
      </c>
      <c r="G3711" s="19" t="n">
        <f aca="false">'SALES Raw'!F222*$H$4</f>
        <v>0.0126315789473684</v>
      </c>
      <c r="H3711" s="18" t="str">
        <f aca="false">'SALES Raw'!A222</f>
        <v>101 - Factory customers</v>
      </c>
    </row>
    <row r="3712" customFormat="false" ht="15" hidden="false" customHeight="false" outlineLevel="0" collapsed="false">
      <c r="A3712" s="18" t="n">
        <f aca="false">'SALES Raw'!G241</f>
        <v>4419006</v>
      </c>
      <c r="B3712" s="18" t="str">
        <f aca="false">'SALES Raw'!B241</f>
        <v>PD340 0</v>
      </c>
      <c r="C3712" s="18" t="str">
        <f aca="false">'SALES Raw'!H241</f>
        <v>PD340-קוצץ ציפורניים</v>
      </c>
      <c r="D3712" s="19" t="n">
        <f aca="false">'SALES Raw'!C241</f>
        <v>19</v>
      </c>
      <c r="E3712" s="19" t="n">
        <f aca="false">'SALES Raw'!D241</f>
        <v>273.44</v>
      </c>
      <c r="F3712" s="19" t="n">
        <f aca="false">'SALES Raw'!E241*$H$4</f>
        <v>1.26315789473684</v>
      </c>
      <c r="G3712" s="19" t="n">
        <f aca="false">'SALES Raw'!F241*$H$4</f>
        <v>18.2905263157895</v>
      </c>
      <c r="H3712" s="18" t="str">
        <f aca="false">'SALES Raw'!A241</f>
        <v>101 - Factory customers</v>
      </c>
    </row>
    <row r="3713" customFormat="false" ht="15" hidden="false" customHeight="false" outlineLevel="0" collapsed="false">
      <c r="A3713" s="18" t="n">
        <f aca="false">'SALES Raw'!G252</f>
        <v>4413426</v>
      </c>
      <c r="B3713" s="18" t="str">
        <f aca="false">'SALES Raw'!B252</f>
        <v>SC35R L</v>
      </c>
      <c r="C3713" s="18" t="str">
        <f aca="false">'SALES Raw'!H252</f>
        <v>SC35R  L מגן קרסול ימין</v>
      </c>
      <c r="D3713" s="19" t="n">
        <f aca="false">'SALES Raw'!C252</f>
        <v>2</v>
      </c>
      <c r="E3713" s="19" t="n">
        <f aca="false">'SALES Raw'!D252</f>
        <v>170.96</v>
      </c>
      <c r="F3713" s="19" t="n">
        <f aca="false">'SALES Raw'!E252*$H$4</f>
        <v>1.26315789473684</v>
      </c>
      <c r="G3713" s="19" t="n">
        <f aca="false">'SALES Raw'!F252*$H$4</f>
        <v>118.32</v>
      </c>
      <c r="H3713" s="18" t="str">
        <f aca="false">'SALES Raw'!A252</f>
        <v>101 - Factory customers</v>
      </c>
    </row>
    <row r="3714" customFormat="false" ht="15" hidden="false" customHeight="false" outlineLevel="0" collapsed="false">
      <c r="A3714" s="18" t="n">
        <f aca="false">'SALES Raw'!G257</f>
        <v>4413442</v>
      </c>
      <c r="B3714" s="18" t="str">
        <f aca="false">'SALES Raw'!B257</f>
        <v>SC422 XXL</v>
      </c>
      <c r="C3714" s="18" t="str">
        <f aca="false">'SALES Raw'!H257</f>
        <v>SC422 XXLמגן ברך</v>
      </c>
      <c r="D3714" s="19" t="n">
        <f aca="false">'SALES Raw'!C257</f>
        <v>1</v>
      </c>
      <c r="E3714" s="19" t="n">
        <f aca="false">'SALES Raw'!D257</f>
        <v>140.57</v>
      </c>
      <c r="F3714" s="19" t="n">
        <f aca="false">'SALES Raw'!E257*$H$4</f>
        <v>1.26315789473684</v>
      </c>
      <c r="G3714" s="19" t="n">
        <f aca="false">'SALES Raw'!F257*$H$4</f>
        <v>177.562105263158</v>
      </c>
      <c r="H3714" s="18" t="str">
        <f aca="false">'SALES Raw'!A257</f>
        <v>101 - Factory customers</v>
      </c>
    </row>
    <row r="3715" customFormat="false" ht="15" hidden="false" customHeight="false" outlineLevel="0" collapsed="false">
      <c r="A3715" s="18" t="n">
        <f aca="false">'SALES Raw'!G262</f>
        <v>4422041</v>
      </c>
      <c r="B3715" s="18" t="str">
        <f aca="false">'SALES Raw'!B262</f>
        <v>SH422 5</v>
      </c>
      <c r="C3715" s="18" t="str">
        <f aca="false">'SALES Raw'!H262</f>
        <v>SH422 5 תומך ברך גנושילד</v>
      </c>
      <c r="D3715" s="19" t="n">
        <f aca="false">'SALES Raw'!C262</f>
        <v>4</v>
      </c>
      <c r="E3715" s="19" t="n">
        <f aca="false">'SALES Raw'!D262</f>
        <v>943.6</v>
      </c>
      <c r="F3715" s="19" t="n">
        <f aca="false">'SALES Raw'!E262*$H$4</f>
        <v>1.26315789473684</v>
      </c>
      <c r="G3715" s="19" t="n">
        <f aca="false">'SALES Raw'!F262*$H$4</f>
        <v>266.387368421053</v>
      </c>
      <c r="H3715" s="18" t="str">
        <f aca="false">'SALES Raw'!A262</f>
        <v>101 - Factory customers</v>
      </c>
    </row>
    <row r="3716" customFormat="false" ht="15" hidden="false" customHeight="false" outlineLevel="0" collapsed="false">
      <c r="A3716" s="18" t="str">
        <f aca="false">'SALES Raw'!G266</f>
        <v/>
      </c>
      <c r="B3716" s="18" t="str">
        <f aca="false">'SALES Raw'!B266</f>
        <v>T03 M</v>
      </c>
      <c r="C3716" s="18" t="str">
        <f aca="false">'SALES Raw'!H266</f>
        <v>T03 M</v>
      </c>
      <c r="D3716" s="19" t="n">
        <f aca="false">'SALES Raw'!C266</f>
        <v>2</v>
      </c>
      <c r="E3716" s="19" t="n">
        <f aca="false">'SALES Raw'!D266</f>
        <v>222.08</v>
      </c>
      <c r="F3716" s="19" t="n">
        <f aca="false">'SALES Raw'!E266*$H$4</f>
        <v>1.26315789473684</v>
      </c>
      <c r="G3716" s="19" t="n">
        <f aca="false">'SALES Raw'!F266*$H$4</f>
        <v>140.261052631579</v>
      </c>
      <c r="H3716" s="18" t="str">
        <f aca="false">'SALES Raw'!A266</f>
        <v>101 - Factory customers</v>
      </c>
    </row>
    <row r="3717" customFormat="false" ht="15" hidden="false" customHeight="false" outlineLevel="0" collapsed="false">
      <c r="A3717" s="18" t="str">
        <f aca="false">'SALES Raw'!G267</f>
        <v/>
      </c>
      <c r="B3717" s="18" t="str">
        <f aca="false">'SALES Raw'!B267</f>
        <v>T03 XXL</v>
      </c>
      <c r="C3717" s="18" t="str">
        <f aca="false">'SALES Raw'!H267</f>
        <v>T03 XXL</v>
      </c>
      <c r="D3717" s="19" t="n">
        <f aca="false">'SALES Raw'!C267</f>
        <v>1</v>
      </c>
      <c r="E3717" s="19" t="n">
        <f aca="false">'SALES Raw'!D267</f>
        <v>111.04</v>
      </c>
      <c r="F3717" s="19" t="n">
        <f aca="false">'SALES Raw'!E267*$H$4</f>
        <v>1.26315789473684</v>
      </c>
      <c r="G3717" s="19" t="n">
        <f aca="false">'SALES Raw'!F267*$H$4</f>
        <v>140.261052631579</v>
      </c>
      <c r="H3717" s="18" t="str">
        <f aca="false">'SALES Raw'!A267</f>
        <v>101 - Factory customers</v>
      </c>
    </row>
    <row r="3718" customFormat="false" ht="15" hidden="false" customHeight="false" outlineLevel="0" collapsed="false">
      <c r="A3718" s="18" t="n">
        <f aca="false">'SALES Raw'!G272</f>
        <v>4408098</v>
      </c>
      <c r="B3718" s="18" t="str">
        <f aca="false">'SALES Raw'!B272</f>
        <v>T25 0</v>
      </c>
      <c r="C3718" s="18" t="str">
        <f aca="false">'SALES Raw'!H272</f>
        <v>T25-חבק יד אגודלי</v>
      </c>
      <c r="D3718" s="19" t="n">
        <f aca="false">'SALES Raw'!C272</f>
        <v>10</v>
      </c>
      <c r="E3718" s="19" t="n">
        <f aca="false">'SALES Raw'!D272</f>
        <v>522.98</v>
      </c>
      <c r="F3718" s="19" t="n">
        <f aca="false">'SALES Raw'!E272*$H$4</f>
        <v>1.26315789473684</v>
      </c>
      <c r="G3718" s="19" t="n">
        <f aca="false">'SALES Raw'!F272*$H$4</f>
        <v>0.0126315789473684</v>
      </c>
      <c r="H3718" s="18" t="str">
        <f aca="false">'SALES Raw'!A272</f>
        <v>101 - Factory customers</v>
      </c>
    </row>
    <row r="3719" customFormat="false" ht="15" hidden="false" customHeight="false" outlineLevel="0" collapsed="false">
      <c r="A3719" s="18" t="n">
        <f aca="false">'SALES Raw'!G276</f>
        <v>4415074</v>
      </c>
      <c r="B3719" s="18" t="str">
        <f aca="false">'SALES Raw'!B276</f>
        <v>T28AC-S-M</v>
      </c>
      <c r="C3719" s="18" t="str">
        <f aca="false">'SALES Raw'!H276</f>
        <v>T28AC S-M סד לאגודל</v>
      </c>
      <c r="D3719" s="19" t="n">
        <f aca="false">'SALES Raw'!C276</f>
        <v>1</v>
      </c>
      <c r="E3719" s="19" t="n">
        <f aca="false">'SALES Raw'!D276</f>
        <v>70.26</v>
      </c>
      <c r="F3719" s="19" t="n">
        <f aca="false">'SALES Raw'!E276*$H$4</f>
        <v>1.26315789473684</v>
      </c>
      <c r="G3719" s="19" t="n">
        <f aca="false">'SALES Raw'!F276*$H$4</f>
        <v>88.7494736842105</v>
      </c>
      <c r="H3719" s="18" t="str">
        <f aca="false">'SALES Raw'!A276</f>
        <v>101 - Factory customers</v>
      </c>
    </row>
    <row r="3720" customFormat="false" ht="15" hidden="false" customHeight="false" outlineLevel="0" collapsed="false">
      <c r="A3720" s="18" t="str">
        <f aca="false">'SALES Raw'!G277</f>
        <v/>
      </c>
      <c r="B3720" s="18" t="str">
        <f aca="false">'SALES Raw'!B277</f>
        <v>T33 XL</v>
      </c>
      <c r="C3720" s="18" t="str">
        <f aca="false">'SALES Raw'!H277</f>
        <v>T33 XL</v>
      </c>
      <c r="D3720" s="19" t="n">
        <f aca="false">'SALES Raw'!C277</f>
        <v>0</v>
      </c>
      <c r="E3720" s="19" t="n">
        <f aca="false">'SALES Raw'!D277</f>
        <v>0</v>
      </c>
      <c r="F3720" s="19" t="n">
        <f aca="false">'SALES Raw'!E277*$H$4</f>
        <v>1.26315789473684</v>
      </c>
      <c r="G3720" s="19" t="n">
        <f aca="false">'SALES Raw'!F277*$H$4</f>
        <v>177.562105263158</v>
      </c>
      <c r="H3720" s="18" t="str">
        <f aca="false">'SALES Raw'!A277</f>
        <v>101 - Factory customers</v>
      </c>
    </row>
    <row r="3721" customFormat="false" ht="15" hidden="false" customHeight="false" outlineLevel="0" collapsed="false">
      <c r="A3721" s="18" t="str">
        <f aca="false">'SALES Raw'!G282</f>
        <v/>
      </c>
      <c r="B3721" s="18" t="str">
        <f aca="false">'SALES Raw'!B282</f>
        <v>T402 XL</v>
      </c>
      <c r="C3721" s="18" t="str">
        <f aca="false">'SALES Raw'!H282</f>
        <v>T402 XL</v>
      </c>
      <c r="D3721" s="19" t="n">
        <f aca="false">'SALES Raw'!C282</f>
        <v>0</v>
      </c>
      <c r="E3721" s="19" t="n">
        <f aca="false">'SALES Raw'!D282</f>
        <v>0</v>
      </c>
      <c r="F3721" s="19" t="n">
        <f aca="false">'SALES Raw'!E282*$H$4</f>
        <v>1.26315789473684</v>
      </c>
      <c r="G3721" s="19" t="n">
        <f aca="false">'SALES Raw'!F282*$H$4</f>
        <v>119.532631578947</v>
      </c>
      <c r="H3721" s="18" t="str">
        <f aca="false">'SALES Raw'!A282</f>
        <v>101 - Factory customers</v>
      </c>
    </row>
    <row r="3722" customFormat="false" ht="15" hidden="false" customHeight="false" outlineLevel="0" collapsed="false">
      <c r="A3722" s="18" t="str">
        <f aca="false">'SALES Raw'!G285</f>
        <v/>
      </c>
      <c r="B3722" s="18" t="str">
        <f aca="false">'SALES Raw'!B285</f>
        <v>T49 XL</v>
      </c>
      <c r="C3722" s="18" t="str">
        <f aca="false">'SALES Raw'!H285</f>
        <v>T49 XL</v>
      </c>
      <c r="D3722" s="19" t="n">
        <f aca="false">'SALES Raw'!C285</f>
        <v>1</v>
      </c>
      <c r="E3722" s="19" t="n">
        <f aca="false">'SALES Raw'!D285</f>
        <v>77.07</v>
      </c>
      <c r="F3722" s="19" t="n">
        <f aca="false">'SALES Raw'!E285*$H$4</f>
        <v>1.26315789473684</v>
      </c>
      <c r="G3722" s="19" t="n">
        <f aca="false">'SALES Raw'!F285*$H$4</f>
        <v>107.696842105263</v>
      </c>
      <c r="H3722" s="18" t="str">
        <f aca="false">'SALES Raw'!A285</f>
        <v>101 - Factory customers</v>
      </c>
    </row>
    <row r="3723" customFormat="false" ht="15" hidden="false" customHeight="false" outlineLevel="0" collapsed="false">
      <c r="A3723" s="18" t="n">
        <f aca="false">'SALES Raw'!G297</f>
        <v>4408262</v>
      </c>
      <c r="B3723" s="18" t="str">
        <f aca="false">'SALES Raw'!B297</f>
        <v>11STO XL</v>
      </c>
      <c r="C3723" s="18" t="str">
        <f aca="false">'SALES Raw'!H297</f>
        <v>11STO XL  חגורה אחרי ניתוח</v>
      </c>
      <c r="D3723" s="19" t="n">
        <f aca="false">'SALES Raw'!C297</f>
        <v>2</v>
      </c>
      <c r="E3723" s="19" t="n">
        <f aca="false">'SALES Raw'!D297</f>
        <v>210</v>
      </c>
      <c r="F3723" s="19" t="n">
        <f aca="false">'SALES Raw'!E297*$H$4</f>
        <v>1.26315789473684</v>
      </c>
      <c r="G3723" s="19" t="n">
        <f aca="false">'SALES Raw'!F297*$H$4</f>
        <v>0.0126315789473684</v>
      </c>
      <c r="H3723" s="18" t="str">
        <f aca="false">'SALES Raw'!A297</f>
        <v>101 - Factory customers</v>
      </c>
    </row>
    <row r="3724" customFormat="false" ht="15" hidden="false" customHeight="false" outlineLevel="0" collapsed="false">
      <c r="A3724" s="18" t="str">
        <f aca="false">'SALES Raw'!G299</f>
        <v/>
      </c>
      <c r="B3724" s="18" t="str">
        <f aca="false">'SALES Raw'!B299</f>
        <v>13 M</v>
      </c>
      <c r="C3724" s="18" t="str">
        <f aca="false">'SALES Raw'!H299</f>
        <v>13 M</v>
      </c>
      <c r="D3724" s="19" t="n">
        <f aca="false">'SALES Raw'!C299</f>
        <v>0</v>
      </c>
      <c r="E3724" s="19" t="n">
        <f aca="false">'SALES Raw'!D299</f>
        <v>0</v>
      </c>
      <c r="F3724" s="19" t="n">
        <f aca="false">'SALES Raw'!E299*$H$4</f>
        <v>1.26315789473684</v>
      </c>
      <c r="G3724" s="19" t="n">
        <f aca="false">'SALES Raw'!F299*$H$4</f>
        <v>145.263157894737</v>
      </c>
      <c r="H3724" s="18" t="str">
        <f aca="false">'SALES Raw'!A299</f>
        <v>101 - Factory customers</v>
      </c>
    </row>
    <row r="3725" customFormat="false" ht="15" hidden="false" customHeight="false" outlineLevel="0" collapsed="false">
      <c r="A3725" s="18" t="str">
        <f aca="false">'SALES Raw'!G326</f>
        <v/>
      </c>
      <c r="B3725" s="18" t="str">
        <f aca="false">'SALES Raw'!B326</f>
        <v>422EB L</v>
      </c>
      <c r="C3725" s="18" t="str">
        <f aca="false">'SALES Raw'!H326</f>
        <v>422EB L</v>
      </c>
      <c r="D3725" s="19" t="n">
        <f aca="false">'SALES Raw'!C326</f>
        <v>3</v>
      </c>
      <c r="E3725" s="19" t="n">
        <f aca="false">'SALES Raw'!D326</f>
        <v>664.15</v>
      </c>
      <c r="F3725" s="19" t="n">
        <f aca="false">'SALES Raw'!E326*$H$4</f>
        <v>1.26315789473684</v>
      </c>
      <c r="G3725" s="19" t="n">
        <f aca="false">'SALES Raw'!F326*$H$4</f>
        <v>232.244210526316</v>
      </c>
      <c r="H3725" s="18" t="str">
        <f aca="false">'SALES Raw'!A326</f>
        <v>101 - Factory customers</v>
      </c>
    </row>
    <row r="3726" customFormat="false" ht="15" hidden="false" customHeight="false" outlineLevel="0" collapsed="false">
      <c r="A3726" s="18" t="n">
        <f aca="false">'SALES Raw'!G331</f>
        <v>4413093</v>
      </c>
      <c r="B3726" s="18" t="str">
        <f aca="false">'SALES Raw'!B331</f>
        <v>45 M</v>
      </c>
      <c r="C3726" s="18" t="str">
        <f aca="false">'SALES Raw'!H331</f>
        <v>45 M מגן ברך לבן</v>
      </c>
      <c r="D3726" s="19" t="n">
        <f aca="false">'SALES Raw'!C331</f>
        <v>9</v>
      </c>
      <c r="E3726" s="19" t="n">
        <f aca="false">'SALES Raw'!D331</f>
        <v>295.67</v>
      </c>
      <c r="F3726" s="19" t="n">
        <f aca="false">'SALES Raw'!E331*$H$4</f>
        <v>1.26315789473684</v>
      </c>
      <c r="G3726" s="19" t="n">
        <f aca="false">'SALES Raw'!F331*$H$4</f>
        <v>0.0126315789473684</v>
      </c>
      <c r="H3726" s="18" t="str">
        <f aca="false">'SALES Raw'!A331</f>
        <v>101 - Factory customers</v>
      </c>
    </row>
    <row r="3727" customFormat="false" ht="15" hidden="false" customHeight="false" outlineLevel="0" collapsed="false">
      <c r="A3727" s="18" t="str">
        <f aca="false">'SALES Raw'!G346</f>
        <v/>
      </c>
      <c r="B3727" s="18" t="str">
        <f aca="false">'SALES Raw'!B346</f>
        <v>49PS XL</v>
      </c>
      <c r="C3727" s="18" t="str">
        <f aca="false">'SALES Raw'!H346</f>
        <v>49PS XL</v>
      </c>
      <c r="D3727" s="19" t="n">
        <f aca="false">'SALES Raw'!C346</f>
        <v>0</v>
      </c>
      <c r="E3727" s="19" t="n">
        <f aca="false">'SALES Raw'!D346</f>
        <v>0</v>
      </c>
      <c r="F3727" s="19" t="n">
        <f aca="false">'SALES Raw'!E346*$H$4</f>
        <v>1.26315789473684</v>
      </c>
      <c r="G3727" s="19" t="n">
        <f aca="false">'SALES Raw'!F346*$H$4</f>
        <v>168.682105263158</v>
      </c>
      <c r="H3727" s="18" t="str">
        <f aca="false">'SALES Raw'!A346</f>
        <v>101 - Factory customers</v>
      </c>
    </row>
    <row r="3728" customFormat="false" ht="15" hidden="false" customHeight="false" outlineLevel="0" collapsed="false">
      <c r="A3728" s="18" t="n">
        <f aca="false">'SALES Raw'!G348</f>
        <v>4408071</v>
      </c>
      <c r="B3728" s="18" t="str">
        <f aca="false">'SALES Raw'!B348</f>
        <v>59D L</v>
      </c>
      <c r="C3728" s="18" t="str">
        <f aca="false">'SALES Raw'!H348</f>
        <v>59D L חגורת שבר דו צדדי</v>
      </c>
      <c r="D3728" s="19" t="n">
        <f aca="false">'SALES Raw'!C348</f>
        <v>4</v>
      </c>
      <c r="E3728" s="19" t="n">
        <f aca="false">'SALES Raw'!D348</f>
        <v>1111.42</v>
      </c>
      <c r="F3728" s="19" t="n">
        <f aca="false">'SALES Raw'!E348*$H$4</f>
        <v>1.26315789473684</v>
      </c>
      <c r="G3728" s="19" t="n">
        <f aca="false">'SALES Raw'!F348*$H$4</f>
        <v>0.0126315789473684</v>
      </c>
      <c r="H3728" s="18" t="str">
        <f aca="false">'SALES Raw'!A348</f>
        <v>101 - Factory customers</v>
      </c>
    </row>
    <row r="3729" customFormat="false" ht="15" hidden="false" customHeight="false" outlineLevel="0" collapsed="false">
      <c r="A3729" s="18" t="n">
        <f aca="false">'SALES Raw'!G352</f>
        <v>4408080</v>
      </c>
      <c r="B3729" s="18" t="str">
        <f aca="false">'SALES Raw'!B352</f>
        <v>59R L</v>
      </c>
      <c r="C3729" s="18" t="str">
        <f aca="false">'SALES Raw'!H352</f>
        <v>59R L חגורת שבר לצד ימין</v>
      </c>
      <c r="D3729" s="19" t="n">
        <f aca="false">'SALES Raw'!C352</f>
        <v>3</v>
      </c>
      <c r="E3729" s="19" t="n">
        <f aca="false">'SALES Raw'!D352</f>
        <v>405</v>
      </c>
      <c r="F3729" s="19" t="n">
        <f aca="false">'SALES Raw'!E352*$H$4</f>
        <v>1.26315789473684</v>
      </c>
      <c r="G3729" s="19" t="n">
        <f aca="false">'SALES Raw'!F352*$H$4</f>
        <v>43.2505263157895</v>
      </c>
      <c r="H3729" s="18" t="str">
        <f aca="false">'SALES Raw'!A352</f>
        <v>101 - Factory customers</v>
      </c>
    </row>
    <row r="3730" customFormat="false" ht="15" hidden="false" customHeight="false" outlineLevel="0" collapsed="false">
      <c r="A3730" s="18" t="str">
        <f aca="false">'SALES Raw'!G363</f>
        <v/>
      </c>
      <c r="B3730" s="18" t="str">
        <f aca="false">'SALES Raw'!B363</f>
        <v>78A L</v>
      </c>
      <c r="C3730" s="18" t="str">
        <f aca="false">'SALES Raw'!H363</f>
        <v>78A L</v>
      </c>
      <c r="D3730" s="19" t="n">
        <f aca="false">'SALES Raw'!C363</f>
        <v>0</v>
      </c>
      <c r="E3730" s="19" t="n">
        <f aca="false">'SALES Raw'!D363</f>
        <v>0</v>
      </c>
      <c r="F3730" s="19" t="n">
        <f aca="false">'SALES Raw'!E363*$H$4</f>
        <v>1.26315789473684</v>
      </c>
      <c r="G3730" s="19" t="n">
        <f aca="false">'SALES Raw'!F363*$H$4</f>
        <v>208.938947368421</v>
      </c>
      <c r="H3730" s="18" t="str">
        <f aca="false">'SALES Raw'!A363</f>
        <v>101 - Factory customers</v>
      </c>
    </row>
    <row r="3731" customFormat="false" ht="15" hidden="false" customHeight="false" outlineLevel="0" collapsed="false">
      <c r="A3731" s="18" t="str">
        <f aca="false">'SALES Raw'!G364</f>
        <v/>
      </c>
      <c r="B3731" s="18" t="str">
        <f aca="false">'SALES Raw'!B364</f>
        <v>78A M</v>
      </c>
      <c r="C3731" s="18" t="str">
        <f aca="false">'SALES Raw'!H364</f>
        <v>78A M</v>
      </c>
      <c r="D3731" s="19" t="n">
        <f aca="false">'SALES Raw'!C364</f>
        <v>0</v>
      </c>
      <c r="E3731" s="19" t="n">
        <f aca="false">'SALES Raw'!D364</f>
        <v>0</v>
      </c>
      <c r="F3731" s="19" t="n">
        <f aca="false">'SALES Raw'!E364*$H$4</f>
        <v>1.26315789473684</v>
      </c>
      <c r="G3731" s="19" t="n">
        <f aca="false">'SALES Raw'!F364*$H$4</f>
        <v>208.938947368421</v>
      </c>
      <c r="H3731" s="18" t="str">
        <f aca="false">'SALES Raw'!A364</f>
        <v>101 - Factory customers</v>
      </c>
    </row>
    <row r="3732" customFormat="false" ht="15" hidden="false" customHeight="false" outlineLevel="0" collapsed="false">
      <c r="A3732" s="18" t="n">
        <f aca="false">'SALES Raw'!G369</f>
        <v>4422023</v>
      </c>
      <c r="B3732" s="18" t="str">
        <f aca="false">'SALES Raw'!B369</f>
        <v>806CB-C</v>
      </c>
      <c r="C3732" s="18" t="str">
        <f aca="false">'SALES Raw'!H369</f>
        <v>806CB-BEIGE      תחבושת א.נצמ</v>
      </c>
      <c r="D3732" s="19" t="n">
        <f aca="false">'SALES Raw'!C369</f>
        <v>13</v>
      </c>
      <c r="E3732" s="19" t="n">
        <f aca="false">'SALES Raw'!D369</f>
        <v>131.69</v>
      </c>
      <c r="F3732" s="19" t="n">
        <f aca="false">'SALES Raw'!E369*$H$4</f>
        <v>1.26315789473684</v>
      </c>
      <c r="G3732" s="19" t="n">
        <f aca="false">'SALES Raw'!F369*$H$4</f>
        <v>0.0126315789473684</v>
      </c>
      <c r="H3732" s="18" t="str">
        <f aca="false">'SALES Raw'!A369</f>
        <v>101 - Factory customers</v>
      </c>
    </row>
    <row r="3733" customFormat="false" ht="15" hidden="false" customHeight="false" outlineLevel="0" collapsed="false">
      <c r="A3733" s="18" t="n">
        <f aca="false">'SALES Raw'!G377</f>
        <v>4413198</v>
      </c>
      <c r="B3733" s="18" t="str">
        <f aca="false">'SALES Raw'!B377</f>
        <v>87 XL</v>
      </c>
      <c r="C3733" s="18" t="str">
        <f aca="false">'SALES Raw'!H377</f>
        <v>87 XL מקבע כתף ויד</v>
      </c>
      <c r="D3733" s="19" t="n">
        <f aca="false">'SALES Raw'!C377</f>
        <v>1</v>
      </c>
      <c r="E3733" s="19" t="n">
        <f aca="false">'SALES Raw'!D377</f>
        <v>127</v>
      </c>
      <c r="F3733" s="19" t="n">
        <f aca="false">'SALES Raw'!E377*$H$4</f>
        <v>1.26315789473684</v>
      </c>
      <c r="G3733" s="19" t="n">
        <f aca="false">'SALES Raw'!F377*$H$4</f>
        <v>176.842105263158</v>
      </c>
      <c r="H3733" s="18" t="str">
        <f aca="false">'SALES Raw'!A377</f>
        <v>101 - Factory customers</v>
      </c>
    </row>
    <row r="3734" customFormat="false" ht="15" hidden="false" customHeight="false" outlineLevel="0" collapsed="false">
      <c r="A3734" s="18" t="n">
        <f aca="false">'SALES Raw'!G378</f>
        <v>4408266</v>
      </c>
      <c r="B3734" s="18" t="str">
        <f aca="false">'SALES Raw'!B378</f>
        <v>91B 0</v>
      </c>
      <c r="C3734" s="18" t="str">
        <f aca="false">'SALES Raw'!H378</f>
        <v>91B חבק טניס אלבו</v>
      </c>
      <c r="D3734" s="19" t="n">
        <f aca="false">'SALES Raw'!C378</f>
        <v>14</v>
      </c>
      <c r="E3734" s="19" t="n">
        <f aca="false">'SALES Raw'!D378</f>
        <v>1176.31</v>
      </c>
      <c r="F3734" s="19" t="n">
        <f aca="false">'SALES Raw'!E378*$H$4</f>
        <v>1.26315789473684</v>
      </c>
      <c r="G3734" s="19" t="n">
        <f aca="false">'SALES Raw'!F378*$H$4</f>
        <v>96.2905263157895</v>
      </c>
      <c r="H3734" s="18" t="str">
        <f aca="false">'SALES Raw'!A378</f>
        <v>101 - Factory customers</v>
      </c>
    </row>
    <row r="3735" customFormat="false" ht="15" hidden="false" customHeight="false" outlineLevel="0" collapsed="false">
      <c r="A3735" s="18" t="n">
        <f aca="false">'SALES Raw'!G383</f>
        <v>4413142</v>
      </c>
      <c r="B3735" s="18" t="str">
        <f aca="false">'SALES Raw'!B383</f>
        <v>95 XL</v>
      </c>
      <c r="C3735" s="18" t="str">
        <f aca="false">'SALES Raw'!H383</f>
        <v>95 XL מגן מרפק רגיל לבן</v>
      </c>
      <c r="D3735" s="19" t="n">
        <f aca="false">'SALES Raw'!C383</f>
        <v>2</v>
      </c>
      <c r="E3735" s="19" t="n">
        <f aca="false">'SALES Raw'!D383</f>
        <v>61.79</v>
      </c>
      <c r="F3735" s="19" t="n">
        <f aca="false">'SALES Raw'!E383*$H$4</f>
        <v>1.26315789473684</v>
      </c>
      <c r="G3735" s="19" t="n">
        <f aca="false">'SALES Raw'!F383*$H$4</f>
        <v>0.0126315789473684</v>
      </c>
      <c r="H3735" s="18" t="str">
        <f aca="false">'SALES Raw'!A383</f>
        <v>101 - Factory customers</v>
      </c>
    </row>
    <row r="3736" customFormat="false" ht="15" hidden="false" customHeight="false" outlineLevel="0" collapsed="false">
      <c r="A3736" s="18" t="str">
        <f aca="false">'SALES Raw'!G396</f>
        <v/>
      </c>
      <c r="B3736" s="18" t="str">
        <f aca="false">'SALES Raw'!B396</f>
        <v>T03 XL</v>
      </c>
      <c r="C3736" s="18" t="str">
        <f aca="false">'SALES Raw'!H396</f>
        <v>T03 XL</v>
      </c>
      <c r="D3736" s="19" t="n">
        <f aca="false">'SALES Raw'!C396</f>
        <v>0</v>
      </c>
      <c r="E3736" s="19" t="n">
        <f aca="false">'SALES Raw'!D396</f>
        <v>0</v>
      </c>
      <c r="F3736" s="19" t="n">
        <f aca="false">'SALES Raw'!E396*$H$4</f>
        <v>1.26315789473684</v>
      </c>
      <c r="G3736" s="19" t="n">
        <f aca="false">'SALES Raw'!F396*$H$4</f>
        <v>140.261052631579</v>
      </c>
      <c r="H3736" s="18" t="str">
        <f aca="false">'SALES Raw'!A396</f>
        <v>101 - Factory customers</v>
      </c>
    </row>
    <row r="3737" customFormat="false" ht="15" hidden="false" customHeight="false" outlineLevel="0" collapsed="false">
      <c r="A3737" s="18" t="n">
        <f aca="false">'SALES Raw'!G399</f>
        <v>4413180</v>
      </c>
      <c r="B3737" s="18" t="str">
        <f aca="false">'SALES Raw'!B399</f>
        <v>T39 S</v>
      </c>
      <c r="C3737" s="18" t="str">
        <f aca="false">'SALES Raw'!H399</f>
        <v>T39  S מגן שוק</v>
      </c>
      <c r="D3737" s="19" t="n">
        <f aca="false">'SALES Raw'!C399</f>
        <v>2</v>
      </c>
      <c r="E3737" s="19" t="n">
        <f aca="false">'SALES Raw'!D399</f>
        <v>215.52</v>
      </c>
      <c r="F3737" s="19" t="n">
        <f aca="false">'SALES Raw'!E399*$H$4</f>
        <v>1.26315789473684</v>
      </c>
      <c r="G3737" s="19" t="n">
        <f aca="false">'SALES Raw'!F399*$H$4</f>
        <v>117.966315789474</v>
      </c>
      <c r="H3737" s="18" t="str">
        <f aca="false">'SALES Raw'!A399</f>
        <v>101 - Factory customers</v>
      </c>
    </row>
    <row r="3738" customFormat="false" ht="15" hidden="false" customHeight="false" outlineLevel="0" collapsed="false">
      <c r="A3738" s="18" t="str">
        <f aca="false">'SALES Raw'!G401</f>
        <v/>
      </c>
      <c r="B3738" s="18" t="str">
        <f aca="false">'SALES Raw'!B401</f>
        <v>T45X L</v>
      </c>
      <c r="C3738" s="18" t="str">
        <f aca="false">'SALES Raw'!H401</f>
        <v>T45X L</v>
      </c>
      <c r="D3738" s="19" t="n">
        <f aca="false">'SALES Raw'!C401</f>
        <v>1</v>
      </c>
      <c r="E3738" s="19" t="n">
        <f aca="false">'SALES Raw'!D401</f>
        <v>107.16</v>
      </c>
      <c r="F3738" s="19" t="n">
        <f aca="false">'SALES Raw'!E401*$H$4</f>
        <v>1.26315789473684</v>
      </c>
      <c r="G3738" s="19" t="n">
        <f aca="false">'SALES Raw'!F401*$H$4</f>
        <v>101.052631578947</v>
      </c>
      <c r="H3738" s="18" t="str">
        <f aca="false">'SALES Raw'!A401</f>
        <v>101 - Factory customers</v>
      </c>
    </row>
    <row r="3739" customFormat="false" ht="15" hidden="false" customHeight="false" outlineLevel="0" collapsed="false">
      <c r="A3739" s="18" t="str">
        <f aca="false">'SALES Raw'!G402</f>
        <v/>
      </c>
      <c r="B3739" s="18" t="str">
        <f aca="false">'SALES Raw'!B402</f>
        <v>T45X M</v>
      </c>
      <c r="C3739" s="18" t="str">
        <f aca="false">'SALES Raw'!H402</f>
        <v>T45X M</v>
      </c>
      <c r="D3739" s="19" t="n">
        <f aca="false">'SALES Raw'!C402</f>
        <v>0</v>
      </c>
      <c r="E3739" s="19" t="n">
        <f aca="false">'SALES Raw'!D402</f>
        <v>0</v>
      </c>
      <c r="F3739" s="19" t="n">
        <f aca="false">'SALES Raw'!E402*$H$4</f>
        <v>1.26315789473684</v>
      </c>
      <c r="G3739" s="19" t="n">
        <f aca="false">'SALES Raw'!F402*$H$4</f>
        <v>101.052631578947</v>
      </c>
      <c r="H3739" s="18" t="str">
        <f aca="false">'SALES Raw'!A402</f>
        <v>101 - Factory customers</v>
      </c>
    </row>
    <row r="3740" customFormat="false" ht="15" hidden="false" customHeight="false" outlineLevel="0" collapsed="false">
      <c r="A3740" s="18" t="str">
        <f aca="false">'SALES Raw'!G403</f>
        <v/>
      </c>
      <c r="B3740" s="18" t="str">
        <f aca="false">'SALES Raw'!B403</f>
        <v>T45X S</v>
      </c>
      <c r="C3740" s="18" t="str">
        <f aca="false">'SALES Raw'!H403</f>
        <v>T45X S</v>
      </c>
      <c r="D3740" s="19" t="n">
        <f aca="false">'SALES Raw'!C403</f>
        <v>0</v>
      </c>
      <c r="E3740" s="19" t="n">
        <f aca="false">'SALES Raw'!D403</f>
        <v>0</v>
      </c>
      <c r="F3740" s="19" t="n">
        <f aca="false">'SALES Raw'!E403*$H$4</f>
        <v>1.26315789473684</v>
      </c>
      <c r="G3740" s="19" t="n">
        <f aca="false">'SALES Raw'!F403*$H$4</f>
        <v>101.077894736842</v>
      </c>
      <c r="H3740" s="18" t="str">
        <f aca="false">'SALES Raw'!A403</f>
        <v>101 - Factory customers</v>
      </c>
    </row>
    <row r="3741" customFormat="false" ht="15" hidden="false" customHeight="false" outlineLevel="0" collapsed="false">
      <c r="A3741" s="18" t="n">
        <f aca="false">'SALES Raw'!G404</f>
        <v>4413260</v>
      </c>
      <c r="B3741" s="18" t="str">
        <f aca="false">'SALES Raw'!B404</f>
        <v>T45X XXL</v>
      </c>
      <c r="C3741" s="18" t="str">
        <f aca="false">'SALES Raw'!H404</f>
        <v>T45X-XXLמגן ברך רגיל</v>
      </c>
      <c r="D3741" s="19" t="n">
        <f aca="false">'SALES Raw'!C404</f>
        <v>0</v>
      </c>
      <c r="E3741" s="19" t="n">
        <f aca="false">'SALES Raw'!D404</f>
        <v>0</v>
      </c>
      <c r="F3741" s="19" t="n">
        <f aca="false">'SALES Raw'!E404*$H$4</f>
        <v>1.26315789473684</v>
      </c>
      <c r="G3741" s="19" t="n">
        <f aca="false">'SALES Raw'!F404*$H$4</f>
        <v>101.052631578947</v>
      </c>
      <c r="H3741" s="18" t="str">
        <f aca="false">'SALES Raw'!A404</f>
        <v>101 - Factory customers</v>
      </c>
    </row>
    <row r="3742" customFormat="false" ht="15" hidden="false" customHeight="false" outlineLevel="0" collapsed="false">
      <c r="A3742" s="18" t="n">
        <f aca="false">'SALES Raw'!G406</f>
        <v>4422005</v>
      </c>
      <c r="B3742" s="18" t="str">
        <f aca="false">'SALES Raw'!B406</f>
        <v>T78 M</v>
      </c>
      <c r="C3742" s="18" t="str">
        <f aca="false">'SALES Raw'!H406</f>
        <v>T78 M תומך זרוע וכתף</v>
      </c>
      <c r="D3742" s="19" t="n">
        <f aca="false">'SALES Raw'!C406</f>
        <v>2</v>
      </c>
      <c r="E3742" s="19" t="n">
        <f aca="false">'SALES Raw'!D406</f>
        <v>258</v>
      </c>
      <c r="F3742" s="19" t="n">
        <f aca="false">'SALES Raw'!E406*$H$4</f>
        <v>1.26315789473684</v>
      </c>
      <c r="G3742" s="19" t="n">
        <f aca="false">'SALES Raw'!F406*$H$4</f>
        <v>164.210526315789</v>
      </c>
      <c r="H3742" s="18" t="str">
        <f aca="false">'SALES Raw'!A406</f>
        <v>101 - Factory customers</v>
      </c>
    </row>
    <row r="3743" customFormat="false" ht="15" hidden="false" customHeight="false" outlineLevel="0" collapsed="false">
      <c r="A3743" s="18" t="n">
        <f aca="false">'SALES Raw'!G413</f>
        <v>4408132</v>
      </c>
      <c r="B3743" s="18" t="str">
        <f aca="false">'SALES Raw'!B413</f>
        <v>11EU XXL</v>
      </c>
      <c r="C3743" s="18" t="str">
        <f aca="false">'SALES Raw'!H413</f>
        <v>11EU XXL חגורת בטןלאחר ניתוח</v>
      </c>
      <c r="D3743" s="19" t="n">
        <f aca="false">'SALES Raw'!C413</f>
        <v>1</v>
      </c>
      <c r="E3743" s="19" t="n">
        <f aca="false">'SALES Raw'!D413</f>
        <v>220.21</v>
      </c>
      <c r="F3743" s="19" t="n">
        <f aca="false">'SALES Raw'!E413*$H$4</f>
        <v>1.26315789473684</v>
      </c>
      <c r="G3743" s="19" t="n">
        <f aca="false">'SALES Raw'!F413*$H$4</f>
        <v>125.722105263158</v>
      </c>
      <c r="H3743" s="18" t="str">
        <f aca="false">'SALES Raw'!A413</f>
        <v>101 - Factory customers</v>
      </c>
    </row>
    <row r="3744" customFormat="false" ht="15" hidden="false" customHeight="false" outlineLevel="0" collapsed="false">
      <c r="A3744" s="18" t="n">
        <f aca="false">'SALES Raw'!G415</f>
        <v>4408152</v>
      </c>
      <c r="B3744" s="18" t="str">
        <f aca="false">'SALES Raw'!B415</f>
        <v>11TO L</v>
      </c>
      <c r="C3744" s="18" t="str">
        <f aca="false">'SALES Raw'!H415</f>
        <v>11TO L חגורה למנותחי בית החזה</v>
      </c>
      <c r="D3744" s="19" t="n">
        <f aca="false">'SALES Raw'!C415</f>
        <v>0</v>
      </c>
      <c r="E3744" s="19" t="n">
        <f aca="false">'SALES Raw'!D415</f>
        <v>0</v>
      </c>
      <c r="F3744" s="19" t="n">
        <f aca="false">'SALES Raw'!E415*$H$4</f>
        <v>1.26315789473684</v>
      </c>
      <c r="G3744" s="19" t="n">
        <f aca="false">'SALES Raw'!F415*$H$4</f>
        <v>0.0126315789473684</v>
      </c>
      <c r="H3744" s="18" t="str">
        <f aca="false">'SALES Raw'!A415</f>
        <v>101 - Factory customers</v>
      </c>
    </row>
    <row r="3745" customFormat="false" ht="15" hidden="false" customHeight="false" outlineLevel="0" collapsed="false">
      <c r="A3745" s="18" t="n">
        <f aca="false">'SALES Raw'!G417</f>
        <v>4408275</v>
      </c>
      <c r="B3745" s="18" t="str">
        <f aca="false">'SALES Raw'!B417</f>
        <v>202 0</v>
      </c>
      <c r="C3745" s="18" t="str">
        <f aca="false">'SALES Raw'!H417</f>
        <v>202  ONE SIZE חבק יד</v>
      </c>
      <c r="D3745" s="19" t="n">
        <f aca="false">'SALES Raw'!C417</f>
        <v>0</v>
      </c>
      <c r="E3745" s="19" t="n">
        <f aca="false">'SALES Raw'!D417</f>
        <v>0</v>
      </c>
      <c r="F3745" s="19" t="n">
        <f aca="false">'SALES Raw'!E417*$H$4</f>
        <v>1.26315789473684</v>
      </c>
      <c r="G3745" s="19" t="n">
        <f aca="false">'SALES Raw'!F417*$H$4</f>
        <v>0.0126315789473684</v>
      </c>
      <c r="H3745" s="18" t="str">
        <f aca="false">'SALES Raw'!A417</f>
        <v>101 - Factory customers</v>
      </c>
    </row>
    <row r="3746" customFormat="false" ht="15" hidden="false" customHeight="false" outlineLevel="0" collapsed="false">
      <c r="A3746" s="18" t="n">
        <f aca="false">'SALES Raw'!G423</f>
        <v>4411030</v>
      </c>
      <c r="B3746" s="18" t="str">
        <f aca="false">'SALES Raw'!B423</f>
        <v>213CTSR M</v>
      </c>
      <c r="C3746" s="18" t="str">
        <f aca="false">'SALES Raw'!H423</f>
        <v>213CTSR M ימין CTS כפפות</v>
      </c>
      <c r="D3746" s="19" t="n">
        <f aca="false">'SALES Raw'!C423</f>
        <v>3</v>
      </c>
      <c r="E3746" s="19" t="n">
        <f aca="false">'SALES Raw'!D423</f>
        <v>468.54</v>
      </c>
      <c r="F3746" s="19" t="n">
        <f aca="false">'SALES Raw'!E423*$H$4</f>
        <v>1.26315789473684</v>
      </c>
      <c r="G3746" s="19" t="n">
        <f aca="false">'SALES Raw'!F423*$H$4</f>
        <v>0.0126315789473684</v>
      </c>
      <c r="H3746" s="18" t="str">
        <f aca="false">'SALES Raw'!A423</f>
        <v>101 - Factory customers</v>
      </c>
    </row>
    <row r="3747" customFormat="false" ht="15" hidden="false" customHeight="false" outlineLevel="0" collapsed="false">
      <c r="A3747" s="18" t="n">
        <f aca="false">'SALES Raw'!G429</f>
        <v>4413337</v>
      </c>
      <c r="B3747" s="18" t="str">
        <f aca="false">'SALES Raw'!B429</f>
        <v>322 XL</v>
      </c>
      <c r="C3747" s="18" t="str">
        <f aca="false">'SALES Raw'!H429</f>
        <v>322XL מגן קרסול+כרית סילקון</v>
      </c>
      <c r="D3747" s="19" t="n">
        <f aca="false">'SALES Raw'!C429</f>
        <v>0</v>
      </c>
      <c r="E3747" s="19" t="n">
        <f aca="false">'SALES Raw'!D429</f>
        <v>0</v>
      </c>
      <c r="F3747" s="19" t="n">
        <f aca="false">'SALES Raw'!E429*$H$4</f>
        <v>1.26315789473684</v>
      </c>
      <c r="G3747" s="19" t="n">
        <f aca="false">'SALES Raw'!F429*$H$4</f>
        <v>161.570526315789</v>
      </c>
      <c r="H3747" s="18" t="str">
        <f aca="false">'SALES Raw'!A429</f>
        <v>101 - Factory customers</v>
      </c>
    </row>
    <row r="3748" customFormat="false" ht="15" hidden="false" customHeight="false" outlineLevel="0" collapsed="false">
      <c r="A3748" s="18" t="str">
        <f aca="false">'SALES Raw'!G431</f>
        <v/>
      </c>
      <c r="B3748" s="18" t="str">
        <f aca="false">'SALES Raw'!B431</f>
        <v>364XL+ 0</v>
      </c>
      <c r="C3748" s="18" t="str">
        <f aca="false">'SALES Raw'!H431</f>
        <v>364XL+ 0</v>
      </c>
      <c r="D3748" s="19" t="n">
        <f aca="false">'SALES Raw'!C431</f>
        <v>0</v>
      </c>
      <c r="E3748" s="19" t="n">
        <f aca="false">'SALES Raw'!D431</f>
        <v>0</v>
      </c>
      <c r="F3748" s="19" t="n">
        <f aca="false">'SALES Raw'!E431*$H$4</f>
        <v>1.26315789473684</v>
      </c>
      <c r="G3748" s="19" t="n">
        <f aca="false">'SALES Raw'!F431*$H$4</f>
        <v>0.0126315789473684</v>
      </c>
      <c r="H3748" s="18" t="str">
        <f aca="false">'SALES Raw'!A431</f>
        <v>101 - Factory customers</v>
      </c>
    </row>
    <row r="3749" customFormat="false" ht="15" hidden="false" customHeight="false" outlineLevel="0" collapsed="false">
      <c r="A3749" s="18" t="n">
        <f aca="false">'SALES Raw'!G432</f>
        <v>4409001</v>
      </c>
      <c r="B3749" s="18" t="str">
        <f aca="false">'SALES Raw'!B432</f>
        <v>365-XL</v>
      </c>
      <c r="C3749" s="18" t="str">
        <f aca="false">'SALES Raw'!H432</f>
        <v>365  X-Lטבעת אלסטית מסיליקון</v>
      </c>
      <c r="D3749" s="19" t="n">
        <f aca="false">'SALES Raw'!C432</f>
        <v>3</v>
      </c>
      <c r="E3749" s="19" t="n">
        <f aca="false">'SALES Raw'!D432</f>
        <v>47.07</v>
      </c>
      <c r="F3749" s="19" t="n">
        <f aca="false">'SALES Raw'!E432*$H$4</f>
        <v>1.26315789473684</v>
      </c>
      <c r="G3749" s="19" t="n">
        <f aca="false">'SALES Raw'!F432*$H$4</f>
        <v>16.0042105263158</v>
      </c>
      <c r="H3749" s="18" t="str">
        <f aca="false">'SALES Raw'!A432</f>
        <v>101 - Factory customers</v>
      </c>
    </row>
    <row r="3750" customFormat="false" ht="15" hidden="false" customHeight="false" outlineLevel="0" collapsed="false">
      <c r="A3750" s="18" t="n">
        <f aca="false">'SALES Raw'!G434</f>
        <v>4413524</v>
      </c>
      <c r="B3750" s="18" t="str">
        <f aca="false">'SALES Raw'!B434</f>
        <v>379COM-39-42</v>
      </c>
      <c r="C3750" s="18" t="str">
        <f aca="false">'SALES Raw'!H434</f>
        <v>39-42 מדרסי אפיק ג'ל נוחות</v>
      </c>
      <c r="D3750" s="19" t="n">
        <f aca="false">'SALES Raw'!C434</f>
        <v>5</v>
      </c>
      <c r="E3750" s="19" t="n">
        <f aca="false">'SALES Raw'!D434</f>
        <v>789.17</v>
      </c>
      <c r="F3750" s="19" t="n">
        <f aca="false">'SALES Raw'!E434*$H$4</f>
        <v>1.26315789473684</v>
      </c>
      <c r="G3750" s="19" t="n">
        <f aca="false">'SALES Raw'!F434*$H$4</f>
        <v>0.0126315789473684</v>
      </c>
      <c r="H3750" s="18" t="str">
        <f aca="false">'SALES Raw'!A434</f>
        <v>101 - Factory customers</v>
      </c>
    </row>
    <row r="3751" customFormat="false" ht="15" hidden="false" customHeight="false" outlineLevel="0" collapsed="false">
      <c r="A3751" s="18" t="n">
        <f aca="false">'SALES Raw'!G435</f>
        <v>4413525</v>
      </c>
      <c r="B3751" s="18" t="str">
        <f aca="false">'SALES Raw'!B435</f>
        <v>379COM-43-46</v>
      </c>
      <c r="C3751" s="18" t="str">
        <f aca="false">'SALES Raw'!H435</f>
        <v>43-47 מדרסי אפיק ג'ל נוחות</v>
      </c>
      <c r="D3751" s="19" t="n">
        <f aca="false">'SALES Raw'!C435</f>
        <v>8</v>
      </c>
      <c r="E3751" s="19" t="n">
        <f aca="false">'SALES Raw'!D435</f>
        <v>693.87</v>
      </c>
      <c r="F3751" s="19" t="n">
        <f aca="false">'SALES Raw'!E435*$H$4</f>
        <v>1.26315789473684</v>
      </c>
      <c r="G3751" s="19" t="n">
        <f aca="false">'SALES Raw'!F435*$H$4</f>
        <v>135.36</v>
      </c>
      <c r="H3751" s="18" t="str">
        <f aca="false">'SALES Raw'!A435</f>
        <v>101 - Factory customers</v>
      </c>
    </row>
    <row r="3752" customFormat="false" ht="15" hidden="false" customHeight="false" outlineLevel="0" collapsed="false">
      <c r="A3752" s="18" t="n">
        <f aca="false">'SALES Raw'!G437</f>
        <v>4413521</v>
      </c>
      <c r="B3752" s="18" t="str">
        <f aca="false">'SALES Raw'!B437</f>
        <v>379MSP-39-42</v>
      </c>
      <c r="C3752" s="18" t="str">
        <f aca="false">'SALES Raw'!H437</f>
        <v>מדרסי אפיק ג'ל מולטי ספור39-42</v>
      </c>
      <c r="D3752" s="19" t="n">
        <f aca="false">'SALES Raw'!C437</f>
        <v>5</v>
      </c>
      <c r="E3752" s="19" t="n">
        <f aca="false">'SALES Raw'!D437</f>
        <v>580.24</v>
      </c>
      <c r="F3752" s="19" t="n">
        <f aca="false">'SALES Raw'!E437*$H$4</f>
        <v>1.26315789473684</v>
      </c>
      <c r="G3752" s="19" t="n">
        <f aca="false">'SALES Raw'!F437*$H$4</f>
        <v>0.0126315789473684</v>
      </c>
      <c r="H3752" s="18" t="str">
        <f aca="false">'SALES Raw'!A437</f>
        <v>101 - Factory customers</v>
      </c>
    </row>
    <row r="3753" customFormat="false" ht="15" hidden="false" customHeight="false" outlineLevel="0" collapsed="false">
      <c r="A3753" s="18" t="n">
        <f aca="false">'SALES Raw'!G440</f>
        <v>4413528</v>
      </c>
      <c r="B3753" s="18" t="str">
        <f aca="false">'SALES Raw'!B440</f>
        <v>379WRK-39-42</v>
      </c>
      <c r="C3753" s="18" t="str">
        <f aca="false">'SALES Raw'!H440</f>
        <v>39-42 מדרסי אפיק ג'ל עבודה</v>
      </c>
      <c r="D3753" s="19" t="n">
        <f aca="false">'SALES Raw'!C440</f>
        <v>1</v>
      </c>
      <c r="E3753" s="19" t="n">
        <f aca="false">'SALES Raw'!D440</f>
        <v>157.51</v>
      </c>
      <c r="F3753" s="19" t="n">
        <f aca="false">'SALES Raw'!E440*$H$4</f>
        <v>1.26315789473684</v>
      </c>
      <c r="G3753" s="19" t="n">
        <f aca="false">'SALES Raw'!F440*$H$4</f>
        <v>0.0126315789473684</v>
      </c>
      <c r="H3753" s="18" t="str">
        <f aca="false">'SALES Raw'!A440</f>
        <v>101 - Factory customers</v>
      </c>
    </row>
    <row r="3754" customFormat="false" ht="15" hidden="false" customHeight="false" outlineLevel="0" collapsed="false">
      <c r="A3754" s="18" t="n">
        <f aca="false">'SALES Raw'!G441</f>
        <v>4413529</v>
      </c>
      <c r="B3754" s="18" t="str">
        <f aca="false">'SALES Raw'!B441</f>
        <v>379WRK-43-46</v>
      </c>
      <c r="C3754" s="18" t="str">
        <f aca="false">'SALES Raw'!H441</f>
        <v>43-47 מדרסי אפיק ג'ל עבודה</v>
      </c>
      <c r="D3754" s="19" t="n">
        <f aca="false">'SALES Raw'!C441</f>
        <v>4</v>
      </c>
      <c r="E3754" s="19" t="n">
        <f aca="false">'SALES Raw'!D441</f>
        <v>552.1</v>
      </c>
      <c r="F3754" s="19" t="n">
        <f aca="false">'SALES Raw'!E441*$H$4</f>
        <v>1.26315789473684</v>
      </c>
      <c r="G3754" s="19" t="n">
        <f aca="false">'SALES Raw'!F441*$H$4</f>
        <v>135.36</v>
      </c>
      <c r="H3754" s="18" t="str">
        <f aca="false">'SALES Raw'!A441</f>
        <v>101 - Factory customers</v>
      </c>
    </row>
    <row r="3755" customFormat="false" ht="15" hidden="false" customHeight="false" outlineLevel="0" collapsed="false">
      <c r="A3755" s="18" t="str">
        <f aca="false">'SALES Raw'!G442</f>
        <v/>
      </c>
      <c r="B3755" s="18" t="str">
        <f aca="false">'SALES Raw'!B442</f>
        <v>391W-35-38</v>
      </c>
      <c r="C3755" s="18" t="str">
        <f aca="false">'SALES Raw'!H442</f>
        <v>391W-35-38</v>
      </c>
      <c r="D3755" s="19" t="n">
        <f aca="false">'SALES Raw'!C442</f>
        <v>0</v>
      </c>
      <c r="E3755" s="19" t="n">
        <f aca="false">'SALES Raw'!D442</f>
        <v>0</v>
      </c>
      <c r="F3755" s="19" t="n">
        <f aca="false">'SALES Raw'!E442*$H$4</f>
        <v>1.26315789473684</v>
      </c>
      <c r="G3755" s="19" t="n">
        <f aca="false">'SALES Raw'!F442*$H$4</f>
        <v>0.0126315789473684</v>
      </c>
      <c r="H3755" s="18" t="str">
        <f aca="false">'SALES Raw'!A442</f>
        <v>101 - Factory customers</v>
      </c>
    </row>
    <row r="3756" customFormat="false" ht="15" hidden="false" customHeight="false" outlineLevel="0" collapsed="false">
      <c r="A3756" s="18" t="str">
        <f aca="false">'SALES Raw'!G443</f>
        <v/>
      </c>
      <c r="B3756" s="18" t="str">
        <f aca="false">'SALES Raw'!B443</f>
        <v>56B L</v>
      </c>
      <c r="C3756" s="18" t="str">
        <f aca="false">'SALES Raw'!H443</f>
        <v>56B L</v>
      </c>
      <c r="D3756" s="19" t="n">
        <f aca="false">'SALES Raw'!C443</f>
        <v>0</v>
      </c>
      <c r="E3756" s="19" t="n">
        <f aca="false">'SALES Raw'!D443</f>
        <v>0</v>
      </c>
      <c r="F3756" s="19" t="n">
        <f aca="false">'SALES Raw'!E443*$H$4</f>
        <v>1.26315789473684</v>
      </c>
      <c r="G3756" s="19" t="n">
        <f aca="false">'SALES Raw'!F443*$H$4</f>
        <v>106.509473684211</v>
      </c>
      <c r="H3756" s="18" t="str">
        <f aca="false">'SALES Raw'!A443</f>
        <v>101 - Factory customers</v>
      </c>
    </row>
    <row r="3757" customFormat="false" ht="15" hidden="false" customHeight="false" outlineLevel="0" collapsed="false">
      <c r="A3757" s="18" t="n">
        <f aca="false">'SALES Raw'!G444</f>
        <v>4408072</v>
      </c>
      <c r="B3757" s="18" t="str">
        <f aca="false">'SALES Raw'!B444</f>
        <v>59D M</v>
      </c>
      <c r="C3757" s="18" t="str">
        <f aca="false">'SALES Raw'!H444</f>
        <v>59D M חגורת שבר דו צדדי</v>
      </c>
      <c r="D3757" s="19" t="n">
        <f aca="false">'SALES Raw'!C444</f>
        <v>0</v>
      </c>
      <c r="E3757" s="19" t="n">
        <f aca="false">'SALES Raw'!D444</f>
        <v>0</v>
      </c>
      <c r="F3757" s="19" t="n">
        <f aca="false">'SALES Raw'!E444*$H$4</f>
        <v>1.26315789473684</v>
      </c>
      <c r="G3757" s="19" t="n">
        <f aca="false">'SALES Raw'!F444*$H$4</f>
        <v>0.0126315789473684</v>
      </c>
      <c r="H3757" s="18" t="str">
        <f aca="false">'SALES Raw'!A444</f>
        <v>101 - Factory customers</v>
      </c>
    </row>
    <row r="3758" customFormat="false" ht="15" hidden="false" customHeight="false" outlineLevel="0" collapsed="false">
      <c r="A3758" s="18" t="n">
        <f aca="false">'SALES Raw'!G445</f>
        <v>4408070</v>
      </c>
      <c r="B3758" s="18" t="str">
        <f aca="false">'SALES Raw'!B445</f>
        <v>59D S</v>
      </c>
      <c r="C3758" s="18" t="str">
        <f aca="false">'SALES Raw'!H445</f>
        <v>59D S חגורת שבר דו צדדי</v>
      </c>
      <c r="D3758" s="19" t="n">
        <f aca="false">'SALES Raw'!C445</f>
        <v>0</v>
      </c>
      <c r="E3758" s="19" t="n">
        <f aca="false">'SALES Raw'!D445</f>
        <v>0</v>
      </c>
      <c r="F3758" s="19" t="n">
        <f aca="false">'SALES Raw'!E445*$H$4</f>
        <v>1.26315789473684</v>
      </c>
      <c r="G3758" s="19" t="n">
        <f aca="false">'SALES Raw'!F445*$H$4</f>
        <v>0.0126315789473684</v>
      </c>
      <c r="H3758" s="18" t="str">
        <f aca="false">'SALES Raw'!A445</f>
        <v>101 - Factory customers</v>
      </c>
    </row>
    <row r="3759" customFormat="false" ht="15" hidden="false" customHeight="false" outlineLevel="0" collapsed="false">
      <c r="A3759" s="18" t="str">
        <f aca="false">'SALES Raw'!G447</f>
        <v/>
      </c>
      <c r="B3759" s="18" t="str">
        <f aca="false">'SALES Raw'!B447</f>
        <v>61BL-M</v>
      </c>
      <c r="C3759" s="18" t="str">
        <f aca="false">'SALES Raw'!H447</f>
        <v>61BL-M</v>
      </c>
      <c r="D3759" s="19" t="n">
        <f aca="false">'SALES Raw'!C447</f>
        <v>0</v>
      </c>
      <c r="E3759" s="19" t="n">
        <f aca="false">'SALES Raw'!D447</f>
        <v>0</v>
      </c>
      <c r="F3759" s="19" t="n">
        <f aca="false">'SALES Raw'!E447*$H$4</f>
        <v>1.26315789473684</v>
      </c>
      <c r="G3759" s="19" t="n">
        <f aca="false">'SALES Raw'!F447*$H$4</f>
        <v>0.0126315789473684</v>
      </c>
      <c r="H3759" s="18" t="str">
        <f aca="false">'SALES Raw'!A447</f>
        <v>101 - Factory customers</v>
      </c>
    </row>
    <row r="3760" customFormat="false" ht="15" hidden="false" customHeight="false" outlineLevel="0" collapsed="false">
      <c r="A3760" s="18" t="str">
        <f aca="false">'SALES Raw'!G448</f>
        <v/>
      </c>
      <c r="B3760" s="18" t="str">
        <f aca="false">'SALES Raw'!B448</f>
        <v>61BL-S</v>
      </c>
      <c r="C3760" s="18" t="str">
        <f aca="false">'SALES Raw'!H448</f>
        <v>61BL-S</v>
      </c>
      <c r="D3760" s="19" t="n">
        <f aca="false">'SALES Raw'!C448</f>
        <v>0</v>
      </c>
      <c r="E3760" s="19" t="n">
        <f aca="false">'SALES Raw'!D448</f>
        <v>0</v>
      </c>
      <c r="F3760" s="19" t="n">
        <f aca="false">'SALES Raw'!E448*$H$4</f>
        <v>1.26315789473684</v>
      </c>
      <c r="G3760" s="19" t="n">
        <f aca="false">'SALES Raw'!F448*$H$4</f>
        <v>0.0126315789473684</v>
      </c>
      <c r="H3760" s="18" t="str">
        <f aca="false">'SALES Raw'!A448</f>
        <v>101 - Factory customers</v>
      </c>
    </row>
    <row r="3761" customFormat="false" ht="15" hidden="false" customHeight="false" outlineLevel="0" collapsed="false">
      <c r="A3761" s="18" t="str">
        <f aca="false">'SALES Raw'!G449</f>
        <v/>
      </c>
      <c r="B3761" s="18" t="str">
        <f aca="false">'SALES Raw'!B449</f>
        <v>621B-S</v>
      </c>
      <c r="C3761" s="18" t="str">
        <f aca="false">'SALES Raw'!H449</f>
        <v>621B-S</v>
      </c>
      <c r="D3761" s="19" t="n">
        <f aca="false">'SALES Raw'!C449</f>
        <v>0</v>
      </c>
      <c r="E3761" s="19" t="n">
        <f aca="false">'SALES Raw'!D449</f>
        <v>0</v>
      </c>
      <c r="F3761" s="19" t="n">
        <f aca="false">'SALES Raw'!E449*$H$4</f>
        <v>1.26315789473684</v>
      </c>
      <c r="G3761" s="19" t="n">
        <f aca="false">'SALES Raw'!F449*$H$4</f>
        <v>0.0126315789473684</v>
      </c>
      <c r="H3761" s="18" t="str">
        <f aca="false">'SALES Raw'!A449</f>
        <v>101 - Factory customers</v>
      </c>
    </row>
    <row r="3762" customFormat="false" ht="15" hidden="false" customHeight="false" outlineLevel="0" collapsed="false">
      <c r="A3762" s="18" t="n">
        <f aca="false">'SALES Raw'!G453</f>
        <v>4408274</v>
      </c>
      <c r="B3762" s="18" t="str">
        <f aca="false">'SALES Raw'!B453</f>
        <v>70N L</v>
      </c>
      <c r="C3762" s="18" t="str">
        <f aca="false">'SALES Raw'!H453</f>
        <v>70N L חגורת פאבליק</v>
      </c>
      <c r="D3762" s="19" t="n">
        <f aca="false">'SALES Raw'!C453</f>
        <v>0</v>
      </c>
      <c r="E3762" s="19" t="n">
        <f aca="false">'SALES Raw'!D453</f>
        <v>0</v>
      </c>
      <c r="F3762" s="19" t="n">
        <f aca="false">'SALES Raw'!E453*$H$4</f>
        <v>1.26315789473684</v>
      </c>
      <c r="G3762" s="19" t="n">
        <f aca="false">'SALES Raw'!F453*$H$4</f>
        <v>381.246315789474</v>
      </c>
      <c r="H3762" s="18" t="str">
        <f aca="false">'SALES Raw'!A453</f>
        <v>101 - Factory customers</v>
      </c>
    </row>
    <row r="3763" customFormat="false" ht="15" hidden="false" customHeight="false" outlineLevel="0" collapsed="false">
      <c r="A3763" s="18" t="n">
        <f aca="false">'SALES Raw'!G454</f>
        <v>4408273</v>
      </c>
      <c r="B3763" s="18" t="str">
        <f aca="false">'SALES Raw'!B454</f>
        <v>70N M</v>
      </c>
      <c r="C3763" s="18" t="str">
        <f aca="false">'SALES Raw'!H454</f>
        <v>70N M חגורת פאבליק</v>
      </c>
      <c r="D3763" s="19" t="n">
        <f aca="false">'SALES Raw'!C454</f>
        <v>0</v>
      </c>
      <c r="E3763" s="19" t="n">
        <f aca="false">'SALES Raw'!D454</f>
        <v>0</v>
      </c>
      <c r="F3763" s="19" t="n">
        <f aca="false">'SALES Raw'!E454*$H$4</f>
        <v>1.26315789473684</v>
      </c>
      <c r="G3763" s="19" t="n">
        <f aca="false">'SALES Raw'!F454*$H$4</f>
        <v>0.0126315789473684</v>
      </c>
      <c r="H3763" s="18" t="str">
        <f aca="false">'SALES Raw'!A454</f>
        <v>101 - Factory customers</v>
      </c>
    </row>
    <row r="3764" customFormat="false" ht="15" hidden="false" customHeight="false" outlineLevel="0" collapsed="false">
      <c r="A3764" s="18" t="n">
        <f aca="false">'SALES Raw'!G459</f>
        <v>4422034</v>
      </c>
      <c r="B3764" s="18" t="str">
        <f aca="false">'SALES Raw'!B459</f>
        <v>807CB-P</v>
      </c>
      <c r="C3764" s="18" t="str">
        <f aca="false">'SALES Raw'!H459</f>
        <v>807CB-P תחבושת נצמדת ורוד 20ממ</v>
      </c>
      <c r="D3764" s="19" t="n">
        <f aca="false">'SALES Raw'!C459</f>
        <v>0</v>
      </c>
      <c r="E3764" s="19" t="n">
        <f aca="false">'SALES Raw'!D459</f>
        <v>0</v>
      </c>
      <c r="F3764" s="19" t="n">
        <f aca="false">'SALES Raw'!E459*$H$4</f>
        <v>1.26315789473684</v>
      </c>
      <c r="G3764" s="19" t="n">
        <f aca="false">'SALES Raw'!F459*$H$4</f>
        <v>0.0126315789473684</v>
      </c>
      <c r="H3764" s="18" t="str">
        <f aca="false">'SALES Raw'!A459</f>
        <v>101 - Factory customers</v>
      </c>
    </row>
    <row r="3765" customFormat="false" ht="15" hidden="false" customHeight="false" outlineLevel="0" collapsed="false">
      <c r="A3765" s="18" t="str">
        <f aca="false">'SALES Raw'!G462</f>
        <v/>
      </c>
      <c r="B3765" s="18" t="str">
        <f aca="false">'SALES Raw'!B462</f>
        <v>808KTP-BL</v>
      </c>
      <c r="C3765" s="18" t="str">
        <f aca="false">'SALES Raw'!H462</f>
        <v>808KTP-BL</v>
      </c>
      <c r="D3765" s="19" t="n">
        <f aca="false">'SALES Raw'!C462</f>
        <v>1</v>
      </c>
      <c r="E3765" s="19" t="n">
        <f aca="false">'SALES Raw'!D462</f>
        <v>62.97</v>
      </c>
      <c r="F3765" s="19" t="n">
        <f aca="false">'SALES Raw'!E462*$H$4</f>
        <v>1.26315789473684</v>
      </c>
      <c r="G3765" s="19" t="n">
        <f aca="false">'SALES Raw'!F462*$H$4</f>
        <v>54</v>
      </c>
      <c r="H3765" s="18" t="str">
        <f aca="false">'SALES Raw'!A462</f>
        <v>101 - Factory customers</v>
      </c>
    </row>
    <row r="3766" customFormat="false" ht="15" hidden="false" customHeight="false" outlineLevel="0" collapsed="false">
      <c r="A3766" s="18" t="n">
        <f aca="false">'SALES Raw'!G475</f>
        <v>4422037</v>
      </c>
      <c r="B3766" s="18" t="str">
        <f aca="false">'SALES Raw'!B475</f>
        <v>SH422 1</v>
      </c>
      <c r="C3766" s="18" t="str">
        <f aca="false">'SALES Raw'!H475</f>
        <v>SH422 1 תומך ברך גנושילד</v>
      </c>
      <c r="D3766" s="19" t="n">
        <f aca="false">'SALES Raw'!C475</f>
        <v>1</v>
      </c>
      <c r="E3766" s="19" t="n">
        <f aca="false">'SALES Raw'!D475</f>
        <v>281.17</v>
      </c>
      <c r="F3766" s="19" t="n">
        <f aca="false">'SALES Raw'!E475*$H$4</f>
        <v>1.26315789473684</v>
      </c>
      <c r="G3766" s="19" t="n">
        <f aca="false">'SALES Raw'!F475*$H$4</f>
        <v>248.614736842105</v>
      </c>
      <c r="H3766" s="18" t="str">
        <f aca="false">'SALES Raw'!A475</f>
        <v>101 - Factory customers</v>
      </c>
    </row>
    <row r="3767" customFormat="false" ht="15" hidden="false" customHeight="false" outlineLevel="0" collapsed="false">
      <c r="A3767" s="18" t="n">
        <f aca="false">'SALES Raw'!G478</f>
        <v>4422040</v>
      </c>
      <c r="B3767" s="18" t="str">
        <f aca="false">'SALES Raw'!B478</f>
        <v>SH422 4</v>
      </c>
      <c r="C3767" s="18" t="str">
        <f aca="false">'SALES Raw'!H478</f>
        <v>SH422 4 תומך ברך גנושילד</v>
      </c>
      <c r="D3767" s="19" t="n">
        <f aca="false">'SALES Raw'!C478</f>
        <v>10</v>
      </c>
      <c r="E3767" s="19" t="n">
        <f aca="false">'SALES Raw'!D478</f>
        <v>2581.31</v>
      </c>
      <c r="F3767" s="19" t="n">
        <f aca="false">'SALES Raw'!E478*$H$4</f>
        <v>1.26315789473684</v>
      </c>
      <c r="G3767" s="19" t="n">
        <f aca="false">'SALES Raw'!F478*$H$4</f>
        <v>0.0126315789473684</v>
      </c>
      <c r="H3767" s="18" t="str">
        <f aca="false">'SALES Raw'!A478</f>
        <v>101 - Factory customers</v>
      </c>
    </row>
    <row r="3768" customFormat="false" ht="15" hidden="false" customHeight="false" outlineLevel="0" collapsed="false">
      <c r="A3768" s="18" t="n">
        <f aca="false">'SALES Raw'!G479</f>
        <v>4422042</v>
      </c>
      <c r="B3768" s="18" t="str">
        <f aca="false">'SALES Raw'!B479</f>
        <v>SH422 6</v>
      </c>
      <c r="C3768" s="18" t="str">
        <f aca="false">'SALES Raw'!H479</f>
        <v>SH422 6 תומך ברך גנושילד</v>
      </c>
      <c r="D3768" s="19" t="n">
        <f aca="false">'SALES Raw'!C479</f>
        <v>1</v>
      </c>
      <c r="E3768" s="19" t="n">
        <f aca="false">'SALES Raw'!D479</f>
        <v>281.17</v>
      </c>
      <c r="F3768" s="19" t="n">
        <f aca="false">'SALES Raw'!E479*$H$4</f>
        <v>1.26315789473684</v>
      </c>
      <c r="G3768" s="19" t="n">
        <f aca="false">'SALES Raw'!F479*$H$4</f>
        <v>0.0126315789473684</v>
      </c>
      <c r="H3768" s="18" t="str">
        <f aca="false">'SALES Raw'!A479</f>
        <v>101 - Factory customers</v>
      </c>
    </row>
    <row r="3769" customFormat="false" ht="15" hidden="false" customHeight="false" outlineLevel="0" collapsed="false">
      <c r="A3769" s="18" t="str">
        <f aca="false">'SALES Raw'!G480</f>
        <v/>
      </c>
      <c r="B3769" s="18" t="str">
        <f aca="false">'SALES Raw'!B480</f>
        <v>SH59D-XL-XXL</v>
      </c>
      <c r="C3769" s="18" t="str">
        <f aca="false">'SALES Raw'!H480</f>
        <v>SH59D-XL-XXL</v>
      </c>
      <c r="D3769" s="19" t="n">
        <f aca="false">'SALES Raw'!C480</f>
        <v>0</v>
      </c>
      <c r="E3769" s="19" t="n">
        <f aca="false">'SALES Raw'!D480</f>
        <v>0</v>
      </c>
      <c r="F3769" s="19" t="n">
        <f aca="false">'SALES Raw'!E480*$H$4</f>
        <v>1.26315789473684</v>
      </c>
      <c r="G3769" s="19" t="n">
        <f aca="false">'SALES Raw'!F480*$H$4</f>
        <v>0.0126315789473684</v>
      </c>
      <c r="H3769" s="18" t="str">
        <f aca="false">'SALES Raw'!A480</f>
        <v>101 - Factory customers</v>
      </c>
    </row>
    <row r="3770" customFormat="false" ht="15" hidden="false" customHeight="false" outlineLevel="0" collapsed="false">
      <c r="A3770" s="18" t="str">
        <f aca="false">'SALES Raw'!G481</f>
        <v/>
      </c>
      <c r="B3770" s="18" t="str">
        <f aca="false">'SALES Raw'!B481</f>
        <v>SH660</v>
      </c>
      <c r="C3770" s="18" t="str">
        <f aca="false">'SALES Raw'!H481</f>
        <v>SH660</v>
      </c>
      <c r="D3770" s="19" t="n">
        <f aca="false">'SALES Raw'!C481</f>
        <v>0</v>
      </c>
      <c r="E3770" s="19" t="n">
        <f aca="false">'SALES Raw'!D481</f>
        <v>0</v>
      </c>
      <c r="F3770" s="19" t="n">
        <f aca="false">'SALES Raw'!E481*$H$4</f>
        <v>1.26315789473684</v>
      </c>
      <c r="G3770" s="19" t="n">
        <f aca="false">'SALES Raw'!F481*$H$4</f>
        <v>0.0126315789473684</v>
      </c>
      <c r="H3770" s="18" t="str">
        <f aca="false">'SALES Raw'!A481</f>
        <v>101 - Factory customers</v>
      </c>
    </row>
    <row r="3771" customFormat="false" ht="15" hidden="false" customHeight="false" outlineLevel="0" collapsed="false">
      <c r="A3771" s="18" t="str">
        <f aca="false">'SALES Raw'!G482</f>
        <v/>
      </c>
      <c r="B3771" s="18" t="str">
        <f aca="false">'SALES Raw'!B482</f>
        <v>SH776 L</v>
      </c>
      <c r="C3771" s="18" t="str">
        <f aca="false">'SALES Raw'!H482</f>
        <v>SH776 L</v>
      </c>
      <c r="D3771" s="19" t="n">
        <f aca="false">'SALES Raw'!C482</f>
        <v>0</v>
      </c>
      <c r="E3771" s="19" t="n">
        <f aca="false">'SALES Raw'!D482</f>
        <v>0</v>
      </c>
      <c r="F3771" s="19" t="n">
        <f aca="false">'SALES Raw'!E482*$H$4</f>
        <v>1.26315789473684</v>
      </c>
      <c r="G3771" s="19" t="n">
        <f aca="false">'SALES Raw'!F482*$H$4</f>
        <v>592.016842105263</v>
      </c>
      <c r="H3771" s="18" t="str">
        <f aca="false">'SALES Raw'!A482</f>
        <v>101 - Factory customers</v>
      </c>
    </row>
    <row r="3772" customFormat="false" ht="15" hidden="false" customHeight="false" outlineLevel="0" collapsed="false">
      <c r="A3772" s="18" t="n">
        <f aca="false">'SALES Raw'!G489</f>
        <v>4408269</v>
      </c>
      <c r="B3772" s="18" t="str">
        <f aca="false">'SALES Raw'!B489</f>
        <v>ST37 0</v>
      </c>
      <c r="C3772" s="18" t="str">
        <f aca="false">'SALES Raw'!H489</f>
        <v>ST37 חבק לקרסול</v>
      </c>
      <c r="D3772" s="19" t="n">
        <f aca="false">'SALES Raw'!C489</f>
        <v>4</v>
      </c>
      <c r="E3772" s="19" t="n">
        <f aca="false">'SALES Raw'!D489</f>
        <v>140.44</v>
      </c>
      <c r="F3772" s="19" t="n">
        <f aca="false">'SALES Raw'!E489*$H$4</f>
        <v>1.26315789473684</v>
      </c>
      <c r="G3772" s="19" t="n">
        <f aca="false">'SALES Raw'!F489*$H$4</f>
        <v>0.0126315789473684</v>
      </c>
      <c r="H3772" s="18" t="str">
        <f aca="false">'SALES Raw'!A489</f>
        <v>101 - Factory customers</v>
      </c>
    </row>
    <row r="3773" customFormat="false" ht="15" hidden="false" customHeight="false" outlineLevel="0" collapsed="false">
      <c r="A3773" s="18" t="str">
        <f aca="false">'SALES Raw'!G495</f>
        <v/>
      </c>
      <c r="B3773" s="18" t="str">
        <f aca="false">'SALES Raw'!B495</f>
        <v>T066B-S-M</v>
      </c>
      <c r="C3773" s="18" t="str">
        <f aca="false">'SALES Raw'!H495</f>
        <v>T066B-S-M</v>
      </c>
      <c r="D3773" s="19" t="n">
        <f aca="false">'SALES Raw'!C495</f>
        <v>0</v>
      </c>
      <c r="E3773" s="19" t="n">
        <f aca="false">'SALES Raw'!D495</f>
        <v>0</v>
      </c>
      <c r="F3773" s="19" t="n">
        <f aca="false">'SALES Raw'!E495*$H$4</f>
        <v>1.26315789473684</v>
      </c>
      <c r="G3773" s="19" t="n">
        <f aca="false">'SALES Raw'!F495*$H$4</f>
        <v>0.0126315789473684</v>
      </c>
      <c r="H3773" s="18" t="str">
        <f aca="false">'SALES Raw'!A495</f>
        <v>101 - Factory customers</v>
      </c>
    </row>
    <row r="3774" customFormat="false" ht="15" hidden="false" customHeight="false" outlineLevel="0" collapsed="false">
      <c r="A3774" s="18" t="str">
        <f aca="false">'SALES Raw'!G497</f>
        <v/>
      </c>
      <c r="B3774" s="18" t="str">
        <f aca="false">'SALES Raw'!B497</f>
        <v>T36B L</v>
      </c>
      <c r="C3774" s="18" t="str">
        <f aca="false">'SALES Raw'!H497</f>
        <v>T36B L</v>
      </c>
      <c r="D3774" s="19" t="n">
        <f aca="false">'SALES Raw'!C497</f>
        <v>0</v>
      </c>
      <c r="E3774" s="19" t="n">
        <f aca="false">'SALES Raw'!D497</f>
        <v>0</v>
      </c>
      <c r="F3774" s="19" t="n">
        <f aca="false">'SALES Raw'!E497*$H$4</f>
        <v>1.26315789473684</v>
      </c>
      <c r="G3774" s="19" t="n">
        <f aca="false">'SALES Raw'!F497*$H$4</f>
        <v>0.0126315789473684</v>
      </c>
      <c r="H3774" s="18" t="str">
        <f aca="false">'SALES Raw'!A497</f>
        <v>101 - Factory customers</v>
      </c>
    </row>
    <row r="3775" customFormat="false" ht="15" hidden="false" customHeight="false" outlineLevel="0" collapsed="false">
      <c r="A3775" s="18" t="str">
        <f aca="false">'SALES Raw'!G498</f>
        <v/>
      </c>
      <c r="B3775" s="18" t="str">
        <f aca="false">'SALES Raw'!B498</f>
        <v>T40B 0</v>
      </c>
      <c r="C3775" s="18" t="str">
        <f aca="false">'SALES Raw'!H498</f>
        <v>T40B 0</v>
      </c>
      <c r="D3775" s="19" t="n">
        <f aca="false">'SALES Raw'!C498</f>
        <v>2</v>
      </c>
      <c r="E3775" s="19" t="n">
        <f aca="false">'SALES Raw'!D498</f>
        <v>227.36</v>
      </c>
      <c r="F3775" s="19" t="n">
        <f aca="false">'SALES Raw'!E498*$H$4</f>
        <v>1.26315789473684</v>
      </c>
      <c r="G3775" s="19" t="n">
        <f aca="false">'SALES Raw'!F498*$H$4</f>
        <v>0.0126315789473684</v>
      </c>
      <c r="H3775" s="18" t="str">
        <f aca="false">'SALES Raw'!A498</f>
        <v>101 - Factory customers</v>
      </c>
    </row>
    <row r="3776" customFormat="false" ht="15" hidden="false" customHeight="false" outlineLevel="0" collapsed="false">
      <c r="A3776" s="18" t="str">
        <f aca="false">'SALES Raw'!G499</f>
        <v/>
      </c>
      <c r="B3776" s="18" t="str">
        <f aca="false">'SALES Raw'!B499</f>
        <v>T46B M</v>
      </c>
      <c r="C3776" s="18" t="str">
        <f aca="false">'SALES Raw'!H499</f>
        <v>T46B M</v>
      </c>
      <c r="D3776" s="19" t="n">
        <f aca="false">'SALES Raw'!C499</f>
        <v>0</v>
      </c>
      <c r="E3776" s="19" t="n">
        <f aca="false">'SALES Raw'!D499</f>
        <v>0</v>
      </c>
      <c r="F3776" s="19" t="n">
        <f aca="false">'SALES Raw'!E499*$H$4</f>
        <v>1.26315789473684</v>
      </c>
      <c r="G3776" s="19" t="n">
        <f aca="false">'SALES Raw'!F499*$H$4</f>
        <v>0.0126315789473684</v>
      </c>
      <c r="H3776" s="18" t="str">
        <f aca="false">'SALES Raw'!A499</f>
        <v>101 - Factory customers</v>
      </c>
    </row>
    <row r="3777" customFormat="false" ht="15" hidden="false" customHeight="false" outlineLevel="0" collapsed="false">
      <c r="A3777" s="18" t="str">
        <f aca="false">'SALES Raw'!G503</f>
        <v/>
      </c>
      <c r="B3777" s="18" t="str">
        <f aca="false">'SALES Raw'!B503</f>
        <v>12 M</v>
      </c>
      <c r="C3777" s="18" t="str">
        <f aca="false">'SALES Raw'!H503</f>
        <v>12 M</v>
      </c>
      <c r="D3777" s="19" t="n">
        <f aca="false">'SALES Raw'!C503</f>
        <v>0</v>
      </c>
      <c r="E3777" s="19" t="n">
        <f aca="false">'SALES Raw'!D503</f>
        <v>0</v>
      </c>
      <c r="F3777" s="19" t="n">
        <f aca="false">'SALES Raw'!E503*$H$4</f>
        <v>1.26315789473684</v>
      </c>
      <c r="G3777" s="19" t="n">
        <f aca="false">'SALES Raw'!F503*$H$4</f>
        <v>317.646315789474</v>
      </c>
      <c r="H3777" s="18" t="str">
        <f aca="false">'SALES Raw'!A503</f>
        <v>101 - Factory customers</v>
      </c>
    </row>
    <row r="3778" customFormat="false" ht="15" hidden="false" customHeight="false" outlineLevel="0" collapsed="false">
      <c r="A3778" s="18" t="str">
        <f aca="false">'SALES Raw'!G504</f>
        <v/>
      </c>
      <c r="B3778" s="18" t="str">
        <f aca="false">'SALES Raw'!B504</f>
        <v>355 M</v>
      </c>
      <c r="C3778" s="18" t="str">
        <f aca="false">'SALES Raw'!H504</f>
        <v>355 M</v>
      </c>
      <c r="D3778" s="19" t="n">
        <f aca="false">'SALES Raw'!C504</f>
        <v>0</v>
      </c>
      <c r="E3778" s="19" t="n">
        <f aca="false">'SALES Raw'!D504</f>
        <v>0</v>
      </c>
      <c r="F3778" s="19" t="n">
        <f aca="false">'SALES Raw'!E504*$H$4</f>
        <v>1.26315789473684</v>
      </c>
      <c r="G3778" s="19" t="n">
        <f aca="false">'SALES Raw'!F504*$H$4</f>
        <v>240.795789473684</v>
      </c>
      <c r="H3778" s="18" t="str">
        <f aca="false">'SALES Raw'!A504</f>
        <v>101 - Factory customers</v>
      </c>
    </row>
    <row r="3779" customFormat="false" ht="15" hidden="false" customHeight="false" outlineLevel="0" collapsed="false">
      <c r="A3779" s="18" t="str">
        <f aca="false">'SALES Raw'!G512</f>
        <v/>
      </c>
      <c r="B3779" s="18" t="str">
        <f aca="false">'SALES Raw'!B512</f>
        <v>T26 XL</v>
      </c>
      <c r="C3779" s="18" t="str">
        <f aca="false">'SALES Raw'!H512</f>
        <v>T26 XL</v>
      </c>
      <c r="D3779" s="19" t="n">
        <f aca="false">'SALES Raw'!C512</f>
        <v>0</v>
      </c>
      <c r="E3779" s="19" t="n">
        <f aca="false">'SALES Raw'!D512</f>
        <v>0</v>
      </c>
      <c r="F3779" s="19" t="n">
        <f aca="false">'SALES Raw'!E512*$H$4</f>
        <v>1.26315789473684</v>
      </c>
      <c r="G3779" s="19" t="n">
        <f aca="false">'SALES Raw'!F512*$H$4</f>
        <v>184.016842105263</v>
      </c>
      <c r="H3779" s="18" t="str">
        <f aca="false">'SALES Raw'!A512</f>
        <v>101 - Factory customers</v>
      </c>
    </row>
    <row r="3780" customFormat="false" ht="15" hidden="false" customHeight="false" outlineLevel="0" collapsed="false">
      <c r="A3780" s="18" t="str">
        <f aca="false">'SALES Raw'!G523</f>
        <v/>
      </c>
      <c r="B3780" s="18" t="str">
        <f aca="false">'SALES Raw'!B523</f>
        <v>ST45X 0</v>
      </c>
      <c r="C3780" s="18" t="str">
        <f aca="false">'SALES Raw'!H523</f>
        <v>ST45X 0</v>
      </c>
      <c r="D3780" s="19" t="n">
        <f aca="false">'SALES Raw'!C523</f>
        <v>0</v>
      </c>
      <c r="E3780" s="19" t="n">
        <f aca="false">'SALES Raw'!D523</f>
        <v>0</v>
      </c>
      <c r="F3780" s="19" t="n">
        <f aca="false">'SALES Raw'!E523*$H$4</f>
        <v>1.26315789473684</v>
      </c>
      <c r="G3780" s="19" t="n">
        <f aca="false">'SALES Raw'!F523*$H$4</f>
        <v>78.858947368421</v>
      </c>
      <c r="H3780" s="18" t="str">
        <f aca="false">'SALES Raw'!A523</f>
        <v>101 - Factory customers</v>
      </c>
    </row>
    <row r="3781" customFormat="false" ht="15" hidden="false" customHeight="false" outlineLevel="0" collapsed="false">
      <c r="A3781" s="18" t="n">
        <f aca="false">'SALES Raw'!G524</f>
        <v>4415072</v>
      </c>
      <c r="B3781" s="18" t="str">
        <f aca="false">'SALES Raw'!B524</f>
        <v>T28A-S-M</v>
      </c>
      <c r="C3781" s="18" t="str">
        <f aca="false">'SALES Raw'!H524</f>
        <v>T28A S-M סד לאגודל</v>
      </c>
      <c r="D3781" s="19" t="n">
        <f aca="false">'SALES Raw'!C524</f>
        <v>0</v>
      </c>
      <c r="E3781" s="19" t="n">
        <f aca="false">'SALES Raw'!D524</f>
        <v>0</v>
      </c>
      <c r="F3781" s="19" t="n">
        <f aca="false">'SALES Raw'!E524*$H$4</f>
        <v>1.26315789473684</v>
      </c>
      <c r="G3781" s="19" t="n">
        <f aca="false">'SALES Raw'!F524*$H$4</f>
        <v>80.2231578947368</v>
      </c>
      <c r="H3781" s="18" t="str">
        <f aca="false">'SALES Raw'!A524</f>
        <v>101 - Factory customers</v>
      </c>
    </row>
    <row r="3782" customFormat="false" ht="15" hidden="false" customHeight="false" outlineLevel="0" collapsed="false">
      <c r="A3782" s="18" t="str">
        <f aca="false">'SALES Raw'!G624</f>
        <v/>
      </c>
      <c r="B3782" s="18" t="str">
        <f aca="false">'SALES Raw'!B624</f>
        <v>332B L</v>
      </c>
      <c r="C3782" s="18" t="str">
        <f aca="false">'SALES Raw'!H624</f>
        <v>332B L</v>
      </c>
      <c r="D3782" s="19" t="n">
        <f aca="false">'SALES Raw'!C624</f>
        <v>9</v>
      </c>
      <c r="E3782" s="19" t="n">
        <f aca="false">'SALES Raw'!D624</f>
        <v>692.17</v>
      </c>
      <c r="F3782" s="19" t="n">
        <f aca="false">'SALES Raw'!E624*$H$4</f>
        <v>1.26315789473684</v>
      </c>
      <c r="G3782" s="19" t="n">
        <f aca="false">'SALES Raw'!F624*$H$4</f>
        <v>94.7368421052632</v>
      </c>
      <c r="H3782" s="18" t="str">
        <f aca="false">'SALES Raw'!A624</f>
        <v>102 - Orthopedic institutes</v>
      </c>
    </row>
    <row r="3783" customFormat="false" ht="15" hidden="false" customHeight="false" outlineLevel="0" collapsed="false">
      <c r="A3783" s="18" t="str">
        <f aca="false">'SALES Raw'!G627</f>
        <v/>
      </c>
      <c r="B3783" s="18" t="str">
        <f aca="false">'SALES Raw'!B627</f>
        <v>332B XXL</v>
      </c>
      <c r="C3783" s="18" t="str">
        <f aca="false">'SALES Raw'!H627</f>
        <v>332B XXL</v>
      </c>
      <c r="D3783" s="19" t="n">
        <f aca="false">'SALES Raw'!C627</f>
        <v>0</v>
      </c>
      <c r="E3783" s="19" t="n">
        <f aca="false">'SALES Raw'!D627</f>
        <v>0</v>
      </c>
      <c r="F3783" s="19" t="n">
        <f aca="false">'SALES Raw'!E627*$H$4</f>
        <v>1.26315789473684</v>
      </c>
      <c r="G3783" s="19" t="n">
        <f aca="false">'SALES Raw'!F627*$H$4</f>
        <v>94.7368421052632</v>
      </c>
      <c r="H3783" s="18" t="str">
        <f aca="false">'SALES Raw'!A627</f>
        <v>102 - Orthopedic institutes</v>
      </c>
    </row>
    <row r="3784" customFormat="false" ht="15" hidden="false" customHeight="false" outlineLevel="0" collapsed="false">
      <c r="A3784" s="18" t="n">
        <f aca="false">'SALES Raw'!G645</f>
        <v>4413115</v>
      </c>
      <c r="B3784" s="18" t="str">
        <f aca="false">'SALES Raw'!B645</f>
        <v>49 XXL</v>
      </c>
      <c r="C3784" s="18" t="str">
        <f aca="false">'SALES Raw'!H645</f>
        <v>49 XXL מגן ירך</v>
      </c>
      <c r="D3784" s="19" t="n">
        <f aca="false">'SALES Raw'!C645</f>
        <v>0</v>
      </c>
      <c r="E3784" s="19" t="n">
        <f aca="false">'SALES Raw'!D645</f>
        <v>0</v>
      </c>
      <c r="F3784" s="19" t="n">
        <f aca="false">'SALES Raw'!E645*$H$4</f>
        <v>1.26315789473684</v>
      </c>
      <c r="G3784" s="19" t="n">
        <f aca="false">'SALES Raw'!F645*$H$4</f>
        <v>44.3494736842105</v>
      </c>
      <c r="H3784" s="18" t="str">
        <f aca="false">'SALES Raw'!A645</f>
        <v>102 - Orthopedic institutes</v>
      </c>
    </row>
    <row r="3785" customFormat="false" ht="15" hidden="false" customHeight="false" outlineLevel="0" collapsed="false">
      <c r="A3785" s="18" t="str">
        <f aca="false">'SALES Raw'!G647</f>
        <v/>
      </c>
      <c r="B3785" s="18" t="str">
        <f aca="false">'SALES Raw'!B647</f>
        <v>55 M</v>
      </c>
      <c r="C3785" s="18" t="str">
        <f aca="false">'SALES Raw'!H647</f>
        <v>55 M</v>
      </c>
      <c r="D3785" s="19" t="n">
        <f aca="false">'SALES Raw'!C647</f>
        <v>12</v>
      </c>
      <c r="E3785" s="19" t="n">
        <f aca="false">'SALES Raw'!D647</f>
        <v>935.57</v>
      </c>
      <c r="F3785" s="19" t="n">
        <f aca="false">'SALES Raw'!E647*$H$4</f>
        <v>1.26315789473684</v>
      </c>
      <c r="G3785" s="19" t="n">
        <f aca="false">'SALES Raw'!F647*$H$4</f>
        <v>106.509473684211</v>
      </c>
      <c r="H3785" s="18" t="str">
        <f aca="false">'SALES Raw'!A647</f>
        <v>102 - Orthopedic institutes</v>
      </c>
    </row>
    <row r="3786" customFormat="false" ht="15" hidden="false" customHeight="false" outlineLevel="0" collapsed="false">
      <c r="A3786" s="18" t="str">
        <f aca="false">'SALES Raw'!G664</f>
        <v/>
      </c>
      <c r="B3786" s="18" t="str">
        <f aca="false">'SALES Raw'!B664</f>
        <v>N433D L</v>
      </c>
      <c r="C3786" s="18" t="str">
        <f aca="false">'SALES Raw'!H664</f>
        <v>N433D L</v>
      </c>
      <c r="D3786" s="19" t="n">
        <f aca="false">'SALES Raw'!C664</f>
        <v>11</v>
      </c>
      <c r="E3786" s="19" t="n">
        <f aca="false">'SALES Raw'!D664</f>
        <v>2683.86</v>
      </c>
      <c r="F3786" s="19" t="n">
        <f aca="false">'SALES Raw'!E664*$H$4</f>
        <v>1.26315789473684</v>
      </c>
      <c r="G3786" s="19" t="n">
        <f aca="false">'SALES Raw'!F664*$H$4</f>
        <v>328.433684210526</v>
      </c>
      <c r="H3786" s="18" t="str">
        <f aca="false">'SALES Raw'!A664</f>
        <v>102 - Orthopedic institutes</v>
      </c>
    </row>
    <row r="3787" customFormat="false" ht="15" hidden="false" customHeight="false" outlineLevel="0" collapsed="false">
      <c r="A3787" s="18" t="str">
        <f aca="false">'SALES Raw'!G667</f>
        <v/>
      </c>
      <c r="B3787" s="18" t="str">
        <f aca="false">'SALES Raw'!B667</f>
        <v>N433D XXL</v>
      </c>
      <c r="C3787" s="18" t="str">
        <f aca="false">'SALES Raw'!H667</f>
        <v>N433D XXL</v>
      </c>
      <c r="D3787" s="19" t="n">
        <f aca="false">'SALES Raw'!C667</f>
        <v>4</v>
      </c>
      <c r="E3787" s="19" t="n">
        <f aca="false">'SALES Raw'!D667</f>
        <v>933.85</v>
      </c>
      <c r="F3787" s="19" t="n">
        <f aca="false">'SALES Raw'!E667*$H$4</f>
        <v>1.26315789473684</v>
      </c>
      <c r="G3787" s="19" t="n">
        <f aca="false">'SALES Raw'!F667*$H$4</f>
        <v>328.421052631579</v>
      </c>
      <c r="H3787" s="18" t="str">
        <f aca="false">'SALES Raw'!A667</f>
        <v>102 - Orthopedic institutes</v>
      </c>
    </row>
    <row r="3788" customFormat="false" ht="15" hidden="false" customHeight="false" outlineLevel="0" collapsed="false">
      <c r="A3788" s="18" t="n">
        <f aca="false">'SALES Raw'!G670</f>
        <v>4413419</v>
      </c>
      <c r="B3788" s="18" t="str">
        <f aca="false">'SALES Raw'!B670</f>
        <v>SC39 XXL</v>
      </c>
      <c r="C3788" s="18" t="str">
        <f aca="false">'SALES Raw'!H670</f>
        <v>SC39 XXLמגן שוק</v>
      </c>
      <c r="D3788" s="19" t="n">
        <f aca="false">'SALES Raw'!C670</f>
        <v>3</v>
      </c>
      <c r="E3788" s="19" t="n">
        <f aca="false">'SALES Raw'!D670</f>
        <v>492.08</v>
      </c>
      <c r="F3788" s="19" t="n">
        <f aca="false">'SALES Raw'!E670*$H$4</f>
        <v>1.26315789473684</v>
      </c>
      <c r="G3788" s="19" t="n">
        <f aca="false">'SALES Raw'!F670*$H$4</f>
        <v>207.183157894737</v>
      </c>
      <c r="H3788" s="18" t="str">
        <f aca="false">'SALES Raw'!A670</f>
        <v>102 - Orthopedic institutes</v>
      </c>
    </row>
    <row r="3789" customFormat="false" ht="15" hidden="false" customHeight="false" outlineLevel="0" collapsed="false">
      <c r="A3789" s="18" t="n">
        <f aca="false">'SALES Raw'!G694</f>
        <v>4408179</v>
      </c>
      <c r="B3789" s="18" t="str">
        <f aca="false">'SALES Raw'!B694</f>
        <v>13 XL</v>
      </c>
      <c r="C3789" s="18" t="str">
        <f aca="false">'SALES Raw'!H694</f>
        <v>13 XL חגורה לשבר טבור</v>
      </c>
      <c r="D3789" s="19" t="n">
        <f aca="false">'SALES Raw'!C694</f>
        <v>3</v>
      </c>
      <c r="E3789" s="19" t="n">
        <f aca="false">'SALES Raw'!D694</f>
        <v>313</v>
      </c>
      <c r="F3789" s="19" t="n">
        <f aca="false">'SALES Raw'!E694*$H$4</f>
        <v>1.26315789473684</v>
      </c>
      <c r="G3789" s="19" t="n">
        <f aca="false">'SALES Raw'!F694*$H$4</f>
        <v>145.263157894737</v>
      </c>
      <c r="H3789" s="18" t="str">
        <f aca="false">'SALES Raw'!A694</f>
        <v>102 - Orthopedic institutes</v>
      </c>
    </row>
    <row r="3790" customFormat="false" ht="15" hidden="false" customHeight="false" outlineLevel="0" collapsed="false">
      <c r="A3790" s="18" t="str">
        <f aca="false">'SALES Raw'!G718</f>
        <v/>
      </c>
      <c r="B3790" s="18" t="str">
        <f aca="false">'SALES Raw'!B718</f>
        <v>49PS XXL</v>
      </c>
      <c r="C3790" s="18" t="str">
        <f aca="false">'SALES Raw'!H718</f>
        <v>49PS XXL</v>
      </c>
      <c r="D3790" s="19" t="n">
        <f aca="false">'SALES Raw'!C718</f>
        <v>0</v>
      </c>
      <c r="E3790" s="19" t="n">
        <f aca="false">'SALES Raw'!D718</f>
        <v>0</v>
      </c>
      <c r="F3790" s="19" t="n">
        <f aca="false">'SALES Raw'!E718*$H$4</f>
        <v>1.26315789473684</v>
      </c>
      <c r="G3790" s="19" t="n">
        <f aca="false">'SALES Raw'!F718*$H$4</f>
        <v>168.682105263158</v>
      </c>
      <c r="H3790" s="18" t="str">
        <f aca="false">'SALES Raw'!A718</f>
        <v>102 - Orthopedic institutes</v>
      </c>
    </row>
    <row r="3791" customFormat="false" ht="15" hidden="false" customHeight="false" outlineLevel="0" collapsed="false">
      <c r="A3791" s="18" t="n">
        <f aca="false">'SALES Raw'!G732</f>
        <v>4413143</v>
      </c>
      <c r="B3791" s="18" t="str">
        <f aca="false">'SALES Raw'!B732</f>
        <v>95 XS</v>
      </c>
      <c r="C3791" s="18" t="str">
        <f aca="false">'SALES Raw'!H732</f>
        <v>95 XS מגן מרפק רגיל לבן</v>
      </c>
      <c r="D3791" s="19" t="n">
        <f aca="false">'SALES Raw'!C732</f>
        <v>1</v>
      </c>
      <c r="E3791" s="19" t="n">
        <f aca="false">'SALES Raw'!D732</f>
        <v>30.89</v>
      </c>
      <c r="F3791" s="19" t="n">
        <f aca="false">'SALES Raw'!E732*$H$4</f>
        <v>1.26315789473684</v>
      </c>
      <c r="G3791" s="19" t="n">
        <f aca="false">'SALES Raw'!F732*$H$4</f>
        <v>39.0189473684211</v>
      </c>
      <c r="H3791" s="18" t="str">
        <f aca="false">'SALES Raw'!A732</f>
        <v>102 - Orthopedic institutes</v>
      </c>
    </row>
    <row r="3792" customFormat="false" ht="15" hidden="false" customHeight="false" outlineLevel="0" collapsed="false">
      <c r="A3792" s="18" t="n">
        <f aca="false">'SALES Raw'!G733</f>
        <v>4413365</v>
      </c>
      <c r="B3792" s="18" t="str">
        <f aca="false">'SALES Raw'!B733</f>
        <v>95C L</v>
      </c>
      <c r="C3792" s="18" t="str">
        <f aca="false">'SALES Raw'!H733</f>
        <v>95C L 'מגן מרפק בז</v>
      </c>
      <c r="D3792" s="19" t="n">
        <f aca="false">'SALES Raw'!C733</f>
        <v>2</v>
      </c>
      <c r="E3792" s="19" t="n">
        <f aca="false">'SALES Raw'!D733</f>
        <v>60.63</v>
      </c>
      <c r="F3792" s="19" t="n">
        <f aca="false">'SALES Raw'!E733*$H$4</f>
        <v>1.26315789473684</v>
      </c>
      <c r="G3792" s="19" t="n">
        <f aca="false">'SALES Raw'!F733*$H$4</f>
        <v>39.0189473684211</v>
      </c>
      <c r="H3792" s="18" t="str">
        <f aca="false">'SALES Raw'!A733</f>
        <v>102 - Orthopedic institutes</v>
      </c>
    </row>
    <row r="3793" customFormat="false" ht="15" hidden="false" customHeight="false" outlineLevel="0" collapsed="false">
      <c r="A3793" s="18" t="n">
        <f aca="false">'SALES Raw'!G736</f>
        <v>4413367</v>
      </c>
      <c r="B3793" s="18" t="str">
        <f aca="false">'SALES Raw'!B736</f>
        <v>95C XL</v>
      </c>
      <c r="C3793" s="18" t="str">
        <f aca="false">'SALES Raw'!H736</f>
        <v>95C XL'מגן מרפק בז</v>
      </c>
      <c r="D3793" s="19" t="n">
        <f aca="false">'SALES Raw'!C736</f>
        <v>1</v>
      </c>
      <c r="E3793" s="19" t="n">
        <f aca="false">'SALES Raw'!D736</f>
        <v>30.89</v>
      </c>
      <c r="F3793" s="19" t="n">
        <f aca="false">'SALES Raw'!E736*$H$4</f>
        <v>1.26315789473684</v>
      </c>
      <c r="G3793" s="19" t="n">
        <f aca="false">'SALES Raw'!F736*$H$4</f>
        <v>39.0189473684211</v>
      </c>
      <c r="H3793" s="18" t="str">
        <f aca="false">'SALES Raw'!A736</f>
        <v>102 - Orthopedic institutes</v>
      </c>
    </row>
    <row r="3794" customFormat="false" ht="15" hidden="false" customHeight="false" outlineLevel="0" collapsed="false">
      <c r="A3794" s="18" t="str">
        <f aca="false">'SALES Raw'!G744</f>
        <v/>
      </c>
      <c r="B3794" s="18" t="str">
        <f aca="false">'SALES Raw'!B744</f>
        <v>T39 XL</v>
      </c>
      <c r="C3794" s="18" t="str">
        <f aca="false">'SALES Raw'!H744</f>
        <v>T39 XL</v>
      </c>
      <c r="D3794" s="19" t="n">
        <f aca="false">'SALES Raw'!C744</f>
        <v>4</v>
      </c>
      <c r="E3794" s="19" t="n">
        <f aca="false">'SALES Raw'!D744</f>
        <v>431.04</v>
      </c>
      <c r="F3794" s="19" t="n">
        <f aca="false">'SALES Raw'!E744*$H$4</f>
        <v>1.26315789473684</v>
      </c>
      <c r="G3794" s="19" t="n">
        <f aca="false">'SALES Raw'!F744*$H$4</f>
        <v>136.117894736842</v>
      </c>
      <c r="H3794" s="18" t="str">
        <f aca="false">'SALES Raw'!A744</f>
        <v>102 - Orthopedic institutes</v>
      </c>
    </row>
    <row r="3795" customFormat="false" ht="15" hidden="false" customHeight="false" outlineLevel="0" collapsed="false">
      <c r="A3795" s="18" t="str">
        <f aca="false">'SALES Raw'!G781</f>
        <v/>
      </c>
      <c r="B3795" s="18" t="str">
        <f aca="false">'SALES Raw'!B781</f>
        <v>422E XXL</v>
      </c>
      <c r="C3795" s="18" t="str">
        <f aca="false">'SALES Raw'!H781</f>
        <v>422E XXL</v>
      </c>
      <c r="D3795" s="19" t="n">
        <f aca="false">'SALES Raw'!C781</f>
        <v>5</v>
      </c>
      <c r="E3795" s="19" t="n">
        <f aca="false">'SALES Raw'!D781</f>
        <v>941.51</v>
      </c>
      <c r="F3795" s="19" t="n">
        <f aca="false">'SALES Raw'!E781*$H$4</f>
        <v>1.26315789473684</v>
      </c>
      <c r="G3795" s="19" t="n">
        <f aca="false">'SALES Raw'!F781*$H$4</f>
        <v>256.901052631579</v>
      </c>
      <c r="H3795" s="18" t="str">
        <f aca="false">'SALES Raw'!A781</f>
        <v>102 - Orthopedic institutes</v>
      </c>
    </row>
    <row r="3796" customFormat="false" ht="15" hidden="false" customHeight="false" outlineLevel="0" collapsed="false">
      <c r="A3796" s="18" t="str">
        <f aca="false">'SALES Raw'!G783</f>
        <v/>
      </c>
      <c r="B3796" s="18" t="str">
        <f aca="false">'SALES Raw'!B783</f>
        <v>422EB L</v>
      </c>
      <c r="C3796" s="18" t="str">
        <f aca="false">'SALES Raw'!H783</f>
        <v>422EB L</v>
      </c>
      <c r="D3796" s="19" t="n">
        <f aca="false">'SALES Raw'!C783</f>
        <v>0</v>
      </c>
      <c r="E3796" s="19" t="n">
        <f aca="false">'SALES Raw'!D783</f>
        <v>0</v>
      </c>
      <c r="F3796" s="19" t="n">
        <f aca="false">'SALES Raw'!E783*$H$4</f>
        <v>1.26315789473684</v>
      </c>
      <c r="G3796" s="19" t="n">
        <f aca="false">'SALES Raw'!F783*$H$4</f>
        <v>256.901052631579</v>
      </c>
      <c r="H3796" s="18" t="str">
        <f aca="false">'SALES Raw'!A783</f>
        <v>102 - Orthopedic institutes</v>
      </c>
    </row>
    <row r="3797" customFormat="false" ht="15" hidden="false" customHeight="false" outlineLevel="0" collapsed="false">
      <c r="A3797" s="18" t="str">
        <f aca="false">'SALES Raw'!G784</f>
        <v/>
      </c>
      <c r="B3797" s="18" t="str">
        <f aca="false">'SALES Raw'!B784</f>
        <v>422EB XL</v>
      </c>
      <c r="C3797" s="18" t="str">
        <f aca="false">'SALES Raw'!H784</f>
        <v>422EB XL</v>
      </c>
      <c r="D3797" s="19" t="n">
        <f aca="false">'SALES Raw'!C784</f>
        <v>0</v>
      </c>
      <c r="E3797" s="19" t="n">
        <f aca="false">'SALES Raw'!D784</f>
        <v>0</v>
      </c>
      <c r="F3797" s="19" t="n">
        <f aca="false">'SALES Raw'!E784*$H$4</f>
        <v>1.26315789473684</v>
      </c>
      <c r="G3797" s="19" t="n">
        <f aca="false">'SALES Raw'!F784*$H$4</f>
        <v>256.901052631579</v>
      </c>
      <c r="H3797" s="18" t="str">
        <f aca="false">'SALES Raw'!A784</f>
        <v>102 - Orthopedic institutes</v>
      </c>
    </row>
    <row r="3798" customFormat="false" ht="15" hidden="false" customHeight="false" outlineLevel="0" collapsed="false">
      <c r="A3798" s="18" t="str">
        <f aca="false">'SALES Raw'!G786</f>
        <v/>
      </c>
      <c r="B3798" s="18" t="str">
        <f aca="false">'SALES Raw'!B786</f>
        <v>422ED XL</v>
      </c>
      <c r="C3798" s="18" t="str">
        <f aca="false">'SALES Raw'!H786</f>
        <v>422ED XL</v>
      </c>
      <c r="D3798" s="19" t="n">
        <f aca="false">'SALES Raw'!C786</f>
        <v>1</v>
      </c>
      <c r="E3798" s="19" t="n">
        <f aca="false">'SALES Raw'!D786</f>
        <v>330.88</v>
      </c>
      <c r="F3798" s="19" t="n">
        <f aca="false">'SALES Raw'!E786*$H$4</f>
        <v>1.26315789473684</v>
      </c>
      <c r="G3798" s="19" t="n">
        <f aca="false">'SALES Raw'!F786*$H$4</f>
        <v>417.953684210526</v>
      </c>
      <c r="H3798" s="18" t="str">
        <f aca="false">'SALES Raw'!A786</f>
        <v>102 - Orthopedic institutes</v>
      </c>
    </row>
    <row r="3799" customFormat="false" ht="15" hidden="false" customHeight="false" outlineLevel="0" collapsed="false">
      <c r="A3799" s="18" t="str">
        <f aca="false">'SALES Raw'!G798</f>
        <v/>
      </c>
      <c r="B3799" s="18" t="str">
        <f aca="false">'SALES Raw'!B798</f>
        <v>63 S</v>
      </c>
      <c r="C3799" s="18" t="str">
        <f aca="false">'SALES Raw'!H798</f>
        <v>63 S</v>
      </c>
      <c r="D3799" s="19" t="n">
        <f aca="false">'SALES Raw'!C798</f>
        <v>23</v>
      </c>
      <c r="E3799" s="19" t="n">
        <f aca="false">'SALES Raw'!D798</f>
        <v>1429.58</v>
      </c>
      <c r="F3799" s="19" t="n">
        <f aca="false">'SALES Raw'!E798*$H$4</f>
        <v>1.26315789473684</v>
      </c>
      <c r="G3799" s="19" t="n">
        <f aca="false">'SALES Raw'!F798*$H$4</f>
        <v>84.0126315789474</v>
      </c>
      <c r="H3799" s="18" t="str">
        <f aca="false">'SALES Raw'!A798</f>
        <v>102 - Orthopedic institutes</v>
      </c>
    </row>
    <row r="3800" customFormat="false" ht="15" hidden="false" customHeight="false" outlineLevel="0" collapsed="false">
      <c r="A3800" s="18" t="n">
        <f aca="false">'SALES Raw'!G800</f>
        <v>4413129</v>
      </c>
      <c r="B3800" s="18" t="str">
        <f aca="false">'SALES Raw'!B800</f>
        <v>75 XL</v>
      </c>
      <c r="C3800" s="18" t="str">
        <f aca="false">'SALES Raw'!H800</f>
        <v>75 XLמיישר כתף יציב יישור ג.צר</v>
      </c>
      <c r="D3800" s="19" t="n">
        <f aca="false">'SALES Raw'!C800</f>
        <v>6</v>
      </c>
      <c r="E3800" s="19" t="n">
        <f aca="false">'SALES Raw'!D800</f>
        <v>971.28</v>
      </c>
      <c r="F3800" s="19" t="n">
        <f aca="false">'SALES Raw'!E800*$H$4</f>
        <v>1.26315789473684</v>
      </c>
      <c r="G3800" s="19" t="n">
        <f aca="false">'SALES Raw'!F800*$H$4</f>
        <v>193.364210526316</v>
      </c>
      <c r="H3800" s="18" t="str">
        <f aca="false">'SALES Raw'!A800</f>
        <v>102 - Orthopedic institutes</v>
      </c>
    </row>
    <row r="3801" customFormat="false" ht="15" hidden="false" customHeight="false" outlineLevel="0" collapsed="false">
      <c r="A3801" s="18" t="str">
        <f aca="false">'SALES Raw'!G804</f>
        <v/>
      </c>
      <c r="B3801" s="18" t="str">
        <f aca="false">'SALES Raw'!B804</f>
        <v>76 XXL</v>
      </c>
      <c r="C3801" s="18" t="str">
        <f aca="false">'SALES Raw'!H804</f>
        <v>76 XXL</v>
      </c>
      <c r="D3801" s="19" t="n">
        <f aca="false">'SALES Raw'!C804</f>
        <v>11</v>
      </c>
      <c r="E3801" s="19" t="n">
        <f aca="false">'SALES Raw'!D804</f>
        <v>1688.02</v>
      </c>
      <c r="F3801" s="19" t="n">
        <f aca="false">'SALES Raw'!E804*$H$4</f>
        <v>1.26315789473684</v>
      </c>
      <c r="G3801" s="19" t="n">
        <f aca="false">'SALES Raw'!F804*$H$4</f>
        <v>202.130526315789</v>
      </c>
      <c r="H3801" s="18" t="str">
        <f aca="false">'SALES Raw'!A804</f>
        <v>102 - Orthopedic institutes</v>
      </c>
    </row>
    <row r="3802" customFormat="false" ht="15" hidden="false" customHeight="false" outlineLevel="0" collapsed="false">
      <c r="A3802" s="18" t="str">
        <f aca="false">'SALES Raw'!G811</f>
        <v/>
      </c>
      <c r="B3802" s="18" t="str">
        <f aca="false">'SALES Raw'!B811</f>
        <v>922 M</v>
      </c>
      <c r="C3802" s="18" t="str">
        <f aca="false">'SALES Raw'!H811</f>
        <v>922 M</v>
      </c>
      <c r="D3802" s="19" t="n">
        <f aca="false">'SALES Raw'!C811</f>
        <v>3</v>
      </c>
      <c r="E3802" s="19" t="n">
        <f aca="false">'SALES Raw'!D811</f>
        <v>255.92</v>
      </c>
      <c r="F3802" s="19" t="n">
        <f aca="false">'SALES Raw'!E811*$H$4</f>
        <v>1.26315789473684</v>
      </c>
      <c r="G3802" s="19" t="n">
        <f aca="false">'SALES Raw'!F811*$H$4</f>
        <v>113.684210526316</v>
      </c>
      <c r="H3802" s="18" t="str">
        <f aca="false">'SALES Raw'!A811</f>
        <v>102 - Orthopedic institutes</v>
      </c>
    </row>
    <row r="3803" customFormat="false" ht="15" hidden="false" customHeight="false" outlineLevel="0" collapsed="false">
      <c r="A3803" s="18" t="n">
        <f aca="false">'SALES Raw'!G818</f>
        <v>4413440</v>
      </c>
      <c r="B3803" s="18" t="str">
        <f aca="false">'SALES Raw'!B818</f>
        <v>SC422 L</v>
      </c>
      <c r="C3803" s="18" t="str">
        <f aca="false">'SALES Raw'!H818</f>
        <v>SC422  L מגן ברך</v>
      </c>
      <c r="D3803" s="19" t="n">
        <f aca="false">'SALES Raw'!C818</f>
        <v>13</v>
      </c>
      <c r="E3803" s="19" t="n">
        <f aca="false">'SALES Raw'!D818</f>
        <v>1827.43</v>
      </c>
      <c r="F3803" s="19" t="n">
        <f aca="false">'SALES Raw'!E818*$H$4</f>
        <v>1.26315789473684</v>
      </c>
      <c r="G3803" s="19" t="n">
        <f aca="false">'SALES Raw'!F818*$H$4</f>
        <v>177.562105263158</v>
      </c>
      <c r="H3803" s="18" t="str">
        <f aca="false">'SALES Raw'!A818</f>
        <v>102 - Orthopedic institutes</v>
      </c>
    </row>
    <row r="3804" customFormat="false" ht="15" hidden="false" customHeight="false" outlineLevel="0" collapsed="false">
      <c r="A3804" s="18" t="n">
        <f aca="false">'SALES Raw'!G819</f>
        <v>4413441</v>
      </c>
      <c r="B3804" s="18" t="str">
        <f aca="false">'SALES Raw'!B819</f>
        <v>SC422 XL</v>
      </c>
      <c r="C3804" s="18" t="str">
        <f aca="false">'SALES Raw'!H819</f>
        <v>SC422 XL מגן ברך</v>
      </c>
      <c r="D3804" s="19" t="n">
        <f aca="false">'SALES Raw'!C819</f>
        <v>12</v>
      </c>
      <c r="E3804" s="19" t="n">
        <f aca="false">'SALES Raw'!D819</f>
        <v>1686.86</v>
      </c>
      <c r="F3804" s="19" t="n">
        <f aca="false">'SALES Raw'!E819*$H$4</f>
        <v>1.26315789473684</v>
      </c>
      <c r="G3804" s="19" t="n">
        <f aca="false">'SALES Raw'!F819*$H$4</f>
        <v>177.562105263158</v>
      </c>
      <c r="H3804" s="18" t="str">
        <f aca="false">'SALES Raw'!A819</f>
        <v>102 - Orthopedic institutes</v>
      </c>
    </row>
    <row r="3805" customFormat="false" ht="15" hidden="false" customHeight="false" outlineLevel="0" collapsed="false">
      <c r="A3805" s="18" t="str">
        <f aca="false">'SALES Raw'!G824</f>
        <v/>
      </c>
      <c r="B3805" s="18" t="str">
        <f aca="false">'SALES Raw'!B824</f>
        <v>T28AC XXL</v>
      </c>
      <c r="C3805" s="18" t="str">
        <f aca="false">'SALES Raw'!H824</f>
        <v>T28AC XXL</v>
      </c>
      <c r="D3805" s="19" t="n">
        <f aca="false">'SALES Raw'!C824</f>
        <v>1</v>
      </c>
      <c r="E3805" s="19" t="n">
        <f aca="false">'SALES Raw'!D824</f>
        <v>70.26</v>
      </c>
      <c r="F3805" s="19" t="n">
        <f aca="false">'SALES Raw'!E824*$H$4</f>
        <v>1.26315789473684</v>
      </c>
      <c r="G3805" s="19" t="n">
        <f aca="false">'SALES Raw'!F824*$H$4</f>
        <v>88.7494736842105</v>
      </c>
      <c r="H3805" s="18" t="str">
        <f aca="false">'SALES Raw'!A824</f>
        <v>102 - Orthopedic institutes</v>
      </c>
    </row>
    <row r="3806" customFormat="false" ht="15" hidden="false" customHeight="false" outlineLevel="0" collapsed="false">
      <c r="A3806" s="18" t="str">
        <f aca="false">'SALES Raw'!G826</f>
        <v/>
      </c>
      <c r="B3806" s="18" t="str">
        <f aca="false">'SALES Raw'!B826</f>
        <v>T33 XL</v>
      </c>
      <c r="C3806" s="18" t="str">
        <f aca="false">'SALES Raw'!H826</f>
        <v>T33 XL</v>
      </c>
      <c r="D3806" s="19" t="n">
        <f aca="false">'SALES Raw'!C826</f>
        <v>6</v>
      </c>
      <c r="E3806" s="19" t="n">
        <f aca="false">'SALES Raw'!D826</f>
        <v>684.99</v>
      </c>
      <c r="F3806" s="19" t="n">
        <f aca="false">'SALES Raw'!E826*$H$4</f>
        <v>1.26315789473684</v>
      </c>
      <c r="G3806" s="19" t="n">
        <f aca="false">'SALES Raw'!F826*$H$4</f>
        <v>145.263157894737</v>
      </c>
      <c r="H3806" s="18" t="str">
        <f aca="false">'SALES Raw'!A826</f>
        <v>102 - Orthopedic institutes</v>
      </c>
    </row>
    <row r="3807" customFormat="false" ht="15" hidden="false" customHeight="false" outlineLevel="0" collapsed="false">
      <c r="A3807" s="18" t="str">
        <f aca="false">'SALES Raw'!G830</f>
        <v/>
      </c>
      <c r="B3807" s="18" t="str">
        <f aca="false">'SALES Raw'!B830</f>
        <v>T40B 0</v>
      </c>
      <c r="C3807" s="18" t="str">
        <f aca="false">'SALES Raw'!H830</f>
        <v>T40B 0</v>
      </c>
      <c r="D3807" s="19" t="n">
        <f aca="false">'SALES Raw'!C830</f>
        <v>0</v>
      </c>
      <c r="E3807" s="19" t="n">
        <f aca="false">'SALES Raw'!D830</f>
        <v>0</v>
      </c>
      <c r="F3807" s="19" t="n">
        <f aca="false">'SALES Raw'!E830*$H$4</f>
        <v>1.26315789473684</v>
      </c>
      <c r="G3807" s="19" t="n">
        <f aca="false">'SALES Raw'!F830*$H$4</f>
        <v>107.696842105263</v>
      </c>
      <c r="H3807" s="18" t="str">
        <f aca="false">'SALES Raw'!A830</f>
        <v>102 - Orthopedic institutes</v>
      </c>
    </row>
    <row r="3808" customFormat="false" ht="15" hidden="false" customHeight="false" outlineLevel="0" collapsed="false">
      <c r="A3808" s="18" t="n">
        <f aca="false">'SALES Raw'!G831</f>
        <v>4413184</v>
      </c>
      <c r="B3808" s="18" t="str">
        <f aca="false">'SALES Raw'!B831</f>
        <v>T45 L</v>
      </c>
      <c r="C3808" s="18" t="str">
        <f aca="false">'SALES Raw'!H831</f>
        <v>T 45 L מגן ברך רגיל</v>
      </c>
      <c r="D3808" s="19" t="n">
        <f aca="false">'SALES Raw'!C831</f>
        <v>1</v>
      </c>
      <c r="E3808" s="19" t="n">
        <f aca="false">'SALES Raw'!D831</f>
        <v>105.42</v>
      </c>
      <c r="F3808" s="19" t="n">
        <f aca="false">'SALES Raw'!E831*$H$4</f>
        <v>1.26315789473684</v>
      </c>
      <c r="G3808" s="19" t="n">
        <f aca="false">'SALES Raw'!F831*$H$4</f>
        <v>133.162105263158</v>
      </c>
      <c r="H3808" s="18" t="str">
        <f aca="false">'SALES Raw'!A831</f>
        <v>102 - Orthopedic institutes</v>
      </c>
    </row>
    <row r="3809" customFormat="false" ht="15" hidden="false" customHeight="false" outlineLevel="0" collapsed="false">
      <c r="A3809" s="18" t="n">
        <f aca="false">'SALES Raw'!G833</f>
        <v>4413185</v>
      </c>
      <c r="B3809" s="18" t="str">
        <f aca="false">'SALES Raw'!B833</f>
        <v>T45 XL</v>
      </c>
      <c r="C3809" s="18" t="str">
        <f aca="false">'SALES Raw'!H833</f>
        <v>T 45XL מגן ברך רגיל</v>
      </c>
      <c r="D3809" s="19" t="n">
        <f aca="false">'SALES Raw'!C833</f>
        <v>0</v>
      </c>
      <c r="E3809" s="19" t="n">
        <f aca="false">'SALES Raw'!D833</f>
        <v>0</v>
      </c>
      <c r="F3809" s="19" t="n">
        <f aca="false">'SALES Raw'!E833*$H$4</f>
        <v>1.26315789473684</v>
      </c>
      <c r="G3809" s="19" t="n">
        <f aca="false">'SALES Raw'!F833*$H$4</f>
        <v>133.162105263158</v>
      </c>
      <c r="H3809" s="18" t="str">
        <f aca="false">'SALES Raw'!A833</f>
        <v>102 - Orthopedic institutes</v>
      </c>
    </row>
    <row r="3810" customFormat="false" ht="15" hidden="false" customHeight="false" outlineLevel="0" collapsed="false">
      <c r="A3810" s="18" t="n">
        <f aca="false">'SALES Raw'!G836</f>
        <v>4413224</v>
      </c>
      <c r="B3810" s="18" t="str">
        <f aca="false">'SALES Raw'!B836</f>
        <v>T45X XL</v>
      </c>
      <c r="C3810" s="18" t="str">
        <f aca="false">'SALES Raw'!H836</f>
        <v>T45X XL מגן ברך רגיל</v>
      </c>
      <c r="D3810" s="19" t="n">
        <f aca="false">'SALES Raw'!C836</f>
        <v>0</v>
      </c>
      <c r="E3810" s="19" t="n">
        <f aca="false">'SALES Raw'!D836</f>
        <v>0</v>
      </c>
      <c r="F3810" s="19" t="n">
        <f aca="false">'SALES Raw'!E836*$H$4</f>
        <v>1.26315789473684</v>
      </c>
      <c r="G3810" s="19" t="n">
        <f aca="false">'SALES Raw'!F836*$H$4</f>
        <v>101.052631578947</v>
      </c>
      <c r="H3810" s="18" t="str">
        <f aca="false">'SALES Raw'!A836</f>
        <v>102 - Orthopedic institutes</v>
      </c>
    </row>
    <row r="3811" customFormat="false" ht="15" hidden="false" customHeight="false" outlineLevel="0" collapsed="false">
      <c r="A3811" s="18" t="n">
        <f aca="false">'SALES Raw'!G837</f>
        <v>4413260</v>
      </c>
      <c r="B3811" s="18" t="str">
        <f aca="false">'SALES Raw'!B837</f>
        <v>T45X XXL</v>
      </c>
      <c r="C3811" s="18" t="str">
        <f aca="false">'SALES Raw'!H837</f>
        <v>T45X-XXLמגן ברך רגיל</v>
      </c>
      <c r="D3811" s="19" t="n">
        <f aca="false">'SALES Raw'!C837</f>
        <v>0</v>
      </c>
      <c r="E3811" s="19" t="n">
        <f aca="false">'SALES Raw'!D837</f>
        <v>0</v>
      </c>
      <c r="F3811" s="19" t="n">
        <f aca="false">'SALES Raw'!E837*$H$4</f>
        <v>1.26315789473684</v>
      </c>
      <c r="G3811" s="19" t="n">
        <f aca="false">'SALES Raw'!F837*$H$4</f>
        <v>101.052631578947</v>
      </c>
      <c r="H3811" s="18" t="str">
        <f aca="false">'SALES Raw'!A837</f>
        <v>102 - Orthopedic institutes</v>
      </c>
    </row>
    <row r="3812" customFormat="false" ht="15" hidden="false" customHeight="false" outlineLevel="0" collapsed="false">
      <c r="A3812" s="18" t="str">
        <f aca="false">'SALES Raw'!G838</f>
        <v/>
      </c>
      <c r="B3812" s="18" t="str">
        <f aca="false">'SALES Raw'!B838</f>
        <v>T78 XS</v>
      </c>
      <c r="C3812" s="18" t="str">
        <f aca="false">'SALES Raw'!H838</f>
        <v>T78 XS</v>
      </c>
      <c r="D3812" s="19" t="n">
        <f aca="false">'SALES Raw'!C838</f>
        <v>10</v>
      </c>
      <c r="E3812" s="19" t="n">
        <f aca="false">'SALES Raw'!D838</f>
        <v>1296</v>
      </c>
      <c r="F3812" s="19" t="n">
        <f aca="false">'SALES Raw'!E838*$H$4</f>
        <v>1.26315789473684</v>
      </c>
      <c r="G3812" s="19" t="n">
        <f aca="false">'SALES Raw'!F838*$H$4</f>
        <v>164.210526315789</v>
      </c>
      <c r="H3812" s="18" t="str">
        <f aca="false">'SALES Raw'!A838</f>
        <v>102 - Orthopedic institutes</v>
      </c>
    </row>
    <row r="3813" customFormat="false" ht="15" hidden="false" customHeight="false" outlineLevel="0" collapsed="false">
      <c r="A3813" s="18" t="n">
        <f aca="false">'SALES Raw'!G846</f>
        <v>4411017</v>
      </c>
      <c r="B3813" s="18" t="str">
        <f aca="false">'SALES Raw'!B846</f>
        <v>211 L</v>
      </c>
      <c r="C3813" s="18" t="str">
        <f aca="false">'SALES Raw'!H846</f>
        <v>211L כפפות לחץ</v>
      </c>
      <c r="D3813" s="19" t="n">
        <f aca="false">'SALES Raw'!C846</f>
        <v>1</v>
      </c>
      <c r="E3813" s="19" t="n">
        <f aca="false">'SALES Raw'!D846</f>
        <v>33.04</v>
      </c>
      <c r="F3813" s="19" t="n">
        <f aca="false">'SALES Raw'!E846*$H$4</f>
        <v>1.26315789473684</v>
      </c>
      <c r="G3813" s="19" t="n">
        <f aca="false">'SALES Raw'!F846*$H$4</f>
        <v>47.3052631578947</v>
      </c>
      <c r="H3813" s="18" t="str">
        <f aca="false">'SALES Raw'!A846</f>
        <v>102 - Orthopedic institutes</v>
      </c>
    </row>
    <row r="3814" customFormat="false" ht="15" hidden="false" customHeight="false" outlineLevel="0" collapsed="false">
      <c r="A3814" s="18" t="n">
        <f aca="false">'SALES Raw'!G847</f>
        <v>4411018</v>
      </c>
      <c r="B3814" s="18" t="str">
        <f aca="false">'SALES Raw'!B847</f>
        <v>211 M</v>
      </c>
      <c r="C3814" s="18" t="str">
        <f aca="false">'SALES Raw'!H847</f>
        <v>211M כפפות לחץ</v>
      </c>
      <c r="D3814" s="19" t="n">
        <f aca="false">'SALES Raw'!C847</f>
        <v>1</v>
      </c>
      <c r="E3814" s="19" t="n">
        <f aca="false">'SALES Raw'!D847</f>
        <v>28.63</v>
      </c>
      <c r="F3814" s="19" t="n">
        <f aca="false">'SALES Raw'!E847*$H$4</f>
        <v>1.26315789473684</v>
      </c>
      <c r="G3814" s="19" t="n">
        <f aca="false">'SALES Raw'!F847*$H$4</f>
        <v>47.2926315789474</v>
      </c>
      <c r="H3814" s="18" t="str">
        <f aca="false">'SALES Raw'!A847</f>
        <v>102 - Orthopedic institutes</v>
      </c>
    </row>
    <row r="3815" customFormat="false" ht="15" hidden="false" customHeight="false" outlineLevel="0" collapsed="false">
      <c r="A3815" s="18" t="n">
        <f aca="false">'SALES Raw'!G849</f>
        <v>4413118</v>
      </c>
      <c r="B3815" s="18" t="str">
        <f aca="false">'SALES Raw'!B849</f>
        <v>50 M</v>
      </c>
      <c r="C3815" s="18" t="str">
        <f aca="false">'SALES Raw'!H849</f>
        <v>50 M מתלה אשכים לאחר ניתוח</v>
      </c>
      <c r="D3815" s="19" t="n">
        <f aca="false">'SALES Raw'!C849</f>
        <v>20</v>
      </c>
      <c r="E3815" s="19" t="n">
        <f aca="false">'SALES Raw'!D849</f>
        <v>2079.91</v>
      </c>
      <c r="F3815" s="19" t="n">
        <f aca="false">'SALES Raw'!E849*$H$4</f>
        <v>1.26315789473684</v>
      </c>
      <c r="G3815" s="19" t="n">
        <f aca="false">'SALES Raw'!F849*$H$4</f>
        <v>130.951578947368</v>
      </c>
      <c r="H3815" s="18" t="str">
        <f aca="false">'SALES Raw'!A849</f>
        <v>102 - Orthopedic institutes</v>
      </c>
    </row>
    <row r="3816" customFormat="false" ht="15" hidden="false" customHeight="false" outlineLevel="0" collapsed="false">
      <c r="A3816" s="18" t="str">
        <f aca="false">'SALES Raw'!G858</f>
        <v/>
      </c>
      <c r="B3816" s="18" t="str">
        <f aca="false">'SALES Raw'!B858</f>
        <v>07AE XL</v>
      </c>
      <c r="C3816" s="18" t="str">
        <f aca="false">'SALES Raw'!H858</f>
        <v>07AE XL</v>
      </c>
      <c r="D3816" s="19" t="n">
        <f aca="false">'SALES Raw'!C858</f>
        <v>0</v>
      </c>
      <c r="E3816" s="19" t="n">
        <f aca="false">'SALES Raw'!D858</f>
        <v>0</v>
      </c>
      <c r="F3816" s="19" t="n">
        <f aca="false">'SALES Raw'!E858*$H$4</f>
        <v>1.26315789473684</v>
      </c>
      <c r="G3816" s="19" t="n">
        <f aca="false">'SALES Raw'!F858*$H$4</f>
        <v>495.511578947368</v>
      </c>
      <c r="H3816" s="18" t="str">
        <f aca="false">'SALES Raw'!A858</f>
        <v>102 - Orthopedic institutes</v>
      </c>
    </row>
    <row r="3817" customFormat="false" ht="15" hidden="false" customHeight="false" outlineLevel="0" collapsed="false">
      <c r="A3817" s="18" t="n">
        <f aca="false">'SALES Raw'!G860</f>
        <v>4416003</v>
      </c>
      <c r="B3817" s="18" t="str">
        <f aca="false">'SALES Raw'!B860</f>
        <v>308 L</v>
      </c>
      <c r="C3817" s="18" t="str">
        <f aca="false">'SALES Raw'!H860</f>
        <v>308 Lעקבים סיליקון כחול לדורבן</v>
      </c>
      <c r="D3817" s="19" t="n">
        <f aca="false">'SALES Raw'!C860</f>
        <v>1</v>
      </c>
      <c r="E3817" s="19" t="n">
        <f aca="false">'SALES Raw'!D860</f>
        <v>63.2</v>
      </c>
      <c r="F3817" s="19" t="n">
        <f aca="false">'SALES Raw'!E860*$H$4</f>
        <v>1.26315789473684</v>
      </c>
      <c r="G3817" s="19" t="n">
        <f aca="false">'SALES Raw'!F860*$H$4</f>
        <v>76.901052631579</v>
      </c>
      <c r="H3817" s="18" t="str">
        <f aca="false">'SALES Raw'!A860</f>
        <v>102 - Orthopedic institutes</v>
      </c>
    </row>
    <row r="3818" customFormat="false" ht="15" hidden="false" customHeight="false" outlineLevel="0" collapsed="false">
      <c r="A3818" s="18" t="str">
        <f aca="false">'SALES Raw'!G875</f>
        <v/>
      </c>
      <c r="B3818" s="18" t="str">
        <f aca="false">'SALES Raw'!B875</f>
        <v>30 XL</v>
      </c>
      <c r="C3818" s="18" t="str">
        <f aca="false">'SALES Raw'!H875</f>
        <v>30 XL</v>
      </c>
      <c r="D3818" s="19" t="n">
        <f aca="false">'SALES Raw'!C875</f>
        <v>6</v>
      </c>
      <c r="E3818" s="19" t="n">
        <f aca="false">'SALES Raw'!D875</f>
        <v>385.39</v>
      </c>
      <c r="F3818" s="19" t="n">
        <f aca="false">'SALES Raw'!E875*$H$4</f>
        <v>1.26315789473684</v>
      </c>
      <c r="G3818" s="19" t="n">
        <f aca="false">'SALES Raw'!F875*$H$4</f>
        <v>84.0126315789474</v>
      </c>
      <c r="H3818" s="18" t="str">
        <f aca="false">'SALES Raw'!A875</f>
        <v>102 - Orthopedic institutes</v>
      </c>
    </row>
    <row r="3819" customFormat="false" ht="15" hidden="false" customHeight="false" outlineLevel="0" collapsed="false">
      <c r="A3819" s="18" t="n">
        <f aca="false">'SALES Raw'!G887</f>
        <v>4408014</v>
      </c>
      <c r="B3819" s="18" t="str">
        <f aca="false">'SALES Raw'!B887</f>
        <v>07AU S</v>
      </c>
      <c r="C3819" s="18" t="str">
        <f aca="false">'SALES Raw'!H887</f>
        <v>07AU S ח.גב """"איטלקית"""" אורירית</v>
      </c>
      <c r="D3819" s="19" t="n">
        <f aca="false">'SALES Raw'!C887</f>
        <v>0</v>
      </c>
      <c r="E3819" s="19" t="n">
        <f aca="false">'SALES Raw'!D887</f>
        <v>0</v>
      </c>
      <c r="F3819" s="19" t="n">
        <f aca="false">'SALES Raw'!E887*$H$4</f>
        <v>1.26315789473684</v>
      </c>
      <c r="G3819" s="19" t="n">
        <f aca="false">'SALES Raw'!F887*$H$4</f>
        <v>277.907368421053</v>
      </c>
      <c r="H3819" s="18" t="str">
        <f aca="false">'SALES Raw'!A887</f>
        <v>102 - Orthopedic institutes</v>
      </c>
    </row>
    <row r="3820" customFormat="false" ht="15" hidden="false" customHeight="false" outlineLevel="0" collapsed="false">
      <c r="A3820" s="18" t="n">
        <f aca="false">'SALES Raw'!G888</f>
        <v>4408031</v>
      </c>
      <c r="B3820" s="18" t="str">
        <f aca="false">'SALES Raw'!B888</f>
        <v>11 S</v>
      </c>
      <c r="C3820" s="18" t="str">
        <f aca="false">'SALES Raw'!H888</f>
        <v>11 S""""חגורת בטן""""אורירית</v>
      </c>
      <c r="D3820" s="19" t="n">
        <f aca="false">'SALES Raw'!C888</f>
        <v>7</v>
      </c>
      <c r="E3820" s="19" t="n">
        <f aca="false">'SALES Raw'!D888</f>
        <v>594.98</v>
      </c>
      <c r="F3820" s="19" t="n">
        <f aca="false">'SALES Raw'!E888*$H$4</f>
        <v>1.26315789473684</v>
      </c>
      <c r="G3820" s="19" t="n">
        <f aca="false">'SALES Raw'!F888*$H$4</f>
        <v>107.343157894737</v>
      </c>
      <c r="H3820" s="18" t="str">
        <f aca="false">'SALES Raw'!A888</f>
        <v>102 - Orthopedic institutes</v>
      </c>
    </row>
    <row r="3821" customFormat="false" ht="15" hidden="false" customHeight="false" outlineLevel="0" collapsed="false">
      <c r="A3821" s="18" t="n">
        <f aca="false">'SALES Raw'!G910</f>
        <v>4413111</v>
      </c>
      <c r="B3821" s="18" t="str">
        <f aca="false">'SALES Raw'!B910</f>
        <v>49 S</v>
      </c>
      <c r="C3821" s="18" t="str">
        <f aca="false">'SALES Raw'!H910</f>
        <v>49  S מגן ירך</v>
      </c>
      <c r="D3821" s="19" t="n">
        <f aca="false">'SALES Raw'!C910</f>
        <v>1</v>
      </c>
      <c r="E3821" s="19" t="n">
        <f aca="false">'SALES Raw'!D910</f>
        <v>32.77</v>
      </c>
      <c r="F3821" s="19" t="n">
        <f aca="false">'SALES Raw'!E910*$H$4</f>
        <v>1.26315789473684</v>
      </c>
      <c r="G3821" s="19" t="n">
        <f aca="false">'SALES Raw'!F910*$H$4</f>
        <v>44.3494736842105</v>
      </c>
      <c r="H3821" s="18" t="str">
        <f aca="false">'SALES Raw'!A910</f>
        <v>102 - Orthopedic institutes</v>
      </c>
    </row>
    <row r="3822" customFormat="false" ht="15" hidden="false" customHeight="false" outlineLevel="0" collapsed="false">
      <c r="A3822" s="18" t="str">
        <f aca="false">'SALES Raw'!G938</f>
        <v/>
      </c>
      <c r="B3822" s="18" t="str">
        <f aca="false">'SALES Raw'!B938</f>
        <v>T49 L</v>
      </c>
      <c r="C3822" s="18" t="str">
        <f aca="false">'SALES Raw'!H938</f>
        <v>T49 L</v>
      </c>
      <c r="D3822" s="19" t="n">
        <f aca="false">'SALES Raw'!C938</f>
        <v>3</v>
      </c>
      <c r="E3822" s="19" t="n">
        <f aca="false">'SALES Raw'!D938</f>
        <v>249.89</v>
      </c>
      <c r="F3822" s="19" t="n">
        <f aca="false">'SALES Raw'!E938*$H$4</f>
        <v>1.26315789473684</v>
      </c>
      <c r="G3822" s="19" t="n">
        <f aca="false">'SALES Raw'!F938*$H$4</f>
        <v>107.696842105263</v>
      </c>
      <c r="H3822" s="18" t="str">
        <f aca="false">'SALES Raw'!A938</f>
        <v>102 - Orthopedic institutes</v>
      </c>
    </row>
    <row r="3823" customFormat="false" ht="15" hidden="false" customHeight="false" outlineLevel="0" collapsed="false">
      <c r="A3823" s="18" t="str">
        <f aca="false">'SALES Raw'!G939</f>
        <v/>
      </c>
      <c r="B3823" s="18" t="str">
        <f aca="false">'SALES Raw'!B939</f>
        <v>T49 M</v>
      </c>
      <c r="C3823" s="18" t="str">
        <f aca="false">'SALES Raw'!H939</f>
        <v>T49 M</v>
      </c>
      <c r="D3823" s="19" t="n">
        <f aca="false">'SALES Raw'!C939</f>
        <v>6</v>
      </c>
      <c r="E3823" s="19" t="n">
        <f aca="false">'SALES Raw'!D939</f>
        <v>505.67</v>
      </c>
      <c r="F3823" s="19" t="n">
        <f aca="false">'SALES Raw'!E939*$H$4</f>
        <v>1.26315789473684</v>
      </c>
      <c r="G3823" s="19" t="n">
        <f aca="false">'SALES Raw'!F939*$H$4</f>
        <v>107.696842105263</v>
      </c>
      <c r="H3823" s="18" t="str">
        <f aca="false">'SALES Raw'!A939</f>
        <v>102 - Orthopedic institutes</v>
      </c>
    </row>
    <row r="3824" customFormat="false" ht="15" hidden="false" customHeight="false" outlineLevel="0" collapsed="false">
      <c r="A3824" s="18" t="str">
        <f aca="false">'SALES Raw'!G943</f>
        <v/>
      </c>
      <c r="B3824" s="18" t="str">
        <f aca="false">'SALES Raw'!B943</f>
        <v>776 L</v>
      </c>
      <c r="C3824" s="18" t="str">
        <f aca="false">'SALES Raw'!H943</f>
        <v>776 L</v>
      </c>
      <c r="D3824" s="19" t="n">
        <f aca="false">'SALES Raw'!C943</f>
        <v>11</v>
      </c>
      <c r="E3824" s="19" t="n">
        <f aca="false">'SALES Raw'!D943</f>
        <v>3850</v>
      </c>
      <c r="F3824" s="19" t="n">
        <f aca="false">'SALES Raw'!E943*$H$4</f>
        <v>1.26315789473684</v>
      </c>
      <c r="G3824" s="19" t="n">
        <f aca="false">'SALES Raw'!F943*$H$4</f>
        <v>442.105263157895</v>
      </c>
      <c r="H3824" s="18" t="str">
        <f aca="false">'SALES Raw'!A943</f>
        <v>102 - Orthopedic institutes</v>
      </c>
    </row>
    <row r="3825" customFormat="false" ht="15" hidden="false" customHeight="false" outlineLevel="0" collapsed="false">
      <c r="A3825" s="18" t="str">
        <f aca="false">'SALES Raw'!G945</f>
        <v/>
      </c>
      <c r="B3825" s="18" t="str">
        <f aca="false">'SALES Raw'!B945</f>
        <v>13B S</v>
      </c>
      <c r="C3825" s="18" t="str">
        <f aca="false">'SALES Raw'!H945</f>
        <v>13B S</v>
      </c>
      <c r="D3825" s="19" t="n">
        <f aca="false">'SALES Raw'!C945</f>
        <v>1</v>
      </c>
      <c r="E3825" s="19" t="n">
        <f aca="false">'SALES Raw'!D945</f>
        <v>55.02</v>
      </c>
      <c r="F3825" s="19" t="n">
        <f aca="false">'SALES Raw'!E945*$H$4</f>
        <v>1.26315789473684</v>
      </c>
      <c r="G3825" s="19" t="n">
        <f aca="false">'SALES Raw'!F945*$H$4</f>
        <v>69.4736842105263</v>
      </c>
      <c r="H3825" s="18" t="str">
        <f aca="false">'SALES Raw'!A945</f>
        <v>102 - Orthopedic institutes</v>
      </c>
    </row>
    <row r="3826" customFormat="false" ht="15" hidden="false" customHeight="false" outlineLevel="0" collapsed="false">
      <c r="A3826" s="18" t="str">
        <f aca="false">'SALES Raw'!G946</f>
        <v/>
      </c>
      <c r="B3826" s="18" t="str">
        <f aca="false">'SALES Raw'!B946</f>
        <v>15M L</v>
      </c>
      <c r="C3826" s="18" t="str">
        <f aca="false">'SALES Raw'!H946</f>
        <v>15M L</v>
      </c>
      <c r="D3826" s="19" t="n">
        <f aca="false">'SALES Raw'!C946</f>
        <v>4</v>
      </c>
      <c r="E3826" s="19" t="n">
        <f aca="false">'SALES Raw'!D946</f>
        <v>524.72</v>
      </c>
      <c r="F3826" s="19" t="n">
        <f aca="false">'SALES Raw'!E946*$H$4</f>
        <v>1.26315789473684</v>
      </c>
      <c r="G3826" s="19" t="n">
        <f aca="false">'SALES Raw'!F946*$H$4</f>
        <v>165.701052631579</v>
      </c>
      <c r="H3826" s="18" t="str">
        <f aca="false">'SALES Raw'!A946</f>
        <v>102 - Orthopedic institutes</v>
      </c>
    </row>
    <row r="3827" customFormat="false" ht="15" hidden="false" customHeight="false" outlineLevel="0" collapsed="false">
      <c r="A3827" s="18" t="n">
        <f aca="false">'SALES Raw'!G958</f>
        <v>4413124</v>
      </c>
      <c r="B3827" s="18" t="str">
        <f aca="false">'SALES Raw'!B958</f>
        <v>55 XL</v>
      </c>
      <c r="C3827" s="18" t="str">
        <f aca="false">'SALES Raw'!H958</f>
        <v>55 XL מתלה אשכים לספורטאים</v>
      </c>
      <c r="D3827" s="19" t="n">
        <f aca="false">'SALES Raw'!C958</f>
        <v>1</v>
      </c>
      <c r="E3827" s="19" t="n">
        <f aca="false">'SALES Raw'!D958</f>
        <v>84.32</v>
      </c>
      <c r="F3827" s="19" t="n">
        <f aca="false">'SALES Raw'!E958*$H$4</f>
        <v>1.26315789473684</v>
      </c>
      <c r="G3827" s="19" t="n">
        <f aca="false">'SALES Raw'!F958*$H$4</f>
        <v>99.3852631578947</v>
      </c>
      <c r="H3827" s="18" t="str">
        <f aca="false">'SALES Raw'!A958</f>
        <v>102 - Orthopedic institutes</v>
      </c>
    </row>
    <row r="3828" customFormat="false" ht="15" hidden="false" customHeight="false" outlineLevel="0" collapsed="false">
      <c r="A3828" s="18" t="str">
        <f aca="false">'SALES Raw'!G969</f>
        <v/>
      </c>
      <c r="B3828" s="18" t="str">
        <f aca="false">'SALES Raw'!B969</f>
        <v>35C XXL</v>
      </c>
      <c r="C3828" s="18" t="str">
        <f aca="false">'SALES Raw'!H969</f>
        <v>35C XXL</v>
      </c>
      <c r="D3828" s="19" t="n">
        <f aca="false">'SALES Raw'!C969</f>
        <v>6</v>
      </c>
      <c r="E3828" s="19" t="n">
        <f aca="false">'SALES Raw'!D969</f>
        <v>185.35</v>
      </c>
      <c r="F3828" s="19" t="n">
        <f aca="false">'SALES Raw'!E969*$H$4</f>
        <v>1.26315789473684</v>
      </c>
      <c r="G3828" s="19" t="n">
        <f aca="false">'SALES Raw'!F969*$H$4</f>
        <v>39.0189473684211</v>
      </c>
      <c r="H3828" s="18" t="str">
        <f aca="false">'SALES Raw'!A969</f>
        <v>102 - Orthopedic institutes</v>
      </c>
    </row>
    <row r="3829" customFormat="false" ht="15" hidden="false" customHeight="false" outlineLevel="0" collapsed="false">
      <c r="A3829" s="18" t="str">
        <f aca="false">'SALES Raw'!G979</f>
        <v/>
      </c>
      <c r="B3829" s="18" t="str">
        <f aca="false">'SALES Raw'!B979</f>
        <v>N433D S</v>
      </c>
      <c r="C3829" s="18" t="str">
        <f aca="false">'SALES Raw'!H979</f>
        <v>N433D S</v>
      </c>
      <c r="D3829" s="19" t="n">
        <f aca="false">'SALES Raw'!C979</f>
        <v>1</v>
      </c>
      <c r="E3829" s="19" t="n">
        <f aca="false">'SALES Raw'!D979</f>
        <v>260</v>
      </c>
      <c r="F3829" s="19" t="n">
        <f aca="false">'SALES Raw'!E979*$H$4</f>
        <v>1.26315789473684</v>
      </c>
      <c r="G3829" s="19" t="n">
        <f aca="false">'SALES Raw'!F979*$H$4</f>
        <v>328.421052631579</v>
      </c>
      <c r="H3829" s="18" t="str">
        <f aca="false">'SALES Raw'!A979</f>
        <v>102 - Orthopedic institutes</v>
      </c>
    </row>
    <row r="3830" customFormat="false" ht="15" hidden="false" customHeight="false" outlineLevel="0" collapsed="false">
      <c r="A3830" s="18" t="n">
        <f aca="false">'SALES Raw'!G990</f>
        <v>4408259</v>
      </c>
      <c r="B3830" s="18" t="str">
        <f aca="false">'SALES Raw'!B990</f>
        <v>11STO S</v>
      </c>
      <c r="C3830" s="18" t="str">
        <f aca="false">'SALES Raw'!H990</f>
        <v>11STO S חגורה אחרי ניתוח</v>
      </c>
      <c r="D3830" s="19" t="n">
        <f aca="false">'SALES Raw'!C990</f>
        <v>5</v>
      </c>
      <c r="E3830" s="19" t="n">
        <f aca="false">'SALES Raw'!D990</f>
        <v>525</v>
      </c>
      <c r="F3830" s="19" t="n">
        <f aca="false">'SALES Raw'!E990*$H$4</f>
        <v>1.26315789473684</v>
      </c>
      <c r="G3830" s="19" t="n">
        <f aca="false">'SALES Raw'!F990*$H$4</f>
        <v>132.631578947368</v>
      </c>
      <c r="H3830" s="18" t="str">
        <f aca="false">'SALES Raw'!A990</f>
        <v>102 - Orthopedic institutes</v>
      </c>
    </row>
    <row r="3831" customFormat="false" ht="15" hidden="false" customHeight="false" outlineLevel="0" collapsed="false">
      <c r="A3831" s="18" t="str">
        <f aca="false">'SALES Raw'!G992</f>
        <v/>
      </c>
      <c r="B3831" s="18" t="str">
        <f aca="false">'SALES Raw'!B992</f>
        <v>11U M</v>
      </c>
      <c r="C3831" s="18" t="str">
        <f aca="false">'SALES Raw'!H992</f>
        <v>11U M</v>
      </c>
      <c r="D3831" s="19" t="n">
        <f aca="false">'SALES Raw'!C992</f>
        <v>0</v>
      </c>
      <c r="E3831" s="19" t="n">
        <f aca="false">'SALES Raw'!D992</f>
        <v>0</v>
      </c>
      <c r="F3831" s="19" t="n">
        <f aca="false">'SALES Raw'!E992*$H$4</f>
        <v>1.26315789473684</v>
      </c>
      <c r="G3831" s="19" t="n">
        <f aca="false">'SALES Raw'!F992*$H$4</f>
        <v>130.193684210526</v>
      </c>
      <c r="H3831" s="18" t="str">
        <f aca="false">'SALES Raw'!A992</f>
        <v>102 - Orthopedic institutes</v>
      </c>
    </row>
    <row r="3832" customFormat="false" ht="15" hidden="false" customHeight="false" outlineLevel="0" collapsed="false">
      <c r="A3832" s="18" t="n">
        <f aca="false">'SALES Raw'!G993</f>
        <v>4413395</v>
      </c>
      <c r="B3832" s="18" t="str">
        <f aca="false">'SALES Raw'!B993</f>
        <v>45EC M</v>
      </c>
      <c r="C3832" s="18" t="str">
        <f aca="false">'SALES Raw'!H993</f>
        <v>45EC M 'מגן ברך ארוך בז</v>
      </c>
      <c r="D3832" s="19" t="n">
        <f aca="false">'SALES Raw'!C993</f>
        <v>3</v>
      </c>
      <c r="E3832" s="19" t="n">
        <f aca="false">'SALES Raw'!D993</f>
        <v>112.36</v>
      </c>
      <c r="F3832" s="19" t="n">
        <f aca="false">'SALES Raw'!E993*$H$4</f>
        <v>1.26315789473684</v>
      </c>
      <c r="G3832" s="19" t="n">
        <f aca="false">'SALES Raw'!F993*$H$4</f>
        <v>47.3052631578947</v>
      </c>
      <c r="H3832" s="18" t="str">
        <f aca="false">'SALES Raw'!A993</f>
        <v>102 - Orthopedic institutes</v>
      </c>
    </row>
    <row r="3833" customFormat="false" ht="15" hidden="false" customHeight="false" outlineLevel="0" collapsed="false">
      <c r="A3833" s="18" t="n">
        <f aca="false">'SALES Raw'!G997</f>
        <v>4413524</v>
      </c>
      <c r="B3833" s="18" t="str">
        <f aca="false">'SALES Raw'!B997</f>
        <v>379COM-39-42</v>
      </c>
      <c r="C3833" s="18" t="str">
        <f aca="false">'SALES Raw'!H997</f>
        <v>39-42 מדרסי אפיק ג'ל נוחות</v>
      </c>
      <c r="D3833" s="19" t="n">
        <f aca="false">'SALES Raw'!C997</f>
        <v>2</v>
      </c>
      <c r="E3833" s="19" t="n">
        <f aca="false">'SALES Raw'!D997</f>
        <v>219.04</v>
      </c>
      <c r="F3833" s="19" t="n">
        <f aca="false">'SALES Raw'!E997*$H$4</f>
        <v>1.26315789473684</v>
      </c>
      <c r="G3833" s="19" t="n">
        <f aca="false">'SALES Raw'!F997*$H$4</f>
        <v>149.734736842105</v>
      </c>
      <c r="H3833" s="18" t="str">
        <f aca="false">'SALES Raw'!A997</f>
        <v>102 - Orthopedic institutes</v>
      </c>
    </row>
    <row r="3834" customFormat="false" ht="15" hidden="false" customHeight="false" outlineLevel="0" collapsed="false">
      <c r="A3834" s="18" t="str">
        <f aca="false">'SALES Raw'!G1001</f>
        <v/>
      </c>
      <c r="B3834" s="18" t="str">
        <f aca="false">'SALES Raw'!B1001</f>
        <v>67800020</v>
      </c>
      <c r="C3834" s="18" t="str">
        <f aca="false">'SALES Raw'!H1001</f>
        <v>67800020</v>
      </c>
      <c r="D3834" s="19" t="n">
        <f aca="false">'SALES Raw'!C1001</f>
        <v>4</v>
      </c>
      <c r="E3834" s="19" t="n">
        <f aca="false">'SALES Raw'!D1001</f>
        <v>0.02</v>
      </c>
      <c r="F3834" s="19" t="n">
        <f aca="false">'SALES Raw'!E1001*$H$4</f>
        <v>1.26315789473684</v>
      </c>
      <c r="G3834" s="19" t="n">
        <f aca="false">'SALES Raw'!F1001*$H$4</f>
        <v>0</v>
      </c>
      <c r="H3834" s="18" t="str">
        <f aca="false">'SALES Raw'!A1001</f>
        <v>102 - Orthopedic institutes</v>
      </c>
    </row>
    <row r="3835" customFormat="false" ht="15" hidden="false" customHeight="false" outlineLevel="0" collapsed="false">
      <c r="A3835" s="18" t="str">
        <f aca="false">'SALES Raw'!G1002</f>
        <v/>
      </c>
      <c r="B3835" s="18" t="str">
        <f aca="false">'SALES Raw'!B1002</f>
        <v>67813000</v>
      </c>
      <c r="C3835" s="18" t="str">
        <f aca="false">'SALES Raw'!H1002</f>
        <v>67813000</v>
      </c>
      <c r="D3835" s="19" t="n">
        <f aca="false">'SALES Raw'!C1002</f>
        <v>1</v>
      </c>
      <c r="E3835" s="19" t="n">
        <f aca="false">'SALES Raw'!D1002</f>
        <v>0.01</v>
      </c>
      <c r="F3835" s="19" t="n">
        <f aca="false">'SALES Raw'!E1002*$H$4</f>
        <v>1.26315789473684</v>
      </c>
      <c r="G3835" s="19" t="n">
        <f aca="false">'SALES Raw'!F1002*$H$4</f>
        <v>0.0126315789473684</v>
      </c>
      <c r="H3835" s="18" t="str">
        <f aca="false">'SALES Raw'!A1002</f>
        <v>102 - Orthopedic institutes</v>
      </c>
    </row>
    <row r="3836" customFormat="false" ht="15" hidden="false" customHeight="false" outlineLevel="0" collapsed="false">
      <c r="A3836" s="18" t="str">
        <f aca="false">'SALES Raw'!G1005</f>
        <v/>
      </c>
      <c r="B3836" s="18" t="str">
        <f aca="false">'SALES Raw'!B1005</f>
        <v>922B XXL</v>
      </c>
      <c r="C3836" s="18" t="str">
        <f aca="false">'SALES Raw'!H1005</f>
        <v>922B XXL</v>
      </c>
      <c r="D3836" s="19" t="n">
        <f aca="false">'SALES Raw'!C1005</f>
        <v>2</v>
      </c>
      <c r="E3836" s="19" t="n">
        <f aca="false">'SALES Raw'!D1005</f>
        <v>180</v>
      </c>
      <c r="F3836" s="19" t="n">
        <f aca="false">'SALES Raw'!E1005*$H$4</f>
        <v>1.26315789473684</v>
      </c>
      <c r="G3836" s="19" t="n">
        <f aca="false">'SALES Raw'!F1005*$H$4</f>
        <v>113.684210526316</v>
      </c>
      <c r="H3836" s="18" t="str">
        <f aca="false">'SALES Raw'!A1005</f>
        <v>102 - Orthopedic institutes</v>
      </c>
    </row>
    <row r="3837" customFormat="false" ht="15" hidden="false" customHeight="false" outlineLevel="0" collapsed="false">
      <c r="A3837" s="18" t="str">
        <f aca="false">'SALES Raw'!G1014</f>
        <v/>
      </c>
      <c r="B3837" s="18" t="str">
        <f aca="false">'SALES Raw'!B1014</f>
        <v>18 XXL</v>
      </c>
      <c r="C3837" s="18" t="str">
        <f aca="false">'SALES Raw'!H1014</f>
        <v>18 XXL</v>
      </c>
      <c r="D3837" s="19" t="n">
        <f aca="false">'SALES Raw'!C1014</f>
        <v>1</v>
      </c>
      <c r="E3837" s="19" t="n">
        <f aca="false">'SALES Raw'!D1014</f>
        <v>267.99</v>
      </c>
      <c r="F3837" s="19" t="n">
        <f aca="false">'SALES Raw'!E1014*$H$4</f>
        <v>1.26315789473684</v>
      </c>
      <c r="G3837" s="19" t="n">
        <f aca="false">'SALES Raw'!F1014*$H$4</f>
        <v>338.526315789474</v>
      </c>
      <c r="H3837" s="18" t="str">
        <f aca="false">'SALES Raw'!A1014</f>
        <v>102 - Orthopedic institutes</v>
      </c>
    </row>
    <row r="3838" customFormat="false" ht="15" hidden="false" customHeight="false" outlineLevel="0" collapsed="false">
      <c r="A3838" s="18" t="str">
        <f aca="false">'SALES Raw'!G1015</f>
        <v/>
      </c>
      <c r="B3838" s="18" t="str">
        <f aca="false">'SALES Raw'!B1015</f>
        <v>75 XS</v>
      </c>
      <c r="C3838" s="18" t="str">
        <f aca="false">'SALES Raw'!H1015</f>
        <v>75 XS</v>
      </c>
      <c r="D3838" s="19" t="n">
        <f aca="false">'SALES Raw'!C1015</f>
        <v>2</v>
      </c>
      <c r="E3838" s="19" t="n">
        <f aca="false">'SALES Raw'!D1015</f>
        <v>328.02</v>
      </c>
      <c r="F3838" s="19" t="n">
        <f aca="false">'SALES Raw'!E1015*$H$4</f>
        <v>1.26315789473684</v>
      </c>
      <c r="G3838" s="19" t="n">
        <f aca="false">'SALES Raw'!F1015*$H$4</f>
        <v>207.170526315789</v>
      </c>
      <c r="H3838" s="18" t="str">
        <f aca="false">'SALES Raw'!A1015</f>
        <v>102 - Orthopedic institutes</v>
      </c>
    </row>
    <row r="3839" customFormat="false" ht="15" hidden="false" customHeight="false" outlineLevel="0" collapsed="false">
      <c r="A3839" s="18" t="str">
        <f aca="false">'SALES Raw'!G1022</f>
        <v/>
      </c>
      <c r="B3839" s="18" t="str">
        <f aca="false">'SALES Raw'!B1022</f>
        <v>T03 XXL</v>
      </c>
      <c r="C3839" s="18" t="str">
        <f aca="false">'SALES Raw'!H1022</f>
        <v>T03 XXL</v>
      </c>
      <c r="D3839" s="19" t="n">
        <f aca="false">'SALES Raw'!C1022</f>
        <v>0</v>
      </c>
      <c r="E3839" s="19" t="n">
        <f aca="false">'SALES Raw'!D1022</f>
        <v>0</v>
      </c>
      <c r="F3839" s="19" t="n">
        <f aca="false">'SALES Raw'!E1022*$H$4</f>
        <v>1.26315789473684</v>
      </c>
      <c r="G3839" s="19" t="n">
        <f aca="false">'SALES Raw'!F1022*$H$4</f>
        <v>140.248421052632</v>
      </c>
      <c r="H3839" s="18" t="str">
        <f aca="false">'SALES Raw'!A1022</f>
        <v>102 - Orthopedic institutes</v>
      </c>
    </row>
    <row r="3840" customFormat="false" ht="15" hidden="false" customHeight="false" outlineLevel="0" collapsed="false">
      <c r="A3840" s="18" t="n">
        <f aca="false">'SALES Raw'!G1026</f>
        <v>4413522</v>
      </c>
      <c r="B3840" s="18" t="str">
        <f aca="false">'SALES Raw'!B1026</f>
        <v>379MSP-43-46</v>
      </c>
      <c r="C3840" s="18" t="str">
        <f aca="false">'SALES Raw'!H1026</f>
        <v>מדרסי אפיק ג'ל מולט.ספורט43-47</v>
      </c>
      <c r="D3840" s="19" t="n">
        <f aca="false">'SALES Raw'!C1026</f>
        <v>3</v>
      </c>
      <c r="E3840" s="19" t="n">
        <f aca="false">'SALES Raw'!D1026</f>
        <v>337.58</v>
      </c>
      <c r="F3840" s="19" t="n">
        <f aca="false">'SALES Raw'!E1026*$H$4</f>
        <v>1.26315789473684</v>
      </c>
      <c r="G3840" s="19" t="n">
        <f aca="false">'SALES Raw'!F1026*$H$4</f>
        <v>149.734736842105</v>
      </c>
      <c r="H3840" s="18" t="str">
        <f aca="false">'SALES Raw'!A1026</f>
        <v>102 - Orthopedic institutes</v>
      </c>
    </row>
    <row r="3841" customFormat="false" ht="15" hidden="false" customHeight="false" outlineLevel="0" collapsed="false">
      <c r="A3841" s="18" t="n">
        <f aca="false">'SALES Raw'!G1027</f>
        <v>4413527</v>
      </c>
      <c r="B3841" s="18" t="str">
        <f aca="false">'SALES Raw'!B1027</f>
        <v>379WRK-35-38</v>
      </c>
      <c r="C3841" s="18" t="str">
        <f aca="false">'SALES Raw'!H1027</f>
        <v>35-38 מדרסי אפיק ג'ל עבודה</v>
      </c>
      <c r="D3841" s="19" t="n">
        <f aca="false">'SALES Raw'!C1027</f>
        <v>2</v>
      </c>
      <c r="E3841" s="19" t="n">
        <f aca="false">'SALES Raw'!D1027</f>
        <v>219.04</v>
      </c>
      <c r="F3841" s="19" t="n">
        <f aca="false">'SALES Raw'!E1027*$H$4</f>
        <v>1.26315789473684</v>
      </c>
      <c r="G3841" s="19" t="n">
        <f aca="false">'SALES Raw'!F1027*$H$4</f>
        <v>94.7368421052632</v>
      </c>
      <c r="H3841" s="18" t="str">
        <f aca="false">'SALES Raw'!A1027</f>
        <v>102 - Orthopedic institutes</v>
      </c>
    </row>
    <row r="3842" customFormat="false" ht="15" hidden="false" customHeight="false" outlineLevel="0" collapsed="false">
      <c r="A3842" s="18" t="str">
        <f aca="false">'SALES Raw'!G1032</f>
        <v/>
      </c>
      <c r="B3842" s="18" t="str">
        <f aca="false">'SALES Raw'!B1032</f>
        <v>15M XXL</v>
      </c>
      <c r="C3842" s="18" t="str">
        <f aca="false">'SALES Raw'!H1032</f>
        <v>15M XXL</v>
      </c>
      <c r="D3842" s="19" t="n">
        <f aca="false">'SALES Raw'!C1032</f>
        <v>3</v>
      </c>
      <c r="E3842" s="19" t="n">
        <f aca="false">'SALES Raw'!D1032</f>
        <v>310.57</v>
      </c>
      <c r="F3842" s="19" t="n">
        <f aca="false">'SALES Raw'!E1032*$H$4</f>
        <v>1.26315789473684</v>
      </c>
      <c r="G3842" s="19" t="n">
        <f aca="false">'SALES Raw'!F1032*$H$4</f>
        <v>177.562105263158</v>
      </c>
      <c r="H3842" s="18" t="str">
        <f aca="false">'SALES Raw'!A1032</f>
        <v>102 - Orthopedic institutes</v>
      </c>
    </row>
    <row r="3843" customFormat="false" ht="15" hidden="false" customHeight="false" outlineLevel="0" collapsed="false">
      <c r="A3843" s="18" t="n">
        <f aca="false">'SALES Raw'!G1033</f>
        <v>4413042</v>
      </c>
      <c r="B3843" s="18" t="str">
        <f aca="false">'SALES Raw'!B1033</f>
        <v>34 S</v>
      </c>
      <c r="C3843" s="18" t="str">
        <f aca="false">'SALES Raw'!H1033</f>
        <v>34  S מגן קרסול עקב סגור</v>
      </c>
      <c r="D3843" s="19" t="n">
        <f aca="false">'SALES Raw'!C1033</f>
        <v>11</v>
      </c>
      <c r="E3843" s="19" t="n">
        <f aca="false">'SALES Raw'!D1033</f>
        <v>515.03</v>
      </c>
      <c r="F3843" s="19" t="n">
        <f aca="false">'SALES Raw'!E1033*$H$4</f>
        <v>1.26315789473684</v>
      </c>
      <c r="G3843" s="19" t="n">
        <f aca="false">'SALES Raw'!F1033*$H$4</f>
        <v>59.1410526315789</v>
      </c>
      <c r="H3843" s="18" t="str">
        <f aca="false">'SALES Raw'!A1033</f>
        <v>102 - Orthopedic institutes</v>
      </c>
    </row>
    <row r="3844" customFormat="false" ht="15" hidden="false" customHeight="false" outlineLevel="0" collapsed="false">
      <c r="A3844" s="18" t="n">
        <f aca="false">'SALES Raw'!G1036</f>
        <v>4413492</v>
      </c>
      <c r="B3844" s="18" t="str">
        <f aca="false">'SALES Raw'!B1036</f>
        <v>35B M</v>
      </c>
      <c r="C3844" s="18" t="str">
        <f aca="false">'SALES Raw'!H1036</f>
        <v>35B M מגן קרסול שחור</v>
      </c>
      <c r="D3844" s="19" t="n">
        <f aca="false">'SALES Raw'!C1036</f>
        <v>7</v>
      </c>
      <c r="E3844" s="19" t="n">
        <f aca="false">'SALES Raw'!D1036</f>
        <v>204.35</v>
      </c>
      <c r="F3844" s="19" t="n">
        <f aca="false">'SALES Raw'!E1036*$H$4</f>
        <v>1.26315789473684</v>
      </c>
      <c r="G3844" s="19" t="n">
        <f aca="false">'SALES Raw'!F1036*$H$4</f>
        <v>39.0189473684211</v>
      </c>
      <c r="H3844" s="18" t="str">
        <f aca="false">'SALES Raw'!A1036</f>
        <v>102 - Orthopedic institutes</v>
      </c>
    </row>
    <row r="3845" customFormat="false" ht="15" hidden="false" customHeight="false" outlineLevel="0" collapsed="false">
      <c r="A3845" s="18" t="n">
        <f aca="false">'SALES Raw'!G1038</f>
        <v>4413491</v>
      </c>
      <c r="B3845" s="18" t="str">
        <f aca="false">'SALES Raw'!B1038</f>
        <v>35B XL</v>
      </c>
      <c r="C3845" s="18" t="str">
        <f aca="false">'SALES Raw'!H1038</f>
        <v>35B XL מגן קרסול שחור</v>
      </c>
      <c r="D3845" s="19" t="n">
        <f aca="false">'SALES Raw'!C1038</f>
        <v>7</v>
      </c>
      <c r="E3845" s="19" t="n">
        <f aca="false">'SALES Raw'!D1038</f>
        <v>192.46</v>
      </c>
      <c r="F3845" s="19" t="n">
        <f aca="false">'SALES Raw'!E1038*$H$4</f>
        <v>1.26315789473684</v>
      </c>
      <c r="G3845" s="19" t="n">
        <f aca="false">'SALES Raw'!F1038*$H$4</f>
        <v>39.0189473684211</v>
      </c>
      <c r="H3845" s="18" t="str">
        <f aca="false">'SALES Raw'!A1038</f>
        <v>102 - Orthopedic institutes</v>
      </c>
    </row>
    <row r="3846" customFormat="false" ht="15" hidden="false" customHeight="false" outlineLevel="0" collapsed="false">
      <c r="A3846" s="18" t="str">
        <f aca="false">'SALES Raw'!G1039</f>
        <v/>
      </c>
      <c r="B3846" s="18" t="str">
        <f aca="false">'SALES Raw'!B1039</f>
        <v>355 XL</v>
      </c>
      <c r="C3846" s="18" t="str">
        <f aca="false">'SALES Raw'!H1039</f>
        <v>355 XL</v>
      </c>
      <c r="D3846" s="19" t="n">
        <f aca="false">'SALES Raw'!C1039</f>
        <v>2</v>
      </c>
      <c r="E3846" s="19" t="n">
        <f aca="false">'SALES Raw'!D1039</f>
        <v>330</v>
      </c>
      <c r="F3846" s="19" t="n">
        <f aca="false">'SALES Raw'!E1039*$H$4</f>
        <v>1.26315789473684</v>
      </c>
      <c r="G3846" s="19" t="n">
        <f aca="false">'SALES Raw'!F1039*$H$4</f>
        <v>268.736842105263</v>
      </c>
      <c r="H3846" s="18" t="str">
        <f aca="false">'SALES Raw'!A1039</f>
        <v>102 - Orthopedic institutes</v>
      </c>
    </row>
    <row r="3847" customFormat="false" ht="15" hidden="false" customHeight="false" outlineLevel="0" collapsed="false">
      <c r="A3847" s="18" t="n">
        <f aca="false">'SALES Raw'!G1041</f>
        <v>4413103</v>
      </c>
      <c r="B3847" s="18" t="str">
        <f aca="false">'SALES Raw'!B1041</f>
        <v>45E M</v>
      </c>
      <c r="C3847" s="18" t="str">
        <f aca="false">'SALES Raw'!H1041</f>
        <v>45E Mמגן ברך ארוך לבן</v>
      </c>
      <c r="D3847" s="19" t="n">
        <f aca="false">'SALES Raw'!C1041</f>
        <v>7</v>
      </c>
      <c r="E3847" s="19" t="n">
        <f aca="false">'SALES Raw'!D1041</f>
        <v>262.18</v>
      </c>
      <c r="F3847" s="19" t="n">
        <f aca="false">'SALES Raw'!E1041*$H$4</f>
        <v>1.26315789473684</v>
      </c>
      <c r="G3847" s="19" t="n">
        <f aca="false">'SALES Raw'!F1041*$H$4</f>
        <v>47.3052631578947</v>
      </c>
      <c r="H3847" s="18" t="str">
        <f aca="false">'SALES Raw'!A1041</f>
        <v>102 - Orthopedic institutes</v>
      </c>
    </row>
    <row r="3848" customFormat="false" ht="15" hidden="false" customHeight="false" outlineLevel="0" collapsed="false">
      <c r="A3848" s="18" t="n">
        <f aca="false">'SALES Raw'!G1042</f>
        <v>4413101</v>
      </c>
      <c r="B3848" s="18" t="str">
        <f aca="false">'SALES Raw'!B1042</f>
        <v>45E S</v>
      </c>
      <c r="C3848" s="18" t="str">
        <f aca="false">'SALES Raw'!H1042</f>
        <v>45E Sמגן ברך ארוך לבן</v>
      </c>
      <c r="D3848" s="19" t="n">
        <f aca="false">'SALES Raw'!C1042</f>
        <v>4</v>
      </c>
      <c r="E3848" s="19" t="n">
        <f aca="false">'SALES Raw'!D1042</f>
        <v>149.87</v>
      </c>
      <c r="F3848" s="19" t="n">
        <f aca="false">'SALES Raw'!E1042*$H$4</f>
        <v>1.26315789473684</v>
      </c>
      <c r="G3848" s="19" t="n">
        <f aca="false">'SALES Raw'!F1042*$H$4</f>
        <v>47.3052631578947</v>
      </c>
      <c r="H3848" s="18" t="str">
        <f aca="false">'SALES Raw'!A1042</f>
        <v>102 - Orthopedic institutes</v>
      </c>
    </row>
    <row r="3849" customFormat="false" ht="15" hidden="false" customHeight="false" outlineLevel="0" collapsed="false">
      <c r="A3849" s="18" t="n">
        <f aca="false">'SALES Raw'!G1051</f>
        <v>4413130</v>
      </c>
      <c r="B3849" s="18" t="str">
        <f aca="false">'SALES Raw'!B1051</f>
        <v>75 XXL</v>
      </c>
      <c r="C3849" s="18" t="str">
        <f aca="false">'SALES Raw'!H1051</f>
        <v>75  XXL מיישר כתף יציב ישור צר</v>
      </c>
      <c r="D3849" s="19" t="n">
        <f aca="false">'SALES Raw'!C1051</f>
        <v>1</v>
      </c>
      <c r="E3849" s="19" t="n">
        <f aca="false">'SALES Raw'!D1051</f>
        <v>164.01</v>
      </c>
      <c r="F3849" s="19" t="n">
        <f aca="false">'SALES Raw'!E1051*$H$4</f>
        <v>1.26315789473684</v>
      </c>
      <c r="G3849" s="19" t="n">
        <f aca="false">'SALES Raw'!F1051*$H$4</f>
        <v>207.170526315789</v>
      </c>
      <c r="H3849" s="18" t="str">
        <f aca="false">'SALES Raw'!A1051</f>
        <v>102 - Orthopedic institutes</v>
      </c>
    </row>
    <row r="3850" customFormat="false" ht="15" hidden="false" customHeight="false" outlineLevel="0" collapsed="false">
      <c r="A3850" s="18" t="n">
        <f aca="false">'SALES Raw'!G1055</f>
        <v>4413421</v>
      </c>
      <c r="B3850" s="18" t="str">
        <f aca="false">'SALES Raw'!B1055</f>
        <v>SC35L M</v>
      </c>
      <c r="C3850" s="18" t="str">
        <f aca="false">'SALES Raw'!H1055</f>
        <v>SC35L  M מגן קרסול שמאל</v>
      </c>
      <c r="D3850" s="19" t="n">
        <f aca="false">'SALES Raw'!C1055</f>
        <v>5</v>
      </c>
      <c r="E3850" s="19" t="n">
        <f aca="false">'SALES Raw'!D1055</f>
        <v>435.61</v>
      </c>
      <c r="F3850" s="19" t="n">
        <f aca="false">'SALES Raw'!E1055*$H$4</f>
        <v>1.26315789473684</v>
      </c>
      <c r="G3850" s="19" t="n">
        <f aca="false">'SALES Raw'!F1055*$H$4</f>
        <v>118.32</v>
      </c>
      <c r="H3850" s="18" t="str">
        <f aca="false">'SALES Raw'!A1055</f>
        <v>102 - Orthopedic institutes</v>
      </c>
    </row>
    <row r="3851" customFormat="false" ht="15" hidden="false" customHeight="false" outlineLevel="0" collapsed="false">
      <c r="A3851" s="18" t="n">
        <f aca="false">'SALES Raw'!G1058</f>
        <v>4413442</v>
      </c>
      <c r="B3851" s="18" t="str">
        <f aca="false">'SALES Raw'!B1058</f>
        <v>SC422 XXL</v>
      </c>
      <c r="C3851" s="18" t="str">
        <f aca="false">'SALES Raw'!H1058</f>
        <v>SC422 XXLמגן ברך</v>
      </c>
      <c r="D3851" s="19" t="n">
        <f aca="false">'SALES Raw'!C1058</f>
        <v>5</v>
      </c>
      <c r="E3851" s="19" t="n">
        <f aca="false">'SALES Raw'!D1058</f>
        <v>702.86</v>
      </c>
      <c r="F3851" s="19" t="n">
        <f aca="false">'SALES Raw'!E1058*$H$4</f>
        <v>1.26315789473684</v>
      </c>
      <c r="G3851" s="19" t="n">
        <f aca="false">'SALES Raw'!F1058*$H$4</f>
        <v>177.562105263158</v>
      </c>
      <c r="H3851" s="18" t="str">
        <f aca="false">'SALES Raw'!A1058</f>
        <v>102 - Orthopedic institutes</v>
      </c>
    </row>
    <row r="3852" customFormat="false" ht="15" hidden="false" customHeight="false" outlineLevel="0" collapsed="false">
      <c r="A3852" s="18" t="n">
        <f aca="false">'SALES Raw'!G1059</f>
        <v>4408091</v>
      </c>
      <c r="B3852" s="18" t="str">
        <f aca="false">'SALES Raw'!B1059</f>
        <v>T11C M</v>
      </c>
      <c r="C3852" s="18" t="str">
        <f aca="false">'SALES Raw'!H1059</f>
        <v>T11C M  חגורת גב פוג'יאמה</v>
      </c>
      <c r="D3852" s="19" t="n">
        <f aca="false">'SALES Raw'!C1059</f>
        <v>0</v>
      </c>
      <c r="E3852" s="19" t="n">
        <f aca="false">'SALES Raw'!D1059</f>
        <v>0</v>
      </c>
      <c r="F3852" s="19" t="n">
        <f aca="false">'SALES Raw'!E1059*$H$4</f>
        <v>1.26315789473684</v>
      </c>
      <c r="G3852" s="19" t="n">
        <f aca="false">'SALES Raw'!F1059*$H$4</f>
        <v>119.557894736842</v>
      </c>
      <c r="H3852" s="18" t="str">
        <f aca="false">'SALES Raw'!A1059</f>
        <v>102 - Orthopedic institutes</v>
      </c>
    </row>
    <row r="3853" customFormat="false" ht="15" hidden="false" customHeight="false" outlineLevel="0" collapsed="false">
      <c r="A3853" s="18" t="str">
        <f aca="false">'SALES Raw'!G1063</f>
        <v/>
      </c>
      <c r="B3853" s="18" t="str">
        <f aca="false">'SALES Raw'!B1063</f>
        <v>T39 XXL</v>
      </c>
      <c r="C3853" s="18" t="str">
        <f aca="false">'SALES Raw'!H1063</f>
        <v>T39 XXL</v>
      </c>
      <c r="D3853" s="19" t="n">
        <f aca="false">'SALES Raw'!C1063</f>
        <v>1</v>
      </c>
      <c r="E3853" s="19" t="n">
        <f aca="false">'SALES Raw'!D1063</f>
        <v>107.76</v>
      </c>
      <c r="F3853" s="19" t="n">
        <f aca="false">'SALES Raw'!E1063*$H$4</f>
        <v>1.26315789473684</v>
      </c>
      <c r="G3853" s="19" t="n">
        <f aca="false">'SALES Raw'!F1063*$H$4</f>
        <v>136.117894736842</v>
      </c>
      <c r="H3853" s="18" t="str">
        <f aca="false">'SALES Raw'!A1063</f>
        <v>102 - Orthopedic institutes</v>
      </c>
    </row>
    <row r="3854" customFormat="false" ht="15" hidden="false" customHeight="false" outlineLevel="0" collapsed="false">
      <c r="A3854" s="18" t="n">
        <f aca="false">'SALES Raw'!G1071</f>
        <v>4413408</v>
      </c>
      <c r="B3854" s="18" t="str">
        <f aca="false">'SALES Raw'!B1071</f>
        <v>SC95 XL</v>
      </c>
      <c r="C3854" s="18" t="str">
        <f aca="false">'SALES Raw'!H1071</f>
        <v>SC95 XLמגן מרפק</v>
      </c>
      <c r="D3854" s="19" t="n">
        <f aca="false">'SALES Raw'!C1071</f>
        <v>5</v>
      </c>
      <c r="E3854" s="19" t="n">
        <f aca="false">'SALES Raw'!D1071</f>
        <v>401.15</v>
      </c>
      <c r="F3854" s="19" t="n">
        <f aca="false">'SALES Raw'!E1071*$H$4</f>
        <v>1.26315789473684</v>
      </c>
      <c r="G3854" s="19" t="n">
        <f aca="false">'SALES Raw'!F1071*$H$4</f>
        <v>118.32</v>
      </c>
      <c r="H3854" s="18" t="str">
        <f aca="false">'SALES Raw'!A1071</f>
        <v>102 - Orthopedic institutes</v>
      </c>
    </row>
    <row r="3855" customFormat="false" ht="15" hidden="false" customHeight="false" outlineLevel="0" collapsed="false">
      <c r="A3855" s="18" t="str">
        <f aca="false">'SALES Raw'!G1072</f>
        <v/>
      </c>
      <c r="B3855" s="18" t="str">
        <f aca="false">'SALES Raw'!B1072</f>
        <v>11NOR XL</v>
      </c>
      <c r="C3855" s="18" t="str">
        <f aca="false">'SALES Raw'!H1072</f>
        <v>11NOR XL</v>
      </c>
      <c r="D3855" s="19" t="n">
        <f aca="false">'SALES Raw'!C1072</f>
        <v>1</v>
      </c>
      <c r="E3855" s="19" t="n">
        <f aca="false">'SALES Raw'!D1072</f>
        <v>165</v>
      </c>
      <c r="F3855" s="19" t="n">
        <f aca="false">'SALES Raw'!E1072*$H$4</f>
        <v>1.26315789473684</v>
      </c>
      <c r="G3855" s="19" t="n">
        <f aca="false">'SALES Raw'!F1072*$H$4</f>
        <v>208.421052631579</v>
      </c>
      <c r="H3855" s="18" t="str">
        <f aca="false">'SALES Raw'!A1072</f>
        <v>102 - Orthopedic institutes</v>
      </c>
    </row>
    <row r="3856" customFormat="false" ht="15" hidden="false" customHeight="false" outlineLevel="0" collapsed="false">
      <c r="A3856" s="18" t="str">
        <f aca="false">'SALES Raw'!G1081</f>
        <v/>
      </c>
      <c r="B3856" s="18" t="str">
        <f aca="false">'SALES Raw'!B1081</f>
        <v>11NOR XXL</v>
      </c>
      <c r="C3856" s="18" t="str">
        <f aca="false">'SALES Raw'!H1081</f>
        <v>11NOR XXL</v>
      </c>
      <c r="D3856" s="19" t="n">
        <f aca="false">'SALES Raw'!C1081</f>
        <v>0</v>
      </c>
      <c r="E3856" s="19" t="n">
        <f aca="false">'SALES Raw'!D1081</f>
        <v>0</v>
      </c>
      <c r="F3856" s="19" t="n">
        <f aca="false">'SALES Raw'!E1081*$H$4</f>
        <v>1.26315789473684</v>
      </c>
      <c r="G3856" s="19" t="n">
        <f aca="false">'SALES Raw'!F1081*$H$4</f>
        <v>208.421052631579</v>
      </c>
      <c r="H3856" s="18" t="str">
        <f aca="false">'SALES Raw'!A1081</f>
        <v>102 - Orthopedic institutes</v>
      </c>
    </row>
    <row r="3857" customFormat="false" ht="15" hidden="false" customHeight="false" outlineLevel="0" collapsed="false">
      <c r="A3857" s="18" t="str">
        <f aca="false">'SALES Raw'!G1086</f>
        <v/>
      </c>
      <c r="B3857" s="18" t="str">
        <f aca="false">'SALES Raw'!B1086</f>
        <v>56B S</v>
      </c>
      <c r="C3857" s="18" t="str">
        <f aca="false">'SALES Raw'!H1086</f>
        <v>56B S</v>
      </c>
      <c r="D3857" s="19" t="n">
        <f aca="false">'SALES Raw'!C1086</f>
        <v>0</v>
      </c>
      <c r="E3857" s="19" t="n">
        <f aca="false">'SALES Raw'!D1086</f>
        <v>0</v>
      </c>
      <c r="F3857" s="19" t="n">
        <f aca="false">'SALES Raw'!E1086*$H$4</f>
        <v>1.26315789473684</v>
      </c>
      <c r="G3857" s="19" t="n">
        <f aca="false">'SALES Raw'!F1086*$H$4</f>
        <v>106.509473684211</v>
      </c>
      <c r="H3857" s="18" t="str">
        <f aca="false">'SALES Raw'!A1086</f>
        <v>102 - Orthopedic institutes</v>
      </c>
    </row>
    <row r="3858" customFormat="false" ht="15" hidden="false" customHeight="false" outlineLevel="0" collapsed="false">
      <c r="A3858" s="18" t="n">
        <f aca="false">'SALES Raw'!G1090</f>
        <v>4411019</v>
      </c>
      <c r="B3858" s="18" t="str">
        <f aca="false">'SALES Raw'!B1090</f>
        <v>211 S</v>
      </c>
      <c r="C3858" s="18" t="str">
        <f aca="false">'SALES Raw'!H1090</f>
        <v>211S כפפות לחץ</v>
      </c>
      <c r="D3858" s="19" t="n">
        <f aca="false">'SALES Raw'!C1090</f>
        <v>2</v>
      </c>
      <c r="E3858" s="19" t="n">
        <f aca="false">'SALES Raw'!D1090</f>
        <v>66.09</v>
      </c>
      <c r="F3858" s="19" t="n">
        <f aca="false">'SALES Raw'!E1090*$H$4</f>
        <v>1.26315789473684</v>
      </c>
      <c r="G3858" s="19" t="n">
        <f aca="false">'SALES Raw'!F1090*$H$4</f>
        <v>47.3052631578947</v>
      </c>
      <c r="H3858" s="18" t="str">
        <f aca="false">'SALES Raw'!A1090</f>
        <v>102 - Orthopedic institutes</v>
      </c>
    </row>
    <row r="3859" customFormat="false" ht="15" hidden="false" customHeight="false" outlineLevel="0" collapsed="false">
      <c r="A3859" s="18" t="str">
        <f aca="false">'SALES Raw'!G1093</f>
        <v/>
      </c>
      <c r="B3859" s="18" t="str">
        <f aca="false">'SALES Raw'!B1093</f>
        <v>VMSPCB50 0</v>
      </c>
      <c r="C3859" s="18" t="str">
        <f aca="false">'SALES Raw'!H1093</f>
        <v>VMSPCB50 0</v>
      </c>
      <c r="D3859" s="19" t="n">
        <f aca="false">'SALES Raw'!C1093</f>
        <v>0</v>
      </c>
      <c r="E3859" s="19" t="n">
        <f aca="false">'SALES Raw'!D1093</f>
        <v>0</v>
      </c>
      <c r="F3859" s="19" t="n">
        <f aca="false">'SALES Raw'!E1093*$H$4</f>
        <v>1.26315789473684</v>
      </c>
      <c r="G3859" s="19" t="n">
        <f aca="false">'SALES Raw'!F1093*$H$4</f>
        <v>44.16</v>
      </c>
      <c r="H3859" s="18" t="str">
        <f aca="false">'SALES Raw'!A1093</f>
        <v>102 - Orthopedic institutes</v>
      </c>
    </row>
    <row r="3860" customFormat="false" ht="15" hidden="false" customHeight="false" outlineLevel="0" collapsed="false">
      <c r="A3860" s="18" t="str">
        <f aca="false">'SALES Raw'!G1094</f>
        <v/>
      </c>
      <c r="B3860" s="18" t="str">
        <f aca="false">'SALES Raw'!B1094</f>
        <v>21 XXL</v>
      </c>
      <c r="C3860" s="18" t="str">
        <f aca="false">'SALES Raw'!H1094</f>
        <v>21 XXL</v>
      </c>
      <c r="D3860" s="19" t="n">
        <f aca="false">'SALES Raw'!C1094</f>
        <v>2</v>
      </c>
      <c r="E3860" s="19" t="n">
        <f aca="false">'SALES Raw'!D1094</f>
        <v>79.59</v>
      </c>
      <c r="F3860" s="19" t="n">
        <f aca="false">'SALES Raw'!E1094*$H$4</f>
        <v>1.26315789473684</v>
      </c>
      <c r="G3860" s="19" t="n">
        <f aca="false">'SALES Raw'!F1094*$H$4</f>
        <v>50.2736842105263</v>
      </c>
      <c r="H3860" s="18" t="str">
        <f aca="false">'SALES Raw'!A1094</f>
        <v>102 - Orthopedic institutes</v>
      </c>
    </row>
    <row r="3861" customFormat="false" ht="15" hidden="false" customHeight="false" outlineLevel="0" collapsed="false">
      <c r="A3861" s="18" t="str">
        <f aca="false">'SALES Raw'!G1095</f>
        <v/>
      </c>
      <c r="B3861" s="18" t="str">
        <f aca="false">'SALES Raw'!B1095</f>
        <v>28 XXL</v>
      </c>
      <c r="C3861" s="18" t="str">
        <f aca="false">'SALES Raw'!H1095</f>
        <v>28 XXL</v>
      </c>
      <c r="D3861" s="19" t="n">
        <f aca="false">'SALES Raw'!C1095</f>
        <v>0</v>
      </c>
      <c r="E3861" s="19" t="n">
        <f aca="false">'SALES Raw'!D1095</f>
        <v>0</v>
      </c>
      <c r="F3861" s="19" t="n">
        <f aca="false">'SALES Raw'!E1095*$H$4</f>
        <v>1.26315789473684</v>
      </c>
      <c r="G3861" s="19" t="n">
        <f aca="false">'SALES Raw'!F1095*$H$4</f>
        <v>130.193684210526</v>
      </c>
      <c r="H3861" s="18" t="str">
        <f aca="false">'SALES Raw'!A1095</f>
        <v>102 - Orthopedic institutes</v>
      </c>
    </row>
    <row r="3862" customFormat="false" ht="15" hidden="false" customHeight="false" outlineLevel="0" collapsed="false">
      <c r="A3862" s="18" t="n">
        <f aca="false">'SALES Raw'!G1100</f>
        <v>4413494</v>
      </c>
      <c r="B3862" s="18" t="str">
        <f aca="false">'SALES Raw'!B1100</f>
        <v>35B XXL</v>
      </c>
      <c r="C3862" s="18" t="str">
        <f aca="false">'SALES Raw'!H1100</f>
        <v>35B XXL מגן קרסול שחור</v>
      </c>
      <c r="D3862" s="19" t="n">
        <f aca="false">'SALES Raw'!C1100</f>
        <v>2</v>
      </c>
      <c r="E3862" s="19" t="n">
        <f aca="false">'SALES Raw'!D1100</f>
        <v>49.89</v>
      </c>
      <c r="F3862" s="19" t="n">
        <f aca="false">'SALES Raw'!E1100*$H$4</f>
        <v>1.26315789473684</v>
      </c>
      <c r="G3862" s="19" t="n">
        <f aca="false">'SALES Raw'!F1100*$H$4</f>
        <v>39.0189473684211</v>
      </c>
      <c r="H3862" s="18" t="str">
        <f aca="false">'SALES Raw'!A1100</f>
        <v>102 - Orthopedic institutes</v>
      </c>
    </row>
    <row r="3863" customFormat="false" ht="15" hidden="false" customHeight="false" outlineLevel="0" collapsed="false">
      <c r="A3863" s="18" t="str">
        <f aca="false">'SALES Raw'!G1103</f>
        <v/>
      </c>
      <c r="B3863" s="18" t="str">
        <f aca="false">'SALES Raw'!B1103</f>
        <v>11STOB XXL</v>
      </c>
      <c r="C3863" s="18" t="str">
        <f aca="false">'SALES Raw'!H1103</f>
        <v>11STOB XXL</v>
      </c>
      <c r="D3863" s="19" t="n">
        <f aca="false">'SALES Raw'!C1103</f>
        <v>0</v>
      </c>
      <c r="E3863" s="19" t="n">
        <f aca="false">'SALES Raw'!D1103</f>
        <v>0</v>
      </c>
      <c r="F3863" s="19" t="n">
        <f aca="false">'SALES Raw'!E1103*$H$4</f>
        <v>1.26315789473684</v>
      </c>
      <c r="G3863" s="19" t="n">
        <f aca="false">'SALES Raw'!F1103*$H$4</f>
        <v>132.631578947368</v>
      </c>
      <c r="H3863" s="18" t="str">
        <f aca="false">'SALES Raw'!A1103</f>
        <v>102 - Orthopedic institutes</v>
      </c>
    </row>
    <row r="3864" customFormat="false" ht="15" hidden="false" customHeight="false" outlineLevel="0" collapsed="false">
      <c r="A3864" s="18" t="str">
        <f aca="false">'SALES Raw'!G1113</f>
        <v/>
      </c>
      <c r="B3864" s="18" t="str">
        <f aca="false">'SALES Raw'!B1113</f>
        <v>079 XXL</v>
      </c>
      <c r="C3864" s="18" t="str">
        <f aca="false">'SALES Raw'!H1113</f>
        <v>079 XXL</v>
      </c>
      <c r="D3864" s="19" t="n">
        <f aca="false">'SALES Raw'!C1113</f>
        <v>0</v>
      </c>
      <c r="E3864" s="19" t="n">
        <f aca="false">'SALES Raw'!D1113</f>
        <v>0</v>
      </c>
      <c r="F3864" s="19" t="n">
        <f aca="false">'SALES Raw'!E1113*$H$4</f>
        <v>1.26315789473684</v>
      </c>
      <c r="G3864" s="19" t="n">
        <f aca="false">'SALES Raw'!F1113*$H$4</f>
        <v>137.305263157895</v>
      </c>
      <c r="H3864" s="18" t="str">
        <f aca="false">'SALES Raw'!A1113</f>
        <v>102 - Orthopedic institutes</v>
      </c>
    </row>
    <row r="3865" customFormat="false" ht="15" hidden="false" customHeight="false" outlineLevel="0" collapsed="false">
      <c r="A3865" s="18" t="str">
        <f aca="false">'SALES Raw'!G1114</f>
        <v/>
      </c>
      <c r="B3865" s="18" t="str">
        <f aca="false">'SALES Raw'!B1114</f>
        <v>11EU S</v>
      </c>
      <c r="C3865" s="18" t="str">
        <f aca="false">'SALES Raw'!H1114</f>
        <v>11EU S</v>
      </c>
      <c r="D3865" s="19" t="n">
        <f aca="false">'SALES Raw'!C1114</f>
        <v>1</v>
      </c>
      <c r="E3865" s="19" t="n">
        <f aca="false">'SALES Raw'!D1114</f>
        <v>69</v>
      </c>
      <c r="F3865" s="19" t="n">
        <f aca="false">'SALES Raw'!E1114*$H$4</f>
        <v>1.26315789473684</v>
      </c>
      <c r="G3865" s="19" t="n">
        <f aca="false">'SALES Raw'!F1114*$H$4</f>
        <v>107.368421052632</v>
      </c>
      <c r="H3865" s="18" t="str">
        <f aca="false">'SALES Raw'!A1114</f>
        <v>102 - Orthopedic institutes</v>
      </c>
    </row>
    <row r="3866" customFormat="false" ht="15" hidden="false" customHeight="false" outlineLevel="0" collapsed="false">
      <c r="A3866" s="18" t="str">
        <f aca="false">'SALES Raw'!G1115</f>
        <v/>
      </c>
      <c r="B3866" s="18" t="str">
        <f aca="false">'SALES Raw'!B1115</f>
        <v>305-41-42</v>
      </c>
      <c r="C3866" s="18" t="str">
        <f aca="false">'SALES Raw'!H1115</f>
        <v>305-41-42</v>
      </c>
      <c r="D3866" s="19" t="n">
        <f aca="false">'SALES Raw'!C1115</f>
        <v>0</v>
      </c>
      <c r="E3866" s="19" t="n">
        <f aca="false">'SALES Raw'!D1115</f>
        <v>0</v>
      </c>
      <c r="F3866" s="19" t="n">
        <f aca="false">'SALES Raw'!E1115*$H$4</f>
        <v>1.26315789473684</v>
      </c>
      <c r="G3866" s="19" t="n">
        <f aca="false">'SALES Raw'!F1115*$H$4</f>
        <v>118.357894736842</v>
      </c>
      <c r="H3866" s="18" t="str">
        <f aca="false">'SALES Raw'!A1115</f>
        <v>102 - Orthopedic institutes</v>
      </c>
    </row>
    <row r="3867" customFormat="false" ht="15" hidden="false" customHeight="false" outlineLevel="0" collapsed="false">
      <c r="A3867" s="18" t="n">
        <f aca="false">'SALES Raw'!G1120</f>
        <v>4408248</v>
      </c>
      <c r="B3867" s="18" t="str">
        <f aca="false">'SALES Raw'!B1120</f>
        <v>SC25 M</v>
      </c>
      <c r="C3867" s="18" t="str">
        <f aca="false">'SALES Raw'!H1120</f>
        <v>SC25  M חבק יד</v>
      </c>
      <c r="D3867" s="19" t="n">
        <f aca="false">'SALES Raw'!C1120</f>
        <v>8</v>
      </c>
      <c r="E3867" s="19" t="n">
        <f aca="false">'SALES Raw'!D1120</f>
        <v>634.73</v>
      </c>
      <c r="F3867" s="19" t="n">
        <f aca="false">'SALES Raw'!E1120*$H$4</f>
        <v>1.26315789473684</v>
      </c>
      <c r="G3867" s="19" t="n">
        <f aca="false">'SALES Raw'!F1120*$H$4</f>
        <v>118.32</v>
      </c>
      <c r="H3867" s="18" t="str">
        <f aca="false">'SALES Raw'!A1120</f>
        <v>102 - Orthopedic institutes</v>
      </c>
    </row>
    <row r="3868" customFormat="false" ht="15" hidden="false" customHeight="false" outlineLevel="0" collapsed="false">
      <c r="A3868" s="18" t="n">
        <f aca="false">'SALES Raw'!G1121</f>
        <v>4408250</v>
      </c>
      <c r="B3868" s="18" t="str">
        <f aca="false">'SALES Raw'!B1121</f>
        <v>SC25 XL</v>
      </c>
      <c r="C3868" s="18" t="str">
        <f aca="false">'SALES Raw'!H1121</f>
        <v>SC25 XL חבק יד</v>
      </c>
      <c r="D3868" s="19" t="n">
        <f aca="false">'SALES Raw'!C1121</f>
        <v>2</v>
      </c>
      <c r="E3868" s="19" t="n">
        <f aca="false">'SALES Raw'!D1121</f>
        <v>170.97</v>
      </c>
      <c r="F3868" s="19" t="n">
        <f aca="false">'SALES Raw'!E1121*$H$4</f>
        <v>1.26315789473684</v>
      </c>
      <c r="G3868" s="19" t="n">
        <f aca="false">'SALES Raw'!F1121*$H$4</f>
        <v>118.32</v>
      </c>
      <c r="H3868" s="18" t="str">
        <f aca="false">'SALES Raw'!A1121</f>
        <v>102 - Orthopedic institutes</v>
      </c>
    </row>
    <row r="3869" customFormat="false" ht="15" hidden="false" customHeight="false" outlineLevel="0" collapsed="false">
      <c r="A3869" s="18" t="n">
        <f aca="false">'SALES Raw'!G1122</f>
        <v>4413422</v>
      </c>
      <c r="B3869" s="18" t="str">
        <f aca="false">'SALES Raw'!B1122</f>
        <v>SC35L L</v>
      </c>
      <c r="C3869" s="18" t="str">
        <f aca="false">'SALES Raw'!H1122</f>
        <v>SC35L  L מגן קרסול שמאל</v>
      </c>
      <c r="D3869" s="19" t="n">
        <f aca="false">'SALES Raw'!C1122</f>
        <v>4</v>
      </c>
      <c r="E3869" s="19" t="n">
        <f aca="false">'SALES Raw'!D1122</f>
        <v>358.32</v>
      </c>
      <c r="F3869" s="19" t="n">
        <f aca="false">'SALES Raw'!E1122*$H$4</f>
        <v>1.26315789473684</v>
      </c>
      <c r="G3869" s="19" t="n">
        <f aca="false">'SALES Raw'!F1122*$H$4</f>
        <v>118.32</v>
      </c>
      <c r="H3869" s="18" t="str">
        <f aca="false">'SALES Raw'!A1122</f>
        <v>102 - Orthopedic institutes</v>
      </c>
    </row>
    <row r="3870" customFormat="false" ht="15" hidden="false" customHeight="false" outlineLevel="0" collapsed="false">
      <c r="A3870" s="18" t="str">
        <f aca="false">'SALES Raw'!G1131</f>
        <v/>
      </c>
      <c r="B3870" s="18" t="str">
        <f aca="false">'SALES Raw'!B1131</f>
        <v>T33 M</v>
      </c>
      <c r="C3870" s="18" t="str">
        <f aca="false">'SALES Raw'!H1131</f>
        <v>T33 M</v>
      </c>
      <c r="D3870" s="19" t="n">
        <f aca="false">'SALES Raw'!C1131</f>
        <v>4</v>
      </c>
      <c r="E3870" s="19" t="n">
        <f aca="false">'SALES Raw'!D1131</f>
        <v>450</v>
      </c>
      <c r="F3870" s="19" t="n">
        <f aca="false">'SALES Raw'!E1131*$H$4</f>
        <v>1.26315789473684</v>
      </c>
      <c r="G3870" s="19" t="n">
        <f aca="false">'SALES Raw'!F1131*$H$4</f>
        <v>145.263157894737</v>
      </c>
      <c r="H3870" s="18" t="str">
        <f aca="false">'SALES Raw'!A1131</f>
        <v>102 - Orthopedic institutes</v>
      </c>
    </row>
    <row r="3871" customFormat="false" ht="15" hidden="false" customHeight="false" outlineLevel="0" collapsed="false">
      <c r="A3871" s="18" t="str">
        <f aca="false">'SALES Raw'!G1132</f>
        <v/>
      </c>
      <c r="B3871" s="18" t="str">
        <f aca="false">'SALES Raw'!B1132</f>
        <v>T33 S</v>
      </c>
      <c r="C3871" s="18" t="str">
        <f aca="false">'SALES Raw'!H1132</f>
        <v>T33 S</v>
      </c>
      <c r="D3871" s="19" t="n">
        <f aca="false">'SALES Raw'!C1132</f>
        <v>1</v>
      </c>
      <c r="E3871" s="19" t="n">
        <f aca="false">'SALES Raw'!D1132</f>
        <v>110</v>
      </c>
      <c r="F3871" s="19" t="n">
        <f aca="false">'SALES Raw'!E1132*$H$4</f>
        <v>1.26315789473684</v>
      </c>
      <c r="G3871" s="19" t="n">
        <f aca="false">'SALES Raw'!F1132*$H$4</f>
        <v>145.263157894737</v>
      </c>
      <c r="H3871" s="18" t="str">
        <f aca="false">'SALES Raw'!A1132</f>
        <v>102 - Orthopedic institutes</v>
      </c>
    </row>
    <row r="3872" customFormat="false" ht="15" hidden="false" customHeight="false" outlineLevel="0" collapsed="false">
      <c r="A3872" s="18" t="n">
        <f aca="false">'SALES Raw'!G1151</f>
        <v>4413071</v>
      </c>
      <c r="B3872" s="18" t="str">
        <f aca="false">'SALES Raw'!B1151</f>
        <v>41 S</v>
      </c>
      <c r="C3872" s="18" t="str">
        <f aca="false">'SALES Raw'!H1151</f>
        <v>41 Sמ.ברך מוצלב+ספירלות בצדדים</v>
      </c>
      <c r="D3872" s="19" t="n">
        <f aca="false">'SALES Raw'!C1151</f>
        <v>0</v>
      </c>
      <c r="E3872" s="19" t="n">
        <f aca="false">'SALES Raw'!D1151</f>
        <v>0</v>
      </c>
      <c r="F3872" s="19" t="n">
        <f aca="false">'SALES Raw'!E1151*$H$4</f>
        <v>1.26315789473684</v>
      </c>
      <c r="G3872" s="19" t="n">
        <f aca="false">'SALES Raw'!F1151*$H$4</f>
        <v>159.802105263158</v>
      </c>
      <c r="H3872" s="18" t="str">
        <f aca="false">'SALES Raw'!A1151</f>
        <v>102 - Orthopedic institutes</v>
      </c>
    </row>
    <row r="3873" customFormat="false" ht="15" hidden="false" customHeight="false" outlineLevel="0" collapsed="false">
      <c r="A3873" s="18" t="str">
        <f aca="false">'SALES Raw'!G1155</f>
        <v/>
      </c>
      <c r="B3873" s="18" t="str">
        <f aca="false">'SALES Raw'!B1155</f>
        <v>422ED XXL</v>
      </c>
      <c r="C3873" s="18" t="str">
        <f aca="false">'SALES Raw'!H1155</f>
        <v>422ED XXL</v>
      </c>
      <c r="D3873" s="19" t="n">
        <f aca="false">'SALES Raw'!C1155</f>
        <v>0</v>
      </c>
      <c r="E3873" s="19" t="n">
        <f aca="false">'SALES Raw'!D1155</f>
        <v>0</v>
      </c>
      <c r="F3873" s="19" t="n">
        <f aca="false">'SALES Raw'!E1155*$H$4</f>
        <v>1.26315789473684</v>
      </c>
      <c r="G3873" s="19" t="n">
        <f aca="false">'SALES Raw'!F1155*$H$4</f>
        <v>417.953684210526</v>
      </c>
      <c r="H3873" s="18" t="str">
        <f aca="false">'SALES Raw'!A1155</f>
        <v>102 - Orthopedic institutes</v>
      </c>
    </row>
    <row r="3874" customFormat="false" ht="15" hidden="false" customHeight="false" outlineLevel="0" collapsed="false">
      <c r="A3874" s="18" t="str">
        <f aca="false">'SALES Raw'!G1158</f>
        <v/>
      </c>
      <c r="B3874" s="18" t="str">
        <f aca="false">'SALES Raw'!B1158</f>
        <v>T28A XXL</v>
      </c>
      <c r="C3874" s="18" t="str">
        <f aca="false">'SALES Raw'!H1158</f>
        <v>T28A XXL</v>
      </c>
      <c r="D3874" s="19" t="n">
        <f aca="false">'SALES Raw'!C1158</f>
        <v>0</v>
      </c>
      <c r="E3874" s="19" t="n">
        <f aca="false">'SALES Raw'!D1158</f>
        <v>0</v>
      </c>
      <c r="F3874" s="19" t="n">
        <f aca="false">'SALES Raw'!E1158*$H$4</f>
        <v>1.26315789473684</v>
      </c>
      <c r="G3874" s="19" t="n">
        <f aca="false">'SALES Raw'!F1158*$H$4</f>
        <v>88.7494736842105</v>
      </c>
      <c r="H3874" s="18" t="str">
        <f aca="false">'SALES Raw'!A1158</f>
        <v>102 - Orthopedic institutes</v>
      </c>
    </row>
    <row r="3875" customFormat="false" ht="15" hidden="false" customHeight="false" outlineLevel="0" collapsed="false">
      <c r="A3875" s="18" t="str">
        <f aca="false">'SALES Raw'!G1159</f>
        <v/>
      </c>
      <c r="B3875" s="18" t="str">
        <f aca="false">'SALES Raw'!B1159</f>
        <v>11NOR M</v>
      </c>
      <c r="C3875" s="18" t="str">
        <f aca="false">'SALES Raw'!H1159</f>
        <v>11NOR M</v>
      </c>
      <c r="D3875" s="19" t="n">
        <f aca="false">'SALES Raw'!C1159</f>
        <v>0</v>
      </c>
      <c r="E3875" s="19" t="n">
        <f aca="false">'SALES Raw'!D1159</f>
        <v>0</v>
      </c>
      <c r="F3875" s="19" t="n">
        <f aca="false">'SALES Raw'!E1159*$H$4</f>
        <v>1.26315789473684</v>
      </c>
      <c r="G3875" s="19" t="n">
        <f aca="false">'SALES Raw'!F1159*$H$4</f>
        <v>208.421052631579</v>
      </c>
      <c r="H3875" s="18" t="str">
        <f aca="false">'SALES Raw'!A1159</f>
        <v>102 - Orthopedic institutes</v>
      </c>
    </row>
    <row r="3876" customFormat="false" ht="15" hidden="false" customHeight="false" outlineLevel="0" collapsed="false">
      <c r="A3876" s="18" t="n">
        <f aca="false">'SALES Raw'!G1172</f>
        <v>4420025</v>
      </c>
      <c r="B3876" s="18" t="str">
        <f aca="false">'SALES Raw'!B1172</f>
        <v>LF374 0</v>
      </c>
      <c r="C3876" s="18" t="str">
        <f aca="false">'SALES Raw'!H1172</f>
        <v>LF374 ריפוד סיליק.לעקב תחתון</v>
      </c>
      <c r="D3876" s="19" t="n">
        <f aca="false">'SALES Raw'!C1172</f>
        <v>0</v>
      </c>
      <c r="E3876" s="19" t="n">
        <f aca="false">'SALES Raw'!D1172</f>
        <v>0</v>
      </c>
      <c r="F3876" s="19" t="n">
        <f aca="false">'SALES Raw'!E1172*$H$4</f>
        <v>1.26315789473684</v>
      </c>
      <c r="G3876" s="19" t="n">
        <f aca="false">'SALES Raw'!F1172*$H$4</f>
        <v>30.1389473684211</v>
      </c>
      <c r="H3876" s="18" t="str">
        <f aca="false">'SALES Raw'!A1172</f>
        <v>102 - Orthopedic institutes</v>
      </c>
    </row>
    <row r="3877" customFormat="false" ht="15" hidden="false" customHeight="false" outlineLevel="0" collapsed="false">
      <c r="A3877" s="18" t="n">
        <f aca="false">'SALES Raw'!G1188</f>
        <v>4408015</v>
      </c>
      <c r="B3877" s="18" t="str">
        <f aca="false">'SALES Raw'!B1188</f>
        <v>07AU L</v>
      </c>
      <c r="C3877" s="18" t="str">
        <f aca="false">'SALES Raw'!H1188</f>
        <v>07AU L ח.גב """"איטלקית"""" אורירית</v>
      </c>
      <c r="D3877" s="19" t="n">
        <f aca="false">'SALES Raw'!C1188</f>
        <v>1</v>
      </c>
      <c r="E3877" s="19" t="n">
        <f aca="false">'SALES Raw'!D1188</f>
        <v>180</v>
      </c>
      <c r="F3877" s="19" t="n">
        <f aca="false">'SALES Raw'!E1188*$H$4</f>
        <v>1.26315789473684</v>
      </c>
      <c r="G3877" s="19" t="n">
        <f aca="false">'SALES Raw'!F1188*$H$4</f>
        <v>277.894736842105</v>
      </c>
      <c r="H3877" s="18" t="str">
        <f aca="false">'SALES Raw'!A1188</f>
        <v>103 - Physiotherapy institutes</v>
      </c>
    </row>
    <row r="3878" customFormat="false" ht="15" hidden="false" customHeight="false" outlineLevel="0" collapsed="false">
      <c r="A3878" s="18" t="n">
        <f aca="false">'SALES Raw'!G1189</f>
        <v>4408017</v>
      </c>
      <c r="B3878" s="18" t="str">
        <f aca="false">'SALES Raw'!B1189</f>
        <v>07AU XL</v>
      </c>
      <c r="C3878" s="18" t="str">
        <f aca="false">'SALES Raw'!H1189</f>
        <v>07AU XL ח.גב """"איטלקית"""" אורירית</v>
      </c>
      <c r="D3878" s="19" t="n">
        <f aca="false">'SALES Raw'!C1189</f>
        <v>1</v>
      </c>
      <c r="E3878" s="19" t="n">
        <f aca="false">'SALES Raw'!D1189</f>
        <v>180</v>
      </c>
      <c r="F3878" s="19" t="n">
        <f aca="false">'SALES Raw'!E1189*$H$4</f>
        <v>1.26315789473684</v>
      </c>
      <c r="G3878" s="19" t="n">
        <f aca="false">'SALES Raw'!F1189*$H$4</f>
        <v>277.894736842105</v>
      </c>
      <c r="H3878" s="18" t="str">
        <f aca="false">'SALES Raw'!A1189</f>
        <v>103 - Physiotherapy institutes</v>
      </c>
    </row>
    <row r="3879" customFormat="false" ht="15" hidden="false" customHeight="false" outlineLevel="0" collapsed="false">
      <c r="A3879" s="18" t="str">
        <f aca="false">'SALES Raw'!G1215</f>
        <v/>
      </c>
      <c r="B3879" s="18" t="str">
        <f aca="false">'SALES Raw'!B1215</f>
        <v>32 L</v>
      </c>
      <c r="C3879" s="18" t="str">
        <f aca="false">'SALES Raw'!H1215</f>
        <v>32 L</v>
      </c>
      <c r="D3879" s="19" t="n">
        <f aca="false">'SALES Raw'!C1215</f>
        <v>0</v>
      </c>
      <c r="E3879" s="19" t="n">
        <f aca="false">'SALES Raw'!D1215</f>
        <v>0</v>
      </c>
      <c r="F3879" s="19" t="n">
        <f aca="false">'SALES Raw'!E1215*$H$4</f>
        <v>1.26315789473684</v>
      </c>
      <c r="G3879" s="19" t="n">
        <f aca="false">'SALES Raw'!F1215*$H$4</f>
        <v>170.526315789474</v>
      </c>
      <c r="H3879" s="18" t="str">
        <f aca="false">'SALES Raw'!A1215</f>
        <v>103 - Physiotherapy institutes</v>
      </c>
    </row>
    <row r="3880" customFormat="false" ht="15" hidden="false" customHeight="false" outlineLevel="0" collapsed="false">
      <c r="A3880" s="18" t="str">
        <f aca="false">'SALES Raw'!G1216</f>
        <v/>
      </c>
      <c r="B3880" s="18" t="str">
        <f aca="false">'SALES Raw'!B1216</f>
        <v>32 S</v>
      </c>
      <c r="C3880" s="18" t="str">
        <f aca="false">'SALES Raw'!H1216</f>
        <v>32 S</v>
      </c>
      <c r="D3880" s="19" t="n">
        <f aca="false">'SALES Raw'!C1216</f>
        <v>0</v>
      </c>
      <c r="E3880" s="19" t="n">
        <f aca="false">'SALES Raw'!D1216</f>
        <v>0</v>
      </c>
      <c r="F3880" s="19" t="n">
        <f aca="false">'SALES Raw'!E1216*$H$4</f>
        <v>1.26315789473684</v>
      </c>
      <c r="G3880" s="19" t="n">
        <f aca="false">'SALES Raw'!F1216*$H$4</f>
        <v>170.513684210526</v>
      </c>
      <c r="H3880" s="18" t="str">
        <f aca="false">'SALES Raw'!A1216</f>
        <v>103 - Physiotherapy institutes</v>
      </c>
    </row>
    <row r="3881" customFormat="false" ht="15" hidden="false" customHeight="false" outlineLevel="0" collapsed="false">
      <c r="A3881" s="18" t="n">
        <f aca="false">'SALES Raw'!G1234</f>
        <v>4408274</v>
      </c>
      <c r="B3881" s="18" t="str">
        <f aca="false">'SALES Raw'!B1234</f>
        <v>70N L</v>
      </c>
      <c r="C3881" s="18" t="str">
        <f aca="false">'SALES Raw'!H1234</f>
        <v>70N L חגורת פאבליק</v>
      </c>
      <c r="D3881" s="19" t="n">
        <f aca="false">'SALES Raw'!C1234</f>
        <v>0</v>
      </c>
      <c r="E3881" s="19" t="n">
        <f aca="false">'SALES Raw'!D1234</f>
        <v>0</v>
      </c>
      <c r="F3881" s="19" t="n">
        <f aca="false">'SALES Raw'!E1234*$H$4</f>
        <v>1.26315789473684</v>
      </c>
      <c r="G3881" s="19" t="n">
        <f aca="false">'SALES Raw'!F1234*$H$4</f>
        <v>328.421052631579</v>
      </c>
      <c r="H3881" s="18" t="str">
        <f aca="false">'SALES Raw'!A1234</f>
        <v>103 - Physiotherapy institutes</v>
      </c>
    </row>
    <row r="3882" customFormat="false" ht="15" hidden="false" customHeight="false" outlineLevel="0" collapsed="false">
      <c r="A3882" s="18" t="n">
        <f aca="false">'SALES Raw'!G1235</f>
        <v>4408273</v>
      </c>
      <c r="B3882" s="18" t="str">
        <f aca="false">'SALES Raw'!B1235</f>
        <v>70N M</v>
      </c>
      <c r="C3882" s="18" t="str">
        <f aca="false">'SALES Raw'!H1235</f>
        <v>70N M חגורת פאבליק</v>
      </c>
      <c r="D3882" s="19" t="n">
        <f aca="false">'SALES Raw'!C1235</f>
        <v>0</v>
      </c>
      <c r="E3882" s="19" t="n">
        <f aca="false">'SALES Raw'!D1235</f>
        <v>0</v>
      </c>
      <c r="F3882" s="19" t="n">
        <f aca="false">'SALES Raw'!E1235*$H$4</f>
        <v>1.26315789473684</v>
      </c>
      <c r="G3882" s="19" t="n">
        <f aca="false">'SALES Raw'!F1235*$H$4</f>
        <v>328.421052631579</v>
      </c>
      <c r="H3882" s="18" t="str">
        <f aca="false">'SALES Raw'!A1235</f>
        <v>103 - Physiotherapy institutes</v>
      </c>
    </row>
    <row r="3883" customFormat="false" ht="15" hidden="false" customHeight="false" outlineLevel="0" collapsed="false">
      <c r="A3883" s="18" t="n">
        <f aca="false">'SALES Raw'!G1236</f>
        <v>4413165</v>
      </c>
      <c r="B3883" s="18" t="str">
        <f aca="false">'SALES Raw'!B1236</f>
        <v>74-L-XL</v>
      </c>
      <c r="C3883" s="18" t="str">
        <f aca="false">'SALES Raw'!H1236</f>
        <v>74 L-XL מיצב כתפיים</v>
      </c>
      <c r="D3883" s="19" t="n">
        <f aca="false">'SALES Raw'!C1236</f>
        <v>0</v>
      </c>
      <c r="E3883" s="19" t="n">
        <f aca="false">'SALES Raw'!D1236</f>
        <v>0</v>
      </c>
      <c r="F3883" s="19" t="n">
        <f aca="false">'SALES Raw'!E1236*$H$4</f>
        <v>1.26315789473684</v>
      </c>
      <c r="G3883" s="19" t="n">
        <f aca="false">'SALES Raw'!F1236*$H$4</f>
        <v>164.210526315789</v>
      </c>
      <c r="H3883" s="18" t="str">
        <f aca="false">'SALES Raw'!A1236</f>
        <v>103 - Physiotherapy institutes</v>
      </c>
    </row>
    <row r="3884" customFormat="false" ht="15" hidden="false" customHeight="false" outlineLevel="0" collapsed="false">
      <c r="A3884" s="18" t="str">
        <f aca="false">'SALES Raw'!G1237</f>
        <v/>
      </c>
      <c r="B3884" s="18" t="str">
        <f aca="false">'SALES Raw'!B1237</f>
        <v>74-S-M</v>
      </c>
      <c r="C3884" s="18" t="str">
        <f aca="false">'SALES Raw'!H1237</f>
        <v>74-S-M</v>
      </c>
      <c r="D3884" s="19" t="n">
        <f aca="false">'SALES Raw'!C1237</f>
        <v>0</v>
      </c>
      <c r="E3884" s="19" t="n">
        <f aca="false">'SALES Raw'!D1237</f>
        <v>0</v>
      </c>
      <c r="F3884" s="19" t="n">
        <f aca="false">'SALES Raw'!E1237*$H$4</f>
        <v>1.26315789473684</v>
      </c>
      <c r="G3884" s="19" t="n">
        <f aca="false">'SALES Raw'!F1237*$H$4</f>
        <v>164.210526315789</v>
      </c>
      <c r="H3884" s="18" t="str">
        <f aca="false">'SALES Raw'!A1237</f>
        <v>103 - Physiotherapy institutes</v>
      </c>
    </row>
    <row r="3885" customFormat="false" ht="15" hidden="false" customHeight="false" outlineLevel="0" collapsed="false">
      <c r="A3885" s="18" t="n">
        <f aca="false">'SALES Raw'!G1244</f>
        <v>4409014</v>
      </c>
      <c r="B3885" s="18" t="str">
        <f aca="false">'SALES Raw'!B1244</f>
        <v>808KT-P</v>
      </c>
      <c r="C3885" s="18" t="str">
        <f aca="false">'SALES Raw'!H1244</f>
        <v>808KT-P        טייפ קינזיולוגי</v>
      </c>
      <c r="D3885" s="19" t="n">
        <f aca="false">'SALES Raw'!C1244</f>
        <v>14</v>
      </c>
      <c r="E3885" s="19" t="n">
        <f aca="false">'SALES Raw'!D1244</f>
        <v>387.29</v>
      </c>
      <c r="F3885" s="19" t="n">
        <f aca="false">'SALES Raw'!E1244*$H$4</f>
        <v>1.26315789473684</v>
      </c>
      <c r="G3885" s="19" t="n">
        <f aca="false">'SALES Raw'!F1244*$H$4</f>
        <v>31.5789473684211</v>
      </c>
      <c r="H3885" s="18" t="str">
        <f aca="false">'SALES Raw'!A1244</f>
        <v>103 - Physiotherapy institutes</v>
      </c>
    </row>
    <row r="3886" customFormat="false" ht="15" hidden="false" customHeight="false" outlineLevel="0" collapsed="false">
      <c r="A3886" s="18" t="str">
        <f aca="false">'SALES Raw'!G1251</f>
        <v/>
      </c>
      <c r="B3886" s="18" t="str">
        <f aca="false">'SALES Raw'!B1251</f>
        <v>N433D L</v>
      </c>
      <c r="C3886" s="18" t="str">
        <f aca="false">'SALES Raw'!H1251</f>
        <v>N433D L</v>
      </c>
      <c r="D3886" s="19" t="n">
        <f aca="false">'SALES Raw'!C1251</f>
        <v>3</v>
      </c>
      <c r="E3886" s="19" t="n">
        <f aca="false">'SALES Raw'!D1251</f>
        <v>916.13</v>
      </c>
      <c r="F3886" s="19" t="n">
        <f aca="false">'SALES Raw'!E1251*$H$4</f>
        <v>1.26315789473684</v>
      </c>
      <c r="G3886" s="19" t="n">
        <f aca="false">'SALES Raw'!F1251*$H$4</f>
        <v>328.421052631579</v>
      </c>
      <c r="H3886" s="18" t="str">
        <f aca="false">'SALES Raw'!A1251</f>
        <v>103 - Physiotherapy institutes</v>
      </c>
    </row>
    <row r="3887" customFormat="false" ht="15" hidden="false" customHeight="false" outlineLevel="0" collapsed="false">
      <c r="A3887" s="18" t="str">
        <f aca="false">'SALES Raw'!G1252</f>
        <v/>
      </c>
      <c r="B3887" s="18" t="str">
        <f aca="false">'SALES Raw'!B1252</f>
        <v>N433D M</v>
      </c>
      <c r="C3887" s="18" t="str">
        <f aca="false">'SALES Raw'!H1252</f>
        <v>N433D M</v>
      </c>
      <c r="D3887" s="19" t="n">
        <f aca="false">'SALES Raw'!C1252</f>
        <v>1</v>
      </c>
      <c r="E3887" s="19" t="n">
        <f aca="false">'SALES Raw'!D1252</f>
        <v>328.06</v>
      </c>
      <c r="F3887" s="19" t="n">
        <f aca="false">'SALES Raw'!E1252*$H$4</f>
        <v>1.26315789473684</v>
      </c>
      <c r="G3887" s="19" t="n">
        <f aca="false">'SALES Raw'!F1252*$H$4</f>
        <v>328.421052631579</v>
      </c>
      <c r="H3887" s="18" t="str">
        <f aca="false">'SALES Raw'!A1252</f>
        <v>103 - Physiotherapy institutes</v>
      </c>
    </row>
    <row r="3888" customFormat="false" ht="15" hidden="false" customHeight="false" outlineLevel="0" collapsed="false">
      <c r="A3888" s="18" t="str">
        <f aca="false">'SALES Raw'!G1258</f>
        <v/>
      </c>
      <c r="B3888" s="18" t="str">
        <f aca="false">'SALES Raw'!B1258</f>
        <v>T33 L</v>
      </c>
      <c r="C3888" s="18" t="str">
        <f aca="false">'SALES Raw'!H1258</f>
        <v>T33 L</v>
      </c>
      <c r="D3888" s="19" t="n">
        <f aca="false">'SALES Raw'!C1258</f>
        <v>0</v>
      </c>
      <c r="E3888" s="19" t="n">
        <f aca="false">'SALES Raw'!D1258</f>
        <v>0</v>
      </c>
      <c r="F3888" s="19" t="n">
        <f aca="false">'SALES Raw'!E1258*$H$4</f>
        <v>1.26315789473684</v>
      </c>
      <c r="G3888" s="19" t="n">
        <f aca="false">'SALES Raw'!F1258*$H$4</f>
        <v>145.263157894737</v>
      </c>
      <c r="H3888" s="18" t="str">
        <f aca="false">'SALES Raw'!A1258</f>
        <v>103 - Physiotherapy institutes</v>
      </c>
    </row>
    <row r="3889" customFormat="false" ht="15" hidden="false" customHeight="false" outlineLevel="0" collapsed="false">
      <c r="A3889" s="18" t="str">
        <f aca="false">'SALES Raw'!G1259</f>
        <v/>
      </c>
      <c r="B3889" s="18" t="str">
        <f aca="false">'SALES Raw'!B1259</f>
        <v>T33 S</v>
      </c>
      <c r="C3889" s="18" t="str">
        <f aca="false">'SALES Raw'!H1259</f>
        <v>T33 S</v>
      </c>
      <c r="D3889" s="19" t="n">
        <f aca="false">'SALES Raw'!C1259</f>
        <v>0</v>
      </c>
      <c r="E3889" s="19" t="n">
        <f aca="false">'SALES Raw'!D1259</f>
        <v>0</v>
      </c>
      <c r="F3889" s="19" t="n">
        <f aca="false">'SALES Raw'!E1259*$H$4</f>
        <v>1.26315789473684</v>
      </c>
      <c r="G3889" s="19" t="n">
        <f aca="false">'SALES Raw'!F1259*$H$4</f>
        <v>145.263157894737</v>
      </c>
      <c r="H3889" s="18" t="str">
        <f aca="false">'SALES Raw'!A1259</f>
        <v>103 - Physiotherapy institutes</v>
      </c>
    </row>
    <row r="3890" customFormat="false" ht="15" hidden="false" customHeight="false" outlineLevel="0" collapsed="false">
      <c r="A3890" s="18" t="str">
        <f aca="false">'SALES Raw'!G1260</f>
        <v/>
      </c>
      <c r="B3890" s="18" t="str">
        <f aca="false">'SALES Raw'!B1260</f>
        <v>T33 XL</v>
      </c>
      <c r="C3890" s="18" t="str">
        <f aca="false">'SALES Raw'!H1260</f>
        <v>T33 XL</v>
      </c>
      <c r="D3890" s="19" t="n">
        <f aca="false">'SALES Raw'!C1260</f>
        <v>0</v>
      </c>
      <c r="E3890" s="19" t="n">
        <f aca="false">'SALES Raw'!D1260</f>
        <v>0</v>
      </c>
      <c r="F3890" s="19" t="n">
        <f aca="false">'SALES Raw'!E1260*$H$4</f>
        <v>1.26315789473684</v>
      </c>
      <c r="G3890" s="19" t="n">
        <f aca="false">'SALES Raw'!F1260*$H$4</f>
        <v>145.263157894737</v>
      </c>
      <c r="H3890" s="18" t="str">
        <f aca="false">'SALES Raw'!A1260</f>
        <v>103 - Physiotherapy institutes</v>
      </c>
    </row>
    <row r="3891" customFormat="false" ht="15" hidden="false" customHeight="false" outlineLevel="0" collapsed="false">
      <c r="A3891" s="18" t="n">
        <f aca="false">'SALES Raw'!G1307</f>
        <v>4413176</v>
      </c>
      <c r="B3891" s="18" t="str">
        <f aca="false">'SALES Raw'!B1307</f>
        <v>85+ L</v>
      </c>
      <c r="C3891" s="18" t="str">
        <f aca="false">'SALES Raw'!H1307</f>
        <v>85+ Lמתלה ליד)כיס(+רצועת חיזוק</v>
      </c>
      <c r="D3891" s="19" t="n">
        <f aca="false">'SALES Raw'!C1307</f>
        <v>2</v>
      </c>
      <c r="E3891" s="19" t="n">
        <f aca="false">'SALES Raw'!D1307</f>
        <v>120</v>
      </c>
      <c r="F3891" s="19" t="n">
        <f aca="false">'SALES Raw'!E1307*$H$4</f>
        <v>1.26315789473684</v>
      </c>
      <c r="G3891" s="19" t="n">
        <f aca="false">'SALES Raw'!F1307*$H$4</f>
        <v>88.421052631579</v>
      </c>
      <c r="H3891" s="18" t="str">
        <f aca="false">'SALES Raw'!A1307</f>
        <v>103 - Physiotherapy institutes</v>
      </c>
    </row>
    <row r="3892" customFormat="false" ht="15" hidden="false" customHeight="false" outlineLevel="0" collapsed="false">
      <c r="A3892" s="18" t="n">
        <f aca="false">'SALES Raw'!G1308</f>
        <v>4413175</v>
      </c>
      <c r="B3892" s="18" t="str">
        <f aca="false">'SALES Raw'!B1308</f>
        <v>85+ M</v>
      </c>
      <c r="C3892" s="18" t="str">
        <f aca="false">'SALES Raw'!H1308</f>
        <v>85+ Mמתלה ליד)כיס(+רצועת חיזוק</v>
      </c>
      <c r="D3892" s="19" t="n">
        <f aca="false">'SALES Raw'!C1308</f>
        <v>2</v>
      </c>
      <c r="E3892" s="19" t="n">
        <f aca="false">'SALES Raw'!D1308</f>
        <v>130</v>
      </c>
      <c r="F3892" s="19" t="n">
        <f aca="false">'SALES Raw'!E1308*$H$4</f>
        <v>1.26315789473684</v>
      </c>
      <c r="G3892" s="19" t="n">
        <f aca="false">'SALES Raw'!F1308*$H$4</f>
        <v>88.421052631579</v>
      </c>
      <c r="H3892" s="18" t="str">
        <f aca="false">'SALES Raw'!A1308</f>
        <v>103 - Physiotherapy institutes</v>
      </c>
    </row>
    <row r="3893" customFormat="false" ht="15" hidden="false" customHeight="false" outlineLevel="0" collapsed="false">
      <c r="A3893" s="18" t="n">
        <f aca="false">'SALES Raw'!G1310</f>
        <v>4413177</v>
      </c>
      <c r="B3893" s="18" t="str">
        <f aca="false">'SALES Raw'!B1310</f>
        <v>85+ XL</v>
      </c>
      <c r="C3893" s="18" t="str">
        <f aca="false">'SALES Raw'!H1310</f>
        <v>85+ XLמתלה ליד)כיס(רצועת חיזוק</v>
      </c>
      <c r="D3893" s="19" t="n">
        <f aca="false">'SALES Raw'!C1310</f>
        <v>3</v>
      </c>
      <c r="E3893" s="19" t="n">
        <f aca="false">'SALES Raw'!D1310</f>
        <v>190</v>
      </c>
      <c r="F3893" s="19" t="n">
        <f aca="false">'SALES Raw'!E1310*$H$4</f>
        <v>1.26315789473684</v>
      </c>
      <c r="G3893" s="19" t="n">
        <f aca="false">'SALES Raw'!F1310*$H$4</f>
        <v>88.421052631579</v>
      </c>
      <c r="H3893" s="18" t="str">
        <f aca="false">'SALES Raw'!A1310</f>
        <v>103 - Physiotherapy institutes</v>
      </c>
    </row>
    <row r="3894" customFormat="false" ht="15" hidden="false" customHeight="false" outlineLevel="0" collapsed="false">
      <c r="A3894" s="18" t="str">
        <f aca="false">'SALES Raw'!G1322</f>
        <v/>
      </c>
      <c r="B3894" s="18" t="str">
        <f aca="false">'SALES Raw'!B1322</f>
        <v>079 S</v>
      </c>
      <c r="C3894" s="18" t="str">
        <f aca="false">'SALES Raw'!H1322</f>
        <v>079 S</v>
      </c>
      <c r="D3894" s="19" t="n">
        <f aca="false">'SALES Raw'!C1322</f>
        <v>0</v>
      </c>
      <c r="E3894" s="19" t="n">
        <f aca="false">'SALES Raw'!D1322</f>
        <v>0</v>
      </c>
      <c r="F3894" s="19" t="n">
        <f aca="false">'SALES Raw'!E1322*$H$4</f>
        <v>1.26315789473684</v>
      </c>
      <c r="G3894" s="19" t="n">
        <f aca="false">'SALES Raw'!F1322*$H$4</f>
        <v>113.671578947368</v>
      </c>
      <c r="H3894" s="18" t="str">
        <f aca="false">'SALES Raw'!A1322</f>
        <v>103 - Physiotherapy institutes</v>
      </c>
    </row>
    <row r="3895" customFormat="false" ht="15" hidden="false" customHeight="false" outlineLevel="0" collapsed="false">
      <c r="A3895" s="18" t="n">
        <f aca="false">'SALES Raw'!G1325</f>
        <v>4408034</v>
      </c>
      <c r="B3895" s="18" t="str">
        <f aca="false">'SALES Raw'!B1325</f>
        <v>11 XL</v>
      </c>
      <c r="C3895" s="18" t="str">
        <f aca="false">'SALES Raw'!H1325</f>
        <v>11 XL""""חגורת בטן""""אורירית</v>
      </c>
      <c r="D3895" s="19" t="n">
        <f aca="false">'SALES Raw'!C1325</f>
        <v>0</v>
      </c>
      <c r="E3895" s="19" t="n">
        <f aca="false">'SALES Raw'!D1325</f>
        <v>0</v>
      </c>
      <c r="F3895" s="19" t="n">
        <f aca="false">'SALES Raw'!E1325*$H$4</f>
        <v>1.26315789473684</v>
      </c>
      <c r="G3895" s="19" t="n">
        <f aca="false">'SALES Raw'!F1325*$H$4</f>
        <v>93.0442105263158</v>
      </c>
      <c r="H3895" s="18" t="str">
        <f aca="false">'SALES Raw'!A1325</f>
        <v>103 - Physiotherapy institutes</v>
      </c>
    </row>
    <row r="3896" customFormat="false" ht="15" hidden="false" customHeight="false" outlineLevel="0" collapsed="false">
      <c r="A3896" s="18" t="n">
        <f aca="false">'SALES Raw'!G1326</f>
        <v>4408035</v>
      </c>
      <c r="B3896" s="18" t="str">
        <f aca="false">'SALES Raw'!B1326</f>
        <v>11 XXL</v>
      </c>
      <c r="C3896" s="18" t="str">
        <f aca="false">'SALES Raw'!H1326</f>
        <v>11 XXL""""חגורת בטן""""אורירית</v>
      </c>
      <c r="D3896" s="19" t="n">
        <f aca="false">'SALES Raw'!C1326</f>
        <v>0</v>
      </c>
      <c r="E3896" s="19" t="n">
        <f aca="false">'SALES Raw'!D1326</f>
        <v>0</v>
      </c>
      <c r="F3896" s="19" t="n">
        <f aca="false">'SALES Raw'!E1326*$H$4</f>
        <v>1.26315789473684</v>
      </c>
      <c r="G3896" s="19" t="n">
        <f aca="false">'SALES Raw'!F1326*$H$4</f>
        <v>93.0442105263158</v>
      </c>
      <c r="H3896" s="18" t="str">
        <f aca="false">'SALES Raw'!A1326</f>
        <v>103 - Physiotherapy institutes</v>
      </c>
    </row>
    <row r="3897" customFormat="false" ht="15" hidden="false" customHeight="false" outlineLevel="0" collapsed="false">
      <c r="A3897" s="18" t="str">
        <f aca="false">'SALES Raw'!G1327</f>
        <v/>
      </c>
      <c r="B3897" s="18" t="str">
        <f aca="false">'SALES Raw'!B1327</f>
        <v>11UG XL</v>
      </c>
      <c r="C3897" s="18" t="str">
        <f aca="false">'SALES Raw'!H1327</f>
        <v>11UG XL</v>
      </c>
      <c r="D3897" s="19" t="n">
        <f aca="false">'SALES Raw'!C1327</f>
        <v>0</v>
      </c>
      <c r="E3897" s="19" t="n">
        <f aca="false">'SALES Raw'!D1327</f>
        <v>0</v>
      </c>
      <c r="F3897" s="19" t="n">
        <f aca="false">'SALES Raw'!E1327*$H$4</f>
        <v>1.26315789473684</v>
      </c>
      <c r="G3897" s="19" t="n">
        <f aca="false">'SALES Raw'!F1327*$H$4</f>
        <v>112.837894736842</v>
      </c>
      <c r="H3897" s="18" t="str">
        <f aca="false">'SALES Raw'!A1327</f>
        <v>103 - Physiotherapy institutes</v>
      </c>
    </row>
    <row r="3898" customFormat="false" ht="15" hidden="false" customHeight="false" outlineLevel="0" collapsed="false">
      <c r="A3898" s="18" t="str">
        <f aca="false">'SALES Raw'!G1328</f>
        <v/>
      </c>
      <c r="B3898" s="18" t="str">
        <f aca="false">'SALES Raw'!B1328</f>
        <v>13 L</v>
      </c>
      <c r="C3898" s="18" t="str">
        <f aca="false">'SALES Raw'!H1328</f>
        <v>13 L</v>
      </c>
      <c r="D3898" s="19" t="n">
        <f aca="false">'SALES Raw'!C1328</f>
        <v>0</v>
      </c>
      <c r="E3898" s="19" t="n">
        <f aca="false">'SALES Raw'!D1328</f>
        <v>0</v>
      </c>
      <c r="F3898" s="19" t="n">
        <f aca="false">'SALES Raw'!E1328*$H$4</f>
        <v>1.26315789473684</v>
      </c>
      <c r="G3898" s="19" t="n">
        <f aca="false">'SALES Raw'!F1328*$H$4</f>
        <v>125.886315789474</v>
      </c>
      <c r="H3898" s="18" t="str">
        <f aca="false">'SALES Raw'!A1328</f>
        <v>103 - Physiotherapy institutes</v>
      </c>
    </row>
    <row r="3899" customFormat="false" ht="15" hidden="false" customHeight="false" outlineLevel="0" collapsed="false">
      <c r="A3899" s="18" t="str">
        <f aca="false">'SALES Raw'!G1329</f>
        <v/>
      </c>
      <c r="B3899" s="18" t="str">
        <f aca="false">'SALES Raw'!B1329</f>
        <v>13 M</v>
      </c>
      <c r="C3899" s="18" t="str">
        <f aca="false">'SALES Raw'!H1329</f>
        <v>13 M</v>
      </c>
      <c r="D3899" s="19" t="n">
        <f aca="false">'SALES Raw'!C1329</f>
        <v>0</v>
      </c>
      <c r="E3899" s="19" t="n">
        <f aca="false">'SALES Raw'!D1329</f>
        <v>0</v>
      </c>
      <c r="F3899" s="19" t="n">
        <f aca="false">'SALES Raw'!E1329*$H$4</f>
        <v>1.26315789473684</v>
      </c>
      <c r="G3899" s="19" t="n">
        <f aca="false">'SALES Raw'!F1329*$H$4</f>
        <v>125.898947368421</v>
      </c>
      <c r="H3899" s="18" t="str">
        <f aca="false">'SALES Raw'!A1329</f>
        <v>103 - Physiotherapy institutes</v>
      </c>
    </row>
    <row r="3900" customFormat="false" ht="15" hidden="false" customHeight="false" outlineLevel="0" collapsed="false">
      <c r="A3900" s="18" t="n">
        <f aca="false">'SALES Raw'!G1345</f>
        <v>4411026</v>
      </c>
      <c r="B3900" s="18" t="str">
        <f aca="false">'SALES Raw'!B1345</f>
        <v>213CTSL L</v>
      </c>
      <c r="C3900" s="18" t="str">
        <f aca="false">'SALES Raw'!H1345</f>
        <v>213CTSL L שמאל CTS כפפות</v>
      </c>
      <c r="D3900" s="19" t="n">
        <f aca="false">'SALES Raw'!C1345</f>
        <v>3</v>
      </c>
      <c r="E3900" s="19" t="n">
        <f aca="false">'SALES Raw'!D1345</f>
        <v>270</v>
      </c>
      <c r="F3900" s="19" t="n">
        <f aca="false">'SALES Raw'!E1345*$H$4</f>
        <v>1.26315789473684</v>
      </c>
      <c r="G3900" s="19" t="n">
        <f aca="false">'SALES Raw'!F1345*$H$4</f>
        <v>147.953684210526</v>
      </c>
      <c r="H3900" s="18" t="str">
        <f aca="false">'SALES Raw'!A1345</f>
        <v>103 - Physiotherapy institutes</v>
      </c>
    </row>
    <row r="3901" customFormat="false" ht="15" hidden="false" customHeight="false" outlineLevel="0" collapsed="false">
      <c r="A3901" s="18" t="n">
        <f aca="false">'SALES Raw'!G1347</f>
        <v>4411028</v>
      </c>
      <c r="B3901" s="18" t="str">
        <f aca="false">'SALES Raw'!B1347</f>
        <v>213CTSL S</v>
      </c>
      <c r="C3901" s="18" t="str">
        <f aca="false">'SALES Raw'!H1347</f>
        <v>213CTSL S שמאל CTS כפפות</v>
      </c>
      <c r="D3901" s="19" t="n">
        <f aca="false">'SALES Raw'!C1347</f>
        <v>3</v>
      </c>
      <c r="E3901" s="19" t="n">
        <f aca="false">'SALES Raw'!D1347</f>
        <v>270</v>
      </c>
      <c r="F3901" s="19" t="n">
        <f aca="false">'SALES Raw'!E1347*$H$4</f>
        <v>1.26315789473684</v>
      </c>
      <c r="G3901" s="19" t="n">
        <f aca="false">'SALES Raw'!F1347*$H$4</f>
        <v>147.953684210526</v>
      </c>
      <c r="H3901" s="18" t="str">
        <f aca="false">'SALES Raw'!A1347</f>
        <v>103 - Physiotherapy institutes</v>
      </c>
    </row>
    <row r="3902" customFormat="false" ht="15" hidden="false" customHeight="false" outlineLevel="0" collapsed="false">
      <c r="A3902" s="18" t="n">
        <f aca="false">'SALES Raw'!G1348</f>
        <v>4411029</v>
      </c>
      <c r="B3902" s="18" t="str">
        <f aca="false">'SALES Raw'!B1348</f>
        <v>213CTSR L</v>
      </c>
      <c r="C3902" s="18" t="str">
        <f aca="false">'SALES Raw'!H1348</f>
        <v>213CTSR L ימין CTS כפפות</v>
      </c>
      <c r="D3902" s="19" t="n">
        <f aca="false">'SALES Raw'!C1348</f>
        <v>3</v>
      </c>
      <c r="E3902" s="19" t="n">
        <f aca="false">'SALES Raw'!D1348</f>
        <v>270</v>
      </c>
      <c r="F3902" s="19" t="n">
        <f aca="false">'SALES Raw'!E1348*$H$4</f>
        <v>1.26315789473684</v>
      </c>
      <c r="G3902" s="19" t="n">
        <f aca="false">'SALES Raw'!F1348*$H$4</f>
        <v>147.953684210526</v>
      </c>
      <c r="H3902" s="18" t="str">
        <f aca="false">'SALES Raw'!A1348</f>
        <v>103 - Physiotherapy institutes</v>
      </c>
    </row>
    <row r="3903" customFormat="false" ht="15" hidden="false" customHeight="false" outlineLevel="0" collapsed="false">
      <c r="A3903" s="18" t="n">
        <f aca="false">'SALES Raw'!G1350</f>
        <v>4411031</v>
      </c>
      <c r="B3903" s="18" t="str">
        <f aca="false">'SALES Raw'!B1350</f>
        <v>213CTSR S</v>
      </c>
      <c r="C3903" s="18" t="str">
        <f aca="false">'SALES Raw'!H1350</f>
        <v>213CTS  S ימין CTS כפפות</v>
      </c>
      <c r="D3903" s="19" t="n">
        <f aca="false">'SALES Raw'!C1350</f>
        <v>3</v>
      </c>
      <c r="E3903" s="19" t="n">
        <f aca="false">'SALES Raw'!D1350</f>
        <v>270</v>
      </c>
      <c r="F3903" s="19" t="n">
        <f aca="false">'SALES Raw'!E1350*$H$4</f>
        <v>1.26315789473684</v>
      </c>
      <c r="G3903" s="19" t="n">
        <f aca="false">'SALES Raw'!F1350*$H$4</f>
        <v>147.953684210526</v>
      </c>
      <c r="H3903" s="18" t="str">
        <f aca="false">'SALES Raw'!A1350</f>
        <v>103 - Physiotherapy institutes</v>
      </c>
    </row>
    <row r="3904" customFormat="false" ht="15" hidden="false" customHeight="false" outlineLevel="0" collapsed="false">
      <c r="A3904" s="18" t="str">
        <f aca="false">'SALES Raw'!G1355</f>
        <v/>
      </c>
      <c r="B3904" s="18" t="str">
        <f aca="false">'SALES Raw'!B1355</f>
        <v>267LB XXL</v>
      </c>
      <c r="C3904" s="18" t="str">
        <f aca="false">'SALES Raw'!H1355</f>
        <v>267LB XXL</v>
      </c>
      <c r="D3904" s="19" t="n">
        <f aca="false">'SALES Raw'!C1355</f>
        <v>0</v>
      </c>
      <c r="E3904" s="19" t="n">
        <f aca="false">'SALES Raw'!D1355</f>
        <v>0</v>
      </c>
      <c r="F3904" s="19" t="n">
        <f aca="false">'SALES Raw'!E1355*$H$4</f>
        <v>1.26315789473684</v>
      </c>
      <c r="G3904" s="19" t="n">
        <f aca="false">'SALES Raw'!F1355*$H$4</f>
        <v>71.1663157894737</v>
      </c>
      <c r="H3904" s="18" t="str">
        <f aca="false">'SALES Raw'!A1355</f>
        <v>103 - Physiotherapy institutes</v>
      </c>
    </row>
    <row r="3905" customFormat="false" ht="15" hidden="false" customHeight="false" outlineLevel="0" collapsed="false">
      <c r="A3905" s="18" t="str">
        <f aca="false">'SALES Raw'!G1356</f>
        <v/>
      </c>
      <c r="B3905" s="18" t="str">
        <f aca="false">'SALES Raw'!B1356</f>
        <v>267LB-L-XL</v>
      </c>
      <c r="C3905" s="18" t="str">
        <f aca="false">'SALES Raw'!H1356</f>
        <v>267LB-L-XL</v>
      </c>
      <c r="D3905" s="19" t="n">
        <f aca="false">'SALES Raw'!C1356</f>
        <v>2</v>
      </c>
      <c r="E3905" s="19" t="n">
        <f aca="false">'SALES Raw'!D1356</f>
        <v>130</v>
      </c>
      <c r="F3905" s="19" t="n">
        <f aca="false">'SALES Raw'!E1356*$H$4</f>
        <v>1.26315789473684</v>
      </c>
      <c r="G3905" s="19" t="n">
        <f aca="false">'SALES Raw'!F1356*$H$4</f>
        <v>71.1663157894737</v>
      </c>
      <c r="H3905" s="18" t="str">
        <f aca="false">'SALES Raw'!A1356</f>
        <v>103 - Physiotherapy institutes</v>
      </c>
    </row>
    <row r="3906" customFormat="false" ht="15" hidden="false" customHeight="false" outlineLevel="0" collapsed="false">
      <c r="A3906" s="18" t="str">
        <f aca="false">'SALES Raw'!G1357</f>
        <v/>
      </c>
      <c r="B3906" s="18" t="str">
        <f aca="false">'SALES Raw'!B1357</f>
        <v>267LB-S-M</v>
      </c>
      <c r="C3906" s="18" t="str">
        <f aca="false">'SALES Raw'!H1357</f>
        <v>267LB-S-M</v>
      </c>
      <c r="D3906" s="19" t="n">
        <f aca="false">'SALES Raw'!C1357</f>
        <v>0</v>
      </c>
      <c r="E3906" s="19" t="n">
        <f aca="false">'SALES Raw'!D1357</f>
        <v>0</v>
      </c>
      <c r="F3906" s="19" t="n">
        <f aca="false">'SALES Raw'!E1357*$H$4</f>
        <v>1.26315789473684</v>
      </c>
      <c r="G3906" s="19" t="n">
        <f aca="false">'SALES Raw'!F1357*$H$4</f>
        <v>71.1663157894737</v>
      </c>
      <c r="H3906" s="18" t="str">
        <f aca="false">'SALES Raw'!A1357</f>
        <v>103 - Physiotherapy institutes</v>
      </c>
    </row>
    <row r="3907" customFormat="false" ht="15" hidden="false" customHeight="false" outlineLevel="0" collapsed="false">
      <c r="A3907" s="18" t="str">
        <f aca="false">'SALES Raw'!G1358</f>
        <v/>
      </c>
      <c r="B3907" s="18" t="str">
        <f aca="false">'SALES Raw'!B1358</f>
        <v>267RB XXL</v>
      </c>
      <c r="C3907" s="18" t="str">
        <f aca="false">'SALES Raw'!H1358</f>
        <v>267RB XXL</v>
      </c>
      <c r="D3907" s="19" t="n">
        <f aca="false">'SALES Raw'!C1358</f>
        <v>0</v>
      </c>
      <c r="E3907" s="19" t="n">
        <f aca="false">'SALES Raw'!D1358</f>
        <v>0</v>
      </c>
      <c r="F3907" s="19" t="n">
        <f aca="false">'SALES Raw'!E1358*$H$4</f>
        <v>1.26315789473684</v>
      </c>
      <c r="G3907" s="19" t="n">
        <f aca="false">'SALES Raw'!F1358*$H$4</f>
        <v>71.1663157894737</v>
      </c>
      <c r="H3907" s="18" t="str">
        <f aca="false">'SALES Raw'!A1358</f>
        <v>103 - Physiotherapy institutes</v>
      </c>
    </row>
    <row r="3908" customFormat="false" ht="15" hidden="false" customHeight="false" outlineLevel="0" collapsed="false">
      <c r="A3908" s="18" t="str">
        <f aca="false">'SALES Raw'!G1359</f>
        <v/>
      </c>
      <c r="B3908" s="18" t="str">
        <f aca="false">'SALES Raw'!B1359</f>
        <v>267RB-L-XL</v>
      </c>
      <c r="C3908" s="18" t="str">
        <f aca="false">'SALES Raw'!H1359</f>
        <v>267RB-L-XL</v>
      </c>
      <c r="D3908" s="19" t="n">
        <f aca="false">'SALES Raw'!C1359</f>
        <v>2</v>
      </c>
      <c r="E3908" s="19" t="n">
        <f aca="false">'SALES Raw'!D1359</f>
        <v>130</v>
      </c>
      <c r="F3908" s="19" t="n">
        <f aca="false">'SALES Raw'!E1359*$H$4</f>
        <v>1.26315789473684</v>
      </c>
      <c r="G3908" s="19" t="n">
        <f aca="false">'SALES Raw'!F1359*$H$4</f>
        <v>71.1663157894737</v>
      </c>
      <c r="H3908" s="18" t="str">
        <f aca="false">'SALES Raw'!A1359</f>
        <v>103 - Physiotherapy institutes</v>
      </c>
    </row>
    <row r="3909" customFormat="false" ht="15" hidden="false" customHeight="false" outlineLevel="0" collapsed="false">
      <c r="A3909" s="18" t="str">
        <f aca="false">'SALES Raw'!G1360</f>
        <v/>
      </c>
      <c r="B3909" s="18" t="str">
        <f aca="false">'SALES Raw'!B1360</f>
        <v>267RB-S-M</v>
      </c>
      <c r="C3909" s="18" t="str">
        <f aca="false">'SALES Raw'!H1360</f>
        <v>267RB-S-M</v>
      </c>
      <c r="D3909" s="19" t="n">
        <f aca="false">'SALES Raw'!C1360</f>
        <v>0</v>
      </c>
      <c r="E3909" s="19" t="n">
        <f aca="false">'SALES Raw'!D1360</f>
        <v>0</v>
      </c>
      <c r="F3909" s="19" t="n">
        <f aca="false">'SALES Raw'!E1360*$H$4</f>
        <v>1.26315789473684</v>
      </c>
      <c r="G3909" s="19" t="n">
        <f aca="false">'SALES Raw'!F1360*$H$4</f>
        <v>71.1663157894737</v>
      </c>
      <c r="H3909" s="18" t="str">
        <f aca="false">'SALES Raw'!A1360</f>
        <v>103 - Physiotherapy institutes</v>
      </c>
    </row>
    <row r="3910" customFormat="false" ht="15" hidden="false" customHeight="false" outlineLevel="0" collapsed="false">
      <c r="A3910" s="18" t="n">
        <f aca="false">'SALES Raw'!G1363</f>
        <v>4416002</v>
      </c>
      <c r="B3910" s="18" t="str">
        <f aca="false">'SALES Raw'!B1363</f>
        <v>307 S</v>
      </c>
      <c r="C3910" s="18" t="str">
        <f aca="false">'SALES Raw'!H1363</f>
        <v>307 S עקבים לדורבן-זוג כריות</v>
      </c>
      <c r="D3910" s="19" t="n">
        <f aca="false">'SALES Raw'!C1363</f>
        <v>1</v>
      </c>
      <c r="E3910" s="19" t="n">
        <f aca="false">'SALES Raw'!D1363</f>
        <v>54</v>
      </c>
      <c r="F3910" s="19" t="n">
        <f aca="false">'SALES Raw'!E1363*$H$4</f>
        <v>1.26315789473684</v>
      </c>
      <c r="G3910" s="19" t="n">
        <f aca="false">'SALES Raw'!F1363*$H$4</f>
        <v>116.576842105263</v>
      </c>
      <c r="H3910" s="18" t="str">
        <f aca="false">'SALES Raw'!A1363</f>
        <v>103 - Physiotherapy institutes</v>
      </c>
    </row>
    <row r="3911" customFormat="false" ht="15" hidden="false" customHeight="false" outlineLevel="0" collapsed="false">
      <c r="A3911" s="18" t="n">
        <f aca="false">'SALES Raw'!G1364</f>
        <v>4411016</v>
      </c>
      <c r="B3911" s="18" t="str">
        <f aca="false">'SALES Raw'!B1364</f>
        <v>307 XL</v>
      </c>
      <c r="C3911" s="18" t="str">
        <f aca="false">'SALES Raw'!H1364</f>
        <v>307 XL כרית סיליקון לעקב</v>
      </c>
      <c r="D3911" s="19" t="n">
        <f aca="false">'SALES Raw'!C1364</f>
        <v>1</v>
      </c>
      <c r="E3911" s="19" t="n">
        <f aca="false">'SALES Raw'!D1364</f>
        <v>54</v>
      </c>
      <c r="F3911" s="19" t="n">
        <f aca="false">'SALES Raw'!E1364*$H$4</f>
        <v>1.26315789473684</v>
      </c>
      <c r="G3911" s="19" t="n">
        <f aca="false">'SALES Raw'!F1364*$H$4</f>
        <v>116.576842105263</v>
      </c>
      <c r="H3911" s="18" t="str">
        <f aca="false">'SALES Raw'!A1364</f>
        <v>103 - Physiotherapy institutes</v>
      </c>
    </row>
    <row r="3912" customFormat="false" ht="15" hidden="false" customHeight="false" outlineLevel="0" collapsed="false">
      <c r="A3912" s="18" t="n">
        <f aca="false">'SALES Raw'!G1381</f>
        <v>4413042</v>
      </c>
      <c r="B3912" s="18" t="str">
        <f aca="false">'SALES Raw'!B1381</f>
        <v>34 S</v>
      </c>
      <c r="C3912" s="18" t="str">
        <f aca="false">'SALES Raw'!H1381</f>
        <v>34  S מגן קרסול עקב סגור</v>
      </c>
      <c r="D3912" s="19" t="n">
        <f aca="false">'SALES Raw'!C1381</f>
        <v>1</v>
      </c>
      <c r="E3912" s="19" t="n">
        <f aca="false">'SALES Raw'!D1381</f>
        <v>40.58</v>
      </c>
      <c r="F3912" s="19" t="n">
        <f aca="false">'SALES Raw'!E1381*$H$4</f>
        <v>1.26315789473684</v>
      </c>
      <c r="G3912" s="19" t="n">
        <f aca="false">'SALES Raw'!F1381*$H$4</f>
        <v>51.2589473684211</v>
      </c>
      <c r="H3912" s="18" t="str">
        <f aca="false">'SALES Raw'!A1381</f>
        <v>103 - Physiotherapy institutes</v>
      </c>
    </row>
    <row r="3913" customFormat="false" ht="15" hidden="false" customHeight="false" outlineLevel="0" collapsed="false">
      <c r="A3913" s="18" t="n">
        <f aca="false">'SALES Raw'!G1391</f>
        <v>4411001</v>
      </c>
      <c r="B3913" s="18" t="str">
        <f aca="false">'SALES Raw'!B1391</f>
        <v>3623 0</v>
      </c>
      <c r="C3913" s="18" t="str">
        <f aca="false">'SALES Raw'!H1391</f>
        <v>3623 כרית ליישור אצבע פטיש</v>
      </c>
      <c r="D3913" s="19" t="n">
        <f aca="false">'SALES Raw'!C1391</f>
        <v>4</v>
      </c>
      <c r="E3913" s="19" t="n">
        <f aca="false">'SALES Raw'!D1391</f>
        <v>102.76</v>
      </c>
      <c r="F3913" s="19" t="n">
        <f aca="false">'SALES Raw'!E1391*$H$4</f>
        <v>1.26315789473684</v>
      </c>
      <c r="G3913" s="19" t="n">
        <f aca="false">'SALES Raw'!F1391*$H$4</f>
        <v>36.0505263157895</v>
      </c>
      <c r="H3913" s="18" t="str">
        <f aca="false">'SALES Raw'!A1391</f>
        <v>103 - Physiotherapy institutes</v>
      </c>
    </row>
    <row r="3914" customFormat="false" ht="15" hidden="false" customHeight="false" outlineLevel="0" collapsed="false">
      <c r="A3914" s="18" t="n">
        <f aca="false">'SALES Raw'!G1419</f>
        <v>4408071</v>
      </c>
      <c r="B3914" s="18" t="str">
        <f aca="false">'SALES Raw'!B1419</f>
        <v>59D L</v>
      </c>
      <c r="C3914" s="18" t="str">
        <f aca="false">'SALES Raw'!H1419</f>
        <v>59D L חגורת שבר דו צדדי</v>
      </c>
      <c r="D3914" s="19" t="n">
        <f aca="false">'SALES Raw'!C1419</f>
        <v>0</v>
      </c>
      <c r="E3914" s="19" t="n">
        <f aca="false">'SALES Raw'!D1419</f>
        <v>0</v>
      </c>
      <c r="F3914" s="19" t="n">
        <f aca="false">'SALES Raw'!E1419*$H$4</f>
        <v>1.26315789473684</v>
      </c>
      <c r="G3914" s="19" t="n">
        <f aca="false">'SALES Raw'!F1419*$H$4</f>
        <v>0.0126315789473684</v>
      </c>
      <c r="H3914" s="18" t="str">
        <f aca="false">'SALES Raw'!A1419</f>
        <v>103 - Physiotherapy institutes</v>
      </c>
    </row>
    <row r="3915" customFormat="false" ht="15" hidden="false" customHeight="false" outlineLevel="0" collapsed="false">
      <c r="A3915" s="18" t="n">
        <f aca="false">'SALES Raw'!G1420</f>
        <v>4408076</v>
      </c>
      <c r="B3915" s="18" t="str">
        <f aca="false">'SALES Raw'!B1420</f>
        <v>59L L</v>
      </c>
      <c r="C3915" s="18" t="str">
        <f aca="false">'SALES Raw'!H1420</f>
        <v>59L L חגורת שבר לצד שמאל</v>
      </c>
      <c r="D3915" s="19" t="n">
        <f aca="false">'SALES Raw'!C1420</f>
        <v>0</v>
      </c>
      <c r="E3915" s="19" t="n">
        <f aca="false">'SALES Raw'!D1420</f>
        <v>0</v>
      </c>
      <c r="F3915" s="19" t="n">
        <f aca="false">'SALES Raw'!E1420*$H$4</f>
        <v>1.26315789473684</v>
      </c>
      <c r="G3915" s="19" t="n">
        <f aca="false">'SALES Raw'!F1420*$H$4</f>
        <v>0.0126315789473684</v>
      </c>
      <c r="H3915" s="18" t="str">
        <f aca="false">'SALES Raw'!A1420</f>
        <v>103 - Physiotherapy institutes</v>
      </c>
    </row>
    <row r="3916" customFormat="false" ht="15" hidden="false" customHeight="false" outlineLevel="0" collapsed="false">
      <c r="A3916" s="18" t="str">
        <f aca="false">'SALES Raw'!G1425</f>
        <v/>
      </c>
      <c r="B3916" s="18" t="str">
        <f aca="false">'SALES Raw'!B1425</f>
        <v>84-S-M</v>
      </c>
      <c r="C3916" s="18" t="str">
        <f aca="false">'SALES Raw'!H1425</f>
        <v>84-S-M</v>
      </c>
      <c r="D3916" s="19" t="n">
        <f aca="false">'SALES Raw'!C1425</f>
        <v>2</v>
      </c>
      <c r="E3916" s="19" t="n">
        <f aca="false">'SALES Raw'!D1425</f>
        <v>262.07</v>
      </c>
      <c r="F3916" s="19" t="n">
        <f aca="false">'SALES Raw'!E1425*$H$4</f>
        <v>1.26315789473684</v>
      </c>
      <c r="G3916" s="19" t="n">
        <f aca="false">'SALES Raw'!F1425*$H$4</f>
        <v>177.562105263158</v>
      </c>
      <c r="H3916" s="18" t="str">
        <f aca="false">'SALES Raw'!A1425</f>
        <v>103 - Physiotherapy institutes</v>
      </c>
    </row>
    <row r="3917" customFormat="false" ht="15" hidden="false" customHeight="false" outlineLevel="0" collapsed="false">
      <c r="A3917" s="18" t="n">
        <f aca="false">'SALES Raw'!G1433</f>
        <v>4413502</v>
      </c>
      <c r="B3917" s="18" t="str">
        <f aca="false">'SALES Raw'!B1433</f>
        <v>95B S</v>
      </c>
      <c r="C3917" s="18" t="str">
        <f aca="false">'SALES Raw'!H1433</f>
        <v>95B S מגן מרפק שחור</v>
      </c>
      <c r="D3917" s="19" t="n">
        <f aca="false">'SALES Raw'!C1433</f>
        <v>3</v>
      </c>
      <c r="E3917" s="19" t="n">
        <f aca="false">'SALES Raw'!D1433</f>
        <v>88.55</v>
      </c>
      <c r="F3917" s="19" t="n">
        <f aca="false">'SALES Raw'!E1433*$H$4</f>
        <v>1.26315789473684</v>
      </c>
      <c r="G3917" s="19" t="n">
        <f aca="false">'SALES Raw'!F1433*$H$4</f>
        <v>39.0189473684211</v>
      </c>
      <c r="H3917" s="18" t="str">
        <f aca="false">'SALES Raw'!A1433</f>
        <v>103 - Physiotherapy institutes</v>
      </c>
    </row>
    <row r="3918" customFormat="false" ht="15" hidden="false" customHeight="false" outlineLevel="0" collapsed="false">
      <c r="A3918" s="18" t="str">
        <f aca="false">'SALES Raw'!G1440</f>
        <v/>
      </c>
      <c r="B3918" s="18" t="str">
        <f aca="false">'SALES Raw'!B1440</f>
        <v>MSG001FB 0</v>
      </c>
      <c r="C3918" s="18" t="str">
        <f aca="false">'SALES Raw'!H1440</f>
        <v>MSG001FB 0</v>
      </c>
      <c r="D3918" s="19" t="n">
        <f aca="false">'SALES Raw'!C1440</f>
        <v>0</v>
      </c>
      <c r="E3918" s="19" t="n">
        <f aca="false">'SALES Raw'!D1440</f>
        <v>0</v>
      </c>
      <c r="F3918" s="19" t="n">
        <f aca="false">'SALES Raw'!E1440*$H$4</f>
        <v>1.26315789473684</v>
      </c>
      <c r="G3918" s="19" t="n">
        <f aca="false">'SALES Raw'!F1440*$H$4</f>
        <v>615.713684210526</v>
      </c>
      <c r="H3918" s="18" t="str">
        <f aca="false">'SALES Raw'!A1440</f>
        <v>103 - Physiotherapy institutes</v>
      </c>
    </row>
    <row r="3919" customFormat="false" ht="15" hidden="false" customHeight="false" outlineLevel="0" collapsed="false">
      <c r="A3919" s="18" t="n">
        <f aca="false">'SALES Raw'!G1447</f>
        <v>4413420</v>
      </c>
      <c r="B3919" s="18" t="str">
        <f aca="false">'SALES Raw'!B1447</f>
        <v>SC35L S</v>
      </c>
      <c r="C3919" s="18" t="str">
        <f aca="false">'SALES Raw'!H1447</f>
        <v>SC35L  S מגן קרסול שמאל</v>
      </c>
      <c r="D3919" s="19" t="n">
        <f aca="false">'SALES Raw'!C1447</f>
        <v>0</v>
      </c>
      <c r="E3919" s="19" t="n">
        <f aca="false">'SALES Raw'!D1447</f>
        <v>0</v>
      </c>
      <c r="F3919" s="19" t="n">
        <f aca="false">'SALES Raw'!E1447*$H$4</f>
        <v>1.26315789473684</v>
      </c>
      <c r="G3919" s="19" t="n">
        <f aca="false">'SALES Raw'!F1447*$H$4</f>
        <v>102.543157894737</v>
      </c>
      <c r="H3919" s="18" t="str">
        <f aca="false">'SALES Raw'!A1447</f>
        <v>103 - Physiotherapy institutes</v>
      </c>
    </row>
    <row r="3920" customFormat="false" ht="15" hidden="false" customHeight="false" outlineLevel="0" collapsed="false">
      <c r="A3920" s="18" t="n">
        <f aca="false">'SALES Raw'!G1450</f>
        <v>4413424</v>
      </c>
      <c r="B3920" s="18" t="str">
        <f aca="false">'SALES Raw'!B1450</f>
        <v>SC35R S</v>
      </c>
      <c r="C3920" s="18" t="str">
        <f aca="false">'SALES Raw'!H1450</f>
        <v>SC35R  S מגן קרסול ימין</v>
      </c>
      <c r="D3920" s="19" t="n">
        <f aca="false">'SALES Raw'!C1450</f>
        <v>0</v>
      </c>
      <c r="E3920" s="19" t="n">
        <f aca="false">'SALES Raw'!D1450</f>
        <v>0</v>
      </c>
      <c r="F3920" s="19" t="n">
        <f aca="false">'SALES Raw'!E1450*$H$4</f>
        <v>1.26315789473684</v>
      </c>
      <c r="G3920" s="19" t="n">
        <f aca="false">'SALES Raw'!F1450*$H$4</f>
        <v>102.543157894737</v>
      </c>
      <c r="H3920" s="18" t="str">
        <f aca="false">'SALES Raw'!A1450</f>
        <v>103 - Physiotherapy institutes</v>
      </c>
    </row>
    <row r="3921" customFormat="false" ht="15" hidden="false" customHeight="false" outlineLevel="0" collapsed="false">
      <c r="A3921" s="18" t="n">
        <f aca="false">'SALES Raw'!G1451</f>
        <v>4413427</v>
      </c>
      <c r="B3921" s="18" t="str">
        <f aca="false">'SALES Raw'!B1451</f>
        <v>SC35R XL</v>
      </c>
      <c r="C3921" s="18" t="str">
        <f aca="false">'SALES Raw'!H1451</f>
        <v>SC35R  XLמגן קרסול ימין</v>
      </c>
      <c r="D3921" s="19" t="n">
        <f aca="false">'SALES Raw'!C1451</f>
        <v>0</v>
      </c>
      <c r="E3921" s="19" t="n">
        <f aca="false">'SALES Raw'!D1451</f>
        <v>0</v>
      </c>
      <c r="F3921" s="19" t="n">
        <f aca="false">'SALES Raw'!E1451*$H$4</f>
        <v>1.26315789473684</v>
      </c>
      <c r="G3921" s="19" t="n">
        <f aca="false">'SALES Raw'!F1451*$H$4</f>
        <v>102.543157894737</v>
      </c>
      <c r="H3921" s="18" t="str">
        <f aca="false">'SALES Raw'!A1451</f>
        <v>103 - Physiotherapy institutes</v>
      </c>
    </row>
    <row r="3922" customFormat="false" ht="15" hidden="false" customHeight="false" outlineLevel="0" collapsed="false">
      <c r="A3922" s="18" t="n">
        <f aca="false">'SALES Raw'!G1452</f>
        <v>4413440</v>
      </c>
      <c r="B3922" s="18" t="str">
        <f aca="false">'SALES Raw'!B1452</f>
        <v>SC422 L</v>
      </c>
      <c r="C3922" s="18" t="str">
        <f aca="false">'SALES Raw'!H1452</f>
        <v>SC422  L מגן ברך</v>
      </c>
      <c r="D3922" s="19" t="n">
        <f aca="false">'SALES Raw'!C1452</f>
        <v>0</v>
      </c>
      <c r="E3922" s="19" t="n">
        <f aca="false">'SALES Raw'!D1452</f>
        <v>0</v>
      </c>
      <c r="F3922" s="19" t="n">
        <f aca="false">'SALES Raw'!E1452*$H$4</f>
        <v>1.26315789473684</v>
      </c>
      <c r="G3922" s="19" t="n">
        <f aca="false">'SALES Raw'!F1452*$H$4</f>
        <v>153.890526315789</v>
      </c>
      <c r="H3922" s="18" t="str">
        <f aca="false">'SALES Raw'!A1452</f>
        <v>103 - Physiotherapy institutes</v>
      </c>
    </row>
    <row r="3923" customFormat="false" ht="15" hidden="false" customHeight="false" outlineLevel="0" collapsed="false">
      <c r="A3923" s="18" t="n">
        <f aca="false">'SALES Raw'!G1454</f>
        <v>4413438</v>
      </c>
      <c r="B3923" s="18" t="str">
        <f aca="false">'SALES Raw'!B1454</f>
        <v>SC422 S</v>
      </c>
      <c r="C3923" s="18" t="str">
        <f aca="false">'SALES Raw'!H1454</f>
        <v>SC422  S מגן ברך</v>
      </c>
      <c r="D3923" s="19" t="n">
        <f aca="false">'SALES Raw'!C1454</f>
        <v>0</v>
      </c>
      <c r="E3923" s="19" t="n">
        <f aca="false">'SALES Raw'!D1454</f>
        <v>0</v>
      </c>
      <c r="F3923" s="19" t="n">
        <f aca="false">'SALES Raw'!E1454*$H$4</f>
        <v>1.26315789473684</v>
      </c>
      <c r="G3923" s="19" t="n">
        <f aca="false">'SALES Raw'!F1454*$H$4</f>
        <v>153.890526315789</v>
      </c>
      <c r="H3923" s="18" t="str">
        <f aca="false">'SALES Raw'!A1454</f>
        <v>103 - Physiotherapy institutes</v>
      </c>
    </row>
    <row r="3924" customFormat="false" ht="15" hidden="false" customHeight="false" outlineLevel="0" collapsed="false">
      <c r="A3924" s="18" t="n">
        <f aca="false">'SALES Raw'!G1457</f>
        <v>4413405</v>
      </c>
      <c r="B3924" s="18" t="str">
        <f aca="false">'SALES Raw'!B1457</f>
        <v>SC95 S</v>
      </c>
      <c r="C3924" s="18" t="str">
        <f aca="false">'SALES Raw'!H1457</f>
        <v>SC95 S מגן מרפק</v>
      </c>
      <c r="D3924" s="19" t="n">
        <f aca="false">'SALES Raw'!C1457</f>
        <v>0</v>
      </c>
      <c r="E3924" s="19" t="n">
        <f aca="false">'SALES Raw'!D1457</f>
        <v>0</v>
      </c>
      <c r="F3924" s="19" t="n">
        <f aca="false">'SALES Raw'!E1457*$H$4</f>
        <v>1.26315789473684</v>
      </c>
      <c r="G3924" s="19" t="n">
        <f aca="false">'SALES Raw'!F1457*$H$4</f>
        <v>102.543157894737</v>
      </c>
      <c r="H3924" s="18" t="str">
        <f aca="false">'SALES Raw'!A1457</f>
        <v>103 - Physiotherapy institutes</v>
      </c>
    </row>
    <row r="3925" customFormat="false" ht="15" hidden="false" customHeight="false" outlineLevel="0" collapsed="false">
      <c r="A3925" s="18" t="n">
        <f aca="false">'SALES Raw'!G1458</f>
        <v>4422037</v>
      </c>
      <c r="B3925" s="18" t="str">
        <f aca="false">'SALES Raw'!B1458</f>
        <v>SH422 1</v>
      </c>
      <c r="C3925" s="18" t="str">
        <f aca="false">'SALES Raw'!H1458</f>
        <v>SH422 1 תומך ברך גנושילד</v>
      </c>
      <c r="D3925" s="19" t="n">
        <f aca="false">'SALES Raw'!C1458</f>
        <v>2</v>
      </c>
      <c r="E3925" s="19" t="n">
        <f aca="false">'SALES Raw'!D1458</f>
        <v>240</v>
      </c>
      <c r="F3925" s="19" t="n">
        <f aca="false">'SALES Raw'!E1458*$H$4</f>
        <v>1.26315789473684</v>
      </c>
      <c r="G3925" s="19" t="n">
        <f aca="false">'SALES Raw'!F1458*$H$4</f>
        <v>151.578947368421</v>
      </c>
      <c r="H3925" s="18" t="str">
        <f aca="false">'SALES Raw'!A1458</f>
        <v>103 - Physiotherapy institutes</v>
      </c>
    </row>
    <row r="3926" customFormat="false" ht="15" hidden="false" customHeight="false" outlineLevel="0" collapsed="false">
      <c r="A3926" s="18" t="str">
        <f aca="false">'SALES Raw'!G1463</f>
        <v/>
      </c>
      <c r="B3926" s="18" t="str">
        <f aca="false">'SALES Raw'!B1463</f>
        <v>SH776 XXL</v>
      </c>
      <c r="C3926" s="18" t="str">
        <f aca="false">'SALES Raw'!H1463</f>
        <v>SH776 XXL</v>
      </c>
      <c r="D3926" s="19" t="n">
        <f aca="false">'SALES Raw'!C1463</f>
        <v>0</v>
      </c>
      <c r="E3926" s="19" t="n">
        <f aca="false">'SALES Raw'!D1463</f>
        <v>0</v>
      </c>
      <c r="F3926" s="19" t="n">
        <f aca="false">'SALES Raw'!E1463*$H$4</f>
        <v>1.26315789473684</v>
      </c>
      <c r="G3926" s="19" t="n">
        <f aca="false">'SALES Raw'!F1463*$H$4</f>
        <v>442.547368421053</v>
      </c>
      <c r="H3926" s="18" t="str">
        <f aca="false">'SALES Raw'!A1463</f>
        <v>103 - Physiotherapy institutes</v>
      </c>
    </row>
    <row r="3927" customFormat="false" ht="15" hidden="false" customHeight="false" outlineLevel="0" collapsed="false">
      <c r="A3927" s="18" t="n">
        <f aca="false">'SALES Raw'!G1467</f>
        <v>4408264</v>
      </c>
      <c r="B3927" s="18" t="str">
        <f aca="false">'SALES Raw'!B1467</f>
        <v>T25B 0</v>
      </c>
      <c r="C3927" s="18" t="str">
        <f aca="false">'SALES Raw'!H1467</f>
        <v>T25B   חבק יד אגודלי</v>
      </c>
      <c r="D3927" s="19" t="n">
        <f aca="false">'SALES Raw'!C1467</f>
        <v>7</v>
      </c>
      <c r="E3927" s="19" t="n">
        <f aca="false">'SALES Raw'!D1467</f>
        <v>300.37</v>
      </c>
      <c r="F3927" s="19" t="n">
        <f aca="false">'SALES Raw'!E1467*$H$4</f>
        <v>1.26315789473684</v>
      </c>
      <c r="G3927" s="19" t="n">
        <f aca="false">'SALES Raw'!F1467*$H$4</f>
        <v>51.2589473684211</v>
      </c>
      <c r="H3927" s="18" t="str">
        <f aca="false">'SALES Raw'!A1467</f>
        <v>103 - Physiotherapy institutes</v>
      </c>
    </row>
    <row r="3928" customFormat="false" ht="15" hidden="false" customHeight="false" outlineLevel="0" collapsed="false">
      <c r="A3928" s="18" t="n">
        <f aca="false">'SALES Raw'!G1469</f>
        <v>4413224</v>
      </c>
      <c r="B3928" s="18" t="str">
        <f aca="false">'SALES Raw'!B1469</f>
        <v>T45X XL</v>
      </c>
      <c r="C3928" s="18" t="str">
        <f aca="false">'SALES Raw'!H1469</f>
        <v>T45X XL מגן ברך רגיל</v>
      </c>
      <c r="D3928" s="19" t="n">
        <f aca="false">'SALES Raw'!C1469</f>
        <v>0</v>
      </c>
      <c r="E3928" s="19" t="n">
        <f aca="false">'SALES Raw'!D1469</f>
        <v>0</v>
      </c>
      <c r="F3928" s="19" t="n">
        <f aca="false">'SALES Raw'!E1469*$H$4</f>
        <v>1.26315789473684</v>
      </c>
      <c r="G3928" s="19" t="n">
        <f aca="false">'SALES Raw'!F1469*$H$4</f>
        <v>87.5873684210526</v>
      </c>
      <c r="H3928" s="18" t="str">
        <f aca="false">'SALES Raw'!A1469</f>
        <v>103 - Physiotherapy institutes</v>
      </c>
    </row>
    <row r="3929" customFormat="false" ht="15" hidden="false" customHeight="false" outlineLevel="0" collapsed="false">
      <c r="A3929" s="18" t="str">
        <f aca="false">'SALES Raw'!G1470</f>
        <v/>
      </c>
      <c r="B3929" s="18" t="str">
        <f aca="false">'SALES Raw'!B1470</f>
        <v>T46B L</v>
      </c>
      <c r="C3929" s="18" t="str">
        <f aca="false">'SALES Raw'!H1470</f>
        <v>T46B L</v>
      </c>
      <c r="D3929" s="19" t="n">
        <f aca="false">'SALES Raw'!C1470</f>
        <v>0</v>
      </c>
      <c r="E3929" s="19" t="n">
        <f aca="false">'SALES Raw'!D1470</f>
        <v>0</v>
      </c>
      <c r="F3929" s="19" t="n">
        <f aca="false">'SALES Raw'!E1470*$H$4</f>
        <v>1.26315789473684</v>
      </c>
      <c r="G3929" s="19" t="n">
        <f aca="false">'SALES Raw'!F1470*$H$4</f>
        <v>102.568421052632</v>
      </c>
      <c r="H3929" s="18" t="str">
        <f aca="false">'SALES Raw'!A1470</f>
        <v>103 - Physiotherapy institutes</v>
      </c>
    </row>
    <row r="3930" customFormat="false" ht="15" hidden="false" customHeight="false" outlineLevel="0" collapsed="false">
      <c r="A3930" s="18" t="str">
        <f aca="false">'SALES Raw'!G1471</f>
        <v/>
      </c>
      <c r="B3930" s="18" t="str">
        <f aca="false">'SALES Raw'!B1471</f>
        <v>T46B M</v>
      </c>
      <c r="C3930" s="18" t="str">
        <f aca="false">'SALES Raw'!H1471</f>
        <v>T46B M</v>
      </c>
      <c r="D3930" s="19" t="n">
        <f aca="false">'SALES Raw'!C1471</f>
        <v>0</v>
      </c>
      <c r="E3930" s="19" t="n">
        <f aca="false">'SALES Raw'!D1471</f>
        <v>0</v>
      </c>
      <c r="F3930" s="19" t="n">
        <f aca="false">'SALES Raw'!E1471*$H$4</f>
        <v>1.26315789473684</v>
      </c>
      <c r="G3930" s="19" t="n">
        <f aca="false">'SALES Raw'!F1471*$H$4</f>
        <v>102.568421052632</v>
      </c>
      <c r="H3930" s="18" t="str">
        <f aca="false">'SALES Raw'!A1471</f>
        <v>103 - Physiotherapy institutes</v>
      </c>
    </row>
    <row r="3931" customFormat="false" ht="15" hidden="false" customHeight="false" outlineLevel="0" collapsed="false">
      <c r="A3931" s="18" t="str">
        <f aca="false">'SALES Raw'!G1472</f>
        <v/>
      </c>
      <c r="B3931" s="18" t="str">
        <f aca="false">'SALES Raw'!B1472</f>
        <v>T46B S</v>
      </c>
      <c r="C3931" s="18" t="str">
        <f aca="false">'SALES Raw'!H1472</f>
        <v>T46B S</v>
      </c>
      <c r="D3931" s="19" t="n">
        <f aca="false">'SALES Raw'!C1472</f>
        <v>0</v>
      </c>
      <c r="E3931" s="19" t="n">
        <f aca="false">'SALES Raw'!D1472</f>
        <v>0</v>
      </c>
      <c r="F3931" s="19" t="n">
        <f aca="false">'SALES Raw'!E1472*$H$4</f>
        <v>1.26315789473684</v>
      </c>
      <c r="G3931" s="19" t="n">
        <f aca="false">'SALES Raw'!F1472*$H$4</f>
        <v>102.581052631579</v>
      </c>
      <c r="H3931" s="18" t="str">
        <f aca="false">'SALES Raw'!A1472</f>
        <v>103 - Physiotherapy institutes</v>
      </c>
    </row>
    <row r="3932" customFormat="false" ht="15" hidden="false" customHeight="false" outlineLevel="0" collapsed="false">
      <c r="A3932" s="18" t="str">
        <f aca="false">'SALES Raw'!G1473</f>
        <v/>
      </c>
      <c r="B3932" s="18" t="str">
        <f aca="false">'SALES Raw'!B1473</f>
        <v>T46B XL</v>
      </c>
      <c r="C3932" s="18" t="str">
        <f aca="false">'SALES Raw'!H1473</f>
        <v>T46B XL</v>
      </c>
      <c r="D3932" s="19" t="n">
        <f aca="false">'SALES Raw'!C1473</f>
        <v>0</v>
      </c>
      <c r="E3932" s="19" t="n">
        <f aca="false">'SALES Raw'!D1473</f>
        <v>0</v>
      </c>
      <c r="F3932" s="19" t="n">
        <f aca="false">'SALES Raw'!E1473*$H$4</f>
        <v>1.26315789473684</v>
      </c>
      <c r="G3932" s="19" t="n">
        <f aca="false">'SALES Raw'!F1473*$H$4</f>
        <v>102.568421052632</v>
      </c>
      <c r="H3932" s="18" t="str">
        <f aca="false">'SALES Raw'!A1473</f>
        <v>103 - Physiotherapy institutes</v>
      </c>
    </row>
    <row r="3933" customFormat="false" ht="15" hidden="false" customHeight="false" outlineLevel="0" collapsed="false">
      <c r="A3933" s="18" t="str">
        <f aca="false">'SALES Raw'!G1474</f>
        <v/>
      </c>
      <c r="B3933" s="18" t="str">
        <f aca="false">'SALES Raw'!B1474</f>
        <v>T46B XS</v>
      </c>
      <c r="C3933" s="18" t="str">
        <f aca="false">'SALES Raw'!H1474</f>
        <v>T46B XS</v>
      </c>
      <c r="D3933" s="19" t="n">
        <f aca="false">'SALES Raw'!C1474</f>
        <v>0</v>
      </c>
      <c r="E3933" s="19" t="n">
        <f aca="false">'SALES Raw'!D1474</f>
        <v>0</v>
      </c>
      <c r="F3933" s="19" t="n">
        <f aca="false">'SALES Raw'!E1474*$H$4</f>
        <v>1.26315789473684</v>
      </c>
      <c r="G3933" s="19" t="n">
        <f aca="false">'SALES Raw'!F1474*$H$4</f>
        <v>102.568421052632</v>
      </c>
      <c r="H3933" s="18" t="str">
        <f aca="false">'SALES Raw'!A1474</f>
        <v>103 - Physiotherapy institutes</v>
      </c>
    </row>
    <row r="3934" customFormat="false" ht="15" hidden="false" customHeight="false" outlineLevel="0" collapsed="false">
      <c r="A3934" s="18" t="n">
        <f aca="false">'SALES Raw'!G1478</f>
        <v>4408221</v>
      </c>
      <c r="B3934" s="18" t="str">
        <f aca="false">'SALES Raw'!B1478</f>
        <v>078G L</v>
      </c>
      <c r="C3934" s="18" t="str">
        <f aca="false">'SALES Raw'!H1478</f>
        <v>078G-L חגורת גב אפורה</v>
      </c>
      <c r="D3934" s="19" t="n">
        <f aca="false">'SALES Raw'!C1478</f>
        <v>10</v>
      </c>
      <c r="E3934" s="19" t="n">
        <f aca="false">'SALES Raw'!D1478</f>
        <v>1002.81</v>
      </c>
      <c r="F3934" s="19" t="n">
        <f aca="false">'SALES Raw'!E1478*$H$4</f>
        <v>1.26315789473684</v>
      </c>
      <c r="G3934" s="19" t="n">
        <f aca="false">'SALES Raw'!F1478*$H$4</f>
        <v>147.953684210526</v>
      </c>
      <c r="H3934" s="18" t="str">
        <f aca="false">'SALES Raw'!A1478</f>
        <v>103 - Physiotherapy institutes</v>
      </c>
    </row>
    <row r="3935" customFormat="false" ht="15" hidden="false" customHeight="false" outlineLevel="0" collapsed="false">
      <c r="A3935" s="18" t="n">
        <f aca="false">'SALES Raw'!G1495</f>
        <v>4413365</v>
      </c>
      <c r="B3935" s="18" t="str">
        <f aca="false">'SALES Raw'!B1495</f>
        <v>95C L</v>
      </c>
      <c r="C3935" s="18" t="str">
        <f aca="false">'SALES Raw'!H1495</f>
        <v>95C L 'מגן מרפק בז</v>
      </c>
      <c r="D3935" s="19" t="n">
        <f aca="false">'SALES Raw'!C1495</f>
        <v>3</v>
      </c>
      <c r="E3935" s="19" t="n">
        <f aca="false">'SALES Raw'!D1495</f>
        <v>92.67</v>
      </c>
      <c r="F3935" s="19" t="n">
        <f aca="false">'SALES Raw'!E1495*$H$4</f>
        <v>1.26315789473684</v>
      </c>
      <c r="G3935" s="19" t="n">
        <f aca="false">'SALES Raw'!F1495*$H$4</f>
        <v>39.0189473684211</v>
      </c>
      <c r="H3935" s="18" t="str">
        <f aca="false">'SALES Raw'!A1495</f>
        <v>103 - Physiotherapy institutes</v>
      </c>
    </row>
    <row r="3936" customFormat="false" ht="15" hidden="false" customHeight="false" outlineLevel="0" collapsed="false">
      <c r="A3936" s="18" t="n">
        <f aca="false">'SALES Raw'!G1496</f>
        <v>4413364</v>
      </c>
      <c r="B3936" s="18" t="str">
        <f aca="false">'SALES Raw'!B1496</f>
        <v>95C M</v>
      </c>
      <c r="C3936" s="18" t="str">
        <f aca="false">'SALES Raw'!H1496</f>
        <v>95C M 'מגן מרפק בז</v>
      </c>
      <c r="D3936" s="19" t="n">
        <f aca="false">'SALES Raw'!C1496</f>
        <v>3</v>
      </c>
      <c r="E3936" s="19" t="n">
        <f aca="false">'SALES Raw'!D1496</f>
        <v>92.67</v>
      </c>
      <c r="F3936" s="19" t="n">
        <f aca="false">'SALES Raw'!E1496*$H$4</f>
        <v>1.26315789473684</v>
      </c>
      <c r="G3936" s="19" t="n">
        <f aca="false">'SALES Raw'!F1496*$H$4</f>
        <v>39.0315789473684</v>
      </c>
      <c r="H3936" s="18" t="str">
        <f aca="false">'SALES Raw'!A1496</f>
        <v>103 - Physiotherapy institutes</v>
      </c>
    </row>
    <row r="3937" customFormat="false" ht="15" hidden="false" customHeight="false" outlineLevel="0" collapsed="false">
      <c r="A3937" s="18" t="n">
        <f aca="false">'SALES Raw'!G1497</f>
        <v>4413328</v>
      </c>
      <c r="B3937" s="18" t="str">
        <f aca="false">'SALES Raw'!B1497</f>
        <v>AC43D 0</v>
      </c>
      <c r="C3937" s="18" t="str">
        <f aca="false">'SALES Raw'!H1497</f>
        <v>AC43D מגן ברך + צירים</v>
      </c>
      <c r="D3937" s="19" t="n">
        <f aca="false">'SALES Raw'!C1497</f>
        <v>3</v>
      </c>
      <c r="E3937" s="19" t="n">
        <f aca="false">'SALES Raw'!D1497</f>
        <v>300.64</v>
      </c>
      <c r="F3937" s="19" t="n">
        <f aca="false">'SALES Raw'!E1497*$H$4</f>
        <v>1.26315789473684</v>
      </c>
      <c r="G3937" s="19" t="n">
        <f aca="false">'SALES Raw'!F1497*$H$4</f>
        <v>130.193684210526</v>
      </c>
      <c r="H3937" s="18" t="str">
        <f aca="false">'SALES Raw'!A1497</f>
        <v>103 - Physiotherapy institutes</v>
      </c>
    </row>
    <row r="3938" customFormat="false" ht="15" hidden="false" customHeight="false" outlineLevel="0" collapsed="false">
      <c r="A3938" s="18" t="str">
        <f aca="false">'SALES Raw'!G1509</f>
        <v/>
      </c>
      <c r="B3938" s="18" t="str">
        <f aca="false">'SALES Raw'!B1509</f>
        <v>20 XS</v>
      </c>
      <c r="C3938" s="18" t="str">
        <f aca="false">'SALES Raw'!H1509</f>
        <v>20 XS</v>
      </c>
      <c r="D3938" s="19" t="n">
        <f aca="false">'SALES Raw'!C1509</f>
        <v>0</v>
      </c>
      <c r="E3938" s="19" t="n">
        <f aca="false">'SALES Raw'!D1509</f>
        <v>0</v>
      </c>
      <c r="F3938" s="19" t="n">
        <f aca="false">'SALES Raw'!E1509*$H$4</f>
        <v>1.26315789473684</v>
      </c>
      <c r="G3938" s="19" t="n">
        <f aca="false">'SALES Raw'!F1509*$H$4</f>
        <v>41.9747368421053</v>
      </c>
      <c r="H3938" s="18" t="str">
        <f aca="false">'SALES Raw'!A1509</f>
        <v>103 - Physiotherapy institutes</v>
      </c>
    </row>
    <row r="3939" customFormat="false" ht="15" hidden="false" customHeight="false" outlineLevel="0" collapsed="false">
      <c r="A3939" s="18" t="str">
        <f aca="false">'SALES Raw'!G1511</f>
        <v/>
      </c>
      <c r="B3939" s="18" t="str">
        <f aca="false">'SALES Raw'!B1511</f>
        <v>21 XXL</v>
      </c>
      <c r="C3939" s="18" t="str">
        <f aca="false">'SALES Raw'!H1511</f>
        <v>21 XXL</v>
      </c>
      <c r="D3939" s="19" t="n">
        <f aca="false">'SALES Raw'!C1511</f>
        <v>1</v>
      </c>
      <c r="E3939" s="19" t="n">
        <f aca="false">'SALES Raw'!D1511</f>
        <v>39.79</v>
      </c>
      <c r="F3939" s="19" t="n">
        <f aca="false">'SALES Raw'!E1511*$H$4</f>
        <v>1.26315789473684</v>
      </c>
      <c r="G3939" s="19" t="n">
        <f aca="false">'SALES Raw'!F1511*$H$4</f>
        <v>50.2610526315789</v>
      </c>
      <c r="H3939" s="18" t="str">
        <f aca="false">'SALES Raw'!A1511</f>
        <v>103 - Physiotherapy institutes</v>
      </c>
    </row>
    <row r="3940" customFormat="false" ht="15" hidden="false" customHeight="false" outlineLevel="0" collapsed="false">
      <c r="A3940" s="18" t="n">
        <f aca="false">'SALES Raw'!G1518</f>
        <v>4413499</v>
      </c>
      <c r="B3940" s="18" t="str">
        <f aca="false">'SALES Raw'!B1518</f>
        <v>45B XXL</v>
      </c>
      <c r="C3940" s="18" t="str">
        <f aca="false">'SALES Raw'!H1518</f>
        <v>45B XXLמגן ברך שחור</v>
      </c>
      <c r="D3940" s="19" t="n">
        <f aca="false">'SALES Raw'!C1518</f>
        <v>2</v>
      </c>
      <c r="E3940" s="19" t="n">
        <f aca="false">'SALES Raw'!D1518</f>
        <v>38</v>
      </c>
      <c r="F3940" s="19" t="n">
        <f aca="false">'SALES Raw'!E1518*$H$4</f>
        <v>1.26315789473684</v>
      </c>
      <c r="G3940" s="19" t="n">
        <f aca="false">'SALES Raw'!F1518*$H$4</f>
        <v>39.0189473684211</v>
      </c>
      <c r="H3940" s="18" t="str">
        <f aca="false">'SALES Raw'!A1518</f>
        <v>103 - Physiotherapy institutes</v>
      </c>
    </row>
    <row r="3941" customFormat="false" ht="15" hidden="false" customHeight="false" outlineLevel="0" collapsed="false">
      <c r="A3941" s="18" t="n">
        <f aca="false">'SALES Raw'!G1520</f>
        <v>4413113</v>
      </c>
      <c r="B3941" s="18" t="str">
        <f aca="false">'SALES Raw'!B1520</f>
        <v>49 M</v>
      </c>
      <c r="C3941" s="18" t="str">
        <f aca="false">'SALES Raw'!H1520</f>
        <v>49  M מגן ירך</v>
      </c>
      <c r="D3941" s="19" t="n">
        <f aca="false">'SALES Raw'!C1520</f>
        <v>2</v>
      </c>
      <c r="E3941" s="19" t="n">
        <f aca="false">'SALES Raw'!D1520</f>
        <v>68.15</v>
      </c>
      <c r="F3941" s="19" t="n">
        <f aca="false">'SALES Raw'!E1520*$H$4</f>
        <v>1.26315789473684</v>
      </c>
      <c r="G3941" s="19" t="n">
        <f aca="false">'SALES Raw'!F1520*$H$4</f>
        <v>44.3494736842105</v>
      </c>
      <c r="H3941" s="18" t="str">
        <f aca="false">'SALES Raw'!A1520</f>
        <v>103 - Physiotherapy institutes</v>
      </c>
    </row>
    <row r="3942" customFormat="false" ht="15" hidden="false" customHeight="false" outlineLevel="0" collapsed="false">
      <c r="A3942" s="18" t="n">
        <f aca="false">'SALES Raw'!G1522</f>
        <v>4413115</v>
      </c>
      <c r="B3942" s="18" t="str">
        <f aca="false">'SALES Raw'!B1522</f>
        <v>49 XXL</v>
      </c>
      <c r="C3942" s="18" t="str">
        <f aca="false">'SALES Raw'!H1522</f>
        <v>49 XXL מגן ירך</v>
      </c>
      <c r="D3942" s="19" t="n">
        <f aca="false">'SALES Raw'!C1522</f>
        <v>0</v>
      </c>
      <c r="E3942" s="19" t="n">
        <f aca="false">'SALES Raw'!D1522</f>
        <v>0</v>
      </c>
      <c r="F3942" s="19" t="n">
        <f aca="false">'SALES Raw'!E1522*$H$4</f>
        <v>1.26315789473684</v>
      </c>
      <c r="G3942" s="19" t="n">
        <f aca="false">'SALES Raw'!F1522*$H$4</f>
        <v>44.3494736842105</v>
      </c>
      <c r="H3942" s="18" t="str">
        <f aca="false">'SALES Raw'!A1522</f>
        <v>103 - Physiotherapy institutes</v>
      </c>
    </row>
    <row r="3943" customFormat="false" ht="15" hidden="false" customHeight="false" outlineLevel="0" collapsed="false">
      <c r="A3943" s="18" t="n">
        <f aca="false">'SALES Raw'!G1525</f>
        <v>4418002</v>
      </c>
      <c r="B3943" s="18" t="str">
        <f aca="false">'SALES Raw'!B1525</f>
        <v>60 S</v>
      </c>
      <c r="C3943" s="18" t="str">
        <f aca="false">'SALES Raw'!H1525</f>
        <v>60 S צוארון ספוגי</v>
      </c>
      <c r="D3943" s="19" t="n">
        <f aca="false">'SALES Raw'!C1525</f>
        <v>1</v>
      </c>
      <c r="E3943" s="19" t="n">
        <f aca="false">'SALES Raw'!D1525</f>
        <v>49.63</v>
      </c>
      <c r="F3943" s="19" t="n">
        <f aca="false">'SALES Raw'!E1525*$H$4</f>
        <v>1.26315789473684</v>
      </c>
      <c r="G3943" s="19" t="n">
        <f aca="false">'SALES Raw'!F1525*$H$4</f>
        <v>62.6905263157895</v>
      </c>
      <c r="H3943" s="18" t="str">
        <f aca="false">'SALES Raw'!A1525</f>
        <v>103 - Physiotherapy institutes</v>
      </c>
    </row>
    <row r="3944" customFormat="false" ht="15" hidden="false" customHeight="false" outlineLevel="0" collapsed="false">
      <c r="A3944" s="18" t="str">
        <f aca="false">'SALES Raw'!G1527</f>
        <v/>
      </c>
      <c r="B3944" s="18" t="str">
        <f aca="false">'SALES Raw'!B1527</f>
        <v>60 XS</v>
      </c>
      <c r="C3944" s="18" t="str">
        <f aca="false">'SALES Raw'!H1527</f>
        <v>60 XS</v>
      </c>
      <c r="D3944" s="19" t="n">
        <f aca="false">'SALES Raw'!C1527</f>
        <v>0</v>
      </c>
      <c r="E3944" s="19" t="n">
        <f aca="false">'SALES Raw'!D1527</f>
        <v>0</v>
      </c>
      <c r="F3944" s="19" t="n">
        <f aca="false">'SALES Raw'!E1527*$H$4</f>
        <v>1.26315789473684</v>
      </c>
      <c r="G3944" s="19" t="n">
        <f aca="false">'SALES Raw'!F1527*$H$4</f>
        <v>62.6905263157895</v>
      </c>
      <c r="H3944" s="18" t="str">
        <f aca="false">'SALES Raw'!A1527</f>
        <v>103 - Physiotherapy institutes</v>
      </c>
    </row>
    <row r="3945" customFormat="false" ht="15" hidden="false" customHeight="false" outlineLevel="0" collapsed="false">
      <c r="A3945" s="18" t="n">
        <f aca="false">'SALES Raw'!G1529</f>
        <v>4413133</v>
      </c>
      <c r="B3945" s="18" t="str">
        <f aca="false">'SALES Raw'!B1529</f>
        <v>76 M</v>
      </c>
      <c r="C3945" s="18" t="str">
        <f aca="false">'SALES Raw'!H1529</f>
        <v>76 Mמיישר כתף יציב,יישור רחב</v>
      </c>
      <c r="D3945" s="19" t="n">
        <f aca="false">'SALES Raw'!C1529</f>
        <v>1</v>
      </c>
      <c r="E3945" s="19" t="n">
        <f aca="false">'SALES Raw'!D1529</f>
        <v>136</v>
      </c>
      <c r="F3945" s="19" t="n">
        <f aca="false">'SALES Raw'!E1529*$H$4</f>
        <v>1.26315789473684</v>
      </c>
      <c r="G3945" s="19" t="n">
        <f aca="false">'SALES Raw'!F1529*$H$4</f>
        <v>202.105263157895</v>
      </c>
      <c r="H3945" s="18" t="str">
        <f aca="false">'SALES Raw'!A1529</f>
        <v>103 - Physiotherapy institutes</v>
      </c>
    </row>
    <row r="3946" customFormat="false" ht="15" hidden="false" customHeight="false" outlineLevel="0" collapsed="false">
      <c r="A3946" s="18" t="n">
        <f aca="false">'SALES Raw'!G1530</f>
        <v>4413131</v>
      </c>
      <c r="B3946" s="18" t="str">
        <f aca="false">'SALES Raw'!B1530</f>
        <v>76 S</v>
      </c>
      <c r="C3946" s="18" t="str">
        <f aca="false">'SALES Raw'!H1530</f>
        <v>76 Sמיישר כתף יציב יישור ג.רחב</v>
      </c>
      <c r="D3946" s="19" t="n">
        <f aca="false">'SALES Raw'!C1530</f>
        <v>0</v>
      </c>
      <c r="E3946" s="19" t="n">
        <f aca="false">'SALES Raw'!D1530</f>
        <v>0</v>
      </c>
      <c r="F3946" s="19" t="n">
        <f aca="false">'SALES Raw'!E1530*$H$4</f>
        <v>1.26315789473684</v>
      </c>
      <c r="G3946" s="19" t="n">
        <f aca="false">'SALES Raw'!F1530*$H$4</f>
        <v>202.105263157895</v>
      </c>
      <c r="H3946" s="18" t="str">
        <f aca="false">'SALES Raw'!A1530</f>
        <v>103 - Physiotherapy institutes</v>
      </c>
    </row>
    <row r="3947" customFormat="false" ht="15" hidden="false" customHeight="false" outlineLevel="0" collapsed="false">
      <c r="A3947" s="18" t="n">
        <f aca="false">'SALES Raw'!G1531</f>
        <v>4413197</v>
      </c>
      <c r="B3947" s="18" t="str">
        <f aca="false">'SALES Raw'!B1531</f>
        <v>87 L</v>
      </c>
      <c r="C3947" s="18" t="str">
        <f aca="false">'SALES Raw'!H1531</f>
        <v>87 L מקבע כתף ויד</v>
      </c>
      <c r="D3947" s="19" t="n">
        <f aca="false">'SALES Raw'!C1531</f>
        <v>0</v>
      </c>
      <c r="E3947" s="19" t="n">
        <f aca="false">'SALES Raw'!D1531</f>
        <v>0</v>
      </c>
      <c r="F3947" s="19" t="n">
        <f aca="false">'SALES Raw'!E1531*$H$4</f>
        <v>1.26315789473684</v>
      </c>
      <c r="G3947" s="19" t="n">
        <f aca="false">'SALES Raw'!F1531*$H$4</f>
        <v>176.842105263158</v>
      </c>
      <c r="H3947" s="18" t="str">
        <f aca="false">'SALES Raw'!A1531</f>
        <v>103 - Physiotherapy institutes</v>
      </c>
    </row>
    <row r="3948" customFormat="false" ht="15" hidden="false" customHeight="false" outlineLevel="0" collapsed="false">
      <c r="A3948" s="18" t="n">
        <f aca="false">'SALES Raw'!G1532</f>
        <v>4413196</v>
      </c>
      <c r="B3948" s="18" t="str">
        <f aca="false">'SALES Raw'!B1532</f>
        <v>87 M</v>
      </c>
      <c r="C3948" s="18" t="str">
        <f aca="false">'SALES Raw'!H1532</f>
        <v>87 M מקבע כתף ויד</v>
      </c>
      <c r="D3948" s="19" t="n">
        <f aca="false">'SALES Raw'!C1532</f>
        <v>0</v>
      </c>
      <c r="E3948" s="19" t="n">
        <f aca="false">'SALES Raw'!D1532</f>
        <v>0</v>
      </c>
      <c r="F3948" s="19" t="n">
        <f aca="false">'SALES Raw'!E1532*$H$4</f>
        <v>1.26315789473684</v>
      </c>
      <c r="G3948" s="19" t="n">
        <f aca="false">'SALES Raw'!F1532*$H$4</f>
        <v>176.842105263158</v>
      </c>
      <c r="H3948" s="18" t="str">
        <f aca="false">'SALES Raw'!A1532</f>
        <v>103 - Physiotherapy institutes</v>
      </c>
    </row>
    <row r="3949" customFormat="false" ht="15" hidden="false" customHeight="false" outlineLevel="0" collapsed="false">
      <c r="A3949" s="18" t="n">
        <f aca="false">'SALES Raw'!G1533</f>
        <v>4413195</v>
      </c>
      <c r="B3949" s="18" t="str">
        <f aca="false">'SALES Raw'!B1533</f>
        <v>87 S</v>
      </c>
      <c r="C3949" s="18" t="str">
        <f aca="false">'SALES Raw'!H1533</f>
        <v>87 S מקבע כתף ויד</v>
      </c>
      <c r="D3949" s="19" t="n">
        <f aca="false">'SALES Raw'!C1533</f>
        <v>0</v>
      </c>
      <c r="E3949" s="19" t="n">
        <f aca="false">'SALES Raw'!D1533</f>
        <v>0</v>
      </c>
      <c r="F3949" s="19" t="n">
        <f aca="false">'SALES Raw'!E1533*$H$4</f>
        <v>1.26315789473684</v>
      </c>
      <c r="G3949" s="19" t="n">
        <f aca="false">'SALES Raw'!F1533*$H$4</f>
        <v>176.842105263158</v>
      </c>
      <c r="H3949" s="18" t="str">
        <f aca="false">'SALES Raw'!A1533</f>
        <v>103 - Physiotherapy institutes</v>
      </c>
    </row>
    <row r="3950" customFormat="false" ht="15" hidden="false" customHeight="false" outlineLevel="0" collapsed="false">
      <c r="A3950" s="18" t="n">
        <f aca="false">'SALES Raw'!G1534</f>
        <v>4413198</v>
      </c>
      <c r="B3950" s="18" t="str">
        <f aca="false">'SALES Raw'!B1534</f>
        <v>87 XL</v>
      </c>
      <c r="C3950" s="18" t="str">
        <f aca="false">'SALES Raw'!H1534</f>
        <v>87 XL מקבע כתף ויד</v>
      </c>
      <c r="D3950" s="19" t="n">
        <f aca="false">'SALES Raw'!C1534</f>
        <v>0</v>
      </c>
      <c r="E3950" s="19" t="n">
        <f aca="false">'SALES Raw'!D1534</f>
        <v>0</v>
      </c>
      <c r="F3950" s="19" t="n">
        <f aca="false">'SALES Raw'!E1534*$H$4</f>
        <v>1.26315789473684</v>
      </c>
      <c r="G3950" s="19" t="n">
        <f aca="false">'SALES Raw'!F1534*$H$4</f>
        <v>176.842105263158</v>
      </c>
      <c r="H3950" s="18" t="str">
        <f aca="false">'SALES Raw'!A1534</f>
        <v>103 - Physiotherapy institutes</v>
      </c>
    </row>
    <row r="3951" customFormat="false" ht="15" hidden="false" customHeight="false" outlineLevel="0" collapsed="false">
      <c r="A3951" s="18" t="str">
        <f aca="false">'SALES Raw'!G1535</f>
        <v/>
      </c>
      <c r="B3951" s="18" t="str">
        <f aca="false">'SALES Raw'!B1535</f>
        <v>87 XS</v>
      </c>
      <c r="C3951" s="18" t="str">
        <f aca="false">'SALES Raw'!H1535</f>
        <v>87 XS</v>
      </c>
      <c r="D3951" s="19" t="n">
        <f aca="false">'SALES Raw'!C1535</f>
        <v>0</v>
      </c>
      <c r="E3951" s="19" t="n">
        <f aca="false">'SALES Raw'!D1535</f>
        <v>0</v>
      </c>
      <c r="F3951" s="19" t="n">
        <f aca="false">'SALES Raw'!E1535*$H$4</f>
        <v>1.26315789473684</v>
      </c>
      <c r="G3951" s="19" t="n">
        <f aca="false">'SALES Raw'!F1535*$H$4</f>
        <v>176.842105263158</v>
      </c>
      <c r="H3951" s="18" t="str">
        <f aca="false">'SALES Raw'!A1535</f>
        <v>103 - Physiotherapy institutes</v>
      </c>
    </row>
    <row r="3952" customFormat="false" ht="15" hidden="false" customHeight="false" outlineLevel="0" collapsed="false">
      <c r="A3952" s="18" t="n">
        <f aca="false">'SALES Raw'!G1536</f>
        <v>4413204</v>
      </c>
      <c r="B3952" s="18" t="str">
        <f aca="false">'SALES Raw'!B1536</f>
        <v>87 XXL</v>
      </c>
      <c r="C3952" s="18" t="str">
        <f aca="false">'SALES Raw'!H1536</f>
        <v>87 XXL מקבע כתף ויד</v>
      </c>
      <c r="D3952" s="19" t="n">
        <f aca="false">'SALES Raw'!C1536</f>
        <v>0</v>
      </c>
      <c r="E3952" s="19" t="n">
        <f aca="false">'SALES Raw'!D1536</f>
        <v>0</v>
      </c>
      <c r="F3952" s="19" t="n">
        <f aca="false">'SALES Raw'!E1536*$H$4</f>
        <v>1.26315789473684</v>
      </c>
      <c r="G3952" s="19" t="n">
        <f aca="false">'SALES Raw'!F1536*$H$4</f>
        <v>176.842105263158</v>
      </c>
      <c r="H3952" s="18" t="str">
        <f aca="false">'SALES Raw'!A1536</f>
        <v>103 - Physiotherapy institutes</v>
      </c>
    </row>
    <row r="3953" customFormat="false" ht="15" hidden="false" customHeight="false" outlineLevel="0" collapsed="false">
      <c r="A3953" s="18" t="str">
        <f aca="false">'SALES Raw'!G1540</f>
        <v/>
      </c>
      <c r="B3953" s="18" t="str">
        <f aca="false">'SALES Raw'!B1540</f>
        <v>922B XL</v>
      </c>
      <c r="C3953" s="18" t="str">
        <f aca="false">'SALES Raw'!H1540</f>
        <v>922B XL</v>
      </c>
      <c r="D3953" s="19" t="n">
        <f aca="false">'SALES Raw'!C1540</f>
        <v>2</v>
      </c>
      <c r="E3953" s="19" t="n">
        <f aca="false">'SALES Raw'!D1540</f>
        <v>201.97</v>
      </c>
      <c r="F3953" s="19" t="n">
        <f aca="false">'SALES Raw'!E1540*$H$4</f>
        <v>1.26315789473684</v>
      </c>
      <c r="G3953" s="19" t="n">
        <f aca="false">'SALES Raw'!F1540*$H$4</f>
        <v>113.684210526316</v>
      </c>
      <c r="H3953" s="18" t="str">
        <f aca="false">'SALES Raw'!A1540</f>
        <v>103 - Physiotherapy institutes</v>
      </c>
    </row>
    <row r="3954" customFormat="false" ht="15" hidden="false" customHeight="false" outlineLevel="0" collapsed="false">
      <c r="A3954" s="18" t="n">
        <f aca="false">'SALES Raw'!G1547</f>
        <v>4415072</v>
      </c>
      <c r="B3954" s="18" t="str">
        <f aca="false">'SALES Raw'!B1547</f>
        <v>T28A-S-M</v>
      </c>
      <c r="C3954" s="18" t="str">
        <f aca="false">'SALES Raw'!H1547</f>
        <v>T28A S-M סד לאגודל</v>
      </c>
      <c r="D3954" s="19" t="n">
        <f aca="false">'SALES Raw'!C1547</f>
        <v>1</v>
      </c>
      <c r="E3954" s="19" t="n">
        <f aca="false">'SALES Raw'!D1547</f>
        <v>67.55</v>
      </c>
      <c r="F3954" s="19" t="n">
        <f aca="false">'SALES Raw'!E1547*$H$4</f>
        <v>1.26315789473684</v>
      </c>
      <c r="G3954" s="19" t="n">
        <f aca="false">'SALES Raw'!F1547*$H$4</f>
        <v>88.7747368421053</v>
      </c>
      <c r="H3954" s="18" t="str">
        <f aca="false">'SALES Raw'!A1547</f>
        <v>103 - Physiotherapy institutes</v>
      </c>
    </row>
    <row r="3955" customFormat="false" ht="15" hidden="false" customHeight="false" outlineLevel="0" collapsed="false">
      <c r="A3955" s="18" t="n">
        <f aca="false">'SALES Raw'!G1553</f>
        <v>4415007</v>
      </c>
      <c r="B3955" s="18" t="str">
        <f aca="false">'SALES Raw'!B1553</f>
        <v>28 S</v>
      </c>
      <c r="C3955" s="18" t="str">
        <f aca="false">'SALES Raw'!H1553</f>
        <v>28 S סד לאגודל לאחר שבר</v>
      </c>
      <c r="D3955" s="19" t="n">
        <f aca="false">'SALES Raw'!C1553</f>
        <v>1</v>
      </c>
      <c r="E3955" s="19" t="n">
        <f aca="false">'SALES Raw'!D1553</f>
        <v>103.07</v>
      </c>
      <c r="F3955" s="19" t="n">
        <f aca="false">'SALES Raw'!E1553*$H$4</f>
        <v>1.26315789473684</v>
      </c>
      <c r="G3955" s="19" t="n">
        <f aca="false">'SALES Raw'!F1553*$H$4</f>
        <v>130.193684210526</v>
      </c>
      <c r="H3955" s="18" t="str">
        <f aca="false">'SALES Raw'!A1553</f>
        <v>103 - Physiotherapy institutes</v>
      </c>
    </row>
    <row r="3956" customFormat="false" ht="15" hidden="false" customHeight="false" outlineLevel="0" collapsed="false">
      <c r="A3956" s="18" t="str">
        <f aca="false">'SALES Raw'!G1556</f>
        <v/>
      </c>
      <c r="B3956" s="18" t="str">
        <f aca="false">'SALES Raw'!B1556</f>
        <v>422E XXL</v>
      </c>
      <c r="C3956" s="18" t="str">
        <f aca="false">'SALES Raw'!H1556</f>
        <v>422E XXL</v>
      </c>
      <c r="D3956" s="19" t="n">
        <f aca="false">'SALES Raw'!C1556</f>
        <v>0</v>
      </c>
      <c r="E3956" s="19" t="n">
        <f aca="false">'SALES Raw'!D1556</f>
        <v>0</v>
      </c>
      <c r="F3956" s="19" t="n">
        <f aca="false">'SALES Raw'!E1556*$H$4</f>
        <v>1.26315789473684</v>
      </c>
      <c r="G3956" s="19" t="n">
        <f aca="false">'SALES Raw'!F1556*$H$4</f>
        <v>121.263157894737</v>
      </c>
      <c r="H3956" s="18" t="str">
        <f aca="false">'SALES Raw'!A1556</f>
        <v>103 - Physiotherapy institutes</v>
      </c>
    </row>
    <row r="3957" customFormat="false" ht="15" hidden="false" customHeight="false" outlineLevel="0" collapsed="false">
      <c r="A3957" s="18" t="n">
        <f aca="false">'SALES Raw'!G1557</f>
        <v>4408081</v>
      </c>
      <c r="B3957" s="18" t="str">
        <f aca="false">'SALES Raw'!B1557</f>
        <v>59R M</v>
      </c>
      <c r="C3957" s="18" t="str">
        <f aca="false">'SALES Raw'!H1557</f>
        <v>59R M חגורת שבר לצד ימין</v>
      </c>
      <c r="D3957" s="19" t="n">
        <f aca="false">'SALES Raw'!C1557</f>
        <v>0</v>
      </c>
      <c r="E3957" s="19" t="n">
        <f aca="false">'SALES Raw'!D1557</f>
        <v>0</v>
      </c>
      <c r="F3957" s="19" t="n">
        <f aca="false">'SALES Raw'!E1557*$H$4</f>
        <v>1.26315789473684</v>
      </c>
      <c r="G3957" s="19" t="n">
        <f aca="false">'SALES Raw'!F1557*$H$4</f>
        <v>176.842105263158</v>
      </c>
      <c r="H3957" s="18" t="str">
        <f aca="false">'SALES Raw'!A1557</f>
        <v>103 - Physiotherapy institutes</v>
      </c>
    </row>
    <row r="3958" customFormat="false" ht="15" hidden="false" customHeight="false" outlineLevel="0" collapsed="false">
      <c r="A3958" s="18" t="str">
        <f aca="false">'SALES Raw'!G1560</f>
        <v/>
      </c>
      <c r="B3958" s="18" t="str">
        <f aca="false">'SALES Raw'!B1560</f>
        <v>922B S</v>
      </c>
      <c r="C3958" s="18" t="str">
        <f aca="false">'SALES Raw'!H1560</f>
        <v>922B S</v>
      </c>
      <c r="D3958" s="19" t="n">
        <f aca="false">'SALES Raw'!C1560</f>
        <v>0</v>
      </c>
      <c r="E3958" s="19" t="n">
        <f aca="false">'SALES Raw'!D1560</f>
        <v>0</v>
      </c>
      <c r="F3958" s="19" t="n">
        <f aca="false">'SALES Raw'!E1560*$H$4</f>
        <v>1.26315789473684</v>
      </c>
      <c r="G3958" s="19" t="n">
        <f aca="false">'SALES Raw'!F1560*$H$4</f>
        <v>113.684210526316</v>
      </c>
      <c r="H3958" s="18" t="str">
        <f aca="false">'SALES Raw'!A1560</f>
        <v>103 - Physiotherapy institutes</v>
      </c>
    </row>
    <row r="3959" customFormat="false" ht="15" hidden="false" customHeight="false" outlineLevel="0" collapsed="false">
      <c r="A3959" s="18" t="n">
        <f aca="false">'SALES Raw'!G1578</f>
        <v>4413049</v>
      </c>
      <c r="B3959" s="18" t="str">
        <f aca="false">'SALES Raw'!B1578</f>
        <v>35 M</v>
      </c>
      <c r="C3959" s="18" t="str">
        <f aca="false">'SALES Raw'!H1578</f>
        <v>35 M מגן קרסול לבן</v>
      </c>
      <c r="D3959" s="19" t="n">
        <f aca="false">'SALES Raw'!C1578</f>
        <v>1</v>
      </c>
      <c r="E3959" s="19" t="n">
        <f aca="false">'SALES Raw'!D1578</f>
        <v>30.89</v>
      </c>
      <c r="F3959" s="19" t="n">
        <f aca="false">'SALES Raw'!E1578*$H$4</f>
        <v>1.26315789473684</v>
      </c>
      <c r="G3959" s="19" t="n">
        <f aca="false">'SALES Raw'!F1578*$H$4</f>
        <v>39.0189473684211</v>
      </c>
      <c r="H3959" s="18" t="str">
        <f aca="false">'SALES Raw'!A1578</f>
        <v>103 - Physiotherapy institutes</v>
      </c>
    </row>
    <row r="3960" customFormat="false" ht="15" hidden="false" customHeight="false" outlineLevel="0" collapsed="false">
      <c r="A3960" s="18" t="n">
        <f aca="false">'SALES Raw'!G1582</f>
        <v>4413129</v>
      </c>
      <c r="B3960" s="18" t="str">
        <f aca="false">'SALES Raw'!B1582</f>
        <v>75 XL</v>
      </c>
      <c r="C3960" s="18" t="str">
        <f aca="false">'SALES Raw'!H1582</f>
        <v>75 XLמיישר כתף יציב יישור ג.צר</v>
      </c>
      <c r="D3960" s="19" t="n">
        <f aca="false">'SALES Raw'!C1582</f>
        <v>0</v>
      </c>
      <c r="E3960" s="19" t="n">
        <f aca="false">'SALES Raw'!D1582</f>
        <v>0</v>
      </c>
      <c r="F3960" s="19" t="n">
        <f aca="false">'SALES Raw'!E1582*$H$4</f>
        <v>1.26315789473684</v>
      </c>
      <c r="G3960" s="19" t="n">
        <f aca="false">'SALES Raw'!F1582*$H$4</f>
        <v>207.170526315789</v>
      </c>
      <c r="H3960" s="18" t="str">
        <f aca="false">'SALES Raw'!A1582</f>
        <v>103 - Physiotherapy institutes</v>
      </c>
    </row>
    <row r="3961" customFormat="false" ht="15" hidden="false" customHeight="false" outlineLevel="0" collapsed="false">
      <c r="A3961" s="18" t="n">
        <f aca="false">'SALES Raw'!G1600</f>
        <v>4408119</v>
      </c>
      <c r="B3961" s="18" t="str">
        <f aca="false">'SALES Raw'!B1600</f>
        <v>06U L</v>
      </c>
      <c r="C3961" s="18" t="str">
        <f aca="false">'SALES Raw'!H1600</f>
        <v>06U L ח.בטן מותנית צר</v>
      </c>
      <c r="D3961" s="19" t="n">
        <f aca="false">'SALES Raw'!C1600</f>
        <v>0</v>
      </c>
      <c r="E3961" s="19" t="n">
        <f aca="false">'SALES Raw'!D1600</f>
        <v>0</v>
      </c>
      <c r="F3961" s="19" t="n">
        <f aca="false">'SALES Raw'!E1600*$H$4</f>
        <v>1.26315789473684</v>
      </c>
      <c r="G3961" s="19" t="n">
        <f aca="false">'SALES Raw'!F1600*$H$4</f>
        <v>177.562105263158</v>
      </c>
      <c r="H3961" s="18" t="str">
        <f aca="false">'SALES Raw'!A1600</f>
        <v>103 - Physiotherapy institutes</v>
      </c>
    </row>
    <row r="3962" customFormat="false" ht="15" hidden="false" customHeight="false" outlineLevel="0" collapsed="false">
      <c r="A3962" s="18" t="str">
        <f aca="false">'SALES Raw'!G1601</f>
        <v/>
      </c>
      <c r="B3962" s="18" t="str">
        <f aca="false">'SALES Raw'!B1601</f>
        <v>06U M</v>
      </c>
      <c r="C3962" s="18" t="str">
        <f aca="false">'SALES Raw'!H1601</f>
        <v>06U M</v>
      </c>
      <c r="D3962" s="19" t="n">
        <f aca="false">'SALES Raw'!C1601</f>
        <v>0</v>
      </c>
      <c r="E3962" s="19" t="n">
        <f aca="false">'SALES Raw'!D1601</f>
        <v>0</v>
      </c>
      <c r="F3962" s="19" t="n">
        <f aca="false">'SALES Raw'!E1601*$H$4</f>
        <v>1.26315789473684</v>
      </c>
      <c r="G3962" s="19" t="n">
        <f aca="false">'SALES Raw'!F1601*$H$4</f>
        <v>177.486315789474</v>
      </c>
      <c r="H3962" s="18" t="str">
        <f aca="false">'SALES Raw'!A1601</f>
        <v>103 - Physiotherapy institutes</v>
      </c>
    </row>
    <row r="3963" customFormat="false" ht="15" hidden="false" customHeight="false" outlineLevel="0" collapsed="false">
      <c r="A3963" s="18" t="n">
        <f aca="false">'SALES Raw'!G1602</f>
        <v>4408120</v>
      </c>
      <c r="B3963" s="18" t="str">
        <f aca="false">'SALES Raw'!B1602</f>
        <v>06U XL</v>
      </c>
      <c r="C3963" s="18" t="str">
        <f aca="false">'SALES Raw'!H1602</f>
        <v>06U XL ח.בטן מותנית צר</v>
      </c>
      <c r="D3963" s="19" t="n">
        <f aca="false">'SALES Raw'!C1602</f>
        <v>0</v>
      </c>
      <c r="E3963" s="19" t="n">
        <f aca="false">'SALES Raw'!D1602</f>
        <v>0</v>
      </c>
      <c r="F3963" s="19" t="n">
        <f aca="false">'SALES Raw'!E1602*$H$4</f>
        <v>1.26315789473684</v>
      </c>
      <c r="G3963" s="19" t="n">
        <f aca="false">'SALES Raw'!F1602*$H$4</f>
        <v>177.562105263158</v>
      </c>
      <c r="H3963" s="18" t="str">
        <f aca="false">'SALES Raw'!A1602</f>
        <v>103 - Physiotherapy institutes</v>
      </c>
    </row>
    <row r="3964" customFormat="false" ht="15" hidden="false" customHeight="false" outlineLevel="0" collapsed="false">
      <c r="A3964" s="18" t="n">
        <f aca="false">'SALES Raw'!G1603</f>
        <v>4408016</v>
      </c>
      <c r="B3964" s="18" t="str">
        <f aca="false">'SALES Raw'!B1603</f>
        <v>07AU M</v>
      </c>
      <c r="C3964" s="18" t="str">
        <f aca="false">'SALES Raw'!H1603</f>
        <v>07AU M ח.גב """"איטלקית"""" אורירית</v>
      </c>
      <c r="D3964" s="19" t="n">
        <f aca="false">'SALES Raw'!C1603</f>
        <v>0</v>
      </c>
      <c r="E3964" s="19" t="n">
        <f aca="false">'SALES Raw'!D1603</f>
        <v>0</v>
      </c>
      <c r="F3964" s="19" t="n">
        <f aca="false">'SALES Raw'!E1603*$H$4</f>
        <v>1.26315789473684</v>
      </c>
      <c r="G3964" s="19" t="n">
        <f aca="false">'SALES Raw'!F1603*$H$4</f>
        <v>277.894736842105</v>
      </c>
      <c r="H3964" s="18" t="str">
        <f aca="false">'SALES Raw'!A1603</f>
        <v>103 - Physiotherapy institutes</v>
      </c>
    </row>
    <row r="3965" customFormat="false" ht="15" hidden="false" customHeight="false" outlineLevel="0" collapsed="false">
      <c r="A3965" s="18" t="n">
        <f aca="false">'SALES Raw'!G1604</f>
        <v>4403042</v>
      </c>
      <c r="B3965" s="18" t="str">
        <f aca="false">'SALES Raw'!B1604</f>
        <v>397A-39-42</v>
      </c>
      <c r="C3965" s="18" t="str">
        <f aca="false">'SALES Raw'!H1604</f>
        <v>397A-גרבי טיסה אנטי בקטרי39-42</v>
      </c>
      <c r="D3965" s="19" t="n">
        <f aca="false">'SALES Raw'!C1604</f>
        <v>0</v>
      </c>
      <c r="E3965" s="19" t="n">
        <f aca="false">'SALES Raw'!D1604</f>
        <v>0</v>
      </c>
      <c r="F3965" s="19" t="n">
        <f aca="false">'SALES Raw'!E1604*$H$4</f>
        <v>1.26315789473684</v>
      </c>
      <c r="G3965" s="19" t="n">
        <f aca="false">'SALES Raw'!F1604*$H$4</f>
        <v>79.8694736842105</v>
      </c>
      <c r="H3965" s="18" t="str">
        <f aca="false">'SALES Raw'!A1604</f>
        <v>103 - Physiotherapy institutes</v>
      </c>
    </row>
    <row r="3966" customFormat="false" ht="15" hidden="false" customHeight="false" outlineLevel="0" collapsed="false">
      <c r="A3966" s="18" t="n">
        <f aca="false">'SALES Raw'!G1605</f>
        <v>4413417</v>
      </c>
      <c r="B3966" s="18" t="str">
        <f aca="false">'SALES Raw'!B1605</f>
        <v>SC39 L</v>
      </c>
      <c r="C3966" s="18" t="str">
        <f aca="false">'SALES Raw'!H1605</f>
        <v>SC39  L מגן שוק</v>
      </c>
      <c r="D3966" s="19" t="n">
        <f aca="false">'SALES Raw'!C1605</f>
        <v>0</v>
      </c>
      <c r="E3966" s="19" t="n">
        <f aca="false">'SALES Raw'!D1605</f>
        <v>0</v>
      </c>
      <c r="F3966" s="19" t="n">
        <f aca="false">'SALES Raw'!E1605*$H$4</f>
        <v>1.26315789473684</v>
      </c>
      <c r="G3966" s="19" t="n">
        <f aca="false">'SALES Raw'!F1605*$H$4</f>
        <v>207.208421052632</v>
      </c>
      <c r="H3966" s="18" t="str">
        <f aca="false">'SALES Raw'!A1605</f>
        <v>103 - Physiotherapy institutes</v>
      </c>
    </row>
    <row r="3967" customFormat="false" ht="15" hidden="false" customHeight="false" outlineLevel="0" collapsed="false">
      <c r="A3967" s="18" t="n">
        <f aca="false">'SALES Raw'!G1606</f>
        <v>4413418</v>
      </c>
      <c r="B3967" s="18" t="str">
        <f aca="false">'SALES Raw'!B1606</f>
        <v>SC39 XL</v>
      </c>
      <c r="C3967" s="18" t="str">
        <f aca="false">'SALES Raw'!H1606</f>
        <v>SC39 XL מגן שוק</v>
      </c>
      <c r="D3967" s="19" t="n">
        <f aca="false">'SALES Raw'!C1606</f>
        <v>0</v>
      </c>
      <c r="E3967" s="19" t="n">
        <f aca="false">'SALES Raw'!D1606</f>
        <v>0</v>
      </c>
      <c r="F3967" s="19" t="n">
        <f aca="false">'SALES Raw'!E1606*$H$4</f>
        <v>1.26315789473684</v>
      </c>
      <c r="G3967" s="19" t="n">
        <f aca="false">'SALES Raw'!F1606*$H$4</f>
        <v>207.195789473684</v>
      </c>
      <c r="H3967" s="18" t="str">
        <f aca="false">'SALES Raw'!A1606</f>
        <v>103 - Physiotherapy institutes</v>
      </c>
    </row>
    <row r="3968" customFormat="false" ht="15" hidden="false" customHeight="false" outlineLevel="0" collapsed="false">
      <c r="A3968" s="18" t="n">
        <f aca="false">'SALES Raw'!G1609</f>
        <v>4413184</v>
      </c>
      <c r="B3968" s="18" t="str">
        <f aca="false">'SALES Raw'!B1609</f>
        <v>T45 L</v>
      </c>
      <c r="C3968" s="18" t="str">
        <f aca="false">'SALES Raw'!H1609</f>
        <v>T 45 L מגן ברך רגיל</v>
      </c>
      <c r="D3968" s="19" t="n">
        <f aca="false">'SALES Raw'!C1609</f>
        <v>0</v>
      </c>
      <c r="E3968" s="19" t="n">
        <f aca="false">'SALES Raw'!D1609</f>
        <v>0</v>
      </c>
      <c r="F3968" s="19" t="n">
        <f aca="false">'SALES Raw'!E1609*$H$4</f>
        <v>1.26315789473684</v>
      </c>
      <c r="G3968" s="19" t="n">
        <f aca="false">'SALES Raw'!F1609*$H$4</f>
        <v>133.162105263158</v>
      </c>
      <c r="H3968" s="18" t="str">
        <f aca="false">'SALES Raw'!A1609</f>
        <v>103 - Physiotherapy institutes</v>
      </c>
    </row>
    <row r="3969" customFormat="false" ht="15" hidden="false" customHeight="false" outlineLevel="0" collapsed="false">
      <c r="A3969" s="18" t="n">
        <f aca="false">'SALES Raw'!G1610</f>
        <v>4413183</v>
      </c>
      <c r="B3969" s="18" t="str">
        <f aca="false">'SALES Raw'!B1610</f>
        <v>T45 M</v>
      </c>
      <c r="C3969" s="18" t="str">
        <f aca="false">'SALES Raw'!H1610</f>
        <v>T 45 M מגן ברך רגיל</v>
      </c>
      <c r="D3969" s="19" t="n">
        <f aca="false">'SALES Raw'!C1610</f>
        <v>0</v>
      </c>
      <c r="E3969" s="19" t="n">
        <f aca="false">'SALES Raw'!D1610</f>
        <v>0</v>
      </c>
      <c r="F3969" s="19" t="n">
        <f aca="false">'SALES Raw'!E1610*$H$4</f>
        <v>1.26315789473684</v>
      </c>
      <c r="G3969" s="19" t="n">
        <f aca="false">'SALES Raw'!F1610*$H$4</f>
        <v>133.162105263158</v>
      </c>
      <c r="H3969" s="18" t="str">
        <f aca="false">'SALES Raw'!A1610</f>
        <v>103 - Physiotherapy institutes</v>
      </c>
    </row>
    <row r="3970" customFormat="false" ht="15" hidden="false" customHeight="false" outlineLevel="0" collapsed="false">
      <c r="A3970" s="18" t="n">
        <f aca="false">'SALES Raw'!G1611</f>
        <v>4413185</v>
      </c>
      <c r="B3970" s="18" t="str">
        <f aca="false">'SALES Raw'!B1611</f>
        <v>T45 XL</v>
      </c>
      <c r="C3970" s="18" t="str">
        <f aca="false">'SALES Raw'!H1611</f>
        <v>T 45XL מגן ברך רגיל</v>
      </c>
      <c r="D3970" s="19" t="n">
        <f aca="false">'SALES Raw'!C1611</f>
        <v>0</v>
      </c>
      <c r="E3970" s="19" t="n">
        <f aca="false">'SALES Raw'!D1611</f>
        <v>0</v>
      </c>
      <c r="F3970" s="19" t="n">
        <f aca="false">'SALES Raw'!E1611*$H$4</f>
        <v>1.26315789473684</v>
      </c>
      <c r="G3970" s="19" t="n">
        <f aca="false">'SALES Raw'!F1611*$H$4</f>
        <v>133.162105263158</v>
      </c>
      <c r="H3970" s="18" t="str">
        <f aca="false">'SALES Raw'!A1611</f>
        <v>103 - Physiotherapy institutes</v>
      </c>
    </row>
    <row r="3971" customFormat="false" ht="15" hidden="false" customHeight="false" outlineLevel="0" collapsed="false">
      <c r="A3971" s="18" t="n">
        <f aca="false">'SALES Raw'!G1612</f>
        <v>4413286</v>
      </c>
      <c r="B3971" s="18" t="str">
        <f aca="false">'SALES Raw'!B1612</f>
        <v>T45 XXL</v>
      </c>
      <c r="C3971" s="18" t="str">
        <f aca="false">'SALES Raw'!H1612</f>
        <v>T45 XXL מגן ברך רגיל</v>
      </c>
      <c r="D3971" s="19" t="n">
        <f aca="false">'SALES Raw'!C1612</f>
        <v>0</v>
      </c>
      <c r="E3971" s="19" t="n">
        <f aca="false">'SALES Raw'!D1612</f>
        <v>0</v>
      </c>
      <c r="F3971" s="19" t="n">
        <f aca="false">'SALES Raw'!E1612*$H$4</f>
        <v>1.26315789473684</v>
      </c>
      <c r="G3971" s="19" t="n">
        <f aca="false">'SALES Raw'!F1612*$H$4</f>
        <v>133.162105263158</v>
      </c>
      <c r="H3971" s="18" t="str">
        <f aca="false">'SALES Raw'!A1612</f>
        <v>103 - Physiotherapy institutes</v>
      </c>
    </row>
    <row r="3972" customFormat="false" ht="15" hidden="false" customHeight="false" outlineLevel="0" collapsed="false">
      <c r="A3972" s="18" t="n">
        <f aca="false">'SALES Raw'!G1613</f>
        <v>4413408</v>
      </c>
      <c r="B3972" s="18" t="str">
        <f aca="false">'SALES Raw'!B1613</f>
        <v>SC95 XL</v>
      </c>
      <c r="C3972" s="18" t="str">
        <f aca="false">'SALES Raw'!H1613</f>
        <v>SC95 XLמגן מרפק</v>
      </c>
      <c r="D3972" s="19" t="n">
        <f aca="false">'SALES Raw'!C1613</f>
        <v>0</v>
      </c>
      <c r="E3972" s="19" t="n">
        <f aca="false">'SALES Raw'!D1613</f>
        <v>0</v>
      </c>
      <c r="F3972" s="19" t="n">
        <f aca="false">'SALES Raw'!E1613*$H$4</f>
        <v>1.26315789473684</v>
      </c>
      <c r="G3972" s="19" t="n">
        <f aca="false">'SALES Raw'!F1613*$H$4</f>
        <v>118.32</v>
      </c>
      <c r="H3972" s="18" t="str">
        <f aca="false">'SALES Raw'!A1613</f>
        <v>103 - Physiotherapy institutes</v>
      </c>
    </row>
    <row r="3973" customFormat="false" ht="15" hidden="false" customHeight="false" outlineLevel="0" collapsed="false">
      <c r="A3973" s="18" t="n">
        <f aca="false">'SALES Raw'!G1614</f>
        <v>4401002</v>
      </c>
      <c r="B3973" s="18" t="str">
        <f aca="false">'SALES Raw'!B1614</f>
        <v>PD344 0</v>
      </c>
      <c r="C3973" s="18" t="str">
        <f aca="false">'SALES Raw'!H1614</f>
        <v>PD 344-אבן טבעית להסרת עור קשה</v>
      </c>
      <c r="D3973" s="19" t="n">
        <f aca="false">'SALES Raw'!C1614</f>
        <v>0</v>
      </c>
      <c r="E3973" s="19" t="n">
        <f aca="false">'SALES Raw'!D1614</f>
        <v>0</v>
      </c>
      <c r="F3973" s="19" t="n">
        <f aca="false">'SALES Raw'!E1614*$H$4</f>
        <v>1.26315789473684</v>
      </c>
      <c r="G3973" s="19" t="n">
        <f aca="false">'SALES Raw'!F1614*$H$4</f>
        <v>11.1915789473684</v>
      </c>
      <c r="H3973" s="18" t="str">
        <f aca="false">'SALES Raw'!A1614</f>
        <v>103 - Physiotherapy institutes</v>
      </c>
    </row>
    <row r="3974" customFormat="false" ht="15" hidden="false" customHeight="false" outlineLevel="0" collapsed="false">
      <c r="A3974" s="18" t="n">
        <f aca="false">'SALES Raw'!G1620</f>
        <v>4413491</v>
      </c>
      <c r="B3974" s="18" t="str">
        <f aca="false">'SALES Raw'!B1620</f>
        <v>35B XL</v>
      </c>
      <c r="C3974" s="18" t="str">
        <f aca="false">'SALES Raw'!H1620</f>
        <v>35B XL מגן קרסול שחור</v>
      </c>
      <c r="D3974" s="19" t="n">
        <f aca="false">'SALES Raw'!C1620</f>
        <v>0</v>
      </c>
      <c r="E3974" s="19" t="n">
        <f aca="false">'SALES Raw'!D1620</f>
        <v>0</v>
      </c>
      <c r="F3974" s="19" t="n">
        <f aca="false">'SALES Raw'!E1620*$H$4</f>
        <v>1.26315789473684</v>
      </c>
      <c r="G3974" s="19" t="n">
        <f aca="false">'SALES Raw'!F1620*$H$4</f>
        <v>39.0189473684211</v>
      </c>
      <c r="H3974" s="18" t="str">
        <f aca="false">'SALES Raw'!A1620</f>
        <v>104 - Sports Shop</v>
      </c>
    </row>
    <row r="3975" customFormat="false" ht="15" hidden="false" customHeight="false" outlineLevel="0" collapsed="false">
      <c r="A3975" s="18" t="n">
        <f aca="false">'SALES Raw'!G1623</f>
        <v>4413055</v>
      </c>
      <c r="B3975" s="18" t="str">
        <f aca="false">'SALES Raw'!B1623</f>
        <v>35C XL</v>
      </c>
      <c r="C3975" s="18" t="str">
        <f aca="false">'SALES Raw'!H1623</f>
        <v>35C XL מגן קרסול חום</v>
      </c>
      <c r="D3975" s="19" t="n">
        <f aca="false">'SALES Raw'!C1623</f>
        <v>0</v>
      </c>
      <c r="E3975" s="19" t="n">
        <f aca="false">'SALES Raw'!D1623</f>
        <v>0</v>
      </c>
      <c r="F3975" s="19" t="n">
        <f aca="false">'SALES Raw'!E1623*$H$4</f>
        <v>1.26315789473684</v>
      </c>
      <c r="G3975" s="19" t="n">
        <f aca="false">'SALES Raw'!F1623*$H$4</f>
        <v>39.0189473684211</v>
      </c>
      <c r="H3975" s="18" t="str">
        <f aca="false">'SALES Raw'!A1623</f>
        <v>104 - Sports Shop</v>
      </c>
    </row>
    <row r="3976" customFormat="false" ht="15" hidden="false" customHeight="false" outlineLevel="0" collapsed="false">
      <c r="A3976" s="18" t="n">
        <f aca="false">'SALES Raw'!G1634</f>
        <v>4413500</v>
      </c>
      <c r="B3976" s="18" t="str">
        <f aca="false">'SALES Raw'!B1634</f>
        <v>95B L</v>
      </c>
      <c r="C3976" s="18" t="str">
        <f aca="false">'SALES Raw'!H1634</f>
        <v>95B L מגן מרפק שחור</v>
      </c>
      <c r="D3976" s="19" t="n">
        <f aca="false">'SALES Raw'!C1634</f>
        <v>0</v>
      </c>
      <c r="E3976" s="19" t="n">
        <f aca="false">'SALES Raw'!D1634</f>
        <v>0</v>
      </c>
      <c r="F3976" s="19" t="n">
        <f aca="false">'SALES Raw'!E1634*$H$4</f>
        <v>1.26315789473684</v>
      </c>
      <c r="G3976" s="19" t="n">
        <f aca="false">'SALES Raw'!F1634*$H$4</f>
        <v>39.0189473684211</v>
      </c>
      <c r="H3976" s="18" t="str">
        <f aca="false">'SALES Raw'!A1634</f>
        <v>104 - Sports Shop</v>
      </c>
    </row>
    <row r="3977" customFormat="false" ht="15" hidden="false" customHeight="false" outlineLevel="0" collapsed="false">
      <c r="A3977" s="18" t="n">
        <f aca="false">'SALES Raw'!G1635</f>
        <v>4413501</v>
      </c>
      <c r="B3977" s="18" t="str">
        <f aca="false">'SALES Raw'!B1635</f>
        <v>95B M</v>
      </c>
      <c r="C3977" s="18" t="str">
        <f aca="false">'SALES Raw'!H1635</f>
        <v>95B M מגן מרפק שחור</v>
      </c>
      <c r="D3977" s="19" t="n">
        <f aca="false">'SALES Raw'!C1635</f>
        <v>0</v>
      </c>
      <c r="E3977" s="19" t="n">
        <f aca="false">'SALES Raw'!D1635</f>
        <v>0</v>
      </c>
      <c r="F3977" s="19" t="n">
        <f aca="false">'SALES Raw'!E1635*$H$4</f>
        <v>1.26315789473684</v>
      </c>
      <c r="G3977" s="19" t="n">
        <f aca="false">'SALES Raw'!F1635*$H$4</f>
        <v>39.0189473684211</v>
      </c>
      <c r="H3977" s="18" t="str">
        <f aca="false">'SALES Raw'!A1635</f>
        <v>104 - Sports Shop</v>
      </c>
    </row>
    <row r="3978" customFormat="false" ht="15" hidden="false" customHeight="false" outlineLevel="0" collapsed="false">
      <c r="A3978" s="18" t="n">
        <f aca="false">'SALES Raw'!G1636</f>
        <v>4413503</v>
      </c>
      <c r="B3978" s="18" t="str">
        <f aca="false">'SALES Raw'!B1636</f>
        <v>95B XL</v>
      </c>
      <c r="C3978" s="18" t="str">
        <f aca="false">'SALES Raw'!H1636</f>
        <v>95B XL מגן מרפק שחור</v>
      </c>
      <c r="D3978" s="19" t="n">
        <f aca="false">'SALES Raw'!C1636</f>
        <v>0</v>
      </c>
      <c r="E3978" s="19" t="n">
        <f aca="false">'SALES Raw'!D1636</f>
        <v>0</v>
      </c>
      <c r="F3978" s="19" t="n">
        <f aca="false">'SALES Raw'!E1636*$H$4</f>
        <v>1.26315789473684</v>
      </c>
      <c r="G3978" s="19" t="n">
        <f aca="false">'SALES Raw'!F1636*$H$4</f>
        <v>39.0189473684211</v>
      </c>
      <c r="H3978" s="18" t="str">
        <f aca="false">'SALES Raw'!A1636</f>
        <v>104 - Sports Shop</v>
      </c>
    </row>
    <row r="3979" customFormat="false" ht="15" hidden="false" customHeight="false" outlineLevel="0" collapsed="false">
      <c r="A3979" s="18" t="n">
        <f aca="false">'SALES Raw'!G1638</f>
        <v>4413364</v>
      </c>
      <c r="B3979" s="18" t="str">
        <f aca="false">'SALES Raw'!B1638</f>
        <v>95C M</v>
      </c>
      <c r="C3979" s="18" t="str">
        <f aca="false">'SALES Raw'!H1638</f>
        <v>95C M 'מגן מרפק בז</v>
      </c>
      <c r="D3979" s="19" t="n">
        <f aca="false">'SALES Raw'!C1638</f>
        <v>0</v>
      </c>
      <c r="E3979" s="19" t="n">
        <f aca="false">'SALES Raw'!D1638</f>
        <v>0</v>
      </c>
      <c r="F3979" s="19" t="n">
        <f aca="false">'SALES Raw'!E1638*$H$4</f>
        <v>1.26315789473684</v>
      </c>
      <c r="G3979" s="19" t="n">
        <f aca="false">'SALES Raw'!F1638*$H$4</f>
        <v>39.0189473684211</v>
      </c>
      <c r="H3979" s="18" t="str">
        <f aca="false">'SALES Raw'!A1638</f>
        <v>104 - Sports Shop</v>
      </c>
    </row>
    <row r="3980" customFormat="false" ht="15" hidden="false" customHeight="false" outlineLevel="0" collapsed="false">
      <c r="A3980" s="18" t="n">
        <f aca="false">'SALES Raw'!G1639</f>
        <v>4413367</v>
      </c>
      <c r="B3980" s="18" t="str">
        <f aca="false">'SALES Raw'!B1639</f>
        <v>95C XL</v>
      </c>
      <c r="C3980" s="18" t="str">
        <f aca="false">'SALES Raw'!H1639</f>
        <v>95C XL'מגן מרפק בז</v>
      </c>
      <c r="D3980" s="19" t="n">
        <f aca="false">'SALES Raw'!C1639</f>
        <v>0</v>
      </c>
      <c r="E3980" s="19" t="n">
        <f aca="false">'SALES Raw'!D1639</f>
        <v>0</v>
      </c>
      <c r="F3980" s="19" t="n">
        <f aca="false">'SALES Raw'!E1639*$H$4</f>
        <v>1.26315789473684</v>
      </c>
      <c r="G3980" s="19" t="n">
        <f aca="false">'SALES Raw'!F1639*$H$4</f>
        <v>39.0189473684211</v>
      </c>
      <c r="H3980" s="18" t="str">
        <f aca="false">'SALES Raw'!A1639</f>
        <v>104 - Sports Shop</v>
      </c>
    </row>
    <row r="3981" customFormat="false" ht="15" hidden="false" customHeight="false" outlineLevel="0" collapsed="false">
      <c r="A3981" s="18" t="n">
        <f aca="false">'SALES Raw'!G1649</f>
        <v>4415299</v>
      </c>
      <c r="B3981" s="18" t="str">
        <f aca="false">'SALES Raw'!B1649</f>
        <v>388BR 0</v>
      </c>
      <c r="C3981" s="18" t="str">
        <f aca="false">'SALES Raw'!H1649</f>
        <v>388B L סד לילה שחור לבוהן ימין</v>
      </c>
      <c r="D3981" s="19" t="n">
        <f aca="false">'SALES Raw'!C1649</f>
        <v>2</v>
      </c>
      <c r="E3981" s="19" t="n">
        <f aca="false">'SALES Raw'!D1649</f>
        <v>156.22</v>
      </c>
      <c r="F3981" s="19" t="n">
        <f aca="false">'SALES Raw'!E1649*$H$4</f>
        <v>1.26315789473684</v>
      </c>
      <c r="G3981" s="19" t="n">
        <f aca="false">'SALES Raw'!F1649*$H$4</f>
        <v>99.0947368421053</v>
      </c>
      <c r="H3981" s="18" t="str">
        <f aca="false">'SALES Raw'!A1649</f>
        <v>105 - Pedicure Salons</v>
      </c>
    </row>
    <row r="3982" customFormat="false" ht="15" hidden="false" customHeight="false" outlineLevel="0" collapsed="false">
      <c r="A3982" s="18" t="n">
        <f aca="false">'SALES Raw'!G1683</f>
        <v>4411021</v>
      </c>
      <c r="B3982" s="18" t="str">
        <f aca="false">'SALES Raw'!B1683</f>
        <v>212 L</v>
      </c>
      <c r="C3982" s="18" t="str">
        <f aca="false">'SALES Raw'!H1683</f>
        <v>212L כפפות אגודל לחץ</v>
      </c>
      <c r="D3982" s="19" t="n">
        <f aca="false">'SALES Raw'!C1683</f>
        <v>2</v>
      </c>
      <c r="E3982" s="19" t="n">
        <f aca="false">'SALES Raw'!D1683</f>
        <v>70.82</v>
      </c>
      <c r="F3982" s="19" t="n">
        <f aca="false">'SALES Raw'!E1683*$H$4</f>
        <v>1.26315789473684</v>
      </c>
      <c r="G3982" s="19" t="n">
        <f aca="false">'SALES Raw'!F1683*$H$4</f>
        <v>44.7284210526316</v>
      </c>
      <c r="H3982" s="18" t="str">
        <f aca="false">'SALES Raw'!A1683</f>
        <v>106 - Hospitals</v>
      </c>
    </row>
    <row r="3983" customFormat="false" ht="15" hidden="false" customHeight="false" outlineLevel="0" collapsed="false">
      <c r="A3983" s="18" t="n">
        <f aca="false">'SALES Raw'!G1686</f>
        <v>4411024</v>
      </c>
      <c r="B3983" s="18" t="str">
        <f aca="false">'SALES Raw'!B1686</f>
        <v>212 XL</v>
      </c>
      <c r="C3983" s="18" t="str">
        <f aca="false">'SALES Raw'!H1686</f>
        <v>212XL כפפות אגודל לחץ</v>
      </c>
      <c r="D3983" s="19" t="n">
        <f aca="false">'SALES Raw'!C1686</f>
        <v>2</v>
      </c>
      <c r="E3983" s="19" t="n">
        <f aca="false">'SALES Raw'!D1686</f>
        <v>70.82</v>
      </c>
      <c r="F3983" s="19" t="n">
        <f aca="false">'SALES Raw'!E1686*$H$4</f>
        <v>1.26315789473684</v>
      </c>
      <c r="G3983" s="19" t="n">
        <f aca="false">'SALES Raw'!F1686*$H$4</f>
        <v>44.7284210526316</v>
      </c>
      <c r="H3983" s="18" t="str">
        <f aca="false">'SALES Raw'!A1686</f>
        <v>106 - Hospitals</v>
      </c>
    </row>
    <row r="3984" customFormat="false" ht="15" hidden="false" customHeight="false" outlineLevel="0" collapsed="false">
      <c r="A3984" s="18" t="n">
        <f aca="false">'SALES Raw'!G1688</f>
        <v>4415161</v>
      </c>
      <c r="B3984" s="18" t="str">
        <f aca="false">'SALES Raw'!B1688</f>
        <v>238 M</v>
      </c>
      <c r="C3984" s="18" t="str">
        <f aca="false">'SALES Raw'!H1688</f>
        <v>238M סד ליישור אצבע</v>
      </c>
      <c r="D3984" s="19" t="n">
        <f aca="false">'SALES Raw'!C1688</f>
        <v>2</v>
      </c>
      <c r="E3984" s="19" t="n">
        <f aca="false">'SALES Raw'!D1688</f>
        <v>35.84</v>
      </c>
      <c r="F3984" s="19" t="n">
        <f aca="false">'SALES Raw'!E1688*$H$4</f>
        <v>1.26315789473684</v>
      </c>
      <c r="G3984" s="19" t="n">
        <f aca="false">'SALES Raw'!F1688*$H$4</f>
        <v>22.6357894736842</v>
      </c>
      <c r="H3984" s="18" t="str">
        <f aca="false">'SALES Raw'!A1688</f>
        <v>106 - Hospitals</v>
      </c>
    </row>
    <row r="3985" customFormat="false" ht="15" hidden="false" customHeight="false" outlineLevel="0" collapsed="false">
      <c r="A3985" s="18" t="n">
        <f aca="false">'SALES Raw'!G1711</f>
        <v>4413501</v>
      </c>
      <c r="B3985" s="18" t="str">
        <f aca="false">'SALES Raw'!B1711</f>
        <v>95B M</v>
      </c>
      <c r="C3985" s="18" t="str">
        <f aca="false">'SALES Raw'!H1711</f>
        <v>95B M מגן מרפק שחור</v>
      </c>
      <c r="D3985" s="19" t="n">
        <f aca="false">'SALES Raw'!C1711</f>
        <v>3</v>
      </c>
      <c r="E3985" s="19" t="n">
        <f aca="false">'SALES Raw'!D1711</f>
        <v>38.01</v>
      </c>
      <c r="F3985" s="19" t="n">
        <f aca="false">'SALES Raw'!E1711*$H$4</f>
        <v>1.26315789473684</v>
      </c>
      <c r="G3985" s="19" t="n">
        <f aca="false">'SALES Raw'!F1711*$H$4</f>
        <v>0.0126315789473684</v>
      </c>
      <c r="H3985" s="18" t="str">
        <f aca="false">'SALES Raw'!A1711</f>
        <v>106 - Hospitals</v>
      </c>
    </row>
    <row r="3986" customFormat="false" ht="15" hidden="false" customHeight="false" outlineLevel="0" collapsed="false">
      <c r="A3986" s="18" t="str">
        <f aca="false">'SALES Raw'!G1744</f>
        <v/>
      </c>
      <c r="B3986" s="18" t="str">
        <f aca="false">'SALES Raw'!B1744</f>
        <v>84-L-XXL</v>
      </c>
      <c r="C3986" s="18" t="str">
        <f aca="false">'SALES Raw'!H1744</f>
        <v>84-L-XXL</v>
      </c>
      <c r="D3986" s="19" t="n">
        <f aca="false">'SALES Raw'!C1744</f>
        <v>0</v>
      </c>
      <c r="E3986" s="19" t="n">
        <f aca="false">'SALES Raw'!D1744</f>
        <v>0</v>
      </c>
      <c r="F3986" s="19" t="n">
        <f aca="false">'SALES Raw'!E1744*$H$4</f>
        <v>1.26315789473684</v>
      </c>
      <c r="G3986" s="19" t="n">
        <f aca="false">'SALES Raw'!F1744*$H$4</f>
        <v>177.562105263158</v>
      </c>
      <c r="H3986" s="18" t="str">
        <f aca="false">'SALES Raw'!A1744</f>
        <v>106 - Hospitals</v>
      </c>
    </row>
    <row r="3987" customFormat="false" ht="15" hidden="false" customHeight="false" outlineLevel="0" collapsed="false">
      <c r="A3987" s="18" t="str">
        <f aca="false">'SALES Raw'!G1745</f>
        <v/>
      </c>
      <c r="B3987" s="18" t="str">
        <f aca="false">'SALES Raw'!B1745</f>
        <v>84-S-M</v>
      </c>
      <c r="C3987" s="18" t="str">
        <f aca="false">'SALES Raw'!H1745</f>
        <v>84-S-M</v>
      </c>
      <c r="D3987" s="19" t="n">
        <f aca="false">'SALES Raw'!C1745</f>
        <v>0</v>
      </c>
      <c r="E3987" s="19" t="n">
        <f aca="false">'SALES Raw'!D1745</f>
        <v>0</v>
      </c>
      <c r="F3987" s="19" t="n">
        <f aca="false">'SALES Raw'!E1745*$H$4</f>
        <v>1.26315789473684</v>
      </c>
      <c r="G3987" s="19" t="n">
        <f aca="false">'SALES Raw'!F1745*$H$4</f>
        <v>177.562105263158</v>
      </c>
      <c r="H3987" s="18" t="str">
        <f aca="false">'SALES Raw'!A1745</f>
        <v>106 - Hospitals</v>
      </c>
    </row>
    <row r="3988" customFormat="false" ht="15" hidden="false" customHeight="false" outlineLevel="0" collapsed="false">
      <c r="A3988" s="18" t="str">
        <f aca="false">'SALES Raw'!G1749</f>
        <v/>
      </c>
      <c r="B3988" s="18" t="str">
        <f aca="false">'SALES Raw'!B1749</f>
        <v>67800020</v>
      </c>
      <c r="C3988" s="18" t="str">
        <f aca="false">'SALES Raw'!H1749</f>
        <v>67800020</v>
      </c>
      <c r="D3988" s="19" t="n">
        <f aca="false">'SALES Raw'!C1749</f>
        <v>0</v>
      </c>
      <c r="E3988" s="19" t="n">
        <f aca="false">'SALES Raw'!D1749</f>
        <v>0</v>
      </c>
      <c r="F3988" s="19" t="n">
        <f aca="false">'SALES Raw'!E1749*$H$4</f>
        <v>1.26315789473684</v>
      </c>
      <c r="G3988" s="19" t="n">
        <f aca="false">'SALES Raw'!F1749*$H$4</f>
        <v>0</v>
      </c>
      <c r="H3988" s="18" t="str">
        <f aca="false">'SALES Raw'!A1749</f>
        <v>106 - Hospitals</v>
      </c>
    </row>
    <row r="3989" customFormat="false" ht="15" hidden="false" customHeight="false" outlineLevel="0" collapsed="false">
      <c r="A3989" s="18" t="str">
        <f aca="false">'SALES Raw'!G1785</f>
        <v/>
      </c>
      <c r="B3989" s="18" t="str">
        <f aca="false">'SALES Raw'!B1785</f>
        <v>18 XXL</v>
      </c>
      <c r="C3989" s="18" t="str">
        <f aca="false">'SALES Raw'!H1785</f>
        <v>18 XXL</v>
      </c>
      <c r="D3989" s="19" t="n">
        <f aca="false">'SALES Raw'!C1785</f>
        <v>4</v>
      </c>
      <c r="E3989" s="19" t="n">
        <f aca="false">'SALES Raw'!D1785</f>
        <v>808</v>
      </c>
      <c r="F3989" s="19" t="n">
        <f aca="false">'SALES Raw'!E1785*$H$4</f>
        <v>1.26315789473684</v>
      </c>
      <c r="G3989" s="19" t="n">
        <f aca="false">'SALES Raw'!F1785*$H$4</f>
        <v>338.526315789474</v>
      </c>
      <c r="H3989" s="18" t="str">
        <f aca="false">'SALES Raw'!A1785</f>
        <v>109 - Private Shops</v>
      </c>
    </row>
    <row r="3990" customFormat="false" ht="15" hidden="false" customHeight="false" outlineLevel="0" collapsed="false">
      <c r="A3990" s="18" t="n">
        <f aca="false">'SALES Raw'!G1804</f>
        <v>4413523</v>
      </c>
      <c r="B3990" s="18" t="str">
        <f aca="false">'SALES Raw'!B1804</f>
        <v>379COM-35-38</v>
      </c>
      <c r="C3990" s="18" t="str">
        <f aca="false">'SALES Raw'!H1804</f>
        <v>35-38 מדרסי אפיק ג'ל נוחות</v>
      </c>
      <c r="D3990" s="19" t="n">
        <f aca="false">'SALES Raw'!C1804</f>
        <v>0</v>
      </c>
      <c r="E3990" s="19" t="n">
        <f aca="false">'SALES Raw'!D1804</f>
        <v>0</v>
      </c>
      <c r="F3990" s="19" t="n">
        <f aca="false">'SALES Raw'!E1804*$H$4</f>
        <v>1.26315789473684</v>
      </c>
      <c r="G3990" s="19" t="n">
        <f aca="false">'SALES Raw'!F1804*$H$4</f>
        <v>149.734736842105</v>
      </c>
      <c r="H3990" s="18" t="str">
        <f aca="false">'SALES Raw'!A1804</f>
        <v>109 - Private Shops</v>
      </c>
    </row>
    <row r="3991" customFormat="false" ht="15" hidden="false" customHeight="false" outlineLevel="0" collapsed="false">
      <c r="A3991" s="18" t="n">
        <f aca="false">'SALES Raw'!G1807</f>
        <v>4413520</v>
      </c>
      <c r="B3991" s="18" t="str">
        <f aca="false">'SALES Raw'!B1807</f>
        <v>379MSP-35-38</v>
      </c>
      <c r="C3991" s="18" t="str">
        <f aca="false">'SALES Raw'!H1807</f>
        <v>מדרסי אפיק ג'ל מולט.ספורט35-38</v>
      </c>
      <c r="D3991" s="19" t="n">
        <f aca="false">'SALES Raw'!C1807</f>
        <v>0</v>
      </c>
      <c r="E3991" s="19" t="n">
        <f aca="false">'SALES Raw'!D1807</f>
        <v>0</v>
      </c>
      <c r="F3991" s="19" t="n">
        <f aca="false">'SALES Raw'!E1807*$H$4</f>
        <v>1.26315789473684</v>
      </c>
      <c r="G3991" s="19" t="n">
        <f aca="false">'SALES Raw'!F1807*$H$4</f>
        <v>149.734736842105</v>
      </c>
      <c r="H3991" s="18" t="str">
        <f aca="false">'SALES Raw'!A1807</f>
        <v>109 - Private Shops</v>
      </c>
    </row>
    <row r="3992" customFormat="false" ht="15" hidden="false" customHeight="false" outlineLevel="0" collapsed="false">
      <c r="A3992" s="18" t="n">
        <f aca="false">'SALES Raw'!G1813</f>
        <v>4420016</v>
      </c>
      <c r="B3992" s="18" t="str">
        <f aca="false">'SALES Raw'!B1813</f>
        <v>40 0</v>
      </c>
      <c r="C3992" s="18" t="str">
        <f aca="false">'SALES Raw'!H1813</f>
        <v>40-רצועת פיקה לברך</v>
      </c>
      <c r="D3992" s="19" t="n">
        <f aca="false">'SALES Raw'!C1813</f>
        <v>0</v>
      </c>
      <c r="E3992" s="19" t="n">
        <f aca="false">'SALES Raw'!D1813</f>
        <v>0</v>
      </c>
      <c r="F3992" s="19" t="n">
        <f aca="false">'SALES Raw'!E1813*$H$4</f>
        <v>1.26315789473684</v>
      </c>
      <c r="G3992" s="19" t="n">
        <f aca="false">'SALES Raw'!F1813*$H$4</f>
        <v>65.658947368421</v>
      </c>
      <c r="H3992" s="18" t="str">
        <f aca="false">'SALES Raw'!A1813</f>
        <v>109 - Private Shops</v>
      </c>
    </row>
    <row r="3993" customFormat="false" ht="15" hidden="false" customHeight="false" outlineLevel="0" collapsed="false">
      <c r="A3993" s="18" t="n">
        <f aca="false">'SALES Raw'!G1861</f>
        <v>4403040</v>
      </c>
      <c r="B3993" s="18" t="str">
        <f aca="false">'SALES Raw'!B1861</f>
        <v>3444B 0</v>
      </c>
      <c r="C3993" s="18" t="str">
        <f aca="false">'SALES Raw'!H1861</f>
        <v>3444B גרבי ג'ל לריכוך עור העקב</v>
      </c>
      <c r="D3993" s="19" t="n">
        <f aca="false">'SALES Raw'!C1861</f>
        <v>8</v>
      </c>
      <c r="E3993" s="19" t="n">
        <f aca="false">'SALES Raw'!D1861</f>
        <v>299.64</v>
      </c>
      <c r="F3993" s="19" t="n">
        <f aca="false">'SALES Raw'!E1861*$H$4</f>
        <v>1.26315789473684</v>
      </c>
      <c r="G3993" s="19" t="n">
        <f aca="false">'SALES Raw'!F1861*$H$4</f>
        <v>47.3052631578947</v>
      </c>
      <c r="H3993" s="18" t="str">
        <f aca="false">'SALES Raw'!A1861</f>
        <v>109 - Private Shops</v>
      </c>
    </row>
    <row r="3994" customFormat="false" ht="15" hidden="false" customHeight="false" outlineLevel="0" collapsed="false">
      <c r="A3994" s="18" t="n">
        <f aca="false">'SALES Raw'!G1869</f>
        <v>4413127</v>
      </c>
      <c r="B3994" s="18" t="str">
        <f aca="false">'SALES Raw'!B1869</f>
        <v>75 L</v>
      </c>
      <c r="C3994" s="18" t="str">
        <f aca="false">'SALES Raw'!H1869</f>
        <v>75 Lמיישר כתף יציב יישור גב צר</v>
      </c>
      <c r="D3994" s="19" t="n">
        <f aca="false">'SALES Raw'!C1869</f>
        <v>0</v>
      </c>
      <c r="E3994" s="19" t="n">
        <f aca="false">'SALES Raw'!D1869</f>
        <v>0</v>
      </c>
      <c r="F3994" s="19" t="n">
        <f aca="false">'SALES Raw'!E1869*$H$4</f>
        <v>1.26315789473684</v>
      </c>
      <c r="G3994" s="19" t="n">
        <f aca="false">'SALES Raw'!F1869*$H$4</f>
        <v>207.170526315789</v>
      </c>
      <c r="H3994" s="18" t="str">
        <f aca="false">'SALES Raw'!A1869</f>
        <v>109 - Private Shops</v>
      </c>
    </row>
    <row r="3995" customFormat="false" ht="15" hidden="false" customHeight="false" outlineLevel="0" collapsed="false">
      <c r="A3995" s="18" t="n">
        <f aca="false">'SALES Raw'!G1870</f>
        <v>4413128</v>
      </c>
      <c r="B3995" s="18" t="str">
        <f aca="false">'SALES Raw'!B1870</f>
        <v>75 M</v>
      </c>
      <c r="C3995" s="18" t="str">
        <f aca="false">'SALES Raw'!H1870</f>
        <v>75 Mמיישר כתף יציב יישור גב צר</v>
      </c>
      <c r="D3995" s="19" t="n">
        <f aca="false">'SALES Raw'!C1870</f>
        <v>0</v>
      </c>
      <c r="E3995" s="19" t="n">
        <f aca="false">'SALES Raw'!D1870</f>
        <v>0</v>
      </c>
      <c r="F3995" s="19" t="n">
        <f aca="false">'SALES Raw'!E1870*$H$4</f>
        <v>1.26315789473684</v>
      </c>
      <c r="G3995" s="19" t="n">
        <f aca="false">'SALES Raw'!F1870*$H$4</f>
        <v>207.170526315789</v>
      </c>
      <c r="H3995" s="18" t="str">
        <f aca="false">'SALES Raw'!A1870</f>
        <v>109 - Private Shops</v>
      </c>
    </row>
    <row r="3996" customFormat="false" ht="15" hidden="false" customHeight="false" outlineLevel="0" collapsed="false">
      <c r="A3996" s="18" t="n">
        <f aca="false">'SALES Raw'!G1871</f>
        <v>4413129</v>
      </c>
      <c r="B3996" s="18" t="str">
        <f aca="false">'SALES Raw'!B1871</f>
        <v>75 XL</v>
      </c>
      <c r="C3996" s="18" t="str">
        <f aca="false">'SALES Raw'!H1871</f>
        <v>75 XLמיישר כתף יציב יישור ג.צר</v>
      </c>
      <c r="D3996" s="19" t="n">
        <f aca="false">'SALES Raw'!C1871</f>
        <v>0</v>
      </c>
      <c r="E3996" s="19" t="n">
        <f aca="false">'SALES Raw'!D1871</f>
        <v>0</v>
      </c>
      <c r="F3996" s="19" t="n">
        <f aca="false">'SALES Raw'!E1871*$H$4</f>
        <v>1.26315789473684</v>
      </c>
      <c r="G3996" s="19" t="n">
        <f aca="false">'SALES Raw'!F1871*$H$4</f>
        <v>207.170526315789</v>
      </c>
      <c r="H3996" s="18" t="str">
        <f aca="false">'SALES Raw'!A1871</f>
        <v>109 - Private Shops</v>
      </c>
    </row>
    <row r="3997" customFormat="false" ht="15" hidden="false" customHeight="false" outlineLevel="0" collapsed="false">
      <c r="A3997" s="18" t="n">
        <f aca="false">'SALES Raw'!G1877</f>
        <v>4415028</v>
      </c>
      <c r="B3997" s="18" t="str">
        <f aca="false">'SALES Raw'!B1877</f>
        <v>AC28 0</v>
      </c>
      <c r="C3997" s="18" t="str">
        <f aca="false">'SALES Raw'!H1877</f>
        <v>AC-28 סד לאגודל</v>
      </c>
      <c r="D3997" s="19" t="n">
        <f aca="false">'SALES Raw'!C1877</f>
        <v>2</v>
      </c>
      <c r="E3997" s="19" t="n">
        <f aca="false">'SALES Raw'!D1877</f>
        <v>84.27</v>
      </c>
      <c r="F3997" s="19" t="n">
        <f aca="false">'SALES Raw'!E1877*$H$4</f>
        <v>1.26315789473684</v>
      </c>
      <c r="G3997" s="19" t="n">
        <f aca="false">'SALES Raw'!F1877*$H$4</f>
        <v>53.2294736842105</v>
      </c>
      <c r="H3997" s="18" t="str">
        <f aca="false">'SALES Raw'!A1877</f>
        <v>109 - Private Shops</v>
      </c>
    </row>
    <row r="3998" customFormat="false" ht="15" hidden="false" customHeight="false" outlineLevel="0" collapsed="false">
      <c r="A3998" s="18" t="str">
        <f aca="false">'SALES Raw'!G1882</f>
        <v/>
      </c>
      <c r="B3998" s="18" t="str">
        <f aca="false">'SALES Raw'!B1882</f>
        <v>07UB XXL</v>
      </c>
      <c r="C3998" s="18" t="str">
        <f aca="false">'SALES Raw'!H1882</f>
        <v>07UB XXL</v>
      </c>
      <c r="D3998" s="19" t="n">
        <f aca="false">'SALES Raw'!C1882</f>
        <v>1</v>
      </c>
      <c r="E3998" s="19" t="n">
        <f aca="false">'SALES Raw'!D1882</f>
        <v>234.34</v>
      </c>
      <c r="F3998" s="19" t="n">
        <f aca="false">'SALES Raw'!E1882*$H$4</f>
        <v>1.26315789473684</v>
      </c>
      <c r="G3998" s="19" t="n">
        <f aca="false">'SALES Raw'!F1882*$H$4</f>
        <v>295.970526315789</v>
      </c>
      <c r="H3998" s="18" t="str">
        <f aca="false">'SALES Raw'!A1882</f>
        <v>109 - Private Shops</v>
      </c>
    </row>
    <row r="3999" customFormat="false" ht="15" hidden="false" customHeight="false" outlineLevel="0" collapsed="false">
      <c r="A3999" s="18" t="str">
        <f aca="false">'SALES Raw'!G1883</f>
        <v/>
      </c>
      <c r="B3999" s="18" t="str">
        <f aca="false">'SALES Raw'!B1883</f>
        <v>07UB-L-XL</v>
      </c>
      <c r="C3999" s="18" t="str">
        <f aca="false">'SALES Raw'!H1883</f>
        <v>07UB-L-XL</v>
      </c>
      <c r="D3999" s="19" t="n">
        <f aca="false">'SALES Raw'!C1883</f>
        <v>1</v>
      </c>
      <c r="E3999" s="19" t="n">
        <f aca="false">'SALES Raw'!D1883</f>
        <v>234.32</v>
      </c>
      <c r="F3999" s="19" t="n">
        <f aca="false">'SALES Raw'!E1883*$H$4</f>
        <v>1.26315789473684</v>
      </c>
      <c r="G3999" s="19" t="n">
        <f aca="false">'SALES Raw'!F1883*$H$4</f>
        <v>296.021052631579</v>
      </c>
      <c r="H3999" s="18" t="str">
        <f aca="false">'SALES Raw'!A1883</f>
        <v>109 - Private Shops</v>
      </c>
    </row>
    <row r="4000" customFormat="false" ht="15" hidden="false" customHeight="false" outlineLevel="0" collapsed="false">
      <c r="A4000" s="18" t="n">
        <f aca="false">'SALES Raw'!G1891</f>
        <v>4408180</v>
      </c>
      <c r="B4000" s="18" t="str">
        <f aca="false">'SALES Raw'!B1891</f>
        <v>13 XXL</v>
      </c>
      <c r="C4000" s="18" t="str">
        <f aca="false">'SALES Raw'!H1891</f>
        <v>13 XXL חגורה לשבר טבור</v>
      </c>
      <c r="D4000" s="19" t="n">
        <f aca="false">'SALES Raw'!C1891</f>
        <v>0</v>
      </c>
      <c r="E4000" s="19" t="n">
        <f aca="false">'SALES Raw'!D1891</f>
        <v>0</v>
      </c>
      <c r="F4000" s="19" t="n">
        <f aca="false">'SALES Raw'!E1891*$H$4</f>
        <v>1.26315789473684</v>
      </c>
      <c r="G4000" s="19" t="n">
        <f aca="false">'SALES Raw'!F1891*$H$4</f>
        <v>198.277894736842</v>
      </c>
      <c r="H4000" s="18" t="str">
        <f aca="false">'SALES Raw'!A1891</f>
        <v>109 - Private Shops</v>
      </c>
    </row>
    <row r="4001" customFormat="false" ht="15" hidden="false" customHeight="false" outlineLevel="0" collapsed="false">
      <c r="A4001" s="18" t="n">
        <f aca="false">'SALES Raw'!G1894</f>
        <v>4411018</v>
      </c>
      <c r="B4001" s="18" t="str">
        <f aca="false">'SALES Raw'!B1894</f>
        <v>211 M</v>
      </c>
      <c r="C4001" s="18" t="str">
        <f aca="false">'SALES Raw'!H1894</f>
        <v>211M כפפות לחץ</v>
      </c>
      <c r="D4001" s="19" t="n">
        <f aca="false">'SALES Raw'!C1894</f>
        <v>2</v>
      </c>
      <c r="E4001" s="19" t="n">
        <f aca="false">'SALES Raw'!D1894</f>
        <v>74.9</v>
      </c>
      <c r="F4001" s="19" t="n">
        <f aca="false">'SALES Raw'!E1894*$H$4</f>
        <v>1.26315789473684</v>
      </c>
      <c r="G4001" s="19" t="n">
        <f aca="false">'SALES Raw'!F1894*$H$4</f>
        <v>47.3052631578947</v>
      </c>
      <c r="H4001" s="18" t="str">
        <f aca="false">'SALES Raw'!A1894</f>
        <v>109 - Private Shops</v>
      </c>
    </row>
    <row r="4002" customFormat="false" ht="15" hidden="false" customHeight="false" outlineLevel="0" collapsed="false">
      <c r="A4002" s="18" t="n">
        <f aca="false">'SALES Raw'!G1895</f>
        <v>4411019</v>
      </c>
      <c r="B4002" s="18" t="str">
        <f aca="false">'SALES Raw'!B1895</f>
        <v>211 S</v>
      </c>
      <c r="C4002" s="18" t="str">
        <f aca="false">'SALES Raw'!H1895</f>
        <v>211S כפפות לחץ</v>
      </c>
      <c r="D4002" s="19" t="n">
        <f aca="false">'SALES Raw'!C1895</f>
        <v>1</v>
      </c>
      <c r="E4002" s="19" t="n">
        <f aca="false">'SALES Raw'!D1895</f>
        <v>37.45</v>
      </c>
      <c r="F4002" s="19" t="n">
        <f aca="false">'SALES Raw'!E1895*$H$4</f>
        <v>1.26315789473684</v>
      </c>
      <c r="G4002" s="19" t="n">
        <f aca="false">'SALES Raw'!F1895*$H$4</f>
        <v>47.3052631578947</v>
      </c>
      <c r="H4002" s="18" t="str">
        <f aca="false">'SALES Raw'!A1895</f>
        <v>109 - Private Shops</v>
      </c>
    </row>
    <row r="4003" customFormat="false" ht="15" hidden="false" customHeight="false" outlineLevel="0" collapsed="false">
      <c r="A4003" s="18" t="n">
        <f aca="false">'SALES Raw'!G1896</f>
        <v>4411020</v>
      </c>
      <c r="B4003" s="18" t="str">
        <f aca="false">'SALES Raw'!B1896</f>
        <v>211 XL</v>
      </c>
      <c r="C4003" s="18" t="str">
        <f aca="false">'SALES Raw'!H1896</f>
        <v>211XL כפפות לחץ</v>
      </c>
      <c r="D4003" s="19" t="n">
        <f aca="false">'SALES Raw'!C1896</f>
        <v>1</v>
      </c>
      <c r="E4003" s="19" t="n">
        <f aca="false">'SALES Raw'!D1896</f>
        <v>37.45</v>
      </c>
      <c r="F4003" s="19" t="n">
        <f aca="false">'SALES Raw'!E1896*$H$4</f>
        <v>1.26315789473684</v>
      </c>
      <c r="G4003" s="19" t="n">
        <f aca="false">'SALES Raw'!F1896*$H$4</f>
        <v>47.3052631578947</v>
      </c>
      <c r="H4003" s="18" t="str">
        <f aca="false">'SALES Raw'!A1896</f>
        <v>109 - Private Shops</v>
      </c>
    </row>
    <row r="4004" customFormat="false" ht="15" hidden="false" customHeight="false" outlineLevel="0" collapsed="false">
      <c r="A4004" s="18" t="n">
        <f aca="false">'SALES Raw'!G1908</f>
        <v>4411000</v>
      </c>
      <c r="B4004" s="18" t="str">
        <f aca="false">'SALES Raw'!B1908</f>
        <v>362-L-R</v>
      </c>
      <c r="C4004" s="18" t="str">
        <f aca="false">'SALES Raw'!H1908</f>
        <v>כרית מטטרזלי סיליקון362</v>
      </c>
      <c r="D4004" s="19" t="n">
        <f aca="false">'SALES Raw'!C1908</f>
        <v>6</v>
      </c>
      <c r="E4004" s="19" t="n">
        <f aca="false">'SALES Raw'!D1908</f>
        <v>182.52</v>
      </c>
      <c r="F4004" s="19" t="n">
        <f aca="false">'SALES Raw'!E1908*$H$4</f>
        <v>1.26315789473684</v>
      </c>
      <c r="G4004" s="19" t="n">
        <f aca="false">'SALES Raw'!F1908*$H$4</f>
        <v>38.4252631578947</v>
      </c>
      <c r="H4004" s="18" t="str">
        <f aca="false">'SALES Raw'!A1908</f>
        <v>109 - Private Shops</v>
      </c>
    </row>
    <row r="4005" customFormat="false" ht="15" hidden="false" customHeight="false" outlineLevel="0" collapsed="false">
      <c r="A4005" s="18" t="str">
        <f aca="false">'SALES Raw'!G1929</f>
        <v/>
      </c>
      <c r="B4005" s="18" t="str">
        <f aca="false">'SALES Raw'!B1929</f>
        <v>76 XXL</v>
      </c>
      <c r="C4005" s="18" t="str">
        <f aca="false">'SALES Raw'!H1929</f>
        <v>76 XXL</v>
      </c>
      <c r="D4005" s="19" t="n">
        <f aca="false">'SALES Raw'!C1929</f>
        <v>0</v>
      </c>
      <c r="E4005" s="19" t="n">
        <f aca="false">'SALES Raw'!D1929</f>
        <v>0</v>
      </c>
      <c r="F4005" s="19" t="n">
        <f aca="false">'SALES Raw'!E1929*$H$4</f>
        <v>1.26315789473684</v>
      </c>
      <c r="G4005" s="19" t="n">
        <f aca="false">'SALES Raw'!F1929*$H$4</f>
        <v>266.374736842105</v>
      </c>
      <c r="H4005" s="18" t="str">
        <f aca="false">'SALES Raw'!A1929</f>
        <v>109 - Private Shops</v>
      </c>
    </row>
    <row r="4006" customFormat="false" ht="15" hidden="false" customHeight="false" outlineLevel="0" collapsed="false">
      <c r="A4006" s="18" t="n">
        <f aca="false">'SALES Raw'!G1942</f>
        <v>4413329</v>
      </c>
      <c r="B4006" s="18" t="str">
        <f aca="false">'SALES Raw'!B1942</f>
        <v>AC45X 0</v>
      </c>
      <c r="C4006" s="18" t="str">
        <f aca="false">'SALES Raw'!H1942</f>
        <v>AC45X מגן ברך עם תמיכות</v>
      </c>
      <c r="D4006" s="19" t="n">
        <f aca="false">'SALES Raw'!C1942</f>
        <v>9</v>
      </c>
      <c r="E4006" s="19" t="n">
        <f aca="false">'SALES Raw'!D1942</f>
        <v>666.36</v>
      </c>
      <c r="F4006" s="19" t="n">
        <f aca="false">'SALES Raw'!E1942*$H$4</f>
        <v>1.26315789473684</v>
      </c>
      <c r="G4006" s="19" t="n">
        <f aca="false">'SALES Raw'!F1942*$H$4</f>
        <v>94.6736842105263</v>
      </c>
      <c r="H4006" s="18" t="str">
        <f aca="false">'SALES Raw'!A1942</f>
        <v>109 - Private Shops</v>
      </c>
    </row>
    <row r="4007" customFormat="false" ht="15" hidden="false" customHeight="false" outlineLevel="0" collapsed="false">
      <c r="A4007" s="18" t="n">
        <f aca="false">'SALES Raw'!G1945</f>
        <v>4413418</v>
      </c>
      <c r="B4007" s="18" t="str">
        <f aca="false">'SALES Raw'!B1945</f>
        <v>SC39 XL</v>
      </c>
      <c r="C4007" s="18" t="str">
        <f aca="false">'SALES Raw'!H1945</f>
        <v>SC39 XL מגן שוק</v>
      </c>
      <c r="D4007" s="19" t="n">
        <f aca="false">'SALES Raw'!C1945</f>
        <v>1</v>
      </c>
      <c r="E4007" s="19" t="n">
        <f aca="false">'SALES Raw'!D1945</f>
        <v>145.26</v>
      </c>
      <c r="F4007" s="19" t="n">
        <f aca="false">'SALES Raw'!E1945*$H$4</f>
        <v>1.26315789473684</v>
      </c>
      <c r="G4007" s="19" t="n">
        <f aca="false">'SALES Raw'!F1945*$H$4</f>
        <v>207.183157894737</v>
      </c>
      <c r="H4007" s="18" t="str">
        <f aca="false">'SALES Raw'!A1945</f>
        <v>109 - Private Shops</v>
      </c>
    </row>
    <row r="4008" customFormat="false" ht="15" hidden="false" customHeight="false" outlineLevel="0" collapsed="false">
      <c r="A4008" s="18" t="n">
        <f aca="false">'SALES Raw'!G1949</f>
        <v>4403034</v>
      </c>
      <c r="B4008" s="18" t="str">
        <f aca="false">'SALES Raw'!B1949</f>
        <v>ST3555-S-M</v>
      </c>
      <c r="C4008" s="18" t="str">
        <f aca="false">'SALES Raw'!H1949</f>
        <v>ST3555 S-Mגרב לילה לטיפ.בדורבן</v>
      </c>
      <c r="D4008" s="19" t="n">
        <f aca="false">'SALES Raw'!C1949</f>
        <v>1</v>
      </c>
      <c r="E4008" s="19" t="n">
        <f aca="false">'SALES Raw'!D1949</f>
        <v>92.29</v>
      </c>
      <c r="F4008" s="19" t="n">
        <f aca="false">'SALES Raw'!E1949*$H$4</f>
        <v>1.26315789473684</v>
      </c>
      <c r="G4008" s="19" t="n">
        <f aca="false">'SALES Raw'!F1949*$H$4</f>
        <v>82.1052631578947</v>
      </c>
      <c r="H4008" s="18" t="str">
        <f aca="false">'SALES Raw'!A1949</f>
        <v>109 - Private Shops</v>
      </c>
    </row>
    <row r="4009" customFormat="false" ht="15" hidden="false" customHeight="false" outlineLevel="0" collapsed="false">
      <c r="A4009" s="18" t="n">
        <f aca="false">'SALES Raw'!G1951</f>
        <v>4422005</v>
      </c>
      <c r="B4009" s="18" t="str">
        <f aca="false">'SALES Raw'!B1951</f>
        <v>T78 M</v>
      </c>
      <c r="C4009" s="18" t="str">
        <f aca="false">'SALES Raw'!H1951</f>
        <v>T78 M תומך זרוע וכתף</v>
      </c>
      <c r="D4009" s="19" t="n">
        <f aca="false">'SALES Raw'!C1951</f>
        <v>0</v>
      </c>
      <c r="E4009" s="19" t="n">
        <f aca="false">'SALES Raw'!D1951</f>
        <v>0</v>
      </c>
      <c r="F4009" s="19" t="n">
        <f aca="false">'SALES Raw'!E1951*$H$4</f>
        <v>1.26315789473684</v>
      </c>
      <c r="G4009" s="19" t="n">
        <f aca="false">'SALES Raw'!F1951*$H$4</f>
        <v>236.778947368421</v>
      </c>
      <c r="H4009" s="18" t="str">
        <f aca="false">'SALES Raw'!A1951</f>
        <v>109 - Private Shops</v>
      </c>
    </row>
    <row r="4010" customFormat="false" ht="15" hidden="false" customHeight="false" outlineLevel="0" collapsed="false">
      <c r="A4010" s="18" t="n">
        <f aca="false">'SALES Raw'!G1952</f>
        <v>4422004</v>
      </c>
      <c r="B4010" s="18" t="str">
        <f aca="false">'SALES Raw'!B1952</f>
        <v>T78 S</v>
      </c>
      <c r="C4010" s="18" t="str">
        <f aca="false">'SALES Raw'!H1952</f>
        <v>T78 S תומך זרוע וכתף</v>
      </c>
      <c r="D4010" s="19" t="n">
        <f aca="false">'SALES Raw'!C1952</f>
        <v>0</v>
      </c>
      <c r="E4010" s="19" t="n">
        <f aca="false">'SALES Raw'!D1952</f>
        <v>0</v>
      </c>
      <c r="F4010" s="19" t="n">
        <f aca="false">'SALES Raw'!E1952*$H$4</f>
        <v>1.26315789473684</v>
      </c>
      <c r="G4010" s="19" t="n">
        <f aca="false">'SALES Raw'!F1952*$H$4</f>
        <v>236.778947368421</v>
      </c>
      <c r="H4010" s="18" t="str">
        <f aca="false">'SALES Raw'!A1952</f>
        <v>109 - Private Shops</v>
      </c>
    </row>
    <row r="4011" customFormat="false" ht="15" hidden="false" customHeight="false" outlineLevel="0" collapsed="false">
      <c r="A4011" s="18" t="str">
        <f aca="false">'SALES Raw'!G1954</f>
        <v/>
      </c>
      <c r="B4011" s="18" t="str">
        <f aca="false">'SALES Raw'!B1954</f>
        <v>T78 XS</v>
      </c>
      <c r="C4011" s="18" t="str">
        <f aca="false">'SALES Raw'!H1954</f>
        <v>T78 XS</v>
      </c>
      <c r="D4011" s="19" t="n">
        <f aca="false">'SALES Raw'!C1954</f>
        <v>0</v>
      </c>
      <c r="E4011" s="19" t="n">
        <f aca="false">'SALES Raw'!D1954</f>
        <v>0</v>
      </c>
      <c r="F4011" s="19" t="n">
        <f aca="false">'SALES Raw'!E1954*$H$4</f>
        <v>1.26315789473684</v>
      </c>
      <c r="G4011" s="19" t="n">
        <f aca="false">'SALES Raw'!F1954*$H$4</f>
        <v>236.766315789474</v>
      </c>
      <c r="H4011" s="18" t="str">
        <f aca="false">'SALES Raw'!A1954</f>
        <v>109 - Private Shops</v>
      </c>
    </row>
    <row r="4012" customFormat="false" ht="15" hidden="false" customHeight="false" outlineLevel="0" collapsed="false">
      <c r="A4012" s="18" t="n">
        <f aca="false">'SALES Raw'!G1971</f>
        <v>4408053</v>
      </c>
      <c r="B4012" s="18" t="str">
        <f aca="false">'SALES Raw'!B1971</f>
        <v>21 M</v>
      </c>
      <c r="C4012" s="18" t="str">
        <f aca="false">'SALES Raw'!H1971</f>
        <v>21 M  חבק יד ארוך</v>
      </c>
      <c r="D4012" s="19" t="n">
        <f aca="false">'SALES Raw'!C1971</f>
        <v>0</v>
      </c>
      <c r="E4012" s="19" t="n">
        <f aca="false">'SALES Raw'!D1971</f>
        <v>0</v>
      </c>
      <c r="F4012" s="19" t="n">
        <f aca="false">'SALES Raw'!E1971*$H$4</f>
        <v>1.26315789473684</v>
      </c>
      <c r="G4012" s="19" t="n">
        <f aca="false">'SALES Raw'!F1971*$H$4</f>
        <v>50.2736842105263</v>
      </c>
      <c r="H4012" s="18" t="str">
        <f aca="false">'SALES Raw'!A1971</f>
        <v>109 - Private Shops</v>
      </c>
    </row>
    <row r="4013" customFormat="false" ht="15" hidden="false" customHeight="false" outlineLevel="0" collapsed="false">
      <c r="A4013" s="18" t="n">
        <f aca="false">'SALES Raw'!G1972</f>
        <v>4408272</v>
      </c>
      <c r="B4013" s="18" t="str">
        <f aca="false">'SALES Raw'!B1972</f>
        <v>70N S</v>
      </c>
      <c r="C4013" s="18" t="str">
        <f aca="false">'SALES Raw'!H1972</f>
        <v>70N S חגורת פאבליק</v>
      </c>
      <c r="D4013" s="19" t="n">
        <f aca="false">'SALES Raw'!C1972</f>
        <v>0</v>
      </c>
      <c r="E4013" s="19" t="n">
        <f aca="false">'SALES Raw'!D1972</f>
        <v>0</v>
      </c>
      <c r="F4013" s="19" t="n">
        <f aca="false">'SALES Raw'!E1972*$H$4</f>
        <v>1.26315789473684</v>
      </c>
      <c r="G4013" s="19" t="n">
        <f aca="false">'SALES Raw'!F1972*$H$4</f>
        <v>328.421052631579</v>
      </c>
      <c r="H4013" s="18" t="str">
        <f aca="false">'SALES Raw'!A1972</f>
        <v>109 - Private Shops</v>
      </c>
    </row>
    <row r="4014" customFormat="false" ht="15" hidden="false" customHeight="false" outlineLevel="0" collapsed="false">
      <c r="A4014" s="18" t="str">
        <f aca="false">'SALES Raw'!G1973</f>
        <v/>
      </c>
      <c r="B4014" s="18" t="str">
        <f aca="false">'SALES Raw'!B1973</f>
        <v>בונוסים ללקוחות</v>
      </c>
      <c r="C4014" s="18" t="str">
        <f aca="false">'SALES Raw'!H1973</f>
        <v>בונוסים ללקוחות</v>
      </c>
      <c r="D4014" s="19" t="n">
        <f aca="false">'SALES Raw'!C1973</f>
        <v>0</v>
      </c>
      <c r="E4014" s="19" t="n">
        <f aca="false">'SALES Raw'!D1973</f>
        <v>0</v>
      </c>
      <c r="F4014" s="19" t="n">
        <f aca="false">'SALES Raw'!E1973*$H$4</f>
        <v>1.26315789473684</v>
      </c>
      <c r="G4014" s="19" t="n">
        <f aca="false">'SALES Raw'!F1973*$H$4</f>
        <v>532.812631578947</v>
      </c>
      <c r="H4014" s="18" t="str">
        <f aca="false">'SALES Raw'!A1973</f>
        <v>109 - Private Shops</v>
      </c>
    </row>
    <row r="4015" customFormat="false" ht="15" hidden="false" customHeight="false" outlineLevel="0" collapsed="false">
      <c r="A4015" s="18" t="n">
        <f aca="false">'SALES Raw'!G1975</f>
        <v>4408034</v>
      </c>
      <c r="B4015" s="18" t="str">
        <f aca="false">'SALES Raw'!B1975</f>
        <v>11 XL</v>
      </c>
      <c r="C4015" s="18" t="str">
        <f aca="false">'SALES Raw'!H1975</f>
        <v>11 XL""""חגורת בטן""""אורירית</v>
      </c>
      <c r="D4015" s="19" t="n">
        <f aca="false">'SALES Raw'!C1975</f>
        <v>0</v>
      </c>
      <c r="E4015" s="19" t="n">
        <f aca="false">'SALES Raw'!D1975</f>
        <v>0</v>
      </c>
      <c r="F4015" s="19" t="n">
        <f aca="false">'SALES Raw'!E1975*$H$4</f>
        <v>1.26315789473684</v>
      </c>
      <c r="G4015" s="19" t="n">
        <f aca="false">'SALES Raw'!F1975*$H$4</f>
        <v>107.368421052632</v>
      </c>
      <c r="H4015" s="18" t="str">
        <f aca="false">'SALES Raw'!A1975</f>
        <v>109 - Private Shops</v>
      </c>
    </row>
    <row r="4016" customFormat="false" ht="15" hidden="false" customHeight="false" outlineLevel="0" collapsed="false">
      <c r="A4016" s="18" t="n">
        <f aca="false">'SALES Raw'!G1976</f>
        <v>4408154</v>
      </c>
      <c r="B4016" s="18" t="str">
        <f aca="false">'SALES Raw'!B1976</f>
        <v>11TO XXL</v>
      </c>
      <c r="C4016" s="18" t="str">
        <f aca="false">'SALES Raw'!H1976</f>
        <v>11TO XXLחגורה למנותחי בית החזה</v>
      </c>
      <c r="D4016" s="19" t="n">
        <f aca="false">'SALES Raw'!C1976</f>
        <v>0</v>
      </c>
      <c r="E4016" s="19" t="n">
        <f aca="false">'SALES Raw'!D1976</f>
        <v>0</v>
      </c>
      <c r="F4016" s="19" t="n">
        <f aca="false">'SALES Raw'!E1976*$H$4</f>
        <v>1.26315789473684</v>
      </c>
      <c r="G4016" s="19" t="n">
        <f aca="false">'SALES Raw'!F1976*$H$4</f>
        <v>164.210526315789</v>
      </c>
      <c r="H4016" s="18" t="str">
        <f aca="false">'SALES Raw'!A1976</f>
        <v>109 - Private Shops</v>
      </c>
    </row>
    <row r="4017" customFormat="false" ht="15" hidden="false" customHeight="false" outlineLevel="0" collapsed="false">
      <c r="A4017" s="18" t="n">
        <f aca="false">'SALES Raw'!G1977</f>
        <v>4408232</v>
      </c>
      <c r="B4017" s="18" t="str">
        <f aca="false">'SALES Raw'!B1977</f>
        <v>16 XXL</v>
      </c>
      <c r="C4017" s="18" t="str">
        <f aca="false">'SALES Raw'!H1977</f>
        <v>16 XXL חגורת הריון</v>
      </c>
      <c r="D4017" s="19" t="n">
        <f aca="false">'SALES Raw'!C1977</f>
        <v>0</v>
      </c>
      <c r="E4017" s="19" t="n">
        <f aca="false">'SALES Raw'!D1977</f>
        <v>0</v>
      </c>
      <c r="F4017" s="19" t="n">
        <f aca="false">'SALES Raw'!E1977*$H$4</f>
        <v>1.26315789473684</v>
      </c>
      <c r="G4017" s="19" t="n">
        <f aca="false">'SALES Raw'!F1977*$H$4</f>
        <v>113.684210526316</v>
      </c>
      <c r="H4017" s="18" t="str">
        <f aca="false">'SALES Raw'!A1977</f>
        <v>109 - Private Shops</v>
      </c>
    </row>
    <row r="4018" customFormat="false" ht="15" hidden="false" customHeight="false" outlineLevel="0" collapsed="false">
      <c r="A4018" s="18" t="n">
        <f aca="false">'SALES Raw'!G1980</f>
        <v>4413074</v>
      </c>
      <c r="B4018" s="18" t="str">
        <f aca="false">'SALES Raw'!B1980</f>
        <v>41 XL</v>
      </c>
      <c r="C4018" s="18" t="str">
        <f aca="false">'SALES Raw'!H1980</f>
        <v>41  XL.מ.ברך מוצלב+ספירלות בצד</v>
      </c>
      <c r="D4018" s="19" t="n">
        <f aca="false">'SALES Raw'!C1980</f>
        <v>0</v>
      </c>
      <c r="E4018" s="19" t="n">
        <f aca="false">'SALES Raw'!D1980</f>
        <v>0</v>
      </c>
      <c r="F4018" s="19" t="n">
        <f aca="false">'SALES Raw'!E1980*$H$4</f>
        <v>1.26315789473684</v>
      </c>
      <c r="G4018" s="19" t="n">
        <f aca="false">'SALES Raw'!F1980*$H$4</f>
        <v>159.802105263158</v>
      </c>
      <c r="H4018" s="18" t="str">
        <f aca="false">'SALES Raw'!A1980</f>
        <v>109 - Private Shops</v>
      </c>
    </row>
    <row r="4019" customFormat="false" ht="15" hidden="false" customHeight="false" outlineLevel="0" collapsed="false">
      <c r="A4019" s="18" t="n">
        <f aca="false">'SALES Raw'!G1985</f>
        <v>4413118</v>
      </c>
      <c r="B4019" s="18" t="str">
        <f aca="false">'SALES Raw'!B1985</f>
        <v>50 M</v>
      </c>
      <c r="C4019" s="18" t="str">
        <f aca="false">'SALES Raw'!H1985</f>
        <v>50 M מתלה אשכים לאחר ניתוח</v>
      </c>
      <c r="D4019" s="19" t="n">
        <f aca="false">'SALES Raw'!C1985</f>
        <v>0</v>
      </c>
      <c r="E4019" s="19" t="n">
        <f aca="false">'SALES Raw'!D1985</f>
        <v>0</v>
      </c>
      <c r="F4019" s="19" t="n">
        <f aca="false">'SALES Raw'!E1985*$H$4</f>
        <v>1.26315789473684</v>
      </c>
      <c r="G4019" s="19" t="n">
        <f aca="false">'SALES Raw'!F1985*$H$4</f>
        <v>140.261052631579</v>
      </c>
      <c r="H4019" s="18" t="str">
        <f aca="false">'SALES Raw'!A1985</f>
        <v>109 - Private Shops</v>
      </c>
    </row>
    <row r="4020" customFormat="false" ht="15" hidden="false" customHeight="false" outlineLevel="0" collapsed="false">
      <c r="A4020" s="18" t="str">
        <f aca="false">'SALES Raw'!G1986</f>
        <v/>
      </c>
      <c r="B4020" s="18" t="str">
        <f aca="false">'SALES Raw'!B1986</f>
        <v>67 0</v>
      </c>
      <c r="C4020" s="18" t="str">
        <f aca="false">'SALES Raw'!H1986</f>
        <v>67 0</v>
      </c>
      <c r="D4020" s="19" t="n">
        <f aca="false">'SALES Raw'!C1986</f>
        <v>12</v>
      </c>
      <c r="E4020" s="19" t="n">
        <f aca="false">'SALES Raw'!D1986</f>
        <v>1554.98</v>
      </c>
      <c r="F4020" s="19" t="n">
        <f aca="false">'SALES Raw'!E1986*$H$4</f>
        <v>1.26315789473684</v>
      </c>
      <c r="G4020" s="19" t="n">
        <f aca="false">'SALES Raw'!F1986*$H$4</f>
        <v>280.585263157895</v>
      </c>
      <c r="H4020" s="18" t="str">
        <f aca="false">'SALES Raw'!A1986</f>
        <v>109 - Private Shops</v>
      </c>
    </row>
    <row r="4021" customFormat="false" ht="15" hidden="false" customHeight="false" outlineLevel="0" collapsed="false">
      <c r="A4021" s="18" t="n">
        <f aca="false">'SALES Raw'!G1987</f>
        <v>4401013</v>
      </c>
      <c r="B4021" s="18" t="str">
        <f aca="false">'SALES Raw'!B1987</f>
        <v>805AT-BL</v>
      </c>
      <c r="C4021" s="18" t="str">
        <f aca="false">'SALES Raw'!H1987</f>
        <v>805AT-BLאתלטיק טייפ כחול 20מ""""מ</v>
      </c>
      <c r="D4021" s="19" t="n">
        <f aca="false">'SALES Raw'!C1987</f>
        <v>0</v>
      </c>
      <c r="E4021" s="19" t="n">
        <f aca="false">'SALES Raw'!D1987</f>
        <v>0</v>
      </c>
      <c r="F4021" s="19" t="n">
        <f aca="false">'SALES Raw'!E1987*$H$4</f>
        <v>1.26315789473684</v>
      </c>
      <c r="G4021" s="19" t="n">
        <f aca="false">'SALES Raw'!F1987*$H$4</f>
        <v>21.8526315789474</v>
      </c>
      <c r="H4021" s="18" t="str">
        <f aca="false">'SALES Raw'!A1987</f>
        <v>109 - Private Shops</v>
      </c>
    </row>
    <row r="4022" customFormat="false" ht="15" hidden="false" customHeight="false" outlineLevel="0" collapsed="false">
      <c r="A4022" s="18" t="n">
        <f aca="false">'SALES Raw'!G1988</f>
        <v>4411015</v>
      </c>
      <c r="B4022" s="18" t="str">
        <f aca="false">'SALES Raw'!B1988</f>
        <v>820 0</v>
      </c>
      <c r="C4022" s="18" t="str">
        <f aca="false">'SALES Raw'!H1988</f>
        <v>820 0 כרית חום וקור</v>
      </c>
      <c r="D4022" s="19" t="n">
        <f aca="false">'SALES Raw'!C1988</f>
        <v>0</v>
      </c>
      <c r="E4022" s="19" t="n">
        <f aca="false">'SALES Raw'!D1988</f>
        <v>0</v>
      </c>
      <c r="F4022" s="19" t="n">
        <f aca="false">'SALES Raw'!E1988*$H$4</f>
        <v>1.26315789473684</v>
      </c>
      <c r="G4022" s="19" t="n">
        <f aca="false">'SALES Raw'!F1988*$H$4</f>
        <v>59.7473684210526</v>
      </c>
      <c r="H4022" s="18" t="str">
        <f aca="false">'SALES Raw'!A1988</f>
        <v>109 - Private Shops</v>
      </c>
    </row>
    <row r="4023" customFormat="false" ht="15" hidden="false" customHeight="false" outlineLevel="0" collapsed="false">
      <c r="A4023" s="18" t="n">
        <f aca="false">'SALES Raw'!G1990</f>
        <v>4408090</v>
      </c>
      <c r="B4023" s="18" t="str">
        <f aca="false">'SALES Raw'!B1990</f>
        <v>T11C L</v>
      </c>
      <c r="C4023" s="18" t="str">
        <f aca="false">'SALES Raw'!H1990</f>
        <v>T11C L  חגורת גב פוג'יאמה</v>
      </c>
      <c r="D4023" s="19" t="n">
        <f aca="false">'SALES Raw'!C1990</f>
        <v>0</v>
      </c>
      <c r="E4023" s="19" t="n">
        <f aca="false">'SALES Raw'!D1990</f>
        <v>0</v>
      </c>
      <c r="F4023" s="19" t="n">
        <f aca="false">'SALES Raw'!E1990*$H$4</f>
        <v>1.26315789473684</v>
      </c>
      <c r="G4023" s="19" t="n">
        <f aca="false">'SALES Raw'!F1990*$H$4</f>
        <v>119.545263157895</v>
      </c>
      <c r="H4023" s="18" t="str">
        <f aca="false">'SALES Raw'!A1990</f>
        <v>109 - Private Shops</v>
      </c>
    </row>
    <row r="4024" customFormat="false" ht="15" hidden="false" customHeight="false" outlineLevel="0" collapsed="false">
      <c r="A4024" s="18" t="str">
        <f aca="false">'SALES Raw'!G2057</f>
        <v/>
      </c>
      <c r="B4024" s="18" t="str">
        <f aca="false">'SALES Raw'!B2057</f>
        <v>06U S</v>
      </c>
      <c r="C4024" s="18" t="str">
        <f aca="false">'SALES Raw'!H2057</f>
        <v>06U S</v>
      </c>
      <c r="D4024" s="19" t="n">
        <f aca="false">'SALES Raw'!C2057</f>
        <v>3</v>
      </c>
      <c r="E4024" s="19" t="n">
        <f aca="false">'SALES Raw'!D2057</f>
        <v>722.63</v>
      </c>
      <c r="F4024" s="19" t="n">
        <f aca="false">'SALES Raw'!E2057*$H$4</f>
        <v>1.26315789473684</v>
      </c>
      <c r="G4024" s="19" t="n">
        <f aca="false">'SALES Raw'!F2057*$H$4</f>
        <v>513.713684210526</v>
      </c>
      <c r="H4024" s="18" t="str">
        <f aca="false">'SALES Raw'!A2057</f>
        <v>114 - IL online</v>
      </c>
    </row>
    <row r="4025" customFormat="false" ht="15" hidden="false" customHeight="false" outlineLevel="0" collapsed="false">
      <c r="A4025" s="18" t="str">
        <f aca="false">'SALES Raw'!G2059</f>
        <v/>
      </c>
      <c r="B4025" s="18" t="str">
        <f aca="false">'SALES Raw'!B2059</f>
        <v>06U XS</v>
      </c>
      <c r="C4025" s="18" t="str">
        <f aca="false">'SALES Raw'!H2059</f>
        <v>06U XS</v>
      </c>
      <c r="D4025" s="19" t="n">
        <f aca="false">'SALES Raw'!C2059</f>
        <v>2</v>
      </c>
      <c r="E4025" s="19" t="n">
        <f aca="false">'SALES Raw'!D2059</f>
        <v>508.3</v>
      </c>
      <c r="F4025" s="19" t="n">
        <f aca="false">'SALES Raw'!E2059*$H$4</f>
        <v>1.26315789473684</v>
      </c>
      <c r="G4025" s="19" t="n">
        <f aca="false">'SALES Raw'!F2059*$H$4</f>
        <v>321.031578947368</v>
      </c>
      <c r="H4025" s="18" t="str">
        <f aca="false">'SALES Raw'!A2059</f>
        <v>114 - IL online</v>
      </c>
    </row>
    <row r="4026" customFormat="false" ht="15" hidden="false" customHeight="false" outlineLevel="0" collapsed="false">
      <c r="A4026" s="18" t="n">
        <f aca="false">'SALES Raw'!G2061</f>
        <v>4408245</v>
      </c>
      <c r="B4026" s="18" t="str">
        <f aca="false">'SALES Raw'!B2061</f>
        <v>077A XXL</v>
      </c>
      <c r="C4026" s="18" t="str">
        <f aca="false">'SALES Raw'!H2061</f>
        <v>077A   XXL חגורת גב עם חיזוקים</v>
      </c>
      <c r="D4026" s="19" t="n">
        <f aca="false">'SALES Raw'!C2061</f>
        <v>0</v>
      </c>
      <c r="E4026" s="19" t="n">
        <f aca="false">'SALES Raw'!D2061</f>
        <v>0</v>
      </c>
      <c r="F4026" s="19" t="n">
        <f aca="false">'SALES Raw'!E2061*$H$4</f>
        <v>1.26315789473684</v>
      </c>
      <c r="G4026" s="19" t="n">
        <f aca="false">'SALES Raw'!F2061*$H$4</f>
        <v>213.978947368421</v>
      </c>
      <c r="H4026" s="18" t="str">
        <f aca="false">'SALES Raw'!A2061</f>
        <v>114 - IL online</v>
      </c>
    </row>
    <row r="4027" customFormat="false" ht="15" hidden="false" customHeight="false" outlineLevel="0" collapsed="false">
      <c r="A4027" s="18" t="n">
        <f aca="false">'SALES Raw'!G2074</f>
        <v>4408015</v>
      </c>
      <c r="B4027" s="18" t="str">
        <f aca="false">'SALES Raw'!B2074</f>
        <v>07AU L</v>
      </c>
      <c r="C4027" s="18" t="str">
        <f aca="false">'SALES Raw'!H2074</f>
        <v>07AU L ח.גב """"איטלקית"""" אורירית</v>
      </c>
      <c r="D4027" s="19" t="n">
        <f aca="false">'SALES Raw'!C2074</f>
        <v>5</v>
      </c>
      <c r="E4027" s="19" t="n">
        <f aca="false">'SALES Raw'!D2074</f>
        <v>2111.49</v>
      </c>
      <c r="F4027" s="19" t="n">
        <f aca="false">'SALES Raw'!E2074*$H$4</f>
        <v>1.26315789473684</v>
      </c>
      <c r="G4027" s="19" t="n">
        <f aca="false">'SALES Raw'!F2074*$H$4</f>
        <v>539.418947368421</v>
      </c>
      <c r="H4027" s="18" t="str">
        <f aca="false">'SALES Raw'!A2074</f>
        <v>114 - IL online</v>
      </c>
    </row>
    <row r="4028" customFormat="false" ht="15" hidden="false" customHeight="false" outlineLevel="0" collapsed="false">
      <c r="A4028" s="18" t="n">
        <f aca="false">'SALES Raw'!G2076</f>
        <v>4408014</v>
      </c>
      <c r="B4028" s="18" t="str">
        <f aca="false">'SALES Raw'!B2076</f>
        <v>07AU S</v>
      </c>
      <c r="C4028" s="18" t="str">
        <f aca="false">'SALES Raw'!H2076</f>
        <v>07AU S ח.גב """"איטלקית"""" אורירית</v>
      </c>
      <c r="D4028" s="19" t="n">
        <f aca="false">'SALES Raw'!C2076</f>
        <v>0</v>
      </c>
      <c r="E4028" s="19" t="n">
        <f aca="false">'SALES Raw'!D2076</f>
        <v>0</v>
      </c>
      <c r="F4028" s="19" t="n">
        <f aca="false">'SALES Raw'!E2076*$H$4</f>
        <v>1.26315789473684</v>
      </c>
      <c r="G4028" s="19" t="n">
        <f aca="false">'SALES Raw'!F2076*$H$4</f>
        <v>599.355789473684</v>
      </c>
      <c r="H4028" s="18" t="str">
        <f aca="false">'SALES Raw'!A2076</f>
        <v>114 - IL online</v>
      </c>
    </row>
    <row r="4029" customFormat="false" ht="15" hidden="false" customHeight="false" outlineLevel="0" collapsed="false">
      <c r="A4029" s="18" t="str">
        <f aca="false">'SALES Raw'!G2080</f>
        <v/>
      </c>
      <c r="B4029" s="18" t="str">
        <f aca="false">'SALES Raw'!B2080</f>
        <v>07UB XS</v>
      </c>
      <c r="C4029" s="18" t="str">
        <f aca="false">'SALES Raw'!H2080</f>
        <v>07UB XS</v>
      </c>
      <c r="D4029" s="19" t="n">
        <f aca="false">'SALES Raw'!C2080</f>
        <v>0</v>
      </c>
      <c r="E4029" s="19" t="n">
        <f aca="false">'SALES Raw'!D2080</f>
        <v>0</v>
      </c>
      <c r="F4029" s="19" t="n">
        <f aca="false">'SALES Raw'!E2080*$H$4</f>
        <v>1.26315789473684</v>
      </c>
      <c r="G4029" s="19" t="n">
        <f aca="false">'SALES Raw'!F2080*$H$4</f>
        <v>856.26947368421</v>
      </c>
      <c r="H4029" s="18" t="str">
        <f aca="false">'SALES Raw'!A2080</f>
        <v>114 - IL online</v>
      </c>
    </row>
    <row r="4030" customFormat="false" ht="15" hidden="false" customHeight="false" outlineLevel="0" collapsed="false">
      <c r="A4030" s="18" t="str">
        <f aca="false">'SALES Raw'!G2083</f>
        <v/>
      </c>
      <c r="B4030" s="18" t="str">
        <f aca="false">'SALES Raw'!B2083</f>
        <v>07UB-S-M</v>
      </c>
      <c r="C4030" s="18" t="str">
        <f aca="false">'SALES Raw'!H2083</f>
        <v>07UB-S-M</v>
      </c>
      <c r="D4030" s="19" t="n">
        <f aca="false">'SALES Raw'!C2083</f>
        <v>2</v>
      </c>
      <c r="E4030" s="19" t="n">
        <f aca="false">'SALES Raw'!D2083</f>
        <v>780.04</v>
      </c>
      <c r="F4030" s="19" t="n">
        <f aca="false">'SALES Raw'!E2083*$H$4</f>
        <v>1.26315789473684</v>
      </c>
      <c r="G4030" s="19" t="n">
        <f aca="false">'SALES Raw'!F2083*$H$4</f>
        <v>535.124210526316</v>
      </c>
      <c r="H4030" s="18" t="str">
        <f aca="false">'SALES Raw'!A2083</f>
        <v>114 - IL online</v>
      </c>
    </row>
    <row r="4031" customFormat="false" ht="15" hidden="false" customHeight="false" outlineLevel="0" collapsed="false">
      <c r="A4031" s="18" t="str">
        <f aca="false">'SALES Raw'!G2101</f>
        <v/>
      </c>
      <c r="B4031" s="18" t="str">
        <f aca="false">'SALES Raw'!B2101</f>
        <v>11EU XS</v>
      </c>
      <c r="C4031" s="18" t="str">
        <f aca="false">'SALES Raw'!H2101</f>
        <v>11EU XS</v>
      </c>
      <c r="D4031" s="19" t="n">
        <f aca="false">'SALES Raw'!C2101</f>
        <v>0</v>
      </c>
      <c r="E4031" s="19" t="n">
        <f aca="false">'SALES Raw'!D2101</f>
        <v>0</v>
      </c>
      <c r="F4031" s="19" t="n">
        <f aca="false">'SALES Raw'!E2101*$H$4</f>
        <v>1.26315789473684</v>
      </c>
      <c r="G4031" s="19" t="n">
        <f aca="false">'SALES Raw'!F2101*$H$4</f>
        <v>251.456842105263</v>
      </c>
      <c r="H4031" s="18" t="str">
        <f aca="false">'SALES Raw'!A2101</f>
        <v>114 - IL online</v>
      </c>
    </row>
    <row r="4032" customFormat="false" ht="15" hidden="false" customHeight="false" outlineLevel="0" collapsed="false">
      <c r="A4032" s="18" t="str">
        <f aca="false">'SALES Raw'!G2103</f>
        <v/>
      </c>
      <c r="B4032" s="18" t="str">
        <f aca="false">'SALES Raw'!B2103</f>
        <v>11NOR L</v>
      </c>
      <c r="C4032" s="18" t="str">
        <f aca="false">'SALES Raw'!H2103</f>
        <v>11NOR L</v>
      </c>
      <c r="D4032" s="19" t="n">
        <f aca="false">'SALES Raw'!C2103</f>
        <v>2</v>
      </c>
      <c r="E4032" s="19" t="n">
        <f aca="false">'SALES Raw'!D2103</f>
        <v>769.32</v>
      </c>
      <c r="F4032" s="19" t="n">
        <f aca="false">'SALES Raw'!E2103*$H$4</f>
        <v>1.26315789473684</v>
      </c>
      <c r="G4032" s="19" t="n">
        <f aca="false">'SALES Raw'!F2103*$H$4</f>
        <v>485.886315789474</v>
      </c>
      <c r="H4032" s="18" t="str">
        <f aca="false">'SALES Raw'!A2103</f>
        <v>114 - IL online</v>
      </c>
    </row>
    <row r="4033" customFormat="false" ht="15" hidden="false" customHeight="false" outlineLevel="0" collapsed="false">
      <c r="A4033" s="18" t="str">
        <f aca="false">'SALES Raw'!G2107</f>
        <v/>
      </c>
      <c r="B4033" s="18" t="str">
        <f aca="false">'SALES Raw'!B2107</f>
        <v>11PS M</v>
      </c>
      <c r="C4033" s="18" t="str">
        <f aca="false">'SALES Raw'!H2107</f>
        <v>11PS M</v>
      </c>
      <c r="D4033" s="19" t="n">
        <f aca="false">'SALES Raw'!C2107</f>
        <v>3</v>
      </c>
      <c r="E4033" s="19" t="n">
        <f aca="false">'SALES Raw'!D2107</f>
        <v>675.62</v>
      </c>
      <c r="F4033" s="19" t="n">
        <f aca="false">'SALES Raw'!E2107*$H$4</f>
        <v>1.26315789473684</v>
      </c>
      <c r="G4033" s="19" t="n">
        <f aca="false">'SALES Raw'!F2107*$H$4</f>
        <v>279.296842105263</v>
      </c>
      <c r="H4033" s="18" t="str">
        <f aca="false">'SALES Raw'!A2107</f>
        <v>114 - IL online</v>
      </c>
    </row>
    <row r="4034" customFormat="false" ht="15" hidden="false" customHeight="false" outlineLevel="0" collapsed="false">
      <c r="A4034" s="18" t="n">
        <f aca="false">'SALES Raw'!G2123</f>
        <v>4408150</v>
      </c>
      <c r="B4034" s="18" t="str">
        <f aca="false">'SALES Raw'!B2123</f>
        <v>11TO S</v>
      </c>
      <c r="C4034" s="18" t="str">
        <f aca="false">'SALES Raw'!H2123</f>
        <v>11TO S חגורה למנותחי בית החזה</v>
      </c>
      <c r="D4034" s="19" t="n">
        <f aca="false">'SALES Raw'!C2123</f>
        <v>0</v>
      </c>
      <c r="E4034" s="19" t="n">
        <f aca="false">'SALES Raw'!D2123</f>
        <v>0</v>
      </c>
      <c r="F4034" s="19" t="n">
        <f aca="false">'SALES Raw'!E2123*$H$4</f>
        <v>1.26315789473684</v>
      </c>
      <c r="G4034" s="19" t="n">
        <f aca="false">'SALES Raw'!F2123*$H$4</f>
        <v>358.496842105263</v>
      </c>
      <c r="H4034" s="18" t="str">
        <f aca="false">'SALES Raw'!A2123</f>
        <v>114 - IL online</v>
      </c>
    </row>
    <row r="4035" customFormat="false" ht="15" hidden="false" customHeight="false" outlineLevel="0" collapsed="false">
      <c r="A4035" s="18" t="str">
        <f aca="false">'SALES Raw'!G2134</f>
        <v/>
      </c>
      <c r="B4035" s="18" t="str">
        <f aca="false">'SALES Raw'!B2134</f>
        <v>13 L</v>
      </c>
      <c r="C4035" s="18" t="str">
        <f aca="false">'SALES Raw'!H2134</f>
        <v>13 L</v>
      </c>
      <c r="D4035" s="19" t="n">
        <f aca="false">'SALES Raw'!C2134</f>
        <v>3</v>
      </c>
      <c r="E4035" s="19" t="n">
        <f aca="false">'SALES Raw'!D2134</f>
        <v>823.05</v>
      </c>
      <c r="F4035" s="19" t="n">
        <f aca="false">'SALES Raw'!E2134*$H$4</f>
        <v>1.26315789473684</v>
      </c>
      <c r="G4035" s="19" t="n">
        <f aca="false">'SALES Raw'!F2134*$H$4</f>
        <v>358.496842105263</v>
      </c>
      <c r="H4035" s="18" t="str">
        <f aca="false">'SALES Raw'!A2134</f>
        <v>114 - IL online</v>
      </c>
    </row>
    <row r="4036" customFormat="false" ht="15" hidden="false" customHeight="false" outlineLevel="0" collapsed="false">
      <c r="A4036" s="18" t="str">
        <f aca="false">'SALES Raw'!G2136</f>
        <v/>
      </c>
      <c r="B4036" s="18" t="str">
        <f aca="false">'SALES Raw'!B2136</f>
        <v>13 S</v>
      </c>
      <c r="C4036" s="18" t="str">
        <f aca="false">'SALES Raw'!H2136</f>
        <v>13 S</v>
      </c>
      <c r="D4036" s="19" t="n">
        <f aca="false">'SALES Raw'!C2136</f>
        <v>0</v>
      </c>
      <c r="E4036" s="19" t="n">
        <f aca="false">'SALES Raw'!D2136</f>
        <v>0</v>
      </c>
      <c r="F4036" s="19" t="n">
        <f aca="false">'SALES Raw'!E2136*$H$4</f>
        <v>1.26315789473684</v>
      </c>
      <c r="G4036" s="19" t="n">
        <f aca="false">'SALES Raw'!F2136*$H$4</f>
        <v>304.736842105263</v>
      </c>
      <c r="H4036" s="18" t="str">
        <f aca="false">'SALES Raw'!A2136</f>
        <v>114 - IL online</v>
      </c>
    </row>
    <row r="4037" customFormat="false" ht="15" hidden="false" customHeight="false" outlineLevel="0" collapsed="false">
      <c r="A4037" s="18" t="str">
        <f aca="false">'SALES Raw'!G2138</f>
        <v/>
      </c>
      <c r="B4037" s="18" t="str">
        <f aca="false">'SALES Raw'!B2138</f>
        <v>13 XS</v>
      </c>
      <c r="C4037" s="18" t="str">
        <f aca="false">'SALES Raw'!H2138</f>
        <v>13 XS</v>
      </c>
      <c r="D4037" s="19" t="n">
        <f aca="false">'SALES Raw'!C2138</f>
        <v>0</v>
      </c>
      <c r="E4037" s="19" t="n">
        <f aca="false">'SALES Raw'!D2138</f>
        <v>0</v>
      </c>
      <c r="F4037" s="19" t="n">
        <f aca="false">'SALES Raw'!E2138*$H$4</f>
        <v>1.26315789473684</v>
      </c>
      <c r="G4037" s="19" t="n">
        <f aca="false">'SALES Raw'!F2138*$H$4</f>
        <v>358.496842105263</v>
      </c>
      <c r="H4037" s="18" t="str">
        <f aca="false">'SALES Raw'!A2138</f>
        <v>114 - IL online</v>
      </c>
    </row>
    <row r="4038" customFormat="false" ht="15" hidden="false" customHeight="false" outlineLevel="0" collapsed="false">
      <c r="A4038" s="18" t="str">
        <f aca="false">'SALES Raw'!G2146</f>
        <v/>
      </c>
      <c r="B4038" s="18" t="str">
        <f aca="false">'SALES Raw'!B2146</f>
        <v>15M XL</v>
      </c>
      <c r="C4038" s="18" t="str">
        <f aca="false">'SALES Raw'!H2146</f>
        <v>15M XL</v>
      </c>
      <c r="D4038" s="19" t="n">
        <f aca="false">'SALES Raw'!C2146</f>
        <v>3</v>
      </c>
      <c r="E4038" s="19" t="n">
        <f aca="false">'SALES Raw'!D2146</f>
        <v>724.32</v>
      </c>
      <c r="F4038" s="19" t="n">
        <f aca="false">'SALES Raw'!E2146*$H$4</f>
        <v>1.26315789473684</v>
      </c>
      <c r="G4038" s="19" t="n">
        <f aca="false">'SALES Raw'!F2146*$H$4</f>
        <v>288.934736842105</v>
      </c>
      <c r="H4038" s="18" t="str">
        <f aca="false">'SALES Raw'!A2146</f>
        <v>114 - IL online</v>
      </c>
    </row>
    <row r="4039" customFormat="false" ht="15" hidden="false" customHeight="false" outlineLevel="0" collapsed="false">
      <c r="A4039" s="18" t="str">
        <f aca="false">'SALES Raw'!G2151</f>
        <v/>
      </c>
      <c r="B4039" s="18" t="str">
        <f aca="false">'SALES Raw'!B2151</f>
        <v>15W XL</v>
      </c>
      <c r="C4039" s="18" t="str">
        <f aca="false">'SALES Raw'!H2151</f>
        <v>15W XL</v>
      </c>
      <c r="D4039" s="19" t="n">
        <f aca="false">'SALES Raw'!C2151</f>
        <v>2</v>
      </c>
      <c r="E4039" s="19" t="n">
        <f aca="false">'SALES Raw'!D2151</f>
        <v>493.9</v>
      </c>
      <c r="F4039" s="19" t="n">
        <f aca="false">'SALES Raw'!E2151*$H$4</f>
        <v>1.26315789473684</v>
      </c>
      <c r="G4039" s="19" t="n">
        <f aca="false">'SALES Raw'!F2151*$H$4</f>
        <v>288.934736842105</v>
      </c>
      <c r="H4039" s="18" t="str">
        <f aca="false">'SALES Raw'!A2151</f>
        <v>114 - IL online</v>
      </c>
    </row>
    <row r="4040" customFormat="false" ht="15" hidden="false" customHeight="false" outlineLevel="0" collapsed="false">
      <c r="A4040" s="18" t="str">
        <f aca="false">'SALES Raw'!G2152</f>
        <v/>
      </c>
      <c r="B4040" s="18" t="str">
        <f aca="false">'SALES Raw'!B2152</f>
        <v>15W XXL</v>
      </c>
      <c r="C4040" s="18" t="str">
        <f aca="false">'SALES Raw'!H2152</f>
        <v>15W XXL</v>
      </c>
      <c r="D4040" s="19" t="n">
        <f aca="false">'SALES Raw'!C2152</f>
        <v>0</v>
      </c>
      <c r="E4040" s="19" t="n">
        <f aca="false">'SALES Raw'!D2152</f>
        <v>0</v>
      </c>
      <c r="F4040" s="19" t="n">
        <f aca="false">'SALES Raw'!E2152*$H$4</f>
        <v>1.26315789473684</v>
      </c>
      <c r="G4040" s="19" t="n">
        <f aca="false">'SALES Raw'!F2152*$H$4</f>
        <v>288.922105263158</v>
      </c>
      <c r="H4040" s="18" t="str">
        <f aca="false">'SALES Raw'!A2152</f>
        <v>114 - IL online</v>
      </c>
    </row>
    <row r="4041" customFormat="false" ht="15" hidden="false" customHeight="false" outlineLevel="0" collapsed="false">
      <c r="A4041" s="18" t="str">
        <f aca="false">'SALES Raw'!G2156</f>
        <v/>
      </c>
      <c r="B4041" s="18" t="str">
        <f aca="false">'SALES Raw'!B2156</f>
        <v>18 L</v>
      </c>
      <c r="C4041" s="18" t="str">
        <f aca="false">'SALES Raw'!H2156</f>
        <v>18 L</v>
      </c>
      <c r="D4041" s="19" t="n">
        <f aca="false">'SALES Raw'!C2156</f>
        <v>1</v>
      </c>
      <c r="E4041" s="19" t="n">
        <f aca="false">'SALES Raw'!D2156</f>
        <v>475.35</v>
      </c>
      <c r="F4041" s="19" t="n">
        <f aca="false">'SALES Raw'!E2156*$H$4</f>
        <v>1.26315789473684</v>
      </c>
      <c r="G4041" s="19" t="n">
        <f aca="false">'SALES Raw'!F2156*$H$4</f>
        <v>635.76</v>
      </c>
      <c r="H4041" s="18" t="str">
        <f aca="false">'SALES Raw'!A2156</f>
        <v>114 - IL online</v>
      </c>
    </row>
    <row r="4042" customFormat="false" ht="15" hidden="false" customHeight="false" outlineLevel="0" collapsed="false">
      <c r="A4042" s="18" t="str">
        <f aca="false">'SALES Raw'!G2157</f>
        <v/>
      </c>
      <c r="B4042" s="18" t="str">
        <f aca="false">'SALES Raw'!B2157</f>
        <v>18 M</v>
      </c>
      <c r="C4042" s="18" t="str">
        <f aca="false">'SALES Raw'!H2157</f>
        <v>18 M</v>
      </c>
      <c r="D4042" s="19" t="n">
        <f aca="false">'SALES Raw'!C2157</f>
        <v>1</v>
      </c>
      <c r="E4042" s="19" t="n">
        <f aca="false">'SALES Raw'!D2157</f>
        <v>559.24</v>
      </c>
      <c r="F4042" s="19" t="n">
        <f aca="false">'SALES Raw'!E2157*$H$4</f>
        <v>1.26315789473684</v>
      </c>
      <c r="G4042" s="19" t="n">
        <f aca="false">'SALES Raw'!F2157*$H$4</f>
        <v>706.408421052632</v>
      </c>
      <c r="H4042" s="18" t="str">
        <f aca="false">'SALES Raw'!A2157</f>
        <v>114 - IL online</v>
      </c>
    </row>
    <row r="4043" customFormat="false" ht="15" hidden="false" customHeight="false" outlineLevel="0" collapsed="false">
      <c r="A4043" s="18" t="n">
        <f aca="false">'SALES Raw'!G2159</f>
        <v>4408047</v>
      </c>
      <c r="B4043" s="18" t="str">
        <f aca="false">'SALES Raw'!B2159</f>
        <v>20 M</v>
      </c>
      <c r="C4043" s="18" t="str">
        <f aca="false">'SALES Raw'!H2159</f>
        <v>20 M חבק יד מתכוון עם צמדן</v>
      </c>
      <c r="D4043" s="19" t="n">
        <f aca="false">'SALES Raw'!C2159</f>
        <v>4</v>
      </c>
      <c r="E4043" s="19" t="n">
        <f aca="false">'SALES Raw'!D2159</f>
        <v>219.29</v>
      </c>
      <c r="F4043" s="19" t="n">
        <f aca="false">'SALES Raw'!E2159*$H$4</f>
        <v>1.26315789473684</v>
      </c>
      <c r="G4043" s="19" t="n">
        <f aca="false">'SALES Raw'!F2159*$H$4</f>
        <v>75.8905263157895</v>
      </c>
      <c r="H4043" s="18" t="str">
        <f aca="false">'SALES Raw'!A2159</f>
        <v>114 - IL online</v>
      </c>
    </row>
    <row r="4044" customFormat="false" ht="15" hidden="false" customHeight="false" outlineLevel="0" collapsed="false">
      <c r="A4044" s="18" t="str">
        <f aca="false">'SALES Raw'!G2202</f>
        <v/>
      </c>
      <c r="B4044" s="18" t="str">
        <f aca="false">'SALES Raw'!B2202</f>
        <v>267RB XXL</v>
      </c>
      <c r="C4044" s="18" t="str">
        <f aca="false">'SALES Raw'!H2202</f>
        <v>267RB XXL</v>
      </c>
      <c r="D4044" s="19" t="n">
        <f aca="false">'SALES Raw'!C2202</f>
        <v>0</v>
      </c>
      <c r="E4044" s="19" t="n">
        <f aca="false">'SALES Raw'!D2202</f>
        <v>0</v>
      </c>
      <c r="F4044" s="19" t="n">
        <f aca="false">'SALES Raw'!E2202*$H$4</f>
        <v>1.26315789473684</v>
      </c>
      <c r="G4044" s="19" t="n">
        <f aca="false">'SALES Raw'!F2202*$H$4</f>
        <v>160.458947368421</v>
      </c>
      <c r="H4044" s="18" t="str">
        <f aca="false">'SALES Raw'!A2202</f>
        <v>114 - IL online</v>
      </c>
    </row>
    <row r="4045" customFormat="false" ht="15" hidden="false" customHeight="false" outlineLevel="0" collapsed="false">
      <c r="A4045" s="18" t="str">
        <f aca="false">'SALES Raw'!G2204</f>
        <v/>
      </c>
      <c r="B4045" s="18" t="str">
        <f aca="false">'SALES Raw'!B2204</f>
        <v>267RB-S-M</v>
      </c>
      <c r="C4045" s="18" t="str">
        <f aca="false">'SALES Raw'!H2204</f>
        <v>267RB-S-M</v>
      </c>
      <c r="D4045" s="19" t="n">
        <f aca="false">'SALES Raw'!C2204</f>
        <v>1</v>
      </c>
      <c r="E4045" s="19" t="n">
        <f aca="false">'SALES Raw'!D2204</f>
        <v>167.05</v>
      </c>
      <c r="F4045" s="19" t="n">
        <f aca="false">'SALES Raw'!E2204*$H$4</f>
        <v>1.26315789473684</v>
      </c>
      <c r="G4045" s="19" t="n">
        <f aca="false">'SALES Raw'!F2204*$H$4</f>
        <v>248.248421052632</v>
      </c>
      <c r="H4045" s="18" t="str">
        <f aca="false">'SALES Raw'!A2204</f>
        <v>114 - IL online</v>
      </c>
    </row>
    <row r="4046" customFormat="false" ht="15" hidden="false" customHeight="false" outlineLevel="0" collapsed="false">
      <c r="A4046" s="18" t="str">
        <f aca="false">'SALES Raw'!G2205</f>
        <v/>
      </c>
      <c r="B4046" s="18" t="str">
        <f aca="false">'SALES Raw'!B2205</f>
        <v>267LC XXL</v>
      </c>
      <c r="C4046" s="18" t="str">
        <f aca="false">'SALES Raw'!H2205</f>
        <v>267LC XXL</v>
      </c>
      <c r="D4046" s="19" t="n">
        <f aca="false">'SALES Raw'!C2205</f>
        <v>0</v>
      </c>
      <c r="E4046" s="19" t="n">
        <f aca="false">'SALES Raw'!D2205</f>
        <v>0</v>
      </c>
      <c r="F4046" s="19" t="n">
        <f aca="false">'SALES Raw'!E2205*$H$4</f>
        <v>1.26315789473684</v>
      </c>
      <c r="G4046" s="19" t="n">
        <f aca="false">'SALES Raw'!F2205*$H$4</f>
        <v>248.235789473684</v>
      </c>
      <c r="H4046" s="18" t="str">
        <f aca="false">'SALES Raw'!A2205</f>
        <v>114 - IL online</v>
      </c>
    </row>
    <row r="4047" customFormat="false" ht="15" hidden="false" customHeight="false" outlineLevel="0" collapsed="false">
      <c r="A4047" s="18" t="n">
        <f aca="false">'SALES Raw'!G2211</f>
        <v>4415005</v>
      </c>
      <c r="B4047" s="18" t="str">
        <f aca="false">'SALES Raw'!B2211</f>
        <v>28 L</v>
      </c>
      <c r="C4047" s="18" t="str">
        <f aca="false">'SALES Raw'!H2211</f>
        <v>28 L סד לאגודל לאחר שבר</v>
      </c>
      <c r="D4047" s="19" t="n">
        <f aca="false">'SALES Raw'!C2211</f>
        <v>1</v>
      </c>
      <c r="E4047" s="19" t="n">
        <f aca="false">'SALES Raw'!D2211</f>
        <v>171.1</v>
      </c>
      <c r="F4047" s="19" t="n">
        <f aca="false">'SALES Raw'!E2211*$H$4</f>
        <v>1.26315789473684</v>
      </c>
      <c r="G4047" s="19" t="n">
        <f aca="false">'SALES Raw'!F2211*$H$4</f>
        <v>235.402105263158</v>
      </c>
      <c r="H4047" s="18" t="str">
        <f aca="false">'SALES Raw'!A2211</f>
        <v>114 - IL online</v>
      </c>
    </row>
    <row r="4048" customFormat="false" ht="15" hidden="false" customHeight="false" outlineLevel="0" collapsed="false">
      <c r="A4048" s="18" t="n">
        <f aca="false">'SALES Raw'!G2214</f>
        <v>4415008</v>
      </c>
      <c r="B4048" s="18" t="str">
        <f aca="false">'SALES Raw'!B2214</f>
        <v>28 XL</v>
      </c>
      <c r="C4048" s="18" t="str">
        <f aca="false">'SALES Raw'!H2214</f>
        <v>28 XL סד לאגודל לאחר שבר</v>
      </c>
      <c r="D4048" s="19" t="n">
        <f aca="false">'SALES Raw'!C2214</f>
        <v>3</v>
      </c>
      <c r="E4048" s="19" t="n">
        <f aca="false">'SALES Raw'!D2214</f>
        <v>543.82</v>
      </c>
      <c r="F4048" s="19" t="n">
        <f aca="false">'SALES Raw'!E2214*$H$4</f>
        <v>1.26315789473684</v>
      </c>
      <c r="G4048" s="19" t="n">
        <f aca="false">'SALES Raw'!F2214*$H$4</f>
        <v>235.389473684211</v>
      </c>
      <c r="H4048" s="18" t="str">
        <f aca="false">'SALES Raw'!A2214</f>
        <v>114 - IL online</v>
      </c>
    </row>
    <row r="4049" customFormat="false" ht="15" hidden="false" customHeight="false" outlineLevel="0" collapsed="false">
      <c r="A4049" s="18" t="str">
        <f aca="false">'SALES Raw'!G2229</f>
        <v/>
      </c>
      <c r="B4049" s="18" t="str">
        <f aca="false">'SALES Raw'!B2229</f>
        <v>303-39-40</v>
      </c>
      <c r="C4049" s="18" t="str">
        <f aca="false">'SALES Raw'!H2229</f>
        <v>303-39-40</v>
      </c>
      <c r="D4049" s="19" t="n">
        <f aca="false">'SALES Raw'!C2229</f>
        <v>2</v>
      </c>
      <c r="E4049" s="19" t="n">
        <f aca="false">'SALES Raw'!D2229</f>
        <v>428.64</v>
      </c>
      <c r="F4049" s="19" t="n">
        <f aca="false">'SALES Raw'!E2229*$H$4</f>
        <v>1.26315789473684</v>
      </c>
      <c r="G4049" s="19" t="n">
        <f aca="false">'SALES Raw'!F2229*$H$4</f>
        <v>243.650526315789</v>
      </c>
      <c r="H4049" s="18" t="str">
        <f aca="false">'SALES Raw'!A2229</f>
        <v>114 - IL online</v>
      </c>
    </row>
    <row r="4050" customFormat="false" ht="15" hidden="false" customHeight="false" outlineLevel="0" collapsed="false">
      <c r="A4050" s="18" t="n">
        <f aca="false">'SALES Raw'!G2263</f>
        <v>4413042</v>
      </c>
      <c r="B4050" s="18" t="str">
        <f aca="false">'SALES Raw'!B2263</f>
        <v>34 S</v>
      </c>
      <c r="C4050" s="18" t="str">
        <f aca="false">'SALES Raw'!H2263</f>
        <v>34  S מגן קרסול עקב סגור</v>
      </c>
      <c r="D4050" s="19" t="n">
        <f aca="false">'SALES Raw'!C2263</f>
        <v>5</v>
      </c>
      <c r="E4050" s="19" t="n">
        <f aca="false">'SALES Raw'!D2263</f>
        <v>359.81</v>
      </c>
      <c r="F4050" s="19" t="n">
        <f aca="false">'SALES Raw'!E2263*$H$4</f>
        <v>1.26315789473684</v>
      </c>
      <c r="G4050" s="19" t="n">
        <f aca="false">'SALES Raw'!F2263*$H$4</f>
        <v>106.938947368421</v>
      </c>
      <c r="H4050" s="18" t="str">
        <f aca="false">'SALES Raw'!A2263</f>
        <v>114 - IL online</v>
      </c>
    </row>
    <row r="4051" customFormat="false" ht="15" hidden="false" customHeight="false" outlineLevel="0" collapsed="false">
      <c r="A4051" s="18" t="str">
        <f aca="false">'SALES Raw'!G2265</f>
        <v/>
      </c>
      <c r="B4051" s="18" t="str">
        <f aca="false">'SALES Raw'!B2265</f>
        <v>34 XS</v>
      </c>
      <c r="C4051" s="18" t="str">
        <f aca="false">'SALES Raw'!H2265</f>
        <v>34 XS</v>
      </c>
      <c r="D4051" s="19" t="n">
        <f aca="false">'SALES Raw'!C2265</f>
        <v>0</v>
      </c>
      <c r="E4051" s="19" t="n">
        <f aca="false">'SALES Raw'!D2265</f>
        <v>0</v>
      </c>
      <c r="F4051" s="19" t="n">
        <f aca="false">'SALES Raw'!E2265*$H$4</f>
        <v>1.26315789473684</v>
      </c>
      <c r="G4051" s="19" t="n">
        <f aca="false">'SALES Raw'!F2265*$H$4</f>
        <v>96.2526315789474</v>
      </c>
      <c r="H4051" s="18" t="str">
        <f aca="false">'SALES Raw'!A2265</f>
        <v>114 - IL online</v>
      </c>
    </row>
    <row r="4052" customFormat="false" ht="15" hidden="false" customHeight="false" outlineLevel="0" collapsed="false">
      <c r="A4052" s="18" t="n">
        <f aca="false">'SALES Raw'!G2286</f>
        <v>4413054</v>
      </c>
      <c r="B4052" s="18" t="str">
        <f aca="false">'SALES Raw'!B2286</f>
        <v>35C M</v>
      </c>
      <c r="C4052" s="18" t="str">
        <f aca="false">'SALES Raw'!H2286</f>
        <v>35C M מגן קרסול חום</v>
      </c>
      <c r="D4052" s="19" t="n">
        <f aca="false">'SALES Raw'!C2286</f>
        <v>5</v>
      </c>
      <c r="E4052" s="19" t="n">
        <f aca="false">'SALES Raw'!D2286</f>
        <v>240.15</v>
      </c>
      <c r="F4052" s="19" t="n">
        <f aca="false">'SALES Raw'!E2286*$H$4</f>
        <v>1.26315789473684</v>
      </c>
      <c r="G4052" s="19" t="n">
        <f aca="false">'SALES Raw'!F2286*$H$4</f>
        <v>70.5347368421053</v>
      </c>
      <c r="H4052" s="18" t="str">
        <f aca="false">'SALES Raw'!A2286</f>
        <v>114 - IL online</v>
      </c>
    </row>
    <row r="4053" customFormat="false" ht="15" hidden="false" customHeight="false" outlineLevel="0" collapsed="false">
      <c r="A4053" s="18" t="str">
        <f aca="false">'SALES Raw'!G2354</f>
        <v/>
      </c>
      <c r="B4053" s="18" t="str">
        <f aca="false">'SALES Raw'!B2354</f>
        <v>391W-39-42</v>
      </c>
      <c r="C4053" s="18" t="str">
        <f aca="false">'SALES Raw'!H2354</f>
        <v>391W-39-42</v>
      </c>
      <c r="D4053" s="19" t="n">
        <f aca="false">'SALES Raw'!C2354</f>
        <v>0</v>
      </c>
      <c r="E4053" s="19" t="n">
        <f aca="false">'SALES Raw'!D2354</f>
        <v>0</v>
      </c>
      <c r="F4053" s="19" t="n">
        <f aca="false">'SALES Raw'!E2354*$H$4</f>
        <v>1.26315789473684</v>
      </c>
      <c r="G4053" s="19" t="n">
        <f aca="false">'SALES Raw'!F2354*$H$4</f>
        <v>80.1726315789474</v>
      </c>
      <c r="H4053" s="18" t="str">
        <f aca="false">'SALES Raw'!A2354</f>
        <v>114 - IL online</v>
      </c>
    </row>
    <row r="4054" customFormat="false" ht="15" hidden="false" customHeight="false" outlineLevel="0" collapsed="false">
      <c r="A4054" s="18" t="n">
        <f aca="false">'SALES Raw'!G2372</f>
        <v>4403029</v>
      </c>
      <c r="B4054" s="18" t="str">
        <f aca="false">'SALES Raw'!B2372</f>
        <v>397-39-42</v>
      </c>
      <c r="C4054" s="18" t="str">
        <f aca="false">'SALES Raw'!H2372</f>
        <v>397 39-42 גרבי טיסה מידה</v>
      </c>
      <c r="D4054" s="19" t="n">
        <f aca="false">'SALES Raw'!C2372</f>
        <v>174</v>
      </c>
      <c r="E4054" s="19" t="n">
        <f aca="false">'SALES Raw'!D2372</f>
        <v>17260.97</v>
      </c>
      <c r="F4054" s="19" t="n">
        <f aca="false">'SALES Raw'!E2372*$H$4</f>
        <v>1.26315789473684</v>
      </c>
      <c r="G4054" s="19" t="n">
        <f aca="false">'SALES Raw'!F2372*$H$4</f>
        <v>122.741052631579</v>
      </c>
      <c r="H4054" s="18" t="str">
        <f aca="false">'SALES Raw'!A2372</f>
        <v>114 - IL online</v>
      </c>
    </row>
    <row r="4055" customFormat="false" ht="15" hidden="false" customHeight="false" outlineLevel="0" collapsed="false">
      <c r="A4055" s="18" t="n">
        <f aca="false">'SALES Raw'!G2381</f>
        <v>4413071</v>
      </c>
      <c r="B4055" s="18" t="str">
        <f aca="false">'SALES Raw'!B2381</f>
        <v>41 S</v>
      </c>
      <c r="C4055" s="18" t="str">
        <f aca="false">'SALES Raw'!H2381</f>
        <v>41 Sמ.ברך מוצלב+ספירלות בצדדים</v>
      </c>
      <c r="D4055" s="19" t="n">
        <f aca="false">'SALES Raw'!C2381</f>
        <v>0</v>
      </c>
      <c r="E4055" s="19" t="n">
        <f aca="false">'SALES Raw'!D2381</f>
        <v>0</v>
      </c>
      <c r="F4055" s="19" t="n">
        <f aca="false">'SALES Raw'!E2381*$H$4</f>
        <v>1.26315789473684</v>
      </c>
      <c r="G4055" s="19" t="n">
        <f aca="false">'SALES Raw'!F2381*$H$4</f>
        <v>260.033684210526</v>
      </c>
      <c r="H4055" s="18" t="str">
        <f aca="false">'SALES Raw'!A2381</f>
        <v>114 - IL online</v>
      </c>
    </row>
    <row r="4056" customFormat="false" ht="15" hidden="false" customHeight="false" outlineLevel="0" collapsed="false">
      <c r="A4056" s="18" t="str">
        <f aca="false">'SALES Raw'!G2383</f>
        <v/>
      </c>
      <c r="B4056" s="18" t="str">
        <f aca="false">'SALES Raw'!B2383</f>
        <v>41 XS</v>
      </c>
      <c r="C4056" s="18" t="str">
        <f aca="false">'SALES Raw'!H2383</f>
        <v>41 XS</v>
      </c>
      <c r="D4056" s="19" t="n">
        <f aca="false">'SALES Raw'!C2383</f>
        <v>0</v>
      </c>
      <c r="E4056" s="19" t="n">
        <f aca="false">'SALES Raw'!D2383</f>
        <v>0</v>
      </c>
      <c r="F4056" s="19" t="n">
        <f aca="false">'SALES Raw'!E2383*$H$4</f>
        <v>1.26315789473684</v>
      </c>
      <c r="G4056" s="19" t="n">
        <f aca="false">'SALES Raw'!F2383*$H$4</f>
        <v>260.033684210526</v>
      </c>
      <c r="H4056" s="18" t="str">
        <f aca="false">'SALES Raw'!A2383</f>
        <v>114 - IL online</v>
      </c>
    </row>
    <row r="4057" customFormat="false" ht="15" hidden="false" customHeight="false" outlineLevel="0" collapsed="false">
      <c r="A4057" s="18" t="str">
        <f aca="false">'SALES Raw'!G2390</f>
        <v/>
      </c>
      <c r="B4057" s="18" t="str">
        <f aca="false">'SALES Raw'!B2390</f>
        <v>422E L</v>
      </c>
      <c r="C4057" s="18" t="str">
        <f aca="false">'SALES Raw'!H2390</f>
        <v>422E L</v>
      </c>
      <c r="D4057" s="19" t="n">
        <f aca="false">'SALES Raw'!C2390</f>
        <v>0</v>
      </c>
      <c r="E4057" s="19" t="n">
        <f aca="false">'SALES Raw'!D2390</f>
        <v>0</v>
      </c>
      <c r="F4057" s="19" t="n">
        <f aca="false">'SALES Raw'!E2390*$H$4</f>
        <v>1.26315789473684</v>
      </c>
      <c r="G4057" s="19" t="n">
        <f aca="false">'SALES Raw'!F2390*$H$4</f>
        <v>240.757894736842</v>
      </c>
      <c r="H4057" s="18" t="str">
        <f aca="false">'SALES Raw'!A2390</f>
        <v>114 - IL online</v>
      </c>
    </row>
    <row r="4058" customFormat="false" ht="15" hidden="false" customHeight="false" outlineLevel="0" collapsed="false">
      <c r="A4058" s="18" t="str">
        <f aca="false">'SALES Raw'!G2391</f>
        <v/>
      </c>
      <c r="B4058" s="18" t="str">
        <f aca="false">'SALES Raw'!B2391</f>
        <v>422E XL</v>
      </c>
      <c r="C4058" s="18" t="str">
        <f aca="false">'SALES Raw'!H2391</f>
        <v>422E XL</v>
      </c>
      <c r="D4058" s="19" t="n">
        <f aca="false">'SALES Raw'!C2391</f>
        <v>0</v>
      </c>
      <c r="E4058" s="19" t="n">
        <f aca="false">'SALES Raw'!D2391</f>
        <v>0</v>
      </c>
      <c r="F4058" s="19" t="n">
        <f aca="false">'SALES Raw'!E2391*$H$4</f>
        <v>1.26315789473684</v>
      </c>
      <c r="G4058" s="19" t="n">
        <f aca="false">'SALES Raw'!F2391*$H$4</f>
        <v>267.511578947368</v>
      </c>
      <c r="H4058" s="18" t="str">
        <f aca="false">'SALES Raw'!A2391</f>
        <v>114 - IL online</v>
      </c>
    </row>
    <row r="4059" customFormat="false" ht="15" hidden="false" customHeight="false" outlineLevel="0" collapsed="false">
      <c r="A4059" s="18" t="str">
        <f aca="false">'SALES Raw'!G2394</f>
        <v/>
      </c>
      <c r="B4059" s="18" t="str">
        <f aca="false">'SALES Raw'!B2394</f>
        <v>422EB XL</v>
      </c>
      <c r="C4059" s="18" t="str">
        <f aca="false">'SALES Raw'!H2394</f>
        <v>422EB XL</v>
      </c>
      <c r="D4059" s="19" t="n">
        <f aca="false">'SALES Raw'!C2394</f>
        <v>1</v>
      </c>
      <c r="E4059" s="19" t="n">
        <f aca="false">'SALES Raw'!D2394</f>
        <v>367.71</v>
      </c>
      <c r="F4059" s="19" t="n">
        <f aca="false">'SALES Raw'!E2394*$H$4</f>
        <v>1.26315789473684</v>
      </c>
      <c r="G4059" s="19" t="n">
        <f aca="false">'SALES Raw'!F2394*$H$4</f>
        <v>464.475789473684</v>
      </c>
      <c r="H4059" s="18" t="str">
        <f aca="false">'SALES Raw'!A2394</f>
        <v>114 - IL online</v>
      </c>
    </row>
    <row r="4060" customFormat="false" ht="15" hidden="false" customHeight="false" outlineLevel="0" collapsed="false">
      <c r="A4060" s="18" t="n">
        <f aca="false">'SALES Raw'!G2402</f>
        <v>4413094</v>
      </c>
      <c r="B4060" s="18" t="str">
        <f aca="false">'SALES Raw'!B2402</f>
        <v>45 S</v>
      </c>
      <c r="C4060" s="18" t="str">
        <f aca="false">'SALES Raw'!H2402</f>
        <v>45 S מגן ברך לבן</v>
      </c>
      <c r="D4060" s="19" t="n">
        <f aca="false">'SALES Raw'!C2402</f>
        <v>6</v>
      </c>
      <c r="E4060" s="19" t="n">
        <f aca="false">'SALES Raw'!D2402</f>
        <v>286.18</v>
      </c>
      <c r="F4060" s="19" t="n">
        <f aca="false">'SALES Raw'!E2402*$H$4</f>
        <v>1.26315789473684</v>
      </c>
      <c r="G4060" s="19" t="n">
        <f aca="false">'SALES Raw'!F2402*$H$4</f>
        <v>70.56</v>
      </c>
      <c r="H4060" s="18" t="str">
        <f aca="false">'SALES Raw'!A2402</f>
        <v>114 - IL online</v>
      </c>
    </row>
    <row r="4061" customFormat="false" ht="15" hidden="false" customHeight="false" outlineLevel="0" collapsed="false">
      <c r="A4061" s="18" t="n">
        <f aca="false">'SALES Raw'!G2418</f>
        <v>4413103</v>
      </c>
      <c r="B4061" s="18" t="str">
        <f aca="false">'SALES Raw'!B2418</f>
        <v>45E M</v>
      </c>
      <c r="C4061" s="18" t="str">
        <f aca="false">'SALES Raw'!H2418</f>
        <v>45E Mמגן ברך ארוך לבן</v>
      </c>
      <c r="D4061" s="19" t="n">
        <f aca="false">'SALES Raw'!C2418</f>
        <v>3</v>
      </c>
      <c r="E4061" s="19" t="n">
        <f aca="false">'SALES Raw'!D2418</f>
        <v>166.69</v>
      </c>
      <c r="F4061" s="19" t="n">
        <f aca="false">'SALES Raw'!E2418*$H$4</f>
        <v>1.26315789473684</v>
      </c>
      <c r="G4061" s="19" t="n">
        <f aca="false">'SALES Raw'!F2418*$H$4</f>
        <v>76.9894736842105</v>
      </c>
      <c r="H4061" s="18" t="str">
        <f aca="false">'SALES Raw'!A2418</f>
        <v>114 - IL online</v>
      </c>
    </row>
    <row r="4062" customFormat="false" ht="15" hidden="false" customHeight="false" outlineLevel="0" collapsed="false">
      <c r="A4062" s="18" t="n">
        <f aca="false">'SALES Raw'!G2424</f>
        <v>4413394</v>
      </c>
      <c r="B4062" s="18" t="str">
        <f aca="false">'SALES Raw'!B2424</f>
        <v>45EC S</v>
      </c>
      <c r="C4062" s="18" t="str">
        <f aca="false">'SALES Raw'!H2424</f>
        <v>45EC S 'מגן ברך ארוך בז</v>
      </c>
      <c r="D4062" s="19" t="n">
        <f aca="false">'SALES Raw'!C2424</f>
        <v>2</v>
      </c>
      <c r="E4062" s="19" t="n">
        <f aca="false">'SALES Raw'!D2424</f>
        <v>135.42</v>
      </c>
      <c r="F4062" s="19" t="n">
        <f aca="false">'SALES Raw'!E2424*$H$4</f>
        <v>1.26315789473684</v>
      </c>
      <c r="G4062" s="19" t="n">
        <f aca="false">'SALES Raw'!F2424*$H$4</f>
        <v>76.9768421052632</v>
      </c>
      <c r="H4062" s="18" t="str">
        <f aca="false">'SALES Raw'!A2424</f>
        <v>114 - IL online</v>
      </c>
    </row>
    <row r="4063" customFormat="false" ht="15" hidden="false" customHeight="false" outlineLevel="0" collapsed="false">
      <c r="A4063" s="18" t="str">
        <f aca="false">'SALES Raw'!G2429</f>
        <v/>
      </c>
      <c r="B4063" s="18" t="str">
        <f aca="false">'SALES Raw'!B2429</f>
        <v>48 XL</v>
      </c>
      <c r="C4063" s="18" t="str">
        <f aca="false">'SALES Raw'!H2429</f>
        <v>48 XL</v>
      </c>
      <c r="D4063" s="19" t="n">
        <f aca="false">'SALES Raw'!C2429</f>
        <v>4</v>
      </c>
      <c r="E4063" s="19" t="n">
        <f aca="false">'SALES Raw'!D2429</f>
        <v>394.47</v>
      </c>
      <c r="F4063" s="19" t="n">
        <f aca="false">'SALES Raw'!E2429*$H$4</f>
        <v>1.26315789473684</v>
      </c>
      <c r="G4063" s="19" t="n">
        <f aca="false">'SALES Raw'!F2429*$H$4</f>
        <v>129.423157894737</v>
      </c>
      <c r="H4063" s="18" t="str">
        <f aca="false">'SALES Raw'!A2429</f>
        <v>114 - IL online</v>
      </c>
    </row>
    <row r="4064" customFormat="false" ht="15" hidden="false" customHeight="false" outlineLevel="0" collapsed="false">
      <c r="A4064" s="18" t="str">
        <f aca="false">'SALES Raw'!G2440</f>
        <v/>
      </c>
      <c r="B4064" s="18" t="str">
        <f aca="false">'SALES Raw'!B2440</f>
        <v>49PS XXL</v>
      </c>
      <c r="C4064" s="18" t="str">
        <f aca="false">'SALES Raw'!H2440</f>
        <v>49PS XXL</v>
      </c>
      <c r="D4064" s="19" t="n">
        <f aca="false">'SALES Raw'!C2440</f>
        <v>3</v>
      </c>
      <c r="E4064" s="19" t="n">
        <f aca="false">'SALES Raw'!D2440</f>
        <v>722.63</v>
      </c>
      <c r="F4064" s="19" t="n">
        <f aca="false">'SALES Raw'!E2440*$H$4</f>
        <v>1.26315789473684</v>
      </c>
      <c r="G4064" s="19" t="n">
        <f aca="false">'SALES Raw'!F2440*$H$4</f>
        <v>304.976842105263</v>
      </c>
      <c r="H4064" s="18" t="str">
        <f aca="false">'SALES Raw'!A2440</f>
        <v>114 - IL online</v>
      </c>
    </row>
    <row r="4065" customFormat="false" ht="15" hidden="false" customHeight="false" outlineLevel="0" collapsed="false">
      <c r="A4065" s="18" t="str">
        <f aca="false">'SALES Raw'!G2443</f>
        <v/>
      </c>
      <c r="B4065" s="18" t="str">
        <f aca="false">'SALES Raw'!B2443</f>
        <v>50 S</v>
      </c>
      <c r="C4065" s="18" t="str">
        <f aca="false">'SALES Raw'!H2443</f>
        <v>50 S</v>
      </c>
      <c r="D4065" s="19" t="n">
        <f aca="false">'SALES Raw'!C2443</f>
        <v>2</v>
      </c>
      <c r="E4065" s="19" t="n">
        <f aca="false">'SALES Raw'!D2443</f>
        <v>371.41</v>
      </c>
      <c r="F4065" s="19" t="n">
        <f aca="false">'SALES Raw'!E2443*$H$4</f>
        <v>1.26315789473684</v>
      </c>
      <c r="G4065" s="19" t="n">
        <f aca="false">'SALES Raw'!F2443*$H$4</f>
        <v>228.227368421053</v>
      </c>
      <c r="H4065" s="18" t="str">
        <f aca="false">'SALES Raw'!A2443</f>
        <v>114 - IL online</v>
      </c>
    </row>
    <row r="4066" customFormat="false" ht="15" hidden="false" customHeight="false" outlineLevel="0" collapsed="false">
      <c r="A4066" s="18" t="str">
        <f aca="false">'SALES Raw'!G2445</f>
        <v/>
      </c>
      <c r="B4066" s="18" t="str">
        <f aca="false">'SALES Raw'!B2445</f>
        <v>50 XS</v>
      </c>
      <c r="C4066" s="18" t="str">
        <f aca="false">'SALES Raw'!H2445</f>
        <v>50 XS</v>
      </c>
      <c r="D4066" s="19" t="n">
        <f aca="false">'SALES Raw'!C2445</f>
        <v>1</v>
      </c>
      <c r="E4066" s="19" t="n">
        <f aca="false">'SALES Raw'!D2445</f>
        <v>200.76</v>
      </c>
      <c r="F4066" s="19" t="n">
        <f aca="false">'SALES Raw'!E2445*$H$4</f>
        <v>1.26315789473684</v>
      </c>
      <c r="G4066" s="19" t="n">
        <f aca="false">'SALES Raw'!F2445*$H$4</f>
        <v>228.24</v>
      </c>
      <c r="H4066" s="18" t="str">
        <f aca="false">'SALES Raw'!A2445</f>
        <v>114 - IL online</v>
      </c>
    </row>
    <row r="4067" customFormat="false" ht="15" hidden="false" customHeight="false" outlineLevel="0" collapsed="false">
      <c r="A4067" s="18" t="str">
        <f aca="false">'SALES Raw'!G2450</f>
        <v/>
      </c>
      <c r="B4067" s="18" t="str">
        <f aca="false">'SALES Raw'!B2450</f>
        <v>56B M</v>
      </c>
      <c r="C4067" s="18" t="str">
        <f aca="false">'SALES Raw'!H2450</f>
        <v>56B M</v>
      </c>
      <c r="D4067" s="19" t="n">
        <f aca="false">'SALES Raw'!C2450</f>
        <v>0</v>
      </c>
      <c r="E4067" s="19" t="n">
        <f aca="false">'SALES Raw'!D2450</f>
        <v>0</v>
      </c>
      <c r="F4067" s="19" t="n">
        <f aca="false">'SALES Raw'!E2450*$H$4</f>
        <v>1.26315789473684</v>
      </c>
      <c r="G4067" s="19" t="n">
        <f aca="false">'SALES Raw'!F2450*$H$4</f>
        <v>163.692631578947</v>
      </c>
      <c r="H4067" s="18" t="str">
        <f aca="false">'SALES Raw'!A2450</f>
        <v>114 - IL online</v>
      </c>
    </row>
    <row r="4068" customFormat="false" ht="15" hidden="false" customHeight="false" outlineLevel="0" collapsed="false">
      <c r="A4068" s="18" t="n">
        <f aca="false">'SALES Raw'!G2457</f>
        <v>4408075</v>
      </c>
      <c r="B4068" s="18" t="str">
        <f aca="false">'SALES Raw'!B2457</f>
        <v>59L S</v>
      </c>
      <c r="C4068" s="18" t="str">
        <f aca="false">'SALES Raw'!H2457</f>
        <v>59L S חגורת שבר לצד שמאל</v>
      </c>
      <c r="D4068" s="19" t="n">
        <f aca="false">'SALES Raw'!C2457</f>
        <v>5</v>
      </c>
      <c r="E4068" s="19" t="n">
        <f aca="false">'SALES Raw'!D2457</f>
        <v>1575.88</v>
      </c>
      <c r="F4068" s="19" t="n">
        <f aca="false">'SALES Raw'!E2457*$H$4</f>
        <v>1.26315789473684</v>
      </c>
      <c r="G4068" s="19" t="n">
        <f aca="false">'SALES Raw'!F2457*$H$4</f>
        <v>385.275789473684</v>
      </c>
      <c r="H4068" s="18" t="str">
        <f aca="false">'SALES Raw'!A2457</f>
        <v>114 - IL online</v>
      </c>
    </row>
    <row r="4069" customFormat="false" ht="15" hidden="false" customHeight="false" outlineLevel="0" collapsed="false">
      <c r="A4069" s="18" t="str">
        <f aca="false">'SALES Raw'!G2465</f>
        <v/>
      </c>
      <c r="B4069" s="18" t="str">
        <f aca="false">'SALES Raw'!B2465</f>
        <v>59DB S</v>
      </c>
      <c r="C4069" s="18" t="str">
        <f aca="false">'SALES Raw'!H2465</f>
        <v>59DB S</v>
      </c>
      <c r="D4069" s="19" t="n">
        <f aca="false">'SALES Raw'!C2465</f>
        <v>0</v>
      </c>
      <c r="E4069" s="19" t="n">
        <f aca="false">'SALES Raw'!D2465</f>
        <v>0</v>
      </c>
      <c r="F4069" s="19" t="n">
        <f aca="false">'SALES Raw'!E2465*$H$4</f>
        <v>1.26315789473684</v>
      </c>
      <c r="G4069" s="19" t="n">
        <f aca="false">'SALES Raw'!F2465*$H$4</f>
        <v>717.107368421053</v>
      </c>
      <c r="H4069" s="18" t="str">
        <f aca="false">'SALES Raw'!A2465</f>
        <v>114 - IL online</v>
      </c>
    </row>
    <row r="4070" customFormat="false" ht="15" hidden="false" customHeight="false" outlineLevel="0" collapsed="false">
      <c r="A4070" s="18" t="str">
        <f aca="false">'SALES Raw'!G2471</f>
        <v/>
      </c>
      <c r="B4070" s="18" t="str">
        <f aca="false">'SALES Raw'!B2471</f>
        <v>59RB XL</v>
      </c>
      <c r="C4070" s="18" t="str">
        <f aca="false">'SALES Raw'!H2471</f>
        <v>59RB XL</v>
      </c>
      <c r="D4070" s="19" t="n">
        <f aca="false">'SALES Raw'!C2471</f>
        <v>0</v>
      </c>
      <c r="E4070" s="19" t="n">
        <f aca="false">'SALES Raw'!D2471</f>
        <v>0</v>
      </c>
      <c r="F4070" s="19" t="n">
        <f aca="false">'SALES Raw'!E2471*$H$4</f>
        <v>1.26315789473684</v>
      </c>
      <c r="G4070" s="19" t="n">
        <f aca="false">'SALES Raw'!F2471*$H$4</f>
        <v>428.084210526316</v>
      </c>
      <c r="H4070" s="18" t="str">
        <f aca="false">'SALES Raw'!A2471</f>
        <v>114 - IL online</v>
      </c>
    </row>
    <row r="4071" customFormat="false" ht="15" hidden="false" customHeight="false" outlineLevel="0" collapsed="false">
      <c r="A4071" s="18" t="str">
        <f aca="false">'SALES Raw'!G2472</f>
        <v/>
      </c>
      <c r="B4071" s="18" t="str">
        <f aca="false">'SALES Raw'!B2472</f>
        <v>59RB XXL</v>
      </c>
      <c r="C4071" s="18" t="str">
        <f aca="false">'SALES Raw'!H2472</f>
        <v>59RB XXL</v>
      </c>
      <c r="D4071" s="19" t="n">
        <f aca="false">'SALES Raw'!C2472</f>
        <v>0</v>
      </c>
      <c r="E4071" s="19" t="n">
        <f aca="false">'SALES Raw'!D2472</f>
        <v>0</v>
      </c>
      <c r="F4071" s="19" t="n">
        <f aca="false">'SALES Raw'!E2472*$H$4</f>
        <v>1.26315789473684</v>
      </c>
      <c r="G4071" s="19" t="n">
        <f aca="false">'SALES Raw'!F2472*$H$4</f>
        <v>363.877894736842</v>
      </c>
      <c r="H4071" s="18" t="str">
        <f aca="false">'SALES Raw'!A2472</f>
        <v>114 - IL online</v>
      </c>
    </row>
    <row r="4072" customFormat="false" ht="15" hidden="false" customHeight="false" outlineLevel="0" collapsed="false">
      <c r="A4072" s="18" t="str">
        <f aca="false">'SALES Raw'!G2483</f>
        <v/>
      </c>
      <c r="B4072" s="18" t="str">
        <f aca="false">'SALES Raw'!B2483</f>
        <v>60B XS</v>
      </c>
      <c r="C4072" s="18" t="str">
        <f aca="false">'SALES Raw'!H2483</f>
        <v>60B XS</v>
      </c>
      <c r="D4072" s="19" t="n">
        <f aca="false">'SALES Raw'!C2483</f>
        <v>3</v>
      </c>
      <c r="E4072" s="19" t="n">
        <f aca="false">'SALES Raw'!D2483</f>
        <v>269.25</v>
      </c>
      <c r="F4072" s="19" t="n">
        <f aca="false">'SALES Raw'!E2483*$H$4</f>
        <v>1.26315789473684</v>
      </c>
      <c r="G4072" s="19" t="n">
        <f aca="false">'SALES Raw'!F2483*$H$4</f>
        <v>113.368421052632</v>
      </c>
      <c r="H4072" s="18" t="str">
        <f aca="false">'SALES Raw'!A2483</f>
        <v>114 - IL online</v>
      </c>
    </row>
    <row r="4073" customFormat="false" ht="15" hidden="false" customHeight="false" outlineLevel="0" collapsed="false">
      <c r="A4073" s="18" t="str">
        <f aca="false">'SALES Raw'!G2484</f>
        <v/>
      </c>
      <c r="B4073" s="18" t="str">
        <f aca="false">'SALES Raw'!B2484</f>
        <v>60B XXL</v>
      </c>
      <c r="C4073" s="18" t="str">
        <f aca="false">'SALES Raw'!H2484</f>
        <v>60B XXL</v>
      </c>
      <c r="D4073" s="19" t="n">
        <f aca="false">'SALES Raw'!C2484</f>
        <v>0</v>
      </c>
      <c r="E4073" s="19" t="n">
        <f aca="false">'SALES Raw'!D2484</f>
        <v>0</v>
      </c>
      <c r="F4073" s="19" t="n">
        <f aca="false">'SALES Raw'!E2484*$H$4</f>
        <v>1.26315789473684</v>
      </c>
      <c r="G4073" s="19" t="n">
        <f aca="false">'SALES Raw'!F2484*$H$4</f>
        <v>102.025263157895</v>
      </c>
      <c r="H4073" s="18" t="str">
        <f aca="false">'SALES Raw'!A2484</f>
        <v>114 - IL online</v>
      </c>
    </row>
    <row r="4074" customFormat="false" ht="15" hidden="false" customHeight="false" outlineLevel="0" collapsed="false">
      <c r="A4074" s="18" t="str">
        <f aca="false">'SALES Raw'!G2492</f>
        <v/>
      </c>
      <c r="B4074" s="18" t="str">
        <f aca="false">'SALES Raw'!B2492</f>
        <v>74 XXL</v>
      </c>
      <c r="C4074" s="18" t="str">
        <f aca="false">'SALES Raw'!H2492</f>
        <v>74 XXL</v>
      </c>
      <c r="D4074" s="19" t="n">
        <f aca="false">'SALES Raw'!C2492</f>
        <v>0</v>
      </c>
      <c r="E4074" s="19" t="n">
        <f aca="false">'SALES Raw'!D2492</f>
        <v>0</v>
      </c>
      <c r="F4074" s="19" t="n">
        <f aca="false">'SALES Raw'!E2492*$H$4</f>
        <v>1.26315789473684</v>
      </c>
      <c r="G4074" s="19" t="n">
        <f aca="false">'SALES Raw'!F2492*$H$4</f>
        <v>399.726315789474</v>
      </c>
      <c r="H4074" s="18" t="str">
        <f aca="false">'SALES Raw'!A2492</f>
        <v>114 - IL online</v>
      </c>
    </row>
    <row r="4075" customFormat="false" ht="15" hidden="false" customHeight="false" outlineLevel="0" collapsed="false">
      <c r="A4075" s="18" t="str">
        <f aca="false">'SALES Raw'!G2534</f>
        <v/>
      </c>
      <c r="B4075" s="18" t="str">
        <f aca="false">'SALES Raw'!B2534</f>
        <v>808KTP-BL</v>
      </c>
      <c r="C4075" s="18" t="str">
        <f aca="false">'SALES Raw'!H2534</f>
        <v>808KTP-BL</v>
      </c>
      <c r="D4075" s="19" t="n">
        <f aca="false">'SALES Raw'!C2534</f>
        <v>3</v>
      </c>
      <c r="E4075" s="19" t="n">
        <f aca="false">'SALES Raw'!D2534</f>
        <v>243.7</v>
      </c>
      <c r="F4075" s="19" t="n">
        <f aca="false">'SALES Raw'!E2534*$H$4</f>
        <v>1.26315789473684</v>
      </c>
      <c r="G4075" s="19" t="n">
        <f aca="false">'SALES Raw'!F2534*$H$4</f>
        <v>91.8063157894737</v>
      </c>
      <c r="H4075" s="18" t="str">
        <f aca="false">'SALES Raw'!A2534</f>
        <v>114 - IL online</v>
      </c>
    </row>
    <row r="4076" customFormat="false" ht="15" hidden="false" customHeight="false" outlineLevel="0" collapsed="false">
      <c r="A4076" s="18" t="str">
        <f aca="false">'SALES Raw'!G2536</f>
        <v/>
      </c>
      <c r="B4076" s="18" t="str">
        <f aca="false">'SALES Raw'!B2536</f>
        <v>808KTP-P</v>
      </c>
      <c r="C4076" s="18" t="str">
        <f aca="false">'SALES Raw'!H2536</f>
        <v>808KTP-P</v>
      </c>
      <c r="D4076" s="19" t="n">
        <f aca="false">'SALES Raw'!C2536</f>
        <v>0</v>
      </c>
      <c r="E4076" s="19" t="n">
        <f aca="false">'SALES Raw'!D2536</f>
        <v>0</v>
      </c>
      <c r="F4076" s="19" t="n">
        <f aca="false">'SALES Raw'!E2536*$H$4</f>
        <v>1.26315789473684</v>
      </c>
      <c r="G4076" s="19" t="n">
        <f aca="false">'SALES Raw'!F2536*$H$4</f>
        <v>91.8063157894737</v>
      </c>
      <c r="H4076" s="18" t="str">
        <f aca="false">'SALES Raw'!A2536</f>
        <v>114 - IL online</v>
      </c>
    </row>
    <row r="4077" customFormat="false" ht="15" hidden="false" customHeight="false" outlineLevel="0" collapsed="false">
      <c r="A4077" s="18" t="str">
        <f aca="false">'SALES Raw'!G2542</f>
        <v/>
      </c>
      <c r="B4077" s="18" t="str">
        <f aca="false">'SALES Raw'!B2542</f>
        <v>85+ S</v>
      </c>
      <c r="C4077" s="18" t="str">
        <f aca="false">'SALES Raw'!H2542</f>
        <v>85+ S</v>
      </c>
      <c r="D4077" s="19" t="n">
        <f aca="false">'SALES Raw'!C2542</f>
        <v>2</v>
      </c>
      <c r="E4077" s="19" t="n">
        <f aca="false">'SALES Raw'!D2542</f>
        <v>342.2</v>
      </c>
      <c r="F4077" s="19" t="n">
        <f aca="false">'SALES Raw'!E2542*$H$4</f>
        <v>1.26315789473684</v>
      </c>
      <c r="G4077" s="19" t="n">
        <f aca="false">'SALES Raw'!F2542*$H$4</f>
        <v>216.126315789474</v>
      </c>
      <c r="H4077" s="18" t="str">
        <f aca="false">'SALES Raw'!A2542</f>
        <v>114 - IL online</v>
      </c>
    </row>
    <row r="4078" customFormat="false" ht="15" hidden="false" customHeight="false" outlineLevel="0" collapsed="false">
      <c r="A4078" s="18" t="n">
        <f aca="false">'SALES Raw'!G2557</f>
        <v>4413195</v>
      </c>
      <c r="B4078" s="18" t="str">
        <f aca="false">'SALES Raw'!B2557</f>
        <v>87 S</v>
      </c>
      <c r="C4078" s="18" t="str">
        <f aca="false">'SALES Raw'!H2557</f>
        <v>87 S מקבע כתף ויד</v>
      </c>
      <c r="D4078" s="19" t="n">
        <f aca="false">'SALES Raw'!C2557</f>
        <v>4</v>
      </c>
      <c r="E4078" s="19" t="n">
        <f aca="false">'SALES Raw'!D2557</f>
        <v>1347.98</v>
      </c>
      <c r="F4078" s="19" t="n">
        <f aca="false">'SALES Raw'!E2557*$H$4</f>
        <v>1.26315789473684</v>
      </c>
      <c r="G4078" s="19" t="n">
        <f aca="false">'SALES Raw'!F2557*$H$4</f>
        <v>391.174736842105</v>
      </c>
      <c r="H4078" s="18" t="str">
        <f aca="false">'SALES Raw'!A2557</f>
        <v>114 - IL online</v>
      </c>
    </row>
    <row r="4079" customFormat="false" ht="15" hidden="false" customHeight="false" outlineLevel="0" collapsed="false">
      <c r="A4079" s="18" t="str">
        <f aca="false">'SALES Raw'!G2561</f>
        <v/>
      </c>
      <c r="B4079" s="18" t="str">
        <f aca="false">'SALES Raw'!B2561</f>
        <v>88L- L-XL</v>
      </c>
      <c r="C4079" s="18" t="str">
        <f aca="false">'SALES Raw'!H2561</f>
        <v>88L- L-XL</v>
      </c>
      <c r="D4079" s="19" t="n">
        <f aca="false">'SALES Raw'!C2561</f>
        <v>2</v>
      </c>
      <c r="E4079" s="19" t="n">
        <f aca="false">'SALES Raw'!D2561</f>
        <v>1101.52</v>
      </c>
      <c r="F4079" s="19" t="n">
        <f aca="false">'SALES Raw'!E2561*$H$4</f>
        <v>1.26315789473684</v>
      </c>
      <c r="G4079" s="19" t="n">
        <f aca="false">'SALES Raw'!F2561*$H$4</f>
        <v>626.134736842105</v>
      </c>
      <c r="H4079" s="18" t="str">
        <f aca="false">'SALES Raw'!A2561</f>
        <v>114 - IL online</v>
      </c>
    </row>
    <row r="4080" customFormat="false" ht="15" hidden="false" customHeight="false" outlineLevel="0" collapsed="false">
      <c r="A4080" s="18" t="n">
        <f aca="false">'SALES Raw'!G2574</f>
        <v>4413141</v>
      </c>
      <c r="B4080" s="18" t="str">
        <f aca="false">'SALES Raw'!B2574</f>
        <v>95 S</v>
      </c>
      <c r="C4080" s="18" t="str">
        <f aca="false">'SALES Raw'!H2574</f>
        <v>95 S מגן מרפק רגיל לבן</v>
      </c>
      <c r="D4080" s="19" t="n">
        <f aca="false">'SALES Raw'!C2574</f>
        <v>1</v>
      </c>
      <c r="E4080" s="19" t="n">
        <f aca="false">'SALES Raw'!D2574</f>
        <v>55.85</v>
      </c>
      <c r="F4080" s="19" t="n">
        <f aca="false">'SALES Raw'!E2574*$H$4</f>
        <v>1.26315789473684</v>
      </c>
      <c r="G4080" s="19" t="n">
        <f aca="false">'SALES Raw'!F2574*$H$4</f>
        <v>59.9621052631579</v>
      </c>
      <c r="H4080" s="18" t="str">
        <f aca="false">'SALES Raw'!A2574</f>
        <v>114 - IL online</v>
      </c>
    </row>
    <row r="4081" customFormat="false" ht="15" hidden="false" customHeight="false" outlineLevel="0" collapsed="false">
      <c r="A4081" s="18" t="n">
        <f aca="false">'SALES Raw'!G2575</f>
        <v>4413142</v>
      </c>
      <c r="B4081" s="18" t="str">
        <f aca="false">'SALES Raw'!B2575</f>
        <v>95 XL</v>
      </c>
      <c r="C4081" s="18" t="str">
        <f aca="false">'SALES Raw'!H2575</f>
        <v>95 XL מגן מרפק רגיל לבן</v>
      </c>
      <c r="D4081" s="19" t="n">
        <f aca="false">'SALES Raw'!C2575</f>
        <v>0</v>
      </c>
      <c r="E4081" s="19" t="n">
        <f aca="false">'SALES Raw'!D2575</f>
        <v>0</v>
      </c>
      <c r="F4081" s="19" t="n">
        <f aca="false">'SALES Raw'!E2575*$H$4</f>
        <v>1.26315789473684</v>
      </c>
      <c r="G4081" s="19" t="n">
        <f aca="false">'SALES Raw'!F2575*$H$4</f>
        <v>32.0084210526316</v>
      </c>
      <c r="H4081" s="18" t="str">
        <f aca="false">'SALES Raw'!A2575</f>
        <v>114 - IL online</v>
      </c>
    </row>
    <row r="4082" customFormat="false" ht="15" hidden="false" customHeight="false" outlineLevel="0" collapsed="false">
      <c r="A4082" s="18" t="n">
        <f aca="false">'SALES Raw'!G2581</f>
        <v>4413503</v>
      </c>
      <c r="B4082" s="18" t="str">
        <f aca="false">'SALES Raw'!B2581</f>
        <v>95B XL</v>
      </c>
      <c r="C4082" s="18" t="str">
        <f aca="false">'SALES Raw'!H2581</f>
        <v>95B XL מגן מרפק שחור</v>
      </c>
      <c r="D4082" s="19" t="n">
        <f aca="false">'SALES Raw'!C2581</f>
        <v>3</v>
      </c>
      <c r="E4082" s="19" t="n">
        <f aca="false">'SALES Raw'!D2581</f>
        <v>167.55</v>
      </c>
      <c r="F4082" s="19" t="n">
        <f aca="false">'SALES Raw'!E2581*$H$4</f>
        <v>1.26315789473684</v>
      </c>
      <c r="G4082" s="19" t="n">
        <f aca="false">'SALES Raw'!F2581*$H$4</f>
        <v>63.4863157894737</v>
      </c>
      <c r="H4082" s="18" t="str">
        <f aca="false">'SALES Raw'!A2581</f>
        <v>114 - IL online</v>
      </c>
    </row>
    <row r="4083" customFormat="false" ht="15" hidden="false" customHeight="false" outlineLevel="0" collapsed="false">
      <c r="A4083" s="18" t="n">
        <f aca="false">'SALES Raw'!G2583</f>
        <v>4413504</v>
      </c>
      <c r="B4083" s="18" t="str">
        <f aca="false">'SALES Raw'!B2583</f>
        <v>95B XXL</v>
      </c>
      <c r="C4083" s="18" t="str">
        <f aca="false">'SALES Raw'!H2583</f>
        <v>95B XXLמגן מרפק שחור</v>
      </c>
      <c r="D4083" s="19" t="n">
        <f aca="false">'SALES Raw'!C2583</f>
        <v>1</v>
      </c>
      <c r="E4083" s="19" t="n">
        <f aca="false">'SALES Raw'!D2583</f>
        <v>55.85</v>
      </c>
      <c r="F4083" s="19" t="n">
        <f aca="false">'SALES Raw'!E2583*$H$4</f>
        <v>1.26315789473684</v>
      </c>
      <c r="G4083" s="19" t="n">
        <f aca="false">'SALES Raw'!F2583*$H$4</f>
        <v>70.5473684210526</v>
      </c>
      <c r="H4083" s="18" t="str">
        <f aca="false">'SALES Raw'!A2583</f>
        <v>114 - IL online</v>
      </c>
    </row>
    <row r="4084" customFormat="false" ht="15" hidden="false" customHeight="false" outlineLevel="0" collapsed="false">
      <c r="A4084" s="18" t="n">
        <f aca="false">'SALES Raw'!G2584</f>
        <v>4413365</v>
      </c>
      <c r="B4084" s="18" t="str">
        <f aca="false">'SALES Raw'!B2584</f>
        <v>95C L</v>
      </c>
      <c r="C4084" s="18" t="str">
        <f aca="false">'SALES Raw'!H2584</f>
        <v>95C L 'מגן מרפק בז</v>
      </c>
      <c r="D4084" s="19" t="n">
        <f aca="false">'SALES Raw'!C2584</f>
        <v>1</v>
      </c>
      <c r="E4084" s="19" t="n">
        <f aca="false">'SALES Raw'!D2584</f>
        <v>55.85</v>
      </c>
      <c r="F4084" s="19" t="n">
        <f aca="false">'SALES Raw'!E2584*$H$4</f>
        <v>1.26315789473684</v>
      </c>
      <c r="G4084" s="19" t="n">
        <f aca="false">'SALES Raw'!F2584*$H$4</f>
        <v>32.0084210526316</v>
      </c>
      <c r="H4084" s="18" t="str">
        <f aca="false">'SALES Raw'!A2584</f>
        <v>114 - IL online</v>
      </c>
    </row>
    <row r="4085" customFormat="false" ht="15" hidden="false" customHeight="false" outlineLevel="0" collapsed="false">
      <c r="A4085" s="18" t="str">
        <f aca="false">'SALES Raw'!G2625</f>
        <v/>
      </c>
      <c r="B4085" s="18" t="str">
        <f aca="false">'SALES Raw'!B2625</f>
        <v>VMFPCW33 0</v>
      </c>
      <c r="C4085" s="18" t="str">
        <f aca="false">'SALES Raw'!H2625</f>
        <v>VMFPCW33 0</v>
      </c>
      <c r="D4085" s="19" t="n">
        <f aca="false">'SALES Raw'!C2625</f>
        <v>0</v>
      </c>
      <c r="E4085" s="19" t="n">
        <f aca="false">'SALES Raw'!D2625</f>
        <v>0</v>
      </c>
      <c r="F4085" s="19" t="n">
        <f aca="false">'SALES Raw'!E2625*$H$4</f>
        <v>1.26315789473684</v>
      </c>
      <c r="G4085" s="19" t="n">
        <f aca="false">'SALES Raw'!F2625*$H$4</f>
        <v>85.5410526315789</v>
      </c>
      <c r="H4085" s="18" t="str">
        <f aca="false">'SALES Raw'!A2625</f>
        <v>114 - IL online</v>
      </c>
    </row>
    <row r="4086" customFormat="false" ht="15" hidden="false" customHeight="false" outlineLevel="0" collapsed="false">
      <c r="A4086" s="18" t="str">
        <f aca="false">'SALES Raw'!G2627</f>
        <v/>
      </c>
      <c r="B4086" s="18" t="str">
        <f aca="false">'SALES Raw'!B2627</f>
        <v>VMSPCL46 0</v>
      </c>
      <c r="C4086" s="18" t="str">
        <f aca="false">'SALES Raw'!H2627</f>
        <v>VMSPCL46 0</v>
      </c>
      <c r="D4086" s="19" t="n">
        <f aca="false">'SALES Raw'!C2627</f>
        <v>0</v>
      </c>
      <c r="E4086" s="19" t="n">
        <f aca="false">'SALES Raw'!D2627</f>
        <v>0</v>
      </c>
      <c r="F4086" s="19" t="n">
        <f aca="false">'SALES Raw'!E2627*$H$4</f>
        <v>1.26315789473684</v>
      </c>
      <c r="G4086" s="19" t="n">
        <f aca="false">'SALES Raw'!F2627*$H$4</f>
        <v>0.0126315789473684</v>
      </c>
      <c r="H4086" s="18" t="str">
        <f aca="false">'SALES Raw'!A2627</f>
        <v>114 - IL online</v>
      </c>
    </row>
    <row r="4087" customFormat="false" ht="15" hidden="false" customHeight="false" outlineLevel="0" collapsed="false">
      <c r="A4087" s="18" t="str">
        <f aca="false">'SALES Raw'!G2629</f>
        <v/>
      </c>
      <c r="B4087" s="18" t="str">
        <f aca="false">'SALES Raw'!B2629</f>
        <v>VMSPCN51 0</v>
      </c>
      <c r="C4087" s="18" t="str">
        <f aca="false">'SALES Raw'!H2629</f>
        <v>VMSPCN51 0</v>
      </c>
      <c r="D4087" s="19" t="n">
        <f aca="false">'SALES Raw'!C2629</f>
        <v>0</v>
      </c>
      <c r="E4087" s="19" t="n">
        <f aca="false">'SALES Raw'!D2629</f>
        <v>0</v>
      </c>
      <c r="F4087" s="19" t="n">
        <f aca="false">'SALES Raw'!E2629*$H$4</f>
        <v>1.26315789473684</v>
      </c>
      <c r="G4087" s="19" t="n">
        <f aca="false">'SALES Raw'!F2629*$H$4</f>
        <v>0</v>
      </c>
      <c r="H4087" s="18" t="str">
        <f aca="false">'SALES Raw'!A2629</f>
        <v>114 - IL online</v>
      </c>
    </row>
    <row r="4088" customFormat="false" ht="15" hidden="false" customHeight="false" outlineLevel="0" collapsed="false">
      <c r="A4088" s="18" t="str">
        <f aca="false">'SALES Raw'!G2631</f>
        <v/>
      </c>
      <c r="B4088" s="18" t="str">
        <f aca="false">'SALES Raw'!B2631</f>
        <v>VMSPCT49 0</v>
      </c>
      <c r="C4088" s="18" t="str">
        <f aca="false">'SALES Raw'!H2631</f>
        <v>VMSPCT49 0</v>
      </c>
      <c r="D4088" s="19" t="n">
        <f aca="false">'SALES Raw'!C2631</f>
        <v>0</v>
      </c>
      <c r="E4088" s="19" t="n">
        <f aca="false">'SALES Raw'!D2631</f>
        <v>0</v>
      </c>
      <c r="F4088" s="19" t="n">
        <f aca="false">'SALES Raw'!E2631*$H$4</f>
        <v>1.26315789473684</v>
      </c>
      <c r="G4088" s="19" t="n">
        <f aca="false">'SALES Raw'!F2631*$H$4</f>
        <v>0.0126315789473684</v>
      </c>
      <c r="H4088" s="18" t="str">
        <f aca="false">'SALES Raw'!A2631</f>
        <v>114 - IL online</v>
      </c>
    </row>
    <row r="4089" customFormat="false" ht="15" hidden="false" customHeight="false" outlineLevel="0" collapsed="false">
      <c r="A4089" s="18" t="str">
        <f aca="false">'SALES Raw'!G2634</f>
        <v/>
      </c>
      <c r="B4089" s="18" t="str">
        <f aca="false">'SALES Raw'!B2634</f>
        <v>N433D S</v>
      </c>
      <c r="C4089" s="18" t="str">
        <f aca="false">'SALES Raw'!H2634</f>
        <v>N433D S</v>
      </c>
      <c r="D4089" s="19" t="n">
        <f aca="false">'SALES Raw'!C2634</f>
        <v>1</v>
      </c>
      <c r="E4089" s="19" t="n">
        <f aca="false">'SALES Raw'!D2634</f>
        <v>593.14</v>
      </c>
      <c r="F4089" s="19" t="n">
        <f aca="false">'SALES Raw'!E2634*$H$4</f>
        <v>1.26315789473684</v>
      </c>
      <c r="G4089" s="19" t="n">
        <f aca="false">'SALES Raw'!F2634*$H$4</f>
        <v>749.229473684211</v>
      </c>
      <c r="H4089" s="18" t="str">
        <f aca="false">'SALES Raw'!A2634</f>
        <v>114 - IL online</v>
      </c>
    </row>
    <row r="4090" customFormat="false" ht="15" hidden="false" customHeight="false" outlineLevel="0" collapsed="false">
      <c r="A4090" s="18" t="str">
        <f aca="false">'SALES Raw'!G2636</f>
        <v/>
      </c>
      <c r="B4090" s="18" t="str">
        <f aca="false">'SALES Raw'!B2636</f>
        <v>N433D XXL</v>
      </c>
      <c r="C4090" s="18" t="str">
        <f aca="false">'SALES Raw'!H2636</f>
        <v>N433D XXL</v>
      </c>
      <c r="D4090" s="19" t="n">
        <f aca="false">'SALES Raw'!C2636</f>
        <v>5</v>
      </c>
      <c r="E4090" s="19" t="n">
        <f aca="false">'SALES Raw'!D2636</f>
        <v>2698.79</v>
      </c>
      <c r="F4090" s="19" t="n">
        <f aca="false">'SALES Raw'!E2636*$H$4</f>
        <v>1.26315789473684</v>
      </c>
      <c r="G4090" s="19" t="n">
        <f aca="false">'SALES Raw'!F2636*$H$4</f>
        <v>861.612631578947</v>
      </c>
      <c r="H4090" s="18" t="str">
        <f aca="false">'SALES Raw'!A2636</f>
        <v>114 - IL online</v>
      </c>
    </row>
    <row r="4091" customFormat="false" ht="15" hidden="false" customHeight="false" outlineLevel="0" collapsed="false">
      <c r="A4091" s="18" t="n">
        <f aca="false">'SALES Raw'!G2649</f>
        <v>4413423</v>
      </c>
      <c r="B4091" s="18" t="str">
        <f aca="false">'SALES Raw'!B2649</f>
        <v>SC35L XL</v>
      </c>
      <c r="C4091" s="18" t="str">
        <f aca="false">'SALES Raw'!H2649</f>
        <v>SC35L XL מגן קרסול שמאל</v>
      </c>
      <c r="D4091" s="19" t="n">
        <f aca="false">'SALES Raw'!C2649</f>
        <v>2</v>
      </c>
      <c r="E4091" s="19" t="n">
        <f aca="false">'SALES Raw'!D2649</f>
        <v>198.94</v>
      </c>
      <c r="F4091" s="19" t="n">
        <f aca="false">'SALES Raw'!E2649*$H$4</f>
        <v>1.26315789473684</v>
      </c>
      <c r="G4091" s="19" t="n">
        <f aca="false">'SALES Raw'!F2649*$H$4</f>
        <v>171.195789473684</v>
      </c>
      <c r="H4091" s="18" t="str">
        <f aca="false">'SALES Raw'!A2649</f>
        <v>114 - IL online</v>
      </c>
    </row>
    <row r="4092" customFormat="false" ht="15" hidden="false" customHeight="false" outlineLevel="0" collapsed="false">
      <c r="A4092" s="18" t="str">
        <f aca="false">'SALES Raw'!G2676</f>
        <v/>
      </c>
      <c r="B4092" s="18" t="str">
        <f aca="false">'SALES Raw'!B2676</f>
        <v>SH776 M</v>
      </c>
      <c r="C4092" s="18" t="str">
        <f aca="false">'SALES Raw'!H2676</f>
        <v>SH776 M</v>
      </c>
      <c r="D4092" s="19" t="n">
        <f aca="false">'SALES Raw'!C2676</f>
        <v>0</v>
      </c>
      <c r="E4092" s="19" t="n">
        <f aca="false">'SALES Raw'!D2676</f>
        <v>0</v>
      </c>
      <c r="F4092" s="19" t="n">
        <f aca="false">'SALES Raw'!E2676*$H$4</f>
        <v>1.26315789473684</v>
      </c>
      <c r="G4092" s="19" t="n">
        <f aca="false">'SALES Raw'!F2676*$H$4</f>
        <v>1070.36210526316</v>
      </c>
      <c r="H4092" s="18" t="str">
        <f aca="false">'SALES Raw'!A2676</f>
        <v>114 - IL online</v>
      </c>
    </row>
    <row r="4093" customFormat="false" ht="15" hidden="false" customHeight="false" outlineLevel="0" collapsed="false">
      <c r="A4093" s="18" t="n">
        <f aca="false">'SALES Raw'!G2698</f>
        <v>4408092</v>
      </c>
      <c r="B4093" s="18" t="str">
        <f aca="false">'SALES Raw'!B2698</f>
        <v>T11C XL</v>
      </c>
      <c r="C4093" s="18" t="str">
        <f aca="false">'SALES Raw'!H2698</f>
        <v>T11C XL חגורת גב פוג'יאמה</v>
      </c>
      <c r="D4093" s="19" t="n">
        <f aca="false">'SALES Raw'!C2698</f>
        <v>4</v>
      </c>
      <c r="E4093" s="19" t="n">
        <f aca="false">'SALES Raw'!D2698</f>
        <v>624.51</v>
      </c>
      <c r="F4093" s="19" t="n">
        <f aca="false">'SALES Raw'!E2698*$H$4</f>
        <v>1.26315789473684</v>
      </c>
      <c r="G4093" s="19" t="n">
        <f aca="false">'SALES Raw'!F2698*$H$4</f>
        <v>216.126315789474</v>
      </c>
      <c r="H4093" s="18" t="str">
        <f aca="false">'SALES Raw'!A2698</f>
        <v>114 - IL online</v>
      </c>
    </row>
    <row r="4094" customFormat="false" ht="15" hidden="false" customHeight="false" outlineLevel="0" collapsed="false">
      <c r="A4094" s="18" t="n">
        <f aca="false">'SALES Raw'!G2703</f>
        <v>4408097</v>
      </c>
      <c r="B4094" s="18" t="str">
        <f aca="false">'SALES Raw'!B2703</f>
        <v>T20C-L-XL</v>
      </c>
      <c r="C4094" s="18" t="str">
        <f aca="false">'SALES Raw'!H2703</f>
        <v>T20C L-XL חבק יד עם צמדן חום</v>
      </c>
      <c r="D4094" s="19" t="n">
        <f aca="false">'SALES Raw'!C2703</f>
        <v>2</v>
      </c>
      <c r="E4094" s="19" t="n">
        <f aca="false">'SALES Raw'!D2703</f>
        <v>138.54</v>
      </c>
      <c r="F4094" s="19" t="n">
        <f aca="false">'SALES Raw'!E2703*$H$4</f>
        <v>1.26315789473684</v>
      </c>
      <c r="G4094" s="19" t="n">
        <f aca="false">'SALES Raw'!F2703*$H$4</f>
        <v>73.1368421052632</v>
      </c>
      <c r="H4094" s="18" t="str">
        <f aca="false">'SALES Raw'!A2703</f>
        <v>114 - IL online</v>
      </c>
    </row>
    <row r="4095" customFormat="false" ht="15" hidden="false" customHeight="false" outlineLevel="0" collapsed="false">
      <c r="A4095" s="18" t="str">
        <f aca="false">'SALES Raw'!G2721</f>
        <v/>
      </c>
      <c r="B4095" s="18" t="str">
        <f aca="false">'SALES Raw'!B2721</f>
        <v>T35 L</v>
      </c>
      <c r="C4095" s="18" t="str">
        <f aca="false">'SALES Raw'!H2721</f>
        <v>T35 L</v>
      </c>
      <c r="D4095" s="19" t="n">
        <f aca="false">'SALES Raw'!C2721</f>
        <v>6</v>
      </c>
      <c r="E4095" s="19" t="n">
        <f aca="false">'SALES Raw'!D2721</f>
        <v>817.69</v>
      </c>
      <c r="F4095" s="19" t="n">
        <f aca="false">'SALES Raw'!E2721*$H$4</f>
        <v>1.26315789473684</v>
      </c>
      <c r="G4095" s="19" t="n">
        <f aca="false">'SALES Raw'!F2721*$H$4</f>
        <v>151.907368421053</v>
      </c>
      <c r="H4095" s="18" t="str">
        <f aca="false">'SALES Raw'!A2721</f>
        <v>114 - IL online</v>
      </c>
    </row>
    <row r="4096" customFormat="false" ht="15" hidden="false" customHeight="false" outlineLevel="0" collapsed="false">
      <c r="A4096" s="18" t="str">
        <f aca="false">'SALES Raw'!G2723</f>
        <v/>
      </c>
      <c r="B4096" s="18" t="str">
        <f aca="false">'SALES Raw'!B2723</f>
        <v>T35 XL</v>
      </c>
      <c r="C4096" s="18" t="str">
        <f aca="false">'SALES Raw'!H2723</f>
        <v>T35 XL</v>
      </c>
      <c r="D4096" s="19" t="n">
        <f aca="false">'SALES Raw'!C2723</f>
        <v>2</v>
      </c>
      <c r="E4096" s="19" t="n">
        <f aca="false">'SALES Raw'!D2723</f>
        <v>204.42</v>
      </c>
      <c r="F4096" s="19" t="n">
        <f aca="false">'SALES Raw'!E2723*$H$4</f>
        <v>1.26315789473684</v>
      </c>
      <c r="G4096" s="19" t="n">
        <f aca="false">'SALES Raw'!F2723*$H$4</f>
        <v>151.894736842105</v>
      </c>
      <c r="H4096" s="18" t="str">
        <f aca="false">'SALES Raw'!A2723</f>
        <v>114 - IL online</v>
      </c>
    </row>
    <row r="4097" customFormat="false" ht="15" hidden="false" customHeight="false" outlineLevel="0" collapsed="false">
      <c r="A4097" s="18" t="str">
        <f aca="false">'SALES Raw'!G2724</f>
        <v/>
      </c>
      <c r="B4097" s="18" t="str">
        <f aca="false">'SALES Raw'!B2724</f>
        <v>T35 XXL</v>
      </c>
      <c r="C4097" s="18" t="str">
        <f aca="false">'SALES Raw'!H2724</f>
        <v>T35 XXL</v>
      </c>
      <c r="D4097" s="19" t="n">
        <f aca="false">'SALES Raw'!C2724</f>
        <v>2</v>
      </c>
      <c r="E4097" s="19" t="n">
        <f aca="false">'SALES Raw'!D2724</f>
        <v>240.5</v>
      </c>
      <c r="F4097" s="19" t="n">
        <f aca="false">'SALES Raw'!E2724*$H$4</f>
        <v>1.26315789473684</v>
      </c>
      <c r="G4097" s="19" t="n">
        <f aca="false">'SALES Raw'!F2724*$H$4</f>
        <v>151.894736842105</v>
      </c>
      <c r="H4097" s="18" t="str">
        <f aca="false">'SALES Raw'!A2724</f>
        <v>114 - IL online</v>
      </c>
    </row>
    <row r="4098" customFormat="false" ht="15" hidden="false" customHeight="false" outlineLevel="0" collapsed="false">
      <c r="A4098" s="18" t="n">
        <f aca="false">'SALES Raw'!G2727</f>
        <v>4413180</v>
      </c>
      <c r="B4098" s="18" t="str">
        <f aca="false">'SALES Raw'!B2727</f>
        <v>T39 S</v>
      </c>
      <c r="C4098" s="18" t="str">
        <f aca="false">'SALES Raw'!H2727</f>
        <v>T39  S מגן שוק</v>
      </c>
      <c r="D4098" s="19" t="n">
        <f aca="false">'SALES Raw'!C2727</f>
        <v>0</v>
      </c>
      <c r="E4098" s="19" t="n">
        <f aca="false">'SALES Raw'!D2727</f>
        <v>0</v>
      </c>
      <c r="F4098" s="19" t="n">
        <f aca="false">'SALES Raw'!E2727*$H$4</f>
        <v>1.26315789473684</v>
      </c>
      <c r="G4098" s="19" t="n">
        <f aca="false">'SALES Raw'!F2727*$H$4</f>
        <v>246.101052631579</v>
      </c>
      <c r="H4098" s="18" t="str">
        <f aca="false">'SALES Raw'!A2727</f>
        <v>114 - IL online</v>
      </c>
    </row>
    <row r="4099" customFormat="false" ht="15" hidden="false" customHeight="false" outlineLevel="0" collapsed="false">
      <c r="A4099" s="18" t="str">
        <f aca="false">'SALES Raw'!G2728</f>
        <v/>
      </c>
      <c r="B4099" s="18" t="str">
        <f aca="false">'SALES Raw'!B2728</f>
        <v>T39 XL</v>
      </c>
      <c r="C4099" s="18" t="str">
        <f aca="false">'SALES Raw'!H2728</f>
        <v>T39 XL</v>
      </c>
      <c r="D4099" s="19" t="n">
        <f aca="false">'SALES Raw'!C2728</f>
        <v>1</v>
      </c>
      <c r="E4099" s="19" t="n">
        <f aca="false">'SALES Raw'!D2728</f>
        <v>194.83</v>
      </c>
      <c r="F4099" s="19" t="n">
        <f aca="false">'SALES Raw'!E2728*$H$4</f>
        <v>1.26315789473684</v>
      </c>
      <c r="G4099" s="19" t="n">
        <f aca="false">'SALES Raw'!F2728*$H$4</f>
        <v>209.191578947368</v>
      </c>
      <c r="H4099" s="18" t="str">
        <f aca="false">'SALES Raw'!A2728</f>
        <v>114 - IL online</v>
      </c>
    </row>
    <row r="4100" customFormat="false" ht="15" hidden="false" customHeight="false" outlineLevel="0" collapsed="false">
      <c r="A4100" s="18" t="str">
        <f aca="false">'SALES Raw'!G2729</f>
        <v/>
      </c>
      <c r="B4100" s="18" t="str">
        <f aca="false">'SALES Raw'!B2729</f>
        <v>T39 XS</v>
      </c>
      <c r="C4100" s="18" t="str">
        <f aca="false">'SALES Raw'!H2729</f>
        <v>T39 XS</v>
      </c>
      <c r="D4100" s="19" t="n">
        <f aca="false">'SALES Raw'!C2729</f>
        <v>0</v>
      </c>
      <c r="E4100" s="19" t="n">
        <f aca="false">'SALES Raw'!D2729</f>
        <v>0</v>
      </c>
      <c r="F4100" s="19" t="n">
        <f aca="false">'SALES Raw'!E2729*$H$4</f>
        <v>1.26315789473684</v>
      </c>
      <c r="G4100" s="19" t="n">
        <f aca="false">'SALES Raw'!F2729*$H$4</f>
        <v>246.101052631579</v>
      </c>
      <c r="H4100" s="18" t="str">
        <f aca="false">'SALES Raw'!A2729</f>
        <v>114 - IL online</v>
      </c>
    </row>
    <row r="4101" customFormat="false" ht="15" hidden="false" customHeight="false" outlineLevel="0" collapsed="false">
      <c r="A4101" s="18" t="str">
        <f aca="false">'SALES Raw'!G2730</f>
        <v/>
      </c>
      <c r="B4101" s="18" t="str">
        <f aca="false">'SALES Raw'!B2730</f>
        <v>T39 XXL</v>
      </c>
      <c r="C4101" s="18" t="str">
        <f aca="false">'SALES Raw'!H2730</f>
        <v>T39 XXL</v>
      </c>
      <c r="D4101" s="19" t="n">
        <f aca="false">'SALES Raw'!C2730</f>
        <v>1</v>
      </c>
      <c r="E4101" s="19" t="n">
        <f aca="false">'SALES Raw'!D2730</f>
        <v>194.83</v>
      </c>
      <c r="F4101" s="19" t="n">
        <f aca="false">'SALES Raw'!E2730*$H$4</f>
        <v>1.26315789473684</v>
      </c>
      <c r="G4101" s="19" t="n">
        <f aca="false">'SALES Raw'!F2730*$H$4</f>
        <v>246.101052631579</v>
      </c>
      <c r="H4101" s="18" t="str">
        <f aca="false">'SALES Raw'!A2730</f>
        <v>114 - IL online</v>
      </c>
    </row>
    <row r="4102" customFormat="false" ht="15" hidden="false" customHeight="false" outlineLevel="0" collapsed="false">
      <c r="A4102" s="18" t="str">
        <f aca="false">'SALES Raw'!G2732</f>
        <v/>
      </c>
      <c r="B4102" s="18" t="str">
        <f aca="false">'SALES Raw'!B2732</f>
        <v>T402 M</v>
      </c>
      <c r="C4102" s="18" t="str">
        <f aca="false">'SALES Raw'!H2732</f>
        <v>T402 M</v>
      </c>
      <c r="D4102" s="19" t="n">
        <f aca="false">'SALES Raw'!C2732</f>
        <v>6</v>
      </c>
      <c r="E4102" s="19" t="n">
        <f aca="false">'SALES Raw'!D2732</f>
        <v>958.15</v>
      </c>
      <c r="F4102" s="19" t="n">
        <f aca="false">'SALES Raw'!E2732*$H$4</f>
        <v>1.26315789473684</v>
      </c>
      <c r="G4102" s="19" t="n">
        <f aca="false">'SALES Raw'!F2732*$H$4</f>
        <v>194.513684210526</v>
      </c>
      <c r="H4102" s="18" t="str">
        <f aca="false">'SALES Raw'!A2732</f>
        <v>114 - IL online</v>
      </c>
    </row>
    <row r="4103" customFormat="false" ht="15" hidden="false" customHeight="false" outlineLevel="0" collapsed="false">
      <c r="A4103" s="18" t="str">
        <f aca="false">'SALES Raw'!G2737</f>
        <v/>
      </c>
      <c r="B4103" s="18" t="str">
        <f aca="false">'SALES Raw'!B2737</f>
        <v>T42 L</v>
      </c>
      <c r="C4103" s="18" t="str">
        <f aca="false">'SALES Raw'!H2737</f>
        <v>T42 L</v>
      </c>
      <c r="D4103" s="19" t="n">
        <f aca="false">'SALES Raw'!C2737</f>
        <v>3</v>
      </c>
      <c r="E4103" s="19" t="n">
        <f aca="false">'SALES Raw'!D2737</f>
        <v>877.71</v>
      </c>
      <c r="F4103" s="19" t="n">
        <f aca="false">'SALES Raw'!E2737*$H$4</f>
        <v>1.26315789473684</v>
      </c>
      <c r="G4103" s="19" t="n">
        <f aca="false">'SALES Raw'!F2737*$H$4</f>
        <v>337.098947368421</v>
      </c>
      <c r="H4103" s="18" t="str">
        <f aca="false">'SALES Raw'!A2737</f>
        <v>114 - IL online</v>
      </c>
    </row>
    <row r="4104" customFormat="false" ht="15" hidden="false" customHeight="false" outlineLevel="0" collapsed="false">
      <c r="A4104" s="18" t="str">
        <f aca="false">'SALES Raw'!G2738</f>
        <v/>
      </c>
      <c r="B4104" s="18" t="str">
        <f aca="false">'SALES Raw'!B2738</f>
        <v>T42 M</v>
      </c>
      <c r="C4104" s="18" t="str">
        <f aca="false">'SALES Raw'!H2738</f>
        <v>T42 M</v>
      </c>
      <c r="D4104" s="19" t="n">
        <f aca="false">'SALES Raw'!C2738</f>
        <v>0</v>
      </c>
      <c r="E4104" s="19" t="n">
        <f aca="false">'SALES Raw'!D2738</f>
        <v>0</v>
      </c>
      <c r="F4104" s="19" t="n">
        <f aca="false">'SALES Raw'!E2738*$H$4</f>
        <v>1.26315789473684</v>
      </c>
      <c r="G4104" s="19" t="n">
        <f aca="false">'SALES Raw'!F2738*$H$4</f>
        <v>374.564210526316</v>
      </c>
      <c r="H4104" s="18" t="str">
        <f aca="false">'SALES Raw'!A2738</f>
        <v>114 - IL online</v>
      </c>
    </row>
    <row r="4105" customFormat="false" ht="15" hidden="false" customHeight="false" outlineLevel="0" collapsed="false">
      <c r="A4105" s="18" t="str">
        <f aca="false">'SALES Raw'!G2740</f>
        <v/>
      </c>
      <c r="B4105" s="18" t="str">
        <f aca="false">'SALES Raw'!B2740</f>
        <v>T42X L</v>
      </c>
      <c r="C4105" s="18" t="str">
        <f aca="false">'SALES Raw'!H2740</f>
        <v>T42X L</v>
      </c>
      <c r="D4105" s="19" t="n">
        <f aca="false">'SALES Raw'!C2740</f>
        <v>0</v>
      </c>
      <c r="E4105" s="19" t="n">
        <f aca="false">'SALES Raw'!D2740</f>
        <v>0</v>
      </c>
      <c r="F4105" s="19" t="n">
        <f aca="false">'SALES Raw'!E2740*$H$4</f>
        <v>1.26315789473684</v>
      </c>
      <c r="G4105" s="19" t="n">
        <f aca="false">'SALES Raw'!F2740*$H$4</f>
        <v>389.128421052632</v>
      </c>
      <c r="H4105" s="18" t="str">
        <f aca="false">'SALES Raw'!A2740</f>
        <v>114 - IL online</v>
      </c>
    </row>
    <row r="4106" customFormat="false" ht="15" hidden="false" customHeight="false" outlineLevel="0" collapsed="false">
      <c r="A4106" s="18" t="str">
        <f aca="false">'SALES Raw'!G2741</f>
        <v/>
      </c>
      <c r="B4106" s="18" t="str">
        <f aca="false">'SALES Raw'!B2741</f>
        <v>T43 XL</v>
      </c>
      <c r="C4106" s="18" t="str">
        <f aca="false">'SALES Raw'!H2741</f>
        <v>T43 XL</v>
      </c>
      <c r="D4106" s="19" t="n">
        <f aca="false">'SALES Raw'!C2741</f>
        <v>0</v>
      </c>
      <c r="E4106" s="19" t="n">
        <f aca="false">'SALES Raw'!D2741</f>
        <v>0</v>
      </c>
      <c r="F4106" s="19" t="n">
        <f aca="false">'SALES Raw'!E2741*$H$4</f>
        <v>1.26315789473684</v>
      </c>
      <c r="G4106" s="19" t="n">
        <f aca="false">'SALES Raw'!F2741*$H$4</f>
        <v>432.366315789474</v>
      </c>
      <c r="H4106" s="18" t="str">
        <f aca="false">'SALES Raw'!A2741</f>
        <v>114 - IL online</v>
      </c>
    </row>
    <row r="4107" customFormat="false" ht="15" hidden="false" customHeight="false" outlineLevel="0" collapsed="false">
      <c r="A4107" s="18" t="str">
        <f aca="false">'SALES Raw'!G2743</f>
        <v/>
      </c>
      <c r="B4107" s="18" t="str">
        <f aca="false">'SALES Raw'!B2743</f>
        <v>T43V L</v>
      </c>
      <c r="C4107" s="18" t="str">
        <f aca="false">'SALES Raw'!H2743</f>
        <v>T43V L</v>
      </c>
      <c r="D4107" s="19" t="n">
        <f aca="false">'SALES Raw'!C2743</f>
        <v>0</v>
      </c>
      <c r="E4107" s="19" t="n">
        <f aca="false">'SALES Raw'!D2743</f>
        <v>0</v>
      </c>
      <c r="F4107" s="19" t="n">
        <f aca="false">'SALES Raw'!E2743*$H$4</f>
        <v>1.26315789473684</v>
      </c>
      <c r="G4107" s="19" t="n">
        <f aca="false">'SALES Raw'!F2743*$H$4</f>
        <v>920.501052631579</v>
      </c>
      <c r="H4107" s="18" t="str">
        <f aca="false">'SALES Raw'!A2743</f>
        <v>114 - IL online</v>
      </c>
    </row>
    <row r="4108" customFormat="false" ht="15" hidden="false" customHeight="false" outlineLevel="0" collapsed="false">
      <c r="A4108" s="18" t="str">
        <f aca="false">'SALES Raw'!G2744</f>
        <v/>
      </c>
      <c r="B4108" s="18" t="str">
        <f aca="false">'SALES Raw'!B2744</f>
        <v>T43V M</v>
      </c>
      <c r="C4108" s="18" t="str">
        <f aca="false">'SALES Raw'!H2744</f>
        <v>T43V M</v>
      </c>
      <c r="D4108" s="19" t="n">
        <f aca="false">'SALES Raw'!C2744</f>
        <v>0</v>
      </c>
      <c r="E4108" s="19" t="n">
        <f aca="false">'SALES Raw'!D2744</f>
        <v>0</v>
      </c>
      <c r="F4108" s="19" t="n">
        <f aca="false">'SALES Raw'!E2744*$H$4</f>
        <v>1.26315789473684</v>
      </c>
      <c r="G4108" s="19" t="n">
        <f aca="false">'SALES Raw'!F2744*$H$4</f>
        <v>828.442105263158</v>
      </c>
      <c r="H4108" s="18" t="str">
        <f aca="false">'SALES Raw'!A2744</f>
        <v>114 - IL online</v>
      </c>
    </row>
    <row r="4109" customFormat="false" ht="15" hidden="false" customHeight="false" outlineLevel="0" collapsed="false">
      <c r="A4109" s="18" t="str">
        <f aca="false">'SALES Raw'!G2746</f>
        <v/>
      </c>
      <c r="B4109" s="18" t="str">
        <f aca="false">'SALES Raw'!B2746</f>
        <v>T43V XXL</v>
      </c>
      <c r="C4109" s="18" t="str">
        <f aca="false">'SALES Raw'!H2746</f>
        <v>T43V XXL</v>
      </c>
      <c r="D4109" s="19" t="n">
        <f aca="false">'SALES Raw'!C2746</f>
        <v>1</v>
      </c>
      <c r="E4109" s="19" t="n">
        <f aca="false">'SALES Raw'!D2746</f>
        <v>727.03</v>
      </c>
      <c r="F4109" s="19" t="n">
        <f aca="false">'SALES Raw'!E2746*$H$4</f>
        <v>1.26315789473684</v>
      </c>
      <c r="G4109" s="19" t="n">
        <f aca="false">'SALES Raw'!F2746*$H$4</f>
        <v>920.488421052632</v>
      </c>
      <c r="H4109" s="18" t="str">
        <f aca="false">'SALES Raw'!A2746</f>
        <v>114 - IL online</v>
      </c>
    </row>
    <row r="4110" customFormat="false" ht="15" hidden="false" customHeight="false" outlineLevel="0" collapsed="false">
      <c r="A4110" s="18" t="str">
        <f aca="false">'SALES Raw'!G2750</f>
        <v/>
      </c>
      <c r="B4110" s="18" t="str">
        <f aca="false">'SALES Raw'!B2750</f>
        <v>T45 XS</v>
      </c>
      <c r="C4110" s="18" t="str">
        <f aca="false">'SALES Raw'!H2750</f>
        <v>T45 XS</v>
      </c>
      <c r="D4110" s="19" t="n">
        <f aca="false">'SALES Raw'!C2750</f>
        <v>0</v>
      </c>
      <c r="E4110" s="19" t="n">
        <f aca="false">'SALES Raw'!D2750</f>
        <v>0</v>
      </c>
      <c r="F4110" s="19" t="n">
        <f aca="false">'SALES Raw'!E2750*$H$4</f>
        <v>1.26315789473684</v>
      </c>
      <c r="G4110" s="19" t="n">
        <f aca="false">'SALES Raw'!F2750*$H$4</f>
        <v>216.669473684211</v>
      </c>
      <c r="H4110" s="18" t="str">
        <f aca="false">'SALES Raw'!A2750</f>
        <v>114 - IL online</v>
      </c>
    </row>
    <row r="4111" customFormat="false" ht="15" hidden="false" customHeight="false" outlineLevel="0" collapsed="false">
      <c r="A4111" s="18" t="str">
        <f aca="false">'SALES Raw'!G2753</f>
        <v/>
      </c>
      <c r="B4111" s="18" t="str">
        <f aca="false">'SALES Raw'!B2753</f>
        <v>T45X M</v>
      </c>
      <c r="C4111" s="18" t="str">
        <f aca="false">'SALES Raw'!H2753</f>
        <v>T45X M</v>
      </c>
      <c r="D4111" s="19" t="n">
        <f aca="false">'SALES Raw'!C2753</f>
        <v>3</v>
      </c>
      <c r="E4111" s="19" t="n">
        <f aca="false">'SALES Raw'!D2753</f>
        <v>578.66</v>
      </c>
      <c r="F4111" s="19" t="n">
        <f aca="false">'SALES Raw'!E2753*$H$4</f>
        <v>1.26315789473684</v>
      </c>
      <c r="G4111" s="19" t="n">
        <f aca="false">'SALES Raw'!F2753*$H$4</f>
        <v>270.732631578947</v>
      </c>
      <c r="H4111" s="18" t="str">
        <f aca="false">'SALES Raw'!A2753</f>
        <v>114 - IL online</v>
      </c>
    </row>
    <row r="4112" customFormat="false" ht="15" hidden="false" customHeight="false" outlineLevel="0" collapsed="false">
      <c r="A4112" s="18" t="n">
        <f aca="false">'SALES Raw'!G2780</f>
        <v>4413347</v>
      </c>
      <c r="B4112" s="18" t="str">
        <f aca="false">'SALES Raw'!B2780</f>
        <v>322 L</v>
      </c>
      <c r="C4112" s="18" t="str">
        <f aca="false">'SALES Raw'!H2780</f>
        <v>322-L מגן קרסול+כרית סילקון</v>
      </c>
      <c r="D4112" s="19" t="n">
        <f aca="false">'SALES Raw'!C2780</f>
        <v>0</v>
      </c>
      <c r="E4112" s="19" t="n">
        <f aca="false">'SALES Raw'!D2780</f>
        <v>0</v>
      </c>
      <c r="F4112" s="19" t="n">
        <f aca="false">'SALES Raw'!E2780*$H$4</f>
        <v>1.26315789473684</v>
      </c>
      <c r="G4112" s="19" t="n">
        <f aca="false">'SALES Raw'!F2780*$H$4</f>
        <v>292.13052631579</v>
      </c>
      <c r="H4112" s="18" t="str">
        <f aca="false">'SALES Raw'!A2780</f>
        <v>115-SuperPharm Online</v>
      </c>
    </row>
    <row r="4113" customFormat="false" ht="15" hidden="false" customHeight="false" outlineLevel="0" collapsed="false">
      <c r="A4113" s="18" t="str">
        <f aca="false">'SALES Raw'!G2783</f>
        <v/>
      </c>
      <c r="B4113" s="18" t="str">
        <f aca="false">'SALES Raw'!B2783</f>
        <v>322B S</v>
      </c>
      <c r="C4113" s="18" t="str">
        <f aca="false">'SALES Raw'!H2783</f>
        <v>322B S</v>
      </c>
      <c r="D4113" s="19" t="n">
        <f aca="false">'SALES Raw'!C2783</f>
        <v>1</v>
      </c>
      <c r="E4113" s="19" t="n">
        <f aca="false">'SALES Raw'!D2783</f>
        <v>231.27</v>
      </c>
      <c r="F4113" s="19" t="n">
        <f aca="false">'SALES Raw'!E2783*$H$4</f>
        <v>1.26315789473684</v>
      </c>
      <c r="G4113" s="19" t="n">
        <f aca="false">'SALES Raw'!F2783*$H$4</f>
        <v>292.13052631579</v>
      </c>
      <c r="H4113" s="18" t="str">
        <f aca="false">'SALES Raw'!A2783</f>
        <v>115-SuperPharm Online</v>
      </c>
    </row>
    <row r="4114" customFormat="false" ht="15" hidden="false" customHeight="false" outlineLevel="0" collapsed="false">
      <c r="A4114" s="18" t="str">
        <f aca="false">'SALES Raw'!G2784</f>
        <v/>
      </c>
      <c r="B4114" s="18" t="str">
        <f aca="false">'SALES Raw'!B2784</f>
        <v>322B XL</v>
      </c>
      <c r="C4114" s="18" t="str">
        <f aca="false">'SALES Raw'!H2784</f>
        <v>322B XL</v>
      </c>
      <c r="D4114" s="19" t="n">
        <f aca="false">'SALES Raw'!C2784</f>
        <v>1</v>
      </c>
      <c r="E4114" s="19" t="n">
        <f aca="false">'SALES Raw'!D2784</f>
        <v>231.27</v>
      </c>
      <c r="F4114" s="19" t="n">
        <f aca="false">'SALES Raw'!E2784*$H$4</f>
        <v>1.26315789473684</v>
      </c>
      <c r="G4114" s="19" t="n">
        <f aca="false">'SALES Raw'!F2784*$H$4</f>
        <v>292.13052631579</v>
      </c>
      <c r="H4114" s="18" t="str">
        <f aca="false">'SALES Raw'!A2784</f>
        <v>115-SuperPharm Online</v>
      </c>
    </row>
    <row r="4115" customFormat="false" ht="15" hidden="false" customHeight="false" outlineLevel="0" collapsed="false">
      <c r="A4115" s="18" t="str">
        <f aca="false">'SALES Raw'!G2785</f>
        <v/>
      </c>
      <c r="B4115" s="18" t="str">
        <f aca="false">'SALES Raw'!B2785</f>
        <v>322B XXL</v>
      </c>
      <c r="C4115" s="18" t="str">
        <f aca="false">'SALES Raw'!H2785</f>
        <v>322B XXL</v>
      </c>
      <c r="D4115" s="19" t="n">
        <f aca="false">'SALES Raw'!C2785</f>
        <v>0</v>
      </c>
      <c r="E4115" s="19" t="n">
        <f aca="false">'SALES Raw'!D2785</f>
        <v>0</v>
      </c>
      <c r="F4115" s="19" t="n">
        <f aca="false">'SALES Raw'!E2785*$H$4</f>
        <v>1.26315789473684</v>
      </c>
      <c r="G4115" s="19" t="n">
        <f aca="false">'SALES Raw'!F2785*$H$4</f>
        <v>292.13052631579</v>
      </c>
      <c r="H4115" s="18" t="str">
        <f aca="false">'SALES Raw'!A2785</f>
        <v>115-SuperPharm Online</v>
      </c>
    </row>
    <row r="4116" customFormat="false" ht="15" hidden="false" customHeight="false" outlineLevel="0" collapsed="false">
      <c r="A4116" s="18" t="str">
        <f aca="false">'SALES Raw'!G2788</f>
        <v/>
      </c>
      <c r="B4116" s="18" t="str">
        <f aca="false">'SALES Raw'!B2788</f>
        <v>332B S</v>
      </c>
      <c r="C4116" s="18" t="str">
        <f aca="false">'SALES Raw'!H2788</f>
        <v>332B S</v>
      </c>
      <c r="D4116" s="19" t="n">
        <f aca="false">'SALES Raw'!C2788</f>
        <v>1</v>
      </c>
      <c r="E4116" s="19" t="n">
        <f aca="false">'SALES Raw'!D2788</f>
        <v>231.2</v>
      </c>
      <c r="F4116" s="19" t="n">
        <f aca="false">'SALES Raw'!E2788*$H$4</f>
        <v>1.26315789473684</v>
      </c>
      <c r="G4116" s="19" t="n">
        <f aca="false">'SALES Raw'!F2788*$H$4</f>
        <v>281.431578947368</v>
      </c>
      <c r="H4116" s="18" t="str">
        <f aca="false">'SALES Raw'!A2788</f>
        <v>115-SuperPharm Online</v>
      </c>
    </row>
    <row r="4117" customFormat="false" ht="15" hidden="false" customHeight="false" outlineLevel="0" collapsed="false">
      <c r="A4117" s="18" t="str">
        <f aca="false">'SALES Raw'!G2789</f>
        <v/>
      </c>
      <c r="B4117" s="18" t="str">
        <f aca="false">'SALES Raw'!B2789</f>
        <v>332B XL</v>
      </c>
      <c r="C4117" s="18" t="str">
        <f aca="false">'SALES Raw'!H2789</f>
        <v>332B XL</v>
      </c>
      <c r="D4117" s="19" t="n">
        <f aca="false">'SALES Raw'!C2789</f>
        <v>2</v>
      </c>
      <c r="E4117" s="19" t="n">
        <f aca="false">'SALES Raw'!D2789</f>
        <v>445.6</v>
      </c>
      <c r="F4117" s="19" t="n">
        <f aca="false">'SALES Raw'!E2789*$H$4</f>
        <v>1.26315789473684</v>
      </c>
      <c r="G4117" s="19" t="n">
        <f aca="false">'SALES Raw'!F2789*$H$4</f>
        <v>281.431578947368</v>
      </c>
      <c r="H4117" s="18" t="str">
        <f aca="false">'SALES Raw'!A2789</f>
        <v>115-SuperPharm Online</v>
      </c>
    </row>
    <row r="4118" customFormat="false" ht="15" hidden="false" customHeight="false" outlineLevel="0" collapsed="false">
      <c r="A4118" s="18" t="str">
        <f aca="false">'SALES Raw'!G2790</f>
        <v/>
      </c>
      <c r="B4118" s="18" t="str">
        <f aca="false">'SALES Raw'!B2790</f>
        <v>332B XXL</v>
      </c>
      <c r="C4118" s="18" t="str">
        <f aca="false">'SALES Raw'!H2790</f>
        <v>332B XXL</v>
      </c>
      <c r="D4118" s="19" t="n">
        <f aca="false">'SALES Raw'!C2790</f>
        <v>0</v>
      </c>
      <c r="E4118" s="19" t="n">
        <f aca="false">'SALES Raw'!D2790</f>
        <v>0</v>
      </c>
      <c r="F4118" s="19" t="n">
        <f aca="false">'SALES Raw'!E2790*$H$4</f>
        <v>1.26315789473684</v>
      </c>
      <c r="G4118" s="19" t="n">
        <f aca="false">'SALES Raw'!F2790*$H$4</f>
        <v>281.431578947368</v>
      </c>
      <c r="H4118" s="18" t="str">
        <f aca="false">'SALES Raw'!A2790</f>
        <v>115-SuperPharm Online</v>
      </c>
    </row>
    <row r="4119" customFormat="false" ht="15" hidden="false" customHeight="false" outlineLevel="0" collapsed="false">
      <c r="A4119" s="18" t="n">
        <f aca="false">'SALES Raw'!G2794</f>
        <v>4413491</v>
      </c>
      <c r="B4119" s="18" t="str">
        <f aca="false">'SALES Raw'!B2794</f>
        <v>35B XL</v>
      </c>
      <c r="C4119" s="18" t="str">
        <f aca="false">'SALES Raw'!H2794</f>
        <v>35B XL מגן קרסול שחור</v>
      </c>
      <c r="D4119" s="19" t="n">
        <f aca="false">'SALES Raw'!C2794</f>
        <v>4</v>
      </c>
      <c r="E4119" s="19" t="n">
        <f aca="false">'SALES Raw'!D2794</f>
        <v>223.4</v>
      </c>
      <c r="F4119" s="19" t="n">
        <f aca="false">'SALES Raw'!E2794*$H$4</f>
        <v>1.26315789473684</v>
      </c>
      <c r="G4119" s="19" t="n">
        <f aca="false">'SALES Raw'!F2794*$H$4</f>
        <v>70.5473684210526</v>
      </c>
      <c r="H4119" s="18" t="str">
        <f aca="false">'SALES Raw'!A2794</f>
        <v>115-SuperPharm Online</v>
      </c>
    </row>
    <row r="4120" customFormat="false" ht="15" hidden="false" customHeight="false" outlineLevel="0" collapsed="false">
      <c r="A4120" s="18" t="n">
        <f aca="false">'SALES Raw'!G2795</f>
        <v>4413494</v>
      </c>
      <c r="B4120" s="18" t="str">
        <f aca="false">'SALES Raw'!B2795</f>
        <v>35B XXL</v>
      </c>
      <c r="C4120" s="18" t="str">
        <f aca="false">'SALES Raw'!H2795</f>
        <v>35B XXL מגן קרסול שחור</v>
      </c>
      <c r="D4120" s="19" t="n">
        <f aca="false">'SALES Raw'!C2795</f>
        <v>0</v>
      </c>
      <c r="E4120" s="19" t="n">
        <f aca="false">'SALES Raw'!D2795</f>
        <v>0</v>
      </c>
      <c r="F4120" s="19" t="n">
        <f aca="false">'SALES Raw'!E2795*$H$4</f>
        <v>1.26315789473684</v>
      </c>
      <c r="G4120" s="19" t="n">
        <f aca="false">'SALES Raw'!F2795*$H$4</f>
        <v>70.5473684210526</v>
      </c>
      <c r="H4120" s="18" t="str">
        <f aca="false">'SALES Raw'!A2795</f>
        <v>115-SuperPharm Online</v>
      </c>
    </row>
    <row r="4121" customFormat="false" ht="15" hidden="false" customHeight="false" outlineLevel="0" collapsed="false">
      <c r="A4121" s="18" t="n">
        <f aca="false">'SALES Raw'!G2799</f>
        <v>4413497</v>
      </c>
      <c r="B4121" s="18" t="str">
        <f aca="false">'SALES Raw'!B2799</f>
        <v>45B M</v>
      </c>
      <c r="C4121" s="18" t="str">
        <f aca="false">'SALES Raw'!H2799</f>
        <v>45B M מגן ברך שחור</v>
      </c>
      <c r="D4121" s="19" t="n">
        <f aca="false">'SALES Raw'!C2799</f>
        <v>3</v>
      </c>
      <c r="E4121" s="19" t="n">
        <f aca="false">'SALES Raw'!D2799</f>
        <v>167.55</v>
      </c>
      <c r="F4121" s="19" t="n">
        <f aca="false">'SALES Raw'!E2799*$H$4</f>
        <v>1.26315789473684</v>
      </c>
      <c r="G4121" s="19" t="n">
        <f aca="false">'SALES Raw'!F2799*$H$4</f>
        <v>70.5473684210526</v>
      </c>
      <c r="H4121" s="18" t="str">
        <f aca="false">'SALES Raw'!A2799</f>
        <v>115-SuperPharm Online</v>
      </c>
    </row>
    <row r="4122" customFormat="false" ht="15" hidden="false" customHeight="false" outlineLevel="0" collapsed="false">
      <c r="A4122" s="18" t="n">
        <f aca="false">'SALES Raw'!G2807</f>
        <v>4401012</v>
      </c>
      <c r="B4122" s="18" t="str">
        <f aca="false">'SALES Raw'!B2807</f>
        <v>805AT-B</v>
      </c>
      <c r="C4122" s="18" t="str">
        <f aca="false">'SALES Raw'!H2807</f>
        <v>805AT-B אתלטיק טייפ שחור 20מ""""מ</v>
      </c>
      <c r="D4122" s="19" t="n">
        <f aca="false">'SALES Raw'!C2807</f>
        <v>14</v>
      </c>
      <c r="E4122" s="19" t="n">
        <f aca="false">'SALES Raw'!D2807</f>
        <v>417.43</v>
      </c>
      <c r="F4122" s="19" t="n">
        <f aca="false">'SALES Raw'!E2807*$H$4</f>
        <v>1.26315789473684</v>
      </c>
      <c r="G4122" s="19" t="n">
        <f aca="false">'SALES Raw'!F2807*$H$4</f>
        <v>39.4989473684211</v>
      </c>
      <c r="H4122" s="18" t="str">
        <f aca="false">'SALES Raw'!A2807</f>
        <v>115-SuperPharm Online</v>
      </c>
    </row>
    <row r="4123" customFormat="false" ht="15" hidden="false" customHeight="false" outlineLevel="0" collapsed="false">
      <c r="A4123" s="18" t="n">
        <f aca="false">'SALES Raw'!G2809</f>
        <v>4401011</v>
      </c>
      <c r="B4123" s="18" t="str">
        <f aca="false">'SALES Raw'!B2809</f>
        <v>805AT-C</v>
      </c>
      <c r="C4123" s="18" t="str">
        <f aca="false">'SALES Raw'!H2809</f>
        <v>805AT-Cאתלטיק טייפ בז' 20מ""""מ20</v>
      </c>
      <c r="D4123" s="19" t="n">
        <f aca="false">'SALES Raw'!C2809</f>
        <v>9</v>
      </c>
      <c r="E4123" s="19" t="n">
        <f aca="false">'SALES Raw'!D2809</f>
        <v>276.35</v>
      </c>
      <c r="F4123" s="19" t="n">
        <f aca="false">'SALES Raw'!E2809*$H$4</f>
        <v>1.26315789473684</v>
      </c>
      <c r="G4123" s="19" t="n">
        <f aca="false">'SALES Raw'!F2809*$H$4</f>
        <v>39.4989473684211</v>
      </c>
      <c r="H4123" s="18" t="str">
        <f aca="false">'SALES Raw'!A2809</f>
        <v>115-SuperPharm Online</v>
      </c>
    </row>
    <row r="4124" customFormat="false" ht="15" hidden="false" customHeight="false" outlineLevel="0" collapsed="false">
      <c r="A4124" s="18" t="str">
        <f aca="false">'SALES Raw'!G2811</f>
        <v/>
      </c>
      <c r="B4124" s="18" t="str">
        <f aca="false">'SALES Raw'!B2811</f>
        <v>922B L</v>
      </c>
      <c r="C4124" s="18" t="str">
        <f aca="false">'SALES Raw'!H2811</f>
        <v>922B L</v>
      </c>
      <c r="D4124" s="19" t="n">
        <f aca="false">'SALES Raw'!C2811</f>
        <v>1</v>
      </c>
      <c r="E4124" s="19" t="n">
        <f aca="false">'SALES Raw'!D2811</f>
        <v>255.8</v>
      </c>
      <c r="F4124" s="19" t="n">
        <f aca="false">'SALES Raw'!E2811*$H$4</f>
        <v>1.26315789473684</v>
      </c>
      <c r="G4124" s="19" t="n">
        <f aca="false">'SALES Raw'!F2811*$H$4</f>
        <v>324.24</v>
      </c>
      <c r="H4124" s="18" t="str">
        <f aca="false">'SALES Raw'!A2811</f>
        <v>115-SuperPharm Online</v>
      </c>
    </row>
    <row r="4125" customFormat="false" ht="15" hidden="false" customHeight="false" outlineLevel="0" collapsed="false">
      <c r="A4125" s="18" t="n">
        <f aca="false">'SALES Raw'!G2816</f>
        <v>4413502</v>
      </c>
      <c r="B4125" s="18" t="str">
        <f aca="false">'SALES Raw'!B2816</f>
        <v>95B S</v>
      </c>
      <c r="C4125" s="18" t="str">
        <f aca="false">'SALES Raw'!H2816</f>
        <v>95B S מגן מרפק שחור</v>
      </c>
      <c r="D4125" s="19" t="n">
        <f aca="false">'SALES Raw'!C2816</f>
        <v>1</v>
      </c>
      <c r="E4125" s="19" t="n">
        <f aca="false">'SALES Raw'!D2816</f>
        <v>55.85</v>
      </c>
      <c r="F4125" s="19" t="n">
        <f aca="false">'SALES Raw'!E2816*$H$4</f>
        <v>1.26315789473684</v>
      </c>
      <c r="G4125" s="19" t="n">
        <f aca="false">'SALES Raw'!F2816*$H$4</f>
        <v>70.5473684210526</v>
      </c>
      <c r="H4125" s="18" t="str">
        <f aca="false">'SALES Raw'!A2816</f>
        <v>115-SuperPharm Online</v>
      </c>
    </row>
    <row r="4126" customFormat="false" ht="15" hidden="false" customHeight="false" outlineLevel="0" collapsed="false">
      <c r="A4126" s="18" t="n">
        <f aca="false">'SALES Raw'!G2827</f>
        <v>4413451</v>
      </c>
      <c r="B4126" s="18" t="str">
        <f aca="false">'SALES Raw'!B2827</f>
        <v>LF378 L</v>
      </c>
      <c r="C4126" s="18" t="str">
        <f aca="false">'SALES Raw'!H2827</f>
        <v>LF378 L מדרס ג'ל לנעלי עקב</v>
      </c>
      <c r="D4126" s="19" t="n">
        <f aca="false">'SALES Raw'!C2827</f>
        <v>0</v>
      </c>
      <c r="E4126" s="19" t="n">
        <f aca="false">'SALES Raw'!D2827</f>
        <v>0</v>
      </c>
      <c r="F4126" s="19" t="n">
        <f aca="false">'SALES Raw'!E2827*$H$4</f>
        <v>1.26315789473684</v>
      </c>
      <c r="G4126" s="19" t="n">
        <f aca="false">'SALES Raw'!F2827*$H$4</f>
        <v>167.962105263158</v>
      </c>
      <c r="H4126" s="18" t="str">
        <f aca="false">'SALES Raw'!A2827</f>
        <v>115-SuperPharm Online</v>
      </c>
    </row>
    <row r="4127" customFormat="false" ht="15" hidden="false" customHeight="false" outlineLevel="0" collapsed="false">
      <c r="A4127" s="18" t="n">
        <f aca="false">'SALES Raw'!G2829</f>
        <v>4413449</v>
      </c>
      <c r="B4127" s="18" t="str">
        <f aca="false">'SALES Raw'!B2829</f>
        <v>LF378 S</v>
      </c>
      <c r="C4127" s="18" t="str">
        <f aca="false">'SALES Raw'!H2829</f>
        <v>LF378 S מדרס ג'ל לנעלי עקב</v>
      </c>
      <c r="D4127" s="19" t="n">
        <f aca="false">'SALES Raw'!C2829</f>
        <v>0</v>
      </c>
      <c r="E4127" s="19" t="n">
        <f aca="false">'SALES Raw'!D2829</f>
        <v>0</v>
      </c>
      <c r="F4127" s="19" t="n">
        <f aca="false">'SALES Raw'!E2829*$H$4</f>
        <v>1.26315789473684</v>
      </c>
      <c r="G4127" s="19" t="n">
        <f aca="false">'SALES Raw'!F2829*$H$4</f>
        <v>167.962105263158</v>
      </c>
      <c r="H4127" s="18" t="str">
        <f aca="false">'SALES Raw'!A2829</f>
        <v>115-SuperPharm Online</v>
      </c>
    </row>
    <row r="4128" customFormat="false" ht="15" hidden="false" customHeight="false" outlineLevel="0" collapsed="false">
      <c r="A4128" s="18" t="str">
        <f aca="false">'SALES Raw'!G2836</f>
        <v/>
      </c>
      <c r="B4128" s="18" t="str">
        <f aca="false">'SALES Raw'!B2836</f>
        <v>T401 S</v>
      </c>
      <c r="C4128" s="18" t="str">
        <f aca="false">'SALES Raw'!H2836</f>
        <v>T401 S</v>
      </c>
      <c r="D4128" s="19" t="n">
        <f aca="false">'SALES Raw'!C2836</f>
        <v>0</v>
      </c>
      <c r="E4128" s="19" t="n">
        <f aca="false">'SALES Raw'!D2836</f>
        <v>0</v>
      </c>
      <c r="F4128" s="19" t="n">
        <f aca="false">'SALES Raw'!E2836*$H$4</f>
        <v>1.26315789473684</v>
      </c>
      <c r="G4128" s="19" t="n">
        <f aca="false">'SALES Raw'!F2836*$H$4</f>
        <v>377.772631578947</v>
      </c>
      <c r="H4128" s="18" t="str">
        <f aca="false">'SALES Raw'!A2836</f>
        <v>115-SuperPharm Online</v>
      </c>
    </row>
    <row r="4129" customFormat="false" ht="15" hidden="false" customHeight="false" outlineLevel="0" collapsed="false">
      <c r="A4129" s="18" t="str">
        <f aca="false">'SALES Raw'!G2837</f>
        <v/>
      </c>
      <c r="B4129" s="18" t="str">
        <f aca="false">'SALES Raw'!B2837</f>
        <v>T401 XL</v>
      </c>
      <c r="C4129" s="18" t="str">
        <f aca="false">'SALES Raw'!H2837</f>
        <v>T401 XL</v>
      </c>
      <c r="D4129" s="19" t="n">
        <f aca="false">'SALES Raw'!C2837</f>
        <v>0</v>
      </c>
      <c r="E4129" s="19" t="n">
        <f aca="false">'SALES Raw'!D2837</f>
        <v>0</v>
      </c>
      <c r="F4129" s="19" t="n">
        <f aca="false">'SALES Raw'!E2837*$H$4</f>
        <v>1.26315789473684</v>
      </c>
      <c r="G4129" s="19" t="n">
        <f aca="false">'SALES Raw'!F2837*$H$4</f>
        <v>377.772631578947</v>
      </c>
      <c r="H4129" s="18" t="str">
        <f aca="false">'SALES Raw'!A2837</f>
        <v>115-SuperPharm Online</v>
      </c>
    </row>
    <row r="4130" customFormat="false" ht="15" hidden="false" customHeight="false" outlineLevel="0" collapsed="false">
      <c r="A4130" s="18" t="str">
        <f aca="false">'SALES Raw'!G3070</f>
        <v/>
      </c>
      <c r="B4130" s="18" t="str">
        <f aca="false">'SALES Raw'!B3070</f>
        <v>305-37-38</v>
      </c>
      <c r="C4130" s="18" t="str">
        <f aca="false">'SALES Raw'!H3070</f>
        <v>305-37-38</v>
      </c>
      <c r="D4130" s="19" t="n">
        <f aca="false">'SALES Raw'!C3070</f>
        <v>0</v>
      </c>
      <c r="E4130" s="19" t="n">
        <f aca="false">'SALES Raw'!D3070</f>
        <v>0</v>
      </c>
      <c r="F4130" s="19" t="n">
        <f aca="false">'SALES Raw'!E3070*$H$4</f>
        <v>1.26315789473684</v>
      </c>
      <c r="G4130" s="19" t="n">
        <f aca="false">'SALES Raw'!F3070*$H$4</f>
        <v>43.2757894736842</v>
      </c>
      <c r="H4130" s="18" t="str">
        <f aca="false">'SALES Raw'!A3070</f>
        <v>203 - Ortho- Partner ag SWITZERLAND</v>
      </c>
    </row>
    <row r="4131" customFormat="false" ht="15" hidden="false" customHeight="false" outlineLevel="0" collapsed="false">
      <c r="A4131" s="18" t="n">
        <f aca="false">'SALES Raw'!G3114</f>
        <v>4413407</v>
      </c>
      <c r="B4131" s="18" t="str">
        <f aca="false">'SALES Raw'!B3114</f>
        <v>SC95 L</v>
      </c>
      <c r="C4131" s="18" t="str">
        <f aca="false">'SALES Raw'!H3114</f>
        <v>SC95 L מגן מרפק</v>
      </c>
      <c r="D4131" s="19" t="n">
        <f aca="false">'SALES Raw'!C3114</f>
        <v>0</v>
      </c>
      <c r="E4131" s="19" t="n">
        <f aca="false">'SALES Raw'!D3114</f>
        <v>0</v>
      </c>
      <c r="F4131" s="19" t="n">
        <f aca="false">'SALES Raw'!E3114*$H$4</f>
        <v>1.26315789473684</v>
      </c>
      <c r="G4131" s="19" t="n">
        <f aca="false">'SALES Raw'!F3114*$H$4</f>
        <v>0.0378947368421053</v>
      </c>
      <c r="H4131" s="18" t="str">
        <f aca="false">'SALES Raw'!A3114</f>
        <v>203 - Ortho- Partner ag SWITZERLAND</v>
      </c>
    </row>
    <row r="4132" customFormat="false" ht="15" hidden="false" customHeight="false" outlineLevel="0" collapsed="false">
      <c r="A4132" s="18" t="n">
        <f aca="false">'SALES Raw'!G3156</f>
        <v>4408275</v>
      </c>
      <c r="B4132" s="18" t="str">
        <f aca="false">'SALES Raw'!B3156</f>
        <v>202 0</v>
      </c>
      <c r="C4132" s="18" t="str">
        <f aca="false">'SALES Raw'!H3156</f>
        <v>202  ONE SIZE חבק יד</v>
      </c>
      <c r="D4132" s="19" t="n">
        <f aca="false">'SALES Raw'!C3156</f>
        <v>0</v>
      </c>
      <c r="E4132" s="19" t="n">
        <f aca="false">'SALES Raw'!D3156</f>
        <v>0</v>
      </c>
      <c r="F4132" s="19" t="n">
        <f aca="false">'SALES Raw'!E3156*$H$4</f>
        <v>1.26315789473684</v>
      </c>
      <c r="G4132" s="19" t="n">
        <f aca="false">'SALES Raw'!F3156*$H$4</f>
        <v>0.0378947368421053</v>
      </c>
      <c r="H4132" s="18" t="str">
        <f aca="false">'SALES Raw'!A3156</f>
        <v>204 - Sanaflex Anatomic GREECE</v>
      </c>
    </row>
    <row r="4133" customFormat="false" ht="15" hidden="false" customHeight="false" outlineLevel="0" collapsed="false">
      <c r="A4133" s="18" t="n">
        <f aca="false">'SALES Raw'!G3161</f>
        <v>4411027</v>
      </c>
      <c r="B4133" s="18" t="str">
        <f aca="false">'SALES Raw'!B3161</f>
        <v>213CTSL M</v>
      </c>
      <c r="C4133" s="18" t="str">
        <f aca="false">'SALES Raw'!H3161</f>
        <v>213CTSL M שמאל CTS כפפות</v>
      </c>
      <c r="D4133" s="19" t="n">
        <f aca="false">'SALES Raw'!C3161</f>
        <v>0</v>
      </c>
      <c r="E4133" s="19" t="n">
        <f aca="false">'SALES Raw'!D3161</f>
        <v>0</v>
      </c>
      <c r="F4133" s="19" t="n">
        <f aca="false">'SALES Raw'!E3161*$H$4</f>
        <v>1.26315789473684</v>
      </c>
      <c r="G4133" s="19" t="n">
        <f aca="false">'SALES Raw'!F3161*$H$4</f>
        <v>0.0378947368421053</v>
      </c>
      <c r="H4133" s="18" t="str">
        <f aca="false">'SALES Raw'!A3161</f>
        <v>204 - Sanaflex Anatomic GREECE</v>
      </c>
    </row>
    <row r="4134" customFormat="false" ht="15" hidden="false" customHeight="false" outlineLevel="0" collapsed="false">
      <c r="A4134" s="18" t="n">
        <f aca="false">'SALES Raw'!G3162</f>
        <v>4411030</v>
      </c>
      <c r="B4134" s="18" t="str">
        <f aca="false">'SALES Raw'!B3162</f>
        <v>213CTSR M</v>
      </c>
      <c r="C4134" s="18" t="str">
        <f aca="false">'SALES Raw'!H3162</f>
        <v>213CTSR M ימין CTS כפפות</v>
      </c>
      <c r="D4134" s="19" t="n">
        <f aca="false">'SALES Raw'!C3162</f>
        <v>0</v>
      </c>
      <c r="E4134" s="19" t="n">
        <f aca="false">'SALES Raw'!D3162</f>
        <v>0</v>
      </c>
      <c r="F4134" s="19" t="n">
        <f aca="false">'SALES Raw'!E3162*$H$4</f>
        <v>1.26315789473684</v>
      </c>
      <c r="G4134" s="19" t="n">
        <f aca="false">'SALES Raw'!F3162*$H$4</f>
        <v>0.0378947368421053</v>
      </c>
      <c r="H4134" s="18" t="str">
        <f aca="false">'SALES Raw'!A3162</f>
        <v>204 - Sanaflex Anatomic GREECE</v>
      </c>
    </row>
    <row r="4135" customFormat="false" ht="15" hidden="false" customHeight="false" outlineLevel="0" collapsed="false">
      <c r="A4135" s="18" t="str">
        <f aca="false">'SALES Raw'!G3222</f>
        <v/>
      </c>
      <c r="B4135" s="18" t="str">
        <f aca="false">'SALES Raw'!B3222</f>
        <v>364XL+ 0</v>
      </c>
      <c r="C4135" s="18" t="str">
        <f aca="false">'SALES Raw'!H3222</f>
        <v>364XL+ 0</v>
      </c>
      <c r="D4135" s="19" t="n">
        <f aca="false">'SALES Raw'!C3222</f>
        <v>0</v>
      </c>
      <c r="E4135" s="19" t="n">
        <f aca="false">'SALES Raw'!D3222</f>
        <v>0</v>
      </c>
      <c r="F4135" s="19" t="n">
        <f aca="false">'SALES Raw'!E3222*$H$4</f>
        <v>1.26315789473684</v>
      </c>
      <c r="G4135" s="19" t="n">
        <f aca="false">'SALES Raw'!F3222*$H$4</f>
        <v>0.0378947368421053</v>
      </c>
      <c r="H4135" s="18" t="str">
        <f aca="false">'SALES Raw'!A3222</f>
        <v>204 - Sanaflex Anatomic GREECE</v>
      </c>
    </row>
    <row r="4136" customFormat="false" ht="15" hidden="false" customHeight="false" outlineLevel="0" collapsed="false">
      <c r="A4136" s="18" t="str">
        <f aca="false">'SALES Raw'!G3299</f>
        <v/>
      </c>
      <c r="B4136" s="18" t="str">
        <f aca="false">'SALES Raw'!B3299</f>
        <v>809PW-C</v>
      </c>
      <c r="C4136" s="18" t="str">
        <f aca="false">'SALES Raw'!H3299</f>
        <v>809PW-C</v>
      </c>
      <c r="D4136" s="19" t="n">
        <f aca="false">'SALES Raw'!C3299</f>
        <v>0</v>
      </c>
      <c r="E4136" s="19" t="n">
        <f aca="false">'SALES Raw'!D3299</f>
        <v>0</v>
      </c>
      <c r="F4136" s="19" t="n">
        <f aca="false">'SALES Raw'!E3299*$H$4</f>
        <v>1.26315789473684</v>
      </c>
      <c r="G4136" s="19" t="n">
        <f aca="false">'SALES Raw'!F3299*$H$4</f>
        <v>0.0378947368421053</v>
      </c>
      <c r="H4136" s="18" t="str">
        <f aca="false">'SALES Raw'!A3299</f>
        <v>204 - Sanaflex Anatomic GREECE</v>
      </c>
    </row>
    <row r="4137" customFormat="false" ht="15" hidden="false" customHeight="false" outlineLevel="0" collapsed="false">
      <c r="A4137" s="18" t="n">
        <f aca="false">'SALES Raw'!G3307</f>
        <v>4408266</v>
      </c>
      <c r="B4137" s="18" t="str">
        <f aca="false">'SALES Raw'!B3307</f>
        <v>91B 0</v>
      </c>
      <c r="C4137" s="18" t="str">
        <f aca="false">'SALES Raw'!H3307</f>
        <v>91B חבק טניס אלבו</v>
      </c>
      <c r="D4137" s="19" t="n">
        <f aca="false">'SALES Raw'!C3307</f>
        <v>0</v>
      </c>
      <c r="E4137" s="19" t="n">
        <f aca="false">'SALES Raw'!D3307</f>
        <v>0</v>
      </c>
      <c r="F4137" s="19" t="n">
        <f aca="false">'SALES Raw'!E3307*$H$4</f>
        <v>1.26315789473684</v>
      </c>
      <c r="G4137" s="19" t="n">
        <f aca="false">'SALES Raw'!F3307*$H$4</f>
        <v>0.0378947368421053</v>
      </c>
      <c r="H4137" s="18" t="str">
        <f aca="false">'SALES Raw'!A3307</f>
        <v>204 - Sanaflex Anatomic GREECE</v>
      </c>
    </row>
    <row r="4138" customFormat="false" ht="15" hidden="false" customHeight="false" outlineLevel="0" collapsed="false">
      <c r="A4138" s="18" t="n">
        <f aca="false">'SALES Raw'!G3332</f>
        <v>4413534</v>
      </c>
      <c r="B4138" s="18" t="str">
        <f aca="false">'SALES Raw'!B3332</f>
        <v>SH333 0</v>
      </c>
      <c r="C4138" s="18" t="str">
        <f aca="false">'SALES Raw'!H3332</f>
        <v>SH333 מקבע קרסול</v>
      </c>
      <c r="D4138" s="19" t="n">
        <f aca="false">'SALES Raw'!C3332</f>
        <v>0</v>
      </c>
      <c r="E4138" s="19" t="n">
        <f aca="false">'SALES Raw'!D3332</f>
        <v>0</v>
      </c>
      <c r="F4138" s="19" t="n">
        <f aca="false">'SALES Raw'!E3332*$H$4</f>
        <v>1.26315789473684</v>
      </c>
      <c r="G4138" s="19" t="n">
        <f aca="false">'SALES Raw'!F3332*$H$4</f>
        <v>0.0378947368421053</v>
      </c>
      <c r="H4138" s="18" t="str">
        <f aca="false">'SALES Raw'!A3332</f>
        <v>204 - Sanaflex Anatomic GREECE</v>
      </c>
    </row>
    <row r="4139" customFormat="false" ht="15" hidden="false" customHeight="false" outlineLevel="0" collapsed="false">
      <c r="A4139" s="18" t="n">
        <f aca="false">'SALES Raw'!G3333</f>
        <v>4422039</v>
      </c>
      <c r="B4139" s="18" t="str">
        <f aca="false">'SALES Raw'!B3333</f>
        <v>SH422 3</v>
      </c>
      <c r="C4139" s="18" t="str">
        <f aca="false">'SALES Raw'!H3333</f>
        <v>SH422 3 תומך ברך גנושילד</v>
      </c>
      <c r="D4139" s="19" t="n">
        <f aca="false">'SALES Raw'!C3333</f>
        <v>0</v>
      </c>
      <c r="E4139" s="19" t="n">
        <f aca="false">'SALES Raw'!D3333</f>
        <v>0</v>
      </c>
      <c r="F4139" s="19" t="n">
        <f aca="false">'SALES Raw'!E3333*$H$4</f>
        <v>1.26315789473684</v>
      </c>
      <c r="G4139" s="19" t="n">
        <f aca="false">'SALES Raw'!F3333*$H$4</f>
        <v>0.0378947368421053</v>
      </c>
      <c r="H4139" s="18" t="str">
        <f aca="false">'SALES Raw'!A3333</f>
        <v>204 - Sanaflex Anatomic GREECE</v>
      </c>
    </row>
    <row r="4140" customFormat="false" ht="15" hidden="false" customHeight="false" outlineLevel="0" collapsed="false">
      <c r="A4140" s="18" t="str">
        <f aca="false">'SALES Raw'!G3341</f>
        <v/>
      </c>
      <c r="B4140" s="18" t="str">
        <f aca="false">'SALES Raw'!B3341</f>
        <v>T40B 0</v>
      </c>
      <c r="C4140" s="18" t="str">
        <f aca="false">'SALES Raw'!H3341</f>
        <v>T40B 0</v>
      </c>
      <c r="D4140" s="19" t="n">
        <f aca="false">'SALES Raw'!C3341</f>
        <v>0</v>
      </c>
      <c r="E4140" s="19" t="n">
        <f aca="false">'SALES Raw'!D3341</f>
        <v>0</v>
      </c>
      <c r="F4140" s="19" t="n">
        <f aca="false">'SALES Raw'!E3341*$H$4</f>
        <v>1.26315789473684</v>
      </c>
      <c r="G4140" s="19" t="n">
        <f aca="false">'SALES Raw'!F3341*$H$4</f>
        <v>0.0378947368421053</v>
      </c>
      <c r="H4140" s="18" t="str">
        <f aca="false">'SALES Raw'!A3341</f>
        <v>204 - Sanaflex Anatomic GREECE</v>
      </c>
    </row>
    <row r="4141" customFormat="false" ht="15" hidden="false" customHeight="false" outlineLevel="0" collapsed="false">
      <c r="A4141" s="18" t="n">
        <f aca="false">'SALES Raw'!G3479</f>
        <v>4408275</v>
      </c>
      <c r="B4141" s="18" t="str">
        <f aca="false">'SALES Raw'!B3479</f>
        <v>202 0</v>
      </c>
      <c r="C4141" s="18" t="str">
        <f aca="false">'SALES Raw'!H3479</f>
        <v>202  ONE SIZE חבק יד</v>
      </c>
      <c r="D4141" s="19" t="n">
        <f aca="false">'SALES Raw'!C3479</f>
        <v>0</v>
      </c>
      <c r="E4141" s="19" t="n">
        <f aca="false">'SALES Raw'!D3479</f>
        <v>0</v>
      </c>
      <c r="F4141" s="19" t="n">
        <f aca="false">'SALES Raw'!E3479*$H$4</f>
        <v>1.26315789473684</v>
      </c>
      <c r="G4141" s="19" t="n">
        <f aca="false">'SALES Raw'!F3479*$H$4</f>
        <v>0.0378947368421053</v>
      </c>
      <c r="H4141" s="18" t="str">
        <f aca="false">'SALES Raw'!A3479</f>
        <v>207 - Salus HUNGARY</v>
      </c>
    </row>
    <row r="4142" customFormat="false" ht="15" hidden="false" customHeight="false" outlineLevel="0" collapsed="false">
      <c r="A4142" s="18" t="str">
        <f aca="false">'SALES Raw'!G3612</f>
        <v/>
      </c>
      <c r="B4142" s="18" t="str">
        <f aca="false">'SALES Raw'!B3612</f>
        <v>61 M</v>
      </c>
      <c r="C4142" s="18" t="str">
        <f aca="false">'SALES Raw'!H3612</f>
        <v>61 M</v>
      </c>
      <c r="D4142" s="19" t="n">
        <f aca="false">'SALES Raw'!C3612</f>
        <v>0</v>
      </c>
      <c r="E4142" s="19" t="n">
        <f aca="false">'SALES Raw'!D3612</f>
        <v>0</v>
      </c>
      <c r="F4142" s="19" t="n">
        <f aca="false">'SALES Raw'!E3612*$H$4</f>
        <v>1.26315789473684</v>
      </c>
      <c r="G4142" s="19" t="n">
        <f aca="false">'SALES Raw'!F3612*$H$4</f>
        <v>0.0378947368421053</v>
      </c>
      <c r="H4142" s="18" t="str">
        <f aca="false">'SALES Raw'!A3612</f>
        <v>207 - Salus HUNGARY</v>
      </c>
    </row>
    <row r="4143" customFormat="false" ht="15" hidden="false" customHeight="false" outlineLevel="0" collapsed="false">
      <c r="A4143" s="18" t="str">
        <f aca="false">'SALES Raw'!G3622</f>
        <v/>
      </c>
      <c r="B4143" s="18" t="str">
        <f aca="false">'SALES Raw'!B3622</f>
        <v>809PW-C</v>
      </c>
      <c r="C4143" s="18" t="str">
        <f aca="false">'SALES Raw'!H3622</f>
        <v>809PW-C</v>
      </c>
      <c r="D4143" s="19" t="n">
        <f aca="false">'SALES Raw'!C3622</f>
        <v>0</v>
      </c>
      <c r="E4143" s="19" t="n">
        <f aca="false">'SALES Raw'!D3622</f>
        <v>0</v>
      </c>
      <c r="F4143" s="19" t="n">
        <f aca="false">'SALES Raw'!E3622*$H$4</f>
        <v>1.26315789473684</v>
      </c>
      <c r="G4143" s="19" t="n">
        <f aca="false">'SALES Raw'!F3622*$H$4</f>
        <v>0.0378947368421053</v>
      </c>
      <c r="H4143" s="18" t="str">
        <f aca="false">'SALES Raw'!A3622</f>
        <v>207 - Salus HUNGARY</v>
      </c>
    </row>
    <row r="4144" customFormat="false" ht="15" hidden="false" customHeight="false" outlineLevel="0" collapsed="false">
      <c r="A4144" s="18" t="str">
        <f aca="false">'SALES Raw'!G3646</f>
        <v/>
      </c>
      <c r="B4144" s="18" t="str">
        <f aca="false">'SALES Raw'!B3646</f>
        <v>SH322-6</v>
      </c>
      <c r="C4144" s="18" t="str">
        <f aca="false">'SALES Raw'!H3646</f>
        <v>SH322-6</v>
      </c>
      <c r="D4144" s="19" t="n">
        <f aca="false">'SALES Raw'!C3646</f>
        <v>0</v>
      </c>
      <c r="E4144" s="19" t="n">
        <f aca="false">'SALES Raw'!D3646</f>
        <v>0</v>
      </c>
      <c r="F4144" s="19" t="n">
        <f aca="false">'SALES Raw'!E3646*$H$4</f>
        <v>1.26315789473684</v>
      </c>
      <c r="G4144" s="19" t="n">
        <f aca="false">'SALES Raw'!F3646*$H$4</f>
        <v>0.0378947368421053</v>
      </c>
      <c r="H4144" s="18" t="str">
        <f aca="false">'SALES Raw'!A3646</f>
        <v>207 - Salus HUNGARY</v>
      </c>
    </row>
    <row r="4145" customFormat="false" ht="15" hidden="false" customHeight="false" outlineLevel="0" collapsed="false">
      <c r="A4145" s="18" t="str">
        <f aca="false">'SALES Raw'!G3652</f>
        <v/>
      </c>
      <c r="B4145" s="18" t="str">
        <f aca="false">'SALES Raw'!B3652</f>
        <v>SH423L 6</v>
      </c>
      <c r="C4145" s="18" t="str">
        <f aca="false">'SALES Raw'!H3652</f>
        <v>SH423L 6</v>
      </c>
      <c r="D4145" s="19" t="n">
        <f aca="false">'SALES Raw'!C3652</f>
        <v>0</v>
      </c>
      <c r="E4145" s="19" t="n">
        <f aca="false">'SALES Raw'!D3652</f>
        <v>0</v>
      </c>
      <c r="F4145" s="19" t="n">
        <f aca="false">'SALES Raw'!E3652*$H$4</f>
        <v>1.26315789473684</v>
      </c>
      <c r="G4145" s="19" t="n">
        <f aca="false">'SALES Raw'!F3652*$H$4</f>
        <v>0.0378947368421053</v>
      </c>
      <c r="H4145" s="18" t="str">
        <f aca="false">'SALES Raw'!A3652</f>
        <v>207 - Salus HUNGARY</v>
      </c>
    </row>
    <row r="4146" customFormat="false" ht="15" hidden="false" customHeight="false" outlineLevel="0" collapsed="false">
      <c r="A4146" s="18" t="str">
        <f aca="false">'SALES Raw'!G3666</f>
        <v/>
      </c>
      <c r="B4146" s="18" t="str">
        <f aca="false">'SALES Raw'!B3666</f>
        <v>T066B-L-XL</v>
      </c>
      <c r="C4146" s="18" t="str">
        <f aca="false">'SALES Raw'!H3666</f>
        <v>T066B-L-XL</v>
      </c>
      <c r="D4146" s="19" t="n">
        <f aca="false">'SALES Raw'!C3666</f>
        <v>0</v>
      </c>
      <c r="E4146" s="19" t="n">
        <f aca="false">'SALES Raw'!D3666</f>
        <v>0</v>
      </c>
      <c r="F4146" s="19" t="n">
        <f aca="false">'SALES Raw'!E3666*$H$4</f>
        <v>1.26315789473684</v>
      </c>
      <c r="G4146" s="19" t="n">
        <f aca="false">'SALES Raw'!F3666*$H$4</f>
        <v>0.0378947368421053</v>
      </c>
      <c r="H4146" s="18" t="str">
        <f aca="false">'SALES Raw'!A3666</f>
        <v>207 - Salus HUNGARY</v>
      </c>
    </row>
    <row r="4147" customFormat="false" ht="15" hidden="false" customHeight="false" outlineLevel="0" collapsed="false">
      <c r="A4147" s="18" t="str">
        <f aca="false">'SALES Raw'!G3669</f>
        <v/>
      </c>
      <c r="B4147" s="18" t="str">
        <f aca="false">'SALES Raw'!B3669</f>
        <v>T36B L</v>
      </c>
      <c r="C4147" s="18" t="str">
        <f aca="false">'SALES Raw'!H3669</f>
        <v>T36B L</v>
      </c>
      <c r="D4147" s="19" t="n">
        <f aca="false">'SALES Raw'!C3669</f>
        <v>0</v>
      </c>
      <c r="E4147" s="19" t="n">
        <f aca="false">'SALES Raw'!D3669</f>
        <v>0</v>
      </c>
      <c r="F4147" s="19" t="n">
        <f aca="false">'SALES Raw'!E3669*$H$4</f>
        <v>1.26315789473684</v>
      </c>
      <c r="G4147" s="19" t="n">
        <f aca="false">'SALES Raw'!F3669*$H$4</f>
        <v>0.0378947368421053</v>
      </c>
      <c r="H4147" s="18" t="str">
        <f aca="false">'SALES Raw'!A3669</f>
        <v>207 - Salus HUNGARY</v>
      </c>
    </row>
    <row r="4148" customFormat="false" ht="15" hidden="false" customHeight="false" outlineLevel="0" collapsed="false">
      <c r="A4148" s="18" t="str">
        <f aca="false">'SALES Raw'!G3676</f>
        <v/>
      </c>
      <c r="B4148" s="18" t="str">
        <f aca="false">'SALES Raw'!B3676</f>
        <v>T46B L</v>
      </c>
      <c r="C4148" s="18" t="str">
        <f aca="false">'SALES Raw'!H3676</f>
        <v>T46B L</v>
      </c>
      <c r="D4148" s="19" t="n">
        <f aca="false">'SALES Raw'!C3676</f>
        <v>0</v>
      </c>
      <c r="E4148" s="19" t="n">
        <f aca="false">'SALES Raw'!D3676</f>
        <v>0</v>
      </c>
      <c r="F4148" s="19" t="n">
        <f aca="false">'SALES Raw'!E3676*$H$4</f>
        <v>1.26315789473684</v>
      </c>
      <c r="G4148" s="19" t="n">
        <f aca="false">'SALES Raw'!F3676*$H$4</f>
        <v>0.0378947368421053</v>
      </c>
      <c r="H4148" s="18" t="str">
        <f aca="false">'SALES Raw'!A3676</f>
        <v>207 - Salus HUNGARY</v>
      </c>
    </row>
    <row r="4149" customFormat="false" ht="15" hidden="false" customHeight="false" outlineLevel="0" collapsed="false">
      <c r="A4149" s="18" t="str">
        <f aca="false">'SALES Raw'!G3797</f>
        <v/>
      </c>
      <c r="B4149" s="18" t="str">
        <f aca="false">'SALES Raw'!B3797</f>
        <v>239P-S-M</v>
      </c>
      <c r="C4149" s="18" t="str">
        <f aca="false">'SALES Raw'!H3797</f>
        <v>239P-S-M</v>
      </c>
      <c r="D4149" s="19" t="n">
        <f aca="false">'SALES Raw'!C3797</f>
        <v>0</v>
      </c>
      <c r="E4149" s="19" t="n">
        <f aca="false">'SALES Raw'!D3797</f>
        <v>0</v>
      </c>
      <c r="F4149" s="19" t="n">
        <f aca="false">'SALES Raw'!E3797*$H$4</f>
        <v>1.26315789473684</v>
      </c>
      <c r="G4149" s="19" t="n">
        <f aca="false">'SALES Raw'!F3797*$H$4</f>
        <v>0.0378947368421053</v>
      </c>
      <c r="H4149" s="18" t="str">
        <f aca="false">'SALES Raw'!A3797</f>
        <v>209 - Ortoprofil Prod ROMANIA</v>
      </c>
    </row>
    <row r="4150" customFormat="false" ht="15" hidden="false" customHeight="false" outlineLevel="0" collapsed="false">
      <c r="A4150" s="18" t="str">
        <f aca="false">'SALES Raw'!G4078</f>
        <v/>
      </c>
      <c r="B4150" s="18" t="str">
        <f aca="false">'SALES Raw'!B4078</f>
        <v>11PS M</v>
      </c>
      <c r="C4150" s="18" t="str">
        <f aca="false">'SALES Raw'!H4078</f>
        <v>11PS M</v>
      </c>
      <c r="D4150" s="19" t="n">
        <f aca="false">'SALES Raw'!C4078</f>
        <v>0</v>
      </c>
      <c r="E4150" s="19" t="n">
        <f aca="false">'SALES Raw'!D4078</f>
        <v>0</v>
      </c>
      <c r="F4150" s="19" t="n">
        <f aca="false">'SALES Raw'!E4078*$H$4</f>
        <v>1.26315789473684</v>
      </c>
      <c r="G4150" s="19" t="n">
        <f aca="false">'SALES Raw'!F4078*$H$4</f>
        <v>67.3642105263158</v>
      </c>
      <c r="H4150" s="18" t="str">
        <f aca="false">'SALES Raw'!A4078</f>
        <v>213 - E.f.m.o. SPAIN</v>
      </c>
    </row>
    <row r="4151" customFormat="false" ht="15" hidden="false" customHeight="false" outlineLevel="0" collapsed="false">
      <c r="A4151" s="18" t="n">
        <f aca="false">'SALES Raw'!G4079</f>
        <v>4408148</v>
      </c>
      <c r="B4151" s="18" t="str">
        <f aca="false">'SALES Raw'!B4079</f>
        <v>11PS XL</v>
      </c>
      <c r="C4151" s="18" t="str">
        <f aca="false">'SALES Raw'!H4079</f>
        <v>11PS XLחגורה למנותחי בטן</v>
      </c>
      <c r="D4151" s="19" t="n">
        <f aca="false">'SALES Raw'!C4079</f>
        <v>0</v>
      </c>
      <c r="E4151" s="19" t="n">
        <f aca="false">'SALES Raw'!D4079</f>
        <v>0</v>
      </c>
      <c r="F4151" s="19" t="n">
        <f aca="false">'SALES Raw'!E4079*$H$4</f>
        <v>1.26315789473684</v>
      </c>
      <c r="G4151" s="19" t="n">
        <f aca="false">'SALES Raw'!F4079*$H$4</f>
        <v>67.3642105263158</v>
      </c>
      <c r="H4151" s="18" t="str">
        <f aca="false">'SALES Raw'!A4079</f>
        <v>213 - E.f.m.o. SPAIN</v>
      </c>
    </row>
    <row r="4152" customFormat="false" ht="15" hidden="false" customHeight="false" outlineLevel="0" collapsed="false">
      <c r="A4152" s="18" t="str">
        <f aca="false">'SALES Raw'!G4095</f>
        <v/>
      </c>
      <c r="B4152" s="18" t="str">
        <f aca="false">'SALES Raw'!B4095</f>
        <v>61BL-M</v>
      </c>
      <c r="C4152" s="18" t="str">
        <f aca="false">'SALES Raw'!H4095</f>
        <v>61BL-M</v>
      </c>
      <c r="D4152" s="19" t="n">
        <f aca="false">'SALES Raw'!C4095</f>
        <v>0</v>
      </c>
      <c r="E4152" s="19" t="n">
        <f aca="false">'SALES Raw'!D4095</f>
        <v>0</v>
      </c>
      <c r="F4152" s="19" t="n">
        <f aca="false">'SALES Raw'!E4095*$H$4</f>
        <v>1.26315789473684</v>
      </c>
      <c r="G4152" s="19" t="n">
        <f aca="false">'SALES Raw'!F4095*$H$4</f>
        <v>0.0378947368421053</v>
      </c>
      <c r="H4152" s="18" t="str">
        <f aca="false">'SALES Raw'!A4095</f>
        <v>213 - E.f.m.o. SPAIN</v>
      </c>
    </row>
    <row r="4153" customFormat="false" ht="15" hidden="false" customHeight="false" outlineLevel="0" collapsed="false">
      <c r="A4153" s="18" t="n">
        <f aca="false">'SALES Raw'!G4119</f>
        <v>4422006</v>
      </c>
      <c r="B4153" s="18" t="str">
        <f aca="false">'SALES Raw'!B4119</f>
        <v>T78 L</v>
      </c>
      <c r="C4153" s="18" t="str">
        <f aca="false">'SALES Raw'!H4119</f>
        <v>T78 L תומך זרוע וכתף</v>
      </c>
      <c r="D4153" s="19" t="n">
        <f aca="false">'SALES Raw'!C4119</f>
        <v>3</v>
      </c>
      <c r="E4153" s="19" t="n">
        <f aca="false">'SALES Raw'!D4119</f>
        <v>230.03</v>
      </c>
      <c r="F4153" s="19" t="n">
        <f aca="false">'SALES Raw'!E4119*$H$4</f>
        <v>1.26315789473684</v>
      </c>
      <c r="G4153" s="19" t="n">
        <f aca="false">'SALES Raw'!F4119*$H$4</f>
        <v>85.3136842105263</v>
      </c>
      <c r="H4153" s="18" t="str">
        <f aca="false">'SALES Raw'!A4119</f>
        <v>213 - E.f.m.o. SPAIN</v>
      </c>
    </row>
    <row r="4154" customFormat="false" ht="15" hidden="false" customHeight="false" outlineLevel="0" collapsed="false">
      <c r="A4154" s="18" t="n">
        <f aca="false">'SALES Raw'!G4292</f>
        <v>4408073</v>
      </c>
      <c r="B4154" s="18" t="str">
        <f aca="false">'SALES Raw'!B4292</f>
        <v>59D XL</v>
      </c>
      <c r="C4154" s="18" t="str">
        <f aca="false">'SALES Raw'!H4292</f>
        <v>59D XL חגורת שבר דו צדדי</v>
      </c>
      <c r="D4154" s="19" t="n">
        <f aca="false">'SALES Raw'!C4292</f>
        <v>0</v>
      </c>
      <c r="E4154" s="19" t="n">
        <f aca="false">'SALES Raw'!D4292</f>
        <v>0</v>
      </c>
      <c r="F4154" s="19" t="n">
        <f aca="false">'SALES Raw'!E4292*$H$4</f>
        <v>1.26315789473684</v>
      </c>
      <c r="G4154" s="19" t="n">
        <f aca="false">'SALES Raw'!F4292*$H$4</f>
        <v>98.3494736842105</v>
      </c>
      <c r="H4154" s="18" t="str">
        <f aca="false">'SALES Raw'!A4292</f>
        <v>216 - Max Konnaris CYPRUS</v>
      </c>
    </row>
    <row r="4155" customFormat="false" ht="15" hidden="false" customHeight="false" outlineLevel="0" collapsed="false">
      <c r="A4155" s="18" t="str">
        <f aca="false">'SALES Raw'!G4426</f>
        <v/>
      </c>
      <c r="B4155" s="18" t="str">
        <f aca="false">'SALES Raw'!B4426</f>
        <v>386</v>
      </c>
      <c r="C4155" s="18" t="str">
        <f aca="false">'SALES Raw'!H4426</f>
        <v>386</v>
      </c>
      <c r="D4155" s="19" t="n">
        <f aca="false">'SALES Raw'!C4426</f>
        <v>0</v>
      </c>
      <c r="E4155" s="19" t="n">
        <f aca="false">'SALES Raw'!D4426</f>
        <v>0</v>
      </c>
      <c r="F4155" s="19" t="n">
        <f aca="false">'SALES Raw'!E4426*$H$4</f>
        <v>1.26315789473684</v>
      </c>
      <c r="G4155" s="19" t="n">
        <f aca="false">'SALES Raw'!F4426*$H$4</f>
        <v>75.12</v>
      </c>
      <c r="H4155" s="18" t="str">
        <f aca="false">'SALES Raw'!A4426</f>
        <v>301 - Amazon</v>
      </c>
    </row>
    <row r="4156" customFormat="false" ht="15" hidden="false" customHeight="false" outlineLevel="0" collapsed="false">
      <c r="A4156" s="18" t="n">
        <f aca="false">'CEMIUP0.9 Raw'!B27</f>
        <v>4403020</v>
      </c>
      <c r="B4156" s="18" t="str">
        <f aca="false">'CEMIUP0.9 Raw'!C27</f>
        <v>394G גרב.כסף לסכרתים אפור35-38</v>
      </c>
      <c r="C4156" s="18" t="str">
        <f aca="false">'CEMIUP0.9 Raw'!C27</f>
        <v>394G גרב.כסף לסכרתים אפור35-38</v>
      </c>
      <c r="D4156" s="19" t="n">
        <f aca="false">'CEMIUP0.9 Raw'!D27</f>
        <v>17</v>
      </c>
      <c r="E4156" s="19" t="n">
        <f aca="false">'CEMIUP0.9 Raw'!E27</f>
        <v>387.842</v>
      </c>
      <c r="F4156" s="19" t="n">
        <f aca="false">'CEMIUP0.9 Raw'!F27</f>
        <v>1.26315789473684</v>
      </c>
      <c r="G4156" s="19" t="n">
        <f aca="false">'CEMIUP0.9 Raw'!G27</f>
        <v>35.4694736842105</v>
      </c>
      <c r="H4156" s="18" t="str">
        <f aca="false">'CEMIUP0.9 Raw'!A27</f>
        <v>107 - Pharmacies</v>
      </c>
    </row>
    <row r="4157" customFormat="false" ht="15" hidden="false" customHeight="false" outlineLevel="0" collapsed="false">
      <c r="A4157" s="18" t="n">
        <f aca="false">'CEMIUP0.9 Raw'!B29</f>
        <v>4403022</v>
      </c>
      <c r="B4157" s="18" t="str">
        <f aca="false">'CEMIUP0.9 Raw'!C29</f>
        <v>394G גרב.כסף לסכרתים אפור43-46</v>
      </c>
      <c r="C4157" s="18" t="str">
        <f aca="false">'CEMIUP0.9 Raw'!C29</f>
        <v>394G גרב.כסף לסכרתים אפור43-46</v>
      </c>
      <c r="D4157" s="19" t="n">
        <f aca="false">'CEMIUP0.9 Raw'!D29</f>
        <v>46</v>
      </c>
      <c r="E4157" s="19" t="n">
        <f aca="false">'CEMIUP0.9 Raw'!E29</f>
        <v>1088.748</v>
      </c>
      <c r="F4157" s="19" t="n">
        <f aca="false">'CEMIUP0.9 Raw'!F29</f>
        <v>1.26315789473684</v>
      </c>
      <c r="G4157" s="19" t="n">
        <f aca="false">'CEMIUP0.9 Raw'!G29</f>
        <v>35.4694736842105</v>
      </c>
      <c r="H4157" s="18" t="str">
        <f aca="false">'CEMIUP0.9 Raw'!A29</f>
        <v>107 - Pharmacies</v>
      </c>
    </row>
    <row r="4158" customFormat="false" ht="15" hidden="false" customHeight="false" outlineLevel="0" collapsed="false">
      <c r="A4158" s="18" t="n">
        <f aca="false">'CEMIUP0.9 Raw'!B37</f>
        <v>4403035</v>
      </c>
      <c r="B4158" s="18" t="str">
        <f aca="false">'CEMIUP0.9 Raw'!C37</f>
        <v>ST3555L-XLגרב לילה לטיפ.בדורבן</v>
      </c>
      <c r="C4158" s="18" t="str">
        <f aca="false">'CEMIUP0.9 Raw'!C37</f>
        <v>ST3555L-XLגרב לילה לטיפ.בדורבן</v>
      </c>
      <c r="D4158" s="19" t="n">
        <f aca="false">'CEMIUP0.9 Raw'!D37</f>
        <v>11</v>
      </c>
      <c r="E4158" s="19" t="n">
        <f aca="false">'CEMIUP0.9 Raw'!E37</f>
        <v>702.32</v>
      </c>
      <c r="F4158" s="19" t="n">
        <f aca="false">'CEMIUP0.9 Raw'!F37</f>
        <v>1.26315789473684</v>
      </c>
      <c r="G4158" s="19" t="n">
        <f aca="false">'CEMIUP0.9 Raw'!G37</f>
        <v>106.096421052632</v>
      </c>
      <c r="H4158" s="18" t="str">
        <f aca="false">'CEMIUP0.9 Raw'!A37</f>
        <v>107 - Pharmacies</v>
      </c>
    </row>
    <row r="4159" customFormat="false" ht="15" hidden="false" customHeight="false" outlineLevel="0" collapsed="false">
      <c r="A4159" s="18" t="n">
        <f aca="false">'CEMIUP0.9 Raw'!B48</f>
        <v>4408010</v>
      </c>
      <c r="B4159" s="18" t="str">
        <f aca="false">'CEMIUP0.9 Raw'!C48</f>
        <v>079 L ח.גב סג.כפולה שחור+אדום</v>
      </c>
      <c r="C4159" s="18" t="str">
        <f aca="false">'CEMIUP0.9 Raw'!C48</f>
        <v>079 L ח.גב סג.כפולה שחור+אדום</v>
      </c>
      <c r="D4159" s="19" t="n">
        <f aca="false">'CEMIUP0.9 Raw'!D48</f>
        <v>2</v>
      </c>
      <c r="E4159" s="19" t="n">
        <f aca="false">'CEMIUP0.9 Raw'!E48</f>
        <v>178.087</v>
      </c>
      <c r="F4159" s="19" t="n">
        <f aca="false">'CEMIUP0.9 Raw'!F48</f>
        <v>1.26315789473684</v>
      </c>
      <c r="G4159" s="19" t="n">
        <f aca="false">'CEMIUP0.9 Raw'!G48</f>
        <v>116.671578947368</v>
      </c>
      <c r="H4159" s="18" t="str">
        <f aca="false">'CEMIUP0.9 Raw'!A48</f>
        <v>107 - Pharmacies</v>
      </c>
    </row>
    <row r="4160" customFormat="false" ht="15" hidden="false" customHeight="false" outlineLevel="0" collapsed="false">
      <c r="A4160" s="18" t="n">
        <f aca="false">'CEMIUP0.9 Raw'!B50</f>
        <v>4408012</v>
      </c>
      <c r="B4160" s="18" t="str">
        <f aca="false">'CEMIUP0.9 Raw'!C50</f>
        <v>079 XL ח.גב סג.כפולה שחור+אדום</v>
      </c>
      <c r="C4160" s="18" t="str">
        <f aca="false">'CEMIUP0.9 Raw'!C50</f>
        <v>079 XL ח.גב סג.כפולה שחור+אדום</v>
      </c>
      <c r="D4160" s="19" t="n">
        <f aca="false">'CEMIUP0.9 Raw'!D50</f>
        <v>7</v>
      </c>
      <c r="E4160" s="19" t="n">
        <f aca="false">'CEMIUP0.9 Raw'!E50</f>
        <v>655.382</v>
      </c>
      <c r="F4160" s="19" t="n">
        <f aca="false">'CEMIUP0.9 Raw'!F50</f>
        <v>1.26315789473684</v>
      </c>
      <c r="G4160" s="19" t="n">
        <f aca="false">'CEMIUP0.9 Raw'!G50</f>
        <v>124.947789473684</v>
      </c>
      <c r="H4160" s="18" t="str">
        <f aca="false">'CEMIUP0.9 Raw'!A50</f>
        <v>107 - Pharmacies</v>
      </c>
    </row>
    <row r="4161" customFormat="false" ht="15" hidden="false" customHeight="false" outlineLevel="0" collapsed="false">
      <c r="A4161" s="18" t="n">
        <f aca="false">'CEMIUP0.9 Raw'!B52</f>
        <v>4408014</v>
      </c>
      <c r="B4161" s="18" t="str">
        <f aca="false">'CEMIUP0.9 Raw'!C52</f>
        <v>07AU S ח.גב ""איטלקית"" אורירית</v>
      </c>
      <c r="C4161" s="18" t="str">
        <f aca="false">'CEMIUP0.9 Raw'!C52</f>
        <v>07AU S ח.גב ""איטלקית"" אורירית</v>
      </c>
      <c r="D4161" s="19" t="n">
        <f aca="false">'CEMIUP0.9 Raw'!D52</f>
        <v>1</v>
      </c>
      <c r="E4161" s="19" t="n">
        <f aca="false">'CEMIUP0.9 Raw'!E52</f>
        <v>238.784</v>
      </c>
      <c r="F4161" s="19" t="n">
        <f aca="false">'CEMIUP0.9 Raw'!F52</f>
        <v>1.26315789473684</v>
      </c>
      <c r="G4161" s="19" t="n">
        <f aca="false">'CEMIUP0.9 Raw'!G52</f>
        <v>301.621894736842</v>
      </c>
      <c r="H4161" s="18" t="str">
        <f aca="false">'CEMIUP0.9 Raw'!A52</f>
        <v>107 - Pharmacies</v>
      </c>
    </row>
    <row r="4162" customFormat="false" ht="15" hidden="false" customHeight="false" outlineLevel="0" collapsed="false">
      <c r="A4162" s="18" t="n">
        <f aca="false">'CEMIUP0.9 Raw'!B62</f>
        <v>4408030</v>
      </c>
      <c r="B4162" s="18" t="str">
        <f aca="false">'CEMIUP0.9 Raw'!C62</f>
        <v>10 XXL""חגורת גב ""לומבו</v>
      </c>
      <c r="C4162" s="18" t="str">
        <f aca="false">'CEMIUP0.9 Raw'!C62</f>
        <v>10 XXL""חגורת גב ""לומבו</v>
      </c>
      <c r="D4162" s="19" t="n">
        <f aca="false">'CEMIUP0.9 Raw'!D62</f>
        <v>1</v>
      </c>
      <c r="E4162" s="19" t="n">
        <f aca="false">'CEMIUP0.9 Raw'!E62</f>
        <v>132.132</v>
      </c>
      <c r="F4162" s="19" t="n">
        <f aca="false">'CEMIUP0.9 Raw'!F62</f>
        <v>1.26315789473684</v>
      </c>
      <c r="G4162" s="19" t="n">
        <f aca="false">'CEMIUP0.9 Raw'!G62</f>
        <v>170.581894736842</v>
      </c>
      <c r="H4162" s="18" t="str">
        <f aca="false">'CEMIUP0.9 Raw'!A62</f>
        <v>107 - Pharmacies</v>
      </c>
    </row>
    <row r="4163" customFormat="false" ht="15" hidden="false" customHeight="false" outlineLevel="0" collapsed="false">
      <c r="A4163" s="18" t="n">
        <f aca="false">'CEMIUP0.9 Raw'!B90</f>
        <v>4408075</v>
      </c>
      <c r="B4163" s="18" t="str">
        <f aca="false">'CEMIUP0.9 Raw'!C90</f>
        <v>59L S חגורת שבר לצד שמאל</v>
      </c>
      <c r="C4163" s="18" t="str">
        <f aca="false">'CEMIUP0.9 Raw'!C90</f>
        <v>59L S חגורת שבר לצד שמאל</v>
      </c>
      <c r="D4163" s="19" t="n">
        <f aca="false">'CEMIUP0.9 Raw'!D90</f>
        <v>1</v>
      </c>
      <c r="E4163" s="19" t="n">
        <f aca="false">'CEMIUP0.9 Raw'!E90</f>
        <v>187.45</v>
      </c>
      <c r="F4163" s="19" t="n">
        <f aca="false">'CEMIUP0.9 Raw'!F90</f>
        <v>1.26315789473684</v>
      </c>
      <c r="G4163" s="19" t="n">
        <f aca="false">'CEMIUP0.9 Raw'!G90</f>
        <v>215.411368421053</v>
      </c>
      <c r="H4163" s="18" t="str">
        <f aca="false">'CEMIUP0.9 Raw'!A90</f>
        <v>107 - Pharmacies</v>
      </c>
    </row>
    <row r="4164" customFormat="false" ht="15" hidden="false" customHeight="false" outlineLevel="0" collapsed="false">
      <c r="A4164" s="18" t="n">
        <f aca="false">'CEMIUP0.9 Raw'!B93</f>
        <v>4408078</v>
      </c>
      <c r="B4164" s="18" t="str">
        <f aca="false">'CEMIUP0.9 Raw'!C93</f>
        <v>59L XLחגורת שבר לצד שמאל</v>
      </c>
      <c r="C4164" s="18" t="str">
        <f aca="false">'CEMIUP0.9 Raw'!C93</f>
        <v>59L XLחגורת שבר לצד שמאל</v>
      </c>
      <c r="D4164" s="19" t="n">
        <f aca="false">'CEMIUP0.9 Raw'!D93</f>
        <v>2</v>
      </c>
      <c r="E4164" s="19" t="n">
        <f aca="false">'CEMIUP0.9 Raw'!E93</f>
        <v>371.77</v>
      </c>
      <c r="F4164" s="19" t="n">
        <f aca="false">'CEMIUP0.9 Raw'!F93</f>
        <v>1.26315789473684</v>
      </c>
      <c r="G4164" s="19" t="n">
        <f aca="false">'CEMIUP0.9 Raw'!G93</f>
        <v>215.411368421053</v>
      </c>
      <c r="H4164" s="18" t="str">
        <f aca="false">'CEMIUP0.9 Raw'!A93</f>
        <v>107 - Pharmacies</v>
      </c>
    </row>
    <row r="4165" customFormat="false" ht="15" hidden="false" customHeight="false" outlineLevel="0" collapsed="false">
      <c r="A4165" s="18" t="n">
        <f aca="false">'CEMIUP0.9 Raw'!B100</f>
        <v>4408087</v>
      </c>
      <c r="B4165" s="18" t="str">
        <f aca="false">'CEMIUP0.9 Raw'!C100</f>
        <v>922XLחבק יד לטניס כרית סיליק</v>
      </c>
      <c r="C4165" s="18" t="str">
        <f aca="false">'CEMIUP0.9 Raw'!C100</f>
        <v>922XLחבק יד לטניס כרית סיליק</v>
      </c>
      <c r="D4165" s="19" t="n">
        <f aca="false">'CEMIUP0.9 Raw'!D100</f>
        <v>1</v>
      </c>
      <c r="E4165" s="19" t="n">
        <f aca="false">'CEMIUP0.9 Raw'!E100</f>
        <v>89</v>
      </c>
      <c r="F4165" s="19" t="n">
        <f aca="false">'CEMIUP0.9 Raw'!F100</f>
        <v>1.26315789473684</v>
      </c>
      <c r="G4165" s="19" t="n">
        <f aca="false">'CEMIUP0.9 Raw'!G100</f>
        <v>163.225263157895</v>
      </c>
      <c r="H4165" s="18" t="str">
        <f aca="false">'CEMIUP0.9 Raw'!A100</f>
        <v>107 - Pharmacies</v>
      </c>
    </row>
    <row r="4166" customFormat="false" ht="15" hidden="false" customHeight="false" outlineLevel="0" collapsed="false">
      <c r="A4166" s="18" t="n">
        <f aca="false">'CEMIUP0.9 Raw'!B102</f>
        <v>4408089</v>
      </c>
      <c r="B4166" s="18" t="str">
        <f aca="false">'CEMIUP0.9 Raw'!C102</f>
        <v>T11C S  חגורת גב פוג'יאמה</v>
      </c>
      <c r="C4166" s="18" t="str">
        <f aca="false">'CEMIUP0.9 Raw'!C102</f>
        <v>T11C S  חגורת גב פוג'יאמה</v>
      </c>
      <c r="D4166" s="19" t="n">
        <f aca="false">'CEMIUP0.9 Raw'!D102</f>
        <v>0</v>
      </c>
      <c r="E4166" s="19" t="n">
        <f aca="false">'CEMIUP0.9 Raw'!E102</f>
        <v>0</v>
      </c>
      <c r="F4166" s="19" t="n">
        <f aca="false">'CEMIUP0.9 Raw'!F102</f>
        <v>1.26315789473684</v>
      </c>
      <c r="G4166" s="19" t="n">
        <f aca="false">'CEMIUP0.9 Raw'!G102</f>
        <v>123.453473684211</v>
      </c>
      <c r="H4166" s="18" t="str">
        <f aca="false">'CEMIUP0.9 Raw'!A102</f>
        <v>107 - Pharmacies</v>
      </c>
    </row>
    <row r="4167" customFormat="false" ht="15" hidden="false" customHeight="false" outlineLevel="0" collapsed="false">
      <c r="A4167" s="18" t="n">
        <f aca="false">'CEMIUP0.9 Raw'!B115</f>
        <v>4408113</v>
      </c>
      <c r="B4167" s="18" t="str">
        <f aca="false">'CEMIUP0.9 Raw'!C115</f>
        <v>11EU S ח.בטן לאחר ניתוח</v>
      </c>
      <c r="C4167" s="18" t="str">
        <f aca="false">'CEMIUP0.9 Raw'!C115</f>
        <v>11EU S ח.בטן לאחר ניתוח</v>
      </c>
      <c r="D4167" s="19" t="n">
        <f aca="false">'CEMIUP0.9 Raw'!D115</f>
        <v>3</v>
      </c>
      <c r="E4167" s="19" t="n">
        <f aca="false">'CEMIUP0.9 Raw'!E115</f>
        <v>295.022</v>
      </c>
      <c r="F4167" s="19" t="n">
        <f aca="false">'CEMIUP0.9 Raw'!F115</f>
        <v>1.26315789473684</v>
      </c>
      <c r="G4167" s="19" t="n">
        <f aca="false">'CEMIUP0.9 Raw'!G115</f>
        <v>118.165894736842</v>
      </c>
      <c r="H4167" s="18" t="str">
        <f aca="false">'CEMIUP0.9 Raw'!A115</f>
        <v>107 - Pharmacies</v>
      </c>
    </row>
    <row r="4168" customFormat="false" ht="15" hidden="false" customHeight="false" outlineLevel="0" collapsed="false">
      <c r="A4168" s="18" t="n">
        <f aca="false">'CEMIUP0.9 Raw'!B119</f>
        <v>4408119</v>
      </c>
      <c r="B4168" s="18" t="str">
        <f aca="false">'CEMIUP0.9 Raw'!C119</f>
        <v>06U L ח.בטן מותנית צר</v>
      </c>
      <c r="C4168" s="18" t="str">
        <f aca="false">'CEMIUP0.9 Raw'!C119</f>
        <v>06U L ח.בטן מותנית צר</v>
      </c>
      <c r="D4168" s="19" t="n">
        <f aca="false">'CEMIUP0.9 Raw'!D119</f>
        <v>3</v>
      </c>
      <c r="E4168" s="19" t="n">
        <f aca="false">'CEMIUP0.9 Raw'!E119</f>
        <v>354.801</v>
      </c>
      <c r="F4168" s="19" t="n">
        <f aca="false">'CEMIUP0.9 Raw'!F119</f>
        <v>1.26315789473684</v>
      </c>
      <c r="G4168" s="19" t="n">
        <f aca="false">'CEMIUP0.9 Raw'!G119</f>
        <v>161.616</v>
      </c>
      <c r="H4168" s="18" t="str">
        <f aca="false">'CEMIUP0.9 Raw'!A119</f>
        <v>107 - Pharmacies</v>
      </c>
    </row>
    <row r="4169" customFormat="false" ht="15" hidden="false" customHeight="false" outlineLevel="0" collapsed="false">
      <c r="A4169" s="18" t="n">
        <f aca="false">'CEMIUP0.9 Raw'!B120</f>
        <v>4408120</v>
      </c>
      <c r="B4169" s="18" t="str">
        <f aca="false">'CEMIUP0.9 Raw'!C120</f>
        <v>06U XL ח.בטן מותנית צר</v>
      </c>
      <c r="C4169" s="18" t="str">
        <f aca="false">'CEMIUP0.9 Raw'!C120</f>
        <v>06U XL ח.בטן מותנית צר</v>
      </c>
      <c r="D4169" s="19" t="n">
        <f aca="false">'CEMIUP0.9 Raw'!D120</f>
        <v>3</v>
      </c>
      <c r="E4169" s="19" t="n">
        <f aca="false">'CEMIUP0.9 Raw'!E120</f>
        <v>354.791</v>
      </c>
      <c r="F4169" s="19" t="n">
        <f aca="false">'CEMIUP0.9 Raw'!F120</f>
        <v>1.26315789473684</v>
      </c>
      <c r="G4169" s="19" t="n">
        <f aca="false">'CEMIUP0.9 Raw'!G120</f>
        <v>129.315789473684</v>
      </c>
      <c r="H4169" s="18" t="str">
        <f aca="false">'CEMIUP0.9 Raw'!A120</f>
        <v>107 - Pharmacies</v>
      </c>
    </row>
    <row r="4170" customFormat="false" ht="15" hidden="false" customHeight="false" outlineLevel="0" collapsed="false">
      <c r="A4170" s="18" t="n">
        <f aca="false">'CEMIUP0.9 Raw'!B125</f>
        <v>4408131</v>
      </c>
      <c r="B4170" s="18" t="str">
        <f aca="false">'CEMIUP0.9 Raw'!C125</f>
        <v>15W L חגורת צלעות לאשה</v>
      </c>
      <c r="C4170" s="18" t="str">
        <f aca="false">'CEMIUP0.9 Raw'!C125</f>
        <v>15W L חגורת צלעות לאשה</v>
      </c>
      <c r="D4170" s="19" t="n">
        <f aca="false">'CEMIUP0.9 Raw'!D125</f>
        <v>1</v>
      </c>
      <c r="E4170" s="19" t="n">
        <f aca="false">'CEMIUP0.9 Raw'!E125</f>
        <v>132.32</v>
      </c>
      <c r="F4170" s="19" t="n">
        <f aca="false">'CEMIUP0.9 Raw'!F125</f>
        <v>1.26315789473684</v>
      </c>
      <c r="G4170" s="19" t="n">
        <f aca="false">'CEMIUP0.9 Raw'!G125</f>
        <v>161.616</v>
      </c>
      <c r="H4170" s="18" t="str">
        <f aca="false">'CEMIUP0.9 Raw'!A125</f>
        <v>107 - Pharmacies</v>
      </c>
    </row>
    <row r="4171" customFormat="false" ht="15" hidden="false" customHeight="false" outlineLevel="0" collapsed="false">
      <c r="A4171" s="18" t="n">
        <f aca="false">'CEMIUP0.9 Raw'!B135</f>
        <v>4408149</v>
      </c>
      <c r="B4171" s="18" t="str">
        <f aca="false">'CEMIUP0.9 Raw'!C135</f>
        <v>11PS XXLחגורה למנותחי בטן</v>
      </c>
      <c r="C4171" s="18" t="str">
        <f aca="false">'CEMIUP0.9 Raw'!C135</f>
        <v>11PS XXLחגורה למנותחי בטן</v>
      </c>
      <c r="D4171" s="19" t="n">
        <f aca="false">'CEMIUP0.9 Raw'!D135</f>
        <v>3</v>
      </c>
      <c r="E4171" s="19" t="n">
        <f aca="false">'CEMIUP0.9 Raw'!E135</f>
        <v>383.218</v>
      </c>
      <c r="F4171" s="19" t="n">
        <f aca="false">'CEMIUP0.9 Raw'!F135</f>
        <v>1.26315789473684</v>
      </c>
      <c r="G4171" s="19" t="n">
        <f aca="false">'CEMIUP0.9 Raw'!G135</f>
        <v>156.213473684211</v>
      </c>
      <c r="H4171" s="18" t="str">
        <f aca="false">'CEMIUP0.9 Raw'!A135</f>
        <v>107 - Pharmacies</v>
      </c>
    </row>
    <row r="4172" customFormat="false" ht="15" hidden="false" customHeight="false" outlineLevel="0" collapsed="false">
      <c r="A4172" s="18" t="n">
        <f aca="false">'CEMIUP0.9 Raw'!B145</f>
        <v>4408180</v>
      </c>
      <c r="B4172" s="18" t="str">
        <f aca="false">'CEMIUP0.9 Raw'!C145</f>
        <v>13 XXL חגורה לשבר טבור</v>
      </c>
      <c r="C4172" s="18" t="str">
        <f aca="false">'CEMIUP0.9 Raw'!C145</f>
        <v>13 XXL חגורה לשבר טבור</v>
      </c>
      <c r="D4172" s="19" t="n">
        <f aca="false">'CEMIUP0.9 Raw'!D145</f>
        <v>3</v>
      </c>
      <c r="E4172" s="19" t="n">
        <f aca="false">'CEMIUP0.9 Raw'!E145</f>
        <v>390.481</v>
      </c>
      <c r="F4172" s="19" t="n">
        <f aca="false">'CEMIUP0.9 Raw'!F145</f>
        <v>1.26315789473684</v>
      </c>
      <c r="G4172" s="19" t="n">
        <f aca="false">'CEMIUP0.9 Raw'!G145</f>
        <v>180.467368421053</v>
      </c>
      <c r="H4172" s="18" t="str">
        <f aca="false">'CEMIUP0.9 Raw'!A145</f>
        <v>107 - Pharmacies</v>
      </c>
    </row>
    <row r="4173" customFormat="false" ht="15" hidden="false" customHeight="false" outlineLevel="0" collapsed="false">
      <c r="A4173" s="18" t="n">
        <f aca="false">'CEMIUP0.9 Raw'!B168</f>
        <v>4408235</v>
      </c>
      <c r="B4173" s="18" t="str">
        <f aca="false">'CEMIUP0.9 Raw'!C168</f>
        <v>078C S'חגורת גב+סגירה כפו בז</v>
      </c>
      <c r="C4173" s="18" t="str">
        <f aca="false">'CEMIUP0.9 Raw'!C168</f>
        <v>078C S'חגורת גב+סגירה כפו בז</v>
      </c>
      <c r="D4173" s="19" t="n">
        <f aca="false">'CEMIUP0.9 Raw'!D168</f>
        <v>0</v>
      </c>
      <c r="E4173" s="19" t="n">
        <f aca="false">'CEMIUP0.9 Raw'!E168</f>
        <v>0</v>
      </c>
      <c r="F4173" s="19" t="n">
        <f aca="false">'CEMIUP0.9 Raw'!F168</f>
        <v>1.26315789473684</v>
      </c>
      <c r="G4173" s="19" t="n">
        <f aca="false">'CEMIUP0.9 Raw'!G168</f>
        <v>127.591578947368</v>
      </c>
      <c r="H4173" s="18" t="str">
        <f aca="false">'CEMIUP0.9 Raw'!A168</f>
        <v>107 - Pharmacies</v>
      </c>
    </row>
    <row r="4174" customFormat="false" ht="15" hidden="false" customHeight="false" outlineLevel="0" collapsed="false">
      <c r="A4174" s="18" t="n">
        <f aca="false">'CEMIUP0.9 Raw'!B183</f>
        <v>4408272</v>
      </c>
      <c r="B4174" s="18" t="str">
        <f aca="false">'CEMIUP0.9 Raw'!C183</f>
        <v>70N S חגורת פאבליק</v>
      </c>
      <c r="C4174" s="18" t="str">
        <f aca="false">'CEMIUP0.9 Raw'!C183</f>
        <v>70N S חגורת פאבליק</v>
      </c>
      <c r="D4174" s="19" t="n">
        <f aca="false">'CEMIUP0.9 Raw'!D183</f>
        <v>0</v>
      </c>
      <c r="E4174" s="19" t="n">
        <f aca="false">'CEMIUP0.9 Raw'!E183</f>
        <v>0</v>
      </c>
      <c r="F4174" s="19" t="n">
        <f aca="false">'CEMIUP0.9 Raw'!F183</f>
        <v>1.26315789473684</v>
      </c>
      <c r="G4174" s="19" t="n">
        <f aca="false">'CEMIUP0.9 Raw'!G183</f>
        <v>371.739789473684</v>
      </c>
      <c r="H4174" s="18" t="str">
        <f aca="false">'CEMIUP0.9 Raw'!A183</f>
        <v>107 - Pharmacies</v>
      </c>
    </row>
    <row r="4175" customFormat="false" ht="15" hidden="false" customHeight="false" outlineLevel="0" collapsed="false">
      <c r="A4175" s="18" t="n">
        <f aca="false">'CEMIUP0.9 Raw'!B184</f>
        <v>4408273</v>
      </c>
      <c r="B4175" s="18" t="str">
        <f aca="false">'CEMIUP0.9 Raw'!C184</f>
        <v>70N M חגורת פאבליק</v>
      </c>
      <c r="C4175" s="18" t="str">
        <f aca="false">'CEMIUP0.9 Raw'!C184</f>
        <v>70N M חגורת פאבליק</v>
      </c>
      <c r="D4175" s="19" t="n">
        <f aca="false">'CEMIUP0.9 Raw'!D184</f>
        <v>0</v>
      </c>
      <c r="E4175" s="19" t="n">
        <f aca="false">'CEMIUP0.9 Raw'!E184</f>
        <v>0</v>
      </c>
      <c r="F4175" s="19" t="n">
        <f aca="false">'CEMIUP0.9 Raw'!F184</f>
        <v>1.26315789473684</v>
      </c>
      <c r="G4175" s="19" t="n">
        <f aca="false">'CEMIUP0.9 Raw'!G184</f>
        <v>371.739789473684</v>
      </c>
      <c r="H4175" s="18" t="str">
        <f aca="false">'CEMIUP0.9 Raw'!A184</f>
        <v>107 - Pharmacies</v>
      </c>
    </row>
    <row r="4176" customFormat="false" ht="15" hidden="false" customHeight="false" outlineLevel="0" collapsed="false">
      <c r="A4176" s="18" t="n">
        <f aca="false">'CEMIUP0.9 Raw'!B185</f>
        <v>4408274</v>
      </c>
      <c r="B4176" s="18" t="str">
        <f aca="false">'CEMIUP0.9 Raw'!C185</f>
        <v>70N L חגורת פאבליק</v>
      </c>
      <c r="C4176" s="18" t="str">
        <f aca="false">'CEMIUP0.9 Raw'!C185</f>
        <v>70N L חגורת פאבליק</v>
      </c>
      <c r="D4176" s="19" t="n">
        <f aca="false">'CEMIUP0.9 Raw'!D185</f>
        <v>0</v>
      </c>
      <c r="E4176" s="19" t="n">
        <f aca="false">'CEMIUP0.9 Raw'!E185</f>
        <v>0</v>
      </c>
      <c r="F4176" s="19" t="n">
        <f aca="false">'CEMIUP0.9 Raw'!F185</f>
        <v>1.26315789473684</v>
      </c>
      <c r="G4176" s="19" t="n">
        <f aca="false">'CEMIUP0.9 Raw'!G185</f>
        <v>371.739789473684</v>
      </c>
      <c r="H4176" s="18" t="str">
        <f aca="false">'CEMIUP0.9 Raw'!A185</f>
        <v>107 - Pharmacies</v>
      </c>
    </row>
    <row r="4177" customFormat="false" ht="15" hidden="false" customHeight="false" outlineLevel="0" collapsed="false">
      <c r="A4177" s="18" t="n">
        <f aca="false">'CEMIUP0.9 Raw'!B212</f>
        <v>4411027</v>
      </c>
      <c r="B4177" s="18" t="str">
        <f aca="false">'CEMIUP0.9 Raw'!C212</f>
        <v>213CTSL M שמאל CTS כפפות</v>
      </c>
      <c r="C4177" s="18" t="str">
        <f aca="false">'CEMIUP0.9 Raw'!C212</f>
        <v>213CTSL M שמאל CTS כפפות</v>
      </c>
      <c r="D4177" s="19" t="n">
        <f aca="false">'CEMIUP0.9 Raw'!D212</f>
        <v>0</v>
      </c>
      <c r="E4177" s="19" t="n">
        <f aca="false">'CEMIUP0.9 Raw'!E212</f>
        <v>0</v>
      </c>
      <c r="F4177" s="19" t="n">
        <f aca="false">'CEMIUP0.9 Raw'!F212</f>
        <v>1.26315789473684</v>
      </c>
      <c r="G4177" s="19" t="n">
        <f aca="false">'CEMIUP0.9 Raw'!G212</f>
        <v>134.603368421053</v>
      </c>
      <c r="H4177" s="18" t="str">
        <f aca="false">'CEMIUP0.9 Raw'!A212</f>
        <v>107 - Pharmacies</v>
      </c>
    </row>
    <row r="4178" customFormat="false" ht="15" hidden="false" customHeight="false" outlineLevel="0" collapsed="false">
      <c r="A4178" s="18" t="n">
        <f aca="false">'CEMIUP0.9 Raw'!B213</f>
        <v>4411028</v>
      </c>
      <c r="B4178" s="18" t="str">
        <f aca="false">'CEMIUP0.9 Raw'!C213</f>
        <v>213CTSL S שמאל CTS כפפות</v>
      </c>
      <c r="C4178" s="18" t="str">
        <f aca="false">'CEMIUP0.9 Raw'!C213</f>
        <v>213CTSL S שמאל CTS כפפות</v>
      </c>
      <c r="D4178" s="19" t="n">
        <f aca="false">'CEMIUP0.9 Raw'!D213</f>
        <v>0</v>
      </c>
      <c r="E4178" s="19" t="n">
        <f aca="false">'CEMIUP0.9 Raw'!E213</f>
        <v>0</v>
      </c>
      <c r="F4178" s="19" t="n">
        <f aca="false">'CEMIUP0.9 Raw'!F213</f>
        <v>1.26315789473684</v>
      </c>
      <c r="G4178" s="19" t="n">
        <f aca="false">'CEMIUP0.9 Raw'!G213</f>
        <v>134.603368421053</v>
      </c>
      <c r="H4178" s="18" t="str">
        <f aca="false">'CEMIUP0.9 Raw'!A213</f>
        <v>107 - Pharmacies</v>
      </c>
    </row>
    <row r="4179" customFormat="false" ht="15" hidden="false" customHeight="false" outlineLevel="0" collapsed="false">
      <c r="A4179" s="18" t="n">
        <f aca="false">'CEMIUP0.9 Raw'!B214</f>
        <v>4411029</v>
      </c>
      <c r="B4179" s="18" t="str">
        <f aca="false">'CEMIUP0.9 Raw'!C214</f>
        <v>213CTSR L ימין CTS כפפות</v>
      </c>
      <c r="C4179" s="18" t="str">
        <f aca="false">'CEMIUP0.9 Raw'!C214</f>
        <v>213CTSR L ימין CTS כפפות</v>
      </c>
      <c r="D4179" s="19" t="n">
        <f aca="false">'CEMIUP0.9 Raw'!D214</f>
        <v>0</v>
      </c>
      <c r="E4179" s="19" t="n">
        <f aca="false">'CEMIUP0.9 Raw'!E214</f>
        <v>0</v>
      </c>
      <c r="F4179" s="19" t="n">
        <f aca="false">'CEMIUP0.9 Raw'!F214</f>
        <v>1.26315789473684</v>
      </c>
      <c r="G4179" s="19" t="n">
        <f aca="false">'CEMIUP0.9 Raw'!G214</f>
        <v>134.603368421053</v>
      </c>
      <c r="H4179" s="18" t="str">
        <f aca="false">'CEMIUP0.9 Raw'!A214</f>
        <v>107 - Pharmacies</v>
      </c>
    </row>
    <row r="4180" customFormat="false" ht="15" hidden="false" customHeight="false" outlineLevel="0" collapsed="false">
      <c r="A4180" s="18" t="n">
        <f aca="false">'CEMIUP0.9 Raw'!B215</f>
        <v>4411030</v>
      </c>
      <c r="B4180" s="18" t="str">
        <f aca="false">'CEMIUP0.9 Raw'!C215</f>
        <v>213CTSR M ימין CTS כפפות</v>
      </c>
      <c r="C4180" s="18" t="str">
        <f aca="false">'CEMIUP0.9 Raw'!C215</f>
        <v>213CTSR M ימין CTS כפפות</v>
      </c>
      <c r="D4180" s="19" t="n">
        <f aca="false">'CEMIUP0.9 Raw'!D215</f>
        <v>0</v>
      </c>
      <c r="E4180" s="19" t="n">
        <f aca="false">'CEMIUP0.9 Raw'!E215</f>
        <v>0</v>
      </c>
      <c r="F4180" s="19" t="n">
        <f aca="false">'CEMIUP0.9 Raw'!F215</f>
        <v>1.26315789473684</v>
      </c>
      <c r="G4180" s="19" t="n">
        <f aca="false">'CEMIUP0.9 Raw'!G215</f>
        <v>134.603368421053</v>
      </c>
      <c r="H4180" s="18" t="str">
        <f aca="false">'CEMIUP0.9 Raw'!A215</f>
        <v>107 - Pharmacies</v>
      </c>
    </row>
    <row r="4181" customFormat="false" ht="15" hidden="false" customHeight="false" outlineLevel="0" collapsed="false">
      <c r="A4181" s="18" t="n">
        <f aca="false">'CEMIUP0.9 Raw'!B258</f>
        <v>4413077</v>
      </c>
      <c r="B4181" s="18" t="str">
        <f aca="false">'CEMIUP0.9 Raw'!C258</f>
        <v>41X M מגן ברך מוצלב+מוט</v>
      </c>
      <c r="C4181" s="18" t="str">
        <f aca="false">'CEMIUP0.9 Raw'!C258</f>
        <v>41X M מגן ברך מוצלב+מוט</v>
      </c>
      <c r="D4181" s="19" t="n">
        <f aca="false">'CEMIUP0.9 Raw'!D258</f>
        <v>0</v>
      </c>
      <c r="E4181" s="19" t="n">
        <f aca="false">'CEMIUP0.9 Raw'!E258</f>
        <v>0</v>
      </c>
      <c r="F4181" s="19" t="n">
        <f aca="false">'CEMIUP0.9 Raw'!F258</f>
        <v>1.26315789473684</v>
      </c>
      <c r="G4181" s="19" t="n">
        <f aca="false">'CEMIUP0.9 Raw'!G258</f>
        <v>156.213473684211</v>
      </c>
      <c r="H4181" s="18" t="str">
        <f aca="false">'CEMIUP0.9 Raw'!A258</f>
        <v>107 - Pharmacies</v>
      </c>
    </row>
    <row r="4182" customFormat="false" ht="15" hidden="false" customHeight="false" outlineLevel="0" collapsed="false">
      <c r="A4182" s="18" t="n">
        <f aca="false">'CEMIUP0.9 Raw'!B279</f>
        <v>4413106</v>
      </c>
      <c r="B4182" s="18" t="str">
        <f aca="false">'CEMIUP0.9 Raw'!C279</f>
        <v>48 S מגן ברך מחמם</v>
      </c>
      <c r="C4182" s="18" t="str">
        <f aca="false">'CEMIUP0.9 Raw'!C279</f>
        <v>48 S מגן ברך מחמם</v>
      </c>
      <c r="D4182" s="19" t="n">
        <f aca="false">'CEMIUP0.9 Raw'!D279</f>
        <v>3</v>
      </c>
      <c r="E4182" s="19" t="n">
        <f aca="false">'CEMIUP0.9 Raw'!E279</f>
        <v>154.7</v>
      </c>
      <c r="F4182" s="19" t="n">
        <f aca="false">'CEMIUP0.9 Raw'!F279</f>
        <v>1.26315789473684</v>
      </c>
      <c r="G4182" s="19" t="n">
        <f aca="false">'CEMIUP0.9 Raw'!G279</f>
        <v>65.1751578947368</v>
      </c>
      <c r="H4182" s="18" t="str">
        <f aca="false">'CEMIUP0.9 Raw'!A279</f>
        <v>107 - Pharmacies</v>
      </c>
    </row>
    <row r="4183" customFormat="false" ht="15" hidden="false" customHeight="false" outlineLevel="0" collapsed="false">
      <c r="A4183" s="18" t="n">
        <f aca="false">'CEMIUP0.9 Raw'!B282</f>
        <v>4413109</v>
      </c>
      <c r="B4183" s="18" t="str">
        <f aca="false">'CEMIUP0.9 Raw'!C282</f>
        <v>48 XL מגן ברך מחמם</v>
      </c>
      <c r="C4183" s="18" t="str">
        <f aca="false">'CEMIUP0.9 Raw'!C282</f>
        <v>48 XL מגן ברך מחמם</v>
      </c>
      <c r="D4183" s="19" t="n">
        <f aca="false">'CEMIUP0.9 Raw'!D282</f>
        <v>3</v>
      </c>
      <c r="E4183" s="19" t="n">
        <f aca="false">'CEMIUP0.9 Raw'!E282</f>
        <v>147.875</v>
      </c>
      <c r="F4183" s="19" t="n">
        <f aca="false">'CEMIUP0.9 Raw'!F282</f>
        <v>1.26315789473684</v>
      </c>
      <c r="G4183" s="19" t="n">
        <f aca="false">'CEMIUP0.9 Raw'!G282</f>
        <v>65.1751578947368</v>
      </c>
      <c r="H4183" s="18" t="str">
        <f aca="false">'CEMIUP0.9 Raw'!A282</f>
        <v>107 - Pharmacies</v>
      </c>
    </row>
    <row r="4184" customFormat="false" ht="15" hidden="false" customHeight="false" outlineLevel="0" collapsed="false">
      <c r="A4184" s="18" t="n">
        <f aca="false">'CEMIUP0.9 Raw'!B328</f>
        <v>4413165</v>
      </c>
      <c r="B4184" s="18" t="str">
        <f aca="false">'CEMIUP0.9 Raw'!C328</f>
        <v>74 L-XL מיצב כתפיים</v>
      </c>
      <c r="C4184" s="18" t="str">
        <f aca="false">'CEMIUP0.9 Raw'!C328</f>
        <v>74 L-XL מיצב כתפיים</v>
      </c>
      <c r="D4184" s="19" t="n">
        <f aca="false">'CEMIUP0.9 Raw'!D328</f>
        <v>1</v>
      </c>
      <c r="E4184" s="19" t="n">
        <f aca="false">'CEMIUP0.9 Raw'!E328</f>
        <v>130</v>
      </c>
      <c r="F4184" s="19" t="n">
        <f aca="false">'CEMIUP0.9 Raw'!F328</f>
        <v>1.26315789473684</v>
      </c>
      <c r="G4184" s="19" t="n">
        <f aca="false">'CEMIUP0.9 Raw'!G328</f>
        <v>193.686315789474</v>
      </c>
      <c r="H4184" s="18" t="str">
        <f aca="false">'CEMIUP0.9 Raw'!A328</f>
        <v>107 - Pharmacies</v>
      </c>
    </row>
    <row r="4185" customFormat="false" ht="15" hidden="false" customHeight="false" outlineLevel="0" collapsed="false">
      <c r="A4185" s="18" t="n">
        <f aca="false">'CEMIUP0.9 Raw'!B336</f>
        <v>4413175</v>
      </c>
      <c r="B4185" s="18" t="str">
        <f aca="false">'CEMIUP0.9 Raw'!C336</f>
        <v>85+ Mמתלה ליד)כיס(+רצועת חיזוק</v>
      </c>
      <c r="C4185" s="18" t="str">
        <f aca="false">'CEMIUP0.9 Raw'!C336</f>
        <v>85+ Mמתלה ליד)כיס(+רצועת חיזוק</v>
      </c>
      <c r="D4185" s="19" t="n">
        <f aca="false">'CEMIUP0.9 Raw'!D336</f>
        <v>2</v>
      </c>
      <c r="E4185" s="19" t="n">
        <f aca="false">'CEMIUP0.9 Raw'!E336</f>
        <v>172.081</v>
      </c>
      <c r="F4185" s="19" t="n">
        <f aca="false">'CEMIUP0.9 Raw'!F336</f>
        <v>1.26315789473684</v>
      </c>
      <c r="G4185" s="19" t="n">
        <f aca="false">'CEMIUP0.9 Raw'!G336</f>
        <v>108.740210526316</v>
      </c>
      <c r="H4185" s="18" t="str">
        <f aca="false">'CEMIUP0.9 Raw'!A336</f>
        <v>107 - Pharmacies</v>
      </c>
    </row>
    <row r="4186" customFormat="false" ht="15" hidden="false" customHeight="false" outlineLevel="0" collapsed="false">
      <c r="A4186" s="18" t="n">
        <f aca="false">'CEMIUP0.9 Raw'!B337</f>
        <v>4413176</v>
      </c>
      <c r="B4186" s="18" t="str">
        <f aca="false">'CEMIUP0.9 Raw'!C337</f>
        <v>85+ Lמתלה ליד)כיס(+רצועת חיזוק</v>
      </c>
      <c r="C4186" s="18" t="str">
        <f aca="false">'CEMIUP0.9 Raw'!C337</f>
        <v>85+ Lמתלה ליד)כיס(+רצועת חיזוק</v>
      </c>
      <c r="D4186" s="19" t="n">
        <f aca="false">'CEMIUP0.9 Raw'!D337</f>
        <v>5</v>
      </c>
      <c r="E4186" s="19" t="n">
        <f aca="false">'CEMIUP0.9 Raw'!E337</f>
        <v>398.268</v>
      </c>
      <c r="F4186" s="19" t="n">
        <f aca="false">'CEMIUP0.9 Raw'!F337</f>
        <v>1.26315789473684</v>
      </c>
      <c r="G4186" s="19" t="n">
        <f aca="false">'CEMIUP0.9 Raw'!G337</f>
        <v>108.740210526316</v>
      </c>
      <c r="H4186" s="18" t="str">
        <f aca="false">'CEMIUP0.9 Raw'!A337</f>
        <v>107 - Pharmacies</v>
      </c>
    </row>
    <row r="4187" customFormat="false" ht="15" hidden="false" customHeight="false" outlineLevel="0" collapsed="false">
      <c r="A4187" s="18" t="n">
        <f aca="false">'CEMIUP0.9 Raw'!B344</f>
        <v>4413184</v>
      </c>
      <c r="B4187" s="18" t="str">
        <f aca="false">'CEMIUP0.9 Raw'!C344</f>
        <v>T 45 L מגן ברך רגיל</v>
      </c>
      <c r="C4187" s="18" t="str">
        <f aca="false">'CEMIUP0.9 Raw'!C344</f>
        <v>T 45 L מגן ברך רגיל</v>
      </c>
      <c r="D4187" s="19" t="n">
        <f aca="false">'CEMIUP0.9 Raw'!D344</f>
        <v>5</v>
      </c>
      <c r="E4187" s="19" t="n">
        <f aca="false">'CEMIUP0.9 Raw'!E344</f>
        <v>485.345</v>
      </c>
      <c r="F4187" s="19" t="n">
        <f aca="false">'CEMIUP0.9 Raw'!F344</f>
        <v>1.26315789473684</v>
      </c>
      <c r="G4187" s="19" t="n">
        <f aca="false">'CEMIUP0.9 Raw'!G344</f>
        <v>121.154526315789</v>
      </c>
      <c r="H4187" s="18" t="str">
        <f aca="false">'CEMIUP0.9 Raw'!A344</f>
        <v>107 - Pharmacies</v>
      </c>
    </row>
    <row r="4188" customFormat="false" ht="15" hidden="false" customHeight="false" outlineLevel="0" collapsed="false">
      <c r="A4188" s="18" t="n">
        <f aca="false">'CEMIUP0.9 Raw'!B351</f>
        <v>4413210</v>
      </c>
      <c r="B4188" s="18" t="str">
        <f aca="false">'CEMIUP0.9 Raw'!C351</f>
        <v>T95 S מגן מרפק רגיל</v>
      </c>
      <c r="C4188" s="18" t="str">
        <f aca="false">'CEMIUP0.9 Raw'!C351</f>
        <v>T95 S מגן מרפק רגיל</v>
      </c>
      <c r="D4188" s="19" t="n">
        <f aca="false">'CEMIUP0.9 Raw'!D351</f>
        <v>0</v>
      </c>
      <c r="E4188" s="19" t="n">
        <f aca="false">'CEMIUP0.9 Raw'!E351</f>
        <v>0</v>
      </c>
      <c r="F4188" s="19" t="n">
        <f aca="false">'CEMIUP0.9 Raw'!F351</f>
        <v>1.26315789473684</v>
      </c>
      <c r="G4188" s="19" t="n">
        <f aca="false">'CEMIUP0.9 Raw'!G351</f>
        <v>108.625263157895</v>
      </c>
      <c r="H4188" s="18" t="str">
        <f aca="false">'CEMIUP0.9 Raw'!A351</f>
        <v>107 - Pharmacies</v>
      </c>
    </row>
    <row r="4189" customFormat="false" ht="15" hidden="false" customHeight="false" outlineLevel="0" collapsed="false">
      <c r="A4189" s="18" t="n">
        <f aca="false">'CEMIUP0.9 Raw'!B359</f>
        <v>4413278</v>
      </c>
      <c r="B4189" s="18" t="str">
        <f aca="false">'CEMIUP0.9 Raw'!C359</f>
        <v>LF377 S-מדרס סיליקון לנעלי עקב</v>
      </c>
      <c r="C4189" s="18" t="str">
        <f aca="false">'CEMIUP0.9 Raw'!C359</f>
        <v>LF377 S-מדרס סיליקון לנעלי עקב</v>
      </c>
      <c r="D4189" s="19" t="n">
        <f aca="false">'CEMIUP0.9 Raw'!D359</f>
        <v>5</v>
      </c>
      <c r="E4189" s="19" t="n">
        <f aca="false">'CEMIUP0.9 Raw'!E359</f>
        <v>197.925</v>
      </c>
      <c r="F4189" s="19" t="n">
        <f aca="false">'CEMIUP0.9 Raw'!F359</f>
        <v>1.26315789473684</v>
      </c>
      <c r="G4189" s="19" t="n">
        <f aca="false">'CEMIUP0.9 Raw'!G359</f>
        <v>40.0016842105263</v>
      </c>
      <c r="H4189" s="18" t="str">
        <f aca="false">'CEMIUP0.9 Raw'!A359</f>
        <v>107 - Pharmacies</v>
      </c>
    </row>
    <row r="4190" customFormat="false" ht="15" hidden="false" customHeight="false" outlineLevel="0" collapsed="false">
      <c r="A4190" s="18" t="n">
        <f aca="false">'CEMIUP0.9 Raw'!B399</f>
        <v>4413399</v>
      </c>
      <c r="B4190" s="18" t="str">
        <f aca="false">'CEMIUP0.9 Raw'!C399</f>
        <v>21 XS מגן יד</v>
      </c>
      <c r="C4190" s="18" t="str">
        <f aca="false">'CEMIUP0.9 Raw'!C399</f>
        <v>21 XS מגן יד</v>
      </c>
      <c r="D4190" s="19" t="n">
        <f aca="false">'CEMIUP0.9 Raw'!D399</f>
        <v>-1</v>
      </c>
      <c r="E4190" s="19" t="n">
        <f aca="false">'CEMIUP0.9 Raw'!E399</f>
        <v>-34.398</v>
      </c>
      <c r="F4190" s="19" t="n">
        <f aca="false">'CEMIUP0.9 Raw'!F399</f>
        <v>1.26315789473684</v>
      </c>
      <c r="G4190" s="19" t="n">
        <f aca="false">'CEMIUP0.9 Raw'!G399</f>
        <v>41.9557894736842</v>
      </c>
      <c r="H4190" s="18" t="str">
        <f aca="false">'CEMIUP0.9 Raw'!A399</f>
        <v>107 - Pharmacies</v>
      </c>
    </row>
    <row r="4191" customFormat="false" ht="15" hidden="false" customHeight="false" outlineLevel="0" collapsed="false">
      <c r="A4191" s="18" t="n">
        <f aca="false">'CEMIUP0.9 Raw'!B413</f>
        <v>4413423</v>
      </c>
      <c r="B4191" s="18" t="str">
        <f aca="false">'CEMIUP0.9 Raw'!C413</f>
        <v>SC35L XL מגן קרסול שמאל</v>
      </c>
      <c r="C4191" s="18" t="str">
        <f aca="false">'CEMIUP0.9 Raw'!C413</f>
        <v>SC35L XL מגן קרסול שמאל</v>
      </c>
      <c r="D4191" s="19" t="n">
        <f aca="false">'CEMIUP0.9 Raw'!D413</f>
        <v>2</v>
      </c>
      <c r="E4191" s="19" t="n">
        <f aca="false">'CEMIUP0.9 Raw'!E413</f>
        <v>159.291</v>
      </c>
      <c r="F4191" s="19" t="n">
        <f aca="false">'CEMIUP0.9 Raw'!F413</f>
        <v>1.26315789473684</v>
      </c>
      <c r="G4191" s="19" t="n">
        <f aca="false">'CEMIUP0.9 Raw'!G413</f>
        <v>128.511157894737</v>
      </c>
      <c r="H4191" s="18" t="str">
        <f aca="false">'CEMIUP0.9 Raw'!A413</f>
        <v>107 - Pharmacies</v>
      </c>
    </row>
    <row r="4192" customFormat="false" ht="15" hidden="false" customHeight="false" outlineLevel="0" collapsed="false">
      <c r="A4192" s="18" t="n">
        <f aca="false">'CEMIUP0.9 Raw'!B477</f>
        <v>4415025</v>
      </c>
      <c r="B4192" s="18" t="str">
        <f aca="false">'CEMIUP0.9 Raw'!C477</f>
        <v>28-XS סד לאגודל לאחר שבר</v>
      </c>
      <c r="C4192" s="18" t="str">
        <f aca="false">'CEMIUP0.9 Raw'!C477</f>
        <v>28-XS סד לאגודל לאחר שבר</v>
      </c>
      <c r="D4192" s="19" t="n">
        <f aca="false">'CEMIUP0.9 Raw'!D477</f>
        <v>2</v>
      </c>
      <c r="E4192" s="19" t="n">
        <f aca="false">'CEMIUP0.9 Raw'!E477</f>
        <v>181.363</v>
      </c>
      <c r="F4192" s="19" t="n">
        <f aca="false">'CEMIUP0.9 Raw'!F477</f>
        <v>1.26315789473684</v>
      </c>
      <c r="G4192" s="19" t="n">
        <f aca="false">'CEMIUP0.9 Raw'!G477</f>
        <v>130.218947368421</v>
      </c>
      <c r="H4192" s="18" t="str">
        <f aca="false">'CEMIUP0.9 Raw'!A477</f>
        <v>107 - Pharmacies</v>
      </c>
    </row>
    <row r="4193" customFormat="false" ht="15" hidden="false" customHeight="false" outlineLevel="0" collapsed="false">
      <c r="A4193" s="18" t="n">
        <f aca="false">'CEMIUP0.9 Raw'!B485</f>
        <v>4415071</v>
      </c>
      <c r="B4193" s="18" t="str">
        <f aca="false">'CEMIUP0.9 Raw'!C485</f>
        <v>T28C  XL סד לאגודל כפפה</v>
      </c>
      <c r="C4193" s="18" t="str">
        <f aca="false">'CEMIUP0.9 Raw'!C485</f>
        <v>T28C  XL סד לאגודל כפפה</v>
      </c>
      <c r="D4193" s="19" t="n">
        <f aca="false">'CEMIUP0.9 Raw'!D485</f>
        <v>4</v>
      </c>
      <c r="E4193" s="19" t="n">
        <f aca="false">'CEMIUP0.9 Raw'!E485</f>
        <v>249.34</v>
      </c>
      <c r="F4193" s="19" t="n">
        <f aca="false">'CEMIUP0.9 Raw'!F485</f>
        <v>1.26315789473684</v>
      </c>
      <c r="G4193" s="19" t="n">
        <f aca="false">'CEMIUP0.9 Raw'!G485</f>
        <v>81.4976842105263</v>
      </c>
      <c r="H4193" s="18" t="str">
        <f aca="false">'CEMIUP0.9 Raw'!A485</f>
        <v>107 - Pharmacies</v>
      </c>
    </row>
    <row r="4194" customFormat="false" ht="15" hidden="false" customHeight="false" outlineLevel="0" collapsed="false">
      <c r="A4194" s="18" t="n">
        <f aca="false">'CEMIUP0.9 Raw'!B528</f>
        <v>4418006</v>
      </c>
      <c r="B4194" s="18" t="str">
        <f aca="false">'CEMIUP0.9 Raw'!C528</f>
        <v>63 M צוארון פלסטי מתכוון</v>
      </c>
      <c r="C4194" s="18" t="str">
        <f aca="false">'CEMIUP0.9 Raw'!C528</f>
        <v>63 M צוארון פלסטי מתכוון</v>
      </c>
      <c r="D4194" s="19" t="n">
        <f aca="false">'CEMIUP0.9 Raw'!D528</f>
        <v>1</v>
      </c>
      <c r="E4194" s="19" t="n">
        <f aca="false">'CEMIUP0.9 Raw'!E528</f>
        <v>60.515</v>
      </c>
      <c r="F4194" s="19" t="n">
        <f aca="false">'CEMIUP0.9 Raw'!F528</f>
        <v>1.26315789473684</v>
      </c>
      <c r="G4194" s="19" t="n">
        <f aca="false">'CEMIUP0.9 Raw'!G528</f>
        <v>76.44</v>
      </c>
      <c r="H4194" s="18" t="str">
        <f aca="false">'CEMIUP0.9 Raw'!A528</f>
        <v>107 - Pharmacies</v>
      </c>
    </row>
    <row r="4195" customFormat="false" ht="15" hidden="false" customHeight="false" outlineLevel="0" collapsed="false">
      <c r="A4195" s="18" t="n">
        <f aca="false">'CEMIUP0.9 Raw'!B542</f>
        <v>4420004</v>
      </c>
      <c r="B4195" s="18" t="str">
        <f aca="false">'CEMIUP0.9 Raw'!C542</f>
        <v>377  רפ.אורטופדית ספורט זוג35</v>
      </c>
      <c r="C4195" s="18" t="str">
        <f aca="false">'CEMIUP0.9 Raw'!C542</f>
        <v>377  רפ.אורטופדית ספורט זוג35</v>
      </c>
      <c r="D4195" s="19" t="n">
        <f aca="false">'CEMIUP0.9 Raw'!D542</f>
        <v>3</v>
      </c>
      <c r="E4195" s="19" t="n">
        <f aca="false">'CEMIUP0.9 Raw'!E542</f>
        <v>38.857</v>
      </c>
      <c r="F4195" s="19" t="n">
        <f aca="false">'CEMIUP0.9 Raw'!F542</f>
        <v>1.26315789473684</v>
      </c>
      <c r="G4195" s="19" t="n">
        <f aca="false">'CEMIUP0.9 Raw'!G542</f>
        <v>42.4155789473684</v>
      </c>
      <c r="H4195" s="18" t="str">
        <f aca="false">'CEMIUP0.9 Raw'!A542</f>
        <v>107 - Pharmacies</v>
      </c>
    </row>
    <row r="4196" customFormat="false" ht="15" hidden="false" customHeight="false" outlineLevel="0" collapsed="false">
      <c r="A4196" s="18" t="n">
        <f aca="false">'CEMIUP0.9 Raw'!B558</f>
        <v>4420028</v>
      </c>
      <c r="B4196" s="18" t="str">
        <f aca="false">'CEMIUP0.9 Raw'!C558</f>
        <v>35-37 רפידת ספורט 376 מידה</v>
      </c>
      <c r="C4196" s="18" t="str">
        <f aca="false">'CEMIUP0.9 Raw'!C558</f>
        <v>35-37 רפידת ספורט 376 מידה</v>
      </c>
      <c r="D4196" s="19" t="n">
        <f aca="false">'CEMIUP0.9 Raw'!D558</f>
        <v>-1</v>
      </c>
      <c r="E4196" s="19" t="n">
        <f aca="false">'CEMIUP0.9 Raw'!E558</f>
        <v>-39.312</v>
      </c>
      <c r="F4196" s="19" t="n">
        <f aca="false">'CEMIUP0.9 Raw'!F558</f>
        <v>1.26315789473684</v>
      </c>
      <c r="G4196" s="19" t="n">
        <f aca="false">'CEMIUP0.9 Raw'!G558</f>
        <v>40.3465263157895</v>
      </c>
      <c r="H4196" s="18" t="str">
        <f aca="false">'CEMIUP0.9 Raw'!A558</f>
        <v>107 - Pharmacies</v>
      </c>
    </row>
    <row r="4197" customFormat="false" ht="15" hidden="false" customHeight="false" outlineLevel="0" collapsed="false">
      <c r="A4197" s="18" t="n">
        <f aca="false">'CEMIUP0.9 Raw'!B559</f>
        <v>4420030</v>
      </c>
      <c r="B4197" s="18" t="str">
        <f aca="false">'CEMIUP0.9 Raw'!C559</f>
        <v>41-43 רפידת ספורט 376 מידה</v>
      </c>
      <c r="C4197" s="18" t="str">
        <f aca="false">'CEMIUP0.9 Raw'!C559</f>
        <v>41-43 רפידת ספורט 376 מידה</v>
      </c>
      <c r="D4197" s="19" t="n">
        <f aca="false">'CEMIUP0.9 Raw'!D559</f>
        <v>1</v>
      </c>
      <c r="E4197" s="19" t="n">
        <f aca="false">'CEMIUP0.9 Raw'!E559</f>
        <v>30.03</v>
      </c>
      <c r="F4197" s="19" t="n">
        <f aca="false">'CEMIUP0.9 Raw'!F559</f>
        <v>1.26315789473684</v>
      </c>
      <c r="G4197" s="19" t="n">
        <f aca="false">'CEMIUP0.9 Raw'!G559</f>
        <v>40.3465263157895</v>
      </c>
      <c r="H4197" s="18" t="str">
        <f aca="false">'CEMIUP0.9 Raw'!A559</f>
        <v>107 - Pharmacies</v>
      </c>
    </row>
    <row r="4198" customFormat="false" ht="15" hidden="false" customHeight="false" outlineLevel="0" collapsed="false">
      <c r="A4198" s="18" t="n">
        <f aca="false">'CEMIUP0.9 Raw'!B561</f>
        <v>4420032</v>
      </c>
      <c r="B4198" s="18" t="str">
        <f aca="false">'CEMIUP0.9 Raw'!C561</f>
        <v>46-47 רפידת ספורט 376 מידה</v>
      </c>
      <c r="C4198" s="18" t="str">
        <f aca="false">'CEMIUP0.9 Raw'!C561</f>
        <v>46-47 רפידת ספורט 376 מידה</v>
      </c>
      <c r="D4198" s="19" t="n">
        <f aca="false">'CEMIUP0.9 Raw'!D561</f>
        <v>4</v>
      </c>
      <c r="E4198" s="19" t="n">
        <f aca="false">'CEMIUP0.9 Raw'!E561</f>
        <v>121.576</v>
      </c>
      <c r="F4198" s="19" t="n">
        <f aca="false">'CEMIUP0.9 Raw'!F561</f>
        <v>1.26315789473684</v>
      </c>
      <c r="G4198" s="19" t="n">
        <f aca="false">'CEMIUP0.9 Raw'!G561</f>
        <v>40.3465263157895</v>
      </c>
      <c r="H4198" s="18" t="str">
        <f aca="false">'CEMIUP0.9 Raw'!A561</f>
        <v>107 - Pharmacies</v>
      </c>
    </row>
    <row r="4199" customFormat="false" ht="15" hidden="false" customHeight="false" outlineLevel="0" collapsed="false">
      <c r="A4199" s="18" t="str">
        <f aca="false">'CEMIUP0.9 Raw'!B600</f>
        <v>07UB-L-XL</v>
      </c>
      <c r="B4199" s="18" t="str">
        <f aca="false">'CEMIUP0.9 Raw'!C600</f>
        <v>07UB-L-XL</v>
      </c>
      <c r="C4199" s="18" t="str">
        <f aca="false">'CEMIUP0.9 Raw'!C600</f>
        <v>07UB-L-XL</v>
      </c>
      <c r="D4199" s="19" t="n">
        <f aca="false">'CEMIUP0.9 Raw'!D600</f>
        <v>50</v>
      </c>
      <c r="E4199" s="19" t="n">
        <f aca="false">'CEMIUP0.9 Raw'!E600</f>
        <v>6250</v>
      </c>
      <c r="F4199" s="19" t="n">
        <f aca="false">'CEMIUP0.9 Raw'!F600</f>
        <v>1.26315789473684</v>
      </c>
      <c r="G4199" s="19" t="n">
        <f aca="false">'CEMIUP0.9 Raw'!G600</f>
        <v>295.970526315789</v>
      </c>
      <c r="H4199" s="18" t="str">
        <f aca="false">'CEMIUP0.9 Raw'!A600</f>
        <v>107 - Pharmacies</v>
      </c>
    </row>
    <row r="4200" customFormat="false" ht="15" hidden="false" customHeight="false" outlineLevel="0" collapsed="false">
      <c r="A4200" s="18" t="str">
        <f aca="false">'CEMIUP0.9 Raw'!B603</f>
        <v>11EU S</v>
      </c>
      <c r="B4200" s="18" t="str">
        <f aca="false">'CEMIUP0.9 Raw'!C603</f>
        <v>11EU S</v>
      </c>
      <c r="C4200" s="18" t="str">
        <f aca="false">'CEMIUP0.9 Raw'!C603</f>
        <v>11EU S</v>
      </c>
      <c r="D4200" s="19" t="n">
        <f aca="false">'CEMIUP0.9 Raw'!D603</f>
        <v>1</v>
      </c>
      <c r="E4200" s="19" t="n">
        <f aca="false">'CEMIUP0.9 Raw'!E603</f>
        <v>69.01</v>
      </c>
      <c r="F4200" s="19" t="n">
        <f aca="false">'CEMIUP0.9 Raw'!F603</f>
        <v>1.26315789473684</v>
      </c>
      <c r="G4200" s="19" t="n">
        <f aca="false">'CEMIUP0.9 Raw'!G603</f>
        <v>107.368421052632</v>
      </c>
      <c r="H4200" s="18" t="str">
        <f aca="false">'CEMIUP0.9 Raw'!A603</f>
        <v>107 - Pharmacies</v>
      </c>
    </row>
    <row r="4201" customFormat="false" ht="15" hidden="false" customHeight="false" outlineLevel="0" collapsed="false">
      <c r="A4201" s="18" t="str">
        <f aca="false">'CEMIUP0.9 Raw'!B606</f>
        <v>13 L</v>
      </c>
      <c r="B4201" s="18" t="str">
        <f aca="false">'CEMIUP0.9 Raw'!C606</f>
        <v>13 L</v>
      </c>
      <c r="C4201" s="18" t="str">
        <f aca="false">'CEMIUP0.9 Raw'!C606</f>
        <v>13 L</v>
      </c>
      <c r="D4201" s="19" t="n">
        <f aca="false">'CEMIUP0.9 Raw'!D606</f>
        <v>0</v>
      </c>
      <c r="E4201" s="19" t="n">
        <f aca="false">'CEMIUP0.9 Raw'!E606</f>
        <v>0</v>
      </c>
      <c r="F4201" s="19" t="n">
        <f aca="false">'CEMIUP0.9 Raw'!F606</f>
        <v>1.26315789473684</v>
      </c>
      <c r="G4201" s="19" t="n">
        <f aca="false">'CEMIUP0.9 Raw'!G606</f>
        <v>198.277894736842</v>
      </c>
      <c r="H4201" s="18" t="str">
        <f aca="false">'CEMIUP0.9 Raw'!A606</f>
        <v>107 - Pharmacies</v>
      </c>
    </row>
    <row r="4202" customFormat="false" ht="15" hidden="false" customHeight="false" outlineLevel="0" collapsed="false">
      <c r="A4202" s="18" t="str">
        <f aca="false">'CEMIUP0.9 Raw'!B608</f>
        <v>15M L</v>
      </c>
      <c r="B4202" s="18" t="str">
        <f aca="false">'CEMIUP0.9 Raw'!C608</f>
        <v>15M L</v>
      </c>
      <c r="C4202" s="18" t="str">
        <f aca="false">'CEMIUP0.9 Raw'!C608</f>
        <v>15M L</v>
      </c>
      <c r="D4202" s="19" t="n">
        <f aca="false">'CEMIUP0.9 Raw'!D608</f>
        <v>1</v>
      </c>
      <c r="E4202" s="19" t="n">
        <f aca="false">'CEMIUP0.9 Raw'!E608</f>
        <v>140.57</v>
      </c>
      <c r="F4202" s="19" t="n">
        <f aca="false">'CEMIUP0.9 Raw'!F608</f>
        <v>1.26315789473684</v>
      </c>
      <c r="G4202" s="19" t="n">
        <f aca="false">'CEMIUP0.9 Raw'!G608</f>
        <v>177.574736842105</v>
      </c>
      <c r="H4202" s="18" t="str">
        <f aca="false">'CEMIUP0.9 Raw'!A608</f>
        <v>107 - Pharmacies</v>
      </c>
    </row>
    <row r="4203" customFormat="false" ht="15" hidden="false" customHeight="false" outlineLevel="0" collapsed="false">
      <c r="A4203" s="18" t="str">
        <f aca="false">'CEMIUP0.9 Raw'!B612</f>
        <v>18 L</v>
      </c>
      <c r="B4203" s="18" t="str">
        <f aca="false">'CEMIUP0.9 Raw'!C612</f>
        <v>18 L</v>
      </c>
      <c r="C4203" s="18" t="str">
        <f aca="false">'CEMIUP0.9 Raw'!C612</f>
        <v>18 L</v>
      </c>
      <c r="D4203" s="19" t="n">
        <f aca="false">'CEMIUP0.9 Raw'!D612</f>
        <v>1</v>
      </c>
      <c r="E4203" s="19" t="n">
        <f aca="false">'CEMIUP0.9 Raw'!E612</f>
        <v>268</v>
      </c>
      <c r="F4203" s="19" t="n">
        <f aca="false">'CEMIUP0.9 Raw'!F612</f>
        <v>1.26315789473684</v>
      </c>
      <c r="G4203" s="19" t="n">
        <f aca="false">'CEMIUP0.9 Raw'!G612</f>
        <v>390.72</v>
      </c>
      <c r="H4203" s="18" t="str">
        <f aca="false">'CEMIUP0.9 Raw'!A612</f>
        <v>107 - Pharmacies</v>
      </c>
    </row>
    <row r="4204" customFormat="false" ht="15" hidden="false" customHeight="false" outlineLevel="0" collapsed="false">
      <c r="A4204" s="18" t="str">
        <f aca="false">'CEMIUP0.9 Raw'!B613</f>
        <v>18 M</v>
      </c>
      <c r="B4204" s="18" t="str">
        <f aca="false">'CEMIUP0.9 Raw'!C613</f>
        <v>18 M</v>
      </c>
      <c r="C4204" s="18" t="str">
        <f aca="false">'CEMIUP0.9 Raw'!C613</f>
        <v>18 M</v>
      </c>
      <c r="D4204" s="19" t="n">
        <f aca="false">'CEMIUP0.9 Raw'!D613</f>
        <v>1</v>
      </c>
      <c r="E4204" s="19" t="n">
        <f aca="false">'CEMIUP0.9 Raw'!E613</f>
        <v>268</v>
      </c>
      <c r="F4204" s="19" t="n">
        <f aca="false">'CEMIUP0.9 Raw'!F613</f>
        <v>1.26315789473684</v>
      </c>
      <c r="G4204" s="19" t="n">
        <f aca="false">'CEMIUP0.9 Raw'!G613</f>
        <v>338.526315789474</v>
      </c>
      <c r="H4204" s="18" t="str">
        <f aca="false">'CEMIUP0.9 Raw'!A613</f>
        <v>107 - Pharmacies</v>
      </c>
    </row>
    <row r="4205" customFormat="false" ht="15" hidden="false" customHeight="false" outlineLevel="0" collapsed="false">
      <c r="A4205" s="18" t="str">
        <f aca="false">'CEMIUP0.9 Raw'!B615</f>
        <v>18 XL</v>
      </c>
      <c r="B4205" s="18" t="str">
        <f aca="false">'CEMIUP0.9 Raw'!C615</f>
        <v>18 XL</v>
      </c>
      <c r="C4205" s="18" t="str">
        <f aca="false">'CEMIUP0.9 Raw'!C615</f>
        <v>18 XL</v>
      </c>
      <c r="D4205" s="19" t="n">
        <f aca="false">'CEMIUP0.9 Raw'!D615</f>
        <v>1</v>
      </c>
      <c r="E4205" s="19" t="n">
        <f aca="false">'CEMIUP0.9 Raw'!E615</f>
        <v>268</v>
      </c>
      <c r="F4205" s="19" t="n">
        <f aca="false">'CEMIUP0.9 Raw'!F615</f>
        <v>1.26315789473684</v>
      </c>
      <c r="G4205" s="19" t="n">
        <f aca="false">'CEMIUP0.9 Raw'!G615</f>
        <v>390.707368421053</v>
      </c>
      <c r="H4205" s="18" t="str">
        <f aca="false">'CEMIUP0.9 Raw'!A615</f>
        <v>107 - Pharmacies</v>
      </c>
    </row>
    <row r="4206" customFormat="false" ht="15" hidden="false" customHeight="false" outlineLevel="0" collapsed="false">
      <c r="A4206" s="18" t="str">
        <f aca="false">'CEMIUP0.9 Raw'!B616</f>
        <v>18 XXL</v>
      </c>
      <c r="B4206" s="18" t="str">
        <f aca="false">'CEMIUP0.9 Raw'!C616</f>
        <v>18 XXL</v>
      </c>
      <c r="C4206" s="18" t="str">
        <f aca="false">'CEMIUP0.9 Raw'!C616</f>
        <v>18 XXL</v>
      </c>
      <c r="D4206" s="19" t="n">
        <f aca="false">'CEMIUP0.9 Raw'!D616</f>
        <v>0</v>
      </c>
      <c r="E4206" s="19" t="n">
        <f aca="false">'CEMIUP0.9 Raw'!E616</f>
        <v>0</v>
      </c>
      <c r="F4206" s="19" t="n">
        <f aca="false">'CEMIUP0.9 Raw'!F616</f>
        <v>1.26315789473684</v>
      </c>
      <c r="G4206" s="19" t="n">
        <f aca="false">'CEMIUP0.9 Raw'!G616</f>
        <v>390.72</v>
      </c>
      <c r="H4206" s="18" t="str">
        <f aca="false">'CEMIUP0.9 Raw'!A616</f>
        <v>107 - Pharmacies</v>
      </c>
    </row>
    <row r="4207" customFormat="false" ht="15" hidden="false" customHeight="false" outlineLevel="0" collapsed="false">
      <c r="A4207" s="18" t="str">
        <f aca="false">'CEMIUP0.9 Raw'!B621</f>
        <v>32 M</v>
      </c>
      <c r="B4207" s="18" t="str">
        <f aca="false">'CEMIUP0.9 Raw'!C621</f>
        <v>32 M</v>
      </c>
      <c r="C4207" s="18" t="str">
        <f aca="false">'CEMIUP0.9 Raw'!C621</f>
        <v>32 M</v>
      </c>
      <c r="D4207" s="19" t="n">
        <f aca="false">'CEMIUP0.9 Raw'!D621</f>
        <v>0</v>
      </c>
      <c r="E4207" s="19" t="n">
        <f aca="false">'CEMIUP0.9 Raw'!E621</f>
        <v>0</v>
      </c>
      <c r="F4207" s="19" t="n">
        <f aca="false">'CEMIUP0.9 Raw'!F621</f>
        <v>1.26315789473684</v>
      </c>
      <c r="G4207" s="19" t="n">
        <f aca="false">'CEMIUP0.9 Raw'!G621</f>
        <v>268.736842105263</v>
      </c>
      <c r="H4207" s="18" t="str">
        <f aca="false">'CEMIUP0.9 Raw'!A621</f>
        <v>107 - Pharmacies</v>
      </c>
    </row>
    <row r="4208" customFormat="false" ht="15" hidden="false" customHeight="false" outlineLevel="0" collapsed="false">
      <c r="A4208" s="18" t="str">
        <f aca="false">'CEMIUP0.9 Raw'!B623</f>
        <v>332B L</v>
      </c>
      <c r="B4208" s="18" t="str">
        <f aca="false">'CEMIUP0.9 Raw'!C623</f>
        <v>332B L</v>
      </c>
      <c r="C4208" s="18" t="str">
        <f aca="false">'CEMIUP0.9 Raw'!C623</f>
        <v>332B L</v>
      </c>
      <c r="D4208" s="19" t="n">
        <f aca="false">'CEMIUP0.9 Raw'!D623</f>
        <v>0</v>
      </c>
      <c r="E4208" s="19" t="n">
        <f aca="false">'CEMIUP0.9 Raw'!E623</f>
        <v>0</v>
      </c>
      <c r="F4208" s="19" t="n">
        <f aca="false">'CEMIUP0.9 Raw'!F623</f>
        <v>1.26315789473684</v>
      </c>
      <c r="G4208" s="19" t="n">
        <f aca="false">'CEMIUP0.9 Raw'!G623</f>
        <v>155.658947368421</v>
      </c>
      <c r="H4208" s="18" t="str">
        <f aca="false">'CEMIUP0.9 Raw'!A623</f>
        <v>107 - Pharmacies</v>
      </c>
    </row>
    <row r="4209" customFormat="false" ht="15" hidden="false" customHeight="false" outlineLevel="0" collapsed="false">
      <c r="A4209" s="18" t="str">
        <f aca="false">'CEMIUP0.9 Raw'!B633</f>
        <v>422ED L</v>
      </c>
      <c r="B4209" s="18" t="str">
        <f aca="false">'CEMIUP0.9 Raw'!C633</f>
        <v>422ED L</v>
      </c>
      <c r="C4209" s="18" t="str">
        <f aca="false">'CEMIUP0.9 Raw'!C633</f>
        <v>422ED L</v>
      </c>
      <c r="D4209" s="19" t="n">
        <f aca="false">'CEMIUP0.9 Raw'!D633</f>
        <v>0</v>
      </c>
      <c r="E4209" s="19" t="n">
        <f aca="false">'CEMIUP0.9 Raw'!E633</f>
        <v>0</v>
      </c>
      <c r="F4209" s="19" t="n">
        <f aca="false">'CEMIUP0.9 Raw'!F633</f>
        <v>1.26315789473684</v>
      </c>
      <c r="G4209" s="19" t="n">
        <f aca="false">'CEMIUP0.9 Raw'!G633</f>
        <v>417.953684210526</v>
      </c>
      <c r="H4209" s="18" t="str">
        <f aca="false">'CEMIUP0.9 Raw'!A633</f>
        <v>107 - Pharmacies</v>
      </c>
    </row>
    <row r="4210" customFormat="false" ht="15" hidden="false" customHeight="false" outlineLevel="0" collapsed="false">
      <c r="A4210" s="18" t="str">
        <f aca="false">'CEMIUP0.9 Raw'!B634</f>
        <v>45C XXL</v>
      </c>
      <c r="B4210" s="18" t="str">
        <f aca="false">'CEMIUP0.9 Raw'!C634</f>
        <v>45C XXL</v>
      </c>
      <c r="C4210" s="18" t="str">
        <f aca="false">'CEMIUP0.9 Raw'!C634</f>
        <v>45C XXL</v>
      </c>
      <c r="D4210" s="19" t="n">
        <f aca="false">'CEMIUP0.9 Raw'!D634</f>
        <v>2</v>
      </c>
      <c r="E4210" s="19" t="n">
        <f aca="false">'CEMIUP0.9 Raw'!E634</f>
        <v>61.78</v>
      </c>
      <c r="F4210" s="19" t="n">
        <f aca="false">'CEMIUP0.9 Raw'!F634</f>
        <v>1.26315789473684</v>
      </c>
      <c r="G4210" s="19" t="n">
        <f aca="false">'CEMIUP0.9 Raw'!G634</f>
        <v>39.0189473684211</v>
      </c>
      <c r="H4210" s="18" t="str">
        <f aca="false">'CEMIUP0.9 Raw'!A634</f>
        <v>107 - Pharmacies</v>
      </c>
    </row>
    <row r="4211" customFormat="false" ht="15" hidden="false" customHeight="false" outlineLevel="0" collapsed="false">
      <c r="A4211" s="18" t="str">
        <f aca="false">'CEMIUP0.9 Raw'!B637</f>
        <v>49PS L</v>
      </c>
      <c r="B4211" s="18" t="str">
        <f aca="false">'CEMIUP0.9 Raw'!C637</f>
        <v>49PS L</v>
      </c>
      <c r="C4211" s="18" t="str">
        <f aca="false">'CEMIUP0.9 Raw'!C637</f>
        <v>49PS L</v>
      </c>
      <c r="D4211" s="19" t="n">
        <f aca="false">'CEMIUP0.9 Raw'!D637</f>
        <v>2</v>
      </c>
      <c r="E4211" s="19" t="n">
        <f aca="false">'CEMIUP0.9 Raw'!E637</f>
        <v>228.54</v>
      </c>
      <c r="F4211" s="19" t="n">
        <f aca="false">'CEMIUP0.9 Raw'!F637</f>
        <v>1.26315789473684</v>
      </c>
      <c r="G4211" s="19" t="n">
        <f aca="false">'CEMIUP0.9 Raw'!G637</f>
        <v>168.682105263158</v>
      </c>
      <c r="H4211" s="18" t="str">
        <f aca="false">'CEMIUP0.9 Raw'!A637</f>
        <v>107 - Pharmacies</v>
      </c>
    </row>
    <row r="4212" customFormat="false" ht="15" hidden="false" customHeight="false" outlineLevel="0" collapsed="false">
      <c r="A4212" s="18" t="str">
        <f aca="false">'CEMIUP0.9 Raw'!B639</f>
        <v>49PS XL</v>
      </c>
      <c r="B4212" s="18" t="str">
        <f aca="false">'CEMIUP0.9 Raw'!C639</f>
        <v>49PS XL</v>
      </c>
      <c r="C4212" s="18" t="str">
        <f aca="false">'CEMIUP0.9 Raw'!C639</f>
        <v>49PS XL</v>
      </c>
      <c r="D4212" s="19" t="n">
        <f aca="false">'CEMIUP0.9 Raw'!D639</f>
        <v>0</v>
      </c>
      <c r="E4212" s="19" t="n">
        <f aca="false">'CEMIUP0.9 Raw'!E639</f>
        <v>0</v>
      </c>
      <c r="F4212" s="19" t="n">
        <f aca="false">'CEMIUP0.9 Raw'!F639</f>
        <v>1.26315789473684</v>
      </c>
      <c r="G4212" s="19" t="n">
        <f aca="false">'CEMIUP0.9 Raw'!G639</f>
        <v>168.682105263158</v>
      </c>
      <c r="H4212" s="18" t="str">
        <f aca="false">'CEMIUP0.9 Raw'!A639</f>
        <v>107 - Pharmacies</v>
      </c>
    </row>
    <row r="4213" customFormat="false" ht="15" hidden="false" customHeight="false" outlineLevel="0" collapsed="false">
      <c r="A4213" s="18" t="str">
        <f aca="false">'CEMIUP0.9 Raw'!B643</f>
        <v>55 XXL</v>
      </c>
      <c r="B4213" s="18" t="str">
        <f aca="false">'CEMIUP0.9 Raw'!C643</f>
        <v>55 XXL</v>
      </c>
      <c r="C4213" s="18" t="str">
        <f aca="false">'CEMIUP0.9 Raw'!C643</f>
        <v>55 XXL</v>
      </c>
      <c r="D4213" s="19" t="n">
        <f aca="false">'CEMIUP0.9 Raw'!D643</f>
        <v>3</v>
      </c>
      <c r="E4213" s="19" t="n">
        <f aca="false">'CEMIUP0.9 Raw'!E643</f>
        <v>252.96</v>
      </c>
      <c r="F4213" s="19" t="n">
        <f aca="false">'CEMIUP0.9 Raw'!F643</f>
        <v>1.26315789473684</v>
      </c>
      <c r="G4213" s="19" t="n">
        <f aca="false">'CEMIUP0.9 Raw'!G643</f>
        <v>106.509473684211</v>
      </c>
      <c r="H4213" s="18" t="str">
        <f aca="false">'CEMIUP0.9 Raw'!A643</f>
        <v>107 - Pharmacies</v>
      </c>
    </row>
    <row r="4214" customFormat="false" ht="15" hidden="false" customHeight="false" outlineLevel="0" collapsed="false">
      <c r="A4214" s="18" t="str">
        <f aca="false">'CEMIUP0.9 Raw'!B645</f>
        <v>59R XXL</v>
      </c>
      <c r="B4214" s="18" t="str">
        <f aca="false">'CEMIUP0.9 Raw'!C645</f>
        <v>59R XXL</v>
      </c>
      <c r="C4214" s="18" t="str">
        <f aca="false">'CEMIUP0.9 Raw'!C645</f>
        <v>59R XXL</v>
      </c>
      <c r="D4214" s="19" t="n">
        <f aca="false">'CEMIUP0.9 Raw'!D645</f>
        <v>0</v>
      </c>
      <c r="E4214" s="19" t="n">
        <f aca="false">'CEMIUP0.9 Raw'!E645</f>
        <v>0</v>
      </c>
      <c r="F4214" s="19" t="n">
        <f aca="false">'CEMIUP0.9 Raw'!F645</f>
        <v>1.26315789473684</v>
      </c>
      <c r="G4214" s="19" t="n">
        <f aca="false">'CEMIUP0.9 Raw'!G645</f>
        <v>236.778947368421</v>
      </c>
      <c r="H4214" s="18" t="str">
        <f aca="false">'CEMIUP0.9 Raw'!A645</f>
        <v>107 - Pharmacies</v>
      </c>
    </row>
    <row r="4215" customFormat="false" ht="15" hidden="false" customHeight="false" outlineLevel="0" collapsed="false">
      <c r="A4215" s="18" t="str">
        <f aca="false">'CEMIUP0.9 Raw'!B647</f>
        <v>63 S</v>
      </c>
      <c r="B4215" s="18" t="str">
        <f aca="false">'CEMIUP0.9 Raw'!C647</f>
        <v>63 S</v>
      </c>
      <c r="C4215" s="18" t="str">
        <f aca="false">'CEMIUP0.9 Raw'!C647</f>
        <v>63 S</v>
      </c>
      <c r="D4215" s="19" t="n">
        <f aca="false">'CEMIUP0.9 Raw'!D647</f>
        <v>0</v>
      </c>
      <c r="E4215" s="19" t="n">
        <f aca="false">'CEMIUP0.9 Raw'!E647</f>
        <v>0</v>
      </c>
      <c r="F4215" s="19" t="n">
        <f aca="false">'CEMIUP0.9 Raw'!F647</f>
        <v>1.26315789473684</v>
      </c>
      <c r="G4215" s="19" t="n">
        <f aca="false">'CEMIUP0.9 Raw'!G647</f>
        <v>84.0126315789474</v>
      </c>
      <c r="H4215" s="18" t="str">
        <f aca="false">'CEMIUP0.9 Raw'!A647</f>
        <v>107 - Pharmacies</v>
      </c>
    </row>
    <row r="4216" customFormat="false" ht="15" hidden="false" customHeight="false" outlineLevel="0" collapsed="false">
      <c r="A4216" s="18" t="str">
        <f aca="false">'CEMIUP0.9 Raw'!B657</f>
        <v>SH776 L</v>
      </c>
      <c r="B4216" s="18" t="str">
        <f aca="false">'CEMIUP0.9 Raw'!C657</f>
        <v>SH776 L</v>
      </c>
      <c r="C4216" s="18" t="str">
        <f aca="false">'CEMIUP0.9 Raw'!C657</f>
        <v>SH776 L</v>
      </c>
      <c r="D4216" s="19" t="n">
        <f aca="false">'CEMIUP0.9 Raw'!D657</f>
        <v>0</v>
      </c>
      <c r="E4216" s="19" t="n">
        <f aca="false">'CEMIUP0.9 Raw'!E657</f>
        <v>0</v>
      </c>
      <c r="F4216" s="19" t="n">
        <f aca="false">'CEMIUP0.9 Raw'!F657</f>
        <v>1.26315789473684</v>
      </c>
      <c r="G4216" s="19" t="n">
        <f aca="false">'CEMIUP0.9 Raw'!G657</f>
        <v>442.105263157895</v>
      </c>
      <c r="H4216" s="18" t="str">
        <f aca="false">'CEMIUP0.9 Raw'!A657</f>
        <v>107 - Pharmacies</v>
      </c>
    </row>
    <row r="4217" customFormat="false" ht="15" hidden="false" customHeight="false" outlineLevel="0" collapsed="false">
      <c r="A4217" s="18" t="str">
        <f aca="false">'CEMIUP0.9 Raw'!B664</f>
        <v>T402 XL</v>
      </c>
      <c r="B4217" s="18" t="str">
        <f aca="false">'CEMIUP0.9 Raw'!C664</f>
        <v>T402 XL</v>
      </c>
      <c r="C4217" s="18" t="str">
        <f aca="false">'CEMIUP0.9 Raw'!C664</f>
        <v>T402 XL</v>
      </c>
      <c r="D4217" s="19" t="n">
        <f aca="false">'CEMIUP0.9 Raw'!D664</f>
        <v>0</v>
      </c>
      <c r="E4217" s="19" t="n">
        <f aca="false">'CEMIUP0.9 Raw'!E664</f>
        <v>0</v>
      </c>
      <c r="F4217" s="19" t="n">
        <f aca="false">'CEMIUP0.9 Raw'!F664</f>
        <v>1.26315789473684</v>
      </c>
      <c r="G4217" s="19" t="n">
        <f aca="false">'CEMIUP0.9 Raw'!G664</f>
        <v>119.532631578947</v>
      </c>
      <c r="H4217" s="18" t="str">
        <f aca="false">'CEMIUP0.9 Raw'!A664</f>
        <v>107 - Pharmacies</v>
      </c>
    </row>
    <row r="4218" customFormat="false" ht="15" hidden="false" customHeight="false" outlineLevel="0" collapsed="false">
      <c r="A4218" s="18" t="str">
        <f aca="false">'CEMIUP0.9 Raw'!B665</f>
        <v>T402 XXL</v>
      </c>
      <c r="B4218" s="18" t="str">
        <f aca="false">'CEMIUP0.9 Raw'!C665</f>
        <v>T402 XXL</v>
      </c>
      <c r="C4218" s="18" t="str">
        <f aca="false">'CEMIUP0.9 Raw'!C665</f>
        <v>T402 XXL</v>
      </c>
      <c r="D4218" s="19" t="n">
        <f aca="false">'CEMIUP0.9 Raw'!D665</f>
        <v>0</v>
      </c>
      <c r="E4218" s="19" t="n">
        <f aca="false">'CEMIUP0.9 Raw'!E665</f>
        <v>0</v>
      </c>
      <c r="F4218" s="19" t="n">
        <f aca="false">'CEMIUP0.9 Raw'!F665</f>
        <v>1.26315789473684</v>
      </c>
      <c r="G4218" s="19" t="n">
        <f aca="false">'CEMIUP0.9 Raw'!G665</f>
        <v>119.532631578947</v>
      </c>
      <c r="H4218" s="18" t="str">
        <f aca="false">'CEMIUP0.9 Raw'!A665</f>
        <v>107 - Pharmacies</v>
      </c>
    </row>
    <row r="4219" customFormat="false" ht="15" hidden="false" customHeight="false" outlineLevel="0" collapsed="false">
      <c r="A4219" s="18" t="str">
        <f aca="false">'CEMIUP0.9 Raw'!B666</f>
        <v>T45X L</v>
      </c>
      <c r="B4219" s="18" t="str">
        <f aca="false">'CEMIUP0.9 Raw'!C666</f>
        <v>T45X L</v>
      </c>
      <c r="C4219" s="18" t="str">
        <f aca="false">'CEMIUP0.9 Raw'!C666</f>
        <v>T45X L</v>
      </c>
      <c r="D4219" s="19" t="n">
        <f aca="false">'CEMIUP0.9 Raw'!D666</f>
        <v>0</v>
      </c>
      <c r="E4219" s="19" t="n">
        <f aca="false">'CEMIUP0.9 Raw'!E666</f>
        <v>0</v>
      </c>
      <c r="F4219" s="19" t="n">
        <f aca="false">'CEMIUP0.9 Raw'!F666</f>
        <v>1.26315789473684</v>
      </c>
      <c r="G4219" s="19" t="n">
        <f aca="false">'CEMIUP0.9 Raw'!G666</f>
        <v>149.216842105263</v>
      </c>
      <c r="H4219" s="18" t="str">
        <f aca="false">'CEMIUP0.9 Raw'!A666</f>
        <v>107 - Pharmacies</v>
      </c>
    </row>
    <row r="4220" customFormat="false" ht="15" hidden="false" customHeight="false" outlineLevel="0" collapsed="false">
      <c r="A4220" s="18" t="n">
        <f aca="false">'CEMIUP0.9 Raw'!B706</f>
        <v>4408069</v>
      </c>
      <c r="B4220" s="18" t="str">
        <f aca="false">'CEMIUP0.9 Raw'!C706</f>
        <v>38 0</v>
      </c>
      <c r="C4220" s="18" t="str">
        <f aca="false">'CEMIUP0.9 Raw'!C706</f>
        <v>38 0</v>
      </c>
      <c r="D4220" s="19" t="n">
        <f aca="false">'CEMIUP0.9 Raw'!D706</f>
        <v>17</v>
      </c>
      <c r="E4220" s="19" t="n">
        <f aca="false">'CEMIUP0.9 Raw'!E706</f>
        <v>910.01</v>
      </c>
      <c r="F4220" s="19" t="n">
        <f aca="false">'CEMIUP0.9 Raw'!F706</f>
        <v>1.26315789473684</v>
      </c>
      <c r="G4220" s="19" t="n">
        <f aca="false">'CEMIUP0.9 Raw'!G706</f>
        <v>67.6168421052632</v>
      </c>
      <c r="H4220" s="18" t="str">
        <f aca="false">'CEMIUP0.9 Raw'!A706</f>
        <v>113 - Kupat Holim Meuhedet</v>
      </c>
    </row>
    <row r="4221" customFormat="false" ht="15" hidden="false" customHeight="false" outlineLevel="0" collapsed="false">
      <c r="A4221" s="18" t="n">
        <f aca="false">'CEMIUP0.9 Raw'!B707</f>
        <v>4408070</v>
      </c>
      <c r="B4221" s="18" t="str">
        <f aca="false">'CEMIUP0.9 Raw'!C707</f>
        <v>59D S</v>
      </c>
      <c r="C4221" s="18" t="str">
        <f aca="false">'CEMIUP0.9 Raw'!C707</f>
        <v>59D S</v>
      </c>
      <c r="D4221" s="19" t="n">
        <f aca="false">'CEMIUP0.9 Raw'!D707</f>
        <v>2</v>
      </c>
      <c r="E4221" s="19" t="n">
        <f aca="false">'CEMIUP0.9 Raw'!E707</f>
        <v>391.46</v>
      </c>
      <c r="F4221" s="19" t="n">
        <f aca="false">'CEMIUP0.9 Raw'!F707</f>
        <v>1.26315789473684</v>
      </c>
      <c r="G4221" s="19" t="n">
        <f aca="false">'CEMIUP0.9 Raw'!G707</f>
        <v>247.237894736842</v>
      </c>
      <c r="H4221" s="18" t="str">
        <f aca="false">'CEMIUP0.9 Raw'!A707</f>
        <v>113 - Kupat Holim Meuhedet</v>
      </c>
    </row>
    <row r="4222" customFormat="false" ht="15" hidden="false" customHeight="false" outlineLevel="0" collapsed="false">
      <c r="A4222" s="18" t="n">
        <f aca="false">'CEMIUP0.9 Raw'!B708</f>
        <v>4408071</v>
      </c>
      <c r="B4222" s="18" t="str">
        <f aca="false">'CEMIUP0.9 Raw'!C708</f>
        <v>59D L חגורת שבר דו צדדי</v>
      </c>
      <c r="C4222" s="18" t="str">
        <f aca="false">'CEMIUP0.9 Raw'!C708</f>
        <v>59D L חגורת שבר דו צדדי</v>
      </c>
      <c r="D4222" s="19" t="n">
        <f aca="false">'CEMIUP0.9 Raw'!D708</f>
        <v>5</v>
      </c>
      <c r="E4222" s="19" t="n">
        <f aca="false">'CEMIUP0.9 Raw'!E708</f>
        <v>978.65</v>
      </c>
      <c r="F4222" s="19" t="n">
        <f aca="false">'CEMIUP0.9 Raw'!F708</f>
        <v>1.26315789473684</v>
      </c>
      <c r="G4222" s="19" t="n">
        <f aca="false">'CEMIUP0.9 Raw'!G708</f>
        <v>146.456842105263</v>
      </c>
      <c r="H4222" s="18" t="str">
        <f aca="false">'CEMIUP0.9 Raw'!A708</f>
        <v>113 - Kupat Holim Meuhedet</v>
      </c>
    </row>
    <row r="4223" customFormat="false" ht="15" hidden="false" customHeight="false" outlineLevel="0" collapsed="false">
      <c r="A4223" s="18" t="n">
        <f aca="false">'CEMIUP0.9 Raw'!B714</f>
        <v>4408078</v>
      </c>
      <c r="B4223" s="18" t="str">
        <f aca="false">'CEMIUP0.9 Raw'!C714</f>
        <v>59L XL</v>
      </c>
      <c r="C4223" s="18" t="str">
        <f aca="false">'CEMIUP0.9 Raw'!C714</f>
        <v>59L XL</v>
      </c>
      <c r="D4223" s="19" t="n">
        <f aca="false">'CEMIUP0.9 Raw'!D714</f>
        <v>1</v>
      </c>
      <c r="E4223" s="19" t="n">
        <f aca="false">'CEMIUP0.9 Raw'!E714</f>
        <v>126.57</v>
      </c>
      <c r="F4223" s="19" t="n">
        <f aca="false">'CEMIUP0.9 Raw'!F714</f>
        <v>1.26315789473684</v>
      </c>
      <c r="G4223" s="19" t="n">
        <f aca="false">'CEMIUP0.9 Raw'!G714</f>
        <v>159.877894736842</v>
      </c>
      <c r="H4223" s="18" t="str">
        <f aca="false">'CEMIUP0.9 Raw'!A714</f>
        <v>113 - Kupat Holim Meuhedet</v>
      </c>
    </row>
    <row r="4224" customFormat="false" ht="15" hidden="false" customHeight="false" outlineLevel="0" collapsed="false">
      <c r="A4224" s="18" t="n">
        <f aca="false">'CEMIUP0.9 Raw'!B720</f>
        <v>4408151</v>
      </c>
      <c r="B4224" s="18" t="str">
        <f aca="false">'CEMIUP0.9 Raw'!C720</f>
        <v>11TO M חגורה למנותחי בית החזה</v>
      </c>
      <c r="C4224" s="18" t="str">
        <f aca="false">'CEMIUP0.9 Raw'!C720</f>
        <v>11TO M חגורה למנותחי בית החזה</v>
      </c>
      <c r="D4224" s="19" t="n">
        <f aca="false">'CEMIUP0.9 Raw'!D720</f>
        <v>8</v>
      </c>
      <c r="E4224" s="19" t="n">
        <f aca="false">'CEMIUP0.9 Raw'!E720</f>
        <v>856.72</v>
      </c>
      <c r="F4224" s="19" t="n">
        <f aca="false">'CEMIUP0.9 Raw'!F720</f>
        <v>1.26315789473684</v>
      </c>
      <c r="G4224" s="19" t="n">
        <f aca="false">'CEMIUP0.9 Raw'!G720</f>
        <v>123.108631578947</v>
      </c>
      <c r="H4224" s="18" t="str">
        <f aca="false">'CEMIUP0.9 Raw'!A720</f>
        <v>113 - Kupat Holim Meuhedet</v>
      </c>
    </row>
    <row r="4225" customFormat="false" ht="15" hidden="false" customHeight="false" outlineLevel="0" collapsed="false">
      <c r="A4225" s="18" t="n">
        <f aca="false">'CEMIUP0.9 Raw'!B742</f>
        <v>4408263</v>
      </c>
      <c r="B4225" s="18" t="str">
        <f aca="false">'CEMIUP0.9 Raw'!C742</f>
        <v>11STO XXL חגורה אחרי ניתוח</v>
      </c>
      <c r="C4225" s="18" t="str">
        <f aca="false">'CEMIUP0.9 Raw'!C742</f>
        <v>11STO XXL חגורה אחרי ניתוח</v>
      </c>
      <c r="D4225" s="19" t="n">
        <f aca="false">'CEMIUP0.9 Raw'!D742</f>
        <v>7</v>
      </c>
      <c r="E4225" s="19" t="n">
        <f aca="false">'CEMIUP0.9 Raw'!E742</f>
        <v>795.06</v>
      </c>
      <c r="F4225" s="19" t="n">
        <f aca="false">'CEMIUP0.9 Raw'!F742</f>
        <v>1.26315789473684</v>
      </c>
      <c r="G4225" s="19" t="n">
        <f aca="false">'CEMIUP0.9 Raw'!G742</f>
        <v>130.580210526316</v>
      </c>
      <c r="H4225" s="18" t="str">
        <f aca="false">'CEMIUP0.9 Raw'!A742</f>
        <v>113 - Kupat Holim Meuhedet</v>
      </c>
    </row>
    <row r="4226" customFormat="false" ht="15" hidden="false" customHeight="false" outlineLevel="0" collapsed="false">
      <c r="A4226" s="18" t="n">
        <f aca="false">'CEMIUP0.9 Raw'!B749</f>
        <v>4408273</v>
      </c>
      <c r="B4226" s="18" t="str">
        <f aca="false">'CEMIUP0.9 Raw'!C749</f>
        <v>70N M חגורת פאבליק</v>
      </c>
      <c r="C4226" s="18" t="str">
        <f aca="false">'CEMIUP0.9 Raw'!C749</f>
        <v>70N M חגורת פאבליק</v>
      </c>
      <c r="D4226" s="19" t="n">
        <f aca="false">'CEMIUP0.9 Raw'!D749</f>
        <v>0</v>
      </c>
      <c r="E4226" s="19" t="n">
        <f aca="false">'CEMIUP0.9 Raw'!E749</f>
        <v>0</v>
      </c>
      <c r="F4226" s="19" t="n">
        <f aca="false">'CEMIUP0.9 Raw'!F749</f>
        <v>1.26315789473684</v>
      </c>
      <c r="G4226" s="19" t="n">
        <f aca="false">'CEMIUP0.9 Raw'!G749</f>
        <v>255.183157894737</v>
      </c>
      <c r="H4226" s="18" t="str">
        <f aca="false">'CEMIUP0.9 Raw'!A749</f>
        <v>113 - Kupat Holim Meuhedet</v>
      </c>
    </row>
    <row r="4227" customFormat="false" ht="15" hidden="false" customHeight="false" outlineLevel="0" collapsed="false">
      <c r="A4227" s="18" t="n">
        <f aca="false">'CEMIUP0.9 Raw'!B750</f>
        <v>4408274</v>
      </c>
      <c r="B4227" s="18" t="str">
        <f aca="false">'CEMIUP0.9 Raw'!C750</f>
        <v>70N L חגורת פאבליק</v>
      </c>
      <c r="C4227" s="18" t="str">
        <f aca="false">'CEMIUP0.9 Raw'!C750</f>
        <v>70N L חגורת פאבליק</v>
      </c>
      <c r="D4227" s="19" t="n">
        <f aca="false">'CEMIUP0.9 Raw'!D750</f>
        <v>0</v>
      </c>
      <c r="E4227" s="19" t="n">
        <f aca="false">'CEMIUP0.9 Raw'!E750</f>
        <v>0</v>
      </c>
      <c r="F4227" s="19" t="n">
        <f aca="false">'CEMIUP0.9 Raw'!F750</f>
        <v>1.26315789473684</v>
      </c>
      <c r="G4227" s="19" t="n">
        <f aca="false">'CEMIUP0.9 Raw'!G750</f>
        <v>255.183157894737</v>
      </c>
      <c r="H4227" s="18" t="str">
        <f aca="false">'CEMIUP0.9 Raw'!A750</f>
        <v>113 - Kupat Holim Meuhedet</v>
      </c>
    </row>
    <row r="4228" customFormat="false" ht="15" hidden="false" customHeight="false" outlineLevel="0" collapsed="false">
      <c r="A4228" s="18" t="n">
        <f aca="false">'CEMIUP0.9 Raw'!B831</f>
        <v>4413277</v>
      </c>
      <c r="B4228" s="18" t="str">
        <f aca="false">'CEMIUP0.9 Raw'!C831</f>
        <v>LF377 M-מדרס סיליקון לנעלי עקב</v>
      </c>
      <c r="C4228" s="18" t="str">
        <f aca="false">'CEMIUP0.9 Raw'!C831</f>
        <v>LF377 M-מדרס סיליקון לנעלי עקב</v>
      </c>
      <c r="D4228" s="19" t="n">
        <f aca="false">'CEMIUP0.9 Raw'!D831</f>
        <v>0</v>
      </c>
      <c r="E4228" s="19" t="n">
        <f aca="false">'CEMIUP0.9 Raw'!E831</f>
        <v>0</v>
      </c>
      <c r="F4228" s="19" t="n">
        <f aca="false">'CEMIUP0.9 Raw'!F831</f>
        <v>1.26315789473684</v>
      </c>
      <c r="G4228" s="19" t="n">
        <f aca="false">'CEMIUP0.9 Raw'!G831</f>
        <v>36.8981052631579</v>
      </c>
      <c r="H4228" s="18" t="str">
        <f aca="false">'CEMIUP0.9 Raw'!A831</f>
        <v>113 - Kupat Holim Meuhedet</v>
      </c>
    </row>
    <row r="4229" customFormat="false" ht="15" hidden="false" customHeight="false" outlineLevel="0" collapsed="false">
      <c r="A4229" s="18" t="n">
        <f aca="false">'CEMIUP0.9 Raw'!B867</f>
        <v>4420023</v>
      </c>
      <c r="B4229" s="18" t="str">
        <f aca="false">'CEMIUP0.9 Raw'!C867</f>
        <v>LF371 0</v>
      </c>
      <c r="C4229" s="18" t="str">
        <f aca="false">'CEMIUP0.9 Raw'!C867</f>
        <v>LF371 0</v>
      </c>
      <c r="D4229" s="19" t="n">
        <f aca="false">'CEMIUP0.9 Raw'!D867</f>
        <v>2</v>
      </c>
      <c r="E4229" s="19" t="n">
        <f aca="false">'CEMIUP0.9 Raw'!E867</f>
        <v>31.82</v>
      </c>
      <c r="F4229" s="19" t="n">
        <f aca="false">'CEMIUP0.9 Raw'!F867</f>
        <v>1.26315789473684</v>
      </c>
      <c r="G4229" s="19" t="n">
        <f aca="false">'CEMIUP0.9 Raw'!G867</f>
        <v>20.0968421052632</v>
      </c>
      <c r="H4229" s="18" t="str">
        <f aca="false">'CEMIUP0.9 Raw'!A867</f>
        <v>113 - Kupat Holim Meuhedet</v>
      </c>
    </row>
    <row r="4230" customFormat="false" ht="15" hidden="false" customHeight="false" outlineLevel="0" collapsed="false">
      <c r="A4230" s="18" t="str">
        <f aca="false">'CEMIUP0.9 Raw'!B887</f>
        <v>078C XL</v>
      </c>
      <c r="B4230" s="18" t="str">
        <f aca="false">'CEMIUP0.9 Raw'!C887</f>
        <v>078C XL</v>
      </c>
      <c r="C4230" s="18" t="str">
        <f aca="false">'CEMIUP0.9 Raw'!C887</f>
        <v>078C XL</v>
      </c>
      <c r="D4230" s="19" t="n">
        <f aca="false">'CEMIUP0.9 Raw'!D887</f>
        <v>0</v>
      </c>
      <c r="E4230" s="19" t="n">
        <f aca="false">'CEMIUP0.9 Raw'!E887</f>
        <v>0</v>
      </c>
      <c r="F4230" s="19" t="n">
        <f aca="false">'CEMIUP0.9 Raw'!F887</f>
        <v>1.26315789473684</v>
      </c>
      <c r="G4230" s="19" t="n">
        <f aca="false">'CEMIUP0.9 Raw'!G887</f>
        <v>82.1052631578947</v>
      </c>
      <c r="H4230" s="18" t="str">
        <f aca="false">'CEMIUP0.9 Raw'!A887</f>
        <v>113 - Kupat Holim Meuhedet</v>
      </c>
    </row>
    <row r="4231" customFormat="false" ht="15" hidden="false" customHeight="false" outlineLevel="0" collapsed="false">
      <c r="A4231" s="18" t="str">
        <f aca="false">'CEMIUP0.9 Raw'!B897</f>
        <v>11U L</v>
      </c>
      <c r="B4231" s="18" t="str">
        <f aca="false">'CEMIUP0.9 Raw'!C897</f>
        <v>11U L</v>
      </c>
      <c r="C4231" s="18" t="str">
        <f aca="false">'CEMIUP0.9 Raw'!C897</f>
        <v>11U L</v>
      </c>
      <c r="D4231" s="19" t="n">
        <f aca="false">'CEMIUP0.9 Raw'!D897</f>
        <v>16</v>
      </c>
      <c r="E4231" s="19" t="n">
        <f aca="false">'CEMIUP0.9 Raw'!E897</f>
        <v>1038.24</v>
      </c>
      <c r="F4231" s="19" t="n">
        <f aca="false">'CEMIUP0.9 Raw'!F897</f>
        <v>1.26315789473684</v>
      </c>
      <c r="G4231" s="19" t="n">
        <f aca="false">'CEMIUP0.9 Raw'!G897</f>
        <v>81.9663157894737</v>
      </c>
      <c r="H4231" s="18" t="str">
        <f aca="false">'CEMIUP0.9 Raw'!A897</f>
        <v>113 - Kupat Holim Meuhedet</v>
      </c>
    </row>
    <row r="4232" customFormat="false" ht="15" hidden="false" customHeight="false" outlineLevel="0" collapsed="false">
      <c r="A4232" s="18" t="str">
        <f aca="false">'CEMIUP0.9 Raw'!B912</f>
        <v>67800020</v>
      </c>
      <c r="B4232" s="18" t="str">
        <f aca="false">'CEMIUP0.9 Raw'!C912</f>
        <v>67800020</v>
      </c>
      <c r="C4232" s="18" t="str">
        <f aca="false">'CEMIUP0.9 Raw'!C912</f>
        <v>67800020</v>
      </c>
      <c r="D4232" s="19" t="n">
        <f aca="false">'CEMIUP0.9 Raw'!D912</f>
        <v>0</v>
      </c>
      <c r="E4232" s="19" t="n">
        <f aca="false">'CEMIUP0.9 Raw'!E912</f>
        <v>0</v>
      </c>
      <c r="F4232" s="19" t="n">
        <f aca="false">'CEMIUP0.9 Raw'!F912</f>
        <v>1.26315789473684</v>
      </c>
      <c r="G4232" s="19" t="n">
        <f aca="false">'CEMIUP0.9 Raw'!G912</f>
        <v>0</v>
      </c>
      <c r="H4232" s="18" t="str">
        <f aca="false">'CEMIUP0.9 Raw'!A912</f>
        <v>113 - Kupat Holim Meuhedet</v>
      </c>
    </row>
    <row r="4233" customFormat="false" ht="15" hidden="false" customHeight="false" outlineLevel="0" collapsed="false">
      <c r="A4233" s="18" t="str">
        <f aca="false">'CEMIUP0.9 Raw'!B914</f>
        <v>74-S-M</v>
      </c>
      <c r="B4233" s="18" t="str">
        <f aca="false">'CEMIUP0.9 Raw'!C914</f>
        <v>74-S-M</v>
      </c>
      <c r="C4233" s="18" t="str">
        <f aca="false">'CEMIUP0.9 Raw'!C914</f>
        <v>74-S-M</v>
      </c>
      <c r="D4233" s="19" t="n">
        <f aca="false">'CEMIUP0.9 Raw'!D914</f>
        <v>8</v>
      </c>
      <c r="E4233" s="19" t="n">
        <f aca="false">'CEMIUP0.9 Raw'!E914</f>
        <v>1038.48</v>
      </c>
      <c r="F4233" s="19" t="n">
        <f aca="false">'CEMIUP0.9 Raw'!F914</f>
        <v>1.26315789473684</v>
      </c>
      <c r="G4233" s="19" t="n">
        <f aca="false">'CEMIUP0.9 Raw'!G914</f>
        <v>163.970526315789</v>
      </c>
      <c r="H4233" s="18" t="str">
        <f aca="false">'CEMIUP0.9 Raw'!A914</f>
        <v>113 - Kupat Holim Meuhedet</v>
      </c>
    </row>
    <row r="4234" customFormat="false" ht="15" hidden="false" customHeight="false" outlineLevel="0" collapsed="false">
      <c r="A4234" s="18" t="str">
        <f aca="false">'CEMIUP0.9 Raw'!B917</f>
        <v>87 XS</v>
      </c>
      <c r="B4234" s="18" t="str">
        <f aca="false">'CEMIUP0.9 Raw'!C917</f>
        <v>87 XS</v>
      </c>
      <c r="C4234" s="18" t="str">
        <f aca="false">'CEMIUP0.9 Raw'!C917</f>
        <v>87 XS</v>
      </c>
      <c r="D4234" s="19" t="n">
        <f aca="false">'CEMIUP0.9 Raw'!D917</f>
        <v>0</v>
      </c>
      <c r="E4234" s="19" t="n">
        <f aca="false">'CEMIUP0.9 Raw'!E917</f>
        <v>0</v>
      </c>
      <c r="F4234" s="19" t="n">
        <f aca="false">'CEMIUP0.9 Raw'!F917</f>
        <v>1.26315789473684</v>
      </c>
      <c r="G4234" s="19" t="n">
        <f aca="false">'CEMIUP0.9 Raw'!G917</f>
        <v>0</v>
      </c>
      <c r="H4234" s="18" t="str">
        <f aca="false">'CEMIUP0.9 Raw'!A917</f>
        <v>113 - Kupat Holim Meuhedet</v>
      </c>
    </row>
    <row r="4235" customFormat="false" ht="15" hidden="false" customHeight="false" outlineLevel="0" collapsed="false">
      <c r="A4235" s="18" t="str">
        <f aca="false">'CEMIUP0.9 Raw'!B919</f>
        <v>T33 L</v>
      </c>
      <c r="B4235" s="18" t="str">
        <f aca="false">'CEMIUP0.9 Raw'!C919</f>
        <v>T33 L</v>
      </c>
      <c r="C4235" s="18" t="str">
        <f aca="false">'CEMIUP0.9 Raw'!C919</f>
        <v>T33 L</v>
      </c>
      <c r="D4235" s="19" t="n">
        <f aca="false">'CEMIUP0.9 Raw'!D919</f>
        <v>10</v>
      </c>
      <c r="E4235" s="19" t="n">
        <f aca="false">'CEMIUP0.9 Raw'!E919</f>
        <v>941</v>
      </c>
      <c r="F4235" s="19" t="n">
        <f aca="false">'CEMIUP0.9 Raw'!F919</f>
        <v>1.26315789473684</v>
      </c>
      <c r="G4235" s="19" t="n">
        <f aca="false">'CEMIUP0.9 Raw'!G919</f>
        <v>118.863157894737</v>
      </c>
      <c r="H4235" s="18" t="str">
        <f aca="false">'CEMIUP0.9 Raw'!A919</f>
        <v>113 - Kupat Holim Meuhedet</v>
      </c>
    </row>
    <row r="4236" customFormat="false" ht="15" hidden="false" customHeight="false" outlineLevel="0" collapsed="false">
      <c r="A4236" s="18" t="n">
        <f aca="false">'CEMIUP0.9 Raw'!B985</f>
        <v>4408073</v>
      </c>
      <c r="B4236" s="18" t="str">
        <f aca="false">'CEMIUP0.9 Raw'!C985</f>
        <v>59D XL חגורת שבר דו צדדי</v>
      </c>
      <c r="C4236" s="18" t="str">
        <f aca="false">'CEMIUP0.9 Raw'!C985</f>
        <v>59D XL חגורת שבר דו צדדי</v>
      </c>
      <c r="D4236" s="19" t="n">
        <f aca="false">'CEMIUP0.9 Raw'!D985</f>
        <v>2</v>
      </c>
      <c r="E4236" s="19" t="n">
        <f aca="false">'CEMIUP0.9 Raw'!E985</f>
        <v>549.094</v>
      </c>
      <c r="F4236" s="19" t="n">
        <f aca="false">'CEMIUP0.9 Raw'!F985</f>
        <v>1.26315789473684</v>
      </c>
      <c r="G4236" s="19" t="n">
        <f aca="false">'CEMIUP0.9 Raw'!G985</f>
        <v>346.796210526316</v>
      </c>
      <c r="H4236" s="18" t="str">
        <f aca="false">'CEMIUP0.9 Raw'!A985</f>
        <v>BE (CEMI internal group)</v>
      </c>
    </row>
    <row r="4237" customFormat="false" ht="15" hidden="false" customHeight="false" outlineLevel="0" collapsed="false">
      <c r="A4237" s="18" t="n">
        <f aca="false">'CEMIUP0.9 Raw'!B987</f>
        <v>4408078</v>
      </c>
      <c r="B4237" s="18" t="str">
        <f aca="false">'CEMIUP0.9 Raw'!C987</f>
        <v>59L XLחגורת שבר לצד שמאל</v>
      </c>
      <c r="C4237" s="18" t="str">
        <f aca="false">'CEMIUP0.9 Raw'!C987</f>
        <v>59L XLחגורת שבר לצד שמאל</v>
      </c>
      <c r="D4237" s="19" t="n">
        <f aca="false">'CEMIUP0.9 Raw'!D987</f>
        <v>0</v>
      </c>
      <c r="E4237" s="19" t="n">
        <f aca="false">'CEMIUP0.9 Raw'!E987</f>
        <v>0</v>
      </c>
      <c r="F4237" s="19" t="n">
        <f aca="false">'CEMIUP0.9 Raw'!F987</f>
        <v>1.26315789473684</v>
      </c>
      <c r="G4237" s="19" t="n">
        <f aca="false">'CEMIUP0.9 Raw'!G987</f>
        <v>197.709473684211</v>
      </c>
      <c r="H4237" s="18" t="str">
        <f aca="false">'CEMIUP0.9 Raw'!A987</f>
        <v>BE (CEMI internal group)</v>
      </c>
    </row>
    <row r="4238" customFormat="false" ht="15" hidden="false" customHeight="false" outlineLevel="0" collapsed="false">
      <c r="A4238" s="18" t="n">
        <f aca="false">'CEMIUP0.9 Raw'!B989</f>
        <v>4408081</v>
      </c>
      <c r="B4238" s="18" t="str">
        <f aca="false">'CEMIUP0.9 Raw'!C989</f>
        <v>59R M חגורת שבר לצד ימין</v>
      </c>
      <c r="C4238" s="18" t="str">
        <f aca="false">'CEMIUP0.9 Raw'!C989</f>
        <v>59R M חגורת שבר לצד ימין</v>
      </c>
      <c r="D4238" s="19" t="n">
        <f aca="false">'CEMIUP0.9 Raw'!D989</f>
        <v>1</v>
      </c>
      <c r="E4238" s="19" t="n">
        <f aca="false">'CEMIUP0.9 Raw'!E989</f>
        <v>162.799</v>
      </c>
      <c r="F4238" s="19" t="n">
        <f aca="false">'CEMIUP0.9 Raw'!F989</f>
        <v>1.26315789473684</v>
      </c>
      <c r="G4238" s="19" t="n">
        <f aca="false">'CEMIUP0.9 Raw'!G989</f>
        <v>205.640842105263</v>
      </c>
      <c r="H4238" s="18" t="str">
        <f aca="false">'CEMIUP0.9 Raw'!A989</f>
        <v>BE (CEMI internal group)</v>
      </c>
    </row>
    <row r="4239" customFormat="false" ht="15" hidden="false" customHeight="false" outlineLevel="0" collapsed="false">
      <c r="A4239" s="18" t="n">
        <f aca="false">'CEMIUP0.9 Raw'!B991</f>
        <v>4408089</v>
      </c>
      <c r="B4239" s="18" t="str">
        <f aca="false">'CEMIUP0.9 Raw'!C991</f>
        <v>T11C S  חגורת גב פוג'יאמה</v>
      </c>
      <c r="C4239" s="18" t="str">
        <f aca="false">'CEMIUP0.9 Raw'!C991</f>
        <v>T11C S  חגורת גב פוג'יאמה</v>
      </c>
      <c r="D4239" s="19" t="n">
        <f aca="false">'CEMIUP0.9 Raw'!D991</f>
        <v>-2</v>
      </c>
      <c r="E4239" s="19" t="n">
        <f aca="false">'CEMIUP0.9 Raw'!E991</f>
        <v>-160.524</v>
      </c>
      <c r="F4239" s="19" t="n">
        <f aca="false">'CEMIUP0.9 Raw'!F991</f>
        <v>1.26315789473684</v>
      </c>
      <c r="G4239" s="19" t="n">
        <f aca="false">'CEMIUP0.9 Raw'!G991</f>
        <v>101.383578947368</v>
      </c>
      <c r="H4239" s="18" t="str">
        <f aca="false">'CEMIUP0.9 Raw'!A991</f>
        <v>BE (CEMI internal group)</v>
      </c>
    </row>
    <row r="4240" customFormat="false" ht="15" hidden="false" customHeight="false" outlineLevel="0" collapsed="false">
      <c r="A4240" s="18" t="n">
        <f aca="false">'CEMIUP0.9 Raw'!B995</f>
        <v>4408093</v>
      </c>
      <c r="B4240" s="18" t="str">
        <f aca="false">'CEMIUP0.9 Raw'!C995</f>
        <v>T11C XXL חגורת גב פוג'יאמה</v>
      </c>
      <c r="C4240" s="18" t="str">
        <f aca="false">'CEMIUP0.9 Raw'!C995</f>
        <v>T11C XXL חגורת גב פוג'יאמה</v>
      </c>
      <c r="D4240" s="19" t="n">
        <f aca="false">'CEMIUP0.9 Raw'!D995</f>
        <v>0</v>
      </c>
      <c r="E4240" s="19" t="n">
        <f aca="false">'CEMIUP0.9 Raw'!E995</f>
        <v>0</v>
      </c>
      <c r="F4240" s="19" t="n">
        <f aca="false">'CEMIUP0.9 Raw'!F995</f>
        <v>1.26315789473684</v>
      </c>
      <c r="G4240" s="19" t="n">
        <f aca="false">'CEMIUP0.9 Raw'!G995</f>
        <v>101.383578947368</v>
      </c>
      <c r="H4240" s="18" t="str">
        <f aca="false">'CEMIUP0.9 Raw'!A995</f>
        <v>BE (CEMI internal group)</v>
      </c>
    </row>
    <row r="4241" customFormat="false" ht="15" hidden="false" customHeight="false" outlineLevel="0" collapsed="false">
      <c r="A4241" s="18" t="n">
        <f aca="false">'CEMIUP0.9 Raw'!B1054</f>
        <v>4413020</v>
      </c>
      <c r="B4241" s="18" t="str">
        <f aca="false">'CEMIUP0.9 Raw'!C1054</f>
        <v>303 41-42 מדרסי סיליק.לח.סכרת</v>
      </c>
      <c r="C4241" s="18" t="str">
        <f aca="false">'CEMIUP0.9 Raw'!C1054</f>
        <v>303 41-42 מדרסי סיליק.לח.סכרת</v>
      </c>
      <c r="D4241" s="19" t="n">
        <f aca="false">'CEMIUP0.9 Raw'!D1054</f>
        <v>3</v>
      </c>
      <c r="E4241" s="19" t="n">
        <f aca="false">'CEMIUP0.9 Raw'!E1054</f>
        <v>301.665</v>
      </c>
      <c r="F4241" s="19" t="n">
        <f aca="false">'CEMIUP0.9 Raw'!F1054</f>
        <v>1.26315789473684</v>
      </c>
      <c r="G4241" s="19" t="n">
        <f aca="false">'CEMIUP0.9 Raw'!G1054</f>
        <v>127.016842105263</v>
      </c>
      <c r="H4241" s="18" t="str">
        <f aca="false">'CEMIUP0.9 Raw'!A1054</f>
        <v>BE (CEMI internal group)</v>
      </c>
    </row>
    <row r="4242" customFormat="false" ht="15" hidden="false" customHeight="false" outlineLevel="0" collapsed="false">
      <c r="A4242" s="18" t="n">
        <f aca="false">'CEMIUP0.9 Raw'!B1080</f>
        <v>4413072</v>
      </c>
      <c r="B4242" s="18" t="str">
        <f aca="false">'CEMIUP0.9 Raw'!C1080</f>
        <v>41 Lמ.ברך מוצלב+ספירלות בצדדים</v>
      </c>
      <c r="C4242" s="18" t="str">
        <f aca="false">'CEMIUP0.9 Raw'!C1080</f>
        <v>41 Lמ.ברך מוצלב+ספירלות בצדדים</v>
      </c>
      <c r="D4242" s="19" t="n">
        <f aca="false">'CEMIUP0.9 Raw'!D1080</f>
        <v>4</v>
      </c>
      <c r="E4242" s="19" t="n">
        <f aca="false">'CEMIUP0.9 Raw'!E1080</f>
        <v>417.417</v>
      </c>
      <c r="F4242" s="19" t="n">
        <f aca="false">'CEMIUP0.9 Raw'!F1080</f>
        <v>1.26315789473684</v>
      </c>
      <c r="G4242" s="19" t="n">
        <f aca="false">'CEMIUP0.9 Raw'!G1080</f>
        <v>131.844631578947</v>
      </c>
      <c r="H4242" s="18" t="str">
        <f aca="false">'CEMIUP0.9 Raw'!A1080</f>
        <v>BE (CEMI internal group)</v>
      </c>
    </row>
    <row r="4243" customFormat="false" ht="15" hidden="false" customHeight="false" outlineLevel="0" collapsed="false">
      <c r="A4243" s="18" t="n">
        <f aca="false">'CEMIUP0.9 Raw'!B1141</f>
        <v>4413180</v>
      </c>
      <c r="B4243" s="18" t="str">
        <f aca="false">'CEMIUP0.9 Raw'!C1141</f>
        <v>T39  S מגן שוק</v>
      </c>
      <c r="C4243" s="18" t="str">
        <f aca="false">'CEMIUP0.9 Raw'!C1141</f>
        <v>T39  S מגן שוק</v>
      </c>
      <c r="D4243" s="19" t="n">
        <f aca="false">'CEMIUP0.9 Raw'!D1141</f>
        <v>2</v>
      </c>
      <c r="E4243" s="19" t="n">
        <f aca="false">'CEMIUP0.9 Raw'!E1141</f>
        <v>176.631</v>
      </c>
      <c r="F4243" s="19" t="n">
        <f aca="false">'CEMIUP0.9 Raw'!F1141</f>
        <v>1.26315789473684</v>
      </c>
      <c r="G4243" s="19" t="n">
        <f aca="false">'CEMIUP0.9 Raw'!G1141</f>
        <v>111.498947368421</v>
      </c>
      <c r="H4243" s="18" t="str">
        <f aca="false">'CEMIUP0.9 Raw'!A1141</f>
        <v>BE (CEMI internal group)</v>
      </c>
    </row>
    <row r="4244" customFormat="false" ht="15" hidden="false" customHeight="false" outlineLevel="0" collapsed="false">
      <c r="A4244" s="18" t="n">
        <f aca="false">'CEMIUP0.9 Raw'!B1176</f>
        <v>4413406</v>
      </c>
      <c r="B4244" s="18" t="str">
        <f aca="false">'CEMIUP0.9 Raw'!C1176</f>
        <v>SC95 M מגן מרפק</v>
      </c>
      <c r="C4244" s="18" t="str">
        <f aca="false">'CEMIUP0.9 Raw'!C1176</f>
        <v>SC95 M מגן מרפק</v>
      </c>
      <c r="D4244" s="19" t="n">
        <f aca="false">'CEMIUP0.9 Raw'!D1176</f>
        <v>2</v>
      </c>
      <c r="E4244" s="19" t="n">
        <f aca="false">'CEMIUP0.9 Raw'!E1176</f>
        <v>111.657</v>
      </c>
      <c r="F4244" s="19" t="n">
        <f aca="false">'CEMIUP0.9 Raw'!F1176</f>
        <v>1.26315789473684</v>
      </c>
      <c r="G4244" s="19" t="n">
        <f aca="false">'CEMIUP0.9 Raw'!G1176</f>
        <v>85.6357894736842</v>
      </c>
      <c r="H4244" s="18" t="str">
        <f aca="false">'CEMIUP0.9 Raw'!A1176</f>
        <v>BE (CEMI internal group)</v>
      </c>
    </row>
    <row r="4245" customFormat="false" ht="15" hidden="false" customHeight="false" outlineLevel="0" collapsed="false">
      <c r="A4245" s="18" t="n">
        <f aca="false">'CEMIUP0.9 Raw'!B1339</f>
        <v>4408076</v>
      </c>
      <c r="B4245" s="18" t="str">
        <f aca="false">'CEMIUP0.9 Raw'!C1339</f>
        <v>59L L חגורת שבר לצד שמאל</v>
      </c>
      <c r="C4245" s="18" t="str">
        <f aca="false">'CEMIUP0.9 Raw'!C1339</f>
        <v>59L L חגורת שבר לצד שמאל</v>
      </c>
      <c r="D4245" s="19" t="n">
        <f aca="false">'CEMIUP0.9 Raw'!D1339</f>
        <v>0</v>
      </c>
      <c r="E4245" s="19" t="n">
        <f aca="false">'CEMIUP0.9 Raw'!E1339</f>
        <v>0</v>
      </c>
      <c r="F4245" s="19" t="n">
        <f aca="false">'CEMIUP0.9 Raw'!F1339</f>
        <v>1.26315789473684</v>
      </c>
      <c r="G4245" s="19" t="n">
        <f aca="false">'CEMIUP0.9 Raw'!G1339</f>
        <v>186.789473684211</v>
      </c>
      <c r="H4245" s="18" t="str">
        <f aca="false">'CEMIUP0.9 Raw'!A1339</f>
        <v>Super-Pharm Israel (CEMI internal group)</v>
      </c>
    </row>
    <row r="4246" customFormat="false" ht="15" hidden="false" customHeight="false" outlineLevel="0" collapsed="false">
      <c r="A4246" s="18" t="n">
        <f aca="false">'CEMIUP0.9 Raw'!B1360</f>
        <v>4408145</v>
      </c>
      <c r="B4246" s="18" t="str">
        <f aca="false">'CEMIUP0.9 Raw'!C1360</f>
        <v>11PS Sחגורה למנותחי בטן</v>
      </c>
      <c r="C4246" s="18" t="str">
        <f aca="false">'CEMIUP0.9 Raw'!C1360</f>
        <v>11PS Sחגורה למנותחי בטן</v>
      </c>
      <c r="D4246" s="19" t="n">
        <f aca="false">'CEMIUP0.9 Raw'!D1360</f>
        <v>0</v>
      </c>
      <c r="E4246" s="19" t="n">
        <f aca="false">'CEMIUP0.9 Raw'!E1360</f>
        <v>0</v>
      </c>
      <c r="F4246" s="19" t="n">
        <f aca="false">'CEMIUP0.9 Raw'!F1360</f>
        <v>1.26315789473684</v>
      </c>
      <c r="G4246" s="19" t="n">
        <f aca="false">'CEMIUP0.9 Raw'!G1360</f>
        <v>120.349894736842</v>
      </c>
      <c r="H4246" s="18" t="str">
        <f aca="false">'CEMIUP0.9 Raw'!A1360</f>
        <v>Super-Pharm Israel (CEMI internal group)</v>
      </c>
    </row>
    <row r="4247" customFormat="false" ht="15" hidden="false" customHeight="false" outlineLevel="0" collapsed="false">
      <c r="A4247" s="18" t="n">
        <f aca="false">'CEMIUP0.9 Raw'!B1383</f>
        <v>4408227</v>
      </c>
      <c r="B4247" s="18" t="str">
        <f aca="false">'CEMIUP0.9 Raw'!C1383</f>
        <v>XL 11 אפורUG חגורת בטן</v>
      </c>
      <c r="C4247" s="18" t="str">
        <f aca="false">'CEMIUP0.9 Raw'!C1383</f>
        <v>XL 11 אפורUG חגורת בטן</v>
      </c>
      <c r="D4247" s="19" t="n">
        <f aca="false">'CEMIUP0.9 Raw'!D1383</f>
        <v>32</v>
      </c>
      <c r="E4247" s="19" t="n">
        <f aca="false">'CEMIUP0.9 Raw'!E1383</f>
        <v>2320.136</v>
      </c>
      <c r="F4247" s="19" t="n">
        <f aca="false">'CEMIUP0.9 Raw'!F1383</f>
        <v>1.26315789473684</v>
      </c>
      <c r="G4247" s="19" t="n">
        <f aca="false">'CEMIUP0.9 Raw'!G1383</f>
        <v>152.075368421053</v>
      </c>
      <c r="H4247" s="18" t="str">
        <f aca="false">'CEMIUP0.9 Raw'!A1383</f>
        <v>Super-Pharm Israel (CEMI internal group)</v>
      </c>
    </row>
    <row r="4248" customFormat="false" ht="15" hidden="false" customHeight="false" outlineLevel="0" collapsed="false">
      <c r="A4248" s="18" t="n">
        <f aca="false">'CEMIUP0.9 Raw'!B1502</f>
        <v>4413131</v>
      </c>
      <c r="B4248" s="18" t="str">
        <f aca="false">'CEMIUP0.9 Raw'!C1502</f>
        <v>76 Sמיישר כתף יציב יישור ג.רחב</v>
      </c>
      <c r="C4248" s="18" t="str">
        <f aca="false">'CEMIUP0.9 Raw'!C1502</f>
        <v>76 Sמיישר כתף יציב יישור ג.רחב</v>
      </c>
      <c r="D4248" s="19" t="n">
        <f aca="false">'CEMIUP0.9 Raw'!D1502</f>
        <v>4</v>
      </c>
      <c r="E4248" s="19" t="n">
        <f aca="false">'CEMIUP0.9 Raw'!E1502</f>
        <v>596.323</v>
      </c>
      <c r="F4248" s="19" t="n">
        <f aca="false">'CEMIUP0.9 Raw'!F1502</f>
        <v>1.26315789473684</v>
      </c>
      <c r="G4248" s="19" t="n">
        <f aca="false">'CEMIUP0.9 Raw'!G1502</f>
        <v>188.283789473684</v>
      </c>
      <c r="H4248" s="18" t="str">
        <f aca="false">'CEMIUP0.9 Raw'!A1502</f>
        <v>Super-Pharm Israel (CEMI internal group)</v>
      </c>
    </row>
    <row r="4249" customFormat="false" ht="15" hidden="false" customHeight="false" outlineLevel="0" collapsed="false">
      <c r="A4249" s="18" t="n">
        <f aca="false">'CEMIUP0.9 Raw'!B1680</f>
        <v>4420023</v>
      </c>
      <c r="B4249" s="18" t="str">
        <f aca="false">'CEMIUP0.9 Raw'!C1680</f>
        <v>LF371 ריפוד סיליקון לנעלי אצבע</v>
      </c>
      <c r="C4249" s="18" t="str">
        <f aca="false">'CEMIUP0.9 Raw'!C1680</f>
        <v>LF371 ריפוד סיליקון לנעלי אצבע</v>
      </c>
      <c r="D4249" s="19" t="n">
        <f aca="false">'CEMIUP0.9 Raw'!D1680</f>
        <v>-3</v>
      </c>
      <c r="E4249" s="19" t="n">
        <f aca="false">'CEMIUP0.9 Raw'!E1680</f>
        <v>-78.078</v>
      </c>
      <c r="F4249" s="19" t="n">
        <f aca="false">'CEMIUP0.9 Raw'!F1680</f>
        <v>1.26315789473684</v>
      </c>
      <c r="G4249" s="19" t="n">
        <f aca="false">'CEMIUP0.9 Raw'!G1680</f>
        <v>27.9322105263158</v>
      </c>
      <c r="H4249" s="18" t="str">
        <f aca="false">'CEMIUP0.9 Raw'!A1680</f>
        <v>Super-Pharm Israel (CEMI internal group)</v>
      </c>
    </row>
    <row r="4250" customFormat="false" ht="15" hidden="false" customHeight="false" outlineLevel="0" collapsed="false">
      <c r="A4250" s="18" t="n">
        <f aca="false">'CEMIUP0.9 Raw'!B1710</f>
        <v>4408272</v>
      </c>
      <c r="B4250" s="18" t="str">
        <f aca="false">'CEMIUP0.9 Raw'!C1710</f>
        <v>70N S חגורת פאבליק</v>
      </c>
      <c r="C4250" s="18" t="str">
        <f aca="false">'CEMIUP0.9 Raw'!C1710</f>
        <v>70N S חגורת פאבליק</v>
      </c>
      <c r="D4250" s="19" t="n">
        <f aca="false">'CEMIUP0.9 Raw'!D1710</f>
        <v>0</v>
      </c>
      <c r="E4250" s="19" t="n">
        <f aca="false">'CEMIUP0.9 Raw'!E1710</f>
        <v>0</v>
      </c>
      <c r="F4250" s="19" t="n">
        <f aca="false">'CEMIUP0.9 Raw'!F1710</f>
        <v>1.26315789473684</v>
      </c>
      <c r="G4250" s="19" t="n">
        <f aca="false">'CEMIUP0.9 Raw'!G1710</f>
        <v>255.183157894737</v>
      </c>
      <c r="H4250" s="18" t="str">
        <f aca="false">'CEMIUP0.9 Raw'!A1710</f>
        <v>20 - ק.חולים מכבי (CEMI internal group)</v>
      </c>
    </row>
    <row r="4251" customFormat="false" ht="15" hidden="false" customHeight="false" outlineLevel="0" collapsed="false">
      <c r="A4251" s="18" t="n">
        <f aca="false">'CEMIUP0.9 Raw'!B1711</f>
        <v>4408273</v>
      </c>
      <c r="B4251" s="18" t="str">
        <f aca="false">'CEMIUP0.9 Raw'!C1711</f>
        <v>70N M חגורת פאבליק</v>
      </c>
      <c r="C4251" s="18" t="str">
        <f aca="false">'CEMIUP0.9 Raw'!C1711</f>
        <v>70N M חגורת פאבליק</v>
      </c>
      <c r="D4251" s="19" t="n">
        <f aca="false">'CEMIUP0.9 Raw'!D1711</f>
        <v>0</v>
      </c>
      <c r="E4251" s="19" t="n">
        <f aca="false">'CEMIUP0.9 Raw'!E1711</f>
        <v>0</v>
      </c>
      <c r="F4251" s="19" t="n">
        <f aca="false">'CEMIUP0.9 Raw'!F1711</f>
        <v>1.26315789473684</v>
      </c>
      <c r="G4251" s="19" t="n">
        <f aca="false">'CEMIUP0.9 Raw'!G1711</f>
        <v>255.183157894737</v>
      </c>
      <c r="H4251" s="18" t="str">
        <f aca="false">'CEMIUP0.9 Raw'!A1711</f>
        <v>20 - ק.חולים מכבי (CEMI internal group)</v>
      </c>
    </row>
    <row r="4252" customFormat="false" ht="15" hidden="false" customHeight="false" outlineLevel="0" collapsed="false">
      <c r="A4252" s="18" t="n">
        <f aca="false">'CEMIUP0.9 Raw'!B1712</f>
        <v>4408274</v>
      </c>
      <c r="B4252" s="18" t="str">
        <f aca="false">'CEMIUP0.9 Raw'!C1712</f>
        <v>70N L חגורת פאבליק</v>
      </c>
      <c r="C4252" s="18" t="str">
        <f aca="false">'CEMIUP0.9 Raw'!C1712</f>
        <v>70N L חגורת פאבליק</v>
      </c>
      <c r="D4252" s="19" t="n">
        <f aca="false">'CEMIUP0.9 Raw'!D1712</f>
        <v>0</v>
      </c>
      <c r="E4252" s="19" t="n">
        <f aca="false">'CEMIUP0.9 Raw'!E1712</f>
        <v>0</v>
      </c>
      <c r="F4252" s="19" t="n">
        <f aca="false">'CEMIUP0.9 Raw'!F1712</f>
        <v>1.26315789473684</v>
      </c>
      <c r="G4252" s="19" t="n">
        <f aca="false">'CEMIUP0.9 Raw'!G1712</f>
        <v>255.183157894737</v>
      </c>
      <c r="H4252" s="18" t="str">
        <f aca="false">'CEMIUP0.9 Raw'!A1712</f>
        <v>20 - ק.חולים מכבי (CEMI internal group)</v>
      </c>
    </row>
    <row r="4253" customFormat="false" ht="15" hidden="false" customHeight="false" outlineLevel="0" collapsed="false">
      <c r="A4253" s="18" t="n">
        <f aca="false">'SALES Raw'!G6</f>
        <v>4413127</v>
      </c>
      <c r="B4253" s="18" t="str">
        <f aca="false">'SALES Raw'!B6</f>
        <v>75 L</v>
      </c>
      <c r="C4253" s="18" t="str">
        <f aca="false">'SALES Raw'!H6</f>
        <v>75 Lמיישר כתף יציב יישור גב צר</v>
      </c>
      <c r="D4253" s="19" t="n">
        <f aca="false">'SALES Raw'!C6</f>
        <v>2</v>
      </c>
      <c r="E4253" s="19" t="n">
        <f aca="false">'SALES Raw'!D6</f>
        <v>302.46</v>
      </c>
      <c r="F4253" s="19" t="n">
        <f aca="false">'SALES Raw'!E6*$H$4</f>
        <v>0</v>
      </c>
      <c r="G4253" s="19" t="n">
        <f aca="false">'SALES Raw'!F6*$H$4</f>
        <v>0</v>
      </c>
      <c r="H4253" s="18" t="str">
        <f aca="false">'SALES Raw'!A6</f>
        <v>101 - Factory customers</v>
      </c>
    </row>
    <row r="4254" customFormat="false" ht="15" hidden="false" customHeight="false" outlineLevel="0" collapsed="false">
      <c r="A4254" s="18" t="n">
        <f aca="false">'SALES Raw'!G7</f>
        <v>4413129</v>
      </c>
      <c r="B4254" s="18" t="str">
        <f aca="false">'SALES Raw'!B7</f>
        <v>75 XL</v>
      </c>
      <c r="C4254" s="18" t="str">
        <f aca="false">'SALES Raw'!H7</f>
        <v>75 XLמיישר כתף יציב יישור ג.צר</v>
      </c>
      <c r="D4254" s="19" t="n">
        <f aca="false">'SALES Raw'!C7</f>
        <v>2</v>
      </c>
      <c r="E4254" s="19" t="n">
        <f aca="false">'SALES Raw'!D7</f>
        <v>302.46</v>
      </c>
      <c r="F4254" s="19" t="n">
        <f aca="false">'SALES Raw'!E7*$H$4</f>
        <v>0</v>
      </c>
      <c r="G4254" s="19" t="n">
        <f aca="false">'SALES Raw'!F7*$H$4</f>
        <v>0</v>
      </c>
      <c r="H4254" s="18" t="str">
        <f aca="false">'SALES Raw'!A7</f>
        <v>101 - Factory customers</v>
      </c>
    </row>
    <row r="4255" customFormat="false" ht="15" hidden="false" customHeight="false" outlineLevel="0" collapsed="false">
      <c r="A4255" s="18" t="n">
        <f aca="false">'SALES Raw'!G9</f>
        <v>4408093</v>
      </c>
      <c r="B4255" s="18" t="str">
        <f aca="false">'SALES Raw'!B9</f>
        <v>T11C XXL</v>
      </c>
      <c r="C4255" s="18" t="str">
        <f aca="false">'SALES Raw'!H9</f>
        <v>T11C XXL חגורת גב פוג'יאמה</v>
      </c>
      <c r="D4255" s="19" t="n">
        <f aca="false">'SALES Raw'!C9</f>
        <v>1</v>
      </c>
      <c r="E4255" s="19" t="n">
        <f aca="false">'SALES Raw'!D9</f>
        <v>94.5</v>
      </c>
      <c r="F4255" s="19" t="n">
        <f aca="false">'SALES Raw'!E9*$H$4</f>
        <v>0</v>
      </c>
      <c r="G4255" s="19" t="n">
        <f aca="false">'SALES Raw'!F9*$H$4</f>
        <v>0</v>
      </c>
      <c r="H4255" s="18" t="str">
        <f aca="false">'SALES Raw'!A9</f>
        <v>101 - Factory customers</v>
      </c>
    </row>
    <row r="4256" customFormat="false" ht="15" hidden="false" customHeight="false" outlineLevel="0" collapsed="false">
      <c r="A4256" s="18" t="str">
        <f aca="false">'SALES Raw'!G13</f>
        <v/>
      </c>
      <c r="B4256" s="18" t="str">
        <f aca="false">'SALES Raw'!B13</f>
        <v>06U M</v>
      </c>
      <c r="C4256" s="18" t="str">
        <f aca="false">'SALES Raw'!H13</f>
        <v>06U M</v>
      </c>
      <c r="D4256" s="19" t="n">
        <f aca="false">'SALES Raw'!C13</f>
        <v>1</v>
      </c>
      <c r="E4256" s="19" t="n">
        <f aca="false">'SALES Raw'!D13</f>
        <v>140.57</v>
      </c>
      <c r="F4256" s="19" t="n">
        <f aca="false">'SALES Raw'!E13*$H$4</f>
        <v>0</v>
      </c>
      <c r="G4256" s="19" t="n">
        <f aca="false">'SALES Raw'!F13*$H$4</f>
        <v>0</v>
      </c>
      <c r="H4256" s="18" t="str">
        <f aca="false">'SALES Raw'!A13</f>
        <v>101 - Factory customers</v>
      </c>
    </row>
    <row r="4257" customFormat="false" ht="15" hidden="false" customHeight="false" outlineLevel="0" collapsed="false">
      <c r="A4257" s="18" t="str">
        <f aca="false">'SALES Raw'!G18</f>
        <v/>
      </c>
      <c r="B4257" s="18" t="str">
        <f aca="false">'SALES Raw'!B18</f>
        <v>07UC-S-M</v>
      </c>
      <c r="C4257" s="18" t="str">
        <f aca="false">'SALES Raw'!H18</f>
        <v>07UC-S-M</v>
      </c>
      <c r="D4257" s="19" t="n">
        <f aca="false">'SALES Raw'!C18</f>
        <v>1</v>
      </c>
      <c r="E4257" s="19" t="n">
        <f aca="false">'SALES Raw'!D18</f>
        <v>231.97</v>
      </c>
      <c r="F4257" s="19" t="n">
        <f aca="false">'SALES Raw'!E18*$H$4</f>
        <v>0</v>
      </c>
      <c r="G4257" s="19" t="n">
        <f aca="false">'SALES Raw'!F18*$H$4</f>
        <v>0</v>
      </c>
      <c r="H4257" s="18" t="str">
        <f aca="false">'SALES Raw'!A18</f>
        <v>101 - Factory customers</v>
      </c>
    </row>
    <row r="4258" customFormat="false" ht="15" hidden="false" customHeight="false" outlineLevel="0" collapsed="false">
      <c r="A4258" s="18" t="str">
        <f aca="false">'SALES Raw'!G19</f>
        <v/>
      </c>
      <c r="B4258" s="18" t="str">
        <f aca="false">'SALES Raw'!B19</f>
        <v>09-S-M</v>
      </c>
      <c r="C4258" s="18" t="str">
        <f aca="false">'SALES Raw'!H19</f>
        <v>09-S-M</v>
      </c>
      <c r="D4258" s="19" t="n">
        <f aca="false">'SALES Raw'!C19</f>
        <v>1</v>
      </c>
      <c r="E4258" s="19" t="n">
        <f aca="false">'SALES Raw'!D19</f>
        <v>137.81</v>
      </c>
      <c r="F4258" s="19" t="n">
        <f aca="false">'SALES Raw'!E19*$H$4</f>
        <v>0</v>
      </c>
      <c r="G4258" s="19" t="n">
        <f aca="false">'SALES Raw'!F19*$H$4</f>
        <v>0</v>
      </c>
      <c r="H4258" s="18" t="str">
        <f aca="false">'SALES Raw'!A19</f>
        <v>101 - Factory customers</v>
      </c>
    </row>
    <row r="4259" customFormat="false" ht="15" hidden="false" customHeight="false" outlineLevel="0" collapsed="false">
      <c r="A4259" s="18" t="str">
        <f aca="false">'SALES Raw'!G21</f>
        <v/>
      </c>
      <c r="B4259" s="18" t="str">
        <f aca="false">'SALES Raw'!B21</f>
        <v>099-S-M</v>
      </c>
      <c r="C4259" s="18" t="str">
        <f aca="false">'SALES Raw'!H21</f>
        <v>099-S-M</v>
      </c>
      <c r="D4259" s="19" t="n">
        <f aca="false">'SALES Raw'!C21</f>
        <v>1</v>
      </c>
      <c r="E4259" s="19" t="n">
        <f aca="false">'SALES Raw'!D21</f>
        <v>137.29</v>
      </c>
      <c r="F4259" s="19" t="n">
        <f aca="false">'SALES Raw'!E21*$H$4</f>
        <v>0</v>
      </c>
      <c r="G4259" s="19" t="n">
        <f aca="false">'SALES Raw'!F21*$H$4</f>
        <v>0.0126315789473684</v>
      </c>
      <c r="H4259" s="18" t="str">
        <f aca="false">'SALES Raw'!A21</f>
        <v>101 - Factory customers</v>
      </c>
    </row>
    <row r="4260" customFormat="false" ht="15" hidden="false" customHeight="false" outlineLevel="0" collapsed="false">
      <c r="A4260" s="18" t="n">
        <f aca="false">'SALES Raw'!G22</f>
        <v>4408027</v>
      </c>
      <c r="B4260" s="18" t="str">
        <f aca="false">'SALES Raw'!B22</f>
        <v>10 L</v>
      </c>
      <c r="C4260" s="18" t="str">
        <f aca="false">'SALES Raw'!H22</f>
        <v>10 L """"חגורת גב """"לומבו</v>
      </c>
      <c r="D4260" s="19" t="n">
        <f aca="false">'SALES Raw'!C22</f>
        <v>11</v>
      </c>
      <c r="E4260" s="19" t="n">
        <f aca="false">'SALES Raw'!D22</f>
        <v>1454.63</v>
      </c>
      <c r="F4260" s="19" t="n">
        <f aca="false">'SALES Raw'!E22*$H$4</f>
        <v>0</v>
      </c>
      <c r="G4260" s="19" t="n">
        <f aca="false">'SALES Raw'!F22*$H$4</f>
        <v>0</v>
      </c>
      <c r="H4260" s="18" t="str">
        <f aca="false">'SALES Raw'!A22</f>
        <v>101 - Factory customers</v>
      </c>
    </row>
    <row r="4261" customFormat="false" ht="15" hidden="false" customHeight="false" outlineLevel="0" collapsed="false">
      <c r="A4261" s="18" t="n">
        <f aca="false">'SALES Raw'!G23</f>
        <v>4408028</v>
      </c>
      <c r="B4261" s="18" t="str">
        <f aca="false">'SALES Raw'!B23</f>
        <v>10 M</v>
      </c>
      <c r="C4261" s="18" t="str">
        <f aca="false">'SALES Raw'!H23</f>
        <v>10 M """"חגורת גב """"לומבו</v>
      </c>
      <c r="D4261" s="19" t="n">
        <f aca="false">'SALES Raw'!C23</f>
        <v>1</v>
      </c>
      <c r="E4261" s="19" t="n">
        <f aca="false">'SALES Raw'!D23</f>
        <v>151.23</v>
      </c>
      <c r="F4261" s="19" t="n">
        <f aca="false">'SALES Raw'!E23*$H$4</f>
        <v>0</v>
      </c>
      <c r="G4261" s="19" t="n">
        <f aca="false">'SALES Raw'!F23*$H$4</f>
        <v>0</v>
      </c>
      <c r="H4261" s="18" t="str">
        <f aca="false">'SALES Raw'!A23</f>
        <v>101 - Factory customers</v>
      </c>
    </row>
    <row r="4262" customFormat="false" ht="15" hidden="false" customHeight="false" outlineLevel="0" collapsed="false">
      <c r="A4262" s="18" t="n">
        <f aca="false">'SALES Raw'!G24</f>
        <v>4408029</v>
      </c>
      <c r="B4262" s="18" t="str">
        <f aca="false">'SALES Raw'!B24</f>
        <v>10 XL</v>
      </c>
      <c r="C4262" s="18" t="str">
        <f aca="false">'SALES Raw'!H24</f>
        <v>10 XL """"חגורת גב """"לומבו</v>
      </c>
      <c r="D4262" s="19" t="n">
        <f aca="false">'SALES Raw'!C24</f>
        <v>12</v>
      </c>
      <c r="E4262" s="19" t="n">
        <f aca="false">'SALES Raw'!D24</f>
        <v>1602.46</v>
      </c>
      <c r="F4262" s="19" t="n">
        <f aca="false">'SALES Raw'!E24*$H$4</f>
        <v>0</v>
      </c>
      <c r="G4262" s="19" t="n">
        <f aca="false">'SALES Raw'!F24*$H$4</f>
        <v>0</v>
      </c>
      <c r="H4262" s="18" t="str">
        <f aca="false">'SALES Raw'!A24</f>
        <v>101 - Factory customers</v>
      </c>
    </row>
    <row r="4263" customFormat="false" ht="15" hidden="false" customHeight="false" outlineLevel="0" collapsed="false">
      <c r="A4263" s="18" t="n">
        <f aca="false">'SALES Raw'!G25</f>
        <v>4408033</v>
      </c>
      <c r="B4263" s="18" t="str">
        <f aca="false">'SALES Raw'!B25</f>
        <v>11 M</v>
      </c>
      <c r="C4263" s="18" t="str">
        <f aca="false">'SALES Raw'!H25</f>
        <v>11 M""""חגורת בטן""""אורירית</v>
      </c>
      <c r="D4263" s="19" t="n">
        <f aca="false">'SALES Raw'!C25</f>
        <v>1</v>
      </c>
      <c r="E4263" s="19" t="n">
        <f aca="false">'SALES Raw'!D25</f>
        <v>103.96</v>
      </c>
      <c r="F4263" s="19" t="n">
        <f aca="false">'SALES Raw'!E25*$H$4</f>
        <v>0</v>
      </c>
      <c r="G4263" s="19" t="n">
        <f aca="false">'SALES Raw'!F25*$H$4</f>
        <v>0</v>
      </c>
      <c r="H4263" s="18" t="str">
        <f aca="false">'SALES Raw'!A25</f>
        <v>101 - Factory customers</v>
      </c>
    </row>
    <row r="4264" customFormat="false" ht="15" hidden="false" customHeight="false" outlineLevel="0" collapsed="false">
      <c r="A4264" s="18" t="n">
        <f aca="false">'SALES Raw'!G29</f>
        <v>4408263</v>
      </c>
      <c r="B4264" s="18" t="str">
        <f aca="false">'SALES Raw'!B29</f>
        <v>11STO XXL</v>
      </c>
      <c r="C4264" s="18" t="str">
        <f aca="false">'SALES Raw'!H29</f>
        <v>11STO XXL חגורה אחרי ניתוח</v>
      </c>
      <c r="D4264" s="19" t="n">
        <f aca="false">'SALES Raw'!C29</f>
        <v>2</v>
      </c>
      <c r="E4264" s="19" t="n">
        <f aca="false">'SALES Raw'!D29</f>
        <v>376.88</v>
      </c>
      <c r="F4264" s="19" t="n">
        <f aca="false">'SALES Raw'!E29*$H$4</f>
        <v>0</v>
      </c>
      <c r="G4264" s="19" t="n">
        <f aca="false">'SALES Raw'!F29*$H$4</f>
        <v>0</v>
      </c>
      <c r="H4264" s="18" t="str">
        <f aca="false">'SALES Raw'!A29</f>
        <v>101 - Factory customers</v>
      </c>
    </row>
    <row r="4265" customFormat="false" ht="15" hidden="false" customHeight="false" outlineLevel="0" collapsed="false">
      <c r="A4265" s="18" t="str">
        <f aca="false">'SALES Raw'!G31</f>
        <v/>
      </c>
      <c r="B4265" s="18" t="str">
        <f aca="false">'SALES Raw'!B31</f>
        <v>11UG M</v>
      </c>
      <c r="C4265" s="18" t="str">
        <f aca="false">'SALES Raw'!H31</f>
        <v>11UG M</v>
      </c>
      <c r="D4265" s="19" t="n">
        <f aca="false">'SALES Raw'!C31</f>
        <v>1</v>
      </c>
      <c r="E4265" s="19" t="n">
        <f aca="false">'SALES Raw'!D31</f>
        <v>94.5</v>
      </c>
      <c r="F4265" s="19" t="n">
        <f aca="false">'SALES Raw'!E31*$H$4</f>
        <v>0</v>
      </c>
      <c r="G4265" s="19" t="n">
        <f aca="false">'SALES Raw'!F31*$H$4</f>
        <v>0</v>
      </c>
      <c r="H4265" s="18" t="str">
        <f aca="false">'SALES Raw'!A31</f>
        <v>101 - Factory customers</v>
      </c>
    </row>
    <row r="4266" customFormat="false" ht="15" hidden="false" customHeight="false" outlineLevel="0" collapsed="false">
      <c r="A4266" s="18" t="str">
        <f aca="false">'SALES Raw'!G32</f>
        <v/>
      </c>
      <c r="B4266" s="18" t="str">
        <f aca="false">'SALES Raw'!B32</f>
        <v>11UG XL</v>
      </c>
      <c r="C4266" s="18" t="str">
        <f aca="false">'SALES Raw'!H32</f>
        <v>11UG XL</v>
      </c>
      <c r="D4266" s="19" t="n">
        <f aca="false">'SALES Raw'!C32</f>
        <v>1</v>
      </c>
      <c r="E4266" s="19" t="n">
        <f aca="false">'SALES Raw'!D32</f>
        <v>103.07</v>
      </c>
      <c r="F4266" s="19" t="n">
        <f aca="false">'SALES Raw'!E32*$H$4</f>
        <v>0</v>
      </c>
      <c r="G4266" s="19" t="n">
        <f aca="false">'SALES Raw'!F32*$H$4</f>
        <v>0</v>
      </c>
      <c r="H4266" s="18" t="str">
        <f aca="false">'SALES Raw'!A32</f>
        <v>101 - Factory customers</v>
      </c>
    </row>
    <row r="4267" customFormat="false" ht="15" hidden="false" customHeight="false" outlineLevel="0" collapsed="false">
      <c r="A4267" s="18" t="str">
        <f aca="false">'SALES Raw'!G33</f>
        <v/>
      </c>
      <c r="B4267" s="18" t="str">
        <f aca="false">'SALES Raw'!B33</f>
        <v>11UG XXL</v>
      </c>
      <c r="C4267" s="18" t="str">
        <f aca="false">'SALES Raw'!H33</f>
        <v>11UG XXL</v>
      </c>
      <c r="D4267" s="19" t="n">
        <f aca="false">'SALES Raw'!C33</f>
        <v>1</v>
      </c>
      <c r="E4267" s="19" t="n">
        <f aca="false">'SALES Raw'!D33</f>
        <v>94.5</v>
      </c>
      <c r="F4267" s="19" t="n">
        <f aca="false">'SALES Raw'!E33*$H$4</f>
        <v>0</v>
      </c>
      <c r="G4267" s="19" t="n">
        <f aca="false">'SALES Raw'!F33*$H$4</f>
        <v>0</v>
      </c>
      <c r="H4267" s="18" t="str">
        <f aca="false">'SALES Raw'!A33</f>
        <v>101 - Factory customers</v>
      </c>
    </row>
    <row r="4268" customFormat="false" ht="15" hidden="false" customHeight="false" outlineLevel="0" collapsed="false">
      <c r="A4268" s="18" t="str">
        <f aca="false">'SALES Raw'!G37</f>
        <v/>
      </c>
      <c r="B4268" s="18" t="str">
        <f aca="false">'SALES Raw'!B37</f>
        <v>15M L</v>
      </c>
      <c r="C4268" s="18" t="str">
        <f aca="false">'SALES Raw'!H37</f>
        <v>15M L</v>
      </c>
      <c r="D4268" s="19" t="n">
        <f aca="false">'SALES Raw'!C37</f>
        <v>3</v>
      </c>
      <c r="E4268" s="19" t="n">
        <f aca="false">'SALES Raw'!D37</f>
        <v>421.71</v>
      </c>
      <c r="F4268" s="19" t="n">
        <f aca="false">'SALES Raw'!E37*$H$4</f>
        <v>0</v>
      </c>
      <c r="G4268" s="19" t="n">
        <f aca="false">'SALES Raw'!F37*$H$4</f>
        <v>0</v>
      </c>
      <c r="H4268" s="18" t="str">
        <f aca="false">'SALES Raw'!A37</f>
        <v>101 - Factory customers</v>
      </c>
    </row>
    <row r="4269" customFormat="false" ht="15" hidden="false" customHeight="false" outlineLevel="0" collapsed="false">
      <c r="A4269" s="18" t="str">
        <f aca="false">'SALES Raw'!G38</f>
        <v/>
      </c>
      <c r="B4269" s="18" t="str">
        <f aca="false">'SALES Raw'!B38</f>
        <v>15M M</v>
      </c>
      <c r="C4269" s="18" t="str">
        <f aca="false">'SALES Raw'!H38</f>
        <v>15M M</v>
      </c>
      <c r="D4269" s="19" t="n">
        <f aca="false">'SALES Raw'!C38</f>
        <v>1</v>
      </c>
      <c r="E4269" s="19" t="n">
        <f aca="false">'SALES Raw'!D38</f>
        <v>140.57</v>
      </c>
      <c r="F4269" s="19" t="n">
        <f aca="false">'SALES Raw'!E38*$H$4</f>
        <v>0</v>
      </c>
      <c r="G4269" s="19" t="n">
        <f aca="false">'SALES Raw'!F38*$H$4</f>
        <v>0</v>
      </c>
      <c r="H4269" s="18" t="str">
        <f aca="false">'SALES Raw'!A38</f>
        <v>101 - Factory customers</v>
      </c>
    </row>
    <row r="4270" customFormat="false" ht="15" hidden="false" customHeight="false" outlineLevel="0" collapsed="false">
      <c r="A4270" s="18" t="n">
        <f aca="false">'SALES Raw'!G39</f>
        <v>4408131</v>
      </c>
      <c r="B4270" s="18" t="str">
        <f aca="false">'SALES Raw'!B39</f>
        <v>15W L</v>
      </c>
      <c r="C4270" s="18" t="str">
        <f aca="false">'SALES Raw'!H39</f>
        <v>15W L חגורת צלעות לאשה</v>
      </c>
      <c r="D4270" s="19" t="n">
        <f aca="false">'SALES Raw'!C39</f>
        <v>1</v>
      </c>
      <c r="E4270" s="19" t="n">
        <f aca="false">'SALES Raw'!D39</f>
        <v>140.57</v>
      </c>
      <c r="F4270" s="19" t="n">
        <f aca="false">'SALES Raw'!E39*$H$4</f>
        <v>0</v>
      </c>
      <c r="G4270" s="19" t="n">
        <f aca="false">'SALES Raw'!F39*$H$4</f>
        <v>0</v>
      </c>
      <c r="H4270" s="18" t="str">
        <f aca="false">'SALES Raw'!A39</f>
        <v>101 - Factory customers</v>
      </c>
    </row>
    <row r="4271" customFormat="false" ht="15" hidden="false" customHeight="false" outlineLevel="0" collapsed="false">
      <c r="A4271" s="18" t="str">
        <f aca="false">'SALES Raw'!G40</f>
        <v/>
      </c>
      <c r="B4271" s="18" t="str">
        <f aca="false">'SALES Raw'!B40</f>
        <v>15W M</v>
      </c>
      <c r="C4271" s="18" t="str">
        <f aca="false">'SALES Raw'!H40</f>
        <v>15W M</v>
      </c>
      <c r="D4271" s="19" t="n">
        <f aca="false">'SALES Raw'!C40</f>
        <v>1</v>
      </c>
      <c r="E4271" s="19" t="n">
        <f aca="false">'SALES Raw'!D40</f>
        <v>140.57</v>
      </c>
      <c r="F4271" s="19" t="n">
        <f aca="false">'SALES Raw'!E40*$H$4</f>
        <v>0</v>
      </c>
      <c r="G4271" s="19" t="n">
        <f aca="false">'SALES Raw'!F40*$H$4</f>
        <v>0</v>
      </c>
      <c r="H4271" s="18" t="str">
        <f aca="false">'SALES Raw'!A40</f>
        <v>101 - Factory customers</v>
      </c>
    </row>
    <row r="4272" customFormat="false" ht="15" hidden="false" customHeight="false" outlineLevel="0" collapsed="false">
      <c r="A4272" s="18" t="str">
        <f aca="false">'SALES Raw'!G41</f>
        <v/>
      </c>
      <c r="B4272" s="18" t="str">
        <f aca="false">'SALES Raw'!B41</f>
        <v>15W S</v>
      </c>
      <c r="C4272" s="18" t="str">
        <f aca="false">'SALES Raw'!H41</f>
        <v>15W S</v>
      </c>
      <c r="D4272" s="19" t="n">
        <f aca="false">'SALES Raw'!C41</f>
        <v>2</v>
      </c>
      <c r="E4272" s="19" t="n">
        <f aca="false">'SALES Raw'!D41</f>
        <v>281.14</v>
      </c>
      <c r="F4272" s="19" t="n">
        <f aca="false">'SALES Raw'!E41*$H$4</f>
        <v>0</v>
      </c>
      <c r="G4272" s="19" t="n">
        <f aca="false">'SALES Raw'!F41*$H$4</f>
        <v>0</v>
      </c>
      <c r="H4272" s="18" t="str">
        <f aca="false">'SALES Raw'!A41</f>
        <v>101 - Factory customers</v>
      </c>
    </row>
    <row r="4273" customFormat="false" ht="15" hidden="false" customHeight="false" outlineLevel="0" collapsed="false">
      <c r="A4273" s="18" t="str">
        <f aca="false">'SALES Raw'!G42</f>
        <v/>
      </c>
      <c r="B4273" s="18" t="str">
        <f aca="false">'SALES Raw'!B42</f>
        <v>15W XL</v>
      </c>
      <c r="C4273" s="18" t="str">
        <f aca="false">'SALES Raw'!H42</f>
        <v>15W XL</v>
      </c>
      <c r="D4273" s="19" t="n">
        <f aca="false">'SALES Raw'!C42</f>
        <v>1</v>
      </c>
      <c r="E4273" s="19" t="n">
        <f aca="false">'SALES Raw'!D42</f>
        <v>140.57</v>
      </c>
      <c r="F4273" s="19" t="n">
        <f aca="false">'SALES Raw'!E42*$H$4</f>
        <v>0</v>
      </c>
      <c r="G4273" s="19" t="n">
        <f aca="false">'SALES Raw'!F42*$H$4</f>
        <v>0</v>
      </c>
      <c r="H4273" s="18" t="str">
        <f aca="false">'SALES Raw'!A42</f>
        <v>101 - Factory customers</v>
      </c>
    </row>
    <row r="4274" customFormat="false" ht="15" hidden="false" customHeight="false" outlineLevel="0" collapsed="false">
      <c r="A4274" s="18" t="str">
        <f aca="false">'SALES Raw'!G43</f>
        <v/>
      </c>
      <c r="B4274" s="18" t="str">
        <f aca="false">'SALES Raw'!B43</f>
        <v>15W XXL</v>
      </c>
      <c r="C4274" s="18" t="str">
        <f aca="false">'SALES Raw'!H43</f>
        <v>15W XXL</v>
      </c>
      <c r="D4274" s="19" t="n">
        <f aca="false">'SALES Raw'!C43</f>
        <v>1</v>
      </c>
      <c r="E4274" s="19" t="n">
        <f aca="false">'SALES Raw'!D43</f>
        <v>140.57</v>
      </c>
      <c r="F4274" s="19" t="n">
        <f aca="false">'SALES Raw'!E43*$H$4</f>
        <v>0</v>
      </c>
      <c r="G4274" s="19" t="n">
        <f aca="false">'SALES Raw'!F43*$H$4</f>
        <v>0</v>
      </c>
      <c r="H4274" s="18" t="str">
        <f aca="false">'SALES Raw'!A43</f>
        <v>101 - Factory customers</v>
      </c>
    </row>
    <row r="4275" customFormat="false" ht="15" hidden="false" customHeight="false" outlineLevel="0" collapsed="false">
      <c r="A4275" s="18" t="n">
        <f aca="false">'SALES Raw'!G46</f>
        <v>4408053</v>
      </c>
      <c r="B4275" s="18" t="str">
        <f aca="false">'SALES Raw'!B46</f>
        <v>21 M</v>
      </c>
      <c r="C4275" s="18" t="str">
        <f aca="false">'SALES Raw'!H46</f>
        <v>21 M  חבק יד ארוך</v>
      </c>
      <c r="D4275" s="19" t="n">
        <f aca="false">'SALES Raw'!C46</f>
        <v>7</v>
      </c>
      <c r="E4275" s="19" t="n">
        <f aca="false">'SALES Raw'!D46</f>
        <v>250.32</v>
      </c>
      <c r="F4275" s="19" t="n">
        <f aca="false">'SALES Raw'!E46*$H$4</f>
        <v>0</v>
      </c>
      <c r="G4275" s="19" t="n">
        <f aca="false">'SALES Raw'!F46*$H$4</f>
        <v>0</v>
      </c>
      <c r="H4275" s="18" t="str">
        <f aca="false">'SALES Raw'!A46</f>
        <v>101 - Factory customers</v>
      </c>
    </row>
    <row r="4276" customFormat="false" ht="15" hidden="false" customHeight="false" outlineLevel="0" collapsed="false">
      <c r="A4276" s="18" t="n">
        <f aca="false">'SALES Raw'!G48</f>
        <v>4411018</v>
      </c>
      <c r="B4276" s="18" t="str">
        <f aca="false">'SALES Raw'!B48</f>
        <v>211 M</v>
      </c>
      <c r="C4276" s="18" t="str">
        <f aca="false">'SALES Raw'!H48</f>
        <v>211M כפפות לחץ</v>
      </c>
      <c r="D4276" s="19" t="n">
        <f aca="false">'SALES Raw'!C48</f>
        <v>4</v>
      </c>
      <c r="E4276" s="19" t="n">
        <f aca="false">'SALES Raw'!D48</f>
        <v>145.41</v>
      </c>
      <c r="F4276" s="19" t="n">
        <f aca="false">'SALES Raw'!E48*$H$4</f>
        <v>0</v>
      </c>
      <c r="G4276" s="19" t="n">
        <f aca="false">'SALES Raw'!F48*$H$4</f>
        <v>0</v>
      </c>
      <c r="H4276" s="18" t="str">
        <f aca="false">'SALES Raw'!A48</f>
        <v>101 - Factory customers</v>
      </c>
    </row>
    <row r="4277" customFormat="false" ht="15" hidden="false" customHeight="false" outlineLevel="0" collapsed="false">
      <c r="A4277" s="18" t="n">
        <f aca="false">'SALES Raw'!G49</f>
        <v>4411019</v>
      </c>
      <c r="B4277" s="18" t="str">
        <f aca="false">'SALES Raw'!B49</f>
        <v>211 S</v>
      </c>
      <c r="C4277" s="18" t="str">
        <f aca="false">'SALES Raw'!H49</f>
        <v>211S כפפות לחץ</v>
      </c>
      <c r="D4277" s="19" t="n">
        <f aca="false">'SALES Raw'!C49</f>
        <v>2</v>
      </c>
      <c r="E4277" s="19" t="n">
        <f aca="false">'SALES Raw'!D49</f>
        <v>37.46</v>
      </c>
      <c r="F4277" s="19" t="n">
        <f aca="false">'SALES Raw'!E49*$H$4</f>
        <v>0</v>
      </c>
      <c r="G4277" s="19" t="n">
        <f aca="false">'SALES Raw'!F49*$H$4</f>
        <v>0</v>
      </c>
      <c r="H4277" s="18" t="str">
        <f aca="false">'SALES Raw'!A49</f>
        <v>101 - Factory customers</v>
      </c>
    </row>
    <row r="4278" customFormat="false" ht="15" hidden="false" customHeight="false" outlineLevel="0" collapsed="false">
      <c r="A4278" s="18" t="n">
        <f aca="false">'SALES Raw'!G50</f>
        <v>4411021</v>
      </c>
      <c r="B4278" s="18" t="str">
        <f aca="false">'SALES Raw'!B50</f>
        <v>212 L</v>
      </c>
      <c r="C4278" s="18" t="str">
        <f aca="false">'SALES Raw'!H50</f>
        <v>212L כפפות אגודל לחץ</v>
      </c>
      <c r="D4278" s="19" t="n">
        <f aca="false">'SALES Raw'!C50</f>
        <v>5</v>
      </c>
      <c r="E4278" s="19" t="n">
        <f aca="false">'SALES Raw'!D50</f>
        <v>194.59</v>
      </c>
      <c r="F4278" s="19" t="n">
        <f aca="false">'SALES Raw'!E50*$H$4</f>
        <v>0</v>
      </c>
      <c r="G4278" s="19" t="n">
        <f aca="false">'SALES Raw'!F50*$H$4</f>
        <v>0</v>
      </c>
      <c r="H4278" s="18" t="str">
        <f aca="false">'SALES Raw'!A50</f>
        <v>101 - Factory customers</v>
      </c>
    </row>
    <row r="4279" customFormat="false" ht="15" hidden="false" customHeight="false" outlineLevel="0" collapsed="false">
      <c r="A4279" s="18" t="n">
        <f aca="false">'SALES Raw'!G55</f>
        <v>4415160</v>
      </c>
      <c r="B4279" s="18" t="str">
        <f aca="false">'SALES Raw'!B55</f>
        <v>238 S</v>
      </c>
      <c r="C4279" s="18" t="str">
        <f aca="false">'SALES Raw'!H55</f>
        <v>238S סד ליישור אצבע</v>
      </c>
      <c r="D4279" s="19" t="n">
        <f aca="false">'SALES Raw'!C55</f>
        <v>1</v>
      </c>
      <c r="E4279" s="19" t="n">
        <f aca="false">'SALES Raw'!D55</f>
        <v>20.11</v>
      </c>
      <c r="F4279" s="19" t="n">
        <f aca="false">'SALES Raw'!E55*$H$4</f>
        <v>0</v>
      </c>
      <c r="G4279" s="19" t="n">
        <f aca="false">'SALES Raw'!F55*$H$4</f>
        <v>0</v>
      </c>
      <c r="H4279" s="18" t="str">
        <f aca="false">'SALES Raw'!A55</f>
        <v>101 - Factory customers</v>
      </c>
    </row>
    <row r="4280" customFormat="false" ht="15" hidden="false" customHeight="false" outlineLevel="0" collapsed="false">
      <c r="A4280" s="18" t="n">
        <f aca="false">'SALES Raw'!G56</f>
        <v>4419013</v>
      </c>
      <c r="B4280" s="18" t="str">
        <f aca="false">'SALES Raw'!B56</f>
        <v>239B-L-XL</v>
      </c>
      <c r="C4280" s="18" t="str">
        <f aca="false">'SALES Raw'!H56</f>
        <v>239B L-XL STRAP4U</v>
      </c>
      <c r="D4280" s="19" t="n">
        <f aca="false">'SALES Raw'!C56</f>
        <v>8</v>
      </c>
      <c r="E4280" s="19" t="n">
        <f aca="false">'SALES Raw'!D56</f>
        <v>191.7</v>
      </c>
      <c r="F4280" s="19" t="n">
        <f aca="false">'SALES Raw'!E56*$H$4</f>
        <v>0</v>
      </c>
      <c r="G4280" s="19" t="n">
        <f aca="false">'SALES Raw'!F56*$H$4</f>
        <v>0</v>
      </c>
      <c r="H4280" s="18" t="str">
        <f aca="false">'SALES Raw'!A56</f>
        <v>101 - Factory customers</v>
      </c>
    </row>
    <row r="4281" customFormat="false" ht="15" hidden="false" customHeight="false" outlineLevel="0" collapsed="false">
      <c r="A4281" s="18" t="n">
        <f aca="false">'SALES Raw'!G58</f>
        <v>4419014</v>
      </c>
      <c r="B4281" s="18" t="str">
        <f aca="false">'SALES Raw'!B58</f>
        <v>239TR-L-XL</v>
      </c>
      <c r="C4281" s="18" t="str">
        <f aca="false">'SALES Raw'!H58</f>
        <v>239TR L-XL STRAP4U</v>
      </c>
      <c r="D4281" s="19" t="n">
        <f aca="false">'SALES Raw'!C58</f>
        <v>7</v>
      </c>
      <c r="E4281" s="19" t="n">
        <f aca="false">'SALES Raw'!D58</f>
        <v>172.22</v>
      </c>
      <c r="F4281" s="19" t="n">
        <f aca="false">'SALES Raw'!E58*$H$4</f>
        <v>0</v>
      </c>
      <c r="G4281" s="19" t="n">
        <f aca="false">'SALES Raw'!F58*$H$4</f>
        <v>0</v>
      </c>
      <c r="H4281" s="18" t="str">
        <f aca="false">'SALES Raw'!A58</f>
        <v>101 - Factory customers</v>
      </c>
    </row>
    <row r="4282" customFormat="false" ht="15" hidden="false" customHeight="false" outlineLevel="0" collapsed="false">
      <c r="A4282" s="18" t="n">
        <f aca="false">'SALES Raw'!G61</f>
        <v>4415004</v>
      </c>
      <c r="B4282" s="18" t="str">
        <f aca="false">'SALES Raw'!B61</f>
        <v>26 XXL</v>
      </c>
      <c r="C4282" s="18" t="str">
        <f aca="false">'SALES Raw'!H61</f>
        <v>26 XXL סד ליד דו צדדי לאחר שבר</v>
      </c>
      <c r="D4282" s="19" t="n">
        <f aca="false">'SALES Raw'!C61</f>
        <v>1</v>
      </c>
      <c r="E4282" s="19" t="n">
        <f aca="false">'SALES Raw'!D61</f>
        <v>103.07</v>
      </c>
      <c r="F4282" s="19" t="n">
        <f aca="false">'SALES Raw'!E61*$H$4</f>
        <v>0</v>
      </c>
      <c r="G4282" s="19" t="n">
        <f aca="false">'SALES Raw'!F61*$H$4</f>
        <v>0</v>
      </c>
      <c r="H4282" s="18" t="str">
        <f aca="false">'SALES Raw'!A61</f>
        <v>101 - Factory customers</v>
      </c>
    </row>
    <row r="4283" customFormat="false" ht="15" hidden="false" customHeight="false" outlineLevel="0" collapsed="false">
      <c r="A4283" s="18" t="str">
        <f aca="false">'SALES Raw'!G63</f>
        <v/>
      </c>
      <c r="B4283" s="18" t="str">
        <f aca="false">'SALES Raw'!B63</f>
        <v>267LB-L-XL</v>
      </c>
      <c r="C4283" s="18" t="str">
        <f aca="false">'SALES Raw'!H63</f>
        <v>267LB-L-XL</v>
      </c>
      <c r="D4283" s="19" t="n">
        <f aca="false">'SALES Raw'!C63</f>
        <v>1</v>
      </c>
      <c r="E4283" s="19" t="n">
        <f aca="false">'SALES Raw'!D63</f>
        <v>108.7</v>
      </c>
      <c r="F4283" s="19" t="n">
        <f aca="false">'SALES Raw'!E63*$H$4</f>
        <v>0</v>
      </c>
      <c r="G4283" s="19" t="n">
        <f aca="false">'SALES Raw'!F63*$H$4</f>
        <v>0</v>
      </c>
      <c r="H4283" s="18" t="str">
        <f aca="false">'SALES Raw'!A63</f>
        <v>101 - Factory customers</v>
      </c>
    </row>
    <row r="4284" customFormat="false" ht="15" hidden="false" customHeight="false" outlineLevel="0" collapsed="false">
      <c r="A4284" s="18" t="n">
        <f aca="false">'SALES Raw'!G65</f>
        <v>4415006</v>
      </c>
      <c r="B4284" s="18" t="str">
        <f aca="false">'SALES Raw'!B65</f>
        <v>28 M</v>
      </c>
      <c r="C4284" s="18" t="str">
        <f aca="false">'SALES Raw'!H65</f>
        <v>28 M סד לאגודל לאחר שבר</v>
      </c>
      <c r="D4284" s="19" t="n">
        <f aca="false">'SALES Raw'!C65</f>
        <v>2</v>
      </c>
      <c r="E4284" s="19" t="n">
        <f aca="false">'SALES Raw'!D65</f>
        <v>187.68</v>
      </c>
      <c r="F4284" s="19" t="n">
        <f aca="false">'SALES Raw'!E65*$H$4</f>
        <v>0</v>
      </c>
      <c r="G4284" s="19" t="n">
        <f aca="false">'SALES Raw'!F65*$H$4</f>
        <v>0</v>
      </c>
      <c r="H4284" s="18" t="str">
        <f aca="false">'SALES Raw'!A65</f>
        <v>101 - Factory customers</v>
      </c>
    </row>
    <row r="4285" customFormat="false" ht="15" hidden="false" customHeight="false" outlineLevel="0" collapsed="false">
      <c r="A4285" s="18" t="str">
        <f aca="false">'SALES Raw'!G67</f>
        <v/>
      </c>
      <c r="B4285" s="18" t="str">
        <f aca="false">'SALES Raw'!B67</f>
        <v>30 XL</v>
      </c>
      <c r="C4285" s="18" t="str">
        <f aca="false">'SALES Raw'!H67</f>
        <v>30 XL</v>
      </c>
      <c r="D4285" s="19" t="n">
        <f aca="false">'SALES Raw'!C67</f>
        <v>1</v>
      </c>
      <c r="E4285" s="19" t="n">
        <f aca="false">'SALES Raw'!D67</f>
        <v>66.51</v>
      </c>
      <c r="F4285" s="19" t="n">
        <f aca="false">'SALES Raw'!E67*$H$4</f>
        <v>0</v>
      </c>
      <c r="G4285" s="19" t="n">
        <f aca="false">'SALES Raw'!F67*$H$4</f>
        <v>0</v>
      </c>
      <c r="H4285" s="18" t="str">
        <f aca="false">'SALES Raw'!A67</f>
        <v>101 - Factory customers</v>
      </c>
    </row>
    <row r="4286" customFormat="false" ht="15" hidden="false" customHeight="false" outlineLevel="0" collapsed="false">
      <c r="A4286" s="18" t="n">
        <f aca="false">'SALES Raw'!G76</f>
        <v>4411016</v>
      </c>
      <c r="B4286" s="18" t="str">
        <f aca="false">'SALES Raw'!B76</f>
        <v>307 XL</v>
      </c>
      <c r="C4286" s="18" t="str">
        <f aca="false">'SALES Raw'!H76</f>
        <v>307 XL כרית סיליקון לעקב</v>
      </c>
      <c r="D4286" s="19" t="n">
        <f aca="false">'SALES Raw'!C76</f>
        <v>1</v>
      </c>
      <c r="E4286" s="19" t="n">
        <f aca="false">'SALES Raw'!D76</f>
        <v>92.14</v>
      </c>
      <c r="F4286" s="19" t="n">
        <f aca="false">'SALES Raw'!E76*$H$4</f>
        <v>0</v>
      </c>
      <c r="G4286" s="19" t="n">
        <f aca="false">'SALES Raw'!F76*$H$4</f>
        <v>0</v>
      </c>
      <c r="H4286" s="18" t="str">
        <f aca="false">'SALES Raw'!A76</f>
        <v>101 - Factory customers</v>
      </c>
    </row>
    <row r="4287" customFormat="false" ht="15" hidden="false" customHeight="false" outlineLevel="0" collapsed="false">
      <c r="A4287" s="18" t="n">
        <f aca="false">'SALES Raw'!G82</f>
        <v>4402007</v>
      </c>
      <c r="B4287" s="18" t="str">
        <f aca="false">'SALES Raw'!B82</f>
        <v>320 0</v>
      </c>
      <c r="C4287" s="18" t="str">
        <f aca="false">'SALES Raw'!H82</f>
        <v>320 בליסטר פלסטר</v>
      </c>
      <c r="D4287" s="19" t="n">
        <f aca="false">'SALES Raw'!C82</f>
        <v>4</v>
      </c>
      <c r="E4287" s="19" t="n">
        <f aca="false">'SALES Raw'!D82</f>
        <v>83.75</v>
      </c>
      <c r="F4287" s="19" t="n">
        <f aca="false">'SALES Raw'!E82*$H$4</f>
        <v>0</v>
      </c>
      <c r="G4287" s="19" t="n">
        <f aca="false">'SALES Raw'!F82*$H$4</f>
        <v>0</v>
      </c>
      <c r="H4287" s="18" t="str">
        <f aca="false">'SALES Raw'!A82</f>
        <v>101 - Factory customers</v>
      </c>
    </row>
    <row r="4288" customFormat="false" ht="15" hidden="false" customHeight="false" outlineLevel="0" collapsed="false">
      <c r="A4288" s="18" t="n">
        <f aca="false">'SALES Raw'!G83</f>
        <v>4413347</v>
      </c>
      <c r="B4288" s="18" t="str">
        <f aca="false">'SALES Raw'!B83</f>
        <v>322 L</v>
      </c>
      <c r="C4288" s="18" t="str">
        <f aca="false">'SALES Raw'!H83</f>
        <v>322-L מגן קרסול+כרית סילקון</v>
      </c>
      <c r="D4288" s="19" t="n">
        <f aca="false">'SALES Raw'!C83</f>
        <v>1</v>
      </c>
      <c r="E4288" s="19" t="n">
        <f aca="false">'SALES Raw'!D83</f>
        <v>127.91</v>
      </c>
      <c r="F4288" s="19" t="n">
        <f aca="false">'SALES Raw'!E83*$H$4</f>
        <v>0</v>
      </c>
      <c r="G4288" s="19" t="n">
        <f aca="false">'SALES Raw'!F83*$H$4</f>
        <v>0</v>
      </c>
      <c r="H4288" s="18" t="str">
        <f aca="false">'SALES Raw'!A83</f>
        <v>101 - Factory customers</v>
      </c>
    </row>
    <row r="4289" customFormat="false" ht="15" hidden="false" customHeight="false" outlineLevel="0" collapsed="false">
      <c r="A4289" s="18" t="n">
        <f aca="false">'SALES Raw'!G85</f>
        <v>4413161</v>
      </c>
      <c r="B4289" s="18" t="str">
        <f aca="false">'SALES Raw'!B85</f>
        <v>34+ L</v>
      </c>
      <c r="C4289" s="18" t="str">
        <f aca="false">'SALES Raw'!H85</f>
        <v>34+ L מגן קרסול עקב סגור+רצוע</v>
      </c>
      <c r="D4289" s="19" t="n">
        <f aca="false">'SALES Raw'!C85</f>
        <v>3</v>
      </c>
      <c r="E4289" s="19" t="n">
        <f aca="false">'SALES Raw'!D85</f>
        <v>213.55</v>
      </c>
      <c r="F4289" s="19" t="n">
        <f aca="false">'SALES Raw'!E85*$H$4</f>
        <v>0</v>
      </c>
      <c r="G4289" s="19" t="n">
        <f aca="false">'SALES Raw'!F85*$H$4</f>
        <v>0</v>
      </c>
      <c r="H4289" s="18" t="str">
        <f aca="false">'SALES Raw'!A85</f>
        <v>101 - Factory customers</v>
      </c>
    </row>
    <row r="4290" customFormat="false" ht="15" hidden="false" customHeight="false" outlineLevel="0" collapsed="false">
      <c r="A4290" s="18" t="n">
        <f aca="false">'SALES Raw'!G86</f>
        <v>4413162</v>
      </c>
      <c r="B4290" s="18" t="str">
        <f aca="false">'SALES Raw'!B86</f>
        <v>34+ XL</v>
      </c>
      <c r="C4290" s="18" t="str">
        <f aca="false">'SALES Raw'!H86</f>
        <v>34+XL מגן קרסול עקב סגור+רצוע</v>
      </c>
      <c r="D4290" s="19" t="n">
        <f aca="false">'SALES Raw'!C86</f>
        <v>1</v>
      </c>
      <c r="E4290" s="19" t="n">
        <f aca="false">'SALES Raw'!D86</f>
        <v>70.26</v>
      </c>
      <c r="F4290" s="19" t="n">
        <f aca="false">'SALES Raw'!E86*$H$4</f>
        <v>0</v>
      </c>
      <c r="G4290" s="19" t="n">
        <f aca="false">'SALES Raw'!F86*$H$4</f>
        <v>0</v>
      </c>
      <c r="H4290" s="18" t="str">
        <f aca="false">'SALES Raw'!A86</f>
        <v>101 - Factory customers</v>
      </c>
    </row>
    <row r="4291" customFormat="false" ht="15" hidden="false" customHeight="false" outlineLevel="0" collapsed="false">
      <c r="A4291" s="18" t="n">
        <f aca="false">'SALES Raw'!G90</f>
        <v>4413492</v>
      </c>
      <c r="B4291" s="18" t="str">
        <f aca="false">'SALES Raw'!B90</f>
        <v>35B M</v>
      </c>
      <c r="C4291" s="18" t="str">
        <f aca="false">'SALES Raw'!H90</f>
        <v>35B M מגן קרסול שחור</v>
      </c>
      <c r="D4291" s="19" t="n">
        <f aca="false">'SALES Raw'!C90</f>
        <v>6</v>
      </c>
      <c r="E4291" s="19" t="n">
        <f aca="false">'SALES Raw'!D90</f>
        <v>137.76</v>
      </c>
      <c r="F4291" s="19" t="n">
        <f aca="false">'SALES Raw'!E90*$H$4</f>
        <v>0</v>
      </c>
      <c r="G4291" s="19" t="n">
        <f aca="false">'SALES Raw'!F90*$H$4</f>
        <v>0</v>
      </c>
      <c r="H4291" s="18" t="str">
        <f aca="false">'SALES Raw'!A90</f>
        <v>101 - Factory customers</v>
      </c>
    </row>
    <row r="4292" customFormat="false" ht="15" hidden="false" customHeight="false" outlineLevel="0" collapsed="false">
      <c r="A4292" s="18" t="n">
        <f aca="false">'SALES Raw'!G91</f>
        <v>4413493</v>
      </c>
      <c r="B4292" s="18" t="str">
        <f aca="false">'SALES Raw'!B91</f>
        <v>35B S</v>
      </c>
      <c r="C4292" s="18" t="str">
        <f aca="false">'SALES Raw'!H91</f>
        <v>35B S מגן קרסול שחור</v>
      </c>
      <c r="D4292" s="19" t="n">
        <f aca="false">'SALES Raw'!C91</f>
        <v>2</v>
      </c>
      <c r="E4292" s="19" t="n">
        <f aca="false">'SALES Raw'!D91</f>
        <v>59.49</v>
      </c>
      <c r="F4292" s="19" t="n">
        <f aca="false">'SALES Raw'!E91*$H$4</f>
        <v>0</v>
      </c>
      <c r="G4292" s="19" t="n">
        <f aca="false">'SALES Raw'!F91*$H$4</f>
        <v>0</v>
      </c>
      <c r="H4292" s="18" t="str">
        <f aca="false">'SALES Raw'!A91</f>
        <v>101 - Factory customers</v>
      </c>
    </row>
    <row r="4293" customFormat="false" ht="15" hidden="false" customHeight="false" outlineLevel="0" collapsed="false">
      <c r="A4293" s="18" t="n">
        <f aca="false">'SALES Raw'!G92</f>
        <v>4413491</v>
      </c>
      <c r="B4293" s="18" t="str">
        <f aca="false">'SALES Raw'!B92</f>
        <v>35B XL</v>
      </c>
      <c r="C4293" s="18" t="str">
        <f aca="false">'SALES Raw'!H92</f>
        <v>35B XL מגן קרסול שחור</v>
      </c>
      <c r="D4293" s="19" t="n">
        <f aca="false">'SALES Raw'!C92</f>
        <v>1</v>
      </c>
      <c r="E4293" s="19" t="n">
        <f aca="false">'SALES Raw'!D92</f>
        <v>30.89</v>
      </c>
      <c r="F4293" s="19" t="n">
        <f aca="false">'SALES Raw'!E92*$H$4</f>
        <v>0</v>
      </c>
      <c r="G4293" s="19" t="n">
        <f aca="false">'SALES Raw'!F92*$H$4</f>
        <v>0</v>
      </c>
      <c r="H4293" s="18" t="str">
        <f aca="false">'SALES Raw'!A92</f>
        <v>101 - Factory customers</v>
      </c>
    </row>
    <row r="4294" customFormat="false" ht="15" hidden="false" customHeight="false" outlineLevel="0" collapsed="false">
      <c r="A4294" s="18" t="n">
        <f aca="false">'SALES Raw'!G93</f>
        <v>4413494</v>
      </c>
      <c r="B4294" s="18" t="str">
        <f aca="false">'SALES Raw'!B93</f>
        <v>35B XXL</v>
      </c>
      <c r="C4294" s="18" t="str">
        <f aca="false">'SALES Raw'!H93</f>
        <v>35B XXL מגן קרסול שחור</v>
      </c>
      <c r="D4294" s="19" t="n">
        <f aca="false">'SALES Raw'!C93</f>
        <v>7</v>
      </c>
      <c r="E4294" s="19" t="n">
        <f aca="false">'SALES Raw'!D93</f>
        <v>216.23</v>
      </c>
      <c r="F4294" s="19" t="n">
        <f aca="false">'SALES Raw'!E93*$H$4</f>
        <v>0</v>
      </c>
      <c r="G4294" s="19" t="n">
        <f aca="false">'SALES Raw'!F93*$H$4</f>
        <v>0</v>
      </c>
      <c r="H4294" s="18" t="str">
        <f aca="false">'SALES Raw'!A93</f>
        <v>101 - Factory customers</v>
      </c>
    </row>
    <row r="4295" customFormat="false" ht="15" hidden="false" customHeight="false" outlineLevel="0" collapsed="false">
      <c r="A4295" s="18" t="n">
        <f aca="false">'SALES Raw'!G94</f>
        <v>4413053</v>
      </c>
      <c r="B4295" s="18" t="str">
        <f aca="false">'SALES Raw'!B94</f>
        <v>35C L</v>
      </c>
      <c r="C4295" s="18" t="str">
        <f aca="false">'SALES Raw'!H94</f>
        <v>35C L מגן קרסול חום</v>
      </c>
      <c r="D4295" s="19" t="n">
        <f aca="false">'SALES Raw'!C94</f>
        <v>3</v>
      </c>
      <c r="E4295" s="19" t="n">
        <f aca="false">'SALES Raw'!D94</f>
        <v>92.68</v>
      </c>
      <c r="F4295" s="19" t="n">
        <f aca="false">'SALES Raw'!E94*$H$4</f>
        <v>0</v>
      </c>
      <c r="G4295" s="19" t="n">
        <f aca="false">'SALES Raw'!F94*$H$4</f>
        <v>0</v>
      </c>
      <c r="H4295" s="18" t="str">
        <f aca="false">'SALES Raw'!A94</f>
        <v>101 - Factory customers</v>
      </c>
    </row>
    <row r="4296" customFormat="false" ht="15" hidden="false" customHeight="false" outlineLevel="0" collapsed="false">
      <c r="A4296" s="18" t="n">
        <f aca="false">'SALES Raw'!G96</f>
        <v>4413052</v>
      </c>
      <c r="B4296" s="18" t="str">
        <f aca="false">'SALES Raw'!B96</f>
        <v>35C S</v>
      </c>
      <c r="C4296" s="18" t="str">
        <f aca="false">'SALES Raw'!H96</f>
        <v>35C S מגן קרסול חום</v>
      </c>
      <c r="D4296" s="19" t="n">
        <f aca="false">'SALES Raw'!C96</f>
        <v>5</v>
      </c>
      <c r="E4296" s="19" t="n">
        <f aca="false">'SALES Raw'!D96</f>
        <v>154.46</v>
      </c>
      <c r="F4296" s="19" t="n">
        <f aca="false">'SALES Raw'!E96*$H$4</f>
        <v>0</v>
      </c>
      <c r="G4296" s="19" t="n">
        <f aca="false">'SALES Raw'!F96*$H$4</f>
        <v>0</v>
      </c>
      <c r="H4296" s="18" t="str">
        <f aca="false">'SALES Raw'!A96</f>
        <v>101 - Factory customers</v>
      </c>
    </row>
    <row r="4297" customFormat="false" ht="15" hidden="false" customHeight="false" outlineLevel="0" collapsed="false">
      <c r="A4297" s="18" t="str">
        <f aca="false">'SALES Raw'!G98</f>
        <v/>
      </c>
      <c r="B4297" s="18" t="str">
        <f aca="false">'SALES Raw'!B98</f>
        <v>35C XXL</v>
      </c>
      <c r="C4297" s="18" t="str">
        <f aca="false">'SALES Raw'!H98</f>
        <v>35C XXL</v>
      </c>
      <c r="D4297" s="19" t="n">
        <f aca="false">'SALES Raw'!C98</f>
        <v>10</v>
      </c>
      <c r="E4297" s="19" t="n">
        <f aca="false">'SALES Raw'!D98</f>
        <v>308.94</v>
      </c>
      <c r="F4297" s="19" t="n">
        <f aca="false">'SALES Raw'!E98*$H$4</f>
        <v>0</v>
      </c>
      <c r="G4297" s="19" t="n">
        <f aca="false">'SALES Raw'!F98*$H$4</f>
        <v>0</v>
      </c>
      <c r="H4297" s="18" t="str">
        <f aca="false">'SALES Raw'!A98</f>
        <v>101 - Factory customers</v>
      </c>
    </row>
    <row r="4298" customFormat="false" ht="15" hidden="false" customHeight="false" outlineLevel="0" collapsed="false">
      <c r="A4298" s="18" t="n">
        <f aca="false">'SALES Raw'!G101</f>
        <v>4421001</v>
      </c>
      <c r="B4298" s="18" t="str">
        <f aca="false">'SALES Raw'!B101</f>
        <v>3611 0</v>
      </c>
      <c r="C4298" s="18" t="str">
        <f aca="false">'SALES Raw'!H101</f>
        <v>3611 שרוול מטטרזלי מסיליקון</v>
      </c>
      <c r="D4298" s="19" t="n">
        <f aca="false">'SALES Raw'!C101</f>
        <v>11</v>
      </c>
      <c r="E4298" s="19" t="n">
        <f aca="false">'SALES Raw'!D101</f>
        <v>649.42</v>
      </c>
      <c r="F4298" s="19" t="n">
        <f aca="false">'SALES Raw'!E101*$H$4</f>
        <v>0</v>
      </c>
      <c r="G4298" s="19" t="n">
        <f aca="false">'SALES Raw'!F101*$H$4</f>
        <v>0</v>
      </c>
      <c r="H4298" s="18" t="str">
        <f aca="false">'SALES Raw'!A101</f>
        <v>101 - Factory customers</v>
      </c>
    </row>
    <row r="4299" customFormat="false" ht="15" hidden="false" customHeight="false" outlineLevel="0" collapsed="false">
      <c r="A4299" s="18" t="n">
        <f aca="false">'SALES Raw'!G104</f>
        <v>4411001</v>
      </c>
      <c r="B4299" s="18" t="str">
        <f aca="false">'SALES Raw'!B104</f>
        <v>3623 0</v>
      </c>
      <c r="C4299" s="18" t="str">
        <f aca="false">'SALES Raw'!H104</f>
        <v>3623 כרית ליישור אצבע פטיש</v>
      </c>
      <c r="D4299" s="19" t="n">
        <f aca="false">'SALES Raw'!C104</f>
        <v>16</v>
      </c>
      <c r="E4299" s="19" t="n">
        <f aca="false">'SALES Raw'!D104</f>
        <v>408.33</v>
      </c>
      <c r="F4299" s="19" t="n">
        <f aca="false">'SALES Raw'!E104*$H$4</f>
        <v>0</v>
      </c>
      <c r="G4299" s="19" t="n">
        <f aca="false">'SALES Raw'!F104*$H$4</f>
        <v>0</v>
      </c>
      <c r="H4299" s="18" t="str">
        <f aca="false">'SALES Raw'!A104</f>
        <v>101 - Factory customers</v>
      </c>
    </row>
    <row r="4300" customFormat="false" ht="15" hidden="false" customHeight="false" outlineLevel="0" collapsed="false">
      <c r="A4300" s="18" t="n">
        <f aca="false">'SALES Raw'!G108</f>
        <v>4413061</v>
      </c>
      <c r="B4300" s="18" t="str">
        <f aca="false">'SALES Raw'!B108</f>
        <v>3641 0</v>
      </c>
      <c r="C4300" s="18" t="str">
        <f aca="false">'SALES Raw'!H108</f>
        <v>3641-מיישר בוהן סיליקון קשיח</v>
      </c>
      <c r="D4300" s="19" t="n">
        <f aca="false">'SALES Raw'!C108</f>
        <v>13</v>
      </c>
      <c r="E4300" s="19" t="n">
        <f aca="false">'SALES Raw'!D108</f>
        <v>273.58</v>
      </c>
      <c r="F4300" s="19" t="n">
        <f aca="false">'SALES Raw'!E108*$H$4</f>
        <v>0</v>
      </c>
      <c r="G4300" s="19" t="n">
        <f aca="false">'SALES Raw'!F108*$H$4</f>
        <v>0</v>
      </c>
      <c r="H4300" s="18" t="str">
        <f aca="false">'SALES Raw'!A108</f>
        <v>101 - Factory customers</v>
      </c>
    </row>
    <row r="4301" customFormat="false" ht="15" hidden="false" customHeight="false" outlineLevel="0" collapsed="false">
      <c r="A4301" s="18" t="n">
        <f aca="false">'SALES Raw'!G113</f>
        <v>4413063</v>
      </c>
      <c r="B4301" s="18" t="str">
        <f aca="false">'SALES Raw'!B113</f>
        <v>366S 0</v>
      </c>
      <c r="C4301" s="18" t="str">
        <f aca="false">'SALES Raw'!H113</f>
        <v>366S-'מדבק.לשחרור לחץ מיבלת2יח</v>
      </c>
      <c r="D4301" s="19" t="n">
        <f aca="false">'SALES Raw'!C113</f>
        <v>5</v>
      </c>
      <c r="E4301" s="19" t="n">
        <f aca="false">'SALES Raw'!D113</f>
        <v>66.97</v>
      </c>
      <c r="F4301" s="19" t="n">
        <f aca="false">'SALES Raw'!E113*$H$4</f>
        <v>0</v>
      </c>
      <c r="G4301" s="19" t="n">
        <f aca="false">'SALES Raw'!F113*$H$4</f>
        <v>0</v>
      </c>
      <c r="H4301" s="18" t="str">
        <f aca="false">'SALES Raw'!A113</f>
        <v>101 - Factory customers</v>
      </c>
    </row>
    <row r="4302" customFormat="false" ht="15" hidden="false" customHeight="false" outlineLevel="0" collapsed="false">
      <c r="A4302" s="18" t="n">
        <f aca="false">'SALES Raw'!G120</f>
        <v>4420027</v>
      </c>
      <c r="B4302" s="18" t="str">
        <f aca="false">'SALES Raw'!B120</f>
        <v>370K 0</v>
      </c>
      <c r="C4302" s="18" t="str">
        <f aca="false">'SALES Raw'!H120</f>
        <v>370K 0 רפידת לילדים אנטי ריח</v>
      </c>
      <c r="D4302" s="19" t="n">
        <f aca="false">'SALES Raw'!C120</f>
        <v>16</v>
      </c>
      <c r="E4302" s="19" t="n">
        <f aca="false">'SALES Raw'!D120</f>
        <v>205.98</v>
      </c>
      <c r="F4302" s="19" t="n">
        <f aca="false">'SALES Raw'!E120*$H$4</f>
        <v>0</v>
      </c>
      <c r="G4302" s="19" t="n">
        <f aca="false">'SALES Raw'!F120*$H$4</f>
        <v>0</v>
      </c>
      <c r="H4302" s="18" t="str">
        <f aca="false">'SALES Raw'!A120</f>
        <v>101 - Factory customers</v>
      </c>
    </row>
    <row r="4303" customFormat="false" ht="15" hidden="false" customHeight="false" outlineLevel="0" collapsed="false">
      <c r="A4303" s="18" t="n">
        <f aca="false">'SALES Raw'!G123</f>
        <v>4420003</v>
      </c>
      <c r="B4303" s="18" t="str">
        <f aca="false">'SALES Raw'!B123</f>
        <v>374 0</v>
      </c>
      <c r="C4303" s="18" t="str">
        <f aca="false">'SALES Raw'!H123</f>
        <v>374 רפידת בולמת זעזועים -זוג</v>
      </c>
      <c r="D4303" s="19" t="n">
        <f aca="false">'SALES Raw'!C123</f>
        <v>7</v>
      </c>
      <c r="E4303" s="19" t="n">
        <f aca="false">'SALES Raw'!D123</f>
        <v>106.81</v>
      </c>
      <c r="F4303" s="19" t="n">
        <f aca="false">'SALES Raw'!E123*$H$4</f>
        <v>0</v>
      </c>
      <c r="G4303" s="19" t="n">
        <f aca="false">'SALES Raw'!F123*$H$4</f>
        <v>0</v>
      </c>
      <c r="H4303" s="18" t="str">
        <f aca="false">'SALES Raw'!A123</f>
        <v>101 - Factory customers</v>
      </c>
    </row>
    <row r="4304" customFormat="false" ht="15" hidden="false" customHeight="false" outlineLevel="0" collapsed="false">
      <c r="A4304" s="18" t="str">
        <f aca="false">'SALES Raw'!G124</f>
        <v/>
      </c>
      <c r="B4304" s="18" t="str">
        <f aca="false">'SALES Raw'!B124</f>
        <v>376-35-37</v>
      </c>
      <c r="C4304" s="18" t="str">
        <f aca="false">'SALES Raw'!H124</f>
        <v>376-35-37</v>
      </c>
      <c r="D4304" s="19" t="n">
        <f aca="false">'SALES Raw'!C124</f>
        <v>4</v>
      </c>
      <c r="E4304" s="19" t="n">
        <f aca="false">'SALES Raw'!D124</f>
        <v>134.24</v>
      </c>
      <c r="F4304" s="19" t="n">
        <f aca="false">'SALES Raw'!E124*$H$4</f>
        <v>0</v>
      </c>
      <c r="G4304" s="19" t="n">
        <f aca="false">'SALES Raw'!F124*$H$4</f>
        <v>0</v>
      </c>
      <c r="H4304" s="18" t="str">
        <f aca="false">'SALES Raw'!A124</f>
        <v>101 - Factory customers</v>
      </c>
    </row>
    <row r="4305" customFormat="false" ht="15" hidden="false" customHeight="false" outlineLevel="0" collapsed="false">
      <c r="A4305" s="18" t="str">
        <f aca="false">'SALES Raw'!G127</f>
        <v/>
      </c>
      <c r="B4305" s="18" t="str">
        <f aca="false">'SALES Raw'!B127</f>
        <v>376-44-45</v>
      </c>
      <c r="C4305" s="18" t="str">
        <f aca="false">'SALES Raw'!H127</f>
        <v>376-44-45</v>
      </c>
      <c r="D4305" s="19" t="n">
        <f aca="false">'SALES Raw'!C127</f>
        <v>6</v>
      </c>
      <c r="E4305" s="19" t="n">
        <f aca="false">'SALES Raw'!D127</f>
        <v>199.01</v>
      </c>
      <c r="F4305" s="19" t="n">
        <f aca="false">'SALES Raw'!E127*$H$4</f>
        <v>0</v>
      </c>
      <c r="G4305" s="19" t="n">
        <f aca="false">'SALES Raw'!F127*$H$4</f>
        <v>0</v>
      </c>
      <c r="H4305" s="18" t="str">
        <f aca="false">'SALES Raw'!A127</f>
        <v>101 - Factory customers</v>
      </c>
    </row>
    <row r="4306" customFormat="false" ht="15" hidden="false" customHeight="false" outlineLevel="0" collapsed="false">
      <c r="A4306" s="18" t="str">
        <f aca="false">'SALES Raw'!G131</f>
        <v/>
      </c>
      <c r="B4306" s="18" t="str">
        <f aca="false">'SALES Raw'!B131</f>
        <v>388L 0</v>
      </c>
      <c r="C4306" s="18" t="str">
        <f aca="false">'SALES Raw'!H131</f>
        <v>388L 0</v>
      </c>
      <c r="D4306" s="19" t="n">
        <f aca="false">'SALES Raw'!C131</f>
        <v>1</v>
      </c>
      <c r="E4306" s="19" t="n">
        <f aca="false">'SALES Raw'!D131</f>
        <v>73.23</v>
      </c>
      <c r="F4306" s="19" t="n">
        <f aca="false">'SALES Raw'!E131*$H$4</f>
        <v>0</v>
      </c>
      <c r="G4306" s="19" t="n">
        <f aca="false">'SALES Raw'!F131*$H$4</f>
        <v>0</v>
      </c>
      <c r="H4306" s="18" t="str">
        <f aca="false">'SALES Raw'!A131</f>
        <v>101 - Factory customers</v>
      </c>
    </row>
    <row r="4307" customFormat="false" ht="15" hidden="false" customHeight="false" outlineLevel="0" collapsed="false">
      <c r="A4307" s="18" t="n">
        <f aca="false">'SALES Raw'!G137</f>
        <v>4403003</v>
      </c>
      <c r="B4307" s="18" t="str">
        <f aca="false">'SALES Raw'!B137</f>
        <v>390G-35-38</v>
      </c>
      <c r="C4307" s="18" t="str">
        <f aca="false">'SALES Raw'!H137</f>
        <v>390G ג.כסף לסכרתיים אפור35-38</v>
      </c>
      <c r="D4307" s="19" t="n">
        <f aca="false">'SALES Raw'!C137</f>
        <v>2</v>
      </c>
      <c r="E4307" s="19" t="n">
        <f aca="false">'SALES Raw'!D137</f>
        <v>70.22</v>
      </c>
      <c r="F4307" s="19" t="n">
        <f aca="false">'SALES Raw'!E137*$H$4</f>
        <v>0</v>
      </c>
      <c r="G4307" s="19" t="n">
        <f aca="false">'SALES Raw'!F137*$H$4</f>
        <v>0</v>
      </c>
      <c r="H4307" s="18" t="str">
        <f aca="false">'SALES Raw'!A137</f>
        <v>101 - Factory customers</v>
      </c>
    </row>
    <row r="4308" customFormat="false" ht="15" hidden="false" customHeight="false" outlineLevel="0" collapsed="false">
      <c r="A4308" s="18" t="n">
        <f aca="false">'SALES Raw'!G139</f>
        <v>4403005</v>
      </c>
      <c r="B4308" s="18" t="str">
        <f aca="false">'SALES Raw'!B139</f>
        <v>390G-43-46</v>
      </c>
      <c r="C4308" s="18" t="str">
        <f aca="false">'SALES Raw'!H139</f>
        <v>G390.43-46 גרבי כסף לסכרת מידה</v>
      </c>
      <c r="D4308" s="19" t="n">
        <f aca="false">'SALES Raw'!C139</f>
        <v>30</v>
      </c>
      <c r="E4308" s="19" t="n">
        <f aca="false">'SALES Raw'!D139</f>
        <v>954.55</v>
      </c>
      <c r="F4308" s="19" t="n">
        <f aca="false">'SALES Raw'!E139*$H$4</f>
        <v>0</v>
      </c>
      <c r="G4308" s="19" t="n">
        <f aca="false">'SALES Raw'!F139*$H$4</f>
        <v>0</v>
      </c>
      <c r="H4308" s="18" t="str">
        <f aca="false">'SALES Raw'!A139</f>
        <v>101 - Factory customers</v>
      </c>
    </row>
    <row r="4309" customFormat="false" ht="15" hidden="false" customHeight="false" outlineLevel="0" collapsed="false">
      <c r="A4309" s="18" t="n">
        <f aca="false">'SALES Raw'!G140</f>
        <v>4403007</v>
      </c>
      <c r="B4309" s="18" t="str">
        <f aca="false">'SALES Raw'!B140</f>
        <v>390W-39-42</v>
      </c>
      <c r="C4309" s="18" t="str">
        <f aca="false">'SALES Raw'!H140</f>
        <v>390W גרב.כסף לסכרתיים לבן39-42</v>
      </c>
      <c r="D4309" s="19" t="n">
        <f aca="false">'SALES Raw'!C140</f>
        <v>2</v>
      </c>
      <c r="E4309" s="19" t="n">
        <f aca="false">'SALES Raw'!D140</f>
        <v>68.82</v>
      </c>
      <c r="F4309" s="19" t="n">
        <f aca="false">'SALES Raw'!E140*$H$4</f>
        <v>0</v>
      </c>
      <c r="G4309" s="19" t="n">
        <f aca="false">'SALES Raw'!F140*$H$4</f>
        <v>0</v>
      </c>
      <c r="H4309" s="18" t="str">
        <f aca="false">'SALES Raw'!A140</f>
        <v>101 - Factory customers</v>
      </c>
    </row>
    <row r="4310" customFormat="false" ht="15" hidden="false" customHeight="false" outlineLevel="0" collapsed="false">
      <c r="A4310" s="18" t="n">
        <f aca="false">'SALES Raw'!G141</f>
        <v>4403017</v>
      </c>
      <c r="B4310" s="18" t="str">
        <f aca="false">'SALES Raw'!B141</f>
        <v>394B-35-38</v>
      </c>
      <c r="C4310" s="18" t="str">
        <f aca="false">'SALES Raw'!H141</f>
        <v>394B גרב.כסף לסכרתים שחור35-38</v>
      </c>
      <c r="D4310" s="19" t="n">
        <f aca="false">'SALES Raw'!C141</f>
        <v>10</v>
      </c>
      <c r="E4310" s="19" t="n">
        <f aca="false">'SALES Raw'!D141</f>
        <v>275.4</v>
      </c>
      <c r="F4310" s="19" t="n">
        <f aca="false">'SALES Raw'!E141*$H$4</f>
        <v>0</v>
      </c>
      <c r="G4310" s="19" t="n">
        <f aca="false">'SALES Raw'!F141*$H$4</f>
        <v>0</v>
      </c>
      <c r="H4310" s="18" t="str">
        <f aca="false">'SALES Raw'!A141</f>
        <v>101 - Factory customers</v>
      </c>
    </row>
    <row r="4311" customFormat="false" ht="15" hidden="false" customHeight="false" outlineLevel="0" collapsed="false">
      <c r="A4311" s="18" t="n">
        <f aca="false">'SALES Raw'!G142</f>
        <v>4403018</v>
      </c>
      <c r="B4311" s="18" t="str">
        <f aca="false">'SALES Raw'!B142</f>
        <v>394B-39-42</v>
      </c>
      <c r="C4311" s="18" t="str">
        <f aca="false">'SALES Raw'!H142</f>
        <v>394B גרב.כסף לסכרתים שחור39-42</v>
      </c>
      <c r="D4311" s="19" t="n">
        <f aca="false">'SALES Raw'!C142</f>
        <v>28</v>
      </c>
      <c r="E4311" s="19" t="n">
        <f aca="false">'SALES Raw'!D142</f>
        <v>765.38</v>
      </c>
      <c r="F4311" s="19" t="n">
        <f aca="false">'SALES Raw'!E142*$H$4</f>
        <v>0</v>
      </c>
      <c r="G4311" s="19" t="n">
        <f aca="false">'SALES Raw'!F142*$H$4</f>
        <v>0</v>
      </c>
      <c r="H4311" s="18" t="str">
        <f aca="false">'SALES Raw'!A142</f>
        <v>101 - Factory customers</v>
      </c>
    </row>
    <row r="4312" customFormat="false" ht="15" hidden="false" customHeight="false" outlineLevel="0" collapsed="false">
      <c r="A4312" s="18" t="str">
        <f aca="false">'SALES Raw'!G151</f>
        <v/>
      </c>
      <c r="B4312" s="18" t="str">
        <f aca="false">'SALES Raw'!B151</f>
        <v>397-35-38</v>
      </c>
      <c r="C4312" s="18" t="str">
        <f aca="false">'SALES Raw'!H151</f>
        <v>397-35-38</v>
      </c>
      <c r="D4312" s="19" t="n">
        <f aca="false">'SALES Raw'!C151</f>
        <v>25</v>
      </c>
      <c r="E4312" s="19" t="n">
        <f aca="false">'SALES Raw'!D151</f>
        <v>1576.22</v>
      </c>
      <c r="F4312" s="19" t="n">
        <f aca="false">'SALES Raw'!E151*$H$4</f>
        <v>0</v>
      </c>
      <c r="G4312" s="19" t="n">
        <f aca="false">'SALES Raw'!F151*$H$4</f>
        <v>0</v>
      </c>
      <c r="H4312" s="18" t="str">
        <f aca="false">'SALES Raw'!A151</f>
        <v>101 - Factory customers</v>
      </c>
    </row>
    <row r="4313" customFormat="false" ht="15" hidden="false" customHeight="false" outlineLevel="0" collapsed="false">
      <c r="A4313" s="18" t="n">
        <f aca="false">'SALES Raw'!G152</f>
        <v>4403029</v>
      </c>
      <c r="B4313" s="18" t="str">
        <f aca="false">'SALES Raw'!B152</f>
        <v>397-39-42</v>
      </c>
      <c r="C4313" s="18" t="str">
        <f aca="false">'SALES Raw'!H152</f>
        <v>397 39-42 גרבי טיסה מידה</v>
      </c>
      <c r="D4313" s="19" t="n">
        <f aca="false">'SALES Raw'!C152</f>
        <v>35</v>
      </c>
      <c r="E4313" s="19" t="n">
        <f aca="false">'SALES Raw'!D152</f>
        <v>2280.99</v>
      </c>
      <c r="F4313" s="19" t="n">
        <f aca="false">'SALES Raw'!E152*$H$4</f>
        <v>0</v>
      </c>
      <c r="G4313" s="19" t="n">
        <f aca="false">'SALES Raw'!F152*$H$4</f>
        <v>0</v>
      </c>
      <c r="H4313" s="18" t="str">
        <f aca="false">'SALES Raw'!A152</f>
        <v>101 - Factory customers</v>
      </c>
    </row>
    <row r="4314" customFormat="false" ht="15" hidden="false" customHeight="false" outlineLevel="0" collapsed="false">
      <c r="A4314" s="18" t="str">
        <f aca="false">'SALES Raw'!G153</f>
        <v/>
      </c>
      <c r="B4314" s="18" t="str">
        <f aca="false">'SALES Raw'!B153</f>
        <v>397-43-46</v>
      </c>
      <c r="C4314" s="18" t="str">
        <f aca="false">'SALES Raw'!H153</f>
        <v>397-43-46</v>
      </c>
      <c r="D4314" s="19" t="n">
        <f aca="false">'SALES Raw'!C153</f>
        <v>18</v>
      </c>
      <c r="E4314" s="19" t="n">
        <f aca="false">'SALES Raw'!D153</f>
        <v>1156.07</v>
      </c>
      <c r="F4314" s="19" t="n">
        <f aca="false">'SALES Raw'!E153*$H$4</f>
        <v>0</v>
      </c>
      <c r="G4314" s="19" t="n">
        <f aca="false">'SALES Raw'!F153*$H$4</f>
        <v>0</v>
      </c>
      <c r="H4314" s="18" t="str">
        <f aca="false">'SALES Raw'!A153</f>
        <v>101 - Factory customers</v>
      </c>
    </row>
    <row r="4315" customFormat="false" ht="15" hidden="false" customHeight="false" outlineLevel="0" collapsed="false">
      <c r="A4315" s="18" t="n">
        <f aca="false">'SALES Raw'!G159</f>
        <v>4413076</v>
      </c>
      <c r="B4315" s="18" t="str">
        <f aca="false">'SALES Raw'!B159</f>
        <v>41X L</v>
      </c>
      <c r="C4315" s="18" t="str">
        <f aca="false">'SALES Raw'!H159</f>
        <v>41X L מגן ברך מוצלב+מוט</v>
      </c>
      <c r="D4315" s="19" t="n">
        <f aca="false">'SALES Raw'!C159</f>
        <v>3</v>
      </c>
      <c r="E4315" s="19" t="n">
        <f aca="false">'SALES Raw'!D159</f>
        <v>399.35</v>
      </c>
      <c r="F4315" s="19" t="n">
        <f aca="false">'SALES Raw'!E159*$H$4</f>
        <v>0</v>
      </c>
      <c r="G4315" s="19" t="n">
        <f aca="false">'SALES Raw'!F159*$H$4</f>
        <v>0</v>
      </c>
      <c r="H4315" s="18" t="str">
        <f aca="false">'SALES Raw'!A159</f>
        <v>101 - Factory customers</v>
      </c>
    </row>
    <row r="4316" customFormat="false" ht="15" hidden="false" customHeight="false" outlineLevel="0" collapsed="false">
      <c r="A4316" s="18" t="n">
        <f aca="false">'SALES Raw'!G160</f>
        <v>4413094</v>
      </c>
      <c r="B4316" s="18" t="str">
        <f aca="false">'SALES Raw'!B160</f>
        <v>45 S</v>
      </c>
      <c r="C4316" s="18" t="str">
        <f aca="false">'SALES Raw'!H160</f>
        <v>45 S מגן ברך לבן</v>
      </c>
      <c r="D4316" s="19" t="n">
        <f aca="false">'SALES Raw'!C160</f>
        <v>3</v>
      </c>
      <c r="E4316" s="19" t="n">
        <f aca="false">'SALES Raw'!D160</f>
        <v>91.53</v>
      </c>
      <c r="F4316" s="19" t="n">
        <f aca="false">'SALES Raw'!E160*$H$4</f>
        <v>0</v>
      </c>
      <c r="G4316" s="19" t="n">
        <f aca="false">'SALES Raw'!F160*$H$4</f>
        <v>0</v>
      </c>
      <c r="H4316" s="18" t="str">
        <f aca="false">'SALES Raw'!A160</f>
        <v>101 - Factory customers</v>
      </c>
    </row>
    <row r="4317" customFormat="false" ht="15" hidden="false" customHeight="false" outlineLevel="0" collapsed="false">
      <c r="A4317" s="18" t="n">
        <f aca="false">'SALES Raw'!G161</f>
        <v>4413095</v>
      </c>
      <c r="B4317" s="18" t="str">
        <f aca="false">'SALES Raw'!B161</f>
        <v>45 XL</v>
      </c>
      <c r="C4317" s="18" t="str">
        <f aca="false">'SALES Raw'!H161</f>
        <v>45 XL מגן ברך לבן</v>
      </c>
      <c r="D4317" s="19" t="n">
        <f aca="false">'SALES Raw'!C161</f>
        <v>3</v>
      </c>
      <c r="E4317" s="19" t="n">
        <f aca="false">'SALES Raw'!D161</f>
        <v>91.53</v>
      </c>
      <c r="F4317" s="19" t="n">
        <f aca="false">'SALES Raw'!E161*$H$4</f>
        <v>0</v>
      </c>
      <c r="G4317" s="19" t="n">
        <f aca="false">'SALES Raw'!F161*$H$4</f>
        <v>0</v>
      </c>
      <c r="H4317" s="18" t="str">
        <f aca="false">'SALES Raw'!A161</f>
        <v>101 - Factory customers</v>
      </c>
    </row>
    <row r="4318" customFormat="false" ht="15" hidden="false" customHeight="false" outlineLevel="0" collapsed="false">
      <c r="A4318" s="18" t="n">
        <f aca="false">'SALES Raw'!G164</f>
        <v>4413098</v>
      </c>
      <c r="B4318" s="18" t="str">
        <f aca="false">'SALES Raw'!B164</f>
        <v>45C L</v>
      </c>
      <c r="C4318" s="18" t="str">
        <f aca="false">'SALES Raw'!H164</f>
        <v>45C L מגן ברך חום</v>
      </c>
      <c r="D4318" s="19" t="n">
        <f aca="false">'SALES Raw'!C164</f>
        <v>8</v>
      </c>
      <c r="E4318" s="19" t="n">
        <f aca="false">'SALES Raw'!D164</f>
        <v>245.99</v>
      </c>
      <c r="F4318" s="19" t="n">
        <f aca="false">'SALES Raw'!E164*$H$4</f>
        <v>0</v>
      </c>
      <c r="G4318" s="19" t="n">
        <f aca="false">'SALES Raw'!F164*$H$4</f>
        <v>0</v>
      </c>
      <c r="H4318" s="18" t="str">
        <f aca="false">'SALES Raw'!A164</f>
        <v>101 - Factory customers</v>
      </c>
    </row>
    <row r="4319" customFormat="false" ht="15" hidden="false" customHeight="false" outlineLevel="0" collapsed="false">
      <c r="A4319" s="18" t="str">
        <f aca="false">'SALES Raw'!G168</f>
        <v/>
      </c>
      <c r="B4319" s="18" t="str">
        <f aca="false">'SALES Raw'!B168</f>
        <v>45C XS</v>
      </c>
      <c r="C4319" s="18" t="str">
        <f aca="false">'SALES Raw'!H168</f>
        <v>45C XS</v>
      </c>
      <c r="D4319" s="19" t="n">
        <f aca="false">'SALES Raw'!C168</f>
        <v>2</v>
      </c>
      <c r="E4319" s="19" t="n">
        <f aca="false">'SALES Raw'!D168</f>
        <v>72.08</v>
      </c>
      <c r="F4319" s="19" t="n">
        <f aca="false">'SALES Raw'!E168*$H$4</f>
        <v>0</v>
      </c>
      <c r="G4319" s="19" t="n">
        <f aca="false">'SALES Raw'!F168*$H$4</f>
        <v>0</v>
      </c>
      <c r="H4319" s="18" t="str">
        <f aca="false">'SALES Raw'!A168</f>
        <v>101 - Factory customers</v>
      </c>
    </row>
    <row r="4320" customFormat="false" ht="15" hidden="false" customHeight="false" outlineLevel="0" collapsed="false">
      <c r="A4320" s="18" t="str">
        <f aca="false">'SALES Raw'!G169</f>
        <v/>
      </c>
      <c r="B4320" s="18" t="str">
        <f aca="false">'SALES Raw'!B169</f>
        <v>45C XXL</v>
      </c>
      <c r="C4320" s="18" t="str">
        <f aca="false">'SALES Raw'!H169</f>
        <v>45C XXL</v>
      </c>
      <c r="D4320" s="19" t="n">
        <f aca="false">'SALES Raw'!C169</f>
        <v>6</v>
      </c>
      <c r="E4320" s="19" t="n">
        <f aca="false">'SALES Raw'!D169</f>
        <v>184.21</v>
      </c>
      <c r="F4320" s="19" t="n">
        <f aca="false">'SALES Raw'!E169*$H$4</f>
        <v>0</v>
      </c>
      <c r="G4320" s="19" t="n">
        <f aca="false">'SALES Raw'!F169*$H$4</f>
        <v>0</v>
      </c>
      <c r="H4320" s="18" t="str">
        <f aca="false">'SALES Raw'!A169</f>
        <v>101 - Factory customers</v>
      </c>
    </row>
    <row r="4321" customFormat="false" ht="15" hidden="false" customHeight="false" outlineLevel="0" collapsed="false">
      <c r="A4321" s="18" t="n">
        <f aca="false">'SALES Raw'!G171</f>
        <v>4413105</v>
      </c>
      <c r="B4321" s="18" t="str">
        <f aca="false">'SALES Raw'!B171</f>
        <v>45E XXL</v>
      </c>
      <c r="C4321" s="18" t="str">
        <f aca="false">'SALES Raw'!H171</f>
        <v>45E XXLמגן ברך ארוך לבן</v>
      </c>
      <c r="D4321" s="19" t="n">
        <f aca="false">'SALES Raw'!C171</f>
        <v>1</v>
      </c>
      <c r="E4321" s="19" t="n">
        <f aca="false">'SALES Raw'!D171</f>
        <v>37.46</v>
      </c>
      <c r="F4321" s="19" t="n">
        <f aca="false">'SALES Raw'!E171*$H$4</f>
        <v>0</v>
      </c>
      <c r="G4321" s="19" t="n">
        <f aca="false">'SALES Raw'!F171*$H$4</f>
        <v>0</v>
      </c>
      <c r="H4321" s="18" t="str">
        <f aca="false">'SALES Raw'!A171</f>
        <v>101 - Factory customers</v>
      </c>
    </row>
    <row r="4322" customFormat="false" ht="15" hidden="false" customHeight="false" outlineLevel="0" collapsed="false">
      <c r="A4322" s="18" t="n">
        <f aca="false">'SALES Raw'!G172</f>
        <v>4413396</v>
      </c>
      <c r="B4322" s="18" t="str">
        <f aca="false">'SALES Raw'!B172</f>
        <v>45EC L</v>
      </c>
      <c r="C4322" s="18" t="str">
        <f aca="false">'SALES Raw'!H172</f>
        <v>45EC L 'מגן ברך ארוך בז</v>
      </c>
      <c r="D4322" s="19" t="n">
        <f aca="false">'SALES Raw'!C172</f>
        <v>5</v>
      </c>
      <c r="E4322" s="19" t="n">
        <f aca="false">'SALES Raw'!D172</f>
        <v>185.69</v>
      </c>
      <c r="F4322" s="19" t="n">
        <f aca="false">'SALES Raw'!E172*$H$4</f>
        <v>0</v>
      </c>
      <c r="G4322" s="19" t="n">
        <f aca="false">'SALES Raw'!F172*$H$4</f>
        <v>0</v>
      </c>
      <c r="H4322" s="18" t="str">
        <f aca="false">'SALES Raw'!A172</f>
        <v>101 - Factory customers</v>
      </c>
    </row>
    <row r="4323" customFormat="false" ht="15" hidden="false" customHeight="false" outlineLevel="0" collapsed="false">
      <c r="A4323" s="18" t="n">
        <f aca="false">'SALES Raw'!G174</f>
        <v>4413397</v>
      </c>
      <c r="B4323" s="18" t="str">
        <f aca="false">'SALES Raw'!B174</f>
        <v>45EC XL</v>
      </c>
      <c r="C4323" s="18" t="str">
        <f aca="false">'SALES Raw'!H174</f>
        <v>45EC XL'מגן ברך ארוך בז</v>
      </c>
      <c r="D4323" s="19" t="n">
        <f aca="false">'SALES Raw'!C174</f>
        <v>3</v>
      </c>
      <c r="E4323" s="19" t="n">
        <f aca="false">'SALES Raw'!D174</f>
        <v>110.82</v>
      </c>
      <c r="F4323" s="19" t="n">
        <f aca="false">'SALES Raw'!E174*$H$4</f>
        <v>0</v>
      </c>
      <c r="G4323" s="19" t="n">
        <f aca="false">'SALES Raw'!F174*$H$4</f>
        <v>0</v>
      </c>
      <c r="H4323" s="18" t="str">
        <f aca="false">'SALES Raw'!A174</f>
        <v>101 - Factory customers</v>
      </c>
    </row>
    <row r="4324" customFormat="false" ht="15" hidden="false" customHeight="false" outlineLevel="0" collapsed="false">
      <c r="A4324" s="18" t="str">
        <f aca="false">'SALES Raw'!G176</f>
        <v/>
      </c>
      <c r="B4324" s="18" t="str">
        <f aca="false">'SALES Raw'!B176</f>
        <v>48 XXL</v>
      </c>
      <c r="C4324" s="18" t="str">
        <f aca="false">'SALES Raw'!H176</f>
        <v>48 XXL</v>
      </c>
      <c r="D4324" s="19" t="n">
        <f aca="false">'SALES Raw'!C176</f>
        <v>1</v>
      </c>
      <c r="E4324" s="19" t="n">
        <f aca="false">'SALES Raw'!D176</f>
        <v>56.67</v>
      </c>
      <c r="F4324" s="19" t="n">
        <f aca="false">'SALES Raw'!E176*$H$4</f>
        <v>0</v>
      </c>
      <c r="G4324" s="19" t="n">
        <f aca="false">'SALES Raw'!F176*$H$4</f>
        <v>0</v>
      </c>
      <c r="H4324" s="18" t="str">
        <f aca="false">'SALES Raw'!A176</f>
        <v>101 - Factory customers</v>
      </c>
    </row>
    <row r="4325" customFormat="false" ht="15" hidden="false" customHeight="false" outlineLevel="0" collapsed="false">
      <c r="A4325" s="18" t="n">
        <f aca="false">'SALES Raw'!G177</f>
        <v>4413124</v>
      </c>
      <c r="B4325" s="18" t="str">
        <f aca="false">'SALES Raw'!B177</f>
        <v>55 XL</v>
      </c>
      <c r="C4325" s="18" t="str">
        <f aca="false">'SALES Raw'!H177</f>
        <v>55 XL מתלה אשכים לספורטאים</v>
      </c>
      <c r="D4325" s="19" t="n">
        <f aca="false">'SALES Raw'!C177</f>
        <v>1</v>
      </c>
      <c r="E4325" s="19" t="n">
        <f aca="false">'SALES Raw'!D177</f>
        <v>84.32</v>
      </c>
      <c r="F4325" s="19" t="n">
        <f aca="false">'SALES Raw'!E177*$H$4</f>
        <v>0</v>
      </c>
      <c r="G4325" s="19" t="n">
        <f aca="false">'SALES Raw'!F177*$H$4</f>
        <v>0</v>
      </c>
      <c r="H4325" s="18" t="str">
        <f aca="false">'SALES Raw'!A177</f>
        <v>101 - Factory customers</v>
      </c>
    </row>
    <row r="4326" customFormat="false" ht="15" hidden="false" customHeight="false" outlineLevel="0" collapsed="false">
      <c r="A4326" s="18" t="str">
        <f aca="false">'SALES Raw'!G179</f>
        <v/>
      </c>
      <c r="B4326" s="18" t="str">
        <f aca="false">'SALES Raw'!B179</f>
        <v>59L XXL</v>
      </c>
      <c r="C4326" s="18" t="str">
        <f aca="false">'SALES Raw'!H179</f>
        <v>59L XXL</v>
      </c>
      <c r="D4326" s="19" t="n">
        <f aca="false">'SALES Raw'!C179</f>
        <v>2</v>
      </c>
      <c r="E4326" s="19" t="n">
        <f aca="false">'SALES Raw'!D179</f>
        <v>312.45</v>
      </c>
      <c r="F4326" s="19" t="n">
        <f aca="false">'SALES Raw'!E179*$H$4</f>
        <v>0</v>
      </c>
      <c r="G4326" s="19" t="n">
        <f aca="false">'SALES Raw'!F179*$H$4</f>
        <v>0</v>
      </c>
      <c r="H4326" s="18" t="str">
        <f aca="false">'SALES Raw'!A179</f>
        <v>101 - Factory customers</v>
      </c>
    </row>
    <row r="4327" customFormat="false" ht="15" hidden="false" customHeight="false" outlineLevel="0" collapsed="false">
      <c r="A4327" s="18" t="n">
        <f aca="false">'SALES Raw'!G181</f>
        <v>4408079</v>
      </c>
      <c r="B4327" s="18" t="str">
        <f aca="false">'SALES Raw'!B181</f>
        <v>59R S</v>
      </c>
      <c r="C4327" s="18" t="str">
        <f aca="false">'SALES Raw'!H181</f>
        <v>59R S חגורת שבר לצד ימין</v>
      </c>
      <c r="D4327" s="19" t="n">
        <f aca="false">'SALES Raw'!C181</f>
        <v>5</v>
      </c>
      <c r="E4327" s="19" t="n">
        <f aca="false">'SALES Raw'!D181</f>
        <v>880.41</v>
      </c>
      <c r="F4327" s="19" t="n">
        <f aca="false">'SALES Raw'!E181*$H$4</f>
        <v>0</v>
      </c>
      <c r="G4327" s="19" t="n">
        <f aca="false">'SALES Raw'!F181*$H$4</f>
        <v>0</v>
      </c>
      <c r="H4327" s="18" t="str">
        <f aca="false">'SALES Raw'!A181</f>
        <v>101 - Factory customers</v>
      </c>
    </row>
    <row r="4328" customFormat="false" ht="15" hidden="false" customHeight="false" outlineLevel="0" collapsed="false">
      <c r="A4328" s="18" t="n">
        <f aca="false">'SALES Raw'!G183</f>
        <v>4418002</v>
      </c>
      <c r="B4328" s="18" t="str">
        <f aca="false">'SALES Raw'!B183</f>
        <v>60 S</v>
      </c>
      <c r="C4328" s="18" t="str">
        <f aca="false">'SALES Raw'!H183</f>
        <v>60 S צוארון ספוגי</v>
      </c>
      <c r="D4328" s="19" t="n">
        <f aca="false">'SALES Raw'!C183</f>
        <v>5</v>
      </c>
      <c r="E4328" s="19" t="n">
        <f aca="false">'SALES Raw'!D183</f>
        <v>248.17</v>
      </c>
      <c r="F4328" s="19" t="n">
        <f aca="false">'SALES Raw'!E183*$H$4</f>
        <v>0</v>
      </c>
      <c r="G4328" s="19" t="n">
        <f aca="false">'SALES Raw'!F183*$H$4</f>
        <v>0</v>
      </c>
      <c r="H4328" s="18" t="str">
        <f aca="false">'SALES Raw'!A183</f>
        <v>101 - Factory customers</v>
      </c>
    </row>
    <row r="4329" customFormat="false" ht="15" hidden="false" customHeight="false" outlineLevel="0" collapsed="false">
      <c r="A4329" s="18" t="str">
        <f aca="false">'SALES Raw'!G184</f>
        <v/>
      </c>
      <c r="B4329" s="18" t="str">
        <f aca="false">'SALES Raw'!B184</f>
        <v>61 S</v>
      </c>
      <c r="C4329" s="18" t="str">
        <f aca="false">'SALES Raw'!H184</f>
        <v>61 S</v>
      </c>
      <c r="D4329" s="19" t="n">
        <f aca="false">'SALES Raw'!C184</f>
        <v>1</v>
      </c>
      <c r="E4329" s="19" t="n">
        <f aca="false">'SALES Raw'!D184</f>
        <v>46.82</v>
      </c>
      <c r="F4329" s="19" t="n">
        <f aca="false">'SALES Raw'!E184*$H$4</f>
        <v>0</v>
      </c>
      <c r="G4329" s="19" t="n">
        <f aca="false">'SALES Raw'!F184*$H$4</f>
        <v>0</v>
      </c>
      <c r="H4329" s="18" t="str">
        <f aca="false">'SALES Raw'!A184</f>
        <v>101 - Factory customers</v>
      </c>
    </row>
    <row r="4330" customFormat="false" ht="15" hidden="false" customHeight="false" outlineLevel="0" collapsed="false">
      <c r="A4330" s="18" t="n">
        <f aca="false">'SALES Raw'!G186</f>
        <v>4413130</v>
      </c>
      <c r="B4330" s="18" t="str">
        <f aca="false">'SALES Raw'!B186</f>
        <v>75 XXL</v>
      </c>
      <c r="C4330" s="18" t="str">
        <f aca="false">'SALES Raw'!H186</f>
        <v>75  XXL מיישר כתף יציב ישור צר</v>
      </c>
      <c r="D4330" s="19" t="n">
        <f aca="false">'SALES Raw'!C186</f>
        <v>1</v>
      </c>
      <c r="E4330" s="19" t="n">
        <f aca="false">'SALES Raw'!D186</f>
        <v>164.01</v>
      </c>
      <c r="F4330" s="19" t="n">
        <f aca="false">'SALES Raw'!E186*$H$4</f>
        <v>0</v>
      </c>
      <c r="G4330" s="19" t="n">
        <f aca="false">'SALES Raw'!F186*$H$4</f>
        <v>0</v>
      </c>
      <c r="H4330" s="18" t="str">
        <f aca="false">'SALES Raw'!A186</f>
        <v>101 - Factory customers</v>
      </c>
    </row>
    <row r="4331" customFormat="false" ht="15" hidden="false" customHeight="false" outlineLevel="0" collapsed="false">
      <c r="A4331" s="18" t="n">
        <f aca="false">'SALES Raw'!G188</f>
        <v>4413134</v>
      </c>
      <c r="B4331" s="18" t="str">
        <f aca="false">'SALES Raw'!B188</f>
        <v>76 XL</v>
      </c>
      <c r="C4331" s="18" t="str">
        <f aca="false">'SALES Raw'!H188</f>
        <v>76 XLמיישר כתף יציב יישור רחב</v>
      </c>
      <c r="D4331" s="19" t="n">
        <f aca="false">'SALES Raw'!C188</f>
        <v>2</v>
      </c>
      <c r="E4331" s="19" t="n">
        <f aca="false">'SALES Raw'!D188</f>
        <v>409.38</v>
      </c>
      <c r="F4331" s="19" t="n">
        <f aca="false">'SALES Raw'!E188*$H$4</f>
        <v>0</v>
      </c>
      <c r="G4331" s="19" t="n">
        <f aca="false">'SALES Raw'!F188*$H$4</f>
        <v>0</v>
      </c>
      <c r="H4331" s="18" t="str">
        <f aca="false">'SALES Raw'!A188</f>
        <v>101 - Factory customers</v>
      </c>
    </row>
    <row r="4332" customFormat="false" ht="15" hidden="false" customHeight="false" outlineLevel="0" collapsed="false">
      <c r="A4332" s="18" t="str">
        <f aca="false">'SALES Raw'!G189</f>
        <v/>
      </c>
      <c r="B4332" s="18" t="str">
        <f aca="false">'SALES Raw'!B189</f>
        <v>76 XS</v>
      </c>
      <c r="C4332" s="18" t="str">
        <f aca="false">'SALES Raw'!H189</f>
        <v>76 XS</v>
      </c>
      <c r="D4332" s="19" t="n">
        <f aca="false">'SALES Raw'!C189</f>
        <v>4</v>
      </c>
      <c r="E4332" s="19" t="n">
        <f aca="false">'SALES Raw'!D189</f>
        <v>806.39</v>
      </c>
      <c r="F4332" s="19" t="n">
        <f aca="false">'SALES Raw'!E189*$H$4</f>
        <v>0</v>
      </c>
      <c r="G4332" s="19" t="n">
        <f aca="false">'SALES Raw'!F189*$H$4</f>
        <v>0</v>
      </c>
      <c r="H4332" s="18" t="str">
        <f aca="false">'SALES Raw'!A189</f>
        <v>101 - Factory customers</v>
      </c>
    </row>
    <row r="4333" customFormat="false" ht="15" hidden="false" customHeight="false" outlineLevel="0" collapsed="false">
      <c r="A4333" s="18" t="str">
        <f aca="false">'SALES Raw'!G191</f>
        <v/>
      </c>
      <c r="B4333" s="18" t="str">
        <f aca="false">'SALES Raw'!B191</f>
        <v>78A XXXL</v>
      </c>
      <c r="C4333" s="18" t="str">
        <f aca="false">'SALES Raw'!H191</f>
        <v>78A XXXL</v>
      </c>
      <c r="D4333" s="19" t="n">
        <f aca="false">'SALES Raw'!C191</f>
        <v>1</v>
      </c>
      <c r="E4333" s="19" t="n">
        <f aca="false">'SALES Raw'!D191</f>
        <v>165.41</v>
      </c>
      <c r="F4333" s="19" t="n">
        <f aca="false">'SALES Raw'!E191*$H$4</f>
        <v>0</v>
      </c>
      <c r="G4333" s="19" t="n">
        <f aca="false">'SALES Raw'!F191*$H$4</f>
        <v>0</v>
      </c>
      <c r="H4333" s="18" t="str">
        <f aca="false">'SALES Raw'!A191</f>
        <v>101 - Factory customers</v>
      </c>
    </row>
    <row r="4334" customFormat="false" ht="15" hidden="false" customHeight="false" outlineLevel="0" collapsed="false">
      <c r="A4334" s="18" t="n">
        <f aca="false">'SALES Raw'!G196</f>
        <v>4401012</v>
      </c>
      <c r="B4334" s="18" t="str">
        <f aca="false">'SALES Raw'!B196</f>
        <v>805AT-B</v>
      </c>
      <c r="C4334" s="18" t="str">
        <f aca="false">'SALES Raw'!H196</f>
        <v>805AT-B אתלטיק טייפ שחור 20מ""""מ</v>
      </c>
      <c r="D4334" s="19" t="n">
        <f aca="false">'SALES Raw'!C196</f>
        <v>1</v>
      </c>
      <c r="E4334" s="19" t="n">
        <f aca="false">'SALES Raw'!D196</f>
        <v>17.29</v>
      </c>
      <c r="F4334" s="19" t="n">
        <f aca="false">'SALES Raw'!E196*$H$4</f>
        <v>0</v>
      </c>
      <c r="G4334" s="19" t="n">
        <f aca="false">'SALES Raw'!F196*$H$4</f>
        <v>0</v>
      </c>
      <c r="H4334" s="18" t="str">
        <f aca="false">'SALES Raw'!A196</f>
        <v>101 - Factory customers</v>
      </c>
    </row>
    <row r="4335" customFormat="false" ht="15" hidden="false" customHeight="false" outlineLevel="0" collapsed="false">
      <c r="A4335" s="18" t="n">
        <f aca="false">'SALES Raw'!G197</f>
        <v>4401011</v>
      </c>
      <c r="B4335" s="18" t="str">
        <f aca="false">'SALES Raw'!B197</f>
        <v>805AT-C</v>
      </c>
      <c r="C4335" s="18" t="str">
        <f aca="false">'SALES Raw'!H197</f>
        <v>805AT-Cאתלטיק טייפ בז' 20מ""""מ20</v>
      </c>
      <c r="D4335" s="19" t="n">
        <f aca="false">'SALES Raw'!C197</f>
        <v>2</v>
      </c>
      <c r="E4335" s="19" t="n">
        <f aca="false">'SALES Raw'!D197</f>
        <v>34.58</v>
      </c>
      <c r="F4335" s="19" t="n">
        <f aca="false">'SALES Raw'!E197*$H$4</f>
        <v>0</v>
      </c>
      <c r="G4335" s="19" t="n">
        <f aca="false">'SALES Raw'!F197*$H$4</f>
        <v>0</v>
      </c>
      <c r="H4335" s="18" t="str">
        <f aca="false">'SALES Raw'!A197</f>
        <v>101 - Factory customers</v>
      </c>
    </row>
    <row r="4336" customFormat="false" ht="15" hidden="false" customHeight="false" outlineLevel="0" collapsed="false">
      <c r="A4336" s="18" t="n">
        <f aca="false">'SALES Raw'!G199</f>
        <v>4422033</v>
      </c>
      <c r="B4336" s="18" t="str">
        <f aca="false">'SALES Raw'!B199</f>
        <v>807CB-BL</v>
      </c>
      <c r="C4336" s="18" t="str">
        <f aca="false">'SALES Raw'!H199</f>
        <v>807CB-BLתחבושת נצמדת כחול20מ""""מ</v>
      </c>
      <c r="D4336" s="19" t="n">
        <f aca="false">'SALES Raw'!C199</f>
        <v>2</v>
      </c>
      <c r="E4336" s="19" t="n">
        <f aca="false">'SALES Raw'!D199</f>
        <v>23.55</v>
      </c>
      <c r="F4336" s="19" t="n">
        <f aca="false">'SALES Raw'!E199*$H$4</f>
        <v>0</v>
      </c>
      <c r="G4336" s="19" t="n">
        <f aca="false">'SALES Raw'!F199*$H$4</f>
        <v>0</v>
      </c>
      <c r="H4336" s="18" t="str">
        <f aca="false">'SALES Raw'!A199</f>
        <v>101 - Factory customers</v>
      </c>
    </row>
    <row r="4337" customFormat="false" ht="15" hidden="false" customHeight="false" outlineLevel="0" collapsed="false">
      <c r="A4337" s="18" t="n">
        <f aca="false">'SALES Raw'!G203</f>
        <v>4411015</v>
      </c>
      <c r="B4337" s="18" t="str">
        <f aca="false">'SALES Raw'!B203</f>
        <v>820 0</v>
      </c>
      <c r="C4337" s="18" t="str">
        <f aca="false">'SALES Raw'!H203</f>
        <v>820 0 כרית חום וקור</v>
      </c>
      <c r="D4337" s="19" t="n">
        <f aca="false">'SALES Raw'!C203</f>
        <v>4</v>
      </c>
      <c r="E4337" s="19" t="n">
        <f aca="false">'SALES Raw'!D203</f>
        <v>204.93</v>
      </c>
      <c r="F4337" s="19" t="n">
        <f aca="false">'SALES Raw'!E203*$H$4</f>
        <v>0</v>
      </c>
      <c r="G4337" s="19" t="n">
        <f aca="false">'SALES Raw'!F203*$H$4</f>
        <v>0</v>
      </c>
      <c r="H4337" s="18" t="str">
        <f aca="false">'SALES Raw'!A203</f>
        <v>101 - Factory customers</v>
      </c>
    </row>
    <row r="4338" customFormat="false" ht="15" hidden="false" customHeight="false" outlineLevel="0" collapsed="false">
      <c r="A4338" s="18" t="n">
        <f aca="false">'SALES Raw'!G207</f>
        <v>4413136</v>
      </c>
      <c r="B4338" s="18" t="str">
        <f aca="false">'SALES Raw'!B207</f>
        <v>85 M</v>
      </c>
      <c r="C4338" s="18" t="str">
        <f aca="false">'SALES Raw'!H207</f>
        <v>85 M (מתלה ליד )כיס</v>
      </c>
      <c r="D4338" s="19" t="n">
        <f aca="false">'SALES Raw'!C207</f>
        <v>3</v>
      </c>
      <c r="E4338" s="19" t="n">
        <f aca="false">'SALES Raw'!D207</f>
        <v>164.56</v>
      </c>
      <c r="F4338" s="19" t="n">
        <f aca="false">'SALES Raw'!E207*$H$4</f>
        <v>0</v>
      </c>
      <c r="G4338" s="19" t="n">
        <f aca="false">'SALES Raw'!F207*$H$4</f>
        <v>0</v>
      </c>
      <c r="H4338" s="18" t="str">
        <f aca="false">'SALES Raw'!A207</f>
        <v>101 - Factory customers</v>
      </c>
    </row>
    <row r="4339" customFormat="false" ht="15" hidden="false" customHeight="false" outlineLevel="0" collapsed="false">
      <c r="A4339" s="18" t="n">
        <f aca="false">'SALES Raw'!G210</f>
        <v>4413517</v>
      </c>
      <c r="B4339" s="18" t="str">
        <f aca="false">'SALES Raw'!B210</f>
        <v>85B M</v>
      </c>
      <c r="C4339" s="18" t="str">
        <f aca="false">'SALES Raw'!H210</f>
        <v>85B M מתלה רשת לזרוע שחור</v>
      </c>
      <c r="D4339" s="19" t="n">
        <f aca="false">'SALES Raw'!C210</f>
        <v>5</v>
      </c>
      <c r="E4339" s="19" t="n">
        <f aca="false">'SALES Raw'!D210</f>
        <v>253.15</v>
      </c>
      <c r="F4339" s="19" t="n">
        <f aca="false">'SALES Raw'!E210*$H$4</f>
        <v>0</v>
      </c>
      <c r="G4339" s="19" t="n">
        <f aca="false">'SALES Raw'!F210*$H$4</f>
        <v>9.68842105263158</v>
      </c>
      <c r="H4339" s="18" t="str">
        <f aca="false">'SALES Raw'!A210</f>
        <v>101 - Factory customers</v>
      </c>
    </row>
    <row r="4340" customFormat="false" ht="15" hidden="false" customHeight="false" outlineLevel="0" collapsed="false">
      <c r="A4340" s="18" t="n">
        <f aca="false">'SALES Raw'!G211</f>
        <v>4413519</v>
      </c>
      <c r="B4340" s="18" t="str">
        <f aca="false">'SALES Raw'!B211</f>
        <v>85B S</v>
      </c>
      <c r="C4340" s="18" t="str">
        <f aca="false">'SALES Raw'!H211</f>
        <v>85B S מתלה רשת לזרוע שחור</v>
      </c>
      <c r="D4340" s="19" t="n">
        <f aca="false">'SALES Raw'!C211</f>
        <v>4</v>
      </c>
      <c r="E4340" s="19" t="n">
        <f aca="false">'SALES Raw'!D211</f>
        <v>204.03</v>
      </c>
      <c r="F4340" s="19" t="n">
        <f aca="false">'SALES Raw'!E211*$H$4</f>
        <v>0</v>
      </c>
      <c r="G4340" s="19" t="n">
        <f aca="false">'SALES Raw'!F211*$H$4</f>
        <v>0</v>
      </c>
      <c r="H4340" s="18" t="str">
        <f aca="false">'SALES Raw'!A211</f>
        <v>101 - Factory customers</v>
      </c>
    </row>
    <row r="4341" customFormat="false" ht="15" hidden="false" customHeight="false" outlineLevel="0" collapsed="false">
      <c r="A4341" s="18" t="n">
        <f aca="false">'SALES Raw'!G214</f>
        <v>4413140</v>
      </c>
      <c r="B4341" s="18" t="str">
        <f aca="false">'SALES Raw'!B214</f>
        <v>95 M</v>
      </c>
      <c r="C4341" s="18" t="str">
        <f aca="false">'SALES Raw'!H214</f>
        <v>95 M מגן מרפק רגיל לבן</v>
      </c>
      <c r="D4341" s="19" t="n">
        <f aca="false">'SALES Raw'!C214</f>
        <v>7</v>
      </c>
      <c r="E4341" s="19" t="n">
        <f aca="false">'SALES Raw'!D214</f>
        <v>216.25</v>
      </c>
      <c r="F4341" s="19" t="n">
        <f aca="false">'SALES Raw'!E214*$H$4</f>
        <v>0</v>
      </c>
      <c r="G4341" s="19" t="n">
        <f aca="false">'SALES Raw'!F214*$H$4</f>
        <v>0</v>
      </c>
      <c r="H4341" s="18" t="str">
        <f aca="false">'SALES Raw'!A214</f>
        <v>101 - Factory customers</v>
      </c>
    </row>
    <row r="4342" customFormat="false" ht="15" hidden="false" customHeight="false" outlineLevel="0" collapsed="false">
      <c r="A4342" s="18" t="n">
        <f aca="false">'SALES Raw'!G215</f>
        <v>4413500</v>
      </c>
      <c r="B4342" s="18" t="str">
        <f aca="false">'SALES Raw'!B215</f>
        <v>95B L</v>
      </c>
      <c r="C4342" s="18" t="str">
        <f aca="false">'SALES Raw'!H215</f>
        <v>95B L מגן מרפק שחור</v>
      </c>
      <c r="D4342" s="19" t="n">
        <f aca="false">'SALES Raw'!C215</f>
        <v>1</v>
      </c>
      <c r="E4342" s="19" t="n">
        <f aca="false">'SALES Raw'!D215</f>
        <v>30.89</v>
      </c>
      <c r="F4342" s="19" t="n">
        <f aca="false">'SALES Raw'!E215*$H$4</f>
        <v>0</v>
      </c>
      <c r="G4342" s="19" t="n">
        <f aca="false">'SALES Raw'!F215*$H$4</f>
        <v>0</v>
      </c>
      <c r="H4342" s="18" t="str">
        <f aca="false">'SALES Raw'!A215</f>
        <v>101 - Factory customers</v>
      </c>
    </row>
    <row r="4343" customFormat="false" ht="15" hidden="false" customHeight="false" outlineLevel="0" collapsed="false">
      <c r="A4343" s="18" t="n">
        <f aca="false">'SALES Raw'!G216</f>
        <v>4413501</v>
      </c>
      <c r="B4343" s="18" t="str">
        <f aca="false">'SALES Raw'!B216</f>
        <v>95B M</v>
      </c>
      <c r="C4343" s="18" t="str">
        <f aca="false">'SALES Raw'!H216</f>
        <v>95B M מגן מרפק שחור</v>
      </c>
      <c r="D4343" s="19" t="n">
        <f aca="false">'SALES Raw'!C216</f>
        <v>3</v>
      </c>
      <c r="E4343" s="19" t="n">
        <f aca="false">'SALES Raw'!D216</f>
        <v>92.67</v>
      </c>
      <c r="F4343" s="19" t="n">
        <f aca="false">'SALES Raw'!E216*$H$4</f>
        <v>0</v>
      </c>
      <c r="G4343" s="19" t="n">
        <f aca="false">'SALES Raw'!F216*$H$4</f>
        <v>0</v>
      </c>
      <c r="H4343" s="18" t="str">
        <f aca="false">'SALES Raw'!A216</f>
        <v>101 - Factory customers</v>
      </c>
    </row>
    <row r="4344" customFormat="false" ht="15" hidden="false" customHeight="false" outlineLevel="0" collapsed="false">
      <c r="A4344" s="18" t="n">
        <f aca="false">'SALES Raw'!G217</f>
        <v>4413502</v>
      </c>
      <c r="B4344" s="18" t="str">
        <f aca="false">'SALES Raw'!B217</f>
        <v>95B S</v>
      </c>
      <c r="C4344" s="18" t="str">
        <f aca="false">'SALES Raw'!H217</f>
        <v>95B S מגן מרפק שחור</v>
      </c>
      <c r="D4344" s="19" t="n">
        <f aca="false">'SALES Raw'!C217</f>
        <v>1</v>
      </c>
      <c r="E4344" s="19" t="n">
        <f aca="false">'SALES Raw'!D217</f>
        <v>30.91</v>
      </c>
      <c r="F4344" s="19" t="n">
        <f aca="false">'SALES Raw'!E217*$H$4</f>
        <v>0</v>
      </c>
      <c r="G4344" s="19" t="n">
        <f aca="false">'SALES Raw'!F217*$H$4</f>
        <v>0</v>
      </c>
      <c r="H4344" s="18" t="str">
        <f aca="false">'SALES Raw'!A217</f>
        <v>101 - Factory customers</v>
      </c>
    </row>
    <row r="4345" customFormat="false" ht="15" hidden="false" customHeight="false" outlineLevel="0" collapsed="false">
      <c r="A4345" s="18" t="n">
        <f aca="false">'SALES Raw'!G218</f>
        <v>4413503</v>
      </c>
      <c r="B4345" s="18" t="str">
        <f aca="false">'SALES Raw'!B218</f>
        <v>95B XL</v>
      </c>
      <c r="C4345" s="18" t="str">
        <f aca="false">'SALES Raw'!H218</f>
        <v>95B XL מגן מרפק שחור</v>
      </c>
      <c r="D4345" s="19" t="n">
        <f aca="false">'SALES Raw'!C218</f>
        <v>1</v>
      </c>
      <c r="E4345" s="19" t="n">
        <f aca="false">'SALES Raw'!D218</f>
        <v>30.89</v>
      </c>
      <c r="F4345" s="19" t="n">
        <f aca="false">'SALES Raw'!E218*$H$4</f>
        <v>0</v>
      </c>
      <c r="G4345" s="19" t="n">
        <f aca="false">'SALES Raw'!F218*$H$4</f>
        <v>0</v>
      </c>
      <c r="H4345" s="18" t="str">
        <f aca="false">'SALES Raw'!A218</f>
        <v>101 - Factory customers</v>
      </c>
    </row>
    <row r="4346" customFormat="false" ht="15" hidden="false" customHeight="false" outlineLevel="0" collapsed="false">
      <c r="A4346" s="18" t="n">
        <f aca="false">'SALES Raw'!G219</f>
        <v>4413365</v>
      </c>
      <c r="B4346" s="18" t="str">
        <f aca="false">'SALES Raw'!B219</f>
        <v>95C L</v>
      </c>
      <c r="C4346" s="18" t="str">
        <f aca="false">'SALES Raw'!H219</f>
        <v>95C L 'מגן מרפק בז</v>
      </c>
      <c r="D4346" s="19" t="n">
        <f aca="false">'SALES Raw'!C219</f>
        <v>4</v>
      </c>
      <c r="E4346" s="19" t="n">
        <f aca="false">'SALES Raw'!D219</f>
        <v>133.87</v>
      </c>
      <c r="F4346" s="19" t="n">
        <f aca="false">'SALES Raw'!E219*$H$4</f>
        <v>0</v>
      </c>
      <c r="G4346" s="19" t="n">
        <f aca="false">'SALES Raw'!F219*$H$4</f>
        <v>-16.7494736842105</v>
      </c>
      <c r="H4346" s="18" t="str">
        <f aca="false">'SALES Raw'!A219</f>
        <v>101 - Factory customers</v>
      </c>
    </row>
    <row r="4347" customFormat="false" ht="15" hidden="false" customHeight="false" outlineLevel="0" collapsed="false">
      <c r="A4347" s="18" t="n">
        <f aca="false">'SALES Raw'!G220</f>
        <v>4413364</v>
      </c>
      <c r="B4347" s="18" t="str">
        <f aca="false">'SALES Raw'!B220</f>
        <v>95C M</v>
      </c>
      <c r="C4347" s="18" t="str">
        <f aca="false">'SALES Raw'!H220</f>
        <v>95C M 'מגן מרפק בז</v>
      </c>
      <c r="D4347" s="19" t="n">
        <f aca="false">'SALES Raw'!C220</f>
        <v>4</v>
      </c>
      <c r="E4347" s="19" t="n">
        <f aca="false">'SALES Raw'!D220</f>
        <v>122.42</v>
      </c>
      <c r="F4347" s="19" t="n">
        <f aca="false">'SALES Raw'!E220*$H$4</f>
        <v>0</v>
      </c>
      <c r="G4347" s="19" t="n">
        <f aca="false">'SALES Raw'!F220*$H$4</f>
        <v>0</v>
      </c>
      <c r="H4347" s="18" t="str">
        <f aca="false">'SALES Raw'!A220</f>
        <v>101 - Factory customers</v>
      </c>
    </row>
    <row r="4348" customFormat="false" ht="15" hidden="false" customHeight="false" outlineLevel="0" collapsed="false">
      <c r="A4348" s="18" t="n">
        <f aca="false">'SALES Raw'!G239</f>
        <v>4420024</v>
      </c>
      <c r="B4348" s="18" t="str">
        <f aca="false">'SALES Raw'!B239</f>
        <v>LF373 0</v>
      </c>
      <c r="C4348" s="18" t="str">
        <f aca="false">'SALES Raw'!H239</f>
        <v>LFריפוד סיליק.לכרית כף הרגל373</v>
      </c>
      <c r="D4348" s="19" t="n">
        <f aca="false">'SALES Raw'!C239</f>
        <v>3</v>
      </c>
      <c r="E4348" s="19" t="n">
        <f aca="false">'SALES Raw'!D239</f>
        <v>64.55</v>
      </c>
      <c r="F4348" s="19" t="n">
        <f aca="false">'SALES Raw'!E239*$H$4</f>
        <v>0</v>
      </c>
      <c r="G4348" s="19" t="n">
        <f aca="false">'SALES Raw'!F239*$H$4</f>
        <v>0</v>
      </c>
      <c r="H4348" s="18" t="str">
        <f aca="false">'SALES Raw'!A239</f>
        <v>101 - Factory customers</v>
      </c>
    </row>
    <row r="4349" customFormat="false" ht="15" hidden="false" customHeight="false" outlineLevel="0" collapsed="false">
      <c r="A4349" s="18" t="n">
        <f aca="false">'SALES Raw'!G240</f>
        <v>4420025</v>
      </c>
      <c r="B4349" s="18" t="str">
        <f aca="false">'SALES Raw'!B240</f>
        <v>LF374 0</v>
      </c>
      <c r="C4349" s="18" t="str">
        <f aca="false">'SALES Raw'!H240</f>
        <v>LF374 ריפוד סיליק.לעקב תחתון</v>
      </c>
      <c r="D4349" s="19" t="n">
        <f aca="false">'SALES Raw'!C240</f>
        <v>2</v>
      </c>
      <c r="E4349" s="19" t="n">
        <f aca="false">'SALES Raw'!D240</f>
        <v>23.87</v>
      </c>
      <c r="F4349" s="19" t="n">
        <f aca="false">'SALES Raw'!E240*$H$4</f>
        <v>0</v>
      </c>
      <c r="G4349" s="19" t="n">
        <f aca="false">'SALES Raw'!F240*$H$4</f>
        <v>0</v>
      </c>
      <c r="H4349" s="18" t="str">
        <f aca="false">'SALES Raw'!A240</f>
        <v>101 - Factory customers</v>
      </c>
    </row>
    <row r="4350" customFormat="false" ht="15" hidden="false" customHeight="false" outlineLevel="0" collapsed="false">
      <c r="A4350" s="18" t="n">
        <f aca="false">'SALES Raw'!G242</f>
        <v>4413150</v>
      </c>
      <c r="B4350" s="18" t="str">
        <f aca="false">'SALES Raw'!B242</f>
        <v>PD341 0</v>
      </c>
      <c r="C4350" s="18" t="str">
        <f aca="false">'SALES Raw'!H242</f>
        <v>PD341-מקצוע להסרת עור קשה</v>
      </c>
      <c r="D4350" s="19" t="n">
        <f aca="false">'SALES Raw'!C242</f>
        <v>7</v>
      </c>
      <c r="E4350" s="19" t="n">
        <f aca="false">'SALES Raw'!D242</f>
        <v>206.36</v>
      </c>
      <c r="F4350" s="19" t="n">
        <f aca="false">'SALES Raw'!E242*$H$4</f>
        <v>0</v>
      </c>
      <c r="G4350" s="19" t="n">
        <f aca="false">'SALES Raw'!F242*$H$4</f>
        <v>0</v>
      </c>
      <c r="H4350" s="18" t="str">
        <f aca="false">'SALES Raw'!A242</f>
        <v>101 - Factory customers</v>
      </c>
    </row>
    <row r="4351" customFormat="false" ht="15" hidden="false" customHeight="false" outlineLevel="0" collapsed="false">
      <c r="A4351" s="18" t="n">
        <f aca="false">'SALES Raw'!G243</f>
        <v>4417000</v>
      </c>
      <c r="B4351" s="18" t="str">
        <f aca="false">'SALES Raw'!B243</f>
        <v>PD342 0</v>
      </c>
      <c r="C4351" s="18" t="str">
        <f aca="false">'SALES Raw'!H243</f>
        <v>PD342-פומפיה להסרת עור קשה</v>
      </c>
      <c r="D4351" s="19" t="n">
        <f aca="false">'SALES Raw'!C243</f>
        <v>3</v>
      </c>
      <c r="E4351" s="19" t="n">
        <f aca="false">'SALES Raw'!D243</f>
        <v>75.81</v>
      </c>
      <c r="F4351" s="19" t="n">
        <f aca="false">'SALES Raw'!E243*$H$4</f>
        <v>0</v>
      </c>
      <c r="G4351" s="19" t="n">
        <f aca="false">'SALES Raw'!F243*$H$4</f>
        <v>0</v>
      </c>
      <c r="H4351" s="18" t="str">
        <f aca="false">'SALES Raw'!A243</f>
        <v>101 - Factory customers</v>
      </c>
    </row>
    <row r="4352" customFormat="false" ht="15" hidden="false" customHeight="false" outlineLevel="0" collapsed="false">
      <c r="A4352" s="18" t="n">
        <f aca="false">'SALES Raw'!G248</f>
        <v>4408247</v>
      </c>
      <c r="B4352" s="18" t="str">
        <f aca="false">'SALES Raw'!B248</f>
        <v>SC25 S</v>
      </c>
      <c r="C4352" s="18" t="str">
        <f aca="false">'SALES Raw'!H248</f>
        <v>SC25  S חבק יד</v>
      </c>
      <c r="D4352" s="19" t="n">
        <f aca="false">'SALES Raw'!C248</f>
        <v>10</v>
      </c>
      <c r="E4352" s="19" t="n">
        <f aca="false">'SALES Raw'!D248</f>
        <v>779.93</v>
      </c>
      <c r="F4352" s="19" t="n">
        <f aca="false">'SALES Raw'!E248*$H$4</f>
        <v>0</v>
      </c>
      <c r="G4352" s="19" t="n">
        <f aca="false">'SALES Raw'!F248*$H$4</f>
        <v>0</v>
      </c>
      <c r="H4352" s="18" t="str">
        <f aca="false">'SALES Raw'!A248</f>
        <v>101 - Factory customers</v>
      </c>
    </row>
    <row r="4353" customFormat="false" ht="15" hidden="false" customHeight="false" outlineLevel="0" collapsed="false">
      <c r="A4353" s="18" t="n">
        <f aca="false">'SALES Raw'!G250</f>
        <v>4413422</v>
      </c>
      <c r="B4353" s="18" t="str">
        <f aca="false">'SALES Raw'!B250</f>
        <v>SC35L L</v>
      </c>
      <c r="C4353" s="18" t="str">
        <f aca="false">'SALES Raw'!H250</f>
        <v>SC35L  L מגן קרסול שמאל</v>
      </c>
      <c r="D4353" s="19" t="n">
        <f aca="false">'SALES Raw'!C250</f>
        <v>2</v>
      </c>
      <c r="E4353" s="19" t="n">
        <f aca="false">'SALES Raw'!D250</f>
        <v>170.96</v>
      </c>
      <c r="F4353" s="19" t="n">
        <f aca="false">'SALES Raw'!E250*$H$4</f>
        <v>0</v>
      </c>
      <c r="G4353" s="19" t="n">
        <f aca="false">'SALES Raw'!F250*$H$4</f>
        <v>0</v>
      </c>
      <c r="H4353" s="18" t="str">
        <f aca="false">'SALES Raw'!A250</f>
        <v>101 - Factory customers</v>
      </c>
    </row>
    <row r="4354" customFormat="false" ht="15" hidden="false" customHeight="false" outlineLevel="0" collapsed="false">
      <c r="A4354" s="18" t="n">
        <f aca="false">'SALES Raw'!G251</f>
        <v>4413423</v>
      </c>
      <c r="B4354" s="18" t="str">
        <f aca="false">'SALES Raw'!B251</f>
        <v>SC35L XL</v>
      </c>
      <c r="C4354" s="18" t="str">
        <f aca="false">'SALES Raw'!H251</f>
        <v>SC35L XL מגן קרסול שמאל</v>
      </c>
      <c r="D4354" s="19" t="n">
        <f aca="false">'SALES Raw'!C251</f>
        <v>1</v>
      </c>
      <c r="E4354" s="19" t="n">
        <f aca="false">'SALES Raw'!D251</f>
        <v>77.29</v>
      </c>
      <c r="F4354" s="19" t="n">
        <f aca="false">'SALES Raw'!E251*$H$4</f>
        <v>0</v>
      </c>
      <c r="G4354" s="19" t="n">
        <f aca="false">'SALES Raw'!F251*$H$4</f>
        <v>0</v>
      </c>
      <c r="H4354" s="18" t="str">
        <f aca="false">'SALES Raw'!A251</f>
        <v>101 - Factory customers</v>
      </c>
    </row>
    <row r="4355" customFormat="false" ht="15" hidden="false" customHeight="false" outlineLevel="0" collapsed="false">
      <c r="A4355" s="18" t="n">
        <f aca="false">'SALES Raw'!G253</f>
        <v>4413425</v>
      </c>
      <c r="B4355" s="18" t="str">
        <f aca="false">'SALES Raw'!B253</f>
        <v>SC35R M</v>
      </c>
      <c r="C4355" s="18" t="str">
        <f aca="false">'SALES Raw'!H253</f>
        <v>SC35R  M מגן קרסול ימין</v>
      </c>
      <c r="D4355" s="19" t="n">
        <f aca="false">'SALES Raw'!C253</f>
        <v>6</v>
      </c>
      <c r="E4355" s="19" t="n">
        <f aca="false">'SALES Raw'!D253</f>
        <v>446</v>
      </c>
      <c r="F4355" s="19" t="n">
        <f aca="false">'SALES Raw'!E253*$H$4</f>
        <v>0</v>
      </c>
      <c r="G4355" s="19" t="n">
        <f aca="false">'SALES Raw'!F253*$H$4</f>
        <v>0</v>
      </c>
      <c r="H4355" s="18" t="str">
        <f aca="false">'SALES Raw'!A253</f>
        <v>101 - Factory customers</v>
      </c>
    </row>
    <row r="4356" customFormat="false" ht="15" hidden="false" customHeight="false" outlineLevel="0" collapsed="false">
      <c r="A4356" s="18" t="n">
        <f aca="false">'SALES Raw'!G254</f>
        <v>4413424</v>
      </c>
      <c r="B4356" s="18" t="str">
        <f aca="false">'SALES Raw'!B254</f>
        <v>SC35R S</v>
      </c>
      <c r="C4356" s="18" t="str">
        <f aca="false">'SALES Raw'!H254</f>
        <v>SC35R  S מגן קרסול ימין</v>
      </c>
      <c r="D4356" s="19" t="n">
        <f aca="false">'SALES Raw'!C254</f>
        <v>1</v>
      </c>
      <c r="E4356" s="19" t="n">
        <f aca="false">'SALES Raw'!D254</f>
        <v>93.68</v>
      </c>
      <c r="F4356" s="19" t="n">
        <f aca="false">'SALES Raw'!E254*$H$4</f>
        <v>0</v>
      </c>
      <c r="G4356" s="19" t="n">
        <f aca="false">'SALES Raw'!F254*$H$4</f>
        <v>0</v>
      </c>
      <c r="H4356" s="18" t="str">
        <f aca="false">'SALES Raw'!A254</f>
        <v>101 - Factory customers</v>
      </c>
    </row>
    <row r="4357" customFormat="false" ht="15" hidden="false" customHeight="false" outlineLevel="0" collapsed="false">
      <c r="A4357" s="18" t="n">
        <f aca="false">'SALES Raw'!G255</f>
        <v>4413416</v>
      </c>
      <c r="B4357" s="18" t="str">
        <f aca="false">'SALES Raw'!B255</f>
        <v>SC39 M</v>
      </c>
      <c r="C4357" s="18" t="str">
        <f aca="false">'SALES Raw'!H255</f>
        <v>SC39  M מגן שוק</v>
      </c>
      <c r="D4357" s="19" t="n">
        <f aca="false">'SALES Raw'!C255</f>
        <v>11</v>
      </c>
      <c r="E4357" s="19" t="n">
        <f aca="false">'SALES Raw'!D255</f>
        <v>1590.62</v>
      </c>
      <c r="F4357" s="19" t="n">
        <f aca="false">'SALES Raw'!E255*$H$4</f>
        <v>0</v>
      </c>
      <c r="G4357" s="19" t="n">
        <f aca="false">'SALES Raw'!F255*$H$4</f>
        <v>0</v>
      </c>
      <c r="H4357" s="18" t="str">
        <f aca="false">'SALES Raw'!A255</f>
        <v>101 - Factory customers</v>
      </c>
    </row>
    <row r="4358" customFormat="false" ht="15" hidden="false" customHeight="false" outlineLevel="0" collapsed="false">
      <c r="A4358" s="18" t="n">
        <f aca="false">'SALES Raw'!G258</f>
        <v>4413407</v>
      </c>
      <c r="B4358" s="18" t="str">
        <f aca="false">'SALES Raw'!B258</f>
        <v>SC95 L</v>
      </c>
      <c r="C4358" s="18" t="str">
        <f aca="false">'SALES Raw'!H258</f>
        <v>SC95 L מגן מרפק</v>
      </c>
      <c r="D4358" s="19" t="n">
        <f aca="false">'SALES Raw'!C258</f>
        <v>7</v>
      </c>
      <c r="E4358" s="19" t="n">
        <f aca="false">'SALES Raw'!D258</f>
        <v>482.11</v>
      </c>
      <c r="F4358" s="19" t="n">
        <f aca="false">'SALES Raw'!E258*$H$4</f>
        <v>0</v>
      </c>
      <c r="G4358" s="19" t="n">
        <f aca="false">'SALES Raw'!F258*$H$4</f>
        <v>0</v>
      </c>
      <c r="H4358" s="18" t="str">
        <f aca="false">'SALES Raw'!A258</f>
        <v>101 - Factory customers</v>
      </c>
    </row>
    <row r="4359" customFormat="false" ht="15" hidden="false" customHeight="false" outlineLevel="0" collapsed="false">
      <c r="A4359" s="18" t="n">
        <f aca="false">'SALES Raw'!G259</f>
        <v>4413406</v>
      </c>
      <c r="B4359" s="18" t="str">
        <f aca="false">'SALES Raw'!B259</f>
        <v>SC95 M</v>
      </c>
      <c r="C4359" s="18" t="str">
        <f aca="false">'SALES Raw'!H259</f>
        <v>SC95 M מגן מרפק</v>
      </c>
      <c r="D4359" s="19" t="n">
        <f aca="false">'SALES Raw'!C259</f>
        <v>4</v>
      </c>
      <c r="E4359" s="19" t="n">
        <f aca="false">'SALES Raw'!D259</f>
        <v>309.19</v>
      </c>
      <c r="F4359" s="19" t="n">
        <f aca="false">'SALES Raw'!E259*$H$4</f>
        <v>0</v>
      </c>
      <c r="G4359" s="19" t="n">
        <f aca="false">'SALES Raw'!F259*$H$4</f>
        <v>0</v>
      </c>
      <c r="H4359" s="18" t="str">
        <f aca="false">'SALES Raw'!A259</f>
        <v>101 - Factory customers</v>
      </c>
    </row>
    <row r="4360" customFormat="false" ht="15" hidden="false" customHeight="false" outlineLevel="0" collapsed="false">
      <c r="A4360" s="18" t="n">
        <f aca="false">'SALES Raw'!G268</f>
        <v>4408092</v>
      </c>
      <c r="B4360" s="18" t="str">
        <f aca="false">'SALES Raw'!B268</f>
        <v>T11C XL</v>
      </c>
      <c r="C4360" s="18" t="str">
        <f aca="false">'SALES Raw'!H268</f>
        <v>T11C XL חגורת גב פוג'יאמה</v>
      </c>
      <c r="D4360" s="19" t="n">
        <f aca="false">'SALES Raw'!C268</f>
        <v>3</v>
      </c>
      <c r="E4360" s="19" t="n">
        <f aca="false">'SALES Raw'!D268</f>
        <v>283.89</v>
      </c>
      <c r="F4360" s="19" t="n">
        <f aca="false">'SALES Raw'!E268*$H$4</f>
        <v>0</v>
      </c>
      <c r="G4360" s="19" t="n">
        <f aca="false">'SALES Raw'!F268*$H$4</f>
        <v>0</v>
      </c>
      <c r="H4360" s="18" t="str">
        <f aca="false">'SALES Raw'!A268</f>
        <v>101 - Factory customers</v>
      </c>
    </row>
    <row r="4361" customFormat="false" ht="15" hidden="false" customHeight="false" outlineLevel="0" collapsed="false">
      <c r="A4361" s="18" t="n">
        <f aca="false">'SALES Raw'!G269</f>
        <v>4408095</v>
      </c>
      <c r="B4361" s="18" t="str">
        <f aca="false">'SALES Raw'!B269</f>
        <v>T20-L-XL</v>
      </c>
      <c r="C4361" s="18" t="str">
        <f aca="false">'SALES Raw'!H269</f>
        <v>T20 L-XL  חבק יד עם צמדן</v>
      </c>
      <c r="D4361" s="19" t="n">
        <f aca="false">'SALES Raw'!C269</f>
        <v>2</v>
      </c>
      <c r="E4361" s="19" t="n">
        <f aca="false">'SALES Raw'!D269</f>
        <v>71.14</v>
      </c>
      <c r="F4361" s="19" t="n">
        <f aca="false">'SALES Raw'!E269*$H$4</f>
        <v>0</v>
      </c>
      <c r="G4361" s="19" t="n">
        <f aca="false">'SALES Raw'!F269*$H$4</f>
        <v>0</v>
      </c>
      <c r="H4361" s="18" t="str">
        <f aca="false">'SALES Raw'!A269</f>
        <v>101 - Factory customers</v>
      </c>
    </row>
    <row r="4362" customFormat="false" ht="15" hidden="false" customHeight="false" outlineLevel="0" collapsed="false">
      <c r="A4362" s="18" t="n">
        <f aca="false">'SALES Raw'!G270</f>
        <v>4408097</v>
      </c>
      <c r="B4362" s="18" t="str">
        <f aca="false">'SALES Raw'!B270</f>
        <v>T20C-L-XL</v>
      </c>
      <c r="C4362" s="18" t="str">
        <f aca="false">'SALES Raw'!H270</f>
        <v>T20C L-XL חבק יד עם צמדן חום</v>
      </c>
      <c r="D4362" s="19" t="n">
        <f aca="false">'SALES Raw'!C270</f>
        <v>3</v>
      </c>
      <c r="E4362" s="19" t="n">
        <f aca="false">'SALES Raw'!D270</f>
        <v>106.72</v>
      </c>
      <c r="F4362" s="19" t="n">
        <f aca="false">'SALES Raw'!E270*$H$4</f>
        <v>0</v>
      </c>
      <c r="G4362" s="19" t="n">
        <f aca="false">'SALES Raw'!F270*$H$4</f>
        <v>0</v>
      </c>
      <c r="H4362" s="18" t="str">
        <f aca="false">'SALES Raw'!A270</f>
        <v>101 - Factory customers</v>
      </c>
    </row>
    <row r="4363" customFormat="false" ht="15" hidden="false" customHeight="false" outlineLevel="0" collapsed="false">
      <c r="A4363" s="18" t="n">
        <f aca="false">'SALES Raw'!G271</f>
        <v>4408096</v>
      </c>
      <c r="B4363" s="18" t="str">
        <f aca="false">'SALES Raw'!B271</f>
        <v>T20C-S-M</v>
      </c>
      <c r="C4363" s="18" t="str">
        <f aca="false">'SALES Raw'!H271</f>
        <v>T20C S-M חבק יד עם צמדןחום</v>
      </c>
      <c r="D4363" s="19" t="n">
        <f aca="false">'SALES Raw'!C271</f>
        <v>4</v>
      </c>
      <c r="E4363" s="19" t="n">
        <f aca="false">'SALES Raw'!D271</f>
        <v>141.95</v>
      </c>
      <c r="F4363" s="19" t="n">
        <f aca="false">'SALES Raw'!E271*$H$4</f>
        <v>0</v>
      </c>
      <c r="G4363" s="19" t="n">
        <f aca="false">'SALES Raw'!F271*$H$4</f>
        <v>0</v>
      </c>
      <c r="H4363" s="18" t="str">
        <f aca="false">'SALES Raw'!A271</f>
        <v>101 - Factory customers</v>
      </c>
    </row>
    <row r="4364" customFormat="false" ht="15" hidden="false" customHeight="false" outlineLevel="0" collapsed="false">
      <c r="A4364" s="18" t="str">
        <f aca="false">'SALES Raw'!G273</f>
        <v/>
      </c>
      <c r="B4364" s="18" t="str">
        <f aca="false">'SALES Raw'!B273</f>
        <v>T28 M</v>
      </c>
      <c r="C4364" s="18" t="str">
        <f aca="false">'SALES Raw'!H273</f>
        <v>T28 M</v>
      </c>
      <c r="D4364" s="19" t="n">
        <f aca="false">'SALES Raw'!C273</f>
        <v>1</v>
      </c>
      <c r="E4364" s="19" t="n">
        <f aca="false">'SALES Raw'!D273</f>
        <v>70.86</v>
      </c>
      <c r="F4364" s="19" t="n">
        <f aca="false">'SALES Raw'!E273*$H$4</f>
        <v>0</v>
      </c>
      <c r="G4364" s="19" t="n">
        <f aca="false">'SALES Raw'!F273*$H$4</f>
        <v>0</v>
      </c>
      <c r="H4364" s="18" t="str">
        <f aca="false">'SALES Raw'!A273</f>
        <v>101 - Factory customers</v>
      </c>
    </row>
    <row r="4365" customFormat="false" ht="15" hidden="false" customHeight="false" outlineLevel="0" collapsed="false">
      <c r="A4365" s="18" t="str">
        <f aca="false">'SALES Raw'!G274</f>
        <v/>
      </c>
      <c r="B4365" s="18" t="str">
        <f aca="false">'SALES Raw'!B274</f>
        <v>T28A XS</v>
      </c>
      <c r="C4365" s="18" t="str">
        <f aca="false">'SALES Raw'!H274</f>
        <v>T28A XS</v>
      </c>
      <c r="D4365" s="19" t="n">
        <f aca="false">'SALES Raw'!C274</f>
        <v>1</v>
      </c>
      <c r="E4365" s="19" t="n">
        <f aca="false">'SALES Raw'!D274</f>
        <v>70.26</v>
      </c>
      <c r="F4365" s="19" t="n">
        <f aca="false">'SALES Raw'!E274*$H$4</f>
        <v>0</v>
      </c>
      <c r="G4365" s="19" t="n">
        <f aca="false">'SALES Raw'!F274*$H$4</f>
        <v>0</v>
      </c>
      <c r="H4365" s="18" t="str">
        <f aca="false">'SALES Raw'!A274</f>
        <v>101 - Factory customers</v>
      </c>
    </row>
    <row r="4366" customFormat="false" ht="15" hidden="false" customHeight="false" outlineLevel="0" collapsed="false">
      <c r="A4366" s="18" t="n">
        <f aca="false">'SALES Raw'!G275</f>
        <v>4415075</v>
      </c>
      <c r="B4366" s="18" t="str">
        <f aca="false">'SALES Raw'!B275</f>
        <v>T28AC-L-XL</v>
      </c>
      <c r="C4366" s="18" t="str">
        <f aca="false">'SALES Raw'!H275</f>
        <v>T28AC L-XL סד לאגודל</v>
      </c>
      <c r="D4366" s="19" t="n">
        <f aca="false">'SALES Raw'!C275</f>
        <v>1</v>
      </c>
      <c r="E4366" s="19" t="n">
        <f aca="false">'SALES Raw'!D275</f>
        <v>70.26</v>
      </c>
      <c r="F4366" s="19" t="n">
        <f aca="false">'SALES Raw'!E275*$H$4</f>
        <v>0</v>
      </c>
      <c r="G4366" s="19" t="n">
        <f aca="false">'SALES Raw'!F275*$H$4</f>
        <v>0</v>
      </c>
      <c r="H4366" s="18" t="str">
        <f aca="false">'SALES Raw'!A275</f>
        <v>101 - Factory customers</v>
      </c>
    </row>
    <row r="4367" customFormat="false" ht="15" hidden="false" customHeight="false" outlineLevel="0" collapsed="false">
      <c r="A4367" s="18" t="str">
        <f aca="false">'SALES Raw'!G278</f>
        <v/>
      </c>
      <c r="B4367" s="18" t="str">
        <f aca="false">'SALES Raw'!B278</f>
        <v>T40 0</v>
      </c>
      <c r="C4367" s="18" t="str">
        <f aca="false">'SALES Raw'!H278</f>
        <v>T40 0</v>
      </c>
      <c r="D4367" s="19" t="n">
        <f aca="false">'SALES Raw'!C278</f>
        <v>2</v>
      </c>
      <c r="E4367" s="19" t="n">
        <f aca="false">'SALES Raw'!D278</f>
        <v>170.08</v>
      </c>
      <c r="F4367" s="19" t="n">
        <f aca="false">'SALES Raw'!E278*$H$4</f>
        <v>0</v>
      </c>
      <c r="G4367" s="19" t="n">
        <f aca="false">'SALES Raw'!F278*$H$4</f>
        <v>0</v>
      </c>
      <c r="H4367" s="18" t="str">
        <f aca="false">'SALES Raw'!A278</f>
        <v>101 - Factory customers</v>
      </c>
    </row>
    <row r="4368" customFormat="false" ht="15" hidden="false" customHeight="false" outlineLevel="0" collapsed="false">
      <c r="A4368" s="18" t="str">
        <f aca="false">'SALES Raw'!G279</f>
        <v/>
      </c>
      <c r="B4368" s="18" t="str">
        <f aca="false">'SALES Raw'!B279</f>
        <v>T402 L</v>
      </c>
      <c r="C4368" s="18" t="str">
        <f aca="false">'SALES Raw'!H279</f>
        <v>T402 L</v>
      </c>
      <c r="D4368" s="19" t="n">
        <f aca="false">'SALES Raw'!C279</f>
        <v>2</v>
      </c>
      <c r="E4368" s="19" t="n">
        <f aca="false">'SALES Raw'!D279</f>
        <v>189.26</v>
      </c>
      <c r="F4368" s="19" t="n">
        <f aca="false">'SALES Raw'!E279*$H$4</f>
        <v>0</v>
      </c>
      <c r="G4368" s="19" t="n">
        <f aca="false">'SALES Raw'!F279*$H$4</f>
        <v>0</v>
      </c>
      <c r="H4368" s="18" t="str">
        <f aca="false">'SALES Raw'!A279</f>
        <v>101 - Factory customers</v>
      </c>
    </row>
    <row r="4369" customFormat="false" ht="15" hidden="false" customHeight="false" outlineLevel="0" collapsed="false">
      <c r="A4369" s="18" t="str">
        <f aca="false">'SALES Raw'!G280</f>
        <v/>
      </c>
      <c r="B4369" s="18" t="str">
        <f aca="false">'SALES Raw'!B280</f>
        <v>T402 M</v>
      </c>
      <c r="C4369" s="18" t="str">
        <f aca="false">'SALES Raw'!H280</f>
        <v>T402 M</v>
      </c>
      <c r="D4369" s="19" t="n">
        <f aca="false">'SALES Raw'!C280</f>
        <v>2</v>
      </c>
      <c r="E4369" s="19" t="n">
        <f aca="false">'SALES Raw'!D280</f>
        <v>189</v>
      </c>
      <c r="F4369" s="19" t="n">
        <f aca="false">'SALES Raw'!E280*$H$4</f>
        <v>0</v>
      </c>
      <c r="G4369" s="19" t="n">
        <f aca="false">'SALES Raw'!F280*$H$4</f>
        <v>0</v>
      </c>
      <c r="H4369" s="18" t="str">
        <f aca="false">'SALES Raw'!A280</f>
        <v>101 - Factory customers</v>
      </c>
    </row>
    <row r="4370" customFormat="false" ht="15" hidden="false" customHeight="false" outlineLevel="0" collapsed="false">
      <c r="A4370" s="18" t="str">
        <f aca="false">'SALES Raw'!G281</f>
        <v/>
      </c>
      <c r="B4370" s="18" t="str">
        <f aca="false">'SALES Raw'!B281</f>
        <v>T402 S</v>
      </c>
      <c r="C4370" s="18" t="str">
        <f aca="false">'SALES Raw'!H281</f>
        <v>T402 S</v>
      </c>
      <c r="D4370" s="19" t="n">
        <f aca="false">'SALES Raw'!C281</f>
        <v>2</v>
      </c>
      <c r="E4370" s="19" t="n">
        <f aca="false">'SALES Raw'!D281</f>
        <v>189</v>
      </c>
      <c r="F4370" s="19" t="n">
        <f aca="false">'SALES Raw'!E281*$H$4</f>
        <v>0</v>
      </c>
      <c r="G4370" s="19" t="n">
        <f aca="false">'SALES Raw'!F281*$H$4</f>
        <v>0</v>
      </c>
      <c r="H4370" s="18" t="str">
        <f aca="false">'SALES Raw'!A281</f>
        <v>101 - Factory customers</v>
      </c>
    </row>
    <row r="4371" customFormat="false" ht="15" hidden="false" customHeight="false" outlineLevel="0" collapsed="false">
      <c r="A4371" s="18" t="n">
        <f aca="false">'SALES Raw'!G283</f>
        <v>4413183</v>
      </c>
      <c r="B4371" s="18" t="str">
        <f aca="false">'SALES Raw'!B283</f>
        <v>T45 M</v>
      </c>
      <c r="C4371" s="18" t="str">
        <f aca="false">'SALES Raw'!H283</f>
        <v>T 45 M מגן ברך רגיל</v>
      </c>
      <c r="D4371" s="19" t="n">
        <f aca="false">'SALES Raw'!C283</f>
        <v>2</v>
      </c>
      <c r="E4371" s="19" t="n">
        <f aca="false">'SALES Raw'!D283</f>
        <v>210.84</v>
      </c>
      <c r="F4371" s="19" t="n">
        <f aca="false">'SALES Raw'!E283*$H$4</f>
        <v>0</v>
      </c>
      <c r="G4371" s="19" t="n">
        <f aca="false">'SALES Raw'!F283*$H$4</f>
        <v>0</v>
      </c>
      <c r="H4371" s="18" t="str">
        <f aca="false">'SALES Raw'!A283</f>
        <v>101 - Factory customers</v>
      </c>
    </row>
    <row r="4372" customFormat="false" ht="15" hidden="false" customHeight="false" outlineLevel="0" collapsed="false">
      <c r="A4372" s="18" t="str">
        <f aca="false">'SALES Raw'!G284</f>
        <v/>
      </c>
      <c r="B4372" s="18" t="str">
        <f aca="false">'SALES Raw'!B284</f>
        <v>T49 S</v>
      </c>
      <c r="C4372" s="18" t="str">
        <f aca="false">'SALES Raw'!H284</f>
        <v>T49 S</v>
      </c>
      <c r="D4372" s="19" t="n">
        <f aca="false">'SALES Raw'!C284</f>
        <v>1</v>
      </c>
      <c r="E4372" s="19" t="n">
        <f aca="false">'SALES Raw'!D284</f>
        <v>85.04</v>
      </c>
      <c r="F4372" s="19" t="n">
        <f aca="false">'SALES Raw'!E284*$H$4</f>
        <v>0</v>
      </c>
      <c r="G4372" s="19" t="n">
        <f aca="false">'SALES Raw'!F284*$H$4</f>
        <v>0</v>
      </c>
      <c r="H4372" s="18" t="str">
        <f aca="false">'SALES Raw'!A284</f>
        <v>101 - Factory customers</v>
      </c>
    </row>
    <row r="4373" customFormat="false" ht="15" hidden="false" customHeight="false" outlineLevel="0" collapsed="false">
      <c r="A4373" s="18" t="str">
        <f aca="false">'SALES Raw'!G287</f>
        <v/>
      </c>
      <c r="B4373" s="18" t="str">
        <f aca="false">'SALES Raw'!B287</f>
        <v>T91-S-M</v>
      </c>
      <c r="C4373" s="18" t="str">
        <f aca="false">'SALES Raw'!H287</f>
        <v>T91-S-M</v>
      </c>
      <c r="D4373" s="19" t="n">
        <f aca="false">'SALES Raw'!C287</f>
        <v>1</v>
      </c>
      <c r="E4373" s="19" t="n">
        <f aca="false">'SALES Raw'!D287</f>
        <v>56.67</v>
      </c>
      <c r="F4373" s="19" t="n">
        <f aca="false">'SALES Raw'!E287*$H$4</f>
        <v>0</v>
      </c>
      <c r="G4373" s="19" t="n">
        <f aca="false">'SALES Raw'!F287*$H$4</f>
        <v>0</v>
      </c>
      <c r="H4373" s="18" t="str">
        <f aca="false">'SALES Raw'!A287</f>
        <v>101 - Factory customers</v>
      </c>
    </row>
    <row r="4374" customFormat="false" ht="15" hidden="false" customHeight="false" outlineLevel="0" collapsed="false">
      <c r="A4374" s="18" t="n">
        <f aca="false">'SALES Raw'!G295</f>
        <v>4408116</v>
      </c>
      <c r="B4374" s="18" t="str">
        <f aca="false">'SALES Raw'!B295</f>
        <v>11EU XL</v>
      </c>
      <c r="C4374" s="18" t="str">
        <f aca="false">'SALES Raw'!H295</f>
        <v>11EU XLח.בטן לאחר ניתוח</v>
      </c>
      <c r="D4374" s="19" t="n">
        <f aca="false">'SALES Raw'!C295</f>
        <v>3</v>
      </c>
      <c r="E4374" s="19" t="n">
        <f aca="false">'SALES Raw'!D295</f>
        <v>280.1</v>
      </c>
      <c r="F4374" s="19" t="n">
        <f aca="false">'SALES Raw'!E295*$H$4</f>
        <v>0</v>
      </c>
      <c r="G4374" s="19" t="n">
        <f aca="false">'SALES Raw'!F295*$H$4</f>
        <v>0</v>
      </c>
      <c r="H4374" s="18" t="str">
        <f aca="false">'SALES Raw'!A295</f>
        <v>101 - Factory customers</v>
      </c>
    </row>
    <row r="4375" customFormat="false" ht="15" hidden="false" customHeight="false" outlineLevel="0" collapsed="false">
      <c r="A4375" s="18" t="n">
        <f aca="false">'SALES Raw'!G298</f>
        <v>4408153</v>
      </c>
      <c r="B4375" s="18" t="str">
        <f aca="false">'SALES Raw'!B298</f>
        <v>11TO XL</v>
      </c>
      <c r="C4375" s="18" t="str">
        <f aca="false">'SALES Raw'!H298</f>
        <v>11TO XLחגורה למנותחי בית החזה</v>
      </c>
      <c r="D4375" s="19" t="n">
        <f aca="false">'SALES Raw'!C298</f>
        <v>1</v>
      </c>
      <c r="E4375" s="19" t="n">
        <f aca="false">'SALES Raw'!D298</f>
        <v>130</v>
      </c>
      <c r="F4375" s="19" t="n">
        <f aca="false">'SALES Raw'!E298*$H$4</f>
        <v>0</v>
      </c>
      <c r="G4375" s="19" t="n">
        <f aca="false">'SALES Raw'!F298*$H$4</f>
        <v>0</v>
      </c>
      <c r="H4375" s="18" t="str">
        <f aca="false">'SALES Raw'!A298</f>
        <v>101 - Factory customers</v>
      </c>
    </row>
    <row r="4376" customFormat="false" ht="15" hidden="false" customHeight="false" outlineLevel="0" collapsed="false">
      <c r="A4376" s="18" t="n">
        <f aca="false">'SALES Raw'!G300</f>
        <v>4408180</v>
      </c>
      <c r="B4376" s="18" t="str">
        <f aca="false">'SALES Raw'!B300</f>
        <v>13 XXL</v>
      </c>
      <c r="C4376" s="18" t="str">
        <f aca="false">'SALES Raw'!H300</f>
        <v>13 XXL חגורה לשבר טבור</v>
      </c>
      <c r="D4376" s="19" t="n">
        <f aca="false">'SALES Raw'!C300</f>
        <v>2</v>
      </c>
      <c r="E4376" s="19" t="n">
        <f aca="false">'SALES Raw'!D300</f>
        <v>198</v>
      </c>
      <c r="F4376" s="19" t="n">
        <f aca="false">'SALES Raw'!E300*$H$4</f>
        <v>0</v>
      </c>
      <c r="G4376" s="19" t="n">
        <f aca="false">'SALES Raw'!F300*$H$4</f>
        <v>0</v>
      </c>
      <c r="H4376" s="18" t="str">
        <f aca="false">'SALES Raw'!A300</f>
        <v>101 - Factory customers</v>
      </c>
    </row>
    <row r="4377" customFormat="false" ht="15" hidden="false" customHeight="false" outlineLevel="0" collapsed="false">
      <c r="A4377" s="18" t="n">
        <f aca="false">'SALES Raw'!G306</f>
        <v>4415002</v>
      </c>
      <c r="B4377" s="18" t="str">
        <f aca="false">'SALES Raw'!B306</f>
        <v>26 S</v>
      </c>
      <c r="C4377" s="18" t="str">
        <f aca="false">'SALES Raw'!H306</f>
        <v>26 S סד ליד דו צדדי לאחר שבר</v>
      </c>
      <c r="D4377" s="19" t="n">
        <f aca="false">'SALES Raw'!C306</f>
        <v>4</v>
      </c>
      <c r="E4377" s="19" t="n">
        <f aca="false">'SALES Raw'!D306</f>
        <v>412.29</v>
      </c>
      <c r="F4377" s="19" t="n">
        <f aca="false">'SALES Raw'!E306*$H$4</f>
        <v>0</v>
      </c>
      <c r="G4377" s="19" t="n">
        <f aca="false">'SALES Raw'!F306*$H$4</f>
        <v>0</v>
      </c>
      <c r="H4377" s="18" t="str">
        <f aca="false">'SALES Raw'!A306</f>
        <v>101 - Factory customers</v>
      </c>
    </row>
    <row r="4378" customFormat="false" ht="15" hidden="false" customHeight="false" outlineLevel="0" collapsed="false">
      <c r="A4378" s="18" t="str">
        <f aca="false">'SALES Raw'!G309</f>
        <v/>
      </c>
      <c r="B4378" s="18" t="str">
        <f aca="false">'SALES Raw'!B309</f>
        <v>301JM-41-45</v>
      </c>
      <c r="C4378" s="18" t="str">
        <f aca="false">'SALES Raw'!H309</f>
        <v>301JM-41-45</v>
      </c>
      <c r="D4378" s="19" t="n">
        <f aca="false">'SALES Raw'!C309</f>
        <v>1</v>
      </c>
      <c r="E4378" s="19" t="n">
        <f aca="false">'SALES Raw'!D309</f>
        <v>71.2</v>
      </c>
      <c r="F4378" s="19" t="n">
        <f aca="false">'SALES Raw'!E309*$H$4</f>
        <v>0</v>
      </c>
      <c r="G4378" s="19" t="n">
        <f aca="false">'SALES Raw'!F309*$H$4</f>
        <v>0</v>
      </c>
      <c r="H4378" s="18" t="str">
        <f aca="false">'SALES Raw'!A309</f>
        <v>101 - Factory customers</v>
      </c>
    </row>
    <row r="4379" customFormat="false" ht="15" hidden="false" customHeight="false" outlineLevel="0" collapsed="false">
      <c r="A4379" s="18" t="n">
        <f aca="false">'SALES Raw'!G313</f>
        <v>4413047</v>
      </c>
      <c r="B4379" s="18" t="str">
        <f aca="false">'SALES Raw'!B313</f>
        <v>35 S</v>
      </c>
      <c r="C4379" s="18" t="str">
        <f aca="false">'SALES Raw'!H313</f>
        <v>35 S מגן קרסול לבן</v>
      </c>
      <c r="D4379" s="19" t="n">
        <f aca="false">'SALES Raw'!C313</f>
        <v>2</v>
      </c>
      <c r="E4379" s="19" t="n">
        <f aca="false">'SALES Raw'!D313</f>
        <v>61.79</v>
      </c>
      <c r="F4379" s="19" t="n">
        <f aca="false">'SALES Raw'!E313*$H$4</f>
        <v>0</v>
      </c>
      <c r="G4379" s="19" t="n">
        <f aca="false">'SALES Raw'!F313*$H$4</f>
        <v>0</v>
      </c>
      <c r="H4379" s="18" t="str">
        <f aca="false">'SALES Raw'!A313</f>
        <v>101 - Factory customers</v>
      </c>
    </row>
    <row r="4380" customFormat="false" ht="15" hidden="false" customHeight="false" outlineLevel="0" collapsed="false">
      <c r="A4380" s="18" t="n">
        <f aca="false">'SALES Raw'!G316</f>
        <v>4413051</v>
      </c>
      <c r="B4380" s="18" t="str">
        <f aca="false">'SALES Raw'!B316</f>
        <v>35 XXL</v>
      </c>
      <c r="C4380" s="18" t="str">
        <f aca="false">'SALES Raw'!H316</f>
        <v>35 XXL מגן קרסול לבן</v>
      </c>
      <c r="D4380" s="19" t="n">
        <f aca="false">'SALES Raw'!C316</f>
        <v>2</v>
      </c>
      <c r="E4380" s="19" t="n">
        <f aca="false">'SALES Raw'!D316</f>
        <v>61.79</v>
      </c>
      <c r="F4380" s="19" t="n">
        <f aca="false">'SALES Raw'!E316*$H$4</f>
        <v>0</v>
      </c>
      <c r="G4380" s="19" t="n">
        <f aca="false">'SALES Raw'!F316*$H$4</f>
        <v>0</v>
      </c>
      <c r="H4380" s="18" t="str">
        <f aca="false">'SALES Raw'!A316</f>
        <v>101 - Factory customers</v>
      </c>
    </row>
    <row r="4381" customFormat="false" ht="15" hidden="false" customHeight="false" outlineLevel="0" collapsed="false">
      <c r="A4381" s="18" t="n">
        <f aca="false">'SALES Raw'!G317</f>
        <v>4413055</v>
      </c>
      <c r="B4381" s="18" t="str">
        <f aca="false">'SALES Raw'!B317</f>
        <v>35C XL</v>
      </c>
      <c r="C4381" s="18" t="str">
        <f aca="false">'SALES Raw'!H317</f>
        <v>35C XL מגן קרסול חום</v>
      </c>
      <c r="D4381" s="19" t="n">
        <f aca="false">'SALES Raw'!C317</f>
        <v>2</v>
      </c>
      <c r="E4381" s="19" t="n">
        <f aca="false">'SALES Raw'!D317</f>
        <v>61.79</v>
      </c>
      <c r="F4381" s="19" t="n">
        <f aca="false">'SALES Raw'!E317*$H$4</f>
        <v>0</v>
      </c>
      <c r="G4381" s="19" t="n">
        <f aca="false">'SALES Raw'!F317*$H$4</f>
        <v>0</v>
      </c>
      <c r="H4381" s="18" t="str">
        <f aca="false">'SALES Raw'!A317</f>
        <v>101 - Factory customers</v>
      </c>
    </row>
    <row r="4382" customFormat="false" ht="15" hidden="false" customHeight="false" outlineLevel="0" collapsed="false">
      <c r="A4382" s="18" t="str">
        <f aca="false">'SALES Raw'!G318</f>
        <v/>
      </c>
      <c r="B4382" s="18" t="str">
        <f aca="false">'SALES Raw'!B318</f>
        <v>377-36</v>
      </c>
      <c r="C4382" s="18" t="str">
        <f aca="false">'SALES Raw'!H318</f>
        <v>377-36</v>
      </c>
      <c r="D4382" s="19" t="n">
        <f aca="false">'SALES Raw'!C318</f>
        <v>3</v>
      </c>
      <c r="E4382" s="19" t="n">
        <f aca="false">'SALES Raw'!D318</f>
        <v>127.82</v>
      </c>
      <c r="F4382" s="19" t="n">
        <f aca="false">'SALES Raw'!E318*$H$4</f>
        <v>0</v>
      </c>
      <c r="G4382" s="19" t="n">
        <f aca="false">'SALES Raw'!F318*$H$4</f>
        <v>0</v>
      </c>
      <c r="H4382" s="18" t="str">
        <f aca="false">'SALES Raw'!A318</f>
        <v>101 - Factory customers</v>
      </c>
    </row>
    <row r="4383" customFormat="false" ht="15" hidden="false" customHeight="false" outlineLevel="0" collapsed="false">
      <c r="A4383" s="18" t="n">
        <f aca="false">'SALES Raw'!G320</f>
        <v>4403008</v>
      </c>
      <c r="B4383" s="18" t="str">
        <f aca="false">'SALES Raw'!B320</f>
        <v>390W-43-46</v>
      </c>
      <c r="C4383" s="18" t="str">
        <f aca="false">'SALES Raw'!H320</f>
        <v>390W גרב.כסף לסכרתיים לבן43-46</v>
      </c>
      <c r="D4383" s="19" t="n">
        <f aca="false">'SALES Raw'!C320</f>
        <v>12</v>
      </c>
      <c r="E4383" s="19" t="n">
        <f aca="false">'SALES Raw'!D320</f>
        <v>324</v>
      </c>
      <c r="F4383" s="19" t="n">
        <f aca="false">'SALES Raw'!E320*$H$4</f>
        <v>0</v>
      </c>
      <c r="G4383" s="19" t="n">
        <f aca="false">'SALES Raw'!F320*$H$4</f>
        <v>0</v>
      </c>
      <c r="H4383" s="18" t="str">
        <f aca="false">'SALES Raw'!A320</f>
        <v>101 - Factory customers</v>
      </c>
    </row>
    <row r="4384" customFormat="false" ht="15" hidden="false" customHeight="false" outlineLevel="0" collapsed="false">
      <c r="A4384" s="18" t="n">
        <f aca="false">'SALES Raw'!G321</f>
        <v>4413072</v>
      </c>
      <c r="B4384" s="18" t="str">
        <f aca="false">'SALES Raw'!B321</f>
        <v>41 L</v>
      </c>
      <c r="C4384" s="18" t="str">
        <f aca="false">'SALES Raw'!H321</f>
        <v>41 Lמ.ברך מוצלב+ספירלות בצדדים</v>
      </c>
      <c r="D4384" s="19" t="n">
        <f aca="false">'SALES Raw'!C321</f>
        <v>4</v>
      </c>
      <c r="E4384" s="19" t="n">
        <f aca="false">'SALES Raw'!D321</f>
        <v>472.53</v>
      </c>
      <c r="F4384" s="19" t="n">
        <f aca="false">'SALES Raw'!E321*$H$4</f>
        <v>0</v>
      </c>
      <c r="G4384" s="19" t="n">
        <f aca="false">'SALES Raw'!F321*$H$4</f>
        <v>0</v>
      </c>
      <c r="H4384" s="18" t="str">
        <f aca="false">'SALES Raw'!A321</f>
        <v>101 - Factory customers</v>
      </c>
    </row>
    <row r="4385" customFormat="false" ht="15" hidden="false" customHeight="false" outlineLevel="0" collapsed="false">
      <c r="A4385" s="18" t="str">
        <f aca="false">'SALES Raw'!G322</f>
        <v/>
      </c>
      <c r="B4385" s="18" t="str">
        <f aca="false">'SALES Raw'!B322</f>
        <v>41X M</v>
      </c>
      <c r="C4385" s="18" t="str">
        <f aca="false">'SALES Raw'!H322</f>
        <v>41X M</v>
      </c>
      <c r="D4385" s="19" t="n">
        <f aca="false">'SALES Raw'!C322</f>
        <v>2</v>
      </c>
      <c r="E4385" s="19" t="n">
        <f aca="false">'SALES Raw'!D322</f>
        <v>255.18</v>
      </c>
      <c r="F4385" s="19" t="n">
        <f aca="false">'SALES Raw'!E322*$H$4</f>
        <v>0</v>
      </c>
      <c r="G4385" s="19" t="n">
        <f aca="false">'SALES Raw'!F322*$H$4</f>
        <v>0</v>
      </c>
      <c r="H4385" s="18" t="str">
        <f aca="false">'SALES Raw'!A322</f>
        <v>101 - Factory customers</v>
      </c>
    </row>
    <row r="4386" customFormat="false" ht="15" hidden="false" customHeight="false" outlineLevel="0" collapsed="false">
      <c r="A4386" s="18" t="str">
        <f aca="false">'SALES Raw'!G323</f>
        <v/>
      </c>
      <c r="B4386" s="18" t="str">
        <f aca="false">'SALES Raw'!B323</f>
        <v>41X XXL</v>
      </c>
      <c r="C4386" s="18" t="str">
        <f aca="false">'SALES Raw'!H323</f>
        <v>41X XXL</v>
      </c>
      <c r="D4386" s="19" t="n">
        <f aca="false">'SALES Raw'!C323</f>
        <v>4</v>
      </c>
      <c r="E4386" s="19" t="n">
        <f aca="false">'SALES Raw'!D323</f>
        <v>543.54</v>
      </c>
      <c r="F4386" s="19" t="n">
        <f aca="false">'SALES Raw'!E323*$H$4</f>
        <v>0</v>
      </c>
      <c r="G4386" s="19" t="n">
        <f aca="false">'SALES Raw'!F323*$H$4</f>
        <v>0</v>
      </c>
      <c r="H4386" s="18" t="str">
        <f aca="false">'SALES Raw'!A323</f>
        <v>101 - Factory customers</v>
      </c>
    </row>
    <row r="4387" customFormat="false" ht="15" hidden="false" customHeight="false" outlineLevel="0" collapsed="false">
      <c r="A4387" s="18" t="str">
        <f aca="false">'SALES Raw'!G324</f>
        <v/>
      </c>
      <c r="B4387" s="18" t="str">
        <f aca="false">'SALES Raw'!B324</f>
        <v>422E XL</v>
      </c>
      <c r="C4387" s="18" t="str">
        <f aca="false">'SALES Raw'!H324</f>
        <v>422E XL</v>
      </c>
      <c r="D4387" s="19" t="n">
        <f aca="false">'SALES Raw'!C324</f>
        <v>5</v>
      </c>
      <c r="E4387" s="19" t="n">
        <f aca="false">'SALES Raw'!D324</f>
        <v>866.13</v>
      </c>
      <c r="F4387" s="19" t="n">
        <f aca="false">'SALES Raw'!E324*$H$4</f>
        <v>0</v>
      </c>
      <c r="G4387" s="19" t="n">
        <f aca="false">'SALES Raw'!F324*$H$4</f>
        <v>0</v>
      </c>
      <c r="H4387" s="18" t="str">
        <f aca="false">'SALES Raw'!A324</f>
        <v>101 - Factory customers</v>
      </c>
    </row>
    <row r="4388" customFormat="false" ht="15" hidden="false" customHeight="false" outlineLevel="0" collapsed="false">
      <c r="A4388" s="18" t="str">
        <f aca="false">'SALES Raw'!G325</f>
        <v/>
      </c>
      <c r="B4388" s="18" t="str">
        <f aca="false">'SALES Raw'!B325</f>
        <v>422E XXL</v>
      </c>
      <c r="C4388" s="18" t="str">
        <f aca="false">'SALES Raw'!H325</f>
        <v>422E XXL</v>
      </c>
      <c r="D4388" s="19" t="n">
        <f aca="false">'SALES Raw'!C325</f>
        <v>2</v>
      </c>
      <c r="E4388" s="19" t="n">
        <f aca="false">'SALES Raw'!D325</f>
        <v>256</v>
      </c>
      <c r="F4388" s="19" t="n">
        <f aca="false">'SALES Raw'!E325*$H$4</f>
        <v>0</v>
      </c>
      <c r="G4388" s="19" t="n">
        <f aca="false">'SALES Raw'!F325*$H$4</f>
        <v>0</v>
      </c>
      <c r="H4388" s="18" t="str">
        <f aca="false">'SALES Raw'!A325</f>
        <v>101 - Factory customers</v>
      </c>
    </row>
    <row r="4389" customFormat="false" ht="15" hidden="false" customHeight="false" outlineLevel="0" collapsed="false">
      <c r="A4389" s="18" t="str">
        <f aca="false">'SALES Raw'!G327</f>
        <v/>
      </c>
      <c r="B4389" s="18" t="str">
        <f aca="false">'SALES Raw'!B327</f>
        <v>422EB XL</v>
      </c>
      <c r="C4389" s="18" t="str">
        <f aca="false">'SALES Raw'!H327</f>
        <v>422EB XL</v>
      </c>
      <c r="D4389" s="19" t="n">
        <f aca="false">'SALES Raw'!C327</f>
        <v>3</v>
      </c>
      <c r="E4389" s="19" t="n">
        <f aca="false">'SALES Raw'!D327</f>
        <v>609.83</v>
      </c>
      <c r="F4389" s="19" t="n">
        <f aca="false">'SALES Raw'!E327*$H$4</f>
        <v>0</v>
      </c>
      <c r="G4389" s="19" t="n">
        <f aca="false">'SALES Raw'!F327*$H$4</f>
        <v>0</v>
      </c>
      <c r="H4389" s="18" t="str">
        <f aca="false">'SALES Raw'!A327</f>
        <v>101 - Factory customers</v>
      </c>
    </row>
    <row r="4390" customFormat="false" ht="15" hidden="false" customHeight="false" outlineLevel="0" collapsed="false">
      <c r="A4390" s="18" t="str">
        <f aca="false">'SALES Raw'!G328</f>
        <v/>
      </c>
      <c r="B4390" s="18" t="str">
        <f aca="false">'SALES Raw'!B328</f>
        <v>422EB XXL</v>
      </c>
      <c r="C4390" s="18" t="str">
        <f aca="false">'SALES Raw'!H328</f>
        <v>422EB XXL</v>
      </c>
      <c r="D4390" s="19" t="n">
        <f aca="false">'SALES Raw'!C328</f>
        <v>2</v>
      </c>
      <c r="E4390" s="19" t="n">
        <f aca="false">'SALES Raw'!D328</f>
        <v>406.45</v>
      </c>
      <c r="F4390" s="19" t="n">
        <f aca="false">'SALES Raw'!E328*$H$4</f>
        <v>0</v>
      </c>
      <c r="G4390" s="19" t="n">
        <f aca="false">'SALES Raw'!F328*$H$4</f>
        <v>0</v>
      </c>
      <c r="H4390" s="18" t="str">
        <f aca="false">'SALES Raw'!A328</f>
        <v>101 - Factory customers</v>
      </c>
    </row>
    <row r="4391" customFormat="false" ht="15" hidden="false" customHeight="false" outlineLevel="0" collapsed="false">
      <c r="A4391" s="18" t="str">
        <f aca="false">'SALES Raw'!G329</f>
        <v/>
      </c>
      <c r="B4391" s="18" t="str">
        <f aca="false">'SALES Raw'!B329</f>
        <v>422EBD XL</v>
      </c>
      <c r="C4391" s="18" t="str">
        <f aca="false">'SALES Raw'!H329</f>
        <v>422EBD XL</v>
      </c>
      <c r="D4391" s="19" t="n">
        <f aca="false">'SALES Raw'!C329</f>
        <v>1</v>
      </c>
      <c r="E4391" s="19" t="n">
        <f aca="false">'SALES Raw'!D329</f>
        <v>330.86</v>
      </c>
      <c r="F4391" s="19" t="n">
        <f aca="false">'SALES Raw'!E329*$H$4</f>
        <v>0</v>
      </c>
      <c r="G4391" s="19" t="n">
        <f aca="false">'SALES Raw'!F329*$H$4</f>
        <v>0</v>
      </c>
      <c r="H4391" s="18" t="str">
        <f aca="false">'SALES Raw'!A329</f>
        <v>101 - Factory customers</v>
      </c>
    </row>
    <row r="4392" customFormat="false" ht="15" hidden="false" customHeight="false" outlineLevel="0" collapsed="false">
      <c r="A4392" s="18" t="n">
        <f aca="false">'SALES Raw'!G330</f>
        <v>4413092</v>
      </c>
      <c r="B4392" s="18" t="str">
        <f aca="false">'SALES Raw'!B330</f>
        <v>45 L</v>
      </c>
      <c r="C4392" s="18" t="str">
        <f aca="false">'SALES Raw'!H330</f>
        <v>45 L מגן ברך לבן</v>
      </c>
      <c r="D4392" s="19" t="n">
        <f aca="false">'SALES Raw'!C330</f>
        <v>4</v>
      </c>
      <c r="E4392" s="19" t="n">
        <f aca="false">'SALES Raw'!D330</f>
        <v>144.17</v>
      </c>
      <c r="F4392" s="19" t="n">
        <f aca="false">'SALES Raw'!E330*$H$4</f>
        <v>0</v>
      </c>
      <c r="G4392" s="19" t="n">
        <f aca="false">'SALES Raw'!F330*$H$4</f>
        <v>0</v>
      </c>
      <c r="H4392" s="18" t="str">
        <f aca="false">'SALES Raw'!A330</f>
        <v>101 - Factory customers</v>
      </c>
    </row>
    <row r="4393" customFormat="false" ht="15" hidden="false" customHeight="false" outlineLevel="0" collapsed="false">
      <c r="A4393" s="18" t="n">
        <f aca="false">'SALES Raw'!G332</f>
        <v>4413096</v>
      </c>
      <c r="B4393" s="18" t="str">
        <f aca="false">'SALES Raw'!B332</f>
        <v>45 XXL</v>
      </c>
      <c r="C4393" s="18" t="str">
        <f aca="false">'SALES Raw'!H332</f>
        <v>45 XXL מגן ברך לבן</v>
      </c>
      <c r="D4393" s="19" t="n">
        <f aca="false">'SALES Raw'!C332</f>
        <v>2</v>
      </c>
      <c r="E4393" s="19" t="n">
        <f aca="false">'SALES Raw'!D332</f>
        <v>61.79</v>
      </c>
      <c r="F4393" s="19" t="n">
        <f aca="false">'SALES Raw'!E332*$H$4</f>
        <v>0</v>
      </c>
      <c r="G4393" s="19" t="n">
        <f aca="false">'SALES Raw'!F332*$H$4</f>
        <v>0</v>
      </c>
      <c r="H4393" s="18" t="str">
        <f aca="false">'SALES Raw'!A332</f>
        <v>101 - Factory customers</v>
      </c>
    </row>
    <row r="4394" customFormat="false" ht="15" hidden="false" customHeight="false" outlineLevel="0" collapsed="false">
      <c r="A4394" s="18" t="n">
        <f aca="false">'SALES Raw'!G339</f>
        <v>4413394</v>
      </c>
      <c r="B4394" s="18" t="str">
        <f aca="false">'SALES Raw'!B339</f>
        <v>45EC S</v>
      </c>
      <c r="C4394" s="18" t="str">
        <f aca="false">'SALES Raw'!H339</f>
        <v>45EC S 'מגן ברך ארוך בז</v>
      </c>
      <c r="D4394" s="19" t="n">
        <f aca="false">'SALES Raw'!C339</f>
        <v>2</v>
      </c>
      <c r="E4394" s="19" t="n">
        <f aca="false">'SALES Raw'!D339</f>
        <v>74.91</v>
      </c>
      <c r="F4394" s="19" t="n">
        <f aca="false">'SALES Raw'!E339*$H$4</f>
        <v>0</v>
      </c>
      <c r="G4394" s="19" t="n">
        <f aca="false">'SALES Raw'!F339*$H$4</f>
        <v>0</v>
      </c>
      <c r="H4394" s="18" t="str">
        <f aca="false">'SALES Raw'!A339</f>
        <v>101 - Factory customers</v>
      </c>
    </row>
    <row r="4395" customFormat="false" ht="15" hidden="false" customHeight="false" outlineLevel="0" collapsed="false">
      <c r="A4395" s="18" t="n">
        <f aca="false">'SALES Raw'!G340</f>
        <v>4413107</v>
      </c>
      <c r="B4395" s="18" t="str">
        <f aca="false">'SALES Raw'!B340</f>
        <v>48 L</v>
      </c>
      <c r="C4395" s="18" t="str">
        <f aca="false">'SALES Raw'!H340</f>
        <v>48 L מגן ברך מחמם</v>
      </c>
      <c r="D4395" s="19" t="n">
        <f aca="false">'SALES Raw'!C340</f>
        <v>6</v>
      </c>
      <c r="E4395" s="19" t="n">
        <f aca="false">'SALES Raw'!D340</f>
        <v>340.04</v>
      </c>
      <c r="F4395" s="19" t="n">
        <f aca="false">'SALES Raw'!E340*$H$4</f>
        <v>0</v>
      </c>
      <c r="G4395" s="19" t="n">
        <f aca="false">'SALES Raw'!F340*$H$4</f>
        <v>0</v>
      </c>
      <c r="H4395" s="18" t="str">
        <f aca="false">'SALES Raw'!A340</f>
        <v>101 - Factory customers</v>
      </c>
    </row>
    <row r="4396" customFormat="false" ht="15" hidden="false" customHeight="false" outlineLevel="0" collapsed="false">
      <c r="A4396" s="18" t="str">
        <f aca="false">'SALES Raw'!G341</f>
        <v/>
      </c>
      <c r="B4396" s="18" t="str">
        <f aca="false">'SALES Raw'!B341</f>
        <v>48 S</v>
      </c>
      <c r="C4396" s="18" t="str">
        <f aca="false">'SALES Raw'!H341</f>
        <v>48 S</v>
      </c>
      <c r="D4396" s="19" t="n">
        <f aca="false">'SALES Raw'!C341</f>
        <v>2</v>
      </c>
      <c r="E4396" s="19" t="n">
        <f aca="false">'SALES Raw'!D341</f>
        <v>113.34</v>
      </c>
      <c r="F4396" s="19" t="n">
        <f aca="false">'SALES Raw'!E341*$H$4</f>
        <v>0</v>
      </c>
      <c r="G4396" s="19" t="n">
        <f aca="false">'SALES Raw'!F341*$H$4</f>
        <v>0</v>
      </c>
      <c r="H4396" s="18" t="str">
        <f aca="false">'SALES Raw'!A341</f>
        <v>101 - Factory customers</v>
      </c>
    </row>
    <row r="4397" customFormat="false" ht="15" hidden="false" customHeight="false" outlineLevel="0" collapsed="false">
      <c r="A4397" s="18" t="n">
        <f aca="false">'SALES Raw'!G342</f>
        <v>4413112</v>
      </c>
      <c r="B4397" s="18" t="str">
        <f aca="false">'SALES Raw'!B342</f>
        <v>49 L</v>
      </c>
      <c r="C4397" s="18" t="str">
        <f aca="false">'SALES Raw'!H342</f>
        <v>49  L מגן ירך</v>
      </c>
      <c r="D4397" s="19" t="n">
        <f aca="false">'SALES Raw'!C342</f>
        <v>9</v>
      </c>
      <c r="E4397" s="19" t="n">
        <f aca="false">'SALES Raw'!D342</f>
        <v>309.77</v>
      </c>
      <c r="F4397" s="19" t="n">
        <f aca="false">'SALES Raw'!E342*$H$4</f>
        <v>0</v>
      </c>
      <c r="G4397" s="19" t="n">
        <f aca="false">'SALES Raw'!F342*$H$4</f>
        <v>0</v>
      </c>
      <c r="H4397" s="18" t="str">
        <f aca="false">'SALES Raw'!A342</f>
        <v>101 - Factory customers</v>
      </c>
    </row>
    <row r="4398" customFormat="false" ht="15" hidden="false" customHeight="false" outlineLevel="0" collapsed="false">
      <c r="A4398" s="18" t="n">
        <f aca="false">'SALES Raw'!G345</f>
        <v>4413114</v>
      </c>
      <c r="B4398" s="18" t="str">
        <f aca="false">'SALES Raw'!B345</f>
        <v>49 XL</v>
      </c>
      <c r="C4398" s="18" t="str">
        <f aca="false">'SALES Raw'!H345</f>
        <v>49 XL מגן ירך</v>
      </c>
      <c r="D4398" s="19" t="n">
        <f aca="false">'SALES Raw'!C345</f>
        <v>4</v>
      </c>
      <c r="E4398" s="19" t="n">
        <f aca="false">'SALES Raw'!D345</f>
        <v>140.43</v>
      </c>
      <c r="F4398" s="19" t="n">
        <f aca="false">'SALES Raw'!E345*$H$4</f>
        <v>0</v>
      </c>
      <c r="G4398" s="19" t="n">
        <f aca="false">'SALES Raw'!F345*$H$4</f>
        <v>0</v>
      </c>
      <c r="H4398" s="18" t="str">
        <f aca="false">'SALES Raw'!A345</f>
        <v>101 - Factory customers</v>
      </c>
    </row>
    <row r="4399" customFormat="false" ht="15" hidden="false" customHeight="false" outlineLevel="0" collapsed="false">
      <c r="A4399" s="18" t="n">
        <f aca="false">'SALES Raw'!G351</f>
        <v>4408078</v>
      </c>
      <c r="B4399" s="18" t="str">
        <f aca="false">'SALES Raw'!B351</f>
        <v>59L XL</v>
      </c>
      <c r="C4399" s="18" t="str">
        <f aca="false">'SALES Raw'!H351</f>
        <v>59L XLחגורת שבר לצד שמאל</v>
      </c>
      <c r="D4399" s="19" t="n">
        <f aca="false">'SALES Raw'!C351</f>
        <v>2</v>
      </c>
      <c r="E4399" s="19" t="n">
        <f aca="false">'SALES Raw'!D351</f>
        <v>280.01</v>
      </c>
      <c r="F4399" s="19" t="n">
        <f aca="false">'SALES Raw'!E351*$H$4</f>
        <v>0</v>
      </c>
      <c r="G4399" s="19" t="n">
        <f aca="false">'SALES Raw'!F351*$H$4</f>
        <v>0</v>
      </c>
      <c r="H4399" s="18" t="str">
        <f aca="false">'SALES Raw'!A351</f>
        <v>101 - Factory customers</v>
      </c>
    </row>
    <row r="4400" customFormat="false" ht="15" hidden="false" customHeight="false" outlineLevel="0" collapsed="false">
      <c r="A4400" s="18" t="str">
        <f aca="false">'SALES Raw'!G365</f>
        <v/>
      </c>
      <c r="B4400" s="18" t="str">
        <f aca="false">'SALES Raw'!B365</f>
        <v>78AB L</v>
      </c>
      <c r="C4400" s="18" t="str">
        <f aca="false">'SALES Raw'!H365</f>
        <v>78AB L</v>
      </c>
      <c r="D4400" s="19" t="n">
        <f aca="false">'SALES Raw'!C365</f>
        <v>3</v>
      </c>
      <c r="E4400" s="19" t="n">
        <f aca="false">'SALES Raw'!D365</f>
        <v>355.18</v>
      </c>
      <c r="F4400" s="19" t="n">
        <f aca="false">'SALES Raw'!E365*$H$4</f>
        <v>0</v>
      </c>
      <c r="G4400" s="19" t="n">
        <f aca="false">'SALES Raw'!F365*$H$4</f>
        <v>0</v>
      </c>
      <c r="H4400" s="18" t="str">
        <f aca="false">'SALES Raw'!A365</f>
        <v>101 - Factory customers</v>
      </c>
    </row>
    <row r="4401" customFormat="false" ht="15" hidden="false" customHeight="false" outlineLevel="0" collapsed="false">
      <c r="A4401" s="18" t="str">
        <f aca="false">'SALES Raw'!G366</f>
        <v/>
      </c>
      <c r="B4401" s="18" t="str">
        <f aca="false">'SALES Raw'!B366</f>
        <v>78AB XL</v>
      </c>
      <c r="C4401" s="18" t="str">
        <f aca="false">'SALES Raw'!H366</f>
        <v>78AB XL</v>
      </c>
      <c r="D4401" s="19" t="n">
        <f aca="false">'SALES Raw'!C366</f>
        <v>3</v>
      </c>
      <c r="E4401" s="19" t="n">
        <f aca="false">'SALES Raw'!D366</f>
        <v>355.16</v>
      </c>
      <c r="F4401" s="19" t="n">
        <f aca="false">'SALES Raw'!E366*$H$4</f>
        <v>0</v>
      </c>
      <c r="G4401" s="19" t="n">
        <f aca="false">'SALES Raw'!F366*$H$4</f>
        <v>0</v>
      </c>
      <c r="H4401" s="18" t="str">
        <f aca="false">'SALES Raw'!A366</f>
        <v>101 - Factory customers</v>
      </c>
    </row>
    <row r="4402" customFormat="false" ht="15" hidden="false" customHeight="false" outlineLevel="0" collapsed="false">
      <c r="A4402" s="18" t="n">
        <f aca="false">'SALES Raw'!G368</f>
        <v>4422024</v>
      </c>
      <c r="B4402" s="18" t="str">
        <f aca="false">'SALES Raw'!B368</f>
        <v>806CB-B</v>
      </c>
      <c r="C4402" s="18" t="str">
        <f aca="false">'SALES Raw'!H368</f>
        <v>806CB-BLACK      תחבושת א.נצמ</v>
      </c>
      <c r="D4402" s="19" t="n">
        <f aca="false">'SALES Raw'!C368</f>
        <v>18</v>
      </c>
      <c r="E4402" s="19" t="n">
        <f aca="false">'SALES Raw'!D368</f>
        <v>207.33</v>
      </c>
      <c r="F4402" s="19" t="n">
        <f aca="false">'SALES Raw'!E368*$H$4</f>
        <v>0</v>
      </c>
      <c r="G4402" s="19" t="n">
        <f aca="false">'SALES Raw'!F368*$H$4</f>
        <v>0</v>
      </c>
      <c r="H4402" s="18" t="str">
        <f aca="false">'SALES Raw'!A368</f>
        <v>101 - Factory customers</v>
      </c>
    </row>
    <row r="4403" customFormat="false" ht="15" hidden="false" customHeight="false" outlineLevel="0" collapsed="false">
      <c r="A4403" s="18" t="n">
        <f aca="false">'SALES Raw'!G370</f>
        <v>4422025</v>
      </c>
      <c r="B4403" s="18" t="str">
        <f aca="false">'SALES Raw'!B370</f>
        <v>806CB-GR</v>
      </c>
      <c r="C4403" s="18" t="str">
        <f aca="false">'SALES Raw'!H370</f>
        <v>806CB-GREEN      תחבושת א.נצמ</v>
      </c>
      <c r="D4403" s="19" t="n">
        <f aca="false">'SALES Raw'!C370</f>
        <v>15</v>
      </c>
      <c r="E4403" s="19" t="n">
        <f aca="false">'SALES Raw'!D370</f>
        <v>190.79</v>
      </c>
      <c r="F4403" s="19" t="n">
        <f aca="false">'SALES Raw'!E370*$H$4</f>
        <v>0</v>
      </c>
      <c r="G4403" s="19" t="n">
        <f aca="false">'SALES Raw'!F370*$H$4</f>
        <v>0</v>
      </c>
      <c r="H4403" s="18" t="str">
        <f aca="false">'SALES Raw'!A370</f>
        <v>101 - Factory customers</v>
      </c>
    </row>
    <row r="4404" customFormat="false" ht="15" hidden="false" customHeight="false" outlineLevel="0" collapsed="false">
      <c r="A4404" s="18" t="n">
        <f aca="false">'SALES Raw'!G371</f>
        <v>4422026</v>
      </c>
      <c r="B4404" s="18" t="str">
        <f aca="false">'SALES Raw'!B371</f>
        <v>806CB-P</v>
      </c>
      <c r="C4404" s="18" t="str">
        <f aca="false">'SALES Raw'!H371</f>
        <v>806CB-PINK       תחבושת א.נצמ</v>
      </c>
      <c r="D4404" s="19" t="n">
        <f aca="false">'SALES Raw'!C371</f>
        <v>7</v>
      </c>
      <c r="E4404" s="19" t="n">
        <f aca="false">'SALES Raw'!D371</f>
        <v>91.33</v>
      </c>
      <c r="F4404" s="19" t="n">
        <f aca="false">'SALES Raw'!E371*$H$4</f>
        <v>0</v>
      </c>
      <c r="G4404" s="19" t="n">
        <f aca="false">'SALES Raw'!F371*$H$4</f>
        <v>0</v>
      </c>
      <c r="H4404" s="18" t="str">
        <f aca="false">'SALES Raw'!A371</f>
        <v>101 - Factory customers</v>
      </c>
    </row>
    <row r="4405" customFormat="false" ht="15" hidden="false" customHeight="false" outlineLevel="0" collapsed="false">
      <c r="A4405" s="18" t="n">
        <f aca="false">'SALES Raw'!G375</f>
        <v>4413197</v>
      </c>
      <c r="B4405" s="18" t="str">
        <f aca="false">'SALES Raw'!B375</f>
        <v>87 L</v>
      </c>
      <c r="C4405" s="18" t="str">
        <f aca="false">'SALES Raw'!H375</f>
        <v>87 L מקבע כתף ויד</v>
      </c>
      <c r="D4405" s="19" t="n">
        <f aca="false">'SALES Raw'!C375</f>
        <v>2</v>
      </c>
      <c r="E4405" s="19" t="n">
        <f aca="false">'SALES Raw'!D375</f>
        <v>254.01</v>
      </c>
      <c r="F4405" s="19" t="n">
        <f aca="false">'SALES Raw'!E375*$H$4</f>
        <v>0</v>
      </c>
      <c r="G4405" s="19" t="n">
        <f aca="false">'SALES Raw'!F375*$H$4</f>
        <v>0</v>
      </c>
      <c r="H4405" s="18" t="str">
        <f aca="false">'SALES Raw'!A375</f>
        <v>101 - Factory customers</v>
      </c>
    </row>
    <row r="4406" customFormat="false" ht="15" hidden="false" customHeight="false" outlineLevel="0" collapsed="false">
      <c r="A4406" s="18" t="n">
        <f aca="false">'SALES Raw'!G376</f>
        <v>4413196</v>
      </c>
      <c r="B4406" s="18" t="str">
        <f aca="false">'SALES Raw'!B376</f>
        <v>87 M</v>
      </c>
      <c r="C4406" s="18" t="str">
        <f aca="false">'SALES Raw'!H376</f>
        <v>87 M מקבע כתף ויד</v>
      </c>
      <c r="D4406" s="19" t="n">
        <f aca="false">'SALES Raw'!C376</f>
        <v>1</v>
      </c>
      <c r="E4406" s="19" t="n">
        <f aca="false">'SALES Raw'!D376</f>
        <v>127</v>
      </c>
      <c r="F4406" s="19" t="n">
        <f aca="false">'SALES Raw'!E376*$H$4</f>
        <v>0</v>
      </c>
      <c r="G4406" s="19" t="n">
        <f aca="false">'SALES Raw'!F376*$H$4</f>
        <v>0</v>
      </c>
      <c r="H4406" s="18" t="str">
        <f aca="false">'SALES Raw'!A376</f>
        <v>101 - Factory customers</v>
      </c>
    </row>
    <row r="4407" customFormat="false" ht="15" hidden="false" customHeight="false" outlineLevel="0" collapsed="false">
      <c r="A4407" s="18" t="n">
        <f aca="false">'SALES Raw'!G380</f>
        <v>4408087</v>
      </c>
      <c r="B4407" s="18" t="str">
        <f aca="false">'SALES Raw'!B380</f>
        <v>922 XL</v>
      </c>
      <c r="C4407" s="18" t="str">
        <f aca="false">'SALES Raw'!H380</f>
        <v>922XLחבק יד לטניס כרית סיליק</v>
      </c>
      <c r="D4407" s="19" t="n">
        <f aca="false">'SALES Raw'!C380</f>
        <v>2</v>
      </c>
      <c r="E4407" s="19" t="n">
        <f aca="false">'SALES Raw'!D380</f>
        <v>180</v>
      </c>
      <c r="F4407" s="19" t="n">
        <f aca="false">'SALES Raw'!E380*$H$4</f>
        <v>0</v>
      </c>
      <c r="G4407" s="19" t="n">
        <f aca="false">'SALES Raw'!F380*$H$4</f>
        <v>0</v>
      </c>
      <c r="H4407" s="18" t="str">
        <f aca="false">'SALES Raw'!A380</f>
        <v>101 - Factory customers</v>
      </c>
    </row>
    <row r="4408" customFormat="false" ht="15" hidden="false" customHeight="false" outlineLevel="0" collapsed="false">
      <c r="A4408" s="18" t="n">
        <f aca="false">'SALES Raw'!G384</f>
        <v>4413366</v>
      </c>
      <c r="B4408" s="18" t="str">
        <f aca="false">'SALES Raw'!B384</f>
        <v>95C S</v>
      </c>
      <c r="C4408" s="18" t="str">
        <f aca="false">'SALES Raw'!H384</f>
        <v>95C S 'מגן מרפק בז</v>
      </c>
      <c r="D4408" s="19" t="n">
        <f aca="false">'SALES Raw'!C384</f>
        <v>3</v>
      </c>
      <c r="E4408" s="19" t="n">
        <f aca="false">'SALES Raw'!D384</f>
        <v>91.53</v>
      </c>
      <c r="F4408" s="19" t="n">
        <f aca="false">'SALES Raw'!E384*$H$4</f>
        <v>0</v>
      </c>
      <c r="G4408" s="19" t="n">
        <f aca="false">'SALES Raw'!F384*$H$4</f>
        <v>0</v>
      </c>
      <c r="H4408" s="18" t="str">
        <f aca="false">'SALES Raw'!A384</f>
        <v>101 - Factory customers</v>
      </c>
    </row>
    <row r="4409" customFormat="false" ht="15" hidden="false" customHeight="false" outlineLevel="0" collapsed="false">
      <c r="A4409" s="18" t="n">
        <f aca="false">'SALES Raw'!G385</f>
        <v>4413367</v>
      </c>
      <c r="B4409" s="18" t="str">
        <f aca="false">'SALES Raw'!B385</f>
        <v>95C XL</v>
      </c>
      <c r="C4409" s="18" t="str">
        <f aca="false">'SALES Raw'!H385</f>
        <v>95C XL'מגן מרפק בז</v>
      </c>
      <c r="D4409" s="19" t="n">
        <f aca="false">'SALES Raw'!C385</f>
        <v>2</v>
      </c>
      <c r="E4409" s="19" t="n">
        <f aca="false">'SALES Raw'!D385</f>
        <v>61.79</v>
      </c>
      <c r="F4409" s="19" t="n">
        <f aca="false">'SALES Raw'!E385*$H$4</f>
        <v>0</v>
      </c>
      <c r="G4409" s="19" t="n">
        <f aca="false">'SALES Raw'!F385*$H$4</f>
        <v>0</v>
      </c>
      <c r="H4409" s="18" t="str">
        <f aca="false">'SALES Raw'!A385</f>
        <v>101 - Factory customers</v>
      </c>
    </row>
    <row r="4410" customFormat="false" ht="15" hidden="false" customHeight="false" outlineLevel="0" collapsed="false">
      <c r="A4410" s="18" t="n">
        <f aca="false">'SALES Raw'!G387</f>
        <v>4413421</v>
      </c>
      <c r="B4410" s="18" t="str">
        <f aca="false">'SALES Raw'!B387</f>
        <v>SC35L M</v>
      </c>
      <c r="C4410" s="18" t="str">
        <f aca="false">'SALES Raw'!H387</f>
        <v>SC35L  M מגן קרסול שמאל</v>
      </c>
      <c r="D4410" s="19" t="n">
        <f aca="false">'SALES Raw'!C387</f>
        <v>3</v>
      </c>
      <c r="E4410" s="19" t="n">
        <f aca="false">'SALES Raw'!D387</f>
        <v>290.41</v>
      </c>
      <c r="F4410" s="19" t="n">
        <f aca="false">'SALES Raw'!E387*$H$4</f>
        <v>0</v>
      </c>
      <c r="G4410" s="19" t="n">
        <f aca="false">'SALES Raw'!F387*$H$4</f>
        <v>0</v>
      </c>
      <c r="H4410" s="18" t="str">
        <f aca="false">'SALES Raw'!A387</f>
        <v>101 - Factory customers</v>
      </c>
    </row>
    <row r="4411" customFormat="false" ht="15" hidden="false" customHeight="false" outlineLevel="0" collapsed="false">
      <c r="A4411" s="18" t="n">
        <f aca="false">'SALES Raw'!G388</f>
        <v>4413417</v>
      </c>
      <c r="B4411" s="18" t="str">
        <f aca="false">'SALES Raw'!B388</f>
        <v>SC39 L</v>
      </c>
      <c r="C4411" s="18" t="str">
        <f aca="false">'SALES Raw'!H388</f>
        <v>SC39  L מגן שוק</v>
      </c>
      <c r="D4411" s="19" t="n">
        <f aca="false">'SALES Raw'!C388</f>
        <v>2</v>
      </c>
      <c r="E4411" s="19" t="n">
        <f aca="false">'SALES Raw'!D388</f>
        <v>328.05</v>
      </c>
      <c r="F4411" s="19" t="n">
        <f aca="false">'SALES Raw'!E388*$H$4</f>
        <v>0</v>
      </c>
      <c r="G4411" s="19" t="n">
        <f aca="false">'SALES Raw'!F388*$H$4</f>
        <v>0</v>
      </c>
      <c r="H4411" s="18" t="str">
        <f aca="false">'SALES Raw'!A388</f>
        <v>101 - Factory customers</v>
      </c>
    </row>
    <row r="4412" customFormat="false" ht="15" hidden="false" customHeight="false" outlineLevel="0" collapsed="false">
      <c r="A4412" s="18" t="n">
        <f aca="false">'SALES Raw'!G389</f>
        <v>4413415</v>
      </c>
      <c r="B4412" s="18" t="str">
        <f aca="false">'SALES Raw'!B389</f>
        <v>SC39 S</v>
      </c>
      <c r="C4412" s="18" t="str">
        <f aca="false">'SALES Raw'!H389</f>
        <v>SC39  S מגן שוק</v>
      </c>
      <c r="D4412" s="19" t="n">
        <f aca="false">'SALES Raw'!C389</f>
        <v>2</v>
      </c>
      <c r="E4412" s="19" t="n">
        <f aca="false">'SALES Raw'!D389</f>
        <v>328.05</v>
      </c>
      <c r="F4412" s="19" t="n">
        <f aca="false">'SALES Raw'!E389*$H$4</f>
        <v>0</v>
      </c>
      <c r="G4412" s="19" t="n">
        <f aca="false">'SALES Raw'!F389*$H$4</f>
        <v>0</v>
      </c>
      <c r="H4412" s="18" t="str">
        <f aca="false">'SALES Raw'!A389</f>
        <v>101 - Factory customers</v>
      </c>
    </row>
    <row r="4413" customFormat="false" ht="15" hidden="false" customHeight="false" outlineLevel="0" collapsed="false">
      <c r="A4413" s="18" t="n">
        <f aca="false">'SALES Raw'!G391</f>
        <v>4413438</v>
      </c>
      <c r="B4413" s="18" t="str">
        <f aca="false">'SALES Raw'!B391</f>
        <v>SC422 S</v>
      </c>
      <c r="C4413" s="18" t="str">
        <f aca="false">'SALES Raw'!H391</f>
        <v>SC422  S מגן ברך</v>
      </c>
      <c r="D4413" s="19" t="n">
        <f aca="false">'SALES Raw'!C391</f>
        <v>5</v>
      </c>
      <c r="E4413" s="19" t="n">
        <f aca="false">'SALES Raw'!D391</f>
        <v>843.43</v>
      </c>
      <c r="F4413" s="19" t="n">
        <f aca="false">'SALES Raw'!E391*$H$4</f>
        <v>0</v>
      </c>
      <c r="G4413" s="19" t="n">
        <f aca="false">'SALES Raw'!F391*$H$4</f>
        <v>0</v>
      </c>
      <c r="H4413" s="18" t="str">
        <f aca="false">'SALES Raw'!A391</f>
        <v>101 - Factory customers</v>
      </c>
    </row>
    <row r="4414" customFormat="false" ht="15" hidden="false" customHeight="false" outlineLevel="0" collapsed="false">
      <c r="A4414" s="18" t="str">
        <f aca="false">'SALES Raw'!G395</f>
        <v/>
      </c>
      <c r="B4414" s="18" t="str">
        <f aca="false">'SALES Raw'!B395</f>
        <v>ST433D 0</v>
      </c>
      <c r="C4414" s="18" t="str">
        <f aca="false">'SALES Raw'!H395</f>
        <v>ST433D 0</v>
      </c>
      <c r="D4414" s="19" t="n">
        <f aca="false">'SALES Raw'!C395</f>
        <v>4</v>
      </c>
      <c r="E4414" s="19" t="n">
        <f aca="false">'SALES Raw'!D395</f>
        <v>620</v>
      </c>
      <c r="F4414" s="19" t="n">
        <f aca="false">'SALES Raw'!E395*$H$4</f>
        <v>0</v>
      </c>
      <c r="G4414" s="19" t="n">
        <f aca="false">'SALES Raw'!F395*$H$4</f>
        <v>0</v>
      </c>
      <c r="H4414" s="18" t="str">
        <f aca="false">'SALES Raw'!A395</f>
        <v>101 - Factory customers</v>
      </c>
    </row>
    <row r="4415" customFormat="false" ht="15" hidden="false" customHeight="false" outlineLevel="0" collapsed="false">
      <c r="A4415" s="18" t="n">
        <f aca="false">'SALES Raw'!G397</f>
        <v>4408264</v>
      </c>
      <c r="B4415" s="18" t="str">
        <f aca="false">'SALES Raw'!B397</f>
        <v>T25B 0</v>
      </c>
      <c r="C4415" s="18" t="str">
        <f aca="false">'SALES Raw'!H397</f>
        <v>T25B   חבק יד אגודלי</v>
      </c>
      <c r="D4415" s="19" t="n">
        <f aca="false">'SALES Raw'!C397</f>
        <v>7</v>
      </c>
      <c r="E4415" s="19" t="n">
        <f aca="false">'SALES Raw'!D397</f>
        <v>343.36</v>
      </c>
      <c r="F4415" s="19" t="n">
        <f aca="false">'SALES Raw'!E397*$H$4</f>
        <v>0</v>
      </c>
      <c r="G4415" s="19" t="n">
        <f aca="false">'SALES Raw'!F397*$H$4</f>
        <v>0</v>
      </c>
      <c r="H4415" s="18" t="str">
        <f aca="false">'SALES Raw'!A397</f>
        <v>101 - Factory customers</v>
      </c>
    </row>
    <row r="4416" customFormat="false" ht="15" hidden="false" customHeight="false" outlineLevel="0" collapsed="false">
      <c r="A4416" s="18" t="str">
        <f aca="false">'SALES Raw'!G398</f>
        <v/>
      </c>
      <c r="B4416" s="18" t="str">
        <f aca="false">'SALES Raw'!B398</f>
        <v>T39 M</v>
      </c>
      <c r="C4416" s="18" t="str">
        <f aca="false">'SALES Raw'!H398</f>
        <v>T39 M</v>
      </c>
      <c r="D4416" s="19" t="n">
        <f aca="false">'SALES Raw'!C398</f>
        <v>1</v>
      </c>
      <c r="E4416" s="19" t="n">
        <f aca="false">'SALES Raw'!D398</f>
        <v>107.76</v>
      </c>
      <c r="F4416" s="19" t="n">
        <f aca="false">'SALES Raw'!E398*$H$4</f>
        <v>0</v>
      </c>
      <c r="G4416" s="19" t="n">
        <f aca="false">'SALES Raw'!F398*$H$4</f>
        <v>0</v>
      </c>
      <c r="H4416" s="18" t="str">
        <f aca="false">'SALES Raw'!A398</f>
        <v>101 - Factory customers</v>
      </c>
    </row>
    <row r="4417" customFormat="false" ht="15" hidden="false" customHeight="false" outlineLevel="0" collapsed="false">
      <c r="A4417" s="18" t="str">
        <f aca="false">'SALES Raw'!G400</f>
        <v/>
      </c>
      <c r="B4417" s="18" t="str">
        <f aca="false">'SALES Raw'!B400</f>
        <v>T433 XL</v>
      </c>
      <c r="C4417" s="18" t="str">
        <f aca="false">'SALES Raw'!H400</f>
        <v>T433 XL</v>
      </c>
      <c r="D4417" s="19" t="n">
        <f aca="false">'SALES Raw'!C400</f>
        <v>1</v>
      </c>
      <c r="E4417" s="19" t="n">
        <f aca="false">'SALES Raw'!D400</f>
        <v>330.88</v>
      </c>
      <c r="F4417" s="19" t="n">
        <f aca="false">'SALES Raw'!E400*$H$4</f>
        <v>0</v>
      </c>
      <c r="G4417" s="19" t="n">
        <f aca="false">'SALES Raw'!F400*$H$4</f>
        <v>0</v>
      </c>
      <c r="H4417" s="18" t="str">
        <f aca="false">'SALES Raw'!A400</f>
        <v>101 - Factory customers</v>
      </c>
    </row>
    <row r="4418" customFormat="false" ht="15" hidden="false" customHeight="false" outlineLevel="0" collapsed="false">
      <c r="A4418" s="18" t="str">
        <f aca="false">'SALES Raw'!G405</f>
        <v/>
      </c>
      <c r="B4418" s="18" t="str">
        <f aca="false">'SALES Raw'!B405</f>
        <v>T49 L</v>
      </c>
      <c r="C4418" s="18" t="str">
        <f aca="false">'SALES Raw'!H405</f>
        <v>T49 L</v>
      </c>
      <c r="D4418" s="19" t="n">
        <f aca="false">'SALES Raw'!C405</f>
        <v>2</v>
      </c>
      <c r="E4418" s="19" t="n">
        <f aca="false">'SALES Raw'!D405</f>
        <v>170.52</v>
      </c>
      <c r="F4418" s="19" t="n">
        <f aca="false">'SALES Raw'!E405*$H$4</f>
        <v>0</v>
      </c>
      <c r="G4418" s="19" t="n">
        <f aca="false">'SALES Raw'!F405*$H$4</f>
        <v>0</v>
      </c>
      <c r="H4418" s="18" t="str">
        <f aca="false">'SALES Raw'!A405</f>
        <v>101 - Factory customers</v>
      </c>
    </row>
    <row r="4419" customFormat="false" ht="15" hidden="false" customHeight="false" outlineLevel="0" collapsed="false">
      <c r="A4419" s="18" t="str">
        <f aca="false">'SALES Raw'!G407</f>
        <v/>
      </c>
      <c r="B4419" s="18" t="str">
        <f aca="false">'SALES Raw'!B407</f>
        <v>T95 L</v>
      </c>
      <c r="C4419" s="18" t="str">
        <f aca="false">'SALES Raw'!H407</f>
        <v>T95 L</v>
      </c>
      <c r="D4419" s="19" t="n">
        <f aca="false">'SALES Raw'!C407</f>
        <v>6</v>
      </c>
      <c r="E4419" s="19" t="n">
        <f aca="false">'SALES Raw'!D407</f>
        <v>500.94</v>
      </c>
      <c r="F4419" s="19" t="n">
        <f aca="false">'SALES Raw'!E407*$H$4</f>
        <v>0</v>
      </c>
      <c r="G4419" s="19" t="n">
        <f aca="false">'SALES Raw'!F407*$H$4</f>
        <v>0</v>
      </c>
      <c r="H4419" s="18" t="str">
        <f aca="false">'SALES Raw'!A407</f>
        <v>101 - Factory customers</v>
      </c>
    </row>
    <row r="4420" customFormat="false" ht="15" hidden="false" customHeight="false" outlineLevel="0" collapsed="false">
      <c r="A4420" s="18" t="str">
        <f aca="false">'SALES Raw'!G411</f>
        <v/>
      </c>
      <c r="B4420" s="18" t="str">
        <f aca="false">'SALES Raw'!B411</f>
        <v>10 XXL</v>
      </c>
      <c r="C4420" s="18" t="str">
        <f aca="false">'SALES Raw'!H411</f>
        <v>10 XXL</v>
      </c>
      <c r="D4420" s="19" t="n">
        <f aca="false">'SALES Raw'!C411</f>
        <v>11</v>
      </c>
      <c r="E4420" s="19" t="n">
        <f aca="false">'SALES Raw'!D411</f>
        <v>1609.27</v>
      </c>
      <c r="F4420" s="19" t="n">
        <f aca="false">'SALES Raw'!E411*$H$4</f>
        <v>0</v>
      </c>
      <c r="G4420" s="19" t="n">
        <f aca="false">'SALES Raw'!F411*$H$4</f>
        <v>0</v>
      </c>
      <c r="H4420" s="18" t="str">
        <f aca="false">'SALES Raw'!A411</f>
        <v>101 - Factory customers</v>
      </c>
    </row>
    <row r="4421" customFormat="false" ht="15" hidden="false" customHeight="false" outlineLevel="0" collapsed="false">
      <c r="A4421" s="18" t="n">
        <f aca="false">'SALES Raw'!G412</f>
        <v>4408032</v>
      </c>
      <c r="B4421" s="18" t="str">
        <f aca="false">'SALES Raw'!B412</f>
        <v>11 L</v>
      </c>
      <c r="C4421" s="18" t="str">
        <f aca="false">'SALES Raw'!H412</f>
        <v>11 L""""חגורת בטן""""אורירית</v>
      </c>
      <c r="D4421" s="19" t="n">
        <f aca="false">'SALES Raw'!C412</f>
        <v>1</v>
      </c>
      <c r="E4421" s="19" t="n">
        <f aca="false">'SALES Raw'!D412</f>
        <v>100.58</v>
      </c>
      <c r="F4421" s="19" t="n">
        <f aca="false">'SALES Raw'!E412*$H$4</f>
        <v>0</v>
      </c>
      <c r="G4421" s="19" t="n">
        <f aca="false">'SALES Raw'!F412*$H$4</f>
        <v>0</v>
      </c>
      <c r="H4421" s="18" t="str">
        <f aca="false">'SALES Raw'!A412</f>
        <v>101 - Factory customers</v>
      </c>
    </row>
    <row r="4422" customFormat="false" ht="15" hidden="false" customHeight="false" outlineLevel="0" collapsed="false">
      <c r="A4422" s="18" t="n">
        <f aca="false">'SALES Raw'!G414</f>
        <v>4408261</v>
      </c>
      <c r="B4422" s="18" t="str">
        <f aca="false">'SALES Raw'!B414</f>
        <v>11STO L</v>
      </c>
      <c r="C4422" s="18" t="str">
        <f aca="false">'SALES Raw'!H414</f>
        <v>11STO L חגורה אחרי ניתוח</v>
      </c>
      <c r="D4422" s="19" t="n">
        <f aca="false">'SALES Raw'!C414</f>
        <v>1</v>
      </c>
      <c r="E4422" s="19" t="n">
        <f aca="false">'SALES Raw'!D414</f>
        <v>221.8</v>
      </c>
      <c r="F4422" s="19" t="n">
        <f aca="false">'SALES Raw'!E414*$H$4</f>
        <v>0</v>
      </c>
      <c r="G4422" s="19" t="n">
        <f aca="false">'SALES Raw'!F414*$H$4</f>
        <v>0</v>
      </c>
      <c r="H4422" s="18" t="str">
        <f aca="false">'SALES Raw'!A414</f>
        <v>101 - Factory customers</v>
      </c>
    </row>
    <row r="4423" customFormat="false" ht="15" hidden="false" customHeight="false" outlineLevel="0" collapsed="false">
      <c r="A4423" s="18" t="str">
        <f aca="false">'SALES Raw'!G416</f>
        <v/>
      </c>
      <c r="B4423" s="18" t="str">
        <f aca="false">'SALES Raw'!B416</f>
        <v>11U L</v>
      </c>
      <c r="C4423" s="18" t="str">
        <f aca="false">'SALES Raw'!H416</f>
        <v>11U L</v>
      </c>
      <c r="D4423" s="19" t="n">
        <f aca="false">'SALES Raw'!C416</f>
        <v>1</v>
      </c>
      <c r="E4423" s="19" t="n">
        <f aca="false">'SALES Raw'!D416</f>
        <v>137.43</v>
      </c>
      <c r="F4423" s="19" t="n">
        <f aca="false">'SALES Raw'!E416*$H$4</f>
        <v>0</v>
      </c>
      <c r="G4423" s="19" t="n">
        <f aca="false">'SALES Raw'!F416*$H$4</f>
        <v>0</v>
      </c>
      <c r="H4423" s="18" t="str">
        <f aca="false">'SALES Raw'!A416</f>
        <v>101 - Factory customers</v>
      </c>
    </row>
    <row r="4424" customFormat="false" ht="15" hidden="false" customHeight="false" outlineLevel="0" collapsed="false">
      <c r="A4424" s="18" t="str">
        <f aca="false">'SALES Raw'!G418</f>
        <v/>
      </c>
      <c r="B4424" s="18" t="str">
        <f aca="false">'SALES Raw'!B418</f>
        <v>21 XXL</v>
      </c>
      <c r="C4424" s="18" t="str">
        <f aca="false">'SALES Raw'!H418</f>
        <v>21 XXL</v>
      </c>
      <c r="D4424" s="19" t="n">
        <f aca="false">'SALES Raw'!C418</f>
        <v>1</v>
      </c>
      <c r="E4424" s="19" t="n">
        <f aca="false">'SALES Raw'!D418</f>
        <v>37.77</v>
      </c>
      <c r="F4424" s="19" t="n">
        <f aca="false">'SALES Raw'!E418*$H$4</f>
        <v>0</v>
      </c>
      <c r="G4424" s="19" t="n">
        <f aca="false">'SALES Raw'!F418*$H$4</f>
        <v>0</v>
      </c>
      <c r="H4424" s="18" t="str">
        <f aca="false">'SALES Raw'!A418</f>
        <v>101 - Factory customers</v>
      </c>
    </row>
    <row r="4425" customFormat="false" ht="15" hidden="false" customHeight="false" outlineLevel="0" collapsed="false">
      <c r="A4425" s="18" t="n">
        <f aca="false">'SALES Raw'!G419</f>
        <v>4411026</v>
      </c>
      <c r="B4425" s="18" t="str">
        <f aca="false">'SALES Raw'!B419</f>
        <v>213CTSL L</v>
      </c>
      <c r="C4425" s="18" t="str">
        <f aca="false">'SALES Raw'!H419</f>
        <v>213CTSL L שמאל CTS כפפות</v>
      </c>
      <c r="D4425" s="19" t="n">
        <f aca="false">'SALES Raw'!C419</f>
        <v>1</v>
      </c>
      <c r="E4425" s="19" t="n">
        <f aca="false">'SALES Raw'!D419</f>
        <v>156.18</v>
      </c>
      <c r="F4425" s="19" t="n">
        <f aca="false">'SALES Raw'!E419*$H$4</f>
        <v>0</v>
      </c>
      <c r="G4425" s="19" t="n">
        <f aca="false">'SALES Raw'!F419*$H$4</f>
        <v>0</v>
      </c>
      <c r="H4425" s="18" t="str">
        <f aca="false">'SALES Raw'!A419</f>
        <v>101 - Factory customers</v>
      </c>
    </row>
    <row r="4426" customFormat="false" ht="15" hidden="false" customHeight="false" outlineLevel="0" collapsed="false">
      <c r="A4426" s="18" t="n">
        <f aca="false">'SALES Raw'!G421</f>
        <v>4411028</v>
      </c>
      <c r="B4426" s="18" t="str">
        <f aca="false">'SALES Raw'!B421</f>
        <v>213CTSL S</v>
      </c>
      <c r="C4426" s="18" t="str">
        <f aca="false">'SALES Raw'!H421</f>
        <v>213CTSL S שמאל CTS כפפות</v>
      </c>
      <c r="D4426" s="19" t="n">
        <f aca="false">'SALES Raw'!C421</f>
        <v>3</v>
      </c>
      <c r="E4426" s="19" t="n">
        <f aca="false">'SALES Raw'!D421</f>
        <v>460.61</v>
      </c>
      <c r="F4426" s="19" t="n">
        <f aca="false">'SALES Raw'!E421*$H$4</f>
        <v>0</v>
      </c>
      <c r="G4426" s="19" t="n">
        <f aca="false">'SALES Raw'!F421*$H$4</f>
        <v>-187.263157894737</v>
      </c>
      <c r="H4426" s="18" t="str">
        <f aca="false">'SALES Raw'!A421</f>
        <v>101 - Factory customers</v>
      </c>
    </row>
    <row r="4427" customFormat="false" ht="15" hidden="false" customHeight="false" outlineLevel="0" collapsed="false">
      <c r="A4427" s="18" t="n">
        <f aca="false">'SALES Raw'!G422</f>
        <v>4411029</v>
      </c>
      <c r="B4427" s="18" t="str">
        <f aca="false">'SALES Raw'!B422</f>
        <v>213CTSR L</v>
      </c>
      <c r="C4427" s="18" t="str">
        <f aca="false">'SALES Raw'!H422</f>
        <v>213CTSR L ימין CTS כפפות</v>
      </c>
      <c r="D4427" s="19" t="n">
        <f aca="false">'SALES Raw'!C422</f>
        <v>3</v>
      </c>
      <c r="E4427" s="19" t="n">
        <f aca="false">'SALES Raw'!D422</f>
        <v>312.37</v>
      </c>
      <c r="F4427" s="19" t="n">
        <f aca="false">'SALES Raw'!E422*$H$4</f>
        <v>0</v>
      </c>
      <c r="G4427" s="19" t="n">
        <f aca="false">'SALES Raw'!F422*$H$4</f>
        <v>0</v>
      </c>
      <c r="H4427" s="18" t="str">
        <f aca="false">'SALES Raw'!A422</f>
        <v>101 - Factory customers</v>
      </c>
    </row>
    <row r="4428" customFormat="false" ht="15" hidden="false" customHeight="false" outlineLevel="0" collapsed="false">
      <c r="A4428" s="18" t="n">
        <f aca="false">'SALES Raw'!G424</f>
        <v>4411031</v>
      </c>
      <c r="B4428" s="18" t="str">
        <f aca="false">'SALES Raw'!B424</f>
        <v>213CTSR S</v>
      </c>
      <c r="C4428" s="18" t="str">
        <f aca="false">'SALES Raw'!H424</f>
        <v>213CTS  S ימין CTS כפפות</v>
      </c>
      <c r="D4428" s="19" t="n">
        <f aca="false">'SALES Raw'!C424</f>
        <v>4</v>
      </c>
      <c r="E4428" s="19" t="n">
        <f aca="false">'SALES Raw'!D424</f>
        <v>616.79</v>
      </c>
      <c r="F4428" s="19" t="n">
        <f aca="false">'SALES Raw'!E424*$H$4</f>
        <v>0</v>
      </c>
      <c r="G4428" s="19" t="n">
        <f aca="false">'SALES Raw'!F424*$H$4</f>
        <v>-53.5073684210526</v>
      </c>
      <c r="H4428" s="18" t="str">
        <f aca="false">'SALES Raw'!A424</f>
        <v>101 - Factory customers</v>
      </c>
    </row>
    <row r="4429" customFormat="false" ht="15" hidden="false" customHeight="false" outlineLevel="0" collapsed="false">
      <c r="A4429" s="18" t="str">
        <f aca="false">'SALES Raw'!G425</f>
        <v/>
      </c>
      <c r="B4429" s="18" t="str">
        <f aca="false">'SALES Raw'!B425</f>
        <v>239P-S-M</v>
      </c>
      <c r="C4429" s="18" t="str">
        <f aca="false">'SALES Raw'!H425</f>
        <v>239P-S-M</v>
      </c>
      <c r="D4429" s="19" t="n">
        <f aca="false">'SALES Raw'!C425</f>
        <v>6</v>
      </c>
      <c r="E4429" s="19" t="n">
        <f aca="false">'SALES Raw'!D425</f>
        <v>153.36</v>
      </c>
      <c r="F4429" s="19" t="n">
        <f aca="false">'SALES Raw'!E425*$H$4</f>
        <v>0</v>
      </c>
      <c r="G4429" s="19" t="n">
        <f aca="false">'SALES Raw'!F425*$H$4</f>
        <v>0</v>
      </c>
      <c r="H4429" s="18" t="str">
        <f aca="false">'SALES Raw'!A425</f>
        <v>101 - Factory customers</v>
      </c>
    </row>
    <row r="4430" customFormat="false" ht="15" hidden="false" customHeight="false" outlineLevel="0" collapsed="false">
      <c r="A4430" s="18" t="str">
        <f aca="false">'SALES Raw'!G426</f>
        <v/>
      </c>
      <c r="B4430" s="18" t="str">
        <f aca="false">'SALES Raw'!B426</f>
        <v>26 XS</v>
      </c>
      <c r="C4430" s="18" t="str">
        <f aca="false">'SALES Raw'!H426</f>
        <v>26 XS</v>
      </c>
      <c r="D4430" s="19" t="n">
        <f aca="false">'SALES Raw'!C426</f>
        <v>2</v>
      </c>
      <c r="E4430" s="19" t="n">
        <f aca="false">'SALES Raw'!D426</f>
        <v>206.14</v>
      </c>
      <c r="F4430" s="19" t="n">
        <f aca="false">'SALES Raw'!E426*$H$4</f>
        <v>0</v>
      </c>
      <c r="G4430" s="19" t="n">
        <f aca="false">'SALES Raw'!F426*$H$4</f>
        <v>0</v>
      </c>
      <c r="H4430" s="18" t="str">
        <f aca="false">'SALES Raw'!A426</f>
        <v>101 - Factory customers</v>
      </c>
    </row>
    <row r="4431" customFormat="false" ht="15" hidden="false" customHeight="false" outlineLevel="0" collapsed="false">
      <c r="A4431" s="18" t="n">
        <f aca="false">'SALES Raw'!G430</f>
        <v>4415019</v>
      </c>
      <c r="B4431" s="18" t="str">
        <f aca="false">'SALES Raw'!B430</f>
        <v>333 0</v>
      </c>
      <c r="C4431" s="18" t="str">
        <f aca="false">'SALES Raw'!H430</f>
        <v>333 סד לקרסול עם כריות אויר</v>
      </c>
      <c r="D4431" s="19" t="n">
        <f aca="false">'SALES Raw'!C430</f>
        <v>1</v>
      </c>
      <c r="E4431" s="19" t="n">
        <f aca="false">'SALES Raw'!D430</f>
        <v>132.51</v>
      </c>
      <c r="F4431" s="19" t="n">
        <f aca="false">'SALES Raw'!E430*$H$4</f>
        <v>0</v>
      </c>
      <c r="G4431" s="19" t="n">
        <f aca="false">'SALES Raw'!F430*$H$4</f>
        <v>0</v>
      </c>
      <c r="H4431" s="18" t="str">
        <f aca="false">'SALES Raw'!A430</f>
        <v>101 - Factory customers</v>
      </c>
    </row>
    <row r="4432" customFormat="false" ht="15" hidden="false" customHeight="false" outlineLevel="0" collapsed="false">
      <c r="A4432" s="18" t="n">
        <f aca="false">'SALES Raw'!G433</f>
        <v>4413523</v>
      </c>
      <c r="B4432" s="18" t="str">
        <f aca="false">'SALES Raw'!B433</f>
        <v>379COM-35-38</v>
      </c>
      <c r="C4432" s="18" t="str">
        <f aca="false">'SALES Raw'!H433</f>
        <v>35-38 מדרסי אפיק ג'ל נוחות</v>
      </c>
      <c r="D4432" s="19" t="n">
        <f aca="false">'SALES Raw'!C433</f>
        <v>14</v>
      </c>
      <c r="E4432" s="19" t="n">
        <f aca="false">'SALES Raw'!D433</f>
        <v>1678.58</v>
      </c>
      <c r="F4432" s="19" t="n">
        <f aca="false">'SALES Raw'!E433*$H$4</f>
        <v>0</v>
      </c>
      <c r="G4432" s="19" t="n">
        <f aca="false">'SALES Raw'!F433*$H$4</f>
        <v>0</v>
      </c>
      <c r="H4432" s="18" t="str">
        <f aca="false">'SALES Raw'!A433</f>
        <v>101 - Factory customers</v>
      </c>
    </row>
    <row r="4433" customFormat="false" ht="15" hidden="false" customHeight="false" outlineLevel="0" collapsed="false">
      <c r="A4433" s="18" t="n">
        <f aca="false">'SALES Raw'!G436</f>
        <v>4413520</v>
      </c>
      <c r="B4433" s="18" t="str">
        <f aca="false">'SALES Raw'!B436</f>
        <v>379MSP-35-38</v>
      </c>
      <c r="C4433" s="18" t="str">
        <f aca="false">'SALES Raw'!H436</f>
        <v>מדרסי אפיק ג'ל מולט.ספורט35-38</v>
      </c>
      <c r="D4433" s="19" t="n">
        <f aca="false">'SALES Raw'!C436</f>
        <v>2</v>
      </c>
      <c r="E4433" s="19" t="n">
        <f aca="false">'SALES Raw'!D436</f>
        <v>0.02</v>
      </c>
      <c r="F4433" s="19" t="n">
        <f aca="false">'SALES Raw'!E436*$H$4</f>
        <v>0</v>
      </c>
      <c r="G4433" s="19" t="n">
        <f aca="false">'SALES Raw'!F436*$H$4</f>
        <v>0</v>
      </c>
      <c r="H4433" s="18" t="str">
        <f aca="false">'SALES Raw'!A436</f>
        <v>101 - Factory customers</v>
      </c>
    </row>
    <row r="4434" customFormat="false" ht="15" hidden="false" customHeight="false" outlineLevel="0" collapsed="false">
      <c r="A4434" s="18" t="n">
        <f aca="false">'SALES Raw'!G439</f>
        <v>4413527</v>
      </c>
      <c r="B4434" s="18" t="str">
        <f aca="false">'SALES Raw'!B439</f>
        <v>379WRK-35-38</v>
      </c>
      <c r="C4434" s="18" t="str">
        <f aca="false">'SALES Raw'!H439</f>
        <v>35-38 מדרסי אפיק ג'ל עבודה</v>
      </c>
      <c r="D4434" s="19" t="n">
        <f aca="false">'SALES Raw'!C439</f>
        <v>1</v>
      </c>
      <c r="E4434" s="19" t="n">
        <f aca="false">'SALES Raw'!D439</f>
        <v>0.01</v>
      </c>
      <c r="F4434" s="19" t="n">
        <f aca="false">'SALES Raw'!E439*$H$4</f>
        <v>0</v>
      </c>
      <c r="G4434" s="19" t="n">
        <f aca="false">'SALES Raw'!F439*$H$4</f>
        <v>0</v>
      </c>
      <c r="H4434" s="18" t="str">
        <f aca="false">'SALES Raw'!A439</f>
        <v>101 - Factory customers</v>
      </c>
    </row>
    <row r="4435" customFormat="false" ht="15" hidden="false" customHeight="false" outlineLevel="0" collapsed="false">
      <c r="A4435" s="18" t="str">
        <f aca="false">'SALES Raw'!G446</f>
        <v/>
      </c>
      <c r="B4435" s="18" t="str">
        <f aca="false">'SALES Raw'!B446</f>
        <v>59LB L</v>
      </c>
      <c r="C4435" s="18" t="str">
        <f aca="false">'SALES Raw'!H446</f>
        <v>59LB L</v>
      </c>
      <c r="D4435" s="19" t="n">
        <f aca="false">'SALES Raw'!C446</f>
        <v>1</v>
      </c>
      <c r="E4435" s="19" t="n">
        <f aca="false">'SALES Raw'!D446</f>
        <v>174.95</v>
      </c>
      <c r="F4435" s="19" t="n">
        <f aca="false">'SALES Raw'!E446*$H$4</f>
        <v>0</v>
      </c>
      <c r="G4435" s="19" t="n">
        <f aca="false">'SALES Raw'!F446*$H$4</f>
        <v>0</v>
      </c>
      <c r="H4435" s="18" t="str">
        <f aca="false">'SALES Raw'!A446</f>
        <v>101 - Factory customers</v>
      </c>
    </row>
    <row r="4436" customFormat="false" ht="15" hidden="false" customHeight="false" outlineLevel="0" collapsed="false">
      <c r="A4436" s="18" t="str">
        <f aca="false">'SALES Raw'!G450</f>
        <v/>
      </c>
      <c r="B4436" s="18" t="str">
        <f aca="false">'SALES Raw'!B450</f>
        <v>67600000</v>
      </c>
      <c r="C4436" s="18" t="str">
        <f aca="false">'SALES Raw'!H450</f>
        <v>67600000</v>
      </c>
      <c r="D4436" s="19" t="n">
        <f aca="false">'SALES Raw'!C450</f>
        <v>250</v>
      </c>
      <c r="E4436" s="19" t="n">
        <f aca="false">'SALES Raw'!D450</f>
        <v>0</v>
      </c>
      <c r="F4436" s="19" t="n">
        <f aca="false">'SALES Raw'!E450*$H$4</f>
        <v>0</v>
      </c>
      <c r="G4436" s="19" t="n">
        <f aca="false">'SALES Raw'!F450*$H$4</f>
        <v>0</v>
      </c>
      <c r="H4436" s="18" t="str">
        <f aca="false">'SALES Raw'!A450</f>
        <v>101 - Factory customers</v>
      </c>
    </row>
    <row r="4437" customFormat="false" ht="15" hidden="false" customHeight="false" outlineLevel="0" collapsed="false">
      <c r="A4437" s="18" t="n">
        <f aca="false">'SALES Raw'!G455</f>
        <v>4408272</v>
      </c>
      <c r="B4437" s="18" t="str">
        <f aca="false">'SALES Raw'!B455</f>
        <v>70N S</v>
      </c>
      <c r="C4437" s="18" t="str">
        <f aca="false">'SALES Raw'!H455</f>
        <v>70N S חגורת פאבליק</v>
      </c>
      <c r="D4437" s="19" t="n">
        <f aca="false">'SALES Raw'!C455</f>
        <v>1</v>
      </c>
      <c r="E4437" s="19" t="n">
        <f aca="false">'SALES Raw'!D455</f>
        <v>0.01</v>
      </c>
      <c r="F4437" s="19" t="n">
        <f aca="false">'SALES Raw'!E455*$H$4</f>
        <v>0</v>
      </c>
      <c r="G4437" s="19" t="n">
        <f aca="false">'SALES Raw'!F455*$H$4</f>
        <v>0</v>
      </c>
      <c r="H4437" s="18" t="str">
        <f aca="false">'SALES Raw'!A455</f>
        <v>101 - Factory customers</v>
      </c>
    </row>
    <row r="4438" customFormat="false" ht="15" hidden="false" customHeight="false" outlineLevel="0" collapsed="false">
      <c r="A4438" s="18" t="n">
        <f aca="false">'SALES Raw'!G456</f>
        <v>4408271</v>
      </c>
      <c r="B4438" s="18" t="str">
        <f aca="false">'SALES Raw'!B456</f>
        <v>70N XS</v>
      </c>
      <c r="C4438" s="18" t="str">
        <f aca="false">'SALES Raw'!H456</f>
        <v>70N XS חגורת פאבליק</v>
      </c>
      <c r="D4438" s="19" t="n">
        <f aca="false">'SALES Raw'!C456</f>
        <v>1</v>
      </c>
      <c r="E4438" s="19" t="n">
        <f aca="false">'SALES Raw'!D456</f>
        <v>431.17</v>
      </c>
      <c r="F4438" s="19" t="n">
        <f aca="false">'SALES Raw'!E456*$H$4</f>
        <v>0</v>
      </c>
      <c r="G4438" s="19" t="n">
        <f aca="false">'SALES Raw'!F456*$H$4</f>
        <v>0</v>
      </c>
      <c r="H4438" s="18" t="str">
        <f aca="false">'SALES Raw'!A456</f>
        <v>101 - Factory customers</v>
      </c>
    </row>
    <row r="4439" customFormat="false" ht="15" hidden="false" customHeight="false" outlineLevel="0" collapsed="false">
      <c r="A4439" s="18" t="n">
        <f aca="false">'SALES Raw'!G457</f>
        <v>4401013</v>
      </c>
      <c r="B4439" s="18" t="str">
        <f aca="false">'SALES Raw'!B457</f>
        <v>805AT-BL</v>
      </c>
      <c r="C4439" s="18" t="str">
        <f aca="false">'SALES Raw'!H457</f>
        <v>805AT-BLאתלטיק טייפ כחול 20מ""""מ</v>
      </c>
      <c r="D4439" s="19" t="n">
        <f aca="false">'SALES Raw'!C457</f>
        <v>8</v>
      </c>
      <c r="E4439" s="19" t="n">
        <f aca="false">'SALES Raw'!D457</f>
        <v>100.07</v>
      </c>
      <c r="F4439" s="19" t="n">
        <f aca="false">'SALES Raw'!E457*$H$4</f>
        <v>0</v>
      </c>
      <c r="G4439" s="19" t="n">
        <f aca="false">'SALES Raw'!F457*$H$4</f>
        <v>0</v>
      </c>
      <c r="H4439" s="18" t="str">
        <f aca="false">'SALES Raw'!A457</f>
        <v>101 - Factory customers</v>
      </c>
    </row>
    <row r="4440" customFormat="false" ht="15" hidden="false" customHeight="false" outlineLevel="0" collapsed="false">
      <c r="A4440" s="18" t="str">
        <f aca="false">'SALES Raw'!G458</f>
        <v/>
      </c>
      <c r="B4440" s="18" t="str">
        <f aca="false">'SALES Raw'!B458</f>
        <v>BE CA CB BEIGE</v>
      </c>
      <c r="C4440" s="18" t="str">
        <f aca="false">'SALES Raw'!H458</f>
        <v>BE CA CB BEIGE</v>
      </c>
      <c r="D4440" s="19" t="n">
        <f aca="false">'SALES Raw'!C458</f>
        <v>1</v>
      </c>
      <c r="E4440" s="19" t="n">
        <f aca="false">'SALES Raw'!D458</f>
        <v>5.5</v>
      </c>
      <c r="F4440" s="19" t="n">
        <f aca="false">'SALES Raw'!E458*$H$4</f>
        <v>0</v>
      </c>
      <c r="G4440" s="19" t="n">
        <f aca="false">'SALES Raw'!F458*$H$4</f>
        <v>0</v>
      </c>
      <c r="H4440" s="18" t="str">
        <f aca="false">'SALES Raw'!A458</f>
        <v>101 - Factory customers</v>
      </c>
    </row>
    <row r="4441" customFormat="false" ht="15" hidden="false" customHeight="false" outlineLevel="0" collapsed="false">
      <c r="A4441" s="18" t="n">
        <f aca="false">'SALES Raw'!G461</f>
        <v>4409014</v>
      </c>
      <c r="B4441" s="18" t="str">
        <f aca="false">'SALES Raw'!B461</f>
        <v>808KT-P</v>
      </c>
      <c r="C4441" s="18" t="str">
        <f aca="false">'SALES Raw'!H461</f>
        <v>808KT-P        טייפ קינזיולוגי</v>
      </c>
      <c r="D4441" s="19" t="n">
        <f aca="false">'SALES Raw'!C461</f>
        <v>5</v>
      </c>
      <c r="E4441" s="19" t="n">
        <f aca="false">'SALES Raw'!D461</f>
        <v>252.25</v>
      </c>
      <c r="F4441" s="19" t="n">
        <f aca="false">'SALES Raw'!E461*$H$4</f>
        <v>0</v>
      </c>
      <c r="G4441" s="19" t="n">
        <f aca="false">'SALES Raw'!F461*$H$4</f>
        <v>0</v>
      </c>
      <c r="H4441" s="18" t="str">
        <f aca="false">'SALES Raw'!A461</f>
        <v>101 - Factory customers</v>
      </c>
    </row>
    <row r="4442" customFormat="false" ht="15" hidden="false" customHeight="false" outlineLevel="0" collapsed="false">
      <c r="A4442" s="18" t="str">
        <f aca="false">'SALES Raw'!G463</f>
        <v/>
      </c>
      <c r="B4442" s="18" t="str">
        <f aca="false">'SALES Raw'!B463</f>
        <v>BE CA KT BLACK</v>
      </c>
      <c r="C4442" s="18" t="str">
        <f aca="false">'SALES Raw'!H463</f>
        <v>BE CA KT BLACK</v>
      </c>
      <c r="D4442" s="19" t="n">
        <f aca="false">'SALES Raw'!C463</f>
        <v>1</v>
      </c>
      <c r="E4442" s="19" t="n">
        <f aca="false">'SALES Raw'!D463</f>
        <v>24</v>
      </c>
      <c r="F4442" s="19" t="n">
        <f aca="false">'SALES Raw'!E463*$H$4</f>
        <v>0</v>
      </c>
      <c r="G4442" s="19" t="n">
        <f aca="false">'SALES Raw'!F463*$H$4</f>
        <v>0</v>
      </c>
      <c r="H4442" s="18" t="str">
        <f aca="false">'SALES Raw'!A463</f>
        <v>101 - Factory customers</v>
      </c>
    </row>
    <row r="4443" customFormat="false" ht="15" hidden="false" customHeight="false" outlineLevel="0" collapsed="false">
      <c r="A4443" s="18" t="str">
        <f aca="false">'SALES Raw'!G465</f>
        <v/>
      </c>
      <c r="B4443" s="18" t="str">
        <f aca="false">'SALES Raw'!B465</f>
        <v>88L XXL</v>
      </c>
      <c r="C4443" s="18" t="str">
        <f aca="false">'SALES Raw'!H465</f>
        <v>88L XXL</v>
      </c>
      <c r="D4443" s="19" t="n">
        <f aca="false">'SALES Raw'!C465</f>
        <v>1</v>
      </c>
      <c r="E4443" s="19" t="n">
        <f aca="false">'SALES Raw'!D465</f>
        <v>302.5</v>
      </c>
      <c r="F4443" s="19" t="n">
        <f aca="false">'SALES Raw'!E465*$H$4</f>
        <v>0</v>
      </c>
      <c r="G4443" s="19" t="n">
        <f aca="false">'SALES Raw'!F465*$H$4</f>
        <v>0</v>
      </c>
      <c r="H4443" s="18" t="str">
        <f aca="false">'SALES Raw'!A465</f>
        <v>101 - Factory customers</v>
      </c>
    </row>
    <row r="4444" customFormat="false" ht="15" hidden="false" customHeight="false" outlineLevel="0" collapsed="false">
      <c r="A4444" s="18" t="str">
        <f aca="false">'SALES Raw'!G466</f>
        <v/>
      </c>
      <c r="B4444" s="18" t="str">
        <f aca="false">'SALES Raw'!B466</f>
        <v>88L- S-M</v>
      </c>
      <c r="C4444" s="18" t="str">
        <f aca="false">'SALES Raw'!H466</f>
        <v>88L- S-M</v>
      </c>
      <c r="D4444" s="19" t="n">
        <f aca="false">'SALES Raw'!C466</f>
        <v>2</v>
      </c>
      <c r="E4444" s="19" t="n">
        <f aca="false">'SALES Raw'!D466</f>
        <v>403.35</v>
      </c>
      <c r="F4444" s="19" t="n">
        <f aca="false">'SALES Raw'!E466*$H$4</f>
        <v>0</v>
      </c>
      <c r="G4444" s="19" t="n">
        <f aca="false">'SALES Raw'!F466*$H$4</f>
        <v>0</v>
      </c>
      <c r="H4444" s="18" t="str">
        <f aca="false">'SALES Raw'!A466</f>
        <v>101 - Factory customers</v>
      </c>
    </row>
    <row r="4445" customFormat="false" ht="15" hidden="false" customHeight="false" outlineLevel="0" collapsed="false">
      <c r="A4445" s="18" t="str">
        <f aca="false">'SALES Raw'!G467</f>
        <v/>
      </c>
      <c r="B4445" s="18" t="str">
        <f aca="false">'SALES Raw'!B467</f>
        <v>91 0</v>
      </c>
      <c r="C4445" s="18" t="str">
        <f aca="false">'SALES Raw'!H467</f>
        <v>91 0</v>
      </c>
      <c r="D4445" s="19" t="n">
        <f aca="false">'SALES Raw'!C467</f>
        <v>1</v>
      </c>
      <c r="E4445" s="19" t="n">
        <f aca="false">'SALES Raw'!D467</f>
        <v>107.09</v>
      </c>
      <c r="F4445" s="19" t="n">
        <f aca="false">'SALES Raw'!E467*$H$4</f>
        <v>0</v>
      </c>
      <c r="G4445" s="19" t="n">
        <f aca="false">'SALES Raw'!F467*$H$4</f>
        <v>0</v>
      </c>
      <c r="H4445" s="18" t="str">
        <f aca="false">'SALES Raw'!A467</f>
        <v>101 - Factory customers</v>
      </c>
    </row>
    <row r="4446" customFormat="false" ht="15" hidden="false" customHeight="false" outlineLevel="0" collapsed="false">
      <c r="A4446" s="18" t="n">
        <f aca="false">'SALES Raw'!G468</f>
        <v>4422036</v>
      </c>
      <c r="B4446" s="18" t="str">
        <f aca="false">'SALES Raw'!B468</f>
        <v>FC334 0</v>
      </c>
      <c r="C4446" s="18" t="str">
        <f aca="false">'SALES Raw'!H468</f>
        <v>FC334  תרסיס דאודורנט לכף הרגל</v>
      </c>
      <c r="D4446" s="19" t="n">
        <f aca="false">'SALES Raw'!C468</f>
        <v>10</v>
      </c>
      <c r="E4446" s="19" t="n">
        <f aca="false">'SALES Raw'!D468</f>
        <v>301.94</v>
      </c>
      <c r="F4446" s="19" t="n">
        <f aca="false">'SALES Raw'!E468*$H$4</f>
        <v>0</v>
      </c>
      <c r="G4446" s="19" t="n">
        <f aca="false">'SALES Raw'!F468*$H$4</f>
        <v>0</v>
      </c>
      <c r="H4446" s="18" t="str">
        <f aca="false">'SALES Raw'!A468</f>
        <v>101 - Factory customers</v>
      </c>
    </row>
    <row r="4447" customFormat="false" ht="15" hidden="false" customHeight="false" outlineLevel="0" collapsed="false">
      <c r="A4447" s="18" t="n">
        <f aca="false">'SALES Raw'!G469</f>
        <v>4420022</v>
      </c>
      <c r="B4447" s="18" t="str">
        <f aca="false">'SALES Raw'!B469</f>
        <v>LF370 0</v>
      </c>
      <c r="C4447" s="18" t="str">
        <f aca="false">'SALES Raw'!H469</f>
        <v>LF370 ריפוד סיליקון לעקב אחורי</v>
      </c>
      <c r="D4447" s="19" t="n">
        <f aca="false">'SALES Raw'!C469</f>
        <v>1</v>
      </c>
      <c r="E4447" s="19" t="n">
        <f aca="false">'SALES Raw'!D469</f>
        <v>0.01</v>
      </c>
      <c r="F4447" s="19" t="n">
        <f aca="false">'SALES Raw'!E469*$H$4</f>
        <v>0</v>
      </c>
      <c r="G4447" s="19" t="n">
        <f aca="false">'SALES Raw'!F469*$H$4</f>
        <v>0</v>
      </c>
      <c r="H4447" s="18" t="str">
        <f aca="false">'SALES Raw'!A469</f>
        <v>101 - Factory customers</v>
      </c>
    </row>
    <row r="4448" customFormat="false" ht="15" hidden="false" customHeight="false" outlineLevel="0" collapsed="false">
      <c r="A4448" s="18" t="str">
        <f aca="false">'SALES Raw'!G470</f>
        <v/>
      </c>
      <c r="B4448" s="18" t="str">
        <f aca="false">'SALES Raw'!B470</f>
        <v>M94</v>
      </c>
      <c r="C4448" s="18" t="str">
        <f aca="false">'SALES Raw'!H470</f>
        <v>M94</v>
      </c>
      <c r="D4448" s="19" t="n">
        <f aca="false">'SALES Raw'!C470</f>
        <v>1</v>
      </c>
      <c r="E4448" s="19" t="n">
        <f aca="false">'SALES Raw'!D470</f>
        <v>42.29</v>
      </c>
      <c r="F4448" s="19" t="n">
        <f aca="false">'SALES Raw'!E470*$H$4</f>
        <v>0</v>
      </c>
      <c r="G4448" s="19" t="n">
        <f aca="false">'SALES Raw'!F470*$H$4</f>
        <v>0</v>
      </c>
      <c r="H4448" s="18" t="str">
        <f aca="false">'SALES Raw'!A470</f>
        <v>101 - Factory customers</v>
      </c>
    </row>
    <row r="4449" customFormat="false" ht="15" hidden="false" customHeight="false" outlineLevel="0" collapsed="false">
      <c r="A4449" s="18" t="n">
        <f aca="false">'SALES Raw'!G483</f>
        <v>4408270</v>
      </c>
      <c r="B4449" s="18" t="str">
        <f aca="false">'SALES Raw'!B483</f>
        <v>ST11 0</v>
      </c>
      <c r="C4449" s="18" t="str">
        <f aca="false">'SALES Raw'!H483</f>
        <v>ST11  חגורת בטן</v>
      </c>
      <c r="D4449" s="19" t="n">
        <f aca="false">'SALES Raw'!C483</f>
        <v>3</v>
      </c>
      <c r="E4449" s="19" t="n">
        <f aca="false">'SALES Raw'!D483</f>
        <v>162.37</v>
      </c>
      <c r="F4449" s="19" t="n">
        <f aca="false">'SALES Raw'!E483*$H$4</f>
        <v>0</v>
      </c>
      <c r="G4449" s="19" t="n">
        <f aca="false">'SALES Raw'!F483*$H$4</f>
        <v>0</v>
      </c>
      <c r="H4449" s="18" t="str">
        <f aca="false">'SALES Raw'!A483</f>
        <v>101 - Factory customers</v>
      </c>
    </row>
    <row r="4450" customFormat="false" ht="15" hidden="false" customHeight="false" outlineLevel="0" collapsed="false">
      <c r="A4450" s="18" t="n">
        <f aca="false">'SALES Raw'!G484</f>
        <v>4408268</v>
      </c>
      <c r="B4450" s="18" t="str">
        <f aca="false">'SALES Raw'!B484</f>
        <v>ST20 0</v>
      </c>
      <c r="C4450" s="18" t="str">
        <f aca="false">'SALES Raw'!H484</f>
        <v>ST20 חבק יד</v>
      </c>
      <c r="D4450" s="19" t="n">
        <f aca="false">'SALES Raw'!C484</f>
        <v>2</v>
      </c>
      <c r="E4450" s="19" t="n">
        <f aca="false">'SALES Raw'!D484</f>
        <v>41.3</v>
      </c>
      <c r="F4450" s="19" t="n">
        <f aca="false">'SALES Raw'!E484*$H$4</f>
        <v>0</v>
      </c>
      <c r="G4450" s="19" t="n">
        <f aca="false">'SALES Raw'!F484*$H$4</f>
        <v>0</v>
      </c>
      <c r="H4450" s="18" t="str">
        <f aca="false">'SALES Raw'!A484</f>
        <v>101 - Factory customers</v>
      </c>
    </row>
    <row r="4451" customFormat="false" ht="15" hidden="false" customHeight="false" outlineLevel="0" collapsed="false">
      <c r="A4451" s="18" t="str">
        <f aca="false">'SALES Raw'!G486</f>
        <v/>
      </c>
      <c r="B4451" s="18" t="str">
        <f aca="false">'SALES Raw'!B486</f>
        <v>ST27L 0</v>
      </c>
      <c r="C4451" s="18" t="str">
        <f aca="false">'SALES Raw'!H486</f>
        <v>ST27L 0</v>
      </c>
      <c r="D4451" s="19" t="n">
        <f aca="false">'SALES Raw'!C486</f>
        <v>1</v>
      </c>
      <c r="E4451" s="19" t="n">
        <f aca="false">'SALES Raw'!D486</f>
        <v>62.43</v>
      </c>
      <c r="F4451" s="19" t="n">
        <f aca="false">'SALES Raw'!E486*$H$4</f>
        <v>0</v>
      </c>
      <c r="G4451" s="19" t="n">
        <f aca="false">'SALES Raw'!F486*$H$4</f>
        <v>0</v>
      </c>
      <c r="H4451" s="18" t="str">
        <f aca="false">'SALES Raw'!A486</f>
        <v>101 - Factory customers</v>
      </c>
    </row>
    <row r="4452" customFormat="false" ht="15" hidden="false" customHeight="false" outlineLevel="0" collapsed="false">
      <c r="A4452" s="18" t="str">
        <f aca="false">'SALES Raw'!G487</f>
        <v/>
      </c>
      <c r="B4452" s="18" t="str">
        <f aca="false">'SALES Raw'!B487</f>
        <v>ST27R 0</v>
      </c>
      <c r="C4452" s="18" t="str">
        <f aca="false">'SALES Raw'!H487</f>
        <v>ST27R 0</v>
      </c>
      <c r="D4452" s="19" t="n">
        <f aca="false">'SALES Raw'!C487</f>
        <v>1</v>
      </c>
      <c r="E4452" s="19" t="n">
        <f aca="false">'SALES Raw'!D487</f>
        <v>62.43</v>
      </c>
      <c r="F4452" s="19" t="n">
        <f aca="false">'SALES Raw'!E487*$H$4</f>
        <v>0</v>
      </c>
      <c r="G4452" s="19" t="n">
        <f aca="false">'SALES Raw'!F487*$H$4</f>
        <v>0</v>
      </c>
      <c r="H4452" s="18" t="str">
        <f aca="false">'SALES Raw'!A487</f>
        <v>101 - Factory customers</v>
      </c>
    </row>
    <row r="4453" customFormat="false" ht="15" hidden="false" customHeight="false" outlineLevel="0" collapsed="false">
      <c r="A4453" s="18" t="str">
        <f aca="false">'SALES Raw'!G490</f>
        <v/>
      </c>
      <c r="B4453" s="18" t="str">
        <f aca="false">'SALES Raw'!B490</f>
        <v>KST422 0</v>
      </c>
      <c r="C4453" s="18" t="str">
        <f aca="false">'SALES Raw'!H490</f>
        <v>KST422 0</v>
      </c>
      <c r="D4453" s="19" t="n">
        <f aca="false">'SALES Raw'!C490</f>
        <v>1</v>
      </c>
      <c r="E4453" s="19" t="n">
        <f aca="false">'SALES Raw'!D490</f>
        <v>0.01</v>
      </c>
      <c r="F4453" s="19" t="n">
        <f aca="false">'SALES Raw'!E490*$H$4</f>
        <v>0</v>
      </c>
      <c r="G4453" s="19" t="n">
        <f aca="false">'SALES Raw'!F490*$H$4</f>
        <v>0</v>
      </c>
      <c r="H4453" s="18" t="str">
        <f aca="false">'SALES Raw'!A490</f>
        <v>101 - Factory customers</v>
      </c>
    </row>
    <row r="4454" customFormat="false" ht="15" hidden="false" customHeight="false" outlineLevel="0" collapsed="false">
      <c r="A4454" s="18" t="n">
        <f aca="false">'SALES Raw'!G492</f>
        <v>4413532</v>
      </c>
      <c r="B4454" s="18" t="str">
        <f aca="false">'SALES Raw'!B492</f>
        <v>ST433 0</v>
      </c>
      <c r="C4454" s="18" t="str">
        <f aca="false">'SALES Raw'!H492</f>
        <v>ST433 H מגן ברך עם ציר</v>
      </c>
      <c r="D4454" s="19" t="n">
        <f aca="false">'SALES Raw'!C492</f>
        <v>3</v>
      </c>
      <c r="E4454" s="19" t="n">
        <f aca="false">'SALES Raw'!D492</f>
        <v>441.11</v>
      </c>
      <c r="F4454" s="19" t="n">
        <f aca="false">'SALES Raw'!E492*$H$4</f>
        <v>0</v>
      </c>
      <c r="G4454" s="19" t="n">
        <f aca="false">'SALES Raw'!F492*$H$4</f>
        <v>0</v>
      </c>
      <c r="H4454" s="18" t="str">
        <f aca="false">'SALES Raw'!A492</f>
        <v>101 - Factory customers</v>
      </c>
    </row>
    <row r="4455" customFormat="false" ht="15" hidden="false" customHeight="false" outlineLevel="0" collapsed="false">
      <c r="A4455" s="18" t="n">
        <f aca="false">'SALES Raw'!G493</f>
        <v>4413533</v>
      </c>
      <c r="B4455" s="18" t="str">
        <f aca="false">'SALES Raw'!B493</f>
        <v>ST49 0</v>
      </c>
      <c r="C4455" s="18" t="str">
        <f aca="false">'SALES Raw'!H493</f>
        <v>ST49 מגן ירך</v>
      </c>
      <c r="D4455" s="19" t="n">
        <f aca="false">'SALES Raw'!C493</f>
        <v>2</v>
      </c>
      <c r="E4455" s="19" t="n">
        <f aca="false">'SALES Raw'!D493</f>
        <v>50.57</v>
      </c>
      <c r="F4455" s="19" t="n">
        <f aca="false">'SALES Raw'!E493*$H$4</f>
        <v>0</v>
      </c>
      <c r="G4455" s="19" t="n">
        <f aca="false">'SALES Raw'!F493*$H$4</f>
        <v>0</v>
      </c>
      <c r="H4455" s="18" t="str">
        <f aca="false">'SALES Raw'!A493</f>
        <v>101 - Factory customers</v>
      </c>
    </row>
    <row r="4456" customFormat="false" ht="15" hidden="false" customHeight="false" outlineLevel="0" collapsed="false">
      <c r="A4456" s="18" t="n">
        <f aca="false">'SALES Raw'!G494</f>
        <v>4413531</v>
      </c>
      <c r="B4456" s="18" t="str">
        <f aca="false">'SALES Raw'!B494</f>
        <v>ST91 0</v>
      </c>
      <c r="C4456" s="18" t="str">
        <f aca="false">'SALES Raw'!H494</f>
        <v>ST91 מגן מרפק לטניס</v>
      </c>
      <c r="D4456" s="19" t="n">
        <f aca="false">'SALES Raw'!C494</f>
        <v>3</v>
      </c>
      <c r="E4456" s="19" t="n">
        <f aca="false">'SALES Raw'!D494</f>
        <v>94.87</v>
      </c>
      <c r="F4456" s="19" t="n">
        <f aca="false">'SALES Raw'!E494*$H$4</f>
        <v>0</v>
      </c>
      <c r="G4456" s="19" t="n">
        <f aca="false">'SALES Raw'!F494*$H$4</f>
        <v>0</v>
      </c>
      <c r="H4456" s="18" t="str">
        <f aca="false">'SALES Raw'!A494</f>
        <v>101 - Factory customers</v>
      </c>
    </row>
    <row r="4457" customFormat="false" ht="15" hidden="false" customHeight="false" outlineLevel="0" collapsed="false">
      <c r="A4457" s="18" t="n">
        <f aca="false">'SALES Raw'!G496</f>
        <v>4408099</v>
      </c>
      <c r="B4457" s="18" t="str">
        <f aca="false">'SALES Raw'!B496</f>
        <v>T25C 0</v>
      </c>
      <c r="C4457" s="18" t="str">
        <f aca="false">'SALES Raw'!H496</f>
        <v>T25C-חבק יד אגודלי</v>
      </c>
      <c r="D4457" s="19" t="n">
        <f aca="false">'SALES Raw'!C496</f>
        <v>5</v>
      </c>
      <c r="E4457" s="19" t="n">
        <f aca="false">'SALES Raw'!D496</f>
        <v>271.94</v>
      </c>
      <c r="F4457" s="19" t="n">
        <f aca="false">'SALES Raw'!E496*$H$4</f>
        <v>0</v>
      </c>
      <c r="G4457" s="19" t="n">
        <f aca="false">'SALES Raw'!F496*$H$4</f>
        <v>0</v>
      </c>
      <c r="H4457" s="18" t="str">
        <f aca="false">'SALES Raw'!A496</f>
        <v>101 - Factory customers</v>
      </c>
    </row>
    <row r="4458" customFormat="false" ht="15" hidden="false" customHeight="false" outlineLevel="0" collapsed="false">
      <c r="A4458" s="18" t="n">
        <f aca="false">'SALES Raw'!G500</f>
        <v>4413210</v>
      </c>
      <c r="B4458" s="18" t="str">
        <f aca="false">'SALES Raw'!B500</f>
        <v>T95 S</v>
      </c>
      <c r="C4458" s="18" t="str">
        <f aca="false">'SALES Raw'!H500</f>
        <v>T95 S מגן מרפק רגיל</v>
      </c>
      <c r="D4458" s="19" t="n">
        <f aca="false">'SALES Raw'!C500</f>
        <v>2</v>
      </c>
      <c r="E4458" s="19" t="n">
        <f aca="false">'SALES Raw'!D500</f>
        <v>171.08</v>
      </c>
      <c r="F4458" s="19" t="n">
        <f aca="false">'SALES Raw'!E500*$H$4</f>
        <v>0</v>
      </c>
      <c r="G4458" s="19" t="n">
        <f aca="false">'SALES Raw'!F500*$H$4</f>
        <v>0</v>
      </c>
      <c r="H4458" s="18" t="str">
        <f aca="false">'SALES Raw'!A500</f>
        <v>101 - Factory customers</v>
      </c>
    </row>
    <row r="4459" customFormat="false" ht="15" hidden="false" customHeight="false" outlineLevel="0" collapsed="false">
      <c r="A4459" s="18" t="str">
        <f aca="false">'SALES Raw'!G502</f>
        <v/>
      </c>
      <c r="B4459" s="18" t="str">
        <f aca="false">'SALES Raw'!B502</f>
        <v>07UB-S-M</v>
      </c>
      <c r="C4459" s="18" t="str">
        <f aca="false">'SALES Raw'!H502</f>
        <v>07UB-S-M</v>
      </c>
      <c r="D4459" s="19" t="n">
        <f aca="false">'SALES Raw'!C502</f>
        <v>3</v>
      </c>
      <c r="E4459" s="19" t="n">
        <f aca="false">'SALES Raw'!D502</f>
        <v>880.76</v>
      </c>
      <c r="F4459" s="19" t="n">
        <f aca="false">'SALES Raw'!E502*$H$4</f>
        <v>0</v>
      </c>
      <c r="G4459" s="19" t="n">
        <f aca="false">'SALES Raw'!F502*$H$4</f>
        <v>0</v>
      </c>
      <c r="H4459" s="18" t="str">
        <f aca="false">'SALES Raw'!A502</f>
        <v>101 - Factory customers</v>
      </c>
    </row>
    <row r="4460" customFormat="false" ht="15" hidden="false" customHeight="false" outlineLevel="0" collapsed="false">
      <c r="A4460" s="18" t="str">
        <f aca="false">'SALES Raw'!G505</f>
        <v/>
      </c>
      <c r="B4460" s="18" t="str">
        <f aca="false">'SALES Raw'!B505</f>
        <v>394G-43-46</v>
      </c>
      <c r="C4460" s="18" t="str">
        <f aca="false">'SALES Raw'!H505</f>
        <v>394G-43-46</v>
      </c>
      <c r="D4460" s="19" t="n">
        <f aca="false">'SALES Raw'!C505</f>
        <v>4</v>
      </c>
      <c r="E4460" s="19" t="n">
        <f aca="false">'SALES Raw'!D505</f>
        <v>121.83</v>
      </c>
      <c r="F4460" s="19" t="n">
        <f aca="false">'SALES Raw'!E505*$H$4</f>
        <v>0</v>
      </c>
      <c r="G4460" s="19" t="n">
        <f aca="false">'SALES Raw'!F505*$H$4</f>
        <v>0</v>
      </c>
      <c r="H4460" s="18" t="str">
        <f aca="false">'SALES Raw'!A505</f>
        <v>101 - Factory customers</v>
      </c>
    </row>
    <row r="4461" customFormat="false" ht="15" hidden="false" customHeight="false" outlineLevel="0" collapsed="false">
      <c r="A4461" s="18" t="str">
        <f aca="false">'SALES Raw'!G506</f>
        <v/>
      </c>
      <c r="B4461" s="18" t="str">
        <f aca="false">'SALES Raw'!B506</f>
        <v>422 XXL</v>
      </c>
      <c r="C4461" s="18" t="str">
        <f aca="false">'SALES Raw'!H506</f>
        <v>422 XXL</v>
      </c>
      <c r="D4461" s="19" t="n">
        <f aca="false">'SALES Raw'!C506</f>
        <v>1</v>
      </c>
      <c r="E4461" s="19" t="n">
        <f aca="false">'SALES Raw'!D506</f>
        <v>237.23</v>
      </c>
      <c r="F4461" s="19" t="n">
        <f aca="false">'SALES Raw'!E506*$H$4</f>
        <v>0</v>
      </c>
      <c r="G4461" s="19" t="n">
        <f aca="false">'SALES Raw'!F506*$H$4</f>
        <v>0</v>
      </c>
      <c r="H4461" s="18" t="str">
        <f aca="false">'SALES Raw'!A506</f>
        <v>101 - Factory customers</v>
      </c>
    </row>
    <row r="4462" customFormat="false" ht="15" hidden="false" customHeight="false" outlineLevel="0" collapsed="false">
      <c r="A4462" s="18" t="str">
        <f aca="false">'SALES Raw'!G507</f>
        <v/>
      </c>
      <c r="B4462" s="18" t="str">
        <f aca="false">'SALES Raw'!B507</f>
        <v>422E L</v>
      </c>
      <c r="C4462" s="18" t="str">
        <f aca="false">'SALES Raw'!H507</f>
        <v>422E L</v>
      </c>
      <c r="D4462" s="19" t="n">
        <f aca="false">'SALES Raw'!C507</f>
        <v>2</v>
      </c>
      <c r="E4462" s="19" t="n">
        <f aca="false">'SALES Raw'!D507</f>
        <v>735.42</v>
      </c>
      <c r="F4462" s="19" t="n">
        <f aca="false">'SALES Raw'!E507*$H$4</f>
        <v>0</v>
      </c>
      <c r="G4462" s="19" t="n">
        <f aca="false">'SALES Raw'!F507*$H$4</f>
        <v>0</v>
      </c>
      <c r="H4462" s="18" t="str">
        <f aca="false">'SALES Raw'!A507</f>
        <v>101 - Factory customers</v>
      </c>
    </row>
    <row r="4463" customFormat="false" ht="15" hidden="false" customHeight="false" outlineLevel="0" collapsed="false">
      <c r="A4463" s="18" t="n">
        <f aca="false">'SALES Raw'!G508</f>
        <v>4413330</v>
      </c>
      <c r="B4463" s="18" t="str">
        <f aca="false">'SALES Raw'!B508</f>
        <v>AC49 0</v>
      </c>
      <c r="C4463" s="18" t="str">
        <f aca="false">'SALES Raw'!H508</f>
        <v>AC49 מגן ירך</v>
      </c>
      <c r="D4463" s="19" t="n">
        <f aca="false">'SALES Raw'!C508</f>
        <v>1</v>
      </c>
      <c r="E4463" s="19" t="n">
        <f aca="false">'SALES Raw'!D508</f>
        <v>78.25</v>
      </c>
      <c r="F4463" s="19" t="n">
        <f aca="false">'SALES Raw'!E508*$H$4</f>
        <v>0</v>
      </c>
      <c r="G4463" s="19" t="n">
        <f aca="false">'SALES Raw'!F508*$H$4</f>
        <v>0</v>
      </c>
      <c r="H4463" s="18" t="str">
        <f aca="false">'SALES Raw'!A508</f>
        <v>101 - Factory customers</v>
      </c>
    </row>
    <row r="4464" customFormat="false" ht="15" hidden="false" customHeight="false" outlineLevel="0" collapsed="false">
      <c r="A4464" s="18" t="str">
        <f aca="false">'SALES Raw'!G509</f>
        <v/>
      </c>
      <c r="B4464" s="18" t="str">
        <f aca="false">'SALES Raw'!B509</f>
        <v>M95</v>
      </c>
      <c r="C4464" s="18" t="str">
        <f aca="false">'SALES Raw'!H509</f>
        <v>M95</v>
      </c>
      <c r="D4464" s="19" t="n">
        <f aca="false">'SALES Raw'!C509</f>
        <v>2</v>
      </c>
      <c r="E4464" s="19" t="n">
        <f aca="false">'SALES Raw'!D509</f>
        <v>33.72</v>
      </c>
      <c r="F4464" s="19" t="n">
        <f aca="false">'SALES Raw'!E509*$H$4</f>
        <v>0</v>
      </c>
      <c r="G4464" s="19" t="n">
        <f aca="false">'SALES Raw'!F509*$H$4</f>
        <v>0</v>
      </c>
      <c r="H4464" s="18" t="str">
        <f aca="false">'SALES Raw'!A509</f>
        <v>101 - Factory customers</v>
      </c>
    </row>
    <row r="4465" customFormat="false" ht="15" hidden="false" customHeight="false" outlineLevel="0" collapsed="false">
      <c r="A4465" s="18" t="str">
        <f aca="false">'SALES Raw'!G511</f>
        <v/>
      </c>
      <c r="B4465" s="18" t="str">
        <f aca="false">'SALES Raw'!B511</f>
        <v>N433D S</v>
      </c>
      <c r="C4465" s="18" t="str">
        <f aca="false">'SALES Raw'!H511</f>
        <v>N433D S</v>
      </c>
      <c r="D4465" s="19" t="n">
        <f aca="false">'SALES Raw'!C511</f>
        <v>1</v>
      </c>
      <c r="E4465" s="19" t="n">
        <f aca="false">'SALES Raw'!D511</f>
        <v>296.56</v>
      </c>
      <c r="F4465" s="19" t="n">
        <f aca="false">'SALES Raw'!E511*$H$4</f>
        <v>0</v>
      </c>
      <c r="G4465" s="19" t="n">
        <f aca="false">'SALES Raw'!F511*$H$4</f>
        <v>0</v>
      </c>
      <c r="H4465" s="18" t="str">
        <f aca="false">'SALES Raw'!A511</f>
        <v>101 - Factory customers</v>
      </c>
    </row>
    <row r="4466" customFormat="false" ht="15" hidden="false" customHeight="false" outlineLevel="0" collapsed="false">
      <c r="A4466" s="18" t="n">
        <f aca="false">'SALES Raw'!G513</f>
        <v>4413224</v>
      </c>
      <c r="B4466" s="18" t="str">
        <f aca="false">'SALES Raw'!B513</f>
        <v>T45X XL</v>
      </c>
      <c r="C4466" s="18" t="str">
        <f aca="false">'SALES Raw'!H513</f>
        <v>T45X XL מגן ברך רגיל</v>
      </c>
      <c r="D4466" s="19" t="n">
        <f aca="false">'SALES Raw'!C513</f>
        <v>1</v>
      </c>
      <c r="E4466" s="19" t="n">
        <f aca="false">'SALES Raw'!D513</f>
        <v>107.16</v>
      </c>
      <c r="F4466" s="19" t="n">
        <f aca="false">'SALES Raw'!E513*$H$4</f>
        <v>0</v>
      </c>
      <c r="G4466" s="19" t="n">
        <f aca="false">'SALES Raw'!F513*$H$4</f>
        <v>0</v>
      </c>
      <c r="H4466" s="18" t="str">
        <f aca="false">'SALES Raw'!A513</f>
        <v>101 - Factory customers</v>
      </c>
    </row>
    <row r="4467" customFormat="false" ht="15" hidden="false" customHeight="false" outlineLevel="0" collapsed="false">
      <c r="A4467" s="18" t="str">
        <f aca="false">'SALES Raw'!G514</f>
        <v/>
      </c>
      <c r="B4467" s="18" t="str">
        <f aca="false">'SALES Raw'!B514</f>
        <v>T95 M</v>
      </c>
      <c r="C4467" s="18" t="str">
        <f aca="false">'SALES Raw'!H514</f>
        <v>T95 M</v>
      </c>
      <c r="D4467" s="19" t="n">
        <f aca="false">'SALES Raw'!C514</f>
        <v>1</v>
      </c>
      <c r="E4467" s="19" t="n">
        <f aca="false">'SALES Raw'!D514</f>
        <v>64.16</v>
      </c>
      <c r="F4467" s="19" t="n">
        <f aca="false">'SALES Raw'!E514*$H$4</f>
        <v>0</v>
      </c>
      <c r="G4467" s="19" t="n">
        <f aca="false">'SALES Raw'!F514*$H$4</f>
        <v>0</v>
      </c>
      <c r="H4467" s="18" t="str">
        <f aca="false">'SALES Raw'!A514</f>
        <v>101 - Factory customers</v>
      </c>
    </row>
    <row r="4468" customFormat="false" ht="15" hidden="false" customHeight="false" outlineLevel="0" collapsed="false">
      <c r="A4468" s="18" t="str">
        <f aca="false">'SALES Raw'!G515</f>
        <v/>
      </c>
      <c r="B4468" s="18" t="str">
        <f aca="false">'SALES Raw'!B515</f>
        <v>15M XXL</v>
      </c>
      <c r="C4468" s="18" t="str">
        <f aca="false">'SALES Raw'!H515</f>
        <v>15M XXL</v>
      </c>
      <c r="D4468" s="19" t="n">
        <f aca="false">'SALES Raw'!C515</f>
        <v>1</v>
      </c>
      <c r="E4468" s="19" t="n">
        <f aca="false">'SALES Raw'!D515</f>
        <v>119.87</v>
      </c>
      <c r="F4468" s="19" t="n">
        <f aca="false">'SALES Raw'!E515*$H$4</f>
        <v>0</v>
      </c>
      <c r="G4468" s="19" t="n">
        <f aca="false">'SALES Raw'!F515*$H$4</f>
        <v>0</v>
      </c>
      <c r="H4468" s="18" t="str">
        <f aca="false">'SALES Raw'!A515</f>
        <v>101 - Factory customers</v>
      </c>
    </row>
    <row r="4469" customFormat="false" ht="15" hidden="false" customHeight="false" outlineLevel="0" collapsed="false">
      <c r="A4469" s="18" t="n">
        <f aca="false">'SALES Raw'!G516</f>
        <v>4408049</v>
      </c>
      <c r="B4469" s="18" t="str">
        <f aca="false">'SALES Raw'!B516</f>
        <v>20 XL</v>
      </c>
      <c r="C4469" s="18" t="str">
        <f aca="false">'SALES Raw'!H516</f>
        <v>20 XL חבק יד מתכוון עם צמדן</v>
      </c>
      <c r="D4469" s="19" t="n">
        <f aca="false">'SALES Raw'!C516</f>
        <v>1</v>
      </c>
      <c r="E4469" s="19" t="n">
        <f aca="false">'SALES Raw'!D516</f>
        <v>30.04</v>
      </c>
      <c r="F4469" s="19" t="n">
        <f aca="false">'SALES Raw'!E516*$H$4</f>
        <v>0</v>
      </c>
      <c r="G4469" s="19" t="n">
        <f aca="false">'SALES Raw'!F516*$H$4</f>
        <v>0</v>
      </c>
      <c r="H4469" s="18" t="str">
        <f aca="false">'SALES Raw'!A516</f>
        <v>101 - Factory customers</v>
      </c>
    </row>
    <row r="4470" customFormat="false" ht="15" hidden="false" customHeight="false" outlineLevel="0" collapsed="false">
      <c r="A4470" s="18" t="n">
        <f aca="false">'SALES Raw'!G517</f>
        <v>4416003</v>
      </c>
      <c r="B4470" s="18" t="str">
        <f aca="false">'SALES Raw'!B517</f>
        <v>308 L</v>
      </c>
      <c r="C4470" s="18" t="str">
        <f aca="false">'SALES Raw'!H517</f>
        <v>308 Lעקבים סיליקון כחול לדורבן</v>
      </c>
      <c r="D4470" s="19" t="n">
        <f aca="false">'SALES Raw'!C517</f>
        <v>2</v>
      </c>
      <c r="E4470" s="19" t="n">
        <f aca="false">'SALES Raw'!D517</f>
        <v>105.84</v>
      </c>
      <c r="F4470" s="19" t="n">
        <f aca="false">'SALES Raw'!E517*$H$4</f>
        <v>0</v>
      </c>
      <c r="G4470" s="19" t="n">
        <f aca="false">'SALES Raw'!F517*$H$4</f>
        <v>0</v>
      </c>
      <c r="H4470" s="18" t="str">
        <f aca="false">'SALES Raw'!A517</f>
        <v>101 - Factory customers</v>
      </c>
    </row>
    <row r="4471" customFormat="false" ht="15" hidden="false" customHeight="false" outlineLevel="0" collapsed="false">
      <c r="A4471" s="18" t="n">
        <f aca="false">'SALES Raw'!G518</f>
        <v>4413043</v>
      </c>
      <c r="B4471" s="18" t="str">
        <f aca="false">'SALES Raw'!B518</f>
        <v>34 L</v>
      </c>
      <c r="C4471" s="18" t="str">
        <f aca="false">'SALES Raw'!H518</f>
        <v>34  L מגן קרסול עקב סגור</v>
      </c>
      <c r="D4471" s="19" t="n">
        <f aca="false">'SALES Raw'!C518</f>
        <v>1</v>
      </c>
      <c r="E4471" s="19" t="n">
        <f aca="false">'SALES Raw'!D518</f>
        <v>56.66</v>
      </c>
      <c r="F4471" s="19" t="n">
        <f aca="false">'SALES Raw'!E518*$H$4</f>
        <v>0</v>
      </c>
      <c r="G4471" s="19" t="n">
        <f aca="false">'SALES Raw'!F518*$H$4</f>
        <v>0</v>
      </c>
      <c r="H4471" s="18" t="str">
        <f aca="false">'SALES Raw'!A518</f>
        <v>101 - Factory customers</v>
      </c>
    </row>
    <row r="4472" customFormat="false" ht="15" hidden="false" customHeight="false" outlineLevel="0" collapsed="false">
      <c r="A4472" s="18" t="str">
        <f aca="false">'SALES Raw'!G520</f>
        <v/>
      </c>
      <c r="B4472" s="18" t="str">
        <f aca="false">'SALES Raw'!B520</f>
        <v>422EB XXXL</v>
      </c>
      <c r="C4472" s="18" t="str">
        <f aca="false">'SALES Raw'!H520</f>
        <v>422EB XXXL</v>
      </c>
      <c r="D4472" s="19" t="n">
        <f aca="false">'SALES Raw'!C520</f>
        <v>1</v>
      </c>
      <c r="E4472" s="19" t="n">
        <f aca="false">'SALES Raw'!D520</f>
        <v>183.85</v>
      </c>
      <c r="F4472" s="19" t="n">
        <f aca="false">'SALES Raw'!E520*$H$4</f>
        <v>0</v>
      </c>
      <c r="G4472" s="19" t="n">
        <f aca="false">'SALES Raw'!F520*$H$4</f>
        <v>0</v>
      </c>
      <c r="H4472" s="18" t="str">
        <f aca="false">'SALES Raw'!A520</f>
        <v>101 - Factory customers</v>
      </c>
    </row>
    <row r="4473" customFormat="false" ht="15" hidden="false" customHeight="false" outlineLevel="0" collapsed="false">
      <c r="A4473" s="18" t="n">
        <f aca="false">'SALES Raw'!G521</f>
        <v>4413108</v>
      </c>
      <c r="B4473" s="18" t="str">
        <f aca="false">'SALES Raw'!B521</f>
        <v>48 M</v>
      </c>
      <c r="C4473" s="18" t="str">
        <f aca="false">'SALES Raw'!H521</f>
        <v>48 M מגן ברך מחמם</v>
      </c>
      <c r="D4473" s="19" t="n">
        <f aca="false">'SALES Raw'!C521</f>
        <v>1</v>
      </c>
      <c r="E4473" s="19" t="n">
        <f aca="false">'SALES Raw'!D521</f>
        <v>52.89</v>
      </c>
      <c r="F4473" s="19" t="n">
        <f aca="false">'SALES Raw'!E521*$H$4</f>
        <v>0</v>
      </c>
      <c r="G4473" s="19" t="n">
        <f aca="false">'SALES Raw'!F521*$H$4</f>
        <v>0</v>
      </c>
      <c r="H4473" s="18" t="str">
        <f aca="false">'SALES Raw'!A521</f>
        <v>101 - Factory customers</v>
      </c>
    </row>
    <row r="4474" customFormat="false" ht="15" hidden="false" customHeight="false" outlineLevel="0" collapsed="false">
      <c r="A4474" s="18" t="str">
        <f aca="false">'SALES Raw'!G522</f>
        <v/>
      </c>
      <c r="B4474" s="18" t="str">
        <f aca="false">'SALES Raw'!B522</f>
        <v>49PS M</v>
      </c>
      <c r="C4474" s="18" t="str">
        <f aca="false">'SALES Raw'!H522</f>
        <v>49PS M</v>
      </c>
      <c r="D4474" s="19" t="n">
        <f aca="false">'SALES Raw'!C522</f>
        <v>1</v>
      </c>
      <c r="E4474" s="19" t="n">
        <f aca="false">'SALES Raw'!D522</f>
        <v>120.72</v>
      </c>
      <c r="F4474" s="19" t="n">
        <f aca="false">'SALES Raw'!E522*$H$4</f>
        <v>0</v>
      </c>
      <c r="G4474" s="19" t="n">
        <f aca="false">'SALES Raw'!F522*$H$4</f>
        <v>0</v>
      </c>
      <c r="H4474" s="18" t="str">
        <f aca="false">'SALES Raw'!A522</f>
        <v>101 - Factory customers</v>
      </c>
    </row>
    <row r="4475" customFormat="false" ht="15" hidden="false" customHeight="false" outlineLevel="0" collapsed="false">
      <c r="A4475" s="18" t="str">
        <f aca="false">'SALES Raw'!G525</f>
        <v/>
      </c>
      <c r="B4475" s="18" t="str">
        <f aca="false">'SALES Raw'!B525</f>
        <v>T45 XS</v>
      </c>
      <c r="C4475" s="18" t="str">
        <f aca="false">'SALES Raw'!H525</f>
        <v>T45 XS</v>
      </c>
      <c r="D4475" s="19" t="n">
        <f aca="false">'SALES Raw'!C525</f>
        <v>1</v>
      </c>
      <c r="E4475" s="19" t="n">
        <f aca="false">'SALES Raw'!D525</f>
        <v>140.56</v>
      </c>
      <c r="F4475" s="19" t="n">
        <f aca="false">'SALES Raw'!E525*$H$4</f>
        <v>0</v>
      </c>
      <c r="G4475" s="19" t="n">
        <f aca="false">'SALES Raw'!F525*$H$4</f>
        <v>0</v>
      </c>
      <c r="H4475" s="18" t="str">
        <f aca="false">'SALES Raw'!A525</f>
        <v>101 - Factory customers</v>
      </c>
    </row>
    <row r="4476" customFormat="false" ht="15" hidden="false" customHeight="false" outlineLevel="0" collapsed="false">
      <c r="A4476" s="18" t="str">
        <f aca="false">'SALES Raw'!G572</f>
        <v/>
      </c>
      <c r="B4476" s="18" t="str">
        <f aca="false">'SALES Raw'!B572</f>
        <v>776 XL</v>
      </c>
      <c r="C4476" s="18" t="str">
        <f aca="false">'SALES Raw'!H572</f>
        <v>776 XL</v>
      </c>
      <c r="D4476" s="19" t="n">
        <f aca="false">'SALES Raw'!C572</f>
        <v>9</v>
      </c>
      <c r="E4476" s="19" t="n">
        <f aca="false">'SALES Raw'!D572</f>
        <v>3063</v>
      </c>
      <c r="F4476" s="19" t="n">
        <f aca="false">'SALES Raw'!E572*$H$4</f>
        <v>0</v>
      </c>
      <c r="G4476" s="19" t="n">
        <f aca="false">'SALES Raw'!F572*$H$4</f>
        <v>0</v>
      </c>
      <c r="H4476" s="18" t="str">
        <f aca="false">'SALES Raw'!A572</f>
        <v>102 - Orthopedic institutes</v>
      </c>
    </row>
    <row r="4477" customFormat="false" ht="15" hidden="false" customHeight="false" outlineLevel="0" collapsed="false">
      <c r="A4477" s="18" t="str">
        <f aca="false">'SALES Raw'!G623</f>
        <v/>
      </c>
      <c r="B4477" s="18" t="str">
        <f aca="false">'SALES Raw'!B623</f>
        <v>322B L</v>
      </c>
      <c r="C4477" s="18" t="str">
        <f aca="false">'SALES Raw'!H623</f>
        <v>322B L</v>
      </c>
      <c r="D4477" s="19" t="n">
        <f aca="false">'SALES Raw'!C623</f>
        <v>1</v>
      </c>
      <c r="E4477" s="19" t="n">
        <f aca="false">'SALES Raw'!D623</f>
        <v>60</v>
      </c>
      <c r="F4477" s="19" t="n">
        <f aca="false">'SALES Raw'!E623*$H$4</f>
        <v>0</v>
      </c>
      <c r="G4477" s="19" t="n">
        <f aca="false">'SALES Raw'!F623*$H$4</f>
        <v>0</v>
      </c>
      <c r="H4477" s="18" t="str">
        <f aca="false">'SALES Raw'!A623</f>
        <v>102 - Orthopedic institutes</v>
      </c>
    </row>
    <row r="4478" customFormat="false" ht="15" hidden="false" customHeight="false" outlineLevel="0" collapsed="false">
      <c r="A4478" s="18" t="str">
        <f aca="false">'SALES Raw'!G625</f>
        <v/>
      </c>
      <c r="B4478" s="18" t="str">
        <f aca="false">'SALES Raw'!B625</f>
        <v>332B M</v>
      </c>
      <c r="C4478" s="18" t="str">
        <f aca="false">'SALES Raw'!H625</f>
        <v>332B M</v>
      </c>
      <c r="D4478" s="19" t="n">
        <f aca="false">'SALES Raw'!C625</f>
        <v>3</v>
      </c>
      <c r="E4478" s="19" t="n">
        <f aca="false">'SALES Raw'!D625</f>
        <v>230.01</v>
      </c>
      <c r="F4478" s="19" t="n">
        <f aca="false">'SALES Raw'!E625*$H$4</f>
        <v>0</v>
      </c>
      <c r="G4478" s="19" t="n">
        <f aca="false">'SALES Raw'!F625*$H$4</f>
        <v>0</v>
      </c>
      <c r="H4478" s="18" t="str">
        <f aca="false">'SALES Raw'!A625</f>
        <v>102 - Orthopedic institutes</v>
      </c>
    </row>
    <row r="4479" customFormat="false" ht="15" hidden="false" customHeight="false" outlineLevel="0" collapsed="false">
      <c r="A4479" s="18" t="str">
        <f aca="false">'SALES Raw'!G634</f>
        <v/>
      </c>
      <c r="B4479" s="18" t="str">
        <f aca="false">'SALES Raw'!B634</f>
        <v>394G-35-38</v>
      </c>
      <c r="C4479" s="18" t="str">
        <f aca="false">'SALES Raw'!H634</f>
        <v>394G-35-38</v>
      </c>
      <c r="D4479" s="19" t="n">
        <f aca="false">'SALES Raw'!C634</f>
        <v>17</v>
      </c>
      <c r="E4479" s="19" t="n">
        <f aca="false">'SALES Raw'!D634</f>
        <v>424.94</v>
      </c>
      <c r="F4479" s="19" t="n">
        <f aca="false">'SALES Raw'!E634*$H$4</f>
        <v>0</v>
      </c>
      <c r="G4479" s="19" t="n">
        <f aca="false">'SALES Raw'!F634*$H$4</f>
        <v>0</v>
      </c>
      <c r="H4479" s="18" t="str">
        <f aca="false">'SALES Raw'!A634</f>
        <v>102 - Orthopedic institutes</v>
      </c>
    </row>
    <row r="4480" customFormat="false" ht="15" hidden="false" customHeight="false" outlineLevel="0" collapsed="false">
      <c r="A4480" s="18" t="str">
        <f aca="false">'SALES Raw'!G635</f>
        <v/>
      </c>
      <c r="B4480" s="18" t="str">
        <f aca="false">'SALES Raw'!B635</f>
        <v>394G-39-42</v>
      </c>
      <c r="C4480" s="18" t="str">
        <f aca="false">'SALES Raw'!H635</f>
        <v>394G-39-42</v>
      </c>
      <c r="D4480" s="19" t="n">
        <f aca="false">'SALES Raw'!C635</f>
        <v>52</v>
      </c>
      <c r="E4480" s="19" t="n">
        <f aca="false">'SALES Raw'!D635</f>
        <v>1299.82</v>
      </c>
      <c r="F4480" s="19" t="n">
        <f aca="false">'SALES Raw'!E635*$H$4</f>
        <v>0</v>
      </c>
      <c r="G4480" s="19" t="n">
        <f aca="false">'SALES Raw'!F635*$H$4</f>
        <v>0</v>
      </c>
      <c r="H4480" s="18" t="str">
        <f aca="false">'SALES Raw'!A635</f>
        <v>102 - Orthopedic institutes</v>
      </c>
    </row>
    <row r="4481" customFormat="false" ht="15" hidden="false" customHeight="false" outlineLevel="0" collapsed="false">
      <c r="A4481" s="18" t="str">
        <f aca="false">'SALES Raw'!G640</f>
        <v/>
      </c>
      <c r="B4481" s="18" t="str">
        <f aca="false">'SALES Raw'!B640</f>
        <v>397-35-38</v>
      </c>
      <c r="C4481" s="18" t="str">
        <f aca="false">'SALES Raw'!H640</f>
        <v>397-35-38</v>
      </c>
      <c r="D4481" s="19" t="n">
        <f aca="false">'SALES Raw'!C640</f>
        <v>30</v>
      </c>
      <c r="E4481" s="19" t="n">
        <f aca="false">'SALES Raw'!D640</f>
        <v>1832.56</v>
      </c>
      <c r="F4481" s="19" t="n">
        <f aca="false">'SALES Raw'!E640*$H$4</f>
        <v>0</v>
      </c>
      <c r="G4481" s="19" t="n">
        <f aca="false">'SALES Raw'!F640*$H$4</f>
        <v>0</v>
      </c>
      <c r="H4481" s="18" t="str">
        <f aca="false">'SALES Raw'!A640</f>
        <v>102 - Orthopedic institutes</v>
      </c>
    </row>
    <row r="4482" customFormat="false" ht="15" hidden="false" customHeight="false" outlineLevel="0" collapsed="false">
      <c r="A4482" s="18" t="n">
        <f aca="false">'SALES Raw'!G641</f>
        <v>4403029</v>
      </c>
      <c r="B4482" s="18" t="str">
        <f aca="false">'SALES Raw'!B641</f>
        <v>397-39-42</v>
      </c>
      <c r="C4482" s="18" t="str">
        <f aca="false">'SALES Raw'!H641</f>
        <v>397 39-42 גרבי טיסה מידה</v>
      </c>
      <c r="D4482" s="19" t="n">
        <f aca="false">'SALES Raw'!C641</f>
        <v>60</v>
      </c>
      <c r="E4482" s="19" t="n">
        <f aca="false">'SALES Raw'!D641</f>
        <v>3699.96</v>
      </c>
      <c r="F4482" s="19" t="n">
        <f aca="false">'SALES Raw'!E641*$H$4</f>
        <v>0</v>
      </c>
      <c r="G4482" s="19" t="n">
        <f aca="false">'SALES Raw'!F641*$H$4</f>
        <v>0</v>
      </c>
      <c r="H4482" s="18" t="str">
        <f aca="false">'SALES Raw'!A641</f>
        <v>102 - Orthopedic institutes</v>
      </c>
    </row>
    <row r="4483" customFormat="false" ht="15" hidden="false" customHeight="false" outlineLevel="0" collapsed="false">
      <c r="A4483" s="18" t="str">
        <f aca="false">'SALES Raw'!G657</f>
        <v/>
      </c>
      <c r="B4483" s="18" t="str">
        <f aca="false">'SALES Raw'!B657</f>
        <v>776 M</v>
      </c>
      <c r="C4483" s="18" t="str">
        <f aca="false">'SALES Raw'!H657</f>
        <v>776 M</v>
      </c>
      <c r="D4483" s="19" t="n">
        <f aca="false">'SALES Raw'!C657</f>
        <v>6</v>
      </c>
      <c r="E4483" s="19" t="n">
        <f aca="false">'SALES Raw'!D657</f>
        <v>2042.04</v>
      </c>
      <c r="F4483" s="19" t="n">
        <f aca="false">'SALES Raw'!E657*$H$4</f>
        <v>0</v>
      </c>
      <c r="G4483" s="19" t="n">
        <f aca="false">'SALES Raw'!F657*$H$4</f>
        <v>0</v>
      </c>
      <c r="H4483" s="18" t="str">
        <f aca="false">'SALES Raw'!A657</f>
        <v>102 - Orthopedic institutes</v>
      </c>
    </row>
    <row r="4484" customFormat="false" ht="15" hidden="false" customHeight="false" outlineLevel="0" collapsed="false">
      <c r="A4484" s="18" t="str">
        <f aca="false">'SALES Raw'!G658</f>
        <v/>
      </c>
      <c r="B4484" s="18" t="str">
        <f aca="false">'SALES Raw'!B658</f>
        <v>776 S</v>
      </c>
      <c r="C4484" s="18" t="str">
        <f aca="false">'SALES Raw'!H658</f>
        <v>776 S</v>
      </c>
      <c r="D4484" s="19" t="n">
        <f aca="false">'SALES Raw'!C658</f>
        <v>4</v>
      </c>
      <c r="E4484" s="19" t="n">
        <f aca="false">'SALES Raw'!D658</f>
        <v>1371</v>
      </c>
      <c r="F4484" s="19" t="n">
        <f aca="false">'SALES Raw'!E658*$H$4</f>
        <v>0</v>
      </c>
      <c r="G4484" s="19" t="n">
        <f aca="false">'SALES Raw'!F658*$H$4</f>
        <v>0</v>
      </c>
      <c r="H4484" s="18" t="str">
        <f aca="false">'SALES Raw'!A658</f>
        <v>102 - Orthopedic institutes</v>
      </c>
    </row>
    <row r="4485" customFormat="false" ht="15" hidden="false" customHeight="false" outlineLevel="0" collapsed="false">
      <c r="A4485" s="18" t="str">
        <f aca="false">'SALES Raw'!G659</f>
        <v/>
      </c>
      <c r="B4485" s="18" t="str">
        <f aca="false">'SALES Raw'!B659</f>
        <v>776 XXL</v>
      </c>
      <c r="C4485" s="18" t="str">
        <f aca="false">'SALES Raw'!H659</f>
        <v>776 XXL</v>
      </c>
      <c r="D4485" s="19" t="n">
        <f aca="false">'SALES Raw'!C659</f>
        <v>3</v>
      </c>
      <c r="E4485" s="19" t="n">
        <f aca="false">'SALES Raw'!D659</f>
        <v>934.03</v>
      </c>
      <c r="F4485" s="19" t="n">
        <f aca="false">'SALES Raw'!E659*$H$4</f>
        <v>0</v>
      </c>
      <c r="G4485" s="19" t="n">
        <f aca="false">'SALES Raw'!F659*$H$4</f>
        <v>0</v>
      </c>
      <c r="H4485" s="18" t="str">
        <f aca="false">'SALES Raw'!A659</f>
        <v>102 - Orthopedic institutes</v>
      </c>
    </row>
    <row r="4486" customFormat="false" ht="15" hidden="false" customHeight="false" outlineLevel="0" collapsed="false">
      <c r="A4486" s="18" t="str">
        <f aca="false">'SALES Raw'!G660</f>
        <v/>
      </c>
      <c r="B4486" s="18" t="str">
        <f aca="false">'SALES Raw'!B660</f>
        <v>78A L</v>
      </c>
      <c r="C4486" s="18" t="str">
        <f aca="false">'SALES Raw'!H660</f>
        <v>78A L</v>
      </c>
      <c r="D4486" s="19" t="n">
        <f aca="false">'SALES Raw'!C660</f>
        <v>4</v>
      </c>
      <c r="E4486" s="19" t="n">
        <f aca="false">'SALES Raw'!D660</f>
        <v>309.59</v>
      </c>
      <c r="F4486" s="19" t="n">
        <f aca="false">'SALES Raw'!E660*$H$4</f>
        <v>0</v>
      </c>
      <c r="G4486" s="19" t="n">
        <f aca="false">'SALES Raw'!F660*$H$4</f>
        <v>0</v>
      </c>
      <c r="H4486" s="18" t="str">
        <f aca="false">'SALES Raw'!A660</f>
        <v>102 - Orthopedic institutes</v>
      </c>
    </row>
    <row r="4487" customFormat="false" ht="15" hidden="false" customHeight="false" outlineLevel="0" collapsed="false">
      <c r="A4487" s="18" t="str">
        <f aca="false">'SALES Raw'!G661</f>
        <v/>
      </c>
      <c r="B4487" s="18" t="str">
        <f aca="false">'SALES Raw'!B661</f>
        <v>78A M</v>
      </c>
      <c r="C4487" s="18" t="str">
        <f aca="false">'SALES Raw'!H661</f>
        <v>78A M</v>
      </c>
      <c r="D4487" s="19" t="n">
        <f aca="false">'SALES Raw'!C661</f>
        <v>6</v>
      </c>
      <c r="E4487" s="19" t="n">
        <f aca="false">'SALES Raw'!D661</f>
        <v>499.59</v>
      </c>
      <c r="F4487" s="19" t="n">
        <f aca="false">'SALES Raw'!E661*$H$4</f>
        <v>0</v>
      </c>
      <c r="G4487" s="19" t="n">
        <f aca="false">'SALES Raw'!F661*$H$4</f>
        <v>0</v>
      </c>
      <c r="H4487" s="18" t="str">
        <f aca="false">'SALES Raw'!A661</f>
        <v>102 - Orthopedic institutes</v>
      </c>
    </row>
    <row r="4488" customFormat="false" ht="15" hidden="false" customHeight="false" outlineLevel="0" collapsed="false">
      <c r="A4488" s="18" t="str">
        <f aca="false">'SALES Raw'!G686</f>
        <v/>
      </c>
      <c r="B4488" s="18" t="str">
        <f aca="false">'SALES Raw'!B686</f>
        <v>079 XL</v>
      </c>
      <c r="C4488" s="18" t="str">
        <f aca="false">'SALES Raw'!H686</f>
        <v>079 XL</v>
      </c>
      <c r="D4488" s="19" t="n">
        <f aca="false">'SALES Raw'!C686</f>
        <v>-1</v>
      </c>
      <c r="E4488" s="19" t="n">
        <f aca="false">'SALES Raw'!D686</f>
        <v>-108.68</v>
      </c>
      <c r="F4488" s="19" t="n">
        <f aca="false">'SALES Raw'!E686*$H$4</f>
        <v>0</v>
      </c>
      <c r="G4488" s="19" t="n">
        <f aca="false">'SALES Raw'!F686*$H$4</f>
        <v>0</v>
      </c>
      <c r="H4488" s="18" t="str">
        <f aca="false">'SALES Raw'!A686</f>
        <v>102 - Orthopedic institutes</v>
      </c>
    </row>
    <row r="4489" customFormat="false" ht="15" hidden="false" customHeight="false" outlineLevel="0" collapsed="false">
      <c r="A4489" s="18" t="str">
        <f aca="false">'SALES Raw'!G698</f>
        <v/>
      </c>
      <c r="B4489" s="18" t="str">
        <f aca="false">'SALES Raw'!B698</f>
        <v>305GA-35-36</v>
      </c>
      <c r="C4489" s="18" t="str">
        <f aca="false">'SALES Raw'!H698</f>
        <v>305GA-35-36</v>
      </c>
      <c r="D4489" s="19" t="n">
        <f aca="false">'SALES Raw'!C698</f>
        <v>1</v>
      </c>
      <c r="E4489" s="19" t="n">
        <f aca="false">'SALES Raw'!D698</f>
        <v>72</v>
      </c>
      <c r="F4489" s="19" t="n">
        <f aca="false">'SALES Raw'!E698*$H$4</f>
        <v>0</v>
      </c>
      <c r="G4489" s="19" t="n">
        <f aca="false">'SALES Raw'!F698*$H$4</f>
        <v>0</v>
      </c>
      <c r="H4489" s="18" t="str">
        <f aca="false">'SALES Raw'!A698</f>
        <v>102 - Orthopedic institutes</v>
      </c>
    </row>
    <row r="4490" customFormat="false" ht="15" hidden="false" customHeight="false" outlineLevel="0" collapsed="false">
      <c r="A4490" s="18" t="str">
        <f aca="false">'SALES Raw'!G715</f>
        <v/>
      </c>
      <c r="B4490" s="18" t="str">
        <f aca="false">'SALES Raw'!B715</f>
        <v>397-43-46</v>
      </c>
      <c r="C4490" s="18" t="str">
        <f aca="false">'SALES Raw'!H715</f>
        <v>397-43-46</v>
      </c>
      <c r="D4490" s="19" t="n">
        <f aca="false">'SALES Raw'!C715</f>
        <v>73</v>
      </c>
      <c r="E4490" s="19" t="n">
        <f aca="false">'SALES Raw'!D715</f>
        <v>4367.6</v>
      </c>
      <c r="F4490" s="19" t="n">
        <f aca="false">'SALES Raw'!E715*$H$4</f>
        <v>0</v>
      </c>
      <c r="G4490" s="19" t="n">
        <f aca="false">'SALES Raw'!F715*$H$4</f>
        <v>0</v>
      </c>
      <c r="H4490" s="18" t="str">
        <f aca="false">'SALES Raw'!A715</f>
        <v>102 - Orthopedic institutes</v>
      </c>
    </row>
    <row r="4491" customFormat="false" ht="15" hidden="false" customHeight="false" outlineLevel="0" collapsed="false">
      <c r="A4491" s="18" t="str">
        <f aca="false">'SALES Raw'!G745</f>
        <v/>
      </c>
      <c r="B4491" s="18" t="str">
        <f aca="false">'SALES Raw'!B745</f>
        <v>T402 M</v>
      </c>
      <c r="C4491" s="18" t="str">
        <f aca="false">'SALES Raw'!H745</f>
        <v>T402 M</v>
      </c>
      <c r="D4491" s="19" t="n">
        <f aca="false">'SALES Raw'!C745</f>
        <v>4</v>
      </c>
      <c r="E4491" s="19" t="n">
        <f aca="false">'SALES Raw'!D745</f>
        <v>365.66</v>
      </c>
      <c r="F4491" s="19" t="n">
        <f aca="false">'SALES Raw'!E745*$H$4</f>
        <v>0</v>
      </c>
      <c r="G4491" s="19" t="n">
        <f aca="false">'SALES Raw'!F745*$H$4</f>
        <v>-7.9705263157895</v>
      </c>
      <c r="H4491" s="18" t="str">
        <f aca="false">'SALES Raw'!A745</f>
        <v>102 - Orthopedic institutes</v>
      </c>
    </row>
    <row r="4492" customFormat="false" ht="15" hidden="false" customHeight="false" outlineLevel="0" collapsed="false">
      <c r="A4492" s="18" t="str">
        <f aca="false">'SALES Raw'!G750</f>
        <v/>
      </c>
      <c r="B4492" s="18" t="str">
        <f aca="false">'SALES Raw'!B750</f>
        <v>11UG S</v>
      </c>
      <c r="C4492" s="18" t="str">
        <f aca="false">'SALES Raw'!H750</f>
        <v>11UG S</v>
      </c>
      <c r="D4492" s="19" t="n">
        <f aca="false">'SALES Raw'!C750</f>
        <v>2</v>
      </c>
      <c r="E4492" s="19" t="n">
        <f aca="false">'SALES Raw'!D750</f>
        <v>206.16</v>
      </c>
      <c r="F4492" s="19" t="n">
        <f aca="false">'SALES Raw'!E750*$H$4</f>
        <v>0</v>
      </c>
      <c r="G4492" s="19" t="n">
        <f aca="false">'SALES Raw'!F750*$H$4</f>
        <v>0</v>
      </c>
      <c r="H4492" s="18" t="str">
        <f aca="false">'SALES Raw'!A750</f>
        <v>102 - Orthopedic institutes</v>
      </c>
    </row>
    <row r="4493" customFormat="false" ht="15" hidden="false" customHeight="false" outlineLevel="0" collapsed="false">
      <c r="A4493" s="18" t="str">
        <f aca="false">'SALES Raw'!G751</f>
        <v/>
      </c>
      <c r="B4493" s="18" t="str">
        <f aca="false">'SALES Raw'!B751</f>
        <v>11UG XL</v>
      </c>
      <c r="C4493" s="18" t="str">
        <f aca="false">'SALES Raw'!H751</f>
        <v>11UG XL</v>
      </c>
      <c r="D4493" s="19" t="n">
        <f aca="false">'SALES Raw'!C751</f>
        <v>2</v>
      </c>
      <c r="E4493" s="19" t="n">
        <f aca="false">'SALES Raw'!D751</f>
        <v>206.14</v>
      </c>
      <c r="F4493" s="19" t="n">
        <f aca="false">'SALES Raw'!E751*$H$4</f>
        <v>0</v>
      </c>
      <c r="G4493" s="19" t="n">
        <f aca="false">'SALES Raw'!F751*$H$4</f>
        <v>0</v>
      </c>
      <c r="H4493" s="18" t="str">
        <f aca="false">'SALES Raw'!A751</f>
        <v>102 - Orthopedic institutes</v>
      </c>
    </row>
    <row r="4494" customFormat="false" ht="15" hidden="false" customHeight="false" outlineLevel="0" collapsed="false">
      <c r="A4494" s="18" t="n">
        <f aca="false">'SALES Raw'!G756</f>
        <v>4409012</v>
      </c>
      <c r="B4494" s="18" t="str">
        <f aca="false">'SALES Raw'!B756</f>
        <v>804AT-C</v>
      </c>
      <c r="C4494" s="18" t="str">
        <f aca="false">'SALES Raw'!H756</f>
        <v>804AT-C      טייפ חבישה לספורט</v>
      </c>
      <c r="D4494" s="19" t="n">
        <f aca="false">'SALES Raw'!C756</f>
        <v>1</v>
      </c>
      <c r="E4494" s="19" t="n">
        <f aca="false">'SALES Raw'!D756</f>
        <v>17.29</v>
      </c>
      <c r="F4494" s="19" t="n">
        <f aca="false">'SALES Raw'!E756*$H$4</f>
        <v>0</v>
      </c>
      <c r="G4494" s="19" t="n">
        <f aca="false">'SALES Raw'!F756*$H$4</f>
        <v>0</v>
      </c>
      <c r="H4494" s="18" t="str">
        <f aca="false">'SALES Raw'!A756</f>
        <v>102 - Orthopedic institutes</v>
      </c>
    </row>
    <row r="4495" customFormat="false" ht="15" hidden="false" customHeight="false" outlineLevel="0" collapsed="false">
      <c r="A4495" s="18" t="n">
        <f aca="false">'SALES Raw'!G757</f>
        <v>4401011</v>
      </c>
      <c r="B4495" s="18" t="str">
        <f aca="false">'SALES Raw'!B757</f>
        <v>805AT-C</v>
      </c>
      <c r="C4495" s="18" t="str">
        <f aca="false">'SALES Raw'!H757</f>
        <v>805AT-Cאתלטיק טייפ בז' 20מ""""מ20</v>
      </c>
      <c r="D4495" s="19" t="n">
        <f aca="false">'SALES Raw'!C757</f>
        <v>3</v>
      </c>
      <c r="E4495" s="19" t="n">
        <f aca="false">'SALES Raw'!D757</f>
        <v>51.88</v>
      </c>
      <c r="F4495" s="19" t="n">
        <f aca="false">'SALES Raw'!E757*$H$4</f>
        <v>0</v>
      </c>
      <c r="G4495" s="19" t="n">
        <f aca="false">'SALES Raw'!F757*$H$4</f>
        <v>0</v>
      </c>
      <c r="H4495" s="18" t="str">
        <f aca="false">'SALES Raw'!A757</f>
        <v>102 - Orthopedic institutes</v>
      </c>
    </row>
    <row r="4496" customFormat="false" ht="15" hidden="false" customHeight="false" outlineLevel="0" collapsed="false">
      <c r="A4496" s="18" t="n">
        <f aca="false">'SALES Raw'!G758</f>
        <v>4408245</v>
      </c>
      <c r="B4496" s="18" t="str">
        <f aca="false">'SALES Raw'!B758</f>
        <v>077A XXL</v>
      </c>
      <c r="C4496" s="18" t="str">
        <f aca="false">'SALES Raw'!H758</f>
        <v>077A   XXL חגורת גב עם חיזוקים</v>
      </c>
      <c r="D4496" s="19" t="n">
        <f aca="false">'SALES Raw'!C758</f>
        <v>2</v>
      </c>
      <c r="E4496" s="19" t="n">
        <f aca="false">'SALES Raw'!D758</f>
        <v>184</v>
      </c>
      <c r="F4496" s="19" t="n">
        <f aca="false">'SALES Raw'!E758*$H$4</f>
        <v>0</v>
      </c>
      <c r="G4496" s="19" t="n">
        <f aca="false">'SALES Raw'!F758*$H$4</f>
        <v>0</v>
      </c>
      <c r="H4496" s="18" t="str">
        <f aca="false">'SALES Raw'!A758</f>
        <v>102 - Orthopedic institutes</v>
      </c>
    </row>
    <row r="4497" customFormat="false" ht="15" hidden="false" customHeight="false" outlineLevel="0" collapsed="false">
      <c r="A4497" s="18" t="n">
        <f aca="false">'SALES Raw'!G763</f>
        <v>4408147</v>
      </c>
      <c r="B4497" s="18" t="str">
        <f aca="false">'SALES Raw'!B763</f>
        <v>11PS L</v>
      </c>
      <c r="C4497" s="18" t="str">
        <f aca="false">'SALES Raw'!H763</f>
        <v>11PS Lחגורה למנותחי בטן</v>
      </c>
      <c r="D4497" s="19" t="n">
        <f aca="false">'SALES Raw'!C763</f>
        <v>1</v>
      </c>
      <c r="E4497" s="19" t="n">
        <f aca="false">'SALES Raw'!D763</f>
        <v>135.9</v>
      </c>
      <c r="F4497" s="19" t="n">
        <f aca="false">'SALES Raw'!E763*$H$4</f>
        <v>0</v>
      </c>
      <c r="G4497" s="19" t="n">
        <f aca="false">'SALES Raw'!F763*$H$4</f>
        <v>0</v>
      </c>
      <c r="H4497" s="18" t="str">
        <f aca="false">'SALES Raw'!A763</f>
        <v>102 - Orthopedic institutes</v>
      </c>
    </row>
    <row r="4498" customFormat="false" ht="15" hidden="false" customHeight="false" outlineLevel="0" collapsed="false">
      <c r="A4498" s="18" t="n">
        <f aca="false">'SALES Raw'!G764</f>
        <v>4408149</v>
      </c>
      <c r="B4498" s="18" t="str">
        <f aca="false">'SALES Raw'!B764</f>
        <v>11PS XXL</v>
      </c>
      <c r="C4498" s="18" t="str">
        <f aca="false">'SALES Raw'!H764</f>
        <v>11PS XXLחגורה למנותחי בטן</v>
      </c>
      <c r="D4498" s="19" t="n">
        <f aca="false">'SALES Raw'!C764</f>
        <v>5</v>
      </c>
      <c r="E4498" s="19" t="n">
        <f aca="false">'SALES Raw'!D764</f>
        <v>671.12</v>
      </c>
      <c r="F4498" s="19" t="n">
        <f aca="false">'SALES Raw'!E764*$H$4</f>
        <v>0</v>
      </c>
      <c r="G4498" s="19" t="n">
        <f aca="false">'SALES Raw'!F764*$H$4</f>
        <v>0</v>
      </c>
      <c r="H4498" s="18" t="str">
        <f aca="false">'SALES Raw'!A764</f>
        <v>102 - Orthopedic institutes</v>
      </c>
    </row>
    <row r="4499" customFormat="false" ht="15" hidden="false" customHeight="false" outlineLevel="0" collapsed="false">
      <c r="A4499" s="18" t="n">
        <f aca="false">'SALES Raw'!G765</f>
        <v>4408131</v>
      </c>
      <c r="B4499" s="18" t="str">
        <f aca="false">'SALES Raw'!B765</f>
        <v>15W L</v>
      </c>
      <c r="C4499" s="18" t="str">
        <f aca="false">'SALES Raw'!H765</f>
        <v>15W L חגורת צלעות לאשה</v>
      </c>
      <c r="D4499" s="19" t="n">
        <f aca="false">'SALES Raw'!C765</f>
        <v>1</v>
      </c>
      <c r="E4499" s="19" t="n">
        <f aca="false">'SALES Raw'!D765</f>
        <v>140.57</v>
      </c>
      <c r="F4499" s="19" t="n">
        <f aca="false">'SALES Raw'!E765*$H$4</f>
        <v>0</v>
      </c>
      <c r="G4499" s="19" t="n">
        <f aca="false">'SALES Raw'!F765*$H$4</f>
        <v>0</v>
      </c>
      <c r="H4499" s="18" t="str">
        <f aca="false">'SALES Raw'!A765</f>
        <v>102 - Orthopedic institutes</v>
      </c>
    </row>
    <row r="4500" customFormat="false" ht="15" hidden="false" customHeight="false" outlineLevel="0" collapsed="false">
      <c r="A4500" s="18" t="str">
        <f aca="false">'SALES Raw'!G766</f>
        <v/>
      </c>
      <c r="B4500" s="18" t="str">
        <f aca="false">'SALES Raw'!B766</f>
        <v>15W XL</v>
      </c>
      <c r="C4500" s="18" t="str">
        <f aca="false">'SALES Raw'!H766</f>
        <v>15W XL</v>
      </c>
      <c r="D4500" s="19" t="n">
        <f aca="false">'SALES Raw'!C766</f>
        <v>2</v>
      </c>
      <c r="E4500" s="19" t="n">
        <f aca="false">'SALES Raw'!D766</f>
        <v>225.57</v>
      </c>
      <c r="F4500" s="19" t="n">
        <f aca="false">'SALES Raw'!E766*$H$4</f>
        <v>0</v>
      </c>
      <c r="G4500" s="19" t="n">
        <f aca="false">'SALES Raw'!F766*$H$4</f>
        <v>0</v>
      </c>
      <c r="H4500" s="18" t="str">
        <f aca="false">'SALES Raw'!A766</f>
        <v>102 - Orthopedic institutes</v>
      </c>
    </row>
    <row r="4501" customFormat="false" ht="15" hidden="false" customHeight="false" outlineLevel="0" collapsed="false">
      <c r="A4501" s="18" t="n">
        <f aca="false">'SALES Raw'!G777</f>
        <v>4415019</v>
      </c>
      <c r="B4501" s="18" t="str">
        <f aca="false">'SALES Raw'!B777</f>
        <v>333 0</v>
      </c>
      <c r="C4501" s="18" t="str">
        <f aca="false">'SALES Raw'!H777</f>
        <v>333 סד לקרסול עם כריות אויר</v>
      </c>
      <c r="D4501" s="19" t="n">
        <f aca="false">'SALES Raw'!C777</f>
        <v>9</v>
      </c>
      <c r="E4501" s="19" t="n">
        <f aca="false">'SALES Raw'!D777</f>
        <v>905.94</v>
      </c>
      <c r="F4501" s="19" t="n">
        <f aca="false">'SALES Raw'!E777*$H$4</f>
        <v>0</v>
      </c>
      <c r="G4501" s="19" t="n">
        <f aca="false">'SALES Raw'!F777*$H$4</f>
        <v>0</v>
      </c>
      <c r="H4501" s="18" t="str">
        <f aca="false">'SALES Raw'!A777</f>
        <v>102 - Orthopedic institutes</v>
      </c>
    </row>
    <row r="4502" customFormat="false" ht="15" hidden="false" customHeight="false" outlineLevel="0" collapsed="false">
      <c r="A4502" s="18" t="str">
        <f aca="false">'SALES Raw'!G780</f>
        <v/>
      </c>
      <c r="B4502" s="18" t="str">
        <f aca="false">'SALES Raw'!B780</f>
        <v>422E XL</v>
      </c>
      <c r="C4502" s="18" t="str">
        <f aca="false">'SALES Raw'!H780</f>
        <v>422E XL</v>
      </c>
      <c r="D4502" s="19" t="n">
        <f aca="false">'SALES Raw'!C780</f>
        <v>4</v>
      </c>
      <c r="E4502" s="19" t="n">
        <f aca="false">'SALES Raw'!D780</f>
        <v>662.76</v>
      </c>
      <c r="F4502" s="19" t="n">
        <f aca="false">'SALES Raw'!E780*$H$4</f>
        <v>0</v>
      </c>
      <c r="G4502" s="19" t="n">
        <f aca="false">'SALES Raw'!F780*$H$4</f>
        <v>0</v>
      </c>
      <c r="H4502" s="18" t="str">
        <f aca="false">'SALES Raw'!A780</f>
        <v>102 - Orthopedic institutes</v>
      </c>
    </row>
    <row r="4503" customFormat="false" ht="15" hidden="false" customHeight="false" outlineLevel="0" collapsed="false">
      <c r="A4503" s="18" t="str">
        <f aca="false">'SALES Raw'!G785</f>
        <v/>
      </c>
      <c r="B4503" s="18" t="str">
        <f aca="false">'SALES Raw'!B785</f>
        <v>422ED L</v>
      </c>
      <c r="C4503" s="18" t="str">
        <f aca="false">'SALES Raw'!H785</f>
        <v>422ED L</v>
      </c>
      <c r="D4503" s="19" t="n">
        <f aca="false">'SALES Raw'!C785</f>
        <v>1</v>
      </c>
      <c r="E4503" s="19" t="n">
        <f aca="false">'SALES Raw'!D785</f>
        <v>330.88</v>
      </c>
      <c r="F4503" s="19" t="n">
        <f aca="false">'SALES Raw'!E785*$H$4</f>
        <v>0</v>
      </c>
      <c r="G4503" s="19" t="n">
        <f aca="false">'SALES Raw'!F785*$H$4</f>
        <v>0</v>
      </c>
      <c r="H4503" s="18" t="str">
        <f aca="false">'SALES Raw'!A785</f>
        <v>102 - Orthopedic institutes</v>
      </c>
    </row>
    <row r="4504" customFormat="false" ht="15" hidden="false" customHeight="false" outlineLevel="0" collapsed="false">
      <c r="A4504" s="18" t="str">
        <f aca="false">'SALES Raw'!G787</f>
        <v/>
      </c>
      <c r="B4504" s="18" t="str">
        <f aca="false">'SALES Raw'!B787</f>
        <v>422EBU L</v>
      </c>
      <c r="C4504" s="18" t="str">
        <f aca="false">'SALES Raw'!H787</f>
        <v>422EBU L</v>
      </c>
      <c r="D4504" s="19" t="n">
        <f aca="false">'SALES Raw'!C787</f>
        <v>3</v>
      </c>
      <c r="E4504" s="19" t="n">
        <f aca="false">'SALES Raw'!D787</f>
        <v>285</v>
      </c>
      <c r="F4504" s="19" t="n">
        <f aca="false">'SALES Raw'!E787*$H$4</f>
        <v>0</v>
      </c>
      <c r="G4504" s="19" t="n">
        <f aca="false">'SALES Raw'!F787*$H$4</f>
        <v>0</v>
      </c>
      <c r="H4504" s="18" t="str">
        <f aca="false">'SALES Raw'!A787</f>
        <v>102 - Orthopedic institutes</v>
      </c>
    </row>
    <row r="4505" customFormat="false" ht="15" hidden="false" customHeight="false" outlineLevel="0" collapsed="false">
      <c r="A4505" s="18" t="str">
        <f aca="false">'SALES Raw'!G788</f>
        <v/>
      </c>
      <c r="B4505" s="18" t="str">
        <f aca="false">'SALES Raw'!B788</f>
        <v>422EBU M</v>
      </c>
      <c r="C4505" s="18" t="str">
        <f aca="false">'SALES Raw'!H788</f>
        <v>422EBU M</v>
      </c>
      <c r="D4505" s="19" t="n">
        <f aca="false">'SALES Raw'!C788</f>
        <v>3</v>
      </c>
      <c r="E4505" s="19" t="n">
        <f aca="false">'SALES Raw'!D788</f>
        <v>285</v>
      </c>
      <c r="F4505" s="19" t="n">
        <f aca="false">'SALES Raw'!E788*$H$4</f>
        <v>0</v>
      </c>
      <c r="G4505" s="19" t="n">
        <f aca="false">'SALES Raw'!F788*$H$4</f>
        <v>0</v>
      </c>
      <c r="H4505" s="18" t="str">
        <f aca="false">'SALES Raw'!A788</f>
        <v>102 - Orthopedic institutes</v>
      </c>
    </row>
    <row r="4506" customFormat="false" ht="15" hidden="false" customHeight="false" outlineLevel="0" collapsed="false">
      <c r="A4506" s="18" t="str">
        <f aca="false">'SALES Raw'!G789</f>
        <v/>
      </c>
      <c r="B4506" s="18" t="str">
        <f aca="false">'SALES Raw'!B789</f>
        <v>422EBU XXL</v>
      </c>
      <c r="C4506" s="18" t="str">
        <f aca="false">'SALES Raw'!H789</f>
        <v>422EBU XXL</v>
      </c>
      <c r="D4506" s="19" t="n">
        <f aca="false">'SALES Raw'!C789</f>
        <v>2</v>
      </c>
      <c r="E4506" s="19" t="n">
        <f aca="false">'SALES Raw'!D789</f>
        <v>190</v>
      </c>
      <c r="F4506" s="19" t="n">
        <f aca="false">'SALES Raw'!E789*$H$4</f>
        <v>0</v>
      </c>
      <c r="G4506" s="19" t="n">
        <f aca="false">'SALES Raw'!F789*$H$4</f>
        <v>0</v>
      </c>
      <c r="H4506" s="18" t="str">
        <f aca="false">'SALES Raw'!A789</f>
        <v>102 - Orthopedic institutes</v>
      </c>
    </row>
    <row r="4507" customFormat="false" ht="15" hidden="false" customHeight="false" outlineLevel="0" collapsed="false">
      <c r="A4507" s="18" t="str">
        <f aca="false">'SALES Raw'!G790</f>
        <v/>
      </c>
      <c r="B4507" s="18" t="str">
        <f aca="false">'SALES Raw'!B790</f>
        <v>422EU L</v>
      </c>
      <c r="C4507" s="18" t="str">
        <f aca="false">'SALES Raw'!H790</f>
        <v>422EU L</v>
      </c>
      <c r="D4507" s="19" t="n">
        <f aca="false">'SALES Raw'!C790</f>
        <v>2</v>
      </c>
      <c r="E4507" s="19" t="n">
        <f aca="false">'SALES Raw'!D790</f>
        <v>170</v>
      </c>
      <c r="F4507" s="19" t="n">
        <f aca="false">'SALES Raw'!E790*$H$4</f>
        <v>0</v>
      </c>
      <c r="G4507" s="19" t="n">
        <f aca="false">'SALES Raw'!F790*$H$4</f>
        <v>0</v>
      </c>
      <c r="H4507" s="18" t="str">
        <f aca="false">'SALES Raw'!A790</f>
        <v>102 - Orthopedic institutes</v>
      </c>
    </row>
    <row r="4508" customFormat="false" ht="15" hidden="false" customHeight="false" outlineLevel="0" collapsed="false">
      <c r="A4508" s="18" t="str">
        <f aca="false">'SALES Raw'!G791</f>
        <v/>
      </c>
      <c r="B4508" s="18" t="str">
        <f aca="false">'SALES Raw'!B791</f>
        <v>422EU M</v>
      </c>
      <c r="C4508" s="18" t="str">
        <f aca="false">'SALES Raw'!H791</f>
        <v>422EU M</v>
      </c>
      <c r="D4508" s="19" t="n">
        <f aca="false">'SALES Raw'!C791</f>
        <v>8</v>
      </c>
      <c r="E4508" s="19" t="n">
        <f aca="false">'SALES Raw'!D791</f>
        <v>690</v>
      </c>
      <c r="F4508" s="19" t="n">
        <f aca="false">'SALES Raw'!E791*$H$4</f>
        <v>0</v>
      </c>
      <c r="G4508" s="19" t="n">
        <f aca="false">'SALES Raw'!F791*$H$4</f>
        <v>0</v>
      </c>
      <c r="H4508" s="18" t="str">
        <f aca="false">'SALES Raw'!A791</f>
        <v>102 - Orthopedic institutes</v>
      </c>
    </row>
    <row r="4509" customFormat="false" ht="15" hidden="false" customHeight="false" outlineLevel="0" collapsed="false">
      <c r="A4509" s="18" t="str">
        <f aca="false">'SALES Raw'!G792</f>
        <v/>
      </c>
      <c r="B4509" s="18" t="str">
        <f aca="false">'SALES Raw'!B792</f>
        <v>422EU XL</v>
      </c>
      <c r="C4509" s="18" t="str">
        <f aca="false">'SALES Raw'!H792</f>
        <v>422EU XL</v>
      </c>
      <c r="D4509" s="19" t="n">
        <f aca="false">'SALES Raw'!C792</f>
        <v>13</v>
      </c>
      <c r="E4509" s="19" t="n">
        <f aca="false">'SALES Raw'!D792</f>
        <v>1156.02</v>
      </c>
      <c r="F4509" s="19" t="n">
        <f aca="false">'SALES Raw'!E792*$H$4</f>
        <v>0</v>
      </c>
      <c r="G4509" s="19" t="n">
        <f aca="false">'SALES Raw'!F792*$H$4</f>
        <v>0</v>
      </c>
      <c r="H4509" s="18" t="str">
        <f aca="false">'SALES Raw'!A792</f>
        <v>102 - Orthopedic institutes</v>
      </c>
    </row>
    <row r="4510" customFormat="false" ht="15" hidden="false" customHeight="false" outlineLevel="0" collapsed="false">
      <c r="A4510" s="18" t="str">
        <f aca="false">'SALES Raw'!G793</f>
        <v/>
      </c>
      <c r="B4510" s="18" t="str">
        <f aca="false">'SALES Raw'!B793</f>
        <v>422EU XXL</v>
      </c>
      <c r="C4510" s="18" t="str">
        <f aca="false">'SALES Raw'!H793</f>
        <v>422EU XXL</v>
      </c>
      <c r="D4510" s="19" t="n">
        <f aca="false">'SALES Raw'!C793</f>
        <v>10</v>
      </c>
      <c r="E4510" s="19" t="n">
        <f aca="false">'SALES Raw'!D793</f>
        <v>864.8</v>
      </c>
      <c r="F4510" s="19" t="n">
        <f aca="false">'SALES Raw'!E793*$H$4</f>
        <v>0</v>
      </c>
      <c r="G4510" s="19" t="n">
        <f aca="false">'SALES Raw'!F793*$H$4</f>
        <v>0</v>
      </c>
      <c r="H4510" s="18" t="str">
        <f aca="false">'SALES Raw'!A793</f>
        <v>102 - Orthopedic institutes</v>
      </c>
    </row>
    <row r="4511" customFormat="false" ht="15" hidden="false" customHeight="false" outlineLevel="0" collapsed="false">
      <c r="A4511" s="18" t="str">
        <f aca="false">'SALES Raw'!G794</f>
        <v/>
      </c>
      <c r="B4511" s="18" t="str">
        <f aca="false">'SALES Raw'!B794</f>
        <v>422N L</v>
      </c>
      <c r="C4511" s="18" t="str">
        <f aca="false">'SALES Raw'!H794</f>
        <v>422N L</v>
      </c>
      <c r="D4511" s="19" t="n">
        <f aca="false">'SALES Raw'!C794</f>
        <v>1</v>
      </c>
      <c r="E4511" s="19" t="n">
        <f aca="false">'SALES Raw'!D794</f>
        <v>118</v>
      </c>
      <c r="F4511" s="19" t="n">
        <f aca="false">'SALES Raw'!E794*$H$4</f>
        <v>0</v>
      </c>
      <c r="G4511" s="19" t="n">
        <f aca="false">'SALES Raw'!F794*$H$4</f>
        <v>0</v>
      </c>
      <c r="H4511" s="18" t="str">
        <f aca="false">'SALES Raw'!A794</f>
        <v>102 - Orthopedic institutes</v>
      </c>
    </row>
    <row r="4512" customFormat="false" ht="15" hidden="false" customHeight="false" outlineLevel="0" collapsed="false">
      <c r="A4512" s="18" t="str">
        <f aca="false">'SALES Raw'!G795</f>
        <v/>
      </c>
      <c r="B4512" s="18" t="str">
        <f aca="false">'SALES Raw'!B795</f>
        <v>422N S</v>
      </c>
      <c r="C4512" s="18" t="str">
        <f aca="false">'SALES Raw'!H795</f>
        <v>422N S</v>
      </c>
      <c r="D4512" s="19" t="n">
        <f aca="false">'SALES Raw'!C795</f>
        <v>1</v>
      </c>
      <c r="E4512" s="19" t="n">
        <f aca="false">'SALES Raw'!D795</f>
        <v>118</v>
      </c>
      <c r="F4512" s="19" t="n">
        <f aca="false">'SALES Raw'!E795*$H$4</f>
        <v>0</v>
      </c>
      <c r="G4512" s="19" t="n">
        <f aca="false">'SALES Raw'!F795*$H$4</f>
        <v>0</v>
      </c>
      <c r="H4512" s="18" t="str">
        <f aca="false">'SALES Raw'!A795</f>
        <v>102 - Orthopedic institutes</v>
      </c>
    </row>
    <row r="4513" customFormat="false" ht="15" hidden="false" customHeight="false" outlineLevel="0" collapsed="false">
      <c r="A4513" s="18" t="str">
        <f aca="false">'SALES Raw'!G796</f>
        <v/>
      </c>
      <c r="B4513" s="18" t="str">
        <f aca="false">'SALES Raw'!B796</f>
        <v>422N XL</v>
      </c>
      <c r="C4513" s="18" t="str">
        <f aca="false">'SALES Raw'!H796</f>
        <v>422N XL</v>
      </c>
      <c r="D4513" s="19" t="n">
        <f aca="false">'SALES Raw'!C796</f>
        <v>3</v>
      </c>
      <c r="E4513" s="19" t="n">
        <f aca="false">'SALES Raw'!D796</f>
        <v>492.89</v>
      </c>
      <c r="F4513" s="19" t="n">
        <f aca="false">'SALES Raw'!E796*$H$4</f>
        <v>0</v>
      </c>
      <c r="G4513" s="19" t="n">
        <f aca="false">'SALES Raw'!F796*$H$4</f>
        <v>0</v>
      </c>
      <c r="H4513" s="18" t="str">
        <f aca="false">'SALES Raw'!A796</f>
        <v>102 - Orthopedic institutes</v>
      </c>
    </row>
    <row r="4514" customFormat="false" ht="15" hidden="false" customHeight="false" outlineLevel="0" collapsed="false">
      <c r="A4514" s="18" t="str">
        <f aca="false">'SALES Raw'!G812</f>
        <v/>
      </c>
      <c r="B4514" s="18" t="str">
        <f aca="false">'SALES Raw'!B812</f>
        <v>922 S</v>
      </c>
      <c r="C4514" s="18" t="str">
        <f aca="false">'SALES Raw'!H812</f>
        <v>922 S</v>
      </c>
      <c r="D4514" s="19" t="n">
        <f aca="false">'SALES Raw'!C812</f>
        <v>3</v>
      </c>
      <c r="E4514" s="19" t="n">
        <f aca="false">'SALES Raw'!D812</f>
        <v>268</v>
      </c>
      <c r="F4514" s="19" t="n">
        <f aca="false">'SALES Raw'!E812*$H$4</f>
        <v>0</v>
      </c>
      <c r="G4514" s="19" t="n">
        <f aca="false">'SALES Raw'!F812*$H$4</f>
        <v>0</v>
      </c>
      <c r="H4514" s="18" t="str">
        <f aca="false">'SALES Raw'!A812</f>
        <v>102 - Orthopedic institutes</v>
      </c>
    </row>
    <row r="4515" customFormat="false" ht="15" hidden="false" customHeight="false" outlineLevel="0" collapsed="false">
      <c r="A4515" s="18" t="str">
        <f aca="false">'SALES Raw'!G814</f>
        <v/>
      </c>
      <c r="B4515" s="18" t="str">
        <f aca="false">'SALES Raw'!B814</f>
        <v>922 XXL</v>
      </c>
      <c r="C4515" s="18" t="str">
        <f aca="false">'SALES Raw'!H814</f>
        <v>922 XXL</v>
      </c>
      <c r="D4515" s="19" t="n">
        <f aca="false">'SALES Raw'!C814</f>
        <v>3</v>
      </c>
      <c r="E4515" s="19" t="n">
        <f aca="false">'SALES Raw'!D814</f>
        <v>267</v>
      </c>
      <c r="F4515" s="19" t="n">
        <f aca="false">'SALES Raw'!E814*$H$4</f>
        <v>0</v>
      </c>
      <c r="G4515" s="19" t="n">
        <f aca="false">'SALES Raw'!F814*$H$4</f>
        <v>0</v>
      </c>
      <c r="H4515" s="18" t="str">
        <f aca="false">'SALES Raw'!A814</f>
        <v>102 - Orthopedic institutes</v>
      </c>
    </row>
    <row r="4516" customFormat="false" ht="15" hidden="false" customHeight="false" outlineLevel="0" collapsed="false">
      <c r="A4516" s="18" t="str">
        <f aca="false">'SALES Raw'!G827</f>
        <v/>
      </c>
      <c r="B4516" s="18" t="str">
        <f aca="false">'SALES Raw'!B827</f>
        <v>T33 XXL</v>
      </c>
      <c r="C4516" s="18" t="str">
        <f aca="false">'SALES Raw'!H827</f>
        <v>T33 XXL</v>
      </c>
      <c r="D4516" s="19" t="n">
        <f aca="false">'SALES Raw'!C827</f>
        <v>4</v>
      </c>
      <c r="E4516" s="19" t="n">
        <f aca="false">'SALES Raw'!D827</f>
        <v>454.99</v>
      </c>
      <c r="F4516" s="19" t="n">
        <f aca="false">'SALES Raw'!E827*$H$4</f>
        <v>0</v>
      </c>
      <c r="G4516" s="19" t="n">
        <f aca="false">'SALES Raw'!F827*$H$4</f>
        <v>0</v>
      </c>
      <c r="H4516" s="18" t="str">
        <f aca="false">'SALES Raw'!A827</f>
        <v>102 - Orthopedic institutes</v>
      </c>
    </row>
    <row r="4517" customFormat="false" ht="15" hidden="false" customHeight="false" outlineLevel="0" collapsed="false">
      <c r="A4517" s="18" t="str">
        <f aca="false">'SALES Raw'!G839</f>
        <v/>
      </c>
      <c r="B4517" s="18" t="str">
        <f aca="false">'SALES Raw'!B839</f>
        <v>T90 0</v>
      </c>
      <c r="C4517" s="18" t="str">
        <f aca="false">'SALES Raw'!H839</f>
        <v>T90 0</v>
      </c>
      <c r="D4517" s="19" t="n">
        <f aca="false">'SALES Raw'!C839</f>
        <v>1</v>
      </c>
      <c r="E4517" s="19" t="n">
        <f aca="false">'SALES Raw'!D839</f>
        <v>113.38</v>
      </c>
      <c r="F4517" s="19" t="n">
        <f aca="false">'SALES Raw'!E839*$H$4</f>
        <v>0</v>
      </c>
      <c r="G4517" s="19" t="n">
        <f aca="false">'SALES Raw'!F839*$H$4</f>
        <v>0</v>
      </c>
      <c r="H4517" s="18" t="str">
        <f aca="false">'SALES Raw'!A839</f>
        <v>102 - Orthopedic institutes</v>
      </c>
    </row>
    <row r="4518" customFormat="false" ht="15" hidden="false" customHeight="false" outlineLevel="0" collapsed="false">
      <c r="A4518" s="18" t="str">
        <f aca="false">'SALES Raw'!G842</f>
        <v/>
      </c>
      <c r="B4518" s="18" t="str">
        <f aca="false">'SALES Raw'!B842</f>
        <v>59L XXL</v>
      </c>
      <c r="C4518" s="18" t="str">
        <f aca="false">'SALES Raw'!H842</f>
        <v>59L XXL</v>
      </c>
      <c r="D4518" s="19" t="n">
        <f aca="false">'SALES Raw'!C842</f>
        <v>1</v>
      </c>
      <c r="E4518" s="19" t="n">
        <f aca="false">'SALES Raw'!D842</f>
        <v>140</v>
      </c>
      <c r="F4518" s="19" t="n">
        <f aca="false">'SALES Raw'!E842*$H$4</f>
        <v>0</v>
      </c>
      <c r="G4518" s="19" t="n">
        <f aca="false">'SALES Raw'!F842*$H$4</f>
        <v>0</v>
      </c>
      <c r="H4518" s="18" t="str">
        <f aca="false">'SALES Raw'!A842</f>
        <v>102 - Orthopedic institutes</v>
      </c>
    </row>
    <row r="4519" customFormat="false" ht="15" hidden="false" customHeight="false" outlineLevel="0" collapsed="false">
      <c r="A4519" s="18" t="str">
        <f aca="false">'SALES Raw'!G843</f>
        <v/>
      </c>
      <c r="B4519" s="18" t="str">
        <f aca="false">'SALES Raw'!B843</f>
        <v>59R XXL</v>
      </c>
      <c r="C4519" s="18" t="str">
        <f aca="false">'SALES Raw'!H843</f>
        <v>59R XXL</v>
      </c>
      <c r="D4519" s="19" t="n">
        <f aca="false">'SALES Raw'!C843</f>
        <v>1</v>
      </c>
      <c r="E4519" s="19" t="n">
        <f aca="false">'SALES Raw'!D843</f>
        <v>140</v>
      </c>
      <c r="F4519" s="19" t="n">
        <f aca="false">'SALES Raw'!E843*$H$4</f>
        <v>0</v>
      </c>
      <c r="G4519" s="19" t="n">
        <f aca="false">'SALES Raw'!F843*$H$4</f>
        <v>0</v>
      </c>
      <c r="H4519" s="18" t="str">
        <f aca="false">'SALES Raw'!A843</f>
        <v>102 - Orthopedic institutes</v>
      </c>
    </row>
    <row r="4520" customFormat="false" ht="15" hidden="false" customHeight="false" outlineLevel="0" collapsed="false">
      <c r="A4520" s="18" t="str">
        <f aca="false">'SALES Raw'!G854</f>
        <v/>
      </c>
      <c r="B4520" s="18" t="str">
        <f aca="false">'SALES Raw'!B854</f>
        <v>392B-35-38</v>
      </c>
      <c r="C4520" s="18" t="str">
        <f aca="false">'SALES Raw'!H854</f>
        <v>392B-35-38</v>
      </c>
      <c r="D4520" s="19" t="n">
        <f aca="false">'SALES Raw'!C854</f>
        <v>1</v>
      </c>
      <c r="E4520" s="19" t="n">
        <f aca="false">'SALES Raw'!D854</f>
        <v>42.06</v>
      </c>
      <c r="F4520" s="19" t="n">
        <f aca="false">'SALES Raw'!E854*$H$4</f>
        <v>0</v>
      </c>
      <c r="G4520" s="19" t="n">
        <f aca="false">'SALES Raw'!F854*$H$4</f>
        <v>0</v>
      </c>
      <c r="H4520" s="18" t="str">
        <f aca="false">'SALES Raw'!A854</f>
        <v>102 - Orthopedic institutes</v>
      </c>
    </row>
    <row r="4521" customFormat="false" ht="15" hidden="false" customHeight="false" outlineLevel="0" collapsed="false">
      <c r="A4521" s="18" t="str">
        <f aca="false">'SALES Raw'!G855</f>
        <v/>
      </c>
      <c r="B4521" s="18" t="str">
        <f aca="false">'SALES Raw'!B855</f>
        <v>392B-39-42</v>
      </c>
      <c r="C4521" s="18" t="str">
        <f aca="false">'SALES Raw'!H855</f>
        <v>392B-39-42</v>
      </c>
      <c r="D4521" s="19" t="n">
        <f aca="false">'SALES Raw'!C855</f>
        <v>1</v>
      </c>
      <c r="E4521" s="19" t="n">
        <f aca="false">'SALES Raw'!D855</f>
        <v>42.06</v>
      </c>
      <c r="F4521" s="19" t="n">
        <f aca="false">'SALES Raw'!E855*$H$4</f>
        <v>0</v>
      </c>
      <c r="G4521" s="19" t="n">
        <f aca="false">'SALES Raw'!F855*$H$4</f>
        <v>0</v>
      </c>
      <c r="H4521" s="18" t="str">
        <f aca="false">'SALES Raw'!A855</f>
        <v>102 - Orthopedic institutes</v>
      </c>
    </row>
    <row r="4522" customFormat="false" ht="15" hidden="false" customHeight="false" outlineLevel="0" collapsed="false">
      <c r="A4522" s="18" t="str">
        <f aca="false">'SALES Raw'!G856</f>
        <v/>
      </c>
      <c r="B4522" s="18" t="str">
        <f aca="false">'SALES Raw'!B856</f>
        <v>78AB XL</v>
      </c>
      <c r="C4522" s="18" t="str">
        <f aca="false">'SALES Raw'!H856</f>
        <v>78AB XL</v>
      </c>
      <c r="D4522" s="19" t="n">
        <f aca="false">'SALES Raw'!C856</f>
        <v>2</v>
      </c>
      <c r="E4522" s="19" t="n">
        <f aca="false">'SALES Raw'!D856</f>
        <v>160.8</v>
      </c>
      <c r="F4522" s="19" t="n">
        <f aca="false">'SALES Raw'!E856*$H$4</f>
        <v>0</v>
      </c>
      <c r="G4522" s="19" t="n">
        <f aca="false">'SALES Raw'!F856*$H$4</f>
        <v>0</v>
      </c>
      <c r="H4522" s="18" t="str">
        <f aca="false">'SALES Raw'!A856</f>
        <v>102 - Orthopedic institutes</v>
      </c>
    </row>
    <row r="4523" customFormat="false" ht="15" hidden="false" customHeight="false" outlineLevel="0" collapsed="false">
      <c r="A4523" s="18" t="str">
        <f aca="false">'SALES Raw'!G859</f>
        <v/>
      </c>
      <c r="B4523" s="18" t="str">
        <f aca="false">'SALES Raw'!B859</f>
        <v>M95</v>
      </c>
      <c r="C4523" s="18" t="str">
        <f aca="false">'SALES Raw'!H859</f>
        <v>M95</v>
      </c>
      <c r="D4523" s="19" t="n">
        <f aca="false">'SALES Raw'!C859</f>
        <v>1</v>
      </c>
      <c r="E4523" s="19" t="n">
        <f aca="false">'SALES Raw'!D859</f>
        <v>30</v>
      </c>
      <c r="F4523" s="19" t="n">
        <f aca="false">'SALES Raw'!E859*$H$4</f>
        <v>0</v>
      </c>
      <c r="G4523" s="19" t="n">
        <f aca="false">'SALES Raw'!F859*$H$4</f>
        <v>0</v>
      </c>
      <c r="H4523" s="18" t="str">
        <f aca="false">'SALES Raw'!A859</f>
        <v>102 - Orthopedic institutes</v>
      </c>
    </row>
    <row r="4524" customFormat="false" ht="15" hidden="false" customHeight="false" outlineLevel="0" collapsed="false">
      <c r="A4524" s="18" t="str">
        <f aca="false">'SALES Raw'!G861</f>
        <v/>
      </c>
      <c r="B4524" s="18" t="str">
        <f aca="false">'SALES Raw'!B861</f>
        <v>355 L</v>
      </c>
      <c r="C4524" s="18" t="str">
        <f aca="false">'SALES Raw'!H861</f>
        <v>355 L</v>
      </c>
      <c r="D4524" s="19" t="n">
        <f aca="false">'SALES Raw'!C861</f>
        <v>8</v>
      </c>
      <c r="E4524" s="19" t="n">
        <f aca="false">'SALES Raw'!D861</f>
        <v>1212.08</v>
      </c>
      <c r="F4524" s="19" t="n">
        <f aca="false">'SALES Raw'!E861*$H$4</f>
        <v>0</v>
      </c>
      <c r="G4524" s="19" t="n">
        <f aca="false">'SALES Raw'!F861*$H$4</f>
        <v>0</v>
      </c>
      <c r="H4524" s="18" t="str">
        <f aca="false">'SALES Raw'!A861</f>
        <v>102 - Orthopedic institutes</v>
      </c>
    </row>
    <row r="4525" customFormat="false" ht="15" hidden="false" customHeight="false" outlineLevel="0" collapsed="false">
      <c r="A4525" s="18" t="str">
        <f aca="false">'SALES Raw'!G862</f>
        <v/>
      </c>
      <c r="B4525" s="18" t="str">
        <f aca="false">'SALES Raw'!B862</f>
        <v>355 M</v>
      </c>
      <c r="C4525" s="18" t="str">
        <f aca="false">'SALES Raw'!H862</f>
        <v>355 M</v>
      </c>
      <c r="D4525" s="19" t="n">
        <f aca="false">'SALES Raw'!C862</f>
        <v>11</v>
      </c>
      <c r="E4525" s="19" t="n">
        <f aca="false">'SALES Raw'!D862</f>
        <v>2127.02</v>
      </c>
      <c r="F4525" s="19" t="n">
        <f aca="false">'SALES Raw'!E862*$H$4</f>
        <v>0</v>
      </c>
      <c r="G4525" s="19" t="n">
        <f aca="false">'SALES Raw'!F862*$H$4</f>
        <v>0</v>
      </c>
      <c r="H4525" s="18" t="str">
        <f aca="false">'SALES Raw'!A862</f>
        <v>102 - Orthopedic institutes</v>
      </c>
    </row>
    <row r="4526" customFormat="false" ht="15" hidden="false" customHeight="false" outlineLevel="0" collapsed="false">
      <c r="A4526" s="18" t="str">
        <f aca="false">'SALES Raw'!G863</f>
        <v/>
      </c>
      <c r="B4526" s="18" t="str">
        <f aca="false">'SALES Raw'!B863</f>
        <v>355 S</v>
      </c>
      <c r="C4526" s="18" t="str">
        <f aca="false">'SALES Raw'!H863</f>
        <v>355 S</v>
      </c>
      <c r="D4526" s="19" t="n">
        <f aca="false">'SALES Raw'!C863</f>
        <v>4</v>
      </c>
      <c r="E4526" s="19" t="n">
        <f aca="false">'SALES Raw'!D863</f>
        <v>755.51</v>
      </c>
      <c r="F4526" s="19" t="n">
        <f aca="false">'SALES Raw'!E863*$H$4</f>
        <v>0</v>
      </c>
      <c r="G4526" s="19" t="n">
        <f aca="false">'SALES Raw'!F863*$H$4</f>
        <v>0</v>
      </c>
      <c r="H4526" s="18" t="str">
        <f aca="false">'SALES Raw'!A863</f>
        <v>102 - Orthopedic institutes</v>
      </c>
    </row>
    <row r="4527" customFormat="false" ht="15" hidden="false" customHeight="false" outlineLevel="0" collapsed="false">
      <c r="A4527" s="18" t="n">
        <f aca="false">'SALES Raw'!G866</f>
        <v>4408219</v>
      </c>
      <c r="B4527" s="18" t="str">
        <f aca="false">'SALES Raw'!B866</f>
        <v>078G S</v>
      </c>
      <c r="C4527" s="18" t="str">
        <f aca="false">'SALES Raw'!H866</f>
        <v>078G-S חגורת גב אפורה</v>
      </c>
      <c r="D4527" s="19" t="n">
        <f aca="false">'SALES Raw'!C866</f>
        <v>3</v>
      </c>
      <c r="E4527" s="19" t="n">
        <f aca="false">'SALES Raw'!D866</f>
        <v>247.7</v>
      </c>
      <c r="F4527" s="19" t="n">
        <f aca="false">'SALES Raw'!E866*$H$4</f>
        <v>0</v>
      </c>
      <c r="G4527" s="19" t="n">
        <f aca="false">'SALES Raw'!F866*$H$4</f>
        <v>77.7852631578947</v>
      </c>
      <c r="H4527" s="18" t="str">
        <f aca="false">'SALES Raw'!A866</f>
        <v>102 - Orthopedic institutes</v>
      </c>
    </row>
    <row r="4528" customFormat="false" ht="15" hidden="false" customHeight="false" outlineLevel="0" collapsed="false">
      <c r="A4528" s="18" t="str">
        <f aca="false">'SALES Raw'!G873</f>
        <v/>
      </c>
      <c r="B4528" s="18" t="str">
        <f aca="false">'SALES Raw'!B873</f>
        <v>30 L</v>
      </c>
      <c r="C4528" s="18" t="str">
        <f aca="false">'SALES Raw'!H873</f>
        <v>30 L</v>
      </c>
      <c r="D4528" s="19" t="n">
        <f aca="false">'SALES Raw'!C873</f>
        <v>10</v>
      </c>
      <c r="E4528" s="19" t="n">
        <f aca="false">'SALES Raw'!D873</f>
        <v>647.41</v>
      </c>
      <c r="F4528" s="19" t="n">
        <f aca="false">'SALES Raw'!E873*$H$4</f>
        <v>0</v>
      </c>
      <c r="G4528" s="19" t="n">
        <f aca="false">'SALES Raw'!F873*$H$4</f>
        <v>0</v>
      </c>
      <c r="H4528" s="18" t="str">
        <f aca="false">'SALES Raw'!A873</f>
        <v>102 - Orthopedic institutes</v>
      </c>
    </row>
    <row r="4529" customFormat="false" ht="15" hidden="false" customHeight="false" outlineLevel="0" collapsed="false">
      <c r="A4529" s="18" t="str">
        <f aca="false">'SALES Raw'!G874</f>
        <v/>
      </c>
      <c r="B4529" s="18" t="str">
        <f aca="false">'SALES Raw'!B874</f>
        <v>30 M</v>
      </c>
      <c r="C4529" s="18" t="str">
        <f aca="false">'SALES Raw'!H874</f>
        <v>30 M</v>
      </c>
      <c r="D4529" s="19" t="n">
        <f aca="false">'SALES Raw'!C874</f>
        <v>4</v>
      </c>
      <c r="E4529" s="19" t="n">
        <f aca="false">'SALES Raw'!D874</f>
        <v>252.74</v>
      </c>
      <c r="F4529" s="19" t="n">
        <f aca="false">'SALES Raw'!E874*$H$4</f>
        <v>0</v>
      </c>
      <c r="G4529" s="19" t="n">
        <f aca="false">'SALES Raw'!F874*$H$4</f>
        <v>0</v>
      </c>
      <c r="H4529" s="18" t="str">
        <f aca="false">'SALES Raw'!A874</f>
        <v>102 - Orthopedic institutes</v>
      </c>
    </row>
    <row r="4530" customFormat="false" ht="15" hidden="false" customHeight="false" outlineLevel="0" collapsed="false">
      <c r="A4530" s="18" t="str">
        <f aca="false">'SALES Raw'!G876</f>
        <v/>
      </c>
      <c r="B4530" s="18" t="str">
        <f aca="false">'SALES Raw'!B876</f>
        <v>305GA-47-48</v>
      </c>
      <c r="C4530" s="18" t="str">
        <f aca="false">'SALES Raw'!H876</f>
        <v>305GA-47-48</v>
      </c>
      <c r="D4530" s="19" t="n">
        <f aca="false">'SALES Raw'!C876</f>
        <v>2</v>
      </c>
      <c r="E4530" s="19" t="n">
        <f aca="false">'SALES Raw'!D876</f>
        <v>160.02</v>
      </c>
      <c r="F4530" s="19" t="n">
        <f aca="false">'SALES Raw'!E876*$H$4</f>
        <v>0</v>
      </c>
      <c r="G4530" s="19" t="n">
        <f aca="false">'SALES Raw'!F876*$H$4</f>
        <v>0</v>
      </c>
      <c r="H4530" s="18" t="str">
        <f aca="false">'SALES Raw'!A876</f>
        <v>102 - Orthopedic institutes</v>
      </c>
    </row>
    <row r="4531" customFormat="false" ht="15" hidden="false" customHeight="false" outlineLevel="0" collapsed="false">
      <c r="A4531" s="18" t="n">
        <f aca="false">'SALES Raw'!G877</f>
        <v>4413034</v>
      </c>
      <c r="B4531" s="18" t="str">
        <f aca="false">'SALES Raw'!B877</f>
        <v>312 0</v>
      </c>
      <c r="C4531" s="18" t="str">
        <f aca="false">'SALES Raw'!H877</f>
        <v>312 9 מ""""ס להתאמהX5 מדבקה גדולה</v>
      </c>
      <c r="D4531" s="19" t="n">
        <f aca="false">'SALES Raw'!C877</f>
        <v>29</v>
      </c>
      <c r="E4531" s="19" t="n">
        <f aca="false">'SALES Raw'!D877</f>
        <v>623.59</v>
      </c>
      <c r="F4531" s="19" t="n">
        <f aca="false">'SALES Raw'!E877*$H$4</f>
        <v>0</v>
      </c>
      <c r="G4531" s="19" t="n">
        <f aca="false">'SALES Raw'!F877*$H$4</f>
        <v>0</v>
      </c>
      <c r="H4531" s="18" t="str">
        <f aca="false">'SALES Raw'!A877</f>
        <v>102 - Orthopedic institutes</v>
      </c>
    </row>
    <row r="4532" customFormat="false" ht="15" hidden="false" customHeight="false" outlineLevel="0" collapsed="false">
      <c r="A4532" s="18" t="str">
        <f aca="false">'SALES Raw'!G884</f>
        <v/>
      </c>
      <c r="B4532" s="18" t="str">
        <f aca="false">'SALES Raw'!B884</f>
        <v>06 L</v>
      </c>
      <c r="C4532" s="18" t="str">
        <f aca="false">'SALES Raw'!H884</f>
        <v>06 L</v>
      </c>
      <c r="D4532" s="19" t="n">
        <f aca="false">'SALES Raw'!C884</f>
        <v>1</v>
      </c>
      <c r="E4532" s="19" t="n">
        <f aca="false">'SALES Raw'!D884</f>
        <v>170.13</v>
      </c>
      <c r="F4532" s="19" t="n">
        <f aca="false">'SALES Raw'!E884*$H$4</f>
        <v>0</v>
      </c>
      <c r="G4532" s="19" t="n">
        <f aca="false">'SALES Raw'!F884*$H$4</f>
        <v>0</v>
      </c>
      <c r="H4532" s="18" t="str">
        <f aca="false">'SALES Raw'!A884</f>
        <v>102 - Orthopedic institutes</v>
      </c>
    </row>
    <row r="4533" customFormat="false" ht="15" hidden="false" customHeight="false" outlineLevel="0" collapsed="false">
      <c r="A4533" s="18" t="str">
        <f aca="false">'SALES Raw'!G885</f>
        <v/>
      </c>
      <c r="B4533" s="18" t="str">
        <f aca="false">'SALES Raw'!B885</f>
        <v>06 XXL</v>
      </c>
      <c r="C4533" s="18" t="str">
        <f aca="false">'SALES Raw'!H885</f>
        <v>06 XXL</v>
      </c>
      <c r="D4533" s="19" t="n">
        <f aca="false">'SALES Raw'!C885</f>
        <v>1</v>
      </c>
      <c r="E4533" s="19" t="n">
        <f aca="false">'SALES Raw'!D885</f>
        <v>170.14</v>
      </c>
      <c r="F4533" s="19" t="n">
        <f aca="false">'SALES Raw'!E885*$H$4</f>
        <v>0</v>
      </c>
      <c r="G4533" s="19" t="n">
        <f aca="false">'SALES Raw'!F885*$H$4</f>
        <v>0</v>
      </c>
      <c r="H4533" s="18" t="str">
        <f aca="false">'SALES Raw'!A885</f>
        <v>102 - Orthopedic institutes</v>
      </c>
    </row>
    <row r="4534" customFormat="false" ht="15" hidden="false" customHeight="false" outlineLevel="0" collapsed="false">
      <c r="A4534" s="18" t="str">
        <f aca="false">'SALES Raw'!G886</f>
        <v/>
      </c>
      <c r="B4534" s="18" t="str">
        <f aca="false">'SALES Raw'!B886</f>
        <v>06U XXL</v>
      </c>
      <c r="C4534" s="18" t="str">
        <f aca="false">'SALES Raw'!H886</f>
        <v>06U XXL</v>
      </c>
      <c r="D4534" s="19" t="n">
        <f aca="false">'SALES Raw'!C886</f>
        <v>1</v>
      </c>
      <c r="E4534" s="19" t="n">
        <f aca="false">'SALES Raw'!D886</f>
        <v>99</v>
      </c>
      <c r="F4534" s="19" t="n">
        <f aca="false">'SALES Raw'!E886*$H$4</f>
        <v>0</v>
      </c>
      <c r="G4534" s="19" t="n">
        <f aca="false">'SALES Raw'!F886*$H$4</f>
        <v>0</v>
      </c>
      <c r="H4534" s="18" t="str">
        <f aca="false">'SALES Raw'!A886</f>
        <v>102 - Orthopedic institutes</v>
      </c>
    </row>
    <row r="4535" customFormat="false" ht="15" hidden="false" customHeight="false" outlineLevel="0" collapsed="false">
      <c r="A4535" s="18" t="n">
        <f aca="false">'SALES Raw'!G892</f>
        <v>4413050</v>
      </c>
      <c r="B4535" s="18" t="str">
        <f aca="false">'SALES Raw'!B892</f>
        <v>35 XL</v>
      </c>
      <c r="C4535" s="18" t="str">
        <f aca="false">'SALES Raw'!H892</f>
        <v>35 XL מגן קרסול לבן</v>
      </c>
      <c r="D4535" s="19" t="n">
        <f aca="false">'SALES Raw'!C892</f>
        <v>5</v>
      </c>
      <c r="E4535" s="19" t="n">
        <f aca="false">'SALES Raw'!D892</f>
        <v>154.45</v>
      </c>
      <c r="F4535" s="19" t="n">
        <f aca="false">'SALES Raw'!E892*$H$4</f>
        <v>0</v>
      </c>
      <c r="G4535" s="19" t="n">
        <f aca="false">'SALES Raw'!F892*$H$4</f>
        <v>0</v>
      </c>
      <c r="H4535" s="18" t="str">
        <f aca="false">'SALES Raw'!A892</f>
        <v>102 - Orthopedic institutes</v>
      </c>
    </row>
    <row r="4536" customFormat="false" ht="15" hidden="false" customHeight="false" outlineLevel="0" collapsed="false">
      <c r="A4536" s="18" t="str">
        <f aca="false">'SALES Raw'!G897</f>
        <v/>
      </c>
      <c r="B4536" s="18" t="str">
        <f aca="false">'SALES Raw'!B897</f>
        <v>390G-39-42</v>
      </c>
      <c r="C4536" s="18" t="str">
        <f aca="false">'SALES Raw'!H897</f>
        <v>390G-39-42</v>
      </c>
      <c r="D4536" s="19" t="n">
        <f aca="false">'SALES Raw'!C897</f>
        <v>2</v>
      </c>
      <c r="E4536" s="19" t="n">
        <f aca="false">'SALES Raw'!D897</f>
        <v>54</v>
      </c>
      <c r="F4536" s="19" t="n">
        <f aca="false">'SALES Raw'!E897*$H$4</f>
        <v>0</v>
      </c>
      <c r="G4536" s="19" t="n">
        <f aca="false">'SALES Raw'!F897*$H$4</f>
        <v>0</v>
      </c>
      <c r="H4536" s="18" t="str">
        <f aca="false">'SALES Raw'!A897</f>
        <v>102 - Orthopedic institutes</v>
      </c>
    </row>
    <row r="4537" customFormat="false" ht="15" hidden="false" customHeight="false" outlineLevel="0" collapsed="false">
      <c r="A4537" s="18" t="n">
        <f aca="false">'SALES Raw'!G898</f>
        <v>4403005</v>
      </c>
      <c r="B4537" s="18" t="str">
        <f aca="false">'SALES Raw'!B898</f>
        <v>390G-43-46</v>
      </c>
      <c r="C4537" s="18" t="str">
        <f aca="false">'SALES Raw'!H898</f>
        <v>G390.43-46 גרבי כסף לסכרת מידה</v>
      </c>
      <c r="D4537" s="19" t="n">
        <f aca="false">'SALES Raw'!C898</f>
        <v>2</v>
      </c>
      <c r="E4537" s="19" t="n">
        <f aca="false">'SALES Raw'!D898</f>
        <v>54</v>
      </c>
      <c r="F4537" s="19" t="n">
        <f aca="false">'SALES Raw'!E898*$H$4</f>
        <v>0</v>
      </c>
      <c r="G4537" s="19" t="n">
        <f aca="false">'SALES Raw'!F898*$H$4</f>
        <v>0</v>
      </c>
      <c r="H4537" s="18" t="str">
        <f aca="false">'SALES Raw'!A898</f>
        <v>102 - Orthopedic institutes</v>
      </c>
    </row>
    <row r="4538" customFormat="false" ht="15" hidden="false" customHeight="false" outlineLevel="0" collapsed="false">
      <c r="A4538" s="18" t="str">
        <f aca="false">'SALES Raw'!G899</f>
        <v/>
      </c>
      <c r="B4538" s="18" t="str">
        <f aca="false">'SALES Raw'!B899</f>
        <v>422 L</v>
      </c>
      <c r="C4538" s="18" t="str">
        <f aca="false">'SALES Raw'!H899</f>
        <v>422 L</v>
      </c>
      <c r="D4538" s="19" t="n">
        <f aca="false">'SALES Raw'!C899</f>
        <v>1</v>
      </c>
      <c r="E4538" s="19" t="n">
        <f aca="false">'SALES Raw'!D899</f>
        <v>187.45</v>
      </c>
      <c r="F4538" s="19" t="n">
        <f aca="false">'SALES Raw'!E899*$H$4</f>
        <v>0</v>
      </c>
      <c r="G4538" s="19" t="n">
        <f aca="false">'SALES Raw'!F899*$H$4</f>
        <v>0</v>
      </c>
      <c r="H4538" s="18" t="str">
        <f aca="false">'SALES Raw'!A899</f>
        <v>102 - Orthopedic institutes</v>
      </c>
    </row>
    <row r="4539" customFormat="false" ht="15" hidden="false" customHeight="false" outlineLevel="0" collapsed="false">
      <c r="A4539" s="18" t="str">
        <f aca="false">'SALES Raw'!G900</f>
        <v/>
      </c>
      <c r="B4539" s="18" t="str">
        <f aca="false">'SALES Raw'!B900</f>
        <v>422 M</v>
      </c>
      <c r="C4539" s="18" t="str">
        <f aca="false">'SALES Raw'!H900</f>
        <v>422 M</v>
      </c>
      <c r="D4539" s="19" t="n">
        <f aca="false">'SALES Raw'!C900</f>
        <v>2</v>
      </c>
      <c r="E4539" s="19" t="n">
        <f aca="false">'SALES Raw'!D900</f>
        <v>374.9</v>
      </c>
      <c r="F4539" s="19" t="n">
        <f aca="false">'SALES Raw'!E900*$H$4</f>
        <v>0</v>
      </c>
      <c r="G4539" s="19" t="n">
        <f aca="false">'SALES Raw'!F900*$H$4</f>
        <v>0</v>
      </c>
      <c r="H4539" s="18" t="str">
        <f aca="false">'SALES Raw'!A900</f>
        <v>102 - Orthopedic institutes</v>
      </c>
    </row>
    <row r="4540" customFormat="false" ht="15" hidden="false" customHeight="false" outlineLevel="0" collapsed="false">
      <c r="A4540" s="18" t="n">
        <f aca="false">'SALES Raw'!G901</f>
        <v>4413089</v>
      </c>
      <c r="B4540" s="18" t="str">
        <f aca="false">'SALES Raw'!B901</f>
        <v>422 S</v>
      </c>
      <c r="C4540" s="18" t="str">
        <f aca="false">'SALES Raw'!H901</f>
        <v>422 Sמ.ברך+כרית סיל.סביב לפיקה</v>
      </c>
      <c r="D4540" s="19" t="n">
        <f aca="false">'SALES Raw'!C901</f>
        <v>1</v>
      </c>
      <c r="E4540" s="19" t="n">
        <f aca="false">'SALES Raw'!D901</f>
        <v>187.45</v>
      </c>
      <c r="F4540" s="19" t="n">
        <f aca="false">'SALES Raw'!E901*$H$4</f>
        <v>0</v>
      </c>
      <c r="G4540" s="19" t="n">
        <f aca="false">'SALES Raw'!F901*$H$4</f>
        <v>0</v>
      </c>
      <c r="H4540" s="18" t="str">
        <f aca="false">'SALES Raw'!A901</f>
        <v>102 - Orthopedic institutes</v>
      </c>
    </row>
    <row r="4541" customFormat="false" ht="15" hidden="false" customHeight="false" outlineLevel="0" collapsed="false">
      <c r="A4541" s="18" t="str">
        <f aca="false">'SALES Raw'!G902</f>
        <v/>
      </c>
      <c r="B4541" s="18" t="str">
        <f aca="false">'SALES Raw'!B902</f>
        <v>422 XL</v>
      </c>
      <c r="C4541" s="18" t="str">
        <f aca="false">'SALES Raw'!H902</f>
        <v>422 XL</v>
      </c>
      <c r="D4541" s="19" t="n">
        <f aca="false">'SALES Raw'!C902</f>
        <v>1</v>
      </c>
      <c r="E4541" s="19" t="n">
        <f aca="false">'SALES Raw'!D902</f>
        <v>187.45</v>
      </c>
      <c r="F4541" s="19" t="n">
        <f aca="false">'SALES Raw'!E902*$H$4</f>
        <v>0</v>
      </c>
      <c r="G4541" s="19" t="n">
        <f aca="false">'SALES Raw'!F902*$H$4</f>
        <v>0</v>
      </c>
      <c r="H4541" s="18" t="str">
        <f aca="false">'SALES Raw'!A902</f>
        <v>102 - Orthopedic institutes</v>
      </c>
    </row>
    <row r="4542" customFormat="false" ht="15" hidden="false" customHeight="false" outlineLevel="0" collapsed="false">
      <c r="A4542" s="18" t="str">
        <f aca="false">'SALES Raw'!G903</f>
        <v/>
      </c>
      <c r="B4542" s="18" t="str">
        <f aca="false">'SALES Raw'!B903</f>
        <v>422N XXL</v>
      </c>
      <c r="C4542" s="18" t="str">
        <f aca="false">'SALES Raw'!H903</f>
        <v>422N XXL</v>
      </c>
      <c r="D4542" s="19" t="n">
        <f aca="false">'SALES Raw'!C903</f>
        <v>1</v>
      </c>
      <c r="E4542" s="19" t="n">
        <f aca="false">'SALES Raw'!D903</f>
        <v>118.01</v>
      </c>
      <c r="F4542" s="19" t="n">
        <f aca="false">'SALES Raw'!E903*$H$4</f>
        <v>0</v>
      </c>
      <c r="G4542" s="19" t="n">
        <f aca="false">'SALES Raw'!F903*$H$4</f>
        <v>0</v>
      </c>
      <c r="H4542" s="18" t="str">
        <f aca="false">'SALES Raw'!A903</f>
        <v>102 - Orthopedic institutes</v>
      </c>
    </row>
    <row r="4543" customFormat="false" ht="15" hidden="false" customHeight="false" outlineLevel="0" collapsed="false">
      <c r="A4543" s="18" t="n">
        <f aca="false">'SALES Raw'!G909</f>
        <v>4413105</v>
      </c>
      <c r="B4543" s="18" t="str">
        <f aca="false">'SALES Raw'!B909</f>
        <v>45E XXL</v>
      </c>
      <c r="C4543" s="18" t="str">
        <f aca="false">'SALES Raw'!H909</f>
        <v>45E XXLמגן ברך ארוך לבן</v>
      </c>
      <c r="D4543" s="19" t="n">
        <f aca="false">'SALES Raw'!C909</f>
        <v>6</v>
      </c>
      <c r="E4543" s="19" t="n">
        <f aca="false">'SALES Raw'!D909</f>
        <v>224.73</v>
      </c>
      <c r="F4543" s="19" t="n">
        <f aca="false">'SALES Raw'!E909*$H$4</f>
        <v>0</v>
      </c>
      <c r="G4543" s="19" t="n">
        <f aca="false">'SALES Raw'!F909*$H$4</f>
        <v>0</v>
      </c>
      <c r="H4543" s="18" t="str">
        <f aca="false">'SALES Raw'!A909</f>
        <v>102 - Orthopedic institutes</v>
      </c>
    </row>
    <row r="4544" customFormat="false" ht="15" hidden="false" customHeight="false" outlineLevel="0" collapsed="false">
      <c r="A4544" s="18" t="n">
        <f aca="false">'SALES Raw'!G922</f>
        <v>4408095</v>
      </c>
      <c r="B4544" s="18" t="str">
        <f aca="false">'SALES Raw'!B922</f>
        <v>T20-L-XL</v>
      </c>
      <c r="C4544" s="18" t="str">
        <f aca="false">'SALES Raw'!H922</f>
        <v>T20 L-XL  חבק יד עם צמדן</v>
      </c>
      <c r="D4544" s="19" t="n">
        <f aca="false">'SALES Raw'!C922</f>
        <v>9</v>
      </c>
      <c r="E4544" s="19" t="n">
        <f aca="false">'SALES Raw'!D922</f>
        <v>320.16</v>
      </c>
      <c r="F4544" s="19" t="n">
        <f aca="false">'SALES Raw'!E922*$H$4</f>
        <v>0</v>
      </c>
      <c r="G4544" s="19" t="n">
        <f aca="false">'SALES Raw'!F922*$H$4</f>
        <v>0</v>
      </c>
      <c r="H4544" s="18" t="str">
        <f aca="false">'SALES Raw'!A922</f>
        <v>102 - Orthopedic institutes</v>
      </c>
    </row>
    <row r="4545" customFormat="false" ht="15" hidden="false" customHeight="false" outlineLevel="0" collapsed="false">
      <c r="A4545" s="18" t="str">
        <f aca="false">'SALES Raw'!G925</f>
        <v/>
      </c>
      <c r="B4545" s="18" t="str">
        <f aca="false">'SALES Raw'!B925</f>
        <v>20 XS</v>
      </c>
      <c r="C4545" s="18" t="str">
        <f aca="false">'SALES Raw'!H925</f>
        <v>20 XS</v>
      </c>
      <c r="D4545" s="19" t="n">
        <f aca="false">'SALES Raw'!C925</f>
        <v>1</v>
      </c>
      <c r="E4545" s="19" t="n">
        <f aca="false">'SALES Raw'!D925</f>
        <v>31</v>
      </c>
      <c r="F4545" s="19" t="n">
        <f aca="false">'SALES Raw'!E925*$H$4</f>
        <v>0</v>
      </c>
      <c r="G4545" s="19" t="n">
        <f aca="false">'SALES Raw'!F925*$H$4</f>
        <v>0</v>
      </c>
      <c r="H4545" s="18" t="str">
        <f aca="false">'SALES Raw'!A925</f>
        <v>102 - Orthopedic institutes</v>
      </c>
    </row>
    <row r="4546" customFormat="false" ht="15" hidden="false" customHeight="false" outlineLevel="0" collapsed="false">
      <c r="A4546" s="18" t="n">
        <f aca="false">'SALES Raw'!G932</f>
        <v>4413397</v>
      </c>
      <c r="B4546" s="18" t="str">
        <f aca="false">'SALES Raw'!B932</f>
        <v>45EC XL</v>
      </c>
      <c r="C4546" s="18" t="str">
        <f aca="false">'SALES Raw'!H932</f>
        <v>45EC XL'מגן ברך ארוך בז</v>
      </c>
      <c r="D4546" s="19" t="n">
        <f aca="false">'SALES Raw'!C932</f>
        <v>4</v>
      </c>
      <c r="E4546" s="19" t="n">
        <f aca="false">'SALES Raw'!D932</f>
        <v>144.83</v>
      </c>
      <c r="F4546" s="19" t="n">
        <f aca="false">'SALES Raw'!E932*$H$4</f>
        <v>0</v>
      </c>
      <c r="G4546" s="19" t="n">
        <f aca="false">'SALES Raw'!F932*$H$4</f>
        <v>0</v>
      </c>
      <c r="H4546" s="18" t="str">
        <f aca="false">'SALES Raw'!A932</f>
        <v>102 - Orthopedic institutes</v>
      </c>
    </row>
    <row r="4547" customFormat="false" ht="15" hidden="false" customHeight="false" outlineLevel="0" collapsed="false">
      <c r="A4547" s="18" t="n">
        <f aca="false">'SALES Raw'!G937</f>
        <v>4413056</v>
      </c>
      <c r="B4547" s="18" t="str">
        <f aca="false">'SALES Raw'!B937</f>
        <v>LF360 0</v>
      </c>
      <c r="C4547" s="18" t="str">
        <f aca="false">'SALES Raw'!H937</f>
        <v>LF360 מדרס מטטרזלי לנעלי עקב</v>
      </c>
      <c r="D4547" s="19" t="n">
        <f aca="false">'SALES Raw'!C937</f>
        <v>76</v>
      </c>
      <c r="E4547" s="19" t="n">
        <f aca="false">'SALES Raw'!D937</f>
        <v>1731.13</v>
      </c>
      <c r="F4547" s="19" t="n">
        <f aca="false">'SALES Raw'!E937*$H$4</f>
        <v>0</v>
      </c>
      <c r="G4547" s="19" t="n">
        <f aca="false">'SALES Raw'!F937*$H$4</f>
        <v>0</v>
      </c>
      <c r="H4547" s="18" t="str">
        <f aca="false">'SALES Raw'!A937</f>
        <v>102 - Orthopedic institutes</v>
      </c>
    </row>
    <row r="4548" customFormat="false" ht="15" hidden="false" customHeight="false" outlineLevel="0" collapsed="false">
      <c r="A4548" s="18" t="str">
        <f aca="false">'SALES Raw'!G940</f>
        <v/>
      </c>
      <c r="B4548" s="18" t="str">
        <f aca="false">'SALES Raw'!B940</f>
        <v>T49 S</v>
      </c>
      <c r="C4548" s="18" t="str">
        <f aca="false">'SALES Raw'!H940</f>
        <v>T49 S</v>
      </c>
      <c r="D4548" s="19" t="n">
        <f aca="false">'SALES Raw'!C940</f>
        <v>1</v>
      </c>
      <c r="E4548" s="19" t="n">
        <f aca="false">'SALES Raw'!D940</f>
        <v>79.57</v>
      </c>
      <c r="F4548" s="19" t="n">
        <f aca="false">'SALES Raw'!E940*$H$4</f>
        <v>0</v>
      </c>
      <c r="G4548" s="19" t="n">
        <f aca="false">'SALES Raw'!F940*$H$4</f>
        <v>0</v>
      </c>
      <c r="H4548" s="18" t="str">
        <f aca="false">'SALES Raw'!A940</f>
        <v>102 - Orthopedic institutes</v>
      </c>
    </row>
    <row r="4549" customFormat="false" ht="15" hidden="false" customHeight="false" outlineLevel="0" collapsed="false">
      <c r="A4549" s="18" t="str">
        <f aca="false">'SALES Raw'!G950</f>
        <v/>
      </c>
      <c r="B4549" s="18" t="str">
        <f aca="false">'SALES Raw'!B950</f>
        <v>18 XL</v>
      </c>
      <c r="C4549" s="18" t="str">
        <f aca="false">'SALES Raw'!H950</f>
        <v>18 XL</v>
      </c>
      <c r="D4549" s="19" t="n">
        <f aca="false">'SALES Raw'!C950</f>
        <v>1</v>
      </c>
      <c r="E4549" s="19" t="n">
        <f aca="false">'SALES Raw'!D950</f>
        <v>268.03</v>
      </c>
      <c r="F4549" s="19" t="n">
        <f aca="false">'SALES Raw'!E950*$H$4</f>
        <v>0</v>
      </c>
      <c r="G4549" s="19" t="n">
        <f aca="false">'SALES Raw'!F950*$H$4</f>
        <v>0</v>
      </c>
      <c r="H4549" s="18" t="str">
        <f aca="false">'SALES Raw'!A950</f>
        <v>102 - Orthopedic institutes</v>
      </c>
    </row>
    <row r="4550" customFormat="false" ht="15" hidden="false" customHeight="false" outlineLevel="0" collapsed="false">
      <c r="A4550" s="18" t="n">
        <f aca="false">'SALES Raw'!G951</f>
        <v>4408050</v>
      </c>
      <c r="B4550" s="18" t="str">
        <f aca="false">'SALES Raw'!B951</f>
        <v>20 XXL</v>
      </c>
      <c r="C4550" s="18" t="str">
        <f aca="false">'SALES Raw'!H951</f>
        <v>20 XXL חבק יד מתכוון עם צמדן</v>
      </c>
      <c r="D4550" s="19" t="n">
        <f aca="false">'SALES Raw'!C951</f>
        <v>0</v>
      </c>
      <c r="E4550" s="19" t="n">
        <f aca="false">'SALES Raw'!D951</f>
        <v>-2.21</v>
      </c>
      <c r="F4550" s="19" t="n">
        <f aca="false">'SALES Raw'!E951*$H$4</f>
        <v>0</v>
      </c>
      <c r="G4550" s="19" t="n">
        <f aca="false">'SALES Raw'!F951*$H$4</f>
        <v>0</v>
      </c>
      <c r="H4550" s="18" t="str">
        <f aca="false">'SALES Raw'!A951</f>
        <v>102 - Orthopedic institutes</v>
      </c>
    </row>
    <row r="4551" customFormat="false" ht="15" hidden="false" customHeight="false" outlineLevel="0" collapsed="false">
      <c r="A4551" s="18" t="str">
        <f aca="false">'SALES Raw'!G954</f>
        <v/>
      </c>
      <c r="B4551" s="18" t="str">
        <f aca="false">'SALES Raw'!B954</f>
        <v>394G-43-46</v>
      </c>
      <c r="C4551" s="18" t="str">
        <f aca="false">'SALES Raw'!H954</f>
        <v>394G-43-46</v>
      </c>
      <c r="D4551" s="19" t="n">
        <f aca="false">'SALES Raw'!C954</f>
        <v>18</v>
      </c>
      <c r="E4551" s="19" t="n">
        <f aca="false">'SALES Raw'!D954</f>
        <v>450</v>
      </c>
      <c r="F4551" s="19" t="n">
        <f aca="false">'SALES Raw'!E954*$H$4</f>
        <v>0</v>
      </c>
      <c r="G4551" s="19" t="n">
        <f aca="false">'SALES Raw'!F954*$H$4</f>
        <v>0</v>
      </c>
      <c r="H4551" s="18" t="str">
        <f aca="false">'SALES Raw'!A954</f>
        <v>102 - Orthopedic institutes</v>
      </c>
    </row>
    <row r="4552" customFormat="false" ht="15" hidden="false" customHeight="false" outlineLevel="0" collapsed="false">
      <c r="A4552" s="18" t="str">
        <f aca="false">'SALES Raw'!G962</f>
        <v/>
      </c>
      <c r="B4552" s="18" t="str">
        <f aca="false">'SALES Raw'!B962</f>
        <v>61 XL</v>
      </c>
      <c r="C4552" s="18" t="str">
        <f aca="false">'SALES Raw'!H962</f>
        <v>61 XL</v>
      </c>
      <c r="D4552" s="19" t="n">
        <f aca="false">'SALES Raw'!C962</f>
        <v>7</v>
      </c>
      <c r="E4552" s="19" t="n">
        <f aca="false">'SALES Raw'!D962</f>
        <v>192.08</v>
      </c>
      <c r="F4552" s="19" t="n">
        <f aca="false">'SALES Raw'!E962*$H$4</f>
        <v>0</v>
      </c>
      <c r="G4552" s="19" t="n">
        <f aca="false">'SALES Raw'!F962*$H$4</f>
        <v>0</v>
      </c>
      <c r="H4552" s="18" t="str">
        <f aca="false">'SALES Raw'!A962</f>
        <v>102 - Orthopedic institutes</v>
      </c>
    </row>
    <row r="4553" customFormat="false" ht="15" hidden="false" customHeight="false" outlineLevel="0" collapsed="false">
      <c r="A4553" s="18" t="str">
        <f aca="false">'SALES Raw'!G963</f>
        <v/>
      </c>
      <c r="B4553" s="18" t="str">
        <f aca="false">'SALES Raw'!B963</f>
        <v>78A S</v>
      </c>
      <c r="C4553" s="18" t="str">
        <f aca="false">'SALES Raw'!H963</f>
        <v>78A S</v>
      </c>
      <c r="D4553" s="19" t="n">
        <f aca="false">'SALES Raw'!C963</f>
        <v>2</v>
      </c>
      <c r="E4553" s="19" t="n">
        <f aca="false">'SALES Raw'!D963</f>
        <v>190</v>
      </c>
      <c r="F4553" s="19" t="n">
        <f aca="false">'SALES Raw'!E963*$H$4</f>
        <v>0</v>
      </c>
      <c r="G4553" s="19" t="n">
        <f aca="false">'SALES Raw'!F963*$H$4</f>
        <v>0</v>
      </c>
      <c r="H4553" s="18" t="str">
        <f aca="false">'SALES Raw'!A963</f>
        <v>102 - Orthopedic institutes</v>
      </c>
    </row>
    <row r="4554" customFormat="false" ht="15" hidden="false" customHeight="false" outlineLevel="0" collapsed="false">
      <c r="A4554" s="18" t="str">
        <f aca="false">'SALES Raw'!G964</f>
        <v/>
      </c>
      <c r="B4554" s="18" t="str">
        <f aca="false">'SALES Raw'!B964</f>
        <v>78A XL</v>
      </c>
      <c r="C4554" s="18" t="str">
        <f aca="false">'SALES Raw'!H964</f>
        <v>78A XL</v>
      </c>
      <c r="D4554" s="19" t="n">
        <f aca="false">'SALES Raw'!C964</f>
        <v>3</v>
      </c>
      <c r="E4554" s="19" t="n">
        <f aca="false">'SALES Raw'!D964</f>
        <v>285</v>
      </c>
      <c r="F4554" s="19" t="n">
        <f aca="false">'SALES Raw'!E964*$H$4</f>
        <v>0</v>
      </c>
      <c r="G4554" s="19" t="n">
        <f aca="false">'SALES Raw'!F964*$H$4</f>
        <v>0</v>
      </c>
      <c r="H4554" s="18" t="str">
        <f aca="false">'SALES Raw'!A964</f>
        <v>102 - Orthopedic institutes</v>
      </c>
    </row>
    <row r="4555" customFormat="false" ht="15" hidden="false" customHeight="false" outlineLevel="0" collapsed="false">
      <c r="A4555" s="18" t="str">
        <f aca="false">'SALES Raw'!G965</f>
        <v/>
      </c>
      <c r="B4555" s="18" t="str">
        <f aca="false">'SALES Raw'!B965</f>
        <v>78A XXL</v>
      </c>
      <c r="C4555" s="18" t="str">
        <f aca="false">'SALES Raw'!H965</f>
        <v>78A XXL</v>
      </c>
      <c r="D4555" s="19" t="n">
        <f aca="false">'SALES Raw'!C965</f>
        <v>1</v>
      </c>
      <c r="E4555" s="19" t="n">
        <f aca="false">'SALES Raw'!D965</f>
        <v>95</v>
      </c>
      <c r="F4555" s="19" t="n">
        <f aca="false">'SALES Raw'!E965*$H$4</f>
        <v>0</v>
      </c>
      <c r="G4555" s="19" t="n">
        <f aca="false">'SALES Raw'!F965*$H$4</f>
        <v>0</v>
      </c>
      <c r="H4555" s="18" t="str">
        <f aca="false">'SALES Raw'!A965</f>
        <v>102 - Orthopedic institutes</v>
      </c>
    </row>
    <row r="4556" customFormat="false" ht="15" hidden="false" customHeight="false" outlineLevel="0" collapsed="false">
      <c r="A4556" s="18" t="str">
        <f aca="false">'SALES Raw'!G972</f>
        <v/>
      </c>
      <c r="B4556" s="18" t="str">
        <f aca="false">'SALES Raw'!B972</f>
        <v>55 S</v>
      </c>
      <c r="C4556" s="18" t="str">
        <f aca="false">'SALES Raw'!H972</f>
        <v>55 S</v>
      </c>
      <c r="D4556" s="19" t="n">
        <f aca="false">'SALES Raw'!C972</f>
        <v>2</v>
      </c>
      <c r="E4556" s="19" t="n">
        <f aca="false">'SALES Raw'!D972</f>
        <v>168.64</v>
      </c>
      <c r="F4556" s="19" t="n">
        <f aca="false">'SALES Raw'!E972*$H$4</f>
        <v>0</v>
      </c>
      <c r="G4556" s="19" t="n">
        <f aca="false">'SALES Raw'!F972*$H$4</f>
        <v>0</v>
      </c>
      <c r="H4556" s="18" t="str">
        <f aca="false">'SALES Raw'!A972</f>
        <v>102 - Orthopedic institutes</v>
      </c>
    </row>
    <row r="4557" customFormat="false" ht="15" hidden="false" customHeight="false" outlineLevel="0" collapsed="false">
      <c r="A4557" s="18" t="str">
        <f aca="false">'SALES Raw'!G973</f>
        <v/>
      </c>
      <c r="B4557" s="18" t="str">
        <f aca="false">'SALES Raw'!B973</f>
        <v>55 XXL</v>
      </c>
      <c r="C4557" s="18" t="str">
        <f aca="false">'SALES Raw'!H973</f>
        <v>55 XXL</v>
      </c>
      <c r="D4557" s="19" t="n">
        <f aca="false">'SALES Raw'!C973</f>
        <v>2</v>
      </c>
      <c r="E4557" s="19" t="n">
        <f aca="false">'SALES Raw'!D973</f>
        <v>168.64</v>
      </c>
      <c r="F4557" s="19" t="n">
        <f aca="false">'SALES Raw'!E973*$H$4</f>
        <v>0</v>
      </c>
      <c r="G4557" s="19" t="n">
        <f aca="false">'SALES Raw'!F973*$H$4</f>
        <v>0</v>
      </c>
      <c r="H4557" s="18" t="str">
        <f aca="false">'SALES Raw'!A973</f>
        <v>102 - Orthopedic institutes</v>
      </c>
    </row>
    <row r="4558" customFormat="false" ht="15" hidden="false" customHeight="false" outlineLevel="0" collapsed="false">
      <c r="A4558" s="18" t="n">
        <f aca="false">'SALES Raw'!G983</f>
        <v>4408097</v>
      </c>
      <c r="B4558" s="18" t="str">
        <f aca="false">'SALES Raw'!B983</f>
        <v>T20C-L-XL</v>
      </c>
      <c r="C4558" s="18" t="str">
        <f aca="false">'SALES Raw'!H983</f>
        <v>T20C L-XL חבק יד עם צמדן חום</v>
      </c>
      <c r="D4558" s="19" t="n">
        <f aca="false">'SALES Raw'!C983</f>
        <v>7</v>
      </c>
      <c r="E4558" s="19" t="n">
        <f aca="false">'SALES Raw'!D983</f>
        <v>249</v>
      </c>
      <c r="F4558" s="19" t="n">
        <f aca="false">'SALES Raw'!E983*$H$4</f>
        <v>0</v>
      </c>
      <c r="G4558" s="19" t="n">
        <f aca="false">'SALES Raw'!F983*$H$4</f>
        <v>0</v>
      </c>
      <c r="H4558" s="18" t="str">
        <f aca="false">'SALES Raw'!A983</f>
        <v>102 - Orthopedic institutes</v>
      </c>
    </row>
    <row r="4559" customFormat="false" ht="15" hidden="false" customHeight="false" outlineLevel="0" collapsed="false">
      <c r="A4559" s="18" t="n">
        <f aca="false">'SALES Raw'!G984</f>
        <v>4408096</v>
      </c>
      <c r="B4559" s="18" t="str">
        <f aca="false">'SALES Raw'!B984</f>
        <v>T20C-S-M</v>
      </c>
      <c r="C4559" s="18" t="str">
        <f aca="false">'SALES Raw'!H984</f>
        <v>T20C S-M חבק יד עם צמדןחום</v>
      </c>
      <c r="D4559" s="19" t="n">
        <f aca="false">'SALES Raw'!C984</f>
        <v>16</v>
      </c>
      <c r="E4559" s="19" t="n">
        <f aca="false">'SALES Raw'!D984</f>
        <v>568.82</v>
      </c>
      <c r="F4559" s="19" t="n">
        <f aca="false">'SALES Raw'!E984*$H$4</f>
        <v>0</v>
      </c>
      <c r="G4559" s="19" t="n">
        <f aca="false">'SALES Raw'!F984*$H$4</f>
        <v>0</v>
      </c>
      <c r="H4559" s="18" t="str">
        <f aca="false">'SALES Raw'!A984</f>
        <v>102 - Orthopedic institutes</v>
      </c>
    </row>
    <row r="4560" customFormat="false" ht="15" hidden="false" customHeight="false" outlineLevel="0" collapsed="false">
      <c r="A4560" s="18" t="str">
        <f aca="false">'SALES Raw'!G986</f>
        <v/>
      </c>
      <c r="B4560" s="18" t="str">
        <f aca="false">'SALES Raw'!B986</f>
        <v>T433 L</v>
      </c>
      <c r="C4560" s="18" t="str">
        <f aca="false">'SALES Raw'!H986</f>
        <v>T433 L</v>
      </c>
      <c r="D4560" s="19" t="n">
        <f aca="false">'SALES Raw'!C986</f>
        <v>0</v>
      </c>
      <c r="E4560" s="19" t="n">
        <f aca="false">'SALES Raw'!D986</f>
        <v>0.01</v>
      </c>
      <c r="F4560" s="19" t="n">
        <f aca="false">'SALES Raw'!E986*$H$4</f>
        <v>0</v>
      </c>
      <c r="G4560" s="19" t="n">
        <f aca="false">'SALES Raw'!F986*$H$4</f>
        <v>0</v>
      </c>
      <c r="H4560" s="18" t="str">
        <f aca="false">'SALES Raw'!A986</f>
        <v>102 - Orthopedic institutes</v>
      </c>
    </row>
    <row r="4561" customFormat="false" ht="15" hidden="false" customHeight="false" outlineLevel="0" collapsed="false">
      <c r="A4561" s="18" t="str">
        <f aca="false">'SALES Raw'!G988</f>
        <v/>
      </c>
      <c r="B4561" s="18" t="str">
        <f aca="false">'SALES Raw'!B988</f>
        <v>T49 XL</v>
      </c>
      <c r="C4561" s="18" t="str">
        <f aca="false">'SALES Raw'!H988</f>
        <v>T49 XL</v>
      </c>
      <c r="D4561" s="19" t="n">
        <f aca="false">'SALES Raw'!C988</f>
        <v>1</v>
      </c>
      <c r="E4561" s="19" t="n">
        <f aca="false">'SALES Raw'!D988</f>
        <v>85.26</v>
      </c>
      <c r="F4561" s="19" t="n">
        <f aca="false">'SALES Raw'!E988*$H$4</f>
        <v>0</v>
      </c>
      <c r="G4561" s="19" t="n">
        <f aca="false">'SALES Raw'!F988*$H$4</f>
        <v>0</v>
      </c>
      <c r="H4561" s="18" t="str">
        <f aca="false">'SALES Raw'!A988</f>
        <v>102 - Orthopedic institutes</v>
      </c>
    </row>
    <row r="4562" customFormat="false" ht="15" hidden="false" customHeight="false" outlineLevel="0" collapsed="false">
      <c r="A4562" s="18" t="str">
        <f aca="false">'SALES Raw'!G989</f>
        <v/>
      </c>
      <c r="B4562" s="18" t="str">
        <f aca="false">'SALES Raw'!B989</f>
        <v>T95 M</v>
      </c>
      <c r="C4562" s="18" t="str">
        <f aca="false">'SALES Raw'!H989</f>
        <v>T95 M</v>
      </c>
      <c r="D4562" s="19" t="n">
        <f aca="false">'SALES Raw'!C989</f>
        <v>1</v>
      </c>
      <c r="E4562" s="19" t="n">
        <f aca="false">'SALES Raw'!D989</f>
        <v>59.01</v>
      </c>
      <c r="F4562" s="19" t="n">
        <f aca="false">'SALES Raw'!E989*$H$4</f>
        <v>0</v>
      </c>
      <c r="G4562" s="19" t="n">
        <f aca="false">'SALES Raw'!F989*$H$4</f>
        <v>0</v>
      </c>
      <c r="H4562" s="18" t="str">
        <f aca="false">'SALES Raw'!A989</f>
        <v>102 - Orthopedic institutes</v>
      </c>
    </row>
    <row r="4563" customFormat="false" ht="15" hidden="false" customHeight="false" outlineLevel="0" collapsed="false">
      <c r="A4563" s="18" t="str">
        <f aca="false">'SALES Raw'!G995</f>
        <v/>
      </c>
      <c r="B4563" s="18" t="str">
        <f aca="false">'SALES Raw'!B995</f>
        <v>15M M</v>
      </c>
      <c r="C4563" s="18" t="str">
        <f aca="false">'SALES Raw'!H995</f>
        <v>15M M</v>
      </c>
      <c r="D4563" s="19" t="n">
        <f aca="false">'SALES Raw'!C995</f>
        <v>3</v>
      </c>
      <c r="E4563" s="19" t="n">
        <f aca="false">'SALES Raw'!D995</f>
        <v>366.14</v>
      </c>
      <c r="F4563" s="19" t="n">
        <f aca="false">'SALES Raw'!E995*$H$4</f>
        <v>0</v>
      </c>
      <c r="G4563" s="19" t="n">
        <f aca="false">'SALES Raw'!F995*$H$4</f>
        <v>0</v>
      </c>
      <c r="H4563" s="18" t="str">
        <f aca="false">'SALES Raw'!A995</f>
        <v>102 - Orthopedic institutes</v>
      </c>
    </row>
    <row r="4564" customFormat="false" ht="15" hidden="false" customHeight="false" outlineLevel="0" collapsed="false">
      <c r="A4564" s="18" t="str">
        <f aca="false">'SALES Raw'!G1003</f>
        <v/>
      </c>
      <c r="B4564" s="18" t="str">
        <f aca="false">'SALES Raw'!B1003</f>
        <v>88L XXL</v>
      </c>
      <c r="C4564" s="18" t="str">
        <f aca="false">'SALES Raw'!H1003</f>
        <v>88L XXL</v>
      </c>
      <c r="D4564" s="19" t="n">
        <f aca="false">'SALES Raw'!C1003</f>
        <v>1</v>
      </c>
      <c r="E4564" s="19" t="n">
        <f aca="false">'SALES Raw'!D1003</f>
        <v>304.63</v>
      </c>
      <c r="F4564" s="19" t="n">
        <f aca="false">'SALES Raw'!E1003*$H$4</f>
        <v>0</v>
      </c>
      <c r="G4564" s="19" t="n">
        <f aca="false">'SALES Raw'!F1003*$H$4</f>
        <v>0</v>
      </c>
      <c r="H4564" s="18" t="str">
        <f aca="false">'SALES Raw'!A1003</f>
        <v>102 - Orthopedic institutes</v>
      </c>
    </row>
    <row r="4565" customFormat="false" ht="15" hidden="false" customHeight="false" outlineLevel="0" collapsed="false">
      <c r="A4565" s="18" t="str">
        <f aca="false">'SALES Raw'!G1004</f>
        <v/>
      </c>
      <c r="B4565" s="18" t="str">
        <f aca="false">'SALES Raw'!B1004</f>
        <v>922B XL</v>
      </c>
      <c r="C4565" s="18" t="str">
        <f aca="false">'SALES Raw'!H1004</f>
        <v>922B XL</v>
      </c>
      <c r="D4565" s="19" t="n">
        <f aca="false">'SALES Raw'!C1004</f>
        <v>4</v>
      </c>
      <c r="E4565" s="19" t="n">
        <f aca="false">'SALES Raw'!D1004</f>
        <v>463.95</v>
      </c>
      <c r="F4565" s="19" t="n">
        <f aca="false">'SALES Raw'!E1004*$H$4</f>
        <v>0</v>
      </c>
      <c r="G4565" s="19" t="n">
        <f aca="false">'SALES Raw'!F1004*$H$4</f>
        <v>0</v>
      </c>
      <c r="H4565" s="18" t="str">
        <f aca="false">'SALES Raw'!A1004</f>
        <v>102 - Orthopedic institutes</v>
      </c>
    </row>
    <row r="4566" customFormat="false" ht="15" hidden="false" customHeight="false" outlineLevel="0" collapsed="false">
      <c r="A4566" s="18" t="n">
        <f aca="false">'SALES Raw'!G1006</f>
        <v>4420026</v>
      </c>
      <c r="B4566" s="18" t="str">
        <f aca="false">'SALES Raw'!B1006</f>
        <v>AC40 0</v>
      </c>
      <c r="C4566" s="18" t="str">
        <f aca="false">'SALES Raw'!H1006</f>
        <v>AC40 רצועה לפיקת הברך</v>
      </c>
      <c r="D4566" s="19" t="n">
        <f aca="false">'SALES Raw'!C1006</f>
        <v>7</v>
      </c>
      <c r="E4566" s="19" t="n">
        <f aca="false">'SALES Raw'!D1006</f>
        <v>562.99</v>
      </c>
      <c r="F4566" s="19" t="n">
        <f aca="false">'SALES Raw'!E1006*$H$4</f>
        <v>0</v>
      </c>
      <c r="G4566" s="19" t="n">
        <f aca="false">'SALES Raw'!F1006*$H$4</f>
        <v>0</v>
      </c>
      <c r="H4566" s="18" t="str">
        <f aca="false">'SALES Raw'!A1006</f>
        <v>102 - Orthopedic institutes</v>
      </c>
    </row>
    <row r="4567" customFormat="false" ht="15" hidden="false" customHeight="false" outlineLevel="0" collapsed="false">
      <c r="A4567" s="18" t="n">
        <f aca="false">'SALES Raw'!G1007</f>
        <v>4411021</v>
      </c>
      <c r="B4567" s="18" t="str">
        <f aca="false">'SALES Raw'!B1007</f>
        <v>212 L</v>
      </c>
      <c r="C4567" s="18" t="str">
        <f aca="false">'SALES Raw'!H1007</f>
        <v>212L כפפות אגודל לחץ</v>
      </c>
      <c r="D4567" s="19" t="n">
        <f aca="false">'SALES Raw'!C1007</f>
        <v>3</v>
      </c>
      <c r="E4567" s="19" t="n">
        <f aca="false">'SALES Raw'!D1007</f>
        <v>114.99</v>
      </c>
      <c r="F4567" s="19" t="n">
        <f aca="false">'SALES Raw'!E1007*$H$4</f>
        <v>0</v>
      </c>
      <c r="G4567" s="19" t="n">
        <f aca="false">'SALES Raw'!F1007*$H$4</f>
        <v>0</v>
      </c>
      <c r="H4567" s="18" t="str">
        <f aca="false">'SALES Raw'!A1007</f>
        <v>102 - Orthopedic institutes</v>
      </c>
    </row>
    <row r="4568" customFormat="false" ht="15" hidden="false" customHeight="false" outlineLevel="0" collapsed="false">
      <c r="A4568" s="18" t="n">
        <f aca="false">'SALES Raw'!G1008</f>
        <v>4411024</v>
      </c>
      <c r="B4568" s="18" t="str">
        <f aca="false">'SALES Raw'!B1008</f>
        <v>212 XL</v>
      </c>
      <c r="C4568" s="18" t="str">
        <f aca="false">'SALES Raw'!H1008</f>
        <v>212XL כפפות אגודל לחץ</v>
      </c>
      <c r="D4568" s="19" t="n">
        <f aca="false">'SALES Raw'!C1008</f>
        <v>1</v>
      </c>
      <c r="E4568" s="19" t="n">
        <f aca="false">'SALES Raw'!D1008</f>
        <v>35.41</v>
      </c>
      <c r="F4568" s="19" t="n">
        <f aca="false">'SALES Raw'!E1008*$H$4</f>
        <v>0</v>
      </c>
      <c r="G4568" s="19" t="n">
        <f aca="false">'SALES Raw'!F1008*$H$4</f>
        <v>0</v>
      </c>
      <c r="H4568" s="18" t="str">
        <f aca="false">'SALES Raw'!A1008</f>
        <v>102 - Orthopedic institutes</v>
      </c>
    </row>
    <row r="4569" customFormat="false" ht="15" hidden="false" customHeight="false" outlineLevel="0" collapsed="false">
      <c r="A4569" s="18" t="n">
        <f aca="false">'SALES Raw'!G1009</f>
        <v>4416005</v>
      </c>
      <c r="B4569" s="18" t="str">
        <f aca="false">'SALES Raw'!B1009</f>
        <v>308 M</v>
      </c>
      <c r="C4569" s="18" t="str">
        <f aca="false">'SALES Raw'!H1009</f>
        <v>308 Mעקבים סיליק.כחול לדורבן</v>
      </c>
      <c r="D4569" s="19" t="n">
        <f aca="false">'SALES Raw'!C1009</f>
        <v>2</v>
      </c>
      <c r="E4569" s="19" t="n">
        <f aca="false">'SALES Raw'!D1009</f>
        <v>124.08</v>
      </c>
      <c r="F4569" s="19" t="n">
        <f aca="false">'SALES Raw'!E1009*$H$4</f>
        <v>0</v>
      </c>
      <c r="G4569" s="19" t="n">
        <f aca="false">'SALES Raw'!F1009*$H$4</f>
        <v>0</v>
      </c>
      <c r="H4569" s="18" t="str">
        <f aca="false">'SALES Raw'!A1009</f>
        <v>102 - Orthopedic institutes</v>
      </c>
    </row>
    <row r="4570" customFormat="false" ht="15" hidden="false" customHeight="false" outlineLevel="0" collapsed="false">
      <c r="A4570" s="18" t="n">
        <f aca="false">'SALES Raw'!G1010</f>
        <v>4415297</v>
      </c>
      <c r="B4570" s="18" t="str">
        <f aca="false">'SALES Raw'!B1010</f>
        <v>313 0</v>
      </c>
      <c r="C4570" s="18" t="str">
        <f aca="false">'SALES Raw'!H1010</f>
        <v>313 סט פלסטרים נגד שפשופים</v>
      </c>
      <c r="D4570" s="19" t="n">
        <f aca="false">'SALES Raw'!C1010</f>
        <v>-1</v>
      </c>
      <c r="E4570" s="19" t="n">
        <f aca="false">'SALES Raw'!D1010</f>
        <v>-23.59</v>
      </c>
      <c r="F4570" s="19" t="n">
        <f aca="false">'SALES Raw'!E1010*$H$4</f>
        <v>0</v>
      </c>
      <c r="G4570" s="19" t="n">
        <f aca="false">'SALES Raw'!F1010*$H$4</f>
        <v>0</v>
      </c>
      <c r="H4570" s="18" t="str">
        <f aca="false">'SALES Raw'!A1010</f>
        <v>102 - Orthopedic institutes</v>
      </c>
    </row>
    <row r="4571" customFormat="false" ht="15" hidden="false" customHeight="false" outlineLevel="0" collapsed="false">
      <c r="A4571" s="18" t="n">
        <f aca="false">'SALES Raw'!G1011</f>
        <v>4413073</v>
      </c>
      <c r="B4571" s="18" t="str">
        <f aca="false">'SALES Raw'!B1011</f>
        <v>41 M</v>
      </c>
      <c r="C4571" s="18" t="str">
        <f aca="false">'SALES Raw'!H1011</f>
        <v>41 Mמ.ברך מוצלב+ספירלות בצדדים</v>
      </c>
      <c r="D4571" s="19" t="n">
        <f aca="false">'SALES Raw'!C1011</f>
        <v>-1</v>
      </c>
      <c r="E4571" s="19" t="n">
        <f aca="false">'SALES Raw'!D1011</f>
        <v>-118.13</v>
      </c>
      <c r="F4571" s="19" t="n">
        <f aca="false">'SALES Raw'!E1011*$H$4</f>
        <v>0</v>
      </c>
      <c r="G4571" s="19" t="n">
        <f aca="false">'SALES Raw'!F1011*$H$4</f>
        <v>0</v>
      </c>
      <c r="H4571" s="18" t="str">
        <f aca="false">'SALES Raw'!A1011</f>
        <v>102 - Orthopedic institutes</v>
      </c>
    </row>
    <row r="4572" customFormat="false" ht="15" hidden="false" customHeight="false" outlineLevel="0" collapsed="false">
      <c r="A4572" s="18" t="str">
        <f aca="false">'SALES Raw'!G1013</f>
        <v/>
      </c>
      <c r="B4572" s="18" t="str">
        <f aca="false">'SALES Raw'!B1013</f>
        <v>T26 L</v>
      </c>
      <c r="C4572" s="18" t="str">
        <f aca="false">'SALES Raw'!H1013</f>
        <v>T26 L</v>
      </c>
      <c r="D4572" s="19" t="n">
        <f aca="false">'SALES Raw'!C1013</f>
        <v>-1</v>
      </c>
      <c r="E4572" s="19" t="n">
        <f aca="false">'SALES Raw'!D1013</f>
        <v>-80.32</v>
      </c>
      <c r="F4572" s="19" t="n">
        <f aca="false">'SALES Raw'!E1013*$H$4</f>
        <v>0</v>
      </c>
      <c r="G4572" s="19" t="n">
        <f aca="false">'SALES Raw'!F1013*$H$4</f>
        <v>0</v>
      </c>
      <c r="H4572" s="18" t="str">
        <f aca="false">'SALES Raw'!A1013</f>
        <v>102 - Orthopedic institutes</v>
      </c>
    </row>
    <row r="4573" customFormat="false" ht="15" hidden="false" customHeight="false" outlineLevel="0" collapsed="false">
      <c r="A4573" s="18" t="str">
        <f aca="false">'SALES Raw'!G1018</f>
        <v/>
      </c>
      <c r="B4573" s="18" t="str">
        <f aca="false">'SALES Raw'!B1018</f>
        <v>T43V XXL</v>
      </c>
      <c r="C4573" s="18" t="str">
        <f aca="false">'SALES Raw'!H1018</f>
        <v>T43V XXL</v>
      </c>
      <c r="D4573" s="19" t="n">
        <f aca="false">'SALES Raw'!C1018</f>
        <v>1</v>
      </c>
      <c r="E4573" s="19" t="n">
        <f aca="false">'SALES Raw'!D1018</f>
        <v>401.77</v>
      </c>
      <c r="F4573" s="19" t="n">
        <f aca="false">'SALES Raw'!E1018*$H$4</f>
        <v>0</v>
      </c>
      <c r="G4573" s="19" t="n">
        <f aca="false">'SALES Raw'!F1018*$H$4</f>
        <v>0</v>
      </c>
      <c r="H4573" s="18" t="str">
        <f aca="false">'SALES Raw'!A1018</f>
        <v>102 - Orthopedic institutes</v>
      </c>
    </row>
    <row r="4574" customFormat="false" ht="15" hidden="false" customHeight="false" outlineLevel="0" collapsed="false">
      <c r="A4574" s="18" t="n">
        <f aca="false">'SALES Raw'!G1023</f>
        <v>4413523</v>
      </c>
      <c r="B4574" s="18" t="str">
        <f aca="false">'SALES Raw'!B1023</f>
        <v>379COM-35-38</v>
      </c>
      <c r="C4574" s="18" t="str">
        <f aca="false">'SALES Raw'!H1023</f>
        <v>35-38 מדרסי אפיק ג'ל נוחות</v>
      </c>
      <c r="D4574" s="19" t="n">
        <f aca="false">'SALES Raw'!C1023</f>
        <v>2</v>
      </c>
      <c r="E4574" s="19" t="n">
        <f aca="false">'SALES Raw'!D1023</f>
        <v>219.04</v>
      </c>
      <c r="F4574" s="19" t="n">
        <f aca="false">'SALES Raw'!E1023*$H$4</f>
        <v>0</v>
      </c>
      <c r="G4574" s="19" t="n">
        <f aca="false">'SALES Raw'!F1023*$H$4</f>
        <v>0</v>
      </c>
      <c r="H4574" s="18" t="str">
        <f aca="false">'SALES Raw'!A1023</f>
        <v>102 - Orthopedic institutes</v>
      </c>
    </row>
    <row r="4575" customFormat="false" ht="15" hidden="false" customHeight="false" outlineLevel="0" collapsed="false">
      <c r="A4575" s="18" t="n">
        <f aca="false">'SALES Raw'!G1024</f>
        <v>4413520</v>
      </c>
      <c r="B4575" s="18" t="str">
        <f aca="false">'SALES Raw'!B1024</f>
        <v>379MSP-35-38</v>
      </c>
      <c r="C4575" s="18" t="str">
        <f aca="false">'SALES Raw'!H1024</f>
        <v>מדרסי אפיק ג'ל מולט.ספורט35-38</v>
      </c>
      <c r="D4575" s="19" t="n">
        <f aca="false">'SALES Raw'!C1024</f>
        <v>3</v>
      </c>
      <c r="E4575" s="19" t="n">
        <f aca="false">'SALES Raw'!D1024</f>
        <v>337.58</v>
      </c>
      <c r="F4575" s="19" t="n">
        <f aca="false">'SALES Raw'!E1024*$H$4</f>
        <v>0</v>
      </c>
      <c r="G4575" s="19" t="n">
        <f aca="false">'SALES Raw'!F1024*$H$4</f>
        <v>0</v>
      </c>
      <c r="H4575" s="18" t="str">
        <f aca="false">'SALES Raw'!A1024</f>
        <v>102 - Orthopedic institutes</v>
      </c>
    </row>
    <row r="4576" customFormat="false" ht="15" hidden="false" customHeight="false" outlineLevel="0" collapsed="false">
      <c r="A4576" s="18" t="n">
        <f aca="false">'SALES Raw'!G1025</f>
        <v>4413521</v>
      </c>
      <c r="B4576" s="18" t="str">
        <f aca="false">'SALES Raw'!B1025</f>
        <v>379MSP-39-42</v>
      </c>
      <c r="C4576" s="18" t="str">
        <f aca="false">'SALES Raw'!H1025</f>
        <v>מדרסי אפיק ג'ל מולטי ספור39-42</v>
      </c>
      <c r="D4576" s="19" t="n">
        <f aca="false">'SALES Raw'!C1025</f>
        <v>3</v>
      </c>
      <c r="E4576" s="19" t="n">
        <f aca="false">'SALES Raw'!D1025</f>
        <v>337.58</v>
      </c>
      <c r="F4576" s="19" t="n">
        <f aca="false">'SALES Raw'!E1025*$H$4</f>
        <v>0</v>
      </c>
      <c r="G4576" s="19" t="n">
        <f aca="false">'SALES Raw'!F1025*$H$4</f>
        <v>0</v>
      </c>
      <c r="H4576" s="18" t="str">
        <f aca="false">'SALES Raw'!A1025</f>
        <v>102 - Orthopedic institutes</v>
      </c>
    </row>
    <row r="4577" customFormat="false" ht="15" hidden="false" customHeight="false" outlineLevel="0" collapsed="false">
      <c r="A4577" s="18" t="str">
        <f aca="false">'SALES Raw'!G1028</f>
        <v/>
      </c>
      <c r="B4577" s="18" t="str">
        <f aca="false">'SALES Raw'!B1028</f>
        <v>079 L</v>
      </c>
      <c r="C4577" s="18" t="str">
        <f aca="false">'SALES Raw'!H1028</f>
        <v>079 L</v>
      </c>
      <c r="D4577" s="19" t="n">
        <f aca="false">'SALES Raw'!C1028</f>
        <v>1</v>
      </c>
      <c r="E4577" s="19" t="n">
        <f aca="false">'SALES Raw'!D1028</f>
        <v>108.68</v>
      </c>
      <c r="F4577" s="19" t="n">
        <f aca="false">'SALES Raw'!E1028*$H$4</f>
        <v>0</v>
      </c>
      <c r="G4577" s="19" t="n">
        <f aca="false">'SALES Raw'!F1028*$H$4</f>
        <v>0</v>
      </c>
      <c r="H4577" s="18" t="str">
        <f aca="false">'SALES Raw'!A1028</f>
        <v>102 - Orthopedic institutes</v>
      </c>
    </row>
    <row r="4578" customFormat="false" ht="15" hidden="false" customHeight="false" outlineLevel="0" collapsed="false">
      <c r="A4578" s="18" t="str">
        <f aca="false">'SALES Raw'!G1029</f>
        <v/>
      </c>
      <c r="B4578" s="18" t="str">
        <f aca="false">'SALES Raw'!B1029</f>
        <v>079 M</v>
      </c>
      <c r="C4578" s="18" t="str">
        <f aca="false">'SALES Raw'!H1029</f>
        <v>079 M</v>
      </c>
      <c r="D4578" s="19" t="n">
        <f aca="false">'SALES Raw'!C1029</f>
        <v>1</v>
      </c>
      <c r="E4578" s="19" t="n">
        <f aca="false">'SALES Raw'!D1029</f>
        <v>108.68</v>
      </c>
      <c r="F4578" s="19" t="n">
        <f aca="false">'SALES Raw'!E1029*$H$4</f>
        <v>0</v>
      </c>
      <c r="G4578" s="19" t="n">
        <f aca="false">'SALES Raw'!F1029*$H$4</f>
        <v>0</v>
      </c>
      <c r="H4578" s="18" t="str">
        <f aca="false">'SALES Raw'!A1029</f>
        <v>102 - Orthopedic institutes</v>
      </c>
    </row>
    <row r="4579" customFormat="false" ht="15" hidden="false" customHeight="false" outlineLevel="0" collapsed="false">
      <c r="A4579" s="18" t="str">
        <f aca="false">'SALES Raw'!G1030</f>
        <v/>
      </c>
      <c r="B4579" s="18" t="str">
        <f aca="false">'SALES Raw'!B1030</f>
        <v>15M S</v>
      </c>
      <c r="C4579" s="18" t="str">
        <f aca="false">'SALES Raw'!H1030</f>
        <v>15M S</v>
      </c>
      <c r="D4579" s="19" t="n">
        <f aca="false">'SALES Raw'!C1030</f>
        <v>2</v>
      </c>
      <c r="E4579" s="19" t="n">
        <f aca="false">'SALES Raw'!D1030</f>
        <v>281.14</v>
      </c>
      <c r="F4579" s="19" t="n">
        <f aca="false">'SALES Raw'!E1030*$H$4</f>
        <v>0</v>
      </c>
      <c r="G4579" s="19" t="n">
        <f aca="false">'SALES Raw'!F1030*$H$4</f>
        <v>0</v>
      </c>
      <c r="H4579" s="18" t="str">
        <f aca="false">'SALES Raw'!A1030</f>
        <v>102 - Orthopedic institutes</v>
      </c>
    </row>
    <row r="4580" customFormat="false" ht="15" hidden="false" customHeight="false" outlineLevel="0" collapsed="false">
      <c r="A4580" s="18" t="n">
        <f aca="false">'SALES Raw'!G1037</f>
        <v>4413493</v>
      </c>
      <c r="B4580" s="18" t="str">
        <f aca="false">'SALES Raw'!B1037</f>
        <v>35B S</v>
      </c>
      <c r="C4580" s="18" t="str">
        <f aca="false">'SALES Raw'!H1037</f>
        <v>35B S מגן קרסול שחור</v>
      </c>
      <c r="D4580" s="19" t="n">
        <f aca="false">'SALES Raw'!C1037</f>
        <v>9</v>
      </c>
      <c r="E4580" s="19" t="n">
        <f aca="false">'SALES Raw'!D1037</f>
        <v>242.35</v>
      </c>
      <c r="F4580" s="19" t="n">
        <f aca="false">'SALES Raw'!E1037*$H$4</f>
        <v>0</v>
      </c>
      <c r="G4580" s="19" t="n">
        <f aca="false">'SALES Raw'!F1037*$H$4</f>
        <v>0</v>
      </c>
      <c r="H4580" s="18" t="str">
        <f aca="false">'SALES Raw'!A1037</f>
        <v>102 - Orthopedic institutes</v>
      </c>
    </row>
    <row r="4581" customFormat="false" ht="15" hidden="false" customHeight="false" outlineLevel="0" collapsed="false">
      <c r="A4581" s="18" t="str">
        <f aca="false">'SALES Raw'!G1043</f>
        <v/>
      </c>
      <c r="B4581" s="18" t="str">
        <f aca="false">'SALES Raw'!B1043</f>
        <v>499 S</v>
      </c>
      <c r="C4581" s="18" t="str">
        <f aca="false">'SALES Raw'!H1043</f>
        <v>499 S</v>
      </c>
      <c r="D4581" s="19" t="n">
        <f aca="false">'SALES Raw'!C1043</f>
        <v>2</v>
      </c>
      <c r="E4581" s="19" t="n">
        <f aca="false">'SALES Raw'!D1043</f>
        <v>330</v>
      </c>
      <c r="F4581" s="19" t="n">
        <f aca="false">'SALES Raw'!E1043*$H$4</f>
        <v>0</v>
      </c>
      <c r="G4581" s="19" t="n">
        <f aca="false">'SALES Raw'!F1043*$H$4</f>
        <v>0</v>
      </c>
      <c r="H4581" s="18" t="str">
        <f aca="false">'SALES Raw'!A1043</f>
        <v>102 - Orthopedic institutes</v>
      </c>
    </row>
    <row r="4582" customFormat="false" ht="15" hidden="false" customHeight="false" outlineLevel="0" collapsed="false">
      <c r="A4582" s="18" t="str">
        <f aca="false">'SALES Raw'!G1044</f>
        <v/>
      </c>
      <c r="B4582" s="18" t="str">
        <f aca="false">'SALES Raw'!B1044</f>
        <v>50 S</v>
      </c>
      <c r="C4582" s="18" t="str">
        <f aca="false">'SALES Raw'!H1044</f>
        <v>50 S</v>
      </c>
      <c r="D4582" s="19" t="n">
        <f aca="false">'SALES Raw'!C1044</f>
        <v>5</v>
      </c>
      <c r="E4582" s="19" t="n">
        <f aca="false">'SALES Raw'!D1044</f>
        <v>429.08</v>
      </c>
      <c r="F4582" s="19" t="n">
        <f aca="false">'SALES Raw'!E1044*$H$4</f>
        <v>0</v>
      </c>
      <c r="G4582" s="19" t="n">
        <f aca="false">'SALES Raw'!F1044*$H$4</f>
        <v>0</v>
      </c>
      <c r="H4582" s="18" t="str">
        <f aca="false">'SALES Raw'!A1044</f>
        <v>102 - Orthopedic institutes</v>
      </c>
    </row>
    <row r="4583" customFormat="false" ht="15" hidden="false" customHeight="false" outlineLevel="0" collapsed="false">
      <c r="A4583" s="18" t="str">
        <f aca="false">'SALES Raw'!G1046</f>
        <v/>
      </c>
      <c r="B4583" s="18" t="str">
        <f aca="false">'SALES Raw'!B1046</f>
        <v>59DB L</v>
      </c>
      <c r="C4583" s="18" t="str">
        <f aca="false">'SALES Raw'!H1046</f>
        <v>59DB L</v>
      </c>
      <c r="D4583" s="19" t="n">
        <f aca="false">'SALES Raw'!C1046</f>
        <v>1</v>
      </c>
      <c r="E4583" s="19" t="n">
        <f aca="false">'SALES Raw'!D1046</f>
        <v>180</v>
      </c>
      <c r="F4583" s="19" t="n">
        <f aca="false">'SALES Raw'!E1046*$H$4</f>
        <v>0</v>
      </c>
      <c r="G4583" s="19" t="n">
        <f aca="false">'SALES Raw'!F1046*$H$4</f>
        <v>0</v>
      </c>
      <c r="H4583" s="18" t="str">
        <f aca="false">'SALES Raw'!A1046</f>
        <v>102 - Orthopedic institutes</v>
      </c>
    </row>
    <row r="4584" customFormat="false" ht="15" hidden="false" customHeight="false" outlineLevel="0" collapsed="false">
      <c r="A4584" s="18" t="str">
        <f aca="false">'SALES Raw'!G1047</f>
        <v/>
      </c>
      <c r="B4584" s="18" t="str">
        <f aca="false">'SALES Raw'!B1047</f>
        <v>59DB M</v>
      </c>
      <c r="C4584" s="18" t="str">
        <f aca="false">'SALES Raw'!H1047</f>
        <v>59DB M</v>
      </c>
      <c r="D4584" s="19" t="n">
        <f aca="false">'SALES Raw'!C1047</f>
        <v>1</v>
      </c>
      <c r="E4584" s="19" t="n">
        <f aca="false">'SALES Raw'!D1047</f>
        <v>180</v>
      </c>
      <c r="F4584" s="19" t="n">
        <f aca="false">'SALES Raw'!E1047*$H$4</f>
        <v>0</v>
      </c>
      <c r="G4584" s="19" t="n">
        <f aca="false">'SALES Raw'!F1047*$H$4</f>
        <v>0</v>
      </c>
      <c r="H4584" s="18" t="str">
        <f aca="false">'SALES Raw'!A1047</f>
        <v>102 - Orthopedic institutes</v>
      </c>
    </row>
    <row r="4585" customFormat="false" ht="15" hidden="false" customHeight="false" outlineLevel="0" collapsed="false">
      <c r="A4585" s="18" t="str">
        <f aca="false">'SALES Raw'!G1049</f>
        <v/>
      </c>
      <c r="B4585" s="18" t="str">
        <f aca="false">'SALES Raw'!B1049</f>
        <v>70 M</v>
      </c>
      <c r="C4585" s="18" t="str">
        <f aca="false">'SALES Raw'!H1049</f>
        <v>70 M</v>
      </c>
      <c r="D4585" s="19" t="n">
        <f aca="false">'SALES Raw'!C1049</f>
        <v>0</v>
      </c>
      <c r="E4585" s="19" t="n">
        <f aca="false">'SALES Raw'!D1049</f>
        <v>-4.02999999999997</v>
      </c>
      <c r="F4585" s="19" t="n">
        <f aca="false">'SALES Raw'!E1049*$H$4</f>
        <v>0</v>
      </c>
      <c r="G4585" s="19" t="n">
        <f aca="false">'SALES Raw'!F1049*$H$4</f>
        <v>-128.513684210526</v>
      </c>
      <c r="H4585" s="18" t="str">
        <f aca="false">'SALES Raw'!A1049</f>
        <v>102 - Orthopedic institutes</v>
      </c>
    </row>
    <row r="4586" customFormat="false" ht="15" hidden="false" customHeight="false" outlineLevel="0" collapsed="false">
      <c r="A4586" s="18" t="n">
        <f aca="false">'SALES Raw'!G1052</f>
        <v>4422034</v>
      </c>
      <c r="B4586" s="18" t="str">
        <f aca="false">'SALES Raw'!B1052</f>
        <v>807CB-P</v>
      </c>
      <c r="C4586" s="18" t="str">
        <f aca="false">'SALES Raw'!H1052</f>
        <v>807CB-P תחבושת נצמדת ורוד 20ממ</v>
      </c>
      <c r="D4586" s="19" t="n">
        <f aca="false">'SALES Raw'!C1052</f>
        <v>16</v>
      </c>
      <c r="E4586" s="19" t="n">
        <f aca="false">'SALES Raw'!D1052</f>
        <v>172.86</v>
      </c>
      <c r="F4586" s="19" t="n">
        <f aca="false">'SALES Raw'!E1052*$H$4</f>
        <v>0</v>
      </c>
      <c r="G4586" s="19" t="n">
        <f aca="false">'SALES Raw'!F1052*$H$4</f>
        <v>0</v>
      </c>
      <c r="H4586" s="18" t="str">
        <f aca="false">'SALES Raw'!A1052</f>
        <v>102 - Orthopedic institutes</v>
      </c>
    </row>
    <row r="4587" customFormat="false" ht="15" hidden="false" customHeight="false" outlineLevel="0" collapsed="false">
      <c r="A4587" s="18" t="str">
        <f aca="false">'SALES Raw'!G1054</f>
        <v/>
      </c>
      <c r="B4587" s="18" t="str">
        <f aca="false">'SALES Raw'!B1054</f>
        <v>FC341 0</v>
      </c>
      <c r="C4587" s="18" t="str">
        <f aca="false">'SALES Raw'!H1054</f>
        <v>FC341 0</v>
      </c>
      <c r="D4587" s="19" t="n">
        <f aca="false">'SALES Raw'!C1054</f>
        <v>-3</v>
      </c>
      <c r="E4587" s="19" t="n">
        <f aca="false">'SALES Raw'!D1054</f>
        <v>-106.72</v>
      </c>
      <c r="F4587" s="19" t="n">
        <f aca="false">'SALES Raw'!E1054*$H$4</f>
        <v>0</v>
      </c>
      <c r="G4587" s="19" t="n">
        <f aca="false">'SALES Raw'!F1054*$H$4</f>
        <v>0</v>
      </c>
      <c r="H4587" s="18" t="str">
        <f aca="false">'SALES Raw'!A1054</f>
        <v>102 - Orthopedic institutes</v>
      </c>
    </row>
    <row r="4588" customFormat="false" ht="15" hidden="false" customHeight="false" outlineLevel="0" collapsed="false">
      <c r="A4588" s="18" t="n">
        <f aca="false">'SALES Raw'!G1057</f>
        <v>4413438</v>
      </c>
      <c r="B4588" s="18" t="str">
        <f aca="false">'SALES Raw'!B1057</f>
        <v>SC422 S</v>
      </c>
      <c r="C4588" s="18" t="str">
        <f aca="false">'SALES Raw'!H1057</f>
        <v>SC422  S מגן ברך</v>
      </c>
      <c r="D4588" s="19" t="n">
        <f aca="false">'SALES Raw'!C1057</f>
        <v>4</v>
      </c>
      <c r="E4588" s="19" t="n">
        <f aca="false">'SALES Raw'!D1057</f>
        <v>558.76</v>
      </c>
      <c r="F4588" s="19" t="n">
        <f aca="false">'SALES Raw'!E1057*$H$4</f>
        <v>0</v>
      </c>
      <c r="G4588" s="19" t="n">
        <f aca="false">'SALES Raw'!F1057*$H$4</f>
        <v>0</v>
      </c>
      <c r="H4588" s="18" t="str">
        <f aca="false">'SALES Raw'!A1057</f>
        <v>102 - Orthopedic institutes</v>
      </c>
    </row>
    <row r="4589" customFormat="false" ht="15" hidden="false" customHeight="false" outlineLevel="0" collapsed="false">
      <c r="A4589" s="18" t="n">
        <f aca="false">'SALES Raw'!G1060</f>
        <v>4408089</v>
      </c>
      <c r="B4589" s="18" t="str">
        <f aca="false">'SALES Raw'!B1060</f>
        <v>T11C S</v>
      </c>
      <c r="C4589" s="18" t="str">
        <f aca="false">'SALES Raw'!H1060</f>
        <v>T11C S  חגורת גב פוג'יאמה</v>
      </c>
      <c r="D4589" s="19" t="n">
        <f aca="false">'SALES Raw'!C1060</f>
        <v>1</v>
      </c>
      <c r="E4589" s="19" t="n">
        <f aca="false">'SALES Raw'!D1060</f>
        <v>94.68</v>
      </c>
      <c r="F4589" s="19" t="n">
        <f aca="false">'SALES Raw'!E1060*$H$4</f>
        <v>0</v>
      </c>
      <c r="G4589" s="19" t="n">
        <f aca="false">'SALES Raw'!F1060*$H$4</f>
        <v>0</v>
      </c>
      <c r="H4589" s="18" t="str">
        <f aca="false">'SALES Raw'!A1060</f>
        <v>102 - Orthopedic institutes</v>
      </c>
    </row>
    <row r="4590" customFormat="false" ht="15" hidden="false" customHeight="false" outlineLevel="0" collapsed="false">
      <c r="A4590" s="18" t="n">
        <f aca="false">'SALES Raw'!G1061</f>
        <v>4408092</v>
      </c>
      <c r="B4590" s="18" t="str">
        <f aca="false">'SALES Raw'!B1061</f>
        <v>T11C XL</v>
      </c>
      <c r="C4590" s="18" t="str">
        <f aca="false">'SALES Raw'!H1061</f>
        <v>T11C XL חגורת גב פוג'יאמה</v>
      </c>
      <c r="D4590" s="19" t="n">
        <f aca="false">'SALES Raw'!C1061</f>
        <v>3</v>
      </c>
      <c r="E4590" s="19" t="n">
        <f aca="false">'SALES Raw'!D1061</f>
        <v>283.9</v>
      </c>
      <c r="F4590" s="19" t="n">
        <f aca="false">'SALES Raw'!E1061*$H$4</f>
        <v>0</v>
      </c>
      <c r="G4590" s="19" t="n">
        <f aca="false">'SALES Raw'!F1061*$H$4</f>
        <v>0</v>
      </c>
      <c r="H4590" s="18" t="str">
        <f aca="false">'SALES Raw'!A1061</f>
        <v>102 - Orthopedic institutes</v>
      </c>
    </row>
    <row r="4591" customFormat="false" ht="15" hidden="false" customHeight="false" outlineLevel="0" collapsed="false">
      <c r="A4591" s="18" t="str">
        <f aca="false">'SALES Raw'!G1062</f>
        <v/>
      </c>
      <c r="B4591" s="18" t="str">
        <f aca="false">'SALES Raw'!B1062</f>
        <v>T39 XS</v>
      </c>
      <c r="C4591" s="18" t="str">
        <f aca="false">'SALES Raw'!H1062</f>
        <v>T39 XS</v>
      </c>
      <c r="D4591" s="19" t="n">
        <f aca="false">'SALES Raw'!C1062</f>
        <v>1</v>
      </c>
      <c r="E4591" s="19" t="n">
        <f aca="false">'SALES Raw'!D1062</f>
        <v>107.76</v>
      </c>
      <c r="F4591" s="19" t="n">
        <f aca="false">'SALES Raw'!E1062*$H$4</f>
        <v>0</v>
      </c>
      <c r="G4591" s="19" t="n">
        <f aca="false">'SALES Raw'!F1062*$H$4</f>
        <v>0</v>
      </c>
      <c r="H4591" s="18" t="str">
        <f aca="false">'SALES Raw'!A1062</f>
        <v>102 - Orthopedic institutes</v>
      </c>
    </row>
    <row r="4592" customFormat="false" ht="15" hidden="false" customHeight="false" outlineLevel="0" collapsed="false">
      <c r="A4592" s="18" t="str">
        <f aca="false">'SALES Raw'!G1064</f>
        <v/>
      </c>
      <c r="B4592" s="18" t="str">
        <f aca="false">'SALES Raw'!B1064</f>
        <v>T79B S</v>
      </c>
      <c r="C4592" s="18" t="str">
        <f aca="false">'SALES Raw'!H1064</f>
        <v>T79B S</v>
      </c>
      <c r="D4592" s="19" t="n">
        <f aca="false">'SALES Raw'!C1064</f>
        <v>1</v>
      </c>
      <c r="E4592" s="19" t="n">
        <f aca="false">'SALES Raw'!D1064</f>
        <v>0</v>
      </c>
      <c r="F4592" s="19" t="n">
        <f aca="false">'SALES Raw'!E1064*$H$4</f>
        <v>0</v>
      </c>
      <c r="G4592" s="19" t="n">
        <f aca="false">'SALES Raw'!F1064*$H$4</f>
        <v>0</v>
      </c>
      <c r="H4592" s="18" t="str">
        <f aca="false">'SALES Raw'!A1064</f>
        <v>102 - Orthopedic institutes</v>
      </c>
    </row>
    <row r="4593" customFormat="false" ht="15" hidden="false" customHeight="false" outlineLevel="0" collapsed="false">
      <c r="A4593" s="18" t="str">
        <f aca="false">'SALES Raw'!G1065</f>
        <v/>
      </c>
      <c r="B4593" s="18" t="str">
        <f aca="false">'SALES Raw'!B1065</f>
        <v>T79B XS</v>
      </c>
      <c r="C4593" s="18" t="str">
        <f aca="false">'SALES Raw'!H1065</f>
        <v>T79B XS</v>
      </c>
      <c r="D4593" s="19" t="n">
        <f aca="false">'SALES Raw'!C1065</f>
        <v>1</v>
      </c>
      <c r="E4593" s="19" t="n">
        <f aca="false">'SALES Raw'!D1065</f>
        <v>0.01</v>
      </c>
      <c r="F4593" s="19" t="n">
        <f aca="false">'SALES Raw'!E1065*$H$4</f>
        <v>0</v>
      </c>
      <c r="G4593" s="19" t="n">
        <f aca="false">'SALES Raw'!F1065*$H$4</f>
        <v>0</v>
      </c>
      <c r="H4593" s="18" t="str">
        <f aca="false">'SALES Raw'!A1065</f>
        <v>102 - Orthopedic institutes</v>
      </c>
    </row>
    <row r="4594" customFormat="false" ht="15" hidden="false" customHeight="false" outlineLevel="0" collapsed="false">
      <c r="A4594" s="18" t="str">
        <f aca="false">'SALES Raw'!G1066</f>
        <v/>
      </c>
      <c r="B4594" s="18" t="str">
        <f aca="false">'SALES Raw'!B1066</f>
        <v>M94</v>
      </c>
      <c r="C4594" s="18" t="str">
        <f aca="false">'SALES Raw'!H1066</f>
        <v>M94</v>
      </c>
      <c r="D4594" s="19" t="n">
        <f aca="false">'SALES Raw'!C1066</f>
        <v>1</v>
      </c>
      <c r="E4594" s="19" t="n">
        <f aca="false">'SALES Raw'!D1066</f>
        <v>30</v>
      </c>
      <c r="F4594" s="19" t="n">
        <f aca="false">'SALES Raw'!E1066*$H$4</f>
        <v>0</v>
      </c>
      <c r="G4594" s="19" t="n">
        <f aca="false">'SALES Raw'!F1066*$H$4</f>
        <v>0</v>
      </c>
      <c r="H4594" s="18" t="str">
        <f aca="false">'SALES Raw'!A1066</f>
        <v>102 - Orthopedic institutes</v>
      </c>
    </row>
    <row r="4595" customFormat="false" ht="15" hidden="false" customHeight="false" outlineLevel="0" collapsed="false">
      <c r="A4595" s="18" t="str">
        <f aca="false">'SALES Raw'!G1070</f>
        <v/>
      </c>
      <c r="B4595" s="18" t="str">
        <f aca="false">'SALES Raw'!B1070</f>
        <v>422EU XXXL</v>
      </c>
      <c r="C4595" s="18" t="str">
        <f aca="false">'SALES Raw'!H1070</f>
        <v>422EU XXXL</v>
      </c>
      <c r="D4595" s="19" t="n">
        <f aca="false">'SALES Raw'!C1070</f>
        <v>5</v>
      </c>
      <c r="E4595" s="19" t="n">
        <f aca="false">'SALES Raw'!D1070</f>
        <v>444.99</v>
      </c>
      <c r="F4595" s="19" t="n">
        <f aca="false">'SALES Raw'!E1070*$H$4</f>
        <v>0</v>
      </c>
      <c r="G4595" s="19" t="n">
        <f aca="false">'SALES Raw'!F1070*$H$4</f>
        <v>0</v>
      </c>
      <c r="H4595" s="18" t="str">
        <f aca="false">'SALES Raw'!A1070</f>
        <v>102 - Orthopedic institutes</v>
      </c>
    </row>
    <row r="4596" customFormat="false" ht="15" hidden="false" customHeight="false" outlineLevel="0" collapsed="false">
      <c r="A4596" s="18" t="n">
        <f aca="false">'SALES Raw'!G1076</f>
        <v>4403006</v>
      </c>
      <c r="B4596" s="18" t="str">
        <f aca="false">'SALES Raw'!B1076</f>
        <v>390W-35-38</v>
      </c>
      <c r="C4596" s="18" t="str">
        <f aca="false">'SALES Raw'!H1076</f>
        <v>390W גרב כסף לסכרתיים לבן35-38</v>
      </c>
      <c r="D4596" s="19" t="n">
        <f aca="false">'SALES Raw'!C1076</f>
        <v>10</v>
      </c>
      <c r="E4596" s="19" t="n">
        <f aca="false">'SALES Raw'!D1076</f>
        <v>270</v>
      </c>
      <c r="F4596" s="19" t="n">
        <f aca="false">'SALES Raw'!E1076*$H$4</f>
        <v>0</v>
      </c>
      <c r="G4596" s="19" t="n">
        <f aca="false">'SALES Raw'!F1076*$H$4</f>
        <v>0</v>
      </c>
      <c r="H4596" s="18" t="str">
        <f aca="false">'SALES Raw'!A1076</f>
        <v>102 - Orthopedic institutes</v>
      </c>
    </row>
    <row r="4597" customFormat="false" ht="15" hidden="false" customHeight="false" outlineLevel="0" collapsed="false">
      <c r="A4597" s="18" t="n">
        <f aca="false">'SALES Raw'!G1077</f>
        <v>4401012</v>
      </c>
      <c r="B4597" s="18" t="str">
        <f aca="false">'SALES Raw'!B1077</f>
        <v>805AT-B</v>
      </c>
      <c r="C4597" s="18" t="str">
        <f aca="false">'SALES Raw'!H1077</f>
        <v>805AT-B אתלטיק טייפ שחור 20מ""""מ</v>
      </c>
      <c r="D4597" s="19" t="n">
        <f aca="false">'SALES Raw'!C1077</f>
        <v>2</v>
      </c>
      <c r="E4597" s="19" t="n">
        <f aca="false">'SALES Raw'!D1077</f>
        <v>34.59</v>
      </c>
      <c r="F4597" s="19" t="n">
        <f aca="false">'SALES Raw'!E1077*$H$4</f>
        <v>0</v>
      </c>
      <c r="G4597" s="19" t="n">
        <f aca="false">'SALES Raw'!F1077*$H$4</f>
        <v>0</v>
      </c>
      <c r="H4597" s="18" t="str">
        <f aca="false">'SALES Raw'!A1077</f>
        <v>102 - Orthopedic institutes</v>
      </c>
    </row>
    <row r="4598" customFormat="false" ht="15" hidden="false" customHeight="false" outlineLevel="0" collapsed="false">
      <c r="A4598" s="18" t="n">
        <f aca="false">'SALES Raw'!G1080</f>
        <v>4408247</v>
      </c>
      <c r="B4598" s="18" t="str">
        <f aca="false">'SALES Raw'!B1080</f>
        <v>SC25 S</v>
      </c>
      <c r="C4598" s="18" t="str">
        <f aca="false">'SALES Raw'!H1080</f>
        <v>SC25  S חבק יד</v>
      </c>
      <c r="D4598" s="19" t="n">
        <f aca="false">'SALES Raw'!C1080</f>
        <v>1</v>
      </c>
      <c r="E4598" s="19" t="n">
        <f aca="false">'SALES Raw'!D1080</f>
        <v>93.67</v>
      </c>
      <c r="F4598" s="19" t="n">
        <f aca="false">'SALES Raw'!E1080*$H$4</f>
        <v>0</v>
      </c>
      <c r="G4598" s="19" t="n">
        <f aca="false">'SALES Raw'!F1080*$H$4</f>
        <v>0</v>
      </c>
      <c r="H4598" s="18" t="str">
        <f aca="false">'SALES Raw'!A1080</f>
        <v>102 - Orthopedic institutes</v>
      </c>
    </row>
    <row r="4599" customFormat="false" ht="15" hidden="false" customHeight="false" outlineLevel="0" collapsed="false">
      <c r="A4599" s="18" t="str">
        <f aca="false">'SALES Raw'!G1082</f>
        <v/>
      </c>
      <c r="B4599" s="18" t="str">
        <f aca="false">'SALES Raw'!B1082</f>
        <v>70 L</v>
      </c>
      <c r="C4599" s="18" t="str">
        <f aca="false">'SALES Raw'!H1082</f>
        <v>70 L</v>
      </c>
      <c r="D4599" s="19" t="n">
        <f aca="false">'SALES Raw'!C1082</f>
        <v>1</v>
      </c>
      <c r="E4599" s="19" t="n">
        <f aca="false">'SALES Raw'!D1082</f>
        <v>214.35</v>
      </c>
      <c r="F4599" s="19" t="n">
        <f aca="false">'SALES Raw'!E1082*$H$4</f>
        <v>0</v>
      </c>
      <c r="G4599" s="19" t="n">
        <f aca="false">'SALES Raw'!F1082*$H$4</f>
        <v>0</v>
      </c>
      <c r="H4599" s="18" t="str">
        <f aca="false">'SALES Raw'!A1082</f>
        <v>102 - Orthopedic institutes</v>
      </c>
    </row>
    <row r="4600" customFormat="false" ht="15" hidden="false" customHeight="false" outlineLevel="0" collapsed="false">
      <c r="A4600" s="18" t="str">
        <f aca="false">'SALES Raw'!G1083</f>
        <v/>
      </c>
      <c r="B4600" s="18" t="str">
        <f aca="false">'SALES Raw'!B1083</f>
        <v>70 XS</v>
      </c>
      <c r="C4600" s="18" t="str">
        <f aca="false">'SALES Raw'!H1083</f>
        <v>70 XS</v>
      </c>
      <c r="D4600" s="19" t="n">
        <f aca="false">'SALES Raw'!C1083</f>
        <v>4</v>
      </c>
      <c r="E4600" s="19" t="n">
        <f aca="false">'SALES Raw'!D1083</f>
        <v>881.7</v>
      </c>
      <c r="F4600" s="19" t="n">
        <f aca="false">'SALES Raw'!E1083*$H$4</f>
        <v>0</v>
      </c>
      <c r="G4600" s="19" t="n">
        <f aca="false">'SALES Raw'!F1083*$H$4</f>
        <v>0</v>
      </c>
      <c r="H4600" s="18" t="str">
        <f aca="false">'SALES Raw'!A1083</f>
        <v>102 - Orthopedic institutes</v>
      </c>
    </row>
    <row r="4601" customFormat="false" ht="15" hidden="false" customHeight="false" outlineLevel="0" collapsed="false">
      <c r="A4601" s="18" t="str">
        <f aca="false">'SALES Raw'!G1084</f>
        <v/>
      </c>
      <c r="B4601" s="18" t="str">
        <f aca="false">'SALES Raw'!B1084</f>
        <v>15W S</v>
      </c>
      <c r="C4601" s="18" t="str">
        <f aca="false">'SALES Raw'!H1084</f>
        <v>15W S</v>
      </c>
      <c r="D4601" s="19" t="n">
        <f aca="false">'SALES Raw'!C1084</f>
        <v>1</v>
      </c>
      <c r="E4601" s="19" t="n">
        <f aca="false">'SALES Raw'!D1084</f>
        <v>140.59</v>
      </c>
      <c r="F4601" s="19" t="n">
        <f aca="false">'SALES Raw'!E1084*$H$4</f>
        <v>0</v>
      </c>
      <c r="G4601" s="19" t="n">
        <f aca="false">'SALES Raw'!F1084*$H$4</f>
        <v>0</v>
      </c>
      <c r="H4601" s="18" t="str">
        <f aca="false">'SALES Raw'!A1084</f>
        <v>102 - Orthopedic institutes</v>
      </c>
    </row>
    <row r="4602" customFormat="false" ht="15" hidden="false" customHeight="false" outlineLevel="0" collapsed="false">
      <c r="A4602" s="18" t="str">
        <f aca="false">'SALES Raw'!G1085</f>
        <v/>
      </c>
      <c r="B4602" s="18" t="str">
        <f aca="false">'SALES Raw'!B1085</f>
        <v>15W XXL</v>
      </c>
      <c r="C4602" s="18" t="str">
        <f aca="false">'SALES Raw'!H1085</f>
        <v>15W XXL</v>
      </c>
      <c r="D4602" s="19" t="n">
        <f aca="false">'SALES Raw'!C1085</f>
        <v>1</v>
      </c>
      <c r="E4602" s="19" t="n">
        <f aca="false">'SALES Raw'!D1085</f>
        <v>140.57</v>
      </c>
      <c r="F4602" s="19" t="n">
        <f aca="false">'SALES Raw'!E1085*$H$4</f>
        <v>0</v>
      </c>
      <c r="G4602" s="19" t="n">
        <f aca="false">'SALES Raw'!F1085*$H$4</f>
        <v>0</v>
      </c>
      <c r="H4602" s="18" t="str">
        <f aca="false">'SALES Raw'!A1085</f>
        <v>102 - Orthopedic institutes</v>
      </c>
    </row>
    <row r="4603" customFormat="false" ht="15" hidden="false" customHeight="false" outlineLevel="0" collapsed="false">
      <c r="A4603" s="18" t="n">
        <f aca="false">'SALES Raw'!G1087</f>
        <v>4408148</v>
      </c>
      <c r="B4603" s="18" t="str">
        <f aca="false">'SALES Raw'!B1087</f>
        <v>11PS XL</v>
      </c>
      <c r="C4603" s="18" t="str">
        <f aca="false">'SALES Raw'!H1087</f>
        <v>11PS XLחגורה למנותחי בטן</v>
      </c>
      <c r="D4603" s="19" t="n">
        <f aca="false">'SALES Raw'!C1087</f>
        <v>4</v>
      </c>
      <c r="E4603" s="19" t="n">
        <f aca="false">'SALES Raw'!D1087</f>
        <v>535.26</v>
      </c>
      <c r="F4603" s="19" t="n">
        <f aca="false">'SALES Raw'!E1087*$H$4</f>
        <v>0</v>
      </c>
      <c r="G4603" s="19" t="n">
        <f aca="false">'SALES Raw'!F1087*$H$4</f>
        <v>0</v>
      </c>
      <c r="H4603" s="18" t="str">
        <f aca="false">'SALES Raw'!A1087</f>
        <v>102 - Orthopedic institutes</v>
      </c>
    </row>
    <row r="4604" customFormat="false" ht="15" hidden="false" customHeight="false" outlineLevel="0" collapsed="false">
      <c r="A4604" s="18" t="n">
        <f aca="false">'SALES Raw'!G1088</f>
        <v>4413051</v>
      </c>
      <c r="B4604" s="18" t="str">
        <f aca="false">'SALES Raw'!B1088</f>
        <v>35 XXL</v>
      </c>
      <c r="C4604" s="18" t="str">
        <f aca="false">'SALES Raw'!H1088</f>
        <v>35 XXL מגן קרסול לבן</v>
      </c>
      <c r="D4604" s="19" t="n">
        <f aca="false">'SALES Raw'!C1088</f>
        <v>1</v>
      </c>
      <c r="E4604" s="19" t="n">
        <f aca="false">'SALES Raw'!D1088</f>
        <v>30.89</v>
      </c>
      <c r="F4604" s="19" t="n">
        <f aca="false">'SALES Raw'!E1088*$H$4</f>
        <v>0</v>
      </c>
      <c r="G4604" s="19" t="n">
        <f aca="false">'SALES Raw'!F1088*$H$4</f>
        <v>0</v>
      </c>
      <c r="H4604" s="18" t="str">
        <f aca="false">'SALES Raw'!A1088</f>
        <v>102 - Orthopedic institutes</v>
      </c>
    </row>
    <row r="4605" customFormat="false" ht="15" hidden="false" customHeight="false" outlineLevel="0" collapsed="false">
      <c r="A4605" s="18" t="str">
        <f aca="false">'SALES Raw'!G1096</f>
        <v/>
      </c>
      <c r="B4605" s="18" t="str">
        <f aca="false">'SALES Raw'!B1096</f>
        <v>808KTP-B</v>
      </c>
      <c r="C4605" s="18" t="str">
        <f aca="false">'SALES Raw'!H1096</f>
        <v>808KTP-B</v>
      </c>
      <c r="D4605" s="19" t="n">
        <f aca="false">'SALES Raw'!C1096</f>
        <v>3</v>
      </c>
      <c r="E4605" s="19" t="n">
        <f aca="false">'SALES Raw'!D1096</f>
        <v>90</v>
      </c>
      <c r="F4605" s="19" t="n">
        <f aca="false">'SALES Raw'!E1096*$H$4</f>
        <v>0</v>
      </c>
      <c r="G4605" s="19" t="n">
        <f aca="false">'SALES Raw'!F1096*$H$4</f>
        <v>0</v>
      </c>
      <c r="H4605" s="18" t="str">
        <f aca="false">'SALES Raw'!A1096</f>
        <v>102 - Orthopedic institutes</v>
      </c>
    </row>
    <row r="4606" customFormat="false" ht="15" hidden="false" customHeight="false" outlineLevel="0" collapsed="false">
      <c r="A4606" s="18" t="str">
        <f aca="false">'SALES Raw'!G1097</f>
        <v/>
      </c>
      <c r="B4606" s="18" t="str">
        <f aca="false">'SALES Raw'!B1097</f>
        <v>T28A XS</v>
      </c>
      <c r="C4606" s="18" t="str">
        <f aca="false">'SALES Raw'!H1097</f>
        <v>T28A XS</v>
      </c>
      <c r="D4606" s="19" t="n">
        <f aca="false">'SALES Raw'!C1097</f>
        <v>1</v>
      </c>
      <c r="E4606" s="19" t="n">
        <f aca="false">'SALES Raw'!D1097</f>
        <v>67.55</v>
      </c>
      <c r="F4606" s="19" t="n">
        <f aca="false">'SALES Raw'!E1097*$H$4</f>
        <v>0</v>
      </c>
      <c r="G4606" s="19" t="n">
        <f aca="false">'SALES Raw'!F1097*$H$4</f>
        <v>0</v>
      </c>
      <c r="H4606" s="18" t="str">
        <f aca="false">'SALES Raw'!A1097</f>
        <v>102 - Orthopedic institutes</v>
      </c>
    </row>
    <row r="4607" customFormat="false" ht="15" hidden="false" customHeight="false" outlineLevel="0" collapsed="false">
      <c r="A4607" s="18" t="str">
        <f aca="false">'SALES Raw'!G1099</f>
        <v/>
      </c>
      <c r="B4607" s="18" t="str">
        <f aca="false">'SALES Raw'!B1099</f>
        <v>34+ XS</v>
      </c>
      <c r="C4607" s="18" t="str">
        <f aca="false">'SALES Raw'!H1099</f>
        <v>34+ XS</v>
      </c>
      <c r="D4607" s="19" t="n">
        <f aca="false">'SALES Raw'!C1099</f>
        <v>1</v>
      </c>
      <c r="E4607" s="19" t="n">
        <f aca="false">'SALES Raw'!D1099</f>
        <v>70.26</v>
      </c>
      <c r="F4607" s="19" t="n">
        <f aca="false">'SALES Raw'!E1099*$H$4</f>
        <v>0</v>
      </c>
      <c r="G4607" s="19" t="n">
        <f aca="false">'SALES Raw'!F1099*$H$4</f>
        <v>0</v>
      </c>
      <c r="H4607" s="18" t="str">
        <f aca="false">'SALES Raw'!A1099</f>
        <v>102 - Orthopedic institutes</v>
      </c>
    </row>
    <row r="4608" customFormat="false" ht="15" hidden="false" customHeight="false" outlineLevel="0" collapsed="false">
      <c r="A4608" s="18" t="str">
        <f aca="false">'SALES Raw'!G1101</f>
        <v/>
      </c>
      <c r="B4608" s="18" t="str">
        <f aca="false">'SALES Raw'!B1101</f>
        <v>T32 M</v>
      </c>
      <c r="C4608" s="18" t="str">
        <f aca="false">'SALES Raw'!H1101</f>
        <v>T32 M</v>
      </c>
      <c r="D4608" s="19" t="n">
        <f aca="false">'SALES Raw'!C1101</f>
        <v>-1</v>
      </c>
      <c r="E4608" s="19" t="n">
        <f aca="false">'SALES Raw'!D1101</f>
        <v>-236.32</v>
      </c>
      <c r="F4608" s="19" t="n">
        <f aca="false">'SALES Raw'!E1101*$H$4</f>
        <v>0</v>
      </c>
      <c r="G4608" s="19" t="n">
        <f aca="false">'SALES Raw'!F1101*$H$4</f>
        <v>0</v>
      </c>
      <c r="H4608" s="18" t="str">
        <f aca="false">'SALES Raw'!A1101</f>
        <v>102 - Orthopedic institutes</v>
      </c>
    </row>
    <row r="4609" customFormat="false" ht="15" hidden="false" customHeight="false" outlineLevel="0" collapsed="false">
      <c r="A4609" s="18" t="str">
        <f aca="false">'SALES Raw'!G1104</f>
        <v/>
      </c>
      <c r="B4609" s="18" t="str">
        <f aca="false">'SALES Raw'!B1104</f>
        <v>88L- L-XL</v>
      </c>
      <c r="C4609" s="18" t="str">
        <f aca="false">'SALES Raw'!H1104</f>
        <v>88L- L-XL</v>
      </c>
      <c r="D4609" s="19" t="n">
        <f aca="false">'SALES Raw'!C1104</f>
        <v>1</v>
      </c>
      <c r="E4609" s="19" t="n">
        <f aca="false">'SALES Raw'!D1104</f>
        <v>302.5</v>
      </c>
      <c r="F4609" s="19" t="n">
        <f aca="false">'SALES Raw'!E1104*$H$4</f>
        <v>0</v>
      </c>
      <c r="G4609" s="19" t="n">
        <f aca="false">'SALES Raw'!F1104*$H$4</f>
        <v>0</v>
      </c>
      <c r="H4609" s="18" t="str">
        <f aca="false">'SALES Raw'!A1104</f>
        <v>102 - Orthopedic institutes</v>
      </c>
    </row>
    <row r="4610" customFormat="false" ht="15" hidden="false" customHeight="false" outlineLevel="0" collapsed="false">
      <c r="A4610" s="18" t="n">
        <f aca="false">'SALES Raw'!G1105</f>
        <v>4413396</v>
      </c>
      <c r="B4610" s="18" t="str">
        <f aca="false">'SALES Raw'!B1105</f>
        <v>45EC L</v>
      </c>
      <c r="C4610" s="18" t="str">
        <f aca="false">'SALES Raw'!H1105</f>
        <v>45EC L 'מגן ברך ארוך בז</v>
      </c>
      <c r="D4610" s="19" t="n">
        <f aca="false">'SALES Raw'!C1105</f>
        <v>3</v>
      </c>
      <c r="E4610" s="19" t="n">
        <f aca="false">'SALES Raw'!D1105</f>
        <v>112.36</v>
      </c>
      <c r="F4610" s="19" t="n">
        <f aca="false">'SALES Raw'!E1105*$H$4</f>
        <v>0</v>
      </c>
      <c r="G4610" s="19" t="n">
        <f aca="false">'SALES Raw'!F1105*$H$4</f>
        <v>0</v>
      </c>
      <c r="H4610" s="18" t="str">
        <f aca="false">'SALES Raw'!A1105</f>
        <v>102 - Orthopedic institutes</v>
      </c>
    </row>
    <row r="4611" customFormat="false" ht="15" hidden="false" customHeight="false" outlineLevel="0" collapsed="false">
      <c r="A4611" s="18" t="n">
        <f aca="false">'SALES Raw'!G1106</f>
        <v>4413394</v>
      </c>
      <c r="B4611" s="18" t="str">
        <f aca="false">'SALES Raw'!B1106</f>
        <v>45EC S</v>
      </c>
      <c r="C4611" s="18" t="str">
        <f aca="false">'SALES Raw'!H1106</f>
        <v>45EC S 'מגן ברך ארוך בז</v>
      </c>
      <c r="D4611" s="19" t="n">
        <f aca="false">'SALES Raw'!C1106</f>
        <v>2</v>
      </c>
      <c r="E4611" s="19" t="n">
        <f aca="false">'SALES Raw'!D1106</f>
        <v>74.91</v>
      </c>
      <c r="F4611" s="19" t="n">
        <f aca="false">'SALES Raw'!E1106*$H$4</f>
        <v>0</v>
      </c>
      <c r="G4611" s="19" t="n">
        <f aca="false">'SALES Raw'!F1106*$H$4</f>
        <v>0</v>
      </c>
      <c r="H4611" s="18" t="str">
        <f aca="false">'SALES Raw'!A1106</f>
        <v>102 - Orthopedic institutes</v>
      </c>
    </row>
    <row r="4612" customFormat="false" ht="15" hidden="false" customHeight="false" outlineLevel="0" collapsed="false">
      <c r="A4612" s="18" t="n">
        <f aca="false">'SALES Raw'!G1107</f>
        <v>4413398</v>
      </c>
      <c r="B4612" s="18" t="str">
        <f aca="false">'SALES Raw'!B1107</f>
        <v>45EC XXL</v>
      </c>
      <c r="C4612" s="18" t="str">
        <f aca="false">'SALES Raw'!H1107</f>
        <v>45EC XXL'מגן ברך ארוך בז</v>
      </c>
      <c r="D4612" s="19" t="n">
        <f aca="false">'SALES Raw'!C1107</f>
        <v>1</v>
      </c>
      <c r="E4612" s="19" t="n">
        <f aca="false">'SALES Raw'!D1107</f>
        <v>37.45</v>
      </c>
      <c r="F4612" s="19" t="n">
        <f aca="false">'SALES Raw'!E1107*$H$4</f>
        <v>0</v>
      </c>
      <c r="G4612" s="19" t="n">
        <f aca="false">'SALES Raw'!F1107*$H$4</f>
        <v>0</v>
      </c>
      <c r="H4612" s="18" t="str">
        <f aca="false">'SALES Raw'!A1107</f>
        <v>102 - Orthopedic institutes</v>
      </c>
    </row>
    <row r="4613" customFormat="false" ht="15" hidden="false" customHeight="false" outlineLevel="0" collapsed="false">
      <c r="A4613" s="18" t="str">
        <f aca="false">'SALES Raw'!G1108</f>
        <v/>
      </c>
      <c r="B4613" s="18" t="str">
        <f aca="false">'SALES Raw'!B1108</f>
        <v>ST433D 0</v>
      </c>
      <c r="C4613" s="18" t="str">
        <f aca="false">'SALES Raw'!H1108</f>
        <v>ST433D 0</v>
      </c>
      <c r="D4613" s="19" t="n">
        <f aca="false">'SALES Raw'!C1108</f>
        <v>2</v>
      </c>
      <c r="E4613" s="19" t="n">
        <f aca="false">'SALES Raw'!D1108</f>
        <v>310</v>
      </c>
      <c r="F4613" s="19" t="n">
        <f aca="false">'SALES Raw'!E1108*$H$4</f>
        <v>0</v>
      </c>
      <c r="G4613" s="19" t="n">
        <f aca="false">'SALES Raw'!F1108*$H$4</f>
        <v>0</v>
      </c>
      <c r="H4613" s="18" t="str">
        <f aca="false">'SALES Raw'!A1108</f>
        <v>102 - Orthopedic institutes</v>
      </c>
    </row>
    <row r="4614" customFormat="false" ht="15" hidden="false" customHeight="false" outlineLevel="0" collapsed="false">
      <c r="A4614" s="18" t="str">
        <f aca="false">'SALES Raw'!G1109</f>
        <v/>
      </c>
      <c r="B4614" s="18" t="str">
        <f aca="false">'SALES Raw'!B1109</f>
        <v>T03 XL</v>
      </c>
      <c r="C4614" s="18" t="str">
        <f aca="false">'SALES Raw'!H1109</f>
        <v>T03 XL</v>
      </c>
      <c r="D4614" s="19" t="n">
        <f aca="false">'SALES Raw'!C1109</f>
        <v>1</v>
      </c>
      <c r="E4614" s="19" t="n">
        <f aca="false">'SALES Raw'!D1109</f>
        <v>111.04</v>
      </c>
      <c r="F4614" s="19" t="n">
        <f aca="false">'SALES Raw'!E1109*$H$4</f>
        <v>0</v>
      </c>
      <c r="G4614" s="19" t="n">
        <f aca="false">'SALES Raw'!F1109*$H$4</f>
        <v>0</v>
      </c>
      <c r="H4614" s="18" t="str">
        <f aca="false">'SALES Raw'!A1109</f>
        <v>102 - Orthopedic institutes</v>
      </c>
    </row>
    <row r="4615" customFormat="false" ht="15" hidden="false" customHeight="false" outlineLevel="0" collapsed="false">
      <c r="A4615" s="18" t="n">
        <f aca="false">'SALES Raw'!G1110</f>
        <v>4413532</v>
      </c>
      <c r="B4615" s="18" t="str">
        <f aca="false">'SALES Raw'!B1110</f>
        <v>ST433 0</v>
      </c>
      <c r="C4615" s="18" t="str">
        <f aca="false">'SALES Raw'!H1110</f>
        <v>ST433 H מגן ברך עם ציר</v>
      </c>
      <c r="D4615" s="19" t="n">
        <f aca="false">'SALES Raw'!C1110</f>
        <v>1</v>
      </c>
      <c r="E4615" s="19" t="n">
        <f aca="false">'SALES Raw'!D1110</f>
        <v>165.41</v>
      </c>
      <c r="F4615" s="19" t="n">
        <f aca="false">'SALES Raw'!E1110*$H$4</f>
        <v>0</v>
      </c>
      <c r="G4615" s="19" t="n">
        <f aca="false">'SALES Raw'!F1110*$H$4</f>
        <v>0</v>
      </c>
      <c r="H4615" s="18" t="str">
        <f aca="false">'SALES Raw'!A1110</f>
        <v>102 - Orthopedic institutes</v>
      </c>
    </row>
    <row r="4616" customFormat="false" ht="15" hidden="false" customHeight="false" outlineLevel="0" collapsed="false">
      <c r="A4616" s="18" t="str">
        <f aca="false">'SALES Raw'!G1112</f>
        <v/>
      </c>
      <c r="B4616" s="18" t="str">
        <f aca="false">'SALES Raw'!B1112</f>
        <v>422EBU XL</v>
      </c>
      <c r="C4616" s="18" t="str">
        <f aca="false">'SALES Raw'!H1112</f>
        <v>422EBU XL</v>
      </c>
      <c r="D4616" s="19" t="n">
        <f aca="false">'SALES Raw'!C1112</f>
        <v>1</v>
      </c>
      <c r="E4616" s="19" t="n">
        <f aca="false">'SALES Raw'!D1112</f>
        <v>95</v>
      </c>
      <c r="F4616" s="19" t="n">
        <f aca="false">'SALES Raw'!E1112*$H$4</f>
        <v>0</v>
      </c>
      <c r="G4616" s="19" t="n">
        <f aca="false">'SALES Raw'!F1112*$H$4</f>
        <v>0</v>
      </c>
      <c r="H4616" s="18" t="str">
        <f aca="false">'SALES Raw'!A1112</f>
        <v>102 - Orthopedic institutes</v>
      </c>
    </row>
    <row r="4617" customFormat="false" ht="15" hidden="false" customHeight="false" outlineLevel="0" collapsed="false">
      <c r="A4617" s="18" t="n">
        <f aca="false">'SALES Raw'!G1116</f>
        <v>4420000</v>
      </c>
      <c r="B4617" s="18" t="str">
        <f aca="false">'SALES Raw'!B1116</f>
        <v>370 0</v>
      </c>
      <c r="C4617" s="18" t="str">
        <f aca="false">'SALES Raw'!H1116</f>
        <v>370  רפידת נוחות-זוג</v>
      </c>
      <c r="D4617" s="19" t="n">
        <f aca="false">'SALES Raw'!C1116</f>
        <v>6</v>
      </c>
      <c r="E4617" s="19" t="n">
        <f aca="false">'SALES Raw'!D1116</f>
        <v>78.48</v>
      </c>
      <c r="F4617" s="19" t="n">
        <f aca="false">'SALES Raw'!E1116*$H$4</f>
        <v>0</v>
      </c>
      <c r="G4617" s="19" t="n">
        <f aca="false">'SALES Raw'!F1116*$H$4</f>
        <v>0</v>
      </c>
      <c r="H4617" s="18" t="str">
        <f aca="false">'SALES Raw'!A1116</f>
        <v>102 - Orthopedic institutes</v>
      </c>
    </row>
    <row r="4618" customFormat="false" ht="15" hidden="false" customHeight="false" outlineLevel="0" collapsed="false">
      <c r="A4618" s="18" t="n">
        <f aca="false">'SALES Raw'!G1117</f>
        <v>4420003</v>
      </c>
      <c r="B4618" s="18" t="str">
        <f aca="false">'SALES Raw'!B1117</f>
        <v>374 0</v>
      </c>
      <c r="C4618" s="18" t="str">
        <f aca="false">'SALES Raw'!H1117</f>
        <v>374 רפידת בולמת זעזועים -זוג</v>
      </c>
      <c r="D4618" s="19" t="n">
        <f aca="false">'SALES Raw'!C1117</f>
        <v>10</v>
      </c>
      <c r="E4618" s="19" t="n">
        <f aca="false">'SALES Raw'!D1117</f>
        <v>154.2</v>
      </c>
      <c r="F4618" s="19" t="n">
        <f aca="false">'SALES Raw'!E1117*$H$4</f>
        <v>0</v>
      </c>
      <c r="G4618" s="19" t="n">
        <f aca="false">'SALES Raw'!F1117*$H$4</f>
        <v>0</v>
      </c>
      <c r="H4618" s="18" t="str">
        <f aca="false">'SALES Raw'!A1117</f>
        <v>102 - Orthopedic institutes</v>
      </c>
    </row>
    <row r="4619" customFormat="false" ht="15" hidden="false" customHeight="false" outlineLevel="0" collapsed="false">
      <c r="A4619" s="18" t="str">
        <f aca="false">'SALES Raw'!G1118</f>
        <v/>
      </c>
      <c r="B4619" s="18" t="str">
        <f aca="false">'SALES Raw'!B1118</f>
        <v>60 XS</v>
      </c>
      <c r="C4619" s="18" t="str">
        <f aca="false">'SALES Raw'!H1118</f>
        <v>60 XS</v>
      </c>
      <c r="D4619" s="19" t="n">
        <f aca="false">'SALES Raw'!C1118</f>
        <v>3</v>
      </c>
      <c r="E4619" s="19" t="n">
        <f aca="false">'SALES Raw'!D1118</f>
        <v>148.9</v>
      </c>
      <c r="F4619" s="19" t="n">
        <f aca="false">'SALES Raw'!E1118*$H$4</f>
        <v>0</v>
      </c>
      <c r="G4619" s="19" t="n">
        <f aca="false">'SALES Raw'!F1118*$H$4</f>
        <v>0</v>
      </c>
      <c r="H4619" s="18" t="str">
        <f aca="false">'SALES Raw'!A1118</f>
        <v>102 - Orthopedic institutes</v>
      </c>
    </row>
    <row r="4620" customFormat="false" ht="15" hidden="false" customHeight="false" outlineLevel="0" collapsed="false">
      <c r="A4620" s="18" t="str">
        <f aca="false">'SALES Raw'!G1119</f>
        <v/>
      </c>
      <c r="B4620" s="18" t="str">
        <f aca="false">'SALES Raw'!B1119</f>
        <v>76 XS</v>
      </c>
      <c r="C4620" s="18" t="str">
        <f aca="false">'SALES Raw'!H1119</f>
        <v>76 XS</v>
      </c>
      <c r="D4620" s="19" t="n">
        <f aca="false">'SALES Raw'!C1119</f>
        <v>1</v>
      </c>
      <c r="E4620" s="19" t="n">
        <f aca="false">'SALES Raw'!D1119</f>
        <v>160</v>
      </c>
      <c r="F4620" s="19" t="n">
        <f aca="false">'SALES Raw'!E1119*$H$4</f>
        <v>0</v>
      </c>
      <c r="G4620" s="19" t="n">
        <f aca="false">'SALES Raw'!F1119*$H$4</f>
        <v>0</v>
      </c>
      <c r="H4620" s="18" t="str">
        <f aca="false">'SALES Raw'!A1119</f>
        <v>102 - Orthopedic institutes</v>
      </c>
    </row>
    <row r="4621" customFormat="false" ht="15" hidden="false" customHeight="false" outlineLevel="0" collapsed="false">
      <c r="A4621" s="18" t="n">
        <f aca="false">'SALES Raw'!G1123</f>
        <v>4413420</v>
      </c>
      <c r="B4621" s="18" t="str">
        <f aca="false">'SALES Raw'!B1123</f>
        <v>SC35L S</v>
      </c>
      <c r="C4621" s="18" t="str">
        <f aca="false">'SALES Raw'!H1123</f>
        <v>SC35L  S מגן קרסול שמאל</v>
      </c>
      <c r="D4621" s="19" t="n">
        <f aca="false">'SALES Raw'!C1123</f>
        <v>1</v>
      </c>
      <c r="E4621" s="19" t="n">
        <f aca="false">'SALES Raw'!D1123</f>
        <v>77.29</v>
      </c>
      <c r="F4621" s="19" t="n">
        <f aca="false">'SALES Raw'!E1123*$H$4</f>
        <v>0</v>
      </c>
      <c r="G4621" s="19" t="n">
        <f aca="false">'SALES Raw'!F1123*$H$4</f>
        <v>0</v>
      </c>
      <c r="H4621" s="18" t="str">
        <f aca="false">'SALES Raw'!A1123</f>
        <v>102 - Orthopedic institutes</v>
      </c>
    </row>
    <row r="4622" customFormat="false" ht="15" hidden="false" customHeight="false" outlineLevel="0" collapsed="false">
      <c r="A4622" s="18" t="n">
        <f aca="false">'SALES Raw'!G1124</f>
        <v>4413423</v>
      </c>
      <c r="B4622" s="18" t="str">
        <f aca="false">'SALES Raw'!B1124</f>
        <v>SC35L XL</v>
      </c>
      <c r="C4622" s="18" t="str">
        <f aca="false">'SALES Raw'!H1124</f>
        <v>SC35L XL מגן קרסול שמאל</v>
      </c>
      <c r="D4622" s="19" t="n">
        <f aca="false">'SALES Raw'!C1124</f>
        <v>4</v>
      </c>
      <c r="E4622" s="19" t="n">
        <f aca="false">'SALES Raw'!D1124</f>
        <v>358.32</v>
      </c>
      <c r="F4622" s="19" t="n">
        <f aca="false">'SALES Raw'!E1124*$H$4</f>
        <v>0</v>
      </c>
      <c r="G4622" s="19" t="n">
        <f aca="false">'SALES Raw'!F1124*$H$4</f>
        <v>0</v>
      </c>
      <c r="H4622" s="18" t="str">
        <f aca="false">'SALES Raw'!A1124</f>
        <v>102 - Orthopedic institutes</v>
      </c>
    </row>
    <row r="4623" customFormat="false" ht="15" hidden="false" customHeight="false" outlineLevel="0" collapsed="false">
      <c r="A4623" s="18" t="n">
        <f aca="false">'SALES Raw'!G1125</f>
        <v>4413426</v>
      </c>
      <c r="B4623" s="18" t="str">
        <f aca="false">'SALES Raw'!B1125</f>
        <v>SC35R L</v>
      </c>
      <c r="C4623" s="18" t="str">
        <f aca="false">'SALES Raw'!H1125</f>
        <v>SC35R  L מגן קרסול ימין</v>
      </c>
      <c r="D4623" s="19" t="n">
        <f aca="false">'SALES Raw'!C1125</f>
        <v>4</v>
      </c>
      <c r="E4623" s="19" t="n">
        <f aca="false">'SALES Raw'!D1125</f>
        <v>358.32</v>
      </c>
      <c r="F4623" s="19" t="n">
        <f aca="false">'SALES Raw'!E1125*$H$4</f>
        <v>0</v>
      </c>
      <c r="G4623" s="19" t="n">
        <f aca="false">'SALES Raw'!F1125*$H$4</f>
        <v>0</v>
      </c>
      <c r="H4623" s="18" t="str">
        <f aca="false">'SALES Raw'!A1125</f>
        <v>102 - Orthopedic institutes</v>
      </c>
    </row>
    <row r="4624" customFormat="false" ht="15" hidden="false" customHeight="false" outlineLevel="0" collapsed="false">
      <c r="A4624" s="18" t="n">
        <f aca="false">'SALES Raw'!G1126</f>
        <v>4413425</v>
      </c>
      <c r="B4624" s="18" t="str">
        <f aca="false">'SALES Raw'!B1126</f>
        <v>SC35R M</v>
      </c>
      <c r="C4624" s="18" t="str">
        <f aca="false">'SALES Raw'!H1126</f>
        <v>SC35R  M מגן קרסול ימין</v>
      </c>
      <c r="D4624" s="19" t="n">
        <f aca="false">'SALES Raw'!C1126</f>
        <v>4</v>
      </c>
      <c r="E4624" s="19" t="n">
        <f aca="false">'SALES Raw'!D1126</f>
        <v>358.32</v>
      </c>
      <c r="F4624" s="19" t="n">
        <f aca="false">'SALES Raw'!E1126*$H$4</f>
        <v>0</v>
      </c>
      <c r="G4624" s="19" t="n">
        <f aca="false">'SALES Raw'!F1126*$H$4</f>
        <v>0</v>
      </c>
      <c r="H4624" s="18" t="str">
        <f aca="false">'SALES Raw'!A1126</f>
        <v>102 - Orthopedic institutes</v>
      </c>
    </row>
    <row r="4625" customFormat="false" ht="15" hidden="false" customHeight="false" outlineLevel="0" collapsed="false">
      <c r="A4625" s="18" t="n">
        <f aca="false">'SALES Raw'!G1127</f>
        <v>4413424</v>
      </c>
      <c r="B4625" s="18" t="str">
        <f aca="false">'SALES Raw'!B1127</f>
        <v>SC35R S</v>
      </c>
      <c r="C4625" s="18" t="str">
        <f aca="false">'SALES Raw'!H1127</f>
        <v>SC35R  S מגן קרסול ימין</v>
      </c>
      <c r="D4625" s="19" t="n">
        <f aca="false">'SALES Raw'!C1127</f>
        <v>1</v>
      </c>
      <c r="E4625" s="19" t="n">
        <f aca="false">'SALES Raw'!D1127</f>
        <v>77.29</v>
      </c>
      <c r="F4625" s="19" t="n">
        <f aca="false">'SALES Raw'!E1127*$H$4</f>
        <v>0</v>
      </c>
      <c r="G4625" s="19" t="n">
        <f aca="false">'SALES Raw'!F1127*$H$4</f>
        <v>0</v>
      </c>
      <c r="H4625" s="18" t="str">
        <f aca="false">'SALES Raw'!A1127</f>
        <v>102 - Orthopedic institutes</v>
      </c>
    </row>
    <row r="4626" customFormat="false" ht="15" hidden="false" customHeight="false" outlineLevel="0" collapsed="false">
      <c r="A4626" s="18" t="n">
        <f aca="false">'SALES Raw'!G1128</f>
        <v>4413427</v>
      </c>
      <c r="B4626" s="18" t="str">
        <f aca="false">'SALES Raw'!B1128</f>
        <v>SC35R XL</v>
      </c>
      <c r="C4626" s="18" t="str">
        <f aca="false">'SALES Raw'!H1128</f>
        <v>SC35R  XLמגן קרסול ימין</v>
      </c>
      <c r="D4626" s="19" t="n">
        <f aca="false">'SALES Raw'!C1128</f>
        <v>4</v>
      </c>
      <c r="E4626" s="19" t="n">
        <f aca="false">'SALES Raw'!D1128</f>
        <v>358.32</v>
      </c>
      <c r="F4626" s="19" t="n">
        <f aca="false">'SALES Raw'!E1128*$H$4</f>
        <v>0</v>
      </c>
      <c r="G4626" s="19" t="n">
        <f aca="false">'SALES Raw'!F1128*$H$4</f>
        <v>0</v>
      </c>
      <c r="H4626" s="18" t="str">
        <f aca="false">'SALES Raw'!A1128</f>
        <v>102 - Orthopedic institutes</v>
      </c>
    </row>
    <row r="4627" customFormat="false" ht="15" hidden="false" customHeight="false" outlineLevel="0" collapsed="false">
      <c r="A4627" s="18" t="n">
        <f aca="false">'SALES Raw'!G1130</f>
        <v>4413405</v>
      </c>
      <c r="B4627" s="18" t="str">
        <f aca="false">'SALES Raw'!B1130</f>
        <v>SC95 S</v>
      </c>
      <c r="C4627" s="18" t="str">
        <f aca="false">'SALES Raw'!H1130</f>
        <v>SC95 S מגן מרפק</v>
      </c>
      <c r="D4627" s="19" t="n">
        <f aca="false">'SALES Raw'!C1130</f>
        <v>2</v>
      </c>
      <c r="E4627" s="19" t="n">
        <f aca="false">'SALES Raw'!D1130</f>
        <v>170.97</v>
      </c>
      <c r="F4627" s="19" t="n">
        <f aca="false">'SALES Raw'!E1130*$H$4</f>
        <v>0</v>
      </c>
      <c r="G4627" s="19" t="n">
        <f aca="false">'SALES Raw'!F1130*$H$4</f>
        <v>0</v>
      </c>
      <c r="H4627" s="18" t="str">
        <f aca="false">'SALES Raw'!A1130</f>
        <v>102 - Orthopedic institutes</v>
      </c>
    </row>
    <row r="4628" customFormat="false" ht="15" hidden="false" customHeight="false" outlineLevel="0" collapsed="false">
      <c r="A4628" s="18" t="str">
        <f aca="false">'SALES Raw'!G1133</f>
        <v/>
      </c>
      <c r="B4628" s="18" t="str">
        <f aca="false">'SALES Raw'!B1133</f>
        <v>T33 XS</v>
      </c>
      <c r="C4628" s="18" t="str">
        <f aca="false">'SALES Raw'!H1133</f>
        <v>T33 XS</v>
      </c>
      <c r="D4628" s="19" t="n">
        <f aca="false">'SALES Raw'!C1133</f>
        <v>1</v>
      </c>
      <c r="E4628" s="19" t="n">
        <f aca="false">'SALES Raw'!D1133</f>
        <v>110.01</v>
      </c>
      <c r="F4628" s="19" t="n">
        <f aca="false">'SALES Raw'!E1133*$H$4</f>
        <v>0</v>
      </c>
      <c r="G4628" s="19" t="n">
        <f aca="false">'SALES Raw'!F1133*$H$4</f>
        <v>0</v>
      </c>
      <c r="H4628" s="18" t="str">
        <f aca="false">'SALES Raw'!A1133</f>
        <v>102 - Orthopedic institutes</v>
      </c>
    </row>
    <row r="4629" customFormat="false" ht="15" hidden="false" customHeight="false" outlineLevel="0" collapsed="false">
      <c r="A4629" s="18" t="str">
        <f aca="false">'SALES Raw'!G1134</f>
        <v/>
      </c>
      <c r="B4629" s="18" t="str">
        <f aca="false">'SALES Raw'!B1134</f>
        <v>062 L</v>
      </c>
      <c r="C4629" s="18" t="str">
        <f aca="false">'SALES Raw'!H1134</f>
        <v>062 L</v>
      </c>
      <c r="D4629" s="19" t="n">
        <f aca="false">'SALES Raw'!C1134</f>
        <v>1</v>
      </c>
      <c r="E4629" s="19" t="n">
        <f aca="false">'SALES Raw'!D1134</f>
        <v>164.99</v>
      </c>
      <c r="F4629" s="19" t="n">
        <f aca="false">'SALES Raw'!E1134*$H$4</f>
        <v>0</v>
      </c>
      <c r="G4629" s="19" t="n">
        <f aca="false">'SALES Raw'!F1134*$H$4</f>
        <v>0</v>
      </c>
      <c r="H4629" s="18" t="str">
        <f aca="false">'SALES Raw'!A1134</f>
        <v>102 - Orthopedic institutes</v>
      </c>
    </row>
    <row r="4630" customFormat="false" ht="15" hidden="false" customHeight="false" outlineLevel="0" collapsed="false">
      <c r="A4630" s="18" t="str">
        <f aca="false">'SALES Raw'!G1135</f>
        <v/>
      </c>
      <c r="B4630" s="18" t="str">
        <f aca="false">'SALES Raw'!B1135</f>
        <v>062 XXL</v>
      </c>
      <c r="C4630" s="18" t="str">
        <f aca="false">'SALES Raw'!H1135</f>
        <v>062 XXL</v>
      </c>
      <c r="D4630" s="19" t="n">
        <f aca="false">'SALES Raw'!C1135</f>
        <v>2</v>
      </c>
      <c r="E4630" s="19" t="n">
        <f aca="false">'SALES Raw'!D1135</f>
        <v>330</v>
      </c>
      <c r="F4630" s="19" t="n">
        <f aca="false">'SALES Raw'!E1135*$H$4</f>
        <v>0</v>
      </c>
      <c r="G4630" s="19" t="n">
        <f aca="false">'SALES Raw'!F1135*$H$4</f>
        <v>0</v>
      </c>
      <c r="H4630" s="18" t="str">
        <f aca="false">'SALES Raw'!A1135</f>
        <v>102 - Orthopedic institutes</v>
      </c>
    </row>
    <row r="4631" customFormat="false" ht="15" hidden="false" customHeight="false" outlineLevel="0" collapsed="false">
      <c r="A4631" s="18" t="str">
        <f aca="false">'SALES Raw'!G1136</f>
        <v/>
      </c>
      <c r="B4631" s="18" t="str">
        <f aca="false">'SALES Raw'!B1136</f>
        <v>11PS M</v>
      </c>
      <c r="C4631" s="18" t="str">
        <f aca="false">'SALES Raw'!H1136</f>
        <v>11PS M</v>
      </c>
      <c r="D4631" s="19" t="n">
        <f aca="false">'SALES Raw'!C1136</f>
        <v>2</v>
      </c>
      <c r="E4631" s="19" t="n">
        <f aca="false">'SALES Raw'!D1136</f>
        <v>271.77</v>
      </c>
      <c r="F4631" s="19" t="n">
        <f aca="false">'SALES Raw'!E1136*$H$4</f>
        <v>0</v>
      </c>
      <c r="G4631" s="19" t="n">
        <f aca="false">'SALES Raw'!F1136*$H$4</f>
        <v>0</v>
      </c>
      <c r="H4631" s="18" t="str">
        <f aca="false">'SALES Raw'!A1136</f>
        <v>102 - Orthopedic institutes</v>
      </c>
    </row>
    <row r="4632" customFormat="false" ht="15" hidden="false" customHeight="false" outlineLevel="0" collapsed="false">
      <c r="A4632" s="18" t="str">
        <f aca="false">'SALES Raw'!G1137</f>
        <v/>
      </c>
      <c r="B4632" s="18" t="str">
        <f aca="false">'SALES Raw'!B1137</f>
        <v>422EU S</v>
      </c>
      <c r="C4632" s="18" t="str">
        <f aca="false">'SALES Raw'!H1137</f>
        <v>422EU S</v>
      </c>
      <c r="D4632" s="19" t="n">
        <f aca="false">'SALES Raw'!C1137</f>
        <v>1</v>
      </c>
      <c r="E4632" s="19" t="n">
        <f aca="false">'SALES Raw'!D1137</f>
        <v>95</v>
      </c>
      <c r="F4632" s="19" t="n">
        <f aca="false">'SALES Raw'!E1137*$H$4</f>
        <v>0</v>
      </c>
      <c r="G4632" s="19" t="n">
        <f aca="false">'SALES Raw'!F1137*$H$4</f>
        <v>0</v>
      </c>
      <c r="H4632" s="18" t="str">
        <f aca="false">'SALES Raw'!A1137</f>
        <v>102 - Orthopedic institutes</v>
      </c>
    </row>
    <row r="4633" customFormat="false" ht="15" hidden="false" customHeight="false" outlineLevel="0" collapsed="false">
      <c r="A4633" s="18" t="n">
        <f aca="false">'SALES Raw'!G1138</f>
        <v>4403000</v>
      </c>
      <c r="B4633" s="18" t="str">
        <f aca="false">'SALES Raw'!B1138</f>
        <v>390B-35-38</v>
      </c>
      <c r="C4633" s="18" t="str">
        <f aca="false">'SALES Raw'!H1138</f>
        <v>390B גרב.כסף לסכרתים שחור35-38</v>
      </c>
      <c r="D4633" s="19" t="n">
        <f aca="false">'SALES Raw'!C1138</f>
        <v>2</v>
      </c>
      <c r="E4633" s="19" t="n">
        <f aca="false">'SALES Raw'!D1138</f>
        <v>54</v>
      </c>
      <c r="F4633" s="19" t="n">
        <f aca="false">'SALES Raw'!E1138*$H$4</f>
        <v>0</v>
      </c>
      <c r="G4633" s="19" t="n">
        <f aca="false">'SALES Raw'!F1138*$H$4</f>
        <v>0</v>
      </c>
      <c r="H4633" s="18" t="str">
        <f aca="false">'SALES Raw'!A1138</f>
        <v>102 - Orthopedic institutes</v>
      </c>
    </row>
    <row r="4634" customFormat="false" ht="15" hidden="false" customHeight="false" outlineLevel="0" collapsed="false">
      <c r="A4634" s="18" t="str">
        <f aca="false">'SALES Raw'!G1140</f>
        <v/>
      </c>
      <c r="B4634" s="18" t="str">
        <f aca="false">'SALES Raw'!B1140</f>
        <v>30 XXL</v>
      </c>
      <c r="C4634" s="18" t="str">
        <f aca="false">'SALES Raw'!H1140</f>
        <v>30 XXL</v>
      </c>
      <c r="D4634" s="19" t="n">
        <f aca="false">'SALES Raw'!C1140</f>
        <v>1</v>
      </c>
      <c r="E4634" s="19" t="n">
        <f aca="false">'SALES Raw'!D1140</f>
        <v>66.51</v>
      </c>
      <c r="F4634" s="19" t="n">
        <f aca="false">'SALES Raw'!E1140*$H$4</f>
        <v>0</v>
      </c>
      <c r="G4634" s="19" t="n">
        <f aca="false">'SALES Raw'!F1140*$H$4</f>
        <v>0</v>
      </c>
      <c r="H4634" s="18" t="str">
        <f aca="false">'SALES Raw'!A1140</f>
        <v>102 - Orthopedic institutes</v>
      </c>
    </row>
    <row r="4635" customFormat="false" ht="15" hidden="false" customHeight="false" outlineLevel="0" collapsed="false">
      <c r="A4635" s="18" t="n">
        <f aca="false">'SALES Raw'!G1141</f>
        <v>4413340</v>
      </c>
      <c r="B4635" s="18" t="str">
        <f aca="false">'SALES Raw'!B1141</f>
        <v>3666 0</v>
      </c>
      <c r="C4635" s="18" t="str">
        <f aca="false">'SALES Raw'!H1141</f>
        <v>3666 מפריד הלוקס</v>
      </c>
      <c r="D4635" s="19" t="n">
        <f aca="false">'SALES Raw'!C1141</f>
        <v>1</v>
      </c>
      <c r="E4635" s="19" t="n">
        <f aca="false">'SALES Raw'!D1141</f>
        <v>66.5</v>
      </c>
      <c r="F4635" s="19" t="n">
        <f aca="false">'SALES Raw'!E1141*$H$4</f>
        <v>0</v>
      </c>
      <c r="G4635" s="19" t="n">
        <f aca="false">'SALES Raw'!F1141*$H$4</f>
        <v>0</v>
      </c>
      <c r="H4635" s="18" t="str">
        <f aca="false">'SALES Raw'!A1141</f>
        <v>102 - Orthopedic institutes</v>
      </c>
    </row>
    <row r="4636" customFormat="false" ht="15" hidden="false" customHeight="false" outlineLevel="0" collapsed="false">
      <c r="A4636" s="18" t="n">
        <f aca="false">'SALES Raw'!G1144</f>
        <v>4413332</v>
      </c>
      <c r="B4636" s="18" t="str">
        <f aca="false">'SALES Raw'!B1144</f>
        <v>45 XS</v>
      </c>
      <c r="C4636" s="18" t="str">
        <f aca="false">'SALES Raw'!H1144</f>
        <v>45  XS מגן ברך רגיל לבן</v>
      </c>
      <c r="D4636" s="19" t="n">
        <f aca="false">'SALES Raw'!C1144</f>
        <v>1</v>
      </c>
      <c r="E4636" s="19" t="n">
        <f aca="false">'SALES Raw'!D1144</f>
        <v>30.89</v>
      </c>
      <c r="F4636" s="19" t="n">
        <f aca="false">'SALES Raw'!E1144*$H$4</f>
        <v>0</v>
      </c>
      <c r="G4636" s="19" t="n">
        <f aca="false">'SALES Raw'!F1144*$H$4</f>
        <v>0</v>
      </c>
      <c r="H4636" s="18" t="str">
        <f aca="false">'SALES Raw'!A1144</f>
        <v>102 - Orthopedic institutes</v>
      </c>
    </row>
    <row r="4637" customFormat="false" ht="15" hidden="false" customHeight="false" outlineLevel="0" collapsed="false">
      <c r="A4637" s="18" t="n">
        <f aca="false">'SALES Raw'!G1146</f>
        <v>4413498</v>
      </c>
      <c r="B4637" s="18" t="str">
        <f aca="false">'SALES Raw'!B1146</f>
        <v>45B S</v>
      </c>
      <c r="C4637" s="18" t="str">
        <f aca="false">'SALES Raw'!H1146</f>
        <v>45B S מגן ברך שחור</v>
      </c>
      <c r="D4637" s="19" t="n">
        <f aca="false">'SALES Raw'!C1146</f>
        <v>5</v>
      </c>
      <c r="E4637" s="19" t="n">
        <f aca="false">'SALES Raw'!D1146</f>
        <v>154.45</v>
      </c>
      <c r="F4637" s="19" t="n">
        <f aca="false">'SALES Raw'!E1146*$H$4</f>
        <v>0</v>
      </c>
      <c r="G4637" s="19" t="n">
        <f aca="false">'SALES Raw'!F1146*$H$4</f>
        <v>0</v>
      </c>
      <c r="H4637" s="18" t="str">
        <f aca="false">'SALES Raw'!A1146</f>
        <v>102 - Orthopedic institutes</v>
      </c>
    </row>
    <row r="4638" customFormat="false" ht="15" hidden="false" customHeight="false" outlineLevel="0" collapsed="false">
      <c r="A4638" s="18" t="n">
        <f aca="false">'SALES Raw'!G1147</f>
        <v>4413496</v>
      </c>
      <c r="B4638" s="18" t="str">
        <f aca="false">'SALES Raw'!B1147</f>
        <v>45B XL</v>
      </c>
      <c r="C4638" s="18" t="str">
        <f aca="false">'SALES Raw'!H1147</f>
        <v>45B XL מגן ברך שחור</v>
      </c>
      <c r="D4638" s="19" t="n">
        <f aca="false">'SALES Raw'!C1147</f>
        <v>9</v>
      </c>
      <c r="E4638" s="19" t="n">
        <f aca="false">'SALES Raw'!D1147</f>
        <v>254.24</v>
      </c>
      <c r="F4638" s="19" t="n">
        <f aca="false">'SALES Raw'!E1147*$H$4</f>
        <v>0</v>
      </c>
      <c r="G4638" s="19" t="n">
        <f aca="false">'SALES Raw'!F1147*$H$4</f>
        <v>0</v>
      </c>
      <c r="H4638" s="18" t="str">
        <f aca="false">'SALES Raw'!A1147</f>
        <v>102 - Orthopedic institutes</v>
      </c>
    </row>
    <row r="4639" customFormat="false" ht="15" hidden="false" customHeight="false" outlineLevel="0" collapsed="false">
      <c r="A4639" s="18" t="n">
        <f aca="false">'SALES Raw'!G1149</f>
        <v>4413399</v>
      </c>
      <c r="B4639" s="18" t="str">
        <f aca="false">'SALES Raw'!B1149</f>
        <v>21 XS</v>
      </c>
      <c r="C4639" s="18" t="str">
        <f aca="false">'SALES Raw'!H1149</f>
        <v>21 XS מגן יד</v>
      </c>
      <c r="D4639" s="19" t="n">
        <f aca="false">'SALES Raw'!C1149</f>
        <v>1</v>
      </c>
      <c r="E4639" s="19" t="n">
        <f aca="false">'SALES Raw'!D1149</f>
        <v>39.79</v>
      </c>
      <c r="F4639" s="19" t="n">
        <f aca="false">'SALES Raw'!E1149*$H$4</f>
        <v>0</v>
      </c>
      <c r="G4639" s="19" t="n">
        <f aca="false">'SALES Raw'!F1149*$H$4</f>
        <v>0</v>
      </c>
      <c r="H4639" s="18" t="str">
        <f aca="false">'SALES Raw'!A1149</f>
        <v>102 - Orthopedic institutes</v>
      </c>
    </row>
    <row r="4640" customFormat="false" ht="15" hidden="false" customHeight="false" outlineLevel="0" collapsed="false">
      <c r="A4640" s="18" t="str">
        <f aca="false">'SALES Raw'!G1153</f>
        <v/>
      </c>
      <c r="B4640" s="18" t="str">
        <f aca="false">'SALES Raw'!B1153</f>
        <v>422EBD L</v>
      </c>
      <c r="C4640" s="18" t="str">
        <f aca="false">'SALES Raw'!H1153</f>
        <v>422EBD L</v>
      </c>
      <c r="D4640" s="19" t="n">
        <f aca="false">'SALES Raw'!C1153</f>
        <v>1</v>
      </c>
      <c r="E4640" s="19" t="n">
        <f aca="false">'SALES Raw'!D1153</f>
        <v>330.86</v>
      </c>
      <c r="F4640" s="19" t="n">
        <f aca="false">'SALES Raw'!E1153*$H$4</f>
        <v>0</v>
      </c>
      <c r="G4640" s="19" t="n">
        <f aca="false">'SALES Raw'!F1153*$H$4</f>
        <v>0</v>
      </c>
      <c r="H4640" s="18" t="str">
        <f aca="false">'SALES Raw'!A1153</f>
        <v>102 - Orthopedic institutes</v>
      </c>
    </row>
    <row r="4641" customFormat="false" ht="15" hidden="false" customHeight="false" outlineLevel="0" collapsed="false">
      <c r="A4641" s="18" t="str">
        <f aca="false">'SALES Raw'!G1154</f>
        <v/>
      </c>
      <c r="B4641" s="18" t="str">
        <f aca="false">'SALES Raw'!B1154</f>
        <v>422EBD XL</v>
      </c>
      <c r="C4641" s="18" t="str">
        <f aca="false">'SALES Raw'!H1154</f>
        <v>422EBD XL</v>
      </c>
      <c r="D4641" s="19" t="n">
        <f aca="false">'SALES Raw'!C1154</f>
        <v>1</v>
      </c>
      <c r="E4641" s="19" t="n">
        <f aca="false">'SALES Raw'!D1154</f>
        <v>330.86</v>
      </c>
      <c r="F4641" s="19" t="n">
        <f aca="false">'SALES Raw'!E1154*$H$4</f>
        <v>0</v>
      </c>
      <c r="G4641" s="19" t="n">
        <f aca="false">'SALES Raw'!F1154*$H$4</f>
        <v>0</v>
      </c>
      <c r="H4641" s="18" t="str">
        <f aca="false">'SALES Raw'!A1154</f>
        <v>102 - Orthopedic institutes</v>
      </c>
    </row>
    <row r="4642" customFormat="false" ht="15" hidden="false" customHeight="false" outlineLevel="0" collapsed="false">
      <c r="A4642" s="18" t="str">
        <f aca="false">'SALES Raw'!G1156</f>
        <v/>
      </c>
      <c r="B4642" s="18" t="str">
        <f aca="false">'SALES Raw'!B1156</f>
        <v>91 0</v>
      </c>
      <c r="C4642" s="18" t="str">
        <f aca="false">'SALES Raw'!H1156</f>
        <v>91 0</v>
      </c>
      <c r="D4642" s="19" t="n">
        <f aca="false">'SALES Raw'!C1156</f>
        <v>3</v>
      </c>
      <c r="E4642" s="19" t="n">
        <f aca="false">'SALES Raw'!D1156</f>
        <v>241.72</v>
      </c>
      <c r="F4642" s="19" t="n">
        <f aca="false">'SALES Raw'!E1156*$H$4</f>
        <v>0</v>
      </c>
      <c r="G4642" s="19" t="n">
        <f aca="false">'SALES Raw'!F1156*$H$4</f>
        <v>0</v>
      </c>
      <c r="H4642" s="18" t="str">
        <f aca="false">'SALES Raw'!A1156</f>
        <v>102 - Orthopedic institutes</v>
      </c>
    </row>
    <row r="4643" customFormat="false" ht="15" hidden="false" customHeight="false" outlineLevel="0" collapsed="false">
      <c r="A4643" s="18" t="n">
        <f aca="false">'SALES Raw'!G1157</f>
        <v>4413144</v>
      </c>
      <c r="B4643" s="18" t="str">
        <f aca="false">'SALES Raw'!B1157</f>
        <v>95 XXL</v>
      </c>
      <c r="C4643" s="18" t="str">
        <f aca="false">'SALES Raw'!H1157</f>
        <v>95 XXL מגן מרפק רגיל לבן</v>
      </c>
      <c r="D4643" s="19" t="n">
        <f aca="false">'SALES Raw'!C1157</f>
        <v>1</v>
      </c>
      <c r="E4643" s="19" t="n">
        <f aca="false">'SALES Raw'!D1157</f>
        <v>30.89</v>
      </c>
      <c r="F4643" s="19" t="n">
        <f aca="false">'SALES Raw'!E1157*$H$4</f>
        <v>0</v>
      </c>
      <c r="G4643" s="19" t="n">
        <f aca="false">'SALES Raw'!F1157*$H$4</f>
        <v>0</v>
      </c>
      <c r="H4643" s="18" t="str">
        <f aca="false">'SALES Raw'!A1157</f>
        <v>102 - Orthopedic institutes</v>
      </c>
    </row>
    <row r="4644" customFormat="false" ht="15" hidden="false" customHeight="false" outlineLevel="0" collapsed="false">
      <c r="A4644" s="18" t="str">
        <f aca="false">'SALES Raw'!G1160</f>
        <v/>
      </c>
      <c r="B4644" s="18" t="str">
        <f aca="false">'SALES Raw'!B1160</f>
        <v>11STOB L</v>
      </c>
      <c r="C4644" s="18" t="str">
        <f aca="false">'SALES Raw'!H1160</f>
        <v>11STOB L</v>
      </c>
      <c r="D4644" s="19" t="n">
        <f aca="false">'SALES Raw'!C1160</f>
        <v>1</v>
      </c>
      <c r="E4644" s="19" t="n">
        <f aca="false">'SALES Raw'!D1160</f>
        <v>105</v>
      </c>
      <c r="F4644" s="19" t="n">
        <f aca="false">'SALES Raw'!E1160*$H$4</f>
        <v>0</v>
      </c>
      <c r="G4644" s="19" t="n">
        <f aca="false">'SALES Raw'!F1160*$H$4</f>
        <v>0</v>
      </c>
      <c r="H4644" s="18" t="str">
        <f aca="false">'SALES Raw'!A1160</f>
        <v>102 - Orthopedic institutes</v>
      </c>
    </row>
    <row r="4645" customFormat="false" ht="15" hidden="false" customHeight="false" outlineLevel="0" collapsed="false">
      <c r="A4645" s="18" t="str">
        <f aca="false">'SALES Raw'!G1161</f>
        <v/>
      </c>
      <c r="B4645" s="18" t="str">
        <f aca="false">'SALES Raw'!B1161</f>
        <v>11STOB M</v>
      </c>
      <c r="C4645" s="18" t="str">
        <f aca="false">'SALES Raw'!H1161</f>
        <v>11STOB M</v>
      </c>
      <c r="D4645" s="19" t="n">
        <f aca="false">'SALES Raw'!C1161</f>
        <v>1</v>
      </c>
      <c r="E4645" s="19" t="n">
        <f aca="false">'SALES Raw'!D1161</f>
        <v>104.99</v>
      </c>
      <c r="F4645" s="19" t="n">
        <f aca="false">'SALES Raw'!E1161*$H$4</f>
        <v>0</v>
      </c>
      <c r="G4645" s="19" t="n">
        <f aca="false">'SALES Raw'!F1161*$H$4</f>
        <v>0</v>
      </c>
      <c r="H4645" s="18" t="str">
        <f aca="false">'SALES Raw'!A1161</f>
        <v>102 - Orthopedic institutes</v>
      </c>
    </row>
    <row r="4646" customFormat="false" ht="15" hidden="false" customHeight="false" outlineLevel="0" collapsed="false">
      <c r="A4646" s="18" t="str">
        <f aca="false">'SALES Raw'!G1162</f>
        <v/>
      </c>
      <c r="B4646" s="18" t="str">
        <f aca="false">'SALES Raw'!B1162</f>
        <v>11STOB XL</v>
      </c>
      <c r="C4646" s="18" t="str">
        <f aca="false">'SALES Raw'!H1162</f>
        <v>11STOB XL</v>
      </c>
      <c r="D4646" s="19" t="n">
        <f aca="false">'SALES Raw'!C1162</f>
        <v>1</v>
      </c>
      <c r="E4646" s="19" t="n">
        <f aca="false">'SALES Raw'!D1162</f>
        <v>105</v>
      </c>
      <c r="F4646" s="19" t="n">
        <f aca="false">'SALES Raw'!E1162*$H$4</f>
        <v>0</v>
      </c>
      <c r="G4646" s="19" t="n">
        <f aca="false">'SALES Raw'!F1162*$H$4</f>
        <v>0</v>
      </c>
      <c r="H4646" s="18" t="str">
        <f aca="false">'SALES Raw'!A1162</f>
        <v>102 - Orthopedic institutes</v>
      </c>
    </row>
    <row r="4647" customFormat="false" ht="15" hidden="false" customHeight="false" outlineLevel="0" collapsed="false">
      <c r="A4647" s="18" t="str">
        <f aca="false">'SALES Raw'!G1163</f>
        <v/>
      </c>
      <c r="B4647" s="18" t="str">
        <f aca="false">'SALES Raw'!B1163</f>
        <v>32 L</v>
      </c>
      <c r="C4647" s="18" t="str">
        <f aca="false">'SALES Raw'!H1163</f>
        <v>32 L</v>
      </c>
      <c r="D4647" s="19" t="n">
        <f aca="false">'SALES Raw'!C1163</f>
        <v>-1</v>
      </c>
      <c r="E4647" s="19" t="n">
        <f aca="false">'SALES Raw'!D1163</f>
        <v>-129</v>
      </c>
      <c r="F4647" s="19" t="n">
        <f aca="false">'SALES Raw'!E1163*$H$4</f>
        <v>0</v>
      </c>
      <c r="G4647" s="19" t="n">
        <f aca="false">'SALES Raw'!F1163*$H$4</f>
        <v>0</v>
      </c>
      <c r="H4647" s="18" t="str">
        <f aca="false">'SALES Raw'!A1163</f>
        <v>102 - Orthopedic institutes</v>
      </c>
    </row>
    <row r="4648" customFormat="false" ht="15" hidden="false" customHeight="false" outlineLevel="0" collapsed="false">
      <c r="A4648" s="18" t="str">
        <f aca="false">'SALES Raw'!G1164</f>
        <v/>
      </c>
      <c r="B4648" s="18" t="str">
        <f aca="false">'SALES Raw'!B1164</f>
        <v>32 M</v>
      </c>
      <c r="C4648" s="18" t="str">
        <f aca="false">'SALES Raw'!H1164</f>
        <v>32 M</v>
      </c>
      <c r="D4648" s="19" t="n">
        <f aca="false">'SALES Raw'!C1164</f>
        <v>-1</v>
      </c>
      <c r="E4648" s="19" t="n">
        <f aca="false">'SALES Raw'!D1164</f>
        <v>-129</v>
      </c>
      <c r="F4648" s="19" t="n">
        <f aca="false">'SALES Raw'!E1164*$H$4</f>
        <v>0</v>
      </c>
      <c r="G4648" s="19" t="n">
        <f aca="false">'SALES Raw'!F1164*$H$4</f>
        <v>0</v>
      </c>
      <c r="H4648" s="18" t="str">
        <f aca="false">'SALES Raw'!A1164</f>
        <v>102 - Orthopedic institutes</v>
      </c>
    </row>
    <row r="4649" customFormat="false" ht="15" hidden="false" customHeight="false" outlineLevel="0" collapsed="false">
      <c r="A4649" s="18" t="n">
        <f aca="false">'SALES Raw'!G1165</f>
        <v>4420001</v>
      </c>
      <c r="B4649" s="18" t="str">
        <f aca="false">'SALES Raw'!B1165</f>
        <v>371 0</v>
      </c>
      <c r="C4649" s="18" t="str">
        <f aca="false">'SALES Raw'!H1165</f>
        <v>371 רפידת מגבת כותנה-זוג</v>
      </c>
      <c r="D4649" s="19" t="n">
        <f aca="false">'SALES Raw'!C1165</f>
        <v>2</v>
      </c>
      <c r="E4649" s="19" t="n">
        <f aca="false">'SALES Raw'!D1165</f>
        <v>24.28</v>
      </c>
      <c r="F4649" s="19" t="n">
        <f aca="false">'SALES Raw'!E1165*$H$4</f>
        <v>0</v>
      </c>
      <c r="G4649" s="19" t="n">
        <f aca="false">'SALES Raw'!F1165*$H$4</f>
        <v>0</v>
      </c>
      <c r="H4649" s="18" t="str">
        <f aca="false">'SALES Raw'!A1165</f>
        <v>102 - Orthopedic institutes</v>
      </c>
    </row>
    <row r="4650" customFormat="false" ht="15" hidden="false" customHeight="false" outlineLevel="0" collapsed="false">
      <c r="A4650" s="18" t="str">
        <f aca="false">'SALES Raw'!G1166</f>
        <v/>
      </c>
      <c r="B4650" s="18" t="str">
        <f aca="false">'SALES Raw'!B1166</f>
        <v>376-38-40</v>
      </c>
      <c r="C4650" s="18" t="str">
        <f aca="false">'SALES Raw'!H1166</f>
        <v>376-38-40</v>
      </c>
      <c r="D4650" s="19" t="n">
        <f aca="false">'SALES Raw'!C1166</f>
        <v>1</v>
      </c>
      <c r="E4650" s="19" t="n">
        <f aca="false">'SALES Raw'!D1166</f>
        <v>35.11</v>
      </c>
      <c r="F4650" s="19" t="n">
        <f aca="false">'SALES Raw'!E1166*$H$4</f>
        <v>0</v>
      </c>
      <c r="G4650" s="19" t="n">
        <f aca="false">'SALES Raw'!F1166*$H$4</f>
        <v>0</v>
      </c>
      <c r="H4650" s="18" t="str">
        <f aca="false">'SALES Raw'!A1166</f>
        <v>102 - Orthopedic institutes</v>
      </c>
    </row>
    <row r="4651" customFormat="false" ht="15" hidden="false" customHeight="false" outlineLevel="0" collapsed="false">
      <c r="A4651" s="18" t="str">
        <f aca="false">'SALES Raw'!G1167</f>
        <v/>
      </c>
      <c r="B4651" s="18" t="str">
        <f aca="false">'SALES Raw'!B1167</f>
        <v>376-44-45</v>
      </c>
      <c r="C4651" s="18" t="str">
        <f aca="false">'SALES Raw'!H1167</f>
        <v>376-44-45</v>
      </c>
      <c r="D4651" s="19" t="n">
        <f aca="false">'SALES Raw'!C1167</f>
        <v>2</v>
      </c>
      <c r="E4651" s="19" t="n">
        <f aca="false">'SALES Raw'!D1167</f>
        <v>70.22</v>
      </c>
      <c r="F4651" s="19" t="n">
        <f aca="false">'SALES Raw'!E1167*$H$4</f>
        <v>0</v>
      </c>
      <c r="G4651" s="19" t="n">
        <f aca="false">'SALES Raw'!F1167*$H$4</f>
        <v>0</v>
      </c>
      <c r="H4651" s="18" t="str">
        <f aca="false">'SALES Raw'!A1167</f>
        <v>102 - Orthopedic institutes</v>
      </c>
    </row>
    <row r="4652" customFormat="false" ht="15" hidden="false" customHeight="false" outlineLevel="0" collapsed="false">
      <c r="A4652" s="18" t="n">
        <f aca="false">'SALES Raw'!G1168</f>
        <v>4420032</v>
      </c>
      <c r="B4652" s="18" t="str">
        <f aca="false">'SALES Raw'!B1168</f>
        <v>376-46-47</v>
      </c>
      <c r="C4652" s="18" t="str">
        <f aca="false">'SALES Raw'!H1168</f>
        <v>46-47 רפידת ספורט 376 מידה</v>
      </c>
      <c r="D4652" s="19" t="n">
        <f aca="false">'SALES Raw'!C1168</f>
        <v>1</v>
      </c>
      <c r="E4652" s="19" t="n">
        <f aca="false">'SALES Raw'!D1168</f>
        <v>35.11</v>
      </c>
      <c r="F4652" s="19" t="n">
        <f aca="false">'SALES Raw'!E1168*$H$4</f>
        <v>0</v>
      </c>
      <c r="G4652" s="19" t="n">
        <f aca="false">'SALES Raw'!F1168*$H$4</f>
        <v>0</v>
      </c>
      <c r="H4652" s="18" t="str">
        <f aca="false">'SALES Raw'!A1168</f>
        <v>102 - Orthopedic institutes</v>
      </c>
    </row>
    <row r="4653" customFormat="false" ht="15" hidden="false" customHeight="false" outlineLevel="0" collapsed="false">
      <c r="A4653" s="18" t="n">
        <f aca="false">'SALES Raw'!G1169</f>
        <v>4413499</v>
      </c>
      <c r="B4653" s="18" t="str">
        <f aca="false">'SALES Raw'!B1169</f>
        <v>45B XXL</v>
      </c>
      <c r="C4653" s="18" t="str">
        <f aca="false">'SALES Raw'!H1169</f>
        <v>45B XXLמגן ברך שחור</v>
      </c>
      <c r="D4653" s="19" t="n">
        <f aca="false">'SALES Raw'!C1169</f>
        <v>3</v>
      </c>
      <c r="E4653" s="19" t="n">
        <f aca="false">'SALES Raw'!D1169</f>
        <v>92.67</v>
      </c>
      <c r="F4653" s="19" t="n">
        <f aca="false">'SALES Raw'!E1169*$H$4</f>
        <v>0</v>
      </c>
      <c r="G4653" s="19" t="n">
        <f aca="false">'SALES Raw'!F1169*$H$4</f>
        <v>0</v>
      </c>
      <c r="H4653" s="18" t="str">
        <f aca="false">'SALES Raw'!A1169</f>
        <v>102 - Orthopedic institutes</v>
      </c>
    </row>
    <row r="4654" customFormat="false" ht="15" hidden="false" customHeight="false" outlineLevel="0" collapsed="false">
      <c r="A4654" s="18" t="n">
        <f aca="false">'SALES Raw'!G1171</f>
        <v>4420024</v>
      </c>
      <c r="B4654" s="18" t="str">
        <f aca="false">'SALES Raw'!B1171</f>
        <v>LF373 0</v>
      </c>
      <c r="C4654" s="18" t="str">
        <f aca="false">'SALES Raw'!H1171</f>
        <v>LFריפוד סיליק.לכרית כף הרגל373</v>
      </c>
      <c r="D4654" s="19" t="n">
        <f aca="false">'SALES Raw'!C1171</f>
        <v>4</v>
      </c>
      <c r="E4654" s="19" t="n">
        <f aca="false">'SALES Raw'!D1171</f>
        <v>86.08</v>
      </c>
      <c r="F4654" s="19" t="n">
        <f aca="false">'SALES Raw'!E1171*$H$4</f>
        <v>0</v>
      </c>
      <c r="G4654" s="19" t="n">
        <f aca="false">'SALES Raw'!F1171*$H$4</f>
        <v>0</v>
      </c>
      <c r="H4654" s="18" t="str">
        <f aca="false">'SALES Raw'!A1171</f>
        <v>102 - Orthopedic institutes</v>
      </c>
    </row>
    <row r="4655" customFormat="false" ht="15" hidden="false" customHeight="false" outlineLevel="0" collapsed="false">
      <c r="A4655" s="18" t="n">
        <f aca="false">'SALES Raw'!G1173</f>
        <v>4413451</v>
      </c>
      <c r="B4655" s="18" t="str">
        <f aca="false">'SALES Raw'!B1173</f>
        <v>LF378 L</v>
      </c>
      <c r="C4655" s="18" t="str">
        <f aca="false">'SALES Raw'!H1173</f>
        <v>LF378 L מדרס ג'ל לנעלי עקב</v>
      </c>
      <c r="D4655" s="19" t="n">
        <f aca="false">'SALES Raw'!C1173</f>
        <v>1</v>
      </c>
      <c r="E4655" s="19" t="n">
        <f aca="false">'SALES Raw'!D1173</f>
        <v>73.55</v>
      </c>
      <c r="F4655" s="19" t="n">
        <f aca="false">'SALES Raw'!E1173*$H$4</f>
        <v>0</v>
      </c>
      <c r="G4655" s="19" t="n">
        <f aca="false">'SALES Raw'!F1173*$H$4</f>
        <v>0</v>
      </c>
      <c r="H4655" s="18" t="str">
        <f aca="false">'SALES Raw'!A1173</f>
        <v>102 - Orthopedic institutes</v>
      </c>
    </row>
    <row r="4656" customFormat="false" ht="15" hidden="false" customHeight="false" outlineLevel="0" collapsed="false">
      <c r="A4656" s="18" t="n">
        <f aca="false">'SALES Raw'!G1174</f>
        <v>4413449</v>
      </c>
      <c r="B4656" s="18" t="str">
        <f aca="false">'SALES Raw'!B1174</f>
        <v>LF378 S</v>
      </c>
      <c r="C4656" s="18" t="str">
        <f aca="false">'SALES Raw'!H1174</f>
        <v>LF378 S מדרס ג'ל לנעלי עקב</v>
      </c>
      <c r="D4656" s="19" t="n">
        <f aca="false">'SALES Raw'!C1174</f>
        <v>1</v>
      </c>
      <c r="E4656" s="19" t="n">
        <f aca="false">'SALES Raw'!D1174</f>
        <v>73.55</v>
      </c>
      <c r="F4656" s="19" t="n">
        <f aca="false">'SALES Raw'!E1174*$H$4</f>
        <v>0</v>
      </c>
      <c r="G4656" s="19" t="n">
        <f aca="false">'SALES Raw'!F1174*$H$4</f>
        <v>0</v>
      </c>
      <c r="H4656" s="18" t="str">
        <f aca="false">'SALES Raw'!A1174</f>
        <v>102 - Orthopedic institutes</v>
      </c>
    </row>
    <row r="4657" customFormat="false" ht="15" hidden="false" customHeight="false" outlineLevel="0" collapsed="false">
      <c r="A4657" s="18" t="str">
        <f aca="false">'SALES Raw'!G1176</f>
        <v/>
      </c>
      <c r="B4657" s="18" t="str">
        <f aca="false">'SALES Raw'!B1176</f>
        <v>422N+ L</v>
      </c>
      <c r="C4657" s="18" t="str">
        <f aca="false">'SALES Raw'!H1176</f>
        <v>422N+ L</v>
      </c>
      <c r="D4657" s="19" t="n">
        <f aca="false">'SALES Raw'!C1176</f>
        <v>1</v>
      </c>
      <c r="E4657" s="19" t="n">
        <f aca="false">'SALES Raw'!D1176</f>
        <v>203.23</v>
      </c>
      <c r="F4657" s="19" t="n">
        <f aca="false">'SALES Raw'!E1176*$H$4</f>
        <v>0</v>
      </c>
      <c r="G4657" s="19" t="n">
        <f aca="false">'SALES Raw'!F1176*$H$4</f>
        <v>0</v>
      </c>
      <c r="H4657" s="18" t="str">
        <f aca="false">'SALES Raw'!A1176</f>
        <v>102 - Orthopedic institutes</v>
      </c>
    </row>
    <row r="4658" customFormat="false" ht="15" hidden="false" customHeight="false" outlineLevel="0" collapsed="false">
      <c r="A4658" s="18" t="str">
        <f aca="false">'SALES Raw'!G1177</f>
        <v/>
      </c>
      <c r="B4658" s="18" t="str">
        <f aca="false">'SALES Raw'!B1177</f>
        <v>422N+ M</v>
      </c>
      <c r="C4658" s="18" t="str">
        <f aca="false">'SALES Raw'!H1177</f>
        <v>422N+ M</v>
      </c>
      <c r="D4658" s="19" t="n">
        <f aca="false">'SALES Raw'!C1177</f>
        <v>1</v>
      </c>
      <c r="E4658" s="19" t="n">
        <f aca="false">'SALES Raw'!D1177</f>
        <v>203.23</v>
      </c>
      <c r="F4658" s="19" t="n">
        <f aca="false">'SALES Raw'!E1177*$H$4</f>
        <v>0</v>
      </c>
      <c r="G4658" s="19" t="n">
        <f aca="false">'SALES Raw'!F1177*$H$4</f>
        <v>0</v>
      </c>
      <c r="H4658" s="18" t="str">
        <f aca="false">'SALES Raw'!A1177</f>
        <v>102 - Orthopedic institutes</v>
      </c>
    </row>
    <row r="4659" customFormat="false" ht="15" hidden="false" customHeight="false" outlineLevel="0" collapsed="false">
      <c r="A4659" s="18" t="str">
        <f aca="false">'SALES Raw'!G1178</f>
        <v/>
      </c>
      <c r="B4659" s="18" t="str">
        <f aca="false">'SALES Raw'!B1178</f>
        <v>422N+ S</v>
      </c>
      <c r="C4659" s="18" t="str">
        <f aca="false">'SALES Raw'!H1178</f>
        <v>422N+ S</v>
      </c>
      <c r="D4659" s="19" t="n">
        <f aca="false">'SALES Raw'!C1178</f>
        <v>1</v>
      </c>
      <c r="E4659" s="19" t="n">
        <f aca="false">'SALES Raw'!D1178</f>
        <v>203.23</v>
      </c>
      <c r="F4659" s="19" t="n">
        <f aca="false">'SALES Raw'!E1178*$H$4</f>
        <v>0</v>
      </c>
      <c r="G4659" s="19" t="n">
        <f aca="false">'SALES Raw'!F1178*$H$4</f>
        <v>0</v>
      </c>
      <c r="H4659" s="18" t="str">
        <f aca="false">'SALES Raw'!A1178</f>
        <v>102 - Orthopedic institutes</v>
      </c>
    </row>
    <row r="4660" customFormat="false" ht="15" hidden="false" customHeight="false" outlineLevel="0" collapsed="false">
      <c r="A4660" s="18" t="str">
        <f aca="false">'SALES Raw'!G1179</f>
        <v/>
      </c>
      <c r="B4660" s="18" t="str">
        <f aca="false">'SALES Raw'!B1179</f>
        <v>422N+ XL</v>
      </c>
      <c r="C4660" s="18" t="str">
        <f aca="false">'SALES Raw'!H1179</f>
        <v>422N+ XL</v>
      </c>
      <c r="D4660" s="19" t="n">
        <f aca="false">'SALES Raw'!C1179</f>
        <v>1</v>
      </c>
      <c r="E4660" s="19" t="n">
        <f aca="false">'SALES Raw'!D1179</f>
        <v>203.23</v>
      </c>
      <c r="F4660" s="19" t="n">
        <f aca="false">'SALES Raw'!E1179*$H$4</f>
        <v>0</v>
      </c>
      <c r="G4660" s="19" t="n">
        <f aca="false">'SALES Raw'!F1179*$H$4</f>
        <v>0</v>
      </c>
      <c r="H4660" s="18" t="str">
        <f aca="false">'SALES Raw'!A1179</f>
        <v>102 - Orthopedic institutes</v>
      </c>
    </row>
    <row r="4661" customFormat="false" ht="15" hidden="false" customHeight="false" outlineLevel="0" collapsed="false">
      <c r="A4661" s="18" t="str">
        <f aca="false">'SALES Raw'!G1180</f>
        <v/>
      </c>
      <c r="B4661" s="18" t="str">
        <f aca="false">'SALES Raw'!B1180</f>
        <v>49PS S</v>
      </c>
      <c r="C4661" s="18" t="str">
        <f aca="false">'SALES Raw'!H1180</f>
        <v>49PS S</v>
      </c>
      <c r="D4661" s="19" t="n">
        <f aca="false">'SALES Raw'!C1180</f>
        <v>1</v>
      </c>
      <c r="E4661" s="19" t="n">
        <f aca="false">'SALES Raw'!D1180</f>
        <v>133.54</v>
      </c>
      <c r="F4661" s="19" t="n">
        <f aca="false">'SALES Raw'!E1180*$H$4</f>
        <v>0</v>
      </c>
      <c r="G4661" s="19" t="n">
        <f aca="false">'SALES Raw'!F1180*$H$4</f>
        <v>0</v>
      </c>
      <c r="H4661" s="18" t="str">
        <f aca="false">'SALES Raw'!A1180</f>
        <v>102 - Orthopedic institutes</v>
      </c>
    </row>
    <row r="4662" customFormat="false" ht="15" hidden="false" customHeight="false" outlineLevel="0" collapsed="false">
      <c r="A4662" s="18" t="str">
        <f aca="false">'SALES Raw'!G1181</f>
        <v/>
      </c>
      <c r="B4662" s="18" t="str">
        <f aca="false">'SALES Raw'!B1181</f>
        <v>49PS XS</v>
      </c>
      <c r="C4662" s="18" t="str">
        <f aca="false">'SALES Raw'!H1181</f>
        <v>49PS XS</v>
      </c>
      <c r="D4662" s="19" t="n">
        <f aca="false">'SALES Raw'!C1181</f>
        <v>1</v>
      </c>
      <c r="E4662" s="19" t="n">
        <f aca="false">'SALES Raw'!D1181</f>
        <v>133.54</v>
      </c>
      <c r="F4662" s="19" t="n">
        <f aca="false">'SALES Raw'!E1181*$H$4</f>
        <v>0</v>
      </c>
      <c r="G4662" s="19" t="n">
        <f aca="false">'SALES Raw'!F1181*$H$4</f>
        <v>0</v>
      </c>
      <c r="H4662" s="18" t="str">
        <f aca="false">'SALES Raw'!A1181</f>
        <v>102 - Orthopedic institutes</v>
      </c>
    </row>
    <row r="4663" customFormat="false" ht="15" hidden="false" customHeight="false" outlineLevel="0" collapsed="false">
      <c r="A4663" s="18" t="str">
        <f aca="false">'SALES Raw'!G1182</f>
        <v/>
      </c>
      <c r="B4663" s="18" t="str">
        <f aca="false">'SALES Raw'!B1182</f>
        <v>922B M</v>
      </c>
      <c r="C4663" s="18" t="str">
        <f aca="false">'SALES Raw'!H1182</f>
        <v>922B M</v>
      </c>
      <c r="D4663" s="19" t="n">
        <f aca="false">'SALES Raw'!C1182</f>
        <v>2</v>
      </c>
      <c r="E4663" s="19" t="n">
        <f aca="false">'SALES Raw'!D1182</f>
        <v>283.95</v>
      </c>
      <c r="F4663" s="19" t="n">
        <f aca="false">'SALES Raw'!E1182*$H$4</f>
        <v>0</v>
      </c>
      <c r="G4663" s="19" t="n">
        <f aca="false">'SALES Raw'!F1182*$H$4</f>
        <v>0</v>
      </c>
      <c r="H4663" s="18" t="str">
        <f aca="false">'SALES Raw'!A1182</f>
        <v>102 - Orthopedic institutes</v>
      </c>
    </row>
    <row r="4664" customFormat="false" ht="15" hidden="false" customHeight="false" outlineLevel="0" collapsed="false">
      <c r="A4664" s="18" t="n">
        <f aca="false">'SALES Raw'!G1190</f>
        <v>4408261</v>
      </c>
      <c r="B4664" s="18" t="str">
        <f aca="false">'SALES Raw'!B1190</f>
        <v>11STO L</v>
      </c>
      <c r="C4664" s="18" t="str">
        <f aca="false">'SALES Raw'!H1190</f>
        <v>11STO L חגורה אחרי ניתוח</v>
      </c>
      <c r="D4664" s="19" t="n">
        <f aca="false">'SALES Raw'!C1190</f>
        <v>1</v>
      </c>
      <c r="E4664" s="19" t="n">
        <f aca="false">'SALES Raw'!D1190</f>
        <v>105</v>
      </c>
      <c r="F4664" s="19" t="n">
        <f aca="false">'SALES Raw'!E1190*$H$4</f>
        <v>0</v>
      </c>
      <c r="G4664" s="19" t="n">
        <f aca="false">'SALES Raw'!F1190*$H$4</f>
        <v>0</v>
      </c>
      <c r="H4664" s="18" t="str">
        <f aca="false">'SALES Raw'!A1190</f>
        <v>103 - Physiotherapy institutes</v>
      </c>
    </row>
    <row r="4665" customFormat="false" ht="15" hidden="false" customHeight="false" outlineLevel="0" collapsed="false">
      <c r="A4665" s="18" t="n">
        <f aca="false">'SALES Raw'!G1191</f>
        <v>4408260</v>
      </c>
      <c r="B4665" s="18" t="str">
        <f aca="false">'SALES Raw'!B1191</f>
        <v>11STO M</v>
      </c>
      <c r="C4665" s="18" t="str">
        <f aca="false">'SALES Raw'!H1191</f>
        <v>11STO M חגורה אחרי ניתוח</v>
      </c>
      <c r="D4665" s="19" t="n">
        <f aca="false">'SALES Raw'!C1191</f>
        <v>1</v>
      </c>
      <c r="E4665" s="19" t="n">
        <f aca="false">'SALES Raw'!D1191</f>
        <v>105</v>
      </c>
      <c r="F4665" s="19" t="n">
        <f aca="false">'SALES Raw'!E1191*$H$4</f>
        <v>0</v>
      </c>
      <c r="G4665" s="19" t="n">
        <f aca="false">'SALES Raw'!F1191*$H$4</f>
        <v>0</v>
      </c>
      <c r="H4665" s="18" t="str">
        <f aca="false">'SALES Raw'!A1191</f>
        <v>103 - Physiotherapy institutes</v>
      </c>
    </row>
    <row r="4666" customFormat="false" ht="15" hidden="false" customHeight="false" outlineLevel="0" collapsed="false">
      <c r="A4666" s="18" t="n">
        <f aca="false">'SALES Raw'!G1192</f>
        <v>4408259</v>
      </c>
      <c r="B4666" s="18" t="str">
        <f aca="false">'SALES Raw'!B1192</f>
        <v>11STO S</v>
      </c>
      <c r="C4666" s="18" t="str">
        <f aca="false">'SALES Raw'!H1192</f>
        <v>11STO S חגורה אחרי ניתוח</v>
      </c>
      <c r="D4666" s="19" t="n">
        <f aca="false">'SALES Raw'!C1192</f>
        <v>1</v>
      </c>
      <c r="E4666" s="19" t="n">
        <f aca="false">'SALES Raw'!D1192</f>
        <v>105</v>
      </c>
      <c r="F4666" s="19" t="n">
        <f aca="false">'SALES Raw'!E1192*$H$4</f>
        <v>0</v>
      </c>
      <c r="G4666" s="19" t="n">
        <f aca="false">'SALES Raw'!F1192*$H$4</f>
        <v>0</v>
      </c>
      <c r="H4666" s="18" t="str">
        <f aca="false">'SALES Raw'!A1192</f>
        <v>103 - Physiotherapy institutes</v>
      </c>
    </row>
    <row r="4667" customFormat="false" ht="15" hidden="false" customHeight="false" outlineLevel="0" collapsed="false">
      <c r="A4667" s="18" t="n">
        <f aca="false">'SALES Raw'!G1193</f>
        <v>4408262</v>
      </c>
      <c r="B4667" s="18" t="str">
        <f aca="false">'SALES Raw'!B1193</f>
        <v>11STO XL</v>
      </c>
      <c r="C4667" s="18" t="str">
        <f aca="false">'SALES Raw'!H1193</f>
        <v>11STO XL  חגורה אחרי ניתוח</v>
      </c>
      <c r="D4667" s="19" t="n">
        <f aca="false">'SALES Raw'!C1193</f>
        <v>2</v>
      </c>
      <c r="E4667" s="19" t="n">
        <f aca="false">'SALES Raw'!D1193</f>
        <v>210</v>
      </c>
      <c r="F4667" s="19" t="n">
        <f aca="false">'SALES Raw'!E1193*$H$4</f>
        <v>0</v>
      </c>
      <c r="G4667" s="19" t="n">
        <f aca="false">'SALES Raw'!F1193*$H$4</f>
        <v>0</v>
      </c>
      <c r="H4667" s="18" t="str">
        <f aca="false">'SALES Raw'!A1193</f>
        <v>103 - Physiotherapy institutes</v>
      </c>
    </row>
    <row r="4668" customFormat="false" ht="15" hidden="false" customHeight="false" outlineLevel="0" collapsed="false">
      <c r="A4668" s="18" t="n">
        <f aca="false">'SALES Raw'!G1213</f>
        <v>4413348</v>
      </c>
      <c r="B4668" s="18" t="str">
        <f aca="false">'SALES Raw'!B1213</f>
        <v>302M 0</v>
      </c>
      <c r="C4668" s="18" t="str">
        <f aca="false">'SALES Raw'!H1213</f>
        <v>302 מדרס ג'ל לגבר</v>
      </c>
      <c r="D4668" s="19" t="n">
        <f aca="false">'SALES Raw'!C1213</f>
        <v>34</v>
      </c>
      <c r="E4668" s="19" t="n">
        <f aca="false">'SALES Raw'!D1213</f>
        <v>1941.71</v>
      </c>
      <c r="F4668" s="19" t="n">
        <f aca="false">'SALES Raw'!E1213*$H$4</f>
        <v>0</v>
      </c>
      <c r="G4668" s="19" t="n">
        <f aca="false">'SALES Raw'!F1213*$H$4</f>
        <v>0</v>
      </c>
      <c r="H4668" s="18" t="str">
        <f aca="false">'SALES Raw'!A1213</f>
        <v>103 - Physiotherapy institutes</v>
      </c>
    </row>
    <row r="4669" customFormat="false" ht="15" hidden="false" customHeight="false" outlineLevel="0" collapsed="false">
      <c r="A4669" s="18" t="n">
        <f aca="false">'SALES Raw'!G1214</f>
        <v>4413372</v>
      </c>
      <c r="B4669" s="18" t="str">
        <f aca="false">'SALES Raw'!B1214</f>
        <v>302W 0</v>
      </c>
      <c r="C4669" s="18" t="str">
        <f aca="false">'SALES Raw'!H1214</f>
        <v>302 W מדרס לאישה</v>
      </c>
      <c r="D4669" s="19" t="n">
        <f aca="false">'SALES Raw'!C1214</f>
        <v>24</v>
      </c>
      <c r="E4669" s="19" t="n">
        <f aca="false">'SALES Raw'!D1214</f>
        <v>1391.21</v>
      </c>
      <c r="F4669" s="19" t="n">
        <f aca="false">'SALES Raw'!E1214*$H$4</f>
        <v>0</v>
      </c>
      <c r="G4669" s="19" t="n">
        <f aca="false">'SALES Raw'!F1214*$H$4</f>
        <v>0</v>
      </c>
      <c r="H4669" s="18" t="str">
        <f aca="false">'SALES Raw'!A1214</f>
        <v>103 - Physiotherapy institutes</v>
      </c>
    </row>
    <row r="4670" customFormat="false" ht="15" hidden="false" customHeight="false" outlineLevel="0" collapsed="false">
      <c r="A4670" s="18" t="n">
        <f aca="false">'SALES Raw'!G1218</f>
        <v>4415019</v>
      </c>
      <c r="B4670" s="18" t="str">
        <f aca="false">'SALES Raw'!B1218</f>
        <v>333 0</v>
      </c>
      <c r="C4670" s="18" t="str">
        <f aca="false">'SALES Raw'!H1218</f>
        <v>333 סד לקרסול עם כריות אויר</v>
      </c>
      <c r="D4670" s="19" t="n">
        <f aca="false">'SALES Raw'!C1218</f>
        <v>4</v>
      </c>
      <c r="E4670" s="19" t="n">
        <f aca="false">'SALES Raw'!D1218</f>
        <v>443.94</v>
      </c>
      <c r="F4670" s="19" t="n">
        <f aca="false">'SALES Raw'!E1218*$H$4</f>
        <v>0</v>
      </c>
      <c r="G4670" s="19" t="n">
        <f aca="false">'SALES Raw'!F1218*$H$4</f>
        <v>0</v>
      </c>
      <c r="H4670" s="18" t="str">
        <f aca="false">'SALES Raw'!A1218</f>
        <v>103 - Physiotherapy institutes</v>
      </c>
    </row>
    <row r="4671" customFormat="false" ht="15" hidden="false" customHeight="false" outlineLevel="0" collapsed="false">
      <c r="A4671" s="18" t="n">
        <f aca="false">'SALES Raw'!G1221</f>
        <v>4411000</v>
      </c>
      <c r="B4671" s="18" t="str">
        <f aca="false">'SALES Raw'!B1221</f>
        <v>362-L-R</v>
      </c>
      <c r="C4671" s="18" t="str">
        <f aca="false">'SALES Raw'!H1221</f>
        <v>כרית מטטרזלי סיליקון362</v>
      </c>
      <c r="D4671" s="19" t="n">
        <f aca="false">'SALES Raw'!C1221</f>
        <v>5</v>
      </c>
      <c r="E4671" s="19" t="n">
        <f aca="false">'SALES Raw'!D1221</f>
        <v>139.93</v>
      </c>
      <c r="F4671" s="19" t="n">
        <f aca="false">'SALES Raw'!E1221*$H$4</f>
        <v>0</v>
      </c>
      <c r="G4671" s="19" t="n">
        <f aca="false">'SALES Raw'!F1221*$H$4</f>
        <v>0</v>
      </c>
      <c r="H4671" s="18" t="str">
        <f aca="false">'SALES Raw'!A1221</f>
        <v>103 - Physiotherapy institutes</v>
      </c>
    </row>
    <row r="4672" customFormat="false" ht="15" hidden="false" customHeight="false" outlineLevel="0" collapsed="false">
      <c r="A4672" s="18" t="n">
        <f aca="false">'SALES Raw'!G1222</f>
        <v>4413340</v>
      </c>
      <c r="B4672" s="18" t="str">
        <f aca="false">'SALES Raw'!B1222</f>
        <v>3666 0</v>
      </c>
      <c r="C4672" s="18" t="str">
        <f aca="false">'SALES Raw'!H1222</f>
        <v>3666 מפריד הלוקס</v>
      </c>
      <c r="D4672" s="19" t="n">
        <f aca="false">'SALES Raw'!C1222</f>
        <v>2</v>
      </c>
      <c r="E4672" s="19" t="n">
        <f aca="false">'SALES Raw'!D1222</f>
        <v>133.02</v>
      </c>
      <c r="F4672" s="19" t="n">
        <f aca="false">'SALES Raw'!E1222*$H$4</f>
        <v>0</v>
      </c>
      <c r="G4672" s="19" t="n">
        <f aca="false">'SALES Raw'!F1222*$H$4</f>
        <v>0</v>
      </c>
      <c r="H4672" s="18" t="str">
        <f aca="false">'SALES Raw'!A1222</f>
        <v>103 - Physiotherapy institutes</v>
      </c>
    </row>
    <row r="4673" customFormat="false" ht="15" hidden="false" customHeight="false" outlineLevel="0" collapsed="false">
      <c r="A4673" s="18" t="n">
        <f aca="false">'SALES Raw'!G1225</f>
        <v>4403017</v>
      </c>
      <c r="B4673" s="18" t="str">
        <f aca="false">'SALES Raw'!B1225</f>
        <v>394B-35-38</v>
      </c>
      <c r="C4673" s="18" t="str">
        <f aca="false">'SALES Raw'!H1225</f>
        <v>394B גרב.כסף לסכרתים שחור35-38</v>
      </c>
      <c r="D4673" s="19" t="n">
        <f aca="false">'SALES Raw'!C1225</f>
        <v>10</v>
      </c>
      <c r="E4673" s="19" t="n">
        <f aca="false">'SALES Raw'!D1225</f>
        <v>224.99</v>
      </c>
      <c r="F4673" s="19" t="n">
        <f aca="false">'SALES Raw'!E1225*$H$4</f>
        <v>0</v>
      </c>
      <c r="G4673" s="19" t="n">
        <f aca="false">'SALES Raw'!F1225*$H$4</f>
        <v>0</v>
      </c>
      <c r="H4673" s="18" t="str">
        <f aca="false">'SALES Raw'!A1225</f>
        <v>103 - Physiotherapy institutes</v>
      </c>
    </row>
    <row r="4674" customFormat="false" ht="15" hidden="false" customHeight="false" outlineLevel="0" collapsed="false">
      <c r="A4674" s="18" t="n">
        <f aca="false">'SALES Raw'!G1226</f>
        <v>4403018</v>
      </c>
      <c r="B4674" s="18" t="str">
        <f aca="false">'SALES Raw'!B1226</f>
        <v>394B-39-42</v>
      </c>
      <c r="C4674" s="18" t="str">
        <f aca="false">'SALES Raw'!H1226</f>
        <v>394B גרב.כסף לסכרתים שחור39-42</v>
      </c>
      <c r="D4674" s="19" t="n">
        <f aca="false">'SALES Raw'!C1226</f>
        <v>10</v>
      </c>
      <c r="E4674" s="19" t="n">
        <f aca="false">'SALES Raw'!D1226</f>
        <v>224.99</v>
      </c>
      <c r="F4674" s="19" t="n">
        <f aca="false">'SALES Raw'!E1226*$H$4</f>
        <v>0</v>
      </c>
      <c r="G4674" s="19" t="n">
        <f aca="false">'SALES Raw'!F1226*$H$4</f>
        <v>0</v>
      </c>
      <c r="H4674" s="18" t="str">
        <f aca="false">'SALES Raw'!A1226</f>
        <v>103 - Physiotherapy institutes</v>
      </c>
    </row>
    <row r="4675" customFormat="false" ht="15" hidden="false" customHeight="false" outlineLevel="0" collapsed="false">
      <c r="A4675" s="18" t="n">
        <f aca="false">'SALES Raw'!G1227</f>
        <v>4403019</v>
      </c>
      <c r="B4675" s="18" t="str">
        <f aca="false">'SALES Raw'!B1227</f>
        <v>394B-43-46</v>
      </c>
      <c r="C4675" s="18" t="str">
        <f aca="false">'SALES Raw'!H1227</f>
        <v>394B גרב.כסף לסכרתים שחור43-46</v>
      </c>
      <c r="D4675" s="19" t="n">
        <f aca="false">'SALES Raw'!C1227</f>
        <v>10</v>
      </c>
      <c r="E4675" s="19" t="n">
        <f aca="false">'SALES Raw'!D1227</f>
        <v>224.99</v>
      </c>
      <c r="F4675" s="19" t="n">
        <f aca="false">'SALES Raw'!E1227*$H$4</f>
        <v>0</v>
      </c>
      <c r="G4675" s="19" t="n">
        <f aca="false">'SALES Raw'!F1227*$H$4</f>
        <v>0</v>
      </c>
      <c r="H4675" s="18" t="str">
        <f aca="false">'SALES Raw'!A1227</f>
        <v>103 - Physiotherapy institutes</v>
      </c>
    </row>
    <row r="4676" customFormat="false" ht="15" hidden="false" customHeight="false" outlineLevel="0" collapsed="false">
      <c r="A4676" s="18" t="n">
        <f aca="false">'SALES Raw'!G1240</f>
        <v>4401011</v>
      </c>
      <c r="B4676" s="18" t="str">
        <f aca="false">'SALES Raw'!B1240</f>
        <v>805AT-C</v>
      </c>
      <c r="C4676" s="18" t="str">
        <f aca="false">'SALES Raw'!H1240</f>
        <v>805AT-Cאתלטיק טייפ בז' 20מ""""מ20</v>
      </c>
      <c r="D4676" s="19" t="n">
        <f aca="false">'SALES Raw'!C1240</f>
        <v>3</v>
      </c>
      <c r="E4676" s="19" t="n">
        <f aca="false">'SALES Raw'!D1240</f>
        <v>49.5</v>
      </c>
      <c r="F4676" s="19" t="n">
        <f aca="false">'SALES Raw'!E1240*$H$4</f>
        <v>0</v>
      </c>
      <c r="G4676" s="19" t="n">
        <f aca="false">'SALES Raw'!F1240*$H$4</f>
        <v>0</v>
      </c>
      <c r="H4676" s="18" t="str">
        <f aca="false">'SALES Raw'!A1240</f>
        <v>103 - Physiotherapy institutes</v>
      </c>
    </row>
    <row r="4677" customFormat="false" ht="15" hidden="false" customHeight="false" outlineLevel="0" collapsed="false">
      <c r="A4677" s="18" t="n">
        <f aca="false">'SALES Raw'!G1241</f>
        <v>4401014</v>
      </c>
      <c r="B4677" s="18" t="str">
        <f aca="false">'SALES Raw'!B1241</f>
        <v>805AT-W</v>
      </c>
      <c r="C4677" s="18" t="str">
        <f aca="false">'SALES Raw'!H1241</f>
        <v>805AT-W  אתלטיק טייפ לבן 20מ""""מ</v>
      </c>
      <c r="D4677" s="19" t="n">
        <f aca="false">'SALES Raw'!C1241</f>
        <v>3</v>
      </c>
      <c r="E4677" s="19" t="n">
        <f aca="false">'SALES Raw'!D1241</f>
        <v>49.5</v>
      </c>
      <c r="F4677" s="19" t="n">
        <f aca="false">'SALES Raw'!E1241*$H$4</f>
        <v>0</v>
      </c>
      <c r="G4677" s="19" t="n">
        <f aca="false">'SALES Raw'!F1241*$H$4</f>
        <v>0</v>
      </c>
      <c r="H4677" s="18" t="str">
        <f aca="false">'SALES Raw'!A1241</f>
        <v>103 - Physiotherapy institutes</v>
      </c>
    </row>
    <row r="4678" customFormat="false" ht="15" hidden="false" customHeight="false" outlineLevel="0" collapsed="false">
      <c r="A4678" s="18" t="str">
        <f aca="false">'SALES Raw'!G1253</f>
        <v/>
      </c>
      <c r="B4678" s="18" t="str">
        <f aca="false">'SALES Raw'!B1253</f>
        <v>N433D XXL</v>
      </c>
      <c r="C4678" s="18" t="str">
        <f aca="false">'SALES Raw'!H1253</f>
        <v>N433D XXL</v>
      </c>
      <c r="D4678" s="19" t="n">
        <f aca="false">'SALES Raw'!C1253</f>
        <v>1</v>
      </c>
      <c r="E4678" s="19" t="n">
        <f aca="false">'SALES Raw'!D1253</f>
        <v>260</v>
      </c>
      <c r="F4678" s="19" t="n">
        <f aca="false">'SALES Raw'!E1253*$H$4</f>
        <v>0</v>
      </c>
      <c r="G4678" s="19" t="n">
        <f aca="false">'SALES Raw'!F1253*$H$4</f>
        <v>0</v>
      </c>
      <c r="H4678" s="18" t="str">
        <f aca="false">'SALES Raw'!A1253</f>
        <v>103 - Physiotherapy institutes</v>
      </c>
    </row>
    <row r="4679" customFormat="false" ht="15" hidden="false" customHeight="false" outlineLevel="0" collapsed="false">
      <c r="A4679" s="18" t="str">
        <f aca="false">'SALES Raw'!G1262</f>
        <v/>
      </c>
      <c r="B4679" s="18" t="str">
        <f aca="false">'SALES Raw'!B1262</f>
        <v>T45X L</v>
      </c>
      <c r="C4679" s="18" t="str">
        <f aca="false">'SALES Raw'!H1262</f>
        <v>T45X L</v>
      </c>
      <c r="D4679" s="19" t="n">
        <f aca="false">'SALES Raw'!C1262</f>
        <v>1</v>
      </c>
      <c r="E4679" s="19" t="n">
        <f aca="false">'SALES Raw'!D1262</f>
        <v>80</v>
      </c>
      <c r="F4679" s="19" t="n">
        <f aca="false">'SALES Raw'!E1262*$H$4</f>
        <v>0</v>
      </c>
      <c r="G4679" s="19" t="n">
        <f aca="false">'SALES Raw'!F1262*$H$4</f>
        <v>0</v>
      </c>
      <c r="H4679" s="18" t="str">
        <f aca="false">'SALES Raw'!A1262</f>
        <v>103 - Physiotherapy institutes</v>
      </c>
    </row>
    <row r="4680" customFormat="false" ht="15" hidden="false" customHeight="false" outlineLevel="0" collapsed="false">
      <c r="A4680" s="18" t="str">
        <f aca="false">'SALES Raw'!G1263</f>
        <v/>
      </c>
      <c r="B4680" s="18" t="str">
        <f aca="false">'SALES Raw'!B1263</f>
        <v>T45X M</v>
      </c>
      <c r="C4680" s="18" t="str">
        <f aca="false">'SALES Raw'!H1263</f>
        <v>T45X M</v>
      </c>
      <c r="D4680" s="19" t="n">
        <f aca="false">'SALES Raw'!C1263</f>
        <v>1</v>
      </c>
      <c r="E4680" s="19" t="n">
        <f aca="false">'SALES Raw'!D1263</f>
        <v>80</v>
      </c>
      <c r="F4680" s="19" t="n">
        <f aca="false">'SALES Raw'!E1263*$H$4</f>
        <v>0</v>
      </c>
      <c r="G4680" s="19" t="n">
        <f aca="false">'SALES Raw'!F1263*$H$4</f>
        <v>0</v>
      </c>
      <c r="H4680" s="18" t="str">
        <f aca="false">'SALES Raw'!A1263</f>
        <v>103 - Physiotherapy institutes</v>
      </c>
    </row>
    <row r="4681" customFormat="false" ht="15" hidden="false" customHeight="false" outlineLevel="0" collapsed="false">
      <c r="A4681" s="18" t="str">
        <f aca="false">'SALES Raw'!G1264</f>
        <v/>
      </c>
      <c r="B4681" s="18" t="str">
        <f aca="false">'SALES Raw'!B1264</f>
        <v>T45X S</v>
      </c>
      <c r="C4681" s="18" t="str">
        <f aca="false">'SALES Raw'!H1264</f>
        <v>T45X S</v>
      </c>
      <c r="D4681" s="19" t="n">
        <f aca="false">'SALES Raw'!C1264</f>
        <v>1</v>
      </c>
      <c r="E4681" s="19" t="n">
        <f aca="false">'SALES Raw'!D1264</f>
        <v>80</v>
      </c>
      <c r="F4681" s="19" t="n">
        <f aca="false">'SALES Raw'!E1264*$H$4</f>
        <v>0</v>
      </c>
      <c r="G4681" s="19" t="n">
        <f aca="false">'SALES Raw'!F1264*$H$4</f>
        <v>0</v>
      </c>
      <c r="H4681" s="18" t="str">
        <f aca="false">'SALES Raw'!A1264</f>
        <v>103 - Physiotherapy institutes</v>
      </c>
    </row>
    <row r="4682" customFormat="false" ht="15" hidden="false" customHeight="false" outlineLevel="0" collapsed="false">
      <c r="A4682" s="18" t="n">
        <f aca="false">'SALES Raw'!G1265</f>
        <v>4413260</v>
      </c>
      <c r="B4682" s="18" t="str">
        <f aca="false">'SALES Raw'!B1265</f>
        <v>T45X XXL</v>
      </c>
      <c r="C4682" s="18" t="str">
        <f aca="false">'SALES Raw'!H1265</f>
        <v>T45X-XXLמגן ברך רגיל</v>
      </c>
      <c r="D4682" s="19" t="n">
        <f aca="false">'SALES Raw'!C1265</f>
        <v>1</v>
      </c>
      <c r="E4682" s="19" t="n">
        <f aca="false">'SALES Raw'!D1265</f>
        <v>80</v>
      </c>
      <c r="F4682" s="19" t="n">
        <f aca="false">'SALES Raw'!E1265*$H$4</f>
        <v>0</v>
      </c>
      <c r="G4682" s="19" t="n">
        <f aca="false">'SALES Raw'!F1265*$H$4</f>
        <v>0</v>
      </c>
      <c r="H4682" s="18" t="str">
        <f aca="false">'SALES Raw'!A1265</f>
        <v>103 - Physiotherapy institutes</v>
      </c>
    </row>
    <row r="4683" customFormat="false" ht="15" hidden="false" customHeight="false" outlineLevel="0" collapsed="false">
      <c r="A4683" s="18" t="n">
        <f aca="false">'SALES Raw'!G1266</f>
        <v>4422005</v>
      </c>
      <c r="B4683" s="18" t="str">
        <f aca="false">'SALES Raw'!B1266</f>
        <v>T78 M</v>
      </c>
      <c r="C4683" s="18" t="str">
        <f aca="false">'SALES Raw'!H1266</f>
        <v>T78 M תומך זרוע וכתף</v>
      </c>
      <c r="D4683" s="19" t="n">
        <f aca="false">'SALES Raw'!C1266</f>
        <v>1</v>
      </c>
      <c r="E4683" s="19" t="n">
        <f aca="false">'SALES Raw'!D1266</f>
        <v>129.99</v>
      </c>
      <c r="F4683" s="19" t="n">
        <f aca="false">'SALES Raw'!E1266*$H$4</f>
        <v>0</v>
      </c>
      <c r="G4683" s="19" t="n">
        <f aca="false">'SALES Raw'!F1266*$H$4</f>
        <v>0</v>
      </c>
      <c r="H4683" s="18" t="str">
        <f aca="false">'SALES Raw'!A1266</f>
        <v>103 - Physiotherapy institutes</v>
      </c>
    </row>
    <row r="4684" customFormat="false" ht="15" hidden="false" customHeight="false" outlineLevel="0" collapsed="false">
      <c r="A4684" s="18" t="n">
        <f aca="false">'SALES Raw'!G1267</f>
        <v>4422004</v>
      </c>
      <c r="B4684" s="18" t="str">
        <f aca="false">'SALES Raw'!B1267</f>
        <v>T78 S</v>
      </c>
      <c r="C4684" s="18" t="str">
        <f aca="false">'SALES Raw'!H1267</f>
        <v>T78 S תומך זרוע וכתף</v>
      </c>
      <c r="D4684" s="19" t="n">
        <f aca="false">'SALES Raw'!C1267</f>
        <v>1</v>
      </c>
      <c r="E4684" s="19" t="n">
        <f aca="false">'SALES Raw'!D1267</f>
        <v>130</v>
      </c>
      <c r="F4684" s="19" t="n">
        <f aca="false">'SALES Raw'!E1267*$H$4</f>
        <v>0</v>
      </c>
      <c r="G4684" s="19" t="n">
        <f aca="false">'SALES Raw'!F1267*$H$4</f>
        <v>0</v>
      </c>
      <c r="H4684" s="18" t="str">
        <f aca="false">'SALES Raw'!A1267</f>
        <v>103 - Physiotherapy institutes</v>
      </c>
    </row>
    <row r="4685" customFormat="false" ht="15" hidden="false" customHeight="false" outlineLevel="0" collapsed="false">
      <c r="A4685" s="18" t="n">
        <f aca="false">'SALES Raw'!G1275</f>
        <v>4408153</v>
      </c>
      <c r="B4685" s="18" t="str">
        <f aca="false">'SALES Raw'!B1275</f>
        <v>11TO XL</v>
      </c>
      <c r="C4685" s="18" t="str">
        <f aca="false">'SALES Raw'!H1275</f>
        <v>11TO XLחגורה למנותחי בית החזה</v>
      </c>
      <c r="D4685" s="19" t="n">
        <f aca="false">'SALES Raw'!C1275</f>
        <v>1</v>
      </c>
      <c r="E4685" s="19" t="n">
        <f aca="false">'SALES Raw'!D1275</f>
        <v>156.98</v>
      </c>
      <c r="F4685" s="19" t="n">
        <f aca="false">'SALES Raw'!E1275*$H$4</f>
        <v>0</v>
      </c>
      <c r="G4685" s="19" t="n">
        <f aca="false">'SALES Raw'!F1275*$H$4</f>
        <v>0</v>
      </c>
      <c r="H4685" s="18" t="str">
        <f aca="false">'SALES Raw'!A1275</f>
        <v>103 - Physiotherapy institutes</v>
      </c>
    </row>
    <row r="4686" customFormat="false" ht="15" hidden="false" customHeight="false" outlineLevel="0" collapsed="false">
      <c r="A4686" s="18" t="n">
        <f aca="false">'SALES Raw'!G1276</f>
        <v>4408154</v>
      </c>
      <c r="B4686" s="18" t="str">
        <f aca="false">'SALES Raw'!B1276</f>
        <v>11TO XXL</v>
      </c>
      <c r="C4686" s="18" t="str">
        <f aca="false">'SALES Raw'!H1276</f>
        <v>11TO XXLחגורה למנותחי בית החזה</v>
      </c>
      <c r="D4686" s="19" t="n">
        <f aca="false">'SALES Raw'!C1276</f>
        <v>1</v>
      </c>
      <c r="E4686" s="19" t="n">
        <f aca="false">'SALES Raw'!D1276</f>
        <v>156.98</v>
      </c>
      <c r="F4686" s="19" t="n">
        <f aca="false">'SALES Raw'!E1276*$H$4</f>
        <v>0</v>
      </c>
      <c r="G4686" s="19" t="n">
        <f aca="false">'SALES Raw'!F1276*$H$4</f>
        <v>0</v>
      </c>
      <c r="H4686" s="18" t="str">
        <f aca="false">'SALES Raw'!A1276</f>
        <v>103 - Physiotherapy institutes</v>
      </c>
    </row>
    <row r="4687" customFormat="false" ht="15" hidden="false" customHeight="false" outlineLevel="0" collapsed="false">
      <c r="A4687" s="18" t="n">
        <f aca="false">'SALES Raw'!G1279</f>
        <v>4413303</v>
      </c>
      <c r="B4687" s="18" t="str">
        <f aca="false">'SALES Raw'!B1279</f>
        <v>34+ XXL</v>
      </c>
      <c r="C4687" s="18" t="str">
        <f aca="false">'SALES Raw'!H1279</f>
        <v>34+XXL מ.קרסול+עכב סגור+רצועות</v>
      </c>
      <c r="D4687" s="19" t="n">
        <f aca="false">'SALES Raw'!C1279</f>
        <v>2</v>
      </c>
      <c r="E4687" s="19" t="n">
        <f aca="false">'SALES Raw'!D1279</f>
        <v>140.52</v>
      </c>
      <c r="F4687" s="19" t="n">
        <f aca="false">'SALES Raw'!E1279*$H$4</f>
        <v>0</v>
      </c>
      <c r="G4687" s="19" t="n">
        <f aca="false">'SALES Raw'!F1279*$H$4</f>
        <v>0</v>
      </c>
      <c r="H4687" s="18" t="str">
        <f aca="false">'SALES Raw'!A1279</f>
        <v>103 - Physiotherapy institutes</v>
      </c>
    </row>
    <row r="4688" customFormat="false" ht="15" hidden="false" customHeight="false" outlineLevel="0" collapsed="false">
      <c r="A4688" s="18" t="n">
        <f aca="false">'SALES Raw'!G1280</f>
        <v>4413523</v>
      </c>
      <c r="B4688" s="18" t="str">
        <f aca="false">'SALES Raw'!B1280</f>
        <v>379COM-35-38</v>
      </c>
      <c r="C4688" s="18" t="str">
        <f aca="false">'SALES Raw'!H1280</f>
        <v>35-38 מדרסי אפיק ג'ל נוחות</v>
      </c>
      <c r="D4688" s="19" t="n">
        <f aca="false">'SALES Raw'!C1280</f>
        <v>3</v>
      </c>
      <c r="E4688" s="19" t="n">
        <f aca="false">'SALES Raw'!D1280</f>
        <v>355.63</v>
      </c>
      <c r="F4688" s="19" t="n">
        <f aca="false">'SALES Raw'!E1280*$H$4</f>
        <v>0</v>
      </c>
      <c r="G4688" s="19" t="n">
        <f aca="false">'SALES Raw'!F1280*$H$4</f>
        <v>0</v>
      </c>
      <c r="H4688" s="18" t="str">
        <f aca="false">'SALES Raw'!A1280</f>
        <v>103 - Physiotherapy institutes</v>
      </c>
    </row>
    <row r="4689" customFormat="false" ht="15" hidden="false" customHeight="false" outlineLevel="0" collapsed="false">
      <c r="A4689" s="18" t="n">
        <f aca="false">'SALES Raw'!G1281</f>
        <v>4413524</v>
      </c>
      <c r="B4689" s="18" t="str">
        <f aca="false">'SALES Raw'!B1281</f>
        <v>379COM-39-42</v>
      </c>
      <c r="C4689" s="18" t="str">
        <f aca="false">'SALES Raw'!H1281</f>
        <v>39-42 מדרסי אפיק ג'ל נוחות</v>
      </c>
      <c r="D4689" s="19" t="n">
        <f aca="false">'SALES Raw'!C1281</f>
        <v>4</v>
      </c>
      <c r="E4689" s="19" t="n">
        <f aca="false">'SALES Raw'!D1281</f>
        <v>455.36</v>
      </c>
      <c r="F4689" s="19" t="n">
        <f aca="false">'SALES Raw'!E1281*$H$4</f>
        <v>0</v>
      </c>
      <c r="G4689" s="19" t="n">
        <f aca="false">'SALES Raw'!F1281*$H$4</f>
        <v>0</v>
      </c>
      <c r="H4689" s="18" t="str">
        <f aca="false">'SALES Raw'!A1281</f>
        <v>103 - Physiotherapy institutes</v>
      </c>
    </row>
    <row r="4690" customFormat="false" ht="15" hidden="false" customHeight="false" outlineLevel="0" collapsed="false">
      <c r="A4690" s="18" t="n">
        <f aca="false">'SALES Raw'!G1282</f>
        <v>4413525</v>
      </c>
      <c r="B4690" s="18" t="str">
        <f aca="false">'SALES Raw'!B1282</f>
        <v>379COM-43-46</v>
      </c>
      <c r="C4690" s="18" t="str">
        <f aca="false">'SALES Raw'!H1282</f>
        <v>43-47 מדרסי אפיק ג'ל נוחות</v>
      </c>
      <c r="D4690" s="19" t="n">
        <f aca="false">'SALES Raw'!C1282</f>
        <v>4</v>
      </c>
      <c r="E4690" s="19" t="n">
        <f aca="false">'SALES Raw'!D1282</f>
        <v>455.36</v>
      </c>
      <c r="F4690" s="19" t="n">
        <f aca="false">'SALES Raw'!E1282*$H$4</f>
        <v>0</v>
      </c>
      <c r="G4690" s="19" t="n">
        <f aca="false">'SALES Raw'!F1282*$H$4</f>
        <v>0</v>
      </c>
      <c r="H4690" s="18" t="str">
        <f aca="false">'SALES Raw'!A1282</f>
        <v>103 - Physiotherapy institutes</v>
      </c>
    </row>
    <row r="4691" customFormat="false" ht="15" hidden="false" customHeight="false" outlineLevel="0" collapsed="false">
      <c r="A4691" s="18" t="n">
        <f aca="false">'SALES Raw'!G1283</f>
        <v>4413520</v>
      </c>
      <c r="B4691" s="18" t="str">
        <f aca="false">'SALES Raw'!B1283</f>
        <v>379MSP-35-38</v>
      </c>
      <c r="C4691" s="18" t="str">
        <f aca="false">'SALES Raw'!H1283</f>
        <v>מדרסי אפיק ג'ל מולט.ספורט35-38</v>
      </c>
      <c r="D4691" s="19" t="n">
        <f aca="false">'SALES Raw'!C1283</f>
        <v>4</v>
      </c>
      <c r="E4691" s="19" t="n">
        <f aca="false">'SALES Raw'!D1283</f>
        <v>474.15</v>
      </c>
      <c r="F4691" s="19" t="n">
        <f aca="false">'SALES Raw'!E1283*$H$4</f>
        <v>0</v>
      </c>
      <c r="G4691" s="19" t="n">
        <f aca="false">'SALES Raw'!F1283*$H$4</f>
        <v>0</v>
      </c>
      <c r="H4691" s="18" t="str">
        <f aca="false">'SALES Raw'!A1283</f>
        <v>103 - Physiotherapy institutes</v>
      </c>
    </row>
    <row r="4692" customFormat="false" ht="15" hidden="false" customHeight="false" outlineLevel="0" collapsed="false">
      <c r="A4692" s="18" t="n">
        <f aca="false">'SALES Raw'!G1284</f>
        <v>4413521</v>
      </c>
      <c r="B4692" s="18" t="str">
        <f aca="false">'SALES Raw'!B1284</f>
        <v>379MSP-39-42</v>
      </c>
      <c r="C4692" s="18" t="str">
        <f aca="false">'SALES Raw'!H1284</f>
        <v>מדרסי אפיק ג'ל מולטי ספור39-42</v>
      </c>
      <c r="D4692" s="19" t="n">
        <f aca="false">'SALES Raw'!C1284</f>
        <v>5</v>
      </c>
      <c r="E4692" s="19" t="n">
        <f aca="false">'SALES Raw'!D1284</f>
        <v>573.9</v>
      </c>
      <c r="F4692" s="19" t="n">
        <f aca="false">'SALES Raw'!E1284*$H$4</f>
        <v>0</v>
      </c>
      <c r="G4692" s="19" t="n">
        <f aca="false">'SALES Raw'!F1284*$H$4</f>
        <v>0</v>
      </c>
      <c r="H4692" s="18" t="str">
        <f aca="false">'SALES Raw'!A1284</f>
        <v>103 - Physiotherapy institutes</v>
      </c>
    </row>
    <row r="4693" customFormat="false" ht="15" hidden="false" customHeight="false" outlineLevel="0" collapsed="false">
      <c r="A4693" s="18" t="n">
        <f aca="false">'SALES Raw'!G1285</f>
        <v>4413522</v>
      </c>
      <c r="B4693" s="18" t="str">
        <f aca="false">'SALES Raw'!B1285</f>
        <v>379MSP-43-46</v>
      </c>
      <c r="C4693" s="18" t="str">
        <f aca="false">'SALES Raw'!H1285</f>
        <v>מדרסי אפיק ג'ל מולט.ספורט43-47</v>
      </c>
      <c r="D4693" s="19" t="n">
        <f aca="false">'SALES Raw'!C1285</f>
        <v>5</v>
      </c>
      <c r="E4693" s="19" t="n">
        <f aca="false">'SALES Raw'!D1285</f>
        <v>573.9</v>
      </c>
      <c r="F4693" s="19" t="n">
        <f aca="false">'SALES Raw'!E1285*$H$4</f>
        <v>0</v>
      </c>
      <c r="G4693" s="19" t="n">
        <f aca="false">'SALES Raw'!F1285*$H$4</f>
        <v>0</v>
      </c>
      <c r="H4693" s="18" t="str">
        <f aca="false">'SALES Raw'!A1285</f>
        <v>103 - Physiotherapy institutes</v>
      </c>
    </row>
    <row r="4694" customFormat="false" ht="15" hidden="false" customHeight="false" outlineLevel="0" collapsed="false">
      <c r="A4694" s="18" t="n">
        <f aca="false">'SALES Raw'!G1286</f>
        <v>4413527</v>
      </c>
      <c r="B4694" s="18" t="str">
        <f aca="false">'SALES Raw'!B1286</f>
        <v>379WRK-35-38</v>
      </c>
      <c r="C4694" s="18" t="str">
        <f aca="false">'SALES Raw'!H1286</f>
        <v>35-38 מדרסי אפיק ג'ל עבודה</v>
      </c>
      <c r="D4694" s="19" t="n">
        <f aca="false">'SALES Raw'!C1286</f>
        <v>4</v>
      </c>
      <c r="E4694" s="19" t="n">
        <f aca="false">'SALES Raw'!D1286</f>
        <v>474.15</v>
      </c>
      <c r="F4694" s="19" t="n">
        <f aca="false">'SALES Raw'!E1286*$H$4</f>
        <v>0</v>
      </c>
      <c r="G4694" s="19" t="n">
        <f aca="false">'SALES Raw'!F1286*$H$4</f>
        <v>0</v>
      </c>
      <c r="H4694" s="18" t="str">
        <f aca="false">'SALES Raw'!A1286</f>
        <v>103 - Physiotherapy institutes</v>
      </c>
    </row>
    <row r="4695" customFormat="false" ht="15" hidden="false" customHeight="false" outlineLevel="0" collapsed="false">
      <c r="A4695" s="18" t="n">
        <f aca="false">'SALES Raw'!G1287</f>
        <v>4413528</v>
      </c>
      <c r="B4695" s="18" t="str">
        <f aca="false">'SALES Raw'!B1287</f>
        <v>379WRK-39-42</v>
      </c>
      <c r="C4695" s="18" t="str">
        <f aca="false">'SALES Raw'!H1287</f>
        <v>39-42 מדרסי אפיק ג'ל עבודה</v>
      </c>
      <c r="D4695" s="19" t="n">
        <f aca="false">'SALES Raw'!C1287</f>
        <v>5</v>
      </c>
      <c r="E4695" s="19" t="n">
        <f aca="false">'SALES Raw'!D1287</f>
        <v>573.9</v>
      </c>
      <c r="F4695" s="19" t="n">
        <f aca="false">'SALES Raw'!E1287*$H$4</f>
        <v>0</v>
      </c>
      <c r="G4695" s="19" t="n">
        <f aca="false">'SALES Raw'!F1287*$H$4</f>
        <v>0</v>
      </c>
      <c r="H4695" s="18" t="str">
        <f aca="false">'SALES Raw'!A1287</f>
        <v>103 - Physiotherapy institutes</v>
      </c>
    </row>
    <row r="4696" customFormat="false" ht="15" hidden="false" customHeight="false" outlineLevel="0" collapsed="false">
      <c r="A4696" s="18" t="n">
        <f aca="false">'SALES Raw'!G1289</f>
        <v>4403001</v>
      </c>
      <c r="B4696" s="18" t="str">
        <f aca="false">'SALES Raw'!B1289</f>
        <v>390B-39-42</v>
      </c>
      <c r="C4696" s="18" t="str">
        <f aca="false">'SALES Raw'!H1289</f>
        <v>390B 39-42.גרב.כסף לסכרתיים שח</v>
      </c>
      <c r="D4696" s="19" t="n">
        <f aca="false">'SALES Raw'!C1289</f>
        <v>32</v>
      </c>
      <c r="E4696" s="19" t="n">
        <f aca="false">'SALES Raw'!D1289</f>
        <v>756</v>
      </c>
      <c r="F4696" s="19" t="n">
        <f aca="false">'SALES Raw'!E1289*$H$4</f>
        <v>0</v>
      </c>
      <c r="G4696" s="19" t="n">
        <f aca="false">'SALES Raw'!F1289*$H$4</f>
        <v>0</v>
      </c>
      <c r="H4696" s="18" t="str">
        <f aca="false">'SALES Raw'!A1289</f>
        <v>103 - Physiotherapy institutes</v>
      </c>
    </row>
    <row r="4697" customFormat="false" ht="15" hidden="false" customHeight="false" outlineLevel="0" collapsed="false">
      <c r="A4697" s="18" t="n">
        <f aca="false">'SALES Raw'!G1291</f>
        <v>4420016</v>
      </c>
      <c r="B4697" s="18" t="str">
        <f aca="false">'SALES Raw'!B1291</f>
        <v>40 0</v>
      </c>
      <c r="C4697" s="18" t="str">
        <f aca="false">'SALES Raw'!H1291</f>
        <v>40-רצועת פיקה לברך</v>
      </c>
      <c r="D4697" s="19" t="n">
        <f aca="false">'SALES Raw'!C1291</f>
        <v>2</v>
      </c>
      <c r="E4697" s="19" t="n">
        <f aca="false">'SALES Raw'!D1291</f>
        <v>103.96</v>
      </c>
      <c r="F4697" s="19" t="n">
        <f aca="false">'SALES Raw'!E1291*$H$4</f>
        <v>0</v>
      </c>
      <c r="G4697" s="19" t="n">
        <f aca="false">'SALES Raw'!F1291*$H$4</f>
        <v>0</v>
      </c>
      <c r="H4697" s="18" t="str">
        <f aca="false">'SALES Raw'!A1291</f>
        <v>103 - Physiotherapy institutes</v>
      </c>
    </row>
    <row r="4698" customFormat="false" ht="15" hidden="false" customHeight="false" outlineLevel="0" collapsed="false">
      <c r="A4698" s="18" t="n">
        <f aca="false">'SALES Raw'!G1292</f>
        <v>4420017</v>
      </c>
      <c r="B4698" s="18" t="str">
        <f aca="false">'SALES Raw'!B1292</f>
        <v>4022 0</v>
      </c>
      <c r="C4698" s="18" t="str">
        <f aca="false">'SALES Raw'!H1292</f>
        <v>4022 רצועת """"פיקה""""+כרית</v>
      </c>
      <c r="D4698" s="19" t="n">
        <f aca="false">'SALES Raw'!C1292</f>
        <v>5</v>
      </c>
      <c r="E4698" s="19" t="n">
        <f aca="false">'SALES Raw'!D1292</f>
        <v>473.18</v>
      </c>
      <c r="F4698" s="19" t="n">
        <f aca="false">'SALES Raw'!E1292*$H$4</f>
        <v>0</v>
      </c>
      <c r="G4698" s="19" t="n">
        <f aca="false">'SALES Raw'!F1292*$H$4</f>
        <v>0</v>
      </c>
      <c r="H4698" s="18" t="str">
        <f aca="false">'SALES Raw'!A1292</f>
        <v>103 - Physiotherapy institutes</v>
      </c>
    </row>
    <row r="4699" customFormat="false" ht="15" hidden="false" customHeight="false" outlineLevel="0" collapsed="false">
      <c r="A4699" s="18" t="str">
        <f aca="false">'SALES Raw'!G1293</f>
        <v/>
      </c>
      <c r="B4699" s="18" t="str">
        <f aca="false">'SALES Raw'!B1293</f>
        <v>67813000</v>
      </c>
      <c r="C4699" s="18" t="str">
        <f aca="false">'SALES Raw'!H1293</f>
        <v>67813000</v>
      </c>
      <c r="D4699" s="19" t="n">
        <f aca="false">'SALES Raw'!C1293</f>
        <v>1</v>
      </c>
      <c r="E4699" s="19" t="n">
        <f aca="false">'SALES Raw'!D1293</f>
        <v>0</v>
      </c>
      <c r="F4699" s="19" t="n">
        <f aca="false">'SALES Raw'!E1293*$H$4</f>
        <v>0</v>
      </c>
      <c r="G4699" s="19" t="n">
        <f aca="false">'SALES Raw'!F1293*$H$4</f>
        <v>0</v>
      </c>
      <c r="H4699" s="18" t="str">
        <f aca="false">'SALES Raw'!A1293</f>
        <v>103 - Physiotherapy institutes</v>
      </c>
    </row>
    <row r="4700" customFormat="false" ht="15" hidden="false" customHeight="false" outlineLevel="0" collapsed="false">
      <c r="A4700" s="18" t="n">
        <f aca="false">'SALES Raw'!G1294</f>
        <v>4409011</v>
      </c>
      <c r="B4700" s="18" t="str">
        <f aca="false">'SALES Raw'!B1294</f>
        <v>804AT-B</v>
      </c>
      <c r="C4700" s="18" t="str">
        <f aca="false">'SALES Raw'!H1294</f>
        <v>804AT-B      טייפ חבישה לספורט</v>
      </c>
      <c r="D4700" s="19" t="n">
        <f aca="false">'SALES Raw'!C1294</f>
        <v>4</v>
      </c>
      <c r="E4700" s="19" t="n">
        <f aca="false">'SALES Raw'!D1294</f>
        <v>69.17</v>
      </c>
      <c r="F4700" s="19" t="n">
        <f aca="false">'SALES Raw'!E1294*$H$4</f>
        <v>0</v>
      </c>
      <c r="G4700" s="19" t="n">
        <f aca="false">'SALES Raw'!F1294*$H$4</f>
        <v>0</v>
      </c>
      <c r="H4700" s="18" t="str">
        <f aca="false">'SALES Raw'!A1294</f>
        <v>103 - Physiotherapy institutes</v>
      </c>
    </row>
    <row r="4701" customFormat="false" ht="15" hidden="false" customHeight="false" outlineLevel="0" collapsed="false">
      <c r="A4701" s="18" t="n">
        <f aca="false">'SALES Raw'!G1295</f>
        <v>4409013</v>
      </c>
      <c r="B4701" s="18" t="str">
        <f aca="false">'SALES Raw'!B1295</f>
        <v>804AT-BL</v>
      </c>
      <c r="C4701" s="18" t="str">
        <f aca="false">'SALES Raw'!H1295</f>
        <v>804AT-BL     טייפ חבישה לספורט</v>
      </c>
      <c r="D4701" s="19" t="n">
        <f aca="false">'SALES Raw'!C1295</f>
        <v>4</v>
      </c>
      <c r="E4701" s="19" t="n">
        <f aca="false">'SALES Raw'!D1295</f>
        <v>69.17</v>
      </c>
      <c r="F4701" s="19" t="n">
        <f aca="false">'SALES Raw'!E1295*$H$4</f>
        <v>0</v>
      </c>
      <c r="G4701" s="19" t="n">
        <f aca="false">'SALES Raw'!F1295*$H$4</f>
        <v>0</v>
      </c>
      <c r="H4701" s="18" t="str">
        <f aca="false">'SALES Raw'!A1295</f>
        <v>103 - Physiotherapy institutes</v>
      </c>
    </row>
    <row r="4702" customFormat="false" ht="15" hidden="false" customHeight="false" outlineLevel="0" collapsed="false">
      <c r="A4702" s="18" t="n">
        <f aca="false">'SALES Raw'!G1296</f>
        <v>4409012</v>
      </c>
      <c r="B4702" s="18" t="str">
        <f aca="false">'SALES Raw'!B1296</f>
        <v>804AT-C</v>
      </c>
      <c r="C4702" s="18" t="str">
        <f aca="false">'SALES Raw'!H1296</f>
        <v>804AT-C      טייפ חבישה לספורט</v>
      </c>
      <c r="D4702" s="19" t="n">
        <f aca="false">'SALES Raw'!C1296</f>
        <v>4</v>
      </c>
      <c r="E4702" s="19" t="n">
        <f aca="false">'SALES Raw'!D1296</f>
        <v>69.17</v>
      </c>
      <c r="F4702" s="19" t="n">
        <f aca="false">'SALES Raw'!E1296*$H$4</f>
        <v>0</v>
      </c>
      <c r="G4702" s="19" t="n">
        <f aca="false">'SALES Raw'!F1296*$H$4</f>
        <v>0</v>
      </c>
      <c r="H4702" s="18" t="str">
        <f aca="false">'SALES Raw'!A1296</f>
        <v>103 - Physiotherapy institutes</v>
      </c>
    </row>
    <row r="4703" customFormat="false" ht="15" hidden="false" customHeight="false" outlineLevel="0" collapsed="false">
      <c r="A4703" s="18" t="n">
        <f aca="false">'SALES Raw'!G1297</f>
        <v>4409010</v>
      </c>
      <c r="B4703" s="18" t="str">
        <f aca="false">'SALES Raw'!B1297</f>
        <v>804AT-W</v>
      </c>
      <c r="C4703" s="18" t="str">
        <f aca="false">'SALES Raw'!H1297</f>
        <v>804AT-W      טייפ חבישה לספורט</v>
      </c>
      <c r="D4703" s="19" t="n">
        <f aca="false">'SALES Raw'!C1297</f>
        <v>4</v>
      </c>
      <c r="E4703" s="19" t="n">
        <f aca="false">'SALES Raw'!D1297</f>
        <v>69.17</v>
      </c>
      <c r="F4703" s="19" t="n">
        <f aca="false">'SALES Raw'!E1297*$H$4</f>
        <v>0</v>
      </c>
      <c r="G4703" s="19" t="n">
        <f aca="false">'SALES Raw'!F1297*$H$4</f>
        <v>0</v>
      </c>
      <c r="H4703" s="18" t="str">
        <f aca="false">'SALES Raw'!A1297</f>
        <v>103 - Physiotherapy institutes</v>
      </c>
    </row>
    <row r="4704" customFormat="false" ht="15" hidden="false" customHeight="false" outlineLevel="0" collapsed="false">
      <c r="A4704" s="18" t="n">
        <f aca="false">'SALES Raw'!G1298</f>
        <v>4401012</v>
      </c>
      <c r="B4704" s="18" t="str">
        <f aca="false">'SALES Raw'!B1298</f>
        <v>805AT-B</v>
      </c>
      <c r="C4704" s="18" t="str">
        <f aca="false">'SALES Raw'!H1298</f>
        <v>805AT-B אתלטיק טייפ שחור 20מ""""מ</v>
      </c>
      <c r="D4704" s="19" t="n">
        <f aca="false">'SALES Raw'!C1298</f>
        <v>3</v>
      </c>
      <c r="E4704" s="19" t="n">
        <f aca="false">'SALES Raw'!D1298</f>
        <v>51.88</v>
      </c>
      <c r="F4704" s="19" t="n">
        <f aca="false">'SALES Raw'!E1298*$H$4</f>
        <v>0</v>
      </c>
      <c r="G4704" s="19" t="n">
        <f aca="false">'SALES Raw'!F1298*$H$4</f>
        <v>0</v>
      </c>
      <c r="H4704" s="18" t="str">
        <f aca="false">'SALES Raw'!A1298</f>
        <v>103 - Physiotherapy institutes</v>
      </c>
    </row>
    <row r="4705" customFormat="false" ht="15" hidden="false" customHeight="false" outlineLevel="0" collapsed="false">
      <c r="A4705" s="18" t="n">
        <f aca="false">'SALES Raw'!G1299</f>
        <v>4401013</v>
      </c>
      <c r="B4705" s="18" t="str">
        <f aca="false">'SALES Raw'!B1299</f>
        <v>805AT-BL</v>
      </c>
      <c r="C4705" s="18" t="str">
        <f aca="false">'SALES Raw'!H1299</f>
        <v>805AT-BLאתלטיק טייפ כחול 20מ""""מ</v>
      </c>
      <c r="D4705" s="19" t="n">
        <f aca="false">'SALES Raw'!C1299</f>
        <v>3</v>
      </c>
      <c r="E4705" s="19" t="n">
        <f aca="false">'SALES Raw'!D1299</f>
        <v>51.88</v>
      </c>
      <c r="F4705" s="19" t="n">
        <f aca="false">'SALES Raw'!E1299*$H$4</f>
        <v>0</v>
      </c>
      <c r="G4705" s="19" t="n">
        <f aca="false">'SALES Raw'!F1299*$H$4</f>
        <v>0</v>
      </c>
      <c r="H4705" s="18" t="str">
        <f aca="false">'SALES Raw'!A1299</f>
        <v>103 - Physiotherapy institutes</v>
      </c>
    </row>
    <row r="4706" customFormat="false" ht="15" hidden="false" customHeight="false" outlineLevel="0" collapsed="false">
      <c r="A4706" s="18" t="n">
        <f aca="false">'SALES Raw'!G1302</f>
        <v>4422025</v>
      </c>
      <c r="B4706" s="18" t="str">
        <f aca="false">'SALES Raw'!B1302</f>
        <v>806CB-GR</v>
      </c>
      <c r="C4706" s="18" t="str">
        <f aca="false">'SALES Raw'!H1302</f>
        <v>806CB-GREEN      תחבושת א.נצמ</v>
      </c>
      <c r="D4706" s="19" t="n">
        <f aca="false">'SALES Raw'!C1302</f>
        <v>12</v>
      </c>
      <c r="E4706" s="19" t="n">
        <f aca="false">'SALES Raw'!D1302</f>
        <v>108</v>
      </c>
      <c r="F4706" s="19" t="n">
        <f aca="false">'SALES Raw'!E1302*$H$4</f>
        <v>0</v>
      </c>
      <c r="G4706" s="19" t="n">
        <f aca="false">'SALES Raw'!F1302*$H$4</f>
        <v>0</v>
      </c>
      <c r="H4706" s="18" t="str">
        <f aca="false">'SALES Raw'!A1302</f>
        <v>103 - Physiotherapy institutes</v>
      </c>
    </row>
    <row r="4707" customFormat="false" ht="15" hidden="false" customHeight="false" outlineLevel="0" collapsed="false">
      <c r="A4707" s="18" t="n">
        <f aca="false">'SALES Raw'!G1303</f>
        <v>4422026</v>
      </c>
      <c r="B4707" s="18" t="str">
        <f aca="false">'SALES Raw'!B1303</f>
        <v>806CB-P</v>
      </c>
      <c r="C4707" s="18" t="str">
        <f aca="false">'SALES Raw'!H1303</f>
        <v>806CB-PINK       תחבושת א.נצמ</v>
      </c>
      <c r="D4707" s="19" t="n">
        <f aca="false">'SALES Raw'!C1303</f>
        <v>12</v>
      </c>
      <c r="E4707" s="19" t="n">
        <f aca="false">'SALES Raw'!D1303</f>
        <v>108</v>
      </c>
      <c r="F4707" s="19" t="n">
        <f aca="false">'SALES Raw'!E1303*$H$4</f>
        <v>0</v>
      </c>
      <c r="G4707" s="19" t="n">
        <f aca="false">'SALES Raw'!F1303*$H$4</f>
        <v>0</v>
      </c>
      <c r="H4707" s="18" t="str">
        <f aca="false">'SALES Raw'!A1303</f>
        <v>103 - Physiotherapy institutes</v>
      </c>
    </row>
    <row r="4708" customFormat="false" ht="15" hidden="false" customHeight="false" outlineLevel="0" collapsed="false">
      <c r="A4708" s="18" t="n">
        <f aca="false">'SALES Raw'!G1304</f>
        <v>4422032</v>
      </c>
      <c r="B4708" s="18" t="str">
        <f aca="false">'SALES Raw'!B1304</f>
        <v>807CB-B</v>
      </c>
      <c r="C4708" s="18" t="str">
        <f aca="false">'SALES Raw'!H1304</f>
        <v>807B-Bתחבושת נצמדת שחור 20 מ""""מ</v>
      </c>
      <c r="D4708" s="19" t="n">
        <f aca="false">'SALES Raw'!C1304</f>
        <v>12</v>
      </c>
      <c r="E4708" s="19" t="n">
        <f aca="false">'SALES Raw'!D1304</f>
        <v>108</v>
      </c>
      <c r="F4708" s="19" t="n">
        <f aca="false">'SALES Raw'!E1304*$H$4</f>
        <v>0</v>
      </c>
      <c r="G4708" s="19" t="n">
        <f aca="false">'SALES Raw'!F1304*$H$4</f>
        <v>0</v>
      </c>
      <c r="H4708" s="18" t="str">
        <f aca="false">'SALES Raw'!A1304</f>
        <v>103 - Physiotherapy institutes</v>
      </c>
    </row>
    <row r="4709" customFormat="false" ht="15" hidden="false" customHeight="false" outlineLevel="0" collapsed="false">
      <c r="A4709" s="18" t="n">
        <f aca="false">'SALES Raw'!G1305</f>
        <v>4422033</v>
      </c>
      <c r="B4709" s="18" t="str">
        <f aca="false">'SALES Raw'!B1305</f>
        <v>807CB-BL</v>
      </c>
      <c r="C4709" s="18" t="str">
        <f aca="false">'SALES Raw'!H1305</f>
        <v>807CB-BLתחבושת נצמדת כחול20מ""""מ</v>
      </c>
      <c r="D4709" s="19" t="n">
        <f aca="false">'SALES Raw'!C1305</f>
        <v>12</v>
      </c>
      <c r="E4709" s="19" t="n">
        <f aca="false">'SALES Raw'!D1305</f>
        <v>108</v>
      </c>
      <c r="F4709" s="19" t="n">
        <f aca="false">'SALES Raw'!E1305*$H$4</f>
        <v>0</v>
      </c>
      <c r="G4709" s="19" t="n">
        <f aca="false">'SALES Raw'!F1305*$H$4</f>
        <v>0</v>
      </c>
      <c r="H4709" s="18" t="str">
        <f aca="false">'SALES Raw'!A1305</f>
        <v>103 - Physiotherapy institutes</v>
      </c>
    </row>
    <row r="4710" customFormat="false" ht="15" hidden="false" customHeight="false" outlineLevel="0" collapsed="false">
      <c r="A4710" s="18" t="n">
        <f aca="false">'SALES Raw'!G1306</f>
        <v>4422034</v>
      </c>
      <c r="B4710" s="18" t="str">
        <f aca="false">'SALES Raw'!B1306</f>
        <v>807CB-P</v>
      </c>
      <c r="C4710" s="18" t="str">
        <f aca="false">'SALES Raw'!H1306</f>
        <v>807CB-P תחבושת נצמדת ורוד 20ממ</v>
      </c>
      <c r="D4710" s="19" t="n">
        <f aca="false">'SALES Raw'!C1306</f>
        <v>12</v>
      </c>
      <c r="E4710" s="19" t="n">
        <f aca="false">'SALES Raw'!D1306</f>
        <v>108</v>
      </c>
      <c r="F4710" s="19" t="n">
        <f aca="false">'SALES Raw'!E1306*$H$4</f>
        <v>0</v>
      </c>
      <c r="G4710" s="19" t="n">
        <f aca="false">'SALES Raw'!F1306*$H$4</f>
        <v>0</v>
      </c>
      <c r="H4710" s="18" t="str">
        <f aca="false">'SALES Raw'!A1306</f>
        <v>103 - Physiotherapy institutes</v>
      </c>
    </row>
    <row r="4711" customFormat="false" ht="15" hidden="false" customHeight="false" outlineLevel="0" collapsed="false">
      <c r="A4711" s="18" t="str">
        <f aca="false">'SALES Raw'!G1309</f>
        <v/>
      </c>
      <c r="B4711" s="18" t="str">
        <f aca="false">'SALES Raw'!B1309</f>
        <v>85+ S</v>
      </c>
      <c r="C4711" s="18" t="str">
        <f aca="false">'SALES Raw'!H1309</f>
        <v>85+ S</v>
      </c>
      <c r="D4711" s="19" t="n">
        <f aca="false">'SALES Raw'!C1309</f>
        <v>1</v>
      </c>
      <c r="E4711" s="19" t="n">
        <f aca="false">'SALES Raw'!D1309</f>
        <v>60</v>
      </c>
      <c r="F4711" s="19" t="n">
        <f aca="false">'SALES Raw'!E1309*$H$4</f>
        <v>0</v>
      </c>
      <c r="G4711" s="19" t="n">
        <f aca="false">'SALES Raw'!F1309*$H$4</f>
        <v>0</v>
      </c>
      <c r="H4711" s="18" t="str">
        <f aca="false">'SALES Raw'!A1309</f>
        <v>103 - Physiotherapy institutes</v>
      </c>
    </row>
    <row r="4712" customFormat="false" ht="15" hidden="false" customHeight="false" outlineLevel="0" collapsed="false">
      <c r="A4712" s="18" t="n">
        <f aca="false">'SALES Raw'!G1314</f>
        <v>4420026</v>
      </c>
      <c r="B4712" s="18" t="str">
        <f aca="false">'SALES Raw'!B1314</f>
        <v>AC40 0</v>
      </c>
      <c r="C4712" s="18" t="str">
        <f aca="false">'SALES Raw'!H1314</f>
        <v>AC40 רצועה לפיקת הברך</v>
      </c>
      <c r="D4712" s="19" t="n">
        <f aca="false">'SALES Raw'!C1314</f>
        <v>2</v>
      </c>
      <c r="E4712" s="19" t="n">
        <f aca="false">'SALES Raw'!D1314</f>
        <v>161.18</v>
      </c>
      <c r="F4712" s="19" t="n">
        <f aca="false">'SALES Raw'!E1314*$H$4</f>
        <v>0</v>
      </c>
      <c r="G4712" s="19" t="n">
        <f aca="false">'SALES Raw'!F1314*$H$4</f>
        <v>0</v>
      </c>
      <c r="H4712" s="18" t="str">
        <f aca="false">'SALES Raw'!A1314</f>
        <v>103 - Physiotherapy institutes</v>
      </c>
    </row>
    <row r="4713" customFormat="false" ht="15" hidden="false" customHeight="false" outlineLevel="0" collapsed="false">
      <c r="A4713" s="18" t="str">
        <f aca="false">'SALES Raw'!G1315</f>
        <v/>
      </c>
      <c r="B4713" s="18" t="str">
        <f aca="false">'SALES Raw'!B1315</f>
        <v>FC316 0</v>
      </c>
      <c r="C4713" s="18" t="str">
        <f aca="false">'SALES Raw'!H1315</f>
        <v>FC316 0</v>
      </c>
      <c r="D4713" s="19" t="n">
        <f aca="false">'SALES Raw'!C1315</f>
        <v>-3</v>
      </c>
      <c r="E4713" s="19" t="n">
        <f aca="false">'SALES Raw'!D1315</f>
        <v>-113.76</v>
      </c>
      <c r="F4713" s="19" t="n">
        <f aca="false">'SALES Raw'!E1315*$H$4</f>
        <v>0</v>
      </c>
      <c r="G4713" s="19" t="n">
        <f aca="false">'SALES Raw'!F1315*$H$4</f>
        <v>0</v>
      </c>
      <c r="H4713" s="18" t="str">
        <f aca="false">'SALES Raw'!A1315</f>
        <v>103 - Physiotherapy institutes</v>
      </c>
    </row>
    <row r="4714" customFormat="false" ht="15" hidden="false" customHeight="false" outlineLevel="0" collapsed="false">
      <c r="A4714" s="18" t="n">
        <f aca="false">'SALES Raw'!G1316</f>
        <v>4408134</v>
      </c>
      <c r="B4714" s="18" t="str">
        <f aca="false">'SALES Raw'!B1316</f>
        <v>077A-S-M</v>
      </c>
      <c r="C4714" s="18" t="str">
        <f aca="false">'SALES Raw'!H1316</f>
        <v>077A S-M חגורת גב</v>
      </c>
      <c r="D4714" s="19" t="n">
        <f aca="false">'SALES Raw'!C1316</f>
        <v>1</v>
      </c>
      <c r="E4714" s="19" t="n">
        <f aca="false">'SALES Raw'!D1316</f>
        <v>66.28</v>
      </c>
      <c r="F4714" s="19" t="n">
        <f aca="false">'SALES Raw'!E1316*$H$4</f>
        <v>0</v>
      </c>
      <c r="G4714" s="19" t="n">
        <f aca="false">'SALES Raw'!F1316*$H$4</f>
        <v>0</v>
      </c>
      <c r="H4714" s="18" t="str">
        <f aca="false">'SALES Raw'!A1316</f>
        <v>103 - Physiotherapy institutes</v>
      </c>
    </row>
    <row r="4715" customFormat="false" ht="15" hidden="false" customHeight="false" outlineLevel="0" collapsed="false">
      <c r="A4715" s="18" t="str">
        <f aca="false">'SALES Raw'!G1332</f>
        <v/>
      </c>
      <c r="B4715" s="18" t="str">
        <f aca="false">'SALES Raw'!B1332</f>
        <v>18 L</v>
      </c>
      <c r="C4715" s="18" t="str">
        <f aca="false">'SALES Raw'!H1332</f>
        <v>18 L</v>
      </c>
      <c r="D4715" s="19" t="n">
        <f aca="false">'SALES Raw'!C1332</f>
        <v>1</v>
      </c>
      <c r="E4715" s="19" t="n">
        <f aca="false">'SALES Raw'!D1332</f>
        <v>232.28</v>
      </c>
      <c r="F4715" s="19" t="n">
        <f aca="false">'SALES Raw'!E1332*$H$4</f>
        <v>0</v>
      </c>
      <c r="G4715" s="19" t="n">
        <f aca="false">'SALES Raw'!F1332*$H$4</f>
        <v>0</v>
      </c>
      <c r="H4715" s="18" t="str">
        <f aca="false">'SALES Raw'!A1332</f>
        <v>103 - Physiotherapy institutes</v>
      </c>
    </row>
    <row r="4716" customFormat="false" ht="15" hidden="false" customHeight="false" outlineLevel="0" collapsed="false">
      <c r="A4716" s="18" t="str">
        <f aca="false">'SALES Raw'!G1333</f>
        <v/>
      </c>
      <c r="B4716" s="18" t="str">
        <f aca="false">'SALES Raw'!B1333</f>
        <v>18 XL</v>
      </c>
      <c r="C4716" s="18" t="str">
        <f aca="false">'SALES Raw'!H1333</f>
        <v>18 XL</v>
      </c>
      <c r="D4716" s="19" t="n">
        <f aca="false">'SALES Raw'!C1333</f>
        <v>1</v>
      </c>
      <c r="E4716" s="19" t="n">
        <f aca="false">'SALES Raw'!D1333</f>
        <v>232.26</v>
      </c>
      <c r="F4716" s="19" t="n">
        <f aca="false">'SALES Raw'!E1333*$H$4</f>
        <v>0</v>
      </c>
      <c r="G4716" s="19" t="n">
        <f aca="false">'SALES Raw'!F1333*$H$4</f>
        <v>0</v>
      </c>
      <c r="H4716" s="18" t="str">
        <f aca="false">'SALES Raw'!A1333</f>
        <v>103 - Physiotherapy institutes</v>
      </c>
    </row>
    <row r="4717" customFormat="false" ht="15" hidden="false" customHeight="false" outlineLevel="0" collapsed="false">
      <c r="A4717" s="18" t="str">
        <f aca="false">'SALES Raw'!G1334</f>
        <v/>
      </c>
      <c r="B4717" s="18" t="str">
        <f aca="false">'SALES Raw'!B1334</f>
        <v>18 XXL</v>
      </c>
      <c r="C4717" s="18" t="str">
        <f aca="false">'SALES Raw'!H1334</f>
        <v>18 XXL</v>
      </c>
      <c r="D4717" s="19" t="n">
        <f aca="false">'SALES Raw'!C1334</f>
        <v>1</v>
      </c>
      <c r="E4717" s="19" t="n">
        <f aca="false">'SALES Raw'!D1334</f>
        <v>232.26</v>
      </c>
      <c r="F4717" s="19" t="n">
        <f aca="false">'SALES Raw'!E1334*$H$4</f>
        <v>0</v>
      </c>
      <c r="G4717" s="19" t="n">
        <f aca="false">'SALES Raw'!F1334*$H$4</f>
        <v>0</v>
      </c>
      <c r="H4717" s="18" t="str">
        <f aca="false">'SALES Raw'!A1334</f>
        <v>103 - Physiotherapy institutes</v>
      </c>
    </row>
    <row r="4718" customFormat="false" ht="15" hidden="false" customHeight="false" outlineLevel="0" collapsed="false">
      <c r="A4718" s="18" t="n">
        <f aca="false">'SALES Raw'!G1337</f>
        <v>4408048</v>
      </c>
      <c r="B4718" s="18" t="str">
        <f aca="false">'SALES Raw'!B1337</f>
        <v>20 S</v>
      </c>
      <c r="C4718" s="18" t="str">
        <f aca="false">'SALES Raw'!H1337</f>
        <v>20 S חבק יד מתכוון עם צמדן</v>
      </c>
      <c r="D4718" s="19" t="n">
        <f aca="false">'SALES Raw'!C1337</f>
        <v>3</v>
      </c>
      <c r="E4718" s="19" t="n">
        <f aca="false">'SALES Raw'!D1337</f>
        <v>90.93</v>
      </c>
      <c r="F4718" s="19" t="n">
        <f aca="false">'SALES Raw'!E1337*$H$4</f>
        <v>0</v>
      </c>
      <c r="G4718" s="19" t="n">
        <f aca="false">'SALES Raw'!F1337*$H$4</f>
        <v>0</v>
      </c>
      <c r="H4718" s="18" t="str">
        <f aca="false">'SALES Raw'!A1337</f>
        <v>103 - Physiotherapy institutes</v>
      </c>
    </row>
    <row r="4719" customFormat="false" ht="15" hidden="false" customHeight="false" outlineLevel="0" collapsed="false">
      <c r="A4719" s="18" t="n">
        <f aca="false">'SALES Raw'!G1351</f>
        <v>4421005</v>
      </c>
      <c r="B4719" s="18" t="str">
        <f aca="false">'SALES Raw'!B1351</f>
        <v>250 0</v>
      </c>
      <c r="C4719" s="18" t="str">
        <f aca="false">'SALES Raw'!H1351</f>
        <v>שרוול לגבס קצר יד</v>
      </c>
      <c r="D4719" s="19" t="n">
        <f aca="false">'SALES Raw'!C1351</f>
        <v>4</v>
      </c>
      <c r="E4719" s="19" t="n">
        <f aca="false">'SALES Raw'!D1351</f>
        <v>148.57</v>
      </c>
      <c r="F4719" s="19" t="n">
        <f aca="false">'SALES Raw'!E1351*$H$4</f>
        <v>0</v>
      </c>
      <c r="G4719" s="19" t="n">
        <f aca="false">'SALES Raw'!F1351*$H$4</f>
        <v>0</v>
      </c>
      <c r="H4719" s="18" t="str">
        <f aca="false">'SALES Raw'!A1351</f>
        <v>103 - Physiotherapy institutes</v>
      </c>
    </row>
    <row r="4720" customFormat="false" ht="15" hidden="false" customHeight="false" outlineLevel="0" collapsed="false">
      <c r="A4720" s="18" t="n">
        <f aca="false">'SALES Raw'!G1368</f>
        <v>4413034</v>
      </c>
      <c r="B4720" s="18" t="str">
        <f aca="false">'SALES Raw'!B1368</f>
        <v>312 0</v>
      </c>
      <c r="C4720" s="18" t="str">
        <f aca="false">'SALES Raw'!H1368</f>
        <v>312 9 מ""""ס להתאמהX5 מדבקה גדולה</v>
      </c>
      <c r="D4720" s="19" t="n">
        <f aca="false">'SALES Raw'!C1368</f>
        <v>3</v>
      </c>
      <c r="E4720" s="19" t="n">
        <f aca="false">'SALES Raw'!D1368</f>
        <v>57.15</v>
      </c>
      <c r="F4720" s="19" t="n">
        <f aca="false">'SALES Raw'!E1368*$H$4</f>
        <v>0</v>
      </c>
      <c r="G4720" s="19" t="n">
        <f aca="false">'SALES Raw'!F1368*$H$4</f>
        <v>0</v>
      </c>
      <c r="H4720" s="18" t="str">
        <f aca="false">'SALES Raw'!A1368</f>
        <v>103 - Physiotherapy institutes</v>
      </c>
    </row>
    <row r="4721" customFormat="false" ht="15" hidden="false" customHeight="false" outlineLevel="0" collapsed="false">
      <c r="A4721" s="18" t="n">
        <f aca="false">'SALES Raw'!G1369</f>
        <v>4415297</v>
      </c>
      <c r="B4721" s="18" t="str">
        <f aca="false">'SALES Raw'!B1369</f>
        <v>313 0</v>
      </c>
      <c r="C4721" s="18" t="str">
        <f aca="false">'SALES Raw'!H1369</f>
        <v>313 סט פלסטרים נגד שפשופים</v>
      </c>
      <c r="D4721" s="19" t="n">
        <f aca="false">'SALES Raw'!C1369</f>
        <v>3</v>
      </c>
      <c r="E4721" s="19" t="n">
        <f aca="false">'SALES Raw'!D1369</f>
        <v>62.03</v>
      </c>
      <c r="F4721" s="19" t="n">
        <f aca="false">'SALES Raw'!E1369*$H$4</f>
        <v>0</v>
      </c>
      <c r="G4721" s="19" t="n">
        <f aca="false">'SALES Raw'!F1369*$H$4</f>
        <v>0</v>
      </c>
      <c r="H4721" s="18" t="str">
        <f aca="false">'SALES Raw'!A1369</f>
        <v>103 - Physiotherapy institutes</v>
      </c>
    </row>
    <row r="4722" customFormat="false" ht="15" hidden="false" customHeight="false" outlineLevel="0" collapsed="false">
      <c r="A4722" s="18" t="n">
        <f aca="false">'SALES Raw'!G1370</f>
        <v>4402007</v>
      </c>
      <c r="B4722" s="18" t="str">
        <f aca="false">'SALES Raw'!B1370</f>
        <v>320 0</v>
      </c>
      <c r="C4722" s="18" t="str">
        <f aca="false">'SALES Raw'!H1370</f>
        <v>320 בליסטר פלסטר</v>
      </c>
      <c r="D4722" s="19" t="n">
        <f aca="false">'SALES Raw'!C1370</f>
        <v>3</v>
      </c>
      <c r="E4722" s="19" t="n">
        <f aca="false">'SALES Raw'!D1370</f>
        <v>51.07</v>
      </c>
      <c r="F4722" s="19" t="n">
        <f aca="false">'SALES Raw'!E1370*$H$4</f>
        <v>0</v>
      </c>
      <c r="G4722" s="19" t="n">
        <f aca="false">'SALES Raw'!F1370*$H$4</f>
        <v>0</v>
      </c>
      <c r="H4722" s="18" t="str">
        <f aca="false">'SALES Raw'!A1370</f>
        <v>103 - Physiotherapy institutes</v>
      </c>
    </row>
    <row r="4723" customFormat="false" ht="15" hidden="false" customHeight="false" outlineLevel="0" collapsed="false">
      <c r="A4723" s="18" t="n">
        <f aca="false">'SALES Raw'!G1385</f>
        <v>4413492</v>
      </c>
      <c r="B4723" s="18" t="str">
        <f aca="false">'SALES Raw'!B1385</f>
        <v>35B M</v>
      </c>
      <c r="C4723" s="18" t="str">
        <f aca="false">'SALES Raw'!H1385</f>
        <v>35B M מגן קרסול שחור</v>
      </c>
      <c r="D4723" s="19" t="n">
        <f aca="false">'SALES Raw'!C1385</f>
        <v>10</v>
      </c>
      <c r="E4723" s="19" t="n">
        <f aca="false">'SALES Raw'!D1385</f>
        <v>292.45</v>
      </c>
      <c r="F4723" s="19" t="n">
        <f aca="false">'SALES Raw'!E1385*$H$4</f>
        <v>0</v>
      </c>
      <c r="G4723" s="19" t="n">
        <f aca="false">'SALES Raw'!F1385*$H$4</f>
        <v>0</v>
      </c>
      <c r="H4723" s="18" t="str">
        <f aca="false">'SALES Raw'!A1385</f>
        <v>103 - Physiotherapy institutes</v>
      </c>
    </row>
    <row r="4724" customFormat="false" ht="15" hidden="false" customHeight="false" outlineLevel="0" collapsed="false">
      <c r="A4724" s="18" t="n">
        <f aca="false">'SALES Raw'!G1386</f>
        <v>4413493</v>
      </c>
      <c r="B4724" s="18" t="str">
        <f aca="false">'SALES Raw'!B1386</f>
        <v>35B S</v>
      </c>
      <c r="C4724" s="18" t="str">
        <f aca="false">'SALES Raw'!H1386</f>
        <v>35B S מגן קרסול שחור</v>
      </c>
      <c r="D4724" s="19" t="n">
        <f aca="false">'SALES Raw'!C1386</f>
        <v>5</v>
      </c>
      <c r="E4724" s="19" t="n">
        <f aca="false">'SALES Raw'!D1386</f>
        <v>130.21</v>
      </c>
      <c r="F4724" s="19" t="n">
        <f aca="false">'SALES Raw'!E1386*$H$4</f>
        <v>0</v>
      </c>
      <c r="G4724" s="19" t="n">
        <f aca="false">'SALES Raw'!F1386*$H$4</f>
        <v>0</v>
      </c>
      <c r="H4724" s="18" t="str">
        <f aca="false">'SALES Raw'!A1386</f>
        <v>103 - Physiotherapy institutes</v>
      </c>
    </row>
    <row r="4725" customFormat="false" ht="15" hidden="false" customHeight="false" outlineLevel="0" collapsed="false">
      <c r="A4725" s="18" t="n">
        <f aca="false">'SALES Raw'!G1389</f>
        <v>4421001</v>
      </c>
      <c r="B4725" s="18" t="str">
        <f aca="false">'SALES Raw'!B1389</f>
        <v>3611 0</v>
      </c>
      <c r="C4725" s="18" t="str">
        <f aca="false">'SALES Raw'!H1389</f>
        <v>3611 שרוול מטטרזלי מסיליקון</v>
      </c>
      <c r="D4725" s="19" t="n">
        <f aca="false">'SALES Raw'!C1389</f>
        <v>7</v>
      </c>
      <c r="E4725" s="19" t="n">
        <f aca="false">'SALES Raw'!D1389</f>
        <v>340.96</v>
      </c>
      <c r="F4725" s="19" t="n">
        <f aca="false">'SALES Raw'!E1389*$H$4</f>
        <v>0</v>
      </c>
      <c r="G4725" s="19" t="n">
        <f aca="false">'SALES Raw'!F1389*$H$4</f>
        <v>0</v>
      </c>
      <c r="H4725" s="18" t="str">
        <f aca="false">'SALES Raw'!A1389</f>
        <v>103 - Physiotherapy institutes</v>
      </c>
    </row>
    <row r="4726" customFormat="false" ht="15" hidden="false" customHeight="false" outlineLevel="0" collapsed="false">
      <c r="A4726" s="18" t="n">
        <f aca="false">'SALES Raw'!G1390</f>
        <v>4413058</v>
      </c>
      <c r="B4726" s="18" t="str">
        <f aca="false">'SALES Raw'!B1390</f>
        <v>3622S 0</v>
      </c>
      <c r="C4726" s="18" t="str">
        <f aca="false">'SALES Raw'!H1390</f>
        <v>3622S מדבקה לשחרור לחץ 2 יח</v>
      </c>
      <c r="D4726" s="19" t="n">
        <f aca="false">'SALES Raw'!C1390</f>
        <v>6</v>
      </c>
      <c r="E4726" s="19" t="n">
        <f aca="false">'SALES Raw'!D1390</f>
        <v>170.4</v>
      </c>
      <c r="F4726" s="19" t="n">
        <f aca="false">'SALES Raw'!E1390*$H$4</f>
        <v>0</v>
      </c>
      <c r="G4726" s="19" t="n">
        <f aca="false">'SALES Raw'!F1390*$H$4</f>
        <v>0</v>
      </c>
      <c r="H4726" s="18" t="str">
        <f aca="false">'SALES Raw'!A1390</f>
        <v>103 - Physiotherapy institutes</v>
      </c>
    </row>
    <row r="4727" customFormat="false" ht="15" hidden="false" customHeight="false" outlineLevel="0" collapsed="false">
      <c r="A4727" s="18" t="n">
        <f aca="false">'SALES Raw'!G1395</f>
        <v>4413061</v>
      </c>
      <c r="B4727" s="18" t="str">
        <f aca="false">'SALES Raw'!B1395</f>
        <v>3641 0</v>
      </c>
      <c r="C4727" s="18" t="str">
        <f aca="false">'SALES Raw'!H1395</f>
        <v>3641-מיישר בוהן סיליקון קשיח</v>
      </c>
      <c r="D4727" s="19" t="n">
        <f aca="false">'SALES Raw'!C1395</f>
        <v>5</v>
      </c>
      <c r="E4727" s="19" t="n">
        <f aca="false">'SALES Raw'!D1395</f>
        <v>96.81</v>
      </c>
      <c r="F4727" s="19" t="n">
        <f aca="false">'SALES Raw'!E1395*$H$4</f>
        <v>0</v>
      </c>
      <c r="G4727" s="19" t="n">
        <f aca="false">'SALES Raw'!F1395*$H$4</f>
        <v>0</v>
      </c>
      <c r="H4727" s="18" t="str">
        <f aca="false">'SALES Raw'!A1395</f>
        <v>103 - Physiotherapy institutes</v>
      </c>
    </row>
    <row r="4728" customFormat="false" ht="15" hidden="false" customHeight="false" outlineLevel="0" collapsed="false">
      <c r="A4728" s="18" t="n">
        <f aca="false">'SALES Raw'!G1396</f>
        <v>4409000</v>
      </c>
      <c r="B4728" s="18" t="str">
        <f aca="false">'SALES Raw'!B1396</f>
        <v>365-S-L</v>
      </c>
      <c r="C4728" s="18" t="str">
        <f aca="false">'SALES Raw'!H1396</f>
        <v>365 S-Lטבעת אלסטית מסיליקון</v>
      </c>
      <c r="D4728" s="19" t="n">
        <f aca="false">'SALES Raw'!C1396</f>
        <v>3</v>
      </c>
      <c r="E4728" s="19" t="n">
        <f aca="false">'SALES Raw'!D1396</f>
        <v>37.65</v>
      </c>
      <c r="F4728" s="19" t="n">
        <f aca="false">'SALES Raw'!E1396*$H$4</f>
        <v>0</v>
      </c>
      <c r="G4728" s="19" t="n">
        <f aca="false">'SALES Raw'!F1396*$H$4</f>
        <v>0</v>
      </c>
      <c r="H4728" s="18" t="str">
        <f aca="false">'SALES Raw'!A1396</f>
        <v>103 - Physiotherapy institutes</v>
      </c>
    </row>
    <row r="4729" customFormat="false" ht="15" hidden="false" customHeight="false" outlineLevel="0" collapsed="false">
      <c r="A4729" s="18" t="n">
        <f aca="false">'SALES Raw'!G1397</f>
        <v>4409001</v>
      </c>
      <c r="B4729" s="18" t="str">
        <f aca="false">'SALES Raw'!B1397</f>
        <v>365-XL</v>
      </c>
      <c r="C4729" s="18" t="str">
        <f aca="false">'SALES Raw'!H1397</f>
        <v>365  X-Lטבעת אלסטית מסיליקון</v>
      </c>
      <c r="D4729" s="19" t="n">
        <f aca="false">'SALES Raw'!C1397</f>
        <v>3</v>
      </c>
      <c r="E4729" s="19" t="n">
        <f aca="false">'SALES Raw'!D1397</f>
        <v>36.45</v>
      </c>
      <c r="F4729" s="19" t="n">
        <f aca="false">'SALES Raw'!E1397*$H$4</f>
        <v>0</v>
      </c>
      <c r="G4729" s="19" t="n">
        <f aca="false">'SALES Raw'!F1397*$H$4</f>
        <v>0</v>
      </c>
      <c r="H4729" s="18" t="str">
        <f aca="false">'SALES Raw'!A1397</f>
        <v>103 - Physiotherapy institutes</v>
      </c>
    </row>
    <row r="4730" customFormat="false" ht="15" hidden="false" customHeight="false" outlineLevel="0" collapsed="false">
      <c r="A4730" s="18" t="n">
        <f aca="false">'SALES Raw'!G1399</f>
        <v>4413307</v>
      </c>
      <c r="B4730" s="18" t="str">
        <f aca="false">'SALES Raw'!B1399</f>
        <v>3667 0</v>
      </c>
      <c r="C4730" s="18" t="str">
        <f aca="false">'SALES Raw'!H1399</f>
        <v>URI 3667 מגן בוניון</v>
      </c>
      <c r="D4730" s="19" t="n">
        <f aca="false">'SALES Raw'!C1399</f>
        <v>4</v>
      </c>
      <c r="E4730" s="19" t="n">
        <f aca="false">'SALES Raw'!D1399</f>
        <v>117.97</v>
      </c>
      <c r="F4730" s="19" t="n">
        <f aca="false">'SALES Raw'!E1399*$H$4</f>
        <v>0</v>
      </c>
      <c r="G4730" s="19" t="n">
        <f aca="false">'SALES Raw'!F1399*$H$4</f>
        <v>0</v>
      </c>
      <c r="H4730" s="18" t="str">
        <f aca="false">'SALES Raw'!A1399</f>
        <v>103 - Physiotherapy institutes</v>
      </c>
    </row>
    <row r="4731" customFormat="false" ht="15" hidden="false" customHeight="false" outlineLevel="0" collapsed="false">
      <c r="A4731" s="18" t="n">
        <f aca="false">'SALES Raw'!G1401</f>
        <v>4413371</v>
      </c>
      <c r="B4731" s="18" t="str">
        <f aca="false">'SALES Raw'!B1401</f>
        <v>3675 0</v>
      </c>
      <c r="C4731" s="18" t="str">
        <f aca="false">'SALES Raw'!H1401</f>
        <v>3675    מגן זרת מסיליקון</v>
      </c>
      <c r="D4731" s="19" t="n">
        <f aca="false">'SALES Raw'!C1401</f>
        <v>3</v>
      </c>
      <c r="E4731" s="19" t="n">
        <f aca="false">'SALES Raw'!D1401</f>
        <v>83.15</v>
      </c>
      <c r="F4731" s="19" t="n">
        <f aca="false">'SALES Raw'!E1401*$H$4</f>
        <v>0</v>
      </c>
      <c r="G4731" s="19" t="n">
        <f aca="false">'SALES Raw'!F1401*$H$4</f>
        <v>0</v>
      </c>
      <c r="H4731" s="18" t="str">
        <f aca="false">'SALES Raw'!A1401</f>
        <v>103 - Physiotherapy institutes</v>
      </c>
    </row>
    <row r="4732" customFormat="false" ht="15" hidden="false" customHeight="false" outlineLevel="0" collapsed="false">
      <c r="A4732" s="18" t="n">
        <f aca="false">'SALES Raw'!G1402</f>
        <v>4413066</v>
      </c>
      <c r="B4732" s="18" t="str">
        <f aca="false">'SALES Raw'!B1402</f>
        <v>3677S 0</v>
      </c>
      <c r="C4732" s="18" t="str">
        <f aca="false">'SALES Raw'!H1402</f>
        <v>3677S-מד.לשחרור לחץ א.הבוניון</v>
      </c>
      <c r="D4732" s="19" t="n">
        <f aca="false">'SALES Raw'!C1402</f>
        <v>3</v>
      </c>
      <c r="E4732" s="19" t="n">
        <f aca="false">'SALES Raw'!D1402</f>
        <v>53.49</v>
      </c>
      <c r="F4732" s="19" t="n">
        <f aca="false">'SALES Raw'!E1402*$H$4</f>
        <v>0</v>
      </c>
      <c r="G4732" s="19" t="n">
        <f aca="false">'SALES Raw'!F1402*$H$4</f>
        <v>0</v>
      </c>
      <c r="H4732" s="18" t="str">
        <f aca="false">'SALES Raw'!A1402</f>
        <v>103 - Physiotherapy institutes</v>
      </c>
    </row>
    <row r="4733" customFormat="false" ht="15" hidden="false" customHeight="false" outlineLevel="0" collapsed="false">
      <c r="A4733" s="18" t="n">
        <f aca="false">'SALES Raw'!G1403</f>
        <v>4401000</v>
      </c>
      <c r="B4733" s="18" t="str">
        <f aca="false">'SALES Raw'!B1403</f>
        <v>369-S-L</v>
      </c>
      <c r="C4733" s="18" t="str">
        <f aca="false">'SALES Raw'!H1403</f>
        <v>369  S-L אצבעון מסיליקון יחידה</v>
      </c>
      <c r="D4733" s="19" t="n">
        <f aca="false">'SALES Raw'!C1403</f>
        <v>3</v>
      </c>
      <c r="E4733" s="19" t="n">
        <f aca="false">'SALES Raw'!D1403</f>
        <v>62.03</v>
      </c>
      <c r="F4733" s="19" t="n">
        <f aca="false">'SALES Raw'!E1403*$H$4</f>
        <v>0</v>
      </c>
      <c r="G4733" s="19" t="n">
        <f aca="false">'SALES Raw'!F1403*$H$4</f>
        <v>0</v>
      </c>
      <c r="H4733" s="18" t="str">
        <f aca="false">'SALES Raw'!A1403</f>
        <v>103 - Physiotherapy institutes</v>
      </c>
    </row>
    <row r="4734" customFormat="false" ht="15" hidden="false" customHeight="false" outlineLevel="0" collapsed="false">
      <c r="A4734" s="18" t="n">
        <f aca="false">'SALES Raw'!G1404</f>
        <v>4401001</v>
      </c>
      <c r="B4734" s="18" t="str">
        <f aca="false">'SALES Raw'!B1404</f>
        <v>369-XL</v>
      </c>
      <c r="C4734" s="18" t="str">
        <f aca="false">'SALES Raw'!H1404</f>
        <v>369   XL אצבעון מסיליקון יחידה</v>
      </c>
      <c r="D4734" s="19" t="n">
        <f aca="false">'SALES Raw'!C1404</f>
        <v>3</v>
      </c>
      <c r="E4734" s="19" t="n">
        <f aca="false">'SALES Raw'!D1404</f>
        <v>68.11</v>
      </c>
      <c r="F4734" s="19" t="n">
        <f aca="false">'SALES Raw'!E1404*$H$4</f>
        <v>0</v>
      </c>
      <c r="G4734" s="19" t="n">
        <f aca="false">'SALES Raw'!F1404*$H$4</f>
        <v>0</v>
      </c>
      <c r="H4734" s="18" t="str">
        <f aca="false">'SALES Raw'!A1404</f>
        <v>103 - Physiotherapy institutes</v>
      </c>
    </row>
    <row r="4735" customFormat="false" ht="15" hidden="false" customHeight="false" outlineLevel="0" collapsed="false">
      <c r="A4735" s="18" t="n">
        <f aca="false">'SALES Raw'!G1406</f>
        <v>4420002</v>
      </c>
      <c r="B4735" s="18" t="str">
        <f aca="false">'SALES Raw'!B1406</f>
        <v>372 0</v>
      </c>
      <c r="C4735" s="18" t="str">
        <f aca="false">'SALES Raw'!H1406</f>
        <v>372 רפידת אנטי ריח -זוג</v>
      </c>
      <c r="D4735" s="19" t="n">
        <f aca="false">'SALES Raw'!C1406</f>
        <v>6</v>
      </c>
      <c r="E4735" s="19" t="n">
        <f aca="false">'SALES Raw'!D1406</f>
        <v>80.18</v>
      </c>
      <c r="F4735" s="19" t="n">
        <f aca="false">'SALES Raw'!E1406*$H$4</f>
        <v>0</v>
      </c>
      <c r="G4735" s="19" t="n">
        <f aca="false">'SALES Raw'!F1406*$H$4</f>
        <v>0</v>
      </c>
      <c r="H4735" s="18" t="str">
        <f aca="false">'SALES Raw'!A1406</f>
        <v>103 - Physiotherapy institutes</v>
      </c>
    </row>
    <row r="4736" customFormat="false" ht="15" hidden="false" customHeight="false" outlineLevel="0" collapsed="false">
      <c r="A4736" s="18" t="n">
        <f aca="false">'SALES Raw'!G1407</f>
        <v>4420003</v>
      </c>
      <c r="B4736" s="18" t="str">
        <f aca="false">'SALES Raw'!B1407</f>
        <v>374 0</v>
      </c>
      <c r="C4736" s="18" t="str">
        <f aca="false">'SALES Raw'!H1407</f>
        <v>374 רפידת בולמת זעזועים -זוג</v>
      </c>
      <c r="D4736" s="19" t="n">
        <f aca="false">'SALES Raw'!C1407</f>
        <v>6</v>
      </c>
      <c r="E4736" s="19" t="n">
        <f aca="false">'SALES Raw'!D1407</f>
        <v>80.18</v>
      </c>
      <c r="F4736" s="19" t="n">
        <f aca="false">'SALES Raw'!E1407*$H$4</f>
        <v>0</v>
      </c>
      <c r="G4736" s="19" t="n">
        <f aca="false">'SALES Raw'!F1407*$H$4</f>
        <v>0</v>
      </c>
      <c r="H4736" s="18" t="str">
        <f aca="false">'SALES Raw'!A1407</f>
        <v>103 - Physiotherapy institutes</v>
      </c>
    </row>
    <row r="4737" customFormat="false" ht="15" hidden="false" customHeight="false" outlineLevel="0" collapsed="false">
      <c r="A4737" s="18" t="n">
        <f aca="false">'SALES Raw'!G1408</f>
        <v>4415298</v>
      </c>
      <c r="B4737" s="18" t="str">
        <f aca="false">'SALES Raw'!B1408</f>
        <v>388BL 0</v>
      </c>
      <c r="C4737" s="18" t="str">
        <f aca="false">'SALES Raw'!H1408</f>
        <v>388B L סד לילה שחור לבוהן שמאל</v>
      </c>
      <c r="D4737" s="19" t="n">
        <f aca="false">'SALES Raw'!C1408</f>
        <v>5</v>
      </c>
      <c r="E4737" s="19" t="n">
        <f aca="false">'SALES Raw'!D1408</f>
        <v>292</v>
      </c>
      <c r="F4737" s="19" t="n">
        <f aca="false">'SALES Raw'!E1408*$H$4</f>
        <v>0</v>
      </c>
      <c r="G4737" s="19" t="n">
        <f aca="false">'SALES Raw'!F1408*$H$4</f>
        <v>0</v>
      </c>
      <c r="H4737" s="18" t="str">
        <f aca="false">'SALES Raw'!A1408</f>
        <v>103 - Physiotherapy institutes</v>
      </c>
    </row>
    <row r="4738" customFormat="false" ht="15" hidden="false" customHeight="false" outlineLevel="0" collapsed="false">
      <c r="A4738" s="18" t="n">
        <f aca="false">'SALES Raw'!G1409</f>
        <v>4415299</v>
      </c>
      <c r="B4738" s="18" t="str">
        <f aca="false">'SALES Raw'!B1409</f>
        <v>388BR 0</v>
      </c>
      <c r="C4738" s="18" t="str">
        <f aca="false">'SALES Raw'!H1409</f>
        <v>388B L סד לילה שחור לבוהן ימין</v>
      </c>
      <c r="D4738" s="19" t="n">
        <f aca="false">'SALES Raw'!C1409</f>
        <v>4</v>
      </c>
      <c r="E4738" s="19" t="n">
        <f aca="false">'SALES Raw'!D1409</f>
        <v>232</v>
      </c>
      <c r="F4738" s="19" t="n">
        <f aca="false">'SALES Raw'!E1409*$H$4</f>
        <v>0</v>
      </c>
      <c r="G4738" s="19" t="n">
        <f aca="false">'SALES Raw'!F1409*$H$4</f>
        <v>0</v>
      </c>
      <c r="H4738" s="18" t="str">
        <f aca="false">'SALES Raw'!A1409</f>
        <v>103 - Physiotherapy institutes</v>
      </c>
    </row>
    <row r="4739" customFormat="false" ht="15" hidden="false" customHeight="false" outlineLevel="0" collapsed="false">
      <c r="A4739" s="18" t="n">
        <f aca="false">'SALES Raw'!G1410</f>
        <v>4403000</v>
      </c>
      <c r="B4739" s="18" t="str">
        <f aca="false">'SALES Raw'!B1410</f>
        <v>390B-35-38</v>
      </c>
      <c r="C4739" s="18" t="str">
        <f aca="false">'SALES Raw'!H1410</f>
        <v>390B גרב.כסף לסכרתים שחור35-38</v>
      </c>
      <c r="D4739" s="19" t="n">
        <f aca="false">'SALES Raw'!C1410</f>
        <v>10</v>
      </c>
      <c r="E4739" s="19" t="n">
        <f aca="false">'SALES Raw'!D1410</f>
        <v>234</v>
      </c>
      <c r="F4739" s="19" t="n">
        <f aca="false">'SALES Raw'!E1410*$H$4</f>
        <v>0</v>
      </c>
      <c r="G4739" s="19" t="n">
        <f aca="false">'SALES Raw'!F1410*$H$4</f>
        <v>0</v>
      </c>
      <c r="H4739" s="18" t="str">
        <f aca="false">'SALES Raw'!A1410</f>
        <v>103 - Physiotherapy institutes</v>
      </c>
    </row>
    <row r="4740" customFormat="false" ht="15" hidden="false" customHeight="false" outlineLevel="0" collapsed="false">
      <c r="A4740" s="18" t="n">
        <f aca="false">'SALES Raw'!G1412</f>
        <v>4413076</v>
      </c>
      <c r="B4740" s="18" t="str">
        <f aca="false">'SALES Raw'!B1412</f>
        <v>41X L</v>
      </c>
      <c r="C4740" s="18" t="str">
        <f aca="false">'SALES Raw'!H1412</f>
        <v>41X L מגן ברך מוצלב+מוט</v>
      </c>
      <c r="D4740" s="19" t="n">
        <f aca="false">'SALES Raw'!C1412</f>
        <v>1</v>
      </c>
      <c r="E4740" s="19" t="n">
        <f aca="false">'SALES Raw'!D1412</f>
        <v>117.77</v>
      </c>
      <c r="F4740" s="19" t="n">
        <f aca="false">'SALES Raw'!E1412*$H$4</f>
        <v>0</v>
      </c>
      <c r="G4740" s="19" t="n">
        <f aca="false">'SALES Raw'!F1412*$H$4</f>
        <v>0</v>
      </c>
      <c r="H4740" s="18" t="str">
        <f aca="false">'SALES Raw'!A1412</f>
        <v>103 - Physiotherapy institutes</v>
      </c>
    </row>
    <row r="4741" customFormat="false" ht="15" hidden="false" customHeight="false" outlineLevel="0" collapsed="false">
      <c r="A4741" s="18" t="str">
        <f aca="false">'SALES Raw'!G1413</f>
        <v/>
      </c>
      <c r="B4741" s="18" t="str">
        <f aca="false">'SALES Raw'!B1413</f>
        <v>41X M</v>
      </c>
      <c r="C4741" s="18" t="str">
        <f aca="false">'SALES Raw'!H1413</f>
        <v>41X M</v>
      </c>
      <c r="D4741" s="19" t="n">
        <f aca="false">'SALES Raw'!C1413</f>
        <v>1</v>
      </c>
      <c r="E4741" s="19" t="n">
        <f aca="false">'SALES Raw'!D1413</f>
        <v>117.77</v>
      </c>
      <c r="F4741" s="19" t="n">
        <f aca="false">'SALES Raw'!E1413*$H$4</f>
        <v>0</v>
      </c>
      <c r="G4741" s="19" t="n">
        <f aca="false">'SALES Raw'!F1413*$H$4</f>
        <v>0</v>
      </c>
      <c r="H4741" s="18" t="str">
        <f aca="false">'SALES Raw'!A1413</f>
        <v>103 - Physiotherapy institutes</v>
      </c>
    </row>
    <row r="4742" customFormat="false" ht="15" hidden="false" customHeight="false" outlineLevel="0" collapsed="false">
      <c r="A4742" s="18" t="n">
        <f aca="false">'SALES Raw'!G1414</f>
        <v>4413079</v>
      </c>
      <c r="B4742" s="18" t="str">
        <f aca="false">'SALES Raw'!B1414</f>
        <v>41X XL</v>
      </c>
      <c r="C4742" s="18" t="str">
        <f aca="false">'SALES Raw'!H1414</f>
        <v>41X XL מגן ברך מוצלב+מוט</v>
      </c>
      <c r="D4742" s="19" t="n">
        <f aca="false">'SALES Raw'!C1414</f>
        <v>1</v>
      </c>
      <c r="E4742" s="19" t="n">
        <f aca="false">'SALES Raw'!D1414</f>
        <v>117.77</v>
      </c>
      <c r="F4742" s="19" t="n">
        <f aca="false">'SALES Raw'!E1414*$H$4</f>
        <v>0</v>
      </c>
      <c r="G4742" s="19" t="n">
        <f aca="false">'SALES Raw'!F1414*$H$4</f>
        <v>0</v>
      </c>
      <c r="H4742" s="18" t="str">
        <f aca="false">'SALES Raw'!A1414</f>
        <v>103 - Physiotherapy institutes</v>
      </c>
    </row>
    <row r="4743" customFormat="false" ht="15" hidden="false" customHeight="false" outlineLevel="0" collapsed="false">
      <c r="A4743" s="18" t="n">
        <f aca="false">'SALES Raw'!G1417</f>
        <v>4413498</v>
      </c>
      <c r="B4743" s="18" t="str">
        <f aca="false">'SALES Raw'!B1417</f>
        <v>45B S</v>
      </c>
      <c r="C4743" s="18" t="str">
        <f aca="false">'SALES Raw'!H1417</f>
        <v>45B S מגן ברך שחור</v>
      </c>
      <c r="D4743" s="19" t="n">
        <f aca="false">'SALES Raw'!C1417</f>
        <v>4</v>
      </c>
      <c r="E4743" s="19" t="n">
        <f aca="false">'SALES Raw'!D1417</f>
        <v>91.55</v>
      </c>
      <c r="F4743" s="19" t="n">
        <f aca="false">'SALES Raw'!E1417*$H$4</f>
        <v>0</v>
      </c>
      <c r="G4743" s="19" t="n">
        <f aca="false">'SALES Raw'!F1417*$H$4</f>
        <v>0</v>
      </c>
      <c r="H4743" s="18" t="str">
        <f aca="false">'SALES Raw'!A1417</f>
        <v>103 - Physiotherapy institutes</v>
      </c>
    </row>
    <row r="4744" customFormat="false" ht="15" hidden="false" customHeight="false" outlineLevel="0" collapsed="false">
      <c r="A4744" s="18" t="n">
        <f aca="false">'SALES Raw'!G1430</f>
        <v>4413139</v>
      </c>
      <c r="B4744" s="18" t="str">
        <f aca="false">'SALES Raw'!B1430</f>
        <v>95 L</v>
      </c>
      <c r="C4744" s="18" t="str">
        <f aca="false">'SALES Raw'!H1430</f>
        <v>95 L מגן מרפק רגיל לבן</v>
      </c>
      <c r="D4744" s="19" t="n">
        <f aca="false">'SALES Raw'!C1430</f>
        <v>3</v>
      </c>
      <c r="E4744" s="19" t="n">
        <f aca="false">'SALES Raw'!D1430</f>
        <v>84.44</v>
      </c>
      <c r="F4744" s="19" t="n">
        <f aca="false">'SALES Raw'!E1430*$H$4</f>
        <v>0</v>
      </c>
      <c r="G4744" s="19" t="n">
        <f aca="false">'SALES Raw'!F1430*$H$4</f>
        <v>0</v>
      </c>
      <c r="H4744" s="18" t="str">
        <f aca="false">'SALES Raw'!A1430</f>
        <v>103 - Physiotherapy institutes</v>
      </c>
    </row>
    <row r="4745" customFormat="false" ht="15" hidden="false" customHeight="false" outlineLevel="0" collapsed="false">
      <c r="A4745" s="18" t="n">
        <f aca="false">'SALES Raw'!G1434</f>
        <v>4413503</v>
      </c>
      <c r="B4745" s="18" t="str">
        <f aca="false">'SALES Raw'!B1434</f>
        <v>95B XL</v>
      </c>
      <c r="C4745" s="18" t="str">
        <f aca="false">'SALES Raw'!H1434</f>
        <v>95B XL מגן מרפק שחור</v>
      </c>
      <c r="D4745" s="19" t="n">
        <f aca="false">'SALES Raw'!C1434</f>
        <v>3</v>
      </c>
      <c r="E4745" s="19" t="n">
        <f aca="false">'SALES Raw'!D1434</f>
        <v>88.55</v>
      </c>
      <c r="F4745" s="19" t="n">
        <f aca="false">'SALES Raw'!E1434*$H$4</f>
        <v>0</v>
      </c>
      <c r="G4745" s="19" t="n">
        <f aca="false">'SALES Raw'!F1434*$H$4</f>
        <v>0</v>
      </c>
      <c r="H4745" s="18" t="str">
        <f aca="false">'SALES Raw'!A1434</f>
        <v>103 - Physiotherapy institutes</v>
      </c>
    </row>
    <row r="4746" customFormat="false" ht="15" hidden="false" customHeight="false" outlineLevel="0" collapsed="false">
      <c r="A4746" s="18" t="n">
        <f aca="false">'SALES Raw'!G1437</f>
        <v>4413149</v>
      </c>
      <c r="B4746" s="18" t="str">
        <f aca="false">'SALES Raw'!B1437</f>
        <v>FC321 0</v>
      </c>
      <c r="C4746" s="18" t="str">
        <f aca="false">'SALES Raw'!H1437</f>
        <v>FC321-מלח אמבט לכף הרגל</v>
      </c>
      <c r="D4746" s="19" t="n">
        <f aca="false">'SALES Raw'!C1437</f>
        <v>18</v>
      </c>
      <c r="E4746" s="19" t="n">
        <f aca="false">'SALES Raw'!D1437</f>
        <v>224.39</v>
      </c>
      <c r="F4746" s="19" t="n">
        <f aca="false">'SALES Raw'!E1437*$H$4</f>
        <v>0</v>
      </c>
      <c r="G4746" s="19" t="n">
        <f aca="false">'SALES Raw'!F1437*$H$4</f>
        <v>0</v>
      </c>
      <c r="H4746" s="18" t="str">
        <f aca="false">'SALES Raw'!A1437</f>
        <v>103 - Physiotherapy institutes</v>
      </c>
    </row>
    <row r="4747" customFormat="false" ht="15" hidden="false" customHeight="false" outlineLevel="0" collapsed="false">
      <c r="A4747" s="18" t="n">
        <f aca="false">'SALES Raw'!G1439</f>
        <v>4409004</v>
      </c>
      <c r="B4747" s="18" t="str">
        <f aca="false">'SALES Raw'!B1439</f>
        <v>FC335 0</v>
      </c>
      <c r="C4747" s="18" t="str">
        <f aca="false">'SALES Raw'!H1439</f>
        <v>FC335 טלק מעושר באלוורה</v>
      </c>
      <c r="D4747" s="19" t="n">
        <f aca="false">'SALES Raw'!C1439</f>
        <v>6</v>
      </c>
      <c r="E4747" s="19" t="n">
        <f aca="false">'SALES Raw'!D1439</f>
        <v>121.64</v>
      </c>
      <c r="F4747" s="19" t="n">
        <f aca="false">'SALES Raw'!E1439*$H$4</f>
        <v>0</v>
      </c>
      <c r="G4747" s="19" t="n">
        <f aca="false">'SALES Raw'!F1439*$H$4</f>
        <v>0</v>
      </c>
      <c r="H4747" s="18" t="str">
        <f aca="false">'SALES Raw'!A1439</f>
        <v>103 - Physiotherapy institutes</v>
      </c>
    </row>
    <row r="4748" customFormat="false" ht="15" hidden="false" customHeight="false" outlineLevel="0" collapsed="false">
      <c r="A4748" s="18" t="n">
        <f aca="false">'SALES Raw'!G1460</f>
        <v>4422042</v>
      </c>
      <c r="B4748" s="18" t="str">
        <f aca="false">'SALES Raw'!B1460</f>
        <v>SH422 6</v>
      </c>
      <c r="C4748" s="18" t="str">
        <f aca="false">'SALES Raw'!H1460</f>
        <v>SH422 6 תומך ברך גנושילד</v>
      </c>
      <c r="D4748" s="19" t="n">
        <f aca="false">'SALES Raw'!C1460</f>
        <v>3</v>
      </c>
      <c r="E4748" s="19" t="n">
        <f aca="false">'SALES Raw'!D1460</f>
        <v>120.02</v>
      </c>
      <c r="F4748" s="19" t="n">
        <f aca="false">'SALES Raw'!E1460*$H$4</f>
        <v>0</v>
      </c>
      <c r="G4748" s="19" t="n">
        <f aca="false">'SALES Raw'!F1460*$H$4</f>
        <v>0</v>
      </c>
      <c r="H4748" s="18" t="str">
        <f aca="false">'SALES Raw'!A1460</f>
        <v>103 - Physiotherapy institutes</v>
      </c>
    </row>
    <row r="4749" customFormat="false" ht="15" hidden="false" customHeight="false" outlineLevel="0" collapsed="false">
      <c r="A4749" s="18" t="str">
        <f aca="false">'SALES Raw'!G1475</f>
        <v/>
      </c>
      <c r="B4749" s="18" t="str">
        <f aca="false">'SALES Raw'!B1475</f>
        <v>355 L</v>
      </c>
      <c r="C4749" s="18" t="str">
        <f aca="false">'SALES Raw'!H1475</f>
        <v>355 L</v>
      </c>
      <c r="D4749" s="19" t="n">
        <f aca="false">'SALES Raw'!C1475</f>
        <v>1</v>
      </c>
      <c r="E4749" s="19" t="n">
        <f aca="false">'SALES Raw'!D1475</f>
        <v>130</v>
      </c>
      <c r="F4749" s="19" t="n">
        <f aca="false">'SALES Raw'!E1475*$H$4</f>
        <v>0</v>
      </c>
      <c r="G4749" s="19" t="n">
        <f aca="false">'SALES Raw'!F1475*$H$4</f>
        <v>0</v>
      </c>
      <c r="H4749" s="18" t="str">
        <f aca="false">'SALES Raw'!A1475</f>
        <v>103 - Physiotherapy institutes</v>
      </c>
    </row>
    <row r="4750" customFormat="false" ht="15" hidden="false" customHeight="false" outlineLevel="0" collapsed="false">
      <c r="A4750" s="18" t="str">
        <f aca="false">'SALES Raw'!G1476</f>
        <v/>
      </c>
      <c r="B4750" s="18" t="str">
        <f aca="false">'SALES Raw'!B1476</f>
        <v>355 M</v>
      </c>
      <c r="C4750" s="18" t="str">
        <f aca="false">'SALES Raw'!H1476</f>
        <v>355 M</v>
      </c>
      <c r="D4750" s="19" t="n">
        <f aca="false">'SALES Raw'!C1476</f>
        <v>1</v>
      </c>
      <c r="E4750" s="19" t="n">
        <f aca="false">'SALES Raw'!D1476</f>
        <v>130</v>
      </c>
      <c r="F4750" s="19" t="n">
        <f aca="false">'SALES Raw'!E1476*$H$4</f>
        <v>0</v>
      </c>
      <c r="G4750" s="19" t="n">
        <f aca="false">'SALES Raw'!F1476*$H$4</f>
        <v>0</v>
      </c>
      <c r="H4750" s="18" t="str">
        <f aca="false">'SALES Raw'!A1476</f>
        <v>103 - Physiotherapy institutes</v>
      </c>
    </row>
    <row r="4751" customFormat="false" ht="15" hidden="false" customHeight="false" outlineLevel="0" collapsed="false">
      <c r="A4751" s="18" t="str">
        <f aca="false">'SALES Raw'!G1477</f>
        <v/>
      </c>
      <c r="B4751" s="18" t="str">
        <f aca="false">'SALES Raw'!B1477</f>
        <v>355 XL</v>
      </c>
      <c r="C4751" s="18" t="str">
        <f aca="false">'SALES Raw'!H1477</f>
        <v>355 XL</v>
      </c>
      <c r="D4751" s="19" t="n">
        <f aca="false">'SALES Raw'!C1477</f>
        <v>1</v>
      </c>
      <c r="E4751" s="19" t="n">
        <f aca="false">'SALES Raw'!D1477</f>
        <v>130</v>
      </c>
      <c r="F4751" s="19" t="n">
        <f aca="false">'SALES Raw'!E1477*$H$4</f>
        <v>0</v>
      </c>
      <c r="G4751" s="19" t="n">
        <f aca="false">'SALES Raw'!F1477*$H$4</f>
        <v>0</v>
      </c>
      <c r="H4751" s="18" t="str">
        <f aca="false">'SALES Raw'!A1477</f>
        <v>103 - Physiotherapy institutes</v>
      </c>
    </row>
    <row r="4752" customFormat="false" ht="15" hidden="false" customHeight="false" outlineLevel="0" collapsed="false">
      <c r="A4752" s="18" t="n">
        <f aca="false">'SALES Raw'!G1481</f>
        <v>4408263</v>
      </c>
      <c r="B4752" s="18" t="str">
        <f aca="false">'SALES Raw'!B1481</f>
        <v>11STO XXL</v>
      </c>
      <c r="C4752" s="18" t="str">
        <f aca="false">'SALES Raw'!H1481</f>
        <v>11STO XXL חגורה אחרי ניתוח</v>
      </c>
      <c r="D4752" s="19" t="n">
        <f aca="false">'SALES Raw'!C1481</f>
        <v>1</v>
      </c>
      <c r="E4752" s="19" t="n">
        <f aca="false">'SALES Raw'!D1481</f>
        <v>105</v>
      </c>
      <c r="F4752" s="19" t="n">
        <f aca="false">'SALES Raw'!E1481*$H$4</f>
        <v>0</v>
      </c>
      <c r="G4752" s="19" t="n">
        <f aca="false">'SALES Raw'!F1481*$H$4</f>
        <v>0</v>
      </c>
      <c r="H4752" s="18" t="str">
        <f aca="false">'SALES Raw'!A1481</f>
        <v>103 - Physiotherapy institutes</v>
      </c>
    </row>
    <row r="4753" customFormat="false" ht="15" hidden="false" customHeight="false" outlineLevel="0" collapsed="false">
      <c r="A4753" s="18" t="str">
        <f aca="false">'SALES Raw'!G1482</f>
        <v/>
      </c>
      <c r="B4753" s="18" t="str">
        <f aca="false">'SALES Raw'!B1482</f>
        <v>422EU L</v>
      </c>
      <c r="C4753" s="18" t="str">
        <f aca="false">'SALES Raw'!H1482</f>
        <v>422EU L</v>
      </c>
      <c r="D4753" s="19" t="n">
        <f aca="false">'SALES Raw'!C1482</f>
        <v>1</v>
      </c>
      <c r="E4753" s="19" t="n">
        <f aca="false">'SALES Raw'!D1482</f>
        <v>85</v>
      </c>
      <c r="F4753" s="19" t="n">
        <f aca="false">'SALES Raw'!E1482*$H$4</f>
        <v>0</v>
      </c>
      <c r="G4753" s="19" t="n">
        <f aca="false">'SALES Raw'!F1482*$H$4</f>
        <v>0</v>
      </c>
      <c r="H4753" s="18" t="str">
        <f aca="false">'SALES Raw'!A1482</f>
        <v>103 - Physiotherapy institutes</v>
      </c>
    </row>
    <row r="4754" customFormat="false" ht="15" hidden="false" customHeight="false" outlineLevel="0" collapsed="false">
      <c r="A4754" s="18" t="n">
        <f aca="false">'SALES Raw'!G1483</f>
        <v>4413329</v>
      </c>
      <c r="B4754" s="18" t="str">
        <f aca="false">'SALES Raw'!B1483</f>
        <v>AC45X 0</v>
      </c>
      <c r="C4754" s="18" t="str">
        <f aca="false">'SALES Raw'!H1483</f>
        <v>AC45X מגן ברך עם תמיכות</v>
      </c>
      <c r="D4754" s="19" t="n">
        <f aca="false">'SALES Raw'!C1483</f>
        <v>3</v>
      </c>
      <c r="E4754" s="19" t="n">
        <f aca="false">'SALES Raw'!D1483</f>
        <v>220.76</v>
      </c>
      <c r="F4754" s="19" t="n">
        <f aca="false">'SALES Raw'!E1483*$H$4</f>
        <v>0</v>
      </c>
      <c r="G4754" s="19" t="n">
        <f aca="false">'SALES Raw'!F1483*$H$4</f>
        <v>0</v>
      </c>
      <c r="H4754" s="18" t="str">
        <f aca="false">'SALES Raw'!A1483</f>
        <v>103 - Physiotherapy institutes</v>
      </c>
    </row>
    <row r="4755" customFormat="false" ht="15" hidden="false" customHeight="false" outlineLevel="0" collapsed="false">
      <c r="A4755" s="18" t="n">
        <f aca="false">'SALES Raw'!G1484</f>
        <v>4414000</v>
      </c>
      <c r="B4755" s="18" t="str">
        <f aca="false">'SALES Raw'!B1484</f>
        <v>FC342 0</v>
      </c>
      <c r="C4755" s="18" t="str">
        <f aca="false">'SALES Raw'!H1484</f>
        <v>FC342-נוזל לציפורן חודרנית</v>
      </c>
      <c r="D4755" s="19" t="n">
        <f aca="false">'SALES Raw'!C1484</f>
        <v>2</v>
      </c>
      <c r="E4755" s="19" t="n">
        <f aca="false">'SALES Raw'!D1484</f>
        <v>72.7</v>
      </c>
      <c r="F4755" s="19" t="n">
        <f aca="false">'SALES Raw'!E1484*$H$4</f>
        <v>0</v>
      </c>
      <c r="G4755" s="19" t="n">
        <f aca="false">'SALES Raw'!F1484*$H$4</f>
        <v>0</v>
      </c>
      <c r="H4755" s="18" t="str">
        <f aca="false">'SALES Raw'!A1484</f>
        <v>103 - Physiotherapy institutes</v>
      </c>
    </row>
    <row r="4756" customFormat="false" ht="15" hidden="false" customHeight="false" outlineLevel="0" collapsed="false">
      <c r="A4756" s="18" t="n">
        <f aca="false">'SALES Raw'!G1486</f>
        <v>4413406</v>
      </c>
      <c r="B4756" s="18" t="str">
        <f aca="false">'SALES Raw'!B1486</f>
        <v>SC95 M</v>
      </c>
      <c r="C4756" s="18" t="str">
        <f aca="false">'SALES Raw'!H1486</f>
        <v>SC95 M מגן מרפק</v>
      </c>
      <c r="D4756" s="19" t="n">
        <f aca="false">'SALES Raw'!C1486</f>
        <v>1</v>
      </c>
      <c r="E4756" s="19" t="n">
        <f aca="false">'SALES Raw'!D1486</f>
        <v>77.29</v>
      </c>
      <c r="F4756" s="19" t="n">
        <f aca="false">'SALES Raw'!E1486*$H$4</f>
        <v>0</v>
      </c>
      <c r="G4756" s="19" t="n">
        <f aca="false">'SALES Raw'!F1486*$H$4</f>
        <v>0</v>
      </c>
      <c r="H4756" s="18" t="str">
        <f aca="false">'SALES Raw'!A1486</f>
        <v>103 - Physiotherapy institutes</v>
      </c>
    </row>
    <row r="4757" customFormat="false" ht="15" hidden="false" customHeight="false" outlineLevel="0" collapsed="false">
      <c r="A4757" s="18" t="n">
        <f aca="false">'SALES Raw'!G1490</f>
        <v>4413053</v>
      </c>
      <c r="B4757" s="18" t="str">
        <f aca="false">'SALES Raw'!B1490</f>
        <v>35C L</v>
      </c>
      <c r="C4757" s="18" t="str">
        <f aca="false">'SALES Raw'!H1490</f>
        <v>35C L מגן קרסול חום</v>
      </c>
      <c r="D4757" s="19" t="n">
        <f aca="false">'SALES Raw'!C1490</f>
        <v>4</v>
      </c>
      <c r="E4757" s="19" t="n">
        <f aca="false">'SALES Raw'!D1490</f>
        <v>120.1</v>
      </c>
      <c r="F4757" s="19" t="n">
        <f aca="false">'SALES Raw'!E1490*$H$4</f>
        <v>0</v>
      </c>
      <c r="G4757" s="19" t="n">
        <f aca="false">'SALES Raw'!F1490*$H$4</f>
        <v>0</v>
      </c>
      <c r="H4757" s="18" t="str">
        <f aca="false">'SALES Raw'!A1490</f>
        <v>103 - Physiotherapy institutes</v>
      </c>
    </row>
    <row r="4758" customFormat="false" ht="15" hidden="false" customHeight="false" outlineLevel="0" collapsed="false">
      <c r="A4758" s="18" t="n">
        <f aca="false">'SALES Raw'!G1491</f>
        <v>4413054</v>
      </c>
      <c r="B4758" s="18" t="str">
        <f aca="false">'SALES Raw'!B1491</f>
        <v>35C M</v>
      </c>
      <c r="C4758" s="18" t="str">
        <f aca="false">'SALES Raw'!H1491</f>
        <v>35C M מגן קרסול חום</v>
      </c>
      <c r="D4758" s="19" t="n">
        <f aca="false">'SALES Raw'!C1491</f>
        <v>5</v>
      </c>
      <c r="E4758" s="19" t="n">
        <f aca="false">'SALES Raw'!D1491</f>
        <v>151</v>
      </c>
      <c r="F4758" s="19" t="n">
        <f aca="false">'SALES Raw'!E1491*$H$4</f>
        <v>0</v>
      </c>
      <c r="G4758" s="19" t="n">
        <f aca="false">'SALES Raw'!F1491*$H$4</f>
        <v>0</v>
      </c>
      <c r="H4758" s="18" t="str">
        <f aca="false">'SALES Raw'!A1491</f>
        <v>103 - Physiotherapy institutes</v>
      </c>
    </row>
    <row r="4759" customFormat="false" ht="15" hidden="false" customHeight="false" outlineLevel="0" collapsed="false">
      <c r="A4759" s="18" t="n">
        <f aca="false">'SALES Raw'!G1492</f>
        <v>4413055</v>
      </c>
      <c r="B4759" s="18" t="str">
        <f aca="false">'SALES Raw'!B1492</f>
        <v>35C XL</v>
      </c>
      <c r="C4759" s="18" t="str">
        <f aca="false">'SALES Raw'!H1492</f>
        <v>35C XL מגן קרסול חום</v>
      </c>
      <c r="D4759" s="19" t="n">
        <f aca="false">'SALES Raw'!C1492</f>
        <v>4</v>
      </c>
      <c r="E4759" s="19" t="n">
        <f aca="false">'SALES Raw'!D1492</f>
        <v>120.1</v>
      </c>
      <c r="F4759" s="19" t="n">
        <f aca="false">'SALES Raw'!E1492*$H$4</f>
        <v>0</v>
      </c>
      <c r="G4759" s="19" t="n">
        <f aca="false">'SALES Raw'!F1492*$H$4</f>
        <v>0</v>
      </c>
      <c r="H4759" s="18" t="str">
        <f aca="false">'SALES Raw'!A1492</f>
        <v>103 - Physiotherapy institutes</v>
      </c>
    </row>
    <row r="4760" customFormat="false" ht="15" hidden="false" customHeight="false" outlineLevel="0" collapsed="false">
      <c r="A4760" s="18" t="str">
        <f aca="false">'SALES Raw'!G1493</f>
        <v/>
      </c>
      <c r="B4760" s="18" t="str">
        <f aca="false">'SALES Raw'!B1493</f>
        <v>35C XXL</v>
      </c>
      <c r="C4760" s="18" t="str">
        <f aca="false">'SALES Raw'!H1493</f>
        <v>35C XXL</v>
      </c>
      <c r="D4760" s="19" t="n">
        <f aca="false">'SALES Raw'!C1493</f>
        <v>3</v>
      </c>
      <c r="E4760" s="19" t="n">
        <f aca="false">'SALES Raw'!D1493</f>
        <v>89.21</v>
      </c>
      <c r="F4760" s="19" t="n">
        <f aca="false">'SALES Raw'!E1493*$H$4</f>
        <v>0</v>
      </c>
      <c r="G4760" s="19" t="n">
        <f aca="false">'SALES Raw'!F1493*$H$4</f>
        <v>0</v>
      </c>
      <c r="H4760" s="18" t="str">
        <f aca="false">'SALES Raw'!A1493</f>
        <v>103 - Physiotherapy institutes</v>
      </c>
    </row>
    <row r="4761" customFormat="false" ht="15" hidden="false" customHeight="false" outlineLevel="0" collapsed="false">
      <c r="A4761" s="18" t="n">
        <f aca="false">'SALES Raw'!G1500</f>
        <v>4408223</v>
      </c>
      <c r="B4761" s="18" t="str">
        <f aca="false">'SALES Raw'!B1500</f>
        <v>078G XXL</v>
      </c>
      <c r="C4761" s="18" t="str">
        <f aca="false">'SALES Raw'!H1500</f>
        <v>078G-XXLחגורת גב אפורה</v>
      </c>
      <c r="D4761" s="19" t="n">
        <f aca="false">'SALES Raw'!C1500</f>
        <v>4</v>
      </c>
      <c r="E4761" s="19" t="n">
        <f aca="false">'SALES Raw'!D1500</f>
        <v>300</v>
      </c>
      <c r="F4761" s="19" t="n">
        <f aca="false">'SALES Raw'!E1500*$H$4</f>
        <v>0</v>
      </c>
      <c r="G4761" s="19" t="n">
        <f aca="false">'SALES Raw'!F1500*$H$4</f>
        <v>0</v>
      </c>
      <c r="H4761" s="18" t="str">
        <f aca="false">'SALES Raw'!A1500</f>
        <v>103 - Physiotherapy institutes</v>
      </c>
    </row>
    <row r="4762" customFormat="false" ht="15" hidden="false" customHeight="false" outlineLevel="0" collapsed="false">
      <c r="A4762" s="18" t="str">
        <f aca="false">'SALES Raw'!G1501</f>
        <v/>
      </c>
      <c r="B4762" s="18" t="str">
        <f aca="false">'SALES Raw'!B1501</f>
        <v>422EBU L</v>
      </c>
      <c r="C4762" s="18" t="str">
        <f aca="false">'SALES Raw'!H1501</f>
        <v>422EBU L</v>
      </c>
      <c r="D4762" s="19" t="n">
        <f aca="false">'SALES Raw'!C1501</f>
        <v>6</v>
      </c>
      <c r="E4762" s="19" t="n">
        <f aca="false">'SALES Raw'!D1501</f>
        <v>692.38</v>
      </c>
      <c r="F4762" s="19" t="n">
        <f aca="false">'SALES Raw'!E1501*$H$4</f>
        <v>0</v>
      </c>
      <c r="G4762" s="19" t="n">
        <f aca="false">'SALES Raw'!F1501*$H$4</f>
        <v>0</v>
      </c>
      <c r="H4762" s="18" t="str">
        <f aca="false">'SALES Raw'!A1501</f>
        <v>103 - Physiotherapy institutes</v>
      </c>
    </row>
    <row r="4763" customFormat="false" ht="15" hidden="false" customHeight="false" outlineLevel="0" collapsed="false">
      <c r="A4763" s="18" t="str">
        <f aca="false">'SALES Raw'!G1502</f>
        <v/>
      </c>
      <c r="B4763" s="18" t="str">
        <f aca="false">'SALES Raw'!B1502</f>
        <v>422EBU M</v>
      </c>
      <c r="C4763" s="18" t="str">
        <f aca="false">'SALES Raw'!H1502</f>
        <v>422EBU M</v>
      </c>
      <c r="D4763" s="19" t="n">
        <f aca="false">'SALES Raw'!C1502</f>
        <v>5</v>
      </c>
      <c r="E4763" s="19" t="n">
        <f aca="false">'SALES Raw'!D1502</f>
        <v>450</v>
      </c>
      <c r="F4763" s="19" t="n">
        <f aca="false">'SALES Raw'!E1502*$H$4</f>
        <v>0</v>
      </c>
      <c r="G4763" s="19" t="n">
        <f aca="false">'SALES Raw'!F1502*$H$4</f>
        <v>0</v>
      </c>
      <c r="H4763" s="18" t="str">
        <f aca="false">'SALES Raw'!A1502</f>
        <v>103 - Physiotherapy institutes</v>
      </c>
    </row>
    <row r="4764" customFormat="false" ht="15" hidden="false" customHeight="false" outlineLevel="0" collapsed="false">
      <c r="A4764" s="18" t="str">
        <f aca="false">'SALES Raw'!G1503</f>
        <v/>
      </c>
      <c r="B4764" s="18" t="str">
        <f aca="false">'SALES Raw'!B1503</f>
        <v>422EBU XL</v>
      </c>
      <c r="C4764" s="18" t="str">
        <f aca="false">'SALES Raw'!H1503</f>
        <v>422EBU XL</v>
      </c>
      <c r="D4764" s="19" t="n">
        <f aca="false">'SALES Raw'!C1503</f>
        <v>6</v>
      </c>
      <c r="E4764" s="19" t="n">
        <f aca="false">'SALES Raw'!D1503</f>
        <v>618.7</v>
      </c>
      <c r="F4764" s="19" t="n">
        <f aca="false">'SALES Raw'!E1503*$H$4</f>
        <v>0</v>
      </c>
      <c r="G4764" s="19" t="n">
        <f aca="false">'SALES Raw'!F1503*$H$4</f>
        <v>0</v>
      </c>
      <c r="H4764" s="18" t="str">
        <f aca="false">'SALES Raw'!A1503</f>
        <v>103 - Physiotherapy institutes</v>
      </c>
    </row>
    <row r="4765" customFormat="false" ht="15" hidden="false" customHeight="false" outlineLevel="0" collapsed="false">
      <c r="A4765" s="18" t="n">
        <f aca="false">'SALES Raw'!G1506</f>
        <v>4408203</v>
      </c>
      <c r="B4765" s="18" t="str">
        <f aca="false">'SALES Raw'!B1506</f>
        <v>14 0</v>
      </c>
      <c r="C4765" s="18" t="str">
        <f aca="false">'SALES Raw'!H1506</f>
        <v>14 0 חגורה למנותחי בית חזה</v>
      </c>
      <c r="D4765" s="19" t="n">
        <f aca="false">'SALES Raw'!C1506</f>
        <v>1</v>
      </c>
      <c r="E4765" s="19" t="n">
        <f aca="false">'SALES Raw'!D1506</f>
        <v>165</v>
      </c>
      <c r="F4765" s="19" t="n">
        <f aca="false">'SALES Raw'!E1506*$H$4</f>
        <v>0</v>
      </c>
      <c r="G4765" s="19" t="n">
        <f aca="false">'SALES Raw'!F1506*$H$4</f>
        <v>0</v>
      </c>
      <c r="H4765" s="18" t="str">
        <f aca="false">'SALES Raw'!A1506</f>
        <v>103 - Physiotherapy institutes</v>
      </c>
    </row>
    <row r="4766" customFormat="false" ht="15" hidden="false" customHeight="false" outlineLevel="0" collapsed="false">
      <c r="A4766" s="18" t="str">
        <f aca="false">'SALES Raw'!G1507</f>
        <v/>
      </c>
      <c r="B4766" s="18" t="str">
        <f aca="false">'SALES Raw'!B1507</f>
        <v>15M L</v>
      </c>
      <c r="C4766" s="18" t="str">
        <f aca="false">'SALES Raw'!H1507</f>
        <v>15M L</v>
      </c>
      <c r="D4766" s="19" t="n">
        <f aca="false">'SALES Raw'!C1507</f>
        <v>1</v>
      </c>
      <c r="E4766" s="19" t="n">
        <f aca="false">'SALES Raw'!D1507</f>
        <v>85</v>
      </c>
      <c r="F4766" s="19" t="n">
        <f aca="false">'SALES Raw'!E1507*$H$4</f>
        <v>0</v>
      </c>
      <c r="G4766" s="19" t="n">
        <f aca="false">'SALES Raw'!F1507*$H$4</f>
        <v>0</v>
      </c>
      <c r="H4766" s="18" t="str">
        <f aca="false">'SALES Raw'!A1507</f>
        <v>103 - Physiotherapy institutes</v>
      </c>
    </row>
    <row r="4767" customFormat="false" ht="15" hidden="false" customHeight="false" outlineLevel="0" collapsed="false">
      <c r="A4767" s="18" t="str">
        <f aca="false">'SALES Raw'!G1508</f>
        <v/>
      </c>
      <c r="B4767" s="18" t="str">
        <f aca="false">'SALES Raw'!B1508</f>
        <v>15M XL</v>
      </c>
      <c r="C4767" s="18" t="str">
        <f aca="false">'SALES Raw'!H1508</f>
        <v>15M XL</v>
      </c>
      <c r="D4767" s="19" t="n">
        <f aca="false">'SALES Raw'!C1508</f>
        <v>1</v>
      </c>
      <c r="E4767" s="19" t="n">
        <f aca="false">'SALES Raw'!D1508</f>
        <v>85</v>
      </c>
      <c r="F4767" s="19" t="n">
        <f aca="false">'SALES Raw'!E1508*$H$4</f>
        <v>0</v>
      </c>
      <c r="G4767" s="19" t="n">
        <f aca="false">'SALES Raw'!F1508*$H$4</f>
        <v>0</v>
      </c>
      <c r="H4767" s="18" t="str">
        <f aca="false">'SALES Raw'!A1508</f>
        <v>103 - Physiotherapy institutes</v>
      </c>
    </row>
    <row r="4768" customFormat="false" ht="15" hidden="false" customHeight="false" outlineLevel="0" collapsed="false">
      <c r="A4768" s="18" t="n">
        <f aca="false">'SALES Raw'!G1510</f>
        <v>4413399</v>
      </c>
      <c r="B4768" s="18" t="str">
        <f aca="false">'SALES Raw'!B1510</f>
        <v>21 XS</v>
      </c>
      <c r="C4768" s="18" t="str">
        <f aca="false">'SALES Raw'!H1510</f>
        <v>21 XS מגן יד</v>
      </c>
      <c r="D4768" s="19" t="n">
        <f aca="false">'SALES Raw'!C1510</f>
        <v>1</v>
      </c>
      <c r="E4768" s="19" t="n">
        <f aca="false">'SALES Raw'!D1510</f>
        <v>39.8</v>
      </c>
      <c r="F4768" s="19" t="n">
        <f aca="false">'SALES Raw'!E1510*$H$4</f>
        <v>0</v>
      </c>
      <c r="G4768" s="19" t="n">
        <f aca="false">'SALES Raw'!F1510*$H$4</f>
        <v>0</v>
      </c>
      <c r="H4768" s="18" t="str">
        <f aca="false">'SALES Raw'!A1510</f>
        <v>103 - Physiotherapy institutes</v>
      </c>
    </row>
    <row r="4769" customFormat="false" ht="15" hidden="false" customHeight="false" outlineLevel="0" collapsed="false">
      <c r="A4769" s="18" t="n">
        <f aca="false">'SALES Raw'!G1512</f>
        <v>4413159</v>
      </c>
      <c r="B4769" s="18" t="str">
        <f aca="false">'SALES Raw'!B1512</f>
        <v>34+ S</v>
      </c>
      <c r="C4769" s="18" t="str">
        <f aca="false">'SALES Raw'!H1512</f>
        <v>34+ S מגן קרסול עקב סגור+רצוע</v>
      </c>
      <c r="D4769" s="19" t="n">
        <f aca="false">'SALES Raw'!C1512</f>
        <v>1</v>
      </c>
      <c r="E4769" s="19" t="n">
        <f aca="false">'SALES Raw'!D1512</f>
        <v>70.26</v>
      </c>
      <c r="F4769" s="19" t="n">
        <f aca="false">'SALES Raw'!E1512*$H$4</f>
        <v>0</v>
      </c>
      <c r="G4769" s="19" t="n">
        <f aca="false">'SALES Raw'!F1512*$H$4</f>
        <v>0</v>
      </c>
      <c r="H4769" s="18" t="str">
        <f aca="false">'SALES Raw'!A1512</f>
        <v>103 - Physiotherapy institutes</v>
      </c>
    </row>
    <row r="4770" customFormat="false" ht="15" hidden="false" customHeight="false" outlineLevel="0" collapsed="false">
      <c r="A4770" s="18" t="str">
        <f aca="false">'SALES Raw'!G1513</f>
        <v/>
      </c>
      <c r="B4770" s="18" t="str">
        <f aca="false">'SALES Raw'!B1513</f>
        <v>34+ XS</v>
      </c>
      <c r="C4770" s="18" t="str">
        <f aca="false">'SALES Raw'!H1513</f>
        <v>34+ XS</v>
      </c>
      <c r="D4770" s="19" t="n">
        <f aca="false">'SALES Raw'!C1513</f>
        <v>1</v>
      </c>
      <c r="E4770" s="19" t="n">
        <f aca="false">'SALES Raw'!D1513</f>
        <v>70.26</v>
      </c>
      <c r="F4770" s="19" t="n">
        <f aca="false">'SALES Raw'!E1513*$H$4</f>
        <v>0</v>
      </c>
      <c r="G4770" s="19" t="n">
        <f aca="false">'SALES Raw'!F1513*$H$4</f>
        <v>0</v>
      </c>
      <c r="H4770" s="18" t="str">
        <f aca="false">'SALES Raw'!A1513</f>
        <v>103 - Physiotherapy institutes</v>
      </c>
    </row>
    <row r="4771" customFormat="false" ht="15" hidden="false" customHeight="false" outlineLevel="0" collapsed="false">
      <c r="A4771" s="18" t="n">
        <f aca="false">'SALES Raw'!G1514</f>
        <v>4413494</v>
      </c>
      <c r="B4771" s="18" t="str">
        <f aca="false">'SALES Raw'!B1514</f>
        <v>35B XXL</v>
      </c>
      <c r="C4771" s="18" t="str">
        <f aca="false">'SALES Raw'!H1514</f>
        <v>35B XXL מגן קרסול שחור</v>
      </c>
      <c r="D4771" s="19" t="n">
        <f aca="false">'SALES Raw'!C1514</f>
        <v>1</v>
      </c>
      <c r="E4771" s="19" t="n">
        <f aca="false">'SALES Raw'!D1514</f>
        <v>30.89</v>
      </c>
      <c r="F4771" s="19" t="n">
        <f aca="false">'SALES Raw'!E1514*$H$4</f>
        <v>0</v>
      </c>
      <c r="G4771" s="19" t="n">
        <f aca="false">'SALES Raw'!F1514*$H$4</f>
        <v>0</v>
      </c>
      <c r="H4771" s="18" t="str">
        <f aca="false">'SALES Raw'!A1514</f>
        <v>103 - Physiotherapy institutes</v>
      </c>
    </row>
    <row r="4772" customFormat="false" ht="15" hidden="false" customHeight="false" outlineLevel="0" collapsed="false">
      <c r="A4772" s="18" t="str">
        <f aca="false">'SALES Raw'!G1516</f>
        <v/>
      </c>
      <c r="B4772" s="18" t="str">
        <f aca="false">'SALES Raw'!B1516</f>
        <v>422EBU S</v>
      </c>
      <c r="C4772" s="18" t="str">
        <f aca="false">'SALES Raw'!H1516</f>
        <v>422EBU S</v>
      </c>
      <c r="D4772" s="19" t="n">
        <f aca="false">'SALES Raw'!C1516</f>
        <v>3</v>
      </c>
      <c r="E4772" s="19" t="n">
        <f aca="false">'SALES Raw'!D1516</f>
        <v>285</v>
      </c>
      <c r="F4772" s="19" t="n">
        <f aca="false">'SALES Raw'!E1516*$H$4</f>
        <v>0</v>
      </c>
      <c r="G4772" s="19" t="n">
        <f aca="false">'SALES Raw'!F1516*$H$4</f>
        <v>0</v>
      </c>
      <c r="H4772" s="18" t="str">
        <f aca="false">'SALES Raw'!A1516</f>
        <v>103 - Physiotherapy institutes</v>
      </c>
    </row>
    <row r="4773" customFormat="false" ht="15" hidden="false" customHeight="false" outlineLevel="0" collapsed="false">
      <c r="A4773" s="18" t="str">
        <f aca="false">'SALES Raw'!G1517</f>
        <v/>
      </c>
      <c r="B4773" s="18" t="str">
        <f aca="false">'SALES Raw'!B1517</f>
        <v>422EBU XXL</v>
      </c>
      <c r="C4773" s="18" t="str">
        <f aca="false">'SALES Raw'!H1517</f>
        <v>422EBU XXL</v>
      </c>
      <c r="D4773" s="19" t="n">
        <f aca="false">'SALES Raw'!C1517</f>
        <v>2</v>
      </c>
      <c r="E4773" s="19" t="n">
        <f aca="false">'SALES Raw'!D1517</f>
        <v>190</v>
      </c>
      <c r="F4773" s="19" t="n">
        <f aca="false">'SALES Raw'!E1517*$H$4</f>
        <v>0</v>
      </c>
      <c r="G4773" s="19" t="n">
        <f aca="false">'SALES Raw'!F1517*$H$4</f>
        <v>0</v>
      </c>
      <c r="H4773" s="18" t="str">
        <f aca="false">'SALES Raw'!A1517</f>
        <v>103 - Physiotherapy institutes</v>
      </c>
    </row>
    <row r="4774" customFormat="false" ht="15" hidden="false" customHeight="false" outlineLevel="0" collapsed="false">
      <c r="A4774" s="18" t="n">
        <f aca="false">'SALES Raw'!G1519</f>
        <v>4413112</v>
      </c>
      <c r="B4774" s="18" t="str">
        <f aca="false">'SALES Raw'!B1519</f>
        <v>49 L</v>
      </c>
      <c r="C4774" s="18" t="str">
        <f aca="false">'SALES Raw'!H1519</f>
        <v>49  L מגן ירך</v>
      </c>
      <c r="D4774" s="19" t="n">
        <f aca="false">'SALES Raw'!C1519</f>
        <v>2</v>
      </c>
      <c r="E4774" s="19" t="n">
        <f aca="false">'SALES Raw'!D1519</f>
        <v>68.15</v>
      </c>
      <c r="F4774" s="19" t="n">
        <f aca="false">'SALES Raw'!E1519*$H$4</f>
        <v>0</v>
      </c>
      <c r="G4774" s="19" t="n">
        <f aca="false">'SALES Raw'!F1519*$H$4</f>
        <v>0</v>
      </c>
      <c r="H4774" s="18" t="str">
        <f aca="false">'SALES Raw'!A1519</f>
        <v>103 - Physiotherapy institutes</v>
      </c>
    </row>
    <row r="4775" customFormat="false" ht="15" hidden="false" customHeight="false" outlineLevel="0" collapsed="false">
      <c r="A4775" s="18" t="n">
        <f aca="false">'SALES Raw'!G1521</f>
        <v>4413114</v>
      </c>
      <c r="B4775" s="18" t="str">
        <f aca="false">'SALES Raw'!B1521</f>
        <v>49 XL</v>
      </c>
      <c r="C4775" s="18" t="str">
        <f aca="false">'SALES Raw'!H1521</f>
        <v>49 XL מגן ירך</v>
      </c>
      <c r="D4775" s="19" t="n">
        <f aca="false">'SALES Raw'!C1521</f>
        <v>2</v>
      </c>
      <c r="E4775" s="19" t="n">
        <f aca="false">'SALES Raw'!D1521</f>
        <v>68.15</v>
      </c>
      <c r="F4775" s="19" t="n">
        <f aca="false">'SALES Raw'!E1521*$H$4</f>
        <v>0</v>
      </c>
      <c r="G4775" s="19" t="n">
        <f aca="false">'SALES Raw'!F1521*$H$4</f>
        <v>0</v>
      </c>
      <c r="H4775" s="18" t="str">
        <f aca="false">'SALES Raw'!A1521</f>
        <v>103 - Physiotherapy institutes</v>
      </c>
    </row>
    <row r="4776" customFormat="false" ht="15" hidden="false" customHeight="false" outlineLevel="0" collapsed="false">
      <c r="A4776" s="18" t="n">
        <f aca="false">'SALES Raw'!G1526</f>
        <v>4418003</v>
      </c>
      <c r="B4776" s="18" t="str">
        <f aca="false">'SALES Raw'!B1526</f>
        <v>60 XL</v>
      </c>
      <c r="C4776" s="18" t="str">
        <f aca="false">'SALES Raw'!H1526</f>
        <v>60 XL צוארון ספוגי</v>
      </c>
      <c r="D4776" s="19" t="n">
        <f aca="false">'SALES Raw'!C1526</f>
        <v>1</v>
      </c>
      <c r="E4776" s="19" t="n">
        <f aca="false">'SALES Raw'!D1526</f>
        <v>49.63</v>
      </c>
      <c r="F4776" s="19" t="n">
        <f aca="false">'SALES Raw'!E1526*$H$4</f>
        <v>0</v>
      </c>
      <c r="G4776" s="19" t="n">
        <f aca="false">'SALES Raw'!F1526*$H$4</f>
        <v>0</v>
      </c>
      <c r="H4776" s="18" t="str">
        <f aca="false">'SALES Raw'!A1526</f>
        <v>103 - Physiotherapy institutes</v>
      </c>
    </row>
    <row r="4777" customFormat="false" ht="15" hidden="false" customHeight="false" outlineLevel="0" collapsed="false">
      <c r="A4777" s="18" t="str">
        <f aca="false">'SALES Raw'!G1528</f>
        <v/>
      </c>
      <c r="B4777" s="18" t="str">
        <f aca="false">'SALES Raw'!B1528</f>
        <v>60 XXL</v>
      </c>
      <c r="C4777" s="18" t="str">
        <f aca="false">'SALES Raw'!H1528</f>
        <v>60 XXL</v>
      </c>
      <c r="D4777" s="19" t="n">
        <f aca="false">'SALES Raw'!C1528</f>
        <v>1</v>
      </c>
      <c r="E4777" s="19" t="n">
        <f aca="false">'SALES Raw'!D1528</f>
        <v>49.63</v>
      </c>
      <c r="F4777" s="19" t="n">
        <f aca="false">'SALES Raw'!E1528*$H$4</f>
        <v>0</v>
      </c>
      <c r="G4777" s="19" t="n">
        <f aca="false">'SALES Raw'!F1528*$H$4</f>
        <v>0</v>
      </c>
      <c r="H4777" s="18" t="str">
        <f aca="false">'SALES Raw'!A1528</f>
        <v>103 - Physiotherapy institutes</v>
      </c>
    </row>
    <row r="4778" customFormat="false" ht="15" hidden="false" customHeight="false" outlineLevel="0" collapsed="false">
      <c r="A4778" s="18" t="str">
        <f aca="false">'SALES Raw'!G1537</f>
        <v/>
      </c>
      <c r="B4778" s="18" t="str">
        <f aca="false">'SALES Raw'!B1537</f>
        <v>922 XXL</v>
      </c>
      <c r="C4778" s="18" t="str">
        <f aca="false">'SALES Raw'!H1537</f>
        <v>922 XXL</v>
      </c>
      <c r="D4778" s="19" t="n">
        <f aca="false">'SALES Raw'!C1537</f>
        <v>1</v>
      </c>
      <c r="E4778" s="19" t="n">
        <f aca="false">'SALES Raw'!D1537</f>
        <v>90</v>
      </c>
      <c r="F4778" s="19" t="n">
        <f aca="false">'SALES Raw'!E1537*$H$4</f>
        <v>0</v>
      </c>
      <c r="G4778" s="19" t="n">
        <f aca="false">'SALES Raw'!F1537*$H$4</f>
        <v>0</v>
      </c>
      <c r="H4778" s="18" t="str">
        <f aca="false">'SALES Raw'!A1537</f>
        <v>103 - Physiotherapy institutes</v>
      </c>
    </row>
    <row r="4779" customFormat="false" ht="15" hidden="false" customHeight="false" outlineLevel="0" collapsed="false">
      <c r="A4779" s="18" t="str">
        <f aca="false">'SALES Raw'!G1538</f>
        <v/>
      </c>
      <c r="B4779" s="18" t="str">
        <f aca="false">'SALES Raw'!B1538</f>
        <v>922B L</v>
      </c>
      <c r="C4779" s="18" t="str">
        <f aca="false">'SALES Raw'!H1538</f>
        <v>922B L</v>
      </c>
      <c r="D4779" s="19" t="n">
        <f aca="false">'SALES Raw'!C1538</f>
        <v>2</v>
      </c>
      <c r="E4779" s="19" t="n">
        <f aca="false">'SALES Raw'!D1538</f>
        <v>201.97</v>
      </c>
      <c r="F4779" s="19" t="n">
        <f aca="false">'SALES Raw'!E1538*$H$4</f>
        <v>0</v>
      </c>
      <c r="G4779" s="19" t="n">
        <f aca="false">'SALES Raw'!F1538*$H$4</f>
        <v>0</v>
      </c>
      <c r="H4779" s="18" t="str">
        <f aca="false">'SALES Raw'!A1538</f>
        <v>103 - Physiotherapy institutes</v>
      </c>
    </row>
    <row r="4780" customFormat="false" ht="15" hidden="false" customHeight="false" outlineLevel="0" collapsed="false">
      <c r="A4780" s="18" t="str">
        <f aca="false">'SALES Raw'!G1539</f>
        <v/>
      </c>
      <c r="B4780" s="18" t="str">
        <f aca="false">'SALES Raw'!B1539</f>
        <v>922B M</v>
      </c>
      <c r="C4780" s="18" t="str">
        <f aca="false">'SALES Raw'!H1539</f>
        <v>922B M</v>
      </c>
      <c r="D4780" s="19" t="n">
        <f aca="false">'SALES Raw'!C1539</f>
        <v>1</v>
      </c>
      <c r="E4780" s="19" t="n">
        <f aca="false">'SALES Raw'!D1539</f>
        <v>60</v>
      </c>
      <c r="F4780" s="19" t="n">
        <f aca="false">'SALES Raw'!E1539*$H$4</f>
        <v>0</v>
      </c>
      <c r="G4780" s="19" t="n">
        <f aca="false">'SALES Raw'!F1539*$H$4</f>
        <v>0</v>
      </c>
      <c r="H4780" s="18" t="str">
        <f aca="false">'SALES Raw'!A1539</f>
        <v>103 - Physiotherapy institutes</v>
      </c>
    </row>
    <row r="4781" customFormat="false" ht="15" hidden="false" customHeight="false" outlineLevel="0" collapsed="false">
      <c r="A4781" s="18" t="str">
        <f aca="false">'SALES Raw'!G1541</f>
        <v/>
      </c>
      <c r="B4781" s="18" t="str">
        <f aca="false">'SALES Raw'!B1541</f>
        <v>95B XS</v>
      </c>
      <c r="C4781" s="18" t="str">
        <f aca="false">'SALES Raw'!H1541</f>
        <v>95B XS</v>
      </c>
      <c r="D4781" s="19" t="n">
        <f aca="false">'SALES Raw'!C1541</f>
        <v>1</v>
      </c>
      <c r="E4781" s="19" t="n">
        <f aca="false">'SALES Raw'!D1541</f>
        <v>30.89</v>
      </c>
      <c r="F4781" s="19" t="n">
        <f aca="false">'SALES Raw'!E1541*$H$4</f>
        <v>0</v>
      </c>
      <c r="G4781" s="19" t="n">
        <f aca="false">'SALES Raw'!F1541*$H$4</f>
        <v>0</v>
      </c>
      <c r="H4781" s="18" t="str">
        <f aca="false">'SALES Raw'!A1541</f>
        <v>103 - Physiotherapy institutes</v>
      </c>
    </row>
    <row r="4782" customFormat="false" ht="15" hidden="false" customHeight="false" outlineLevel="0" collapsed="false">
      <c r="A4782" s="18" t="n">
        <f aca="false">'SALES Raw'!G1542</f>
        <v>4413504</v>
      </c>
      <c r="B4782" s="18" t="str">
        <f aca="false">'SALES Raw'!B1542</f>
        <v>95B XXL</v>
      </c>
      <c r="C4782" s="18" t="str">
        <f aca="false">'SALES Raw'!H1542</f>
        <v>95B XXLמגן מרפק שחור</v>
      </c>
      <c r="D4782" s="19" t="n">
        <f aca="false">'SALES Raw'!C1542</f>
        <v>2</v>
      </c>
      <c r="E4782" s="19" t="n">
        <f aca="false">'SALES Raw'!D1542</f>
        <v>61.78</v>
      </c>
      <c r="F4782" s="19" t="n">
        <f aca="false">'SALES Raw'!E1542*$H$4</f>
        <v>0</v>
      </c>
      <c r="G4782" s="19" t="n">
        <f aca="false">'SALES Raw'!F1542*$H$4</f>
        <v>0</v>
      </c>
      <c r="H4782" s="18" t="str">
        <f aca="false">'SALES Raw'!A1542</f>
        <v>103 - Physiotherapy institutes</v>
      </c>
    </row>
    <row r="4783" customFormat="false" ht="15" hidden="false" customHeight="false" outlineLevel="0" collapsed="false">
      <c r="A4783" s="18" t="n">
        <f aca="false">'SALES Raw'!G1545</f>
        <v>4403035</v>
      </c>
      <c r="B4783" s="18" t="str">
        <f aca="false">'SALES Raw'!B1545</f>
        <v>ST3555-L-XL</v>
      </c>
      <c r="C4783" s="18" t="str">
        <f aca="false">'SALES Raw'!H1545</f>
        <v>ST3555L-XLגרב לילה לטיפ.בדורבן</v>
      </c>
      <c r="D4783" s="19" t="n">
        <f aca="false">'SALES Raw'!C1545</f>
        <v>2</v>
      </c>
      <c r="E4783" s="19" t="n">
        <f aca="false">'SALES Raw'!D1545</f>
        <v>110</v>
      </c>
      <c r="F4783" s="19" t="n">
        <f aca="false">'SALES Raw'!E1545*$H$4</f>
        <v>0</v>
      </c>
      <c r="G4783" s="19" t="n">
        <f aca="false">'SALES Raw'!F1545*$H$4</f>
        <v>0</v>
      </c>
      <c r="H4783" s="18" t="str">
        <f aca="false">'SALES Raw'!A1545</f>
        <v>103 - Physiotherapy institutes</v>
      </c>
    </row>
    <row r="4784" customFormat="false" ht="15" hidden="false" customHeight="false" outlineLevel="0" collapsed="false">
      <c r="A4784" s="18" t="n">
        <f aca="false">'SALES Raw'!G1546</f>
        <v>4403034</v>
      </c>
      <c r="B4784" s="18" t="str">
        <f aca="false">'SALES Raw'!B1546</f>
        <v>ST3555-S-M</v>
      </c>
      <c r="C4784" s="18" t="str">
        <f aca="false">'SALES Raw'!H1546</f>
        <v>ST3555 S-Mגרב לילה לטיפ.בדורבן</v>
      </c>
      <c r="D4784" s="19" t="n">
        <f aca="false">'SALES Raw'!C1546</f>
        <v>2</v>
      </c>
      <c r="E4784" s="19" t="n">
        <f aca="false">'SALES Raw'!D1546</f>
        <v>110</v>
      </c>
      <c r="F4784" s="19" t="n">
        <f aca="false">'SALES Raw'!E1546*$H$4</f>
        <v>0</v>
      </c>
      <c r="G4784" s="19" t="n">
        <f aca="false">'SALES Raw'!F1546*$H$4</f>
        <v>0</v>
      </c>
      <c r="H4784" s="18" t="str">
        <f aca="false">'SALES Raw'!A1546</f>
        <v>103 - Physiotherapy institutes</v>
      </c>
    </row>
    <row r="4785" customFormat="false" ht="15" hidden="false" customHeight="false" outlineLevel="0" collapsed="false">
      <c r="A4785" s="18" t="str">
        <f aca="false">'SALES Raw'!G1548</f>
        <v/>
      </c>
      <c r="B4785" s="18" t="str">
        <f aca="false">'SALES Raw'!B1548</f>
        <v>T402 M</v>
      </c>
      <c r="C4785" s="18" t="str">
        <f aca="false">'SALES Raw'!H1548</f>
        <v>T402 M</v>
      </c>
      <c r="D4785" s="19" t="n">
        <f aca="false">'SALES Raw'!C1548</f>
        <v>1</v>
      </c>
      <c r="E4785" s="19" t="n">
        <f aca="false">'SALES Raw'!D1548</f>
        <v>94.63</v>
      </c>
      <c r="F4785" s="19" t="n">
        <f aca="false">'SALES Raw'!E1548*$H$4</f>
        <v>0</v>
      </c>
      <c r="G4785" s="19" t="n">
        <f aca="false">'SALES Raw'!F1548*$H$4</f>
        <v>0</v>
      </c>
      <c r="H4785" s="18" t="str">
        <f aca="false">'SALES Raw'!A1548</f>
        <v>103 - Physiotherapy institutes</v>
      </c>
    </row>
    <row r="4786" customFormat="false" ht="15" hidden="false" customHeight="false" outlineLevel="0" collapsed="false">
      <c r="A4786" s="18" t="n">
        <f aca="false">'SALES Raw'!G1549</f>
        <v>4408029</v>
      </c>
      <c r="B4786" s="18" t="str">
        <f aca="false">'SALES Raw'!B1549</f>
        <v>10 XL</v>
      </c>
      <c r="C4786" s="18" t="str">
        <f aca="false">'SALES Raw'!H1549</f>
        <v>10 XL """"חגורת גב """"לומבו</v>
      </c>
      <c r="D4786" s="19" t="n">
        <f aca="false">'SALES Raw'!C1549</f>
        <v>1</v>
      </c>
      <c r="E4786" s="19" t="n">
        <f aca="false">'SALES Raw'!D1549</f>
        <v>151.23</v>
      </c>
      <c r="F4786" s="19" t="n">
        <f aca="false">'SALES Raw'!E1549*$H$4</f>
        <v>0</v>
      </c>
      <c r="G4786" s="19" t="n">
        <f aca="false">'SALES Raw'!F1549*$H$4</f>
        <v>0</v>
      </c>
      <c r="H4786" s="18" t="str">
        <f aca="false">'SALES Raw'!A1549</f>
        <v>103 - Physiotherapy institutes</v>
      </c>
    </row>
    <row r="4787" customFormat="false" ht="15" hidden="false" customHeight="false" outlineLevel="0" collapsed="false">
      <c r="A4787" s="18" t="n">
        <f aca="false">'SALES Raw'!G1551</f>
        <v>4415005</v>
      </c>
      <c r="B4787" s="18" t="str">
        <f aca="false">'SALES Raw'!B1551</f>
        <v>28 L</v>
      </c>
      <c r="C4787" s="18" t="str">
        <f aca="false">'SALES Raw'!H1551</f>
        <v>28 L סד לאגודל לאחר שבר</v>
      </c>
      <c r="D4787" s="19" t="n">
        <f aca="false">'SALES Raw'!C1551</f>
        <v>1</v>
      </c>
      <c r="E4787" s="19" t="n">
        <f aca="false">'SALES Raw'!D1551</f>
        <v>103.07</v>
      </c>
      <c r="F4787" s="19" t="n">
        <f aca="false">'SALES Raw'!E1551*$H$4</f>
        <v>0</v>
      </c>
      <c r="G4787" s="19" t="n">
        <f aca="false">'SALES Raw'!F1551*$H$4</f>
        <v>0</v>
      </c>
      <c r="H4787" s="18" t="str">
        <f aca="false">'SALES Raw'!A1551</f>
        <v>103 - Physiotherapy institutes</v>
      </c>
    </row>
    <row r="4788" customFormat="false" ht="15" hidden="false" customHeight="false" outlineLevel="0" collapsed="false">
      <c r="A4788" s="18" t="n">
        <f aca="false">'SALES Raw'!G1552</f>
        <v>4415006</v>
      </c>
      <c r="B4788" s="18" t="str">
        <f aca="false">'SALES Raw'!B1552</f>
        <v>28 M</v>
      </c>
      <c r="C4788" s="18" t="str">
        <f aca="false">'SALES Raw'!H1552</f>
        <v>28 M סד לאגודל לאחר שבר</v>
      </c>
      <c r="D4788" s="19" t="n">
        <f aca="false">'SALES Raw'!C1552</f>
        <v>1</v>
      </c>
      <c r="E4788" s="19" t="n">
        <f aca="false">'SALES Raw'!D1552</f>
        <v>103.07</v>
      </c>
      <c r="F4788" s="19" t="n">
        <f aca="false">'SALES Raw'!E1552*$H$4</f>
        <v>0</v>
      </c>
      <c r="G4788" s="19" t="n">
        <f aca="false">'SALES Raw'!F1552*$H$4</f>
        <v>0</v>
      </c>
      <c r="H4788" s="18" t="str">
        <f aca="false">'SALES Raw'!A1552</f>
        <v>103 - Physiotherapy institutes</v>
      </c>
    </row>
    <row r="4789" customFormat="false" ht="15" hidden="false" customHeight="false" outlineLevel="0" collapsed="false">
      <c r="A4789" s="18" t="n">
        <f aca="false">'SALES Raw'!G1558</f>
        <v>4408084</v>
      </c>
      <c r="B4789" s="18" t="str">
        <f aca="false">'SALES Raw'!B1558</f>
        <v>922 L</v>
      </c>
      <c r="C4789" s="18" t="str">
        <f aca="false">'SALES Raw'!H1558</f>
        <v>922L.חבק יד לטניס כרית סיליק</v>
      </c>
      <c r="D4789" s="19" t="n">
        <f aca="false">'SALES Raw'!C1558</f>
        <v>1</v>
      </c>
      <c r="E4789" s="19" t="n">
        <f aca="false">'SALES Raw'!D1558</f>
        <v>90</v>
      </c>
      <c r="F4789" s="19" t="n">
        <f aca="false">'SALES Raw'!E1558*$H$4</f>
        <v>0</v>
      </c>
      <c r="G4789" s="19" t="n">
        <f aca="false">'SALES Raw'!F1558*$H$4</f>
        <v>0</v>
      </c>
      <c r="H4789" s="18" t="str">
        <f aca="false">'SALES Raw'!A1558</f>
        <v>103 - Physiotherapy institutes</v>
      </c>
    </row>
    <row r="4790" customFormat="false" ht="15" hidden="false" customHeight="false" outlineLevel="0" collapsed="false">
      <c r="A4790" s="18" t="str">
        <f aca="false">'SALES Raw'!G1559</f>
        <v/>
      </c>
      <c r="B4790" s="18" t="str">
        <f aca="false">'SALES Raw'!B1559</f>
        <v>922 M</v>
      </c>
      <c r="C4790" s="18" t="str">
        <f aca="false">'SALES Raw'!H1559</f>
        <v>922 M</v>
      </c>
      <c r="D4790" s="19" t="n">
        <f aca="false">'SALES Raw'!C1559</f>
        <v>1</v>
      </c>
      <c r="E4790" s="19" t="n">
        <f aca="false">'SALES Raw'!D1559</f>
        <v>90</v>
      </c>
      <c r="F4790" s="19" t="n">
        <f aca="false">'SALES Raw'!E1559*$H$4</f>
        <v>0</v>
      </c>
      <c r="G4790" s="19" t="n">
        <f aca="false">'SALES Raw'!F1559*$H$4</f>
        <v>0</v>
      </c>
      <c r="H4790" s="18" t="str">
        <f aca="false">'SALES Raw'!A1559</f>
        <v>103 - Physiotherapy institutes</v>
      </c>
    </row>
    <row r="4791" customFormat="false" ht="15" hidden="false" customHeight="false" outlineLevel="0" collapsed="false">
      <c r="A4791" s="18" t="str">
        <f aca="false">'SALES Raw'!G1561</f>
        <v/>
      </c>
      <c r="B4791" s="18" t="str">
        <f aca="false">'SALES Raw'!B1561</f>
        <v>T90 0</v>
      </c>
      <c r="C4791" s="18" t="str">
        <f aca="false">'SALES Raw'!H1561</f>
        <v>T90 0</v>
      </c>
      <c r="D4791" s="19" t="n">
        <f aca="false">'SALES Raw'!C1561</f>
        <v>2</v>
      </c>
      <c r="E4791" s="19" t="n">
        <f aca="false">'SALES Raw'!D1561</f>
        <v>140</v>
      </c>
      <c r="F4791" s="19" t="n">
        <f aca="false">'SALES Raw'!E1561*$H$4</f>
        <v>0</v>
      </c>
      <c r="G4791" s="19" t="n">
        <f aca="false">'SALES Raw'!F1561*$H$4</f>
        <v>0</v>
      </c>
      <c r="H4791" s="18" t="str">
        <f aca="false">'SALES Raw'!A1561</f>
        <v>103 - Physiotherapy institutes</v>
      </c>
    </row>
    <row r="4792" customFormat="false" ht="15" hidden="false" customHeight="false" outlineLevel="0" collapsed="false">
      <c r="A4792" s="18" t="n">
        <f aca="false">'SALES Raw'!G1562</f>
        <v>4413098</v>
      </c>
      <c r="B4792" s="18" t="str">
        <f aca="false">'SALES Raw'!B1562</f>
        <v>45C L</v>
      </c>
      <c r="C4792" s="18" t="str">
        <f aca="false">'SALES Raw'!H1562</f>
        <v>45C L מגן ברך חום</v>
      </c>
      <c r="D4792" s="19" t="n">
        <f aca="false">'SALES Raw'!C1562</f>
        <v>3</v>
      </c>
      <c r="E4792" s="19" t="n">
        <f aca="false">'SALES Raw'!D1562</f>
        <v>92.68</v>
      </c>
      <c r="F4792" s="19" t="n">
        <f aca="false">'SALES Raw'!E1562*$H$4</f>
        <v>0</v>
      </c>
      <c r="G4792" s="19" t="n">
        <f aca="false">'SALES Raw'!F1562*$H$4</f>
        <v>0</v>
      </c>
      <c r="H4792" s="18" t="str">
        <f aca="false">'SALES Raw'!A1562</f>
        <v>103 - Physiotherapy institutes</v>
      </c>
    </row>
    <row r="4793" customFormat="false" ht="15" hidden="false" customHeight="false" outlineLevel="0" collapsed="false">
      <c r="A4793" s="18" t="str">
        <f aca="false">'SALES Raw'!G1576</f>
        <v/>
      </c>
      <c r="B4793" s="18" t="str">
        <f aca="false">'SALES Raw'!B1576</f>
        <v>322B M</v>
      </c>
      <c r="C4793" s="18" t="str">
        <f aca="false">'SALES Raw'!H1576</f>
        <v>322B M</v>
      </c>
      <c r="D4793" s="19" t="n">
        <f aca="false">'SALES Raw'!C1576</f>
        <v>1</v>
      </c>
      <c r="E4793" s="19" t="n">
        <f aca="false">'SALES Raw'!D1576</f>
        <v>70</v>
      </c>
      <c r="F4793" s="19" t="n">
        <f aca="false">'SALES Raw'!E1576*$H$4</f>
        <v>0</v>
      </c>
      <c r="G4793" s="19" t="n">
        <f aca="false">'SALES Raw'!F1576*$H$4</f>
        <v>0</v>
      </c>
      <c r="H4793" s="18" t="str">
        <f aca="false">'SALES Raw'!A1576</f>
        <v>103 - Physiotherapy institutes</v>
      </c>
    </row>
    <row r="4794" customFormat="false" ht="15" hidden="false" customHeight="false" outlineLevel="0" collapsed="false">
      <c r="A4794" s="18" t="n">
        <f aca="false">'SALES Raw'!G1577</f>
        <v>4413048</v>
      </c>
      <c r="B4794" s="18" t="str">
        <f aca="false">'SALES Raw'!B1577</f>
        <v>35 L</v>
      </c>
      <c r="C4794" s="18" t="str">
        <f aca="false">'SALES Raw'!H1577</f>
        <v>35 L מגן קרסול לבן</v>
      </c>
      <c r="D4794" s="19" t="n">
        <f aca="false">'SALES Raw'!C1577</f>
        <v>1</v>
      </c>
      <c r="E4794" s="19" t="n">
        <f aca="false">'SALES Raw'!D1577</f>
        <v>30.89</v>
      </c>
      <c r="F4794" s="19" t="n">
        <f aca="false">'SALES Raw'!E1577*$H$4</f>
        <v>0</v>
      </c>
      <c r="G4794" s="19" t="n">
        <f aca="false">'SALES Raw'!F1577*$H$4</f>
        <v>0</v>
      </c>
      <c r="H4794" s="18" t="str">
        <f aca="false">'SALES Raw'!A1577</f>
        <v>103 - Physiotherapy institutes</v>
      </c>
    </row>
    <row r="4795" customFormat="false" ht="15" hidden="false" customHeight="false" outlineLevel="0" collapsed="false">
      <c r="A4795" s="18" t="n">
        <f aca="false">'SALES Raw'!G1579</f>
        <v>4413050</v>
      </c>
      <c r="B4795" s="18" t="str">
        <f aca="false">'SALES Raw'!B1579</f>
        <v>35 XL</v>
      </c>
      <c r="C4795" s="18" t="str">
        <f aca="false">'SALES Raw'!H1579</f>
        <v>35 XL מגן קרסול לבן</v>
      </c>
      <c r="D4795" s="19" t="n">
        <f aca="false">'SALES Raw'!C1579</f>
        <v>1</v>
      </c>
      <c r="E4795" s="19" t="n">
        <f aca="false">'SALES Raw'!D1579</f>
        <v>30.89</v>
      </c>
      <c r="F4795" s="19" t="n">
        <f aca="false">'SALES Raw'!E1579*$H$4</f>
        <v>0</v>
      </c>
      <c r="G4795" s="19" t="n">
        <f aca="false">'SALES Raw'!F1579*$H$4</f>
        <v>0</v>
      </c>
      <c r="H4795" s="18" t="str">
        <f aca="false">'SALES Raw'!A1579</f>
        <v>103 - Physiotherapy institutes</v>
      </c>
    </row>
    <row r="4796" customFormat="false" ht="15" hidden="false" customHeight="false" outlineLevel="0" collapsed="false">
      <c r="A4796" s="18" t="n">
        <f aca="false">'SALES Raw'!G1580</f>
        <v>4413052</v>
      </c>
      <c r="B4796" s="18" t="str">
        <f aca="false">'SALES Raw'!B1580</f>
        <v>35C S</v>
      </c>
      <c r="C4796" s="18" t="str">
        <f aca="false">'SALES Raw'!H1580</f>
        <v>35C S מגן קרסול חום</v>
      </c>
      <c r="D4796" s="19" t="n">
        <f aca="false">'SALES Raw'!C1580</f>
        <v>2</v>
      </c>
      <c r="E4796" s="19" t="n">
        <f aca="false">'SALES Raw'!D1580</f>
        <v>61.78</v>
      </c>
      <c r="F4796" s="19" t="n">
        <f aca="false">'SALES Raw'!E1580*$H$4</f>
        <v>0</v>
      </c>
      <c r="G4796" s="19" t="n">
        <f aca="false">'SALES Raw'!F1580*$H$4</f>
        <v>0</v>
      </c>
      <c r="H4796" s="18" t="str">
        <f aca="false">'SALES Raw'!A1580</f>
        <v>103 - Physiotherapy institutes</v>
      </c>
    </row>
    <row r="4797" customFormat="false" ht="15" hidden="false" customHeight="false" outlineLevel="0" collapsed="false">
      <c r="A4797" s="18" t="str">
        <f aca="false">'SALES Raw'!G1581</f>
        <v/>
      </c>
      <c r="B4797" s="18" t="str">
        <f aca="false">'SALES Raw'!B1581</f>
        <v>67800020</v>
      </c>
      <c r="C4797" s="18" t="str">
        <f aca="false">'SALES Raw'!H1581</f>
        <v>67800020</v>
      </c>
      <c r="D4797" s="19" t="n">
        <f aca="false">'SALES Raw'!C1581</f>
        <v>3</v>
      </c>
      <c r="E4797" s="19" t="n">
        <f aca="false">'SALES Raw'!D1581</f>
        <v>0.02</v>
      </c>
      <c r="F4797" s="19" t="n">
        <f aca="false">'SALES Raw'!E1581*$H$4</f>
        <v>0</v>
      </c>
      <c r="G4797" s="19" t="n">
        <f aca="false">'SALES Raw'!F1581*$H$4</f>
        <v>0</v>
      </c>
      <c r="H4797" s="18" t="str">
        <f aca="false">'SALES Raw'!A1581</f>
        <v>103 - Physiotherapy institutes</v>
      </c>
    </row>
    <row r="4798" customFormat="false" ht="15" hidden="false" customHeight="false" outlineLevel="0" collapsed="false">
      <c r="A4798" s="18" t="n">
        <f aca="false">'SALES Raw'!G1583</f>
        <v>4413136</v>
      </c>
      <c r="B4798" s="18" t="str">
        <f aca="false">'SALES Raw'!B1583</f>
        <v>85 M</v>
      </c>
      <c r="C4798" s="18" t="str">
        <f aca="false">'SALES Raw'!H1583</f>
        <v>85 M (מתלה ליד )כיס</v>
      </c>
      <c r="D4798" s="19" t="n">
        <f aca="false">'SALES Raw'!C1583</f>
        <v>4</v>
      </c>
      <c r="E4798" s="19" t="n">
        <f aca="false">'SALES Raw'!D1583</f>
        <v>211.33</v>
      </c>
      <c r="F4798" s="19" t="n">
        <f aca="false">'SALES Raw'!E1583*$H$4</f>
        <v>0</v>
      </c>
      <c r="G4798" s="19" t="n">
        <f aca="false">'SALES Raw'!F1583*$H$4</f>
        <v>0</v>
      </c>
      <c r="H4798" s="18" t="str">
        <f aca="false">'SALES Raw'!A1583</f>
        <v>103 - Physiotherapy institutes</v>
      </c>
    </row>
    <row r="4799" customFormat="false" ht="15" hidden="false" customHeight="false" outlineLevel="0" collapsed="false">
      <c r="A4799" s="18" t="str">
        <f aca="false">'SALES Raw'!G1586</f>
        <v/>
      </c>
      <c r="B4799" s="18" t="str">
        <f aca="false">'SALES Raw'!B1586</f>
        <v>922B XXL</v>
      </c>
      <c r="C4799" s="18" t="str">
        <f aca="false">'SALES Raw'!H1586</f>
        <v>922B XXL</v>
      </c>
      <c r="D4799" s="19" t="n">
        <f aca="false">'SALES Raw'!C1586</f>
        <v>1</v>
      </c>
      <c r="E4799" s="19" t="n">
        <f aca="false">'SALES Raw'!D1586</f>
        <v>141.97</v>
      </c>
      <c r="F4799" s="19" t="n">
        <f aca="false">'SALES Raw'!E1586*$H$4</f>
        <v>0</v>
      </c>
      <c r="G4799" s="19" t="n">
        <f aca="false">'SALES Raw'!F1586*$H$4</f>
        <v>0</v>
      </c>
      <c r="H4799" s="18" t="str">
        <f aca="false">'SALES Raw'!A1586</f>
        <v>103 - Physiotherapy institutes</v>
      </c>
    </row>
    <row r="4800" customFormat="false" ht="15" hidden="false" customHeight="false" outlineLevel="0" collapsed="false">
      <c r="A4800" s="18" t="n">
        <f aca="false">'SALES Raw'!G1587</f>
        <v>4413366</v>
      </c>
      <c r="B4800" s="18" t="str">
        <f aca="false">'SALES Raw'!B1587</f>
        <v>95C S</v>
      </c>
      <c r="C4800" s="18" t="str">
        <f aca="false">'SALES Raw'!H1587</f>
        <v>95C S 'מגן מרפק בז</v>
      </c>
      <c r="D4800" s="19" t="n">
        <f aca="false">'SALES Raw'!C1587</f>
        <v>3</v>
      </c>
      <c r="E4800" s="19" t="n">
        <f aca="false">'SALES Raw'!D1587</f>
        <v>92.66</v>
      </c>
      <c r="F4800" s="19" t="n">
        <f aca="false">'SALES Raw'!E1587*$H$4</f>
        <v>0</v>
      </c>
      <c r="G4800" s="19" t="n">
        <f aca="false">'SALES Raw'!F1587*$H$4</f>
        <v>0</v>
      </c>
      <c r="H4800" s="18" t="str">
        <f aca="false">'SALES Raw'!A1587</f>
        <v>103 - Physiotherapy institutes</v>
      </c>
    </row>
    <row r="4801" customFormat="false" ht="15" hidden="false" customHeight="false" outlineLevel="0" collapsed="false">
      <c r="A4801" s="18" t="n">
        <f aca="false">'SALES Raw'!G1588</f>
        <v>4413331</v>
      </c>
      <c r="B4801" s="18" t="str">
        <f aca="false">'SALES Raw'!B1588</f>
        <v>AC95 0</v>
      </c>
      <c r="C4801" s="18" t="str">
        <f aca="false">'SALES Raw'!H1588</f>
        <v>AC95 מגן מרפק</v>
      </c>
      <c r="D4801" s="19" t="n">
        <f aca="false">'SALES Raw'!C1588</f>
        <v>2</v>
      </c>
      <c r="E4801" s="19" t="n">
        <f aca="false">'SALES Raw'!D1588</f>
        <v>84.27</v>
      </c>
      <c r="F4801" s="19" t="n">
        <f aca="false">'SALES Raw'!E1588*$H$4</f>
        <v>0</v>
      </c>
      <c r="G4801" s="19" t="n">
        <f aca="false">'SALES Raw'!F1588*$H$4</f>
        <v>0</v>
      </c>
      <c r="H4801" s="18" t="str">
        <f aca="false">'SALES Raw'!A1588</f>
        <v>103 - Physiotherapy institutes</v>
      </c>
    </row>
    <row r="4802" customFormat="false" ht="15" hidden="false" customHeight="false" outlineLevel="0" collapsed="false">
      <c r="A4802" s="18" t="str">
        <f aca="false">'SALES Raw'!G1589</f>
        <v/>
      </c>
      <c r="B4802" s="18" t="str">
        <f aca="false">'SALES Raw'!B1589</f>
        <v>N433D XL</v>
      </c>
      <c r="C4802" s="18" t="str">
        <f aca="false">'SALES Raw'!H1589</f>
        <v>N433D XL</v>
      </c>
      <c r="D4802" s="19" t="n">
        <f aca="false">'SALES Raw'!C1589</f>
        <v>1</v>
      </c>
      <c r="E4802" s="19" t="n">
        <f aca="false">'SALES Raw'!D1589</f>
        <v>328.06</v>
      </c>
      <c r="F4802" s="19" t="n">
        <f aca="false">'SALES Raw'!E1589*$H$4</f>
        <v>0</v>
      </c>
      <c r="G4802" s="19" t="n">
        <f aca="false">'SALES Raw'!F1589*$H$4</f>
        <v>0</v>
      </c>
      <c r="H4802" s="18" t="str">
        <f aca="false">'SALES Raw'!A1589</f>
        <v>103 - Physiotherapy institutes</v>
      </c>
    </row>
    <row r="4803" customFormat="false" ht="15" hidden="false" customHeight="false" outlineLevel="0" collapsed="false">
      <c r="A4803" s="18" t="n">
        <f aca="false">'SALES Raw'!G1590</f>
        <v>4408095</v>
      </c>
      <c r="B4803" s="18" t="str">
        <f aca="false">'SALES Raw'!B1590</f>
        <v>T20-L-XL</v>
      </c>
      <c r="C4803" s="18" t="str">
        <f aca="false">'SALES Raw'!H1590</f>
        <v>T20 L-XL  חבק יד עם צמדן</v>
      </c>
      <c r="D4803" s="19" t="n">
        <f aca="false">'SALES Raw'!C1590</f>
        <v>7</v>
      </c>
      <c r="E4803" s="19" t="n">
        <f aca="false">'SALES Raw'!D1590</f>
        <v>249</v>
      </c>
      <c r="F4803" s="19" t="n">
        <f aca="false">'SALES Raw'!E1590*$H$4</f>
        <v>0</v>
      </c>
      <c r="G4803" s="19" t="n">
        <f aca="false">'SALES Raw'!F1590*$H$4</f>
        <v>0</v>
      </c>
      <c r="H4803" s="18" t="str">
        <f aca="false">'SALES Raw'!A1590</f>
        <v>103 - Physiotherapy institutes</v>
      </c>
    </row>
    <row r="4804" customFormat="false" ht="15" hidden="false" customHeight="false" outlineLevel="0" collapsed="false">
      <c r="A4804" s="18" t="n">
        <f aca="false">'SALES Raw'!G1591</f>
        <v>4415075</v>
      </c>
      <c r="B4804" s="18" t="str">
        <f aca="false">'SALES Raw'!B1591</f>
        <v>T28AC-L-XL</v>
      </c>
      <c r="C4804" s="18" t="str">
        <f aca="false">'SALES Raw'!H1591</f>
        <v>T28AC L-XL סד לאגודל</v>
      </c>
      <c r="D4804" s="19" t="n">
        <f aca="false">'SALES Raw'!C1591</f>
        <v>1</v>
      </c>
      <c r="E4804" s="19" t="n">
        <f aca="false">'SALES Raw'!D1591</f>
        <v>70.26</v>
      </c>
      <c r="F4804" s="19" t="n">
        <f aca="false">'SALES Raw'!E1591*$H$4</f>
        <v>0</v>
      </c>
      <c r="G4804" s="19" t="n">
        <f aca="false">'SALES Raw'!F1591*$H$4</f>
        <v>0</v>
      </c>
      <c r="H4804" s="18" t="str">
        <f aca="false">'SALES Raw'!A1591</f>
        <v>103 - Physiotherapy institutes</v>
      </c>
    </row>
    <row r="4805" customFormat="false" ht="15" hidden="false" customHeight="false" outlineLevel="0" collapsed="false">
      <c r="A4805" s="18" t="n">
        <f aca="false">'SALES Raw'!G1592</f>
        <v>4415074</v>
      </c>
      <c r="B4805" s="18" t="str">
        <f aca="false">'SALES Raw'!B1592</f>
        <v>T28AC-S-M</v>
      </c>
      <c r="C4805" s="18" t="str">
        <f aca="false">'SALES Raw'!H1592</f>
        <v>T28AC S-M סד לאגודל</v>
      </c>
      <c r="D4805" s="19" t="n">
        <f aca="false">'SALES Raw'!C1592</f>
        <v>1</v>
      </c>
      <c r="E4805" s="19" t="n">
        <f aca="false">'SALES Raw'!D1592</f>
        <v>70.26</v>
      </c>
      <c r="F4805" s="19" t="n">
        <f aca="false">'SALES Raw'!E1592*$H$4</f>
        <v>0</v>
      </c>
      <c r="G4805" s="19" t="n">
        <f aca="false">'SALES Raw'!F1592*$H$4</f>
        <v>0</v>
      </c>
      <c r="H4805" s="18" t="str">
        <f aca="false">'SALES Raw'!A1592</f>
        <v>103 - Physiotherapy institutes</v>
      </c>
    </row>
    <row r="4806" customFormat="false" ht="15" hidden="false" customHeight="false" outlineLevel="0" collapsed="false">
      <c r="A4806" s="18" t="str">
        <f aca="false">'SALES Raw'!G1593</f>
        <v/>
      </c>
      <c r="B4806" s="18" t="str">
        <f aca="false">'SALES Raw'!B1593</f>
        <v>T39 L</v>
      </c>
      <c r="C4806" s="18" t="str">
        <f aca="false">'SALES Raw'!H1593</f>
        <v>T39 L</v>
      </c>
      <c r="D4806" s="19" t="n">
        <f aca="false">'SALES Raw'!C1593</f>
        <v>1</v>
      </c>
      <c r="E4806" s="19" t="n">
        <f aca="false">'SALES Raw'!D1593</f>
        <v>107.76</v>
      </c>
      <c r="F4806" s="19" t="n">
        <f aca="false">'SALES Raw'!E1593*$H$4</f>
        <v>0</v>
      </c>
      <c r="G4806" s="19" t="n">
        <f aca="false">'SALES Raw'!F1593*$H$4</f>
        <v>0</v>
      </c>
      <c r="H4806" s="18" t="str">
        <f aca="false">'SALES Raw'!A1593</f>
        <v>103 - Physiotherapy institutes</v>
      </c>
    </row>
    <row r="4807" customFormat="false" ht="15" hidden="false" customHeight="false" outlineLevel="0" collapsed="false">
      <c r="A4807" s="18" t="str">
        <f aca="false">'SALES Raw'!G1594</f>
        <v/>
      </c>
      <c r="B4807" s="18" t="str">
        <f aca="false">'SALES Raw'!B1594</f>
        <v>T39 XL</v>
      </c>
      <c r="C4807" s="18" t="str">
        <f aca="false">'SALES Raw'!H1594</f>
        <v>T39 XL</v>
      </c>
      <c r="D4807" s="19" t="n">
        <f aca="false">'SALES Raw'!C1594</f>
        <v>1</v>
      </c>
      <c r="E4807" s="19" t="n">
        <f aca="false">'SALES Raw'!D1594</f>
        <v>107.76</v>
      </c>
      <c r="F4807" s="19" t="n">
        <f aca="false">'SALES Raw'!E1594*$H$4</f>
        <v>0</v>
      </c>
      <c r="G4807" s="19" t="n">
        <f aca="false">'SALES Raw'!F1594*$H$4</f>
        <v>0</v>
      </c>
      <c r="H4807" s="18" t="str">
        <f aca="false">'SALES Raw'!A1594</f>
        <v>103 - Physiotherapy institutes</v>
      </c>
    </row>
    <row r="4808" customFormat="false" ht="15" hidden="false" customHeight="false" outlineLevel="0" collapsed="false">
      <c r="A4808" s="18" t="n">
        <f aca="false">'SALES Raw'!G1596</f>
        <v>4403023</v>
      </c>
      <c r="B4808" s="18" t="str">
        <f aca="false">'SALES Raw'!B1596</f>
        <v>394W-35-38</v>
      </c>
      <c r="C4808" s="18" t="str">
        <f aca="false">'SALES Raw'!H1596</f>
        <v>394W 35-38 גרב.כסף לסכרתים לבן</v>
      </c>
      <c r="D4808" s="19" t="n">
        <f aca="false">'SALES Raw'!C1596</f>
        <v>6</v>
      </c>
      <c r="E4808" s="19" t="n">
        <f aca="false">'SALES Raw'!D1596</f>
        <v>125</v>
      </c>
      <c r="F4808" s="19" t="n">
        <f aca="false">'SALES Raw'!E1596*$H$4</f>
        <v>0</v>
      </c>
      <c r="G4808" s="19" t="n">
        <f aca="false">'SALES Raw'!F1596*$H$4</f>
        <v>0</v>
      </c>
      <c r="H4808" s="18" t="str">
        <f aca="false">'SALES Raw'!A1596</f>
        <v>103 - Physiotherapy institutes</v>
      </c>
    </row>
    <row r="4809" customFormat="false" ht="15" hidden="false" customHeight="false" outlineLevel="0" collapsed="false">
      <c r="A4809" s="18" t="n">
        <f aca="false">'SALES Raw'!G1597</f>
        <v>4413367</v>
      </c>
      <c r="B4809" s="18" t="str">
        <f aca="false">'SALES Raw'!B1597</f>
        <v>95C XL</v>
      </c>
      <c r="C4809" s="18" t="str">
        <f aca="false">'SALES Raw'!H1597</f>
        <v>95C XL'מגן מרפק בז</v>
      </c>
      <c r="D4809" s="19" t="n">
        <f aca="false">'SALES Raw'!C1597</f>
        <v>2</v>
      </c>
      <c r="E4809" s="19" t="n">
        <f aca="false">'SALES Raw'!D1597</f>
        <v>61.78</v>
      </c>
      <c r="F4809" s="19" t="n">
        <f aca="false">'SALES Raw'!E1597*$H$4</f>
        <v>0</v>
      </c>
      <c r="G4809" s="19" t="n">
        <f aca="false">'SALES Raw'!F1597*$H$4</f>
        <v>0</v>
      </c>
      <c r="H4809" s="18" t="str">
        <f aca="false">'SALES Raw'!A1597</f>
        <v>103 - Physiotherapy institutes</v>
      </c>
    </row>
    <row r="4810" customFormat="false" ht="15" hidden="false" customHeight="false" outlineLevel="0" collapsed="false">
      <c r="A4810" s="18" t="n">
        <f aca="false">'SALES Raw'!G1598</f>
        <v>4413368</v>
      </c>
      <c r="B4810" s="18" t="str">
        <f aca="false">'SALES Raw'!B1598</f>
        <v>95C XS</v>
      </c>
      <c r="C4810" s="18" t="str">
        <f aca="false">'SALES Raw'!H1598</f>
        <v>95C XS'מגן מרפק בז</v>
      </c>
      <c r="D4810" s="19" t="n">
        <f aca="false">'SALES Raw'!C1598</f>
        <v>1</v>
      </c>
      <c r="E4810" s="19" t="n">
        <f aca="false">'SALES Raw'!D1598</f>
        <v>30.89</v>
      </c>
      <c r="F4810" s="19" t="n">
        <f aca="false">'SALES Raw'!E1598*$H$4</f>
        <v>0</v>
      </c>
      <c r="G4810" s="19" t="n">
        <f aca="false">'SALES Raw'!F1598*$H$4</f>
        <v>0</v>
      </c>
      <c r="H4810" s="18" t="str">
        <f aca="false">'SALES Raw'!A1598</f>
        <v>103 - Physiotherapy institutes</v>
      </c>
    </row>
    <row r="4811" customFormat="false" ht="15" hidden="false" customHeight="false" outlineLevel="0" collapsed="false">
      <c r="A4811" s="18" t="n">
        <f aca="false">'SALES Raw'!G1615</f>
        <v>4413348</v>
      </c>
      <c r="B4811" s="18" t="str">
        <f aca="false">'SALES Raw'!B1615</f>
        <v>302M 0</v>
      </c>
      <c r="C4811" s="18" t="str">
        <f aca="false">'SALES Raw'!H1615</f>
        <v>302 מדרס ג'ל לגבר</v>
      </c>
      <c r="D4811" s="19" t="n">
        <f aca="false">'SALES Raw'!C1615</f>
        <v>6</v>
      </c>
      <c r="E4811" s="19" t="n">
        <f aca="false">'SALES Raw'!D1615</f>
        <v>360</v>
      </c>
      <c r="F4811" s="19" t="n">
        <f aca="false">'SALES Raw'!E1615*$H$4</f>
        <v>0</v>
      </c>
      <c r="G4811" s="19" t="n">
        <f aca="false">'SALES Raw'!F1615*$H$4</f>
        <v>0</v>
      </c>
      <c r="H4811" s="18" t="str">
        <f aca="false">'SALES Raw'!A1615</f>
        <v>104 - Sports Shop</v>
      </c>
    </row>
    <row r="4812" customFormat="false" ht="15" hidden="false" customHeight="false" outlineLevel="0" collapsed="false">
      <c r="A4812" s="18" t="n">
        <f aca="false">'SALES Raw'!G1616</f>
        <v>4420002</v>
      </c>
      <c r="B4812" s="18" t="str">
        <f aca="false">'SALES Raw'!B1616</f>
        <v>372 0</v>
      </c>
      <c r="C4812" s="18" t="str">
        <f aca="false">'SALES Raw'!H1616</f>
        <v>372 רפידת אנטי ריח -זוג</v>
      </c>
      <c r="D4812" s="19" t="n">
        <f aca="false">'SALES Raw'!C1616</f>
        <v>5</v>
      </c>
      <c r="E4812" s="19" t="n">
        <f aca="false">'SALES Raw'!D1616</f>
        <v>77.1</v>
      </c>
      <c r="F4812" s="19" t="n">
        <f aca="false">'SALES Raw'!E1616*$H$4</f>
        <v>0</v>
      </c>
      <c r="G4812" s="19" t="n">
        <f aca="false">'SALES Raw'!F1616*$H$4</f>
        <v>0</v>
      </c>
      <c r="H4812" s="18" t="str">
        <f aca="false">'SALES Raw'!A1616</f>
        <v>104 - Sports Shop</v>
      </c>
    </row>
    <row r="4813" customFormat="false" ht="15" hidden="false" customHeight="false" outlineLevel="0" collapsed="false">
      <c r="A4813" s="18" t="n">
        <f aca="false">'SALES Raw'!G1617</f>
        <v>4420003</v>
      </c>
      <c r="B4813" s="18" t="str">
        <f aca="false">'SALES Raw'!B1617</f>
        <v>374 0</v>
      </c>
      <c r="C4813" s="18" t="str">
        <f aca="false">'SALES Raw'!H1617</f>
        <v>374 רפידת בולמת זעזועים -זוג</v>
      </c>
      <c r="D4813" s="19" t="n">
        <f aca="false">'SALES Raw'!C1617</f>
        <v>5</v>
      </c>
      <c r="E4813" s="19" t="n">
        <f aca="false">'SALES Raw'!D1617</f>
        <v>77.1</v>
      </c>
      <c r="F4813" s="19" t="n">
        <f aca="false">'SALES Raw'!E1617*$H$4</f>
        <v>0</v>
      </c>
      <c r="G4813" s="19" t="n">
        <f aca="false">'SALES Raw'!F1617*$H$4</f>
        <v>0</v>
      </c>
      <c r="H4813" s="18" t="str">
        <f aca="false">'SALES Raw'!A1617</f>
        <v>104 - Sports Shop</v>
      </c>
    </row>
    <row r="4814" customFormat="false" ht="15" hidden="false" customHeight="false" outlineLevel="0" collapsed="false">
      <c r="A4814" s="18" t="n">
        <f aca="false">'SALES Raw'!G1648</f>
        <v>4415298</v>
      </c>
      <c r="B4814" s="18" t="str">
        <f aca="false">'SALES Raw'!B1648</f>
        <v>388BL 0</v>
      </c>
      <c r="C4814" s="18" t="str">
        <f aca="false">'SALES Raw'!H1648</f>
        <v>388B L סד לילה שחור לבוהן שמאל</v>
      </c>
      <c r="D4814" s="19" t="n">
        <f aca="false">'SALES Raw'!C1648</f>
        <v>2</v>
      </c>
      <c r="E4814" s="19" t="n">
        <f aca="false">'SALES Raw'!D1648</f>
        <v>156.22</v>
      </c>
      <c r="F4814" s="19" t="n">
        <f aca="false">'SALES Raw'!E1648*$H$4</f>
        <v>0</v>
      </c>
      <c r="G4814" s="19" t="n">
        <f aca="false">'SALES Raw'!F1648*$H$4</f>
        <v>0</v>
      </c>
      <c r="H4814" s="18" t="str">
        <f aca="false">'SALES Raw'!A1648</f>
        <v>105 - Pedicure Salons</v>
      </c>
    </row>
    <row r="4815" customFormat="false" ht="15" hidden="false" customHeight="false" outlineLevel="0" collapsed="false">
      <c r="A4815" s="18" t="n">
        <f aca="false">'SALES Raw'!G1653</f>
        <v>4413058</v>
      </c>
      <c r="B4815" s="18" t="str">
        <f aca="false">'SALES Raw'!B1653</f>
        <v>3622S 0</v>
      </c>
      <c r="C4815" s="18" t="str">
        <f aca="false">'SALES Raw'!H1653</f>
        <v>3622S מדבקה לשחרור לחץ 2 יח</v>
      </c>
      <c r="D4815" s="19" t="n">
        <f aca="false">'SALES Raw'!C1653</f>
        <v>1</v>
      </c>
      <c r="E4815" s="19" t="n">
        <f aca="false">'SALES Raw'!D1653</f>
        <v>34.95</v>
      </c>
      <c r="F4815" s="19" t="n">
        <f aca="false">'SALES Raw'!E1653*$H$4</f>
        <v>0</v>
      </c>
      <c r="G4815" s="19" t="n">
        <f aca="false">'SALES Raw'!F1653*$H$4</f>
        <v>0</v>
      </c>
      <c r="H4815" s="18" t="str">
        <f aca="false">'SALES Raw'!A1653</f>
        <v>105 - Pedicure Salons</v>
      </c>
    </row>
    <row r="4816" customFormat="false" ht="15" hidden="false" customHeight="false" outlineLevel="0" collapsed="false">
      <c r="A4816" s="18" t="n">
        <f aca="false">'SALES Raw'!G1657</f>
        <v>4413060</v>
      </c>
      <c r="B4816" s="18" t="str">
        <f aca="false">'SALES Raw'!B1657</f>
        <v>364 XL</v>
      </c>
      <c r="C4816" s="18" t="str">
        <f aca="false">'SALES Raw'!H1657</f>
        <v>364 XLמפריד אצבע סיליקון ליבלת</v>
      </c>
      <c r="D4816" s="19" t="n">
        <f aca="false">'SALES Raw'!C1657</f>
        <v>1</v>
      </c>
      <c r="E4816" s="19" t="n">
        <f aca="false">'SALES Raw'!D1657</f>
        <v>19.31</v>
      </c>
      <c r="F4816" s="19" t="n">
        <f aca="false">'SALES Raw'!E1657*$H$4</f>
        <v>0</v>
      </c>
      <c r="G4816" s="19" t="n">
        <f aca="false">'SALES Raw'!F1657*$H$4</f>
        <v>0</v>
      </c>
      <c r="H4816" s="18" t="str">
        <f aca="false">'SALES Raw'!A1657</f>
        <v>105 - Pedicure Salons</v>
      </c>
    </row>
    <row r="4817" customFormat="false" ht="15" hidden="false" customHeight="false" outlineLevel="0" collapsed="false">
      <c r="A4817" s="18" t="n">
        <f aca="false">'SALES Raw'!G1658</f>
        <v>4409001</v>
      </c>
      <c r="B4817" s="18" t="str">
        <f aca="false">'SALES Raw'!B1658</f>
        <v>365-XL</v>
      </c>
      <c r="C4817" s="18" t="str">
        <f aca="false">'SALES Raw'!H1658</f>
        <v>365  X-Lטבעת אלסטית מסיליקון</v>
      </c>
      <c r="D4817" s="19" t="n">
        <f aca="false">'SALES Raw'!C1658</f>
        <v>1</v>
      </c>
      <c r="E4817" s="19" t="n">
        <f aca="false">'SALES Raw'!D1658</f>
        <v>18.69</v>
      </c>
      <c r="F4817" s="19" t="n">
        <f aca="false">'SALES Raw'!E1658*$H$4</f>
        <v>0</v>
      </c>
      <c r="G4817" s="19" t="n">
        <f aca="false">'SALES Raw'!F1658*$H$4</f>
        <v>0</v>
      </c>
      <c r="H4817" s="18" t="str">
        <f aca="false">'SALES Raw'!A1658</f>
        <v>105 - Pedicure Salons</v>
      </c>
    </row>
    <row r="4818" customFormat="false" ht="15" hidden="false" customHeight="false" outlineLevel="0" collapsed="false">
      <c r="A4818" s="18" t="n">
        <f aca="false">'SALES Raw'!G1670</f>
        <v>4408091</v>
      </c>
      <c r="B4818" s="18" t="str">
        <f aca="false">'SALES Raw'!B1670</f>
        <v>T11C M</v>
      </c>
      <c r="C4818" s="18" t="str">
        <f aca="false">'SALES Raw'!H1670</f>
        <v>T11C M  חגורת גב פוג'יאמה</v>
      </c>
      <c r="D4818" s="19" t="n">
        <f aca="false">'SALES Raw'!C1670</f>
        <v>10</v>
      </c>
      <c r="E4818" s="19" t="n">
        <f aca="false">'SALES Raw'!D1670</f>
        <v>1260</v>
      </c>
      <c r="F4818" s="19" t="n">
        <f aca="false">'SALES Raw'!E1670*$H$4</f>
        <v>0</v>
      </c>
      <c r="G4818" s="19" t="n">
        <f aca="false">'SALES Raw'!F1670*$H$4</f>
        <v>0</v>
      </c>
      <c r="H4818" s="18" t="str">
        <f aca="false">'SALES Raw'!A1670</f>
        <v>106 - Hospitals</v>
      </c>
    </row>
    <row r="4819" customFormat="false" ht="15" hidden="false" customHeight="false" outlineLevel="0" collapsed="false">
      <c r="A4819" s="18" t="n">
        <f aca="false">'SALES Raw'!G1674</f>
        <v>4408220</v>
      </c>
      <c r="B4819" s="18" t="str">
        <f aca="false">'SALES Raw'!B1674</f>
        <v>078G M</v>
      </c>
      <c r="C4819" s="18" t="str">
        <f aca="false">'SALES Raw'!H1674</f>
        <v>078G-M חגורת גב אפורה</v>
      </c>
      <c r="D4819" s="19" t="n">
        <f aca="false">'SALES Raw'!C1674</f>
        <v>1</v>
      </c>
      <c r="E4819" s="19" t="n">
        <f aca="false">'SALES Raw'!D1674</f>
        <v>75</v>
      </c>
      <c r="F4819" s="19" t="n">
        <f aca="false">'SALES Raw'!E1674*$H$4</f>
        <v>0</v>
      </c>
      <c r="G4819" s="19" t="n">
        <f aca="false">'SALES Raw'!F1674*$H$4</f>
        <v>0</v>
      </c>
      <c r="H4819" s="18" t="str">
        <f aca="false">'SALES Raw'!A1674</f>
        <v>106 - Hospitals</v>
      </c>
    </row>
    <row r="4820" customFormat="false" ht="15" hidden="false" customHeight="false" outlineLevel="0" collapsed="false">
      <c r="A4820" s="18" t="n">
        <f aca="false">'SALES Raw'!G1676</f>
        <v>4408032</v>
      </c>
      <c r="B4820" s="18" t="str">
        <f aca="false">'SALES Raw'!B1676</f>
        <v>11 L</v>
      </c>
      <c r="C4820" s="18" t="str">
        <f aca="false">'SALES Raw'!H1676</f>
        <v>11 L""""חגורת בטן""""אורירית</v>
      </c>
      <c r="D4820" s="19" t="n">
        <f aca="false">'SALES Raw'!C1676</f>
        <v>1</v>
      </c>
      <c r="E4820" s="19" t="n">
        <f aca="false">'SALES Raw'!D1676</f>
        <v>85</v>
      </c>
      <c r="F4820" s="19" t="n">
        <f aca="false">'SALES Raw'!E1676*$H$4</f>
        <v>0</v>
      </c>
      <c r="G4820" s="19" t="n">
        <f aca="false">'SALES Raw'!F1676*$H$4</f>
        <v>0</v>
      </c>
      <c r="H4820" s="18" t="str">
        <f aca="false">'SALES Raw'!A1676</f>
        <v>106 - Hospitals</v>
      </c>
    </row>
    <row r="4821" customFormat="false" ht="15" hidden="false" customHeight="false" outlineLevel="0" collapsed="false">
      <c r="A4821" s="18" t="n">
        <f aca="false">'SALES Raw'!G1677</f>
        <v>4408033</v>
      </c>
      <c r="B4821" s="18" t="str">
        <f aca="false">'SALES Raw'!B1677</f>
        <v>11 M</v>
      </c>
      <c r="C4821" s="18" t="str">
        <f aca="false">'SALES Raw'!H1677</f>
        <v>11 M""""חגורת בטן""""אורירית</v>
      </c>
      <c r="D4821" s="19" t="n">
        <f aca="false">'SALES Raw'!C1677</f>
        <v>1</v>
      </c>
      <c r="E4821" s="19" t="n">
        <f aca="false">'SALES Raw'!D1677</f>
        <v>85</v>
      </c>
      <c r="F4821" s="19" t="n">
        <f aca="false">'SALES Raw'!E1677*$H$4</f>
        <v>0</v>
      </c>
      <c r="G4821" s="19" t="n">
        <f aca="false">'SALES Raw'!F1677*$H$4</f>
        <v>0</v>
      </c>
      <c r="H4821" s="18" t="str">
        <f aca="false">'SALES Raw'!A1677</f>
        <v>106 - Hospitals</v>
      </c>
    </row>
    <row r="4822" customFormat="false" ht="15" hidden="false" customHeight="false" outlineLevel="0" collapsed="false">
      <c r="A4822" s="18" t="n">
        <f aca="false">'SALES Raw'!G1678</f>
        <v>4408034</v>
      </c>
      <c r="B4822" s="18" t="str">
        <f aca="false">'SALES Raw'!B1678</f>
        <v>11 XL</v>
      </c>
      <c r="C4822" s="18" t="str">
        <f aca="false">'SALES Raw'!H1678</f>
        <v>11 XL""""חגורת בטן""""אורירית</v>
      </c>
      <c r="D4822" s="19" t="n">
        <f aca="false">'SALES Raw'!C1678</f>
        <v>1</v>
      </c>
      <c r="E4822" s="19" t="n">
        <f aca="false">'SALES Raw'!D1678</f>
        <v>85</v>
      </c>
      <c r="F4822" s="19" t="n">
        <f aca="false">'SALES Raw'!E1678*$H$4</f>
        <v>0</v>
      </c>
      <c r="G4822" s="19" t="n">
        <f aca="false">'SALES Raw'!F1678*$H$4</f>
        <v>0</v>
      </c>
      <c r="H4822" s="18" t="str">
        <f aca="false">'SALES Raw'!A1678</f>
        <v>106 - Hospitals</v>
      </c>
    </row>
    <row r="4823" customFormat="false" ht="15" hidden="false" customHeight="false" outlineLevel="0" collapsed="false">
      <c r="A4823" s="18" t="n">
        <f aca="false">'SALES Raw'!G1680</f>
        <v>4411018</v>
      </c>
      <c r="B4823" s="18" t="str">
        <f aca="false">'SALES Raw'!B1680</f>
        <v>211 M</v>
      </c>
      <c r="C4823" s="18" t="str">
        <f aca="false">'SALES Raw'!H1680</f>
        <v>211M כפפות לחץ</v>
      </c>
      <c r="D4823" s="19" t="n">
        <f aca="false">'SALES Raw'!C1680</f>
        <v>1</v>
      </c>
      <c r="E4823" s="19" t="n">
        <f aca="false">'SALES Raw'!D1680</f>
        <v>33.04</v>
      </c>
      <c r="F4823" s="19" t="n">
        <f aca="false">'SALES Raw'!E1680*$H$4</f>
        <v>0</v>
      </c>
      <c r="G4823" s="19" t="n">
        <f aca="false">'SALES Raw'!F1680*$H$4</f>
        <v>0</v>
      </c>
      <c r="H4823" s="18" t="str">
        <f aca="false">'SALES Raw'!A1680</f>
        <v>106 - Hospitals</v>
      </c>
    </row>
    <row r="4824" customFormat="false" ht="15" hidden="false" customHeight="false" outlineLevel="0" collapsed="false">
      <c r="A4824" s="18" t="n">
        <f aca="false">'SALES Raw'!G1681</f>
        <v>4411019</v>
      </c>
      <c r="B4824" s="18" t="str">
        <f aca="false">'SALES Raw'!B1681</f>
        <v>211 S</v>
      </c>
      <c r="C4824" s="18" t="str">
        <f aca="false">'SALES Raw'!H1681</f>
        <v>211S כפפות לחץ</v>
      </c>
      <c r="D4824" s="19" t="n">
        <f aca="false">'SALES Raw'!C1681</f>
        <v>1</v>
      </c>
      <c r="E4824" s="19" t="n">
        <f aca="false">'SALES Raw'!D1681</f>
        <v>33.04</v>
      </c>
      <c r="F4824" s="19" t="n">
        <f aca="false">'SALES Raw'!E1681*$H$4</f>
        <v>0</v>
      </c>
      <c r="G4824" s="19" t="n">
        <f aca="false">'SALES Raw'!F1681*$H$4</f>
        <v>0</v>
      </c>
      <c r="H4824" s="18" t="str">
        <f aca="false">'SALES Raw'!A1681</f>
        <v>106 - Hospitals</v>
      </c>
    </row>
    <row r="4825" customFormat="false" ht="15" hidden="false" customHeight="false" outlineLevel="0" collapsed="false">
      <c r="A4825" s="18" t="n">
        <f aca="false">'SALES Raw'!G1682</f>
        <v>4411020</v>
      </c>
      <c r="B4825" s="18" t="str">
        <f aca="false">'SALES Raw'!B1682</f>
        <v>211 XL</v>
      </c>
      <c r="C4825" s="18" t="str">
        <f aca="false">'SALES Raw'!H1682</f>
        <v>211XL כפפות לחץ</v>
      </c>
      <c r="D4825" s="19" t="n">
        <f aca="false">'SALES Raw'!C1682</f>
        <v>1</v>
      </c>
      <c r="E4825" s="19" t="n">
        <f aca="false">'SALES Raw'!D1682</f>
        <v>33.04</v>
      </c>
      <c r="F4825" s="19" t="n">
        <f aca="false">'SALES Raw'!E1682*$H$4</f>
        <v>0</v>
      </c>
      <c r="G4825" s="19" t="n">
        <f aca="false">'SALES Raw'!F1682*$H$4</f>
        <v>0</v>
      </c>
      <c r="H4825" s="18" t="str">
        <f aca="false">'SALES Raw'!A1682</f>
        <v>106 - Hospitals</v>
      </c>
    </row>
    <row r="4826" customFormat="false" ht="15" hidden="false" customHeight="false" outlineLevel="0" collapsed="false">
      <c r="A4826" s="18" t="n">
        <f aca="false">'SALES Raw'!G1684</f>
        <v>4411022</v>
      </c>
      <c r="B4826" s="18" t="str">
        <f aca="false">'SALES Raw'!B1684</f>
        <v>212 M</v>
      </c>
      <c r="C4826" s="18" t="str">
        <f aca="false">'SALES Raw'!H1684</f>
        <v>212M כפפות אגודל לחץ</v>
      </c>
      <c r="D4826" s="19" t="n">
        <f aca="false">'SALES Raw'!C1684</f>
        <v>1</v>
      </c>
      <c r="E4826" s="19" t="n">
        <f aca="false">'SALES Raw'!D1684</f>
        <v>35.41</v>
      </c>
      <c r="F4826" s="19" t="n">
        <f aca="false">'SALES Raw'!E1684*$H$4</f>
        <v>0</v>
      </c>
      <c r="G4826" s="19" t="n">
        <f aca="false">'SALES Raw'!F1684*$H$4</f>
        <v>0</v>
      </c>
      <c r="H4826" s="18" t="str">
        <f aca="false">'SALES Raw'!A1684</f>
        <v>106 - Hospitals</v>
      </c>
    </row>
    <row r="4827" customFormat="false" ht="15" hidden="false" customHeight="false" outlineLevel="0" collapsed="false">
      <c r="A4827" s="18" t="n">
        <f aca="false">'SALES Raw'!G1685</f>
        <v>4411023</v>
      </c>
      <c r="B4827" s="18" t="str">
        <f aca="false">'SALES Raw'!B1685</f>
        <v>212 S</v>
      </c>
      <c r="C4827" s="18" t="str">
        <f aca="false">'SALES Raw'!H1685</f>
        <v>212S כפפות אגודל לחץ</v>
      </c>
      <c r="D4827" s="19" t="n">
        <f aca="false">'SALES Raw'!C1685</f>
        <v>1</v>
      </c>
      <c r="E4827" s="19" t="n">
        <f aca="false">'SALES Raw'!D1685</f>
        <v>35.41</v>
      </c>
      <c r="F4827" s="19" t="n">
        <f aca="false">'SALES Raw'!E1685*$H$4</f>
        <v>0</v>
      </c>
      <c r="G4827" s="19" t="n">
        <f aca="false">'SALES Raw'!F1685*$H$4</f>
        <v>0</v>
      </c>
      <c r="H4827" s="18" t="str">
        <f aca="false">'SALES Raw'!A1685</f>
        <v>106 - Hospitals</v>
      </c>
    </row>
    <row r="4828" customFormat="false" ht="15" hidden="false" customHeight="false" outlineLevel="0" collapsed="false">
      <c r="A4828" s="18" t="n">
        <f aca="false">'SALES Raw'!G1689</f>
        <v>4415160</v>
      </c>
      <c r="B4828" s="18" t="str">
        <f aca="false">'SALES Raw'!B1689</f>
        <v>238 S</v>
      </c>
      <c r="C4828" s="18" t="str">
        <f aca="false">'SALES Raw'!H1689</f>
        <v>238S סד ליישור אצבע</v>
      </c>
      <c r="D4828" s="19" t="n">
        <f aca="false">'SALES Raw'!C1689</f>
        <v>1</v>
      </c>
      <c r="E4828" s="19" t="n">
        <f aca="false">'SALES Raw'!D1689</f>
        <v>17.92</v>
      </c>
      <c r="F4828" s="19" t="n">
        <f aca="false">'SALES Raw'!E1689*$H$4</f>
        <v>0</v>
      </c>
      <c r="G4828" s="19" t="n">
        <f aca="false">'SALES Raw'!F1689*$H$4</f>
        <v>0</v>
      </c>
      <c r="H4828" s="18" t="str">
        <f aca="false">'SALES Raw'!A1689</f>
        <v>106 - Hospitals</v>
      </c>
    </row>
    <row r="4829" customFormat="false" ht="15" hidden="false" customHeight="false" outlineLevel="0" collapsed="false">
      <c r="A4829" s="18" t="n">
        <f aca="false">'SALES Raw'!G1691</f>
        <v>4421005</v>
      </c>
      <c r="B4829" s="18" t="str">
        <f aca="false">'SALES Raw'!B1691</f>
        <v>250 0</v>
      </c>
      <c r="C4829" s="18" t="str">
        <f aca="false">'SALES Raw'!H1691</f>
        <v>שרוול לגבס קצר יד</v>
      </c>
      <c r="D4829" s="19" t="n">
        <f aca="false">'SALES Raw'!C1691</f>
        <v>2</v>
      </c>
      <c r="E4829" s="19" t="n">
        <f aca="false">'SALES Raw'!D1691</f>
        <v>66.09</v>
      </c>
      <c r="F4829" s="19" t="n">
        <f aca="false">'SALES Raw'!E1691*$H$4</f>
        <v>0</v>
      </c>
      <c r="G4829" s="19" t="n">
        <f aca="false">'SALES Raw'!F1691*$H$4</f>
        <v>0</v>
      </c>
      <c r="H4829" s="18" t="str">
        <f aca="false">'SALES Raw'!A1691</f>
        <v>106 - Hospitals</v>
      </c>
    </row>
    <row r="4830" customFormat="false" ht="15" hidden="false" customHeight="false" outlineLevel="0" collapsed="false">
      <c r="A4830" s="18" t="n">
        <f aca="false">'SALES Raw'!G1692</f>
        <v>4421006</v>
      </c>
      <c r="B4830" s="18" t="str">
        <f aca="false">'SALES Raw'!B1692</f>
        <v>251 0</v>
      </c>
      <c r="C4830" s="18" t="str">
        <f aca="false">'SALES Raw'!H1692</f>
        <v>שרוול לגבס ארוך יד</v>
      </c>
      <c r="D4830" s="19" t="n">
        <f aca="false">'SALES Raw'!C1692</f>
        <v>2</v>
      </c>
      <c r="E4830" s="19" t="n">
        <f aca="false">'SALES Raw'!D1692</f>
        <v>71.77</v>
      </c>
      <c r="F4830" s="19" t="n">
        <f aca="false">'SALES Raw'!E1692*$H$4</f>
        <v>0</v>
      </c>
      <c r="G4830" s="19" t="n">
        <f aca="false">'SALES Raw'!F1692*$H$4</f>
        <v>0</v>
      </c>
      <c r="H4830" s="18" t="str">
        <f aca="false">'SALES Raw'!A1692</f>
        <v>106 - Hospitals</v>
      </c>
    </row>
    <row r="4831" customFormat="false" ht="15" hidden="false" customHeight="false" outlineLevel="0" collapsed="false">
      <c r="A4831" s="18" t="n">
        <f aca="false">'SALES Raw'!G1695</f>
        <v>4416001</v>
      </c>
      <c r="B4831" s="18" t="str">
        <f aca="false">'SALES Raw'!B1695</f>
        <v>307 M</v>
      </c>
      <c r="C4831" s="18" t="str">
        <f aca="false">'SALES Raw'!H1695</f>
        <v>307 M עקבים לדורבן-זוג כריות</v>
      </c>
      <c r="D4831" s="19" t="n">
        <f aca="false">'SALES Raw'!C1695</f>
        <v>1</v>
      </c>
      <c r="E4831" s="19" t="n">
        <f aca="false">'SALES Raw'!D1695</f>
        <v>92.14</v>
      </c>
      <c r="F4831" s="19" t="n">
        <f aca="false">'SALES Raw'!E1695*$H$4</f>
        <v>0</v>
      </c>
      <c r="G4831" s="19" t="n">
        <f aca="false">'SALES Raw'!F1695*$H$4</f>
        <v>0</v>
      </c>
      <c r="H4831" s="18" t="str">
        <f aca="false">'SALES Raw'!A1695</f>
        <v>106 - Hospitals</v>
      </c>
    </row>
    <row r="4832" customFormat="false" ht="15" hidden="false" customHeight="false" outlineLevel="0" collapsed="false">
      <c r="A4832" s="18" t="n">
        <f aca="false">'SALES Raw'!G1696</f>
        <v>4416005</v>
      </c>
      <c r="B4832" s="18" t="str">
        <f aca="false">'SALES Raw'!B1696</f>
        <v>308 M</v>
      </c>
      <c r="C4832" s="18" t="str">
        <f aca="false">'SALES Raw'!H1696</f>
        <v>308 Mעקבים סיליק.כחול לדורבן</v>
      </c>
      <c r="D4832" s="19" t="n">
        <f aca="false">'SALES Raw'!C1696</f>
        <v>1</v>
      </c>
      <c r="E4832" s="19" t="n">
        <f aca="false">'SALES Raw'!D1696</f>
        <v>58.57</v>
      </c>
      <c r="F4832" s="19" t="n">
        <f aca="false">'SALES Raw'!E1696*$H$4</f>
        <v>0</v>
      </c>
      <c r="G4832" s="19" t="n">
        <f aca="false">'SALES Raw'!F1696*$H$4</f>
        <v>0</v>
      </c>
      <c r="H4832" s="18" t="str">
        <f aca="false">'SALES Raw'!A1696</f>
        <v>106 - Hospitals</v>
      </c>
    </row>
    <row r="4833" customFormat="false" ht="15" hidden="false" customHeight="false" outlineLevel="0" collapsed="false">
      <c r="A4833" s="18" t="n">
        <f aca="false">'SALES Raw'!G1700</f>
        <v>4421007</v>
      </c>
      <c r="B4833" s="18" t="str">
        <f aca="false">'SALES Raw'!B1700</f>
        <v>350 0</v>
      </c>
      <c r="C4833" s="18" t="str">
        <f aca="false">'SALES Raw'!H1700</f>
        <v>שרוול לגבס קצר רגל</v>
      </c>
      <c r="D4833" s="19" t="n">
        <f aca="false">'SALES Raw'!C1700</f>
        <v>2</v>
      </c>
      <c r="E4833" s="19" t="n">
        <f aca="false">'SALES Raw'!D1700</f>
        <v>84.99</v>
      </c>
      <c r="F4833" s="19" t="n">
        <f aca="false">'SALES Raw'!E1700*$H$4</f>
        <v>0</v>
      </c>
      <c r="G4833" s="19" t="n">
        <f aca="false">'SALES Raw'!F1700*$H$4</f>
        <v>0</v>
      </c>
      <c r="H4833" s="18" t="str">
        <f aca="false">'SALES Raw'!A1700</f>
        <v>106 - Hospitals</v>
      </c>
    </row>
    <row r="4834" customFormat="false" ht="15" hidden="false" customHeight="false" outlineLevel="0" collapsed="false">
      <c r="A4834" s="18" t="n">
        <f aca="false">'SALES Raw'!G1701</f>
        <v>4421008</v>
      </c>
      <c r="B4834" s="18" t="str">
        <f aca="false">'SALES Raw'!B1701</f>
        <v>351 0</v>
      </c>
      <c r="C4834" s="18" t="str">
        <f aca="false">'SALES Raw'!H1701</f>
        <v>שרוול לגבס ארוך רגל</v>
      </c>
      <c r="D4834" s="19" t="n">
        <f aca="false">'SALES Raw'!C1701</f>
        <v>2</v>
      </c>
      <c r="E4834" s="19" t="n">
        <f aca="false">'SALES Raw'!D1701</f>
        <v>89.73</v>
      </c>
      <c r="F4834" s="19" t="n">
        <f aca="false">'SALES Raw'!E1701*$H$4</f>
        <v>0</v>
      </c>
      <c r="G4834" s="19" t="n">
        <f aca="false">'SALES Raw'!F1701*$H$4</f>
        <v>0</v>
      </c>
      <c r="H4834" s="18" t="str">
        <f aca="false">'SALES Raw'!A1701</f>
        <v>106 - Hospitals</v>
      </c>
    </row>
    <row r="4835" customFormat="false" ht="15" hidden="false" customHeight="false" outlineLevel="0" collapsed="false">
      <c r="A4835" s="18" t="n">
        <f aca="false">'SALES Raw'!G1705</f>
        <v>4422000</v>
      </c>
      <c r="B4835" s="18" t="str">
        <f aca="false">'SALES Raw'!B1705</f>
        <v>801 0</v>
      </c>
      <c r="C4835" s="18" t="str">
        <f aca="false">'SALES Raw'!H1705</f>
        <v>801  תחבושת אלסטית מקררת</v>
      </c>
      <c r="D4835" s="19" t="n">
        <f aca="false">'SALES Raw'!C1705</f>
        <v>2</v>
      </c>
      <c r="E4835" s="19" t="n">
        <f aca="false">'SALES Raw'!D1705</f>
        <v>41.5</v>
      </c>
      <c r="F4835" s="19" t="n">
        <f aca="false">'SALES Raw'!E1705*$H$4</f>
        <v>0</v>
      </c>
      <c r="G4835" s="19" t="n">
        <f aca="false">'SALES Raw'!F1705*$H$4</f>
        <v>0</v>
      </c>
      <c r="H4835" s="18" t="str">
        <f aca="false">'SALES Raw'!A1705</f>
        <v>106 - Hospitals</v>
      </c>
    </row>
    <row r="4836" customFormat="false" ht="15" hidden="false" customHeight="false" outlineLevel="0" collapsed="false">
      <c r="A4836" s="18" t="n">
        <f aca="false">'SALES Raw'!G1706</f>
        <v>4409017</v>
      </c>
      <c r="B4836" s="18" t="str">
        <f aca="false">'SALES Raw'!B1706</f>
        <v>808KT-B</v>
      </c>
      <c r="C4836" s="18" t="str">
        <f aca="false">'SALES Raw'!H1706</f>
        <v>808KT-B        טייפ קינזיולוגי</v>
      </c>
      <c r="D4836" s="19" t="n">
        <f aca="false">'SALES Raw'!C1706</f>
        <v>6</v>
      </c>
      <c r="E4836" s="19" t="n">
        <f aca="false">'SALES Raw'!D1706</f>
        <v>180</v>
      </c>
      <c r="F4836" s="19" t="n">
        <f aca="false">'SALES Raw'!E1706*$H$4</f>
        <v>0</v>
      </c>
      <c r="G4836" s="19" t="n">
        <f aca="false">'SALES Raw'!F1706*$H$4</f>
        <v>0</v>
      </c>
      <c r="H4836" s="18" t="str">
        <f aca="false">'SALES Raw'!A1706</f>
        <v>106 - Hospitals</v>
      </c>
    </row>
    <row r="4837" customFormat="false" ht="15" hidden="false" customHeight="false" outlineLevel="0" collapsed="false">
      <c r="A4837" s="18" t="n">
        <f aca="false">'SALES Raw'!G1707</f>
        <v>4409015</v>
      </c>
      <c r="B4837" s="18" t="str">
        <f aca="false">'SALES Raw'!B1707</f>
        <v>808KT-BL</v>
      </c>
      <c r="C4837" s="18" t="str">
        <f aca="false">'SALES Raw'!H1707</f>
        <v>808KT-BL       טייפ קינזיולוגי</v>
      </c>
      <c r="D4837" s="19" t="n">
        <f aca="false">'SALES Raw'!C1707</f>
        <v>6</v>
      </c>
      <c r="E4837" s="19" t="n">
        <f aca="false">'SALES Raw'!D1707</f>
        <v>180</v>
      </c>
      <c r="F4837" s="19" t="n">
        <f aca="false">'SALES Raw'!E1707*$H$4</f>
        <v>0</v>
      </c>
      <c r="G4837" s="19" t="n">
        <f aca="false">'SALES Raw'!F1707*$H$4</f>
        <v>0</v>
      </c>
      <c r="H4837" s="18" t="str">
        <f aca="false">'SALES Raw'!A1707</f>
        <v>106 - Hospitals</v>
      </c>
    </row>
    <row r="4838" customFormat="false" ht="15" hidden="false" customHeight="false" outlineLevel="0" collapsed="false">
      <c r="A4838" s="18" t="n">
        <f aca="false">'SALES Raw'!G1708</f>
        <v>4409016</v>
      </c>
      <c r="B4838" s="18" t="str">
        <f aca="false">'SALES Raw'!B1708</f>
        <v>808KT-C</v>
      </c>
      <c r="C4838" s="18" t="str">
        <f aca="false">'SALES Raw'!H1708</f>
        <v>808KT-C        טייפ קינזיולוגי</v>
      </c>
      <c r="D4838" s="19" t="n">
        <f aca="false">'SALES Raw'!C1708</f>
        <v>6</v>
      </c>
      <c r="E4838" s="19" t="n">
        <f aca="false">'SALES Raw'!D1708</f>
        <v>180</v>
      </c>
      <c r="F4838" s="19" t="n">
        <f aca="false">'SALES Raw'!E1708*$H$4</f>
        <v>0</v>
      </c>
      <c r="G4838" s="19" t="n">
        <f aca="false">'SALES Raw'!F1708*$H$4</f>
        <v>0</v>
      </c>
      <c r="H4838" s="18" t="str">
        <f aca="false">'SALES Raw'!A1708</f>
        <v>106 - Hospitals</v>
      </c>
    </row>
    <row r="4839" customFormat="false" ht="15" hidden="false" customHeight="false" outlineLevel="0" collapsed="false">
      <c r="A4839" s="18" t="n">
        <f aca="false">'SALES Raw'!G1709</f>
        <v>4409014</v>
      </c>
      <c r="B4839" s="18" t="str">
        <f aca="false">'SALES Raw'!B1709</f>
        <v>808KT-P</v>
      </c>
      <c r="C4839" s="18" t="str">
        <f aca="false">'SALES Raw'!H1709</f>
        <v>808KT-P        טייפ קינזיולוגי</v>
      </c>
      <c r="D4839" s="19" t="n">
        <f aca="false">'SALES Raw'!C1709</f>
        <v>6</v>
      </c>
      <c r="E4839" s="19" t="n">
        <f aca="false">'SALES Raw'!D1709</f>
        <v>180</v>
      </c>
      <c r="F4839" s="19" t="n">
        <f aca="false">'SALES Raw'!E1709*$H$4</f>
        <v>0</v>
      </c>
      <c r="G4839" s="19" t="n">
        <f aca="false">'SALES Raw'!F1709*$H$4</f>
        <v>0</v>
      </c>
      <c r="H4839" s="18" t="str">
        <f aca="false">'SALES Raw'!A1709</f>
        <v>106 - Hospitals</v>
      </c>
    </row>
    <row r="4840" customFormat="false" ht="15" hidden="false" customHeight="false" outlineLevel="0" collapsed="false">
      <c r="A4840" s="18" t="n">
        <f aca="false">'SALES Raw'!G1714</f>
        <v>4408206</v>
      </c>
      <c r="B4840" s="18" t="str">
        <f aca="false">'SALES Raw'!B1714</f>
        <v>AC11 0</v>
      </c>
      <c r="C4840" s="18" t="str">
        <f aca="false">'SALES Raw'!H1714</f>
        <v>AC-11 חגורת בטן קלה</v>
      </c>
      <c r="D4840" s="19" t="n">
        <f aca="false">'SALES Raw'!C1714</f>
        <v>5</v>
      </c>
      <c r="E4840" s="19" t="n">
        <f aca="false">'SALES Raw'!D1714</f>
        <v>292.93</v>
      </c>
      <c r="F4840" s="19" t="n">
        <f aca="false">'SALES Raw'!E1714*$H$4</f>
        <v>0</v>
      </c>
      <c r="G4840" s="19" t="n">
        <f aca="false">'SALES Raw'!F1714*$H$4</f>
        <v>0</v>
      </c>
      <c r="H4840" s="18" t="str">
        <f aca="false">'SALES Raw'!A1714</f>
        <v>106 - Hospitals</v>
      </c>
    </row>
    <row r="4841" customFormat="false" ht="15" hidden="false" customHeight="false" outlineLevel="0" collapsed="false">
      <c r="A4841" s="18" t="n">
        <f aca="false">'SALES Raw'!G1715</f>
        <v>4408207</v>
      </c>
      <c r="B4841" s="18" t="str">
        <f aca="false">'SALES Raw'!B1715</f>
        <v>AC25 0</v>
      </c>
      <c r="C4841" s="18" t="str">
        <f aca="false">'SALES Raw'!H1715</f>
        <v>AC-25 חבק לשורש כף היד</v>
      </c>
      <c r="D4841" s="19" t="n">
        <f aca="false">'SALES Raw'!C1715</f>
        <v>5</v>
      </c>
      <c r="E4841" s="19" t="n">
        <f aca="false">'SALES Raw'!D1715</f>
        <v>122.74</v>
      </c>
      <c r="F4841" s="19" t="n">
        <f aca="false">'SALES Raw'!E1715*$H$4</f>
        <v>0</v>
      </c>
      <c r="G4841" s="19" t="n">
        <f aca="false">'SALES Raw'!F1715*$H$4</f>
        <v>0</v>
      </c>
      <c r="H4841" s="18" t="str">
        <f aca="false">'SALES Raw'!A1715</f>
        <v>106 - Hospitals</v>
      </c>
    </row>
    <row r="4842" customFormat="false" ht="15" hidden="false" customHeight="false" outlineLevel="0" collapsed="false">
      <c r="A4842" s="18" t="n">
        <f aca="false">'SALES Raw'!G1722</f>
        <v>4413456</v>
      </c>
      <c r="B4842" s="18" t="str">
        <f aca="false">'SALES Raw'!B1722</f>
        <v>AC75 XXL</v>
      </c>
      <c r="C4842" s="18" t="str">
        <f aca="false">'SALES Raw'!H1722</f>
        <v>AC75 XXL  מיישר כתפיים אקטיב</v>
      </c>
      <c r="D4842" s="19" t="n">
        <f aca="false">'SALES Raw'!C1722</f>
        <v>4</v>
      </c>
      <c r="E4842" s="19" t="n">
        <f aca="false">'SALES Raw'!D1722</f>
        <v>286.97</v>
      </c>
      <c r="F4842" s="19" t="n">
        <f aca="false">'SALES Raw'!E1722*$H$4</f>
        <v>0</v>
      </c>
      <c r="G4842" s="19" t="n">
        <f aca="false">'SALES Raw'!F1722*$H$4</f>
        <v>0</v>
      </c>
      <c r="H4842" s="18" t="str">
        <f aca="false">'SALES Raw'!A1722</f>
        <v>106 - Hospitals</v>
      </c>
    </row>
    <row r="4843" customFormat="false" ht="15" hidden="false" customHeight="false" outlineLevel="0" collapsed="false">
      <c r="A4843" s="18" t="n">
        <f aca="false">'SALES Raw'!G1727</f>
        <v>4411026</v>
      </c>
      <c r="B4843" s="18" t="str">
        <f aca="false">'SALES Raw'!B1727</f>
        <v>213CTSL L</v>
      </c>
      <c r="C4843" s="18" t="str">
        <f aca="false">'SALES Raw'!H1727</f>
        <v>213CTSL L שמאל CTS כפפות</v>
      </c>
      <c r="D4843" s="19" t="n">
        <f aca="false">'SALES Raw'!C1727</f>
        <v>1</v>
      </c>
      <c r="E4843" s="19" t="n">
        <f aca="false">'SALES Raw'!D1727</f>
        <v>90</v>
      </c>
      <c r="F4843" s="19" t="n">
        <f aca="false">'SALES Raw'!E1727*$H$4</f>
        <v>0</v>
      </c>
      <c r="G4843" s="19" t="n">
        <f aca="false">'SALES Raw'!F1727*$H$4</f>
        <v>0</v>
      </c>
      <c r="H4843" s="18" t="str">
        <f aca="false">'SALES Raw'!A1727</f>
        <v>106 - Hospitals</v>
      </c>
    </row>
    <row r="4844" customFormat="false" ht="15" hidden="false" customHeight="false" outlineLevel="0" collapsed="false">
      <c r="A4844" s="18" t="n">
        <f aca="false">'SALES Raw'!G1728</f>
        <v>4411027</v>
      </c>
      <c r="B4844" s="18" t="str">
        <f aca="false">'SALES Raw'!B1728</f>
        <v>213CTSL M</v>
      </c>
      <c r="C4844" s="18" t="str">
        <f aca="false">'SALES Raw'!H1728</f>
        <v>213CTSL M שמאל CTS כפפות</v>
      </c>
      <c r="D4844" s="19" t="n">
        <f aca="false">'SALES Raw'!C1728</f>
        <v>1</v>
      </c>
      <c r="E4844" s="19" t="n">
        <f aca="false">'SALES Raw'!D1728</f>
        <v>90</v>
      </c>
      <c r="F4844" s="19" t="n">
        <f aca="false">'SALES Raw'!E1728*$H$4</f>
        <v>0</v>
      </c>
      <c r="G4844" s="19" t="n">
        <f aca="false">'SALES Raw'!F1728*$H$4</f>
        <v>0</v>
      </c>
      <c r="H4844" s="18" t="str">
        <f aca="false">'SALES Raw'!A1728</f>
        <v>106 - Hospitals</v>
      </c>
    </row>
    <row r="4845" customFormat="false" ht="15" hidden="false" customHeight="false" outlineLevel="0" collapsed="false">
      <c r="A4845" s="18" t="n">
        <f aca="false">'SALES Raw'!G1729</f>
        <v>4411028</v>
      </c>
      <c r="B4845" s="18" t="str">
        <f aca="false">'SALES Raw'!B1729</f>
        <v>213CTSL S</v>
      </c>
      <c r="C4845" s="18" t="str">
        <f aca="false">'SALES Raw'!H1729</f>
        <v>213CTSL S שמאל CTS כפפות</v>
      </c>
      <c r="D4845" s="19" t="n">
        <f aca="false">'SALES Raw'!C1729</f>
        <v>1</v>
      </c>
      <c r="E4845" s="19" t="n">
        <f aca="false">'SALES Raw'!D1729</f>
        <v>90</v>
      </c>
      <c r="F4845" s="19" t="n">
        <f aca="false">'SALES Raw'!E1729*$H$4</f>
        <v>0</v>
      </c>
      <c r="G4845" s="19" t="n">
        <f aca="false">'SALES Raw'!F1729*$H$4</f>
        <v>0</v>
      </c>
      <c r="H4845" s="18" t="str">
        <f aca="false">'SALES Raw'!A1729</f>
        <v>106 - Hospitals</v>
      </c>
    </row>
    <row r="4846" customFormat="false" ht="15" hidden="false" customHeight="false" outlineLevel="0" collapsed="false">
      <c r="A4846" s="18" t="n">
        <f aca="false">'SALES Raw'!G1730</f>
        <v>4411029</v>
      </c>
      <c r="B4846" s="18" t="str">
        <f aca="false">'SALES Raw'!B1730</f>
        <v>213CTSR L</v>
      </c>
      <c r="C4846" s="18" t="str">
        <f aca="false">'SALES Raw'!H1730</f>
        <v>213CTSR L ימין CTS כפפות</v>
      </c>
      <c r="D4846" s="19" t="n">
        <f aca="false">'SALES Raw'!C1730</f>
        <v>1</v>
      </c>
      <c r="E4846" s="19" t="n">
        <f aca="false">'SALES Raw'!D1730</f>
        <v>90</v>
      </c>
      <c r="F4846" s="19" t="n">
        <f aca="false">'SALES Raw'!E1730*$H$4</f>
        <v>0</v>
      </c>
      <c r="G4846" s="19" t="n">
        <f aca="false">'SALES Raw'!F1730*$H$4</f>
        <v>0</v>
      </c>
      <c r="H4846" s="18" t="str">
        <f aca="false">'SALES Raw'!A1730</f>
        <v>106 - Hospitals</v>
      </c>
    </row>
    <row r="4847" customFormat="false" ht="15" hidden="false" customHeight="false" outlineLevel="0" collapsed="false">
      <c r="A4847" s="18" t="n">
        <f aca="false">'SALES Raw'!G1731</f>
        <v>4411030</v>
      </c>
      <c r="B4847" s="18" t="str">
        <f aca="false">'SALES Raw'!B1731</f>
        <v>213CTSR M</v>
      </c>
      <c r="C4847" s="18" t="str">
        <f aca="false">'SALES Raw'!H1731</f>
        <v>213CTSR M ימין CTS כפפות</v>
      </c>
      <c r="D4847" s="19" t="n">
        <f aca="false">'SALES Raw'!C1731</f>
        <v>1</v>
      </c>
      <c r="E4847" s="19" t="n">
        <f aca="false">'SALES Raw'!D1731</f>
        <v>90</v>
      </c>
      <c r="F4847" s="19" t="n">
        <f aca="false">'SALES Raw'!E1731*$H$4</f>
        <v>0</v>
      </c>
      <c r="G4847" s="19" t="n">
        <f aca="false">'SALES Raw'!F1731*$H$4</f>
        <v>0</v>
      </c>
      <c r="H4847" s="18" t="str">
        <f aca="false">'SALES Raw'!A1731</f>
        <v>106 - Hospitals</v>
      </c>
    </row>
    <row r="4848" customFormat="false" ht="15" hidden="false" customHeight="false" outlineLevel="0" collapsed="false">
      <c r="A4848" s="18" t="n">
        <f aca="false">'SALES Raw'!G1732</f>
        <v>4411031</v>
      </c>
      <c r="B4848" s="18" t="str">
        <f aca="false">'SALES Raw'!B1732</f>
        <v>213CTSR S</v>
      </c>
      <c r="C4848" s="18" t="str">
        <f aca="false">'SALES Raw'!H1732</f>
        <v>213CTS  S ימין CTS כפפות</v>
      </c>
      <c r="D4848" s="19" t="n">
        <f aca="false">'SALES Raw'!C1732</f>
        <v>1</v>
      </c>
      <c r="E4848" s="19" t="n">
        <f aca="false">'SALES Raw'!D1732</f>
        <v>90</v>
      </c>
      <c r="F4848" s="19" t="n">
        <f aca="false">'SALES Raw'!E1732*$H$4</f>
        <v>0</v>
      </c>
      <c r="G4848" s="19" t="n">
        <f aca="false">'SALES Raw'!F1732*$H$4</f>
        <v>0</v>
      </c>
      <c r="H4848" s="18" t="str">
        <f aca="false">'SALES Raw'!A1732</f>
        <v>106 - Hospitals</v>
      </c>
    </row>
    <row r="4849" customFormat="false" ht="15" hidden="false" customHeight="false" outlineLevel="0" collapsed="false">
      <c r="A4849" s="18" t="n">
        <f aca="false">'SALES Raw'!G1733</f>
        <v>4413161</v>
      </c>
      <c r="B4849" s="18" t="str">
        <f aca="false">'SALES Raw'!B1733</f>
        <v>34+ L</v>
      </c>
      <c r="C4849" s="18" t="str">
        <f aca="false">'SALES Raw'!H1733</f>
        <v>34+ L מגן קרסול עקב סגור+רצוע</v>
      </c>
      <c r="D4849" s="19" t="n">
        <f aca="false">'SALES Raw'!C1733</f>
        <v>2</v>
      </c>
      <c r="E4849" s="19" t="n">
        <f aca="false">'SALES Raw'!D1733</f>
        <v>140.52</v>
      </c>
      <c r="F4849" s="19" t="n">
        <f aca="false">'SALES Raw'!E1733*$H$4</f>
        <v>0</v>
      </c>
      <c r="G4849" s="19" t="n">
        <f aca="false">'SALES Raw'!F1733*$H$4</f>
        <v>0</v>
      </c>
      <c r="H4849" s="18" t="str">
        <f aca="false">'SALES Raw'!A1733</f>
        <v>106 - Hospitals</v>
      </c>
    </row>
    <row r="4850" customFormat="false" ht="15" hidden="false" customHeight="false" outlineLevel="0" collapsed="false">
      <c r="A4850" s="18" t="n">
        <f aca="false">'SALES Raw'!G1734</f>
        <v>4413162</v>
      </c>
      <c r="B4850" s="18" t="str">
        <f aca="false">'SALES Raw'!B1734</f>
        <v>34+ XL</v>
      </c>
      <c r="C4850" s="18" t="str">
        <f aca="false">'SALES Raw'!H1734</f>
        <v>34+XL מגן קרסול עקב סגור+רצוע</v>
      </c>
      <c r="D4850" s="19" t="n">
        <f aca="false">'SALES Raw'!C1734</f>
        <v>2</v>
      </c>
      <c r="E4850" s="19" t="n">
        <f aca="false">'SALES Raw'!D1734</f>
        <v>140.52</v>
      </c>
      <c r="F4850" s="19" t="n">
        <f aca="false">'SALES Raw'!E1734*$H$4</f>
        <v>0</v>
      </c>
      <c r="G4850" s="19" t="n">
        <f aca="false">'SALES Raw'!F1734*$H$4</f>
        <v>0</v>
      </c>
      <c r="H4850" s="18" t="str">
        <f aca="false">'SALES Raw'!A1734</f>
        <v>106 - Hospitals</v>
      </c>
    </row>
    <row r="4851" customFormat="false" ht="15" hidden="false" customHeight="false" outlineLevel="0" collapsed="false">
      <c r="A4851" s="18" t="n">
        <f aca="false">'SALES Raw'!G1736</f>
        <v>4403042</v>
      </c>
      <c r="B4851" s="18" t="str">
        <f aca="false">'SALES Raw'!B1736</f>
        <v>397A-39-42</v>
      </c>
      <c r="C4851" s="18" t="str">
        <f aca="false">'SALES Raw'!H1736</f>
        <v>397A-גרבי טיסה אנטי בקטרי39-42</v>
      </c>
      <c r="D4851" s="19" t="n">
        <f aca="false">'SALES Raw'!C1736</f>
        <v>2</v>
      </c>
      <c r="E4851" s="19" t="n">
        <f aca="false">'SALES Raw'!D1736</f>
        <v>126.46</v>
      </c>
      <c r="F4851" s="19" t="n">
        <f aca="false">'SALES Raw'!E1736*$H$4</f>
        <v>0</v>
      </c>
      <c r="G4851" s="19" t="n">
        <f aca="false">'SALES Raw'!F1736*$H$4</f>
        <v>0</v>
      </c>
      <c r="H4851" s="18" t="str">
        <f aca="false">'SALES Raw'!A1736</f>
        <v>106 - Hospitals</v>
      </c>
    </row>
    <row r="4852" customFormat="false" ht="15" hidden="false" customHeight="false" outlineLevel="0" collapsed="false">
      <c r="A4852" s="18" t="n">
        <f aca="false">'SALES Raw'!G1737</f>
        <v>4403043</v>
      </c>
      <c r="B4852" s="18" t="str">
        <f aca="false">'SALES Raw'!B1737</f>
        <v>397A-43-46</v>
      </c>
      <c r="C4852" s="18" t="str">
        <f aca="false">'SALES Raw'!H1737</f>
        <v>397A-גרבי טיסה אנטי בקטרי43-46</v>
      </c>
      <c r="D4852" s="19" t="n">
        <f aca="false">'SALES Raw'!C1737</f>
        <v>2</v>
      </c>
      <c r="E4852" s="19" t="n">
        <f aca="false">'SALES Raw'!D1737</f>
        <v>126.46</v>
      </c>
      <c r="F4852" s="19" t="n">
        <f aca="false">'SALES Raw'!E1737*$H$4</f>
        <v>0</v>
      </c>
      <c r="G4852" s="19" t="n">
        <f aca="false">'SALES Raw'!F1737*$H$4</f>
        <v>0</v>
      </c>
      <c r="H4852" s="18" t="str">
        <f aca="false">'SALES Raw'!A1737</f>
        <v>106 - Hospitals</v>
      </c>
    </row>
    <row r="4853" customFormat="false" ht="15" hidden="false" customHeight="false" outlineLevel="0" collapsed="false">
      <c r="A4853" s="18" t="n">
        <f aca="false">'SALES Raw'!G1738</f>
        <v>4420017</v>
      </c>
      <c r="B4853" s="18" t="str">
        <f aca="false">'SALES Raw'!B1738</f>
        <v>4022 0</v>
      </c>
      <c r="C4853" s="18" t="str">
        <f aca="false">'SALES Raw'!H1738</f>
        <v>4022 רצועת """"פיקה""""+כרית</v>
      </c>
      <c r="D4853" s="19" t="n">
        <f aca="false">'SALES Raw'!C1738</f>
        <v>2</v>
      </c>
      <c r="E4853" s="19" t="n">
        <f aca="false">'SALES Raw'!D1738</f>
        <v>189.27</v>
      </c>
      <c r="F4853" s="19" t="n">
        <f aca="false">'SALES Raw'!E1738*$H$4</f>
        <v>0</v>
      </c>
      <c r="G4853" s="19" t="n">
        <f aca="false">'SALES Raw'!F1738*$H$4</f>
        <v>0</v>
      </c>
      <c r="H4853" s="18" t="str">
        <f aca="false">'SALES Raw'!A1738</f>
        <v>106 - Hospitals</v>
      </c>
    </row>
    <row r="4854" customFormat="false" ht="15" hidden="false" customHeight="false" outlineLevel="0" collapsed="false">
      <c r="A4854" s="18" t="str">
        <f aca="false">'SALES Raw'!G1739</f>
        <v/>
      </c>
      <c r="B4854" s="18" t="str">
        <f aca="false">'SALES Raw'!B1739</f>
        <v>67813000</v>
      </c>
      <c r="C4854" s="18" t="str">
        <f aca="false">'SALES Raw'!H1739</f>
        <v>67813000</v>
      </c>
      <c r="D4854" s="19" t="n">
        <f aca="false">'SALES Raw'!C1739</f>
        <v>1</v>
      </c>
      <c r="E4854" s="19" t="n">
        <f aca="false">'SALES Raw'!D1739</f>
        <v>0.01</v>
      </c>
      <c r="F4854" s="19" t="n">
        <f aca="false">'SALES Raw'!E1739*$H$4</f>
        <v>0</v>
      </c>
      <c r="G4854" s="19" t="n">
        <f aca="false">'SALES Raw'!F1739*$H$4</f>
        <v>0</v>
      </c>
      <c r="H4854" s="18" t="str">
        <f aca="false">'SALES Raw'!A1739</f>
        <v>106 - Hospitals</v>
      </c>
    </row>
    <row r="4855" customFormat="false" ht="15" hidden="false" customHeight="false" outlineLevel="0" collapsed="false">
      <c r="A4855" s="18" t="n">
        <f aca="false">'SALES Raw'!G1741</f>
        <v>4408192</v>
      </c>
      <c r="B4855" s="18" t="str">
        <f aca="false">'SALES Raw'!B1741</f>
        <v>078 L</v>
      </c>
      <c r="C4855" s="18" t="str">
        <f aca="false">'SALES Raw'!H1741</f>
        <v>078 L חגורת גב +סגירה</v>
      </c>
      <c r="D4855" s="19" t="n">
        <f aca="false">'SALES Raw'!C1741</f>
        <v>2</v>
      </c>
      <c r="E4855" s="19" t="n">
        <f aca="false">'SALES Raw'!D1741</f>
        <v>217.36</v>
      </c>
      <c r="F4855" s="19" t="n">
        <f aca="false">'SALES Raw'!E1741*$H$4</f>
        <v>0</v>
      </c>
      <c r="G4855" s="19" t="n">
        <f aca="false">'SALES Raw'!F1741*$H$4</f>
        <v>0</v>
      </c>
      <c r="H4855" s="18" t="str">
        <f aca="false">'SALES Raw'!A1741</f>
        <v>106 - Hospitals</v>
      </c>
    </row>
    <row r="4856" customFormat="false" ht="15" hidden="false" customHeight="false" outlineLevel="0" collapsed="false">
      <c r="A4856" s="18" t="n">
        <f aca="false">'SALES Raw'!G1742</f>
        <v>4408190</v>
      </c>
      <c r="B4856" s="18" t="str">
        <f aca="false">'SALES Raw'!B1742</f>
        <v>078 M</v>
      </c>
      <c r="C4856" s="18" t="str">
        <f aca="false">'SALES Raw'!H1742</f>
        <v>M078 חגורת גב +סגירה כפולה</v>
      </c>
      <c r="D4856" s="19" t="n">
        <f aca="false">'SALES Raw'!C1742</f>
        <v>1</v>
      </c>
      <c r="E4856" s="19" t="n">
        <f aca="false">'SALES Raw'!D1742</f>
        <v>108.68</v>
      </c>
      <c r="F4856" s="19" t="n">
        <f aca="false">'SALES Raw'!E1742*$H$4</f>
        <v>0</v>
      </c>
      <c r="G4856" s="19" t="n">
        <f aca="false">'SALES Raw'!F1742*$H$4</f>
        <v>0</v>
      </c>
      <c r="H4856" s="18" t="str">
        <f aca="false">'SALES Raw'!A1742</f>
        <v>106 - Hospitals</v>
      </c>
    </row>
    <row r="4857" customFormat="false" ht="15" hidden="false" customHeight="false" outlineLevel="0" collapsed="false">
      <c r="A4857" s="18" t="n">
        <f aca="false">'SALES Raw'!G1743</f>
        <v>4408218</v>
      </c>
      <c r="B4857" s="18" t="str">
        <f aca="false">'SALES Raw'!B1743</f>
        <v>078 XL</v>
      </c>
      <c r="C4857" s="18" t="str">
        <f aca="false">'SALES Raw'!H1743</f>
        <v>078XL חגורת גב +סגירה כפולה</v>
      </c>
      <c r="D4857" s="19" t="n">
        <f aca="false">'SALES Raw'!C1743</f>
        <v>4</v>
      </c>
      <c r="E4857" s="19" t="n">
        <f aca="false">'SALES Raw'!D1743</f>
        <v>434.72</v>
      </c>
      <c r="F4857" s="19" t="n">
        <f aca="false">'SALES Raw'!E1743*$H$4</f>
        <v>0</v>
      </c>
      <c r="G4857" s="19" t="n">
        <f aca="false">'SALES Raw'!F1743*$H$4</f>
        <v>0</v>
      </c>
      <c r="H4857" s="18" t="str">
        <f aca="false">'SALES Raw'!A1743</f>
        <v>106 - Hospitals</v>
      </c>
    </row>
    <row r="4858" customFormat="false" ht="15" hidden="false" customHeight="false" outlineLevel="0" collapsed="false">
      <c r="A4858" s="18" t="n">
        <f aca="false">'SALES Raw'!G1750</f>
        <v>4413348</v>
      </c>
      <c r="B4858" s="18" t="str">
        <f aca="false">'SALES Raw'!B1750</f>
        <v>302M 0</v>
      </c>
      <c r="C4858" s="18" t="str">
        <f aca="false">'SALES Raw'!H1750</f>
        <v>302 מדרס ג'ל לגבר</v>
      </c>
      <c r="D4858" s="19" t="n">
        <f aca="false">'SALES Raw'!C1750</f>
        <v>48</v>
      </c>
      <c r="E4858" s="19" t="n">
        <f aca="false">'SALES Raw'!D1750</f>
        <v>2880</v>
      </c>
      <c r="F4858" s="19" t="n">
        <f aca="false">'SALES Raw'!E1750*$H$4</f>
        <v>0</v>
      </c>
      <c r="G4858" s="19" t="n">
        <f aca="false">'SALES Raw'!F1750*$H$4</f>
        <v>0</v>
      </c>
      <c r="H4858" s="18" t="str">
        <f aca="false">'SALES Raw'!A1750</f>
        <v>108 - Shoe Stores</v>
      </c>
    </row>
    <row r="4859" customFormat="false" ht="15" hidden="false" customHeight="false" outlineLevel="0" collapsed="false">
      <c r="A4859" s="18" t="n">
        <f aca="false">'SALES Raw'!G1751</f>
        <v>4413372</v>
      </c>
      <c r="B4859" s="18" t="str">
        <f aca="false">'SALES Raw'!B1751</f>
        <v>302W 0</v>
      </c>
      <c r="C4859" s="18" t="str">
        <f aca="false">'SALES Raw'!H1751</f>
        <v>302 W מדרס לאישה</v>
      </c>
      <c r="D4859" s="19" t="n">
        <f aca="false">'SALES Raw'!C1751</f>
        <v>40</v>
      </c>
      <c r="E4859" s="19" t="n">
        <f aca="false">'SALES Raw'!D1751</f>
        <v>2400</v>
      </c>
      <c r="F4859" s="19" t="n">
        <f aca="false">'SALES Raw'!E1751*$H$4</f>
        <v>0</v>
      </c>
      <c r="G4859" s="19" t="n">
        <f aca="false">'SALES Raw'!F1751*$H$4</f>
        <v>0</v>
      </c>
      <c r="H4859" s="18" t="str">
        <f aca="false">'SALES Raw'!A1751</f>
        <v>108 - Shoe Stores</v>
      </c>
    </row>
    <row r="4860" customFormat="false" ht="15" hidden="false" customHeight="false" outlineLevel="0" collapsed="false">
      <c r="A4860" s="18" t="n">
        <f aca="false">'SALES Raw'!G1752</f>
        <v>4413033</v>
      </c>
      <c r="B4860" s="18" t="str">
        <f aca="false">'SALES Raw'!B1752</f>
        <v>311 0</v>
      </c>
      <c r="C4860" s="18" t="str">
        <f aca="false">'SALES Raw'!H1752</f>
        <v>311'מדב.ג'ל למניעת שפשוף 5 יח</v>
      </c>
      <c r="D4860" s="19" t="n">
        <f aca="false">'SALES Raw'!C1752</f>
        <v>14</v>
      </c>
      <c r="E4860" s="19" t="n">
        <f aca="false">'SALES Raw'!D1752</f>
        <v>226.59</v>
      </c>
      <c r="F4860" s="19" t="n">
        <f aca="false">'SALES Raw'!E1752*$H$4</f>
        <v>0</v>
      </c>
      <c r="G4860" s="19" t="n">
        <f aca="false">'SALES Raw'!F1752*$H$4</f>
        <v>0</v>
      </c>
      <c r="H4860" s="18" t="str">
        <f aca="false">'SALES Raw'!A1752</f>
        <v>108 - Shoe Stores</v>
      </c>
    </row>
    <row r="4861" customFormat="false" ht="15" hidden="false" customHeight="false" outlineLevel="0" collapsed="false">
      <c r="A4861" s="18" t="n">
        <f aca="false">'SALES Raw'!G1753</f>
        <v>4415297</v>
      </c>
      <c r="B4861" s="18" t="str">
        <f aca="false">'SALES Raw'!B1753</f>
        <v>313 0</v>
      </c>
      <c r="C4861" s="18" t="str">
        <f aca="false">'SALES Raw'!H1753</f>
        <v>313 סט פלסטרים נגד שפשופים</v>
      </c>
      <c r="D4861" s="19" t="n">
        <f aca="false">'SALES Raw'!C1753</f>
        <v>14</v>
      </c>
      <c r="E4861" s="19" t="n">
        <f aca="false">'SALES Raw'!D1753</f>
        <v>331.84</v>
      </c>
      <c r="F4861" s="19" t="n">
        <f aca="false">'SALES Raw'!E1753*$H$4</f>
        <v>0</v>
      </c>
      <c r="G4861" s="19" t="n">
        <f aca="false">'SALES Raw'!F1753*$H$4</f>
        <v>0</v>
      </c>
      <c r="H4861" s="18" t="str">
        <f aca="false">'SALES Raw'!A1753</f>
        <v>108 - Shoe Stores</v>
      </c>
    </row>
    <row r="4862" customFormat="false" ht="15" hidden="false" customHeight="false" outlineLevel="0" collapsed="false">
      <c r="A4862" s="18" t="n">
        <f aca="false">'SALES Raw'!G1754</f>
        <v>4402007</v>
      </c>
      <c r="B4862" s="18" t="str">
        <f aca="false">'SALES Raw'!B1754</f>
        <v>320 0</v>
      </c>
      <c r="C4862" s="18" t="str">
        <f aca="false">'SALES Raw'!H1754</f>
        <v>320 בליסטר פלסטר</v>
      </c>
      <c r="D4862" s="19" t="n">
        <f aca="false">'SALES Raw'!C1754</f>
        <v>14</v>
      </c>
      <c r="E4862" s="19" t="n">
        <f aca="false">'SALES Raw'!D1754</f>
        <v>268.75</v>
      </c>
      <c r="F4862" s="19" t="n">
        <f aca="false">'SALES Raw'!E1754*$H$4</f>
        <v>0</v>
      </c>
      <c r="G4862" s="19" t="n">
        <f aca="false">'SALES Raw'!F1754*$H$4</f>
        <v>0</v>
      </c>
      <c r="H4862" s="18" t="str">
        <f aca="false">'SALES Raw'!A1754</f>
        <v>108 - Shoe Stores</v>
      </c>
    </row>
    <row r="4863" customFormat="false" ht="15" hidden="false" customHeight="false" outlineLevel="0" collapsed="false">
      <c r="A4863" s="18" t="n">
        <f aca="false">'SALES Raw'!G1755</f>
        <v>4421001</v>
      </c>
      <c r="B4863" s="18" t="str">
        <f aca="false">'SALES Raw'!B1755</f>
        <v>3611 0</v>
      </c>
      <c r="C4863" s="18" t="str">
        <f aca="false">'SALES Raw'!H1755</f>
        <v>3611 שרוול מטטרזלי מסיליקון</v>
      </c>
      <c r="D4863" s="19" t="n">
        <f aca="false">'SALES Raw'!C1755</f>
        <v>14</v>
      </c>
      <c r="E4863" s="19" t="n">
        <f aca="false">'SALES Raw'!D1755</f>
        <v>845.38</v>
      </c>
      <c r="F4863" s="19" t="n">
        <f aca="false">'SALES Raw'!E1755*$H$4</f>
        <v>0</v>
      </c>
      <c r="G4863" s="19" t="n">
        <f aca="false">'SALES Raw'!F1755*$H$4</f>
        <v>0</v>
      </c>
      <c r="H4863" s="18" t="str">
        <f aca="false">'SALES Raw'!A1755</f>
        <v>108 - Shoe Stores</v>
      </c>
    </row>
    <row r="4864" customFormat="false" ht="15" hidden="false" customHeight="false" outlineLevel="0" collapsed="false">
      <c r="A4864" s="18" t="n">
        <f aca="false">'SALES Raw'!G1756</f>
        <v>4413059</v>
      </c>
      <c r="B4864" s="18" t="str">
        <f aca="false">'SALES Raw'!B1756</f>
        <v>364-S-L</v>
      </c>
      <c r="C4864" s="18" t="str">
        <f aca="false">'SALES Raw'!H1756</f>
        <v>364S Lמפר.אצבע סיליק. ליבל.זוג</v>
      </c>
      <c r="D4864" s="19" t="n">
        <f aca="false">'SALES Raw'!C1756</f>
        <v>14</v>
      </c>
      <c r="E4864" s="19" t="n">
        <f aca="false">'SALES Raw'!D1756</f>
        <v>199.99</v>
      </c>
      <c r="F4864" s="19" t="n">
        <f aca="false">'SALES Raw'!E1756*$H$4</f>
        <v>0</v>
      </c>
      <c r="G4864" s="19" t="n">
        <f aca="false">'SALES Raw'!F1756*$H$4</f>
        <v>0</v>
      </c>
      <c r="H4864" s="18" t="str">
        <f aca="false">'SALES Raw'!A1756</f>
        <v>108 - Shoe Stores</v>
      </c>
    </row>
    <row r="4865" customFormat="false" ht="15" hidden="false" customHeight="false" outlineLevel="0" collapsed="false">
      <c r="A4865" s="18" t="n">
        <f aca="false">'SALES Raw'!G1757</f>
        <v>4413060</v>
      </c>
      <c r="B4865" s="18" t="str">
        <f aca="false">'SALES Raw'!B1757</f>
        <v>364 XL</v>
      </c>
      <c r="C4865" s="18" t="str">
        <f aca="false">'SALES Raw'!H1757</f>
        <v>364 XLמפריד אצבע סיליקון ליבלת</v>
      </c>
      <c r="D4865" s="19" t="n">
        <f aca="false">'SALES Raw'!C1757</f>
        <v>14</v>
      </c>
      <c r="E4865" s="19" t="n">
        <f aca="false">'SALES Raw'!D1757</f>
        <v>199.99</v>
      </c>
      <c r="F4865" s="19" t="n">
        <f aca="false">'SALES Raw'!E1757*$H$4</f>
        <v>0</v>
      </c>
      <c r="G4865" s="19" t="n">
        <f aca="false">'SALES Raw'!F1757*$H$4</f>
        <v>0</v>
      </c>
      <c r="H4865" s="18" t="str">
        <f aca="false">'SALES Raw'!A1757</f>
        <v>108 - Shoe Stores</v>
      </c>
    </row>
    <row r="4866" customFormat="false" ht="15" hidden="false" customHeight="false" outlineLevel="0" collapsed="false">
      <c r="A4866" s="18" t="n">
        <f aca="false">'SALES Raw'!G1758</f>
        <v>4401000</v>
      </c>
      <c r="B4866" s="18" t="str">
        <f aca="false">'SALES Raw'!B1758</f>
        <v>369-S-L</v>
      </c>
      <c r="C4866" s="18" t="str">
        <f aca="false">'SALES Raw'!H1758</f>
        <v>369  S-L אצבעון מסיליקון יחידה</v>
      </c>
      <c r="D4866" s="19" t="n">
        <f aca="false">'SALES Raw'!C1758</f>
        <v>14</v>
      </c>
      <c r="E4866" s="19" t="n">
        <f aca="false">'SALES Raw'!D1758</f>
        <v>331.84</v>
      </c>
      <c r="F4866" s="19" t="n">
        <f aca="false">'SALES Raw'!E1758*$H$4</f>
        <v>0</v>
      </c>
      <c r="G4866" s="19" t="n">
        <f aca="false">'SALES Raw'!F1758*$H$4</f>
        <v>0</v>
      </c>
      <c r="H4866" s="18" t="str">
        <f aca="false">'SALES Raw'!A1758</f>
        <v>108 - Shoe Stores</v>
      </c>
    </row>
    <row r="4867" customFormat="false" ht="15" hidden="false" customHeight="false" outlineLevel="0" collapsed="false">
      <c r="A4867" s="18" t="n">
        <f aca="false">'SALES Raw'!G1759</f>
        <v>4401001</v>
      </c>
      <c r="B4867" s="18" t="str">
        <f aca="false">'SALES Raw'!B1759</f>
        <v>369-XL</v>
      </c>
      <c r="C4867" s="18" t="str">
        <f aca="false">'SALES Raw'!H1759</f>
        <v>369   XL אצבעון מסיליקון יחידה</v>
      </c>
      <c r="D4867" s="19" t="n">
        <f aca="false">'SALES Raw'!C1759</f>
        <v>14</v>
      </c>
      <c r="E4867" s="19" t="n">
        <f aca="false">'SALES Raw'!D1759</f>
        <v>364.78</v>
      </c>
      <c r="F4867" s="19" t="n">
        <f aca="false">'SALES Raw'!E1759*$H$4</f>
        <v>0</v>
      </c>
      <c r="G4867" s="19" t="n">
        <f aca="false">'SALES Raw'!F1759*$H$4</f>
        <v>0</v>
      </c>
      <c r="H4867" s="18" t="str">
        <f aca="false">'SALES Raw'!A1759</f>
        <v>108 - Shoe Stores</v>
      </c>
    </row>
    <row r="4868" customFormat="false" ht="15" hidden="false" customHeight="false" outlineLevel="0" collapsed="false">
      <c r="A4868" s="18" t="n">
        <f aca="false">'SALES Raw'!G1760</f>
        <v>4420000</v>
      </c>
      <c r="B4868" s="18" t="str">
        <f aca="false">'SALES Raw'!B1760</f>
        <v>370 0</v>
      </c>
      <c r="C4868" s="18" t="str">
        <f aca="false">'SALES Raw'!H1760</f>
        <v>370  רפידת נוחות-זוג</v>
      </c>
      <c r="D4868" s="19" t="n">
        <f aca="false">'SALES Raw'!C1760</f>
        <v>6</v>
      </c>
      <c r="E4868" s="19" t="n">
        <f aca="false">'SALES Raw'!D1760</f>
        <v>78.48</v>
      </c>
      <c r="F4868" s="19" t="n">
        <f aca="false">'SALES Raw'!E1760*$H$4</f>
        <v>0</v>
      </c>
      <c r="G4868" s="19" t="n">
        <f aca="false">'SALES Raw'!F1760*$H$4</f>
        <v>0</v>
      </c>
      <c r="H4868" s="18" t="str">
        <f aca="false">'SALES Raw'!A1760</f>
        <v>108 - Shoe Stores</v>
      </c>
    </row>
    <row r="4869" customFormat="false" ht="15" hidden="false" customHeight="false" outlineLevel="0" collapsed="false">
      <c r="A4869" s="18" t="n">
        <f aca="false">'SALES Raw'!G1761</f>
        <v>4420002</v>
      </c>
      <c r="B4869" s="18" t="str">
        <f aca="false">'SALES Raw'!B1761</f>
        <v>372 0</v>
      </c>
      <c r="C4869" s="18" t="str">
        <f aca="false">'SALES Raw'!H1761</f>
        <v>372 רפידת אנטי ריח -זוג</v>
      </c>
      <c r="D4869" s="19" t="n">
        <f aca="false">'SALES Raw'!C1761</f>
        <v>6</v>
      </c>
      <c r="E4869" s="19" t="n">
        <f aca="false">'SALES Raw'!D1761</f>
        <v>92.52</v>
      </c>
      <c r="F4869" s="19" t="n">
        <f aca="false">'SALES Raw'!E1761*$H$4</f>
        <v>0</v>
      </c>
      <c r="G4869" s="19" t="n">
        <f aca="false">'SALES Raw'!F1761*$H$4</f>
        <v>0</v>
      </c>
      <c r="H4869" s="18" t="str">
        <f aca="false">'SALES Raw'!A1761</f>
        <v>108 - Shoe Stores</v>
      </c>
    </row>
    <row r="4870" customFormat="false" ht="15" hidden="false" customHeight="false" outlineLevel="0" collapsed="false">
      <c r="A4870" s="18" t="n">
        <f aca="false">'SALES Raw'!G1762</f>
        <v>4420003</v>
      </c>
      <c r="B4870" s="18" t="str">
        <f aca="false">'SALES Raw'!B1762</f>
        <v>374 0</v>
      </c>
      <c r="C4870" s="18" t="str">
        <f aca="false">'SALES Raw'!H1762</f>
        <v>374 רפידת בולמת זעזועים -זוג</v>
      </c>
      <c r="D4870" s="19" t="n">
        <f aca="false">'SALES Raw'!C1762</f>
        <v>6</v>
      </c>
      <c r="E4870" s="19" t="n">
        <f aca="false">'SALES Raw'!D1762</f>
        <v>92.52</v>
      </c>
      <c r="F4870" s="19" t="n">
        <f aca="false">'SALES Raw'!E1762*$H$4</f>
        <v>0</v>
      </c>
      <c r="G4870" s="19" t="n">
        <f aca="false">'SALES Raw'!F1762*$H$4</f>
        <v>0</v>
      </c>
      <c r="H4870" s="18" t="str">
        <f aca="false">'SALES Raw'!A1762</f>
        <v>108 - Shoe Stores</v>
      </c>
    </row>
    <row r="4871" customFormat="false" ht="15" hidden="false" customHeight="false" outlineLevel="0" collapsed="false">
      <c r="A4871" s="18" t="n">
        <f aca="false">'SALES Raw'!G1763</f>
        <v>4403001</v>
      </c>
      <c r="B4871" s="18" t="str">
        <f aca="false">'SALES Raw'!B1763</f>
        <v>390B-39-42</v>
      </c>
      <c r="C4871" s="18" t="str">
        <f aca="false">'SALES Raw'!H1763</f>
        <v>390B 39-42.גרב.כסף לסכרתיים שח</v>
      </c>
      <c r="D4871" s="19" t="n">
        <f aca="false">'SALES Raw'!C1763</f>
        <v>10</v>
      </c>
      <c r="E4871" s="19" t="n">
        <f aca="false">'SALES Raw'!D1763</f>
        <v>270</v>
      </c>
      <c r="F4871" s="19" t="n">
        <f aca="false">'SALES Raw'!E1763*$H$4</f>
        <v>0</v>
      </c>
      <c r="G4871" s="19" t="n">
        <f aca="false">'SALES Raw'!F1763*$H$4</f>
        <v>0</v>
      </c>
      <c r="H4871" s="18" t="str">
        <f aca="false">'SALES Raw'!A1763</f>
        <v>108 - Shoe Stores</v>
      </c>
    </row>
    <row r="4872" customFormat="false" ht="15" hidden="false" customHeight="false" outlineLevel="0" collapsed="false">
      <c r="A4872" s="18" t="n">
        <f aca="false">'SALES Raw'!G1764</f>
        <v>4403002</v>
      </c>
      <c r="B4872" s="18" t="str">
        <f aca="false">'SALES Raw'!B1764</f>
        <v>390B-43-46</v>
      </c>
      <c r="C4872" s="18" t="str">
        <f aca="false">'SALES Raw'!H1764</f>
        <v>390B 43-46.גרב.כסף לסכרתיים שח</v>
      </c>
      <c r="D4872" s="19" t="n">
        <f aca="false">'SALES Raw'!C1764</f>
        <v>10</v>
      </c>
      <c r="E4872" s="19" t="n">
        <f aca="false">'SALES Raw'!D1764</f>
        <v>270</v>
      </c>
      <c r="F4872" s="19" t="n">
        <f aca="false">'SALES Raw'!E1764*$H$4</f>
        <v>0</v>
      </c>
      <c r="G4872" s="19" t="n">
        <f aca="false">'SALES Raw'!F1764*$H$4</f>
        <v>0</v>
      </c>
      <c r="H4872" s="18" t="str">
        <f aca="false">'SALES Raw'!A1764</f>
        <v>108 - Shoe Stores</v>
      </c>
    </row>
    <row r="4873" customFormat="false" ht="15" hidden="false" customHeight="false" outlineLevel="0" collapsed="false">
      <c r="A4873" s="18" t="str">
        <f aca="false">'SALES Raw'!G1765</f>
        <v/>
      </c>
      <c r="B4873" s="18" t="str">
        <f aca="false">'SALES Raw'!B1765</f>
        <v>390G-39-42</v>
      </c>
      <c r="C4873" s="18" t="str">
        <f aca="false">'SALES Raw'!H1765</f>
        <v>390G-39-42</v>
      </c>
      <c r="D4873" s="19" t="n">
        <f aca="false">'SALES Raw'!C1765</f>
        <v>10</v>
      </c>
      <c r="E4873" s="19" t="n">
        <f aca="false">'SALES Raw'!D1765</f>
        <v>270</v>
      </c>
      <c r="F4873" s="19" t="n">
        <f aca="false">'SALES Raw'!E1765*$H$4</f>
        <v>0</v>
      </c>
      <c r="G4873" s="19" t="n">
        <f aca="false">'SALES Raw'!F1765*$H$4</f>
        <v>0</v>
      </c>
      <c r="H4873" s="18" t="str">
        <f aca="false">'SALES Raw'!A1765</f>
        <v>108 - Shoe Stores</v>
      </c>
    </row>
    <row r="4874" customFormat="false" ht="15" hidden="false" customHeight="false" outlineLevel="0" collapsed="false">
      <c r="A4874" s="18" t="n">
        <f aca="false">'SALES Raw'!G1766</f>
        <v>4403005</v>
      </c>
      <c r="B4874" s="18" t="str">
        <f aca="false">'SALES Raw'!B1766</f>
        <v>390G-43-46</v>
      </c>
      <c r="C4874" s="18" t="str">
        <f aca="false">'SALES Raw'!H1766</f>
        <v>G390.43-46 גרבי כסף לסכרת מידה</v>
      </c>
      <c r="D4874" s="19" t="n">
        <f aca="false">'SALES Raw'!C1766</f>
        <v>10</v>
      </c>
      <c r="E4874" s="19" t="n">
        <f aca="false">'SALES Raw'!D1766</f>
        <v>270</v>
      </c>
      <c r="F4874" s="19" t="n">
        <f aca="false">'SALES Raw'!E1766*$H$4</f>
        <v>0</v>
      </c>
      <c r="G4874" s="19" t="n">
        <f aca="false">'SALES Raw'!F1766*$H$4</f>
        <v>0</v>
      </c>
      <c r="H4874" s="18" t="str">
        <f aca="false">'SALES Raw'!A1766</f>
        <v>108 - Shoe Stores</v>
      </c>
    </row>
    <row r="4875" customFormat="false" ht="15" hidden="false" customHeight="false" outlineLevel="0" collapsed="false">
      <c r="A4875" s="18" t="str">
        <f aca="false">'SALES Raw'!G1767</f>
        <v/>
      </c>
      <c r="B4875" s="18" t="str">
        <f aca="false">'SALES Raw'!B1767</f>
        <v>392B-35-38</v>
      </c>
      <c r="C4875" s="18" t="str">
        <f aca="false">'SALES Raw'!H1767</f>
        <v>392B-35-38</v>
      </c>
      <c r="D4875" s="19" t="n">
        <f aca="false">'SALES Raw'!C1767</f>
        <v>50</v>
      </c>
      <c r="E4875" s="19" t="n">
        <f aca="false">'SALES Raw'!D1767</f>
        <v>850</v>
      </c>
      <c r="F4875" s="19" t="n">
        <f aca="false">'SALES Raw'!E1767*$H$4</f>
        <v>0</v>
      </c>
      <c r="G4875" s="19" t="n">
        <f aca="false">'SALES Raw'!F1767*$H$4</f>
        <v>0</v>
      </c>
      <c r="H4875" s="18" t="str">
        <f aca="false">'SALES Raw'!A1767</f>
        <v>108 - Shoe Stores</v>
      </c>
    </row>
    <row r="4876" customFormat="false" ht="15" hidden="false" customHeight="false" outlineLevel="0" collapsed="false">
      <c r="A4876" s="18" t="str">
        <f aca="false">'SALES Raw'!G1768</f>
        <v/>
      </c>
      <c r="B4876" s="18" t="str">
        <f aca="false">'SALES Raw'!B1768</f>
        <v>392B-39-42</v>
      </c>
      <c r="C4876" s="18" t="str">
        <f aca="false">'SALES Raw'!H1768</f>
        <v>392B-39-42</v>
      </c>
      <c r="D4876" s="19" t="n">
        <f aca="false">'SALES Raw'!C1768</f>
        <v>57</v>
      </c>
      <c r="E4876" s="19" t="n">
        <f aca="false">'SALES Raw'!D1768</f>
        <v>952.01</v>
      </c>
      <c r="F4876" s="19" t="n">
        <f aca="false">'SALES Raw'!E1768*$H$4</f>
        <v>0</v>
      </c>
      <c r="G4876" s="19" t="n">
        <f aca="false">'SALES Raw'!F1768*$H$4</f>
        <v>0</v>
      </c>
      <c r="H4876" s="18" t="str">
        <f aca="false">'SALES Raw'!A1768</f>
        <v>108 - Shoe Stores</v>
      </c>
    </row>
    <row r="4877" customFormat="false" ht="15" hidden="false" customHeight="false" outlineLevel="0" collapsed="false">
      <c r="A4877" s="18" t="str">
        <f aca="false">'SALES Raw'!G1769</f>
        <v/>
      </c>
      <c r="B4877" s="18" t="str">
        <f aca="false">'SALES Raw'!B1769</f>
        <v>392B-43-46</v>
      </c>
      <c r="C4877" s="18" t="str">
        <f aca="false">'SALES Raw'!H1769</f>
        <v>392B-43-46</v>
      </c>
      <c r="D4877" s="19" t="n">
        <f aca="false">'SALES Raw'!C1769</f>
        <v>34</v>
      </c>
      <c r="E4877" s="19" t="n">
        <f aca="false">'SALES Raw'!D1769</f>
        <v>578</v>
      </c>
      <c r="F4877" s="19" t="n">
        <f aca="false">'SALES Raw'!E1769*$H$4</f>
        <v>0</v>
      </c>
      <c r="G4877" s="19" t="n">
        <f aca="false">'SALES Raw'!F1769*$H$4</f>
        <v>0</v>
      </c>
      <c r="H4877" s="18" t="str">
        <f aca="false">'SALES Raw'!A1769</f>
        <v>108 - Shoe Stores</v>
      </c>
    </row>
    <row r="4878" customFormat="false" ht="15" hidden="false" customHeight="false" outlineLevel="0" collapsed="false">
      <c r="A4878" s="18" t="str">
        <f aca="false">'SALES Raw'!G1770</f>
        <v/>
      </c>
      <c r="B4878" s="18" t="str">
        <f aca="false">'SALES Raw'!B1770</f>
        <v>392G-43-46</v>
      </c>
      <c r="C4878" s="18" t="str">
        <f aca="false">'SALES Raw'!H1770</f>
        <v>392G-43-46</v>
      </c>
      <c r="D4878" s="19" t="n">
        <f aca="false">'SALES Raw'!C1770</f>
        <v>60</v>
      </c>
      <c r="E4878" s="19" t="n">
        <f aca="false">'SALES Raw'!D1770</f>
        <v>1020</v>
      </c>
      <c r="F4878" s="19" t="n">
        <f aca="false">'SALES Raw'!E1770*$H$4</f>
        <v>0</v>
      </c>
      <c r="G4878" s="19" t="n">
        <f aca="false">'SALES Raw'!F1770*$H$4</f>
        <v>0</v>
      </c>
      <c r="H4878" s="18" t="str">
        <f aca="false">'SALES Raw'!A1770</f>
        <v>108 - Shoe Stores</v>
      </c>
    </row>
    <row r="4879" customFormat="false" ht="15" hidden="false" customHeight="false" outlineLevel="0" collapsed="false">
      <c r="A4879" s="18" t="str">
        <f aca="false">'SALES Raw'!G1771</f>
        <v/>
      </c>
      <c r="B4879" s="18" t="str">
        <f aca="false">'SALES Raw'!B1771</f>
        <v>396 0</v>
      </c>
      <c r="C4879" s="18" t="str">
        <f aca="false">'SALES Raw'!H1771</f>
        <v>396 0</v>
      </c>
      <c r="D4879" s="19" t="n">
        <f aca="false">'SALES Raw'!C1771</f>
        <v>179</v>
      </c>
      <c r="E4879" s="19" t="n">
        <f aca="false">'SALES Raw'!D1771</f>
        <v>1790</v>
      </c>
      <c r="F4879" s="19" t="n">
        <f aca="false">'SALES Raw'!E1771*$H$4</f>
        <v>0</v>
      </c>
      <c r="G4879" s="19" t="n">
        <f aca="false">'SALES Raw'!F1771*$H$4</f>
        <v>0</v>
      </c>
      <c r="H4879" s="18" t="str">
        <f aca="false">'SALES Raw'!A1771</f>
        <v>108 - Shoe Stores</v>
      </c>
    </row>
    <row r="4880" customFormat="false" ht="15" hidden="false" customHeight="false" outlineLevel="0" collapsed="false">
      <c r="A4880" s="18" t="str">
        <f aca="false">'SALES Raw'!G1772</f>
        <v/>
      </c>
      <c r="B4880" s="18" t="str">
        <f aca="false">'SALES Raw'!B1772</f>
        <v>67813000</v>
      </c>
      <c r="C4880" s="18" t="str">
        <f aca="false">'SALES Raw'!H1772</f>
        <v>67813000</v>
      </c>
      <c r="D4880" s="19" t="n">
        <f aca="false">'SALES Raw'!C1772</f>
        <v>3</v>
      </c>
      <c r="E4880" s="19" t="n">
        <f aca="false">'SALES Raw'!D1772</f>
        <v>0.01</v>
      </c>
      <c r="F4880" s="19" t="n">
        <f aca="false">'SALES Raw'!E1772*$H$4</f>
        <v>0</v>
      </c>
      <c r="G4880" s="19" t="n">
        <f aca="false">'SALES Raw'!F1772*$H$4</f>
        <v>0</v>
      </c>
      <c r="H4880" s="18" t="str">
        <f aca="false">'SALES Raw'!A1772</f>
        <v>108 - Shoe Stores</v>
      </c>
    </row>
    <row r="4881" customFormat="false" ht="15" hidden="false" customHeight="false" outlineLevel="0" collapsed="false">
      <c r="A4881" s="18" t="n">
        <f aca="false">'SALES Raw'!G1773</f>
        <v>4422035</v>
      </c>
      <c r="B4881" s="18" t="str">
        <f aca="false">'SALES Raw'!B1773</f>
        <v>FC333 0</v>
      </c>
      <c r="C4881" s="18" t="str">
        <f aca="false">'SALES Raw'!H1773</f>
        <v>FCתרסיס דאודורנט אנטיבק.נעל333</v>
      </c>
      <c r="D4881" s="19" t="n">
        <f aca="false">'SALES Raw'!C1773</f>
        <v>24</v>
      </c>
      <c r="E4881" s="19" t="n">
        <f aca="false">'SALES Raw'!D1773</f>
        <v>430.38</v>
      </c>
      <c r="F4881" s="19" t="n">
        <f aca="false">'SALES Raw'!E1773*$H$4</f>
        <v>0</v>
      </c>
      <c r="G4881" s="19" t="n">
        <f aca="false">'SALES Raw'!F1773*$H$4</f>
        <v>0</v>
      </c>
      <c r="H4881" s="18" t="str">
        <f aca="false">'SALES Raw'!A1773</f>
        <v>108 - Shoe Stores</v>
      </c>
    </row>
    <row r="4882" customFormat="false" ht="15" hidden="false" customHeight="false" outlineLevel="0" collapsed="false">
      <c r="A4882" s="18" t="n">
        <f aca="false">'SALES Raw'!G1774</f>
        <v>4422036</v>
      </c>
      <c r="B4882" s="18" t="str">
        <f aca="false">'SALES Raw'!B1774</f>
        <v>FC334 0</v>
      </c>
      <c r="C4882" s="18" t="str">
        <f aca="false">'SALES Raw'!H1774</f>
        <v>FC334  תרסיס דאודורנט לכף הרגל</v>
      </c>
      <c r="D4882" s="19" t="n">
        <f aca="false">'SALES Raw'!C1774</f>
        <v>24</v>
      </c>
      <c r="E4882" s="19" t="n">
        <f aca="false">'SALES Raw'!D1774</f>
        <v>468.03</v>
      </c>
      <c r="F4882" s="19" t="n">
        <f aca="false">'SALES Raw'!E1774*$H$4</f>
        <v>0</v>
      </c>
      <c r="G4882" s="19" t="n">
        <f aca="false">'SALES Raw'!F1774*$H$4</f>
        <v>0</v>
      </c>
      <c r="H4882" s="18" t="str">
        <f aca="false">'SALES Raw'!A1774</f>
        <v>108 - Shoe Stores</v>
      </c>
    </row>
    <row r="4883" customFormat="false" ht="15" hidden="false" customHeight="false" outlineLevel="0" collapsed="false">
      <c r="A4883" s="18" t="n">
        <f aca="false">'SALES Raw'!G1775</f>
        <v>4414000</v>
      </c>
      <c r="B4883" s="18" t="str">
        <f aca="false">'SALES Raw'!B1775</f>
        <v>FC342 0</v>
      </c>
      <c r="C4883" s="18" t="str">
        <f aca="false">'SALES Raw'!H1775</f>
        <v>FC342-נוזל לציפורן חודרנית</v>
      </c>
      <c r="D4883" s="19" t="n">
        <f aca="false">'SALES Raw'!C1775</f>
        <v>12</v>
      </c>
      <c r="E4883" s="19" t="n">
        <f aca="false">'SALES Raw'!D1775</f>
        <v>436.89</v>
      </c>
      <c r="F4883" s="19" t="n">
        <f aca="false">'SALES Raw'!E1775*$H$4</f>
        <v>0</v>
      </c>
      <c r="G4883" s="19" t="n">
        <f aca="false">'SALES Raw'!F1775*$H$4</f>
        <v>0</v>
      </c>
      <c r="H4883" s="18" t="str">
        <f aca="false">'SALES Raw'!A1775</f>
        <v>108 - Shoe Stores</v>
      </c>
    </row>
    <row r="4884" customFormat="false" ht="15" hidden="false" customHeight="false" outlineLevel="0" collapsed="false">
      <c r="A4884" s="18" t="n">
        <f aca="false">'SALES Raw'!G1776</f>
        <v>4413056</v>
      </c>
      <c r="B4884" s="18" t="str">
        <f aca="false">'SALES Raw'!B1776</f>
        <v>LF360 0</v>
      </c>
      <c r="C4884" s="18" t="str">
        <f aca="false">'SALES Raw'!H1776</f>
        <v>LF360 מדרס מטטרזלי לנעלי עקב</v>
      </c>
      <c r="D4884" s="19" t="n">
        <f aca="false">'SALES Raw'!C1776</f>
        <v>30</v>
      </c>
      <c r="E4884" s="19" t="n">
        <f aca="false">'SALES Raw'!D1776</f>
        <v>712.47</v>
      </c>
      <c r="F4884" s="19" t="n">
        <f aca="false">'SALES Raw'!E1776*$H$4</f>
        <v>0</v>
      </c>
      <c r="G4884" s="19" t="n">
        <f aca="false">'SALES Raw'!F1776*$H$4</f>
        <v>0</v>
      </c>
      <c r="H4884" s="18" t="str">
        <f aca="false">'SALES Raw'!A1776</f>
        <v>108 - Shoe Stores</v>
      </c>
    </row>
    <row r="4885" customFormat="false" ht="15" hidden="false" customHeight="false" outlineLevel="0" collapsed="false">
      <c r="A4885" s="18" t="n">
        <f aca="false">'SALES Raw'!G1777</f>
        <v>4420022</v>
      </c>
      <c r="B4885" s="18" t="str">
        <f aca="false">'SALES Raw'!B1777</f>
        <v>LF370 0</v>
      </c>
      <c r="C4885" s="18" t="str">
        <f aca="false">'SALES Raw'!H1777</f>
        <v>LF370 ריפוד סיליקון לעקב אחורי</v>
      </c>
      <c r="D4885" s="19" t="n">
        <f aca="false">'SALES Raw'!C1777</f>
        <v>30</v>
      </c>
      <c r="E4885" s="19" t="n">
        <f aca="false">'SALES Raw'!D1777</f>
        <v>712.47</v>
      </c>
      <c r="F4885" s="19" t="n">
        <f aca="false">'SALES Raw'!E1777*$H$4</f>
        <v>0</v>
      </c>
      <c r="G4885" s="19" t="n">
        <f aca="false">'SALES Raw'!F1777*$H$4</f>
        <v>0</v>
      </c>
      <c r="H4885" s="18" t="str">
        <f aca="false">'SALES Raw'!A1777</f>
        <v>108 - Shoe Stores</v>
      </c>
    </row>
    <row r="4886" customFormat="false" ht="15" hidden="false" customHeight="false" outlineLevel="0" collapsed="false">
      <c r="A4886" s="18" t="n">
        <f aca="false">'SALES Raw'!G1778</f>
        <v>4420023</v>
      </c>
      <c r="B4886" s="18" t="str">
        <f aca="false">'SALES Raw'!B1778</f>
        <v>LF371 0</v>
      </c>
      <c r="C4886" s="18" t="str">
        <f aca="false">'SALES Raw'!H1778</f>
        <v>LF371 ריפוד סיליקון לנעלי אצבע</v>
      </c>
      <c r="D4886" s="19" t="n">
        <f aca="false">'SALES Raw'!C1778</f>
        <v>18</v>
      </c>
      <c r="E4886" s="19" t="n">
        <f aca="false">'SALES Raw'!D1778</f>
        <v>511.11</v>
      </c>
      <c r="F4886" s="19" t="n">
        <f aca="false">'SALES Raw'!E1778*$H$4</f>
        <v>0</v>
      </c>
      <c r="G4886" s="19" t="n">
        <f aca="false">'SALES Raw'!F1778*$H$4</f>
        <v>0</v>
      </c>
      <c r="H4886" s="18" t="str">
        <f aca="false">'SALES Raw'!A1778</f>
        <v>108 - Shoe Stores</v>
      </c>
    </row>
    <row r="4887" customFormat="false" ht="15" hidden="false" customHeight="false" outlineLevel="0" collapsed="false">
      <c r="A4887" s="18" t="n">
        <f aca="false">'SALES Raw'!G1779</f>
        <v>4420024</v>
      </c>
      <c r="B4887" s="18" t="str">
        <f aca="false">'SALES Raw'!B1779</f>
        <v>LF373 0</v>
      </c>
      <c r="C4887" s="18" t="str">
        <f aca="false">'SALES Raw'!H1779</f>
        <v>LFריפוד סיליק.לכרית כף הרגל373</v>
      </c>
      <c r="D4887" s="19" t="n">
        <f aca="false">'SALES Raw'!C1779</f>
        <v>30</v>
      </c>
      <c r="E4887" s="19" t="n">
        <f aca="false">'SALES Raw'!D1779</f>
        <v>642.01</v>
      </c>
      <c r="F4887" s="19" t="n">
        <f aca="false">'SALES Raw'!E1779*$H$4</f>
        <v>0</v>
      </c>
      <c r="G4887" s="19" t="n">
        <f aca="false">'SALES Raw'!F1779*$H$4</f>
        <v>0</v>
      </c>
      <c r="H4887" s="18" t="str">
        <f aca="false">'SALES Raw'!A1779</f>
        <v>108 - Shoe Stores</v>
      </c>
    </row>
    <row r="4888" customFormat="false" ht="15" hidden="false" customHeight="false" outlineLevel="0" collapsed="false">
      <c r="A4888" s="18" t="n">
        <f aca="false">'SALES Raw'!G1780</f>
        <v>4420025</v>
      </c>
      <c r="B4888" s="18" t="str">
        <f aca="false">'SALES Raw'!B1780</f>
        <v>LF374 0</v>
      </c>
      <c r="C4888" s="18" t="str">
        <f aca="false">'SALES Raw'!H1780</f>
        <v>LF374 ריפוד סיליק.לעקב תחתון</v>
      </c>
      <c r="D4888" s="19" t="n">
        <f aca="false">'SALES Raw'!C1780</f>
        <v>24</v>
      </c>
      <c r="E4888" s="19" t="n">
        <f aca="false">'SALES Raw'!D1780</f>
        <v>569.32</v>
      </c>
      <c r="F4888" s="19" t="n">
        <f aca="false">'SALES Raw'!E1780*$H$4</f>
        <v>0</v>
      </c>
      <c r="G4888" s="19" t="n">
        <f aca="false">'SALES Raw'!F1780*$H$4</f>
        <v>0</v>
      </c>
      <c r="H4888" s="18" t="str">
        <f aca="false">'SALES Raw'!A1780</f>
        <v>108 - Shoe Stores</v>
      </c>
    </row>
    <row r="4889" customFormat="false" ht="15" hidden="false" customHeight="false" outlineLevel="0" collapsed="false">
      <c r="A4889" s="18" t="n">
        <f aca="false">'SALES Raw'!G1790</f>
        <v>4420024</v>
      </c>
      <c r="B4889" s="18" t="str">
        <f aca="false">'SALES Raw'!B1790</f>
        <v>LF373 0</v>
      </c>
      <c r="C4889" s="18" t="str">
        <f aca="false">'SALES Raw'!H1790</f>
        <v>LFריפוד סיליק.לכרית כף הרגל373</v>
      </c>
      <c r="D4889" s="19" t="n">
        <f aca="false">'SALES Raw'!C1790</f>
        <v>10</v>
      </c>
      <c r="E4889" s="19" t="n">
        <f aca="false">'SALES Raw'!D1790</f>
        <v>215.17</v>
      </c>
      <c r="F4889" s="19" t="n">
        <f aca="false">'SALES Raw'!E1790*$H$4</f>
        <v>0</v>
      </c>
      <c r="G4889" s="19" t="n">
        <f aca="false">'SALES Raw'!F1790*$H$4</f>
        <v>0</v>
      </c>
      <c r="H4889" s="18" t="str">
        <f aca="false">'SALES Raw'!A1790</f>
        <v>109 - Private Shops</v>
      </c>
    </row>
    <row r="4890" customFormat="false" ht="15" hidden="false" customHeight="false" outlineLevel="0" collapsed="false">
      <c r="A4890" s="18" t="n">
        <f aca="false">'SALES Raw'!G1793</f>
        <v>4408265</v>
      </c>
      <c r="B4890" s="18" t="str">
        <f aca="false">'SALES Raw'!B1793</f>
        <v>078 XXL</v>
      </c>
      <c r="C4890" s="18" t="str">
        <f aca="false">'SALES Raw'!H1793</f>
        <v>078XXL חגורת גב +סגירה כפולה</v>
      </c>
      <c r="D4890" s="19" t="n">
        <f aca="false">'SALES Raw'!C1793</f>
        <v>0</v>
      </c>
      <c r="E4890" s="19" t="n">
        <f aca="false">'SALES Raw'!D1793</f>
        <v>0</v>
      </c>
      <c r="F4890" s="19" t="n">
        <f aca="false">'SALES Raw'!E1793*$H$4</f>
        <v>0</v>
      </c>
      <c r="G4890" s="19" t="n">
        <f aca="false">'SALES Raw'!F1793*$H$4</f>
        <v>34.2694736842105</v>
      </c>
      <c r="H4890" s="18" t="str">
        <f aca="false">'SALES Raw'!A1793</f>
        <v>109 - Private Shops</v>
      </c>
    </row>
    <row r="4891" customFormat="false" ht="15" hidden="false" customHeight="false" outlineLevel="0" collapsed="false">
      <c r="A4891" s="18" t="n">
        <f aca="false">'SALES Raw'!G1824</f>
        <v>4413503</v>
      </c>
      <c r="B4891" s="18" t="str">
        <f aca="false">'SALES Raw'!B1824</f>
        <v>95B XL</v>
      </c>
      <c r="C4891" s="18" t="str">
        <f aca="false">'SALES Raw'!H1824</f>
        <v>95B XL מגן מרפק שחור</v>
      </c>
      <c r="D4891" s="19" t="n">
        <f aca="false">'SALES Raw'!C1824</f>
        <v>2</v>
      </c>
      <c r="E4891" s="19" t="n">
        <f aca="false">'SALES Raw'!D1824</f>
        <v>61.78</v>
      </c>
      <c r="F4891" s="19" t="n">
        <f aca="false">'SALES Raw'!E1824*$H$4</f>
        <v>0</v>
      </c>
      <c r="G4891" s="19" t="n">
        <f aca="false">'SALES Raw'!F1824*$H$4</f>
        <v>0</v>
      </c>
      <c r="H4891" s="18" t="str">
        <f aca="false">'SALES Raw'!A1824</f>
        <v>109 - Private Shops</v>
      </c>
    </row>
    <row r="4892" customFormat="false" ht="15" hidden="false" customHeight="false" outlineLevel="0" collapsed="false">
      <c r="A4892" s="18" t="n">
        <f aca="false">'SALES Raw'!G1835</f>
        <v>4413018</v>
      </c>
      <c r="B4892" s="18" t="str">
        <f aca="false">'SALES Raw'!B1835</f>
        <v>303-37-38</v>
      </c>
      <c r="C4892" s="18" t="str">
        <f aca="false">'SALES Raw'!H1835</f>
        <v>303 37-38 מדרסי סיליק.לח.סכרת</v>
      </c>
      <c r="D4892" s="19" t="n">
        <f aca="false">'SALES Raw'!C1835</f>
        <v>1</v>
      </c>
      <c r="E4892" s="19" t="n">
        <f aca="false">'SALES Raw'!D1835</f>
        <v>118.38</v>
      </c>
      <c r="F4892" s="19" t="n">
        <f aca="false">'SALES Raw'!E1835*$H$4</f>
        <v>0</v>
      </c>
      <c r="G4892" s="19" t="n">
        <f aca="false">'SALES Raw'!F1835*$H$4</f>
        <v>0</v>
      </c>
      <c r="H4892" s="18" t="str">
        <f aca="false">'SALES Raw'!A1835</f>
        <v>109 - Private Shops</v>
      </c>
    </row>
    <row r="4893" customFormat="false" ht="15" hidden="false" customHeight="false" outlineLevel="0" collapsed="false">
      <c r="A4893" s="18" t="str">
        <f aca="false">'SALES Raw'!G1836</f>
        <v/>
      </c>
      <c r="B4893" s="18" t="str">
        <f aca="false">'SALES Raw'!B1836</f>
        <v>303-39-40</v>
      </c>
      <c r="C4893" s="18" t="str">
        <f aca="false">'SALES Raw'!H1836</f>
        <v>303-39-40</v>
      </c>
      <c r="D4893" s="19" t="n">
        <f aca="false">'SALES Raw'!C1836</f>
        <v>2</v>
      </c>
      <c r="E4893" s="19" t="n">
        <f aca="false">'SALES Raw'!D1836</f>
        <v>236.92</v>
      </c>
      <c r="F4893" s="19" t="n">
        <f aca="false">'SALES Raw'!E1836*$H$4</f>
        <v>0</v>
      </c>
      <c r="G4893" s="19" t="n">
        <f aca="false">'SALES Raw'!F1836*$H$4</f>
        <v>0</v>
      </c>
      <c r="H4893" s="18" t="str">
        <f aca="false">'SALES Raw'!A1836</f>
        <v>109 - Private Shops</v>
      </c>
    </row>
    <row r="4894" customFormat="false" ht="15" hidden="false" customHeight="false" outlineLevel="0" collapsed="false">
      <c r="A4894" s="18" t="n">
        <f aca="false">'SALES Raw'!G1837</f>
        <v>4413020</v>
      </c>
      <c r="B4894" s="18" t="str">
        <f aca="false">'SALES Raw'!B1837</f>
        <v>303-41-42</v>
      </c>
      <c r="C4894" s="18" t="str">
        <f aca="false">'SALES Raw'!H1837</f>
        <v>303 41-42 מדרסי סיליק.לח.סכרת</v>
      </c>
      <c r="D4894" s="19" t="n">
        <f aca="false">'SALES Raw'!C1837</f>
        <v>2</v>
      </c>
      <c r="E4894" s="19" t="n">
        <f aca="false">'SALES Raw'!D1837</f>
        <v>236.93</v>
      </c>
      <c r="F4894" s="19" t="n">
        <f aca="false">'SALES Raw'!E1837*$H$4</f>
        <v>0</v>
      </c>
      <c r="G4894" s="19" t="n">
        <f aca="false">'SALES Raw'!F1837*$H$4</f>
        <v>0</v>
      </c>
      <c r="H4894" s="18" t="str">
        <f aca="false">'SALES Raw'!A1837</f>
        <v>109 - Private Shops</v>
      </c>
    </row>
    <row r="4895" customFormat="false" ht="15" hidden="false" customHeight="false" outlineLevel="0" collapsed="false">
      <c r="A4895" s="18" t="str">
        <f aca="false">'SALES Raw'!G1838</f>
        <v/>
      </c>
      <c r="B4895" s="18" t="str">
        <f aca="false">'SALES Raw'!B1838</f>
        <v>303-43-44</v>
      </c>
      <c r="C4895" s="18" t="str">
        <f aca="false">'SALES Raw'!H1838</f>
        <v>303-43-44</v>
      </c>
      <c r="D4895" s="19" t="n">
        <f aca="false">'SALES Raw'!C1838</f>
        <v>3</v>
      </c>
      <c r="E4895" s="19" t="n">
        <f aca="false">'SALES Raw'!D1838</f>
        <v>355.32</v>
      </c>
      <c r="F4895" s="19" t="n">
        <f aca="false">'SALES Raw'!E1838*$H$4</f>
        <v>0</v>
      </c>
      <c r="G4895" s="19" t="n">
        <f aca="false">'SALES Raw'!F1838*$H$4</f>
        <v>0</v>
      </c>
      <c r="H4895" s="18" t="str">
        <f aca="false">'SALES Raw'!A1838</f>
        <v>109 - Private Shops</v>
      </c>
    </row>
    <row r="4896" customFormat="false" ht="15" hidden="false" customHeight="false" outlineLevel="0" collapsed="false">
      <c r="A4896" s="18" t="n">
        <f aca="false">'SALES Raw'!G1839</f>
        <v>4413022</v>
      </c>
      <c r="B4896" s="18" t="str">
        <f aca="false">'SALES Raw'!B1839</f>
        <v>303-45-46</v>
      </c>
      <c r="C4896" s="18" t="str">
        <f aca="false">'SALES Raw'!H1839</f>
        <v>303 45-46 מדרסי סיליק.לח.סכרת</v>
      </c>
      <c r="D4896" s="19" t="n">
        <f aca="false">'SALES Raw'!C1839</f>
        <v>3</v>
      </c>
      <c r="E4896" s="19" t="n">
        <f aca="false">'SALES Raw'!D1839</f>
        <v>355.14</v>
      </c>
      <c r="F4896" s="19" t="n">
        <f aca="false">'SALES Raw'!E1839*$H$4</f>
        <v>0</v>
      </c>
      <c r="G4896" s="19" t="n">
        <f aca="false">'SALES Raw'!F1839*$H$4</f>
        <v>0</v>
      </c>
      <c r="H4896" s="18" t="str">
        <f aca="false">'SALES Raw'!A1839</f>
        <v>109 - Private Shops</v>
      </c>
    </row>
    <row r="4897" customFormat="false" ht="15" hidden="false" customHeight="false" outlineLevel="0" collapsed="false">
      <c r="A4897" s="18" t="n">
        <f aca="false">'SALES Raw'!G1845</f>
        <v>4411001</v>
      </c>
      <c r="B4897" s="18" t="str">
        <f aca="false">'SALES Raw'!B1845</f>
        <v>3623 0</v>
      </c>
      <c r="C4897" s="18" t="str">
        <f aca="false">'SALES Raw'!H1845</f>
        <v>3623 כרית ליישור אצבע פטיש</v>
      </c>
      <c r="D4897" s="19" t="n">
        <f aca="false">'SALES Raw'!C1845</f>
        <v>6</v>
      </c>
      <c r="E4897" s="19" t="n">
        <f aca="false">'SALES Raw'!D1845</f>
        <v>171.27</v>
      </c>
      <c r="F4897" s="19" t="n">
        <f aca="false">'SALES Raw'!E1845*$H$4</f>
        <v>0</v>
      </c>
      <c r="G4897" s="19" t="n">
        <f aca="false">'SALES Raw'!F1845*$H$4</f>
        <v>0</v>
      </c>
      <c r="H4897" s="18" t="str">
        <f aca="false">'SALES Raw'!A1845</f>
        <v>109 - Private Shops</v>
      </c>
    </row>
    <row r="4898" customFormat="false" ht="15" hidden="false" customHeight="false" outlineLevel="0" collapsed="false">
      <c r="A4898" s="18" t="n">
        <f aca="false">'SALES Raw'!G1847</f>
        <v>4421003</v>
      </c>
      <c r="B4898" s="18" t="str">
        <f aca="false">'SALES Raw'!B1847</f>
        <v>3672 0</v>
      </c>
      <c r="C4898" s="18" t="str">
        <f aca="false">'SALES Raw'!H1847</f>
        <v>3672 שרוול מגן לבוניון</v>
      </c>
      <c r="D4898" s="19" t="n">
        <f aca="false">'SALES Raw'!C1847</f>
        <v>8</v>
      </c>
      <c r="E4898" s="19" t="n">
        <f aca="false">'SALES Raw'!D1847</f>
        <v>299.64</v>
      </c>
      <c r="F4898" s="19" t="n">
        <f aca="false">'SALES Raw'!E1847*$H$4</f>
        <v>0</v>
      </c>
      <c r="G4898" s="19" t="n">
        <f aca="false">'SALES Raw'!F1847*$H$4</f>
        <v>0</v>
      </c>
      <c r="H4898" s="18" t="str">
        <f aca="false">'SALES Raw'!A1847</f>
        <v>109 - Private Shops</v>
      </c>
    </row>
    <row r="4899" customFormat="false" ht="15" hidden="false" customHeight="false" outlineLevel="0" collapsed="false">
      <c r="A4899" s="18" t="n">
        <f aca="false">'SALES Raw'!G1850</f>
        <v>4413197</v>
      </c>
      <c r="B4899" s="18" t="str">
        <f aca="false">'SALES Raw'!B1850</f>
        <v>87 L</v>
      </c>
      <c r="C4899" s="18" t="str">
        <f aca="false">'SALES Raw'!H1850</f>
        <v>87 L מקבע כתף ויד</v>
      </c>
      <c r="D4899" s="19" t="n">
        <f aca="false">'SALES Raw'!C1850</f>
        <v>2</v>
      </c>
      <c r="E4899" s="19" t="n">
        <f aca="false">'SALES Raw'!D1850</f>
        <v>254</v>
      </c>
      <c r="F4899" s="19" t="n">
        <f aca="false">'SALES Raw'!E1850*$H$4</f>
        <v>0</v>
      </c>
      <c r="G4899" s="19" t="n">
        <f aca="false">'SALES Raw'!F1850*$H$4</f>
        <v>0</v>
      </c>
      <c r="H4899" s="18" t="str">
        <f aca="false">'SALES Raw'!A1850</f>
        <v>109 - Private Shops</v>
      </c>
    </row>
    <row r="4900" customFormat="false" ht="15" hidden="false" customHeight="false" outlineLevel="0" collapsed="false">
      <c r="A4900" s="18" t="n">
        <f aca="false">'SALES Raw'!G1851</f>
        <v>4413196</v>
      </c>
      <c r="B4900" s="18" t="str">
        <f aca="false">'SALES Raw'!B1851</f>
        <v>87 M</v>
      </c>
      <c r="C4900" s="18" t="str">
        <f aca="false">'SALES Raw'!H1851</f>
        <v>87 M מקבע כתף ויד</v>
      </c>
      <c r="D4900" s="19" t="n">
        <f aca="false">'SALES Raw'!C1851</f>
        <v>2</v>
      </c>
      <c r="E4900" s="19" t="n">
        <f aca="false">'SALES Raw'!D1851</f>
        <v>254</v>
      </c>
      <c r="F4900" s="19" t="n">
        <f aca="false">'SALES Raw'!E1851*$H$4</f>
        <v>0</v>
      </c>
      <c r="G4900" s="19" t="n">
        <f aca="false">'SALES Raw'!F1851*$H$4</f>
        <v>0</v>
      </c>
      <c r="H4900" s="18" t="str">
        <f aca="false">'SALES Raw'!A1851</f>
        <v>109 - Private Shops</v>
      </c>
    </row>
    <row r="4901" customFormat="false" ht="15" hidden="false" customHeight="false" outlineLevel="0" collapsed="false">
      <c r="A4901" s="18" t="n">
        <f aca="false">'SALES Raw'!G1852</f>
        <v>4413195</v>
      </c>
      <c r="B4901" s="18" t="str">
        <f aca="false">'SALES Raw'!B1852</f>
        <v>87 S</v>
      </c>
      <c r="C4901" s="18" t="str">
        <f aca="false">'SALES Raw'!H1852</f>
        <v>87 S מקבע כתף ויד</v>
      </c>
      <c r="D4901" s="19" t="n">
        <f aca="false">'SALES Raw'!C1852</f>
        <v>2</v>
      </c>
      <c r="E4901" s="19" t="n">
        <f aca="false">'SALES Raw'!D1852</f>
        <v>253.98</v>
      </c>
      <c r="F4901" s="19" t="n">
        <f aca="false">'SALES Raw'!E1852*$H$4</f>
        <v>0</v>
      </c>
      <c r="G4901" s="19" t="n">
        <f aca="false">'SALES Raw'!F1852*$H$4</f>
        <v>0</v>
      </c>
      <c r="H4901" s="18" t="str">
        <f aca="false">'SALES Raw'!A1852</f>
        <v>109 - Private Shops</v>
      </c>
    </row>
    <row r="4902" customFormat="false" ht="15" hidden="false" customHeight="false" outlineLevel="0" collapsed="false">
      <c r="A4902" s="18" t="n">
        <f aca="false">'SALES Raw'!G1853</f>
        <v>4403019</v>
      </c>
      <c r="B4902" s="18" t="str">
        <f aca="false">'SALES Raw'!B1853</f>
        <v>394B-43-46</v>
      </c>
      <c r="C4902" s="18" t="str">
        <f aca="false">'SALES Raw'!H1853</f>
        <v>394B גרב.כסף לסכרתים שחור43-46</v>
      </c>
      <c r="D4902" s="19" t="n">
        <f aca="false">'SALES Raw'!C1853</f>
        <v>12</v>
      </c>
      <c r="E4902" s="19" t="n">
        <f aca="false">'SALES Raw'!D1853</f>
        <v>313.84</v>
      </c>
      <c r="F4902" s="19" t="n">
        <f aca="false">'SALES Raw'!E1853*$H$4</f>
        <v>0</v>
      </c>
      <c r="G4902" s="19" t="n">
        <f aca="false">'SALES Raw'!F1853*$H$4</f>
        <v>0</v>
      </c>
      <c r="H4902" s="18" t="str">
        <f aca="false">'SALES Raw'!A1853</f>
        <v>109 - Private Shops</v>
      </c>
    </row>
    <row r="4903" customFormat="false" ht="15" hidden="false" customHeight="false" outlineLevel="0" collapsed="false">
      <c r="A4903" s="18" t="str">
        <f aca="false">'SALES Raw'!G1854</f>
        <v/>
      </c>
      <c r="B4903" s="18" t="str">
        <f aca="false">'SALES Raw'!B1854</f>
        <v>394G-43-46</v>
      </c>
      <c r="C4903" s="18" t="str">
        <f aca="false">'SALES Raw'!H1854</f>
        <v>394G-43-46</v>
      </c>
      <c r="D4903" s="19" t="n">
        <f aca="false">'SALES Raw'!C1854</f>
        <v>6</v>
      </c>
      <c r="E4903" s="19" t="n">
        <f aca="false">'SALES Raw'!D1854</f>
        <v>157.25</v>
      </c>
      <c r="F4903" s="19" t="n">
        <f aca="false">'SALES Raw'!E1854*$H$4</f>
        <v>0</v>
      </c>
      <c r="G4903" s="19" t="n">
        <f aca="false">'SALES Raw'!F1854*$H$4</f>
        <v>0</v>
      </c>
      <c r="H4903" s="18" t="str">
        <f aca="false">'SALES Raw'!A1854</f>
        <v>109 - Private Shops</v>
      </c>
    </row>
    <row r="4904" customFormat="false" ht="15" hidden="false" customHeight="false" outlineLevel="0" collapsed="false">
      <c r="A4904" s="18" t="n">
        <f aca="false">'SALES Raw'!G1856</f>
        <v>4413441</v>
      </c>
      <c r="B4904" s="18" t="str">
        <f aca="false">'SALES Raw'!B1856</f>
        <v>SC422 XL</v>
      </c>
      <c r="C4904" s="18" t="str">
        <f aca="false">'SALES Raw'!H1856</f>
        <v>SC422 XL מגן ברך</v>
      </c>
      <c r="D4904" s="19" t="n">
        <f aca="false">'SALES Raw'!C1856</f>
        <v>2</v>
      </c>
      <c r="E4904" s="19" t="n">
        <f aca="false">'SALES Raw'!D1856</f>
        <v>281.14</v>
      </c>
      <c r="F4904" s="19" t="n">
        <f aca="false">'SALES Raw'!E1856*$H$4</f>
        <v>0</v>
      </c>
      <c r="G4904" s="19" t="n">
        <f aca="false">'SALES Raw'!F1856*$H$4</f>
        <v>0</v>
      </c>
      <c r="H4904" s="18" t="str">
        <f aca="false">'SALES Raw'!A1856</f>
        <v>109 - Private Shops</v>
      </c>
    </row>
    <row r="4905" customFormat="false" ht="15" hidden="false" customHeight="false" outlineLevel="0" collapsed="false">
      <c r="A4905" s="18" t="str">
        <f aca="false">'SALES Raw'!G1857</f>
        <v/>
      </c>
      <c r="B4905" s="18" t="str">
        <f aca="false">'SALES Raw'!B1857</f>
        <v>06 XXL</v>
      </c>
      <c r="C4905" s="18" t="str">
        <f aca="false">'SALES Raw'!H1857</f>
        <v>06 XXL</v>
      </c>
      <c r="D4905" s="19" t="n">
        <f aca="false">'SALES Raw'!C1857</f>
        <v>2</v>
      </c>
      <c r="E4905" s="19" t="n">
        <f aca="false">'SALES Raw'!D1857</f>
        <v>340.21</v>
      </c>
      <c r="F4905" s="19" t="n">
        <f aca="false">'SALES Raw'!E1857*$H$4</f>
        <v>0</v>
      </c>
      <c r="G4905" s="19" t="n">
        <f aca="false">'SALES Raw'!F1857*$H$4</f>
        <v>0</v>
      </c>
      <c r="H4905" s="18" t="str">
        <f aca="false">'SALES Raw'!A1857</f>
        <v>109 - Private Shops</v>
      </c>
    </row>
    <row r="4906" customFormat="false" ht="15" hidden="false" customHeight="false" outlineLevel="0" collapsed="false">
      <c r="A4906" s="18" t="n">
        <f aca="false">'SALES Raw'!G1858</f>
        <v>4408018</v>
      </c>
      <c r="B4906" s="18" t="str">
        <f aca="false">'SALES Raw'!B1858</f>
        <v>07AU XXL</v>
      </c>
      <c r="C4906" s="18" t="str">
        <f aca="false">'SALES Raw'!H1858</f>
        <v>07AU XXL.ח.גב """"איטלקית"""" אוריר</v>
      </c>
      <c r="D4906" s="19" t="n">
        <f aca="false">'SALES Raw'!C1858</f>
        <v>2</v>
      </c>
      <c r="E4906" s="19" t="n">
        <f aca="false">'SALES Raw'!D1858</f>
        <v>524.88</v>
      </c>
      <c r="F4906" s="19" t="n">
        <f aca="false">'SALES Raw'!E1858*$H$4</f>
        <v>0</v>
      </c>
      <c r="G4906" s="19" t="n">
        <f aca="false">'SALES Raw'!F1858*$H$4</f>
        <v>0</v>
      </c>
      <c r="H4906" s="18" t="str">
        <f aca="false">'SALES Raw'!A1858</f>
        <v>109 - Private Shops</v>
      </c>
    </row>
    <row r="4907" customFormat="false" ht="15" hidden="false" customHeight="false" outlineLevel="0" collapsed="false">
      <c r="A4907" s="18" t="n">
        <f aca="false">'SALES Raw'!G1860</f>
        <v>4415297</v>
      </c>
      <c r="B4907" s="18" t="str">
        <f aca="false">'SALES Raw'!B1860</f>
        <v>313 0</v>
      </c>
      <c r="C4907" s="18" t="str">
        <f aca="false">'SALES Raw'!H1860</f>
        <v>313 סט פלסטרים נגד שפשופים</v>
      </c>
      <c r="D4907" s="19" t="n">
        <f aca="false">'SALES Raw'!C1860</f>
        <v>2</v>
      </c>
      <c r="E4907" s="19" t="n">
        <f aca="false">'SALES Raw'!D1860</f>
        <v>47.71</v>
      </c>
      <c r="F4907" s="19" t="n">
        <f aca="false">'SALES Raw'!E1860*$H$4</f>
        <v>0</v>
      </c>
      <c r="G4907" s="19" t="n">
        <f aca="false">'SALES Raw'!F1860*$H$4</f>
        <v>0</v>
      </c>
      <c r="H4907" s="18" t="str">
        <f aca="false">'SALES Raw'!A1860</f>
        <v>109 - Private Shops</v>
      </c>
    </row>
    <row r="4908" customFormat="false" ht="15" hidden="false" customHeight="false" outlineLevel="0" collapsed="false">
      <c r="A4908" s="18" t="n">
        <f aca="false">'SALES Raw'!G1862</f>
        <v>4413059</v>
      </c>
      <c r="B4908" s="18" t="str">
        <f aca="false">'SALES Raw'!B1862</f>
        <v>364-S-L</v>
      </c>
      <c r="C4908" s="18" t="str">
        <f aca="false">'SALES Raw'!H1862</f>
        <v>364S Lמפר.אצבע סיליק. ליבל.זוג</v>
      </c>
      <c r="D4908" s="19" t="n">
        <f aca="false">'SALES Raw'!C1862</f>
        <v>2</v>
      </c>
      <c r="E4908" s="19" t="n">
        <f aca="false">'SALES Raw'!D1862</f>
        <v>28.96</v>
      </c>
      <c r="F4908" s="19" t="n">
        <f aca="false">'SALES Raw'!E1862*$H$4</f>
        <v>0</v>
      </c>
      <c r="G4908" s="19" t="n">
        <f aca="false">'SALES Raw'!F1862*$H$4</f>
        <v>0</v>
      </c>
      <c r="H4908" s="18" t="str">
        <f aca="false">'SALES Raw'!A1862</f>
        <v>109 - Private Shops</v>
      </c>
    </row>
    <row r="4909" customFormat="false" ht="15" hidden="false" customHeight="false" outlineLevel="0" collapsed="false">
      <c r="A4909" s="18" t="n">
        <f aca="false">'SALES Raw'!G1863</f>
        <v>4401000</v>
      </c>
      <c r="B4909" s="18" t="str">
        <f aca="false">'SALES Raw'!B1863</f>
        <v>369-S-L</v>
      </c>
      <c r="C4909" s="18" t="str">
        <f aca="false">'SALES Raw'!H1863</f>
        <v>369  S-L אצבעון מסיליקון יחידה</v>
      </c>
      <c r="D4909" s="19" t="n">
        <f aca="false">'SALES Raw'!C1863</f>
        <v>3</v>
      </c>
      <c r="E4909" s="19" t="n">
        <f aca="false">'SALES Raw'!D1863</f>
        <v>71.57</v>
      </c>
      <c r="F4909" s="19" t="n">
        <f aca="false">'SALES Raw'!E1863*$H$4</f>
        <v>0</v>
      </c>
      <c r="G4909" s="19" t="n">
        <f aca="false">'SALES Raw'!F1863*$H$4</f>
        <v>0</v>
      </c>
      <c r="H4909" s="18" t="str">
        <f aca="false">'SALES Raw'!A1863</f>
        <v>109 - Private Shops</v>
      </c>
    </row>
    <row r="4910" customFormat="false" ht="15" hidden="false" customHeight="false" outlineLevel="0" collapsed="false">
      <c r="A4910" s="18" t="n">
        <f aca="false">'SALES Raw'!G1864</f>
        <v>4401001</v>
      </c>
      <c r="B4910" s="18" t="str">
        <f aca="false">'SALES Raw'!B1864</f>
        <v>369-XL</v>
      </c>
      <c r="C4910" s="18" t="str">
        <f aca="false">'SALES Raw'!H1864</f>
        <v>369   XL אצבעון מסיליקון יחידה</v>
      </c>
      <c r="D4910" s="19" t="n">
        <f aca="false">'SALES Raw'!C1864</f>
        <v>8</v>
      </c>
      <c r="E4910" s="19" t="n">
        <f aca="false">'SALES Raw'!D1864</f>
        <v>209.58</v>
      </c>
      <c r="F4910" s="19" t="n">
        <f aca="false">'SALES Raw'!E1864*$H$4</f>
        <v>0</v>
      </c>
      <c r="G4910" s="19" t="n">
        <f aca="false">'SALES Raw'!F1864*$H$4</f>
        <v>0</v>
      </c>
      <c r="H4910" s="18" t="str">
        <f aca="false">'SALES Raw'!A1864</f>
        <v>109 - Private Shops</v>
      </c>
    </row>
    <row r="4911" customFormat="false" ht="15" hidden="false" customHeight="false" outlineLevel="0" collapsed="false">
      <c r="A4911" s="18" t="str">
        <f aca="false">'SALES Raw'!G1865</f>
        <v/>
      </c>
      <c r="B4911" s="18" t="str">
        <f aca="false">'SALES Raw'!B1865</f>
        <v>397-35-38</v>
      </c>
      <c r="C4911" s="18" t="str">
        <f aca="false">'SALES Raw'!H1865</f>
        <v>397-35-38</v>
      </c>
      <c r="D4911" s="19" t="n">
        <f aca="false">'SALES Raw'!C1865</f>
        <v>7</v>
      </c>
      <c r="E4911" s="19" t="n">
        <f aca="false">'SALES Raw'!D1865</f>
        <v>425.76</v>
      </c>
      <c r="F4911" s="19" t="n">
        <f aca="false">'SALES Raw'!E1865*$H$4</f>
        <v>0</v>
      </c>
      <c r="G4911" s="19" t="n">
        <f aca="false">'SALES Raw'!F1865*$H$4</f>
        <v>0</v>
      </c>
      <c r="H4911" s="18" t="str">
        <f aca="false">'SALES Raw'!A1865</f>
        <v>109 - Private Shops</v>
      </c>
    </row>
    <row r="4912" customFormat="false" ht="15" hidden="false" customHeight="false" outlineLevel="0" collapsed="false">
      <c r="A4912" s="18" t="n">
        <f aca="false">'SALES Raw'!G1866</f>
        <v>4403029</v>
      </c>
      <c r="B4912" s="18" t="str">
        <f aca="false">'SALES Raw'!B1866</f>
        <v>397-39-42</v>
      </c>
      <c r="C4912" s="18" t="str">
        <f aca="false">'SALES Raw'!H1866</f>
        <v>397 39-42 גרבי טיסה מידה</v>
      </c>
      <c r="D4912" s="19" t="n">
        <f aca="false">'SALES Raw'!C1866</f>
        <v>7</v>
      </c>
      <c r="E4912" s="19" t="n">
        <f aca="false">'SALES Raw'!D1866</f>
        <v>425.76</v>
      </c>
      <c r="F4912" s="19" t="n">
        <f aca="false">'SALES Raw'!E1866*$H$4</f>
        <v>0</v>
      </c>
      <c r="G4912" s="19" t="n">
        <f aca="false">'SALES Raw'!F1866*$H$4</f>
        <v>0</v>
      </c>
      <c r="H4912" s="18" t="str">
        <f aca="false">'SALES Raw'!A1866</f>
        <v>109 - Private Shops</v>
      </c>
    </row>
    <row r="4913" customFormat="false" ht="15" hidden="false" customHeight="false" outlineLevel="0" collapsed="false">
      <c r="A4913" s="18" t="str">
        <f aca="false">'SALES Raw'!G1867</f>
        <v/>
      </c>
      <c r="B4913" s="18" t="str">
        <f aca="false">'SALES Raw'!B1867</f>
        <v>422N L</v>
      </c>
      <c r="C4913" s="18" t="str">
        <f aca="false">'SALES Raw'!H1867</f>
        <v>422N L</v>
      </c>
      <c r="D4913" s="19" t="n">
        <f aca="false">'SALES Raw'!C1867</f>
        <v>1</v>
      </c>
      <c r="E4913" s="19" t="n">
        <f aca="false">'SALES Raw'!D1867</f>
        <v>187.45</v>
      </c>
      <c r="F4913" s="19" t="n">
        <f aca="false">'SALES Raw'!E1867*$H$4</f>
        <v>0</v>
      </c>
      <c r="G4913" s="19" t="n">
        <f aca="false">'SALES Raw'!F1867*$H$4</f>
        <v>0</v>
      </c>
      <c r="H4913" s="18" t="str">
        <f aca="false">'SALES Raw'!A1867</f>
        <v>109 - Private Shops</v>
      </c>
    </row>
    <row r="4914" customFormat="false" ht="15" hidden="false" customHeight="false" outlineLevel="0" collapsed="false">
      <c r="A4914" s="18" t="str">
        <f aca="false">'SALES Raw'!G1868</f>
        <v/>
      </c>
      <c r="B4914" s="18" t="str">
        <f aca="false">'SALES Raw'!B1868</f>
        <v>422N XL</v>
      </c>
      <c r="C4914" s="18" t="str">
        <f aca="false">'SALES Raw'!H1868</f>
        <v>422N XL</v>
      </c>
      <c r="D4914" s="19" t="n">
        <f aca="false">'SALES Raw'!C1868</f>
        <v>1</v>
      </c>
      <c r="E4914" s="19" t="n">
        <f aca="false">'SALES Raw'!D1868</f>
        <v>187.45</v>
      </c>
      <c r="F4914" s="19" t="n">
        <f aca="false">'SALES Raw'!E1868*$H$4</f>
        <v>0</v>
      </c>
      <c r="G4914" s="19" t="n">
        <f aca="false">'SALES Raw'!F1868*$H$4</f>
        <v>0</v>
      </c>
      <c r="H4914" s="18" t="str">
        <f aca="false">'SALES Raw'!A1868</f>
        <v>109 - Private Shops</v>
      </c>
    </row>
    <row r="4915" customFormat="false" ht="15" hidden="false" customHeight="false" outlineLevel="0" collapsed="false">
      <c r="A4915" s="18" t="n">
        <f aca="false">'SALES Raw'!G1872</f>
        <v>4401012</v>
      </c>
      <c r="B4915" s="18" t="str">
        <f aca="false">'SALES Raw'!B1872</f>
        <v>805AT-B</v>
      </c>
      <c r="C4915" s="18" t="str">
        <f aca="false">'SALES Raw'!H1872</f>
        <v>805AT-B אתלטיק טייפ שחור 20מ""""מ</v>
      </c>
      <c r="D4915" s="19" t="n">
        <f aca="false">'SALES Raw'!C1872</f>
        <v>6</v>
      </c>
      <c r="E4915" s="19" t="n">
        <f aca="false">'SALES Raw'!D1872</f>
        <v>103.77</v>
      </c>
      <c r="F4915" s="19" t="n">
        <f aca="false">'SALES Raw'!E1872*$H$4</f>
        <v>0</v>
      </c>
      <c r="G4915" s="19" t="n">
        <f aca="false">'SALES Raw'!F1872*$H$4</f>
        <v>0</v>
      </c>
      <c r="H4915" s="18" t="str">
        <f aca="false">'SALES Raw'!A1872</f>
        <v>109 - Private Shops</v>
      </c>
    </row>
    <row r="4916" customFormat="false" ht="15" hidden="false" customHeight="false" outlineLevel="0" collapsed="false">
      <c r="A4916" s="18" t="n">
        <f aca="false">'SALES Raw'!G1873</f>
        <v>4401011</v>
      </c>
      <c r="B4916" s="18" t="str">
        <f aca="false">'SALES Raw'!B1873</f>
        <v>805AT-C</v>
      </c>
      <c r="C4916" s="18" t="str">
        <f aca="false">'SALES Raw'!H1873</f>
        <v>805AT-Cאתלטיק טייפ בז' 20מ""""מ20</v>
      </c>
      <c r="D4916" s="19" t="n">
        <f aca="false">'SALES Raw'!C1873</f>
        <v>6</v>
      </c>
      <c r="E4916" s="19" t="n">
        <f aca="false">'SALES Raw'!D1873</f>
        <v>103.77</v>
      </c>
      <c r="F4916" s="19" t="n">
        <f aca="false">'SALES Raw'!E1873*$H$4</f>
        <v>0</v>
      </c>
      <c r="G4916" s="19" t="n">
        <f aca="false">'SALES Raw'!F1873*$H$4</f>
        <v>0</v>
      </c>
      <c r="H4916" s="18" t="str">
        <f aca="false">'SALES Raw'!A1873</f>
        <v>109 - Private Shops</v>
      </c>
    </row>
    <row r="4917" customFormat="false" ht="15" hidden="false" customHeight="false" outlineLevel="0" collapsed="false">
      <c r="A4917" s="18" t="n">
        <f aca="false">'SALES Raw'!G1874</f>
        <v>4409015</v>
      </c>
      <c r="B4917" s="18" t="str">
        <f aca="false">'SALES Raw'!B1874</f>
        <v>808KT-BL</v>
      </c>
      <c r="C4917" s="18" t="str">
        <f aca="false">'SALES Raw'!H1874</f>
        <v>808KT-BL       טייפ קינזיולוגי</v>
      </c>
      <c r="D4917" s="19" t="n">
        <f aca="false">'SALES Raw'!C1874</f>
        <v>3</v>
      </c>
      <c r="E4917" s="19" t="n">
        <f aca="false">'SALES Raw'!D1874</f>
        <v>90</v>
      </c>
      <c r="F4917" s="19" t="n">
        <f aca="false">'SALES Raw'!E1874*$H$4</f>
        <v>0</v>
      </c>
      <c r="G4917" s="19" t="n">
        <f aca="false">'SALES Raw'!F1874*$H$4</f>
        <v>0</v>
      </c>
      <c r="H4917" s="18" t="str">
        <f aca="false">'SALES Raw'!A1874</f>
        <v>109 - Private Shops</v>
      </c>
    </row>
    <row r="4918" customFormat="false" ht="15" hidden="false" customHeight="false" outlineLevel="0" collapsed="false">
      <c r="A4918" s="18" t="n">
        <f aca="false">'SALES Raw'!G1875</f>
        <v>4409016</v>
      </c>
      <c r="B4918" s="18" t="str">
        <f aca="false">'SALES Raw'!B1875</f>
        <v>808KT-C</v>
      </c>
      <c r="C4918" s="18" t="str">
        <f aca="false">'SALES Raw'!H1875</f>
        <v>808KT-C        טייפ קינזיולוגי</v>
      </c>
      <c r="D4918" s="19" t="n">
        <f aca="false">'SALES Raw'!C1875</f>
        <v>6</v>
      </c>
      <c r="E4918" s="19" t="n">
        <f aca="false">'SALES Raw'!D1875</f>
        <v>180</v>
      </c>
      <c r="F4918" s="19" t="n">
        <f aca="false">'SALES Raw'!E1875*$H$4</f>
        <v>0</v>
      </c>
      <c r="G4918" s="19" t="n">
        <f aca="false">'SALES Raw'!F1875*$H$4</f>
        <v>0</v>
      </c>
      <c r="H4918" s="18" t="str">
        <f aca="false">'SALES Raw'!A1875</f>
        <v>109 - Private Shops</v>
      </c>
    </row>
    <row r="4919" customFormat="false" ht="15" hidden="false" customHeight="false" outlineLevel="0" collapsed="false">
      <c r="A4919" s="18" t="n">
        <f aca="false">'SALES Raw'!G1876</f>
        <v>4408207</v>
      </c>
      <c r="B4919" s="18" t="str">
        <f aca="false">'SALES Raw'!B1876</f>
        <v>AC25 0</v>
      </c>
      <c r="C4919" s="18" t="str">
        <f aca="false">'SALES Raw'!H1876</f>
        <v>AC-25 חבק לשורש כף היד</v>
      </c>
      <c r="D4919" s="19" t="n">
        <f aca="false">'SALES Raw'!C1876</f>
        <v>6</v>
      </c>
      <c r="E4919" s="19" t="n">
        <f aca="false">'SALES Raw'!D1876</f>
        <v>224.73</v>
      </c>
      <c r="F4919" s="19" t="n">
        <f aca="false">'SALES Raw'!E1876*$H$4</f>
        <v>0</v>
      </c>
      <c r="G4919" s="19" t="n">
        <f aca="false">'SALES Raw'!F1876*$H$4</f>
        <v>0</v>
      </c>
      <c r="H4919" s="18" t="str">
        <f aca="false">'SALES Raw'!A1876</f>
        <v>109 - Private Shops</v>
      </c>
    </row>
    <row r="4920" customFormat="false" ht="15" hidden="false" customHeight="false" outlineLevel="0" collapsed="false">
      <c r="A4920" s="18" t="str">
        <f aca="false">'SALES Raw'!G1880</f>
        <v/>
      </c>
      <c r="B4920" s="18" t="str">
        <f aca="false">'SALES Raw'!B1880</f>
        <v>T39 L</v>
      </c>
      <c r="C4920" s="18" t="str">
        <f aca="false">'SALES Raw'!H1880</f>
        <v>T39 L</v>
      </c>
      <c r="D4920" s="19" t="n">
        <f aca="false">'SALES Raw'!C1880</f>
        <v>2</v>
      </c>
      <c r="E4920" s="19" t="n">
        <f aca="false">'SALES Raw'!D1880</f>
        <v>215.52</v>
      </c>
      <c r="F4920" s="19" t="n">
        <f aca="false">'SALES Raw'!E1880*$H$4</f>
        <v>0</v>
      </c>
      <c r="G4920" s="19" t="n">
        <f aca="false">'SALES Raw'!F1880*$H$4</f>
        <v>0</v>
      </c>
      <c r="H4920" s="18" t="str">
        <f aca="false">'SALES Raw'!A1880</f>
        <v>109 - Private Shops</v>
      </c>
    </row>
    <row r="4921" customFormat="false" ht="15" hidden="false" customHeight="false" outlineLevel="0" collapsed="false">
      <c r="A4921" s="18" t="str">
        <f aca="false">'SALES Raw'!G1881</f>
        <v/>
      </c>
      <c r="B4921" s="18" t="str">
        <f aca="false">'SALES Raw'!B1881</f>
        <v>T39 XL</v>
      </c>
      <c r="C4921" s="18" t="str">
        <f aca="false">'SALES Raw'!H1881</f>
        <v>T39 XL</v>
      </c>
      <c r="D4921" s="19" t="n">
        <f aca="false">'SALES Raw'!C1881</f>
        <v>1</v>
      </c>
      <c r="E4921" s="19" t="n">
        <f aca="false">'SALES Raw'!D1881</f>
        <v>107.76</v>
      </c>
      <c r="F4921" s="19" t="n">
        <f aca="false">'SALES Raw'!E1881*$H$4</f>
        <v>0</v>
      </c>
      <c r="G4921" s="19" t="n">
        <f aca="false">'SALES Raw'!F1881*$H$4</f>
        <v>0</v>
      </c>
      <c r="H4921" s="18" t="str">
        <f aca="false">'SALES Raw'!A1881</f>
        <v>109 - Private Shops</v>
      </c>
    </row>
    <row r="4922" customFormat="false" ht="15" hidden="false" customHeight="false" outlineLevel="0" collapsed="false">
      <c r="A4922" s="18" t="str">
        <f aca="false">'SALES Raw'!G1884</f>
        <v/>
      </c>
      <c r="B4922" s="18" t="str">
        <f aca="false">'SALES Raw'!B1884</f>
        <v>07UB-S-M</v>
      </c>
      <c r="C4922" s="18" t="str">
        <f aca="false">'SALES Raw'!H1884</f>
        <v>07UB-S-M</v>
      </c>
      <c r="D4922" s="19" t="n">
        <f aca="false">'SALES Raw'!C1884</f>
        <v>1</v>
      </c>
      <c r="E4922" s="19" t="n">
        <f aca="false">'SALES Raw'!D1884</f>
        <v>234.31</v>
      </c>
      <c r="F4922" s="19" t="n">
        <f aca="false">'SALES Raw'!E1884*$H$4</f>
        <v>0</v>
      </c>
      <c r="G4922" s="19" t="n">
        <f aca="false">'SALES Raw'!F1884*$H$4</f>
        <v>0</v>
      </c>
      <c r="H4922" s="18" t="str">
        <f aca="false">'SALES Raw'!A1884</f>
        <v>109 - Private Shops</v>
      </c>
    </row>
    <row r="4923" customFormat="false" ht="15" hidden="false" customHeight="false" outlineLevel="0" collapsed="false">
      <c r="A4923" s="18" t="n">
        <f aca="false">'SALES Raw'!G1885</f>
        <v>4408115</v>
      </c>
      <c r="B4923" s="18" t="str">
        <f aca="false">'SALES Raw'!B1885</f>
        <v>11EU L</v>
      </c>
      <c r="C4923" s="18" t="str">
        <f aca="false">'SALES Raw'!H1885</f>
        <v>11EU L ח.בטן לאחר ניתוח</v>
      </c>
      <c r="D4923" s="19" t="n">
        <f aca="false">'SALES Raw'!C1885</f>
        <v>1</v>
      </c>
      <c r="E4923" s="19" t="n">
        <f aca="false">'SALES Raw'!D1885</f>
        <v>110.11</v>
      </c>
      <c r="F4923" s="19" t="n">
        <f aca="false">'SALES Raw'!E1885*$H$4</f>
        <v>0</v>
      </c>
      <c r="G4923" s="19" t="n">
        <f aca="false">'SALES Raw'!F1885*$H$4</f>
        <v>0</v>
      </c>
      <c r="H4923" s="18" t="str">
        <f aca="false">'SALES Raw'!A1885</f>
        <v>109 - Private Shops</v>
      </c>
    </row>
    <row r="4924" customFormat="false" ht="15" hidden="false" customHeight="false" outlineLevel="0" collapsed="false">
      <c r="A4924" s="18" t="n">
        <f aca="false">'SALES Raw'!G1886</f>
        <v>4408114</v>
      </c>
      <c r="B4924" s="18" t="str">
        <f aca="false">'SALES Raw'!B1886</f>
        <v>11EU M</v>
      </c>
      <c r="C4924" s="18" t="str">
        <f aca="false">'SALES Raw'!H1886</f>
        <v>11EU M ח.בטן לאחר ניתוח</v>
      </c>
      <c r="D4924" s="19" t="n">
        <f aca="false">'SALES Raw'!C1886</f>
        <v>1</v>
      </c>
      <c r="E4924" s="19" t="n">
        <f aca="false">'SALES Raw'!D1886</f>
        <v>110.15</v>
      </c>
      <c r="F4924" s="19" t="n">
        <f aca="false">'SALES Raw'!E1886*$H$4</f>
        <v>0</v>
      </c>
      <c r="G4924" s="19" t="n">
        <f aca="false">'SALES Raw'!F1886*$H$4</f>
        <v>0</v>
      </c>
      <c r="H4924" s="18" t="str">
        <f aca="false">'SALES Raw'!A1886</f>
        <v>109 - Private Shops</v>
      </c>
    </row>
    <row r="4925" customFormat="false" ht="15" hidden="false" customHeight="false" outlineLevel="0" collapsed="false">
      <c r="A4925" s="18" t="n">
        <f aca="false">'SALES Raw'!G1887</f>
        <v>4408116</v>
      </c>
      <c r="B4925" s="18" t="str">
        <f aca="false">'SALES Raw'!B1887</f>
        <v>11EU XL</v>
      </c>
      <c r="C4925" s="18" t="str">
        <f aca="false">'SALES Raw'!H1887</f>
        <v>11EU XLח.בטן לאחר ניתוח</v>
      </c>
      <c r="D4925" s="19" t="n">
        <f aca="false">'SALES Raw'!C1887</f>
        <v>1</v>
      </c>
      <c r="E4925" s="19" t="n">
        <f aca="false">'SALES Raw'!D1887</f>
        <v>110.11</v>
      </c>
      <c r="F4925" s="19" t="n">
        <f aca="false">'SALES Raw'!E1887*$H$4</f>
        <v>0</v>
      </c>
      <c r="G4925" s="19" t="n">
        <f aca="false">'SALES Raw'!F1887*$H$4</f>
        <v>0</v>
      </c>
      <c r="H4925" s="18" t="str">
        <f aca="false">'SALES Raw'!A1887</f>
        <v>109 - Private Shops</v>
      </c>
    </row>
    <row r="4926" customFormat="false" ht="15" hidden="false" customHeight="false" outlineLevel="0" collapsed="false">
      <c r="A4926" s="18" t="n">
        <f aca="false">'SALES Raw'!G1888</f>
        <v>4408132</v>
      </c>
      <c r="B4926" s="18" t="str">
        <f aca="false">'SALES Raw'!B1888</f>
        <v>11EU XXL</v>
      </c>
      <c r="C4926" s="18" t="str">
        <f aca="false">'SALES Raw'!H1888</f>
        <v>11EU XXL חגורת בטןלאחר ניתוח</v>
      </c>
      <c r="D4926" s="19" t="n">
        <f aca="false">'SALES Raw'!C1888</f>
        <v>1</v>
      </c>
      <c r="E4926" s="19" t="n">
        <f aca="false">'SALES Raw'!D1888</f>
        <v>110.11</v>
      </c>
      <c r="F4926" s="19" t="n">
        <f aca="false">'SALES Raw'!E1888*$H$4</f>
        <v>0</v>
      </c>
      <c r="G4926" s="19" t="n">
        <f aca="false">'SALES Raw'!F1888*$H$4</f>
        <v>0</v>
      </c>
      <c r="H4926" s="18" t="str">
        <f aca="false">'SALES Raw'!A1888</f>
        <v>109 - Private Shops</v>
      </c>
    </row>
    <row r="4927" customFormat="false" ht="15" hidden="false" customHeight="false" outlineLevel="0" collapsed="false">
      <c r="A4927" s="18" t="str">
        <f aca="false">'SALES Raw'!G1889</f>
        <v/>
      </c>
      <c r="B4927" s="18" t="str">
        <f aca="false">'SALES Raw'!B1889</f>
        <v>13 L</v>
      </c>
      <c r="C4927" s="18" t="str">
        <f aca="false">'SALES Raw'!H1889</f>
        <v>13 L</v>
      </c>
      <c r="D4927" s="19" t="n">
        <f aca="false">'SALES Raw'!C1889</f>
        <v>1</v>
      </c>
      <c r="E4927" s="19" t="n">
        <f aca="false">'SALES Raw'!D1889</f>
        <v>115</v>
      </c>
      <c r="F4927" s="19" t="n">
        <f aca="false">'SALES Raw'!E1889*$H$4</f>
        <v>0</v>
      </c>
      <c r="G4927" s="19" t="n">
        <f aca="false">'SALES Raw'!F1889*$H$4</f>
        <v>53.0273684210526</v>
      </c>
      <c r="H4927" s="18" t="str">
        <f aca="false">'SALES Raw'!A1889</f>
        <v>109 - Private Shops</v>
      </c>
    </row>
    <row r="4928" customFormat="false" ht="15" hidden="false" customHeight="false" outlineLevel="0" collapsed="false">
      <c r="A4928" s="18" t="n">
        <f aca="false">'SALES Raw'!G1900</f>
        <v>4413154</v>
      </c>
      <c r="B4928" s="18" t="str">
        <f aca="false">'SALES Raw'!B1900</f>
        <v>305GA-37-38</v>
      </c>
      <c r="C4928" s="18" t="str">
        <f aca="false">'SALES Raw'!H1900</f>
        <v>305GA מדרס אורטופ.מתכוון37-38</v>
      </c>
      <c r="D4928" s="19" t="n">
        <f aca="false">'SALES Raw'!C1900</f>
        <v>4</v>
      </c>
      <c r="E4928" s="19" t="n">
        <f aca="false">'SALES Raw'!D1900</f>
        <v>334.4</v>
      </c>
      <c r="F4928" s="19" t="n">
        <f aca="false">'SALES Raw'!E1900*$H$4</f>
        <v>0</v>
      </c>
      <c r="G4928" s="19" t="n">
        <f aca="false">'SALES Raw'!F1900*$H$4</f>
        <v>0</v>
      </c>
      <c r="H4928" s="18" t="str">
        <f aca="false">'SALES Raw'!A1900</f>
        <v>109 - Private Shops</v>
      </c>
    </row>
    <row r="4929" customFormat="false" ht="15" hidden="false" customHeight="false" outlineLevel="0" collapsed="false">
      <c r="A4929" s="18" t="n">
        <f aca="false">'SALES Raw'!G1902</f>
        <v>4413161</v>
      </c>
      <c r="B4929" s="18" t="str">
        <f aca="false">'SALES Raw'!B1902</f>
        <v>34+ L</v>
      </c>
      <c r="C4929" s="18" t="str">
        <f aca="false">'SALES Raw'!H1902</f>
        <v>34+ L מגן קרסול עקב סגור+רצוע</v>
      </c>
      <c r="D4929" s="19" t="n">
        <f aca="false">'SALES Raw'!C1902</f>
        <v>1</v>
      </c>
      <c r="E4929" s="19" t="n">
        <f aca="false">'SALES Raw'!D1902</f>
        <v>61.41</v>
      </c>
      <c r="F4929" s="19" t="n">
        <f aca="false">'SALES Raw'!E1902*$H$4</f>
        <v>0</v>
      </c>
      <c r="G4929" s="19" t="n">
        <f aca="false">'SALES Raw'!F1902*$H$4</f>
        <v>0</v>
      </c>
      <c r="H4929" s="18" t="str">
        <f aca="false">'SALES Raw'!A1902</f>
        <v>109 - Private Shops</v>
      </c>
    </row>
    <row r="4930" customFormat="false" ht="15" hidden="false" customHeight="false" outlineLevel="0" collapsed="false">
      <c r="A4930" s="18" t="n">
        <f aca="false">'SALES Raw'!G1903</f>
        <v>4413160</v>
      </c>
      <c r="B4930" s="18" t="str">
        <f aca="false">'SALES Raw'!B1903</f>
        <v>34+ M</v>
      </c>
      <c r="C4930" s="18" t="str">
        <f aca="false">'SALES Raw'!H1903</f>
        <v>34+ M מגן קרסול עקב סגור+רצוע</v>
      </c>
      <c r="D4930" s="19" t="n">
        <f aca="false">'SALES Raw'!C1903</f>
        <v>1</v>
      </c>
      <c r="E4930" s="19" t="n">
        <f aca="false">'SALES Raw'!D1903</f>
        <v>61.41</v>
      </c>
      <c r="F4930" s="19" t="n">
        <f aca="false">'SALES Raw'!E1903*$H$4</f>
        <v>0</v>
      </c>
      <c r="G4930" s="19" t="n">
        <f aca="false">'SALES Raw'!F1903*$H$4</f>
        <v>0</v>
      </c>
      <c r="H4930" s="18" t="str">
        <f aca="false">'SALES Raw'!A1903</f>
        <v>109 - Private Shops</v>
      </c>
    </row>
    <row r="4931" customFormat="false" ht="15" hidden="false" customHeight="false" outlineLevel="0" collapsed="false">
      <c r="A4931" s="18" t="n">
        <f aca="false">'SALES Raw'!G1904</f>
        <v>4413048</v>
      </c>
      <c r="B4931" s="18" t="str">
        <f aca="false">'SALES Raw'!B1904</f>
        <v>35 L</v>
      </c>
      <c r="C4931" s="18" t="str">
        <f aca="false">'SALES Raw'!H1904</f>
        <v>35 L מגן קרסול לבן</v>
      </c>
      <c r="D4931" s="19" t="n">
        <f aca="false">'SALES Raw'!C1904</f>
        <v>1</v>
      </c>
      <c r="E4931" s="19" t="n">
        <f aca="false">'SALES Raw'!D1904</f>
        <v>30.89</v>
      </c>
      <c r="F4931" s="19" t="n">
        <f aca="false">'SALES Raw'!E1904*$H$4</f>
        <v>0</v>
      </c>
      <c r="G4931" s="19" t="n">
        <f aca="false">'SALES Raw'!F1904*$H$4</f>
        <v>0</v>
      </c>
      <c r="H4931" s="18" t="str">
        <f aca="false">'SALES Raw'!A1904</f>
        <v>109 - Private Shops</v>
      </c>
    </row>
    <row r="4932" customFormat="false" ht="15" hidden="false" customHeight="false" outlineLevel="0" collapsed="false">
      <c r="A4932" s="18" t="n">
        <f aca="false">'SALES Raw'!G1905</f>
        <v>4413049</v>
      </c>
      <c r="B4932" s="18" t="str">
        <f aca="false">'SALES Raw'!B1905</f>
        <v>35 M</v>
      </c>
      <c r="C4932" s="18" t="str">
        <f aca="false">'SALES Raw'!H1905</f>
        <v>35 M מגן קרסול לבן</v>
      </c>
      <c r="D4932" s="19" t="n">
        <f aca="false">'SALES Raw'!C1905</f>
        <v>1</v>
      </c>
      <c r="E4932" s="19" t="n">
        <f aca="false">'SALES Raw'!D1905</f>
        <v>30.89</v>
      </c>
      <c r="F4932" s="19" t="n">
        <f aca="false">'SALES Raw'!E1905*$H$4</f>
        <v>0</v>
      </c>
      <c r="G4932" s="19" t="n">
        <f aca="false">'SALES Raw'!F1905*$H$4</f>
        <v>0</v>
      </c>
      <c r="H4932" s="18" t="str">
        <f aca="false">'SALES Raw'!A1905</f>
        <v>109 - Private Shops</v>
      </c>
    </row>
    <row r="4933" customFormat="false" ht="15" hidden="false" customHeight="false" outlineLevel="0" collapsed="false">
      <c r="A4933" s="18" t="n">
        <f aca="false">'SALES Raw'!G1906</f>
        <v>4413047</v>
      </c>
      <c r="B4933" s="18" t="str">
        <f aca="false">'SALES Raw'!B1906</f>
        <v>35 S</v>
      </c>
      <c r="C4933" s="18" t="str">
        <f aca="false">'SALES Raw'!H1906</f>
        <v>35 S מגן קרסול לבן</v>
      </c>
      <c r="D4933" s="19" t="n">
        <f aca="false">'SALES Raw'!C1906</f>
        <v>1</v>
      </c>
      <c r="E4933" s="19" t="n">
        <f aca="false">'SALES Raw'!D1906</f>
        <v>30.89</v>
      </c>
      <c r="F4933" s="19" t="n">
        <f aca="false">'SALES Raw'!E1906*$H$4</f>
        <v>0</v>
      </c>
      <c r="G4933" s="19" t="n">
        <f aca="false">'SALES Raw'!F1906*$H$4</f>
        <v>0</v>
      </c>
      <c r="H4933" s="18" t="str">
        <f aca="false">'SALES Raw'!A1906</f>
        <v>109 - Private Shops</v>
      </c>
    </row>
    <row r="4934" customFormat="false" ht="15" hidden="false" customHeight="false" outlineLevel="0" collapsed="false">
      <c r="A4934" s="18" t="n">
        <f aca="false">'SALES Raw'!G1907</f>
        <v>4413050</v>
      </c>
      <c r="B4934" s="18" t="str">
        <f aca="false">'SALES Raw'!B1907</f>
        <v>35 XL</v>
      </c>
      <c r="C4934" s="18" t="str">
        <f aca="false">'SALES Raw'!H1907</f>
        <v>35 XL מגן קרסול לבן</v>
      </c>
      <c r="D4934" s="19" t="n">
        <f aca="false">'SALES Raw'!C1907</f>
        <v>1</v>
      </c>
      <c r="E4934" s="19" t="n">
        <f aca="false">'SALES Raw'!D1907</f>
        <v>30.89</v>
      </c>
      <c r="F4934" s="19" t="n">
        <f aca="false">'SALES Raw'!E1907*$H$4</f>
        <v>0</v>
      </c>
      <c r="G4934" s="19" t="n">
        <f aca="false">'SALES Raw'!F1907*$H$4</f>
        <v>0</v>
      </c>
      <c r="H4934" s="18" t="str">
        <f aca="false">'SALES Raw'!A1907</f>
        <v>109 - Private Shops</v>
      </c>
    </row>
    <row r="4935" customFormat="false" ht="15" hidden="false" customHeight="false" outlineLevel="0" collapsed="false">
      <c r="A4935" s="18" t="n">
        <f aca="false">'SALES Raw'!G1909</f>
        <v>4403000</v>
      </c>
      <c r="B4935" s="18" t="str">
        <f aca="false">'SALES Raw'!B1909</f>
        <v>390B-35-38</v>
      </c>
      <c r="C4935" s="18" t="str">
        <f aca="false">'SALES Raw'!H1909</f>
        <v>390B גרב.כסף לסכרתים שחור35-38</v>
      </c>
      <c r="D4935" s="19" t="n">
        <f aca="false">'SALES Raw'!C1909</f>
        <v>1</v>
      </c>
      <c r="E4935" s="19" t="n">
        <f aca="false">'SALES Raw'!D1909</f>
        <v>35.11</v>
      </c>
      <c r="F4935" s="19" t="n">
        <f aca="false">'SALES Raw'!E1909*$H$4</f>
        <v>0</v>
      </c>
      <c r="G4935" s="19" t="n">
        <f aca="false">'SALES Raw'!F1909*$H$4</f>
        <v>0</v>
      </c>
      <c r="H4935" s="18" t="str">
        <f aca="false">'SALES Raw'!A1909</f>
        <v>109 - Private Shops</v>
      </c>
    </row>
    <row r="4936" customFormat="false" ht="15" hidden="false" customHeight="false" outlineLevel="0" collapsed="false">
      <c r="A4936" s="18" t="n">
        <f aca="false">'SALES Raw'!G1912</f>
        <v>4403003</v>
      </c>
      <c r="B4936" s="18" t="str">
        <f aca="false">'SALES Raw'!B1912</f>
        <v>390G-35-38</v>
      </c>
      <c r="C4936" s="18" t="str">
        <f aca="false">'SALES Raw'!H1912</f>
        <v>390G ג.כסף לסכרתיים אפור35-38</v>
      </c>
      <c r="D4936" s="19" t="n">
        <f aca="false">'SALES Raw'!C1912</f>
        <v>1</v>
      </c>
      <c r="E4936" s="19" t="n">
        <f aca="false">'SALES Raw'!D1912</f>
        <v>35.11</v>
      </c>
      <c r="F4936" s="19" t="n">
        <f aca="false">'SALES Raw'!E1912*$H$4</f>
        <v>0</v>
      </c>
      <c r="G4936" s="19" t="n">
        <f aca="false">'SALES Raw'!F1912*$H$4</f>
        <v>0</v>
      </c>
      <c r="H4936" s="18" t="str">
        <f aca="false">'SALES Raw'!A1912</f>
        <v>109 - Private Shops</v>
      </c>
    </row>
    <row r="4937" customFormat="false" ht="15" hidden="false" customHeight="false" outlineLevel="0" collapsed="false">
      <c r="A4937" s="18" t="str">
        <f aca="false">'SALES Raw'!G1913</f>
        <v/>
      </c>
      <c r="B4937" s="18" t="str">
        <f aca="false">'SALES Raw'!B1913</f>
        <v>390G-39-42</v>
      </c>
      <c r="C4937" s="18" t="str">
        <f aca="false">'SALES Raw'!H1913</f>
        <v>390G-39-42</v>
      </c>
      <c r="D4937" s="19" t="n">
        <f aca="false">'SALES Raw'!C1913</f>
        <v>1</v>
      </c>
      <c r="E4937" s="19" t="n">
        <f aca="false">'SALES Raw'!D1913</f>
        <v>35.11</v>
      </c>
      <c r="F4937" s="19" t="n">
        <f aca="false">'SALES Raw'!E1913*$H$4</f>
        <v>0</v>
      </c>
      <c r="G4937" s="19" t="n">
        <f aca="false">'SALES Raw'!F1913*$H$4</f>
        <v>0</v>
      </c>
      <c r="H4937" s="18" t="str">
        <f aca="false">'SALES Raw'!A1913</f>
        <v>109 - Private Shops</v>
      </c>
    </row>
    <row r="4938" customFormat="false" ht="15" hidden="false" customHeight="false" outlineLevel="0" collapsed="false">
      <c r="A4938" s="18" t="n">
        <f aca="false">'SALES Raw'!G1914</f>
        <v>4403005</v>
      </c>
      <c r="B4938" s="18" t="str">
        <f aca="false">'SALES Raw'!B1914</f>
        <v>390G-43-46</v>
      </c>
      <c r="C4938" s="18" t="str">
        <f aca="false">'SALES Raw'!H1914</f>
        <v>G390.43-46 גרבי כסף לסכרת מידה</v>
      </c>
      <c r="D4938" s="19" t="n">
        <f aca="false">'SALES Raw'!C1914</f>
        <v>1</v>
      </c>
      <c r="E4938" s="19" t="n">
        <f aca="false">'SALES Raw'!D1914</f>
        <v>35.11</v>
      </c>
      <c r="F4938" s="19" t="n">
        <f aca="false">'SALES Raw'!E1914*$H$4</f>
        <v>0</v>
      </c>
      <c r="G4938" s="19" t="n">
        <f aca="false">'SALES Raw'!F1914*$H$4</f>
        <v>0</v>
      </c>
      <c r="H4938" s="18" t="str">
        <f aca="false">'SALES Raw'!A1914</f>
        <v>109 - Private Shops</v>
      </c>
    </row>
    <row r="4939" customFormat="false" ht="15" hidden="false" customHeight="false" outlineLevel="0" collapsed="false">
      <c r="A4939" s="18" t="str">
        <f aca="false">'SALES Raw'!G1916</f>
        <v/>
      </c>
      <c r="B4939" s="18" t="str">
        <f aca="false">'SALES Raw'!B1916</f>
        <v>394G-35-38</v>
      </c>
      <c r="C4939" s="18" t="str">
        <f aca="false">'SALES Raw'!H1916</f>
        <v>394G-35-38</v>
      </c>
      <c r="D4939" s="19" t="n">
        <f aca="false">'SALES Raw'!C1916</f>
        <v>4</v>
      </c>
      <c r="E4939" s="19" t="n">
        <f aca="false">'SALES Raw'!D1916</f>
        <v>101.09</v>
      </c>
      <c r="F4939" s="19" t="n">
        <f aca="false">'SALES Raw'!E1916*$H$4</f>
        <v>0</v>
      </c>
      <c r="G4939" s="19" t="n">
        <f aca="false">'SALES Raw'!F1916*$H$4</f>
        <v>0</v>
      </c>
      <c r="H4939" s="18" t="str">
        <f aca="false">'SALES Raw'!A1916</f>
        <v>109 - Private Shops</v>
      </c>
    </row>
    <row r="4940" customFormat="false" ht="15" hidden="false" customHeight="false" outlineLevel="0" collapsed="false">
      <c r="A4940" s="18" t="str">
        <f aca="false">'SALES Raw'!G1917</f>
        <v/>
      </c>
      <c r="B4940" s="18" t="str">
        <f aca="false">'SALES Raw'!B1917</f>
        <v>394G-39-42</v>
      </c>
      <c r="C4940" s="18" t="str">
        <f aca="false">'SALES Raw'!H1917</f>
        <v>394G-39-42</v>
      </c>
      <c r="D4940" s="19" t="n">
        <f aca="false">'SALES Raw'!C1917</f>
        <v>4</v>
      </c>
      <c r="E4940" s="19" t="n">
        <f aca="false">'SALES Raw'!D1917</f>
        <v>101.09</v>
      </c>
      <c r="F4940" s="19" t="n">
        <f aca="false">'SALES Raw'!E1917*$H$4</f>
        <v>0</v>
      </c>
      <c r="G4940" s="19" t="n">
        <f aca="false">'SALES Raw'!F1917*$H$4</f>
        <v>0</v>
      </c>
      <c r="H4940" s="18" t="str">
        <f aca="false">'SALES Raw'!A1917</f>
        <v>109 - Private Shops</v>
      </c>
    </row>
    <row r="4941" customFormat="false" ht="15" hidden="false" customHeight="false" outlineLevel="0" collapsed="false">
      <c r="A4941" s="18" t="str">
        <f aca="false">'SALES Raw'!G1921</f>
        <v/>
      </c>
      <c r="B4941" s="18" t="str">
        <f aca="false">'SALES Raw'!B1921</f>
        <v>397-43-46</v>
      </c>
      <c r="C4941" s="18" t="str">
        <f aca="false">'SALES Raw'!H1921</f>
        <v>397-43-46</v>
      </c>
      <c r="D4941" s="19" t="n">
        <f aca="false">'SALES Raw'!C1921</f>
        <v>8</v>
      </c>
      <c r="E4941" s="19" t="n">
        <f aca="false">'SALES Raw'!D1921</f>
        <v>480.56</v>
      </c>
      <c r="F4941" s="19" t="n">
        <f aca="false">'SALES Raw'!E1921*$H$4</f>
        <v>0</v>
      </c>
      <c r="G4941" s="19" t="n">
        <f aca="false">'SALES Raw'!F1921*$H$4</f>
        <v>0</v>
      </c>
      <c r="H4941" s="18" t="str">
        <f aca="false">'SALES Raw'!A1921</f>
        <v>109 - Private Shops</v>
      </c>
    </row>
    <row r="4942" customFormat="false" ht="15" hidden="false" customHeight="false" outlineLevel="0" collapsed="false">
      <c r="A4942" s="18" t="str">
        <f aca="false">'SALES Raw'!G1930</f>
        <v/>
      </c>
      <c r="B4942" s="18" t="str">
        <f aca="false">'SALES Raw'!B1930</f>
        <v>776 M</v>
      </c>
      <c r="C4942" s="18" t="str">
        <f aca="false">'SALES Raw'!H1930</f>
        <v>776 M</v>
      </c>
      <c r="D4942" s="19" t="n">
        <f aca="false">'SALES Raw'!C1930</f>
        <v>1</v>
      </c>
      <c r="E4942" s="19" t="n">
        <f aca="false">'SALES Raw'!D1930</f>
        <v>472.69</v>
      </c>
      <c r="F4942" s="19" t="n">
        <f aca="false">'SALES Raw'!E1930*$H$4</f>
        <v>0</v>
      </c>
      <c r="G4942" s="19" t="n">
        <f aca="false">'SALES Raw'!F1930*$H$4</f>
        <v>0</v>
      </c>
      <c r="H4942" s="18" t="str">
        <f aca="false">'SALES Raw'!A1930</f>
        <v>109 - Private Shops</v>
      </c>
    </row>
    <row r="4943" customFormat="false" ht="15" hidden="false" customHeight="false" outlineLevel="0" collapsed="false">
      <c r="A4943" s="18" t="str">
        <f aca="false">'SALES Raw'!G1931</f>
        <v/>
      </c>
      <c r="B4943" s="18" t="str">
        <f aca="false">'SALES Raw'!B1931</f>
        <v>776 XL</v>
      </c>
      <c r="C4943" s="18" t="str">
        <f aca="false">'SALES Raw'!H1931</f>
        <v>776 XL</v>
      </c>
      <c r="D4943" s="19" t="n">
        <f aca="false">'SALES Raw'!C1931</f>
        <v>1</v>
      </c>
      <c r="E4943" s="19" t="n">
        <f aca="false">'SALES Raw'!D1931</f>
        <v>472.68</v>
      </c>
      <c r="F4943" s="19" t="n">
        <f aca="false">'SALES Raw'!E1931*$H$4</f>
        <v>0</v>
      </c>
      <c r="G4943" s="19" t="n">
        <f aca="false">'SALES Raw'!F1931*$H$4</f>
        <v>0</v>
      </c>
      <c r="H4943" s="18" t="str">
        <f aca="false">'SALES Raw'!A1931</f>
        <v>109 - Private Shops</v>
      </c>
    </row>
    <row r="4944" customFormat="false" ht="15" hidden="false" customHeight="false" outlineLevel="0" collapsed="false">
      <c r="A4944" s="18" t="n">
        <f aca="false">'SALES Raw'!G1934</f>
        <v>4413135</v>
      </c>
      <c r="B4944" s="18" t="str">
        <f aca="false">'SALES Raw'!B1934</f>
        <v>85 L</v>
      </c>
      <c r="C4944" s="18" t="str">
        <f aca="false">'SALES Raw'!H1934</f>
        <v>85 L (מתלה ליד )כיס</v>
      </c>
      <c r="D4944" s="19" t="n">
        <f aca="false">'SALES Raw'!C1934</f>
        <v>1</v>
      </c>
      <c r="E4944" s="19" t="n">
        <f aca="false">'SALES Raw'!D1934</f>
        <v>56.67</v>
      </c>
      <c r="F4944" s="19" t="n">
        <f aca="false">'SALES Raw'!E1934*$H$4</f>
        <v>0</v>
      </c>
      <c r="G4944" s="19" t="n">
        <f aca="false">'SALES Raw'!F1934*$H$4</f>
        <v>0</v>
      </c>
      <c r="H4944" s="18" t="str">
        <f aca="false">'SALES Raw'!A1934</f>
        <v>109 - Private Shops</v>
      </c>
    </row>
    <row r="4945" customFormat="false" ht="15" hidden="false" customHeight="false" outlineLevel="0" collapsed="false">
      <c r="A4945" s="18" t="n">
        <f aca="false">'SALES Raw'!G1935</f>
        <v>4413136</v>
      </c>
      <c r="B4945" s="18" t="str">
        <f aca="false">'SALES Raw'!B1935</f>
        <v>85 M</v>
      </c>
      <c r="C4945" s="18" t="str">
        <f aca="false">'SALES Raw'!H1935</f>
        <v>85 M (מתלה ליד )כיס</v>
      </c>
      <c r="D4945" s="19" t="n">
        <f aca="false">'SALES Raw'!C1935</f>
        <v>1</v>
      </c>
      <c r="E4945" s="19" t="n">
        <f aca="false">'SALES Raw'!D1935</f>
        <v>56.67</v>
      </c>
      <c r="F4945" s="19" t="n">
        <f aca="false">'SALES Raw'!E1935*$H$4</f>
        <v>0</v>
      </c>
      <c r="G4945" s="19" t="n">
        <f aca="false">'SALES Raw'!F1935*$H$4</f>
        <v>0</v>
      </c>
      <c r="H4945" s="18" t="str">
        <f aca="false">'SALES Raw'!A1935</f>
        <v>109 - Private Shops</v>
      </c>
    </row>
    <row r="4946" customFormat="false" ht="15" hidden="false" customHeight="false" outlineLevel="0" collapsed="false">
      <c r="A4946" s="18" t="n">
        <f aca="false">'SALES Raw'!G1936</f>
        <v>4413138</v>
      </c>
      <c r="B4946" s="18" t="str">
        <f aca="false">'SALES Raw'!B1936</f>
        <v>85 XL</v>
      </c>
      <c r="C4946" s="18" t="str">
        <f aca="false">'SALES Raw'!H1936</f>
        <v>85 XL (מתלה ליד )כיס</v>
      </c>
      <c r="D4946" s="19" t="n">
        <f aca="false">'SALES Raw'!C1936</f>
        <v>1</v>
      </c>
      <c r="E4946" s="19" t="n">
        <f aca="false">'SALES Raw'!D1936</f>
        <v>56.67</v>
      </c>
      <c r="F4946" s="19" t="n">
        <f aca="false">'SALES Raw'!E1936*$H$4</f>
        <v>0</v>
      </c>
      <c r="G4946" s="19" t="n">
        <f aca="false">'SALES Raw'!F1936*$H$4</f>
        <v>0</v>
      </c>
      <c r="H4946" s="18" t="str">
        <f aca="false">'SALES Raw'!A1936</f>
        <v>109 - Private Shops</v>
      </c>
    </row>
    <row r="4947" customFormat="false" ht="15" hidden="false" customHeight="false" outlineLevel="0" collapsed="false">
      <c r="A4947" s="18" t="n">
        <f aca="false">'SALES Raw'!G1937</f>
        <v>4413139</v>
      </c>
      <c r="B4947" s="18" t="str">
        <f aca="false">'SALES Raw'!B1937</f>
        <v>95 L</v>
      </c>
      <c r="C4947" s="18" t="str">
        <f aca="false">'SALES Raw'!H1937</f>
        <v>95 L מגן מרפק רגיל לבן</v>
      </c>
      <c r="D4947" s="19" t="n">
        <f aca="false">'SALES Raw'!C1937</f>
        <v>2</v>
      </c>
      <c r="E4947" s="19" t="n">
        <f aca="false">'SALES Raw'!D1937</f>
        <v>61.78</v>
      </c>
      <c r="F4947" s="19" t="n">
        <f aca="false">'SALES Raw'!E1937*$H$4</f>
        <v>0</v>
      </c>
      <c r="G4947" s="19" t="n">
        <f aca="false">'SALES Raw'!F1937*$H$4</f>
        <v>0</v>
      </c>
      <c r="H4947" s="18" t="str">
        <f aca="false">'SALES Raw'!A1937</f>
        <v>109 - Private Shops</v>
      </c>
    </row>
    <row r="4948" customFormat="false" ht="15" hidden="false" customHeight="false" outlineLevel="0" collapsed="false">
      <c r="A4948" s="18" t="n">
        <f aca="false">'SALES Raw'!G1938</f>
        <v>4413140</v>
      </c>
      <c r="B4948" s="18" t="str">
        <f aca="false">'SALES Raw'!B1938</f>
        <v>95 M</v>
      </c>
      <c r="C4948" s="18" t="str">
        <f aca="false">'SALES Raw'!H1938</f>
        <v>95 M מגן מרפק רגיל לבן</v>
      </c>
      <c r="D4948" s="19" t="n">
        <f aca="false">'SALES Raw'!C1938</f>
        <v>2</v>
      </c>
      <c r="E4948" s="19" t="n">
        <f aca="false">'SALES Raw'!D1938</f>
        <v>61.78</v>
      </c>
      <c r="F4948" s="19" t="n">
        <f aca="false">'SALES Raw'!E1938*$H$4</f>
        <v>0</v>
      </c>
      <c r="G4948" s="19" t="n">
        <f aca="false">'SALES Raw'!F1938*$H$4</f>
        <v>0</v>
      </c>
      <c r="H4948" s="18" t="str">
        <f aca="false">'SALES Raw'!A1938</f>
        <v>109 - Private Shops</v>
      </c>
    </row>
    <row r="4949" customFormat="false" ht="15" hidden="false" customHeight="false" outlineLevel="0" collapsed="false">
      <c r="A4949" s="18" t="n">
        <f aca="false">'SALES Raw'!G1939</f>
        <v>4413142</v>
      </c>
      <c r="B4949" s="18" t="str">
        <f aca="false">'SALES Raw'!B1939</f>
        <v>95 XL</v>
      </c>
      <c r="C4949" s="18" t="str">
        <f aca="false">'SALES Raw'!H1939</f>
        <v>95 XL מגן מרפק רגיל לבן</v>
      </c>
      <c r="D4949" s="19" t="n">
        <f aca="false">'SALES Raw'!C1939</f>
        <v>1</v>
      </c>
      <c r="E4949" s="19" t="n">
        <f aca="false">'SALES Raw'!D1939</f>
        <v>30.89</v>
      </c>
      <c r="F4949" s="19" t="n">
        <f aca="false">'SALES Raw'!E1939*$H$4</f>
        <v>0</v>
      </c>
      <c r="G4949" s="19" t="n">
        <f aca="false">'SALES Raw'!F1939*$H$4</f>
        <v>0</v>
      </c>
      <c r="H4949" s="18" t="str">
        <f aca="false">'SALES Raw'!A1939</f>
        <v>109 - Private Shops</v>
      </c>
    </row>
    <row r="4950" customFormat="false" ht="15" hidden="false" customHeight="false" outlineLevel="0" collapsed="false">
      <c r="A4950" s="18" t="n">
        <f aca="false">'SALES Raw'!G1940</f>
        <v>4413144</v>
      </c>
      <c r="B4950" s="18" t="str">
        <f aca="false">'SALES Raw'!B1940</f>
        <v>95 XXL</v>
      </c>
      <c r="C4950" s="18" t="str">
        <f aca="false">'SALES Raw'!H1940</f>
        <v>95 XXL מגן מרפק רגיל לבן</v>
      </c>
      <c r="D4950" s="19" t="n">
        <f aca="false">'SALES Raw'!C1940</f>
        <v>1</v>
      </c>
      <c r="E4950" s="19" t="n">
        <f aca="false">'SALES Raw'!D1940</f>
        <v>30.89</v>
      </c>
      <c r="F4950" s="19" t="n">
        <f aca="false">'SALES Raw'!E1940*$H$4</f>
        <v>0</v>
      </c>
      <c r="G4950" s="19" t="n">
        <f aca="false">'SALES Raw'!F1940*$H$4</f>
        <v>0</v>
      </c>
      <c r="H4950" s="18" t="str">
        <f aca="false">'SALES Raw'!A1940</f>
        <v>109 - Private Shops</v>
      </c>
    </row>
    <row r="4951" customFormat="false" ht="15" hidden="false" customHeight="false" outlineLevel="0" collapsed="false">
      <c r="A4951" s="18" t="n">
        <f aca="false">'SALES Raw'!G1941</f>
        <v>4413501</v>
      </c>
      <c r="B4951" s="18" t="str">
        <f aca="false">'SALES Raw'!B1941</f>
        <v>95B M</v>
      </c>
      <c r="C4951" s="18" t="str">
        <f aca="false">'SALES Raw'!H1941</f>
        <v>95B M מגן מרפק שחור</v>
      </c>
      <c r="D4951" s="19" t="n">
        <f aca="false">'SALES Raw'!C1941</f>
        <v>1</v>
      </c>
      <c r="E4951" s="19" t="n">
        <f aca="false">'SALES Raw'!D1941</f>
        <v>30.89</v>
      </c>
      <c r="F4951" s="19" t="n">
        <f aca="false">'SALES Raw'!E1941*$H$4</f>
        <v>0</v>
      </c>
      <c r="G4951" s="19" t="n">
        <f aca="false">'SALES Raw'!F1941*$H$4</f>
        <v>0</v>
      </c>
      <c r="H4951" s="18" t="str">
        <f aca="false">'SALES Raw'!A1941</f>
        <v>109 - Private Shops</v>
      </c>
    </row>
    <row r="4952" customFormat="false" ht="15" hidden="false" customHeight="false" outlineLevel="0" collapsed="false">
      <c r="A4952" s="18" t="n">
        <f aca="false">'SALES Raw'!G1943</f>
        <v>4413416</v>
      </c>
      <c r="B4952" s="18" t="str">
        <f aca="false">'SALES Raw'!B1943</f>
        <v>SC39 M</v>
      </c>
      <c r="C4952" s="18" t="str">
        <f aca="false">'SALES Raw'!H1943</f>
        <v>SC39  M מגן שוק</v>
      </c>
      <c r="D4952" s="19" t="n">
        <f aca="false">'SALES Raw'!C1943</f>
        <v>3</v>
      </c>
      <c r="E4952" s="19" t="n">
        <f aca="false">'SALES Raw'!D1943</f>
        <v>432.29</v>
      </c>
      <c r="F4952" s="19" t="n">
        <f aca="false">'SALES Raw'!E1943*$H$4</f>
        <v>0</v>
      </c>
      <c r="G4952" s="19" t="n">
        <f aca="false">'SALES Raw'!F1943*$H$4</f>
        <v>0</v>
      </c>
      <c r="H4952" s="18" t="str">
        <f aca="false">'SALES Raw'!A1943</f>
        <v>109 - Private Shops</v>
      </c>
    </row>
    <row r="4953" customFormat="false" ht="15" hidden="false" customHeight="false" outlineLevel="0" collapsed="false">
      <c r="A4953" s="18" t="n">
        <f aca="false">'SALES Raw'!G1946</f>
        <v>4413439</v>
      </c>
      <c r="B4953" s="18" t="str">
        <f aca="false">'SALES Raw'!B1946</f>
        <v>SC422 M</v>
      </c>
      <c r="C4953" s="18" t="str">
        <f aca="false">'SALES Raw'!H1946</f>
        <v>SC422  M מגן ברך</v>
      </c>
      <c r="D4953" s="19" t="n">
        <f aca="false">'SALES Raw'!C1946</f>
        <v>1</v>
      </c>
      <c r="E4953" s="19" t="n">
        <f aca="false">'SALES Raw'!D1946</f>
        <v>140.57</v>
      </c>
      <c r="F4953" s="19" t="n">
        <f aca="false">'SALES Raw'!E1946*$H$4</f>
        <v>0</v>
      </c>
      <c r="G4953" s="19" t="n">
        <f aca="false">'SALES Raw'!F1946*$H$4</f>
        <v>0</v>
      </c>
      <c r="H4953" s="18" t="str">
        <f aca="false">'SALES Raw'!A1946</f>
        <v>109 - Private Shops</v>
      </c>
    </row>
    <row r="4954" customFormat="false" ht="15" hidden="false" customHeight="false" outlineLevel="0" collapsed="false">
      <c r="A4954" s="18" t="n">
        <f aca="false">'SALES Raw'!G1947</f>
        <v>4413438</v>
      </c>
      <c r="B4954" s="18" t="str">
        <f aca="false">'SALES Raw'!B1947</f>
        <v>SC422 S</v>
      </c>
      <c r="C4954" s="18" t="str">
        <f aca="false">'SALES Raw'!H1947</f>
        <v>SC422  S מגן ברך</v>
      </c>
      <c r="D4954" s="19" t="n">
        <f aca="false">'SALES Raw'!C1947</f>
        <v>1</v>
      </c>
      <c r="E4954" s="19" t="n">
        <f aca="false">'SALES Raw'!D1947</f>
        <v>140.57</v>
      </c>
      <c r="F4954" s="19" t="n">
        <f aca="false">'SALES Raw'!E1947*$H$4</f>
        <v>0</v>
      </c>
      <c r="G4954" s="19" t="n">
        <f aca="false">'SALES Raw'!F1947*$H$4</f>
        <v>0</v>
      </c>
      <c r="H4954" s="18" t="str">
        <f aca="false">'SALES Raw'!A1947</f>
        <v>109 - Private Shops</v>
      </c>
    </row>
    <row r="4955" customFormat="false" ht="15" hidden="false" customHeight="false" outlineLevel="0" collapsed="false">
      <c r="A4955" s="18" t="n">
        <f aca="false">'SALES Raw'!G1948</f>
        <v>4413442</v>
      </c>
      <c r="B4955" s="18" t="str">
        <f aca="false">'SALES Raw'!B1948</f>
        <v>SC422 XXL</v>
      </c>
      <c r="C4955" s="18" t="str">
        <f aca="false">'SALES Raw'!H1948</f>
        <v>SC422 XXLמגן ברך</v>
      </c>
      <c r="D4955" s="19" t="n">
        <f aca="false">'SALES Raw'!C1948</f>
        <v>1</v>
      </c>
      <c r="E4955" s="19" t="n">
        <f aca="false">'SALES Raw'!D1948</f>
        <v>140.57</v>
      </c>
      <c r="F4955" s="19" t="n">
        <f aca="false">'SALES Raw'!E1948*$H$4</f>
        <v>0</v>
      </c>
      <c r="G4955" s="19" t="n">
        <f aca="false">'SALES Raw'!F1948*$H$4</f>
        <v>0</v>
      </c>
      <c r="H4955" s="18" t="str">
        <f aca="false">'SALES Raw'!A1948</f>
        <v>109 - Private Shops</v>
      </c>
    </row>
    <row r="4956" customFormat="false" ht="15" hidden="false" customHeight="false" outlineLevel="0" collapsed="false">
      <c r="A4956" s="18" t="n">
        <f aca="false">'SALES Raw'!G1953</f>
        <v>4422007</v>
      </c>
      <c r="B4956" s="18" t="str">
        <f aca="false">'SALES Raw'!B1953</f>
        <v>T78 XL</v>
      </c>
      <c r="C4956" s="18" t="str">
        <f aca="false">'SALES Raw'!H1953</f>
        <v>T78 XLתומך זרוע וכתף</v>
      </c>
      <c r="D4956" s="19" t="n">
        <f aca="false">'SALES Raw'!C1953</f>
        <v>1</v>
      </c>
      <c r="E4956" s="19" t="n">
        <f aca="false">'SALES Raw'!D1953</f>
        <v>187.45</v>
      </c>
      <c r="F4956" s="19" t="n">
        <f aca="false">'SALES Raw'!E1953*$H$4</f>
        <v>0</v>
      </c>
      <c r="G4956" s="19" t="n">
        <f aca="false">'SALES Raw'!F1953*$H$4</f>
        <v>0</v>
      </c>
      <c r="H4956" s="18" t="str">
        <f aca="false">'SALES Raw'!A1953</f>
        <v>109 - Private Shops</v>
      </c>
    </row>
    <row r="4957" customFormat="false" ht="15" hidden="false" customHeight="false" outlineLevel="0" collapsed="false">
      <c r="A4957" s="18" t="n">
        <f aca="false">'SALES Raw'!G1955</f>
        <v>4422009</v>
      </c>
      <c r="B4957" s="18" t="str">
        <f aca="false">'SALES Raw'!B1955</f>
        <v>T78 XXL</v>
      </c>
      <c r="C4957" s="18" t="str">
        <f aca="false">'SALES Raw'!H1955</f>
        <v>T78 XXL תומך זרוע וכתף</v>
      </c>
      <c r="D4957" s="19" t="n">
        <f aca="false">'SALES Raw'!C1955</f>
        <v>1</v>
      </c>
      <c r="E4957" s="19" t="n">
        <f aca="false">'SALES Raw'!D1955</f>
        <v>187.45</v>
      </c>
      <c r="F4957" s="19" t="n">
        <f aca="false">'SALES Raw'!E1955*$H$4</f>
        <v>0</v>
      </c>
      <c r="G4957" s="19" t="n">
        <f aca="false">'SALES Raw'!F1955*$H$4</f>
        <v>0</v>
      </c>
      <c r="H4957" s="18" t="str">
        <f aca="false">'SALES Raw'!A1955</f>
        <v>109 - Private Shops</v>
      </c>
    </row>
    <row r="4958" customFormat="false" ht="15" hidden="false" customHeight="false" outlineLevel="0" collapsed="false">
      <c r="A4958" s="18" t="str">
        <f aca="false">'SALES Raw'!G1956</f>
        <v/>
      </c>
      <c r="B4958" s="18" t="str">
        <f aca="false">'SALES Raw'!B1956</f>
        <v>305GA-35-36</v>
      </c>
      <c r="C4958" s="18" t="str">
        <f aca="false">'SALES Raw'!H1956</f>
        <v>305GA-35-36</v>
      </c>
      <c r="D4958" s="19" t="n">
        <f aca="false">'SALES Raw'!C1956</f>
        <v>1</v>
      </c>
      <c r="E4958" s="19" t="n">
        <f aca="false">'SALES Raw'!D1956</f>
        <v>81.2</v>
      </c>
      <c r="F4958" s="19" t="n">
        <f aca="false">'SALES Raw'!E1956*$H$4</f>
        <v>0</v>
      </c>
      <c r="G4958" s="19" t="n">
        <f aca="false">'SALES Raw'!F1956*$H$4</f>
        <v>0</v>
      </c>
      <c r="H4958" s="18" t="str">
        <f aca="false">'SALES Raw'!A1956</f>
        <v>109 - Private Shops</v>
      </c>
    </row>
    <row r="4959" customFormat="false" ht="15" hidden="false" customHeight="false" outlineLevel="0" collapsed="false">
      <c r="A4959" s="18" t="n">
        <f aca="false">'SALES Raw'!G1963</f>
        <v>4403018</v>
      </c>
      <c r="B4959" s="18" t="str">
        <f aca="false">'SALES Raw'!B1963</f>
        <v>394B-39-42</v>
      </c>
      <c r="C4959" s="18" t="str">
        <f aca="false">'SALES Raw'!H1963</f>
        <v>394B גרב.כסף לסכרתים שחור39-42</v>
      </c>
      <c r="D4959" s="19" t="n">
        <f aca="false">'SALES Raw'!C1963</f>
        <v>10</v>
      </c>
      <c r="E4959" s="19" t="n">
        <f aca="false">'SALES Raw'!D1963</f>
        <v>235.22</v>
      </c>
      <c r="F4959" s="19" t="n">
        <f aca="false">'SALES Raw'!E1963*$H$4</f>
        <v>0</v>
      </c>
      <c r="G4959" s="19" t="n">
        <f aca="false">'SALES Raw'!F1963*$H$4</f>
        <v>0</v>
      </c>
      <c r="H4959" s="18" t="str">
        <f aca="false">'SALES Raw'!A1963</f>
        <v>109 - Private Shops</v>
      </c>
    </row>
    <row r="4960" customFormat="false" ht="15" hidden="false" customHeight="false" outlineLevel="0" collapsed="false">
      <c r="A4960" s="18" t="n">
        <f aca="false">'SALES Raw'!G1967</f>
        <v>4422000</v>
      </c>
      <c r="B4960" s="18" t="str">
        <f aca="false">'SALES Raw'!B1967</f>
        <v>801 0</v>
      </c>
      <c r="C4960" s="18" t="str">
        <f aca="false">'SALES Raw'!H1967</f>
        <v>801  תחבושת אלסטית מקררת</v>
      </c>
      <c r="D4960" s="19" t="n">
        <f aca="false">'SALES Raw'!C1967</f>
        <v>24</v>
      </c>
      <c r="E4960" s="19" t="n">
        <f aca="false">'SALES Raw'!D1967</f>
        <v>435.62</v>
      </c>
      <c r="F4960" s="19" t="n">
        <f aca="false">'SALES Raw'!E1967*$H$4</f>
        <v>0</v>
      </c>
      <c r="G4960" s="19" t="n">
        <f aca="false">'SALES Raw'!F1967*$H$4</f>
        <v>0</v>
      </c>
      <c r="H4960" s="18" t="str">
        <f aca="false">'SALES Raw'!A1967</f>
        <v>109 - Private Shops</v>
      </c>
    </row>
    <row r="4961" customFormat="false" ht="15" hidden="false" customHeight="false" outlineLevel="0" collapsed="false">
      <c r="A4961" s="18" t="n">
        <f aca="false">'SALES Raw'!G1968</f>
        <v>4409004</v>
      </c>
      <c r="B4961" s="18" t="str">
        <f aca="false">'SALES Raw'!B1968</f>
        <v>FC335 0</v>
      </c>
      <c r="C4961" s="18" t="str">
        <f aca="false">'SALES Raw'!H1968</f>
        <v>FC335 טלק מעושר באלוורה</v>
      </c>
      <c r="D4961" s="19" t="n">
        <f aca="false">'SALES Raw'!C1968</f>
        <v>39</v>
      </c>
      <c r="E4961" s="19" t="n">
        <f aca="false">'SALES Raw'!D1968</f>
        <v>806.26</v>
      </c>
      <c r="F4961" s="19" t="n">
        <f aca="false">'SALES Raw'!E1968*$H$4</f>
        <v>0</v>
      </c>
      <c r="G4961" s="19" t="n">
        <f aca="false">'SALES Raw'!F1968*$H$4</f>
        <v>0</v>
      </c>
      <c r="H4961" s="18" t="str">
        <f aca="false">'SALES Raw'!A1968</f>
        <v>109 - Private Shops</v>
      </c>
    </row>
    <row r="4962" customFormat="false" ht="15" hidden="false" customHeight="false" outlineLevel="0" collapsed="false">
      <c r="A4962" s="18" t="n">
        <f aca="false">'SALES Raw'!G1974</f>
        <v>4408221</v>
      </c>
      <c r="B4962" s="18" t="str">
        <f aca="false">'SALES Raw'!B1974</f>
        <v>078G L</v>
      </c>
      <c r="C4962" s="18" t="str">
        <f aca="false">'SALES Raw'!H1974</f>
        <v>078G-L חגורת גב אפורה</v>
      </c>
      <c r="D4962" s="19" t="n">
        <f aca="false">'SALES Raw'!C1974</f>
        <v>1</v>
      </c>
      <c r="E4962" s="19" t="n">
        <f aca="false">'SALES Raw'!D1974</f>
        <v>117.13</v>
      </c>
      <c r="F4962" s="19" t="n">
        <f aca="false">'SALES Raw'!E1974*$H$4</f>
        <v>0</v>
      </c>
      <c r="G4962" s="19" t="n">
        <f aca="false">'SALES Raw'!F1974*$H$4</f>
        <v>0</v>
      </c>
      <c r="H4962" s="18" t="str">
        <f aca="false">'SALES Raw'!A1974</f>
        <v>109 - Private Shops</v>
      </c>
    </row>
    <row r="4963" customFormat="false" ht="15" hidden="false" customHeight="false" outlineLevel="0" collapsed="false">
      <c r="A4963" s="18" t="n">
        <f aca="false">'SALES Raw'!G1978</f>
        <v>4413491</v>
      </c>
      <c r="B4963" s="18" t="str">
        <f aca="false">'SALES Raw'!B1978</f>
        <v>35B XL</v>
      </c>
      <c r="C4963" s="18" t="str">
        <f aca="false">'SALES Raw'!H1978</f>
        <v>35B XL מגן קרסול שחור</v>
      </c>
      <c r="D4963" s="19" t="n">
        <f aca="false">'SALES Raw'!C1978</f>
        <v>1</v>
      </c>
      <c r="E4963" s="19" t="n">
        <f aca="false">'SALES Raw'!D1978</f>
        <v>30.89</v>
      </c>
      <c r="F4963" s="19" t="n">
        <f aca="false">'SALES Raw'!E1978*$H$4</f>
        <v>0</v>
      </c>
      <c r="G4963" s="19" t="n">
        <f aca="false">'SALES Raw'!F1978*$H$4</f>
        <v>0</v>
      </c>
      <c r="H4963" s="18" t="str">
        <f aca="false">'SALES Raw'!A1978</f>
        <v>109 - Private Shops</v>
      </c>
    </row>
    <row r="4964" customFormat="false" ht="15" hidden="false" customHeight="false" outlineLevel="0" collapsed="false">
      <c r="A4964" s="18" t="n">
        <f aca="false">'SALES Raw'!G1979</f>
        <v>4413371</v>
      </c>
      <c r="B4964" s="18" t="str">
        <f aca="false">'SALES Raw'!B1979</f>
        <v>3675 0</v>
      </c>
      <c r="C4964" s="18" t="str">
        <f aca="false">'SALES Raw'!H1979</f>
        <v>3675    מגן זרת מסיליקון</v>
      </c>
      <c r="D4964" s="19" t="n">
        <f aca="false">'SALES Raw'!C1979</f>
        <v>2</v>
      </c>
      <c r="E4964" s="19" t="n">
        <f aca="false">'SALES Raw'!D1979</f>
        <v>60.84</v>
      </c>
      <c r="F4964" s="19" t="n">
        <f aca="false">'SALES Raw'!E1979*$H$4</f>
        <v>0</v>
      </c>
      <c r="G4964" s="19" t="n">
        <f aca="false">'SALES Raw'!F1979*$H$4</f>
        <v>0</v>
      </c>
      <c r="H4964" s="18" t="str">
        <f aca="false">'SALES Raw'!A1979</f>
        <v>109 - Private Shops</v>
      </c>
    </row>
    <row r="4965" customFormat="false" ht="15" hidden="false" customHeight="false" outlineLevel="0" collapsed="false">
      <c r="A4965" s="18" t="n">
        <f aca="false">'SALES Raw'!G1981</f>
        <v>4413095</v>
      </c>
      <c r="B4965" s="18" t="str">
        <f aca="false">'SALES Raw'!B1981</f>
        <v>45 XL</v>
      </c>
      <c r="C4965" s="18" t="str">
        <f aca="false">'SALES Raw'!H1981</f>
        <v>45 XL מגן ברך לבן</v>
      </c>
      <c r="D4965" s="19" t="n">
        <f aca="false">'SALES Raw'!C1981</f>
        <v>1</v>
      </c>
      <c r="E4965" s="19" t="n">
        <f aca="false">'SALES Raw'!D1981</f>
        <v>30.89</v>
      </c>
      <c r="F4965" s="19" t="n">
        <f aca="false">'SALES Raw'!E1981*$H$4</f>
        <v>0</v>
      </c>
      <c r="G4965" s="19" t="n">
        <f aca="false">'SALES Raw'!F1981*$H$4</f>
        <v>0</v>
      </c>
      <c r="H4965" s="18" t="str">
        <f aca="false">'SALES Raw'!A1981</f>
        <v>109 - Private Shops</v>
      </c>
    </row>
    <row r="4966" customFormat="false" ht="15" hidden="false" customHeight="false" outlineLevel="0" collapsed="false">
      <c r="A4966" s="18" t="n">
        <f aca="false">'SALES Raw'!G1982</f>
        <v>4413105</v>
      </c>
      <c r="B4966" s="18" t="str">
        <f aca="false">'SALES Raw'!B1982</f>
        <v>45E XXL</v>
      </c>
      <c r="C4966" s="18" t="str">
        <f aca="false">'SALES Raw'!H1982</f>
        <v>45E XXLמגן ברך ארוך לבן</v>
      </c>
      <c r="D4966" s="19" t="n">
        <f aca="false">'SALES Raw'!C1982</f>
        <v>1</v>
      </c>
      <c r="E4966" s="19" t="n">
        <f aca="false">'SALES Raw'!D1982</f>
        <v>37.45</v>
      </c>
      <c r="F4966" s="19" t="n">
        <f aca="false">'SALES Raw'!E1982*$H$4</f>
        <v>0</v>
      </c>
      <c r="G4966" s="19" t="n">
        <f aca="false">'SALES Raw'!F1982*$H$4</f>
        <v>0</v>
      </c>
      <c r="H4966" s="18" t="str">
        <f aca="false">'SALES Raw'!A1982</f>
        <v>109 - Private Shops</v>
      </c>
    </row>
    <row r="4967" customFormat="false" ht="15" hidden="false" customHeight="false" outlineLevel="0" collapsed="false">
      <c r="A4967" s="18" t="n">
        <f aca="false">'SALES Raw'!G1983</f>
        <v>4413398</v>
      </c>
      <c r="B4967" s="18" t="str">
        <f aca="false">'SALES Raw'!B1983</f>
        <v>45EC XXL</v>
      </c>
      <c r="C4967" s="18" t="str">
        <f aca="false">'SALES Raw'!H1983</f>
        <v>45EC XXL'מגן ברך ארוך בז</v>
      </c>
      <c r="D4967" s="19" t="n">
        <f aca="false">'SALES Raw'!C1983</f>
        <v>2</v>
      </c>
      <c r="E4967" s="19" t="n">
        <f aca="false">'SALES Raw'!D1983</f>
        <v>74.91</v>
      </c>
      <c r="F4967" s="19" t="n">
        <f aca="false">'SALES Raw'!E1983*$H$4</f>
        <v>0</v>
      </c>
      <c r="G4967" s="19" t="n">
        <f aca="false">'SALES Raw'!F1983*$H$4</f>
        <v>0</v>
      </c>
      <c r="H4967" s="18" t="str">
        <f aca="false">'SALES Raw'!A1983</f>
        <v>109 - Private Shops</v>
      </c>
    </row>
    <row r="4968" customFormat="false" ht="15" hidden="false" customHeight="false" outlineLevel="0" collapsed="false">
      <c r="A4968" s="18" t="str">
        <f aca="false">'SALES Raw'!G1984</f>
        <v/>
      </c>
      <c r="B4968" s="18" t="str">
        <f aca="false">'SALES Raw'!B1984</f>
        <v>48 XXL</v>
      </c>
      <c r="C4968" s="18" t="str">
        <f aca="false">'SALES Raw'!H1984</f>
        <v>48 XXL</v>
      </c>
      <c r="D4968" s="19" t="n">
        <f aca="false">'SALES Raw'!C1984</f>
        <v>2</v>
      </c>
      <c r="E4968" s="19" t="n">
        <f aca="false">'SALES Raw'!D1984</f>
        <v>113.34</v>
      </c>
      <c r="F4968" s="19" t="n">
        <f aca="false">'SALES Raw'!E1984*$H$4</f>
        <v>0</v>
      </c>
      <c r="G4968" s="19" t="n">
        <f aca="false">'SALES Raw'!F1984*$H$4</f>
        <v>0</v>
      </c>
      <c r="H4968" s="18" t="str">
        <f aca="false">'SALES Raw'!A1984</f>
        <v>109 - Private Shops</v>
      </c>
    </row>
    <row r="4969" customFormat="false" ht="15" hidden="false" customHeight="false" outlineLevel="0" collapsed="false">
      <c r="A4969" s="18" t="str">
        <f aca="false">'SALES Raw'!G1992</f>
        <v/>
      </c>
      <c r="B4969" s="18" t="str">
        <f aca="false">'SALES Raw'!B1992</f>
        <v>T95 L</v>
      </c>
      <c r="C4969" s="18" t="str">
        <f aca="false">'SALES Raw'!H1992</f>
        <v>T95 L</v>
      </c>
      <c r="D4969" s="19" t="n">
        <f aca="false">'SALES Raw'!C1992</f>
        <v>2</v>
      </c>
      <c r="E4969" s="19" t="n">
        <f aca="false">'SALES Raw'!D1992</f>
        <v>189.27</v>
      </c>
      <c r="F4969" s="19" t="n">
        <f aca="false">'SALES Raw'!E1992*$H$4</f>
        <v>0</v>
      </c>
      <c r="G4969" s="19" t="n">
        <f aca="false">'SALES Raw'!F1992*$H$4</f>
        <v>0</v>
      </c>
      <c r="H4969" s="18" t="str">
        <f aca="false">'SALES Raw'!A1992</f>
        <v>109 - Private Shops</v>
      </c>
    </row>
    <row r="4970" customFormat="false" ht="15" hidden="false" customHeight="false" outlineLevel="0" collapsed="false">
      <c r="A4970" s="18" t="n">
        <f aca="false">'SALES Raw'!G1993</f>
        <v>4417000</v>
      </c>
      <c r="B4970" s="18" t="str">
        <f aca="false">'SALES Raw'!B1993</f>
        <v>PD342 0</v>
      </c>
      <c r="C4970" s="18" t="str">
        <f aca="false">'SALES Raw'!H1993</f>
        <v>PD342-פומפיה להסרת עור קשה</v>
      </c>
      <c r="D4970" s="19" t="n">
        <f aca="false">'SALES Raw'!C1993</f>
        <v>12</v>
      </c>
      <c r="E4970" s="19" t="n">
        <f aca="false">'SALES Raw'!D1993</f>
        <v>300.06</v>
      </c>
      <c r="F4970" s="19" t="n">
        <f aca="false">'SALES Raw'!E1993*$H$4</f>
        <v>0</v>
      </c>
      <c r="G4970" s="19" t="n">
        <f aca="false">'SALES Raw'!F1993*$H$4</f>
        <v>0</v>
      </c>
      <c r="H4970" s="18" t="str">
        <f aca="false">'SALES Raw'!A1993</f>
        <v>109 - Private Shops</v>
      </c>
    </row>
    <row r="4971" customFormat="false" ht="15" hidden="false" customHeight="false" outlineLevel="0" collapsed="false">
      <c r="A4971" s="18" t="n">
        <f aca="false">'SALES Raw'!G1994</f>
        <v>4413149</v>
      </c>
      <c r="B4971" s="18" t="str">
        <f aca="false">'SALES Raw'!B1994</f>
        <v>FC321 0</v>
      </c>
      <c r="C4971" s="18" t="str">
        <f aca="false">'SALES Raw'!H1994</f>
        <v>FC321-מלח אמבט לכף הרגל</v>
      </c>
      <c r="D4971" s="19" t="n">
        <f aca="false">'SALES Raw'!C1994</f>
        <v>3</v>
      </c>
      <c r="E4971" s="19" t="n">
        <f aca="false">'SALES Raw'!D1994</f>
        <v>42.05</v>
      </c>
      <c r="F4971" s="19" t="n">
        <f aca="false">'SALES Raw'!E1994*$H$4</f>
        <v>0</v>
      </c>
      <c r="G4971" s="19" t="n">
        <f aca="false">'SALES Raw'!F1994*$H$4</f>
        <v>0</v>
      </c>
      <c r="H4971" s="18" t="str">
        <f aca="false">'SALES Raw'!A1994</f>
        <v>109 - Private Shops</v>
      </c>
    </row>
    <row r="4972" customFormat="false" ht="15" hidden="false" customHeight="false" outlineLevel="0" collapsed="false">
      <c r="A4972" s="18" t="n">
        <f aca="false">'SALES Raw'!G1995</f>
        <v>4414000</v>
      </c>
      <c r="B4972" s="18" t="str">
        <f aca="false">'SALES Raw'!B1995</f>
        <v>FC342 0</v>
      </c>
      <c r="C4972" s="18" t="str">
        <f aca="false">'SALES Raw'!H1995</f>
        <v>FC342-נוזל לציפורן חודרנית</v>
      </c>
      <c r="D4972" s="19" t="n">
        <f aca="false">'SALES Raw'!C1995</f>
        <v>6</v>
      </c>
      <c r="E4972" s="19" t="n">
        <f aca="false">'SALES Raw'!D1995</f>
        <v>182.6</v>
      </c>
      <c r="F4972" s="19" t="n">
        <f aca="false">'SALES Raw'!E1995*$H$4</f>
        <v>0</v>
      </c>
      <c r="G4972" s="19" t="n">
        <f aca="false">'SALES Raw'!F1995*$H$4</f>
        <v>0</v>
      </c>
      <c r="H4972" s="18" t="str">
        <f aca="false">'SALES Raw'!A1995</f>
        <v>109 - Private Shops</v>
      </c>
    </row>
    <row r="4973" customFormat="false" ht="15" hidden="false" customHeight="false" outlineLevel="0" collapsed="false">
      <c r="A4973" s="18" t="str">
        <f aca="false">'SALES Raw'!G2050</f>
        <v/>
      </c>
      <c r="B4973" s="18" t="str">
        <f aca="false">'SALES Raw'!B2050</f>
        <v>(NO ITEM CODE)</v>
      </c>
      <c r="C4973" s="18" t="str">
        <f aca="false">'SALES Raw'!H2050</f>
        <v>(NO ITEM CODE)</v>
      </c>
      <c r="D4973" s="19" t="n">
        <f aca="false">'SALES Raw'!C2050</f>
        <v>0</v>
      </c>
      <c r="E4973" s="19" t="n">
        <f aca="false">'SALES Raw'!D2050</f>
        <v>-2545.41</v>
      </c>
      <c r="F4973" s="19" t="n">
        <f aca="false">'SALES Raw'!E2050*$H$4</f>
        <v>0</v>
      </c>
      <c r="G4973" s="19" t="n">
        <f aca="false">'SALES Raw'!F2050*$H$4</f>
        <v>0</v>
      </c>
      <c r="H4973" s="18" t="str">
        <f aca="false">'SALES Raw'!A2050</f>
        <v>114 - IL online</v>
      </c>
    </row>
    <row r="4974" customFormat="false" ht="15" hidden="false" customHeight="false" outlineLevel="0" collapsed="false">
      <c r="A4974" s="18" t="str">
        <f aca="false">'SALES Raw'!G2051</f>
        <v/>
      </c>
      <c r="B4974" s="18" t="str">
        <f aca="false">'SALES Raw'!B2051</f>
        <v>062 L</v>
      </c>
      <c r="C4974" s="18" t="str">
        <f aca="false">'SALES Raw'!H2051</f>
        <v>062 L</v>
      </c>
      <c r="D4974" s="19" t="n">
        <f aca="false">'SALES Raw'!C2051</f>
        <v>1</v>
      </c>
      <c r="E4974" s="19" t="n">
        <f aca="false">'SALES Raw'!D2051</f>
        <v>444.83</v>
      </c>
      <c r="F4974" s="19" t="n">
        <f aca="false">'SALES Raw'!E2051*$H$4</f>
        <v>0</v>
      </c>
      <c r="G4974" s="19" t="n">
        <f aca="false">'SALES Raw'!F2051*$H$4</f>
        <v>0</v>
      </c>
      <c r="H4974" s="18" t="str">
        <f aca="false">'SALES Raw'!A2051</f>
        <v>114 - IL online</v>
      </c>
    </row>
    <row r="4975" customFormat="false" ht="15" hidden="false" customHeight="false" outlineLevel="0" collapsed="false">
      <c r="A4975" s="18" t="str">
        <f aca="false">'SALES Raw'!G2052</f>
        <v/>
      </c>
      <c r="B4975" s="18" t="str">
        <f aca="false">'SALES Raw'!B2052</f>
        <v>062 M</v>
      </c>
      <c r="C4975" s="18" t="str">
        <f aca="false">'SALES Raw'!H2052</f>
        <v>062 M</v>
      </c>
      <c r="D4975" s="19" t="n">
        <f aca="false">'SALES Raw'!C2052</f>
        <v>1</v>
      </c>
      <c r="E4975" s="19" t="n">
        <f aca="false">'SALES Raw'!D2052</f>
        <v>444.83</v>
      </c>
      <c r="F4975" s="19" t="n">
        <f aca="false">'SALES Raw'!E2052*$H$4</f>
        <v>0</v>
      </c>
      <c r="G4975" s="19" t="n">
        <f aca="false">'SALES Raw'!F2052*$H$4</f>
        <v>0</v>
      </c>
      <c r="H4975" s="18" t="str">
        <f aca="false">'SALES Raw'!A2052</f>
        <v>114 - IL online</v>
      </c>
    </row>
    <row r="4976" customFormat="false" ht="15" hidden="false" customHeight="false" outlineLevel="0" collapsed="false">
      <c r="A4976" s="18" t="str">
        <f aca="false">'SALES Raw'!G2053</f>
        <v/>
      </c>
      <c r="B4976" s="18" t="str">
        <f aca="false">'SALES Raw'!B2053</f>
        <v>062 S</v>
      </c>
      <c r="C4976" s="18" t="str">
        <f aca="false">'SALES Raw'!H2053</f>
        <v>062 S</v>
      </c>
      <c r="D4976" s="19" t="n">
        <f aca="false">'SALES Raw'!C2053</f>
        <v>1</v>
      </c>
      <c r="E4976" s="19" t="n">
        <f aca="false">'SALES Raw'!D2053</f>
        <v>444.83</v>
      </c>
      <c r="F4976" s="19" t="n">
        <f aca="false">'SALES Raw'!E2053*$H$4</f>
        <v>0</v>
      </c>
      <c r="G4976" s="19" t="n">
        <f aca="false">'SALES Raw'!F2053*$H$4</f>
        <v>0</v>
      </c>
      <c r="H4976" s="18" t="str">
        <f aca="false">'SALES Raw'!A2053</f>
        <v>114 - IL online</v>
      </c>
    </row>
    <row r="4977" customFormat="false" ht="15" hidden="false" customHeight="false" outlineLevel="0" collapsed="false">
      <c r="A4977" s="18" t="str">
        <f aca="false">'SALES Raw'!G2054</f>
        <v/>
      </c>
      <c r="B4977" s="18" t="str">
        <f aca="false">'SALES Raw'!B2054</f>
        <v>062 XL</v>
      </c>
      <c r="C4977" s="18" t="str">
        <f aca="false">'SALES Raw'!H2054</f>
        <v>062 XL</v>
      </c>
      <c r="D4977" s="19" t="n">
        <f aca="false">'SALES Raw'!C2054</f>
        <v>5</v>
      </c>
      <c r="E4977" s="19" t="n">
        <f aca="false">'SALES Raw'!D2054</f>
        <v>1645.89</v>
      </c>
      <c r="F4977" s="19" t="n">
        <f aca="false">'SALES Raw'!E2054*$H$4</f>
        <v>0</v>
      </c>
      <c r="G4977" s="19" t="n">
        <f aca="false">'SALES Raw'!F2054*$H$4</f>
        <v>0</v>
      </c>
      <c r="H4977" s="18" t="str">
        <f aca="false">'SALES Raw'!A2054</f>
        <v>114 - IL online</v>
      </c>
    </row>
    <row r="4978" customFormat="false" ht="15" hidden="false" customHeight="false" outlineLevel="0" collapsed="false">
      <c r="A4978" s="18" t="n">
        <f aca="false">'SALES Raw'!G2086</f>
        <v>4408027</v>
      </c>
      <c r="B4978" s="18" t="str">
        <f aca="false">'SALES Raw'!B2086</f>
        <v>10 L</v>
      </c>
      <c r="C4978" s="18" t="str">
        <f aca="false">'SALES Raw'!H2086</f>
        <v>10 L """"חגורת גב """"לומבו</v>
      </c>
      <c r="D4978" s="19" t="n">
        <f aca="false">'SALES Raw'!C2086</f>
        <v>4</v>
      </c>
      <c r="E4978" s="19" t="n">
        <f aca="false">'SALES Raw'!D2086</f>
        <v>1071.33</v>
      </c>
      <c r="F4978" s="19" t="n">
        <f aca="false">'SALES Raw'!E2086*$H$4</f>
        <v>0</v>
      </c>
      <c r="G4978" s="19" t="n">
        <f aca="false">'SALES Raw'!F2086*$H$4</f>
        <v>0</v>
      </c>
      <c r="H4978" s="18" t="str">
        <f aca="false">'SALES Raw'!A2086</f>
        <v>114 - IL online</v>
      </c>
    </row>
    <row r="4979" customFormat="false" ht="15" hidden="false" customHeight="false" outlineLevel="0" collapsed="false">
      <c r="A4979" s="18" t="n">
        <f aca="false">'SALES Raw'!G2087</f>
        <v>4408028</v>
      </c>
      <c r="B4979" s="18" t="str">
        <f aca="false">'SALES Raw'!B2087</f>
        <v>10 M</v>
      </c>
      <c r="C4979" s="18" t="str">
        <f aca="false">'SALES Raw'!H2087</f>
        <v>10 M """"חגורת גב """"לומבו</v>
      </c>
      <c r="D4979" s="19" t="n">
        <f aca="false">'SALES Raw'!C2087</f>
        <v>2</v>
      </c>
      <c r="E4979" s="19" t="n">
        <f aca="false">'SALES Raw'!D2087</f>
        <v>475.29</v>
      </c>
      <c r="F4979" s="19" t="n">
        <f aca="false">'SALES Raw'!E2087*$H$4</f>
        <v>0</v>
      </c>
      <c r="G4979" s="19" t="n">
        <f aca="false">'SALES Raw'!F2087*$H$4</f>
        <v>0</v>
      </c>
      <c r="H4979" s="18" t="str">
        <f aca="false">'SALES Raw'!A2087</f>
        <v>114 - IL online</v>
      </c>
    </row>
    <row r="4980" customFormat="false" ht="15" hidden="false" customHeight="false" outlineLevel="0" collapsed="false">
      <c r="A4980" s="18" t="str">
        <f aca="false">'SALES Raw'!G2088</f>
        <v/>
      </c>
      <c r="B4980" s="18" t="str">
        <f aca="false">'SALES Raw'!B2088</f>
        <v>10 S</v>
      </c>
      <c r="C4980" s="18" t="str">
        <f aca="false">'SALES Raw'!H2088</f>
        <v>10 S</v>
      </c>
      <c r="D4980" s="19" t="n">
        <f aca="false">'SALES Raw'!C2088</f>
        <v>1</v>
      </c>
      <c r="E4980" s="19" t="n">
        <f aca="false">'SALES Raw'!D2088</f>
        <v>223.66</v>
      </c>
      <c r="F4980" s="19" t="n">
        <f aca="false">'SALES Raw'!E2088*$H$4</f>
        <v>0</v>
      </c>
      <c r="G4980" s="19" t="n">
        <f aca="false">'SALES Raw'!F2088*$H$4</f>
        <v>0</v>
      </c>
      <c r="H4980" s="18" t="str">
        <f aca="false">'SALES Raw'!A2088</f>
        <v>114 - IL online</v>
      </c>
    </row>
    <row r="4981" customFormat="false" ht="15" hidden="false" customHeight="false" outlineLevel="0" collapsed="false">
      <c r="A4981" s="18" t="n">
        <f aca="false">'SALES Raw'!G2089</f>
        <v>4408029</v>
      </c>
      <c r="B4981" s="18" t="str">
        <f aca="false">'SALES Raw'!B2089</f>
        <v>10 XL</v>
      </c>
      <c r="C4981" s="18" t="str">
        <f aca="false">'SALES Raw'!H2089</f>
        <v>10 XL """"חגורת גב """"לומבו</v>
      </c>
      <c r="D4981" s="19" t="n">
        <f aca="false">'SALES Raw'!C2089</f>
        <v>2</v>
      </c>
      <c r="E4981" s="19" t="n">
        <f aca="false">'SALES Raw'!D2089</f>
        <v>475.28</v>
      </c>
      <c r="F4981" s="19" t="n">
        <f aca="false">'SALES Raw'!E2089*$H$4</f>
        <v>0</v>
      </c>
      <c r="G4981" s="19" t="n">
        <f aca="false">'SALES Raw'!F2089*$H$4</f>
        <v>0</v>
      </c>
      <c r="H4981" s="18" t="str">
        <f aca="false">'SALES Raw'!A2089</f>
        <v>114 - IL online</v>
      </c>
    </row>
    <row r="4982" customFormat="false" ht="15" hidden="false" customHeight="false" outlineLevel="0" collapsed="false">
      <c r="A4982" s="18" t="str">
        <f aca="false">'SALES Raw'!G2090</f>
        <v/>
      </c>
      <c r="B4982" s="18" t="str">
        <f aca="false">'SALES Raw'!B2090</f>
        <v>10 XXL</v>
      </c>
      <c r="C4982" s="18" t="str">
        <f aca="false">'SALES Raw'!H2090</f>
        <v>10 XXL</v>
      </c>
      <c r="D4982" s="19" t="n">
        <f aca="false">'SALES Raw'!C2090</f>
        <v>3</v>
      </c>
      <c r="E4982" s="19" t="n">
        <f aca="false">'SALES Raw'!D2090</f>
        <v>742.02</v>
      </c>
      <c r="F4982" s="19" t="n">
        <f aca="false">'SALES Raw'!E2090*$H$4</f>
        <v>0</v>
      </c>
      <c r="G4982" s="19" t="n">
        <f aca="false">'SALES Raw'!F2090*$H$4</f>
        <v>0</v>
      </c>
      <c r="H4982" s="18" t="str">
        <f aca="false">'SALES Raw'!A2090</f>
        <v>114 - IL online</v>
      </c>
    </row>
    <row r="4983" customFormat="false" ht="15" hidden="false" customHeight="false" outlineLevel="0" collapsed="false">
      <c r="A4983" s="18" t="str">
        <f aca="false">'SALES Raw'!G2104</f>
        <v/>
      </c>
      <c r="B4983" s="18" t="str">
        <f aca="false">'SALES Raw'!B2104</f>
        <v>11NOR XL</v>
      </c>
      <c r="C4983" s="18" t="str">
        <f aca="false">'SALES Raw'!H2104</f>
        <v>11NOR XL</v>
      </c>
      <c r="D4983" s="19" t="n">
        <f aca="false">'SALES Raw'!C2104</f>
        <v>4</v>
      </c>
      <c r="E4983" s="19" t="n">
        <f aca="false">'SALES Raw'!D2104</f>
        <v>1404.01</v>
      </c>
      <c r="F4983" s="19" t="n">
        <f aca="false">'SALES Raw'!E2104*$H$4</f>
        <v>0</v>
      </c>
      <c r="G4983" s="19" t="n">
        <f aca="false">'SALES Raw'!F2104*$H$4</f>
        <v>0</v>
      </c>
      <c r="H4983" s="18" t="str">
        <f aca="false">'SALES Raw'!A2104</f>
        <v>114 - IL online</v>
      </c>
    </row>
    <row r="4984" customFormat="false" ht="15" hidden="false" customHeight="false" outlineLevel="0" collapsed="false">
      <c r="A4984" s="18" t="n">
        <f aca="false">'SALES Raw'!G2108</f>
        <v>4408145</v>
      </c>
      <c r="B4984" s="18" t="str">
        <f aca="false">'SALES Raw'!B2108</f>
        <v>11PS S</v>
      </c>
      <c r="C4984" s="18" t="str">
        <f aca="false">'SALES Raw'!H2108</f>
        <v>11PS Sחגורה למנותחי בטן</v>
      </c>
      <c r="D4984" s="19" t="n">
        <f aca="false">'SALES Raw'!C2108</f>
        <v>2</v>
      </c>
      <c r="E4984" s="19" t="n">
        <f aca="false">'SALES Raw'!D2108</f>
        <v>454.51</v>
      </c>
      <c r="F4984" s="19" t="n">
        <f aca="false">'SALES Raw'!E2108*$H$4</f>
        <v>0</v>
      </c>
      <c r="G4984" s="19" t="n">
        <f aca="false">'SALES Raw'!F2108*$H$4</f>
        <v>0</v>
      </c>
      <c r="H4984" s="18" t="str">
        <f aca="false">'SALES Raw'!A2108</f>
        <v>114 - IL online</v>
      </c>
    </row>
    <row r="4985" customFormat="false" ht="15" hidden="false" customHeight="false" outlineLevel="0" collapsed="false">
      <c r="A4985" s="18" t="str">
        <f aca="false">'SALES Raw'!G2119</f>
        <v/>
      </c>
      <c r="B4985" s="18" t="str">
        <f aca="false">'SALES Raw'!B2119</f>
        <v>11STOB S</v>
      </c>
      <c r="C4985" s="18" t="str">
        <f aca="false">'SALES Raw'!H2119</f>
        <v>11STOB S</v>
      </c>
      <c r="D4985" s="19" t="n">
        <f aca="false">'SALES Raw'!C2119</f>
        <v>3</v>
      </c>
      <c r="E4985" s="19" t="n">
        <f aca="false">'SALES Raw'!D2119</f>
        <v>902.28</v>
      </c>
      <c r="F4985" s="19" t="n">
        <f aca="false">'SALES Raw'!E2119*$H$4</f>
        <v>0</v>
      </c>
      <c r="G4985" s="19" t="n">
        <f aca="false">'SALES Raw'!F2119*$H$4</f>
        <v>0</v>
      </c>
      <c r="H4985" s="18" t="str">
        <f aca="false">'SALES Raw'!A2119</f>
        <v>114 - IL online</v>
      </c>
    </row>
    <row r="4986" customFormat="false" ht="15" hidden="false" customHeight="false" outlineLevel="0" collapsed="false">
      <c r="A4986" s="18" t="str">
        <f aca="false">'SALES Raw'!G2126</f>
        <v/>
      </c>
      <c r="B4986" s="18" t="str">
        <f aca="false">'SALES Raw'!B2126</f>
        <v>11TO XXXL</v>
      </c>
      <c r="C4986" s="18" t="str">
        <f aca="false">'SALES Raw'!H2126</f>
        <v>11TO XXXL</v>
      </c>
      <c r="D4986" s="19" t="n">
        <f aca="false">'SALES Raw'!C2126</f>
        <v>2</v>
      </c>
      <c r="E4986" s="19" t="n">
        <f aca="false">'SALES Raw'!D2126</f>
        <v>567.62</v>
      </c>
      <c r="F4986" s="19" t="n">
        <f aca="false">'SALES Raw'!E2126*$H$4</f>
        <v>0</v>
      </c>
      <c r="G4986" s="19" t="n">
        <f aca="false">'SALES Raw'!F2126*$H$4</f>
        <v>0</v>
      </c>
      <c r="H4986" s="18" t="str">
        <f aca="false">'SALES Raw'!A2126</f>
        <v>114 - IL online</v>
      </c>
    </row>
    <row r="4987" customFormat="false" ht="15" hidden="false" customHeight="false" outlineLevel="0" collapsed="false">
      <c r="A4987" s="18" t="str">
        <f aca="false">'SALES Raw'!G2127</f>
        <v/>
      </c>
      <c r="B4987" s="18" t="str">
        <f aca="false">'SALES Raw'!B2127</f>
        <v>11U M</v>
      </c>
      <c r="C4987" s="18" t="str">
        <f aca="false">'SALES Raw'!H2127</f>
        <v>11U M</v>
      </c>
      <c r="D4987" s="19" t="n">
        <f aca="false">'SALES Raw'!C2127</f>
        <v>1</v>
      </c>
      <c r="E4987" s="19" t="n">
        <f aca="false">'SALES Raw'!D2127</f>
        <v>165.58</v>
      </c>
      <c r="F4987" s="19" t="n">
        <f aca="false">'SALES Raw'!E2127*$H$4</f>
        <v>0</v>
      </c>
      <c r="G4987" s="19" t="n">
        <f aca="false">'SALES Raw'!F2127*$H$4</f>
        <v>0</v>
      </c>
      <c r="H4987" s="18" t="str">
        <f aca="false">'SALES Raw'!A2127</f>
        <v>114 - IL online</v>
      </c>
    </row>
    <row r="4988" customFormat="false" ht="15" hidden="false" customHeight="false" outlineLevel="0" collapsed="false">
      <c r="A4988" s="18" t="str">
        <f aca="false">'SALES Raw'!G2140</f>
        <v/>
      </c>
      <c r="B4988" s="18" t="str">
        <f aca="false">'SALES Raw'!B2140</f>
        <v>13B L</v>
      </c>
      <c r="C4988" s="18" t="str">
        <f aca="false">'SALES Raw'!H2140</f>
        <v>13B L</v>
      </c>
      <c r="D4988" s="19" t="n">
        <f aca="false">'SALES Raw'!C2140</f>
        <v>1</v>
      </c>
      <c r="E4988" s="19" t="n">
        <f aca="false">'SALES Raw'!D2140</f>
        <v>97.17</v>
      </c>
      <c r="F4988" s="19" t="n">
        <f aca="false">'SALES Raw'!E2140*$H$4</f>
        <v>0</v>
      </c>
      <c r="G4988" s="19" t="n">
        <f aca="false">'SALES Raw'!F2140*$H$4</f>
        <v>0</v>
      </c>
      <c r="H4988" s="18" t="str">
        <f aca="false">'SALES Raw'!A2140</f>
        <v>114 - IL online</v>
      </c>
    </row>
    <row r="4989" customFormat="false" ht="15" hidden="false" customHeight="false" outlineLevel="0" collapsed="false">
      <c r="A4989" s="18" t="str">
        <f aca="false">'SALES Raw'!G2141</f>
        <v/>
      </c>
      <c r="B4989" s="18" t="str">
        <f aca="false">'SALES Raw'!B2141</f>
        <v>13B M</v>
      </c>
      <c r="C4989" s="18" t="str">
        <f aca="false">'SALES Raw'!H2141</f>
        <v>13B M</v>
      </c>
      <c r="D4989" s="19" t="n">
        <f aca="false">'SALES Raw'!C2141</f>
        <v>1</v>
      </c>
      <c r="E4989" s="19" t="n">
        <f aca="false">'SALES Raw'!D2141</f>
        <v>106.69</v>
      </c>
      <c r="F4989" s="19" t="n">
        <f aca="false">'SALES Raw'!E2141*$H$4</f>
        <v>0</v>
      </c>
      <c r="G4989" s="19" t="n">
        <f aca="false">'SALES Raw'!F2141*$H$4</f>
        <v>0</v>
      </c>
      <c r="H4989" s="18" t="str">
        <f aca="false">'SALES Raw'!A2141</f>
        <v>114 - IL online</v>
      </c>
    </row>
    <row r="4990" customFormat="false" ht="15" hidden="false" customHeight="false" outlineLevel="0" collapsed="false">
      <c r="A4990" s="18" t="str">
        <f aca="false">'SALES Raw'!G2145</f>
        <v/>
      </c>
      <c r="B4990" s="18" t="str">
        <f aca="false">'SALES Raw'!B2145</f>
        <v>15M M</v>
      </c>
      <c r="C4990" s="18" t="str">
        <f aca="false">'SALES Raw'!H2145</f>
        <v>15M M</v>
      </c>
      <c r="D4990" s="19" t="n">
        <f aca="false">'SALES Raw'!C2145</f>
        <v>2</v>
      </c>
      <c r="E4990" s="19" t="n">
        <f aca="false">'SALES Raw'!D2145</f>
        <v>443.07</v>
      </c>
      <c r="F4990" s="19" t="n">
        <f aca="false">'SALES Raw'!E2145*$H$4</f>
        <v>0</v>
      </c>
      <c r="G4990" s="19" t="n">
        <f aca="false">'SALES Raw'!F2145*$H$4</f>
        <v>0</v>
      </c>
      <c r="H4990" s="18" t="str">
        <f aca="false">'SALES Raw'!A2145</f>
        <v>114 - IL online</v>
      </c>
    </row>
    <row r="4991" customFormat="false" ht="15" hidden="false" customHeight="false" outlineLevel="0" collapsed="false">
      <c r="A4991" s="18" t="str">
        <f aca="false">'SALES Raw'!G2149</f>
        <v/>
      </c>
      <c r="B4991" s="18" t="str">
        <f aca="false">'SALES Raw'!B2149</f>
        <v>15W M</v>
      </c>
      <c r="C4991" s="18" t="str">
        <f aca="false">'SALES Raw'!H2149</f>
        <v>15W M</v>
      </c>
      <c r="D4991" s="19" t="n">
        <f aca="false">'SALES Raw'!C2149</f>
        <v>6</v>
      </c>
      <c r="E4991" s="19" t="n">
        <f aca="false">'SALES Raw'!D2149</f>
        <v>1524.9</v>
      </c>
      <c r="F4991" s="19" t="n">
        <f aca="false">'SALES Raw'!E2149*$H$4</f>
        <v>0</v>
      </c>
      <c r="G4991" s="19" t="n">
        <f aca="false">'SALES Raw'!F2149*$H$4</f>
        <v>0.0126315789473569</v>
      </c>
      <c r="H4991" s="18" t="str">
        <f aca="false">'SALES Raw'!A2149</f>
        <v>114 - IL online</v>
      </c>
    </row>
    <row r="4992" customFormat="false" ht="15" hidden="false" customHeight="false" outlineLevel="0" collapsed="false">
      <c r="A4992" s="18" t="str">
        <f aca="false">'SALES Raw'!G2150</f>
        <v/>
      </c>
      <c r="B4992" s="18" t="str">
        <f aca="false">'SALES Raw'!B2150</f>
        <v>15W S</v>
      </c>
      <c r="C4992" s="18" t="str">
        <f aca="false">'SALES Raw'!H2150</f>
        <v>15W S</v>
      </c>
      <c r="D4992" s="19" t="n">
        <f aca="false">'SALES Raw'!C2150</f>
        <v>2</v>
      </c>
      <c r="E4992" s="19" t="n">
        <f aca="false">'SALES Raw'!D2150</f>
        <v>470.18</v>
      </c>
      <c r="F4992" s="19" t="n">
        <f aca="false">'SALES Raw'!E2150*$H$4</f>
        <v>0</v>
      </c>
      <c r="G4992" s="19" t="n">
        <f aca="false">'SALES Raw'!F2150*$H$4</f>
        <v>0</v>
      </c>
      <c r="H4992" s="18" t="str">
        <f aca="false">'SALES Raw'!A2150</f>
        <v>114 - IL online</v>
      </c>
    </row>
    <row r="4993" customFormat="false" ht="15" hidden="false" customHeight="false" outlineLevel="0" collapsed="false">
      <c r="A4993" s="18" t="n">
        <f aca="false">'SALES Raw'!G2158</f>
        <v>4408046</v>
      </c>
      <c r="B4993" s="18" t="str">
        <f aca="false">'SALES Raw'!B2158</f>
        <v>20 L</v>
      </c>
      <c r="C4993" s="18" t="str">
        <f aca="false">'SALES Raw'!H2158</f>
        <v>20 L חבק יד מתכוון עם צמדן</v>
      </c>
      <c r="D4993" s="19" t="n">
        <f aca="false">'SALES Raw'!C2158</f>
        <v>3</v>
      </c>
      <c r="E4993" s="19" t="n">
        <f aca="false">'SALES Raw'!D2158</f>
        <v>162.22</v>
      </c>
      <c r="F4993" s="19" t="n">
        <f aca="false">'SALES Raw'!E2158*$H$4</f>
        <v>0</v>
      </c>
      <c r="G4993" s="19" t="n">
        <f aca="false">'SALES Raw'!F2158*$H$4</f>
        <v>0</v>
      </c>
      <c r="H4993" s="18" t="str">
        <f aca="false">'SALES Raw'!A2158</f>
        <v>114 - IL online</v>
      </c>
    </row>
    <row r="4994" customFormat="false" ht="15" hidden="false" customHeight="false" outlineLevel="0" collapsed="false">
      <c r="A4994" s="18" t="n">
        <f aca="false">'SALES Raw'!G2160</f>
        <v>4408048</v>
      </c>
      <c r="B4994" s="18" t="str">
        <f aca="false">'SALES Raw'!B2160</f>
        <v>20 S</v>
      </c>
      <c r="C4994" s="18" t="str">
        <f aca="false">'SALES Raw'!H2160</f>
        <v>20 S חבק יד מתכוון עם צמדן</v>
      </c>
      <c r="D4994" s="19" t="n">
        <f aca="false">'SALES Raw'!C2160</f>
        <v>10</v>
      </c>
      <c r="E4994" s="19" t="n">
        <f aca="false">'SALES Raw'!D2160</f>
        <v>576.77</v>
      </c>
      <c r="F4994" s="19" t="n">
        <f aca="false">'SALES Raw'!E2160*$H$4</f>
        <v>0</v>
      </c>
      <c r="G4994" s="19" t="n">
        <f aca="false">'SALES Raw'!F2160*$H$4</f>
        <v>0</v>
      </c>
      <c r="H4994" s="18" t="str">
        <f aca="false">'SALES Raw'!A2160</f>
        <v>114 - IL online</v>
      </c>
    </row>
    <row r="4995" customFormat="false" ht="15" hidden="false" customHeight="false" outlineLevel="0" collapsed="false">
      <c r="A4995" s="18" t="n">
        <f aca="false">'SALES Raw'!G2161</f>
        <v>4408049</v>
      </c>
      <c r="B4995" s="18" t="str">
        <f aca="false">'SALES Raw'!B2161</f>
        <v>20 XL</v>
      </c>
      <c r="C4995" s="18" t="str">
        <f aca="false">'SALES Raw'!H2161</f>
        <v>20 XL חבק יד מתכוון עם צמדן</v>
      </c>
      <c r="D4995" s="19" t="n">
        <f aca="false">'SALES Raw'!C2161</f>
        <v>2</v>
      </c>
      <c r="E4995" s="19" t="n">
        <f aca="false">'SALES Raw'!D2161</f>
        <v>120.16</v>
      </c>
      <c r="F4995" s="19" t="n">
        <f aca="false">'SALES Raw'!E2161*$H$4</f>
        <v>0</v>
      </c>
      <c r="G4995" s="19" t="n">
        <f aca="false">'SALES Raw'!F2161*$H$4</f>
        <v>0</v>
      </c>
      <c r="H4995" s="18" t="str">
        <f aca="false">'SALES Raw'!A2161</f>
        <v>114 - IL online</v>
      </c>
    </row>
    <row r="4996" customFormat="false" ht="15" hidden="false" customHeight="false" outlineLevel="0" collapsed="false">
      <c r="A4996" s="18" t="str">
        <f aca="false">'SALES Raw'!G2162</f>
        <v/>
      </c>
      <c r="B4996" s="18" t="str">
        <f aca="false">'SALES Raw'!B2162</f>
        <v>20 XS</v>
      </c>
      <c r="C4996" s="18" t="str">
        <f aca="false">'SALES Raw'!H2162</f>
        <v>20 XS</v>
      </c>
      <c r="D4996" s="19" t="n">
        <f aca="false">'SALES Raw'!C2162</f>
        <v>4</v>
      </c>
      <c r="E4996" s="19" t="n">
        <f aca="false">'SALES Raw'!D2162</f>
        <v>198.27</v>
      </c>
      <c r="F4996" s="19" t="n">
        <f aca="false">'SALES Raw'!E2162*$H$4</f>
        <v>0</v>
      </c>
      <c r="G4996" s="19" t="n">
        <f aca="false">'SALES Raw'!F2162*$H$4</f>
        <v>0</v>
      </c>
      <c r="H4996" s="18" t="str">
        <f aca="false">'SALES Raw'!A2162</f>
        <v>114 - IL online</v>
      </c>
    </row>
    <row r="4997" customFormat="false" ht="15" hidden="false" customHeight="false" outlineLevel="0" collapsed="false">
      <c r="A4997" s="18" t="n">
        <f aca="false">'SALES Raw'!G2196</f>
        <v>4415003</v>
      </c>
      <c r="B4997" s="18" t="str">
        <f aca="false">'SALES Raw'!B2196</f>
        <v>26 XL</v>
      </c>
      <c r="C4997" s="18" t="str">
        <f aca="false">'SALES Raw'!H2196</f>
        <v>26 XL סד ליד דו צדדי לאחר שבר</v>
      </c>
      <c r="D4997" s="19" t="n">
        <f aca="false">'SALES Raw'!C2196</f>
        <v>2</v>
      </c>
      <c r="E4997" s="19" t="n">
        <f aca="false">'SALES Raw'!D2196</f>
        <v>344.77</v>
      </c>
      <c r="F4997" s="19" t="n">
        <f aca="false">'SALES Raw'!E2196*$H$4</f>
        <v>0</v>
      </c>
      <c r="G4997" s="19" t="n">
        <f aca="false">'SALES Raw'!F2196*$H$4</f>
        <v>0</v>
      </c>
      <c r="H4997" s="18" t="str">
        <f aca="false">'SALES Raw'!A2196</f>
        <v>114 - IL online</v>
      </c>
    </row>
    <row r="4998" customFormat="false" ht="15" hidden="false" customHeight="false" outlineLevel="0" collapsed="false">
      <c r="A4998" s="18" t="str">
        <f aca="false">'SALES Raw'!G2203</f>
        <v/>
      </c>
      <c r="B4998" s="18" t="str">
        <f aca="false">'SALES Raw'!B2203</f>
        <v>267RB-L-XL</v>
      </c>
      <c r="C4998" s="18" t="str">
        <f aca="false">'SALES Raw'!H2203</f>
        <v>267RB-L-XL</v>
      </c>
      <c r="D4998" s="19" t="n">
        <f aca="false">'SALES Raw'!C2203</f>
        <v>3</v>
      </c>
      <c r="E4998" s="19" t="n">
        <f aca="false">'SALES Raw'!D2203</f>
        <v>501.15</v>
      </c>
      <c r="F4998" s="19" t="n">
        <f aca="false">'SALES Raw'!E2203*$H$4</f>
        <v>0</v>
      </c>
      <c r="G4998" s="19" t="n">
        <f aca="false">'SALES Raw'!F2203*$H$4</f>
        <v>0</v>
      </c>
      <c r="H4998" s="18" t="str">
        <f aca="false">'SALES Raw'!A2203</f>
        <v>114 - IL online</v>
      </c>
    </row>
    <row r="4999" customFormat="false" ht="15" hidden="false" customHeight="false" outlineLevel="0" collapsed="false">
      <c r="A4999" s="18" t="str">
        <f aca="false">'SALES Raw'!G2208</f>
        <v/>
      </c>
      <c r="B4999" s="18" t="str">
        <f aca="false">'SALES Raw'!B2208</f>
        <v>267RC-L-XL</v>
      </c>
      <c r="C4999" s="18" t="str">
        <f aca="false">'SALES Raw'!H2208</f>
        <v>267RC-L-XL</v>
      </c>
      <c r="D4999" s="19" t="n">
        <f aca="false">'SALES Raw'!C2208</f>
        <v>1</v>
      </c>
      <c r="E4999" s="19" t="n">
        <f aca="false">'SALES Raw'!D2208</f>
        <v>167.05</v>
      </c>
      <c r="F4999" s="19" t="n">
        <f aca="false">'SALES Raw'!E2208*$H$4</f>
        <v>0</v>
      </c>
      <c r="G4999" s="19" t="n">
        <f aca="false">'SALES Raw'!F2208*$H$4</f>
        <v>0</v>
      </c>
      <c r="H4999" s="18" t="str">
        <f aca="false">'SALES Raw'!A2208</f>
        <v>114 - IL online</v>
      </c>
    </row>
    <row r="5000" customFormat="false" ht="15" hidden="false" customHeight="false" outlineLevel="0" collapsed="false">
      <c r="A5000" s="18" t="n">
        <f aca="false">'SALES Raw'!G2215</f>
        <v>4415025</v>
      </c>
      <c r="B5000" s="18" t="str">
        <f aca="false">'SALES Raw'!B2215</f>
        <v>28 XS</v>
      </c>
      <c r="C5000" s="18" t="str">
        <f aca="false">'SALES Raw'!H2215</f>
        <v>28-XS סד לאגודל לאחר שבר</v>
      </c>
      <c r="D5000" s="19" t="n">
        <f aca="false">'SALES Raw'!C2215</f>
        <v>1</v>
      </c>
      <c r="E5000" s="19" t="n">
        <f aca="false">'SALES Raw'!D2215</f>
        <v>158.41</v>
      </c>
      <c r="F5000" s="19" t="n">
        <f aca="false">'SALES Raw'!E2215*$H$4</f>
        <v>0</v>
      </c>
      <c r="G5000" s="19" t="n">
        <f aca="false">'SALES Raw'!F2215*$H$4</f>
        <v>0</v>
      </c>
      <c r="H5000" s="18" t="str">
        <f aca="false">'SALES Raw'!A2215</f>
        <v>114 - IL online</v>
      </c>
    </row>
    <row r="5001" customFormat="false" ht="15" hidden="false" customHeight="false" outlineLevel="0" collapsed="false">
      <c r="A5001" s="18" t="str">
        <f aca="false">'SALES Raw'!G2218</f>
        <v/>
      </c>
      <c r="B5001" s="18" t="str">
        <f aca="false">'SALES Raw'!B2218</f>
        <v>30 XL</v>
      </c>
      <c r="C5001" s="18" t="str">
        <f aca="false">'SALES Raw'!H2218</f>
        <v>30 XL</v>
      </c>
      <c r="D5001" s="19" t="n">
        <f aca="false">'SALES Raw'!C2218</f>
        <v>4</v>
      </c>
      <c r="E5001" s="19" t="n">
        <f aca="false">'SALES Raw'!D2218</f>
        <v>462.96</v>
      </c>
      <c r="F5001" s="19" t="n">
        <f aca="false">'SALES Raw'!E2218*$H$4</f>
        <v>0</v>
      </c>
      <c r="G5001" s="19" t="n">
        <f aca="false">'SALES Raw'!F2218*$H$4</f>
        <v>0</v>
      </c>
      <c r="H5001" s="18" t="str">
        <f aca="false">'SALES Raw'!A2218</f>
        <v>114 - IL online</v>
      </c>
    </row>
    <row r="5002" customFormat="false" ht="15" hidden="false" customHeight="false" outlineLevel="0" collapsed="false">
      <c r="A5002" s="18" t="n">
        <f aca="false">'SALES Raw'!G2222</f>
        <v>4420036</v>
      </c>
      <c r="B5002" s="18" t="str">
        <f aca="false">'SALES Raw'!B2222</f>
        <v>301CM-41-45</v>
      </c>
      <c r="C5002" s="18" t="str">
        <f aca="false">'SALES Raw'!H2222</f>
        <v>301CM 41-45 'רפידת ג'ל בז</v>
      </c>
      <c r="D5002" s="19" t="n">
        <f aca="false">'SALES Raw'!C2222</f>
        <v>14</v>
      </c>
      <c r="E5002" s="19" t="n">
        <f aca="false">'SALES Raw'!D2222</f>
        <v>1642.21</v>
      </c>
      <c r="F5002" s="19" t="n">
        <f aca="false">'SALES Raw'!E2222*$H$4</f>
        <v>0</v>
      </c>
      <c r="G5002" s="19" t="n">
        <f aca="false">'SALES Raw'!F2222*$H$4</f>
        <v>0</v>
      </c>
      <c r="H5002" s="18" t="str">
        <f aca="false">'SALES Raw'!A2222</f>
        <v>114 - IL online</v>
      </c>
    </row>
    <row r="5003" customFormat="false" ht="15" hidden="false" customHeight="false" outlineLevel="0" collapsed="false">
      <c r="A5003" s="18" t="str">
        <f aca="false">'SALES Raw'!G2224</f>
        <v/>
      </c>
      <c r="B5003" s="18" t="str">
        <f aca="false">'SALES Raw'!B2224</f>
        <v>301JM-41-45</v>
      </c>
      <c r="C5003" s="18" t="str">
        <f aca="false">'SALES Raw'!H2224</f>
        <v>301JM-41-45</v>
      </c>
      <c r="D5003" s="19" t="n">
        <f aca="false">'SALES Raw'!C2224</f>
        <v>1</v>
      </c>
      <c r="E5003" s="19" t="n">
        <f aca="false">'SALES Raw'!D2224</f>
        <v>102.98</v>
      </c>
      <c r="F5003" s="19" t="n">
        <f aca="false">'SALES Raw'!E2224*$H$4</f>
        <v>0</v>
      </c>
      <c r="G5003" s="19" t="n">
        <f aca="false">'SALES Raw'!F2224*$H$4</f>
        <v>0</v>
      </c>
      <c r="H5003" s="18" t="str">
        <f aca="false">'SALES Raw'!A2224</f>
        <v>114 - IL online</v>
      </c>
    </row>
    <row r="5004" customFormat="false" ht="15" hidden="false" customHeight="false" outlineLevel="0" collapsed="false">
      <c r="A5004" s="18" t="n">
        <f aca="false">'SALES Raw'!G2228</f>
        <v>4413018</v>
      </c>
      <c r="B5004" s="18" t="str">
        <f aca="false">'SALES Raw'!B2228</f>
        <v>303-37-38</v>
      </c>
      <c r="C5004" s="18" t="str">
        <f aca="false">'SALES Raw'!H2228</f>
        <v>303 37-38 מדרסי סיליק.לח.סכרת</v>
      </c>
      <c r="D5004" s="19" t="n">
        <f aca="false">'SALES Raw'!C2228</f>
        <v>1</v>
      </c>
      <c r="E5004" s="19" t="n">
        <f aca="false">'SALES Raw'!D2228</f>
        <v>182.17</v>
      </c>
      <c r="F5004" s="19" t="n">
        <f aca="false">'SALES Raw'!E2228*$H$4</f>
        <v>0</v>
      </c>
      <c r="G5004" s="19" t="n">
        <f aca="false">'SALES Raw'!F2228*$H$4</f>
        <v>0</v>
      </c>
      <c r="H5004" s="18" t="str">
        <f aca="false">'SALES Raw'!A2228</f>
        <v>114 - IL online</v>
      </c>
    </row>
    <row r="5005" customFormat="false" ht="15" hidden="false" customHeight="false" outlineLevel="0" collapsed="false">
      <c r="A5005" s="18" t="str">
        <f aca="false">'SALES Raw'!G2257</f>
        <v/>
      </c>
      <c r="B5005" s="18" t="str">
        <f aca="false">'SALES Raw'!B2257</f>
        <v>32 XXL</v>
      </c>
      <c r="C5005" s="18" t="str">
        <f aca="false">'SALES Raw'!H2257</f>
        <v>32 XXL</v>
      </c>
      <c r="D5005" s="19" t="n">
        <f aca="false">'SALES Raw'!C2257</f>
        <v>1</v>
      </c>
      <c r="E5005" s="19" t="n">
        <f aca="false">'SALES Raw'!D2257</f>
        <v>346.19</v>
      </c>
      <c r="F5005" s="19" t="n">
        <f aca="false">'SALES Raw'!E2257*$H$4</f>
        <v>0</v>
      </c>
      <c r="G5005" s="19" t="n">
        <f aca="false">'SALES Raw'!F2257*$H$4</f>
        <v>0</v>
      </c>
      <c r="H5005" s="18" t="str">
        <f aca="false">'SALES Raw'!A2257</f>
        <v>114 - IL online</v>
      </c>
    </row>
    <row r="5006" customFormat="false" ht="15" hidden="false" customHeight="false" outlineLevel="0" collapsed="false">
      <c r="A5006" s="18" t="str">
        <f aca="false">'SALES Raw'!G2259</f>
        <v/>
      </c>
      <c r="B5006" s="18" t="str">
        <f aca="false">'SALES Raw'!B2259</f>
        <v>332B M</v>
      </c>
      <c r="C5006" s="18" t="str">
        <f aca="false">'SALES Raw'!H2259</f>
        <v>332B M</v>
      </c>
      <c r="D5006" s="19" t="n">
        <f aca="false">'SALES Raw'!C2259</f>
        <v>1</v>
      </c>
      <c r="E5006" s="19" t="n">
        <f aca="false">'SALES Raw'!D2259</f>
        <v>222.8</v>
      </c>
      <c r="F5006" s="19" t="n">
        <f aca="false">'SALES Raw'!E2259*$H$4</f>
        <v>0</v>
      </c>
      <c r="G5006" s="19" t="n">
        <f aca="false">'SALES Raw'!F2259*$H$4</f>
        <v>0</v>
      </c>
      <c r="H5006" s="18" t="str">
        <f aca="false">'SALES Raw'!A2259</f>
        <v>114 - IL online</v>
      </c>
    </row>
    <row r="5007" customFormat="false" ht="15" hidden="false" customHeight="false" outlineLevel="0" collapsed="false">
      <c r="A5007" s="18" t="n">
        <f aca="false">'SALES Raw'!G2260</f>
        <v>4415019</v>
      </c>
      <c r="B5007" s="18" t="str">
        <f aca="false">'SALES Raw'!B2260</f>
        <v>333 0</v>
      </c>
      <c r="C5007" s="18" t="str">
        <f aca="false">'SALES Raw'!H2260</f>
        <v>333 סד לקרסול עם כריות אויר</v>
      </c>
      <c r="D5007" s="19" t="n">
        <f aca="false">'SALES Raw'!C2260</f>
        <v>4</v>
      </c>
      <c r="E5007" s="19" t="n">
        <f aca="false">'SALES Raw'!D2260</f>
        <v>936.92</v>
      </c>
      <c r="F5007" s="19" t="n">
        <f aca="false">'SALES Raw'!E2260*$H$4</f>
        <v>0</v>
      </c>
      <c r="G5007" s="19" t="n">
        <f aca="false">'SALES Raw'!F2260*$H$4</f>
        <v>0</v>
      </c>
      <c r="H5007" s="18" t="str">
        <f aca="false">'SALES Raw'!A2260</f>
        <v>114 - IL online</v>
      </c>
    </row>
    <row r="5008" customFormat="false" ht="15" hidden="false" customHeight="false" outlineLevel="0" collapsed="false">
      <c r="A5008" s="18" t="n">
        <f aca="false">'SALES Raw'!G2301</f>
        <v>4413061</v>
      </c>
      <c r="B5008" s="18" t="str">
        <f aca="false">'SALES Raw'!B2301</f>
        <v>3641 0</v>
      </c>
      <c r="C5008" s="18" t="str">
        <f aca="false">'SALES Raw'!H2301</f>
        <v>3641-מיישר בוהן סיליקון קשיח</v>
      </c>
      <c r="D5008" s="19" t="n">
        <f aca="false">'SALES Raw'!C2301</f>
        <v>9</v>
      </c>
      <c r="E5008" s="19" t="n">
        <f aca="false">'SALES Raw'!D2301</f>
        <v>321.52</v>
      </c>
      <c r="F5008" s="19" t="n">
        <f aca="false">'SALES Raw'!E2301*$H$4</f>
        <v>0</v>
      </c>
      <c r="G5008" s="19" t="n">
        <f aca="false">'SALES Raw'!F2301*$H$4</f>
        <v>0</v>
      </c>
      <c r="H5008" s="18" t="str">
        <f aca="false">'SALES Raw'!A2301</f>
        <v>114 - IL online</v>
      </c>
    </row>
    <row r="5009" customFormat="false" ht="15" hidden="false" customHeight="false" outlineLevel="0" collapsed="false">
      <c r="A5009" s="18" t="n">
        <f aca="false">'SALES Raw'!G2331</f>
        <v>4413520</v>
      </c>
      <c r="B5009" s="18" t="str">
        <f aca="false">'SALES Raw'!B2331</f>
        <v>379MSP-35-38</v>
      </c>
      <c r="C5009" s="18" t="str">
        <f aca="false">'SALES Raw'!H2331</f>
        <v>מדרסי אפיק ג'ל מולט.ספורט35-38</v>
      </c>
      <c r="D5009" s="19" t="n">
        <f aca="false">'SALES Raw'!C2331</f>
        <v>2</v>
      </c>
      <c r="E5009" s="19" t="n">
        <f aca="false">'SALES Raw'!D2331</f>
        <v>385.77</v>
      </c>
      <c r="F5009" s="19" t="n">
        <f aca="false">'SALES Raw'!E2331*$H$4</f>
        <v>0</v>
      </c>
      <c r="G5009" s="19" t="n">
        <f aca="false">'SALES Raw'!F2331*$H$4</f>
        <v>0</v>
      </c>
      <c r="H5009" s="18" t="str">
        <f aca="false">'SALES Raw'!A2331</f>
        <v>114 - IL online</v>
      </c>
    </row>
    <row r="5010" customFormat="false" ht="15" hidden="false" customHeight="false" outlineLevel="0" collapsed="false">
      <c r="A5010" s="18" t="n">
        <f aca="false">'SALES Raw'!G2341</f>
        <v>4403000</v>
      </c>
      <c r="B5010" s="18" t="str">
        <f aca="false">'SALES Raw'!B2341</f>
        <v>390B-35-38</v>
      </c>
      <c r="C5010" s="18" t="str">
        <f aca="false">'SALES Raw'!H2341</f>
        <v>390B גרב.כסף לסכרתים שחור35-38</v>
      </c>
      <c r="D5010" s="19" t="n">
        <f aca="false">'SALES Raw'!C2341</f>
        <v>6</v>
      </c>
      <c r="E5010" s="19" t="n">
        <f aca="false">'SALES Raw'!D2341</f>
        <v>297.69</v>
      </c>
      <c r="F5010" s="19" t="n">
        <f aca="false">'SALES Raw'!E2341*$H$4</f>
        <v>0</v>
      </c>
      <c r="G5010" s="19" t="n">
        <f aca="false">'SALES Raw'!F2341*$H$4</f>
        <v>0</v>
      </c>
      <c r="H5010" s="18" t="str">
        <f aca="false">'SALES Raw'!A2341</f>
        <v>114 - IL online</v>
      </c>
    </row>
    <row r="5011" customFormat="false" ht="15" hidden="false" customHeight="false" outlineLevel="0" collapsed="false">
      <c r="A5011" s="18" t="n">
        <f aca="false">'SALES Raw'!G2343</f>
        <v>4403002</v>
      </c>
      <c r="B5011" s="18" t="str">
        <f aca="false">'SALES Raw'!B2343</f>
        <v>390B-43-46</v>
      </c>
      <c r="C5011" s="18" t="str">
        <f aca="false">'SALES Raw'!H2343</f>
        <v>390B 43-46.גרב.כסף לסכרתיים שח</v>
      </c>
      <c r="D5011" s="19" t="n">
        <f aca="false">'SALES Raw'!C2343</f>
        <v>49</v>
      </c>
      <c r="E5011" s="19" t="n">
        <f aca="false">'SALES Raw'!D2343</f>
        <v>2348.86</v>
      </c>
      <c r="F5011" s="19" t="n">
        <f aca="false">'SALES Raw'!E2343*$H$4</f>
        <v>0</v>
      </c>
      <c r="G5011" s="19" t="n">
        <f aca="false">'SALES Raw'!F2343*$H$4</f>
        <v>0</v>
      </c>
      <c r="H5011" s="18" t="str">
        <f aca="false">'SALES Raw'!A2343</f>
        <v>114 - IL online</v>
      </c>
    </row>
    <row r="5012" customFormat="false" ht="15" hidden="false" customHeight="false" outlineLevel="0" collapsed="false">
      <c r="A5012" s="18" t="n">
        <f aca="false">'SALES Raw'!G2344</f>
        <v>4403003</v>
      </c>
      <c r="B5012" s="18" t="str">
        <f aca="false">'SALES Raw'!B2344</f>
        <v>390G-35-38</v>
      </c>
      <c r="C5012" s="18" t="str">
        <f aca="false">'SALES Raw'!H2344</f>
        <v>390G ג.כסף לסכרתיים אפור35-38</v>
      </c>
      <c r="D5012" s="19" t="n">
        <f aca="false">'SALES Raw'!C2344</f>
        <v>6</v>
      </c>
      <c r="E5012" s="19" t="n">
        <f aca="false">'SALES Raw'!D2344</f>
        <v>327.33</v>
      </c>
      <c r="F5012" s="19" t="n">
        <f aca="false">'SALES Raw'!E2344*$H$4</f>
        <v>0</v>
      </c>
      <c r="G5012" s="19" t="n">
        <f aca="false">'SALES Raw'!F2344*$H$4</f>
        <v>0</v>
      </c>
      <c r="H5012" s="18" t="str">
        <f aca="false">'SALES Raw'!A2344</f>
        <v>114 - IL online</v>
      </c>
    </row>
    <row r="5013" customFormat="false" ht="15" hidden="false" customHeight="false" outlineLevel="0" collapsed="false">
      <c r="A5013" s="18" t="n">
        <f aca="false">'SALES Raw'!G2347</f>
        <v>4403006</v>
      </c>
      <c r="B5013" s="18" t="str">
        <f aca="false">'SALES Raw'!B2347</f>
        <v>390W-35-38</v>
      </c>
      <c r="C5013" s="18" t="str">
        <f aca="false">'SALES Raw'!H2347</f>
        <v>390W גרב כסף לסכרתיים לבן35-38</v>
      </c>
      <c r="D5013" s="19" t="n">
        <f aca="false">'SALES Raw'!C2347</f>
        <v>10</v>
      </c>
      <c r="E5013" s="19" t="n">
        <f aca="false">'SALES Raw'!D2347</f>
        <v>495.08</v>
      </c>
      <c r="F5013" s="19" t="n">
        <f aca="false">'SALES Raw'!E2347*$H$4</f>
        <v>0</v>
      </c>
      <c r="G5013" s="19" t="n">
        <f aca="false">'SALES Raw'!F2347*$H$4</f>
        <v>0</v>
      </c>
      <c r="H5013" s="18" t="str">
        <f aca="false">'SALES Raw'!A2347</f>
        <v>114 - IL online</v>
      </c>
    </row>
    <row r="5014" customFormat="false" ht="15" hidden="false" customHeight="false" outlineLevel="0" collapsed="false">
      <c r="A5014" s="18" t="n">
        <f aca="false">'SALES Raw'!G2357</f>
        <v>4403018</v>
      </c>
      <c r="B5014" s="18" t="str">
        <f aca="false">'SALES Raw'!B2357</f>
        <v>394B-39-42</v>
      </c>
      <c r="C5014" s="18" t="str">
        <f aca="false">'SALES Raw'!H2357</f>
        <v>394B גרב.כסף לסכרתים שחור39-42</v>
      </c>
      <c r="D5014" s="19" t="n">
        <f aca="false">'SALES Raw'!C2357</f>
        <v>50</v>
      </c>
      <c r="E5014" s="19" t="n">
        <f aca="false">'SALES Raw'!D2357</f>
        <v>1968.05</v>
      </c>
      <c r="F5014" s="19" t="n">
        <f aca="false">'SALES Raw'!E2357*$H$4</f>
        <v>0</v>
      </c>
      <c r="G5014" s="19" t="n">
        <f aca="false">'SALES Raw'!F2357*$H$4</f>
        <v>0</v>
      </c>
      <c r="H5014" s="18" t="str">
        <f aca="false">'SALES Raw'!A2357</f>
        <v>114 - IL online</v>
      </c>
    </row>
    <row r="5015" customFormat="false" ht="15" hidden="false" customHeight="false" outlineLevel="0" collapsed="false">
      <c r="A5015" s="18" t="n">
        <f aca="false">'SALES Raw'!G2362</f>
        <v>4403023</v>
      </c>
      <c r="B5015" s="18" t="str">
        <f aca="false">'SALES Raw'!B2362</f>
        <v>394W-35-38</v>
      </c>
      <c r="C5015" s="18" t="str">
        <f aca="false">'SALES Raw'!H2362</f>
        <v>394W 35-38 גרב.כסף לסכרתים לבן</v>
      </c>
      <c r="D5015" s="19" t="n">
        <f aca="false">'SALES Raw'!C2362</f>
        <v>8</v>
      </c>
      <c r="E5015" s="19" t="n">
        <f aca="false">'SALES Raw'!D2362</f>
        <v>301.67</v>
      </c>
      <c r="F5015" s="19" t="n">
        <f aca="false">'SALES Raw'!E2362*$H$4</f>
        <v>0</v>
      </c>
      <c r="G5015" s="19" t="n">
        <f aca="false">'SALES Raw'!F2362*$H$4</f>
        <v>0</v>
      </c>
      <c r="H5015" s="18" t="str">
        <f aca="false">'SALES Raw'!A2362</f>
        <v>114 - IL online</v>
      </c>
    </row>
    <row r="5016" customFormat="false" ht="15" hidden="false" customHeight="false" outlineLevel="0" collapsed="false">
      <c r="A5016" s="18" t="str">
        <f aca="false">'SALES Raw'!G2371</f>
        <v/>
      </c>
      <c r="B5016" s="18" t="str">
        <f aca="false">'SALES Raw'!B2371</f>
        <v>397-35-38</v>
      </c>
      <c r="C5016" s="18" t="str">
        <f aca="false">'SALES Raw'!H2371</f>
        <v>397-35-38</v>
      </c>
      <c r="D5016" s="19" t="n">
        <f aca="false">'SALES Raw'!C2371</f>
        <v>85</v>
      </c>
      <c r="E5016" s="19" t="n">
        <f aca="false">'SALES Raw'!D2371</f>
        <v>8777.86</v>
      </c>
      <c r="F5016" s="19" t="n">
        <f aca="false">'SALES Raw'!E2371*$H$4</f>
        <v>0</v>
      </c>
      <c r="G5016" s="19" t="n">
        <f aca="false">'SALES Raw'!F2371*$H$4</f>
        <v>0</v>
      </c>
      <c r="H5016" s="18" t="str">
        <f aca="false">'SALES Raw'!A2371</f>
        <v>114 - IL online</v>
      </c>
    </row>
    <row r="5017" customFormat="false" ht="15" hidden="false" customHeight="false" outlineLevel="0" collapsed="false">
      <c r="A5017" s="18" t="str">
        <f aca="false">'SALES Raw'!G2373</f>
        <v/>
      </c>
      <c r="B5017" s="18" t="str">
        <f aca="false">'SALES Raw'!B2373</f>
        <v>397-43-46</v>
      </c>
      <c r="C5017" s="18" t="str">
        <f aca="false">'SALES Raw'!H2373</f>
        <v>397-43-46</v>
      </c>
      <c r="D5017" s="19" t="n">
        <f aca="false">'SALES Raw'!C2373</f>
        <v>172</v>
      </c>
      <c r="E5017" s="19" t="n">
        <f aca="false">'SALES Raw'!D2373</f>
        <v>16455.99</v>
      </c>
      <c r="F5017" s="19" t="n">
        <f aca="false">'SALES Raw'!E2373*$H$4</f>
        <v>0</v>
      </c>
      <c r="G5017" s="19" t="n">
        <f aca="false">'SALES Raw'!F2373*$H$4</f>
        <v>0</v>
      </c>
      <c r="H5017" s="18" t="str">
        <f aca="false">'SALES Raw'!A2373</f>
        <v>114 - IL online</v>
      </c>
    </row>
    <row r="5018" customFormat="false" ht="15" hidden="false" customHeight="false" outlineLevel="0" collapsed="false">
      <c r="A5018" s="18" t="n">
        <f aca="false">'SALES Raw'!G2382</f>
        <v>4413074</v>
      </c>
      <c r="B5018" s="18" t="str">
        <f aca="false">'SALES Raw'!B2382</f>
        <v>41 XL</v>
      </c>
      <c r="C5018" s="18" t="str">
        <f aca="false">'SALES Raw'!H2382</f>
        <v>41  XL.מ.ברך מוצלב+ספירלות בצד</v>
      </c>
      <c r="D5018" s="19" t="n">
        <f aca="false">'SALES Raw'!C2382</f>
        <v>5</v>
      </c>
      <c r="E5018" s="19" t="n">
        <f aca="false">'SALES Raw'!D2382</f>
        <v>1052.16</v>
      </c>
      <c r="F5018" s="19" t="n">
        <f aca="false">'SALES Raw'!E2382*$H$4</f>
        <v>0</v>
      </c>
      <c r="G5018" s="19" t="n">
        <f aca="false">'SALES Raw'!F2382*$H$4</f>
        <v>0</v>
      </c>
      <c r="H5018" s="18" t="str">
        <f aca="false">'SALES Raw'!A2382</f>
        <v>114 - IL online</v>
      </c>
    </row>
    <row r="5019" customFormat="false" ht="15" hidden="false" customHeight="false" outlineLevel="0" collapsed="false">
      <c r="A5019" s="18" t="str">
        <f aca="false">'SALES Raw'!G2384</f>
        <v/>
      </c>
      <c r="B5019" s="18" t="str">
        <f aca="false">'SALES Raw'!B2384</f>
        <v>41 XXL</v>
      </c>
      <c r="C5019" s="18" t="str">
        <f aca="false">'SALES Raw'!H2384</f>
        <v>41 XXL</v>
      </c>
      <c r="D5019" s="19" t="n">
        <f aca="false">'SALES Raw'!C2384</f>
        <v>5</v>
      </c>
      <c r="E5019" s="19" t="n">
        <f aca="false">'SALES Raw'!D2384</f>
        <v>961.9</v>
      </c>
      <c r="F5019" s="19" t="n">
        <f aca="false">'SALES Raw'!E2384*$H$4</f>
        <v>0</v>
      </c>
      <c r="G5019" s="19" t="n">
        <f aca="false">'SALES Raw'!F2384*$H$4</f>
        <v>0</v>
      </c>
      <c r="H5019" s="18" t="str">
        <f aca="false">'SALES Raw'!A2384</f>
        <v>114 - IL online</v>
      </c>
    </row>
    <row r="5020" customFormat="false" ht="15" hidden="false" customHeight="false" outlineLevel="0" collapsed="false">
      <c r="A5020" s="18" t="str">
        <f aca="false">'SALES Raw'!G2387</f>
        <v/>
      </c>
      <c r="B5020" s="18" t="str">
        <f aca="false">'SALES Raw'!B2387</f>
        <v>41X S</v>
      </c>
      <c r="C5020" s="18" t="str">
        <f aca="false">'SALES Raw'!H2387</f>
        <v>41X S</v>
      </c>
      <c r="D5020" s="19" t="n">
        <f aca="false">'SALES Raw'!C2387</f>
        <v>1</v>
      </c>
      <c r="E5020" s="19" t="n">
        <f aca="false">'SALES Raw'!D2387</f>
        <v>245.68</v>
      </c>
      <c r="F5020" s="19" t="n">
        <f aca="false">'SALES Raw'!E2387*$H$4</f>
        <v>0</v>
      </c>
      <c r="G5020" s="19" t="n">
        <f aca="false">'SALES Raw'!F2387*$H$4</f>
        <v>0</v>
      </c>
      <c r="H5020" s="18" t="str">
        <f aca="false">'SALES Raw'!A2387</f>
        <v>114 - IL online</v>
      </c>
    </row>
    <row r="5021" customFormat="false" ht="15" hidden="false" customHeight="false" outlineLevel="0" collapsed="false">
      <c r="A5021" s="18" t="str">
        <f aca="false">'SALES Raw'!G2389</f>
        <v/>
      </c>
      <c r="B5021" s="18" t="str">
        <f aca="false">'SALES Raw'!B2389</f>
        <v>422 XL</v>
      </c>
      <c r="C5021" s="18" t="str">
        <f aca="false">'SALES Raw'!H2389</f>
        <v>422 XL</v>
      </c>
      <c r="D5021" s="19" t="n">
        <f aca="false">'SALES Raw'!C2389</f>
        <v>1</v>
      </c>
      <c r="E5021" s="19" t="n">
        <f aca="false">'SALES Raw'!D2389</f>
        <v>269.33</v>
      </c>
      <c r="F5021" s="19" t="n">
        <f aca="false">'SALES Raw'!E2389*$H$4</f>
        <v>0</v>
      </c>
      <c r="G5021" s="19" t="n">
        <f aca="false">'SALES Raw'!F2389*$H$4</f>
        <v>0</v>
      </c>
      <c r="H5021" s="18" t="str">
        <f aca="false">'SALES Raw'!A2389</f>
        <v>114 - IL online</v>
      </c>
    </row>
    <row r="5022" customFormat="false" ht="15" hidden="false" customHeight="false" outlineLevel="0" collapsed="false">
      <c r="A5022" s="18" t="str">
        <f aca="false">'SALES Raw'!G2395</f>
        <v/>
      </c>
      <c r="B5022" s="18" t="str">
        <f aca="false">'SALES Raw'!B2395</f>
        <v>422EB XXL</v>
      </c>
      <c r="C5022" s="18" t="str">
        <f aca="false">'SALES Raw'!H2395</f>
        <v>422EB XXL</v>
      </c>
      <c r="D5022" s="19" t="n">
        <f aca="false">'SALES Raw'!C2395</f>
        <v>1</v>
      </c>
      <c r="E5022" s="19" t="n">
        <f aca="false">'SALES Raw'!D2395</f>
        <v>312.55</v>
      </c>
      <c r="F5022" s="19" t="n">
        <f aca="false">'SALES Raw'!E2395*$H$4</f>
        <v>0</v>
      </c>
      <c r="G5022" s="19" t="n">
        <f aca="false">'SALES Raw'!F2395*$H$4</f>
        <v>0</v>
      </c>
      <c r="H5022" s="18" t="str">
        <f aca="false">'SALES Raw'!A2395</f>
        <v>114 - IL online</v>
      </c>
    </row>
    <row r="5023" customFormat="false" ht="15" hidden="false" customHeight="false" outlineLevel="0" collapsed="false">
      <c r="A5023" s="18" t="str">
        <f aca="false">'SALES Raw'!G2396</f>
        <v/>
      </c>
      <c r="B5023" s="18" t="str">
        <f aca="false">'SALES Raw'!B2396</f>
        <v>422N XXL</v>
      </c>
      <c r="C5023" s="18" t="str">
        <f aca="false">'SALES Raw'!H2396</f>
        <v>422N XXL</v>
      </c>
      <c r="D5023" s="19" t="n">
        <f aca="false">'SALES Raw'!C2396</f>
        <v>2</v>
      </c>
      <c r="E5023" s="19" t="n">
        <f aca="false">'SALES Raw'!D2396</f>
        <v>596.46</v>
      </c>
      <c r="F5023" s="19" t="n">
        <f aca="false">'SALES Raw'!E2396*$H$4</f>
        <v>0</v>
      </c>
      <c r="G5023" s="19" t="n">
        <f aca="false">'SALES Raw'!F2396*$H$4</f>
        <v>0</v>
      </c>
      <c r="H5023" s="18" t="str">
        <f aca="false">'SALES Raw'!A2396</f>
        <v>114 - IL online</v>
      </c>
    </row>
    <row r="5024" customFormat="false" ht="15" hidden="false" customHeight="false" outlineLevel="0" collapsed="false">
      <c r="A5024" s="18" t="str">
        <f aca="false">'SALES Raw'!G2397</f>
        <v/>
      </c>
      <c r="B5024" s="18" t="str">
        <f aca="false">'SALES Raw'!B2397</f>
        <v>422N+ L</v>
      </c>
      <c r="C5024" s="18" t="str">
        <f aca="false">'SALES Raw'!H2397</f>
        <v>422N+ L</v>
      </c>
      <c r="D5024" s="19" t="n">
        <f aca="false">'SALES Raw'!C2397</f>
        <v>1</v>
      </c>
      <c r="E5024" s="19" t="n">
        <f aca="false">'SALES Raw'!D2397</f>
        <v>324.07</v>
      </c>
      <c r="F5024" s="19" t="n">
        <f aca="false">'SALES Raw'!E2397*$H$4</f>
        <v>0</v>
      </c>
      <c r="G5024" s="19" t="n">
        <f aca="false">'SALES Raw'!F2397*$H$4</f>
        <v>0</v>
      </c>
      <c r="H5024" s="18" t="str">
        <f aca="false">'SALES Raw'!A2397</f>
        <v>114 - IL online</v>
      </c>
    </row>
    <row r="5025" customFormat="false" ht="15" hidden="false" customHeight="false" outlineLevel="0" collapsed="false">
      <c r="A5025" s="18" t="str">
        <f aca="false">'SALES Raw'!G2398</f>
        <v/>
      </c>
      <c r="B5025" s="18" t="str">
        <f aca="false">'SALES Raw'!B2398</f>
        <v>422N+ M</v>
      </c>
      <c r="C5025" s="18" t="str">
        <f aca="false">'SALES Raw'!H2398</f>
        <v>422N+ M</v>
      </c>
      <c r="D5025" s="19" t="n">
        <f aca="false">'SALES Raw'!C2398</f>
        <v>1</v>
      </c>
      <c r="E5025" s="19" t="n">
        <f aca="false">'SALES Raw'!D2398</f>
        <v>324.08</v>
      </c>
      <c r="F5025" s="19" t="n">
        <f aca="false">'SALES Raw'!E2398*$H$4</f>
        <v>0</v>
      </c>
      <c r="G5025" s="19" t="n">
        <f aca="false">'SALES Raw'!F2398*$H$4</f>
        <v>0</v>
      </c>
      <c r="H5025" s="18" t="str">
        <f aca="false">'SALES Raw'!A2398</f>
        <v>114 - IL online</v>
      </c>
    </row>
    <row r="5026" customFormat="false" ht="15" hidden="false" customHeight="false" outlineLevel="0" collapsed="false">
      <c r="A5026" s="18" t="str">
        <f aca="false">'SALES Raw'!G2399</f>
        <v/>
      </c>
      <c r="B5026" s="18" t="str">
        <f aca="false">'SALES Raw'!B2399</f>
        <v>422N+ XXL</v>
      </c>
      <c r="C5026" s="18" t="str">
        <f aca="false">'SALES Raw'!H2399</f>
        <v>422N+ XXL</v>
      </c>
      <c r="D5026" s="19" t="n">
        <f aca="false">'SALES Raw'!C2399</f>
        <v>1</v>
      </c>
      <c r="E5026" s="19" t="n">
        <f aca="false">'SALES Raw'!D2399</f>
        <v>305.01</v>
      </c>
      <c r="F5026" s="19" t="n">
        <f aca="false">'SALES Raw'!E2399*$H$4</f>
        <v>0</v>
      </c>
      <c r="G5026" s="19" t="n">
        <f aca="false">'SALES Raw'!F2399*$H$4</f>
        <v>0</v>
      </c>
      <c r="H5026" s="18" t="str">
        <f aca="false">'SALES Raw'!A2399</f>
        <v>114 - IL online</v>
      </c>
    </row>
    <row r="5027" customFormat="false" ht="15" hidden="false" customHeight="false" outlineLevel="0" collapsed="false">
      <c r="A5027" s="18" t="n">
        <f aca="false">'SALES Raw'!G2403</f>
        <v>4413095</v>
      </c>
      <c r="B5027" s="18" t="str">
        <f aca="false">'SALES Raw'!B2403</f>
        <v>45 XL</v>
      </c>
      <c r="C5027" s="18" t="str">
        <f aca="false">'SALES Raw'!H2403</f>
        <v>45 XL מגן ברך לבן</v>
      </c>
      <c r="D5027" s="19" t="n">
        <f aca="false">'SALES Raw'!C2403</f>
        <v>4</v>
      </c>
      <c r="E5027" s="19" t="n">
        <f aca="false">'SALES Raw'!D2403</f>
        <v>223.4</v>
      </c>
      <c r="F5027" s="19" t="n">
        <f aca="false">'SALES Raw'!E2403*$H$4</f>
        <v>0</v>
      </c>
      <c r="G5027" s="19" t="n">
        <f aca="false">'SALES Raw'!F2403*$H$4</f>
        <v>0</v>
      </c>
      <c r="H5027" s="18" t="str">
        <f aca="false">'SALES Raw'!A2403</f>
        <v>114 - IL online</v>
      </c>
    </row>
    <row r="5028" customFormat="false" ht="15" hidden="false" customHeight="false" outlineLevel="0" collapsed="false">
      <c r="A5028" s="18" t="n">
        <f aca="false">'SALES Raw'!G2427</f>
        <v>4413107</v>
      </c>
      <c r="B5028" s="18" t="str">
        <f aca="false">'SALES Raw'!B2427</f>
        <v>48 L</v>
      </c>
      <c r="C5028" s="18" t="str">
        <f aca="false">'SALES Raw'!H2427</f>
        <v>48 L מגן ברך מחמם</v>
      </c>
      <c r="D5028" s="19" t="n">
        <f aca="false">'SALES Raw'!C2427</f>
        <v>2</v>
      </c>
      <c r="E5028" s="19" t="n">
        <f aca="false">'SALES Raw'!D2427</f>
        <v>189.55</v>
      </c>
      <c r="F5028" s="19" t="n">
        <f aca="false">'SALES Raw'!E2427*$H$4</f>
        <v>0</v>
      </c>
      <c r="G5028" s="19" t="n">
        <f aca="false">'SALES Raw'!F2427*$H$4</f>
        <v>-12.9473684210526</v>
      </c>
      <c r="H5028" s="18" t="str">
        <f aca="false">'SALES Raw'!A2427</f>
        <v>114 - IL online</v>
      </c>
    </row>
    <row r="5029" customFormat="false" ht="15" hidden="false" customHeight="false" outlineLevel="0" collapsed="false">
      <c r="A5029" s="18" t="str">
        <f aca="false">'SALES Raw'!G2430</f>
        <v/>
      </c>
      <c r="B5029" s="18" t="str">
        <f aca="false">'SALES Raw'!B2430</f>
        <v>48 XS</v>
      </c>
      <c r="C5029" s="18" t="str">
        <f aca="false">'SALES Raw'!H2430</f>
        <v>48 XS</v>
      </c>
      <c r="D5029" s="19" t="n">
        <f aca="false">'SALES Raw'!C2430</f>
        <v>1</v>
      </c>
      <c r="E5029" s="19" t="n">
        <f aca="false">'SALES Raw'!D2430</f>
        <v>87.09</v>
      </c>
      <c r="F5029" s="19" t="n">
        <f aca="false">'SALES Raw'!E2430*$H$4</f>
        <v>0</v>
      </c>
      <c r="G5029" s="19" t="n">
        <f aca="false">'SALES Raw'!F2430*$H$4</f>
        <v>0</v>
      </c>
      <c r="H5029" s="18" t="str">
        <f aca="false">'SALES Raw'!A2430</f>
        <v>114 - IL online</v>
      </c>
    </row>
    <row r="5030" customFormat="false" ht="15" hidden="false" customHeight="false" outlineLevel="0" collapsed="false">
      <c r="A5030" s="18" t="str">
        <f aca="false">'SALES Raw'!G2439</f>
        <v/>
      </c>
      <c r="B5030" s="18" t="str">
        <f aca="false">'SALES Raw'!B2439</f>
        <v>49PS XL</v>
      </c>
      <c r="C5030" s="18" t="str">
        <f aca="false">'SALES Raw'!H2439</f>
        <v>49PS XL</v>
      </c>
      <c r="D5030" s="19" t="n">
        <f aca="false">'SALES Raw'!C2439</f>
        <v>1</v>
      </c>
      <c r="E5030" s="19" t="n">
        <f aca="false">'SALES Raw'!D2439</f>
        <v>241.44</v>
      </c>
      <c r="F5030" s="19" t="n">
        <f aca="false">'SALES Raw'!E2439*$H$4</f>
        <v>0</v>
      </c>
      <c r="G5030" s="19" t="n">
        <f aca="false">'SALES Raw'!F2439*$H$4</f>
        <v>0</v>
      </c>
      <c r="H5030" s="18" t="str">
        <f aca="false">'SALES Raw'!A2439</f>
        <v>114 - IL online</v>
      </c>
    </row>
    <row r="5031" customFormat="false" ht="15" hidden="false" customHeight="false" outlineLevel="0" collapsed="false">
      <c r="A5031" s="18" t="n">
        <f aca="false">'SALES Raw'!G2453</f>
        <v>4408070</v>
      </c>
      <c r="B5031" s="18" t="str">
        <f aca="false">'SALES Raw'!B2453</f>
        <v>59D S</v>
      </c>
      <c r="C5031" s="18" t="str">
        <f aca="false">'SALES Raw'!H2453</f>
        <v>59D S חגורת שבר דו צדדי</v>
      </c>
      <c r="D5031" s="19" t="n">
        <f aca="false">'SALES Raw'!C2453</f>
        <v>1</v>
      </c>
      <c r="E5031" s="19" t="n">
        <f aca="false">'SALES Raw'!D2453</f>
        <v>567.71</v>
      </c>
      <c r="F5031" s="19" t="n">
        <f aca="false">'SALES Raw'!E2453*$H$4</f>
        <v>0</v>
      </c>
      <c r="G5031" s="19" t="n">
        <f aca="false">'SALES Raw'!F2453*$H$4</f>
        <v>0</v>
      </c>
      <c r="H5031" s="18" t="str">
        <f aca="false">'SALES Raw'!A2453</f>
        <v>114 - IL online</v>
      </c>
    </row>
    <row r="5032" customFormat="false" ht="15" hidden="false" customHeight="false" outlineLevel="0" collapsed="false">
      <c r="A5032" s="18" t="str">
        <f aca="false">'SALES Raw'!G2466</f>
        <v/>
      </c>
      <c r="B5032" s="18" t="str">
        <f aca="false">'SALES Raw'!B2466</f>
        <v>59DB XL</v>
      </c>
      <c r="C5032" s="18" t="str">
        <f aca="false">'SALES Raw'!H2466</f>
        <v>59DB XL</v>
      </c>
      <c r="D5032" s="19" t="n">
        <f aca="false">'SALES Raw'!C2466</f>
        <v>1</v>
      </c>
      <c r="E5032" s="19" t="n">
        <f aca="false">'SALES Raw'!D2466</f>
        <v>482.55</v>
      </c>
      <c r="F5032" s="19" t="n">
        <f aca="false">'SALES Raw'!E2466*$H$4</f>
        <v>0</v>
      </c>
      <c r="G5032" s="19" t="n">
        <f aca="false">'SALES Raw'!F2466*$H$4</f>
        <v>0</v>
      </c>
      <c r="H5032" s="18" t="str">
        <f aca="false">'SALES Raw'!A2466</f>
        <v>114 - IL online</v>
      </c>
    </row>
    <row r="5033" customFormat="false" ht="15" hidden="false" customHeight="false" outlineLevel="0" collapsed="false">
      <c r="A5033" s="18" t="str">
        <f aca="false">'SALES Raw'!G2477</f>
        <v/>
      </c>
      <c r="B5033" s="18" t="str">
        <f aca="false">'SALES Raw'!B2477</f>
        <v>60 XS</v>
      </c>
      <c r="C5033" s="18" t="str">
        <f aca="false">'SALES Raw'!H2477</f>
        <v>60 XS</v>
      </c>
      <c r="D5033" s="19" t="n">
        <f aca="false">'SALES Raw'!C2477</f>
        <v>5</v>
      </c>
      <c r="E5033" s="19" t="n">
        <f aca="false">'SALES Raw'!D2477</f>
        <v>394.9</v>
      </c>
      <c r="F5033" s="19" t="n">
        <f aca="false">'SALES Raw'!E2477*$H$4</f>
        <v>0</v>
      </c>
      <c r="G5033" s="19" t="n">
        <f aca="false">'SALES Raw'!F2477*$H$4</f>
        <v>0</v>
      </c>
      <c r="H5033" s="18" t="str">
        <f aca="false">'SALES Raw'!A2477</f>
        <v>114 - IL online</v>
      </c>
    </row>
    <row r="5034" customFormat="false" ht="15" hidden="false" customHeight="false" outlineLevel="0" collapsed="false">
      <c r="A5034" s="18" t="n">
        <f aca="false">'SALES Raw'!G2493</f>
        <v>4413165</v>
      </c>
      <c r="B5034" s="18" t="str">
        <f aca="false">'SALES Raw'!B2493</f>
        <v>74-L-XL</v>
      </c>
      <c r="C5034" s="18" t="str">
        <f aca="false">'SALES Raw'!H2493</f>
        <v>74 L-XL מיצב כתפיים</v>
      </c>
      <c r="D5034" s="19" t="n">
        <f aca="false">'SALES Raw'!C2493</f>
        <v>3</v>
      </c>
      <c r="E5034" s="19" t="n">
        <f aca="false">'SALES Raw'!D2493</f>
        <v>1045.51</v>
      </c>
      <c r="F5034" s="19" t="n">
        <f aca="false">'SALES Raw'!E2493*$H$4</f>
        <v>0</v>
      </c>
      <c r="G5034" s="19" t="n">
        <f aca="false">'SALES Raw'!F2493*$H$4</f>
        <v>0</v>
      </c>
      <c r="H5034" s="18" t="str">
        <f aca="false">'SALES Raw'!A2493</f>
        <v>114 - IL online</v>
      </c>
    </row>
    <row r="5035" customFormat="false" ht="15" hidden="false" customHeight="false" outlineLevel="0" collapsed="false">
      <c r="A5035" s="18" t="str">
        <f aca="false">'SALES Raw'!G2507</f>
        <v/>
      </c>
      <c r="B5035" s="18" t="str">
        <f aca="false">'SALES Raw'!B2507</f>
        <v>776 L</v>
      </c>
      <c r="C5035" s="18" t="str">
        <f aca="false">'SALES Raw'!H2507</f>
        <v>776 L</v>
      </c>
      <c r="D5035" s="19" t="n">
        <f aca="false">'SALES Raw'!C2507</f>
        <v>5</v>
      </c>
      <c r="E5035" s="19" t="n">
        <f aca="false">'SALES Raw'!D2507</f>
        <v>3676.5</v>
      </c>
      <c r="F5035" s="19" t="n">
        <f aca="false">'SALES Raw'!E2507*$H$4</f>
        <v>0</v>
      </c>
      <c r="G5035" s="19" t="n">
        <f aca="false">'SALES Raw'!F2507*$H$4</f>
        <v>0</v>
      </c>
      <c r="H5035" s="18" t="str">
        <f aca="false">'SALES Raw'!A2507</f>
        <v>114 - IL online</v>
      </c>
    </row>
    <row r="5036" customFormat="false" ht="15" hidden="false" customHeight="false" outlineLevel="0" collapsed="false">
      <c r="A5036" s="18" t="str">
        <f aca="false">'SALES Raw'!G2508</f>
        <v/>
      </c>
      <c r="B5036" s="18" t="str">
        <f aca="false">'SALES Raw'!B2508</f>
        <v>776 M</v>
      </c>
      <c r="C5036" s="18" t="str">
        <f aca="false">'SALES Raw'!H2508</f>
        <v>776 M</v>
      </c>
      <c r="D5036" s="19" t="n">
        <f aca="false">'SALES Raw'!C2508</f>
        <v>2</v>
      </c>
      <c r="E5036" s="19" t="n">
        <f aca="false">'SALES Raw'!D2508</f>
        <v>1581.75</v>
      </c>
      <c r="F5036" s="19" t="n">
        <f aca="false">'SALES Raw'!E2508*$H$4</f>
        <v>0</v>
      </c>
      <c r="G5036" s="19" t="n">
        <f aca="false">'SALES Raw'!F2508*$H$4</f>
        <v>0</v>
      </c>
      <c r="H5036" s="18" t="str">
        <f aca="false">'SALES Raw'!A2508</f>
        <v>114 - IL online</v>
      </c>
    </row>
    <row r="5037" customFormat="false" ht="15" hidden="false" customHeight="false" outlineLevel="0" collapsed="false">
      <c r="A5037" s="18" t="str">
        <f aca="false">'SALES Raw'!G2509</f>
        <v/>
      </c>
      <c r="B5037" s="18" t="str">
        <f aca="false">'SALES Raw'!B2509</f>
        <v>776 S</v>
      </c>
      <c r="C5037" s="18" t="str">
        <f aca="false">'SALES Raw'!H2509</f>
        <v>776 S</v>
      </c>
      <c r="D5037" s="19" t="n">
        <f aca="false">'SALES Raw'!C2509</f>
        <v>3</v>
      </c>
      <c r="E5037" s="19" t="n">
        <f aca="false">'SALES Raw'!D2509</f>
        <v>2265.75</v>
      </c>
      <c r="F5037" s="19" t="n">
        <f aca="false">'SALES Raw'!E2509*$H$4</f>
        <v>0</v>
      </c>
      <c r="G5037" s="19" t="n">
        <f aca="false">'SALES Raw'!F2509*$H$4</f>
        <v>0</v>
      </c>
      <c r="H5037" s="18" t="str">
        <f aca="false">'SALES Raw'!A2509</f>
        <v>114 - IL online</v>
      </c>
    </row>
    <row r="5038" customFormat="false" ht="15" hidden="false" customHeight="false" outlineLevel="0" collapsed="false">
      <c r="A5038" s="18" t="str">
        <f aca="false">'SALES Raw'!G2510</f>
        <v/>
      </c>
      <c r="B5038" s="18" t="str">
        <f aca="false">'SALES Raw'!B2510</f>
        <v>776 XL</v>
      </c>
      <c r="C5038" s="18" t="str">
        <f aca="false">'SALES Raw'!H2510</f>
        <v>776 XL</v>
      </c>
      <c r="D5038" s="19" t="n">
        <f aca="false">'SALES Raw'!C2510</f>
        <v>3</v>
      </c>
      <c r="E5038" s="19" t="n">
        <f aca="false">'SALES Raw'!D2510</f>
        <v>2308.5</v>
      </c>
      <c r="F5038" s="19" t="n">
        <f aca="false">'SALES Raw'!E2510*$H$4</f>
        <v>0</v>
      </c>
      <c r="G5038" s="19" t="n">
        <f aca="false">'SALES Raw'!F2510*$H$4</f>
        <v>0</v>
      </c>
      <c r="H5038" s="18" t="str">
        <f aca="false">'SALES Raw'!A2510</f>
        <v>114 - IL online</v>
      </c>
    </row>
    <row r="5039" customFormat="false" ht="15" hidden="false" customHeight="false" outlineLevel="0" collapsed="false">
      <c r="A5039" s="18" t="str">
        <f aca="false">'SALES Raw'!G2533</f>
        <v/>
      </c>
      <c r="B5039" s="18" t="str">
        <f aca="false">'SALES Raw'!B2533</f>
        <v>808KTP-B</v>
      </c>
      <c r="C5039" s="18" t="str">
        <f aca="false">'SALES Raw'!H2533</f>
        <v>808KTP-B</v>
      </c>
      <c r="D5039" s="19" t="n">
        <f aca="false">'SALES Raw'!C2533</f>
        <v>1</v>
      </c>
      <c r="E5039" s="19" t="n">
        <f aca="false">'SALES Raw'!D2533</f>
        <v>85.51</v>
      </c>
      <c r="F5039" s="19" t="n">
        <f aca="false">'SALES Raw'!E2533*$H$4</f>
        <v>0</v>
      </c>
      <c r="G5039" s="19" t="n">
        <f aca="false">'SALES Raw'!F2533*$H$4</f>
        <v>0</v>
      </c>
      <c r="H5039" s="18" t="str">
        <f aca="false">'SALES Raw'!A2533</f>
        <v>114 - IL online</v>
      </c>
    </row>
    <row r="5040" customFormat="false" ht="15" hidden="false" customHeight="false" outlineLevel="0" collapsed="false">
      <c r="A5040" s="18" t="str">
        <f aca="false">'SALES Raw'!G2535</f>
        <v/>
      </c>
      <c r="B5040" s="18" t="str">
        <f aca="false">'SALES Raw'!B2535</f>
        <v>808KTP-C</v>
      </c>
      <c r="C5040" s="18" t="str">
        <f aca="false">'SALES Raw'!H2535</f>
        <v>808KTP-C</v>
      </c>
      <c r="D5040" s="19" t="n">
        <f aca="false">'SALES Raw'!C2535</f>
        <v>2</v>
      </c>
      <c r="E5040" s="19" t="n">
        <f aca="false">'SALES Raw'!D2535</f>
        <v>141.09</v>
      </c>
      <c r="F5040" s="19" t="n">
        <f aca="false">'SALES Raw'!E2535*$H$4</f>
        <v>0</v>
      </c>
      <c r="G5040" s="19" t="n">
        <f aca="false">'SALES Raw'!F2535*$H$4</f>
        <v>0</v>
      </c>
      <c r="H5040" s="18" t="str">
        <f aca="false">'SALES Raw'!A2535</f>
        <v>114 - IL online</v>
      </c>
    </row>
    <row r="5041" customFormat="false" ht="15" hidden="false" customHeight="false" outlineLevel="0" collapsed="false">
      <c r="A5041" s="18" t="str">
        <f aca="false">'SALES Raw'!G2553</f>
        <v/>
      </c>
      <c r="B5041" s="18" t="str">
        <f aca="false">'SALES Raw'!B2553</f>
        <v>86U XL</v>
      </c>
      <c r="C5041" s="18" t="str">
        <f aca="false">'SALES Raw'!H2553</f>
        <v>86U XL</v>
      </c>
      <c r="D5041" s="19" t="n">
        <f aca="false">'SALES Raw'!C2553</f>
        <v>1</v>
      </c>
      <c r="E5041" s="19" t="n">
        <f aca="false">'SALES Raw'!D2553</f>
        <v>211.78</v>
      </c>
      <c r="F5041" s="19" t="n">
        <f aca="false">'SALES Raw'!E2553*$H$4</f>
        <v>0</v>
      </c>
      <c r="G5041" s="19" t="n">
        <f aca="false">'SALES Raw'!F2553*$H$4</f>
        <v>0</v>
      </c>
      <c r="H5041" s="18" t="str">
        <f aca="false">'SALES Raw'!A2553</f>
        <v>114 - IL online</v>
      </c>
    </row>
    <row r="5042" customFormat="false" ht="15" hidden="false" customHeight="false" outlineLevel="0" collapsed="false">
      <c r="A5042" s="18" t="str">
        <f aca="false">'SALES Raw'!G2554</f>
        <v/>
      </c>
      <c r="B5042" s="18" t="str">
        <f aca="false">'SALES Raw'!B2554</f>
        <v>86U XXL</v>
      </c>
      <c r="C5042" s="18" t="str">
        <f aca="false">'SALES Raw'!H2554</f>
        <v>86U XXL</v>
      </c>
      <c r="D5042" s="19" t="n">
        <f aca="false">'SALES Raw'!C2554</f>
        <v>2</v>
      </c>
      <c r="E5042" s="19" t="n">
        <f aca="false">'SALES Raw'!D2554</f>
        <v>334.11</v>
      </c>
      <c r="F5042" s="19" t="n">
        <f aca="false">'SALES Raw'!E2554*$H$4</f>
        <v>0</v>
      </c>
      <c r="G5042" s="19" t="n">
        <f aca="false">'SALES Raw'!F2554*$H$4</f>
        <v>0</v>
      </c>
      <c r="H5042" s="18" t="str">
        <f aca="false">'SALES Raw'!A2554</f>
        <v>114 - IL online</v>
      </c>
    </row>
    <row r="5043" customFormat="false" ht="15" hidden="false" customHeight="false" outlineLevel="0" collapsed="false">
      <c r="A5043" s="18" t="str">
        <f aca="false">'SALES Raw'!G2560</f>
        <v/>
      </c>
      <c r="B5043" s="18" t="str">
        <f aca="false">'SALES Raw'!B2560</f>
        <v>88L XXL</v>
      </c>
      <c r="C5043" s="18" t="str">
        <f aca="false">'SALES Raw'!H2560</f>
        <v>88L XXL</v>
      </c>
      <c r="D5043" s="19" t="n">
        <f aca="false">'SALES Raw'!C2560</f>
        <v>1</v>
      </c>
      <c r="E5043" s="19" t="n">
        <f aca="false">'SALES Raw'!D2560</f>
        <v>468.15</v>
      </c>
      <c r="F5043" s="19" t="n">
        <f aca="false">'SALES Raw'!E2560*$H$4</f>
        <v>0</v>
      </c>
      <c r="G5043" s="19" t="n">
        <f aca="false">'SALES Raw'!F2560*$H$4</f>
        <v>0</v>
      </c>
      <c r="H5043" s="18" t="str">
        <f aca="false">'SALES Raw'!A2560</f>
        <v>114 - IL online</v>
      </c>
    </row>
    <row r="5044" customFormat="false" ht="15" hidden="false" customHeight="false" outlineLevel="0" collapsed="false">
      <c r="A5044" s="18" t="str">
        <f aca="false">'SALES Raw'!G2562</f>
        <v/>
      </c>
      <c r="B5044" s="18" t="str">
        <f aca="false">'SALES Raw'!B2562</f>
        <v>88L- S-M</v>
      </c>
      <c r="C5044" s="18" t="str">
        <f aca="false">'SALES Raw'!H2562</f>
        <v>88L- S-M</v>
      </c>
      <c r="D5044" s="19" t="n">
        <f aca="false">'SALES Raw'!C2562</f>
        <v>1</v>
      </c>
      <c r="E5044" s="19" t="n">
        <f aca="false">'SALES Raw'!D2562</f>
        <v>550.76</v>
      </c>
      <c r="F5044" s="19" t="n">
        <f aca="false">'SALES Raw'!E2562*$H$4</f>
        <v>0</v>
      </c>
      <c r="G5044" s="19" t="n">
        <f aca="false">'SALES Raw'!F2562*$H$4</f>
        <v>0</v>
      </c>
      <c r="H5044" s="18" t="str">
        <f aca="false">'SALES Raw'!A2562</f>
        <v>114 - IL online</v>
      </c>
    </row>
    <row r="5045" customFormat="false" ht="15" hidden="false" customHeight="false" outlineLevel="0" collapsed="false">
      <c r="A5045" s="18" t="str">
        <f aca="false">'SALES Raw'!G2563</f>
        <v/>
      </c>
      <c r="B5045" s="18" t="str">
        <f aca="false">'SALES Raw'!B2563</f>
        <v>88R XXL</v>
      </c>
      <c r="C5045" s="18" t="str">
        <f aca="false">'SALES Raw'!H2563</f>
        <v>88R XXL</v>
      </c>
      <c r="D5045" s="19" t="n">
        <f aca="false">'SALES Raw'!C2563</f>
        <v>1</v>
      </c>
      <c r="E5045" s="19" t="n">
        <f aca="false">'SALES Raw'!D2563</f>
        <v>550.76</v>
      </c>
      <c r="F5045" s="19" t="n">
        <f aca="false">'SALES Raw'!E2563*$H$4</f>
        <v>0</v>
      </c>
      <c r="G5045" s="19" t="n">
        <f aca="false">'SALES Raw'!F2563*$H$4</f>
        <v>0</v>
      </c>
      <c r="H5045" s="18" t="str">
        <f aca="false">'SALES Raw'!A2563</f>
        <v>114 - IL online</v>
      </c>
    </row>
    <row r="5046" customFormat="false" ht="15" hidden="false" customHeight="false" outlineLevel="0" collapsed="false">
      <c r="A5046" s="18" t="n">
        <f aca="false">'SALES Raw'!G2576</f>
        <v>4413143</v>
      </c>
      <c r="B5046" s="18" t="str">
        <f aca="false">'SALES Raw'!B2576</f>
        <v>95 XS</v>
      </c>
      <c r="C5046" s="18" t="str">
        <f aca="false">'SALES Raw'!H2576</f>
        <v>95 XS מגן מרפק רגיל לבן</v>
      </c>
      <c r="D5046" s="19" t="n">
        <f aca="false">'SALES Raw'!C2576</f>
        <v>1</v>
      </c>
      <c r="E5046" s="19" t="n">
        <f aca="false">'SALES Raw'!D2576</f>
        <v>55.85</v>
      </c>
      <c r="F5046" s="19" t="n">
        <f aca="false">'SALES Raw'!E2576*$H$4</f>
        <v>0</v>
      </c>
      <c r="G5046" s="19" t="n">
        <f aca="false">'SALES Raw'!F2576*$H$4</f>
        <v>0</v>
      </c>
      <c r="H5046" s="18" t="str">
        <f aca="false">'SALES Raw'!A2576</f>
        <v>114 - IL online</v>
      </c>
    </row>
    <row r="5047" customFormat="false" ht="15" hidden="false" customHeight="false" outlineLevel="0" collapsed="false">
      <c r="A5047" s="18" t="str">
        <f aca="false">'SALES Raw'!G2683</f>
        <v/>
      </c>
      <c r="B5047" s="18" t="str">
        <f aca="false">'SALES Raw'!B2683</f>
        <v>KST27R 0</v>
      </c>
      <c r="C5047" s="18" t="str">
        <f aca="false">'SALES Raw'!H2683</f>
        <v>KST27R 0</v>
      </c>
      <c r="D5047" s="19" t="n">
        <f aca="false">'SALES Raw'!C2683</f>
        <v>2</v>
      </c>
      <c r="E5047" s="19" t="n">
        <f aca="false">'SALES Raw'!D2683</f>
        <v>153.02</v>
      </c>
      <c r="F5047" s="19" t="n">
        <f aca="false">'SALES Raw'!E2683*$H$4</f>
        <v>0</v>
      </c>
      <c r="G5047" s="19" t="n">
        <f aca="false">'SALES Raw'!F2683*$H$4</f>
        <v>0</v>
      </c>
      <c r="H5047" s="18" t="str">
        <f aca="false">'SALES Raw'!A2683</f>
        <v>114 - IL online</v>
      </c>
    </row>
    <row r="5048" customFormat="false" ht="15" hidden="false" customHeight="false" outlineLevel="0" collapsed="false">
      <c r="A5048" s="18" t="n">
        <f aca="false">'SALES Raw'!G2691</f>
        <v>4413533</v>
      </c>
      <c r="B5048" s="18" t="str">
        <f aca="false">'SALES Raw'!B2691</f>
        <v>ST49 0</v>
      </c>
      <c r="C5048" s="18" t="str">
        <f aca="false">'SALES Raw'!H2691</f>
        <v>ST49 מגן ירך</v>
      </c>
      <c r="D5048" s="19" t="n">
        <f aca="false">'SALES Raw'!C2691</f>
        <v>1</v>
      </c>
      <c r="E5048" s="19" t="n">
        <f aca="false">'SALES Raw'!D2691</f>
        <v>68.56</v>
      </c>
      <c r="F5048" s="19" t="n">
        <f aca="false">'SALES Raw'!E2691*$H$4</f>
        <v>0</v>
      </c>
      <c r="G5048" s="19" t="n">
        <f aca="false">'SALES Raw'!F2691*$H$4</f>
        <v>0</v>
      </c>
      <c r="H5048" s="18" t="str">
        <f aca="false">'SALES Raw'!A2691</f>
        <v>114 - IL online</v>
      </c>
    </row>
    <row r="5049" customFormat="false" ht="15" hidden="false" customHeight="false" outlineLevel="0" collapsed="false">
      <c r="A5049" s="18" t="n">
        <f aca="false">'SALES Raw'!G2697</f>
        <v>4408091</v>
      </c>
      <c r="B5049" s="18" t="str">
        <f aca="false">'SALES Raw'!B2697</f>
        <v>T11C M</v>
      </c>
      <c r="C5049" s="18" t="str">
        <f aca="false">'SALES Raw'!H2697</f>
        <v>T11C M  חגורת גב פוג'יאמה</v>
      </c>
      <c r="D5049" s="19" t="n">
        <f aca="false">'SALES Raw'!C2697</f>
        <v>4</v>
      </c>
      <c r="E5049" s="19" t="n">
        <f aca="false">'SALES Raw'!D2697</f>
        <v>633.06</v>
      </c>
      <c r="F5049" s="19" t="n">
        <f aca="false">'SALES Raw'!E2697*$H$4</f>
        <v>0</v>
      </c>
      <c r="G5049" s="19" t="n">
        <f aca="false">'SALES Raw'!F2697*$H$4</f>
        <v>0</v>
      </c>
      <c r="H5049" s="18" t="str">
        <f aca="false">'SALES Raw'!A2697</f>
        <v>114 - IL online</v>
      </c>
    </row>
    <row r="5050" customFormat="false" ht="15" hidden="false" customHeight="false" outlineLevel="0" collapsed="false">
      <c r="A5050" s="18" t="n">
        <f aca="false">'SALES Raw'!G2701</f>
        <v>4408094</v>
      </c>
      <c r="B5050" s="18" t="str">
        <f aca="false">'SALES Raw'!B2701</f>
        <v>T20-S-M</v>
      </c>
      <c r="C5050" s="18" t="str">
        <f aca="false">'SALES Raw'!H2701</f>
        <v>T20 S-M חבק יד עם צמדן</v>
      </c>
      <c r="D5050" s="19" t="n">
        <f aca="false">'SALES Raw'!C2701</f>
        <v>8</v>
      </c>
      <c r="E5050" s="19" t="n">
        <f aca="false">'SALES Raw'!D2701</f>
        <v>482.4</v>
      </c>
      <c r="F5050" s="19" t="n">
        <f aca="false">'SALES Raw'!E2701*$H$4</f>
        <v>0</v>
      </c>
      <c r="G5050" s="19" t="n">
        <f aca="false">'SALES Raw'!F2701*$H$4</f>
        <v>0</v>
      </c>
      <c r="H5050" s="18" t="str">
        <f aca="false">'SALES Raw'!A2701</f>
        <v>114 - IL online</v>
      </c>
    </row>
    <row r="5051" customFormat="false" ht="15" hidden="false" customHeight="false" outlineLevel="0" collapsed="false">
      <c r="A5051" s="18" t="str">
        <f aca="false">'SALES Raw'!G2702</f>
        <v/>
      </c>
      <c r="B5051" s="18" t="str">
        <f aca="false">'SALES Raw'!B2702</f>
        <v>T20C XS</v>
      </c>
      <c r="C5051" s="18" t="str">
        <f aca="false">'SALES Raw'!H2702</f>
        <v>T20C XS</v>
      </c>
      <c r="D5051" s="19" t="n">
        <f aca="false">'SALES Raw'!C2702</f>
        <v>1</v>
      </c>
      <c r="E5051" s="19" t="n">
        <f aca="false">'SALES Raw'!D2702</f>
        <v>51.46</v>
      </c>
      <c r="F5051" s="19" t="n">
        <f aca="false">'SALES Raw'!E2702*$H$4</f>
        <v>0</v>
      </c>
      <c r="G5051" s="19" t="n">
        <f aca="false">'SALES Raw'!F2702*$H$4</f>
        <v>0</v>
      </c>
      <c r="H5051" s="18" t="str">
        <f aca="false">'SALES Raw'!A2702</f>
        <v>114 - IL online</v>
      </c>
    </row>
    <row r="5052" customFormat="false" ht="15" hidden="false" customHeight="false" outlineLevel="0" collapsed="false">
      <c r="A5052" s="18" t="str">
        <f aca="false">'SALES Raw'!G2709</f>
        <v/>
      </c>
      <c r="B5052" s="18" t="str">
        <f aca="false">'SALES Raw'!B2709</f>
        <v>T28A XXL</v>
      </c>
      <c r="C5052" s="18" t="str">
        <f aca="false">'SALES Raw'!H2709</f>
        <v>T28A XXL</v>
      </c>
      <c r="D5052" s="19" t="n">
        <f aca="false">'SALES Raw'!C2709</f>
        <v>1</v>
      </c>
      <c r="E5052" s="19" t="n">
        <f aca="false">'SALES Raw'!D2709</f>
        <v>127.03</v>
      </c>
      <c r="F5052" s="19" t="n">
        <f aca="false">'SALES Raw'!E2709*$H$4</f>
        <v>0</v>
      </c>
      <c r="G5052" s="19" t="n">
        <f aca="false">'SALES Raw'!F2709*$H$4</f>
        <v>0</v>
      </c>
      <c r="H5052" s="18" t="str">
        <f aca="false">'SALES Raw'!A2709</f>
        <v>114 - IL online</v>
      </c>
    </row>
    <row r="5053" customFormat="false" ht="15" hidden="false" customHeight="false" outlineLevel="0" collapsed="false">
      <c r="A5053" s="18" t="str">
        <f aca="false">'SALES Raw'!G2712</f>
        <v/>
      </c>
      <c r="B5053" s="18" t="str">
        <f aca="false">'SALES Raw'!B2712</f>
        <v>T28AC XS</v>
      </c>
      <c r="C5053" s="18" t="str">
        <f aca="false">'SALES Raw'!H2712</f>
        <v>T28AC XS</v>
      </c>
      <c r="D5053" s="19" t="n">
        <f aca="false">'SALES Raw'!C2712</f>
        <v>3</v>
      </c>
      <c r="E5053" s="19" t="n">
        <f aca="false">'SALES Raw'!D2712</f>
        <v>336.63</v>
      </c>
      <c r="F5053" s="19" t="n">
        <f aca="false">'SALES Raw'!E2712*$H$4</f>
        <v>0</v>
      </c>
      <c r="G5053" s="19" t="n">
        <f aca="false">'SALES Raw'!F2712*$H$4</f>
        <v>0</v>
      </c>
      <c r="H5053" s="18" t="str">
        <f aca="false">'SALES Raw'!A2712</f>
        <v>114 - IL online</v>
      </c>
    </row>
    <row r="5054" customFormat="false" ht="15" hidden="false" customHeight="false" outlineLevel="0" collapsed="false">
      <c r="A5054" s="18" t="str">
        <f aca="false">'SALES Raw'!G2722</f>
        <v/>
      </c>
      <c r="B5054" s="18" t="str">
        <f aca="false">'SALES Raw'!B2722</f>
        <v>T35 M</v>
      </c>
      <c r="C5054" s="18" t="str">
        <f aca="false">'SALES Raw'!H2722</f>
        <v>T35 M</v>
      </c>
      <c r="D5054" s="19" t="n">
        <f aca="false">'SALES Raw'!C2722</f>
        <v>5</v>
      </c>
      <c r="E5054" s="19" t="n">
        <f aca="false">'SALES Raw'!D2722</f>
        <v>577.2</v>
      </c>
      <c r="F5054" s="19" t="n">
        <f aca="false">'SALES Raw'!E2722*$H$4</f>
        <v>0</v>
      </c>
      <c r="G5054" s="19" t="n">
        <f aca="false">'SALES Raw'!F2722*$H$4</f>
        <v>0</v>
      </c>
      <c r="H5054" s="18" t="str">
        <f aca="false">'SALES Raw'!A2722</f>
        <v>114 - IL online</v>
      </c>
    </row>
    <row r="5055" customFormat="false" ht="15" hidden="false" customHeight="false" outlineLevel="0" collapsed="false">
      <c r="A5055" s="18" t="str">
        <f aca="false">'SALES Raw'!G2733</f>
        <v/>
      </c>
      <c r="B5055" s="18" t="str">
        <f aca="false">'SALES Raw'!B2733</f>
        <v>T402 S</v>
      </c>
      <c r="C5055" s="18" t="str">
        <f aca="false">'SALES Raw'!H2733</f>
        <v>T402 S</v>
      </c>
      <c r="D5055" s="19" t="n">
        <f aca="false">'SALES Raw'!C2733</f>
        <v>1</v>
      </c>
      <c r="E5055" s="19" t="n">
        <f aca="false">'SALES Raw'!D2733</f>
        <v>153.99</v>
      </c>
      <c r="F5055" s="19" t="n">
        <f aca="false">'SALES Raw'!E2733*$H$4</f>
        <v>0</v>
      </c>
      <c r="G5055" s="19" t="n">
        <f aca="false">'SALES Raw'!F2733*$H$4</f>
        <v>0</v>
      </c>
      <c r="H5055" s="18" t="str">
        <f aca="false">'SALES Raw'!A2733</f>
        <v>114 - IL online</v>
      </c>
    </row>
    <row r="5056" customFormat="false" ht="15" hidden="false" customHeight="false" outlineLevel="0" collapsed="false">
      <c r="A5056" s="18" t="str">
        <f aca="false">'SALES Raw'!G2739</f>
        <v/>
      </c>
      <c r="B5056" s="18" t="str">
        <f aca="false">'SALES Raw'!B2739</f>
        <v>T42 XL</v>
      </c>
      <c r="C5056" s="18" t="str">
        <f aca="false">'SALES Raw'!H2739</f>
        <v>T42 XL</v>
      </c>
      <c r="D5056" s="19" t="n">
        <f aca="false">'SALES Raw'!C2739</f>
        <v>1</v>
      </c>
      <c r="E5056" s="19" t="n">
        <f aca="false">'SALES Raw'!D2739</f>
        <v>296.53</v>
      </c>
      <c r="F5056" s="19" t="n">
        <f aca="false">'SALES Raw'!E2739*$H$4</f>
        <v>0</v>
      </c>
      <c r="G5056" s="19" t="n">
        <f aca="false">'SALES Raw'!F2739*$H$4</f>
        <v>0</v>
      </c>
      <c r="H5056" s="18" t="str">
        <f aca="false">'SALES Raw'!A2739</f>
        <v>114 - IL online</v>
      </c>
    </row>
    <row r="5057" customFormat="false" ht="15" hidden="false" customHeight="false" outlineLevel="0" collapsed="false">
      <c r="A5057" s="18" t="str">
        <f aca="false">'SALES Raw'!G2742</f>
        <v/>
      </c>
      <c r="B5057" s="18" t="str">
        <f aca="false">'SALES Raw'!B2742</f>
        <v>T43 XXL</v>
      </c>
      <c r="C5057" s="18" t="str">
        <f aca="false">'SALES Raw'!H2742</f>
        <v>T43 XXL</v>
      </c>
      <c r="D5057" s="19" t="n">
        <f aca="false">'SALES Raw'!C2742</f>
        <v>1</v>
      </c>
      <c r="E5057" s="19" t="n">
        <f aca="false">'SALES Raw'!D2742</f>
        <v>342.29</v>
      </c>
      <c r="F5057" s="19" t="n">
        <f aca="false">'SALES Raw'!E2742*$H$4</f>
        <v>0</v>
      </c>
      <c r="G5057" s="19" t="n">
        <f aca="false">'SALES Raw'!F2742*$H$4</f>
        <v>0</v>
      </c>
      <c r="H5057" s="18" t="str">
        <f aca="false">'SALES Raw'!A2742</f>
        <v>114 - IL online</v>
      </c>
    </row>
    <row r="5058" customFormat="false" ht="15" hidden="false" customHeight="false" outlineLevel="0" collapsed="false">
      <c r="A5058" s="18" t="str">
        <f aca="false">'SALES Raw'!G2762</f>
        <v/>
      </c>
      <c r="B5058" s="18" t="str">
        <f aca="false">'SALES Raw'!B2762</f>
        <v>T95 L</v>
      </c>
      <c r="C5058" s="18" t="str">
        <f aca="false">'SALES Raw'!H2762</f>
        <v>T95 L</v>
      </c>
      <c r="D5058" s="19" t="n">
        <f aca="false">'SALES Raw'!C2762</f>
        <v>1</v>
      </c>
      <c r="E5058" s="19" t="n">
        <f aca="false">'SALES Raw'!D2762</f>
        <v>85.54</v>
      </c>
      <c r="F5058" s="19" t="n">
        <f aca="false">'SALES Raw'!E2762*$H$4</f>
        <v>0</v>
      </c>
      <c r="G5058" s="19" t="n">
        <f aca="false">'SALES Raw'!F2762*$H$4</f>
        <v>0</v>
      </c>
      <c r="H5058" s="18" t="str">
        <f aca="false">'SALES Raw'!A2762</f>
        <v>114 - IL online</v>
      </c>
    </row>
    <row r="5059" customFormat="false" ht="15" hidden="false" customHeight="false" outlineLevel="0" collapsed="false">
      <c r="A5059" s="18" t="str">
        <f aca="false">'SALES Raw'!G2763</f>
        <v/>
      </c>
      <c r="B5059" s="18" t="str">
        <f aca="false">'SALES Raw'!B2763</f>
        <v>T95 M</v>
      </c>
      <c r="C5059" s="18" t="str">
        <f aca="false">'SALES Raw'!H2763</f>
        <v>T95 M</v>
      </c>
      <c r="D5059" s="19" t="n">
        <f aca="false">'SALES Raw'!C2763</f>
        <v>3</v>
      </c>
      <c r="E5059" s="19" t="n">
        <f aca="false">'SALES Raw'!D2763</f>
        <v>427.74</v>
      </c>
      <c r="F5059" s="19" t="n">
        <f aca="false">'SALES Raw'!E2763*$H$4</f>
        <v>0</v>
      </c>
      <c r="G5059" s="19" t="n">
        <f aca="false">'SALES Raw'!F2763*$H$4</f>
        <v>0</v>
      </c>
      <c r="H5059" s="18" t="str">
        <f aca="false">'SALES Raw'!A2763</f>
        <v>114 - IL online</v>
      </c>
    </row>
    <row r="5060" customFormat="false" ht="15" hidden="false" customHeight="false" outlineLevel="0" collapsed="false">
      <c r="A5060" s="18" t="n">
        <f aca="false">'SALES Raw'!G2764</f>
        <v>4413210</v>
      </c>
      <c r="B5060" s="18" t="str">
        <f aca="false">'SALES Raw'!B2764</f>
        <v>T95 S</v>
      </c>
      <c r="C5060" s="18" t="str">
        <f aca="false">'SALES Raw'!H2764</f>
        <v>T95 S מגן מרפק רגיל</v>
      </c>
      <c r="D5060" s="19" t="n">
        <f aca="false">'SALES Raw'!C2764</f>
        <v>1</v>
      </c>
      <c r="E5060" s="19" t="n">
        <f aca="false">'SALES Raw'!D2764</f>
        <v>145.43</v>
      </c>
      <c r="F5060" s="19" t="n">
        <f aca="false">'SALES Raw'!E2764*$H$4</f>
        <v>0</v>
      </c>
      <c r="G5060" s="19" t="n">
        <f aca="false">'SALES Raw'!F2764*$H$4</f>
        <v>0</v>
      </c>
      <c r="H5060" s="18" t="str">
        <f aca="false">'SALES Raw'!A2764</f>
        <v>114 - IL online</v>
      </c>
    </row>
    <row r="5061" customFormat="false" ht="15" hidden="false" customHeight="false" outlineLevel="0" collapsed="false">
      <c r="A5061" s="18" t="str">
        <f aca="false">'SALES Raw'!G2765</f>
        <v/>
      </c>
      <c r="B5061" s="18" t="str">
        <f aca="false">'SALES Raw'!B2765</f>
        <v>T95 XS</v>
      </c>
      <c r="C5061" s="18" t="str">
        <f aca="false">'SALES Raw'!H2765</f>
        <v>T95 XS</v>
      </c>
      <c r="D5061" s="19" t="n">
        <f aca="false">'SALES Raw'!C2765</f>
        <v>2</v>
      </c>
      <c r="E5061" s="19" t="n">
        <f aca="false">'SALES Raw'!D2765</f>
        <v>342.2</v>
      </c>
      <c r="F5061" s="19" t="n">
        <f aca="false">'SALES Raw'!E2765*$H$4</f>
        <v>0</v>
      </c>
      <c r="G5061" s="19" t="n">
        <f aca="false">'SALES Raw'!F2765*$H$4</f>
        <v>0</v>
      </c>
      <c r="H5061" s="18" t="str">
        <f aca="false">'SALES Raw'!A2765</f>
        <v>114 - IL online</v>
      </c>
    </row>
    <row r="5062" customFormat="false" ht="15" hidden="false" customHeight="false" outlineLevel="0" collapsed="false">
      <c r="A5062" s="18" t="str">
        <f aca="false">'SALES Raw'!G2768</f>
        <v/>
      </c>
      <c r="B5062" s="18" t="str">
        <f aca="false">'SALES Raw'!B2768</f>
        <v>הנחה 200 ש"ח</v>
      </c>
      <c r="C5062" s="18" t="str">
        <f aca="false">'SALES Raw'!H2768</f>
        <v>הנחה 200 ש"ח</v>
      </c>
      <c r="D5062" s="19" t="n">
        <f aca="false">'SALES Raw'!C2768</f>
        <v>0</v>
      </c>
      <c r="E5062" s="19" t="n">
        <f aca="false">'SALES Raw'!D2768</f>
        <v>0</v>
      </c>
      <c r="F5062" s="19" t="n">
        <f aca="false">'SALES Raw'!E2768*$H$4</f>
        <v>0</v>
      </c>
      <c r="G5062" s="19" t="n">
        <f aca="false">'SALES Raw'!F2768*$H$4</f>
        <v>-213.877894736842</v>
      </c>
      <c r="H5062" s="18" t="str">
        <f aca="false">'SALES Raw'!A2768</f>
        <v>114 - IL online</v>
      </c>
    </row>
    <row r="5063" customFormat="false" ht="15" hidden="false" customHeight="false" outlineLevel="0" collapsed="false">
      <c r="A5063" s="18" t="str">
        <f aca="false">'SALES Raw'!G2769</f>
        <v/>
      </c>
      <c r="B5063" s="18" t="str">
        <f aca="false">'SALES Raw'!B2769</f>
        <v>הנחות לקוחות</v>
      </c>
      <c r="C5063" s="18" t="str">
        <f aca="false">'SALES Raw'!H2769</f>
        <v>הנחות לקוחות</v>
      </c>
      <c r="D5063" s="19" t="n">
        <f aca="false">'SALES Raw'!C2769</f>
        <v>2</v>
      </c>
      <c r="E5063" s="19" t="n">
        <f aca="false">'SALES Raw'!D2769</f>
        <v>181.43</v>
      </c>
      <c r="F5063" s="19" t="n">
        <f aca="false">'SALES Raw'!E2769*$H$4</f>
        <v>0</v>
      </c>
      <c r="G5063" s="19" t="n">
        <f aca="false">'SALES Raw'!F2769*$H$4</f>
        <v>0</v>
      </c>
      <c r="H5063" s="18" t="str">
        <f aca="false">'SALES Raw'!A2769</f>
        <v>114 - IL online</v>
      </c>
    </row>
    <row r="5064" customFormat="false" ht="15" hidden="false" customHeight="false" outlineLevel="0" collapsed="false">
      <c r="A5064" s="18" t="n">
        <f aca="false">'SALES Raw'!G2770</f>
        <v>4408245</v>
      </c>
      <c r="B5064" s="18" t="str">
        <f aca="false">'SALES Raw'!B2770</f>
        <v>077A XXL</v>
      </c>
      <c r="C5064" s="18" t="str">
        <f aca="false">'SALES Raw'!H2770</f>
        <v>077A   XXL חגורת גב עם חיזוקים</v>
      </c>
      <c r="D5064" s="19" t="n">
        <f aca="false">'SALES Raw'!C2770</f>
        <v>1</v>
      </c>
      <c r="E5064" s="19" t="n">
        <f aca="false">'SALES Raw'!D2770</f>
        <v>282.12</v>
      </c>
      <c r="F5064" s="19" t="n">
        <f aca="false">'SALES Raw'!E2770*$H$4</f>
        <v>0</v>
      </c>
      <c r="G5064" s="19" t="n">
        <f aca="false">'SALES Raw'!F2770*$H$4</f>
        <v>0</v>
      </c>
      <c r="H5064" s="18" t="str">
        <f aca="false">'SALES Raw'!A2770</f>
        <v>115-SuperPharm Online</v>
      </c>
    </row>
    <row r="5065" customFormat="false" ht="15" hidden="false" customHeight="false" outlineLevel="0" collapsed="false">
      <c r="A5065" s="18" t="n">
        <f aca="false">'SALES Raw'!G2772</f>
        <v>4408192</v>
      </c>
      <c r="B5065" s="18" t="str">
        <f aca="false">'SALES Raw'!B2772</f>
        <v>078 L</v>
      </c>
      <c r="C5065" s="18" t="str">
        <f aca="false">'SALES Raw'!H2772</f>
        <v>078 L חגורת גב +סגירה</v>
      </c>
      <c r="D5065" s="19" t="n">
        <f aca="false">'SALES Raw'!C2772</f>
        <v>6</v>
      </c>
      <c r="E5065" s="19" t="n">
        <f aca="false">'SALES Raw'!D2772</f>
        <v>1209.65</v>
      </c>
      <c r="F5065" s="19" t="n">
        <f aca="false">'SALES Raw'!E2772*$H$4</f>
        <v>0</v>
      </c>
      <c r="G5065" s="19" t="n">
        <f aca="false">'SALES Raw'!F2772*$H$4</f>
        <v>0</v>
      </c>
      <c r="H5065" s="18" t="str">
        <f aca="false">'SALES Raw'!A2772</f>
        <v>115-SuperPharm Online</v>
      </c>
    </row>
    <row r="5066" customFormat="false" ht="15" hidden="false" customHeight="false" outlineLevel="0" collapsed="false">
      <c r="A5066" s="18" t="n">
        <f aca="false">'SALES Raw'!G2773</f>
        <v>4408190</v>
      </c>
      <c r="B5066" s="18" t="str">
        <f aca="false">'SALES Raw'!B2773</f>
        <v>078 M</v>
      </c>
      <c r="C5066" s="18" t="str">
        <f aca="false">'SALES Raw'!H2773</f>
        <v>M078 חגורת גב +סגירה כפולה</v>
      </c>
      <c r="D5066" s="19" t="n">
        <f aca="false">'SALES Raw'!C2773</f>
        <v>2</v>
      </c>
      <c r="E5066" s="19" t="n">
        <f aca="false">'SALES Raw'!D2773</f>
        <v>423.56</v>
      </c>
      <c r="F5066" s="19" t="n">
        <f aca="false">'SALES Raw'!E2773*$H$4</f>
        <v>0</v>
      </c>
      <c r="G5066" s="19" t="n">
        <f aca="false">'SALES Raw'!F2773*$H$4</f>
        <v>0</v>
      </c>
      <c r="H5066" s="18" t="str">
        <f aca="false">'SALES Raw'!A2773</f>
        <v>115-SuperPharm Online</v>
      </c>
    </row>
    <row r="5067" customFormat="false" ht="15" hidden="false" customHeight="false" outlineLevel="0" collapsed="false">
      <c r="A5067" s="18" t="n">
        <f aca="false">'SALES Raw'!G2774</f>
        <v>4408218</v>
      </c>
      <c r="B5067" s="18" t="str">
        <f aca="false">'SALES Raw'!B2774</f>
        <v>078 XL</v>
      </c>
      <c r="C5067" s="18" t="str">
        <f aca="false">'SALES Raw'!H2774</f>
        <v>078XL חגורת גב +סגירה כפולה</v>
      </c>
      <c r="D5067" s="19" t="n">
        <f aca="false">'SALES Raw'!C2774</f>
        <v>2</v>
      </c>
      <c r="E5067" s="19" t="n">
        <f aca="false">'SALES Raw'!D2774</f>
        <v>423.56</v>
      </c>
      <c r="F5067" s="19" t="n">
        <f aca="false">'SALES Raw'!E2774*$H$4</f>
        <v>0</v>
      </c>
      <c r="G5067" s="19" t="n">
        <f aca="false">'SALES Raw'!F2774*$H$4</f>
        <v>0</v>
      </c>
      <c r="H5067" s="18" t="str">
        <f aca="false">'SALES Raw'!A2774</f>
        <v>115-SuperPharm Online</v>
      </c>
    </row>
    <row r="5068" customFormat="false" ht="15" hidden="false" customHeight="false" outlineLevel="0" collapsed="false">
      <c r="A5068" s="18" t="n">
        <f aca="false">'SALES Raw'!G2775</f>
        <v>4408265</v>
      </c>
      <c r="B5068" s="18" t="str">
        <f aca="false">'SALES Raw'!B2775</f>
        <v>078 XXL</v>
      </c>
      <c r="C5068" s="18" t="str">
        <f aca="false">'SALES Raw'!H2775</f>
        <v>078XXL חגורת גב +סגירה כפולה</v>
      </c>
      <c r="D5068" s="19" t="n">
        <f aca="false">'SALES Raw'!C2775</f>
        <v>2</v>
      </c>
      <c r="E5068" s="19" t="n">
        <f aca="false">'SALES Raw'!D2775</f>
        <v>423.56</v>
      </c>
      <c r="F5068" s="19" t="n">
        <f aca="false">'SALES Raw'!E2775*$H$4</f>
        <v>0</v>
      </c>
      <c r="G5068" s="19" t="n">
        <f aca="false">'SALES Raw'!F2775*$H$4</f>
        <v>0</v>
      </c>
      <c r="H5068" s="18" t="str">
        <f aca="false">'SALES Raw'!A2775</f>
        <v>115-SuperPharm Online</v>
      </c>
    </row>
    <row r="5069" customFormat="false" ht="15" hidden="false" customHeight="false" outlineLevel="0" collapsed="false">
      <c r="A5069" s="18" t="str">
        <f aca="false">'SALES Raw'!G2776</f>
        <v/>
      </c>
      <c r="B5069" s="18" t="str">
        <f aca="false">'SALES Raw'!B2776</f>
        <v>267LB XXL</v>
      </c>
      <c r="C5069" s="18" t="str">
        <f aca="false">'SALES Raw'!H2776</f>
        <v>267LB XXL</v>
      </c>
      <c r="D5069" s="19" t="n">
        <f aca="false">'SALES Raw'!C2776</f>
        <v>1</v>
      </c>
      <c r="E5069" s="19" t="n">
        <f aca="false">'SALES Raw'!D2776</f>
        <v>196.53</v>
      </c>
      <c r="F5069" s="19" t="n">
        <f aca="false">'SALES Raw'!E2776*$H$4</f>
        <v>0</v>
      </c>
      <c r="G5069" s="19" t="n">
        <f aca="false">'SALES Raw'!F2776*$H$4</f>
        <v>0</v>
      </c>
      <c r="H5069" s="18" t="str">
        <f aca="false">'SALES Raw'!A2776</f>
        <v>115-SuperPharm Online</v>
      </c>
    </row>
    <row r="5070" customFormat="false" ht="15" hidden="false" customHeight="false" outlineLevel="0" collapsed="false">
      <c r="A5070" s="18" t="str">
        <f aca="false">'SALES Raw'!G2777</f>
        <v/>
      </c>
      <c r="B5070" s="18" t="str">
        <f aca="false">'SALES Raw'!B2777</f>
        <v>267RB-S-M</v>
      </c>
      <c r="C5070" s="18" t="str">
        <f aca="false">'SALES Raw'!H2777</f>
        <v>267RB-S-M</v>
      </c>
      <c r="D5070" s="19" t="n">
        <f aca="false">'SALES Raw'!C2777</f>
        <v>1</v>
      </c>
      <c r="E5070" s="19" t="n">
        <f aca="false">'SALES Raw'!D2777</f>
        <v>196.53</v>
      </c>
      <c r="F5070" s="19" t="n">
        <f aca="false">'SALES Raw'!E2777*$H$4</f>
        <v>0</v>
      </c>
      <c r="G5070" s="19" t="n">
        <f aca="false">'SALES Raw'!F2777*$H$4</f>
        <v>0</v>
      </c>
      <c r="H5070" s="18" t="str">
        <f aca="false">'SALES Raw'!A2777</f>
        <v>115-SuperPharm Online</v>
      </c>
    </row>
    <row r="5071" customFormat="false" ht="15" hidden="false" customHeight="false" outlineLevel="0" collapsed="false">
      <c r="A5071" s="18" t="n">
        <f aca="false">'SALES Raw'!G2778</f>
        <v>4420036</v>
      </c>
      <c r="B5071" s="18" t="str">
        <f aca="false">'SALES Raw'!B2778</f>
        <v>301CM-41-45</v>
      </c>
      <c r="C5071" s="18" t="str">
        <f aca="false">'SALES Raw'!H2778</f>
        <v>301CM 41-45 'רפידת ג'ל בז</v>
      </c>
      <c r="D5071" s="19" t="n">
        <f aca="false">'SALES Raw'!C2778</f>
        <v>2</v>
      </c>
      <c r="E5071" s="19" t="n">
        <f aca="false">'SALES Raw'!D2778</f>
        <v>257.46</v>
      </c>
      <c r="F5071" s="19" t="n">
        <f aca="false">'SALES Raw'!E2778*$H$4</f>
        <v>0</v>
      </c>
      <c r="G5071" s="19" t="n">
        <f aca="false">'SALES Raw'!F2778*$H$4</f>
        <v>0</v>
      </c>
      <c r="H5071" s="18" t="str">
        <f aca="false">'SALES Raw'!A2778</f>
        <v>115-SuperPharm Online</v>
      </c>
    </row>
    <row r="5072" customFormat="false" ht="15" hidden="false" customHeight="false" outlineLevel="0" collapsed="false">
      <c r="A5072" s="18" t="n">
        <f aca="false">'SALES Raw'!G2779</f>
        <v>4420035</v>
      </c>
      <c r="B5072" s="18" t="str">
        <f aca="false">'SALES Raw'!B2779</f>
        <v>301CW-36-40</v>
      </c>
      <c r="C5072" s="18" t="str">
        <f aca="false">'SALES Raw'!H2779</f>
        <v>301CW 36-40 'רפידת ג'ל בז</v>
      </c>
      <c r="D5072" s="19" t="n">
        <f aca="false">'SALES Raw'!C2779</f>
        <v>1</v>
      </c>
      <c r="E5072" s="19" t="n">
        <f aca="false">'SALES Raw'!D2779</f>
        <v>128.73</v>
      </c>
      <c r="F5072" s="19" t="n">
        <f aca="false">'SALES Raw'!E2779*$H$4</f>
        <v>0</v>
      </c>
      <c r="G5072" s="19" t="n">
        <f aca="false">'SALES Raw'!F2779*$H$4</f>
        <v>0</v>
      </c>
      <c r="H5072" s="18" t="str">
        <f aca="false">'SALES Raw'!A2779</f>
        <v>115-SuperPharm Online</v>
      </c>
    </row>
    <row r="5073" customFormat="false" ht="15" hidden="false" customHeight="false" outlineLevel="0" collapsed="false">
      <c r="A5073" s="18" t="str">
        <f aca="false">'SALES Raw'!G2781</f>
        <v/>
      </c>
      <c r="B5073" s="18" t="str">
        <f aca="false">'SALES Raw'!B2781</f>
        <v>322B L</v>
      </c>
      <c r="C5073" s="18" t="str">
        <f aca="false">'SALES Raw'!H2781</f>
        <v>322B L</v>
      </c>
      <c r="D5073" s="19" t="n">
        <f aca="false">'SALES Raw'!C2781</f>
        <v>1</v>
      </c>
      <c r="E5073" s="19" t="n">
        <f aca="false">'SALES Raw'!D2781</f>
        <v>231.27</v>
      </c>
      <c r="F5073" s="19" t="n">
        <f aca="false">'SALES Raw'!E2781*$H$4</f>
        <v>0</v>
      </c>
      <c r="G5073" s="19" t="n">
        <f aca="false">'SALES Raw'!F2781*$H$4</f>
        <v>0</v>
      </c>
      <c r="H5073" s="18" t="str">
        <f aca="false">'SALES Raw'!A2781</f>
        <v>115-SuperPharm Online</v>
      </c>
    </row>
    <row r="5074" customFormat="false" ht="15" hidden="false" customHeight="false" outlineLevel="0" collapsed="false">
      <c r="A5074" s="18" t="str">
        <f aca="false">'SALES Raw'!G2782</f>
        <v/>
      </c>
      <c r="B5074" s="18" t="str">
        <f aca="false">'SALES Raw'!B2782</f>
        <v>322B M</v>
      </c>
      <c r="C5074" s="18" t="str">
        <f aca="false">'SALES Raw'!H2782</f>
        <v>322B M</v>
      </c>
      <c r="D5074" s="19" t="n">
        <f aca="false">'SALES Raw'!C2782</f>
        <v>1</v>
      </c>
      <c r="E5074" s="19" t="n">
        <f aca="false">'SALES Raw'!D2782</f>
        <v>231.27</v>
      </c>
      <c r="F5074" s="19" t="n">
        <f aca="false">'SALES Raw'!E2782*$H$4</f>
        <v>0</v>
      </c>
      <c r="G5074" s="19" t="n">
        <f aca="false">'SALES Raw'!F2782*$H$4</f>
        <v>0</v>
      </c>
      <c r="H5074" s="18" t="str">
        <f aca="false">'SALES Raw'!A2782</f>
        <v>115-SuperPharm Online</v>
      </c>
    </row>
    <row r="5075" customFormat="false" ht="15" hidden="false" customHeight="false" outlineLevel="0" collapsed="false">
      <c r="A5075" s="18" t="str">
        <f aca="false">'SALES Raw'!G2786</f>
        <v/>
      </c>
      <c r="B5075" s="18" t="str">
        <f aca="false">'SALES Raw'!B2786</f>
        <v>332B L</v>
      </c>
      <c r="C5075" s="18" t="str">
        <f aca="false">'SALES Raw'!H2786</f>
        <v>332B L</v>
      </c>
      <c r="D5075" s="19" t="n">
        <f aca="false">'SALES Raw'!C2786</f>
        <v>2</v>
      </c>
      <c r="E5075" s="19" t="n">
        <f aca="false">'SALES Raw'!D2786</f>
        <v>445.6</v>
      </c>
      <c r="F5075" s="19" t="n">
        <f aca="false">'SALES Raw'!E2786*$H$4</f>
        <v>0</v>
      </c>
      <c r="G5075" s="19" t="n">
        <f aca="false">'SALES Raw'!F2786*$H$4</f>
        <v>0</v>
      </c>
      <c r="H5075" s="18" t="str">
        <f aca="false">'SALES Raw'!A2786</f>
        <v>115-SuperPharm Online</v>
      </c>
    </row>
    <row r="5076" customFormat="false" ht="15" hidden="false" customHeight="false" outlineLevel="0" collapsed="false">
      <c r="A5076" s="18" t="str">
        <f aca="false">'SALES Raw'!G2787</f>
        <v/>
      </c>
      <c r="B5076" s="18" t="str">
        <f aca="false">'SALES Raw'!B2787</f>
        <v>332B M</v>
      </c>
      <c r="C5076" s="18" t="str">
        <f aca="false">'SALES Raw'!H2787</f>
        <v>332B M</v>
      </c>
      <c r="D5076" s="19" t="n">
        <f aca="false">'SALES Raw'!C2787</f>
        <v>5</v>
      </c>
      <c r="E5076" s="19" t="n">
        <f aca="false">'SALES Raw'!D2787</f>
        <v>1114</v>
      </c>
      <c r="F5076" s="19" t="n">
        <f aca="false">'SALES Raw'!E2787*$H$4</f>
        <v>0</v>
      </c>
      <c r="G5076" s="19" t="n">
        <f aca="false">'SALES Raw'!F2787*$H$4</f>
        <v>0</v>
      </c>
      <c r="H5076" s="18" t="str">
        <f aca="false">'SALES Raw'!A2787</f>
        <v>115-SuperPharm Online</v>
      </c>
    </row>
    <row r="5077" customFormat="false" ht="15" hidden="false" customHeight="false" outlineLevel="0" collapsed="false">
      <c r="A5077" s="18" t="n">
        <f aca="false">'SALES Raw'!G2791</f>
        <v>4413490</v>
      </c>
      <c r="B5077" s="18" t="str">
        <f aca="false">'SALES Raw'!B2791</f>
        <v>35B L</v>
      </c>
      <c r="C5077" s="18" t="str">
        <f aca="false">'SALES Raw'!H2791</f>
        <v>35B L מגן קרסול שחור</v>
      </c>
      <c r="D5077" s="19" t="n">
        <f aca="false">'SALES Raw'!C2791</f>
        <v>1</v>
      </c>
      <c r="E5077" s="19" t="n">
        <f aca="false">'SALES Raw'!D2791</f>
        <v>55.85</v>
      </c>
      <c r="F5077" s="19" t="n">
        <f aca="false">'SALES Raw'!E2791*$H$4</f>
        <v>0</v>
      </c>
      <c r="G5077" s="19" t="n">
        <f aca="false">'SALES Raw'!F2791*$H$4</f>
        <v>0</v>
      </c>
      <c r="H5077" s="18" t="str">
        <f aca="false">'SALES Raw'!A2791</f>
        <v>115-SuperPharm Online</v>
      </c>
    </row>
    <row r="5078" customFormat="false" ht="15" hidden="false" customHeight="false" outlineLevel="0" collapsed="false">
      <c r="A5078" s="18" t="n">
        <f aca="false">'SALES Raw'!G2792</f>
        <v>4413492</v>
      </c>
      <c r="B5078" s="18" t="str">
        <f aca="false">'SALES Raw'!B2792</f>
        <v>35B M</v>
      </c>
      <c r="C5078" s="18" t="str">
        <f aca="false">'SALES Raw'!H2792</f>
        <v>35B M מגן קרסול שחור</v>
      </c>
      <c r="D5078" s="19" t="n">
        <f aca="false">'SALES Raw'!C2792</f>
        <v>5</v>
      </c>
      <c r="E5078" s="19" t="n">
        <f aca="false">'SALES Raw'!D2792</f>
        <v>277.55</v>
      </c>
      <c r="F5078" s="19" t="n">
        <f aca="false">'SALES Raw'!E2792*$H$4</f>
        <v>0</v>
      </c>
      <c r="G5078" s="19" t="n">
        <f aca="false">'SALES Raw'!F2792*$H$4</f>
        <v>0</v>
      </c>
      <c r="H5078" s="18" t="str">
        <f aca="false">'SALES Raw'!A2792</f>
        <v>115-SuperPharm Online</v>
      </c>
    </row>
    <row r="5079" customFormat="false" ht="15" hidden="false" customHeight="false" outlineLevel="0" collapsed="false">
      <c r="A5079" s="18" t="n">
        <f aca="false">'SALES Raw'!G2793</f>
        <v>4413493</v>
      </c>
      <c r="B5079" s="18" t="str">
        <f aca="false">'SALES Raw'!B2793</f>
        <v>35B S</v>
      </c>
      <c r="C5079" s="18" t="str">
        <f aca="false">'SALES Raw'!H2793</f>
        <v>35B S מגן קרסול שחור</v>
      </c>
      <c r="D5079" s="19" t="n">
        <f aca="false">'SALES Raw'!C2793</f>
        <v>1</v>
      </c>
      <c r="E5079" s="19" t="n">
        <f aca="false">'SALES Raw'!D2793</f>
        <v>55.85</v>
      </c>
      <c r="F5079" s="19" t="n">
        <f aca="false">'SALES Raw'!E2793*$H$4</f>
        <v>0</v>
      </c>
      <c r="G5079" s="19" t="n">
        <f aca="false">'SALES Raw'!F2793*$H$4</f>
        <v>0</v>
      </c>
      <c r="H5079" s="18" t="str">
        <f aca="false">'SALES Raw'!A2793</f>
        <v>115-SuperPharm Online</v>
      </c>
    </row>
    <row r="5080" customFormat="false" ht="15" hidden="false" customHeight="false" outlineLevel="0" collapsed="false">
      <c r="A5080" s="18" t="n">
        <f aca="false">'SALES Raw'!G2797</f>
        <v>4413094</v>
      </c>
      <c r="B5080" s="18" t="str">
        <f aca="false">'SALES Raw'!B2797</f>
        <v>45 S</v>
      </c>
      <c r="C5080" s="18" t="str">
        <f aca="false">'SALES Raw'!H2797</f>
        <v>45 S מגן ברך לבן</v>
      </c>
      <c r="D5080" s="19" t="n">
        <f aca="false">'SALES Raw'!C2797</f>
        <v>1</v>
      </c>
      <c r="E5080" s="19" t="n">
        <f aca="false">'SALES Raw'!D2797</f>
        <v>54.15</v>
      </c>
      <c r="F5080" s="19" t="n">
        <f aca="false">'SALES Raw'!E2797*$H$4</f>
        <v>0</v>
      </c>
      <c r="G5080" s="19" t="n">
        <f aca="false">'SALES Raw'!F2797*$H$4</f>
        <v>0</v>
      </c>
      <c r="H5080" s="18" t="str">
        <f aca="false">'SALES Raw'!A2797</f>
        <v>115-SuperPharm Online</v>
      </c>
    </row>
    <row r="5081" customFormat="false" ht="15" hidden="false" customHeight="false" outlineLevel="0" collapsed="false">
      <c r="A5081" s="18" t="n">
        <f aca="false">'SALES Raw'!G2800</f>
        <v>4413498</v>
      </c>
      <c r="B5081" s="18" t="str">
        <f aca="false">'SALES Raw'!B2800</f>
        <v>45B S</v>
      </c>
      <c r="C5081" s="18" t="str">
        <f aca="false">'SALES Raw'!H2800</f>
        <v>45B S מגן ברך שחור</v>
      </c>
      <c r="D5081" s="19" t="n">
        <f aca="false">'SALES Raw'!C2800</f>
        <v>2</v>
      </c>
      <c r="E5081" s="19" t="n">
        <f aca="false">'SALES Raw'!D2800</f>
        <v>111.7</v>
      </c>
      <c r="F5081" s="19" t="n">
        <f aca="false">'SALES Raw'!E2800*$H$4</f>
        <v>0</v>
      </c>
      <c r="G5081" s="19" t="n">
        <f aca="false">'SALES Raw'!F2800*$H$4</f>
        <v>0</v>
      </c>
      <c r="H5081" s="18" t="str">
        <f aca="false">'SALES Raw'!A2800</f>
        <v>115-SuperPharm Online</v>
      </c>
    </row>
    <row r="5082" customFormat="false" ht="15" hidden="false" customHeight="false" outlineLevel="0" collapsed="false">
      <c r="A5082" s="18" t="n">
        <f aca="false">'SALES Raw'!G2810</f>
        <v>4401014</v>
      </c>
      <c r="B5082" s="18" t="str">
        <f aca="false">'SALES Raw'!B2810</f>
        <v>805AT-W</v>
      </c>
      <c r="C5082" s="18" t="str">
        <f aca="false">'SALES Raw'!H2810</f>
        <v>805AT-W  אתלטיק טייפ לבן 20מ""""מ</v>
      </c>
      <c r="D5082" s="19" t="n">
        <f aca="false">'SALES Raw'!C2810</f>
        <v>4</v>
      </c>
      <c r="E5082" s="19" t="n">
        <f aca="false">'SALES Raw'!D2810</f>
        <v>125.08</v>
      </c>
      <c r="F5082" s="19" t="n">
        <f aca="false">'SALES Raw'!E2810*$H$4</f>
        <v>0</v>
      </c>
      <c r="G5082" s="19" t="n">
        <f aca="false">'SALES Raw'!F2810*$H$4</f>
        <v>0</v>
      </c>
      <c r="H5082" s="18" t="str">
        <f aca="false">'SALES Raw'!A2810</f>
        <v>115-SuperPharm Online</v>
      </c>
    </row>
    <row r="5083" customFormat="false" ht="15" hidden="false" customHeight="false" outlineLevel="0" collapsed="false">
      <c r="A5083" s="18" t="str">
        <f aca="false">'SALES Raw'!G2812</f>
        <v/>
      </c>
      <c r="B5083" s="18" t="str">
        <f aca="false">'SALES Raw'!B2812</f>
        <v>922B M</v>
      </c>
      <c r="C5083" s="18" t="str">
        <f aca="false">'SALES Raw'!H2812</f>
        <v>922B M</v>
      </c>
      <c r="D5083" s="19" t="n">
        <f aca="false">'SALES Raw'!C2812</f>
        <v>1</v>
      </c>
      <c r="E5083" s="19" t="n">
        <f aca="false">'SALES Raw'!D2812</f>
        <v>256.69</v>
      </c>
      <c r="F5083" s="19" t="n">
        <f aca="false">'SALES Raw'!E2812*$H$4</f>
        <v>0</v>
      </c>
      <c r="G5083" s="19" t="n">
        <f aca="false">'SALES Raw'!F2812*$H$4</f>
        <v>0</v>
      </c>
      <c r="H5083" s="18" t="str">
        <f aca="false">'SALES Raw'!A2812</f>
        <v>115-SuperPharm Online</v>
      </c>
    </row>
    <row r="5084" customFormat="false" ht="15" hidden="false" customHeight="false" outlineLevel="0" collapsed="false">
      <c r="A5084" s="18" t="str">
        <f aca="false">'SALES Raw'!G2813</f>
        <v/>
      </c>
      <c r="B5084" s="18" t="str">
        <f aca="false">'SALES Raw'!B2813</f>
        <v>922B XL</v>
      </c>
      <c r="C5084" s="18" t="str">
        <f aca="false">'SALES Raw'!H2813</f>
        <v>922B XL</v>
      </c>
      <c r="D5084" s="19" t="n">
        <f aca="false">'SALES Raw'!C2813</f>
        <v>1</v>
      </c>
      <c r="E5084" s="19" t="n">
        <f aca="false">'SALES Raw'!D2813</f>
        <v>256.69</v>
      </c>
      <c r="F5084" s="19" t="n">
        <f aca="false">'SALES Raw'!E2813*$H$4</f>
        <v>0</v>
      </c>
      <c r="G5084" s="19" t="n">
        <f aca="false">'SALES Raw'!F2813*$H$4</f>
        <v>0</v>
      </c>
      <c r="H5084" s="18" t="str">
        <f aca="false">'SALES Raw'!A2813</f>
        <v>115-SuperPharm Online</v>
      </c>
    </row>
    <row r="5085" customFormat="false" ht="15" hidden="false" customHeight="false" outlineLevel="0" collapsed="false">
      <c r="A5085" s="18" t="n">
        <f aca="false">'SALES Raw'!G2817</f>
        <v>4413503</v>
      </c>
      <c r="B5085" s="18" t="str">
        <f aca="false">'SALES Raw'!B2817</f>
        <v>95B XL</v>
      </c>
      <c r="C5085" s="18" t="str">
        <f aca="false">'SALES Raw'!H2817</f>
        <v>95B XL מגן מרפק שחור</v>
      </c>
      <c r="D5085" s="19" t="n">
        <f aca="false">'SALES Raw'!C2817</f>
        <v>1</v>
      </c>
      <c r="E5085" s="19" t="n">
        <f aca="false">'SALES Raw'!D2817</f>
        <v>55.85</v>
      </c>
      <c r="F5085" s="19" t="n">
        <f aca="false">'SALES Raw'!E2817*$H$4</f>
        <v>0</v>
      </c>
      <c r="G5085" s="19" t="n">
        <f aca="false">'SALES Raw'!F2817*$H$4</f>
        <v>0</v>
      </c>
      <c r="H5085" s="18" t="str">
        <f aca="false">'SALES Raw'!A2817</f>
        <v>115-SuperPharm Online</v>
      </c>
    </row>
    <row r="5086" customFormat="false" ht="15" hidden="false" customHeight="false" outlineLevel="0" collapsed="false">
      <c r="A5086" s="18" t="str">
        <f aca="false">'SALES Raw'!G2819</f>
        <v/>
      </c>
      <c r="B5086" s="18" t="str">
        <f aca="false">'SALES Raw'!B2819</f>
        <v>95G L</v>
      </c>
      <c r="C5086" s="18" t="str">
        <f aca="false">'SALES Raw'!H2819</f>
        <v>95G L</v>
      </c>
      <c r="D5086" s="19" t="n">
        <f aca="false">'SALES Raw'!C2819</f>
        <v>1</v>
      </c>
      <c r="E5086" s="19" t="n">
        <f aca="false">'SALES Raw'!D2819</f>
        <v>55.85</v>
      </c>
      <c r="F5086" s="19" t="n">
        <f aca="false">'SALES Raw'!E2819*$H$4</f>
        <v>0</v>
      </c>
      <c r="G5086" s="19" t="n">
        <f aca="false">'SALES Raw'!F2819*$H$4</f>
        <v>0</v>
      </c>
      <c r="H5086" s="18" t="str">
        <f aca="false">'SALES Raw'!A2819</f>
        <v>115-SuperPharm Online</v>
      </c>
    </row>
    <row r="5087" customFormat="false" ht="15" hidden="false" customHeight="false" outlineLevel="0" collapsed="false">
      <c r="A5087" s="18" t="str">
        <f aca="false">'SALES Raw'!G2820</f>
        <v/>
      </c>
      <c r="B5087" s="18" t="str">
        <f aca="false">'SALES Raw'!B2820</f>
        <v>95G M</v>
      </c>
      <c r="C5087" s="18" t="str">
        <f aca="false">'SALES Raw'!H2820</f>
        <v>95G M</v>
      </c>
      <c r="D5087" s="19" t="n">
        <f aca="false">'SALES Raw'!C2820</f>
        <v>2</v>
      </c>
      <c r="E5087" s="19" t="n">
        <f aca="false">'SALES Raw'!D2820</f>
        <v>108.3</v>
      </c>
      <c r="F5087" s="19" t="n">
        <f aca="false">'SALES Raw'!E2820*$H$4</f>
        <v>0</v>
      </c>
      <c r="G5087" s="19" t="n">
        <f aca="false">'SALES Raw'!F2820*$H$4</f>
        <v>0</v>
      </c>
      <c r="H5087" s="18" t="str">
        <f aca="false">'SALES Raw'!A2820</f>
        <v>115-SuperPharm Online</v>
      </c>
    </row>
    <row r="5088" customFormat="false" ht="15" hidden="false" customHeight="false" outlineLevel="0" collapsed="false">
      <c r="A5088" s="18" t="str">
        <f aca="false">'SALES Raw'!G2821</f>
        <v/>
      </c>
      <c r="B5088" s="18" t="str">
        <f aca="false">'SALES Raw'!B2821</f>
        <v>95G XXL</v>
      </c>
      <c r="C5088" s="18" t="str">
        <f aca="false">'SALES Raw'!H2821</f>
        <v>95G XXL</v>
      </c>
      <c r="D5088" s="19" t="n">
        <f aca="false">'SALES Raw'!C2821</f>
        <v>1</v>
      </c>
      <c r="E5088" s="19" t="n">
        <f aca="false">'SALES Raw'!D2821</f>
        <v>55.85</v>
      </c>
      <c r="F5088" s="19" t="n">
        <f aca="false">'SALES Raw'!E2821*$H$4</f>
        <v>0</v>
      </c>
      <c r="G5088" s="19" t="n">
        <f aca="false">'SALES Raw'!F2821*$H$4</f>
        <v>0</v>
      </c>
      <c r="H5088" s="18" t="str">
        <f aca="false">'SALES Raw'!A2821</f>
        <v>115-SuperPharm Online</v>
      </c>
    </row>
    <row r="5089" customFormat="false" ht="15" hidden="false" customHeight="false" outlineLevel="0" collapsed="false">
      <c r="A5089" s="18" t="n">
        <f aca="false">'SALES Raw'!G2826</f>
        <v>4413328</v>
      </c>
      <c r="B5089" s="18" t="str">
        <f aca="false">'SALES Raw'!B2826</f>
        <v>AC43D 0</v>
      </c>
      <c r="C5089" s="18" t="str">
        <f aca="false">'SALES Raw'!H2826</f>
        <v>AC43D מגן ברך + צירים</v>
      </c>
      <c r="D5089" s="19" t="n">
        <f aca="false">'SALES Raw'!C2826</f>
        <v>4</v>
      </c>
      <c r="E5089" s="19" t="n">
        <f aca="false">'SALES Raw'!D2826</f>
        <v>684.4</v>
      </c>
      <c r="F5089" s="19" t="n">
        <f aca="false">'SALES Raw'!E2826*$H$4</f>
        <v>0</v>
      </c>
      <c r="G5089" s="19" t="n">
        <f aca="false">'SALES Raw'!F2826*$H$4</f>
        <v>0</v>
      </c>
      <c r="H5089" s="18" t="str">
        <f aca="false">'SALES Raw'!A2826</f>
        <v>115-SuperPharm Online</v>
      </c>
    </row>
    <row r="5090" customFormat="false" ht="15" hidden="false" customHeight="false" outlineLevel="0" collapsed="false">
      <c r="A5090" s="18" t="n">
        <f aca="false">'SALES Raw'!G2828</f>
        <v>4413450</v>
      </c>
      <c r="B5090" s="18" t="str">
        <f aca="false">'SALES Raw'!B2828</f>
        <v>LF378 M</v>
      </c>
      <c r="C5090" s="18" t="str">
        <f aca="false">'SALES Raw'!H2828</f>
        <v>LF378 M מדרס ג'ל לנעלי עקב</v>
      </c>
      <c r="D5090" s="19" t="n">
        <f aca="false">'SALES Raw'!C2828</f>
        <v>1</v>
      </c>
      <c r="E5090" s="19" t="n">
        <f aca="false">'SALES Raw'!D2828</f>
        <v>132.97</v>
      </c>
      <c r="F5090" s="19" t="n">
        <f aca="false">'SALES Raw'!E2828*$H$4</f>
        <v>0</v>
      </c>
      <c r="G5090" s="19" t="n">
        <f aca="false">'SALES Raw'!F2828*$H$4</f>
        <v>0</v>
      </c>
      <c r="H5090" s="18" t="str">
        <f aca="false">'SALES Raw'!A2828</f>
        <v>115-SuperPharm Online</v>
      </c>
    </row>
    <row r="5091" customFormat="false" ht="15" hidden="false" customHeight="false" outlineLevel="0" collapsed="false">
      <c r="A5091" s="18" t="str">
        <f aca="false">'SALES Raw'!G2832</f>
        <v/>
      </c>
      <c r="B5091" s="18" t="str">
        <f aca="false">'SALES Raw'!B2832</f>
        <v>M95</v>
      </c>
      <c r="C5091" s="18" t="str">
        <f aca="false">'SALES Raw'!H2832</f>
        <v>M95</v>
      </c>
      <c r="D5091" s="19" t="n">
        <f aca="false">'SALES Raw'!C2832</f>
        <v>1</v>
      </c>
      <c r="E5091" s="19" t="n">
        <f aca="false">'SALES Raw'!D2832</f>
        <v>16.86</v>
      </c>
      <c r="F5091" s="19" t="n">
        <f aca="false">'SALES Raw'!E2832*$H$4</f>
        <v>0</v>
      </c>
      <c r="G5091" s="19" t="n">
        <f aca="false">'SALES Raw'!F2832*$H$4</f>
        <v>0</v>
      </c>
      <c r="H5091" s="18" t="str">
        <f aca="false">'SALES Raw'!A2832</f>
        <v>115-SuperPharm Online</v>
      </c>
    </row>
    <row r="5092" customFormat="false" ht="15" hidden="false" customHeight="false" outlineLevel="0" collapsed="false">
      <c r="A5092" s="18" t="str">
        <f aca="false">'SALES Raw'!G2833</f>
        <v/>
      </c>
      <c r="B5092" s="18" t="str">
        <f aca="false">'SALES Raw'!B2833</f>
        <v>SP302W 0</v>
      </c>
      <c r="C5092" s="18" t="str">
        <f aca="false">'SALES Raw'!H2833</f>
        <v>SP302W 0</v>
      </c>
      <c r="D5092" s="19" t="n">
        <f aca="false">'SALES Raw'!C2833</f>
        <v>1</v>
      </c>
      <c r="E5092" s="19" t="n">
        <f aca="false">'SALES Raw'!D2833</f>
        <v>128.73</v>
      </c>
      <c r="F5092" s="19" t="n">
        <f aca="false">'SALES Raw'!E2833*$H$4</f>
        <v>0</v>
      </c>
      <c r="G5092" s="19" t="n">
        <f aca="false">'SALES Raw'!F2833*$H$4</f>
        <v>0</v>
      </c>
      <c r="H5092" s="18" t="str">
        <f aca="false">'SALES Raw'!A2833</f>
        <v>115-SuperPharm Online</v>
      </c>
    </row>
    <row r="5093" customFormat="false" ht="15" hidden="false" customHeight="false" outlineLevel="0" collapsed="false">
      <c r="A5093" s="18" t="str">
        <f aca="false">'SALES Raw'!G2835</f>
        <v/>
      </c>
      <c r="B5093" s="18" t="str">
        <f aca="false">'SALES Raw'!B2835</f>
        <v>T401 M</v>
      </c>
      <c r="C5093" s="18" t="str">
        <f aca="false">'SALES Raw'!H2835</f>
        <v>T401 M</v>
      </c>
      <c r="D5093" s="19" t="n">
        <f aca="false">'SALES Raw'!C2835</f>
        <v>2</v>
      </c>
      <c r="E5093" s="19" t="n">
        <f aca="false">'SALES Raw'!D2835</f>
        <v>598.14</v>
      </c>
      <c r="F5093" s="19" t="n">
        <f aca="false">'SALES Raw'!E2835*$H$4</f>
        <v>0</v>
      </c>
      <c r="G5093" s="19" t="n">
        <f aca="false">'SALES Raw'!F2835*$H$4</f>
        <v>0</v>
      </c>
      <c r="H5093" s="18" t="str">
        <f aca="false">'SALES Raw'!A2835</f>
        <v>115-SuperPharm Online</v>
      </c>
    </row>
    <row r="5094" customFormat="false" ht="15" hidden="false" customHeight="false" outlineLevel="0" collapsed="false">
      <c r="A5094" s="18" t="str">
        <f aca="false">'SALES Raw'!G2838</f>
        <v/>
      </c>
      <c r="B5094" s="18" t="str">
        <f aca="false">'SALES Raw'!B2838</f>
        <v>WEB-AC75-S-XL</v>
      </c>
      <c r="C5094" s="18" t="str">
        <f aca="false">'SALES Raw'!H2838</f>
        <v>WEB-AC75-S-XL</v>
      </c>
      <c r="D5094" s="19" t="n">
        <f aca="false">'SALES Raw'!C2838</f>
        <v>1</v>
      </c>
      <c r="E5094" s="19" t="n">
        <f aca="false">'SALES Raw'!D2838</f>
        <v>143.98</v>
      </c>
      <c r="F5094" s="19" t="n">
        <f aca="false">'SALES Raw'!E2838*$H$4</f>
        <v>0</v>
      </c>
      <c r="G5094" s="19" t="n">
        <f aca="false">'SALES Raw'!F2838*$H$4</f>
        <v>0</v>
      </c>
      <c r="H5094" s="18" t="str">
        <f aca="false">'SALES Raw'!A2838</f>
        <v>115-SuperPharm Online</v>
      </c>
    </row>
    <row r="5095" customFormat="false" ht="15" hidden="false" customHeight="false" outlineLevel="0" collapsed="false">
      <c r="A5095" s="18" t="n">
        <f aca="false">'SALES Raw'!G2839</f>
        <v>4413053</v>
      </c>
      <c r="B5095" s="18" t="str">
        <f aca="false">'SALES Raw'!B2839</f>
        <v>35C L</v>
      </c>
      <c r="C5095" s="18" t="str">
        <f aca="false">'SALES Raw'!H2839</f>
        <v>35C L מגן קרסול חום</v>
      </c>
      <c r="D5095" s="19" t="n">
        <f aca="false">'SALES Raw'!C2839</f>
        <v>20</v>
      </c>
      <c r="E5095" s="19" t="n">
        <f aca="false">'SALES Raw'!D2839</f>
        <v>248.43</v>
      </c>
      <c r="F5095" s="19" t="n">
        <f aca="false">'SALES Raw'!E2839*$H$4</f>
        <v>0</v>
      </c>
      <c r="G5095" s="19" t="n">
        <f aca="false">'SALES Raw'!F2839*$H$4</f>
        <v>0</v>
      </c>
      <c r="H5095" s="18" t="str">
        <f aca="false">'SALES Raw'!A2839</f>
        <v>200 - ROW : 217 - N3W FOODS USA</v>
      </c>
    </row>
    <row r="5096" customFormat="false" ht="15" hidden="false" customHeight="false" outlineLevel="0" collapsed="false">
      <c r="A5096" s="18" t="n">
        <f aca="false">'SALES Raw'!G2840</f>
        <v>4413523</v>
      </c>
      <c r="B5096" s="18" t="str">
        <f aca="false">'SALES Raw'!B2840</f>
        <v>379COM-35-38</v>
      </c>
      <c r="C5096" s="18" t="str">
        <f aca="false">'SALES Raw'!H2840</f>
        <v>35-38 מדרסי אפיק ג'ל נוחות</v>
      </c>
      <c r="D5096" s="19" t="n">
        <f aca="false">'SALES Raw'!C2840</f>
        <v>1</v>
      </c>
      <c r="E5096" s="19" t="n">
        <f aca="false">'SALES Raw'!D2840</f>
        <v>0.04</v>
      </c>
      <c r="F5096" s="19" t="n">
        <f aca="false">'SALES Raw'!E2840*$H$4</f>
        <v>0</v>
      </c>
      <c r="G5096" s="19" t="n">
        <f aca="false">'SALES Raw'!F2840*$H$4</f>
        <v>0</v>
      </c>
      <c r="H5096" s="18" t="str">
        <f aca="false">'SALES Raw'!A2840</f>
        <v>200 - ROW : 217 - N3W FOODS USA</v>
      </c>
    </row>
    <row r="5097" customFormat="false" ht="15" hidden="false" customHeight="false" outlineLevel="0" collapsed="false">
      <c r="A5097" s="18" t="n">
        <f aca="false">'SALES Raw'!G2841</f>
        <v>4413520</v>
      </c>
      <c r="B5097" s="18" t="str">
        <f aca="false">'SALES Raw'!B2841</f>
        <v>379MSP-35-38</v>
      </c>
      <c r="C5097" s="18" t="str">
        <f aca="false">'SALES Raw'!H2841</f>
        <v>מדרסי אפיק ג'ל מולט.ספורט35-38</v>
      </c>
      <c r="D5097" s="19" t="n">
        <f aca="false">'SALES Raw'!C2841</f>
        <v>1</v>
      </c>
      <c r="E5097" s="19" t="n">
        <f aca="false">'SALES Raw'!D2841</f>
        <v>0.04</v>
      </c>
      <c r="F5097" s="19" t="n">
        <f aca="false">'SALES Raw'!E2841*$H$4</f>
        <v>0</v>
      </c>
      <c r="G5097" s="19" t="n">
        <f aca="false">'SALES Raw'!F2841*$H$4</f>
        <v>0</v>
      </c>
      <c r="H5097" s="18" t="str">
        <f aca="false">'SALES Raw'!A2841</f>
        <v>200 - ROW : 217 - N3W FOODS USA</v>
      </c>
    </row>
    <row r="5098" customFormat="false" ht="15" hidden="false" customHeight="false" outlineLevel="0" collapsed="false">
      <c r="A5098" s="18" t="n">
        <f aca="false">'SALES Raw'!G2842</f>
        <v>4413527</v>
      </c>
      <c r="B5098" s="18" t="str">
        <f aca="false">'SALES Raw'!B2842</f>
        <v>379WRK-35-38</v>
      </c>
      <c r="C5098" s="18" t="str">
        <f aca="false">'SALES Raw'!H2842</f>
        <v>35-38 מדרסי אפיק ג'ל עבודה</v>
      </c>
      <c r="D5098" s="19" t="n">
        <f aca="false">'SALES Raw'!C2842</f>
        <v>1</v>
      </c>
      <c r="E5098" s="19" t="n">
        <f aca="false">'SALES Raw'!D2842</f>
        <v>0.04</v>
      </c>
      <c r="F5098" s="19" t="n">
        <f aca="false">'SALES Raw'!E2842*$H$4</f>
        <v>0</v>
      </c>
      <c r="G5098" s="19" t="n">
        <f aca="false">'SALES Raw'!F2842*$H$4</f>
        <v>0</v>
      </c>
      <c r="H5098" s="18" t="str">
        <f aca="false">'SALES Raw'!A2842</f>
        <v>200 - ROW : 217 - N3W FOODS USA</v>
      </c>
    </row>
    <row r="5099" customFormat="false" ht="15" hidden="false" customHeight="false" outlineLevel="0" collapsed="false">
      <c r="A5099" s="18" t="n">
        <f aca="false">'SALES Raw'!G2843</f>
        <v>4413528</v>
      </c>
      <c r="B5099" s="18" t="str">
        <f aca="false">'SALES Raw'!B2843</f>
        <v>379WRK-39-42</v>
      </c>
      <c r="C5099" s="18" t="str">
        <f aca="false">'SALES Raw'!H2843</f>
        <v>39-42 מדרסי אפיק ג'ל עבודה</v>
      </c>
      <c r="D5099" s="19" t="n">
        <f aca="false">'SALES Raw'!C2843</f>
        <v>1</v>
      </c>
      <c r="E5099" s="19" t="n">
        <f aca="false">'SALES Raw'!D2843</f>
        <v>0.04</v>
      </c>
      <c r="F5099" s="19" t="n">
        <f aca="false">'SALES Raw'!E2843*$H$4</f>
        <v>0</v>
      </c>
      <c r="G5099" s="19" t="n">
        <f aca="false">'SALES Raw'!F2843*$H$4</f>
        <v>0</v>
      </c>
      <c r="H5099" s="18" t="str">
        <f aca="false">'SALES Raw'!A2843</f>
        <v>200 - ROW : 217 - N3W FOODS USA</v>
      </c>
    </row>
    <row r="5100" customFormat="false" ht="15" hidden="false" customHeight="false" outlineLevel="0" collapsed="false">
      <c r="A5100" s="18" t="n">
        <f aca="false">'SALES Raw'!G2847</f>
        <v>4411016</v>
      </c>
      <c r="B5100" s="18" t="str">
        <f aca="false">'SALES Raw'!B2847</f>
        <v>307 XL</v>
      </c>
      <c r="C5100" s="18" t="str">
        <f aca="false">'SALES Raw'!H2847</f>
        <v>307 XL כרית סיליקון לעקב</v>
      </c>
      <c r="D5100" s="19" t="n">
        <f aca="false">'SALES Raw'!C2847</f>
        <v>10</v>
      </c>
      <c r="E5100" s="19" t="n">
        <f aca="false">'SALES Raw'!D2847</f>
        <v>385.62</v>
      </c>
      <c r="F5100" s="19" t="n">
        <f aca="false">'SALES Raw'!E2847*$H$4</f>
        <v>0</v>
      </c>
      <c r="G5100" s="19" t="n">
        <f aca="false">'SALES Raw'!F2847*$H$4</f>
        <v>0</v>
      </c>
      <c r="H5100" s="18" t="str">
        <f aca="false">'SALES Raw'!A2847</f>
        <v>201- Seven Gear FINLAND oy</v>
      </c>
    </row>
    <row r="5101" customFormat="false" ht="15" hidden="false" customHeight="false" outlineLevel="0" collapsed="false">
      <c r="A5101" s="18" t="n">
        <f aca="false">'SALES Raw'!G2851</f>
        <v>4413493</v>
      </c>
      <c r="B5101" s="18" t="str">
        <f aca="false">'SALES Raw'!B2851</f>
        <v>35B S</v>
      </c>
      <c r="C5101" s="18" t="str">
        <f aca="false">'SALES Raw'!H2851</f>
        <v>35B S מגן קרסול שחור</v>
      </c>
      <c r="D5101" s="19" t="n">
        <f aca="false">'SALES Raw'!C2851</f>
        <v>30</v>
      </c>
      <c r="E5101" s="19" t="n">
        <f aca="false">'SALES Raw'!D2851</f>
        <v>350.13</v>
      </c>
      <c r="F5101" s="19" t="n">
        <f aca="false">'SALES Raw'!E2851*$H$4</f>
        <v>0</v>
      </c>
      <c r="G5101" s="19" t="n">
        <f aca="false">'SALES Raw'!F2851*$H$4</f>
        <v>0</v>
      </c>
      <c r="H5101" s="18" t="str">
        <f aca="false">'SALES Raw'!A2851</f>
        <v>201- Seven Gear FINLAND oy</v>
      </c>
    </row>
    <row r="5102" customFormat="false" ht="15" hidden="false" customHeight="false" outlineLevel="0" collapsed="false">
      <c r="A5102" s="18" t="n">
        <f aca="false">'SALES Raw'!G2852</f>
        <v>4413491</v>
      </c>
      <c r="B5102" s="18" t="str">
        <f aca="false">'SALES Raw'!B2852</f>
        <v>35B XL</v>
      </c>
      <c r="C5102" s="18" t="str">
        <f aca="false">'SALES Raw'!H2852</f>
        <v>35B XL מגן קרסול שחור</v>
      </c>
      <c r="D5102" s="19" t="n">
        <f aca="false">'SALES Raw'!C2852</f>
        <v>30</v>
      </c>
      <c r="E5102" s="19" t="n">
        <f aca="false">'SALES Raw'!D2852</f>
        <v>346.94</v>
      </c>
      <c r="F5102" s="19" t="n">
        <f aca="false">'SALES Raw'!E2852*$H$4</f>
        <v>0</v>
      </c>
      <c r="G5102" s="19" t="n">
        <f aca="false">'SALES Raw'!F2852*$H$4</f>
        <v>0</v>
      </c>
      <c r="H5102" s="18" t="str">
        <f aca="false">'SALES Raw'!A2852</f>
        <v>201- Seven Gear FINLAND oy</v>
      </c>
    </row>
    <row r="5103" customFormat="false" ht="15" hidden="false" customHeight="false" outlineLevel="0" collapsed="false">
      <c r="A5103" s="18" t="n">
        <f aca="false">'SALES Raw'!G2853</f>
        <v>4413494</v>
      </c>
      <c r="B5103" s="18" t="str">
        <f aca="false">'SALES Raw'!B2853</f>
        <v>35B XXL</v>
      </c>
      <c r="C5103" s="18" t="str">
        <f aca="false">'SALES Raw'!H2853</f>
        <v>35B XXL מגן קרסול שחור</v>
      </c>
      <c r="D5103" s="19" t="n">
        <f aca="false">'SALES Raw'!C2853</f>
        <v>15</v>
      </c>
      <c r="E5103" s="19" t="n">
        <f aca="false">'SALES Raw'!D2853</f>
        <v>181.33</v>
      </c>
      <c r="F5103" s="19" t="n">
        <f aca="false">'SALES Raw'!E2853*$H$4</f>
        <v>0</v>
      </c>
      <c r="G5103" s="19" t="n">
        <f aca="false">'SALES Raw'!F2853*$H$4</f>
        <v>0</v>
      </c>
      <c r="H5103" s="18" t="str">
        <f aca="false">'SALES Raw'!A2853</f>
        <v>201- Seven Gear FINLAND oy</v>
      </c>
    </row>
    <row r="5104" customFormat="false" ht="15" hidden="false" customHeight="false" outlineLevel="0" collapsed="false">
      <c r="A5104" s="18" t="n">
        <f aca="false">'SALES Raw'!G2854</f>
        <v>4413061</v>
      </c>
      <c r="B5104" s="18" t="str">
        <f aca="false">'SALES Raw'!B2854</f>
        <v>3641 0</v>
      </c>
      <c r="C5104" s="18" t="str">
        <f aca="false">'SALES Raw'!H2854</f>
        <v>3641-מיישר בוהן סיליקון קשיח</v>
      </c>
      <c r="D5104" s="19" t="n">
        <f aca="false">'SALES Raw'!C2854</f>
        <v>20</v>
      </c>
      <c r="E5104" s="19" t="n">
        <f aca="false">'SALES Raw'!D2854</f>
        <v>110.89</v>
      </c>
      <c r="F5104" s="19" t="n">
        <f aca="false">'SALES Raw'!E2854*$H$4</f>
        <v>0</v>
      </c>
      <c r="G5104" s="19" t="n">
        <f aca="false">'SALES Raw'!F2854*$H$4</f>
        <v>0</v>
      </c>
      <c r="H5104" s="18" t="str">
        <f aca="false">'SALES Raw'!A2854</f>
        <v>201- Seven Gear FINLAND oy</v>
      </c>
    </row>
    <row r="5105" customFormat="false" ht="15" hidden="false" customHeight="false" outlineLevel="0" collapsed="false">
      <c r="A5105" s="18" t="n">
        <f aca="false">'SALES Raw'!G2859</f>
        <v>4413520</v>
      </c>
      <c r="B5105" s="18" t="str">
        <f aca="false">'SALES Raw'!B2859</f>
        <v>379MSP-35-38</v>
      </c>
      <c r="C5105" s="18" t="str">
        <f aca="false">'SALES Raw'!H2859</f>
        <v>מדרסי אפיק ג'ל מולט.ספורט35-38</v>
      </c>
      <c r="D5105" s="19" t="n">
        <f aca="false">'SALES Raw'!C2859</f>
        <v>1</v>
      </c>
      <c r="E5105" s="19" t="n">
        <f aca="false">'SALES Raw'!D2859</f>
        <v>0.04</v>
      </c>
      <c r="F5105" s="19" t="n">
        <f aca="false">'SALES Raw'!E2859*$H$4</f>
        <v>0</v>
      </c>
      <c r="G5105" s="19" t="n">
        <f aca="false">'SALES Raw'!F2859*$H$4</f>
        <v>0</v>
      </c>
      <c r="H5105" s="18" t="str">
        <f aca="false">'SALES Raw'!A2859</f>
        <v>201- Seven Gear FINLAND oy</v>
      </c>
    </row>
    <row r="5106" customFormat="false" ht="15" hidden="false" customHeight="false" outlineLevel="0" collapsed="false">
      <c r="A5106" s="18" t="n">
        <f aca="false">'SALES Raw'!G2860</f>
        <v>4413521</v>
      </c>
      <c r="B5106" s="18" t="str">
        <f aca="false">'SALES Raw'!B2860</f>
        <v>379MSP-39-42</v>
      </c>
      <c r="C5106" s="18" t="str">
        <f aca="false">'SALES Raw'!H2860</f>
        <v>מדרסי אפיק ג'ל מולטי ספור39-42</v>
      </c>
      <c r="D5106" s="19" t="n">
        <f aca="false">'SALES Raw'!C2860</f>
        <v>1</v>
      </c>
      <c r="E5106" s="19" t="n">
        <f aca="false">'SALES Raw'!D2860</f>
        <v>0.04</v>
      </c>
      <c r="F5106" s="19" t="n">
        <f aca="false">'SALES Raw'!E2860*$H$4</f>
        <v>0</v>
      </c>
      <c r="G5106" s="19" t="n">
        <f aca="false">'SALES Raw'!F2860*$H$4</f>
        <v>0</v>
      </c>
      <c r="H5106" s="18" t="str">
        <f aca="false">'SALES Raw'!A2860</f>
        <v>201- Seven Gear FINLAND oy</v>
      </c>
    </row>
    <row r="5107" customFormat="false" ht="15" hidden="false" customHeight="false" outlineLevel="0" collapsed="false">
      <c r="A5107" s="18" t="str">
        <f aca="false">'SALES Raw'!G2861</f>
        <v/>
      </c>
      <c r="B5107" s="18" t="str">
        <f aca="false">'SALES Raw'!B2861</f>
        <v>391W-39-42</v>
      </c>
      <c r="C5107" s="18" t="str">
        <f aca="false">'SALES Raw'!H2861</f>
        <v>391W-39-42</v>
      </c>
      <c r="D5107" s="19" t="n">
        <f aca="false">'SALES Raw'!C2861</f>
        <v>1</v>
      </c>
      <c r="E5107" s="19" t="n">
        <f aca="false">'SALES Raw'!D2861</f>
        <v>0.04</v>
      </c>
      <c r="F5107" s="19" t="n">
        <f aca="false">'SALES Raw'!E2861*$H$4</f>
        <v>0</v>
      </c>
      <c r="G5107" s="19" t="n">
        <f aca="false">'SALES Raw'!F2861*$H$4</f>
        <v>0</v>
      </c>
      <c r="H5107" s="18" t="str">
        <f aca="false">'SALES Raw'!A2861</f>
        <v>201- Seven Gear FINLAND oy</v>
      </c>
    </row>
    <row r="5108" customFormat="false" ht="15" hidden="false" customHeight="false" outlineLevel="0" collapsed="false">
      <c r="A5108" s="18" t="str">
        <f aca="false">'SALES Raw'!G2862</f>
        <v/>
      </c>
      <c r="B5108" s="18" t="str">
        <f aca="false">'SALES Raw'!B2862</f>
        <v>397-35-38</v>
      </c>
      <c r="C5108" s="18" t="str">
        <f aca="false">'SALES Raw'!H2862</f>
        <v>397-35-38</v>
      </c>
      <c r="D5108" s="19" t="n">
        <f aca="false">'SALES Raw'!C2862</f>
        <v>100</v>
      </c>
      <c r="E5108" s="19" t="n">
        <f aca="false">'SALES Raw'!D2862</f>
        <v>3125.8</v>
      </c>
      <c r="F5108" s="19" t="n">
        <f aca="false">'SALES Raw'!E2862*$H$4</f>
        <v>0</v>
      </c>
      <c r="G5108" s="19" t="n">
        <f aca="false">'SALES Raw'!F2862*$H$4</f>
        <v>0</v>
      </c>
      <c r="H5108" s="18" t="str">
        <f aca="false">'SALES Raw'!A2862</f>
        <v>201- Seven Gear FINLAND oy</v>
      </c>
    </row>
    <row r="5109" customFormat="false" ht="15" hidden="false" customHeight="false" outlineLevel="0" collapsed="false">
      <c r="A5109" s="18" t="n">
        <f aca="false">'SALES Raw'!G2863</f>
        <v>4403029</v>
      </c>
      <c r="B5109" s="18" t="str">
        <f aca="false">'SALES Raw'!B2863</f>
        <v>397-39-42</v>
      </c>
      <c r="C5109" s="18" t="str">
        <f aca="false">'SALES Raw'!H2863</f>
        <v>397 39-42 גרבי טיסה מידה</v>
      </c>
      <c r="D5109" s="19" t="n">
        <f aca="false">'SALES Raw'!C2863</f>
        <v>170</v>
      </c>
      <c r="E5109" s="19" t="n">
        <f aca="false">'SALES Raw'!D2863</f>
        <v>5271.27</v>
      </c>
      <c r="F5109" s="19" t="n">
        <f aca="false">'SALES Raw'!E2863*$H$4</f>
        <v>0</v>
      </c>
      <c r="G5109" s="19" t="n">
        <f aca="false">'SALES Raw'!F2863*$H$4</f>
        <v>0</v>
      </c>
      <c r="H5109" s="18" t="str">
        <f aca="false">'SALES Raw'!A2863</f>
        <v>201- Seven Gear FINLAND oy</v>
      </c>
    </row>
    <row r="5110" customFormat="false" ht="15" hidden="false" customHeight="false" outlineLevel="0" collapsed="false">
      <c r="A5110" s="18" t="str">
        <f aca="false">'SALES Raw'!G2864</f>
        <v/>
      </c>
      <c r="B5110" s="18" t="str">
        <f aca="false">'SALES Raw'!B2864</f>
        <v>397-43-46</v>
      </c>
      <c r="C5110" s="18" t="str">
        <f aca="false">'SALES Raw'!H2864</f>
        <v>397-43-46</v>
      </c>
      <c r="D5110" s="19" t="n">
        <f aca="false">'SALES Raw'!C2864</f>
        <v>120</v>
      </c>
      <c r="E5110" s="19" t="n">
        <f aca="false">'SALES Raw'!D2864</f>
        <v>3741.27</v>
      </c>
      <c r="F5110" s="19" t="n">
        <f aca="false">'SALES Raw'!E2864*$H$4</f>
        <v>0</v>
      </c>
      <c r="G5110" s="19" t="n">
        <f aca="false">'SALES Raw'!F2864*$H$4</f>
        <v>0</v>
      </c>
      <c r="H5110" s="18" t="str">
        <f aca="false">'SALES Raw'!A2864</f>
        <v>201- Seven Gear FINLAND oy</v>
      </c>
    </row>
    <row r="5111" customFormat="false" ht="15" hidden="false" customHeight="false" outlineLevel="0" collapsed="false">
      <c r="A5111" s="18" t="n">
        <f aca="false">'SALES Raw'!G2868</f>
        <v>4413495</v>
      </c>
      <c r="B5111" s="18" t="str">
        <f aca="false">'SALES Raw'!B2868</f>
        <v>45B L</v>
      </c>
      <c r="C5111" s="18" t="str">
        <f aca="false">'SALES Raw'!H2868</f>
        <v>45B L מגן ברך שחור</v>
      </c>
      <c r="D5111" s="19" t="n">
        <f aca="false">'SALES Raw'!C2868</f>
        <v>80</v>
      </c>
      <c r="E5111" s="19" t="n">
        <f aca="false">'SALES Raw'!D2868</f>
        <v>947.66</v>
      </c>
      <c r="F5111" s="19" t="n">
        <f aca="false">'SALES Raw'!E2868*$H$4</f>
        <v>0</v>
      </c>
      <c r="G5111" s="19" t="n">
        <f aca="false">'SALES Raw'!F2868*$H$4</f>
        <v>0</v>
      </c>
      <c r="H5111" s="18" t="str">
        <f aca="false">'SALES Raw'!A2868</f>
        <v>201- Seven Gear FINLAND oy</v>
      </c>
    </row>
    <row r="5112" customFormat="false" ht="15" hidden="false" customHeight="false" outlineLevel="0" collapsed="false">
      <c r="A5112" s="18" t="n">
        <f aca="false">'SALES Raw'!G2869</f>
        <v>4413497</v>
      </c>
      <c r="B5112" s="18" t="str">
        <f aca="false">'SALES Raw'!B2869</f>
        <v>45B M</v>
      </c>
      <c r="C5112" s="18" t="str">
        <f aca="false">'SALES Raw'!H2869</f>
        <v>45B M מגן ברך שחור</v>
      </c>
      <c r="D5112" s="19" t="n">
        <f aca="false">'SALES Raw'!C2869</f>
        <v>70</v>
      </c>
      <c r="E5112" s="19" t="n">
        <f aca="false">'SALES Raw'!D2869</f>
        <v>827.99</v>
      </c>
      <c r="F5112" s="19" t="n">
        <f aca="false">'SALES Raw'!E2869*$H$4</f>
        <v>0</v>
      </c>
      <c r="G5112" s="19" t="n">
        <f aca="false">'SALES Raw'!F2869*$H$4</f>
        <v>0</v>
      </c>
      <c r="H5112" s="18" t="str">
        <f aca="false">'SALES Raw'!A2869</f>
        <v>201- Seven Gear FINLAND oy</v>
      </c>
    </row>
    <row r="5113" customFormat="false" ht="15" hidden="false" customHeight="false" outlineLevel="0" collapsed="false">
      <c r="A5113" s="18" t="n">
        <f aca="false">'SALES Raw'!G2870</f>
        <v>4413498</v>
      </c>
      <c r="B5113" s="18" t="str">
        <f aca="false">'SALES Raw'!B2870</f>
        <v>45B S</v>
      </c>
      <c r="C5113" s="18" t="str">
        <f aca="false">'SALES Raw'!H2870</f>
        <v>45B S מגן ברך שחור</v>
      </c>
      <c r="D5113" s="19" t="n">
        <f aca="false">'SALES Raw'!C2870</f>
        <v>20</v>
      </c>
      <c r="E5113" s="19" t="n">
        <f aca="false">'SALES Raw'!D2870</f>
        <v>239.35</v>
      </c>
      <c r="F5113" s="19" t="n">
        <f aca="false">'SALES Raw'!E2870*$H$4</f>
        <v>0</v>
      </c>
      <c r="G5113" s="19" t="n">
        <f aca="false">'SALES Raw'!F2870*$H$4</f>
        <v>0</v>
      </c>
      <c r="H5113" s="18" t="str">
        <f aca="false">'SALES Raw'!A2870</f>
        <v>201- Seven Gear FINLAND oy</v>
      </c>
    </row>
    <row r="5114" customFormat="false" ht="15" hidden="false" customHeight="false" outlineLevel="0" collapsed="false">
      <c r="A5114" s="18" t="n">
        <f aca="false">'SALES Raw'!G2871</f>
        <v>4413496</v>
      </c>
      <c r="B5114" s="18" t="str">
        <f aca="false">'SALES Raw'!B2871</f>
        <v>45B XL</v>
      </c>
      <c r="C5114" s="18" t="str">
        <f aca="false">'SALES Raw'!H2871</f>
        <v>45B XL מגן ברך שחור</v>
      </c>
      <c r="D5114" s="19" t="n">
        <f aca="false">'SALES Raw'!C2871</f>
        <v>50</v>
      </c>
      <c r="E5114" s="19" t="n">
        <f aca="false">'SALES Raw'!D2871</f>
        <v>595.13</v>
      </c>
      <c r="F5114" s="19" t="n">
        <f aca="false">'SALES Raw'!E2871*$H$4</f>
        <v>0</v>
      </c>
      <c r="G5114" s="19" t="n">
        <f aca="false">'SALES Raw'!F2871*$H$4</f>
        <v>0</v>
      </c>
      <c r="H5114" s="18" t="str">
        <f aca="false">'SALES Raw'!A2871</f>
        <v>201- Seven Gear FINLAND oy</v>
      </c>
    </row>
    <row r="5115" customFormat="false" ht="15" hidden="false" customHeight="false" outlineLevel="0" collapsed="false">
      <c r="A5115" s="18" t="n">
        <f aca="false">'SALES Raw'!G2872</f>
        <v>4413499</v>
      </c>
      <c r="B5115" s="18" t="str">
        <f aca="false">'SALES Raw'!B2872</f>
        <v>45B XXL</v>
      </c>
      <c r="C5115" s="18" t="str">
        <f aca="false">'SALES Raw'!H2872</f>
        <v>45B XXLמגן ברך שחור</v>
      </c>
      <c r="D5115" s="19" t="n">
        <f aca="false">'SALES Raw'!C2872</f>
        <v>35</v>
      </c>
      <c r="E5115" s="19" t="n">
        <f aca="false">'SALES Raw'!D2872</f>
        <v>423.61</v>
      </c>
      <c r="F5115" s="19" t="n">
        <f aca="false">'SALES Raw'!E2872*$H$4</f>
        <v>0</v>
      </c>
      <c r="G5115" s="19" t="n">
        <f aca="false">'SALES Raw'!F2872*$H$4</f>
        <v>0</v>
      </c>
      <c r="H5115" s="18" t="str">
        <f aca="false">'SALES Raw'!A2872</f>
        <v>201- Seven Gear FINLAND oy</v>
      </c>
    </row>
    <row r="5116" customFormat="false" ht="15" hidden="false" customHeight="false" outlineLevel="0" collapsed="false">
      <c r="A5116" s="18" t="str">
        <f aca="false">'SALES Raw'!G2873</f>
        <v/>
      </c>
      <c r="B5116" s="18" t="str">
        <f aca="false">'SALES Raw'!B2873</f>
        <v>78A XXL</v>
      </c>
      <c r="C5116" s="18" t="str">
        <f aca="false">'SALES Raw'!H2873</f>
        <v>78A XXL</v>
      </c>
      <c r="D5116" s="19" t="n">
        <f aca="false">'SALES Raw'!C2873</f>
        <v>1</v>
      </c>
      <c r="E5116" s="19" t="n">
        <f aca="false">'SALES Raw'!D2873</f>
        <v>65.35</v>
      </c>
      <c r="F5116" s="19" t="n">
        <f aca="false">'SALES Raw'!E2873*$H$4</f>
        <v>0</v>
      </c>
      <c r="G5116" s="19" t="n">
        <f aca="false">'SALES Raw'!F2873*$H$4</f>
        <v>0</v>
      </c>
      <c r="H5116" s="18" t="str">
        <f aca="false">'SALES Raw'!A2873</f>
        <v>201- Seven Gear FINLAND oy</v>
      </c>
    </row>
    <row r="5117" customFormat="false" ht="15" hidden="false" customHeight="false" outlineLevel="0" collapsed="false">
      <c r="A5117" s="18" t="n">
        <f aca="false">'SALES Raw'!G2874</f>
        <v>4422000</v>
      </c>
      <c r="B5117" s="18" t="str">
        <f aca="false">'SALES Raw'!B2874</f>
        <v>801 0</v>
      </c>
      <c r="C5117" s="18" t="str">
        <f aca="false">'SALES Raw'!H2874</f>
        <v>801  תחבושת אלסטית מקררת</v>
      </c>
      <c r="D5117" s="19" t="n">
        <f aca="false">'SALES Raw'!C2874</f>
        <v>130</v>
      </c>
      <c r="E5117" s="19" t="n">
        <f aca="false">'SALES Raw'!D2874</f>
        <v>1382.91</v>
      </c>
      <c r="F5117" s="19" t="n">
        <f aca="false">'SALES Raw'!E2874*$H$4</f>
        <v>0</v>
      </c>
      <c r="G5117" s="19" t="n">
        <f aca="false">'SALES Raw'!F2874*$H$4</f>
        <v>0</v>
      </c>
      <c r="H5117" s="18" t="str">
        <f aca="false">'SALES Raw'!A2874</f>
        <v>201- Seven Gear FINLAND oy</v>
      </c>
    </row>
    <row r="5118" customFormat="false" ht="15" hidden="false" customHeight="false" outlineLevel="0" collapsed="false">
      <c r="A5118" s="18" t="n">
        <f aca="false">'SALES Raw'!G2875</f>
        <v>4413135</v>
      </c>
      <c r="B5118" s="18" t="str">
        <f aca="false">'SALES Raw'!B2875</f>
        <v>85 L</v>
      </c>
      <c r="C5118" s="18" t="str">
        <f aca="false">'SALES Raw'!H2875</f>
        <v>85 L (מתלה ליד )כיס</v>
      </c>
      <c r="D5118" s="19" t="n">
        <f aca="false">'SALES Raw'!C2875</f>
        <v>50</v>
      </c>
      <c r="E5118" s="19" t="n">
        <f aca="false">'SALES Raw'!D2875</f>
        <v>1050</v>
      </c>
      <c r="F5118" s="19" t="n">
        <f aca="false">'SALES Raw'!E2875*$H$4</f>
        <v>0</v>
      </c>
      <c r="G5118" s="19" t="n">
        <f aca="false">'SALES Raw'!F2875*$H$4</f>
        <v>0</v>
      </c>
      <c r="H5118" s="18" t="str">
        <f aca="false">'SALES Raw'!A2875</f>
        <v>201- Seven Gear FINLAND oy</v>
      </c>
    </row>
    <row r="5119" customFormat="false" ht="15" hidden="false" customHeight="false" outlineLevel="0" collapsed="false">
      <c r="A5119" s="18" t="n">
        <f aca="false">'SALES Raw'!G2876</f>
        <v>4413136</v>
      </c>
      <c r="B5119" s="18" t="str">
        <f aca="false">'SALES Raw'!B2876</f>
        <v>85 M</v>
      </c>
      <c r="C5119" s="18" t="str">
        <f aca="false">'SALES Raw'!H2876</f>
        <v>85 M (מתלה ליד )כיס</v>
      </c>
      <c r="D5119" s="19" t="n">
        <f aca="false">'SALES Raw'!C2876</f>
        <v>50</v>
      </c>
      <c r="E5119" s="19" t="n">
        <f aca="false">'SALES Raw'!D2876</f>
        <v>1050</v>
      </c>
      <c r="F5119" s="19" t="n">
        <f aca="false">'SALES Raw'!E2876*$H$4</f>
        <v>0</v>
      </c>
      <c r="G5119" s="19" t="n">
        <f aca="false">'SALES Raw'!F2876*$H$4</f>
        <v>0</v>
      </c>
      <c r="H5119" s="18" t="str">
        <f aca="false">'SALES Raw'!A2876</f>
        <v>201- Seven Gear FINLAND oy</v>
      </c>
    </row>
    <row r="5120" customFormat="false" ht="15" hidden="false" customHeight="false" outlineLevel="0" collapsed="false">
      <c r="A5120" s="18" t="n">
        <f aca="false">'SALES Raw'!G2877</f>
        <v>4413137</v>
      </c>
      <c r="B5120" s="18" t="str">
        <f aca="false">'SALES Raw'!B2877</f>
        <v>85 S</v>
      </c>
      <c r="C5120" s="18" t="str">
        <f aca="false">'SALES Raw'!H2877</f>
        <v>85 S (מתלה ליד )כיס</v>
      </c>
      <c r="D5120" s="19" t="n">
        <f aca="false">'SALES Raw'!C2877</f>
        <v>40</v>
      </c>
      <c r="E5120" s="19" t="n">
        <f aca="false">'SALES Raw'!D2877</f>
        <v>846.71</v>
      </c>
      <c r="F5120" s="19" t="n">
        <f aca="false">'SALES Raw'!E2877*$H$4</f>
        <v>0</v>
      </c>
      <c r="G5120" s="19" t="n">
        <f aca="false">'SALES Raw'!F2877*$H$4</f>
        <v>0</v>
      </c>
      <c r="H5120" s="18" t="str">
        <f aca="false">'SALES Raw'!A2877</f>
        <v>201- Seven Gear FINLAND oy</v>
      </c>
    </row>
    <row r="5121" customFormat="false" ht="15" hidden="false" customHeight="false" outlineLevel="0" collapsed="false">
      <c r="A5121" s="18" t="n">
        <f aca="false">'SALES Raw'!G2878</f>
        <v>4413138</v>
      </c>
      <c r="B5121" s="18" t="str">
        <f aca="false">'SALES Raw'!B2878</f>
        <v>85 XL</v>
      </c>
      <c r="C5121" s="18" t="str">
        <f aca="false">'SALES Raw'!H2878</f>
        <v>85 XL (מתלה ליד )כיס</v>
      </c>
      <c r="D5121" s="19" t="n">
        <f aca="false">'SALES Raw'!C2878</f>
        <v>15</v>
      </c>
      <c r="E5121" s="19" t="n">
        <f aca="false">'SALES Raw'!D2878</f>
        <v>304.94</v>
      </c>
      <c r="F5121" s="19" t="n">
        <f aca="false">'SALES Raw'!E2878*$H$4</f>
        <v>0</v>
      </c>
      <c r="G5121" s="19" t="n">
        <f aca="false">'SALES Raw'!F2878*$H$4</f>
        <v>0</v>
      </c>
      <c r="H5121" s="18" t="str">
        <f aca="false">'SALES Raw'!A2878</f>
        <v>201- Seven Gear FINLAND oy</v>
      </c>
    </row>
    <row r="5122" customFormat="false" ht="15" hidden="false" customHeight="false" outlineLevel="0" collapsed="false">
      <c r="A5122" s="18" t="n">
        <f aca="false">'SALES Raw'!G2882</f>
        <v>4408205</v>
      </c>
      <c r="B5122" s="18" t="str">
        <f aca="false">'SALES Raw'!B2882</f>
        <v>AC07 0</v>
      </c>
      <c r="C5122" s="18" t="str">
        <f aca="false">'SALES Raw'!H2882</f>
        <v>AC-07 חגורת גב עם תמיכות</v>
      </c>
      <c r="D5122" s="19" t="n">
        <f aca="false">'SALES Raw'!C2882</f>
        <v>60</v>
      </c>
      <c r="E5122" s="19" t="n">
        <f aca="false">'SALES Raw'!D2882</f>
        <v>2564.02</v>
      </c>
      <c r="F5122" s="19" t="n">
        <f aca="false">'SALES Raw'!E2882*$H$4</f>
        <v>0</v>
      </c>
      <c r="G5122" s="19" t="n">
        <f aca="false">'SALES Raw'!F2882*$H$4</f>
        <v>0</v>
      </c>
      <c r="H5122" s="18" t="str">
        <f aca="false">'SALES Raw'!A2882</f>
        <v>201- Seven Gear FINLAND oy</v>
      </c>
    </row>
    <row r="5123" customFormat="false" ht="15" hidden="false" customHeight="false" outlineLevel="0" collapsed="false">
      <c r="A5123" s="18" t="n">
        <f aca="false">'SALES Raw'!G2884</f>
        <v>4415026</v>
      </c>
      <c r="B5123" s="18" t="str">
        <f aca="false">'SALES Raw'!B2884</f>
        <v>AC27L 0</v>
      </c>
      <c r="C5123" s="18" t="str">
        <f aca="false">'SALES Raw'!H2884</f>
        <v>AC-27L סד לש.כף יד שמאל</v>
      </c>
      <c r="D5123" s="19" t="n">
        <f aca="false">'SALES Raw'!C2884</f>
        <v>30</v>
      </c>
      <c r="E5123" s="19" t="n">
        <f aca="false">'SALES Raw'!D2884</f>
        <v>934.5</v>
      </c>
      <c r="F5123" s="19" t="n">
        <f aca="false">'SALES Raw'!E2884*$H$4</f>
        <v>0</v>
      </c>
      <c r="G5123" s="19" t="n">
        <f aca="false">'SALES Raw'!F2884*$H$4</f>
        <v>0</v>
      </c>
      <c r="H5123" s="18" t="str">
        <f aca="false">'SALES Raw'!A2884</f>
        <v>201- Seven Gear FINLAND oy</v>
      </c>
    </row>
    <row r="5124" customFormat="false" ht="15" hidden="false" customHeight="false" outlineLevel="0" collapsed="false">
      <c r="A5124" s="18" t="n">
        <f aca="false">'SALES Raw'!G2885</f>
        <v>4415027</v>
      </c>
      <c r="B5124" s="18" t="str">
        <f aca="false">'SALES Raw'!B2885</f>
        <v>AC27R 0</v>
      </c>
      <c r="C5124" s="18" t="str">
        <f aca="false">'SALES Raw'!H2885</f>
        <v>AC-27R סד לש.כף יד ימין</v>
      </c>
      <c r="D5124" s="19" t="n">
        <f aca="false">'SALES Raw'!C2885</f>
        <v>40</v>
      </c>
      <c r="E5124" s="19" t="n">
        <f aca="false">'SALES Raw'!D2885</f>
        <v>1251.74</v>
      </c>
      <c r="F5124" s="19" t="n">
        <f aca="false">'SALES Raw'!E2885*$H$4</f>
        <v>0</v>
      </c>
      <c r="G5124" s="19" t="n">
        <f aca="false">'SALES Raw'!F2885*$H$4</f>
        <v>0</v>
      </c>
      <c r="H5124" s="18" t="str">
        <f aca="false">'SALES Raw'!A2885</f>
        <v>201- Seven Gear FINLAND oy</v>
      </c>
    </row>
    <row r="5125" customFormat="false" ht="15" hidden="false" customHeight="false" outlineLevel="0" collapsed="false">
      <c r="A5125" s="18" t="n">
        <f aca="false">'SALES Raw'!G2887</f>
        <v>4413326</v>
      </c>
      <c r="B5125" s="18" t="str">
        <f aca="false">'SALES Raw'!B2887</f>
        <v>AC37 0</v>
      </c>
      <c r="C5125" s="18" t="str">
        <f aca="false">'SALES Raw'!H2887</f>
        <v>AC37 מגן קרסול נושם</v>
      </c>
      <c r="D5125" s="19" t="n">
        <f aca="false">'SALES Raw'!C2887</f>
        <v>30</v>
      </c>
      <c r="E5125" s="19" t="n">
        <f aca="false">'SALES Raw'!D2887</f>
        <v>598.37</v>
      </c>
      <c r="F5125" s="19" t="n">
        <f aca="false">'SALES Raw'!E2887*$H$4</f>
        <v>0</v>
      </c>
      <c r="G5125" s="19" t="n">
        <f aca="false">'SALES Raw'!F2887*$H$4</f>
        <v>0</v>
      </c>
      <c r="H5125" s="18" t="str">
        <f aca="false">'SALES Raw'!A2887</f>
        <v>201- Seven Gear FINLAND oy</v>
      </c>
    </row>
    <row r="5126" customFormat="false" ht="15" hidden="false" customHeight="false" outlineLevel="0" collapsed="false">
      <c r="A5126" s="18" t="n">
        <f aca="false">'SALES Raw'!G2888</f>
        <v>4413328</v>
      </c>
      <c r="B5126" s="18" t="str">
        <f aca="false">'SALES Raw'!B2888</f>
        <v>AC43D 0</v>
      </c>
      <c r="C5126" s="18" t="str">
        <f aca="false">'SALES Raw'!H2888</f>
        <v>AC43D מגן ברך + צירים</v>
      </c>
      <c r="D5126" s="19" t="n">
        <f aca="false">'SALES Raw'!C2888</f>
        <v>20</v>
      </c>
      <c r="E5126" s="19" t="n">
        <f aca="false">'SALES Raw'!D2888</f>
        <v>959.45</v>
      </c>
      <c r="F5126" s="19" t="n">
        <f aca="false">'SALES Raw'!E2888*$H$4</f>
        <v>0</v>
      </c>
      <c r="G5126" s="19" t="n">
        <f aca="false">'SALES Raw'!F2888*$H$4</f>
        <v>0</v>
      </c>
      <c r="H5126" s="18" t="str">
        <f aca="false">'SALES Raw'!A2888</f>
        <v>201- Seven Gear FINLAND oy</v>
      </c>
    </row>
    <row r="5127" customFormat="false" ht="15" hidden="false" customHeight="false" outlineLevel="0" collapsed="false">
      <c r="A5127" s="18" t="n">
        <f aca="false">'SALES Raw'!G2905</f>
        <v>4408230</v>
      </c>
      <c r="B5127" s="18" t="str">
        <f aca="false">'SALES Raw'!B2905</f>
        <v>16-L-XL</v>
      </c>
      <c r="C5127" s="18" t="str">
        <f aca="false">'SALES Raw'!H2905</f>
        <v>16 L-XL חגורת הריון</v>
      </c>
      <c r="D5127" s="19" t="n">
        <f aca="false">'SALES Raw'!C2905</f>
        <v>48</v>
      </c>
      <c r="E5127" s="19" t="n">
        <f aca="false">'SALES Raw'!D2905</f>
        <v>3774.69</v>
      </c>
      <c r="F5127" s="19" t="n">
        <f aca="false">'SALES Raw'!E2905*$H$4</f>
        <v>0</v>
      </c>
      <c r="G5127" s="19" t="n">
        <f aca="false">'SALES Raw'!F2905*$H$4</f>
        <v>0</v>
      </c>
      <c r="H5127" s="18" t="str">
        <f aca="false">'SALES Raw'!A2905</f>
        <v>202 - Super-Pharm POLAND</v>
      </c>
    </row>
    <row r="5128" customFormat="false" ht="15" hidden="false" customHeight="false" outlineLevel="0" collapsed="false">
      <c r="A5128" s="18" t="n">
        <f aca="false">'SALES Raw'!G2910</f>
        <v>4408049</v>
      </c>
      <c r="B5128" s="18" t="str">
        <f aca="false">'SALES Raw'!B2910</f>
        <v>20 XL</v>
      </c>
      <c r="C5128" s="18" t="str">
        <f aca="false">'SALES Raw'!H2910</f>
        <v>20 XL חבק יד מתכוון עם צמדן</v>
      </c>
      <c r="D5128" s="19" t="n">
        <f aca="false">'SALES Raw'!C2910</f>
        <v>90</v>
      </c>
      <c r="E5128" s="19" t="n">
        <f aca="false">'SALES Raw'!D2910</f>
        <v>1847.12</v>
      </c>
      <c r="F5128" s="19" t="n">
        <f aca="false">'SALES Raw'!E2910*$H$4</f>
        <v>0</v>
      </c>
      <c r="G5128" s="19" t="n">
        <f aca="false">'SALES Raw'!F2910*$H$4</f>
        <v>0</v>
      </c>
      <c r="H5128" s="18" t="str">
        <f aca="false">'SALES Raw'!A2910</f>
        <v>202 - Super-Pharm POLAND</v>
      </c>
    </row>
    <row r="5129" customFormat="false" ht="15" hidden="false" customHeight="false" outlineLevel="0" collapsed="false">
      <c r="A5129" s="18" t="str">
        <f aca="false">'SALES Raw'!G2953</f>
        <v/>
      </c>
      <c r="B5129" s="18" t="str">
        <f aca="false">'SALES Raw'!B2953</f>
        <v>391W-39-42</v>
      </c>
      <c r="C5129" s="18" t="str">
        <f aca="false">'SALES Raw'!H2953</f>
        <v>391W-39-42</v>
      </c>
      <c r="D5129" s="19" t="n">
        <f aca="false">'SALES Raw'!C2953</f>
        <v>1</v>
      </c>
      <c r="E5129" s="19" t="n">
        <f aca="false">'SALES Raw'!D2953</f>
        <v>0.04</v>
      </c>
      <c r="F5129" s="19" t="n">
        <f aca="false">'SALES Raw'!E2953*$H$4</f>
        <v>0</v>
      </c>
      <c r="G5129" s="19" t="n">
        <f aca="false">'SALES Raw'!F2953*$H$4</f>
        <v>0</v>
      </c>
      <c r="H5129" s="18" t="str">
        <f aca="false">'SALES Raw'!A2953</f>
        <v>202 - Super-Pharm POLAND</v>
      </c>
    </row>
    <row r="5130" customFormat="false" ht="15" hidden="false" customHeight="false" outlineLevel="0" collapsed="false">
      <c r="A5130" s="18" t="n">
        <f aca="false">'SALES Raw'!G2954</f>
        <v>4403044</v>
      </c>
      <c r="B5130" s="18" t="str">
        <f aca="false">'SALES Raw'!B2954</f>
        <v>395B-39-42</v>
      </c>
      <c r="C5130" s="18" t="str">
        <f aca="false">'SALES Raw'!H2954</f>
        <v>395B גרבי קיץ אנטי בקטריא39-42</v>
      </c>
      <c r="D5130" s="19" t="n">
        <f aca="false">'SALES Raw'!C2954</f>
        <v>1</v>
      </c>
      <c r="E5130" s="19" t="n">
        <f aca="false">'SALES Raw'!D2954</f>
        <v>0.04</v>
      </c>
      <c r="F5130" s="19" t="n">
        <f aca="false">'SALES Raw'!E2954*$H$4</f>
        <v>0</v>
      </c>
      <c r="G5130" s="19" t="n">
        <f aca="false">'SALES Raw'!F2954*$H$4</f>
        <v>0</v>
      </c>
      <c r="H5130" s="18" t="str">
        <f aca="false">'SALES Raw'!A2954</f>
        <v>202 - Super-Pharm POLAND</v>
      </c>
    </row>
    <row r="5131" customFormat="false" ht="15" hidden="false" customHeight="false" outlineLevel="0" collapsed="false">
      <c r="A5131" s="18" t="str">
        <f aca="false">'SALES Raw'!G2955</f>
        <v/>
      </c>
      <c r="B5131" s="18" t="str">
        <f aca="false">'SALES Raw'!B2955</f>
        <v>397-35-38</v>
      </c>
      <c r="C5131" s="18" t="str">
        <f aca="false">'SALES Raw'!H2955</f>
        <v>397-35-38</v>
      </c>
      <c r="D5131" s="19" t="n">
        <f aca="false">'SALES Raw'!C2955</f>
        <v>440</v>
      </c>
      <c r="E5131" s="19" t="n">
        <f aca="false">'SALES Raw'!D2955</f>
        <v>15215.67</v>
      </c>
      <c r="F5131" s="19" t="n">
        <f aca="false">'SALES Raw'!E2955*$H$4</f>
        <v>0</v>
      </c>
      <c r="G5131" s="19" t="n">
        <f aca="false">'SALES Raw'!F2955*$H$4</f>
        <v>0</v>
      </c>
      <c r="H5131" s="18" t="str">
        <f aca="false">'SALES Raw'!A2955</f>
        <v>202 - Super-Pharm POLAND</v>
      </c>
    </row>
    <row r="5132" customFormat="false" ht="15" hidden="false" customHeight="false" outlineLevel="0" collapsed="false">
      <c r="A5132" s="18" t="n">
        <f aca="false">'SALES Raw'!G2956</f>
        <v>4403029</v>
      </c>
      <c r="B5132" s="18" t="str">
        <f aca="false">'SALES Raw'!B2956</f>
        <v>397-39-42</v>
      </c>
      <c r="C5132" s="18" t="str">
        <f aca="false">'SALES Raw'!H2956</f>
        <v>397 39-42 גרבי טיסה מידה</v>
      </c>
      <c r="D5132" s="19" t="n">
        <f aca="false">'SALES Raw'!C2956</f>
        <v>510</v>
      </c>
      <c r="E5132" s="19" t="n">
        <f aca="false">'SALES Raw'!D2956</f>
        <v>17600.36</v>
      </c>
      <c r="F5132" s="19" t="n">
        <f aca="false">'SALES Raw'!E2956*$H$4</f>
        <v>0</v>
      </c>
      <c r="G5132" s="19" t="n">
        <f aca="false">'SALES Raw'!F2956*$H$4</f>
        <v>0</v>
      </c>
      <c r="H5132" s="18" t="str">
        <f aca="false">'SALES Raw'!A2956</f>
        <v>202 - Super-Pharm POLAND</v>
      </c>
    </row>
    <row r="5133" customFormat="false" ht="15" hidden="false" customHeight="false" outlineLevel="0" collapsed="false">
      <c r="A5133" s="18" t="str">
        <f aca="false">'SALES Raw'!G2957</f>
        <v/>
      </c>
      <c r="B5133" s="18" t="str">
        <f aca="false">'SALES Raw'!B2957</f>
        <v>397-43-46</v>
      </c>
      <c r="C5133" s="18" t="str">
        <f aca="false">'SALES Raw'!H2957</f>
        <v>397-43-46</v>
      </c>
      <c r="D5133" s="19" t="n">
        <f aca="false">'SALES Raw'!C2957</f>
        <v>430</v>
      </c>
      <c r="E5133" s="19" t="n">
        <f aca="false">'SALES Raw'!D2957</f>
        <v>14809.75</v>
      </c>
      <c r="F5133" s="19" t="n">
        <f aca="false">'SALES Raw'!E2957*$H$4</f>
        <v>0</v>
      </c>
      <c r="G5133" s="19" t="n">
        <f aca="false">'SALES Raw'!F2957*$H$4</f>
        <v>0</v>
      </c>
      <c r="H5133" s="18" t="str">
        <f aca="false">'SALES Raw'!A2957</f>
        <v>202 - Super-Pharm POLAND</v>
      </c>
    </row>
    <row r="5134" customFormat="false" ht="15" hidden="false" customHeight="false" outlineLevel="0" collapsed="false">
      <c r="A5134" s="18" t="n">
        <f aca="false">'SALES Raw'!G2979</f>
        <v>4409017</v>
      </c>
      <c r="B5134" s="18" t="str">
        <f aca="false">'SALES Raw'!B2979</f>
        <v>808KT-B</v>
      </c>
      <c r="C5134" s="18" t="str">
        <f aca="false">'SALES Raw'!H2979</f>
        <v>808KT-B        טייפ קינזיולוגי</v>
      </c>
      <c r="D5134" s="19" t="n">
        <f aca="false">'SALES Raw'!C2979</f>
        <v>500</v>
      </c>
      <c r="E5134" s="19" t="n">
        <f aca="false">'SALES Raw'!D2979</f>
        <v>9000.24</v>
      </c>
      <c r="F5134" s="19" t="n">
        <f aca="false">'SALES Raw'!E2979*$H$4</f>
        <v>0</v>
      </c>
      <c r="G5134" s="19" t="n">
        <f aca="false">'SALES Raw'!F2979*$H$4</f>
        <v>0</v>
      </c>
      <c r="H5134" s="18" t="str">
        <f aca="false">'SALES Raw'!A2979</f>
        <v>202 - Super-Pharm POLAND</v>
      </c>
    </row>
    <row r="5135" customFormat="false" ht="15" hidden="false" customHeight="false" outlineLevel="0" collapsed="false">
      <c r="A5135" s="18" t="n">
        <f aca="false">'SALES Raw'!G2980</f>
        <v>4409015</v>
      </c>
      <c r="B5135" s="18" t="str">
        <f aca="false">'SALES Raw'!B2980</f>
        <v>808KT-BL</v>
      </c>
      <c r="C5135" s="18" t="str">
        <f aca="false">'SALES Raw'!H2980</f>
        <v>808KT-BL       טייפ קינזיולוגי</v>
      </c>
      <c r="D5135" s="19" t="n">
        <f aca="false">'SALES Raw'!C2980</f>
        <v>400</v>
      </c>
      <c r="E5135" s="19" t="n">
        <f aca="false">'SALES Raw'!D2980</f>
        <v>7200.19</v>
      </c>
      <c r="F5135" s="19" t="n">
        <f aca="false">'SALES Raw'!E2980*$H$4</f>
        <v>0</v>
      </c>
      <c r="G5135" s="19" t="n">
        <f aca="false">'SALES Raw'!F2980*$H$4</f>
        <v>0</v>
      </c>
      <c r="H5135" s="18" t="str">
        <f aca="false">'SALES Raw'!A2980</f>
        <v>202 - Super-Pharm POLAND</v>
      </c>
    </row>
    <row r="5136" customFormat="false" ht="15" hidden="false" customHeight="false" outlineLevel="0" collapsed="false">
      <c r="A5136" s="18" t="n">
        <f aca="false">'SALES Raw'!G2981</f>
        <v>4409016</v>
      </c>
      <c r="B5136" s="18" t="str">
        <f aca="false">'SALES Raw'!B2981</f>
        <v>808KT-C</v>
      </c>
      <c r="C5136" s="18" t="str">
        <f aca="false">'SALES Raw'!H2981</f>
        <v>808KT-C        טייפ קינזיולוגי</v>
      </c>
      <c r="D5136" s="19" t="n">
        <f aca="false">'SALES Raw'!C2981</f>
        <v>600</v>
      </c>
      <c r="E5136" s="19" t="n">
        <f aca="false">'SALES Raw'!D2981</f>
        <v>10800.29</v>
      </c>
      <c r="F5136" s="19" t="n">
        <f aca="false">'SALES Raw'!E2981*$H$4</f>
        <v>0</v>
      </c>
      <c r="G5136" s="19" t="n">
        <f aca="false">'SALES Raw'!F2981*$H$4</f>
        <v>0</v>
      </c>
      <c r="H5136" s="18" t="str">
        <f aca="false">'SALES Raw'!A2981</f>
        <v>202 - Super-Pharm POLAND</v>
      </c>
    </row>
    <row r="5137" customFormat="false" ht="15" hidden="false" customHeight="false" outlineLevel="0" collapsed="false">
      <c r="A5137" s="18" t="n">
        <f aca="false">'SALES Raw'!G2982</f>
        <v>4409014</v>
      </c>
      <c r="B5137" s="18" t="str">
        <f aca="false">'SALES Raw'!B2982</f>
        <v>808KT-P</v>
      </c>
      <c r="C5137" s="18" t="str">
        <f aca="false">'SALES Raw'!H2982</f>
        <v>808KT-P        טייפ קינזיולוגי</v>
      </c>
      <c r="D5137" s="19" t="n">
        <f aca="false">'SALES Raw'!C2982</f>
        <v>400</v>
      </c>
      <c r="E5137" s="19" t="n">
        <f aca="false">'SALES Raw'!D2982</f>
        <v>7200.19</v>
      </c>
      <c r="F5137" s="19" t="n">
        <f aca="false">'SALES Raw'!E2982*$H$4</f>
        <v>0</v>
      </c>
      <c r="G5137" s="19" t="n">
        <f aca="false">'SALES Raw'!F2982*$H$4</f>
        <v>0</v>
      </c>
      <c r="H5137" s="18" t="str">
        <f aca="false">'SALES Raw'!A2982</f>
        <v>202 - Super-Pharm POLAND</v>
      </c>
    </row>
    <row r="5138" customFormat="false" ht="15" hidden="false" customHeight="false" outlineLevel="0" collapsed="false">
      <c r="A5138" s="18" t="n">
        <f aca="false">'SALES Raw'!G3025</f>
        <v>4415073</v>
      </c>
      <c r="B5138" s="18" t="str">
        <f aca="false">'SALES Raw'!B3025</f>
        <v>T28A-L-XL</v>
      </c>
      <c r="C5138" s="18" t="str">
        <f aca="false">'SALES Raw'!H3025</f>
        <v>T28A L-XL סד לאגודל</v>
      </c>
      <c r="D5138" s="19" t="n">
        <f aca="false">'SALES Raw'!C3025</f>
        <v>130</v>
      </c>
      <c r="E5138" s="19" t="n">
        <f aca="false">'SALES Raw'!D3025</f>
        <v>4871.88</v>
      </c>
      <c r="F5138" s="19" t="n">
        <f aca="false">'SALES Raw'!E3025*$H$4</f>
        <v>0</v>
      </c>
      <c r="G5138" s="19" t="n">
        <f aca="false">'SALES Raw'!F3025*$H$4</f>
        <v>0</v>
      </c>
      <c r="H5138" s="18" t="str">
        <f aca="false">'SALES Raw'!A3025</f>
        <v>202 - Super-Pharm POLAND</v>
      </c>
    </row>
    <row r="5139" customFormat="false" ht="15" hidden="false" customHeight="false" outlineLevel="0" collapsed="false">
      <c r="A5139" s="18" t="n">
        <f aca="false">'SALES Raw'!G3029</f>
        <v>4408217</v>
      </c>
      <c r="B5139" s="18" t="str">
        <f aca="false">'SALES Raw'!B3029</f>
        <v>078 S</v>
      </c>
      <c r="C5139" s="18" t="str">
        <f aca="false">'SALES Raw'!H3029</f>
        <v>S078 חגורת גב +סגירה כפולה</v>
      </c>
      <c r="D5139" s="19" t="n">
        <f aca="false">'SALES Raw'!C3029</f>
        <v>10</v>
      </c>
      <c r="E5139" s="19" t="n">
        <f aca="false">'SALES Raw'!D3029</f>
        <v>574.7</v>
      </c>
      <c r="F5139" s="19" t="n">
        <f aca="false">'SALES Raw'!E3029*$H$4</f>
        <v>0</v>
      </c>
      <c r="G5139" s="19" t="n">
        <f aca="false">'SALES Raw'!F3029*$H$4</f>
        <v>0</v>
      </c>
      <c r="H5139" s="18" t="str">
        <f aca="false">'SALES Raw'!A3029</f>
        <v>203 - Ortho- Partner ag SWITZERLAND</v>
      </c>
    </row>
    <row r="5140" customFormat="false" ht="15" hidden="false" customHeight="false" outlineLevel="0" collapsed="false">
      <c r="A5140" s="18" t="n">
        <f aca="false">'SALES Raw'!G3031</f>
        <v>4408265</v>
      </c>
      <c r="B5140" s="18" t="str">
        <f aca="false">'SALES Raw'!B3031</f>
        <v>078 XXL</v>
      </c>
      <c r="C5140" s="18" t="str">
        <f aca="false">'SALES Raw'!H3031</f>
        <v>078XXL חגורת גב +סגירה כפולה</v>
      </c>
      <c r="D5140" s="19" t="n">
        <f aca="false">'SALES Raw'!C3031</f>
        <v>10</v>
      </c>
      <c r="E5140" s="19" t="n">
        <f aca="false">'SALES Raw'!D3031</f>
        <v>574.7</v>
      </c>
      <c r="F5140" s="19" t="n">
        <f aca="false">'SALES Raw'!E3031*$H$4</f>
        <v>0</v>
      </c>
      <c r="G5140" s="19" t="n">
        <f aca="false">'SALES Raw'!F3031*$H$4</f>
        <v>0</v>
      </c>
      <c r="H5140" s="18" t="str">
        <f aca="false">'SALES Raw'!A3031</f>
        <v>203 - Ortho- Partner ag SWITZERLAND</v>
      </c>
    </row>
    <row r="5141" customFormat="false" ht="15" hidden="false" customHeight="false" outlineLevel="0" collapsed="false">
      <c r="A5141" s="18" t="n">
        <f aca="false">'SALES Raw'!G3041</f>
        <v>4408149</v>
      </c>
      <c r="B5141" s="18" t="str">
        <f aca="false">'SALES Raw'!B3041</f>
        <v>11PS XXL</v>
      </c>
      <c r="C5141" s="18" t="str">
        <f aca="false">'SALES Raw'!H3041</f>
        <v>11PS XXLחגורה למנותחי בטן</v>
      </c>
      <c r="D5141" s="19" t="n">
        <f aca="false">'SALES Raw'!C3041</f>
        <v>12</v>
      </c>
      <c r="E5141" s="19" t="n">
        <f aca="false">'SALES Raw'!D3041</f>
        <v>633.15</v>
      </c>
      <c r="F5141" s="19" t="n">
        <f aca="false">'SALES Raw'!E3041*$H$4</f>
        <v>0</v>
      </c>
      <c r="G5141" s="19" t="n">
        <f aca="false">'SALES Raw'!F3041*$H$4</f>
        <v>0</v>
      </c>
      <c r="H5141" s="18" t="str">
        <f aca="false">'SALES Raw'!A3041</f>
        <v>203 - Ortho- Partner ag SWITZERLAND</v>
      </c>
    </row>
    <row r="5142" customFormat="false" ht="15" hidden="false" customHeight="false" outlineLevel="0" collapsed="false">
      <c r="A5142" s="18" t="str">
        <f aca="false">'SALES Raw'!G3043</f>
        <v/>
      </c>
      <c r="B5142" s="18" t="str">
        <f aca="false">'SALES Raw'!B3043</f>
        <v>15M M</v>
      </c>
      <c r="C5142" s="18" t="str">
        <f aca="false">'SALES Raw'!H3043</f>
        <v>15M M</v>
      </c>
      <c r="D5142" s="19" t="n">
        <f aca="false">'SALES Raw'!C3043</f>
        <v>12</v>
      </c>
      <c r="E5142" s="19" t="n">
        <f aca="false">'SALES Raw'!D3043</f>
        <v>669.64</v>
      </c>
      <c r="F5142" s="19" t="n">
        <f aca="false">'SALES Raw'!E3043*$H$4</f>
        <v>0</v>
      </c>
      <c r="G5142" s="19" t="n">
        <f aca="false">'SALES Raw'!F3043*$H$4</f>
        <v>0</v>
      </c>
      <c r="H5142" s="18" t="str">
        <f aca="false">'SALES Raw'!A3043</f>
        <v>203 - Ortho- Partner ag SWITZERLAND</v>
      </c>
    </row>
    <row r="5143" customFormat="false" ht="15" hidden="false" customHeight="false" outlineLevel="0" collapsed="false">
      <c r="A5143" s="18" t="n">
        <f aca="false">'SALES Raw'!G3045</f>
        <v>4408131</v>
      </c>
      <c r="B5143" s="18" t="str">
        <f aca="false">'SALES Raw'!B3045</f>
        <v>15W L</v>
      </c>
      <c r="C5143" s="18" t="str">
        <f aca="false">'SALES Raw'!H3045</f>
        <v>15W L חגורת צלעות לאשה</v>
      </c>
      <c r="D5143" s="19" t="n">
        <f aca="false">'SALES Raw'!C3045</f>
        <v>12</v>
      </c>
      <c r="E5143" s="19" t="n">
        <f aca="false">'SALES Raw'!D3045</f>
        <v>551.69</v>
      </c>
      <c r="F5143" s="19" t="n">
        <f aca="false">'SALES Raw'!E3045*$H$4</f>
        <v>0</v>
      </c>
      <c r="G5143" s="19" t="n">
        <f aca="false">'SALES Raw'!F3045*$H$4</f>
        <v>0</v>
      </c>
      <c r="H5143" s="18" t="str">
        <f aca="false">'SALES Raw'!A3045</f>
        <v>203 - Ortho- Partner ag SWITZERLAND</v>
      </c>
    </row>
    <row r="5144" customFormat="false" ht="15" hidden="false" customHeight="false" outlineLevel="0" collapsed="false">
      <c r="A5144" s="18" t="str">
        <f aca="false">'SALES Raw'!G3048</f>
        <v/>
      </c>
      <c r="B5144" s="18" t="str">
        <f aca="false">'SALES Raw'!B3048</f>
        <v>15W XL</v>
      </c>
      <c r="C5144" s="18" t="str">
        <f aca="false">'SALES Raw'!H3048</f>
        <v>15W XL</v>
      </c>
      <c r="D5144" s="19" t="n">
        <f aca="false">'SALES Raw'!C3048</f>
        <v>12</v>
      </c>
      <c r="E5144" s="19" t="n">
        <f aca="false">'SALES Raw'!D3048</f>
        <v>593.66</v>
      </c>
      <c r="F5144" s="19" t="n">
        <f aca="false">'SALES Raw'!E3048*$H$4</f>
        <v>0</v>
      </c>
      <c r="G5144" s="19" t="n">
        <f aca="false">'SALES Raw'!F3048*$H$4</f>
        <v>0</v>
      </c>
      <c r="H5144" s="18" t="str">
        <f aca="false">'SALES Raw'!A3048</f>
        <v>203 - Ortho- Partner ag SWITZERLAND</v>
      </c>
    </row>
    <row r="5145" customFormat="false" ht="15" hidden="false" customHeight="false" outlineLevel="0" collapsed="false">
      <c r="A5145" s="18" t="str">
        <f aca="false">'SALES Raw'!G3049</f>
        <v/>
      </c>
      <c r="B5145" s="18" t="str">
        <f aca="false">'SALES Raw'!B3049</f>
        <v>15W XS</v>
      </c>
      <c r="C5145" s="18" t="str">
        <f aca="false">'SALES Raw'!H3049</f>
        <v>15W XS</v>
      </c>
      <c r="D5145" s="19" t="n">
        <f aca="false">'SALES Raw'!C3049</f>
        <v>6</v>
      </c>
      <c r="E5145" s="19" t="n">
        <f aca="false">'SALES Raw'!D3049</f>
        <v>276.59</v>
      </c>
      <c r="F5145" s="19" t="n">
        <f aca="false">'SALES Raw'!E3049*$H$4</f>
        <v>0</v>
      </c>
      <c r="G5145" s="19" t="n">
        <f aca="false">'SALES Raw'!F3049*$H$4</f>
        <v>0</v>
      </c>
      <c r="H5145" s="18" t="str">
        <f aca="false">'SALES Raw'!A3049</f>
        <v>203 - Ortho- Partner ag SWITZERLAND</v>
      </c>
    </row>
    <row r="5146" customFormat="false" ht="15" hidden="false" customHeight="false" outlineLevel="0" collapsed="false">
      <c r="A5146" s="18" t="str">
        <f aca="false">'SALES Raw'!G3050</f>
        <v/>
      </c>
      <c r="B5146" s="18" t="str">
        <f aca="false">'SALES Raw'!B3050</f>
        <v>15W XXL</v>
      </c>
      <c r="C5146" s="18" t="str">
        <f aca="false">'SALES Raw'!H3050</f>
        <v>15W XXL</v>
      </c>
      <c r="D5146" s="19" t="n">
        <f aca="false">'SALES Raw'!C3050</f>
        <v>12</v>
      </c>
      <c r="E5146" s="19" t="n">
        <f aca="false">'SALES Raw'!D3050</f>
        <v>611.58</v>
      </c>
      <c r="F5146" s="19" t="n">
        <f aca="false">'SALES Raw'!E3050*$H$4</f>
        <v>0</v>
      </c>
      <c r="G5146" s="19" t="n">
        <f aca="false">'SALES Raw'!F3050*$H$4</f>
        <v>0</v>
      </c>
      <c r="H5146" s="18" t="str">
        <f aca="false">'SALES Raw'!A3050</f>
        <v>203 - Ortho- Partner ag SWITZERLAND</v>
      </c>
    </row>
    <row r="5147" customFormat="false" ht="15" hidden="false" customHeight="false" outlineLevel="0" collapsed="false">
      <c r="A5147" s="18" t="n">
        <f aca="false">'SALES Raw'!G3051</f>
        <v>4408046</v>
      </c>
      <c r="B5147" s="18" t="str">
        <f aca="false">'SALES Raw'!B3051</f>
        <v>20 L</v>
      </c>
      <c r="C5147" s="18" t="str">
        <f aca="false">'SALES Raw'!H3051</f>
        <v>20 L חבק יד מתכוון עם צמדן</v>
      </c>
      <c r="D5147" s="19" t="n">
        <f aca="false">'SALES Raw'!C3051</f>
        <v>12</v>
      </c>
      <c r="E5147" s="19" t="n">
        <f aca="false">'SALES Raw'!D3051</f>
        <v>161.52</v>
      </c>
      <c r="F5147" s="19" t="n">
        <f aca="false">'SALES Raw'!E3051*$H$4</f>
        <v>0</v>
      </c>
      <c r="G5147" s="19" t="n">
        <f aca="false">'SALES Raw'!F3051*$H$4</f>
        <v>0</v>
      </c>
      <c r="H5147" s="18" t="str">
        <f aca="false">'SALES Raw'!A3051</f>
        <v>203 - Ortho- Partner ag SWITZERLAND</v>
      </c>
    </row>
    <row r="5148" customFormat="false" ht="15" hidden="false" customHeight="false" outlineLevel="0" collapsed="false">
      <c r="A5148" s="18" t="n">
        <f aca="false">'SALES Raw'!G3053</f>
        <v>4408048</v>
      </c>
      <c r="B5148" s="18" t="str">
        <f aca="false">'SALES Raw'!B3053</f>
        <v>20 S</v>
      </c>
      <c r="C5148" s="18" t="str">
        <f aca="false">'SALES Raw'!H3053</f>
        <v>20 S חבק יד מתכוון עם צמדן</v>
      </c>
      <c r="D5148" s="19" t="n">
        <f aca="false">'SALES Raw'!C3053</f>
        <v>12</v>
      </c>
      <c r="E5148" s="19" t="n">
        <f aca="false">'SALES Raw'!D3053</f>
        <v>161.52</v>
      </c>
      <c r="F5148" s="19" t="n">
        <f aca="false">'SALES Raw'!E3053*$H$4</f>
        <v>0</v>
      </c>
      <c r="G5148" s="19" t="n">
        <f aca="false">'SALES Raw'!F3053*$H$4</f>
        <v>0</v>
      </c>
      <c r="H5148" s="18" t="str">
        <f aca="false">'SALES Raw'!A3053</f>
        <v>203 - Ortho- Partner ag SWITZERLAND</v>
      </c>
    </row>
    <row r="5149" customFormat="false" ht="15" hidden="false" customHeight="false" outlineLevel="0" collapsed="false">
      <c r="A5149" s="18" t="n">
        <f aca="false">'SALES Raw'!G3066</f>
        <v>4415002</v>
      </c>
      <c r="B5149" s="18" t="str">
        <f aca="false">'SALES Raw'!B3066</f>
        <v>26 S</v>
      </c>
      <c r="C5149" s="18" t="str">
        <f aca="false">'SALES Raw'!H3066</f>
        <v>26 S סד ליד דו צדדי לאחר שבר</v>
      </c>
      <c r="D5149" s="19" t="n">
        <f aca="false">'SALES Raw'!C3066</f>
        <v>17</v>
      </c>
      <c r="E5149" s="19" t="n">
        <f aca="false">'SALES Raw'!D3066</f>
        <v>765.75</v>
      </c>
      <c r="F5149" s="19" t="n">
        <f aca="false">'SALES Raw'!E3066*$H$4</f>
        <v>0</v>
      </c>
      <c r="G5149" s="19" t="n">
        <f aca="false">'SALES Raw'!F3066*$H$4</f>
        <v>0</v>
      </c>
      <c r="H5149" s="18" t="str">
        <f aca="false">'SALES Raw'!A3066</f>
        <v>203 - Ortho- Partner ag SWITZERLAND</v>
      </c>
    </row>
    <row r="5150" customFormat="false" ht="15" hidden="false" customHeight="false" outlineLevel="0" collapsed="false">
      <c r="A5150" s="18" t="n">
        <f aca="false">'SALES Raw'!G3077</f>
        <v>4413452</v>
      </c>
      <c r="B5150" s="18" t="str">
        <f aca="false">'SALES Raw'!B3077</f>
        <v>386 0</v>
      </c>
      <c r="C5150" s="18" t="str">
        <f aca="false">'SALES Raw'!H3077</f>
        <v>386  מיישר בוניון-האלוקס ולגוס</v>
      </c>
      <c r="D5150" s="19" t="n">
        <f aca="false">'SALES Raw'!C3077</f>
        <v>1</v>
      </c>
      <c r="E5150" s="19" t="n">
        <f aca="false">'SALES Raw'!D3077</f>
        <v>0.03</v>
      </c>
      <c r="F5150" s="19" t="n">
        <f aca="false">'SALES Raw'!E3077*$H$4</f>
        <v>0</v>
      </c>
      <c r="G5150" s="19" t="n">
        <f aca="false">'SALES Raw'!F3077*$H$4</f>
        <v>0</v>
      </c>
      <c r="H5150" s="18" t="str">
        <f aca="false">'SALES Raw'!A3077</f>
        <v>203 - Ortho- Partner ag SWITZERLAND</v>
      </c>
    </row>
    <row r="5151" customFormat="false" ht="15" hidden="false" customHeight="false" outlineLevel="0" collapsed="false">
      <c r="A5151" s="18" t="n">
        <f aca="false">'SALES Raw'!G3078</f>
        <v>4415298</v>
      </c>
      <c r="B5151" s="18" t="str">
        <f aca="false">'SALES Raw'!B3078</f>
        <v>388BL 0</v>
      </c>
      <c r="C5151" s="18" t="str">
        <f aca="false">'SALES Raw'!H3078</f>
        <v>388B L סד לילה שחור לבוהן שמאל</v>
      </c>
      <c r="D5151" s="19" t="n">
        <f aca="false">'SALES Raw'!C3078</f>
        <v>1</v>
      </c>
      <c r="E5151" s="19" t="n">
        <f aca="false">'SALES Raw'!D3078</f>
        <v>0.03</v>
      </c>
      <c r="F5151" s="19" t="n">
        <f aca="false">'SALES Raw'!E3078*$H$4</f>
        <v>0</v>
      </c>
      <c r="G5151" s="19" t="n">
        <f aca="false">'SALES Raw'!F3078*$H$4</f>
        <v>0</v>
      </c>
      <c r="H5151" s="18" t="str">
        <f aca="false">'SALES Raw'!A3078</f>
        <v>203 - Ortho- Partner ag SWITZERLAND</v>
      </c>
    </row>
    <row r="5152" customFormat="false" ht="15" hidden="false" customHeight="false" outlineLevel="0" collapsed="false">
      <c r="A5152" s="18" t="n">
        <f aca="false">'SALES Raw'!G3079</f>
        <v>4415299</v>
      </c>
      <c r="B5152" s="18" t="str">
        <f aca="false">'SALES Raw'!B3079</f>
        <v>388BR 0</v>
      </c>
      <c r="C5152" s="18" t="str">
        <f aca="false">'SALES Raw'!H3079</f>
        <v>388B L סד לילה שחור לבוהן ימין</v>
      </c>
      <c r="D5152" s="19" t="n">
        <f aca="false">'SALES Raw'!C3079</f>
        <v>1</v>
      </c>
      <c r="E5152" s="19" t="n">
        <f aca="false">'SALES Raw'!D3079</f>
        <v>0.03</v>
      </c>
      <c r="F5152" s="19" t="n">
        <f aca="false">'SALES Raw'!E3079*$H$4</f>
        <v>0</v>
      </c>
      <c r="G5152" s="19" t="n">
        <f aca="false">'SALES Raw'!F3079*$H$4</f>
        <v>0</v>
      </c>
      <c r="H5152" s="18" t="str">
        <f aca="false">'SALES Raw'!A3079</f>
        <v>203 - Ortho- Partner ag SWITZERLAND</v>
      </c>
    </row>
    <row r="5153" customFormat="false" ht="15" hidden="false" customHeight="false" outlineLevel="0" collapsed="false">
      <c r="A5153" s="18" t="str">
        <f aca="false">'SALES Raw'!G3080</f>
        <v/>
      </c>
      <c r="B5153" s="18" t="str">
        <f aca="false">'SALES Raw'!B3080</f>
        <v>422N L</v>
      </c>
      <c r="C5153" s="18" t="str">
        <f aca="false">'SALES Raw'!H3080</f>
        <v>422N L</v>
      </c>
      <c r="D5153" s="19" t="n">
        <f aca="false">'SALES Raw'!C3080</f>
        <v>24</v>
      </c>
      <c r="E5153" s="19" t="n">
        <f aca="false">'SALES Raw'!D3080</f>
        <v>1767.01</v>
      </c>
      <c r="F5153" s="19" t="n">
        <f aca="false">'SALES Raw'!E3080*$H$4</f>
        <v>0</v>
      </c>
      <c r="G5153" s="19" t="n">
        <f aca="false">'SALES Raw'!F3080*$H$4</f>
        <v>0</v>
      </c>
      <c r="H5153" s="18" t="str">
        <f aca="false">'SALES Raw'!A3080</f>
        <v>203 - Ortho- Partner ag SWITZERLAND</v>
      </c>
    </row>
    <row r="5154" customFormat="false" ht="15" hidden="false" customHeight="false" outlineLevel="0" collapsed="false">
      <c r="A5154" s="18" t="str">
        <f aca="false">'SALES Raw'!G3081</f>
        <v/>
      </c>
      <c r="B5154" s="18" t="str">
        <f aca="false">'SALES Raw'!B3081</f>
        <v>422N M</v>
      </c>
      <c r="C5154" s="18" t="str">
        <f aca="false">'SALES Raw'!H3081</f>
        <v>422N M</v>
      </c>
      <c r="D5154" s="19" t="n">
        <f aca="false">'SALES Raw'!C3081</f>
        <v>24</v>
      </c>
      <c r="E5154" s="19" t="n">
        <f aca="false">'SALES Raw'!D3081</f>
        <v>1840.52</v>
      </c>
      <c r="F5154" s="19" t="n">
        <f aca="false">'SALES Raw'!E3081*$H$4</f>
        <v>0</v>
      </c>
      <c r="G5154" s="19" t="n">
        <f aca="false">'SALES Raw'!F3081*$H$4</f>
        <v>0</v>
      </c>
      <c r="H5154" s="18" t="str">
        <f aca="false">'SALES Raw'!A3081</f>
        <v>203 - Ortho- Partner ag SWITZERLAND</v>
      </c>
    </row>
    <row r="5155" customFormat="false" ht="15" hidden="false" customHeight="false" outlineLevel="0" collapsed="false">
      <c r="A5155" s="18" t="str">
        <f aca="false">'SALES Raw'!G3082</f>
        <v/>
      </c>
      <c r="B5155" s="18" t="str">
        <f aca="false">'SALES Raw'!B3082</f>
        <v>422N XL</v>
      </c>
      <c r="C5155" s="18" t="str">
        <f aca="false">'SALES Raw'!H3082</f>
        <v>422N XL</v>
      </c>
      <c r="D5155" s="19" t="n">
        <f aca="false">'SALES Raw'!C3082</f>
        <v>24</v>
      </c>
      <c r="E5155" s="19" t="n">
        <f aca="false">'SALES Raw'!D3082</f>
        <v>1767.01</v>
      </c>
      <c r="F5155" s="19" t="n">
        <f aca="false">'SALES Raw'!E3082*$H$4</f>
        <v>0</v>
      </c>
      <c r="G5155" s="19" t="n">
        <f aca="false">'SALES Raw'!F3082*$H$4</f>
        <v>0</v>
      </c>
      <c r="H5155" s="18" t="str">
        <f aca="false">'SALES Raw'!A3082</f>
        <v>203 - Ortho- Partner ag SWITZERLAND</v>
      </c>
    </row>
    <row r="5156" customFormat="false" ht="15" hidden="false" customHeight="false" outlineLevel="0" collapsed="false">
      <c r="A5156" s="18" t="str">
        <f aca="false">'SALES Raw'!G3083</f>
        <v/>
      </c>
      <c r="B5156" s="18" t="str">
        <f aca="false">'SALES Raw'!B3083</f>
        <v>422N+ XL</v>
      </c>
      <c r="C5156" s="18" t="str">
        <f aca="false">'SALES Raw'!H3083</f>
        <v>422N+ XL</v>
      </c>
      <c r="D5156" s="19" t="n">
        <f aca="false">'SALES Raw'!C3083</f>
        <v>24</v>
      </c>
      <c r="E5156" s="19" t="n">
        <f aca="false">'SALES Raw'!D3083</f>
        <v>2317.29</v>
      </c>
      <c r="F5156" s="19" t="n">
        <f aca="false">'SALES Raw'!E3083*$H$4</f>
        <v>0</v>
      </c>
      <c r="G5156" s="19" t="n">
        <f aca="false">'SALES Raw'!F3083*$H$4</f>
        <v>0</v>
      </c>
      <c r="H5156" s="18" t="str">
        <f aca="false">'SALES Raw'!A3083</f>
        <v>203 - Ortho- Partner ag SWITZERLAND</v>
      </c>
    </row>
    <row r="5157" customFormat="false" ht="15" hidden="false" customHeight="false" outlineLevel="0" collapsed="false">
      <c r="A5157" s="18" t="n">
        <f aca="false">'SALES Raw'!G3085</f>
        <v>4413093</v>
      </c>
      <c r="B5157" s="18" t="str">
        <f aca="false">'SALES Raw'!B3085</f>
        <v>45 M</v>
      </c>
      <c r="C5157" s="18" t="str">
        <f aca="false">'SALES Raw'!H3085</f>
        <v>45 M מגן ברך לבן</v>
      </c>
      <c r="D5157" s="19" t="n">
        <f aca="false">'SALES Raw'!C3085</f>
        <v>42</v>
      </c>
      <c r="E5157" s="19" t="n">
        <f aca="false">'SALES Raw'!D3085</f>
        <v>467.55</v>
      </c>
      <c r="F5157" s="19" t="n">
        <f aca="false">'SALES Raw'!E3085*$H$4</f>
        <v>0</v>
      </c>
      <c r="G5157" s="19" t="n">
        <f aca="false">'SALES Raw'!F3085*$H$4</f>
        <v>0</v>
      </c>
      <c r="H5157" s="18" t="str">
        <f aca="false">'SALES Raw'!A3085</f>
        <v>203 - Ortho- Partner ag SWITZERLAND</v>
      </c>
    </row>
    <row r="5158" customFormat="false" ht="15" hidden="false" customHeight="false" outlineLevel="0" collapsed="false">
      <c r="A5158" s="18" t="n">
        <f aca="false">'SALES Raw'!G3086</f>
        <v>4413094</v>
      </c>
      <c r="B5158" s="18" t="str">
        <f aca="false">'SALES Raw'!B3086</f>
        <v>45 S</v>
      </c>
      <c r="C5158" s="18" t="str">
        <f aca="false">'SALES Raw'!H3086</f>
        <v>45 S מגן ברך לבן</v>
      </c>
      <c r="D5158" s="19" t="n">
        <f aca="false">'SALES Raw'!C3086</f>
        <v>6</v>
      </c>
      <c r="E5158" s="19" t="n">
        <f aca="false">'SALES Raw'!D3086</f>
        <v>62.51</v>
      </c>
      <c r="F5158" s="19" t="n">
        <f aca="false">'SALES Raw'!E3086*$H$4</f>
        <v>0</v>
      </c>
      <c r="G5158" s="19" t="n">
        <f aca="false">'SALES Raw'!F3086*$H$4</f>
        <v>0</v>
      </c>
      <c r="H5158" s="18" t="str">
        <f aca="false">'SALES Raw'!A3086</f>
        <v>203 - Ortho- Partner ag SWITZERLAND</v>
      </c>
    </row>
    <row r="5159" customFormat="false" ht="15" hidden="false" customHeight="false" outlineLevel="0" collapsed="false">
      <c r="A5159" s="18" t="n">
        <f aca="false">'SALES Raw'!G3087</f>
        <v>4413095</v>
      </c>
      <c r="B5159" s="18" t="str">
        <f aca="false">'SALES Raw'!B3087</f>
        <v>45 XL</v>
      </c>
      <c r="C5159" s="18" t="str">
        <f aca="false">'SALES Raw'!H3087</f>
        <v>45 XL מגן ברך לבן</v>
      </c>
      <c r="D5159" s="19" t="n">
        <f aca="false">'SALES Raw'!C3087</f>
        <v>24</v>
      </c>
      <c r="E5159" s="19" t="n">
        <f aca="false">'SALES Raw'!D3087</f>
        <v>256.16</v>
      </c>
      <c r="F5159" s="19" t="n">
        <f aca="false">'SALES Raw'!E3087*$H$4</f>
        <v>0</v>
      </c>
      <c r="G5159" s="19" t="n">
        <f aca="false">'SALES Raw'!F3087*$H$4</f>
        <v>0</v>
      </c>
      <c r="H5159" s="18" t="str">
        <f aca="false">'SALES Raw'!A3087</f>
        <v>203 - Ortho- Partner ag SWITZERLAND</v>
      </c>
    </row>
    <row r="5160" customFormat="false" ht="15" hidden="false" customHeight="false" outlineLevel="0" collapsed="false">
      <c r="A5160" s="18" t="n">
        <f aca="false">'SALES Raw'!G3088</f>
        <v>4413096</v>
      </c>
      <c r="B5160" s="18" t="str">
        <f aca="false">'SALES Raw'!B3088</f>
        <v>45 XXL</v>
      </c>
      <c r="C5160" s="18" t="str">
        <f aca="false">'SALES Raw'!H3088</f>
        <v>45 XXL מגן ברך לבן</v>
      </c>
      <c r="D5160" s="19" t="n">
        <f aca="false">'SALES Raw'!C3088</f>
        <v>12</v>
      </c>
      <c r="E5160" s="19" t="n">
        <f aca="false">'SALES Raw'!D3088</f>
        <v>124.68</v>
      </c>
      <c r="F5160" s="19" t="n">
        <f aca="false">'SALES Raw'!E3088*$H$4</f>
        <v>0</v>
      </c>
      <c r="G5160" s="19" t="n">
        <f aca="false">'SALES Raw'!F3088*$H$4</f>
        <v>0</v>
      </c>
      <c r="H5160" s="18" t="str">
        <f aca="false">'SALES Raw'!A3088</f>
        <v>203 - Ortho- Partner ag SWITZERLAND</v>
      </c>
    </row>
    <row r="5161" customFormat="false" ht="15" hidden="false" customHeight="false" outlineLevel="0" collapsed="false">
      <c r="A5161" s="18" t="str">
        <f aca="false">'SALES Raw'!G3097</f>
        <v/>
      </c>
      <c r="B5161" s="18" t="str">
        <f aca="false">'SALES Raw'!B3097</f>
        <v>60 XS</v>
      </c>
      <c r="C5161" s="18" t="str">
        <f aca="false">'SALES Raw'!H3097</f>
        <v>60 XS</v>
      </c>
      <c r="D5161" s="19" t="n">
        <f aca="false">'SALES Raw'!C3097</f>
        <v>12</v>
      </c>
      <c r="E5161" s="19" t="n">
        <f aca="false">'SALES Raw'!D3097</f>
        <v>286.12</v>
      </c>
      <c r="F5161" s="19" t="n">
        <f aca="false">'SALES Raw'!E3097*$H$4</f>
        <v>0</v>
      </c>
      <c r="G5161" s="19" t="n">
        <f aca="false">'SALES Raw'!F3097*$H$4</f>
        <v>0</v>
      </c>
      <c r="H5161" s="18" t="str">
        <f aca="false">'SALES Raw'!A3097</f>
        <v>203 - Ortho- Partner ag SWITZERLAND</v>
      </c>
    </row>
    <row r="5162" customFormat="false" ht="15" hidden="false" customHeight="false" outlineLevel="0" collapsed="false">
      <c r="A5162" s="18" t="str">
        <f aca="false">'SALES Raw'!G3098</f>
        <v/>
      </c>
      <c r="B5162" s="18" t="str">
        <f aca="false">'SALES Raw'!B3098</f>
        <v>62FC L</v>
      </c>
      <c r="C5162" s="18" t="str">
        <f aca="false">'SALES Raw'!H3098</f>
        <v>62FC L</v>
      </c>
      <c r="D5162" s="19" t="n">
        <f aca="false">'SALES Raw'!C3098</f>
        <v>60</v>
      </c>
      <c r="E5162" s="19" t="n">
        <f aca="false">'SALES Raw'!D3098</f>
        <v>1477.77</v>
      </c>
      <c r="F5162" s="19" t="n">
        <f aca="false">'SALES Raw'!E3098*$H$4</f>
        <v>0</v>
      </c>
      <c r="G5162" s="19" t="n">
        <f aca="false">'SALES Raw'!F3098*$H$4</f>
        <v>0</v>
      </c>
      <c r="H5162" s="18" t="str">
        <f aca="false">'SALES Raw'!A3098</f>
        <v>203 - Ortho- Partner ag SWITZERLAND</v>
      </c>
    </row>
    <row r="5163" customFormat="false" ht="15" hidden="false" customHeight="false" outlineLevel="0" collapsed="false">
      <c r="A5163" s="18" t="str">
        <f aca="false">'SALES Raw'!G3099</f>
        <v/>
      </c>
      <c r="B5163" s="18" t="str">
        <f aca="false">'SALES Raw'!B3099</f>
        <v>62FC M</v>
      </c>
      <c r="C5163" s="18" t="str">
        <f aca="false">'SALES Raw'!H3099</f>
        <v>62FC M</v>
      </c>
      <c r="D5163" s="19" t="n">
        <f aca="false">'SALES Raw'!C3099</f>
        <v>96</v>
      </c>
      <c r="E5163" s="19" t="n">
        <f aca="false">'SALES Raw'!D3099</f>
        <v>2423.08</v>
      </c>
      <c r="F5163" s="19" t="n">
        <f aca="false">'SALES Raw'!E3099*$H$4</f>
        <v>0</v>
      </c>
      <c r="G5163" s="19" t="n">
        <f aca="false">'SALES Raw'!F3099*$H$4</f>
        <v>0</v>
      </c>
      <c r="H5163" s="18" t="str">
        <f aca="false">'SALES Raw'!A3099</f>
        <v>203 - Ortho- Partner ag SWITZERLAND</v>
      </c>
    </row>
    <row r="5164" customFormat="false" ht="15" hidden="false" customHeight="false" outlineLevel="0" collapsed="false">
      <c r="A5164" s="18" t="str">
        <f aca="false">'SALES Raw'!G3101</f>
        <v/>
      </c>
      <c r="B5164" s="18" t="str">
        <f aca="false">'SALES Raw'!B3101</f>
        <v>62FC XL</v>
      </c>
      <c r="C5164" s="18" t="str">
        <f aca="false">'SALES Raw'!H3101</f>
        <v>62FC XL</v>
      </c>
      <c r="D5164" s="19" t="n">
        <f aca="false">'SALES Raw'!C3101</f>
        <v>12</v>
      </c>
      <c r="E5164" s="19" t="n">
        <f aca="false">'SALES Raw'!D3101</f>
        <v>293.7</v>
      </c>
      <c r="F5164" s="19" t="n">
        <f aca="false">'SALES Raw'!E3101*$H$4</f>
        <v>0</v>
      </c>
      <c r="G5164" s="19" t="n">
        <f aca="false">'SALES Raw'!F3101*$H$4</f>
        <v>0</v>
      </c>
      <c r="H5164" s="18" t="str">
        <f aca="false">'SALES Raw'!A3101</f>
        <v>203 - Ortho- Partner ag SWITZERLAND</v>
      </c>
    </row>
    <row r="5165" customFormat="false" ht="15" hidden="false" customHeight="false" outlineLevel="0" collapsed="false">
      <c r="A5165" s="18" t="n">
        <f aca="false">'SALES Raw'!G3110</f>
        <v>4413500</v>
      </c>
      <c r="B5165" s="18" t="str">
        <f aca="false">'SALES Raw'!B3110</f>
        <v>95B L</v>
      </c>
      <c r="C5165" s="18" t="str">
        <f aca="false">'SALES Raw'!H3110</f>
        <v>95B L מגן מרפק שחור</v>
      </c>
      <c r="D5165" s="19" t="n">
        <f aca="false">'SALES Raw'!C3110</f>
        <v>0</v>
      </c>
      <c r="E5165" s="19" t="n">
        <f aca="false">'SALES Raw'!D3110</f>
        <v>0</v>
      </c>
      <c r="F5165" s="19" t="n">
        <f aca="false">'SALES Raw'!E3110*$H$4</f>
        <v>0</v>
      </c>
      <c r="G5165" s="19" t="n">
        <f aca="false">'SALES Raw'!F3110*$H$4</f>
        <v>0.0378947368421053</v>
      </c>
      <c r="H5165" s="18" t="str">
        <f aca="false">'SALES Raw'!A3110</f>
        <v>203 - Ortho- Partner ag SWITZERLAND</v>
      </c>
    </row>
    <row r="5166" customFormat="false" ht="15" hidden="false" customHeight="false" outlineLevel="0" collapsed="false">
      <c r="A5166" s="18" t="n">
        <f aca="false">'SALES Raw'!G3115</f>
        <v>4413534</v>
      </c>
      <c r="B5166" s="18" t="str">
        <f aca="false">'SALES Raw'!B3115</f>
        <v>SH333 0</v>
      </c>
      <c r="C5166" s="18" t="str">
        <f aca="false">'SALES Raw'!H3115</f>
        <v>SH333 מקבע קרסול</v>
      </c>
      <c r="D5166" s="19" t="n">
        <f aca="false">'SALES Raw'!C3115</f>
        <v>1</v>
      </c>
      <c r="E5166" s="19" t="n">
        <f aca="false">'SALES Raw'!D3115</f>
        <v>0.03</v>
      </c>
      <c r="F5166" s="19" t="n">
        <f aca="false">'SALES Raw'!E3115*$H$4</f>
        <v>0</v>
      </c>
      <c r="G5166" s="19" t="n">
        <f aca="false">'SALES Raw'!F3115*$H$4</f>
        <v>0</v>
      </c>
      <c r="H5166" s="18" t="str">
        <f aca="false">'SALES Raw'!A3115</f>
        <v>203 - Ortho- Partner ag SWITZERLAND</v>
      </c>
    </row>
    <row r="5167" customFormat="false" ht="15" hidden="false" customHeight="false" outlineLevel="0" collapsed="false">
      <c r="A5167" s="18" t="str">
        <f aca="false">'SALES Raw'!G3124</f>
        <v/>
      </c>
      <c r="B5167" s="18" t="str">
        <f aca="false">'SALES Raw'!B3124</f>
        <v>ST27L 0</v>
      </c>
      <c r="C5167" s="18" t="str">
        <f aca="false">'SALES Raw'!H3124</f>
        <v>ST27L 0</v>
      </c>
      <c r="D5167" s="19" t="n">
        <f aca="false">'SALES Raw'!C3124</f>
        <v>24</v>
      </c>
      <c r="E5167" s="19" t="n">
        <f aca="false">'SALES Raw'!D3124</f>
        <v>383.88</v>
      </c>
      <c r="F5167" s="19" t="n">
        <f aca="false">'SALES Raw'!E3124*$H$4</f>
        <v>0</v>
      </c>
      <c r="G5167" s="19" t="n">
        <f aca="false">'SALES Raw'!F3124*$H$4</f>
        <v>0</v>
      </c>
      <c r="H5167" s="18" t="str">
        <f aca="false">'SALES Raw'!A3124</f>
        <v>203 - Ortho- Partner ag SWITZERLAND</v>
      </c>
    </row>
    <row r="5168" customFormat="false" ht="15" hidden="false" customHeight="false" outlineLevel="0" collapsed="false">
      <c r="A5168" s="18" t="str">
        <f aca="false">'SALES Raw'!G3125</f>
        <v/>
      </c>
      <c r="B5168" s="18" t="str">
        <f aca="false">'SALES Raw'!B3125</f>
        <v>ST27R 0</v>
      </c>
      <c r="C5168" s="18" t="str">
        <f aca="false">'SALES Raw'!H3125</f>
        <v>ST27R 0</v>
      </c>
      <c r="D5168" s="19" t="n">
        <f aca="false">'SALES Raw'!C3125</f>
        <v>24</v>
      </c>
      <c r="E5168" s="19" t="n">
        <f aca="false">'SALES Raw'!D3125</f>
        <v>383.88</v>
      </c>
      <c r="F5168" s="19" t="n">
        <f aca="false">'SALES Raw'!E3125*$H$4</f>
        <v>0</v>
      </c>
      <c r="G5168" s="19" t="n">
        <f aca="false">'SALES Raw'!F3125*$H$4</f>
        <v>0</v>
      </c>
      <c r="H5168" s="18" t="str">
        <f aca="false">'SALES Raw'!A3125</f>
        <v>203 - Ortho- Partner ag SWITZERLAND</v>
      </c>
    </row>
    <row r="5169" customFormat="false" ht="15" hidden="false" customHeight="false" outlineLevel="0" collapsed="false">
      <c r="A5169" s="18" t="str">
        <f aca="false">'SALES Raw'!G3132</f>
        <v/>
      </c>
      <c r="B5169" s="18" t="str">
        <f aca="false">'SALES Raw'!B3132</f>
        <v>T43V XS</v>
      </c>
      <c r="C5169" s="18" t="str">
        <f aca="false">'SALES Raw'!H3132</f>
        <v>T43V XS</v>
      </c>
      <c r="D5169" s="19" t="n">
        <f aca="false">'SALES Raw'!C3132</f>
        <v>12</v>
      </c>
      <c r="E5169" s="19" t="n">
        <f aca="false">'SALES Raw'!D3132</f>
        <v>1547.32</v>
      </c>
      <c r="F5169" s="19" t="n">
        <f aca="false">'SALES Raw'!E3132*$H$4</f>
        <v>0</v>
      </c>
      <c r="G5169" s="19" t="n">
        <f aca="false">'SALES Raw'!F3132*$H$4</f>
        <v>0</v>
      </c>
      <c r="H5169" s="18" t="str">
        <f aca="false">'SALES Raw'!A3132</f>
        <v>203 - Ortho- Partner ag SWITZERLAND</v>
      </c>
    </row>
    <row r="5170" customFormat="false" ht="15" hidden="false" customHeight="false" outlineLevel="0" collapsed="false">
      <c r="A5170" s="18" t="str">
        <f aca="false">'SALES Raw'!G3135</f>
        <v/>
      </c>
      <c r="B5170" s="18" t="str">
        <f aca="false">'SALES Raw'!B3135</f>
        <v>T95 L</v>
      </c>
      <c r="C5170" s="18" t="str">
        <f aca="false">'SALES Raw'!H3135</f>
        <v>T95 L</v>
      </c>
      <c r="D5170" s="19" t="n">
        <f aca="false">'SALES Raw'!C3135</f>
        <v>1</v>
      </c>
      <c r="E5170" s="19" t="n">
        <f aca="false">'SALES Raw'!D3135</f>
        <v>0.04</v>
      </c>
      <c r="F5170" s="19" t="n">
        <f aca="false">'SALES Raw'!E3135*$H$4</f>
        <v>0</v>
      </c>
      <c r="G5170" s="19" t="n">
        <f aca="false">'SALES Raw'!F3135*$H$4</f>
        <v>0</v>
      </c>
      <c r="H5170" s="18" t="str">
        <f aca="false">'SALES Raw'!A3135</f>
        <v>203 - Ortho- Partner ag SWITZERLAND</v>
      </c>
    </row>
    <row r="5171" customFormat="false" ht="15" hidden="false" customHeight="false" outlineLevel="0" collapsed="false">
      <c r="A5171" s="18" t="str">
        <f aca="false">'SALES Raw'!G3136</f>
        <v/>
      </c>
      <c r="B5171" s="18" t="str">
        <f aca="false">'SALES Raw'!B3136</f>
        <v>T95 M</v>
      </c>
      <c r="C5171" s="18" t="str">
        <f aca="false">'SALES Raw'!H3136</f>
        <v>T95 M</v>
      </c>
      <c r="D5171" s="19" t="n">
        <f aca="false">'SALES Raw'!C3136</f>
        <v>6</v>
      </c>
      <c r="E5171" s="19" t="n">
        <f aca="false">'SALES Raw'!D3136</f>
        <v>239.63</v>
      </c>
      <c r="F5171" s="19" t="n">
        <f aca="false">'SALES Raw'!E3136*$H$4</f>
        <v>0</v>
      </c>
      <c r="G5171" s="19" t="n">
        <f aca="false">'SALES Raw'!F3136*$H$4</f>
        <v>0</v>
      </c>
      <c r="H5171" s="18" t="str">
        <f aca="false">'SALES Raw'!A3136</f>
        <v>203 - Ortho- Partner ag SWITZERLAND</v>
      </c>
    </row>
    <row r="5172" customFormat="false" ht="15" hidden="false" customHeight="false" outlineLevel="0" collapsed="false">
      <c r="A5172" s="18" t="n">
        <f aca="false">'SALES Raw'!G3137</f>
        <v>4413210</v>
      </c>
      <c r="B5172" s="18" t="str">
        <f aca="false">'SALES Raw'!B3137</f>
        <v>T95 S</v>
      </c>
      <c r="C5172" s="18" t="str">
        <f aca="false">'SALES Raw'!H3137</f>
        <v>T95 S מגן מרפק רגיל</v>
      </c>
      <c r="D5172" s="19" t="n">
        <f aca="false">'SALES Raw'!C3137</f>
        <v>5</v>
      </c>
      <c r="E5172" s="19" t="n">
        <f aca="false">'SALES Raw'!D3137</f>
        <v>239.59</v>
      </c>
      <c r="F5172" s="19" t="n">
        <f aca="false">'SALES Raw'!E3137*$H$4</f>
        <v>0</v>
      </c>
      <c r="G5172" s="19" t="n">
        <f aca="false">'SALES Raw'!F3137*$H$4</f>
        <v>0</v>
      </c>
      <c r="H5172" s="18" t="str">
        <f aca="false">'SALES Raw'!A3137</f>
        <v>203 - Ortho- Partner ag SWITZERLAND</v>
      </c>
    </row>
    <row r="5173" customFormat="false" ht="15" hidden="false" customHeight="false" outlineLevel="0" collapsed="false">
      <c r="A5173" s="18" t="n">
        <f aca="false">'SALES Raw'!G3144</f>
        <v>4408027</v>
      </c>
      <c r="B5173" s="18" t="str">
        <f aca="false">'SALES Raw'!B3144</f>
        <v>10 L</v>
      </c>
      <c r="C5173" s="18" t="str">
        <f aca="false">'SALES Raw'!H3144</f>
        <v>10 L """"חגורת גב """"לומבו</v>
      </c>
      <c r="D5173" s="19" t="n">
        <f aca="false">'SALES Raw'!C3144</f>
        <v>5</v>
      </c>
      <c r="E5173" s="19" t="n">
        <f aca="false">'SALES Raw'!D3144</f>
        <v>329.27</v>
      </c>
      <c r="F5173" s="19" t="n">
        <f aca="false">'SALES Raw'!E3144*$H$4</f>
        <v>0</v>
      </c>
      <c r="G5173" s="19" t="n">
        <f aca="false">'SALES Raw'!F3144*$H$4</f>
        <v>0</v>
      </c>
      <c r="H5173" s="18" t="str">
        <f aca="false">'SALES Raw'!A3144</f>
        <v>204 - Sanaflex Anatomic GREECE</v>
      </c>
    </row>
    <row r="5174" customFormat="false" ht="15" hidden="false" customHeight="false" outlineLevel="0" collapsed="false">
      <c r="A5174" s="18" t="str">
        <f aca="false">'SALES Raw'!G3145</f>
        <v/>
      </c>
      <c r="B5174" s="18" t="str">
        <f aca="false">'SALES Raw'!B3145</f>
        <v>10 S</v>
      </c>
      <c r="C5174" s="18" t="str">
        <f aca="false">'SALES Raw'!H3145</f>
        <v>10 S</v>
      </c>
      <c r="D5174" s="19" t="n">
        <f aca="false">'SALES Raw'!C3145</f>
        <v>2</v>
      </c>
      <c r="E5174" s="19" t="n">
        <f aca="false">'SALES Raw'!D3145</f>
        <v>131.71</v>
      </c>
      <c r="F5174" s="19" t="n">
        <f aca="false">'SALES Raw'!E3145*$H$4</f>
        <v>0</v>
      </c>
      <c r="G5174" s="19" t="n">
        <f aca="false">'SALES Raw'!F3145*$H$4</f>
        <v>0</v>
      </c>
      <c r="H5174" s="18" t="str">
        <f aca="false">'SALES Raw'!A3145</f>
        <v>204 - Sanaflex Anatomic GREECE</v>
      </c>
    </row>
    <row r="5175" customFormat="false" ht="15" hidden="false" customHeight="false" outlineLevel="0" collapsed="false">
      <c r="A5175" s="18" t="str">
        <f aca="false">'SALES Raw'!G3146</f>
        <v/>
      </c>
      <c r="B5175" s="18" t="str">
        <f aca="false">'SALES Raw'!B3146</f>
        <v>10 XXL</v>
      </c>
      <c r="C5175" s="18" t="str">
        <f aca="false">'SALES Raw'!H3146</f>
        <v>10 XXL</v>
      </c>
      <c r="D5175" s="19" t="n">
        <f aca="false">'SALES Raw'!C3146</f>
        <v>2</v>
      </c>
      <c r="E5175" s="19" t="n">
        <f aca="false">'SALES Raw'!D3146</f>
        <v>131.71</v>
      </c>
      <c r="F5175" s="19" t="n">
        <f aca="false">'SALES Raw'!E3146*$H$4</f>
        <v>0</v>
      </c>
      <c r="G5175" s="19" t="n">
        <f aca="false">'SALES Raw'!F3146*$H$4</f>
        <v>0</v>
      </c>
      <c r="H5175" s="18" t="str">
        <f aca="false">'SALES Raw'!A3146</f>
        <v>204 - Sanaflex Anatomic GREECE</v>
      </c>
    </row>
    <row r="5176" customFormat="false" ht="15" hidden="false" customHeight="false" outlineLevel="0" collapsed="false">
      <c r="A5176" s="18" t="n">
        <f aca="false">'SALES Raw'!G3147</f>
        <v>4408115</v>
      </c>
      <c r="B5176" s="18" t="str">
        <f aca="false">'SALES Raw'!B3147</f>
        <v>11EU L</v>
      </c>
      <c r="C5176" s="18" t="str">
        <f aca="false">'SALES Raw'!H3147</f>
        <v>11EU L ח.בטן לאחר ניתוח</v>
      </c>
      <c r="D5176" s="19" t="n">
        <f aca="false">'SALES Raw'!C3147</f>
        <v>40</v>
      </c>
      <c r="E5176" s="19" t="n">
        <f aca="false">'SALES Raw'!D3147</f>
        <v>1764.75</v>
      </c>
      <c r="F5176" s="19" t="n">
        <f aca="false">'SALES Raw'!E3147*$H$4</f>
        <v>0</v>
      </c>
      <c r="G5176" s="19" t="n">
        <f aca="false">'SALES Raw'!F3147*$H$4</f>
        <v>0</v>
      </c>
      <c r="H5176" s="18" t="str">
        <f aca="false">'SALES Raw'!A3147</f>
        <v>204 - Sanaflex Anatomic GREECE</v>
      </c>
    </row>
    <row r="5177" customFormat="false" ht="15" hidden="false" customHeight="false" outlineLevel="0" collapsed="false">
      <c r="A5177" s="18" t="str">
        <f aca="false">'SALES Raw'!G3168</f>
        <v/>
      </c>
      <c r="B5177" s="18" t="str">
        <f aca="false">'SALES Raw'!B3168</f>
        <v>239P-S-M</v>
      </c>
      <c r="C5177" s="18" t="str">
        <f aca="false">'SALES Raw'!H3168</f>
        <v>239P-S-M</v>
      </c>
      <c r="D5177" s="19" t="n">
        <f aca="false">'SALES Raw'!C3168</f>
        <v>1</v>
      </c>
      <c r="E5177" s="19" t="n">
        <f aca="false">'SALES Raw'!D3168</f>
        <v>0.04</v>
      </c>
      <c r="F5177" s="19" t="n">
        <f aca="false">'SALES Raw'!E3168*$H$4</f>
        <v>0</v>
      </c>
      <c r="G5177" s="19" t="n">
        <f aca="false">'SALES Raw'!F3168*$H$4</f>
        <v>0</v>
      </c>
      <c r="H5177" s="18" t="str">
        <f aca="false">'SALES Raw'!A3168</f>
        <v>204 - Sanaflex Anatomic GREECE</v>
      </c>
    </row>
    <row r="5178" customFormat="false" ht="15" hidden="false" customHeight="false" outlineLevel="0" collapsed="false">
      <c r="A5178" s="18" t="n">
        <f aca="false">'SALES Raw'!G3169</f>
        <v>4419014</v>
      </c>
      <c r="B5178" s="18" t="str">
        <f aca="false">'SALES Raw'!B3169</f>
        <v>239TR-L-XL</v>
      </c>
      <c r="C5178" s="18" t="str">
        <f aca="false">'SALES Raw'!H3169</f>
        <v>239TR L-XL STRAP4U</v>
      </c>
      <c r="D5178" s="19" t="n">
        <f aca="false">'SALES Raw'!C3169</f>
        <v>1</v>
      </c>
      <c r="E5178" s="19" t="n">
        <f aca="false">'SALES Raw'!D3169</f>
        <v>0.04</v>
      </c>
      <c r="F5178" s="19" t="n">
        <f aca="false">'SALES Raw'!E3169*$H$4</f>
        <v>0</v>
      </c>
      <c r="G5178" s="19" t="n">
        <f aca="false">'SALES Raw'!F3169*$H$4</f>
        <v>0</v>
      </c>
      <c r="H5178" s="18" t="str">
        <f aca="false">'SALES Raw'!A3169</f>
        <v>204 - Sanaflex Anatomic GREECE</v>
      </c>
    </row>
    <row r="5179" customFormat="false" ht="15" hidden="false" customHeight="false" outlineLevel="0" collapsed="false">
      <c r="A5179" s="18" t="str">
        <f aca="false">'SALES Raw'!G3182</f>
        <v/>
      </c>
      <c r="B5179" s="18" t="str">
        <f aca="false">'SALES Raw'!B3182</f>
        <v>30 L</v>
      </c>
      <c r="C5179" s="18" t="str">
        <f aca="false">'SALES Raw'!H3182</f>
        <v>30 L</v>
      </c>
      <c r="D5179" s="19" t="n">
        <f aca="false">'SALES Raw'!C3182</f>
        <v>10</v>
      </c>
      <c r="E5179" s="19" t="n">
        <f aca="false">'SALES Raw'!D3182</f>
        <v>296.42</v>
      </c>
      <c r="F5179" s="19" t="n">
        <f aca="false">'SALES Raw'!E3182*$H$4</f>
        <v>0</v>
      </c>
      <c r="G5179" s="19" t="n">
        <f aca="false">'SALES Raw'!F3182*$H$4</f>
        <v>0</v>
      </c>
      <c r="H5179" s="18" t="str">
        <f aca="false">'SALES Raw'!A3182</f>
        <v>204 - Sanaflex Anatomic GREECE</v>
      </c>
    </row>
    <row r="5180" customFormat="false" ht="15" hidden="false" customHeight="false" outlineLevel="0" collapsed="false">
      <c r="A5180" s="18" t="str">
        <f aca="false">'SALES Raw'!G3183</f>
        <v/>
      </c>
      <c r="B5180" s="18" t="str">
        <f aca="false">'SALES Raw'!B3183</f>
        <v>30 M</v>
      </c>
      <c r="C5180" s="18" t="str">
        <f aca="false">'SALES Raw'!H3183</f>
        <v>30 M</v>
      </c>
      <c r="D5180" s="19" t="n">
        <f aca="false">'SALES Raw'!C3183</f>
        <v>10</v>
      </c>
      <c r="E5180" s="19" t="n">
        <f aca="false">'SALES Raw'!D3183</f>
        <v>296.42</v>
      </c>
      <c r="F5180" s="19" t="n">
        <f aca="false">'SALES Raw'!E3183*$H$4</f>
        <v>0</v>
      </c>
      <c r="G5180" s="19" t="n">
        <f aca="false">'SALES Raw'!F3183*$H$4</f>
        <v>0</v>
      </c>
      <c r="H5180" s="18" t="str">
        <f aca="false">'SALES Raw'!A3183</f>
        <v>204 - Sanaflex Anatomic GREECE</v>
      </c>
    </row>
    <row r="5181" customFormat="false" ht="15" hidden="false" customHeight="false" outlineLevel="0" collapsed="false">
      <c r="A5181" s="18" t="str">
        <f aca="false">'SALES Raw'!G3184</f>
        <v/>
      </c>
      <c r="B5181" s="18" t="str">
        <f aca="false">'SALES Raw'!B3184</f>
        <v>30 S</v>
      </c>
      <c r="C5181" s="18" t="str">
        <f aca="false">'SALES Raw'!H3184</f>
        <v>30 S</v>
      </c>
      <c r="D5181" s="19" t="n">
        <f aca="false">'SALES Raw'!C3184</f>
        <v>6</v>
      </c>
      <c r="E5181" s="19" t="n">
        <f aca="false">'SALES Raw'!D3184</f>
        <v>177.85</v>
      </c>
      <c r="F5181" s="19" t="n">
        <f aca="false">'SALES Raw'!E3184*$H$4</f>
        <v>0</v>
      </c>
      <c r="G5181" s="19" t="n">
        <f aca="false">'SALES Raw'!F3184*$H$4</f>
        <v>0</v>
      </c>
      <c r="H5181" s="18" t="str">
        <f aca="false">'SALES Raw'!A3184</f>
        <v>204 - Sanaflex Anatomic GREECE</v>
      </c>
    </row>
    <row r="5182" customFormat="false" ht="15" hidden="false" customHeight="false" outlineLevel="0" collapsed="false">
      <c r="A5182" s="18" t="n">
        <f aca="false">'SALES Raw'!G3193</f>
        <v>4415297</v>
      </c>
      <c r="B5182" s="18" t="str">
        <f aca="false">'SALES Raw'!B3193</f>
        <v>313 0</v>
      </c>
      <c r="C5182" s="18" t="str">
        <f aca="false">'SALES Raw'!H3193</f>
        <v>313 סט פלסטרים נגד שפשופים</v>
      </c>
      <c r="D5182" s="19" t="n">
        <f aca="false">'SALES Raw'!C3193</f>
        <v>35</v>
      </c>
      <c r="E5182" s="19" t="n">
        <f aca="false">'SALES Raw'!D3193</f>
        <v>424.79</v>
      </c>
      <c r="F5182" s="19" t="n">
        <f aca="false">'SALES Raw'!E3193*$H$4</f>
        <v>0</v>
      </c>
      <c r="G5182" s="19" t="n">
        <f aca="false">'SALES Raw'!F3193*$H$4</f>
        <v>0</v>
      </c>
      <c r="H5182" s="18" t="str">
        <f aca="false">'SALES Raw'!A3193</f>
        <v>204 - Sanaflex Anatomic GREECE</v>
      </c>
    </row>
    <row r="5183" customFormat="false" ht="15" hidden="false" customHeight="false" outlineLevel="0" collapsed="false">
      <c r="A5183" s="18" t="str">
        <f aca="false">'SALES Raw'!G3195</f>
        <v/>
      </c>
      <c r="B5183" s="18" t="str">
        <f aca="false">'SALES Raw'!B3195</f>
        <v>332B L</v>
      </c>
      <c r="C5183" s="18" t="str">
        <f aca="false">'SALES Raw'!H3195</f>
        <v>332B L</v>
      </c>
      <c r="D5183" s="19" t="n">
        <f aca="false">'SALES Raw'!C3195</f>
        <v>13</v>
      </c>
      <c r="E5183" s="19" t="n">
        <f aca="false">'SALES Raw'!D3195</f>
        <v>811.55</v>
      </c>
      <c r="F5183" s="19" t="n">
        <f aca="false">'SALES Raw'!E3195*$H$4</f>
        <v>0</v>
      </c>
      <c r="G5183" s="19" t="n">
        <f aca="false">'SALES Raw'!F3195*$H$4</f>
        <v>0</v>
      </c>
      <c r="H5183" s="18" t="str">
        <f aca="false">'SALES Raw'!A3195</f>
        <v>204 - Sanaflex Anatomic GREECE</v>
      </c>
    </row>
    <row r="5184" customFormat="false" ht="15" hidden="false" customHeight="false" outlineLevel="0" collapsed="false">
      <c r="A5184" s="18" t="str">
        <f aca="false">'SALES Raw'!G3196</f>
        <v/>
      </c>
      <c r="B5184" s="18" t="str">
        <f aca="false">'SALES Raw'!B3196</f>
        <v>332B M</v>
      </c>
      <c r="C5184" s="18" t="str">
        <f aca="false">'SALES Raw'!H3196</f>
        <v>332B M</v>
      </c>
      <c r="D5184" s="19" t="n">
        <f aca="false">'SALES Raw'!C3196</f>
        <v>10</v>
      </c>
      <c r="E5184" s="19" t="n">
        <f aca="false">'SALES Raw'!D3196</f>
        <v>623.26</v>
      </c>
      <c r="F5184" s="19" t="n">
        <f aca="false">'SALES Raw'!E3196*$H$4</f>
        <v>0</v>
      </c>
      <c r="G5184" s="19" t="n">
        <f aca="false">'SALES Raw'!F3196*$H$4</f>
        <v>0</v>
      </c>
      <c r="H5184" s="18" t="str">
        <f aca="false">'SALES Raw'!A3196</f>
        <v>204 - Sanaflex Anatomic GREECE</v>
      </c>
    </row>
    <row r="5185" customFormat="false" ht="15" hidden="false" customHeight="false" outlineLevel="0" collapsed="false">
      <c r="A5185" s="18" t="n">
        <f aca="false">'SALES Raw'!G3204</f>
        <v>4413048</v>
      </c>
      <c r="B5185" s="18" t="str">
        <f aca="false">'SALES Raw'!B3204</f>
        <v>35 L</v>
      </c>
      <c r="C5185" s="18" t="str">
        <f aca="false">'SALES Raw'!H3204</f>
        <v>35 L מגן קרסול לבן</v>
      </c>
      <c r="D5185" s="19" t="n">
        <f aca="false">'SALES Raw'!C3204</f>
        <v>20</v>
      </c>
      <c r="E5185" s="19" t="n">
        <f aca="false">'SALES Raw'!D3204</f>
        <v>199.82</v>
      </c>
      <c r="F5185" s="19" t="n">
        <f aca="false">'SALES Raw'!E3204*$H$4</f>
        <v>0</v>
      </c>
      <c r="G5185" s="19" t="n">
        <f aca="false">'SALES Raw'!F3204*$H$4</f>
        <v>0</v>
      </c>
      <c r="H5185" s="18" t="str">
        <f aca="false">'SALES Raw'!A3204</f>
        <v>204 - Sanaflex Anatomic GREECE</v>
      </c>
    </row>
    <row r="5186" customFormat="false" ht="15" hidden="false" customHeight="false" outlineLevel="0" collapsed="false">
      <c r="A5186" s="18" t="n">
        <f aca="false">'SALES Raw'!G3206</f>
        <v>4413050</v>
      </c>
      <c r="B5186" s="18" t="str">
        <f aca="false">'SALES Raw'!B3206</f>
        <v>35 XL</v>
      </c>
      <c r="C5186" s="18" t="str">
        <f aca="false">'SALES Raw'!H3206</f>
        <v>35 XL מגן קרסול לבן</v>
      </c>
      <c r="D5186" s="19" t="n">
        <f aca="false">'SALES Raw'!C3206</f>
        <v>10</v>
      </c>
      <c r="E5186" s="19" t="n">
        <f aca="false">'SALES Raw'!D3206</f>
        <v>97.43</v>
      </c>
      <c r="F5186" s="19" t="n">
        <f aca="false">'SALES Raw'!E3206*$H$4</f>
        <v>0</v>
      </c>
      <c r="G5186" s="19" t="n">
        <f aca="false">'SALES Raw'!F3206*$H$4</f>
        <v>0</v>
      </c>
      <c r="H5186" s="18" t="str">
        <f aca="false">'SALES Raw'!A3206</f>
        <v>204 - Sanaflex Anatomic GREECE</v>
      </c>
    </row>
    <row r="5187" customFormat="false" ht="15" hidden="false" customHeight="false" outlineLevel="0" collapsed="false">
      <c r="A5187" s="18" t="str">
        <f aca="false">'SALES Raw'!G3247</f>
        <v/>
      </c>
      <c r="B5187" s="18" t="str">
        <f aca="false">'SALES Raw'!B3247</f>
        <v>391W-35-38</v>
      </c>
      <c r="C5187" s="18" t="str">
        <f aca="false">'SALES Raw'!H3247</f>
        <v>391W-35-38</v>
      </c>
      <c r="D5187" s="19" t="n">
        <f aca="false">'SALES Raw'!C3247</f>
        <v>1</v>
      </c>
      <c r="E5187" s="19" t="n">
        <f aca="false">'SALES Raw'!D3247</f>
        <v>0.04</v>
      </c>
      <c r="F5187" s="19" t="n">
        <f aca="false">'SALES Raw'!E3247*$H$4</f>
        <v>0</v>
      </c>
      <c r="G5187" s="19" t="n">
        <f aca="false">'SALES Raw'!F3247*$H$4</f>
        <v>0</v>
      </c>
      <c r="H5187" s="18" t="str">
        <f aca="false">'SALES Raw'!A3247</f>
        <v>204 - Sanaflex Anatomic GREECE</v>
      </c>
    </row>
    <row r="5188" customFormat="false" ht="15" hidden="false" customHeight="false" outlineLevel="0" collapsed="false">
      <c r="A5188" s="18" t="str">
        <f aca="false">'SALES Raw'!G3248</f>
        <v/>
      </c>
      <c r="B5188" s="18" t="str">
        <f aca="false">'SALES Raw'!B3248</f>
        <v>392B-39-42</v>
      </c>
      <c r="C5188" s="18" t="str">
        <f aca="false">'SALES Raw'!H3248</f>
        <v>392B-39-42</v>
      </c>
      <c r="D5188" s="19" t="n">
        <f aca="false">'SALES Raw'!C3248</f>
        <v>10</v>
      </c>
      <c r="E5188" s="19" t="n">
        <f aca="false">'SALES Raw'!D3248</f>
        <v>194.88</v>
      </c>
      <c r="F5188" s="19" t="n">
        <f aca="false">'SALES Raw'!E3248*$H$4</f>
        <v>0</v>
      </c>
      <c r="G5188" s="19" t="n">
        <f aca="false">'SALES Raw'!F3248*$H$4</f>
        <v>0</v>
      </c>
      <c r="H5188" s="18" t="str">
        <f aca="false">'SALES Raw'!A3248</f>
        <v>204 - Sanaflex Anatomic GREECE</v>
      </c>
    </row>
    <row r="5189" customFormat="false" ht="15" hidden="false" customHeight="false" outlineLevel="0" collapsed="false">
      <c r="A5189" s="18" t="str">
        <f aca="false">'SALES Raw'!G3249</f>
        <v/>
      </c>
      <c r="B5189" s="18" t="str">
        <f aca="false">'SALES Raw'!B3249</f>
        <v>392B-43-46</v>
      </c>
      <c r="C5189" s="18" t="str">
        <f aca="false">'SALES Raw'!H3249</f>
        <v>392B-43-46</v>
      </c>
      <c r="D5189" s="19" t="n">
        <f aca="false">'SALES Raw'!C3249</f>
        <v>20</v>
      </c>
      <c r="E5189" s="19" t="n">
        <f aca="false">'SALES Raw'!D3249</f>
        <v>389.75</v>
      </c>
      <c r="F5189" s="19" t="n">
        <f aca="false">'SALES Raw'!E3249*$H$4</f>
        <v>0</v>
      </c>
      <c r="G5189" s="19" t="n">
        <f aca="false">'SALES Raw'!F3249*$H$4</f>
        <v>0</v>
      </c>
      <c r="H5189" s="18" t="str">
        <f aca="false">'SALES Raw'!A3249</f>
        <v>204 - Sanaflex Anatomic GREECE</v>
      </c>
    </row>
    <row r="5190" customFormat="false" ht="15" hidden="false" customHeight="false" outlineLevel="0" collapsed="false">
      <c r="A5190" s="18" t="n">
        <f aca="false">'SALES Raw'!G3253</f>
        <v>4403043</v>
      </c>
      <c r="B5190" s="18" t="str">
        <f aca="false">'SALES Raw'!B3253</f>
        <v>397A-43-46</v>
      </c>
      <c r="C5190" s="18" t="str">
        <f aca="false">'SALES Raw'!H3253</f>
        <v>397A-גרבי טיסה אנטי בקטרי43-46</v>
      </c>
      <c r="D5190" s="19" t="n">
        <f aca="false">'SALES Raw'!C3253</f>
        <v>1</v>
      </c>
      <c r="E5190" s="19" t="n">
        <f aca="false">'SALES Raw'!D3253</f>
        <v>0.04</v>
      </c>
      <c r="F5190" s="19" t="n">
        <f aca="false">'SALES Raw'!E3253*$H$4</f>
        <v>0</v>
      </c>
      <c r="G5190" s="19" t="n">
        <f aca="false">'SALES Raw'!F3253*$H$4</f>
        <v>0</v>
      </c>
      <c r="H5190" s="18" t="str">
        <f aca="false">'SALES Raw'!A3253</f>
        <v>204 - Sanaflex Anatomic GREECE</v>
      </c>
    </row>
    <row r="5191" customFormat="false" ht="15" hidden="false" customHeight="false" outlineLevel="0" collapsed="false">
      <c r="A5191" s="18" t="n">
        <f aca="false">'SALES Raw'!G3257</f>
        <v>4413095</v>
      </c>
      <c r="B5191" s="18" t="str">
        <f aca="false">'SALES Raw'!B3257</f>
        <v>45 XL</v>
      </c>
      <c r="C5191" s="18" t="str">
        <f aca="false">'SALES Raw'!H3257</f>
        <v>45 XL מגן ברך לבן</v>
      </c>
      <c r="D5191" s="19" t="n">
        <f aca="false">'SALES Raw'!C3257</f>
        <v>22</v>
      </c>
      <c r="E5191" s="19" t="n">
        <f aca="false">'SALES Raw'!D3257</f>
        <v>226.85</v>
      </c>
      <c r="F5191" s="19" t="n">
        <f aca="false">'SALES Raw'!E3257*$H$4</f>
        <v>0</v>
      </c>
      <c r="G5191" s="19" t="n">
        <f aca="false">'SALES Raw'!F3257*$H$4</f>
        <v>0</v>
      </c>
      <c r="H5191" s="18" t="str">
        <f aca="false">'SALES Raw'!A3257</f>
        <v>204 - Sanaflex Anatomic GREECE</v>
      </c>
    </row>
    <row r="5192" customFormat="false" ht="15" hidden="false" customHeight="false" outlineLevel="0" collapsed="false">
      <c r="A5192" s="18" t="n">
        <f aca="false">'SALES Raw'!G3268</f>
        <v>4413102</v>
      </c>
      <c r="B5192" s="18" t="str">
        <f aca="false">'SALES Raw'!B3268</f>
        <v>45E L</v>
      </c>
      <c r="C5192" s="18" t="str">
        <f aca="false">'SALES Raw'!H3268</f>
        <v>45E  L        מגן ברך ארוך לבן</v>
      </c>
      <c r="D5192" s="19" t="n">
        <f aca="false">'SALES Raw'!C3268</f>
        <v>6</v>
      </c>
      <c r="E5192" s="19" t="n">
        <f aca="false">'SALES Raw'!D3268</f>
        <v>69.91</v>
      </c>
      <c r="F5192" s="19" t="n">
        <f aca="false">'SALES Raw'!E3268*$H$4</f>
        <v>0</v>
      </c>
      <c r="G5192" s="19" t="n">
        <f aca="false">'SALES Raw'!F3268*$H$4</f>
        <v>0</v>
      </c>
      <c r="H5192" s="18" t="str">
        <f aca="false">'SALES Raw'!A3268</f>
        <v>204 - Sanaflex Anatomic GREECE</v>
      </c>
    </row>
    <row r="5193" customFormat="false" ht="15" hidden="false" customHeight="false" outlineLevel="0" collapsed="false">
      <c r="A5193" s="18" t="n">
        <f aca="false">'SALES Raw'!G3269</f>
        <v>4413103</v>
      </c>
      <c r="B5193" s="18" t="str">
        <f aca="false">'SALES Raw'!B3269</f>
        <v>45E M</v>
      </c>
      <c r="C5193" s="18" t="str">
        <f aca="false">'SALES Raw'!H3269</f>
        <v>45E Mמגן ברך ארוך לבן</v>
      </c>
      <c r="D5193" s="19" t="n">
        <f aca="false">'SALES Raw'!C3269</f>
        <v>6</v>
      </c>
      <c r="E5193" s="19" t="n">
        <f aca="false">'SALES Raw'!D3269</f>
        <v>69.91</v>
      </c>
      <c r="F5193" s="19" t="n">
        <f aca="false">'SALES Raw'!E3269*$H$4</f>
        <v>0</v>
      </c>
      <c r="G5193" s="19" t="n">
        <f aca="false">'SALES Raw'!F3269*$H$4</f>
        <v>0</v>
      </c>
      <c r="H5193" s="18" t="str">
        <f aca="false">'SALES Raw'!A3269</f>
        <v>204 - Sanaflex Anatomic GREECE</v>
      </c>
    </row>
    <row r="5194" customFormat="false" ht="15" hidden="false" customHeight="false" outlineLevel="0" collapsed="false">
      <c r="A5194" s="18" t="n">
        <f aca="false">'SALES Raw'!G3270</f>
        <v>4413104</v>
      </c>
      <c r="B5194" s="18" t="str">
        <f aca="false">'SALES Raw'!B3270</f>
        <v>45E XL</v>
      </c>
      <c r="C5194" s="18" t="str">
        <f aca="false">'SALES Raw'!H3270</f>
        <v>45E XLמגן ברך ארוך לבן</v>
      </c>
      <c r="D5194" s="19" t="n">
        <f aca="false">'SALES Raw'!C3270</f>
        <v>10</v>
      </c>
      <c r="E5194" s="19" t="n">
        <f aca="false">'SALES Raw'!D3270</f>
        <v>116.51</v>
      </c>
      <c r="F5194" s="19" t="n">
        <f aca="false">'SALES Raw'!E3270*$H$4</f>
        <v>0</v>
      </c>
      <c r="G5194" s="19" t="n">
        <f aca="false">'SALES Raw'!F3270*$H$4</f>
        <v>0</v>
      </c>
      <c r="H5194" s="18" t="str">
        <f aca="false">'SALES Raw'!A3270</f>
        <v>204 - Sanaflex Anatomic GREECE</v>
      </c>
    </row>
    <row r="5195" customFormat="false" ht="15" hidden="false" customHeight="false" outlineLevel="0" collapsed="false">
      <c r="A5195" s="18" t="str">
        <f aca="false">'SALES Raw'!G3273</f>
        <v/>
      </c>
      <c r="B5195" s="18" t="str">
        <f aca="false">'SALES Raw'!B3273</f>
        <v>55 S</v>
      </c>
      <c r="C5195" s="18" t="str">
        <f aca="false">'SALES Raw'!H3273</f>
        <v>55 S</v>
      </c>
      <c r="D5195" s="19" t="n">
        <f aca="false">'SALES Raw'!C3273</f>
        <v>6</v>
      </c>
      <c r="E5195" s="19" t="n">
        <f aca="false">'SALES Raw'!D3273</f>
        <v>183.73</v>
      </c>
      <c r="F5195" s="19" t="n">
        <f aca="false">'SALES Raw'!E3273*$H$4</f>
        <v>0</v>
      </c>
      <c r="G5195" s="19" t="n">
        <f aca="false">'SALES Raw'!F3273*$H$4</f>
        <v>0</v>
      </c>
      <c r="H5195" s="18" t="str">
        <f aca="false">'SALES Raw'!A3273</f>
        <v>204 - Sanaflex Anatomic GREECE</v>
      </c>
    </row>
    <row r="5196" customFormat="false" ht="15" hidden="false" customHeight="false" outlineLevel="0" collapsed="false">
      <c r="A5196" s="18" t="str">
        <f aca="false">'SALES Raw'!G3282</f>
        <v/>
      </c>
      <c r="B5196" s="18" t="str">
        <f aca="false">'SALES Raw'!B3282</f>
        <v>61 XL</v>
      </c>
      <c r="C5196" s="18" t="str">
        <f aca="false">'SALES Raw'!H3282</f>
        <v>61 XL</v>
      </c>
      <c r="D5196" s="19" t="n">
        <f aca="false">'SALES Raw'!C3282</f>
        <v>20</v>
      </c>
      <c r="E5196" s="19" t="n">
        <f aca="false">'SALES Raw'!D3282</f>
        <v>346.83</v>
      </c>
      <c r="F5196" s="19" t="n">
        <f aca="false">'SALES Raw'!E3282*$H$4</f>
        <v>0</v>
      </c>
      <c r="G5196" s="19" t="n">
        <f aca="false">'SALES Raw'!F3282*$H$4</f>
        <v>0</v>
      </c>
      <c r="H5196" s="18" t="str">
        <f aca="false">'SALES Raw'!A3282</f>
        <v>204 - Sanaflex Anatomic GREECE</v>
      </c>
    </row>
    <row r="5197" customFormat="false" ht="15" hidden="false" customHeight="false" outlineLevel="0" collapsed="false">
      <c r="A5197" s="18" t="str">
        <f aca="false">'SALES Raw'!G3283</f>
        <v/>
      </c>
      <c r="B5197" s="18" t="str">
        <f aca="false">'SALES Raw'!B3283</f>
        <v>67 0</v>
      </c>
      <c r="C5197" s="18" t="str">
        <f aca="false">'SALES Raw'!H3283</f>
        <v>67 0</v>
      </c>
      <c r="D5197" s="19" t="n">
        <f aca="false">'SALES Raw'!C3283</f>
        <v>31</v>
      </c>
      <c r="E5197" s="19" t="n">
        <f aca="false">'SALES Raw'!D3283</f>
        <v>3006.36</v>
      </c>
      <c r="F5197" s="19" t="n">
        <f aca="false">'SALES Raw'!E3283*$H$4</f>
        <v>0</v>
      </c>
      <c r="G5197" s="19" t="n">
        <f aca="false">'SALES Raw'!F3283*$H$4</f>
        <v>0</v>
      </c>
      <c r="H5197" s="18" t="str">
        <f aca="false">'SALES Raw'!A3283</f>
        <v>204 - Sanaflex Anatomic GREECE</v>
      </c>
    </row>
    <row r="5198" customFormat="false" ht="15" hidden="false" customHeight="false" outlineLevel="0" collapsed="false">
      <c r="A5198" s="18" t="str">
        <f aca="false">'SALES Raw'!G3284</f>
        <v/>
      </c>
      <c r="B5198" s="18" t="str">
        <f aca="false">'SALES Raw'!B3284</f>
        <v>67800020</v>
      </c>
      <c r="C5198" s="18" t="str">
        <f aca="false">'SALES Raw'!H3284</f>
        <v>67800020</v>
      </c>
      <c r="D5198" s="19" t="n">
        <f aca="false">'SALES Raw'!C3284</f>
        <v>16</v>
      </c>
      <c r="E5198" s="19" t="n">
        <f aca="false">'SALES Raw'!D3284</f>
        <v>0.57</v>
      </c>
      <c r="F5198" s="19" t="n">
        <f aca="false">'SALES Raw'!E3284*$H$4</f>
        <v>0</v>
      </c>
      <c r="G5198" s="19" t="n">
        <f aca="false">'SALES Raw'!F3284*$H$4</f>
        <v>0</v>
      </c>
      <c r="H5198" s="18" t="str">
        <f aca="false">'SALES Raw'!A3284</f>
        <v>204 - Sanaflex Anatomic GREECE</v>
      </c>
    </row>
    <row r="5199" customFormat="false" ht="15" hidden="false" customHeight="false" outlineLevel="0" collapsed="false">
      <c r="A5199" s="18" t="n">
        <f aca="false">'SALES Raw'!G3285</f>
        <v>4413127</v>
      </c>
      <c r="B5199" s="18" t="str">
        <f aca="false">'SALES Raw'!B3285</f>
        <v>75 L</v>
      </c>
      <c r="C5199" s="18" t="str">
        <f aca="false">'SALES Raw'!H3285</f>
        <v>75 Lמיישר כתף יציב יישור גב צר</v>
      </c>
      <c r="D5199" s="19" t="n">
        <f aca="false">'SALES Raw'!C3285</f>
        <v>3</v>
      </c>
      <c r="E5199" s="19" t="n">
        <f aca="false">'SALES Raw'!D3285</f>
        <v>189.5</v>
      </c>
      <c r="F5199" s="19" t="n">
        <f aca="false">'SALES Raw'!E3285*$H$4</f>
        <v>0</v>
      </c>
      <c r="G5199" s="19" t="n">
        <f aca="false">'SALES Raw'!F3285*$H$4</f>
        <v>0</v>
      </c>
      <c r="H5199" s="18" t="str">
        <f aca="false">'SALES Raw'!A3285</f>
        <v>204 - Sanaflex Anatomic GREECE</v>
      </c>
    </row>
    <row r="5200" customFormat="false" ht="15" hidden="false" customHeight="false" outlineLevel="0" collapsed="false">
      <c r="A5200" s="18" t="n">
        <f aca="false">'SALES Raw'!G3329</f>
        <v>4413276</v>
      </c>
      <c r="B5200" s="18" t="str">
        <f aca="false">'SALES Raw'!B3329</f>
        <v>LF377 L</v>
      </c>
      <c r="C5200" s="18" t="str">
        <f aca="false">'SALES Raw'!H3329</f>
        <v>LF377 L-מדרס סיליקון לנעלי עקב</v>
      </c>
      <c r="D5200" s="19" t="n">
        <f aca="false">'SALES Raw'!C3329</f>
        <v>12</v>
      </c>
      <c r="E5200" s="19" t="n">
        <f aca="false">'SALES Raw'!D3329</f>
        <v>233.8</v>
      </c>
      <c r="F5200" s="19" t="n">
        <f aca="false">'SALES Raw'!E3329*$H$4</f>
        <v>0</v>
      </c>
      <c r="G5200" s="19" t="n">
        <f aca="false">'SALES Raw'!F3329*$H$4</f>
        <v>0</v>
      </c>
      <c r="H5200" s="18" t="str">
        <f aca="false">'SALES Raw'!A3329</f>
        <v>204 - Sanaflex Anatomic GREECE</v>
      </c>
    </row>
    <row r="5201" customFormat="false" ht="15" hidden="false" customHeight="false" outlineLevel="0" collapsed="false">
      <c r="A5201" s="18" t="n">
        <f aca="false">'SALES Raw'!G3334</f>
        <v>4408270</v>
      </c>
      <c r="B5201" s="18" t="str">
        <f aca="false">'SALES Raw'!B3334</f>
        <v>ST11 0</v>
      </c>
      <c r="C5201" s="18" t="str">
        <f aca="false">'SALES Raw'!H3334</f>
        <v>ST11  חגורת בטן</v>
      </c>
      <c r="D5201" s="19" t="n">
        <f aca="false">'SALES Raw'!C3334</f>
        <v>13</v>
      </c>
      <c r="E5201" s="19" t="n">
        <f aca="false">'SALES Raw'!D3334</f>
        <v>335.39</v>
      </c>
      <c r="F5201" s="19" t="n">
        <f aca="false">'SALES Raw'!E3334*$H$4</f>
        <v>0</v>
      </c>
      <c r="G5201" s="19" t="n">
        <f aca="false">'SALES Raw'!F3334*$H$4</f>
        <v>0</v>
      </c>
      <c r="H5201" s="18" t="str">
        <f aca="false">'SALES Raw'!A3334</f>
        <v>204 - Sanaflex Anatomic GREECE</v>
      </c>
    </row>
    <row r="5202" customFormat="false" ht="15" hidden="false" customHeight="false" outlineLevel="0" collapsed="false">
      <c r="A5202" s="18" t="str">
        <f aca="false">'SALES Raw'!G3337</f>
        <v/>
      </c>
      <c r="B5202" s="18" t="str">
        <f aca="false">'SALES Raw'!B3337</f>
        <v>ST45X 0</v>
      </c>
      <c r="C5202" s="18" t="str">
        <f aca="false">'SALES Raw'!H3337</f>
        <v>ST45X 0</v>
      </c>
      <c r="D5202" s="19" t="n">
        <f aca="false">'SALES Raw'!C3337</f>
        <v>3</v>
      </c>
      <c r="E5202" s="19" t="n">
        <f aca="false">'SALES Raw'!D3337</f>
        <v>51.57</v>
      </c>
      <c r="F5202" s="19" t="n">
        <f aca="false">'SALES Raw'!E3337*$H$4</f>
        <v>0</v>
      </c>
      <c r="G5202" s="19" t="n">
        <f aca="false">'SALES Raw'!F3337*$H$4</f>
        <v>0</v>
      </c>
      <c r="H5202" s="18" t="str">
        <f aca="false">'SALES Raw'!A3337</f>
        <v>204 - Sanaflex Anatomic GREECE</v>
      </c>
    </row>
    <row r="5203" customFormat="false" ht="15" hidden="false" customHeight="false" outlineLevel="0" collapsed="false">
      <c r="A5203" s="18" t="str">
        <f aca="false">'SALES Raw'!G3339</f>
        <v/>
      </c>
      <c r="B5203" s="18" t="str">
        <f aca="false">'SALES Raw'!B3339</f>
        <v>ST95 0</v>
      </c>
      <c r="C5203" s="18" t="str">
        <f aca="false">'SALES Raw'!H3339</f>
        <v>ST95 0</v>
      </c>
      <c r="D5203" s="19" t="n">
        <f aca="false">'SALES Raw'!C3339</f>
        <v>2</v>
      </c>
      <c r="E5203" s="19" t="n">
        <f aca="false">'SALES Raw'!D3339</f>
        <v>35.61</v>
      </c>
      <c r="F5203" s="19" t="n">
        <f aca="false">'SALES Raw'!E3339*$H$4</f>
        <v>0</v>
      </c>
      <c r="G5203" s="19" t="n">
        <f aca="false">'SALES Raw'!F3339*$H$4</f>
        <v>0</v>
      </c>
      <c r="H5203" s="18" t="str">
        <f aca="false">'SALES Raw'!A3339</f>
        <v>204 - Sanaflex Anatomic GREECE</v>
      </c>
    </row>
    <row r="5204" customFormat="false" ht="15" hidden="false" customHeight="false" outlineLevel="0" collapsed="false">
      <c r="A5204" s="18" t="n">
        <f aca="false">'SALES Raw'!G3345</f>
        <v>4403040</v>
      </c>
      <c r="B5204" s="18" t="str">
        <f aca="false">'SALES Raw'!B3345</f>
        <v>3444B 0</v>
      </c>
      <c r="C5204" s="18" t="str">
        <f aca="false">'SALES Raw'!H3345</f>
        <v>3444B גרבי ג'ל לריכוך עור העקב</v>
      </c>
      <c r="D5204" s="19" t="n">
        <f aca="false">'SALES Raw'!C3345</f>
        <v>20</v>
      </c>
      <c r="E5204" s="19" t="n">
        <f aca="false">'SALES Raw'!D3345</f>
        <v>381.46</v>
      </c>
      <c r="F5204" s="19" t="n">
        <f aca="false">'SALES Raw'!E3345*$H$4</f>
        <v>0</v>
      </c>
      <c r="G5204" s="19" t="n">
        <f aca="false">'SALES Raw'!F3345*$H$4</f>
        <v>0</v>
      </c>
      <c r="H5204" s="18" t="str">
        <f aca="false">'SALES Raw'!A3345</f>
        <v>205 - Health Care Prod. Gmbh GERMANY</v>
      </c>
    </row>
    <row r="5205" customFormat="false" ht="15" hidden="false" customHeight="false" outlineLevel="0" collapsed="false">
      <c r="A5205" s="18" t="n">
        <f aca="false">'SALES Raw'!G3347</f>
        <v>4413058</v>
      </c>
      <c r="B5205" s="18" t="str">
        <f aca="false">'SALES Raw'!B3347</f>
        <v>3622S 0</v>
      </c>
      <c r="C5205" s="18" t="str">
        <f aca="false">'SALES Raw'!H3347</f>
        <v>3622S מדבקה לשחרור לחץ 2 יח</v>
      </c>
      <c r="D5205" s="19" t="n">
        <f aca="false">'SALES Raw'!C3347</f>
        <v>30</v>
      </c>
      <c r="E5205" s="19" t="n">
        <f aca="false">'SALES Raw'!D3347</f>
        <v>583.99</v>
      </c>
      <c r="F5205" s="19" t="n">
        <f aca="false">'SALES Raw'!E3347*$H$4</f>
        <v>0</v>
      </c>
      <c r="G5205" s="19" t="n">
        <f aca="false">'SALES Raw'!F3347*$H$4</f>
        <v>0</v>
      </c>
      <c r="H5205" s="18" t="str">
        <f aca="false">'SALES Raw'!A3347</f>
        <v>205 - Health Care Prod. Gmbh GERMANY</v>
      </c>
    </row>
    <row r="5206" customFormat="false" ht="15" hidden="false" customHeight="false" outlineLevel="0" collapsed="false">
      <c r="A5206" s="18" t="str">
        <f aca="false">'SALES Raw'!G3348</f>
        <v/>
      </c>
      <c r="B5206" s="18" t="str">
        <f aca="false">'SALES Raw'!B3348</f>
        <v>363 L/R</v>
      </c>
      <c r="C5206" s="18" t="str">
        <f aca="false">'SALES Raw'!H3348</f>
        <v>363 L/R</v>
      </c>
      <c r="D5206" s="19" t="n">
        <f aca="false">'SALES Raw'!C3348</f>
        <v>80</v>
      </c>
      <c r="E5206" s="19" t="n">
        <f aca="false">'SALES Raw'!D3348</f>
        <v>1038.21</v>
      </c>
      <c r="F5206" s="19" t="n">
        <f aca="false">'SALES Raw'!E3348*$H$4</f>
        <v>0</v>
      </c>
      <c r="G5206" s="19" t="n">
        <f aca="false">'SALES Raw'!F3348*$H$4</f>
        <v>0</v>
      </c>
      <c r="H5206" s="18" t="str">
        <f aca="false">'SALES Raw'!A3348</f>
        <v>205 - Health Care Prod. Gmbh GERMANY</v>
      </c>
    </row>
    <row r="5207" customFormat="false" ht="15" hidden="false" customHeight="false" outlineLevel="0" collapsed="false">
      <c r="A5207" s="18" t="n">
        <f aca="false">'SALES Raw'!G3351</f>
        <v>4409001</v>
      </c>
      <c r="B5207" s="18" t="str">
        <f aca="false">'SALES Raw'!B3351</f>
        <v>365-XL</v>
      </c>
      <c r="C5207" s="18" t="str">
        <f aca="false">'SALES Raw'!H3351</f>
        <v>365  X-Lטבעת אלסטית מסיליקון</v>
      </c>
      <c r="D5207" s="19" t="n">
        <f aca="false">'SALES Raw'!C3351</f>
        <v>40</v>
      </c>
      <c r="E5207" s="19" t="n">
        <f aca="false">'SALES Raw'!D3351</f>
        <v>321.82</v>
      </c>
      <c r="F5207" s="19" t="n">
        <f aca="false">'SALES Raw'!E3351*$H$4</f>
        <v>0</v>
      </c>
      <c r="G5207" s="19" t="n">
        <f aca="false">'SALES Raw'!F3351*$H$4</f>
        <v>0</v>
      </c>
      <c r="H5207" s="18" t="str">
        <f aca="false">'SALES Raw'!A3351</f>
        <v>205 - Health Care Prod. Gmbh GERMANY</v>
      </c>
    </row>
    <row r="5208" customFormat="false" ht="15" hidden="false" customHeight="false" outlineLevel="0" collapsed="false">
      <c r="A5208" s="18" t="n">
        <f aca="false">'SALES Raw'!G3357</f>
        <v>4408069</v>
      </c>
      <c r="B5208" s="18" t="str">
        <f aca="false">'SALES Raw'!B3357</f>
        <v>38 0</v>
      </c>
      <c r="C5208" s="18" t="str">
        <f aca="false">'SALES Raw'!H3357</f>
        <v>38 .חבישת""""הלוקס ולגוס""""לאחר נית</v>
      </c>
      <c r="D5208" s="19" t="n">
        <f aca="false">'SALES Raw'!C3357</f>
        <v>30</v>
      </c>
      <c r="E5208" s="19" t="n">
        <f aca="false">'SALES Raw'!D3357</f>
        <v>1057.05</v>
      </c>
      <c r="F5208" s="19" t="n">
        <f aca="false">'SALES Raw'!E3357*$H$4</f>
        <v>0</v>
      </c>
      <c r="G5208" s="19" t="n">
        <f aca="false">'SALES Raw'!F3357*$H$4</f>
        <v>0</v>
      </c>
      <c r="H5208" s="18" t="str">
        <f aca="false">'SALES Raw'!A3357</f>
        <v>205 - Health Care Prod. Gmbh GERMANY</v>
      </c>
    </row>
    <row r="5209" customFormat="false" ht="15" hidden="false" customHeight="false" outlineLevel="0" collapsed="false">
      <c r="A5209" s="18" t="n">
        <f aca="false">'SALES Raw'!G3360</f>
        <v>4403001</v>
      </c>
      <c r="B5209" s="18" t="str">
        <f aca="false">'SALES Raw'!B3360</f>
        <v>390B-39-42</v>
      </c>
      <c r="C5209" s="18" t="str">
        <f aca="false">'SALES Raw'!H3360</f>
        <v>390B 39-42.גרב.כסף לסכרתיים שח</v>
      </c>
      <c r="D5209" s="19" t="n">
        <f aca="false">'SALES Raw'!C3360</f>
        <v>150</v>
      </c>
      <c r="E5209" s="19" t="n">
        <f aca="false">'SALES Raw'!D3360</f>
        <v>3564.8</v>
      </c>
      <c r="F5209" s="19" t="n">
        <f aca="false">'SALES Raw'!E3360*$H$4</f>
        <v>0</v>
      </c>
      <c r="G5209" s="19" t="n">
        <f aca="false">'SALES Raw'!F3360*$H$4</f>
        <v>0</v>
      </c>
      <c r="H5209" s="18" t="str">
        <f aca="false">'SALES Raw'!A3360</f>
        <v>205 - Health Care Prod. Gmbh GERMANY</v>
      </c>
    </row>
    <row r="5210" customFormat="false" ht="15" hidden="false" customHeight="false" outlineLevel="0" collapsed="false">
      <c r="A5210" s="18" t="n">
        <f aca="false">'SALES Raw'!G3361</f>
        <v>4403002</v>
      </c>
      <c r="B5210" s="18" t="str">
        <f aca="false">'SALES Raw'!B3361</f>
        <v>390B-43-46</v>
      </c>
      <c r="C5210" s="18" t="str">
        <f aca="false">'SALES Raw'!H3361</f>
        <v>390B 43-46.גרב.כסף לסכרתיים שח</v>
      </c>
      <c r="D5210" s="19" t="n">
        <f aca="false">'SALES Raw'!C3361</f>
        <v>150</v>
      </c>
      <c r="E5210" s="19" t="n">
        <f aca="false">'SALES Raw'!D3361</f>
        <v>3539.25</v>
      </c>
      <c r="F5210" s="19" t="n">
        <f aca="false">'SALES Raw'!E3361*$H$4</f>
        <v>0</v>
      </c>
      <c r="G5210" s="19" t="n">
        <f aca="false">'SALES Raw'!F3361*$H$4</f>
        <v>0</v>
      </c>
      <c r="H5210" s="18" t="str">
        <f aca="false">'SALES Raw'!A3361</f>
        <v>205 - Health Care Prod. Gmbh GERMANY</v>
      </c>
    </row>
    <row r="5211" customFormat="false" ht="15" hidden="false" customHeight="false" outlineLevel="0" collapsed="false">
      <c r="A5211" s="18" t="str">
        <f aca="false">'SALES Raw'!G3362</f>
        <v/>
      </c>
      <c r="B5211" s="18" t="str">
        <f aca="false">'SALES Raw'!B3362</f>
        <v>390G-39-42</v>
      </c>
      <c r="C5211" s="18" t="str">
        <f aca="false">'SALES Raw'!H3362</f>
        <v>390G-39-42</v>
      </c>
      <c r="D5211" s="19" t="n">
        <f aca="false">'SALES Raw'!C3362</f>
        <v>50</v>
      </c>
      <c r="E5211" s="19" t="n">
        <f aca="false">'SALES Raw'!D3362</f>
        <v>1317.39</v>
      </c>
      <c r="F5211" s="19" t="n">
        <f aca="false">'SALES Raw'!E3362*$H$4</f>
        <v>0</v>
      </c>
      <c r="G5211" s="19" t="n">
        <f aca="false">'SALES Raw'!F3362*$H$4</f>
        <v>0</v>
      </c>
      <c r="H5211" s="18" t="str">
        <f aca="false">'SALES Raw'!A3362</f>
        <v>205 - Health Care Prod. Gmbh GERMANY</v>
      </c>
    </row>
    <row r="5212" customFormat="false" ht="15" hidden="false" customHeight="false" outlineLevel="0" collapsed="false">
      <c r="A5212" s="18" t="n">
        <f aca="false">'SALES Raw'!G3363</f>
        <v>4403005</v>
      </c>
      <c r="B5212" s="18" t="str">
        <f aca="false">'SALES Raw'!B3363</f>
        <v>390G-43-46</v>
      </c>
      <c r="C5212" s="18" t="str">
        <f aca="false">'SALES Raw'!H3363</f>
        <v>G390.43-46 גרבי כסף לסכרת מידה</v>
      </c>
      <c r="D5212" s="19" t="n">
        <f aca="false">'SALES Raw'!C3363</f>
        <v>30</v>
      </c>
      <c r="E5212" s="19" t="n">
        <f aca="false">'SALES Raw'!D3363</f>
        <v>1403.58</v>
      </c>
      <c r="F5212" s="19" t="n">
        <f aca="false">'SALES Raw'!E3363*$H$4</f>
        <v>0</v>
      </c>
      <c r="G5212" s="19" t="n">
        <f aca="false">'SALES Raw'!F3363*$H$4</f>
        <v>0</v>
      </c>
      <c r="H5212" s="18" t="str">
        <f aca="false">'SALES Raw'!A3363</f>
        <v>205 - Health Care Prod. Gmbh GERMANY</v>
      </c>
    </row>
    <row r="5213" customFormat="false" ht="15" hidden="false" customHeight="false" outlineLevel="0" collapsed="false">
      <c r="A5213" s="18" t="n">
        <f aca="false">'SALES Raw'!G3364</f>
        <v>4403006</v>
      </c>
      <c r="B5213" s="18" t="str">
        <f aca="false">'SALES Raw'!B3364</f>
        <v>390W-35-38</v>
      </c>
      <c r="C5213" s="18" t="str">
        <f aca="false">'SALES Raw'!H3364</f>
        <v>390W גרב כסף לסכרתיים לבן35-38</v>
      </c>
      <c r="D5213" s="19" t="n">
        <f aca="false">'SALES Raw'!C3364</f>
        <v>10</v>
      </c>
      <c r="E5213" s="19" t="n">
        <f aca="false">'SALES Raw'!D3364</f>
        <v>232.34</v>
      </c>
      <c r="F5213" s="19" t="n">
        <f aca="false">'SALES Raw'!E3364*$H$4</f>
        <v>0</v>
      </c>
      <c r="G5213" s="19" t="n">
        <f aca="false">'SALES Raw'!F3364*$H$4</f>
        <v>0</v>
      </c>
      <c r="H5213" s="18" t="str">
        <f aca="false">'SALES Raw'!A3364</f>
        <v>205 - Health Care Prod. Gmbh GERMANY</v>
      </c>
    </row>
    <row r="5214" customFormat="false" ht="15" hidden="false" customHeight="false" outlineLevel="0" collapsed="false">
      <c r="A5214" s="18" t="str">
        <f aca="false">'SALES Raw'!G3365</f>
        <v/>
      </c>
      <c r="B5214" s="18" t="str">
        <f aca="false">'SALES Raw'!B3365</f>
        <v>391W-35-38</v>
      </c>
      <c r="C5214" s="18" t="str">
        <f aca="false">'SALES Raw'!H3365</f>
        <v>391W-35-38</v>
      </c>
      <c r="D5214" s="19" t="n">
        <f aca="false">'SALES Raw'!C3365</f>
        <v>1</v>
      </c>
      <c r="E5214" s="19" t="n">
        <f aca="false">'SALES Raw'!D3365</f>
        <v>0.04</v>
      </c>
      <c r="F5214" s="19" t="n">
        <f aca="false">'SALES Raw'!E3365*$H$4</f>
        <v>0</v>
      </c>
      <c r="G5214" s="19" t="n">
        <f aca="false">'SALES Raw'!F3365*$H$4</f>
        <v>0</v>
      </c>
      <c r="H5214" s="18" t="str">
        <f aca="false">'SALES Raw'!A3365</f>
        <v>205 - Health Care Prod. Gmbh GERMANY</v>
      </c>
    </row>
    <row r="5215" customFormat="false" ht="15" hidden="false" customHeight="false" outlineLevel="0" collapsed="false">
      <c r="A5215" s="18" t="str">
        <f aca="false">'SALES Raw'!G3366</f>
        <v/>
      </c>
      <c r="B5215" s="18" t="str">
        <f aca="false">'SALES Raw'!B3366</f>
        <v>395B-35-38</v>
      </c>
      <c r="C5215" s="18" t="str">
        <f aca="false">'SALES Raw'!H3366</f>
        <v>395B-35-38</v>
      </c>
      <c r="D5215" s="19" t="n">
        <f aca="false">'SALES Raw'!C3366</f>
        <v>1</v>
      </c>
      <c r="E5215" s="19" t="n">
        <f aca="false">'SALES Raw'!D3366</f>
        <v>0.04</v>
      </c>
      <c r="F5215" s="19" t="n">
        <f aca="false">'SALES Raw'!E3366*$H$4</f>
        <v>0</v>
      </c>
      <c r="G5215" s="19" t="n">
        <f aca="false">'SALES Raw'!F3366*$H$4</f>
        <v>0</v>
      </c>
      <c r="H5215" s="18" t="str">
        <f aca="false">'SALES Raw'!A3366</f>
        <v>205 - Health Care Prod. Gmbh GERMANY</v>
      </c>
    </row>
    <row r="5216" customFormat="false" ht="15" hidden="false" customHeight="false" outlineLevel="0" collapsed="false">
      <c r="A5216" s="18" t="n">
        <f aca="false">'SALES Raw'!G3367</f>
        <v>4403043</v>
      </c>
      <c r="B5216" s="18" t="str">
        <f aca="false">'SALES Raw'!B3367</f>
        <v>397A-43-46</v>
      </c>
      <c r="C5216" s="18" t="str">
        <f aca="false">'SALES Raw'!H3367</f>
        <v>397A-גרבי טיסה אנטי בקטרי43-46</v>
      </c>
      <c r="D5216" s="19" t="n">
        <f aca="false">'SALES Raw'!C3367</f>
        <v>1</v>
      </c>
      <c r="E5216" s="19" t="n">
        <f aca="false">'SALES Raw'!D3367</f>
        <v>0.04</v>
      </c>
      <c r="F5216" s="19" t="n">
        <f aca="false">'SALES Raw'!E3367*$H$4</f>
        <v>0</v>
      </c>
      <c r="G5216" s="19" t="n">
        <f aca="false">'SALES Raw'!F3367*$H$4</f>
        <v>0</v>
      </c>
      <c r="H5216" s="18" t="str">
        <f aca="false">'SALES Raw'!A3367</f>
        <v>205 - Health Care Prod. Gmbh GERMANY</v>
      </c>
    </row>
    <row r="5217" customFormat="false" ht="15" hidden="false" customHeight="false" outlineLevel="0" collapsed="false">
      <c r="A5217" s="18" t="n">
        <f aca="false">'SALES Raw'!G3376</f>
        <v>4408269</v>
      </c>
      <c r="B5217" s="18" t="str">
        <f aca="false">'SALES Raw'!B3376</f>
        <v>ST37 0</v>
      </c>
      <c r="C5217" s="18" t="str">
        <f aca="false">'SALES Raw'!H3376</f>
        <v>ST37 חבק לקרסול</v>
      </c>
      <c r="D5217" s="19" t="n">
        <f aca="false">'SALES Raw'!C3376</f>
        <v>60</v>
      </c>
      <c r="E5217" s="19" t="n">
        <f aca="false">'SALES Raw'!D3376</f>
        <v>1061.29</v>
      </c>
      <c r="F5217" s="19" t="n">
        <f aca="false">'SALES Raw'!E3376*$H$4</f>
        <v>0</v>
      </c>
      <c r="G5217" s="19" t="n">
        <f aca="false">'SALES Raw'!F3376*$H$4</f>
        <v>0</v>
      </c>
      <c r="H5217" s="18" t="str">
        <f aca="false">'SALES Raw'!A3376</f>
        <v>205 - Health Care Prod. Gmbh GERMANY</v>
      </c>
    </row>
    <row r="5218" customFormat="false" ht="15" hidden="false" customHeight="false" outlineLevel="0" collapsed="false">
      <c r="A5218" s="18" t="n">
        <f aca="false">'SALES Raw'!G3379</f>
        <v>4408245</v>
      </c>
      <c r="B5218" s="18" t="str">
        <f aca="false">'SALES Raw'!B3379</f>
        <v>077A XXL</v>
      </c>
      <c r="C5218" s="18" t="str">
        <f aca="false">'SALES Raw'!H3379</f>
        <v>077A   XXL חגורת גב עם חיזוקים</v>
      </c>
      <c r="D5218" s="19" t="n">
        <f aca="false">'SALES Raw'!C3379</f>
        <v>10</v>
      </c>
      <c r="E5218" s="19" t="n">
        <f aca="false">'SALES Raw'!D3379</f>
        <v>700.18</v>
      </c>
      <c r="F5218" s="19" t="n">
        <f aca="false">'SALES Raw'!E3379*$H$4</f>
        <v>0</v>
      </c>
      <c r="G5218" s="19" t="n">
        <f aca="false">'SALES Raw'!F3379*$H$4</f>
        <v>0</v>
      </c>
      <c r="H5218" s="18" t="str">
        <f aca="false">'SALES Raw'!A3379</f>
        <v>206 - Orthomed  Ltd BULGARIA</v>
      </c>
    </row>
    <row r="5219" customFormat="false" ht="15" hidden="false" customHeight="false" outlineLevel="0" collapsed="false">
      <c r="A5219" s="18" t="n">
        <f aca="false">'SALES Raw'!G3380</f>
        <v>4408135</v>
      </c>
      <c r="B5219" s="18" t="str">
        <f aca="false">'SALES Raw'!B3380</f>
        <v>077A-L-XL</v>
      </c>
      <c r="C5219" s="18" t="str">
        <f aca="false">'SALES Raw'!H3380</f>
        <v>077A L-XLחגורת גב</v>
      </c>
      <c r="D5219" s="19" t="n">
        <f aca="false">'SALES Raw'!C3380</f>
        <v>30</v>
      </c>
      <c r="E5219" s="19" t="n">
        <f aca="false">'SALES Raw'!D3380</f>
        <v>2100.53</v>
      </c>
      <c r="F5219" s="19" t="n">
        <f aca="false">'SALES Raw'!E3380*$H$4</f>
        <v>0</v>
      </c>
      <c r="G5219" s="19" t="n">
        <f aca="false">'SALES Raw'!F3380*$H$4</f>
        <v>0</v>
      </c>
      <c r="H5219" s="18" t="str">
        <f aca="false">'SALES Raw'!A3380</f>
        <v>206 - Orthomed  Ltd BULGARIA</v>
      </c>
    </row>
    <row r="5220" customFormat="false" ht="15" hidden="false" customHeight="false" outlineLevel="0" collapsed="false">
      <c r="A5220" s="18" t="n">
        <f aca="false">'SALES Raw'!G3381</f>
        <v>4408134</v>
      </c>
      <c r="B5220" s="18" t="str">
        <f aca="false">'SALES Raw'!B3381</f>
        <v>077A-S-M</v>
      </c>
      <c r="C5220" s="18" t="str">
        <f aca="false">'SALES Raw'!H3381</f>
        <v>077A S-M חגורת גב</v>
      </c>
      <c r="D5220" s="19" t="n">
        <f aca="false">'SALES Raw'!C3381</f>
        <v>20</v>
      </c>
      <c r="E5220" s="19" t="n">
        <f aca="false">'SALES Raw'!D3381</f>
        <v>1400.36</v>
      </c>
      <c r="F5220" s="19" t="n">
        <f aca="false">'SALES Raw'!E3381*$H$4</f>
        <v>0</v>
      </c>
      <c r="G5220" s="19" t="n">
        <f aca="false">'SALES Raw'!F3381*$H$4</f>
        <v>0</v>
      </c>
      <c r="H5220" s="18" t="str">
        <f aca="false">'SALES Raw'!A3381</f>
        <v>206 - Orthomed  Ltd BULGARIA</v>
      </c>
    </row>
    <row r="5221" customFormat="false" ht="15" hidden="false" customHeight="false" outlineLevel="0" collapsed="false">
      <c r="A5221" s="18" t="n">
        <f aca="false">'SALES Raw'!G3382</f>
        <v>4408221</v>
      </c>
      <c r="B5221" s="18" t="str">
        <f aca="false">'SALES Raw'!B3382</f>
        <v>078G L</v>
      </c>
      <c r="C5221" s="18" t="str">
        <f aca="false">'SALES Raw'!H3382</f>
        <v>078G-L חגורת גב אפורה</v>
      </c>
      <c r="D5221" s="19" t="n">
        <f aca="false">'SALES Raw'!C3382</f>
        <v>20</v>
      </c>
      <c r="E5221" s="19" t="n">
        <f aca="false">'SALES Raw'!D3382</f>
        <v>1149.21</v>
      </c>
      <c r="F5221" s="19" t="n">
        <f aca="false">'SALES Raw'!E3382*$H$4</f>
        <v>0</v>
      </c>
      <c r="G5221" s="19" t="n">
        <f aca="false">'SALES Raw'!F3382*$H$4</f>
        <v>0</v>
      </c>
      <c r="H5221" s="18" t="str">
        <f aca="false">'SALES Raw'!A3382</f>
        <v>206 - Orthomed  Ltd BULGARIA</v>
      </c>
    </row>
    <row r="5222" customFormat="false" ht="15" hidden="false" customHeight="false" outlineLevel="0" collapsed="false">
      <c r="A5222" s="18" t="n">
        <f aca="false">'SALES Raw'!G3383</f>
        <v>4408220</v>
      </c>
      <c r="B5222" s="18" t="str">
        <f aca="false">'SALES Raw'!B3383</f>
        <v>078G M</v>
      </c>
      <c r="C5222" s="18" t="str">
        <f aca="false">'SALES Raw'!H3383</f>
        <v>078G-M חגורת גב אפורה</v>
      </c>
      <c r="D5222" s="19" t="n">
        <f aca="false">'SALES Raw'!C3383</f>
        <v>15</v>
      </c>
      <c r="E5222" s="19" t="n">
        <f aca="false">'SALES Raw'!D3383</f>
        <v>861.91</v>
      </c>
      <c r="F5222" s="19" t="n">
        <f aca="false">'SALES Raw'!E3383*$H$4</f>
        <v>0</v>
      </c>
      <c r="G5222" s="19" t="n">
        <f aca="false">'SALES Raw'!F3383*$H$4</f>
        <v>0</v>
      </c>
      <c r="H5222" s="18" t="str">
        <f aca="false">'SALES Raw'!A3383</f>
        <v>206 - Orthomed  Ltd BULGARIA</v>
      </c>
    </row>
    <row r="5223" customFormat="false" ht="15" hidden="false" customHeight="false" outlineLevel="0" collapsed="false">
      <c r="A5223" s="18" t="n">
        <f aca="false">'SALES Raw'!G3384</f>
        <v>4408219</v>
      </c>
      <c r="B5223" s="18" t="str">
        <f aca="false">'SALES Raw'!B3384</f>
        <v>078G S</v>
      </c>
      <c r="C5223" s="18" t="str">
        <f aca="false">'SALES Raw'!H3384</f>
        <v>078G-S חגורת גב אפורה</v>
      </c>
      <c r="D5223" s="19" t="n">
        <f aca="false">'SALES Raw'!C3384</f>
        <v>10</v>
      </c>
      <c r="E5223" s="19" t="n">
        <f aca="false">'SALES Raw'!D3384</f>
        <v>574.61</v>
      </c>
      <c r="F5223" s="19" t="n">
        <f aca="false">'SALES Raw'!E3384*$H$4</f>
        <v>0</v>
      </c>
      <c r="G5223" s="19" t="n">
        <f aca="false">'SALES Raw'!F3384*$H$4</f>
        <v>0</v>
      </c>
      <c r="H5223" s="18" t="str">
        <f aca="false">'SALES Raw'!A3384</f>
        <v>206 - Orthomed  Ltd BULGARIA</v>
      </c>
    </row>
    <row r="5224" customFormat="false" ht="15" hidden="false" customHeight="false" outlineLevel="0" collapsed="false">
      <c r="A5224" s="18" t="n">
        <f aca="false">'SALES Raw'!G3385</f>
        <v>4408222</v>
      </c>
      <c r="B5224" s="18" t="str">
        <f aca="false">'SALES Raw'!B3385</f>
        <v>078G XL</v>
      </c>
      <c r="C5224" s="18" t="str">
        <f aca="false">'SALES Raw'!H3385</f>
        <v>078G-XLחגורת גב אפורה</v>
      </c>
      <c r="D5224" s="19" t="n">
        <f aca="false">'SALES Raw'!C3385</f>
        <v>20</v>
      </c>
      <c r="E5224" s="19" t="n">
        <f aca="false">'SALES Raw'!D3385</f>
        <v>1149.21</v>
      </c>
      <c r="F5224" s="19" t="n">
        <f aca="false">'SALES Raw'!E3385*$H$4</f>
        <v>0</v>
      </c>
      <c r="G5224" s="19" t="n">
        <f aca="false">'SALES Raw'!F3385*$H$4</f>
        <v>0</v>
      </c>
      <c r="H5224" s="18" t="str">
        <f aca="false">'SALES Raw'!A3385</f>
        <v>206 - Orthomed  Ltd BULGARIA</v>
      </c>
    </row>
    <row r="5225" customFormat="false" ht="15" hidden="false" customHeight="false" outlineLevel="0" collapsed="false">
      <c r="A5225" s="18" t="n">
        <f aca="false">'SALES Raw'!G3386</f>
        <v>4408223</v>
      </c>
      <c r="B5225" s="18" t="str">
        <f aca="false">'SALES Raw'!B3386</f>
        <v>078G XXL</v>
      </c>
      <c r="C5225" s="18" t="str">
        <f aca="false">'SALES Raw'!H3386</f>
        <v>078G-XXLחגורת גב אפורה</v>
      </c>
      <c r="D5225" s="19" t="n">
        <f aca="false">'SALES Raw'!C3386</f>
        <v>10</v>
      </c>
      <c r="E5225" s="19" t="n">
        <f aca="false">'SALES Raw'!D3386</f>
        <v>574.61</v>
      </c>
      <c r="F5225" s="19" t="n">
        <f aca="false">'SALES Raw'!E3386*$H$4</f>
        <v>0</v>
      </c>
      <c r="G5225" s="19" t="n">
        <f aca="false">'SALES Raw'!F3386*$H$4</f>
        <v>0</v>
      </c>
      <c r="H5225" s="18" t="str">
        <f aca="false">'SALES Raw'!A3386</f>
        <v>206 - Orthomed  Ltd BULGARIA</v>
      </c>
    </row>
    <row r="5226" customFormat="false" ht="15" hidden="false" customHeight="false" outlineLevel="0" collapsed="false">
      <c r="A5226" s="18" t="str">
        <f aca="false">'SALES Raw'!G3387</f>
        <v/>
      </c>
      <c r="B5226" s="18" t="str">
        <f aca="false">'SALES Raw'!B3387</f>
        <v>07UB XXL</v>
      </c>
      <c r="C5226" s="18" t="str">
        <f aca="false">'SALES Raw'!H3387</f>
        <v>07UB XXL</v>
      </c>
      <c r="D5226" s="19" t="n">
        <f aca="false">'SALES Raw'!C3387</f>
        <v>10</v>
      </c>
      <c r="E5226" s="19" t="n">
        <f aca="false">'SALES Raw'!D3387</f>
        <v>974.16</v>
      </c>
      <c r="F5226" s="19" t="n">
        <f aca="false">'SALES Raw'!E3387*$H$4</f>
        <v>0</v>
      </c>
      <c r="G5226" s="19" t="n">
        <f aca="false">'SALES Raw'!F3387*$H$4</f>
        <v>0</v>
      </c>
      <c r="H5226" s="18" t="str">
        <f aca="false">'SALES Raw'!A3387</f>
        <v>206 - Orthomed  Ltd BULGARIA</v>
      </c>
    </row>
    <row r="5227" customFormat="false" ht="15" hidden="false" customHeight="false" outlineLevel="0" collapsed="false">
      <c r="A5227" s="18" t="str">
        <f aca="false">'SALES Raw'!G3388</f>
        <v/>
      </c>
      <c r="B5227" s="18" t="str">
        <f aca="false">'SALES Raw'!B3388</f>
        <v>07UB-L-XL</v>
      </c>
      <c r="C5227" s="18" t="str">
        <f aca="false">'SALES Raw'!H3388</f>
        <v>07UB-L-XL</v>
      </c>
      <c r="D5227" s="19" t="n">
        <f aca="false">'SALES Raw'!C3388</f>
        <v>20</v>
      </c>
      <c r="E5227" s="19" t="n">
        <f aca="false">'SALES Raw'!D3388</f>
        <v>1948.33</v>
      </c>
      <c r="F5227" s="19" t="n">
        <f aca="false">'SALES Raw'!E3388*$H$4</f>
        <v>0</v>
      </c>
      <c r="G5227" s="19" t="n">
        <f aca="false">'SALES Raw'!F3388*$H$4</f>
        <v>0</v>
      </c>
      <c r="H5227" s="18" t="str">
        <f aca="false">'SALES Raw'!A3388</f>
        <v>206 - Orthomed  Ltd BULGARIA</v>
      </c>
    </row>
    <row r="5228" customFormat="false" ht="15" hidden="false" customHeight="false" outlineLevel="0" collapsed="false">
      <c r="A5228" s="18" t="str">
        <f aca="false">'SALES Raw'!G3389</f>
        <v/>
      </c>
      <c r="B5228" s="18" t="str">
        <f aca="false">'SALES Raw'!B3389</f>
        <v>07UB-S-M</v>
      </c>
      <c r="C5228" s="18" t="str">
        <f aca="false">'SALES Raw'!H3389</f>
        <v>07UB-S-M</v>
      </c>
      <c r="D5228" s="19" t="n">
        <f aca="false">'SALES Raw'!C3389</f>
        <v>15</v>
      </c>
      <c r="E5228" s="19" t="n">
        <f aca="false">'SALES Raw'!D3389</f>
        <v>1461.22</v>
      </c>
      <c r="F5228" s="19" t="n">
        <f aca="false">'SALES Raw'!E3389*$H$4</f>
        <v>0</v>
      </c>
      <c r="G5228" s="19" t="n">
        <f aca="false">'SALES Raw'!F3389*$H$4</f>
        <v>0</v>
      </c>
      <c r="H5228" s="18" t="str">
        <f aca="false">'SALES Raw'!A3389</f>
        <v>206 - Orthomed  Ltd BULGARIA</v>
      </c>
    </row>
    <row r="5229" customFormat="false" ht="15" hidden="false" customHeight="false" outlineLevel="0" collapsed="false">
      <c r="A5229" s="18" t="n">
        <f aca="false">'SALES Raw'!G3390</f>
        <v>4408115</v>
      </c>
      <c r="B5229" s="18" t="str">
        <f aca="false">'SALES Raw'!B3390</f>
        <v>11EU L</v>
      </c>
      <c r="C5229" s="18" t="str">
        <f aca="false">'SALES Raw'!H3390</f>
        <v>11EU L ח.בטן לאחר ניתוח</v>
      </c>
      <c r="D5229" s="19" t="n">
        <f aca="false">'SALES Raw'!C3390</f>
        <v>20</v>
      </c>
      <c r="E5229" s="19" t="n">
        <f aca="false">'SALES Raw'!D3390</f>
        <v>943.72</v>
      </c>
      <c r="F5229" s="19" t="n">
        <f aca="false">'SALES Raw'!E3390*$H$4</f>
        <v>0</v>
      </c>
      <c r="G5229" s="19" t="n">
        <f aca="false">'SALES Raw'!F3390*$H$4</f>
        <v>0</v>
      </c>
      <c r="H5229" s="18" t="str">
        <f aca="false">'SALES Raw'!A3390</f>
        <v>206 - Orthomed  Ltd BULGARIA</v>
      </c>
    </row>
    <row r="5230" customFormat="false" ht="15" hidden="false" customHeight="false" outlineLevel="0" collapsed="false">
      <c r="A5230" s="18" t="n">
        <f aca="false">'SALES Raw'!G3391</f>
        <v>4408114</v>
      </c>
      <c r="B5230" s="18" t="str">
        <f aca="false">'SALES Raw'!B3391</f>
        <v>11EU M</v>
      </c>
      <c r="C5230" s="18" t="str">
        <f aca="false">'SALES Raw'!H3391</f>
        <v>11EU M ח.בטן לאחר ניתוח</v>
      </c>
      <c r="D5230" s="19" t="n">
        <f aca="false">'SALES Raw'!C3391</f>
        <v>10</v>
      </c>
      <c r="E5230" s="19" t="n">
        <f aca="false">'SALES Raw'!D3391</f>
        <v>471.86</v>
      </c>
      <c r="F5230" s="19" t="n">
        <f aca="false">'SALES Raw'!E3391*$H$4</f>
        <v>0</v>
      </c>
      <c r="G5230" s="19" t="n">
        <f aca="false">'SALES Raw'!F3391*$H$4</f>
        <v>0</v>
      </c>
      <c r="H5230" s="18" t="str">
        <f aca="false">'SALES Raw'!A3391</f>
        <v>206 - Orthomed  Ltd BULGARIA</v>
      </c>
    </row>
    <row r="5231" customFormat="false" ht="15" hidden="false" customHeight="false" outlineLevel="0" collapsed="false">
      <c r="A5231" s="18" t="str">
        <f aca="false">'SALES Raw'!G3392</f>
        <v/>
      </c>
      <c r="B5231" s="18" t="str">
        <f aca="false">'SALES Raw'!B3392</f>
        <v>11EU S</v>
      </c>
      <c r="C5231" s="18" t="str">
        <f aca="false">'SALES Raw'!H3392</f>
        <v>11EU S</v>
      </c>
      <c r="D5231" s="19" t="n">
        <f aca="false">'SALES Raw'!C3392</f>
        <v>5</v>
      </c>
      <c r="E5231" s="19" t="n">
        <f aca="false">'SALES Raw'!D3392</f>
        <v>235.93</v>
      </c>
      <c r="F5231" s="19" t="n">
        <f aca="false">'SALES Raw'!E3392*$H$4</f>
        <v>0</v>
      </c>
      <c r="G5231" s="19" t="n">
        <f aca="false">'SALES Raw'!F3392*$H$4</f>
        <v>0</v>
      </c>
      <c r="H5231" s="18" t="str">
        <f aca="false">'SALES Raw'!A3392</f>
        <v>206 - Orthomed  Ltd BULGARIA</v>
      </c>
    </row>
    <row r="5232" customFormat="false" ht="15" hidden="false" customHeight="false" outlineLevel="0" collapsed="false">
      <c r="A5232" s="18" t="n">
        <f aca="false">'SALES Raw'!G3393</f>
        <v>4408116</v>
      </c>
      <c r="B5232" s="18" t="str">
        <f aca="false">'SALES Raw'!B3393</f>
        <v>11EU XL</v>
      </c>
      <c r="C5232" s="18" t="str">
        <f aca="false">'SALES Raw'!H3393</f>
        <v>11EU XLח.בטן לאחר ניתוח</v>
      </c>
      <c r="D5232" s="19" t="n">
        <f aca="false">'SALES Raw'!C3393</f>
        <v>20</v>
      </c>
      <c r="E5232" s="19" t="n">
        <f aca="false">'SALES Raw'!D3393</f>
        <v>943.72</v>
      </c>
      <c r="F5232" s="19" t="n">
        <f aca="false">'SALES Raw'!E3393*$H$4</f>
        <v>0</v>
      </c>
      <c r="G5232" s="19" t="n">
        <f aca="false">'SALES Raw'!F3393*$H$4</f>
        <v>0</v>
      </c>
      <c r="H5232" s="18" t="str">
        <f aca="false">'SALES Raw'!A3393</f>
        <v>206 - Orthomed  Ltd BULGARIA</v>
      </c>
    </row>
    <row r="5233" customFormat="false" ht="15" hidden="false" customHeight="false" outlineLevel="0" collapsed="false">
      <c r="A5233" s="18" t="n">
        <f aca="false">'SALES Raw'!G3394</f>
        <v>4408132</v>
      </c>
      <c r="B5233" s="18" t="str">
        <f aca="false">'SALES Raw'!B3394</f>
        <v>11EU XXL</v>
      </c>
      <c r="C5233" s="18" t="str">
        <f aca="false">'SALES Raw'!H3394</f>
        <v>11EU XXL חגורת בטןלאחר ניתוח</v>
      </c>
      <c r="D5233" s="19" t="n">
        <f aca="false">'SALES Raw'!C3394</f>
        <v>15</v>
      </c>
      <c r="E5233" s="19" t="n">
        <f aca="false">'SALES Raw'!D3394</f>
        <v>707.79</v>
      </c>
      <c r="F5233" s="19" t="n">
        <f aca="false">'SALES Raw'!E3394*$H$4</f>
        <v>0</v>
      </c>
      <c r="G5233" s="19" t="n">
        <f aca="false">'SALES Raw'!F3394*$H$4</f>
        <v>0</v>
      </c>
      <c r="H5233" s="18" t="str">
        <f aca="false">'SALES Raw'!A3394</f>
        <v>206 - Orthomed  Ltd BULGARIA</v>
      </c>
    </row>
    <row r="5234" customFormat="false" ht="15" hidden="false" customHeight="false" outlineLevel="0" collapsed="false">
      <c r="A5234" s="18" t="n">
        <f aca="false">'SALES Raw'!G3395</f>
        <v>4408261</v>
      </c>
      <c r="B5234" s="18" t="str">
        <f aca="false">'SALES Raw'!B3395</f>
        <v>11STO L</v>
      </c>
      <c r="C5234" s="18" t="str">
        <f aca="false">'SALES Raw'!H3395</f>
        <v>11STO L חגורה אחרי ניתוח</v>
      </c>
      <c r="D5234" s="19" t="n">
        <f aca="false">'SALES Raw'!C3395</f>
        <v>10</v>
      </c>
      <c r="E5234" s="19" t="n">
        <f aca="false">'SALES Raw'!D3395</f>
        <v>671.64</v>
      </c>
      <c r="F5234" s="19" t="n">
        <f aca="false">'SALES Raw'!E3395*$H$4</f>
        <v>0</v>
      </c>
      <c r="G5234" s="19" t="n">
        <f aca="false">'SALES Raw'!F3395*$H$4</f>
        <v>0</v>
      </c>
      <c r="H5234" s="18" t="str">
        <f aca="false">'SALES Raw'!A3395</f>
        <v>206 - Orthomed  Ltd BULGARIA</v>
      </c>
    </row>
    <row r="5235" customFormat="false" ht="15" hidden="false" customHeight="false" outlineLevel="0" collapsed="false">
      <c r="A5235" s="18" t="n">
        <f aca="false">'SALES Raw'!G3396</f>
        <v>4408260</v>
      </c>
      <c r="B5235" s="18" t="str">
        <f aca="false">'SALES Raw'!B3396</f>
        <v>11STO M</v>
      </c>
      <c r="C5235" s="18" t="str">
        <f aca="false">'SALES Raw'!H3396</f>
        <v>11STO M חגורה אחרי ניתוח</v>
      </c>
      <c r="D5235" s="19" t="n">
        <f aca="false">'SALES Raw'!C3396</f>
        <v>8</v>
      </c>
      <c r="E5235" s="19" t="n">
        <f aca="false">'SALES Raw'!D3396</f>
        <v>537.31</v>
      </c>
      <c r="F5235" s="19" t="n">
        <f aca="false">'SALES Raw'!E3396*$H$4</f>
        <v>0</v>
      </c>
      <c r="G5235" s="19" t="n">
        <f aca="false">'SALES Raw'!F3396*$H$4</f>
        <v>0</v>
      </c>
      <c r="H5235" s="18" t="str">
        <f aca="false">'SALES Raw'!A3396</f>
        <v>206 - Orthomed  Ltd BULGARIA</v>
      </c>
    </row>
    <row r="5236" customFormat="false" ht="15" hidden="false" customHeight="false" outlineLevel="0" collapsed="false">
      <c r="A5236" s="18" t="n">
        <f aca="false">'SALES Raw'!G3397</f>
        <v>4408262</v>
      </c>
      <c r="B5236" s="18" t="str">
        <f aca="false">'SALES Raw'!B3397</f>
        <v>11STO XL</v>
      </c>
      <c r="C5236" s="18" t="str">
        <f aca="false">'SALES Raw'!H3397</f>
        <v>11STO XL  חגורה אחרי ניתוח</v>
      </c>
      <c r="D5236" s="19" t="n">
        <f aca="false">'SALES Raw'!C3397</f>
        <v>7</v>
      </c>
      <c r="E5236" s="19" t="n">
        <f aca="false">'SALES Raw'!D3397</f>
        <v>470.15</v>
      </c>
      <c r="F5236" s="19" t="n">
        <f aca="false">'SALES Raw'!E3397*$H$4</f>
        <v>0</v>
      </c>
      <c r="G5236" s="19" t="n">
        <f aca="false">'SALES Raw'!F3397*$H$4</f>
        <v>0</v>
      </c>
      <c r="H5236" s="18" t="str">
        <f aca="false">'SALES Raw'!A3397</f>
        <v>206 - Orthomed  Ltd BULGARIA</v>
      </c>
    </row>
    <row r="5237" customFormat="false" ht="15" hidden="false" customHeight="false" outlineLevel="0" collapsed="false">
      <c r="A5237" s="18" t="n">
        <f aca="false">'SALES Raw'!G3398</f>
        <v>4408263</v>
      </c>
      <c r="B5237" s="18" t="str">
        <f aca="false">'SALES Raw'!B3398</f>
        <v>11STO XXL</v>
      </c>
      <c r="C5237" s="18" t="str">
        <f aca="false">'SALES Raw'!H3398</f>
        <v>11STO XXL חגורה אחרי ניתוח</v>
      </c>
      <c r="D5237" s="19" t="n">
        <f aca="false">'SALES Raw'!C3398</f>
        <v>5</v>
      </c>
      <c r="E5237" s="19" t="n">
        <f aca="false">'SALES Raw'!D3398</f>
        <v>335.82</v>
      </c>
      <c r="F5237" s="19" t="n">
        <f aca="false">'SALES Raw'!E3398*$H$4</f>
        <v>0</v>
      </c>
      <c r="G5237" s="19" t="n">
        <f aca="false">'SALES Raw'!F3398*$H$4</f>
        <v>0</v>
      </c>
      <c r="H5237" s="18" t="str">
        <f aca="false">'SALES Raw'!A3398</f>
        <v>206 - Orthomed  Ltd BULGARIA</v>
      </c>
    </row>
    <row r="5238" customFormat="false" ht="15" hidden="false" customHeight="false" outlineLevel="0" collapsed="false">
      <c r="A5238" s="18" t="n">
        <f aca="false">'SALES Raw'!G3399</f>
        <v>4408226</v>
      </c>
      <c r="B5238" s="18" t="str">
        <f aca="false">'SALES Raw'!B3399</f>
        <v>11UG L</v>
      </c>
      <c r="C5238" s="18" t="str">
        <f aca="false">'SALES Raw'!H3399</f>
        <v>L 11 אפורUG חגורת בטן</v>
      </c>
      <c r="D5238" s="19" t="n">
        <f aca="false">'SALES Raw'!C3399</f>
        <v>15</v>
      </c>
      <c r="E5238" s="19" t="n">
        <f aca="false">'SALES Raw'!D3399</f>
        <v>781.09</v>
      </c>
      <c r="F5238" s="19" t="n">
        <f aca="false">'SALES Raw'!E3399*$H$4</f>
        <v>0</v>
      </c>
      <c r="G5238" s="19" t="n">
        <f aca="false">'SALES Raw'!F3399*$H$4</f>
        <v>0</v>
      </c>
      <c r="H5238" s="18" t="str">
        <f aca="false">'SALES Raw'!A3399</f>
        <v>206 - Orthomed  Ltd BULGARIA</v>
      </c>
    </row>
    <row r="5239" customFormat="false" ht="15" hidden="false" customHeight="false" outlineLevel="0" collapsed="false">
      <c r="A5239" s="18" t="str">
        <f aca="false">'SALES Raw'!G3400</f>
        <v/>
      </c>
      <c r="B5239" s="18" t="str">
        <f aca="false">'SALES Raw'!B3400</f>
        <v>11UG XL</v>
      </c>
      <c r="C5239" s="18" t="str">
        <f aca="false">'SALES Raw'!H3400</f>
        <v>11UG XL</v>
      </c>
      <c r="D5239" s="19" t="n">
        <f aca="false">'SALES Raw'!C3400</f>
        <v>15</v>
      </c>
      <c r="E5239" s="19" t="n">
        <f aca="false">'SALES Raw'!D3400</f>
        <v>781.09</v>
      </c>
      <c r="F5239" s="19" t="n">
        <f aca="false">'SALES Raw'!E3400*$H$4</f>
        <v>0</v>
      </c>
      <c r="G5239" s="19" t="n">
        <f aca="false">'SALES Raw'!F3400*$H$4</f>
        <v>0</v>
      </c>
      <c r="H5239" s="18" t="str">
        <f aca="false">'SALES Raw'!A3400</f>
        <v>206 - Orthomed  Ltd BULGARIA</v>
      </c>
    </row>
    <row r="5240" customFormat="false" ht="15" hidden="false" customHeight="false" outlineLevel="0" collapsed="false">
      <c r="A5240" s="18" t="n">
        <f aca="false">'SALES Raw'!G3401</f>
        <v>4408052</v>
      </c>
      <c r="B5240" s="18" t="str">
        <f aca="false">'SALES Raw'!B3401</f>
        <v>21 L</v>
      </c>
      <c r="C5240" s="18" t="str">
        <f aca="false">'SALES Raw'!H3401</f>
        <v>21 L  חבק יד ארוך</v>
      </c>
      <c r="D5240" s="19" t="n">
        <f aca="false">'SALES Raw'!C3401</f>
        <v>10</v>
      </c>
      <c r="E5240" s="19" t="n">
        <f aca="false">'SALES Raw'!D3401</f>
        <v>175.05</v>
      </c>
      <c r="F5240" s="19" t="n">
        <f aca="false">'SALES Raw'!E3401*$H$4</f>
        <v>0</v>
      </c>
      <c r="G5240" s="19" t="n">
        <f aca="false">'SALES Raw'!F3401*$H$4</f>
        <v>0</v>
      </c>
      <c r="H5240" s="18" t="str">
        <f aca="false">'SALES Raw'!A3401</f>
        <v>206 - Orthomed  Ltd BULGARIA</v>
      </c>
    </row>
    <row r="5241" customFormat="false" ht="15" hidden="false" customHeight="false" outlineLevel="0" collapsed="false">
      <c r="A5241" s="18" t="n">
        <f aca="false">'SALES Raw'!G3402</f>
        <v>4408053</v>
      </c>
      <c r="B5241" s="18" t="str">
        <f aca="false">'SALES Raw'!B3402</f>
        <v>21 M</v>
      </c>
      <c r="C5241" s="18" t="str">
        <f aca="false">'SALES Raw'!H3402</f>
        <v>21 M  חבק יד ארוך</v>
      </c>
      <c r="D5241" s="19" t="n">
        <f aca="false">'SALES Raw'!C3402</f>
        <v>10</v>
      </c>
      <c r="E5241" s="19" t="n">
        <f aca="false">'SALES Raw'!D3402</f>
        <v>175.05</v>
      </c>
      <c r="F5241" s="19" t="n">
        <f aca="false">'SALES Raw'!E3402*$H$4</f>
        <v>0</v>
      </c>
      <c r="G5241" s="19" t="n">
        <f aca="false">'SALES Raw'!F3402*$H$4</f>
        <v>0</v>
      </c>
      <c r="H5241" s="18" t="str">
        <f aca="false">'SALES Raw'!A3402</f>
        <v>206 - Orthomed  Ltd BULGARIA</v>
      </c>
    </row>
    <row r="5242" customFormat="false" ht="15" hidden="false" customHeight="false" outlineLevel="0" collapsed="false">
      <c r="A5242" s="18" t="n">
        <f aca="false">'SALES Raw'!G3403</f>
        <v>4408054</v>
      </c>
      <c r="B5242" s="18" t="str">
        <f aca="false">'SALES Raw'!B3403</f>
        <v>21 XL</v>
      </c>
      <c r="C5242" s="18" t="str">
        <f aca="false">'SALES Raw'!H3403</f>
        <v>21 XL חבק יד ארוך</v>
      </c>
      <c r="D5242" s="19" t="n">
        <f aca="false">'SALES Raw'!C3403</f>
        <v>10</v>
      </c>
      <c r="E5242" s="19" t="n">
        <f aca="false">'SALES Raw'!D3403</f>
        <v>175.05</v>
      </c>
      <c r="F5242" s="19" t="n">
        <f aca="false">'SALES Raw'!E3403*$H$4</f>
        <v>0</v>
      </c>
      <c r="G5242" s="19" t="n">
        <f aca="false">'SALES Raw'!F3403*$H$4</f>
        <v>0</v>
      </c>
      <c r="H5242" s="18" t="str">
        <f aca="false">'SALES Raw'!A3403</f>
        <v>206 - Orthomed  Ltd BULGARIA</v>
      </c>
    </row>
    <row r="5243" customFormat="false" ht="15" hidden="false" customHeight="false" outlineLevel="0" collapsed="false">
      <c r="A5243" s="18" t="n">
        <f aca="false">'SALES Raw'!G3404</f>
        <v>4415162</v>
      </c>
      <c r="B5243" s="18" t="str">
        <f aca="false">'SALES Raw'!B3404</f>
        <v>238 L</v>
      </c>
      <c r="C5243" s="18" t="str">
        <f aca="false">'SALES Raw'!H3404</f>
        <v>238L סד ליישור אצבע</v>
      </c>
      <c r="D5243" s="19" t="n">
        <f aca="false">'SALES Raw'!C3404</f>
        <v>60</v>
      </c>
      <c r="E5243" s="19" t="n">
        <f aca="false">'SALES Raw'!D3404</f>
        <v>548.92</v>
      </c>
      <c r="F5243" s="19" t="n">
        <f aca="false">'SALES Raw'!E3404*$H$4</f>
        <v>0</v>
      </c>
      <c r="G5243" s="19" t="n">
        <f aca="false">'SALES Raw'!F3404*$H$4</f>
        <v>0</v>
      </c>
      <c r="H5243" s="18" t="str">
        <f aca="false">'SALES Raw'!A3404</f>
        <v>206 - Orthomed  Ltd BULGARIA</v>
      </c>
    </row>
    <row r="5244" customFormat="false" ht="15" hidden="false" customHeight="false" outlineLevel="0" collapsed="false">
      <c r="A5244" s="18" t="n">
        <f aca="false">'SALES Raw'!G3405</f>
        <v>4415161</v>
      </c>
      <c r="B5244" s="18" t="str">
        <f aca="false">'SALES Raw'!B3405</f>
        <v>238 M</v>
      </c>
      <c r="C5244" s="18" t="str">
        <f aca="false">'SALES Raw'!H3405</f>
        <v>238M סד ליישור אצבע</v>
      </c>
      <c r="D5244" s="19" t="n">
        <f aca="false">'SALES Raw'!C3405</f>
        <v>60</v>
      </c>
      <c r="E5244" s="19" t="n">
        <f aca="false">'SALES Raw'!D3405</f>
        <v>548.92</v>
      </c>
      <c r="F5244" s="19" t="n">
        <f aca="false">'SALES Raw'!E3405*$H$4</f>
        <v>0</v>
      </c>
      <c r="G5244" s="19" t="n">
        <f aca="false">'SALES Raw'!F3405*$H$4</f>
        <v>0</v>
      </c>
      <c r="H5244" s="18" t="str">
        <f aca="false">'SALES Raw'!A3405</f>
        <v>206 - Orthomed  Ltd BULGARIA</v>
      </c>
    </row>
    <row r="5245" customFormat="false" ht="15" hidden="false" customHeight="false" outlineLevel="0" collapsed="false">
      <c r="A5245" s="18" t="n">
        <f aca="false">'SALES Raw'!G3406</f>
        <v>4415160</v>
      </c>
      <c r="B5245" s="18" t="str">
        <f aca="false">'SALES Raw'!B3406</f>
        <v>238 S</v>
      </c>
      <c r="C5245" s="18" t="str">
        <f aca="false">'SALES Raw'!H3406</f>
        <v>238S סד ליישור אצבע</v>
      </c>
      <c r="D5245" s="19" t="n">
        <f aca="false">'SALES Raw'!C3406</f>
        <v>30</v>
      </c>
      <c r="E5245" s="19" t="n">
        <f aca="false">'SALES Raw'!D3406</f>
        <v>274.46</v>
      </c>
      <c r="F5245" s="19" t="n">
        <f aca="false">'SALES Raw'!E3406*$H$4</f>
        <v>0</v>
      </c>
      <c r="G5245" s="19" t="n">
        <f aca="false">'SALES Raw'!F3406*$H$4</f>
        <v>0</v>
      </c>
      <c r="H5245" s="18" t="str">
        <f aca="false">'SALES Raw'!A3406</f>
        <v>206 - Orthomed  Ltd BULGARIA</v>
      </c>
    </row>
    <row r="5246" customFormat="false" ht="15" hidden="false" customHeight="false" outlineLevel="0" collapsed="false">
      <c r="A5246" s="18" t="n">
        <f aca="false">'SALES Raw'!G3407</f>
        <v>4415163</v>
      </c>
      <c r="B5246" s="18" t="str">
        <f aca="false">'SALES Raw'!B3407</f>
        <v>238 XL</v>
      </c>
      <c r="C5246" s="18" t="str">
        <f aca="false">'SALES Raw'!H3407</f>
        <v>238XL סד ליישור אצבע</v>
      </c>
      <c r="D5246" s="19" t="n">
        <f aca="false">'SALES Raw'!C3407</f>
        <v>50</v>
      </c>
      <c r="E5246" s="19" t="n">
        <f aca="false">'SALES Raw'!D3407</f>
        <v>457.43</v>
      </c>
      <c r="F5246" s="19" t="n">
        <f aca="false">'SALES Raw'!E3407*$H$4</f>
        <v>0</v>
      </c>
      <c r="G5246" s="19" t="n">
        <f aca="false">'SALES Raw'!F3407*$H$4</f>
        <v>0</v>
      </c>
      <c r="H5246" s="18" t="str">
        <f aca="false">'SALES Raw'!A3407</f>
        <v>206 - Orthomed  Ltd BULGARIA</v>
      </c>
    </row>
    <row r="5247" customFormat="false" ht="15" hidden="false" customHeight="false" outlineLevel="0" collapsed="false">
      <c r="A5247" s="18" t="n">
        <f aca="false">'SALES Raw'!G3408</f>
        <v>4419013</v>
      </c>
      <c r="B5247" s="18" t="str">
        <f aca="false">'SALES Raw'!B3408</f>
        <v>239B-L-XL</v>
      </c>
      <c r="C5247" s="18" t="str">
        <f aca="false">'SALES Raw'!H3408</f>
        <v>239B L-XL STRAP4U</v>
      </c>
      <c r="D5247" s="19" t="n">
        <f aca="false">'SALES Raw'!C3408</f>
        <v>24</v>
      </c>
      <c r="E5247" s="19" t="n">
        <f aca="false">'SALES Raw'!D3408</f>
        <v>389.34</v>
      </c>
      <c r="F5247" s="19" t="n">
        <f aca="false">'SALES Raw'!E3408*$H$4</f>
        <v>0</v>
      </c>
      <c r="G5247" s="19" t="n">
        <f aca="false">'SALES Raw'!F3408*$H$4</f>
        <v>0</v>
      </c>
      <c r="H5247" s="18" t="str">
        <f aca="false">'SALES Raw'!A3408</f>
        <v>206 - Orthomed  Ltd BULGARIA</v>
      </c>
    </row>
    <row r="5248" customFormat="false" ht="15" hidden="false" customHeight="false" outlineLevel="0" collapsed="false">
      <c r="A5248" s="18" t="n">
        <f aca="false">'SALES Raw'!G3409</f>
        <v>4419011</v>
      </c>
      <c r="B5248" s="18" t="str">
        <f aca="false">'SALES Raw'!B3409</f>
        <v>239B-S-M</v>
      </c>
      <c r="C5248" s="18" t="str">
        <f aca="false">'SALES Raw'!H3409</f>
        <v>239B S-M STRAP4U</v>
      </c>
      <c r="D5248" s="19" t="n">
        <f aca="false">'SALES Raw'!C3409</f>
        <v>24</v>
      </c>
      <c r="E5248" s="19" t="n">
        <f aca="false">'SALES Raw'!D3409</f>
        <v>389.34</v>
      </c>
      <c r="F5248" s="19" t="n">
        <f aca="false">'SALES Raw'!E3409*$H$4</f>
        <v>0</v>
      </c>
      <c r="G5248" s="19" t="n">
        <f aca="false">'SALES Raw'!F3409*$H$4</f>
        <v>0</v>
      </c>
      <c r="H5248" s="18" t="str">
        <f aca="false">'SALES Raw'!A3409</f>
        <v>206 - Orthomed  Ltd BULGARIA</v>
      </c>
    </row>
    <row r="5249" customFormat="false" ht="15" hidden="false" customHeight="false" outlineLevel="0" collapsed="false">
      <c r="A5249" s="18" t="str">
        <f aca="false">'SALES Raw'!G3410</f>
        <v/>
      </c>
      <c r="B5249" s="18" t="str">
        <f aca="false">'SALES Raw'!B3410</f>
        <v>239P-S-M</v>
      </c>
      <c r="C5249" s="18" t="str">
        <f aca="false">'SALES Raw'!H3410</f>
        <v>239P-S-M</v>
      </c>
      <c r="D5249" s="19" t="n">
        <f aca="false">'SALES Raw'!C3410</f>
        <v>24</v>
      </c>
      <c r="E5249" s="19" t="n">
        <f aca="false">'SALES Raw'!D3410</f>
        <v>389.34</v>
      </c>
      <c r="F5249" s="19" t="n">
        <f aca="false">'SALES Raw'!E3410*$H$4</f>
        <v>0</v>
      </c>
      <c r="G5249" s="19" t="n">
        <f aca="false">'SALES Raw'!F3410*$H$4</f>
        <v>0</v>
      </c>
      <c r="H5249" s="18" t="str">
        <f aca="false">'SALES Raw'!A3410</f>
        <v>206 - Orthomed  Ltd BULGARIA</v>
      </c>
    </row>
    <row r="5250" customFormat="false" ht="15" hidden="false" customHeight="false" outlineLevel="0" collapsed="false">
      <c r="A5250" s="18" t="n">
        <f aca="false">'SALES Raw'!G3411</f>
        <v>4419014</v>
      </c>
      <c r="B5250" s="18" t="str">
        <f aca="false">'SALES Raw'!B3411</f>
        <v>239TR-L-XL</v>
      </c>
      <c r="C5250" s="18" t="str">
        <f aca="false">'SALES Raw'!H3411</f>
        <v>239TR L-XL STRAP4U</v>
      </c>
      <c r="D5250" s="19" t="n">
        <f aca="false">'SALES Raw'!C3411</f>
        <v>24</v>
      </c>
      <c r="E5250" s="19" t="n">
        <f aca="false">'SALES Raw'!D3411</f>
        <v>389.34</v>
      </c>
      <c r="F5250" s="19" t="n">
        <f aca="false">'SALES Raw'!E3411*$H$4</f>
        <v>0</v>
      </c>
      <c r="G5250" s="19" t="n">
        <f aca="false">'SALES Raw'!F3411*$H$4</f>
        <v>0</v>
      </c>
      <c r="H5250" s="18" t="str">
        <f aca="false">'SALES Raw'!A3411</f>
        <v>206 - Orthomed  Ltd BULGARIA</v>
      </c>
    </row>
    <row r="5251" customFormat="false" ht="15" hidden="false" customHeight="false" outlineLevel="0" collapsed="false">
      <c r="A5251" s="18" t="n">
        <f aca="false">'SALES Raw'!G3412</f>
        <v>4421005</v>
      </c>
      <c r="B5251" s="18" t="str">
        <f aca="false">'SALES Raw'!B3412</f>
        <v>250 0</v>
      </c>
      <c r="C5251" s="18" t="str">
        <f aca="false">'SALES Raw'!H3412</f>
        <v>שרוול לגבס קצר יד</v>
      </c>
      <c r="D5251" s="19" t="n">
        <f aca="false">'SALES Raw'!C3412</f>
        <v>30</v>
      </c>
      <c r="E5251" s="19" t="n">
        <f aca="false">'SALES Raw'!D3412</f>
        <v>611.46</v>
      </c>
      <c r="F5251" s="19" t="n">
        <f aca="false">'SALES Raw'!E3412*$H$4</f>
        <v>0</v>
      </c>
      <c r="G5251" s="19" t="n">
        <f aca="false">'SALES Raw'!F3412*$H$4</f>
        <v>0</v>
      </c>
      <c r="H5251" s="18" t="str">
        <f aca="false">'SALES Raw'!A3412</f>
        <v>206 - Orthomed  Ltd BULGARIA</v>
      </c>
    </row>
    <row r="5252" customFormat="false" ht="15" hidden="false" customHeight="false" outlineLevel="0" collapsed="false">
      <c r="A5252" s="18" t="n">
        <f aca="false">'SALES Raw'!G3413</f>
        <v>4421006</v>
      </c>
      <c r="B5252" s="18" t="str">
        <f aca="false">'SALES Raw'!B3413</f>
        <v>251 0</v>
      </c>
      <c r="C5252" s="18" t="str">
        <f aca="false">'SALES Raw'!H3413</f>
        <v>שרוול לגבס ארוך יד</v>
      </c>
      <c r="D5252" s="19" t="n">
        <f aca="false">'SALES Raw'!C3413</f>
        <v>60</v>
      </c>
      <c r="E5252" s="19" t="n">
        <f aca="false">'SALES Raw'!D3413</f>
        <v>1336.83</v>
      </c>
      <c r="F5252" s="19" t="n">
        <f aca="false">'SALES Raw'!E3413*$H$4</f>
        <v>0</v>
      </c>
      <c r="G5252" s="19" t="n">
        <f aca="false">'SALES Raw'!F3413*$H$4</f>
        <v>0</v>
      </c>
      <c r="H5252" s="18" t="str">
        <f aca="false">'SALES Raw'!A3413</f>
        <v>206 - Orthomed  Ltd BULGARIA</v>
      </c>
    </row>
    <row r="5253" customFormat="false" ht="15" hidden="false" customHeight="false" outlineLevel="0" collapsed="false">
      <c r="A5253" s="18" t="n">
        <f aca="false">'SALES Raw'!G3414</f>
        <v>4413348</v>
      </c>
      <c r="B5253" s="18" t="str">
        <f aca="false">'SALES Raw'!B3414</f>
        <v>302M 0</v>
      </c>
      <c r="C5253" s="18" t="str">
        <f aca="false">'SALES Raw'!H3414</f>
        <v>302 מדרס ג'ל לגבר</v>
      </c>
      <c r="D5253" s="19" t="n">
        <f aca="false">'SALES Raw'!C3414</f>
        <v>10</v>
      </c>
      <c r="E5253" s="19" t="n">
        <f aca="false">'SALES Raw'!D3414</f>
        <v>298.72</v>
      </c>
      <c r="F5253" s="19" t="n">
        <f aca="false">'SALES Raw'!E3414*$H$4</f>
        <v>0</v>
      </c>
      <c r="G5253" s="19" t="n">
        <f aca="false">'SALES Raw'!F3414*$H$4</f>
        <v>0</v>
      </c>
      <c r="H5253" s="18" t="str">
        <f aca="false">'SALES Raw'!A3414</f>
        <v>206 - Orthomed  Ltd BULGARIA</v>
      </c>
    </row>
    <row r="5254" customFormat="false" ht="15" hidden="false" customHeight="false" outlineLevel="0" collapsed="false">
      <c r="A5254" s="18" t="n">
        <f aca="false">'SALES Raw'!G3415</f>
        <v>4416000</v>
      </c>
      <c r="B5254" s="18" t="str">
        <f aca="false">'SALES Raw'!B3415</f>
        <v>307 L</v>
      </c>
      <c r="C5254" s="18" t="str">
        <f aca="false">'SALES Raw'!H3415</f>
        <v>307 L עקבים לדורבן-זוג כריות</v>
      </c>
      <c r="D5254" s="19" t="n">
        <f aca="false">'SALES Raw'!C3415</f>
        <v>20</v>
      </c>
      <c r="E5254" s="19" t="n">
        <f aca="false">'SALES Raw'!D3415</f>
        <v>597.44</v>
      </c>
      <c r="F5254" s="19" t="n">
        <f aca="false">'SALES Raw'!E3415*$H$4</f>
        <v>0</v>
      </c>
      <c r="G5254" s="19" t="n">
        <f aca="false">'SALES Raw'!F3415*$H$4</f>
        <v>0</v>
      </c>
      <c r="H5254" s="18" t="str">
        <f aca="false">'SALES Raw'!A3415</f>
        <v>206 - Orthomed  Ltd BULGARIA</v>
      </c>
    </row>
    <row r="5255" customFormat="false" ht="15" hidden="false" customHeight="false" outlineLevel="0" collapsed="false">
      <c r="A5255" s="18" t="n">
        <f aca="false">'SALES Raw'!G3416</f>
        <v>4416001</v>
      </c>
      <c r="B5255" s="18" t="str">
        <f aca="false">'SALES Raw'!B3416</f>
        <v>307 M</v>
      </c>
      <c r="C5255" s="18" t="str">
        <f aca="false">'SALES Raw'!H3416</f>
        <v>307 M עקבים לדורבן-זוג כריות</v>
      </c>
      <c r="D5255" s="19" t="n">
        <f aca="false">'SALES Raw'!C3416</f>
        <v>15</v>
      </c>
      <c r="E5255" s="19" t="n">
        <f aca="false">'SALES Raw'!D3416</f>
        <v>448.08</v>
      </c>
      <c r="F5255" s="19" t="n">
        <f aca="false">'SALES Raw'!E3416*$H$4</f>
        <v>0</v>
      </c>
      <c r="G5255" s="19" t="n">
        <f aca="false">'SALES Raw'!F3416*$H$4</f>
        <v>0</v>
      </c>
      <c r="H5255" s="18" t="str">
        <f aca="false">'SALES Raw'!A3416</f>
        <v>206 - Orthomed  Ltd BULGARIA</v>
      </c>
    </row>
    <row r="5256" customFormat="false" ht="15" hidden="false" customHeight="false" outlineLevel="0" collapsed="false">
      <c r="A5256" s="18" t="n">
        <f aca="false">'SALES Raw'!G3417</f>
        <v>4416002</v>
      </c>
      <c r="B5256" s="18" t="str">
        <f aca="false">'SALES Raw'!B3417</f>
        <v>307 S</v>
      </c>
      <c r="C5256" s="18" t="str">
        <f aca="false">'SALES Raw'!H3417</f>
        <v>307 S עקבים לדורבן-זוג כריות</v>
      </c>
      <c r="D5256" s="19" t="n">
        <f aca="false">'SALES Raw'!C3417</f>
        <v>10</v>
      </c>
      <c r="E5256" s="19" t="n">
        <f aca="false">'SALES Raw'!D3417</f>
        <v>298.72</v>
      </c>
      <c r="F5256" s="19" t="n">
        <f aca="false">'SALES Raw'!E3417*$H$4</f>
        <v>0</v>
      </c>
      <c r="G5256" s="19" t="n">
        <f aca="false">'SALES Raw'!F3417*$H$4</f>
        <v>0</v>
      </c>
      <c r="H5256" s="18" t="str">
        <f aca="false">'SALES Raw'!A3417</f>
        <v>206 - Orthomed  Ltd BULGARIA</v>
      </c>
    </row>
    <row r="5257" customFormat="false" ht="15" hidden="false" customHeight="false" outlineLevel="0" collapsed="false">
      <c r="A5257" s="18" t="n">
        <f aca="false">'SALES Raw'!G3418</f>
        <v>4411016</v>
      </c>
      <c r="B5257" s="18" t="str">
        <f aca="false">'SALES Raw'!B3418</f>
        <v>307 XL</v>
      </c>
      <c r="C5257" s="18" t="str">
        <f aca="false">'SALES Raw'!H3418</f>
        <v>307 XL כרית סיליקון לעקב</v>
      </c>
      <c r="D5257" s="19" t="n">
        <f aca="false">'SALES Raw'!C3418</f>
        <v>15</v>
      </c>
      <c r="E5257" s="19" t="n">
        <f aca="false">'SALES Raw'!D3418</f>
        <v>448.08</v>
      </c>
      <c r="F5257" s="19" t="n">
        <f aca="false">'SALES Raw'!E3418*$H$4</f>
        <v>0</v>
      </c>
      <c r="G5257" s="19" t="n">
        <f aca="false">'SALES Raw'!F3418*$H$4</f>
        <v>0</v>
      </c>
      <c r="H5257" s="18" t="str">
        <f aca="false">'SALES Raw'!A3418</f>
        <v>206 - Orthomed  Ltd BULGARIA</v>
      </c>
    </row>
    <row r="5258" customFormat="false" ht="15" hidden="false" customHeight="false" outlineLevel="0" collapsed="false">
      <c r="A5258" s="18" t="n">
        <f aca="false">'SALES Raw'!G3419</f>
        <v>4415019</v>
      </c>
      <c r="B5258" s="18" t="str">
        <f aca="false">'SALES Raw'!B3419</f>
        <v>333 0</v>
      </c>
      <c r="C5258" s="18" t="str">
        <f aca="false">'SALES Raw'!H3419</f>
        <v>333 סד לקרסול עם כריות אויר</v>
      </c>
      <c r="D5258" s="19" t="n">
        <f aca="false">'SALES Raw'!C3419</f>
        <v>30</v>
      </c>
      <c r="E5258" s="19" t="n">
        <f aca="false">'SALES Raw'!D3419</f>
        <v>1746.64</v>
      </c>
      <c r="F5258" s="19" t="n">
        <f aca="false">'SALES Raw'!E3419*$H$4</f>
        <v>0</v>
      </c>
      <c r="G5258" s="19" t="n">
        <f aca="false">'SALES Raw'!F3419*$H$4</f>
        <v>0</v>
      </c>
      <c r="H5258" s="18" t="str">
        <f aca="false">'SALES Raw'!A3419</f>
        <v>206 - Orthomed  Ltd BULGARIA</v>
      </c>
    </row>
    <row r="5259" customFormat="false" ht="15" hidden="false" customHeight="false" outlineLevel="0" collapsed="false">
      <c r="A5259" s="18" t="n">
        <f aca="false">'SALES Raw'!G3420</f>
        <v>4421007</v>
      </c>
      <c r="B5259" s="18" t="str">
        <f aca="false">'SALES Raw'!B3420</f>
        <v>350 0</v>
      </c>
      <c r="C5259" s="18" t="str">
        <f aca="false">'SALES Raw'!H3420</f>
        <v>שרוול לגבס קצר רגל</v>
      </c>
      <c r="D5259" s="19" t="n">
        <f aca="false">'SALES Raw'!C3420</f>
        <v>40</v>
      </c>
      <c r="E5259" s="19" t="n">
        <f aca="false">'SALES Raw'!D3420</f>
        <v>1081.66</v>
      </c>
      <c r="F5259" s="19" t="n">
        <f aca="false">'SALES Raw'!E3420*$H$4</f>
        <v>0</v>
      </c>
      <c r="G5259" s="19" t="n">
        <f aca="false">'SALES Raw'!F3420*$H$4</f>
        <v>0</v>
      </c>
      <c r="H5259" s="18" t="str">
        <f aca="false">'SALES Raw'!A3420</f>
        <v>206 - Orthomed  Ltd BULGARIA</v>
      </c>
    </row>
    <row r="5260" customFormat="false" ht="15" hidden="false" customHeight="false" outlineLevel="0" collapsed="false">
      <c r="A5260" s="18" t="n">
        <f aca="false">'SALES Raw'!G3421</f>
        <v>4421008</v>
      </c>
      <c r="B5260" s="18" t="str">
        <f aca="false">'SALES Raw'!B3421</f>
        <v>351 0</v>
      </c>
      <c r="C5260" s="18" t="str">
        <f aca="false">'SALES Raw'!H3421</f>
        <v>שרוול לגבס ארוך רגל</v>
      </c>
      <c r="D5260" s="19" t="n">
        <f aca="false">'SALES Raw'!C3421</f>
        <v>50</v>
      </c>
      <c r="E5260" s="19" t="n">
        <f aca="false">'SALES Raw'!D3421</f>
        <v>1428.5</v>
      </c>
      <c r="F5260" s="19" t="n">
        <f aca="false">'SALES Raw'!E3421*$H$4</f>
        <v>0</v>
      </c>
      <c r="G5260" s="19" t="n">
        <f aca="false">'SALES Raw'!F3421*$H$4</f>
        <v>0</v>
      </c>
      <c r="H5260" s="18" t="str">
        <f aca="false">'SALES Raw'!A3421</f>
        <v>206 - Orthomed  Ltd BULGARIA</v>
      </c>
    </row>
    <row r="5261" customFormat="false" ht="15" hidden="false" customHeight="false" outlineLevel="0" collapsed="false">
      <c r="A5261" s="18" t="n">
        <f aca="false">'SALES Raw'!G3422</f>
        <v>4421001</v>
      </c>
      <c r="B5261" s="18" t="str">
        <f aca="false">'SALES Raw'!B3422</f>
        <v>3611 0</v>
      </c>
      <c r="C5261" s="18" t="str">
        <f aca="false">'SALES Raw'!H3422</f>
        <v>3611 שרוול מטטרזלי מסיליקון</v>
      </c>
      <c r="D5261" s="19" t="n">
        <f aca="false">'SALES Raw'!C3422</f>
        <v>10</v>
      </c>
      <c r="E5261" s="19" t="n">
        <f aca="false">'SALES Raw'!D3422</f>
        <v>342.47</v>
      </c>
      <c r="F5261" s="19" t="n">
        <f aca="false">'SALES Raw'!E3422*$H$4</f>
        <v>0</v>
      </c>
      <c r="G5261" s="19" t="n">
        <f aca="false">'SALES Raw'!F3422*$H$4</f>
        <v>0</v>
      </c>
      <c r="H5261" s="18" t="str">
        <f aca="false">'SALES Raw'!A3422</f>
        <v>206 - Orthomed  Ltd BULGARIA</v>
      </c>
    </row>
    <row r="5262" customFormat="false" ht="15" hidden="false" customHeight="false" outlineLevel="0" collapsed="false">
      <c r="A5262" s="18" t="n">
        <f aca="false">'SALES Raw'!G3423</f>
        <v>4411001</v>
      </c>
      <c r="B5262" s="18" t="str">
        <f aca="false">'SALES Raw'!B3423</f>
        <v>3623 0</v>
      </c>
      <c r="C5262" s="18" t="str">
        <f aca="false">'SALES Raw'!H3423</f>
        <v>3623 כרית ליישור אצבע פטיש</v>
      </c>
      <c r="D5262" s="19" t="n">
        <f aca="false">'SALES Raw'!C3423</f>
        <v>20</v>
      </c>
      <c r="E5262" s="19" t="n">
        <f aca="false">'SALES Raw'!D3423</f>
        <v>334.87</v>
      </c>
      <c r="F5262" s="19" t="n">
        <f aca="false">'SALES Raw'!E3423*$H$4</f>
        <v>0</v>
      </c>
      <c r="G5262" s="19" t="n">
        <f aca="false">'SALES Raw'!F3423*$H$4</f>
        <v>0</v>
      </c>
      <c r="H5262" s="18" t="str">
        <f aca="false">'SALES Raw'!A3423</f>
        <v>206 - Orthomed  Ltd BULGARIA</v>
      </c>
    </row>
    <row r="5263" customFormat="false" ht="15" hidden="false" customHeight="false" outlineLevel="0" collapsed="false">
      <c r="A5263" s="18" t="str">
        <f aca="false">'SALES Raw'!G3424</f>
        <v/>
      </c>
      <c r="B5263" s="18" t="str">
        <f aca="false">'SALES Raw'!B3424</f>
        <v>363 L/R</v>
      </c>
      <c r="C5263" s="18" t="str">
        <f aca="false">'SALES Raw'!H3424</f>
        <v>363 L/R</v>
      </c>
      <c r="D5263" s="19" t="n">
        <f aca="false">'SALES Raw'!C3424</f>
        <v>10</v>
      </c>
      <c r="E5263" s="19" t="n">
        <f aca="false">'SALES Raw'!D3424</f>
        <v>97.41</v>
      </c>
      <c r="F5263" s="19" t="n">
        <f aca="false">'SALES Raw'!E3424*$H$4</f>
        <v>0</v>
      </c>
      <c r="G5263" s="19" t="n">
        <f aca="false">'SALES Raw'!F3424*$H$4</f>
        <v>0</v>
      </c>
      <c r="H5263" s="18" t="str">
        <f aca="false">'SALES Raw'!A3424</f>
        <v>206 - Orthomed  Ltd BULGARIA</v>
      </c>
    </row>
    <row r="5264" customFormat="false" ht="15" hidden="false" customHeight="false" outlineLevel="0" collapsed="false">
      <c r="A5264" s="18" t="n">
        <f aca="false">'SALES Raw'!G3425</f>
        <v>4413061</v>
      </c>
      <c r="B5264" s="18" t="str">
        <f aca="false">'SALES Raw'!B3425</f>
        <v>3641 0</v>
      </c>
      <c r="C5264" s="18" t="str">
        <f aca="false">'SALES Raw'!H3425</f>
        <v>3641-מיישר בוהן סיליקון קשיח</v>
      </c>
      <c r="D5264" s="19" t="n">
        <f aca="false">'SALES Raw'!C3425</f>
        <v>40</v>
      </c>
      <c r="E5264" s="19" t="n">
        <f aca="false">'SALES Raw'!D3425</f>
        <v>228.32</v>
      </c>
      <c r="F5264" s="19" t="n">
        <f aca="false">'SALES Raw'!E3425*$H$4</f>
        <v>0</v>
      </c>
      <c r="G5264" s="19" t="n">
        <f aca="false">'SALES Raw'!F3425*$H$4</f>
        <v>0</v>
      </c>
      <c r="H5264" s="18" t="str">
        <f aca="false">'SALES Raw'!A3425</f>
        <v>206 - Orthomed  Ltd BULGARIA</v>
      </c>
    </row>
    <row r="5265" customFormat="false" ht="15" hidden="false" customHeight="false" outlineLevel="0" collapsed="false">
      <c r="A5265" s="18" t="n">
        <f aca="false">'SALES Raw'!G3426</f>
        <v>4409000</v>
      </c>
      <c r="B5265" s="18" t="str">
        <f aca="false">'SALES Raw'!B3426</f>
        <v>365-S-L</v>
      </c>
      <c r="C5265" s="18" t="str">
        <f aca="false">'SALES Raw'!H3426</f>
        <v>365 S-Lטבעת אלסטית מסיליקון</v>
      </c>
      <c r="D5265" s="19" t="n">
        <f aca="false">'SALES Raw'!C3426</f>
        <v>15</v>
      </c>
      <c r="E5265" s="19" t="n">
        <f aca="false">'SALES Raw'!D3426</f>
        <v>102.74</v>
      </c>
      <c r="F5265" s="19" t="n">
        <f aca="false">'SALES Raw'!E3426*$H$4</f>
        <v>0</v>
      </c>
      <c r="G5265" s="19" t="n">
        <f aca="false">'SALES Raw'!F3426*$H$4</f>
        <v>0</v>
      </c>
      <c r="H5265" s="18" t="str">
        <f aca="false">'SALES Raw'!A3426</f>
        <v>206 - Orthomed  Ltd BULGARIA</v>
      </c>
    </row>
    <row r="5266" customFormat="false" ht="15" hidden="false" customHeight="false" outlineLevel="0" collapsed="false">
      <c r="A5266" s="18" t="n">
        <f aca="false">'SALES Raw'!G3427</f>
        <v>4421000</v>
      </c>
      <c r="B5266" s="18" t="str">
        <f aca="false">'SALES Raw'!B3427</f>
        <v>3655 0</v>
      </c>
      <c r="C5266" s="18" t="str">
        <f aca="false">'SALES Raw'!H3427</f>
        <v>3655 שרוול מסיליקון לאצבע</v>
      </c>
      <c r="D5266" s="19" t="n">
        <f aca="false">'SALES Raw'!C3427</f>
        <v>20</v>
      </c>
      <c r="E5266" s="19" t="n">
        <f aca="false">'SALES Raw'!D3427</f>
        <v>182.66</v>
      </c>
      <c r="F5266" s="19" t="n">
        <f aca="false">'SALES Raw'!E3427*$H$4</f>
        <v>0</v>
      </c>
      <c r="G5266" s="19" t="n">
        <f aca="false">'SALES Raw'!F3427*$H$4</f>
        <v>0</v>
      </c>
      <c r="H5266" s="18" t="str">
        <f aca="false">'SALES Raw'!A3427</f>
        <v>206 - Orthomed  Ltd BULGARIA</v>
      </c>
    </row>
    <row r="5267" customFormat="false" ht="15" hidden="false" customHeight="false" outlineLevel="0" collapsed="false">
      <c r="A5267" s="18" t="n">
        <f aca="false">'SALES Raw'!G3428</f>
        <v>4413370</v>
      </c>
      <c r="B5267" s="18" t="str">
        <f aca="false">'SALES Raw'!B3428</f>
        <v>3674 0</v>
      </c>
      <c r="C5267" s="18" t="str">
        <f aca="false">'SALES Raw'!H3428</f>
        <v>3674 0 מ.בוניון+מפריד אצבע</v>
      </c>
      <c r="D5267" s="19" t="n">
        <f aca="false">'SALES Raw'!C3428</f>
        <v>40</v>
      </c>
      <c r="E5267" s="19" t="n">
        <f aca="false">'SALES Raw'!D3428</f>
        <v>707.79</v>
      </c>
      <c r="F5267" s="19" t="n">
        <f aca="false">'SALES Raw'!E3428*$H$4</f>
        <v>0</v>
      </c>
      <c r="G5267" s="19" t="n">
        <f aca="false">'SALES Raw'!F3428*$H$4</f>
        <v>0</v>
      </c>
      <c r="H5267" s="18" t="str">
        <f aca="false">'SALES Raw'!A3428</f>
        <v>206 - Orthomed  Ltd BULGARIA</v>
      </c>
    </row>
    <row r="5268" customFormat="false" ht="15" hidden="false" customHeight="false" outlineLevel="0" collapsed="false">
      <c r="A5268" s="18" t="n">
        <f aca="false">'SALES Raw'!G3429</f>
        <v>4413371</v>
      </c>
      <c r="B5268" s="18" t="str">
        <f aca="false">'SALES Raw'!B3429</f>
        <v>3675 0</v>
      </c>
      <c r="C5268" s="18" t="str">
        <f aca="false">'SALES Raw'!H3429</f>
        <v>3675    מגן זרת מסיליקון</v>
      </c>
      <c r="D5268" s="19" t="n">
        <f aca="false">'SALES Raw'!C3429</f>
        <v>15</v>
      </c>
      <c r="E5268" s="19" t="n">
        <f aca="false">'SALES Raw'!D3429</f>
        <v>216.9</v>
      </c>
      <c r="F5268" s="19" t="n">
        <f aca="false">'SALES Raw'!E3429*$H$4</f>
        <v>0</v>
      </c>
      <c r="G5268" s="19" t="n">
        <f aca="false">'SALES Raw'!F3429*$H$4</f>
        <v>0</v>
      </c>
      <c r="H5268" s="18" t="str">
        <f aca="false">'SALES Raw'!A3429</f>
        <v>206 - Orthomed  Ltd BULGARIA</v>
      </c>
    </row>
    <row r="5269" customFormat="false" ht="15" hidden="false" customHeight="false" outlineLevel="0" collapsed="false">
      <c r="A5269" s="18" t="n">
        <f aca="false">'SALES Raw'!G3430</f>
        <v>4408069</v>
      </c>
      <c r="B5269" s="18" t="str">
        <f aca="false">'SALES Raw'!B3430</f>
        <v>38 0</v>
      </c>
      <c r="C5269" s="18" t="str">
        <f aca="false">'SALES Raw'!H3430</f>
        <v>38 .חבישת""""הלוקס ולגוס""""לאחר נית</v>
      </c>
      <c r="D5269" s="19" t="n">
        <f aca="false">'SALES Raw'!C3430</f>
        <v>10</v>
      </c>
      <c r="E5269" s="19" t="n">
        <f aca="false">'SALES Raw'!D3430</f>
        <v>350.09</v>
      </c>
      <c r="F5269" s="19" t="n">
        <f aca="false">'SALES Raw'!E3430*$H$4</f>
        <v>0</v>
      </c>
      <c r="G5269" s="19" t="n">
        <f aca="false">'SALES Raw'!F3430*$H$4</f>
        <v>0</v>
      </c>
      <c r="H5269" s="18" t="str">
        <f aca="false">'SALES Raw'!A3430</f>
        <v>206 - Orthomed  Ltd BULGARIA</v>
      </c>
    </row>
    <row r="5270" customFormat="false" ht="15" hidden="false" customHeight="false" outlineLevel="0" collapsed="false">
      <c r="A5270" s="18" t="n">
        <f aca="false">'SALES Raw'!G3431</f>
        <v>4413452</v>
      </c>
      <c r="B5270" s="18" t="str">
        <f aca="false">'SALES Raw'!B3431</f>
        <v>386 0</v>
      </c>
      <c r="C5270" s="18" t="str">
        <f aca="false">'SALES Raw'!H3431</f>
        <v>386  מיישר בוניון-האלוקס ולגוס</v>
      </c>
      <c r="D5270" s="19" t="n">
        <f aca="false">'SALES Raw'!C3431</f>
        <v>40</v>
      </c>
      <c r="E5270" s="19" t="n">
        <f aca="false">'SALES Raw'!D3431</f>
        <v>715.4</v>
      </c>
      <c r="F5270" s="19" t="n">
        <f aca="false">'SALES Raw'!E3431*$H$4</f>
        <v>0</v>
      </c>
      <c r="G5270" s="19" t="n">
        <f aca="false">'SALES Raw'!F3431*$H$4</f>
        <v>0</v>
      </c>
      <c r="H5270" s="18" t="str">
        <f aca="false">'SALES Raw'!A3431</f>
        <v>206 - Orthomed  Ltd BULGARIA</v>
      </c>
    </row>
    <row r="5271" customFormat="false" ht="15" hidden="false" customHeight="false" outlineLevel="0" collapsed="false">
      <c r="A5271" s="18" t="n">
        <f aca="false">'SALES Raw'!G3432</f>
        <v>4415298</v>
      </c>
      <c r="B5271" s="18" t="str">
        <f aca="false">'SALES Raw'!B3432</f>
        <v>388BL 0</v>
      </c>
      <c r="C5271" s="18" t="str">
        <f aca="false">'SALES Raw'!H3432</f>
        <v>388B L סד לילה שחור לבוהן שמאל</v>
      </c>
      <c r="D5271" s="19" t="n">
        <f aca="false">'SALES Raw'!C3432</f>
        <v>10</v>
      </c>
      <c r="E5271" s="19" t="n">
        <f aca="false">'SALES Raw'!D3432</f>
        <v>364.51</v>
      </c>
      <c r="F5271" s="19" t="n">
        <f aca="false">'SALES Raw'!E3432*$H$4</f>
        <v>0</v>
      </c>
      <c r="G5271" s="19" t="n">
        <f aca="false">'SALES Raw'!F3432*$H$4</f>
        <v>0</v>
      </c>
      <c r="H5271" s="18" t="str">
        <f aca="false">'SALES Raw'!A3432</f>
        <v>206 - Orthomed  Ltd BULGARIA</v>
      </c>
    </row>
    <row r="5272" customFormat="false" ht="15" hidden="false" customHeight="false" outlineLevel="0" collapsed="false">
      <c r="A5272" s="18" t="n">
        <f aca="false">'SALES Raw'!G3433</f>
        <v>4415299</v>
      </c>
      <c r="B5272" s="18" t="str">
        <f aca="false">'SALES Raw'!B3433</f>
        <v>388BR 0</v>
      </c>
      <c r="C5272" s="18" t="str">
        <f aca="false">'SALES Raw'!H3433</f>
        <v>388B L סד לילה שחור לבוהן ימין</v>
      </c>
      <c r="D5272" s="19" t="n">
        <f aca="false">'SALES Raw'!C3433</f>
        <v>10</v>
      </c>
      <c r="E5272" s="19" t="n">
        <f aca="false">'SALES Raw'!D3433</f>
        <v>364.51</v>
      </c>
      <c r="F5272" s="19" t="n">
        <f aca="false">'SALES Raw'!E3433*$H$4</f>
        <v>0</v>
      </c>
      <c r="G5272" s="19" t="n">
        <f aca="false">'SALES Raw'!F3433*$H$4</f>
        <v>0</v>
      </c>
      <c r="H5272" s="18" t="str">
        <f aca="false">'SALES Raw'!A3433</f>
        <v>206 - Orthomed  Ltd BULGARIA</v>
      </c>
    </row>
    <row r="5273" customFormat="false" ht="15" hidden="false" customHeight="false" outlineLevel="0" collapsed="false">
      <c r="A5273" s="18" t="n">
        <f aca="false">'SALES Raw'!G3434</f>
        <v>4413098</v>
      </c>
      <c r="B5273" s="18" t="str">
        <f aca="false">'SALES Raw'!B3434</f>
        <v>45C L</v>
      </c>
      <c r="C5273" s="18" t="str">
        <f aca="false">'SALES Raw'!H3434</f>
        <v>45C L מגן ברך חום</v>
      </c>
      <c r="D5273" s="19" t="n">
        <f aca="false">'SALES Raw'!C3434</f>
        <v>25</v>
      </c>
      <c r="E5273" s="19" t="n">
        <f aca="false">'SALES Raw'!D3434</f>
        <v>280.64</v>
      </c>
      <c r="F5273" s="19" t="n">
        <f aca="false">'SALES Raw'!E3434*$H$4</f>
        <v>0</v>
      </c>
      <c r="G5273" s="19" t="n">
        <f aca="false">'SALES Raw'!F3434*$H$4</f>
        <v>0</v>
      </c>
      <c r="H5273" s="18" t="str">
        <f aca="false">'SALES Raw'!A3434</f>
        <v>206 - Orthomed  Ltd BULGARIA</v>
      </c>
    </row>
    <row r="5274" customFormat="false" ht="15" hidden="false" customHeight="false" outlineLevel="0" collapsed="false">
      <c r="A5274" s="18" t="n">
        <f aca="false">'SALES Raw'!G3435</f>
        <v>4413099</v>
      </c>
      <c r="B5274" s="18" t="str">
        <f aca="false">'SALES Raw'!B3435</f>
        <v>45C M</v>
      </c>
      <c r="C5274" s="18" t="str">
        <f aca="false">'SALES Raw'!H3435</f>
        <v>45C M מגן ברך חום</v>
      </c>
      <c r="D5274" s="19" t="n">
        <f aca="false">'SALES Raw'!C3435</f>
        <v>20</v>
      </c>
      <c r="E5274" s="19" t="n">
        <f aca="false">'SALES Raw'!D3435</f>
        <v>224.51</v>
      </c>
      <c r="F5274" s="19" t="n">
        <f aca="false">'SALES Raw'!E3435*$H$4</f>
        <v>0</v>
      </c>
      <c r="G5274" s="19" t="n">
        <f aca="false">'SALES Raw'!F3435*$H$4</f>
        <v>0</v>
      </c>
      <c r="H5274" s="18" t="str">
        <f aca="false">'SALES Raw'!A3435</f>
        <v>206 - Orthomed  Ltd BULGARIA</v>
      </c>
    </row>
    <row r="5275" customFormat="false" ht="15" hidden="false" customHeight="false" outlineLevel="0" collapsed="false">
      <c r="A5275" s="18" t="n">
        <f aca="false">'SALES Raw'!G3436</f>
        <v>4413100</v>
      </c>
      <c r="B5275" s="18" t="str">
        <f aca="false">'SALES Raw'!B3436</f>
        <v>45C XL</v>
      </c>
      <c r="C5275" s="18" t="str">
        <f aca="false">'SALES Raw'!H3436</f>
        <v>45C XL מגן ברך חום</v>
      </c>
      <c r="D5275" s="19" t="n">
        <f aca="false">'SALES Raw'!C3436</f>
        <v>25</v>
      </c>
      <c r="E5275" s="19" t="n">
        <f aca="false">'SALES Raw'!D3436</f>
        <v>280.64</v>
      </c>
      <c r="F5275" s="19" t="n">
        <f aca="false">'SALES Raw'!E3436*$H$4</f>
        <v>0</v>
      </c>
      <c r="G5275" s="19" t="n">
        <f aca="false">'SALES Raw'!F3436*$H$4</f>
        <v>0</v>
      </c>
      <c r="H5275" s="18" t="str">
        <f aca="false">'SALES Raw'!A3436</f>
        <v>206 - Orthomed  Ltd BULGARIA</v>
      </c>
    </row>
    <row r="5276" customFormat="false" ht="15" hidden="false" customHeight="false" outlineLevel="0" collapsed="false">
      <c r="A5276" s="18" t="str">
        <f aca="false">'SALES Raw'!G3437</f>
        <v/>
      </c>
      <c r="B5276" s="18" t="str">
        <f aca="false">'SALES Raw'!B3437</f>
        <v>45C XXL</v>
      </c>
      <c r="C5276" s="18" t="str">
        <f aca="false">'SALES Raw'!H3437</f>
        <v>45C XXL</v>
      </c>
      <c r="D5276" s="19" t="n">
        <f aca="false">'SALES Raw'!C3437</f>
        <v>20</v>
      </c>
      <c r="E5276" s="19" t="n">
        <f aca="false">'SALES Raw'!D3437</f>
        <v>224.51</v>
      </c>
      <c r="F5276" s="19" t="n">
        <f aca="false">'SALES Raw'!E3437*$H$4</f>
        <v>0</v>
      </c>
      <c r="G5276" s="19" t="n">
        <f aca="false">'SALES Raw'!F3437*$H$4</f>
        <v>0</v>
      </c>
      <c r="H5276" s="18" t="str">
        <f aca="false">'SALES Raw'!A3437</f>
        <v>206 - Orthomed  Ltd BULGARIA</v>
      </c>
    </row>
    <row r="5277" customFormat="false" ht="15" hidden="false" customHeight="false" outlineLevel="0" collapsed="false">
      <c r="A5277" s="18" t="n">
        <f aca="false">'SALES Raw'!G3438</f>
        <v>4413102</v>
      </c>
      <c r="B5277" s="18" t="str">
        <f aca="false">'SALES Raw'!B3438</f>
        <v>45E L</v>
      </c>
      <c r="C5277" s="18" t="str">
        <f aca="false">'SALES Raw'!H3438</f>
        <v>45E  L        מגן ברך ארוך לבן</v>
      </c>
      <c r="D5277" s="19" t="n">
        <f aca="false">'SALES Raw'!C3438</f>
        <v>20</v>
      </c>
      <c r="E5277" s="19" t="n">
        <f aca="false">'SALES Raw'!D3438</f>
        <v>251.15</v>
      </c>
      <c r="F5277" s="19" t="n">
        <f aca="false">'SALES Raw'!E3438*$H$4</f>
        <v>0</v>
      </c>
      <c r="G5277" s="19" t="n">
        <f aca="false">'SALES Raw'!F3438*$H$4</f>
        <v>0</v>
      </c>
      <c r="H5277" s="18" t="str">
        <f aca="false">'SALES Raw'!A3438</f>
        <v>206 - Orthomed  Ltd BULGARIA</v>
      </c>
    </row>
    <row r="5278" customFormat="false" ht="15" hidden="false" customHeight="false" outlineLevel="0" collapsed="false">
      <c r="A5278" s="18" t="n">
        <f aca="false">'SALES Raw'!G3439</f>
        <v>4413103</v>
      </c>
      <c r="B5278" s="18" t="str">
        <f aca="false">'SALES Raw'!B3439</f>
        <v>45E M</v>
      </c>
      <c r="C5278" s="18" t="str">
        <f aca="false">'SALES Raw'!H3439</f>
        <v>45E Mמגן ברך ארוך לבן</v>
      </c>
      <c r="D5278" s="19" t="n">
        <f aca="false">'SALES Raw'!C3439</f>
        <v>20</v>
      </c>
      <c r="E5278" s="19" t="n">
        <f aca="false">'SALES Raw'!D3439</f>
        <v>251.15</v>
      </c>
      <c r="F5278" s="19" t="n">
        <f aca="false">'SALES Raw'!E3439*$H$4</f>
        <v>0</v>
      </c>
      <c r="G5278" s="19" t="n">
        <f aca="false">'SALES Raw'!F3439*$H$4</f>
        <v>0</v>
      </c>
      <c r="H5278" s="18" t="str">
        <f aca="false">'SALES Raw'!A3439</f>
        <v>206 - Orthomed  Ltd BULGARIA</v>
      </c>
    </row>
    <row r="5279" customFormat="false" ht="15" hidden="false" customHeight="false" outlineLevel="0" collapsed="false">
      <c r="A5279" s="18" t="n">
        <f aca="false">'SALES Raw'!G3440</f>
        <v>4413101</v>
      </c>
      <c r="B5279" s="18" t="str">
        <f aca="false">'SALES Raw'!B3440</f>
        <v>45E S</v>
      </c>
      <c r="C5279" s="18" t="str">
        <f aca="false">'SALES Raw'!H3440</f>
        <v>45E Sמגן ברך ארוך לבן</v>
      </c>
      <c r="D5279" s="19" t="n">
        <f aca="false">'SALES Raw'!C3440</f>
        <v>5</v>
      </c>
      <c r="E5279" s="19" t="n">
        <f aca="false">'SALES Raw'!D3440</f>
        <v>62.79</v>
      </c>
      <c r="F5279" s="19" t="n">
        <f aca="false">'SALES Raw'!E3440*$H$4</f>
        <v>0</v>
      </c>
      <c r="G5279" s="19" t="n">
        <f aca="false">'SALES Raw'!F3440*$H$4</f>
        <v>0</v>
      </c>
      <c r="H5279" s="18" t="str">
        <f aca="false">'SALES Raw'!A3440</f>
        <v>206 - Orthomed  Ltd BULGARIA</v>
      </c>
    </row>
    <row r="5280" customFormat="false" ht="15" hidden="false" customHeight="false" outlineLevel="0" collapsed="false">
      <c r="A5280" s="18" t="n">
        <f aca="false">'SALES Raw'!G3441</f>
        <v>4413104</v>
      </c>
      <c r="B5280" s="18" t="str">
        <f aca="false">'SALES Raw'!B3441</f>
        <v>45E XL</v>
      </c>
      <c r="C5280" s="18" t="str">
        <f aca="false">'SALES Raw'!H3441</f>
        <v>45E XLמגן ברך ארוך לבן</v>
      </c>
      <c r="D5280" s="19" t="n">
        <f aca="false">'SALES Raw'!C3441</f>
        <v>20</v>
      </c>
      <c r="E5280" s="19" t="n">
        <f aca="false">'SALES Raw'!D3441</f>
        <v>251.15</v>
      </c>
      <c r="F5280" s="19" t="n">
        <f aca="false">'SALES Raw'!E3441*$H$4</f>
        <v>0</v>
      </c>
      <c r="G5280" s="19" t="n">
        <f aca="false">'SALES Raw'!F3441*$H$4</f>
        <v>0</v>
      </c>
      <c r="H5280" s="18" t="str">
        <f aca="false">'SALES Raw'!A3441</f>
        <v>206 - Orthomed  Ltd BULGARIA</v>
      </c>
    </row>
    <row r="5281" customFormat="false" ht="15" hidden="false" customHeight="false" outlineLevel="0" collapsed="false">
      <c r="A5281" s="18" t="n">
        <f aca="false">'SALES Raw'!G3442</f>
        <v>4413105</v>
      </c>
      <c r="B5281" s="18" t="str">
        <f aca="false">'SALES Raw'!B3442</f>
        <v>45E XXL</v>
      </c>
      <c r="C5281" s="18" t="str">
        <f aca="false">'SALES Raw'!H3442</f>
        <v>45E XXLמגן ברך ארוך לבן</v>
      </c>
      <c r="D5281" s="19" t="n">
        <f aca="false">'SALES Raw'!C3442</f>
        <v>20</v>
      </c>
      <c r="E5281" s="19" t="n">
        <f aca="false">'SALES Raw'!D3442</f>
        <v>251.15</v>
      </c>
      <c r="F5281" s="19" t="n">
        <f aca="false">'SALES Raw'!E3442*$H$4</f>
        <v>0</v>
      </c>
      <c r="G5281" s="19" t="n">
        <f aca="false">'SALES Raw'!F3442*$H$4</f>
        <v>0</v>
      </c>
      <c r="H5281" s="18" t="str">
        <f aca="false">'SALES Raw'!A3442</f>
        <v>206 - Orthomed  Ltd BULGARIA</v>
      </c>
    </row>
    <row r="5282" customFormat="false" ht="15" hidden="false" customHeight="false" outlineLevel="0" collapsed="false">
      <c r="A5282" s="18" t="n">
        <f aca="false">'SALES Raw'!G3443</f>
        <v>4418000</v>
      </c>
      <c r="B5282" s="18" t="str">
        <f aca="false">'SALES Raw'!B3443</f>
        <v>60 L</v>
      </c>
      <c r="C5282" s="18" t="str">
        <f aca="false">'SALES Raw'!H3443</f>
        <v>60 L צוארון ספוגי</v>
      </c>
      <c r="D5282" s="19" t="n">
        <f aca="false">'SALES Raw'!C3443</f>
        <v>20</v>
      </c>
      <c r="E5282" s="19" t="n">
        <f aca="false">'SALES Raw'!D3443</f>
        <v>498.49</v>
      </c>
      <c r="F5282" s="19" t="n">
        <f aca="false">'SALES Raw'!E3443*$H$4</f>
        <v>0</v>
      </c>
      <c r="G5282" s="19" t="n">
        <f aca="false">'SALES Raw'!F3443*$H$4</f>
        <v>0</v>
      </c>
      <c r="H5282" s="18" t="str">
        <f aca="false">'SALES Raw'!A3443</f>
        <v>206 - Orthomed  Ltd BULGARIA</v>
      </c>
    </row>
    <row r="5283" customFormat="false" ht="15" hidden="false" customHeight="false" outlineLevel="0" collapsed="false">
      <c r="A5283" s="18" t="n">
        <f aca="false">'SALES Raw'!G3444</f>
        <v>4418001</v>
      </c>
      <c r="B5283" s="18" t="str">
        <f aca="false">'SALES Raw'!B3444</f>
        <v>60 M</v>
      </c>
      <c r="C5283" s="18" t="str">
        <f aca="false">'SALES Raw'!H3444</f>
        <v>60 M צוארון ספוגי</v>
      </c>
      <c r="D5283" s="19" t="n">
        <f aca="false">'SALES Raw'!C3444</f>
        <v>20</v>
      </c>
      <c r="E5283" s="19" t="n">
        <f aca="false">'SALES Raw'!D3444</f>
        <v>498.49</v>
      </c>
      <c r="F5283" s="19" t="n">
        <f aca="false">'SALES Raw'!E3444*$H$4</f>
        <v>0</v>
      </c>
      <c r="G5283" s="19" t="n">
        <f aca="false">'SALES Raw'!F3444*$H$4</f>
        <v>0</v>
      </c>
      <c r="H5283" s="18" t="str">
        <f aca="false">'SALES Raw'!A3444</f>
        <v>206 - Orthomed  Ltd BULGARIA</v>
      </c>
    </row>
    <row r="5284" customFormat="false" ht="15" hidden="false" customHeight="false" outlineLevel="0" collapsed="false">
      <c r="A5284" s="18" t="str">
        <f aca="false">'SALES Raw'!G3445</f>
        <v/>
      </c>
      <c r="B5284" s="18" t="str">
        <f aca="false">'SALES Raw'!B3445</f>
        <v>62 L</v>
      </c>
      <c r="C5284" s="18" t="str">
        <f aca="false">'SALES Raw'!H3445</f>
        <v>62 L</v>
      </c>
      <c r="D5284" s="19" t="n">
        <f aca="false">'SALES Raw'!C3445</f>
        <v>7</v>
      </c>
      <c r="E5284" s="19" t="n">
        <f aca="false">'SALES Raw'!D3445</f>
        <v>175.81</v>
      </c>
      <c r="F5284" s="19" t="n">
        <f aca="false">'SALES Raw'!E3445*$H$4</f>
        <v>0</v>
      </c>
      <c r="G5284" s="19" t="n">
        <f aca="false">'SALES Raw'!F3445*$H$4</f>
        <v>0</v>
      </c>
      <c r="H5284" s="18" t="str">
        <f aca="false">'SALES Raw'!A3445</f>
        <v>206 - Orthomed  Ltd BULGARIA</v>
      </c>
    </row>
    <row r="5285" customFormat="false" ht="15" hidden="false" customHeight="false" outlineLevel="0" collapsed="false">
      <c r="A5285" s="18" t="n">
        <f aca="false">'SALES Raw'!G3446</f>
        <v>4409017</v>
      </c>
      <c r="B5285" s="18" t="str">
        <f aca="false">'SALES Raw'!B3446</f>
        <v>808KT-B</v>
      </c>
      <c r="C5285" s="18" t="str">
        <f aca="false">'SALES Raw'!H3446</f>
        <v>808KT-B        טייפ קינזיולוגי</v>
      </c>
      <c r="D5285" s="19" t="n">
        <f aca="false">'SALES Raw'!C3446</f>
        <v>36</v>
      </c>
      <c r="E5285" s="19" t="n">
        <f aca="false">'SALES Raw'!D3446</f>
        <v>486.32</v>
      </c>
      <c r="F5285" s="19" t="n">
        <f aca="false">'SALES Raw'!E3446*$H$4</f>
        <v>0</v>
      </c>
      <c r="G5285" s="19" t="n">
        <f aca="false">'SALES Raw'!F3446*$H$4</f>
        <v>0</v>
      </c>
      <c r="H5285" s="18" t="str">
        <f aca="false">'SALES Raw'!A3446</f>
        <v>206 - Orthomed  Ltd BULGARIA</v>
      </c>
    </row>
    <row r="5286" customFormat="false" ht="15" hidden="false" customHeight="false" outlineLevel="0" collapsed="false">
      <c r="A5286" s="18" t="n">
        <f aca="false">'SALES Raw'!G3447</f>
        <v>4409015</v>
      </c>
      <c r="B5286" s="18" t="str">
        <f aca="false">'SALES Raw'!B3447</f>
        <v>808KT-BL</v>
      </c>
      <c r="C5286" s="18" t="str">
        <f aca="false">'SALES Raw'!H3447</f>
        <v>808KT-BL       טייפ קינזיולוגי</v>
      </c>
      <c r="D5286" s="19" t="n">
        <f aca="false">'SALES Raw'!C3447</f>
        <v>36</v>
      </c>
      <c r="E5286" s="19" t="n">
        <f aca="false">'SALES Raw'!D3447</f>
        <v>486.32</v>
      </c>
      <c r="F5286" s="19" t="n">
        <f aca="false">'SALES Raw'!E3447*$H$4</f>
        <v>0</v>
      </c>
      <c r="G5286" s="19" t="n">
        <f aca="false">'SALES Raw'!F3447*$H$4</f>
        <v>0</v>
      </c>
      <c r="H5286" s="18" t="str">
        <f aca="false">'SALES Raw'!A3447</f>
        <v>206 - Orthomed  Ltd BULGARIA</v>
      </c>
    </row>
    <row r="5287" customFormat="false" ht="15" hidden="false" customHeight="false" outlineLevel="0" collapsed="false">
      <c r="A5287" s="18" t="n">
        <f aca="false">'SALES Raw'!G3448</f>
        <v>4409016</v>
      </c>
      <c r="B5287" s="18" t="str">
        <f aca="false">'SALES Raw'!B3448</f>
        <v>808KT-C</v>
      </c>
      <c r="C5287" s="18" t="str">
        <f aca="false">'SALES Raw'!H3448</f>
        <v>808KT-C        טייפ קינזיולוגי</v>
      </c>
      <c r="D5287" s="19" t="n">
        <f aca="false">'SALES Raw'!C3448</f>
        <v>36</v>
      </c>
      <c r="E5287" s="19" t="n">
        <f aca="false">'SALES Raw'!D3448</f>
        <v>486.32</v>
      </c>
      <c r="F5287" s="19" t="n">
        <f aca="false">'SALES Raw'!E3448*$H$4</f>
        <v>0</v>
      </c>
      <c r="G5287" s="19" t="n">
        <f aca="false">'SALES Raw'!F3448*$H$4</f>
        <v>0</v>
      </c>
      <c r="H5287" s="18" t="str">
        <f aca="false">'SALES Raw'!A3448</f>
        <v>206 - Orthomed  Ltd BULGARIA</v>
      </c>
    </row>
    <row r="5288" customFormat="false" ht="15" hidden="false" customHeight="false" outlineLevel="0" collapsed="false">
      <c r="A5288" s="18" t="n">
        <f aca="false">'SALES Raw'!G3449</f>
        <v>4409014</v>
      </c>
      <c r="B5288" s="18" t="str">
        <f aca="false">'SALES Raw'!B3449</f>
        <v>808KT-P</v>
      </c>
      <c r="C5288" s="18" t="str">
        <f aca="false">'SALES Raw'!H3449</f>
        <v>808KT-P        טייפ קינזיולוגי</v>
      </c>
      <c r="D5288" s="19" t="n">
        <f aca="false">'SALES Raw'!C3449</f>
        <v>36</v>
      </c>
      <c r="E5288" s="19" t="n">
        <f aca="false">'SALES Raw'!D3449</f>
        <v>486.32</v>
      </c>
      <c r="F5288" s="19" t="n">
        <f aca="false">'SALES Raw'!E3449*$H$4</f>
        <v>0</v>
      </c>
      <c r="G5288" s="19" t="n">
        <f aca="false">'SALES Raw'!F3449*$H$4</f>
        <v>0</v>
      </c>
      <c r="H5288" s="18" t="str">
        <f aca="false">'SALES Raw'!A3449</f>
        <v>206 - Orthomed  Ltd BULGARIA</v>
      </c>
    </row>
    <row r="5289" customFormat="false" ht="15" hidden="false" customHeight="false" outlineLevel="0" collapsed="false">
      <c r="A5289" s="18" t="n">
        <f aca="false">'SALES Raw'!G3450</f>
        <v>4411015</v>
      </c>
      <c r="B5289" s="18" t="str">
        <f aca="false">'SALES Raw'!B3450</f>
        <v>820 0</v>
      </c>
      <c r="C5289" s="18" t="str">
        <f aca="false">'SALES Raw'!H3450</f>
        <v>820 0 כרית חום וקור</v>
      </c>
      <c r="D5289" s="19" t="n">
        <f aca="false">'SALES Raw'!C3450</f>
        <v>10</v>
      </c>
      <c r="E5289" s="19" t="n">
        <f aca="false">'SALES Raw'!D3450</f>
        <v>249.25</v>
      </c>
      <c r="F5289" s="19" t="n">
        <f aca="false">'SALES Raw'!E3450*$H$4</f>
        <v>0</v>
      </c>
      <c r="G5289" s="19" t="n">
        <f aca="false">'SALES Raw'!F3450*$H$4</f>
        <v>0</v>
      </c>
      <c r="H5289" s="18" t="str">
        <f aca="false">'SALES Raw'!A3450</f>
        <v>206 - Orthomed  Ltd BULGARIA</v>
      </c>
    </row>
    <row r="5290" customFormat="false" ht="15" hidden="false" customHeight="false" outlineLevel="0" collapsed="false">
      <c r="A5290" s="18" t="n">
        <f aca="false">'SALES Raw'!G3451</f>
        <v>4413176</v>
      </c>
      <c r="B5290" s="18" t="str">
        <f aca="false">'SALES Raw'!B3451</f>
        <v>85+ L</v>
      </c>
      <c r="C5290" s="18" t="str">
        <f aca="false">'SALES Raw'!H3451</f>
        <v>85+ Lמתלה ליד)כיס(+רצועת חיזוק</v>
      </c>
      <c r="D5290" s="19" t="n">
        <f aca="false">'SALES Raw'!C3451</f>
        <v>15</v>
      </c>
      <c r="E5290" s="19" t="n">
        <f aca="false">'SALES Raw'!D3451</f>
        <v>647.85</v>
      </c>
      <c r="F5290" s="19" t="n">
        <f aca="false">'SALES Raw'!E3451*$H$4</f>
        <v>0</v>
      </c>
      <c r="G5290" s="19" t="n">
        <f aca="false">'SALES Raw'!F3451*$H$4</f>
        <v>0</v>
      </c>
      <c r="H5290" s="18" t="str">
        <f aca="false">'SALES Raw'!A3451</f>
        <v>206 - Orthomed  Ltd BULGARIA</v>
      </c>
    </row>
    <row r="5291" customFormat="false" ht="15" hidden="false" customHeight="false" outlineLevel="0" collapsed="false">
      <c r="A5291" s="18" t="n">
        <f aca="false">'SALES Raw'!G3452</f>
        <v>4413175</v>
      </c>
      <c r="B5291" s="18" t="str">
        <f aca="false">'SALES Raw'!B3452</f>
        <v>85+ M</v>
      </c>
      <c r="C5291" s="18" t="str">
        <f aca="false">'SALES Raw'!H3452</f>
        <v>85+ Mמתלה ליד)כיס(+רצועת חיזוק</v>
      </c>
      <c r="D5291" s="19" t="n">
        <f aca="false">'SALES Raw'!C3452</f>
        <v>15</v>
      </c>
      <c r="E5291" s="19" t="n">
        <f aca="false">'SALES Raw'!D3452</f>
        <v>647.85</v>
      </c>
      <c r="F5291" s="19" t="n">
        <f aca="false">'SALES Raw'!E3452*$H$4</f>
        <v>0</v>
      </c>
      <c r="G5291" s="19" t="n">
        <f aca="false">'SALES Raw'!F3452*$H$4</f>
        <v>0</v>
      </c>
      <c r="H5291" s="18" t="str">
        <f aca="false">'SALES Raw'!A3452</f>
        <v>206 - Orthomed  Ltd BULGARIA</v>
      </c>
    </row>
    <row r="5292" customFormat="false" ht="15" hidden="false" customHeight="false" outlineLevel="0" collapsed="false">
      <c r="A5292" s="18" t="n">
        <f aca="false">'SALES Raw'!G3453</f>
        <v>4413177</v>
      </c>
      <c r="B5292" s="18" t="str">
        <f aca="false">'SALES Raw'!B3453</f>
        <v>85+ XL</v>
      </c>
      <c r="C5292" s="18" t="str">
        <f aca="false">'SALES Raw'!H3453</f>
        <v>85+ XLמתלה ליד)כיס(רצועת חיזוק</v>
      </c>
      <c r="D5292" s="19" t="n">
        <f aca="false">'SALES Raw'!C3453</f>
        <v>10</v>
      </c>
      <c r="E5292" s="19" t="n">
        <f aca="false">'SALES Raw'!D3453</f>
        <v>431.91</v>
      </c>
      <c r="F5292" s="19" t="n">
        <f aca="false">'SALES Raw'!E3453*$H$4</f>
        <v>0</v>
      </c>
      <c r="G5292" s="19" t="n">
        <f aca="false">'SALES Raw'!F3453*$H$4</f>
        <v>0</v>
      </c>
      <c r="H5292" s="18" t="str">
        <f aca="false">'SALES Raw'!A3453</f>
        <v>206 - Orthomed  Ltd BULGARIA</v>
      </c>
    </row>
    <row r="5293" customFormat="false" ht="15" hidden="false" customHeight="false" outlineLevel="0" collapsed="false">
      <c r="A5293" s="18" t="n">
        <f aca="false">'SALES Raw'!G3454</f>
        <v>4413139</v>
      </c>
      <c r="B5293" s="18" t="str">
        <f aca="false">'SALES Raw'!B3454</f>
        <v>95 L</v>
      </c>
      <c r="C5293" s="18" t="str">
        <f aca="false">'SALES Raw'!H3454</f>
        <v>95 L מגן מרפק רגיל לבן</v>
      </c>
      <c r="D5293" s="19" t="n">
        <f aca="false">'SALES Raw'!C3454</f>
        <v>20</v>
      </c>
      <c r="E5293" s="19" t="n">
        <f aca="false">'SALES Raw'!D3454</f>
        <v>224.51</v>
      </c>
      <c r="F5293" s="19" t="n">
        <f aca="false">'SALES Raw'!E3454*$H$4</f>
        <v>0</v>
      </c>
      <c r="G5293" s="19" t="n">
        <f aca="false">'SALES Raw'!F3454*$H$4</f>
        <v>0</v>
      </c>
      <c r="H5293" s="18" t="str">
        <f aca="false">'SALES Raw'!A3454</f>
        <v>206 - Orthomed  Ltd BULGARIA</v>
      </c>
    </row>
    <row r="5294" customFormat="false" ht="15" hidden="false" customHeight="false" outlineLevel="0" collapsed="false">
      <c r="A5294" s="18" t="n">
        <f aca="false">'SALES Raw'!G3455</f>
        <v>4413140</v>
      </c>
      <c r="B5294" s="18" t="str">
        <f aca="false">'SALES Raw'!B3455</f>
        <v>95 M</v>
      </c>
      <c r="C5294" s="18" t="str">
        <f aca="false">'SALES Raw'!H3455</f>
        <v>95 M מגן מרפק רגיל לבן</v>
      </c>
      <c r="D5294" s="19" t="n">
        <f aca="false">'SALES Raw'!C3455</f>
        <v>20</v>
      </c>
      <c r="E5294" s="19" t="n">
        <f aca="false">'SALES Raw'!D3455</f>
        <v>224.51</v>
      </c>
      <c r="F5294" s="19" t="n">
        <f aca="false">'SALES Raw'!E3455*$H$4</f>
        <v>0</v>
      </c>
      <c r="G5294" s="19" t="n">
        <f aca="false">'SALES Raw'!F3455*$H$4</f>
        <v>0</v>
      </c>
      <c r="H5294" s="18" t="str">
        <f aca="false">'SALES Raw'!A3455</f>
        <v>206 - Orthomed  Ltd BULGARIA</v>
      </c>
    </row>
    <row r="5295" customFormat="false" ht="15" hidden="false" customHeight="false" outlineLevel="0" collapsed="false">
      <c r="A5295" s="18" t="n">
        <f aca="false">'SALES Raw'!G3456</f>
        <v>4413141</v>
      </c>
      <c r="B5295" s="18" t="str">
        <f aca="false">'SALES Raw'!B3456</f>
        <v>95 S</v>
      </c>
      <c r="C5295" s="18" t="str">
        <f aca="false">'SALES Raw'!H3456</f>
        <v>95 S מגן מרפק רגיל לבן</v>
      </c>
      <c r="D5295" s="19" t="n">
        <f aca="false">'SALES Raw'!C3456</f>
        <v>10</v>
      </c>
      <c r="E5295" s="19" t="n">
        <f aca="false">'SALES Raw'!D3456</f>
        <v>112.26</v>
      </c>
      <c r="F5295" s="19" t="n">
        <f aca="false">'SALES Raw'!E3456*$H$4</f>
        <v>0</v>
      </c>
      <c r="G5295" s="19" t="n">
        <f aca="false">'SALES Raw'!F3456*$H$4</f>
        <v>0</v>
      </c>
      <c r="H5295" s="18" t="str">
        <f aca="false">'SALES Raw'!A3456</f>
        <v>206 - Orthomed  Ltd BULGARIA</v>
      </c>
    </row>
    <row r="5296" customFormat="false" ht="15" hidden="false" customHeight="false" outlineLevel="0" collapsed="false">
      <c r="A5296" s="18" t="n">
        <f aca="false">'SALES Raw'!G3457</f>
        <v>4413142</v>
      </c>
      <c r="B5296" s="18" t="str">
        <f aca="false">'SALES Raw'!B3457</f>
        <v>95 XL</v>
      </c>
      <c r="C5296" s="18" t="str">
        <f aca="false">'SALES Raw'!H3457</f>
        <v>95 XL מגן מרפק רגיל לבן</v>
      </c>
      <c r="D5296" s="19" t="n">
        <f aca="false">'SALES Raw'!C3457</f>
        <v>15</v>
      </c>
      <c r="E5296" s="19" t="n">
        <f aca="false">'SALES Raw'!D3457</f>
        <v>168.39</v>
      </c>
      <c r="F5296" s="19" t="n">
        <f aca="false">'SALES Raw'!E3457*$H$4</f>
        <v>0</v>
      </c>
      <c r="G5296" s="19" t="n">
        <f aca="false">'SALES Raw'!F3457*$H$4</f>
        <v>0</v>
      </c>
      <c r="H5296" s="18" t="str">
        <f aca="false">'SALES Raw'!A3457</f>
        <v>206 - Orthomed  Ltd BULGARIA</v>
      </c>
    </row>
    <row r="5297" customFormat="false" ht="15" hidden="false" customHeight="false" outlineLevel="0" collapsed="false">
      <c r="A5297" s="18" t="n">
        <f aca="false">'SALES Raw'!G3458</f>
        <v>4413453</v>
      </c>
      <c r="B5297" s="18" t="str">
        <f aca="false">'SALES Raw'!B3458</f>
        <v>AC75-S-XL</v>
      </c>
      <c r="C5297" s="18" t="str">
        <f aca="false">'SALES Raw'!H3458</f>
        <v>AC75 מישר כתפיים אקטיב</v>
      </c>
      <c r="D5297" s="19" t="n">
        <f aca="false">'SALES Raw'!C3458</f>
        <v>50</v>
      </c>
      <c r="E5297" s="19" t="n">
        <f aca="false">'SALES Raw'!D3458</f>
        <v>1734.44</v>
      </c>
      <c r="F5297" s="19" t="n">
        <f aca="false">'SALES Raw'!E3458*$H$4</f>
        <v>0</v>
      </c>
      <c r="G5297" s="19" t="n">
        <f aca="false">'SALES Raw'!F3458*$H$4</f>
        <v>0</v>
      </c>
      <c r="H5297" s="18" t="str">
        <f aca="false">'SALES Raw'!A3458</f>
        <v>206 - Orthomed  Ltd BULGARIA</v>
      </c>
    </row>
    <row r="5298" customFormat="false" ht="15" hidden="false" customHeight="false" outlineLevel="0" collapsed="false">
      <c r="A5298" s="18" t="n">
        <f aca="false">'SALES Raw'!G3459</f>
        <v>4408098</v>
      </c>
      <c r="B5298" s="18" t="str">
        <f aca="false">'SALES Raw'!B3459</f>
        <v>T25 0</v>
      </c>
      <c r="C5298" s="18" t="str">
        <f aca="false">'SALES Raw'!H3459</f>
        <v>T25-חבק יד אגודלי</v>
      </c>
      <c r="D5298" s="19" t="n">
        <f aca="false">'SALES Raw'!C3459</f>
        <v>10</v>
      </c>
      <c r="E5298" s="19" t="n">
        <f aca="false">'SALES Raw'!D3459</f>
        <v>186.46</v>
      </c>
      <c r="F5298" s="19" t="n">
        <f aca="false">'SALES Raw'!E3459*$H$4</f>
        <v>0</v>
      </c>
      <c r="G5298" s="19" t="n">
        <f aca="false">'SALES Raw'!F3459*$H$4</f>
        <v>0</v>
      </c>
      <c r="H5298" s="18" t="str">
        <f aca="false">'SALES Raw'!A3459</f>
        <v>206 - Orthomed  Ltd BULGARIA</v>
      </c>
    </row>
    <row r="5299" customFormat="false" ht="15" hidden="false" customHeight="false" outlineLevel="0" collapsed="false">
      <c r="A5299" s="18" t="str">
        <f aca="false">'SALES Raw'!G3460</f>
        <v/>
      </c>
      <c r="B5299" s="18" t="str">
        <f aca="false">'SALES Raw'!B3460</f>
        <v>T33 L</v>
      </c>
      <c r="C5299" s="18" t="str">
        <f aca="false">'SALES Raw'!H3460</f>
        <v>T33 L</v>
      </c>
      <c r="D5299" s="19" t="n">
        <f aca="false">'SALES Raw'!C3460</f>
        <v>30</v>
      </c>
      <c r="E5299" s="19" t="n">
        <f aca="false">'SALES Raw'!D3460</f>
        <v>1771.01</v>
      </c>
      <c r="F5299" s="19" t="n">
        <f aca="false">'SALES Raw'!E3460*$H$4</f>
        <v>0</v>
      </c>
      <c r="G5299" s="19" t="n">
        <f aca="false">'SALES Raw'!F3460*$H$4</f>
        <v>0</v>
      </c>
      <c r="H5299" s="18" t="str">
        <f aca="false">'SALES Raw'!A3460</f>
        <v>206 - Orthomed  Ltd BULGARIA</v>
      </c>
    </row>
    <row r="5300" customFormat="false" ht="15" hidden="false" customHeight="false" outlineLevel="0" collapsed="false">
      <c r="A5300" s="18" t="str">
        <f aca="false">'SALES Raw'!G3461</f>
        <v/>
      </c>
      <c r="B5300" s="18" t="str">
        <f aca="false">'SALES Raw'!B3461</f>
        <v>T33 M</v>
      </c>
      <c r="C5300" s="18" t="str">
        <f aca="false">'SALES Raw'!H3461</f>
        <v>T33 M</v>
      </c>
      <c r="D5300" s="19" t="n">
        <f aca="false">'SALES Raw'!C3461</f>
        <v>20</v>
      </c>
      <c r="E5300" s="19" t="n">
        <f aca="false">'SALES Raw'!D3461</f>
        <v>1180.68</v>
      </c>
      <c r="F5300" s="19" t="n">
        <f aca="false">'SALES Raw'!E3461*$H$4</f>
        <v>0</v>
      </c>
      <c r="G5300" s="19" t="n">
        <f aca="false">'SALES Raw'!F3461*$H$4</f>
        <v>0</v>
      </c>
      <c r="H5300" s="18" t="str">
        <f aca="false">'SALES Raw'!A3461</f>
        <v>206 - Orthomed  Ltd BULGARIA</v>
      </c>
    </row>
    <row r="5301" customFormat="false" ht="15" hidden="false" customHeight="false" outlineLevel="0" collapsed="false">
      <c r="A5301" s="18" t="str">
        <f aca="false">'SALES Raw'!G3462</f>
        <v/>
      </c>
      <c r="B5301" s="18" t="str">
        <f aca="false">'SALES Raw'!B3462</f>
        <v>T33 S</v>
      </c>
      <c r="C5301" s="18" t="str">
        <f aca="false">'SALES Raw'!H3462</f>
        <v>T33 S</v>
      </c>
      <c r="D5301" s="19" t="n">
        <f aca="false">'SALES Raw'!C3462</f>
        <v>10</v>
      </c>
      <c r="E5301" s="19" t="n">
        <f aca="false">'SALES Raw'!D3462</f>
        <v>590.35</v>
      </c>
      <c r="F5301" s="19" t="n">
        <f aca="false">'SALES Raw'!E3462*$H$4</f>
        <v>0</v>
      </c>
      <c r="G5301" s="19" t="n">
        <f aca="false">'SALES Raw'!F3462*$H$4</f>
        <v>0</v>
      </c>
      <c r="H5301" s="18" t="str">
        <f aca="false">'SALES Raw'!A3462</f>
        <v>206 - Orthomed  Ltd BULGARIA</v>
      </c>
    </row>
    <row r="5302" customFormat="false" ht="15" hidden="false" customHeight="false" outlineLevel="0" collapsed="false">
      <c r="A5302" s="18" t="str">
        <f aca="false">'SALES Raw'!G3463</f>
        <v/>
      </c>
      <c r="B5302" s="18" t="str">
        <f aca="false">'SALES Raw'!B3463</f>
        <v>T33 XL</v>
      </c>
      <c r="C5302" s="18" t="str">
        <f aca="false">'SALES Raw'!H3463</f>
        <v>T33 XL</v>
      </c>
      <c r="D5302" s="19" t="n">
        <f aca="false">'SALES Raw'!C3463</f>
        <v>30</v>
      </c>
      <c r="E5302" s="19" t="n">
        <f aca="false">'SALES Raw'!D3463</f>
        <v>1771.54</v>
      </c>
      <c r="F5302" s="19" t="n">
        <f aca="false">'SALES Raw'!E3463*$H$4</f>
        <v>0</v>
      </c>
      <c r="G5302" s="19" t="n">
        <f aca="false">'SALES Raw'!F3463*$H$4</f>
        <v>0</v>
      </c>
      <c r="H5302" s="18" t="str">
        <f aca="false">'SALES Raw'!A3463</f>
        <v>206 - Orthomed  Ltd BULGARIA</v>
      </c>
    </row>
    <row r="5303" customFormat="false" ht="15" hidden="false" customHeight="false" outlineLevel="0" collapsed="false">
      <c r="A5303" s="18" t="str">
        <f aca="false">'SALES Raw'!G3464</f>
        <v/>
      </c>
      <c r="B5303" s="18" t="str">
        <f aca="false">'SALES Raw'!B3464</f>
        <v>T33 XXL</v>
      </c>
      <c r="C5303" s="18" t="str">
        <f aca="false">'SALES Raw'!H3464</f>
        <v>T33 XXL</v>
      </c>
      <c r="D5303" s="19" t="n">
        <f aca="false">'SALES Raw'!C3464</f>
        <v>30</v>
      </c>
      <c r="E5303" s="19" t="n">
        <f aca="false">'SALES Raw'!D3464</f>
        <v>1772.56</v>
      </c>
      <c r="F5303" s="19" t="n">
        <f aca="false">'SALES Raw'!E3464*$H$4</f>
        <v>0</v>
      </c>
      <c r="G5303" s="19" t="n">
        <f aca="false">'SALES Raw'!F3464*$H$4</f>
        <v>0</v>
      </c>
      <c r="H5303" s="18" t="str">
        <f aca="false">'SALES Raw'!A3464</f>
        <v>206 - Orthomed  Ltd BULGARIA</v>
      </c>
    </row>
    <row r="5304" customFormat="false" ht="15" hidden="false" customHeight="false" outlineLevel="0" collapsed="false">
      <c r="A5304" s="18" t="n">
        <f aca="false">'SALES Raw'!G3466</f>
        <v>4408190</v>
      </c>
      <c r="B5304" s="18" t="str">
        <f aca="false">'SALES Raw'!B3466</f>
        <v>078 M</v>
      </c>
      <c r="C5304" s="18" t="str">
        <f aca="false">'SALES Raw'!H3466</f>
        <v>M078 חגורת גב +סגירה כפולה</v>
      </c>
      <c r="D5304" s="19" t="n">
        <f aca="false">'SALES Raw'!C3466</f>
        <v>5</v>
      </c>
      <c r="E5304" s="19" t="n">
        <f aca="false">'SALES Raw'!D3466</f>
        <v>262.52</v>
      </c>
      <c r="F5304" s="19" t="n">
        <f aca="false">'SALES Raw'!E3466*$H$4</f>
        <v>0</v>
      </c>
      <c r="G5304" s="19" t="n">
        <f aca="false">'SALES Raw'!F3466*$H$4</f>
        <v>0</v>
      </c>
      <c r="H5304" s="18" t="str">
        <f aca="false">'SALES Raw'!A3466</f>
        <v>207 - Salus HUNGARY</v>
      </c>
    </row>
    <row r="5305" customFormat="false" ht="15" hidden="false" customHeight="false" outlineLevel="0" collapsed="false">
      <c r="A5305" s="18" t="n">
        <f aca="false">'SALES Raw'!G3467</f>
        <v>4408218</v>
      </c>
      <c r="B5305" s="18" t="str">
        <f aca="false">'SALES Raw'!B3467</f>
        <v>078 XL</v>
      </c>
      <c r="C5305" s="18" t="str">
        <f aca="false">'SALES Raw'!H3467</f>
        <v>078XL חגורת גב +סגירה כפולה</v>
      </c>
      <c r="D5305" s="19" t="n">
        <f aca="false">'SALES Raw'!C3467</f>
        <v>5</v>
      </c>
      <c r="E5305" s="19" t="n">
        <f aca="false">'SALES Raw'!D3467</f>
        <v>262.52</v>
      </c>
      <c r="F5305" s="19" t="n">
        <f aca="false">'SALES Raw'!E3467*$H$4</f>
        <v>0</v>
      </c>
      <c r="G5305" s="19" t="n">
        <f aca="false">'SALES Raw'!F3467*$H$4</f>
        <v>0</v>
      </c>
      <c r="H5305" s="18" t="str">
        <f aca="false">'SALES Raw'!A3467</f>
        <v>207 - Salus HUNGARY</v>
      </c>
    </row>
    <row r="5306" customFormat="false" ht="15" hidden="false" customHeight="false" outlineLevel="0" collapsed="false">
      <c r="A5306" s="18" t="n">
        <f aca="false">'SALES Raw'!G3468</f>
        <v>4408265</v>
      </c>
      <c r="B5306" s="18" t="str">
        <f aca="false">'SALES Raw'!B3468</f>
        <v>078 XXL</v>
      </c>
      <c r="C5306" s="18" t="str">
        <f aca="false">'SALES Raw'!H3468</f>
        <v>078XXL חגורת גב +סגירה כפולה</v>
      </c>
      <c r="D5306" s="19" t="n">
        <f aca="false">'SALES Raw'!C3468</f>
        <v>5</v>
      </c>
      <c r="E5306" s="19" t="n">
        <f aca="false">'SALES Raw'!D3468</f>
        <v>262.52</v>
      </c>
      <c r="F5306" s="19" t="n">
        <f aca="false">'SALES Raw'!E3468*$H$4</f>
        <v>0</v>
      </c>
      <c r="G5306" s="19" t="n">
        <f aca="false">'SALES Raw'!F3468*$H$4</f>
        <v>0</v>
      </c>
      <c r="H5306" s="18" t="str">
        <f aca="false">'SALES Raw'!A3468</f>
        <v>207 - Salus HUNGARY</v>
      </c>
    </row>
    <row r="5307" customFormat="false" ht="15" hidden="false" customHeight="false" outlineLevel="0" collapsed="false">
      <c r="A5307" s="18" t="n">
        <f aca="false">'SALES Raw'!G3469</f>
        <v>4408115</v>
      </c>
      <c r="B5307" s="18" t="str">
        <f aca="false">'SALES Raw'!B3469</f>
        <v>11EU L</v>
      </c>
      <c r="C5307" s="18" t="str">
        <f aca="false">'SALES Raw'!H3469</f>
        <v>11EU L ח.בטן לאחר ניתוח</v>
      </c>
      <c r="D5307" s="19" t="n">
        <f aca="false">'SALES Raw'!C3469</f>
        <v>10</v>
      </c>
      <c r="E5307" s="19" t="n">
        <f aca="false">'SALES Raw'!D3469</f>
        <v>494.8</v>
      </c>
      <c r="F5307" s="19" t="n">
        <f aca="false">'SALES Raw'!E3469*$H$4</f>
        <v>0</v>
      </c>
      <c r="G5307" s="19" t="n">
        <f aca="false">'SALES Raw'!F3469*$H$4</f>
        <v>0</v>
      </c>
      <c r="H5307" s="18" t="str">
        <f aca="false">'SALES Raw'!A3469</f>
        <v>207 - Salus HUNGARY</v>
      </c>
    </row>
    <row r="5308" customFormat="false" ht="15" hidden="false" customHeight="false" outlineLevel="0" collapsed="false">
      <c r="A5308" s="18" t="n">
        <f aca="false">'SALES Raw'!G3470</f>
        <v>4408114</v>
      </c>
      <c r="B5308" s="18" t="str">
        <f aca="false">'SALES Raw'!B3470</f>
        <v>11EU M</v>
      </c>
      <c r="C5308" s="18" t="str">
        <f aca="false">'SALES Raw'!H3470</f>
        <v>11EU M ח.בטן לאחר ניתוח</v>
      </c>
      <c r="D5308" s="19" t="n">
        <f aca="false">'SALES Raw'!C3470</f>
        <v>10</v>
      </c>
      <c r="E5308" s="19" t="n">
        <f aca="false">'SALES Raw'!D3470</f>
        <v>494.8</v>
      </c>
      <c r="F5308" s="19" t="n">
        <f aca="false">'SALES Raw'!E3470*$H$4</f>
        <v>0</v>
      </c>
      <c r="G5308" s="19" t="n">
        <f aca="false">'SALES Raw'!F3470*$H$4</f>
        <v>0</v>
      </c>
      <c r="H5308" s="18" t="str">
        <f aca="false">'SALES Raw'!A3470</f>
        <v>207 - Salus HUNGARY</v>
      </c>
    </row>
    <row r="5309" customFormat="false" ht="15" hidden="false" customHeight="false" outlineLevel="0" collapsed="false">
      <c r="A5309" s="18" t="str">
        <f aca="false">'SALES Raw'!G3471</f>
        <v/>
      </c>
      <c r="B5309" s="18" t="str">
        <f aca="false">'SALES Raw'!B3471</f>
        <v>11EU S</v>
      </c>
      <c r="C5309" s="18" t="str">
        <f aca="false">'SALES Raw'!H3471</f>
        <v>11EU S</v>
      </c>
      <c r="D5309" s="19" t="n">
        <f aca="false">'SALES Raw'!C3471</f>
        <v>5</v>
      </c>
      <c r="E5309" s="19" t="n">
        <f aca="false">'SALES Raw'!D3471</f>
        <v>247.4</v>
      </c>
      <c r="F5309" s="19" t="n">
        <f aca="false">'SALES Raw'!E3471*$H$4</f>
        <v>0</v>
      </c>
      <c r="G5309" s="19" t="n">
        <f aca="false">'SALES Raw'!F3471*$H$4</f>
        <v>0</v>
      </c>
      <c r="H5309" s="18" t="str">
        <f aca="false">'SALES Raw'!A3471</f>
        <v>207 - Salus HUNGARY</v>
      </c>
    </row>
    <row r="5310" customFormat="false" ht="15" hidden="false" customHeight="false" outlineLevel="0" collapsed="false">
      <c r="A5310" s="18" t="n">
        <f aca="false">'SALES Raw'!G3472</f>
        <v>4408116</v>
      </c>
      <c r="B5310" s="18" t="str">
        <f aca="false">'SALES Raw'!B3472</f>
        <v>11EU XL</v>
      </c>
      <c r="C5310" s="18" t="str">
        <f aca="false">'SALES Raw'!H3472</f>
        <v>11EU XLח.בטן לאחר ניתוח</v>
      </c>
      <c r="D5310" s="19" t="n">
        <f aca="false">'SALES Raw'!C3472</f>
        <v>10</v>
      </c>
      <c r="E5310" s="19" t="n">
        <f aca="false">'SALES Raw'!D3472</f>
        <v>494.8</v>
      </c>
      <c r="F5310" s="19" t="n">
        <f aca="false">'SALES Raw'!E3472*$H$4</f>
        <v>0</v>
      </c>
      <c r="G5310" s="19" t="n">
        <f aca="false">'SALES Raw'!F3472*$H$4</f>
        <v>0</v>
      </c>
      <c r="H5310" s="18" t="str">
        <f aca="false">'SALES Raw'!A3472</f>
        <v>207 - Salus HUNGARY</v>
      </c>
    </row>
    <row r="5311" customFormat="false" ht="15" hidden="false" customHeight="false" outlineLevel="0" collapsed="false">
      <c r="A5311" s="18" t="n">
        <f aca="false">'SALES Raw'!G3473</f>
        <v>4408132</v>
      </c>
      <c r="B5311" s="18" t="str">
        <f aca="false">'SALES Raw'!B3473</f>
        <v>11EU XXL</v>
      </c>
      <c r="C5311" s="18" t="str">
        <f aca="false">'SALES Raw'!H3473</f>
        <v>11EU XXL חגורת בטןלאחר ניתוח</v>
      </c>
      <c r="D5311" s="19" t="n">
        <f aca="false">'SALES Raw'!C3473</f>
        <v>10</v>
      </c>
      <c r="E5311" s="19" t="n">
        <f aca="false">'SALES Raw'!D3473</f>
        <v>494.8</v>
      </c>
      <c r="F5311" s="19" t="n">
        <f aca="false">'SALES Raw'!E3473*$H$4</f>
        <v>0</v>
      </c>
      <c r="G5311" s="19" t="n">
        <f aca="false">'SALES Raw'!F3473*$H$4</f>
        <v>0</v>
      </c>
      <c r="H5311" s="18" t="str">
        <f aca="false">'SALES Raw'!A3473</f>
        <v>207 - Salus HUNGARY</v>
      </c>
    </row>
    <row r="5312" customFormat="false" ht="15" hidden="false" customHeight="false" outlineLevel="0" collapsed="false">
      <c r="A5312" s="18" t="n">
        <f aca="false">'SALES Raw'!G3480</f>
        <v>4411026</v>
      </c>
      <c r="B5312" s="18" t="str">
        <f aca="false">'SALES Raw'!B3480</f>
        <v>213CTSL L</v>
      </c>
      <c r="C5312" s="18" t="str">
        <f aca="false">'SALES Raw'!H3480</f>
        <v>213CTSL L שמאל CTS כפפות</v>
      </c>
      <c r="D5312" s="19" t="n">
        <f aca="false">'SALES Raw'!C3480</f>
        <v>5</v>
      </c>
      <c r="E5312" s="19" t="n">
        <f aca="false">'SALES Raw'!D3480</f>
        <v>186.94</v>
      </c>
      <c r="F5312" s="19" t="n">
        <f aca="false">'SALES Raw'!E3480*$H$4</f>
        <v>0</v>
      </c>
      <c r="G5312" s="19" t="n">
        <f aca="false">'SALES Raw'!F3480*$H$4</f>
        <v>0</v>
      </c>
      <c r="H5312" s="18" t="str">
        <f aca="false">'SALES Raw'!A3480</f>
        <v>207 - Salus HUNGARY</v>
      </c>
    </row>
    <row r="5313" customFormat="false" ht="15" hidden="false" customHeight="false" outlineLevel="0" collapsed="false">
      <c r="A5313" s="18" t="n">
        <f aca="false">'SALES Raw'!G3481</f>
        <v>4411027</v>
      </c>
      <c r="B5313" s="18" t="str">
        <f aca="false">'SALES Raw'!B3481</f>
        <v>213CTSL M</v>
      </c>
      <c r="C5313" s="18" t="str">
        <f aca="false">'SALES Raw'!H3481</f>
        <v>213CTSL M שמאל CTS כפפות</v>
      </c>
      <c r="D5313" s="19" t="n">
        <f aca="false">'SALES Raw'!C3481</f>
        <v>10</v>
      </c>
      <c r="E5313" s="19" t="n">
        <f aca="false">'SALES Raw'!D3481</f>
        <v>373.89</v>
      </c>
      <c r="F5313" s="19" t="n">
        <f aca="false">'SALES Raw'!E3481*$H$4</f>
        <v>0</v>
      </c>
      <c r="G5313" s="19" t="n">
        <f aca="false">'SALES Raw'!F3481*$H$4</f>
        <v>0</v>
      </c>
      <c r="H5313" s="18" t="str">
        <f aca="false">'SALES Raw'!A3481</f>
        <v>207 - Salus HUNGARY</v>
      </c>
    </row>
    <row r="5314" customFormat="false" ht="15" hidden="false" customHeight="false" outlineLevel="0" collapsed="false">
      <c r="A5314" s="18" t="n">
        <f aca="false">'SALES Raw'!G3482</f>
        <v>4411028</v>
      </c>
      <c r="B5314" s="18" t="str">
        <f aca="false">'SALES Raw'!B3482</f>
        <v>213CTSL S</v>
      </c>
      <c r="C5314" s="18" t="str">
        <f aca="false">'SALES Raw'!H3482</f>
        <v>213CTSL S שמאל CTS כפפות</v>
      </c>
      <c r="D5314" s="19" t="n">
        <f aca="false">'SALES Raw'!C3482</f>
        <v>10</v>
      </c>
      <c r="E5314" s="19" t="n">
        <f aca="false">'SALES Raw'!D3482</f>
        <v>373.89</v>
      </c>
      <c r="F5314" s="19" t="n">
        <f aca="false">'SALES Raw'!E3482*$H$4</f>
        <v>0</v>
      </c>
      <c r="G5314" s="19" t="n">
        <f aca="false">'SALES Raw'!F3482*$H$4</f>
        <v>0</v>
      </c>
      <c r="H5314" s="18" t="str">
        <f aca="false">'SALES Raw'!A3482</f>
        <v>207 - Salus HUNGARY</v>
      </c>
    </row>
    <row r="5315" customFormat="false" ht="15" hidden="false" customHeight="false" outlineLevel="0" collapsed="false">
      <c r="A5315" s="18" t="n">
        <f aca="false">'SALES Raw'!G3483</f>
        <v>4411029</v>
      </c>
      <c r="B5315" s="18" t="str">
        <f aca="false">'SALES Raw'!B3483</f>
        <v>213CTSR L</v>
      </c>
      <c r="C5315" s="18" t="str">
        <f aca="false">'SALES Raw'!H3483</f>
        <v>213CTSR L ימין CTS כפפות</v>
      </c>
      <c r="D5315" s="19" t="n">
        <f aca="false">'SALES Raw'!C3483</f>
        <v>5</v>
      </c>
      <c r="E5315" s="19" t="n">
        <f aca="false">'SALES Raw'!D3483</f>
        <v>186.94</v>
      </c>
      <c r="F5315" s="19" t="n">
        <f aca="false">'SALES Raw'!E3483*$H$4</f>
        <v>0</v>
      </c>
      <c r="G5315" s="19" t="n">
        <f aca="false">'SALES Raw'!F3483*$H$4</f>
        <v>0</v>
      </c>
      <c r="H5315" s="18" t="str">
        <f aca="false">'SALES Raw'!A3483</f>
        <v>207 - Salus HUNGARY</v>
      </c>
    </row>
    <row r="5316" customFormat="false" ht="15" hidden="false" customHeight="false" outlineLevel="0" collapsed="false">
      <c r="A5316" s="18" t="n">
        <f aca="false">'SALES Raw'!G3484</f>
        <v>4411030</v>
      </c>
      <c r="B5316" s="18" t="str">
        <f aca="false">'SALES Raw'!B3484</f>
        <v>213CTSR M</v>
      </c>
      <c r="C5316" s="18" t="str">
        <f aca="false">'SALES Raw'!H3484</f>
        <v>213CTSR M ימין CTS כפפות</v>
      </c>
      <c r="D5316" s="19" t="n">
        <f aca="false">'SALES Raw'!C3484</f>
        <v>10</v>
      </c>
      <c r="E5316" s="19" t="n">
        <f aca="false">'SALES Raw'!D3484</f>
        <v>373.89</v>
      </c>
      <c r="F5316" s="19" t="n">
        <f aca="false">'SALES Raw'!E3484*$H$4</f>
        <v>0</v>
      </c>
      <c r="G5316" s="19" t="n">
        <f aca="false">'SALES Raw'!F3484*$H$4</f>
        <v>0</v>
      </c>
      <c r="H5316" s="18" t="str">
        <f aca="false">'SALES Raw'!A3484</f>
        <v>207 - Salus HUNGARY</v>
      </c>
    </row>
    <row r="5317" customFormat="false" ht="15" hidden="false" customHeight="false" outlineLevel="0" collapsed="false">
      <c r="A5317" s="18" t="n">
        <f aca="false">'SALES Raw'!G3485</f>
        <v>4411031</v>
      </c>
      <c r="B5317" s="18" t="str">
        <f aca="false">'SALES Raw'!B3485</f>
        <v>213CTSR S</v>
      </c>
      <c r="C5317" s="18" t="str">
        <f aca="false">'SALES Raw'!H3485</f>
        <v>213CTS  S ימין CTS כפפות</v>
      </c>
      <c r="D5317" s="19" t="n">
        <f aca="false">'SALES Raw'!C3485</f>
        <v>10</v>
      </c>
      <c r="E5317" s="19" t="n">
        <f aca="false">'SALES Raw'!D3485</f>
        <v>373.89</v>
      </c>
      <c r="F5317" s="19" t="n">
        <f aca="false">'SALES Raw'!E3485*$H$4</f>
        <v>0</v>
      </c>
      <c r="G5317" s="19" t="n">
        <f aca="false">'SALES Raw'!F3485*$H$4</f>
        <v>0</v>
      </c>
      <c r="H5317" s="18" t="str">
        <f aca="false">'SALES Raw'!A3485</f>
        <v>207 - Salus HUNGARY</v>
      </c>
    </row>
    <row r="5318" customFormat="false" ht="15" hidden="false" customHeight="false" outlineLevel="0" collapsed="false">
      <c r="A5318" s="18" t="n">
        <f aca="false">'SALES Raw'!G3495</f>
        <v>4415005</v>
      </c>
      <c r="B5318" s="18" t="str">
        <f aca="false">'SALES Raw'!B3495</f>
        <v>28 L</v>
      </c>
      <c r="C5318" s="18" t="str">
        <f aca="false">'SALES Raw'!H3495</f>
        <v>28 L סד לאגודל לאחר שבר</v>
      </c>
      <c r="D5318" s="19" t="n">
        <f aca="false">'SALES Raw'!C3495</f>
        <v>6</v>
      </c>
      <c r="E5318" s="19" t="n">
        <f aca="false">'SALES Raw'!D3495</f>
        <v>225.67</v>
      </c>
      <c r="F5318" s="19" t="n">
        <f aca="false">'SALES Raw'!E3495*$H$4</f>
        <v>0</v>
      </c>
      <c r="G5318" s="19" t="n">
        <f aca="false">'SALES Raw'!F3495*$H$4</f>
        <v>0</v>
      </c>
      <c r="H5318" s="18" t="str">
        <f aca="false">'SALES Raw'!A3495</f>
        <v>207 - Salus HUNGARY</v>
      </c>
    </row>
    <row r="5319" customFormat="false" ht="15" hidden="false" customHeight="false" outlineLevel="0" collapsed="false">
      <c r="A5319" s="18" t="n">
        <f aca="false">'SALES Raw'!G3497</f>
        <v>4415007</v>
      </c>
      <c r="B5319" s="18" t="str">
        <f aca="false">'SALES Raw'!B3497</f>
        <v>28 S</v>
      </c>
      <c r="C5319" s="18" t="str">
        <f aca="false">'SALES Raw'!H3497</f>
        <v>28 S סד לאגודל לאחר שבר</v>
      </c>
      <c r="D5319" s="19" t="n">
        <f aca="false">'SALES Raw'!C3497</f>
        <v>10</v>
      </c>
      <c r="E5319" s="19" t="n">
        <f aca="false">'SALES Raw'!D3497</f>
        <v>357.11</v>
      </c>
      <c r="F5319" s="19" t="n">
        <f aca="false">'SALES Raw'!E3497*$H$4</f>
        <v>0</v>
      </c>
      <c r="G5319" s="19" t="n">
        <f aca="false">'SALES Raw'!F3497*$H$4</f>
        <v>0</v>
      </c>
      <c r="H5319" s="18" t="str">
        <f aca="false">'SALES Raw'!A3497</f>
        <v>207 - Salus HUNGARY</v>
      </c>
    </row>
    <row r="5320" customFormat="false" ht="15" hidden="false" customHeight="false" outlineLevel="0" collapsed="false">
      <c r="A5320" s="18" t="n">
        <f aca="false">'SALES Raw'!G3498</f>
        <v>4420036</v>
      </c>
      <c r="B5320" s="18" t="str">
        <f aca="false">'SALES Raw'!B3498</f>
        <v>301CM-41-45</v>
      </c>
      <c r="C5320" s="18" t="str">
        <f aca="false">'SALES Raw'!H3498</f>
        <v>301CM 41-45 'רפידת ג'ל בז</v>
      </c>
      <c r="D5320" s="19" t="n">
        <f aca="false">'SALES Raw'!C3498</f>
        <v>36</v>
      </c>
      <c r="E5320" s="19" t="n">
        <f aca="false">'SALES Raw'!D3498</f>
        <v>1061.57</v>
      </c>
      <c r="F5320" s="19" t="n">
        <f aca="false">'SALES Raw'!E3498*$H$4</f>
        <v>0</v>
      </c>
      <c r="G5320" s="19" t="n">
        <f aca="false">'SALES Raw'!F3498*$H$4</f>
        <v>0</v>
      </c>
      <c r="H5320" s="18" t="str">
        <f aca="false">'SALES Raw'!A3498</f>
        <v>207 - Salus HUNGARY</v>
      </c>
    </row>
    <row r="5321" customFormat="false" ht="15" hidden="false" customHeight="false" outlineLevel="0" collapsed="false">
      <c r="A5321" s="18" t="n">
        <f aca="false">'SALES Raw'!G3510</f>
        <v>4415297</v>
      </c>
      <c r="B5321" s="18" t="str">
        <f aca="false">'SALES Raw'!B3510</f>
        <v>313 0</v>
      </c>
      <c r="C5321" s="18" t="str">
        <f aca="false">'SALES Raw'!H3510</f>
        <v>313 סט פלסטרים נגד שפשופים</v>
      </c>
      <c r="D5321" s="19" t="n">
        <f aca="false">'SALES Raw'!C3510</f>
        <v>10</v>
      </c>
      <c r="E5321" s="19" t="n">
        <f aca="false">'SALES Raw'!D3510</f>
        <v>135.24</v>
      </c>
      <c r="F5321" s="19" t="n">
        <f aca="false">'SALES Raw'!E3510*$H$4</f>
        <v>0</v>
      </c>
      <c r="G5321" s="19" t="n">
        <f aca="false">'SALES Raw'!F3510*$H$4</f>
        <v>0</v>
      </c>
      <c r="H5321" s="18" t="str">
        <f aca="false">'SALES Raw'!A3510</f>
        <v>207 - Salus HUNGARY</v>
      </c>
    </row>
    <row r="5322" customFormat="false" ht="15" hidden="false" customHeight="false" outlineLevel="0" collapsed="false">
      <c r="A5322" s="18" t="n">
        <f aca="false">'SALES Raw'!G3513</f>
        <v>4415013</v>
      </c>
      <c r="B5322" s="18" t="str">
        <f aca="false">'SALES Raw'!B3513</f>
        <v>32 XL</v>
      </c>
      <c r="C5322" s="18" t="str">
        <f aca="false">'SALES Raw'!H3513</f>
        <v>32 XL סד קרסול+מוטות אלומיניום</v>
      </c>
      <c r="D5322" s="19" t="n">
        <f aca="false">'SALES Raw'!C3513</f>
        <v>25</v>
      </c>
      <c r="E5322" s="19" t="n">
        <f aca="false">'SALES Raw'!D3513</f>
        <v>1802.01</v>
      </c>
      <c r="F5322" s="19" t="n">
        <f aca="false">'SALES Raw'!E3513*$H$4</f>
        <v>0</v>
      </c>
      <c r="G5322" s="19" t="n">
        <f aca="false">'SALES Raw'!F3513*$H$4</f>
        <v>0</v>
      </c>
      <c r="H5322" s="18" t="str">
        <f aca="false">'SALES Raw'!A3513</f>
        <v>207 - Salus HUNGARY</v>
      </c>
    </row>
    <row r="5323" customFormat="false" ht="15" hidden="false" customHeight="false" outlineLevel="0" collapsed="false">
      <c r="A5323" s="18" t="str">
        <f aca="false">'SALES Raw'!G3514</f>
        <v/>
      </c>
      <c r="B5323" s="18" t="str">
        <f aca="false">'SALES Raw'!B3514</f>
        <v>32 XXL</v>
      </c>
      <c r="C5323" s="18" t="str">
        <f aca="false">'SALES Raw'!H3514</f>
        <v>32 XXL</v>
      </c>
      <c r="D5323" s="19" t="n">
        <f aca="false">'SALES Raw'!C3514</f>
        <v>22</v>
      </c>
      <c r="E5323" s="19" t="n">
        <f aca="false">'SALES Raw'!D3514</f>
        <v>1683.08</v>
      </c>
      <c r="F5323" s="19" t="n">
        <f aca="false">'SALES Raw'!E3514*$H$4</f>
        <v>0</v>
      </c>
      <c r="G5323" s="19" t="n">
        <f aca="false">'SALES Raw'!F3514*$H$4</f>
        <v>0</v>
      </c>
      <c r="H5323" s="18" t="str">
        <f aca="false">'SALES Raw'!A3514</f>
        <v>207 - Salus HUNGARY</v>
      </c>
    </row>
    <row r="5324" customFormat="false" ht="15" hidden="false" customHeight="false" outlineLevel="0" collapsed="false">
      <c r="A5324" s="18" t="n">
        <f aca="false">'SALES Raw'!G3515</f>
        <v>4402007</v>
      </c>
      <c r="B5324" s="18" t="str">
        <f aca="false">'SALES Raw'!B3515</f>
        <v>320 0</v>
      </c>
      <c r="C5324" s="18" t="str">
        <f aca="false">'SALES Raw'!H3515</f>
        <v>320 בליסטר פלסטר</v>
      </c>
      <c r="D5324" s="19" t="n">
        <f aca="false">'SALES Raw'!C3515</f>
        <v>24</v>
      </c>
      <c r="E5324" s="19" t="n">
        <f aca="false">'SALES Raw'!D3515</f>
        <v>155.32</v>
      </c>
      <c r="F5324" s="19" t="n">
        <f aca="false">'SALES Raw'!E3515*$H$4</f>
        <v>0</v>
      </c>
      <c r="G5324" s="19" t="n">
        <f aca="false">'SALES Raw'!F3515*$H$4</f>
        <v>0</v>
      </c>
      <c r="H5324" s="18" t="str">
        <f aca="false">'SALES Raw'!A3515</f>
        <v>207 - Salus HUNGARY</v>
      </c>
    </row>
    <row r="5325" customFormat="false" ht="15" hidden="false" customHeight="false" outlineLevel="0" collapsed="false">
      <c r="A5325" s="18" t="str">
        <f aca="false">'SALES Raw'!G3516</f>
        <v/>
      </c>
      <c r="B5325" s="18" t="str">
        <f aca="false">'SALES Raw'!B3516</f>
        <v>332B XL</v>
      </c>
      <c r="C5325" s="18" t="str">
        <f aca="false">'SALES Raw'!H3516</f>
        <v>332B XL</v>
      </c>
      <c r="D5325" s="19" t="n">
        <f aca="false">'SALES Raw'!C3516</f>
        <v>1</v>
      </c>
      <c r="E5325" s="19" t="n">
        <f aca="false">'SALES Raw'!D3516</f>
        <v>60.86</v>
      </c>
      <c r="F5325" s="19" t="n">
        <f aca="false">'SALES Raw'!E3516*$H$4</f>
        <v>0</v>
      </c>
      <c r="G5325" s="19" t="n">
        <f aca="false">'SALES Raw'!F3516*$H$4</f>
        <v>0</v>
      </c>
      <c r="H5325" s="18" t="str">
        <f aca="false">'SALES Raw'!A3516</f>
        <v>207 - Salus HUNGARY</v>
      </c>
    </row>
    <row r="5326" customFormat="false" ht="15" hidden="false" customHeight="false" outlineLevel="0" collapsed="false">
      <c r="A5326" s="18" t="n">
        <f aca="false">'SALES Raw'!G3520</f>
        <v>4413044</v>
      </c>
      <c r="B5326" s="18" t="str">
        <f aca="false">'SALES Raw'!B3520</f>
        <v>34 XL</v>
      </c>
      <c r="C5326" s="18" t="str">
        <f aca="false">'SALES Raw'!H3520</f>
        <v>34 XL מגן קרסול עקב סגור</v>
      </c>
      <c r="D5326" s="19" t="n">
        <f aca="false">'SALES Raw'!C3520</f>
        <v>60</v>
      </c>
      <c r="E5326" s="19" t="n">
        <f aca="false">'SALES Raw'!D3520</f>
        <v>1308.91</v>
      </c>
      <c r="F5326" s="19" t="n">
        <f aca="false">'SALES Raw'!E3520*$H$4</f>
        <v>0</v>
      </c>
      <c r="G5326" s="19" t="n">
        <f aca="false">'SALES Raw'!F3520*$H$4</f>
        <v>0</v>
      </c>
      <c r="H5326" s="18" t="str">
        <f aca="false">'SALES Raw'!A3520</f>
        <v>207 - Salus HUNGARY</v>
      </c>
    </row>
    <row r="5327" customFormat="false" ht="15" hidden="false" customHeight="false" outlineLevel="0" collapsed="false">
      <c r="A5327" s="18" t="n">
        <f aca="false">'SALES Raw'!G3535</f>
        <v>4421001</v>
      </c>
      <c r="B5327" s="18" t="str">
        <f aca="false">'SALES Raw'!B3535</f>
        <v>3611 0</v>
      </c>
      <c r="C5327" s="18" t="str">
        <f aca="false">'SALES Raw'!H3535</f>
        <v>3611 שרוול מטטרזלי מסיליקון</v>
      </c>
      <c r="D5327" s="19" t="n">
        <f aca="false">'SALES Raw'!C3535</f>
        <v>10</v>
      </c>
      <c r="E5327" s="19" t="n">
        <f aca="false">'SALES Raw'!D3535</f>
        <v>297.52</v>
      </c>
      <c r="F5327" s="19" t="n">
        <f aca="false">'SALES Raw'!E3535*$H$4</f>
        <v>0</v>
      </c>
      <c r="G5327" s="19" t="n">
        <f aca="false">'SALES Raw'!F3535*$H$4</f>
        <v>0</v>
      </c>
      <c r="H5327" s="18" t="str">
        <f aca="false">'SALES Raw'!A3535</f>
        <v>207 - Salus HUNGARY</v>
      </c>
    </row>
    <row r="5328" customFormat="false" ht="15" hidden="false" customHeight="false" outlineLevel="0" collapsed="false">
      <c r="A5328" s="18" t="n">
        <f aca="false">'SALES Raw'!G3538</f>
        <v>4413059</v>
      </c>
      <c r="B5328" s="18" t="str">
        <f aca="false">'SALES Raw'!B3538</f>
        <v>364-S-L</v>
      </c>
      <c r="C5328" s="18" t="str">
        <f aca="false">'SALES Raw'!H3538</f>
        <v>364S Lמפר.אצבע סיליק. ליבל.זוג</v>
      </c>
      <c r="D5328" s="19" t="n">
        <f aca="false">'SALES Raw'!C3538</f>
        <v>48</v>
      </c>
      <c r="E5328" s="19" t="n">
        <f aca="false">'SALES Raw'!D3538</f>
        <v>296.09</v>
      </c>
      <c r="F5328" s="19" t="n">
        <f aca="false">'SALES Raw'!E3538*$H$4</f>
        <v>0</v>
      </c>
      <c r="G5328" s="19" t="n">
        <f aca="false">'SALES Raw'!F3538*$H$4</f>
        <v>0</v>
      </c>
      <c r="H5328" s="18" t="str">
        <f aca="false">'SALES Raw'!A3538</f>
        <v>207 - Salus HUNGARY</v>
      </c>
    </row>
    <row r="5329" customFormat="false" ht="15" hidden="false" customHeight="false" outlineLevel="0" collapsed="false">
      <c r="A5329" s="18" t="n">
        <f aca="false">'SALES Raw'!G3540</f>
        <v>4413061</v>
      </c>
      <c r="B5329" s="18" t="str">
        <f aca="false">'SALES Raw'!B3540</f>
        <v>3641 0</v>
      </c>
      <c r="C5329" s="18" t="str">
        <f aca="false">'SALES Raw'!H3540</f>
        <v>3641-מיישר בוהן סיליקון קשיח</v>
      </c>
      <c r="D5329" s="19" t="n">
        <f aca="false">'SALES Raw'!C3540</f>
        <v>15</v>
      </c>
      <c r="E5329" s="19" t="n">
        <f aca="false">'SALES Raw'!D3540</f>
        <v>119.33</v>
      </c>
      <c r="F5329" s="19" t="n">
        <f aca="false">'SALES Raw'!E3540*$H$4</f>
        <v>0</v>
      </c>
      <c r="G5329" s="19" t="n">
        <f aca="false">'SALES Raw'!F3540*$H$4</f>
        <v>0</v>
      </c>
      <c r="H5329" s="18" t="str">
        <f aca="false">'SALES Raw'!A3540</f>
        <v>207 - Salus HUNGARY</v>
      </c>
    </row>
    <row r="5330" customFormat="false" ht="15" hidden="false" customHeight="false" outlineLevel="0" collapsed="false">
      <c r="A5330" s="18" t="n">
        <f aca="false">'SALES Raw'!G3550</f>
        <v>4420000</v>
      </c>
      <c r="B5330" s="18" t="str">
        <f aca="false">'SALES Raw'!B3550</f>
        <v>370 0</v>
      </c>
      <c r="C5330" s="18" t="str">
        <f aca="false">'SALES Raw'!H3550</f>
        <v>370  רפידת נוחות-זוג</v>
      </c>
      <c r="D5330" s="19" t="n">
        <f aca="false">'SALES Raw'!C3550</f>
        <v>10</v>
      </c>
      <c r="E5330" s="19" t="n">
        <f aca="false">'SALES Raw'!D3550</f>
        <v>82.73</v>
      </c>
      <c r="F5330" s="19" t="n">
        <f aca="false">'SALES Raw'!E3550*$H$4</f>
        <v>0</v>
      </c>
      <c r="G5330" s="19" t="n">
        <f aca="false">'SALES Raw'!F3550*$H$4</f>
        <v>0</v>
      </c>
      <c r="H5330" s="18" t="str">
        <f aca="false">'SALES Raw'!A3550</f>
        <v>207 - Salus HUNGARY</v>
      </c>
    </row>
    <row r="5331" customFormat="false" ht="15" hidden="false" customHeight="false" outlineLevel="0" collapsed="false">
      <c r="A5331" s="18" t="n">
        <f aca="false">'SALES Raw'!G3551</f>
        <v>4420001</v>
      </c>
      <c r="B5331" s="18" t="str">
        <f aca="false">'SALES Raw'!B3551</f>
        <v>371 0</v>
      </c>
      <c r="C5331" s="18" t="str">
        <f aca="false">'SALES Raw'!H3551</f>
        <v>371 רפידת מגבת כותנה-זוג</v>
      </c>
      <c r="D5331" s="19" t="n">
        <f aca="false">'SALES Raw'!C3551</f>
        <v>10</v>
      </c>
      <c r="E5331" s="19" t="n">
        <f aca="false">'SALES Raw'!D3551</f>
        <v>82.73</v>
      </c>
      <c r="F5331" s="19" t="n">
        <f aca="false">'SALES Raw'!E3551*$H$4</f>
        <v>0</v>
      </c>
      <c r="G5331" s="19" t="n">
        <f aca="false">'SALES Raw'!F3551*$H$4</f>
        <v>0</v>
      </c>
      <c r="H5331" s="18" t="str">
        <f aca="false">'SALES Raw'!A3551</f>
        <v>207 - Salus HUNGARY</v>
      </c>
    </row>
    <row r="5332" customFormat="false" ht="15" hidden="false" customHeight="false" outlineLevel="0" collapsed="false">
      <c r="A5332" s="18" t="n">
        <f aca="false">'SALES Raw'!G3552</f>
        <v>4420002</v>
      </c>
      <c r="B5332" s="18" t="str">
        <f aca="false">'SALES Raw'!B3552</f>
        <v>372 0</v>
      </c>
      <c r="C5332" s="18" t="str">
        <f aca="false">'SALES Raw'!H3552</f>
        <v>372 רפידת אנטי ריח -זוג</v>
      </c>
      <c r="D5332" s="19" t="n">
        <f aca="false">'SALES Raw'!C3552</f>
        <v>10</v>
      </c>
      <c r="E5332" s="19" t="n">
        <f aca="false">'SALES Raw'!D3552</f>
        <v>98.64</v>
      </c>
      <c r="F5332" s="19" t="n">
        <f aca="false">'SALES Raw'!E3552*$H$4</f>
        <v>0</v>
      </c>
      <c r="G5332" s="19" t="n">
        <f aca="false">'SALES Raw'!F3552*$H$4</f>
        <v>0</v>
      </c>
      <c r="H5332" s="18" t="str">
        <f aca="false">'SALES Raw'!A3552</f>
        <v>207 - Salus HUNGARY</v>
      </c>
    </row>
    <row r="5333" customFormat="false" ht="15" hidden="false" customHeight="false" outlineLevel="0" collapsed="false">
      <c r="A5333" s="18" t="n">
        <f aca="false">'SALES Raw'!G3553</f>
        <v>4420003</v>
      </c>
      <c r="B5333" s="18" t="str">
        <f aca="false">'SALES Raw'!B3553</f>
        <v>374 0</v>
      </c>
      <c r="C5333" s="18" t="str">
        <f aca="false">'SALES Raw'!H3553</f>
        <v>374 רפידת בולמת זעזועים -זוג</v>
      </c>
      <c r="D5333" s="19" t="n">
        <f aca="false">'SALES Raw'!C3553</f>
        <v>10</v>
      </c>
      <c r="E5333" s="19" t="n">
        <f aca="false">'SALES Raw'!D3553</f>
        <v>98.64</v>
      </c>
      <c r="F5333" s="19" t="n">
        <f aca="false">'SALES Raw'!E3553*$H$4</f>
        <v>0</v>
      </c>
      <c r="G5333" s="19" t="n">
        <f aca="false">'SALES Raw'!F3553*$H$4</f>
        <v>0</v>
      </c>
      <c r="H5333" s="18" t="str">
        <f aca="false">'SALES Raw'!A3553</f>
        <v>207 - Salus HUNGARY</v>
      </c>
    </row>
    <row r="5334" customFormat="false" ht="15" hidden="false" customHeight="false" outlineLevel="0" collapsed="false">
      <c r="A5334" s="18" t="str">
        <f aca="false">'SALES Raw'!G3555</f>
        <v/>
      </c>
      <c r="B5334" s="18" t="str">
        <f aca="false">'SALES Raw'!B3555</f>
        <v>376-38-40</v>
      </c>
      <c r="C5334" s="18" t="str">
        <f aca="false">'SALES Raw'!H3555</f>
        <v>376-38-40</v>
      </c>
      <c r="D5334" s="19" t="n">
        <f aca="false">'SALES Raw'!C3555</f>
        <v>40</v>
      </c>
      <c r="E5334" s="19" t="n">
        <f aca="false">'SALES Raw'!D3555</f>
        <v>551.76</v>
      </c>
      <c r="F5334" s="19" t="n">
        <f aca="false">'SALES Raw'!E3555*$H$4</f>
        <v>0</v>
      </c>
      <c r="G5334" s="19" t="n">
        <f aca="false">'SALES Raw'!F3555*$H$4</f>
        <v>0</v>
      </c>
      <c r="H5334" s="18" t="str">
        <f aca="false">'SALES Raw'!A3555</f>
        <v>207 - Salus HUNGARY</v>
      </c>
    </row>
    <row r="5335" customFormat="false" ht="15" hidden="false" customHeight="false" outlineLevel="0" collapsed="false">
      <c r="A5335" s="18" t="n">
        <f aca="false">'SALES Raw'!G3558</f>
        <v>4413523</v>
      </c>
      <c r="B5335" s="18" t="str">
        <f aca="false">'SALES Raw'!B3558</f>
        <v>379COM-35-38</v>
      </c>
      <c r="C5335" s="18" t="str">
        <f aca="false">'SALES Raw'!H3558</f>
        <v>35-38 מדרסי אפיק ג'ל נוחות</v>
      </c>
      <c r="D5335" s="19" t="n">
        <f aca="false">'SALES Raw'!C3558</f>
        <v>6</v>
      </c>
      <c r="E5335" s="19" t="n">
        <f aca="false">'SALES Raw'!D3558</f>
        <v>249.57</v>
      </c>
      <c r="F5335" s="19" t="n">
        <f aca="false">'SALES Raw'!E3558*$H$4</f>
        <v>0</v>
      </c>
      <c r="G5335" s="19" t="n">
        <f aca="false">'SALES Raw'!F3558*$H$4</f>
        <v>0</v>
      </c>
      <c r="H5335" s="18" t="str">
        <f aca="false">'SALES Raw'!A3558</f>
        <v>207 - Salus HUNGARY</v>
      </c>
    </row>
    <row r="5336" customFormat="false" ht="15" hidden="false" customHeight="false" outlineLevel="0" collapsed="false">
      <c r="A5336" s="18" t="n">
        <f aca="false">'SALES Raw'!G3561</f>
        <v>4413520</v>
      </c>
      <c r="B5336" s="18" t="str">
        <f aca="false">'SALES Raw'!B3561</f>
        <v>379MSP-35-38</v>
      </c>
      <c r="C5336" s="18" t="str">
        <f aca="false">'SALES Raw'!H3561</f>
        <v>מדרסי אפיק ג'ל מולט.ספורט35-38</v>
      </c>
      <c r="D5336" s="19" t="n">
        <f aca="false">'SALES Raw'!C3561</f>
        <v>6</v>
      </c>
      <c r="E5336" s="19" t="n">
        <f aca="false">'SALES Raw'!D3561</f>
        <v>249.57</v>
      </c>
      <c r="F5336" s="19" t="n">
        <f aca="false">'SALES Raw'!E3561*$H$4</f>
        <v>0</v>
      </c>
      <c r="G5336" s="19" t="n">
        <f aca="false">'SALES Raw'!F3561*$H$4</f>
        <v>0</v>
      </c>
      <c r="H5336" s="18" t="str">
        <f aca="false">'SALES Raw'!A3561</f>
        <v>207 - Salus HUNGARY</v>
      </c>
    </row>
    <row r="5337" customFormat="false" ht="15" hidden="false" customHeight="false" outlineLevel="0" collapsed="false">
      <c r="A5337" s="18" t="n">
        <f aca="false">'SALES Raw'!G3569</f>
        <v>4415298</v>
      </c>
      <c r="B5337" s="18" t="str">
        <f aca="false">'SALES Raw'!B3569</f>
        <v>388BL 0</v>
      </c>
      <c r="C5337" s="18" t="str">
        <f aca="false">'SALES Raw'!H3569</f>
        <v>388B L סד לילה שחור לבוהן שמאל</v>
      </c>
      <c r="D5337" s="19" t="n">
        <f aca="false">'SALES Raw'!C3569</f>
        <v>1</v>
      </c>
      <c r="E5337" s="19" t="n">
        <f aca="false">'SALES Raw'!D3569</f>
        <v>0.03</v>
      </c>
      <c r="F5337" s="19" t="n">
        <f aca="false">'SALES Raw'!E3569*$H$4</f>
        <v>0</v>
      </c>
      <c r="G5337" s="19" t="n">
        <f aca="false">'SALES Raw'!F3569*$H$4</f>
        <v>0</v>
      </c>
      <c r="H5337" s="18" t="str">
        <f aca="false">'SALES Raw'!A3569</f>
        <v>207 - Salus HUNGARY</v>
      </c>
    </row>
    <row r="5338" customFormat="false" ht="15" hidden="false" customHeight="false" outlineLevel="0" collapsed="false">
      <c r="A5338" s="18" t="n">
        <f aca="false">'SALES Raw'!G3570</f>
        <v>4415299</v>
      </c>
      <c r="B5338" s="18" t="str">
        <f aca="false">'SALES Raw'!B3570</f>
        <v>388BR 0</v>
      </c>
      <c r="C5338" s="18" t="str">
        <f aca="false">'SALES Raw'!H3570</f>
        <v>388B L סד לילה שחור לבוהן ימין</v>
      </c>
      <c r="D5338" s="19" t="n">
        <f aca="false">'SALES Raw'!C3570</f>
        <v>1</v>
      </c>
      <c r="E5338" s="19" t="n">
        <f aca="false">'SALES Raw'!D3570</f>
        <v>0.03</v>
      </c>
      <c r="F5338" s="19" t="n">
        <f aca="false">'SALES Raw'!E3570*$H$4</f>
        <v>0</v>
      </c>
      <c r="G5338" s="19" t="n">
        <f aca="false">'SALES Raw'!F3570*$H$4</f>
        <v>0</v>
      </c>
      <c r="H5338" s="18" t="str">
        <f aca="false">'SALES Raw'!A3570</f>
        <v>207 - Salus HUNGARY</v>
      </c>
    </row>
    <row r="5339" customFormat="false" ht="15" hidden="false" customHeight="false" outlineLevel="0" collapsed="false">
      <c r="A5339" s="18" t="str">
        <f aca="false">'SALES Raw'!G3571</f>
        <v/>
      </c>
      <c r="B5339" s="18" t="str">
        <f aca="false">'SALES Raw'!B3571</f>
        <v>391W-39-42</v>
      </c>
      <c r="C5339" s="18" t="str">
        <f aca="false">'SALES Raw'!H3571</f>
        <v>391W-39-42</v>
      </c>
      <c r="D5339" s="19" t="n">
        <f aca="false">'SALES Raw'!C3571</f>
        <v>1</v>
      </c>
      <c r="E5339" s="19" t="n">
        <f aca="false">'SALES Raw'!D3571</f>
        <v>0.03</v>
      </c>
      <c r="F5339" s="19" t="n">
        <f aca="false">'SALES Raw'!E3571*$H$4</f>
        <v>0</v>
      </c>
      <c r="G5339" s="19" t="n">
        <f aca="false">'SALES Raw'!F3571*$H$4</f>
        <v>0</v>
      </c>
      <c r="H5339" s="18" t="str">
        <f aca="false">'SALES Raw'!A3571</f>
        <v>207 - Salus HUNGARY</v>
      </c>
    </row>
    <row r="5340" customFormat="false" ht="15" hidden="false" customHeight="false" outlineLevel="0" collapsed="false">
      <c r="A5340" s="18" t="n">
        <f aca="false">'SALES Raw'!G3572</f>
        <v>4403045</v>
      </c>
      <c r="B5340" s="18" t="str">
        <f aca="false">'SALES Raw'!B3572</f>
        <v>395B-43-46</v>
      </c>
      <c r="C5340" s="18" t="str">
        <f aca="false">'SALES Raw'!H3572</f>
        <v>395B גרבי קיץ אנטי בקטריא43-46</v>
      </c>
      <c r="D5340" s="19" t="n">
        <f aca="false">'SALES Raw'!C3572</f>
        <v>1</v>
      </c>
      <c r="E5340" s="19" t="n">
        <f aca="false">'SALES Raw'!D3572</f>
        <v>0.03</v>
      </c>
      <c r="F5340" s="19" t="n">
        <f aca="false">'SALES Raw'!E3572*$H$4</f>
        <v>0</v>
      </c>
      <c r="G5340" s="19" t="n">
        <f aca="false">'SALES Raw'!F3572*$H$4</f>
        <v>0</v>
      </c>
      <c r="H5340" s="18" t="str">
        <f aca="false">'SALES Raw'!A3572</f>
        <v>207 - Salus HUNGARY</v>
      </c>
    </row>
    <row r="5341" customFormat="false" ht="15" hidden="false" customHeight="false" outlineLevel="0" collapsed="false">
      <c r="A5341" s="18" t="n">
        <f aca="false">'SALES Raw'!G3573</f>
        <v>4403041</v>
      </c>
      <c r="B5341" s="18" t="str">
        <f aca="false">'SALES Raw'!B3573</f>
        <v>397A-35-38</v>
      </c>
      <c r="C5341" s="18" t="str">
        <f aca="false">'SALES Raw'!H3573</f>
        <v>397A-גרבי טיסה אנטי בקטרי35-38</v>
      </c>
      <c r="D5341" s="19" t="n">
        <f aca="false">'SALES Raw'!C3573</f>
        <v>1</v>
      </c>
      <c r="E5341" s="19" t="n">
        <f aca="false">'SALES Raw'!D3573</f>
        <v>0.03</v>
      </c>
      <c r="F5341" s="19" t="n">
        <f aca="false">'SALES Raw'!E3573*$H$4</f>
        <v>0</v>
      </c>
      <c r="G5341" s="19" t="n">
        <f aca="false">'SALES Raw'!F3573*$H$4</f>
        <v>0</v>
      </c>
      <c r="H5341" s="18" t="str">
        <f aca="false">'SALES Raw'!A3573</f>
        <v>207 - Salus HUNGARY</v>
      </c>
    </row>
    <row r="5342" customFormat="false" ht="15" hidden="false" customHeight="false" outlineLevel="0" collapsed="false">
      <c r="A5342" s="18" t="n">
        <f aca="false">'SALES Raw'!G3575</f>
        <v>4413072</v>
      </c>
      <c r="B5342" s="18" t="str">
        <f aca="false">'SALES Raw'!B3575</f>
        <v>41 L</v>
      </c>
      <c r="C5342" s="18" t="str">
        <f aca="false">'SALES Raw'!H3575</f>
        <v>41 Lמ.ברך מוצלב+ספירלות בצדדים</v>
      </c>
      <c r="D5342" s="19" t="n">
        <f aca="false">'SALES Raw'!C3575</f>
        <v>6</v>
      </c>
      <c r="E5342" s="19" t="n">
        <f aca="false">'SALES Raw'!D3575</f>
        <v>305.12</v>
      </c>
      <c r="F5342" s="19" t="n">
        <f aca="false">'SALES Raw'!E3575*$H$4</f>
        <v>0</v>
      </c>
      <c r="G5342" s="19" t="n">
        <f aca="false">'SALES Raw'!F3575*$H$4</f>
        <v>0</v>
      </c>
      <c r="H5342" s="18" t="str">
        <f aca="false">'SALES Raw'!A3575</f>
        <v>207 - Salus HUNGARY</v>
      </c>
    </row>
    <row r="5343" customFormat="false" ht="15" hidden="false" customHeight="false" outlineLevel="0" collapsed="false">
      <c r="A5343" s="18" t="n">
        <f aca="false">'SALES Raw'!G3576</f>
        <v>4413074</v>
      </c>
      <c r="B5343" s="18" t="str">
        <f aca="false">'SALES Raw'!B3576</f>
        <v>41 XL</v>
      </c>
      <c r="C5343" s="18" t="str">
        <f aca="false">'SALES Raw'!H3576</f>
        <v>41  XL.מ.ברך מוצלב+ספירלות בצד</v>
      </c>
      <c r="D5343" s="19" t="n">
        <f aca="false">'SALES Raw'!C3576</f>
        <v>6</v>
      </c>
      <c r="E5343" s="19" t="n">
        <f aca="false">'SALES Raw'!D3576</f>
        <v>305.12</v>
      </c>
      <c r="F5343" s="19" t="n">
        <f aca="false">'SALES Raw'!E3576*$H$4</f>
        <v>0</v>
      </c>
      <c r="G5343" s="19" t="n">
        <f aca="false">'SALES Raw'!F3576*$H$4</f>
        <v>0</v>
      </c>
      <c r="H5343" s="18" t="str">
        <f aca="false">'SALES Raw'!A3576</f>
        <v>207 - Salus HUNGARY</v>
      </c>
    </row>
    <row r="5344" customFormat="false" ht="15" hidden="false" customHeight="false" outlineLevel="0" collapsed="false">
      <c r="A5344" s="18" t="str">
        <f aca="false">'SALES Raw'!G3597</f>
        <v/>
      </c>
      <c r="B5344" s="18" t="str">
        <f aca="false">'SALES Raw'!B3597</f>
        <v>59DB L</v>
      </c>
      <c r="C5344" s="18" t="str">
        <f aca="false">'SALES Raw'!H3597</f>
        <v>59DB L</v>
      </c>
      <c r="D5344" s="19" t="n">
        <f aca="false">'SALES Raw'!C3597</f>
        <v>5</v>
      </c>
      <c r="E5344" s="19" t="n">
        <f aca="false">'SALES Raw'!D3597</f>
        <v>445.48</v>
      </c>
      <c r="F5344" s="19" t="n">
        <f aca="false">'SALES Raw'!E3597*$H$4</f>
        <v>0</v>
      </c>
      <c r="G5344" s="19" t="n">
        <f aca="false">'SALES Raw'!F3597*$H$4</f>
        <v>0</v>
      </c>
      <c r="H5344" s="18" t="str">
        <f aca="false">'SALES Raw'!A3597</f>
        <v>207 - Salus HUNGARY</v>
      </c>
    </row>
    <row r="5345" customFormat="false" ht="15" hidden="false" customHeight="false" outlineLevel="0" collapsed="false">
      <c r="A5345" s="18" t="str">
        <f aca="false">'SALES Raw'!G3598</f>
        <v/>
      </c>
      <c r="B5345" s="18" t="str">
        <f aca="false">'SALES Raw'!B3598</f>
        <v>59DB M</v>
      </c>
      <c r="C5345" s="18" t="str">
        <f aca="false">'SALES Raw'!H3598</f>
        <v>59DB M</v>
      </c>
      <c r="D5345" s="19" t="n">
        <f aca="false">'SALES Raw'!C3598</f>
        <v>5</v>
      </c>
      <c r="E5345" s="19" t="n">
        <f aca="false">'SALES Raw'!D3598</f>
        <v>445.48</v>
      </c>
      <c r="F5345" s="19" t="n">
        <f aca="false">'SALES Raw'!E3598*$H$4</f>
        <v>0</v>
      </c>
      <c r="G5345" s="19" t="n">
        <f aca="false">'SALES Raw'!F3598*$H$4</f>
        <v>0</v>
      </c>
      <c r="H5345" s="18" t="str">
        <f aca="false">'SALES Raw'!A3598</f>
        <v>207 - Salus HUNGARY</v>
      </c>
    </row>
    <row r="5346" customFormat="false" ht="15" hidden="false" customHeight="false" outlineLevel="0" collapsed="false">
      <c r="A5346" s="18" t="str">
        <f aca="false">'SALES Raw'!G3599</f>
        <v/>
      </c>
      <c r="B5346" s="18" t="str">
        <f aca="false">'SALES Raw'!B3599</f>
        <v>59DB S</v>
      </c>
      <c r="C5346" s="18" t="str">
        <f aca="false">'SALES Raw'!H3599</f>
        <v>59DB S</v>
      </c>
      <c r="D5346" s="19" t="n">
        <f aca="false">'SALES Raw'!C3599</f>
        <v>5</v>
      </c>
      <c r="E5346" s="19" t="n">
        <f aca="false">'SALES Raw'!D3599</f>
        <v>445.48</v>
      </c>
      <c r="F5346" s="19" t="n">
        <f aca="false">'SALES Raw'!E3599*$H$4</f>
        <v>0</v>
      </c>
      <c r="G5346" s="19" t="n">
        <f aca="false">'SALES Raw'!F3599*$H$4</f>
        <v>0</v>
      </c>
      <c r="H5346" s="18" t="str">
        <f aca="false">'SALES Raw'!A3599</f>
        <v>207 - Salus HUNGARY</v>
      </c>
    </row>
    <row r="5347" customFormat="false" ht="15" hidden="false" customHeight="false" outlineLevel="0" collapsed="false">
      <c r="A5347" s="18" t="str">
        <f aca="false">'SALES Raw'!G3600</f>
        <v/>
      </c>
      <c r="B5347" s="18" t="str">
        <f aca="false">'SALES Raw'!B3600</f>
        <v>59DB XL</v>
      </c>
      <c r="C5347" s="18" t="str">
        <f aca="false">'SALES Raw'!H3600</f>
        <v>59DB XL</v>
      </c>
      <c r="D5347" s="19" t="n">
        <f aca="false">'SALES Raw'!C3600</f>
        <v>5</v>
      </c>
      <c r="E5347" s="19" t="n">
        <f aca="false">'SALES Raw'!D3600</f>
        <v>445.48</v>
      </c>
      <c r="F5347" s="19" t="n">
        <f aca="false">'SALES Raw'!E3600*$H$4</f>
        <v>0</v>
      </c>
      <c r="G5347" s="19" t="n">
        <f aca="false">'SALES Raw'!F3600*$H$4</f>
        <v>0</v>
      </c>
      <c r="H5347" s="18" t="str">
        <f aca="false">'SALES Raw'!A3600</f>
        <v>207 - Salus HUNGARY</v>
      </c>
    </row>
    <row r="5348" customFormat="false" ht="15" hidden="false" customHeight="false" outlineLevel="0" collapsed="false">
      <c r="A5348" s="18" t="str">
        <f aca="false">'SALES Raw'!G3601</f>
        <v/>
      </c>
      <c r="B5348" s="18" t="str">
        <f aca="false">'SALES Raw'!B3601</f>
        <v>59DB XXL</v>
      </c>
      <c r="C5348" s="18" t="str">
        <f aca="false">'SALES Raw'!H3601</f>
        <v>59DB XXL</v>
      </c>
      <c r="D5348" s="19" t="n">
        <f aca="false">'SALES Raw'!C3601</f>
        <v>5</v>
      </c>
      <c r="E5348" s="19" t="n">
        <f aca="false">'SALES Raw'!D3601</f>
        <v>445.48</v>
      </c>
      <c r="F5348" s="19" t="n">
        <f aca="false">'SALES Raw'!E3601*$H$4</f>
        <v>0</v>
      </c>
      <c r="G5348" s="19" t="n">
        <f aca="false">'SALES Raw'!F3601*$H$4</f>
        <v>0</v>
      </c>
      <c r="H5348" s="18" t="str">
        <f aca="false">'SALES Raw'!A3601</f>
        <v>207 - Salus HUNGARY</v>
      </c>
    </row>
    <row r="5349" customFormat="false" ht="15" hidden="false" customHeight="false" outlineLevel="0" collapsed="false">
      <c r="A5349" s="18" t="str">
        <f aca="false">'SALES Raw'!G3604</f>
        <v/>
      </c>
      <c r="B5349" s="18" t="str">
        <f aca="false">'SALES Raw'!B3604</f>
        <v>59LB S</v>
      </c>
      <c r="C5349" s="18" t="str">
        <f aca="false">'SALES Raw'!H3604</f>
        <v>59LB S</v>
      </c>
      <c r="D5349" s="19" t="n">
        <f aca="false">'SALES Raw'!C3604</f>
        <v>5</v>
      </c>
      <c r="E5349" s="19" t="n">
        <f aca="false">'SALES Raw'!D3604</f>
        <v>405.71</v>
      </c>
      <c r="F5349" s="19" t="n">
        <f aca="false">'SALES Raw'!E3604*$H$4</f>
        <v>0</v>
      </c>
      <c r="G5349" s="19" t="n">
        <f aca="false">'SALES Raw'!F3604*$H$4</f>
        <v>0</v>
      </c>
      <c r="H5349" s="18" t="str">
        <f aca="false">'SALES Raw'!A3604</f>
        <v>207 - Salus HUNGARY</v>
      </c>
    </row>
    <row r="5350" customFormat="false" ht="15" hidden="false" customHeight="false" outlineLevel="0" collapsed="false">
      <c r="A5350" s="18" t="str">
        <f aca="false">'SALES Raw'!G3605</f>
        <v/>
      </c>
      <c r="B5350" s="18" t="str">
        <f aca="false">'SALES Raw'!B3605</f>
        <v>59LB XL</v>
      </c>
      <c r="C5350" s="18" t="str">
        <f aca="false">'SALES Raw'!H3605</f>
        <v>59LB XL</v>
      </c>
      <c r="D5350" s="19" t="n">
        <f aca="false">'SALES Raw'!C3605</f>
        <v>5</v>
      </c>
      <c r="E5350" s="19" t="n">
        <f aca="false">'SALES Raw'!D3605</f>
        <v>405.71</v>
      </c>
      <c r="F5350" s="19" t="n">
        <f aca="false">'SALES Raw'!E3605*$H$4</f>
        <v>0</v>
      </c>
      <c r="G5350" s="19" t="n">
        <f aca="false">'SALES Raw'!F3605*$H$4</f>
        <v>0</v>
      </c>
      <c r="H5350" s="18" t="str">
        <f aca="false">'SALES Raw'!A3605</f>
        <v>207 - Salus HUNGARY</v>
      </c>
    </row>
    <row r="5351" customFormat="false" ht="15" hidden="false" customHeight="false" outlineLevel="0" collapsed="false">
      <c r="A5351" s="18" t="str">
        <f aca="false">'SALES Raw'!G3606</f>
        <v/>
      </c>
      <c r="B5351" s="18" t="str">
        <f aca="false">'SALES Raw'!B3606</f>
        <v>59LB XXL</v>
      </c>
      <c r="C5351" s="18" t="str">
        <f aca="false">'SALES Raw'!H3606</f>
        <v>59LB XXL</v>
      </c>
      <c r="D5351" s="19" t="n">
        <f aca="false">'SALES Raw'!C3606</f>
        <v>5</v>
      </c>
      <c r="E5351" s="19" t="n">
        <f aca="false">'SALES Raw'!D3606</f>
        <v>405.71</v>
      </c>
      <c r="F5351" s="19" t="n">
        <f aca="false">'SALES Raw'!E3606*$H$4</f>
        <v>0</v>
      </c>
      <c r="G5351" s="19" t="n">
        <f aca="false">'SALES Raw'!F3606*$H$4</f>
        <v>0</v>
      </c>
      <c r="H5351" s="18" t="str">
        <f aca="false">'SALES Raw'!A3606</f>
        <v>207 - Salus HUNGARY</v>
      </c>
    </row>
    <row r="5352" customFormat="false" ht="15" hidden="false" customHeight="false" outlineLevel="0" collapsed="false">
      <c r="A5352" s="18" t="str">
        <f aca="false">'SALES Raw'!G3609</f>
        <v/>
      </c>
      <c r="B5352" s="18" t="str">
        <f aca="false">'SALES Raw'!B3609</f>
        <v>59RB S</v>
      </c>
      <c r="C5352" s="18" t="str">
        <f aca="false">'SALES Raw'!H3609</f>
        <v>59RB S</v>
      </c>
      <c r="D5352" s="19" t="n">
        <f aca="false">'SALES Raw'!C3609</f>
        <v>5</v>
      </c>
      <c r="E5352" s="19" t="n">
        <f aca="false">'SALES Raw'!D3609</f>
        <v>405.71</v>
      </c>
      <c r="F5352" s="19" t="n">
        <f aca="false">'SALES Raw'!E3609*$H$4</f>
        <v>0</v>
      </c>
      <c r="G5352" s="19" t="n">
        <f aca="false">'SALES Raw'!F3609*$H$4</f>
        <v>0</v>
      </c>
      <c r="H5352" s="18" t="str">
        <f aca="false">'SALES Raw'!A3609</f>
        <v>207 - Salus HUNGARY</v>
      </c>
    </row>
    <row r="5353" customFormat="false" ht="15" hidden="false" customHeight="false" outlineLevel="0" collapsed="false">
      <c r="A5353" s="18" t="str">
        <f aca="false">'SALES Raw'!G3610</f>
        <v/>
      </c>
      <c r="B5353" s="18" t="str">
        <f aca="false">'SALES Raw'!B3610</f>
        <v>59RB XL</v>
      </c>
      <c r="C5353" s="18" t="str">
        <f aca="false">'SALES Raw'!H3610</f>
        <v>59RB XL</v>
      </c>
      <c r="D5353" s="19" t="n">
        <f aca="false">'SALES Raw'!C3610</f>
        <v>5</v>
      </c>
      <c r="E5353" s="19" t="n">
        <f aca="false">'SALES Raw'!D3610</f>
        <v>405.71</v>
      </c>
      <c r="F5353" s="19" t="n">
        <f aca="false">'SALES Raw'!E3610*$H$4</f>
        <v>0</v>
      </c>
      <c r="G5353" s="19" t="n">
        <f aca="false">'SALES Raw'!F3610*$H$4</f>
        <v>0</v>
      </c>
      <c r="H5353" s="18" t="str">
        <f aca="false">'SALES Raw'!A3610</f>
        <v>207 - Salus HUNGARY</v>
      </c>
    </row>
    <row r="5354" customFormat="false" ht="15" hidden="false" customHeight="false" outlineLevel="0" collapsed="false">
      <c r="A5354" s="18" t="str">
        <f aca="false">'SALES Raw'!G3611</f>
        <v/>
      </c>
      <c r="B5354" s="18" t="str">
        <f aca="false">'SALES Raw'!B3611</f>
        <v>59RB XXL</v>
      </c>
      <c r="C5354" s="18" t="str">
        <f aca="false">'SALES Raw'!H3611</f>
        <v>59RB XXL</v>
      </c>
      <c r="D5354" s="19" t="n">
        <f aca="false">'SALES Raw'!C3611</f>
        <v>5</v>
      </c>
      <c r="E5354" s="19" t="n">
        <f aca="false">'SALES Raw'!D3611</f>
        <v>405.71</v>
      </c>
      <c r="F5354" s="19" t="n">
        <f aca="false">'SALES Raw'!E3611*$H$4</f>
        <v>0</v>
      </c>
      <c r="G5354" s="19" t="n">
        <f aca="false">'SALES Raw'!F3611*$H$4</f>
        <v>0</v>
      </c>
      <c r="H5354" s="18" t="str">
        <f aca="false">'SALES Raw'!A3611</f>
        <v>207 - Salus HUNGARY</v>
      </c>
    </row>
    <row r="5355" customFormat="false" ht="15" hidden="false" customHeight="false" outlineLevel="0" collapsed="false">
      <c r="A5355" s="18" t="n">
        <f aca="false">'SALES Raw'!G3616</f>
        <v>4413129</v>
      </c>
      <c r="B5355" s="18" t="str">
        <f aca="false">'SALES Raw'!B3616</f>
        <v>75 XL</v>
      </c>
      <c r="C5355" s="18" t="str">
        <f aca="false">'SALES Raw'!H3616</f>
        <v>75 XLמיישר כתף יציב יישור ג.צר</v>
      </c>
      <c r="D5355" s="19" t="n">
        <f aca="false">'SALES Raw'!C3616</f>
        <v>6</v>
      </c>
      <c r="E5355" s="19" t="n">
        <f aca="false">'SALES Raw'!D3616</f>
        <v>412.53</v>
      </c>
      <c r="F5355" s="19" t="n">
        <f aca="false">'SALES Raw'!E3616*$H$4</f>
        <v>0</v>
      </c>
      <c r="G5355" s="19" t="n">
        <f aca="false">'SALES Raw'!F3616*$H$4</f>
        <v>0</v>
      </c>
      <c r="H5355" s="18" t="str">
        <f aca="false">'SALES Raw'!A3616</f>
        <v>207 - Salus HUNGARY</v>
      </c>
    </row>
    <row r="5356" customFormat="false" ht="15" hidden="false" customHeight="false" outlineLevel="0" collapsed="false">
      <c r="A5356" s="18" t="n">
        <f aca="false">'SALES Raw'!G3627</f>
        <v>4413455</v>
      </c>
      <c r="B5356" s="18" t="str">
        <f aca="false">'SALES Raw'!B3627</f>
        <v>85K 0</v>
      </c>
      <c r="C5356" s="18" t="str">
        <f aca="false">'SALES Raw'!H3627</f>
        <v>85K מתלה ליד לילדים</v>
      </c>
      <c r="D5356" s="19" t="n">
        <f aca="false">'SALES Raw'!C3627</f>
        <v>150</v>
      </c>
      <c r="E5356" s="19" t="n">
        <f aca="false">'SALES Raw'!D3627</f>
        <v>3994.45</v>
      </c>
      <c r="F5356" s="19" t="n">
        <f aca="false">'SALES Raw'!E3627*$H$4</f>
        <v>0</v>
      </c>
      <c r="G5356" s="19" t="n">
        <f aca="false">'SALES Raw'!F3627*$H$4</f>
        <v>0</v>
      </c>
      <c r="H5356" s="18" t="str">
        <f aca="false">'SALES Raw'!A3627</f>
        <v>207 - Salus HUNGARY</v>
      </c>
    </row>
    <row r="5357" customFormat="false" ht="15" hidden="false" customHeight="false" outlineLevel="0" collapsed="false">
      <c r="A5357" s="18" t="n">
        <f aca="false">'SALES Raw'!G3636</f>
        <v>4415027</v>
      </c>
      <c r="B5357" s="18" t="str">
        <f aca="false">'SALES Raw'!B3636</f>
        <v>AC27R 0</v>
      </c>
      <c r="C5357" s="18" t="str">
        <f aca="false">'SALES Raw'!H3636</f>
        <v>AC-27R סד לש.כף יד ימין</v>
      </c>
      <c r="D5357" s="19" t="n">
        <f aca="false">'SALES Raw'!C3636</f>
        <v>10</v>
      </c>
      <c r="E5357" s="19" t="n">
        <f aca="false">'SALES Raw'!D3636</f>
        <v>167.69</v>
      </c>
      <c r="F5357" s="19" t="n">
        <f aca="false">'SALES Raw'!E3636*$H$4</f>
        <v>0</v>
      </c>
      <c r="G5357" s="19" t="n">
        <f aca="false">'SALES Raw'!F3636*$H$4</f>
        <v>0</v>
      </c>
      <c r="H5357" s="18" t="str">
        <f aca="false">'SALES Raw'!A3636</f>
        <v>207 - Salus HUNGARY</v>
      </c>
    </row>
    <row r="5358" customFormat="false" ht="15" hidden="false" customHeight="false" outlineLevel="0" collapsed="false">
      <c r="A5358" s="18" t="n">
        <f aca="false">'SALES Raw'!G3641</f>
        <v>4413330</v>
      </c>
      <c r="B5358" s="18" t="str">
        <f aca="false">'SALES Raw'!B3641</f>
        <v>AC49 0</v>
      </c>
      <c r="C5358" s="18" t="str">
        <f aca="false">'SALES Raw'!H3641</f>
        <v>AC49 מגן ירך</v>
      </c>
      <c r="D5358" s="19" t="n">
        <f aca="false">'SALES Raw'!C3641</f>
        <v>12</v>
      </c>
      <c r="E5358" s="19" t="n">
        <f aca="false">'SALES Raw'!D3641</f>
        <v>391.77</v>
      </c>
      <c r="F5358" s="19" t="n">
        <f aca="false">'SALES Raw'!E3641*$H$4</f>
        <v>0</v>
      </c>
      <c r="G5358" s="19" t="n">
        <f aca="false">'SALES Raw'!F3641*$H$4</f>
        <v>0</v>
      </c>
      <c r="H5358" s="18" t="str">
        <f aca="false">'SALES Raw'!A3641</f>
        <v>207 - Salus HUNGARY</v>
      </c>
    </row>
    <row r="5359" customFormat="false" ht="15" hidden="false" customHeight="false" outlineLevel="0" collapsed="false">
      <c r="A5359" s="18" t="n">
        <f aca="false">'SALES Raw'!G3647</f>
        <v>4422038</v>
      </c>
      <c r="B5359" s="18" t="str">
        <f aca="false">'SALES Raw'!B3647</f>
        <v>SH422 2</v>
      </c>
      <c r="C5359" s="18" t="str">
        <f aca="false">'SALES Raw'!H3647</f>
        <v>SH422 2 תומך ברך גנושילד</v>
      </c>
      <c r="D5359" s="19" t="n">
        <f aca="false">'SALES Raw'!C3647</f>
        <v>3</v>
      </c>
      <c r="E5359" s="19" t="n">
        <f aca="false">'SALES Raw'!D3647</f>
        <v>255.83</v>
      </c>
      <c r="F5359" s="19" t="n">
        <f aca="false">'SALES Raw'!E3647*$H$4</f>
        <v>0</v>
      </c>
      <c r="G5359" s="19" t="n">
        <f aca="false">'SALES Raw'!F3647*$H$4</f>
        <v>0</v>
      </c>
      <c r="H5359" s="18" t="str">
        <f aca="false">'SALES Raw'!A3647</f>
        <v>207 - Salus HUNGARY</v>
      </c>
    </row>
    <row r="5360" customFormat="false" ht="15" hidden="false" customHeight="false" outlineLevel="0" collapsed="false">
      <c r="A5360" s="18" t="n">
        <f aca="false">'SALES Raw'!G3648</f>
        <v>4422039</v>
      </c>
      <c r="B5360" s="18" t="str">
        <f aca="false">'SALES Raw'!B3648</f>
        <v>SH422 3</v>
      </c>
      <c r="C5360" s="18" t="str">
        <f aca="false">'SALES Raw'!H3648</f>
        <v>SH422 3 תומך ברך גנושילד</v>
      </c>
      <c r="D5360" s="19" t="n">
        <f aca="false">'SALES Raw'!C3648</f>
        <v>5</v>
      </c>
      <c r="E5360" s="19" t="n">
        <f aca="false">'SALES Raw'!D3648</f>
        <v>426.39</v>
      </c>
      <c r="F5360" s="19" t="n">
        <f aca="false">'SALES Raw'!E3648*$H$4</f>
        <v>0</v>
      </c>
      <c r="G5360" s="19" t="n">
        <f aca="false">'SALES Raw'!F3648*$H$4</f>
        <v>0</v>
      </c>
      <c r="H5360" s="18" t="str">
        <f aca="false">'SALES Raw'!A3648</f>
        <v>207 - Salus HUNGARY</v>
      </c>
    </row>
    <row r="5361" customFormat="false" ht="15" hidden="false" customHeight="false" outlineLevel="0" collapsed="false">
      <c r="A5361" s="18" t="n">
        <f aca="false">'SALES Raw'!G3649</f>
        <v>4422040</v>
      </c>
      <c r="B5361" s="18" t="str">
        <f aca="false">'SALES Raw'!B3649</f>
        <v>SH422 4</v>
      </c>
      <c r="C5361" s="18" t="str">
        <f aca="false">'SALES Raw'!H3649</f>
        <v>SH422 4 תומך ברך גנושילד</v>
      </c>
      <c r="D5361" s="19" t="n">
        <f aca="false">'SALES Raw'!C3649</f>
        <v>5</v>
      </c>
      <c r="E5361" s="19" t="n">
        <f aca="false">'SALES Raw'!D3649</f>
        <v>426.39</v>
      </c>
      <c r="F5361" s="19" t="n">
        <f aca="false">'SALES Raw'!E3649*$H$4</f>
        <v>0</v>
      </c>
      <c r="G5361" s="19" t="n">
        <f aca="false">'SALES Raw'!F3649*$H$4</f>
        <v>0</v>
      </c>
      <c r="H5361" s="18" t="str">
        <f aca="false">'SALES Raw'!A3649</f>
        <v>207 - Salus HUNGARY</v>
      </c>
    </row>
    <row r="5362" customFormat="false" ht="15" hidden="false" customHeight="false" outlineLevel="0" collapsed="false">
      <c r="A5362" s="18" t="n">
        <f aca="false">'SALES Raw'!G3650</f>
        <v>4422041</v>
      </c>
      <c r="B5362" s="18" t="str">
        <f aca="false">'SALES Raw'!B3650</f>
        <v>SH422 5</v>
      </c>
      <c r="C5362" s="18" t="str">
        <f aca="false">'SALES Raw'!H3650</f>
        <v>SH422 5 תומך ברך גנושילד</v>
      </c>
      <c r="D5362" s="19" t="n">
        <f aca="false">'SALES Raw'!C3650</f>
        <v>5</v>
      </c>
      <c r="E5362" s="19" t="n">
        <f aca="false">'SALES Raw'!D3650</f>
        <v>426.39</v>
      </c>
      <c r="F5362" s="19" t="n">
        <f aca="false">'SALES Raw'!E3650*$H$4</f>
        <v>0</v>
      </c>
      <c r="G5362" s="19" t="n">
        <f aca="false">'SALES Raw'!F3650*$H$4</f>
        <v>0</v>
      </c>
      <c r="H5362" s="18" t="str">
        <f aca="false">'SALES Raw'!A3650</f>
        <v>207 - Salus HUNGARY</v>
      </c>
    </row>
    <row r="5363" customFormat="false" ht="15" hidden="false" customHeight="false" outlineLevel="0" collapsed="false">
      <c r="A5363" s="18" t="n">
        <f aca="false">'SALES Raw'!G3651</f>
        <v>4422042</v>
      </c>
      <c r="B5363" s="18" t="str">
        <f aca="false">'SALES Raw'!B3651</f>
        <v>SH422 6</v>
      </c>
      <c r="C5363" s="18" t="str">
        <f aca="false">'SALES Raw'!H3651</f>
        <v>SH422 6 תומך ברך גנושילד</v>
      </c>
      <c r="D5363" s="19" t="n">
        <f aca="false">'SALES Raw'!C3651</f>
        <v>5</v>
      </c>
      <c r="E5363" s="19" t="n">
        <f aca="false">'SALES Raw'!D3651</f>
        <v>426.39</v>
      </c>
      <c r="F5363" s="19" t="n">
        <f aca="false">'SALES Raw'!E3651*$H$4</f>
        <v>0</v>
      </c>
      <c r="G5363" s="19" t="n">
        <f aca="false">'SALES Raw'!F3651*$H$4</f>
        <v>0</v>
      </c>
      <c r="H5363" s="18" t="str">
        <f aca="false">'SALES Raw'!A3651</f>
        <v>207 - Salus HUNGARY</v>
      </c>
    </row>
    <row r="5364" customFormat="false" ht="15" hidden="false" customHeight="false" outlineLevel="0" collapsed="false">
      <c r="A5364" s="18" t="str">
        <f aca="false">'SALES Raw'!G3653</f>
        <v/>
      </c>
      <c r="B5364" s="18" t="str">
        <f aca="false">'SALES Raw'!B3653</f>
        <v>ST10 0</v>
      </c>
      <c r="C5364" s="18" t="str">
        <f aca="false">'SALES Raw'!H3653</f>
        <v>ST10 0</v>
      </c>
      <c r="D5364" s="19" t="n">
        <f aca="false">'SALES Raw'!C3653</f>
        <v>30</v>
      </c>
      <c r="E5364" s="19" t="n">
        <f aca="false">'SALES Raw'!D3653</f>
        <v>1557.91</v>
      </c>
      <c r="F5364" s="19" t="n">
        <f aca="false">'SALES Raw'!E3653*$H$4</f>
        <v>0</v>
      </c>
      <c r="G5364" s="19" t="n">
        <f aca="false">'SALES Raw'!F3653*$H$4</f>
        <v>0</v>
      </c>
      <c r="H5364" s="18" t="str">
        <f aca="false">'SALES Raw'!A3653</f>
        <v>207 - Salus HUNGARY</v>
      </c>
    </row>
    <row r="5365" customFormat="false" ht="15" hidden="false" customHeight="false" outlineLevel="0" collapsed="false">
      <c r="A5365" s="18" t="str">
        <f aca="false">'SALES Raw'!G3670</f>
        <v/>
      </c>
      <c r="B5365" s="18" t="str">
        <f aca="false">'SALES Raw'!B3670</f>
        <v>T402 L</v>
      </c>
      <c r="C5365" s="18" t="str">
        <f aca="false">'SALES Raw'!H3670</f>
        <v>T402 L</v>
      </c>
      <c r="D5365" s="19" t="n">
        <f aca="false">'SALES Raw'!C3670</f>
        <v>5</v>
      </c>
      <c r="E5365" s="19" t="n">
        <f aca="false">'SALES Raw'!D3670</f>
        <v>218.76</v>
      </c>
      <c r="F5365" s="19" t="n">
        <f aca="false">'SALES Raw'!E3670*$H$4</f>
        <v>0</v>
      </c>
      <c r="G5365" s="19" t="n">
        <f aca="false">'SALES Raw'!F3670*$H$4</f>
        <v>0</v>
      </c>
      <c r="H5365" s="18" t="str">
        <f aca="false">'SALES Raw'!A3670</f>
        <v>207 - Salus HUNGARY</v>
      </c>
    </row>
    <row r="5366" customFormat="false" ht="15" hidden="false" customHeight="false" outlineLevel="0" collapsed="false">
      <c r="A5366" s="18" t="str">
        <f aca="false">'SALES Raw'!G3671</f>
        <v/>
      </c>
      <c r="B5366" s="18" t="str">
        <f aca="false">'SALES Raw'!B3671</f>
        <v>T402 M</v>
      </c>
      <c r="C5366" s="18" t="str">
        <f aca="false">'SALES Raw'!H3671</f>
        <v>T402 M</v>
      </c>
      <c r="D5366" s="19" t="n">
        <f aca="false">'SALES Raw'!C3671</f>
        <v>5</v>
      </c>
      <c r="E5366" s="19" t="n">
        <f aca="false">'SALES Raw'!D3671</f>
        <v>218.76</v>
      </c>
      <c r="F5366" s="19" t="n">
        <f aca="false">'SALES Raw'!E3671*$H$4</f>
        <v>0</v>
      </c>
      <c r="G5366" s="19" t="n">
        <f aca="false">'SALES Raw'!F3671*$H$4</f>
        <v>0</v>
      </c>
      <c r="H5366" s="18" t="str">
        <f aca="false">'SALES Raw'!A3671</f>
        <v>207 - Salus HUNGARY</v>
      </c>
    </row>
    <row r="5367" customFormat="false" ht="15" hidden="false" customHeight="false" outlineLevel="0" collapsed="false">
      <c r="A5367" s="18" t="str">
        <f aca="false">'SALES Raw'!G3672</f>
        <v/>
      </c>
      <c r="B5367" s="18" t="str">
        <f aca="false">'SALES Raw'!B3672</f>
        <v>T402 S</v>
      </c>
      <c r="C5367" s="18" t="str">
        <f aca="false">'SALES Raw'!H3672</f>
        <v>T402 S</v>
      </c>
      <c r="D5367" s="19" t="n">
        <f aca="false">'SALES Raw'!C3672</f>
        <v>5</v>
      </c>
      <c r="E5367" s="19" t="n">
        <f aca="false">'SALES Raw'!D3672</f>
        <v>218.76</v>
      </c>
      <c r="F5367" s="19" t="n">
        <f aca="false">'SALES Raw'!E3672*$H$4</f>
        <v>0</v>
      </c>
      <c r="G5367" s="19" t="n">
        <f aca="false">'SALES Raw'!F3672*$H$4</f>
        <v>0</v>
      </c>
      <c r="H5367" s="18" t="str">
        <f aca="false">'SALES Raw'!A3672</f>
        <v>207 - Salus HUNGARY</v>
      </c>
    </row>
    <row r="5368" customFormat="false" ht="15" hidden="false" customHeight="false" outlineLevel="0" collapsed="false">
      <c r="A5368" s="18" t="str">
        <f aca="false">'SALES Raw'!G3673</f>
        <v/>
      </c>
      <c r="B5368" s="18" t="str">
        <f aca="false">'SALES Raw'!B3673</f>
        <v>T402 XL</v>
      </c>
      <c r="C5368" s="18" t="str">
        <f aca="false">'SALES Raw'!H3673</f>
        <v>T402 XL</v>
      </c>
      <c r="D5368" s="19" t="n">
        <f aca="false">'SALES Raw'!C3673</f>
        <v>5</v>
      </c>
      <c r="E5368" s="19" t="n">
        <f aca="false">'SALES Raw'!D3673</f>
        <v>218.76</v>
      </c>
      <c r="F5368" s="19" t="n">
        <f aca="false">'SALES Raw'!E3673*$H$4</f>
        <v>0</v>
      </c>
      <c r="G5368" s="19" t="n">
        <f aca="false">'SALES Raw'!F3673*$H$4</f>
        <v>0</v>
      </c>
      <c r="H5368" s="18" t="str">
        <f aca="false">'SALES Raw'!A3673</f>
        <v>207 - Salus HUNGARY</v>
      </c>
    </row>
    <row r="5369" customFormat="false" ht="15" hidden="false" customHeight="false" outlineLevel="0" collapsed="false">
      <c r="A5369" s="18" t="str">
        <f aca="false">'SALES Raw'!G3674</f>
        <v/>
      </c>
      <c r="B5369" s="18" t="str">
        <f aca="false">'SALES Raw'!B3674</f>
        <v>T402 XXL</v>
      </c>
      <c r="C5369" s="18" t="str">
        <f aca="false">'SALES Raw'!H3674</f>
        <v>T402 XXL</v>
      </c>
      <c r="D5369" s="19" t="n">
        <f aca="false">'SALES Raw'!C3674</f>
        <v>5</v>
      </c>
      <c r="E5369" s="19" t="n">
        <f aca="false">'SALES Raw'!D3674</f>
        <v>218.76</v>
      </c>
      <c r="F5369" s="19" t="n">
        <f aca="false">'SALES Raw'!E3674*$H$4</f>
        <v>0</v>
      </c>
      <c r="G5369" s="19" t="n">
        <f aca="false">'SALES Raw'!F3674*$H$4</f>
        <v>0</v>
      </c>
      <c r="H5369" s="18" t="str">
        <f aca="false">'SALES Raw'!A3674</f>
        <v>207 - Salus HUNGARY</v>
      </c>
    </row>
    <row r="5370" customFormat="false" ht="15" hidden="false" customHeight="false" outlineLevel="0" collapsed="false">
      <c r="A5370" s="18" t="str">
        <f aca="false">'SALES Raw'!G3682</f>
        <v/>
      </c>
      <c r="B5370" s="18" t="str">
        <f aca="false">'SALES Raw'!B3682</f>
        <v>07AE L</v>
      </c>
      <c r="C5370" s="18" t="str">
        <f aca="false">'SALES Raw'!H3682</f>
        <v>07AE L</v>
      </c>
      <c r="D5370" s="19" t="n">
        <f aca="false">'SALES Raw'!C3682</f>
        <v>10</v>
      </c>
      <c r="E5370" s="19" t="n">
        <f aca="false">'SALES Raw'!D3682</f>
        <v>1756.68</v>
      </c>
      <c r="F5370" s="19" t="n">
        <f aca="false">'SALES Raw'!E3682*$H$4</f>
        <v>0</v>
      </c>
      <c r="G5370" s="19" t="n">
        <f aca="false">'SALES Raw'!F3682*$H$4</f>
        <v>0</v>
      </c>
      <c r="H5370" s="18" t="str">
        <f aca="false">'SALES Raw'!A3682</f>
        <v>208 - Medipal Company NABLUS</v>
      </c>
    </row>
    <row r="5371" customFormat="false" ht="15" hidden="false" customHeight="false" outlineLevel="0" collapsed="false">
      <c r="A5371" s="18" t="str">
        <f aca="false">'SALES Raw'!G3683</f>
        <v/>
      </c>
      <c r="B5371" s="18" t="str">
        <f aca="false">'SALES Raw'!B3683</f>
        <v>07AE M</v>
      </c>
      <c r="C5371" s="18" t="str">
        <f aca="false">'SALES Raw'!H3683</f>
        <v>07AE M</v>
      </c>
      <c r="D5371" s="19" t="n">
        <f aca="false">'SALES Raw'!C3683</f>
        <v>20</v>
      </c>
      <c r="E5371" s="19" t="n">
        <f aca="false">'SALES Raw'!D3683</f>
        <v>3513.36</v>
      </c>
      <c r="F5371" s="19" t="n">
        <f aca="false">'SALES Raw'!E3683*$H$4</f>
        <v>0</v>
      </c>
      <c r="G5371" s="19" t="n">
        <f aca="false">'SALES Raw'!F3683*$H$4</f>
        <v>0</v>
      </c>
      <c r="H5371" s="18" t="str">
        <f aca="false">'SALES Raw'!A3683</f>
        <v>208 - Medipal Company NABLUS</v>
      </c>
    </row>
    <row r="5372" customFormat="false" ht="15" hidden="false" customHeight="false" outlineLevel="0" collapsed="false">
      <c r="A5372" s="18" t="str">
        <f aca="false">'SALES Raw'!G3684</f>
        <v/>
      </c>
      <c r="B5372" s="18" t="str">
        <f aca="false">'SALES Raw'!B3684</f>
        <v>07AE S</v>
      </c>
      <c r="C5372" s="18" t="str">
        <f aca="false">'SALES Raw'!H3684</f>
        <v>07AE S</v>
      </c>
      <c r="D5372" s="19" t="n">
        <f aca="false">'SALES Raw'!C3684</f>
        <v>5</v>
      </c>
      <c r="E5372" s="19" t="n">
        <f aca="false">'SALES Raw'!D3684</f>
        <v>878.34</v>
      </c>
      <c r="F5372" s="19" t="n">
        <f aca="false">'SALES Raw'!E3684*$H$4</f>
        <v>0</v>
      </c>
      <c r="G5372" s="19" t="n">
        <f aca="false">'SALES Raw'!F3684*$H$4</f>
        <v>0</v>
      </c>
      <c r="H5372" s="18" t="str">
        <f aca="false">'SALES Raw'!A3684</f>
        <v>208 - Medipal Company NABLUS</v>
      </c>
    </row>
    <row r="5373" customFormat="false" ht="15" hidden="false" customHeight="false" outlineLevel="0" collapsed="false">
      <c r="A5373" s="18" t="str">
        <f aca="false">'SALES Raw'!G3685</f>
        <v/>
      </c>
      <c r="B5373" s="18" t="str">
        <f aca="false">'SALES Raw'!B3685</f>
        <v>07AE XL</v>
      </c>
      <c r="C5373" s="18" t="str">
        <f aca="false">'SALES Raw'!H3685</f>
        <v>07AE XL</v>
      </c>
      <c r="D5373" s="19" t="n">
        <f aca="false">'SALES Raw'!C3685</f>
        <v>5</v>
      </c>
      <c r="E5373" s="19" t="n">
        <f aca="false">'SALES Raw'!D3685</f>
        <v>0.03</v>
      </c>
      <c r="F5373" s="19" t="n">
        <f aca="false">'SALES Raw'!E3685*$H$4</f>
        <v>0</v>
      </c>
      <c r="G5373" s="19" t="n">
        <f aca="false">'SALES Raw'!F3685*$H$4</f>
        <v>0</v>
      </c>
      <c r="H5373" s="18" t="str">
        <f aca="false">'SALES Raw'!A3685</f>
        <v>208 - Medipal Company NABLUS</v>
      </c>
    </row>
    <row r="5374" customFormat="false" ht="15" hidden="false" customHeight="false" outlineLevel="0" collapsed="false">
      <c r="A5374" s="18" t="str">
        <f aca="false">'SALES Raw'!G3686</f>
        <v/>
      </c>
      <c r="B5374" s="18" t="str">
        <f aca="false">'SALES Raw'!B3686</f>
        <v>07AE XXL</v>
      </c>
      <c r="C5374" s="18" t="str">
        <f aca="false">'SALES Raw'!H3686</f>
        <v>07AE XXL</v>
      </c>
      <c r="D5374" s="19" t="n">
        <f aca="false">'SALES Raw'!C3686</f>
        <v>10</v>
      </c>
      <c r="E5374" s="19" t="n">
        <f aca="false">'SALES Raw'!D3686</f>
        <v>1756.68</v>
      </c>
      <c r="F5374" s="19" t="n">
        <f aca="false">'SALES Raw'!E3686*$H$4</f>
        <v>0</v>
      </c>
      <c r="G5374" s="19" t="n">
        <f aca="false">'SALES Raw'!F3686*$H$4</f>
        <v>0</v>
      </c>
      <c r="H5374" s="18" t="str">
        <f aca="false">'SALES Raw'!A3686</f>
        <v>208 - Medipal Company NABLUS</v>
      </c>
    </row>
    <row r="5375" customFormat="false" ht="15" hidden="false" customHeight="false" outlineLevel="0" collapsed="false">
      <c r="A5375" s="18" t="n">
        <f aca="false">'SALES Raw'!G3687</f>
        <v>4408027</v>
      </c>
      <c r="B5375" s="18" t="str">
        <f aca="false">'SALES Raw'!B3687</f>
        <v>10 L</v>
      </c>
      <c r="C5375" s="18" t="str">
        <f aca="false">'SALES Raw'!H3687</f>
        <v>10 L """"חגורת גב """"לומבו</v>
      </c>
      <c r="D5375" s="19" t="n">
        <f aca="false">'SALES Raw'!C3687</f>
        <v>5</v>
      </c>
      <c r="E5375" s="19" t="n">
        <f aca="false">'SALES Raw'!D3687</f>
        <v>399.72</v>
      </c>
      <c r="F5375" s="19" t="n">
        <f aca="false">'SALES Raw'!E3687*$H$4</f>
        <v>0</v>
      </c>
      <c r="G5375" s="19" t="n">
        <f aca="false">'SALES Raw'!F3687*$H$4</f>
        <v>0</v>
      </c>
      <c r="H5375" s="18" t="str">
        <f aca="false">'SALES Raw'!A3687</f>
        <v>208 - Medipal Company NABLUS</v>
      </c>
    </row>
    <row r="5376" customFormat="false" ht="15" hidden="false" customHeight="false" outlineLevel="0" collapsed="false">
      <c r="A5376" s="18" t="n">
        <f aca="false">'SALES Raw'!G3688</f>
        <v>4408028</v>
      </c>
      <c r="B5376" s="18" t="str">
        <f aca="false">'SALES Raw'!B3688</f>
        <v>10 M</v>
      </c>
      <c r="C5376" s="18" t="str">
        <f aca="false">'SALES Raw'!H3688</f>
        <v>10 M """"חגורת גב """"לומבו</v>
      </c>
      <c r="D5376" s="19" t="n">
        <f aca="false">'SALES Raw'!C3688</f>
        <v>10</v>
      </c>
      <c r="E5376" s="19" t="n">
        <f aca="false">'SALES Raw'!D3688</f>
        <v>799.45</v>
      </c>
      <c r="F5376" s="19" t="n">
        <f aca="false">'SALES Raw'!E3688*$H$4</f>
        <v>0</v>
      </c>
      <c r="G5376" s="19" t="n">
        <f aca="false">'SALES Raw'!F3688*$H$4</f>
        <v>0</v>
      </c>
      <c r="H5376" s="18" t="str">
        <f aca="false">'SALES Raw'!A3688</f>
        <v>208 - Medipal Company NABLUS</v>
      </c>
    </row>
    <row r="5377" customFormat="false" ht="15" hidden="false" customHeight="false" outlineLevel="0" collapsed="false">
      <c r="A5377" s="18" t="str">
        <f aca="false">'SALES Raw'!G3689</f>
        <v/>
      </c>
      <c r="B5377" s="18" t="str">
        <f aca="false">'SALES Raw'!B3689</f>
        <v>10 S</v>
      </c>
      <c r="C5377" s="18" t="str">
        <f aca="false">'SALES Raw'!H3689</f>
        <v>10 S</v>
      </c>
      <c r="D5377" s="19" t="n">
        <f aca="false">'SALES Raw'!C3689</f>
        <v>5</v>
      </c>
      <c r="E5377" s="19" t="n">
        <f aca="false">'SALES Raw'!D3689</f>
        <v>399.72</v>
      </c>
      <c r="F5377" s="19" t="n">
        <f aca="false">'SALES Raw'!E3689*$H$4</f>
        <v>0</v>
      </c>
      <c r="G5377" s="19" t="n">
        <f aca="false">'SALES Raw'!F3689*$H$4</f>
        <v>0</v>
      </c>
      <c r="H5377" s="18" t="str">
        <f aca="false">'SALES Raw'!A3689</f>
        <v>208 - Medipal Company NABLUS</v>
      </c>
    </row>
    <row r="5378" customFormat="false" ht="15" hidden="false" customHeight="false" outlineLevel="0" collapsed="false">
      <c r="A5378" s="18" t="n">
        <f aca="false">'SALES Raw'!G3690</f>
        <v>4408029</v>
      </c>
      <c r="B5378" s="18" t="str">
        <f aca="false">'SALES Raw'!B3690</f>
        <v>10 XL</v>
      </c>
      <c r="C5378" s="18" t="str">
        <f aca="false">'SALES Raw'!H3690</f>
        <v>10 XL """"חגורת גב """"לומבו</v>
      </c>
      <c r="D5378" s="19" t="n">
        <f aca="false">'SALES Raw'!C3690</f>
        <v>5</v>
      </c>
      <c r="E5378" s="19" t="n">
        <f aca="false">'SALES Raw'!D3690</f>
        <v>0.03</v>
      </c>
      <c r="F5378" s="19" t="n">
        <f aca="false">'SALES Raw'!E3690*$H$4</f>
        <v>0</v>
      </c>
      <c r="G5378" s="19" t="n">
        <f aca="false">'SALES Raw'!F3690*$H$4</f>
        <v>0</v>
      </c>
      <c r="H5378" s="18" t="str">
        <f aca="false">'SALES Raw'!A3690</f>
        <v>208 - Medipal Company NABLUS</v>
      </c>
    </row>
    <row r="5379" customFormat="false" ht="15" hidden="false" customHeight="false" outlineLevel="0" collapsed="false">
      <c r="A5379" s="18" t="str">
        <f aca="false">'SALES Raw'!G3691</f>
        <v/>
      </c>
      <c r="B5379" s="18" t="str">
        <f aca="false">'SALES Raw'!B3691</f>
        <v>10 XS</v>
      </c>
      <c r="C5379" s="18" t="str">
        <f aca="false">'SALES Raw'!H3691</f>
        <v>10 XS</v>
      </c>
      <c r="D5379" s="19" t="n">
        <f aca="false">'SALES Raw'!C3691</f>
        <v>5</v>
      </c>
      <c r="E5379" s="19" t="n">
        <f aca="false">'SALES Raw'!D3691</f>
        <v>399.72</v>
      </c>
      <c r="F5379" s="19" t="n">
        <f aca="false">'SALES Raw'!E3691*$H$4</f>
        <v>0</v>
      </c>
      <c r="G5379" s="19" t="n">
        <f aca="false">'SALES Raw'!F3691*$H$4</f>
        <v>0</v>
      </c>
      <c r="H5379" s="18" t="str">
        <f aca="false">'SALES Raw'!A3691</f>
        <v>208 - Medipal Company NABLUS</v>
      </c>
    </row>
    <row r="5380" customFormat="false" ht="15" hidden="false" customHeight="false" outlineLevel="0" collapsed="false">
      <c r="A5380" s="18" t="str">
        <f aca="false">'SALES Raw'!G3692</f>
        <v/>
      </c>
      <c r="B5380" s="18" t="str">
        <f aca="false">'SALES Raw'!B3692</f>
        <v>10 XXL</v>
      </c>
      <c r="C5380" s="18" t="str">
        <f aca="false">'SALES Raw'!H3692</f>
        <v>10 XXL</v>
      </c>
      <c r="D5380" s="19" t="n">
        <f aca="false">'SALES Raw'!C3692</f>
        <v>20</v>
      </c>
      <c r="E5380" s="19" t="n">
        <f aca="false">'SALES Raw'!D3692</f>
        <v>1598.91</v>
      </c>
      <c r="F5380" s="19" t="n">
        <f aca="false">'SALES Raw'!E3692*$H$4</f>
        <v>0</v>
      </c>
      <c r="G5380" s="19" t="n">
        <f aca="false">'SALES Raw'!F3692*$H$4</f>
        <v>0</v>
      </c>
      <c r="H5380" s="18" t="str">
        <f aca="false">'SALES Raw'!A3692</f>
        <v>208 - Medipal Company NABLUS</v>
      </c>
    </row>
    <row r="5381" customFormat="false" ht="15" hidden="false" customHeight="false" outlineLevel="0" collapsed="false">
      <c r="A5381" s="18" t="str">
        <f aca="false">'SALES Raw'!G3693</f>
        <v/>
      </c>
      <c r="B5381" s="18" t="str">
        <f aca="false">'SALES Raw'!B3693</f>
        <v>1000FC</v>
      </c>
      <c r="C5381" s="18" t="str">
        <f aca="false">'SALES Raw'!H3693</f>
        <v>1000FC</v>
      </c>
      <c r="D5381" s="19" t="n">
        <f aca="false">'SALES Raw'!C3693</f>
        <v>5</v>
      </c>
      <c r="E5381" s="19" t="n">
        <f aca="false">'SALES Raw'!D3693</f>
        <v>0.18</v>
      </c>
      <c r="F5381" s="19" t="n">
        <f aca="false">'SALES Raw'!E3693*$H$4</f>
        <v>0</v>
      </c>
      <c r="G5381" s="19" t="n">
        <f aca="false">'SALES Raw'!F3693*$H$4</f>
        <v>0</v>
      </c>
      <c r="H5381" s="18" t="str">
        <f aca="false">'SALES Raw'!A3693</f>
        <v>208 - Medipal Company NABLUS</v>
      </c>
    </row>
    <row r="5382" customFormat="false" ht="15" hidden="false" customHeight="false" outlineLevel="0" collapsed="false">
      <c r="A5382" s="18" t="n">
        <f aca="false">'SALES Raw'!G3694</f>
        <v>4408203</v>
      </c>
      <c r="B5382" s="18" t="str">
        <f aca="false">'SALES Raw'!B3694</f>
        <v>14 0</v>
      </c>
      <c r="C5382" s="18" t="str">
        <f aca="false">'SALES Raw'!H3694</f>
        <v>14 0 חגורה למנותחי בית חזה</v>
      </c>
      <c r="D5382" s="19" t="n">
        <f aca="false">'SALES Raw'!C3694</f>
        <v>55</v>
      </c>
      <c r="E5382" s="19" t="n">
        <f aca="false">'SALES Raw'!D3694</f>
        <v>3595.85</v>
      </c>
      <c r="F5382" s="19" t="n">
        <f aca="false">'SALES Raw'!E3694*$H$4</f>
        <v>0</v>
      </c>
      <c r="G5382" s="19" t="n">
        <f aca="false">'SALES Raw'!F3694*$H$4</f>
        <v>0</v>
      </c>
      <c r="H5382" s="18" t="str">
        <f aca="false">'SALES Raw'!A3694</f>
        <v>208 - Medipal Company NABLUS</v>
      </c>
    </row>
    <row r="5383" customFormat="false" ht="15" hidden="false" customHeight="false" outlineLevel="0" collapsed="false">
      <c r="A5383" s="18" t="str">
        <f aca="false">'SALES Raw'!G3695</f>
        <v/>
      </c>
      <c r="B5383" s="18" t="str">
        <f aca="false">'SALES Raw'!B3695</f>
        <v>15M L</v>
      </c>
      <c r="C5383" s="18" t="str">
        <f aca="false">'SALES Raw'!H3695</f>
        <v>15M L</v>
      </c>
      <c r="D5383" s="19" t="n">
        <f aca="false">'SALES Raw'!C3695</f>
        <v>22</v>
      </c>
      <c r="E5383" s="19" t="n">
        <f aca="false">'SALES Raw'!D3695</f>
        <v>1060.18</v>
      </c>
      <c r="F5383" s="19" t="n">
        <f aca="false">'SALES Raw'!E3695*$H$4</f>
        <v>0</v>
      </c>
      <c r="G5383" s="19" t="n">
        <f aca="false">'SALES Raw'!F3695*$H$4</f>
        <v>0</v>
      </c>
      <c r="H5383" s="18" t="str">
        <f aca="false">'SALES Raw'!A3695</f>
        <v>208 - Medipal Company NABLUS</v>
      </c>
    </row>
    <row r="5384" customFormat="false" ht="15" hidden="false" customHeight="false" outlineLevel="0" collapsed="false">
      <c r="A5384" s="18" t="str">
        <f aca="false">'SALES Raw'!G3696</f>
        <v/>
      </c>
      <c r="B5384" s="18" t="str">
        <f aca="false">'SALES Raw'!B3696</f>
        <v>15M M</v>
      </c>
      <c r="C5384" s="18" t="str">
        <f aca="false">'SALES Raw'!H3696</f>
        <v>15M M</v>
      </c>
      <c r="D5384" s="19" t="n">
        <f aca="false">'SALES Raw'!C3696</f>
        <v>6</v>
      </c>
      <c r="E5384" s="19" t="n">
        <f aca="false">'SALES Raw'!D3696</f>
        <v>318.04</v>
      </c>
      <c r="F5384" s="19" t="n">
        <f aca="false">'SALES Raw'!E3696*$H$4</f>
        <v>0</v>
      </c>
      <c r="G5384" s="19" t="n">
        <f aca="false">'SALES Raw'!F3696*$H$4</f>
        <v>0</v>
      </c>
      <c r="H5384" s="18" t="str">
        <f aca="false">'SALES Raw'!A3696</f>
        <v>208 - Medipal Company NABLUS</v>
      </c>
    </row>
    <row r="5385" customFormat="false" ht="15" hidden="false" customHeight="false" outlineLevel="0" collapsed="false">
      <c r="A5385" s="18" t="str">
        <f aca="false">'SALES Raw'!G3697</f>
        <v/>
      </c>
      <c r="B5385" s="18" t="str">
        <f aca="false">'SALES Raw'!B3697</f>
        <v>15M S</v>
      </c>
      <c r="C5385" s="18" t="str">
        <f aca="false">'SALES Raw'!H3697</f>
        <v>15M S</v>
      </c>
      <c r="D5385" s="19" t="n">
        <f aca="false">'SALES Raw'!C3697</f>
        <v>5</v>
      </c>
      <c r="E5385" s="19" t="n">
        <f aca="false">'SALES Raw'!D3697</f>
        <v>212.06</v>
      </c>
      <c r="F5385" s="19" t="n">
        <f aca="false">'SALES Raw'!E3697*$H$4</f>
        <v>0</v>
      </c>
      <c r="G5385" s="19" t="n">
        <f aca="false">'SALES Raw'!F3697*$H$4</f>
        <v>0</v>
      </c>
      <c r="H5385" s="18" t="str">
        <f aca="false">'SALES Raw'!A3697</f>
        <v>208 - Medipal Company NABLUS</v>
      </c>
    </row>
    <row r="5386" customFormat="false" ht="15" hidden="false" customHeight="false" outlineLevel="0" collapsed="false">
      <c r="A5386" s="18" t="str">
        <f aca="false">'SALES Raw'!G3698</f>
        <v/>
      </c>
      <c r="B5386" s="18" t="str">
        <f aca="false">'SALES Raw'!B3698</f>
        <v>15M XL</v>
      </c>
      <c r="C5386" s="18" t="str">
        <f aca="false">'SALES Raw'!H3698</f>
        <v>15M XL</v>
      </c>
      <c r="D5386" s="19" t="n">
        <f aca="false">'SALES Raw'!C3698</f>
        <v>12</v>
      </c>
      <c r="E5386" s="19" t="n">
        <f aca="false">'SALES Raw'!D3698</f>
        <v>530.1</v>
      </c>
      <c r="F5386" s="19" t="n">
        <f aca="false">'SALES Raw'!E3698*$H$4</f>
        <v>0</v>
      </c>
      <c r="G5386" s="19" t="n">
        <f aca="false">'SALES Raw'!F3698*$H$4</f>
        <v>0</v>
      </c>
      <c r="H5386" s="18" t="str">
        <f aca="false">'SALES Raw'!A3698</f>
        <v>208 - Medipal Company NABLUS</v>
      </c>
    </row>
    <row r="5387" customFormat="false" ht="15" hidden="false" customHeight="false" outlineLevel="0" collapsed="false">
      <c r="A5387" s="18" t="str">
        <f aca="false">'SALES Raw'!G3699</f>
        <v/>
      </c>
      <c r="B5387" s="18" t="str">
        <f aca="false">'SALES Raw'!B3699</f>
        <v>15M XXL</v>
      </c>
      <c r="C5387" s="18" t="str">
        <f aca="false">'SALES Raw'!H3699</f>
        <v>15M XXL</v>
      </c>
      <c r="D5387" s="19" t="n">
        <f aca="false">'SALES Raw'!C3699</f>
        <v>12</v>
      </c>
      <c r="E5387" s="19" t="n">
        <f aca="false">'SALES Raw'!D3699</f>
        <v>530.1</v>
      </c>
      <c r="F5387" s="19" t="n">
        <f aca="false">'SALES Raw'!E3699*$H$4</f>
        <v>0</v>
      </c>
      <c r="G5387" s="19" t="n">
        <f aca="false">'SALES Raw'!F3699*$H$4</f>
        <v>0</v>
      </c>
      <c r="H5387" s="18" t="str">
        <f aca="false">'SALES Raw'!A3699</f>
        <v>208 - Medipal Company NABLUS</v>
      </c>
    </row>
    <row r="5388" customFormat="false" ht="15" hidden="false" customHeight="false" outlineLevel="0" collapsed="false">
      <c r="A5388" s="18" t="n">
        <f aca="false">'SALES Raw'!G3700</f>
        <v>4408131</v>
      </c>
      <c r="B5388" s="18" t="str">
        <f aca="false">'SALES Raw'!B3700</f>
        <v>15W L</v>
      </c>
      <c r="C5388" s="18" t="str">
        <f aca="false">'SALES Raw'!H3700</f>
        <v>15W L חגורת צלעות לאשה</v>
      </c>
      <c r="D5388" s="19" t="n">
        <f aca="false">'SALES Raw'!C3700</f>
        <v>22</v>
      </c>
      <c r="E5388" s="19" t="n">
        <f aca="false">'SALES Raw'!D3700</f>
        <v>976.49</v>
      </c>
      <c r="F5388" s="19" t="n">
        <f aca="false">'SALES Raw'!E3700*$H$4</f>
        <v>0</v>
      </c>
      <c r="G5388" s="19" t="n">
        <f aca="false">'SALES Raw'!F3700*$H$4</f>
        <v>0</v>
      </c>
      <c r="H5388" s="18" t="str">
        <f aca="false">'SALES Raw'!A3700</f>
        <v>208 - Medipal Company NABLUS</v>
      </c>
    </row>
    <row r="5389" customFormat="false" ht="15" hidden="false" customHeight="false" outlineLevel="0" collapsed="false">
      <c r="A5389" s="18" t="str">
        <f aca="false">'SALES Raw'!G3701</f>
        <v/>
      </c>
      <c r="B5389" s="18" t="str">
        <f aca="false">'SALES Raw'!B3701</f>
        <v>15W M</v>
      </c>
      <c r="C5389" s="18" t="str">
        <f aca="false">'SALES Raw'!H3701</f>
        <v>15W M</v>
      </c>
      <c r="D5389" s="19" t="n">
        <f aca="false">'SALES Raw'!C3701</f>
        <v>7</v>
      </c>
      <c r="E5389" s="19" t="n">
        <f aca="false">'SALES Raw'!D3701</f>
        <v>244.14</v>
      </c>
      <c r="F5389" s="19" t="n">
        <f aca="false">'SALES Raw'!E3701*$H$4</f>
        <v>0</v>
      </c>
      <c r="G5389" s="19" t="n">
        <f aca="false">'SALES Raw'!F3701*$H$4</f>
        <v>0</v>
      </c>
      <c r="H5389" s="18" t="str">
        <f aca="false">'SALES Raw'!A3701</f>
        <v>208 - Medipal Company NABLUS</v>
      </c>
    </row>
    <row r="5390" customFormat="false" ht="15" hidden="false" customHeight="false" outlineLevel="0" collapsed="false">
      <c r="A5390" s="18" t="str">
        <f aca="false">'SALES Raw'!G3702</f>
        <v/>
      </c>
      <c r="B5390" s="18" t="str">
        <f aca="false">'SALES Raw'!B3702</f>
        <v>15W S</v>
      </c>
      <c r="C5390" s="18" t="str">
        <f aca="false">'SALES Raw'!H3702</f>
        <v>15W S</v>
      </c>
      <c r="D5390" s="19" t="n">
        <f aca="false">'SALES Raw'!C3702</f>
        <v>5</v>
      </c>
      <c r="E5390" s="19" t="n">
        <f aca="false">'SALES Raw'!D3702</f>
        <v>244.11</v>
      </c>
      <c r="F5390" s="19" t="n">
        <f aca="false">'SALES Raw'!E3702*$H$4</f>
        <v>0</v>
      </c>
      <c r="G5390" s="19" t="n">
        <f aca="false">'SALES Raw'!F3702*$H$4</f>
        <v>0</v>
      </c>
      <c r="H5390" s="18" t="str">
        <f aca="false">'SALES Raw'!A3702</f>
        <v>208 - Medipal Company NABLUS</v>
      </c>
    </row>
    <row r="5391" customFormat="false" ht="15" hidden="false" customHeight="false" outlineLevel="0" collapsed="false">
      <c r="A5391" s="18" t="str">
        <f aca="false">'SALES Raw'!G3703</f>
        <v/>
      </c>
      <c r="B5391" s="18" t="str">
        <f aca="false">'SALES Raw'!B3703</f>
        <v>15W XL</v>
      </c>
      <c r="C5391" s="18" t="str">
        <f aca="false">'SALES Raw'!H3703</f>
        <v>15W XL</v>
      </c>
      <c r="D5391" s="19" t="n">
        <f aca="false">'SALES Raw'!C3703</f>
        <v>11</v>
      </c>
      <c r="E5391" s="19" t="n">
        <f aca="false">'SALES Raw'!D3703</f>
        <v>488.22</v>
      </c>
      <c r="F5391" s="19" t="n">
        <f aca="false">'SALES Raw'!E3703*$H$4</f>
        <v>0</v>
      </c>
      <c r="G5391" s="19" t="n">
        <f aca="false">'SALES Raw'!F3703*$H$4</f>
        <v>0</v>
      </c>
      <c r="H5391" s="18" t="str">
        <f aca="false">'SALES Raw'!A3703</f>
        <v>208 - Medipal Company NABLUS</v>
      </c>
    </row>
    <row r="5392" customFormat="false" ht="15" hidden="false" customHeight="false" outlineLevel="0" collapsed="false">
      <c r="A5392" s="18" t="str">
        <f aca="false">'SALES Raw'!G3704</f>
        <v/>
      </c>
      <c r="B5392" s="18" t="str">
        <f aca="false">'SALES Raw'!B3704</f>
        <v>15W XXL</v>
      </c>
      <c r="C5392" s="18" t="str">
        <f aca="false">'SALES Raw'!H3704</f>
        <v>15W XXL</v>
      </c>
      <c r="D5392" s="19" t="n">
        <f aca="false">'SALES Raw'!C3704</f>
        <v>10</v>
      </c>
      <c r="E5392" s="19" t="n">
        <f aca="false">'SALES Raw'!D3704</f>
        <v>488.22</v>
      </c>
      <c r="F5392" s="19" t="n">
        <f aca="false">'SALES Raw'!E3704*$H$4</f>
        <v>0</v>
      </c>
      <c r="G5392" s="19" t="n">
        <f aca="false">'SALES Raw'!F3704*$H$4</f>
        <v>0</v>
      </c>
      <c r="H5392" s="18" t="str">
        <f aca="false">'SALES Raw'!A3704</f>
        <v>208 - Medipal Company NABLUS</v>
      </c>
    </row>
    <row r="5393" customFormat="false" ht="15" hidden="false" customHeight="false" outlineLevel="0" collapsed="false">
      <c r="A5393" s="18" t="n">
        <f aca="false">'SALES Raw'!G3705</f>
        <v>4408046</v>
      </c>
      <c r="B5393" s="18" t="str">
        <f aca="false">'SALES Raw'!B3705</f>
        <v>20 L</v>
      </c>
      <c r="C5393" s="18" t="str">
        <f aca="false">'SALES Raw'!H3705</f>
        <v>20 L חבק יד מתכוון עם צמדן</v>
      </c>
      <c r="D5393" s="19" t="n">
        <f aca="false">'SALES Raw'!C3705</f>
        <v>10</v>
      </c>
      <c r="E5393" s="19" t="n">
        <f aca="false">'SALES Raw'!D3705</f>
        <v>139.5</v>
      </c>
      <c r="F5393" s="19" t="n">
        <f aca="false">'SALES Raw'!E3705*$H$4</f>
        <v>0</v>
      </c>
      <c r="G5393" s="19" t="n">
        <f aca="false">'SALES Raw'!F3705*$H$4</f>
        <v>0</v>
      </c>
      <c r="H5393" s="18" t="str">
        <f aca="false">'SALES Raw'!A3705</f>
        <v>208 - Medipal Company NABLUS</v>
      </c>
    </row>
    <row r="5394" customFormat="false" ht="15" hidden="false" customHeight="false" outlineLevel="0" collapsed="false">
      <c r="A5394" s="18" t="n">
        <f aca="false">'SALES Raw'!G3706</f>
        <v>4408049</v>
      </c>
      <c r="B5394" s="18" t="str">
        <f aca="false">'SALES Raw'!B3706</f>
        <v>20 XL</v>
      </c>
      <c r="C5394" s="18" t="str">
        <f aca="false">'SALES Raw'!H3706</f>
        <v>20 XL חבק יד מתכוון עם צמדן</v>
      </c>
      <c r="D5394" s="19" t="n">
        <f aca="false">'SALES Raw'!C3706</f>
        <v>10</v>
      </c>
      <c r="E5394" s="19" t="n">
        <f aca="false">'SALES Raw'!D3706</f>
        <v>139.5</v>
      </c>
      <c r="F5394" s="19" t="n">
        <f aca="false">'SALES Raw'!E3706*$H$4</f>
        <v>0</v>
      </c>
      <c r="G5394" s="19" t="n">
        <f aca="false">'SALES Raw'!F3706*$H$4</f>
        <v>0</v>
      </c>
      <c r="H5394" s="18" t="str">
        <f aca="false">'SALES Raw'!A3706</f>
        <v>208 - Medipal Company NABLUS</v>
      </c>
    </row>
    <row r="5395" customFormat="false" ht="15" hidden="false" customHeight="false" outlineLevel="0" collapsed="false">
      <c r="A5395" s="18" t="n">
        <f aca="false">'SALES Raw'!G3707</f>
        <v>4408050</v>
      </c>
      <c r="B5395" s="18" t="str">
        <f aca="false">'SALES Raw'!B3707</f>
        <v>20 XXL</v>
      </c>
      <c r="C5395" s="18" t="str">
        <f aca="false">'SALES Raw'!H3707</f>
        <v>20 XXL חבק יד מתכוון עם צמדן</v>
      </c>
      <c r="D5395" s="19" t="n">
        <f aca="false">'SALES Raw'!C3707</f>
        <v>10</v>
      </c>
      <c r="E5395" s="19" t="n">
        <f aca="false">'SALES Raw'!D3707</f>
        <v>139.5</v>
      </c>
      <c r="F5395" s="19" t="n">
        <f aca="false">'SALES Raw'!E3707*$H$4</f>
        <v>0</v>
      </c>
      <c r="G5395" s="19" t="n">
        <f aca="false">'SALES Raw'!F3707*$H$4</f>
        <v>0</v>
      </c>
      <c r="H5395" s="18" t="str">
        <f aca="false">'SALES Raw'!A3707</f>
        <v>208 - Medipal Company NABLUS</v>
      </c>
    </row>
    <row r="5396" customFormat="false" ht="15" hidden="false" customHeight="false" outlineLevel="0" collapsed="false">
      <c r="A5396" s="18" t="n">
        <f aca="false">'SALES Raw'!G3708</f>
        <v>4408052</v>
      </c>
      <c r="B5396" s="18" t="str">
        <f aca="false">'SALES Raw'!B3708</f>
        <v>21 L</v>
      </c>
      <c r="C5396" s="18" t="str">
        <f aca="false">'SALES Raw'!H3708</f>
        <v>21 L  חבק יד ארוך</v>
      </c>
      <c r="D5396" s="19" t="n">
        <f aca="false">'SALES Raw'!C3708</f>
        <v>10</v>
      </c>
      <c r="E5396" s="19" t="n">
        <f aca="false">'SALES Raw'!D3708</f>
        <v>177.62</v>
      </c>
      <c r="F5396" s="19" t="n">
        <f aca="false">'SALES Raw'!E3708*$H$4</f>
        <v>0</v>
      </c>
      <c r="G5396" s="19" t="n">
        <f aca="false">'SALES Raw'!F3708*$H$4</f>
        <v>0</v>
      </c>
      <c r="H5396" s="18" t="str">
        <f aca="false">'SALES Raw'!A3708</f>
        <v>208 - Medipal Company NABLUS</v>
      </c>
    </row>
    <row r="5397" customFormat="false" ht="15" hidden="false" customHeight="false" outlineLevel="0" collapsed="false">
      <c r="A5397" s="18" t="n">
        <f aca="false">'SALES Raw'!G3709</f>
        <v>4415162</v>
      </c>
      <c r="B5397" s="18" t="str">
        <f aca="false">'SALES Raw'!B3709</f>
        <v>238 L</v>
      </c>
      <c r="C5397" s="18" t="str">
        <f aca="false">'SALES Raw'!H3709</f>
        <v>238L סד ליישור אצבע</v>
      </c>
      <c r="D5397" s="19" t="n">
        <f aca="false">'SALES Raw'!C3709</f>
        <v>33</v>
      </c>
      <c r="E5397" s="19" t="n">
        <f aca="false">'SALES Raw'!D3709</f>
        <v>241.81</v>
      </c>
      <c r="F5397" s="19" t="n">
        <f aca="false">'SALES Raw'!E3709*$H$4</f>
        <v>0</v>
      </c>
      <c r="G5397" s="19" t="n">
        <f aca="false">'SALES Raw'!F3709*$H$4</f>
        <v>0</v>
      </c>
      <c r="H5397" s="18" t="str">
        <f aca="false">'SALES Raw'!A3709</f>
        <v>208 - Medipal Company NABLUS</v>
      </c>
    </row>
    <row r="5398" customFormat="false" ht="15" hidden="false" customHeight="false" outlineLevel="0" collapsed="false">
      <c r="A5398" s="18" t="n">
        <f aca="false">'SALES Raw'!G3710</f>
        <v>4415161</v>
      </c>
      <c r="B5398" s="18" t="str">
        <f aca="false">'SALES Raw'!B3710</f>
        <v>238 M</v>
      </c>
      <c r="C5398" s="18" t="str">
        <f aca="false">'SALES Raw'!H3710</f>
        <v>238M סד ליישור אצבע</v>
      </c>
      <c r="D5398" s="19" t="n">
        <f aca="false">'SALES Raw'!C3710</f>
        <v>22</v>
      </c>
      <c r="E5398" s="19" t="n">
        <f aca="false">'SALES Raw'!D3710</f>
        <v>161.23</v>
      </c>
      <c r="F5398" s="19" t="n">
        <f aca="false">'SALES Raw'!E3710*$H$4</f>
        <v>0</v>
      </c>
      <c r="G5398" s="19" t="n">
        <f aca="false">'SALES Raw'!F3710*$H$4</f>
        <v>0</v>
      </c>
      <c r="H5398" s="18" t="str">
        <f aca="false">'SALES Raw'!A3710</f>
        <v>208 - Medipal Company NABLUS</v>
      </c>
    </row>
    <row r="5399" customFormat="false" ht="15" hidden="false" customHeight="false" outlineLevel="0" collapsed="false">
      <c r="A5399" s="18" t="n">
        <f aca="false">'SALES Raw'!G3711</f>
        <v>4415160</v>
      </c>
      <c r="B5399" s="18" t="str">
        <f aca="false">'SALES Raw'!B3711</f>
        <v>238 S</v>
      </c>
      <c r="C5399" s="18" t="str">
        <f aca="false">'SALES Raw'!H3711</f>
        <v>238S סד ליישור אצבע</v>
      </c>
      <c r="D5399" s="19" t="n">
        <f aca="false">'SALES Raw'!C3711</f>
        <v>33</v>
      </c>
      <c r="E5399" s="19" t="n">
        <f aca="false">'SALES Raw'!D3711</f>
        <v>241.8</v>
      </c>
      <c r="F5399" s="19" t="n">
        <f aca="false">'SALES Raw'!E3711*$H$4</f>
        <v>0</v>
      </c>
      <c r="G5399" s="19" t="n">
        <f aca="false">'SALES Raw'!F3711*$H$4</f>
        <v>0</v>
      </c>
      <c r="H5399" s="18" t="str">
        <f aca="false">'SALES Raw'!A3711</f>
        <v>208 - Medipal Company NABLUS</v>
      </c>
    </row>
    <row r="5400" customFormat="false" ht="15" hidden="false" customHeight="false" outlineLevel="0" collapsed="false">
      <c r="A5400" s="18" t="n">
        <f aca="false">'SALES Raw'!G3712</f>
        <v>4415163</v>
      </c>
      <c r="B5400" s="18" t="str">
        <f aca="false">'SALES Raw'!B3712</f>
        <v>238 XL</v>
      </c>
      <c r="C5400" s="18" t="str">
        <f aca="false">'SALES Raw'!H3712</f>
        <v>238XL סד ליישור אצבע</v>
      </c>
      <c r="D5400" s="19" t="n">
        <f aca="false">'SALES Raw'!C3712</f>
        <v>22</v>
      </c>
      <c r="E5400" s="19" t="n">
        <f aca="false">'SALES Raw'!D3712</f>
        <v>161.23</v>
      </c>
      <c r="F5400" s="19" t="n">
        <f aca="false">'SALES Raw'!E3712*$H$4</f>
        <v>0</v>
      </c>
      <c r="G5400" s="19" t="n">
        <f aca="false">'SALES Raw'!F3712*$H$4</f>
        <v>0</v>
      </c>
      <c r="H5400" s="18" t="str">
        <f aca="false">'SALES Raw'!A3712</f>
        <v>208 - Medipal Company NABLUS</v>
      </c>
    </row>
    <row r="5401" customFormat="false" ht="15" hidden="false" customHeight="false" outlineLevel="0" collapsed="false">
      <c r="A5401" s="18" t="n">
        <f aca="false">'SALES Raw'!G3713</f>
        <v>4413372</v>
      </c>
      <c r="B5401" s="18" t="str">
        <f aca="false">'SALES Raw'!B3713</f>
        <v>302W 0</v>
      </c>
      <c r="C5401" s="18" t="str">
        <f aca="false">'SALES Raw'!H3713</f>
        <v>302 W מדרס לאישה</v>
      </c>
      <c r="D5401" s="19" t="n">
        <f aca="false">'SALES Raw'!C3713</f>
        <v>55</v>
      </c>
      <c r="E5401" s="19" t="n">
        <f aca="false">'SALES Raw'!D3713</f>
        <v>1317.47</v>
      </c>
      <c r="F5401" s="19" t="n">
        <f aca="false">'SALES Raw'!E3713*$H$4</f>
        <v>0</v>
      </c>
      <c r="G5401" s="19" t="n">
        <f aca="false">'SALES Raw'!F3713*$H$4</f>
        <v>0</v>
      </c>
      <c r="H5401" s="18" t="str">
        <f aca="false">'SALES Raw'!A3713</f>
        <v>208 - Medipal Company NABLUS</v>
      </c>
    </row>
    <row r="5402" customFormat="false" ht="15" hidden="false" customHeight="false" outlineLevel="0" collapsed="false">
      <c r="A5402" s="18" t="str">
        <f aca="false">'SALES Raw'!G3714</f>
        <v/>
      </c>
      <c r="B5402" s="18" t="str">
        <f aca="false">'SALES Raw'!B3714</f>
        <v>305-35-36</v>
      </c>
      <c r="C5402" s="18" t="str">
        <f aca="false">'SALES Raw'!H3714</f>
        <v>305-35-36</v>
      </c>
      <c r="D5402" s="19" t="n">
        <f aca="false">'SALES Raw'!C3714</f>
        <v>100</v>
      </c>
      <c r="E5402" s="19" t="n">
        <f aca="false">'SALES Raw'!D3714</f>
        <v>3208.35</v>
      </c>
      <c r="F5402" s="19" t="n">
        <f aca="false">'SALES Raw'!E3714*$H$4</f>
        <v>0</v>
      </c>
      <c r="G5402" s="19" t="n">
        <f aca="false">'SALES Raw'!F3714*$H$4</f>
        <v>0</v>
      </c>
      <c r="H5402" s="18" t="str">
        <f aca="false">'SALES Raw'!A3714</f>
        <v>208 - Medipal Company NABLUS</v>
      </c>
    </row>
    <row r="5403" customFormat="false" ht="15" hidden="false" customHeight="false" outlineLevel="0" collapsed="false">
      <c r="A5403" s="18" t="str">
        <f aca="false">'SALES Raw'!G3715</f>
        <v/>
      </c>
      <c r="B5403" s="18" t="str">
        <f aca="false">'SALES Raw'!B3715</f>
        <v>305-37-38</v>
      </c>
      <c r="C5403" s="18" t="str">
        <f aca="false">'SALES Raw'!H3715</f>
        <v>305-37-38</v>
      </c>
      <c r="D5403" s="19" t="n">
        <f aca="false">'SALES Raw'!C3715</f>
        <v>100</v>
      </c>
      <c r="E5403" s="19" t="n">
        <f aca="false">'SALES Raw'!D3715</f>
        <v>3208.35</v>
      </c>
      <c r="F5403" s="19" t="n">
        <f aca="false">'SALES Raw'!E3715*$H$4</f>
        <v>0</v>
      </c>
      <c r="G5403" s="19" t="n">
        <f aca="false">'SALES Raw'!F3715*$H$4</f>
        <v>0</v>
      </c>
      <c r="H5403" s="18" t="str">
        <f aca="false">'SALES Raw'!A3715</f>
        <v>208 - Medipal Company NABLUS</v>
      </c>
    </row>
    <row r="5404" customFormat="false" ht="15" hidden="false" customHeight="false" outlineLevel="0" collapsed="false">
      <c r="A5404" s="18" t="str">
        <f aca="false">'SALES Raw'!G3716</f>
        <v/>
      </c>
      <c r="B5404" s="18" t="str">
        <f aca="false">'SALES Raw'!B3716</f>
        <v>305-39-40</v>
      </c>
      <c r="C5404" s="18" t="str">
        <f aca="false">'SALES Raw'!H3716</f>
        <v>305-39-40</v>
      </c>
      <c r="D5404" s="19" t="n">
        <f aca="false">'SALES Raw'!C3716</f>
        <v>200</v>
      </c>
      <c r="E5404" s="19" t="n">
        <f aca="false">'SALES Raw'!D3716</f>
        <v>6416.69</v>
      </c>
      <c r="F5404" s="19" t="n">
        <f aca="false">'SALES Raw'!E3716*$H$4</f>
        <v>0</v>
      </c>
      <c r="G5404" s="19" t="n">
        <f aca="false">'SALES Raw'!F3716*$H$4</f>
        <v>0</v>
      </c>
      <c r="H5404" s="18" t="str">
        <f aca="false">'SALES Raw'!A3716</f>
        <v>208 - Medipal Company NABLUS</v>
      </c>
    </row>
    <row r="5405" customFormat="false" ht="15" hidden="false" customHeight="false" outlineLevel="0" collapsed="false">
      <c r="A5405" s="18" t="str">
        <f aca="false">'SALES Raw'!G3717</f>
        <v/>
      </c>
      <c r="B5405" s="18" t="str">
        <f aca="false">'SALES Raw'!B3717</f>
        <v>305-41-42</v>
      </c>
      <c r="C5405" s="18" t="str">
        <f aca="false">'SALES Raw'!H3717</f>
        <v>305-41-42</v>
      </c>
      <c r="D5405" s="19" t="n">
        <f aca="false">'SALES Raw'!C3717</f>
        <v>300</v>
      </c>
      <c r="E5405" s="19" t="n">
        <f aca="false">'SALES Raw'!D3717</f>
        <v>9625.04</v>
      </c>
      <c r="F5405" s="19" t="n">
        <f aca="false">'SALES Raw'!E3717*$H$4</f>
        <v>0</v>
      </c>
      <c r="G5405" s="19" t="n">
        <f aca="false">'SALES Raw'!F3717*$H$4</f>
        <v>0</v>
      </c>
      <c r="H5405" s="18" t="str">
        <f aca="false">'SALES Raw'!A3717</f>
        <v>208 - Medipal Company NABLUS</v>
      </c>
    </row>
    <row r="5406" customFormat="false" ht="15" hidden="false" customHeight="false" outlineLevel="0" collapsed="false">
      <c r="A5406" s="18" t="str">
        <f aca="false">'SALES Raw'!G3718</f>
        <v/>
      </c>
      <c r="B5406" s="18" t="str">
        <f aca="false">'SALES Raw'!B3718</f>
        <v>305-43-44</v>
      </c>
      <c r="C5406" s="18" t="str">
        <f aca="false">'SALES Raw'!H3718</f>
        <v>305-43-44</v>
      </c>
      <c r="D5406" s="19" t="n">
        <f aca="false">'SALES Raw'!C3718</f>
        <v>300</v>
      </c>
      <c r="E5406" s="19" t="n">
        <f aca="false">'SALES Raw'!D3718</f>
        <v>9625.03</v>
      </c>
      <c r="F5406" s="19" t="n">
        <f aca="false">'SALES Raw'!E3718*$H$4</f>
        <v>0</v>
      </c>
      <c r="G5406" s="19" t="n">
        <f aca="false">'SALES Raw'!F3718*$H$4</f>
        <v>0</v>
      </c>
      <c r="H5406" s="18" t="str">
        <f aca="false">'SALES Raw'!A3718</f>
        <v>208 - Medipal Company NABLUS</v>
      </c>
    </row>
    <row r="5407" customFormat="false" ht="15" hidden="false" customHeight="false" outlineLevel="0" collapsed="false">
      <c r="A5407" s="18" t="str">
        <f aca="false">'SALES Raw'!G3719</f>
        <v/>
      </c>
      <c r="B5407" s="18" t="str">
        <f aca="false">'SALES Raw'!B3719</f>
        <v>305-45-46</v>
      </c>
      <c r="C5407" s="18" t="str">
        <f aca="false">'SALES Raw'!H3719</f>
        <v>305-45-46</v>
      </c>
      <c r="D5407" s="19" t="n">
        <f aca="false">'SALES Raw'!C3719</f>
        <v>100</v>
      </c>
      <c r="E5407" s="19" t="n">
        <f aca="false">'SALES Raw'!D3719</f>
        <v>0.03</v>
      </c>
      <c r="F5407" s="19" t="n">
        <f aca="false">'SALES Raw'!E3719*$H$4</f>
        <v>0</v>
      </c>
      <c r="G5407" s="19" t="n">
        <f aca="false">'SALES Raw'!F3719*$H$4</f>
        <v>0</v>
      </c>
      <c r="H5407" s="18" t="str">
        <f aca="false">'SALES Raw'!A3719</f>
        <v>208 - Medipal Company NABLUS</v>
      </c>
    </row>
    <row r="5408" customFormat="false" ht="15" hidden="false" customHeight="false" outlineLevel="0" collapsed="false">
      <c r="A5408" s="18" t="n">
        <f aca="false">'SALES Raw'!G3720</f>
        <v>4416000</v>
      </c>
      <c r="B5408" s="18" t="str">
        <f aca="false">'SALES Raw'!B3720</f>
        <v>307 L</v>
      </c>
      <c r="C5408" s="18" t="str">
        <f aca="false">'SALES Raw'!H3720</f>
        <v>307 L עקבים לדורבן-זוג כריות</v>
      </c>
      <c r="D5408" s="19" t="n">
        <f aca="false">'SALES Raw'!C3720</f>
        <v>10</v>
      </c>
      <c r="E5408" s="19" t="n">
        <f aca="false">'SALES Raw'!D3720</f>
        <v>244.89</v>
      </c>
      <c r="F5408" s="19" t="n">
        <f aca="false">'SALES Raw'!E3720*$H$4</f>
        <v>0</v>
      </c>
      <c r="G5408" s="19" t="n">
        <f aca="false">'SALES Raw'!F3720*$H$4</f>
        <v>0</v>
      </c>
      <c r="H5408" s="18" t="str">
        <f aca="false">'SALES Raw'!A3720</f>
        <v>208 - Medipal Company NABLUS</v>
      </c>
    </row>
    <row r="5409" customFormat="false" ht="15" hidden="false" customHeight="false" outlineLevel="0" collapsed="false">
      <c r="A5409" s="18" t="n">
        <f aca="false">'SALES Raw'!G3721</f>
        <v>4416001</v>
      </c>
      <c r="B5409" s="18" t="str">
        <f aca="false">'SALES Raw'!B3721</f>
        <v>307 M</v>
      </c>
      <c r="C5409" s="18" t="str">
        <f aca="false">'SALES Raw'!H3721</f>
        <v>307 M עקבים לדורבן-זוג כריות</v>
      </c>
      <c r="D5409" s="19" t="n">
        <f aca="false">'SALES Raw'!C3721</f>
        <v>20</v>
      </c>
      <c r="E5409" s="19" t="n">
        <f aca="false">'SALES Raw'!D3721</f>
        <v>489.77</v>
      </c>
      <c r="F5409" s="19" t="n">
        <f aca="false">'SALES Raw'!E3721*$H$4</f>
        <v>0</v>
      </c>
      <c r="G5409" s="19" t="n">
        <f aca="false">'SALES Raw'!F3721*$H$4</f>
        <v>0</v>
      </c>
      <c r="H5409" s="18" t="str">
        <f aca="false">'SALES Raw'!A3721</f>
        <v>208 - Medipal Company NABLUS</v>
      </c>
    </row>
    <row r="5410" customFormat="false" ht="15" hidden="false" customHeight="false" outlineLevel="0" collapsed="false">
      <c r="A5410" s="18" t="n">
        <f aca="false">'SALES Raw'!G3722</f>
        <v>4416002</v>
      </c>
      <c r="B5410" s="18" t="str">
        <f aca="false">'SALES Raw'!B3722</f>
        <v>307 S</v>
      </c>
      <c r="C5410" s="18" t="str">
        <f aca="false">'SALES Raw'!H3722</f>
        <v>307 S עקבים לדורבן-זוג כריות</v>
      </c>
      <c r="D5410" s="19" t="n">
        <f aca="false">'SALES Raw'!C3722</f>
        <v>20</v>
      </c>
      <c r="E5410" s="19" t="n">
        <f aca="false">'SALES Raw'!D3722</f>
        <v>489.77</v>
      </c>
      <c r="F5410" s="19" t="n">
        <f aca="false">'SALES Raw'!E3722*$H$4</f>
        <v>0</v>
      </c>
      <c r="G5410" s="19" t="n">
        <f aca="false">'SALES Raw'!F3722*$H$4</f>
        <v>0</v>
      </c>
      <c r="H5410" s="18" t="str">
        <f aca="false">'SALES Raw'!A3722</f>
        <v>208 - Medipal Company NABLUS</v>
      </c>
    </row>
    <row r="5411" customFormat="false" ht="15" hidden="false" customHeight="false" outlineLevel="0" collapsed="false">
      <c r="A5411" s="18" t="n">
        <f aca="false">'SALES Raw'!G3723</f>
        <v>4411016</v>
      </c>
      <c r="B5411" s="18" t="str">
        <f aca="false">'SALES Raw'!B3723</f>
        <v>307 XL</v>
      </c>
      <c r="C5411" s="18" t="str">
        <f aca="false">'SALES Raw'!H3723</f>
        <v>307 XL כרית סיליקון לעקב</v>
      </c>
      <c r="D5411" s="19" t="n">
        <f aca="false">'SALES Raw'!C3723</f>
        <v>5</v>
      </c>
      <c r="E5411" s="19" t="n">
        <f aca="false">'SALES Raw'!D3723</f>
        <v>0.03</v>
      </c>
      <c r="F5411" s="19" t="n">
        <f aca="false">'SALES Raw'!E3723*$H$4</f>
        <v>0</v>
      </c>
      <c r="G5411" s="19" t="n">
        <f aca="false">'SALES Raw'!F3723*$H$4</f>
        <v>0</v>
      </c>
      <c r="H5411" s="18" t="str">
        <f aca="false">'SALES Raw'!A3723</f>
        <v>208 - Medipal Company NABLUS</v>
      </c>
    </row>
    <row r="5412" customFormat="false" ht="15" hidden="false" customHeight="false" outlineLevel="0" collapsed="false">
      <c r="A5412" s="18" t="n">
        <f aca="false">'SALES Raw'!G3724</f>
        <v>4413034</v>
      </c>
      <c r="B5412" s="18" t="str">
        <f aca="false">'SALES Raw'!B3724</f>
        <v>312 0</v>
      </c>
      <c r="C5412" s="18" t="str">
        <f aca="false">'SALES Raw'!H3724</f>
        <v>312 9 מ""""ס להתאמהX5 מדבקה גדולה</v>
      </c>
      <c r="D5412" s="19" t="n">
        <f aca="false">'SALES Raw'!C3724</f>
        <v>55</v>
      </c>
      <c r="E5412" s="19" t="n">
        <f aca="false">'SALES Raw'!D3724</f>
        <v>387.52</v>
      </c>
      <c r="F5412" s="19" t="n">
        <f aca="false">'SALES Raw'!E3724*$H$4</f>
        <v>0</v>
      </c>
      <c r="G5412" s="19" t="n">
        <f aca="false">'SALES Raw'!F3724*$H$4</f>
        <v>0</v>
      </c>
      <c r="H5412" s="18" t="str">
        <f aca="false">'SALES Raw'!A3724</f>
        <v>208 - Medipal Company NABLUS</v>
      </c>
    </row>
    <row r="5413" customFormat="false" ht="15" hidden="false" customHeight="false" outlineLevel="0" collapsed="false">
      <c r="A5413" s="18" t="n">
        <f aca="false">'SALES Raw'!G3725</f>
        <v>4413043</v>
      </c>
      <c r="B5413" s="18" t="str">
        <f aca="false">'SALES Raw'!B3725</f>
        <v>34 L</v>
      </c>
      <c r="C5413" s="18" t="str">
        <f aca="false">'SALES Raw'!H3725</f>
        <v>34  L מגן קרסול עקב סגור</v>
      </c>
      <c r="D5413" s="19" t="n">
        <f aca="false">'SALES Raw'!C3725</f>
        <v>10</v>
      </c>
      <c r="E5413" s="19" t="n">
        <f aca="false">'SALES Raw'!D3725</f>
        <v>241.78</v>
      </c>
      <c r="F5413" s="19" t="n">
        <f aca="false">'SALES Raw'!E3725*$H$4</f>
        <v>0</v>
      </c>
      <c r="G5413" s="19" t="n">
        <f aca="false">'SALES Raw'!F3725*$H$4</f>
        <v>0</v>
      </c>
      <c r="H5413" s="18" t="str">
        <f aca="false">'SALES Raw'!A3725</f>
        <v>208 - Medipal Company NABLUS</v>
      </c>
    </row>
    <row r="5414" customFormat="false" ht="15" hidden="false" customHeight="false" outlineLevel="0" collapsed="false">
      <c r="A5414" s="18" t="n">
        <f aca="false">'SALES Raw'!G3726</f>
        <v>4413041</v>
      </c>
      <c r="B5414" s="18" t="str">
        <f aca="false">'SALES Raw'!B3726</f>
        <v>34 M</v>
      </c>
      <c r="C5414" s="18" t="str">
        <f aca="false">'SALES Raw'!H3726</f>
        <v>34  M מגן קרסול עקב סגור</v>
      </c>
      <c r="D5414" s="19" t="n">
        <f aca="false">'SALES Raw'!C3726</f>
        <v>20</v>
      </c>
      <c r="E5414" s="19" t="n">
        <f aca="false">'SALES Raw'!D3726</f>
        <v>483.58</v>
      </c>
      <c r="F5414" s="19" t="n">
        <f aca="false">'SALES Raw'!E3726*$H$4</f>
        <v>0</v>
      </c>
      <c r="G5414" s="19" t="n">
        <f aca="false">'SALES Raw'!F3726*$H$4</f>
        <v>0</v>
      </c>
      <c r="H5414" s="18" t="str">
        <f aca="false">'SALES Raw'!A3726</f>
        <v>208 - Medipal Company NABLUS</v>
      </c>
    </row>
    <row r="5415" customFormat="false" ht="15" hidden="false" customHeight="false" outlineLevel="0" collapsed="false">
      <c r="A5415" s="18" t="n">
        <f aca="false">'SALES Raw'!G3727</f>
        <v>4413042</v>
      </c>
      <c r="B5415" s="18" t="str">
        <f aca="false">'SALES Raw'!B3727</f>
        <v>34 S</v>
      </c>
      <c r="C5415" s="18" t="str">
        <f aca="false">'SALES Raw'!H3727</f>
        <v>34  S מגן קרסול עקב סגור</v>
      </c>
      <c r="D5415" s="19" t="n">
        <f aca="false">'SALES Raw'!C3727</f>
        <v>10</v>
      </c>
      <c r="E5415" s="19" t="n">
        <f aca="false">'SALES Raw'!D3727</f>
        <v>241.78</v>
      </c>
      <c r="F5415" s="19" t="n">
        <f aca="false">'SALES Raw'!E3727*$H$4</f>
        <v>0</v>
      </c>
      <c r="G5415" s="19" t="n">
        <f aca="false">'SALES Raw'!F3727*$H$4</f>
        <v>0</v>
      </c>
      <c r="H5415" s="18" t="str">
        <f aca="false">'SALES Raw'!A3727</f>
        <v>208 - Medipal Company NABLUS</v>
      </c>
    </row>
    <row r="5416" customFormat="false" ht="15" hidden="false" customHeight="false" outlineLevel="0" collapsed="false">
      <c r="A5416" s="18" t="n">
        <f aca="false">'SALES Raw'!G3728</f>
        <v>4413044</v>
      </c>
      <c r="B5416" s="18" t="str">
        <f aca="false">'SALES Raw'!B3728</f>
        <v>34 XL</v>
      </c>
      <c r="C5416" s="18" t="str">
        <f aca="false">'SALES Raw'!H3728</f>
        <v>34 XL מגן קרסול עקב סגור</v>
      </c>
      <c r="D5416" s="19" t="n">
        <f aca="false">'SALES Raw'!C3728</f>
        <v>10</v>
      </c>
      <c r="E5416" s="19" t="n">
        <f aca="false">'SALES Raw'!D3728</f>
        <v>241.78</v>
      </c>
      <c r="F5416" s="19" t="n">
        <f aca="false">'SALES Raw'!E3728*$H$4</f>
        <v>0</v>
      </c>
      <c r="G5416" s="19" t="n">
        <f aca="false">'SALES Raw'!F3728*$H$4</f>
        <v>0</v>
      </c>
      <c r="H5416" s="18" t="str">
        <f aca="false">'SALES Raw'!A3728</f>
        <v>208 - Medipal Company NABLUS</v>
      </c>
    </row>
    <row r="5417" customFormat="false" ht="15" hidden="false" customHeight="false" outlineLevel="0" collapsed="false">
      <c r="A5417" s="18" t="n">
        <f aca="false">'SALES Raw'!G3729</f>
        <v>4413046</v>
      </c>
      <c r="B5417" s="18" t="str">
        <f aca="false">'SALES Raw'!B3729</f>
        <v>34 XXL</v>
      </c>
      <c r="C5417" s="18" t="str">
        <f aca="false">'SALES Raw'!H3729</f>
        <v>34 XXL מגן קרסול עקב סגור</v>
      </c>
      <c r="D5417" s="19" t="n">
        <f aca="false">'SALES Raw'!C3729</f>
        <v>5</v>
      </c>
      <c r="E5417" s="19" t="n">
        <f aca="false">'SALES Raw'!D3729</f>
        <v>0.03</v>
      </c>
      <c r="F5417" s="19" t="n">
        <f aca="false">'SALES Raw'!E3729*$H$4</f>
        <v>0</v>
      </c>
      <c r="G5417" s="19" t="n">
        <f aca="false">'SALES Raw'!F3729*$H$4</f>
        <v>0</v>
      </c>
      <c r="H5417" s="18" t="str">
        <f aca="false">'SALES Raw'!A3729</f>
        <v>208 - Medipal Company NABLUS</v>
      </c>
    </row>
    <row r="5418" customFormat="false" ht="15" hidden="false" customHeight="false" outlineLevel="0" collapsed="false">
      <c r="A5418" s="18" t="n">
        <f aca="false">'SALES Raw'!G3730</f>
        <v>4413161</v>
      </c>
      <c r="B5418" s="18" t="str">
        <f aca="false">'SALES Raw'!B3730</f>
        <v>34+ L</v>
      </c>
      <c r="C5418" s="18" t="str">
        <f aca="false">'SALES Raw'!H3730</f>
        <v>34+ L מגן קרסול עקב סגור+רצוע</v>
      </c>
      <c r="D5418" s="19" t="n">
        <f aca="false">'SALES Raw'!C3730</f>
        <v>20</v>
      </c>
      <c r="E5418" s="19" t="n">
        <f aca="false">'SALES Raw'!D3730</f>
        <v>647.87</v>
      </c>
      <c r="F5418" s="19" t="n">
        <f aca="false">'SALES Raw'!E3730*$H$4</f>
        <v>0</v>
      </c>
      <c r="G5418" s="19" t="n">
        <f aca="false">'SALES Raw'!F3730*$H$4</f>
        <v>0</v>
      </c>
      <c r="H5418" s="18" t="str">
        <f aca="false">'SALES Raw'!A3730</f>
        <v>208 - Medipal Company NABLUS</v>
      </c>
    </row>
    <row r="5419" customFormat="false" ht="15" hidden="false" customHeight="false" outlineLevel="0" collapsed="false">
      <c r="A5419" s="18" t="n">
        <f aca="false">'SALES Raw'!G3731</f>
        <v>4413160</v>
      </c>
      <c r="B5419" s="18" t="str">
        <f aca="false">'SALES Raw'!B3731</f>
        <v>34+ M</v>
      </c>
      <c r="C5419" s="18" t="str">
        <f aca="false">'SALES Raw'!H3731</f>
        <v>34+ M מגן קרסול עקב סגור+רצוע</v>
      </c>
      <c r="D5419" s="19" t="n">
        <f aca="false">'SALES Raw'!C3731</f>
        <v>20</v>
      </c>
      <c r="E5419" s="19" t="n">
        <f aca="false">'SALES Raw'!D3731</f>
        <v>647.87</v>
      </c>
      <c r="F5419" s="19" t="n">
        <f aca="false">'SALES Raw'!E3731*$H$4</f>
        <v>0</v>
      </c>
      <c r="G5419" s="19" t="n">
        <f aca="false">'SALES Raw'!F3731*$H$4</f>
        <v>0</v>
      </c>
      <c r="H5419" s="18" t="str">
        <f aca="false">'SALES Raw'!A3731</f>
        <v>208 - Medipal Company NABLUS</v>
      </c>
    </row>
    <row r="5420" customFormat="false" ht="15" hidden="false" customHeight="false" outlineLevel="0" collapsed="false">
      <c r="A5420" s="18" t="n">
        <f aca="false">'SALES Raw'!G3732</f>
        <v>4413159</v>
      </c>
      <c r="B5420" s="18" t="str">
        <f aca="false">'SALES Raw'!B3732</f>
        <v>34+ S</v>
      </c>
      <c r="C5420" s="18" t="str">
        <f aca="false">'SALES Raw'!H3732</f>
        <v>34+ S מגן קרסול עקב סגור+רצוע</v>
      </c>
      <c r="D5420" s="19" t="n">
        <f aca="false">'SALES Raw'!C3732</f>
        <v>5</v>
      </c>
      <c r="E5420" s="19" t="n">
        <f aca="false">'SALES Raw'!D3732</f>
        <v>0.03</v>
      </c>
      <c r="F5420" s="19" t="n">
        <f aca="false">'SALES Raw'!E3732*$H$4</f>
        <v>0</v>
      </c>
      <c r="G5420" s="19" t="n">
        <f aca="false">'SALES Raw'!F3732*$H$4</f>
        <v>0</v>
      </c>
      <c r="H5420" s="18" t="str">
        <f aca="false">'SALES Raw'!A3732</f>
        <v>208 - Medipal Company NABLUS</v>
      </c>
    </row>
    <row r="5421" customFormat="false" ht="15" hidden="false" customHeight="false" outlineLevel="0" collapsed="false">
      <c r="A5421" s="18" t="n">
        <f aca="false">'SALES Raw'!G3733</f>
        <v>4413162</v>
      </c>
      <c r="B5421" s="18" t="str">
        <f aca="false">'SALES Raw'!B3733</f>
        <v>34+ XL</v>
      </c>
      <c r="C5421" s="18" t="str">
        <f aca="false">'SALES Raw'!H3733</f>
        <v>34+XL מגן קרסול עקב סגור+רצוע</v>
      </c>
      <c r="D5421" s="19" t="n">
        <f aca="false">'SALES Raw'!C3733</f>
        <v>5</v>
      </c>
      <c r="E5421" s="19" t="n">
        <f aca="false">'SALES Raw'!D3733</f>
        <v>161.97</v>
      </c>
      <c r="F5421" s="19" t="n">
        <f aca="false">'SALES Raw'!E3733*$H$4</f>
        <v>0</v>
      </c>
      <c r="G5421" s="19" t="n">
        <f aca="false">'SALES Raw'!F3733*$H$4</f>
        <v>0</v>
      </c>
      <c r="H5421" s="18" t="str">
        <f aca="false">'SALES Raw'!A3733</f>
        <v>208 - Medipal Company NABLUS</v>
      </c>
    </row>
    <row r="5422" customFormat="false" ht="15" hidden="false" customHeight="false" outlineLevel="0" collapsed="false">
      <c r="A5422" s="18" t="n">
        <f aca="false">'SALES Raw'!G3734</f>
        <v>4413303</v>
      </c>
      <c r="B5422" s="18" t="str">
        <f aca="false">'SALES Raw'!B3734</f>
        <v>34+ XXL</v>
      </c>
      <c r="C5422" s="18" t="str">
        <f aca="false">'SALES Raw'!H3734</f>
        <v>34+XXL מ.קרסול+עכב סגור+רצועות</v>
      </c>
      <c r="D5422" s="19" t="n">
        <f aca="false">'SALES Raw'!C3734</f>
        <v>5</v>
      </c>
      <c r="E5422" s="19" t="n">
        <f aca="false">'SALES Raw'!D3734</f>
        <v>161.97</v>
      </c>
      <c r="F5422" s="19" t="n">
        <f aca="false">'SALES Raw'!E3734*$H$4</f>
        <v>0</v>
      </c>
      <c r="G5422" s="19" t="n">
        <f aca="false">'SALES Raw'!F3734*$H$4</f>
        <v>0</v>
      </c>
      <c r="H5422" s="18" t="str">
        <f aca="false">'SALES Raw'!A3734</f>
        <v>208 - Medipal Company NABLUS</v>
      </c>
    </row>
    <row r="5423" customFormat="false" ht="15" hidden="false" customHeight="false" outlineLevel="0" collapsed="false">
      <c r="A5423" s="18" t="n">
        <f aca="false">'SALES Raw'!G3735</f>
        <v>4421001</v>
      </c>
      <c r="B5423" s="18" t="str">
        <f aca="false">'SALES Raw'!B3735</f>
        <v>3611 0</v>
      </c>
      <c r="C5423" s="18" t="str">
        <f aca="false">'SALES Raw'!H3735</f>
        <v>3611 שרוול מטטרזלי מסיליקון</v>
      </c>
      <c r="D5423" s="19" t="n">
        <f aca="false">'SALES Raw'!C3735</f>
        <v>55</v>
      </c>
      <c r="E5423" s="19" t="n">
        <f aca="false">'SALES Raw'!D3735</f>
        <v>1450.76</v>
      </c>
      <c r="F5423" s="19" t="n">
        <f aca="false">'SALES Raw'!E3735*$H$4</f>
        <v>0</v>
      </c>
      <c r="G5423" s="19" t="n">
        <f aca="false">'SALES Raw'!F3735*$H$4</f>
        <v>0</v>
      </c>
      <c r="H5423" s="18" t="str">
        <f aca="false">'SALES Raw'!A3735</f>
        <v>208 - Medipal Company NABLUS</v>
      </c>
    </row>
    <row r="5424" customFormat="false" ht="15" hidden="false" customHeight="false" outlineLevel="0" collapsed="false">
      <c r="A5424" s="18" t="n">
        <f aca="false">'SALES Raw'!G3736</f>
        <v>4413061</v>
      </c>
      <c r="B5424" s="18" t="str">
        <f aca="false">'SALES Raw'!B3736</f>
        <v>3641 0</v>
      </c>
      <c r="C5424" s="18" t="str">
        <f aca="false">'SALES Raw'!H3736</f>
        <v>3641-מיישר בוהן סיליקון קשיח</v>
      </c>
      <c r="D5424" s="19" t="n">
        <f aca="false">'SALES Raw'!C3736</f>
        <v>55</v>
      </c>
      <c r="E5424" s="19" t="n">
        <f aca="false">'SALES Raw'!D3736</f>
        <v>248.02</v>
      </c>
      <c r="F5424" s="19" t="n">
        <f aca="false">'SALES Raw'!E3736*$H$4</f>
        <v>0</v>
      </c>
      <c r="G5424" s="19" t="n">
        <f aca="false">'SALES Raw'!F3736*$H$4</f>
        <v>0</v>
      </c>
      <c r="H5424" s="18" t="str">
        <f aca="false">'SALES Raw'!A3736</f>
        <v>208 - Medipal Company NABLUS</v>
      </c>
    </row>
    <row r="5425" customFormat="false" ht="15" hidden="false" customHeight="false" outlineLevel="0" collapsed="false">
      <c r="A5425" s="18" t="n">
        <f aca="false">'SALES Raw'!G3737</f>
        <v>4421000</v>
      </c>
      <c r="B5425" s="18" t="str">
        <f aca="false">'SALES Raw'!B3737</f>
        <v>3655 0</v>
      </c>
      <c r="C5425" s="18" t="str">
        <f aca="false">'SALES Raw'!H3737</f>
        <v>3655 שרוול מסיליקון לאצבע</v>
      </c>
      <c r="D5425" s="19" t="n">
        <f aca="false">'SALES Raw'!C3737</f>
        <v>55</v>
      </c>
      <c r="E5425" s="19" t="n">
        <f aca="false">'SALES Raw'!D3737</f>
        <v>403.01</v>
      </c>
      <c r="F5425" s="19" t="n">
        <f aca="false">'SALES Raw'!E3737*$H$4</f>
        <v>0</v>
      </c>
      <c r="G5425" s="19" t="n">
        <f aca="false">'SALES Raw'!F3737*$H$4</f>
        <v>0</v>
      </c>
      <c r="H5425" s="18" t="str">
        <f aca="false">'SALES Raw'!A3737</f>
        <v>208 - Medipal Company NABLUS</v>
      </c>
    </row>
    <row r="5426" customFormat="false" ht="15" hidden="false" customHeight="false" outlineLevel="0" collapsed="false">
      <c r="A5426" s="18" t="n">
        <f aca="false">'SALES Raw'!G3738</f>
        <v>4413370</v>
      </c>
      <c r="B5426" s="18" t="str">
        <f aca="false">'SALES Raw'!B3738</f>
        <v>3674 0</v>
      </c>
      <c r="C5426" s="18" t="str">
        <f aca="false">'SALES Raw'!H3738</f>
        <v>3674 0 מ.בוניון+מפריד אצבע</v>
      </c>
      <c r="D5426" s="19" t="n">
        <f aca="false">'SALES Raw'!C3738</f>
        <v>55</v>
      </c>
      <c r="E5426" s="19" t="n">
        <f aca="false">'SALES Raw'!D3738</f>
        <v>805.99</v>
      </c>
      <c r="F5426" s="19" t="n">
        <f aca="false">'SALES Raw'!E3738*$H$4</f>
        <v>0</v>
      </c>
      <c r="G5426" s="19" t="n">
        <f aca="false">'SALES Raw'!F3738*$H$4</f>
        <v>0</v>
      </c>
      <c r="H5426" s="18" t="str">
        <f aca="false">'SALES Raw'!A3738</f>
        <v>208 - Medipal Company NABLUS</v>
      </c>
    </row>
    <row r="5427" customFormat="false" ht="15" hidden="false" customHeight="false" outlineLevel="0" collapsed="false">
      <c r="A5427" s="18" t="n">
        <f aca="false">'SALES Raw'!G3739</f>
        <v>4420000</v>
      </c>
      <c r="B5427" s="18" t="str">
        <f aca="false">'SALES Raw'!B3739</f>
        <v>370 0</v>
      </c>
      <c r="C5427" s="18" t="str">
        <f aca="false">'SALES Raw'!H3739</f>
        <v>370  רפידת נוחות-זוג</v>
      </c>
      <c r="D5427" s="19" t="n">
        <f aca="false">'SALES Raw'!C3739</f>
        <v>55</v>
      </c>
      <c r="E5427" s="19" t="n">
        <f aca="false">'SALES Raw'!D3739</f>
        <v>279.02</v>
      </c>
      <c r="F5427" s="19" t="n">
        <f aca="false">'SALES Raw'!E3739*$H$4</f>
        <v>0</v>
      </c>
      <c r="G5427" s="19" t="n">
        <f aca="false">'SALES Raw'!F3739*$H$4</f>
        <v>0</v>
      </c>
      <c r="H5427" s="18" t="str">
        <f aca="false">'SALES Raw'!A3739</f>
        <v>208 - Medipal Company NABLUS</v>
      </c>
    </row>
    <row r="5428" customFormat="false" ht="15" hidden="false" customHeight="false" outlineLevel="0" collapsed="false">
      <c r="A5428" s="18" t="n">
        <f aca="false">'SALES Raw'!G3740</f>
        <v>4420003</v>
      </c>
      <c r="B5428" s="18" t="str">
        <f aca="false">'SALES Raw'!B3740</f>
        <v>374 0</v>
      </c>
      <c r="C5428" s="18" t="str">
        <f aca="false">'SALES Raw'!H3740</f>
        <v>374 רפידת בולמת זעזועים -זוג</v>
      </c>
      <c r="D5428" s="19" t="n">
        <f aca="false">'SALES Raw'!C3740</f>
        <v>55</v>
      </c>
      <c r="E5428" s="19" t="n">
        <f aca="false">'SALES Raw'!D3740</f>
        <v>379.76</v>
      </c>
      <c r="F5428" s="19" t="n">
        <f aca="false">'SALES Raw'!E3740*$H$4</f>
        <v>0</v>
      </c>
      <c r="G5428" s="19" t="n">
        <f aca="false">'SALES Raw'!F3740*$H$4</f>
        <v>0</v>
      </c>
      <c r="H5428" s="18" t="str">
        <f aca="false">'SALES Raw'!A3740</f>
        <v>208 - Medipal Company NABLUS</v>
      </c>
    </row>
    <row r="5429" customFormat="false" ht="15" hidden="false" customHeight="false" outlineLevel="0" collapsed="false">
      <c r="A5429" s="18" t="n">
        <f aca="false">'SALES Raw'!G3741</f>
        <v>4413102</v>
      </c>
      <c r="B5429" s="18" t="str">
        <f aca="false">'SALES Raw'!B3741</f>
        <v>45E L</v>
      </c>
      <c r="C5429" s="18" t="str">
        <f aca="false">'SALES Raw'!H3741</f>
        <v>45E  L        מגן ברך ארוך לבן</v>
      </c>
      <c r="D5429" s="19" t="n">
        <f aca="false">'SALES Raw'!C3741</f>
        <v>20</v>
      </c>
      <c r="E5429" s="19" t="n">
        <f aca="false">'SALES Raw'!D3741</f>
        <v>270.93</v>
      </c>
      <c r="F5429" s="19" t="n">
        <f aca="false">'SALES Raw'!E3741*$H$4</f>
        <v>0</v>
      </c>
      <c r="G5429" s="19" t="n">
        <f aca="false">'SALES Raw'!F3741*$H$4</f>
        <v>0</v>
      </c>
      <c r="H5429" s="18" t="str">
        <f aca="false">'SALES Raw'!A3741</f>
        <v>208 - Medipal Company NABLUS</v>
      </c>
    </row>
    <row r="5430" customFormat="false" ht="15" hidden="false" customHeight="false" outlineLevel="0" collapsed="false">
      <c r="A5430" s="18" t="n">
        <f aca="false">'SALES Raw'!G3742</f>
        <v>4413103</v>
      </c>
      <c r="B5430" s="18" t="str">
        <f aca="false">'SALES Raw'!B3742</f>
        <v>45E M</v>
      </c>
      <c r="C5430" s="18" t="str">
        <f aca="false">'SALES Raw'!H3742</f>
        <v>45E Mמגן ברך ארוך לבן</v>
      </c>
      <c r="D5430" s="19" t="n">
        <f aca="false">'SALES Raw'!C3742</f>
        <v>20</v>
      </c>
      <c r="E5430" s="19" t="n">
        <f aca="false">'SALES Raw'!D3742</f>
        <v>270.93</v>
      </c>
      <c r="F5430" s="19" t="n">
        <f aca="false">'SALES Raw'!E3742*$H$4</f>
        <v>0</v>
      </c>
      <c r="G5430" s="19" t="n">
        <f aca="false">'SALES Raw'!F3742*$H$4</f>
        <v>0</v>
      </c>
      <c r="H5430" s="18" t="str">
        <f aca="false">'SALES Raw'!A3742</f>
        <v>208 - Medipal Company NABLUS</v>
      </c>
    </row>
    <row r="5431" customFormat="false" ht="15" hidden="false" customHeight="false" outlineLevel="0" collapsed="false">
      <c r="A5431" s="18" t="n">
        <f aca="false">'SALES Raw'!G3743</f>
        <v>4413104</v>
      </c>
      <c r="B5431" s="18" t="str">
        <f aca="false">'SALES Raw'!B3743</f>
        <v>45E XL</v>
      </c>
      <c r="C5431" s="18" t="str">
        <f aca="false">'SALES Raw'!H3743</f>
        <v>45E XLמגן ברך ארוך לבן</v>
      </c>
      <c r="D5431" s="19" t="n">
        <f aca="false">'SALES Raw'!C3743</f>
        <v>15</v>
      </c>
      <c r="E5431" s="19" t="n">
        <f aca="false">'SALES Raw'!D3743</f>
        <v>135.49</v>
      </c>
      <c r="F5431" s="19" t="n">
        <f aca="false">'SALES Raw'!E3743*$H$4</f>
        <v>0</v>
      </c>
      <c r="G5431" s="19" t="n">
        <f aca="false">'SALES Raw'!F3743*$H$4</f>
        <v>0</v>
      </c>
      <c r="H5431" s="18" t="str">
        <f aca="false">'SALES Raw'!A3743</f>
        <v>208 - Medipal Company NABLUS</v>
      </c>
    </row>
    <row r="5432" customFormat="false" ht="15" hidden="false" customHeight="false" outlineLevel="0" collapsed="false">
      <c r="A5432" s="18" t="n">
        <f aca="false">'SALES Raw'!G3744</f>
        <v>4413117</v>
      </c>
      <c r="B5432" s="18" t="str">
        <f aca="false">'SALES Raw'!B3744</f>
        <v>50 L</v>
      </c>
      <c r="C5432" s="18" t="str">
        <f aca="false">'SALES Raw'!H3744</f>
        <v>50 L מתלה אשכים לאחר ניתוח</v>
      </c>
      <c r="D5432" s="19" t="n">
        <f aca="false">'SALES Raw'!C3744</f>
        <v>10</v>
      </c>
      <c r="E5432" s="19" t="n">
        <f aca="false">'SALES Raw'!D3744</f>
        <v>452.58</v>
      </c>
      <c r="F5432" s="19" t="n">
        <f aca="false">'SALES Raw'!E3744*$H$4</f>
        <v>0</v>
      </c>
      <c r="G5432" s="19" t="n">
        <f aca="false">'SALES Raw'!F3744*$H$4</f>
        <v>0</v>
      </c>
      <c r="H5432" s="18" t="str">
        <f aca="false">'SALES Raw'!A3744</f>
        <v>208 - Medipal Company NABLUS</v>
      </c>
    </row>
    <row r="5433" customFormat="false" ht="15" hidden="false" customHeight="false" outlineLevel="0" collapsed="false">
      <c r="A5433" s="18" t="n">
        <f aca="false">'SALES Raw'!G3745</f>
        <v>4413118</v>
      </c>
      <c r="B5433" s="18" t="str">
        <f aca="false">'SALES Raw'!B3745</f>
        <v>50 M</v>
      </c>
      <c r="C5433" s="18" t="str">
        <f aca="false">'SALES Raw'!H3745</f>
        <v>50 M מתלה אשכים לאחר ניתוח</v>
      </c>
      <c r="D5433" s="19" t="n">
        <f aca="false">'SALES Raw'!C3745</f>
        <v>20</v>
      </c>
      <c r="E5433" s="19" t="n">
        <f aca="false">'SALES Raw'!D3745</f>
        <v>905.16</v>
      </c>
      <c r="F5433" s="19" t="n">
        <f aca="false">'SALES Raw'!E3745*$H$4</f>
        <v>0</v>
      </c>
      <c r="G5433" s="19" t="n">
        <f aca="false">'SALES Raw'!F3745*$H$4</f>
        <v>0</v>
      </c>
      <c r="H5433" s="18" t="str">
        <f aca="false">'SALES Raw'!A3745</f>
        <v>208 - Medipal Company NABLUS</v>
      </c>
    </row>
    <row r="5434" customFormat="false" ht="15" hidden="false" customHeight="false" outlineLevel="0" collapsed="false">
      <c r="A5434" s="18" t="str">
        <f aca="false">'SALES Raw'!G3746</f>
        <v/>
      </c>
      <c r="B5434" s="18" t="str">
        <f aca="false">'SALES Raw'!B3746</f>
        <v>50 S</v>
      </c>
      <c r="C5434" s="18" t="str">
        <f aca="false">'SALES Raw'!H3746</f>
        <v>50 S</v>
      </c>
      <c r="D5434" s="19" t="n">
        <f aca="false">'SALES Raw'!C3746</f>
        <v>5</v>
      </c>
      <c r="E5434" s="19" t="n">
        <f aca="false">'SALES Raw'!D3746</f>
        <v>226.29</v>
      </c>
      <c r="F5434" s="19" t="n">
        <f aca="false">'SALES Raw'!E3746*$H$4</f>
        <v>0</v>
      </c>
      <c r="G5434" s="19" t="n">
        <f aca="false">'SALES Raw'!F3746*$H$4</f>
        <v>0</v>
      </c>
      <c r="H5434" s="18" t="str">
        <f aca="false">'SALES Raw'!A3746</f>
        <v>208 - Medipal Company NABLUS</v>
      </c>
    </row>
    <row r="5435" customFormat="false" ht="15" hidden="false" customHeight="false" outlineLevel="0" collapsed="false">
      <c r="A5435" s="18" t="n">
        <f aca="false">'SALES Raw'!G3747</f>
        <v>4413119</v>
      </c>
      <c r="B5435" s="18" t="str">
        <f aca="false">'SALES Raw'!B3747</f>
        <v>50 XL</v>
      </c>
      <c r="C5435" s="18" t="str">
        <f aca="false">'SALES Raw'!H3747</f>
        <v>50 XL מתלה אשכים לאחר ניתוח</v>
      </c>
      <c r="D5435" s="19" t="n">
        <f aca="false">'SALES Raw'!C3747</f>
        <v>10</v>
      </c>
      <c r="E5435" s="19" t="n">
        <f aca="false">'SALES Raw'!D3747</f>
        <v>452.58</v>
      </c>
      <c r="F5435" s="19" t="n">
        <f aca="false">'SALES Raw'!E3747*$H$4</f>
        <v>0</v>
      </c>
      <c r="G5435" s="19" t="n">
        <f aca="false">'SALES Raw'!F3747*$H$4</f>
        <v>0</v>
      </c>
      <c r="H5435" s="18" t="str">
        <f aca="false">'SALES Raw'!A3747</f>
        <v>208 - Medipal Company NABLUS</v>
      </c>
    </row>
    <row r="5436" customFormat="false" ht="15" hidden="false" customHeight="false" outlineLevel="0" collapsed="false">
      <c r="A5436" s="18" t="str">
        <f aca="false">'SALES Raw'!G3748</f>
        <v/>
      </c>
      <c r="B5436" s="18" t="str">
        <f aca="false">'SALES Raw'!B3748</f>
        <v>50 XXL</v>
      </c>
      <c r="C5436" s="18" t="str">
        <f aca="false">'SALES Raw'!H3748</f>
        <v>50 XXL</v>
      </c>
      <c r="D5436" s="19" t="n">
        <f aca="false">'SALES Raw'!C3748</f>
        <v>5</v>
      </c>
      <c r="E5436" s="19" t="n">
        <f aca="false">'SALES Raw'!D3748</f>
        <v>0.03</v>
      </c>
      <c r="F5436" s="19" t="n">
        <f aca="false">'SALES Raw'!E3748*$H$4</f>
        <v>0</v>
      </c>
      <c r="G5436" s="19" t="n">
        <f aca="false">'SALES Raw'!F3748*$H$4</f>
        <v>0</v>
      </c>
      <c r="H5436" s="18" t="str">
        <f aca="false">'SALES Raw'!A3748</f>
        <v>208 - Medipal Company NABLUS</v>
      </c>
    </row>
    <row r="5437" customFormat="false" ht="15" hidden="false" customHeight="false" outlineLevel="0" collapsed="false">
      <c r="A5437" s="18" t="n">
        <f aca="false">'SALES Raw'!G3749</f>
        <v>4418000</v>
      </c>
      <c r="B5437" s="18" t="str">
        <f aca="false">'SALES Raw'!B3749</f>
        <v>60 L</v>
      </c>
      <c r="C5437" s="18" t="str">
        <f aca="false">'SALES Raw'!H3749</f>
        <v>60 L צוארון ספוגי</v>
      </c>
      <c r="D5437" s="19" t="n">
        <f aca="false">'SALES Raw'!C3749</f>
        <v>20</v>
      </c>
      <c r="E5437" s="19" t="n">
        <f aca="false">'SALES Raw'!D3749</f>
        <v>554.25</v>
      </c>
      <c r="F5437" s="19" t="n">
        <f aca="false">'SALES Raw'!E3749*$H$4</f>
        <v>0</v>
      </c>
      <c r="G5437" s="19" t="n">
        <f aca="false">'SALES Raw'!F3749*$H$4</f>
        <v>0</v>
      </c>
      <c r="H5437" s="18" t="str">
        <f aca="false">'SALES Raw'!A3749</f>
        <v>208 - Medipal Company NABLUS</v>
      </c>
    </row>
    <row r="5438" customFormat="false" ht="15" hidden="false" customHeight="false" outlineLevel="0" collapsed="false">
      <c r="A5438" s="18" t="n">
        <f aca="false">'SALES Raw'!G3750</f>
        <v>4418001</v>
      </c>
      <c r="B5438" s="18" t="str">
        <f aca="false">'SALES Raw'!B3750</f>
        <v>60 M</v>
      </c>
      <c r="C5438" s="18" t="str">
        <f aca="false">'SALES Raw'!H3750</f>
        <v>60 M צוארון ספוגי</v>
      </c>
      <c r="D5438" s="19" t="n">
        <f aca="false">'SALES Raw'!C3750</f>
        <v>10</v>
      </c>
      <c r="E5438" s="19" t="n">
        <f aca="false">'SALES Raw'!D3750</f>
        <v>277.12</v>
      </c>
      <c r="F5438" s="19" t="n">
        <f aca="false">'SALES Raw'!E3750*$H$4</f>
        <v>0</v>
      </c>
      <c r="G5438" s="19" t="n">
        <f aca="false">'SALES Raw'!F3750*$H$4</f>
        <v>0</v>
      </c>
      <c r="H5438" s="18" t="str">
        <f aca="false">'SALES Raw'!A3750</f>
        <v>208 - Medipal Company NABLUS</v>
      </c>
    </row>
    <row r="5439" customFormat="false" ht="15" hidden="false" customHeight="false" outlineLevel="0" collapsed="false">
      <c r="A5439" s="18" t="n">
        <f aca="false">'SALES Raw'!G3751</f>
        <v>4418002</v>
      </c>
      <c r="B5439" s="18" t="str">
        <f aca="false">'SALES Raw'!B3751</f>
        <v>60 S</v>
      </c>
      <c r="C5439" s="18" t="str">
        <f aca="false">'SALES Raw'!H3751</f>
        <v>60 S צוארון ספוגי</v>
      </c>
      <c r="D5439" s="19" t="n">
        <f aca="false">'SALES Raw'!C3751</f>
        <v>5</v>
      </c>
      <c r="E5439" s="19" t="n">
        <f aca="false">'SALES Raw'!D3751</f>
        <v>138.57</v>
      </c>
      <c r="F5439" s="19" t="n">
        <f aca="false">'SALES Raw'!E3751*$H$4</f>
        <v>0</v>
      </c>
      <c r="G5439" s="19" t="n">
        <f aca="false">'SALES Raw'!F3751*$H$4</f>
        <v>0</v>
      </c>
      <c r="H5439" s="18" t="str">
        <f aca="false">'SALES Raw'!A3751</f>
        <v>208 - Medipal Company NABLUS</v>
      </c>
    </row>
    <row r="5440" customFormat="false" ht="15" hidden="false" customHeight="false" outlineLevel="0" collapsed="false">
      <c r="A5440" s="18" t="n">
        <f aca="false">'SALES Raw'!G3752</f>
        <v>4418003</v>
      </c>
      <c r="B5440" s="18" t="str">
        <f aca="false">'SALES Raw'!B3752</f>
        <v>60 XL</v>
      </c>
      <c r="C5440" s="18" t="str">
        <f aca="false">'SALES Raw'!H3752</f>
        <v>60 XL צוארון ספוגי</v>
      </c>
      <c r="D5440" s="19" t="n">
        <f aca="false">'SALES Raw'!C3752</f>
        <v>10</v>
      </c>
      <c r="E5440" s="19" t="n">
        <f aca="false">'SALES Raw'!D3752</f>
        <v>277.12</v>
      </c>
      <c r="F5440" s="19" t="n">
        <f aca="false">'SALES Raw'!E3752*$H$4</f>
        <v>0</v>
      </c>
      <c r="G5440" s="19" t="n">
        <f aca="false">'SALES Raw'!F3752*$H$4</f>
        <v>0</v>
      </c>
      <c r="H5440" s="18" t="str">
        <f aca="false">'SALES Raw'!A3752</f>
        <v>208 - Medipal Company NABLUS</v>
      </c>
    </row>
    <row r="5441" customFormat="false" ht="15" hidden="false" customHeight="false" outlineLevel="0" collapsed="false">
      <c r="A5441" s="18" t="str">
        <f aca="false">'SALES Raw'!G3753</f>
        <v/>
      </c>
      <c r="B5441" s="18" t="str">
        <f aca="false">'SALES Raw'!B3753</f>
        <v>60 XS</v>
      </c>
      <c r="C5441" s="18" t="str">
        <f aca="false">'SALES Raw'!H3753</f>
        <v>60 XS</v>
      </c>
      <c r="D5441" s="19" t="n">
        <f aca="false">'SALES Raw'!C3753</f>
        <v>5</v>
      </c>
      <c r="E5441" s="19" t="n">
        <f aca="false">'SALES Raw'!D3753</f>
        <v>0.03</v>
      </c>
      <c r="F5441" s="19" t="n">
        <f aca="false">'SALES Raw'!E3753*$H$4</f>
        <v>0</v>
      </c>
      <c r="G5441" s="19" t="n">
        <f aca="false">'SALES Raw'!F3753*$H$4</f>
        <v>0</v>
      </c>
      <c r="H5441" s="18" t="str">
        <f aca="false">'SALES Raw'!A3753</f>
        <v>208 - Medipal Company NABLUS</v>
      </c>
    </row>
    <row r="5442" customFormat="false" ht="15" hidden="false" customHeight="false" outlineLevel="0" collapsed="false">
      <c r="A5442" s="18" t="str">
        <f aca="false">'SALES Raw'!G3754</f>
        <v/>
      </c>
      <c r="B5442" s="18" t="str">
        <f aca="false">'SALES Raw'!B3754</f>
        <v>60 XXL</v>
      </c>
      <c r="C5442" s="18" t="str">
        <f aca="false">'SALES Raw'!H3754</f>
        <v>60 XXL</v>
      </c>
      <c r="D5442" s="19" t="n">
        <f aca="false">'SALES Raw'!C3754</f>
        <v>5</v>
      </c>
      <c r="E5442" s="19" t="n">
        <f aca="false">'SALES Raw'!D3754</f>
        <v>138.57</v>
      </c>
      <c r="F5442" s="19" t="n">
        <f aca="false">'SALES Raw'!E3754*$H$4</f>
        <v>0</v>
      </c>
      <c r="G5442" s="19" t="n">
        <f aca="false">'SALES Raw'!F3754*$H$4</f>
        <v>0</v>
      </c>
      <c r="H5442" s="18" t="str">
        <f aca="false">'SALES Raw'!A3754</f>
        <v>208 - Medipal Company NABLUS</v>
      </c>
    </row>
    <row r="5443" customFormat="false" ht="15" hidden="false" customHeight="false" outlineLevel="0" collapsed="false">
      <c r="A5443" s="18" t="str">
        <f aca="false">'SALES Raw'!G3755</f>
        <v/>
      </c>
      <c r="B5443" s="18" t="str">
        <f aca="false">'SALES Raw'!B3755</f>
        <v>67 0</v>
      </c>
      <c r="C5443" s="18" t="str">
        <f aca="false">'SALES Raw'!H3755</f>
        <v>67 0</v>
      </c>
      <c r="D5443" s="19" t="n">
        <f aca="false">'SALES Raw'!C3755</f>
        <v>142</v>
      </c>
      <c r="E5443" s="19" t="n">
        <f aca="false">'SALES Raw'!D3755</f>
        <v>14683.56</v>
      </c>
      <c r="F5443" s="19" t="n">
        <f aca="false">'SALES Raw'!E3755*$H$4</f>
        <v>0</v>
      </c>
      <c r="G5443" s="19" t="n">
        <f aca="false">'SALES Raw'!F3755*$H$4</f>
        <v>0</v>
      </c>
      <c r="H5443" s="18" t="str">
        <f aca="false">'SALES Raw'!A3755</f>
        <v>208 - Medipal Company NABLUS</v>
      </c>
    </row>
    <row r="5444" customFormat="false" ht="15" hidden="false" customHeight="false" outlineLevel="0" collapsed="false">
      <c r="A5444" s="18" t="str">
        <f aca="false">'SALES Raw'!G3756</f>
        <v/>
      </c>
      <c r="B5444" s="18" t="str">
        <f aca="false">'SALES Raw'!B3756</f>
        <v>70 XS</v>
      </c>
      <c r="C5444" s="18" t="str">
        <f aca="false">'SALES Raw'!H3756</f>
        <v>70 XS</v>
      </c>
      <c r="D5444" s="19" t="n">
        <f aca="false">'SALES Raw'!C3756</f>
        <v>1</v>
      </c>
      <c r="E5444" s="19" t="n">
        <f aca="false">'SALES Raw'!D3756</f>
        <v>0.04</v>
      </c>
      <c r="F5444" s="19" t="n">
        <f aca="false">'SALES Raw'!E3756*$H$4</f>
        <v>0</v>
      </c>
      <c r="G5444" s="19" t="n">
        <f aca="false">'SALES Raw'!F3756*$H$4</f>
        <v>0</v>
      </c>
      <c r="H5444" s="18" t="str">
        <f aca="false">'SALES Raw'!A3756</f>
        <v>208 - Medipal Company NABLUS</v>
      </c>
    </row>
    <row r="5445" customFormat="false" ht="15" hidden="false" customHeight="false" outlineLevel="0" collapsed="false">
      <c r="A5445" s="18" t="n">
        <f aca="false">'SALES Raw'!G3757</f>
        <v>4408274</v>
      </c>
      <c r="B5445" s="18" t="str">
        <f aca="false">'SALES Raw'!B3757</f>
        <v>70N L</v>
      </c>
      <c r="C5445" s="18" t="str">
        <f aca="false">'SALES Raw'!H3757</f>
        <v>70N L חגורת פאבליק</v>
      </c>
      <c r="D5445" s="19" t="n">
        <f aca="false">'SALES Raw'!C3757</f>
        <v>50</v>
      </c>
      <c r="E5445" s="19" t="n">
        <f aca="false">'SALES Raw'!D3757</f>
        <v>0.03</v>
      </c>
      <c r="F5445" s="19" t="n">
        <f aca="false">'SALES Raw'!E3757*$H$4</f>
        <v>0</v>
      </c>
      <c r="G5445" s="19" t="n">
        <f aca="false">'SALES Raw'!F3757*$H$4</f>
        <v>0</v>
      </c>
      <c r="H5445" s="18" t="str">
        <f aca="false">'SALES Raw'!A3757</f>
        <v>208 - Medipal Company NABLUS</v>
      </c>
    </row>
    <row r="5446" customFormat="false" ht="15" hidden="false" customHeight="false" outlineLevel="0" collapsed="false">
      <c r="A5446" s="18" t="n">
        <f aca="false">'SALES Raw'!G3758</f>
        <v>4408273</v>
      </c>
      <c r="B5446" s="18" t="str">
        <f aca="false">'SALES Raw'!B3758</f>
        <v>70N M</v>
      </c>
      <c r="C5446" s="18" t="str">
        <f aca="false">'SALES Raw'!H3758</f>
        <v>70N M חגורת פאבליק</v>
      </c>
      <c r="D5446" s="19" t="n">
        <f aca="false">'SALES Raw'!C3758</f>
        <v>100</v>
      </c>
      <c r="E5446" s="19" t="n">
        <f aca="false">'SALES Raw'!D3758</f>
        <v>16212.21</v>
      </c>
      <c r="F5446" s="19" t="n">
        <f aca="false">'SALES Raw'!E3758*$H$4</f>
        <v>0</v>
      </c>
      <c r="G5446" s="19" t="n">
        <f aca="false">'SALES Raw'!F3758*$H$4</f>
        <v>0</v>
      </c>
      <c r="H5446" s="18" t="str">
        <f aca="false">'SALES Raw'!A3758</f>
        <v>208 - Medipal Company NABLUS</v>
      </c>
    </row>
    <row r="5447" customFormat="false" ht="15" hidden="false" customHeight="false" outlineLevel="0" collapsed="false">
      <c r="A5447" s="18" t="n">
        <f aca="false">'SALES Raw'!G3759</f>
        <v>4408272</v>
      </c>
      <c r="B5447" s="18" t="str">
        <f aca="false">'SALES Raw'!B3759</f>
        <v>70N S</v>
      </c>
      <c r="C5447" s="18" t="str">
        <f aca="false">'SALES Raw'!H3759</f>
        <v>70N S חגורת פאבליק</v>
      </c>
      <c r="D5447" s="19" t="n">
        <f aca="false">'SALES Raw'!C3759</f>
        <v>200</v>
      </c>
      <c r="E5447" s="19" t="n">
        <f aca="false">'SALES Raw'!D3759</f>
        <v>32424.43</v>
      </c>
      <c r="F5447" s="19" t="n">
        <f aca="false">'SALES Raw'!E3759*$H$4</f>
        <v>0</v>
      </c>
      <c r="G5447" s="19" t="n">
        <f aca="false">'SALES Raw'!F3759*$H$4</f>
        <v>0</v>
      </c>
      <c r="H5447" s="18" t="str">
        <f aca="false">'SALES Raw'!A3759</f>
        <v>208 - Medipal Company NABLUS</v>
      </c>
    </row>
    <row r="5448" customFormat="false" ht="15" hidden="false" customHeight="false" outlineLevel="0" collapsed="false">
      <c r="A5448" s="18" t="n">
        <f aca="false">'SALES Raw'!G3760</f>
        <v>4408271</v>
      </c>
      <c r="B5448" s="18" t="str">
        <f aca="false">'SALES Raw'!B3760</f>
        <v>70N XS</v>
      </c>
      <c r="C5448" s="18" t="str">
        <f aca="false">'SALES Raw'!H3760</f>
        <v>70N XS חגורת פאבליק</v>
      </c>
      <c r="D5448" s="19" t="n">
        <f aca="false">'SALES Raw'!C3760</f>
        <v>200</v>
      </c>
      <c r="E5448" s="19" t="n">
        <f aca="false">'SALES Raw'!D3760</f>
        <v>32424.43</v>
      </c>
      <c r="F5448" s="19" t="n">
        <f aca="false">'SALES Raw'!E3760*$H$4</f>
        <v>0</v>
      </c>
      <c r="G5448" s="19" t="n">
        <f aca="false">'SALES Raw'!F3760*$H$4</f>
        <v>0</v>
      </c>
      <c r="H5448" s="18" t="str">
        <f aca="false">'SALES Raw'!A3760</f>
        <v>208 - Medipal Company NABLUS</v>
      </c>
    </row>
    <row r="5449" customFormat="false" ht="15" hidden="false" customHeight="false" outlineLevel="0" collapsed="false">
      <c r="A5449" s="18" t="n">
        <f aca="false">'SALES Raw'!G3761</f>
        <v>4408205</v>
      </c>
      <c r="B5449" s="18" t="str">
        <f aca="false">'SALES Raw'!B3761</f>
        <v>AC07 0</v>
      </c>
      <c r="C5449" s="18" t="str">
        <f aca="false">'SALES Raw'!H3761</f>
        <v>AC-07 חגורת גב עם תמיכות</v>
      </c>
      <c r="D5449" s="19" t="n">
        <f aca="false">'SALES Raw'!C3761</f>
        <v>550</v>
      </c>
      <c r="E5449" s="19" t="n">
        <f aca="false">'SALES Raw'!D3761</f>
        <v>25232.79</v>
      </c>
      <c r="F5449" s="19" t="n">
        <f aca="false">'SALES Raw'!E3761*$H$4</f>
        <v>0</v>
      </c>
      <c r="G5449" s="19" t="n">
        <f aca="false">'SALES Raw'!F3761*$H$4</f>
        <v>0</v>
      </c>
      <c r="H5449" s="18" t="str">
        <f aca="false">'SALES Raw'!A3761</f>
        <v>208 - Medipal Company NABLUS</v>
      </c>
    </row>
    <row r="5450" customFormat="false" ht="15" hidden="false" customHeight="false" outlineLevel="0" collapsed="false">
      <c r="A5450" s="18" t="n">
        <f aca="false">'SALES Raw'!G3762</f>
        <v>4408207</v>
      </c>
      <c r="B5450" s="18" t="str">
        <f aca="false">'SALES Raw'!B3762</f>
        <v>AC25 0</v>
      </c>
      <c r="C5450" s="18" t="str">
        <f aca="false">'SALES Raw'!H3762</f>
        <v>AC-25 חבק לשורש כף היד</v>
      </c>
      <c r="D5450" s="19" t="n">
        <f aca="false">'SALES Raw'!C3762</f>
        <v>220</v>
      </c>
      <c r="E5450" s="19" t="n">
        <f aca="false">'SALES Raw'!D3762</f>
        <v>3254.87</v>
      </c>
      <c r="F5450" s="19" t="n">
        <f aca="false">'SALES Raw'!E3762*$H$4</f>
        <v>0</v>
      </c>
      <c r="G5450" s="19" t="n">
        <f aca="false">'SALES Raw'!F3762*$H$4</f>
        <v>0</v>
      </c>
      <c r="H5450" s="18" t="str">
        <f aca="false">'SALES Raw'!A3762</f>
        <v>208 - Medipal Company NABLUS</v>
      </c>
    </row>
    <row r="5451" customFormat="false" ht="15" hidden="false" customHeight="false" outlineLevel="0" collapsed="false">
      <c r="A5451" s="18" t="n">
        <f aca="false">'SALES Raw'!G3763</f>
        <v>4415026</v>
      </c>
      <c r="B5451" s="18" t="str">
        <f aca="false">'SALES Raw'!B3763</f>
        <v>AC27L 0</v>
      </c>
      <c r="C5451" s="18" t="str">
        <f aca="false">'SALES Raw'!H3763</f>
        <v>AC-27L סד לש.כף יד שמאל</v>
      </c>
      <c r="D5451" s="19" t="n">
        <f aca="false">'SALES Raw'!C3763</f>
        <v>330</v>
      </c>
      <c r="E5451" s="19" t="n">
        <f aca="false">'SALES Raw'!D3763</f>
        <v>6453.92</v>
      </c>
      <c r="F5451" s="19" t="n">
        <f aca="false">'SALES Raw'!E3763*$H$4</f>
        <v>0</v>
      </c>
      <c r="G5451" s="19" t="n">
        <f aca="false">'SALES Raw'!F3763*$H$4</f>
        <v>0</v>
      </c>
      <c r="H5451" s="18" t="str">
        <f aca="false">'SALES Raw'!A3763</f>
        <v>208 - Medipal Company NABLUS</v>
      </c>
    </row>
    <row r="5452" customFormat="false" ht="15" hidden="false" customHeight="false" outlineLevel="0" collapsed="false">
      <c r="A5452" s="18" t="n">
        <f aca="false">'SALES Raw'!G3764</f>
        <v>4415027</v>
      </c>
      <c r="B5452" s="18" t="str">
        <f aca="false">'SALES Raw'!B3764</f>
        <v>AC27R 0</v>
      </c>
      <c r="C5452" s="18" t="str">
        <f aca="false">'SALES Raw'!H3764</f>
        <v>AC-27R סד לש.כף יד ימין</v>
      </c>
      <c r="D5452" s="19" t="n">
        <f aca="false">'SALES Raw'!C3764</f>
        <v>330</v>
      </c>
      <c r="E5452" s="19" t="n">
        <f aca="false">'SALES Raw'!D3764</f>
        <v>6453.92</v>
      </c>
      <c r="F5452" s="19" t="n">
        <f aca="false">'SALES Raw'!E3764*$H$4</f>
        <v>0</v>
      </c>
      <c r="G5452" s="19" t="n">
        <f aca="false">'SALES Raw'!F3764*$H$4</f>
        <v>0</v>
      </c>
      <c r="H5452" s="18" t="str">
        <f aca="false">'SALES Raw'!A3764</f>
        <v>208 - Medipal Company NABLUS</v>
      </c>
    </row>
    <row r="5453" customFormat="false" ht="15" hidden="false" customHeight="false" outlineLevel="0" collapsed="false">
      <c r="A5453" s="18" t="n">
        <f aca="false">'SALES Raw'!G3765</f>
        <v>4415028</v>
      </c>
      <c r="B5453" s="18" t="str">
        <f aca="false">'SALES Raw'!B3765</f>
        <v>AC28 0</v>
      </c>
      <c r="C5453" s="18" t="str">
        <f aca="false">'SALES Raw'!H3765</f>
        <v>AC-28 סד לאגודל</v>
      </c>
      <c r="D5453" s="19" t="n">
        <f aca="false">'SALES Raw'!C3765</f>
        <v>550</v>
      </c>
      <c r="E5453" s="19" t="n">
        <f aca="false">'SALES Raw'!D3765</f>
        <v>7501.67</v>
      </c>
      <c r="F5453" s="19" t="n">
        <f aca="false">'SALES Raw'!E3765*$H$4</f>
        <v>0</v>
      </c>
      <c r="G5453" s="19" t="n">
        <f aca="false">'SALES Raw'!F3765*$H$4</f>
        <v>0</v>
      </c>
      <c r="H5453" s="18" t="str">
        <f aca="false">'SALES Raw'!A3765</f>
        <v>208 - Medipal Company NABLUS</v>
      </c>
    </row>
    <row r="5454" customFormat="false" ht="15" hidden="false" customHeight="false" outlineLevel="0" collapsed="false">
      <c r="A5454" s="18" t="n">
        <f aca="false">'SALES Raw'!G3766</f>
        <v>4413326</v>
      </c>
      <c r="B5454" s="18" t="str">
        <f aca="false">'SALES Raw'!B3766</f>
        <v>AC37 0</v>
      </c>
      <c r="C5454" s="18" t="str">
        <f aca="false">'SALES Raw'!H3766</f>
        <v>AC37 מגן קרסול נושם</v>
      </c>
      <c r="D5454" s="19" t="n">
        <f aca="false">'SALES Raw'!C3766</f>
        <v>220</v>
      </c>
      <c r="E5454" s="19" t="n">
        <f aca="false">'SALES Raw'!D3766</f>
        <v>3409.86</v>
      </c>
      <c r="F5454" s="19" t="n">
        <f aca="false">'SALES Raw'!E3766*$H$4</f>
        <v>0</v>
      </c>
      <c r="G5454" s="19" t="n">
        <f aca="false">'SALES Raw'!F3766*$H$4</f>
        <v>0</v>
      </c>
      <c r="H5454" s="18" t="str">
        <f aca="false">'SALES Raw'!A3766</f>
        <v>208 - Medipal Company NABLUS</v>
      </c>
    </row>
    <row r="5455" customFormat="false" ht="15" hidden="false" customHeight="false" outlineLevel="0" collapsed="false">
      <c r="A5455" s="18" t="n">
        <f aca="false">'SALES Raw'!G3767</f>
        <v>4413328</v>
      </c>
      <c r="B5455" s="18" t="str">
        <f aca="false">'SALES Raw'!B3767</f>
        <v>AC43D 0</v>
      </c>
      <c r="C5455" s="18" t="str">
        <f aca="false">'SALES Raw'!H3767</f>
        <v>AC43D מגן ברך + צירים</v>
      </c>
      <c r="D5455" s="19" t="n">
        <f aca="false">'SALES Raw'!C3767</f>
        <v>330</v>
      </c>
      <c r="E5455" s="19" t="n">
        <f aca="false">'SALES Raw'!D3767</f>
        <v>15083.9</v>
      </c>
      <c r="F5455" s="19" t="n">
        <f aca="false">'SALES Raw'!E3767*$H$4</f>
        <v>0</v>
      </c>
      <c r="G5455" s="19" t="n">
        <f aca="false">'SALES Raw'!F3767*$H$4</f>
        <v>0</v>
      </c>
      <c r="H5455" s="18" t="str">
        <f aca="false">'SALES Raw'!A3767</f>
        <v>208 - Medipal Company NABLUS</v>
      </c>
    </row>
    <row r="5456" customFormat="false" ht="15" hidden="false" customHeight="false" outlineLevel="0" collapsed="false">
      <c r="A5456" s="18" t="n">
        <f aca="false">'SALES Raw'!G3768</f>
        <v>4413329</v>
      </c>
      <c r="B5456" s="18" t="str">
        <f aca="false">'SALES Raw'!B3768</f>
        <v>AC45X 0</v>
      </c>
      <c r="C5456" s="18" t="str">
        <f aca="false">'SALES Raw'!H3768</f>
        <v>AC45X מגן ברך עם תמיכות</v>
      </c>
      <c r="D5456" s="19" t="n">
        <f aca="false">'SALES Raw'!C3768</f>
        <v>330</v>
      </c>
      <c r="E5456" s="19" t="n">
        <f aca="false">'SALES Raw'!D3768</f>
        <v>10155.14</v>
      </c>
      <c r="F5456" s="19" t="n">
        <f aca="false">'SALES Raw'!E3768*$H$4</f>
        <v>0</v>
      </c>
      <c r="G5456" s="19" t="n">
        <f aca="false">'SALES Raw'!F3768*$H$4</f>
        <v>0</v>
      </c>
      <c r="H5456" s="18" t="str">
        <f aca="false">'SALES Raw'!A3768</f>
        <v>208 - Medipal Company NABLUS</v>
      </c>
    </row>
    <row r="5457" customFormat="false" ht="15" hidden="false" customHeight="false" outlineLevel="0" collapsed="false">
      <c r="A5457" s="18" t="n">
        <f aca="false">'SALES Raw'!G3769</f>
        <v>4413453</v>
      </c>
      <c r="B5457" s="18" t="str">
        <f aca="false">'SALES Raw'!B3769</f>
        <v>AC75-S-XL</v>
      </c>
      <c r="C5457" s="18" t="str">
        <f aca="false">'SALES Raw'!H3769</f>
        <v>AC75 מישר כתפיים אקטיב</v>
      </c>
      <c r="D5457" s="19" t="n">
        <f aca="false">'SALES Raw'!C3769</f>
        <v>330</v>
      </c>
      <c r="E5457" s="19" t="n">
        <f aca="false">'SALES Raw'!D3769</f>
        <v>8648.61</v>
      </c>
      <c r="F5457" s="19" t="n">
        <f aca="false">'SALES Raw'!E3769*$H$4</f>
        <v>0</v>
      </c>
      <c r="G5457" s="19" t="n">
        <f aca="false">'SALES Raw'!F3769*$H$4</f>
        <v>0</v>
      </c>
      <c r="H5457" s="18" t="str">
        <f aca="false">'SALES Raw'!A3769</f>
        <v>208 - Medipal Company NABLUS</v>
      </c>
    </row>
    <row r="5458" customFormat="false" ht="15" hidden="false" customHeight="false" outlineLevel="0" collapsed="false">
      <c r="A5458" s="18" t="n">
        <f aca="false">'SALES Raw'!G3770</f>
        <v>4408208</v>
      </c>
      <c r="B5458" s="18" t="str">
        <f aca="false">'SALES Raw'!B3770</f>
        <v>AC91 0</v>
      </c>
      <c r="C5458" s="18" t="str">
        <f aca="false">'SALES Raw'!H3770</f>
        <v>AC91 חבק טניס</v>
      </c>
      <c r="D5458" s="19" t="n">
        <f aca="false">'SALES Raw'!C3770</f>
        <v>341</v>
      </c>
      <c r="E5458" s="19" t="n">
        <f aca="false">'SALES Raw'!D3770</f>
        <v>4612.63</v>
      </c>
      <c r="F5458" s="19" t="n">
        <f aca="false">'SALES Raw'!E3770*$H$4</f>
        <v>0</v>
      </c>
      <c r="G5458" s="19" t="n">
        <f aca="false">'SALES Raw'!F3770*$H$4</f>
        <v>0</v>
      </c>
      <c r="H5458" s="18" t="str">
        <f aca="false">'SALES Raw'!A3770</f>
        <v>208 - Medipal Company NABLUS</v>
      </c>
    </row>
    <row r="5459" customFormat="false" ht="15" hidden="false" customHeight="false" outlineLevel="0" collapsed="false">
      <c r="A5459" s="18" t="n">
        <f aca="false">'SALES Raw'!G3771</f>
        <v>4413331</v>
      </c>
      <c r="B5459" s="18" t="str">
        <f aca="false">'SALES Raw'!B3771</f>
        <v>AC95 0</v>
      </c>
      <c r="C5459" s="18" t="str">
        <f aca="false">'SALES Raw'!H3771</f>
        <v>AC95 מגן מרפק</v>
      </c>
      <c r="D5459" s="19" t="n">
        <f aca="false">'SALES Raw'!C3771</f>
        <v>176</v>
      </c>
      <c r="E5459" s="19" t="n">
        <f aca="false">'SALES Raw'!D3771</f>
        <v>3119.76</v>
      </c>
      <c r="F5459" s="19" t="n">
        <f aca="false">'SALES Raw'!E3771*$H$4</f>
        <v>0</v>
      </c>
      <c r="G5459" s="19" t="n">
        <f aca="false">'SALES Raw'!F3771*$H$4</f>
        <v>0</v>
      </c>
      <c r="H5459" s="18" t="str">
        <f aca="false">'SALES Raw'!A3771</f>
        <v>208 - Medipal Company NABLUS</v>
      </c>
    </row>
    <row r="5460" customFormat="false" ht="15" hidden="false" customHeight="false" outlineLevel="0" collapsed="false">
      <c r="A5460" s="18" t="n">
        <f aca="false">'SALES Raw'!G3772</f>
        <v>4408190</v>
      </c>
      <c r="B5460" s="18" t="str">
        <f aca="false">'SALES Raw'!B3772</f>
        <v>078 M</v>
      </c>
      <c r="C5460" s="18" t="str">
        <f aca="false">'SALES Raw'!H3772</f>
        <v>M078 חגורת גב +סגירה כפולה</v>
      </c>
      <c r="D5460" s="19" t="n">
        <f aca="false">'SALES Raw'!C3772</f>
        <v>1</v>
      </c>
      <c r="E5460" s="19" t="n">
        <f aca="false">'SALES Raw'!D3772</f>
        <v>0.04</v>
      </c>
      <c r="F5460" s="19" t="n">
        <f aca="false">'SALES Raw'!E3772*$H$4</f>
        <v>0</v>
      </c>
      <c r="G5460" s="19" t="n">
        <f aca="false">'SALES Raw'!F3772*$H$4</f>
        <v>0</v>
      </c>
      <c r="H5460" s="18" t="str">
        <f aca="false">'SALES Raw'!A3772</f>
        <v>209 - Ortoprofil Prod ROMANIA</v>
      </c>
    </row>
    <row r="5461" customFormat="false" ht="15" hidden="false" customHeight="false" outlineLevel="0" collapsed="false">
      <c r="A5461" s="18" t="n">
        <f aca="false">'SALES Raw'!G3773</f>
        <v>4408265</v>
      </c>
      <c r="B5461" s="18" t="str">
        <f aca="false">'SALES Raw'!B3773</f>
        <v>078 XXL</v>
      </c>
      <c r="C5461" s="18" t="str">
        <f aca="false">'SALES Raw'!H3773</f>
        <v>078XXL חגורת גב +סגירה כפולה</v>
      </c>
      <c r="D5461" s="19" t="n">
        <f aca="false">'SALES Raw'!C3773</f>
        <v>1</v>
      </c>
      <c r="E5461" s="19" t="n">
        <f aca="false">'SALES Raw'!D3773</f>
        <v>53.62</v>
      </c>
      <c r="F5461" s="19" t="n">
        <f aca="false">'SALES Raw'!E3773*$H$4</f>
        <v>0</v>
      </c>
      <c r="G5461" s="19" t="n">
        <f aca="false">'SALES Raw'!F3773*$H$4</f>
        <v>0</v>
      </c>
      <c r="H5461" s="18" t="str">
        <f aca="false">'SALES Raw'!A3773</f>
        <v>209 - Ortoprofil Prod ROMANIA</v>
      </c>
    </row>
    <row r="5462" customFormat="false" ht="15" hidden="false" customHeight="false" outlineLevel="0" collapsed="false">
      <c r="A5462" s="18" t="n">
        <f aca="false">'SALES Raw'!G3810</f>
        <v>4413049</v>
      </c>
      <c r="B5462" s="18" t="str">
        <f aca="false">'SALES Raw'!B3810</f>
        <v>35 M</v>
      </c>
      <c r="C5462" s="18" t="str">
        <f aca="false">'SALES Raw'!H3810</f>
        <v>35 M מגן קרסול לבן</v>
      </c>
      <c r="D5462" s="19" t="n">
        <f aca="false">'SALES Raw'!C3810</f>
        <v>96</v>
      </c>
      <c r="E5462" s="19" t="n">
        <f aca="false">'SALES Raw'!D3810</f>
        <v>960.18</v>
      </c>
      <c r="F5462" s="19" t="n">
        <f aca="false">'SALES Raw'!E3810*$H$4</f>
        <v>0</v>
      </c>
      <c r="G5462" s="19" t="n">
        <f aca="false">'SALES Raw'!F3810*$H$4</f>
        <v>0</v>
      </c>
      <c r="H5462" s="18" t="str">
        <f aca="false">'SALES Raw'!A3810</f>
        <v>209 - Ortoprofil Prod ROMANIA</v>
      </c>
    </row>
    <row r="5463" customFormat="false" ht="15" hidden="false" customHeight="false" outlineLevel="0" collapsed="false">
      <c r="A5463" s="18" t="n">
        <f aca="false">'SALES Raw'!G3813</f>
        <v>4421001</v>
      </c>
      <c r="B5463" s="18" t="str">
        <f aca="false">'SALES Raw'!B3813</f>
        <v>3611 0</v>
      </c>
      <c r="C5463" s="18" t="str">
        <f aca="false">'SALES Raw'!H3813</f>
        <v>3611 שרוול מטטרזלי מסיליקון</v>
      </c>
      <c r="D5463" s="19" t="n">
        <f aca="false">'SALES Raw'!C3813</f>
        <v>11</v>
      </c>
      <c r="E5463" s="19" t="n">
        <f aca="false">'SALES Raw'!D3813</f>
        <v>357.72</v>
      </c>
      <c r="F5463" s="19" t="n">
        <f aca="false">'SALES Raw'!E3813*$H$4</f>
        <v>0</v>
      </c>
      <c r="G5463" s="19" t="n">
        <f aca="false">'SALES Raw'!F3813*$H$4</f>
        <v>0</v>
      </c>
      <c r="H5463" s="18" t="str">
        <f aca="false">'SALES Raw'!A3813</f>
        <v>209 - Ortoprofil Prod ROMANIA</v>
      </c>
    </row>
    <row r="5464" customFormat="false" ht="15" hidden="false" customHeight="false" outlineLevel="0" collapsed="false">
      <c r="A5464" s="18" t="n">
        <f aca="false">'SALES Raw'!G3819</f>
        <v>4413061</v>
      </c>
      <c r="B5464" s="18" t="str">
        <f aca="false">'SALES Raw'!B3819</f>
        <v>3641 0</v>
      </c>
      <c r="C5464" s="18" t="str">
        <f aca="false">'SALES Raw'!H3819</f>
        <v>3641-מיישר בוהן סיליקון קשיח</v>
      </c>
      <c r="D5464" s="19" t="n">
        <f aca="false">'SALES Raw'!C3819</f>
        <v>4</v>
      </c>
      <c r="E5464" s="19" t="n">
        <f aca="false">'SALES Raw'!D3819</f>
        <v>26.48</v>
      </c>
      <c r="F5464" s="19" t="n">
        <f aca="false">'SALES Raw'!E3819*$H$4</f>
        <v>0</v>
      </c>
      <c r="G5464" s="19" t="n">
        <f aca="false">'SALES Raw'!F3819*$H$4</f>
        <v>0</v>
      </c>
      <c r="H5464" s="18" t="str">
        <f aca="false">'SALES Raw'!A3819</f>
        <v>209 - Ortoprofil Prod ROMANIA</v>
      </c>
    </row>
    <row r="5465" customFormat="false" ht="15" hidden="false" customHeight="false" outlineLevel="0" collapsed="false">
      <c r="A5465" s="18" t="n">
        <f aca="false">'SALES Raw'!G3820</f>
        <v>4409000</v>
      </c>
      <c r="B5465" s="18" t="str">
        <f aca="false">'SALES Raw'!B3820</f>
        <v>365-S-L</v>
      </c>
      <c r="C5465" s="18" t="str">
        <f aca="false">'SALES Raw'!H3820</f>
        <v>365 S-Lטבעת אלסטית מסיליקון</v>
      </c>
      <c r="D5465" s="19" t="n">
        <f aca="false">'SALES Raw'!C3820</f>
        <v>4</v>
      </c>
      <c r="E5465" s="19" t="n">
        <f aca="false">'SALES Raw'!D3820</f>
        <v>26.48</v>
      </c>
      <c r="F5465" s="19" t="n">
        <f aca="false">'SALES Raw'!E3820*$H$4</f>
        <v>0</v>
      </c>
      <c r="G5465" s="19" t="n">
        <f aca="false">'SALES Raw'!F3820*$H$4</f>
        <v>0</v>
      </c>
      <c r="H5465" s="18" t="str">
        <f aca="false">'SALES Raw'!A3820</f>
        <v>209 - Ortoprofil Prod ROMANIA</v>
      </c>
    </row>
    <row r="5466" customFormat="false" ht="15" hidden="false" customHeight="false" outlineLevel="0" collapsed="false">
      <c r="A5466" s="18" t="n">
        <f aca="false">'SALES Raw'!G3821</f>
        <v>4409001</v>
      </c>
      <c r="B5466" s="18" t="str">
        <f aca="false">'SALES Raw'!B3821</f>
        <v>365-XL</v>
      </c>
      <c r="C5466" s="18" t="str">
        <f aca="false">'SALES Raw'!H3821</f>
        <v>365  X-Lטבעת אלסטית מסיליקון</v>
      </c>
      <c r="D5466" s="19" t="n">
        <f aca="false">'SALES Raw'!C3821</f>
        <v>19</v>
      </c>
      <c r="E5466" s="19" t="n">
        <f aca="false">'SALES Raw'!D3821</f>
        <v>99.8</v>
      </c>
      <c r="F5466" s="19" t="n">
        <f aca="false">'SALES Raw'!E3821*$H$4</f>
        <v>0</v>
      </c>
      <c r="G5466" s="19" t="n">
        <f aca="false">'SALES Raw'!F3821*$H$4</f>
        <v>0</v>
      </c>
      <c r="H5466" s="18" t="str">
        <f aca="false">'SALES Raw'!A3821</f>
        <v>209 - Ortoprofil Prod ROMANIA</v>
      </c>
    </row>
    <row r="5467" customFormat="false" ht="15" hidden="false" customHeight="false" outlineLevel="0" collapsed="false">
      <c r="A5467" s="18" t="n">
        <f aca="false">'SALES Raw'!G3826</f>
        <v>4421003</v>
      </c>
      <c r="B5467" s="18" t="str">
        <f aca="false">'SALES Raw'!B3826</f>
        <v>3672 0</v>
      </c>
      <c r="C5467" s="18" t="str">
        <f aca="false">'SALES Raw'!H3826</f>
        <v>3672 שרוול מגן לבוניון</v>
      </c>
      <c r="D5467" s="19" t="n">
        <f aca="false">'SALES Raw'!C3826</f>
        <v>8</v>
      </c>
      <c r="E5467" s="19" t="n">
        <f aca="false">'SALES Raw'!D3826</f>
        <v>149.96</v>
      </c>
      <c r="F5467" s="19" t="n">
        <f aca="false">'SALES Raw'!E3826*$H$4</f>
        <v>0</v>
      </c>
      <c r="G5467" s="19" t="n">
        <f aca="false">'SALES Raw'!F3826*$H$4</f>
        <v>0</v>
      </c>
      <c r="H5467" s="18" t="str">
        <f aca="false">'SALES Raw'!A3826</f>
        <v>209 - Ortoprofil Prod ROMANIA</v>
      </c>
    </row>
    <row r="5468" customFormat="false" ht="15" hidden="false" customHeight="false" outlineLevel="0" collapsed="false">
      <c r="A5468" s="18" t="n">
        <f aca="false">'SALES Raw'!G3828</f>
        <v>4413371</v>
      </c>
      <c r="B5468" s="18" t="str">
        <f aca="false">'SALES Raw'!B3828</f>
        <v>3675 0</v>
      </c>
      <c r="C5468" s="18" t="str">
        <f aca="false">'SALES Raw'!H3828</f>
        <v>3675    מגן זרת מסיליקון</v>
      </c>
      <c r="D5468" s="19" t="n">
        <f aca="false">'SALES Raw'!C3828</f>
        <v>4</v>
      </c>
      <c r="E5468" s="19" t="n">
        <f aca="false">'SALES Raw'!D3828</f>
        <v>55.9</v>
      </c>
      <c r="F5468" s="19" t="n">
        <f aca="false">'SALES Raw'!E3828*$H$4</f>
        <v>0</v>
      </c>
      <c r="G5468" s="19" t="n">
        <f aca="false">'SALES Raw'!F3828*$H$4</f>
        <v>0</v>
      </c>
      <c r="H5468" s="18" t="str">
        <f aca="false">'SALES Raw'!A3828</f>
        <v>209 - Ortoprofil Prod ROMANIA</v>
      </c>
    </row>
    <row r="5469" customFormat="false" ht="15" hidden="false" customHeight="false" outlineLevel="0" collapsed="false">
      <c r="A5469" s="18" t="n">
        <f aca="false">'SALES Raw'!G3835</f>
        <v>4413521</v>
      </c>
      <c r="B5469" s="18" t="str">
        <f aca="false">'SALES Raw'!B3835</f>
        <v>379MSP-39-42</v>
      </c>
      <c r="C5469" s="18" t="str">
        <f aca="false">'SALES Raw'!H3835</f>
        <v>מדרסי אפיק ג'ל מולטי ספור39-42</v>
      </c>
      <c r="D5469" s="19" t="n">
        <f aca="false">'SALES Raw'!C3835</f>
        <v>1</v>
      </c>
      <c r="E5469" s="19" t="n">
        <f aca="false">'SALES Raw'!D3835</f>
        <v>0.04</v>
      </c>
      <c r="F5469" s="19" t="n">
        <f aca="false">'SALES Raw'!E3835*$H$4</f>
        <v>0</v>
      </c>
      <c r="G5469" s="19" t="n">
        <f aca="false">'SALES Raw'!F3835*$H$4</f>
        <v>0</v>
      </c>
      <c r="H5469" s="18" t="str">
        <f aca="false">'SALES Raw'!A3835</f>
        <v>209 - Ortoprofil Prod ROMANIA</v>
      </c>
    </row>
    <row r="5470" customFormat="false" ht="15" hidden="false" customHeight="false" outlineLevel="0" collapsed="false">
      <c r="A5470" s="18" t="str">
        <f aca="false">'SALES Raw'!G3838</f>
        <v/>
      </c>
      <c r="B5470" s="18" t="str">
        <f aca="false">'SALES Raw'!B3838</f>
        <v>391W-35-38</v>
      </c>
      <c r="C5470" s="18" t="str">
        <f aca="false">'SALES Raw'!H3838</f>
        <v>391W-35-38</v>
      </c>
      <c r="D5470" s="19" t="n">
        <f aca="false">'SALES Raw'!C3838</f>
        <v>1</v>
      </c>
      <c r="E5470" s="19" t="n">
        <f aca="false">'SALES Raw'!D3838</f>
        <v>0.04</v>
      </c>
      <c r="F5470" s="19" t="n">
        <f aca="false">'SALES Raw'!E3838*$H$4</f>
        <v>0</v>
      </c>
      <c r="G5470" s="19" t="n">
        <f aca="false">'SALES Raw'!F3838*$H$4</f>
        <v>0</v>
      </c>
      <c r="H5470" s="18" t="str">
        <f aca="false">'SALES Raw'!A3838</f>
        <v>209 - Ortoprofil Prod ROMANIA</v>
      </c>
    </row>
    <row r="5471" customFormat="false" ht="15" hidden="false" customHeight="false" outlineLevel="0" collapsed="false">
      <c r="A5471" s="18" t="n">
        <f aca="false">'SALES Raw'!G3839</f>
        <v>4403045</v>
      </c>
      <c r="B5471" s="18" t="str">
        <f aca="false">'SALES Raw'!B3839</f>
        <v>395B-43-46</v>
      </c>
      <c r="C5471" s="18" t="str">
        <f aca="false">'SALES Raw'!H3839</f>
        <v>395B גרבי קיץ אנטי בקטריא43-46</v>
      </c>
      <c r="D5471" s="19" t="n">
        <f aca="false">'SALES Raw'!C3839</f>
        <v>1</v>
      </c>
      <c r="E5471" s="19" t="n">
        <f aca="false">'SALES Raw'!D3839</f>
        <v>0.04</v>
      </c>
      <c r="F5471" s="19" t="n">
        <f aca="false">'SALES Raw'!E3839*$H$4</f>
        <v>0</v>
      </c>
      <c r="G5471" s="19" t="n">
        <f aca="false">'SALES Raw'!F3839*$H$4</f>
        <v>0</v>
      </c>
      <c r="H5471" s="18" t="str">
        <f aca="false">'SALES Raw'!A3839</f>
        <v>209 - Ortoprofil Prod ROMANIA</v>
      </c>
    </row>
    <row r="5472" customFormat="false" ht="15" hidden="false" customHeight="false" outlineLevel="0" collapsed="false">
      <c r="A5472" s="18" t="n">
        <f aca="false">'SALES Raw'!G3840</f>
        <v>4403043</v>
      </c>
      <c r="B5472" s="18" t="str">
        <f aca="false">'SALES Raw'!B3840</f>
        <v>397A-43-46</v>
      </c>
      <c r="C5472" s="18" t="str">
        <f aca="false">'SALES Raw'!H3840</f>
        <v>397A-גרבי טיסה אנטי בקטרי43-46</v>
      </c>
      <c r="D5472" s="19" t="n">
        <f aca="false">'SALES Raw'!C3840</f>
        <v>1</v>
      </c>
      <c r="E5472" s="19" t="n">
        <f aca="false">'SALES Raw'!D3840</f>
        <v>0.04</v>
      </c>
      <c r="F5472" s="19" t="n">
        <f aca="false">'SALES Raw'!E3840*$H$4</f>
        <v>0</v>
      </c>
      <c r="G5472" s="19" t="n">
        <f aca="false">'SALES Raw'!F3840*$H$4</f>
        <v>0</v>
      </c>
      <c r="H5472" s="18" t="str">
        <f aca="false">'SALES Raw'!A3840</f>
        <v>209 - Ortoprofil Prod ROMANIA</v>
      </c>
    </row>
    <row r="5473" customFormat="false" ht="15" hidden="false" customHeight="false" outlineLevel="0" collapsed="false">
      <c r="A5473" s="18" t="n">
        <f aca="false">'SALES Raw'!G3847</f>
        <v>4408271</v>
      </c>
      <c r="B5473" s="18" t="str">
        <f aca="false">'SALES Raw'!B3847</f>
        <v>70N XS</v>
      </c>
      <c r="C5473" s="18" t="str">
        <f aca="false">'SALES Raw'!H3847</f>
        <v>70N XS חגורת פאבליק</v>
      </c>
      <c r="D5473" s="19" t="n">
        <f aca="false">'SALES Raw'!C3847</f>
        <v>1</v>
      </c>
      <c r="E5473" s="19" t="n">
        <f aca="false">'SALES Raw'!D3847</f>
        <v>0.04</v>
      </c>
      <c r="F5473" s="19" t="n">
        <f aca="false">'SALES Raw'!E3847*$H$4</f>
        <v>0</v>
      </c>
      <c r="G5473" s="19" t="n">
        <f aca="false">'SALES Raw'!F3847*$H$4</f>
        <v>0</v>
      </c>
      <c r="H5473" s="18" t="str">
        <f aca="false">'SALES Raw'!A3847</f>
        <v>209 - Ortoprofil Prod ROMANIA</v>
      </c>
    </row>
    <row r="5474" customFormat="false" ht="15" hidden="false" customHeight="false" outlineLevel="0" collapsed="false">
      <c r="A5474" s="18" t="n">
        <f aca="false">'SALES Raw'!G3857</f>
        <v>4413143</v>
      </c>
      <c r="B5474" s="18" t="str">
        <f aca="false">'SALES Raw'!B3857</f>
        <v>95 XS</v>
      </c>
      <c r="C5474" s="18" t="str">
        <f aca="false">'SALES Raw'!H3857</f>
        <v>95 XS מגן מרפק רגיל לבן</v>
      </c>
      <c r="D5474" s="19" t="n">
        <f aca="false">'SALES Raw'!C3857</f>
        <v>20</v>
      </c>
      <c r="E5474" s="19" t="n">
        <f aca="false">'SALES Raw'!D3857</f>
        <v>205.48</v>
      </c>
      <c r="F5474" s="19" t="n">
        <f aca="false">'SALES Raw'!E3857*$H$4</f>
        <v>0</v>
      </c>
      <c r="G5474" s="19" t="n">
        <f aca="false">'SALES Raw'!F3857*$H$4</f>
        <v>0</v>
      </c>
      <c r="H5474" s="18" t="str">
        <f aca="false">'SALES Raw'!A3857</f>
        <v>209 - Ortoprofil Prod ROMANIA</v>
      </c>
    </row>
    <row r="5475" customFormat="false" ht="15" hidden="false" customHeight="false" outlineLevel="0" collapsed="false">
      <c r="A5475" s="18" t="n">
        <f aca="false">'SALES Raw'!G3861</f>
        <v>4422040</v>
      </c>
      <c r="B5475" s="18" t="str">
        <f aca="false">'SALES Raw'!B3861</f>
        <v>SH422 4</v>
      </c>
      <c r="C5475" s="18" t="str">
        <f aca="false">'SALES Raw'!H3861</f>
        <v>SH422 4 תומך ברך גנושילד</v>
      </c>
      <c r="D5475" s="19" t="n">
        <f aca="false">'SALES Raw'!C3861</f>
        <v>1</v>
      </c>
      <c r="E5475" s="19" t="n">
        <f aca="false">'SALES Raw'!D3861</f>
        <v>0.04</v>
      </c>
      <c r="F5475" s="19" t="n">
        <f aca="false">'SALES Raw'!E3861*$H$4</f>
        <v>0</v>
      </c>
      <c r="G5475" s="19" t="n">
        <f aca="false">'SALES Raw'!F3861*$H$4</f>
        <v>0</v>
      </c>
      <c r="H5475" s="18" t="str">
        <f aca="false">'SALES Raw'!A3861</f>
        <v>209 - Ortoprofil Prod ROMANIA</v>
      </c>
    </row>
    <row r="5476" customFormat="false" ht="15" hidden="false" customHeight="false" outlineLevel="0" collapsed="false">
      <c r="A5476" s="18" t="n">
        <f aca="false">'SALES Raw'!G3862</f>
        <v>4408269</v>
      </c>
      <c r="B5476" s="18" t="str">
        <f aca="false">'SALES Raw'!B3862</f>
        <v>ST37 0</v>
      </c>
      <c r="C5476" s="18" t="str">
        <f aca="false">'SALES Raw'!H3862</f>
        <v>ST37 חבק לקרסול</v>
      </c>
      <c r="D5476" s="19" t="n">
        <f aca="false">'SALES Raw'!C3862</f>
        <v>10</v>
      </c>
      <c r="E5476" s="19" t="n">
        <f aca="false">'SALES Raw'!D3862</f>
        <v>162.83</v>
      </c>
      <c r="F5476" s="19" t="n">
        <f aca="false">'SALES Raw'!E3862*$H$4</f>
        <v>0</v>
      </c>
      <c r="G5476" s="19" t="n">
        <f aca="false">'SALES Raw'!F3862*$H$4</f>
        <v>0</v>
      </c>
      <c r="H5476" s="18" t="str">
        <f aca="false">'SALES Raw'!A3862</f>
        <v>209 - Ortoprofil Prod ROMANIA</v>
      </c>
    </row>
    <row r="5477" customFormat="false" ht="15" hidden="false" customHeight="false" outlineLevel="0" collapsed="false">
      <c r="A5477" s="18" t="n">
        <f aca="false">'SALES Raw'!G3870</f>
        <v>4408014</v>
      </c>
      <c r="B5477" s="18" t="str">
        <f aca="false">'SALES Raw'!B3870</f>
        <v>07AU S</v>
      </c>
      <c r="C5477" s="18" t="str">
        <f aca="false">'SALES Raw'!H3870</f>
        <v>07AU S ח.גב """"איטלקית"""" אורירית</v>
      </c>
      <c r="D5477" s="19" t="n">
        <f aca="false">'SALES Raw'!C3870</f>
        <v>2</v>
      </c>
      <c r="E5477" s="19" t="n">
        <f aca="false">'SALES Raw'!D3870</f>
        <v>263.87</v>
      </c>
      <c r="F5477" s="19" t="n">
        <f aca="false">'SALES Raw'!E3870*$H$4</f>
        <v>0</v>
      </c>
      <c r="G5477" s="19" t="n">
        <f aca="false">'SALES Raw'!F3870*$H$4</f>
        <v>0</v>
      </c>
      <c r="H5477" s="18" t="str">
        <f aca="false">'SALES Raw'!A3870</f>
        <v>210 - Oy. Ea. Ab. FINLAND</v>
      </c>
    </row>
    <row r="5478" customFormat="false" ht="15" hidden="false" customHeight="false" outlineLevel="0" collapsed="false">
      <c r="A5478" s="18" t="n">
        <f aca="false">'SALES Raw'!G3873</f>
        <v>4408027</v>
      </c>
      <c r="B5478" s="18" t="str">
        <f aca="false">'SALES Raw'!B3873</f>
        <v>10 L</v>
      </c>
      <c r="C5478" s="18" t="str">
        <f aca="false">'SALES Raw'!H3873</f>
        <v>10 L """"חגורת גב """"לומבו</v>
      </c>
      <c r="D5478" s="19" t="n">
        <f aca="false">'SALES Raw'!C3873</f>
        <v>6</v>
      </c>
      <c r="E5478" s="19" t="n">
        <f aca="false">'SALES Raw'!D3873</f>
        <v>467.34</v>
      </c>
      <c r="F5478" s="19" t="n">
        <f aca="false">'SALES Raw'!E3873*$H$4</f>
        <v>0</v>
      </c>
      <c r="G5478" s="19" t="n">
        <f aca="false">'SALES Raw'!F3873*$H$4</f>
        <v>0</v>
      </c>
      <c r="H5478" s="18" t="str">
        <f aca="false">'SALES Raw'!A3873</f>
        <v>210 - Oy. Ea. Ab. FINLAND</v>
      </c>
    </row>
    <row r="5479" customFormat="false" ht="15" hidden="false" customHeight="false" outlineLevel="0" collapsed="false">
      <c r="A5479" s="18" t="str">
        <f aca="false">'SALES Raw'!G3877</f>
        <v/>
      </c>
      <c r="B5479" s="18" t="str">
        <f aca="false">'SALES Raw'!B3877</f>
        <v>11EU S</v>
      </c>
      <c r="C5479" s="18" t="str">
        <f aca="false">'SALES Raw'!H3877</f>
        <v>11EU S</v>
      </c>
      <c r="D5479" s="19" t="n">
        <f aca="false">'SALES Raw'!C3877</f>
        <v>5</v>
      </c>
      <c r="E5479" s="19" t="n">
        <f aca="false">'SALES Raw'!D3877</f>
        <v>238.95</v>
      </c>
      <c r="F5479" s="19" t="n">
        <f aca="false">'SALES Raw'!E3877*$H$4</f>
        <v>0</v>
      </c>
      <c r="G5479" s="19" t="n">
        <f aca="false">'SALES Raw'!F3877*$H$4</f>
        <v>0</v>
      </c>
      <c r="H5479" s="18" t="str">
        <f aca="false">'SALES Raw'!A3877</f>
        <v>210 - Oy. Ea. Ab. FINLAND</v>
      </c>
    </row>
    <row r="5480" customFormat="false" ht="15" hidden="false" customHeight="false" outlineLevel="0" collapsed="false">
      <c r="A5480" s="18" t="n">
        <f aca="false">'SALES Raw'!G3895</f>
        <v>4415002</v>
      </c>
      <c r="B5480" s="18" t="str">
        <f aca="false">'SALES Raw'!B3895</f>
        <v>26 S</v>
      </c>
      <c r="C5480" s="18" t="str">
        <f aca="false">'SALES Raw'!H3895</f>
        <v>26 S סד ליד דו צדדי לאחר שבר</v>
      </c>
      <c r="D5480" s="19" t="n">
        <f aca="false">'SALES Raw'!C3895</f>
        <v>2</v>
      </c>
      <c r="E5480" s="19" t="n">
        <f aca="false">'SALES Raw'!D3895</f>
        <v>92.84</v>
      </c>
      <c r="F5480" s="19" t="n">
        <f aca="false">'SALES Raw'!E3895*$H$4</f>
        <v>0</v>
      </c>
      <c r="G5480" s="19" t="n">
        <f aca="false">'SALES Raw'!F3895*$H$4</f>
        <v>0</v>
      </c>
      <c r="H5480" s="18" t="str">
        <f aca="false">'SALES Raw'!A3895</f>
        <v>210 - Oy. Ea. Ab. FINLAND</v>
      </c>
    </row>
    <row r="5481" customFormat="false" ht="15" hidden="false" customHeight="false" outlineLevel="0" collapsed="false">
      <c r="A5481" s="18" t="str">
        <f aca="false">'SALES Raw'!G3900</f>
        <v/>
      </c>
      <c r="B5481" s="18" t="str">
        <f aca="false">'SALES Raw'!B3900</f>
        <v>30 L</v>
      </c>
      <c r="C5481" s="18" t="str">
        <f aca="false">'SALES Raw'!H3900</f>
        <v>30 L</v>
      </c>
      <c r="D5481" s="19" t="n">
        <f aca="false">'SALES Raw'!C3900</f>
        <v>15</v>
      </c>
      <c r="E5481" s="19" t="n">
        <f aca="false">'SALES Raw'!D3900</f>
        <v>503.7</v>
      </c>
      <c r="F5481" s="19" t="n">
        <f aca="false">'SALES Raw'!E3900*$H$4</f>
        <v>0</v>
      </c>
      <c r="G5481" s="19" t="n">
        <f aca="false">'SALES Raw'!F3900*$H$4</f>
        <v>0</v>
      </c>
      <c r="H5481" s="18" t="str">
        <f aca="false">'SALES Raw'!A3900</f>
        <v>210 - Oy. Ea. Ab. FINLAND</v>
      </c>
    </row>
    <row r="5482" customFormat="false" ht="15" hidden="false" customHeight="false" outlineLevel="0" collapsed="false">
      <c r="A5482" s="18" t="str">
        <f aca="false">'SALES Raw'!G3901</f>
        <v/>
      </c>
      <c r="B5482" s="18" t="str">
        <f aca="false">'SALES Raw'!B3901</f>
        <v>30 M</v>
      </c>
      <c r="C5482" s="18" t="str">
        <f aca="false">'SALES Raw'!H3901</f>
        <v>30 M</v>
      </c>
      <c r="D5482" s="19" t="n">
        <f aca="false">'SALES Raw'!C3901</f>
        <v>15</v>
      </c>
      <c r="E5482" s="19" t="n">
        <f aca="false">'SALES Raw'!D3901</f>
        <v>503.7</v>
      </c>
      <c r="F5482" s="19" t="n">
        <f aca="false">'SALES Raw'!E3901*$H$4</f>
        <v>0</v>
      </c>
      <c r="G5482" s="19" t="n">
        <f aca="false">'SALES Raw'!F3901*$H$4</f>
        <v>0</v>
      </c>
      <c r="H5482" s="18" t="str">
        <f aca="false">'SALES Raw'!A3901</f>
        <v>210 - Oy. Ea. Ab. FINLAND</v>
      </c>
    </row>
    <row r="5483" customFormat="false" ht="15" hidden="false" customHeight="false" outlineLevel="0" collapsed="false">
      <c r="A5483" s="18" t="n">
        <f aca="false">'SALES Raw'!G3904</f>
        <v>4420036</v>
      </c>
      <c r="B5483" s="18" t="str">
        <f aca="false">'SALES Raw'!B3904</f>
        <v>301CM-41-45</v>
      </c>
      <c r="C5483" s="18" t="str">
        <f aca="false">'SALES Raw'!H3904</f>
        <v>301CM 41-45 'רפידת ג'ל בז</v>
      </c>
      <c r="D5483" s="19" t="n">
        <f aca="false">'SALES Raw'!C3904</f>
        <v>10</v>
      </c>
      <c r="E5483" s="19" t="n">
        <f aca="false">'SALES Raw'!D3904</f>
        <v>320.78</v>
      </c>
      <c r="F5483" s="19" t="n">
        <f aca="false">'SALES Raw'!E3904*$H$4</f>
        <v>0</v>
      </c>
      <c r="G5483" s="19" t="n">
        <f aca="false">'SALES Raw'!F3904*$H$4</f>
        <v>0</v>
      </c>
      <c r="H5483" s="18" t="str">
        <f aca="false">'SALES Raw'!A3904</f>
        <v>210 - Oy. Ea. Ab. FINLAND</v>
      </c>
    </row>
    <row r="5484" customFormat="false" ht="15" hidden="false" customHeight="false" outlineLevel="0" collapsed="false">
      <c r="A5484" s="18" t="n">
        <f aca="false">'SALES Raw'!G3906</f>
        <v>4420037</v>
      </c>
      <c r="B5484" s="18" t="str">
        <f aca="false">'SALES Raw'!B3906</f>
        <v>301JW-36-40</v>
      </c>
      <c r="C5484" s="18" t="str">
        <f aca="false">'SALES Raw'!H3906</f>
        <v>301JW רפידת ג'ל כחול36-40</v>
      </c>
      <c r="D5484" s="19" t="n">
        <f aca="false">'SALES Raw'!C3906</f>
        <v>30</v>
      </c>
      <c r="E5484" s="19" t="n">
        <f aca="false">'SALES Raw'!D3906</f>
        <v>917.06</v>
      </c>
      <c r="F5484" s="19" t="n">
        <f aca="false">'SALES Raw'!E3906*$H$4</f>
        <v>0</v>
      </c>
      <c r="G5484" s="19" t="n">
        <f aca="false">'SALES Raw'!F3906*$H$4</f>
        <v>0</v>
      </c>
      <c r="H5484" s="18" t="str">
        <f aca="false">'SALES Raw'!A3906</f>
        <v>210 - Oy. Ea. Ab. FINLAND</v>
      </c>
    </row>
    <row r="5485" customFormat="false" ht="15" hidden="false" customHeight="false" outlineLevel="0" collapsed="false">
      <c r="A5485" s="18" t="n">
        <f aca="false">'SALES Raw'!G3912</f>
        <v>4416003</v>
      </c>
      <c r="B5485" s="18" t="str">
        <f aca="false">'SALES Raw'!B3912</f>
        <v>308 L</v>
      </c>
      <c r="C5485" s="18" t="str">
        <f aca="false">'SALES Raw'!H3912</f>
        <v>308 Lעקבים סיליקון כחול לדורבן</v>
      </c>
      <c r="D5485" s="19" t="n">
        <f aca="false">'SALES Raw'!C3912</f>
        <v>20</v>
      </c>
      <c r="E5485" s="19" t="n">
        <f aca="false">'SALES Raw'!D3912</f>
        <v>515.23</v>
      </c>
      <c r="F5485" s="19" t="n">
        <f aca="false">'SALES Raw'!E3912*$H$4</f>
        <v>0</v>
      </c>
      <c r="G5485" s="19" t="n">
        <f aca="false">'SALES Raw'!F3912*$H$4</f>
        <v>0</v>
      </c>
      <c r="H5485" s="18" t="str">
        <f aca="false">'SALES Raw'!A3912</f>
        <v>210 - Oy. Ea. Ab. FINLAND</v>
      </c>
    </row>
    <row r="5486" customFormat="false" ht="15" hidden="false" customHeight="false" outlineLevel="0" collapsed="false">
      <c r="A5486" s="18" t="n">
        <f aca="false">'SALES Raw'!G3920</f>
        <v>4413490</v>
      </c>
      <c r="B5486" s="18" t="str">
        <f aca="false">'SALES Raw'!B3920</f>
        <v>35B L</v>
      </c>
      <c r="C5486" s="18" t="str">
        <f aca="false">'SALES Raw'!H3920</f>
        <v>35B L מגן קרסול שחור</v>
      </c>
      <c r="D5486" s="19" t="n">
        <f aca="false">'SALES Raw'!C3920</f>
        <v>25</v>
      </c>
      <c r="E5486" s="19" t="n">
        <f aca="false">'SALES Raw'!D3920</f>
        <v>298.68</v>
      </c>
      <c r="F5486" s="19" t="n">
        <f aca="false">'SALES Raw'!E3920*$H$4</f>
        <v>0</v>
      </c>
      <c r="G5486" s="19" t="n">
        <f aca="false">'SALES Raw'!F3920*$H$4</f>
        <v>0</v>
      </c>
      <c r="H5486" s="18" t="str">
        <f aca="false">'SALES Raw'!A3920</f>
        <v>210 - Oy. Ea. Ab. FINLAND</v>
      </c>
    </row>
    <row r="5487" customFormat="false" ht="15" hidden="false" customHeight="false" outlineLevel="0" collapsed="false">
      <c r="A5487" s="18" t="n">
        <f aca="false">'SALES Raw'!G3923</f>
        <v>4413491</v>
      </c>
      <c r="B5487" s="18" t="str">
        <f aca="false">'SALES Raw'!B3923</f>
        <v>35B XL</v>
      </c>
      <c r="C5487" s="18" t="str">
        <f aca="false">'SALES Raw'!H3923</f>
        <v>35B XL מגן קרסול שחור</v>
      </c>
      <c r="D5487" s="19" t="n">
        <f aca="false">'SALES Raw'!C3923</f>
        <v>20</v>
      </c>
      <c r="E5487" s="19" t="n">
        <f aca="false">'SALES Raw'!D3923</f>
        <v>240.18</v>
      </c>
      <c r="F5487" s="19" t="n">
        <f aca="false">'SALES Raw'!E3923*$H$4</f>
        <v>0</v>
      </c>
      <c r="G5487" s="19" t="n">
        <f aca="false">'SALES Raw'!F3923*$H$4</f>
        <v>0</v>
      </c>
      <c r="H5487" s="18" t="str">
        <f aca="false">'SALES Raw'!A3923</f>
        <v>210 - Oy. Ea. Ab. FINLAND</v>
      </c>
    </row>
    <row r="5488" customFormat="false" ht="15" hidden="false" customHeight="false" outlineLevel="0" collapsed="false">
      <c r="A5488" s="18" t="n">
        <f aca="false">'SALES Raw'!G3925</f>
        <v>4413053</v>
      </c>
      <c r="B5488" s="18" t="str">
        <f aca="false">'SALES Raw'!B3925</f>
        <v>35C L</v>
      </c>
      <c r="C5488" s="18" t="str">
        <f aca="false">'SALES Raw'!H3925</f>
        <v>35C L מגן קרסול חום</v>
      </c>
      <c r="D5488" s="19" t="n">
        <f aca="false">'SALES Raw'!C3925</f>
        <v>10</v>
      </c>
      <c r="E5488" s="19" t="n">
        <f aca="false">'SALES Raw'!D3925</f>
        <v>117.23</v>
      </c>
      <c r="F5488" s="19" t="n">
        <f aca="false">'SALES Raw'!E3925*$H$4</f>
        <v>0</v>
      </c>
      <c r="G5488" s="19" t="n">
        <f aca="false">'SALES Raw'!F3925*$H$4</f>
        <v>0</v>
      </c>
      <c r="H5488" s="18" t="str">
        <f aca="false">'SALES Raw'!A3925</f>
        <v>210 - Oy. Ea. Ab. FINLAND</v>
      </c>
    </row>
    <row r="5489" customFormat="false" ht="15" hidden="false" customHeight="false" outlineLevel="0" collapsed="false">
      <c r="A5489" s="18" t="n">
        <f aca="false">'SALES Raw'!G3926</f>
        <v>4413054</v>
      </c>
      <c r="B5489" s="18" t="str">
        <f aca="false">'SALES Raw'!B3926</f>
        <v>35C M</v>
      </c>
      <c r="C5489" s="18" t="str">
        <f aca="false">'SALES Raw'!H3926</f>
        <v>35C M מגן קרסול חום</v>
      </c>
      <c r="D5489" s="19" t="n">
        <f aca="false">'SALES Raw'!C3926</f>
        <v>19</v>
      </c>
      <c r="E5489" s="19" t="n">
        <f aca="false">'SALES Raw'!D3926</f>
        <v>220.38</v>
      </c>
      <c r="F5489" s="19" t="n">
        <f aca="false">'SALES Raw'!E3926*$H$4</f>
        <v>0</v>
      </c>
      <c r="G5489" s="19" t="n">
        <f aca="false">'SALES Raw'!F3926*$H$4</f>
        <v>0</v>
      </c>
      <c r="H5489" s="18" t="str">
        <f aca="false">'SALES Raw'!A3926</f>
        <v>210 - Oy. Ea. Ab. FINLAND</v>
      </c>
    </row>
    <row r="5490" customFormat="false" ht="15" hidden="false" customHeight="false" outlineLevel="0" collapsed="false">
      <c r="A5490" s="18" t="n">
        <f aca="false">'SALES Raw'!G3928</f>
        <v>4413055</v>
      </c>
      <c r="B5490" s="18" t="str">
        <f aca="false">'SALES Raw'!B3928</f>
        <v>35C XL</v>
      </c>
      <c r="C5490" s="18" t="str">
        <f aca="false">'SALES Raw'!H3928</f>
        <v>35C XL מגן קרסול חום</v>
      </c>
      <c r="D5490" s="19" t="n">
        <f aca="false">'SALES Raw'!C3928</f>
        <v>10</v>
      </c>
      <c r="E5490" s="19" t="n">
        <f aca="false">'SALES Raw'!D3928</f>
        <v>117.23</v>
      </c>
      <c r="F5490" s="19" t="n">
        <f aca="false">'SALES Raw'!E3928*$H$4</f>
        <v>0</v>
      </c>
      <c r="G5490" s="19" t="n">
        <f aca="false">'SALES Raw'!F3928*$H$4</f>
        <v>0</v>
      </c>
      <c r="H5490" s="18" t="str">
        <f aca="false">'SALES Raw'!A3928</f>
        <v>210 - Oy. Ea. Ab. FINLAND</v>
      </c>
    </row>
    <row r="5491" customFormat="false" ht="15" hidden="false" customHeight="false" outlineLevel="0" collapsed="false">
      <c r="A5491" s="18" t="str">
        <f aca="false">'SALES Raw'!G3929</f>
        <v/>
      </c>
      <c r="B5491" s="18" t="str">
        <f aca="false">'SALES Raw'!B3929</f>
        <v>35C XXL</v>
      </c>
      <c r="C5491" s="18" t="str">
        <f aca="false">'SALES Raw'!H3929</f>
        <v>35C XXL</v>
      </c>
      <c r="D5491" s="19" t="n">
        <f aca="false">'SALES Raw'!C3929</f>
        <v>4</v>
      </c>
      <c r="E5491" s="19" t="n">
        <f aca="false">'SALES Raw'!D3929</f>
        <v>46.89</v>
      </c>
      <c r="F5491" s="19" t="n">
        <f aca="false">'SALES Raw'!E3929*$H$4</f>
        <v>0</v>
      </c>
      <c r="G5491" s="19" t="n">
        <f aca="false">'SALES Raw'!F3929*$H$4</f>
        <v>0</v>
      </c>
      <c r="H5491" s="18" t="str">
        <f aca="false">'SALES Raw'!A3929</f>
        <v>210 - Oy. Ea. Ab. FINLAND</v>
      </c>
    </row>
    <row r="5492" customFormat="false" ht="15" hidden="false" customHeight="false" outlineLevel="0" collapsed="false">
      <c r="A5492" s="18" t="n">
        <f aca="false">'SALES Raw'!G3931</f>
        <v>4421008</v>
      </c>
      <c r="B5492" s="18" t="str">
        <f aca="false">'SALES Raw'!B3931</f>
        <v>351 0</v>
      </c>
      <c r="C5492" s="18" t="str">
        <f aca="false">'SALES Raw'!H3931</f>
        <v>שרוול לגבס ארוך רגל</v>
      </c>
      <c r="D5492" s="19" t="n">
        <f aca="false">'SALES Raw'!C3931</f>
        <v>10</v>
      </c>
      <c r="E5492" s="19" t="n">
        <f aca="false">'SALES Raw'!D3931</f>
        <v>290.55</v>
      </c>
      <c r="F5492" s="19" t="n">
        <f aca="false">'SALES Raw'!E3931*$H$4</f>
        <v>0</v>
      </c>
      <c r="G5492" s="19" t="n">
        <f aca="false">'SALES Raw'!F3931*$H$4</f>
        <v>0</v>
      </c>
      <c r="H5492" s="18" t="str">
        <f aca="false">'SALES Raw'!A3931</f>
        <v>210 - Oy. Ea. Ab. FINLAND</v>
      </c>
    </row>
    <row r="5493" customFormat="false" ht="15" hidden="false" customHeight="false" outlineLevel="0" collapsed="false">
      <c r="A5493" s="18" t="n">
        <f aca="false">'SALES Raw'!G3936</f>
        <v>4413061</v>
      </c>
      <c r="B5493" s="18" t="str">
        <f aca="false">'SALES Raw'!B3936</f>
        <v>3641 0</v>
      </c>
      <c r="C5493" s="18" t="str">
        <f aca="false">'SALES Raw'!H3936</f>
        <v>3641-מיישר בוהן סיליקון קשיח</v>
      </c>
      <c r="D5493" s="19" t="n">
        <f aca="false">'SALES Raw'!C3936</f>
        <v>20</v>
      </c>
      <c r="E5493" s="19" t="n">
        <f aca="false">'SALES Raw'!D3936</f>
        <v>131.72</v>
      </c>
      <c r="F5493" s="19" t="n">
        <f aca="false">'SALES Raw'!E3936*$H$4</f>
        <v>0</v>
      </c>
      <c r="G5493" s="19" t="n">
        <f aca="false">'SALES Raw'!F3936*$H$4</f>
        <v>0</v>
      </c>
      <c r="H5493" s="18" t="str">
        <f aca="false">'SALES Raw'!A3936</f>
        <v>210 - Oy. Ea. Ab. FINLAND</v>
      </c>
    </row>
    <row r="5494" customFormat="false" ht="15" hidden="false" customHeight="false" outlineLevel="0" collapsed="false">
      <c r="A5494" s="18" t="n">
        <f aca="false">'SALES Raw'!G3937</f>
        <v>4409000</v>
      </c>
      <c r="B5494" s="18" t="str">
        <f aca="false">'SALES Raw'!B3937</f>
        <v>365-S-L</v>
      </c>
      <c r="C5494" s="18" t="str">
        <f aca="false">'SALES Raw'!H3937</f>
        <v>365 S-Lטבעת אלסטית מסיליקון</v>
      </c>
      <c r="D5494" s="19" t="n">
        <f aca="false">'SALES Raw'!C3937</f>
        <v>25</v>
      </c>
      <c r="E5494" s="19" t="n">
        <f aca="false">'SALES Raw'!D3937</f>
        <v>175.23</v>
      </c>
      <c r="F5494" s="19" t="n">
        <f aca="false">'SALES Raw'!E3937*$H$4</f>
        <v>0</v>
      </c>
      <c r="G5494" s="19" t="n">
        <f aca="false">'SALES Raw'!F3937*$H$4</f>
        <v>0</v>
      </c>
      <c r="H5494" s="18" t="str">
        <f aca="false">'SALES Raw'!A3937</f>
        <v>210 - Oy. Ea. Ab. FINLAND</v>
      </c>
    </row>
    <row r="5495" customFormat="false" ht="15" hidden="false" customHeight="false" outlineLevel="0" collapsed="false">
      <c r="A5495" s="18" t="n">
        <f aca="false">'SALES Raw'!G3939</f>
        <v>4413063</v>
      </c>
      <c r="B5495" s="18" t="str">
        <f aca="false">'SALES Raw'!B3939</f>
        <v>366S 0</v>
      </c>
      <c r="C5495" s="18" t="str">
        <f aca="false">'SALES Raw'!H3939</f>
        <v>366S-'מדבק.לשחרור לחץ מיבלת2יח</v>
      </c>
      <c r="D5495" s="19" t="n">
        <f aca="false">'SALES Raw'!C3939</f>
        <v>10</v>
      </c>
      <c r="E5495" s="19" t="n">
        <f aca="false">'SALES Raw'!D3939</f>
        <v>79.25</v>
      </c>
      <c r="F5495" s="19" t="n">
        <f aca="false">'SALES Raw'!E3939*$H$4</f>
        <v>0</v>
      </c>
      <c r="G5495" s="19" t="n">
        <f aca="false">'SALES Raw'!F3939*$H$4</f>
        <v>0</v>
      </c>
      <c r="H5495" s="18" t="str">
        <f aca="false">'SALES Raw'!A3939</f>
        <v>210 - Oy. Ea. Ab. FINLAND</v>
      </c>
    </row>
    <row r="5496" customFormat="false" ht="15" hidden="false" customHeight="false" outlineLevel="0" collapsed="false">
      <c r="A5496" s="18" t="str">
        <f aca="false">'SALES Raw'!G3947</f>
        <v/>
      </c>
      <c r="B5496" s="18" t="str">
        <f aca="false">'SALES Raw'!B3947</f>
        <v>376-35-37</v>
      </c>
      <c r="C5496" s="18" t="str">
        <f aca="false">'SALES Raw'!H3947</f>
        <v>376-35-37</v>
      </c>
      <c r="D5496" s="19" t="n">
        <f aca="false">'SALES Raw'!C3947</f>
        <v>12</v>
      </c>
      <c r="E5496" s="19" t="n">
        <f aca="false">'SALES Raw'!D3947</f>
        <v>200.29</v>
      </c>
      <c r="F5496" s="19" t="n">
        <f aca="false">'SALES Raw'!E3947*$H$4</f>
        <v>0</v>
      </c>
      <c r="G5496" s="19" t="n">
        <f aca="false">'SALES Raw'!F3947*$H$4</f>
        <v>0</v>
      </c>
      <c r="H5496" s="18" t="str">
        <f aca="false">'SALES Raw'!A3947</f>
        <v>210 - Oy. Ea. Ab. FINLAND</v>
      </c>
    </row>
    <row r="5497" customFormat="false" ht="15" hidden="false" customHeight="false" outlineLevel="0" collapsed="false">
      <c r="A5497" s="18" t="n">
        <f aca="false">'SALES Raw'!G3952</f>
        <v>4413072</v>
      </c>
      <c r="B5497" s="18" t="str">
        <f aca="false">'SALES Raw'!B3952</f>
        <v>41 L</v>
      </c>
      <c r="C5497" s="18" t="str">
        <f aca="false">'SALES Raw'!H3952</f>
        <v>41 Lמ.ברך מוצלב+ספירלות בצדדים</v>
      </c>
      <c r="D5497" s="19" t="n">
        <f aca="false">'SALES Raw'!C3952</f>
        <v>30</v>
      </c>
      <c r="E5497" s="19" t="n">
        <f aca="false">'SALES Raw'!D3952</f>
        <v>1573.72</v>
      </c>
      <c r="F5497" s="19" t="n">
        <f aca="false">'SALES Raw'!E3952*$H$4</f>
        <v>0</v>
      </c>
      <c r="G5497" s="19" t="n">
        <f aca="false">'SALES Raw'!F3952*$H$4</f>
        <v>0</v>
      </c>
      <c r="H5497" s="18" t="str">
        <f aca="false">'SALES Raw'!A3952</f>
        <v>210 - Oy. Ea. Ab. FINLAND</v>
      </c>
    </row>
    <row r="5498" customFormat="false" ht="15" hidden="false" customHeight="false" outlineLevel="0" collapsed="false">
      <c r="A5498" s="18" t="n">
        <f aca="false">'SALES Raw'!G3953</f>
        <v>4413073</v>
      </c>
      <c r="B5498" s="18" t="str">
        <f aca="false">'SALES Raw'!B3953</f>
        <v>41 M</v>
      </c>
      <c r="C5498" s="18" t="str">
        <f aca="false">'SALES Raw'!H3953</f>
        <v>41 Mמ.ברך מוצלב+ספירלות בצדדים</v>
      </c>
      <c r="D5498" s="19" t="n">
        <f aca="false">'SALES Raw'!C3953</f>
        <v>30</v>
      </c>
      <c r="E5498" s="19" t="n">
        <f aca="false">'SALES Raw'!D3953</f>
        <v>1573.72</v>
      </c>
      <c r="F5498" s="19" t="n">
        <f aca="false">'SALES Raw'!E3953*$H$4</f>
        <v>0</v>
      </c>
      <c r="G5498" s="19" t="n">
        <f aca="false">'SALES Raw'!F3953*$H$4</f>
        <v>0</v>
      </c>
      <c r="H5498" s="18" t="str">
        <f aca="false">'SALES Raw'!A3953</f>
        <v>210 - Oy. Ea. Ab. FINLAND</v>
      </c>
    </row>
    <row r="5499" customFormat="false" ht="15" hidden="false" customHeight="false" outlineLevel="0" collapsed="false">
      <c r="A5499" s="18" t="n">
        <f aca="false">'SALES Raw'!G3954</f>
        <v>4413071</v>
      </c>
      <c r="B5499" s="18" t="str">
        <f aca="false">'SALES Raw'!B3954</f>
        <v>41 S</v>
      </c>
      <c r="C5499" s="18" t="str">
        <f aca="false">'SALES Raw'!H3954</f>
        <v>41 Sמ.ברך מוצלב+ספירלות בצדדים</v>
      </c>
      <c r="D5499" s="19" t="n">
        <f aca="false">'SALES Raw'!C3954</f>
        <v>10</v>
      </c>
      <c r="E5499" s="19" t="n">
        <f aca="false">'SALES Raw'!D3954</f>
        <v>524.57</v>
      </c>
      <c r="F5499" s="19" t="n">
        <f aca="false">'SALES Raw'!E3954*$H$4</f>
        <v>0</v>
      </c>
      <c r="G5499" s="19" t="n">
        <f aca="false">'SALES Raw'!F3954*$H$4</f>
        <v>0</v>
      </c>
      <c r="H5499" s="18" t="str">
        <f aca="false">'SALES Raw'!A3954</f>
        <v>210 - Oy. Ea. Ab. FINLAND</v>
      </c>
    </row>
    <row r="5500" customFormat="false" ht="15" hidden="false" customHeight="false" outlineLevel="0" collapsed="false">
      <c r="A5500" s="18" t="n">
        <f aca="false">'SALES Raw'!G3955</f>
        <v>4413074</v>
      </c>
      <c r="B5500" s="18" t="str">
        <f aca="false">'SALES Raw'!B3955</f>
        <v>41 XL</v>
      </c>
      <c r="C5500" s="18" t="str">
        <f aca="false">'SALES Raw'!H3955</f>
        <v>41  XL.מ.ברך מוצלב+ספירלות בצד</v>
      </c>
      <c r="D5500" s="19" t="n">
        <f aca="false">'SALES Raw'!C3955</f>
        <v>25</v>
      </c>
      <c r="E5500" s="19" t="n">
        <f aca="false">'SALES Raw'!D3955</f>
        <v>1311.43</v>
      </c>
      <c r="F5500" s="19" t="n">
        <f aca="false">'SALES Raw'!E3955*$H$4</f>
        <v>0</v>
      </c>
      <c r="G5500" s="19" t="n">
        <f aca="false">'SALES Raw'!F3955*$H$4</f>
        <v>0</v>
      </c>
      <c r="H5500" s="18" t="str">
        <f aca="false">'SALES Raw'!A3955</f>
        <v>210 - Oy. Ea. Ab. FINLAND</v>
      </c>
    </row>
    <row r="5501" customFormat="false" ht="15" hidden="false" customHeight="false" outlineLevel="0" collapsed="false">
      <c r="A5501" s="18" t="str">
        <f aca="false">'SALES Raw'!G3956</f>
        <v/>
      </c>
      <c r="B5501" s="18" t="str">
        <f aca="false">'SALES Raw'!B3956</f>
        <v>41 XXL</v>
      </c>
      <c r="C5501" s="18" t="str">
        <f aca="false">'SALES Raw'!H3956</f>
        <v>41 XXL</v>
      </c>
      <c r="D5501" s="19" t="n">
        <f aca="false">'SALES Raw'!C3956</f>
        <v>15</v>
      </c>
      <c r="E5501" s="19" t="n">
        <f aca="false">'SALES Raw'!D3956</f>
        <v>786.86</v>
      </c>
      <c r="F5501" s="19" t="n">
        <f aca="false">'SALES Raw'!E3956*$H$4</f>
        <v>0</v>
      </c>
      <c r="G5501" s="19" t="n">
        <f aca="false">'SALES Raw'!F3956*$H$4</f>
        <v>0</v>
      </c>
      <c r="H5501" s="18" t="str">
        <f aca="false">'SALES Raw'!A3956</f>
        <v>210 - Oy. Ea. Ab. FINLAND</v>
      </c>
    </row>
    <row r="5502" customFormat="false" ht="15" hidden="false" customHeight="false" outlineLevel="0" collapsed="false">
      <c r="A5502" s="18" t="n">
        <f aca="false">'SALES Raw'!G3959</f>
        <v>4413498</v>
      </c>
      <c r="B5502" s="18" t="str">
        <f aca="false">'SALES Raw'!B3959</f>
        <v>45B S</v>
      </c>
      <c r="C5502" s="18" t="str">
        <f aca="false">'SALES Raw'!H3959</f>
        <v>45B S מגן ברך שחור</v>
      </c>
      <c r="D5502" s="19" t="n">
        <f aca="false">'SALES Raw'!C3959</f>
        <v>10</v>
      </c>
      <c r="E5502" s="19" t="n">
        <f aca="false">'SALES Raw'!D3959</f>
        <v>125.18</v>
      </c>
      <c r="F5502" s="19" t="n">
        <f aca="false">'SALES Raw'!E3959*$H$4</f>
        <v>0</v>
      </c>
      <c r="G5502" s="19" t="n">
        <f aca="false">'SALES Raw'!F3959*$H$4</f>
        <v>0</v>
      </c>
      <c r="H5502" s="18" t="str">
        <f aca="false">'SALES Raw'!A3959</f>
        <v>210 - Oy. Ea. Ab. FINLAND</v>
      </c>
    </row>
    <row r="5503" customFormat="false" ht="15" hidden="false" customHeight="false" outlineLevel="0" collapsed="false">
      <c r="A5503" s="18" t="n">
        <f aca="false">'SALES Raw'!G3974</f>
        <v>4408073</v>
      </c>
      <c r="B5503" s="18" t="str">
        <f aca="false">'SALES Raw'!B3974</f>
        <v>59D XL</v>
      </c>
      <c r="C5503" s="18" t="str">
        <f aca="false">'SALES Raw'!H3974</f>
        <v>59D XL חגורת שבר דו צדדי</v>
      </c>
      <c r="D5503" s="19" t="n">
        <f aca="false">'SALES Raw'!C3974</f>
        <v>3</v>
      </c>
      <c r="E5503" s="19" t="n">
        <f aca="false">'SALES Raw'!D3974</f>
        <v>302.22</v>
      </c>
      <c r="F5503" s="19" t="n">
        <f aca="false">'SALES Raw'!E3974*$H$4</f>
        <v>0</v>
      </c>
      <c r="G5503" s="19" t="n">
        <f aca="false">'SALES Raw'!F3974*$H$4</f>
        <v>0</v>
      </c>
      <c r="H5503" s="18" t="str">
        <f aca="false">'SALES Raw'!A3974</f>
        <v>210 - Oy. Ea. Ab. FINLAND</v>
      </c>
    </row>
    <row r="5504" customFormat="false" ht="15" hidden="false" customHeight="false" outlineLevel="0" collapsed="false">
      <c r="A5504" s="18" t="str">
        <f aca="false">'SALES Raw'!G3981</f>
        <v/>
      </c>
      <c r="B5504" s="18" t="str">
        <f aca="false">'SALES Raw'!B3981</f>
        <v>60B XS</v>
      </c>
      <c r="C5504" s="18" t="str">
        <f aca="false">'SALES Raw'!H3981</f>
        <v>60B XS</v>
      </c>
      <c r="D5504" s="19" t="n">
        <f aca="false">'SALES Raw'!C3981</f>
        <v>10</v>
      </c>
      <c r="E5504" s="19" t="n">
        <f aca="false">'SALES Raw'!D3981</f>
        <v>283.04</v>
      </c>
      <c r="F5504" s="19" t="n">
        <f aca="false">'SALES Raw'!E3981*$H$4</f>
        <v>0</v>
      </c>
      <c r="G5504" s="19" t="n">
        <f aca="false">'SALES Raw'!F3981*$H$4</f>
        <v>0</v>
      </c>
      <c r="H5504" s="18" t="str">
        <f aca="false">'SALES Raw'!A3981</f>
        <v>210 - Oy. Ea. Ab. FINLAND</v>
      </c>
    </row>
    <row r="5505" customFormat="false" ht="15" hidden="false" customHeight="false" outlineLevel="0" collapsed="false">
      <c r="A5505" s="18" t="str">
        <f aca="false">'SALES Raw'!G3989</f>
        <v/>
      </c>
      <c r="B5505" s="18" t="str">
        <f aca="false">'SALES Raw'!B3989</f>
        <v>78A L</v>
      </c>
      <c r="C5505" s="18" t="str">
        <f aca="false">'SALES Raw'!H3989</f>
        <v>78A L</v>
      </c>
      <c r="D5505" s="19" t="n">
        <f aca="false">'SALES Raw'!C3989</f>
        <v>4</v>
      </c>
      <c r="E5505" s="19" t="n">
        <f aca="false">'SALES Raw'!D3989</f>
        <v>273.41</v>
      </c>
      <c r="F5505" s="19" t="n">
        <f aca="false">'SALES Raw'!E3989*$H$4</f>
        <v>0</v>
      </c>
      <c r="G5505" s="19" t="n">
        <f aca="false">'SALES Raw'!F3989*$H$4</f>
        <v>0</v>
      </c>
      <c r="H5505" s="18" t="str">
        <f aca="false">'SALES Raw'!A3989</f>
        <v>210 - Oy. Ea. Ab. FINLAND</v>
      </c>
    </row>
    <row r="5506" customFormat="false" ht="15" hidden="false" customHeight="false" outlineLevel="0" collapsed="false">
      <c r="A5506" s="18" t="str">
        <f aca="false">'SALES Raw'!G3990</f>
        <v/>
      </c>
      <c r="B5506" s="18" t="str">
        <f aca="false">'SALES Raw'!B3990</f>
        <v>78A M</v>
      </c>
      <c r="C5506" s="18" t="str">
        <f aca="false">'SALES Raw'!H3990</f>
        <v>78A M</v>
      </c>
      <c r="D5506" s="19" t="n">
        <f aca="false">'SALES Raw'!C3990</f>
        <v>6</v>
      </c>
      <c r="E5506" s="19" t="n">
        <f aca="false">'SALES Raw'!D3990</f>
        <v>410.12</v>
      </c>
      <c r="F5506" s="19" t="n">
        <f aca="false">'SALES Raw'!E3990*$H$4</f>
        <v>0</v>
      </c>
      <c r="G5506" s="19" t="n">
        <f aca="false">'SALES Raw'!F3990*$H$4</f>
        <v>0</v>
      </c>
      <c r="H5506" s="18" t="str">
        <f aca="false">'SALES Raw'!A3990</f>
        <v>210 - Oy. Ea. Ab. FINLAND</v>
      </c>
    </row>
    <row r="5507" customFormat="false" ht="15" hidden="false" customHeight="false" outlineLevel="0" collapsed="false">
      <c r="A5507" s="18" t="n">
        <f aca="false">'SALES Raw'!G3992</f>
        <v>4422023</v>
      </c>
      <c r="B5507" s="18" t="str">
        <f aca="false">'SALES Raw'!B3992</f>
        <v>806CB-C</v>
      </c>
      <c r="C5507" s="18" t="str">
        <f aca="false">'SALES Raw'!H3992</f>
        <v>806CB-BEIGE      תחבושת א.נצמ</v>
      </c>
      <c r="D5507" s="19" t="n">
        <f aca="false">'SALES Raw'!C3992</f>
        <v>12</v>
      </c>
      <c r="E5507" s="19" t="n">
        <f aca="false">'SALES Raw'!D3992</f>
        <v>85.84</v>
      </c>
      <c r="F5507" s="19" t="n">
        <f aca="false">'SALES Raw'!E3992*$H$4</f>
        <v>0</v>
      </c>
      <c r="G5507" s="19" t="n">
        <f aca="false">'SALES Raw'!F3992*$H$4</f>
        <v>0</v>
      </c>
      <c r="H5507" s="18" t="str">
        <f aca="false">'SALES Raw'!A3992</f>
        <v>210 - Oy. Ea. Ab. FINLAND</v>
      </c>
    </row>
    <row r="5508" customFormat="false" ht="15" hidden="false" customHeight="false" outlineLevel="0" collapsed="false">
      <c r="A5508" s="18" t="n">
        <f aca="false">'SALES Raw'!G3993</f>
        <v>4422026</v>
      </c>
      <c r="B5508" s="18" t="str">
        <f aca="false">'SALES Raw'!B3993</f>
        <v>806CB-P</v>
      </c>
      <c r="C5508" s="18" t="str">
        <f aca="false">'SALES Raw'!H3993</f>
        <v>806CB-PINK       תחבושת א.נצמ</v>
      </c>
      <c r="D5508" s="19" t="n">
        <f aca="false">'SALES Raw'!C3993</f>
        <v>12</v>
      </c>
      <c r="E5508" s="19" t="n">
        <f aca="false">'SALES Raw'!D3993</f>
        <v>85.84</v>
      </c>
      <c r="F5508" s="19" t="n">
        <f aca="false">'SALES Raw'!E3993*$H$4</f>
        <v>0</v>
      </c>
      <c r="G5508" s="19" t="n">
        <f aca="false">'SALES Raw'!F3993*$H$4</f>
        <v>0</v>
      </c>
      <c r="H5508" s="18" t="str">
        <f aca="false">'SALES Raw'!A3993</f>
        <v>210 - Oy. Ea. Ab. FINLAND</v>
      </c>
    </row>
    <row r="5509" customFormat="false" ht="15" hidden="false" customHeight="false" outlineLevel="0" collapsed="false">
      <c r="A5509" s="18" t="n">
        <f aca="false">'SALES Raw'!G3994</f>
        <v>4409017</v>
      </c>
      <c r="B5509" s="18" t="str">
        <f aca="false">'SALES Raw'!B3994</f>
        <v>808KT-B</v>
      </c>
      <c r="C5509" s="18" t="str">
        <f aca="false">'SALES Raw'!H3994</f>
        <v>808KT-B        טייפ קינזיולוגי</v>
      </c>
      <c r="D5509" s="19" t="n">
        <f aca="false">'SALES Raw'!C3994</f>
        <v>12</v>
      </c>
      <c r="E5509" s="19" t="n">
        <f aca="false">'SALES Raw'!D3994</f>
        <v>169.29</v>
      </c>
      <c r="F5509" s="19" t="n">
        <f aca="false">'SALES Raw'!E3994*$H$4</f>
        <v>0</v>
      </c>
      <c r="G5509" s="19" t="n">
        <f aca="false">'SALES Raw'!F3994*$H$4</f>
        <v>0</v>
      </c>
      <c r="H5509" s="18" t="str">
        <f aca="false">'SALES Raw'!A3994</f>
        <v>210 - Oy. Ea. Ab. FINLAND</v>
      </c>
    </row>
    <row r="5510" customFormat="false" ht="15" hidden="false" customHeight="false" outlineLevel="0" collapsed="false">
      <c r="A5510" s="18" t="n">
        <f aca="false">'SALES Raw'!G3995</f>
        <v>4409014</v>
      </c>
      <c r="B5510" s="18" t="str">
        <f aca="false">'SALES Raw'!B3995</f>
        <v>808KT-P</v>
      </c>
      <c r="C5510" s="18" t="str">
        <f aca="false">'SALES Raw'!H3995</f>
        <v>808KT-P        טייפ קינזיולוגי</v>
      </c>
      <c r="D5510" s="19" t="n">
        <f aca="false">'SALES Raw'!C3995</f>
        <v>12</v>
      </c>
      <c r="E5510" s="19" t="n">
        <f aca="false">'SALES Raw'!D3995</f>
        <v>169.29</v>
      </c>
      <c r="F5510" s="19" t="n">
        <f aca="false">'SALES Raw'!E3995*$H$4</f>
        <v>0</v>
      </c>
      <c r="G5510" s="19" t="n">
        <f aca="false">'SALES Raw'!F3995*$H$4</f>
        <v>0</v>
      </c>
      <c r="H5510" s="18" t="str">
        <f aca="false">'SALES Raw'!A3995</f>
        <v>210 - Oy. Ea. Ab. FINLAND</v>
      </c>
    </row>
    <row r="5511" customFormat="false" ht="15" hidden="false" customHeight="false" outlineLevel="0" collapsed="false">
      <c r="A5511" s="18" t="n">
        <f aca="false">'SALES Raw'!G3998</f>
        <v>4413137</v>
      </c>
      <c r="B5511" s="18" t="str">
        <f aca="false">'SALES Raw'!B3998</f>
        <v>85 S</v>
      </c>
      <c r="C5511" s="18" t="str">
        <f aca="false">'SALES Raw'!H3998</f>
        <v>85 S (מתלה ליד )כיס</v>
      </c>
      <c r="D5511" s="19" t="n">
        <f aca="false">'SALES Raw'!C3998</f>
        <v>2</v>
      </c>
      <c r="E5511" s="19" t="n">
        <f aca="false">'SALES Raw'!D3998</f>
        <v>41.51</v>
      </c>
      <c r="F5511" s="19" t="n">
        <f aca="false">'SALES Raw'!E3998*$H$4</f>
        <v>0</v>
      </c>
      <c r="G5511" s="19" t="n">
        <f aca="false">'SALES Raw'!F3998*$H$4</f>
        <v>0</v>
      </c>
      <c r="H5511" s="18" t="str">
        <f aca="false">'SALES Raw'!A3998</f>
        <v>210 - Oy. Ea. Ab. FINLAND</v>
      </c>
    </row>
    <row r="5512" customFormat="false" ht="15" hidden="false" customHeight="false" outlineLevel="0" collapsed="false">
      <c r="A5512" s="18" t="n">
        <f aca="false">'SALES Raw'!G4008</f>
        <v>4420026</v>
      </c>
      <c r="B5512" s="18" t="str">
        <f aca="false">'SALES Raw'!B4008</f>
        <v>AC40 0</v>
      </c>
      <c r="C5512" s="18" t="str">
        <f aca="false">'SALES Raw'!H4008</f>
        <v>AC40 רצועה לפיקת הברך</v>
      </c>
      <c r="D5512" s="19" t="n">
        <f aca="false">'SALES Raw'!C4008</f>
        <v>15</v>
      </c>
      <c r="E5512" s="19" t="n">
        <f aca="false">'SALES Raw'!D4008</f>
        <v>503.7</v>
      </c>
      <c r="F5512" s="19" t="n">
        <f aca="false">'SALES Raw'!E4008*$H$4</f>
        <v>0</v>
      </c>
      <c r="G5512" s="19" t="n">
        <f aca="false">'SALES Raw'!F4008*$H$4</f>
        <v>0</v>
      </c>
      <c r="H5512" s="18" t="str">
        <f aca="false">'SALES Raw'!A4008</f>
        <v>210 - Oy. Ea. Ab. FINLAND</v>
      </c>
    </row>
    <row r="5513" customFormat="false" ht="15" hidden="false" customHeight="false" outlineLevel="0" collapsed="false">
      <c r="A5513" s="18" t="n">
        <f aca="false">'SALES Raw'!G4009</f>
        <v>4413453</v>
      </c>
      <c r="B5513" s="18" t="str">
        <f aca="false">'SALES Raw'!B4009</f>
        <v>AC75-S-XL</v>
      </c>
      <c r="C5513" s="18" t="str">
        <f aca="false">'SALES Raw'!H4009</f>
        <v>AC75 מישר כתפיים אקטיב</v>
      </c>
      <c r="D5513" s="19" t="n">
        <f aca="false">'SALES Raw'!C4009</f>
        <v>35</v>
      </c>
      <c r="E5513" s="19" t="n">
        <f aca="false">'SALES Raw'!D4009</f>
        <v>1265.72</v>
      </c>
      <c r="F5513" s="19" t="n">
        <f aca="false">'SALES Raw'!E4009*$H$4</f>
        <v>0</v>
      </c>
      <c r="G5513" s="19" t="n">
        <f aca="false">'SALES Raw'!F4009*$H$4</f>
        <v>0</v>
      </c>
      <c r="H5513" s="18" t="str">
        <f aca="false">'SALES Raw'!A4009</f>
        <v>210 - Oy. Ea. Ab. FINLAND</v>
      </c>
    </row>
    <row r="5514" customFormat="false" ht="15" hidden="false" customHeight="false" outlineLevel="0" collapsed="false">
      <c r="A5514" s="18" t="n">
        <f aca="false">'SALES Raw'!G4012</f>
        <v>4420023</v>
      </c>
      <c r="B5514" s="18" t="str">
        <f aca="false">'SALES Raw'!B4012</f>
        <v>LF371 0</v>
      </c>
      <c r="C5514" s="18" t="str">
        <f aca="false">'SALES Raw'!H4012</f>
        <v>LF371 ריפוד סיליקון לנעלי אצבע</v>
      </c>
      <c r="D5514" s="19" t="n">
        <f aca="false">'SALES Raw'!C4012</f>
        <v>20</v>
      </c>
      <c r="E5514" s="19" t="n">
        <f aca="false">'SALES Raw'!D4012</f>
        <v>278.18</v>
      </c>
      <c r="F5514" s="19" t="n">
        <f aca="false">'SALES Raw'!E4012*$H$4</f>
        <v>0</v>
      </c>
      <c r="G5514" s="19" t="n">
        <f aca="false">'SALES Raw'!F4012*$H$4</f>
        <v>0</v>
      </c>
      <c r="H5514" s="18" t="str">
        <f aca="false">'SALES Raw'!A4012</f>
        <v>210 - Oy. Ea. Ab. FINLAND</v>
      </c>
    </row>
    <row r="5515" customFormat="false" ht="15" hidden="false" customHeight="false" outlineLevel="0" collapsed="false">
      <c r="A5515" s="18" t="str">
        <f aca="false">'SALES Raw'!G4047</f>
        <v/>
      </c>
      <c r="B5515" s="18" t="str">
        <f aca="false">'SALES Raw'!B4047</f>
        <v>391B-35-38</v>
      </c>
      <c r="C5515" s="18" t="str">
        <f aca="false">'SALES Raw'!H4047</f>
        <v>391B-35-38</v>
      </c>
      <c r="D5515" s="19" t="n">
        <f aca="false">'SALES Raw'!C4047</f>
        <v>1</v>
      </c>
      <c r="E5515" s="19" t="n">
        <f aca="false">'SALES Raw'!D4047</f>
        <v>0.04</v>
      </c>
      <c r="F5515" s="19" t="n">
        <f aca="false">'SALES Raw'!E4047*$H$4</f>
        <v>0</v>
      </c>
      <c r="G5515" s="19" t="n">
        <f aca="false">'SALES Raw'!F4047*$H$4</f>
        <v>0</v>
      </c>
      <c r="H5515" s="18" t="str">
        <f aca="false">'SALES Raw'!A4047</f>
        <v>211 - Pharmag Lachmair Ges. Mbh AUSTRIA</v>
      </c>
    </row>
    <row r="5516" customFormat="false" ht="15" hidden="false" customHeight="false" outlineLevel="0" collapsed="false">
      <c r="A5516" s="18" t="str">
        <f aca="false">'SALES Raw'!G4048</f>
        <v/>
      </c>
      <c r="B5516" s="18" t="str">
        <f aca="false">'SALES Raw'!B4048</f>
        <v>395W-35-38</v>
      </c>
      <c r="C5516" s="18" t="str">
        <f aca="false">'SALES Raw'!H4048</f>
        <v>395W-35-38</v>
      </c>
      <c r="D5516" s="19" t="n">
        <f aca="false">'SALES Raw'!C4048</f>
        <v>1</v>
      </c>
      <c r="E5516" s="19" t="n">
        <f aca="false">'SALES Raw'!D4048</f>
        <v>0.04</v>
      </c>
      <c r="F5516" s="19" t="n">
        <f aca="false">'SALES Raw'!E4048*$H$4</f>
        <v>0</v>
      </c>
      <c r="G5516" s="19" t="n">
        <f aca="false">'SALES Raw'!F4048*$H$4</f>
        <v>0</v>
      </c>
      <c r="H5516" s="18" t="str">
        <f aca="false">'SALES Raw'!A4048</f>
        <v>211 - Pharmag Lachmair Ges. Mbh AUSTRIA</v>
      </c>
    </row>
    <row r="5517" customFormat="false" ht="15" hidden="false" customHeight="false" outlineLevel="0" collapsed="false">
      <c r="A5517" s="18" t="n">
        <f aca="false">'SALES Raw'!G4049</f>
        <v>4403042</v>
      </c>
      <c r="B5517" s="18" t="str">
        <f aca="false">'SALES Raw'!B4049</f>
        <v>397A-39-42</v>
      </c>
      <c r="C5517" s="18" t="str">
        <f aca="false">'SALES Raw'!H4049</f>
        <v>397A-גרבי טיסה אנטי בקטרי39-42</v>
      </c>
      <c r="D5517" s="19" t="n">
        <f aca="false">'SALES Raw'!C4049</f>
        <v>1</v>
      </c>
      <c r="E5517" s="19" t="n">
        <f aca="false">'SALES Raw'!D4049</f>
        <v>0.04</v>
      </c>
      <c r="F5517" s="19" t="n">
        <f aca="false">'SALES Raw'!E4049*$H$4</f>
        <v>0</v>
      </c>
      <c r="G5517" s="19" t="n">
        <f aca="false">'SALES Raw'!F4049*$H$4</f>
        <v>0</v>
      </c>
      <c r="H5517" s="18" t="str">
        <f aca="false">'SALES Raw'!A4049</f>
        <v>211 - Pharmag Lachmair Ges. Mbh AUSTRIA</v>
      </c>
    </row>
    <row r="5518" customFormat="false" ht="15" hidden="false" customHeight="false" outlineLevel="0" collapsed="false">
      <c r="A5518" s="18" t="n">
        <f aca="false">'SALES Raw'!G4050</f>
        <v>4413092</v>
      </c>
      <c r="B5518" s="18" t="str">
        <f aca="false">'SALES Raw'!B4050</f>
        <v>45 L</v>
      </c>
      <c r="C5518" s="18" t="str">
        <f aca="false">'SALES Raw'!H4050</f>
        <v>45 L מגן ברך לבן</v>
      </c>
      <c r="D5518" s="19" t="n">
        <f aca="false">'SALES Raw'!C4050</f>
        <v>130</v>
      </c>
      <c r="E5518" s="19" t="n">
        <f aca="false">'SALES Raw'!D4050</f>
        <v>1507.92</v>
      </c>
      <c r="F5518" s="19" t="n">
        <f aca="false">'SALES Raw'!E4050*$H$4</f>
        <v>0</v>
      </c>
      <c r="G5518" s="19" t="n">
        <f aca="false">'SALES Raw'!F4050*$H$4</f>
        <v>0</v>
      </c>
      <c r="H5518" s="18" t="str">
        <f aca="false">'SALES Raw'!A4050</f>
        <v>211 - Pharmag Lachmair Ges. Mbh AUSTRIA</v>
      </c>
    </row>
    <row r="5519" customFormat="false" ht="15" hidden="false" customHeight="false" outlineLevel="0" collapsed="false">
      <c r="A5519" s="18" t="n">
        <f aca="false">'SALES Raw'!G4051</f>
        <v>4413093</v>
      </c>
      <c r="B5519" s="18" t="str">
        <f aca="false">'SALES Raw'!B4051</f>
        <v>45 M</v>
      </c>
      <c r="C5519" s="18" t="str">
        <f aca="false">'SALES Raw'!H4051</f>
        <v>45 M מגן ברך לבן</v>
      </c>
      <c r="D5519" s="19" t="n">
        <f aca="false">'SALES Raw'!C4051</f>
        <v>140</v>
      </c>
      <c r="E5519" s="19" t="n">
        <f aca="false">'SALES Raw'!D4051</f>
        <v>1623.82</v>
      </c>
      <c r="F5519" s="19" t="n">
        <f aca="false">'SALES Raw'!E4051*$H$4</f>
        <v>0</v>
      </c>
      <c r="G5519" s="19" t="n">
        <f aca="false">'SALES Raw'!F4051*$H$4</f>
        <v>0</v>
      </c>
      <c r="H5519" s="18" t="str">
        <f aca="false">'SALES Raw'!A4051</f>
        <v>211 - Pharmag Lachmair Ges. Mbh AUSTRIA</v>
      </c>
    </row>
    <row r="5520" customFormat="false" ht="15" hidden="false" customHeight="false" outlineLevel="0" collapsed="false">
      <c r="A5520" s="18" t="n">
        <f aca="false">'SALES Raw'!G4052</f>
        <v>4413094</v>
      </c>
      <c r="B5520" s="18" t="str">
        <f aca="false">'SALES Raw'!B4052</f>
        <v>45 S</v>
      </c>
      <c r="C5520" s="18" t="str">
        <f aca="false">'SALES Raw'!H4052</f>
        <v>45 S מגן ברך לבן</v>
      </c>
      <c r="D5520" s="19" t="n">
        <f aca="false">'SALES Raw'!C4052</f>
        <v>90</v>
      </c>
      <c r="E5520" s="19" t="n">
        <f aca="false">'SALES Raw'!D4052</f>
        <v>1043.9</v>
      </c>
      <c r="F5520" s="19" t="n">
        <f aca="false">'SALES Raw'!E4052*$H$4</f>
        <v>0</v>
      </c>
      <c r="G5520" s="19" t="n">
        <f aca="false">'SALES Raw'!F4052*$H$4</f>
        <v>0</v>
      </c>
      <c r="H5520" s="18" t="str">
        <f aca="false">'SALES Raw'!A4052</f>
        <v>211 - Pharmag Lachmair Ges. Mbh AUSTRIA</v>
      </c>
    </row>
    <row r="5521" customFormat="false" ht="15" hidden="false" customHeight="false" outlineLevel="0" collapsed="false">
      <c r="A5521" s="18" t="n">
        <f aca="false">'SALES Raw'!G4053</f>
        <v>4413095</v>
      </c>
      <c r="B5521" s="18" t="str">
        <f aca="false">'SALES Raw'!B4053</f>
        <v>45 XL</v>
      </c>
      <c r="C5521" s="18" t="str">
        <f aca="false">'SALES Raw'!H4053</f>
        <v>45 XL מגן ברך לבן</v>
      </c>
      <c r="D5521" s="19" t="n">
        <f aca="false">'SALES Raw'!C4053</f>
        <v>70</v>
      </c>
      <c r="E5521" s="19" t="n">
        <f aca="false">'SALES Raw'!D4053</f>
        <v>811.07</v>
      </c>
      <c r="F5521" s="19" t="n">
        <f aca="false">'SALES Raw'!E4053*$H$4</f>
        <v>0</v>
      </c>
      <c r="G5521" s="19" t="n">
        <f aca="false">'SALES Raw'!F4053*$H$4</f>
        <v>0</v>
      </c>
      <c r="H5521" s="18" t="str">
        <f aca="false">'SALES Raw'!A4053</f>
        <v>211 - Pharmag Lachmair Ges. Mbh AUSTRIA</v>
      </c>
    </row>
    <row r="5522" customFormat="false" ht="15" hidden="false" customHeight="false" outlineLevel="0" collapsed="false">
      <c r="A5522" s="18" t="n">
        <f aca="false">'SALES Raw'!G4054</f>
        <v>4413118</v>
      </c>
      <c r="B5522" s="18" t="str">
        <f aca="false">'SALES Raw'!B4054</f>
        <v>50 M</v>
      </c>
      <c r="C5522" s="18" t="str">
        <f aca="false">'SALES Raw'!H4054</f>
        <v>50 M מתלה אשכים לאחר ניתוח</v>
      </c>
      <c r="D5522" s="19" t="n">
        <f aca="false">'SALES Raw'!C4054</f>
        <v>1</v>
      </c>
      <c r="E5522" s="19" t="n">
        <f aca="false">'SALES Raw'!D4054</f>
        <v>46.89</v>
      </c>
      <c r="F5522" s="19" t="n">
        <f aca="false">'SALES Raw'!E4054*$H$4</f>
        <v>0</v>
      </c>
      <c r="G5522" s="19" t="n">
        <f aca="false">'SALES Raw'!F4054*$H$4</f>
        <v>0</v>
      </c>
      <c r="H5522" s="18" t="str">
        <f aca="false">'SALES Raw'!A4054</f>
        <v>211 - Pharmag Lachmair Ges. Mbh AUSTRIA</v>
      </c>
    </row>
    <row r="5523" customFormat="false" ht="15" hidden="false" customHeight="false" outlineLevel="0" collapsed="false">
      <c r="A5523" s="18" t="n">
        <f aca="false">'SALES Raw'!G4055</f>
        <v>4408070</v>
      </c>
      <c r="B5523" s="18" t="str">
        <f aca="false">'SALES Raw'!B4055</f>
        <v>59D S</v>
      </c>
      <c r="C5523" s="18" t="str">
        <f aca="false">'SALES Raw'!H4055</f>
        <v>59D S חגורת שבר דו צדדי</v>
      </c>
      <c r="D5523" s="19" t="n">
        <f aca="false">'SALES Raw'!C4055</f>
        <v>1</v>
      </c>
      <c r="E5523" s="19" t="n">
        <f aca="false">'SALES Raw'!D4055</f>
        <v>103.15</v>
      </c>
      <c r="F5523" s="19" t="n">
        <f aca="false">'SALES Raw'!E4055*$H$4</f>
        <v>0</v>
      </c>
      <c r="G5523" s="19" t="n">
        <f aca="false">'SALES Raw'!F4055*$H$4</f>
        <v>0</v>
      </c>
      <c r="H5523" s="18" t="str">
        <f aca="false">'SALES Raw'!A4055</f>
        <v>211 - Pharmag Lachmair Ges. Mbh AUSTRIA</v>
      </c>
    </row>
    <row r="5524" customFormat="false" ht="15" hidden="false" customHeight="false" outlineLevel="0" collapsed="false">
      <c r="A5524" s="18" t="n">
        <f aca="false">'SALES Raw'!G4056</f>
        <v>4422000</v>
      </c>
      <c r="B5524" s="18" t="str">
        <f aca="false">'SALES Raw'!B4056</f>
        <v>801 0</v>
      </c>
      <c r="C5524" s="18" t="str">
        <f aca="false">'SALES Raw'!H4056</f>
        <v>801  תחבושת אלסטית מקררת</v>
      </c>
      <c r="D5524" s="19" t="n">
        <f aca="false">'SALES Raw'!C4056</f>
        <v>75</v>
      </c>
      <c r="E5524" s="19" t="n">
        <f aca="false">'SALES Raw'!D4056</f>
        <v>827.52</v>
      </c>
      <c r="F5524" s="19" t="n">
        <f aca="false">'SALES Raw'!E4056*$H$4</f>
        <v>0</v>
      </c>
      <c r="G5524" s="19" t="n">
        <f aca="false">'SALES Raw'!F4056*$H$4</f>
        <v>0</v>
      </c>
      <c r="H5524" s="18" t="str">
        <f aca="false">'SALES Raw'!A4056</f>
        <v>211 - Pharmag Lachmair Ges. Mbh AUSTRIA</v>
      </c>
    </row>
    <row r="5525" customFormat="false" ht="15" hidden="false" customHeight="false" outlineLevel="0" collapsed="false">
      <c r="A5525" s="18" t="n">
        <f aca="false">'SALES Raw'!G4057</f>
        <v>4413140</v>
      </c>
      <c r="B5525" s="18" t="str">
        <f aca="false">'SALES Raw'!B4057</f>
        <v>95 M</v>
      </c>
      <c r="C5525" s="18" t="str">
        <f aca="false">'SALES Raw'!H4057</f>
        <v>95 M מגן מרפק רגיל לבן</v>
      </c>
      <c r="D5525" s="19" t="n">
        <f aca="false">'SALES Raw'!C4057</f>
        <v>5</v>
      </c>
      <c r="E5525" s="19" t="n">
        <f aca="false">'SALES Raw'!D4057</f>
        <v>57.95</v>
      </c>
      <c r="F5525" s="19" t="n">
        <f aca="false">'SALES Raw'!E4057*$H$4</f>
        <v>0</v>
      </c>
      <c r="G5525" s="19" t="n">
        <f aca="false">'SALES Raw'!F4057*$H$4</f>
        <v>0</v>
      </c>
      <c r="H5525" s="18" t="str">
        <f aca="false">'SALES Raw'!A4057</f>
        <v>211 - Pharmag Lachmair Ges. Mbh AUSTRIA</v>
      </c>
    </row>
    <row r="5526" customFormat="false" ht="15" hidden="false" customHeight="false" outlineLevel="0" collapsed="false">
      <c r="A5526" s="18" t="n">
        <f aca="false">'SALES Raw'!G4058</f>
        <v>4413142</v>
      </c>
      <c r="B5526" s="18" t="str">
        <f aca="false">'SALES Raw'!B4058</f>
        <v>95 XL</v>
      </c>
      <c r="C5526" s="18" t="str">
        <f aca="false">'SALES Raw'!H4058</f>
        <v>95 XL מגן מרפק רגיל לבן</v>
      </c>
      <c r="D5526" s="19" t="n">
        <f aca="false">'SALES Raw'!C4058</f>
        <v>9</v>
      </c>
      <c r="E5526" s="19" t="n">
        <f aca="false">'SALES Raw'!D4058</f>
        <v>104.56</v>
      </c>
      <c r="F5526" s="19" t="n">
        <f aca="false">'SALES Raw'!E4058*$H$4</f>
        <v>0</v>
      </c>
      <c r="G5526" s="19" t="n">
        <f aca="false">'SALES Raw'!F4058*$H$4</f>
        <v>0</v>
      </c>
      <c r="H5526" s="18" t="str">
        <f aca="false">'SALES Raw'!A4058</f>
        <v>211 - Pharmag Lachmair Ges. Mbh AUSTRIA</v>
      </c>
    </row>
    <row r="5527" customFormat="false" ht="15" hidden="false" customHeight="false" outlineLevel="0" collapsed="false">
      <c r="A5527" s="18" t="n">
        <f aca="false">'SALES Raw'!G4059</f>
        <v>4413328</v>
      </c>
      <c r="B5527" s="18" t="str">
        <f aca="false">'SALES Raw'!B4059</f>
        <v>AC43D 0</v>
      </c>
      <c r="C5527" s="18" t="str">
        <f aca="false">'SALES Raw'!H4059</f>
        <v>AC43D מגן ברך + צירים</v>
      </c>
      <c r="D5527" s="19" t="n">
        <f aca="false">'SALES Raw'!C4059</f>
        <v>420</v>
      </c>
      <c r="E5527" s="19" t="n">
        <f aca="false">'SALES Raw'!D4059</f>
        <v>20287.23</v>
      </c>
      <c r="F5527" s="19" t="n">
        <f aca="false">'SALES Raw'!E4059*$H$4</f>
        <v>0</v>
      </c>
      <c r="G5527" s="19" t="n">
        <f aca="false">'SALES Raw'!F4059*$H$4</f>
        <v>0</v>
      </c>
      <c r="H5527" s="18" t="str">
        <f aca="false">'SALES Raw'!A4059</f>
        <v>211 - Pharmag Lachmair Ges. Mbh AUSTRIA</v>
      </c>
    </row>
    <row r="5528" customFormat="false" ht="15" hidden="false" customHeight="false" outlineLevel="0" collapsed="false">
      <c r="A5528" s="18" t="n">
        <f aca="false">'SALES Raw'!G4060</f>
        <v>4413329</v>
      </c>
      <c r="B5528" s="18" t="str">
        <f aca="false">'SALES Raw'!B4060</f>
        <v>AC45X 0</v>
      </c>
      <c r="C5528" s="18" t="str">
        <f aca="false">'SALES Raw'!H4060</f>
        <v>AC45X מגן ברך עם תמיכות</v>
      </c>
      <c r="D5528" s="19" t="n">
        <f aca="false">'SALES Raw'!C4060</f>
        <v>340</v>
      </c>
      <c r="E5528" s="19" t="n">
        <f aca="false">'SALES Raw'!D4060</f>
        <v>12753.93</v>
      </c>
      <c r="F5528" s="19" t="n">
        <f aca="false">'SALES Raw'!E4060*$H$4</f>
        <v>0</v>
      </c>
      <c r="G5528" s="19" t="n">
        <f aca="false">'SALES Raw'!F4060*$H$4</f>
        <v>0</v>
      </c>
      <c r="H5528" s="18" t="str">
        <f aca="false">'SALES Raw'!A4060</f>
        <v>211 - Pharmag Lachmair Ges. Mbh AUSTRIA</v>
      </c>
    </row>
    <row r="5529" customFormat="false" ht="15" hidden="false" customHeight="false" outlineLevel="0" collapsed="false">
      <c r="A5529" s="18" t="n">
        <f aca="false">'SALES Raw'!G4061</f>
        <v>4408270</v>
      </c>
      <c r="B5529" s="18" t="str">
        <f aca="false">'SALES Raw'!B4061</f>
        <v>ST11 0</v>
      </c>
      <c r="C5529" s="18" t="str">
        <f aca="false">'SALES Raw'!H4061</f>
        <v>ST11  חגורת בטן</v>
      </c>
      <c r="D5529" s="19" t="n">
        <f aca="false">'SALES Raw'!C4061</f>
        <v>11</v>
      </c>
      <c r="E5529" s="19" t="n">
        <f aca="false">'SALES Raw'!D4061</f>
        <v>308.86</v>
      </c>
      <c r="F5529" s="19" t="n">
        <f aca="false">'SALES Raw'!E4061*$H$4</f>
        <v>0</v>
      </c>
      <c r="G5529" s="19" t="n">
        <f aca="false">'SALES Raw'!F4061*$H$4</f>
        <v>0</v>
      </c>
      <c r="H5529" s="18" t="str">
        <f aca="false">'SALES Raw'!A4061</f>
        <v>211 - Pharmag Lachmair Ges. Mbh AUSTRIA</v>
      </c>
    </row>
    <row r="5530" customFormat="false" ht="15" hidden="false" customHeight="false" outlineLevel="0" collapsed="false">
      <c r="A5530" s="18" t="n">
        <f aca="false">'SALES Raw'!G4070</f>
        <v>4413184</v>
      </c>
      <c r="B5530" s="18" t="str">
        <f aca="false">'SALES Raw'!B4070</f>
        <v>T45 L</v>
      </c>
      <c r="C5530" s="18" t="str">
        <f aca="false">'SALES Raw'!H4070</f>
        <v>T 45 L מגן ברך רגיל</v>
      </c>
      <c r="D5530" s="19" t="n">
        <f aca="false">'SALES Raw'!C4070</f>
        <v>55</v>
      </c>
      <c r="E5530" s="19" t="n">
        <f aca="false">'SALES Raw'!D4070</f>
        <v>2642.49</v>
      </c>
      <c r="F5530" s="19" t="n">
        <f aca="false">'SALES Raw'!E4070*$H$4</f>
        <v>0</v>
      </c>
      <c r="G5530" s="19" t="n">
        <f aca="false">'SALES Raw'!F4070*$H$4</f>
        <v>0</v>
      </c>
      <c r="H5530" s="18" t="str">
        <f aca="false">'SALES Raw'!A4070</f>
        <v>211 - Pharmag Lachmair Ges. Mbh AUSTRIA</v>
      </c>
    </row>
    <row r="5531" customFormat="false" ht="15" hidden="false" customHeight="false" outlineLevel="0" collapsed="false">
      <c r="A5531" s="18" t="n">
        <f aca="false">'SALES Raw'!G4071</f>
        <v>4413183</v>
      </c>
      <c r="B5531" s="18" t="str">
        <f aca="false">'SALES Raw'!B4071</f>
        <v>T45 M</v>
      </c>
      <c r="C5531" s="18" t="str">
        <f aca="false">'SALES Raw'!H4071</f>
        <v>T 45 M מגן ברך רגיל</v>
      </c>
      <c r="D5531" s="19" t="n">
        <f aca="false">'SALES Raw'!C4071</f>
        <v>50</v>
      </c>
      <c r="E5531" s="19" t="n">
        <f aca="false">'SALES Raw'!D4071</f>
        <v>2404.15</v>
      </c>
      <c r="F5531" s="19" t="n">
        <f aca="false">'SALES Raw'!E4071*$H$4</f>
        <v>0</v>
      </c>
      <c r="G5531" s="19" t="n">
        <f aca="false">'SALES Raw'!F4071*$H$4</f>
        <v>0</v>
      </c>
      <c r="H5531" s="18" t="str">
        <f aca="false">'SALES Raw'!A4071</f>
        <v>211 - Pharmag Lachmair Ges. Mbh AUSTRIA</v>
      </c>
    </row>
    <row r="5532" customFormat="false" ht="15" hidden="false" customHeight="false" outlineLevel="0" collapsed="false">
      <c r="A5532" s="18" t="n">
        <f aca="false">'SALES Raw'!G4072</f>
        <v>4413182</v>
      </c>
      <c r="B5532" s="18" t="str">
        <f aca="false">'SALES Raw'!B4072</f>
        <v>T45 S</v>
      </c>
      <c r="C5532" s="18" t="str">
        <f aca="false">'SALES Raw'!H4072</f>
        <v>T45 S מגן ברך רגיל</v>
      </c>
      <c r="D5532" s="19" t="n">
        <f aca="false">'SALES Raw'!C4072</f>
        <v>20</v>
      </c>
      <c r="E5532" s="19" t="n">
        <f aca="false">'SALES Raw'!D4072</f>
        <v>960.28</v>
      </c>
      <c r="F5532" s="19" t="n">
        <f aca="false">'SALES Raw'!E4072*$H$4</f>
        <v>0</v>
      </c>
      <c r="G5532" s="19" t="n">
        <f aca="false">'SALES Raw'!F4072*$H$4</f>
        <v>0</v>
      </c>
      <c r="H5532" s="18" t="str">
        <f aca="false">'SALES Raw'!A4072</f>
        <v>211 - Pharmag Lachmair Ges. Mbh AUSTRIA</v>
      </c>
    </row>
    <row r="5533" customFormat="false" ht="15" hidden="false" customHeight="false" outlineLevel="0" collapsed="false">
      <c r="A5533" s="18" t="n">
        <f aca="false">'SALES Raw'!G4073</f>
        <v>4413185</v>
      </c>
      <c r="B5533" s="18" t="str">
        <f aca="false">'SALES Raw'!B4073</f>
        <v>T45 XL</v>
      </c>
      <c r="C5533" s="18" t="str">
        <f aca="false">'SALES Raw'!H4073</f>
        <v>T 45XL מגן ברך רגיל</v>
      </c>
      <c r="D5533" s="19" t="n">
        <f aca="false">'SALES Raw'!C4073</f>
        <v>30</v>
      </c>
      <c r="E5533" s="19" t="n">
        <f aca="false">'SALES Raw'!D4073</f>
        <v>1436.96</v>
      </c>
      <c r="F5533" s="19" t="n">
        <f aca="false">'SALES Raw'!E4073*$H$4</f>
        <v>0</v>
      </c>
      <c r="G5533" s="19" t="n">
        <f aca="false">'SALES Raw'!F4073*$H$4</f>
        <v>0</v>
      </c>
      <c r="H5533" s="18" t="str">
        <f aca="false">'SALES Raw'!A4073</f>
        <v>211 - Pharmag Lachmair Ges. Mbh AUSTRIA</v>
      </c>
    </row>
    <row r="5534" customFormat="false" ht="15" hidden="false" customHeight="false" outlineLevel="0" collapsed="false">
      <c r="A5534" s="18" t="str">
        <f aca="false">'SALES Raw'!G4074</f>
        <v/>
      </c>
      <c r="B5534" s="18" t="str">
        <f aca="false">'SALES Raw'!B4074</f>
        <v>T45C L</v>
      </c>
      <c r="C5534" s="18" t="str">
        <f aca="false">'SALES Raw'!H4074</f>
        <v>T45C L</v>
      </c>
      <c r="D5534" s="19" t="n">
        <f aca="false">'SALES Raw'!C4074</f>
        <v>60</v>
      </c>
      <c r="E5534" s="19" t="n">
        <f aca="false">'SALES Raw'!D4074</f>
        <v>2875.95</v>
      </c>
      <c r="F5534" s="19" t="n">
        <f aca="false">'SALES Raw'!E4074*$H$4</f>
        <v>0</v>
      </c>
      <c r="G5534" s="19" t="n">
        <f aca="false">'SALES Raw'!F4074*$H$4</f>
        <v>0</v>
      </c>
      <c r="H5534" s="18" t="str">
        <f aca="false">'SALES Raw'!A4074</f>
        <v>211 - Pharmag Lachmair Ges. Mbh AUSTRIA</v>
      </c>
    </row>
    <row r="5535" customFormat="false" ht="15" hidden="false" customHeight="false" outlineLevel="0" collapsed="false">
      <c r="A5535" s="18" t="str">
        <f aca="false">'SALES Raw'!G4075</f>
        <v/>
      </c>
      <c r="B5535" s="18" t="str">
        <f aca="false">'SALES Raw'!B4075</f>
        <v>T45C M</v>
      </c>
      <c r="C5535" s="18" t="str">
        <f aca="false">'SALES Raw'!H4075</f>
        <v>T45C M</v>
      </c>
      <c r="D5535" s="19" t="n">
        <f aca="false">'SALES Raw'!C4075</f>
        <v>60</v>
      </c>
      <c r="E5535" s="19" t="n">
        <f aca="false">'SALES Raw'!D4075</f>
        <v>2875.95</v>
      </c>
      <c r="F5535" s="19" t="n">
        <f aca="false">'SALES Raw'!E4075*$H$4</f>
        <v>0</v>
      </c>
      <c r="G5535" s="19" t="n">
        <f aca="false">'SALES Raw'!F4075*$H$4</f>
        <v>0</v>
      </c>
      <c r="H5535" s="18" t="str">
        <f aca="false">'SALES Raw'!A4075</f>
        <v>211 - Pharmag Lachmair Ges. Mbh AUSTRIA</v>
      </c>
    </row>
    <row r="5536" customFormat="false" ht="15" hidden="false" customHeight="false" outlineLevel="0" collapsed="false">
      <c r="A5536" s="18" t="str">
        <f aca="false">'SALES Raw'!G4076</f>
        <v/>
      </c>
      <c r="B5536" s="18" t="str">
        <f aca="false">'SALES Raw'!B4076</f>
        <v>T45C S</v>
      </c>
      <c r="C5536" s="18" t="str">
        <f aca="false">'SALES Raw'!H4076</f>
        <v>T45C S</v>
      </c>
      <c r="D5536" s="19" t="n">
        <f aca="false">'SALES Raw'!C4076</f>
        <v>35</v>
      </c>
      <c r="E5536" s="19" t="n">
        <f aca="false">'SALES Raw'!D4076</f>
        <v>1677.64</v>
      </c>
      <c r="F5536" s="19" t="n">
        <f aca="false">'SALES Raw'!E4076*$H$4</f>
        <v>0</v>
      </c>
      <c r="G5536" s="19" t="n">
        <f aca="false">'SALES Raw'!F4076*$H$4</f>
        <v>0</v>
      </c>
      <c r="H5536" s="18" t="str">
        <f aca="false">'SALES Raw'!A4076</f>
        <v>211 - Pharmag Lachmair Ges. Mbh AUSTRIA</v>
      </c>
    </row>
    <row r="5537" customFormat="false" ht="15" hidden="false" customHeight="false" outlineLevel="0" collapsed="false">
      <c r="A5537" s="18" t="str">
        <f aca="false">'SALES Raw'!G4077</f>
        <v/>
      </c>
      <c r="B5537" s="18" t="str">
        <f aca="false">'SALES Raw'!B4077</f>
        <v>T45C XL</v>
      </c>
      <c r="C5537" s="18" t="str">
        <f aca="false">'SALES Raw'!H4077</f>
        <v>T45C XL</v>
      </c>
      <c r="D5537" s="19" t="n">
        <f aca="false">'SALES Raw'!C4077</f>
        <v>45</v>
      </c>
      <c r="E5537" s="19" t="n">
        <f aca="false">'SALES Raw'!D4077</f>
        <v>2156.97</v>
      </c>
      <c r="F5537" s="19" t="n">
        <f aca="false">'SALES Raw'!E4077*$H$4</f>
        <v>0</v>
      </c>
      <c r="G5537" s="19" t="n">
        <f aca="false">'SALES Raw'!F4077*$H$4</f>
        <v>0</v>
      </c>
      <c r="H5537" s="18" t="str">
        <f aca="false">'SALES Raw'!A4077</f>
        <v>211 - Pharmag Lachmair Ges. Mbh AUSTRIA</v>
      </c>
    </row>
    <row r="5538" customFormat="false" ht="15" hidden="false" customHeight="false" outlineLevel="0" collapsed="false">
      <c r="A5538" s="18" t="str">
        <f aca="false">'SALES Raw'!G4094</f>
        <v/>
      </c>
      <c r="B5538" s="18" t="str">
        <f aca="false">'SALES Raw'!B4094</f>
        <v>61 XL</v>
      </c>
      <c r="C5538" s="18" t="str">
        <f aca="false">'SALES Raw'!H4094</f>
        <v>61 XL</v>
      </c>
      <c r="D5538" s="19" t="n">
        <f aca="false">'SALES Raw'!C4094</f>
        <v>6</v>
      </c>
      <c r="E5538" s="19" t="n">
        <f aca="false">'SALES Raw'!D4094</f>
        <v>102.02</v>
      </c>
      <c r="F5538" s="19" t="n">
        <f aca="false">'SALES Raw'!E4094*$H$4</f>
        <v>0</v>
      </c>
      <c r="G5538" s="19" t="n">
        <f aca="false">'SALES Raw'!F4094*$H$4</f>
        <v>0</v>
      </c>
      <c r="H5538" s="18" t="str">
        <f aca="false">'SALES Raw'!A4094</f>
        <v>213 - E.f.m.o. SPAIN</v>
      </c>
    </row>
    <row r="5539" customFormat="false" ht="15" hidden="false" customHeight="false" outlineLevel="0" collapsed="false">
      <c r="A5539" s="18" t="n">
        <f aca="false">'SALES Raw'!G4096</f>
        <v>4408272</v>
      </c>
      <c r="B5539" s="18" t="str">
        <f aca="false">'SALES Raw'!B4096</f>
        <v>70N S</v>
      </c>
      <c r="C5539" s="18" t="str">
        <f aca="false">'SALES Raw'!H4096</f>
        <v>70N S חגורת פאבליק</v>
      </c>
      <c r="D5539" s="19" t="n">
        <f aca="false">'SALES Raw'!C4096</f>
        <v>2</v>
      </c>
      <c r="E5539" s="19" t="n">
        <f aca="false">'SALES Raw'!D4096</f>
        <v>296.32</v>
      </c>
      <c r="F5539" s="19" t="n">
        <f aca="false">'SALES Raw'!E4096*$H$4</f>
        <v>0</v>
      </c>
      <c r="G5539" s="19" t="n">
        <f aca="false">'SALES Raw'!F4096*$H$4</f>
        <v>0</v>
      </c>
      <c r="H5539" s="18" t="str">
        <f aca="false">'SALES Raw'!A4096</f>
        <v>213 - E.f.m.o. SPAIN</v>
      </c>
    </row>
    <row r="5540" customFormat="false" ht="15" hidden="false" customHeight="false" outlineLevel="0" collapsed="false">
      <c r="A5540" s="18" t="n">
        <f aca="false">'SALES Raw'!G4097</f>
        <v>4408271</v>
      </c>
      <c r="B5540" s="18" t="str">
        <f aca="false">'SALES Raw'!B4097</f>
        <v>70N XS</v>
      </c>
      <c r="C5540" s="18" t="str">
        <f aca="false">'SALES Raw'!H4097</f>
        <v>70N XS חגורת פאבליק</v>
      </c>
      <c r="D5540" s="19" t="n">
        <f aca="false">'SALES Raw'!C4097</f>
        <v>22</v>
      </c>
      <c r="E5540" s="19" t="n">
        <f aca="false">'SALES Raw'!D4097</f>
        <v>3429.22</v>
      </c>
      <c r="F5540" s="19" t="n">
        <f aca="false">'SALES Raw'!E4097*$H$4</f>
        <v>0</v>
      </c>
      <c r="G5540" s="19" t="n">
        <f aca="false">'SALES Raw'!F4097*$H$4</f>
        <v>0</v>
      </c>
      <c r="H5540" s="18" t="str">
        <f aca="false">'SALES Raw'!A4097</f>
        <v>213 - E.f.m.o. SPAIN</v>
      </c>
    </row>
    <row r="5541" customFormat="false" ht="15" hidden="false" customHeight="false" outlineLevel="0" collapsed="false">
      <c r="A5541" s="18" t="str">
        <f aca="false">'SALES Raw'!G4114</f>
        <v/>
      </c>
      <c r="B5541" s="18" t="str">
        <f aca="false">'SALES Raw'!B4114</f>
        <v>T33 M</v>
      </c>
      <c r="C5541" s="18" t="str">
        <f aca="false">'SALES Raw'!H4114</f>
        <v>T33 M</v>
      </c>
      <c r="D5541" s="19" t="n">
        <f aca="false">'SALES Raw'!C4114</f>
        <v>2</v>
      </c>
      <c r="E5541" s="19" t="n">
        <f aca="false">'SALES Raw'!D4114</f>
        <v>124.31</v>
      </c>
      <c r="F5541" s="19" t="n">
        <f aca="false">'SALES Raw'!E4114*$H$4</f>
        <v>0</v>
      </c>
      <c r="G5541" s="19" t="n">
        <f aca="false">'SALES Raw'!F4114*$H$4</f>
        <v>0</v>
      </c>
      <c r="H5541" s="18" t="str">
        <f aca="false">'SALES Raw'!A4114</f>
        <v>213 - E.f.m.o. SPAIN</v>
      </c>
    </row>
    <row r="5542" customFormat="false" ht="15" hidden="false" customHeight="false" outlineLevel="0" collapsed="false">
      <c r="A5542" s="18" t="str">
        <f aca="false">'SALES Raw'!G4116</f>
        <v/>
      </c>
      <c r="B5542" s="18" t="str">
        <f aca="false">'SALES Raw'!B4116</f>
        <v>T33 XXL</v>
      </c>
      <c r="C5542" s="18" t="str">
        <f aca="false">'SALES Raw'!H4116</f>
        <v>T33 XXL</v>
      </c>
      <c r="D5542" s="19" t="n">
        <f aca="false">'SALES Raw'!C4116</f>
        <v>4</v>
      </c>
      <c r="E5542" s="19" t="n">
        <f aca="false">'SALES Raw'!D4116</f>
        <v>228.69</v>
      </c>
      <c r="F5542" s="19" t="n">
        <f aca="false">'SALES Raw'!E4116*$H$4</f>
        <v>0</v>
      </c>
      <c r="G5542" s="19" t="n">
        <f aca="false">'SALES Raw'!F4116*$H$4</f>
        <v>0</v>
      </c>
      <c r="H5542" s="18" t="str">
        <f aca="false">'SALES Raw'!A4116</f>
        <v>213 - E.f.m.o. SPAIN</v>
      </c>
    </row>
    <row r="5543" customFormat="false" ht="15" hidden="false" customHeight="false" outlineLevel="0" collapsed="false">
      <c r="A5543" s="18" t="str">
        <f aca="false">'SALES Raw'!G4117</f>
        <v/>
      </c>
      <c r="B5543" s="18" t="str">
        <f aca="false">'SALES Raw'!B4117</f>
        <v>T45X L</v>
      </c>
      <c r="C5543" s="18" t="str">
        <f aca="false">'SALES Raw'!H4117</f>
        <v>T45X L</v>
      </c>
      <c r="D5543" s="19" t="n">
        <f aca="false">'SALES Raw'!C4117</f>
        <v>2</v>
      </c>
      <c r="E5543" s="19" t="n">
        <f aca="false">'SALES Raw'!D4117</f>
        <v>92.26</v>
      </c>
      <c r="F5543" s="19" t="n">
        <f aca="false">'SALES Raw'!E4117*$H$4</f>
        <v>0</v>
      </c>
      <c r="G5543" s="19" t="n">
        <f aca="false">'SALES Raw'!F4117*$H$4</f>
        <v>0</v>
      </c>
      <c r="H5543" s="18" t="str">
        <f aca="false">'SALES Raw'!A4117</f>
        <v>213 - E.f.m.o. SPAIN</v>
      </c>
    </row>
    <row r="5544" customFormat="false" ht="15" hidden="false" customHeight="false" outlineLevel="0" collapsed="false">
      <c r="A5544" s="18" t="n">
        <f aca="false">'SALES Raw'!G4118</f>
        <v>4413224</v>
      </c>
      <c r="B5544" s="18" t="str">
        <f aca="false">'SALES Raw'!B4118</f>
        <v>T45X XL</v>
      </c>
      <c r="C5544" s="18" t="str">
        <f aca="false">'SALES Raw'!H4118</f>
        <v>T45X XL מגן ברך רגיל</v>
      </c>
      <c r="D5544" s="19" t="n">
        <f aca="false">'SALES Raw'!C4118</f>
        <v>1</v>
      </c>
      <c r="E5544" s="19" t="n">
        <f aca="false">'SALES Raw'!D4118</f>
        <v>46.13</v>
      </c>
      <c r="F5544" s="19" t="n">
        <f aca="false">'SALES Raw'!E4118*$H$4</f>
        <v>0</v>
      </c>
      <c r="G5544" s="19" t="n">
        <f aca="false">'SALES Raw'!F4118*$H$4</f>
        <v>0</v>
      </c>
      <c r="H5544" s="18" t="str">
        <f aca="false">'SALES Raw'!A4118</f>
        <v>213 - E.f.m.o. SPAIN</v>
      </c>
    </row>
    <row r="5545" customFormat="false" ht="15" hidden="false" customHeight="false" outlineLevel="0" collapsed="false">
      <c r="A5545" s="18" t="n">
        <f aca="false">'SALES Raw'!G4121</f>
        <v>4422004</v>
      </c>
      <c r="B5545" s="18" t="str">
        <f aca="false">'SALES Raw'!B4121</f>
        <v>T78 S</v>
      </c>
      <c r="C5545" s="18" t="str">
        <f aca="false">'SALES Raw'!H4121</f>
        <v>T78 S תומך זרוע וכתף</v>
      </c>
      <c r="D5545" s="19" t="n">
        <f aca="false">'SALES Raw'!C4121</f>
        <v>5</v>
      </c>
      <c r="E5545" s="19" t="n">
        <f aca="false">'SALES Raw'!D4121</f>
        <v>377.3</v>
      </c>
      <c r="F5545" s="19" t="n">
        <f aca="false">'SALES Raw'!E4121*$H$4</f>
        <v>0</v>
      </c>
      <c r="G5545" s="19" t="n">
        <f aca="false">'SALES Raw'!F4121*$H$4</f>
        <v>0</v>
      </c>
      <c r="H5545" s="18" t="str">
        <f aca="false">'SALES Raw'!A4121</f>
        <v>213 - E.f.m.o. SPAIN</v>
      </c>
    </row>
    <row r="5546" customFormat="false" ht="15" hidden="false" customHeight="false" outlineLevel="0" collapsed="false">
      <c r="A5546" s="18" t="n">
        <f aca="false">'SALES Raw'!G4122</f>
        <v>4422007</v>
      </c>
      <c r="B5546" s="18" t="str">
        <f aca="false">'SALES Raw'!B4122</f>
        <v>T78 XL</v>
      </c>
      <c r="C5546" s="18" t="str">
        <f aca="false">'SALES Raw'!H4122</f>
        <v>T78 XLתומך זרוע וכתף</v>
      </c>
      <c r="D5546" s="19" t="n">
        <f aca="false">'SALES Raw'!C4122</f>
        <v>1</v>
      </c>
      <c r="E5546" s="19" t="n">
        <f aca="false">'SALES Raw'!D4122</f>
        <v>81</v>
      </c>
      <c r="F5546" s="19" t="n">
        <f aca="false">'SALES Raw'!E4122*$H$4</f>
        <v>0</v>
      </c>
      <c r="G5546" s="19" t="n">
        <f aca="false">'SALES Raw'!F4122*$H$4</f>
        <v>0</v>
      </c>
      <c r="H5546" s="18" t="str">
        <f aca="false">'SALES Raw'!A4122</f>
        <v>213 - E.f.m.o. SPAIN</v>
      </c>
    </row>
    <row r="5547" customFormat="false" ht="15" hidden="false" customHeight="false" outlineLevel="0" collapsed="false">
      <c r="A5547" s="18" t="n">
        <f aca="false">'SALES Raw'!G4125</f>
        <v>4411028</v>
      </c>
      <c r="B5547" s="18" t="str">
        <f aca="false">'SALES Raw'!B4125</f>
        <v>213CTSL S</v>
      </c>
      <c r="C5547" s="18" t="str">
        <f aca="false">'SALES Raw'!H4125</f>
        <v>213CTSL S שמאל CTS כפפות</v>
      </c>
      <c r="D5547" s="19" t="n">
        <f aca="false">'SALES Raw'!C4125</f>
        <v>10</v>
      </c>
      <c r="E5547" s="19" t="n">
        <f aca="false">'SALES Raw'!D4125</f>
        <v>444.5</v>
      </c>
      <c r="F5547" s="19" t="n">
        <f aca="false">'SALES Raw'!E4125*$H$4</f>
        <v>0</v>
      </c>
      <c r="G5547" s="19" t="n">
        <f aca="false">'SALES Raw'!F4125*$H$4</f>
        <v>0</v>
      </c>
      <c r="H5547" s="18" t="str">
        <f aca="false">'SALES Raw'!A4125</f>
        <v>214 - Alfred Gera&amp; Sons Ltd. MALTA</v>
      </c>
    </row>
    <row r="5548" customFormat="false" ht="15" hidden="false" customHeight="false" outlineLevel="0" collapsed="false">
      <c r="A5548" s="18" t="n">
        <f aca="false">'SALES Raw'!G4128</f>
        <v>4411031</v>
      </c>
      <c r="B5548" s="18" t="str">
        <f aca="false">'SALES Raw'!B4128</f>
        <v>213CTSR S</v>
      </c>
      <c r="C5548" s="18" t="str">
        <f aca="false">'SALES Raw'!H4128</f>
        <v>213CTS  S ימין CTS כפפות</v>
      </c>
      <c r="D5548" s="19" t="n">
        <f aca="false">'SALES Raw'!C4128</f>
        <v>10</v>
      </c>
      <c r="E5548" s="19" t="n">
        <f aca="false">'SALES Raw'!D4128</f>
        <v>444.5</v>
      </c>
      <c r="F5548" s="19" t="n">
        <f aca="false">'SALES Raw'!E4128*$H$4</f>
        <v>0</v>
      </c>
      <c r="G5548" s="19" t="n">
        <f aca="false">'SALES Raw'!F4128*$H$4</f>
        <v>0</v>
      </c>
      <c r="H5548" s="18" t="str">
        <f aca="false">'SALES Raw'!A4128</f>
        <v>214 - Alfred Gera&amp; Sons Ltd. MALTA</v>
      </c>
    </row>
    <row r="5549" customFormat="false" ht="15" hidden="false" customHeight="false" outlineLevel="0" collapsed="false">
      <c r="A5549" s="18" t="n">
        <f aca="false">'SALES Raw'!G4129</f>
        <v>4413523</v>
      </c>
      <c r="B5549" s="18" t="str">
        <f aca="false">'SALES Raw'!B4129</f>
        <v>379COM-35-38</v>
      </c>
      <c r="C5549" s="18" t="str">
        <f aca="false">'SALES Raw'!H4129</f>
        <v>35-38 מדרסי אפיק ג'ל נוחות</v>
      </c>
      <c r="D5549" s="19" t="n">
        <f aca="false">'SALES Raw'!C4129</f>
        <v>1</v>
      </c>
      <c r="E5549" s="19" t="n">
        <f aca="false">'SALES Raw'!D4129</f>
        <v>0.04</v>
      </c>
      <c r="F5549" s="19" t="n">
        <f aca="false">'SALES Raw'!E4129*$H$4</f>
        <v>0</v>
      </c>
      <c r="G5549" s="19" t="n">
        <f aca="false">'SALES Raw'!F4129*$H$4</f>
        <v>0</v>
      </c>
      <c r="H5549" s="18" t="str">
        <f aca="false">'SALES Raw'!A4129</f>
        <v>214 - Alfred Gera&amp; Sons Ltd. MALTA</v>
      </c>
    </row>
    <row r="5550" customFormat="false" ht="15" hidden="false" customHeight="false" outlineLevel="0" collapsed="false">
      <c r="A5550" s="18" t="n">
        <f aca="false">'SALES Raw'!G4130</f>
        <v>4413520</v>
      </c>
      <c r="B5550" s="18" t="str">
        <f aca="false">'SALES Raw'!B4130</f>
        <v>379MSP-35-38</v>
      </c>
      <c r="C5550" s="18" t="str">
        <f aca="false">'SALES Raw'!H4130</f>
        <v>מדרסי אפיק ג'ל מולט.ספורט35-38</v>
      </c>
      <c r="D5550" s="19" t="n">
        <f aca="false">'SALES Raw'!C4130</f>
        <v>1</v>
      </c>
      <c r="E5550" s="19" t="n">
        <f aca="false">'SALES Raw'!D4130</f>
        <v>0.04</v>
      </c>
      <c r="F5550" s="19" t="n">
        <f aca="false">'SALES Raw'!E4130*$H$4</f>
        <v>0</v>
      </c>
      <c r="G5550" s="19" t="n">
        <f aca="false">'SALES Raw'!F4130*$H$4</f>
        <v>0</v>
      </c>
      <c r="H5550" s="18" t="str">
        <f aca="false">'SALES Raw'!A4130</f>
        <v>214 - Alfred Gera&amp; Sons Ltd. MALTA</v>
      </c>
    </row>
    <row r="5551" customFormat="false" ht="15" hidden="false" customHeight="false" outlineLevel="0" collapsed="false">
      <c r="A5551" s="18" t="n">
        <f aca="false">'SALES Raw'!G4131</f>
        <v>4413522</v>
      </c>
      <c r="B5551" s="18" t="str">
        <f aca="false">'SALES Raw'!B4131</f>
        <v>379MSP-43-46</v>
      </c>
      <c r="C5551" s="18" t="str">
        <f aca="false">'SALES Raw'!H4131</f>
        <v>מדרסי אפיק ג'ל מולט.ספורט43-47</v>
      </c>
      <c r="D5551" s="19" t="n">
        <f aca="false">'SALES Raw'!C4131</f>
        <v>1</v>
      </c>
      <c r="E5551" s="19" t="n">
        <f aca="false">'SALES Raw'!D4131</f>
        <v>0.04</v>
      </c>
      <c r="F5551" s="19" t="n">
        <f aca="false">'SALES Raw'!E4131*$H$4</f>
        <v>0</v>
      </c>
      <c r="G5551" s="19" t="n">
        <f aca="false">'SALES Raw'!F4131*$H$4</f>
        <v>0</v>
      </c>
      <c r="H5551" s="18" t="str">
        <f aca="false">'SALES Raw'!A4131</f>
        <v>214 - Alfred Gera&amp; Sons Ltd. MALTA</v>
      </c>
    </row>
    <row r="5552" customFormat="false" ht="15" hidden="false" customHeight="false" outlineLevel="0" collapsed="false">
      <c r="A5552" s="18" t="n">
        <f aca="false">'SALES Raw'!G4144</f>
        <v>4408190</v>
      </c>
      <c r="B5552" s="18" t="str">
        <f aca="false">'SALES Raw'!B4144</f>
        <v>078 M</v>
      </c>
      <c r="C5552" s="18" t="str">
        <f aca="false">'SALES Raw'!H4144</f>
        <v>M078 חגורת גב +סגירה כפולה</v>
      </c>
      <c r="D5552" s="19" t="n">
        <f aca="false">'SALES Raw'!C4144</f>
        <v>12</v>
      </c>
      <c r="E5552" s="19" t="n">
        <f aca="false">'SALES Raw'!D4144</f>
        <v>549.38</v>
      </c>
      <c r="F5552" s="19" t="n">
        <f aca="false">'SALES Raw'!E4144*$H$4</f>
        <v>0</v>
      </c>
      <c r="G5552" s="19" t="n">
        <f aca="false">'SALES Raw'!F4144*$H$4</f>
        <v>0</v>
      </c>
      <c r="H5552" s="18" t="str">
        <f aca="false">'SALES Raw'!A4144</f>
        <v>216 - Max Konnaris CYPRUS</v>
      </c>
    </row>
    <row r="5553" customFormat="false" ht="15" hidden="false" customHeight="false" outlineLevel="0" collapsed="false">
      <c r="A5553" s="18" t="n">
        <f aca="false">'SALES Raw'!G4145</f>
        <v>4408217</v>
      </c>
      <c r="B5553" s="18" t="str">
        <f aca="false">'SALES Raw'!B4145</f>
        <v>078 S</v>
      </c>
      <c r="C5553" s="18" t="str">
        <f aca="false">'SALES Raw'!H4145</f>
        <v>S078 חגורת גב +סגירה כפולה</v>
      </c>
      <c r="D5553" s="19" t="n">
        <f aca="false">'SALES Raw'!C4145</f>
        <v>6</v>
      </c>
      <c r="E5553" s="19" t="n">
        <f aca="false">'SALES Raw'!D4145</f>
        <v>274.69</v>
      </c>
      <c r="F5553" s="19" t="n">
        <f aca="false">'SALES Raw'!E4145*$H$4</f>
        <v>0</v>
      </c>
      <c r="G5553" s="19" t="n">
        <f aca="false">'SALES Raw'!F4145*$H$4</f>
        <v>0</v>
      </c>
      <c r="H5553" s="18" t="str">
        <f aca="false">'SALES Raw'!A4145</f>
        <v>216 - Max Konnaris CYPRUS</v>
      </c>
    </row>
    <row r="5554" customFormat="false" ht="15" hidden="false" customHeight="false" outlineLevel="0" collapsed="false">
      <c r="A5554" s="18" t="n">
        <f aca="false">'SALES Raw'!G4146</f>
        <v>4408218</v>
      </c>
      <c r="B5554" s="18" t="str">
        <f aca="false">'SALES Raw'!B4146</f>
        <v>078 XL</v>
      </c>
      <c r="C5554" s="18" t="str">
        <f aca="false">'SALES Raw'!H4146</f>
        <v>078XL חגורת גב +סגירה כפולה</v>
      </c>
      <c r="D5554" s="19" t="n">
        <f aca="false">'SALES Raw'!C4146</f>
        <v>10</v>
      </c>
      <c r="E5554" s="19" t="n">
        <f aca="false">'SALES Raw'!D4146</f>
        <v>463.53</v>
      </c>
      <c r="F5554" s="19" t="n">
        <f aca="false">'SALES Raw'!E4146*$H$4</f>
        <v>0</v>
      </c>
      <c r="G5554" s="19" t="n">
        <f aca="false">'SALES Raw'!F4146*$H$4</f>
        <v>0</v>
      </c>
      <c r="H5554" s="18" t="str">
        <f aca="false">'SALES Raw'!A4146</f>
        <v>216 - Max Konnaris CYPRUS</v>
      </c>
    </row>
    <row r="5555" customFormat="false" ht="15" hidden="false" customHeight="false" outlineLevel="0" collapsed="false">
      <c r="A5555" s="18" t="n">
        <f aca="false">'SALES Raw'!G4147</f>
        <v>4408265</v>
      </c>
      <c r="B5555" s="18" t="str">
        <f aca="false">'SALES Raw'!B4147</f>
        <v>078 XXL</v>
      </c>
      <c r="C5555" s="18" t="str">
        <f aca="false">'SALES Raw'!H4147</f>
        <v>078XXL חגורת גב +סגירה כפולה</v>
      </c>
      <c r="D5555" s="19" t="n">
        <f aca="false">'SALES Raw'!C4147</f>
        <v>6</v>
      </c>
      <c r="E5555" s="19" t="n">
        <f aca="false">'SALES Raw'!D4147</f>
        <v>278.12</v>
      </c>
      <c r="F5555" s="19" t="n">
        <f aca="false">'SALES Raw'!E4147*$H$4</f>
        <v>0</v>
      </c>
      <c r="G5555" s="19" t="n">
        <f aca="false">'SALES Raw'!F4147*$H$4</f>
        <v>0</v>
      </c>
      <c r="H5555" s="18" t="str">
        <f aca="false">'SALES Raw'!A4147</f>
        <v>216 - Max Konnaris CYPRUS</v>
      </c>
    </row>
    <row r="5556" customFormat="false" ht="15" hidden="false" customHeight="false" outlineLevel="0" collapsed="false">
      <c r="A5556" s="18" t="n">
        <f aca="false">'SALES Raw'!G4149</f>
        <v>4408220</v>
      </c>
      <c r="B5556" s="18" t="str">
        <f aca="false">'SALES Raw'!B4149</f>
        <v>078G M</v>
      </c>
      <c r="C5556" s="18" t="str">
        <f aca="false">'SALES Raw'!H4149</f>
        <v>078G-M חגורת גב אפורה</v>
      </c>
      <c r="D5556" s="19" t="n">
        <f aca="false">'SALES Raw'!C4149</f>
        <v>6</v>
      </c>
      <c r="E5556" s="19" t="n">
        <f aca="false">'SALES Raw'!D4149</f>
        <v>352.91</v>
      </c>
      <c r="F5556" s="19" t="n">
        <f aca="false">'SALES Raw'!E4149*$H$4</f>
        <v>0</v>
      </c>
      <c r="G5556" s="19" t="n">
        <f aca="false">'SALES Raw'!F4149*$H$4</f>
        <v>0</v>
      </c>
      <c r="H5556" s="18" t="str">
        <f aca="false">'SALES Raw'!A4149</f>
        <v>216 - Max Konnaris CYPRUS</v>
      </c>
    </row>
    <row r="5557" customFormat="false" ht="15" hidden="false" customHeight="false" outlineLevel="0" collapsed="false">
      <c r="A5557" s="18" t="n">
        <f aca="false">'SALES Raw'!G4150</f>
        <v>4408223</v>
      </c>
      <c r="B5557" s="18" t="str">
        <f aca="false">'SALES Raw'!B4150</f>
        <v>078G XXL</v>
      </c>
      <c r="C5557" s="18" t="str">
        <f aca="false">'SALES Raw'!H4150</f>
        <v>078G-XXLחגורת גב אפורה</v>
      </c>
      <c r="D5557" s="19" t="n">
        <f aca="false">'SALES Raw'!C4150</f>
        <v>3</v>
      </c>
      <c r="E5557" s="19" t="n">
        <f aca="false">'SALES Raw'!D4150</f>
        <v>172.1</v>
      </c>
      <c r="F5557" s="19" t="n">
        <f aca="false">'SALES Raw'!E4150*$H$4</f>
        <v>0</v>
      </c>
      <c r="G5557" s="19" t="n">
        <f aca="false">'SALES Raw'!F4150*$H$4</f>
        <v>0</v>
      </c>
      <c r="H5557" s="18" t="str">
        <f aca="false">'SALES Raw'!A4150</f>
        <v>216 - Max Konnaris CYPRUS</v>
      </c>
    </row>
    <row r="5558" customFormat="false" ht="15" hidden="false" customHeight="false" outlineLevel="0" collapsed="false">
      <c r="A5558" s="18" t="n">
        <f aca="false">'SALES Raw'!G4155</f>
        <v>4408018</v>
      </c>
      <c r="B5558" s="18" t="str">
        <f aca="false">'SALES Raw'!B4155</f>
        <v>07AU XXL</v>
      </c>
      <c r="C5558" s="18" t="str">
        <f aca="false">'SALES Raw'!H4155</f>
        <v>07AU XXL.ח.גב """"איטלקית"""" אוריר</v>
      </c>
      <c r="D5558" s="19" t="n">
        <f aca="false">'SALES Raw'!C4155</f>
        <v>3</v>
      </c>
      <c r="E5558" s="19" t="n">
        <f aca="false">'SALES Raw'!D4155</f>
        <v>387.96</v>
      </c>
      <c r="F5558" s="19" t="n">
        <f aca="false">'SALES Raw'!E4155*$H$4</f>
        <v>0</v>
      </c>
      <c r="G5558" s="19" t="n">
        <f aca="false">'SALES Raw'!F4155*$H$4</f>
        <v>0</v>
      </c>
      <c r="H5558" s="18" t="str">
        <f aca="false">'SALES Raw'!A4155</f>
        <v>216 - Max Konnaris CYPRUS</v>
      </c>
    </row>
    <row r="5559" customFormat="false" ht="15" hidden="false" customHeight="false" outlineLevel="0" collapsed="false">
      <c r="A5559" s="18" t="n">
        <f aca="false">'SALES Raw'!G4156</f>
        <v>4408028</v>
      </c>
      <c r="B5559" s="18" t="str">
        <f aca="false">'SALES Raw'!B4156</f>
        <v>10 M</v>
      </c>
      <c r="C5559" s="18" t="str">
        <f aca="false">'SALES Raw'!H4156</f>
        <v>10 M """"חגורת גב """"לומבו</v>
      </c>
      <c r="D5559" s="19" t="n">
        <f aca="false">'SALES Raw'!C4156</f>
        <v>12</v>
      </c>
      <c r="E5559" s="19" t="n">
        <f aca="false">'SALES Raw'!D4156</f>
        <v>949.91</v>
      </c>
      <c r="F5559" s="19" t="n">
        <f aca="false">'SALES Raw'!E4156*$H$4</f>
        <v>0</v>
      </c>
      <c r="G5559" s="19" t="n">
        <f aca="false">'SALES Raw'!F4156*$H$4</f>
        <v>0</v>
      </c>
      <c r="H5559" s="18" t="str">
        <f aca="false">'SALES Raw'!A4156</f>
        <v>216 - Max Konnaris CYPRUS</v>
      </c>
    </row>
    <row r="5560" customFormat="false" ht="15" hidden="false" customHeight="false" outlineLevel="0" collapsed="false">
      <c r="A5560" s="18" t="n">
        <f aca="false">'SALES Raw'!G4163</f>
        <v>4408114</v>
      </c>
      <c r="B5560" s="18" t="str">
        <f aca="false">'SALES Raw'!B4163</f>
        <v>11EU M</v>
      </c>
      <c r="C5560" s="18" t="str">
        <f aca="false">'SALES Raw'!H4163</f>
        <v>11EU M ח.בטן לאחר ניתוח</v>
      </c>
      <c r="D5560" s="19" t="n">
        <f aca="false">'SALES Raw'!C4163</f>
        <v>3</v>
      </c>
      <c r="E5560" s="19" t="n">
        <f aca="false">'SALES Raw'!D4163</f>
        <v>141.33</v>
      </c>
      <c r="F5560" s="19" t="n">
        <f aca="false">'SALES Raw'!E4163*$H$4</f>
        <v>0</v>
      </c>
      <c r="G5560" s="19" t="n">
        <f aca="false">'SALES Raw'!F4163*$H$4</f>
        <v>0</v>
      </c>
      <c r="H5560" s="18" t="str">
        <f aca="false">'SALES Raw'!A4163</f>
        <v>216 - Max Konnaris CYPRUS</v>
      </c>
    </row>
    <row r="5561" customFormat="false" ht="15" hidden="false" customHeight="false" outlineLevel="0" collapsed="false">
      <c r="A5561" s="18" t="n">
        <f aca="false">'SALES Raw'!G4171</f>
        <v>4408050</v>
      </c>
      <c r="B5561" s="18" t="str">
        <f aca="false">'SALES Raw'!B4171</f>
        <v>20 XXL</v>
      </c>
      <c r="C5561" s="18" t="str">
        <f aca="false">'SALES Raw'!H4171</f>
        <v>20 XXL חבק יד מתכוון עם צמדן</v>
      </c>
      <c r="D5561" s="19" t="n">
        <f aca="false">'SALES Raw'!C4171</f>
        <v>6</v>
      </c>
      <c r="E5561" s="19" t="n">
        <f aca="false">'SALES Raw'!D4171</f>
        <v>102.83</v>
      </c>
      <c r="F5561" s="19" t="n">
        <f aca="false">'SALES Raw'!E4171*$H$4</f>
        <v>0</v>
      </c>
      <c r="G5561" s="19" t="n">
        <f aca="false">'SALES Raw'!F4171*$H$4</f>
        <v>0</v>
      </c>
      <c r="H5561" s="18" t="str">
        <f aca="false">'SALES Raw'!A4171</f>
        <v>216 - Max Konnaris CYPRUS</v>
      </c>
    </row>
    <row r="5562" customFormat="false" ht="15" hidden="false" customHeight="false" outlineLevel="0" collapsed="false">
      <c r="A5562" s="18" t="n">
        <f aca="false">'SALES Raw'!G4174</f>
        <v>4408051</v>
      </c>
      <c r="B5562" s="18" t="str">
        <f aca="false">'SALES Raw'!B4174</f>
        <v>21 S</v>
      </c>
      <c r="C5562" s="18" t="str">
        <f aca="false">'SALES Raw'!H4174</f>
        <v>21 S  חבק יד ארוך</v>
      </c>
      <c r="D5562" s="19" t="n">
        <f aca="false">'SALES Raw'!C4174</f>
        <v>6</v>
      </c>
      <c r="E5562" s="19" t="n">
        <f aca="false">'SALES Raw'!D4174</f>
        <v>107.51</v>
      </c>
      <c r="F5562" s="19" t="n">
        <f aca="false">'SALES Raw'!E4174*$H$4</f>
        <v>0</v>
      </c>
      <c r="G5562" s="19" t="n">
        <f aca="false">'SALES Raw'!F4174*$H$4</f>
        <v>0</v>
      </c>
      <c r="H5562" s="18" t="str">
        <f aca="false">'SALES Raw'!A4174</f>
        <v>216 - Max Konnaris CYPRUS</v>
      </c>
    </row>
    <row r="5563" customFormat="false" ht="15" hidden="false" customHeight="false" outlineLevel="0" collapsed="false">
      <c r="A5563" s="18" t="n">
        <f aca="false">'SALES Raw'!G4175</f>
        <v>4408054</v>
      </c>
      <c r="B5563" s="18" t="str">
        <f aca="false">'SALES Raw'!B4175</f>
        <v>21 XL</v>
      </c>
      <c r="C5563" s="18" t="str">
        <f aca="false">'SALES Raw'!H4175</f>
        <v>21 XL חבק יד ארוך</v>
      </c>
      <c r="D5563" s="19" t="n">
        <f aca="false">'SALES Raw'!C4175</f>
        <v>3</v>
      </c>
      <c r="E5563" s="19" t="n">
        <f aca="false">'SALES Raw'!D4175</f>
        <v>53.75</v>
      </c>
      <c r="F5563" s="19" t="n">
        <f aca="false">'SALES Raw'!E4175*$H$4</f>
        <v>0</v>
      </c>
      <c r="G5563" s="19" t="n">
        <f aca="false">'SALES Raw'!F4175*$H$4</f>
        <v>0</v>
      </c>
      <c r="H5563" s="18" t="str">
        <f aca="false">'SALES Raw'!A4175</f>
        <v>216 - Max Konnaris CYPRUS</v>
      </c>
    </row>
    <row r="5564" customFormat="false" ht="15" hidden="false" customHeight="false" outlineLevel="0" collapsed="false">
      <c r="A5564" s="18" t="n">
        <f aca="false">'SALES Raw'!G4184</f>
        <v>4415161</v>
      </c>
      <c r="B5564" s="18" t="str">
        <f aca="false">'SALES Raw'!B4184</f>
        <v>238 M</v>
      </c>
      <c r="C5564" s="18" t="str">
        <f aca="false">'SALES Raw'!H4184</f>
        <v>238M סד ליישור אצבע</v>
      </c>
      <c r="D5564" s="19" t="n">
        <f aca="false">'SALES Raw'!C4184</f>
        <v>12</v>
      </c>
      <c r="E5564" s="19" t="n">
        <f aca="false">'SALES Raw'!D4184</f>
        <v>120.45</v>
      </c>
      <c r="F5564" s="19" t="n">
        <f aca="false">'SALES Raw'!E4184*$H$4</f>
        <v>0</v>
      </c>
      <c r="G5564" s="19" t="n">
        <f aca="false">'SALES Raw'!F4184*$H$4</f>
        <v>0</v>
      </c>
      <c r="H5564" s="18" t="str">
        <f aca="false">'SALES Raw'!A4184</f>
        <v>216 - Max Konnaris CYPRUS</v>
      </c>
    </row>
    <row r="5565" customFormat="false" ht="15" hidden="false" customHeight="false" outlineLevel="0" collapsed="false">
      <c r="A5565" s="18" t="n">
        <f aca="false">'SALES Raw'!G4186</f>
        <v>4415163</v>
      </c>
      <c r="B5565" s="18" t="str">
        <f aca="false">'SALES Raw'!B4186</f>
        <v>238 XL</v>
      </c>
      <c r="C5565" s="18" t="str">
        <f aca="false">'SALES Raw'!H4186</f>
        <v>238XL סד ליישור אצבע</v>
      </c>
      <c r="D5565" s="19" t="n">
        <f aca="false">'SALES Raw'!C4186</f>
        <v>30</v>
      </c>
      <c r="E5565" s="19" t="n">
        <f aca="false">'SALES Raw'!D4186</f>
        <v>301.12</v>
      </c>
      <c r="F5565" s="19" t="n">
        <f aca="false">'SALES Raw'!E4186*$H$4</f>
        <v>0</v>
      </c>
      <c r="G5565" s="19" t="n">
        <f aca="false">'SALES Raw'!F4186*$H$4</f>
        <v>0</v>
      </c>
      <c r="H5565" s="18" t="str">
        <f aca="false">'SALES Raw'!A4186</f>
        <v>216 - Max Konnaris CYPRUS</v>
      </c>
    </row>
    <row r="5566" customFormat="false" ht="15" hidden="false" customHeight="false" outlineLevel="0" collapsed="false">
      <c r="A5566" s="18" t="n">
        <f aca="false">'SALES Raw'!G4192</f>
        <v>4415006</v>
      </c>
      <c r="B5566" s="18" t="str">
        <f aca="false">'SALES Raw'!B4192</f>
        <v>28 M</v>
      </c>
      <c r="C5566" s="18" t="str">
        <f aca="false">'SALES Raw'!H4192</f>
        <v>28 M סד לאגודל לאחר שבר</v>
      </c>
      <c r="D5566" s="19" t="n">
        <f aca="false">'SALES Raw'!C4192</f>
        <v>9</v>
      </c>
      <c r="E5566" s="19" t="n">
        <f aca="false">'SALES Raw'!D4192</f>
        <v>375.86</v>
      </c>
      <c r="F5566" s="19" t="n">
        <f aca="false">'SALES Raw'!E4192*$H$4</f>
        <v>0</v>
      </c>
      <c r="G5566" s="19" t="n">
        <f aca="false">'SALES Raw'!F4192*$H$4</f>
        <v>0</v>
      </c>
      <c r="H5566" s="18" t="str">
        <f aca="false">'SALES Raw'!A4192</f>
        <v>216 - Max Konnaris CYPRUS</v>
      </c>
    </row>
    <row r="5567" customFormat="false" ht="15" hidden="false" customHeight="false" outlineLevel="0" collapsed="false">
      <c r="A5567" s="18" t="n">
        <f aca="false">'SALES Raw'!G4194</f>
        <v>4415008</v>
      </c>
      <c r="B5567" s="18" t="str">
        <f aca="false">'SALES Raw'!B4194</f>
        <v>28 XL</v>
      </c>
      <c r="C5567" s="18" t="str">
        <f aca="false">'SALES Raw'!H4194</f>
        <v>28 XL סד לאגודל לאחר שבר</v>
      </c>
      <c r="D5567" s="19" t="n">
        <f aca="false">'SALES Raw'!C4194</f>
        <v>3</v>
      </c>
      <c r="E5567" s="19" t="n">
        <f aca="false">'SALES Raw'!D4194</f>
        <v>117.4</v>
      </c>
      <c r="F5567" s="19" t="n">
        <f aca="false">'SALES Raw'!E4194*$H$4</f>
        <v>0</v>
      </c>
      <c r="G5567" s="19" t="n">
        <f aca="false">'SALES Raw'!F4194*$H$4</f>
        <v>0</v>
      </c>
      <c r="H5567" s="18" t="str">
        <f aca="false">'SALES Raw'!A4194</f>
        <v>216 - Max Konnaris CYPRUS</v>
      </c>
    </row>
    <row r="5568" customFormat="false" ht="15" hidden="false" customHeight="false" outlineLevel="0" collapsed="false">
      <c r="A5568" s="18" t="n">
        <f aca="false">'SALES Raw'!G4196</f>
        <v>4420035</v>
      </c>
      <c r="B5568" s="18" t="str">
        <f aca="false">'SALES Raw'!B4196</f>
        <v>301CW-36-40</v>
      </c>
      <c r="C5568" s="18" t="str">
        <f aca="false">'SALES Raw'!H4196</f>
        <v>301CW 36-40 'רפידת ג'ל בז</v>
      </c>
      <c r="D5568" s="19" t="n">
        <f aca="false">'SALES Raw'!C4196</f>
        <v>10</v>
      </c>
      <c r="E5568" s="19" t="n">
        <f aca="false">'SALES Raw'!D4196</f>
        <v>338.76</v>
      </c>
      <c r="F5568" s="19" t="n">
        <f aca="false">'SALES Raw'!E4196*$H$4</f>
        <v>0</v>
      </c>
      <c r="G5568" s="19" t="n">
        <f aca="false">'SALES Raw'!F4196*$H$4</f>
        <v>0</v>
      </c>
      <c r="H5568" s="18" t="str">
        <f aca="false">'SALES Raw'!A4196</f>
        <v>216 - Max Konnaris CYPRUS</v>
      </c>
    </row>
    <row r="5569" customFormat="false" ht="15" hidden="false" customHeight="false" outlineLevel="0" collapsed="false">
      <c r="A5569" s="18" t="n">
        <f aca="false">'SALES Raw'!G4198</f>
        <v>4413372</v>
      </c>
      <c r="B5569" s="18" t="str">
        <f aca="false">'SALES Raw'!B4198</f>
        <v>302W 0</v>
      </c>
      <c r="C5569" s="18" t="str">
        <f aca="false">'SALES Raw'!H4198</f>
        <v>302 W מדרס לאישה</v>
      </c>
      <c r="D5569" s="19" t="n">
        <f aca="false">'SALES Raw'!C4198</f>
        <v>20</v>
      </c>
      <c r="E5569" s="19" t="n">
        <f aca="false">'SALES Raw'!D4198</f>
        <v>572.59</v>
      </c>
      <c r="F5569" s="19" t="n">
        <f aca="false">'SALES Raw'!E4198*$H$4</f>
        <v>0</v>
      </c>
      <c r="G5569" s="19" t="n">
        <f aca="false">'SALES Raw'!F4198*$H$4</f>
        <v>0</v>
      </c>
      <c r="H5569" s="18" t="str">
        <f aca="false">'SALES Raw'!A4198</f>
        <v>216 - Max Konnaris CYPRUS</v>
      </c>
    </row>
    <row r="5570" customFormat="false" ht="15" hidden="false" customHeight="false" outlineLevel="0" collapsed="false">
      <c r="A5570" s="18" t="n">
        <f aca="false">'SALES Raw'!G4205</f>
        <v>4416001</v>
      </c>
      <c r="B5570" s="18" t="str">
        <f aca="false">'SALES Raw'!B4205</f>
        <v>307 M</v>
      </c>
      <c r="C5570" s="18" t="str">
        <f aca="false">'SALES Raw'!H4205</f>
        <v>307 M עקבים לדורבן-זוג כריות</v>
      </c>
      <c r="D5570" s="19" t="n">
        <f aca="false">'SALES Raw'!C4205</f>
        <v>12</v>
      </c>
      <c r="E5570" s="19" t="n">
        <f aca="false">'SALES Raw'!D4205</f>
        <v>393.96</v>
      </c>
      <c r="F5570" s="19" t="n">
        <f aca="false">'SALES Raw'!E4205*$H$4</f>
        <v>0</v>
      </c>
      <c r="G5570" s="19" t="n">
        <f aca="false">'SALES Raw'!F4205*$H$4</f>
        <v>0</v>
      </c>
      <c r="H5570" s="18" t="str">
        <f aca="false">'SALES Raw'!A4205</f>
        <v>216 - Max Konnaris CYPRUS</v>
      </c>
    </row>
    <row r="5571" customFormat="false" ht="15" hidden="false" customHeight="false" outlineLevel="0" collapsed="false">
      <c r="A5571" s="18" t="n">
        <f aca="false">'SALES Raw'!G4206</f>
        <v>4416002</v>
      </c>
      <c r="B5571" s="18" t="str">
        <f aca="false">'SALES Raw'!B4206</f>
        <v>307 S</v>
      </c>
      <c r="C5571" s="18" t="str">
        <f aca="false">'SALES Raw'!H4206</f>
        <v>307 S עקבים לדורבן-זוג כריות</v>
      </c>
      <c r="D5571" s="19" t="n">
        <f aca="false">'SALES Raw'!C4206</f>
        <v>3</v>
      </c>
      <c r="E5571" s="19" t="n">
        <f aca="false">'SALES Raw'!D4206</f>
        <v>98.49</v>
      </c>
      <c r="F5571" s="19" t="n">
        <f aca="false">'SALES Raw'!E4206*$H$4</f>
        <v>0</v>
      </c>
      <c r="G5571" s="19" t="n">
        <f aca="false">'SALES Raw'!F4206*$H$4</f>
        <v>0</v>
      </c>
      <c r="H5571" s="18" t="str">
        <f aca="false">'SALES Raw'!A4206</f>
        <v>216 - Max Konnaris CYPRUS</v>
      </c>
    </row>
    <row r="5572" customFormat="false" ht="15" hidden="false" customHeight="false" outlineLevel="0" collapsed="false">
      <c r="A5572" s="18" t="n">
        <f aca="false">'SALES Raw'!G4212</f>
        <v>4413042</v>
      </c>
      <c r="B5572" s="18" t="str">
        <f aca="false">'SALES Raw'!B4212</f>
        <v>34 S</v>
      </c>
      <c r="C5572" s="18" t="str">
        <f aca="false">'SALES Raw'!H4212</f>
        <v>34  S מגן קרסול עקב סגור</v>
      </c>
      <c r="D5572" s="19" t="n">
        <f aca="false">'SALES Raw'!C4212</f>
        <v>13</v>
      </c>
      <c r="E5572" s="19" t="n">
        <f aca="false">'SALES Raw'!D4212</f>
        <v>303.23</v>
      </c>
      <c r="F5572" s="19" t="n">
        <f aca="false">'SALES Raw'!E4212*$H$4</f>
        <v>0</v>
      </c>
      <c r="G5572" s="19" t="n">
        <f aca="false">'SALES Raw'!F4212*$H$4</f>
        <v>0</v>
      </c>
      <c r="H5572" s="18" t="str">
        <f aca="false">'SALES Raw'!A4212</f>
        <v>216 - Max Konnaris CYPRUS</v>
      </c>
    </row>
    <row r="5573" customFormat="false" ht="15" hidden="false" customHeight="false" outlineLevel="0" collapsed="false">
      <c r="A5573" s="18" t="n">
        <f aca="false">'SALES Raw'!G4213</f>
        <v>4413044</v>
      </c>
      <c r="B5573" s="18" t="str">
        <f aca="false">'SALES Raw'!B4213</f>
        <v>34 XL</v>
      </c>
      <c r="C5573" s="18" t="str">
        <f aca="false">'SALES Raw'!H4213</f>
        <v>34 XL מגן קרסול עקב סגור</v>
      </c>
      <c r="D5573" s="19" t="n">
        <f aca="false">'SALES Raw'!C4213</f>
        <v>10</v>
      </c>
      <c r="E5573" s="19" t="n">
        <f aca="false">'SALES Raw'!D4213</f>
        <v>233.71</v>
      </c>
      <c r="F5573" s="19" t="n">
        <f aca="false">'SALES Raw'!E4213*$H$4</f>
        <v>0</v>
      </c>
      <c r="G5573" s="19" t="n">
        <f aca="false">'SALES Raw'!F4213*$H$4</f>
        <v>0</v>
      </c>
      <c r="H5573" s="18" t="str">
        <f aca="false">'SALES Raw'!A4213</f>
        <v>216 - Max Konnaris CYPRUS</v>
      </c>
    </row>
    <row r="5574" customFormat="false" ht="15" hidden="false" customHeight="false" outlineLevel="0" collapsed="false">
      <c r="A5574" s="18" t="str">
        <f aca="false">'SALES Raw'!G4214</f>
        <v/>
      </c>
      <c r="B5574" s="18" t="str">
        <f aca="false">'SALES Raw'!B4214</f>
        <v>34 XS</v>
      </c>
      <c r="C5574" s="18" t="str">
        <f aca="false">'SALES Raw'!H4214</f>
        <v>34 XS</v>
      </c>
      <c r="D5574" s="19" t="n">
        <f aca="false">'SALES Raw'!C4214</f>
        <v>6</v>
      </c>
      <c r="E5574" s="19" t="n">
        <f aca="false">'SALES Raw'!D4214</f>
        <v>140.23</v>
      </c>
      <c r="F5574" s="19" t="n">
        <f aca="false">'SALES Raw'!E4214*$H$4</f>
        <v>0</v>
      </c>
      <c r="G5574" s="19" t="n">
        <f aca="false">'SALES Raw'!F4214*$H$4</f>
        <v>0</v>
      </c>
      <c r="H5574" s="18" t="str">
        <f aca="false">'SALES Raw'!A4214</f>
        <v>216 - Max Konnaris CYPRUS</v>
      </c>
    </row>
    <row r="5575" customFormat="false" ht="15" hidden="false" customHeight="false" outlineLevel="0" collapsed="false">
      <c r="A5575" s="18" t="n">
        <f aca="false">'SALES Raw'!G4215</f>
        <v>4413046</v>
      </c>
      <c r="B5575" s="18" t="str">
        <f aca="false">'SALES Raw'!B4215</f>
        <v>34 XXL</v>
      </c>
      <c r="C5575" s="18" t="str">
        <f aca="false">'SALES Raw'!H4215</f>
        <v>34 XXL מגן קרסול עקב סגור</v>
      </c>
      <c r="D5575" s="19" t="n">
        <f aca="false">'SALES Raw'!C4215</f>
        <v>6</v>
      </c>
      <c r="E5575" s="19" t="n">
        <f aca="false">'SALES Raw'!D4215</f>
        <v>140.23</v>
      </c>
      <c r="F5575" s="19" t="n">
        <f aca="false">'SALES Raw'!E4215*$H$4</f>
        <v>0</v>
      </c>
      <c r="G5575" s="19" t="n">
        <f aca="false">'SALES Raw'!F4215*$H$4</f>
        <v>0</v>
      </c>
      <c r="H5575" s="18" t="str">
        <f aca="false">'SALES Raw'!A4215</f>
        <v>216 - Max Konnaris CYPRUS</v>
      </c>
    </row>
    <row r="5576" customFormat="false" ht="15" hidden="false" customHeight="false" outlineLevel="0" collapsed="false">
      <c r="A5576" s="18" t="n">
        <f aca="false">'SALES Raw'!G4220</f>
        <v>4413048</v>
      </c>
      <c r="B5576" s="18" t="str">
        <f aca="false">'SALES Raw'!B4220</f>
        <v>35 L</v>
      </c>
      <c r="C5576" s="18" t="str">
        <f aca="false">'SALES Raw'!H4220</f>
        <v>35 L מגן קרסול לבן</v>
      </c>
      <c r="D5576" s="19" t="n">
        <f aca="false">'SALES Raw'!C4220</f>
        <v>10</v>
      </c>
      <c r="E5576" s="19" t="n">
        <f aca="false">'SALES Raw'!D4220</f>
        <v>112.96</v>
      </c>
      <c r="F5576" s="19" t="n">
        <f aca="false">'SALES Raw'!E4220*$H$4</f>
        <v>0</v>
      </c>
      <c r="G5576" s="19" t="n">
        <f aca="false">'SALES Raw'!F4220*$H$4</f>
        <v>0</v>
      </c>
      <c r="H5576" s="18" t="str">
        <f aca="false">'SALES Raw'!A4220</f>
        <v>216 - Max Konnaris CYPRUS</v>
      </c>
    </row>
    <row r="5577" customFormat="false" ht="15" hidden="false" customHeight="false" outlineLevel="0" collapsed="false">
      <c r="A5577" s="18" t="n">
        <f aca="false">'SALES Raw'!G4221</f>
        <v>4413049</v>
      </c>
      <c r="B5577" s="18" t="str">
        <f aca="false">'SALES Raw'!B4221</f>
        <v>35 M</v>
      </c>
      <c r="C5577" s="18" t="str">
        <f aca="false">'SALES Raw'!H4221</f>
        <v>35 M מגן קרסול לבן</v>
      </c>
      <c r="D5577" s="19" t="n">
        <f aca="false">'SALES Raw'!C4221</f>
        <v>10</v>
      </c>
      <c r="E5577" s="19" t="n">
        <f aca="false">'SALES Raw'!D4221</f>
        <v>112.96</v>
      </c>
      <c r="F5577" s="19" t="n">
        <f aca="false">'SALES Raw'!E4221*$H$4</f>
        <v>0</v>
      </c>
      <c r="G5577" s="19" t="n">
        <f aca="false">'SALES Raw'!F4221*$H$4</f>
        <v>0</v>
      </c>
      <c r="H5577" s="18" t="str">
        <f aca="false">'SALES Raw'!A4221</f>
        <v>216 - Max Konnaris CYPRUS</v>
      </c>
    </row>
    <row r="5578" customFormat="false" ht="15" hidden="false" customHeight="false" outlineLevel="0" collapsed="false">
      <c r="A5578" s="18" t="n">
        <f aca="false">'SALES Raw'!G4222</f>
        <v>4413051</v>
      </c>
      <c r="B5578" s="18" t="str">
        <f aca="false">'SALES Raw'!B4222</f>
        <v>35 XXL</v>
      </c>
      <c r="C5578" s="18" t="str">
        <f aca="false">'SALES Raw'!H4222</f>
        <v>35 XXL מגן קרסול לבן</v>
      </c>
      <c r="D5578" s="19" t="n">
        <f aca="false">'SALES Raw'!C4222</f>
        <v>6</v>
      </c>
      <c r="E5578" s="19" t="n">
        <f aca="false">'SALES Raw'!D4222</f>
        <v>67.78</v>
      </c>
      <c r="F5578" s="19" t="n">
        <f aca="false">'SALES Raw'!E4222*$H$4</f>
        <v>0</v>
      </c>
      <c r="G5578" s="19" t="n">
        <f aca="false">'SALES Raw'!F4222*$H$4</f>
        <v>0</v>
      </c>
      <c r="H5578" s="18" t="str">
        <f aca="false">'SALES Raw'!A4222</f>
        <v>216 - Max Konnaris CYPRUS</v>
      </c>
    </row>
    <row r="5579" customFormat="false" ht="15" hidden="false" customHeight="false" outlineLevel="0" collapsed="false">
      <c r="A5579" s="18" t="n">
        <f aca="false">'SALES Raw'!G4225</f>
        <v>4413493</v>
      </c>
      <c r="B5579" s="18" t="str">
        <f aca="false">'SALES Raw'!B4225</f>
        <v>35B S</v>
      </c>
      <c r="C5579" s="18" t="str">
        <f aca="false">'SALES Raw'!H4225</f>
        <v>35B S מגן קרסול שחור</v>
      </c>
      <c r="D5579" s="19" t="n">
        <f aca="false">'SALES Raw'!C4225</f>
        <v>10</v>
      </c>
      <c r="E5579" s="19" t="n">
        <f aca="false">'SALES Raw'!D4225</f>
        <v>117.78</v>
      </c>
      <c r="F5579" s="19" t="n">
        <f aca="false">'SALES Raw'!E4225*$H$4</f>
        <v>0</v>
      </c>
      <c r="G5579" s="19" t="n">
        <f aca="false">'SALES Raw'!F4225*$H$4</f>
        <v>0</v>
      </c>
      <c r="H5579" s="18" t="str">
        <f aca="false">'SALES Raw'!A4225</f>
        <v>216 - Max Konnaris CYPRUS</v>
      </c>
    </row>
    <row r="5580" customFormat="false" ht="15" hidden="false" customHeight="false" outlineLevel="0" collapsed="false">
      <c r="A5580" s="18" t="n">
        <f aca="false">'SALES Raw'!G4227</f>
        <v>4413494</v>
      </c>
      <c r="B5580" s="18" t="str">
        <f aca="false">'SALES Raw'!B4227</f>
        <v>35B XXL</v>
      </c>
      <c r="C5580" s="18" t="str">
        <f aca="false">'SALES Raw'!H4227</f>
        <v>35B XXL מגן קרסול שחור</v>
      </c>
      <c r="D5580" s="19" t="n">
        <f aca="false">'SALES Raw'!C4227</f>
        <v>10</v>
      </c>
      <c r="E5580" s="19" t="n">
        <f aca="false">'SALES Raw'!D4227</f>
        <v>120.75</v>
      </c>
      <c r="F5580" s="19" t="n">
        <f aca="false">'SALES Raw'!E4227*$H$4</f>
        <v>0</v>
      </c>
      <c r="G5580" s="19" t="n">
        <f aca="false">'SALES Raw'!F4227*$H$4</f>
        <v>0</v>
      </c>
      <c r="H5580" s="18" t="str">
        <f aca="false">'SALES Raw'!A4227</f>
        <v>216 - Max Konnaris CYPRUS</v>
      </c>
    </row>
    <row r="5581" customFormat="false" ht="15" hidden="false" customHeight="false" outlineLevel="0" collapsed="false">
      <c r="A5581" s="18" t="n">
        <f aca="false">'SALES Raw'!G4229</f>
        <v>4413055</v>
      </c>
      <c r="B5581" s="18" t="str">
        <f aca="false">'SALES Raw'!B4229</f>
        <v>35C XL</v>
      </c>
      <c r="C5581" s="18" t="str">
        <f aca="false">'SALES Raw'!H4229</f>
        <v>35C XL מגן קרסול חום</v>
      </c>
      <c r="D5581" s="19" t="n">
        <f aca="false">'SALES Raw'!C4229</f>
        <v>6</v>
      </c>
      <c r="E5581" s="19" t="n">
        <f aca="false">'SALES Raw'!D4229</f>
        <v>67.25</v>
      </c>
      <c r="F5581" s="19" t="n">
        <f aca="false">'SALES Raw'!E4229*$H$4</f>
        <v>0</v>
      </c>
      <c r="G5581" s="19" t="n">
        <f aca="false">'SALES Raw'!F4229*$H$4</f>
        <v>0</v>
      </c>
      <c r="H5581" s="18" t="str">
        <f aca="false">'SALES Raw'!A4229</f>
        <v>216 - Max Konnaris CYPRUS</v>
      </c>
    </row>
    <row r="5582" customFormat="false" ht="15" hidden="false" customHeight="false" outlineLevel="0" collapsed="false">
      <c r="A5582" s="18" t="n">
        <f aca="false">'SALES Raw'!G4232</f>
        <v>4421001</v>
      </c>
      <c r="B5582" s="18" t="str">
        <f aca="false">'SALES Raw'!B4232</f>
        <v>3611 0</v>
      </c>
      <c r="C5582" s="18" t="str">
        <f aca="false">'SALES Raw'!H4232</f>
        <v>3611 שרוול מטטרזלי מסיליקון</v>
      </c>
      <c r="D5582" s="19" t="n">
        <f aca="false">'SALES Raw'!C4232</f>
        <v>10</v>
      </c>
      <c r="E5582" s="19" t="n">
        <f aca="false">'SALES Raw'!D4232</f>
        <v>341.93</v>
      </c>
      <c r="F5582" s="19" t="n">
        <f aca="false">'SALES Raw'!E4232*$H$4</f>
        <v>0</v>
      </c>
      <c r="G5582" s="19" t="n">
        <f aca="false">'SALES Raw'!F4232*$H$4</f>
        <v>0</v>
      </c>
      <c r="H5582" s="18" t="str">
        <f aca="false">'SALES Raw'!A4232</f>
        <v>216 - Max Konnaris CYPRUS</v>
      </c>
    </row>
    <row r="5583" customFormat="false" ht="15" hidden="false" customHeight="false" outlineLevel="0" collapsed="false">
      <c r="A5583" s="18" t="n">
        <f aca="false">'SALES Raw'!G4234</f>
        <v>4411001</v>
      </c>
      <c r="B5583" s="18" t="str">
        <f aca="false">'SALES Raw'!B4234</f>
        <v>3623 0</v>
      </c>
      <c r="C5583" s="18" t="str">
        <f aca="false">'SALES Raw'!H4234</f>
        <v>3623 כרית ליישור אצבע פטיש</v>
      </c>
      <c r="D5583" s="19" t="n">
        <f aca="false">'SALES Raw'!C4234</f>
        <v>10</v>
      </c>
      <c r="E5583" s="19" t="n">
        <f aca="false">'SALES Raw'!D4234</f>
        <v>171.39</v>
      </c>
      <c r="F5583" s="19" t="n">
        <f aca="false">'SALES Raw'!E4234*$H$4</f>
        <v>0</v>
      </c>
      <c r="G5583" s="19" t="n">
        <f aca="false">'SALES Raw'!F4234*$H$4</f>
        <v>0</v>
      </c>
      <c r="H5583" s="18" t="str">
        <f aca="false">'SALES Raw'!A4234</f>
        <v>216 - Max Konnaris CYPRUS</v>
      </c>
    </row>
    <row r="5584" customFormat="false" ht="15" hidden="false" customHeight="false" outlineLevel="0" collapsed="false">
      <c r="A5584" s="18" t="n">
        <f aca="false">'SALES Raw'!G4237</f>
        <v>4409001</v>
      </c>
      <c r="B5584" s="18" t="str">
        <f aca="false">'SALES Raw'!B4237</f>
        <v>365-XL</v>
      </c>
      <c r="C5584" s="18" t="str">
        <f aca="false">'SALES Raw'!H4237</f>
        <v>365  X-Lטבעת אלסטית מסיליקון</v>
      </c>
      <c r="D5584" s="19" t="n">
        <f aca="false">'SALES Raw'!C4237</f>
        <v>10</v>
      </c>
      <c r="E5584" s="19" t="n">
        <f aca="false">'SALES Raw'!D4237</f>
        <v>41.41</v>
      </c>
      <c r="F5584" s="19" t="n">
        <f aca="false">'SALES Raw'!E4237*$H$4</f>
        <v>0</v>
      </c>
      <c r="G5584" s="19" t="n">
        <f aca="false">'SALES Raw'!F4237*$H$4</f>
        <v>0</v>
      </c>
      <c r="H5584" s="18" t="str">
        <f aca="false">'SALES Raw'!A4237</f>
        <v>216 - Max Konnaris CYPRUS</v>
      </c>
    </row>
    <row r="5585" customFormat="false" ht="15" hidden="false" customHeight="false" outlineLevel="0" collapsed="false">
      <c r="A5585" s="18" t="n">
        <f aca="false">'SALES Raw'!G4239</f>
        <v>4413371</v>
      </c>
      <c r="B5585" s="18" t="str">
        <f aca="false">'SALES Raw'!B4239</f>
        <v>3675 0</v>
      </c>
      <c r="C5585" s="18" t="str">
        <f aca="false">'SALES Raw'!H4239</f>
        <v>3675    מגן זרת מסיליקון</v>
      </c>
      <c r="D5585" s="19" t="n">
        <f aca="false">'SALES Raw'!C4239</f>
        <v>10</v>
      </c>
      <c r="E5585" s="19" t="n">
        <f aca="false">'SALES Raw'!D4239</f>
        <v>148.02</v>
      </c>
      <c r="F5585" s="19" t="n">
        <f aca="false">'SALES Raw'!E4239*$H$4</f>
        <v>0</v>
      </c>
      <c r="G5585" s="19" t="n">
        <f aca="false">'SALES Raw'!F4239*$H$4</f>
        <v>0</v>
      </c>
      <c r="H5585" s="18" t="str">
        <f aca="false">'SALES Raw'!A4239</f>
        <v>216 - Max Konnaris CYPRUS</v>
      </c>
    </row>
    <row r="5586" customFormat="false" ht="15" hidden="false" customHeight="false" outlineLevel="0" collapsed="false">
      <c r="A5586" s="18" t="n">
        <f aca="false">'SALES Raw'!G4243</f>
        <v>4420003</v>
      </c>
      <c r="B5586" s="18" t="str">
        <f aca="false">'SALES Raw'!B4243</f>
        <v>374 0</v>
      </c>
      <c r="C5586" s="18" t="str">
        <f aca="false">'SALES Raw'!H4243</f>
        <v>374 רפידת בולמת זעזועים -זוג</v>
      </c>
      <c r="D5586" s="19" t="n">
        <f aca="false">'SALES Raw'!C4243</f>
        <v>50</v>
      </c>
      <c r="E5586" s="19" t="n">
        <f aca="false">'SALES Raw'!D4243</f>
        <v>467.42</v>
      </c>
      <c r="F5586" s="19" t="n">
        <f aca="false">'SALES Raw'!E4243*$H$4</f>
        <v>0</v>
      </c>
      <c r="G5586" s="19" t="n">
        <f aca="false">'SALES Raw'!F4243*$H$4</f>
        <v>0</v>
      </c>
      <c r="H5586" s="18" t="str">
        <f aca="false">'SALES Raw'!A4243</f>
        <v>216 - Max Konnaris CYPRUS</v>
      </c>
    </row>
    <row r="5587" customFormat="false" ht="15" hidden="false" customHeight="false" outlineLevel="0" collapsed="false">
      <c r="A5587" s="18" t="n">
        <f aca="false">'SALES Raw'!G4249</f>
        <v>4413523</v>
      </c>
      <c r="B5587" s="18" t="str">
        <f aca="false">'SALES Raw'!B4249</f>
        <v>379COM-35-38</v>
      </c>
      <c r="C5587" s="18" t="str">
        <f aca="false">'SALES Raw'!H4249</f>
        <v>35-38 מדרסי אפיק ג'ל נוחות</v>
      </c>
      <c r="D5587" s="19" t="n">
        <f aca="false">'SALES Raw'!C4249</f>
        <v>35</v>
      </c>
      <c r="E5587" s="19" t="n">
        <f aca="false">'SALES Raw'!D4249</f>
        <v>1637.11</v>
      </c>
      <c r="F5587" s="19" t="n">
        <f aca="false">'SALES Raw'!E4249*$H$4</f>
        <v>0</v>
      </c>
      <c r="G5587" s="19" t="n">
        <f aca="false">'SALES Raw'!F4249*$H$4</f>
        <v>0</v>
      </c>
      <c r="H5587" s="18" t="str">
        <f aca="false">'SALES Raw'!A4249</f>
        <v>216 - Max Konnaris CYPRUS</v>
      </c>
    </row>
    <row r="5588" customFormat="false" ht="15" hidden="false" customHeight="false" outlineLevel="0" collapsed="false">
      <c r="A5588" s="18" t="n">
        <f aca="false">'SALES Raw'!G4250</f>
        <v>4413524</v>
      </c>
      <c r="B5588" s="18" t="str">
        <f aca="false">'SALES Raw'!B4250</f>
        <v>379COM-39-42</v>
      </c>
      <c r="C5588" s="18" t="str">
        <f aca="false">'SALES Raw'!H4250</f>
        <v>39-42 מדרסי אפיק ג'ל נוחות</v>
      </c>
      <c r="D5588" s="19" t="n">
        <f aca="false">'SALES Raw'!C4250</f>
        <v>44</v>
      </c>
      <c r="E5588" s="19" t="n">
        <f aca="false">'SALES Raw'!D4250</f>
        <v>2094.75</v>
      </c>
      <c r="F5588" s="19" t="n">
        <f aca="false">'SALES Raw'!E4250*$H$4</f>
        <v>0</v>
      </c>
      <c r="G5588" s="19" t="n">
        <f aca="false">'SALES Raw'!F4250*$H$4</f>
        <v>0</v>
      </c>
      <c r="H5588" s="18" t="str">
        <f aca="false">'SALES Raw'!A4250</f>
        <v>216 - Max Konnaris CYPRUS</v>
      </c>
    </row>
    <row r="5589" customFormat="false" ht="15" hidden="false" customHeight="false" outlineLevel="0" collapsed="false">
      <c r="A5589" s="18" t="n">
        <f aca="false">'SALES Raw'!G4251</f>
        <v>4413525</v>
      </c>
      <c r="B5589" s="18" t="str">
        <f aca="false">'SALES Raw'!B4251</f>
        <v>379COM-43-46</v>
      </c>
      <c r="C5589" s="18" t="str">
        <f aca="false">'SALES Raw'!H4251</f>
        <v>43-47 מדרסי אפיק ג'ל נוחות</v>
      </c>
      <c r="D5589" s="19" t="n">
        <f aca="false">'SALES Raw'!C4251</f>
        <v>64</v>
      </c>
      <c r="E5589" s="19" t="n">
        <f aca="false">'SALES Raw'!D4251</f>
        <v>2987.56</v>
      </c>
      <c r="F5589" s="19" t="n">
        <f aca="false">'SALES Raw'!E4251*$H$4</f>
        <v>0</v>
      </c>
      <c r="G5589" s="19" t="n">
        <f aca="false">'SALES Raw'!F4251*$H$4</f>
        <v>0</v>
      </c>
      <c r="H5589" s="18" t="str">
        <f aca="false">'SALES Raw'!A4251</f>
        <v>216 - Max Konnaris CYPRUS</v>
      </c>
    </row>
    <row r="5590" customFormat="false" ht="15" hidden="false" customHeight="false" outlineLevel="0" collapsed="false">
      <c r="A5590" s="18" t="n">
        <f aca="false">'SALES Raw'!G4252</f>
        <v>4413520</v>
      </c>
      <c r="B5590" s="18" t="str">
        <f aca="false">'SALES Raw'!B4252</f>
        <v>379MSP-35-38</v>
      </c>
      <c r="C5590" s="18" t="str">
        <f aca="false">'SALES Raw'!H4252</f>
        <v>מדרסי אפיק ג'ל מולט.ספורט35-38</v>
      </c>
      <c r="D5590" s="19" t="n">
        <f aca="false">'SALES Raw'!C4252</f>
        <v>34</v>
      </c>
      <c r="E5590" s="19" t="n">
        <f aca="false">'SALES Raw'!D4252</f>
        <v>1637.07</v>
      </c>
      <c r="F5590" s="19" t="n">
        <f aca="false">'SALES Raw'!E4252*$H$4</f>
        <v>0</v>
      </c>
      <c r="G5590" s="19" t="n">
        <f aca="false">'SALES Raw'!F4252*$H$4</f>
        <v>0</v>
      </c>
      <c r="H5590" s="18" t="str">
        <f aca="false">'SALES Raw'!A4252</f>
        <v>216 - Max Konnaris CYPRUS</v>
      </c>
    </row>
    <row r="5591" customFormat="false" ht="15" hidden="false" customHeight="false" outlineLevel="0" collapsed="false">
      <c r="A5591" s="18" t="n">
        <f aca="false">'SALES Raw'!G4253</f>
        <v>4413521</v>
      </c>
      <c r="B5591" s="18" t="str">
        <f aca="false">'SALES Raw'!B4253</f>
        <v>379MSP-39-42</v>
      </c>
      <c r="C5591" s="18" t="str">
        <f aca="false">'SALES Raw'!H4253</f>
        <v>מדרסי אפיק ג'ל מולטי ספור39-42</v>
      </c>
      <c r="D5591" s="19" t="n">
        <f aca="false">'SALES Raw'!C4253</f>
        <v>54</v>
      </c>
      <c r="E5591" s="19" t="n">
        <f aca="false">'SALES Raw'!D4253</f>
        <v>2541.16</v>
      </c>
      <c r="F5591" s="19" t="n">
        <f aca="false">'SALES Raw'!E4253*$H$4</f>
        <v>0</v>
      </c>
      <c r="G5591" s="19" t="n">
        <f aca="false">'SALES Raw'!F4253*$H$4</f>
        <v>0</v>
      </c>
      <c r="H5591" s="18" t="str">
        <f aca="false">'SALES Raw'!A4253</f>
        <v>216 - Max Konnaris CYPRUS</v>
      </c>
    </row>
    <row r="5592" customFormat="false" ht="15" hidden="false" customHeight="false" outlineLevel="0" collapsed="false">
      <c r="A5592" s="18" t="n">
        <f aca="false">'SALES Raw'!G4254</f>
        <v>4413522</v>
      </c>
      <c r="B5592" s="18" t="str">
        <f aca="false">'SALES Raw'!B4254</f>
        <v>379MSP-43-46</v>
      </c>
      <c r="C5592" s="18" t="str">
        <f aca="false">'SALES Raw'!H4254</f>
        <v>מדרסי אפיק ג'ל מולט.ספורט43-47</v>
      </c>
      <c r="D5592" s="19" t="n">
        <f aca="false">'SALES Raw'!C4254</f>
        <v>44</v>
      </c>
      <c r="E5592" s="19" t="n">
        <f aca="false">'SALES Raw'!D4254</f>
        <v>2094.75</v>
      </c>
      <c r="F5592" s="19" t="n">
        <f aca="false">'SALES Raw'!E4254*$H$4</f>
        <v>0</v>
      </c>
      <c r="G5592" s="19" t="n">
        <f aca="false">'SALES Raw'!F4254*$H$4</f>
        <v>0</v>
      </c>
      <c r="H5592" s="18" t="str">
        <f aca="false">'SALES Raw'!A4254</f>
        <v>216 - Max Konnaris CYPRUS</v>
      </c>
    </row>
    <row r="5593" customFormat="false" ht="15" hidden="false" customHeight="false" outlineLevel="0" collapsed="false">
      <c r="A5593" s="18" t="n">
        <f aca="false">'SALES Raw'!G4255</f>
        <v>4413527</v>
      </c>
      <c r="B5593" s="18" t="str">
        <f aca="false">'SALES Raw'!B4255</f>
        <v>379WRK-35-38</v>
      </c>
      <c r="C5593" s="18" t="str">
        <f aca="false">'SALES Raw'!H4255</f>
        <v>35-38 מדרסי אפיק ג'ל עבודה</v>
      </c>
      <c r="D5593" s="19" t="n">
        <f aca="false">'SALES Raw'!C4255</f>
        <v>44</v>
      </c>
      <c r="E5593" s="19" t="n">
        <f aca="false">'SALES Raw'!D4255</f>
        <v>2083.48</v>
      </c>
      <c r="F5593" s="19" t="n">
        <f aca="false">'SALES Raw'!E4255*$H$4</f>
        <v>0</v>
      </c>
      <c r="G5593" s="19" t="n">
        <f aca="false">'SALES Raw'!F4255*$H$4</f>
        <v>0</v>
      </c>
      <c r="H5593" s="18" t="str">
        <f aca="false">'SALES Raw'!A4255</f>
        <v>216 - Max Konnaris CYPRUS</v>
      </c>
    </row>
    <row r="5594" customFormat="false" ht="15" hidden="false" customHeight="false" outlineLevel="0" collapsed="false">
      <c r="A5594" s="18" t="n">
        <f aca="false">'SALES Raw'!G4256</f>
        <v>4413528</v>
      </c>
      <c r="B5594" s="18" t="str">
        <f aca="false">'SALES Raw'!B4256</f>
        <v>379WRK-39-42</v>
      </c>
      <c r="C5594" s="18" t="str">
        <f aca="false">'SALES Raw'!H4256</f>
        <v>39-42 מדרסי אפיק ג'ל עבודה</v>
      </c>
      <c r="D5594" s="19" t="n">
        <f aca="false">'SALES Raw'!C4256</f>
        <v>65</v>
      </c>
      <c r="E5594" s="19" t="n">
        <f aca="false">'SALES Raw'!D4256</f>
        <v>2987.6</v>
      </c>
      <c r="F5594" s="19" t="n">
        <f aca="false">'SALES Raw'!E4256*$H$4</f>
        <v>0</v>
      </c>
      <c r="G5594" s="19" t="n">
        <f aca="false">'SALES Raw'!F4256*$H$4</f>
        <v>0</v>
      </c>
      <c r="H5594" s="18" t="str">
        <f aca="false">'SALES Raw'!A4256</f>
        <v>216 - Max Konnaris CYPRUS</v>
      </c>
    </row>
    <row r="5595" customFormat="false" ht="15" hidden="false" customHeight="false" outlineLevel="0" collapsed="false">
      <c r="A5595" s="18" t="n">
        <f aca="false">'SALES Raw'!G4257</f>
        <v>4413529</v>
      </c>
      <c r="B5595" s="18" t="str">
        <f aca="false">'SALES Raw'!B4257</f>
        <v>379WRK-43-46</v>
      </c>
      <c r="C5595" s="18" t="str">
        <f aca="false">'SALES Raw'!H4257</f>
        <v>43-47 מדרסי אפיק ג'ל עבודה</v>
      </c>
      <c r="D5595" s="19" t="n">
        <f aca="false">'SALES Raw'!C4257</f>
        <v>83</v>
      </c>
      <c r="E5595" s="19" t="n">
        <f aca="false">'SALES Raw'!D4257</f>
        <v>3823.33</v>
      </c>
      <c r="F5595" s="19" t="n">
        <f aca="false">'SALES Raw'!E4257*$H$4</f>
        <v>0</v>
      </c>
      <c r="G5595" s="19" t="n">
        <f aca="false">'SALES Raw'!F4257*$H$4</f>
        <v>0</v>
      </c>
      <c r="H5595" s="18" t="str">
        <f aca="false">'SALES Raw'!A4257</f>
        <v>216 - Max Konnaris CYPRUS</v>
      </c>
    </row>
    <row r="5596" customFormat="false" ht="15" hidden="false" customHeight="false" outlineLevel="0" collapsed="false">
      <c r="A5596" s="18" t="n">
        <f aca="false">'SALES Raw'!G4259</f>
        <v>4415299</v>
      </c>
      <c r="B5596" s="18" t="str">
        <f aca="false">'SALES Raw'!B4259</f>
        <v>388BR 0</v>
      </c>
      <c r="C5596" s="18" t="str">
        <f aca="false">'SALES Raw'!H4259</f>
        <v>388B L סד לילה שחור לבוהן ימין</v>
      </c>
      <c r="D5596" s="19" t="n">
        <f aca="false">'SALES Raw'!C4259</f>
        <v>34</v>
      </c>
      <c r="E5596" s="19" t="n">
        <f aca="false">'SALES Raw'!D4259</f>
        <v>1862.47</v>
      </c>
      <c r="F5596" s="19" t="n">
        <f aca="false">'SALES Raw'!E4259*$H$4</f>
        <v>0</v>
      </c>
      <c r="G5596" s="19" t="n">
        <f aca="false">'SALES Raw'!F4259*$H$4</f>
        <v>0</v>
      </c>
      <c r="H5596" s="18" t="str">
        <f aca="false">'SALES Raw'!A4259</f>
        <v>216 - Max Konnaris CYPRUS</v>
      </c>
    </row>
    <row r="5597" customFormat="false" ht="15" hidden="false" customHeight="false" outlineLevel="0" collapsed="false">
      <c r="A5597" s="18" t="n">
        <f aca="false">'SALES Raw'!G4260</f>
        <v>4403005</v>
      </c>
      <c r="B5597" s="18" t="str">
        <f aca="false">'SALES Raw'!B4260</f>
        <v>390G-43-46</v>
      </c>
      <c r="C5597" s="18" t="str">
        <f aca="false">'SALES Raw'!H4260</f>
        <v>G390.43-46 גרבי כסף לסכרת מידה</v>
      </c>
      <c r="D5597" s="19" t="n">
        <f aca="false">'SALES Raw'!C4260</f>
        <v>10</v>
      </c>
      <c r="E5597" s="19" t="n">
        <f aca="false">'SALES Raw'!D4260</f>
        <v>263.48</v>
      </c>
      <c r="F5597" s="19" t="n">
        <f aca="false">'SALES Raw'!E4260*$H$4</f>
        <v>0</v>
      </c>
      <c r="G5597" s="19" t="n">
        <f aca="false">'SALES Raw'!F4260*$H$4</f>
        <v>0</v>
      </c>
      <c r="H5597" s="18" t="str">
        <f aca="false">'SALES Raw'!A4260</f>
        <v>216 - Max Konnaris CYPRUS</v>
      </c>
    </row>
    <row r="5598" customFormat="false" ht="15" hidden="false" customHeight="false" outlineLevel="0" collapsed="false">
      <c r="A5598" s="18" t="n">
        <f aca="false">'SALES Raw'!G4261</f>
        <v>4403006</v>
      </c>
      <c r="B5598" s="18" t="str">
        <f aca="false">'SALES Raw'!B4261</f>
        <v>390W-35-38</v>
      </c>
      <c r="C5598" s="18" t="str">
        <f aca="false">'SALES Raw'!H4261</f>
        <v>390W גרב כסף לסכרתיים לבן35-38</v>
      </c>
      <c r="D5598" s="19" t="n">
        <f aca="false">'SALES Raw'!C4261</f>
        <v>10</v>
      </c>
      <c r="E5598" s="19" t="n">
        <f aca="false">'SALES Raw'!D4261</f>
        <v>263.48</v>
      </c>
      <c r="F5598" s="19" t="n">
        <f aca="false">'SALES Raw'!E4261*$H$4</f>
        <v>0</v>
      </c>
      <c r="G5598" s="19" t="n">
        <f aca="false">'SALES Raw'!F4261*$H$4</f>
        <v>0</v>
      </c>
      <c r="H5598" s="18" t="str">
        <f aca="false">'SALES Raw'!A4261</f>
        <v>216 - Max Konnaris CYPRUS</v>
      </c>
    </row>
    <row r="5599" customFormat="false" ht="15" hidden="false" customHeight="false" outlineLevel="0" collapsed="false">
      <c r="A5599" s="18" t="n">
        <f aca="false">'SALES Raw'!G4262</f>
        <v>4403008</v>
      </c>
      <c r="B5599" s="18" t="str">
        <f aca="false">'SALES Raw'!B4262</f>
        <v>390W-43-46</v>
      </c>
      <c r="C5599" s="18" t="str">
        <f aca="false">'SALES Raw'!H4262</f>
        <v>390W גרב.כסף לסכרתיים לבן43-46</v>
      </c>
      <c r="D5599" s="19" t="n">
        <f aca="false">'SALES Raw'!C4262</f>
        <v>10</v>
      </c>
      <c r="E5599" s="19" t="n">
        <f aca="false">'SALES Raw'!D4262</f>
        <v>263.48</v>
      </c>
      <c r="F5599" s="19" t="n">
        <f aca="false">'SALES Raw'!E4262*$H$4</f>
        <v>0</v>
      </c>
      <c r="G5599" s="19" t="n">
        <f aca="false">'SALES Raw'!F4262*$H$4</f>
        <v>0</v>
      </c>
      <c r="H5599" s="18" t="str">
        <f aca="false">'SALES Raw'!A4262</f>
        <v>216 - Max Konnaris CYPRUS</v>
      </c>
    </row>
    <row r="5600" customFormat="false" ht="15" hidden="false" customHeight="false" outlineLevel="0" collapsed="false">
      <c r="A5600" s="18" t="str">
        <f aca="false">'SALES Raw'!G4263</f>
        <v/>
      </c>
      <c r="B5600" s="18" t="str">
        <f aca="false">'SALES Raw'!B4263</f>
        <v>391W-35-38</v>
      </c>
      <c r="C5600" s="18" t="str">
        <f aca="false">'SALES Raw'!H4263</f>
        <v>391W-35-38</v>
      </c>
      <c r="D5600" s="19" t="n">
        <f aca="false">'SALES Raw'!C4263</f>
        <v>1</v>
      </c>
      <c r="E5600" s="19" t="n">
        <f aca="false">'SALES Raw'!D4263</f>
        <v>0.04</v>
      </c>
      <c r="F5600" s="19" t="n">
        <f aca="false">'SALES Raw'!E4263*$H$4</f>
        <v>0</v>
      </c>
      <c r="G5600" s="19" t="n">
        <f aca="false">'SALES Raw'!F4263*$H$4</f>
        <v>0</v>
      </c>
      <c r="H5600" s="18" t="str">
        <f aca="false">'SALES Raw'!A4263</f>
        <v>216 - Max Konnaris CYPRUS</v>
      </c>
    </row>
    <row r="5601" customFormat="false" ht="15" hidden="false" customHeight="false" outlineLevel="0" collapsed="false">
      <c r="A5601" s="18" t="n">
        <f aca="false">'SALES Raw'!G4264</f>
        <v>4403017</v>
      </c>
      <c r="B5601" s="18" t="str">
        <f aca="false">'SALES Raw'!B4264</f>
        <v>394B-35-38</v>
      </c>
      <c r="C5601" s="18" t="str">
        <f aca="false">'SALES Raw'!H4264</f>
        <v>394B גרב.כסף לסכרתים שחור35-38</v>
      </c>
      <c r="D5601" s="19" t="n">
        <f aca="false">'SALES Raw'!C4264</f>
        <v>10</v>
      </c>
      <c r="E5601" s="19" t="n">
        <f aca="false">'SALES Raw'!D4264</f>
        <v>225.92</v>
      </c>
      <c r="F5601" s="19" t="n">
        <f aca="false">'SALES Raw'!E4264*$H$4</f>
        <v>0</v>
      </c>
      <c r="G5601" s="19" t="n">
        <f aca="false">'SALES Raw'!F4264*$H$4</f>
        <v>0</v>
      </c>
      <c r="H5601" s="18" t="str">
        <f aca="false">'SALES Raw'!A4264</f>
        <v>216 - Max Konnaris CYPRUS</v>
      </c>
    </row>
    <row r="5602" customFormat="false" ht="15" hidden="false" customHeight="false" outlineLevel="0" collapsed="false">
      <c r="A5602" s="18" t="n">
        <f aca="false">'SALES Raw'!G4265</f>
        <v>4403018</v>
      </c>
      <c r="B5602" s="18" t="str">
        <f aca="false">'SALES Raw'!B4265</f>
        <v>394B-39-42</v>
      </c>
      <c r="C5602" s="18" t="str">
        <f aca="false">'SALES Raw'!H4265</f>
        <v>394B גרב.כסף לסכרתים שחור39-42</v>
      </c>
      <c r="D5602" s="19" t="n">
        <f aca="false">'SALES Raw'!C4265</f>
        <v>10</v>
      </c>
      <c r="E5602" s="19" t="n">
        <f aca="false">'SALES Raw'!D4265</f>
        <v>225.92</v>
      </c>
      <c r="F5602" s="19" t="n">
        <f aca="false">'SALES Raw'!E4265*$H$4</f>
        <v>0</v>
      </c>
      <c r="G5602" s="19" t="n">
        <f aca="false">'SALES Raw'!F4265*$H$4</f>
        <v>0</v>
      </c>
      <c r="H5602" s="18" t="str">
        <f aca="false">'SALES Raw'!A4265</f>
        <v>216 - Max Konnaris CYPRUS</v>
      </c>
    </row>
    <row r="5603" customFormat="false" ht="15" hidden="false" customHeight="false" outlineLevel="0" collapsed="false">
      <c r="A5603" s="18" t="n">
        <f aca="false">'SALES Raw'!G4266</f>
        <v>4403019</v>
      </c>
      <c r="B5603" s="18" t="str">
        <f aca="false">'SALES Raw'!B4266</f>
        <v>394B-43-46</v>
      </c>
      <c r="C5603" s="18" t="str">
        <f aca="false">'SALES Raw'!H4266</f>
        <v>394B גרב.כסף לסכרתים שחור43-46</v>
      </c>
      <c r="D5603" s="19" t="n">
        <f aca="false">'SALES Raw'!C4266</f>
        <v>10</v>
      </c>
      <c r="E5603" s="19" t="n">
        <f aca="false">'SALES Raw'!D4266</f>
        <v>225.92</v>
      </c>
      <c r="F5603" s="19" t="n">
        <f aca="false">'SALES Raw'!E4266*$H$4</f>
        <v>0</v>
      </c>
      <c r="G5603" s="19" t="n">
        <f aca="false">'SALES Raw'!F4266*$H$4</f>
        <v>0</v>
      </c>
      <c r="H5603" s="18" t="str">
        <f aca="false">'SALES Raw'!A4266</f>
        <v>216 - Max Konnaris CYPRUS</v>
      </c>
    </row>
    <row r="5604" customFormat="false" ht="15" hidden="false" customHeight="false" outlineLevel="0" collapsed="false">
      <c r="A5604" s="18" t="n">
        <f aca="false">'SALES Raw'!G4267</f>
        <v>4403045</v>
      </c>
      <c r="B5604" s="18" t="str">
        <f aca="false">'SALES Raw'!B4267</f>
        <v>395B-43-46</v>
      </c>
      <c r="C5604" s="18" t="str">
        <f aca="false">'SALES Raw'!H4267</f>
        <v>395B גרבי קיץ אנטי בקטריא43-46</v>
      </c>
      <c r="D5604" s="19" t="n">
        <f aca="false">'SALES Raw'!C4267</f>
        <v>1</v>
      </c>
      <c r="E5604" s="19" t="n">
        <f aca="false">'SALES Raw'!D4267</f>
        <v>0.04</v>
      </c>
      <c r="F5604" s="19" t="n">
        <f aca="false">'SALES Raw'!E4267*$H$4</f>
        <v>0</v>
      </c>
      <c r="G5604" s="19" t="n">
        <f aca="false">'SALES Raw'!F4267*$H$4</f>
        <v>0</v>
      </c>
      <c r="H5604" s="18" t="str">
        <f aca="false">'SALES Raw'!A4267</f>
        <v>216 - Max Konnaris CYPRUS</v>
      </c>
    </row>
    <row r="5605" customFormat="false" ht="15" hidden="false" customHeight="false" outlineLevel="0" collapsed="false">
      <c r="A5605" s="18" t="str">
        <f aca="false">'SALES Raw'!G4268</f>
        <v/>
      </c>
      <c r="B5605" s="18" t="str">
        <f aca="false">'SALES Raw'!B4268</f>
        <v>397-35-38</v>
      </c>
      <c r="C5605" s="18" t="str">
        <f aca="false">'SALES Raw'!H4268</f>
        <v>397-35-38</v>
      </c>
      <c r="D5605" s="19" t="n">
        <f aca="false">'SALES Raw'!C4268</f>
        <v>20</v>
      </c>
      <c r="E5605" s="19" t="n">
        <f aca="false">'SALES Raw'!D4268</f>
        <v>654.27</v>
      </c>
      <c r="F5605" s="19" t="n">
        <f aca="false">'SALES Raw'!E4268*$H$4</f>
        <v>0</v>
      </c>
      <c r="G5605" s="19" t="n">
        <f aca="false">'SALES Raw'!F4268*$H$4</f>
        <v>0</v>
      </c>
      <c r="H5605" s="18" t="str">
        <f aca="false">'SALES Raw'!A4268</f>
        <v>216 - Max Konnaris CYPRUS</v>
      </c>
    </row>
    <row r="5606" customFormat="false" ht="15" hidden="false" customHeight="false" outlineLevel="0" collapsed="false">
      <c r="A5606" s="18" t="n">
        <f aca="false">'SALES Raw'!G4269</f>
        <v>4403029</v>
      </c>
      <c r="B5606" s="18" t="str">
        <f aca="false">'SALES Raw'!B4269</f>
        <v>397-39-42</v>
      </c>
      <c r="C5606" s="18" t="str">
        <f aca="false">'SALES Raw'!H4269</f>
        <v>397 39-42 גרבי טיסה מידה</v>
      </c>
      <c r="D5606" s="19" t="n">
        <f aca="false">'SALES Raw'!C4269</f>
        <v>16</v>
      </c>
      <c r="E5606" s="19" t="n">
        <f aca="false">'SALES Raw'!D4269</f>
        <v>528.07</v>
      </c>
      <c r="F5606" s="19" t="n">
        <f aca="false">'SALES Raw'!E4269*$H$4</f>
        <v>0</v>
      </c>
      <c r="G5606" s="19" t="n">
        <f aca="false">'SALES Raw'!F4269*$H$4</f>
        <v>0</v>
      </c>
      <c r="H5606" s="18" t="str">
        <f aca="false">'SALES Raw'!A4269</f>
        <v>216 - Max Konnaris CYPRUS</v>
      </c>
    </row>
    <row r="5607" customFormat="false" ht="15" hidden="false" customHeight="false" outlineLevel="0" collapsed="false">
      <c r="A5607" s="18" t="str">
        <f aca="false">'SALES Raw'!G4270</f>
        <v/>
      </c>
      <c r="B5607" s="18" t="str">
        <f aca="false">'SALES Raw'!B4270</f>
        <v>397-43-46</v>
      </c>
      <c r="C5607" s="18" t="str">
        <f aca="false">'SALES Raw'!H4270</f>
        <v>397-43-46</v>
      </c>
      <c r="D5607" s="19" t="n">
        <f aca="false">'SALES Raw'!C4270</f>
        <v>10</v>
      </c>
      <c r="E5607" s="19" t="n">
        <f aca="false">'SALES Raw'!D4270</f>
        <v>315.51</v>
      </c>
      <c r="F5607" s="19" t="n">
        <f aca="false">'SALES Raw'!E4270*$H$4</f>
        <v>0</v>
      </c>
      <c r="G5607" s="19" t="n">
        <f aca="false">'SALES Raw'!F4270*$H$4</f>
        <v>0</v>
      </c>
      <c r="H5607" s="18" t="str">
        <f aca="false">'SALES Raw'!A4270</f>
        <v>216 - Max Konnaris CYPRUS</v>
      </c>
    </row>
    <row r="5608" customFormat="false" ht="15" hidden="false" customHeight="false" outlineLevel="0" collapsed="false">
      <c r="A5608" s="18" t="n">
        <f aca="false">'SALES Raw'!G4276</f>
        <v>4413092</v>
      </c>
      <c r="B5608" s="18" t="str">
        <f aca="false">'SALES Raw'!B4276</f>
        <v>45 L</v>
      </c>
      <c r="C5608" s="18" t="str">
        <f aca="false">'SALES Raw'!H4276</f>
        <v>45 L מגן ברך לבן</v>
      </c>
      <c r="D5608" s="19" t="n">
        <f aca="false">'SALES Raw'!C4276</f>
        <v>9</v>
      </c>
      <c r="E5608" s="19" t="n">
        <f aca="false">'SALES Raw'!D4276</f>
        <v>105.96</v>
      </c>
      <c r="F5608" s="19" t="n">
        <f aca="false">'SALES Raw'!E4276*$H$4</f>
        <v>0</v>
      </c>
      <c r="G5608" s="19" t="n">
        <f aca="false">'SALES Raw'!F4276*$H$4</f>
        <v>0</v>
      </c>
      <c r="H5608" s="18" t="str">
        <f aca="false">'SALES Raw'!A4276</f>
        <v>216 - Max Konnaris CYPRUS</v>
      </c>
    </row>
    <row r="5609" customFormat="false" ht="15" hidden="false" customHeight="false" outlineLevel="0" collapsed="false">
      <c r="A5609" s="18" t="n">
        <f aca="false">'SALES Raw'!G4279</f>
        <v>4413095</v>
      </c>
      <c r="B5609" s="18" t="str">
        <f aca="false">'SALES Raw'!B4279</f>
        <v>45 XL</v>
      </c>
      <c r="C5609" s="18" t="str">
        <f aca="false">'SALES Raw'!H4279</f>
        <v>45 XL מגן ברך לבן</v>
      </c>
      <c r="D5609" s="19" t="n">
        <f aca="false">'SALES Raw'!C4279</f>
        <v>3</v>
      </c>
      <c r="E5609" s="19" t="n">
        <f aca="false">'SALES Raw'!D4279</f>
        <v>34.47</v>
      </c>
      <c r="F5609" s="19" t="n">
        <f aca="false">'SALES Raw'!E4279*$H$4</f>
        <v>0</v>
      </c>
      <c r="G5609" s="19" t="n">
        <f aca="false">'SALES Raw'!F4279*$H$4</f>
        <v>0</v>
      </c>
      <c r="H5609" s="18" t="str">
        <f aca="false">'SALES Raw'!A4279</f>
        <v>216 - Max Konnaris CYPRUS</v>
      </c>
    </row>
    <row r="5610" customFormat="false" ht="15" hidden="false" customHeight="false" outlineLevel="0" collapsed="false">
      <c r="A5610" s="18" t="n">
        <f aca="false">'SALES Raw'!G4280</f>
        <v>4413497</v>
      </c>
      <c r="B5610" s="18" t="str">
        <f aca="false">'SALES Raw'!B4280</f>
        <v>45B M</v>
      </c>
      <c r="C5610" s="18" t="str">
        <f aca="false">'SALES Raw'!H4280</f>
        <v>45B M מגן ברך שחור</v>
      </c>
      <c r="D5610" s="19" t="n">
        <f aca="false">'SALES Raw'!C4280</f>
        <v>12</v>
      </c>
      <c r="E5610" s="19" t="n">
        <f aca="false">'SALES Raw'!D4280</f>
        <v>152.66</v>
      </c>
      <c r="F5610" s="19" t="n">
        <f aca="false">'SALES Raw'!E4280*$H$4</f>
        <v>0</v>
      </c>
      <c r="G5610" s="19" t="n">
        <f aca="false">'SALES Raw'!F4280*$H$4</f>
        <v>0</v>
      </c>
      <c r="H5610" s="18" t="str">
        <f aca="false">'SALES Raw'!A4280</f>
        <v>216 - Max Konnaris CYPRUS</v>
      </c>
    </row>
    <row r="5611" customFormat="false" ht="15" hidden="false" customHeight="false" outlineLevel="0" collapsed="false">
      <c r="A5611" s="18" t="n">
        <f aca="false">'SALES Raw'!G4281</f>
        <v>4413498</v>
      </c>
      <c r="B5611" s="18" t="str">
        <f aca="false">'SALES Raw'!B4281</f>
        <v>45B S</v>
      </c>
      <c r="C5611" s="18" t="str">
        <f aca="false">'SALES Raw'!H4281</f>
        <v>45B S מגן ברך שחור</v>
      </c>
      <c r="D5611" s="19" t="n">
        <f aca="false">'SALES Raw'!C4281</f>
        <v>6</v>
      </c>
      <c r="E5611" s="19" t="n">
        <f aca="false">'SALES Raw'!D4281</f>
        <v>71.8</v>
      </c>
      <c r="F5611" s="19" t="n">
        <f aca="false">'SALES Raw'!E4281*$H$4</f>
        <v>0</v>
      </c>
      <c r="G5611" s="19" t="n">
        <f aca="false">'SALES Raw'!F4281*$H$4</f>
        <v>0</v>
      </c>
      <c r="H5611" s="18" t="str">
        <f aca="false">'SALES Raw'!A4281</f>
        <v>216 - Max Konnaris CYPRUS</v>
      </c>
    </row>
    <row r="5612" customFormat="false" ht="15" hidden="false" customHeight="false" outlineLevel="0" collapsed="false">
      <c r="A5612" s="18" t="n">
        <f aca="false">'SALES Raw'!G4286</f>
        <v>4413103</v>
      </c>
      <c r="B5612" s="18" t="str">
        <f aca="false">'SALES Raw'!B4286</f>
        <v>45E M</v>
      </c>
      <c r="C5612" s="18" t="str">
        <f aca="false">'SALES Raw'!H4286</f>
        <v>45E Mמגן ברך ארוך לבן</v>
      </c>
      <c r="D5612" s="19" t="n">
        <f aca="false">'SALES Raw'!C4286</f>
        <v>6</v>
      </c>
      <c r="E5612" s="19" t="n">
        <f aca="false">'SALES Raw'!D4286</f>
        <v>82.81</v>
      </c>
      <c r="F5612" s="19" t="n">
        <f aca="false">'SALES Raw'!E4286*$H$4</f>
        <v>0</v>
      </c>
      <c r="G5612" s="19" t="n">
        <f aca="false">'SALES Raw'!F4286*$H$4</f>
        <v>0</v>
      </c>
      <c r="H5612" s="18" t="str">
        <f aca="false">'SALES Raw'!A4286</f>
        <v>216 - Max Konnaris CYPRUS</v>
      </c>
    </row>
    <row r="5613" customFormat="false" ht="15" hidden="false" customHeight="false" outlineLevel="0" collapsed="false">
      <c r="A5613" s="18" t="n">
        <f aca="false">'SALES Raw'!G4287</f>
        <v>4413396</v>
      </c>
      <c r="B5613" s="18" t="str">
        <f aca="false">'SALES Raw'!B4287</f>
        <v>45EC L</v>
      </c>
      <c r="C5613" s="18" t="str">
        <f aca="false">'SALES Raw'!H4287</f>
        <v>45EC L 'מגן ברך ארוך בז</v>
      </c>
      <c r="D5613" s="19" t="n">
        <f aca="false">'SALES Raw'!C4287</f>
        <v>9</v>
      </c>
      <c r="E5613" s="19" t="n">
        <f aca="false">'SALES Raw'!D4287</f>
        <v>114.86</v>
      </c>
      <c r="F5613" s="19" t="n">
        <f aca="false">'SALES Raw'!E4287*$H$4</f>
        <v>0</v>
      </c>
      <c r="G5613" s="19" t="n">
        <f aca="false">'SALES Raw'!F4287*$H$4</f>
        <v>0</v>
      </c>
      <c r="H5613" s="18" t="str">
        <f aca="false">'SALES Raw'!A4287</f>
        <v>216 - Max Konnaris CYPRUS</v>
      </c>
    </row>
    <row r="5614" customFormat="false" ht="15" hidden="false" customHeight="false" outlineLevel="0" collapsed="false">
      <c r="A5614" s="18" t="str">
        <f aca="false">'SALES Raw'!G4303</f>
        <v/>
      </c>
      <c r="B5614" s="18" t="str">
        <f aca="false">'SALES Raw'!B4303</f>
        <v>67812000</v>
      </c>
      <c r="C5614" s="18" t="str">
        <f aca="false">'SALES Raw'!H4303</f>
        <v>67812000</v>
      </c>
      <c r="D5614" s="19" t="n">
        <f aca="false">'SALES Raw'!C4303</f>
        <v>4</v>
      </c>
      <c r="E5614" s="19" t="n">
        <f aca="false">'SALES Raw'!D4303</f>
        <v>0.16</v>
      </c>
      <c r="F5614" s="19" t="n">
        <f aca="false">'SALES Raw'!E4303*$H$4</f>
        <v>0</v>
      </c>
      <c r="G5614" s="19" t="n">
        <f aca="false">'SALES Raw'!F4303*$H$4</f>
        <v>0</v>
      </c>
      <c r="H5614" s="18" t="str">
        <f aca="false">'SALES Raw'!A4303</f>
        <v>216 - Max Konnaris CYPRUS</v>
      </c>
    </row>
    <row r="5615" customFormat="false" ht="15" hidden="false" customHeight="false" outlineLevel="0" collapsed="false">
      <c r="A5615" s="18" t="str">
        <f aca="false">'SALES Raw'!G4304</f>
        <v/>
      </c>
      <c r="B5615" s="18" t="str">
        <f aca="false">'SALES Raw'!B4304</f>
        <v>67813000</v>
      </c>
      <c r="C5615" s="18" t="str">
        <f aca="false">'SALES Raw'!H4304</f>
        <v>67813000</v>
      </c>
      <c r="D5615" s="19" t="n">
        <f aca="false">'SALES Raw'!C4304</f>
        <v>6</v>
      </c>
      <c r="E5615" s="19" t="n">
        <f aca="false">'SALES Raw'!D4304</f>
        <v>0.23</v>
      </c>
      <c r="F5615" s="19" t="n">
        <f aca="false">'SALES Raw'!E4304*$H$4</f>
        <v>0</v>
      </c>
      <c r="G5615" s="19" t="n">
        <f aca="false">'SALES Raw'!F4304*$H$4</f>
        <v>0</v>
      </c>
      <c r="H5615" s="18" t="str">
        <f aca="false">'SALES Raw'!A4304</f>
        <v>216 - Max Konnaris CYPRUS</v>
      </c>
    </row>
    <row r="5616" customFormat="false" ht="15" hidden="false" customHeight="false" outlineLevel="0" collapsed="false">
      <c r="A5616" s="18" t="n">
        <f aca="false">'SALES Raw'!G4306</f>
        <v>4409011</v>
      </c>
      <c r="B5616" s="18" t="str">
        <f aca="false">'SALES Raw'!B4306</f>
        <v>804AT-B</v>
      </c>
      <c r="C5616" s="18" t="str">
        <f aca="false">'SALES Raw'!H4306</f>
        <v>804AT-B      טייפ חבישה לספורט</v>
      </c>
      <c r="D5616" s="19" t="n">
        <f aca="false">'SALES Raw'!C4306</f>
        <v>24</v>
      </c>
      <c r="E5616" s="19" t="n">
        <f aca="false">'SALES Raw'!D4306</f>
        <v>227.95</v>
      </c>
      <c r="F5616" s="19" t="n">
        <f aca="false">'SALES Raw'!E4306*$H$4</f>
        <v>0</v>
      </c>
      <c r="G5616" s="19" t="n">
        <f aca="false">'SALES Raw'!F4306*$H$4</f>
        <v>0</v>
      </c>
      <c r="H5616" s="18" t="str">
        <f aca="false">'SALES Raw'!A4306</f>
        <v>216 - Max Konnaris CYPRUS</v>
      </c>
    </row>
    <row r="5617" customFormat="false" ht="15" hidden="false" customHeight="false" outlineLevel="0" collapsed="false">
      <c r="A5617" s="18" t="n">
        <f aca="false">'SALES Raw'!G4307</f>
        <v>4409013</v>
      </c>
      <c r="B5617" s="18" t="str">
        <f aca="false">'SALES Raw'!B4307</f>
        <v>804AT-BL</v>
      </c>
      <c r="C5617" s="18" t="str">
        <f aca="false">'SALES Raw'!H4307</f>
        <v>804AT-BL     טייפ חבישה לספורט</v>
      </c>
      <c r="D5617" s="19" t="n">
        <f aca="false">'SALES Raw'!C4307</f>
        <v>24</v>
      </c>
      <c r="E5617" s="19" t="n">
        <f aca="false">'SALES Raw'!D4307</f>
        <v>227.95</v>
      </c>
      <c r="F5617" s="19" t="n">
        <f aca="false">'SALES Raw'!E4307*$H$4</f>
        <v>0</v>
      </c>
      <c r="G5617" s="19" t="n">
        <f aca="false">'SALES Raw'!F4307*$H$4</f>
        <v>0</v>
      </c>
      <c r="H5617" s="18" t="str">
        <f aca="false">'SALES Raw'!A4307</f>
        <v>216 - Max Konnaris CYPRUS</v>
      </c>
    </row>
    <row r="5618" customFormat="false" ht="15" hidden="false" customHeight="false" outlineLevel="0" collapsed="false">
      <c r="A5618" s="18" t="n">
        <f aca="false">'SALES Raw'!G4308</f>
        <v>4409012</v>
      </c>
      <c r="B5618" s="18" t="str">
        <f aca="false">'SALES Raw'!B4308</f>
        <v>804AT-C</v>
      </c>
      <c r="C5618" s="18" t="str">
        <f aca="false">'SALES Raw'!H4308</f>
        <v>804AT-C      טייפ חבישה לספורט</v>
      </c>
      <c r="D5618" s="19" t="n">
        <f aca="false">'SALES Raw'!C4308</f>
        <v>44</v>
      </c>
      <c r="E5618" s="19" t="n">
        <f aca="false">'SALES Raw'!D4308</f>
        <v>422.71</v>
      </c>
      <c r="F5618" s="19" t="n">
        <f aca="false">'SALES Raw'!E4308*$H$4</f>
        <v>0</v>
      </c>
      <c r="G5618" s="19" t="n">
        <f aca="false">'SALES Raw'!F4308*$H$4</f>
        <v>0</v>
      </c>
      <c r="H5618" s="18" t="str">
        <f aca="false">'SALES Raw'!A4308</f>
        <v>216 - Max Konnaris CYPRUS</v>
      </c>
    </row>
    <row r="5619" customFormat="false" ht="15" hidden="false" customHeight="false" outlineLevel="0" collapsed="false">
      <c r="A5619" s="18" t="n">
        <f aca="false">'SALES Raw'!G4309</f>
        <v>4401012</v>
      </c>
      <c r="B5619" s="18" t="str">
        <f aca="false">'SALES Raw'!B4309</f>
        <v>805AT-B</v>
      </c>
      <c r="C5619" s="18" t="str">
        <f aca="false">'SALES Raw'!H4309</f>
        <v>805AT-B אתלטיק טייפ שחור 20מ""""מ</v>
      </c>
      <c r="D5619" s="19" t="n">
        <f aca="false">'SALES Raw'!C4309</f>
        <v>32</v>
      </c>
      <c r="E5619" s="19" t="n">
        <f aca="false">'SALES Raw'!D4309</f>
        <v>326.64</v>
      </c>
      <c r="F5619" s="19" t="n">
        <f aca="false">'SALES Raw'!E4309*$H$4</f>
        <v>0</v>
      </c>
      <c r="G5619" s="19" t="n">
        <f aca="false">'SALES Raw'!F4309*$H$4</f>
        <v>0</v>
      </c>
      <c r="H5619" s="18" t="str">
        <f aca="false">'SALES Raw'!A4309</f>
        <v>216 - Max Konnaris CYPRUS</v>
      </c>
    </row>
    <row r="5620" customFormat="false" ht="15" hidden="false" customHeight="false" outlineLevel="0" collapsed="false">
      <c r="A5620" s="18" t="n">
        <f aca="false">'SALES Raw'!G4310</f>
        <v>4401013</v>
      </c>
      <c r="B5620" s="18" t="str">
        <f aca="false">'SALES Raw'!B4310</f>
        <v>805AT-BL</v>
      </c>
      <c r="C5620" s="18" t="str">
        <f aca="false">'SALES Raw'!H4310</f>
        <v>805AT-BLאתלטיק טייפ כחול 20מ""""מ</v>
      </c>
      <c r="D5620" s="19" t="n">
        <f aca="false">'SALES Raw'!C4310</f>
        <v>26</v>
      </c>
      <c r="E5620" s="19" t="n">
        <f aca="false">'SALES Raw'!D4310</f>
        <v>262.65</v>
      </c>
      <c r="F5620" s="19" t="n">
        <f aca="false">'SALES Raw'!E4310*$H$4</f>
        <v>0</v>
      </c>
      <c r="G5620" s="19" t="n">
        <f aca="false">'SALES Raw'!F4310*$H$4</f>
        <v>0</v>
      </c>
      <c r="H5620" s="18" t="str">
        <f aca="false">'SALES Raw'!A4310</f>
        <v>216 - Max Konnaris CYPRUS</v>
      </c>
    </row>
    <row r="5621" customFormat="false" ht="15" hidden="false" customHeight="false" outlineLevel="0" collapsed="false">
      <c r="A5621" s="18" t="n">
        <f aca="false">'SALES Raw'!G4312</f>
        <v>4401014</v>
      </c>
      <c r="B5621" s="18" t="str">
        <f aca="false">'SALES Raw'!B4312</f>
        <v>805AT-W</v>
      </c>
      <c r="C5621" s="18" t="str">
        <f aca="false">'SALES Raw'!H4312</f>
        <v>805AT-W  אתלטיק טייפ לבן 20מ""""מ</v>
      </c>
      <c r="D5621" s="19" t="n">
        <f aca="false">'SALES Raw'!C4312</f>
        <v>6</v>
      </c>
      <c r="E5621" s="19" t="n">
        <f aca="false">'SALES Raw'!D4312</f>
        <v>63.99</v>
      </c>
      <c r="F5621" s="19" t="n">
        <f aca="false">'SALES Raw'!E4312*$H$4</f>
        <v>0</v>
      </c>
      <c r="G5621" s="19" t="n">
        <f aca="false">'SALES Raw'!F4312*$H$4</f>
        <v>0</v>
      </c>
      <c r="H5621" s="18" t="str">
        <f aca="false">'SALES Raw'!A4312</f>
        <v>216 - Max Konnaris CYPRUS</v>
      </c>
    </row>
    <row r="5622" customFormat="false" ht="15" hidden="false" customHeight="false" outlineLevel="0" collapsed="false">
      <c r="A5622" s="18" t="n">
        <f aca="false">'SALES Raw'!G4317</f>
        <v>4409017</v>
      </c>
      <c r="B5622" s="18" t="str">
        <f aca="false">'SALES Raw'!B4317</f>
        <v>808KT-B</v>
      </c>
      <c r="C5622" s="18" t="str">
        <f aca="false">'SALES Raw'!H4317</f>
        <v>808KT-B        טייפ קינזיולוגי</v>
      </c>
      <c r="D5622" s="19" t="n">
        <f aca="false">'SALES Raw'!C4317</f>
        <v>60</v>
      </c>
      <c r="E5622" s="19" t="n">
        <f aca="false">'SALES Raw'!D4317</f>
        <v>829.68</v>
      </c>
      <c r="F5622" s="19" t="n">
        <f aca="false">'SALES Raw'!E4317*$H$4</f>
        <v>0</v>
      </c>
      <c r="G5622" s="19" t="n">
        <f aca="false">'SALES Raw'!F4317*$H$4</f>
        <v>0</v>
      </c>
      <c r="H5622" s="18" t="str">
        <f aca="false">'SALES Raw'!A4317</f>
        <v>216 - Max Konnaris CYPRUS</v>
      </c>
    </row>
    <row r="5623" customFormat="false" ht="15" hidden="false" customHeight="false" outlineLevel="0" collapsed="false">
      <c r="A5623" s="18" t="n">
        <f aca="false">'SALES Raw'!G4318</f>
        <v>4409015</v>
      </c>
      <c r="B5623" s="18" t="str">
        <f aca="false">'SALES Raw'!B4318</f>
        <v>808KT-BL</v>
      </c>
      <c r="C5623" s="18" t="str">
        <f aca="false">'SALES Raw'!H4318</f>
        <v>808KT-BL       טייפ קינזיולוגי</v>
      </c>
      <c r="D5623" s="19" t="n">
        <f aca="false">'SALES Raw'!C4318</f>
        <v>120</v>
      </c>
      <c r="E5623" s="19" t="n">
        <f aca="false">'SALES Raw'!D4318</f>
        <v>1720.49</v>
      </c>
      <c r="F5623" s="19" t="n">
        <f aca="false">'SALES Raw'!E4318*$H$4</f>
        <v>0</v>
      </c>
      <c r="G5623" s="19" t="n">
        <f aca="false">'SALES Raw'!F4318*$H$4</f>
        <v>0</v>
      </c>
      <c r="H5623" s="18" t="str">
        <f aca="false">'SALES Raw'!A4318</f>
        <v>216 - Max Konnaris CYPRUS</v>
      </c>
    </row>
    <row r="5624" customFormat="false" ht="15" hidden="false" customHeight="false" outlineLevel="0" collapsed="false">
      <c r="A5624" s="18" t="n">
        <f aca="false">'SALES Raw'!G4319</f>
        <v>4409016</v>
      </c>
      <c r="B5624" s="18" t="str">
        <f aca="false">'SALES Raw'!B4319</f>
        <v>808KT-C</v>
      </c>
      <c r="C5624" s="18" t="str">
        <f aca="false">'SALES Raw'!H4319</f>
        <v>808KT-C        טייפ קינזיולוגי</v>
      </c>
      <c r="D5624" s="19" t="n">
        <f aca="false">'SALES Raw'!C4319</f>
        <v>120</v>
      </c>
      <c r="E5624" s="19" t="n">
        <f aca="false">'SALES Raw'!D4319</f>
        <v>1720.49</v>
      </c>
      <c r="F5624" s="19" t="n">
        <f aca="false">'SALES Raw'!E4319*$H$4</f>
        <v>0</v>
      </c>
      <c r="G5624" s="19" t="n">
        <f aca="false">'SALES Raw'!F4319*$H$4</f>
        <v>0</v>
      </c>
      <c r="H5624" s="18" t="str">
        <f aca="false">'SALES Raw'!A4319</f>
        <v>216 - Max Konnaris CYPRUS</v>
      </c>
    </row>
    <row r="5625" customFormat="false" ht="15" hidden="false" customHeight="false" outlineLevel="0" collapsed="false">
      <c r="A5625" s="18" t="n">
        <f aca="false">'SALES Raw'!G4325</f>
        <v>4413455</v>
      </c>
      <c r="B5625" s="18" t="str">
        <f aca="false">'SALES Raw'!B4325</f>
        <v>85K 0</v>
      </c>
      <c r="C5625" s="18" t="str">
        <f aca="false">'SALES Raw'!H4325</f>
        <v>85K מתלה ליד לילדים</v>
      </c>
      <c r="D5625" s="19" t="n">
        <f aca="false">'SALES Raw'!C4325</f>
        <v>10</v>
      </c>
      <c r="E5625" s="19" t="n">
        <f aca="false">'SALES Raw'!D4325</f>
        <v>277.34</v>
      </c>
      <c r="F5625" s="19" t="n">
        <f aca="false">'SALES Raw'!E4325*$H$4</f>
        <v>0</v>
      </c>
      <c r="G5625" s="19" t="n">
        <f aca="false">'SALES Raw'!F4325*$H$4</f>
        <v>0</v>
      </c>
      <c r="H5625" s="18" t="str">
        <f aca="false">'SALES Raw'!A4325</f>
        <v>216 - Max Konnaris CYPRUS</v>
      </c>
    </row>
    <row r="5626" customFormat="false" ht="15" hidden="false" customHeight="false" outlineLevel="0" collapsed="false">
      <c r="A5626" s="18" t="n">
        <f aca="false">'SALES Raw'!G4326</f>
        <v>4408266</v>
      </c>
      <c r="B5626" s="18" t="str">
        <f aca="false">'SALES Raw'!B4326</f>
        <v>91B 0</v>
      </c>
      <c r="C5626" s="18" t="str">
        <f aca="false">'SALES Raw'!H4326</f>
        <v>91B חבק טניס אלבו</v>
      </c>
      <c r="D5626" s="19" t="n">
        <f aca="false">'SALES Raw'!C4326</f>
        <v>45</v>
      </c>
      <c r="E5626" s="19" t="n">
        <f aca="false">'SALES Raw'!D4326</f>
        <v>2127.83</v>
      </c>
      <c r="F5626" s="19" t="n">
        <f aca="false">'SALES Raw'!E4326*$H$4</f>
        <v>0</v>
      </c>
      <c r="G5626" s="19" t="n">
        <f aca="false">'SALES Raw'!F4326*$H$4</f>
        <v>0</v>
      </c>
      <c r="H5626" s="18" t="str">
        <f aca="false">'SALES Raw'!A4326</f>
        <v>216 - Max Konnaris CYPRUS</v>
      </c>
    </row>
    <row r="5627" customFormat="false" ht="15" hidden="false" customHeight="false" outlineLevel="0" collapsed="false">
      <c r="A5627" s="18" t="str">
        <f aca="false">'SALES Raw'!G4327</f>
        <v/>
      </c>
      <c r="B5627" s="18" t="str">
        <f aca="false">'SALES Raw'!B4327</f>
        <v>922 S</v>
      </c>
      <c r="C5627" s="18" t="str">
        <f aca="false">'SALES Raw'!H4327</f>
        <v>922 S</v>
      </c>
      <c r="D5627" s="19" t="n">
        <f aca="false">'SALES Raw'!C4327</f>
        <v>3</v>
      </c>
      <c r="E5627" s="19" t="n">
        <f aca="false">'SALES Raw'!D4327</f>
        <v>213.92</v>
      </c>
      <c r="F5627" s="19" t="n">
        <f aca="false">'SALES Raw'!E4327*$H$4</f>
        <v>0</v>
      </c>
      <c r="G5627" s="19" t="n">
        <f aca="false">'SALES Raw'!F4327*$H$4</f>
        <v>0</v>
      </c>
      <c r="H5627" s="18" t="str">
        <f aca="false">'SALES Raw'!A4327</f>
        <v>216 - Max Konnaris CYPRUS</v>
      </c>
    </row>
    <row r="5628" customFormat="false" ht="15" hidden="false" customHeight="false" outlineLevel="0" collapsed="false">
      <c r="A5628" s="18" t="str">
        <f aca="false">'SALES Raw'!G4328</f>
        <v/>
      </c>
      <c r="B5628" s="18" t="str">
        <f aca="false">'SALES Raw'!B4328</f>
        <v>922 XXL</v>
      </c>
      <c r="C5628" s="18" t="str">
        <f aca="false">'SALES Raw'!H4328</f>
        <v>922 XXL</v>
      </c>
      <c r="D5628" s="19" t="n">
        <f aca="false">'SALES Raw'!C4328</f>
        <v>1</v>
      </c>
      <c r="E5628" s="19" t="n">
        <f aca="false">'SALES Raw'!D4328</f>
        <v>71.31</v>
      </c>
      <c r="F5628" s="19" t="n">
        <f aca="false">'SALES Raw'!E4328*$H$4</f>
        <v>0</v>
      </c>
      <c r="G5628" s="19" t="n">
        <f aca="false">'SALES Raw'!F4328*$H$4</f>
        <v>0</v>
      </c>
      <c r="H5628" s="18" t="str">
        <f aca="false">'SALES Raw'!A4328</f>
        <v>216 - Max Konnaris CYPRUS</v>
      </c>
    </row>
    <row r="5629" customFormat="false" ht="15" hidden="false" customHeight="false" outlineLevel="0" collapsed="false">
      <c r="A5629" s="18" t="n">
        <f aca="false">'SALES Raw'!G4329</f>
        <v>4413139</v>
      </c>
      <c r="B5629" s="18" t="str">
        <f aca="false">'SALES Raw'!B4329</f>
        <v>95 L</v>
      </c>
      <c r="C5629" s="18" t="str">
        <f aca="false">'SALES Raw'!H4329</f>
        <v>95 L מגן מרפק רגיל לבן</v>
      </c>
      <c r="D5629" s="19" t="n">
        <f aca="false">'SALES Raw'!C4329</f>
        <v>6</v>
      </c>
      <c r="E5629" s="19" t="n">
        <f aca="false">'SALES Raw'!D4329</f>
        <v>67.25</v>
      </c>
      <c r="F5629" s="19" t="n">
        <f aca="false">'SALES Raw'!E4329*$H$4</f>
        <v>0</v>
      </c>
      <c r="G5629" s="19" t="n">
        <f aca="false">'SALES Raw'!F4329*$H$4</f>
        <v>0</v>
      </c>
      <c r="H5629" s="18" t="str">
        <f aca="false">'SALES Raw'!A4329</f>
        <v>216 - Max Konnaris CYPRUS</v>
      </c>
    </row>
    <row r="5630" customFormat="false" ht="15" hidden="false" customHeight="false" outlineLevel="0" collapsed="false">
      <c r="A5630" s="18" t="n">
        <f aca="false">'SALES Raw'!G4330</f>
        <v>4413140</v>
      </c>
      <c r="B5630" s="18" t="str">
        <f aca="false">'SALES Raw'!B4330</f>
        <v>95 M</v>
      </c>
      <c r="C5630" s="18" t="str">
        <f aca="false">'SALES Raw'!H4330</f>
        <v>95 M מגן מרפק רגיל לבן</v>
      </c>
      <c r="D5630" s="19" t="n">
        <f aca="false">'SALES Raw'!C4330</f>
        <v>13</v>
      </c>
      <c r="E5630" s="19" t="n">
        <f aca="false">'SALES Raw'!D4330</f>
        <v>151.92</v>
      </c>
      <c r="F5630" s="19" t="n">
        <f aca="false">'SALES Raw'!E4330*$H$4</f>
        <v>0</v>
      </c>
      <c r="G5630" s="19" t="n">
        <f aca="false">'SALES Raw'!F4330*$H$4</f>
        <v>0</v>
      </c>
      <c r="H5630" s="18" t="str">
        <f aca="false">'SALES Raw'!A4330</f>
        <v>216 - Max Konnaris CYPRUS</v>
      </c>
    </row>
    <row r="5631" customFormat="false" ht="15" hidden="false" customHeight="false" outlineLevel="0" collapsed="false">
      <c r="A5631" s="18" t="n">
        <f aca="false">'SALES Raw'!G4331</f>
        <v>4413141</v>
      </c>
      <c r="B5631" s="18" t="str">
        <f aca="false">'SALES Raw'!B4331</f>
        <v>95 S</v>
      </c>
      <c r="C5631" s="18" t="str">
        <f aca="false">'SALES Raw'!H4331</f>
        <v>95 S מגן מרפק רגיל לבן</v>
      </c>
      <c r="D5631" s="19" t="n">
        <f aca="false">'SALES Raw'!C4331</f>
        <v>3</v>
      </c>
      <c r="E5631" s="19" t="n">
        <f aca="false">'SALES Raw'!D4331</f>
        <v>34.47</v>
      </c>
      <c r="F5631" s="19" t="n">
        <f aca="false">'SALES Raw'!E4331*$H$4</f>
        <v>0</v>
      </c>
      <c r="G5631" s="19" t="n">
        <f aca="false">'SALES Raw'!F4331*$H$4</f>
        <v>0</v>
      </c>
      <c r="H5631" s="18" t="str">
        <f aca="false">'SALES Raw'!A4331</f>
        <v>216 - Max Konnaris CYPRUS</v>
      </c>
    </row>
    <row r="5632" customFormat="false" ht="15" hidden="false" customHeight="false" outlineLevel="0" collapsed="false">
      <c r="A5632" s="18" t="n">
        <f aca="false">'SALES Raw'!G4332</f>
        <v>4413144</v>
      </c>
      <c r="B5632" s="18" t="str">
        <f aca="false">'SALES Raw'!B4332</f>
        <v>95 XXL</v>
      </c>
      <c r="C5632" s="18" t="str">
        <f aca="false">'SALES Raw'!H4332</f>
        <v>95 XXL מגן מרפק רגיל לבן</v>
      </c>
      <c r="D5632" s="19" t="n">
        <f aca="false">'SALES Raw'!C4332</f>
        <v>6</v>
      </c>
      <c r="E5632" s="19" t="n">
        <f aca="false">'SALES Raw'!D4332</f>
        <v>67.25</v>
      </c>
      <c r="F5632" s="19" t="n">
        <f aca="false">'SALES Raw'!E4332*$H$4</f>
        <v>0</v>
      </c>
      <c r="G5632" s="19" t="n">
        <f aca="false">'SALES Raw'!F4332*$H$4</f>
        <v>0</v>
      </c>
      <c r="H5632" s="18" t="str">
        <f aca="false">'SALES Raw'!A4332</f>
        <v>216 - Max Konnaris CYPRUS</v>
      </c>
    </row>
    <row r="5633" customFormat="false" ht="15" hidden="false" customHeight="false" outlineLevel="0" collapsed="false">
      <c r="A5633" s="18" t="n">
        <f aca="false">'SALES Raw'!G4335</f>
        <v>4413502</v>
      </c>
      <c r="B5633" s="18" t="str">
        <f aca="false">'SALES Raw'!B4335</f>
        <v>95B S</v>
      </c>
      <c r="C5633" s="18" t="str">
        <f aca="false">'SALES Raw'!H4335</f>
        <v>95B S מגן מרפק שחור</v>
      </c>
      <c r="D5633" s="19" t="n">
        <f aca="false">'SALES Raw'!C4335</f>
        <v>10</v>
      </c>
      <c r="E5633" s="19" t="n">
        <f aca="false">'SALES Raw'!D4335</f>
        <v>117.78</v>
      </c>
      <c r="F5633" s="19" t="n">
        <f aca="false">'SALES Raw'!E4335*$H$4</f>
        <v>0</v>
      </c>
      <c r="G5633" s="19" t="n">
        <f aca="false">'SALES Raw'!F4335*$H$4</f>
        <v>0</v>
      </c>
      <c r="H5633" s="18" t="str">
        <f aca="false">'SALES Raw'!A4335</f>
        <v>216 - Max Konnaris CYPRUS</v>
      </c>
    </row>
    <row r="5634" customFormat="false" ht="15" hidden="false" customHeight="false" outlineLevel="0" collapsed="false">
      <c r="A5634" s="18" t="n">
        <f aca="false">'SALES Raw'!G4337</f>
        <v>4413364</v>
      </c>
      <c r="B5634" s="18" t="str">
        <f aca="false">'SALES Raw'!B4337</f>
        <v>95C M</v>
      </c>
      <c r="C5634" s="18" t="str">
        <f aca="false">'SALES Raw'!H4337</f>
        <v>95C M 'מגן מרפק בז</v>
      </c>
      <c r="D5634" s="19" t="n">
        <f aca="false">'SALES Raw'!C4337</f>
        <v>6</v>
      </c>
      <c r="E5634" s="19" t="n">
        <f aca="false">'SALES Raw'!D4337</f>
        <v>70.11</v>
      </c>
      <c r="F5634" s="19" t="n">
        <f aca="false">'SALES Raw'!E4337*$H$4</f>
        <v>0</v>
      </c>
      <c r="G5634" s="19" t="n">
        <f aca="false">'SALES Raw'!F4337*$H$4</f>
        <v>0</v>
      </c>
      <c r="H5634" s="18" t="str">
        <f aca="false">'SALES Raw'!A4337</f>
        <v>216 - Max Konnaris CYPRUS</v>
      </c>
    </row>
    <row r="5635" customFormat="false" ht="15" hidden="false" customHeight="false" outlineLevel="0" collapsed="false">
      <c r="A5635" s="18" t="n">
        <f aca="false">'SALES Raw'!G4349</f>
        <v>4413056</v>
      </c>
      <c r="B5635" s="18" t="str">
        <f aca="false">'SALES Raw'!B4349</f>
        <v>LF360 0</v>
      </c>
      <c r="C5635" s="18" t="str">
        <f aca="false">'SALES Raw'!H4349</f>
        <v>LF360 מדרס מטטרזלי לנעלי עקב</v>
      </c>
      <c r="D5635" s="19" t="n">
        <f aca="false">'SALES Raw'!C4349</f>
        <v>80</v>
      </c>
      <c r="E5635" s="19" t="n">
        <f aca="false">'SALES Raw'!D4349</f>
        <v>1037.19</v>
      </c>
      <c r="F5635" s="19" t="n">
        <f aca="false">'SALES Raw'!E4349*$H$4</f>
        <v>0</v>
      </c>
      <c r="G5635" s="19" t="n">
        <f aca="false">'SALES Raw'!F4349*$H$4</f>
        <v>0</v>
      </c>
      <c r="H5635" s="18" t="str">
        <f aca="false">'SALES Raw'!A4349</f>
        <v>216 - Max Konnaris CYPRUS</v>
      </c>
    </row>
    <row r="5636" customFormat="false" ht="15" hidden="false" customHeight="false" outlineLevel="0" collapsed="false">
      <c r="A5636" s="18" t="n">
        <f aca="false">'SALES Raw'!G4352</f>
        <v>4420025</v>
      </c>
      <c r="B5636" s="18" t="str">
        <f aca="false">'SALES Raw'!B4352</f>
        <v>LF374 0</v>
      </c>
      <c r="C5636" s="18" t="str">
        <f aca="false">'SALES Raw'!H4352</f>
        <v>LF374 ריפוד סיליק.לעקב תחתון</v>
      </c>
      <c r="D5636" s="19" t="n">
        <f aca="false">'SALES Raw'!C4352</f>
        <v>10</v>
      </c>
      <c r="E5636" s="19" t="n">
        <f aca="false">'SALES Raw'!D4352</f>
        <v>79.46</v>
      </c>
      <c r="F5636" s="19" t="n">
        <f aca="false">'SALES Raw'!E4352*$H$4</f>
        <v>0</v>
      </c>
      <c r="G5636" s="19" t="n">
        <f aca="false">'SALES Raw'!F4352*$H$4</f>
        <v>0</v>
      </c>
      <c r="H5636" s="18" t="str">
        <f aca="false">'SALES Raw'!A4352</f>
        <v>216 - Max Konnaris CYPRUS</v>
      </c>
    </row>
    <row r="5637" customFormat="false" ht="15" hidden="false" customHeight="false" outlineLevel="0" collapsed="false">
      <c r="A5637" s="18" t="n">
        <f aca="false">'SALES Raw'!G4355</f>
        <v>4408249</v>
      </c>
      <c r="B5637" s="18" t="str">
        <f aca="false">'SALES Raw'!B4355</f>
        <v>SC25 L</v>
      </c>
      <c r="C5637" s="18" t="str">
        <f aca="false">'SALES Raw'!H4355</f>
        <v>SC25  L חבק יד</v>
      </c>
      <c r="D5637" s="19" t="n">
        <f aca="false">'SALES Raw'!C4355</f>
        <v>9</v>
      </c>
      <c r="E5637" s="19" t="n">
        <f aca="false">'SALES Raw'!D4355</f>
        <v>369.32</v>
      </c>
      <c r="F5637" s="19" t="n">
        <f aca="false">'SALES Raw'!E4355*$H$4</f>
        <v>0</v>
      </c>
      <c r="G5637" s="19" t="n">
        <f aca="false">'SALES Raw'!F4355*$H$4</f>
        <v>0</v>
      </c>
      <c r="H5637" s="18" t="str">
        <f aca="false">'SALES Raw'!A4355</f>
        <v>216 - Max Konnaris CYPRUS</v>
      </c>
    </row>
    <row r="5638" customFormat="false" ht="15" hidden="false" customHeight="false" outlineLevel="0" collapsed="false">
      <c r="A5638" s="18" t="n">
        <f aca="false">'SALES Raw'!G4356</f>
        <v>4408248</v>
      </c>
      <c r="B5638" s="18" t="str">
        <f aca="false">'SALES Raw'!B4356</f>
        <v>SC25 M</v>
      </c>
      <c r="C5638" s="18" t="str">
        <f aca="false">'SALES Raw'!H4356</f>
        <v>SC25  M חבק יד</v>
      </c>
      <c r="D5638" s="19" t="n">
        <f aca="false">'SALES Raw'!C4356</f>
        <v>3</v>
      </c>
      <c r="E5638" s="19" t="n">
        <f aca="false">'SALES Raw'!D4356</f>
        <v>119.1</v>
      </c>
      <c r="F5638" s="19" t="n">
        <f aca="false">'SALES Raw'!E4356*$H$4</f>
        <v>0</v>
      </c>
      <c r="G5638" s="19" t="n">
        <f aca="false">'SALES Raw'!F4356*$H$4</f>
        <v>0</v>
      </c>
      <c r="H5638" s="18" t="str">
        <f aca="false">'SALES Raw'!A4356</f>
        <v>216 - Max Konnaris CYPRUS</v>
      </c>
    </row>
    <row r="5639" customFormat="false" ht="15" hidden="false" customHeight="false" outlineLevel="0" collapsed="false">
      <c r="A5639" s="18" t="n">
        <f aca="false">'SALES Raw'!G4357</f>
        <v>4413422</v>
      </c>
      <c r="B5639" s="18" t="str">
        <f aca="false">'SALES Raw'!B4357</f>
        <v>SC35L L</v>
      </c>
      <c r="C5639" s="18" t="str">
        <f aca="false">'SALES Raw'!H4357</f>
        <v>SC35L  L מגן קרסול שמאל</v>
      </c>
      <c r="D5639" s="19" t="n">
        <f aca="false">'SALES Raw'!C4357</f>
        <v>3</v>
      </c>
      <c r="E5639" s="19" t="n">
        <f aca="false">'SALES Raw'!D4357</f>
        <v>148.99</v>
      </c>
      <c r="F5639" s="19" t="n">
        <f aca="false">'SALES Raw'!E4357*$H$4</f>
        <v>0</v>
      </c>
      <c r="G5639" s="19" t="n">
        <f aca="false">'SALES Raw'!F4357*$H$4</f>
        <v>0</v>
      </c>
      <c r="H5639" s="18" t="str">
        <f aca="false">'SALES Raw'!A4357</f>
        <v>216 - Max Konnaris CYPRUS</v>
      </c>
    </row>
    <row r="5640" customFormat="false" ht="15" hidden="false" customHeight="false" outlineLevel="0" collapsed="false">
      <c r="A5640" s="18" t="n">
        <f aca="false">'SALES Raw'!G4358</f>
        <v>4413426</v>
      </c>
      <c r="B5640" s="18" t="str">
        <f aca="false">'SALES Raw'!B4358</f>
        <v>SC35R L</v>
      </c>
      <c r="C5640" s="18" t="str">
        <f aca="false">'SALES Raw'!H4358</f>
        <v>SC35R  L מגן קרסול ימין</v>
      </c>
      <c r="D5640" s="19" t="n">
        <f aca="false">'SALES Raw'!C4358</f>
        <v>3</v>
      </c>
      <c r="E5640" s="19" t="n">
        <f aca="false">'SALES Raw'!D4358</f>
        <v>145.32</v>
      </c>
      <c r="F5640" s="19" t="n">
        <f aca="false">'SALES Raw'!E4358*$H$4</f>
        <v>0</v>
      </c>
      <c r="G5640" s="19" t="n">
        <f aca="false">'SALES Raw'!F4358*$H$4</f>
        <v>0</v>
      </c>
      <c r="H5640" s="18" t="str">
        <f aca="false">'SALES Raw'!A4358</f>
        <v>216 - Max Konnaris CYPRUS</v>
      </c>
    </row>
    <row r="5641" customFormat="false" ht="15" hidden="false" customHeight="false" outlineLevel="0" collapsed="false">
      <c r="A5641" s="18" t="n">
        <f aca="false">'SALES Raw'!G4362</f>
        <v>4413439</v>
      </c>
      <c r="B5641" s="18" t="str">
        <f aca="false">'SALES Raw'!B4362</f>
        <v>SC422 M</v>
      </c>
      <c r="C5641" s="18" t="str">
        <f aca="false">'SALES Raw'!H4362</f>
        <v>SC422  M מגן ברך</v>
      </c>
      <c r="D5641" s="19" t="n">
        <f aca="false">'SALES Raw'!C4362</f>
        <v>3</v>
      </c>
      <c r="E5641" s="19" t="n">
        <f aca="false">'SALES Raw'!D4362</f>
        <v>251.56</v>
      </c>
      <c r="F5641" s="19" t="n">
        <f aca="false">'SALES Raw'!E4362*$H$4</f>
        <v>0</v>
      </c>
      <c r="G5641" s="19" t="n">
        <f aca="false">'SALES Raw'!F4362*$H$4</f>
        <v>0</v>
      </c>
      <c r="H5641" s="18" t="str">
        <f aca="false">'SALES Raw'!A4362</f>
        <v>216 - Max Konnaris CYPRUS</v>
      </c>
    </row>
    <row r="5642" customFormat="false" ht="15" hidden="false" customHeight="false" outlineLevel="0" collapsed="false">
      <c r="A5642" s="18" t="n">
        <f aca="false">'SALES Raw'!G4381</f>
        <v>4413533</v>
      </c>
      <c r="B5642" s="18" t="str">
        <f aca="false">'SALES Raw'!B4381</f>
        <v>ST49 0</v>
      </c>
      <c r="C5642" s="18" t="str">
        <f aca="false">'SALES Raw'!H4381</f>
        <v>ST49 מגן ירך</v>
      </c>
      <c r="D5642" s="19" t="n">
        <f aca="false">'SALES Raw'!C4381</f>
        <v>10</v>
      </c>
      <c r="E5642" s="19" t="n">
        <f aca="false">'SALES Raw'!D4381</f>
        <v>196.56</v>
      </c>
      <c r="F5642" s="19" t="n">
        <f aca="false">'SALES Raw'!E4381*$H$4</f>
        <v>0</v>
      </c>
      <c r="G5642" s="19" t="n">
        <f aca="false">'SALES Raw'!F4381*$H$4</f>
        <v>0</v>
      </c>
      <c r="H5642" s="18" t="str">
        <f aca="false">'SALES Raw'!A4381</f>
        <v>216 - Max Konnaris CYPRUS</v>
      </c>
    </row>
    <row r="5643" customFormat="false" ht="15" hidden="false" customHeight="false" outlineLevel="0" collapsed="false">
      <c r="A5643" s="18" t="str">
        <f aca="false">'SALES Raw'!G4389</f>
        <v/>
      </c>
      <c r="B5643" s="18" t="str">
        <f aca="false">'SALES Raw'!B4389</f>
        <v>EC-078 L</v>
      </c>
      <c r="C5643" s="18" t="str">
        <f aca="false">'SALES Raw'!H4389</f>
        <v>EC-078 L</v>
      </c>
      <c r="D5643" s="19" t="n">
        <f aca="false">'SALES Raw'!C4389</f>
        <v>12</v>
      </c>
      <c r="E5643" s="19" t="n">
        <f aca="false">'SALES Raw'!D4389</f>
        <v>1081.78</v>
      </c>
      <c r="F5643" s="19" t="n">
        <f aca="false">'SALES Raw'!E4389*$H$4</f>
        <v>0</v>
      </c>
      <c r="G5643" s="19" t="n">
        <f aca="false">'SALES Raw'!F4389*$H$4</f>
        <v>0</v>
      </c>
      <c r="H5643" s="18" t="str">
        <f aca="false">'SALES Raw'!A4389</f>
        <v>301 - Amazon</v>
      </c>
    </row>
    <row r="5644" customFormat="false" ht="15" hidden="false" customHeight="false" outlineLevel="0" collapsed="false">
      <c r="A5644" s="18" t="str">
        <f aca="false">'SALES Raw'!G4390</f>
        <v/>
      </c>
      <c r="B5644" s="18" t="str">
        <f aca="false">'SALES Raw'!B4390</f>
        <v>EC-078 M</v>
      </c>
      <c r="C5644" s="18" t="str">
        <f aca="false">'SALES Raw'!H4390</f>
        <v>EC-078 M</v>
      </c>
      <c r="D5644" s="19" t="n">
        <f aca="false">'SALES Raw'!C4390</f>
        <v>15</v>
      </c>
      <c r="E5644" s="19" t="n">
        <f aca="false">'SALES Raw'!D4390</f>
        <v>1249.35</v>
      </c>
      <c r="F5644" s="19" t="n">
        <f aca="false">'SALES Raw'!E4390*$H$4</f>
        <v>0</v>
      </c>
      <c r="G5644" s="19" t="n">
        <f aca="false">'SALES Raw'!F4390*$H$4</f>
        <v>0</v>
      </c>
      <c r="H5644" s="18" t="str">
        <f aca="false">'SALES Raw'!A4390</f>
        <v>301 - Amazon</v>
      </c>
    </row>
    <row r="5645" customFormat="false" ht="15" hidden="false" customHeight="false" outlineLevel="0" collapsed="false">
      <c r="A5645" s="18" t="str">
        <f aca="false">'SALES Raw'!G4391</f>
        <v/>
      </c>
      <c r="B5645" s="18" t="str">
        <f aca="false">'SALES Raw'!B4391</f>
        <v>EC-078 XL</v>
      </c>
      <c r="C5645" s="18" t="str">
        <f aca="false">'SALES Raw'!H4391</f>
        <v>EC-078 XL</v>
      </c>
      <c r="D5645" s="19" t="n">
        <f aca="false">'SALES Raw'!C4391</f>
        <v>2</v>
      </c>
      <c r="E5645" s="19" t="n">
        <f aca="false">'SALES Raw'!D4391</f>
        <v>174.75</v>
      </c>
      <c r="F5645" s="19" t="n">
        <f aca="false">'SALES Raw'!E4391*$H$4</f>
        <v>0</v>
      </c>
      <c r="G5645" s="19" t="n">
        <f aca="false">'SALES Raw'!F4391*$H$4</f>
        <v>0</v>
      </c>
      <c r="H5645" s="18" t="str">
        <f aca="false">'SALES Raw'!A4391</f>
        <v>301 - Amazon</v>
      </c>
    </row>
    <row r="5646" customFormat="false" ht="15" hidden="false" customHeight="false" outlineLevel="0" collapsed="false">
      <c r="A5646" s="18" t="str">
        <f aca="false">'SALES Raw'!G4392</f>
        <v/>
      </c>
      <c r="B5646" s="18" t="str">
        <f aca="false">'SALES Raw'!B4392</f>
        <v>EC-078 XXL</v>
      </c>
      <c r="C5646" s="18" t="str">
        <f aca="false">'SALES Raw'!H4392</f>
        <v>EC-078 XXL</v>
      </c>
      <c r="D5646" s="19" t="n">
        <f aca="false">'SALES Raw'!C4392</f>
        <v>6</v>
      </c>
      <c r="E5646" s="19" t="n">
        <f aca="false">'SALES Raw'!D4392</f>
        <v>496.79</v>
      </c>
      <c r="F5646" s="19" t="n">
        <f aca="false">'SALES Raw'!E4392*$H$4</f>
        <v>0</v>
      </c>
      <c r="G5646" s="19" t="n">
        <f aca="false">'SALES Raw'!F4392*$H$4</f>
        <v>0</v>
      </c>
      <c r="H5646" s="18" t="str">
        <f aca="false">'SALES Raw'!A4392</f>
        <v>301 - Amazon</v>
      </c>
    </row>
    <row r="5647" customFormat="false" ht="15" hidden="false" customHeight="false" outlineLevel="0" collapsed="false">
      <c r="A5647" s="18" t="str">
        <f aca="false">'SALES Raw'!G4393</f>
        <v/>
      </c>
      <c r="B5647" s="18" t="str">
        <f aca="false">'SALES Raw'!B4393</f>
        <v>EC-11NOR L</v>
      </c>
      <c r="C5647" s="18" t="str">
        <f aca="false">'SALES Raw'!H4393</f>
        <v>EC-11NOR L</v>
      </c>
      <c r="D5647" s="19" t="n">
        <f aca="false">'SALES Raw'!C4393</f>
        <v>71</v>
      </c>
      <c r="E5647" s="19" t="n">
        <f aca="false">'SALES Raw'!D4393</f>
        <v>9834.5</v>
      </c>
      <c r="F5647" s="19" t="n">
        <f aca="false">'SALES Raw'!E4393*$H$4</f>
        <v>0</v>
      </c>
      <c r="G5647" s="19" t="n">
        <f aca="false">'SALES Raw'!F4393*$H$4</f>
        <v>0</v>
      </c>
      <c r="H5647" s="18" t="str">
        <f aca="false">'SALES Raw'!A4393</f>
        <v>301 - Amazon</v>
      </c>
    </row>
    <row r="5648" customFormat="false" ht="15" hidden="false" customHeight="false" outlineLevel="0" collapsed="false">
      <c r="A5648" s="18" t="str">
        <f aca="false">'SALES Raw'!G4394</f>
        <v/>
      </c>
      <c r="B5648" s="18" t="str">
        <f aca="false">'SALES Raw'!B4394</f>
        <v>EC-11NOR M</v>
      </c>
      <c r="C5648" s="18" t="str">
        <f aca="false">'SALES Raw'!H4394</f>
        <v>EC-11NOR M</v>
      </c>
      <c r="D5648" s="19" t="n">
        <f aca="false">'SALES Raw'!C4394</f>
        <v>21</v>
      </c>
      <c r="E5648" s="19" t="n">
        <f aca="false">'SALES Raw'!D4394</f>
        <v>2976.17</v>
      </c>
      <c r="F5648" s="19" t="n">
        <f aca="false">'SALES Raw'!E4394*$H$4</f>
        <v>0</v>
      </c>
      <c r="G5648" s="19" t="n">
        <f aca="false">'SALES Raw'!F4394*$H$4</f>
        <v>0</v>
      </c>
      <c r="H5648" s="18" t="str">
        <f aca="false">'SALES Raw'!A4394</f>
        <v>301 - Amazon</v>
      </c>
    </row>
    <row r="5649" customFormat="false" ht="15" hidden="false" customHeight="false" outlineLevel="0" collapsed="false">
      <c r="A5649" s="18" t="str">
        <f aca="false">'SALES Raw'!G4395</f>
        <v/>
      </c>
      <c r="B5649" s="18" t="str">
        <f aca="false">'SALES Raw'!B4395</f>
        <v>EC-11NOR S</v>
      </c>
      <c r="C5649" s="18" t="str">
        <f aca="false">'SALES Raw'!H4395</f>
        <v>EC-11NOR S</v>
      </c>
      <c r="D5649" s="19" t="n">
        <f aca="false">'SALES Raw'!C4395</f>
        <v>11</v>
      </c>
      <c r="E5649" s="19" t="n">
        <f aca="false">'SALES Raw'!D4395</f>
        <v>1276.45</v>
      </c>
      <c r="F5649" s="19" t="n">
        <f aca="false">'SALES Raw'!E4395*$H$4</f>
        <v>0</v>
      </c>
      <c r="G5649" s="19" t="n">
        <f aca="false">'SALES Raw'!F4395*$H$4</f>
        <v>0</v>
      </c>
      <c r="H5649" s="18" t="str">
        <f aca="false">'SALES Raw'!A4395</f>
        <v>301 - Amazon</v>
      </c>
    </row>
    <row r="5650" customFormat="false" ht="15" hidden="false" customHeight="false" outlineLevel="0" collapsed="false">
      <c r="A5650" s="18" t="str">
        <f aca="false">'SALES Raw'!G4397</f>
        <v/>
      </c>
      <c r="B5650" s="18" t="str">
        <f aca="false">'SALES Raw'!B4397</f>
        <v>EC-11NOR XXL</v>
      </c>
      <c r="C5650" s="18" t="str">
        <f aca="false">'SALES Raw'!H4397</f>
        <v>EC-11NOR XXL</v>
      </c>
      <c r="D5650" s="19" t="n">
        <f aca="false">'SALES Raw'!C4397</f>
        <v>133</v>
      </c>
      <c r="E5650" s="19" t="n">
        <f aca="false">'SALES Raw'!D4397</f>
        <v>19212.52</v>
      </c>
      <c r="F5650" s="19" t="n">
        <f aca="false">'SALES Raw'!E4397*$H$4</f>
        <v>0</v>
      </c>
      <c r="G5650" s="19" t="n">
        <f aca="false">'SALES Raw'!F4397*$H$4</f>
        <v>0</v>
      </c>
      <c r="H5650" s="18" t="str">
        <f aca="false">'SALES Raw'!A4397</f>
        <v>301 - Amazon</v>
      </c>
    </row>
    <row r="5651" customFormat="false" ht="15" hidden="false" customHeight="false" outlineLevel="0" collapsed="false">
      <c r="A5651" s="18" t="str">
        <f aca="false">'SALES Raw'!G4409</f>
        <v/>
      </c>
      <c r="B5651" s="18" t="str">
        <f aca="false">'SALES Raw'!B4409</f>
        <v>13B S</v>
      </c>
      <c r="C5651" s="18" t="str">
        <f aca="false">'SALES Raw'!H4409</f>
        <v>13B S</v>
      </c>
      <c r="D5651" s="19" t="n">
        <f aca="false">'SALES Raw'!C4409</f>
        <v>28</v>
      </c>
      <c r="E5651" s="19" t="n">
        <f aca="false">'SALES Raw'!D4409</f>
        <v>1139.9</v>
      </c>
      <c r="F5651" s="19" t="n">
        <f aca="false">'SALES Raw'!E4409*$H$4</f>
        <v>0</v>
      </c>
      <c r="G5651" s="19" t="n">
        <f aca="false">'SALES Raw'!F4409*$H$4</f>
        <v>0</v>
      </c>
      <c r="H5651" s="18" t="str">
        <f aca="false">'SALES Raw'!A4409</f>
        <v>301 - Amazon</v>
      </c>
    </row>
    <row r="5652" customFormat="false" ht="15" hidden="false" customHeight="false" outlineLevel="0" collapsed="false">
      <c r="A5652" s="18" t="n">
        <f aca="false">'SALES Raw'!G4410</f>
        <v>4408230</v>
      </c>
      <c r="B5652" s="18" t="str">
        <f aca="false">'SALES Raw'!B4410</f>
        <v>16-L-XL</v>
      </c>
      <c r="C5652" s="18" t="str">
        <f aca="false">'SALES Raw'!H4410</f>
        <v>16 L-XL חגורת הריון</v>
      </c>
      <c r="D5652" s="19" t="n">
        <f aca="false">'SALES Raw'!C4410</f>
        <v>31</v>
      </c>
      <c r="E5652" s="19" t="n">
        <f aca="false">'SALES Raw'!D4410</f>
        <v>1060.47</v>
      </c>
      <c r="F5652" s="19" t="n">
        <f aca="false">'SALES Raw'!E4410*$H$4</f>
        <v>0</v>
      </c>
      <c r="G5652" s="19" t="n">
        <f aca="false">'SALES Raw'!F4410*$H$4</f>
        <v>0</v>
      </c>
      <c r="H5652" s="18" t="str">
        <f aca="false">'SALES Raw'!A4410</f>
        <v>301 - Amazon</v>
      </c>
    </row>
    <row r="5653" customFormat="false" ht="15" hidden="false" customHeight="false" outlineLevel="0" collapsed="false">
      <c r="A5653" s="18" t="n">
        <f aca="false">'SALES Raw'!G4411</f>
        <v>4408231</v>
      </c>
      <c r="B5653" s="18" t="str">
        <f aca="false">'SALES Raw'!B4411</f>
        <v>16-S-M</v>
      </c>
      <c r="C5653" s="18" t="str">
        <f aca="false">'SALES Raw'!H4411</f>
        <v>16 S-M חגורת הריון</v>
      </c>
      <c r="D5653" s="19" t="n">
        <f aca="false">'SALES Raw'!C4411</f>
        <v>45</v>
      </c>
      <c r="E5653" s="19" t="n">
        <f aca="false">'SALES Raw'!D4411</f>
        <v>2109.16</v>
      </c>
      <c r="F5653" s="19" t="n">
        <f aca="false">'SALES Raw'!E4411*$H$4</f>
        <v>0</v>
      </c>
      <c r="G5653" s="19" t="n">
        <f aca="false">'SALES Raw'!F4411*$H$4</f>
        <v>0</v>
      </c>
      <c r="H5653" s="18" t="str">
        <f aca="false">'SALES Raw'!A4411</f>
        <v>301 - Amazon</v>
      </c>
    </row>
    <row r="5654" customFormat="false" ht="15" hidden="false" customHeight="false" outlineLevel="0" collapsed="false">
      <c r="A5654" s="18" t="n">
        <f aca="false">'SALES Raw'!G4413</f>
        <v>4415159</v>
      </c>
      <c r="B5654" s="18" t="str">
        <f aca="false">'SALES Raw'!B4413</f>
        <v>268 0</v>
      </c>
      <c r="C5654" s="18" t="str">
        <f aca="false">'SALES Raw'!H4413</f>
        <v>268 סד לאגודל</v>
      </c>
      <c r="D5654" s="19" t="n">
        <f aca="false">'SALES Raw'!C4413</f>
        <v>2</v>
      </c>
      <c r="E5654" s="19" t="n">
        <f aca="false">'SALES Raw'!D4413</f>
        <v>218.71</v>
      </c>
      <c r="F5654" s="19" t="n">
        <f aca="false">'SALES Raw'!E4413*$H$4</f>
        <v>0</v>
      </c>
      <c r="G5654" s="19" t="n">
        <f aca="false">'SALES Raw'!F4413*$H$4</f>
        <v>0</v>
      </c>
      <c r="H5654" s="18" t="str">
        <f aca="false">'SALES Raw'!A4413</f>
        <v>301 - Amazon</v>
      </c>
    </row>
    <row r="5655" customFormat="false" ht="15" hidden="false" customHeight="false" outlineLevel="0" collapsed="false">
      <c r="A5655" s="18" t="n">
        <f aca="false">'SALES Raw'!G4414</f>
        <v>4413348</v>
      </c>
      <c r="B5655" s="18" t="str">
        <f aca="false">'SALES Raw'!B4414</f>
        <v>302M 0</v>
      </c>
      <c r="C5655" s="18" t="str">
        <f aca="false">'SALES Raw'!H4414</f>
        <v>302 מדרס ג'ל לגבר</v>
      </c>
      <c r="D5655" s="19" t="n">
        <f aca="false">'SALES Raw'!C4414</f>
        <v>10</v>
      </c>
      <c r="E5655" s="19" t="n">
        <f aca="false">'SALES Raw'!D4414</f>
        <v>969.81</v>
      </c>
      <c r="F5655" s="19" t="n">
        <f aca="false">'SALES Raw'!E4414*$H$4</f>
        <v>0</v>
      </c>
      <c r="G5655" s="19" t="n">
        <f aca="false">'SALES Raw'!F4414*$H$4</f>
        <v>0</v>
      </c>
      <c r="H5655" s="18" t="str">
        <f aca="false">'SALES Raw'!A4414</f>
        <v>301 - Amazon</v>
      </c>
    </row>
    <row r="5656" customFormat="false" ht="15" hidden="false" customHeight="false" outlineLevel="0" collapsed="false">
      <c r="A5656" s="18" t="str">
        <f aca="false">'SALES Raw'!G4444</f>
        <v/>
      </c>
      <c r="B5656" s="18" t="str">
        <f aca="false">'SALES Raw'!B4444</f>
        <v>EC-59R XXL</v>
      </c>
      <c r="C5656" s="18" t="str">
        <f aca="false">'SALES Raw'!H4444</f>
        <v>EC-59R XXL</v>
      </c>
      <c r="D5656" s="19" t="n">
        <f aca="false">'SALES Raw'!C4444</f>
        <v>23</v>
      </c>
      <c r="E5656" s="19" t="n">
        <f aca="false">'SALES Raw'!D4444</f>
        <v>4233.37</v>
      </c>
      <c r="F5656" s="19" t="n">
        <f aca="false">'SALES Raw'!E4444*$H$4</f>
        <v>0</v>
      </c>
      <c r="G5656" s="19" t="n">
        <f aca="false">'SALES Raw'!F4444*$H$4</f>
        <v>0</v>
      </c>
      <c r="H5656" s="18" t="str">
        <f aca="false">'SALES Raw'!A4444</f>
        <v>301 - Amazon</v>
      </c>
    </row>
    <row r="5657" customFormat="false" ht="15" hidden="false" customHeight="false" outlineLevel="0" collapsed="false">
      <c r="A5657" s="18" t="str">
        <f aca="false">'SALES Raw'!G4458</f>
        <v/>
      </c>
      <c r="B5657" s="18" t="str">
        <f aca="false">'SALES Raw'!B4458</f>
        <v>EC-59RB XL</v>
      </c>
      <c r="C5657" s="18" t="str">
        <f aca="false">'SALES Raw'!H4458</f>
        <v>EC-59RB XL</v>
      </c>
      <c r="D5657" s="19" t="n">
        <f aca="false">'SALES Raw'!C4458</f>
        <v>37</v>
      </c>
      <c r="E5657" s="19" t="n">
        <f aca="false">'SALES Raw'!D4458</f>
        <v>6510.26</v>
      </c>
      <c r="F5657" s="19" t="n">
        <f aca="false">'SALES Raw'!E4458*$H$4</f>
        <v>0</v>
      </c>
      <c r="G5657" s="19" t="n">
        <f aca="false">'SALES Raw'!F4458*$H$4</f>
        <v>0</v>
      </c>
      <c r="H5657" s="18" t="str">
        <f aca="false">'SALES Raw'!A4458</f>
        <v>301 - Amazon</v>
      </c>
    </row>
    <row r="5658" customFormat="false" ht="15" hidden="false" customHeight="false" outlineLevel="0" collapsed="false">
      <c r="A5658" s="18" t="str">
        <f aca="false">'SALES Raw'!G4460</f>
        <v/>
      </c>
      <c r="B5658" s="18" t="str">
        <f aca="false">'SALES Raw'!B4460</f>
        <v>EC-DIFF</v>
      </c>
      <c r="C5658" s="18" t="str">
        <f aca="false">'SALES Raw'!H4460</f>
        <v>EC-DIFF</v>
      </c>
      <c r="D5658" s="19" t="n">
        <f aca="false">'SALES Raw'!C4460</f>
        <v>0</v>
      </c>
      <c r="E5658" s="19" t="n">
        <f aca="false">'SALES Raw'!D4460</f>
        <v>42266.02</v>
      </c>
      <c r="F5658" s="19" t="n">
        <f aca="false">'SALES Raw'!E4460*$H$4</f>
        <v>0</v>
      </c>
      <c r="G5658" s="19" t="n">
        <f aca="false">'SALES Raw'!F4460*$H$4</f>
        <v>0</v>
      </c>
      <c r="H5658" s="18" t="str">
        <f aca="false">'SALES Raw'!A4460</f>
        <v>301 - Amazon</v>
      </c>
    </row>
    <row r="5659" customFormat="false" ht="15" hidden="false" customHeight="false" outlineLevel="0" collapsed="false">
      <c r="A5659" s="18" t="str">
        <f aca="false">'SALES Raw'!G4463</f>
        <v/>
      </c>
      <c r="B5659" s="18" t="str">
        <f aca="false">'SALES Raw'!B4463</f>
        <v>FC3162 0</v>
      </c>
      <c r="C5659" s="18" t="str">
        <f aca="false">'SALES Raw'!H4463</f>
        <v>FC3162 0</v>
      </c>
      <c r="D5659" s="19" t="n">
        <f aca="false">'SALES Raw'!C4463</f>
        <v>1</v>
      </c>
      <c r="E5659" s="19" t="n">
        <f aca="false">'SALES Raw'!D4463</f>
        <v>46.39</v>
      </c>
      <c r="F5659" s="19" t="n">
        <f aca="false">'SALES Raw'!E4463*$H$4</f>
        <v>0</v>
      </c>
      <c r="G5659" s="19" t="n">
        <f aca="false">'SALES Raw'!F4463*$H$4</f>
        <v>0</v>
      </c>
      <c r="H5659" s="18" t="str">
        <f aca="false">'SALES Raw'!A4463</f>
        <v>301 - Amazon</v>
      </c>
    </row>
    <row r="5660" customFormat="false" ht="15" hidden="false" customHeight="false" outlineLevel="0" collapsed="false">
      <c r="A5660" s="18" t="n">
        <f aca="false">'CEMIUP0.9 Raw'!B20</f>
        <v>4403005</v>
      </c>
      <c r="B5660" s="18" t="str">
        <f aca="false">'CEMIUP0.9 Raw'!C20</f>
        <v>G390.43-46 גרבי כסף לסכרת מידה</v>
      </c>
      <c r="C5660" s="18" t="str">
        <f aca="false">'CEMIUP0.9 Raw'!C20</f>
        <v>G390.43-46 גרבי כסף לסכרת מידה</v>
      </c>
      <c r="D5660" s="19" t="n">
        <f aca="false">'CEMIUP0.9 Raw'!D20</f>
        <v>50</v>
      </c>
      <c r="E5660" s="19" t="n">
        <f aca="false">'CEMIUP0.9 Raw'!E20</f>
        <v>1552.251</v>
      </c>
      <c r="F5660" s="19" t="n">
        <f aca="false">'CEMIUP0.9 Raw'!F20</f>
        <v>0</v>
      </c>
      <c r="G5660" s="19" t="n">
        <f aca="false">'CEMIUP0.9 Raw'!G20</f>
        <v>0</v>
      </c>
      <c r="H5660" s="18" t="str">
        <f aca="false">'CEMIUP0.9 Raw'!A20</f>
        <v>107 - Pharmacies</v>
      </c>
    </row>
    <row r="5661" customFormat="false" ht="15" hidden="false" customHeight="false" outlineLevel="0" collapsed="false">
      <c r="A5661" s="18" t="n">
        <f aca="false">'CEMIUP0.9 Raw'!B44</f>
        <v>4404000</v>
      </c>
      <c r="B5661" s="18" t="str">
        <f aca="false">'CEMIUP0.9 Raw'!C44</f>
        <v>FC330Z-תתדאו'אנטי בקט.לנעל120</v>
      </c>
      <c r="C5661" s="18" t="str">
        <f aca="false">'CEMIUP0.9 Raw'!C44</f>
        <v>FC330Z-תתדאו'אנטי בקט.לנעל120</v>
      </c>
      <c r="D5661" s="19" t="n">
        <f aca="false">'CEMIUP0.9 Raw'!D44</f>
        <v>-6</v>
      </c>
      <c r="E5661" s="19" t="n">
        <f aca="false">'CEMIUP0.9 Raw'!E44</f>
        <v>-157.703</v>
      </c>
      <c r="F5661" s="19" t="n">
        <f aca="false">'CEMIUP0.9 Raw'!F44</f>
        <v>0</v>
      </c>
      <c r="G5661" s="19" t="n">
        <f aca="false">'CEMIUP0.9 Raw'!G44</f>
        <v>0</v>
      </c>
      <c r="H5661" s="18" t="str">
        <f aca="false">'CEMIUP0.9 Raw'!A44</f>
        <v>107 - Pharmacies</v>
      </c>
    </row>
    <row r="5662" customFormat="false" ht="15" hidden="false" customHeight="false" outlineLevel="0" collapsed="false">
      <c r="A5662" s="18" t="n">
        <f aca="false">'CEMIUP0.9 Raw'!B45</f>
        <v>4408003</v>
      </c>
      <c r="B5662" s="18" t="str">
        <f aca="false">'CEMIUP0.9 Raw'!C45</f>
        <v>06 M  ""ח.גב קלה ""מיקדו</v>
      </c>
      <c r="C5662" s="18" t="str">
        <f aca="false">'CEMIUP0.9 Raw'!C45</f>
        <v>06 M  ""ח.גב קלה ""מיקדו</v>
      </c>
      <c r="D5662" s="19" t="n">
        <f aca="false">'CEMIUP0.9 Raw'!D45</f>
        <v>-1</v>
      </c>
      <c r="E5662" s="19" t="n">
        <f aca="false">'CEMIUP0.9 Raw'!E45</f>
        <v>-154.791</v>
      </c>
      <c r="F5662" s="19" t="n">
        <f aca="false">'CEMIUP0.9 Raw'!F45</f>
        <v>0</v>
      </c>
      <c r="G5662" s="19" t="n">
        <f aca="false">'CEMIUP0.9 Raw'!G45</f>
        <v>0</v>
      </c>
      <c r="H5662" s="18" t="str">
        <f aca="false">'CEMIUP0.9 Raw'!A45</f>
        <v>107 - Pharmacies</v>
      </c>
    </row>
    <row r="5663" customFormat="false" ht="15" hidden="false" customHeight="false" outlineLevel="0" collapsed="false">
      <c r="A5663" s="18" t="n">
        <f aca="false">'CEMIUP0.9 Raw'!B46</f>
        <v>4408004</v>
      </c>
      <c r="B5663" s="18" t="str">
        <f aca="false">'CEMIUP0.9 Raw'!C46</f>
        <v>06 XL ""ח.גב קלה ""מיקדו</v>
      </c>
      <c r="C5663" s="18" t="str">
        <f aca="false">'CEMIUP0.9 Raw'!C46</f>
        <v>06 XL ""ח.גב קלה ""מיקדו</v>
      </c>
      <c r="D5663" s="19" t="n">
        <f aca="false">'CEMIUP0.9 Raw'!D46</f>
        <v>1</v>
      </c>
      <c r="E5663" s="19" t="n">
        <f aca="false">'CEMIUP0.9 Raw'!E46</f>
        <v>154.791</v>
      </c>
      <c r="F5663" s="19" t="n">
        <f aca="false">'CEMIUP0.9 Raw'!F46</f>
        <v>0</v>
      </c>
      <c r="G5663" s="19" t="n">
        <f aca="false">'CEMIUP0.9 Raw'!G46</f>
        <v>0</v>
      </c>
      <c r="H5663" s="18" t="str">
        <f aca="false">'CEMIUP0.9 Raw'!A46</f>
        <v>107 - Pharmacies</v>
      </c>
    </row>
    <row r="5664" customFormat="false" ht="15" hidden="false" customHeight="false" outlineLevel="0" collapsed="false">
      <c r="A5664" s="18" t="n">
        <f aca="false">'CEMIUP0.9 Raw'!B47</f>
        <v>4408009</v>
      </c>
      <c r="B5664" s="18" t="str">
        <f aca="false">'CEMIUP0.9 Raw'!C47</f>
        <v>079 S ח.גב סג. כפולה שחור+אדום</v>
      </c>
      <c r="C5664" s="18" t="str">
        <f aca="false">'CEMIUP0.9 Raw'!C47</f>
        <v>079 S ח.גב סג. כפולה שחור+אדום</v>
      </c>
      <c r="D5664" s="19" t="n">
        <f aca="false">'CEMIUP0.9 Raw'!D47</f>
        <v>3</v>
      </c>
      <c r="E5664" s="19" t="n">
        <f aca="false">'CEMIUP0.9 Raw'!E47</f>
        <v>237.419</v>
      </c>
      <c r="F5664" s="19" t="n">
        <f aca="false">'CEMIUP0.9 Raw'!F47</f>
        <v>0</v>
      </c>
      <c r="G5664" s="19" t="n">
        <f aca="false">'CEMIUP0.9 Raw'!G47</f>
        <v>8.27621052631579</v>
      </c>
      <c r="H5664" s="18" t="str">
        <f aca="false">'CEMIUP0.9 Raw'!A47</f>
        <v>107 - Pharmacies</v>
      </c>
    </row>
    <row r="5665" customFormat="false" ht="15" hidden="false" customHeight="false" outlineLevel="0" collapsed="false">
      <c r="A5665" s="18" t="n">
        <f aca="false">'CEMIUP0.9 Raw'!B49</f>
        <v>4408011</v>
      </c>
      <c r="B5665" s="18" t="str">
        <f aca="false">'CEMIUP0.9 Raw'!C49</f>
        <v>079  M ח.גב סג.כפולה שחור+אדום</v>
      </c>
      <c r="C5665" s="18" t="str">
        <f aca="false">'CEMIUP0.9 Raw'!C49</f>
        <v>079  M ח.גב סג.כפולה שחור+אדום</v>
      </c>
      <c r="D5665" s="19" t="n">
        <f aca="false">'CEMIUP0.9 Raw'!D49</f>
        <v>3</v>
      </c>
      <c r="E5665" s="19" t="n">
        <f aca="false">'CEMIUP0.9 Raw'!E49</f>
        <v>243.971</v>
      </c>
      <c r="F5665" s="19" t="n">
        <f aca="false">'CEMIUP0.9 Raw'!F49</f>
        <v>0</v>
      </c>
      <c r="G5665" s="19" t="n">
        <f aca="false">'CEMIUP0.9 Raw'!G49</f>
        <v>0</v>
      </c>
      <c r="H5665" s="18" t="str">
        <f aca="false">'CEMIUP0.9 Raw'!A49</f>
        <v>107 - Pharmacies</v>
      </c>
    </row>
    <row r="5666" customFormat="false" ht="15" hidden="false" customHeight="false" outlineLevel="0" collapsed="false">
      <c r="A5666" s="18" t="n">
        <f aca="false">'CEMIUP0.9 Raw'!B51</f>
        <v>4408013</v>
      </c>
      <c r="B5666" s="18" t="str">
        <f aca="false">'CEMIUP0.9 Raw'!C51</f>
        <v>079 XXLח.גב סג.כפולה שחור+אדום</v>
      </c>
      <c r="C5666" s="18" t="str">
        <f aca="false">'CEMIUP0.9 Raw'!C51</f>
        <v>079 XXLח.גב סג.כפולה שחור+אדום</v>
      </c>
      <c r="D5666" s="19" t="n">
        <f aca="false">'CEMIUP0.9 Raw'!D51</f>
        <v>5</v>
      </c>
      <c r="E5666" s="19" t="n">
        <f aca="false">'CEMIUP0.9 Raw'!E51</f>
        <v>428.61</v>
      </c>
      <c r="F5666" s="19" t="n">
        <f aca="false">'CEMIUP0.9 Raw'!F51</f>
        <v>0</v>
      </c>
      <c r="G5666" s="19" t="n">
        <f aca="false">'CEMIUP0.9 Raw'!G51</f>
        <v>0</v>
      </c>
      <c r="H5666" s="18" t="str">
        <f aca="false">'CEMIUP0.9 Raw'!A51</f>
        <v>107 - Pharmacies</v>
      </c>
    </row>
    <row r="5667" customFormat="false" ht="15" hidden="false" customHeight="false" outlineLevel="0" collapsed="false">
      <c r="A5667" s="18" t="n">
        <f aca="false">'CEMIUP0.9 Raw'!B56</f>
        <v>4408018</v>
      </c>
      <c r="B5667" s="18" t="str">
        <f aca="false">'CEMIUP0.9 Raw'!C56</f>
        <v>07AU XXL.ח.גב ""איטלקית"" אוריר</v>
      </c>
      <c r="C5667" s="18" t="str">
        <f aca="false">'CEMIUP0.9 Raw'!C56</f>
        <v>07AU XXL.ח.גב ""איטלקית"" אוריר</v>
      </c>
      <c r="D5667" s="19" t="n">
        <f aca="false">'CEMIUP0.9 Raw'!D56</f>
        <v>1</v>
      </c>
      <c r="E5667" s="19" t="n">
        <f aca="false">'CEMIUP0.9 Raw'!E56</f>
        <v>280.468</v>
      </c>
      <c r="F5667" s="19" t="n">
        <f aca="false">'CEMIUP0.9 Raw'!F56</f>
        <v>0</v>
      </c>
      <c r="G5667" s="19" t="n">
        <f aca="false">'CEMIUP0.9 Raw'!G56</f>
        <v>0</v>
      </c>
      <c r="H5667" s="18" t="str">
        <f aca="false">'CEMIUP0.9 Raw'!A56</f>
        <v>107 - Pharmacies</v>
      </c>
    </row>
    <row r="5668" customFormat="false" ht="15" hidden="false" customHeight="false" outlineLevel="0" collapsed="false">
      <c r="A5668" s="18" t="n">
        <f aca="false">'CEMIUP0.9 Raw'!B57</f>
        <v>4408024</v>
      </c>
      <c r="B5668" s="18" t="str">
        <f aca="false">'CEMIUP0.9 Raw'!C57</f>
        <v>07UC L-XLח.גב אמר+סגירה כפ.חום</v>
      </c>
      <c r="C5668" s="18" t="str">
        <f aca="false">'CEMIUP0.9 Raw'!C57</f>
        <v>07UC L-XLח.גב אמר+סגירה כפ.חום</v>
      </c>
      <c r="D5668" s="19" t="n">
        <f aca="false">'CEMIUP0.9 Raw'!D57</f>
        <v>1</v>
      </c>
      <c r="E5668" s="19" t="n">
        <f aca="false">'CEMIUP0.9 Raw'!E57</f>
        <v>210.756</v>
      </c>
      <c r="F5668" s="19" t="n">
        <f aca="false">'CEMIUP0.9 Raw'!F57</f>
        <v>0</v>
      </c>
      <c r="G5668" s="19" t="n">
        <f aca="false">'CEMIUP0.9 Raw'!G57</f>
        <v>0</v>
      </c>
      <c r="H5668" s="18" t="str">
        <f aca="false">'CEMIUP0.9 Raw'!A57</f>
        <v>107 - Pharmacies</v>
      </c>
    </row>
    <row r="5669" customFormat="false" ht="15" hidden="false" customHeight="false" outlineLevel="0" collapsed="false">
      <c r="A5669" s="18" t="n">
        <f aca="false">'CEMIUP0.9 Raw'!B58</f>
        <v>4408026</v>
      </c>
      <c r="B5669" s="18" t="str">
        <f aca="false">'CEMIUP0.9 Raw'!C58</f>
        <v>10 S ""חגורת גב ""לומבו</v>
      </c>
      <c r="C5669" s="18" t="str">
        <f aca="false">'CEMIUP0.9 Raw'!C58</f>
        <v>10 S ""חגורת גב ""לומבו</v>
      </c>
      <c r="D5669" s="19" t="n">
        <f aca="false">'CEMIUP0.9 Raw'!D58</f>
        <v>0</v>
      </c>
      <c r="E5669" s="19" t="n">
        <f aca="false">'CEMIUP0.9 Raw'!E58</f>
        <v>0</v>
      </c>
      <c r="F5669" s="19" t="n">
        <f aca="false">'CEMIUP0.9 Raw'!F58</f>
        <v>0</v>
      </c>
      <c r="G5669" s="19" t="n">
        <f aca="false">'CEMIUP0.9 Raw'!G58</f>
        <v>15.7477894736842</v>
      </c>
      <c r="H5669" s="18" t="str">
        <f aca="false">'CEMIUP0.9 Raw'!A58</f>
        <v>107 - Pharmacies</v>
      </c>
    </row>
    <row r="5670" customFormat="false" ht="15" hidden="false" customHeight="false" outlineLevel="0" collapsed="false">
      <c r="A5670" s="18" t="n">
        <f aca="false">'CEMIUP0.9 Raw'!B81</f>
        <v>4408059</v>
      </c>
      <c r="B5670" s="18" t="str">
        <f aca="false">'CEMIUP0.9 Raw'!C81</f>
        <v>25 L חבק יד אגודלי</v>
      </c>
      <c r="C5670" s="18" t="str">
        <f aca="false">'CEMIUP0.9 Raw'!C81</f>
        <v>25 L חבק יד אגודלי</v>
      </c>
      <c r="D5670" s="19" t="n">
        <f aca="false">'CEMIUP0.9 Raw'!D81</f>
        <v>2</v>
      </c>
      <c r="E5670" s="19" t="n">
        <f aca="false">'CEMIUP0.9 Raw'!E81</f>
        <v>120.666</v>
      </c>
      <c r="F5670" s="19" t="n">
        <f aca="false">'CEMIUP0.9 Raw'!F81</f>
        <v>0</v>
      </c>
      <c r="G5670" s="19" t="n">
        <f aca="false">'CEMIUP0.9 Raw'!G81</f>
        <v>0</v>
      </c>
      <c r="H5670" s="18" t="str">
        <f aca="false">'CEMIUP0.9 Raw'!A81</f>
        <v>107 - Pharmacies</v>
      </c>
    </row>
    <row r="5671" customFormat="false" ht="15" hidden="false" customHeight="false" outlineLevel="0" collapsed="false">
      <c r="A5671" s="18" t="n">
        <f aca="false">'CEMIUP0.9 Raw'!B82</f>
        <v>4408060</v>
      </c>
      <c r="B5671" s="18" t="str">
        <f aca="false">'CEMIUP0.9 Raw'!C82</f>
        <v>25 M חבק יד אגודלי</v>
      </c>
      <c r="C5671" s="18" t="str">
        <f aca="false">'CEMIUP0.9 Raw'!C82</f>
        <v>25 M חבק יד אגודלי</v>
      </c>
      <c r="D5671" s="19" t="n">
        <f aca="false">'CEMIUP0.9 Raw'!D82</f>
        <v>-1</v>
      </c>
      <c r="E5671" s="19" t="n">
        <f aca="false">'CEMIUP0.9 Raw'!E82</f>
        <v>-46.319</v>
      </c>
      <c r="F5671" s="19" t="n">
        <f aca="false">'CEMIUP0.9 Raw'!F82</f>
        <v>0</v>
      </c>
      <c r="G5671" s="19" t="n">
        <f aca="false">'CEMIUP0.9 Raw'!G82</f>
        <v>0</v>
      </c>
      <c r="H5671" s="18" t="str">
        <f aca="false">'CEMIUP0.9 Raw'!A82</f>
        <v>107 - Pharmacies</v>
      </c>
    </row>
    <row r="5672" customFormat="false" ht="15" hidden="false" customHeight="false" outlineLevel="0" collapsed="false">
      <c r="A5672" s="18" t="n">
        <f aca="false">'CEMIUP0.9 Raw'!B83</f>
        <v>4408061</v>
      </c>
      <c r="B5672" s="18" t="str">
        <f aca="false">'CEMIUP0.9 Raw'!C83</f>
        <v>25 S חבק יד אגודלי</v>
      </c>
      <c r="C5672" s="18" t="str">
        <f aca="false">'CEMIUP0.9 Raw'!C83</f>
        <v>25 S חבק יד אגודלי</v>
      </c>
      <c r="D5672" s="19" t="n">
        <f aca="false">'CEMIUP0.9 Raw'!D83</f>
        <v>0</v>
      </c>
      <c r="E5672" s="19" t="n">
        <f aca="false">'CEMIUP0.9 Raw'!E83</f>
        <v>7.098</v>
      </c>
      <c r="F5672" s="19" t="n">
        <f aca="false">'CEMIUP0.9 Raw'!F83</f>
        <v>0</v>
      </c>
      <c r="G5672" s="19" t="n">
        <f aca="false">'CEMIUP0.9 Raw'!G83</f>
        <v>0</v>
      </c>
      <c r="H5672" s="18" t="str">
        <f aca="false">'CEMIUP0.9 Raw'!A83</f>
        <v>107 - Pharmacies</v>
      </c>
    </row>
    <row r="5673" customFormat="false" ht="15" hidden="false" customHeight="false" outlineLevel="0" collapsed="false">
      <c r="A5673" s="18" t="n">
        <f aca="false">'CEMIUP0.9 Raw'!B86</f>
        <v>4408070</v>
      </c>
      <c r="B5673" s="18" t="str">
        <f aca="false">'CEMIUP0.9 Raw'!C86</f>
        <v>59D S</v>
      </c>
      <c r="C5673" s="18" t="str">
        <f aca="false">'CEMIUP0.9 Raw'!C86</f>
        <v>59D S</v>
      </c>
      <c r="D5673" s="19" t="n">
        <f aca="false">'CEMIUP0.9 Raw'!D86</f>
        <v>1</v>
      </c>
      <c r="E5673" s="19" t="n">
        <f aca="false">'CEMIUP0.9 Raw'!E86</f>
        <v>180</v>
      </c>
      <c r="F5673" s="19" t="n">
        <f aca="false">'CEMIUP0.9 Raw'!F86</f>
        <v>0</v>
      </c>
      <c r="G5673" s="19" t="n">
        <f aca="false">'CEMIUP0.9 Raw'!G86</f>
        <v>0</v>
      </c>
      <c r="H5673" s="18" t="str">
        <f aca="false">'CEMIUP0.9 Raw'!A86</f>
        <v>107 - Pharmacies</v>
      </c>
    </row>
    <row r="5674" customFormat="false" ht="15" hidden="false" customHeight="false" outlineLevel="0" collapsed="false">
      <c r="A5674" s="18" t="n">
        <f aca="false">'CEMIUP0.9 Raw'!B94</f>
        <v>4408079</v>
      </c>
      <c r="B5674" s="18" t="str">
        <f aca="false">'CEMIUP0.9 Raw'!C94</f>
        <v>59R S חגורת שבר לצד ימין</v>
      </c>
      <c r="C5674" s="18" t="str">
        <f aca="false">'CEMIUP0.9 Raw'!C94</f>
        <v>59R S חגורת שבר לצד ימין</v>
      </c>
      <c r="D5674" s="19" t="n">
        <f aca="false">'CEMIUP0.9 Raw'!D94</f>
        <v>7</v>
      </c>
      <c r="E5674" s="19" t="n">
        <f aca="false">'CEMIUP0.9 Raw'!E94</f>
        <v>1202.668</v>
      </c>
      <c r="F5674" s="19" t="n">
        <f aca="false">'CEMIUP0.9 Raw'!F94</f>
        <v>0</v>
      </c>
      <c r="G5674" s="19" t="n">
        <f aca="false">'CEMIUP0.9 Raw'!G94</f>
        <v>-25.7482105263158</v>
      </c>
      <c r="H5674" s="18" t="str">
        <f aca="false">'CEMIUP0.9 Raw'!A94</f>
        <v>107 - Pharmacies</v>
      </c>
    </row>
    <row r="5675" customFormat="false" ht="15" hidden="false" customHeight="false" outlineLevel="0" collapsed="false">
      <c r="A5675" s="18" t="n">
        <f aca="false">'CEMIUP0.9 Raw'!B99</f>
        <v>4408085</v>
      </c>
      <c r="B5675" s="18" t="str">
        <f aca="false">'CEMIUP0.9 Raw'!C99</f>
        <v>922M.מחבק יד לטניס כרית סילי</v>
      </c>
      <c r="C5675" s="18" t="str">
        <f aca="false">'CEMIUP0.9 Raw'!C99</f>
        <v>922M.מחבק יד לטניס כרית סילי</v>
      </c>
      <c r="D5675" s="19" t="n">
        <f aca="false">'CEMIUP0.9 Raw'!D99</f>
        <v>1</v>
      </c>
      <c r="E5675" s="19" t="n">
        <f aca="false">'CEMIUP0.9 Raw'!E99</f>
        <v>129.22</v>
      </c>
      <c r="F5675" s="19" t="n">
        <f aca="false">'CEMIUP0.9 Raw'!F99</f>
        <v>0</v>
      </c>
      <c r="G5675" s="19" t="n">
        <f aca="false">'CEMIUP0.9 Raw'!G99</f>
        <v>0</v>
      </c>
      <c r="H5675" s="18" t="str">
        <f aca="false">'CEMIUP0.9 Raw'!A99</f>
        <v>107 - Pharmacies</v>
      </c>
    </row>
    <row r="5676" customFormat="false" ht="15" hidden="false" customHeight="false" outlineLevel="0" collapsed="false">
      <c r="A5676" s="18" t="n">
        <f aca="false">'CEMIUP0.9 Raw'!B113</f>
        <v>4408100</v>
      </c>
      <c r="B5676" s="18" t="str">
        <f aca="false">'CEMIUP0.9 Raw'!C113</f>
        <v>11U Lחגורת בטן וחזה אחרי ניתוח</v>
      </c>
      <c r="C5676" s="18" t="str">
        <f aca="false">'CEMIUP0.9 Raw'!C113</f>
        <v>11U Lחגורת בטן וחזה אחרי ניתוח</v>
      </c>
      <c r="D5676" s="19" t="n">
        <f aca="false">'CEMIUP0.9 Raw'!D113</f>
        <v>1</v>
      </c>
      <c r="E5676" s="19" t="n">
        <f aca="false">'CEMIUP0.9 Raw'!E113</f>
        <v>85.995</v>
      </c>
      <c r="F5676" s="19" t="n">
        <f aca="false">'CEMIUP0.9 Raw'!F113</f>
        <v>0</v>
      </c>
      <c r="G5676" s="19" t="n">
        <f aca="false">'CEMIUP0.9 Raw'!G113</f>
        <v>0</v>
      </c>
      <c r="H5676" s="18" t="str">
        <f aca="false">'CEMIUP0.9 Raw'!A113</f>
        <v>107 - Pharmacies</v>
      </c>
    </row>
    <row r="5677" customFormat="false" ht="15" hidden="false" customHeight="false" outlineLevel="0" collapsed="false">
      <c r="A5677" s="18" t="n">
        <f aca="false">'CEMIUP0.9 Raw'!B114</f>
        <v>4408105</v>
      </c>
      <c r="B5677" s="18" t="str">
        <f aca="false">'CEMIUP0.9 Raw'!C114</f>
        <v>19 S-M חגורת הריון בכאב חזק</v>
      </c>
      <c r="C5677" s="18" t="str">
        <f aca="false">'CEMIUP0.9 Raw'!C114</f>
        <v>19 S-M חגורת הריון בכאב חזק</v>
      </c>
      <c r="D5677" s="19" t="n">
        <f aca="false">'CEMIUP0.9 Raw'!D114</f>
        <v>1</v>
      </c>
      <c r="E5677" s="19" t="n">
        <f aca="false">'CEMIUP0.9 Raw'!E114</f>
        <v>193.83</v>
      </c>
      <c r="F5677" s="19" t="n">
        <f aca="false">'CEMIUP0.9 Raw'!F114</f>
        <v>0</v>
      </c>
      <c r="G5677" s="19" t="n">
        <f aca="false">'CEMIUP0.9 Raw'!G114</f>
        <v>0</v>
      </c>
      <c r="H5677" s="18" t="str">
        <f aca="false">'CEMIUP0.9 Raw'!A114</f>
        <v>107 - Pharmacies</v>
      </c>
    </row>
    <row r="5678" customFormat="false" ht="15" hidden="false" customHeight="false" outlineLevel="0" collapsed="false">
      <c r="A5678" s="18" t="n">
        <f aca="false">'CEMIUP0.9 Raw'!B121</f>
        <v>4408122</v>
      </c>
      <c r="B5678" s="18" t="str">
        <f aca="false">'CEMIUP0.9 Raw'!C121</f>
        <v>15M L חגורת צלעות לגבר</v>
      </c>
      <c r="C5678" s="18" t="str">
        <f aca="false">'CEMIUP0.9 Raw'!C121</f>
        <v>15M L חגורת צלעות לגבר</v>
      </c>
      <c r="D5678" s="19" t="n">
        <f aca="false">'CEMIUP0.9 Raw'!D121</f>
        <v>2</v>
      </c>
      <c r="E5678" s="19" t="n">
        <f aca="false">'CEMIUP0.9 Raw'!E121</f>
        <v>248.339</v>
      </c>
      <c r="F5678" s="19" t="n">
        <f aca="false">'CEMIUP0.9 Raw'!F121</f>
        <v>0</v>
      </c>
      <c r="G5678" s="19" t="n">
        <f aca="false">'CEMIUP0.9 Raw'!G121</f>
        <v>0</v>
      </c>
      <c r="H5678" s="18" t="str">
        <f aca="false">'CEMIUP0.9 Raw'!A121</f>
        <v>107 - Pharmacies</v>
      </c>
    </row>
    <row r="5679" customFormat="false" ht="15" hidden="false" customHeight="false" outlineLevel="0" collapsed="false">
      <c r="A5679" s="18" t="n">
        <f aca="false">'CEMIUP0.9 Raw'!B122</f>
        <v>4408126</v>
      </c>
      <c r="B5679" s="18" t="str">
        <f aca="false">'CEMIUP0.9 Raw'!C122</f>
        <v>15W XL חגורת צלעות לאשה</v>
      </c>
      <c r="C5679" s="18" t="str">
        <f aca="false">'CEMIUP0.9 Raw'!C122</f>
        <v>15W XL חגורת צלעות לאשה</v>
      </c>
      <c r="D5679" s="19" t="n">
        <f aca="false">'CEMIUP0.9 Raw'!D122</f>
        <v>1</v>
      </c>
      <c r="E5679" s="19" t="n">
        <f aca="false">'CEMIUP0.9 Raw'!E122</f>
        <v>127.946</v>
      </c>
      <c r="F5679" s="19" t="n">
        <f aca="false">'CEMIUP0.9 Raw'!F122</f>
        <v>0</v>
      </c>
      <c r="G5679" s="19" t="n">
        <f aca="false">'CEMIUP0.9 Raw'!G122</f>
        <v>0</v>
      </c>
      <c r="H5679" s="18" t="str">
        <f aca="false">'CEMIUP0.9 Raw'!A122</f>
        <v>107 - Pharmacies</v>
      </c>
    </row>
    <row r="5680" customFormat="false" ht="15" hidden="false" customHeight="false" outlineLevel="0" collapsed="false">
      <c r="A5680" s="18" t="n">
        <f aca="false">'CEMIUP0.9 Raw'!B123</f>
        <v>4408129</v>
      </c>
      <c r="B5680" s="18" t="str">
        <f aca="false">'CEMIUP0.9 Raw'!C123</f>
        <v>15M M חגורת צלעות לגבר</v>
      </c>
      <c r="C5680" s="18" t="str">
        <f aca="false">'CEMIUP0.9 Raw'!C123</f>
        <v>15M M חגורת צלעות לגבר</v>
      </c>
      <c r="D5680" s="19" t="n">
        <f aca="false">'CEMIUP0.9 Raw'!D123</f>
        <v>1</v>
      </c>
      <c r="E5680" s="19" t="n">
        <f aca="false">'CEMIUP0.9 Raw'!E123</f>
        <v>127.946</v>
      </c>
      <c r="F5680" s="19" t="n">
        <f aca="false">'CEMIUP0.9 Raw'!F123</f>
        <v>0</v>
      </c>
      <c r="G5680" s="19" t="n">
        <f aca="false">'CEMIUP0.9 Raw'!G123</f>
        <v>0</v>
      </c>
      <c r="H5680" s="18" t="str">
        <f aca="false">'CEMIUP0.9 Raw'!A123</f>
        <v>107 - Pharmacies</v>
      </c>
    </row>
    <row r="5681" customFormat="false" ht="15" hidden="false" customHeight="false" outlineLevel="0" collapsed="false">
      <c r="A5681" s="18" t="n">
        <f aca="false">'CEMIUP0.9 Raw'!B129</f>
        <v>4408140</v>
      </c>
      <c r="B5681" s="18" t="str">
        <f aca="false">'CEMIUP0.9 Raw'!C129</f>
        <v>06W S חגורת גב לנשים</v>
      </c>
      <c r="C5681" s="18" t="str">
        <f aca="false">'CEMIUP0.9 Raw'!C129</f>
        <v>06W S חגורת גב לנשים</v>
      </c>
      <c r="D5681" s="19" t="n">
        <f aca="false">'CEMIUP0.9 Raw'!D129</f>
        <v>1</v>
      </c>
      <c r="E5681" s="19" t="n">
        <f aca="false">'CEMIUP0.9 Raw'!E129</f>
        <v>140.504</v>
      </c>
      <c r="F5681" s="19" t="n">
        <f aca="false">'CEMIUP0.9 Raw'!F129</f>
        <v>0</v>
      </c>
      <c r="G5681" s="19" t="n">
        <f aca="false">'CEMIUP0.9 Raw'!G129</f>
        <v>0</v>
      </c>
      <c r="H5681" s="18" t="str">
        <f aca="false">'CEMIUP0.9 Raw'!A129</f>
        <v>107 - Pharmacies</v>
      </c>
    </row>
    <row r="5682" customFormat="false" ht="15" hidden="false" customHeight="false" outlineLevel="0" collapsed="false">
      <c r="A5682" s="18" t="n">
        <f aca="false">'CEMIUP0.9 Raw'!B130</f>
        <v>4408141</v>
      </c>
      <c r="B5682" s="18" t="str">
        <f aca="false">'CEMIUP0.9 Raw'!C130</f>
        <v>776 S  ח.גב גבוהה</v>
      </c>
      <c r="C5682" s="18" t="str">
        <f aca="false">'CEMIUP0.9 Raw'!C130</f>
        <v>776 S  ח.גב גבוהה</v>
      </c>
      <c r="D5682" s="19" t="n">
        <f aca="false">'CEMIUP0.9 Raw'!D130</f>
        <v>1</v>
      </c>
      <c r="E5682" s="19" t="n">
        <f aca="false">'CEMIUP0.9 Raw'!E130</f>
        <v>430.157</v>
      </c>
      <c r="F5682" s="19" t="n">
        <f aca="false">'CEMIUP0.9 Raw'!F130</f>
        <v>0</v>
      </c>
      <c r="G5682" s="19" t="n">
        <f aca="false">'CEMIUP0.9 Raw'!G130</f>
        <v>0</v>
      </c>
      <c r="H5682" s="18" t="str">
        <f aca="false">'CEMIUP0.9 Raw'!A130</f>
        <v>107 - Pharmacies</v>
      </c>
    </row>
    <row r="5683" customFormat="false" ht="15" hidden="false" customHeight="false" outlineLevel="0" collapsed="false">
      <c r="A5683" s="18" t="n">
        <f aca="false">'CEMIUP0.9 Raw'!B131</f>
        <v>4408142</v>
      </c>
      <c r="B5683" s="18" t="str">
        <f aca="false">'CEMIUP0.9 Raw'!C131</f>
        <v>776 M  ח.גב גבוהה</v>
      </c>
      <c r="C5683" s="18" t="str">
        <f aca="false">'CEMIUP0.9 Raw'!C131</f>
        <v>776 M  ח.גב גבוהה</v>
      </c>
      <c r="D5683" s="19" t="n">
        <f aca="false">'CEMIUP0.9 Raw'!D131</f>
        <v>1</v>
      </c>
      <c r="E5683" s="19" t="n">
        <f aca="false">'CEMIUP0.9 Raw'!E131</f>
        <v>430.157</v>
      </c>
      <c r="F5683" s="19" t="n">
        <f aca="false">'CEMIUP0.9 Raw'!F131</f>
        <v>0</v>
      </c>
      <c r="G5683" s="19" t="n">
        <f aca="false">'CEMIUP0.9 Raw'!G131</f>
        <v>0</v>
      </c>
      <c r="H5683" s="18" t="str">
        <f aca="false">'CEMIUP0.9 Raw'!A131</f>
        <v>107 - Pharmacies</v>
      </c>
    </row>
    <row r="5684" customFormat="false" ht="15" hidden="false" customHeight="false" outlineLevel="0" collapsed="false">
      <c r="A5684" s="18" t="n">
        <f aca="false">'CEMIUP0.9 Raw'!B132</f>
        <v>4408145</v>
      </c>
      <c r="B5684" s="18" t="str">
        <f aca="false">'CEMIUP0.9 Raw'!C132</f>
        <v>11PS S</v>
      </c>
      <c r="C5684" s="18" t="str">
        <f aca="false">'CEMIUP0.9 Raw'!C132</f>
        <v>11PS S</v>
      </c>
      <c r="D5684" s="19" t="n">
        <f aca="false">'CEMIUP0.9 Raw'!D132</f>
        <v>2</v>
      </c>
      <c r="E5684" s="19" t="n">
        <f aca="false">'CEMIUP0.9 Raw'!E132</f>
        <v>263.48</v>
      </c>
      <c r="F5684" s="19" t="n">
        <f aca="false">'CEMIUP0.9 Raw'!F132</f>
        <v>0</v>
      </c>
      <c r="G5684" s="19" t="n">
        <f aca="false">'CEMIUP0.9 Raw'!G132</f>
        <v>0</v>
      </c>
      <c r="H5684" s="18" t="str">
        <f aca="false">'CEMIUP0.9 Raw'!A132</f>
        <v>107 - Pharmacies</v>
      </c>
    </row>
    <row r="5685" customFormat="false" ht="15" hidden="false" customHeight="false" outlineLevel="0" collapsed="false">
      <c r="A5685" s="18" t="n">
        <f aca="false">'CEMIUP0.9 Raw'!B134</f>
        <v>4408148</v>
      </c>
      <c r="B5685" s="18" t="str">
        <f aca="false">'CEMIUP0.9 Raw'!C134</f>
        <v>11PS XLחגורה למנותחי בטן</v>
      </c>
      <c r="C5685" s="18" t="str">
        <f aca="false">'CEMIUP0.9 Raw'!C134</f>
        <v>11PS XLחגורה למנותחי בטן</v>
      </c>
      <c r="D5685" s="19" t="n">
        <f aca="false">'CEMIUP0.9 Raw'!D134</f>
        <v>6</v>
      </c>
      <c r="E5685" s="19" t="n">
        <f aca="false">'CEMIUP0.9 Raw'!E134</f>
        <v>758.253</v>
      </c>
      <c r="F5685" s="19" t="n">
        <f aca="false">'CEMIUP0.9 Raw'!F134</f>
        <v>0</v>
      </c>
      <c r="G5685" s="19" t="n">
        <f aca="false">'CEMIUP0.9 Raw'!G134</f>
        <v>0</v>
      </c>
      <c r="H5685" s="18" t="str">
        <f aca="false">'CEMIUP0.9 Raw'!A134</f>
        <v>107 - Pharmacies</v>
      </c>
    </row>
    <row r="5686" customFormat="false" ht="15" hidden="false" customHeight="false" outlineLevel="0" collapsed="false">
      <c r="A5686" s="18" t="n">
        <f aca="false">'CEMIUP0.9 Raw'!B136</f>
        <v>4408150</v>
      </c>
      <c r="B5686" s="18" t="str">
        <f aca="false">'CEMIUP0.9 Raw'!C136</f>
        <v>11TO S חגורה למנותחי בית החזה</v>
      </c>
      <c r="C5686" s="18" t="str">
        <f aca="false">'CEMIUP0.9 Raw'!C136</f>
        <v>11TO S חגורה למנותחי בית החזה</v>
      </c>
      <c r="D5686" s="19" t="n">
        <f aca="false">'CEMIUP0.9 Raw'!D136</f>
        <v>-1</v>
      </c>
      <c r="E5686" s="19" t="n">
        <f aca="false">'CEMIUP0.9 Raw'!E136</f>
        <v>-190.463</v>
      </c>
      <c r="F5686" s="19" t="n">
        <f aca="false">'CEMIUP0.9 Raw'!F136</f>
        <v>0</v>
      </c>
      <c r="G5686" s="19" t="n">
        <f aca="false">'CEMIUP0.9 Raw'!G136</f>
        <v>0</v>
      </c>
      <c r="H5686" s="18" t="str">
        <f aca="false">'CEMIUP0.9 Raw'!A136</f>
        <v>107 - Pharmacies</v>
      </c>
    </row>
    <row r="5687" customFormat="false" ht="15" hidden="false" customHeight="false" outlineLevel="0" collapsed="false">
      <c r="A5687" s="18" t="n">
        <f aca="false">'CEMIUP0.9 Raw'!B137</f>
        <v>4408151</v>
      </c>
      <c r="B5687" s="18" t="str">
        <f aca="false">'CEMIUP0.9 Raw'!C137</f>
        <v>11TO M חגורה למנותחי בית החזה</v>
      </c>
      <c r="C5687" s="18" t="str">
        <f aca="false">'CEMIUP0.9 Raw'!C137</f>
        <v>11TO M חגורה למנותחי בית החזה</v>
      </c>
      <c r="D5687" s="19" t="n">
        <f aca="false">'CEMIUP0.9 Raw'!D137</f>
        <v>2</v>
      </c>
      <c r="E5687" s="19" t="n">
        <f aca="false">'CEMIUP0.9 Raw'!E137</f>
        <v>257.166</v>
      </c>
      <c r="F5687" s="19" t="n">
        <f aca="false">'CEMIUP0.9 Raw'!F137</f>
        <v>0</v>
      </c>
      <c r="G5687" s="19" t="n">
        <f aca="false">'CEMIUP0.9 Raw'!G137</f>
        <v>36.0934736842105</v>
      </c>
      <c r="H5687" s="18" t="str">
        <f aca="false">'CEMIUP0.9 Raw'!A137</f>
        <v>107 - Pharmacies</v>
      </c>
    </row>
    <row r="5688" customFormat="false" ht="15" hidden="false" customHeight="false" outlineLevel="0" collapsed="false">
      <c r="A5688" s="18" t="n">
        <f aca="false">'CEMIUP0.9 Raw'!B141</f>
        <v>4408175</v>
      </c>
      <c r="B5688" s="18" t="str">
        <f aca="false">'CEMIUP0.9 Raw'!C141</f>
        <v>11 XS  חגורת בטן</v>
      </c>
      <c r="C5688" s="18" t="str">
        <f aca="false">'CEMIUP0.9 Raw'!C141</f>
        <v>11 XS  חגורת בטן</v>
      </c>
      <c r="D5688" s="19" t="n">
        <f aca="false">'CEMIUP0.9 Raw'!D141</f>
        <v>2</v>
      </c>
      <c r="E5688" s="19" t="n">
        <f aca="false">'CEMIUP0.9 Raw'!E141</f>
        <v>192.647</v>
      </c>
      <c r="F5688" s="19" t="n">
        <f aca="false">'CEMIUP0.9 Raw'!F141</f>
        <v>0</v>
      </c>
      <c r="G5688" s="19" t="n">
        <f aca="false">'CEMIUP0.9 Raw'!G141</f>
        <v>0</v>
      </c>
      <c r="H5688" s="18" t="str">
        <f aca="false">'CEMIUP0.9 Raw'!A141</f>
        <v>107 - Pharmacies</v>
      </c>
    </row>
    <row r="5689" customFormat="false" ht="15" hidden="false" customHeight="false" outlineLevel="0" collapsed="false">
      <c r="A5689" s="18" t="n">
        <f aca="false">'CEMIUP0.9 Raw'!B142</f>
        <v>4408177</v>
      </c>
      <c r="B5689" s="18" t="str">
        <f aca="false">'CEMIUP0.9 Raw'!C142</f>
        <v>13 M חגורה לשבר טבור</v>
      </c>
      <c r="C5689" s="18" t="str">
        <f aca="false">'CEMIUP0.9 Raw'!C142</f>
        <v>13 M חגורה לשבר טבור</v>
      </c>
      <c r="D5689" s="19" t="n">
        <f aca="false">'CEMIUP0.9 Raw'!D142</f>
        <v>1</v>
      </c>
      <c r="E5689" s="19" t="n">
        <f aca="false">'CEMIUP0.9 Raw'!E142</f>
        <v>142.87</v>
      </c>
      <c r="F5689" s="19" t="n">
        <f aca="false">'CEMIUP0.9 Raw'!F142</f>
        <v>0</v>
      </c>
      <c r="G5689" s="19" t="n">
        <f aca="false">'CEMIUP0.9 Raw'!G142</f>
        <v>0</v>
      </c>
      <c r="H5689" s="18" t="str">
        <f aca="false">'CEMIUP0.9 Raw'!A142</f>
        <v>107 - Pharmacies</v>
      </c>
    </row>
    <row r="5690" customFormat="false" ht="15" hidden="false" customHeight="false" outlineLevel="0" collapsed="false">
      <c r="A5690" s="18" t="n">
        <f aca="false">'CEMIUP0.9 Raw'!B143</f>
        <v>4408178</v>
      </c>
      <c r="B5690" s="18" t="str">
        <f aca="false">'CEMIUP0.9 Raw'!C143</f>
        <v>13 L חגורה לשבר טבור</v>
      </c>
      <c r="C5690" s="18" t="str">
        <f aca="false">'CEMIUP0.9 Raw'!C143</f>
        <v>13 L חגורה לשבר טבור</v>
      </c>
      <c r="D5690" s="19" t="n">
        <f aca="false">'CEMIUP0.9 Raw'!D143</f>
        <v>1</v>
      </c>
      <c r="E5690" s="19" t="n">
        <f aca="false">'CEMIUP0.9 Raw'!E143</f>
        <v>161.889</v>
      </c>
      <c r="F5690" s="19" t="n">
        <f aca="false">'CEMIUP0.9 Raw'!F143</f>
        <v>0</v>
      </c>
      <c r="G5690" s="19" t="n">
        <f aca="false">'CEMIUP0.9 Raw'!G143</f>
        <v>0</v>
      </c>
      <c r="H5690" s="18" t="str">
        <f aca="false">'CEMIUP0.9 Raw'!A143</f>
        <v>107 - Pharmacies</v>
      </c>
    </row>
    <row r="5691" customFormat="false" ht="15" hidden="false" customHeight="false" outlineLevel="0" collapsed="false">
      <c r="A5691" s="18" t="n">
        <f aca="false">'CEMIUP0.9 Raw'!B160</f>
        <v>4408225</v>
      </c>
      <c r="B5691" s="18" t="str">
        <f aca="false">'CEMIUP0.9 Raw'!C160</f>
        <v>M 11 אפורUG חגורת בטן</v>
      </c>
      <c r="C5691" s="18" t="str">
        <f aca="false">'CEMIUP0.9 Raw'!C160</f>
        <v>M 11 אפורUG חגורת בטן</v>
      </c>
      <c r="D5691" s="19" t="n">
        <f aca="false">'CEMIUP0.9 Raw'!D160</f>
        <v>3</v>
      </c>
      <c r="E5691" s="19" t="n">
        <f aca="false">'CEMIUP0.9 Raw'!E160</f>
        <v>262.717</v>
      </c>
      <c r="F5691" s="19" t="n">
        <f aca="false">'CEMIUP0.9 Raw'!F160</f>
        <v>0</v>
      </c>
      <c r="G5691" s="19" t="n">
        <f aca="false">'CEMIUP0.9 Raw'!G160</f>
        <v>0</v>
      </c>
      <c r="H5691" s="18" t="str">
        <f aca="false">'CEMIUP0.9 Raw'!A160</f>
        <v>107 - Pharmacies</v>
      </c>
    </row>
    <row r="5692" customFormat="false" ht="15" hidden="false" customHeight="false" outlineLevel="0" collapsed="false">
      <c r="A5692" s="18" t="n">
        <f aca="false">'CEMIUP0.9 Raw'!B161</f>
        <v>4408226</v>
      </c>
      <c r="B5692" s="18" t="str">
        <f aca="false">'CEMIUP0.9 Raw'!C161</f>
        <v>L 11 אפורUG חגורת בטן</v>
      </c>
      <c r="C5692" s="18" t="str">
        <f aca="false">'CEMIUP0.9 Raw'!C161</f>
        <v>L 11 אפורUG חגורת בטן</v>
      </c>
      <c r="D5692" s="19" t="n">
        <f aca="false">'CEMIUP0.9 Raw'!D161</f>
        <v>2</v>
      </c>
      <c r="E5692" s="19" t="n">
        <f aca="false">'CEMIUP0.9 Raw'!E161</f>
        <v>187.551</v>
      </c>
      <c r="F5692" s="19" t="n">
        <f aca="false">'CEMIUP0.9 Raw'!F161</f>
        <v>0</v>
      </c>
      <c r="G5692" s="19" t="n">
        <f aca="false">'CEMIUP0.9 Raw'!G161</f>
        <v>0</v>
      </c>
      <c r="H5692" s="18" t="str">
        <f aca="false">'CEMIUP0.9 Raw'!A161</f>
        <v>107 - Pharmacies</v>
      </c>
    </row>
    <row r="5693" customFormat="false" ht="15" hidden="false" customHeight="false" outlineLevel="0" collapsed="false">
      <c r="A5693" s="18" t="n">
        <f aca="false">'CEMIUP0.9 Raw'!B162</f>
        <v>4408227</v>
      </c>
      <c r="B5693" s="18" t="str">
        <f aca="false">'CEMIUP0.9 Raw'!C162</f>
        <v>XL 11 אפורUG חגורת בטן</v>
      </c>
      <c r="C5693" s="18" t="str">
        <f aca="false">'CEMIUP0.9 Raw'!C162</f>
        <v>XL 11 אפורUG חגורת בטן</v>
      </c>
      <c r="D5693" s="19" t="n">
        <f aca="false">'CEMIUP0.9 Raw'!D162</f>
        <v>1</v>
      </c>
      <c r="E5693" s="19" t="n">
        <f aca="false">'CEMIUP0.9 Raw'!E162</f>
        <v>93.821</v>
      </c>
      <c r="F5693" s="19" t="n">
        <f aca="false">'CEMIUP0.9 Raw'!F162</f>
        <v>0</v>
      </c>
      <c r="G5693" s="19" t="n">
        <f aca="false">'CEMIUP0.9 Raw'!G162</f>
        <v>0</v>
      </c>
      <c r="H5693" s="18" t="str">
        <f aca="false">'CEMIUP0.9 Raw'!A162</f>
        <v>107 - Pharmacies</v>
      </c>
    </row>
    <row r="5694" customFormat="false" ht="15" hidden="false" customHeight="false" outlineLevel="0" collapsed="false">
      <c r="A5694" s="18" t="n">
        <f aca="false">'CEMIUP0.9 Raw'!B167</f>
        <v>4408234</v>
      </c>
      <c r="B5694" s="18" t="str">
        <f aca="false">'CEMIUP0.9 Raw'!C167</f>
        <v>078C M'חגורת גב+סגירה כפו בז</v>
      </c>
      <c r="C5694" s="18" t="str">
        <f aca="false">'CEMIUP0.9 Raw'!C167</f>
        <v>078C M'חגורת גב+סגירה כפו בז</v>
      </c>
      <c r="D5694" s="19" t="n">
        <f aca="false">'CEMIUP0.9 Raw'!D167</f>
        <v>-1</v>
      </c>
      <c r="E5694" s="19" t="n">
        <f aca="false">'CEMIUP0.9 Raw'!E167</f>
        <v>-121.303</v>
      </c>
      <c r="F5694" s="19" t="n">
        <f aca="false">'CEMIUP0.9 Raw'!F167</f>
        <v>0</v>
      </c>
      <c r="G5694" s="19" t="n">
        <f aca="false">'CEMIUP0.9 Raw'!G167</f>
        <v>-42.6454736842105</v>
      </c>
      <c r="H5694" s="18" t="str">
        <f aca="false">'CEMIUP0.9 Raw'!A167</f>
        <v>107 - Pharmacies</v>
      </c>
    </row>
    <row r="5695" customFormat="false" ht="15" hidden="false" customHeight="false" outlineLevel="0" collapsed="false">
      <c r="A5695" s="18" t="n">
        <f aca="false">'CEMIUP0.9 Raw'!B217</f>
        <v>4413000</v>
      </c>
      <c r="B5695" s="18" t="str">
        <f aca="false">'CEMIUP0.9 Raw'!C217</f>
        <v>30 S מגן קרסול מתכוון עם סקוטש</v>
      </c>
      <c r="C5695" s="18" t="str">
        <f aca="false">'CEMIUP0.9 Raw'!C217</f>
        <v>30 S מגן קרסול מתכוון עם סקוטש</v>
      </c>
      <c r="D5695" s="19" t="n">
        <f aca="false">'CEMIUP0.9 Raw'!D217</f>
        <v>6</v>
      </c>
      <c r="E5695" s="19" t="n">
        <f aca="false">'CEMIUP0.9 Raw'!E217</f>
        <v>353.717</v>
      </c>
      <c r="F5695" s="19" t="n">
        <f aca="false">'CEMIUP0.9 Raw'!F217</f>
        <v>0</v>
      </c>
      <c r="G5695" s="19" t="n">
        <f aca="false">'CEMIUP0.9 Raw'!G217</f>
        <v>0</v>
      </c>
      <c r="H5695" s="18" t="str">
        <f aca="false">'CEMIUP0.9 Raw'!A217</f>
        <v>107 - Pharmacies</v>
      </c>
    </row>
    <row r="5696" customFormat="false" ht="15" hidden="false" customHeight="false" outlineLevel="0" collapsed="false">
      <c r="A5696" s="18" t="n">
        <f aca="false">'CEMIUP0.9 Raw'!B218</f>
        <v>4413002</v>
      </c>
      <c r="B5696" s="18" t="str">
        <f aca="false">'CEMIUP0.9 Raw'!C218</f>
        <v>30 L מגן קרסול מתכוון עם סקוטש</v>
      </c>
      <c r="C5696" s="18" t="str">
        <f aca="false">'CEMIUP0.9 Raw'!C218</f>
        <v>30 L מגן קרסול מתכוון עם סקוטש</v>
      </c>
      <c r="D5696" s="19" t="n">
        <f aca="false">'CEMIUP0.9 Raw'!D218</f>
        <v>14</v>
      </c>
      <c r="E5696" s="19" t="n">
        <f aca="false">'CEMIUP0.9 Raw'!E218</f>
        <v>834.47</v>
      </c>
      <c r="F5696" s="19" t="n">
        <f aca="false">'CEMIUP0.9 Raw'!F218</f>
        <v>0</v>
      </c>
      <c r="G5696" s="19" t="n">
        <f aca="false">'CEMIUP0.9 Raw'!G218</f>
        <v>0</v>
      </c>
      <c r="H5696" s="18" t="str">
        <f aca="false">'CEMIUP0.9 Raw'!A218</f>
        <v>107 - Pharmacies</v>
      </c>
    </row>
    <row r="5697" customFormat="false" ht="15" hidden="false" customHeight="false" outlineLevel="0" collapsed="false">
      <c r="A5697" s="18" t="n">
        <f aca="false">'CEMIUP0.9 Raw'!B219</f>
        <v>4413003</v>
      </c>
      <c r="B5697" s="18" t="str">
        <f aca="false">'CEMIUP0.9 Raw'!C219</f>
        <v>30 M מגן קרסול מתכוון עם סקוטש</v>
      </c>
      <c r="C5697" s="18" t="str">
        <f aca="false">'CEMIUP0.9 Raw'!C219</f>
        <v>30 M מגן קרסול מתכוון עם סקוטש</v>
      </c>
      <c r="D5697" s="19" t="n">
        <f aca="false">'CEMIUP0.9 Raw'!D219</f>
        <v>6</v>
      </c>
      <c r="E5697" s="19" t="n">
        <f aca="false">'CEMIUP0.9 Raw'!E219</f>
        <v>339.521</v>
      </c>
      <c r="F5697" s="19" t="n">
        <f aca="false">'CEMIUP0.9 Raw'!F219</f>
        <v>0</v>
      </c>
      <c r="G5697" s="19" t="n">
        <f aca="false">'CEMIUP0.9 Raw'!G219</f>
        <v>0</v>
      </c>
      <c r="H5697" s="18" t="str">
        <f aca="false">'CEMIUP0.9 Raw'!A219</f>
        <v>107 - Pharmacies</v>
      </c>
    </row>
    <row r="5698" customFormat="false" ht="15" hidden="false" customHeight="false" outlineLevel="0" collapsed="false">
      <c r="A5698" s="18" t="n">
        <f aca="false">'CEMIUP0.9 Raw'!B220</f>
        <v>4413004</v>
      </c>
      <c r="B5698" s="18" t="str">
        <f aca="false">'CEMIUP0.9 Raw'!C220</f>
        <v>30 XL מגן קרסול מתכוון סקוטש</v>
      </c>
      <c r="C5698" s="18" t="str">
        <f aca="false">'CEMIUP0.9 Raw'!C220</f>
        <v>30 XL מגן קרסול מתכוון סקוטש</v>
      </c>
      <c r="D5698" s="19" t="n">
        <f aca="false">'CEMIUP0.9 Raw'!D220</f>
        <v>11</v>
      </c>
      <c r="E5698" s="19" t="n">
        <f aca="false">'CEMIUP0.9 Raw'!E220</f>
        <v>647.465</v>
      </c>
      <c r="F5698" s="19" t="n">
        <f aca="false">'CEMIUP0.9 Raw'!F220</f>
        <v>0</v>
      </c>
      <c r="G5698" s="19" t="n">
        <f aca="false">'CEMIUP0.9 Raw'!G220</f>
        <v>0</v>
      </c>
      <c r="H5698" s="18" t="str">
        <f aca="false">'CEMIUP0.9 Raw'!A220</f>
        <v>107 - Pharmacies</v>
      </c>
    </row>
    <row r="5699" customFormat="false" ht="15" hidden="false" customHeight="false" outlineLevel="0" collapsed="false">
      <c r="A5699" s="18" t="n">
        <f aca="false">'CEMIUP0.9 Raw'!B221</f>
        <v>4413005</v>
      </c>
      <c r="B5699" s="18" t="str">
        <f aca="false">'CEMIUP0.9 Raw'!C221</f>
        <v>30 XXL מגן קרסול מתכוון+סקוטש</v>
      </c>
      <c r="C5699" s="18" t="str">
        <f aca="false">'CEMIUP0.9 Raw'!C221</f>
        <v>30 XXL מגן קרסול מתכוון+סקוטש</v>
      </c>
      <c r="D5699" s="19" t="n">
        <f aca="false">'CEMIUP0.9 Raw'!D221</f>
        <v>2</v>
      </c>
      <c r="E5699" s="19" t="n">
        <f aca="false">'CEMIUP0.9 Raw'!E221</f>
        <v>118.664</v>
      </c>
      <c r="F5699" s="19" t="n">
        <f aca="false">'CEMIUP0.9 Raw'!F221</f>
        <v>0</v>
      </c>
      <c r="G5699" s="19" t="n">
        <f aca="false">'CEMIUP0.9 Raw'!G221</f>
        <v>0</v>
      </c>
      <c r="H5699" s="18" t="str">
        <f aca="false">'CEMIUP0.9 Raw'!A221</f>
        <v>107 - Pharmacies</v>
      </c>
    </row>
    <row r="5700" customFormat="false" ht="15" hidden="false" customHeight="false" outlineLevel="0" collapsed="false">
      <c r="A5700" s="18" t="n">
        <f aca="false">'CEMIUP0.9 Raw'!B224</f>
        <v>4413020</v>
      </c>
      <c r="B5700" s="18" t="str">
        <f aca="false">'CEMIUP0.9 Raw'!C224</f>
        <v>303 41-42 מדרסי סיליק.לח.סכרת</v>
      </c>
      <c r="C5700" s="18" t="str">
        <f aca="false">'CEMIUP0.9 Raw'!C224</f>
        <v>303 41-42 מדרסי סיליק.לח.סכרת</v>
      </c>
      <c r="D5700" s="19" t="n">
        <f aca="false">'CEMIUP0.9 Raw'!D224</f>
        <v>6</v>
      </c>
      <c r="E5700" s="19" t="n">
        <f aca="false">'CEMIUP0.9 Raw'!E224</f>
        <v>642.915</v>
      </c>
      <c r="F5700" s="19" t="n">
        <f aca="false">'CEMIUP0.9 Raw'!F224</f>
        <v>0</v>
      </c>
      <c r="G5700" s="19" t="n">
        <f aca="false">'CEMIUP0.9 Raw'!G224</f>
        <v>27.2425263157895</v>
      </c>
      <c r="H5700" s="18" t="str">
        <f aca="false">'CEMIUP0.9 Raw'!A224</f>
        <v>107 - Pharmacies</v>
      </c>
    </row>
    <row r="5701" customFormat="false" ht="15" hidden="false" customHeight="false" outlineLevel="0" collapsed="false">
      <c r="A5701" s="18" t="n">
        <f aca="false">'CEMIUP0.9 Raw'!B233</f>
        <v>4413045</v>
      </c>
      <c r="B5701" s="18" t="str">
        <f aca="false">'CEMIUP0.9 Raw'!C233</f>
        <v>34 XS מגן קרסול עקב סגור</v>
      </c>
      <c r="C5701" s="18" t="str">
        <f aca="false">'CEMIUP0.9 Raw'!C233</f>
        <v>34 XS מגן קרסול עקב סגור</v>
      </c>
      <c r="D5701" s="19" t="n">
        <f aca="false">'CEMIUP0.9 Raw'!D233</f>
        <v>10</v>
      </c>
      <c r="E5701" s="19" t="n">
        <f aca="false">'CEMIUP0.9 Raw'!E233</f>
        <v>399.672</v>
      </c>
      <c r="F5701" s="19" t="n">
        <f aca="false">'CEMIUP0.9 Raw'!F233</f>
        <v>0</v>
      </c>
      <c r="G5701" s="19" t="n">
        <f aca="false">'CEMIUP0.9 Raw'!G233</f>
        <v>0</v>
      </c>
      <c r="H5701" s="18" t="str">
        <f aca="false">'CEMIUP0.9 Raw'!A233</f>
        <v>107 - Pharmacies</v>
      </c>
    </row>
    <row r="5702" customFormat="false" ht="15" hidden="false" customHeight="false" outlineLevel="0" collapsed="false">
      <c r="A5702" s="18" t="n">
        <f aca="false">'CEMIUP0.9 Raw'!B251</f>
        <v>4413069</v>
      </c>
      <c r="B5702" s="18" t="str">
        <f aca="false">'CEMIUP0.9 Raw'!C251</f>
        <v>388L סד לילה לבוהן</v>
      </c>
      <c r="C5702" s="18" t="str">
        <f aca="false">'CEMIUP0.9 Raw'!C251</f>
        <v>388L סד לילה לבוהן</v>
      </c>
      <c r="D5702" s="19" t="n">
        <f aca="false">'CEMIUP0.9 Raw'!D251</f>
        <v>-2</v>
      </c>
      <c r="E5702" s="19" t="n">
        <f aca="false">'CEMIUP0.9 Raw'!E251</f>
        <v>-138.411</v>
      </c>
      <c r="F5702" s="19" t="n">
        <f aca="false">'CEMIUP0.9 Raw'!F251</f>
        <v>0</v>
      </c>
      <c r="G5702" s="19" t="n">
        <f aca="false">'CEMIUP0.9 Raw'!G251</f>
        <v>0</v>
      </c>
      <c r="H5702" s="18" t="str">
        <f aca="false">'CEMIUP0.9 Raw'!A251</f>
        <v>107 - Pharmacies</v>
      </c>
    </row>
    <row r="5703" customFormat="false" ht="15" hidden="false" customHeight="false" outlineLevel="0" collapsed="false">
      <c r="A5703" s="18" t="n">
        <f aca="false">'CEMIUP0.9 Raw'!B252</f>
        <v>4413070</v>
      </c>
      <c r="B5703" s="18" t="str">
        <f aca="false">'CEMIUP0.9 Raw'!C252</f>
        <v>388R סד לילה לבוהן</v>
      </c>
      <c r="C5703" s="18" t="str">
        <f aca="false">'CEMIUP0.9 Raw'!C252</f>
        <v>388R סד לילה לבוהן</v>
      </c>
      <c r="D5703" s="19" t="n">
        <f aca="false">'CEMIUP0.9 Raw'!D252</f>
        <v>-1</v>
      </c>
      <c r="E5703" s="19" t="n">
        <f aca="false">'CEMIUP0.9 Raw'!E252</f>
        <v>-67.34</v>
      </c>
      <c r="F5703" s="19" t="n">
        <f aca="false">'CEMIUP0.9 Raw'!F252</f>
        <v>0</v>
      </c>
      <c r="G5703" s="19" t="n">
        <f aca="false">'CEMIUP0.9 Raw'!G252</f>
        <v>0</v>
      </c>
      <c r="H5703" s="18" t="str">
        <f aca="false">'CEMIUP0.9 Raw'!A252</f>
        <v>107 - Pharmacies</v>
      </c>
    </row>
    <row r="5704" customFormat="false" ht="15" hidden="false" customHeight="false" outlineLevel="0" collapsed="false">
      <c r="A5704" s="18" t="n">
        <f aca="false">'CEMIUP0.9 Raw'!B253</f>
        <v>4413071</v>
      </c>
      <c r="B5704" s="18" t="str">
        <f aca="false">'CEMIUP0.9 Raw'!C253</f>
        <v>41 Sמ.ברך מוצלב+ספירלות בצדדים</v>
      </c>
      <c r="C5704" s="18" t="str">
        <f aca="false">'CEMIUP0.9 Raw'!C253</f>
        <v>41 Sמ.ברך מוצלב+ספירלות בצדדים</v>
      </c>
      <c r="D5704" s="19" t="n">
        <f aca="false">'CEMIUP0.9 Raw'!D253</f>
        <v>1</v>
      </c>
      <c r="E5704" s="19" t="n">
        <f aca="false">'CEMIUP0.9 Raw'!E253</f>
        <v>107.471</v>
      </c>
      <c r="F5704" s="19" t="n">
        <f aca="false">'CEMIUP0.9 Raw'!F253</f>
        <v>0</v>
      </c>
      <c r="G5704" s="19" t="n">
        <f aca="false">'CEMIUP0.9 Raw'!G253</f>
        <v>0</v>
      </c>
      <c r="H5704" s="18" t="str">
        <f aca="false">'CEMIUP0.9 Raw'!A253</f>
        <v>107 - Pharmacies</v>
      </c>
    </row>
    <row r="5705" customFormat="false" ht="15" hidden="false" customHeight="false" outlineLevel="0" collapsed="false">
      <c r="A5705" s="18" t="n">
        <f aca="false">'CEMIUP0.9 Raw'!B260</f>
        <v>4413087</v>
      </c>
      <c r="B5705" s="18" t="str">
        <f aca="false">'CEMIUP0.9 Raw'!C260</f>
        <v>422 Lמ.ברך+כרית סיל.סביב לפיקה</v>
      </c>
      <c r="C5705" s="18" t="str">
        <f aca="false">'CEMIUP0.9 Raw'!C260</f>
        <v>422 Lמ.ברך+כרית סיל.סביב לפיקה</v>
      </c>
      <c r="D5705" s="19" t="n">
        <f aca="false">'CEMIUP0.9 Raw'!D260</f>
        <v>5</v>
      </c>
      <c r="E5705" s="19" t="n">
        <f aca="false">'CEMIUP0.9 Raw'!E260</f>
        <v>818.545</v>
      </c>
      <c r="F5705" s="19" t="n">
        <f aca="false">'CEMIUP0.9 Raw'!F260</f>
        <v>0</v>
      </c>
      <c r="G5705" s="19" t="n">
        <f aca="false">'CEMIUP0.9 Raw'!G260</f>
        <v>0</v>
      </c>
      <c r="H5705" s="18" t="str">
        <f aca="false">'CEMIUP0.9 Raw'!A260</f>
        <v>107 - Pharmacies</v>
      </c>
    </row>
    <row r="5706" customFormat="false" ht="15" hidden="false" customHeight="false" outlineLevel="0" collapsed="false">
      <c r="A5706" s="18" t="n">
        <f aca="false">'CEMIUP0.9 Raw'!B261</f>
        <v>4413088</v>
      </c>
      <c r="B5706" s="18" t="str">
        <f aca="false">'CEMIUP0.9 Raw'!C261</f>
        <v>422 Mמ.ברך+כרית סיל.סביב לפיקה</v>
      </c>
      <c r="C5706" s="18" t="str">
        <f aca="false">'CEMIUP0.9 Raw'!C261</f>
        <v>422 Mמ.ברך+כרית סיל.סביב לפיקה</v>
      </c>
      <c r="D5706" s="19" t="n">
        <f aca="false">'CEMIUP0.9 Raw'!D261</f>
        <v>2</v>
      </c>
      <c r="E5706" s="19" t="n">
        <f aca="false">'CEMIUP0.9 Raw'!E261</f>
        <v>318.227</v>
      </c>
      <c r="F5706" s="19" t="n">
        <f aca="false">'CEMIUP0.9 Raw'!F261</f>
        <v>0</v>
      </c>
      <c r="G5706" s="19" t="n">
        <f aca="false">'CEMIUP0.9 Raw'!G261</f>
        <v>0</v>
      </c>
      <c r="H5706" s="18" t="str">
        <f aca="false">'CEMIUP0.9 Raw'!A261</f>
        <v>107 - Pharmacies</v>
      </c>
    </row>
    <row r="5707" customFormat="false" ht="15" hidden="false" customHeight="false" outlineLevel="0" collapsed="false">
      <c r="A5707" s="18" t="n">
        <f aca="false">'CEMIUP0.9 Raw'!B263</f>
        <v>4413090</v>
      </c>
      <c r="B5707" s="18" t="str">
        <f aca="false">'CEMIUP0.9 Raw'!C263</f>
        <v>422 XLמ.ברך+כרית סיל.סביב לפיק</v>
      </c>
      <c r="C5707" s="18" t="str">
        <f aca="false">'CEMIUP0.9 Raw'!C263</f>
        <v>422 XLמ.ברך+כרית סיל.סביב לפיק</v>
      </c>
      <c r="D5707" s="19" t="n">
        <f aca="false">'CEMIUP0.9 Raw'!D263</f>
        <v>8</v>
      </c>
      <c r="E5707" s="19" t="n">
        <f aca="false">'CEMIUP0.9 Raw'!E263</f>
        <v>1318.772</v>
      </c>
      <c r="F5707" s="19" t="n">
        <f aca="false">'CEMIUP0.9 Raw'!F263</f>
        <v>0</v>
      </c>
      <c r="G5707" s="19" t="n">
        <f aca="false">'CEMIUP0.9 Raw'!G263</f>
        <v>0</v>
      </c>
      <c r="H5707" s="18" t="str">
        <f aca="false">'CEMIUP0.9 Raw'!A263</f>
        <v>107 - Pharmacies</v>
      </c>
    </row>
    <row r="5708" customFormat="false" ht="15" hidden="false" customHeight="false" outlineLevel="0" collapsed="false">
      <c r="A5708" s="18" t="n">
        <f aca="false">'CEMIUP0.9 Raw'!B264</f>
        <v>4413091</v>
      </c>
      <c r="B5708" s="18" t="str">
        <f aca="false">'CEMIUP0.9 Raw'!C264</f>
        <v>422 XXLמ.ברך+כרית סיל.סב. פיקה</v>
      </c>
      <c r="C5708" s="18" t="str">
        <f aca="false">'CEMIUP0.9 Raw'!C264</f>
        <v>422 XXLמ.ברך+כרית סיל.סב. פיקה</v>
      </c>
      <c r="D5708" s="19" t="n">
        <f aca="false">'CEMIUP0.9 Raw'!D264</f>
        <v>2</v>
      </c>
      <c r="E5708" s="19" t="n">
        <f aca="false">'CEMIUP0.9 Raw'!E264</f>
        <v>341.159</v>
      </c>
      <c r="F5708" s="19" t="n">
        <f aca="false">'CEMIUP0.9 Raw'!F264</f>
        <v>0</v>
      </c>
      <c r="G5708" s="19" t="n">
        <f aca="false">'CEMIUP0.9 Raw'!G264</f>
        <v>0</v>
      </c>
      <c r="H5708" s="18" t="str">
        <f aca="false">'CEMIUP0.9 Raw'!A264</f>
        <v>107 - Pharmacies</v>
      </c>
    </row>
    <row r="5709" customFormat="false" ht="15" hidden="false" customHeight="false" outlineLevel="0" collapsed="false">
      <c r="A5709" s="18" t="n">
        <f aca="false">'CEMIUP0.9 Raw'!B283</f>
        <v>4413110</v>
      </c>
      <c r="B5709" s="18" t="str">
        <f aca="false">'CEMIUP0.9 Raw'!C283</f>
        <v>48 XXL מגן ברך מחמם</v>
      </c>
      <c r="C5709" s="18" t="str">
        <f aca="false">'CEMIUP0.9 Raw'!C283</f>
        <v>48 XXL מגן ברך מחמם</v>
      </c>
      <c r="D5709" s="19" t="n">
        <f aca="false">'CEMIUP0.9 Raw'!D283</f>
        <v>2</v>
      </c>
      <c r="E5709" s="19" t="n">
        <f aca="false">'CEMIUP0.9 Raw'!E283</f>
        <v>96.278</v>
      </c>
      <c r="F5709" s="19" t="n">
        <f aca="false">'CEMIUP0.9 Raw'!F283</f>
        <v>0</v>
      </c>
      <c r="G5709" s="19" t="n">
        <f aca="false">'CEMIUP0.9 Raw'!G283</f>
        <v>0</v>
      </c>
      <c r="H5709" s="18" t="str">
        <f aca="false">'CEMIUP0.9 Raw'!A283</f>
        <v>107 - Pharmacies</v>
      </c>
    </row>
    <row r="5710" customFormat="false" ht="15" hidden="false" customHeight="false" outlineLevel="0" collapsed="false">
      <c r="A5710" s="18" t="n">
        <f aca="false">'CEMIUP0.9 Raw'!B293</f>
        <v>4413120</v>
      </c>
      <c r="B5710" s="18" t="str">
        <f aca="false">'CEMIUP0.9 Raw'!C293</f>
        <v>50 XXL מתלה אשכים לאחר ניתוח</v>
      </c>
      <c r="C5710" s="18" t="str">
        <f aca="false">'CEMIUP0.9 Raw'!C293</f>
        <v>50 XXL מתלה אשכים לאחר ניתוח</v>
      </c>
      <c r="D5710" s="19" t="n">
        <f aca="false">'CEMIUP0.9 Raw'!D293</f>
        <v>5</v>
      </c>
      <c r="E5710" s="19" t="n">
        <f aca="false">'CEMIUP0.9 Raw'!E293</f>
        <v>444.626</v>
      </c>
      <c r="F5710" s="19" t="n">
        <f aca="false">'CEMIUP0.9 Raw'!F293</f>
        <v>0</v>
      </c>
      <c r="G5710" s="19" t="n">
        <f aca="false">'CEMIUP0.9 Raw'!G293</f>
        <v>0</v>
      </c>
      <c r="H5710" s="18" t="str">
        <f aca="false">'CEMIUP0.9 Raw'!A293</f>
        <v>107 - Pharmacies</v>
      </c>
    </row>
    <row r="5711" customFormat="false" ht="15" hidden="false" customHeight="false" outlineLevel="0" collapsed="false">
      <c r="A5711" s="18" t="n">
        <f aca="false">'CEMIUP0.9 Raw'!B329</f>
        <v>4413166</v>
      </c>
      <c r="B5711" s="18" t="str">
        <f aca="false">'CEMIUP0.9 Raw'!C329</f>
        <v>80 S תתמתלה ליד רצועה</v>
      </c>
      <c r="C5711" s="18" t="str">
        <f aca="false">'CEMIUP0.9 Raw'!C329</f>
        <v>80 S תתמתלה ליד רצועה</v>
      </c>
      <c r="D5711" s="19" t="n">
        <f aca="false">'CEMIUP0.9 Raw'!D329</f>
        <v>-1</v>
      </c>
      <c r="E5711" s="19" t="n">
        <f aca="false">'CEMIUP0.9 Raw'!E329</f>
        <v>-34.398</v>
      </c>
      <c r="F5711" s="19" t="n">
        <f aca="false">'CEMIUP0.9 Raw'!F329</f>
        <v>0</v>
      </c>
      <c r="G5711" s="19" t="n">
        <f aca="false">'CEMIUP0.9 Raw'!G329</f>
        <v>0</v>
      </c>
      <c r="H5711" s="18" t="str">
        <f aca="false">'CEMIUP0.9 Raw'!A329</f>
        <v>107 - Pharmacies</v>
      </c>
    </row>
    <row r="5712" customFormat="false" ht="15" hidden="false" customHeight="false" outlineLevel="0" collapsed="false">
      <c r="A5712" s="18" t="n">
        <f aca="false">'CEMIUP0.9 Raw'!B330</f>
        <v>4413169</v>
      </c>
      <c r="B5712" s="18" t="str">
        <f aca="false">'CEMIUP0.9 Raw'!C330</f>
        <v>T402 S מיצב פיקה</v>
      </c>
      <c r="C5712" s="18" t="str">
        <f aca="false">'CEMIUP0.9 Raw'!C330</f>
        <v>T402 S מיצב פיקה</v>
      </c>
      <c r="D5712" s="19" t="n">
        <f aca="false">'CEMIUP0.9 Raw'!D330</f>
        <v>1</v>
      </c>
      <c r="E5712" s="19" t="n">
        <f aca="false">'CEMIUP0.9 Raw'!E330</f>
        <v>86.086</v>
      </c>
      <c r="F5712" s="19" t="n">
        <f aca="false">'CEMIUP0.9 Raw'!F330</f>
        <v>0</v>
      </c>
      <c r="G5712" s="19" t="n">
        <f aca="false">'CEMIUP0.9 Raw'!G330</f>
        <v>0</v>
      </c>
      <c r="H5712" s="18" t="str">
        <f aca="false">'CEMIUP0.9 Raw'!A330</f>
        <v>107 - Pharmacies</v>
      </c>
    </row>
    <row r="5713" customFormat="false" ht="15" hidden="false" customHeight="false" outlineLevel="0" collapsed="false">
      <c r="A5713" s="18" t="n">
        <f aca="false">'CEMIUP0.9 Raw'!B331</f>
        <v>4413170</v>
      </c>
      <c r="B5713" s="18" t="str">
        <f aca="false">'CEMIUP0.9 Raw'!C331</f>
        <v>T402 M מיצב פיקה</v>
      </c>
      <c r="C5713" s="18" t="str">
        <f aca="false">'CEMIUP0.9 Raw'!C331</f>
        <v>T402 M מיצב פיקה</v>
      </c>
      <c r="D5713" s="19" t="n">
        <f aca="false">'CEMIUP0.9 Raw'!D331</f>
        <v>1</v>
      </c>
      <c r="E5713" s="19" t="n">
        <f aca="false">'CEMIUP0.9 Raw'!E331</f>
        <v>85.995</v>
      </c>
      <c r="F5713" s="19" t="n">
        <f aca="false">'CEMIUP0.9 Raw'!F331</f>
        <v>0</v>
      </c>
      <c r="G5713" s="19" t="n">
        <f aca="false">'CEMIUP0.9 Raw'!G331</f>
        <v>0</v>
      </c>
      <c r="H5713" s="18" t="str">
        <f aca="false">'CEMIUP0.9 Raw'!A331</f>
        <v>107 - Pharmacies</v>
      </c>
    </row>
    <row r="5714" customFormat="false" ht="15" hidden="false" customHeight="false" outlineLevel="0" collapsed="false">
      <c r="A5714" s="18" t="n">
        <f aca="false">'CEMIUP0.9 Raw'!B332</f>
        <v>4413171</v>
      </c>
      <c r="B5714" s="18" t="str">
        <f aca="false">'CEMIUP0.9 Raw'!C332</f>
        <v>T402 L מיצב פיקה</v>
      </c>
      <c r="C5714" s="18" t="str">
        <f aca="false">'CEMIUP0.9 Raw'!C332</f>
        <v>T402 L מיצב פיקה</v>
      </c>
      <c r="D5714" s="19" t="n">
        <f aca="false">'CEMIUP0.9 Raw'!D332</f>
        <v>3</v>
      </c>
      <c r="E5714" s="19" t="n">
        <f aca="false">'CEMIUP0.9 Raw'!E332</f>
        <v>246.701</v>
      </c>
      <c r="F5714" s="19" t="n">
        <f aca="false">'CEMIUP0.9 Raw'!F332</f>
        <v>0</v>
      </c>
      <c r="G5714" s="19" t="n">
        <f aca="false">'CEMIUP0.9 Raw'!G332</f>
        <v>0</v>
      </c>
      <c r="H5714" s="18" t="str">
        <f aca="false">'CEMIUP0.9 Raw'!A332</f>
        <v>107 - Pharmacies</v>
      </c>
    </row>
    <row r="5715" customFormat="false" ht="15" hidden="false" customHeight="false" outlineLevel="0" collapsed="false">
      <c r="A5715" s="18" t="n">
        <f aca="false">'CEMIUP0.9 Raw'!B333</f>
        <v>4413172</v>
      </c>
      <c r="B5715" s="18" t="str">
        <f aca="false">'CEMIUP0.9 Raw'!C333</f>
        <v>T402 XL מיצב פיקה</v>
      </c>
      <c r="C5715" s="18" t="str">
        <f aca="false">'CEMIUP0.9 Raw'!C333</f>
        <v>T402 XL מיצב פיקה</v>
      </c>
      <c r="D5715" s="19" t="n">
        <f aca="false">'CEMIUP0.9 Raw'!D333</f>
        <v>4</v>
      </c>
      <c r="E5715" s="19" t="n">
        <f aca="false">'CEMIUP0.9 Raw'!E333</f>
        <v>332.696</v>
      </c>
      <c r="F5715" s="19" t="n">
        <f aca="false">'CEMIUP0.9 Raw'!F333</f>
        <v>0</v>
      </c>
      <c r="G5715" s="19" t="n">
        <f aca="false">'CEMIUP0.9 Raw'!G333</f>
        <v>0</v>
      </c>
      <c r="H5715" s="18" t="str">
        <f aca="false">'CEMIUP0.9 Raw'!A333</f>
        <v>107 - Pharmacies</v>
      </c>
    </row>
    <row r="5716" customFormat="false" ht="15" hidden="false" customHeight="false" outlineLevel="0" collapsed="false">
      <c r="A5716" s="18" t="n">
        <f aca="false">'CEMIUP0.9 Raw'!B334</f>
        <v>4413173</v>
      </c>
      <c r="B5716" s="18" t="str">
        <f aca="false">'CEMIUP0.9 Raw'!C334</f>
        <v>T402 XXL מיצב פיקה</v>
      </c>
      <c r="C5716" s="18" t="str">
        <f aca="false">'CEMIUP0.9 Raw'!C334</f>
        <v>T402 XXL מיצב פיקה</v>
      </c>
      <c r="D5716" s="19" t="n">
        <f aca="false">'CEMIUP0.9 Raw'!D334</f>
        <v>1</v>
      </c>
      <c r="E5716" s="19" t="n">
        <f aca="false">'CEMIUP0.9 Raw'!E334</f>
        <v>74.62</v>
      </c>
      <c r="F5716" s="19" t="n">
        <f aca="false">'CEMIUP0.9 Raw'!F334</f>
        <v>0</v>
      </c>
      <c r="G5716" s="19" t="n">
        <f aca="false">'CEMIUP0.9 Raw'!G334</f>
        <v>0</v>
      </c>
      <c r="H5716" s="18" t="str">
        <f aca="false">'CEMIUP0.9 Raw'!A334</f>
        <v>107 - Pharmacies</v>
      </c>
    </row>
    <row r="5717" customFormat="false" ht="15" hidden="false" customHeight="false" outlineLevel="0" collapsed="false">
      <c r="A5717" s="18" t="n">
        <f aca="false">'CEMIUP0.9 Raw'!B335</f>
        <v>4413174</v>
      </c>
      <c r="B5717" s="18" t="str">
        <f aca="false">'CEMIUP0.9 Raw'!C335</f>
        <v>85+ Sמתלה ליד)כיס(+רצועת חיזוק</v>
      </c>
      <c r="C5717" s="18" t="str">
        <f aca="false">'CEMIUP0.9 Raw'!C335</f>
        <v>85+ Sמתלה ליד)כיס(+רצועת חיזוק</v>
      </c>
      <c r="D5717" s="19" t="n">
        <f aca="false">'CEMIUP0.9 Raw'!D335</f>
        <v>1</v>
      </c>
      <c r="E5717" s="19" t="n">
        <f aca="false">'CEMIUP0.9 Raw'!E335</f>
        <v>85.995</v>
      </c>
      <c r="F5717" s="19" t="n">
        <f aca="false">'CEMIUP0.9 Raw'!F335</f>
        <v>0</v>
      </c>
      <c r="G5717" s="19" t="n">
        <f aca="false">'CEMIUP0.9 Raw'!G335</f>
        <v>0</v>
      </c>
      <c r="H5717" s="18" t="str">
        <f aca="false">'CEMIUP0.9 Raw'!A335</f>
        <v>107 - Pharmacies</v>
      </c>
    </row>
    <row r="5718" customFormat="false" ht="15" hidden="false" customHeight="false" outlineLevel="0" collapsed="false">
      <c r="A5718" s="18" t="n">
        <f aca="false">'CEMIUP0.9 Raw'!B339</f>
        <v>4413178</v>
      </c>
      <c r="B5718" s="18" t="str">
        <f aca="false">'CEMIUP0.9 Raw'!C339</f>
        <v>T39 XL מגן שוק</v>
      </c>
      <c r="C5718" s="18" t="str">
        <f aca="false">'CEMIUP0.9 Raw'!C339</f>
        <v>T39 XL מגן שוק</v>
      </c>
      <c r="D5718" s="19" t="n">
        <f aca="false">'CEMIUP0.9 Raw'!D339</f>
        <v>1</v>
      </c>
      <c r="E5718" s="19" t="n">
        <f aca="false">'CEMIUP0.9 Raw'!E339</f>
        <v>84.994</v>
      </c>
      <c r="F5718" s="19" t="n">
        <f aca="false">'CEMIUP0.9 Raw'!F339</f>
        <v>0</v>
      </c>
      <c r="G5718" s="19" t="n">
        <f aca="false">'CEMIUP0.9 Raw'!G339</f>
        <v>0</v>
      </c>
      <c r="H5718" s="18" t="str">
        <f aca="false">'CEMIUP0.9 Raw'!A339</f>
        <v>107 - Pharmacies</v>
      </c>
    </row>
    <row r="5719" customFormat="false" ht="15" hidden="false" customHeight="false" outlineLevel="0" collapsed="false">
      <c r="A5719" s="18" t="n">
        <f aca="false">'CEMIUP0.9 Raw'!B340</f>
        <v>4413179</v>
      </c>
      <c r="B5719" s="18" t="str">
        <f aca="false">'CEMIUP0.9 Raw'!C340</f>
        <v>T39  M מגן שוק</v>
      </c>
      <c r="C5719" s="18" t="str">
        <f aca="false">'CEMIUP0.9 Raw'!C340</f>
        <v>T39  M מגן שוק</v>
      </c>
      <c r="D5719" s="19" t="n">
        <f aca="false">'CEMIUP0.9 Raw'!D340</f>
        <v>4</v>
      </c>
      <c r="E5719" s="19" t="n">
        <f aca="false">'CEMIUP0.9 Raw'!E340</f>
        <v>366.093</v>
      </c>
      <c r="F5719" s="19" t="n">
        <f aca="false">'CEMIUP0.9 Raw'!F340</f>
        <v>0</v>
      </c>
      <c r="G5719" s="19" t="n">
        <f aca="false">'CEMIUP0.9 Raw'!G340</f>
        <v>0</v>
      </c>
      <c r="H5719" s="18" t="str">
        <f aca="false">'CEMIUP0.9 Raw'!A340</f>
        <v>107 - Pharmacies</v>
      </c>
    </row>
    <row r="5720" customFormat="false" ht="15" hidden="false" customHeight="false" outlineLevel="0" collapsed="false">
      <c r="A5720" s="18" t="n">
        <f aca="false">'CEMIUP0.9 Raw'!B341</f>
        <v>4413180</v>
      </c>
      <c r="B5720" s="18" t="str">
        <f aca="false">'CEMIUP0.9 Raw'!C341</f>
        <v>T39 S</v>
      </c>
      <c r="C5720" s="18" t="str">
        <f aca="false">'CEMIUP0.9 Raw'!C341</f>
        <v>T39 S</v>
      </c>
      <c r="D5720" s="19" t="n">
        <f aca="false">'CEMIUP0.9 Raw'!D341</f>
        <v>2</v>
      </c>
      <c r="E5720" s="19" t="n">
        <f aca="false">'CEMIUP0.9 Raw'!E341</f>
        <v>207.91</v>
      </c>
      <c r="F5720" s="19" t="n">
        <f aca="false">'CEMIUP0.9 Raw'!F341</f>
        <v>0</v>
      </c>
      <c r="G5720" s="19" t="n">
        <f aca="false">'CEMIUP0.9 Raw'!G341</f>
        <v>0</v>
      </c>
      <c r="H5720" s="18" t="str">
        <f aca="false">'CEMIUP0.9 Raw'!A341</f>
        <v>107 - Pharmacies</v>
      </c>
    </row>
    <row r="5721" customFormat="false" ht="15" hidden="false" customHeight="false" outlineLevel="0" collapsed="false">
      <c r="A5721" s="18" t="n">
        <f aca="false">'CEMIUP0.9 Raw'!B342</f>
        <v>4413181</v>
      </c>
      <c r="B5721" s="18" t="str">
        <f aca="false">'CEMIUP0.9 Raw'!C342</f>
        <v>T39  L מגן שוק</v>
      </c>
      <c r="C5721" s="18" t="str">
        <f aca="false">'CEMIUP0.9 Raw'!C342</f>
        <v>T39  L מגן שוק</v>
      </c>
      <c r="D5721" s="19" t="n">
        <f aca="false">'CEMIUP0.9 Raw'!D342</f>
        <v>3</v>
      </c>
      <c r="E5721" s="19" t="n">
        <f aca="false">'CEMIUP0.9 Raw'!E342</f>
        <v>281.099</v>
      </c>
      <c r="F5721" s="19" t="n">
        <f aca="false">'CEMIUP0.9 Raw'!F342</f>
        <v>0</v>
      </c>
      <c r="G5721" s="19" t="n">
        <f aca="false">'CEMIUP0.9 Raw'!G342</f>
        <v>0</v>
      </c>
      <c r="H5721" s="18" t="str">
        <f aca="false">'CEMIUP0.9 Raw'!A342</f>
        <v>107 - Pharmacies</v>
      </c>
    </row>
    <row r="5722" customFormat="false" ht="15" hidden="false" customHeight="false" outlineLevel="0" collapsed="false">
      <c r="A5722" s="18" t="n">
        <f aca="false">'CEMIUP0.9 Raw'!B353</f>
        <v>4413225</v>
      </c>
      <c r="B5722" s="18" t="str">
        <f aca="false">'CEMIUP0.9 Raw'!C353</f>
        <v>T45X M מגן ברך רגיל</v>
      </c>
      <c r="C5722" s="18" t="str">
        <f aca="false">'CEMIUP0.9 Raw'!C353</f>
        <v>T45X M מגן ברך רגיל</v>
      </c>
      <c r="D5722" s="19" t="n">
        <f aca="false">'CEMIUP0.9 Raw'!D353</f>
        <v>1</v>
      </c>
      <c r="E5722" s="19" t="n">
        <f aca="false">'CEMIUP0.9 Raw'!E353</f>
        <v>107.926</v>
      </c>
      <c r="F5722" s="19" t="n">
        <f aca="false">'CEMIUP0.9 Raw'!F353</f>
        <v>0</v>
      </c>
      <c r="G5722" s="19" t="n">
        <f aca="false">'CEMIUP0.9 Raw'!G353</f>
        <v>0</v>
      </c>
      <c r="H5722" s="18" t="str">
        <f aca="false">'CEMIUP0.9 Raw'!A353</f>
        <v>107 - Pharmacies</v>
      </c>
    </row>
    <row r="5723" customFormat="false" ht="15" hidden="false" customHeight="false" outlineLevel="0" collapsed="false">
      <c r="A5723" s="18" t="n">
        <f aca="false">'CEMIUP0.9 Raw'!B354</f>
        <v>4413226</v>
      </c>
      <c r="B5723" s="18" t="str">
        <f aca="false">'CEMIUP0.9 Raw'!C354</f>
        <v>T45X L מגן ברך רגיל</v>
      </c>
      <c r="C5723" s="18" t="str">
        <f aca="false">'CEMIUP0.9 Raw'!C354</f>
        <v>T45X L מגן ברך רגיל</v>
      </c>
      <c r="D5723" s="19" t="n">
        <f aca="false">'CEMIUP0.9 Raw'!D354</f>
        <v>2</v>
      </c>
      <c r="E5723" s="19" t="n">
        <f aca="false">'CEMIUP0.9 Raw'!E354</f>
        <v>215.761</v>
      </c>
      <c r="F5723" s="19" t="n">
        <f aca="false">'CEMIUP0.9 Raw'!F354</f>
        <v>0</v>
      </c>
      <c r="G5723" s="19" t="n">
        <f aca="false">'CEMIUP0.9 Raw'!G354</f>
        <v>0</v>
      </c>
      <c r="H5723" s="18" t="str">
        <f aca="false">'CEMIUP0.9 Raw'!A354</f>
        <v>107 - Pharmacies</v>
      </c>
    </row>
    <row r="5724" customFormat="false" ht="15" hidden="false" customHeight="false" outlineLevel="0" collapsed="false">
      <c r="A5724" s="18" t="n">
        <f aca="false">'CEMIUP0.9 Raw'!B356</f>
        <v>4413262</v>
      </c>
      <c r="B5724" s="18" t="str">
        <f aca="false">'CEMIUP0.9 Raw'!C356</f>
        <v>76 XXL מישר כתפיים רחב</v>
      </c>
      <c r="C5724" s="18" t="str">
        <f aca="false">'CEMIUP0.9 Raw'!C356</f>
        <v>76 XXL מישר כתפיים רחב</v>
      </c>
      <c r="D5724" s="19" t="n">
        <f aca="false">'CEMIUP0.9 Raw'!D356</f>
        <v>2</v>
      </c>
      <c r="E5724" s="19" t="n">
        <f aca="false">'CEMIUP0.9 Raw'!E356</f>
        <v>372.554</v>
      </c>
      <c r="F5724" s="19" t="n">
        <f aca="false">'CEMIUP0.9 Raw'!F356</f>
        <v>0</v>
      </c>
      <c r="G5724" s="19" t="n">
        <f aca="false">'CEMIUP0.9 Raw'!G356</f>
        <v>0</v>
      </c>
      <c r="H5724" s="18" t="str">
        <f aca="false">'CEMIUP0.9 Raw'!A356</f>
        <v>107 - Pharmacies</v>
      </c>
    </row>
    <row r="5725" customFormat="false" ht="15" hidden="false" customHeight="false" outlineLevel="0" collapsed="false">
      <c r="A5725" s="18" t="n">
        <f aca="false">'CEMIUP0.9 Raw'!B360</f>
        <v>4413282</v>
      </c>
      <c r="B5725" s="18" t="str">
        <f aca="false">'CEMIUP0.9 Raw'!C360</f>
        <v>422E XL מגן ברך ארוך עם כרית</v>
      </c>
      <c r="C5725" s="18" t="str">
        <f aca="false">'CEMIUP0.9 Raw'!C360</f>
        <v>422E XL מגן ברך ארוך עם כרית</v>
      </c>
      <c r="D5725" s="19" t="n">
        <f aca="false">'CEMIUP0.9 Raw'!D360</f>
        <v>0</v>
      </c>
      <c r="E5725" s="19" t="n">
        <f aca="false">'CEMIUP0.9 Raw'!E360</f>
        <v>-12.285</v>
      </c>
      <c r="F5725" s="19" t="n">
        <f aca="false">'CEMIUP0.9 Raw'!F360</f>
        <v>0</v>
      </c>
      <c r="G5725" s="19" t="n">
        <f aca="false">'CEMIUP0.9 Raw'!G360</f>
        <v>0</v>
      </c>
      <c r="H5725" s="18" t="str">
        <f aca="false">'CEMIUP0.9 Raw'!A360</f>
        <v>107 - Pharmacies</v>
      </c>
    </row>
    <row r="5726" customFormat="false" ht="15" hidden="false" customHeight="false" outlineLevel="0" collapsed="false">
      <c r="A5726" s="18" t="n">
        <f aca="false">'CEMIUP0.9 Raw'!B361</f>
        <v>4413283</v>
      </c>
      <c r="B5726" s="18" t="str">
        <f aca="false">'CEMIUP0.9 Raw'!C361</f>
        <v>422E XXL מגן ברך ארוך עם כרית</v>
      </c>
      <c r="C5726" s="18" t="str">
        <f aca="false">'CEMIUP0.9 Raw'!C361</f>
        <v>422E XXL מגן ברך ארוך עם כרית</v>
      </c>
      <c r="D5726" s="19" t="n">
        <f aca="false">'CEMIUP0.9 Raw'!D361</f>
        <v>1</v>
      </c>
      <c r="E5726" s="19" t="n">
        <f aca="false">'CEMIUP0.9 Raw'!E361</f>
        <v>172.718</v>
      </c>
      <c r="F5726" s="19" t="n">
        <f aca="false">'CEMIUP0.9 Raw'!F361</f>
        <v>0</v>
      </c>
      <c r="G5726" s="19" t="n">
        <f aca="false">'CEMIUP0.9 Raw'!G361</f>
        <v>0</v>
      </c>
      <c r="H5726" s="18" t="str">
        <f aca="false">'CEMIUP0.9 Raw'!A361</f>
        <v>107 - Pharmacies</v>
      </c>
    </row>
    <row r="5727" customFormat="false" ht="15" hidden="false" customHeight="false" outlineLevel="0" collapsed="false">
      <c r="A5727" s="18" t="n">
        <f aca="false">'CEMIUP0.9 Raw'!B364</f>
        <v>4413303</v>
      </c>
      <c r="B5727" s="18" t="str">
        <f aca="false">'CEMIUP0.9 Raw'!C364</f>
        <v>34+XXL מ.קרסול+עכב סגור+רצועות</v>
      </c>
      <c r="C5727" s="18" t="str">
        <f aca="false">'CEMIUP0.9 Raw'!C364</f>
        <v>34+XXL מ.קרסול+עכב סגור+רצועות</v>
      </c>
      <c r="D5727" s="19" t="n">
        <f aca="false">'CEMIUP0.9 Raw'!D364</f>
        <v>5</v>
      </c>
      <c r="E5727" s="19" t="n">
        <f aca="false">'CEMIUP0.9 Raw'!E364</f>
        <v>315.406</v>
      </c>
      <c r="F5727" s="19" t="n">
        <f aca="false">'CEMIUP0.9 Raw'!F364</f>
        <v>0</v>
      </c>
      <c r="G5727" s="19" t="n">
        <f aca="false">'CEMIUP0.9 Raw'!G364</f>
        <v>0</v>
      </c>
      <c r="H5727" s="18" t="str">
        <f aca="false">'CEMIUP0.9 Raw'!A364</f>
        <v>107 - Pharmacies</v>
      </c>
    </row>
    <row r="5728" customFormat="false" ht="15" hidden="false" customHeight="false" outlineLevel="0" collapsed="false">
      <c r="A5728" s="18" t="n">
        <f aca="false">'CEMIUP0.9 Raw'!B366</f>
        <v>4413324</v>
      </c>
      <c r="B5728" s="18" t="str">
        <f aca="false">'CEMIUP0.9 Raw'!C366</f>
        <v>35 XS מגן קרסול לבן</v>
      </c>
      <c r="C5728" s="18" t="str">
        <f aca="false">'CEMIUP0.9 Raw'!C366</f>
        <v>35 XS מגן קרסול לבן</v>
      </c>
      <c r="D5728" s="19" t="n">
        <f aca="false">'CEMIUP0.9 Raw'!D366</f>
        <v>8</v>
      </c>
      <c r="E5728" s="19" t="n">
        <f aca="false">'CEMIUP0.9 Raw'!E366</f>
        <v>219.219</v>
      </c>
      <c r="F5728" s="19" t="n">
        <f aca="false">'CEMIUP0.9 Raw'!F366</f>
        <v>0</v>
      </c>
      <c r="G5728" s="19" t="n">
        <f aca="false">'CEMIUP0.9 Raw'!G366</f>
        <v>0</v>
      </c>
      <c r="H5728" s="18" t="str">
        <f aca="false">'CEMIUP0.9 Raw'!A366</f>
        <v>107 - Pharmacies</v>
      </c>
    </row>
    <row r="5729" customFormat="false" ht="15" hidden="false" customHeight="false" outlineLevel="0" collapsed="false">
      <c r="A5729" s="18" t="n">
        <f aca="false">'CEMIUP0.9 Raw'!B373</f>
        <v>4413335</v>
      </c>
      <c r="B5729" s="18" t="str">
        <f aca="false">'CEMIUP0.9 Raw'!C373</f>
        <v>322-S מגן קרסול+כרית סילקון</v>
      </c>
      <c r="C5729" s="18" t="str">
        <f aca="false">'CEMIUP0.9 Raw'!C373</f>
        <v>322-S מגן קרסול+כרית סילקון</v>
      </c>
      <c r="D5729" s="19" t="n">
        <f aca="false">'CEMIUP0.9 Raw'!D373</f>
        <v>2</v>
      </c>
      <c r="E5729" s="19" t="n">
        <f aca="false">'CEMIUP0.9 Raw'!E373</f>
        <v>232.505</v>
      </c>
      <c r="F5729" s="19" t="n">
        <f aca="false">'CEMIUP0.9 Raw'!F373</f>
        <v>0</v>
      </c>
      <c r="G5729" s="19" t="n">
        <f aca="false">'CEMIUP0.9 Raw'!G373</f>
        <v>0</v>
      </c>
      <c r="H5729" s="18" t="str">
        <f aca="false">'CEMIUP0.9 Raw'!A373</f>
        <v>107 - Pharmacies</v>
      </c>
    </row>
    <row r="5730" customFormat="false" ht="15" hidden="false" customHeight="false" outlineLevel="0" collapsed="false">
      <c r="A5730" s="18" t="n">
        <f aca="false">'CEMIUP0.9 Raw'!B374</f>
        <v>4413336</v>
      </c>
      <c r="B5730" s="18" t="str">
        <f aca="false">'CEMIUP0.9 Raw'!C374</f>
        <v>322-M מגן קרסול+כרית סילקון</v>
      </c>
      <c r="C5730" s="18" t="str">
        <f aca="false">'CEMIUP0.9 Raw'!C374</f>
        <v>322-M מגן קרסול+כרית סילקון</v>
      </c>
      <c r="D5730" s="19" t="n">
        <f aca="false">'CEMIUP0.9 Raw'!D374</f>
        <v>1</v>
      </c>
      <c r="E5730" s="19" t="n">
        <f aca="false">'CEMIUP0.9 Raw'!E374</f>
        <v>116.389</v>
      </c>
      <c r="F5730" s="19" t="n">
        <f aca="false">'CEMIUP0.9 Raw'!F374</f>
        <v>0</v>
      </c>
      <c r="G5730" s="19" t="n">
        <f aca="false">'CEMIUP0.9 Raw'!G374</f>
        <v>0</v>
      </c>
      <c r="H5730" s="18" t="str">
        <f aca="false">'CEMIUP0.9 Raw'!A374</f>
        <v>107 - Pharmacies</v>
      </c>
    </row>
    <row r="5731" customFormat="false" ht="15" hidden="false" customHeight="false" outlineLevel="0" collapsed="false">
      <c r="A5731" s="18" t="n">
        <f aca="false">'CEMIUP0.9 Raw'!B376</f>
        <v>4413338</v>
      </c>
      <c r="B5731" s="18" t="str">
        <f aca="false">'CEMIUP0.9 Raw'!C376</f>
        <v>322XXLמגן קרסול+כרית סילקון</v>
      </c>
      <c r="C5731" s="18" t="str">
        <f aca="false">'CEMIUP0.9 Raw'!C376</f>
        <v>322XXLמגן קרסול+כרית סילקון</v>
      </c>
      <c r="D5731" s="19" t="n">
        <f aca="false">'CEMIUP0.9 Raw'!D376</f>
        <v>1</v>
      </c>
      <c r="E5731" s="19" t="n">
        <f aca="false">'CEMIUP0.9 Raw'!E376</f>
        <v>116.116</v>
      </c>
      <c r="F5731" s="19" t="n">
        <f aca="false">'CEMIUP0.9 Raw'!F376</f>
        <v>0</v>
      </c>
      <c r="G5731" s="19" t="n">
        <f aca="false">'CEMIUP0.9 Raw'!G376</f>
        <v>0</v>
      </c>
      <c r="H5731" s="18" t="str">
        <f aca="false">'CEMIUP0.9 Raw'!A376</f>
        <v>107 - Pharmacies</v>
      </c>
    </row>
    <row r="5732" customFormat="false" ht="15" hidden="false" customHeight="false" outlineLevel="0" collapsed="false">
      <c r="A5732" s="18" t="n">
        <f aca="false">'CEMIUP0.9 Raw'!B379</f>
        <v>4413341</v>
      </c>
      <c r="B5732" s="18" t="str">
        <f aca="false">'CEMIUP0.9 Raw'!C379</f>
        <v>422N L מ.ברך אפור+כרית סיליקון</v>
      </c>
      <c r="C5732" s="18" t="str">
        <f aca="false">'CEMIUP0.9 Raw'!C379</f>
        <v>422N L מ.ברך אפור+כרית סיליקון</v>
      </c>
      <c r="D5732" s="19" t="n">
        <f aca="false">'CEMIUP0.9 Raw'!D379</f>
        <v>3</v>
      </c>
      <c r="E5732" s="19" t="n">
        <f aca="false">'CEMIUP0.9 Raw'!E379</f>
        <v>466.284</v>
      </c>
      <c r="F5732" s="19" t="n">
        <f aca="false">'CEMIUP0.9 Raw'!F379</f>
        <v>0</v>
      </c>
      <c r="G5732" s="19" t="n">
        <f aca="false">'CEMIUP0.9 Raw'!G379</f>
        <v>0</v>
      </c>
      <c r="H5732" s="18" t="str">
        <f aca="false">'CEMIUP0.9 Raw'!A379</f>
        <v>107 - Pharmacies</v>
      </c>
    </row>
    <row r="5733" customFormat="false" ht="15" hidden="false" customHeight="false" outlineLevel="0" collapsed="false">
      <c r="A5733" s="18" t="n">
        <f aca="false">'CEMIUP0.9 Raw'!B380</f>
        <v>4413342</v>
      </c>
      <c r="B5733" s="18" t="str">
        <f aca="false">'CEMIUP0.9 Raw'!C380</f>
        <v>422N M מ.ברך אפור+כרית סיליקון</v>
      </c>
      <c r="C5733" s="18" t="str">
        <f aca="false">'CEMIUP0.9 Raw'!C380</f>
        <v>422N M מ.ברך אפור+כרית סיליקון</v>
      </c>
      <c r="D5733" s="19" t="n">
        <f aca="false">'CEMIUP0.9 Raw'!D380</f>
        <v>4</v>
      </c>
      <c r="E5733" s="19" t="n">
        <f aca="false">'CEMIUP0.9 Raw'!E380</f>
        <v>623.441</v>
      </c>
      <c r="F5733" s="19" t="n">
        <f aca="false">'CEMIUP0.9 Raw'!F380</f>
        <v>0</v>
      </c>
      <c r="G5733" s="19" t="n">
        <f aca="false">'CEMIUP0.9 Raw'!G380</f>
        <v>0</v>
      </c>
      <c r="H5733" s="18" t="str">
        <f aca="false">'CEMIUP0.9 Raw'!A380</f>
        <v>107 - Pharmacies</v>
      </c>
    </row>
    <row r="5734" customFormat="false" ht="15" hidden="false" customHeight="false" outlineLevel="0" collapsed="false">
      <c r="A5734" s="18" t="n">
        <f aca="false">'CEMIUP0.9 Raw'!B381</f>
        <v>4413344</v>
      </c>
      <c r="B5734" s="18" t="str">
        <f aca="false">'CEMIUP0.9 Raw'!C381</f>
        <v>422N XLמ.ברך אפור+כרית סיליקון</v>
      </c>
      <c r="C5734" s="18" t="str">
        <f aca="false">'CEMIUP0.9 Raw'!C381</f>
        <v>422N XLמ.ברך אפור+כרית סיליקון</v>
      </c>
      <c r="D5734" s="19" t="n">
        <f aca="false">'CEMIUP0.9 Raw'!D381</f>
        <v>1</v>
      </c>
      <c r="E5734" s="19" t="n">
        <f aca="false">'CEMIUP0.9 Raw'!E381</f>
        <v>159.25</v>
      </c>
      <c r="F5734" s="19" t="n">
        <f aca="false">'CEMIUP0.9 Raw'!F381</f>
        <v>0</v>
      </c>
      <c r="G5734" s="19" t="n">
        <f aca="false">'CEMIUP0.9 Raw'!G381</f>
        <v>0</v>
      </c>
      <c r="H5734" s="18" t="str">
        <f aca="false">'CEMIUP0.9 Raw'!A381</f>
        <v>107 - Pharmacies</v>
      </c>
    </row>
    <row r="5735" customFormat="false" ht="15" hidden="false" customHeight="false" outlineLevel="0" collapsed="false">
      <c r="A5735" s="18" t="n">
        <f aca="false">'CEMIUP0.9 Raw'!B382</f>
        <v>4413345</v>
      </c>
      <c r="B5735" s="18" t="str">
        <f aca="false">'CEMIUP0.9 Raw'!C382</f>
        <v>422N XXL.מ.ברך אפור+כרית סיליק</v>
      </c>
      <c r="C5735" s="18" t="str">
        <f aca="false">'CEMIUP0.9 Raw'!C382</f>
        <v>422N XXL.מ.ברך אפור+כרית סיליק</v>
      </c>
      <c r="D5735" s="19" t="n">
        <f aca="false">'CEMIUP0.9 Raw'!D382</f>
        <v>3</v>
      </c>
      <c r="E5735" s="19" t="n">
        <f aca="false">'CEMIUP0.9 Raw'!E382</f>
        <v>477.568</v>
      </c>
      <c r="F5735" s="19" t="n">
        <f aca="false">'CEMIUP0.9 Raw'!F382</f>
        <v>0</v>
      </c>
      <c r="G5735" s="19" t="n">
        <f aca="false">'CEMIUP0.9 Raw'!G382</f>
        <v>0</v>
      </c>
      <c r="H5735" s="18" t="str">
        <f aca="false">'CEMIUP0.9 Raw'!A382</f>
        <v>107 - Pharmacies</v>
      </c>
    </row>
    <row r="5736" customFormat="false" ht="15" hidden="false" customHeight="false" outlineLevel="0" collapsed="false">
      <c r="A5736" s="18" t="n">
        <f aca="false">'CEMIUP0.9 Raw'!B400</f>
        <v>4413403</v>
      </c>
      <c r="B5736" s="18" t="str">
        <f aca="false">'CEMIUP0.9 Raw'!C400</f>
        <v>78A L מגן למפרק כתף</v>
      </c>
      <c r="C5736" s="18" t="str">
        <f aca="false">'CEMIUP0.9 Raw'!C400</f>
        <v>78A L מגן למפרק כתף</v>
      </c>
      <c r="D5736" s="19" t="n">
        <f aca="false">'CEMIUP0.9 Raw'!D400</f>
        <v>-1</v>
      </c>
      <c r="E5736" s="19" t="n">
        <f aca="false">'CEMIUP0.9 Raw'!E400</f>
        <v>-150.514</v>
      </c>
      <c r="F5736" s="19" t="n">
        <f aca="false">'CEMIUP0.9 Raw'!F400</f>
        <v>0</v>
      </c>
      <c r="G5736" s="19" t="n">
        <f aca="false">'CEMIUP0.9 Raw'!G400</f>
        <v>0</v>
      </c>
      <c r="H5736" s="18" t="str">
        <f aca="false">'CEMIUP0.9 Raw'!A400</f>
        <v>107 - Pharmacies</v>
      </c>
    </row>
    <row r="5737" customFormat="false" ht="15" hidden="false" customHeight="false" outlineLevel="0" collapsed="false">
      <c r="A5737" s="18" t="n">
        <f aca="false">'CEMIUP0.9 Raw'!B409</f>
        <v>4413419</v>
      </c>
      <c r="B5737" s="18" t="str">
        <f aca="false">'CEMIUP0.9 Raw'!C409</f>
        <v>SC39 XXLמגן שוק</v>
      </c>
      <c r="C5737" s="18" t="str">
        <f aca="false">'CEMIUP0.9 Raw'!C409</f>
        <v>SC39 XXLמגן שוק</v>
      </c>
      <c r="D5737" s="19" t="n">
        <f aca="false">'CEMIUP0.9 Raw'!D409</f>
        <v>0</v>
      </c>
      <c r="E5737" s="19" t="n">
        <f aca="false">'CEMIUP0.9 Raw'!E409</f>
        <v>20.384</v>
      </c>
      <c r="F5737" s="19" t="n">
        <f aca="false">'CEMIUP0.9 Raw'!F409</f>
        <v>0</v>
      </c>
      <c r="G5737" s="19" t="n">
        <f aca="false">'CEMIUP0.9 Raw'!G409</f>
        <v>0</v>
      </c>
      <c r="H5737" s="18" t="str">
        <f aca="false">'CEMIUP0.9 Raw'!A409</f>
        <v>107 - Pharmacies</v>
      </c>
    </row>
    <row r="5738" customFormat="false" ht="15" hidden="false" customHeight="false" outlineLevel="0" collapsed="false">
      <c r="A5738" s="18" t="n">
        <f aca="false">'CEMIUP0.9 Raw'!B423</f>
        <v>4413444</v>
      </c>
      <c r="B5738" s="18" t="str">
        <f aca="false">'CEMIUP0.9 Raw'!C423</f>
        <v>302SP M מדרס ג'ל ספורט לגבר</v>
      </c>
      <c r="C5738" s="18" t="str">
        <f aca="false">'CEMIUP0.9 Raw'!C423</f>
        <v>302SP M מדרס ג'ל ספורט לגבר</v>
      </c>
      <c r="D5738" s="19" t="n">
        <f aca="false">'CEMIUP0.9 Raw'!D423</f>
        <v>-2</v>
      </c>
      <c r="E5738" s="19" t="n">
        <f aca="false">'CEMIUP0.9 Raw'!E423</f>
        <v>-131.495</v>
      </c>
      <c r="F5738" s="19" t="n">
        <f aca="false">'CEMIUP0.9 Raw'!F423</f>
        <v>0</v>
      </c>
      <c r="G5738" s="19" t="n">
        <f aca="false">'CEMIUP0.9 Raw'!G423</f>
        <v>0</v>
      </c>
      <c r="H5738" s="18" t="str">
        <f aca="false">'CEMIUP0.9 Raw'!A423</f>
        <v>107 - Pharmacies</v>
      </c>
    </row>
    <row r="5739" customFormat="false" ht="15" hidden="false" customHeight="false" outlineLevel="0" collapsed="false">
      <c r="A5739" s="18" t="n">
        <f aca="false">'CEMIUP0.9 Raw'!B432</f>
        <v>4413464</v>
      </c>
      <c r="B5739" s="18" t="str">
        <f aca="false">'CEMIUP0.9 Raw'!C432</f>
        <v>605XL מסכה אלה</v>
      </c>
      <c r="C5739" s="18" t="str">
        <f aca="false">'CEMIUP0.9 Raw'!C432</f>
        <v>605XL מסכה אלה</v>
      </c>
      <c r="D5739" s="19" t="n">
        <f aca="false">'CEMIUP0.9 Raw'!D432</f>
        <v>-4</v>
      </c>
      <c r="E5739" s="19" t="n">
        <f aca="false">'CEMIUP0.9 Raw'!E432</f>
        <v>-29.575</v>
      </c>
      <c r="F5739" s="19" t="n">
        <f aca="false">'CEMIUP0.9 Raw'!F432</f>
        <v>0</v>
      </c>
      <c r="G5739" s="19" t="n">
        <f aca="false">'CEMIUP0.9 Raw'!G432</f>
        <v>0</v>
      </c>
      <c r="H5739" s="18" t="str">
        <f aca="false">'CEMIUP0.9 Raw'!A432</f>
        <v>107 - Pharmacies</v>
      </c>
    </row>
    <row r="5740" customFormat="false" ht="15" hidden="false" customHeight="false" outlineLevel="0" collapsed="false">
      <c r="A5740" s="18" t="n">
        <f aca="false">'CEMIUP0.9 Raw'!B433</f>
        <v>4413482</v>
      </c>
      <c r="B5740" s="18" t="str">
        <f aca="false">'CEMIUP0.9 Raw'!C433</f>
        <v>310Lמדרס 3/4לכאבי דורבן וספורט</v>
      </c>
      <c r="C5740" s="18" t="str">
        <f aca="false">'CEMIUP0.9 Raw'!C433</f>
        <v>310Lמדרס 3/4לכאבי דורבן וספורט</v>
      </c>
      <c r="D5740" s="19" t="n">
        <f aca="false">'CEMIUP0.9 Raw'!D433</f>
        <v>-1</v>
      </c>
      <c r="E5740" s="19" t="n">
        <f aca="false">'CEMIUP0.9 Raw'!E433</f>
        <v>-68.796</v>
      </c>
      <c r="F5740" s="19" t="n">
        <f aca="false">'CEMIUP0.9 Raw'!F433</f>
        <v>0</v>
      </c>
      <c r="G5740" s="19" t="n">
        <f aca="false">'CEMIUP0.9 Raw'!G433</f>
        <v>0</v>
      </c>
      <c r="H5740" s="18" t="str">
        <f aca="false">'CEMIUP0.9 Raw'!A433</f>
        <v>107 - Pharmacies</v>
      </c>
    </row>
    <row r="5741" customFormat="false" ht="15" hidden="false" customHeight="false" outlineLevel="0" collapsed="false">
      <c r="A5741" s="18" t="n">
        <f aca="false">'CEMIUP0.9 Raw'!B462</f>
        <v>4413530</v>
      </c>
      <c r="B5741" s="18" t="str">
        <f aca="false">'CEMIUP0.9 Raw'!C462</f>
        <v>35C XXL מגן קרסול חום</v>
      </c>
      <c r="C5741" s="18" t="str">
        <f aca="false">'CEMIUP0.9 Raw'!C462</f>
        <v>35C XXL מגן קרסול חום</v>
      </c>
      <c r="D5741" s="19" t="n">
        <f aca="false">'CEMIUP0.9 Raw'!D462</f>
        <v>1</v>
      </c>
      <c r="E5741" s="19" t="n">
        <f aca="false">'CEMIUP0.9 Raw'!E462</f>
        <v>26.208</v>
      </c>
      <c r="F5741" s="19" t="n">
        <f aca="false">'CEMIUP0.9 Raw'!F462</f>
        <v>0</v>
      </c>
      <c r="G5741" s="19" t="n">
        <f aca="false">'CEMIUP0.9 Raw'!G462</f>
        <v>0</v>
      </c>
      <c r="H5741" s="18" t="str">
        <f aca="false">'CEMIUP0.9 Raw'!A462</f>
        <v>107 - Pharmacies</v>
      </c>
    </row>
    <row r="5742" customFormat="false" ht="15" hidden="false" customHeight="false" outlineLevel="0" collapsed="false">
      <c r="A5742" s="18" t="n">
        <f aca="false">'CEMIUP0.9 Raw'!B474</f>
        <v>4415012</v>
      </c>
      <c r="B5742" s="18" t="str">
        <f aca="false">'CEMIUP0.9 Raw'!C474</f>
        <v>32 M  סד קרסול+מוטות אלומיניום</v>
      </c>
      <c r="C5742" s="18" t="str">
        <f aca="false">'CEMIUP0.9 Raw'!C474</f>
        <v>32 M  סד קרסול+מוטות אלומיניום</v>
      </c>
      <c r="D5742" s="19" t="n">
        <f aca="false">'CEMIUP0.9 Raw'!D474</f>
        <v>1</v>
      </c>
      <c r="E5742" s="19" t="n">
        <f aca="false">'CEMIUP0.9 Raw'!E474</f>
        <v>180.726</v>
      </c>
      <c r="F5742" s="19" t="n">
        <f aca="false">'CEMIUP0.9 Raw'!F474</f>
        <v>0</v>
      </c>
      <c r="G5742" s="19" t="n">
        <f aca="false">'CEMIUP0.9 Raw'!G474</f>
        <v>0</v>
      </c>
      <c r="H5742" s="18" t="str">
        <f aca="false">'CEMIUP0.9 Raw'!A474</f>
        <v>107 - Pharmacies</v>
      </c>
    </row>
    <row r="5743" customFormat="false" ht="15" hidden="false" customHeight="false" outlineLevel="0" collapsed="false">
      <c r="A5743" s="18" t="n">
        <f aca="false">'CEMIUP0.9 Raw'!B484</f>
        <v>4415070</v>
      </c>
      <c r="B5743" s="18" t="str">
        <f aca="false">'CEMIUP0.9 Raw'!C484</f>
        <v>T28C M סד לאגודל כפפה</v>
      </c>
      <c r="C5743" s="18" t="str">
        <f aca="false">'CEMIUP0.9 Raw'!C484</f>
        <v>T28C M סד לאגודל כפפה</v>
      </c>
      <c r="D5743" s="19" t="n">
        <f aca="false">'CEMIUP0.9 Raw'!D484</f>
        <v>1</v>
      </c>
      <c r="E5743" s="19" t="n">
        <f aca="false">'CEMIUP0.9 Raw'!E484</f>
        <v>60.151</v>
      </c>
      <c r="F5743" s="19" t="n">
        <f aca="false">'CEMIUP0.9 Raw'!F484</f>
        <v>0</v>
      </c>
      <c r="G5743" s="19" t="n">
        <f aca="false">'CEMIUP0.9 Raw'!G484</f>
        <v>0</v>
      </c>
      <c r="H5743" s="18" t="str">
        <f aca="false">'CEMIUP0.9 Raw'!A484</f>
        <v>107 - Pharmacies</v>
      </c>
    </row>
    <row r="5744" customFormat="false" ht="15" hidden="false" customHeight="false" outlineLevel="0" collapsed="false">
      <c r="A5744" s="18" t="n">
        <f aca="false">'CEMIUP0.9 Raw'!B491</f>
        <v>4415083</v>
      </c>
      <c r="B5744" s="18" t="str">
        <f aca="false">'CEMIUP0.9 Raw'!C491</f>
        <v>T33  M  סד לקרסול</v>
      </c>
      <c r="C5744" s="18" t="str">
        <f aca="false">'CEMIUP0.9 Raw'!C491</f>
        <v>T33  M  סד לקרסול</v>
      </c>
      <c r="D5744" s="19" t="n">
        <f aca="false">'CEMIUP0.9 Raw'!D491</f>
        <v>4</v>
      </c>
      <c r="E5744" s="19" t="n">
        <f aca="false">'CEMIUP0.9 Raw'!E491</f>
        <v>399.035</v>
      </c>
      <c r="F5744" s="19" t="n">
        <f aca="false">'CEMIUP0.9 Raw'!F491</f>
        <v>0</v>
      </c>
      <c r="G5744" s="19" t="n">
        <f aca="false">'CEMIUP0.9 Raw'!G491</f>
        <v>0</v>
      </c>
      <c r="H5744" s="18" t="str">
        <f aca="false">'CEMIUP0.9 Raw'!A491</f>
        <v>107 - Pharmacies</v>
      </c>
    </row>
    <row r="5745" customFormat="false" ht="15" hidden="false" customHeight="false" outlineLevel="0" collapsed="false">
      <c r="A5745" s="18" t="n">
        <f aca="false">'CEMIUP0.9 Raw'!B492</f>
        <v>4415084</v>
      </c>
      <c r="B5745" s="18" t="str">
        <f aca="false">'CEMIUP0.9 Raw'!C492</f>
        <v>T33  L  סד לקרסול</v>
      </c>
      <c r="C5745" s="18" t="str">
        <f aca="false">'CEMIUP0.9 Raw'!C492</f>
        <v>T33  L  סד לקרסול</v>
      </c>
      <c r="D5745" s="19" t="n">
        <f aca="false">'CEMIUP0.9 Raw'!D492</f>
        <v>4</v>
      </c>
      <c r="E5745" s="19" t="n">
        <f aca="false">'CEMIUP0.9 Raw'!E492</f>
        <v>409.318</v>
      </c>
      <c r="F5745" s="19" t="n">
        <f aca="false">'CEMIUP0.9 Raw'!F492</f>
        <v>0</v>
      </c>
      <c r="G5745" s="19" t="n">
        <f aca="false">'CEMIUP0.9 Raw'!G492</f>
        <v>0</v>
      </c>
      <c r="H5745" s="18" t="str">
        <f aca="false">'CEMIUP0.9 Raw'!A492</f>
        <v>107 - Pharmacies</v>
      </c>
    </row>
    <row r="5746" customFormat="false" ht="15" hidden="false" customHeight="false" outlineLevel="0" collapsed="false">
      <c r="A5746" s="18" t="n">
        <f aca="false">'CEMIUP0.9 Raw'!B493</f>
        <v>4415089</v>
      </c>
      <c r="B5746" s="18" t="str">
        <f aca="false">'CEMIUP0.9 Raw'!C493</f>
        <v>27L M סד ליד שמאל</v>
      </c>
      <c r="C5746" s="18" t="str">
        <f aca="false">'CEMIUP0.9 Raw'!C493</f>
        <v>27L M סד ליד שמאל</v>
      </c>
      <c r="D5746" s="19" t="n">
        <f aca="false">'CEMIUP0.9 Raw'!D493</f>
        <v>1</v>
      </c>
      <c r="E5746" s="19" t="n">
        <f aca="false">'CEMIUP0.9 Raw'!E493</f>
        <v>81.991</v>
      </c>
      <c r="F5746" s="19" t="n">
        <f aca="false">'CEMIUP0.9 Raw'!F493</f>
        <v>0</v>
      </c>
      <c r="G5746" s="19" t="n">
        <f aca="false">'CEMIUP0.9 Raw'!G493</f>
        <v>0</v>
      </c>
      <c r="H5746" s="18" t="str">
        <f aca="false">'CEMIUP0.9 Raw'!A493</f>
        <v>107 - Pharmacies</v>
      </c>
    </row>
    <row r="5747" customFormat="false" ht="15" hidden="false" customHeight="false" outlineLevel="0" collapsed="false">
      <c r="A5747" s="18" t="n">
        <f aca="false">'CEMIUP0.9 Raw'!B494</f>
        <v>4415090</v>
      </c>
      <c r="B5747" s="18" t="str">
        <f aca="false">'CEMIUP0.9 Raw'!C494</f>
        <v>27L L סד ליד שמאל</v>
      </c>
      <c r="C5747" s="18" t="str">
        <f aca="false">'CEMIUP0.9 Raw'!C494</f>
        <v>27L L סד ליד שמאל</v>
      </c>
      <c r="D5747" s="19" t="n">
        <f aca="false">'CEMIUP0.9 Raw'!D494</f>
        <v>1</v>
      </c>
      <c r="E5747" s="19" t="n">
        <f aca="false">'CEMIUP0.9 Raw'!E494</f>
        <v>81.991</v>
      </c>
      <c r="F5747" s="19" t="n">
        <f aca="false">'CEMIUP0.9 Raw'!F494</f>
        <v>0</v>
      </c>
      <c r="G5747" s="19" t="n">
        <f aca="false">'CEMIUP0.9 Raw'!G494</f>
        <v>0</v>
      </c>
      <c r="H5747" s="18" t="str">
        <f aca="false">'CEMIUP0.9 Raw'!A494</f>
        <v>107 - Pharmacies</v>
      </c>
    </row>
    <row r="5748" customFormat="false" ht="15" hidden="false" customHeight="false" outlineLevel="0" collapsed="false">
      <c r="A5748" s="18" t="n">
        <f aca="false">'CEMIUP0.9 Raw'!B496</f>
        <v>4415120</v>
      </c>
      <c r="B5748" s="18" t="str">
        <f aca="false">'CEMIUP0.9 Raw'!C496</f>
        <v>T33 XXL סד לקרסול</v>
      </c>
      <c r="C5748" s="18" t="str">
        <f aca="false">'CEMIUP0.9 Raw'!C496</f>
        <v>T33 XXL סד לקרסול</v>
      </c>
      <c r="D5748" s="19" t="n">
        <f aca="false">'CEMIUP0.9 Raw'!D496</f>
        <v>1</v>
      </c>
      <c r="E5748" s="19" t="n">
        <f aca="false">'CEMIUP0.9 Raw'!E496</f>
        <v>124.67</v>
      </c>
      <c r="F5748" s="19" t="n">
        <f aca="false">'CEMIUP0.9 Raw'!F496</f>
        <v>0</v>
      </c>
      <c r="G5748" s="19" t="n">
        <f aca="false">'CEMIUP0.9 Raw'!G496</f>
        <v>0</v>
      </c>
      <c r="H5748" s="18" t="str">
        <f aca="false">'CEMIUP0.9 Raw'!A496</f>
        <v>107 - Pharmacies</v>
      </c>
    </row>
    <row r="5749" customFormat="false" ht="15" hidden="false" customHeight="false" outlineLevel="0" collapsed="false">
      <c r="A5749" s="18" t="n">
        <f aca="false">'CEMIUP0.9 Raw'!B497</f>
        <v>4415131</v>
      </c>
      <c r="B5749" s="18" t="str">
        <f aca="false">'CEMIUP0.9 Raw'!C497</f>
        <v>T27L M סד ליד שמאל</v>
      </c>
      <c r="C5749" s="18" t="str">
        <f aca="false">'CEMIUP0.9 Raw'!C497</f>
        <v>T27L M סד ליד שמאל</v>
      </c>
      <c r="D5749" s="19" t="n">
        <f aca="false">'CEMIUP0.9 Raw'!D497</f>
        <v>1</v>
      </c>
      <c r="E5749" s="19" t="n">
        <f aca="false">'CEMIUP0.9 Raw'!E497</f>
        <v>85.995</v>
      </c>
      <c r="F5749" s="19" t="n">
        <f aca="false">'CEMIUP0.9 Raw'!F497</f>
        <v>0</v>
      </c>
      <c r="G5749" s="19" t="n">
        <f aca="false">'CEMIUP0.9 Raw'!G497</f>
        <v>0</v>
      </c>
      <c r="H5749" s="18" t="str">
        <f aca="false">'CEMIUP0.9 Raw'!A497</f>
        <v>107 - Pharmacies</v>
      </c>
    </row>
    <row r="5750" customFormat="false" ht="15" hidden="false" customHeight="false" outlineLevel="0" collapsed="false">
      <c r="A5750" s="18" t="n">
        <f aca="false">'CEMIUP0.9 Raw'!B504</f>
        <v>4415164</v>
      </c>
      <c r="B5750" s="18" t="str">
        <f aca="false">'CEMIUP0.9 Raw'!C504</f>
        <v>267LC  L-XL 'סד יד שמאל בז</v>
      </c>
      <c r="C5750" s="18" t="str">
        <f aca="false">'CEMIUP0.9 Raw'!C504</f>
        <v>267LC  L-XL 'סד יד שמאל בז</v>
      </c>
      <c r="D5750" s="19" t="n">
        <f aca="false">'CEMIUP0.9 Raw'!D504</f>
        <v>1</v>
      </c>
      <c r="E5750" s="19" t="n">
        <f aca="false">'CEMIUP0.9 Raw'!E504</f>
        <v>98.917</v>
      </c>
      <c r="F5750" s="19" t="n">
        <f aca="false">'CEMIUP0.9 Raw'!F504</f>
        <v>0</v>
      </c>
      <c r="G5750" s="19" t="n">
        <f aca="false">'CEMIUP0.9 Raw'!G504</f>
        <v>0</v>
      </c>
      <c r="H5750" s="18" t="str">
        <f aca="false">'CEMIUP0.9 Raw'!A504</f>
        <v>107 - Pharmacies</v>
      </c>
    </row>
    <row r="5751" customFormat="false" ht="15" hidden="false" customHeight="false" outlineLevel="0" collapsed="false">
      <c r="A5751" s="18" t="n">
        <f aca="false">'CEMIUP0.9 Raw'!B505</f>
        <v>4415165</v>
      </c>
      <c r="B5751" s="18" t="str">
        <f aca="false">'CEMIUP0.9 Raw'!C505</f>
        <v>267LC   S-M'סד יד שמאל בז</v>
      </c>
      <c r="C5751" s="18" t="str">
        <f aca="false">'CEMIUP0.9 Raw'!C505</f>
        <v>267LC   S-M'סד יד שמאל בז</v>
      </c>
      <c r="D5751" s="19" t="n">
        <f aca="false">'CEMIUP0.9 Raw'!D505</f>
        <v>1</v>
      </c>
      <c r="E5751" s="19" t="n">
        <f aca="false">'CEMIUP0.9 Raw'!E505</f>
        <v>98.917</v>
      </c>
      <c r="F5751" s="19" t="n">
        <f aca="false">'CEMIUP0.9 Raw'!F505</f>
        <v>0</v>
      </c>
      <c r="G5751" s="19" t="n">
        <f aca="false">'CEMIUP0.9 Raw'!G505</f>
        <v>0</v>
      </c>
      <c r="H5751" s="18" t="str">
        <f aca="false">'CEMIUP0.9 Raw'!A505</f>
        <v>107 - Pharmacies</v>
      </c>
    </row>
    <row r="5752" customFormat="false" ht="15" hidden="false" customHeight="false" outlineLevel="0" collapsed="false">
      <c r="A5752" s="18" t="n">
        <f aca="false">'CEMIUP0.9 Raw'!B506</f>
        <v>4415167</v>
      </c>
      <c r="B5752" s="18" t="str">
        <f aca="false">'CEMIUP0.9 Raw'!C506</f>
        <v>267RC  L-XL 'סד יד ימין בז</v>
      </c>
      <c r="C5752" s="18" t="str">
        <f aca="false">'CEMIUP0.9 Raw'!C506</f>
        <v>267RC  L-XL 'סד יד ימין בז</v>
      </c>
      <c r="D5752" s="19" t="n">
        <f aca="false">'CEMIUP0.9 Raw'!D506</f>
        <v>1</v>
      </c>
      <c r="E5752" s="19" t="n">
        <f aca="false">'CEMIUP0.9 Raw'!E506</f>
        <v>98.917</v>
      </c>
      <c r="F5752" s="19" t="n">
        <f aca="false">'CEMIUP0.9 Raw'!F506</f>
        <v>0</v>
      </c>
      <c r="G5752" s="19" t="n">
        <f aca="false">'CEMIUP0.9 Raw'!G506</f>
        <v>0</v>
      </c>
      <c r="H5752" s="18" t="str">
        <f aca="false">'CEMIUP0.9 Raw'!A506</f>
        <v>107 - Pharmacies</v>
      </c>
    </row>
    <row r="5753" customFormat="false" ht="15" hidden="false" customHeight="false" outlineLevel="0" collapsed="false">
      <c r="A5753" s="18" t="n">
        <f aca="false">'CEMIUP0.9 Raw'!B507</f>
        <v>4415168</v>
      </c>
      <c r="B5753" s="18" t="str">
        <f aca="false">'CEMIUP0.9 Raw'!C507</f>
        <v>267RC  S-M 'סד יד ימין בז</v>
      </c>
      <c r="C5753" s="18" t="str">
        <f aca="false">'CEMIUP0.9 Raw'!C507</f>
        <v>267RC  S-M 'סד יד ימין בז</v>
      </c>
      <c r="D5753" s="19" t="n">
        <f aca="false">'CEMIUP0.9 Raw'!D507</f>
        <v>1</v>
      </c>
      <c r="E5753" s="19" t="n">
        <f aca="false">'CEMIUP0.9 Raw'!E507</f>
        <v>98.917</v>
      </c>
      <c r="F5753" s="19" t="n">
        <f aca="false">'CEMIUP0.9 Raw'!F507</f>
        <v>0</v>
      </c>
      <c r="G5753" s="19" t="n">
        <f aca="false">'CEMIUP0.9 Raw'!G507</f>
        <v>0</v>
      </c>
      <c r="H5753" s="18" t="str">
        <f aca="false">'CEMIUP0.9 Raw'!A507</f>
        <v>107 - Pharmacies</v>
      </c>
    </row>
    <row r="5754" customFormat="false" ht="15" hidden="false" customHeight="false" outlineLevel="0" collapsed="false">
      <c r="A5754" s="18" t="n">
        <f aca="false">'CEMIUP0.9 Raw'!B508</f>
        <v>4415170</v>
      </c>
      <c r="B5754" s="18" t="str">
        <f aca="false">'CEMIUP0.9 Raw'!C508</f>
        <v>267LB  L-XLסד יד שמאל שחור</v>
      </c>
      <c r="C5754" s="18" t="str">
        <f aca="false">'CEMIUP0.9 Raw'!C508</f>
        <v>267LB  L-XLסד יד שמאל שחור</v>
      </c>
      <c r="D5754" s="19" t="n">
        <f aca="false">'CEMIUP0.9 Raw'!D508</f>
        <v>1</v>
      </c>
      <c r="E5754" s="19" t="n">
        <f aca="false">'CEMIUP0.9 Raw'!E508</f>
        <v>98.917</v>
      </c>
      <c r="F5754" s="19" t="n">
        <f aca="false">'CEMIUP0.9 Raw'!F508</f>
        <v>0</v>
      </c>
      <c r="G5754" s="19" t="n">
        <f aca="false">'CEMIUP0.9 Raw'!G508</f>
        <v>0</v>
      </c>
      <c r="H5754" s="18" t="str">
        <f aca="false">'CEMIUP0.9 Raw'!A508</f>
        <v>107 - Pharmacies</v>
      </c>
    </row>
    <row r="5755" customFormat="false" ht="15" hidden="false" customHeight="false" outlineLevel="0" collapsed="false">
      <c r="A5755" s="18" t="n">
        <f aca="false">'CEMIUP0.9 Raw'!B509</f>
        <v>4415171</v>
      </c>
      <c r="B5755" s="18" t="str">
        <f aca="false">'CEMIUP0.9 Raw'!C509</f>
        <v>267LB  S-M סד יד שמאל שחור</v>
      </c>
      <c r="C5755" s="18" t="str">
        <f aca="false">'CEMIUP0.9 Raw'!C509</f>
        <v>267LB  S-M סד יד שמאל שחור</v>
      </c>
      <c r="D5755" s="19" t="n">
        <f aca="false">'CEMIUP0.9 Raw'!D509</f>
        <v>1</v>
      </c>
      <c r="E5755" s="19" t="n">
        <f aca="false">'CEMIUP0.9 Raw'!E509</f>
        <v>98.917</v>
      </c>
      <c r="F5755" s="19" t="n">
        <f aca="false">'CEMIUP0.9 Raw'!F509</f>
        <v>0</v>
      </c>
      <c r="G5755" s="19" t="n">
        <f aca="false">'CEMIUP0.9 Raw'!G509</f>
        <v>0</v>
      </c>
      <c r="H5755" s="18" t="str">
        <f aca="false">'CEMIUP0.9 Raw'!A509</f>
        <v>107 - Pharmacies</v>
      </c>
    </row>
    <row r="5756" customFormat="false" ht="15" hidden="false" customHeight="false" outlineLevel="0" collapsed="false">
      <c r="A5756" s="18" t="n">
        <f aca="false">'CEMIUP0.9 Raw'!B510</f>
        <v>4415173</v>
      </c>
      <c r="B5756" s="18" t="str">
        <f aca="false">'CEMIUP0.9 Raw'!C510</f>
        <v>267RB  L-XLסד יד ימין שחור</v>
      </c>
      <c r="C5756" s="18" t="str">
        <f aca="false">'CEMIUP0.9 Raw'!C510</f>
        <v>267RB  L-XLסד יד ימין שחור</v>
      </c>
      <c r="D5756" s="19" t="n">
        <f aca="false">'CEMIUP0.9 Raw'!D510</f>
        <v>1</v>
      </c>
      <c r="E5756" s="19" t="n">
        <f aca="false">'CEMIUP0.9 Raw'!E510</f>
        <v>98.917</v>
      </c>
      <c r="F5756" s="19" t="n">
        <f aca="false">'CEMIUP0.9 Raw'!F510</f>
        <v>0</v>
      </c>
      <c r="G5756" s="19" t="n">
        <f aca="false">'CEMIUP0.9 Raw'!G510</f>
        <v>0</v>
      </c>
      <c r="H5756" s="18" t="str">
        <f aca="false">'CEMIUP0.9 Raw'!A510</f>
        <v>107 - Pharmacies</v>
      </c>
    </row>
    <row r="5757" customFormat="false" ht="15" hidden="false" customHeight="false" outlineLevel="0" collapsed="false">
      <c r="A5757" s="18" t="n">
        <f aca="false">'CEMIUP0.9 Raw'!B511</f>
        <v>4415174</v>
      </c>
      <c r="B5757" s="18" t="str">
        <f aca="false">'CEMIUP0.9 Raw'!C511</f>
        <v>267RB  S-M סד יד ימין שחור</v>
      </c>
      <c r="C5757" s="18" t="str">
        <f aca="false">'CEMIUP0.9 Raw'!C511</f>
        <v>267RB  S-M סד יד ימין שחור</v>
      </c>
      <c r="D5757" s="19" t="n">
        <f aca="false">'CEMIUP0.9 Raw'!D511</f>
        <v>1</v>
      </c>
      <c r="E5757" s="19" t="n">
        <f aca="false">'CEMIUP0.9 Raw'!E511</f>
        <v>98.917</v>
      </c>
      <c r="F5757" s="19" t="n">
        <f aca="false">'CEMIUP0.9 Raw'!F511</f>
        <v>0</v>
      </c>
      <c r="G5757" s="19" t="n">
        <f aca="false">'CEMIUP0.9 Raw'!G511</f>
        <v>0</v>
      </c>
      <c r="H5757" s="18" t="str">
        <f aca="false">'CEMIUP0.9 Raw'!A511</f>
        <v>107 - Pharmacies</v>
      </c>
    </row>
    <row r="5758" customFormat="false" ht="15" hidden="false" customHeight="false" outlineLevel="0" collapsed="false">
      <c r="A5758" s="18" t="n">
        <f aca="false">'CEMIUP0.9 Raw'!B522</f>
        <v>4417001</v>
      </c>
      <c r="B5758" s="18" t="str">
        <f aca="false">'CEMIUP0.9 Raw'!C522</f>
        <v>PD343-פומפיה מאבן להסר.עור</v>
      </c>
      <c r="C5758" s="18" t="str">
        <f aca="false">'CEMIUP0.9 Raw'!C522</f>
        <v>PD343-פומפיה מאבן להסר.עור</v>
      </c>
      <c r="D5758" s="19" t="n">
        <f aca="false">'CEMIUP0.9 Raw'!D522</f>
        <v>-1</v>
      </c>
      <c r="E5758" s="19" t="n">
        <f aca="false">'CEMIUP0.9 Raw'!E522</f>
        <v>-8.19</v>
      </c>
      <c r="F5758" s="19" t="n">
        <f aca="false">'CEMIUP0.9 Raw'!F522</f>
        <v>0</v>
      </c>
      <c r="G5758" s="19" t="n">
        <f aca="false">'CEMIUP0.9 Raw'!G522</f>
        <v>0</v>
      </c>
      <c r="H5758" s="18" t="str">
        <f aca="false">'CEMIUP0.9 Raw'!A522</f>
        <v>107 - Pharmacies</v>
      </c>
    </row>
    <row r="5759" customFormat="false" ht="15" hidden="false" customHeight="false" outlineLevel="0" collapsed="false">
      <c r="A5759" s="18" t="n">
        <f aca="false">'CEMIUP0.9 Raw'!B527</f>
        <v>4418004</v>
      </c>
      <c r="B5759" s="18" t="str">
        <f aca="false">'CEMIUP0.9 Raw'!C527</f>
        <v>60 XXL צוארון ספוגי</v>
      </c>
      <c r="C5759" s="18" t="str">
        <f aca="false">'CEMIUP0.9 Raw'!C527</f>
        <v>60 XXL צוארון ספוגי</v>
      </c>
      <c r="D5759" s="19" t="n">
        <f aca="false">'CEMIUP0.9 Raw'!D527</f>
        <v>2</v>
      </c>
      <c r="E5759" s="19" t="n">
        <f aca="false">'CEMIUP0.9 Raw'!E527</f>
        <v>90.272</v>
      </c>
      <c r="F5759" s="19" t="n">
        <f aca="false">'CEMIUP0.9 Raw'!F527</f>
        <v>0</v>
      </c>
      <c r="G5759" s="19" t="n">
        <f aca="false">'CEMIUP0.9 Raw'!G527</f>
        <v>0</v>
      </c>
      <c r="H5759" s="18" t="str">
        <f aca="false">'CEMIUP0.9 Raw'!A527</f>
        <v>107 - Pharmacies</v>
      </c>
    </row>
    <row r="5760" customFormat="false" ht="15" hidden="false" customHeight="false" outlineLevel="0" collapsed="false">
      <c r="A5760" s="18" t="n">
        <f aca="false">'CEMIUP0.9 Raw'!B529</f>
        <v>4419002</v>
      </c>
      <c r="B5760" s="18" t="str">
        <f aca="false">'CEMIUP0.9 Raw'!C529</f>
        <v>FC311-תתקרם דאודורנט לכף הרגל</v>
      </c>
      <c r="C5760" s="18" t="str">
        <f aca="false">'CEMIUP0.9 Raw'!C529</f>
        <v>FC311-תתקרם דאודורנט לכף הרגל</v>
      </c>
      <c r="D5760" s="19" t="n">
        <f aca="false">'CEMIUP0.9 Raw'!D529</f>
        <v>-1</v>
      </c>
      <c r="E5760" s="19" t="n">
        <f aca="false">'CEMIUP0.9 Raw'!E529</f>
        <v>-27.027</v>
      </c>
      <c r="F5760" s="19" t="n">
        <f aca="false">'CEMIUP0.9 Raw'!F529</f>
        <v>0</v>
      </c>
      <c r="G5760" s="19" t="n">
        <f aca="false">'CEMIUP0.9 Raw'!G529</f>
        <v>0</v>
      </c>
      <c r="H5760" s="18" t="str">
        <f aca="false">'CEMIUP0.9 Raw'!A529</f>
        <v>107 - Pharmacies</v>
      </c>
    </row>
    <row r="5761" customFormat="false" ht="15" hidden="false" customHeight="false" outlineLevel="0" collapsed="false">
      <c r="A5761" s="18" t="n">
        <f aca="false">'CEMIUP0.9 Raw'!B530</f>
        <v>4419003</v>
      </c>
      <c r="B5761" s="18" t="str">
        <f aca="false">'CEMIUP0.9 Raw'!C530</f>
        <v>FC310-תתקרם הגנה לכף הרגל</v>
      </c>
      <c r="C5761" s="18" t="str">
        <f aca="false">'CEMIUP0.9 Raw'!C530</f>
        <v>FC310-תתקרם הגנה לכף הרגל</v>
      </c>
      <c r="D5761" s="19" t="n">
        <f aca="false">'CEMIUP0.9 Raw'!D530</f>
        <v>-5</v>
      </c>
      <c r="E5761" s="19" t="n">
        <f aca="false">'CEMIUP0.9 Raw'!E530</f>
        <v>-150.696</v>
      </c>
      <c r="F5761" s="19" t="n">
        <f aca="false">'CEMIUP0.9 Raw'!F530</f>
        <v>0</v>
      </c>
      <c r="G5761" s="19" t="n">
        <f aca="false">'CEMIUP0.9 Raw'!G530</f>
        <v>0</v>
      </c>
      <c r="H5761" s="18" t="str">
        <f aca="false">'CEMIUP0.9 Raw'!A530</f>
        <v>107 - Pharmacies</v>
      </c>
    </row>
    <row r="5762" customFormat="false" ht="15" hidden="false" customHeight="false" outlineLevel="0" collapsed="false">
      <c r="A5762" s="18" t="n">
        <f aca="false">'CEMIUP0.9 Raw'!B531</f>
        <v>4419004</v>
      </c>
      <c r="B5762" s="18" t="str">
        <f aca="false">'CEMIUP0.9 Raw'!C531</f>
        <v>FC312-תתקרם מירוק גרגרי פילינג</v>
      </c>
      <c r="C5762" s="18" t="str">
        <f aca="false">'CEMIUP0.9 Raw'!C531</f>
        <v>FC312-תתקרם מירוק גרגרי פילינג</v>
      </c>
      <c r="D5762" s="19" t="n">
        <f aca="false">'CEMIUP0.9 Raw'!D531</f>
        <v>-1</v>
      </c>
      <c r="E5762" s="19" t="n">
        <f aca="false">'CEMIUP0.9 Raw'!E531</f>
        <v>-27.027</v>
      </c>
      <c r="F5762" s="19" t="n">
        <f aca="false">'CEMIUP0.9 Raw'!F531</f>
        <v>0</v>
      </c>
      <c r="G5762" s="19" t="n">
        <f aca="false">'CEMIUP0.9 Raw'!G531</f>
        <v>0</v>
      </c>
      <c r="H5762" s="18" t="str">
        <f aca="false">'CEMIUP0.9 Raw'!A531</f>
        <v>107 - Pharmacies</v>
      </c>
    </row>
    <row r="5763" customFormat="false" ht="15" hidden="false" customHeight="false" outlineLevel="0" collapsed="false">
      <c r="A5763" s="18" t="n">
        <f aca="false">'CEMIUP0.9 Raw'!B535</f>
        <v>4419012</v>
      </c>
      <c r="B5763" s="18" t="str">
        <f aca="false">'CEMIUP0.9 Raw'!C535</f>
        <v>239P S-M STRAP4U</v>
      </c>
      <c r="C5763" s="18" t="str">
        <f aca="false">'CEMIUP0.9 Raw'!C535</f>
        <v>239P S-M STRAP4U</v>
      </c>
      <c r="D5763" s="19" t="n">
        <f aca="false">'CEMIUP0.9 Raw'!D535</f>
        <v>-4</v>
      </c>
      <c r="E5763" s="19" t="n">
        <f aca="false">'CEMIUP0.9 Raw'!E535</f>
        <v>-48.685</v>
      </c>
      <c r="F5763" s="19" t="n">
        <f aca="false">'CEMIUP0.9 Raw'!F535</f>
        <v>0</v>
      </c>
      <c r="G5763" s="19" t="n">
        <f aca="false">'CEMIUP0.9 Raw'!G535</f>
        <v>0</v>
      </c>
      <c r="H5763" s="18" t="str">
        <f aca="false">'CEMIUP0.9 Raw'!A535</f>
        <v>107 - Pharmacies</v>
      </c>
    </row>
    <row r="5764" customFormat="false" ht="15" hidden="false" customHeight="false" outlineLevel="0" collapsed="false">
      <c r="A5764" s="18" t="n">
        <f aca="false">'CEMIUP0.9 Raw'!B537</f>
        <v>4419014</v>
      </c>
      <c r="B5764" s="18" t="str">
        <f aca="false">'CEMIUP0.9 Raw'!C537</f>
        <v>239TR L-XL STRAP4U</v>
      </c>
      <c r="C5764" s="18" t="str">
        <f aca="false">'CEMIUP0.9 Raw'!C537</f>
        <v>239TR L-XL STRAP4U</v>
      </c>
      <c r="D5764" s="19" t="n">
        <f aca="false">'CEMIUP0.9 Raw'!D537</f>
        <v>-4</v>
      </c>
      <c r="E5764" s="19" t="n">
        <f aca="false">'CEMIUP0.9 Raw'!E537</f>
        <v>-50.323</v>
      </c>
      <c r="F5764" s="19" t="n">
        <f aca="false">'CEMIUP0.9 Raw'!F537</f>
        <v>0</v>
      </c>
      <c r="G5764" s="19" t="n">
        <f aca="false">'CEMIUP0.9 Raw'!G537</f>
        <v>0</v>
      </c>
      <c r="H5764" s="18" t="str">
        <f aca="false">'CEMIUP0.9 Raw'!A537</f>
        <v>107 - Pharmacies</v>
      </c>
    </row>
    <row r="5765" customFormat="false" ht="15" hidden="false" customHeight="false" outlineLevel="0" collapsed="false">
      <c r="A5765" s="18" t="n">
        <f aca="false">'CEMIUP0.9 Raw'!B543</f>
        <v>4420005</v>
      </c>
      <c r="B5765" s="18" t="str">
        <f aca="false">'CEMIUP0.9 Raw'!C543</f>
        <v>377 רפ.אורטופדית ספורט זוג36</v>
      </c>
      <c r="C5765" s="18" t="str">
        <f aca="false">'CEMIUP0.9 Raw'!C543</f>
        <v>377 רפ.אורטופדית ספורט זוג36</v>
      </c>
      <c r="D5765" s="19" t="n">
        <f aca="false">'CEMIUP0.9 Raw'!D543</f>
        <v>3</v>
      </c>
      <c r="E5765" s="19" t="n">
        <f aca="false">'CEMIUP0.9 Raw'!E543</f>
        <v>113.75</v>
      </c>
      <c r="F5765" s="19" t="n">
        <f aca="false">'CEMIUP0.9 Raw'!F543</f>
        <v>0</v>
      </c>
      <c r="G5765" s="19" t="n">
        <f aca="false">'CEMIUP0.9 Raw'!G543</f>
        <v>3.79326315789474</v>
      </c>
      <c r="H5765" s="18" t="str">
        <f aca="false">'CEMIUP0.9 Raw'!A543</f>
        <v>107 - Pharmacies</v>
      </c>
    </row>
    <row r="5766" customFormat="false" ht="15" hidden="false" customHeight="false" outlineLevel="0" collapsed="false">
      <c r="A5766" s="18" t="n">
        <f aca="false">'CEMIUP0.9 Raw'!B544</f>
        <v>4420007</v>
      </c>
      <c r="B5766" s="18" t="str">
        <f aca="false">'CEMIUP0.9 Raw'!C544</f>
        <v>377   רפ.ורטופדית ספורט זוג38</v>
      </c>
      <c r="C5766" s="18" t="str">
        <f aca="false">'CEMIUP0.9 Raw'!C544</f>
        <v>377   רפ.ורטופדית ספורט זוג38</v>
      </c>
      <c r="D5766" s="19" t="n">
        <f aca="false">'CEMIUP0.9 Raw'!D544</f>
        <v>2</v>
      </c>
      <c r="E5766" s="19" t="n">
        <f aca="false">'CEMIUP0.9 Raw'!E544</f>
        <v>74.165</v>
      </c>
      <c r="F5766" s="19" t="n">
        <f aca="false">'CEMIUP0.9 Raw'!F544</f>
        <v>0</v>
      </c>
      <c r="G5766" s="19" t="n">
        <f aca="false">'CEMIUP0.9 Raw'!G544</f>
        <v>0</v>
      </c>
      <c r="H5766" s="18" t="str">
        <f aca="false">'CEMIUP0.9 Raw'!A544</f>
        <v>107 - Pharmacies</v>
      </c>
    </row>
    <row r="5767" customFormat="false" ht="15" hidden="false" customHeight="false" outlineLevel="0" collapsed="false">
      <c r="A5767" s="18" t="n">
        <f aca="false">'CEMIUP0.9 Raw'!B547</f>
        <v>4420010</v>
      </c>
      <c r="B5767" s="18" t="str">
        <f aca="false">'CEMIUP0.9 Raw'!C547</f>
        <v>377  רפידה אורטופ.ספורט זוג41</v>
      </c>
      <c r="C5767" s="18" t="str">
        <f aca="false">'CEMIUP0.9 Raw'!C547</f>
        <v>377  רפידה אורטופ.ספורט זוג41</v>
      </c>
      <c r="D5767" s="19" t="n">
        <f aca="false">'CEMIUP0.9 Raw'!D547</f>
        <v>6</v>
      </c>
      <c r="E5767" s="19" t="n">
        <f aca="false">'CEMIUP0.9 Raw'!E547</f>
        <v>224.861</v>
      </c>
      <c r="F5767" s="19" t="n">
        <f aca="false">'CEMIUP0.9 Raw'!F547</f>
        <v>0</v>
      </c>
      <c r="G5767" s="19" t="n">
        <f aca="false">'CEMIUP0.9 Raw'!G547</f>
        <v>0</v>
      </c>
      <c r="H5767" s="18" t="str">
        <f aca="false">'CEMIUP0.9 Raw'!A547</f>
        <v>107 - Pharmacies</v>
      </c>
    </row>
    <row r="5768" customFormat="false" ht="15" hidden="false" customHeight="false" outlineLevel="0" collapsed="false">
      <c r="A5768" s="18" t="n">
        <f aca="false">'CEMIUP0.9 Raw'!B551</f>
        <v>4420018</v>
      </c>
      <c r="B5768" s="18" t="str">
        <f aca="false">'CEMIUP0.9 Raw'!C551</f>
        <v>T90 רצועת טניס אלבו עם פלסטיק</v>
      </c>
      <c r="C5768" s="18" t="str">
        <f aca="false">'CEMIUP0.9 Raw'!C551</f>
        <v>T90 רצועת טניס אלבו עם פלסטיק</v>
      </c>
      <c r="D5768" s="19" t="n">
        <f aca="false">'CEMIUP0.9 Raw'!D551</f>
        <v>-1</v>
      </c>
      <c r="E5768" s="19" t="n">
        <f aca="false">'CEMIUP0.9 Raw'!E551</f>
        <v>-89.453</v>
      </c>
      <c r="F5768" s="19" t="n">
        <f aca="false">'CEMIUP0.9 Raw'!F551</f>
        <v>0</v>
      </c>
      <c r="G5768" s="19" t="n">
        <f aca="false">'CEMIUP0.9 Raw'!G551</f>
        <v>0</v>
      </c>
      <c r="H5768" s="18" t="str">
        <f aca="false">'CEMIUP0.9 Raw'!A551</f>
        <v>107 - Pharmacies</v>
      </c>
    </row>
    <row r="5769" customFormat="false" ht="15" hidden="false" customHeight="false" outlineLevel="0" collapsed="false">
      <c r="A5769" s="18" t="n">
        <f aca="false">'CEMIUP0.9 Raw'!B575</f>
        <v>4422003</v>
      </c>
      <c r="B5769" s="18" t="str">
        <f aca="false">'CEMIUP0.9 Raw'!C575</f>
        <v>FC331Z- 120 תתתרסיס מרענן לרגל</v>
      </c>
      <c r="C5769" s="18" t="str">
        <f aca="false">'CEMIUP0.9 Raw'!C575</f>
        <v>FC331Z- 120 תתתרסיס מרענן לרגל</v>
      </c>
      <c r="D5769" s="19" t="n">
        <f aca="false">'CEMIUP0.9 Raw'!D575</f>
        <v>-1</v>
      </c>
      <c r="E5769" s="19" t="n">
        <f aca="false">'CEMIUP0.9 Raw'!E575</f>
        <v>-33.215</v>
      </c>
      <c r="F5769" s="19" t="n">
        <f aca="false">'CEMIUP0.9 Raw'!F575</f>
        <v>0</v>
      </c>
      <c r="G5769" s="19" t="n">
        <f aca="false">'CEMIUP0.9 Raw'!G575</f>
        <v>0</v>
      </c>
      <c r="H5769" s="18" t="str">
        <f aca="false">'CEMIUP0.9 Raw'!A575</f>
        <v>107 - Pharmacies</v>
      </c>
    </row>
    <row r="5770" customFormat="false" ht="15" hidden="false" customHeight="false" outlineLevel="0" collapsed="false">
      <c r="A5770" s="18" t="str">
        <f aca="false">'CEMIUP0.9 Raw'!B597</f>
        <v>062 XXL</v>
      </c>
      <c r="B5770" s="18" t="str">
        <f aca="false">'CEMIUP0.9 Raw'!C597</f>
        <v>062 XXL</v>
      </c>
      <c r="C5770" s="18" t="str">
        <f aca="false">'CEMIUP0.9 Raw'!C597</f>
        <v>062 XXL</v>
      </c>
      <c r="D5770" s="19" t="n">
        <f aca="false">'CEMIUP0.9 Raw'!D597</f>
        <v>0</v>
      </c>
      <c r="E5770" s="19" t="n">
        <f aca="false">'CEMIUP0.9 Raw'!E597</f>
        <v>0.01</v>
      </c>
      <c r="F5770" s="19" t="n">
        <f aca="false">'CEMIUP0.9 Raw'!F597</f>
        <v>0</v>
      </c>
      <c r="G5770" s="19" t="n">
        <f aca="false">'CEMIUP0.9 Raw'!G597</f>
        <v>0</v>
      </c>
      <c r="H5770" s="18" t="str">
        <f aca="false">'CEMIUP0.9 Raw'!A597</f>
        <v>107 - Pharmacies</v>
      </c>
    </row>
    <row r="5771" customFormat="false" ht="15" hidden="false" customHeight="false" outlineLevel="0" collapsed="false">
      <c r="A5771" s="18" t="str">
        <f aca="false">'CEMIUP0.9 Raw'!B598</f>
        <v>06U M</v>
      </c>
      <c r="B5771" s="18" t="str">
        <f aca="false">'CEMIUP0.9 Raw'!C598</f>
        <v>06U M</v>
      </c>
      <c r="C5771" s="18" t="str">
        <f aca="false">'CEMIUP0.9 Raw'!C598</f>
        <v>06U M</v>
      </c>
      <c r="D5771" s="19" t="n">
        <f aca="false">'CEMIUP0.9 Raw'!D598</f>
        <v>2</v>
      </c>
      <c r="E5771" s="19" t="n">
        <f aca="false">'CEMIUP0.9 Raw'!E598</f>
        <v>281.15</v>
      </c>
      <c r="F5771" s="19" t="n">
        <f aca="false">'CEMIUP0.9 Raw'!F598</f>
        <v>0</v>
      </c>
      <c r="G5771" s="19" t="n">
        <f aca="false">'CEMIUP0.9 Raw'!G598</f>
        <v>0</v>
      </c>
      <c r="H5771" s="18" t="str">
        <f aca="false">'CEMIUP0.9 Raw'!A598</f>
        <v>107 - Pharmacies</v>
      </c>
    </row>
    <row r="5772" customFormat="false" ht="15" hidden="false" customHeight="false" outlineLevel="0" collapsed="false">
      <c r="A5772" s="18" t="str">
        <f aca="false">'CEMIUP0.9 Raw'!B599</f>
        <v>06U XXL</v>
      </c>
      <c r="B5772" s="18" t="str">
        <f aca="false">'CEMIUP0.9 Raw'!C599</f>
        <v>06U XXL</v>
      </c>
      <c r="C5772" s="18" t="str">
        <f aca="false">'CEMIUP0.9 Raw'!C599</f>
        <v>06U XXL</v>
      </c>
      <c r="D5772" s="19" t="n">
        <f aca="false">'CEMIUP0.9 Raw'!D599</f>
        <v>1</v>
      </c>
      <c r="E5772" s="19" t="n">
        <f aca="false">'CEMIUP0.9 Raw'!E599</f>
        <v>140.57</v>
      </c>
      <c r="F5772" s="19" t="n">
        <f aca="false">'CEMIUP0.9 Raw'!F599</f>
        <v>0</v>
      </c>
      <c r="G5772" s="19" t="n">
        <f aca="false">'CEMIUP0.9 Raw'!G599</f>
        <v>0</v>
      </c>
      <c r="H5772" s="18" t="str">
        <f aca="false">'CEMIUP0.9 Raw'!A599</f>
        <v>107 - Pharmacies</v>
      </c>
    </row>
    <row r="5773" customFormat="false" ht="15" hidden="false" customHeight="false" outlineLevel="0" collapsed="false">
      <c r="A5773" s="18" t="str">
        <f aca="false">'CEMIUP0.9 Raw'!B601</f>
        <v>07UB-S-M</v>
      </c>
      <c r="B5773" s="18" t="str">
        <f aca="false">'CEMIUP0.9 Raw'!C601</f>
        <v>07UB-S-M</v>
      </c>
      <c r="C5773" s="18" t="str">
        <f aca="false">'CEMIUP0.9 Raw'!C601</f>
        <v>07UB-S-M</v>
      </c>
      <c r="D5773" s="19" t="n">
        <f aca="false">'CEMIUP0.9 Raw'!D601</f>
        <v>10</v>
      </c>
      <c r="E5773" s="19" t="n">
        <f aca="false">'CEMIUP0.9 Raw'!E601</f>
        <v>1250</v>
      </c>
      <c r="F5773" s="19" t="n">
        <f aca="false">'CEMIUP0.9 Raw'!F601</f>
        <v>0</v>
      </c>
      <c r="G5773" s="19" t="n">
        <f aca="false">'CEMIUP0.9 Raw'!G601</f>
        <v>0</v>
      </c>
      <c r="H5773" s="18" t="str">
        <f aca="false">'CEMIUP0.9 Raw'!A601</f>
        <v>107 - Pharmacies</v>
      </c>
    </row>
    <row r="5774" customFormat="false" ht="15" hidden="false" customHeight="false" outlineLevel="0" collapsed="false">
      <c r="A5774" s="18" t="str">
        <f aca="false">'CEMIUP0.9 Raw'!B602</f>
        <v>10 XXL</v>
      </c>
      <c r="B5774" s="18" t="str">
        <f aca="false">'CEMIUP0.9 Raw'!C602</f>
        <v>10 XXL</v>
      </c>
      <c r="C5774" s="18" t="str">
        <f aca="false">'CEMIUP0.9 Raw'!C602</f>
        <v>10 XXL</v>
      </c>
      <c r="D5774" s="19" t="n">
        <f aca="false">'CEMIUP0.9 Raw'!D602</f>
        <v>10</v>
      </c>
      <c r="E5774" s="19" t="n">
        <f aca="false">'CEMIUP0.9 Raw'!E602</f>
        <v>1300</v>
      </c>
      <c r="F5774" s="19" t="n">
        <f aca="false">'CEMIUP0.9 Raw'!F602</f>
        <v>0</v>
      </c>
      <c r="G5774" s="19" t="n">
        <f aca="false">'CEMIUP0.9 Raw'!G602</f>
        <v>0</v>
      </c>
      <c r="H5774" s="18" t="str">
        <f aca="false">'CEMIUP0.9 Raw'!A602</f>
        <v>107 - Pharmacies</v>
      </c>
    </row>
    <row r="5775" customFormat="false" ht="15" hidden="false" customHeight="false" outlineLevel="0" collapsed="false">
      <c r="A5775" s="18" t="str">
        <f aca="false">'CEMIUP0.9 Raw'!B604</f>
        <v>11EU XS</v>
      </c>
      <c r="B5775" s="18" t="str">
        <f aca="false">'CEMIUP0.9 Raw'!C604</f>
        <v>11EU XS</v>
      </c>
      <c r="C5775" s="18" t="str">
        <f aca="false">'CEMIUP0.9 Raw'!C604</f>
        <v>11EU XS</v>
      </c>
      <c r="D5775" s="19" t="n">
        <f aca="false">'CEMIUP0.9 Raw'!D604</f>
        <v>1</v>
      </c>
      <c r="E5775" s="19" t="n">
        <f aca="false">'CEMIUP0.9 Raw'!E604</f>
        <v>69</v>
      </c>
      <c r="F5775" s="19" t="n">
        <f aca="false">'CEMIUP0.9 Raw'!F604</f>
        <v>0</v>
      </c>
      <c r="G5775" s="19" t="n">
        <f aca="false">'CEMIUP0.9 Raw'!G604</f>
        <v>0</v>
      </c>
      <c r="H5775" s="18" t="str">
        <f aca="false">'CEMIUP0.9 Raw'!A604</f>
        <v>107 - Pharmacies</v>
      </c>
    </row>
    <row r="5776" customFormat="false" ht="15" hidden="false" customHeight="false" outlineLevel="0" collapsed="false">
      <c r="A5776" s="18" t="str">
        <f aca="false">'CEMIUP0.9 Raw'!B605</f>
        <v>11PS M</v>
      </c>
      <c r="B5776" s="18" t="str">
        <f aca="false">'CEMIUP0.9 Raw'!C605</f>
        <v>11PS M</v>
      </c>
      <c r="C5776" s="18" t="str">
        <f aca="false">'CEMIUP0.9 Raw'!C605</f>
        <v>11PS M</v>
      </c>
      <c r="D5776" s="19" t="n">
        <f aca="false">'CEMIUP0.9 Raw'!D605</f>
        <v>1</v>
      </c>
      <c r="E5776" s="19" t="n">
        <f aca="false">'CEMIUP0.9 Raw'!E605</f>
        <v>135.88</v>
      </c>
      <c r="F5776" s="19" t="n">
        <f aca="false">'CEMIUP0.9 Raw'!F605</f>
        <v>0</v>
      </c>
      <c r="G5776" s="19" t="n">
        <f aca="false">'CEMIUP0.9 Raw'!G605</f>
        <v>0</v>
      </c>
      <c r="H5776" s="18" t="str">
        <f aca="false">'CEMIUP0.9 Raw'!A605</f>
        <v>107 - Pharmacies</v>
      </c>
    </row>
    <row r="5777" customFormat="false" ht="15" hidden="false" customHeight="false" outlineLevel="0" collapsed="false">
      <c r="A5777" s="18" t="str">
        <f aca="false">'CEMIUP0.9 Raw'!B607</f>
        <v>13 M</v>
      </c>
      <c r="B5777" s="18" t="str">
        <f aca="false">'CEMIUP0.9 Raw'!C607</f>
        <v>13 M</v>
      </c>
      <c r="C5777" s="18" t="str">
        <f aca="false">'CEMIUP0.9 Raw'!C607</f>
        <v>13 M</v>
      </c>
      <c r="D5777" s="19" t="n">
        <f aca="false">'CEMIUP0.9 Raw'!D607</f>
        <v>1</v>
      </c>
      <c r="E5777" s="19" t="n">
        <f aca="false">'CEMIUP0.9 Raw'!E607</f>
        <v>156.98</v>
      </c>
      <c r="F5777" s="19" t="n">
        <f aca="false">'CEMIUP0.9 Raw'!F607</f>
        <v>0</v>
      </c>
      <c r="G5777" s="19" t="n">
        <f aca="false">'CEMIUP0.9 Raw'!G607</f>
        <v>0</v>
      </c>
      <c r="H5777" s="18" t="str">
        <f aca="false">'CEMIUP0.9 Raw'!A607</f>
        <v>107 - Pharmacies</v>
      </c>
    </row>
    <row r="5778" customFormat="false" ht="15" hidden="false" customHeight="false" outlineLevel="0" collapsed="false">
      <c r="A5778" s="18" t="str">
        <f aca="false">'CEMIUP0.9 Raw'!B610</f>
        <v>15W S</v>
      </c>
      <c r="B5778" s="18" t="str">
        <f aca="false">'CEMIUP0.9 Raw'!C610</f>
        <v>15W S</v>
      </c>
      <c r="C5778" s="18" t="str">
        <f aca="false">'CEMIUP0.9 Raw'!C610</f>
        <v>15W S</v>
      </c>
      <c r="D5778" s="19" t="n">
        <f aca="false">'CEMIUP0.9 Raw'!D610</f>
        <v>1</v>
      </c>
      <c r="E5778" s="19" t="n">
        <f aca="false">'CEMIUP0.9 Raw'!E610</f>
        <v>140.58</v>
      </c>
      <c r="F5778" s="19" t="n">
        <f aca="false">'CEMIUP0.9 Raw'!F610</f>
        <v>0</v>
      </c>
      <c r="G5778" s="19" t="n">
        <f aca="false">'CEMIUP0.9 Raw'!G610</f>
        <v>0</v>
      </c>
      <c r="H5778" s="18" t="str">
        <f aca="false">'CEMIUP0.9 Raw'!A610</f>
        <v>107 - Pharmacies</v>
      </c>
    </row>
    <row r="5779" customFormat="false" ht="15" hidden="false" customHeight="false" outlineLevel="0" collapsed="false">
      <c r="A5779" s="18" t="str">
        <f aca="false">'CEMIUP0.9 Raw'!B611</f>
        <v>15W XL</v>
      </c>
      <c r="B5779" s="18" t="str">
        <f aca="false">'CEMIUP0.9 Raw'!C611</f>
        <v>15W XL</v>
      </c>
      <c r="C5779" s="18" t="str">
        <f aca="false">'CEMIUP0.9 Raw'!C611</f>
        <v>15W XL</v>
      </c>
      <c r="D5779" s="19" t="n">
        <f aca="false">'CEMIUP0.9 Raw'!D611</f>
        <v>1</v>
      </c>
      <c r="E5779" s="19" t="n">
        <f aca="false">'CEMIUP0.9 Raw'!E611</f>
        <v>132.33</v>
      </c>
      <c r="F5779" s="19" t="n">
        <f aca="false">'CEMIUP0.9 Raw'!F611</f>
        <v>0</v>
      </c>
      <c r="G5779" s="19" t="n">
        <f aca="false">'CEMIUP0.9 Raw'!G611</f>
        <v>0</v>
      </c>
      <c r="H5779" s="18" t="str">
        <f aca="false">'CEMIUP0.9 Raw'!A611</f>
        <v>107 - Pharmacies</v>
      </c>
    </row>
    <row r="5780" customFormat="false" ht="15" hidden="false" customHeight="false" outlineLevel="0" collapsed="false">
      <c r="A5780" s="18" t="str">
        <f aca="false">'CEMIUP0.9 Raw'!B614</f>
        <v>18 S</v>
      </c>
      <c r="B5780" s="18" t="str">
        <f aca="false">'CEMIUP0.9 Raw'!C614</f>
        <v>18 S</v>
      </c>
      <c r="C5780" s="18" t="str">
        <f aca="false">'CEMIUP0.9 Raw'!C614</f>
        <v>18 S</v>
      </c>
      <c r="D5780" s="19" t="n">
        <f aca="false">'CEMIUP0.9 Raw'!D614</f>
        <v>1</v>
      </c>
      <c r="E5780" s="19" t="n">
        <f aca="false">'CEMIUP0.9 Raw'!E614</f>
        <v>268</v>
      </c>
      <c r="F5780" s="19" t="n">
        <f aca="false">'CEMIUP0.9 Raw'!F614</f>
        <v>0</v>
      </c>
      <c r="G5780" s="19" t="n">
        <f aca="false">'CEMIUP0.9 Raw'!G614</f>
        <v>0</v>
      </c>
      <c r="H5780" s="18" t="str">
        <f aca="false">'CEMIUP0.9 Raw'!A614</f>
        <v>107 - Pharmacies</v>
      </c>
    </row>
    <row r="5781" customFormat="false" ht="15" hidden="false" customHeight="false" outlineLevel="0" collapsed="false">
      <c r="A5781" s="18" t="str">
        <f aca="false">'CEMIUP0.9 Raw'!B617</f>
        <v>239P-S-M</v>
      </c>
      <c r="B5781" s="18" t="str">
        <f aca="false">'CEMIUP0.9 Raw'!C617</f>
        <v>239P-S-M</v>
      </c>
      <c r="C5781" s="18" t="str">
        <f aca="false">'CEMIUP0.9 Raw'!C617</f>
        <v>239P-S-M</v>
      </c>
      <c r="D5781" s="19" t="n">
        <f aca="false">'CEMIUP0.9 Raw'!D617</f>
        <v>2</v>
      </c>
      <c r="E5781" s="19" t="n">
        <f aca="false">'CEMIUP0.9 Raw'!E617</f>
        <v>38.34</v>
      </c>
      <c r="F5781" s="19" t="n">
        <f aca="false">'CEMIUP0.9 Raw'!F617</f>
        <v>0</v>
      </c>
      <c r="G5781" s="19" t="n">
        <f aca="false">'CEMIUP0.9 Raw'!G617</f>
        <v>0</v>
      </c>
      <c r="H5781" s="18" t="str">
        <f aca="false">'CEMIUP0.9 Raw'!A617</f>
        <v>107 - Pharmacies</v>
      </c>
    </row>
    <row r="5782" customFormat="false" ht="15" hidden="false" customHeight="false" outlineLevel="0" collapsed="false">
      <c r="A5782" s="18" t="str">
        <f aca="false">'CEMIUP0.9 Raw'!B618</f>
        <v>30 S</v>
      </c>
      <c r="B5782" s="18" t="str">
        <f aca="false">'CEMIUP0.9 Raw'!C618</f>
        <v>30 S</v>
      </c>
      <c r="C5782" s="18" t="str">
        <f aca="false">'CEMIUP0.9 Raw'!C618</f>
        <v>30 S</v>
      </c>
      <c r="D5782" s="19" t="n">
        <f aca="false">'CEMIUP0.9 Raw'!D618</f>
        <v>3</v>
      </c>
      <c r="E5782" s="19" t="n">
        <f aca="false">'CEMIUP0.9 Raw'!E618</f>
        <v>198.4</v>
      </c>
      <c r="F5782" s="19" t="n">
        <f aca="false">'CEMIUP0.9 Raw'!F618</f>
        <v>0</v>
      </c>
      <c r="G5782" s="19" t="n">
        <f aca="false">'CEMIUP0.9 Raw'!G618</f>
        <v>0</v>
      </c>
      <c r="H5782" s="18" t="str">
        <f aca="false">'CEMIUP0.9 Raw'!A618</f>
        <v>107 - Pharmacies</v>
      </c>
    </row>
    <row r="5783" customFormat="false" ht="15" hidden="false" customHeight="false" outlineLevel="0" collapsed="false">
      <c r="A5783" s="18" t="str">
        <f aca="false">'CEMIUP0.9 Raw'!B619</f>
        <v>303-43-44</v>
      </c>
      <c r="B5783" s="18" t="str">
        <f aca="false">'CEMIUP0.9 Raw'!C619</f>
        <v>303-43-44</v>
      </c>
      <c r="C5783" s="18" t="str">
        <f aca="false">'CEMIUP0.9 Raw'!C619</f>
        <v>303-43-44</v>
      </c>
      <c r="D5783" s="19" t="n">
        <f aca="false">'CEMIUP0.9 Raw'!D619</f>
        <v>6</v>
      </c>
      <c r="E5783" s="19" t="n">
        <f aca="false">'CEMIUP0.9 Raw'!E619</f>
        <v>711.22</v>
      </c>
      <c r="F5783" s="19" t="n">
        <f aca="false">'CEMIUP0.9 Raw'!F619</f>
        <v>0</v>
      </c>
      <c r="G5783" s="19" t="n">
        <f aca="false">'CEMIUP0.9 Raw'!G619</f>
        <v>0</v>
      </c>
      <c r="H5783" s="18" t="str">
        <f aca="false">'CEMIUP0.9 Raw'!A619</f>
        <v>107 - Pharmacies</v>
      </c>
    </row>
    <row r="5784" customFormat="false" ht="15" hidden="false" customHeight="false" outlineLevel="0" collapsed="false">
      <c r="A5784" s="18" t="str">
        <f aca="false">'CEMIUP0.9 Raw'!B620</f>
        <v>305GA-35-36</v>
      </c>
      <c r="B5784" s="18" t="str">
        <f aca="false">'CEMIUP0.9 Raw'!C620</f>
        <v>305GA-35-36</v>
      </c>
      <c r="C5784" s="18" t="str">
        <f aca="false">'CEMIUP0.9 Raw'!C620</f>
        <v>305GA-35-36</v>
      </c>
      <c r="D5784" s="19" t="n">
        <f aca="false">'CEMIUP0.9 Raw'!D620</f>
        <v>2</v>
      </c>
      <c r="E5784" s="19" t="n">
        <f aca="false">'CEMIUP0.9 Raw'!E620</f>
        <v>187.4</v>
      </c>
      <c r="F5784" s="19" t="n">
        <f aca="false">'CEMIUP0.9 Raw'!F620</f>
        <v>0</v>
      </c>
      <c r="G5784" s="19" t="n">
        <f aca="false">'CEMIUP0.9 Raw'!G620</f>
        <v>0</v>
      </c>
      <c r="H5784" s="18" t="str">
        <f aca="false">'CEMIUP0.9 Raw'!A620</f>
        <v>107 - Pharmacies</v>
      </c>
    </row>
    <row r="5785" customFormat="false" ht="15" hidden="false" customHeight="false" outlineLevel="0" collapsed="false">
      <c r="A5785" s="18" t="str">
        <f aca="false">'CEMIUP0.9 Raw'!B622</f>
        <v>322B M</v>
      </c>
      <c r="B5785" s="18" t="str">
        <f aca="false">'CEMIUP0.9 Raw'!C622</f>
        <v>322B M</v>
      </c>
      <c r="C5785" s="18" t="str">
        <f aca="false">'CEMIUP0.9 Raw'!C622</f>
        <v>322B M</v>
      </c>
      <c r="D5785" s="19" t="n">
        <f aca="false">'CEMIUP0.9 Raw'!D622</f>
        <v>5</v>
      </c>
      <c r="E5785" s="19" t="n">
        <f aca="false">'CEMIUP0.9 Raw'!E622</f>
        <v>523.08</v>
      </c>
      <c r="F5785" s="19" t="n">
        <f aca="false">'CEMIUP0.9 Raw'!F622</f>
        <v>0</v>
      </c>
      <c r="G5785" s="19" t="n">
        <f aca="false">'CEMIUP0.9 Raw'!G622</f>
        <v>0</v>
      </c>
      <c r="H5785" s="18" t="str">
        <f aca="false">'CEMIUP0.9 Raw'!A622</f>
        <v>107 - Pharmacies</v>
      </c>
    </row>
    <row r="5786" customFormat="false" ht="15" hidden="false" customHeight="false" outlineLevel="0" collapsed="false">
      <c r="A5786" s="18" t="str">
        <f aca="false">'CEMIUP0.9 Raw'!B624</f>
        <v>332B M</v>
      </c>
      <c r="B5786" s="18" t="str">
        <f aca="false">'CEMIUP0.9 Raw'!C624</f>
        <v>332B M</v>
      </c>
      <c r="C5786" s="18" t="str">
        <f aca="false">'CEMIUP0.9 Raw'!C624</f>
        <v>332B M</v>
      </c>
      <c r="D5786" s="19" t="n">
        <f aca="false">'CEMIUP0.9 Raw'!D624</f>
        <v>1</v>
      </c>
      <c r="E5786" s="19" t="n">
        <f aca="false">'CEMIUP0.9 Raw'!E624</f>
        <v>123.23</v>
      </c>
      <c r="F5786" s="19" t="n">
        <f aca="false">'CEMIUP0.9 Raw'!F624</f>
        <v>0</v>
      </c>
      <c r="G5786" s="19" t="n">
        <f aca="false">'CEMIUP0.9 Raw'!G624</f>
        <v>0</v>
      </c>
      <c r="H5786" s="18" t="str">
        <f aca="false">'CEMIUP0.9 Raw'!A624</f>
        <v>107 - Pharmacies</v>
      </c>
    </row>
    <row r="5787" customFormat="false" ht="15" hidden="false" customHeight="false" outlineLevel="0" collapsed="false">
      <c r="A5787" s="18" t="str">
        <f aca="false">'CEMIUP0.9 Raw'!B625</f>
        <v>35 XS</v>
      </c>
      <c r="B5787" s="18" t="str">
        <f aca="false">'CEMIUP0.9 Raw'!C625</f>
        <v>35 XS</v>
      </c>
      <c r="C5787" s="18" t="str">
        <f aca="false">'CEMIUP0.9 Raw'!C625</f>
        <v>35 XS</v>
      </c>
      <c r="D5787" s="19" t="n">
        <f aca="false">'CEMIUP0.9 Raw'!D625</f>
        <v>4</v>
      </c>
      <c r="E5787" s="19" t="n">
        <f aca="false">'CEMIUP0.9 Raw'!E625</f>
        <v>121.26</v>
      </c>
      <c r="F5787" s="19" t="n">
        <f aca="false">'CEMIUP0.9 Raw'!F625</f>
        <v>0</v>
      </c>
      <c r="G5787" s="19" t="n">
        <f aca="false">'CEMIUP0.9 Raw'!G625</f>
        <v>0</v>
      </c>
      <c r="H5787" s="18" t="str">
        <f aca="false">'CEMIUP0.9 Raw'!A625</f>
        <v>107 - Pharmacies</v>
      </c>
    </row>
    <row r="5788" customFormat="false" ht="15" hidden="false" customHeight="false" outlineLevel="0" collapsed="false">
      <c r="A5788" s="18" t="str">
        <f aca="false">'CEMIUP0.9 Raw'!B626</f>
        <v>376-38-40</v>
      </c>
      <c r="B5788" s="18" t="str">
        <f aca="false">'CEMIUP0.9 Raw'!C626</f>
        <v>376-38-40</v>
      </c>
      <c r="C5788" s="18" t="str">
        <f aca="false">'CEMIUP0.9 Raw'!C626</f>
        <v>376-38-40</v>
      </c>
      <c r="D5788" s="19" t="n">
        <f aca="false">'CEMIUP0.9 Raw'!D626</f>
        <v>2</v>
      </c>
      <c r="E5788" s="19" t="n">
        <f aca="false">'CEMIUP0.9 Raw'!E626</f>
        <v>66.09</v>
      </c>
      <c r="F5788" s="19" t="n">
        <f aca="false">'CEMIUP0.9 Raw'!F626</f>
        <v>0</v>
      </c>
      <c r="G5788" s="19" t="n">
        <f aca="false">'CEMIUP0.9 Raw'!G626</f>
        <v>0</v>
      </c>
      <c r="H5788" s="18" t="str">
        <f aca="false">'CEMIUP0.9 Raw'!A626</f>
        <v>107 - Pharmacies</v>
      </c>
    </row>
    <row r="5789" customFormat="false" ht="15" hidden="false" customHeight="false" outlineLevel="0" collapsed="false">
      <c r="A5789" s="18" t="str">
        <f aca="false">'CEMIUP0.9 Raw'!B628</f>
        <v>390G-39-42</v>
      </c>
      <c r="B5789" s="18" t="str">
        <f aca="false">'CEMIUP0.9 Raw'!C628</f>
        <v>390G-39-42</v>
      </c>
      <c r="C5789" s="18" t="str">
        <f aca="false">'CEMIUP0.9 Raw'!C628</f>
        <v>390G-39-42</v>
      </c>
      <c r="D5789" s="19" t="n">
        <f aca="false">'CEMIUP0.9 Raw'!D628</f>
        <v>6</v>
      </c>
      <c r="E5789" s="19" t="n">
        <f aca="false">'CEMIUP0.9 Raw'!E628</f>
        <v>188.76</v>
      </c>
      <c r="F5789" s="19" t="n">
        <f aca="false">'CEMIUP0.9 Raw'!F628</f>
        <v>0</v>
      </c>
      <c r="G5789" s="19" t="n">
        <f aca="false">'CEMIUP0.9 Raw'!G628</f>
        <v>0</v>
      </c>
      <c r="H5789" s="18" t="str">
        <f aca="false">'CEMIUP0.9 Raw'!A628</f>
        <v>107 - Pharmacies</v>
      </c>
    </row>
    <row r="5790" customFormat="false" ht="15" hidden="false" customHeight="false" outlineLevel="0" collapsed="false">
      <c r="A5790" s="18" t="str">
        <f aca="false">'CEMIUP0.9 Raw'!B629</f>
        <v>422 XL</v>
      </c>
      <c r="B5790" s="18" t="str">
        <f aca="false">'CEMIUP0.9 Raw'!C629</f>
        <v>422 XL</v>
      </c>
      <c r="C5790" s="18" t="str">
        <f aca="false">'CEMIUP0.9 Raw'!C629</f>
        <v>422 XL</v>
      </c>
      <c r="D5790" s="19" t="n">
        <f aca="false">'CEMIUP0.9 Raw'!D629</f>
        <v>1</v>
      </c>
      <c r="E5790" s="19" t="n">
        <f aca="false">'CEMIUP0.9 Raw'!E629</f>
        <v>174.86</v>
      </c>
      <c r="F5790" s="19" t="n">
        <f aca="false">'CEMIUP0.9 Raw'!F629</f>
        <v>0</v>
      </c>
      <c r="G5790" s="19" t="n">
        <f aca="false">'CEMIUP0.9 Raw'!G629</f>
        <v>0</v>
      </c>
      <c r="H5790" s="18" t="str">
        <f aca="false">'CEMIUP0.9 Raw'!A629</f>
        <v>107 - Pharmacies</v>
      </c>
    </row>
    <row r="5791" customFormat="false" ht="15" hidden="false" customHeight="false" outlineLevel="0" collapsed="false">
      <c r="A5791" s="18" t="str">
        <f aca="false">'CEMIUP0.9 Raw'!B630</f>
        <v>422 XXL</v>
      </c>
      <c r="B5791" s="18" t="str">
        <f aca="false">'CEMIUP0.9 Raw'!C630</f>
        <v>422 XXL</v>
      </c>
      <c r="C5791" s="18" t="str">
        <f aca="false">'CEMIUP0.9 Raw'!C630</f>
        <v>422 XXL</v>
      </c>
      <c r="D5791" s="19" t="n">
        <f aca="false">'CEMIUP0.9 Raw'!D630</f>
        <v>1</v>
      </c>
      <c r="E5791" s="19" t="n">
        <f aca="false">'CEMIUP0.9 Raw'!E630</f>
        <v>187.45</v>
      </c>
      <c r="F5791" s="19" t="n">
        <f aca="false">'CEMIUP0.9 Raw'!F630</f>
        <v>0</v>
      </c>
      <c r="G5791" s="19" t="n">
        <f aca="false">'CEMIUP0.9 Raw'!G630</f>
        <v>0</v>
      </c>
      <c r="H5791" s="18" t="str">
        <f aca="false">'CEMIUP0.9 Raw'!A630</f>
        <v>107 - Pharmacies</v>
      </c>
    </row>
    <row r="5792" customFormat="false" ht="15" hidden="false" customHeight="false" outlineLevel="0" collapsed="false">
      <c r="A5792" s="18" t="str">
        <f aca="false">'CEMIUP0.9 Raw'!B631</f>
        <v>422E XL</v>
      </c>
      <c r="B5792" s="18" t="str">
        <f aca="false">'CEMIUP0.9 Raw'!C631</f>
        <v>422E XL</v>
      </c>
      <c r="C5792" s="18" t="str">
        <f aca="false">'CEMIUP0.9 Raw'!C631</f>
        <v>422E XL</v>
      </c>
      <c r="D5792" s="19" t="n">
        <f aca="false">'CEMIUP0.9 Raw'!D631</f>
        <v>1</v>
      </c>
      <c r="E5792" s="19" t="n">
        <f aca="false">'CEMIUP0.9 Raw'!E631</f>
        <v>203.38</v>
      </c>
      <c r="F5792" s="19" t="n">
        <f aca="false">'CEMIUP0.9 Raw'!F631</f>
        <v>0</v>
      </c>
      <c r="G5792" s="19" t="n">
        <f aca="false">'CEMIUP0.9 Raw'!G631</f>
        <v>0</v>
      </c>
      <c r="H5792" s="18" t="str">
        <f aca="false">'CEMIUP0.9 Raw'!A631</f>
        <v>107 - Pharmacies</v>
      </c>
    </row>
    <row r="5793" customFormat="false" ht="15" hidden="false" customHeight="false" outlineLevel="0" collapsed="false">
      <c r="A5793" s="18" t="str">
        <f aca="false">'CEMIUP0.9 Raw'!B632</f>
        <v>422EB L</v>
      </c>
      <c r="B5793" s="18" t="str">
        <f aca="false">'CEMIUP0.9 Raw'!C632</f>
        <v>422EB L</v>
      </c>
      <c r="C5793" s="18" t="str">
        <f aca="false">'CEMIUP0.9 Raw'!C632</f>
        <v>422EB L</v>
      </c>
      <c r="D5793" s="19" t="n">
        <f aca="false">'CEMIUP0.9 Raw'!D632</f>
        <v>1</v>
      </c>
      <c r="E5793" s="19" t="n">
        <f aca="false">'CEMIUP0.9 Raw'!E632</f>
        <v>203.38</v>
      </c>
      <c r="F5793" s="19" t="n">
        <f aca="false">'CEMIUP0.9 Raw'!F632</f>
        <v>0</v>
      </c>
      <c r="G5793" s="19" t="n">
        <f aca="false">'CEMIUP0.9 Raw'!G632</f>
        <v>0</v>
      </c>
      <c r="H5793" s="18" t="str">
        <f aca="false">'CEMIUP0.9 Raw'!A632</f>
        <v>107 - Pharmacies</v>
      </c>
    </row>
    <row r="5794" customFormat="false" ht="15" hidden="false" customHeight="false" outlineLevel="0" collapsed="false">
      <c r="A5794" s="18" t="str">
        <f aca="false">'CEMIUP0.9 Raw'!B636</f>
        <v>48 XL</v>
      </c>
      <c r="B5794" s="18" t="str">
        <f aca="false">'CEMIUP0.9 Raw'!C636</f>
        <v>48 XL</v>
      </c>
      <c r="C5794" s="18" t="str">
        <f aca="false">'CEMIUP0.9 Raw'!C636</f>
        <v>48 XL</v>
      </c>
      <c r="D5794" s="19" t="n">
        <f aca="false">'CEMIUP0.9 Raw'!D636</f>
        <v>4</v>
      </c>
      <c r="E5794" s="19" t="n">
        <f aca="false">'CEMIUP0.9 Raw'!E636</f>
        <v>226.69</v>
      </c>
      <c r="F5794" s="19" t="n">
        <f aca="false">'CEMIUP0.9 Raw'!F636</f>
        <v>0</v>
      </c>
      <c r="G5794" s="19" t="n">
        <f aca="false">'CEMIUP0.9 Raw'!G636</f>
        <v>0</v>
      </c>
      <c r="H5794" s="18" t="str">
        <f aca="false">'CEMIUP0.9 Raw'!A636</f>
        <v>107 - Pharmacies</v>
      </c>
    </row>
    <row r="5795" customFormat="false" ht="15" hidden="false" customHeight="false" outlineLevel="0" collapsed="false">
      <c r="A5795" s="18" t="str">
        <f aca="false">'CEMIUP0.9 Raw'!B638</f>
        <v>49PS M</v>
      </c>
      <c r="B5795" s="18" t="str">
        <f aca="false">'CEMIUP0.9 Raw'!C638</f>
        <v>49PS M</v>
      </c>
      <c r="C5795" s="18" t="str">
        <f aca="false">'CEMIUP0.9 Raw'!C638</f>
        <v>49PS M</v>
      </c>
      <c r="D5795" s="19" t="n">
        <f aca="false">'CEMIUP0.9 Raw'!D638</f>
        <v>1</v>
      </c>
      <c r="E5795" s="19" t="n">
        <f aca="false">'CEMIUP0.9 Raw'!E638</f>
        <v>133.54</v>
      </c>
      <c r="F5795" s="19" t="n">
        <f aca="false">'CEMIUP0.9 Raw'!F638</f>
        <v>0</v>
      </c>
      <c r="G5795" s="19" t="n">
        <f aca="false">'CEMIUP0.9 Raw'!G638</f>
        <v>0</v>
      </c>
      <c r="H5795" s="18" t="str">
        <f aca="false">'CEMIUP0.9 Raw'!A638</f>
        <v>107 - Pharmacies</v>
      </c>
    </row>
    <row r="5796" customFormat="false" ht="15" hidden="false" customHeight="false" outlineLevel="0" collapsed="false">
      <c r="A5796" s="18" t="str">
        <f aca="false">'CEMIUP0.9 Raw'!B646</f>
        <v>63 L</v>
      </c>
      <c r="B5796" s="18" t="str">
        <f aca="false">'CEMIUP0.9 Raw'!C646</f>
        <v>63 L</v>
      </c>
      <c r="C5796" s="18" t="str">
        <f aca="false">'CEMIUP0.9 Raw'!C646</f>
        <v>63 L</v>
      </c>
      <c r="D5796" s="19" t="n">
        <f aca="false">'CEMIUP0.9 Raw'!D646</f>
        <v>1</v>
      </c>
      <c r="E5796" s="19" t="n">
        <f aca="false">'CEMIUP0.9 Raw'!E646</f>
        <v>66.51</v>
      </c>
      <c r="F5796" s="19" t="n">
        <f aca="false">'CEMIUP0.9 Raw'!F646</f>
        <v>0</v>
      </c>
      <c r="G5796" s="19" t="n">
        <f aca="false">'CEMIUP0.9 Raw'!G646</f>
        <v>0</v>
      </c>
      <c r="H5796" s="18" t="str">
        <f aca="false">'CEMIUP0.9 Raw'!A646</f>
        <v>107 - Pharmacies</v>
      </c>
    </row>
    <row r="5797" customFormat="false" ht="15" hidden="false" customHeight="false" outlineLevel="0" collapsed="false">
      <c r="A5797" s="18" t="str">
        <f aca="false">'CEMIUP0.9 Raw'!B650</f>
        <v>776 L</v>
      </c>
      <c r="B5797" s="18" t="str">
        <f aca="false">'CEMIUP0.9 Raw'!C650</f>
        <v>776 L</v>
      </c>
      <c r="C5797" s="18" t="str">
        <f aca="false">'CEMIUP0.9 Raw'!C650</f>
        <v>776 L</v>
      </c>
      <c r="D5797" s="19" t="n">
        <f aca="false">'CEMIUP0.9 Raw'!D650</f>
        <v>1</v>
      </c>
      <c r="E5797" s="19" t="n">
        <f aca="false">'CEMIUP0.9 Raw'!E650</f>
        <v>472.68</v>
      </c>
      <c r="F5797" s="19" t="n">
        <f aca="false">'CEMIUP0.9 Raw'!F650</f>
        <v>0</v>
      </c>
      <c r="G5797" s="19" t="n">
        <f aca="false">'CEMIUP0.9 Raw'!G650</f>
        <v>0</v>
      </c>
      <c r="H5797" s="18" t="str">
        <f aca="false">'CEMIUP0.9 Raw'!A650</f>
        <v>107 - Pharmacies</v>
      </c>
    </row>
    <row r="5798" customFormat="false" ht="15" hidden="false" customHeight="false" outlineLevel="0" collapsed="false">
      <c r="A5798" s="18" t="str">
        <f aca="false">'CEMIUP0.9 Raw'!B651</f>
        <v>776 M</v>
      </c>
      <c r="B5798" s="18" t="str">
        <f aca="false">'CEMIUP0.9 Raw'!C651</f>
        <v>776 M</v>
      </c>
      <c r="C5798" s="18" t="str">
        <f aca="false">'CEMIUP0.9 Raw'!C651</f>
        <v>776 M</v>
      </c>
      <c r="D5798" s="19" t="n">
        <f aca="false">'CEMIUP0.9 Raw'!D651</f>
        <v>1</v>
      </c>
      <c r="E5798" s="19" t="n">
        <f aca="false">'CEMIUP0.9 Raw'!E651</f>
        <v>472.7</v>
      </c>
      <c r="F5798" s="19" t="n">
        <f aca="false">'CEMIUP0.9 Raw'!F651</f>
        <v>0</v>
      </c>
      <c r="G5798" s="19" t="n">
        <f aca="false">'CEMIUP0.9 Raw'!G651</f>
        <v>0</v>
      </c>
      <c r="H5798" s="18" t="str">
        <f aca="false">'CEMIUP0.9 Raw'!A651</f>
        <v>107 - Pharmacies</v>
      </c>
    </row>
    <row r="5799" customFormat="false" ht="15" hidden="false" customHeight="false" outlineLevel="0" collapsed="false">
      <c r="A5799" s="18" t="str">
        <f aca="false">'CEMIUP0.9 Raw'!B652</f>
        <v>776 XXL</v>
      </c>
      <c r="B5799" s="18" t="str">
        <f aca="false">'CEMIUP0.9 Raw'!C652</f>
        <v>776 XXL</v>
      </c>
      <c r="C5799" s="18" t="str">
        <f aca="false">'CEMIUP0.9 Raw'!C652</f>
        <v>776 XXL</v>
      </c>
      <c r="D5799" s="19" t="n">
        <f aca="false">'CEMIUP0.9 Raw'!D652</f>
        <v>1</v>
      </c>
      <c r="E5799" s="19" t="n">
        <f aca="false">'CEMIUP0.9 Raw'!E652</f>
        <v>472.9</v>
      </c>
      <c r="F5799" s="19" t="n">
        <f aca="false">'CEMIUP0.9 Raw'!F652</f>
        <v>0</v>
      </c>
      <c r="G5799" s="19" t="n">
        <f aca="false">'CEMIUP0.9 Raw'!G652</f>
        <v>0</v>
      </c>
      <c r="H5799" s="18" t="str">
        <f aca="false">'CEMIUP0.9 Raw'!A652</f>
        <v>107 - Pharmacies</v>
      </c>
    </row>
    <row r="5800" customFormat="false" ht="15" hidden="false" customHeight="false" outlineLevel="0" collapsed="false">
      <c r="A5800" s="18" t="str">
        <f aca="false">'CEMIUP0.9 Raw'!B653</f>
        <v>78A S</v>
      </c>
      <c r="B5800" s="18" t="str">
        <f aca="false">'CEMIUP0.9 Raw'!C653</f>
        <v>78A S</v>
      </c>
      <c r="C5800" s="18" t="str">
        <f aca="false">'CEMIUP0.9 Raw'!C653</f>
        <v>78A S</v>
      </c>
      <c r="D5800" s="19" t="n">
        <f aca="false">'CEMIUP0.9 Raw'!D653</f>
        <v>1</v>
      </c>
      <c r="E5800" s="19" t="n">
        <f aca="false">'CEMIUP0.9 Raw'!E653</f>
        <v>165.41</v>
      </c>
      <c r="F5800" s="19" t="n">
        <f aca="false">'CEMIUP0.9 Raw'!F653</f>
        <v>0</v>
      </c>
      <c r="G5800" s="19" t="n">
        <f aca="false">'CEMIUP0.9 Raw'!G653</f>
        <v>0</v>
      </c>
      <c r="H5800" s="18" t="str">
        <f aca="false">'CEMIUP0.9 Raw'!A653</f>
        <v>107 - Pharmacies</v>
      </c>
    </row>
    <row r="5801" customFormat="false" ht="15" hidden="false" customHeight="false" outlineLevel="0" collapsed="false">
      <c r="A5801" s="18" t="str">
        <f aca="false">'CEMIUP0.9 Raw'!B654</f>
        <v>84-S-M</v>
      </c>
      <c r="B5801" s="18" t="str">
        <f aca="false">'CEMIUP0.9 Raw'!C654</f>
        <v>84-S-M</v>
      </c>
      <c r="C5801" s="18" t="str">
        <f aca="false">'CEMIUP0.9 Raw'!C654</f>
        <v>84-S-M</v>
      </c>
      <c r="D5801" s="19" t="n">
        <f aca="false">'CEMIUP0.9 Raw'!D654</f>
        <v>1</v>
      </c>
      <c r="E5801" s="19" t="n">
        <f aca="false">'CEMIUP0.9 Raw'!E654</f>
        <v>140.24</v>
      </c>
      <c r="F5801" s="19" t="n">
        <f aca="false">'CEMIUP0.9 Raw'!F654</f>
        <v>0</v>
      </c>
      <c r="G5801" s="19" t="n">
        <f aca="false">'CEMIUP0.9 Raw'!G654</f>
        <v>0</v>
      </c>
      <c r="H5801" s="18" t="str">
        <f aca="false">'CEMIUP0.9 Raw'!A654</f>
        <v>107 - Pharmacies</v>
      </c>
    </row>
    <row r="5802" customFormat="false" ht="15" hidden="false" customHeight="false" outlineLevel="0" collapsed="false">
      <c r="A5802" s="18" t="str">
        <f aca="false">'CEMIUP0.9 Raw'!B655</f>
        <v>FC316 0</v>
      </c>
      <c r="B5802" s="18" t="str">
        <f aca="false">'CEMIUP0.9 Raw'!C655</f>
        <v>FC316 0</v>
      </c>
      <c r="C5802" s="18" t="str">
        <f aca="false">'CEMIUP0.9 Raw'!C655</f>
        <v>FC316 0</v>
      </c>
      <c r="D5802" s="19" t="n">
        <f aca="false">'CEMIUP0.9 Raw'!D655</f>
        <v>-1</v>
      </c>
      <c r="E5802" s="19" t="n">
        <f aca="false">'CEMIUP0.9 Raw'!E655</f>
        <v>-37.77</v>
      </c>
      <c r="F5802" s="19" t="n">
        <f aca="false">'CEMIUP0.9 Raw'!F655</f>
        <v>0</v>
      </c>
      <c r="G5802" s="19" t="n">
        <f aca="false">'CEMIUP0.9 Raw'!G655</f>
        <v>0</v>
      </c>
      <c r="H5802" s="18" t="str">
        <f aca="false">'CEMIUP0.9 Raw'!A655</f>
        <v>107 - Pharmacies</v>
      </c>
    </row>
    <row r="5803" customFormat="false" ht="15" hidden="false" customHeight="false" outlineLevel="0" collapsed="false">
      <c r="A5803" s="18" t="str">
        <f aca="false">'CEMIUP0.9 Raw'!B658</f>
        <v>T28A XS</v>
      </c>
      <c r="B5803" s="18" t="str">
        <f aca="false">'CEMIUP0.9 Raw'!C658</f>
        <v>T28A XS</v>
      </c>
      <c r="C5803" s="18" t="str">
        <f aca="false">'CEMIUP0.9 Raw'!C658</f>
        <v>T28A XS</v>
      </c>
      <c r="D5803" s="19" t="n">
        <f aca="false">'CEMIUP0.9 Raw'!D658</f>
        <v>2</v>
      </c>
      <c r="E5803" s="19" t="n">
        <f aca="false">'CEMIUP0.9 Raw'!E658</f>
        <v>140.54</v>
      </c>
      <c r="F5803" s="19" t="n">
        <f aca="false">'CEMIUP0.9 Raw'!F658</f>
        <v>0</v>
      </c>
      <c r="G5803" s="19" t="n">
        <f aca="false">'CEMIUP0.9 Raw'!G658</f>
        <v>0</v>
      </c>
      <c r="H5803" s="18" t="str">
        <f aca="false">'CEMIUP0.9 Raw'!A658</f>
        <v>107 - Pharmacies</v>
      </c>
    </row>
    <row r="5804" customFormat="false" ht="15" hidden="false" customHeight="false" outlineLevel="0" collapsed="false">
      <c r="A5804" s="18" t="str">
        <f aca="false">'CEMIUP0.9 Raw'!B659</f>
        <v>T28AC XS</v>
      </c>
      <c r="B5804" s="18" t="str">
        <f aca="false">'CEMIUP0.9 Raw'!C659</f>
        <v>T28AC XS</v>
      </c>
      <c r="C5804" s="18" t="str">
        <f aca="false">'CEMIUP0.9 Raw'!C659</f>
        <v>T28AC XS</v>
      </c>
      <c r="D5804" s="19" t="n">
        <f aca="false">'CEMIUP0.9 Raw'!D659</f>
        <v>2</v>
      </c>
      <c r="E5804" s="19" t="n">
        <f aca="false">'CEMIUP0.9 Raw'!E659</f>
        <v>140.52</v>
      </c>
      <c r="F5804" s="19" t="n">
        <f aca="false">'CEMIUP0.9 Raw'!F659</f>
        <v>0</v>
      </c>
      <c r="G5804" s="19" t="n">
        <f aca="false">'CEMIUP0.9 Raw'!G659</f>
        <v>0</v>
      </c>
      <c r="H5804" s="18" t="str">
        <f aca="false">'CEMIUP0.9 Raw'!A659</f>
        <v>107 - Pharmacies</v>
      </c>
    </row>
    <row r="5805" customFormat="false" ht="15" hidden="false" customHeight="false" outlineLevel="0" collapsed="false">
      <c r="A5805" s="18" t="str">
        <f aca="false">'CEMIUP0.9 Raw'!B660</f>
        <v>T39 L</v>
      </c>
      <c r="B5805" s="18" t="str">
        <f aca="false">'CEMIUP0.9 Raw'!C660</f>
        <v>T39 L</v>
      </c>
      <c r="C5805" s="18" t="str">
        <f aca="false">'CEMIUP0.9 Raw'!C660</f>
        <v>T39 L</v>
      </c>
      <c r="D5805" s="19" t="n">
        <f aca="false">'CEMIUP0.9 Raw'!D660</f>
        <v>2</v>
      </c>
      <c r="E5805" s="19" t="n">
        <f aca="false">'CEMIUP0.9 Raw'!E660</f>
        <v>215.52</v>
      </c>
      <c r="F5805" s="19" t="n">
        <f aca="false">'CEMIUP0.9 Raw'!F660</f>
        <v>0</v>
      </c>
      <c r="G5805" s="19" t="n">
        <f aca="false">'CEMIUP0.9 Raw'!G660</f>
        <v>0</v>
      </c>
      <c r="H5805" s="18" t="str">
        <f aca="false">'CEMIUP0.9 Raw'!A660</f>
        <v>107 - Pharmacies</v>
      </c>
    </row>
    <row r="5806" customFormat="false" ht="15" hidden="false" customHeight="false" outlineLevel="0" collapsed="false">
      <c r="A5806" s="18" t="str">
        <f aca="false">'CEMIUP0.9 Raw'!B661</f>
        <v>T39 M</v>
      </c>
      <c r="B5806" s="18" t="str">
        <f aca="false">'CEMIUP0.9 Raw'!C661</f>
        <v>T39 M</v>
      </c>
      <c r="C5806" s="18" t="str">
        <f aca="false">'CEMIUP0.9 Raw'!C661</f>
        <v>T39 M</v>
      </c>
      <c r="D5806" s="19" t="n">
        <f aca="false">'CEMIUP0.9 Raw'!D661</f>
        <v>1</v>
      </c>
      <c r="E5806" s="19" t="n">
        <f aca="false">'CEMIUP0.9 Raw'!E661</f>
        <v>107.76</v>
      </c>
      <c r="F5806" s="19" t="n">
        <f aca="false">'CEMIUP0.9 Raw'!F661</f>
        <v>0</v>
      </c>
      <c r="G5806" s="19" t="n">
        <f aca="false">'CEMIUP0.9 Raw'!G661</f>
        <v>0</v>
      </c>
      <c r="H5806" s="18" t="str">
        <f aca="false">'CEMIUP0.9 Raw'!A661</f>
        <v>107 - Pharmacies</v>
      </c>
    </row>
    <row r="5807" customFormat="false" ht="15" hidden="false" customHeight="false" outlineLevel="0" collapsed="false">
      <c r="A5807" s="18" t="n">
        <f aca="false">'CEMIUP0.9 Raw'!B718</f>
        <v>4408082</v>
      </c>
      <c r="B5807" s="18" t="str">
        <f aca="false">'CEMIUP0.9 Raw'!C718</f>
        <v>59R XL</v>
      </c>
      <c r="C5807" s="18" t="str">
        <f aca="false">'CEMIUP0.9 Raw'!C718</f>
        <v>59R XL</v>
      </c>
      <c r="D5807" s="19" t="n">
        <f aca="false">'CEMIUP0.9 Raw'!D718</f>
        <v>7</v>
      </c>
      <c r="E5807" s="19" t="n">
        <f aca="false">'CEMIUP0.9 Raw'!E718</f>
        <v>885.99</v>
      </c>
      <c r="F5807" s="19" t="n">
        <f aca="false">'CEMIUP0.9 Raw'!F718</f>
        <v>0</v>
      </c>
      <c r="G5807" s="19" t="n">
        <f aca="false">'CEMIUP0.9 Raw'!G718</f>
        <v>0</v>
      </c>
      <c r="H5807" s="18" t="str">
        <f aca="false">'CEMIUP0.9 Raw'!A718</f>
        <v>113 - Kupat Holim Meuhedet</v>
      </c>
    </row>
    <row r="5808" customFormat="false" ht="15" hidden="false" customHeight="false" outlineLevel="0" collapsed="false">
      <c r="A5808" s="18" t="n">
        <f aca="false">'CEMIUP0.9 Raw'!B719</f>
        <v>4408092</v>
      </c>
      <c r="B5808" s="18" t="str">
        <f aca="false">'CEMIUP0.9 Raw'!C719</f>
        <v>T11C XL</v>
      </c>
      <c r="C5808" s="18" t="str">
        <f aca="false">'CEMIUP0.9 Raw'!C719</f>
        <v>T11C XL</v>
      </c>
      <c r="D5808" s="19" t="n">
        <f aca="false">'CEMIUP0.9 Raw'!D719</f>
        <v>-1</v>
      </c>
      <c r="E5808" s="19" t="n">
        <f aca="false">'CEMIUP0.9 Raw'!E719</f>
        <v>-74.63</v>
      </c>
      <c r="F5808" s="19" t="n">
        <f aca="false">'CEMIUP0.9 Raw'!F719</f>
        <v>0</v>
      </c>
      <c r="G5808" s="19" t="n">
        <f aca="false">'CEMIUP0.9 Raw'!G719</f>
        <v>0</v>
      </c>
      <c r="H5808" s="18" t="str">
        <f aca="false">'CEMIUP0.9 Raw'!A719</f>
        <v>113 - Kupat Holim Meuhedet</v>
      </c>
    </row>
    <row r="5809" customFormat="false" ht="15" hidden="false" customHeight="false" outlineLevel="0" collapsed="false">
      <c r="A5809" s="18" t="n">
        <f aca="false">'CEMIUP0.9 Raw'!B739</f>
        <v>4408260</v>
      </c>
      <c r="B5809" s="18" t="str">
        <f aca="false">'CEMIUP0.9 Raw'!C739</f>
        <v>11STO M חגורה אחרי ניתוח</v>
      </c>
      <c r="C5809" s="18" t="str">
        <f aca="false">'CEMIUP0.9 Raw'!C739</f>
        <v>11STO M חגורה אחרי ניתוח</v>
      </c>
      <c r="D5809" s="19" t="n">
        <f aca="false">'CEMIUP0.9 Raw'!D739</f>
        <v>3</v>
      </c>
      <c r="E5809" s="19" t="n">
        <f aca="false">'CEMIUP0.9 Raw'!E739</f>
        <v>340.74</v>
      </c>
      <c r="F5809" s="19" t="n">
        <f aca="false">'CEMIUP0.9 Raw'!F739</f>
        <v>0</v>
      </c>
      <c r="G5809" s="19" t="n">
        <f aca="false">'CEMIUP0.9 Raw'!G739</f>
        <v>-12.8892631578947</v>
      </c>
      <c r="H5809" s="18" t="str">
        <f aca="false">'CEMIUP0.9 Raw'!A739</f>
        <v>113 - Kupat Holim Meuhedet</v>
      </c>
    </row>
    <row r="5810" customFormat="false" ht="15" hidden="false" customHeight="false" outlineLevel="0" collapsed="false">
      <c r="A5810" s="18" t="n">
        <f aca="false">'CEMIUP0.9 Raw'!B802</f>
        <v>4413115</v>
      </c>
      <c r="B5810" s="18" t="str">
        <f aca="false">'CEMIUP0.9 Raw'!C802</f>
        <v>49 XXL</v>
      </c>
      <c r="C5810" s="18" t="str">
        <f aca="false">'CEMIUP0.9 Raw'!C802</f>
        <v>49 XXL</v>
      </c>
      <c r="D5810" s="19" t="n">
        <f aca="false">'CEMIUP0.9 Raw'!D802</f>
        <v>1</v>
      </c>
      <c r="E5810" s="19" t="n">
        <f aca="false">'CEMIUP0.9 Raw'!E802</f>
        <v>21</v>
      </c>
      <c r="F5810" s="19" t="n">
        <f aca="false">'CEMIUP0.9 Raw'!F802</f>
        <v>0</v>
      </c>
      <c r="G5810" s="19" t="n">
        <f aca="false">'CEMIUP0.9 Raw'!G802</f>
        <v>0</v>
      </c>
      <c r="H5810" s="18" t="str">
        <f aca="false">'CEMIUP0.9 Raw'!A802</f>
        <v>113 - Kupat Holim Meuhedet</v>
      </c>
    </row>
    <row r="5811" customFormat="false" ht="15" hidden="false" customHeight="false" outlineLevel="0" collapsed="false">
      <c r="A5811" s="18" t="n">
        <f aca="false">'CEMIUP0.9 Raw'!B819</f>
        <v>4413158</v>
      </c>
      <c r="B5811" s="18" t="str">
        <f aca="false">'CEMIUP0.9 Raw'!C819</f>
        <v>305GA-45-46</v>
      </c>
      <c r="C5811" s="18" t="str">
        <f aca="false">'CEMIUP0.9 Raw'!C819</f>
        <v>305GA-45-46</v>
      </c>
      <c r="D5811" s="19" t="n">
        <f aca="false">'CEMIUP0.9 Raw'!D819</f>
        <v>-1</v>
      </c>
      <c r="E5811" s="19" t="n">
        <f aca="false">'CEMIUP0.9 Raw'!E819</f>
        <v>0</v>
      </c>
      <c r="F5811" s="19" t="n">
        <f aca="false">'CEMIUP0.9 Raw'!F819</f>
        <v>0</v>
      </c>
      <c r="G5811" s="19" t="n">
        <f aca="false">'CEMIUP0.9 Raw'!G819</f>
        <v>0</v>
      </c>
      <c r="H5811" s="18" t="str">
        <f aca="false">'CEMIUP0.9 Raw'!A819</f>
        <v>113 - Kupat Holim Meuhedet</v>
      </c>
    </row>
    <row r="5812" customFormat="false" ht="15" hidden="false" customHeight="false" outlineLevel="0" collapsed="false">
      <c r="A5812" s="18" t="n">
        <f aca="false">'CEMIUP0.9 Raw'!B824</f>
        <v>4413165</v>
      </c>
      <c r="B5812" s="18" t="str">
        <f aca="false">'CEMIUP0.9 Raw'!C824</f>
        <v>74-L-XL</v>
      </c>
      <c r="C5812" s="18" t="str">
        <f aca="false">'CEMIUP0.9 Raw'!C824</f>
        <v>74-L-XL</v>
      </c>
      <c r="D5812" s="19" t="n">
        <f aca="false">'CEMIUP0.9 Raw'!D824</f>
        <v>4</v>
      </c>
      <c r="E5812" s="19" t="n">
        <f aca="false">'CEMIUP0.9 Raw'!E824</f>
        <v>519.24</v>
      </c>
      <c r="F5812" s="19" t="n">
        <f aca="false">'CEMIUP0.9 Raw'!F824</f>
        <v>0</v>
      </c>
      <c r="G5812" s="19" t="n">
        <f aca="false">'CEMIUP0.9 Raw'!G824</f>
        <v>0</v>
      </c>
      <c r="H5812" s="18" t="str">
        <f aca="false">'CEMIUP0.9 Raw'!A824</f>
        <v>113 - Kupat Holim Meuhedet</v>
      </c>
    </row>
    <row r="5813" customFormat="false" ht="15" hidden="false" customHeight="false" outlineLevel="0" collapsed="false">
      <c r="A5813" s="18" t="n">
        <f aca="false">'CEMIUP0.9 Raw'!B830</f>
        <v>4413276</v>
      </c>
      <c r="B5813" s="18" t="str">
        <f aca="false">'CEMIUP0.9 Raw'!C830</f>
        <v>LF377 L</v>
      </c>
      <c r="C5813" s="18" t="str">
        <f aca="false">'CEMIUP0.9 Raw'!C830</f>
        <v>LF377 L</v>
      </c>
      <c r="D5813" s="19" t="n">
        <f aca="false">'CEMIUP0.9 Raw'!D830</f>
        <v>2</v>
      </c>
      <c r="E5813" s="19" t="n">
        <f aca="false">'CEMIUP0.9 Raw'!E830</f>
        <v>64.28</v>
      </c>
      <c r="F5813" s="19" t="n">
        <f aca="false">'CEMIUP0.9 Raw'!F830</f>
        <v>0</v>
      </c>
      <c r="G5813" s="19" t="n">
        <f aca="false">'CEMIUP0.9 Raw'!G830</f>
        <v>0</v>
      </c>
      <c r="H5813" s="18" t="str">
        <f aca="false">'CEMIUP0.9 Raw'!A830</f>
        <v>113 - Kupat Holim Meuhedet</v>
      </c>
    </row>
    <row r="5814" customFormat="false" ht="15" hidden="false" customHeight="false" outlineLevel="0" collapsed="false">
      <c r="A5814" s="18" t="n">
        <f aca="false">'CEMIUP0.9 Raw'!B832</f>
        <v>4413278</v>
      </c>
      <c r="B5814" s="18" t="str">
        <f aca="false">'CEMIUP0.9 Raw'!C832</f>
        <v>LF377 S</v>
      </c>
      <c r="C5814" s="18" t="str">
        <f aca="false">'CEMIUP0.9 Raw'!C832</f>
        <v>LF377 S</v>
      </c>
      <c r="D5814" s="19" t="n">
        <f aca="false">'CEMIUP0.9 Raw'!D832</f>
        <v>4</v>
      </c>
      <c r="E5814" s="19" t="n">
        <f aca="false">'CEMIUP0.9 Raw'!E832</f>
        <v>128.56</v>
      </c>
      <c r="F5814" s="19" t="n">
        <f aca="false">'CEMIUP0.9 Raw'!F832</f>
        <v>0</v>
      </c>
      <c r="G5814" s="19" t="n">
        <f aca="false">'CEMIUP0.9 Raw'!G832</f>
        <v>0</v>
      </c>
      <c r="H5814" s="18" t="str">
        <f aca="false">'CEMIUP0.9 Raw'!A832</f>
        <v>113 - Kupat Holim Meuhedet</v>
      </c>
    </row>
    <row r="5815" customFormat="false" ht="15" hidden="false" customHeight="false" outlineLevel="0" collapsed="false">
      <c r="A5815" s="18" t="n">
        <f aca="false">'CEMIUP0.9 Raw'!B857</f>
        <v>4419011</v>
      </c>
      <c r="B5815" s="18" t="str">
        <f aca="false">'CEMIUP0.9 Raw'!C857</f>
        <v>239B-S-M</v>
      </c>
      <c r="C5815" s="18" t="str">
        <f aca="false">'CEMIUP0.9 Raw'!C857</f>
        <v>239B-S-M</v>
      </c>
      <c r="D5815" s="19" t="n">
        <f aca="false">'CEMIUP0.9 Raw'!D857</f>
        <v>90</v>
      </c>
      <c r="E5815" s="19" t="n">
        <f aca="false">'CEMIUP0.9 Raw'!E857</f>
        <v>990</v>
      </c>
      <c r="F5815" s="19" t="n">
        <f aca="false">'CEMIUP0.9 Raw'!F857</f>
        <v>0</v>
      </c>
      <c r="G5815" s="19" t="n">
        <f aca="false">'CEMIUP0.9 Raw'!G857</f>
        <v>0</v>
      </c>
      <c r="H5815" s="18" t="str">
        <f aca="false">'CEMIUP0.9 Raw'!A857</f>
        <v>113 - Kupat Holim Meuhedet</v>
      </c>
    </row>
    <row r="5816" customFormat="false" ht="15" hidden="false" customHeight="false" outlineLevel="0" collapsed="false">
      <c r="A5816" s="18" t="str">
        <f aca="false">'CEMIUP0.9 Raw'!B885</f>
        <v>078C L</v>
      </c>
      <c r="B5816" s="18" t="str">
        <f aca="false">'CEMIUP0.9 Raw'!C885</f>
        <v>078C L</v>
      </c>
      <c r="C5816" s="18" t="str">
        <f aca="false">'CEMIUP0.9 Raw'!C885</f>
        <v>078C L</v>
      </c>
      <c r="D5816" s="19" t="n">
        <f aca="false">'CEMIUP0.9 Raw'!D885</f>
        <v>2</v>
      </c>
      <c r="E5816" s="19" t="n">
        <f aca="false">'CEMIUP0.9 Raw'!E885</f>
        <v>130</v>
      </c>
      <c r="F5816" s="19" t="n">
        <f aca="false">'CEMIUP0.9 Raw'!F885</f>
        <v>0</v>
      </c>
      <c r="G5816" s="19" t="n">
        <f aca="false">'CEMIUP0.9 Raw'!G885</f>
        <v>0</v>
      </c>
      <c r="H5816" s="18" t="str">
        <f aca="false">'CEMIUP0.9 Raw'!A885</f>
        <v>113 - Kupat Holim Meuhedet</v>
      </c>
    </row>
    <row r="5817" customFormat="false" ht="15" hidden="false" customHeight="false" outlineLevel="0" collapsed="false">
      <c r="A5817" s="18" t="str">
        <f aca="false">'CEMIUP0.9 Raw'!B886</f>
        <v>078C M</v>
      </c>
      <c r="B5817" s="18" t="str">
        <f aca="false">'CEMIUP0.9 Raw'!C886</f>
        <v>078C M</v>
      </c>
      <c r="C5817" s="18" t="str">
        <f aca="false">'CEMIUP0.9 Raw'!C886</f>
        <v>078C M</v>
      </c>
      <c r="D5817" s="19" t="n">
        <f aca="false">'CEMIUP0.9 Raw'!D886</f>
        <v>2</v>
      </c>
      <c r="E5817" s="19" t="n">
        <f aca="false">'CEMIUP0.9 Raw'!E886</f>
        <v>130</v>
      </c>
      <c r="F5817" s="19" t="n">
        <f aca="false">'CEMIUP0.9 Raw'!F886</f>
        <v>0</v>
      </c>
      <c r="G5817" s="19" t="n">
        <f aca="false">'CEMIUP0.9 Raw'!G886</f>
        <v>0</v>
      </c>
      <c r="H5817" s="18" t="str">
        <f aca="false">'CEMIUP0.9 Raw'!A886</f>
        <v>113 - Kupat Holim Meuhedet</v>
      </c>
    </row>
    <row r="5818" customFormat="false" ht="15" hidden="false" customHeight="false" outlineLevel="0" collapsed="false">
      <c r="A5818" s="18" t="str">
        <f aca="false">'CEMIUP0.9 Raw'!B898</f>
        <v>11U M</v>
      </c>
      <c r="B5818" s="18" t="str">
        <f aca="false">'CEMIUP0.9 Raw'!C898</f>
        <v>11U M</v>
      </c>
      <c r="C5818" s="18" t="str">
        <f aca="false">'CEMIUP0.9 Raw'!C898</f>
        <v>11U M</v>
      </c>
      <c r="D5818" s="19" t="n">
        <f aca="false">'CEMIUP0.9 Raw'!D898</f>
        <v>6</v>
      </c>
      <c r="E5818" s="19" t="n">
        <f aca="false">'CEMIUP0.9 Raw'!E898</f>
        <v>389.34</v>
      </c>
      <c r="F5818" s="19" t="n">
        <f aca="false">'CEMIUP0.9 Raw'!F898</f>
        <v>0</v>
      </c>
      <c r="G5818" s="19" t="n">
        <f aca="false">'CEMIUP0.9 Raw'!G898</f>
        <v>0</v>
      </c>
      <c r="H5818" s="18" t="str">
        <f aca="false">'CEMIUP0.9 Raw'!A898</f>
        <v>113 - Kupat Holim Meuhedet</v>
      </c>
    </row>
    <row r="5819" customFormat="false" ht="15" hidden="false" customHeight="false" outlineLevel="0" collapsed="false">
      <c r="A5819" s="18" t="str">
        <f aca="false">'CEMIUP0.9 Raw'!B900</f>
        <v>13 L</v>
      </c>
      <c r="B5819" s="18" t="str">
        <f aca="false">'CEMIUP0.9 Raw'!C900</f>
        <v>13 L</v>
      </c>
      <c r="C5819" s="18" t="str">
        <f aca="false">'CEMIUP0.9 Raw'!C900</f>
        <v>13 L</v>
      </c>
      <c r="D5819" s="19" t="n">
        <f aca="false">'CEMIUP0.9 Raw'!D900</f>
        <v>1</v>
      </c>
      <c r="E5819" s="19" t="n">
        <f aca="false">'CEMIUP0.9 Raw'!E900</f>
        <v>107.09</v>
      </c>
      <c r="F5819" s="19" t="n">
        <f aca="false">'CEMIUP0.9 Raw'!F900</f>
        <v>0</v>
      </c>
      <c r="G5819" s="19" t="n">
        <f aca="false">'CEMIUP0.9 Raw'!G900</f>
        <v>0</v>
      </c>
      <c r="H5819" s="18" t="str">
        <f aca="false">'CEMIUP0.9 Raw'!A900</f>
        <v>113 - Kupat Holim Meuhedet</v>
      </c>
    </row>
    <row r="5820" customFormat="false" ht="15" hidden="false" customHeight="false" outlineLevel="0" collapsed="false">
      <c r="A5820" s="18" t="str">
        <f aca="false">'CEMIUP0.9 Raw'!B905</f>
        <v>388L 0</v>
      </c>
      <c r="B5820" s="18" t="str">
        <f aca="false">'CEMIUP0.9 Raw'!C905</f>
        <v>388L 0</v>
      </c>
      <c r="C5820" s="18" t="str">
        <f aca="false">'CEMIUP0.9 Raw'!C905</f>
        <v>388L 0</v>
      </c>
      <c r="D5820" s="19" t="n">
        <f aca="false">'CEMIUP0.9 Raw'!D905</f>
        <v>14</v>
      </c>
      <c r="E5820" s="19" t="n">
        <f aca="false">'CEMIUP0.9 Raw'!E905</f>
        <v>690.2</v>
      </c>
      <c r="F5820" s="19" t="n">
        <f aca="false">'CEMIUP0.9 Raw'!F905</f>
        <v>0</v>
      </c>
      <c r="G5820" s="19" t="n">
        <f aca="false">'CEMIUP0.9 Raw'!G905</f>
        <v>0</v>
      </c>
      <c r="H5820" s="18" t="str">
        <f aca="false">'CEMIUP0.9 Raw'!A905</f>
        <v>113 - Kupat Holim Meuhedet</v>
      </c>
    </row>
    <row r="5821" customFormat="false" ht="15" hidden="false" customHeight="false" outlineLevel="0" collapsed="false">
      <c r="A5821" s="18" t="str">
        <f aca="false">'CEMIUP0.9 Raw'!B907</f>
        <v>394G-35-38</v>
      </c>
      <c r="B5821" s="18" t="str">
        <f aca="false">'CEMIUP0.9 Raw'!C907</f>
        <v>394G-35-38</v>
      </c>
      <c r="C5821" s="18" t="str">
        <f aca="false">'CEMIUP0.9 Raw'!C907</f>
        <v>394G-35-38</v>
      </c>
      <c r="D5821" s="19" t="n">
        <f aca="false">'CEMIUP0.9 Raw'!D907</f>
        <v>39</v>
      </c>
      <c r="E5821" s="19" t="n">
        <f aca="false">'CEMIUP0.9 Raw'!E907</f>
        <v>717.6</v>
      </c>
      <c r="F5821" s="19" t="n">
        <f aca="false">'CEMIUP0.9 Raw'!F907</f>
        <v>0</v>
      </c>
      <c r="G5821" s="19" t="n">
        <f aca="false">'CEMIUP0.9 Raw'!G907</f>
        <v>0</v>
      </c>
      <c r="H5821" s="18" t="str">
        <f aca="false">'CEMIUP0.9 Raw'!A907</f>
        <v>113 - Kupat Holim Meuhedet</v>
      </c>
    </row>
    <row r="5822" customFormat="false" ht="15" hidden="false" customHeight="false" outlineLevel="0" collapsed="false">
      <c r="A5822" s="18" t="str">
        <f aca="false">'CEMIUP0.9 Raw'!B911</f>
        <v>422ED XXL</v>
      </c>
      <c r="B5822" s="18" t="str">
        <f aca="false">'CEMIUP0.9 Raw'!C911</f>
        <v>422ED XXL</v>
      </c>
      <c r="C5822" s="18" t="str">
        <f aca="false">'CEMIUP0.9 Raw'!C911</f>
        <v>422ED XXL</v>
      </c>
      <c r="D5822" s="19" t="n">
        <f aca="false">'CEMIUP0.9 Raw'!D911</f>
        <v>-1</v>
      </c>
      <c r="E5822" s="19" t="n">
        <f aca="false">'CEMIUP0.9 Raw'!E911</f>
        <v>-441.17</v>
      </c>
      <c r="F5822" s="19" t="n">
        <f aca="false">'CEMIUP0.9 Raw'!F911</f>
        <v>0</v>
      </c>
      <c r="G5822" s="19" t="n">
        <f aca="false">'CEMIUP0.9 Raw'!G911</f>
        <v>0</v>
      </c>
      <c r="H5822" s="18" t="str">
        <f aca="false">'CEMIUP0.9 Raw'!A911</f>
        <v>113 - Kupat Holim Meuhedet</v>
      </c>
    </row>
    <row r="5823" customFormat="false" ht="15" hidden="false" customHeight="false" outlineLevel="0" collapsed="false">
      <c r="A5823" s="18" t="str">
        <f aca="false">'CEMIUP0.9 Raw'!B915</f>
        <v>808KTP-B</v>
      </c>
      <c r="B5823" s="18" t="str">
        <f aca="false">'CEMIUP0.9 Raw'!C915</f>
        <v>808KTP-B</v>
      </c>
      <c r="C5823" s="18" t="str">
        <f aca="false">'CEMIUP0.9 Raw'!C915</f>
        <v>808KTP-B</v>
      </c>
      <c r="D5823" s="19" t="n">
        <f aca="false">'CEMIUP0.9 Raw'!D915</f>
        <v>13</v>
      </c>
      <c r="E5823" s="19" t="n">
        <f aca="false">'CEMIUP0.9 Raw'!E915</f>
        <v>818.61</v>
      </c>
      <c r="F5823" s="19" t="n">
        <f aca="false">'CEMIUP0.9 Raw'!F915</f>
        <v>0</v>
      </c>
      <c r="G5823" s="19" t="n">
        <f aca="false">'CEMIUP0.9 Raw'!G915</f>
        <v>0</v>
      </c>
      <c r="H5823" s="18" t="str">
        <f aca="false">'CEMIUP0.9 Raw'!A915</f>
        <v>113 - Kupat Holim Meuhedet</v>
      </c>
    </row>
    <row r="5824" customFormat="false" ht="15" hidden="false" customHeight="false" outlineLevel="0" collapsed="false">
      <c r="A5824" s="18" t="str">
        <f aca="false">'CEMIUP0.9 Raw'!B926</f>
        <v>T402 L</v>
      </c>
      <c r="B5824" s="18" t="str">
        <f aca="false">'CEMIUP0.9 Raw'!C926</f>
        <v>T402 L</v>
      </c>
      <c r="C5824" s="18" t="str">
        <f aca="false">'CEMIUP0.9 Raw'!C926</f>
        <v>T402 L</v>
      </c>
      <c r="D5824" s="19" t="n">
        <f aca="false">'CEMIUP0.9 Raw'!D926</f>
        <v>-4</v>
      </c>
      <c r="E5824" s="19" t="n">
        <f aca="false">'CEMIUP0.9 Raw'!E926</f>
        <v>-329.92</v>
      </c>
      <c r="F5824" s="19" t="n">
        <f aca="false">'CEMIUP0.9 Raw'!F926</f>
        <v>0</v>
      </c>
      <c r="G5824" s="19" t="n">
        <f aca="false">'CEMIUP0.9 Raw'!G926</f>
        <v>0</v>
      </c>
      <c r="H5824" s="18" t="str">
        <f aca="false">'CEMIUP0.9 Raw'!A926</f>
        <v>113 - Kupat Holim Meuhedet</v>
      </c>
    </row>
    <row r="5825" customFormat="false" ht="15" hidden="false" customHeight="false" outlineLevel="0" collapsed="false">
      <c r="A5825" s="18" t="str">
        <f aca="false">'CEMIUP0.9 Raw'!B927</f>
        <v>T402 M</v>
      </c>
      <c r="B5825" s="18" t="str">
        <f aca="false">'CEMIUP0.9 Raw'!C927</f>
        <v>T402 M</v>
      </c>
      <c r="C5825" s="18" t="str">
        <f aca="false">'CEMIUP0.9 Raw'!C927</f>
        <v>T402 M</v>
      </c>
      <c r="D5825" s="19" t="n">
        <f aca="false">'CEMIUP0.9 Raw'!D927</f>
        <v>-3</v>
      </c>
      <c r="E5825" s="19" t="n">
        <f aca="false">'CEMIUP0.9 Raw'!E927</f>
        <v>-247.44</v>
      </c>
      <c r="F5825" s="19" t="n">
        <f aca="false">'CEMIUP0.9 Raw'!F927</f>
        <v>0</v>
      </c>
      <c r="G5825" s="19" t="n">
        <f aca="false">'CEMIUP0.9 Raw'!G927</f>
        <v>0</v>
      </c>
      <c r="H5825" s="18" t="str">
        <f aca="false">'CEMIUP0.9 Raw'!A927</f>
        <v>113 - Kupat Holim Meuhedet</v>
      </c>
    </row>
    <row r="5826" customFormat="false" ht="15" hidden="false" customHeight="false" outlineLevel="0" collapsed="false">
      <c r="A5826" s="18" t="n">
        <f aca="false">'CEMIUP0.9 Raw'!B933</f>
        <v>4402012</v>
      </c>
      <c r="B5826" s="18" t="str">
        <f aca="false">'CEMIUP0.9 Raw'!C933</f>
        <v>BE CARE  תחבושת אלסטית 5 ס""מ</v>
      </c>
      <c r="C5826" s="18" t="str">
        <f aca="false">'CEMIUP0.9 Raw'!C933</f>
        <v>BE CARE  תחבושת אלסטית 5 ס""מ</v>
      </c>
      <c r="D5826" s="19" t="n">
        <f aca="false">'CEMIUP0.9 Raw'!D933</f>
        <v>-8</v>
      </c>
      <c r="E5826" s="19" t="n">
        <f aca="false">'CEMIUP0.9 Raw'!E933</f>
        <v>-24.024</v>
      </c>
      <c r="F5826" s="19" t="n">
        <f aca="false">'CEMIUP0.9 Raw'!F933</f>
        <v>0</v>
      </c>
      <c r="G5826" s="19" t="n">
        <f aca="false">'CEMIUP0.9 Raw'!G933</f>
        <v>0</v>
      </c>
      <c r="H5826" s="18" t="str">
        <f aca="false">'CEMIUP0.9 Raw'!A933</f>
        <v>BE (CEMI internal group)</v>
      </c>
    </row>
    <row r="5827" customFormat="false" ht="15" hidden="false" customHeight="false" outlineLevel="0" collapsed="false">
      <c r="A5827" s="18" t="n">
        <f aca="false">'CEMIUP0.9 Raw'!B934</f>
        <v>4402020</v>
      </c>
      <c r="B5827" s="18" t="str">
        <f aca="false">'CEMIUP0.9 Raw'!C934</f>
        <v>BE CARE KT BLACK</v>
      </c>
      <c r="C5827" s="18" t="str">
        <f aca="false">'CEMIUP0.9 Raw'!C934</f>
        <v>BE CARE KT BLACK</v>
      </c>
      <c r="D5827" s="19" t="n">
        <f aca="false">'CEMIUP0.9 Raw'!D934</f>
        <v>-2</v>
      </c>
      <c r="E5827" s="19" t="n">
        <f aca="false">'CEMIUP0.9 Raw'!E934</f>
        <v>-43.68</v>
      </c>
      <c r="F5827" s="19" t="n">
        <f aca="false">'CEMIUP0.9 Raw'!F934</f>
        <v>0</v>
      </c>
      <c r="G5827" s="19" t="n">
        <f aca="false">'CEMIUP0.9 Raw'!G934</f>
        <v>0</v>
      </c>
      <c r="H5827" s="18" t="str">
        <f aca="false">'CEMIUP0.9 Raw'!A934</f>
        <v>BE (CEMI internal group)</v>
      </c>
    </row>
    <row r="5828" customFormat="false" ht="15" hidden="false" customHeight="false" outlineLevel="0" collapsed="false">
      <c r="A5828" s="18" t="n">
        <f aca="false">'CEMIUP0.9 Raw'!B935</f>
        <v>4402021</v>
      </c>
      <c r="B5828" s="18" t="str">
        <f aca="false">'CEMIUP0.9 Raw'!C935</f>
        <v>BE CARE KT BLUE</v>
      </c>
      <c r="C5828" s="18" t="str">
        <f aca="false">'CEMIUP0.9 Raw'!C935</f>
        <v>BE CARE KT BLUE</v>
      </c>
      <c r="D5828" s="19" t="n">
        <f aca="false">'CEMIUP0.9 Raw'!D935</f>
        <v>-1</v>
      </c>
      <c r="E5828" s="19" t="n">
        <f aca="false">'CEMIUP0.9 Raw'!E935</f>
        <v>-21.84</v>
      </c>
      <c r="F5828" s="19" t="n">
        <f aca="false">'CEMIUP0.9 Raw'!F935</f>
        <v>0</v>
      </c>
      <c r="G5828" s="19" t="n">
        <f aca="false">'CEMIUP0.9 Raw'!G935</f>
        <v>0</v>
      </c>
      <c r="H5828" s="18" t="str">
        <f aca="false">'CEMIUP0.9 Raw'!A935</f>
        <v>BE (CEMI internal group)</v>
      </c>
    </row>
    <row r="5829" customFormat="false" ht="15" hidden="false" customHeight="false" outlineLevel="0" collapsed="false">
      <c r="A5829" s="18" t="n">
        <f aca="false">'CEMIUP0.9 Raw'!B939</f>
        <v>4403003</v>
      </c>
      <c r="B5829" s="18" t="str">
        <f aca="false">'CEMIUP0.9 Raw'!C939</f>
        <v>390G ג.כסף לסכרתיים אפור35-38</v>
      </c>
      <c r="C5829" s="18" t="str">
        <f aca="false">'CEMIUP0.9 Raw'!C939</f>
        <v>390G ג.כסף לסכרתיים אפור35-38</v>
      </c>
      <c r="D5829" s="19" t="n">
        <f aca="false">'CEMIUP0.9 Raw'!D939</f>
        <v>2</v>
      </c>
      <c r="E5829" s="19" t="n">
        <f aca="false">'CEMIUP0.9 Raw'!E939</f>
        <v>57.239</v>
      </c>
      <c r="F5829" s="19" t="n">
        <f aca="false">'CEMIUP0.9 Raw'!F939</f>
        <v>0</v>
      </c>
      <c r="G5829" s="19" t="n">
        <f aca="false">'CEMIUP0.9 Raw'!G939</f>
        <v>0</v>
      </c>
      <c r="H5829" s="18" t="str">
        <f aca="false">'CEMIUP0.9 Raw'!A939</f>
        <v>BE (CEMI internal group)</v>
      </c>
    </row>
    <row r="5830" customFormat="false" ht="15" hidden="false" customHeight="false" outlineLevel="0" collapsed="false">
      <c r="A5830" s="18" t="n">
        <f aca="false">'CEMIUP0.9 Raw'!B940</f>
        <v>4403004</v>
      </c>
      <c r="B5830" s="18" t="str">
        <f aca="false">'CEMIUP0.9 Raw'!C940</f>
        <v>390G 39-42.גרב.כסף לסכרתיים אפ</v>
      </c>
      <c r="C5830" s="18" t="str">
        <f aca="false">'CEMIUP0.9 Raw'!C940</f>
        <v>390G 39-42.גרב.כסף לסכרתיים אפ</v>
      </c>
      <c r="D5830" s="19" t="n">
        <f aca="false">'CEMIUP0.9 Raw'!D940</f>
        <v>2</v>
      </c>
      <c r="E5830" s="19" t="n">
        <f aca="false">'CEMIUP0.9 Raw'!E940</f>
        <v>57.239</v>
      </c>
      <c r="F5830" s="19" t="n">
        <f aca="false">'CEMIUP0.9 Raw'!F940</f>
        <v>0</v>
      </c>
      <c r="G5830" s="19" t="n">
        <f aca="false">'CEMIUP0.9 Raw'!G940</f>
        <v>0</v>
      </c>
      <c r="H5830" s="18" t="str">
        <f aca="false">'CEMIUP0.9 Raw'!A940</f>
        <v>BE (CEMI internal group)</v>
      </c>
    </row>
    <row r="5831" customFormat="false" ht="15" hidden="false" customHeight="false" outlineLevel="0" collapsed="false">
      <c r="A5831" s="18" t="n">
        <f aca="false">'CEMIUP0.9 Raw'!B941</f>
        <v>4403005</v>
      </c>
      <c r="B5831" s="18" t="str">
        <f aca="false">'CEMIUP0.9 Raw'!C941</f>
        <v>G390.43-46 גרבי כסף לסכרת מידה</v>
      </c>
      <c r="C5831" s="18" t="str">
        <f aca="false">'CEMIUP0.9 Raw'!C941</f>
        <v>G390.43-46 גרבי כסף לסכרת מידה</v>
      </c>
      <c r="D5831" s="19" t="n">
        <f aca="false">'CEMIUP0.9 Raw'!D941</f>
        <v>3</v>
      </c>
      <c r="E5831" s="19" t="n">
        <f aca="false">'CEMIUP0.9 Raw'!E941</f>
        <v>71.89</v>
      </c>
      <c r="F5831" s="19" t="n">
        <f aca="false">'CEMIUP0.9 Raw'!F941</f>
        <v>0</v>
      </c>
      <c r="G5831" s="19" t="n">
        <f aca="false">'CEMIUP0.9 Raw'!G941</f>
        <v>0</v>
      </c>
      <c r="H5831" s="18" t="str">
        <f aca="false">'CEMIUP0.9 Raw'!A941</f>
        <v>BE (CEMI internal group)</v>
      </c>
    </row>
    <row r="5832" customFormat="false" ht="15" hidden="false" customHeight="false" outlineLevel="0" collapsed="false">
      <c r="A5832" s="18" t="n">
        <f aca="false">'CEMIUP0.9 Raw'!B954</f>
        <v>4404000</v>
      </c>
      <c r="B5832" s="18" t="str">
        <f aca="false">'CEMIUP0.9 Raw'!C954</f>
        <v>FC330Z-תתדאו'אנטי בקט.לנעל120</v>
      </c>
      <c r="C5832" s="18" t="str">
        <f aca="false">'CEMIUP0.9 Raw'!C954</f>
        <v>FC330Z-תתדאו'אנטי בקט.לנעל120</v>
      </c>
      <c r="D5832" s="19" t="n">
        <f aca="false">'CEMIUP0.9 Raw'!D954</f>
        <v>3</v>
      </c>
      <c r="E5832" s="19" t="n">
        <f aca="false">'CEMIUP0.9 Raw'!E954</f>
        <v>69.251</v>
      </c>
      <c r="F5832" s="19" t="n">
        <f aca="false">'CEMIUP0.9 Raw'!F954</f>
        <v>0</v>
      </c>
      <c r="G5832" s="19" t="n">
        <f aca="false">'CEMIUP0.9 Raw'!G954</f>
        <v>0</v>
      </c>
      <c r="H5832" s="18" t="str">
        <f aca="false">'CEMIUP0.9 Raw'!A954</f>
        <v>BE (CEMI internal group)</v>
      </c>
    </row>
    <row r="5833" customFormat="false" ht="15" hidden="false" customHeight="false" outlineLevel="0" collapsed="false">
      <c r="A5833" s="18" t="n">
        <f aca="false">'CEMIUP0.9 Raw'!B955</f>
        <v>4408002</v>
      </c>
      <c r="B5833" s="18" t="str">
        <f aca="false">'CEMIUP0.9 Raw'!C955</f>
        <v>06 L  ""ח.גב קלה ""מיקדו</v>
      </c>
      <c r="C5833" s="18" t="str">
        <f aca="false">'CEMIUP0.9 Raw'!C955</f>
        <v>06 L  ""ח.גב קלה ""מיקדו</v>
      </c>
      <c r="D5833" s="19" t="n">
        <f aca="false">'CEMIUP0.9 Raw'!D955</f>
        <v>-1</v>
      </c>
      <c r="E5833" s="19" t="n">
        <f aca="false">'CEMIUP0.9 Raw'!E955</f>
        <v>-144.508</v>
      </c>
      <c r="F5833" s="19" t="n">
        <f aca="false">'CEMIUP0.9 Raw'!F955</f>
        <v>0</v>
      </c>
      <c r="G5833" s="19" t="n">
        <f aca="false">'CEMIUP0.9 Raw'!G955</f>
        <v>0</v>
      </c>
      <c r="H5833" s="18" t="str">
        <f aca="false">'CEMIUP0.9 Raw'!A955</f>
        <v>BE (CEMI internal group)</v>
      </c>
    </row>
    <row r="5834" customFormat="false" ht="15" hidden="false" customHeight="false" outlineLevel="0" collapsed="false">
      <c r="A5834" s="18" t="n">
        <f aca="false">'CEMIUP0.9 Raw'!B959</f>
        <v>4408012</v>
      </c>
      <c r="B5834" s="18" t="str">
        <f aca="false">'CEMIUP0.9 Raw'!C959</f>
        <v>079 XL ח.גב סג.כפולה שחור+אדום</v>
      </c>
      <c r="C5834" s="18" t="str">
        <f aca="false">'CEMIUP0.9 Raw'!C959</f>
        <v>079 XL ח.גב סג.כפולה שחור+אדום</v>
      </c>
      <c r="D5834" s="19" t="n">
        <f aca="false">'CEMIUP0.9 Raw'!D959</f>
        <v>-2</v>
      </c>
      <c r="E5834" s="19" t="n">
        <f aca="false">'CEMIUP0.9 Raw'!E959</f>
        <v>-180.544</v>
      </c>
      <c r="F5834" s="19" t="n">
        <f aca="false">'CEMIUP0.9 Raw'!F959</f>
        <v>0</v>
      </c>
      <c r="G5834" s="19" t="n">
        <f aca="false">'CEMIUP0.9 Raw'!G959</f>
        <v>0</v>
      </c>
      <c r="H5834" s="18" t="str">
        <f aca="false">'CEMIUP0.9 Raw'!A959</f>
        <v>BE (CEMI internal group)</v>
      </c>
    </row>
    <row r="5835" customFormat="false" ht="15" hidden="false" customHeight="false" outlineLevel="0" collapsed="false">
      <c r="A5835" s="18" t="n">
        <f aca="false">'CEMIUP0.9 Raw'!B960</f>
        <v>4408015</v>
      </c>
      <c r="B5835" s="18" t="str">
        <f aca="false">'CEMIUP0.9 Raw'!C960</f>
        <v>07AU L ח.גב ""איטלקית"" אורירית</v>
      </c>
      <c r="C5835" s="18" t="str">
        <f aca="false">'CEMIUP0.9 Raw'!C960</f>
        <v>07AU L ח.גב ""איטלקית"" אורירית</v>
      </c>
      <c r="D5835" s="19" t="n">
        <f aca="false">'CEMIUP0.9 Raw'!D960</f>
        <v>1</v>
      </c>
      <c r="E5835" s="19" t="n">
        <f aca="false">'CEMIUP0.9 Raw'!E960</f>
        <v>222.222</v>
      </c>
      <c r="F5835" s="19" t="n">
        <f aca="false">'CEMIUP0.9 Raw'!F960</f>
        <v>0</v>
      </c>
      <c r="G5835" s="19" t="n">
        <f aca="false">'CEMIUP0.9 Raw'!G960</f>
        <v>0</v>
      </c>
      <c r="H5835" s="18" t="str">
        <f aca="false">'CEMIUP0.9 Raw'!A960</f>
        <v>BE (CEMI internal group)</v>
      </c>
    </row>
    <row r="5836" customFormat="false" ht="15" hidden="false" customHeight="false" outlineLevel="0" collapsed="false">
      <c r="A5836" s="18" t="n">
        <f aca="false">'CEMIUP0.9 Raw'!B961</f>
        <v>4408016</v>
      </c>
      <c r="B5836" s="18" t="str">
        <f aca="false">'CEMIUP0.9 Raw'!C961</f>
        <v>07AU M ח.גב ""איטלקית"" אורירית</v>
      </c>
      <c r="C5836" s="18" t="str">
        <f aca="false">'CEMIUP0.9 Raw'!C961</f>
        <v>07AU M ח.גב ""איטלקית"" אורירית</v>
      </c>
      <c r="D5836" s="19" t="n">
        <f aca="false">'CEMIUP0.9 Raw'!D961</f>
        <v>2</v>
      </c>
      <c r="E5836" s="19" t="n">
        <f aca="false">'CEMIUP0.9 Raw'!E961</f>
        <v>444.444</v>
      </c>
      <c r="F5836" s="19" t="n">
        <f aca="false">'CEMIUP0.9 Raw'!F961</f>
        <v>0</v>
      </c>
      <c r="G5836" s="19" t="n">
        <f aca="false">'CEMIUP0.9 Raw'!G961</f>
        <v>0</v>
      </c>
      <c r="H5836" s="18" t="str">
        <f aca="false">'CEMIUP0.9 Raw'!A961</f>
        <v>BE (CEMI internal group)</v>
      </c>
    </row>
    <row r="5837" customFormat="false" ht="15" hidden="false" customHeight="false" outlineLevel="0" collapsed="false">
      <c r="A5837" s="18" t="n">
        <f aca="false">'CEMIUP0.9 Raw'!B979</f>
        <v>4408059</v>
      </c>
      <c r="B5837" s="18" t="str">
        <f aca="false">'CEMIUP0.9 Raw'!C979</f>
        <v>25 L חבק יד אגודלי</v>
      </c>
      <c r="C5837" s="18" t="str">
        <f aca="false">'CEMIUP0.9 Raw'!C979</f>
        <v>25 L חבק יד אגודלי</v>
      </c>
      <c r="D5837" s="19" t="n">
        <f aca="false">'CEMIUP0.9 Raw'!D979</f>
        <v>-4</v>
      </c>
      <c r="E5837" s="19" t="n">
        <f aca="false">'CEMIUP0.9 Raw'!E979</f>
        <v>-286.104</v>
      </c>
      <c r="F5837" s="19" t="n">
        <f aca="false">'CEMIUP0.9 Raw'!F979</f>
        <v>0</v>
      </c>
      <c r="G5837" s="19" t="n">
        <f aca="false">'CEMIUP0.9 Raw'!G979</f>
        <v>0</v>
      </c>
      <c r="H5837" s="18" t="str">
        <f aca="false">'CEMIUP0.9 Raw'!A979</f>
        <v>BE (CEMI internal group)</v>
      </c>
    </row>
    <row r="5838" customFormat="false" ht="15" hidden="false" customHeight="false" outlineLevel="0" collapsed="false">
      <c r="A5838" s="18" t="n">
        <f aca="false">'CEMIUP0.9 Raw'!B980</f>
        <v>4408060</v>
      </c>
      <c r="B5838" s="18" t="str">
        <f aca="false">'CEMIUP0.9 Raw'!C980</f>
        <v>25 M חבק יד אגודלי</v>
      </c>
      <c r="C5838" s="18" t="str">
        <f aca="false">'CEMIUP0.9 Raw'!C980</f>
        <v>25 M חבק יד אגודלי</v>
      </c>
      <c r="D5838" s="19" t="n">
        <f aca="false">'CEMIUP0.9 Raw'!D980</f>
        <v>2</v>
      </c>
      <c r="E5838" s="19" t="n">
        <f aca="false">'CEMIUP0.9 Raw'!E980</f>
        <v>124.67</v>
      </c>
      <c r="F5838" s="19" t="n">
        <f aca="false">'CEMIUP0.9 Raw'!F980</f>
        <v>0</v>
      </c>
      <c r="G5838" s="19" t="n">
        <f aca="false">'CEMIUP0.9 Raw'!G980</f>
        <v>0</v>
      </c>
      <c r="H5838" s="18" t="str">
        <f aca="false">'CEMIUP0.9 Raw'!A980</f>
        <v>BE (CEMI internal group)</v>
      </c>
    </row>
    <row r="5839" customFormat="false" ht="15" hidden="false" customHeight="false" outlineLevel="0" collapsed="false">
      <c r="A5839" s="18" t="n">
        <f aca="false">'CEMIUP0.9 Raw'!B981</f>
        <v>4408061</v>
      </c>
      <c r="B5839" s="18" t="str">
        <f aca="false">'CEMIUP0.9 Raw'!C981</f>
        <v>25 S חבק יד אגודלי</v>
      </c>
      <c r="C5839" s="18" t="str">
        <f aca="false">'CEMIUP0.9 Raw'!C981</f>
        <v>25 S חבק יד אגודלי</v>
      </c>
      <c r="D5839" s="19" t="n">
        <f aca="false">'CEMIUP0.9 Raw'!D981</f>
        <v>-2</v>
      </c>
      <c r="E5839" s="19" t="n">
        <f aca="false">'CEMIUP0.9 Raw'!E981</f>
        <v>-121.576</v>
      </c>
      <c r="F5839" s="19" t="n">
        <f aca="false">'CEMIUP0.9 Raw'!F981</f>
        <v>0</v>
      </c>
      <c r="G5839" s="19" t="n">
        <f aca="false">'CEMIUP0.9 Raw'!G981</f>
        <v>0</v>
      </c>
      <c r="H5839" s="18" t="str">
        <f aca="false">'CEMIUP0.9 Raw'!A981</f>
        <v>BE (CEMI internal group)</v>
      </c>
    </row>
    <row r="5840" customFormat="false" ht="15" hidden="false" customHeight="false" outlineLevel="0" collapsed="false">
      <c r="A5840" s="18" t="n">
        <f aca="false">'CEMIUP0.9 Raw'!B986</f>
        <v>4408076</v>
      </c>
      <c r="B5840" s="18" t="str">
        <f aca="false">'CEMIUP0.9 Raw'!C986</f>
        <v>59L L חגורת שבר לצד שמאל</v>
      </c>
      <c r="C5840" s="18" t="str">
        <f aca="false">'CEMIUP0.9 Raw'!C986</f>
        <v>59L L חגורת שבר לצד שמאל</v>
      </c>
      <c r="D5840" s="19" t="n">
        <f aca="false">'CEMIUP0.9 Raw'!D986</f>
        <v>-1</v>
      </c>
      <c r="E5840" s="19" t="n">
        <f aca="false">'CEMIUP0.9 Raw'!E986</f>
        <v>-162.799</v>
      </c>
      <c r="F5840" s="19" t="n">
        <f aca="false">'CEMIUP0.9 Raw'!F986</f>
        <v>0</v>
      </c>
      <c r="G5840" s="19" t="n">
        <f aca="false">'CEMIUP0.9 Raw'!G986</f>
        <v>0</v>
      </c>
      <c r="H5840" s="18" t="str">
        <f aca="false">'CEMIUP0.9 Raw'!A986</f>
        <v>BE (CEMI internal group)</v>
      </c>
    </row>
    <row r="5841" customFormat="false" ht="15" hidden="false" customHeight="false" outlineLevel="0" collapsed="false">
      <c r="A5841" s="18" t="n">
        <f aca="false">'CEMIUP0.9 Raw'!B988</f>
        <v>4408080</v>
      </c>
      <c r="B5841" s="18" t="str">
        <f aca="false">'CEMIUP0.9 Raw'!C988</f>
        <v>59R L חגורת שבר לצד ימין</v>
      </c>
      <c r="C5841" s="18" t="str">
        <f aca="false">'CEMIUP0.9 Raw'!C988</f>
        <v>59R L חגורת שבר לצד ימין</v>
      </c>
      <c r="D5841" s="19" t="n">
        <f aca="false">'CEMIUP0.9 Raw'!D988</f>
        <v>4</v>
      </c>
      <c r="E5841" s="19" t="n">
        <f aca="false">'CEMIUP0.9 Raw'!E988</f>
        <v>651.105</v>
      </c>
      <c r="F5841" s="19" t="n">
        <f aca="false">'CEMIUP0.9 Raw'!F988</f>
        <v>0</v>
      </c>
      <c r="G5841" s="19" t="n">
        <f aca="false">'CEMIUP0.9 Raw'!G988</f>
        <v>0</v>
      </c>
      <c r="H5841" s="18" t="str">
        <f aca="false">'CEMIUP0.9 Raw'!A988</f>
        <v>BE (CEMI internal group)</v>
      </c>
    </row>
    <row r="5842" customFormat="false" ht="15" hidden="false" customHeight="false" outlineLevel="0" collapsed="false">
      <c r="A5842" s="18" t="n">
        <f aca="false">'CEMIUP0.9 Raw'!B1003</f>
        <v>4408145</v>
      </c>
      <c r="B5842" s="18" t="str">
        <f aca="false">'CEMIUP0.9 Raw'!C1003</f>
        <v>11PS Sחגורה למנותחי בטן</v>
      </c>
      <c r="C5842" s="18" t="str">
        <f aca="false">'CEMIUP0.9 Raw'!C1003</f>
        <v>11PS Sחגורה למנותחי בטן</v>
      </c>
      <c r="D5842" s="19" t="n">
        <f aca="false">'CEMIUP0.9 Raw'!D1003</f>
        <v>-1</v>
      </c>
      <c r="E5842" s="19" t="n">
        <f aca="false">'CEMIUP0.9 Raw'!E1003</f>
        <v>-107.926</v>
      </c>
      <c r="F5842" s="19" t="n">
        <f aca="false">'CEMIUP0.9 Raw'!F1003</f>
        <v>0</v>
      </c>
      <c r="G5842" s="19" t="n">
        <f aca="false">'CEMIUP0.9 Raw'!G1003</f>
        <v>0</v>
      </c>
      <c r="H5842" s="18" t="str">
        <f aca="false">'CEMIUP0.9 Raw'!A1003</f>
        <v>BE (CEMI internal group)</v>
      </c>
    </row>
    <row r="5843" customFormat="false" ht="15" hidden="false" customHeight="false" outlineLevel="0" collapsed="false">
      <c r="A5843" s="18" t="n">
        <f aca="false">'CEMIUP0.9 Raw'!B1004</f>
        <v>4408146</v>
      </c>
      <c r="B5843" s="18" t="str">
        <f aca="false">'CEMIUP0.9 Raw'!C1004</f>
        <v>11PS Mחגורה למנותחי בטן</v>
      </c>
      <c r="C5843" s="18" t="str">
        <f aca="false">'CEMIUP0.9 Raw'!C1004</f>
        <v>11PS Mחגורה למנותחי בטן</v>
      </c>
      <c r="D5843" s="19" t="n">
        <f aca="false">'CEMIUP0.9 Raw'!D1004</f>
        <v>1</v>
      </c>
      <c r="E5843" s="19" t="n">
        <f aca="false">'CEMIUP0.9 Raw'!E1004</f>
        <v>107.926</v>
      </c>
      <c r="F5843" s="19" t="n">
        <f aca="false">'CEMIUP0.9 Raw'!F1004</f>
        <v>0</v>
      </c>
      <c r="G5843" s="19" t="n">
        <f aca="false">'CEMIUP0.9 Raw'!G1004</f>
        <v>0</v>
      </c>
      <c r="H5843" s="18" t="str">
        <f aca="false">'CEMIUP0.9 Raw'!A1004</f>
        <v>BE (CEMI internal group)</v>
      </c>
    </row>
    <row r="5844" customFormat="false" ht="15" hidden="false" customHeight="false" outlineLevel="0" collapsed="false">
      <c r="A5844" s="18" t="n">
        <f aca="false">'CEMIUP0.9 Raw'!B1005</f>
        <v>4408148</v>
      </c>
      <c r="B5844" s="18" t="str">
        <f aca="false">'CEMIUP0.9 Raw'!C1005</f>
        <v>11PS XLחגורה למנותחי בטן</v>
      </c>
      <c r="C5844" s="18" t="str">
        <f aca="false">'CEMIUP0.9 Raw'!C1005</f>
        <v>11PS XLחגורה למנותחי בטן</v>
      </c>
      <c r="D5844" s="19" t="n">
        <f aca="false">'CEMIUP0.9 Raw'!D1005</f>
        <v>11</v>
      </c>
      <c r="E5844" s="19" t="n">
        <f aca="false">'CEMIUP0.9 Raw'!E1005</f>
        <v>1187.55</v>
      </c>
      <c r="F5844" s="19" t="n">
        <f aca="false">'CEMIUP0.9 Raw'!F1005</f>
        <v>0</v>
      </c>
      <c r="G5844" s="19" t="n">
        <f aca="false">'CEMIUP0.9 Raw'!G1005</f>
        <v>0</v>
      </c>
      <c r="H5844" s="18" t="str">
        <f aca="false">'CEMIUP0.9 Raw'!A1005</f>
        <v>BE (CEMI internal group)</v>
      </c>
    </row>
    <row r="5845" customFormat="false" ht="15" hidden="false" customHeight="false" outlineLevel="0" collapsed="false">
      <c r="A5845" s="18" t="n">
        <f aca="false">'CEMIUP0.9 Raw'!B1035</f>
        <v>4409003</v>
      </c>
      <c r="B5845" s="18" t="str">
        <f aca="false">'CEMIUP0.9 Raw'!C1035</f>
        <v>FC314-תתטלק נוזלי</v>
      </c>
      <c r="C5845" s="18" t="str">
        <f aca="false">'CEMIUP0.9 Raw'!C1035</f>
        <v>FC314-תתטלק נוזלי</v>
      </c>
      <c r="D5845" s="19" t="n">
        <f aca="false">'CEMIUP0.9 Raw'!D1035</f>
        <v>-1</v>
      </c>
      <c r="E5845" s="19" t="n">
        <f aca="false">'CEMIUP0.9 Raw'!E1035</f>
        <v>-18.928</v>
      </c>
      <c r="F5845" s="19" t="n">
        <f aca="false">'CEMIUP0.9 Raw'!F1035</f>
        <v>0</v>
      </c>
      <c r="G5845" s="19" t="n">
        <f aca="false">'CEMIUP0.9 Raw'!G1035</f>
        <v>0</v>
      </c>
      <c r="H5845" s="18" t="str">
        <f aca="false">'CEMIUP0.9 Raw'!A1035</f>
        <v>BE (CEMI internal group)</v>
      </c>
    </row>
    <row r="5846" customFormat="false" ht="15" hidden="false" customHeight="false" outlineLevel="0" collapsed="false">
      <c r="A5846" s="18" t="n">
        <f aca="false">'CEMIUP0.9 Raw'!B1040</f>
        <v>4409016</v>
      </c>
      <c r="B5846" s="18" t="str">
        <f aca="false">'CEMIUP0.9 Raw'!C1040</f>
        <v>808KT-C        טייפ קינזיולוגי</v>
      </c>
      <c r="C5846" s="18" t="str">
        <f aca="false">'CEMIUP0.9 Raw'!C1040</f>
        <v>808KT-C        טייפ קינזיולוגי</v>
      </c>
      <c r="D5846" s="19" t="n">
        <f aca="false">'CEMIUP0.9 Raw'!D1040</f>
        <v>-1</v>
      </c>
      <c r="E5846" s="19" t="n">
        <f aca="false">'CEMIUP0.9 Raw'!E1040</f>
        <v>-57.421</v>
      </c>
      <c r="F5846" s="19" t="n">
        <f aca="false">'CEMIUP0.9 Raw'!F1040</f>
        <v>0</v>
      </c>
      <c r="G5846" s="19" t="n">
        <f aca="false">'CEMIUP0.9 Raw'!G1040</f>
        <v>0</v>
      </c>
      <c r="H5846" s="18" t="str">
        <f aca="false">'CEMIUP0.9 Raw'!A1040</f>
        <v>BE (CEMI internal group)</v>
      </c>
    </row>
    <row r="5847" customFormat="false" ht="15" hidden="false" customHeight="false" outlineLevel="0" collapsed="false">
      <c r="A5847" s="18" t="n">
        <f aca="false">'CEMIUP0.9 Raw'!B1051</f>
        <v>4413009</v>
      </c>
      <c r="B5847" s="18" t="str">
        <f aca="false">'CEMIUP0.9 Raw'!C1051</f>
        <v>300M תתמדרס/ציפוי עור גבר זו44</v>
      </c>
      <c r="C5847" s="18" t="str">
        <f aca="false">'CEMIUP0.9 Raw'!C1051</f>
        <v>300M תתמדרס/ציפוי עור גבר זו44</v>
      </c>
      <c r="D5847" s="19" t="n">
        <f aca="false">'CEMIUP0.9 Raw'!D1051</f>
        <v>-2</v>
      </c>
      <c r="E5847" s="19" t="n">
        <f aca="false">'CEMIUP0.9 Raw'!E1051</f>
        <v>-176.085</v>
      </c>
      <c r="F5847" s="19" t="n">
        <f aca="false">'CEMIUP0.9 Raw'!F1051</f>
        <v>0</v>
      </c>
      <c r="G5847" s="19" t="n">
        <f aca="false">'CEMIUP0.9 Raw'!G1051</f>
        <v>0</v>
      </c>
      <c r="H5847" s="18" t="str">
        <f aca="false">'CEMIUP0.9 Raw'!A1051</f>
        <v>BE (CEMI internal group)</v>
      </c>
    </row>
    <row r="5848" customFormat="false" ht="15" hidden="false" customHeight="false" outlineLevel="0" collapsed="false">
      <c r="A5848" s="18" t="n">
        <f aca="false">'CEMIUP0.9 Raw'!B1052</f>
        <v>4413018</v>
      </c>
      <c r="B5848" s="18" t="str">
        <f aca="false">'CEMIUP0.9 Raw'!C1052</f>
        <v>303 37-38 מדרסי סיליק.לח.סכרת</v>
      </c>
      <c r="C5848" s="18" t="str">
        <f aca="false">'CEMIUP0.9 Raw'!C1052</f>
        <v>303 37-38 מדרסי סיליק.לח.סכרת</v>
      </c>
      <c r="D5848" s="19" t="n">
        <f aca="false">'CEMIUP0.9 Raw'!D1052</f>
        <v>7</v>
      </c>
      <c r="E5848" s="19" t="n">
        <f aca="false">'CEMIUP0.9 Raw'!E1052</f>
        <v>703.794</v>
      </c>
      <c r="F5848" s="19" t="n">
        <f aca="false">'CEMIUP0.9 Raw'!F1052</f>
        <v>0</v>
      </c>
      <c r="G5848" s="19" t="n">
        <f aca="false">'CEMIUP0.9 Raw'!G1052</f>
        <v>0</v>
      </c>
      <c r="H5848" s="18" t="str">
        <f aca="false">'CEMIUP0.9 Raw'!A1052</f>
        <v>BE (CEMI internal group)</v>
      </c>
    </row>
    <row r="5849" customFormat="false" ht="15" hidden="false" customHeight="false" outlineLevel="0" collapsed="false">
      <c r="A5849" s="18" t="n">
        <f aca="false">'CEMIUP0.9 Raw'!B1053</f>
        <v>4413019</v>
      </c>
      <c r="B5849" s="18" t="str">
        <f aca="false">'CEMIUP0.9 Raw'!C1053</f>
        <v>303 39-40 מדרסי סיליק.לח.סכרת</v>
      </c>
      <c r="C5849" s="18" t="str">
        <f aca="false">'CEMIUP0.9 Raw'!C1053</f>
        <v>303 39-40 מדרסי סיליק.לח.סכרת</v>
      </c>
      <c r="D5849" s="19" t="n">
        <f aca="false">'CEMIUP0.9 Raw'!D1053</f>
        <v>6</v>
      </c>
      <c r="E5849" s="19" t="n">
        <f aca="false">'CEMIUP0.9 Raw'!E1053</f>
        <v>603.239</v>
      </c>
      <c r="F5849" s="19" t="n">
        <f aca="false">'CEMIUP0.9 Raw'!F1053</f>
        <v>0</v>
      </c>
      <c r="G5849" s="19" t="n">
        <f aca="false">'CEMIUP0.9 Raw'!G1053</f>
        <v>0</v>
      </c>
      <c r="H5849" s="18" t="str">
        <f aca="false">'CEMIUP0.9 Raw'!A1053</f>
        <v>BE (CEMI internal group)</v>
      </c>
    </row>
    <row r="5850" customFormat="false" ht="15" hidden="false" customHeight="false" outlineLevel="0" collapsed="false">
      <c r="A5850" s="18" t="n">
        <f aca="false">'CEMIUP0.9 Raw'!B1055</f>
        <v>4413021</v>
      </c>
      <c r="B5850" s="18" t="str">
        <f aca="false">'CEMIUP0.9 Raw'!C1055</f>
        <v>303 43-44 מדרסי סיליק.לח.סכרת</v>
      </c>
      <c r="C5850" s="18" t="str">
        <f aca="false">'CEMIUP0.9 Raw'!C1055</f>
        <v>303 43-44 מדרסי סיליק.לח.סכרת</v>
      </c>
      <c r="D5850" s="19" t="n">
        <f aca="false">'CEMIUP0.9 Raw'!D1055</f>
        <v>1</v>
      </c>
      <c r="E5850" s="19" t="n">
        <f aca="false">'CEMIUP0.9 Raw'!E1055</f>
        <v>100.555</v>
      </c>
      <c r="F5850" s="19" t="n">
        <f aca="false">'CEMIUP0.9 Raw'!F1055</f>
        <v>0</v>
      </c>
      <c r="G5850" s="19" t="n">
        <f aca="false">'CEMIUP0.9 Raw'!G1055</f>
        <v>0</v>
      </c>
      <c r="H5850" s="18" t="str">
        <f aca="false">'CEMIUP0.9 Raw'!A1055</f>
        <v>BE (CEMI internal group)</v>
      </c>
    </row>
    <row r="5851" customFormat="false" ht="15" hidden="false" customHeight="false" outlineLevel="0" collapsed="false">
      <c r="A5851" s="18" t="n">
        <f aca="false">'CEMIUP0.9 Raw'!B1081</f>
        <v>4413073</v>
      </c>
      <c r="B5851" s="18" t="str">
        <f aca="false">'CEMIUP0.9 Raw'!C1081</f>
        <v>41 Mמ.ברך מוצלב+ספירלות בצדדים</v>
      </c>
      <c r="C5851" s="18" t="str">
        <f aca="false">'CEMIUP0.9 Raw'!C1081</f>
        <v>41 Mמ.ברך מוצלב+ספירלות בצדדים</v>
      </c>
      <c r="D5851" s="19" t="n">
        <f aca="false">'CEMIUP0.9 Raw'!D1081</f>
        <v>6</v>
      </c>
      <c r="E5851" s="19" t="n">
        <f aca="false">'CEMIUP0.9 Raw'!E1081</f>
        <v>626.08</v>
      </c>
      <c r="F5851" s="19" t="n">
        <f aca="false">'CEMIUP0.9 Raw'!F1081</f>
        <v>0</v>
      </c>
      <c r="G5851" s="19" t="n">
        <f aca="false">'CEMIUP0.9 Raw'!G1081</f>
        <v>-124.258105263158</v>
      </c>
      <c r="H5851" s="18" t="str">
        <f aca="false">'CEMIUP0.9 Raw'!A1081</f>
        <v>BE (CEMI internal group)</v>
      </c>
    </row>
    <row r="5852" customFormat="false" ht="15" hidden="false" customHeight="false" outlineLevel="0" collapsed="false">
      <c r="A5852" s="18" t="n">
        <f aca="false">'CEMIUP0.9 Raw'!B1085</f>
        <v>4413078</v>
      </c>
      <c r="B5852" s="18" t="str">
        <f aca="false">'CEMIUP0.9 Raw'!C1085</f>
        <v>41X S מגן ברך מוצלב+מוט</v>
      </c>
      <c r="C5852" s="18" t="str">
        <f aca="false">'CEMIUP0.9 Raw'!C1085</f>
        <v>41X S מגן ברך מוצלב+מוט</v>
      </c>
      <c r="D5852" s="19" t="n">
        <f aca="false">'CEMIUP0.9 Raw'!D1085</f>
        <v>1</v>
      </c>
      <c r="E5852" s="19" t="n">
        <f aca="false">'CEMIUP0.9 Raw'!E1085</f>
        <v>114.387</v>
      </c>
      <c r="F5852" s="19" t="n">
        <f aca="false">'CEMIUP0.9 Raw'!F1085</f>
        <v>0</v>
      </c>
      <c r="G5852" s="19" t="n">
        <f aca="false">'CEMIUP0.9 Raw'!G1085</f>
        <v>0</v>
      </c>
      <c r="H5852" s="18" t="str">
        <f aca="false">'CEMIUP0.9 Raw'!A1085</f>
        <v>BE (CEMI internal group)</v>
      </c>
    </row>
    <row r="5853" customFormat="false" ht="15" hidden="false" customHeight="false" outlineLevel="0" collapsed="false">
      <c r="A5853" s="18" t="n">
        <f aca="false">'CEMIUP0.9 Raw'!B1086</f>
        <v>4413079</v>
      </c>
      <c r="B5853" s="18" t="str">
        <f aca="false">'CEMIUP0.9 Raw'!C1086</f>
        <v>41X XL מגן ברך מוצלב+מוט</v>
      </c>
      <c r="C5853" s="18" t="str">
        <f aca="false">'CEMIUP0.9 Raw'!C1086</f>
        <v>41X XL מגן ברך מוצלב+מוט</v>
      </c>
      <c r="D5853" s="19" t="n">
        <f aca="false">'CEMIUP0.9 Raw'!D1086</f>
        <v>3</v>
      </c>
      <c r="E5853" s="19" t="n">
        <f aca="false">'CEMIUP0.9 Raw'!E1086</f>
        <v>343.161</v>
      </c>
      <c r="F5853" s="19" t="n">
        <f aca="false">'CEMIUP0.9 Raw'!F1086</f>
        <v>0</v>
      </c>
      <c r="G5853" s="19" t="n">
        <f aca="false">'CEMIUP0.9 Raw'!G1086</f>
        <v>0</v>
      </c>
      <c r="H5853" s="18" t="str">
        <f aca="false">'CEMIUP0.9 Raw'!A1086</f>
        <v>BE (CEMI internal group)</v>
      </c>
    </row>
    <row r="5854" customFormat="false" ht="15" hidden="false" customHeight="false" outlineLevel="0" collapsed="false">
      <c r="A5854" s="18" t="n">
        <f aca="false">'CEMIUP0.9 Raw'!B1087</f>
        <v>4413087</v>
      </c>
      <c r="B5854" s="18" t="str">
        <f aca="false">'CEMIUP0.9 Raw'!C1087</f>
        <v>422 Lמ.ברך+כרית סיל.סביב לפיקה</v>
      </c>
      <c r="C5854" s="18" t="str">
        <f aca="false">'CEMIUP0.9 Raw'!C1087</f>
        <v>422 Lמ.ברך+כרית סיל.סביב לפיקה</v>
      </c>
      <c r="D5854" s="19" t="n">
        <f aca="false">'CEMIUP0.9 Raw'!D1087</f>
        <v>1</v>
      </c>
      <c r="E5854" s="19" t="n">
        <f aca="false">'CEMIUP0.9 Raw'!E1087</f>
        <v>148.512</v>
      </c>
      <c r="F5854" s="19" t="n">
        <f aca="false">'CEMIUP0.9 Raw'!F1087</f>
        <v>0</v>
      </c>
      <c r="G5854" s="19" t="n">
        <f aca="false">'CEMIUP0.9 Raw'!G1087</f>
        <v>0</v>
      </c>
      <c r="H5854" s="18" t="str">
        <f aca="false">'CEMIUP0.9 Raw'!A1087</f>
        <v>BE (CEMI internal group)</v>
      </c>
    </row>
    <row r="5855" customFormat="false" ht="15" hidden="false" customHeight="false" outlineLevel="0" collapsed="false">
      <c r="A5855" s="18" t="n">
        <f aca="false">'CEMIUP0.9 Raw'!B1088</f>
        <v>4413088</v>
      </c>
      <c r="B5855" s="18" t="str">
        <f aca="false">'CEMIUP0.9 Raw'!C1088</f>
        <v>422 Mמ.ברך+כרית סיל.סביב לפיקה</v>
      </c>
      <c r="C5855" s="18" t="str">
        <f aca="false">'CEMIUP0.9 Raw'!C1088</f>
        <v>422 Mמ.ברך+כרית סיל.סביב לפיקה</v>
      </c>
      <c r="D5855" s="19" t="n">
        <f aca="false">'CEMIUP0.9 Raw'!D1088</f>
        <v>2</v>
      </c>
      <c r="E5855" s="19" t="n">
        <f aca="false">'CEMIUP0.9 Raw'!E1088</f>
        <v>297.024</v>
      </c>
      <c r="F5855" s="19" t="n">
        <f aca="false">'CEMIUP0.9 Raw'!F1088</f>
        <v>0</v>
      </c>
      <c r="G5855" s="19" t="n">
        <f aca="false">'CEMIUP0.9 Raw'!G1088</f>
        <v>0</v>
      </c>
      <c r="H5855" s="18" t="str">
        <f aca="false">'CEMIUP0.9 Raw'!A1088</f>
        <v>BE (CEMI internal group)</v>
      </c>
    </row>
    <row r="5856" customFormat="false" ht="15" hidden="false" customHeight="false" outlineLevel="0" collapsed="false">
      <c r="A5856" s="18" t="n">
        <f aca="false">'CEMIUP0.9 Raw'!B1103</f>
        <v>4413106</v>
      </c>
      <c r="B5856" s="18" t="str">
        <f aca="false">'CEMIUP0.9 Raw'!C1103</f>
        <v>48 S מגן ברך מחמם</v>
      </c>
      <c r="C5856" s="18" t="str">
        <f aca="false">'CEMIUP0.9 Raw'!C1103</f>
        <v>48 S מגן ברך מחמם</v>
      </c>
      <c r="D5856" s="19" t="n">
        <f aca="false">'CEMIUP0.9 Raw'!D1103</f>
        <v>3</v>
      </c>
      <c r="E5856" s="19" t="n">
        <f aca="false">'CEMIUP0.9 Raw'!E1103</f>
        <v>142.87</v>
      </c>
      <c r="F5856" s="19" t="n">
        <f aca="false">'CEMIUP0.9 Raw'!F1103</f>
        <v>0</v>
      </c>
      <c r="G5856" s="19" t="n">
        <f aca="false">'CEMIUP0.9 Raw'!G1103</f>
        <v>0</v>
      </c>
      <c r="H5856" s="18" t="str">
        <f aca="false">'CEMIUP0.9 Raw'!A1103</f>
        <v>BE (CEMI internal group)</v>
      </c>
    </row>
    <row r="5857" customFormat="false" ht="15" hidden="false" customHeight="false" outlineLevel="0" collapsed="false">
      <c r="A5857" s="18" t="n">
        <f aca="false">'CEMIUP0.9 Raw'!B1104</f>
        <v>4413107</v>
      </c>
      <c r="B5857" s="18" t="str">
        <f aca="false">'CEMIUP0.9 Raw'!C1104</f>
        <v>48 L מגן ברך מחמם</v>
      </c>
      <c r="C5857" s="18" t="str">
        <f aca="false">'CEMIUP0.9 Raw'!C1104</f>
        <v>48 L מגן ברך מחמם</v>
      </c>
      <c r="D5857" s="19" t="n">
        <f aca="false">'CEMIUP0.9 Raw'!D1104</f>
        <v>10</v>
      </c>
      <c r="E5857" s="19" t="n">
        <f aca="false">'CEMIUP0.9 Raw'!E1104</f>
        <v>476.476</v>
      </c>
      <c r="F5857" s="19" t="n">
        <f aca="false">'CEMIUP0.9 Raw'!F1104</f>
        <v>0</v>
      </c>
      <c r="G5857" s="19" t="n">
        <f aca="false">'CEMIUP0.9 Raw'!G1104</f>
        <v>0</v>
      </c>
      <c r="H5857" s="18" t="str">
        <f aca="false">'CEMIUP0.9 Raw'!A1104</f>
        <v>BE (CEMI internal group)</v>
      </c>
    </row>
    <row r="5858" customFormat="false" ht="15" hidden="false" customHeight="false" outlineLevel="0" collapsed="false">
      <c r="A5858" s="18" t="n">
        <f aca="false">'CEMIUP0.9 Raw'!B1105</f>
        <v>4413108</v>
      </c>
      <c r="B5858" s="18" t="str">
        <f aca="false">'CEMIUP0.9 Raw'!C1105</f>
        <v>48 M מגן ברך מחמם</v>
      </c>
      <c r="C5858" s="18" t="str">
        <f aca="false">'CEMIUP0.9 Raw'!C1105</f>
        <v>48 M מגן ברך מחמם</v>
      </c>
      <c r="D5858" s="19" t="n">
        <f aca="false">'CEMIUP0.9 Raw'!D1105</f>
        <v>17</v>
      </c>
      <c r="E5858" s="19" t="n">
        <f aca="false">'CEMIUP0.9 Raw'!E1105</f>
        <v>809.991</v>
      </c>
      <c r="F5858" s="19" t="n">
        <f aca="false">'CEMIUP0.9 Raw'!F1105</f>
        <v>0</v>
      </c>
      <c r="G5858" s="19" t="n">
        <f aca="false">'CEMIUP0.9 Raw'!G1105</f>
        <v>0</v>
      </c>
      <c r="H5858" s="18" t="str">
        <f aca="false">'CEMIUP0.9 Raw'!A1105</f>
        <v>BE (CEMI internal group)</v>
      </c>
    </row>
    <row r="5859" customFormat="false" ht="15" hidden="false" customHeight="false" outlineLevel="0" collapsed="false">
      <c r="A5859" s="18" t="n">
        <f aca="false">'CEMIUP0.9 Raw'!B1106</f>
        <v>4413109</v>
      </c>
      <c r="B5859" s="18" t="str">
        <f aca="false">'CEMIUP0.9 Raw'!C1106</f>
        <v>48 XL מגן ברך מחמם</v>
      </c>
      <c r="C5859" s="18" t="str">
        <f aca="false">'CEMIUP0.9 Raw'!C1106</f>
        <v>48 XL מגן ברך מחמם</v>
      </c>
      <c r="D5859" s="19" t="n">
        <f aca="false">'CEMIUP0.9 Raw'!D1106</f>
        <v>4</v>
      </c>
      <c r="E5859" s="19" t="n">
        <f aca="false">'CEMIUP0.9 Raw'!E1106</f>
        <v>190.554</v>
      </c>
      <c r="F5859" s="19" t="n">
        <f aca="false">'CEMIUP0.9 Raw'!F1106</f>
        <v>0</v>
      </c>
      <c r="G5859" s="19" t="n">
        <f aca="false">'CEMIUP0.9 Raw'!G1106</f>
        <v>0</v>
      </c>
      <c r="H5859" s="18" t="str">
        <f aca="false">'CEMIUP0.9 Raw'!A1106</f>
        <v>BE (CEMI internal group)</v>
      </c>
    </row>
    <row r="5860" customFormat="false" ht="15" hidden="false" customHeight="false" outlineLevel="0" collapsed="false">
      <c r="A5860" s="18" t="n">
        <f aca="false">'CEMIUP0.9 Raw'!B1107</f>
        <v>4413110</v>
      </c>
      <c r="B5860" s="18" t="str">
        <f aca="false">'CEMIUP0.9 Raw'!C1107</f>
        <v>48 XXL מגן ברך מחמם</v>
      </c>
      <c r="C5860" s="18" t="str">
        <f aca="false">'CEMIUP0.9 Raw'!C1107</f>
        <v>48 XXL מגן ברך מחמם</v>
      </c>
      <c r="D5860" s="19" t="n">
        <f aca="false">'CEMIUP0.9 Raw'!D1107</f>
        <v>9</v>
      </c>
      <c r="E5860" s="19" t="n">
        <f aca="false">'CEMIUP0.9 Raw'!E1107</f>
        <v>428.792</v>
      </c>
      <c r="F5860" s="19" t="n">
        <f aca="false">'CEMIUP0.9 Raw'!F1107</f>
        <v>0</v>
      </c>
      <c r="G5860" s="19" t="n">
        <f aca="false">'CEMIUP0.9 Raw'!G1107</f>
        <v>0</v>
      </c>
      <c r="H5860" s="18" t="str">
        <f aca="false">'CEMIUP0.9 Raw'!A1107</f>
        <v>BE (CEMI internal group)</v>
      </c>
    </row>
    <row r="5861" customFormat="false" ht="15" hidden="false" customHeight="false" outlineLevel="0" collapsed="false">
      <c r="A5861" s="18" t="n">
        <f aca="false">'CEMIUP0.9 Raw'!B1138</f>
        <v>4413170</v>
      </c>
      <c r="B5861" s="18" t="str">
        <f aca="false">'CEMIUP0.9 Raw'!C1138</f>
        <v>T402 M מיצב פיקה</v>
      </c>
      <c r="C5861" s="18" t="str">
        <f aca="false">'CEMIUP0.9 Raw'!C1138</f>
        <v>T402 M מיצב פיקה</v>
      </c>
      <c r="D5861" s="19" t="n">
        <f aca="false">'CEMIUP0.9 Raw'!D1138</f>
        <v>3</v>
      </c>
      <c r="E5861" s="19" t="n">
        <f aca="false">'CEMIUP0.9 Raw'!E1138</f>
        <v>240.786</v>
      </c>
      <c r="F5861" s="19" t="n">
        <f aca="false">'CEMIUP0.9 Raw'!F1138</f>
        <v>0</v>
      </c>
      <c r="G5861" s="19" t="n">
        <f aca="false">'CEMIUP0.9 Raw'!G1138</f>
        <v>0</v>
      </c>
      <c r="H5861" s="18" t="str">
        <f aca="false">'CEMIUP0.9 Raw'!A1138</f>
        <v>BE (CEMI internal group)</v>
      </c>
    </row>
    <row r="5862" customFormat="false" ht="15" hidden="false" customHeight="false" outlineLevel="0" collapsed="false">
      <c r="A5862" s="18" t="n">
        <f aca="false">'CEMIUP0.9 Raw'!B1139</f>
        <v>4413171</v>
      </c>
      <c r="B5862" s="18" t="str">
        <f aca="false">'CEMIUP0.9 Raw'!C1139</f>
        <v>T402 L מיצב פיקה</v>
      </c>
      <c r="C5862" s="18" t="str">
        <f aca="false">'CEMIUP0.9 Raw'!C1139</f>
        <v>T402 L מיצב פיקה</v>
      </c>
      <c r="D5862" s="19" t="n">
        <f aca="false">'CEMIUP0.9 Raw'!D1139</f>
        <v>-1</v>
      </c>
      <c r="E5862" s="19" t="n">
        <f aca="false">'CEMIUP0.9 Raw'!E1139</f>
        <v>-80.262</v>
      </c>
      <c r="F5862" s="19" t="n">
        <f aca="false">'CEMIUP0.9 Raw'!F1139</f>
        <v>0</v>
      </c>
      <c r="G5862" s="19" t="n">
        <f aca="false">'CEMIUP0.9 Raw'!G1139</f>
        <v>0</v>
      </c>
      <c r="H5862" s="18" t="str">
        <f aca="false">'CEMIUP0.9 Raw'!A1139</f>
        <v>BE (CEMI internal group)</v>
      </c>
    </row>
    <row r="5863" customFormat="false" ht="15" hidden="false" customHeight="false" outlineLevel="0" collapsed="false">
      <c r="A5863" s="18" t="n">
        <f aca="false">'CEMIUP0.9 Raw'!B1140</f>
        <v>4413178</v>
      </c>
      <c r="B5863" s="18" t="str">
        <f aca="false">'CEMIUP0.9 Raw'!C1140</f>
        <v>T39 XL מגן שוק</v>
      </c>
      <c r="C5863" s="18" t="str">
        <f aca="false">'CEMIUP0.9 Raw'!C1140</f>
        <v>T39 XL מגן שוק</v>
      </c>
      <c r="D5863" s="19" t="n">
        <f aca="false">'CEMIUP0.9 Raw'!D1140</f>
        <v>-2</v>
      </c>
      <c r="E5863" s="19" t="n">
        <f aca="false">'CEMIUP0.9 Raw'!E1140</f>
        <v>-176.631</v>
      </c>
      <c r="F5863" s="19" t="n">
        <f aca="false">'CEMIUP0.9 Raw'!F1140</f>
        <v>0</v>
      </c>
      <c r="G5863" s="19" t="n">
        <f aca="false">'CEMIUP0.9 Raw'!G1140</f>
        <v>0</v>
      </c>
      <c r="H5863" s="18" t="str">
        <f aca="false">'CEMIUP0.9 Raw'!A1140</f>
        <v>BE (CEMI internal group)</v>
      </c>
    </row>
    <row r="5864" customFormat="false" ht="15" hidden="false" customHeight="false" outlineLevel="0" collapsed="false">
      <c r="A5864" s="18" t="n">
        <f aca="false">'CEMIUP0.9 Raw'!B1151</f>
        <v>4413210</v>
      </c>
      <c r="B5864" s="18" t="str">
        <f aca="false">'CEMIUP0.9 Raw'!C1151</f>
        <v>T95 S מגן מרפק רגיל</v>
      </c>
      <c r="C5864" s="18" t="str">
        <f aca="false">'CEMIUP0.9 Raw'!C1151</f>
        <v>T95 S מגן מרפק רגיל</v>
      </c>
      <c r="D5864" s="19" t="n">
        <f aca="false">'CEMIUP0.9 Raw'!D1151</f>
        <v>-1</v>
      </c>
      <c r="E5864" s="19" t="n">
        <f aca="false">'CEMIUP0.9 Raw'!E1151</f>
        <v>-80.262</v>
      </c>
      <c r="F5864" s="19" t="n">
        <f aca="false">'CEMIUP0.9 Raw'!F1151</f>
        <v>0</v>
      </c>
      <c r="G5864" s="19" t="n">
        <f aca="false">'CEMIUP0.9 Raw'!G1151</f>
        <v>0</v>
      </c>
      <c r="H5864" s="18" t="str">
        <f aca="false">'CEMIUP0.9 Raw'!A1151</f>
        <v>BE (CEMI internal group)</v>
      </c>
    </row>
    <row r="5865" customFormat="false" ht="15" hidden="false" customHeight="false" outlineLevel="0" collapsed="false">
      <c r="A5865" s="18" t="n">
        <f aca="false">'CEMIUP0.9 Raw'!B1152</f>
        <v>4413212</v>
      </c>
      <c r="B5865" s="18" t="str">
        <f aca="false">'CEMIUP0.9 Raw'!C1152</f>
        <v>T95 L מגן מרפק רגיל</v>
      </c>
      <c r="C5865" s="18" t="str">
        <f aca="false">'CEMIUP0.9 Raw'!C1152</f>
        <v>T95 L מגן מרפק רגיל</v>
      </c>
      <c r="D5865" s="19" t="n">
        <f aca="false">'CEMIUP0.9 Raw'!D1152</f>
        <v>-3</v>
      </c>
      <c r="E5865" s="19" t="n">
        <f aca="false">'CEMIUP0.9 Raw'!E1152</f>
        <v>-275.184</v>
      </c>
      <c r="F5865" s="19" t="n">
        <f aca="false">'CEMIUP0.9 Raw'!F1152</f>
        <v>0</v>
      </c>
      <c r="G5865" s="19" t="n">
        <f aca="false">'CEMIUP0.9 Raw'!G1152</f>
        <v>0</v>
      </c>
      <c r="H5865" s="18" t="str">
        <f aca="false">'CEMIUP0.9 Raw'!A1152</f>
        <v>BE (CEMI internal group)</v>
      </c>
    </row>
    <row r="5866" customFormat="false" ht="15" hidden="false" customHeight="false" outlineLevel="0" collapsed="false">
      <c r="A5866" s="18" t="n">
        <f aca="false">'CEMIUP0.9 Raw'!B1153</f>
        <v>4413216</v>
      </c>
      <c r="B5866" s="18" t="str">
        <f aca="false">'CEMIUP0.9 Raw'!C1153</f>
        <v>T35 Mמגן קרסול+ צמדן</v>
      </c>
      <c r="C5866" s="18" t="str">
        <f aca="false">'CEMIUP0.9 Raw'!C1153</f>
        <v>T35 Mמגן קרסול+ צמדן</v>
      </c>
      <c r="D5866" s="19" t="n">
        <f aca="false">'CEMIUP0.9 Raw'!D1153</f>
        <v>-1</v>
      </c>
      <c r="E5866" s="19" t="n">
        <f aca="false">'CEMIUP0.9 Raw'!E1153</f>
        <v>-63.518</v>
      </c>
      <c r="F5866" s="19" t="n">
        <f aca="false">'CEMIUP0.9 Raw'!F1153</f>
        <v>0</v>
      </c>
      <c r="G5866" s="19" t="n">
        <f aca="false">'CEMIUP0.9 Raw'!G1153</f>
        <v>0</v>
      </c>
      <c r="H5866" s="18" t="str">
        <f aca="false">'CEMIUP0.9 Raw'!A1153</f>
        <v>BE (CEMI internal group)</v>
      </c>
    </row>
    <row r="5867" customFormat="false" ht="15" hidden="false" customHeight="false" outlineLevel="0" collapsed="false">
      <c r="A5867" s="18" t="n">
        <f aca="false">'CEMIUP0.9 Raw'!B1154</f>
        <v>4413217</v>
      </c>
      <c r="B5867" s="18" t="str">
        <f aca="false">'CEMIUP0.9 Raw'!C1154</f>
        <v>T35 Lמגן קרסול+ צמדן</v>
      </c>
      <c r="C5867" s="18" t="str">
        <f aca="false">'CEMIUP0.9 Raw'!C1154</f>
        <v>T35 Lמגן קרסול+ צמדן</v>
      </c>
      <c r="D5867" s="19" t="n">
        <f aca="false">'CEMIUP0.9 Raw'!D1154</f>
        <v>-4</v>
      </c>
      <c r="E5867" s="19" t="n">
        <f aca="false">'CEMIUP0.9 Raw'!E1154</f>
        <v>-224.679</v>
      </c>
      <c r="F5867" s="19" t="n">
        <f aca="false">'CEMIUP0.9 Raw'!F1154</f>
        <v>0</v>
      </c>
      <c r="G5867" s="19" t="n">
        <f aca="false">'CEMIUP0.9 Raw'!G1154</f>
        <v>0</v>
      </c>
      <c r="H5867" s="18" t="str">
        <f aca="false">'CEMIUP0.9 Raw'!A1154</f>
        <v>BE (CEMI internal group)</v>
      </c>
    </row>
    <row r="5868" customFormat="false" ht="15" hidden="false" customHeight="false" outlineLevel="0" collapsed="false">
      <c r="A5868" s="18" t="n">
        <f aca="false">'CEMIUP0.9 Raw'!B1155</f>
        <v>4413218</v>
      </c>
      <c r="B5868" s="18" t="str">
        <f aca="false">'CEMIUP0.9 Raw'!C1155</f>
        <v>T35 XLמגן קרסול+ צמדן</v>
      </c>
      <c r="C5868" s="18" t="str">
        <f aca="false">'CEMIUP0.9 Raw'!C1155</f>
        <v>T35 XLמגן קרסול+ צמדן</v>
      </c>
      <c r="D5868" s="19" t="n">
        <f aca="false">'CEMIUP0.9 Raw'!D1155</f>
        <v>-2</v>
      </c>
      <c r="E5868" s="19" t="n">
        <f aca="false">'CEMIUP0.9 Raw'!E1155</f>
        <v>-119.665</v>
      </c>
      <c r="F5868" s="19" t="n">
        <f aca="false">'CEMIUP0.9 Raw'!F1155</f>
        <v>0</v>
      </c>
      <c r="G5868" s="19" t="n">
        <f aca="false">'CEMIUP0.9 Raw'!G1155</f>
        <v>0</v>
      </c>
      <c r="H5868" s="18" t="str">
        <f aca="false">'CEMIUP0.9 Raw'!A1155</f>
        <v>BE (CEMI internal group)</v>
      </c>
    </row>
    <row r="5869" customFormat="false" ht="15" hidden="false" customHeight="false" outlineLevel="0" collapsed="false">
      <c r="A5869" s="18" t="n">
        <f aca="false">'CEMIUP0.9 Raw'!B1158</f>
        <v>4413278</v>
      </c>
      <c r="B5869" s="18" t="str">
        <f aca="false">'CEMIUP0.9 Raw'!C1158</f>
        <v>LF377 S-מדרס סיליקון לנעלי עקב</v>
      </c>
      <c r="C5869" s="18" t="str">
        <f aca="false">'CEMIUP0.9 Raw'!C1158</f>
        <v>LF377 S-מדרס סיליקון לנעלי עקב</v>
      </c>
      <c r="D5869" s="19" t="n">
        <f aca="false">'CEMIUP0.9 Raw'!D1158</f>
        <v>-4</v>
      </c>
      <c r="E5869" s="19" t="n">
        <f aca="false">'CEMIUP0.9 Raw'!E1158</f>
        <v>-229.502</v>
      </c>
      <c r="F5869" s="19" t="n">
        <f aca="false">'CEMIUP0.9 Raw'!F1158</f>
        <v>0</v>
      </c>
      <c r="G5869" s="19" t="n">
        <f aca="false">'CEMIUP0.9 Raw'!G1158</f>
        <v>0</v>
      </c>
      <c r="H5869" s="18" t="str">
        <f aca="false">'CEMIUP0.9 Raw'!A1158</f>
        <v>BE (CEMI internal group)</v>
      </c>
    </row>
    <row r="5870" customFormat="false" ht="15" hidden="false" customHeight="false" outlineLevel="0" collapsed="false">
      <c r="A5870" s="18" t="n">
        <f aca="false">'CEMIUP0.9 Raw'!B1159</f>
        <v>4413279</v>
      </c>
      <c r="B5870" s="18" t="str">
        <f aca="false">'CEMIUP0.9 Raw'!C1159</f>
        <v>422E L מגן ברך ארוך עם כרית</v>
      </c>
      <c r="C5870" s="18" t="str">
        <f aca="false">'CEMIUP0.9 Raw'!C1159</f>
        <v>422E L מגן ברך ארוך עם כרית</v>
      </c>
      <c r="D5870" s="19" t="n">
        <f aca="false">'CEMIUP0.9 Raw'!D1159</f>
        <v>-1</v>
      </c>
      <c r="E5870" s="19" t="n">
        <f aca="false">'CEMIUP0.9 Raw'!E1159</f>
        <v>-246.61</v>
      </c>
      <c r="F5870" s="19" t="n">
        <f aca="false">'CEMIUP0.9 Raw'!F1159</f>
        <v>0</v>
      </c>
      <c r="G5870" s="19" t="n">
        <f aca="false">'CEMIUP0.9 Raw'!G1159</f>
        <v>0</v>
      </c>
      <c r="H5870" s="18" t="str">
        <f aca="false">'CEMIUP0.9 Raw'!A1159</f>
        <v>BE (CEMI internal group)</v>
      </c>
    </row>
    <row r="5871" customFormat="false" ht="15" hidden="false" customHeight="false" outlineLevel="0" collapsed="false">
      <c r="A5871" s="18" t="n">
        <f aca="false">'CEMIUP0.9 Raw'!B1160</f>
        <v>4413281</v>
      </c>
      <c r="B5871" s="18" t="str">
        <f aca="false">'CEMIUP0.9 Raw'!C1160</f>
        <v>422E S מגן ברך ארוך עם כרית</v>
      </c>
      <c r="C5871" s="18" t="str">
        <f aca="false">'CEMIUP0.9 Raw'!C1160</f>
        <v>422E S מגן ברך ארוך עם כרית</v>
      </c>
      <c r="D5871" s="19" t="n">
        <f aca="false">'CEMIUP0.9 Raw'!D1160</f>
        <v>-2</v>
      </c>
      <c r="E5871" s="19" t="n">
        <f aca="false">'CEMIUP0.9 Raw'!E1160</f>
        <v>-358.085</v>
      </c>
      <c r="F5871" s="19" t="n">
        <f aca="false">'CEMIUP0.9 Raw'!F1160</f>
        <v>0</v>
      </c>
      <c r="G5871" s="19" t="n">
        <f aca="false">'CEMIUP0.9 Raw'!G1160</f>
        <v>0</v>
      </c>
      <c r="H5871" s="18" t="str">
        <f aca="false">'CEMIUP0.9 Raw'!A1160</f>
        <v>BE (CEMI internal group)</v>
      </c>
    </row>
    <row r="5872" customFormat="false" ht="15" hidden="false" customHeight="false" outlineLevel="0" collapsed="false">
      <c r="A5872" s="18" t="n">
        <f aca="false">'CEMIUP0.9 Raw'!B1175</f>
        <v>4413405</v>
      </c>
      <c r="B5872" s="18" t="str">
        <f aca="false">'CEMIUP0.9 Raw'!C1175</f>
        <v>SC95 S מגן מרפק</v>
      </c>
      <c r="C5872" s="18" t="str">
        <f aca="false">'CEMIUP0.9 Raw'!C1175</f>
        <v>SC95 S מגן מרפק</v>
      </c>
      <c r="D5872" s="19" t="n">
        <f aca="false">'CEMIUP0.9 Raw'!D1175</f>
        <v>-2</v>
      </c>
      <c r="E5872" s="19" t="n">
        <f aca="false">'CEMIUP0.9 Raw'!E1175</f>
        <v>-128.401</v>
      </c>
      <c r="F5872" s="19" t="n">
        <f aca="false">'CEMIUP0.9 Raw'!F1175</f>
        <v>0</v>
      </c>
      <c r="G5872" s="19" t="n">
        <f aca="false">'CEMIUP0.9 Raw'!G1175</f>
        <v>0</v>
      </c>
      <c r="H5872" s="18" t="str">
        <f aca="false">'CEMIUP0.9 Raw'!A1175</f>
        <v>BE (CEMI internal group)</v>
      </c>
    </row>
    <row r="5873" customFormat="false" ht="15" hidden="false" customHeight="false" outlineLevel="0" collapsed="false">
      <c r="A5873" s="18" t="n">
        <f aca="false">'CEMIUP0.9 Raw'!B1179</f>
        <v>4413415</v>
      </c>
      <c r="B5873" s="18" t="str">
        <f aca="false">'CEMIUP0.9 Raw'!C1179</f>
        <v>SC39  S מגן שוק</v>
      </c>
      <c r="C5873" s="18" t="str">
        <f aca="false">'CEMIUP0.9 Raw'!C1179</f>
        <v>SC39  S מגן שוק</v>
      </c>
      <c r="D5873" s="19" t="n">
        <f aca="false">'CEMIUP0.9 Raw'!D1179</f>
        <v>2</v>
      </c>
      <c r="E5873" s="19" t="n">
        <f aca="false">'CEMIUP0.9 Raw'!E1179</f>
        <v>232.96</v>
      </c>
      <c r="F5873" s="19" t="n">
        <f aca="false">'CEMIUP0.9 Raw'!F1179</f>
        <v>0</v>
      </c>
      <c r="G5873" s="19" t="n">
        <f aca="false">'CEMIUP0.9 Raw'!G1179</f>
        <v>0</v>
      </c>
      <c r="H5873" s="18" t="str">
        <f aca="false">'CEMIUP0.9 Raw'!A1179</f>
        <v>BE (CEMI internal group)</v>
      </c>
    </row>
    <row r="5874" customFormat="false" ht="15" hidden="false" customHeight="false" outlineLevel="0" collapsed="false">
      <c r="A5874" s="18" t="n">
        <f aca="false">'CEMIUP0.9 Raw'!B1182</f>
        <v>4413418</v>
      </c>
      <c r="B5874" s="18" t="str">
        <f aca="false">'CEMIUP0.9 Raw'!C1182</f>
        <v>SC39 XL מגן שוק</v>
      </c>
      <c r="C5874" s="18" t="str">
        <f aca="false">'CEMIUP0.9 Raw'!C1182</f>
        <v>SC39 XL מגן שוק</v>
      </c>
      <c r="D5874" s="19" t="n">
        <f aca="false">'CEMIUP0.9 Raw'!D1182</f>
        <v>-1</v>
      </c>
      <c r="E5874" s="19" t="n">
        <f aca="false">'CEMIUP0.9 Raw'!E1182</f>
        <v>-171.99</v>
      </c>
      <c r="F5874" s="19" t="n">
        <f aca="false">'CEMIUP0.9 Raw'!F1182</f>
        <v>0</v>
      </c>
      <c r="G5874" s="19" t="n">
        <f aca="false">'CEMIUP0.9 Raw'!G1182</f>
        <v>0</v>
      </c>
      <c r="H5874" s="18" t="str">
        <f aca="false">'CEMIUP0.9 Raw'!A1182</f>
        <v>BE (CEMI internal group)</v>
      </c>
    </row>
    <row r="5875" customFormat="false" ht="15" hidden="false" customHeight="false" outlineLevel="0" collapsed="false">
      <c r="A5875" s="18" t="n">
        <f aca="false">'CEMIUP0.9 Raw'!B1209</f>
        <v>4415004</v>
      </c>
      <c r="B5875" s="18" t="str">
        <f aca="false">'CEMIUP0.9 Raw'!C1209</f>
        <v>26 XXL סד ליד דו צדדי לאחר שבר</v>
      </c>
      <c r="C5875" s="18" t="str">
        <f aca="false">'CEMIUP0.9 Raw'!C1209</f>
        <v>26 XXL סד ליד דו צדדי לאחר שבר</v>
      </c>
      <c r="D5875" s="19" t="n">
        <f aca="false">'CEMIUP0.9 Raw'!D1209</f>
        <v>-1</v>
      </c>
      <c r="E5875" s="19" t="n">
        <f aca="false">'CEMIUP0.9 Raw'!E1209</f>
        <v>-80.262</v>
      </c>
      <c r="F5875" s="19" t="n">
        <f aca="false">'CEMIUP0.9 Raw'!F1209</f>
        <v>0</v>
      </c>
      <c r="G5875" s="19" t="n">
        <f aca="false">'CEMIUP0.9 Raw'!G1209</f>
        <v>0</v>
      </c>
      <c r="H5875" s="18" t="str">
        <f aca="false">'CEMIUP0.9 Raw'!A1209</f>
        <v>BE (CEMI internal group)</v>
      </c>
    </row>
    <row r="5876" customFormat="false" ht="15" hidden="false" customHeight="false" outlineLevel="0" collapsed="false">
      <c r="A5876" s="18" t="n">
        <f aca="false">'CEMIUP0.9 Raw'!B1219</f>
        <v>4415067</v>
      </c>
      <c r="B5876" s="18" t="str">
        <f aca="false">'CEMIUP0.9 Raw'!C1219</f>
        <v>T28 XL סד לאגודל כפפה</v>
      </c>
      <c r="C5876" s="18" t="str">
        <f aca="false">'CEMIUP0.9 Raw'!C1219</f>
        <v>T28 XL סד לאגודל כפפה</v>
      </c>
      <c r="D5876" s="19" t="n">
        <f aca="false">'CEMIUP0.9 Raw'!D1219</f>
        <v>-2</v>
      </c>
      <c r="E5876" s="19" t="n">
        <f aca="false">'CEMIUP0.9 Raw'!E1219</f>
        <v>-120.393</v>
      </c>
      <c r="F5876" s="19" t="n">
        <f aca="false">'CEMIUP0.9 Raw'!F1219</f>
        <v>0</v>
      </c>
      <c r="G5876" s="19" t="n">
        <f aca="false">'CEMIUP0.9 Raw'!G1219</f>
        <v>0</v>
      </c>
      <c r="H5876" s="18" t="str">
        <f aca="false">'CEMIUP0.9 Raw'!A1219</f>
        <v>BE (CEMI internal group)</v>
      </c>
    </row>
    <row r="5877" customFormat="false" ht="15" hidden="false" customHeight="false" outlineLevel="0" collapsed="false">
      <c r="A5877" s="18" t="n">
        <f aca="false">'CEMIUP0.9 Raw'!B1223</f>
        <v>4415089</v>
      </c>
      <c r="B5877" s="18" t="str">
        <f aca="false">'CEMIUP0.9 Raw'!C1223</f>
        <v>27L M סד ליד שמאל</v>
      </c>
      <c r="C5877" s="18" t="str">
        <f aca="false">'CEMIUP0.9 Raw'!C1223</f>
        <v>27L M סד ליד שמאל</v>
      </c>
      <c r="D5877" s="19" t="n">
        <f aca="false">'CEMIUP0.9 Raw'!D1223</f>
        <v>-2</v>
      </c>
      <c r="E5877" s="19" t="n">
        <f aca="false">'CEMIUP0.9 Raw'!E1223</f>
        <v>-176.631</v>
      </c>
      <c r="F5877" s="19" t="n">
        <f aca="false">'CEMIUP0.9 Raw'!F1223</f>
        <v>0</v>
      </c>
      <c r="G5877" s="19" t="n">
        <f aca="false">'CEMIUP0.9 Raw'!G1223</f>
        <v>0</v>
      </c>
      <c r="H5877" s="18" t="str">
        <f aca="false">'CEMIUP0.9 Raw'!A1223</f>
        <v>BE (CEMI internal group)</v>
      </c>
    </row>
    <row r="5878" customFormat="false" ht="15" hidden="false" customHeight="false" outlineLevel="0" collapsed="false">
      <c r="A5878" s="18" t="n">
        <f aca="false">'CEMIUP0.9 Raw'!B1224</f>
        <v>4415142</v>
      </c>
      <c r="B5878" s="18" t="str">
        <f aca="false">'CEMIUP0.9 Raw'!C1224</f>
        <v>26 XS סד ליד דו צדדי לאחר שבר</v>
      </c>
      <c r="C5878" s="18" t="str">
        <f aca="false">'CEMIUP0.9 Raw'!C1224</f>
        <v>26 XS סד ליד דו צדדי לאחר שבר</v>
      </c>
      <c r="D5878" s="19" t="n">
        <f aca="false">'CEMIUP0.9 Raw'!D1224</f>
        <v>-1</v>
      </c>
      <c r="E5878" s="19" t="n">
        <f aca="false">'CEMIUP0.9 Raw'!E1224</f>
        <v>-151.606</v>
      </c>
      <c r="F5878" s="19" t="n">
        <f aca="false">'CEMIUP0.9 Raw'!F1224</f>
        <v>0</v>
      </c>
      <c r="G5878" s="19" t="n">
        <f aca="false">'CEMIUP0.9 Raw'!G1224</f>
        <v>0</v>
      </c>
      <c r="H5878" s="18" t="str">
        <f aca="false">'CEMIUP0.9 Raw'!A1224</f>
        <v>BE (CEMI internal group)</v>
      </c>
    </row>
    <row r="5879" customFormat="false" ht="15" hidden="false" customHeight="false" outlineLevel="0" collapsed="false">
      <c r="A5879" s="18" t="n">
        <f aca="false">'CEMIUP0.9 Raw'!B1247</f>
        <v>4420004</v>
      </c>
      <c r="B5879" s="18" t="str">
        <f aca="false">'CEMIUP0.9 Raw'!C1247</f>
        <v>377  רפ.אורטופדית ספורט זוג35</v>
      </c>
      <c r="C5879" s="18" t="str">
        <f aca="false">'CEMIUP0.9 Raw'!C1247</f>
        <v>377  רפ.אורטופדית ספורט זוג35</v>
      </c>
      <c r="D5879" s="19" t="n">
        <f aca="false">'CEMIUP0.9 Raw'!D1247</f>
        <v>4</v>
      </c>
      <c r="E5879" s="19" t="n">
        <f aca="false">'CEMIUP0.9 Raw'!E1247</f>
        <v>143.234</v>
      </c>
      <c r="F5879" s="19" t="n">
        <f aca="false">'CEMIUP0.9 Raw'!F1247</f>
        <v>0</v>
      </c>
      <c r="G5879" s="19" t="n">
        <f aca="false">'CEMIUP0.9 Raw'!G1247</f>
        <v>0</v>
      </c>
      <c r="H5879" s="18" t="str">
        <f aca="false">'CEMIUP0.9 Raw'!A1247</f>
        <v>BE (CEMI internal group)</v>
      </c>
    </row>
    <row r="5880" customFormat="false" ht="15" hidden="false" customHeight="false" outlineLevel="0" collapsed="false">
      <c r="A5880" s="18" t="n">
        <f aca="false">'CEMIUP0.9 Raw'!B1248</f>
        <v>4420005</v>
      </c>
      <c r="B5880" s="18" t="str">
        <f aca="false">'CEMIUP0.9 Raw'!C1248</f>
        <v>377 רפ.אורטופדית ספורט זוג36</v>
      </c>
      <c r="C5880" s="18" t="str">
        <f aca="false">'CEMIUP0.9 Raw'!C1248</f>
        <v>377 רפ.אורטופדית ספורט זוג36</v>
      </c>
      <c r="D5880" s="19" t="n">
        <f aca="false">'CEMIUP0.9 Raw'!D1248</f>
        <v>4</v>
      </c>
      <c r="E5880" s="19" t="n">
        <f aca="false">'CEMIUP0.9 Raw'!E1248</f>
        <v>143.143</v>
      </c>
      <c r="F5880" s="19" t="n">
        <f aca="false">'CEMIUP0.9 Raw'!F1248</f>
        <v>0</v>
      </c>
      <c r="G5880" s="19" t="n">
        <f aca="false">'CEMIUP0.9 Raw'!G1248</f>
        <v>0</v>
      </c>
      <c r="H5880" s="18" t="str">
        <f aca="false">'CEMIUP0.9 Raw'!A1248</f>
        <v>BE (CEMI internal group)</v>
      </c>
    </row>
    <row r="5881" customFormat="false" ht="15" hidden="false" customHeight="false" outlineLevel="0" collapsed="false">
      <c r="A5881" s="18" t="n">
        <f aca="false">'CEMIUP0.9 Raw'!B1249</f>
        <v>4420006</v>
      </c>
      <c r="B5881" s="18" t="str">
        <f aca="false">'CEMIUP0.9 Raw'!C1249</f>
        <v>377  רפ.אורטופדית ספורט זוג37</v>
      </c>
      <c r="C5881" s="18" t="str">
        <f aca="false">'CEMIUP0.9 Raw'!C1249</f>
        <v>377  רפ.אורטופדית ספורט זוג37</v>
      </c>
      <c r="D5881" s="19" t="n">
        <f aca="false">'CEMIUP0.9 Raw'!D1249</f>
        <v>1</v>
      </c>
      <c r="E5881" s="19" t="n">
        <f aca="false">'CEMIUP0.9 Raw'!E1249</f>
        <v>35.763</v>
      </c>
      <c r="F5881" s="19" t="n">
        <f aca="false">'CEMIUP0.9 Raw'!F1249</f>
        <v>0</v>
      </c>
      <c r="G5881" s="19" t="n">
        <f aca="false">'CEMIUP0.9 Raw'!G1249</f>
        <v>0</v>
      </c>
      <c r="H5881" s="18" t="str">
        <f aca="false">'CEMIUP0.9 Raw'!A1249</f>
        <v>BE (CEMI internal group)</v>
      </c>
    </row>
    <row r="5882" customFormat="false" ht="15" hidden="false" customHeight="false" outlineLevel="0" collapsed="false">
      <c r="A5882" s="18" t="n">
        <f aca="false">'CEMIUP0.9 Raw'!B1250</f>
        <v>4420007</v>
      </c>
      <c r="B5882" s="18" t="str">
        <f aca="false">'CEMIUP0.9 Raw'!C1250</f>
        <v>377   רפ.ורטופדית ספורט זוג38</v>
      </c>
      <c r="C5882" s="18" t="str">
        <f aca="false">'CEMIUP0.9 Raw'!C1250</f>
        <v>377   רפ.ורטופדית ספורט זוג38</v>
      </c>
      <c r="D5882" s="19" t="n">
        <f aca="false">'CEMIUP0.9 Raw'!D1250</f>
        <v>-1</v>
      </c>
      <c r="E5882" s="19" t="n">
        <f aca="false">'CEMIUP0.9 Raw'!E1250</f>
        <v>-43.043</v>
      </c>
      <c r="F5882" s="19" t="n">
        <f aca="false">'CEMIUP0.9 Raw'!F1250</f>
        <v>0</v>
      </c>
      <c r="G5882" s="19" t="n">
        <f aca="false">'CEMIUP0.9 Raw'!G1250</f>
        <v>0</v>
      </c>
      <c r="H5882" s="18" t="str">
        <f aca="false">'CEMIUP0.9 Raw'!A1250</f>
        <v>BE (CEMI internal group)</v>
      </c>
    </row>
    <row r="5883" customFormat="false" ht="15" hidden="false" customHeight="false" outlineLevel="0" collapsed="false">
      <c r="A5883" s="18" t="n">
        <f aca="false">'CEMIUP0.9 Raw'!B1251</f>
        <v>4420008</v>
      </c>
      <c r="B5883" s="18" t="str">
        <f aca="false">'CEMIUP0.9 Raw'!C1251</f>
        <v>377  רפ.אורטופדית ספורט זוג39</v>
      </c>
      <c r="C5883" s="18" t="str">
        <f aca="false">'CEMIUP0.9 Raw'!C1251</f>
        <v>377  רפ.אורטופדית ספורט זוג39</v>
      </c>
      <c r="D5883" s="19" t="n">
        <f aca="false">'CEMIUP0.9 Raw'!D1251</f>
        <v>4</v>
      </c>
      <c r="E5883" s="19" t="n">
        <f aca="false">'CEMIUP0.9 Raw'!E1251</f>
        <v>143.143</v>
      </c>
      <c r="F5883" s="19" t="n">
        <f aca="false">'CEMIUP0.9 Raw'!F1251</f>
        <v>0</v>
      </c>
      <c r="G5883" s="19" t="n">
        <f aca="false">'CEMIUP0.9 Raw'!G1251</f>
        <v>0</v>
      </c>
      <c r="H5883" s="18" t="str">
        <f aca="false">'CEMIUP0.9 Raw'!A1251</f>
        <v>BE (CEMI internal group)</v>
      </c>
    </row>
    <row r="5884" customFormat="false" ht="15" hidden="false" customHeight="false" outlineLevel="0" collapsed="false">
      <c r="A5884" s="18" t="n">
        <f aca="false">'CEMIUP0.9 Raw'!B1252</f>
        <v>4420010</v>
      </c>
      <c r="B5884" s="18" t="str">
        <f aca="false">'CEMIUP0.9 Raw'!C1252</f>
        <v>377  רפידה אורטופ.ספורט זוג41</v>
      </c>
      <c r="C5884" s="18" t="str">
        <f aca="false">'CEMIUP0.9 Raw'!C1252</f>
        <v>377  רפידה אורטופ.ספורט זוג41</v>
      </c>
      <c r="D5884" s="19" t="n">
        <f aca="false">'CEMIUP0.9 Raw'!D1252</f>
        <v>2</v>
      </c>
      <c r="E5884" s="19" t="n">
        <f aca="false">'CEMIUP0.9 Raw'!E1252</f>
        <v>71.617</v>
      </c>
      <c r="F5884" s="19" t="n">
        <f aca="false">'CEMIUP0.9 Raw'!F1252</f>
        <v>0</v>
      </c>
      <c r="G5884" s="19" t="n">
        <f aca="false">'CEMIUP0.9 Raw'!G1252</f>
        <v>0</v>
      </c>
      <c r="H5884" s="18" t="str">
        <f aca="false">'CEMIUP0.9 Raw'!A1252</f>
        <v>BE (CEMI internal group)</v>
      </c>
    </row>
    <row r="5885" customFormat="false" ht="15" hidden="false" customHeight="false" outlineLevel="0" collapsed="false">
      <c r="A5885" s="18" t="n">
        <f aca="false">'CEMIUP0.9 Raw'!B1253</f>
        <v>4420011</v>
      </c>
      <c r="B5885" s="18" t="str">
        <f aca="false">'CEMIUP0.9 Raw'!C1253</f>
        <v>377 רפידה אורטופ.ספורט זוג42</v>
      </c>
      <c r="C5885" s="18" t="str">
        <f aca="false">'CEMIUP0.9 Raw'!C1253</f>
        <v>377 רפידה אורטופ.ספורט זוג42</v>
      </c>
      <c r="D5885" s="19" t="n">
        <f aca="false">'CEMIUP0.9 Raw'!D1253</f>
        <v>2</v>
      </c>
      <c r="E5885" s="19" t="n">
        <f aca="false">'CEMIUP0.9 Raw'!E1253</f>
        <v>71.617</v>
      </c>
      <c r="F5885" s="19" t="n">
        <f aca="false">'CEMIUP0.9 Raw'!F1253</f>
        <v>0</v>
      </c>
      <c r="G5885" s="19" t="n">
        <f aca="false">'CEMIUP0.9 Raw'!G1253</f>
        <v>0</v>
      </c>
      <c r="H5885" s="18" t="str">
        <f aca="false">'CEMIUP0.9 Raw'!A1253</f>
        <v>BE (CEMI internal group)</v>
      </c>
    </row>
    <row r="5886" customFormat="false" ht="15" hidden="false" customHeight="false" outlineLevel="0" collapsed="false">
      <c r="A5886" s="18" t="n">
        <f aca="false">'CEMIUP0.9 Raw'!B1254</f>
        <v>4420012</v>
      </c>
      <c r="B5886" s="18" t="str">
        <f aca="false">'CEMIUP0.9 Raw'!C1254</f>
        <v>377   רפידה אורט.ספורט זוג43</v>
      </c>
      <c r="C5886" s="18" t="str">
        <f aca="false">'CEMIUP0.9 Raw'!C1254</f>
        <v>377   רפידה אורט.ספורט זוג43</v>
      </c>
      <c r="D5886" s="19" t="n">
        <f aca="false">'CEMIUP0.9 Raw'!D1254</f>
        <v>-1</v>
      </c>
      <c r="E5886" s="19" t="n">
        <f aca="false">'CEMIUP0.9 Raw'!E1254</f>
        <v>-50.232</v>
      </c>
      <c r="F5886" s="19" t="n">
        <f aca="false">'CEMIUP0.9 Raw'!F1254</f>
        <v>0</v>
      </c>
      <c r="G5886" s="19" t="n">
        <f aca="false">'CEMIUP0.9 Raw'!G1254</f>
        <v>0</v>
      </c>
      <c r="H5886" s="18" t="str">
        <f aca="false">'CEMIUP0.9 Raw'!A1254</f>
        <v>BE (CEMI internal group)</v>
      </c>
    </row>
    <row r="5887" customFormat="false" ht="15" hidden="false" customHeight="false" outlineLevel="0" collapsed="false">
      <c r="A5887" s="18" t="n">
        <f aca="false">'CEMIUP0.9 Raw'!B1255</f>
        <v>4420013</v>
      </c>
      <c r="B5887" s="18" t="str">
        <f aca="false">'CEMIUP0.9 Raw'!C1255</f>
        <v>377  רפידה אורט.ספורט זוג44</v>
      </c>
      <c r="C5887" s="18" t="str">
        <f aca="false">'CEMIUP0.9 Raw'!C1255</f>
        <v>377  רפידה אורט.ספורט זוג44</v>
      </c>
      <c r="D5887" s="19" t="n">
        <f aca="false">'CEMIUP0.9 Raw'!D1255</f>
        <v>1</v>
      </c>
      <c r="E5887" s="19" t="n">
        <f aca="false">'CEMIUP0.9 Raw'!E1255</f>
        <v>35.763</v>
      </c>
      <c r="F5887" s="19" t="n">
        <f aca="false">'CEMIUP0.9 Raw'!F1255</f>
        <v>0</v>
      </c>
      <c r="G5887" s="19" t="n">
        <f aca="false">'CEMIUP0.9 Raw'!G1255</f>
        <v>0</v>
      </c>
      <c r="H5887" s="18" t="str">
        <f aca="false">'CEMIUP0.9 Raw'!A1255</f>
        <v>BE (CEMI internal group)</v>
      </c>
    </row>
    <row r="5888" customFormat="false" ht="15" hidden="false" customHeight="false" outlineLevel="0" collapsed="false">
      <c r="A5888" s="18" t="n">
        <f aca="false">'CEMIUP0.9 Raw'!B1257</f>
        <v>4420018</v>
      </c>
      <c r="B5888" s="18" t="str">
        <f aca="false">'CEMIUP0.9 Raw'!C1257</f>
        <v>T90 רצועת טניס אלבו עם פלסטיק</v>
      </c>
      <c r="C5888" s="18" t="str">
        <f aca="false">'CEMIUP0.9 Raw'!C1257</f>
        <v>T90 רצועת טניס אלבו עם פלסטיק</v>
      </c>
      <c r="D5888" s="19" t="n">
        <f aca="false">'CEMIUP0.9 Raw'!D1257</f>
        <v>1</v>
      </c>
      <c r="E5888" s="19" t="n">
        <f aca="false">'CEMIUP0.9 Raw'!E1257</f>
        <v>96.369</v>
      </c>
      <c r="F5888" s="19" t="n">
        <f aca="false">'CEMIUP0.9 Raw'!F1257</f>
        <v>0</v>
      </c>
      <c r="G5888" s="19" t="n">
        <f aca="false">'CEMIUP0.9 Raw'!G1257</f>
        <v>0</v>
      </c>
      <c r="H5888" s="18" t="str">
        <f aca="false">'CEMIUP0.9 Raw'!A1257</f>
        <v>BE (CEMI internal group)</v>
      </c>
    </row>
    <row r="5889" customFormat="false" ht="15" hidden="false" customHeight="false" outlineLevel="0" collapsed="false">
      <c r="A5889" s="18" t="n">
        <f aca="false">'CEMIUP0.9 Raw'!B1258</f>
        <v>4420019</v>
      </c>
      <c r="B5889" s="18" t="str">
        <f aca="false">'CEMIUP0.9 Raw'!C1258</f>
        <v>T91  L-XL רצועת טניס אלבו</v>
      </c>
      <c r="C5889" s="18" t="str">
        <f aca="false">'CEMIUP0.9 Raw'!C1258</f>
        <v>T91  L-XL רצועת טניס אלבו</v>
      </c>
      <c r="D5889" s="19" t="n">
        <f aca="false">'CEMIUP0.9 Raw'!D1258</f>
        <v>-3</v>
      </c>
      <c r="E5889" s="19" t="n">
        <f aca="false">'CEMIUP0.9 Raw'!E1258</f>
        <v>-144.417</v>
      </c>
      <c r="F5889" s="19" t="n">
        <f aca="false">'CEMIUP0.9 Raw'!F1258</f>
        <v>0</v>
      </c>
      <c r="G5889" s="19" t="n">
        <f aca="false">'CEMIUP0.9 Raw'!G1258</f>
        <v>0</v>
      </c>
      <c r="H5889" s="18" t="str">
        <f aca="false">'CEMIUP0.9 Raw'!A1258</f>
        <v>BE (CEMI internal group)</v>
      </c>
    </row>
    <row r="5890" customFormat="false" ht="15" hidden="false" customHeight="false" outlineLevel="0" collapsed="false">
      <c r="A5890" s="18" t="n">
        <f aca="false">'CEMIUP0.9 Raw'!B1259</f>
        <v>4420020</v>
      </c>
      <c r="B5890" s="18" t="str">
        <f aca="false">'CEMIUP0.9 Raw'!C1259</f>
        <v>T91 S-M רצועת טניס אלבו</v>
      </c>
      <c r="C5890" s="18" t="str">
        <f aca="false">'CEMIUP0.9 Raw'!C1259</f>
        <v>T91 S-M רצועת טניס אלבו</v>
      </c>
      <c r="D5890" s="19" t="n">
        <f aca="false">'CEMIUP0.9 Raw'!D1259</f>
        <v>-3</v>
      </c>
      <c r="E5890" s="19" t="n">
        <f aca="false">'CEMIUP0.9 Raw'!E1259</f>
        <v>-144.417</v>
      </c>
      <c r="F5890" s="19" t="n">
        <f aca="false">'CEMIUP0.9 Raw'!F1259</f>
        <v>0</v>
      </c>
      <c r="G5890" s="19" t="n">
        <f aca="false">'CEMIUP0.9 Raw'!G1259</f>
        <v>0</v>
      </c>
      <c r="H5890" s="18" t="str">
        <f aca="false">'CEMIUP0.9 Raw'!A1259</f>
        <v>BE (CEMI internal group)</v>
      </c>
    </row>
    <row r="5891" customFormat="false" ht="15" hidden="false" customHeight="false" outlineLevel="0" collapsed="false">
      <c r="A5891" s="18" t="n">
        <f aca="false">'CEMIUP0.9 Raw'!B1293</f>
        <v>4403022</v>
      </c>
      <c r="B5891" s="18" t="str">
        <f aca="false">'CEMIUP0.9 Raw'!C1293</f>
        <v>394G גרב.כסף לסכרתים אפור43-46</v>
      </c>
      <c r="C5891" s="18" t="str">
        <f aca="false">'CEMIUP0.9 Raw'!C1293</f>
        <v>394G גרב.כסף לסכרתים אפור43-46</v>
      </c>
      <c r="D5891" s="19" t="n">
        <f aca="false">'CEMIUP0.9 Raw'!D1293</f>
        <v>58</v>
      </c>
      <c r="E5891" s="19" t="n">
        <f aca="false">'CEMIUP0.9 Raw'!E1293</f>
        <v>1180.816</v>
      </c>
      <c r="F5891" s="19" t="n">
        <f aca="false">'CEMIUP0.9 Raw'!F1293</f>
        <v>0</v>
      </c>
      <c r="G5891" s="19" t="n">
        <f aca="false">'CEMIUP0.9 Raw'!G1293</f>
        <v>0</v>
      </c>
      <c r="H5891" s="18" t="str">
        <f aca="false">'CEMIUP0.9 Raw'!A1293</f>
        <v>Super-Pharm Israel (CEMI internal group)</v>
      </c>
    </row>
    <row r="5892" customFormat="false" ht="15" hidden="false" customHeight="false" outlineLevel="0" collapsed="false">
      <c r="A5892" s="18" t="n">
        <f aca="false">'CEMIUP0.9 Raw'!B1304</f>
        <v>4404000</v>
      </c>
      <c r="B5892" s="18" t="str">
        <f aca="false">'CEMIUP0.9 Raw'!C1304</f>
        <v>FC330Z-תתדאו'אנטי בקט.לנעל120</v>
      </c>
      <c r="C5892" s="18" t="str">
        <f aca="false">'CEMIUP0.9 Raw'!C1304</f>
        <v>FC330Z-תתדאו'אנטי בקט.לנעל120</v>
      </c>
      <c r="D5892" s="19" t="n">
        <f aca="false">'CEMIUP0.9 Raw'!D1304</f>
        <v>-2</v>
      </c>
      <c r="E5892" s="19" t="n">
        <f aca="false">'CEMIUP0.9 Raw'!E1304</f>
        <v>-42.861</v>
      </c>
      <c r="F5892" s="19" t="n">
        <f aca="false">'CEMIUP0.9 Raw'!F1304</f>
        <v>0</v>
      </c>
      <c r="G5892" s="19" t="n">
        <f aca="false">'CEMIUP0.9 Raw'!G1304</f>
        <v>0</v>
      </c>
      <c r="H5892" s="18" t="str">
        <f aca="false">'CEMIUP0.9 Raw'!A1304</f>
        <v>Super-Pharm Israel (CEMI internal group)</v>
      </c>
    </row>
    <row r="5893" customFormat="false" ht="15" hidden="false" customHeight="false" outlineLevel="0" collapsed="false">
      <c r="A5893" s="18" t="n">
        <f aca="false">'CEMIUP0.9 Raw'!B1305</f>
        <v>4408005</v>
      </c>
      <c r="B5893" s="18" t="str">
        <f aca="false">'CEMIUP0.9 Raw'!C1305</f>
        <v>06 XXL ""ח.גב קלה ""מיקדו</v>
      </c>
      <c r="C5893" s="18" t="str">
        <f aca="false">'CEMIUP0.9 Raw'!C1305</f>
        <v>06 XXL ""ח.גב קלה ""מיקדו</v>
      </c>
      <c r="D5893" s="19" t="n">
        <f aca="false">'CEMIUP0.9 Raw'!D1305</f>
        <v>-1</v>
      </c>
      <c r="E5893" s="19" t="n">
        <f aca="false">'CEMIUP0.9 Raw'!E1305</f>
        <v>-134.134</v>
      </c>
      <c r="F5893" s="19" t="n">
        <f aca="false">'CEMIUP0.9 Raw'!F1305</f>
        <v>0</v>
      </c>
      <c r="G5893" s="19" t="n">
        <f aca="false">'CEMIUP0.9 Raw'!G1305</f>
        <v>0</v>
      </c>
      <c r="H5893" s="18" t="str">
        <f aca="false">'CEMIUP0.9 Raw'!A1305</f>
        <v>Super-Pharm Israel (CEMI internal group)</v>
      </c>
    </row>
    <row r="5894" customFormat="false" ht="15" hidden="false" customHeight="false" outlineLevel="0" collapsed="false">
      <c r="A5894" s="18" t="n">
        <f aca="false">'CEMIUP0.9 Raw'!B1310</f>
        <v>4408013</v>
      </c>
      <c r="B5894" s="18" t="str">
        <f aca="false">'CEMIUP0.9 Raw'!C1310</f>
        <v>079 XXLח.גב סג.כפולה שחור+אדום</v>
      </c>
      <c r="C5894" s="18" t="str">
        <f aca="false">'CEMIUP0.9 Raw'!C1310</f>
        <v>079 XXLח.גב סג.כפולה שחור+אדום</v>
      </c>
      <c r="D5894" s="19" t="n">
        <f aca="false">'CEMIUP0.9 Raw'!D1310</f>
        <v>3</v>
      </c>
      <c r="E5894" s="19" t="n">
        <f aca="false">'CEMIUP0.9 Raw'!E1310</f>
        <v>251.524</v>
      </c>
      <c r="F5894" s="19" t="n">
        <f aca="false">'CEMIUP0.9 Raw'!F1310</f>
        <v>0</v>
      </c>
      <c r="G5894" s="19" t="n">
        <f aca="false">'CEMIUP0.9 Raw'!G1310</f>
        <v>0</v>
      </c>
      <c r="H5894" s="18" t="str">
        <f aca="false">'CEMIUP0.9 Raw'!A1310</f>
        <v>Super-Pharm Israel (CEMI internal group)</v>
      </c>
    </row>
    <row r="5895" customFormat="false" ht="15" hidden="false" customHeight="false" outlineLevel="0" collapsed="false">
      <c r="A5895" s="18" t="n">
        <f aca="false">'CEMIUP0.9 Raw'!B1316</f>
        <v>4408030</v>
      </c>
      <c r="B5895" s="18" t="str">
        <f aca="false">'CEMIUP0.9 Raw'!C1316</f>
        <v>10 XXL""חגורת גב ""לומבו</v>
      </c>
      <c r="C5895" s="18" t="str">
        <f aca="false">'CEMIUP0.9 Raw'!C1316</f>
        <v>10 XXL""חגורת גב ""לומבו</v>
      </c>
      <c r="D5895" s="19" t="n">
        <f aca="false">'CEMIUP0.9 Raw'!D1316</f>
        <v>4</v>
      </c>
      <c r="E5895" s="19" t="n">
        <f aca="false">'CEMIUP0.9 Raw'!E1316</f>
        <v>477.022</v>
      </c>
      <c r="F5895" s="19" t="n">
        <f aca="false">'CEMIUP0.9 Raw'!F1316</f>
        <v>0</v>
      </c>
      <c r="G5895" s="19" t="n">
        <f aca="false">'CEMIUP0.9 Raw'!G1316</f>
        <v>0</v>
      </c>
      <c r="H5895" s="18" t="str">
        <f aca="false">'CEMIUP0.9 Raw'!A1316</f>
        <v>Super-Pharm Israel (CEMI internal group)</v>
      </c>
    </row>
    <row r="5896" customFormat="false" ht="15" hidden="false" customHeight="false" outlineLevel="0" collapsed="false">
      <c r="A5896" s="18" t="n">
        <f aca="false">'CEMIUP0.9 Raw'!B1322</f>
        <v>4408038</v>
      </c>
      <c r="B5896" s="18" t="str">
        <f aca="false">'CEMIUP0.9 Raw'!C1322</f>
        <v>12 M ח.גב מגנטית+מוטות תמיכה</v>
      </c>
      <c r="C5896" s="18" t="str">
        <f aca="false">'CEMIUP0.9 Raw'!C1322</f>
        <v>12 M ח.גב מגנטית+מוטות תמיכה</v>
      </c>
      <c r="D5896" s="19" t="n">
        <f aca="false">'CEMIUP0.9 Raw'!D1322</f>
        <v>-1</v>
      </c>
      <c r="E5896" s="19" t="n">
        <f aca="false">'CEMIUP0.9 Raw'!E1322</f>
        <v>-162.526</v>
      </c>
      <c r="F5896" s="19" t="n">
        <f aca="false">'CEMIUP0.9 Raw'!F1322</f>
        <v>0</v>
      </c>
      <c r="G5896" s="19" t="n">
        <f aca="false">'CEMIUP0.9 Raw'!G1322</f>
        <v>0</v>
      </c>
      <c r="H5896" s="18" t="str">
        <f aca="false">'CEMIUP0.9 Raw'!A1322</f>
        <v>Super-Pharm Israel (CEMI internal group)</v>
      </c>
    </row>
    <row r="5897" customFormat="false" ht="15" hidden="false" customHeight="false" outlineLevel="0" collapsed="false">
      <c r="A5897" s="18" t="n">
        <f aca="false">'CEMIUP0.9 Raw'!B1334</f>
        <v>4408059</v>
      </c>
      <c r="B5897" s="18" t="str">
        <f aca="false">'CEMIUP0.9 Raw'!C1334</f>
        <v>25 L חבק יד אגודלי</v>
      </c>
      <c r="C5897" s="18" t="str">
        <f aca="false">'CEMIUP0.9 Raw'!C1334</f>
        <v>25 L חבק יד אגודלי</v>
      </c>
      <c r="D5897" s="19" t="n">
        <f aca="false">'CEMIUP0.9 Raw'!D1334</f>
        <v>-5</v>
      </c>
      <c r="E5897" s="19" t="n">
        <f aca="false">'CEMIUP0.9 Raw'!E1334</f>
        <v>-289.471</v>
      </c>
      <c r="F5897" s="19" t="n">
        <f aca="false">'CEMIUP0.9 Raw'!F1334</f>
        <v>0</v>
      </c>
      <c r="G5897" s="19" t="n">
        <f aca="false">'CEMIUP0.9 Raw'!G1334</f>
        <v>0</v>
      </c>
      <c r="H5897" s="18" t="str">
        <f aca="false">'CEMIUP0.9 Raw'!A1334</f>
        <v>Super-Pharm Israel (CEMI internal group)</v>
      </c>
    </row>
    <row r="5898" customFormat="false" ht="15" hidden="false" customHeight="false" outlineLevel="0" collapsed="false">
      <c r="A5898" s="18" t="n">
        <f aca="false">'CEMIUP0.9 Raw'!B1337</f>
        <v>4408069</v>
      </c>
      <c r="B5898" s="18" t="str">
        <f aca="false">'CEMIUP0.9 Raw'!C1337</f>
        <v>38 .חבישת""הלוקס ולגוס""לאחר נית</v>
      </c>
      <c r="C5898" s="18" t="str">
        <f aca="false">'CEMIUP0.9 Raw'!C1337</f>
        <v>38 .חבישת""הלוקס ולגוס""לאחר נית</v>
      </c>
      <c r="D5898" s="19" t="n">
        <f aca="false">'CEMIUP0.9 Raw'!D1337</f>
        <v>-2</v>
      </c>
      <c r="E5898" s="19" t="n">
        <f aca="false">'CEMIUP0.9 Raw'!E1337</f>
        <v>-124.033</v>
      </c>
      <c r="F5898" s="19" t="n">
        <f aca="false">'CEMIUP0.9 Raw'!F1337</f>
        <v>0</v>
      </c>
      <c r="G5898" s="19" t="n">
        <f aca="false">'CEMIUP0.9 Raw'!G1337</f>
        <v>0</v>
      </c>
      <c r="H5898" s="18" t="str">
        <f aca="false">'CEMIUP0.9 Raw'!A1337</f>
        <v>Super-Pharm Israel (CEMI internal group)</v>
      </c>
    </row>
    <row r="5899" customFormat="false" ht="15" hidden="false" customHeight="false" outlineLevel="0" collapsed="false">
      <c r="A5899" s="18" t="n">
        <f aca="false">'CEMIUP0.9 Raw'!B1340</f>
        <v>4408077</v>
      </c>
      <c r="B5899" s="18" t="str">
        <f aca="false">'CEMIUP0.9 Raw'!C1340</f>
        <v>59L M חגורת שבר לצד שמאל</v>
      </c>
      <c r="C5899" s="18" t="str">
        <f aca="false">'CEMIUP0.9 Raw'!C1340</f>
        <v>59L M חגורת שבר לצד שמאל</v>
      </c>
      <c r="D5899" s="19" t="n">
        <f aca="false">'CEMIUP0.9 Raw'!D1340</f>
        <v>-1</v>
      </c>
      <c r="E5899" s="19" t="n">
        <f aca="false">'CEMIUP0.9 Raw'!E1340</f>
        <v>-151.151</v>
      </c>
      <c r="F5899" s="19" t="n">
        <f aca="false">'CEMIUP0.9 Raw'!F1340</f>
        <v>0</v>
      </c>
      <c r="G5899" s="19" t="n">
        <f aca="false">'CEMIUP0.9 Raw'!G1340</f>
        <v>0</v>
      </c>
      <c r="H5899" s="18" t="str">
        <f aca="false">'CEMIUP0.9 Raw'!A1340</f>
        <v>Super-Pharm Israel (CEMI internal group)</v>
      </c>
    </row>
    <row r="5900" customFormat="false" ht="15" hidden="false" customHeight="false" outlineLevel="0" collapsed="false">
      <c r="A5900" s="18" t="n">
        <f aca="false">'CEMIUP0.9 Raw'!B1341</f>
        <v>4408080</v>
      </c>
      <c r="B5900" s="18" t="str">
        <f aca="false">'CEMIUP0.9 Raw'!C1341</f>
        <v>59R L חגורת שבר לצד ימין</v>
      </c>
      <c r="C5900" s="18" t="str">
        <f aca="false">'CEMIUP0.9 Raw'!C1341</f>
        <v>59R L חגורת שבר לצד ימין</v>
      </c>
      <c r="D5900" s="19" t="n">
        <f aca="false">'CEMIUP0.9 Raw'!D1341</f>
        <v>1</v>
      </c>
      <c r="E5900" s="19" t="n">
        <f aca="false">'CEMIUP0.9 Raw'!E1341</f>
        <v>151.151</v>
      </c>
      <c r="F5900" s="19" t="n">
        <f aca="false">'CEMIUP0.9 Raw'!F1341</f>
        <v>0</v>
      </c>
      <c r="G5900" s="19" t="n">
        <f aca="false">'CEMIUP0.9 Raw'!G1341</f>
        <v>0</v>
      </c>
      <c r="H5900" s="18" t="str">
        <f aca="false">'CEMIUP0.9 Raw'!A1341</f>
        <v>Super-Pharm Israel (CEMI internal group)</v>
      </c>
    </row>
    <row r="5901" customFormat="false" ht="15" hidden="false" customHeight="false" outlineLevel="0" collapsed="false">
      <c r="A5901" s="18" t="n">
        <f aca="false">'CEMIUP0.9 Raw'!B1342</f>
        <v>4408081</v>
      </c>
      <c r="B5901" s="18" t="str">
        <f aca="false">'CEMIUP0.9 Raw'!C1342</f>
        <v>59R M חגורת שבר לצד ימין</v>
      </c>
      <c r="C5901" s="18" t="str">
        <f aca="false">'CEMIUP0.9 Raw'!C1342</f>
        <v>59R M חגורת שבר לצד ימין</v>
      </c>
      <c r="D5901" s="19" t="n">
        <f aca="false">'CEMIUP0.9 Raw'!D1342</f>
        <v>-1</v>
      </c>
      <c r="E5901" s="19" t="n">
        <f aca="false">'CEMIUP0.9 Raw'!E1342</f>
        <v>-151.151</v>
      </c>
      <c r="F5901" s="19" t="n">
        <f aca="false">'CEMIUP0.9 Raw'!F1342</f>
        <v>0</v>
      </c>
      <c r="G5901" s="19" t="n">
        <f aca="false">'CEMIUP0.9 Raw'!G1342</f>
        <v>0</v>
      </c>
      <c r="H5901" s="18" t="str">
        <f aca="false">'CEMIUP0.9 Raw'!A1342</f>
        <v>Super-Pharm Israel (CEMI internal group)</v>
      </c>
    </row>
    <row r="5902" customFormat="false" ht="15" hidden="false" customHeight="false" outlineLevel="0" collapsed="false">
      <c r="A5902" s="18" t="n">
        <f aca="false">'CEMIUP0.9 Raw'!B1343</f>
        <v>4408082</v>
      </c>
      <c r="B5902" s="18" t="str">
        <f aca="false">'CEMIUP0.9 Raw'!C1343</f>
        <v>59R XL חגורת שבר לצד ימין</v>
      </c>
      <c r="C5902" s="18" t="str">
        <f aca="false">'CEMIUP0.9 Raw'!C1343</f>
        <v>59R XL חגורת שבר לצד ימין</v>
      </c>
      <c r="D5902" s="19" t="n">
        <f aca="false">'CEMIUP0.9 Raw'!D1343</f>
        <v>-2</v>
      </c>
      <c r="E5902" s="19" t="n">
        <f aca="false">'CEMIUP0.9 Raw'!E1343</f>
        <v>-302.302</v>
      </c>
      <c r="F5902" s="19" t="n">
        <f aca="false">'CEMIUP0.9 Raw'!F1343</f>
        <v>0</v>
      </c>
      <c r="G5902" s="19" t="n">
        <f aca="false">'CEMIUP0.9 Raw'!G1343</f>
        <v>0</v>
      </c>
      <c r="H5902" s="18" t="str">
        <f aca="false">'CEMIUP0.9 Raw'!A1343</f>
        <v>Super-Pharm Israel (CEMI internal group)</v>
      </c>
    </row>
    <row r="5903" customFormat="false" ht="15" hidden="false" customHeight="false" outlineLevel="0" collapsed="false">
      <c r="A5903" s="18" t="n">
        <f aca="false">'CEMIUP0.9 Raw'!B1344</f>
        <v>4408085</v>
      </c>
      <c r="B5903" s="18" t="str">
        <f aca="false">'CEMIUP0.9 Raw'!C1344</f>
        <v>922M.מחבק יד לטניס כרית סילי</v>
      </c>
      <c r="C5903" s="18" t="str">
        <f aca="false">'CEMIUP0.9 Raw'!C1344</f>
        <v>922M.מחבק יד לטניס כרית סילי</v>
      </c>
      <c r="D5903" s="19" t="n">
        <f aca="false">'CEMIUP0.9 Raw'!D1344</f>
        <v>-2</v>
      </c>
      <c r="E5903" s="19" t="n">
        <f aca="false">'CEMIUP0.9 Raw'!E1344</f>
        <v>-238.511</v>
      </c>
      <c r="F5903" s="19" t="n">
        <f aca="false">'CEMIUP0.9 Raw'!F1344</f>
        <v>0</v>
      </c>
      <c r="G5903" s="19" t="n">
        <f aca="false">'CEMIUP0.9 Raw'!G1344</f>
        <v>0</v>
      </c>
      <c r="H5903" s="18" t="str">
        <f aca="false">'CEMIUP0.9 Raw'!A1344</f>
        <v>Super-Pharm Israel (CEMI internal group)</v>
      </c>
    </row>
    <row r="5904" customFormat="false" ht="15" hidden="false" customHeight="false" outlineLevel="0" collapsed="false">
      <c r="A5904" s="18" t="n">
        <f aca="false">'CEMIUP0.9 Raw'!B1361</f>
        <v>4408147</v>
      </c>
      <c r="B5904" s="18" t="str">
        <f aca="false">'CEMIUP0.9 Raw'!C1361</f>
        <v>11PS Lחגורה למנותחי בטן</v>
      </c>
      <c r="C5904" s="18" t="str">
        <f aca="false">'CEMIUP0.9 Raw'!C1361</f>
        <v>11PS Lחגורה למנותחי בטן</v>
      </c>
      <c r="D5904" s="19" t="n">
        <f aca="false">'CEMIUP0.9 Raw'!D1361</f>
        <v>3</v>
      </c>
      <c r="E5904" s="19" t="n">
        <f aca="false">'CEMIUP0.9 Raw'!E1361</f>
        <v>286.832</v>
      </c>
      <c r="F5904" s="19" t="n">
        <f aca="false">'CEMIUP0.9 Raw'!F1361</f>
        <v>0</v>
      </c>
      <c r="G5904" s="19" t="n">
        <f aca="false">'CEMIUP0.9 Raw'!G1361</f>
        <v>0</v>
      </c>
      <c r="H5904" s="18" t="str">
        <f aca="false">'CEMIUP0.9 Raw'!A1361</f>
        <v>Super-Pharm Israel (CEMI internal group)</v>
      </c>
    </row>
    <row r="5905" customFormat="false" ht="15" hidden="false" customHeight="false" outlineLevel="0" collapsed="false">
      <c r="A5905" s="18" t="n">
        <f aca="false">'CEMIUP0.9 Raw'!B1362</f>
        <v>4408148</v>
      </c>
      <c r="B5905" s="18" t="str">
        <f aca="false">'CEMIUP0.9 Raw'!C1362</f>
        <v>11PS XLחגורה למנותחי בטן</v>
      </c>
      <c r="C5905" s="18" t="str">
        <f aca="false">'CEMIUP0.9 Raw'!C1362</f>
        <v>11PS XLחגורה למנותחי בטן</v>
      </c>
      <c r="D5905" s="19" t="n">
        <f aca="false">'CEMIUP0.9 Raw'!D1362</f>
        <v>3</v>
      </c>
      <c r="E5905" s="19" t="n">
        <f aca="false">'CEMIUP0.9 Raw'!E1362</f>
        <v>286.832</v>
      </c>
      <c r="F5905" s="19" t="n">
        <f aca="false">'CEMIUP0.9 Raw'!F1362</f>
        <v>0</v>
      </c>
      <c r="G5905" s="19" t="n">
        <f aca="false">'CEMIUP0.9 Raw'!G1362</f>
        <v>-6.32210526315789</v>
      </c>
      <c r="H5905" s="18" t="str">
        <f aca="false">'CEMIUP0.9 Raw'!A1362</f>
        <v>Super-Pharm Israel (CEMI internal group)</v>
      </c>
    </row>
    <row r="5906" customFormat="false" ht="15" hidden="false" customHeight="false" outlineLevel="0" collapsed="false">
      <c r="A5906" s="18" t="n">
        <f aca="false">'CEMIUP0.9 Raw'!B1380</f>
        <v>4408224</v>
      </c>
      <c r="B5906" s="18" t="str">
        <f aca="false">'CEMIUP0.9 Raw'!C1380</f>
        <v>S 11 אפורUGחגורת בטן</v>
      </c>
      <c r="C5906" s="18" t="str">
        <f aca="false">'CEMIUP0.9 Raw'!C1380</f>
        <v>S 11 אפורUGחגורת בטן</v>
      </c>
      <c r="D5906" s="19" t="n">
        <f aca="false">'CEMIUP0.9 Raw'!D1380</f>
        <v>15</v>
      </c>
      <c r="E5906" s="19" t="n">
        <f aca="false">'CEMIUP0.9 Raw'!E1380</f>
        <v>1101.555</v>
      </c>
      <c r="F5906" s="19" t="n">
        <f aca="false">'CEMIUP0.9 Raw'!F1380</f>
        <v>0</v>
      </c>
      <c r="G5906" s="19" t="n">
        <f aca="false">'CEMIUP0.9 Raw'!G1380</f>
        <v>29.7713684210526</v>
      </c>
      <c r="H5906" s="18" t="str">
        <f aca="false">'CEMIUP0.9 Raw'!A1380</f>
        <v>Super-Pharm Israel (CEMI internal group)</v>
      </c>
    </row>
    <row r="5907" customFormat="false" ht="15" hidden="false" customHeight="false" outlineLevel="0" collapsed="false">
      <c r="A5907" s="18" t="n">
        <f aca="false">'CEMIUP0.9 Raw'!B1381</f>
        <v>4408225</v>
      </c>
      <c r="B5907" s="18" t="str">
        <f aca="false">'CEMIUP0.9 Raw'!C1381</f>
        <v>M 11 אפורUG חגורת בטן</v>
      </c>
      <c r="C5907" s="18" t="str">
        <f aca="false">'CEMIUP0.9 Raw'!C1381</f>
        <v>M 11 אפורUG חגורת בטן</v>
      </c>
      <c r="D5907" s="19" t="n">
        <f aca="false">'CEMIUP0.9 Raw'!D1381</f>
        <v>34</v>
      </c>
      <c r="E5907" s="19" t="n">
        <f aca="false">'CEMIUP0.9 Raw'!E1381</f>
        <v>2484.846</v>
      </c>
      <c r="F5907" s="19" t="n">
        <f aca="false">'CEMIUP0.9 Raw'!F1381</f>
        <v>0</v>
      </c>
      <c r="G5907" s="19" t="n">
        <f aca="false">'CEMIUP0.9 Raw'!G1381</f>
        <v>78.3941052631579</v>
      </c>
      <c r="H5907" s="18" t="str">
        <f aca="false">'CEMIUP0.9 Raw'!A1381</f>
        <v>Super-Pharm Israel (CEMI internal group)</v>
      </c>
    </row>
    <row r="5908" customFormat="false" ht="15" hidden="false" customHeight="false" outlineLevel="0" collapsed="false">
      <c r="A5908" s="18" t="n">
        <f aca="false">'CEMIUP0.9 Raw'!B1384</f>
        <v>4408229</v>
      </c>
      <c r="B5908" s="18" t="str">
        <f aca="false">'CEMIUP0.9 Raw'!C1384</f>
        <v>XXL 11אפורUGחגורת בטן</v>
      </c>
      <c r="C5908" s="18" t="str">
        <f aca="false">'CEMIUP0.9 Raw'!C1384</f>
        <v>XXL 11אפורUGחגורת בטן</v>
      </c>
      <c r="D5908" s="19" t="n">
        <f aca="false">'CEMIUP0.9 Raw'!D1384</f>
        <v>8</v>
      </c>
      <c r="E5908" s="19" t="n">
        <f aca="false">'CEMIUP0.9 Raw'!E1384</f>
        <v>578.214</v>
      </c>
      <c r="F5908" s="19" t="n">
        <f aca="false">'CEMIUP0.9 Raw'!F1384</f>
        <v>0</v>
      </c>
      <c r="G5908" s="19" t="n">
        <f aca="false">'CEMIUP0.9 Raw'!G1384</f>
        <v>19.5410526315789</v>
      </c>
      <c r="H5908" s="18" t="str">
        <f aca="false">'CEMIUP0.9 Raw'!A1384</f>
        <v>Super-Pharm Israel (CEMI internal group)</v>
      </c>
    </row>
    <row r="5909" customFormat="false" ht="15" hidden="false" customHeight="false" outlineLevel="0" collapsed="false">
      <c r="A5909" s="18" t="n">
        <f aca="false">'CEMIUP0.9 Raw'!B1387</f>
        <v>4408232</v>
      </c>
      <c r="B5909" s="18" t="str">
        <f aca="false">'CEMIUP0.9 Raw'!C1387</f>
        <v>16 XXL חגורת הריון</v>
      </c>
      <c r="C5909" s="18" t="str">
        <f aca="false">'CEMIUP0.9 Raw'!C1387</f>
        <v>16 XXL חגורת הריון</v>
      </c>
      <c r="D5909" s="19" t="n">
        <f aca="false">'CEMIUP0.9 Raw'!D1387</f>
        <v>-1</v>
      </c>
      <c r="E5909" s="19" t="n">
        <f aca="false">'CEMIUP0.9 Raw'!E1387</f>
        <v>-92.001</v>
      </c>
      <c r="F5909" s="19" t="n">
        <f aca="false">'CEMIUP0.9 Raw'!F1387</f>
        <v>0</v>
      </c>
      <c r="G5909" s="19" t="n">
        <f aca="false">'CEMIUP0.9 Raw'!G1387</f>
        <v>0</v>
      </c>
      <c r="H5909" s="18" t="str">
        <f aca="false">'CEMIUP0.9 Raw'!A1387</f>
        <v>Super-Pharm Israel (CEMI internal group)</v>
      </c>
    </row>
    <row r="5910" customFormat="false" ht="15" hidden="false" customHeight="false" outlineLevel="0" collapsed="false">
      <c r="A5910" s="18" t="n">
        <f aca="false">'CEMIUP0.9 Raw'!B1388</f>
        <v>4408233</v>
      </c>
      <c r="B5910" s="18" t="str">
        <f aca="false">'CEMIUP0.9 Raw'!C1388</f>
        <v>078C L'חגורת גב+סגירה כפו בז</v>
      </c>
      <c r="C5910" s="18" t="str">
        <f aca="false">'CEMIUP0.9 Raw'!C1388</f>
        <v>078C L'חגורת גב+סגירה כפו בז</v>
      </c>
      <c r="D5910" s="19" t="n">
        <f aca="false">'CEMIUP0.9 Raw'!D1388</f>
        <v>-1</v>
      </c>
      <c r="E5910" s="19" t="n">
        <f aca="false">'CEMIUP0.9 Raw'!E1388</f>
        <v>-77.987</v>
      </c>
      <c r="F5910" s="19" t="n">
        <f aca="false">'CEMIUP0.9 Raw'!F1388</f>
        <v>0</v>
      </c>
      <c r="G5910" s="19" t="n">
        <f aca="false">'CEMIUP0.9 Raw'!G1388</f>
        <v>0</v>
      </c>
      <c r="H5910" s="18" t="str">
        <f aca="false">'CEMIUP0.9 Raw'!A1388</f>
        <v>Super-Pharm Israel (CEMI internal group)</v>
      </c>
    </row>
    <row r="5911" customFormat="false" ht="15" hidden="false" customHeight="false" outlineLevel="0" collapsed="false">
      <c r="A5911" s="18" t="n">
        <f aca="false">'CEMIUP0.9 Raw'!B1414</f>
        <v>4411002</v>
      </c>
      <c r="B5911" s="18" t="str">
        <f aca="false">'CEMIUP0.9 Raw'!C1414</f>
        <v>67 כרית שינה חלומי</v>
      </c>
      <c r="C5911" s="18" t="str">
        <f aca="false">'CEMIUP0.9 Raw'!C1414</f>
        <v>67 כרית שינה חלומי</v>
      </c>
      <c r="D5911" s="19" t="n">
        <f aca="false">'CEMIUP0.9 Raw'!D1414</f>
        <v>-3</v>
      </c>
      <c r="E5911" s="19" t="n">
        <f aca="false">'CEMIUP0.9 Raw'!E1414</f>
        <v>-357.812</v>
      </c>
      <c r="F5911" s="19" t="n">
        <f aca="false">'CEMIUP0.9 Raw'!F1414</f>
        <v>0</v>
      </c>
      <c r="G5911" s="19" t="n">
        <f aca="false">'CEMIUP0.9 Raw'!G1414</f>
        <v>0</v>
      </c>
      <c r="H5911" s="18" t="str">
        <f aca="false">'CEMIUP0.9 Raw'!A1414</f>
        <v>Super-Pharm Israel (CEMI internal group)</v>
      </c>
    </row>
    <row r="5912" customFormat="false" ht="15" hidden="false" customHeight="false" outlineLevel="0" collapsed="false">
      <c r="A5912" s="18" t="n">
        <f aca="false">'CEMIUP0.9 Raw'!B1436</f>
        <v>4413020</v>
      </c>
      <c r="B5912" s="18" t="str">
        <f aca="false">'CEMIUP0.9 Raw'!C1436</f>
        <v>303 41-42 מדרסי סיליק.לח.סכרת</v>
      </c>
      <c r="C5912" s="18" t="str">
        <f aca="false">'CEMIUP0.9 Raw'!C1436</f>
        <v>303 41-42 מדרסי סיליק.לח.סכרת</v>
      </c>
      <c r="D5912" s="19" t="n">
        <f aca="false">'CEMIUP0.9 Raw'!D1436</f>
        <v>-1</v>
      </c>
      <c r="E5912" s="19" t="n">
        <f aca="false">'CEMIUP0.9 Raw'!E1436</f>
        <v>-93.366</v>
      </c>
      <c r="F5912" s="19" t="n">
        <f aca="false">'CEMIUP0.9 Raw'!F1436</f>
        <v>0</v>
      </c>
      <c r="G5912" s="19" t="n">
        <f aca="false">'CEMIUP0.9 Raw'!G1436</f>
        <v>0</v>
      </c>
      <c r="H5912" s="18" t="str">
        <f aca="false">'CEMIUP0.9 Raw'!A1436</f>
        <v>Super-Pharm Israel (CEMI internal group)</v>
      </c>
    </row>
    <row r="5913" customFormat="false" ht="15" hidden="false" customHeight="false" outlineLevel="0" collapsed="false">
      <c r="A5913" s="18" t="n">
        <f aca="false">'CEMIUP0.9 Raw'!B1437</f>
        <v>4413022</v>
      </c>
      <c r="B5913" s="18" t="str">
        <f aca="false">'CEMIUP0.9 Raw'!C1437</f>
        <v>303 45-46 מדרסי סיליק.לח.סכרת</v>
      </c>
      <c r="C5913" s="18" t="str">
        <f aca="false">'CEMIUP0.9 Raw'!C1437</f>
        <v>303 45-46 מדרסי סיליק.לח.סכרת</v>
      </c>
      <c r="D5913" s="19" t="n">
        <f aca="false">'CEMIUP0.9 Raw'!D1437</f>
        <v>-5</v>
      </c>
      <c r="E5913" s="19" t="n">
        <f aca="false">'CEMIUP0.9 Raw'!E1437</f>
        <v>-466.83</v>
      </c>
      <c r="F5913" s="19" t="n">
        <f aca="false">'CEMIUP0.9 Raw'!F1437</f>
        <v>0</v>
      </c>
      <c r="G5913" s="19" t="n">
        <f aca="false">'CEMIUP0.9 Raw'!G1437</f>
        <v>0</v>
      </c>
      <c r="H5913" s="18" t="str">
        <f aca="false">'CEMIUP0.9 Raw'!A1437</f>
        <v>Super-Pharm Israel (CEMI internal group)</v>
      </c>
    </row>
    <row r="5914" customFormat="false" ht="15" hidden="false" customHeight="false" outlineLevel="0" collapsed="false">
      <c r="A5914" s="18" t="n">
        <f aca="false">'CEMIUP0.9 Raw'!B1456</f>
        <v>4413059</v>
      </c>
      <c r="B5914" s="18" t="str">
        <f aca="false">'CEMIUP0.9 Raw'!C1456</f>
        <v>364S Lמפר.אצבע סיליק. ליבל.זוג</v>
      </c>
      <c r="C5914" s="18" t="str">
        <f aca="false">'CEMIUP0.9 Raw'!C1456</f>
        <v>364S Lמפר.אצבע סיליק. ליבל.זוג</v>
      </c>
      <c r="D5914" s="19" t="n">
        <f aca="false">'CEMIUP0.9 Raw'!D1456</f>
        <v>-4</v>
      </c>
      <c r="E5914" s="19" t="n">
        <f aca="false">'CEMIUP0.9 Raw'!E1456</f>
        <v>-43.407</v>
      </c>
      <c r="F5914" s="19" t="n">
        <f aca="false">'CEMIUP0.9 Raw'!F1456</f>
        <v>0</v>
      </c>
      <c r="G5914" s="19" t="n">
        <f aca="false">'CEMIUP0.9 Raw'!G1456</f>
        <v>0</v>
      </c>
      <c r="H5914" s="18" t="str">
        <f aca="false">'CEMIUP0.9 Raw'!A1456</f>
        <v>Super-Pharm Israel (CEMI internal group)</v>
      </c>
    </row>
    <row r="5915" customFormat="false" ht="15" hidden="false" customHeight="false" outlineLevel="0" collapsed="false">
      <c r="A5915" s="18" t="n">
        <f aca="false">'CEMIUP0.9 Raw'!B1484</f>
        <v>4413106</v>
      </c>
      <c r="B5915" s="18" t="str">
        <f aca="false">'CEMIUP0.9 Raw'!C1484</f>
        <v>48 S מגן ברך מחמם</v>
      </c>
      <c r="C5915" s="18" t="str">
        <f aca="false">'CEMIUP0.9 Raw'!C1484</f>
        <v>48 S מגן ברך מחמם</v>
      </c>
      <c r="D5915" s="19" t="n">
        <f aca="false">'CEMIUP0.9 Raw'!D1484</f>
        <v>2</v>
      </c>
      <c r="E5915" s="19" t="n">
        <f aca="false">'CEMIUP0.9 Raw'!E1484</f>
        <v>88.452</v>
      </c>
      <c r="F5915" s="19" t="n">
        <f aca="false">'CEMIUP0.9 Raw'!F1484</f>
        <v>0</v>
      </c>
      <c r="G5915" s="19" t="n">
        <f aca="false">'CEMIUP0.9 Raw'!G1484</f>
        <v>0</v>
      </c>
      <c r="H5915" s="18" t="str">
        <f aca="false">'CEMIUP0.9 Raw'!A1484</f>
        <v>Super-Pharm Israel (CEMI internal group)</v>
      </c>
    </row>
    <row r="5916" customFormat="false" ht="15" hidden="false" customHeight="false" outlineLevel="0" collapsed="false">
      <c r="A5916" s="18" t="n">
        <f aca="false">'CEMIUP0.9 Raw'!B1487</f>
        <v>4413109</v>
      </c>
      <c r="B5916" s="18" t="str">
        <f aca="false">'CEMIUP0.9 Raw'!C1487</f>
        <v>48 XL מגן ברך מחמם</v>
      </c>
      <c r="C5916" s="18" t="str">
        <f aca="false">'CEMIUP0.9 Raw'!C1487</f>
        <v>48 XL מגן ברך מחמם</v>
      </c>
      <c r="D5916" s="19" t="n">
        <f aca="false">'CEMIUP0.9 Raw'!D1487</f>
        <v>8</v>
      </c>
      <c r="E5916" s="19" t="n">
        <f aca="false">'CEMIUP0.9 Raw'!E1487</f>
        <v>353.99</v>
      </c>
      <c r="F5916" s="19" t="n">
        <f aca="false">'CEMIUP0.9 Raw'!F1487</f>
        <v>0</v>
      </c>
      <c r="G5916" s="19" t="n">
        <f aca="false">'CEMIUP0.9 Raw'!G1487</f>
        <v>0</v>
      </c>
      <c r="H5916" s="18" t="str">
        <f aca="false">'CEMIUP0.9 Raw'!A1487</f>
        <v>Super-Pharm Israel (CEMI internal group)</v>
      </c>
    </row>
    <row r="5917" customFormat="false" ht="15" hidden="false" customHeight="false" outlineLevel="0" collapsed="false">
      <c r="A5917" s="18" t="n">
        <f aca="false">'CEMIUP0.9 Raw'!B1488</f>
        <v>4413110</v>
      </c>
      <c r="B5917" s="18" t="str">
        <f aca="false">'CEMIUP0.9 Raw'!C1488</f>
        <v>48 XXL מגן ברך מחמם</v>
      </c>
      <c r="C5917" s="18" t="str">
        <f aca="false">'CEMIUP0.9 Raw'!C1488</f>
        <v>48 XXL מגן ברך מחמם</v>
      </c>
      <c r="D5917" s="19" t="n">
        <f aca="false">'CEMIUP0.9 Raw'!D1488</f>
        <v>2</v>
      </c>
      <c r="E5917" s="19" t="n">
        <f aca="false">'CEMIUP0.9 Raw'!E1488</f>
        <v>88.452</v>
      </c>
      <c r="F5917" s="19" t="n">
        <f aca="false">'CEMIUP0.9 Raw'!F1488</f>
        <v>0</v>
      </c>
      <c r="G5917" s="19" t="n">
        <f aca="false">'CEMIUP0.9 Raw'!G1488</f>
        <v>0</v>
      </c>
      <c r="H5917" s="18" t="str">
        <f aca="false">'CEMIUP0.9 Raw'!A1488</f>
        <v>Super-Pharm Israel (CEMI internal group)</v>
      </c>
    </row>
    <row r="5918" customFormat="false" ht="15" hidden="false" customHeight="false" outlineLevel="0" collapsed="false">
      <c r="A5918" s="18" t="n">
        <f aca="false">'CEMIUP0.9 Raw'!B1496</f>
        <v>4413122</v>
      </c>
      <c r="B5918" s="18" t="str">
        <f aca="false">'CEMIUP0.9 Raw'!C1496</f>
        <v>55 L מתלה אשכים לספורטאים</v>
      </c>
      <c r="C5918" s="18" t="str">
        <f aca="false">'CEMIUP0.9 Raw'!C1496</f>
        <v>55 L מתלה אשכים לספורטאים</v>
      </c>
      <c r="D5918" s="19" t="n">
        <f aca="false">'CEMIUP0.9 Raw'!D1496</f>
        <v>-1</v>
      </c>
      <c r="E5918" s="19" t="n">
        <f aca="false">'CEMIUP0.9 Raw'!E1496</f>
        <v>-64.883</v>
      </c>
      <c r="F5918" s="19" t="n">
        <f aca="false">'CEMIUP0.9 Raw'!F1496</f>
        <v>0</v>
      </c>
      <c r="G5918" s="19" t="n">
        <f aca="false">'CEMIUP0.9 Raw'!G1496</f>
        <v>0</v>
      </c>
      <c r="H5918" s="18" t="str">
        <f aca="false">'CEMIUP0.9 Raw'!A1496</f>
        <v>Super-Pharm Israel (CEMI internal group)</v>
      </c>
    </row>
    <row r="5919" customFormat="false" ht="15" hidden="false" customHeight="false" outlineLevel="0" collapsed="false">
      <c r="A5919" s="18" t="n">
        <f aca="false">'CEMIUP0.9 Raw'!B1516</f>
        <v>4413146</v>
      </c>
      <c r="B5919" s="18" t="str">
        <f aca="false">'CEMIUP0.9 Raw'!C1516</f>
        <v>95+ L מגן מרפק+רצועה לטניס</v>
      </c>
      <c r="C5919" s="18" t="str">
        <f aca="false">'CEMIUP0.9 Raw'!C1516</f>
        <v>95+ L מגן מרפק+רצועה לטניס</v>
      </c>
      <c r="D5919" s="19" t="n">
        <f aca="false">'CEMIUP0.9 Raw'!D1516</f>
        <v>-1</v>
      </c>
      <c r="E5919" s="19" t="n">
        <f aca="false">'CEMIUP0.9 Raw'!E1516</f>
        <v>0</v>
      </c>
      <c r="F5919" s="19" t="n">
        <f aca="false">'CEMIUP0.9 Raw'!F1516</f>
        <v>0</v>
      </c>
      <c r="G5919" s="19" t="n">
        <f aca="false">'CEMIUP0.9 Raw'!G1516</f>
        <v>0</v>
      </c>
      <c r="H5919" s="18" t="str">
        <f aca="false">'CEMIUP0.9 Raw'!A1516</f>
        <v>Super-Pharm Israel (CEMI internal group)</v>
      </c>
    </row>
    <row r="5920" customFormat="false" ht="15" hidden="false" customHeight="false" outlineLevel="0" collapsed="false">
      <c r="A5920" s="18" t="n">
        <f aca="false">'CEMIUP0.9 Raw'!B1530</f>
        <v>4413167</v>
      </c>
      <c r="B5920" s="18" t="str">
        <f aca="false">'CEMIUP0.9 Raw'!C1530</f>
        <v>80 M תתמתלה ליד רצועה</v>
      </c>
      <c r="C5920" s="18" t="str">
        <f aca="false">'CEMIUP0.9 Raw'!C1530</f>
        <v>80 M תתמתלה ליד רצועה</v>
      </c>
      <c r="D5920" s="19" t="n">
        <f aca="false">'CEMIUP0.9 Raw'!D1530</f>
        <v>-1</v>
      </c>
      <c r="E5920" s="19" t="n">
        <f aca="false">'CEMIUP0.9 Raw'!E1530</f>
        <v>-29.393</v>
      </c>
      <c r="F5920" s="19" t="n">
        <f aca="false">'CEMIUP0.9 Raw'!F1530</f>
        <v>0</v>
      </c>
      <c r="G5920" s="19" t="n">
        <f aca="false">'CEMIUP0.9 Raw'!G1530</f>
        <v>0</v>
      </c>
      <c r="H5920" s="18" t="str">
        <f aca="false">'CEMIUP0.9 Raw'!A1530</f>
        <v>Super-Pharm Israel (CEMI internal group)</v>
      </c>
    </row>
    <row r="5921" customFormat="false" ht="15" hidden="false" customHeight="false" outlineLevel="0" collapsed="false">
      <c r="A5921" s="18" t="n">
        <f aca="false">'CEMIUP0.9 Raw'!B1531</f>
        <v>4413169</v>
      </c>
      <c r="B5921" s="18" t="str">
        <f aca="false">'CEMIUP0.9 Raw'!C1531</f>
        <v>T402 S מיצב פיקה</v>
      </c>
      <c r="C5921" s="18" t="str">
        <f aca="false">'CEMIUP0.9 Raw'!C1531</f>
        <v>T402 S מיצב פיקה</v>
      </c>
      <c r="D5921" s="19" t="n">
        <f aca="false">'CEMIUP0.9 Raw'!D1531</f>
        <v>-1</v>
      </c>
      <c r="E5921" s="19" t="n">
        <f aca="false">'CEMIUP0.9 Raw'!E1531</f>
        <v>-74.529</v>
      </c>
      <c r="F5921" s="19" t="n">
        <f aca="false">'CEMIUP0.9 Raw'!F1531</f>
        <v>0</v>
      </c>
      <c r="G5921" s="19" t="n">
        <f aca="false">'CEMIUP0.9 Raw'!G1531</f>
        <v>0</v>
      </c>
      <c r="H5921" s="18" t="str">
        <f aca="false">'CEMIUP0.9 Raw'!A1531</f>
        <v>Super-Pharm Israel (CEMI internal group)</v>
      </c>
    </row>
    <row r="5922" customFormat="false" ht="15" hidden="false" customHeight="false" outlineLevel="0" collapsed="false">
      <c r="A5922" s="18" t="n">
        <f aca="false">'CEMIUP0.9 Raw'!B1533</f>
        <v>4413175</v>
      </c>
      <c r="B5922" s="18" t="str">
        <f aca="false">'CEMIUP0.9 Raw'!C1533</f>
        <v>85+ Mמתלה ליד)כיס(+רצועת חיזוק</v>
      </c>
      <c r="C5922" s="18" t="str">
        <f aca="false">'CEMIUP0.9 Raw'!C1533</f>
        <v>85+ Mמתלה ליד)כיס(+רצועת חיזוק</v>
      </c>
      <c r="D5922" s="19" t="n">
        <f aca="false">'CEMIUP0.9 Raw'!D1533</f>
        <v>1</v>
      </c>
      <c r="E5922" s="19" t="n">
        <f aca="false">'CEMIUP0.9 Raw'!E1533</f>
        <v>77.259</v>
      </c>
      <c r="F5922" s="19" t="n">
        <f aca="false">'CEMIUP0.9 Raw'!F1533</f>
        <v>0</v>
      </c>
      <c r="G5922" s="19" t="n">
        <f aca="false">'CEMIUP0.9 Raw'!G1533</f>
        <v>0</v>
      </c>
      <c r="H5922" s="18" t="str">
        <f aca="false">'CEMIUP0.9 Raw'!A1533</f>
        <v>Super-Pharm Israel (CEMI internal group)</v>
      </c>
    </row>
    <row r="5923" customFormat="false" ht="15" hidden="false" customHeight="false" outlineLevel="0" collapsed="false">
      <c r="A5923" s="18" t="n">
        <f aca="false">'CEMIUP0.9 Raw'!B1534</f>
        <v>4413176</v>
      </c>
      <c r="B5923" s="18" t="str">
        <f aca="false">'CEMIUP0.9 Raw'!C1534</f>
        <v>85+ Lמתלה ליד)כיס(+רצועת חיזוק</v>
      </c>
      <c r="C5923" s="18" t="str">
        <f aca="false">'CEMIUP0.9 Raw'!C1534</f>
        <v>85+ Lמתלה ליד)כיס(+רצועת חיזוק</v>
      </c>
      <c r="D5923" s="19" t="n">
        <f aca="false">'CEMIUP0.9 Raw'!D1534</f>
        <v>1</v>
      </c>
      <c r="E5923" s="19" t="n">
        <f aca="false">'CEMIUP0.9 Raw'!E1534</f>
        <v>74.529</v>
      </c>
      <c r="F5923" s="19" t="n">
        <f aca="false">'CEMIUP0.9 Raw'!F1534</f>
        <v>0</v>
      </c>
      <c r="G5923" s="19" t="n">
        <f aca="false">'CEMIUP0.9 Raw'!G1534</f>
        <v>0</v>
      </c>
      <c r="H5923" s="18" t="str">
        <f aca="false">'CEMIUP0.9 Raw'!A1534</f>
        <v>Super-Pharm Israel (CEMI internal group)</v>
      </c>
    </row>
    <row r="5924" customFormat="false" ht="15" hidden="false" customHeight="false" outlineLevel="0" collapsed="false">
      <c r="A5924" s="18" t="n">
        <f aca="false">'CEMIUP0.9 Raw'!B1535</f>
        <v>4413177</v>
      </c>
      <c r="B5924" s="18" t="str">
        <f aca="false">'CEMIUP0.9 Raw'!C1535</f>
        <v>85+ XLמתלה ליד)כיס(רצועת חיזוק</v>
      </c>
      <c r="C5924" s="18" t="str">
        <f aca="false">'CEMIUP0.9 Raw'!C1535</f>
        <v>85+ XLמתלה ליד)כיס(רצועת חיזוק</v>
      </c>
      <c r="D5924" s="19" t="n">
        <f aca="false">'CEMIUP0.9 Raw'!D1535</f>
        <v>1</v>
      </c>
      <c r="E5924" s="19" t="n">
        <f aca="false">'CEMIUP0.9 Raw'!E1535</f>
        <v>74.529</v>
      </c>
      <c r="F5924" s="19" t="n">
        <f aca="false">'CEMIUP0.9 Raw'!F1535</f>
        <v>0</v>
      </c>
      <c r="G5924" s="19" t="n">
        <f aca="false">'CEMIUP0.9 Raw'!G1535</f>
        <v>0</v>
      </c>
      <c r="H5924" s="18" t="str">
        <f aca="false">'CEMIUP0.9 Raw'!A1535</f>
        <v>Super-Pharm Israel (CEMI internal group)</v>
      </c>
    </row>
    <row r="5925" customFormat="false" ht="15" hidden="false" customHeight="false" outlineLevel="0" collapsed="false">
      <c r="A5925" s="18" t="n">
        <f aca="false">'CEMIUP0.9 Raw'!B1536</f>
        <v>4413179</v>
      </c>
      <c r="B5925" s="18" t="str">
        <f aca="false">'CEMIUP0.9 Raw'!C1536</f>
        <v>T39  M מגן שוק</v>
      </c>
      <c r="C5925" s="18" t="str">
        <f aca="false">'CEMIUP0.9 Raw'!C1536</f>
        <v>T39  M מגן שוק</v>
      </c>
      <c r="D5925" s="19" t="n">
        <f aca="false">'CEMIUP0.9 Raw'!D1536</f>
        <v>-4</v>
      </c>
      <c r="E5925" s="19" t="n">
        <f aca="false">'CEMIUP0.9 Raw'!E1536</f>
        <v>-327.964</v>
      </c>
      <c r="F5925" s="19" t="n">
        <f aca="false">'CEMIUP0.9 Raw'!F1536</f>
        <v>0</v>
      </c>
      <c r="G5925" s="19" t="n">
        <f aca="false">'CEMIUP0.9 Raw'!G1536</f>
        <v>0</v>
      </c>
      <c r="H5925" s="18" t="str">
        <f aca="false">'CEMIUP0.9 Raw'!A1536</f>
        <v>Super-Pharm Israel (CEMI internal group)</v>
      </c>
    </row>
    <row r="5926" customFormat="false" ht="15" hidden="false" customHeight="false" outlineLevel="0" collapsed="false">
      <c r="A5926" s="18" t="n">
        <f aca="false">'CEMIUP0.9 Raw'!B1537</f>
        <v>4413181</v>
      </c>
      <c r="B5926" s="18" t="str">
        <f aca="false">'CEMIUP0.9 Raw'!C1537</f>
        <v>T39  L מגן שוק</v>
      </c>
      <c r="C5926" s="18" t="str">
        <f aca="false">'CEMIUP0.9 Raw'!C1537</f>
        <v>T39  L מגן שוק</v>
      </c>
      <c r="D5926" s="19" t="n">
        <f aca="false">'CEMIUP0.9 Raw'!D1537</f>
        <v>-1</v>
      </c>
      <c r="E5926" s="19" t="n">
        <f aca="false">'CEMIUP0.9 Raw'!E1537</f>
        <v>-81.991</v>
      </c>
      <c r="F5926" s="19" t="n">
        <f aca="false">'CEMIUP0.9 Raw'!F1537</f>
        <v>0</v>
      </c>
      <c r="G5926" s="19" t="n">
        <f aca="false">'CEMIUP0.9 Raw'!G1537</f>
        <v>0</v>
      </c>
      <c r="H5926" s="18" t="str">
        <f aca="false">'CEMIUP0.9 Raw'!A1537</f>
        <v>Super-Pharm Israel (CEMI internal group)</v>
      </c>
    </row>
    <row r="5927" customFormat="false" ht="15" hidden="false" customHeight="false" outlineLevel="0" collapsed="false">
      <c r="A5927" s="18" t="n">
        <f aca="false">'CEMIUP0.9 Raw'!B1551</f>
        <v>4413281</v>
      </c>
      <c r="B5927" s="18" t="str">
        <f aca="false">'CEMIUP0.9 Raw'!C1551</f>
        <v>422E S מגן ברך ארוך עם כרית</v>
      </c>
      <c r="C5927" s="18" t="str">
        <f aca="false">'CEMIUP0.9 Raw'!C1551</f>
        <v>422E S מגן ברך ארוך עם כרית</v>
      </c>
      <c r="D5927" s="19" t="n">
        <f aca="false">'CEMIUP0.9 Raw'!D1551</f>
        <v>-2</v>
      </c>
      <c r="E5927" s="19" t="n">
        <f aca="false">'CEMIUP0.9 Raw'!E1551</f>
        <v>-332.514</v>
      </c>
      <c r="F5927" s="19" t="n">
        <f aca="false">'CEMIUP0.9 Raw'!F1551</f>
        <v>0</v>
      </c>
      <c r="G5927" s="19" t="n">
        <f aca="false">'CEMIUP0.9 Raw'!G1551</f>
        <v>0</v>
      </c>
      <c r="H5927" s="18" t="str">
        <f aca="false">'CEMIUP0.9 Raw'!A1551</f>
        <v>Super-Pharm Israel (CEMI internal group)</v>
      </c>
    </row>
    <row r="5928" customFormat="false" ht="15" hidden="false" customHeight="false" outlineLevel="0" collapsed="false">
      <c r="A5928" s="18" t="n">
        <f aca="false">'CEMIUP0.9 Raw'!B1552</f>
        <v>4413282</v>
      </c>
      <c r="B5928" s="18" t="str">
        <f aca="false">'CEMIUP0.9 Raw'!C1552</f>
        <v>422E XL מגן ברך ארוך עם כרית</v>
      </c>
      <c r="C5928" s="18" t="str">
        <f aca="false">'CEMIUP0.9 Raw'!C1552</f>
        <v>422E XL מגן ברך ארוך עם כרית</v>
      </c>
      <c r="D5928" s="19" t="n">
        <f aca="false">'CEMIUP0.9 Raw'!D1552</f>
        <v>-2</v>
      </c>
      <c r="E5928" s="19" t="n">
        <f aca="false">'CEMIUP0.9 Raw'!E1552</f>
        <v>-332.514</v>
      </c>
      <c r="F5928" s="19" t="n">
        <f aca="false">'CEMIUP0.9 Raw'!F1552</f>
        <v>0</v>
      </c>
      <c r="G5928" s="19" t="n">
        <f aca="false">'CEMIUP0.9 Raw'!G1552</f>
        <v>0</v>
      </c>
      <c r="H5928" s="18" t="str">
        <f aca="false">'CEMIUP0.9 Raw'!A1552</f>
        <v>Super-Pharm Israel (CEMI internal group)</v>
      </c>
    </row>
    <row r="5929" customFormat="false" ht="15" hidden="false" customHeight="false" outlineLevel="0" collapsed="false">
      <c r="A5929" s="18" t="n">
        <f aca="false">'CEMIUP0.9 Raw'!B1553</f>
        <v>4413285</v>
      </c>
      <c r="B5929" s="18" t="str">
        <f aca="false">'CEMIUP0.9 Raw'!C1553</f>
        <v>305GA מדרס מתכוונן47-48</v>
      </c>
      <c r="C5929" s="18" t="str">
        <f aca="false">'CEMIUP0.9 Raw'!C1553</f>
        <v>305GA מדרס מתכוונן47-48</v>
      </c>
      <c r="D5929" s="19" t="n">
        <f aca="false">'CEMIUP0.9 Raw'!D1553</f>
        <v>-3</v>
      </c>
      <c r="E5929" s="19" t="n">
        <f aca="false">'CEMIUP0.9 Raw'!E1553</f>
        <v>-169.078</v>
      </c>
      <c r="F5929" s="19" t="n">
        <f aca="false">'CEMIUP0.9 Raw'!F1553</f>
        <v>0</v>
      </c>
      <c r="G5929" s="19" t="n">
        <f aca="false">'CEMIUP0.9 Raw'!G1553</f>
        <v>0</v>
      </c>
      <c r="H5929" s="18" t="str">
        <f aca="false">'CEMIUP0.9 Raw'!A1553</f>
        <v>Super-Pharm Israel (CEMI internal group)</v>
      </c>
    </row>
    <row r="5930" customFormat="false" ht="15" hidden="false" customHeight="false" outlineLevel="0" collapsed="false">
      <c r="A5930" s="18" t="n">
        <f aca="false">'CEMIUP0.9 Raw'!B1557</f>
        <v>4413337</v>
      </c>
      <c r="B5930" s="18" t="str">
        <f aca="false">'CEMIUP0.9 Raw'!C1557</f>
        <v>322XL מגן קרסול+כרית סילקון</v>
      </c>
      <c r="C5930" s="18" t="str">
        <f aca="false">'CEMIUP0.9 Raw'!C1557</f>
        <v>322XL מגן קרסול+כרית סילקון</v>
      </c>
      <c r="D5930" s="19" t="n">
        <f aca="false">'CEMIUP0.9 Raw'!D1557</f>
        <v>-1</v>
      </c>
      <c r="E5930" s="19" t="n">
        <f aca="false">'CEMIUP0.9 Raw'!E1557</f>
        <v>-119.301</v>
      </c>
      <c r="F5930" s="19" t="n">
        <f aca="false">'CEMIUP0.9 Raw'!F1557</f>
        <v>0</v>
      </c>
      <c r="G5930" s="19" t="n">
        <f aca="false">'CEMIUP0.9 Raw'!G1557</f>
        <v>0</v>
      </c>
      <c r="H5930" s="18" t="str">
        <f aca="false">'CEMIUP0.9 Raw'!A1557</f>
        <v>Super-Pharm Israel (CEMI internal group)</v>
      </c>
    </row>
    <row r="5931" customFormat="false" ht="15" hidden="false" customHeight="false" outlineLevel="0" collapsed="false">
      <c r="A5931" s="18" t="n">
        <f aca="false">'CEMIUP0.9 Raw'!B1560</f>
        <v>4413347</v>
      </c>
      <c r="B5931" s="18" t="str">
        <f aca="false">'CEMIUP0.9 Raw'!C1560</f>
        <v>322-L מגן קרסול+כרית סילקון</v>
      </c>
      <c r="C5931" s="18" t="str">
        <f aca="false">'CEMIUP0.9 Raw'!C1560</f>
        <v>322-L מגן קרסול+כרית סילקון</v>
      </c>
      <c r="D5931" s="19" t="n">
        <f aca="false">'CEMIUP0.9 Raw'!D1560</f>
        <v>-1</v>
      </c>
      <c r="E5931" s="19" t="n">
        <f aca="false">'CEMIUP0.9 Raw'!E1560</f>
        <v>-119.301</v>
      </c>
      <c r="F5931" s="19" t="n">
        <f aca="false">'CEMIUP0.9 Raw'!F1560</f>
        <v>0</v>
      </c>
      <c r="G5931" s="19" t="n">
        <f aca="false">'CEMIUP0.9 Raw'!G1560</f>
        <v>0</v>
      </c>
      <c r="H5931" s="18" t="str">
        <f aca="false">'CEMIUP0.9 Raw'!A1560</f>
        <v>Super-Pharm Israel (CEMI internal group)</v>
      </c>
    </row>
    <row r="5932" customFormat="false" ht="15" hidden="false" customHeight="false" outlineLevel="0" collapsed="false">
      <c r="A5932" s="18" t="n">
        <f aca="false">'CEMIUP0.9 Raw'!B1585</f>
        <v>4413428</v>
      </c>
      <c r="B5932" s="18" t="str">
        <f aca="false">'CEMIUP0.9 Raw'!C1585</f>
        <v>332CL'מייצב קרסול עם שרוכים בז</v>
      </c>
      <c r="C5932" s="18" t="str">
        <f aca="false">'CEMIUP0.9 Raw'!C1585</f>
        <v>332CL'מייצב קרסול עם שרוכים בז</v>
      </c>
      <c r="D5932" s="19" t="n">
        <f aca="false">'CEMIUP0.9 Raw'!D1585</f>
        <v>-2</v>
      </c>
      <c r="E5932" s="19" t="n">
        <f aca="false">'CEMIUP0.9 Raw'!E1585</f>
        <v>-193.83</v>
      </c>
      <c r="F5932" s="19" t="n">
        <f aca="false">'CEMIUP0.9 Raw'!F1585</f>
        <v>0</v>
      </c>
      <c r="G5932" s="19" t="n">
        <f aca="false">'CEMIUP0.9 Raw'!G1585</f>
        <v>0</v>
      </c>
      <c r="H5932" s="18" t="str">
        <f aca="false">'CEMIUP0.9 Raw'!A1585</f>
        <v>Super-Pharm Israel (CEMI internal group)</v>
      </c>
    </row>
    <row r="5933" customFormat="false" ht="15" hidden="false" customHeight="false" outlineLevel="0" collapsed="false">
      <c r="A5933" s="18" t="n">
        <f aca="false">'CEMIUP0.9 Raw'!B1586</f>
        <v>4413429</v>
      </c>
      <c r="B5933" s="18" t="str">
        <f aca="false">'CEMIUP0.9 Raw'!C1586</f>
        <v>332CM'מייצב קרסול עם שרוכים בז</v>
      </c>
      <c r="C5933" s="18" t="str">
        <f aca="false">'CEMIUP0.9 Raw'!C1586</f>
        <v>332CM'מייצב קרסול עם שרוכים בז</v>
      </c>
      <c r="D5933" s="19" t="n">
        <f aca="false">'CEMIUP0.9 Raw'!D1586</f>
        <v>-1</v>
      </c>
      <c r="E5933" s="19" t="n">
        <f aca="false">'CEMIUP0.9 Raw'!E1586</f>
        <v>-96.915</v>
      </c>
      <c r="F5933" s="19" t="n">
        <f aca="false">'CEMIUP0.9 Raw'!F1586</f>
        <v>0</v>
      </c>
      <c r="G5933" s="19" t="n">
        <f aca="false">'CEMIUP0.9 Raw'!G1586</f>
        <v>0</v>
      </c>
      <c r="H5933" s="18" t="str">
        <f aca="false">'CEMIUP0.9 Raw'!A1586</f>
        <v>Super-Pharm Israel (CEMI internal group)</v>
      </c>
    </row>
    <row r="5934" customFormat="false" ht="15" hidden="false" customHeight="false" outlineLevel="0" collapsed="false">
      <c r="A5934" s="18" t="n">
        <f aca="false">'CEMIUP0.9 Raw'!B1587</f>
        <v>4413430</v>
      </c>
      <c r="B5934" s="18" t="str">
        <f aca="false">'CEMIUP0.9 Raw'!C1587</f>
        <v>332CS'מייצב קרסול עם שרוכים בז</v>
      </c>
      <c r="C5934" s="18" t="str">
        <f aca="false">'CEMIUP0.9 Raw'!C1587</f>
        <v>332CS'מייצב קרסול עם שרוכים בז</v>
      </c>
      <c r="D5934" s="19" t="n">
        <f aca="false">'CEMIUP0.9 Raw'!D1587</f>
        <v>-1</v>
      </c>
      <c r="E5934" s="19" t="n">
        <f aca="false">'CEMIUP0.9 Raw'!E1587</f>
        <v>-96.915</v>
      </c>
      <c r="F5934" s="19" t="n">
        <f aca="false">'CEMIUP0.9 Raw'!F1587</f>
        <v>0</v>
      </c>
      <c r="G5934" s="19" t="n">
        <f aca="false">'CEMIUP0.9 Raw'!G1587</f>
        <v>0</v>
      </c>
      <c r="H5934" s="18" t="str">
        <f aca="false">'CEMIUP0.9 Raw'!A1587</f>
        <v>Super-Pharm Israel (CEMI internal group)</v>
      </c>
    </row>
    <row r="5935" customFormat="false" ht="15" hidden="false" customHeight="false" outlineLevel="0" collapsed="false">
      <c r="A5935" s="18" t="n">
        <f aca="false">'CEMIUP0.9 Raw'!B1588</f>
        <v>4413431</v>
      </c>
      <c r="B5935" s="18" t="str">
        <f aca="false">'CEMIUP0.9 Raw'!C1588</f>
        <v>332CXLמייצב קרסול עם שרוכים בז</v>
      </c>
      <c r="C5935" s="18" t="str">
        <f aca="false">'CEMIUP0.9 Raw'!C1588</f>
        <v>332CXLמייצב קרסול עם שרוכים בז</v>
      </c>
      <c r="D5935" s="19" t="n">
        <f aca="false">'CEMIUP0.9 Raw'!D1588</f>
        <v>-1</v>
      </c>
      <c r="E5935" s="19" t="n">
        <f aca="false">'CEMIUP0.9 Raw'!E1588</f>
        <v>-96.915</v>
      </c>
      <c r="F5935" s="19" t="n">
        <f aca="false">'CEMIUP0.9 Raw'!F1588</f>
        <v>0</v>
      </c>
      <c r="G5935" s="19" t="n">
        <f aca="false">'CEMIUP0.9 Raw'!G1588</f>
        <v>0</v>
      </c>
      <c r="H5935" s="18" t="str">
        <f aca="false">'CEMIUP0.9 Raw'!A1588</f>
        <v>Super-Pharm Israel (CEMI internal group)</v>
      </c>
    </row>
    <row r="5936" customFormat="false" ht="15" hidden="false" customHeight="false" outlineLevel="0" collapsed="false">
      <c r="A5936" s="18" t="n">
        <f aca="false">'CEMIUP0.9 Raw'!B1594</f>
        <v>4413443</v>
      </c>
      <c r="B5936" s="18" t="str">
        <f aca="false">'CEMIUP0.9 Raw'!C1594</f>
        <v>78A XXL מגן למפרק כתף</v>
      </c>
      <c r="C5936" s="18" t="str">
        <f aca="false">'CEMIUP0.9 Raw'!C1594</f>
        <v>78A XXL מגן למפרק כתף</v>
      </c>
      <c r="D5936" s="19" t="n">
        <f aca="false">'CEMIUP0.9 Raw'!D1594</f>
        <v>-2</v>
      </c>
      <c r="E5936" s="19" t="n">
        <f aca="false">'CEMIUP0.9 Raw'!E1594</f>
        <v>-518.973</v>
      </c>
      <c r="F5936" s="19" t="n">
        <f aca="false">'CEMIUP0.9 Raw'!F1594</f>
        <v>0</v>
      </c>
      <c r="G5936" s="19" t="n">
        <f aca="false">'CEMIUP0.9 Raw'!G1594</f>
        <v>0</v>
      </c>
      <c r="H5936" s="18" t="str">
        <f aca="false">'CEMIUP0.9 Raw'!A1594</f>
        <v>Super-Pharm Israel (CEMI internal group)</v>
      </c>
    </row>
    <row r="5937" customFormat="false" ht="15" hidden="false" customHeight="false" outlineLevel="0" collapsed="false">
      <c r="A5937" s="18" t="n">
        <f aca="false">'CEMIUP0.9 Raw'!B1618</f>
        <v>4415004</v>
      </c>
      <c r="B5937" s="18" t="str">
        <f aca="false">'CEMIUP0.9 Raw'!C1618</f>
        <v>26 XXL סד ליד דו צדדי לאחר שבר</v>
      </c>
      <c r="C5937" s="18" t="str">
        <f aca="false">'CEMIUP0.9 Raw'!C1618</f>
        <v>26 XXL סד ליד דו צדדי לאחר שבר</v>
      </c>
      <c r="D5937" s="19" t="n">
        <f aca="false">'CEMIUP0.9 Raw'!D1618</f>
        <v>2</v>
      </c>
      <c r="E5937" s="19" t="n">
        <f aca="false">'CEMIUP0.9 Raw'!E1618</f>
        <v>149.058</v>
      </c>
      <c r="F5937" s="19" t="n">
        <f aca="false">'CEMIUP0.9 Raw'!F1618</f>
        <v>0</v>
      </c>
      <c r="G5937" s="19" t="n">
        <f aca="false">'CEMIUP0.9 Raw'!G1618</f>
        <v>0</v>
      </c>
      <c r="H5937" s="18" t="str">
        <f aca="false">'CEMIUP0.9 Raw'!A1618</f>
        <v>Super-Pharm Israel (CEMI internal group)</v>
      </c>
    </row>
    <row r="5938" customFormat="false" ht="15" hidden="false" customHeight="false" outlineLevel="0" collapsed="false">
      <c r="A5938" s="18" t="n">
        <f aca="false">'CEMIUP0.9 Raw'!B1626</f>
        <v>4415064</v>
      </c>
      <c r="B5938" s="18" t="str">
        <f aca="false">'CEMIUP0.9 Raw'!C1626</f>
        <v>T28 S סד לאגודל כפפה</v>
      </c>
      <c r="C5938" s="18" t="str">
        <f aca="false">'CEMIUP0.9 Raw'!C1626</f>
        <v>T28 S סד לאגודל כפפה</v>
      </c>
      <c r="D5938" s="19" t="n">
        <f aca="false">'CEMIUP0.9 Raw'!D1626</f>
        <v>2</v>
      </c>
      <c r="E5938" s="19" t="n">
        <f aca="false">'CEMIUP0.9 Raw'!E1626</f>
        <v>111.748</v>
      </c>
      <c r="F5938" s="19" t="n">
        <f aca="false">'CEMIUP0.9 Raw'!F1626</f>
        <v>0</v>
      </c>
      <c r="G5938" s="19" t="n">
        <f aca="false">'CEMIUP0.9 Raw'!G1626</f>
        <v>0</v>
      </c>
      <c r="H5938" s="18" t="str">
        <f aca="false">'CEMIUP0.9 Raw'!A1626</f>
        <v>Super-Pharm Israel (CEMI internal group)</v>
      </c>
    </row>
    <row r="5939" customFormat="false" ht="15" hidden="false" customHeight="false" outlineLevel="0" collapsed="false">
      <c r="A5939" s="18" t="n">
        <f aca="false">'CEMIUP0.9 Raw'!B1643</f>
        <v>4415165</v>
      </c>
      <c r="B5939" s="18" t="str">
        <f aca="false">'CEMIUP0.9 Raw'!C1643</f>
        <v>267LC   S-M'סד יד שמאל בז</v>
      </c>
      <c r="C5939" s="18" t="str">
        <f aca="false">'CEMIUP0.9 Raw'!C1643</f>
        <v>267LC   S-M'סד יד שמאל בז</v>
      </c>
      <c r="D5939" s="19" t="n">
        <f aca="false">'CEMIUP0.9 Raw'!D1643</f>
        <v>-2</v>
      </c>
      <c r="E5939" s="19" t="n">
        <f aca="false">'CEMIUP0.9 Raw'!E1643</f>
        <v>-171.444</v>
      </c>
      <c r="F5939" s="19" t="n">
        <f aca="false">'CEMIUP0.9 Raw'!F1643</f>
        <v>0</v>
      </c>
      <c r="G5939" s="19" t="n">
        <f aca="false">'CEMIUP0.9 Raw'!G1643</f>
        <v>0</v>
      </c>
      <c r="H5939" s="18" t="str">
        <f aca="false">'CEMIUP0.9 Raw'!A1643</f>
        <v>Super-Pharm Israel (CEMI internal group)</v>
      </c>
    </row>
    <row r="5940" customFormat="false" ht="15" hidden="false" customHeight="false" outlineLevel="0" collapsed="false">
      <c r="A5940" s="18" t="n">
        <f aca="false">'CEMIUP0.9 Raw'!B1652</f>
        <v>4416009</v>
      </c>
      <c r="B5940" s="18" t="str">
        <f aca="false">'CEMIUP0.9 Raw'!C1652</f>
        <v>309 S תתמוקפאעקב סיליקון+ קשת</v>
      </c>
      <c r="C5940" s="18" t="str">
        <f aca="false">'CEMIUP0.9 Raw'!C1652</f>
        <v>309 S תתמוקפאעקב סיליקון+ קשת</v>
      </c>
      <c r="D5940" s="19" t="n">
        <f aca="false">'CEMIUP0.9 Raw'!D1652</f>
        <v>-3</v>
      </c>
      <c r="E5940" s="19" t="n">
        <f aca="false">'CEMIUP0.9 Raw'!E1652</f>
        <v>-219.583</v>
      </c>
      <c r="F5940" s="19" t="n">
        <f aca="false">'CEMIUP0.9 Raw'!F1652</f>
        <v>0</v>
      </c>
      <c r="G5940" s="19" t="n">
        <f aca="false">'CEMIUP0.9 Raw'!G1652</f>
        <v>0</v>
      </c>
      <c r="H5940" s="18" t="str">
        <f aca="false">'CEMIUP0.9 Raw'!A1652</f>
        <v>Super-Pharm Israel (CEMI internal group)</v>
      </c>
    </row>
    <row r="5941" customFormat="false" ht="15" hidden="false" customHeight="false" outlineLevel="0" collapsed="false">
      <c r="A5941" s="18" t="n">
        <f aca="false">'CEMIUP0.9 Raw'!B1658</f>
        <v>4418004</v>
      </c>
      <c r="B5941" s="18" t="str">
        <f aca="false">'CEMIUP0.9 Raw'!C1658</f>
        <v>60 XXL צוארון ספוגי</v>
      </c>
      <c r="C5941" s="18" t="str">
        <f aca="false">'CEMIUP0.9 Raw'!C1658</f>
        <v>60 XXL צוארון ספוגי</v>
      </c>
      <c r="D5941" s="19" t="n">
        <f aca="false">'CEMIUP0.9 Raw'!D1658</f>
        <v>1</v>
      </c>
      <c r="E5941" s="19" t="n">
        <f aca="false">'CEMIUP0.9 Raw'!E1658</f>
        <v>27.3</v>
      </c>
      <c r="F5941" s="19" t="n">
        <f aca="false">'CEMIUP0.9 Raw'!F1658</f>
        <v>0</v>
      </c>
      <c r="G5941" s="19" t="n">
        <f aca="false">'CEMIUP0.9 Raw'!G1658</f>
        <v>0</v>
      </c>
      <c r="H5941" s="18" t="str">
        <f aca="false">'CEMIUP0.9 Raw'!A1658</f>
        <v>Super-Pharm Israel (CEMI internal group)</v>
      </c>
    </row>
    <row r="5942" customFormat="false" ht="15" hidden="false" customHeight="false" outlineLevel="0" collapsed="false">
      <c r="A5942" s="18" t="n">
        <f aca="false">'CEMIUP0.9 Raw'!B1659</f>
        <v>4418016</v>
      </c>
      <c r="B5942" s="18" t="str">
        <f aca="false">'CEMIUP0.9 Raw'!C1659</f>
        <v>60XS צוארון ספוגי</v>
      </c>
      <c r="C5942" s="18" t="str">
        <f aca="false">'CEMIUP0.9 Raw'!C1659</f>
        <v>60XS צוארון ספוגי</v>
      </c>
      <c r="D5942" s="19" t="n">
        <f aca="false">'CEMIUP0.9 Raw'!D1659</f>
        <v>-3</v>
      </c>
      <c r="E5942" s="19" t="n">
        <f aca="false">'CEMIUP0.9 Raw'!E1659</f>
        <v>-81.9</v>
      </c>
      <c r="F5942" s="19" t="n">
        <f aca="false">'CEMIUP0.9 Raw'!F1659</f>
        <v>0</v>
      </c>
      <c r="G5942" s="19" t="n">
        <f aca="false">'CEMIUP0.9 Raw'!G1659</f>
        <v>0</v>
      </c>
      <c r="H5942" s="18" t="str">
        <f aca="false">'CEMIUP0.9 Raw'!A1659</f>
        <v>Super-Pharm Israel (CEMI internal group)</v>
      </c>
    </row>
    <row r="5943" customFormat="false" ht="15" hidden="false" customHeight="false" outlineLevel="0" collapsed="false">
      <c r="A5943" s="18" t="n">
        <f aca="false">'CEMIUP0.9 Raw'!B1668</f>
        <v>4420007</v>
      </c>
      <c r="B5943" s="18" t="str">
        <f aca="false">'CEMIUP0.9 Raw'!C1668</f>
        <v>377   רפ.ורטופדית ספורט זוג38</v>
      </c>
      <c r="C5943" s="18" t="str">
        <f aca="false">'CEMIUP0.9 Raw'!C1668</f>
        <v>377   רפ.ורטופדית ספורט זוג38</v>
      </c>
      <c r="D5943" s="19" t="n">
        <f aca="false">'CEMIUP0.9 Raw'!D1668</f>
        <v>6</v>
      </c>
      <c r="E5943" s="19" t="n">
        <f aca="false">'CEMIUP0.9 Raw'!E1668</f>
        <v>199.381</v>
      </c>
      <c r="F5943" s="19" t="n">
        <f aca="false">'CEMIUP0.9 Raw'!F1668</f>
        <v>0</v>
      </c>
      <c r="G5943" s="19" t="n">
        <f aca="false">'CEMIUP0.9 Raw'!G1668</f>
        <v>0</v>
      </c>
      <c r="H5943" s="18" t="str">
        <f aca="false">'CEMIUP0.9 Raw'!A1668</f>
        <v>Super-Pharm Israel (CEMI internal group)</v>
      </c>
    </row>
    <row r="5944" customFormat="false" ht="15" hidden="false" customHeight="false" outlineLevel="0" collapsed="false">
      <c r="A5944" s="18" t="n">
        <f aca="false">'CEMIUP0.9 Raw'!B1669</f>
        <v>4420008</v>
      </c>
      <c r="B5944" s="18" t="str">
        <f aca="false">'CEMIUP0.9 Raw'!C1669</f>
        <v>377  רפ.אורטופדית ספורט זוג39</v>
      </c>
      <c r="C5944" s="18" t="str">
        <f aca="false">'CEMIUP0.9 Raw'!C1669</f>
        <v>377  רפ.אורטופדית ספורט זוג39</v>
      </c>
      <c r="D5944" s="19" t="n">
        <f aca="false">'CEMIUP0.9 Raw'!D1669</f>
        <v>3</v>
      </c>
      <c r="E5944" s="19" t="n">
        <f aca="false">'CEMIUP0.9 Raw'!E1669</f>
        <v>99.736</v>
      </c>
      <c r="F5944" s="19" t="n">
        <f aca="false">'CEMIUP0.9 Raw'!F1669</f>
        <v>0</v>
      </c>
      <c r="G5944" s="19" t="n">
        <f aca="false">'CEMIUP0.9 Raw'!G1669</f>
        <v>0</v>
      </c>
      <c r="H5944" s="18" t="str">
        <f aca="false">'CEMIUP0.9 Raw'!A1669</f>
        <v>Super-Pharm Israel (CEMI internal group)</v>
      </c>
    </row>
    <row r="5945" customFormat="false" ht="15" hidden="false" customHeight="false" outlineLevel="0" collapsed="false">
      <c r="A5945" s="18" t="n">
        <f aca="false">'CEMIUP0.9 Raw'!B1671</f>
        <v>4420011</v>
      </c>
      <c r="B5945" s="18" t="str">
        <f aca="false">'CEMIUP0.9 Raw'!C1671</f>
        <v>377 רפידה אורטופ.ספורט זוג42</v>
      </c>
      <c r="C5945" s="18" t="str">
        <f aca="false">'CEMIUP0.9 Raw'!C1671</f>
        <v>377 רפידה אורטופ.ספורט זוג42</v>
      </c>
      <c r="D5945" s="19" t="n">
        <f aca="false">'CEMIUP0.9 Raw'!D1671</f>
        <v>-2</v>
      </c>
      <c r="E5945" s="19" t="n">
        <f aca="false">'CEMIUP0.9 Raw'!E1671</f>
        <v>-66.43</v>
      </c>
      <c r="F5945" s="19" t="n">
        <f aca="false">'CEMIUP0.9 Raw'!F1671</f>
        <v>0</v>
      </c>
      <c r="G5945" s="19" t="n">
        <f aca="false">'CEMIUP0.9 Raw'!G1671</f>
        <v>0</v>
      </c>
      <c r="H5945" s="18" t="str">
        <f aca="false">'CEMIUP0.9 Raw'!A1671</f>
        <v>Super-Pharm Israel (CEMI internal group)</v>
      </c>
    </row>
    <row r="5946" customFormat="false" ht="15" hidden="false" customHeight="false" outlineLevel="0" collapsed="false">
      <c r="A5946" s="18" t="n">
        <f aca="false">'CEMIUP0.9 Raw'!B1673</f>
        <v>4420013</v>
      </c>
      <c r="B5946" s="18" t="str">
        <f aca="false">'CEMIUP0.9 Raw'!C1673</f>
        <v>377  רפידה אורט.ספורט זוג44</v>
      </c>
      <c r="C5946" s="18" t="str">
        <f aca="false">'CEMIUP0.9 Raw'!C1673</f>
        <v>377  רפידה אורט.ספורט זוג44</v>
      </c>
      <c r="D5946" s="19" t="n">
        <f aca="false">'CEMIUP0.9 Raw'!D1673</f>
        <v>0</v>
      </c>
      <c r="E5946" s="19" t="n">
        <f aca="false">'CEMIUP0.9 Raw'!E1673</f>
        <v>3.367</v>
      </c>
      <c r="F5946" s="19" t="n">
        <f aca="false">'CEMIUP0.9 Raw'!F1673</f>
        <v>0</v>
      </c>
      <c r="G5946" s="19" t="n">
        <f aca="false">'CEMIUP0.9 Raw'!G1673</f>
        <v>0</v>
      </c>
      <c r="H5946" s="18" t="str">
        <f aca="false">'CEMIUP0.9 Raw'!A1673</f>
        <v>Super-Pharm Israel (CEMI internal group)</v>
      </c>
    </row>
    <row r="5947" customFormat="false" ht="15" hidden="false" customHeight="false" outlineLevel="0" collapsed="false">
      <c r="A5947" s="18" t="n">
        <f aca="false">'CEMIUP0.9 Raw'!B1674</f>
        <v>4420014</v>
      </c>
      <c r="B5947" s="18" t="str">
        <f aca="false">'CEMIUP0.9 Raw'!C1674</f>
        <v>377 רפ.אורטופדית ספורט זוג45</v>
      </c>
      <c r="C5947" s="18" t="str">
        <f aca="false">'CEMIUP0.9 Raw'!C1674</f>
        <v>377 רפ.אורטופדית ספורט זוג45</v>
      </c>
      <c r="D5947" s="19" t="n">
        <f aca="false">'CEMIUP0.9 Raw'!D1674</f>
        <v>-5</v>
      </c>
      <c r="E5947" s="19" t="n">
        <f aca="false">'CEMIUP0.9 Raw'!E1674</f>
        <v>-166.166</v>
      </c>
      <c r="F5947" s="19" t="n">
        <f aca="false">'CEMIUP0.9 Raw'!F1674</f>
        <v>0</v>
      </c>
      <c r="G5947" s="19" t="n">
        <f aca="false">'CEMIUP0.9 Raw'!G1674</f>
        <v>0</v>
      </c>
      <c r="H5947" s="18" t="str">
        <f aca="false">'CEMIUP0.9 Raw'!A1674</f>
        <v>Super-Pharm Israel (CEMI internal group)</v>
      </c>
    </row>
    <row r="5948" customFormat="false" ht="15" hidden="false" customHeight="false" outlineLevel="0" collapsed="false">
      <c r="A5948" s="18" t="n">
        <f aca="false">'CEMIUP0.9 Raw'!B1690</f>
        <v>4422003</v>
      </c>
      <c r="B5948" s="18" t="str">
        <f aca="false">'CEMIUP0.9 Raw'!C1690</f>
        <v>FC331Z- 120 תתתרסיס מרענן לרגל</v>
      </c>
      <c r="C5948" s="18" t="str">
        <f aca="false">'CEMIUP0.9 Raw'!C1690</f>
        <v>FC331Z- 120 תתתרסיס מרענן לרגל</v>
      </c>
      <c r="D5948" s="19" t="n">
        <f aca="false">'CEMIUP0.9 Raw'!D1690</f>
        <v>-3</v>
      </c>
      <c r="E5948" s="19" t="n">
        <f aca="false">'CEMIUP0.9 Raw'!E1690</f>
        <v>-64.337</v>
      </c>
      <c r="F5948" s="19" t="n">
        <f aca="false">'CEMIUP0.9 Raw'!F1690</f>
        <v>0</v>
      </c>
      <c r="G5948" s="19" t="n">
        <f aca="false">'CEMIUP0.9 Raw'!G1690</f>
        <v>0</v>
      </c>
      <c r="H5948" s="18" t="str">
        <f aca="false">'CEMIUP0.9 Raw'!A1690</f>
        <v>Super-Pharm Israel (CEMI internal group)</v>
      </c>
    </row>
    <row r="5949" customFormat="false" ht="15" hidden="false" customHeight="false" outlineLevel="0" collapsed="false">
      <c r="A5949" s="18" t="n">
        <f aca="false">'CEMIUP0.9 Raw'!B33</f>
        <v>4403028</v>
      </c>
      <c r="B5949" s="18" t="str">
        <f aca="false">'CEMIUP0.9 Raw'!C33</f>
        <v>397 35-38 גרבי טיסה מידה</v>
      </c>
      <c r="C5949" s="18" t="str">
        <f aca="false">'CEMIUP0.9 Raw'!C33</f>
        <v>397 35-38 גרבי טיסה מידה</v>
      </c>
      <c r="D5949" s="19" t="n">
        <f aca="false">'CEMIUP0.9 Raw'!D33</f>
        <v>125</v>
      </c>
      <c r="E5949" s="19" t="n">
        <f aca="false">'CEMIUP0.9 Raw'!E33</f>
        <v>6693.323</v>
      </c>
      <c r="F5949" s="19" t="n">
        <f aca="false">'CEMIUP0.9 Raw'!F33</f>
        <v>-1.26315789473684</v>
      </c>
      <c r="G5949" s="19" t="n">
        <f aca="false">'CEMIUP0.9 Raw'!G33</f>
        <v>-60.6922105263158</v>
      </c>
      <c r="H5949" s="18" t="str">
        <f aca="false">'CEMIUP0.9 Raw'!A33</f>
        <v>107 - Pharmacies</v>
      </c>
    </row>
    <row r="5950" customFormat="false" ht="15" hidden="false" customHeight="false" outlineLevel="0" collapsed="false">
      <c r="A5950" s="18" t="n">
        <f aca="false">'CEMIUP0.9 Raw'!B54</f>
        <v>4408016</v>
      </c>
      <c r="B5950" s="18" t="str">
        <f aca="false">'CEMIUP0.9 Raw'!C54</f>
        <v>07AU M ח.גב ""איטלקית"" אורירית</v>
      </c>
      <c r="C5950" s="18" t="str">
        <f aca="false">'CEMIUP0.9 Raw'!C54</f>
        <v>07AU M ח.גב ""איטלקית"" אורירית</v>
      </c>
      <c r="D5950" s="19" t="n">
        <f aca="false">'CEMIUP0.9 Raw'!D54</f>
        <v>0</v>
      </c>
      <c r="E5950" s="19" t="n">
        <f aca="false">'CEMIUP0.9 Raw'!E54</f>
        <v>2.275</v>
      </c>
      <c r="F5950" s="19" t="n">
        <f aca="false">'CEMIUP0.9 Raw'!F54</f>
        <v>-1.26315789473684</v>
      </c>
      <c r="G5950" s="19" t="n">
        <f aca="false">'CEMIUP0.9 Raw'!G54</f>
        <v>-226.208842105263</v>
      </c>
      <c r="H5950" s="18" t="str">
        <f aca="false">'CEMIUP0.9 Raw'!A54</f>
        <v>107 - Pharmacies</v>
      </c>
    </row>
    <row r="5951" customFormat="false" ht="15" hidden="false" customHeight="false" outlineLevel="0" collapsed="false">
      <c r="A5951" s="18" t="n">
        <f aca="false">'CEMIUP0.9 Raw'!B68</f>
        <v>4408041</v>
      </c>
      <c r="B5951" s="18" t="str">
        <f aca="false">'CEMIUP0.9 Raw'!C68</f>
        <v>18 S ח.הריון מכנס למניעת כאבים</v>
      </c>
      <c r="C5951" s="18" t="str">
        <f aca="false">'CEMIUP0.9 Raw'!C68</f>
        <v>18 S ח.הריון מכנס למניעת כאבים</v>
      </c>
      <c r="D5951" s="19" t="n">
        <f aca="false">'CEMIUP0.9 Raw'!D68</f>
        <v>0</v>
      </c>
      <c r="E5951" s="19" t="n">
        <f aca="false">'CEMIUP0.9 Raw'!E68</f>
        <v>0</v>
      </c>
      <c r="F5951" s="19" t="n">
        <f aca="false">'CEMIUP0.9 Raw'!F68</f>
        <v>-1.26315789473684</v>
      </c>
      <c r="G5951" s="19" t="n">
        <f aca="false">'CEMIUP0.9 Raw'!G68</f>
        <v>-284.494736842105</v>
      </c>
      <c r="H5951" s="18" t="str">
        <f aca="false">'CEMIUP0.9 Raw'!A68</f>
        <v>107 - Pharmacies</v>
      </c>
    </row>
    <row r="5952" customFormat="false" ht="15" hidden="false" customHeight="false" outlineLevel="0" collapsed="false">
      <c r="A5952" s="18" t="n">
        <f aca="false">'CEMIUP0.9 Raw'!B69</f>
        <v>4408042</v>
      </c>
      <c r="B5952" s="18" t="str">
        <f aca="false">'CEMIUP0.9 Raw'!C69</f>
        <v>18 L ח.הריון מכנס למניעת כאבים</v>
      </c>
      <c r="C5952" s="18" t="str">
        <f aca="false">'CEMIUP0.9 Raw'!C69</f>
        <v>18 L ח.הריון מכנס למניעת כאבים</v>
      </c>
      <c r="D5952" s="19" t="n">
        <f aca="false">'CEMIUP0.9 Raw'!D69</f>
        <v>-1</v>
      </c>
      <c r="E5952" s="19" t="n">
        <f aca="false">'CEMIUP0.9 Raw'!E69</f>
        <v>-279.552</v>
      </c>
      <c r="F5952" s="19" t="n">
        <f aca="false">'CEMIUP0.9 Raw'!F69</f>
        <v>-1.26315789473684</v>
      </c>
      <c r="G5952" s="19" t="n">
        <f aca="false">'CEMIUP0.9 Raw'!G69</f>
        <v>-284.494736842105</v>
      </c>
      <c r="H5952" s="18" t="str">
        <f aca="false">'CEMIUP0.9 Raw'!A69</f>
        <v>107 - Pharmacies</v>
      </c>
    </row>
    <row r="5953" customFormat="false" ht="15" hidden="false" customHeight="false" outlineLevel="0" collapsed="false">
      <c r="A5953" s="18" t="n">
        <f aca="false">'CEMIUP0.9 Raw'!B70</f>
        <v>4408043</v>
      </c>
      <c r="B5953" s="18" t="str">
        <f aca="false">'CEMIUP0.9 Raw'!C70</f>
        <v>18 M ח.הריון מכנס למניעת כאבים</v>
      </c>
      <c r="C5953" s="18" t="str">
        <f aca="false">'CEMIUP0.9 Raw'!C70</f>
        <v>18 M ח.הריון מכנס למניעת כאבים</v>
      </c>
      <c r="D5953" s="19" t="n">
        <f aca="false">'CEMIUP0.9 Raw'!D70</f>
        <v>0</v>
      </c>
      <c r="E5953" s="19" t="n">
        <f aca="false">'CEMIUP0.9 Raw'!E70</f>
        <v>0</v>
      </c>
      <c r="F5953" s="19" t="n">
        <f aca="false">'CEMIUP0.9 Raw'!F70</f>
        <v>-1.26315789473684</v>
      </c>
      <c r="G5953" s="19" t="n">
        <f aca="false">'CEMIUP0.9 Raw'!G70</f>
        <v>-284.494736842105</v>
      </c>
      <c r="H5953" s="18" t="str">
        <f aca="false">'CEMIUP0.9 Raw'!A70</f>
        <v>107 - Pharmacies</v>
      </c>
    </row>
    <row r="5954" customFormat="false" ht="15" hidden="false" customHeight="false" outlineLevel="0" collapsed="false">
      <c r="A5954" s="18" t="n">
        <f aca="false">'CEMIUP0.9 Raw'!B71</f>
        <v>4408044</v>
      </c>
      <c r="B5954" s="18" t="str">
        <f aca="false">'CEMIUP0.9 Raw'!C71</f>
        <v>18  XL.ח.הריון מכנס למניעת כאב</v>
      </c>
      <c r="C5954" s="18" t="str">
        <f aca="false">'CEMIUP0.9 Raw'!C71</f>
        <v>18  XL.ח.הריון מכנס למניעת כאב</v>
      </c>
      <c r="D5954" s="19" t="n">
        <f aca="false">'CEMIUP0.9 Raw'!D71</f>
        <v>0</v>
      </c>
      <c r="E5954" s="19" t="n">
        <f aca="false">'CEMIUP0.9 Raw'!E71</f>
        <v>0</v>
      </c>
      <c r="F5954" s="19" t="n">
        <f aca="false">'CEMIUP0.9 Raw'!F71</f>
        <v>-1.26315789473684</v>
      </c>
      <c r="G5954" s="19" t="n">
        <f aca="false">'CEMIUP0.9 Raw'!G71</f>
        <v>-284.494736842105</v>
      </c>
      <c r="H5954" s="18" t="str">
        <f aca="false">'CEMIUP0.9 Raw'!A71</f>
        <v>107 - Pharmacies</v>
      </c>
    </row>
    <row r="5955" customFormat="false" ht="15" hidden="false" customHeight="false" outlineLevel="0" collapsed="false">
      <c r="A5955" s="18" t="n">
        <f aca="false">'CEMIUP0.9 Raw'!B84</f>
        <v>4408062</v>
      </c>
      <c r="B5955" s="18" t="str">
        <f aca="false">'CEMIUP0.9 Raw'!C84</f>
        <v>25 XL חבק יד אגודלי</v>
      </c>
      <c r="C5955" s="18" t="str">
        <f aca="false">'CEMIUP0.9 Raw'!C84</f>
        <v>25 XL חבק יד אגודלי</v>
      </c>
      <c r="D5955" s="19" t="n">
        <f aca="false">'CEMIUP0.9 Raw'!D84</f>
        <v>2</v>
      </c>
      <c r="E5955" s="19" t="n">
        <f aca="false">'CEMIUP0.9 Raw'!E84</f>
        <v>120.393</v>
      </c>
      <c r="F5955" s="19" t="n">
        <f aca="false">'CEMIUP0.9 Raw'!F84</f>
        <v>-1.26315789473684</v>
      </c>
      <c r="G5955" s="19" t="n">
        <f aca="false">'CEMIUP0.9 Raw'!G84</f>
        <v>-61.152</v>
      </c>
      <c r="H5955" s="18" t="str">
        <f aca="false">'CEMIUP0.9 Raw'!A84</f>
        <v>107 - Pharmacies</v>
      </c>
    </row>
    <row r="5956" customFormat="false" ht="15" hidden="false" customHeight="false" outlineLevel="0" collapsed="false">
      <c r="A5956" s="18" t="n">
        <f aca="false">'CEMIUP0.9 Raw'!B124</f>
        <v>4408130</v>
      </c>
      <c r="B5956" s="18" t="str">
        <f aca="false">'CEMIUP0.9 Raw'!C124</f>
        <v>15W M חגורת צלעות לאשה</v>
      </c>
      <c r="C5956" s="18" t="str">
        <f aca="false">'CEMIUP0.9 Raw'!C124</f>
        <v>15W M חגורת צלעות לאשה</v>
      </c>
      <c r="D5956" s="19" t="n">
        <f aca="false">'CEMIUP0.9 Raw'!D124</f>
        <v>0</v>
      </c>
      <c r="E5956" s="19" t="n">
        <f aca="false">'CEMIUP0.9 Raw'!E124</f>
        <v>0</v>
      </c>
      <c r="F5956" s="19" t="n">
        <f aca="false">'CEMIUP0.9 Raw'!F124</f>
        <v>-1.26315789473684</v>
      </c>
      <c r="G5956" s="19" t="n">
        <f aca="false">'CEMIUP0.9 Raw'!G124</f>
        <v>-161.616</v>
      </c>
      <c r="H5956" s="18" t="str">
        <f aca="false">'CEMIUP0.9 Raw'!A124</f>
        <v>107 - Pharmacies</v>
      </c>
    </row>
    <row r="5957" customFormat="false" ht="15" hidden="false" customHeight="false" outlineLevel="0" collapsed="false">
      <c r="A5957" s="18" t="n">
        <f aca="false">'CEMIUP0.9 Raw'!B163</f>
        <v>4408229</v>
      </c>
      <c r="B5957" s="18" t="str">
        <f aca="false">'CEMIUP0.9 Raw'!C163</f>
        <v>XXL 11אפורUGחגורת בטן</v>
      </c>
      <c r="C5957" s="18" t="str">
        <f aca="false">'CEMIUP0.9 Raw'!C163</f>
        <v>XXL 11אפורUGחגורת בטן</v>
      </c>
      <c r="D5957" s="19" t="n">
        <f aca="false">'CEMIUP0.9 Raw'!D163</f>
        <v>1</v>
      </c>
      <c r="E5957" s="19" t="n">
        <f aca="false">'CEMIUP0.9 Raw'!E163</f>
        <v>93.821</v>
      </c>
      <c r="F5957" s="19" t="n">
        <f aca="false">'CEMIUP0.9 Raw'!F163</f>
        <v>-1.26315789473684</v>
      </c>
      <c r="G5957" s="19" t="n">
        <f aca="false">'CEMIUP0.9 Raw'!G163</f>
        <v>-106.671157894737</v>
      </c>
      <c r="H5957" s="18" t="str">
        <f aca="false">'CEMIUP0.9 Raw'!A163</f>
        <v>107 - Pharmacies</v>
      </c>
    </row>
    <row r="5958" customFormat="false" ht="15" hidden="false" customHeight="false" outlineLevel="0" collapsed="false">
      <c r="A5958" s="18" t="n">
        <f aca="false">'CEMIUP0.9 Raw'!B223</f>
        <v>4413019</v>
      </c>
      <c r="B5958" s="18" t="str">
        <f aca="false">'CEMIUP0.9 Raw'!C223</f>
        <v>303 39-40 מדרסי סיליק.לח.סכרת</v>
      </c>
      <c r="C5958" s="18" t="str">
        <f aca="false">'CEMIUP0.9 Raw'!C223</f>
        <v>303 39-40 מדרסי סיליק.לח.סכרת</v>
      </c>
      <c r="D5958" s="19" t="n">
        <f aca="false">'CEMIUP0.9 Raw'!D223</f>
        <v>0</v>
      </c>
      <c r="E5958" s="19" t="n">
        <f aca="false">'CEMIUP0.9 Raw'!E223</f>
        <v>0</v>
      </c>
      <c r="F5958" s="19" t="n">
        <f aca="false">'CEMIUP0.9 Raw'!F223</f>
        <v>-1.26315789473684</v>
      </c>
      <c r="G5958" s="19" t="n">
        <f aca="false">'CEMIUP0.9 Raw'!G223</f>
        <v>-81.7275789473684</v>
      </c>
      <c r="H5958" s="18" t="str">
        <f aca="false">'CEMIUP0.9 Raw'!A223</f>
        <v>107 - Pharmacies</v>
      </c>
    </row>
    <row r="5959" customFormat="false" ht="15" hidden="false" customHeight="false" outlineLevel="0" collapsed="false">
      <c r="A5959" s="18" t="n">
        <f aca="false">'CEMIUP0.9 Raw'!B225</f>
        <v>4413021</v>
      </c>
      <c r="B5959" s="18" t="str">
        <f aca="false">'CEMIUP0.9 Raw'!C225</f>
        <v>303 43-44 מדרסי סיליק.לח.סכרת</v>
      </c>
      <c r="C5959" s="18" t="str">
        <f aca="false">'CEMIUP0.9 Raw'!C225</f>
        <v>303 43-44 מדרסי סיליק.לח.סכרת</v>
      </c>
      <c r="D5959" s="19" t="n">
        <f aca="false">'CEMIUP0.9 Raw'!D225</f>
        <v>10</v>
      </c>
      <c r="E5959" s="19" t="n">
        <f aca="false">'CEMIUP0.9 Raw'!E225</f>
        <v>1009.19</v>
      </c>
      <c r="F5959" s="19" t="n">
        <f aca="false">'CEMIUP0.9 Raw'!F225</f>
        <v>-1.26315789473684</v>
      </c>
      <c r="G5959" s="19" t="n">
        <f aca="false">'CEMIUP0.9 Raw'!G225</f>
        <v>-108.970105263158</v>
      </c>
      <c r="H5959" s="18" t="str">
        <f aca="false">'CEMIUP0.9 Raw'!A225</f>
        <v>107 - Pharmacies</v>
      </c>
    </row>
    <row r="5960" customFormat="false" ht="15" hidden="false" customHeight="false" outlineLevel="0" collapsed="false">
      <c r="A5960" s="18" t="n">
        <f aca="false">'CEMIUP0.9 Raw'!B289</f>
        <v>4413116</v>
      </c>
      <c r="B5960" s="18" t="str">
        <f aca="false">'CEMIUP0.9 Raw'!C289</f>
        <v>50 S מתלה אשכים לאחר ניתוח</v>
      </c>
      <c r="C5960" s="18" t="str">
        <f aca="false">'CEMIUP0.9 Raw'!C289</f>
        <v>50 S מתלה אשכים לאחר ניתוח</v>
      </c>
      <c r="D5960" s="19" t="n">
        <f aca="false">'CEMIUP0.9 Raw'!D289</f>
        <v>0</v>
      </c>
      <c r="E5960" s="19" t="n">
        <f aca="false">'CEMIUP0.9 Raw'!E289</f>
        <v>0</v>
      </c>
      <c r="F5960" s="19" t="n">
        <f aca="false">'CEMIUP0.9 Raw'!F289</f>
        <v>-1.26315789473684</v>
      </c>
      <c r="G5960" s="19" t="n">
        <f aca="false">'CEMIUP0.9 Raw'!G289</f>
        <v>-102.073263157895</v>
      </c>
      <c r="H5960" s="18" t="str">
        <f aca="false">'CEMIUP0.9 Raw'!A289</f>
        <v>107 - Pharmacies</v>
      </c>
    </row>
    <row r="5961" customFormat="false" ht="15" hidden="false" customHeight="false" outlineLevel="0" collapsed="false">
      <c r="A5961" s="18" t="n">
        <f aca="false">'CEMIUP0.9 Raw'!B295</f>
        <v>4413123</v>
      </c>
      <c r="B5961" s="18" t="str">
        <f aca="false">'CEMIUP0.9 Raw'!C295</f>
        <v>55 M מתלה אשכים לספורטאים</v>
      </c>
      <c r="C5961" s="18" t="str">
        <f aca="false">'CEMIUP0.9 Raw'!C295</f>
        <v>55 M מתלה אשכים לספורטאים</v>
      </c>
      <c r="D5961" s="19" t="n">
        <f aca="false">'CEMIUP0.9 Raw'!D295</f>
        <v>2</v>
      </c>
      <c r="E5961" s="19" t="n">
        <f aca="false">'CEMIUP0.9 Raw'!E295</f>
        <v>146.146</v>
      </c>
      <c r="F5961" s="19" t="n">
        <f aca="false">'CEMIUP0.9 Raw'!F295</f>
        <v>-1.26315789473684</v>
      </c>
      <c r="G5961" s="19" t="n">
        <f aca="false">'CEMIUP0.9 Raw'!G295</f>
        <v>-92.3027368421053</v>
      </c>
      <c r="H5961" s="18" t="str">
        <f aca="false">'CEMIUP0.9 Raw'!A295</f>
        <v>107 - Pharmacies</v>
      </c>
    </row>
    <row r="5962" customFormat="false" ht="15" hidden="false" customHeight="false" outlineLevel="0" collapsed="false">
      <c r="A5962" s="18" t="n">
        <f aca="false">'CEMIUP0.9 Raw'!B520</f>
        <v>4416006</v>
      </c>
      <c r="B5962" s="18" t="str">
        <f aca="false">'CEMIUP0.9 Raw'!C520</f>
        <v>308 Sעקבים סיליק.כחול לדורבן</v>
      </c>
      <c r="C5962" s="18" t="str">
        <f aca="false">'CEMIUP0.9 Raw'!C520</f>
        <v>308 Sעקבים סיליק.כחול לדורבן</v>
      </c>
      <c r="D5962" s="19" t="n">
        <f aca="false">'CEMIUP0.9 Raw'!D520</f>
        <v>-1</v>
      </c>
      <c r="E5962" s="19" t="n">
        <f aca="false">'CEMIUP0.9 Raw'!E520</f>
        <v>-23.023</v>
      </c>
      <c r="F5962" s="19" t="n">
        <f aca="false">'CEMIUP0.9 Raw'!F520</f>
        <v>-1.26315789473684</v>
      </c>
      <c r="G5962" s="19" t="n">
        <f aca="false">'CEMIUP0.9 Raw'!G520</f>
        <v>-67.1292631578947</v>
      </c>
      <c r="H5962" s="18" t="str">
        <f aca="false">'CEMIUP0.9 Raw'!A520</f>
        <v>107 - Pharmacies</v>
      </c>
    </row>
    <row r="5963" customFormat="false" ht="15" hidden="false" customHeight="false" outlineLevel="0" collapsed="false">
      <c r="A5963" s="18" t="n">
        <f aca="false">'CEMIUP0.9 Raw'!B545</f>
        <v>4420008</v>
      </c>
      <c r="B5963" s="18" t="str">
        <f aca="false">'CEMIUP0.9 Raw'!C545</f>
        <v>377  רפ.אורטופדית ספורט זוג39</v>
      </c>
      <c r="C5963" s="18" t="str">
        <f aca="false">'CEMIUP0.9 Raw'!C545</f>
        <v>377  רפ.אורטופדית ספורט זוג39</v>
      </c>
      <c r="D5963" s="19" t="n">
        <f aca="false">'CEMIUP0.9 Raw'!D545</f>
        <v>2</v>
      </c>
      <c r="E5963" s="19" t="n">
        <f aca="false">'CEMIUP0.9 Raw'!E545</f>
        <v>76.713</v>
      </c>
      <c r="F5963" s="19" t="n">
        <f aca="false">'CEMIUP0.9 Raw'!F545</f>
        <v>-1.26315789473684</v>
      </c>
      <c r="G5963" s="19" t="n">
        <f aca="false">'CEMIUP0.9 Raw'!G545</f>
        <v>-41.9557894736842</v>
      </c>
      <c r="H5963" s="18" t="str">
        <f aca="false">'CEMIUP0.9 Raw'!A545</f>
        <v>107 - Pharmacies</v>
      </c>
    </row>
    <row r="5964" customFormat="false" ht="15" hidden="false" customHeight="false" outlineLevel="0" collapsed="false">
      <c r="A5964" s="18" t="n">
        <f aca="false">'CEMIUP0.9 Raw'!B546</f>
        <v>4420009</v>
      </c>
      <c r="B5964" s="18" t="str">
        <f aca="false">'CEMIUP0.9 Raw'!C546</f>
        <v>377  רפ.אורטופדית ספורט זוג40</v>
      </c>
      <c r="C5964" s="18" t="str">
        <f aca="false">'CEMIUP0.9 Raw'!C546</f>
        <v>377  רפ.אורטופדית ספורט זוג40</v>
      </c>
      <c r="D5964" s="19" t="n">
        <f aca="false">'CEMIUP0.9 Raw'!D546</f>
        <v>0</v>
      </c>
      <c r="E5964" s="19" t="n">
        <f aca="false">'CEMIUP0.9 Raw'!E546</f>
        <v>0</v>
      </c>
      <c r="F5964" s="19" t="n">
        <f aca="false">'CEMIUP0.9 Raw'!F546</f>
        <v>-1.26315789473684</v>
      </c>
      <c r="G5964" s="19" t="n">
        <f aca="false">'CEMIUP0.9 Raw'!G546</f>
        <v>-41.9557894736842</v>
      </c>
      <c r="H5964" s="18" t="str">
        <f aca="false">'CEMIUP0.9 Raw'!A546</f>
        <v>107 - Pharmacies</v>
      </c>
    </row>
    <row r="5965" customFormat="false" ht="15" hidden="false" customHeight="false" outlineLevel="0" collapsed="false">
      <c r="A5965" s="18" t="n">
        <f aca="false">'CEMIUP0.9 Raw'!B548</f>
        <v>4420012</v>
      </c>
      <c r="B5965" s="18" t="str">
        <f aca="false">'CEMIUP0.9 Raw'!C548</f>
        <v>377   רפידה אורט.ספורט זוג43</v>
      </c>
      <c r="C5965" s="18" t="str">
        <f aca="false">'CEMIUP0.9 Raw'!C548</f>
        <v>377   רפידה אורט.ספורט זוג43</v>
      </c>
      <c r="D5965" s="19" t="n">
        <f aca="false">'CEMIUP0.9 Raw'!D548</f>
        <v>0</v>
      </c>
      <c r="E5965" s="19" t="n">
        <f aca="false">'CEMIUP0.9 Raw'!E548</f>
        <v>0</v>
      </c>
      <c r="F5965" s="19" t="n">
        <f aca="false">'CEMIUP0.9 Raw'!F548</f>
        <v>-1.26315789473684</v>
      </c>
      <c r="G5965" s="19" t="n">
        <f aca="false">'CEMIUP0.9 Raw'!G548</f>
        <v>-41.9557894736842</v>
      </c>
      <c r="H5965" s="18" t="str">
        <f aca="false">'CEMIUP0.9 Raw'!A548</f>
        <v>107 - Pharmacies</v>
      </c>
    </row>
    <row r="5966" customFormat="false" ht="15" hidden="false" customHeight="false" outlineLevel="0" collapsed="false">
      <c r="A5966" s="18" t="n">
        <f aca="false">'CEMIUP0.9 Raw'!B715</f>
        <v>4408079</v>
      </c>
      <c r="B5966" s="18" t="str">
        <f aca="false">'CEMIUP0.9 Raw'!C715</f>
        <v>59R S</v>
      </c>
      <c r="C5966" s="18" t="str">
        <f aca="false">'CEMIUP0.9 Raw'!C715</f>
        <v>59R S</v>
      </c>
      <c r="D5966" s="19" t="n">
        <f aca="false">'CEMIUP0.9 Raw'!D715</f>
        <v>2</v>
      </c>
      <c r="E5966" s="19" t="n">
        <f aca="false">'CEMIUP0.9 Raw'!E715</f>
        <v>253.14</v>
      </c>
      <c r="F5966" s="19" t="n">
        <f aca="false">'CEMIUP0.9 Raw'!F715</f>
        <v>-1.26315789473684</v>
      </c>
      <c r="G5966" s="19" t="n">
        <f aca="false">'CEMIUP0.9 Raw'!G715</f>
        <v>-159.877894736842</v>
      </c>
      <c r="H5966" s="18" t="str">
        <f aca="false">'CEMIUP0.9 Raw'!A715</f>
        <v>113 - Kupat Holim Meuhedet</v>
      </c>
    </row>
    <row r="5967" customFormat="false" ht="15" hidden="false" customHeight="false" outlineLevel="0" collapsed="false">
      <c r="A5967" s="18" t="n">
        <f aca="false">'CEMIUP0.9 Raw'!B947</f>
        <v>4403022</v>
      </c>
      <c r="B5967" s="18" t="str">
        <f aca="false">'CEMIUP0.9 Raw'!C947</f>
        <v>394G גרב.כסף לסכרתים אפור43-46</v>
      </c>
      <c r="C5967" s="18" t="str">
        <f aca="false">'CEMIUP0.9 Raw'!C947</f>
        <v>394G גרב.כסף לסכרתים אפור43-46</v>
      </c>
      <c r="D5967" s="19" t="n">
        <f aca="false">'CEMIUP0.9 Raw'!D947</f>
        <v>4</v>
      </c>
      <c r="E5967" s="19" t="n">
        <f aca="false">'CEMIUP0.9 Raw'!E947</f>
        <v>87.451</v>
      </c>
      <c r="F5967" s="19" t="n">
        <f aca="false">'CEMIUP0.9 Raw'!F947</f>
        <v>-1.26315789473684</v>
      </c>
      <c r="G5967" s="19" t="n">
        <f aca="false">'CEMIUP0.9 Raw'!G947</f>
        <v>-27.5873684210526</v>
      </c>
      <c r="H5967" s="18" t="str">
        <f aca="false">'CEMIUP0.9 Raw'!A947</f>
        <v>BE (CEMI internal group)</v>
      </c>
    </row>
    <row r="5968" customFormat="false" ht="15" hidden="false" customHeight="false" outlineLevel="0" collapsed="false">
      <c r="A5968" s="18" t="n">
        <f aca="false">'CEMIUP0.9 Raw'!B957</f>
        <v>4408010</v>
      </c>
      <c r="B5968" s="18" t="str">
        <f aca="false">'CEMIUP0.9 Raw'!C957</f>
        <v>079 L ח.גב סג.כפולה שחור+אדום</v>
      </c>
      <c r="C5968" s="18" t="str">
        <f aca="false">'CEMIUP0.9 Raw'!C957</f>
        <v>079 L ח.גב סג.כפולה שחור+אדום</v>
      </c>
      <c r="D5968" s="19" t="n">
        <f aca="false">'CEMIUP0.9 Raw'!D957</f>
        <v>-3</v>
      </c>
      <c r="E5968" s="19" t="n">
        <f aca="false">'CEMIUP0.9 Raw'!E957</f>
        <v>-270.907</v>
      </c>
      <c r="F5968" s="19" t="n">
        <f aca="false">'CEMIUP0.9 Raw'!F957</f>
        <v>-1.26315789473684</v>
      </c>
      <c r="G5968" s="19" t="n">
        <f aca="false">'CEMIUP0.9 Raw'!G957</f>
        <v>-114.027789473684</v>
      </c>
      <c r="H5968" s="18" t="str">
        <f aca="false">'CEMIUP0.9 Raw'!A957</f>
        <v>BE (CEMI internal group)</v>
      </c>
    </row>
    <row r="5969" customFormat="false" ht="15" hidden="false" customHeight="false" outlineLevel="0" collapsed="false">
      <c r="A5969" s="18" t="n">
        <f aca="false">'CEMIUP0.9 Raw'!B958</f>
        <v>4408011</v>
      </c>
      <c r="B5969" s="18" t="str">
        <f aca="false">'CEMIUP0.9 Raw'!C958</f>
        <v>079  M ח.גב סג.כפולה שחור+אדום</v>
      </c>
      <c r="C5969" s="18" t="str">
        <f aca="false">'CEMIUP0.9 Raw'!C958</f>
        <v>079  M ח.גב סג.כפולה שחור+אדום</v>
      </c>
      <c r="D5969" s="19" t="n">
        <f aca="false">'CEMIUP0.9 Raw'!D958</f>
        <v>2</v>
      </c>
      <c r="E5969" s="19" t="n">
        <f aca="false">'CEMIUP0.9 Raw'!E958</f>
        <v>180.544</v>
      </c>
      <c r="F5969" s="19" t="n">
        <f aca="false">'CEMIUP0.9 Raw'!F958</f>
        <v>-1.26315789473684</v>
      </c>
      <c r="G5969" s="19" t="n">
        <f aca="false">'CEMIUP0.9 Raw'!G958</f>
        <v>-114.027789473684</v>
      </c>
      <c r="H5969" s="18" t="str">
        <f aca="false">'CEMIUP0.9 Raw'!A958</f>
        <v>BE (CEMI internal group)</v>
      </c>
    </row>
    <row r="5970" customFormat="false" ht="15" hidden="false" customHeight="false" outlineLevel="0" collapsed="false">
      <c r="A5970" s="18" t="n">
        <f aca="false">'CEMIUP0.9 Raw'!B970</f>
        <v>4408044</v>
      </c>
      <c r="B5970" s="18" t="str">
        <f aca="false">'CEMIUP0.9 Raw'!C970</f>
        <v>18  XL.ח.הריון מכנס למניעת כאב</v>
      </c>
      <c r="C5970" s="18" t="str">
        <f aca="false">'CEMIUP0.9 Raw'!C970</f>
        <v>18  XL.ח.הריון מכנס למניעת כאב</v>
      </c>
      <c r="D5970" s="19" t="n">
        <f aca="false">'CEMIUP0.9 Raw'!D970</f>
        <v>2</v>
      </c>
      <c r="E5970" s="19" t="n">
        <f aca="false">'CEMIUP0.9 Raw'!E970</f>
        <v>521.976</v>
      </c>
      <c r="F5970" s="19" t="n">
        <f aca="false">'CEMIUP0.9 Raw'!F970</f>
        <v>-1.26315789473684</v>
      </c>
      <c r="G5970" s="19" t="n">
        <f aca="false">'CEMIUP0.9 Raw'!G970</f>
        <v>-329.669052631579</v>
      </c>
      <c r="H5970" s="18" t="str">
        <f aca="false">'CEMIUP0.9 Raw'!A970</f>
        <v>BE (CEMI internal group)</v>
      </c>
    </row>
    <row r="5971" customFormat="false" ht="15" hidden="false" customHeight="false" outlineLevel="0" collapsed="false">
      <c r="A5971" s="18" t="n">
        <f aca="false">'CEMIUP0.9 Raw'!B982</f>
        <v>4408062</v>
      </c>
      <c r="B5971" s="18" t="str">
        <f aca="false">'CEMIUP0.9 Raw'!C982</f>
        <v>25 XL חבק יד אגודלי</v>
      </c>
      <c r="C5971" s="18" t="str">
        <f aca="false">'CEMIUP0.9 Raw'!C982</f>
        <v>25 XL חבק יד אגודלי</v>
      </c>
      <c r="D5971" s="19" t="n">
        <f aca="false">'CEMIUP0.9 Raw'!D982</f>
        <v>1</v>
      </c>
      <c r="E5971" s="19" t="n">
        <f aca="false">'CEMIUP0.9 Raw'!E982</f>
        <v>62.335</v>
      </c>
      <c r="F5971" s="19" t="n">
        <f aca="false">'CEMIUP0.9 Raw'!F982</f>
        <v>-1.26315789473684</v>
      </c>
      <c r="G5971" s="19" t="n">
        <f aca="false">'CEMIUP0.9 Raw'!G982</f>
        <v>-78.7389473684211</v>
      </c>
      <c r="H5971" s="18" t="str">
        <f aca="false">'CEMIUP0.9 Raw'!A982</f>
        <v>BE (CEMI internal group)</v>
      </c>
    </row>
    <row r="5972" customFormat="false" ht="15" hidden="false" customHeight="false" outlineLevel="0" collapsed="false">
      <c r="A5972" s="18" t="n">
        <f aca="false">'CEMIUP0.9 Raw'!B1000</f>
        <v>4408104</v>
      </c>
      <c r="B5972" s="18" t="str">
        <f aca="false">'CEMIUP0.9 Raw'!C1000</f>
        <v>19 L-XLחגורת הריון בכאב.חזק</v>
      </c>
      <c r="C5972" s="18" t="str">
        <f aca="false">'CEMIUP0.9 Raw'!C1000</f>
        <v>19 L-XLחגורת הריון בכאב.חזק</v>
      </c>
      <c r="D5972" s="19" t="n">
        <f aca="false">'CEMIUP0.9 Raw'!D1000</f>
        <v>0</v>
      </c>
      <c r="E5972" s="19" t="n">
        <f aca="false">'CEMIUP0.9 Raw'!E1000</f>
        <v>0</v>
      </c>
      <c r="F5972" s="19" t="n">
        <f aca="false">'CEMIUP0.9 Raw'!F1000</f>
        <v>-1.26315789473684</v>
      </c>
      <c r="G5972" s="19" t="n">
        <f aca="false">'CEMIUP0.9 Raw'!G1000</f>
        <v>-256.562526315789</v>
      </c>
      <c r="H5972" s="18" t="str">
        <f aca="false">'CEMIUP0.9 Raw'!A1000</f>
        <v>BE (CEMI internal group)</v>
      </c>
    </row>
    <row r="5973" customFormat="false" ht="15" hidden="false" customHeight="false" outlineLevel="0" collapsed="false">
      <c r="A5973" s="18" t="n">
        <f aca="false">'CEMIUP0.9 Raw'!B1024</f>
        <v>4408234</v>
      </c>
      <c r="B5973" s="18" t="str">
        <f aca="false">'CEMIUP0.9 Raw'!C1024</f>
        <v>078C M'חגורת גב+סגירה כפו בז</v>
      </c>
      <c r="C5973" s="18" t="str">
        <f aca="false">'CEMIUP0.9 Raw'!C1024</f>
        <v>078C M'חגורת גב+סגירה כפו בז</v>
      </c>
      <c r="D5973" s="19" t="n">
        <f aca="false">'CEMIUP0.9 Raw'!D1024</f>
        <v>-3</v>
      </c>
      <c r="E5973" s="19" t="n">
        <f aca="false">'CEMIUP0.9 Raw'!E1024</f>
        <v>-270.907</v>
      </c>
      <c r="F5973" s="19" t="n">
        <f aca="false">'CEMIUP0.9 Raw'!F1024</f>
        <v>-1.26315789473684</v>
      </c>
      <c r="G5973" s="19" t="n">
        <f aca="false">'CEMIUP0.9 Raw'!G1024</f>
        <v>-114.027789473684</v>
      </c>
      <c r="H5973" s="18" t="str">
        <f aca="false">'CEMIUP0.9 Raw'!A1024</f>
        <v>BE (CEMI internal group)</v>
      </c>
    </row>
    <row r="5974" customFormat="false" ht="15" hidden="false" customHeight="false" outlineLevel="0" collapsed="false">
      <c r="A5974" s="18" t="n">
        <f aca="false">'CEMIUP0.9 Raw'!B1026</f>
        <v>4408236</v>
      </c>
      <c r="B5974" s="18" t="str">
        <f aca="false">'CEMIUP0.9 Raw'!C1026</f>
        <v>078C XLתתחגורת גב+סגירה כפו בז</v>
      </c>
      <c r="C5974" s="18" t="str">
        <f aca="false">'CEMIUP0.9 Raw'!C1026</f>
        <v>078C XLתתחגורת גב+סגירה כפו בז</v>
      </c>
      <c r="D5974" s="19" t="n">
        <f aca="false">'CEMIUP0.9 Raw'!D1026</f>
        <v>-1</v>
      </c>
      <c r="E5974" s="19" t="n">
        <f aca="false">'CEMIUP0.9 Raw'!E1026</f>
        <v>-90.272</v>
      </c>
      <c r="F5974" s="19" t="n">
        <f aca="false">'CEMIUP0.9 Raw'!F1026</f>
        <v>-1.26315789473684</v>
      </c>
      <c r="G5974" s="19" t="n">
        <f aca="false">'CEMIUP0.9 Raw'!G1026</f>
        <v>-114.027789473684</v>
      </c>
      <c r="H5974" s="18" t="str">
        <f aca="false">'CEMIUP0.9 Raw'!A1026</f>
        <v>BE (CEMI internal group)</v>
      </c>
    </row>
    <row r="5975" customFormat="false" ht="15" hidden="false" customHeight="false" outlineLevel="0" collapsed="false">
      <c r="A5975" s="18" t="n">
        <f aca="false">'CEMIUP0.9 Raw'!B1031</f>
        <v>4408252</v>
      </c>
      <c r="B5975" s="18" t="str">
        <f aca="false">'CEMIUP0.9 Raw'!C1031</f>
        <v>L-XL 099 חגורת גב שרוכים</v>
      </c>
      <c r="C5975" s="18" t="str">
        <f aca="false">'CEMIUP0.9 Raw'!C1031</f>
        <v>L-XL 099 חגורת גב שרוכים</v>
      </c>
      <c r="D5975" s="19" t="n">
        <f aca="false">'CEMIUP0.9 Raw'!D1031</f>
        <v>0</v>
      </c>
      <c r="E5975" s="19" t="n">
        <f aca="false">'CEMIUP0.9 Raw'!E1031</f>
        <v>0</v>
      </c>
      <c r="F5975" s="19" t="n">
        <f aca="false">'CEMIUP0.9 Raw'!F1031</f>
        <v>-1.26315789473684</v>
      </c>
      <c r="G5975" s="19" t="n">
        <f aca="false">'CEMIUP0.9 Raw'!G1031</f>
        <v>-139.661052631579</v>
      </c>
      <c r="H5975" s="18" t="str">
        <f aca="false">'CEMIUP0.9 Raw'!A1031</f>
        <v>BE (CEMI internal group)</v>
      </c>
    </row>
    <row r="5976" customFormat="false" ht="15" hidden="false" customHeight="false" outlineLevel="0" collapsed="false">
      <c r="A5976" s="18" t="n">
        <f aca="false">'CEMIUP0.9 Raw'!B1041</f>
        <v>4409017</v>
      </c>
      <c r="B5976" s="18" t="str">
        <f aca="false">'CEMIUP0.9 Raw'!C1041</f>
        <v>808KT-B        טייפ קינזיולוגי</v>
      </c>
      <c r="C5976" s="18" t="str">
        <f aca="false">'CEMIUP0.9 Raw'!C1041</f>
        <v>808KT-B        טייפ קינזיולוגי</v>
      </c>
      <c r="D5976" s="19" t="n">
        <f aca="false">'CEMIUP0.9 Raw'!D1041</f>
        <v>0</v>
      </c>
      <c r="E5976" s="19" t="n">
        <f aca="false">'CEMIUP0.9 Raw'!E1041</f>
        <v>0</v>
      </c>
      <c r="F5976" s="19" t="n">
        <f aca="false">'CEMIUP0.9 Raw'!F1041</f>
        <v>-1.26315789473684</v>
      </c>
      <c r="G5976" s="19" t="n">
        <f aca="false">'CEMIUP0.9 Raw'!G1041</f>
        <v>-50.6917894736842</v>
      </c>
      <c r="H5976" s="18" t="str">
        <f aca="false">'CEMIUP0.9 Raw'!A1041</f>
        <v>BE (CEMI internal group)</v>
      </c>
    </row>
    <row r="5977" customFormat="false" ht="15" hidden="false" customHeight="false" outlineLevel="0" collapsed="false">
      <c r="A5977" s="18" t="n">
        <f aca="false">'CEMIUP0.9 Raw'!B1048</f>
        <v>4413004</v>
      </c>
      <c r="B5977" s="18" t="str">
        <f aca="false">'CEMIUP0.9 Raw'!C1048</f>
        <v>30 XL מגן קרסול מתכוון סקוטש</v>
      </c>
      <c r="C5977" s="18" t="str">
        <f aca="false">'CEMIUP0.9 Raw'!C1048</f>
        <v>30 XL מגן קרסול מתכוון סקוטש</v>
      </c>
      <c r="D5977" s="19" t="n">
        <f aca="false">'CEMIUP0.9 Raw'!D1048</f>
        <v>11</v>
      </c>
      <c r="E5977" s="19" t="n">
        <f aca="false">'CEMIUP0.9 Raw'!E1048</f>
        <v>621.894</v>
      </c>
      <c r="F5977" s="19" t="n">
        <f aca="false">'CEMIUP0.9 Raw'!F1048</f>
        <v>-1.26315789473684</v>
      </c>
      <c r="G5977" s="19" t="n">
        <f aca="false">'CEMIUP0.9 Raw'!G1048</f>
        <v>-70.9225263157895</v>
      </c>
      <c r="H5977" s="18" t="str">
        <f aca="false">'CEMIUP0.9 Raw'!A1048</f>
        <v>BE (CEMI internal group)</v>
      </c>
    </row>
    <row r="5978" customFormat="false" ht="15" hidden="false" customHeight="false" outlineLevel="0" collapsed="false">
      <c r="A5978" s="18" t="n">
        <f aca="false">'CEMIUP0.9 Raw'!B1049</f>
        <v>4413005</v>
      </c>
      <c r="B5978" s="18" t="str">
        <f aca="false">'CEMIUP0.9 Raw'!C1049</f>
        <v>30 XXL מגן קרסול מתכוון+סקוטש</v>
      </c>
      <c r="C5978" s="18" t="str">
        <f aca="false">'CEMIUP0.9 Raw'!C1049</f>
        <v>30 XXL מגן קרסול מתכוון+סקוטש</v>
      </c>
      <c r="D5978" s="19" t="n">
        <f aca="false">'CEMIUP0.9 Raw'!D1049</f>
        <v>1</v>
      </c>
      <c r="E5978" s="19" t="n">
        <f aca="false">'CEMIUP0.9 Raw'!E1049</f>
        <v>56.238</v>
      </c>
      <c r="F5978" s="19" t="n">
        <f aca="false">'CEMIUP0.9 Raw'!F1049</f>
        <v>-1.26315789473684</v>
      </c>
      <c r="G5978" s="19" t="n">
        <f aca="false">'CEMIUP0.9 Raw'!G1049</f>
        <v>-70.9225263157895</v>
      </c>
      <c r="H5978" s="18" t="str">
        <f aca="false">'CEMIUP0.9 Raw'!A1049</f>
        <v>BE (CEMI internal group)</v>
      </c>
    </row>
    <row r="5979" customFormat="false" ht="15" hidden="false" customHeight="false" outlineLevel="0" collapsed="false">
      <c r="A5979" s="18" t="n">
        <f aca="false">'CEMIUP0.9 Raw'!B1050</f>
        <v>4413008</v>
      </c>
      <c r="B5979" s="18" t="str">
        <f aca="false">'CEMIUP0.9 Raw'!C1050</f>
        <v>300M תתמדרס.ציפוי עור גבר זו43</v>
      </c>
      <c r="C5979" s="18" t="str">
        <f aca="false">'CEMIUP0.9 Raw'!C1050</f>
        <v>300M תתמדרס.ציפוי עור גבר זו43</v>
      </c>
      <c r="D5979" s="19" t="n">
        <f aca="false">'CEMIUP0.9 Raw'!D1050</f>
        <v>-2</v>
      </c>
      <c r="E5979" s="19" t="n">
        <f aca="false">'CEMIUP0.9 Raw'!E1050</f>
        <v>-176.085</v>
      </c>
      <c r="F5979" s="19" t="n">
        <f aca="false">'CEMIUP0.9 Raw'!F1050</f>
        <v>-1.26315789473684</v>
      </c>
      <c r="G5979" s="19" t="n">
        <f aca="false">'CEMIUP0.9 Raw'!G1050</f>
        <v>-111.154105263158</v>
      </c>
      <c r="H5979" s="18" t="str">
        <f aca="false">'CEMIUP0.9 Raw'!A1050</f>
        <v>BE (CEMI internal group)</v>
      </c>
    </row>
    <row r="5980" customFormat="false" ht="15" hidden="false" customHeight="false" outlineLevel="0" collapsed="false">
      <c r="A5980" s="18" t="n">
        <f aca="false">'CEMIUP0.9 Raw'!B1083</f>
        <v>4413076</v>
      </c>
      <c r="B5980" s="18" t="str">
        <f aca="false">'CEMIUP0.9 Raw'!C1083</f>
        <v>41X L מגן ברך מוצלב+מוט</v>
      </c>
      <c r="C5980" s="18" t="str">
        <f aca="false">'CEMIUP0.9 Raw'!C1083</f>
        <v>41X L מגן ברך מוצלב+מוט</v>
      </c>
      <c r="D5980" s="19" t="n">
        <f aca="false">'CEMIUP0.9 Raw'!D1083</f>
        <v>5</v>
      </c>
      <c r="E5980" s="19" t="n">
        <f aca="false">'CEMIUP0.9 Raw'!E1083</f>
        <v>571.935</v>
      </c>
      <c r="F5980" s="19" t="n">
        <f aca="false">'CEMIUP0.9 Raw'!F1083</f>
        <v>-1.26315789473684</v>
      </c>
      <c r="G5980" s="19" t="n">
        <f aca="false">'CEMIUP0.9 Raw'!G1083</f>
        <v>-208.284631578947</v>
      </c>
      <c r="H5980" s="18" t="str">
        <f aca="false">'CEMIUP0.9 Raw'!A1083</f>
        <v>BE (CEMI internal group)</v>
      </c>
    </row>
    <row r="5981" customFormat="false" ht="15" hidden="false" customHeight="false" outlineLevel="0" collapsed="false">
      <c r="A5981" s="18" t="n">
        <f aca="false">'CEMIUP0.9 Raw'!B1111</f>
        <v>4413117</v>
      </c>
      <c r="B5981" s="18" t="str">
        <f aca="false">'CEMIUP0.9 Raw'!C1111</f>
        <v>50 L מתלה אשכים לאחר ניתוח</v>
      </c>
      <c r="C5981" s="18" t="str">
        <f aca="false">'CEMIUP0.9 Raw'!C1111</f>
        <v>50 L מתלה אשכים לאחר ניתוח</v>
      </c>
      <c r="D5981" s="19" t="n">
        <f aca="false">'CEMIUP0.9 Raw'!D1111</f>
        <v>0</v>
      </c>
      <c r="E5981" s="19" t="n">
        <f aca="false">'CEMIUP0.9 Raw'!E1111</f>
        <v>0</v>
      </c>
      <c r="F5981" s="19" t="n">
        <f aca="false">'CEMIUP0.9 Raw'!F1111</f>
        <v>-1.26315789473684</v>
      </c>
      <c r="G5981" s="19" t="n">
        <f aca="false">'CEMIUP0.9 Raw'!G1111</f>
        <v>-119.775157894737</v>
      </c>
      <c r="H5981" s="18" t="str">
        <f aca="false">'CEMIUP0.9 Raw'!A1111</f>
        <v>BE (CEMI internal group)</v>
      </c>
    </row>
    <row r="5982" customFormat="false" ht="15" hidden="false" customHeight="false" outlineLevel="0" collapsed="false">
      <c r="A5982" s="18" t="n">
        <f aca="false">'CEMIUP0.9 Raw'!B1162</f>
        <v>4413285</v>
      </c>
      <c r="B5982" s="18" t="str">
        <f aca="false">'CEMIUP0.9 Raw'!C1162</f>
        <v>305GA מדרס מתכוונן47-48</v>
      </c>
      <c r="C5982" s="18" t="str">
        <f aca="false">'CEMIUP0.9 Raw'!C1162</f>
        <v>305GA מדרס מתכוונן47-48</v>
      </c>
      <c r="D5982" s="19" t="n">
        <f aca="false">'CEMIUP0.9 Raw'!D1162</f>
        <v>0</v>
      </c>
      <c r="E5982" s="19" t="n">
        <f aca="false">'CEMIUP0.9 Raw'!E1162</f>
        <v>0</v>
      </c>
      <c r="F5982" s="19" t="n">
        <f aca="false">'CEMIUP0.9 Raw'!F1162</f>
        <v>-1.26315789473684</v>
      </c>
      <c r="G5982" s="19" t="n">
        <f aca="false">'CEMIUP0.9 Raw'!G1162</f>
        <v>-80.4631578947368</v>
      </c>
      <c r="H5982" s="18" t="str">
        <f aca="false">'CEMIUP0.9 Raw'!A1162</f>
        <v>BE (CEMI internal group)</v>
      </c>
    </row>
    <row r="5983" customFormat="false" ht="15" hidden="false" customHeight="false" outlineLevel="0" collapsed="false">
      <c r="A5983" s="18" t="n">
        <f aca="false">'CEMIUP0.9 Raw'!B1194</f>
        <v>4413444</v>
      </c>
      <c r="B5983" s="18" t="str">
        <f aca="false">'CEMIUP0.9 Raw'!C1194</f>
        <v>302SP M מדרס ג'ל ספורט לגבר</v>
      </c>
      <c r="C5983" s="18" t="str">
        <f aca="false">'CEMIUP0.9 Raw'!C1194</f>
        <v>302SP M מדרס ג'ל ספורט לגבר</v>
      </c>
      <c r="D5983" s="19" t="n">
        <f aca="false">'CEMIUP0.9 Raw'!D1194</f>
        <v>-1</v>
      </c>
      <c r="E5983" s="19" t="n">
        <f aca="false">'CEMIUP0.9 Raw'!E1194</f>
        <v>-59.696</v>
      </c>
      <c r="F5983" s="19" t="n">
        <f aca="false">'CEMIUP0.9 Raw'!F1194</f>
        <v>-1.26315789473684</v>
      </c>
      <c r="G5983" s="19" t="n">
        <f aca="false">'CEMIUP0.9 Raw'!G1194</f>
        <v>-75.4054736842105</v>
      </c>
      <c r="H5983" s="18" t="str">
        <f aca="false">'CEMIUP0.9 Raw'!A1194</f>
        <v>BE (CEMI internal group)</v>
      </c>
    </row>
    <row r="5984" customFormat="false" ht="15" hidden="false" customHeight="false" outlineLevel="0" collapsed="false">
      <c r="A5984" s="18" t="n">
        <f aca="false">'CEMIUP0.9 Raw'!B1287</f>
        <v>4403011</v>
      </c>
      <c r="B5984" s="18" t="str">
        <f aca="false">'CEMIUP0.9 Raw'!C1287</f>
        <v>3444 0   גרביים+סיליקון</v>
      </c>
      <c r="C5984" s="18" t="str">
        <f aca="false">'CEMIUP0.9 Raw'!C1287</f>
        <v>3444 0   גרביים+סיליקון</v>
      </c>
      <c r="D5984" s="19" t="n">
        <f aca="false">'CEMIUP0.9 Raw'!D1287</f>
        <v>-1</v>
      </c>
      <c r="E5984" s="19" t="n">
        <f aca="false">'CEMIUP0.9 Raw'!E1287</f>
        <v>-25.844</v>
      </c>
      <c r="F5984" s="19" t="n">
        <f aca="false">'CEMIUP0.9 Raw'!F1287</f>
        <v>-1.26315789473684</v>
      </c>
      <c r="G5984" s="19" t="n">
        <f aca="false">'CEMIUP0.9 Raw'!G1287</f>
        <v>-36.6682105263158</v>
      </c>
      <c r="H5984" s="18" t="str">
        <f aca="false">'CEMIUP0.9 Raw'!A1287</f>
        <v>Super-Pharm Israel (CEMI internal group)</v>
      </c>
    </row>
    <row r="5985" customFormat="false" ht="15" hidden="false" customHeight="false" outlineLevel="0" collapsed="false">
      <c r="A5985" s="18" t="n">
        <f aca="false">'CEMIUP0.9 Raw'!B1311</f>
        <v>4408017</v>
      </c>
      <c r="B5985" s="18" t="str">
        <f aca="false">'CEMIUP0.9 Raw'!C1311</f>
        <v>07AU XL ח.גב ""איטלקית"" אורירית</v>
      </c>
      <c r="C5985" s="18" t="str">
        <f aca="false">'CEMIUP0.9 Raw'!C1311</f>
        <v>07AU XL ח.גב ""איטלקית"" אורירית</v>
      </c>
      <c r="D5985" s="19" t="n">
        <f aca="false">'CEMIUP0.9 Raw'!D1311</f>
        <v>-1</v>
      </c>
      <c r="E5985" s="19" t="n">
        <f aca="false">'CEMIUP0.9 Raw'!E1311</f>
        <v>-196.014</v>
      </c>
      <c r="F5985" s="19" t="n">
        <f aca="false">'CEMIUP0.9 Raw'!F1311</f>
        <v>-1.26315789473684</v>
      </c>
      <c r="G5985" s="19" t="n">
        <f aca="false">'CEMIUP0.9 Raw'!G1311</f>
        <v>-247.596631578947</v>
      </c>
      <c r="H5985" s="18" t="str">
        <f aca="false">'CEMIUP0.9 Raw'!A1311</f>
        <v>Super-Pharm Israel (CEMI internal group)</v>
      </c>
    </row>
    <row r="5986" customFormat="false" ht="15" hidden="false" customHeight="false" outlineLevel="0" collapsed="false">
      <c r="A5986" s="18" t="n">
        <f aca="false">'CEMIUP0.9 Raw'!B1323</f>
        <v>4408039</v>
      </c>
      <c r="B5986" s="18" t="str">
        <f aca="false">'CEMIUP0.9 Raw'!C1323</f>
        <v>12 XL ח.גב מגנטית+מוטות תמיכה</v>
      </c>
      <c r="C5986" s="18" t="str">
        <f aca="false">'CEMIUP0.9 Raw'!C1323</f>
        <v>12 XL ח.גב מגנטית+מוטות תמיכה</v>
      </c>
      <c r="D5986" s="19" t="n">
        <f aca="false">'CEMIUP0.9 Raw'!D1323</f>
        <v>0</v>
      </c>
      <c r="E5986" s="19" t="n">
        <f aca="false">'CEMIUP0.9 Raw'!E1323</f>
        <v>0</v>
      </c>
      <c r="F5986" s="19" t="n">
        <f aca="false">'CEMIUP0.9 Raw'!F1323</f>
        <v>-1.26315789473684</v>
      </c>
      <c r="G5986" s="19" t="n">
        <f aca="false">'CEMIUP0.9 Raw'!G1323</f>
        <v>-205.296</v>
      </c>
      <c r="H5986" s="18" t="str">
        <f aca="false">'CEMIUP0.9 Raw'!A1323</f>
        <v>Super-Pharm Israel (CEMI internal group)</v>
      </c>
    </row>
    <row r="5987" customFormat="false" ht="15" hidden="false" customHeight="false" outlineLevel="0" collapsed="false">
      <c r="A5987" s="18" t="n">
        <f aca="false">'CEMIUP0.9 Raw'!B1324</f>
        <v>4408042</v>
      </c>
      <c r="B5987" s="18" t="str">
        <f aca="false">'CEMIUP0.9 Raw'!C1324</f>
        <v>18 L ח.הריון מכנס למניעת כאבים</v>
      </c>
      <c r="C5987" s="18" t="str">
        <f aca="false">'CEMIUP0.9 Raw'!C1324</f>
        <v>18 L ח.הריון מכנס למניעת כאבים</v>
      </c>
      <c r="D5987" s="19" t="n">
        <f aca="false">'CEMIUP0.9 Raw'!D1324</f>
        <v>0</v>
      </c>
      <c r="E5987" s="19" t="n">
        <f aca="false">'CEMIUP0.9 Raw'!E1324</f>
        <v>0</v>
      </c>
      <c r="F5987" s="19" t="n">
        <f aca="false">'CEMIUP0.9 Raw'!F1324</f>
        <v>-1.26315789473684</v>
      </c>
      <c r="G5987" s="19" t="n">
        <f aca="false">'CEMIUP0.9 Raw'!G1324</f>
        <v>-305.989894736842</v>
      </c>
      <c r="H5987" s="18" t="str">
        <f aca="false">'CEMIUP0.9 Raw'!A1324</f>
        <v>Super-Pharm Israel (CEMI internal group)</v>
      </c>
    </row>
    <row r="5988" customFormat="false" ht="15" hidden="false" customHeight="false" outlineLevel="0" collapsed="false">
      <c r="A5988" s="18" t="n">
        <f aca="false">'CEMIUP0.9 Raw'!B1335</f>
        <v>4408060</v>
      </c>
      <c r="B5988" s="18" t="str">
        <f aca="false">'CEMIUP0.9 Raw'!C1335</f>
        <v>25 M חבק יד אגודלי</v>
      </c>
      <c r="C5988" s="18" t="str">
        <f aca="false">'CEMIUP0.9 Raw'!C1335</f>
        <v>25 M חבק יד אגודלי</v>
      </c>
      <c r="D5988" s="19" t="n">
        <f aca="false">'CEMIUP0.9 Raw'!D1335</f>
        <v>-1</v>
      </c>
      <c r="E5988" s="19" t="n">
        <f aca="false">'CEMIUP0.9 Raw'!E1335</f>
        <v>-57.876</v>
      </c>
      <c r="F5988" s="19" t="n">
        <f aca="false">'CEMIUP0.9 Raw'!F1335</f>
        <v>-1.26315789473684</v>
      </c>
      <c r="G5988" s="19" t="n">
        <f aca="false">'CEMIUP0.9 Raw'!G1335</f>
        <v>-73.1065263157895</v>
      </c>
      <c r="H5988" s="18" t="str">
        <f aca="false">'CEMIUP0.9 Raw'!A1335</f>
        <v>Super-Pharm Israel (CEMI internal group)</v>
      </c>
    </row>
    <row r="5989" customFormat="false" ht="15" hidden="false" customHeight="false" outlineLevel="0" collapsed="false">
      <c r="A5989" s="18" t="n">
        <f aca="false">'CEMIUP0.9 Raw'!B1336</f>
        <v>4408062</v>
      </c>
      <c r="B5989" s="18" t="str">
        <f aca="false">'CEMIUP0.9 Raw'!C1336</f>
        <v>25 XL חבק יד אגודלי</v>
      </c>
      <c r="C5989" s="18" t="str">
        <f aca="false">'CEMIUP0.9 Raw'!C1336</f>
        <v>25 XL חבק יד אגודלי</v>
      </c>
      <c r="D5989" s="19" t="n">
        <f aca="false">'CEMIUP0.9 Raw'!D1336</f>
        <v>-5</v>
      </c>
      <c r="E5989" s="19" t="n">
        <f aca="false">'CEMIUP0.9 Raw'!E1336</f>
        <v>-289.471</v>
      </c>
      <c r="F5989" s="19" t="n">
        <f aca="false">'CEMIUP0.9 Raw'!F1336</f>
        <v>-1.26315789473684</v>
      </c>
      <c r="G5989" s="19" t="n">
        <f aca="false">'CEMIUP0.9 Raw'!G1336</f>
        <v>-69.4282105263158</v>
      </c>
      <c r="H5989" s="18" t="str">
        <f aca="false">'CEMIUP0.9 Raw'!A1336</f>
        <v>Super-Pharm Israel (CEMI internal group)</v>
      </c>
    </row>
    <row r="5990" customFormat="false" ht="15" hidden="false" customHeight="false" outlineLevel="0" collapsed="false">
      <c r="A5990" s="18" t="n">
        <f aca="false">'CEMIUP0.9 Raw'!B1338</f>
        <v>4408075</v>
      </c>
      <c r="B5990" s="18" t="str">
        <f aca="false">'CEMIUP0.9 Raw'!C1338</f>
        <v>59L S חגורת שבר לצד שמאל</v>
      </c>
      <c r="C5990" s="18" t="str">
        <f aca="false">'CEMIUP0.9 Raw'!C1338</f>
        <v>59L S חגורת שבר לצד שמאל</v>
      </c>
      <c r="D5990" s="19" t="n">
        <f aca="false">'CEMIUP0.9 Raw'!D1338</f>
        <v>0</v>
      </c>
      <c r="E5990" s="19" t="n">
        <f aca="false">'CEMIUP0.9 Raw'!E1338</f>
        <v>0</v>
      </c>
      <c r="F5990" s="19" t="n">
        <f aca="false">'CEMIUP0.9 Raw'!F1338</f>
        <v>-1.26315789473684</v>
      </c>
      <c r="G5990" s="19" t="n">
        <f aca="false">'CEMIUP0.9 Raw'!G1338</f>
        <v>0</v>
      </c>
      <c r="H5990" s="18" t="str">
        <f aca="false">'CEMIUP0.9 Raw'!A1338</f>
        <v>Super-Pharm Israel (CEMI internal group)</v>
      </c>
    </row>
    <row r="5991" customFormat="false" ht="15" hidden="false" customHeight="false" outlineLevel="0" collapsed="false">
      <c r="A5991" s="18" t="n">
        <f aca="false">'CEMIUP0.9 Raw'!B1345</f>
        <v>4408086</v>
      </c>
      <c r="B5991" s="18" t="str">
        <f aca="false">'CEMIUP0.9 Raw'!C1345</f>
        <v>922S.חבק יד לטניס כרית סיליק</v>
      </c>
      <c r="C5991" s="18" t="str">
        <f aca="false">'CEMIUP0.9 Raw'!C1345</f>
        <v>922S.חבק יד לטניס כרית סיליק</v>
      </c>
      <c r="D5991" s="19" t="n">
        <f aca="false">'CEMIUP0.9 Raw'!D1345</f>
        <v>-1</v>
      </c>
      <c r="E5991" s="19" t="n">
        <f aca="false">'CEMIUP0.9 Raw'!E1345</f>
        <v>0</v>
      </c>
      <c r="F5991" s="19" t="n">
        <f aca="false">'CEMIUP0.9 Raw'!F1345</f>
        <v>-1.26315789473684</v>
      </c>
      <c r="G5991" s="19" t="n">
        <f aca="false">'CEMIUP0.9 Raw'!G1345</f>
        <v>0</v>
      </c>
      <c r="H5991" s="18" t="str">
        <f aca="false">'CEMIUP0.9 Raw'!A1345</f>
        <v>Super-Pharm Israel (CEMI internal group)</v>
      </c>
    </row>
    <row r="5992" customFormat="false" ht="15" hidden="false" customHeight="false" outlineLevel="0" collapsed="false">
      <c r="A5992" s="18" t="n">
        <f aca="false">'CEMIUP0.9 Raw'!B1347</f>
        <v>4408089</v>
      </c>
      <c r="B5992" s="18" t="str">
        <f aca="false">'CEMIUP0.9 Raw'!C1347</f>
        <v>T11C S  חגורת גב פוג'יאמה</v>
      </c>
      <c r="C5992" s="18" t="str">
        <f aca="false">'CEMIUP0.9 Raw'!C1347</f>
        <v>T11C S  חגורת גב פוג'יאמה</v>
      </c>
      <c r="D5992" s="19" t="n">
        <f aca="false">'CEMIUP0.9 Raw'!D1347</f>
        <v>-1</v>
      </c>
      <c r="E5992" s="19" t="n">
        <f aca="false">'CEMIUP0.9 Raw'!E1347</f>
        <v>-74.529</v>
      </c>
      <c r="F5992" s="19" t="n">
        <f aca="false">'CEMIUP0.9 Raw'!F1347</f>
        <v>-1.26315789473684</v>
      </c>
      <c r="G5992" s="19" t="n">
        <f aca="false">'CEMIUP0.9 Raw'!G1347</f>
        <v>-94.1418947368421</v>
      </c>
      <c r="H5992" s="18" t="str">
        <f aca="false">'CEMIUP0.9 Raw'!A1347</f>
        <v>Super-Pharm Israel (CEMI internal group)</v>
      </c>
    </row>
    <row r="5993" customFormat="false" ht="15" hidden="false" customHeight="false" outlineLevel="0" collapsed="false">
      <c r="A5993" s="18" t="n">
        <f aca="false">'CEMIUP0.9 Raw'!B1351</f>
        <v>4408093</v>
      </c>
      <c r="B5993" s="18" t="str">
        <f aca="false">'CEMIUP0.9 Raw'!C1351</f>
        <v>T11C XXL חגורת גב פוג'יאמה</v>
      </c>
      <c r="C5993" s="18" t="str">
        <f aca="false">'CEMIUP0.9 Raw'!C1351</f>
        <v>T11C XXL חגורת גב פוג'יאמה</v>
      </c>
      <c r="D5993" s="19" t="n">
        <f aca="false">'CEMIUP0.9 Raw'!D1351</f>
        <v>0</v>
      </c>
      <c r="E5993" s="19" t="n">
        <f aca="false">'CEMIUP0.9 Raw'!E1351</f>
        <v>0</v>
      </c>
      <c r="F5993" s="19" t="n">
        <f aca="false">'CEMIUP0.9 Raw'!F1351</f>
        <v>-1.26315789473684</v>
      </c>
      <c r="G5993" s="19" t="n">
        <f aca="false">'CEMIUP0.9 Raw'!G1351</f>
        <v>-94.1418947368421</v>
      </c>
      <c r="H5993" s="18" t="str">
        <f aca="false">'CEMIUP0.9 Raw'!A1351</f>
        <v>Super-Pharm Israel (CEMI internal group)</v>
      </c>
    </row>
    <row r="5994" customFormat="false" ht="15" hidden="false" customHeight="false" outlineLevel="0" collapsed="false">
      <c r="A5994" s="18" t="n">
        <f aca="false">'CEMIUP0.9 Raw'!B1358</f>
        <v>4408104</v>
      </c>
      <c r="B5994" s="18" t="str">
        <f aca="false">'CEMIUP0.9 Raw'!C1358</f>
        <v>19 L-XLחגורת הריון בכאב.חזק</v>
      </c>
      <c r="C5994" s="18" t="str">
        <f aca="false">'CEMIUP0.9 Raw'!C1358</f>
        <v>19 L-XLחגורת הריון בכאב.חזק</v>
      </c>
      <c r="D5994" s="19" t="n">
        <f aca="false">'CEMIUP0.9 Raw'!D1358</f>
        <v>0</v>
      </c>
      <c r="E5994" s="19" t="n">
        <f aca="false">'CEMIUP0.9 Raw'!E1358</f>
        <v>0</v>
      </c>
      <c r="F5994" s="19" t="n">
        <f aca="false">'CEMIUP0.9 Raw'!F1358</f>
        <v>-1.26315789473684</v>
      </c>
      <c r="G5994" s="19" t="n">
        <f aca="false">'CEMIUP0.9 Raw'!G1358</f>
        <v>-238.170947368421</v>
      </c>
      <c r="H5994" s="18" t="str">
        <f aca="false">'CEMIUP0.9 Raw'!A1358</f>
        <v>Super-Pharm Israel (CEMI internal group)</v>
      </c>
    </row>
    <row r="5995" customFormat="false" ht="15" hidden="false" customHeight="false" outlineLevel="0" collapsed="false">
      <c r="A5995" s="18" t="n">
        <f aca="false">'CEMIUP0.9 Raw'!B1363</f>
        <v>4408150</v>
      </c>
      <c r="B5995" s="18" t="str">
        <f aca="false">'CEMIUP0.9 Raw'!C1363</f>
        <v>11TO S חגורה למנותחי בית החזה</v>
      </c>
      <c r="C5995" s="18" t="str">
        <f aca="false">'CEMIUP0.9 Raw'!C1363</f>
        <v>11TO S חגורה למנותחי בית החזה</v>
      </c>
      <c r="D5995" s="19" t="n">
        <f aca="false">'CEMIUP0.9 Raw'!D1363</f>
        <v>0</v>
      </c>
      <c r="E5995" s="19" t="n">
        <f aca="false">'CEMIUP0.9 Raw'!E1363</f>
        <v>0</v>
      </c>
      <c r="F5995" s="19" t="n">
        <f aca="false">'CEMIUP0.9 Raw'!F1363</f>
        <v>-1.26315789473684</v>
      </c>
      <c r="G5995" s="19" t="n">
        <f aca="false">'CEMIUP0.9 Raw'!G1363</f>
        <v>-147.592421052632</v>
      </c>
      <c r="H5995" s="18" t="str">
        <f aca="false">'CEMIUP0.9 Raw'!A1363</f>
        <v>Super-Pharm Israel (CEMI internal group)</v>
      </c>
    </row>
    <row r="5996" customFormat="false" ht="15" hidden="false" customHeight="false" outlineLevel="0" collapsed="false">
      <c r="A5996" s="18" t="n">
        <f aca="false">'CEMIUP0.9 Raw'!B1368</f>
        <v>4408178</v>
      </c>
      <c r="B5996" s="18" t="str">
        <f aca="false">'CEMIUP0.9 Raw'!C1368</f>
        <v>13 L חגורה לשבר טבור</v>
      </c>
      <c r="C5996" s="18" t="str">
        <f aca="false">'CEMIUP0.9 Raw'!C1368</f>
        <v>13 L חגורה לשבר טבור</v>
      </c>
      <c r="D5996" s="19" t="n">
        <f aca="false">'CEMIUP0.9 Raw'!D1368</f>
        <v>-1</v>
      </c>
      <c r="E5996" s="19" t="n">
        <f aca="false">'CEMIUP0.9 Raw'!E1368</f>
        <v>-122.85</v>
      </c>
      <c r="F5996" s="19" t="n">
        <f aca="false">'CEMIUP0.9 Raw'!F1368</f>
        <v>-1.26315789473684</v>
      </c>
      <c r="G5996" s="19" t="n">
        <f aca="false">'CEMIUP0.9 Raw'!G1368</f>
        <v>-155.178947368421</v>
      </c>
      <c r="H5996" s="18" t="str">
        <f aca="false">'CEMIUP0.9 Raw'!A1368</f>
        <v>Super-Pharm Israel (CEMI internal group)</v>
      </c>
    </row>
    <row r="5997" customFormat="false" ht="15" hidden="false" customHeight="false" outlineLevel="0" collapsed="false">
      <c r="A5997" s="18" t="n">
        <f aca="false">'CEMIUP0.9 Raw'!B1391</f>
        <v>4408236</v>
      </c>
      <c r="B5997" s="18" t="str">
        <f aca="false">'CEMIUP0.9 Raw'!C1391</f>
        <v>078C XLתתחגורת גב+סגירה כפו בז</v>
      </c>
      <c r="C5997" s="18" t="str">
        <f aca="false">'CEMIUP0.9 Raw'!C1391</f>
        <v>078C XLתתחגורת גב+סגירה כפו בז</v>
      </c>
      <c r="D5997" s="19" t="n">
        <f aca="false">'CEMIUP0.9 Raw'!D1391</f>
        <v>0</v>
      </c>
      <c r="E5997" s="19" t="n">
        <f aca="false">'CEMIUP0.9 Raw'!E1391</f>
        <v>0</v>
      </c>
      <c r="F5997" s="19" t="n">
        <f aca="false">'CEMIUP0.9 Raw'!F1391</f>
        <v>-1.26315789473684</v>
      </c>
      <c r="G5997" s="19" t="n">
        <f aca="false">'CEMIUP0.9 Raw'!G1391</f>
        <v>-105.866526315789</v>
      </c>
      <c r="H5997" s="18" t="str">
        <f aca="false">'CEMIUP0.9 Raw'!A1391</f>
        <v>Super-Pharm Israel (CEMI internal group)</v>
      </c>
    </row>
    <row r="5998" customFormat="false" ht="15" hidden="false" customHeight="false" outlineLevel="0" collapsed="false">
      <c r="A5998" s="18" t="n">
        <f aca="false">'CEMIUP0.9 Raw'!B1392</f>
        <v>4408240</v>
      </c>
      <c r="B5998" s="18" t="str">
        <f aca="false">'CEMIUP0.9 Raw'!C1392</f>
        <v>11UC S'תתחגורת בטן עממית בז</v>
      </c>
      <c r="C5998" s="18" t="str">
        <f aca="false">'CEMIUP0.9 Raw'!C1392</f>
        <v>11UC S'תתחגורת בטן עממית בז</v>
      </c>
      <c r="D5998" s="19" t="n">
        <f aca="false">'CEMIUP0.9 Raw'!D1392</f>
        <v>0</v>
      </c>
      <c r="E5998" s="19" t="n">
        <f aca="false">'CEMIUP0.9 Raw'!E1392</f>
        <v>0</v>
      </c>
      <c r="F5998" s="19" t="n">
        <f aca="false">'CEMIUP0.9 Raw'!F1392</f>
        <v>-1.26315789473684</v>
      </c>
      <c r="G5998" s="19" t="n">
        <f aca="false">'CEMIUP0.9 Raw'!G1392</f>
        <v>-89.4290526315789</v>
      </c>
      <c r="H5998" s="18" t="str">
        <f aca="false">'CEMIUP0.9 Raw'!A1392</f>
        <v>Super-Pharm Israel (CEMI internal group)</v>
      </c>
    </row>
    <row r="5999" customFormat="false" ht="15" hidden="false" customHeight="false" outlineLevel="0" collapsed="false">
      <c r="A5999" s="18" t="n">
        <f aca="false">'CEMIUP0.9 Raw'!B1396</f>
        <v>4408251</v>
      </c>
      <c r="B5999" s="18" t="str">
        <f aca="false">'CEMIUP0.9 Raw'!C1396</f>
        <v>S-M 099 חגורת גב שרוכים</v>
      </c>
      <c r="C5999" s="18" t="str">
        <f aca="false">'CEMIUP0.9 Raw'!C1396</f>
        <v>S-M 099 חגורת גב שרוכים</v>
      </c>
      <c r="D5999" s="19" t="n">
        <f aca="false">'CEMIUP0.9 Raw'!D1396</f>
        <v>0</v>
      </c>
      <c r="E5999" s="19" t="n">
        <f aca="false">'CEMIUP0.9 Raw'!E1396</f>
        <v>0</v>
      </c>
      <c r="F5999" s="19" t="n">
        <f aca="false">'CEMIUP0.9 Raw'!F1396</f>
        <v>-1.26315789473684</v>
      </c>
      <c r="G5999" s="19" t="n">
        <f aca="false">'CEMIUP0.9 Raw'!G1396</f>
        <v>-136.557473684211</v>
      </c>
      <c r="H5999" s="18" t="str">
        <f aca="false">'CEMIUP0.9 Raw'!A1396</f>
        <v>Super-Pharm Israel (CEMI internal group)</v>
      </c>
    </row>
    <row r="6000" customFormat="false" ht="15" hidden="false" customHeight="false" outlineLevel="0" collapsed="false">
      <c r="A6000" s="18" t="n">
        <f aca="false">'CEMIUP0.9 Raw'!B1397</f>
        <v>4408252</v>
      </c>
      <c r="B6000" s="18" t="str">
        <f aca="false">'CEMIUP0.9 Raw'!C1397</f>
        <v>L-XL 099 חגורת גב שרוכים</v>
      </c>
      <c r="C6000" s="18" t="str">
        <f aca="false">'CEMIUP0.9 Raw'!C1397</f>
        <v>L-XL 099 חגורת גב שרוכים</v>
      </c>
      <c r="D6000" s="19" t="n">
        <f aca="false">'CEMIUP0.9 Raw'!D1397</f>
        <v>0</v>
      </c>
      <c r="E6000" s="19" t="n">
        <f aca="false">'CEMIUP0.9 Raw'!E1397</f>
        <v>0</v>
      </c>
      <c r="F6000" s="19" t="n">
        <f aca="false">'CEMIUP0.9 Raw'!F1397</f>
        <v>-1.26315789473684</v>
      </c>
      <c r="G6000" s="19" t="n">
        <f aca="false">'CEMIUP0.9 Raw'!G1397</f>
        <v>-136.557473684211</v>
      </c>
      <c r="H6000" s="18" t="str">
        <f aca="false">'CEMIUP0.9 Raw'!A1397</f>
        <v>Super-Pharm Israel (CEMI internal group)</v>
      </c>
    </row>
    <row r="6001" customFormat="false" ht="15" hidden="false" customHeight="false" outlineLevel="0" collapsed="false">
      <c r="A6001" s="18" t="n">
        <f aca="false">'CEMIUP0.9 Raw'!B1435</f>
        <v>4413005</v>
      </c>
      <c r="B6001" s="18" t="str">
        <f aca="false">'CEMIUP0.9 Raw'!C1435</f>
        <v>30 XXL מגן קרסול מתכוון+סקוטש</v>
      </c>
      <c r="C6001" s="18" t="str">
        <f aca="false">'CEMIUP0.9 Raw'!C1435</f>
        <v>30 XXL מגן קרסול מתכוון+סקוטש</v>
      </c>
      <c r="D6001" s="19" t="n">
        <f aca="false">'CEMIUP0.9 Raw'!D1435</f>
        <v>-1</v>
      </c>
      <c r="E6001" s="19" t="n">
        <f aca="false">'CEMIUP0.9 Raw'!E1435</f>
        <v>-49.595</v>
      </c>
      <c r="F6001" s="19" t="n">
        <f aca="false">'CEMIUP0.9 Raw'!F1435</f>
        <v>-1.26315789473684</v>
      </c>
      <c r="G6001" s="19" t="n">
        <f aca="false">'CEMIUP0.9 Raw'!G1435</f>
        <v>-62.6463157894737</v>
      </c>
      <c r="H6001" s="18" t="str">
        <f aca="false">'CEMIUP0.9 Raw'!A1435</f>
        <v>Super-Pharm Israel (CEMI internal group)</v>
      </c>
    </row>
    <row r="6002" customFormat="false" ht="15" hidden="false" customHeight="false" outlineLevel="0" collapsed="false">
      <c r="A6002" s="18" t="n">
        <f aca="false">'CEMIUP0.9 Raw'!B1462</f>
        <v>4413074</v>
      </c>
      <c r="B6002" s="18" t="str">
        <f aca="false">'CEMIUP0.9 Raw'!C1462</f>
        <v>41  XL.מ.ברך מוצלב+ספירלות בצד</v>
      </c>
      <c r="C6002" s="18" t="str">
        <f aca="false">'CEMIUP0.9 Raw'!C1462</f>
        <v>41  XL.מ.ברך מוצלב+ספירלות בצד</v>
      </c>
      <c r="D6002" s="19" t="n">
        <f aca="false">'CEMIUP0.9 Raw'!D1462</f>
        <v>3</v>
      </c>
      <c r="E6002" s="19" t="n">
        <f aca="false">'CEMIUP0.9 Raw'!E1462</f>
        <v>290.654</v>
      </c>
      <c r="F6002" s="19" t="n">
        <f aca="false">'CEMIUP0.9 Raw'!F1462</f>
        <v>-1.26315789473684</v>
      </c>
      <c r="G6002" s="19" t="n">
        <f aca="false">'CEMIUP0.9 Raw'!G1462</f>
        <v>-122.418947368421</v>
      </c>
      <c r="H6002" s="18" t="str">
        <f aca="false">'CEMIUP0.9 Raw'!A1462</f>
        <v>Super-Pharm Israel (CEMI internal group)</v>
      </c>
    </row>
    <row r="6003" customFormat="false" ht="15" hidden="false" customHeight="false" outlineLevel="0" collapsed="false">
      <c r="A6003" s="18" t="n">
        <f aca="false">'CEMIUP0.9 Raw'!B1463</f>
        <v>4413078</v>
      </c>
      <c r="B6003" s="18" t="str">
        <f aca="false">'CEMIUP0.9 Raw'!C1463</f>
        <v>41X S מגן ברך מוצלב+מוט</v>
      </c>
      <c r="C6003" s="18" t="str">
        <f aca="false">'CEMIUP0.9 Raw'!C1463</f>
        <v>41X S מגן ברך מוצלב+מוט</v>
      </c>
      <c r="D6003" s="19" t="n">
        <f aca="false">'CEMIUP0.9 Raw'!D1463</f>
        <v>-1</v>
      </c>
      <c r="E6003" s="19" t="n">
        <f aca="false">'CEMIUP0.9 Raw'!E1463</f>
        <v>-106.197</v>
      </c>
      <c r="F6003" s="19" t="n">
        <f aca="false">'CEMIUP0.9 Raw'!F1463</f>
        <v>-1.26315789473684</v>
      </c>
      <c r="G6003" s="19" t="n">
        <f aca="false">'CEMIUP0.9 Raw'!G1463</f>
        <v>-134.143578947368</v>
      </c>
      <c r="H6003" s="18" t="str">
        <f aca="false">'CEMIUP0.9 Raw'!A1463</f>
        <v>Super-Pharm Israel (CEMI internal group)</v>
      </c>
    </row>
    <row r="6004" customFormat="false" ht="15" hidden="false" customHeight="false" outlineLevel="0" collapsed="false">
      <c r="A6004" s="18" t="n">
        <f aca="false">'CEMIUP0.9 Raw'!B1464</f>
        <v>4413079</v>
      </c>
      <c r="B6004" s="18" t="str">
        <f aca="false">'CEMIUP0.9 Raw'!C1464</f>
        <v>41X XL מגן ברך מוצלב+מוט</v>
      </c>
      <c r="C6004" s="18" t="str">
        <f aca="false">'CEMIUP0.9 Raw'!C1464</f>
        <v>41X XL מגן ברך מוצלב+מוט</v>
      </c>
      <c r="D6004" s="19" t="n">
        <f aca="false">'CEMIUP0.9 Raw'!D1464</f>
        <v>0</v>
      </c>
      <c r="E6004" s="19" t="n">
        <f aca="false">'CEMIUP0.9 Raw'!E1464</f>
        <v>0</v>
      </c>
      <c r="F6004" s="19" t="n">
        <f aca="false">'CEMIUP0.9 Raw'!F1464</f>
        <v>-1.26315789473684</v>
      </c>
      <c r="G6004" s="19" t="n">
        <f aca="false">'CEMIUP0.9 Raw'!G1464</f>
        <v>-134.143578947368</v>
      </c>
      <c r="H6004" s="18" t="str">
        <f aca="false">'CEMIUP0.9 Raw'!A1464</f>
        <v>Super-Pharm Israel (CEMI internal group)</v>
      </c>
    </row>
    <row r="6005" customFormat="false" ht="15" hidden="false" customHeight="false" outlineLevel="0" collapsed="false">
      <c r="A6005" s="18" t="n">
        <f aca="false">'CEMIUP0.9 Raw'!B1468</f>
        <v>4413090</v>
      </c>
      <c r="B6005" s="18" t="str">
        <f aca="false">'CEMIUP0.9 Raw'!C1468</f>
        <v>422 XLמ.ברך+כרית סיל.סביב לפיק</v>
      </c>
      <c r="C6005" s="18" t="str">
        <f aca="false">'CEMIUP0.9 Raw'!C1468</f>
        <v>422 XLמ.ברך+כרית סיל.סביב לפיק</v>
      </c>
      <c r="D6005" s="19" t="n">
        <f aca="false">'CEMIUP0.9 Raw'!D1468</f>
        <v>0</v>
      </c>
      <c r="E6005" s="19" t="n">
        <f aca="false">'CEMIUP0.9 Raw'!E1468</f>
        <v>6.916</v>
      </c>
      <c r="F6005" s="19" t="n">
        <f aca="false">'CEMIUP0.9 Raw'!F1468</f>
        <v>-1.26315789473684</v>
      </c>
      <c r="G6005" s="19" t="n">
        <f aca="false">'CEMIUP0.9 Raw'!G1468</f>
        <v>-174.260210526316</v>
      </c>
      <c r="H6005" s="18" t="str">
        <f aca="false">'CEMIUP0.9 Raw'!A1468</f>
        <v>Super-Pharm Israel (CEMI internal group)</v>
      </c>
    </row>
    <row r="6006" customFormat="false" ht="15" hidden="false" customHeight="false" outlineLevel="0" collapsed="false">
      <c r="A6006" s="18" t="n">
        <f aca="false">'CEMIUP0.9 Raw'!B1469</f>
        <v>4413091</v>
      </c>
      <c r="B6006" s="18" t="str">
        <f aca="false">'CEMIUP0.9 Raw'!C1469</f>
        <v>422 XXLמ.ברך+כרית סיל.סב. פיקה</v>
      </c>
      <c r="C6006" s="18" t="str">
        <f aca="false">'CEMIUP0.9 Raw'!C1469</f>
        <v>422 XXLמ.ברך+כרית סיל.סב. פיקה</v>
      </c>
      <c r="D6006" s="19" t="n">
        <f aca="false">'CEMIUP0.9 Raw'!D1469</f>
        <v>2</v>
      </c>
      <c r="E6006" s="19" t="n">
        <f aca="false">'CEMIUP0.9 Raw'!E1469</f>
        <v>275.821</v>
      </c>
      <c r="F6006" s="19" t="n">
        <f aca="false">'CEMIUP0.9 Raw'!F1469</f>
        <v>-1.26315789473684</v>
      </c>
      <c r="G6006" s="19" t="n">
        <f aca="false">'CEMIUP0.9 Raw'!G1469</f>
        <v>-165.524210526316</v>
      </c>
      <c r="H6006" s="18" t="str">
        <f aca="false">'CEMIUP0.9 Raw'!A1469</f>
        <v>Super-Pharm Israel (CEMI internal group)</v>
      </c>
    </row>
    <row r="6007" customFormat="false" ht="15" hidden="false" customHeight="false" outlineLevel="0" collapsed="false">
      <c r="A6007" s="18" t="n">
        <f aca="false">'CEMIUP0.9 Raw'!B1494</f>
        <v>4413117</v>
      </c>
      <c r="B6007" s="18" t="str">
        <f aca="false">'CEMIUP0.9 Raw'!C1494</f>
        <v>50 L מתלה אשכים לאחר ניתוח</v>
      </c>
      <c r="C6007" s="18" t="str">
        <f aca="false">'CEMIUP0.9 Raw'!C1494</f>
        <v>50 L מתלה אשכים לאחר ניתוח</v>
      </c>
      <c r="D6007" s="19" t="n">
        <f aca="false">'CEMIUP0.9 Raw'!D1494</f>
        <v>0</v>
      </c>
      <c r="E6007" s="19" t="n">
        <f aca="false">'CEMIUP0.9 Raw'!E1494</f>
        <v>0</v>
      </c>
      <c r="F6007" s="19" t="n">
        <f aca="false">'CEMIUP0.9 Raw'!F1494</f>
        <v>-1.26315789473684</v>
      </c>
      <c r="G6007" s="19" t="n">
        <f aca="false">'CEMIUP0.9 Raw'!G1494</f>
        <v>-111.269052631579</v>
      </c>
      <c r="H6007" s="18" t="str">
        <f aca="false">'CEMIUP0.9 Raw'!A1494</f>
        <v>Super-Pharm Israel (CEMI internal group)</v>
      </c>
    </row>
    <row r="6008" customFormat="false" ht="15" hidden="false" customHeight="false" outlineLevel="0" collapsed="false">
      <c r="A6008" s="18" t="n">
        <f aca="false">'CEMIUP0.9 Raw'!B1495</f>
        <v>4413119</v>
      </c>
      <c r="B6008" s="18" t="str">
        <f aca="false">'CEMIUP0.9 Raw'!C1495</f>
        <v>50 XL מתלה אשכים לאחר ניתוח</v>
      </c>
      <c r="C6008" s="18" t="str">
        <f aca="false">'CEMIUP0.9 Raw'!C1495</f>
        <v>50 XL מתלה אשכים לאחר ניתוח</v>
      </c>
      <c r="D6008" s="19" t="n">
        <f aca="false">'CEMIUP0.9 Raw'!D1495</f>
        <v>0</v>
      </c>
      <c r="E6008" s="19" t="n">
        <f aca="false">'CEMIUP0.9 Raw'!E1495</f>
        <v>0</v>
      </c>
      <c r="F6008" s="19" t="n">
        <f aca="false">'CEMIUP0.9 Raw'!F1495</f>
        <v>-1.26315789473684</v>
      </c>
      <c r="G6008" s="19" t="n">
        <f aca="false">'CEMIUP0.9 Raw'!G1495</f>
        <v>-111.269052631579</v>
      </c>
      <c r="H6008" s="18" t="str">
        <f aca="false">'CEMIUP0.9 Raw'!A1495</f>
        <v>Super-Pharm Israel (CEMI internal group)</v>
      </c>
    </row>
    <row r="6009" customFormat="false" ht="15" hidden="false" customHeight="false" outlineLevel="0" collapsed="false">
      <c r="A6009" s="18" t="n">
        <f aca="false">'CEMIUP0.9 Raw'!B1500</f>
        <v>4413129</v>
      </c>
      <c r="B6009" s="18" t="str">
        <f aca="false">'CEMIUP0.9 Raw'!C1500</f>
        <v>75 XLמיישר כתף יציב יישור ג.צר</v>
      </c>
      <c r="C6009" s="18" t="str">
        <f aca="false">'CEMIUP0.9 Raw'!C1500</f>
        <v>75 XLמיישר כתף יציב יישור ג.צר</v>
      </c>
      <c r="D6009" s="19" t="n">
        <f aca="false">'CEMIUP0.9 Raw'!D1500</f>
        <v>33</v>
      </c>
      <c r="E6009" s="19" t="n">
        <f aca="false">'CEMIUP0.9 Raw'!E1500</f>
        <v>3983.707</v>
      </c>
      <c r="F6009" s="19" t="n">
        <f aca="false">'CEMIUP0.9 Raw'!F1500</f>
        <v>-1.26315789473684</v>
      </c>
      <c r="G6009" s="19" t="n">
        <f aca="false">'CEMIUP0.9 Raw'!G1500</f>
        <v>-77.7044210526316</v>
      </c>
      <c r="H6009" s="18" t="str">
        <f aca="false">'CEMIUP0.9 Raw'!A1500</f>
        <v>Super-Pharm Israel (CEMI internal group)</v>
      </c>
    </row>
    <row r="6010" customFormat="false" ht="15" hidden="false" customHeight="false" outlineLevel="0" collapsed="false">
      <c r="A6010" s="18" t="n">
        <f aca="false">'CEMIUP0.9 Raw'!B1501</f>
        <v>4413130</v>
      </c>
      <c r="B6010" s="18" t="str">
        <f aca="false">'CEMIUP0.9 Raw'!C1501</f>
        <v>75  XXL מיישר כתף יציב ישור צר</v>
      </c>
      <c r="C6010" s="18" t="str">
        <f aca="false">'CEMIUP0.9 Raw'!C1501</f>
        <v>75  XXL מיישר כתף יציב ישור צר</v>
      </c>
      <c r="D6010" s="19" t="n">
        <f aca="false">'CEMIUP0.9 Raw'!D1501</f>
        <v>-2</v>
      </c>
      <c r="E6010" s="19" t="n">
        <f aca="false">'CEMIUP0.9 Raw'!E1501</f>
        <v>-238.511</v>
      </c>
      <c r="F6010" s="19" t="n">
        <f aca="false">'CEMIUP0.9 Raw'!F1501</f>
        <v>-1.26315789473684</v>
      </c>
      <c r="G6010" s="19" t="n">
        <f aca="false">'CEMIUP0.9 Raw'!G1501</f>
        <v>-150.696</v>
      </c>
      <c r="H6010" s="18" t="str">
        <f aca="false">'CEMIUP0.9 Raw'!A1501</f>
        <v>Super-Pharm Israel (CEMI internal group)</v>
      </c>
    </row>
    <row r="6011" customFormat="false" ht="15" hidden="false" customHeight="false" outlineLevel="0" collapsed="false">
      <c r="A6011" s="18" t="n">
        <f aca="false">'CEMIUP0.9 Raw'!B1517</f>
        <v>4413147</v>
      </c>
      <c r="B6011" s="18" t="str">
        <f aca="false">'CEMIUP0.9 Raw'!C1517</f>
        <v>95+ M מגן מרפק+רצועה לטניס</v>
      </c>
      <c r="C6011" s="18" t="str">
        <f aca="false">'CEMIUP0.9 Raw'!C1517</f>
        <v>95+ M מגן מרפק+רצועה לטניס</v>
      </c>
      <c r="D6011" s="19" t="n">
        <f aca="false">'CEMIUP0.9 Raw'!D1517</f>
        <v>0</v>
      </c>
      <c r="E6011" s="19" t="n">
        <f aca="false">'CEMIUP0.9 Raw'!E1517</f>
        <v>0</v>
      </c>
      <c r="F6011" s="19" t="n">
        <f aca="false">'CEMIUP0.9 Raw'!F1517</f>
        <v>-1.26315789473684</v>
      </c>
      <c r="G6011" s="19" t="n">
        <f aca="false">'CEMIUP0.9 Raw'!G1517</f>
        <v>0</v>
      </c>
      <c r="H6011" s="18" t="str">
        <f aca="false">'CEMIUP0.9 Raw'!A1517</f>
        <v>Super-Pharm Israel (CEMI internal group)</v>
      </c>
    </row>
    <row r="6012" customFormat="false" ht="15" hidden="false" customHeight="false" outlineLevel="0" collapsed="false">
      <c r="A6012" s="18" t="n">
        <f aca="false">'CEMIUP0.9 Raw'!B1532</f>
        <v>4413171</v>
      </c>
      <c r="B6012" s="18" t="str">
        <f aca="false">'CEMIUP0.9 Raw'!C1532</f>
        <v>T402 L מיצב פיקה</v>
      </c>
      <c r="C6012" s="18" t="str">
        <f aca="false">'CEMIUP0.9 Raw'!C1532</f>
        <v>T402 L מיצב פיקה</v>
      </c>
      <c r="D6012" s="19" t="n">
        <f aca="false">'CEMIUP0.9 Raw'!D1532</f>
        <v>0</v>
      </c>
      <c r="E6012" s="19" t="n">
        <f aca="false">'CEMIUP0.9 Raw'!E1532</f>
        <v>0</v>
      </c>
      <c r="F6012" s="19" t="n">
        <f aca="false">'CEMIUP0.9 Raw'!F1532</f>
        <v>-1.26315789473684</v>
      </c>
      <c r="G6012" s="19" t="n">
        <f aca="false">'CEMIUP0.9 Raw'!G1532</f>
        <v>-94.1418947368421</v>
      </c>
      <c r="H6012" s="18" t="str">
        <f aca="false">'CEMIUP0.9 Raw'!A1532</f>
        <v>Super-Pharm Israel (CEMI internal group)</v>
      </c>
    </row>
    <row r="6013" customFormat="false" ht="15" hidden="false" customHeight="false" outlineLevel="0" collapsed="false">
      <c r="A6013" s="18" t="n">
        <f aca="false">'CEMIUP0.9 Raw'!B1542</f>
        <v>4413188</v>
      </c>
      <c r="B6013" s="18" t="str">
        <f aca="false">'CEMIUP0.9 Raw'!C1542</f>
        <v>T43SKI L מגן ברך לסקי</v>
      </c>
      <c r="C6013" s="18" t="str">
        <f aca="false">'CEMIUP0.9 Raw'!C1542</f>
        <v>T43SKI L מגן ברך לסקי</v>
      </c>
      <c r="D6013" s="19" t="n">
        <f aca="false">'CEMIUP0.9 Raw'!D1542</f>
        <v>0</v>
      </c>
      <c r="E6013" s="19" t="n">
        <f aca="false">'CEMIUP0.9 Raw'!E1542</f>
        <v>0</v>
      </c>
      <c r="F6013" s="19" t="n">
        <f aca="false">'CEMIUP0.9 Raw'!F1542</f>
        <v>-1.26315789473684</v>
      </c>
      <c r="G6013" s="19" t="n">
        <f aca="false">'CEMIUP0.9 Raw'!G1542</f>
        <v>-235.412210526316</v>
      </c>
      <c r="H6013" s="18" t="str">
        <f aca="false">'CEMIUP0.9 Raw'!A1542</f>
        <v>Super-Pharm Israel (CEMI internal group)</v>
      </c>
    </row>
    <row r="6014" customFormat="false" ht="15" hidden="false" customHeight="false" outlineLevel="0" collapsed="false">
      <c r="A6014" s="18" t="n">
        <f aca="false">'CEMIUP0.9 Raw'!B1558</f>
        <v>4413338</v>
      </c>
      <c r="B6014" s="18" t="str">
        <f aca="false">'CEMIUP0.9 Raw'!C1558</f>
        <v>322XXLמגן קרסול+כרית סילקון</v>
      </c>
      <c r="C6014" s="18" t="str">
        <f aca="false">'CEMIUP0.9 Raw'!C1558</f>
        <v>322XXLמגן קרסול+כרית סילקון</v>
      </c>
      <c r="D6014" s="19" t="n">
        <f aca="false">'CEMIUP0.9 Raw'!D1558</f>
        <v>0</v>
      </c>
      <c r="E6014" s="19" t="n">
        <f aca="false">'CEMIUP0.9 Raw'!E1558</f>
        <v>0</v>
      </c>
      <c r="F6014" s="19" t="n">
        <f aca="false">'CEMIUP0.9 Raw'!F1558</f>
        <v>-1.26315789473684</v>
      </c>
      <c r="G6014" s="19" t="n">
        <f aca="false">'CEMIUP0.9 Raw'!G1558</f>
        <v>-150.696</v>
      </c>
      <c r="H6014" s="18" t="str">
        <f aca="false">'CEMIUP0.9 Raw'!A1558</f>
        <v>Super-Pharm Israel (CEMI internal group)</v>
      </c>
    </row>
    <row r="6015" customFormat="false" ht="15" hidden="false" customHeight="false" outlineLevel="0" collapsed="false">
      <c r="A6015" s="18" t="n">
        <f aca="false">'CEMIUP0.9 Raw'!B1572</f>
        <v>4413403</v>
      </c>
      <c r="B6015" s="18" t="str">
        <f aca="false">'CEMIUP0.9 Raw'!C1572</f>
        <v>78A L מגן למפרק כתף</v>
      </c>
      <c r="C6015" s="18" t="str">
        <f aca="false">'CEMIUP0.9 Raw'!C1572</f>
        <v>78A L מגן למפרק כתף</v>
      </c>
      <c r="D6015" s="19" t="n">
        <f aca="false">'CEMIUP0.9 Raw'!D1572</f>
        <v>0</v>
      </c>
      <c r="E6015" s="19" t="n">
        <f aca="false">'CEMIUP0.9 Raw'!E1572</f>
        <v>0</v>
      </c>
      <c r="F6015" s="19" t="n">
        <f aca="false">'CEMIUP0.9 Raw'!F1572</f>
        <v>-1.26315789473684</v>
      </c>
      <c r="G6015" s="19" t="n">
        <f aca="false">'CEMIUP0.9 Raw'!G1572</f>
        <v>-239.550315789474</v>
      </c>
      <c r="H6015" s="18" t="str">
        <f aca="false">'CEMIUP0.9 Raw'!A1572</f>
        <v>Super-Pharm Israel (CEMI internal group)</v>
      </c>
    </row>
    <row r="6016" customFormat="false" ht="15" hidden="false" customHeight="false" outlineLevel="0" collapsed="false">
      <c r="A6016" s="18" t="n">
        <f aca="false">'CEMIUP0.9 Raw'!B1627</f>
        <v>4415070</v>
      </c>
      <c r="B6016" s="18" t="str">
        <f aca="false">'CEMIUP0.9 Raw'!C1627</f>
        <v>T28C M סד לאגודל כפפה</v>
      </c>
      <c r="C6016" s="18" t="str">
        <f aca="false">'CEMIUP0.9 Raw'!C1627</f>
        <v>T28C M סד לאגודל כפפה</v>
      </c>
      <c r="D6016" s="19" t="n">
        <f aca="false">'CEMIUP0.9 Raw'!D1627</f>
        <v>0</v>
      </c>
      <c r="E6016" s="19" t="n">
        <f aca="false">'CEMIUP0.9 Raw'!E1627</f>
        <v>0</v>
      </c>
      <c r="F6016" s="19" t="n">
        <f aca="false">'CEMIUP0.9 Raw'!F1627</f>
        <v>-1.26315789473684</v>
      </c>
      <c r="G6016" s="19" t="n">
        <f aca="false">'CEMIUP0.9 Raw'!G1627</f>
        <v>-67.0143157894737</v>
      </c>
      <c r="H6016" s="18" t="str">
        <f aca="false">'CEMIUP0.9 Raw'!A1627</f>
        <v>Super-Pharm Israel (CEMI internal group)</v>
      </c>
    </row>
    <row r="6017" customFormat="false" ht="15" hidden="false" customHeight="false" outlineLevel="0" collapsed="false">
      <c r="A6017" s="18" t="n">
        <f aca="false">'CEMIUP0.9 Raw'!B1633</f>
        <v>4415089</v>
      </c>
      <c r="B6017" s="18" t="str">
        <f aca="false">'CEMIUP0.9 Raw'!C1633</f>
        <v>27L M סד ליד שמאל</v>
      </c>
      <c r="C6017" s="18" t="str">
        <f aca="false">'CEMIUP0.9 Raw'!C1633</f>
        <v>27L M סד ליד שמאל</v>
      </c>
      <c r="D6017" s="19" t="n">
        <f aca="false">'CEMIUP0.9 Raw'!D1633</f>
        <v>0</v>
      </c>
      <c r="E6017" s="19" t="n">
        <f aca="false">'CEMIUP0.9 Raw'!E1633</f>
        <v>0</v>
      </c>
      <c r="F6017" s="19" t="n">
        <f aca="false">'CEMIUP0.9 Raw'!F1633</f>
        <v>-1.26315789473684</v>
      </c>
      <c r="G6017" s="19" t="n">
        <f aca="false">'CEMIUP0.9 Raw'!G1633</f>
        <v>0</v>
      </c>
      <c r="H6017" s="18" t="str">
        <f aca="false">'CEMIUP0.9 Raw'!A1633</f>
        <v>Super-Pharm Israel (CEMI internal group)</v>
      </c>
    </row>
    <row r="6018" customFormat="false" ht="15" hidden="false" customHeight="false" outlineLevel="0" collapsed="false">
      <c r="A6018" s="18" t="n">
        <f aca="false">'CEMIUP0.9 Raw'!B1634</f>
        <v>4415093</v>
      </c>
      <c r="B6018" s="18" t="str">
        <f aca="false">'CEMIUP0.9 Raw'!C1634</f>
        <v>27 R-M סד ליד ימין</v>
      </c>
      <c r="C6018" s="18" t="str">
        <f aca="false">'CEMIUP0.9 Raw'!C1634</f>
        <v>27 R-M סד ליד ימין</v>
      </c>
      <c r="D6018" s="19" t="n">
        <f aca="false">'CEMIUP0.9 Raw'!D1634</f>
        <v>0</v>
      </c>
      <c r="E6018" s="19" t="n">
        <f aca="false">'CEMIUP0.9 Raw'!E1634</f>
        <v>0</v>
      </c>
      <c r="F6018" s="19" t="n">
        <f aca="false">'CEMIUP0.9 Raw'!F1634</f>
        <v>-1.26315789473684</v>
      </c>
      <c r="G6018" s="19" t="n">
        <f aca="false">'CEMIUP0.9 Raw'!G1634</f>
        <v>-103.567578947368</v>
      </c>
      <c r="H6018" s="18" t="str">
        <f aca="false">'CEMIUP0.9 Raw'!A1634</f>
        <v>Super-Pharm Israel (CEMI internal group)</v>
      </c>
    </row>
    <row r="6019" customFormat="false" ht="15" hidden="false" customHeight="false" outlineLevel="0" collapsed="false">
      <c r="A6019" s="18" t="n">
        <f aca="false">'CEMIUP0.9 Raw'!B1635</f>
        <v>4415095</v>
      </c>
      <c r="B6019" s="18" t="str">
        <f aca="false">'CEMIUP0.9 Raw'!C1635</f>
        <v>27R XLסד ליד ימין</v>
      </c>
      <c r="C6019" s="18" t="str">
        <f aca="false">'CEMIUP0.9 Raw'!C1635</f>
        <v>27R XLסד ליד ימין</v>
      </c>
      <c r="D6019" s="19" t="n">
        <f aca="false">'CEMIUP0.9 Raw'!D1635</f>
        <v>0</v>
      </c>
      <c r="E6019" s="19" t="n">
        <f aca="false">'CEMIUP0.9 Raw'!E1635</f>
        <v>0</v>
      </c>
      <c r="F6019" s="19" t="n">
        <f aca="false">'CEMIUP0.9 Raw'!F1635</f>
        <v>-1.26315789473684</v>
      </c>
      <c r="G6019" s="19" t="n">
        <f aca="false">'CEMIUP0.9 Raw'!G1635</f>
        <v>0</v>
      </c>
      <c r="H6019" s="18" t="str">
        <f aca="false">'CEMIUP0.9 Raw'!A1635</f>
        <v>Super-Pharm Israel (CEMI internal group)</v>
      </c>
    </row>
    <row r="6020" customFormat="false" ht="15" hidden="false" customHeight="false" outlineLevel="0" collapsed="false">
      <c r="A6020" s="18" t="n">
        <f aca="false">'CEMIUP0.9 Raw'!B1642</f>
        <v>4415164</v>
      </c>
      <c r="B6020" s="18" t="str">
        <f aca="false">'CEMIUP0.9 Raw'!C1642</f>
        <v>267LC  L-XL 'סד יד שמאל בז</v>
      </c>
      <c r="C6020" s="18" t="str">
        <f aca="false">'CEMIUP0.9 Raw'!C1642</f>
        <v>267LC  L-XL 'סד יד שמאל בז</v>
      </c>
      <c r="D6020" s="19" t="n">
        <f aca="false">'CEMIUP0.9 Raw'!D1642</f>
        <v>0</v>
      </c>
      <c r="E6020" s="19" t="n">
        <f aca="false">'CEMIUP0.9 Raw'!E1642</f>
        <v>0</v>
      </c>
      <c r="F6020" s="19" t="n">
        <f aca="false">'CEMIUP0.9 Raw'!F1642</f>
        <v>-1.26315789473684</v>
      </c>
      <c r="G6020" s="19" t="n">
        <f aca="false">'CEMIUP0.9 Raw'!G1642</f>
        <v>-108.280421052632</v>
      </c>
      <c r="H6020" s="18" t="str">
        <f aca="false">'CEMIUP0.9 Raw'!A1642</f>
        <v>Super-Pharm Israel (CEMI internal group)</v>
      </c>
    </row>
    <row r="6021" customFormat="false" ht="15" hidden="false" customHeight="false" outlineLevel="0" collapsed="false">
      <c r="A6021" s="18" t="n">
        <f aca="false">'CEMIUP0.9 Raw'!B1651</f>
        <v>4416006</v>
      </c>
      <c r="B6021" s="18" t="str">
        <f aca="false">'CEMIUP0.9 Raw'!C1651</f>
        <v>308 Sעקבים סיליק.כחול לדורבן</v>
      </c>
      <c r="C6021" s="18" t="str">
        <f aca="false">'CEMIUP0.9 Raw'!C1651</f>
        <v>308 Sעקבים סיליק.כחול לדורבן</v>
      </c>
      <c r="D6021" s="19" t="n">
        <f aca="false">'CEMIUP0.9 Raw'!D1651</f>
        <v>-5</v>
      </c>
      <c r="E6021" s="19" t="n">
        <f aca="false">'CEMIUP0.9 Raw'!E1651</f>
        <v>-223.496</v>
      </c>
      <c r="F6021" s="19" t="n">
        <f aca="false">'CEMIUP0.9 Raw'!F1651</f>
        <v>-1.26315789473684</v>
      </c>
      <c r="G6021" s="19" t="n">
        <f aca="false">'CEMIUP0.9 Raw'!G1651</f>
        <v>-55.2896842105263</v>
      </c>
      <c r="H6021" s="18" t="str">
        <f aca="false">'CEMIUP0.9 Raw'!A1651</f>
        <v>Super-Pharm Israel (CEMI internal group)</v>
      </c>
    </row>
    <row r="6022" customFormat="false" ht="15" hidden="false" customHeight="false" outlineLevel="0" collapsed="false">
      <c r="A6022" s="18" t="n">
        <f aca="false">'CEMIUP0.9 Raw'!B1667</f>
        <v>4420006</v>
      </c>
      <c r="B6022" s="18" t="str">
        <f aca="false">'CEMIUP0.9 Raw'!C1667</f>
        <v>377  רפ.אורטופדית ספורט זוג37</v>
      </c>
      <c r="C6022" s="18" t="str">
        <f aca="false">'CEMIUP0.9 Raw'!C1667</f>
        <v>377  רפ.אורטופדית ספורט זוג37</v>
      </c>
      <c r="D6022" s="19" t="n">
        <f aca="false">'CEMIUP0.9 Raw'!D1667</f>
        <v>0</v>
      </c>
      <c r="E6022" s="19" t="n">
        <f aca="false">'CEMIUP0.9 Raw'!E1667</f>
        <v>0</v>
      </c>
      <c r="F6022" s="19" t="n">
        <f aca="false">'CEMIUP0.9 Raw'!F1667</f>
        <v>-1.26315789473684</v>
      </c>
      <c r="G6022" s="19" t="n">
        <f aca="false">'CEMIUP0.9 Raw'!G1667</f>
        <v>-41.9557894736842</v>
      </c>
      <c r="H6022" s="18" t="str">
        <f aca="false">'CEMIUP0.9 Raw'!A1667</f>
        <v>Super-Pharm Israel (CEMI internal group)</v>
      </c>
    </row>
    <row r="6023" customFormat="false" ht="15" hidden="false" customHeight="false" outlineLevel="0" collapsed="false">
      <c r="A6023" s="18" t="n">
        <f aca="false">'CEMIUP0.9 Raw'!B1670</f>
        <v>4420010</v>
      </c>
      <c r="B6023" s="18" t="str">
        <f aca="false">'CEMIUP0.9 Raw'!C1670</f>
        <v>377  רפידה אורטופ.ספורט זוג41</v>
      </c>
      <c r="C6023" s="18" t="str">
        <f aca="false">'CEMIUP0.9 Raw'!C1670</f>
        <v>377  רפידה אורטופ.ספורט זוג41</v>
      </c>
      <c r="D6023" s="19" t="n">
        <f aca="false">'CEMIUP0.9 Raw'!D1670</f>
        <v>1</v>
      </c>
      <c r="E6023" s="19" t="n">
        <f aca="false">'CEMIUP0.9 Raw'!E1670</f>
        <v>33.215</v>
      </c>
      <c r="F6023" s="19" t="n">
        <f aca="false">'CEMIUP0.9 Raw'!F1670</f>
        <v>-1.26315789473684</v>
      </c>
      <c r="G6023" s="19" t="n">
        <f aca="false">'CEMIUP0.9 Raw'!G1670</f>
        <v>-37.5877894736842</v>
      </c>
      <c r="H6023" s="18" t="str">
        <f aca="false">'CEMIUP0.9 Raw'!A1670</f>
        <v>Super-Pharm Israel (CEMI internal group)</v>
      </c>
    </row>
    <row r="6024" customFormat="false" ht="15" hidden="false" customHeight="false" outlineLevel="0" collapsed="false">
      <c r="A6024" s="18" t="n">
        <f aca="false">'CEMIUP0.9 Raw'!B1672</f>
        <v>4420012</v>
      </c>
      <c r="B6024" s="18" t="str">
        <f aca="false">'CEMIUP0.9 Raw'!C1672</f>
        <v>377   רפידה אורט.ספורט זוג43</v>
      </c>
      <c r="C6024" s="18" t="str">
        <f aca="false">'CEMIUP0.9 Raw'!C1672</f>
        <v>377   רפידה אורט.ספורט זוג43</v>
      </c>
      <c r="D6024" s="19" t="n">
        <f aca="false">'CEMIUP0.9 Raw'!D1672</f>
        <v>3</v>
      </c>
      <c r="E6024" s="19" t="n">
        <f aca="false">'CEMIUP0.9 Raw'!E1672</f>
        <v>99.736</v>
      </c>
      <c r="F6024" s="19" t="n">
        <f aca="false">'CEMIUP0.9 Raw'!F1672</f>
        <v>-1.26315789473684</v>
      </c>
      <c r="G6024" s="19" t="n">
        <f aca="false">'CEMIUP0.9 Raw'!G1672</f>
        <v>-41.9557894736842</v>
      </c>
      <c r="H6024" s="18" t="str">
        <f aca="false">'CEMIUP0.9 Raw'!A1672</f>
        <v>Super-Pharm Israel (CEMI internal group)</v>
      </c>
    </row>
    <row r="6025" customFormat="false" ht="15" hidden="false" customHeight="false" outlineLevel="0" collapsed="false">
      <c r="A6025" s="18" t="n">
        <f aca="false">'CEMIUP0.9 Raw'!B1675</f>
        <v>4420015</v>
      </c>
      <c r="B6025" s="18" t="str">
        <f aca="false">'CEMIUP0.9 Raw'!C1675</f>
        <v>377  רפ.אורטופדית ספורט זוג46</v>
      </c>
      <c r="C6025" s="18" t="str">
        <f aca="false">'CEMIUP0.9 Raw'!C1675</f>
        <v>377  רפ.אורטופדית ספורט זוג46</v>
      </c>
      <c r="D6025" s="19" t="n">
        <f aca="false">'CEMIUP0.9 Raw'!D1675</f>
        <v>-3</v>
      </c>
      <c r="E6025" s="19" t="n">
        <f aca="false">'CEMIUP0.9 Raw'!E1675</f>
        <v>-99.736</v>
      </c>
      <c r="F6025" s="19" t="n">
        <f aca="false">'CEMIUP0.9 Raw'!F1675</f>
        <v>-1.26315789473684</v>
      </c>
      <c r="G6025" s="19" t="n">
        <f aca="false">'CEMIUP0.9 Raw'!G1675</f>
        <v>-41.9557894736842</v>
      </c>
      <c r="H6025" s="18" t="str">
        <f aca="false">'CEMIUP0.9 Raw'!A1675</f>
        <v>Super-Pharm Israel (CEMI internal group)</v>
      </c>
    </row>
    <row r="6026" customFormat="false" ht="15" hidden="false" customHeight="false" outlineLevel="0" collapsed="false">
      <c r="A6026" s="18" t="n">
        <f aca="false">'CEMIUP0.9 Raw'!B1678</f>
        <v>4420019</v>
      </c>
      <c r="B6026" s="18" t="str">
        <f aca="false">'CEMIUP0.9 Raw'!C1678</f>
        <v>T91  L-XL רצועת טניס אלבו</v>
      </c>
      <c r="C6026" s="18" t="str">
        <f aca="false">'CEMIUP0.9 Raw'!C1678</f>
        <v>T91  L-XL רצועת טניס אלבו</v>
      </c>
      <c r="D6026" s="19" t="n">
        <f aca="false">'CEMIUP0.9 Raw'!D1678</f>
        <v>2</v>
      </c>
      <c r="E6026" s="19" t="n">
        <f aca="false">'CEMIUP0.9 Raw'!E1678</f>
        <v>89.362</v>
      </c>
      <c r="F6026" s="19" t="n">
        <f aca="false">'CEMIUP0.9 Raw'!F1678</f>
        <v>-1.26315789473684</v>
      </c>
      <c r="G6026" s="19" t="n">
        <f aca="false">'CEMIUP0.9 Raw'!G1678</f>
        <v>-56.4391578947368</v>
      </c>
      <c r="H6026" s="18" t="str">
        <f aca="false">'CEMIUP0.9 Raw'!A1678</f>
        <v>Super-Pharm Israel (CEMI internal group)</v>
      </c>
    </row>
    <row r="6027" customFormat="false" ht="15" hidden="false" customHeight="false" outlineLevel="0" collapsed="false">
      <c r="A6027" s="18" t="str">
        <f aca="false">'SALES Raw'!G190</f>
        <v/>
      </c>
      <c r="B6027" s="18" t="str">
        <f aca="false">'SALES Raw'!B190</f>
        <v>776 L</v>
      </c>
      <c r="C6027" s="18" t="str">
        <f aca="false">'SALES Raw'!H190</f>
        <v>776 L</v>
      </c>
      <c r="D6027" s="19" t="n">
        <f aca="false">'SALES Raw'!C190</f>
        <v>1</v>
      </c>
      <c r="E6027" s="19" t="n">
        <f aca="false">'SALES Raw'!D190</f>
        <v>472.9</v>
      </c>
      <c r="F6027" s="19" t="n">
        <f aca="false">'SALES Raw'!E190*$H$4</f>
        <v>-1.26315789473684</v>
      </c>
      <c r="G6027" s="19" t="n">
        <f aca="false">'SALES Raw'!F190*$H$4</f>
        <v>-442.105263157895</v>
      </c>
      <c r="H6027" s="18" t="str">
        <f aca="false">'SALES Raw'!A190</f>
        <v>101 - Factory customers</v>
      </c>
    </row>
    <row r="6028" customFormat="false" ht="15" hidden="false" customHeight="false" outlineLevel="0" collapsed="false">
      <c r="A6028" s="18" t="n">
        <f aca="false">'SALES Raw'!G200</f>
        <v>4422031</v>
      </c>
      <c r="B6028" s="18" t="str">
        <f aca="false">'SALES Raw'!B200</f>
        <v>807CB-C</v>
      </c>
      <c r="C6028" s="18" t="str">
        <f aca="false">'SALES Raw'!H200</f>
        <v>807CB-Cתחבושת נצמדת בז' 20 מ""""מ</v>
      </c>
      <c r="D6028" s="19" t="n">
        <f aca="false">'SALES Raw'!C200</f>
        <v>5</v>
      </c>
      <c r="E6028" s="19" t="n">
        <f aca="false">'SALES Raw'!D200</f>
        <v>68.67</v>
      </c>
      <c r="F6028" s="19" t="n">
        <f aca="false">'SALES Raw'!E200*$H$4</f>
        <v>-1.26315789473684</v>
      </c>
      <c r="G6028" s="19" t="n">
        <f aca="false">'SALES Raw'!F200*$H$4</f>
        <v>-21.2336842105263</v>
      </c>
      <c r="H6028" s="18" t="str">
        <f aca="false">'SALES Raw'!A200</f>
        <v>101 - Factory customers</v>
      </c>
    </row>
    <row r="6029" customFormat="false" ht="15" hidden="false" customHeight="false" outlineLevel="0" collapsed="false">
      <c r="A6029" s="18" t="n">
        <f aca="false">'SALES Raw'!G260</f>
        <v>4413405</v>
      </c>
      <c r="B6029" s="18" t="str">
        <f aca="false">'SALES Raw'!B260</f>
        <v>SC95 S</v>
      </c>
      <c r="C6029" s="18" t="str">
        <f aca="false">'SALES Raw'!H260</f>
        <v>SC95 S מגן מרפק</v>
      </c>
      <c r="D6029" s="19" t="n">
        <f aca="false">'SALES Raw'!C260</f>
        <v>9</v>
      </c>
      <c r="E6029" s="19" t="n">
        <f aca="false">'SALES Raw'!D260</f>
        <v>740.36</v>
      </c>
      <c r="F6029" s="19" t="n">
        <f aca="false">'SALES Raw'!E260*$H$4</f>
        <v>-1.26315789473684</v>
      </c>
      <c r="G6029" s="19" t="n">
        <f aca="false">'SALES Raw'!F260*$H$4</f>
        <v>-118.32</v>
      </c>
      <c r="H6029" s="18" t="str">
        <f aca="false">'SALES Raw'!A260</f>
        <v>101 - Factory customers</v>
      </c>
    </row>
    <row r="6030" customFormat="false" ht="15" hidden="false" customHeight="false" outlineLevel="0" collapsed="false">
      <c r="A6030" s="18" t="str">
        <f aca="false">'SALES Raw'!G288</f>
        <v/>
      </c>
      <c r="B6030" s="18" t="str">
        <f aca="false">'SALES Raw'!B288</f>
        <v>062 L</v>
      </c>
      <c r="C6030" s="18" t="str">
        <f aca="false">'SALES Raw'!H288</f>
        <v>062 L</v>
      </c>
      <c r="D6030" s="19" t="n">
        <f aca="false">'SALES Raw'!C288</f>
        <v>0</v>
      </c>
      <c r="E6030" s="19" t="n">
        <f aca="false">'SALES Raw'!D288</f>
        <v>0</v>
      </c>
      <c r="F6030" s="19" t="n">
        <f aca="false">'SALES Raw'!E288*$H$4</f>
        <v>-1.26315789473684</v>
      </c>
      <c r="G6030" s="19" t="n">
        <f aca="false">'SALES Raw'!F288*$H$4</f>
        <v>-310.787368421053</v>
      </c>
      <c r="H6030" s="18" t="str">
        <f aca="false">'SALES Raw'!A288</f>
        <v>101 - Factory customers</v>
      </c>
    </row>
    <row r="6031" customFormat="false" ht="15" hidden="false" customHeight="false" outlineLevel="0" collapsed="false">
      <c r="A6031" s="18" t="str">
        <f aca="false">'SALES Raw'!G294</f>
        <v/>
      </c>
      <c r="B6031" s="18" t="str">
        <f aca="false">'SALES Raw'!B294</f>
        <v>07AF XL</v>
      </c>
      <c r="C6031" s="18" t="str">
        <f aca="false">'SALES Raw'!H294</f>
        <v>07AF XL</v>
      </c>
      <c r="D6031" s="19" t="n">
        <f aca="false">'SALES Raw'!C294</f>
        <v>0</v>
      </c>
      <c r="E6031" s="19" t="n">
        <f aca="false">'SALES Raw'!D294</f>
        <v>0</v>
      </c>
      <c r="F6031" s="19" t="n">
        <f aca="false">'SALES Raw'!E294*$H$4</f>
        <v>-1.26315789473684</v>
      </c>
      <c r="G6031" s="19" t="n">
        <f aca="false">'SALES Raw'!F294*$H$4</f>
        <v>-495.562105263158</v>
      </c>
      <c r="H6031" s="18" t="str">
        <f aca="false">'SALES Raw'!A294</f>
        <v>101 - Factory customers</v>
      </c>
    </row>
    <row r="6032" customFormat="false" ht="15" hidden="false" customHeight="false" outlineLevel="0" collapsed="false">
      <c r="A6032" s="18" t="str">
        <f aca="false">'SALES Raw'!G310</f>
        <v/>
      </c>
      <c r="B6032" s="18" t="str">
        <f aca="false">'SALES Raw'!B310</f>
        <v>305-35-36</v>
      </c>
      <c r="C6032" s="18" t="str">
        <f aca="false">'SALES Raw'!H310</f>
        <v>305-35-36</v>
      </c>
      <c r="D6032" s="19" t="n">
        <f aca="false">'SALES Raw'!C310</f>
        <v>0</v>
      </c>
      <c r="E6032" s="19" t="n">
        <f aca="false">'SALES Raw'!D310</f>
        <v>0</v>
      </c>
      <c r="F6032" s="19" t="n">
        <f aca="false">'SALES Raw'!E310*$H$4</f>
        <v>-1.26315789473684</v>
      </c>
      <c r="G6032" s="19" t="n">
        <f aca="false">'SALES Raw'!F310*$H$4</f>
        <v>-118.345263157895</v>
      </c>
      <c r="H6032" s="18" t="str">
        <f aca="false">'SALES Raw'!A310</f>
        <v>101 - Factory customers</v>
      </c>
    </row>
    <row r="6033" customFormat="false" ht="15" hidden="false" customHeight="false" outlineLevel="0" collapsed="false">
      <c r="A6033" s="18" t="str">
        <f aca="false">'SALES Raw'!G359</f>
        <v/>
      </c>
      <c r="B6033" s="18" t="str">
        <f aca="false">'SALES Raw'!B359</f>
        <v>776 XL</v>
      </c>
      <c r="C6033" s="18" t="str">
        <f aca="false">'SALES Raw'!H359</f>
        <v>776 XL</v>
      </c>
      <c r="D6033" s="19" t="n">
        <f aca="false">'SALES Raw'!C359</f>
        <v>0</v>
      </c>
      <c r="E6033" s="19" t="n">
        <f aca="false">'SALES Raw'!D359</f>
        <v>0</v>
      </c>
      <c r="F6033" s="19" t="n">
        <f aca="false">'SALES Raw'!E359*$H$4</f>
        <v>-1.26315789473684</v>
      </c>
      <c r="G6033" s="19" t="n">
        <f aca="false">'SALES Raw'!F359*$H$4</f>
        <v>-442.105263157895</v>
      </c>
      <c r="H6033" s="18" t="str">
        <f aca="false">'SALES Raw'!A359</f>
        <v>101 - Factory customers</v>
      </c>
    </row>
    <row r="6034" customFormat="false" ht="15" hidden="false" customHeight="false" outlineLevel="0" collapsed="false">
      <c r="A6034" s="18" t="str">
        <f aca="false">'SALES Raw'!G360</f>
        <v/>
      </c>
      <c r="B6034" s="18" t="str">
        <f aca="false">'SALES Raw'!B360</f>
        <v>777 XXL</v>
      </c>
      <c r="C6034" s="18" t="str">
        <f aca="false">'SALES Raw'!H360</f>
        <v>777 XXL</v>
      </c>
      <c r="D6034" s="19" t="n">
        <f aca="false">'SALES Raw'!C360</f>
        <v>0</v>
      </c>
      <c r="E6034" s="19" t="n">
        <f aca="false">'SALES Raw'!D360</f>
        <v>0</v>
      </c>
      <c r="F6034" s="19" t="n">
        <f aca="false">'SALES Raw'!E360*$H$4</f>
        <v>-1.26315789473684</v>
      </c>
      <c r="G6034" s="19" t="n">
        <f aca="false">'SALES Raw'!F360*$H$4</f>
        <v>-567.738947368421</v>
      </c>
      <c r="H6034" s="18" t="str">
        <f aca="false">'SALES Raw'!A360</f>
        <v>101 - Factory customers</v>
      </c>
    </row>
    <row r="6035" customFormat="false" ht="15" hidden="false" customHeight="false" outlineLevel="0" collapsed="false">
      <c r="A6035" s="18" t="str">
        <f aca="false">'SALES Raw'!G361</f>
        <v/>
      </c>
      <c r="B6035" s="18" t="str">
        <f aca="false">'SALES Raw'!B361</f>
        <v>777-L-XL</v>
      </c>
      <c r="C6035" s="18" t="str">
        <f aca="false">'SALES Raw'!H361</f>
        <v>777-L-XL</v>
      </c>
      <c r="D6035" s="19" t="n">
        <f aca="false">'SALES Raw'!C361</f>
        <v>0</v>
      </c>
      <c r="E6035" s="19" t="n">
        <f aca="false">'SALES Raw'!D361</f>
        <v>0</v>
      </c>
      <c r="F6035" s="19" t="n">
        <f aca="false">'SALES Raw'!E361*$H$4</f>
        <v>-1.26315789473684</v>
      </c>
      <c r="G6035" s="19" t="n">
        <f aca="false">'SALES Raw'!F361*$H$4</f>
        <v>-567.738947368421</v>
      </c>
      <c r="H6035" s="18" t="str">
        <f aca="false">'SALES Raw'!A361</f>
        <v>101 - Factory customers</v>
      </c>
    </row>
    <row r="6036" customFormat="false" ht="15" hidden="false" customHeight="false" outlineLevel="0" collapsed="false">
      <c r="A6036" s="18" t="str">
        <f aca="false">'SALES Raw'!G519</f>
        <v/>
      </c>
      <c r="B6036" s="18" t="str">
        <f aca="false">'SALES Raw'!B519</f>
        <v>422 L</v>
      </c>
      <c r="C6036" s="18" t="str">
        <f aca="false">'SALES Raw'!H519</f>
        <v>422 L</v>
      </c>
      <c r="D6036" s="19" t="n">
        <f aca="false">'SALES Raw'!C519</f>
        <v>1</v>
      </c>
      <c r="E6036" s="19" t="n">
        <f aca="false">'SALES Raw'!D519</f>
        <v>249.93</v>
      </c>
      <c r="F6036" s="19" t="n">
        <f aca="false">'SALES Raw'!E519*$H$4</f>
        <v>-1.26315789473684</v>
      </c>
      <c r="G6036" s="19" t="n">
        <f aca="false">'SALES Raw'!F519*$H$4</f>
        <v>-315.701052631579</v>
      </c>
      <c r="H6036" s="18" t="str">
        <f aca="false">'SALES Raw'!A519</f>
        <v>101 - Factory customers</v>
      </c>
    </row>
    <row r="6037" customFormat="false" ht="15" hidden="false" customHeight="false" outlineLevel="0" collapsed="false">
      <c r="A6037" s="18" t="str">
        <f aca="false">'SALES Raw'!G687</f>
        <v/>
      </c>
      <c r="B6037" s="18" t="str">
        <f aca="false">'SALES Raw'!B687</f>
        <v>099-L-XL</v>
      </c>
      <c r="C6037" s="18" t="str">
        <f aca="false">'SALES Raw'!H687</f>
        <v>099-L-XL</v>
      </c>
      <c r="D6037" s="19" t="n">
        <f aca="false">'SALES Raw'!C687</f>
        <v>15</v>
      </c>
      <c r="E6037" s="19" t="n">
        <f aca="false">'SALES Raw'!D687</f>
        <v>1387.12</v>
      </c>
      <c r="F6037" s="19" t="n">
        <f aca="false">'SALES Raw'!E687*$H$4</f>
        <v>-1.26315789473684</v>
      </c>
      <c r="G6037" s="19" t="n">
        <f aca="false">'SALES Raw'!F687*$H$4</f>
        <v>-88.3957894736842</v>
      </c>
      <c r="H6037" s="18" t="str">
        <f aca="false">'SALES Raw'!A687</f>
        <v>102 - Orthopedic institutes</v>
      </c>
    </row>
    <row r="6038" customFormat="false" ht="15" hidden="false" customHeight="false" outlineLevel="0" collapsed="false">
      <c r="A6038" s="18" t="str">
        <f aca="false">'SALES Raw'!G693</f>
        <v/>
      </c>
      <c r="B6038" s="18" t="str">
        <f aca="false">'SALES Raw'!B693</f>
        <v>13 M</v>
      </c>
      <c r="C6038" s="18" t="str">
        <f aca="false">'SALES Raw'!H693</f>
        <v>13 M</v>
      </c>
      <c r="D6038" s="19" t="n">
        <f aca="false">'SALES Raw'!C693</f>
        <v>1</v>
      </c>
      <c r="E6038" s="19" t="n">
        <f aca="false">'SALES Raw'!D693</f>
        <v>100.97</v>
      </c>
      <c r="F6038" s="19" t="n">
        <f aca="false">'SALES Raw'!E693*$H$4</f>
        <v>-1.26315789473684</v>
      </c>
      <c r="G6038" s="19" t="n">
        <f aca="false">'SALES Raw'!F693*$H$4</f>
        <v>-145.263157894737</v>
      </c>
      <c r="H6038" s="18" t="str">
        <f aca="false">'SALES Raw'!A693</f>
        <v>102 - Orthopedic institutes</v>
      </c>
    </row>
    <row r="6039" customFormat="false" ht="15" hidden="false" customHeight="false" outlineLevel="0" collapsed="false">
      <c r="A6039" s="18" t="n">
        <f aca="false">'SALES Raw'!G848</f>
        <v>4411020</v>
      </c>
      <c r="B6039" s="18" t="str">
        <f aca="false">'SALES Raw'!B848</f>
        <v>211 XL</v>
      </c>
      <c r="C6039" s="18" t="str">
        <f aca="false">'SALES Raw'!H848</f>
        <v>211XL כפפות לחץ</v>
      </c>
      <c r="D6039" s="19" t="n">
        <f aca="false">'SALES Raw'!C848</f>
        <v>2</v>
      </c>
      <c r="E6039" s="19" t="n">
        <f aca="false">'SALES Raw'!D848</f>
        <v>66.09</v>
      </c>
      <c r="F6039" s="19" t="n">
        <f aca="false">'SALES Raw'!E848*$H$4</f>
        <v>-1.26315789473684</v>
      </c>
      <c r="G6039" s="19" t="n">
        <f aca="false">'SALES Raw'!F848*$H$4</f>
        <v>-47.3052631578947</v>
      </c>
      <c r="H6039" s="18" t="str">
        <f aca="false">'SALES Raw'!A848</f>
        <v>102 - Orthopedic institutes</v>
      </c>
    </row>
    <row r="6040" customFormat="false" ht="15" hidden="false" customHeight="false" outlineLevel="0" collapsed="false">
      <c r="A6040" s="18" t="str">
        <f aca="false">'SALES Raw'!G936</f>
        <v/>
      </c>
      <c r="B6040" s="18" t="str">
        <f aca="false">'SALES Raw'!B936</f>
        <v>85+ S</v>
      </c>
      <c r="C6040" s="18" t="str">
        <f aca="false">'SALES Raw'!H936</f>
        <v>85+ S</v>
      </c>
      <c r="D6040" s="19" t="n">
        <f aca="false">'SALES Raw'!C936</f>
        <v>13</v>
      </c>
      <c r="E6040" s="19" t="n">
        <f aca="false">'SALES Raw'!D936</f>
        <v>860</v>
      </c>
      <c r="F6040" s="19" t="n">
        <f aca="false">'SALES Raw'!E936*$H$4</f>
        <v>-1.26315789473684</v>
      </c>
      <c r="G6040" s="19" t="n">
        <f aca="false">'SALES Raw'!F936*$H$4</f>
        <v>-88.4084210526316</v>
      </c>
      <c r="H6040" s="18" t="str">
        <f aca="false">'SALES Raw'!A936</f>
        <v>102 - Orthopedic institutes</v>
      </c>
    </row>
    <row r="6041" customFormat="false" ht="15" hidden="false" customHeight="false" outlineLevel="0" collapsed="false">
      <c r="A6041" s="18" t="str">
        <f aca="false">'SALES Raw'!G987</f>
        <v/>
      </c>
      <c r="B6041" s="18" t="str">
        <f aca="false">'SALES Raw'!B987</f>
        <v>T433 M</v>
      </c>
      <c r="C6041" s="18" t="str">
        <f aca="false">'SALES Raw'!H987</f>
        <v>T433 M</v>
      </c>
      <c r="D6041" s="19" t="n">
        <f aca="false">'SALES Raw'!C987</f>
        <v>1</v>
      </c>
      <c r="E6041" s="19" t="n">
        <f aca="false">'SALES Raw'!D987</f>
        <v>190</v>
      </c>
      <c r="F6041" s="19" t="n">
        <f aca="false">'SALES Raw'!E987*$H$4</f>
        <v>-1.26315789473684</v>
      </c>
      <c r="G6041" s="19" t="n">
        <f aca="false">'SALES Raw'!F987*$H$4</f>
        <v>-240</v>
      </c>
      <c r="H6041" s="18" t="str">
        <f aca="false">'SALES Raw'!A987</f>
        <v>102 - Orthopedic institutes</v>
      </c>
    </row>
    <row r="6042" customFormat="false" ht="15" hidden="false" customHeight="false" outlineLevel="0" collapsed="false">
      <c r="A6042" s="18" t="str">
        <f aca="false">'SALES Raw'!G1092</f>
        <v/>
      </c>
      <c r="B6042" s="18" t="str">
        <f aca="false">'SALES Raw'!B1092</f>
        <v>MSG001FW</v>
      </c>
      <c r="C6042" s="18" t="str">
        <f aca="false">'SALES Raw'!H1092</f>
        <v>MSG001FW</v>
      </c>
      <c r="D6042" s="19" t="n">
        <f aca="false">'SALES Raw'!C1092</f>
        <v>0</v>
      </c>
      <c r="E6042" s="19" t="n">
        <f aca="false">'SALES Raw'!D1092</f>
        <v>0</v>
      </c>
      <c r="F6042" s="19" t="n">
        <f aca="false">'SALES Raw'!E1092*$H$4</f>
        <v>-1.26315789473684</v>
      </c>
      <c r="G6042" s="19" t="n">
        <f aca="false">'SALES Raw'!F1092*$H$4</f>
        <v>-663.06947368421</v>
      </c>
      <c r="H6042" s="18" t="str">
        <f aca="false">'SALES Raw'!A1092</f>
        <v>102 - Orthopedic institutes</v>
      </c>
    </row>
    <row r="6043" customFormat="false" ht="15" hidden="false" customHeight="false" outlineLevel="0" collapsed="false">
      <c r="A6043" s="18" t="str">
        <f aca="false">'SALES Raw'!G1148</f>
        <v/>
      </c>
      <c r="B6043" s="18" t="str">
        <f aca="false">'SALES Raw'!B1148</f>
        <v>099-S-M</v>
      </c>
      <c r="C6043" s="18" t="str">
        <f aca="false">'SALES Raw'!H1148</f>
        <v>099-S-M</v>
      </c>
      <c r="D6043" s="19" t="n">
        <f aca="false">'SALES Raw'!C1148</f>
        <v>0</v>
      </c>
      <c r="E6043" s="19" t="n">
        <f aca="false">'SALES Raw'!D1148</f>
        <v>-0.0799999999999983</v>
      </c>
      <c r="F6043" s="19" t="n">
        <f aca="false">'SALES Raw'!E1148*$H$4</f>
        <v>-1.26315789473684</v>
      </c>
      <c r="G6043" s="19" t="n">
        <f aca="false">'SALES Raw'!F1148*$H$4</f>
        <v>-88.421052631579</v>
      </c>
      <c r="H6043" s="18" t="str">
        <f aca="false">'SALES Raw'!A1148</f>
        <v>102 - Orthopedic institutes</v>
      </c>
    </row>
    <row r="6044" customFormat="false" ht="15" hidden="false" customHeight="false" outlineLevel="0" collapsed="false">
      <c r="A6044" s="18" t="str">
        <f aca="false">'SALES Raw'!G1175</f>
        <v/>
      </c>
      <c r="B6044" s="18" t="str">
        <f aca="false">'SALES Raw'!B1175</f>
        <v>T433 XL</v>
      </c>
      <c r="C6044" s="18" t="str">
        <f aca="false">'SALES Raw'!H1175</f>
        <v>T433 XL</v>
      </c>
      <c r="D6044" s="19" t="n">
        <f aca="false">'SALES Raw'!C1175</f>
        <v>0</v>
      </c>
      <c r="E6044" s="19" t="n">
        <f aca="false">'SALES Raw'!D1175</f>
        <v>0</v>
      </c>
      <c r="F6044" s="19" t="n">
        <f aca="false">'SALES Raw'!E1175*$H$4</f>
        <v>-1.26315789473684</v>
      </c>
      <c r="G6044" s="19" t="n">
        <f aca="false">'SALES Raw'!F1175*$H$4</f>
        <v>-240</v>
      </c>
      <c r="H6044" s="18" t="str">
        <f aca="false">'SALES Raw'!A1175</f>
        <v>102 - Orthopedic institutes</v>
      </c>
    </row>
    <row r="6045" customFormat="false" ht="15" hidden="false" customHeight="false" outlineLevel="0" collapsed="false">
      <c r="A6045" s="18" t="str">
        <f aca="false">'SALES Raw'!G2615</f>
        <v/>
      </c>
      <c r="B6045" s="18" t="str">
        <f aca="false">'SALES Raw'!B2615</f>
        <v>M93</v>
      </c>
      <c r="C6045" s="18" t="str">
        <f aca="false">'SALES Raw'!H2615</f>
        <v>M93</v>
      </c>
      <c r="D6045" s="19" t="n">
        <f aca="false">'SALES Raw'!C2615</f>
        <v>6</v>
      </c>
      <c r="E6045" s="19" t="n">
        <f aca="false">'SALES Raw'!D2615</f>
        <v>152.52</v>
      </c>
      <c r="F6045" s="19" t="n">
        <f aca="false">'SALES Raw'!E2615*$H$4</f>
        <v>-1.26315789473684</v>
      </c>
      <c r="G6045" s="19" t="n">
        <f aca="false">'SALES Raw'!F2615*$H$4</f>
        <v>-32.1094736842105</v>
      </c>
      <c r="H6045" s="18" t="str">
        <f aca="false">'SALES Raw'!A2615</f>
        <v>114 - IL online</v>
      </c>
    </row>
    <row r="6046" customFormat="false" ht="15" hidden="false" customHeight="false" outlineLevel="0" collapsed="false">
      <c r="A6046" s="18" t="str">
        <f aca="false">'SALES Raw'!G3681</f>
        <v/>
      </c>
      <c r="B6046" s="18" t="str">
        <f aca="false">'SALES Raw'!B3681</f>
        <v>הנחות לקוחות</v>
      </c>
      <c r="C6046" s="18" t="str">
        <f aca="false">'SALES Raw'!H3681</f>
        <v>הנחות לקוחות</v>
      </c>
      <c r="D6046" s="19" t="n">
        <f aca="false">'SALES Raw'!C3681</f>
        <v>0</v>
      </c>
      <c r="E6046" s="19" t="n">
        <f aca="false">'SALES Raw'!D3681</f>
        <v>0</v>
      </c>
      <c r="F6046" s="19" t="n">
        <f aca="false">'SALES Raw'!E3681*$H$4</f>
        <v>-1.26315789473684</v>
      </c>
      <c r="G6046" s="19" t="n">
        <f aca="false">'SALES Raw'!F3681*$H$4</f>
        <v>-28809.5368421053</v>
      </c>
      <c r="H6046" s="18" t="str">
        <f aca="false">'SALES Raw'!A3681</f>
        <v>207 - Salus HUNGARY</v>
      </c>
    </row>
    <row r="6047" customFormat="false" ht="15" hidden="false" customHeight="false" outlineLevel="0" collapsed="false">
      <c r="A6047" s="18" t="n">
        <f aca="false">'CEMIUP0.9 Raw'!B318</f>
        <v>4413153</v>
      </c>
      <c r="B6047" s="18" t="str">
        <f aca="false">'CEMIUP0.9 Raw'!C318</f>
        <v>305GA מדרס אורטופ.מתכוון35-36</v>
      </c>
      <c r="C6047" s="18" t="str">
        <f aca="false">'CEMIUP0.9 Raw'!C318</f>
        <v>305GA מדרס אורטופ.מתכוון35-36</v>
      </c>
      <c r="D6047" s="19" t="n">
        <f aca="false">'CEMIUP0.9 Raw'!D318</f>
        <v>6</v>
      </c>
      <c r="E6047" s="19" t="n">
        <f aca="false">'CEMIUP0.9 Raw'!E318</f>
        <v>381.017</v>
      </c>
      <c r="F6047" s="19" t="n">
        <f aca="false">'CEMIUP0.9 Raw'!F318</f>
        <v>-2.52631578947368</v>
      </c>
      <c r="G6047" s="19" t="n">
        <f aca="false">'CEMIUP0.9 Raw'!G318</f>
        <v>-211.848</v>
      </c>
      <c r="H6047" s="18" t="str">
        <f aca="false">'CEMIUP0.9 Raw'!A318</f>
        <v>107 - Pharmacies</v>
      </c>
    </row>
    <row r="6048" customFormat="false" ht="15" hidden="false" customHeight="false" outlineLevel="0" collapsed="false">
      <c r="A6048" s="18" t="n">
        <f aca="false">'CEMIUP0.9 Raw'!B377</f>
        <v>4413339</v>
      </c>
      <c r="B6048" s="18" t="str">
        <f aca="false">'CEMIUP0.9 Raw'!C377</f>
        <v>922XXLמגן מרפק+כרית סילקון</v>
      </c>
      <c r="C6048" s="18" t="str">
        <f aca="false">'CEMIUP0.9 Raw'!C377</f>
        <v>922XXLמגן מרפק+כרית סילקון</v>
      </c>
      <c r="D6048" s="19" t="n">
        <f aca="false">'CEMIUP0.9 Raw'!D377</f>
        <v>0</v>
      </c>
      <c r="E6048" s="19" t="n">
        <f aca="false">'CEMIUP0.9 Raw'!E377</f>
        <v>0</v>
      </c>
      <c r="F6048" s="19" t="n">
        <f aca="false">'CEMIUP0.9 Raw'!F377</f>
        <v>-2.52631578947368</v>
      </c>
      <c r="G6048" s="19" t="n">
        <f aca="false">'CEMIUP0.9 Raw'!G377</f>
        <v>-325.875789473684</v>
      </c>
      <c r="H6048" s="18" t="str">
        <f aca="false">'CEMIUP0.9 Raw'!A377</f>
        <v>107 - Pharmacies</v>
      </c>
    </row>
    <row r="6049" customFormat="false" ht="15" hidden="false" customHeight="false" outlineLevel="0" collapsed="false">
      <c r="A6049" s="18" t="n">
        <f aca="false">'CEMIUP0.9 Raw'!B495</f>
        <v>4415091</v>
      </c>
      <c r="B6049" s="18" t="str">
        <f aca="false">'CEMIUP0.9 Raw'!C495</f>
        <v>27L XLסד ליד שמאל</v>
      </c>
      <c r="C6049" s="18" t="str">
        <f aca="false">'CEMIUP0.9 Raw'!C495</f>
        <v>27L XLסד ליד שמאל</v>
      </c>
      <c r="D6049" s="19" t="n">
        <f aca="false">'CEMIUP0.9 Raw'!D495</f>
        <v>0</v>
      </c>
      <c r="E6049" s="19" t="n">
        <f aca="false">'CEMIUP0.9 Raw'!E495</f>
        <v>0</v>
      </c>
      <c r="F6049" s="19" t="n">
        <f aca="false">'CEMIUP0.9 Raw'!F495</f>
        <v>-2.52631578947368</v>
      </c>
      <c r="G6049" s="19" t="n">
        <f aca="false">'CEMIUP0.9 Raw'!G495</f>
        <v>-222.997894736842</v>
      </c>
      <c r="H6049" s="18" t="str">
        <f aca="false">'CEMIUP0.9 Raw'!A495</f>
        <v>107 - Pharmacies</v>
      </c>
    </row>
    <row r="6050" customFormat="false" ht="15" hidden="false" customHeight="false" outlineLevel="0" collapsed="false">
      <c r="A6050" s="18" t="n">
        <f aca="false">'CEMIUP0.9 Raw'!B688</f>
        <v>4403029</v>
      </c>
      <c r="B6050" s="18" t="str">
        <f aca="false">'CEMIUP0.9 Raw'!C688</f>
        <v>397-39-42</v>
      </c>
      <c r="C6050" s="18" t="str">
        <f aca="false">'CEMIUP0.9 Raw'!C688</f>
        <v>397-39-42</v>
      </c>
      <c r="D6050" s="19" t="n">
        <f aca="false">'CEMIUP0.9 Raw'!D688</f>
        <v>312</v>
      </c>
      <c r="E6050" s="19" t="n">
        <f aca="false">'CEMIUP0.9 Raw'!E688</f>
        <v>13044.72</v>
      </c>
      <c r="F6050" s="19" t="n">
        <f aca="false">'CEMIUP0.9 Raw'!F688</f>
        <v>-2.52631578947368</v>
      </c>
      <c r="G6050" s="19" t="n">
        <f aca="false">'CEMIUP0.9 Raw'!G688</f>
        <v>-105.625263157895</v>
      </c>
      <c r="H6050" s="18" t="str">
        <f aca="false">'CEMIUP0.9 Raw'!A688</f>
        <v>113 - Kupat Holim Meuhedet</v>
      </c>
    </row>
    <row r="6051" customFormat="false" ht="15" hidden="false" customHeight="false" outlineLevel="0" collapsed="false">
      <c r="A6051" s="18" t="n">
        <f aca="false">'CEMIUP0.9 Raw'!B724</f>
        <v>4408179</v>
      </c>
      <c r="B6051" s="18" t="str">
        <f aca="false">'CEMIUP0.9 Raw'!C724</f>
        <v>13 XL</v>
      </c>
      <c r="C6051" s="18" t="str">
        <f aca="false">'CEMIUP0.9 Raw'!C724</f>
        <v>13 XL</v>
      </c>
      <c r="D6051" s="19" t="n">
        <f aca="false">'CEMIUP0.9 Raw'!D724</f>
        <v>7</v>
      </c>
      <c r="E6051" s="19" t="n">
        <f aca="false">'CEMIUP0.9 Raw'!E724</f>
        <v>749.63</v>
      </c>
      <c r="F6051" s="19" t="n">
        <f aca="false">'CEMIUP0.9 Raw'!F724</f>
        <v>-2.52631578947368</v>
      </c>
      <c r="G6051" s="19" t="n">
        <f aca="false">'CEMIUP0.9 Raw'!G724</f>
        <v>-270.543157894737</v>
      </c>
      <c r="H6051" s="18" t="str">
        <f aca="false">'CEMIUP0.9 Raw'!A724</f>
        <v>113 - Kupat Holim Meuhedet</v>
      </c>
    </row>
    <row r="6052" customFormat="false" ht="15" hidden="false" customHeight="false" outlineLevel="0" collapsed="false">
      <c r="A6052" s="18" t="n">
        <f aca="false">'CEMIUP0.9 Raw'!B944</f>
        <v>4403017</v>
      </c>
      <c r="B6052" s="18" t="str">
        <f aca="false">'CEMIUP0.9 Raw'!C944</f>
        <v>394B גרב.כסף לסכרתים שחור35-38</v>
      </c>
      <c r="C6052" s="18" t="str">
        <f aca="false">'CEMIUP0.9 Raw'!C944</f>
        <v>394B גרב.כסף לסכרתים שחור35-38</v>
      </c>
      <c r="D6052" s="19" t="n">
        <f aca="false">'CEMIUP0.9 Raw'!D944</f>
        <v>0</v>
      </c>
      <c r="E6052" s="19" t="n">
        <f aca="false">'CEMIUP0.9 Raw'!E944</f>
        <v>0</v>
      </c>
      <c r="F6052" s="19" t="n">
        <f aca="false">'CEMIUP0.9 Raw'!F944</f>
        <v>-2.52631578947368</v>
      </c>
      <c r="G6052" s="19" t="n">
        <f aca="false">'CEMIUP0.9 Raw'!G944</f>
        <v>-86.0955789473684</v>
      </c>
      <c r="H6052" s="18" t="str">
        <f aca="false">'CEMIUP0.9 Raw'!A944</f>
        <v>BE (CEMI internal group)</v>
      </c>
    </row>
    <row r="6053" customFormat="false" ht="15" hidden="false" customHeight="false" outlineLevel="0" collapsed="false">
      <c r="A6053" s="18" t="n">
        <f aca="false">'CEMIUP0.9 Raw'!B951</f>
        <v>4403028</v>
      </c>
      <c r="B6053" s="18" t="str">
        <f aca="false">'CEMIUP0.9 Raw'!C951</f>
        <v>397 35-38 גרבי טיסה מידה</v>
      </c>
      <c r="C6053" s="18" t="str">
        <f aca="false">'CEMIUP0.9 Raw'!C951</f>
        <v>397 35-38 גרבי טיסה מידה</v>
      </c>
      <c r="D6053" s="19" t="n">
        <f aca="false">'CEMIUP0.9 Raw'!D951</f>
        <v>141</v>
      </c>
      <c r="E6053" s="19" t="n">
        <f aca="false">'CEMIUP0.9 Raw'!E951</f>
        <v>7304.115</v>
      </c>
      <c r="F6053" s="19" t="n">
        <f aca="false">'CEMIUP0.9 Raw'!F951</f>
        <v>-2.52631578947368</v>
      </c>
      <c r="G6053" s="19" t="n">
        <f aca="false">'CEMIUP0.9 Raw'!G951</f>
        <v>-130.695157894737</v>
      </c>
      <c r="H6053" s="18" t="str">
        <f aca="false">'CEMIUP0.9 Raw'!A951</f>
        <v>BE (CEMI internal group)</v>
      </c>
    </row>
    <row r="6054" customFormat="false" ht="15" hidden="false" customHeight="false" outlineLevel="0" collapsed="false">
      <c r="A6054" s="18" t="n">
        <f aca="false">'CEMIUP0.9 Raw'!B953</f>
        <v>4403030</v>
      </c>
      <c r="B6054" s="18" t="str">
        <f aca="false">'CEMIUP0.9 Raw'!C953</f>
        <v>397 43-46 גרבי טיסה מידה</v>
      </c>
      <c r="C6054" s="18" t="str">
        <f aca="false">'CEMIUP0.9 Raw'!C953</f>
        <v>397 43-46 גרבי טיסה מידה</v>
      </c>
      <c r="D6054" s="19" t="n">
        <f aca="false">'CEMIUP0.9 Raw'!D953</f>
        <v>149</v>
      </c>
      <c r="E6054" s="19" t="n">
        <f aca="false">'CEMIUP0.9 Raw'!E953</f>
        <v>7705.607</v>
      </c>
      <c r="F6054" s="19" t="n">
        <f aca="false">'CEMIUP0.9 Raw'!F953</f>
        <v>-2.52631578947368</v>
      </c>
      <c r="G6054" s="19" t="n">
        <f aca="false">'CEMIUP0.9 Raw'!G953</f>
        <v>-130.695157894737</v>
      </c>
      <c r="H6054" s="18" t="str">
        <f aca="false">'CEMIUP0.9 Raw'!A953</f>
        <v>BE (CEMI internal group)</v>
      </c>
    </row>
    <row r="6055" customFormat="false" ht="15" hidden="false" customHeight="false" outlineLevel="0" collapsed="false">
      <c r="A6055" s="18" t="n">
        <f aca="false">'CEMIUP0.9 Raw'!B956</f>
        <v>4408009</v>
      </c>
      <c r="B6055" s="18" t="str">
        <f aca="false">'CEMIUP0.9 Raw'!C956</f>
        <v>079 S ח.גב סג. כפולה שחור+אדום</v>
      </c>
      <c r="C6055" s="18" t="str">
        <f aca="false">'CEMIUP0.9 Raw'!C956</f>
        <v>079 S ח.גב סג. כפולה שחור+אדום</v>
      </c>
      <c r="D6055" s="19" t="n">
        <f aca="false">'CEMIUP0.9 Raw'!D956</f>
        <v>6</v>
      </c>
      <c r="E6055" s="19" t="n">
        <f aca="false">'CEMIUP0.9 Raw'!E956</f>
        <v>541.814</v>
      </c>
      <c r="F6055" s="19" t="n">
        <f aca="false">'CEMIUP0.9 Raw'!F956</f>
        <v>-2.52631578947368</v>
      </c>
      <c r="G6055" s="19" t="n">
        <f aca="false">'CEMIUP0.9 Raw'!G956</f>
        <v>-228.17052631579</v>
      </c>
      <c r="H6055" s="18" t="str">
        <f aca="false">'CEMIUP0.9 Raw'!A956</f>
        <v>BE (CEMI internal group)</v>
      </c>
    </row>
    <row r="6056" customFormat="false" ht="15" hidden="false" customHeight="false" outlineLevel="0" collapsed="false">
      <c r="A6056" s="18" t="n">
        <f aca="false">'CEMIUP0.9 Raw'!B1046</f>
        <v>4413002</v>
      </c>
      <c r="B6056" s="18" t="str">
        <f aca="false">'CEMIUP0.9 Raw'!C1046</f>
        <v>30 L מגן קרסול מתכוון עם סקוטש</v>
      </c>
      <c r="C6056" s="18" t="str">
        <f aca="false">'CEMIUP0.9 Raw'!C1046</f>
        <v>30 L מגן קרסול מתכוון עם סקוטש</v>
      </c>
      <c r="D6056" s="19" t="n">
        <f aca="false">'CEMIUP0.9 Raw'!D1046</f>
        <v>3</v>
      </c>
      <c r="E6056" s="19" t="n">
        <f aca="false">'CEMIUP0.9 Raw'!E1046</f>
        <v>168.441</v>
      </c>
      <c r="F6056" s="19" t="n">
        <f aca="false">'CEMIUP0.9 Raw'!F1046</f>
        <v>-2.52631578947368</v>
      </c>
      <c r="G6056" s="19" t="n">
        <f aca="false">'CEMIUP0.9 Raw'!G1046</f>
        <v>-141.96</v>
      </c>
      <c r="H6056" s="18" t="str">
        <f aca="false">'CEMIUP0.9 Raw'!A1046</f>
        <v>BE (CEMI internal group)</v>
      </c>
    </row>
    <row r="6057" customFormat="false" ht="15" hidden="false" customHeight="false" outlineLevel="0" collapsed="false">
      <c r="A6057" s="18" t="n">
        <f aca="false">'CEMIUP0.9 Raw'!B1047</f>
        <v>4413003</v>
      </c>
      <c r="B6057" s="18" t="str">
        <f aca="false">'CEMIUP0.9 Raw'!C1047</f>
        <v>30 M מגן קרסול מתכוון עם סקוטש</v>
      </c>
      <c r="C6057" s="18" t="str">
        <f aca="false">'CEMIUP0.9 Raw'!C1047</f>
        <v>30 M מגן קרסול מתכוון עם סקוטש</v>
      </c>
      <c r="D6057" s="19" t="n">
        <f aca="false">'CEMIUP0.9 Raw'!D1047</f>
        <v>15</v>
      </c>
      <c r="E6057" s="19" t="n">
        <f aca="false">'CEMIUP0.9 Raw'!E1047</f>
        <v>746.382</v>
      </c>
      <c r="F6057" s="19" t="n">
        <f aca="false">'CEMIUP0.9 Raw'!F1047</f>
        <v>-2.52631578947368</v>
      </c>
      <c r="G6057" s="19" t="n">
        <f aca="false">'CEMIUP0.9 Raw'!G1047</f>
        <v>-141.96</v>
      </c>
      <c r="H6057" s="18" t="str">
        <f aca="false">'CEMIUP0.9 Raw'!A1047</f>
        <v>BE (CEMI internal group)</v>
      </c>
    </row>
    <row r="6058" customFormat="false" ht="15" hidden="false" customHeight="false" outlineLevel="0" collapsed="false">
      <c r="A6058" s="18" t="n">
        <f aca="false">'CEMIUP0.9 Raw'!B1084</f>
        <v>4413077</v>
      </c>
      <c r="B6058" s="18" t="str">
        <f aca="false">'CEMIUP0.9 Raw'!C1084</f>
        <v>41X M מגן ברך מוצלב+מוט</v>
      </c>
      <c r="C6058" s="18" t="str">
        <f aca="false">'CEMIUP0.9 Raw'!C1084</f>
        <v>41X M מגן ברך מוצלב+מוט</v>
      </c>
      <c r="D6058" s="19" t="n">
        <f aca="false">'CEMIUP0.9 Raw'!D1084</f>
        <v>0</v>
      </c>
      <c r="E6058" s="19" t="n">
        <f aca="false">'CEMIUP0.9 Raw'!E1084</f>
        <v>0</v>
      </c>
      <c r="F6058" s="19" t="n">
        <f aca="false">'CEMIUP0.9 Raw'!F1084</f>
        <v>-2.52631578947368</v>
      </c>
      <c r="G6058" s="19" t="n">
        <f aca="false">'CEMIUP0.9 Raw'!G1084</f>
        <v>-294.150315789474</v>
      </c>
      <c r="H6058" s="18" t="str">
        <f aca="false">'CEMIUP0.9 Raw'!A1084</f>
        <v>BE (CEMI internal group)</v>
      </c>
    </row>
    <row r="6059" customFormat="false" ht="15" hidden="false" customHeight="false" outlineLevel="0" collapsed="false">
      <c r="A6059" s="18" t="n">
        <f aca="false">'CEMIUP0.9 Raw'!B1236</f>
        <v>4416006</v>
      </c>
      <c r="B6059" s="18" t="str">
        <f aca="false">'CEMIUP0.9 Raw'!C1236</f>
        <v>308 Sעקבים סיליק.כחול לדורבן</v>
      </c>
      <c r="C6059" s="18" t="str">
        <f aca="false">'CEMIUP0.9 Raw'!C1236</f>
        <v>308 Sעקבים סיליק.כחול לדורבן</v>
      </c>
      <c r="D6059" s="19" t="n">
        <f aca="false">'CEMIUP0.9 Raw'!D1236</f>
        <v>0</v>
      </c>
      <c r="E6059" s="19" t="n">
        <f aca="false">'CEMIUP0.9 Raw'!E1236</f>
        <v>0</v>
      </c>
      <c r="F6059" s="19" t="n">
        <f aca="false">'CEMIUP0.9 Raw'!F1236</f>
        <v>-2.52631578947368</v>
      </c>
      <c r="G6059" s="19" t="n">
        <f aca="false">'CEMIUP0.9 Raw'!G1236</f>
        <v>-125.292631578947</v>
      </c>
      <c r="H6059" s="18" t="str">
        <f aca="false">'CEMIUP0.9 Raw'!A1236</f>
        <v>BE (CEMI internal group)</v>
      </c>
    </row>
    <row r="6060" customFormat="false" ht="15" hidden="false" customHeight="false" outlineLevel="0" collapsed="false">
      <c r="A6060" s="18" t="n">
        <f aca="false">'CEMIUP0.9 Raw'!B1299</f>
        <v>4403030</v>
      </c>
      <c r="B6060" s="18" t="str">
        <f aca="false">'CEMIUP0.9 Raw'!C1299</f>
        <v>397 43-46 גרבי טיסה מידה</v>
      </c>
      <c r="C6060" s="18" t="str">
        <f aca="false">'CEMIUP0.9 Raw'!C1299</f>
        <v>397 43-46 גרבי טיסה מידה</v>
      </c>
      <c r="D6060" s="19" t="n">
        <f aca="false">'CEMIUP0.9 Raw'!D1299</f>
        <v>527</v>
      </c>
      <c r="E6060" s="19" t="n">
        <f aca="false">'CEMIUP0.9 Raw'!E1299</f>
        <v>25230.023</v>
      </c>
      <c r="F6060" s="19" t="n">
        <f aca="false">'CEMIUP0.9 Raw'!F1299</f>
        <v>-2.52631578947368</v>
      </c>
      <c r="G6060" s="19" t="n">
        <f aca="false">'CEMIUP0.9 Raw'!G1299</f>
        <v>-118.280842105263</v>
      </c>
      <c r="H6060" s="18" t="str">
        <f aca="false">'CEMIUP0.9 Raw'!A1299</f>
        <v>Super-Pharm Israel (CEMI internal group)</v>
      </c>
    </row>
    <row r="6061" customFormat="false" ht="15" hidden="false" customHeight="false" outlineLevel="0" collapsed="false">
      <c r="A6061" s="18" t="n">
        <f aca="false">'CEMIUP0.9 Raw'!B1308</f>
        <v>4408011</v>
      </c>
      <c r="B6061" s="18" t="str">
        <f aca="false">'CEMIUP0.9 Raw'!C1308</f>
        <v>079  M ח.גב סג.כפולה שחור+אדום</v>
      </c>
      <c r="C6061" s="18" t="str">
        <f aca="false">'CEMIUP0.9 Raw'!C1308</f>
        <v>079  M ח.גב סג.כפולה שחור+אדום</v>
      </c>
      <c r="D6061" s="19" t="n">
        <f aca="false">'CEMIUP0.9 Raw'!D1308</f>
        <v>-2</v>
      </c>
      <c r="E6061" s="19" t="n">
        <f aca="false">'CEMIUP0.9 Raw'!E1308</f>
        <v>-137.501</v>
      </c>
      <c r="F6061" s="19" t="n">
        <f aca="false">'CEMIUP0.9 Raw'!F1308</f>
        <v>-2.52631578947368</v>
      </c>
      <c r="G6061" s="19" t="n">
        <f aca="false">'CEMIUP0.9 Raw'!G1308</f>
        <v>-199.088842105263</v>
      </c>
      <c r="H6061" s="18" t="str">
        <f aca="false">'CEMIUP0.9 Raw'!A1308</f>
        <v>Super-Pharm Israel (CEMI internal group)</v>
      </c>
    </row>
    <row r="6062" customFormat="false" ht="15" hidden="false" customHeight="false" outlineLevel="0" collapsed="false">
      <c r="A6062" s="18" t="n">
        <f aca="false">'CEMIUP0.9 Raw'!B1329</f>
        <v>4408050</v>
      </c>
      <c r="B6062" s="18" t="str">
        <f aca="false">'CEMIUP0.9 Raw'!C1329</f>
        <v>20 XXL חבק יד מתכוון עם צמדן</v>
      </c>
      <c r="C6062" s="18" t="str">
        <f aca="false">'CEMIUP0.9 Raw'!C1329</f>
        <v>20 XXL חבק יד מתכוון עם צמדן</v>
      </c>
      <c r="D6062" s="19" t="n">
        <f aca="false">'CEMIUP0.9 Raw'!D1329</f>
        <v>1</v>
      </c>
      <c r="E6062" s="19" t="n">
        <f aca="false">'CEMIUP0.9 Raw'!E1329</f>
        <v>22.932</v>
      </c>
      <c r="F6062" s="19" t="n">
        <f aca="false">'CEMIUP0.9 Raw'!F1329</f>
        <v>-2.52631578947368</v>
      </c>
      <c r="G6062" s="19" t="n">
        <f aca="false">'CEMIUP0.9 Raw'!G1329</f>
        <v>-55.0597894736842</v>
      </c>
      <c r="H6062" s="18" t="str">
        <f aca="false">'CEMIUP0.9 Raw'!A1329</f>
        <v>Super-Pharm Israel (CEMI internal group)</v>
      </c>
    </row>
    <row r="6063" customFormat="false" ht="15" hidden="false" customHeight="false" outlineLevel="0" collapsed="false">
      <c r="A6063" s="18" t="n">
        <f aca="false">'CEMIUP0.9 Raw'!B1389</f>
        <v>4408234</v>
      </c>
      <c r="B6063" s="18" t="str">
        <f aca="false">'CEMIUP0.9 Raw'!C1389</f>
        <v>078C M'חגורת גב+סגירה כפו בז</v>
      </c>
      <c r="C6063" s="18" t="str">
        <f aca="false">'CEMIUP0.9 Raw'!C1389</f>
        <v>078C M'חגורת גב+סגירה כפו בז</v>
      </c>
      <c r="D6063" s="19" t="n">
        <f aca="false">'CEMIUP0.9 Raw'!D1389</f>
        <v>-1</v>
      </c>
      <c r="E6063" s="19" t="n">
        <f aca="false">'CEMIUP0.9 Raw'!E1389</f>
        <v>-83.811</v>
      </c>
      <c r="F6063" s="19" t="n">
        <f aca="false">'CEMIUP0.9 Raw'!F1389</f>
        <v>-2.52631578947368</v>
      </c>
      <c r="G6063" s="19" t="n">
        <f aca="false">'CEMIUP0.9 Raw'!G1389</f>
        <v>-206.560421052632</v>
      </c>
      <c r="H6063" s="18" t="str">
        <f aca="false">'CEMIUP0.9 Raw'!A1389</f>
        <v>Super-Pharm Israel (CEMI internal group)</v>
      </c>
    </row>
    <row r="6064" customFormat="false" ht="15" hidden="false" customHeight="false" outlineLevel="0" collapsed="false">
      <c r="A6064" s="18" t="n">
        <f aca="false">'CEMIUP0.9 Raw'!B1404</f>
        <v>4409000</v>
      </c>
      <c r="B6064" s="18" t="str">
        <f aca="false">'CEMIUP0.9 Raw'!C1404</f>
        <v>365 S-Lטבעת אלסטית מסיליקון</v>
      </c>
      <c r="C6064" s="18" t="str">
        <f aca="false">'CEMIUP0.9 Raw'!C1404</f>
        <v>365 S-Lטבעת אלסטית מסיליקון</v>
      </c>
      <c r="D6064" s="19" t="n">
        <f aca="false">'CEMIUP0.9 Raw'!D1404</f>
        <v>0</v>
      </c>
      <c r="E6064" s="19" t="n">
        <f aca="false">'CEMIUP0.9 Raw'!E1404</f>
        <v>0</v>
      </c>
      <c r="F6064" s="19" t="n">
        <f aca="false">'CEMIUP0.9 Raw'!F1404</f>
        <v>-2.52631578947368</v>
      </c>
      <c r="G6064" s="19" t="n">
        <f aca="false">'CEMIUP0.9 Raw'!G1404</f>
        <v>-26.5528421052632</v>
      </c>
      <c r="H6064" s="18" t="str">
        <f aca="false">'CEMIUP0.9 Raw'!A1404</f>
        <v>Super-Pharm Israel (CEMI internal group)</v>
      </c>
    </row>
    <row r="6065" customFormat="false" ht="15" hidden="false" customHeight="false" outlineLevel="0" collapsed="false">
      <c r="A6065" s="18" t="n">
        <f aca="false">'CEMIUP0.9 Raw'!B1406</f>
        <v>4409002</v>
      </c>
      <c r="B6065" s="18" t="str">
        <f aca="false">'CEMIUP0.9 Raw'!C1406</f>
        <v>FC341-טיפות נגד פטרת הציפורן</v>
      </c>
      <c r="C6065" s="18" t="str">
        <f aca="false">'CEMIUP0.9 Raw'!C1406</f>
        <v>FC341-טיפות נגד פטרת הציפורן</v>
      </c>
      <c r="D6065" s="19" t="n">
        <f aca="false">'CEMIUP0.9 Raw'!D1406</f>
        <v>-8</v>
      </c>
      <c r="E6065" s="19" t="n">
        <f aca="false">'CEMIUP0.9 Raw'!E1406</f>
        <v>-213.941</v>
      </c>
      <c r="F6065" s="19" t="n">
        <f aca="false">'CEMIUP0.9 Raw'!F1406</f>
        <v>-2.52631578947368</v>
      </c>
      <c r="G6065" s="19" t="n">
        <f aca="false">'CEMIUP0.9 Raw'!G1406</f>
        <v>-66.4395789473684</v>
      </c>
      <c r="H6065" s="18" t="str">
        <f aca="false">'CEMIUP0.9 Raw'!A1406</f>
        <v>Super-Pharm Israel (CEMI internal group)</v>
      </c>
    </row>
    <row r="6066" customFormat="false" ht="15" hidden="false" customHeight="false" outlineLevel="0" collapsed="false">
      <c r="A6066" s="18" t="n">
        <f aca="false">'CEMIUP0.9 Raw'!B1457</f>
        <v>4413060</v>
      </c>
      <c r="B6066" s="18" t="str">
        <f aca="false">'CEMIUP0.9 Raw'!C1457</f>
        <v>364 XLמפריד אצבע סיליקון ליבלת</v>
      </c>
      <c r="C6066" s="18" t="str">
        <f aca="false">'CEMIUP0.9 Raw'!C1457</f>
        <v>364 XLמפריד אצבע סיליקון ליבלת</v>
      </c>
      <c r="D6066" s="19" t="n">
        <f aca="false">'CEMIUP0.9 Raw'!D1457</f>
        <v>0</v>
      </c>
      <c r="E6066" s="19" t="n">
        <f aca="false">'CEMIUP0.9 Raw'!E1457</f>
        <v>0</v>
      </c>
      <c r="F6066" s="19" t="n">
        <f aca="false">'CEMIUP0.9 Raw'!F1457</f>
        <v>-2.52631578947368</v>
      </c>
      <c r="G6066" s="19" t="n">
        <f aca="false">'CEMIUP0.9 Raw'!G1457</f>
        <v>-28.8517894736842</v>
      </c>
      <c r="H6066" s="18" t="str">
        <f aca="false">'CEMIUP0.9 Raw'!A1457</f>
        <v>Super-Pharm Israel (CEMI internal group)</v>
      </c>
    </row>
    <row r="6067" customFormat="false" ht="15" hidden="false" customHeight="false" outlineLevel="0" collapsed="false">
      <c r="A6067" s="18" t="n">
        <f aca="false">'CEMIUP0.9 Raw'!B1465</f>
        <v>4413087</v>
      </c>
      <c r="B6067" s="18" t="str">
        <f aca="false">'CEMIUP0.9 Raw'!C1465</f>
        <v>422 Lמ.ברך+כרית סיל.סביב לפיקה</v>
      </c>
      <c r="C6067" s="18" t="str">
        <f aca="false">'CEMIUP0.9 Raw'!C1465</f>
        <v>422 Lמ.ברך+כרית סיל.סביב לפיקה</v>
      </c>
      <c r="D6067" s="19" t="n">
        <f aca="false">'CEMIUP0.9 Raw'!D1465</f>
        <v>-2</v>
      </c>
      <c r="E6067" s="19" t="n">
        <f aca="false">'CEMIUP0.9 Raw'!E1465</f>
        <v>-248.248</v>
      </c>
      <c r="F6067" s="19" t="n">
        <f aca="false">'CEMIUP0.9 Raw'!F1465</f>
        <v>-2.52631578947368</v>
      </c>
      <c r="G6067" s="19" t="n">
        <f aca="false">'CEMIUP0.9 Raw'!G1465</f>
        <v>-339.669473684211</v>
      </c>
      <c r="H6067" s="18" t="str">
        <f aca="false">'CEMIUP0.9 Raw'!A1465</f>
        <v>Super-Pharm Israel (CEMI internal group)</v>
      </c>
    </row>
    <row r="6068" customFormat="false" ht="15" hidden="false" customHeight="false" outlineLevel="0" collapsed="false">
      <c r="A6068" s="18" t="n">
        <f aca="false">'CEMIUP0.9 Raw'!B1467</f>
        <v>4413089</v>
      </c>
      <c r="B6068" s="18" t="str">
        <f aca="false">'CEMIUP0.9 Raw'!C1467</f>
        <v>422 Sמ.ברך+כרית סיל.סביב לפיקה</v>
      </c>
      <c r="C6068" s="18" t="str">
        <f aca="false">'CEMIUP0.9 Raw'!C1467</f>
        <v>422 Sמ.ברך+כרית סיל.סביב לפיקה</v>
      </c>
      <c r="D6068" s="19" t="n">
        <f aca="false">'CEMIUP0.9 Raw'!D1467</f>
        <v>-3</v>
      </c>
      <c r="E6068" s="19" t="n">
        <f aca="false">'CEMIUP0.9 Raw'!E1467</f>
        <v>-413.686</v>
      </c>
      <c r="F6068" s="19" t="n">
        <f aca="false">'CEMIUP0.9 Raw'!F1467</f>
        <v>-2.52631578947368</v>
      </c>
      <c r="G6068" s="19" t="n">
        <f aca="false">'CEMIUP0.9 Raw'!G1467</f>
        <v>-203.801684210526</v>
      </c>
      <c r="H6068" s="18" t="str">
        <f aca="false">'CEMIUP0.9 Raw'!A1467</f>
        <v>Super-Pharm Israel (CEMI internal group)</v>
      </c>
    </row>
    <row r="6069" customFormat="false" ht="15" hidden="false" customHeight="false" outlineLevel="0" collapsed="false">
      <c r="A6069" s="18" t="n">
        <f aca="false">'CEMIUP0.9 Raw'!B1650</f>
        <v>4416003</v>
      </c>
      <c r="B6069" s="18" t="str">
        <f aca="false">'CEMIUP0.9 Raw'!C1650</f>
        <v>308 Lעקבים סיליקון כחול לדורבן</v>
      </c>
      <c r="C6069" s="18" t="str">
        <f aca="false">'CEMIUP0.9 Raw'!C1650</f>
        <v>308 Lעקבים סיליקון כחול לדורבן</v>
      </c>
      <c r="D6069" s="19" t="n">
        <f aca="false">'CEMIUP0.9 Raw'!D1650</f>
        <v>0</v>
      </c>
      <c r="E6069" s="19" t="n">
        <f aca="false">'CEMIUP0.9 Raw'!E1650</f>
        <v>0</v>
      </c>
      <c r="F6069" s="19" t="n">
        <f aca="false">'CEMIUP0.9 Raw'!F1650</f>
        <v>-2.52631578947368</v>
      </c>
      <c r="G6069" s="19" t="n">
        <f aca="false">'CEMIUP0.9 Raw'!G1650</f>
        <v>-116.441684210526</v>
      </c>
      <c r="H6069" s="18" t="str">
        <f aca="false">'CEMIUP0.9 Raw'!A1650</f>
        <v>Super-Pharm Israel (CEMI internal group)</v>
      </c>
    </row>
    <row r="6070" customFormat="false" ht="15" hidden="false" customHeight="false" outlineLevel="0" collapsed="false">
      <c r="A6070" s="18" t="n">
        <f aca="false">'CEMIUP0.9 Raw'!B1660</f>
        <v>4419006</v>
      </c>
      <c r="B6070" s="18" t="str">
        <f aca="false">'CEMIUP0.9 Raw'!C1660</f>
        <v>PD340-קוצץ ציפורניים</v>
      </c>
      <c r="C6070" s="18" t="str">
        <f aca="false">'CEMIUP0.9 Raw'!C1660</f>
        <v>PD340-קוצץ ציפורניים</v>
      </c>
      <c r="D6070" s="19" t="n">
        <f aca="false">'CEMIUP0.9 Raw'!D1660</f>
        <v>0</v>
      </c>
      <c r="E6070" s="19" t="n">
        <f aca="false">'CEMIUP0.9 Raw'!E1660</f>
        <v>0</v>
      </c>
      <c r="F6070" s="19" t="n">
        <f aca="false">'CEMIUP0.9 Raw'!F1660</f>
        <v>-2.52631578947368</v>
      </c>
      <c r="G6070" s="19" t="n">
        <f aca="false">'CEMIUP0.9 Raw'!G1660</f>
        <v>-28.0471578947368</v>
      </c>
      <c r="H6070" s="18" t="str">
        <f aca="false">'CEMIUP0.9 Raw'!A1660</f>
        <v>Super-Pharm Israel (CEMI internal group)</v>
      </c>
    </row>
    <row r="6071" customFormat="false" ht="15" hidden="false" customHeight="false" outlineLevel="0" collapsed="false">
      <c r="A6071" s="18" t="n">
        <f aca="false">'CEMIUP0.9 Raw'!B1666</f>
        <v>4420005</v>
      </c>
      <c r="B6071" s="18" t="str">
        <f aca="false">'CEMIUP0.9 Raw'!C1666</f>
        <v>377 רפ.אורטופדית ספורט זוג36</v>
      </c>
      <c r="C6071" s="18" t="str">
        <f aca="false">'CEMIUP0.9 Raw'!C1666</f>
        <v>377 רפ.אורטופדית ספורט זוג36</v>
      </c>
      <c r="D6071" s="19" t="n">
        <f aca="false">'CEMIUP0.9 Raw'!D1666</f>
        <v>0</v>
      </c>
      <c r="E6071" s="19" t="n">
        <f aca="false">'CEMIUP0.9 Raw'!E1666</f>
        <v>7.007</v>
      </c>
      <c r="F6071" s="19" t="n">
        <f aca="false">'CEMIUP0.9 Raw'!F1666</f>
        <v>-2.52631578947368</v>
      </c>
      <c r="G6071" s="19" t="n">
        <f aca="false">'CEMIUP0.9 Raw'!G1666</f>
        <v>-83.9115789473684</v>
      </c>
      <c r="H6071" s="18" t="str">
        <f aca="false">'CEMIUP0.9 Raw'!A1666</f>
        <v>Super-Pharm Israel (CEMI internal group)</v>
      </c>
    </row>
    <row r="6072" customFormat="false" ht="15" hidden="false" customHeight="false" outlineLevel="0" collapsed="false">
      <c r="A6072" s="18" t="n">
        <f aca="false">'CEMIUP0.9 Raw'!B1679</f>
        <v>4420021</v>
      </c>
      <c r="B6072" s="18" t="str">
        <f aca="false">'CEMIUP0.9 Raw'!C1679</f>
        <v>T40 רצועת פיקה לברך</v>
      </c>
      <c r="C6072" s="18" t="str">
        <f aca="false">'CEMIUP0.9 Raw'!C1679</f>
        <v>T40 רצועת פיקה לברך</v>
      </c>
      <c r="D6072" s="19" t="n">
        <f aca="false">'CEMIUP0.9 Raw'!D1679</f>
        <v>-1</v>
      </c>
      <c r="E6072" s="19" t="n">
        <f aca="false">'CEMIUP0.9 Raw'!E1679</f>
        <v>-67.249</v>
      </c>
      <c r="F6072" s="19" t="n">
        <f aca="false">'CEMIUP0.9 Raw'!F1679</f>
        <v>-2.52631578947368</v>
      </c>
      <c r="G6072" s="19" t="n">
        <f aca="false">'CEMIUP0.9 Raw'!G1679</f>
        <v>-169.892210526316</v>
      </c>
      <c r="H6072" s="18" t="str">
        <f aca="false">'CEMIUP0.9 Raw'!A1679</f>
        <v>Super-Pharm Israel (CEMI internal group)</v>
      </c>
    </row>
    <row r="6073" customFormat="false" ht="15" hidden="false" customHeight="false" outlineLevel="0" collapsed="false">
      <c r="A6073" s="18" t="str">
        <f aca="false">'SALES Raw'!G293</f>
        <v/>
      </c>
      <c r="B6073" s="18" t="str">
        <f aca="false">'SALES Raw'!B293</f>
        <v>07AF L</v>
      </c>
      <c r="C6073" s="18" t="str">
        <f aca="false">'SALES Raw'!H293</f>
        <v>07AF L</v>
      </c>
      <c r="D6073" s="19" t="n">
        <f aca="false">'SALES Raw'!C293</f>
        <v>0</v>
      </c>
      <c r="E6073" s="19" t="n">
        <f aca="false">'SALES Raw'!D293</f>
        <v>0</v>
      </c>
      <c r="F6073" s="19" t="n">
        <f aca="false">'SALES Raw'!E293*$H$4</f>
        <v>-2.52631578947368</v>
      </c>
      <c r="G6073" s="19" t="n">
        <f aca="false">'SALES Raw'!F293*$H$4</f>
        <v>-991.124210526316</v>
      </c>
      <c r="H6073" s="18" t="str">
        <f aca="false">'SALES Raw'!A293</f>
        <v>101 - Factory customers</v>
      </c>
    </row>
    <row r="6074" customFormat="false" ht="15" hidden="false" customHeight="false" outlineLevel="0" collapsed="false">
      <c r="A6074" s="18" t="str">
        <f aca="false">'SALES Raw'!G362</f>
        <v/>
      </c>
      <c r="B6074" s="18" t="str">
        <f aca="false">'SALES Raw'!B362</f>
        <v>777-S-M</v>
      </c>
      <c r="C6074" s="18" t="str">
        <f aca="false">'SALES Raw'!H362</f>
        <v>777-S-M</v>
      </c>
      <c r="D6074" s="19" t="n">
        <f aca="false">'SALES Raw'!C362</f>
        <v>0</v>
      </c>
      <c r="E6074" s="19" t="n">
        <f aca="false">'SALES Raw'!D362</f>
        <v>0</v>
      </c>
      <c r="F6074" s="19" t="n">
        <f aca="false">'SALES Raw'!E362*$H$4</f>
        <v>-2.52631578947368</v>
      </c>
      <c r="G6074" s="19" t="n">
        <f aca="false">'SALES Raw'!F362*$H$4</f>
        <v>-1135.47789473684</v>
      </c>
      <c r="H6074" s="18" t="str">
        <f aca="false">'SALES Raw'!A362</f>
        <v>101 - Factory customers</v>
      </c>
    </row>
    <row r="6075" customFormat="false" ht="15" hidden="false" customHeight="false" outlineLevel="0" collapsed="false">
      <c r="A6075" s="18" t="str">
        <f aca="false">'SALES Raw'!G746</f>
        <v/>
      </c>
      <c r="B6075" s="18" t="str">
        <f aca="false">'SALES Raw'!B746</f>
        <v>T402 S</v>
      </c>
      <c r="C6075" s="18" t="str">
        <f aca="false">'SALES Raw'!H746</f>
        <v>T402 S</v>
      </c>
      <c r="D6075" s="19" t="n">
        <f aca="false">'SALES Raw'!C746</f>
        <v>1</v>
      </c>
      <c r="E6075" s="19" t="n">
        <f aca="false">'SALES Raw'!D746</f>
        <v>88.06</v>
      </c>
      <c r="F6075" s="19" t="n">
        <f aca="false">'SALES Raw'!E746*$H$4</f>
        <v>-2.52631578947368</v>
      </c>
      <c r="G6075" s="19" t="n">
        <f aca="false">'SALES Raw'!F746*$H$4</f>
        <v>-239.077894736842</v>
      </c>
      <c r="H6075" s="18" t="str">
        <f aca="false">'SALES Raw'!A746</f>
        <v>102 - Orthopedic institutes</v>
      </c>
    </row>
    <row r="6076" customFormat="false" ht="15" hidden="false" customHeight="false" outlineLevel="0" collapsed="false">
      <c r="A6076" s="18" t="n">
        <f aca="false">'SALES Raw'!G1143</f>
        <v>4419014</v>
      </c>
      <c r="B6076" s="18" t="str">
        <f aca="false">'SALES Raw'!B1143</f>
        <v>239TR-L-XL</v>
      </c>
      <c r="C6076" s="18" t="str">
        <f aca="false">'SALES Raw'!H1143</f>
        <v>239TR L-XL STRAP4U</v>
      </c>
      <c r="D6076" s="19" t="n">
        <f aca="false">'SALES Raw'!C1143</f>
        <v>0</v>
      </c>
      <c r="E6076" s="19" t="n">
        <f aca="false">'SALES Raw'!D1143</f>
        <v>0</v>
      </c>
      <c r="F6076" s="19" t="n">
        <f aca="false">'SALES Raw'!E1143*$H$4</f>
        <v>-2.52631578947368</v>
      </c>
      <c r="G6076" s="19" t="n">
        <f aca="false">'SALES Raw'!F1143*$H$4</f>
        <v>-48.4294736842105</v>
      </c>
      <c r="H6076" s="18" t="str">
        <f aca="false">'SALES Raw'!A1143</f>
        <v>102 - Orthopedic institutes</v>
      </c>
    </row>
    <row r="6077" customFormat="false" ht="15" hidden="false" customHeight="false" outlineLevel="0" collapsed="false">
      <c r="A6077" s="18" t="str">
        <f aca="false">'SALES Raw'!G236</f>
        <v/>
      </c>
      <c r="B6077" s="18" t="str">
        <f aca="false">'SALES Raw'!B236</f>
        <v>FC341 0</v>
      </c>
      <c r="C6077" s="18" t="str">
        <f aca="false">'SALES Raw'!H236</f>
        <v>FC341 0</v>
      </c>
      <c r="D6077" s="19" t="n">
        <f aca="false">'SALES Raw'!C236</f>
        <v>0</v>
      </c>
      <c r="E6077" s="19" t="n">
        <f aca="false">'SALES Raw'!D236</f>
        <v>0</v>
      </c>
      <c r="F6077" s="19" t="n">
        <f aca="false">'SALES Raw'!E236*$H$4</f>
        <v>-3.78947368421053</v>
      </c>
      <c r="G6077" s="19" t="n">
        <f aca="false">'SALES Raw'!F236*$H$4</f>
        <v>-134.804210526316</v>
      </c>
      <c r="H6077" s="18" t="str">
        <f aca="false">'SALES Raw'!A236</f>
        <v>101 - Factory customers</v>
      </c>
    </row>
    <row r="6078" customFormat="false" ht="15" hidden="false" customHeight="false" outlineLevel="0" collapsed="false">
      <c r="A6078" s="18" t="n">
        <f aca="false">'SALES Raw'!G533</f>
        <v>4408220</v>
      </c>
      <c r="B6078" s="18" t="str">
        <f aca="false">'SALES Raw'!B533</f>
        <v>078G M</v>
      </c>
      <c r="C6078" s="18" t="str">
        <f aca="false">'SALES Raw'!H533</f>
        <v>078G-M חגורת גב אפורה</v>
      </c>
      <c r="D6078" s="19" t="n">
        <f aca="false">'SALES Raw'!C533</f>
        <v>17</v>
      </c>
      <c r="E6078" s="19" t="n">
        <f aca="false">'SALES Raw'!D533</f>
        <v>1780.65</v>
      </c>
      <c r="F6078" s="19" t="n">
        <f aca="false">'SALES Raw'!E533*$H$4</f>
        <v>-3.78947368421053</v>
      </c>
      <c r="G6078" s="19" t="n">
        <f aca="false">'SALES Raw'!F533*$H$4</f>
        <v>-54.9600000000001</v>
      </c>
      <c r="H6078" s="18" t="str">
        <f aca="false">'SALES Raw'!A533</f>
        <v>102 - Orthopedic institutes</v>
      </c>
    </row>
    <row r="6079" customFormat="false" ht="15" hidden="false" customHeight="false" outlineLevel="0" collapsed="false">
      <c r="A6079" s="18" t="n">
        <f aca="false">'CEMIUP0.9 Raw'!B35</f>
        <v>4403030</v>
      </c>
      <c r="B6079" s="18" t="str">
        <f aca="false">'CEMIUP0.9 Raw'!C35</f>
        <v>397 43-46 גרבי טיסה מידה</v>
      </c>
      <c r="C6079" s="18" t="str">
        <f aca="false">'CEMIUP0.9 Raw'!C35</f>
        <v>397 43-46 גרבי טיסה מידה</v>
      </c>
      <c r="D6079" s="19" t="n">
        <f aca="false">'CEMIUP0.9 Raw'!D35</f>
        <v>211</v>
      </c>
      <c r="E6079" s="19" t="n">
        <f aca="false">'CEMIUP0.9 Raw'!E35</f>
        <v>11367.629</v>
      </c>
      <c r="F6079" s="19" t="n">
        <f aca="false">'CEMIUP0.9 Raw'!F35</f>
        <v>-3.78947368421053</v>
      </c>
      <c r="G6079" s="19" t="n">
        <f aca="false">'CEMIUP0.9 Raw'!G35</f>
        <v>-188.973473684211</v>
      </c>
      <c r="H6079" s="18" t="str">
        <f aca="false">'CEMIUP0.9 Raw'!A35</f>
        <v>107 - Pharmacies</v>
      </c>
    </row>
    <row r="6080" customFormat="false" ht="15" hidden="false" customHeight="false" outlineLevel="0" collapsed="false">
      <c r="A6080" s="18" t="n">
        <f aca="false">'CEMIUP0.9 Raw'!B53</f>
        <v>4408015</v>
      </c>
      <c r="B6080" s="18" t="str">
        <f aca="false">'CEMIUP0.9 Raw'!C53</f>
        <v>07AU L ח.גב ""איטלקית"" אורירית</v>
      </c>
      <c r="C6080" s="18" t="str">
        <f aca="false">'CEMIUP0.9 Raw'!C53</f>
        <v>07AU L ח.גב ""איטלקית"" אורירית</v>
      </c>
      <c r="D6080" s="19" t="n">
        <f aca="false">'CEMIUP0.9 Raw'!D53</f>
        <v>4</v>
      </c>
      <c r="E6080" s="19" t="n">
        <f aca="false">'CEMIUP0.9 Raw'!E53</f>
        <v>887.341</v>
      </c>
      <c r="F6080" s="19" t="n">
        <f aca="false">'CEMIUP0.9 Raw'!F53</f>
        <v>-3.78947368421053</v>
      </c>
      <c r="G6080" s="19" t="n">
        <f aca="false">'CEMIUP0.9 Raw'!G53</f>
        <v>-816.701052631579</v>
      </c>
      <c r="H6080" s="18" t="str">
        <f aca="false">'CEMIUP0.9 Raw'!A53</f>
        <v>107 - Pharmacies</v>
      </c>
    </row>
    <row r="6081" customFormat="false" ht="15" hidden="false" customHeight="false" outlineLevel="0" collapsed="false">
      <c r="A6081" s="18" t="n">
        <f aca="false">'CEMIUP0.9 Raw'!B858</f>
        <v>4419013</v>
      </c>
      <c r="B6081" s="18" t="str">
        <f aca="false">'CEMIUP0.9 Raw'!C858</f>
        <v>239B-L-XL</v>
      </c>
      <c r="C6081" s="18" t="str">
        <f aca="false">'CEMIUP0.9 Raw'!C858</f>
        <v>239B-L-XL</v>
      </c>
      <c r="D6081" s="19" t="n">
        <f aca="false">'CEMIUP0.9 Raw'!D858</f>
        <v>96</v>
      </c>
      <c r="E6081" s="19" t="n">
        <f aca="false">'CEMIUP0.9 Raw'!E858</f>
        <v>1056</v>
      </c>
      <c r="F6081" s="19" t="n">
        <f aca="false">'CEMIUP0.9 Raw'!F858</f>
        <v>-3.78947368421053</v>
      </c>
      <c r="G6081" s="19" t="n">
        <f aca="false">'CEMIUP0.9 Raw'!G858</f>
        <v>-41.6842105263158</v>
      </c>
      <c r="H6081" s="18" t="str">
        <f aca="false">'CEMIUP0.9 Raw'!A858</f>
        <v>113 - Kupat Holim Meuhedet</v>
      </c>
    </row>
    <row r="6082" customFormat="false" ht="15" hidden="false" customHeight="false" outlineLevel="0" collapsed="false">
      <c r="A6082" s="18" t="str">
        <f aca="false">'CEMIUP0.9 Raw'!B901</f>
        <v>239P-S-M</v>
      </c>
      <c r="B6082" s="18" t="str">
        <f aca="false">'CEMIUP0.9 Raw'!C901</f>
        <v>239P-S-M</v>
      </c>
      <c r="C6082" s="18" t="str">
        <f aca="false">'CEMIUP0.9 Raw'!C901</f>
        <v>239P-S-M</v>
      </c>
      <c r="D6082" s="19" t="n">
        <f aca="false">'CEMIUP0.9 Raw'!D901</f>
        <v>54</v>
      </c>
      <c r="E6082" s="19" t="n">
        <f aca="false">'CEMIUP0.9 Raw'!E901</f>
        <v>594</v>
      </c>
      <c r="F6082" s="19" t="n">
        <f aca="false">'CEMIUP0.9 Raw'!F901</f>
        <v>-3.78947368421053</v>
      </c>
      <c r="G6082" s="19" t="n">
        <f aca="false">'CEMIUP0.9 Raw'!G901</f>
        <v>-41.6842105263158</v>
      </c>
      <c r="H6082" s="18" t="str">
        <f aca="false">'CEMIUP0.9 Raw'!A901</f>
        <v>113 - Kupat Holim Meuhedet</v>
      </c>
    </row>
    <row r="6083" customFormat="false" ht="15" hidden="false" customHeight="false" outlineLevel="0" collapsed="false">
      <c r="A6083" s="18" t="n">
        <f aca="false">'CEMIUP0.9 Raw'!B946</f>
        <v>4403021</v>
      </c>
      <c r="B6083" s="18" t="str">
        <f aca="false">'CEMIUP0.9 Raw'!C946</f>
        <v>394G גרב.כסף לסכרתים אפור39-42</v>
      </c>
      <c r="C6083" s="18" t="str">
        <f aca="false">'CEMIUP0.9 Raw'!C946</f>
        <v>394G גרב.כסף לסכרתים אפור39-42</v>
      </c>
      <c r="D6083" s="19" t="n">
        <f aca="false">'CEMIUP0.9 Raw'!D946</f>
        <v>0</v>
      </c>
      <c r="E6083" s="19" t="n">
        <f aca="false">'CEMIUP0.9 Raw'!E946</f>
        <v>0</v>
      </c>
      <c r="F6083" s="19" t="n">
        <f aca="false">'CEMIUP0.9 Raw'!F946</f>
        <v>-3.78947368421053</v>
      </c>
      <c r="G6083" s="19" t="n">
        <f aca="false">'CEMIUP0.9 Raw'!G946</f>
        <v>-129.085894736842</v>
      </c>
      <c r="H6083" s="18" t="str">
        <f aca="false">'CEMIUP0.9 Raw'!A946</f>
        <v>BE (CEMI internal group)</v>
      </c>
    </row>
    <row r="6084" customFormat="false" ht="15" hidden="false" customHeight="false" outlineLevel="0" collapsed="false">
      <c r="A6084" s="18" t="n">
        <f aca="false">'CEMIUP0.9 Raw'!B1025</f>
        <v>4408235</v>
      </c>
      <c r="B6084" s="18" t="str">
        <f aca="false">'CEMIUP0.9 Raw'!C1025</f>
        <v>078C S'חגורת גב+סגירה כפו בז</v>
      </c>
      <c r="C6084" s="18" t="str">
        <f aca="false">'CEMIUP0.9 Raw'!C1025</f>
        <v>078C S'חגורת גב+סגירה כפו בז</v>
      </c>
      <c r="D6084" s="19" t="n">
        <f aca="false">'CEMIUP0.9 Raw'!D1025</f>
        <v>-1</v>
      </c>
      <c r="E6084" s="19" t="n">
        <f aca="false">'CEMIUP0.9 Raw'!E1025</f>
        <v>-90.272</v>
      </c>
      <c r="F6084" s="19" t="n">
        <f aca="false">'CEMIUP0.9 Raw'!F1025</f>
        <v>-3.78947368421053</v>
      </c>
      <c r="G6084" s="19" t="n">
        <f aca="false">'CEMIUP0.9 Raw'!G1025</f>
        <v>-342.198315789474</v>
      </c>
      <c r="H6084" s="18" t="str">
        <f aca="false">'CEMIUP0.9 Raw'!A1025</f>
        <v>BE (CEMI internal group)</v>
      </c>
    </row>
    <row r="6085" customFormat="false" ht="15" hidden="false" customHeight="false" outlineLevel="0" collapsed="false">
      <c r="A6085" s="18" t="n">
        <f aca="false">'CEMIUP0.9 Raw'!B1045</f>
        <v>4413000</v>
      </c>
      <c r="B6085" s="18" t="str">
        <f aca="false">'CEMIUP0.9 Raw'!C1045</f>
        <v>30 S מגן קרסול מתכוון עם סקוטש</v>
      </c>
      <c r="C6085" s="18" t="str">
        <f aca="false">'CEMIUP0.9 Raw'!C1045</f>
        <v>30 S מגן קרסול מתכוון עם סקוטש</v>
      </c>
      <c r="D6085" s="19" t="n">
        <f aca="false">'CEMIUP0.9 Raw'!D1045</f>
        <v>9</v>
      </c>
      <c r="E6085" s="19" t="n">
        <f aca="false">'CEMIUP0.9 Raw'!E1045</f>
        <v>505.596</v>
      </c>
      <c r="F6085" s="19" t="n">
        <f aca="false">'CEMIUP0.9 Raw'!F1045</f>
        <v>-3.78947368421053</v>
      </c>
      <c r="G6085" s="19" t="n">
        <f aca="false">'CEMIUP0.9 Raw'!G1045</f>
        <v>-212.882526315789</v>
      </c>
      <c r="H6085" s="18" t="str">
        <f aca="false">'CEMIUP0.9 Raw'!A1045</f>
        <v>BE (CEMI internal group)</v>
      </c>
    </row>
    <row r="6086" customFormat="false" ht="15" hidden="false" customHeight="false" outlineLevel="0" collapsed="false">
      <c r="A6086" s="18" t="n">
        <f aca="false">'CEMIUP0.9 Raw'!B1161</f>
        <v>4413283</v>
      </c>
      <c r="B6086" s="18" t="str">
        <f aca="false">'CEMIUP0.9 Raw'!C1161</f>
        <v>422E XXL מגן ברך ארוך עם כרית</v>
      </c>
      <c r="C6086" s="18" t="str">
        <f aca="false">'CEMIUP0.9 Raw'!C1161</f>
        <v>422E XXL מגן ברך ארוך עם כרית</v>
      </c>
      <c r="D6086" s="19" t="n">
        <f aca="false">'CEMIUP0.9 Raw'!D1161</f>
        <v>4</v>
      </c>
      <c r="E6086" s="19" t="n">
        <f aca="false">'CEMIUP0.9 Raw'!E1161</f>
        <v>716.17</v>
      </c>
      <c r="F6086" s="19" t="n">
        <f aca="false">'CEMIUP0.9 Raw'!F1161</f>
        <v>-3.78947368421053</v>
      </c>
      <c r="G6086" s="19" t="n">
        <f aca="false">'CEMIUP0.9 Raw'!G1161</f>
        <v>-678.419368421053</v>
      </c>
      <c r="H6086" s="18" t="str">
        <f aca="false">'CEMIUP0.9 Raw'!A1161</f>
        <v>BE (CEMI internal group)</v>
      </c>
    </row>
    <row r="6087" customFormat="false" ht="15" hidden="false" customHeight="false" outlineLevel="0" collapsed="false">
      <c r="A6087" s="18" t="n">
        <f aca="false">'CEMIUP0.9 Raw'!B1298</f>
        <v>4403029</v>
      </c>
      <c r="B6087" s="18" t="str">
        <f aca="false">'CEMIUP0.9 Raw'!C1298</f>
        <v>397 39-42 גרבי טיסה מידה</v>
      </c>
      <c r="C6087" s="18" t="str">
        <f aca="false">'CEMIUP0.9 Raw'!C1298</f>
        <v>397 39-42 גרבי טיסה מידה</v>
      </c>
      <c r="D6087" s="19" t="n">
        <f aca="false">'CEMIUP0.9 Raw'!D1298</f>
        <v>545</v>
      </c>
      <c r="E6087" s="19" t="n">
        <f aca="false">'CEMIUP0.9 Raw'!E1298</f>
        <v>26055.939</v>
      </c>
      <c r="F6087" s="19" t="n">
        <f aca="false">'CEMIUP0.9 Raw'!F1298</f>
        <v>-3.78947368421053</v>
      </c>
      <c r="G6087" s="19" t="n">
        <f aca="false">'CEMIUP0.9 Raw'!G1298</f>
        <v>-175.869473684211</v>
      </c>
      <c r="H6087" s="18" t="str">
        <f aca="false">'CEMIUP0.9 Raw'!A1298</f>
        <v>Super-Pharm Israel (CEMI internal group)</v>
      </c>
    </row>
    <row r="6088" customFormat="false" ht="15" hidden="false" customHeight="false" outlineLevel="0" collapsed="false">
      <c r="A6088" s="18" t="n">
        <f aca="false">'CEMIUP0.9 Raw'!B1307</f>
        <v>4408010</v>
      </c>
      <c r="B6088" s="18" t="str">
        <f aca="false">'CEMIUP0.9 Raw'!C1307</f>
        <v>079 L ח.גב סג.כפולה שחור+אדום</v>
      </c>
      <c r="C6088" s="18" t="str">
        <f aca="false">'CEMIUP0.9 Raw'!C1307</f>
        <v>079 L ח.גב סג.כפולה שחור+אדום</v>
      </c>
      <c r="D6088" s="19" t="n">
        <f aca="false">'CEMIUP0.9 Raw'!D1307</f>
        <v>-3</v>
      </c>
      <c r="E6088" s="19" t="n">
        <f aca="false">'CEMIUP0.9 Raw'!E1307</f>
        <v>-241.514</v>
      </c>
      <c r="F6088" s="19" t="n">
        <f aca="false">'CEMIUP0.9 Raw'!F1307</f>
        <v>-3.78947368421053</v>
      </c>
      <c r="G6088" s="19" t="n">
        <f aca="false">'CEMIUP0.9 Raw'!G1307</f>
        <v>-317.714526315789</v>
      </c>
      <c r="H6088" s="18" t="str">
        <f aca="false">'CEMIUP0.9 Raw'!A1307</f>
        <v>Super-Pharm Israel (CEMI internal group)</v>
      </c>
    </row>
    <row r="6089" customFormat="false" ht="15" hidden="false" customHeight="false" outlineLevel="0" collapsed="false">
      <c r="A6089" s="18" t="n">
        <f aca="false">'CEMIUP0.9 Raw'!B1309</f>
        <v>4408012</v>
      </c>
      <c r="B6089" s="18" t="str">
        <f aca="false">'CEMIUP0.9 Raw'!C1309</f>
        <v>079 XL ח.גב סג.כפולה שחור+אדום</v>
      </c>
      <c r="C6089" s="18" t="str">
        <f aca="false">'CEMIUP0.9 Raw'!C1309</f>
        <v>079 XL ח.גב סג.כפולה שחור+אדום</v>
      </c>
      <c r="D6089" s="19" t="n">
        <f aca="false">'CEMIUP0.9 Raw'!D1309</f>
        <v>-6</v>
      </c>
      <c r="E6089" s="19" t="n">
        <f aca="false">'CEMIUP0.9 Raw'!E1309</f>
        <v>-462.007</v>
      </c>
      <c r="F6089" s="19" t="n">
        <f aca="false">'CEMIUP0.9 Raw'!F1309</f>
        <v>-3.78947368421053</v>
      </c>
      <c r="G6089" s="19" t="n">
        <f aca="false">'CEMIUP0.9 Raw'!G1309</f>
        <v>-310.357894736842</v>
      </c>
      <c r="H6089" s="18" t="str">
        <f aca="false">'CEMIUP0.9 Raw'!A1309</f>
        <v>Super-Pharm Israel (CEMI internal group)</v>
      </c>
    </row>
    <row r="6090" customFormat="false" ht="15" hidden="false" customHeight="false" outlineLevel="0" collapsed="false">
      <c r="A6090" s="18" t="n">
        <f aca="false">'CEMIUP0.9 Raw'!B1458</f>
        <v>4413069</v>
      </c>
      <c r="B6090" s="18" t="str">
        <f aca="false">'CEMIUP0.9 Raw'!C1458</f>
        <v>388L סד לילה לבוהן</v>
      </c>
      <c r="C6090" s="18" t="str">
        <f aca="false">'CEMIUP0.9 Raw'!C1458</f>
        <v>388L סד לילה לבוהן</v>
      </c>
      <c r="D6090" s="19" t="n">
        <f aca="false">'CEMIUP0.9 Raw'!D1458</f>
        <v>-16</v>
      </c>
      <c r="E6090" s="19" t="n">
        <f aca="false">'CEMIUP0.9 Raw'!E1458</f>
        <v>-934.206</v>
      </c>
      <c r="F6090" s="19" t="n">
        <f aca="false">'CEMIUP0.9 Raw'!F1458</f>
        <v>-3.78947368421053</v>
      </c>
      <c r="G6090" s="19" t="n">
        <f aca="false">'CEMIUP0.9 Raw'!G1458</f>
        <v>-221.273684210526</v>
      </c>
      <c r="H6090" s="18" t="str">
        <f aca="false">'CEMIUP0.9 Raw'!A1458</f>
        <v>Super-Pharm Israel (CEMI internal group)</v>
      </c>
    </row>
    <row r="6091" customFormat="false" ht="15" hidden="false" customHeight="false" outlineLevel="0" collapsed="false">
      <c r="A6091" s="18" t="n">
        <f aca="false">'CEMIUP0.9 Raw'!B1466</f>
        <v>4413088</v>
      </c>
      <c r="B6091" s="18" t="str">
        <f aca="false">'CEMIUP0.9 Raw'!C1466</f>
        <v>422 Mמ.ברך+כרית סיל.סביב לפיקה</v>
      </c>
      <c r="C6091" s="18" t="str">
        <f aca="false">'CEMIUP0.9 Raw'!C1466</f>
        <v>422 Mמ.ברך+כרית סיל.סביב לפיקה</v>
      </c>
      <c r="D6091" s="19" t="n">
        <f aca="false">'CEMIUP0.9 Raw'!D1466</f>
        <v>0</v>
      </c>
      <c r="E6091" s="19" t="n">
        <f aca="false">'CEMIUP0.9 Raw'!E1466</f>
        <v>27.573</v>
      </c>
      <c r="F6091" s="19" t="n">
        <f aca="false">'CEMIUP0.9 Raw'!F1466</f>
        <v>-3.78947368421053</v>
      </c>
      <c r="G6091" s="19" t="n">
        <f aca="false">'CEMIUP0.9 Raw'!G1466</f>
        <v>-505.193684210526</v>
      </c>
      <c r="H6091" s="18" t="str">
        <f aca="false">'CEMIUP0.9 Raw'!A1466</f>
        <v>Super-Pharm Israel (CEMI internal group)</v>
      </c>
    </row>
    <row r="6092" customFormat="false" ht="15" hidden="false" customHeight="false" outlineLevel="0" collapsed="false">
      <c r="A6092" s="18" t="n">
        <f aca="false">'CEMIUP0.9 Raw'!B1549</f>
        <v>4413277</v>
      </c>
      <c r="B6092" s="18" t="str">
        <f aca="false">'CEMIUP0.9 Raw'!C1549</f>
        <v>LF377 M-מדרס סיליקון לנעלי עקב</v>
      </c>
      <c r="C6092" s="18" t="str">
        <f aca="false">'CEMIUP0.9 Raw'!C1549</f>
        <v>LF377 M-מדרס סיליקון לנעלי עקב</v>
      </c>
      <c r="D6092" s="19" t="n">
        <f aca="false">'CEMIUP0.9 Raw'!D1549</f>
        <v>-2</v>
      </c>
      <c r="E6092" s="19" t="n">
        <f aca="false">'CEMIUP0.9 Raw'!E1549</f>
        <v>-71.981</v>
      </c>
      <c r="F6092" s="19" t="n">
        <f aca="false">'CEMIUP0.9 Raw'!F1549</f>
        <v>-3.78947368421053</v>
      </c>
      <c r="G6092" s="19" t="n">
        <f aca="false">'CEMIUP0.9 Raw'!G1549</f>
        <v>-139.890947368421</v>
      </c>
      <c r="H6092" s="18" t="str">
        <f aca="false">'CEMIUP0.9 Raw'!A1549</f>
        <v>Super-Pharm Israel (CEMI internal group)</v>
      </c>
    </row>
    <row r="6093" customFormat="false" ht="15" hidden="false" customHeight="false" outlineLevel="0" collapsed="false">
      <c r="A6093" s="18" t="n">
        <f aca="false">'CEMIUP0.9 Raw'!B1644</f>
        <v>4415297</v>
      </c>
      <c r="B6093" s="18" t="str">
        <f aca="false">'CEMIUP0.9 Raw'!C1644</f>
        <v>313 סט פלסטרים נגד שפשופים</v>
      </c>
      <c r="C6093" s="18" t="str">
        <f aca="false">'CEMIUP0.9 Raw'!C1644</f>
        <v>313 סט פלסטרים נגד שפשופים</v>
      </c>
      <c r="D6093" s="19" t="n">
        <f aca="false">'CEMIUP0.9 Raw'!D1644</f>
        <v>0</v>
      </c>
      <c r="E6093" s="19" t="n">
        <f aca="false">'CEMIUP0.9 Raw'!E1644</f>
        <v>0</v>
      </c>
      <c r="F6093" s="19" t="n">
        <f aca="false">'CEMIUP0.9 Raw'!F1644</f>
        <v>-3.78947368421053</v>
      </c>
      <c r="G6093" s="19" t="n">
        <f aca="false">'CEMIUP0.9 Raw'!G1644</f>
        <v>-67.0143157894737</v>
      </c>
      <c r="H6093" s="18" t="str">
        <f aca="false">'CEMIUP0.9 Raw'!A1644</f>
        <v>Super-Pharm Israel (CEMI internal group)</v>
      </c>
    </row>
    <row r="6094" customFormat="false" ht="15" hidden="false" customHeight="false" outlineLevel="0" collapsed="false">
      <c r="A6094" s="18" t="n">
        <f aca="false">'CEMIUP0.9 Raw'!B1681</f>
        <v>4420025</v>
      </c>
      <c r="B6094" s="18" t="str">
        <f aca="false">'CEMIUP0.9 Raw'!C1681</f>
        <v>LF374 ריפוד סיליק.לעקב תחתון</v>
      </c>
      <c r="C6094" s="18" t="str">
        <f aca="false">'CEMIUP0.9 Raw'!C1681</f>
        <v>LF374 ריפוד סיליק.לעקב תחתון</v>
      </c>
      <c r="D6094" s="19" t="n">
        <f aca="false">'CEMIUP0.9 Raw'!D1681</f>
        <v>-2</v>
      </c>
      <c r="E6094" s="19" t="n">
        <f aca="false">'CEMIUP0.9 Raw'!E1681</f>
        <v>-36.855</v>
      </c>
      <c r="F6094" s="19" t="n">
        <f aca="false">'CEMIUP0.9 Raw'!F1681</f>
        <v>-3.78947368421053</v>
      </c>
      <c r="G6094" s="19" t="n">
        <f aca="false">'CEMIUP0.9 Raw'!G1681</f>
        <v>-69.888</v>
      </c>
      <c r="H6094" s="18" t="str">
        <f aca="false">'CEMIUP0.9 Raw'!A1681</f>
        <v>Super-Pharm Israel (CEMI internal group)</v>
      </c>
    </row>
    <row r="6095" customFormat="false" ht="15" hidden="false" customHeight="false" outlineLevel="0" collapsed="false">
      <c r="A6095" s="18" t="str">
        <f aca="false">'SALES Raw'!G1567</f>
        <v/>
      </c>
      <c r="B6095" s="18" t="str">
        <f aca="false">'SALES Raw'!B1567</f>
        <v>60B XS</v>
      </c>
      <c r="C6095" s="18" t="str">
        <f aca="false">'SALES Raw'!H1567</f>
        <v>60B XS</v>
      </c>
      <c r="D6095" s="19" t="n">
        <f aca="false">'SALES Raw'!C1567</f>
        <v>17</v>
      </c>
      <c r="E6095" s="19" t="n">
        <f aca="false">'SALES Raw'!D1567</f>
        <v>843.8</v>
      </c>
      <c r="F6095" s="19" t="n">
        <f aca="false">'SALES Raw'!E1567*$H$4</f>
        <v>-5.05263157894737</v>
      </c>
      <c r="G6095" s="19" t="n">
        <f aca="false">'SALES Raw'!F1567*$H$4</f>
        <v>-334.383157894737</v>
      </c>
      <c r="H6095" s="18" t="str">
        <f aca="false">'SALES Raw'!A1567</f>
        <v>103 - Physiotherapy institutes</v>
      </c>
    </row>
    <row r="6096" customFormat="false" ht="15" hidden="false" customHeight="false" outlineLevel="0" collapsed="false">
      <c r="A6096" s="18" t="n">
        <f aca="false">'SALES Raw'!G1829</f>
        <v>4408249</v>
      </c>
      <c r="B6096" s="18" t="str">
        <f aca="false">'SALES Raw'!B1829</f>
        <v>SC25 L</v>
      </c>
      <c r="C6096" s="18" t="str">
        <f aca="false">'SALES Raw'!H1829</f>
        <v>SC25  L חבק יד</v>
      </c>
      <c r="D6096" s="19" t="n">
        <f aca="false">'SALES Raw'!C1829</f>
        <v>3</v>
      </c>
      <c r="E6096" s="19" t="n">
        <f aca="false">'SALES Raw'!D1829</f>
        <v>231.88</v>
      </c>
      <c r="F6096" s="19" t="n">
        <f aca="false">'SALES Raw'!E1829*$H$4</f>
        <v>-5.05263157894737</v>
      </c>
      <c r="G6096" s="19" t="n">
        <f aca="false">'SALES Raw'!F1829*$H$4</f>
        <v>-473.305263157895</v>
      </c>
      <c r="H6096" s="18" t="str">
        <f aca="false">'SALES Raw'!A1829</f>
        <v>109 - Private Shops</v>
      </c>
    </row>
    <row r="6097" customFormat="false" ht="15" hidden="false" customHeight="false" outlineLevel="0" collapsed="false">
      <c r="A6097" s="18" t="n">
        <f aca="false">'CEMIUP0.9 Raw'!B189</f>
        <v>4409002</v>
      </c>
      <c r="B6097" s="18" t="str">
        <f aca="false">'CEMIUP0.9 Raw'!C189</f>
        <v>FC341-טיפות נגד פטרת הציפורן</v>
      </c>
      <c r="C6097" s="18" t="str">
        <f aca="false">'CEMIUP0.9 Raw'!C189</f>
        <v>FC341-טיפות נגד פטרת הציפורן</v>
      </c>
      <c r="D6097" s="19" t="n">
        <f aca="false">'CEMIUP0.9 Raw'!D189</f>
        <v>-21</v>
      </c>
      <c r="E6097" s="19" t="n">
        <f aca="false">'CEMIUP0.9 Raw'!E189</f>
        <v>-737.828</v>
      </c>
      <c r="F6097" s="19" t="n">
        <f aca="false">'CEMIUP0.9 Raw'!F189</f>
        <v>-5.05263157894737</v>
      </c>
      <c r="G6097" s="19" t="n">
        <f aca="false">'CEMIUP0.9 Raw'!G189</f>
        <v>-130.235368421053</v>
      </c>
      <c r="H6097" s="18" t="str">
        <f aca="false">'CEMIUP0.9 Raw'!A189</f>
        <v>107 - Pharmacies</v>
      </c>
    </row>
    <row r="6098" customFormat="false" ht="15" hidden="false" customHeight="false" outlineLevel="0" collapsed="false">
      <c r="A6098" s="18" t="n">
        <f aca="false">'CEMIUP0.9 Raw'!B533</f>
        <v>4419010</v>
      </c>
      <c r="B6098" s="18" t="str">
        <f aca="false">'CEMIUP0.9 Raw'!C533</f>
        <v>FC316   קרם רגליים שיקומי</v>
      </c>
      <c r="C6098" s="18" t="str">
        <f aca="false">'CEMIUP0.9 Raw'!C533</f>
        <v>FC316   קרם רגליים שיקומי</v>
      </c>
      <c r="D6098" s="19" t="n">
        <f aca="false">'CEMIUP0.9 Raw'!D533</f>
        <v>-17</v>
      </c>
      <c r="E6098" s="19" t="n">
        <f aca="false">'CEMIUP0.9 Raw'!E533</f>
        <v>-699.062</v>
      </c>
      <c r="F6098" s="19" t="n">
        <f aca="false">'CEMIUP0.9 Raw'!F533</f>
        <v>-5.05263157894737</v>
      </c>
      <c r="G6098" s="19" t="n">
        <f aca="false">'CEMIUP0.9 Raw'!G533</f>
        <v>-152.305263157895</v>
      </c>
      <c r="H6098" s="18" t="str">
        <f aca="false">'CEMIUP0.9 Raw'!A533</f>
        <v>107 - Pharmacies</v>
      </c>
    </row>
    <row r="6099" customFormat="false" ht="15" hidden="false" customHeight="false" outlineLevel="0" collapsed="false">
      <c r="A6099" s="18" t="n">
        <f aca="false">'CEMIUP0.9 Raw'!B1292</f>
        <v>4403021</v>
      </c>
      <c r="B6099" s="18" t="str">
        <f aca="false">'CEMIUP0.9 Raw'!C1292</f>
        <v>394G גרב.כסף לסכרתים אפור39-42</v>
      </c>
      <c r="C6099" s="18" t="str">
        <f aca="false">'CEMIUP0.9 Raw'!C1292</f>
        <v>394G גרב.כסף לסכרתים אפור39-42</v>
      </c>
      <c r="D6099" s="19" t="n">
        <f aca="false">'CEMIUP0.9 Raw'!D1292</f>
        <v>57</v>
      </c>
      <c r="E6099" s="19" t="n">
        <f aca="false">'CEMIUP0.9 Raw'!E1292</f>
        <v>1148.602</v>
      </c>
      <c r="F6099" s="19" t="n">
        <f aca="false">'CEMIUP0.9 Raw'!F1292</f>
        <v>-5.05263157894737</v>
      </c>
      <c r="G6099" s="19" t="n">
        <f aca="false">'CEMIUP0.9 Raw'!G1292</f>
        <v>-97.4753684210526</v>
      </c>
      <c r="H6099" s="18" t="str">
        <f aca="false">'CEMIUP0.9 Raw'!A1292</f>
        <v>Super-Pharm Israel (CEMI internal group)</v>
      </c>
    </row>
    <row r="6100" customFormat="false" ht="15" hidden="false" customHeight="false" outlineLevel="0" collapsed="false">
      <c r="A6100" s="18" t="n">
        <f aca="false">'CEMIUP0.9 Raw'!B1312</f>
        <v>4408026</v>
      </c>
      <c r="B6100" s="18" t="str">
        <f aca="false">'CEMIUP0.9 Raw'!C1312</f>
        <v>10 S ""חגורת גב ""לומבו</v>
      </c>
      <c r="C6100" s="18" t="str">
        <f aca="false">'CEMIUP0.9 Raw'!C1312</f>
        <v>10 S ""חגורת גב ""לומבו</v>
      </c>
      <c r="D6100" s="19" t="n">
        <f aca="false">'CEMIUP0.9 Raw'!D1312</f>
        <v>6</v>
      </c>
      <c r="E6100" s="19" t="n">
        <f aca="false">'CEMIUP0.9 Raw'!E1312</f>
        <v>715.624</v>
      </c>
      <c r="F6100" s="19" t="n">
        <f aca="false">'CEMIUP0.9 Raw'!F1312</f>
        <v>-5.05263157894737</v>
      </c>
      <c r="G6100" s="19" t="n">
        <f aca="false">'CEMIUP0.9 Raw'!G1312</f>
        <v>-602.554105263158</v>
      </c>
      <c r="H6100" s="18" t="str">
        <f aca="false">'CEMIUP0.9 Raw'!A1312</f>
        <v>Super-Pharm Israel (CEMI internal group)</v>
      </c>
    </row>
    <row r="6101" customFormat="false" ht="15" hidden="false" customHeight="false" outlineLevel="0" collapsed="false">
      <c r="A6101" s="18" t="n">
        <f aca="false">'CEMIUP0.9 Raw'!B1459</f>
        <v>4413070</v>
      </c>
      <c r="B6101" s="18" t="str">
        <f aca="false">'CEMIUP0.9 Raw'!C1459</f>
        <v>388R סד לילה לבוהן</v>
      </c>
      <c r="C6101" s="18" t="str">
        <f aca="false">'CEMIUP0.9 Raw'!C1459</f>
        <v>388R סד לילה לבוהן</v>
      </c>
      <c r="D6101" s="19" t="n">
        <f aca="false">'CEMIUP0.9 Raw'!D1459</f>
        <v>-12</v>
      </c>
      <c r="E6101" s="19" t="n">
        <f aca="false">'CEMIUP0.9 Raw'!E1459</f>
        <v>-700.609</v>
      </c>
      <c r="F6101" s="19" t="n">
        <f aca="false">'CEMIUP0.9 Raw'!F1459</f>
        <v>-5.05263157894737</v>
      </c>
      <c r="G6101" s="19" t="n">
        <f aca="false">'CEMIUP0.9 Raw'!G1459</f>
        <v>-294.954947368421</v>
      </c>
      <c r="H6101" s="18" t="str">
        <f aca="false">'CEMIUP0.9 Raw'!A1459</f>
        <v>Super-Pharm Israel (CEMI internal group)</v>
      </c>
    </row>
    <row r="6102" customFormat="false" ht="15" hidden="false" customHeight="false" outlineLevel="0" collapsed="false">
      <c r="A6102" s="18" t="n">
        <f aca="false">'CEMIUP0.9 Raw'!B1653</f>
        <v>4417000</v>
      </c>
      <c r="B6102" s="18" t="str">
        <f aca="false">'CEMIUP0.9 Raw'!C1653</f>
        <v>PD342-פומפיה להסרת עור קשה</v>
      </c>
      <c r="C6102" s="18" t="str">
        <f aca="false">'CEMIUP0.9 Raw'!C1653</f>
        <v>PD342-פומפיה להסרת עור קשה</v>
      </c>
      <c r="D6102" s="19" t="n">
        <f aca="false">'CEMIUP0.9 Raw'!D1653</f>
        <v>0</v>
      </c>
      <c r="E6102" s="19" t="n">
        <f aca="false">'CEMIUP0.9 Raw'!E1653</f>
        <v>0</v>
      </c>
      <c r="F6102" s="19" t="n">
        <f aca="false">'CEMIUP0.9 Raw'!F1653</f>
        <v>-5.05263157894737</v>
      </c>
      <c r="G6102" s="19" t="n">
        <f aca="false">'CEMIUP0.9 Raw'!G1653</f>
        <v>-93.3372631578947</v>
      </c>
      <c r="H6102" s="18" t="str">
        <f aca="false">'CEMIUP0.9 Raw'!A1653</f>
        <v>Super-Pharm Israel (CEMI internal group)</v>
      </c>
    </row>
    <row r="6103" customFormat="false" ht="15" hidden="false" customHeight="false" outlineLevel="0" collapsed="false">
      <c r="A6103" s="18" t="n">
        <f aca="false">'CEMIUP0.9 Raw'!B1291</f>
        <v>4403020</v>
      </c>
      <c r="B6103" s="18" t="str">
        <f aca="false">'CEMIUP0.9 Raw'!C1291</f>
        <v>394G גרב.כסף לסכרתים אפור35-38</v>
      </c>
      <c r="C6103" s="18" t="str">
        <f aca="false">'CEMIUP0.9 Raw'!C1291</f>
        <v>394G גרב.כסף לסכרתים אפור35-38</v>
      </c>
      <c r="D6103" s="19" t="n">
        <f aca="false">'CEMIUP0.9 Raw'!D1291</f>
        <v>42</v>
      </c>
      <c r="E6103" s="19" t="n">
        <f aca="false">'CEMIUP0.9 Raw'!E1291</f>
        <v>855.309</v>
      </c>
      <c r="F6103" s="19" t="n">
        <f aca="false">'CEMIUP0.9 Raw'!F1291</f>
        <v>-6.31578947368421</v>
      </c>
      <c r="G6103" s="19" t="n">
        <f aca="false">'CEMIUP0.9 Raw'!G1291</f>
        <v>-123.108631578947</v>
      </c>
      <c r="H6103" s="18" t="str">
        <f aca="false">'CEMIUP0.9 Raw'!A1291</f>
        <v>Super-Pharm Israel (CEMI internal group)</v>
      </c>
    </row>
    <row r="6104" customFormat="false" ht="15" hidden="false" customHeight="false" outlineLevel="0" collapsed="false">
      <c r="A6104" s="18" t="n">
        <f aca="false">'CEMIUP0.9 Raw'!B1297</f>
        <v>4403028</v>
      </c>
      <c r="B6104" s="18" t="str">
        <f aca="false">'CEMIUP0.9 Raw'!C1297</f>
        <v>397 35-38 גרבי טיסה מידה</v>
      </c>
      <c r="C6104" s="18" t="str">
        <f aca="false">'CEMIUP0.9 Raw'!C1297</f>
        <v>397 35-38 גרבי טיסה מידה</v>
      </c>
      <c r="D6104" s="19" t="n">
        <f aca="false">'CEMIUP0.9 Raw'!D1297</f>
        <v>434</v>
      </c>
      <c r="E6104" s="19" t="n">
        <f aca="false">'CEMIUP0.9 Raw'!E1297</f>
        <v>20790.497</v>
      </c>
      <c r="F6104" s="19" t="n">
        <f aca="false">'CEMIUP0.9 Raw'!F1297</f>
        <v>-6.31578947368421</v>
      </c>
      <c r="G6104" s="19" t="n">
        <f aca="false">'CEMIUP0.9 Raw'!G1297</f>
        <v>-297.253894736842</v>
      </c>
      <c r="H6104" s="18" t="str">
        <f aca="false">'CEMIUP0.9 Raw'!A1297</f>
        <v>Super-Pharm Israel (CEMI internal group)</v>
      </c>
    </row>
    <row r="6105" customFormat="false" ht="15" hidden="false" customHeight="false" outlineLevel="0" collapsed="false">
      <c r="A6105" s="18" t="n">
        <f aca="false">'SALES Raw'!G1142</f>
        <v>4419013</v>
      </c>
      <c r="B6105" s="18" t="str">
        <f aca="false">'SALES Raw'!B1142</f>
        <v>239B-L-XL</v>
      </c>
      <c r="C6105" s="18" t="str">
        <f aca="false">'SALES Raw'!H1142</f>
        <v>239B L-XL STRAP4U</v>
      </c>
      <c r="D6105" s="19" t="n">
        <f aca="false">'SALES Raw'!C1142</f>
        <v>0</v>
      </c>
      <c r="E6105" s="19" t="n">
        <f aca="false">'SALES Raw'!D1142</f>
        <v>0</v>
      </c>
      <c r="F6105" s="19" t="n">
        <f aca="false">'SALES Raw'!E1142*$H$4</f>
        <v>-6.31578947368421</v>
      </c>
      <c r="G6105" s="19" t="n">
        <f aca="false">'SALES Raw'!F1142*$H$4</f>
        <v>-121.073684210526</v>
      </c>
      <c r="H6105" s="18" t="str">
        <f aca="false">'SALES Raw'!A1142</f>
        <v>102 - Orthopedic institutes</v>
      </c>
    </row>
    <row r="6106" customFormat="false" ht="15" hidden="false" customHeight="false" outlineLevel="0" collapsed="false">
      <c r="A6106" s="18" t="n">
        <f aca="false">'CEMIUP0.9 Raw'!B990</f>
        <v>4408088</v>
      </c>
      <c r="B6106" s="18" t="str">
        <f aca="false">'CEMIUP0.9 Raw'!C990</f>
        <v>91  חבק ""טניס אלבו רצועה</v>
      </c>
      <c r="C6106" s="18" t="str">
        <f aca="false">'CEMIUP0.9 Raw'!C990</f>
        <v>91  חבק ""טניס אלבו רצועה</v>
      </c>
      <c r="D6106" s="19" t="n">
        <f aca="false">'CEMIUP0.9 Raw'!D990</f>
        <v>31</v>
      </c>
      <c r="E6106" s="19" t="n">
        <f aca="false">'CEMIUP0.9 Raw'!E990</f>
        <v>2100.007</v>
      </c>
      <c r="F6106" s="19" t="n">
        <f aca="false">'CEMIUP0.9 Raw'!F990</f>
        <v>-7.57894736842105</v>
      </c>
      <c r="G6106" s="19" t="n">
        <f aca="false">'CEMIUP0.9 Raw'!G990</f>
        <v>-517.033263157895</v>
      </c>
      <c r="H6106" s="18" t="str">
        <f aca="false">'CEMIUP0.9 Raw'!A990</f>
        <v>BE (CEMI internal group)</v>
      </c>
    </row>
    <row r="6107" customFormat="false" ht="15" hidden="false" customHeight="false" outlineLevel="0" collapsed="false">
      <c r="A6107" s="18" t="n">
        <f aca="false">'CEMIUP0.9 Raw'!B1034</f>
        <v>4409002</v>
      </c>
      <c r="B6107" s="18" t="str">
        <f aca="false">'CEMIUP0.9 Raw'!C1034</f>
        <v>FC341-טיפות נגד פטרת הציפורן</v>
      </c>
      <c r="C6107" s="18" t="str">
        <f aca="false">'CEMIUP0.9 Raw'!C1034</f>
        <v>FC341-טיפות נגד פטרת הציפורן</v>
      </c>
      <c r="D6107" s="19" t="n">
        <f aca="false">'CEMIUP0.9 Raw'!D1034</f>
        <v>-15</v>
      </c>
      <c r="E6107" s="19" t="n">
        <f aca="false">'CEMIUP0.9 Raw'!E1034</f>
        <v>-462.189</v>
      </c>
      <c r="F6107" s="19" t="n">
        <f aca="false">'CEMIUP0.9 Raw'!F1034</f>
        <v>-7.57894736842105</v>
      </c>
      <c r="G6107" s="19" t="n">
        <f aca="false">'CEMIUP0.9 Raw'!G1034</f>
        <v>-220.239157894737</v>
      </c>
      <c r="H6107" s="18" t="str">
        <f aca="false">'CEMIUP0.9 Raw'!A1034</f>
        <v>BE (CEMI internal group)</v>
      </c>
    </row>
    <row r="6108" customFormat="false" ht="15" hidden="false" customHeight="false" outlineLevel="0" collapsed="false">
      <c r="A6108" s="18" t="n">
        <f aca="false">'CEMIUP0.9 Raw'!B1306</f>
        <v>4408009</v>
      </c>
      <c r="B6108" s="18" t="str">
        <f aca="false">'CEMIUP0.9 Raw'!C1306</f>
        <v>079 S ח.גב סג. כפולה שחור+אדום</v>
      </c>
      <c r="C6108" s="18" t="str">
        <f aca="false">'CEMIUP0.9 Raw'!C1306</f>
        <v>079 S ח.גב סג. כפולה שחור+אדום</v>
      </c>
      <c r="D6108" s="19" t="n">
        <f aca="false">'CEMIUP0.9 Raw'!D1306</f>
        <v>2</v>
      </c>
      <c r="E6108" s="19" t="n">
        <f aca="false">'CEMIUP0.9 Raw'!E1306</f>
        <v>184.457</v>
      </c>
      <c r="F6108" s="19" t="n">
        <f aca="false">'CEMIUP0.9 Raw'!F1306</f>
        <v>-7.57894736842105</v>
      </c>
      <c r="G6108" s="19" t="n">
        <f aca="false">'CEMIUP0.9 Raw'!G1306</f>
        <v>-619.566315789474</v>
      </c>
      <c r="H6108" s="18" t="str">
        <f aca="false">'CEMIUP0.9 Raw'!A1306</f>
        <v>Super-Pharm Israel (CEMI internal group)</v>
      </c>
    </row>
    <row r="6109" customFormat="false" ht="15" hidden="false" customHeight="false" outlineLevel="0" collapsed="false">
      <c r="A6109" s="18" t="n">
        <f aca="false">'CEMIUP0.9 Raw'!B1282</f>
        <v>4403004</v>
      </c>
      <c r="B6109" s="18" t="str">
        <f aca="false">'CEMIUP0.9 Raw'!C1282</f>
        <v>390G 39-42.גרב.כסף לסכרתיים אפ</v>
      </c>
      <c r="C6109" s="18" t="str">
        <f aca="false">'CEMIUP0.9 Raw'!C1282</f>
        <v>390G 39-42.גרב.כסף לסכרתיים אפ</v>
      </c>
      <c r="D6109" s="19" t="n">
        <f aca="false">'CEMIUP0.9 Raw'!D1282</f>
        <v>52</v>
      </c>
      <c r="E6109" s="19" t="n">
        <f aca="false">'CEMIUP0.9 Raw'!E1282</f>
        <v>1380.925</v>
      </c>
      <c r="F6109" s="19" t="n">
        <f aca="false">'CEMIUP0.9 Raw'!F1282</f>
        <v>-8.84210526315789</v>
      </c>
      <c r="G6109" s="19" t="n">
        <f aca="false">'CEMIUP0.9 Raw'!G1282</f>
        <v>-223.342736842105</v>
      </c>
      <c r="H6109" s="18" t="str">
        <f aca="false">'CEMIUP0.9 Raw'!A1282</f>
        <v>Super-Pharm Israel (CEMI internal group)</v>
      </c>
    </row>
    <row r="6110" customFormat="false" ht="15" hidden="false" customHeight="false" outlineLevel="0" collapsed="false">
      <c r="A6110" s="18" t="n">
        <f aca="false">'CEMIUP0.9 Raw'!B1432</f>
        <v>4413002</v>
      </c>
      <c r="B6110" s="18" t="str">
        <f aca="false">'CEMIUP0.9 Raw'!C1432</f>
        <v>30 L מגן קרסול מתכוון עם סקוטש</v>
      </c>
      <c r="C6110" s="18" t="str">
        <f aca="false">'CEMIUP0.9 Raw'!C1432</f>
        <v>30 L מגן קרסול מתכוון עם סקוטש</v>
      </c>
      <c r="D6110" s="19" t="n">
        <f aca="false">'CEMIUP0.9 Raw'!D1432</f>
        <v>30</v>
      </c>
      <c r="E6110" s="19" t="n">
        <f aca="false">'CEMIUP0.9 Raw'!E1432</f>
        <v>1597.232</v>
      </c>
      <c r="F6110" s="19" t="n">
        <f aca="false">'CEMIUP0.9 Raw'!F1432</f>
        <v>-8.84210526315789</v>
      </c>
      <c r="G6110" s="19" t="n">
        <f aca="false">'CEMIUP0.9 Raw'!G1432</f>
        <v>-451.283368421053</v>
      </c>
      <c r="H6110" s="18" t="str">
        <f aca="false">'CEMIUP0.9 Raw'!A1432</f>
        <v>Super-Pharm Israel (CEMI internal group)</v>
      </c>
    </row>
    <row r="6111" customFormat="false" ht="15" hidden="false" customHeight="false" outlineLevel="0" collapsed="false">
      <c r="A6111" s="18" t="n">
        <f aca="false">'CEMIUP0.9 Raw'!B1431</f>
        <v>4413000</v>
      </c>
      <c r="B6111" s="18" t="str">
        <f aca="false">'CEMIUP0.9 Raw'!C1431</f>
        <v>30 S מגן קרסול מתכוון עם סקוטש</v>
      </c>
      <c r="C6111" s="18" t="str">
        <f aca="false">'CEMIUP0.9 Raw'!C1431</f>
        <v>30 S מגן קרסול מתכוון עם סקוטש</v>
      </c>
      <c r="D6111" s="19" t="n">
        <f aca="false">'CEMIUP0.9 Raw'!D1431</f>
        <v>26</v>
      </c>
      <c r="E6111" s="19" t="n">
        <f aca="false">'CEMIUP0.9 Raw'!E1431</f>
        <v>1371.825</v>
      </c>
      <c r="F6111" s="19" t="n">
        <f aca="false">'CEMIUP0.9 Raw'!F1431</f>
        <v>-10.1052631578947</v>
      </c>
      <c r="G6111" s="19" t="n">
        <f aca="false">'CEMIUP0.9 Raw'!G1431</f>
        <v>-500.710736842105</v>
      </c>
      <c r="H6111" s="18" t="str">
        <f aca="false">'CEMIUP0.9 Raw'!A1431</f>
        <v>Super-Pharm Israel (CEMI internal group)</v>
      </c>
    </row>
    <row r="6112" customFormat="false" ht="15" hidden="false" customHeight="false" outlineLevel="0" collapsed="false">
      <c r="A6112" s="18" t="n">
        <f aca="false">'CEMIUP0.9 Raw'!B1433</f>
        <v>4413003</v>
      </c>
      <c r="B6112" s="18" t="str">
        <f aca="false">'CEMIUP0.9 Raw'!C1433</f>
        <v>30 M מגן קרסול מתכוון עם סקוטש</v>
      </c>
      <c r="C6112" s="18" t="str">
        <f aca="false">'CEMIUP0.9 Raw'!C1433</f>
        <v>30 M מגן קרסול מתכוון עם סקוטש</v>
      </c>
      <c r="D6112" s="19" t="n">
        <f aca="false">'CEMIUP0.9 Raw'!D1433</f>
        <v>31</v>
      </c>
      <c r="E6112" s="19" t="n">
        <f aca="false">'CEMIUP0.9 Raw'!E1433</f>
        <v>1639.911</v>
      </c>
      <c r="F6112" s="19" t="n">
        <f aca="false">'CEMIUP0.9 Raw'!F1433</f>
        <v>-11.3684210526316</v>
      </c>
      <c r="G6112" s="19" t="n">
        <f aca="false">'CEMIUP0.9 Raw'!G1433</f>
        <v>-556.115368421053</v>
      </c>
      <c r="H6112" s="18" t="str">
        <f aca="false">'CEMIUP0.9 Raw'!A1433</f>
        <v>Super-Pharm Israel (CEMI internal group)</v>
      </c>
    </row>
    <row r="6113" customFormat="false" ht="15" hidden="false" customHeight="false" outlineLevel="0" collapsed="false">
      <c r="A6113" s="18" t="n">
        <f aca="false">'CEMIUP0.9 Raw'!B1434</f>
        <v>4413004</v>
      </c>
      <c r="B6113" s="18" t="str">
        <f aca="false">'CEMIUP0.9 Raw'!C1434</f>
        <v>30 XL מגן קרסול מתכוון סקוטש</v>
      </c>
      <c r="C6113" s="18" t="str">
        <f aca="false">'CEMIUP0.9 Raw'!C1434</f>
        <v>30 XL מגן קרסול מתכוון סקוטש</v>
      </c>
      <c r="D6113" s="19" t="n">
        <f aca="false">'CEMIUP0.9 Raw'!D1434</f>
        <v>11</v>
      </c>
      <c r="E6113" s="19" t="n">
        <f aca="false">'CEMIUP0.9 Raw'!E1434</f>
        <v>599.872</v>
      </c>
      <c r="F6113" s="19" t="n">
        <f aca="false">'CEMIUP0.9 Raw'!F1434</f>
        <v>-13.8947368421053</v>
      </c>
      <c r="G6113" s="19" t="n">
        <f aca="false">'CEMIUP0.9 Raw'!G1434</f>
        <v>-708.305684210526</v>
      </c>
      <c r="H6113" s="18" t="str">
        <f aca="false">'CEMIUP0.9 Raw'!A1434</f>
        <v>Super-Pharm Israel (CEMI internal group)</v>
      </c>
    </row>
    <row r="6114" customFormat="false" ht="15" hidden="false" customHeight="false" outlineLevel="0" collapsed="false">
      <c r="A6114" s="18" t="n">
        <f aca="false">'SALES Raw'!G1067</f>
        <v>4419011</v>
      </c>
      <c r="B6114" s="18" t="str">
        <f aca="false">'SALES Raw'!B1067</f>
        <v>239B-S-M</v>
      </c>
      <c r="C6114" s="18" t="str">
        <f aca="false">'SALES Raw'!H1067</f>
        <v>239B S-M STRAP4U</v>
      </c>
      <c r="D6114" s="19" t="n">
        <f aca="false">'SALES Raw'!C1067</f>
        <v>6</v>
      </c>
      <c r="E6114" s="19" t="n">
        <f aca="false">'SALES Raw'!D1067</f>
        <v>113.17</v>
      </c>
      <c r="F6114" s="19" t="n">
        <f aca="false">'SALES Raw'!E1067*$H$4</f>
        <v>-15.1578947368421</v>
      </c>
      <c r="G6114" s="19" t="n">
        <f aca="false">'SALES Raw'!F1067*$H$4</f>
        <v>-290.576842105263</v>
      </c>
      <c r="H6114" s="18" t="str">
        <f aca="false">'SALES Raw'!A1067</f>
        <v>102 - Orthopedic institutes</v>
      </c>
    </row>
    <row r="6115" customFormat="false" ht="15" hidden="false" customHeight="false" outlineLevel="0" collapsed="false">
      <c r="A6115" s="18" t="str">
        <f aca="false">'SALES Raw'!G1068</f>
        <v/>
      </c>
      <c r="B6115" s="18" t="str">
        <f aca="false">'SALES Raw'!B1068</f>
        <v>239P-S-M</v>
      </c>
      <c r="C6115" s="18" t="str">
        <f aca="false">'SALES Raw'!H1068</f>
        <v>239P-S-M</v>
      </c>
      <c r="D6115" s="19" t="n">
        <f aca="false">'SALES Raw'!C1068</f>
        <v>6</v>
      </c>
      <c r="E6115" s="19" t="n">
        <f aca="false">'SALES Raw'!D1068</f>
        <v>113.17</v>
      </c>
      <c r="F6115" s="19" t="n">
        <f aca="false">'SALES Raw'!E1068*$H$4</f>
        <v>-15.1578947368421</v>
      </c>
      <c r="G6115" s="19" t="n">
        <f aca="false">'SALES Raw'!F1068*$H$4</f>
        <v>-290.576842105263</v>
      </c>
      <c r="H6115" s="18" t="str">
        <f aca="false">'SALES Raw'!A1068</f>
        <v>102 - Orthopedic institutes</v>
      </c>
    </row>
    <row r="6116" customFormat="false" ht="15" hidden="false" customHeight="false" outlineLevel="0" collapsed="false">
      <c r="A6116" s="18" t="n">
        <f aca="false">'CEMIUP0.9 Raw'!B1520</f>
        <v>4413153</v>
      </c>
      <c r="B6116" s="18" t="str">
        <f aca="false">'CEMIUP0.9 Raw'!C1520</f>
        <v>305GA מדרס אורטופ.מתכוון35-36</v>
      </c>
      <c r="C6116" s="18" t="str">
        <f aca="false">'CEMIUP0.9 Raw'!C1520</f>
        <v>305GA מדרס אורטופ.מתכוון35-36</v>
      </c>
      <c r="D6116" s="19" t="n">
        <f aca="false">'CEMIUP0.9 Raw'!D1520</f>
        <v>-96</v>
      </c>
      <c r="E6116" s="19" t="n">
        <f aca="false">'CEMIUP0.9 Raw'!E1520</f>
        <v>-5387.746</v>
      </c>
      <c r="F6116" s="19" t="n">
        <f aca="false">'CEMIUP0.9 Raw'!F1520</f>
        <v>-16.4210526315789</v>
      </c>
      <c r="G6116" s="19" t="n">
        <f aca="false">'CEMIUP0.9 Raw'!G1520</f>
        <v>-918.314526315789</v>
      </c>
      <c r="H6116" s="18" t="str">
        <f aca="false">'CEMIUP0.9 Raw'!A1520</f>
        <v>Super-Pharm Israel (CEMI internal group)</v>
      </c>
    </row>
    <row r="6117" customFormat="false" ht="15" hidden="false" customHeight="false" outlineLevel="0" collapsed="false">
      <c r="A6117" s="18" t="n">
        <f aca="false">'CEMIUP0.9 Raw'!B1390</f>
        <v>4408235</v>
      </c>
      <c r="B6117" s="18" t="str">
        <f aca="false">'CEMIUP0.9 Raw'!C1390</f>
        <v>078C S'חגורת גב+סגירה כפו בז</v>
      </c>
      <c r="C6117" s="18" t="str">
        <f aca="false">'CEMIUP0.9 Raw'!C1390</f>
        <v>078C S'חגורת גב+סגירה כפו בז</v>
      </c>
      <c r="D6117" s="19" t="n">
        <f aca="false">'CEMIUP0.9 Raw'!D1390</f>
        <v>-10</v>
      </c>
      <c r="E6117" s="19" t="n">
        <f aca="false">'CEMIUP0.9 Raw'!E1390</f>
        <v>-838.474</v>
      </c>
      <c r="F6117" s="19" t="n">
        <f aca="false">'CEMIUP0.9 Raw'!F1390</f>
        <v>-17.6842105263158</v>
      </c>
      <c r="G6117" s="19" t="n">
        <f aca="false">'CEMIUP0.9 Raw'!G1390</f>
        <v>-1482.82105263158</v>
      </c>
      <c r="H6117" s="18" t="str">
        <f aca="false">'CEMIUP0.9 Raw'!A1390</f>
        <v>Super-Pharm Israel (CEMI internal group)</v>
      </c>
    </row>
    <row r="6118" customFormat="false" ht="15" hidden="false" customHeight="false" outlineLevel="0" collapsed="false">
      <c r="A6118" s="18" t="n">
        <f aca="false">'CEMIUP0.9 Raw'!B1346</f>
        <v>4408088</v>
      </c>
      <c r="B6118" s="18" t="str">
        <f aca="false">'CEMIUP0.9 Raw'!C1346</f>
        <v>91  חבק ""טניס אלבו רצועה</v>
      </c>
      <c r="C6118" s="18" t="str">
        <f aca="false">'CEMIUP0.9 Raw'!C1346</f>
        <v>91  חבק ""טניס אלבו רצועה</v>
      </c>
      <c r="D6118" s="19" t="n">
        <f aca="false">'CEMIUP0.9 Raw'!D1346</f>
        <v>224</v>
      </c>
      <c r="E6118" s="19" t="n">
        <f aca="false">'CEMIUP0.9 Raw'!E1346</f>
        <v>14251.965</v>
      </c>
      <c r="F6118" s="19" t="n">
        <f aca="false">'CEMIUP0.9 Raw'!F1346</f>
        <v>-31.5789473684211</v>
      </c>
      <c r="G6118" s="19" t="n">
        <f aca="false">'CEMIUP0.9 Raw'!G1346</f>
        <v>-1971.57726315789</v>
      </c>
      <c r="H6118" s="18" t="str">
        <f aca="false">'CEMIUP0.9 Raw'!A1346</f>
        <v>Super-Pharm Israel (CEMI internal group)</v>
      </c>
    </row>
    <row r="6119" customFormat="false" ht="15" hidden="false" customHeight="false" outlineLevel="0" collapsed="false">
      <c r="A6119" s="18" t="n">
        <f aca="false">'SALES Raw'!G3644</f>
        <v>4422035</v>
      </c>
      <c r="B6119" s="18" t="str">
        <f aca="false">'SALES Raw'!B3644</f>
        <v>FC333 0</v>
      </c>
      <c r="C6119" s="18" t="str">
        <f aca="false">'SALES Raw'!H3644</f>
        <v>FCתרסיס דאודורנט אנטיבק.נעל333</v>
      </c>
      <c r="D6119" s="19" t="n">
        <f aca="false">'SALES Raw'!C3644</f>
        <v>31</v>
      </c>
      <c r="E6119" s="19" t="n">
        <f aca="false">'SALES Raw'!D3644</f>
        <v>281.64</v>
      </c>
      <c r="F6119" s="19" t="n">
        <f aca="false">'SALES Raw'!E3644*$H$4</f>
        <v>-37.8947368421053</v>
      </c>
      <c r="G6119" s="19" t="n">
        <f aca="false">'SALES Raw'!F3644*$H$4</f>
        <v>-352.244210526316</v>
      </c>
      <c r="H6119" s="18" t="str">
        <f aca="false">'SALES Raw'!A3644</f>
        <v>207 - Salus HUNGARY</v>
      </c>
    </row>
    <row r="6120" customFormat="false" ht="15" hidden="false" customHeight="false" outlineLevel="0" collapsed="false">
      <c r="A6120" s="18" t="n">
        <f aca="false">'SALES Raw'!G3645</f>
        <v>4422036</v>
      </c>
      <c r="B6120" s="18" t="str">
        <f aca="false">'SALES Raw'!B3645</f>
        <v>FC334 0</v>
      </c>
      <c r="C6120" s="18" t="str">
        <f aca="false">'SALES Raw'!H3645</f>
        <v>FC334  תרסיס דאודורנט לכף הרגל</v>
      </c>
      <c r="D6120" s="19" t="n">
        <f aca="false">'SALES Raw'!C3645</f>
        <v>30</v>
      </c>
      <c r="E6120" s="19" t="n">
        <f aca="false">'SALES Raw'!D3645</f>
        <v>310.25</v>
      </c>
      <c r="F6120" s="19" t="n">
        <f aca="false">'SALES Raw'!E3645*$H$4</f>
        <v>-37.8947368421053</v>
      </c>
      <c r="G6120" s="19" t="n">
        <f aca="false">'SALES Raw'!F3645*$H$4</f>
        <v>-388.067368421053</v>
      </c>
      <c r="H6120" s="18" t="str">
        <f aca="false">'SALES Raw'!A3645</f>
        <v>207 - Salus HUNGARY</v>
      </c>
    </row>
    <row r="6121" customFormat="false" ht="15" hidden="false" customHeight="false" outlineLevel="0" collapsed="false">
      <c r="A6121" s="18" t="n">
        <f aca="false">'CEMIUP0.9 Raw'!B1662</f>
        <v>4419012</v>
      </c>
      <c r="B6121" s="18" t="str">
        <f aca="false">'CEMIUP0.9 Raw'!C1662</f>
        <v>239P S-M STRAP4U</v>
      </c>
      <c r="C6121" s="18" t="str">
        <f aca="false">'CEMIUP0.9 Raw'!C1662</f>
        <v>239P S-M STRAP4U</v>
      </c>
      <c r="D6121" s="19" t="n">
        <f aca="false">'CEMIUP0.9 Raw'!D1662</f>
        <v>95</v>
      </c>
      <c r="E6121" s="19" t="n">
        <f aca="false">'CEMIUP0.9 Raw'!E1662</f>
        <v>1522.43</v>
      </c>
      <c r="F6121" s="19" t="n">
        <f aca="false">'CEMIUP0.9 Raw'!F1662</f>
        <v>-72</v>
      </c>
      <c r="G6121" s="19" t="n">
        <f aca="false">'CEMIUP0.9 Raw'!G1662</f>
        <v>-648.992842105263</v>
      </c>
      <c r="H6121" s="18" t="str">
        <f aca="false">'CEMIUP0.9 Raw'!A1662</f>
        <v>Super-Pharm Israel (CEMI internal group)</v>
      </c>
    </row>
  </sheetData>
  <mergeCells count="2">
    <mergeCell ref="A3:H3"/>
    <mergeCell ref="A4:F4"/>
  </mergeCells>
  <conditionalFormatting sqref="A7:H6121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6.15" hidden="false" customHeight="false" outlineLevel="0" collapsed="false">
      <c r="A1" s="13" t="s">
        <v>8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5" t="s">
        <v>39</v>
      </c>
      <c r="B3" s="5"/>
      <c r="C3" s="5"/>
      <c r="D3" s="5"/>
      <c r="E3" s="5"/>
      <c r="F3" s="5"/>
      <c r="G3" s="5"/>
      <c r="H3" s="5"/>
    </row>
    <row r="4" customFormat="false" ht="15" hidden="false" customHeight="false" outlineLevel="0" collapsed="false">
      <c r="A4" s="14" t="s">
        <v>29</v>
      </c>
      <c r="B4" s="14"/>
      <c r="C4" s="14"/>
      <c r="D4" s="14"/>
      <c r="E4" s="14"/>
      <c r="F4" s="14"/>
      <c r="G4" s="15" t="s">
        <v>30</v>
      </c>
      <c r="H4" s="16" t="n">
        <f aca="false">12/9.5</f>
        <v>1.26315789473684</v>
      </c>
    </row>
    <row r="6" customFormat="false" ht="15" hidden="false" customHeight="false" outlineLevel="0" collapsed="false">
      <c r="A6" s="17" t="s">
        <v>31</v>
      </c>
      <c r="B6" s="17" t="s">
        <v>32</v>
      </c>
      <c r="C6" s="17" t="s">
        <v>33</v>
      </c>
      <c r="D6" s="17" t="s">
        <v>34</v>
      </c>
      <c r="E6" s="17" t="s">
        <v>35</v>
      </c>
      <c r="F6" s="17" t="s">
        <v>36</v>
      </c>
      <c r="G6" s="17" t="s">
        <v>37</v>
      </c>
      <c r="H6" s="17" t="s">
        <v>38</v>
      </c>
    </row>
    <row r="7" customFormat="false" ht="15" hidden="false" customHeight="false" outlineLevel="0" collapsed="false">
      <c r="A7" s="18" t="str">
        <f aca="false">'SALES Raw'!G1997</f>
        <v/>
      </c>
      <c r="B7" s="18" t="str">
        <f aca="false">'SALES Raw'!B1997</f>
        <v>LU302M 0</v>
      </c>
      <c r="C7" s="18" t="str">
        <f aca="false">'SALES Raw'!H1997</f>
        <v>LU302M 0</v>
      </c>
      <c r="D7" s="19" t="n">
        <f aca="false">'SALES Raw'!C1997</f>
        <v>6300</v>
      </c>
      <c r="E7" s="19" t="n">
        <f aca="false">'SALES Raw'!D1997</f>
        <v>297486</v>
      </c>
      <c r="F7" s="19" t="n">
        <f aca="false">'SALES Raw'!E1997*$H$4</f>
        <v>8033.68421052632</v>
      </c>
      <c r="G7" s="19" t="n">
        <f aca="false">'SALES Raw'!F1997*$H$4</f>
        <v>379350.568421053</v>
      </c>
      <c r="H7" s="18" t="str">
        <f aca="false">'SALES Raw'!A1997</f>
        <v>111 - Superpharm Life</v>
      </c>
    </row>
    <row r="8" customFormat="false" ht="15" hidden="false" customHeight="false" outlineLevel="0" collapsed="false">
      <c r="A8" s="18" t="str">
        <f aca="false">'SALES Raw'!G2009</f>
        <v/>
      </c>
      <c r="B8" s="18" t="str">
        <f aca="false">'SALES Raw'!B2009</f>
        <v>LU370 0</v>
      </c>
      <c r="C8" s="18" t="str">
        <f aca="false">'SALES Raw'!H2009</f>
        <v>LU370 0</v>
      </c>
      <c r="D8" s="19" t="n">
        <f aca="false">'SALES Raw'!C2009</f>
        <v>14000</v>
      </c>
      <c r="E8" s="19" t="n">
        <f aca="false">'SALES Raw'!D2009</f>
        <v>105840</v>
      </c>
      <c r="F8" s="19" t="n">
        <f aca="false">'SALES Raw'!E2009*$H$4</f>
        <v>7578.94736842105</v>
      </c>
      <c r="G8" s="19" t="n">
        <f aca="false">'SALES Raw'!F2009*$H$4</f>
        <v>57296.8421052632</v>
      </c>
      <c r="H8" s="18" t="str">
        <f aca="false">'SALES Raw'!A2009</f>
        <v>111 - Superpharm Life</v>
      </c>
    </row>
    <row r="9" customFormat="false" ht="15" hidden="false" customHeight="false" outlineLevel="0" collapsed="false">
      <c r="A9" s="18" t="str">
        <f aca="false">'SALES Raw'!G2011</f>
        <v/>
      </c>
      <c r="B9" s="18" t="str">
        <f aca="false">'SALES Raw'!B2011</f>
        <v>LU374 0</v>
      </c>
      <c r="C9" s="18" t="str">
        <f aca="false">'SALES Raw'!H2011</f>
        <v>LU374 0</v>
      </c>
      <c r="D9" s="19" t="n">
        <f aca="false">'SALES Raw'!C2011</f>
        <v>9000</v>
      </c>
      <c r="E9" s="19" t="n">
        <f aca="false">'SALES Raw'!D2011</f>
        <v>88020</v>
      </c>
      <c r="F9" s="19" t="n">
        <f aca="false">'SALES Raw'!E2011*$H$4</f>
        <v>7578.94736842105</v>
      </c>
      <c r="G9" s="19" t="n">
        <f aca="false">'SALES Raw'!F2011*$H$4</f>
        <v>74122.1052631579</v>
      </c>
      <c r="H9" s="18" t="str">
        <f aca="false">'SALES Raw'!A2011</f>
        <v>111 - Superpharm Life</v>
      </c>
    </row>
    <row r="10" customFormat="false" ht="15" hidden="false" customHeight="false" outlineLevel="0" collapsed="false">
      <c r="A10" s="18" t="str">
        <f aca="false">'SALES Raw'!G2002</f>
        <v/>
      </c>
      <c r="B10" s="18" t="str">
        <f aca="false">'SALES Raw'!B2002</f>
        <v>LU364-S-L</v>
      </c>
      <c r="C10" s="18" t="str">
        <f aca="false">'SALES Raw'!H2002</f>
        <v>LU364-S-L</v>
      </c>
      <c r="D10" s="19" t="n">
        <f aca="false">'SALES Raw'!C2002</f>
        <v>8100</v>
      </c>
      <c r="E10" s="19" t="n">
        <f aca="false">'SALES Raw'!D2002</f>
        <v>81891</v>
      </c>
      <c r="F10" s="19" t="n">
        <f aca="false">'SALES Raw'!E2002*$H$4</f>
        <v>6821.05263157895</v>
      </c>
      <c r="G10" s="19" t="n">
        <f aca="false">'SALES Raw'!F2002*$H$4</f>
        <v>68960.8421052632</v>
      </c>
      <c r="H10" s="18" t="str">
        <f aca="false">'SALES Raw'!A2002</f>
        <v>111 - Superpharm Life</v>
      </c>
    </row>
    <row r="11" customFormat="false" ht="15" hidden="false" customHeight="false" outlineLevel="0" collapsed="false">
      <c r="A11" s="18" t="str">
        <f aca="false">'SALES Raw'!G2010</f>
        <v/>
      </c>
      <c r="B11" s="18" t="str">
        <f aca="false">'SALES Raw'!B2010</f>
        <v>LU372 0</v>
      </c>
      <c r="C11" s="18" t="str">
        <f aca="false">'SALES Raw'!H2010</f>
        <v>LU372 0</v>
      </c>
      <c r="D11" s="19" t="n">
        <f aca="false">'SALES Raw'!C2010</f>
        <v>9600</v>
      </c>
      <c r="E11" s="19" t="n">
        <f aca="false">'SALES Raw'!D2010</f>
        <v>93888</v>
      </c>
      <c r="F11" s="19" t="n">
        <f aca="false">'SALES Raw'!E2010*$H$4</f>
        <v>6063.15789473684</v>
      </c>
      <c r="G11" s="19" t="n">
        <f aca="false">'SALES Raw'!F2010*$H$4</f>
        <v>59297.6842105263</v>
      </c>
      <c r="H11" s="18" t="str">
        <f aca="false">'SALES Raw'!A2010</f>
        <v>111 - Superpharm Life</v>
      </c>
    </row>
    <row r="12" customFormat="false" ht="15" hidden="false" customHeight="false" outlineLevel="0" collapsed="false">
      <c r="A12" s="18" t="str">
        <f aca="false">'SALES Raw'!G2001</f>
        <v/>
      </c>
      <c r="B12" s="18" t="str">
        <f aca="false">'SALES Raw'!B2001</f>
        <v>LU313 0</v>
      </c>
      <c r="C12" s="18" t="str">
        <f aca="false">'SALES Raw'!H2001</f>
        <v>LU313 0</v>
      </c>
      <c r="D12" s="19" t="n">
        <f aca="false">'SALES Raw'!C2001</f>
        <v>4320</v>
      </c>
      <c r="E12" s="19" t="n">
        <f aca="false">'SALES Raw'!D2001</f>
        <v>67910.4</v>
      </c>
      <c r="F12" s="19" t="n">
        <f aca="false">'SALES Raw'!E2001*$H$4</f>
        <v>5456.84210526316</v>
      </c>
      <c r="G12" s="19" t="n">
        <f aca="false">'SALES Raw'!F2001*$H$4</f>
        <v>85781.5578947368</v>
      </c>
      <c r="H12" s="18" t="str">
        <f aca="false">'SALES Raw'!A2001</f>
        <v>111 - Superpharm Life</v>
      </c>
    </row>
    <row r="13" customFormat="false" ht="15" hidden="false" customHeight="false" outlineLevel="0" collapsed="false">
      <c r="A13" s="18" t="str">
        <f aca="false">'SALES Raw'!G2016</f>
        <v/>
      </c>
      <c r="B13" s="18" t="str">
        <f aca="false">'SALES Raw'!B2016</f>
        <v>LUPD344 0</v>
      </c>
      <c r="C13" s="18" t="str">
        <f aca="false">'SALES Raw'!H2016</f>
        <v>LUPD344 0</v>
      </c>
      <c r="D13" s="19" t="n">
        <f aca="false">'SALES Raw'!C2016</f>
        <v>7000</v>
      </c>
      <c r="E13" s="19" t="n">
        <f aca="false">'SALES Raw'!D2016</f>
        <v>39270</v>
      </c>
      <c r="F13" s="19" t="n">
        <f aca="false">'SALES Raw'!E2016*$H$4</f>
        <v>4136.84210526316</v>
      </c>
      <c r="G13" s="19" t="n">
        <f aca="false">'SALES Raw'!F2016*$H$4</f>
        <v>23207.6842105263</v>
      </c>
      <c r="H13" s="18" t="str">
        <f aca="false">'SALES Raw'!A2016</f>
        <v>111 - Superpharm Life</v>
      </c>
    </row>
    <row r="14" customFormat="false" ht="15" hidden="false" customHeight="false" outlineLevel="0" collapsed="false">
      <c r="A14" s="18" t="str">
        <f aca="false">'SALES Raw'!G2006</f>
        <v/>
      </c>
      <c r="B14" s="18" t="str">
        <f aca="false">'SALES Raw'!B2006</f>
        <v>LU3655 0</v>
      </c>
      <c r="C14" s="18" t="str">
        <f aca="false">'SALES Raw'!H2006</f>
        <v>LU3655 0</v>
      </c>
      <c r="D14" s="19" t="n">
        <f aca="false">'SALES Raw'!C2006</f>
        <v>17820</v>
      </c>
      <c r="E14" s="19" t="n">
        <f aca="false">'SALES Raw'!D2006</f>
        <v>219007.8</v>
      </c>
      <c r="F14" s="19" t="n">
        <f aca="false">'SALES Raw'!E2006*$H$4</f>
        <v>3789.47368421053</v>
      </c>
      <c r="G14" s="19" t="n">
        <f aca="false">'SALES Raw'!F2006*$H$4</f>
        <v>46572.6315789474</v>
      </c>
      <c r="H14" s="18" t="str">
        <f aca="false">'SALES Raw'!A2006</f>
        <v>111 - Superpharm Life</v>
      </c>
    </row>
    <row r="15" customFormat="false" ht="15" hidden="false" customHeight="false" outlineLevel="0" collapsed="false">
      <c r="A15" s="18" t="str">
        <f aca="false">'SALES Raw'!G2013</f>
        <v/>
      </c>
      <c r="B15" s="18" t="str">
        <f aca="false">'SALES Raw'!B2013</f>
        <v>LULF373 0</v>
      </c>
      <c r="C15" s="18" t="str">
        <f aca="false">'SALES Raw'!H2013</f>
        <v>LULF373 0</v>
      </c>
      <c r="D15" s="19" t="n">
        <f aca="false">'SALES Raw'!C2013</f>
        <v>4200</v>
      </c>
      <c r="E15" s="19" t="n">
        <f aca="false">'SALES Raw'!D2013</f>
        <v>61824</v>
      </c>
      <c r="F15" s="19" t="n">
        <f aca="false">'SALES Raw'!E2013*$H$4</f>
        <v>3536.84210526316</v>
      </c>
      <c r="G15" s="19" t="n">
        <f aca="false">'SALES Raw'!F2013*$H$4</f>
        <v>52062.3157894737</v>
      </c>
      <c r="H15" s="18" t="str">
        <f aca="false">'SALES Raw'!A2013</f>
        <v>111 - Superpharm Life</v>
      </c>
    </row>
    <row r="16" customFormat="false" ht="15" hidden="false" customHeight="false" outlineLevel="0" collapsed="false">
      <c r="A16" s="18" t="str">
        <f aca="false">'SALES Raw'!G2007</f>
        <v/>
      </c>
      <c r="B16" s="18" t="str">
        <f aca="false">'SALES Raw'!B2007</f>
        <v>LU366S 0</v>
      </c>
      <c r="C16" s="18" t="str">
        <f aca="false">'SALES Raw'!H2007</f>
        <v>LU366S 0</v>
      </c>
      <c r="D16" s="19" t="n">
        <f aca="false">'SALES Raw'!C2007</f>
        <v>4860</v>
      </c>
      <c r="E16" s="19" t="n">
        <f aca="false">'SALES Raw'!D2007</f>
        <v>47239.2</v>
      </c>
      <c r="F16" s="19" t="n">
        <f aca="false">'SALES Raw'!E2007*$H$4</f>
        <v>3069.47368421053</v>
      </c>
      <c r="G16" s="19" t="n">
        <f aca="false">'SALES Raw'!F2007*$H$4</f>
        <v>29835.2842105263</v>
      </c>
      <c r="H16" s="18" t="str">
        <f aca="false">'SALES Raw'!A2007</f>
        <v>111 - Superpharm Life</v>
      </c>
    </row>
    <row r="17" customFormat="false" ht="15" hidden="false" customHeight="false" outlineLevel="0" collapsed="false">
      <c r="A17" s="18" t="str">
        <f aca="false">'SALES Raw'!G1998</f>
        <v/>
      </c>
      <c r="B17" s="18" t="str">
        <f aca="false">'SALES Raw'!B1998</f>
        <v>LU302W 0</v>
      </c>
      <c r="C17" s="18" t="str">
        <f aca="false">'SALES Raw'!H1998</f>
        <v>LU302W 0</v>
      </c>
      <c r="D17" s="19" t="n">
        <f aca="false">'SALES Raw'!C1998</f>
        <v>2400</v>
      </c>
      <c r="E17" s="19" t="n">
        <f aca="false">'SALES Raw'!D1998</f>
        <v>113328</v>
      </c>
      <c r="F17" s="19" t="n">
        <f aca="false">'SALES Raw'!E1998*$H$4</f>
        <v>3031.57894736842</v>
      </c>
      <c r="G17" s="19" t="n">
        <f aca="false">'SALES Raw'!F1998*$H$4</f>
        <v>143151.157894737</v>
      </c>
      <c r="H17" s="18" t="str">
        <f aca="false">'SALES Raw'!A1998</f>
        <v>111 - Superpharm Life</v>
      </c>
    </row>
    <row r="18" customFormat="false" ht="15" hidden="false" customHeight="false" outlineLevel="0" collapsed="false">
      <c r="A18" s="18" t="str">
        <f aca="false">'SALES Raw'!G2000</f>
        <v/>
      </c>
      <c r="B18" s="18" t="str">
        <f aca="false">'SALES Raw'!B2000</f>
        <v>LU308 M</v>
      </c>
      <c r="C18" s="18" t="str">
        <f aca="false">'SALES Raw'!H2000</f>
        <v>LU308 M</v>
      </c>
      <c r="D18" s="19" t="n">
        <f aca="false">'SALES Raw'!C2000</f>
        <v>2400</v>
      </c>
      <c r="E18" s="19" t="n">
        <f aca="false">'SALES Raw'!D2000</f>
        <v>94656</v>
      </c>
      <c r="F18" s="19" t="n">
        <f aca="false">'SALES Raw'!E2000*$H$4</f>
        <v>3031.57894736842</v>
      </c>
      <c r="G18" s="19" t="n">
        <f aca="false">'SALES Raw'!F2000*$H$4</f>
        <v>119565.473684211</v>
      </c>
      <c r="H18" s="18" t="str">
        <f aca="false">'SALES Raw'!A2000</f>
        <v>111 - Superpharm Life</v>
      </c>
    </row>
    <row r="19" customFormat="false" ht="15" hidden="false" customHeight="false" outlineLevel="0" collapsed="false">
      <c r="A19" s="18" t="str">
        <f aca="false">'SALES Raw'!G2015</f>
        <v/>
      </c>
      <c r="B19" s="18" t="str">
        <f aca="false">'SALES Raw'!B2015</f>
        <v>LUPD342 0</v>
      </c>
      <c r="C19" s="18" t="str">
        <f aca="false">'SALES Raw'!H2015</f>
        <v>LUPD342 0</v>
      </c>
      <c r="D19" s="19" t="n">
        <f aca="false">'SALES Raw'!C2015</f>
        <v>4152</v>
      </c>
      <c r="E19" s="19" t="n">
        <f aca="false">'SALES Raw'!D2015</f>
        <v>73822.56</v>
      </c>
      <c r="F19" s="19" t="n">
        <f aca="false">'SALES Raw'!E2015*$H$4</f>
        <v>3031.57894736842</v>
      </c>
      <c r="G19" s="19" t="n">
        <f aca="false">'SALES Raw'!F2015*$H$4</f>
        <v>53901.4736842105</v>
      </c>
      <c r="H19" s="18" t="str">
        <f aca="false">'SALES Raw'!A2015</f>
        <v>111 - Superpharm Life</v>
      </c>
    </row>
    <row r="20" customFormat="false" ht="15" hidden="false" customHeight="false" outlineLevel="0" collapsed="false">
      <c r="A20" s="18" t="str">
        <f aca="false">'SALES Raw'!G2005</f>
        <v/>
      </c>
      <c r="B20" s="18" t="str">
        <f aca="false">'SALES Raw'!B2005</f>
        <v>LU365-S-L</v>
      </c>
      <c r="C20" s="18" t="str">
        <f aca="false">'SALES Raw'!H2005</f>
        <v>LU365-S-L</v>
      </c>
      <c r="D20" s="19" t="n">
        <f aca="false">'SALES Raw'!C2005</f>
        <v>4860</v>
      </c>
      <c r="E20" s="19" t="n">
        <f aca="false">'SALES Raw'!D2005</f>
        <v>47239.2</v>
      </c>
      <c r="F20" s="19" t="n">
        <f aca="false">'SALES Raw'!E2005*$H$4</f>
        <v>2728.42105263158</v>
      </c>
      <c r="G20" s="19" t="n">
        <f aca="false">'SALES Raw'!F2005*$H$4</f>
        <v>26520.2526315789</v>
      </c>
      <c r="H20" s="18" t="str">
        <f aca="false">'SALES Raw'!A2005</f>
        <v>111 - Superpharm Life</v>
      </c>
    </row>
    <row r="21" customFormat="false" ht="15" hidden="false" customHeight="false" outlineLevel="0" collapsed="false">
      <c r="A21" s="18" t="str">
        <f aca="false">'SALES Raw'!G2014</f>
        <v/>
      </c>
      <c r="B21" s="18" t="str">
        <f aca="false">'SALES Raw'!B2014</f>
        <v>LUPD340 0</v>
      </c>
      <c r="C21" s="18" t="str">
        <f aca="false">'SALES Raw'!H2014</f>
        <v>LUPD340 0</v>
      </c>
      <c r="D21" s="19" t="n">
        <f aca="false">'SALES Raw'!C2014</f>
        <v>5400</v>
      </c>
      <c r="E21" s="19" t="n">
        <f aca="false">'SALES Raw'!D2014</f>
        <v>47844</v>
      </c>
      <c r="F21" s="19" t="n">
        <f aca="false">'SALES Raw'!E2014*$H$4</f>
        <v>2273.68421052632</v>
      </c>
      <c r="G21" s="19" t="n">
        <f aca="false">'SALES Raw'!F2014*$H$4</f>
        <v>20144.8421052632</v>
      </c>
      <c r="H21" s="18" t="str">
        <f aca="false">'SALES Raw'!A2014</f>
        <v>111 - Superpharm Life</v>
      </c>
    </row>
    <row r="22" customFormat="false" ht="15" hidden="false" customHeight="false" outlineLevel="0" collapsed="false">
      <c r="A22" s="18" t="str">
        <f aca="false">'SALES Raw'!G1999</f>
        <v/>
      </c>
      <c r="B22" s="18" t="str">
        <f aca="false">'SALES Raw'!B1999</f>
        <v>LU308 L</v>
      </c>
      <c r="C22" s="18" t="str">
        <f aca="false">'SALES Raw'!H1999</f>
        <v>LU308 L</v>
      </c>
      <c r="D22" s="19" t="n">
        <f aca="false">'SALES Raw'!C1999</f>
        <v>1600</v>
      </c>
      <c r="E22" s="19" t="n">
        <f aca="false">'SALES Raw'!D1999</f>
        <v>63104</v>
      </c>
      <c r="F22" s="19" t="n">
        <f aca="false">'SALES Raw'!E1999*$H$4</f>
        <v>2021.05263157895</v>
      </c>
      <c r="G22" s="19" t="n">
        <f aca="false">'SALES Raw'!F1999*$H$4</f>
        <v>79710.3157894737</v>
      </c>
      <c r="H22" s="18" t="str">
        <f aca="false">'SALES Raw'!A1999</f>
        <v>111 - Superpharm Life</v>
      </c>
    </row>
    <row r="23" customFormat="false" ht="15" hidden="false" customHeight="false" outlineLevel="0" collapsed="false">
      <c r="A23" s="18" t="str">
        <f aca="false">'SALES Raw'!G2012</f>
        <v/>
      </c>
      <c r="B23" s="18" t="str">
        <f aca="false">'SALES Raw'!B2012</f>
        <v>LULF370 0</v>
      </c>
      <c r="C23" s="18" t="str">
        <f aca="false">'SALES Raw'!H2012</f>
        <v>LULF370 0</v>
      </c>
      <c r="D23" s="19" t="n">
        <f aca="false">'SALES Raw'!C2012</f>
        <v>3200</v>
      </c>
      <c r="E23" s="19" t="n">
        <f aca="false">'SALES Raw'!D2012</f>
        <v>45856</v>
      </c>
      <c r="F23" s="19" t="n">
        <f aca="false">'SALES Raw'!E2012*$H$4</f>
        <v>2021.05263157895</v>
      </c>
      <c r="G23" s="19" t="n">
        <f aca="false">'SALES Raw'!F2012*$H$4</f>
        <v>28961.6842105263</v>
      </c>
      <c r="H23" s="18" t="str">
        <f aca="false">'SALES Raw'!A2012</f>
        <v>111 - Superpharm Life</v>
      </c>
    </row>
    <row r="24" customFormat="false" ht="15" hidden="false" customHeight="false" outlineLevel="0" collapsed="false">
      <c r="A24" s="18" t="str">
        <f aca="false">'SALES Raw'!G2003</f>
        <v/>
      </c>
      <c r="B24" s="18" t="str">
        <f aca="false">'SALES Raw'!B2003</f>
        <v>LU364 XL</v>
      </c>
      <c r="C24" s="18" t="str">
        <f aca="false">'SALES Raw'!H2003</f>
        <v>LU364 XL</v>
      </c>
      <c r="D24" s="19" t="n">
        <f aca="false">'SALES Raw'!C2003</f>
        <v>4050</v>
      </c>
      <c r="E24" s="19" t="n">
        <f aca="false">'SALES Raw'!D2003</f>
        <v>40945.5</v>
      </c>
      <c r="F24" s="19" t="n">
        <f aca="false">'SALES Raw'!E2003*$H$4</f>
        <v>1705.26315789474</v>
      </c>
      <c r="G24" s="19" t="n">
        <f aca="false">'SALES Raw'!F2003*$H$4</f>
        <v>17240.2105263158</v>
      </c>
      <c r="H24" s="18" t="str">
        <f aca="false">'SALES Raw'!A2003</f>
        <v>111 - Superpharm Life</v>
      </c>
    </row>
    <row r="25" customFormat="false" ht="15" hidden="false" customHeight="false" outlineLevel="0" collapsed="false">
      <c r="A25" s="18" t="str">
        <f aca="false">'SALES Raw'!G2008</f>
        <v/>
      </c>
      <c r="B25" s="18" t="str">
        <f aca="false">'SALES Raw'!B2008</f>
        <v>LU3677S 0</v>
      </c>
      <c r="C25" s="18" t="str">
        <f aca="false">'SALES Raw'!H2008</f>
        <v>LU3677S 0</v>
      </c>
      <c r="D25" s="19" t="n">
        <f aca="false">'SALES Raw'!C2008</f>
        <v>1350</v>
      </c>
      <c r="E25" s="19" t="n">
        <f aca="false">'SALES Raw'!D2008</f>
        <v>18306</v>
      </c>
      <c r="F25" s="19" t="n">
        <f aca="false">'SALES Raw'!E2008*$H$4</f>
        <v>1705.26315789474</v>
      </c>
      <c r="G25" s="19" t="n">
        <f aca="false">'SALES Raw'!F2008*$H$4</f>
        <v>23123.3684210526</v>
      </c>
      <c r="H25" s="18" t="str">
        <f aca="false">'SALES Raw'!A2008</f>
        <v>111 - Superpharm Life</v>
      </c>
    </row>
    <row r="26" customFormat="false" ht="15" hidden="false" customHeight="false" outlineLevel="0" collapsed="false">
      <c r="A26" s="18" t="str">
        <f aca="false">'SALES Raw'!G2004</f>
        <v/>
      </c>
      <c r="B26" s="18" t="str">
        <f aca="false">'SALES Raw'!B2004</f>
        <v>LU3641 0</v>
      </c>
      <c r="C26" s="18" t="str">
        <f aca="false">'SALES Raw'!H2004</f>
        <v>LU3641 0</v>
      </c>
      <c r="D26" s="19" t="n">
        <f aca="false">'SALES Raw'!C2004</f>
        <v>3780</v>
      </c>
      <c r="E26" s="19" t="n">
        <f aca="false">'SALES Raw'!D2004</f>
        <v>53751.6</v>
      </c>
      <c r="F26" s="19" t="n">
        <f aca="false">'SALES Raw'!E2004*$H$4</f>
        <v>1275.78947368421</v>
      </c>
      <c r="G26" s="19" t="n">
        <f aca="false">'SALES Raw'!F2004*$H$4</f>
        <v>18141.7263157895</v>
      </c>
      <c r="H26" s="18" t="str">
        <f aca="false">'SALES Raw'!A2004</f>
        <v>111 - Superpharm Life</v>
      </c>
    </row>
    <row r="27" customFormat="false" ht="15" hidden="false" customHeight="false" outlineLevel="0" collapsed="false">
      <c r="A27" s="18" t="str">
        <f aca="false">'SALES Raw'!G1996</f>
        <v/>
      </c>
      <c r="B27" s="18" t="str">
        <f aca="false">'SALES Raw'!B1996</f>
        <v>(NO ITEM CODE)</v>
      </c>
      <c r="C27" s="18" t="str">
        <f aca="false">'SALES Raw'!H1996</f>
        <v>(NO ITEM CODE)</v>
      </c>
      <c r="D27" s="19" t="n">
        <f aca="false">'SALES Raw'!C1996</f>
        <v>0</v>
      </c>
      <c r="E27" s="19" t="n">
        <f aca="false">'SALES Raw'!D1996</f>
        <v>7427.59</v>
      </c>
      <c r="F27" s="19" t="n">
        <f aca="false">'SALES Raw'!E1996*$H$4</f>
        <v>0</v>
      </c>
      <c r="G27" s="19" t="n">
        <f aca="false">'SALES Raw'!F1996*$H$4</f>
        <v>0</v>
      </c>
      <c r="H27" s="18" t="str">
        <f aca="false">'SALES Raw'!A1996</f>
        <v>111 - Superpharm Life</v>
      </c>
    </row>
  </sheetData>
  <mergeCells count="2">
    <mergeCell ref="A3:H3"/>
    <mergeCell ref="A4:F4"/>
  </mergeCells>
  <conditionalFormatting sqref="A7:H27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6.15" hidden="false" customHeight="false" outlineLevel="0" collapsed="false">
      <c r="A1" s="13" t="s">
        <v>10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5" t="s">
        <v>40</v>
      </c>
      <c r="B3" s="5"/>
      <c r="C3" s="5"/>
      <c r="D3" s="5"/>
      <c r="E3" s="5"/>
      <c r="F3" s="5"/>
      <c r="G3" s="5"/>
      <c r="H3" s="5"/>
    </row>
    <row r="4" customFormat="false" ht="15" hidden="false" customHeight="false" outlineLevel="0" collapsed="false">
      <c r="A4" s="14" t="s">
        <v>29</v>
      </c>
      <c r="B4" s="14"/>
      <c r="C4" s="14"/>
      <c r="D4" s="14"/>
      <c r="E4" s="14"/>
      <c r="F4" s="14"/>
      <c r="G4" s="15" t="s">
        <v>30</v>
      </c>
      <c r="H4" s="16" t="n">
        <f aca="false">12/9.5</f>
        <v>1.26315789473684</v>
      </c>
    </row>
    <row r="6" customFormat="false" ht="15" hidden="false" customHeight="false" outlineLevel="0" collapsed="false">
      <c r="A6" s="17" t="s">
        <v>31</v>
      </c>
      <c r="B6" s="17" t="s">
        <v>32</v>
      </c>
      <c r="C6" s="17" t="s">
        <v>33</v>
      </c>
      <c r="D6" s="17" t="s">
        <v>34</v>
      </c>
      <c r="E6" s="17" t="s">
        <v>35</v>
      </c>
      <c r="F6" s="17" t="s">
        <v>36</v>
      </c>
      <c r="G6" s="17" t="s">
        <v>37</v>
      </c>
      <c r="H6" s="17" t="s">
        <v>38</v>
      </c>
    </row>
    <row r="7" customFormat="false" ht="15" hidden="false" customHeight="false" outlineLevel="0" collapsed="false">
      <c r="A7" s="18" t="str">
        <f aca="false">'SALES Raw'!G2041</f>
        <v/>
      </c>
      <c r="B7" s="18" t="str">
        <f aca="false">'SALES Raw'!B2041</f>
        <v>KST25 0</v>
      </c>
      <c r="C7" s="18" t="str">
        <f aca="false">'SALES Raw'!H2041</f>
        <v>KST25 0</v>
      </c>
      <c r="D7" s="19" t="n">
        <f aca="false">'SALES Raw'!C2041</f>
        <v>21480</v>
      </c>
      <c r="E7" s="19" t="n">
        <f aca="false">'SALES Raw'!D2041</f>
        <v>344287.2</v>
      </c>
      <c r="F7" s="19" t="n">
        <f aca="false">'SALES Raw'!E2041*$H$4</f>
        <v>19086.3157894737</v>
      </c>
      <c r="G7" s="19" t="n">
        <f aca="false">'SALES Raw'!F2041*$H$4</f>
        <v>286867.326315789</v>
      </c>
      <c r="H7" s="18" t="str">
        <f aca="false">'SALES Raw'!A2041</f>
        <v>112 - Kupat Holim Clalit</v>
      </c>
    </row>
    <row r="8" customFormat="false" ht="15" hidden="false" customHeight="false" outlineLevel="0" collapsed="false">
      <c r="A8" s="18" t="str">
        <f aca="false">'SALES Raw'!G2047</f>
        <v/>
      </c>
      <c r="B8" s="18" t="str">
        <f aca="false">'SALES Raw'!B2047</f>
        <v>KST422 0</v>
      </c>
      <c r="C8" s="18" t="str">
        <f aca="false">'SALES Raw'!H2047</f>
        <v>KST422 0</v>
      </c>
      <c r="D8" s="19" t="n">
        <f aca="false">'SALES Raw'!C2047</f>
        <v>13299</v>
      </c>
      <c r="E8" s="19" t="n">
        <f aca="false">'SALES Raw'!D2047</f>
        <v>577794.6</v>
      </c>
      <c r="F8" s="19" t="n">
        <f aca="false">'SALES Raw'!E2047*$H$4</f>
        <v>12112.4210526316</v>
      </c>
      <c r="G8" s="19" t="n">
        <f aca="false">'SALES Raw'!F2047*$H$4</f>
        <v>501454.231578947</v>
      </c>
      <c r="H8" s="18" t="str">
        <f aca="false">'SALES Raw'!A2047</f>
        <v>112 - Kupat Holim Clalit</v>
      </c>
    </row>
    <row r="9" customFormat="false" ht="15" hidden="false" customHeight="false" outlineLevel="0" collapsed="false">
      <c r="A9" s="18" t="str">
        <f aca="false">'SALES Raw'!G2029</f>
        <v/>
      </c>
      <c r="B9" s="18" t="str">
        <f aca="false">'SALES Raw'!B2029</f>
        <v>K45 L</v>
      </c>
      <c r="C9" s="18" t="str">
        <f aca="false">'SALES Raw'!H2029</f>
        <v>K45 L</v>
      </c>
      <c r="D9" s="19" t="n">
        <f aca="false">'SALES Raw'!C2029</f>
        <v>9480</v>
      </c>
      <c r="E9" s="19" t="n">
        <f aca="false">'SALES Raw'!D2029</f>
        <v>118622.4</v>
      </c>
      <c r="F9" s="19" t="n">
        <f aca="false">'SALES Raw'!E2029*$H$4</f>
        <v>10307.3684210526</v>
      </c>
      <c r="G9" s="19" t="n">
        <f aca="false">'SALES Raw'!F2029*$H$4</f>
        <v>123276.126315789</v>
      </c>
      <c r="H9" s="18" t="str">
        <f aca="false">'SALES Raw'!A2029</f>
        <v>112 - Kupat Holim Clalit</v>
      </c>
    </row>
    <row r="10" customFormat="false" ht="15" hidden="false" customHeight="false" outlineLevel="0" collapsed="false">
      <c r="A10" s="18" t="str">
        <f aca="false">'SALES Raw'!G2032</f>
        <v/>
      </c>
      <c r="B10" s="18" t="str">
        <f aca="false">'SALES Raw'!B2032</f>
        <v>K45 XL</v>
      </c>
      <c r="C10" s="18" t="str">
        <f aca="false">'SALES Raw'!H2032</f>
        <v>K45 XL</v>
      </c>
      <c r="D10" s="19" t="n">
        <f aca="false">'SALES Raw'!C2032</f>
        <v>9960</v>
      </c>
      <c r="E10" s="19" t="n">
        <f aca="false">'SALES Raw'!D2032</f>
        <v>124737.6</v>
      </c>
      <c r="F10" s="19" t="n">
        <f aca="false">'SALES Raw'!E2032*$H$4</f>
        <v>8640</v>
      </c>
      <c r="G10" s="19" t="n">
        <f aca="false">'SALES Raw'!F2032*$H$4</f>
        <v>103334.4</v>
      </c>
      <c r="H10" s="18" t="str">
        <f aca="false">'SALES Raw'!A2032</f>
        <v>112 - Kupat Holim Clalit</v>
      </c>
    </row>
    <row r="11" customFormat="false" ht="15" hidden="false" customHeight="false" outlineLevel="0" collapsed="false">
      <c r="A11" s="18" t="str">
        <f aca="false">'SALES Raw'!G2046</f>
        <v/>
      </c>
      <c r="B11" s="18" t="str">
        <f aca="false">'SALES Raw'!B2046</f>
        <v>KST37 0</v>
      </c>
      <c r="C11" s="18" t="str">
        <f aca="false">'SALES Raw'!H2046</f>
        <v>KST37 0</v>
      </c>
      <c r="D11" s="19" t="n">
        <f aca="false">'SALES Raw'!C2046</f>
        <v>7800</v>
      </c>
      <c r="E11" s="19" t="n">
        <f aca="false">'SALES Raw'!D2046</f>
        <v>145066.8</v>
      </c>
      <c r="F11" s="19" t="n">
        <f aca="false">'SALES Raw'!E2046*$H$4</f>
        <v>7730.52631578947</v>
      </c>
      <c r="G11" s="19" t="n">
        <f aca="false">'SALES Raw'!F2046*$H$4</f>
        <v>135516.126315789</v>
      </c>
      <c r="H11" s="18" t="str">
        <f aca="false">'SALES Raw'!A2046</f>
        <v>112 - Kupat Holim Clalit</v>
      </c>
    </row>
    <row r="12" customFormat="false" ht="15" hidden="false" customHeight="false" outlineLevel="0" collapsed="false">
      <c r="A12" s="18" t="str">
        <f aca="false">'SALES Raw'!G2017</f>
        <v/>
      </c>
      <c r="B12" s="18" t="str">
        <f aca="false">'SALES Raw'!B2017</f>
        <v>K078 L</v>
      </c>
      <c r="C12" s="18" t="str">
        <f aca="false">'SALES Raw'!H2017</f>
        <v>K078 L</v>
      </c>
      <c r="D12" s="19" t="n">
        <f aca="false">'SALES Raw'!C2017</f>
        <v>7450</v>
      </c>
      <c r="E12" s="19" t="n">
        <f aca="false">'SALES Raw'!D2017</f>
        <v>422328</v>
      </c>
      <c r="F12" s="19" t="n">
        <f aca="false">'SALES Raw'!E2017*$H$4</f>
        <v>6315.78947368421</v>
      </c>
      <c r="G12" s="19" t="n">
        <f aca="false">'SALES Raw'!F2017*$H$4</f>
        <v>343642.105263158</v>
      </c>
      <c r="H12" s="18" t="str">
        <f aca="false">'SALES Raw'!A2017</f>
        <v>112 - Kupat Holim Clalit</v>
      </c>
    </row>
    <row r="13" customFormat="false" ht="15" hidden="false" customHeight="false" outlineLevel="0" collapsed="false">
      <c r="A13" s="18" t="str">
        <f aca="false">'SALES Raw'!G2045</f>
        <v/>
      </c>
      <c r="B13" s="18" t="str">
        <f aca="false">'SALES Raw'!B2045</f>
        <v>KST28 0</v>
      </c>
      <c r="C13" s="18" t="str">
        <f aca="false">'SALES Raw'!H2045</f>
        <v>KST28 0</v>
      </c>
      <c r="D13" s="19" t="n">
        <f aca="false">'SALES Raw'!C2045</f>
        <v>6240</v>
      </c>
      <c r="E13" s="19" t="n">
        <f aca="false">'SALES Raw'!D2045</f>
        <v>119520</v>
      </c>
      <c r="F13" s="19" t="n">
        <f aca="false">'SALES Raw'!E2045*$H$4</f>
        <v>6260.21052631579</v>
      </c>
      <c r="G13" s="19" t="n">
        <f aca="false">'SALES Raw'!F2045*$H$4</f>
        <v>111431.747368421</v>
      </c>
      <c r="H13" s="18" t="str">
        <f aca="false">'SALES Raw'!A2045</f>
        <v>112 - Kupat Holim Clalit</v>
      </c>
    </row>
    <row r="14" customFormat="false" ht="15" hidden="false" customHeight="false" outlineLevel="0" collapsed="false">
      <c r="A14" s="18" t="str">
        <f aca="false">'SALES Raw'!G2028</f>
        <v/>
      </c>
      <c r="B14" s="18" t="str">
        <f aca="false">'SALES Raw'!B2028</f>
        <v>K35 XL</v>
      </c>
      <c r="C14" s="18" t="str">
        <f aca="false">'SALES Raw'!H2028</f>
        <v>K35 XL</v>
      </c>
      <c r="D14" s="19" t="n">
        <f aca="false">'SALES Raw'!C2028</f>
        <v>5400</v>
      </c>
      <c r="E14" s="19" t="n">
        <f aca="false">'SALES Raw'!D2028</f>
        <v>68580</v>
      </c>
      <c r="F14" s="19" t="n">
        <f aca="false">'SALES Raw'!E2028*$H$4</f>
        <v>5911.57894736842</v>
      </c>
      <c r="G14" s="19" t="n">
        <f aca="false">'SALES Raw'!F2028*$H$4</f>
        <v>75077.052631579</v>
      </c>
      <c r="H14" s="18" t="str">
        <f aca="false">'SALES Raw'!A2028</f>
        <v>112 - Kupat Holim Clalit</v>
      </c>
    </row>
    <row r="15" customFormat="false" ht="15" hidden="false" customHeight="false" outlineLevel="0" collapsed="false">
      <c r="A15" s="18" t="str">
        <f aca="false">'SALES Raw'!G2030</f>
        <v/>
      </c>
      <c r="B15" s="18" t="str">
        <f aca="false">'SALES Raw'!B2030</f>
        <v>K45 M</v>
      </c>
      <c r="C15" s="18" t="str">
        <f aca="false">'SALES Raw'!H2030</f>
        <v>K45 M</v>
      </c>
      <c r="D15" s="19" t="n">
        <f aca="false">'SALES Raw'!C2030</f>
        <v>6720</v>
      </c>
      <c r="E15" s="19" t="n">
        <f aca="false">'SALES Raw'!D2030</f>
        <v>87360</v>
      </c>
      <c r="F15" s="19" t="n">
        <f aca="false">'SALES Raw'!E2030*$H$4</f>
        <v>5760</v>
      </c>
      <c r="G15" s="19" t="n">
        <f aca="false">'SALES Raw'!F2030*$H$4</f>
        <v>74880</v>
      </c>
      <c r="H15" s="18" t="str">
        <f aca="false">'SALES Raw'!A2030</f>
        <v>112 - Kupat Holim Clalit</v>
      </c>
    </row>
    <row r="16" customFormat="false" ht="15" hidden="false" customHeight="false" outlineLevel="0" collapsed="false">
      <c r="A16" s="18" t="str">
        <f aca="false">'SALES Raw'!G2025</f>
        <v/>
      </c>
      <c r="B16" s="18" t="str">
        <f aca="false">'SALES Raw'!B2025</f>
        <v>K35 L</v>
      </c>
      <c r="C16" s="18" t="str">
        <f aca="false">'SALES Raw'!H2025</f>
        <v>K35 L</v>
      </c>
      <c r="D16" s="19" t="n">
        <f aca="false">'SALES Raw'!C2025</f>
        <v>7320</v>
      </c>
      <c r="E16" s="19" t="n">
        <f aca="false">'SALES Raw'!D2025</f>
        <v>92964</v>
      </c>
      <c r="F16" s="19" t="n">
        <f aca="false">'SALES Raw'!E2025*$H$4</f>
        <v>5305.26315789474</v>
      </c>
      <c r="G16" s="19" t="n">
        <f aca="false">'SALES Raw'!F2025*$H$4</f>
        <v>67376.8421052632</v>
      </c>
      <c r="H16" s="18" t="str">
        <f aca="false">'SALES Raw'!A2025</f>
        <v>112 - Kupat Holim Clalit</v>
      </c>
    </row>
    <row r="17" customFormat="false" ht="15" hidden="false" customHeight="false" outlineLevel="0" collapsed="false">
      <c r="A17" s="18" t="str">
        <f aca="false">'SALES Raw'!G2040</f>
        <v/>
      </c>
      <c r="B17" s="18" t="str">
        <f aca="false">'SALES Raw'!B2040</f>
        <v>KST20 0</v>
      </c>
      <c r="C17" s="18" t="str">
        <f aca="false">'SALES Raw'!H2040</f>
        <v>KST20 0</v>
      </c>
      <c r="D17" s="19" t="n">
        <f aca="false">'SALES Raw'!C2040</f>
        <v>4920</v>
      </c>
      <c r="E17" s="19" t="n">
        <f aca="false">'SALES Raw'!D2040</f>
        <v>66912</v>
      </c>
      <c r="F17" s="19" t="n">
        <f aca="false">'SALES Raw'!E2040*$H$4</f>
        <v>5153.68421052632</v>
      </c>
      <c r="G17" s="19" t="n">
        <f aca="false">'SALES Raw'!F2040*$H$4</f>
        <v>70090.1052631579</v>
      </c>
      <c r="H17" s="18" t="str">
        <f aca="false">'SALES Raw'!A2040</f>
        <v>112 - Kupat Holim Clalit</v>
      </c>
    </row>
    <row r="18" customFormat="false" ht="15" hidden="false" customHeight="false" outlineLevel="0" collapsed="false">
      <c r="A18" s="18" t="str">
        <f aca="false">'SALES Raw'!G2043</f>
        <v/>
      </c>
      <c r="B18" s="18" t="str">
        <f aca="false">'SALES Raw'!B2043</f>
        <v>KST27R 0</v>
      </c>
      <c r="C18" s="18" t="str">
        <f aca="false">'SALES Raw'!H2043</f>
        <v>KST27R 0</v>
      </c>
      <c r="D18" s="19" t="n">
        <f aca="false">'SALES Raw'!C2043</f>
        <v>5600</v>
      </c>
      <c r="E18" s="19" t="n">
        <f aca="false">'SALES Raw'!D2043</f>
        <v>135200</v>
      </c>
      <c r="F18" s="19" t="n">
        <f aca="false">'SALES Raw'!E2043*$H$4</f>
        <v>4951.57894736842</v>
      </c>
      <c r="G18" s="19" t="n">
        <f aca="false">'SALES Raw'!F2043*$H$4</f>
        <v>111410.526315789</v>
      </c>
      <c r="H18" s="18" t="str">
        <f aca="false">'SALES Raw'!A2043</f>
        <v>112 - Kupat Holim Clalit</v>
      </c>
    </row>
    <row r="19" customFormat="false" ht="15" hidden="false" customHeight="false" outlineLevel="0" collapsed="false">
      <c r="A19" s="18" t="str">
        <f aca="false">'SALES Raw'!G2026</f>
        <v/>
      </c>
      <c r="B19" s="18" t="str">
        <f aca="false">'SALES Raw'!B2026</f>
        <v>K35 M</v>
      </c>
      <c r="C19" s="18" t="str">
        <f aca="false">'SALES Raw'!H2026</f>
        <v>K35 M</v>
      </c>
      <c r="D19" s="19" t="n">
        <f aca="false">'SALES Raw'!C2026</f>
        <v>4920</v>
      </c>
      <c r="E19" s="19" t="n">
        <f aca="false">'SALES Raw'!D2026</f>
        <v>62484</v>
      </c>
      <c r="F19" s="19" t="n">
        <f aca="false">'SALES Raw'!E2026*$H$4</f>
        <v>4698.94736842105</v>
      </c>
      <c r="G19" s="19" t="n">
        <f aca="false">'SALES Raw'!F2026*$H$4</f>
        <v>59676.6315789474</v>
      </c>
      <c r="H19" s="18" t="str">
        <f aca="false">'SALES Raw'!A2026</f>
        <v>112 - Kupat Holim Clalit</v>
      </c>
    </row>
    <row r="20" customFormat="false" ht="15" hidden="false" customHeight="false" outlineLevel="0" collapsed="false">
      <c r="A20" s="18" t="str">
        <f aca="false">'SALES Raw'!G2019</f>
        <v/>
      </c>
      <c r="B20" s="18" t="str">
        <f aca="false">'SALES Raw'!B2019</f>
        <v>K078 XL</v>
      </c>
      <c r="C20" s="18" t="str">
        <f aca="false">'SALES Raw'!H2019</f>
        <v>K078 XL</v>
      </c>
      <c r="D20" s="19" t="n">
        <f aca="false">'SALES Raw'!C2019</f>
        <v>5850</v>
      </c>
      <c r="E20" s="19" t="n">
        <f aca="false">'SALES Raw'!D2019</f>
        <v>332000</v>
      </c>
      <c r="F20" s="19" t="n">
        <f aca="false">'SALES Raw'!E2019*$H$4</f>
        <v>4673.68421052632</v>
      </c>
      <c r="G20" s="19" t="n">
        <f aca="false">'SALES Raw'!F2019*$H$4</f>
        <v>254295.157894737</v>
      </c>
      <c r="H20" s="18" t="str">
        <f aca="false">'SALES Raw'!A2019</f>
        <v>112 - Kupat Holim Clalit</v>
      </c>
    </row>
    <row r="21" customFormat="false" ht="15" hidden="false" customHeight="false" outlineLevel="0" collapsed="false">
      <c r="A21" s="18" t="str">
        <f aca="false">'SALES Raw'!G2049</f>
        <v/>
      </c>
      <c r="B21" s="18" t="str">
        <f aca="false">'SALES Raw'!B2049</f>
        <v>KST95 0</v>
      </c>
      <c r="C21" s="18" t="str">
        <f aca="false">'SALES Raw'!H2049</f>
        <v>KST95 0</v>
      </c>
      <c r="D21" s="19" t="n">
        <f aca="false">'SALES Raw'!C2049</f>
        <v>5040</v>
      </c>
      <c r="E21" s="19" t="n">
        <f aca="false">'SALES Raw'!D2049</f>
        <v>114775.2</v>
      </c>
      <c r="F21" s="19" t="n">
        <f aca="false">'SALES Raw'!E2049*$H$4</f>
        <v>4244.21052631579</v>
      </c>
      <c r="G21" s="19" t="n">
        <f aca="false">'SALES Raw'!F2049*$H$4</f>
        <v>90274.3578947368</v>
      </c>
      <c r="H21" s="18" t="str">
        <f aca="false">'SALES Raw'!A2049</f>
        <v>112 - Kupat Holim Clalit</v>
      </c>
    </row>
    <row r="22" customFormat="false" ht="15" hidden="false" customHeight="false" outlineLevel="0" collapsed="false">
      <c r="A22" s="18" t="str">
        <f aca="false">'SALES Raw'!G2042</f>
        <v/>
      </c>
      <c r="B22" s="18" t="str">
        <f aca="false">'SALES Raw'!B2042</f>
        <v>KST27L 0</v>
      </c>
      <c r="C22" s="18" t="str">
        <f aca="false">'SALES Raw'!H2042</f>
        <v>KST27L 0</v>
      </c>
      <c r="D22" s="19" t="n">
        <f aca="false">'SALES Raw'!C2042</f>
        <v>4157</v>
      </c>
      <c r="E22" s="19" t="n">
        <f aca="false">'SALES Raw'!D2042</f>
        <v>99932.5</v>
      </c>
      <c r="F22" s="19" t="n">
        <f aca="false">'SALES Raw'!E2042*$H$4</f>
        <v>4242.94736842105</v>
      </c>
      <c r="G22" s="19" t="n">
        <f aca="false">'SALES Raw'!F2042*$H$4</f>
        <v>95466.3157894737</v>
      </c>
      <c r="H22" s="18" t="str">
        <f aca="false">'SALES Raw'!A2042</f>
        <v>112 - Kupat Holim Clalit</v>
      </c>
    </row>
    <row r="23" customFormat="false" ht="15" hidden="false" customHeight="false" outlineLevel="0" collapsed="false">
      <c r="A23" s="18" t="str">
        <f aca="false">'SALES Raw'!G2048</f>
        <v/>
      </c>
      <c r="B23" s="18" t="str">
        <f aca="false">'SALES Raw'!B2048</f>
        <v>KST91 0</v>
      </c>
      <c r="C23" s="18" t="str">
        <f aca="false">'SALES Raw'!H2048</f>
        <v>KST91 0</v>
      </c>
      <c r="D23" s="19" t="n">
        <f aca="false">'SALES Raw'!C2048</f>
        <v>4080</v>
      </c>
      <c r="E23" s="19" t="n">
        <f aca="false">'SALES Raw'!D2048</f>
        <v>77112</v>
      </c>
      <c r="F23" s="19" t="n">
        <f aca="false">'SALES Raw'!E2048*$H$4</f>
        <v>3789.47368421053</v>
      </c>
      <c r="G23" s="19" t="n">
        <f aca="false">'SALES Raw'!F2048*$H$4</f>
        <v>71621.052631579</v>
      </c>
      <c r="H23" s="18" t="str">
        <f aca="false">'SALES Raw'!A2048</f>
        <v>112 - Kupat Holim Clalit</v>
      </c>
    </row>
    <row r="24" customFormat="false" ht="15" hidden="false" customHeight="false" outlineLevel="0" collapsed="false">
      <c r="A24" s="18" t="str">
        <f aca="false">'SALES Raw'!G2018</f>
        <v/>
      </c>
      <c r="B24" s="18" t="str">
        <f aca="false">'SALES Raw'!B2018</f>
        <v>K078 M</v>
      </c>
      <c r="C24" s="18" t="str">
        <f aca="false">'SALES Raw'!H2018</f>
        <v>K078 M</v>
      </c>
      <c r="D24" s="19" t="n">
        <f aca="false">'SALES Raw'!C2018</f>
        <v>3800</v>
      </c>
      <c r="E24" s="19" t="n">
        <f aca="false">'SALES Raw'!D2018</f>
        <v>215142.5</v>
      </c>
      <c r="F24" s="19" t="n">
        <f aca="false">'SALES Raw'!E2018*$H$4</f>
        <v>2778.94736842105</v>
      </c>
      <c r="G24" s="19" t="n">
        <f aca="false">'SALES Raw'!F2018*$H$4</f>
        <v>151202.526315789</v>
      </c>
      <c r="H24" s="18" t="str">
        <f aca="false">'SALES Raw'!A2018</f>
        <v>112 - Kupat Holim Clalit</v>
      </c>
    </row>
    <row r="25" customFormat="false" ht="15" hidden="false" customHeight="false" outlineLevel="0" collapsed="false">
      <c r="A25" s="18" t="str">
        <f aca="false">'SALES Raw'!G2027</f>
        <v/>
      </c>
      <c r="B25" s="18" t="str">
        <f aca="false">'SALES Raw'!B2027</f>
        <v>K35 S</v>
      </c>
      <c r="C25" s="18" t="str">
        <f aca="false">'SALES Raw'!H2027</f>
        <v>K35 S</v>
      </c>
      <c r="D25" s="19" t="n">
        <f aca="false">'SALES Raw'!C2027</f>
        <v>1920</v>
      </c>
      <c r="E25" s="19" t="n">
        <f aca="false">'SALES Raw'!D2027</f>
        <v>24384</v>
      </c>
      <c r="F25" s="19" t="n">
        <f aca="false">'SALES Raw'!E2027*$H$4</f>
        <v>1970.52631578947</v>
      </c>
      <c r="G25" s="19" t="n">
        <f aca="false">'SALES Raw'!F2027*$H$4</f>
        <v>25025.6842105263</v>
      </c>
      <c r="H25" s="18" t="str">
        <f aca="false">'SALES Raw'!A2027</f>
        <v>112 - Kupat Holim Clalit</v>
      </c>
    </row>
    <row r="26" customFormat="false" ht="15" hidden="false" customHeight="false" outlineLevel="0" collapsed="false">
      <c r="A26" s="18" t="str">
        <f aca="false">'SALES Raw'!G2031</f>
        <v/>
      </c>
      <c r="B26" s="18" t="str">
        <f aca="false">'SALES Raw'!B2031</f>
        <v>K45 S</v>
      </c>
      <c r="C26" s="18" t="str">
        <f aca="false">'SALES Raw'!H2031</f>
        <v>K45 S</v>
      </c>
      <c r="D26" s="19" t="n">
        <f aca="false">'SALES Raw'!C2031</f>
        <v>2040</v>
      </c>
      <c r="E26" s="19" t="n">
        <f aca="false">'SALES Raw'!D2031</f>
        <v>26520</v>
      </c>
      <c r="F26" s="19" t="n">
        <f aca="false">'SALES Raw'!E2031*$H$4</f>
        <v>1818.94736842105</v>
      </c>
      <c r="G26" s="19" t="n">
        <f aca="false">'SALES Raw'!F2031*$H$4</f>
        <v>23646.3157894737</v>
      </c>
      <c r="H26" s="18" t="str">
        <f aca="false">'SALES Raw'!A2031</f>
        <v>112 - Kupat Holim Clalit</v>
      </c>
    </row>
    <row r="27" customFormat="false" ht="15" hidden="false" customHeight="false" outlineLevel="0" collapsed="false">
      <c r="A27" s="18" t="str">
        <f aca="false">'SALES Raw'!G2035</f>
        <v/>
      </c>
      <c r="B27" s="18" t="str">
        <f aca="false">'SALES Raw'!B2035</f>
        <v>K801 0</v>
      </c>
      <c r="C27" s="18" t="str">
        <f aca="false">'SALES Raw'!H2035</f>
        <v>K801 0</v>
      </c>
      <c r="D27" s="19" t="n">
        <f aca="false">'SALES Raw'!C2035</f>
        <v>1680</v>
      </c>
      <c r="E27" s="19" t="n">
        <f aca="false">'SALES Raw'!D2035</f>
        <v>28560</v>
      </c>
      <c r="F27" s="19" t="n">
        <f aca="false">'SALES Raw'!E2035*$H$4</f>
        <v>1818.94736842105</v>
      </c>
      <c r="G27" s="19" t="n">
        <f aca="false">'SALES Raw'!F2035*$H$4</f>
        <v>30922.1052631579</v>
      </c>
      <c r="H27" s="18" t="str">
        <f aca="false">'SALES Raw'!A2035</f>
        <v>112 - Kupat Holim Clalit</v>
      </c>
    </row>
    <row r="28" customFormat="false" ht="15" hidden="false" customHeight="false" outlineLevel="0" collapsed="false">
      <c r="A28" s="18" t="str">
        <f aca="false">'SALES Raw'!G2020</f>
        <v/>
      </c>
      <c r="B28" s="18" t="str">
        <f aca="false">'SALES Raw'!B2020</f>
        <v>K078 XXL</v>
      </c>
      <c r="C28" s="18" t="str">
        <f aca="false">'SALES Raw'!H2020</f>
        <v>K078 XXL</v>
      </c>
      <c r="D28" s="19" t="n">
        <f aca="false">'SALES Raw'!C2020</f>
        <v>2565</v>
      </c>
      <c r="E28" s="19" t="n">
        <f aca="false">'SALES Raw'!D2020</f>
        <v>146555.55</v>
      </c>
      <c r="F28" s="19" t="n">
        <f aca="false">'SALES Raw'!E2020*$H$4</f>
        <v>1648.42105263158</v>
      </c>
      <c r="G28" s="19" t="n">
        <f aca="false">'SALES Raw'!F2020*$H$4</f>
        <v>89690.5894736842</v>
      </c>
      <c r="H28" s="18" t="str">
        <f aca="false">'SALES Raw'!A2020</f>
        <v>112 - Kupat Holim Clalit</v>
      </c>
    </row>
    <row r="29" customFormat="false" ht="15" hidden="false" customHeight="false" outlineLevel="0" collapsed="false">
      <c r="A29" s="18" t="str">
        <f aca="false">'SALES Raw'!G2039</f>
        <v/>
      </c>
      <c r="B29" s="18" t="str">
        <f aca="false">'SALES Raw'!B2039</f>
        <v>KST11 0</v>
      </c>
      <c r="C29" s="18" t="str">
        <f aca="false">'SALES Raw'!H2039</f>
        <v>KST11 0</v>
      </c>
      <c r="D29" s="19" t="n">
        <f aca="false">'SALES Raw'!C2039</f>
        <v>1700</v>
      </c>
      <c r="E29" s="19" t="n">
        <f aca="false">'SALES Raw'!D2039</f>
        <v>53890</v>
      </c>
      <c r="F29" s="19" t="n">
        <f aca="false">'SALES Raw'!E2039*$H$4</f>
        <v>1578.94736842105</v>
      </c>
      <c r="G29" s="19" t="n">
        <f aca="false">'SALES Raw'!F2039*$H$4</f>
        <v>50052.6315789474</v>
      </c>
      <c r="H29" s="18" t="str">
        <f aca="false">'SALES Raw'!A2039</f>
        <v>112 - Kupat Holim Clalit</v>
      </c>
    </row>
    <row r="30" customFormat="false" ht="15" hidden="false" customHeight="false" outlineLevel="0" collapsed="false">
      <c r="A30" s="18" t="str">
        <f aca="false">'SALES Raw'!G2036</f>
        <v/>
      </c>
      <c r="B30" s="18" t="str">
        <f aca="false">'SALES Raw'!B2036</f>
        <v>K85 L</v>
      </c>
      <c r="C30" s="18" t="str">
        <f aca="false">'SALES Raw'!H2036</f>
        <v>K85 L</v>
      </c>
      <c r="D30" s="19" t="n">
        <f aca="false">'SALES Raw'!C2036</f>
        <v>1360</v>
      </c>
      <c r="E30" s="19" t="n">
        <f aca="false">'SALES Raw'!D2036</f>
        <v>46240</v>
      </c>
      <c r="F30" s="19" t="n">
        <f aca="false">'SALES Raw'!E2036*$H$4</f>
        <v>1313.68421052632</v>
      </c>
      <c r="G30" s="19" t="n">
        <f aca="false">'SALES Raw'!F2036*$H$4</f>
        <v>44665.2631578947</v>
      </c>
      <c r="H30" s="18" t="str">
        <f aca="false">'SALES Raw'!A2036</f>
        <v>112 - Kupat Holim Clalit</v>
      </c>
    </row>
    <row r="31" customFormat="false" ht="15" hidden="false" customHeight="false" outlineLevel="0" collapsed="false">
      <c r="A31" s="18" t="str">
        <f aca="false">'SALES Raw'!G2021</f>
        <v/>
      </c>
      <c r="B31" s="18" t="str">
        <f aca="false">'SALES Raw'!B2021</f>
        <v>K11U L</v>
      </c>
      <c r="C31" s="18" t="str">
        <f aca="false">'SALES Raw'!H2021</f>
        <v>K11U L</v>
      </c>
      <c r="D31" s="19" t="n">
        <f aca="false">'SALES Raw'!C2021</f>
        <v>1400</v>
      </c>
      <c r="E31" s="19" t="n">
        <f aca="false">'SALES Raw'!D2021</f>
        <v>62020</v>
      </c>
      <c r="F31" s="19" t="n">
        <f aca="false">'SALES Raw'!E2021*$H$4</f>
        <v>1263.15789473684</v>
      </c>
      <c r="G31" s="19" t="n">
        <f aca="false">'SALES Raw'!F2021*$H$4</f>
        <v>55957.8947368421</v>
      </c>
      <c r="H31" s="18" t="str">
        <f aca="false">'SALES Raw'!A2021</f>
        <v>112 - Kupat Holim Clalit</v>
      </c>
    </row>
    <row r="32" customFormat="false" ht="15" hidden="false" customHeight="false" outlineLevel="0" collapsed="false">
      <c r="A32" s="18" t="str">
        <f aca="false">'SALES Raw'!G2023</f>
        <v/>
      </c>
      <c r="B32" s="18" t="str">
        <f aca="false">'SALES Raw'!B2023</f>
        <v>K11U XL</v>
      </c>
      <c r="C32" s="18" t="str">
        <f aca="false">'SALES Raw'!H2023</f>
        <v>K11U XL</v>
      </c>
      <c r="D32" s="19" t="n">
        <f aca="false">'SALES Raw'!C2023</f>
        <v>1300</v>
      </c>
      <c r="E32" s="19" t="n">
        <f aca="false">'SALES Raw'!D2023</f>
        <v>57590</v>
      </c>
      <c r="F32" s="19" t="n">
        <f aca="false">'SALES Raw'!E2023*$H$4</f>
        <v>1136.84210526316</v>
      </c>
      <c r="G32" s="19" t="n">
        <f aca="false">'SALES Raw'!F2023*$H$4</f>
        <v>50362.1052631579</v>
      </c>
      <c r="H32" s="18" t="str">
        <f aca="false">'SALES Raw'!A2023</f>
        <v>112 - Kupat Holim Clalit</v>
      </c>
    </row>
    <row r="33" customFormat="false" ht="15" hidden="false" customHeight="false" outlineLevel="0" collapsed="false">
      <c r="A33" s="18" t="str">
        <f aca="false">'SALES Raw'!G2033</f>
        <v/>
      </c>
      <c r="B33" s="18" t="str">
        <f aca="false">'SALES Raw'!B2033</f>
        <v>K61 L</v>
      </c>
      <c r="C33" s="18" t="str">
        <f aca="false">'SALES Raw'!H2033</f>
        <v>K61 L</v>
      </c>
      <c r="D33" s="19" t="n">
        <f aca="false">'SALES Raw'!C2033</f>
        <v>1500</v>
      </c>
      <c r="E33" s="19" t="n">
        <f aca="false">'SALES Raw'!D2033</f>
        <v>32400</v>
      </c>
      <c r="F33" s="19" t="n">
        <f aca="false">'SALES Raw'!E2033*$H$4</f>
        <v>1136.84210526316</v>
      </c>
      <c r="G33" s="19" t="n">
        <f aca="false">'SALES Raw'!F2033*$H$4</f>
        <v>24555.7894736842</v>
      </c>
      <c r="H33" s="18" t="str">
        <f aca="false">'SALES Raw'!A2033</f>
        <v>112 - Kupat Holim Clalit</v>
      </c>
    </row>
    <row r="34" customFormat="false" ht="15" hidden="false" customHeight="false" outlineLevel="0" collapsed="false">
      <c r="A34" s="18" t="str">
        <f aca="false">'SALES Raw'!G2024</f>
        <v/>
      </c>
      <c r="B34" s="18" t="str">
        <f aca="false">'SALES Raw'!B2024</f>
        <v>K11U XXL</v>
      </c>
      <c r="C34" s="18" t="str">
        <f aca="false">'SALES Raw'!H2024</f>
        <v>K11U XXL</v>
      </c>
      <c r="D34" s="19" t="n">
        <f aca="false">'SALES Raw'!C2024</f>
        <v>945</v>
      </c>
      <c r="E34" s="19" t="n">
        <f aca="false">'SALES Raw'!D2024</f>
        <v>41863.5</v>
      </c>
      <c r="F34" s="19" t="n">
        <f aca="false">'SALES Raw'!E2024*$H$4</f>
        <v>909.473684210526</v>
      </c>
      <c r="G34" s="19" t="n">
        <f aca="false">'SALES Raw'!F2024*$H$4</f>
        <v>40289.6842105263</v>
      </c>
      <c r="H34" s="18" t="str">
        <f aca="false">'SALES Raw'!A2024</f>
        <v>112 - Kupat Holim Clalit</v>
      </c>
    </row>
    <row r="35" customFormat="false" ht="15" hidden="false" customHeight="false" outlineLevel="0" collapsed="false">
      <c r="A35" s="18" t="str">
        <f aca="false">'SALES Raw'!G2037</f>
        <v/>
      </c>
      <c r="B35" s="18" t="str">
        <f aca="false">'SALES Raw'!B2037</f>
        <v>K85 M</v>
      </c>
      <c r="C35" s="18" t="str">
        <f aca="false">'SALES Raw'!H2037</f>
        <v>K85 M</v>
      </c>
      <c r="D35" s="19" t="n">
        <f aca="false">'SALES Raw'!C2037</f>
        <v>800</v>
      </c>
      <c r="E35" s="19" t="n">
        <f aca="false">'SALES Raw'!D2037</f>
        <v>27200</v>
      </c>
      <c r="F35" s="19" t="n">
        <f aca="false">'SALES Raw'!E2037*$H$4</f>
        <v>909.473684210526</v>
      </c>
      <c r="G35" s="19" t="n">
        <f aca="false">'SALES Raw'!F2037*$H$4</f>
        <v>30922.1052631579</v>
      </c>
      <c r="H35" s="18" t="str">
        <f aca="false">'SALES Raw'!A2037</f>
        <v>112 - Kupat Holim Clalit</v>
      </c>
    </row>
    <row r="36" customFormat="false" ht="15" hidden="false" customHeight="false" outlineLevel="0" collapsed="false">
      <c r="A36" s="18" t="str">
        <f aca="false">'SALES Raw'!G2034</f>
        <v/>
      </c>
      <c r="B36" s="18" t="str">
        <f aca="false">'SALES Raw'!B2034</f>
        <v>K61 M</v>
      </c>
      <c r="C36" s="18" t="str">
        <f aca="false">'SALES Raw'!H2034</f>
        <v>K61 M</v>
      </c>
      <c r="D36" s="19" t="n">
        <f aca="false">'SALES Raw'!C2034</f>
        <v>720</v>
      </c>
      <c r="E36" s="19" t="n">
        <f aca="false">'SALES Raw'!D2034</f>
        <v>15552</v>
      </c>
      <c r="F36" s="19" t="n">
        <f aca="false">'SALES Raw'!E2034*$H$4</f>
        <v>833.684210526316</v>
      </c>
      <c r="G36" s="19" t="n">
        <f aca="false">'SALES Raw'!F2034*$H$4</f>
        <v>18007.5789473684</v>
      </c>
      <c r="H36" s="18" t="str">
        <f aca="false">'SALES Raw'!A2034</f>
        <v>112 - Kupat Holim Clalit</v>
      </c>
    </row>
    <row r="37" customFormat="false" ht="15" hidden="false" customHeight="false" outlineLevel="0" collapsed="false">
      <c r="A37" s="18" t="str">
        <f aca="false">'SALES Raw'!G2022</f>
        <v/>
      </c>
      <c r="B37" s="18" t="str">
        <f aca="false">'SALES Raw'!B2022</f>
        <v>K11U M</v>
      </c>
      <c r="C37" s="18" t="str">
        <f aca="false">'SALES Raw'!H2022</f>
        <v>K11U M</v>
      </c>
      <c r="D37" s="19" t="n">
        <f aca="false">'SALES Raw'!C2022</f>
        <v>950</v>
      </c>
      <c r="E37" s="19" t="n">
        <f aca="false">'SALES Raw'!D2022</f>
        <v>42085</v>
      </c>
      <c r="F37" s="19" t="n">
        <f aca="false">'SALES Raw'!E2022*$H$4</f>
        <v>821.052631578947</v>
      </c>
      <c r="G37" s="19" t="n">
        <f aca="false">'SALES Raw'!F2022*$H$4</f>
        <v>36372.6315789474</v>
      </c>
      <c r="H37" s="18" t="str">
        <f aca="false">'SALES Raw'!A2022</f>
        <v>112 - Kupat Holim Clalit</v>
      </c>
    </row>
    <row r="38" customFormat="false" ht="15" hidden="false" customHeight="false" outlineLevel="0" collapsed="false">
      <c r="A38" s="18" t="str">
        <f aca="false">'SALES Raw'!G2044</f>
        <v/>
      </c>
      <c r="B38" s="18" t="str">
        <f aca="false">'SALES Raw'!B2044</f>
        <v>ST27L 0</v>
      </c>
      <c r="C38" s="18" t="str">
        <f aca="false">'SALES Raw'!H2044</f>
        <v>ST27L 0</v>
      </c>
      <c r="D38" s="19" t="n">
        <f aca="false">'SALES Raw'!C2044</f>
        <v>-1</v>
      </c>
      <c r="E38" s="19" t="n">
        <f aca="false">'SALES Raw'!D2044</f>
        <v>-62.43</v>
      </c>
      <c r="F38" s="19" t="n">
        <f aca="false">'SALES Raw'!E2044*$H$4</f>
        <v>0</v>
      </c>
      <c r="G38" s="19" t="n">
        <f aca="false">'SALES Raw'!F2044*$H$4</f>
        <v>0</v>
      </c>
      <c r="H38" s="18" t="str">
        <f aca="false">'SALES Raw'!A2044</f>
        <v>112 - Kupat Holim Clalit</v>
      </c>
    </row>
    <row r="39" customFormat="false" ht="15" hidden="false" customHeight="false" outlineLevel="0" collapsed="false">
      <c r="A39" s="18" t="str">
        <f aca="false">'SALES Raw'!G2038</f>
        <v/>
      </c>
      <c r="B39" s="18" t="str">
        <f aca="false">'SALES Raw'!B2038</f>
        <v>99 General</v>
      </c>
      <c r="C39" s="18" t="str">
        <f aca="false">'SALES Raw'!H2038</f>
        <v>99 General</v>
      </c>
      <c r="D39" s="19" t="n">
        <f aca="false">'SALES Raw'!C2038</f>
        <v>0</v>
      </c>
      <c r="E39" s="19" t="n">
        <f aca="false">'SALES Raw'!D2038</f>
        <v>0</v>
      </c>
      <c r="F39" s="19" t="n">
        <f aca="false">'SALES Raw'!E2038*$H$4</f>
        <v>-2.52631578947368</v>
      </c>
      <c r="G39" s="19" t="n">
        <f aca="false">'SALES Raw'!F2038*$H$4</f>
        <v>-1485.47368421053</v>
      </c>
      <c r="H39" s="18" t="str">
        <f aca="false">'SALES Raw'!A2038</f>
        <v>112 - Kupat Holim Clalit</v>
      </c>
    </row>
  </sheetData>
  <mergeCells count="2">
    <mergeCell ref="A3:H3"/>
    <mergeCell ref="A4:F4"/>
  </mergeCells>
  <conditionalFormatting sqref="A7:H39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0"/>
    <col collapsed="false" customWidth="true" hidden="false" outlineLevel="0" max="9" min="9" style="1" width="18"/>
  </cols>
  <sheetData>
    <row r="1" customFormat="false" ht="16.15" hidden="false" customHeight="false" outlineLevel="0" collapsed="false">
      <c r="A1" s="13" t="s">
        <v>41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20" t="s">
        <v>42</v>
      </c>
      <c r="B3" s="20"/>
      <c r="C3" s="20"/>
      <c r="D3" s="20"/>
      <c r="E3" s="20"/>
      <c r="F3" s="20"/>
      <c r="G3" s="20"/>
      <c r="H3" s="20"/>
      <c r="I3" s="20"/>
    </row>
    <row r="5" customFormat="false" ht="26.85" hidden="false" customHeight="false" outlineLevel="0" collapsed="false">
      <c r="A5" s="17" t="s">
        <v>43</v>
      </c>
      <c r="B5" s="17" t="s">
        <v>44</v>
      </c>
      <c r="C5" s="17" t="s">
        <v>45</v>
      </c>
      <c r="D5" s="17" t="s">
        <v>46</v>
      </c>
      <c r="E5" s="17" t="s">
        <v>47</v>
      </c>
      <c r="F5" s="17" t="s">
        <v>48</v>
      </c>
      <c r="G5" s="17" t="s">
        <v>31</v>
      </c>
      <c r="H5" s="17" t="s">
        <v>49</v>
      </c>
      <c r="I5" s="17" t="s">
        <v>50</v>
      </c>
    </row>
    <row r="6" customFormat="false" ht="15" hidden="false" customHeight="false" outlineLevel="0" collapsed="false">
      <c r="A6" s="8" t="s">
        <v>51</v>
      </c>
      <c r="B6" s="8" t="s">
        <v>52</v>
      </c>
      <c r="C6" s="19" t="n">
        <v>2</v>
      </c>
      <c r="D6" s="19" t="n">
        <v>302.46</v>
      </c>
      <c r="E6" s="19" t="n">
        <v>0</v>
      </c>
      <c r="F6" s="19" t="n">
        <v>0</v>
      </c>
      <c r="G6" s="8" t="n">
        <f aca="false">IFERROR(INDEX('TRANS'!$B:$B,MATCH($B6,'TRANS'!$A:$A,0)),IFERROR(INDEX('TRANS'!$B:$B,MATCH(TRIM(SUBSTITUTE($B6,CHAR(160)," ")),'TRANS'!$D:$D,0)),IFERROR(INDEX('Catalog'!$A:$A,MATCH($B6,'Catalog'!$B:$B,0)),IFERROR(INDEX('Catalog'!$A:$A,MATCH(TRIM(SUBSTITUTE($B6,CHAR(160)," ")),'Catalog'!$C:$C,0)),""))))</f>
        <v>4413127</v>
      </c>
      <c r="H6" s="8" t="str">
        <f aca="false">IFERROR(INDEX('TRANS'!$C:$C,MATCH($B6,'TRANS'!$A:$A,0)),IFERROR(INDEX('Catalog'!$B:$B,MATCH($G6,'Catalog'!$A:$A,0)),$B6))</f>
        <v>75 Lמיישר כתף יציב יישור גב צר</v>
      </c>
      <c r="I6" s="8" t="str">
        <f aca="false">IF($G6="","Unmatched","Matched")</f>
        <v>Matched</v>
      </c>
    </row>
    <row r="7" customFormat="false" ht="15" hidden="false" customHeight="false" outlineLevel="0" collapsed="false">
      <c r="A7" s="8" t="s">
        <v>51</v>
      </c>
      <c r="B7" s="8" t="s">
        <v>53</v>
      </c>
      <c r="C7" s="19" t="n">
        <v>2</v>
      </c>
      <c r="D7" s="19" t="n">
        <v>302.46</v>
      </c>
      <c r="E7" s="19" t="n">
        <v>0</v>
      </c>
      <c r="F7" s="19" t="n">
        <v>0</v>
      </c>
      <c r="G7" s="8" t="n">
        <f aca="false">IFERROR(INDEX('TRANS'!$B:$B,MATCH($B7,'TRANS'!$A:$A,0)),IFERROR(INDEX('TRANS'!$B:$B,MATCH(TRIM(SUBSTITUTE($B7,CHAR(160)," ")),'TRANS'!$D:$D,0)),IFERROR(INDEX('Catalog'!$A:$A,MATCH($B7,'Catalog'!$B:$B,0)),IFERROR(INDEX('Catalog'!$A:$A,MATCH(TRIM(SUBSTITUTE($B7,CHAR(160)," ")),'Catalog'!$C:$C,0)),""))))</f>
        <v>4413129</v>
      </c>
      <c r="H7" s="8" t="str">
        <f aca="false">IFERROR(INDEX('TRANS'!$C:$C,MATCH($B7,'TRANS'!$A:$A,0)),IFERROR(INDEX('Catalog'!$B:$B,MATCH($G7,'Catalog'!$A:$A,0)),$B7))</f>
        <v>75 XLמיישר כתף יציב יישור ג.צר</v>
      </c>
      <c r="I7" s="8" t="str">
        <f aca="false">IF($G7="","Unmatched","Matched")</f>
        <v>Matched</v>
      </c>
    </row>
    <row r="8" customFormat="false" ht="15" hidden="false" customHeight="false" outlineLevel="0" collapsed="false">
      <c r="A8" s="8" t="s">
        <v>51</v>
      </c>
      <c r="B8" s="8" t="s">
        <v>54</v>
      </c>
      <c r="C8" s="19" t="n">
        <v>69</v>
      </c>
      <c r="D8" s="19" t="n">
        <v>5398.3</v>
      </c>
      <c r="E8" s="19" t="n">
        <v>31</v>
      </c>
      <c r="F8" s="19" t="n">
        <v>2358.14</v>
      </c>
      <c r="G8" s="8" t="n">
        <f aca="false">IFERROR(INDEX('TRANS'!$B:$B,MATCH($B8,'TRANS'!$A:$A,0)),IFERROR(INDEX('TRANS'!$B:$B,MATCH(TRIM(SUBSTITUTE($B8,CHAR(160)," ")),'TRANS'!$D:$D,0)),IFERROR(INDEX('Catalog'!$A:$A,MATCH($B8,'Catalog'!$B:$B,0)),IFERROR(INDEX('Catalog'!$A:$A,MATCH(TRIM(SUBSTITUTE($B8,CHAR(160)," ")),'Catalog'!$C:$C,0)),""))))</f>
        <v>4413453</v>
      </c>
      <c r="H8" s="8" t="str">
        <f aca="false">IFERROR(INDEX('TRANS'!$C:$C,MATCH($B8,'TRANS'!$A:$A,0)),IFERROR(INDEX('Catalog'!$B:$B,MATCH($G8,'Catalog'!$A:$A,0)),$B8))</f>
        <v>AC75 מישר כתפיים אקטיב</v>
      </c>
      <c r="I8" s="8" t="str">
        <f aca="false">IF($G8="","Unmatched","Matched")</f>
        <v>Matched</v>
      </c>
    </row>
    <row r="9" customFormat="false" ht="15" hidden="false" customHeight="false" outlineLevel="0" collapsed="false">
      <c r="A9" s="8" t="s">
        <v>51</v>
      </c>
      <c r="B9" s="8" t="s">
        <v>55</v>
      </c>
      <c r="C9" s="19" t="n">
        <v>1</v>
      </c>
      <c r="D9" s="19" t="n">
        <v>94.5</v>
      </c>
      <c r="E9" s="19" t="n">
        <v>0</v>
      </c>
      <c r="F9" s="19" t="n">
        <v>0</v>
      </c>
      <c r="G9" s="8" t="n">
        <f aca="false">IFERROR(INDEX('TRANS'!$B:$B,MATCH($B9,'TRANS'!$A:$A,0)),IFERROR(INDEX('TRANS'!$B:$B,MATCH(TRIM(SUBSTITUTE($B9,CHAR(160)," ")),'TRANS'!$D:$D,0)),IFERROR(INDEX('Catalog'!$A:$A,MATCH($B9,'Catalog'!$B:$B,0)),IFERROR(INDEX('Catalog'!$A:$A,MATCH(TRIM(SUBSTITUTE($B9,CHAR(160)," ")),'Catalog'!$C:$C,0)),""))))</f>
        <v>4408093</v>
      </c>
      <c r="H9" s="8" t="str">
        <f aca="false">IFERROR(INDEX('TRANS'!$C:$C,MATCH($B9,'TRANS'!$A:$A,0)),IFERROR(INDEX('Catalog'!$B:$B,MATCH($G9,'Catalog'!$A:$A,0)),$B9))</f>
        <v>T11C XXL חגורת גב פוג'יאמה</v>
      </c>
      <c r="I9" s="8" t="str">
        <f aca="false">IF($G9="","Unmatched","Matched")</f>
        <v>Matched</v>
      </c>
    </row>
    <row r="10" customFormat="false" ht="15" hidden="false" customHeight="false" outlineLevel="0" collapsed="false">
      <c r="A10" s="8" t="s">
        <v>51</v>
      </c>
      <c r="B10" s="8" t="s">
        <v>56</v>
      </c>
      <c r="C10" s="19" t="n">
        <v>12</v>
      </c>
      <c r="D10" s="19" t="n">
        <v>1079.57</v>
      </c>
      <c r="E10" s="19" t="n">
        <v>4</v>
      </c>
      <c r="F10" s="19" t="n">
        <v>412.29</v>
      </c>
      <c r="G10" s="8" t="n">
        <f aca="false">IFERROR(INDEX('TRANS'!$B:$B,MATCH($B10,'TRANS'!$A:$A,0)),IFERROR(INDEX('TRANS'!$B:$B,MATCH(TRIM(SUBSTITUTE($B10,CHAR(160)," ")),'TRANS'!$D:$D,0)),IFERROR(INDEX('Catalog'!$A:$A,MATCH($B10,'Catalog'!$B:$B,0)),IFERROR(INDEX('Catalog'!$A:$A,MATCH(TRIM(SUBSTITUTE($B10,CHAR(160)," ")),'Catalog'!$C:$C,0)),""))))</f>
        <v>4413328</v>
      </c>
      <c r="H10" s="8" t="str">
        <f aca="false">IFERROR(INDEX('TRANS'!$C:$C,MATCH($B10,'TRANS'!$A:$A,0)),IFERROR(INDEX('Catalog'!$B:$B,MATCH($G10,'Catalog'!$A:$A,0)),$B10))</f>
        <v>AC43D מגן ברך + צירים</v>
      </c>
      <c r="I10" s="8" t="str">
        <f aca="false">IF($G10="","Unmatched","Matched")</f>
        <v>Matched</v>
      </c>
    </row>
    <row r="11" customFormat="false" ht="15" hidden="false" customHeight="false" outlineLevel="0" collapsed="false">
      <c r="A11" s="8" t="s">
        <v>51</v>
      </c>
      <c r="B11" s="8" t="s">
        <v>57</v>
      </c>
      <c r="C11" s="19" t="n">
        <v>33</v>
      </c>
      <c r="D11" s="19" t="n">
        <v>983.03</v>
      </c>
      <c r="E11" s="19" t="n">
        <v>9</v>
      </c>
      <c r="F11" s="19" t="n">
        <v>272</v>
      </c>
      <c r="G11" s="8" t="str">
        <f aca="false">IFERROR(INDEX('TRANS'!$B:$B,MATCH($B11,'TRANS'!$A:$A,0)),IFERROR(INDEX('TRANS'!$B:$B,MATCH(TRIM(SUBSTITUTE($B11,CHAR(160)," ")),'TRANS'!$D:$D,0)),IFERROR(INDEX('Catalog'!$A:$A,MATCH($B11,'Catalog'!$B:$B,0)),IFERROR(INDEX('Catalog'!$A:$A,MATCH(TRIM(SUBSTITUTE($B11,CHAR(160)," ")),'Catalog'!$C:$C,0)),""))))</f>
        <v/>
      </c>
      <c r="H11" s="8" t="str">
        <f aca="false">IFERROR(INDEX('TRANS'!$C:$C,MATCH($B11,'TRANS'!$A:$A,0)),IFERROR(INDEX('Catalog'!$B:$B,MATCH($G11,'Catalog'!$A:$A,0)),$B11))</f>
        <v>M93</v>
      </c>
      <c r="I11" s="8" t="str">
        <f aca="false">IF($G11="","Unmatched","Matched")</f>
        <v>Unmatched</v>
      </c>
    </row>
    <row r="12" customFormat="false" ht="15" hidden="false" customHeight="false" outlineLevel="0" collapsed="false">
      <c r="A12" s="8" t="s">
        <v>51</v>
      </c>
      <c r="B12" s="8" t="s">
        <v>58</v>
      </c>
      <c r="C12" s="19" t="n">
        <v>2</v>
      </c>
      <c r="D12" s="19" t="n">
        <v>211.72</v>
      </c>
      <c r="E12" s="19" t="n">
        <v>5</v>
      </c>
      <c r="F12" s="19" t="n">
        <v>538.82</v>
      </c>
      <c r="G12" s="8" t="str">
        <f aca="false">IFERROR(INDEX('TRANS'!$B:$B,MATCH($B12,'TRANS'!$A:$A,0)),IFERROR(INDEX('TRANS'!$B:$B,MATCH(TRIM(SUBSTITUTE($B12,CHAR(160)," ")),'TRANS'!$D:$D,0)),IFERROR(INDEX('Catalog'!$A:$A,MATCH($B12,'Catalog'!$B:$B,0)),IFERROR(INDEX('Catalog'!$A:$A,MATCH(TRIM(SUBSTITUTE($B12,CHAR(160)," ")),'Catalog'!$C:$C,0)),""))))</f>
        <v/>
      </c>
      <c r="H12" s="8" t="str">
        <f aca="false">IFERROR(INDEX('TRANS'!$C:$C,MATCH($B12,'TRANS'!$A:$A,0)),IFERROR(INDEX('Catalog'!$B:$B,MATCH($G12,'Catalog'!$A:$A,0)),$B12))</f>
        <v>T39 XL</v>
      </c>
      <c r="I12" s="8" t="str">
        <f aca="false">IF($G12="","Unmatched","Matched")</f>
        <v>Unmatched</v>
      </c>
    </row>
    <row r="13" customFormat="false" ht="15" hidden="false" customHeight="false" outlineLevel="0" collapsed="false">
      <c r="A13" s="8" t="s">
        <v>51</v>
      </c>
      <c r="B13" s="8" t="s">
        <v>59</v>
      </c>
      <c r="C13" s="19" t="n">
        <v>1</v>
      </c>
      <c r="D13" s="19" t="n">
        <v>140.57</v>
      </c>
      <c r="E13" s="19" t="n">
        <v>0</v>
      </c>
      <c r="F13" s="19" t="n">
        <v>0</v>
      </c>
      <c r="G13" s="8" t="str">
        <f aca="false">IFERROR(INDEX('TRANS'!$B:$B,MATCH($B13,'TRANS'!$A:$A,0)),IFERROR(INDEX('TRANS'!$B:$B,MATCH(TRIM(SUBSTITUTE($B13,CHAR(160)," ")),'TRANS'!$D:$D,0)),IFERROR(INDEX('Catalog'!$A:$A,MATCH($B13,'Catalog'!$B:$B,0)),IFERROR(INDEX('Catalog'!$A:$A,MATCH(TRIM(SUBSTITUTE($B13,CHAR(160)," ")),'Catalog'!$C:$C,0)),""))))</f>
        <v/>
      </c>
      <c r="H13" s="8" t="str">
        <f aca="false">IFERROR(INDEX('TRANS'!$C:$C,MATCH($B13,'TRANS'!$A:$A,0)),IFERROR(INDEX('Catalog'!$B:$B,MATCH($G13,'Catalog'!$A:$A,0)),$B13))</f>
        <v>06U M</v>
      </c>
      <c r="I13" s="8" t="str">
        <f aca="false">IF($G13="","Unmatched","Matched")</f>
        <v>Unmatched</v>
      </c>
    </row>
    <row r="14" customFormat="false" ht="15" hidden="false" customHeight="false" outlineLevel="0" collapsed="false">
      <c r="A14" s="8" t="s">
        <v>51</v>
      </c>
      <c r="B14" s="8" t="s">
        <v>60</v>
      </c>
      <c r="C14" s="19" t="n">
        <v>9</v>
      </c>
      <c r="D14" s="19" t="n">
        <v>1045.57</v>
      </c>
      <c r="E14" s="19" t="n">
        <v>18</v>
      </c>
      <c r="F14" s="19" t="n">
        <v>2567.47</v>
      </c>
      <c r="G14" s="8" t="n">
        <f aca="false">IFERROR(INDEX('TRANS'!$B:$B,MATCH($B14,'TRANS'!$A:$A,0)),IFERROR(INDEX('TRANS'!$B:$B,MATCH(TRIM(SUBSTITUTE($B14,CHAR(160)," ")),'TRANS'!$D:$D,0)),IFERROR(INDEX('Catalog'!$A:$A,MATCH($B14,'Catalog'!$B:$B,0)),IFERROR(INDEX('Catalog'!$A:$A,MATCH(TRIM(SUBSTITUTE($B14,CHAR(160)," ")),'Catalog'!$C:$C,0)),""))))</f>
        <v>4408192</v>
      </c>
      <c r="H14" s="8" t="str">
        <f aca="false">IFERROR(INDEX('TRANS'!$C:$C,MATCH($B14,'TRANS'!$A:$A,0)),IFERROR(INDEX('Catalog'!$B:$B,MATCH($G14,'Catalog'!$A:$A,0)),$B14))</f>
        <v>078 L חגורת גב +סגירה</v>
      </c>
      <c r="I14" s="8" t="str">
        <f aca="false">IF($G14="","Unmatched","Matched")</f>
        <v>Matched</v>
      </c>
    </row>
    <row r="15" customFormat="false" ht="15" hidden="false" customHeight="false" outlineLevel="0" collapsed="false">
      <c r="A15" s="8" t="s">
        <v>51</v>
      </c>
      <c r="B15" s="8" t="s">
        <v>61</v>
      </c>
      <c r="C15" s="19" t="n">
        <v>6</v>
      </c>
      <c r="D15" s="19" t="n">
        <v>645.81</v>
      </c>
      <c r="E15" s="19" t="n">
        <v>16</v>
      </c>
      <c r="F15" s="19" t="n">
        <v>2407.69</v>
      </c>
      <c r="G15" s="8" t="n">
        <f aca="false">IFERROR(INDEX('TRANS'!$B:$B,MATCH($B15,'TRANS'!$A:$A,0)),IFERROR(INDEX('TRANS'!$B:$B,MATCH(TRIM(SUBSTITUTE($B15,CHAR(160)," ")),'TRANS'!$D:$D,0)),IFERROR(INDEX('Catalog'!$A:$A,MATCH($B15,'Catalog'!$B:$B,0)),IFERROR(INDEX('Catalog'!$A:$A,MATCH(TRIM(SUBSTITUTE($B15,CHAR(160)," ")),'Catalog'!$C:$C,0)),""))))</f>
        <v>4408218</v>
      </c>
      <c r="H15" s="8" t="str">
        <f aca="false">IFERROR(INDEX('TRANS'!$C:$C,MATCH($B15,'TRANS'!$A:$A,0)),IFERROR(INDEX('Catalog'!$B:$B,MATCH($G15,'Catalog'!$A:$A,0)),$B15))</f>
        <v>078XL חגורת גב +סגירה כפולה</v>
      </c>
      <c r="I15" s="8" t="str">
        <f aca="false">IF($G15="","Unmatched","Matched")</f>
        <v>Matched</v>
      </c>
    </row>
    <row r="16" customFormat="false" ht="15" hidden="false" customHeight="false" outlineLevel="0" collapsed="false">
      <c r="A16" s="8" t="s">
        <v>51</v>
      </c>
      <c r="B16" s="8" t="s">
        <v>62</v>
      </c>
      <c r="C16" s="19" t="n">
        <v>2</v>
      </c>
      <c r="D16" s="19" t="n">
        <v>234.26</v>
      </c>
      <c r="E16" s="19" t="n">
        <v>4</v>
      </c>
      <c r="F16" s="19" t="n">
        <v>351.41</v>
      </c>
      <c r="G16" s="8" t="n">
        <f aca="false">IFERROR(INDEX('TRANS'!$B:$B,MATCH($B16,'TRANS'!$A:$A,0)),IFERROR(INDEX('TRANS'!$B:$B,MATCH(TRIM(SUBSTITUTE($B16,CHAR(160)," ")),'TRANS'!$D:$D,0)),IFERROR(INDEX('Catalog'!$A:$A,MATCH($B16,'Catalog'!$B:$B,0)),IFERROR(INDEX('Catalog'!$A:$A,MATCH(TRIM(SUBSTITUTE($B16,CHAR(160)," ")),'Catalog'!$C:$C,0)),""))))</f>
        <v>4408220</v>
      </c>
      <c r="H16" s="8" t="str">
        <f aca="false">IFERROR(INDEX('TRANS'!$C:$C,MATCH($B16,'TRANS'!$A:$A,0)),IFERROR(INDEX('Catalog'!$B:$B,MATCH($G16,'Catalog'!$A:$A,0)),$B16))</f>
        <v>078G-M חגורת גב אפורה</v>
      </c>
      <c r="I16" s="8" t="str">
        <f aca="false">IF($G16="","Unmatched","Matched")</f>
        <v>Matched</v>
      </c>
    </row>
    <row r="17" customFormat="false" ht="15" hidden="false" customHeight="false" outlineLevel="0" collapsed="false">
      <c r="A17" s="8" t="s">
        <v>51</v>
      </c>
      <c r="B17" s="8" t="s">
        <v>63</v>
      </c>
      <c r="C17" s="19" t="n">
        <v>0</v>
      </c>
      <c r="D17" s="19" t="n">
        <v>0</v>
      </c>
      <c r="E17" s="19" t="n">
        <v>2</v>
      </c>
      <c r="F17" s="19" t="n">
        <v>217.41</v>
      </c>
      <c r="G17" s="8" t="str">
        <f aca="false">IFERROR(INDEX('TRANS'!$B:$B,MATCH($B17,'TRANS'!$A:$A,0)),IFERROR(INDEX('TRANS'!$B:$B,MATCH(TRIM(SUBSTITUTE($B17,CHAR(160)," ")),'TRANS'!$D:$D,0)),IFERROR(INDEX('Catalog'!$A:$A,MATCH($B17,'Catalog'!$B:$B,0)),IFERROR(INDEX('Catalog'!$A:$A,MATCH(TRIM(SUBSTITUTE($B17,CHAR(160)," ")),'Catalog'!$C:$C,0)),""))))</f>
        <v/>
      </c>
      <c r="H17" s="8" t="str">
        <f aca="false">IFERROR(INDEX('TRANS'!$C:$C,MATCH($B17,'TRANS'!$A:$A,0)),IFERROR(INDEX('Catalog'!$B:$B,MATCH($G17,'Catalog'!$A:$A,0)),$B17))</f>
        <v>079 M</v>
      </c>
      <c r="I17" s="8" t="str">
        <f aca="false">IF($G17="","Unmatched","Matched")</f>
        <v>Unmatched</v>
      </c>
    </row>
    <row r="18" customFormat="false" ht="15" hidden="false" customHeight="false" outlineLevel="0" collapsed="false">
      <c r="A18" s="8" t="s">
        <v>51</v>
      </c>
      <c r="B18" s="8" t="s">
        <v>64</v>
      </c>
      <c r="C18" s="19" t="n">
        <v>1</v>
      </c>
      <c r="D18" s="19" t="n">
        <v>231.97</v>
      </c>
      <c r="E18" s="19" t="n">
        <v>0</v>
      </c>
      <c r="F18" s="19" t="n">
        <v>0</v>
      </c>
      <c r="G18" s="8" t="str">
        <f aca="false">IFERROR(INDEX('TRANS'!$B:$B,MATCH($B18,'TRANS'!$A:$A,0)),IFERROR(INDEX('TRANS'!$B:$B,MATCH(TRIM(SUBSTITUTE($B18,CHAR(160)," ")),'TRANS'!$D:$D,0)),IFERROR(INDEX('Catalog'!$A:$A,MATCH($B18,'Catalog'!$B:$B,0)),IFERROR(INDEX('Catalog'!$A:$A,MATCH(TRIM(SUBSTITUTE($B18,CHAR(160)," ")),'Catalog'!$C:$C,0)),""))))</f>
        <v/>
      </c>
      <c r="H18" s="8" t="str">
        <f aca="false">IFERROR(INDEX('TRANS'!$C:$C,MATCH($B18,'TRANS'!$A:$A,0)),IFERROR(INDEX('Catalog'!$B:$B,MATCH($G18,'Catalog'!$A:$A,0)),$B18))</f>
        <v>07UC-S-M</v>
      </c>
      <c r="I18" s="8" t="str">
        <f aca="false">IF($G18="","Unmatched","Matched")</f>
        <v>Unmatched</v>
      </c>
    </row>
    <row r="19" customFormat="false" ht="15" hidden="false" customHeight="false" outlineLevel="0" collapsed="false">
      <c r="A19" s="8" t="s">
        <v>51</v>
      </c>
      <c r="B19" s="8" t="s">
        <v>65</v>
      </c>
      <c r="C19" s="19" t="n">
        <v>1</v>
      </c>
      <c r="D19" s="19" t="n">
        <v>137.81</v>
      </c>
      <c r="E19" s="19" t="n">
        <v>0</v>
      </c>
      <c r="F19" s="19" t="n">
        <v>0</v>
      </c>
      <c r="G19" s="8" t="str">
        <f aca="false">IFERROR(INDEX('TRANS'!$B:$B,MATCH($B19,'TRANS'!$A:$A,0)),IFERROR(INDEX('TRANS'!$B:$B,MATCH(TRIM(SUBSTITUTE($B19,CHAR(160)," ")),'TRANS'!$D:$D,0)),IFERROR(INDEX('Catalog'!$A:$A,MATCH($B19,'Catalog'!$B:$B,0)),IFERROR(INDEX('Catalog'!$A:$A,MATCH(TRIM(SUBSTITUTE($B19,CHAR(160)," ")),'Catalog'!$C:$C,0)),""))))</f>
        <v/>
      </c>
      <c r="H19" s="8" t="str">
        <f aca="false">IFERROR(INDEX('TRANS'!$C:$C,MATCH($B19,'TRANS'!$A:$A,0)),IFERROR(INDEX('Catalog'!$B:$B,MATCH($G19,'Catalog'!$A:$A,0)),$B19))</f>
        <v>09-S-M</v>
      </c>
      <c r="I19" s="8" t="str">
        <f aca="false">IF($G19="","Unmatched","Matched")</f>
        <v>Unmatched</v>
      </c>
    </row>
    <row r="20" customFormat="false" ht="15" hidden="false" customHeight="false" outlineLevel="0" collapsed="false">
      <c r="A20" s="8" t="s">
        <v>51</v>
      </c>
      <c r="B20" s="8" t="s">
        <v>66</v>
      </c>
      <c r="C20" s="19" t="n">
        <v>0</v>
      </c>
      <c r="D20" s="19" t="n">
        <v>0</v>
      </c>
      <c r="E20" s="19" t="n">
        <v>1</v>
      </c>
      <c r="F20" s="19" t="n">
        <v>137.3</v>
      </c>
      <c r="G20" s="8" t="str">
        <f aca="false">IFERROR(INDEX('TRANS'!$B:$B,MATCH($B20,'TRANS'!$A:$A,0)),IFERROR(INDEX('TRANS'!$B:$B,MATCH(TRIM(SUBSTITUTE($B20,CHAR(160)," ")),'TRANS'!$D:$D,0)),IFERROR(INDEX('Catalog'!$A:$A,MATCH($B20,'Catalog'!$B:$B,0)),IFERROR(INDEX('Catalog'!$A:$A,MATCH(TRIM(SUBSTITUTE($B20,CHAR(160)," ")),'Catalog'!$C:$C,0)),""))))</f>
        <v/>
      </c>
      <c r="H20" s="8" t="str">
        <f aca="false">IFERROR(INDEX('TRANS'!$C:$C,MATCH($B20,'TRANS'!$A:$A,0)),IFERROR(INDEX('Catalog'!$B:$B,MATCH($G20,'Catalog'!$A:$A,0)),$B20))</f>
        <v>099-L-XL</v>
      </c>
      <c r="I20" s="8" t="str">
        <f aca="false">IF($G20="","Unmatched","Matched")</f>
        <v>Unmatched</v>
      </c>
    </row>
    <row r="21" customFormat="false" ht="15" hidden="false" customHeight="false" outlineLevel="0" collapsed="false">
      <c r="A21" s="8" t="s">
        <v>51</v>
      </c>
      <c r="B21" s="8" t="s">
        <v>67</v>
      </c>
      <c r="C21" s="19" t="n">
        <v>1</v>
      </c>
      <c r="D21" s="19" t="n">
        <v>137.29</v>
      </c>
      <c r="E21" s="19" t="n">
        <v>0</v>
      </c>
      <c r="F21" s="19" t="n">
        <v>0.01</v>
      </c>
      <c r="G21" s="8" t="str">
        <f aca="false">IFERROR(INDEX('TRANS'!$B:$B,MATCH($B21,'TRANS'!$A:$A,0)),IFERROR(INDEX('TRANS'!$B:$B,MATCH(TRIM(SUBSTITUTE($B21,CHAR(160)," ")),'TRANS'!$D:$D,0)),IFERROR(INDEX('Catalog'!$A:$A,MATCH($B21,'Catalog'!$B:$B,0)),IFERROR(INDEX('Catalog'!$A:$A,MATCH(TRIM(SUBSTITUTE($B21,CHAR(160)," ")),'Catalog'!$C:$C,0)),""))))</f>
        <v/>
      </c>
      <c r="H21" s="8" t="str">
        <f aca="false">IFERROR(INDEX('TRANS'!$C:$C,MATCH($B21,'TRANS'!$A:$A,0)),IFERROR(INDEX('Catalog'!$B:$B,MATCH($G21,'Catalog'!$A:$A,0)),$B21))</f>
        <v>099-S-M</v>
      </c>
      <c r="I21" s="8" t="str">
        <f aca="false">IF($G21="","Unmatched","Matched")</f>
        <v>Unmatched</v>
      </c>
    </row>
    <row r="22" customFormat="false" ht="15" hidden="false" customHeight="false" outlineLevel="0" collapsed="false">
      <c r="A22" s="8" t="s">
        <v>51</v>
      </c>
      <c r="B22" s="8" t="s">
        <v>68</v>
      </c>
      <c r="C22" s="19" t="n">
        <v>11</v>
      </c>
      <c r="D22" s="19" t="n">
        <v>1454.63</v>
      </c>
      <c r="E22" s="19" t="n">
        <v>0</v>
      </c>
      <c r="F22" s="19" t="n">
        <v>0</v>
      </c>
      <c r="G22" s="8" t="n">
        <f aca="false">IFERROR(INDEX('TRANS'!$B:$B,MATCH($B22,'TRANS'!$A:$A,0)),IFERROR(INDEX('TRANS'!$B:$B,MATCH(TRIM(SUBSTITUTE($B22,CHAR(160)," ")),'TRANS'!$D:$D,0)),IFERROR(INDEX('Catalog'!$A:$A,MATCH($B22,'Catalog'!$B:$B,0)),IFERROR(INDEX('Catalog'!$A:$A,MATCH(TRIM(SUBSTITUTE($B22,CHAR(160)," ")),'Catalog'!$C:$C,0)),""))))</f>
        <v>4408027</v>
      </c>
      <c r="H22" s="8" t="str">
        <f aca="false">IFERROR(INDEX('TRANS'!$C:$C,MATCH($B22,'TRANS'!$A:$A,0)),IFERROR(INDEX('Catalog'!$B:$B,MATCH($G22,'Catalog'!$A:$A,0)),$B22))</f>
        <v>10 L """"חגורת גב """"לומבו</v>
      </c>
      <c r="I22" s="8" t="str">
        <f aca="false">IF($G22="","Unmatched","Matched")</f>
        <v>Matched</v>
      </c>
    </row>
    <row r="23" customFormat="false" ht="15" hidden="false" customHeight="false" outlineLevel="0" collapsed="false">
      <c r="A23" s="8" t="s">
        <v>51</v>
      </c>
      <c r="B23" s="8" t="s">
        <v>69</v>
      </c>
      <c r="C23" s="19" t="n">
        <v>1</v>
      </c>
      <c r="D23" s="19" t="n">
        <v>151.23</v>
      </c>
      <c r="E23" s="19" t="n">
        <v>0</v>
      </c>
      <c r="F23" s="19" t="n">
        <v>0</v>
      </c>
      <c r="G23" s="8" t="n">
        <f aca="false">IFERROR(INDEX('TRANS'!$B:$B,MATCH($B23,'TRANS'!$A:$A,0)),IFERROR(INDEX('TRANS'!$B:$B,MATCH(TRIM(SUBSTITUTE($B23,CHAR(160)," ")),'TRANS'!$D:$D,0)),IFERROR(INDEX('Catalog'!$A:$A,MATCH($B23,'Catalog'!$B:$B,0)),IFERROR(INDEX('Catalog'!$A:$A,MATCH(TRIM(SUBSTITUTE($B23,CHAR(160)," ")),'Catalog'!$C:$C,0)),""))))</f>
        <v>4408028</v>
      </c>
      <c r="H23" s="8" t="str">
        <f aca="false">IFERROR(INDEX('TRANS'!$C:$C,MATCH($B23,'TRANS'!$A:$A,0)),IFERROR(INDEX('Catalog'!$B:$B,MATCH($G23,'Catalog'!$A:$A,0)),$B23))</f>
        <v>10 M """"חגורת גב """"לומבו</v>
      </c>
      <c r="I23" s="8" t="str">
        <f aca="false">IF($G23="","Unmatched","Matched")</f>
        <v>Matched</v>
      </c>
    </row>
    <row r="24" customFormat="false" ht="15" hidden="false" customHeight="false" outlineLevel="0" collapsed="false">
      <c r="A24" s="8" t="s">
        <v>51</v>
      </c>
      <c r="B24" s="8" t="s">
        <v>70</v>
      </c>
      <c r="C24" s="19" t="n">
        <v>12</v>
      </c>
      <c r="D24" s="19" t="n">
        <v>1602.46</v>
      </c>
      <c r="E24" s="19" t="n">
        <v>0</v>
      </c>
      <c r="F24" s="19" t="n">
        <v>0</v>
      </c>
      <c r="G24" s="8" t="n">
        <f aca="false">IFERROR(INDEX('TRANS'!$B:$B,MATCH($B24,'TRANS'!$A:$A,0)),IFERROR(INDEX('TRANS'!$B:$B,MATCH(TRIM(SUBSTITUTE($B24,CHAR(160)," ")),'TRANS'!$D:$D,0)),IFERROR(INDEX('Catalog'!$A:$A,MATCH($B24,'Catalog'!$B:$B,0)),IFERROR(INDEX('Catalog'!$A:$A,MATCH(TRIM(SUBSTITUTE($B24,CHAR(160)," ")),'Catalog'!$C:$C,0)),""))))</f>
        <v>4408029</v>
      </c>
      <c r="H24" s="8" t="str">
        <f aca="false">IFERROR(INDEX('TRANS'!$C:$C,MATCH($B24,'TRANS'!$A:$A,0)),IFERROR(INDEX('Catalog'!$B:$B,MATCH($G24,'Catalog'!$A:$A,0)),$B24))</f>
        <v>10 XL """"חגורת גב """"לומבו</v>
      </c>
      <c r="I24" s="8" t="str">
        <f aca="false">IF($G24="","Unmatched","Matched")</f>
        <v>Matched</v>
      </c>
    </row>
    <row r="25" customFormat="false" ht="15" hidden="false" customHeight="false" outlineLevel="0" collapsed="false">
      <c r="A25" s="8" t="s">
        <v>51</v>
      </c>
      <c r="B25" s="8" t="s">
        <v>71</v>
      </c>
      <c r="C25" s="19" t="n">
        <v>1</v>
      </c>
      <c r="D25" s="19" t="n">
        <v>103.96</v>
      </c>
      <c r="E25" s="19" t="n">
        <v>0</v>
      </c>
      <c r="F25" s="19" t="n">
        <v>0</v>
      </c>
      <c r="G25" s="8" t="n">
        <f aca="false">IFERROR(INDEX('TRANS'!$B:$B,MATCH($B25,'TRANS'!$A:$A,0)),IFERROR(INDEX('TRANS'!$B:$B,MATCH(TRIM(SUBSTITUTE($B25,CHAR(160)," ")),'TRANS'!$D:$D,0)),IFERROR(INDEX('Catalog'!$A:$A,MATCH($B25,'Catalog'!$B:$B,0)),IFERROR(INDEX('Catalog'!$A:$A,MATCH(TRIM(SUBSTITUTE($B25,CHAR(160)," ")),'Catalog'!$C:$C,0)),""))))</f>
        <v>4408033</v>
      </c>
      <c r="H25" s="8" t="str">
        <f aca="false">IFERROR(INDEX('TRANS'!$C:$C,MATCH($B25,'TRANS'!$A:$A,0)),IFERROR(INDEX('Catalog'!$B:$B,MATCH($G25,'Catalog'!$A:$A,0)),$B25))</f>
        <v>11 M""""חגורת בטן""""אורירית</v>
      </c>
      <c r="I25" s="8" t="str">
        <f aca="false">IF($G25="","Unmatched","Matched")</f>
        <v>Matched</v>
      </c>
    </row>
    <row r="26" customFormat="false" ht="15" hidden="false" customHeight="false" outlineLevel="0" collapsed="false">
      <c r="A26" s="8" t="s">
        <v>51</v>
      </c>
      <c r="B26" s="8" t="s">
        <v>72</v>
      </c>
      <c r="C26" s="19" t="n">
        <v>0</v>
      </c>
      <c r="D26" s="19" t="n">
        <v>0</v>
      </c>
      <c r="E26" s="19" t="n">
        <v>1</v>
      </c>
      <c r="F26" s="19" t="n">
        <v>110.11</v>
      </c>
      <c r="G26" s="8" t="n">
        <f aca="false">IFERROR(INDEX('TRANS'!$B:$B,MATCH($B26,'TRANS'!$A:$A,0)),IFERROR(INDEX('TRANS'!$B:$B,MATCH(TRIM(SUBSTITUTE($B26,CHAR(160)," ")),'TRANS'!$D:$D,0)),IFERROR(INDEX('Catalog'!$A:$A,MATCH($B26,'Catalog'!$B:$B,0)),IFERROR(INDEX('Catalog'!$A:$A,MATCH(TRIM(SUBSTITUTE($B26,CHAR(160)," ")),'Catalog'!$C:$C,0)),""))))</f>
        <v>4408115</v>
      </c>
      <c r="H26" s="8" t="str">
        <f aca="false">IFERROR(INDEX('TRANS'!$C:$C,MATCH($B26,'TRANS'!$A:$A,0)),IFERROR(INDEX('Catalog'!$B:$B,MATCH($G26,'Catalog'!$A:$A,0)),$B26))</f>
        <v>11EU L ח.בטן לאחר ניתוח</v>
      </c>
      <c r="I26" s="8" t="str">
        <f aca="false">IF($G26="","Unmatched","Matched")</f>
        <v>Matched</v>
      </c>
    </row>
    <row r="27" customFormat="false" ht="15" hidden="false" customHeight="false" outlineLevel="0" collapsed="false">
      <c r="A27" s="8" t="s">
        <v>51</v>
      </c>
      <c r="B27" s="8" t="s">
        <v>73</v>
      </c>
      <c r="C27" s="19" t="n">
        <v>1</v>
      </c>
      <c r="D27" s="19" t="n">
        <v>110.15</v>
      </c>
      <c r="E27" s="19" t="n">
        <v>1</v>
      </c>
      <c r="F27" s="19" t="n">
        <v>85</v>
      </c>
      <c r="G27" s="8" t="n">
        <f aca="false">IFERROR(INDEX('TRANS'!$B:$B,MATCH($B27,'TRANS'!$A:$A,0)),IFERROR(INDEX('TRANS'!$B:$B,MATCH(TRIM(SUBSTITUTE($B27,CHAR(160)," ")),'TRANS'!$D:$D,0)),IFERROR(INDEX('Catalog'!$A:$A,MATCH($B27,'Catalog'!$B:$B,0)),IFERROR(INDEX('Catalog'!$A:$A,MATCH(TRIM(SUBSTITUTE($B27,CHAR(160)," ")),'Catalog'!$C:$C,0)),""))))</f>
        <v>4408114</v>
      </c>
      <c r="H27" s="8" t="str">
        <f aca="false">IFERROR(INDEX('TRANS'!$C:$C,MATCH($B27,'TRANS'!$A:$A,0)),IFERROR(INDEX('Catalog'!$B:$B,MATCH($G27,'Catalog'!$A:$A,0)),$B27))</f>
        <v>11EU M ח.בטן לאחר ניתוח</v>
      </c>
      <c r="I27" s="8" t="str">
        <f aca="false">IF($G27="","Unmatched","Matched")</f>
        <v>Matched</v>
      </c>
    </row>
    <row r="28" customFormat="false" ht="15" hidden="false" customHeight="false" outlineLevel="0" collapsed="false">
      <c r="A28" s="8" t="s">
        <v>51</v>
      </c>
      <c r="B28" s="8" t="s">
        <v>74</v>
      </c>
      <c r="C28" s="19" t="n">
        <v>0</v>
      </c>
      <c r="D28" s="19" t="n">
        <v>0</v>
      </c>
      <c r="E28" s="19" t="n">
        <v>1</v>
      </c>
      <c r="F28" s="19" t="n">
        <v>110.11</v>
      </c>
      <c r="G28" s="8" t="str">
        <f aca="false">IFERROR(INDEX('TRANS'!$B:$B,MATCH($B28,'TRANS'!$A:$A,0)),IFERROR(INDEX('TRANS'!$B:$B,MATCH(TRIM(SUBSTITUTE($B28,CHAR(160)," ")),'TRANS'!$D:$D,0)),IFERROR(INDEX('Catalog'!$A:$A,MATCH($B28,'Catalog'!$B:$B,0)),IFERROR(INDEX('Catalog'!$A:$A,MATCH(TRIM(SUBSTITUTE($B28,CHAR(160)," ")),'Catalog'!$C:$C,0)),""))))</f>
        <v/>
      </c>
      <c r="H28" s="8" t="str">
        <f aca="false">IFERROR(INDEX('TRANS'!$C:$C,MATCH($B28,'TRANS'!$A:$A,0)),IFERROR(INDEX('Catalog'!$B:$B,MATCH($G28,'Catalog'!$A:$A,0)),$B28))</f>
        <v>11EU S</v>
      </c>
      <c r="I28" s="8" t="str">
        <f aca="false">IF($G28="","Unmatched","Matched")</f>
        <v>Unmatched</v>
      </c>
    </row>
    <row r="29" customFormat="false" ht="15" hidden="false" customHeight="false" outlineLevel="0" collapsed="false">
      <c r="A29" s="8" t="s">
        <v>51</v>
      </c>
      <c r="B29" s="8" t="s">
        <v>75</v>
      </c>
      <c r="C29" s="19" t="n">
        <v>2</v>
      </c>
      <c r="D29" s="19" t="n">
        <v>376.88</v>
      </c>
      <c r="E29" s="19" t="n">
        <v>0</v>
      </c>
      <c r="F29" s="19" t="n">
        <v>0</v>
      </c>
      <c r="G29" s="8" t="n">
        <f aca="false">IFERROR(INDEX('TRANS'!$B:$B,MATCH($B29,'TRANS'!$A:$A,0)),IFERROR(INDEX('TRANS'!$B:$B,MATCH(TRIM(SUBSTITUTE($B29,CHAR(160)," ")),'TRANS'!$D:$D,0)),IFERROR(INDEX('Catalog'!$A:$A,MATCH($B29,'Catalog'!$B:$B,0)),IFERROR(INDEX('Catalog'!$A:$A,MATCH(TRIM(SUBSTITUTE($B29,CHAR(160)," ")),'Catalog'!$C:$C,0)),""))))</f>
        <v>4408263</v>
      </c>
      <c r="H29" s="8" t="str">
        <f aca="false">IFERROR(INDEX('TRANS'!$C:$C,MATCH($B29,'TRANS'!$A:$A,0)),IFERROR(INDEX('Catalog'!$B:$B,MATCH($G29,'Catalog'!$A:$A,0)),$B29))</f>
        <v>11STO XXL חגורה אחרי ניתוח</v>
      </c>
      <c r="I29" s="8" t="str">
        <f aca="false">IF($G29="","Unmatched","Matched")</f>
        <v>Matched</v>
      </c>
    </row>
    <row r="30" customFormat="false" ht="15" hidden="false" customHeight="false" outlineLevel="0" collapsed="false">
      <c r="A30" s="8" t="s">
        <v>51</v>
      </c>
      <c r="B30" s="8" t="s">
        <v>76</v>
      </c>
      <c r="C30" s="19" t="n">
        <v>1</v>
      </c>
      <c r="D30" s="19" t="n">
        <v>155.95</v>
      </c>
      <c r="E30" s="19" t="n">
        <v>1</v>
      </c>
      <c r="F30" s="19" t="n">
        <v>313.95</v>
      </c>
      <c r="G30" s="8" t="n">
        <f aca="false">IFERROR(INDEX('TRANS'!$B:$B,MATCH($B30,'TRANS'!$A:$A,0)),IFERROR(INDEX('TRANS'!$B:$B,MATCH(TRIM(SUBSTITUTE($B30,CHAR(160)," ")),'TRANS'!$D:$D,0)),IFERROR(INDEX('Catalog'!$A:$A,MATCH($B30,'Catalog'!$B:$B,0)),IFERROR(INDEX('Catalog'!$A:$A,MATCH(TRIM(SUBSTITUTE($B30,CHAR(160)," ")),'Catalog'!$C:$C,0)),""))))</f>
        <v>4408154</v>
      </c>
      <c r="H30" s="8" t="str">
        <f aca="false">IFERROR(INDEX('TRANS'!$C:$C,MATCH($B30,'TRANS'!$A:$A,0)),IFERROR(INDEX('Catalog'!$B:$B,MATCH($G30,'Catalog'!$A:$A,0)),$B30))</f>
        <v>11TO XXLחגורה למנותחי בית החזה</v>
      </c>
      <c r="I30" s="8" t="str">
        <f aca="false">IF($G30="","Unmatched","Matched")</f>
        <v>Matched</v>
      </c>
    </row>
    <row r="31" customFormat="false" ht="15" hidden="false" customHeight="false" outlineLevel="0" collapsed="false">
      <c r="A31" s="8" t="s">
        <v>51</v>
      </c>
      <c r="B31" s="8" t="s">
        <v>77</v>
      </c>
      <c r="C31" s="19" t="n">
        <v>1</v>
      </c>
      <c r="D31" s="19" t="n">
        <v>94.5</v>
      </c>
      <c r="E31" s="19" t="n">
        <v>0</v>
      </c>
      <c r="F31" s="19" t="n">
        <v>0</v>
      </c>
      <c r="G31" s="8" t="str">
        <f aca="false">IFERROR(INDEX('TRANS'!$B:$B,MATCH($B31,'TRANS'!$A:$A,0)),IFERROR(INDEX('TRANS'!$B:$B,MATCH(TRIM(SUBSTITUTE($B31,CHAR(160)," ")),'TRANS'!$D:$D,0)),IFERROR(INDEX('Catalog'!$A:$A,MATCH($B31,'Catalog'!$B:$B,0)),IFERROR(INDEX('Catalog'!$A:$A,MATCH(TRIM(SUBSTITUTE($B31,CHAR(160)," ")),'Catalog'!$C:$C,0)),""))))</f>
        <v/>
      </c>
      <c r="H31" s="8" t="str">
        <f aca="false">IFERROR(INDEX('TRANS'!$C:$C,MATCH($B31,'TRANS'!$A:$A,0)),IFERROR(INDEX('Catalog'!$B:$B,MATCH($G31,'Catalog'!$A:$A,0)),$B31))</f>
        <v>11UG M</v>
      </c>
      <c r="I31" s="8" t="str">
        <f aca="false">IF($G31="","Unmatched","Matched")</f>
        <v>Unmatched</v>
      </c>
    </row>
    <row r="32" customFormat="false" ht="15" hidden="false" customHeight="false" outlineLevel="0" collapsed="false">
      <c r="A32" s="8" t="s">
        <v>51</v>
      </c>
      <c r="B32" s="8" t="s">
        <v>78</v>
      </c>
      <c r="C32" s="19" t="n">
        <v>1</v>
      </c>
      <c r="D32" s="19" t="n">
        <v>103.07</v>
      </c>
      <c r="E32" s="19" t="n">
        <v>0</v>
      </c>
      <c r="F32" s="19" t="n">
        <v>0</v>
      </c>
      <c r="G32" s="8" t="str">
        <f aca="false">IFERROR(INDEX('TRANS'!$B:$B,MATCH($B32,'TRANS'!$A:$A,0)),IFERROR(INDEX('TRANS'!$B:$B,MATCH(TRIM(SUBSTITUTE($B32,CHAR(160)," ")),'TRANS'!$D:$D,0)),IFERROR(INDEX('Catalog'!$A:$A,MATCH($B32,'Catalog'!$B:$B,0)),IFERROR(INDEX('Catalog'!$A:$A,MATCH(TRIM(SUBSTITUTE($B32,CHAR(160)," ")),'Catalog'!$C:$C,0)),""))))</f>
        <v/>
      </c>
      <c r="H32" s="8" t="str">
        <f aca="false">IFERROR(INDEX('TRANS'!$C:$C,MATCH($B32,'TRANS'!$A:$A,0)),IFERROR(INDEX('Catalog'!$B:$B,MATCH($G32,'Catalog'!$A:$A,0)),$B32))</f>
        <v>11UG XL</v>
      </c>
      <c r="I32" s="8" t="str">
        <f aca="false">IF($G32="","Unmatched","Matched")</f>
        <v>Unmatched</v>
      </c>
    </row>
    <row r="33" customFormat="false" ht="15" hidden="false" customHeight="false" outlineLevel="0" collapsed="false">
      <c r="A33" s="8" t="s">
        <v>51</v>
      </c>
      <c r="B33" s="8" t="s">
        <v>79</v>
      </c>
      <c r="C33" s="19" t="n">
        <v>1</v>
      </c>
      <c r="D33" s="19" t="n">
        <v>94.5</v>
      </c>
      <c r="E33" s="19" t="n">
        <v>0</v>
      </c>
      <c r="F33" s="19" t="n">
        <v>0</v>
      </c>
      <c r="G33" s="8" t="str">
        <f aca="false">IFERROR(INDEX('TRANS'!$B:$B,MATCH($B33,'TRANS'!$A:$A,0)),IFERROR(INDEX('TRANS'!$B:$B,MATCH(TRIM(SUBSTITUTE($B33,CHAR(160)," ")),'TRANS'!$D:$D,0)),IFERROR(INDEX('Catalog'!$A:$A,MATCH($B33,'Catalog'!$B:$B,0)),IFERROR(INDEX('Catalog'!$A:$A,MATCH(TRIM(SUBSTITUTE($B33,CHAR(160)," ")),'Catalog'!$C:$C,0)),""))))</f>
        <v/>
      </c>
      <c r="H33" s="8" t="str">
        <f aca="false">IFERROR(INDEX('TRANS'!$C:$C,MATCH($B33,'TRANS'!$A:$A,0)),IFERROR(INDEX('Catalog'!$B:$B,MATCH($G33,'Catalog'!$A:$A,0)),$B33))</f>
        <v>11UG XXL</v>
      </c>
      <c r="I33" s="8" t="str">
        <f aca="false">IF($G33="","Unmatched","Matched")</f>
        <v>Unmatched</v>
      </c>
    </row>
    <row r="34" customFormat="false" ht="15" hidden="false" customHeight="false" outlineLevel="0" collapsed="false">
      <c r="A34" s="8" t="s">
        <v>51</v>
      </c>
      <c r="B34" s="8" t="s">
        <v>80</v>
      </c>
      <c r="C34" s="19" t="n">
        <v>1</v>
      </c>
      <c r="D34" s="19" t="n">
        <v>156.97</v>
      </c>
      <c r="E34" s="19" t="n">
        <v>1</v>
      </c>
      <c r="F34" s="19" t="n">
        <v>115</v>
      </c>
      <c r="G34" s="8" t="str">
        <f aca="false">IFERROR(INDEX('TRANS'!$B:$B,MATCH($B34,'TRANS'!$A:$A,0)),IFERROR(INDEX('TRANS'!$B:$B,MATCH(TRIM(SUBSTITUTE($B34,CHAR(160)," ")),'TRANS'!$D:$D,0)),IFERROR(INDEX('Catalog'!$A:$A,MATCH($B34,'Catalog'!$B:$B,0)),IFERROR(INDEX('Catalog'!$A:$A,MATCH(TRIM(SUBSTITUTE($B34,CHAR(160)," ")),'Catalog'!$C:$C,0)),""))))</f>
        <v/>
      </c>
      <c r="H34" s="8" t="str">
        <f aca="false">IFERROR(INDEX('TRANS'!$C:$C,MATCH($B34,'TRANS'!$A:$A,0)),IFERROR(INDEX('Catalog'!$B:$B,MATCH($G34,'Catalog'!$A:$A,0)),$B34))</f>
        <v>13 L</v>
      </c>
      <c r="I34" s="8" t="str">
        <f aca="false">IF($G34="","Unmatched","Matched")</f>
        <v>Unmatched</v>
      </c>
    </row>
    <row r="35" customFormat="false" ht="15" hidden="false" customHeight="false" outlineLevel="0" collapsed="false">
      <c r="A35" s="8" t="s">
        <v>51</v>
      </c>
      <c r="B35" s="8" t="s">
        <v>81</v>
      </c>
      <c r="C35" s="19" t="n">
        <v>0</v>
      </c>
      <c r="D35" s="19" t="n">
        <v>0</v>
      </c>
      <c r="E35" s="19" t="n">
        <v>2</v>
      </c>
      <c r="F35" s="19" t="n">
        <v>126.46</v>
      </c>
      <c r="G35" s="8" t="str">
        <f aca="false">IFERROR(INDEX('TRANS'!$B:$B,MATCH($B35,'TRANS'!$A:$A,0)),IFERROR(INDEX('TRANS'!$B:$B,MATCH(TRIM(SUBSTITUTE($B35,CHAR(160)," ")),'TRANS'!$D:$D,0)),IFERROR(INDEX('Catalog'!$A:$A,MATCH($B35,'Catalog'!$B:$B,0)),IFERROR(INDEX('Catalog'!$A:$A,MATCH(TRIM(SUBSTITUTE($B35,CHAR(160)," ")),'Catalog'!$C:$C,0)),""))))</f>
        <v/>
      </c>
      <c r="H35" s="8" t="str">
        <f aca="false">IFERROR(INDEX('TRANS'!$C:$C,MATCH($B35,'TRANS'!$A:$A,0)),IFERROR(INDEX('Catalog'!$B:$B,MATCH($G35,'Catalog'!$A:$A,0)),$B35))</f>
        <v>13B S</v>
      </c>
      <c r="I35" s="8" t="str">
        <f aca="false">IF($G35="","Unmatched","Matched")</f>
        <v>Unmatched</v>
      </c>
    </row>
    <row r="36" customFormat="false" ht="15" hidden="false" customHeight="false" outlineLevel="0" collapsed="false">
      <c r="A36" s="8" t="s">
        <v>51</v>
      </c>
      <c r="B36" s="8" t="s">
        <v>82</v>
      </c>
      <c r="C36" s="19" t="n">
        <v>3</v>
      </c>
      <c r="D36" s="19" t="n">
        <v>692.4</v>
      </c>
      <c r="E36" s="19" t="n">
        <v>1</v>
      </c>
      <c r="F36" s="19" t="n">
        <v>0.01</v>
      </c>
      <c r="G36" s="8" t="n">
        <f aca="false">IFERROR(INDEX('TRANS'!$B:$B,MATCH($B36,'TRANS'!$A:$A,0)),IFERROR(INDEX('TRANS'!$B:$B,MATCH(TRIM(SUBSTITUTE($B36,CHAR(160)," ")),'TRANS'!$D:$D,0)),IFERROR(INDEX('Catalog'!$A:$A,MATCH($B36,'Catalog'!$B:$B,0)),IFERROR(INDEX('Catalog'!$A:$A,MATCH(TRIM(SUBSTITUTE($B36,CHAR(160)," ")),'Catalog'!$C:$C,0)),""))))</f>
        <v>4408203</v>
      </c>
      <c r="H36" s="8" t="str">
        <f aca="false">IFERROR(INDEX('TRANS'!$C:$C,MATCH($B36,'TRANS'!$A:$A,0)),IFERROR(INDEX('Catalog'!$B:$B,MATCH($G36,'Catalog'!$A:$A,0)),$B36))</f>
        <v>14 0 חגורה למנותחי בית חזה</v>
      </c>
      <c r="I36" s="8" t="str">
        <f aca="false">IF($G36="","Unmatched","Matched")</f>
        <v>Matched</v>
      </c>
    </row>
    <row r="37" customFormat="false" ht="15" hidden="false" customHeight="false" outlineLevel="0" collapsed="false">
      <c r="A37" s="8" t="s">
        <v>51</v>
      </c>
      <c r="B37" s="8" t="s">
        <v>83</v>
      </c>
      <c r="C37" s="19" t="n">
        <v>3</v>
      </c>
      <c r="D37" s="19" t="n">
        <v>421.71</v>
      </c>
      <c r="E37" s="19" t="n">
        <v>0</v>
      </c>
      <c r="F37" s="19" t="n">
        <v>0</v>
      </c>
      <c r="G37" s="8" t="str">
        <f aca="false">IFERROR(INDEX('TRANS'!$B:$B,MATCH($B37,'TRANS'!$A:$A,0)),IFERROR(INDEX('TRANS'!$B:$B,MATCH(TRIM(SUBSTITUTE($B37,CHAR(160)," ")),'TRANS'!$D:$D,0)),IFERROR(INDEX('Catalog'!$A:$A,MATCH($B37,'Catalog'!$B:$B,0)),IFERROR(INDEX('Catalog'!$A:$A,MATCH(TRIM(SUBSTITUTE($B37,CHAR(160)," ")),'Catalog'!$C:$C,0)),""))))</f>
        <v/>
      </c>
      <c r="H37" s="8" t="str">
        <f aca="false">IFERROR(INDEX('TRANS'!$C:$C,MATCH($B37,'TRANS'!$A:$A,0)),IFERROR(INDEX('Catalog'!$B:$B,MATCH($G37,'Catalog'!$A:$A,0)),$B37))</f>
        <v>15M L</v>
      </c>
      <c r="I37" s="8" t="str">
        <f aca="false">IF($G37="","Unmatched","Matched")</f>
        <v>Unmatched</v>
      </c>
    </row>
    <row r="38" customFormat="false" ht="15" hidden="false" customHeight="false" outlineLevel="0" collapsed="false">
      <c r="A38" s="8" t="s">
        <v>51</v>
      </c>
      <c r="B38" s="8" t="s">
        <v>84</v>
      </c>
      <c r="C38" s="19" t="n">
        <v>1</v>
      </c>
      <c r="D38" s="19" t="n">
        <v>140.57</v>
      </c>
      <c r="E38" s="19" t="n">
        <v>0</v>
      </c>
      <c r="F38" s="19" t="n">
        <v>0</v>
      </c>
      <c r="G38" s="8" t="str">
        <f aca="false">IFERROR(INDEX('TRANS'!$B:$B,MATCH($B38,'TRANS'!$A:$A,0)),IFERROR(INDEX('TRANS'!$B:$B,MATCH(TRIM(SUBSTITUTE($B38,CHAR(160)," ")),'TRANS'!$D:$D,0)),IFERROR(INDEX('Catalog'!$A:$A,MATCH($B38,'Catalog'!$B:$B,0)),IFERROR(INDEX('Catalog'!$A:$A,MATCH(TRIM(SUBSTITUTE($B38,CHAR(160)," ")),'Catalog'!$C:$C,0)),""))))</f>
        <v/>
      </c>
      <c r="H38" s="8" t="str">
        <f aca="false">IFERROR(INDEX('TRANS'!$C:$C,MATCH($B38,'TRANS'!$A:$A,0)),IFERROR(INDEX('Catalog'!$B:$B,MATCH($G38,'Catalog'!$A:$A,0)),$B38))</f>
        <v>15M M</v>
      </c>
      <c r="I38" s="8" t="str">
        <f aca="false">IF($G38="","Unmatched","Matched")</f>
        <v>Unmatched</v>
      </c>
    </row>
    <row r="39" customFormat="false" ht="15" hidden="false" customHeight="false" outlineLevel="0" collapsed="false">
      <c r="A39" s="8" t="s">
        <v>51</v>
      </c>
      <c r="B39" s="8" t="s">
        <v>85</v>
      </c>
      <c r="C39" s="19" t="n">
        <v>1</v>
      </c>
      <c r="D39" s="19" t="n">
        <v>140.57</v>
      </c>
      <c r="E39" s="19" t="n">
        <v>0</v>
      </c>
      <c r="F39" s="19" t="n">
        <v>0</v>
      </c>
      <c r="G39" s="8" t="n">
        <f aca="false">IFERROR(INDEX('TRANS'!$B:$B,MATCH($B39,'TRANS'!$A:$A,0)),IFERROR(INDEX('TRANS'!$B:$B,MATCH(TRIM(SUBSTITUTE($B39,CHAR(160)," ")),'TRANS'!$D:$D,0)),IFERROR(INDEX('Catalog'!$A:$A,MATCH($B39,'Catalog'!$B:$B,0)),IFERROR(INDEX('Catalog'!$A:$A,MATCH(TRIM(SUBSTITUTE($B39,CHAR(160)," ")),'Catalog'!$C:$C,0)),""))))</f>
        <v>4408131</v>
      </c>
      <c r="H39" s="8" t="str">
        <f aca="false">IFERROR(INDEX('TRANS'!$C:$C,MATCH($B39,'TRANS'!$A:$A,0)),IFERROR(INDEX('Catalog'!$B:$B,MATCH($G39,'Catalog'!$A:$A,0)),$B39))</f>
        <v>15W L חגורת צלעות לאשה</v>
      </c>
      <c r="I39" s="8" t="str">
        <f aca="false">IF($G39="","Unmatched","Matched")</f>
        <v>Matched</v>
      </c>
    </row>
    <row r="40" customFormat="false" ht="15" hidden="false" customHeight="false" outlineLevel="0" collapsed="false">
      <c r="A40" s="8" t="s">
        <v>51</v>
      </c>
      <c r="B40" s="8" t="s">
        <v>86</v>
      </c>
      <c r="C40" s="19" t="n">
        <v>1</v>
      </c>
      <c r="D40" s="19" t="n">
        <v>140.57</v>
      </c>
      <c r="E40" s="19" t="n">
        <v>0</v>
      </c>
      <c r="F40" s="19" t="n">
        <v>0</v>
      </c>
      <c r="G40" s="8" t="str">
        <f aca="false">IFERROR(INDEX('TRANS'!$B:$B,MATCH($B40,'TRANS'!$A:$A,0)),IFERROR(INDEX('TRANS'!$B:$B,MATCH(TRIM(SUBSTITUTE($B40,CHAR(160)," ")),'TRANS'!$D:$D,0)),IFERROR(INDEX('Catalog'!$A:$A,MATCH($B40,'Catalog'!$B:$B,0)),IFERROR(INDEX('Catalog'!$A:$A,MATCH(TRIM(SUBSTITUTE($B40,CHAR(160)," ")),'Catalog'!$C:$C,0)),""))))</f>
        <v/>
      </c>
      <c r="H40" s="8" t="str">
        <f aca="false">IFERROR(INDEX('TRANS'!$C:$C,MATCH($B40,'TRANS'!$A:$A,0)),IFERROR(INDEX('Catalog'!$B:$B,MATCH($G40,'Catalog'!$A:$A,0)),$B40))</f>
        <v>15W M</v>
      </c>
      <c r="I40" s="8" t="str">
        <f aca="false">IF($G40="","Unmatched","Matched")</f>
        <v>Unmatched</v>
      </c>
    </row>
    <row r="41" customFormat="false" ht="15" hidden="false" customHeight="false" outlineLevel="0" collapsed="false">
      <c r="A41" s="8" t="s">
        <v>51</v>
      </c>
      <c r="B41" s="8" t="s">
        <v>87</v>
      </c>
      <c r="C41" s="19" t="n">
        <v>2</v>
      </c>
      <c r="D41" s="19" t="n">
        <v>281.14</v>
      </c>
      <c r="E41" s="19" t="n">
        <v>0</v>
      </c>
      <c r="F41" s="19" t="n">
        <v>0</v>
      </c>
      <c r="G41" s="8" t="str">
        <f aca="false">IFERROR(INDEX('TRANS'!$B:$B,MATCH($B41,'TRANS'!$A:$A,0)),IFERROR(INDEX('TRANS'!$B:$B,MATCH(TRIM(SUBSTITUTE($B41,CHAR(160)," ")),'TRANS'!$D:$D,0)),IFERROR(INDEX('Catalog'!$A:$A,MATCH($B41,'Catalog'!$B:$B,0)),IFERROR(INDEX('Catalog'!$A:$A,MATCH(TRIM(SUBSTITUTE($B41,CHAR(160)," ")),'Catalog'!$C:$C,0)),""))))</f>
        <v/>
      </c>
      <c r="H41" s="8" t="str">
        <f aca="false">IFERROR(INDEX('TRANS'!$C:$C,MATCH($B41,'TRANS'!$A:$A,0)),IFERROR(INDEX('Catalog'!$B:$B,MATCH($G41,'Catalog'!$A:$A,0)),$B41))</f>
        <v>15W S</v>
      </c>
      <c r="I41" s="8" t="str">
        <f aca="false">IF($G41="","Unmatched","Matched")</f>
        <v>Unmatched</v>
      </c>
    </row>
    <row r="42" customFormat="false" ht="15" hidden="false" customHeight="false" outlineLevel="0" collapsed="false">
      <c r="A42" s="8" t="s">
        <v>51</v>
      </c>
      <c r="B42" s="8" t="s">
        <v>88</v>
      </c>
      <c r="C42" s="19" t="n">
        <v>1</v>
      </c>
      <c r="D42" s="19" t="n">
        <v>140.57</v>
      </c>
      <c r="E42" s="19" t="n">
        <v>0</v>
      </c>
      <c r="F42" s="19" t="n">
        <v>0</v>
      </c>
      <c r="G42" s="8" t="str">
        <f aca="false">IFERROR(INDEX('TRANS'!$B:$B,MATCH($B42,'TRANS'!$A:$A,0)),IFERROR(INDEX('TRANS'!$B:$B,MATCH(TRIM(SUBSTITUTE($B42,CHAR(160)," ")),'TRANS'!$D:$D,0)),IFERROR(INDEX('Catalog'!$A:$A,MATCH($B42,'Catalog'!$B:$B,0)),IFERROR(INDEX('Catalog'!$A:$A,MATCH(TRIM(SUBSTITUTE($B42,CHAR(160)," ")),'Catalog'!$C:$C,0)),""))))</f>
        <v/>
      </c>
      <c r="H42" s="8" t="str">
        <f aca="false">IFERROR(INDEX('TRANS'!$C:$C,MATCH($B42,'TRANS'!$A:$A,0)),IFERROR(INDEX('Catalog'!$B:$B,MATCH($G42,'Catalog'!$A:$A,0)),$B42))</f>
        <v>15W XL</v>
      </c>
      <c r="I42" s="8" t="str">
        <f aca="false">IF($G42="","Unmatched","Matched")</f>
        <v>Unmatched</v>
      </c>
    </row>
    <row r="43" customFormat="false" ht="15" hidden="false" customHeight="false" outlineLevel="0" collapsed="false">
      <c r="A43" s="8" t="s">
        <v>51</v>
      </c>
      <c r="B43" s="8" t="s">
        <v>89</v>
      </c>
      <c r="C43" s="19" t="n">
        <v>1</v>
      </c>
      <c r="D43" s="19" t="n">
        <v>140.57</v>
      </c>
      <c r="E43" s="19" t="n">
        <v>0</v>
      </c>
      <c r="F43" s="19" t="n">
        <v>0</v>
      </c>
      <c r="G43" s="8" t="str">
        <f aca="false">IFERROR(INDEX('TRANS'!$B:$B,MATCH($B43,'TRANS'!$A:$A,0)),IFERROR(INDEX('TRANS'!$B:$B,MATCH(TRIM(SUBSTITUTE($B43,CHAR(160)," ")),'TRANS'!$D:$D,0)),IFERROR(INDEX('Catalog'!$A:$A,MATCH($B43,'Catalog'!$B:$B,0)),IFERROR(INDEX('Catalog'!$A:$A,MATCH(TRIM(SUBSTITUTE($B43,CHAR(160)," ")),'Catalog'!$C:$C,0)),""))))</f>
        <v/>
      </c>
      <c r="H43" s="8" t="str">
        <f aca="false">IFERROR(INDEX('TRANS'!$C:$C,MATCH($B43,'TRANS'!$A:$A,0)),IFERROR(INDEX('Catalog'!$B:$B,MATCH($G43,'Catalog'!$A:$A,0)),$B43))</f>
        <v>15W XXL</v>
      </c>
      <c r="I43" s="8" t="str">
        <f aca="false">IF($G43="","Unmatched","Matched")</f>
        <v>Unmatched</v>
      </c>
    </row>
    <row r="44" customFormat="false" ht="15" hidden="false" customHeight="false" outlineLevel="0" collapsed="false">
      <c r="A44" s="8" t="s">
        <v>51</v>
      </c>
      <c r="B44" s="8" t="s">
        <v>90</v>
      </c>
      <c r="C44" s="19" t="n">
        <v>1</v>
      </c>
      <c r="D44" s="19" t="n">
        <v>126.51</v>
      </c>
      <c r="E44" s="19" t="n">
        <v>1</v>
      </c>
      <c r="F44" s="19" t="n">
        <v>126.51</v>
      </c>
      <c r="G44" s="8" t="n">
        <f aca="false">IFERROR(INDEX('TRANS'!$B:$B,MATCH($B44,'TRANS'!$A:$A,0)),IFERROR(INDEX('TRANS'!$B:$B,MATCH(TRIM(SUBSTITUTE($B44,CHAR(160)," ")),'TRANS'!$D:$D,0)),IFERROR(INDEX('Catalog'!$A:$A,MATCH($B44,'Catalog'!$B:$B,0)),IFERROR(INDEX('Catalog'!$A:$A,MATCH(TRIM(SUBSTITUTE($B44,CHAR(160)," ")),'Catalog'!$C:$C,0)),""))))</f>
        <v>4408230</v>
      </c>
      <c r="H44" s="8" t="str">
        <f aca="false">IFERROR(INDEX('TRANS'!$C:$C,MATCH($B44,'TRANS'!$A:$A,0)),IFERROR(INDEX('Catalog'!$B:$B,MATCH($G44,'Catalog'!$A:$A,0)),$B44))</f>
        <v>16 L-XL חגורת הריון</v>
      </c>
      <c r="I44" s="8" t="str">
        <f aca="false">IF($G44="","Unmatched","Matched")</f>
        <v>Matched</v>
      </c>
    </row>
    <row r="45" customFormat="false" ht="15" hidden="false" customHeight="false" outlineLevel="0" collapsed="false">
      <c r="A45" s="8" t="s">
        <v>51</v>
      </c>
      <c r="B45" s="8" t="s">
        <v>91</v>
      </c>
      <c r="C45" s="19" t="n">
        <v>1</v>
      </c>
      <c r="D45" s="19" t="n">
        <v>0.01</v>
      </c>
      <c r="E45" s="19" t="n">
        <v>1</v>
      </c>
      <c r="F45" s="19" t="n">
        <v>126.51</v>
      </c>
      <c r="G45" s="8" t="n">
        <f aca="false">IFERROR(INDEX('TRANS'!$B:$B,MATCH($B45,'TRANS'!$A:$A,0)),IFERROR(INDEX('TRANS'!$B:$B,MATCH(TRIM(SUBSTITUTE($B45,CHAR(160)," ")),'TRANS'!$D:$D,0)),IFERROR(INDEX('Catalog'!$A:$A,MATCH($B45,'Catalog'!$B:$B,0)),IFERROR(INDEX('Catalog'!$A:$A,MATCH(TRIM(SUBSTITUTE($B45,CHAR(160)," ")),'Catalog'!$C:$C,0)),""))))</f>
        <v>4408231</v>
      </c>
      <c r="H45" s="8" t="str">
        <f aca="false">IFERROR(INDEX('TRANS'!$C:$C,MATCH($B45,'TRANS'!$A:$A,0)),IFERROR(INDEX('Catalog'!$B:$B,MATCH($G45,'Catalog'!$A:$A,0)),$B45))</f>
        <v>16 S-M חגורת הריון</v>
      </c>
      <c r="I45" s="8" t="str">
        <f aca="false">IF($G45="","Unmatched","Matched")</f>
        <v>Matched</v>
      </c>
    </row>
    <row r="46" customFormat="false" ht="15" hidden="false" customHeight="false" outlineLevel="0" collapsed="false">
      <c r="A46" s="8" t="s">
        <v>51</v>
      </c>
      <c r="B46" s="8" t="s">
        <v>92</v>
      </c>
      <c r="C46" s="19" t="n">
        <v>7</v>
      </c>
      <c r="D46" s="19" t="n">
        <v>250.32</v>
      </c>
      <c r="E46" s="19" t="n">
        <v>0</v>
      </c>
      <c r="F46" s="19" t="n">
        <v>0</v>
      </c>
      <c r="G46" s="8" t="n">
        <f aca="false">IFERROR(INDEX('TRANS'!$B:$B,MATCH($B46,'TRANS'!$A:$A,0)),IFERROR(INDEX('TRANS'!$B:$B,MATCH(TRIM(SUBSTITUTE($B46,CHAR(160)," ")),'TRANS'!$D:$D,0)),IFERROR(INDEX('Catalog'!$A:$A,MATCH($B46,'Catalog'!$B:$B,0)),IFERROR(INDEX('Catalog'!$A:$A,MATCH(TRIM(SUBSTITUTE($B46,CHAR(160)," ")),'Catalog'!$C:$C,0)),""))))</f>
        <v>4408053</v>
      </c>
      <c r="H46" s="8" t="str">
        <f aca="false">IFERROR(INDEX('TRANS'!$C:$C,MATCH($B46,'TRANS'!$A:$A,0)),IFERROR(INDEX('Catalog'!$B:$B,MATCH($G46,'Catalog'!$A:$A,0)),$B46))</f>
        <v>21 M  חבק יד ארוך</v>
      </c>
      <c r="I46" s="8" t="str">
        <f aca="false">IF($G46="","Unmatched","Matched")</f>
        <v>Matched</v>
      </c>
    </row>
    <row r="47" customFormat="false" ht="15" hidden="false" customHeight="false" outlineLevel="0" collapsed="false">
      <c r="A47" s="8" t="s">
        <v>51</v>
      </c>
      <c r="B47" s="8" t="s">
        <v>93</v>
      </c>
      <c r="C47" s="19" t="n">
        <v>3</v>
      </c>
      <c r="D47" s="19" t="n">
        <v>112.37</v>
      </c>
      <c r="E47" s="19" t="n">
        <v>2</v>
      </c>
      <c r="F47" s="19" t="n">
        <v>74.91</v>
      </c>
      <c r="G47" s="8" t="n">
        <f aca="false">IFERROR(INDEX('TRANS'!$B:$B,MATCH($B47,'TRANS'!$A:$A,0)),IFERROR(INDEX('TRANS'!$B:$B,MATCH(TRIM(SUBSTITUTE($B47,CHAR(160)," ")),'TRANS'!$D:$D,0)),IFERROR(INDEX('Catalog'!$A:$A,MATCH($B47,'Catalog'!$B:$B,0)),IFERROR(INDEX('Catalog'!$A:$A,MATCH(TRIM(SUBSTITUTE($B47,CHAR(160)," ")),'Catalog'!$C:$C,0)),""))))</f>
        <v>4411017</v>
      </c>
      <c r="H47" s="8" t="str">
        <f aca="false">IFERROR(INDEX('TRANS'!$C:$C,MATCH($B47,'TRANS'!$A:$A,0)),IFERROR(INDEX('Catalog'!$B:$B,MATCH($G47,'Catalog'!$A:$A,0)),$B47))</f>
        <v>211L כפפות לחץ</v>
      </c>
      <c r="I47" s="8" t="str">
        <f aca="false">IF($G47="","Unmatched","Matched")</f>
        <v>Matched</v>
      </c>
    </row>
    <row r="48" customFormat="false" ht="15" hidden="false" customHeight="false" outlineLevel="0" collapsed="false">
      <c r="A48" s="8" t="s">
        <v>51</v>
      </c>
      <c r="B48" s="8" t="s">
        <v>94</v>
      </c>
      <c r="C48" s="19" t="n">
        <v>4</v>
      </c>
      <c r="D48" s="19" t="n">
        <v>145.41</v>
      </c>
      <c r="E48" s="19" t="n">
        <v>0</v>
      </c>
      <c r="F48" s="19" t="n">
        <v>0</v>
      </c>
      <c r="G48" s="8" t="n">
        <f aca="false">IFERROR(INDEX('TRANS'!$B:$B,MATCH($B48,'TRANS'!$A:$A,0)),IFERROR(INDEX('TRANS'!$B:$B,MATCH(TRIM(SUBSTITUTE($B48,CHAR(160)," ")),'TRANS'!$D:$D,0)),IFERROR(INDEX('Catalog'!$A:$A,MATCH($B48,'Catalog'!$B:$B,0)),IFERROR(INDEX('Catalog'!$A:$A,MATCH(TRIM(SUBSTITUTE($B48,CHAR(160)," ")),'Catalog'!$C:$C,0)),""))))</f>
        <v>4411018</v>
      </c>
      <c r="H48" s="8" t="str">
        <f aca="false">IFERROR(INDEX('TRANS'!$C:$C,MATCH($B48,'TRANS'!$A:$A,0)),IFERROR(INDEX('Catalog'!$B:$B,MATCH($G48,'Catalog'!$A:$A,0)),$B48))</f>
        <v>211M כפפות לחץ</v>
      </c>
      <c r="I48" s="8" t="str">
        <f aca="false">IF($G48="","Unmatched","Matched")</f>
        <v>Matched</v>
      </c>
    </row>
    <row r="49" customFormat="false" ht="15" hidden="false" customHeight="false" outlineLevel="0" collapsed="false">
      <c r="A49" s="8" t="s">
        <v>51</v>
      </c>
      <c r="B49" s="8" t="s">
        <v>95</v>
      </c>
      <c r="C49" s="19" t="n">
        <v>2</v>
      </c>
      <c r="D49" s="19" t="n">
        <v>37.46</v>
      </c>
      <c r="E49" s="19" t="n">
        <v>0</v>
      </c>
      <c r="F49" s="19" t="n">
        <v>0</v>
      </c>
      <c r="G49" s="8" t="n">
        <f aca="false">IFERROR(INDEX('TRANS'!$B:$B,MATCH($B49,'TRANS'!$A:$A,0)),IFERROR(INDEX('TRANS'!$B:$B,MATCH(TRIM(SUBSTITUTE($B49,CHAR(160)," ")),'TRANS'!$D:$D,0)),IFERROR(INDEX('Catalog'!$A:$A,MATCH($B49,'Catalog'!$B:$B,0)),IFERROR(INDEX('Catalog'!$A:$A,MATCH(TRIM(SUBSTITUTE($B49,CHAR(160)," ")),'Catalog'!$C:$C,0)),""))))</f>
        <v>4411019</v>
      </c>
      <c r="H49" s="8" t="str">
        <f aca="false">IFERROR(INDEX('TRANS'!$C:$C,MATCH($B49,'TRANS'!$A:$A,0)),IFERROR(INDEX('Catalog'!$B:$B,MATCH($G49,'Catalog'!$A:$A,0)),$B49))</f>
        <v>211S כפפות לחץ</v>
      </c>
      <c r="I49" s="8" t="str">
        <f aca="false">IF($G49="","Unmatched","Matched")</f>
        <v>Matched</v>
      </c>
    </row>
    <row r="50" customFormat="false" ht="15" hidden="false" customHeight="false" outlineLevel="0" collapsed="false">
      <c r="A50" s="8" t="s">
        <v>51</v>
      </c>
      <c r="B50" s="8" t="s">
        <v>96</v>
      </c>
      <c r="C50" s="19" t="n">
        <v>5</v>
      </c>
      <c r="D50" s="19" t="n">
        <v>194.59</v>
      </c>
      <c r="E50" s="19" t="n">
        <v>0</v>
      </c>
      <c r="F50" s="19" t="n">
        <v>0</v>
      </c>
      <c r="G50" s="8" t="n">
        <f aca="false">IFERROR(INDEX('TRANS'!$B:$B,MATCH($B50,'TRANS'!$A:$A,0)),IFERROR(INDEX('TRANS'!$B:$B,MATCH(TRIM(SUBSTITUTE($B50,CHAR(160)," ")),'TRANS'!$D:$D,0)),IFERROR(INDEX('Catalog'!$A:$A,MATCH($B50,'Catalog'!$B:$B,0)),IFERROR(INDEX('Catalog'!$A:$A,MATCH(TRIM(SUBSTITUTE($B50,CHAR(160)," ")),'Catalog'!$C:$C,0)),""))))</f>
        <v>4411021</v>
      </c>
      <c r="H50" s="8" t="str">
        <f aca="false">IFERROR(INDEX('TRANS'!$C:$C,MATCH($B50,'TRANS'!$A:$A,0)),IFERROR(INDEX('Catalog'!$B:$B,MATCH($G50,'Catalog'!$A:$A,0)),$B50))</f>
        <v>212L כפפות אגודל לחץ</v>
      </c>
      <c r="I50" s="8" t="str">
        <f aca="false">IF($G50="","Unmatched","Matched")</f>
        <v>Matched</v>
      </c>
    </row>
    <row r="51" customFormat="false" ht="15" hidden="false" customHeight="false" outlineLevel="0" collapsed="false">
      <c r="A51" s="8" t="s">
        <v>51</v>
      </c>
      <c r="B51" s="8" t="s">
        <v>97</v>
      </c>
      <c r="C51" s="19" t="n">
        <v>21</v>
      </c>
      <c r="D51" s="19" t="n">
        <v>811.15</v>
      </c>
      <c r="E51" s="19" t="n">
        <v>2</v>
      </c>
      <c r="F51" s="19" t="n">
        <v>68.98</v>
      </c>
      <c r="G51" s="8" t="n">
        <f aca="false">IFERROR(INDEX('TRANS'!$B:$B,MATCH($B51,'TRANS'!$A:$A,0)),IFERROR(INDEX('TRANS'!$B:$B,MATCH(TRIM(SUBSTITUTE($B51,CHAR(160)," ")),'TRANS'!$D:$D,0)),IFERROR(INDEX('Catalog'!$A:$A,MATCH($B51,'Catalog'!$B:$B,0)),IFERROR(INDEX('Catalog'!$A:$A,MATCH(TRIM(SUBSTITUTE($B51,CHAR(160)," ")),'Catalog'!$C:$C,0)),""))))</f>
        <v>4411022</v>
      </c>
      <c r="H51" s="8" t="str">
        <f aca="false">IFERROR(INDEX('TRANS'!$C:$C,MATCH($B51,'TRANS'!$A:$A,0)),IFERROR(INDEX('Catalog'!$B:$B,MATCH($G51,'Catalog'!$A:$A,0)),$B51))</f>
        <v>212M כפפות אגודל לחץ</v>
      </c>
      <c r="I51" s="8" t="str">
        <f aca="false">IF($G51="","Unmatched","Matched")</f>
        <v>Matched</v>
      </c>
    </row>
    <row r="52" customFormat="false" ht="15" hidden="false" customHeight="false" outlineLevel="0" collapsed="false">
      <c r="A52" s="8" t="s">
        <v>51</v>
      </c>
      <c r="B52" s="8" t="s">
        <v>98</v>
      </c>
      <c r="C52" s="19" t="n">
        <v>11</v>
      </c>
      <c r="D52" s="19" t="n">
        <v>397.93</v>
      </c>
      <c r="E52" s="19" t="n">
        <v>7</v>
      </c>
      <c r="F52" s="19" t="n">
        <v>260.31</v>
      </c>
      <c r="G52" s="8" t="n">
        <f aca="false">IFERROR(INDEX('TRANS'!$B:$B,MATCH($B52,'TRANS'!$A:$A,0)),IFERROR(INDEX('TRANS'!$B:$B,MATCH(TRIM(SUBSTITUTE($B52,CHAR(160)," ")),'TRANS'!$D:$D,0)),IFERROR(INDEX('Catalog'!$A:$A,MATCH($B52,'Catalog'!$B:$B,0)),IFERROR(INDEX('Catalog'!$A:$A,MATCH(TRIM(SUBSTITUTE($B52,CHAR(160)," ")),'Catalog'!$C:$C,0)),""))))</f>
        <v>4411023</v>
      </c>
      <c r="H52" s="8" t="str">
        <f aca="false">IFERROR(INDEX('TRANS'!$C:$C,MATCH($B52,'TRANS'!$A:$A,0)),IFERROR(INDEX('Catalog'!$B:$B,MATCH($G52,'Catalog'!$A:$A,0)),$B52))</f>
        <v>212S כפפות אגודל לחץ</v>
      </c>
      <c r="I52" s="8" t="str">
        <f aca="false">IF($G52="","Unmatched","Matched")</f>
        <v>Matched</v>
      </c>
    </row>
    <row r="53" customFormat="false" ht="15" hidden="false" customHeight="false" outlineLevel="0" collapsed="false">
      <c r="A53" s="8" t="s">
        <v>51</v>
      </c>
      <c r="B53" s="8" t="s">
        <v>99</v>
      </c>
      <c r="C53" s="19" t="n">
        <v>9</v>
      </c>
      <c r="D53" s="19" t="n">
        <v>243.37</v>
      </c>
      <c r="E53" s="19" t="n">
        <v>2</v>
      </c>
      <c r="F53" s="19" t="n">
        <v>30.43</v>
      </c>
      <c r="G53" s="8" t="n">
        <f aca="false">IFERROR(INDEX('TRANS'!$B:$B,MATCH($B53,'TRANS'!$A:$A,0)),IFERROR(INDEX('TRANS'!$B:$B,MATCH(TRIM(SUBSTITUTE($B53,CHAR(160)," ")),'TRANS'!$D:$D,0)),IFERROR(INDEX('Catalog'!$A:$A,MATCH($B53,'Catalog'!$B:$B,0)),IFERROR(INDEX('Catalog'!$A:$A,MATCH(TRIM(SUBSTITUTE($B53,CHAR(160)," ")),'Catalog'!$C:$C,0)),""))))</f>
        <v>4415029</v>
      </c>
      <c r="H53" s="8" t="str">
        <f aca="false">IFERROR(INDEX('TRANS'!$C:$C,MATCH($B53,'TRANS'!$A:$A,0)),IFERROR(INDEX('Catalog'!$B:$B,MATCH($G53,'Catalog'!$A:$A,0)),$B53))</f>
        <v>סד קיבוע לאצבע הדק</v>
      </c>
      <c r="I53" s="8" t="str">
        <f aca="false">IF($G53="","Unmatched","Matched")</f>
        <v>Matched</v>
      </c>
    </row>
    <row r="54" customFormat="false" ht="15" hidden="false" customHeight="false" outlineLevel="0" collapsed="false">
      <c r="A54" s="8" t="s">
        <v>51</v>
      </c>
      <c r="B54" s="8" t="s">
        <v>100</v>
      </c>
      <c r="C54" s="19" t="n">
        <v>7</v>
      </c>
      <c r="D54" s="19" t="n">
        <v>140.76</v>
      </c>
      <c r="E54" s="19" t="n">
        <v>1</v>
      </c>
      <c r="F54" s="19" t="n">
        <v>0.01</v>
      </c>
      <c r="G54" s="8" t="n">
        <f aca="false">IFERROR(INDEX('TRANS'!$B:$B,MATCH($B54,'TRANS'!$A:$A,0)),IFERROR(INDEX('TRANS'!$B:$B,MATCH(TRIM(SUBSTITUTE($B54,CHAR(160)," ")),'TRANS'!$D:$D,0)),IFERROR(INDEX('Catalog'!$A:$A,MATCH($B54,'Catalog'!$B:$B,0)),IFERROR(INDEX('Catalog'!$A:$A,MATCH(TRIM(SUBSTITUTE($B54,CHAR(160)," ")),'Catalog'!$C:$C,0)),""))))</f>
        <v>4415162</v>
      </c>
      <c r="H54" s="8" t="str">
        <f aca="false">IFERROR(INDEX('TRANS'!$C:$C,MATCH($B54,'TRANS'!$A:$A,0)),IFERROR(INDEX('Catalog'!$B:$B,MATCH($G54,'Catalog'!$A:$A,0)),$B54))</f>
        <v>238L סד ליישור אצבע</v>
      </c>
      <c r="I54" s="8" t="str">
        <f aca="false">IF($G54="","Unmatched","Matched")</f>
        <v>Matched</v>
      </c>
    </row>
    <row r="55" customFormat="false" ht="15" hidden="false" customHeight="false" outlineLevel="0" collapsed="false">
      <c r="A55" s="8" t="s">
        <v>51</v>
      </c>
      <c r="B55" s="8" t="s">
        <v>101</v>
      </c>
      <c r="C55" s="19" t="n">
        <v>1</v>
      </c>
      <c r="D55" s="19" t="n">
        <v>20.11</v>
      </c>
      <c r="E55" s="19" t="n">
        <v>0</v>
      </c>
      <c r="F55" s="19" t="n">
        <v>0</v>
      </c>
      <c r="G55" s="8" t="n">
        <f aca="false">IFERROR(INDEX('TRANS'!$B:$B,MATCH($B55,'TRANS'!$A:$A,0)),IFERROR(INDEX('TRANS'!$B:$B,MATCH(TRIM(SUBSTITUTE($B55,CHAR(160)," ")),'TRANS'!$D:$D,0)),IFERROR(INDEX('Catalog'!$A:$A,MATCH($B55,'Catalog'!$B:$B,0)),IFERROR(INDEX('Catalog'!$A:$A,MATCH(TRIM(SUBSTITUTE($B55,CHAR(160)," ")),'Catalog'!$C:$C,0)),""))))</f>
        <v>4415160</v>
      </c>
      <c r="H55" s="8" t="str">
        <f aca="false">IFERROR(INDEX('TRANS'!$C:$C,MATCH($B55,'TRANS'!$A:$A,0)),IFERROR(INDEX('Catalog'!$B:$B,MATCH($G55,'Catalog'!$A:$A,0)),$B55))</f>
        <v>238S סד ליישור אצבע</v>
      </c>
      <c r="I55" s="8" t="str">
        <f aca="false">IF($G55="","Unmatched","Matched")</f>
        <v>Matched</v>
      </c>
    </row>
    <row r="56" customFormat="false" ht="15" hidden="false" customHeight="false" outlineLevel="0" collapsed="false">
      <c r="A56" s="8" t="s">
        <v>51</v>
      </c>
      <c r="B56" s="8" t="s">
        <v>102</v>
      </c>
      <c r="C56" s="19" t="n">
        <v>8</v>
      </c>
      <c r="D56" s="19" t="n">
        <v>191.7</v>
      </c>
      <c r="E56" s="19" t="n">
        <v>0</v>
      </c>
      <c r="F56" s="19" t="n">
        <v>0</v>
      </c>
      <c r="G56" s="8" t="n">
        <f aca="false">IFERROR(INDEX('TRANS'!$B:$B,MATCH($B56,'TRANS'!$A:$A,0)),IFERROR(INDEX('TRANS'!$B:$B,MATCH(TRIM(SUBSTITUTE($B56,CHAR(160)," ")),'TRANS'!$D:$D,0)),IFERROR(INDEX('Catalog'!$A:$A,MATCH($B56,'Catalog'!$B:$B,0)),IFERROR(INDEX('Catalog'!$A:$A,MATCH(TRIM(SUBSTITUTE($B56,CHAR(160)," ")),'Catalog'!$C:$C,0)),""))))</f>
        <v>4419013</v>
      </c>
      <c r="H56" s="8" t="str">
        <f aca="false">IFERROR(INDEX('TRANS'!$C:$C,MATCH($B56,'TRANS'!$A:$A,0)),IFERROR(INDEX('Catalog'!$B:$B,MATCH($G56,'Catalog'!$A:$A,0)),$B56))</f>
        <v>239B L-XL STRAP4U</v>
      </c>
      <c r="I56" s="8" t="str">
        <f aca="false">IF($G56="","Unmatched","Matched")</f>
        <v>Matched</v>
      </c>
    </row>
    <row r="57" customFormat="false" ht="15" hidden="false" customHeight="false" outlineLevel="0" collapsed="false">
      <c r="A57" s="8" t="s">
        <v>51</v>
      </c>
      <c r="B57" s="8" t="s">
        <v>103</v>
      </c>
      <c r="C57" s="19" t="n">
        <v>8</v>
      </c>
      <c r="D57" s="19" t="n">
        <v>191.39</v>
      </c>
      <c r="E57" s="19" t="n">
        <v>1</v>
      </c>
      <c r="F57" s="19" t="n">
        <v>24.26</v>
      </c>
      <c r="G57" s="8" t="n">
        <f aca="false">IFERROR(INDEX('TRANS'!$B:$B,MATCH($B57,'TRANS'!$A:$A,0)),IFERROR(INDEX('TRANS'!$B:$B,MATCH(TRIM(SUBSTITUTE($B57,CHAR(160)," ")),'TRANS'!$D:$D,0)),IFERROR(INDEX('Catalog'!$A:$A,MATCH($B57,'Catalog'!$B:$B,0)),IFERROR(INDEX('Catalog'!$A:$A,MATCH(TRIM(SUBSTITUTE($B57,CHAR(160)," ")),'Catalog'!$C:$C,0)),""))))</f>
        <v>4419011</v>
      </c>
      <c r="H57" s="8" t="str">
        <f aca="false">IFERROR(INDEX('TRANS'!$C:$C,MATCH($B57,'TRANS'!$A:$A,0)),IFERROR(INDEX('Catalog'!$B:$B,MATCH($G57,'Catalog'!$A:$A,0)),$B57))</f>
        <v>239B S-M STRAP4U</v>
      </c>
      <c r="I57" s="8" t="str">
        <f aca="false">IF($G57="","Unmatched","Matched")</f>
        <v>Matched</v>
      </c>
    </row>
    <row r="58" customFormat="false" ht="15" hidden="false" customHeight="false" outlineLevel="0" collapsed="false">
      <c r="A58" s="8" t="s">
        <v>51</v>
      </c>
      <c r="B58" s="8" t="s">
        <v>104</v>
      </c>
      <c r="C58" s="19" t="n">
        <v>7</v>
      </c>
      <c r="D58" s="19" t="n">
        <v>172.22</v>
      </c>
      <c r="E58" s="19" t="n">
        <v>0</v>
      </c>
      <c r="F58" s="19" t="n">
        <v>0</v>
      </c>
      <c r="G58" s="8" t="n">
        <f aca="false">IFERROR(INDEX('TRANS'!$B:$B,MATCH($B58,'TRANS'!$A:$A,0)),IFERROR(INDEX('TRANS'!$B:$B,MATCH(TRIM(SUBSTITUTE($B58,CHAR(160)," ")),'TRANS'!$D:$D,0)),IFERROR(INDEX('Catalog'!$A:$A,MATCH($B58,'Catalog'!$B:$B,0)),IFERROR(INDEX('Catalog'!$A:$A,MATCH(TRIM(SUBSTITUTE($B58,CHAR(160)," ")),'Catalog'!$C:$C,0)),""))))</f>
        <v>4419014</v>
      </c>
      <c r="H58" s="8" t="str">
        <f aca="false">IFERROR(INDEX('TRANS'!$C:$C,MATCH($B58,'TRANS'!$A:$A,0)),IFERROR(INDEX('Catalog'!$B:$B,MATCH($G58,'Catalog'!$A:$A,0)),$B58))</f>
        <v>239TR L-XL STRAP4U</v>
      </c>
      <c r="I58" s="8" t="str">
        <f aca="false">IF($G58="","Unmatched","Matched")</f>
        <v>Matched</v>
      </c>
    </row>
    <row r="59" customFormat="false" ht="15" hidden="false" customHeight="false" outlineLevel="0" collapsed="false">
      <c r="A59" s="8" t="s">
        <v>51</v>
      </c>
      <c r="B59" s="8" t="s">
        <v>105</v>
      </c>
      <c r="C59" s="19" t="n">
        <v>4</v>
      </c>
      <c r="D59" s="19" t="n">
        <v>183.01</v>
      </c>
      <c r="E59" s="19" t="n">
        <v>5</v>
      </c>
      <c r="F59" s="19" t="n">
        <v>172.43</v>
      </c>
      <c r="G59" s="8" t="n">
        <f aca="false">IFERROR(INDEX('TRANS'!$B:$B,MATCH($B59,'TRANS'!$A:$A,0)),IFERROR(INDEX('TRANS'!$B:$B,MATCH(TRIM(SUBSTITUTE($B59,CHAR(160)," ")),'TRANS'!$D:$D,0)),IFERROR(INDEX('Catalog'!$A:$A,MATCH($B59,'Catalog'!$B:$B,0)),IFERROR(INDEX('Catalog'!$A:$A,MATCH(TRIM(SUBSTITUTE($B59,CHAR(160)," ")),'Catalog'!$C:$C,0)),""))))</f>
        <v>4421005</v>
      </c>
      <c r="H59" s="8" t="str">
        <f aca="false">IFERROR(INDEX('TRANS'!$C:$C,MATCH($B59,'TRANS'!$A:$A,0)),IFERROR(INDEX('Catalog'!$B:$B,MATCH($G59,'Catalog'!$A:$A,0)),$B59))</f>
        <v>שרוול לגבס קצר יד</v>
      </c>
      <c r="I59" s="8" t="str">
        <f aca="false">IF($G59="","Unmatched","Matched")</f>
        <v>Matched</v>
      </c>
    </row>
    <row r="60" customFormat="false" ht="15" hidden="false" customHeight="false" outlineLevel="0" collapsed="false">
      <c r="A60" s="8" t="s">
        <v>51</v>
      </c>
      <c r="B60" s="8" t="s">
        <v>106</v>
      </c>
      <c r="C60" s="19" t="n">
        <v>5</v>
      </c>
      <c r="D60" s="19" t="n">
        <v>206.61</v>
      </c>
      <c r="E60" s="19" t="n">
        <v>9</v>
      </c>
      <c r="F60" s="19" t="n">
        <v>327.42</v>
      </c>
      <c r="G60" s="8" t="n">
        <f aca="false">IFERROR(INDEX('TRANS'!$B:$B,MATCH($B60,'TRANS'!$A:$A,0)),IFERROR(INDEX('TRANS'!$B:$B,MATCH(TRIM(SUBSTITUTE($B60,CHAR(160)," ")),'TRANS'!$D:$D,0)),IFERROR(INDEX('Catalog'!$A:$A,MATCH($B60,'Catalog'!$B:$B,0)),IFERROR(INDEX('Catalog'!$A:$A,MATCH(TRIM(SUBSTITUTE($B60,CHAR(160)," ")),'Catalog'!$C:$C,0)),""))))</f>
        <v>4421006</v>
      </c>
      <c r="H60" s="8" t="str">
        <f aca="false">IFERROR(INDEX('TRANS'!$C:$C,MATCH($B60,'TRANS'!$A:$A,0)),IFERROR(INDEX('Catalog'!$B:$B,MATCH($G60,'Catalog'!$A:$A,0)),$B60))</f>
        <v>שרוול לגבס ארוך יד</v>
      </c>
      <c r="I60" s="8" t="str">
        <f aca="false">IF($G60="","Unmatched","Matched")</f>
        <v>Matched</v>
      </c>
    </row>
    <row r="61" customFormat="false" ht="15" hidden="false" customHeight="false" outlineLevel="0" collapsed="false">
      <c r="A61" s="8" t="s">
        <v>51</v>
      </c>
      <c r="B61" s="8" t="s">
        <v>107</v>
      </c>
      <c r="C61" s="19" t="n">
        <v>1</v>
      </c>
      <c r="D61" s="19" t="n">
        <v>103.07</v>
      </c>
      <c r="E61" s="19" t="n">
        <v>0</v>
      </c>
      <c r="F61" s="19" t="n">
        <v>0</v>
      </c>
      <c r="G61" s="8" t="n">
        <f aca="false">IFERROR(INDEX('TRANS'!$B:$B,MATCH($B61,'TRANS'!$A:$A,0)),IFERROR(INDEX('TRANS'!$B:$B,MATCH(TRIM(SUBSTITUTE($B61,CHAR(160)," ")),'TRANS'!$D:$D,0)),IFERROR(INDEX('Catalog'!$A:$A,MATCH($B61,'Catalog'!$B:$B,0)),IFERROR(INDEX('Catalog'!$A:$A,MATCH(TRIM(SUBSTITUTE($B61,CHAR(160)," ")),'Catalog'!$C:$C,0)),""))))</f>
        <v>4415004</v>
      </c>
      <c r="H61" s="8" t="str">
        <f aca="false">IFERROR(INDEX('TRANS'!$C:$C,MATCH($B61,'TRANS'!$A:$A,0)),IFERROR(INDEX('Catalog'!$B:$B,MATCH($G61,'Catalog'!$A:$A,0)),$B61))</f>
        <v>26 XXL סד ליד דו צדדי לאחר שבר</v>
      </c>
      <c r="I61" s="8" t="str">
        <f aca="false">IF($G61="","Unmatched","Matched")</f>
        <v>Matched</v>
      </c>
    </row>
    <row r="62" customFormat="false" ht="15" hidden="false" customHeight="false" outlineLevel="0" collapsed="false">
      <c r="A62" s="8" t="s">
        <v>51</v>
      </c>
      <c r="B62" s="8" t="s">
        <v>108</v>
      </c>
      <c r="C62" s="19" t="n">
        <v>6</v>
      </c>
      <c r="D62" s="19" t="n">
        <v>453.61</v>
      </c>
      <c r="E62" s="19" t="n">
        <v>7</v>
      </c>
      <c r="F62" s="19" t="n">
        <v>159.28</v>
      </c>
      <c r="G62" s="8" t="n">
        <f aca="false">IFERROR(INDEX('TRANS'!$B:$B,MATCH($B62,'TRANS'!$A:$A,0)),IFERROR(INDEX('TRANS'!$B:$B,MATCH(TRIM(SUBSTITUTE($B62,CHAR(160)," ")),'TRANS'!$D:$D,0)),IFERROR(INDEX('Catalog'!$A:$A,MATCH($B62,'Catalog'!$B:$B,0)),IFERROR(INDEX('Catalog'!$A:$A,MATCH(TRIM(SUBSTITUTE($B62,CHAR(160)," ")),'Catalog'!$C:$C,0)),""))))</f>
        <v>4415158</v>
      </c>
      <c r="H62" s="8" t="str">
        <f aca="false">IFERROR(INDEX('TRANS'!$C:$C,MATCH($B62,'TRANS'!$A:$A,0)),IFERROR(INDEX('Catalog'!$B:$B,MATCH($G62,'Catalog'!$A:$A,0)),$B62))</f>
        <v>266 סד ליד דו צדדי</v>
      </c>
      <c r="I62" s="8" t="str">
        <f aca="false">IF($G62="","Unmatched","Matched")</f>
        <v>Matched</v>
      </c>
    </row>
    <row r="63" customFormat="false" ht="15" hidden="false" customHeight="false" outlineLevel="0" collapsed="false">
      <c r="A63" s="8" t="s">
        <v>51</v>
      </c>
      <c r="B63" s="8" t="s">
        <v>109</v>
      </c>
      <c r="C63" s="19" t="n">
        <v>1</v>
      </c>
      <c r="D63" s="19" t="n">
        <v>108.7</v>
      </c>
      <c r="E63" s="19" t="n">
        <v>0</v>
      </c>
      <c r="F63" s="19" t="n">
        <v>0</v>
      </c>
      <c r="G63" s="8" t="str">
        <f aca="false">IFERROR(INDEX('TRANS'!$B:$B,MATCH($B63,'TRANS'!$A:$A,0)),IFERROR(INDEX('TRANS'!$B:$B,MATCH(TRIM(SUBSTITUTE($B63,CHAR(160)," ")),'TRANS'!$D:$D,0)),IFERROR(INDEX('Catalog'!$A:$A,MATCH($B63,'Catalog'!$B:$B,0)),IFERROR(INDEX('Catalog'!$A:$A,MATCH(TRIM(SUBSTITUTE($B63,CHAR(160)," ")),'Catalog'!$C:$C,0)),""))))</f>
        <v/>
      </c>
      <c r="H63" s="8" t="str">
        <f aca="false">IFERROR(INDEX('TRANS'!$C:$C,MATCH($B63,'TRANS'!$A:$A,0)),IFERROR(INDEX('Catalog'!$B:$B,MATCH($G63,'Catalog'!$A:$A,0)),$B63))</f>
        <v>267LB-L-XL</v>
      </c>
      <c r="I63" s="8" t="str">
        <f aca="false">IF($G63="","Unmatched","Matched")</f>
        <v>Unmatched</v>
      </c>
    </row>
    <row r="64" customFormat="false" ht="15" hidden="false" customHeight="false" outlineLevel="0" collapsed="false">
      <c r="A64" s="8" t="s">
        <v>51</v>
      </c>
      <c r="B64" s="8" t="s">
        <v>110</v>
      </c>
      <c r="C64" s="19" t="n">
        <v>4</v>
      </c>
      <c r="D64" s="19" t="n">
        <v>387.6</v>
      </c>
      <c r="E64" s="19" t="n">
        <v>6</v>
      </c>
      <c r="F64" s="19" t="n">
        <v>300.01</v>
      </c>
      <c r="G64" s="8" t="n">
        <f aca="false">IFERROR(INDEX('TRANS'!$B:$B,MATCH($B64,'TRANS'!$A:$A,0)),IFERROR(INDEX('TRANS'!$B:$B,MATCH(TRIM(SUBSTITUTE($B64,CHAR(160)," ")),'TRANS'!$D:$D,0)),IFERROR(INDEX('Catalog'!$A:$A,MATCH($B64,'Catalog'!$B:$B,0)),IFERROR(INDEX('Catalog'!$A:$A,MATCH(TRIM(SUBSTITUTE($B64,CHAR(160)," ")),'Catalog'!$C:$C,0)),""))))</f>
        <v>4415159</v>
      </c>
      <c r="H64" s="8" t="str">
        <f aca="false">IFERROR(INDEX('TRANS'!$C:$C,MATCH($B64,'TRANS'!$A:$A,0)),IFERROR(INDEX('Catalog'!$B:$B,MATCH($G64,'Catalog'!$A:$A,0)),$B64))</f>
        <v>268 סד לאגודל</v>
      </c>
      <c r="I64" s="8" t="str">
        <f aca="false">IF($G64="","Unmatched","Matched")</f>
        <v>Matched</v>
      </c>
    </row>
    <row r="65" customFormat="false" ht="15" hidden="false" customHeight="false" outlineLevel="0" collapsed="false">
      <c r="A65" s="8" t="s">
        <v>51</v>
      </c>
      <c r="B65" s="8" t="s">
        <v>111</v>
      </c>
      <c r="C65" s="19" t="n">
        <v>2</v>
      </c>
      <c r="D65" s="19" t="n">
        <v>187.68</v>
      </c>
      <c r="E65" s="19" t="n">
        <v>0</v>
      </c>
      <c r="F65" s="19" t="n">
        <v>0</v>
      </c>
      <c r="G65" s="8" t="n">
        <f aca="false">IFERROR(INDEX('TRANS'!$B:$B,MATCH($B65,'TRANS'!$A:$A,0)),IFERROR(INDEX('TRANS'!$B:$B,MATCH(TRIM(SUBSTITUTE($B65,CHAR(160)," ")),'TRANS'!$D:$D,0)),IFERROR(INDEX('Catalog'!$A:$A,MATCH($B65,'Catalog'!$B:$B,0)),IFERROR(INDEX('Catalog'!$A:$A,MATCH(TRIM(SUBSTITUTE($B65,CHAR(160)," ")),'Catalog'!$C:$C,0)),""))))</f>
        <v>4415006</v>
      </c>
      <c r="H65" s="8" t="str">
        <f aca="false">IFERROR(INDEX('TRANS'!$C:$C,MATCH($B65,'TRANS'!$A:$A,0)),IFERROR(INDEX('Catalog'!$B:$B,MATCH($G65,'Catalog'!$A:$A,0)),$B65))</f>
        <v>28 M סד לאגודל לאחר שבר</v>
      </c>
      <c r="I65" s="8" t="str">
        <f aca="false">IF($G65="","Unmatched","Matched")</f>
        <v>Matched</v>
      </c>
    </row>
    <row r="66" customFormat="false" ht="15" hidden="false" customHeight="false" outlineLevel="0" collapsed="false">
      <c r="A66" s="8" t="s">
        <v>51</v>
      </c>
      <c r="B66" s="8" t="s">
        <v>112</v>
      </c>
      <c r="C66" s="19" t="n">
        <v>0</v>
      </c>
      <c r="D66" s="19" t="n">
        <v>0</v>
      </c>
      <c r="E66" s="19" t="n">
        <v>1</v>
      </c>
      <c r="F66" s="19" t="n">
        <v>66.51</v>
      </c>
      <c r="G66" s="8" t="str">
        <f aca="false">IFERROR(INDEX('TRANS'!$B:$B,MATCH($B66,'TRANS'!$A:$A,0)),IFERROR(INDEX('TRANS'!$B:$B,MATCH(TRIM(SUBSTITUTE($B66,CHAR(160)," ")),'TRANS'!$D:$D,0)),IFERROR(INDEX('Catalog'!$A:$A,MATCH($B66,'Catalog'!$B:$B,0)),IFERROR(INDEX('Catalog'!$A:$A,MATCH(TRIM(SUBSTITUTE($B66,CHAR(160)," ")),'Catalog'!$C:$C,0)),""))))</f>
        <v/>
      </c>
      <c r="H66" s="8" t="str">
        <f aca="false">IFERROR(INDEX('TRANS'!$C:$C,MATCH($B66,'TRANS'!$A:$A,0)),IFERROR(INDEX('Catalog'!$B:$B,MATCH($G66,'Catalog'!$A:$A,0)),$B66))</f>
        <v>30 M</v>
      </c>
      <c r="I66" s="8" t="str">
        <f aca="false">IF($G66="","Unmatched","Matched")</f>
        <v>Unmatched</v>
      </c>
    </row>
    <row r="67" customFormat="false" ht="15" hidden="false" customHeight="false" outlineLevel="0" collapsed="false">
      <c r="A67" s="8" t="s">
        <v>51</v>
      </c>
      <c r="B67" s="8" t="s">
        <v>113</v>
      </c>
      <c r="C67" s="19" t="n">
        <v>1</v>
      </c>
      <c r="D67" s="19" t="n">
        <v>66.51</v>
      </c>
      <c r="E67" s="19" t="n">
        <v>0</v>
      </c>
      <c r="F67" s="19" t="n">
        <v>0</v>
      </c>
      <c r="G67" s="8" t="str">
        <f aca="false">IFERROR(INDEX('TRANS'!$B:$B,MATCH($B67,'TRANS'!$A:$A,0)),IFERROR(INDEX('TRANS'!$B:$B,MATCH(TRIM(SUBSTITUTE($B67,CHAR(160)," ")),'TRANS'!$D:$D,0)),IFERROR(INDEX('Catalog'!$A:$A,MATCH($B67,'Catalog'!$B:$B,0)),IFERROR(INDEX('Catalog'!$A:$A,MATCH(TRIM(SUBSTITUTE($B67,CHAR(160)," ")),'Catalog'!$C:$C,0)),""))))</f>
        <v/>
      </c>
      <c r="H67" s="8" t="str">
        <f aca="false">IFERROR(INDEX('TRANS'!$C:$C,MATCH($B67,'TRANS'!$A:$A,0)),IFERROR(INDEX('Catalog'!$B:$B,MATCH($G67,'Catalog'!$A:$A,0)),$B67))</f>
        <v>30 XL</v>
      </c>
      <c r="I67" s="8" t="str">
        <f aca="false">IF($G67="","Unmatched","Matched")</f>
        <v>Unmatched</v>
      </c>
    </row>
    <row r="68" customFormat="false" ht="15" hidden="false" customHeight="false" outlineLevel="0" collapsed="false">
      <c r="A68" s="8" t="s">
        <v>51</v>
      </c>
      <c r="B68" s="8" t="s">
        <v>114</v>
      </c>
      <c r="C68" s="19" t="n">
        <v>42</v>
      </c>
      <c r="D68" s="19" t="n">
        <v>869.48</v>
      </c>
      <c r="E68" s="19" t="n">
        <v>1</v>
      </c>
      <c r="F68" s="19" t="n">
        <v>0.01</v>
      </c>
      <c r="G68" s="8" t="n">
        <f aca="false">IFERROR(INDEX('TRANS'!$B:$B,MATCH($B68,'TRANS'!$A:$A,0)),IFERROR(INDEX('TRANS'!$B:$B,MATCH(TRIM(SUBSTITUTE($B68,CHAR(160)," ")),'TRANS'!$D:$D,0)),IFERROR(INDEX('Catalog'!$A:$A,MATCH($B68,'Catalog'!$B:$B,0)),IFERROR(INDEX('Catalog'!$A:$A,MATCH(TRIM(SUBSTITUTE($B68,CHAR(160)," ")),'Catalog'!$C:$C,0)),""))))</f>
        <v>4413348</v>
      </c>
      <c r="H68" s="8" t="str">
        <f aca="false">IFERROR(INDEX('TRANS'!$C:$C,MATCH($B68,'TRANS'!$A:$A,0)),IFERROR(INDEX('Catalog'!$B:$B,MATCH($G68,'Catalog'!$A:$A,0)),$B68))</f>
        <v>302 מדרס ג'ל לגבר</v>
      </c>
      <c r="I68" s="8" t="str">
        <f aca="false">IF($G68="","Unmatched","Matched")</f>
        <v>Matched</v>
      </c>
    </row>
    <row r="69" customFormat="false" ht="15" hidden="false" customHeight="false" outlineLevel="0" collapsed="false">
      <c r="A69" s="8" t="s">
        <v>51</v>
      </c>
      <c r="B69" s="8" t="s">
        <v>115</v>
      </c>
      <c r="C69" s="19" t="n">
        <v>174</v>
      </c>
      <c r="D69" s="19" t="n">
        <v>355.54</v>
      </c>
      <c r="E69" s="19" t="n">
        <v>2</v>
      </c>
      <c r="F69" s="19" t="n">
        <v>71.21</v>
      </c>
      <c r="G69" s="8" t="n">
        <f aca="false">IFERROR(INDEX('TRANS'!$B:$B,MATCH($B69,'TRANS'!$A:$A,0)),IFERROR(INDEX('TRANS'!$B:$B,MATCH(TRIM(SUBSTITUTE($B69,CHAR(160)," ")),'TRANS'!$D:$D,0)),IFERROR(INDEX('Catalog'!$A:$A,MATCH($B69,'Catalog'!$B:$B,0)),IFERROR(INDEX('Catalog'!$A:$A,MATCH(TRIM(SUBSTITUTE($B69,CHAR(160)," ")),'Catalog'!$C:$C,0)),""))))</f>
        <v>4413372</v>
      </c>
      <c r="H69" s="8" t="str">
        <f aca="false">IFERROR(INDEX('TRANS'!$C:$C,MATCH($B69,'TRANS'!$A:$A,0)),IFERROR(INDEX('Catalog'!$B:$B,MATCH($G69,'Catalog'!$A:$A,0)),$B69))</f>
        <v>302 W מדרס לאישה</v>
      </c>
      <c r="I69" s="8" t="str">
        <f aca="false">IF($G69="","Unmatched","Matched")</f>
        <v>Matched</v>
      </c>
    </row>
    <row r="70" customFormat="false" ht="15" hidden="false" customHeight="false" outlineLevel="0" collapsed="false">
      <c r="A70" s="8" t="s">
        <v>51</v>
      </c>
      <c r="B70" s="8" t="s">
        <v>116</v>
      </c>
      <c r="C70" s="19" t="n">
        <v>5</v>
      </c>
      <c r="D70" s="19" t="n">
        <v>499.72</v>
      </c>
      <c r="E70" s="19" t="n">
        <v>3</v>
      </c>
      <c r="F70" s="19" t="n">
        <v>156.18</v>
      </c>
      <c r="G70" s="8" t="n">
        <f aca="false">IFERROR(INDEX('TRANS'!$B:$B,MATCH($B70,'TRANS'!$A:$A,0)),IFERROR(INDEX('TRANS'!$B:$B,MATCH(TRIM(SUBSTITUTE($B70,CHAR(160)," ")),'TRANS'!$D:$D,0)),IFERROR(INDEX('Catalog'!$A:$A,MATCH($B70,'Catalog'!$B:$B,0)),IFERROR(INDEX('Catalog'!$A:$A,MATCH(TRIM(SUBSTITUTE($B70,CHAR(160)," ")),'Catalog'!$C:$C,0)),""))))</f>
        <v>4413155</v>
      </c>
      <c r="H70" s="8" t="str">
        <f aca="false">IFERROR(INDEX('TRANS'!$C:$C,MATCH($B70,'TRANS'!$A:$A,0)),IFERROR(INDEX('Catalog'!$B:$B,MATCH($G70,'Catalog'!$A:$A,0)),$B70))</f>
        <v>305GA מדרס אורטופ.מתכוון39-40</v>
      </c>
      <c r="I70" s="8" t="str">
        <f aca="false">IF($G70="","Unmatched","Matched")</f>
        <v>Matched</v>
      </c>
    </row>
    <row r="71" customFormat="false" ht="15" hidden="false" customHeight="false" outlineLevel="0" collapsed="false">
      <c r="A71" s="8" t="s">
        <v>51</v>
      </c>
      <c r="B71" s="8" t="s">
        <v>117</v>
      </c>
      <c r="C71" s="19" t="n">
        <v>4</v>
      </c>
      <c r="D71" s="19" t="n">
        <v>404.47</v>
      </c>
      <c r="E71" s="19" t="n">
        <v>1</v>
      </c>
      <c r="F71" s="19" t="n">
        <v>62.47</v>
      </c>
      <c r="G71" s="8" t="n">
        <f aca="false">IFERROR(INDEX('TRANS'!$B:$B,MATCH($B71,'TRANS'!$A:$A,0)),IFERROR(INDEX('TRANS'!$B:$B,MATCH(TRIM(SUBSTITUTE($B71,CHAR(160)," ")),'TRANS'!$D:$D,0)),IFERROR(INDEX('Catalog'!$A:$A,MATCH($B71,'Catalog'!$B:$B,0)),IFERROR(INDEX('Catalog'!$A:$A,MATCH(TRIM(SUBSTITUTE($B71,CHAR(160)," ")),'Catalog'!$C:$C,0)),""))))</f>
        <v>4413156</v>
      </c>
      <c r="H71" s="8" t="str">
        <f aca="false">IFERROR(INDEX('TRANS'!$C:$C,MATCH($B71,'TRANS'!$A:$A,0)),IFERROR(INDEX('Catalog'!$B:$B,MATCH($G71,'Catalog'!$A:$A,0)),$B71))</f>
        <v>305GA מדרס אורטופ.מתכוון41-42</v>
      </c>
      <c r="I71" s="8" t="str">
        <f aca="false">IF($G71="","Unmatched","Matched")</f>
        <v>Matched</v>
      </c>
    </row>
    <row r="72" customFormat="false" ht="15" hidden="false" customHeight="false" outlineLevel="0" collapsed="false">
      <c r="A72" s="8" t="s">
        <v>51</v>
      </c>
      <c r="B72" s="8" t="s">
        <v>118</v>
      </c>
      <c r="C72" s="19" t="n">
        <v>2</v>
      </c>
      <c r="D72" s="19" t="n">
        <v>185.84</v>
      </c>
      <c r="E72" s="19" t="n">
        <v>1</v>
      </c>
      <c r="F72" s="19" t="n">
        <v>93.7</v>
      </c>
      <c r="G72" s="8" t="n">
        <f aca="false">IFERROR(INDEX('TRANS'!$B:$B,MATCH($B72,'TRANS'!$A:$A,0)),IFERROR(INDEX('TRANS'!$B:$B,MATCH(TRIM(SUBSTITUTE($B72,CHAR(160)," ")),'TRANS'!$D:$D,0)),IFERROR(INDEX('Catalog'!$A:$A,MATCH($B72,'Catalog'!$B:$B,0)),IFERROR(INDEX('Catalog'!$A:$A,MATCH(TRIM(SUBSTITUTE($B72,CHAR(160)," ")),'Catalog'!$C:$C,0)),""))))</f>
        <v>4413157</v>
      </c>
      <c r="H72" s="8" t="str">
        <f aca="false">IFERROR(INDEX('TRANS'!$C:$C,MATCH($B72,'TRANS'!$A:$A,0)),IFERROR(INDEX('Catalog'!$B:$B,MATCH($G72,'Catalog'!$A:$A,0)),$B72))</f>
        <v>305GA מדרס אורטופ.מתכוון43-44</v>
      </c>
      <c r="I72" s="8" t="str">
        <f aca="false">IF($G72="","Unmatched","Matched")</f>
        <v>Matched</v>
      </c>
    </row>
    <row r="73" customFormat="false" ht="15" hidden="false" customHeight="false" outlineLevel="0" collapsed="false">
      <c r="A73" s="8" t="s">
        <v>51</v>
      </c>
      <c r="B73" s="8" t="s">
        <v>119</v>
      </c>
      <c r="C73" s="19" t="n">
        <v>1</v>
      </c>
      <c r="D73" s="19" t="n">
        <v>93.7</v>
      </c>
      <c r="E73" s="19" t="n">
        <v>1</v>
      </c>
      <c r="F73" s="19" t="n">
        <v>93.7</v>
      </c>
      <c r="G73" s="8" t="n">
        <f aca="false">IFERROR(INDEX('TRANS'!$B:$B,MATCH($B73,'TRANS'!$A:$A,0)),IFERROR(INDEX('TRANS'!$B:$B,MATCH(TRIM(SUBSTITUTE($B73,CHAR(160)," ")),'TRANS'!$D:$D,0)),IFERROR(INDEX('Catalog'!$A:$A,MATCH($B73,'Catalog'!$B:$B,0)),IFERROR(INDEX('Catalog'!$A:$A,MATCH(TRIM(SUBSTITUTE($B73,CHAR(160)," ")),'Catalog'!$C:$C,0)),""))))</f>
        <v>4413158</v>
      </c>
      <c r="H73" s="8" t="str">
        <f aca="false">IFERROR(INDEX('TRANS'!$C:$C,MATCH($B73,'TRANS'!$A:$A,0)),IFERROR(INDEX('Catalog'!$B:$B,MATCH($G73,'Catalog'!$A:$A,0)),$B73))</f>
        <v>305GA מדרס אורטופ.מתכוון45-46</v>
      </c>
      <c r="I73" s="8" t="str">
        <f aca="false">IF($G73="","Unmatched","Matched")</f>
        <v>Matched</v>
      </c>
    </row>
    <row r="74" customFormat="false" ht="15" hidden="false" customHeight="false" outlineLevel="0" collapsed="false">
      <c r="A74" s="8" t="s">
        <v>51</v>
      </c>
      <c r="B74" s="8" t="s">
        <v>120</v>
      </c>
      <c r="C74" s="19" t="n">
        <v>2</v>
      </c>
      <c r="D74" s="19" t="n">
        <v>175.71</v>
      </c>
      <c r="E74" s="19" t="n">
        <v>1</v>
      </c>
      <c r="F74" s="19" t="n">
        <v>83.43</v>
      </c>
      <c r="G74" s="8" t="n">
        <f aca="false">IFERROR(INDEX('TRANS'!$B:$B,MATCH($B74,'TRANS'!$A:$A,0)),IFERROR(INDEX('TRANS'!$B:$B,MATCH(TRIM(SUBSTITUTE($B74,CHAR(160)," ")),'TRANS'!$D:$D,0)),IFERROR(INDEX('Catalog'!$A:$A,MATCH($B74,'Catalog'!$B:$B,0)),IFERROR(INDEX('Catalog'!$A:$A,MATCH(TRIM(SUBSTITUTE($B74,CHAR(160)," ")),'Catalog'!$C:$C,0)),""))))</f>
        <v>4416000</v>
      </c>
      <c r="H74" s="8" t="str">
        <f aca="false">IFERROR(INDEX('TRANS'!$C:$C,MATCH($B74,'TRANS'!$A:$A,0)),IFERROR(INDEX('Catalog'!$B:$B,MATCH($G74,'Catalog'!$A:$A,0)),$B74))</f>
        <v>307 L עקבים לדורבן-זוג כריות</v>
      </c>
      <c r="I74" s="8" t="str">
        <f aca="false">IF($G74="","Unmatched","Matched")</f>
        <v>Matched</v>
      </c>
    </row>
    <row r="75" customFormat="false" ht="15" hidden="false" customHeight="false" outlineLevel="0" collapsed="false">
      <c r="A75" s="8" t="s">
        <v>51</v>
      </c>
      <c r="B75" s="8" t="s">
        <v>121</v>
      </c>
      <c r="C75" s="19" t="n">
        <v>4</v>
      </c>
      <c r="D75" s="19" t="n">
        <v>342.56</v>
      </c>
      <c r="E75" s="19" t="n">
        <v>5</v>
      </c>
      <c r="F75" s="19" t="n">
        <v>436.86</v>
      </c>
      <c r="G75" s="8" t="n">
        <f aca="false">IFERROR(INDEX('TRANS'!$B:$B,MATCH($B75,'TRANS'!$A:$A,0)),IFERROR(INDEX('TRANS'!$B:$B,MATCH(TRIM(SUBSTITUTE($B75,CHAR(160)," ")),'TRANS'!$D:$D,0)),IFERROR(INDEX('Catalog'!$A:$A,MATCH($B75,'Catalog'!$B:$B,0)),IFERROR(INDEX('Catalog'!$A:$A,MATCH(TRIM(SUBSTITUTE($B75,CHAR(160)," ")),'Catalog'!$C:$C,0)),""))))</f>
        <v>4416001</v>
      </c>
      <c r="H75" s="8" t="str">
        <f aca="false">IFERROR(INDEX('TRANS'!$C:$C,MATCH($B75,'TRANS'!$A:$A,0)),IFERROR(INDEX('Catalog'!$B:$B,MATCH($G75,'Catalog'!$A:$A,0)),$B75))</f>
        <v>307 M עקבים לדורבן-זוג כריות</v>
      </c>
      <c r="I75" s="8" t="str">
        <f aca="false">IF($G75="","Unmatched","Matched")</f>
        <v>Matched</v>
      </c>
    </row>
    <row r="76" customFormat="false" ht="15" hidden="false" customHeight="false" outlineLevel="0" collapsed="false">
      <c r="A76" s="8" t="s">
        <v>51</v>
      </c>
      <c r="B76" s="8" t="s">
        <v>122</v>
      </c>
      <c r="C76" s="19" t="n">
        <v>1</v>
      </c>
      <c r="D76" s="19" t="n">
        <v>92.14</v>
      </c>
      <c r="E76" s="19" t="n">
        <v>0</v>
      </c>
      <c r="F76" s="19" t="n">
        <v>0</v>
      </c>
      <c r="G76" s="8" t="n">
        <f aca="false">IFERROR(INDEX('TRANS'!$B:$B,MATCH($B76,'TRANS'!$A:$A,0)),IFERROR(INDEX('TRANS'!$B:$B,MATCH(TRIM(SUBSTITUTE($B76,CHAR(160)," ")),'TRANS'!$D:$D,0)),IFERROR(INDEX('Catalog'!$A:$A,MATCH($B76,'Catalog'!$B:$B,0)),IFERROR(INDEX('Catalog'!$A:$A,MATCH(TRIM(SUBSTITUTE($B76,CHAR(160)," ")),'Catalog'!$C:$C,0)),""))))</f>
        <v>4411016</v>
      </c>
      <c r="H76" s="8" t="str">
        <f aca="false">IFERROR(INDEX('TRANS'!$C:$C,MATCH($B76,'TRANS'!$A:$A,0)),IFERROR(INDEX('Catalog'!$B:$B,MATCH($G76,'Catalog'!$A:$A,0)),$B76))</f>
        <v>307 XL כרית סיליקון לעקב</v>
      </c>
      <c r="I76" s="8" t="str">
        <f aca="false">IF($G76="","Unmatched","Matched")</f>
        <v>Matched</v>
      </c>
    </row>
    <row r="77" customFormat="false" ht="15" hidden="false" customHeight="false" outlineLevel="0" collapsed="false">
      <c r="A77" s="8" t="s">
        <v>51</v>
      </c>
      <c r="B77" s="8" t="s">
        <v>123</v>
      </c>
      <c r="C77" s="19" t="n">
        <v>4</v>
      </c>
      <c r="D77" s="19" t="n">
        <v>263.82</v>
      </c>
      <c r="E77" s="19" t="n">
        <v>4</v>
      </c>
      <c r="F77" s="19" t="n">
        <v>243.53</v>
      </c>
      <c r="G77" s="8" t="n">
        <f aca="false">IFERROR(INDEX('TRANS'!$B:$B,MATCH($B77,'TRANS'!$A:$A,0)),IFERROR(INDEX('TRANS'!$B:$B,MATCH(TRIM(SUBSTITUTE($B77,CHAR(160)," ")),'TRANS'!$D:$D,0)),IFERROR(INDEX('Catalog'!$A:$A,MATCH($B77,'Catalog'!$B:$B,0)),IFERROR(INDEX('Catalog'!$A:$A,MATCH(TRIM(SUBSTITUTE($B77,CHAR(160)," ")),'Catalog'!$C:$C,0)),""))))</f>
        <v>4416005</v>
      </c>
      <c r="H77" s="8" t="str">
        <f aca="false">IFERROR(INDEX('TRANS'!$C:$C,MATCH($B77,'TRANS'!$A:$A,0)),IFERROR(INDEX('Catalog'!$B:$B,MATCH($G77,'Catalog'!$A:$A,0)),$B77))</f>
        <v>308 Mעקבים סיליק.כחול לדורבן</v>
      </c>
      <c r="I77" s="8" t="str">
        <f aca="false">IF($G77="","Unmatched","Matched")</f>
        <v>Matched</v>
      </c>
    </row>
    <row r="78" customFormat="false" ht="15" hidden="false" customHeight="false" outlineLevel="0" collapsed="false">
      <c r="A78" s="8" t="s">
        <v>51</v>
      </c>
      <c r="B78" s="8" t="s">
        <v>124</v>
      </c>
      <c r="C78" s="19" t="n">
        <v>7</v>
      </c>
      <c r="D78" s="19" t="n">
        <v>134.09</v>
      </c>
      <c r="E78" s="19" t="n">
        <v>1</v>
      </c>
      <c r="F78" s="19" t="n">
        <v>0.01</v>
      </c>
      <c r="G78" s="8" t="n">
        <f aca="false">IFERROR(INDEX('TRANS'!$B:$B,MATCH($B78,'TRANS'!$A:$A,0)),IFERROR(INDEX('TRANS'!$B:$B,MATCH(TRIM(SUBSTITUTE($B78,CHAR(160)," ")),'TRANS'!$D:$D,0)),IFERROR(INDEX('Catalog'!$A:$A,MATCH($B78,'Catalog'!$B:$B,0)),IFERROR(INDEX('Catalog'!$A:$A,MATCH(TRIM(SUBSTITUTE($B78,CHAR(160)," ")),'Catalog'!$C:$C,0)),""))))</f>
        <v>4413033</v>
      </c>
      <c r="H78" s="8" t="str">
        <f aca="false">IFERROR(INDEX('TRANS'!$C:$C,MATCH($B78,'TRANS'!$A:$A,0)),IFERROR(INDEX('Catalog'!$B:$B,MATCH($G78,'Catalog'!$A:$A,0)),$B78))</f>
        <v>311'מדב.ג'ל למניעת שפשוף 5 יח</v>
      </c>
      <c r="I78" s="8" t="str">
        <f aca="false">IF($G78="","Unmatched","Matched")</f>
        <v>Matched</v>
      </c>
    </row>
    <row r="79" customFormat="false" ht="15" hidden="false" customHeight="false" outlineLevel="0" collapsed="false">
      <c r="A79" s="8" t="s">
        <v>51</v>
      </c>
      <c r="B79" s="8" t="s">
        <v>125</v>
      </c>
      <c r="C79" s="19" t="n">
        <v>7</v>
      </c>
      <c r="D79" s="19" t="n">
        <v>148.81</v>
      </c>
      <c r="E79" s="19" t="n">
        <v>1</v>
      </c>
      <c r="F79" s="19" t="n">
        <v>21.98</v>
      </c>
      <c r="G79" s="8" t="n">
        <f aca="false">IFERROR(INDEX('TRANS'!$B:$B,MATCH($B79,'TRANS'!$A:$A,0)),IFERROR(INDEX('TRANS'!$B:$B,MATCH(TRIM(SUBSTITUTE($B79,CHAR(160)," ")),'TRANS'!$D:$D,0)),IFERROR(INDEX('Catalog'!$A:$A,MATCH($B79,'Catalog'!$B:$B,0)),IFERROR(INDEX('Catalog'!$A:$A,MATCH(TRIM(SUBSTITUTE($B79,CHAR(160)," ")),'Catalog'!$C:$C,0)),""))))</f>
        <v>4413034</v>
      </c>
      <c r="H79" s="8" t="str">
        <f aca="false">IFERROR(INDEX('TRANS'!$C:$C,MATCH($B79,'TRANS'!$A:$A,0)),IFERROR(INDEX('Catalog'!$B:$B,MATCH($G79,'Catalog'!$A:$A,0)),$B79))</f>
        <v>312 9 מ""""ס להתאמהX5 מדבקה גדולה</v>
      </c>
      <c r="I79" s="8" t="str">
        <f aca="false">IF($G79="","Unmatched","Matched")</f>
        <v>Matched</v>
      </c>
    </row>
    <row r="80" customFormat="false" ht="15" hidden="false" customHeight="false" outlineLevel="0" collapsed="false">
      <c r="A80" s="8" t="s">
        <v>51</v>
      </c>
      <c r="B80" s="8" t="s">
        <v>126</v>
      </c>
      <c r="C80" s="19" t="n">
        <v>7</v>
      </c>
      <c r="D80" s="19" t="n">
        <v>133.6</v>
      </c>
      <c r="E80" s="19" t="n">
        <v>1</v>
      </c>
      <c r="F80" s="19" t="n">
        <v>23.86</v>
      </c>
      <c r="G80" s="8" t="n">
        <f aca="false">IFERROR(INDEX('TRANS'!$B:$B,MATCH($B80,'TRANS'!$A:$A,0)),IFERROR(INDEX('TRANS'!$B:$B,MATCH(TRIM(SUBSTITUTE($B80,CHAR(160)," ")),'TRANS'!$D:$D,0)),IFERROR(INDEX('Catalog'!$A:$A,MATCH($B80,'Catalog'!$B:$B,0)),IFERROR(INDEX('Catalog'!$A:$A,MATCH(TRIM(SUBSTITUTE($B80,CHAR(160)," ")),'Catalog'!$C:$C,0)),""))))</f>
        <v>4415297</v>
      </c>
      <c r="H80" s="8" t="str">
        <f aca="false">IFERROR(INDEX('TRANS'!$C:$C,MATCH($B80,'TRANS'!$A:$A,0)),IFERROR(INDEX('Catalog'!$B:$B,MATCH($G80,'Catalog'!$A:$A,0)),$B80))</f>
        <v>313 סט פלסטרים נגד שפשופים</v>
      </c>
      <c r="I80" s="8" t="str">
        <f aca="false">IF($G80="","Unmatched","Matched")</f>
        <v>Matched</v>
      </c>
    </row>
    <row r="81" customFormat="false" ht="15" hidden="false" customHeight="false" outlineLevel="0" collapsed="false">
      <c r="A81" s="8" t="s">
        <v>51</v>
      </c>
      <c r="B81" s="8" t="s">
        <v>127</v>
      </c>
      <c r="C81" s="19" t="n">
        <v>0</v>
      </c>
      <c r="D81" s="19" t="n">
        <v>0</v>
      </c>
      <c r="E81" s="19" t="n">
        <v>1</v>
      </c>
      <c r="F81" s="19" t="n">
        <v>212.75</v>
      </c>
      <c r="G81" s="8" t="n">
        <f aca="false">IFERROR(INDEX('TRANS'!$B:$B,MATCH($B81,'TRANS'!$A:$A,0)),IFERROR(INDEX('TRANS'!$B:$B,MATCH(TRIM(SUBSTITUTE($B81,CHAR(160)," ")),'TRANS'!$D:$D,0)),IFERROR(INDEX('Catalog'!$A:$A,MATCH($B81,'Catalog'!$B:$B,0)),IFERROR(INDEX('Catalog'!$A:$A,MATCH(TRIM(SUBSTITUTE($B81,CHAR(160)," ")),'Catalog'!$C:$C,0)),""))))</f>
        <v>4415013</v>
      </c>
      <c r="H81" s="8" t="str">
        <f aca="false">IFERROR(INDEX('TRANS'!$C:$C,MATCH($B81,'TRANS'!$A:$A,0)),IFERROR(INDEX('Catalog'!$B:$B,MATCH($G81,'Catalog'!$A:$A,0)),$B81))</f>
        <v>32 XL סד קרסול+מוטות אלומיניום</v>
      </c>
      <c r="I81" s="8" t="str">
        <f aca="false">IF($G81="","Unmatched","Matched")</f>
        <v>Matched</v>
      </c>
    </row>
    <row r="82" customFormat="false" ht="15" hidden="false" customHeight="false" outlineLevel="0" collapsed="false">
      <c r="A82" s="8" t="s">
        <v>51</v>
      </c>
      <c r="B82" s="8" t="s">
        <v>128</v>
      </c>
      <c r="C82" s="19" t="n">
        <v>4</v>
      </c>
      <c r="D82" s="19" t="n">
        <v>83.75</v>
      </c>
      <c r="E82" s="19" t="n">
        <v>0</v>
      </c>
      <c r="F82" s="19" t="n">
        <v>0</v>
      </c>
      <c r="G82" s="8" t="n">
        <f aca="false">IFERROR(INDEX('TRANS'!$B:$B,MATCH($B82,'TRANS'!$A:$A,0)),IFERROR(INDEX('TRANS'!$B:$B,MATCH(TRIM(SUBSTITUTE($B82,CHAR(160)," ")),'TRANS'!$D:$D,0)),IFERROR(INDEX('Catalog'!$A:$A,MATCH($B82,'Catalog'!$B:$B,0)),IFERROR(INDEX('Catalog'!$A:$A,MATCH(TRIM(SUBSTITUTE($B82,CHAR(160)," ")),'Catalog'!$C:$C,0)),""))))</f>
        <v>4402007</v>
      </c>
      <c r="H82" s="8" t="str">
        <f aca="false">IFERROR(INDEX('TRANS'!$C:$C,MATCH($B82,'TRANS'!$A:$A,0)),IFERROR(INDEX('Catalog'!$B:$B,MATCH($G82,'Catalog'!$A:$A,0)),$B82))</f>
        <v>320 בליסטר פלסטר</v>
      </c>
      <c r="I82" s="8" t="str">
        <f aca="false">IF($G82="","Unmatched","Matched")</f>
        <v>Matched</v>
      </c>
    </row>
    <row r="83" customFormat="false" ht="15" hidden="false" customHeight="false" outlineLevel="0" collapsed="false">
      <c r="A83" s="8" t="s">
        <v>51</v>
      </c>
      <c r="B83" s="8" t="s">
        <v>129</v>
      </c>
      <c r="C83" s="19" t="n">
        <v>1</v>
      </c>
      <c r="D83" s="19" t="n">
        <v>127.91</v>
      </c>
      <c r="E83" s="19" t="n">
        <v>0</v>
      </c>
      <c r="F83" s="19" t="n">
        <v>0</v>
      </c>
      <c r="G83" s="8" t="n">
        <f aca="false">IFERROR(INDEX('TRANS'!$B:$B,MATCH($B83,'TRANS'!$A:$A,0)),IFERROR(INDEX('TRANS'!$B:$B,MATCH(TRIM(SUBSTITUTE($B83,CHAR(160)," ")),'TRANS'!$D:$D,0)),IFERROR(INDEX('Catalog'!$A:$A,MATCH($B83,'Catalog'!$B:$B,0)),IFERROR(INDEX('Catalog'!$A:$A,MATCH(TRIM(SUBSTITUTE($B83,CHAR(160)," ")),'Catalog'!$C:$C,0)),""))))</f>
        <v>4413347</v>
      </c>
      <c r="H83" s="8" t="str">
        <f aca="false">IFERROR(INDEX('TRANS'!$C:$C,MATCH($B83,'TRANS'!$A:$A,0)),IFERROR(INDEX('Catalog'!$B:$B,MATCH($G83,'Catalog'!$A:$A,0)),$B83))</f>
        <v>322-L מגן קרסול+כרית סילקון</v>
      </c>
      <c r="I83" s="8" t="str">
        <f aca="false">IF($G83="","Unmatched","Matched")</f>
        <v>Matched</v>
      </c>
    </row>
    <row r="84" customFormat="false" ht="15" hidden="false" customHeight="false" outlineLevel="0" collapsed="false">
      <c r="A84" s="8" t="s">
        <v>51</v>
      </c>
      <c r="B84" s="8" t="s">
        <v>130</v>
      </c>
      <c r="C84" s="19" t="n">
        <v>1</v>
      </c>
      <c r="D84" s="19" t="n">
        <v>123.23</v>
      </c>
      <c r="E84" s="19" t="n">
        <v>1</v>
      </c>
      <c r="F84" s="19" t="n">
        <v>123.23</v>
      </c>
      <c r="G84" s="8" t="str">
        <f aca="false">IFERROR(INDEX('TRANS'!$B:$B,MATCH($B84,'TRANS'!$A:$A,0)),IFERROR(INDEX('TRANS'!$B:$B,MATCH(TRIM(SUBSTITUTE($B84,CHAR(160)," ")),'TRANS'!$D:$D,0)),IFERROR(INDEX('Catalog'!$A:$A,MATCH($B84,'Catalog'!$B:$B,0)),IFERROR(INDEX('Catalog'!$A:$A,MATCH(TRIM(SUBSTITUTE($B84,CHAR(160)," ")),'Catalog'!$C:$C,0)),""))))</f>
        <v/>
      </c>
      <c r="H84" s="8" t="str">
        <f aca="false">IFERROR(INDEX('TRANS'!$C:$C,MATCH($B84,'TRANS'!$A:$A,0)),IFERROR(INDEX('Catalog'!$B:$B,MATCH($G84,'Catalog'!$A:$A,0)),$B84))</f>
        <v>332B L</v>
      </c>
      <c r="I84" s="8" t="str">
        <f aca="false">IF($G84="","Unmatched","Matched")</f>
        <v>Unmatched</v>
      </c>
    </row>
    <row r="85" customFormat="false" ht="15" hidden="false" customHeight="false" outlineLevel="0" collapsed="false">
      <c r="A85" s="8" t="s">
        <v>51</v>
      </c>
      <c r="B85" s="8" t="s">
        <v>131</v>
      </c>
      <c r="C85" s="19" t="n">
        <v>3</v>
      </c>
      <c r="D85" s="19" t="n">
        <v>213.55</v>
      </c>
      <c r="E85" s="19" t="n">
        <v>0</v>
      </c>
      <c r="F85" s="19" t="n">
        <v>0</v>
      </c>
      <c r="G85" s="8" t="n">
        <f aca="false">IFERROR(INDEX('TRANS'!$B:$B,MATCH($B85,'TRANS'!$A:$A,0)),IFERROR(INDEX('TRANS'!$B:$B,MATCH(TRIM(SUBSTITUTE($B85,CHAR(160)," ")),'TRANS'!$D:$D,0)),IFERROR(INDEX('Catalog'!$A:$A,MATCH($B85,'Catalog'!$B:$B,0)),IFERROR(INDEX('Catalog'!$A:$A,MATCH(TRIM(SUBSTITUTE($B85,CHAR(160)," ")),'Catalog'!$C:$C,0)),""))))</f>
        <v>4413161</v>
      </c>
      <c r="H85" s="8" t="str">
        <f aca="false">IFERROR(INDEX('TRANS'!$C:$C,MATCH($B85,'TRANS'!$A:$A,0)),IFERROR(INDEX('Catalog'!$B:$B,MATCH($G85,'Catalog'!$A:$A,0)),$B85))</f>
        <v>34+ L מגן קרסול עקב סגור+רצוע</v>
      </c>
      <c r="I85" s="8" t="str">
        <f aca="false">IF($G85="","Unmatched","Matched")</f>
        <v>Matched</v>
      </c>
    </row>
    <row r="86" customFormat="false" ht="15" hidden="false" customHeight="false" outlineLevel="0" collapsed="false">
      <c r="A86" s="8" t="s">
        <v>51</v>
      </c>
      <c r="B86" s="8" t="s">
        <v>132</v>
      </c>
      <c r="C86" s="19" t="n">
        <v>1</v>
      </c>
      <c r="D86" s="19" t="n">
        <v>70.26</v>
      </c>
      <c r="E86" s="19" t="n">
        <v>0</v>
      </c>
      <c r="F86" s="19" t="n">
        <v>0</v>
      </c>
      <c r="G86" s="8" t="n">
        <f aca="false">IFERROR(INDEX('TRANS'!$B:$B,MATCH($B86,'TRANS'!$A:$A,0)),IFERROR(INDEX('TRANS'!$B:$B,MATCH(TRIM(SUBSTITUTE($B86,CHAR(160)," ")),'TRANS'!$D:$D,0)),IFERROR(INDEX('Catalog'!$A:$A,MATCH($B86,'Catalog'!$B:$B,0)),IFERROR(INDEX('Catalog'!$A:$A,MATCH(TRIM(SUBSTITUTE($B86,CHAR(160)," ")),'Catalog'!$C:$C,0)),""))))</f>
        <v>4413162</v>
      </c>
      <c r="H86" s="8" t="str">
        <f aca="false">IFERROR(INDEX('TRANS'!$C:$C,MATCH($B86,'TRANS'!$A:$A,0)),IFERROR(INDEX('Catalog'!$B:$B,MATCH($G86,'Catalog'!$A:$A,0)),$B86))</f>
        <v>34+XL מגן קרסול עקב סגור+רצוע</v>
      </c>
      <c r="I86" s="8" t="str">
        <f aca="false">IF($G86="","Unmatched","Matched")</f>
        <v>Matched</v>
      </c>
    </row>
    <row r="87" customFormat="false" ht="15" hidden="false" customHeight="false" outlineLevel="0" collapsed="false">
      <c r="A87" s="8" t="s">
        <v>51</v>
      </c>
      <c r="B87" s="8" t="s">
        <v>133</v>
      </c>
      <c r="C87" s="19" t="n">
        <v>7</v>
      </c>
      <c r="D87" s="19" t="n">
        <v>220.39</v>
      </c>
      <c r="E87" s="19" t="n">
        <v>5</v>
      </c>
      <c r="F87" s="19" t="n">
        <v>123.56</v>
      </c>
      <c r="G87" s="8" t="n">
        <f aca="false">IFERROR(INDEX('TRANS'!$B:$B,MATCH($B87,'TRANS'!$A:$A,0)),IFERROR(INDEX('TRANS'!$B:$B,MATCH(TRIM(SUBSTITUTE($B87,CHAR(160)," ")),'TRANS'!$D:$D,0)),IFERROR(INDEX('Catalog'!$A:$A,MATCH($B87,'Catalog'!$B:$B,0)),IFERROR(INDEX('Catalog'!$A:$A,MATCH(TRIM(SUBSTITUTE($B87,CHAR(160)," ")),'Catalog'!$C:$C,0)),""))))</f>
        <v>4413048</v>
      </c>
      <c r="H87" s="8" t="str">
        <f aca="false">IFERROR(INDEX('TRANS'!$C:$C,MATCH($B87,'TRANS'!$A:$A,0)),IFERROR(INDEX('Catalog'!$B:$B,MATCH($G87,'Catalog'!$A:$A,0)),$B87))</f>
        <v>35 L מגן קרסול לבן</v>
      </c>
      <c r="I87" s="8" t="str">
        <f aca="false">IF($G87="","Unmatched","Matched")</f>
        <v>Matched</v>
      </c>
    </row>
    <row r="88" customFormat="false" ht="15" hidden="false" customHeight="false" outlineLevel="0" collapsed="false">
      <c r="A88" s="8" t="s">
        <v>51</v>
      </c>
      <c r="B88" s="8" t="s">
        <v>134</v>
      </c>
      <c r="C88" s="19" t="n">
        <v>3</v>
      </c>
      <c r="D88" s="19" t="n">
        <v>102.98</v>
      </c>
      <c r="E88" s="19" t="n">
        <v>1</v>
      </c>
      <c r="F88" s="19" t="n">
        <v>30.89</v>
      </c>
      <c r="G88" s="8" t="n">
        <f aca="false">IFERROR(INDEX('TRANS'!$B:$B,MATCH($B88,'TRANS'!$A:$A,0)),IFERROR(INDEX('TRANS'!$B:$B,MATCH(TRIM(SUBSTITUTE($B88,CHAR(160)," ")),'TRANS'!$D:$D,0)),IFERROR(INDEX('Catalog'!$A:$A,MATCH($B88,'Catalog'!$B:$B,0)),IFERROR(INDEX('Catalog'!$A:$A,MATCH(TRIM(SUBSTITUTE($B88,CHAR(160)," ")),'Catalog'!$C:$C,0)),""))))</f>
        <v>4413049</v>
      </c>
      <c r="H88" s="8" t="str">
        <f aca="false">IFERROR(INDEX('TRANS'!$C:$C,MATCH($B88,'TRANS'!$A:$A,0)),IFERROR(INDEX('Catalog'!$B:$B,MATCH($G88,'Catalog'!$A:$A,0)),$B88))</f>
        <v>35 M מגן קרסול לבן</v>
      </c>
      <c r="I88" s="8" t="str">
        <f aca="false">IF($G88="","Unmatched","Matched")</f>
        <v>Matched</v>
      </c>
    </row>
    <row r="89" customFormat="false" ht="15" hidden="false" customHeight="false" outlineLevel="0" collapsed="false">
      <c r="A89" s="8" t="s">
        <v>51</v>
      </c>
      <c r="B89" s="8" t="s">
        <v>135</v>
      </c>
      <c r="C89" s="19" t="n">
        <v>1</v>
      </c>
      <c r="D89" s="19" t="n">
        <v>30.89</v>
      </c>
      <c r="E89" s="19" t="n">
        <v>2</v>
      </c>
      <c r="F89" s="19" t="n">
        <v>61.78</v>
      </c>
      <c r="G89" s="8" t="n">
        <f aca="false">IFERROR(INDEX('TRANS'!$B:$B,MATCH($B89,'TRANS'!$A:$A,0)),IFERROR(INDEX('TRANS'!$B:$B,MATCH(TRIM(SUBSTITUTE($B89,CHAR(160)," ")),'TRANS'!$D:$D,0)),IFERROR(INDEX('Catalog'!$A:$A,MATCH($B89,'Catalog'!$B:$B,0)),IFERROR(INDEX('Catalog'!$A:$A,MATCH(TRIM(SUBSTITUTE($B89,CHAR(160)," ")),'Catalog'!$C:$C,0)),""))))</f>
        <v>4413490</v>
      </c>
      <c r="H89" s="8" t="str">
        <f aca="false">IFERROR(INDEX('TRANS'!$C:$C,MATCH($B89,'TRANS'!$A:$A,0)),IFERROR(INDEX('Catalog'!$B:$B,MATCH($G89,'Catalog'!$A:$A,0)),$B89))</f>
        <v>35B L מגן קרסול שחור</v>
      </c>
      <c r="I89" s="8" t="str">
        <f aca="false">IF($G89="","Unmatched","Matched")</f>
        <v>Matched</v>
      </c>
    </row>
    <row r="90" customFormat="false" ht="15" hidden="false" customHeight="false" outlineLevel="0" collapsed="false">
      <c r="A90" s="8" t="s">
        <v>51</v>
      </c>
      <c r="B90" s="8" t="s">
        <v>136</v>
      </c>
      <c r="C90" s="19" t="n">
        <v>6</v>
      </c>
      <c r="D90" s="19" t="n">
        <v>137.76</v>
      </c>
      <c r="E90" s="19" t="n">
        <v>0</v>
      </c>
      <c r="F90" s="19" t="n">
        <v>0</v>
      </c>
      <c r="G90" s="8" t="n">
        <f aca="false">IFERROR(INDEX('TRANS'!$B:$B,MATCH($B90,'TRANS'!$A:$A,0)),IFERROR(INDEX('TRANS'!$B:$B,MATCH(TRIM(SUBSTITUTE($B90,CHAR(160)," ")),'TRANS'!$D:$D,0)),IFERROR(INDEX('Catalog'!$A:$A,MATCH($B90,'Catalog'!$B:$B,0)),IFERROR(INDEX('Catalog'!$A:$A,MATCH(TRIM(SUBSTITUTE($B90,CHAR(160)," ")),'Catalog'!$C:$C,0)),""))))</f>
        <v>4413492</v>
      </c>
      <c r="H90" s="8" t="str">
        <f aca="false">IFERROR(INDEX('TRANS'!$C:$C,MATCH($B90,'TRANS'!$A:$A,0)),IFERROR(INDEX('Catalog'!$B:$B,MATCH($G90,'Catalog'!$A:$A,0)),$B90))</f>
        <v>35B M מגן קרסול שחור</v>
      </c>
      <c r="I90" s="8" t="str">
        <f aca="false">IF($G90="","Unmatched","Matched")</f>
        <v>Matched</v>
      </c>
    </row>
    <row r="91" customFormat="false" ht="15" hidden="false" customHeight="false" outlineLevel="0" collapsed="false">
      <c r="A91" s="8" t="s">
        <v>51</v>
      </c>
      <c r="B91" s="8" t="s">
        <v>137</v>
      </c>
      <c r="C91" s="19" t="n">
        <v>2</v>
      </c>
      <c r="D91" s="19" t="n">
        <v>59.49</v>
      </c>
      <c r="E91" s="19" t="n">
        <v>0</v>
      </c>
      <c r="F91" s="19" t="n">
        <v>0</v>
      </c>
      <c r="G91" s="8" t="n">
        <f aca="false">IFERROR(INDEX('TRANS'!$B:$B,MATCH($B91,'TRANS'!$A:$A,0)),IFERROR(INDEX('TRANS'!$B:$B,MATCH(TRIM(SUBSTITUTE($B91,CHAR(160)," ")),'TRANS'!$D:$D,0)),IFERROR(INDEX('Catalog'!$A:$A,MATCH($B91,'Catalog'!$B:$B,0)),IFERROR(INDEX('Catalog'!$A:$A,MATCH(TRIM(SUBSTITUTE($B91,CHAR(160)," ")),'Catalog'!$C:$C,0)),""))))</f>
        <v>4413493</v>
      </c>
      <c r="H91" s="8" t="str">
        <f aca="false">IFERROR(INDEX('TRANS'!$C:$C,MATCH($B91,'TRANS'!$A:$A,0)),IFERROR(INDEX('Catalog'!$B:$B,MATCH($G91,'Catalog'!$A:$A,0)),$B91))</f>
        <v>35B S מגן קרסול שחור</v>
      </c>
      <c r="I91" s="8" t="str">
        <f aca="false">IF($G91="","Unmatched","Matched")</f>
        <v>Matched</v>
      </c>
    </row>
    <row r="92" customFormat="false" ht="15" hidden="false" customHeight="false" outlineLevel="0" collapsed="false">
      <c r="A92" s="8" t="s">
        <v>51</v>
      </c>
      <c r="B92" s="8" t="s">
        <v>138</v>
      </c>
      <c r="C92" s="19" t="n">
        <v>1</v>
      </c>
      <c r="D92" s="19" t="n">
        <v>30.89</v>
      </c>
      <c r="E92" s="19" t="n">
        <v>0</v>
      </c>
      <c r="F92" s="19" t="n">
        <v>0</v>
      </c>
      <c r="G92" s="8" t="n">
        <f aca="false">IFERROR(INDEX('TRANS'!$B:$B,MATCH($B92,'TRANS'!$A:$A,0)),IFERROR(INDEX('TRANS'!$B:$B,MATCH(TRIM(SUBSTITUTE($B92,CHAR(160)," ")),'TRANS'!$D:$D,0)),IFERROR(INDEX('Catalog'!$A:$A,MATCH($B92,'Catalog'!$B:$B,0)),IFERROR(INDEX('Catalog'!$A:$A,MATCH(TRIM(SUBSTITUTE($B92,CHAR(160)," ")),'Catalog'!$C:$C,0)),""))))</f>
        <v>4413491</v>
      </c>
      <c r="H92" s="8" t="str">
        <f aca="false">IFERROR(INDEX('TRANS'!$C:$C,MATCH($B92,'TRANS'!$A:$A,0)),IFERROR(INDEX('Catalog'!$B:$B,MATCH($G92,'Catalog'!$A:$A,0)),$B92))</f>
        <v>35B XL מגן קרסול שחור</v>
      </c>
      <c r="I92" s="8" t="str">
        <f aca="false">IF($G92="","Unmatched","Matched")</f>
        <v>Matched</v>
      </c>
    </row>
    <row r="93" customFormat="false" ht="15" hidden="false" customHeight="false" outlineLevel="0" collapsed="false">
      <c r="A93" s="8" t="s">
        <v>51</v>
      </c>
      <c r="B93" s="8" t="s">
        <v>139</v>
      </c>
      <c r="C93" s="19" t="n">
        <v>7</v>
      </c>
      <c r="D93" s="19" t="n">
        <v>216.23</v>
      </c>
      <c r="E93" s="19" t="n">
        <v>0</v>
      </c>
      <c r="F93" s="19" t="n">
        <v>0</v>
      </c>
      <c r="G93" s="8" t="n">
        <f aca="false">IFERROR(INDEX('TRANS'!$B:$B,MATCH($B93,'TRANS'!$A:$A,0)),IFERROR(INDEX('TRANS'!$B:$B,MATCH(TRIM(SUBSTITUTE($B93,CHAR(160)," ")),'TRANS'!$D:$D,0)),IFERROR(INDEX('Catalog'!$A:$A,MATCH($B93,'Catalog'!$B:$B,0)),IFERROR(INDEX('Catalog'!$A:$A,MATCH(TRIM(SUBSTITUTE($B93,CHAR(160)," ")),'Catalog'!$C:$C,0)),""))))</f>
        <v>4413494</v>
      </c>
      <c r="H93" s="8" t="str">
        <f aca="false">IFERROR(INDEX('TRANS'!$C:$C,MATCH($B93,'TRANS'!$A:$A,0)),IFERROR(INDEX('Catalog'!$B:$B,MATCH($G93,'Catalog'!$A:$A,0)),$B93))</f>
        <v>35B XXL מגן קרסול שחור</v>
      </c>
      <c r="I93" s="8" t="str">
        <f aca="false">IF($G93="","Unmatched","Matched")</f>
        <v>Matched</v>
      </c>
    </row>
    <row r="94" customFormat="false" ht="15" hidden="false" customHeight="false" outlineLevel="0" collapsed="false">
      <c r="A94" s="8" t="s">
        <v>51</v>
      </c>
      <c r="B94" s="8" t="s">
        <v>140</v>
      </c>
      <c r="C94" s="19" t="n">
        <v>3</v>
      </c>
      <c r="D94" s="19" t="n">
        <v>92.68</v>
      </c>
      <c r="E94" s="19" t="n">
        <v>0</v>
      </c>
      <c r="F94" s="19" t="n">
        <v>0</v>
      </c>
      <c r="G94" s="8" t="n">
        <f aca="false">IFERROR(INDEX('TRANS'!$B:$B,MATCH($B94,'TRANS'!$A:$A,0)),IFERROR(INDEX('TRANS'!$B:$B,MATCH(TRIM(SUBSTITUTE($B94,CHAR(160)," ")),'TRANS'!$D:$D,0)),IFERROR(INDEX('Catalog'!$A:$A,MATCH($B94,'Catalog'!$B:$B,0)),IFERROR(INDEX('Catalog'!$A:$A,MATCH(TRIM(SUBSTITUTE($B94,CHAR(160)," ")),'Catalog'!$C:$C,0)),""))))</f>
        <v>4413053</v>
      </c>
      <c r="H94" s="8" t="str">
        <f aca="false">IFERROR(INDEX('TRANS'!$C:$C,MATCH($B94,'TRANS'!$A:$A,0)),IFERROR(INDEX('Catalog'!$B:$B,MATCH($G94,'Catalog'!$A:$A,0)),$B94))</f>
        <v>35C L מגן קרסול חום</v>
      </c>
      <c r="I94" s="8" t="str">
        <f aca="false">IF($G94="","Unmatched","Matched")</f>
        <v>Matched</v>
      </c>
    </row>
    <row r="95" customFormat="false" ht="15" hidden="false" customHeight="false" outlineLevel="0" collapsed="false">
      <c r="A95" s="8" t="s">
        <v>51</v>
      </c>
      <c r="B95" s="8" t="s">
        <v>141</v>
      </c>
      <c r="C95" s="19" t="n">
        <v>4</v>
      </c>
      <c r="D95" s="19" t="n">
        <v>119.46</v>
      </c>
      <c r="E95" s="19" t="n">
        <v>1</v>
      </c>
      <c r="F95" s="19" t="n">
        <v>30.89</v>
      </c>
      <c r="G95" s="8" t="n">
        <f aca="false">IFERROR(INDEX('TRANS'!$B:$B,MATCH($B95,'TRANS'!$A:$A,0)),IFERROR(INDEX('TRANS'!$B:$B,MATCH(TRIM(SUBSTITUTE($B95,CHAR(160)," ")),'TRANS'!$D:$D,0)),IFERROR(INDEX('Catalog'!$A:$A,MATCH($B95,'Catalog'!$B:$B,0)),IFERROR(INDEX('Catalog'!$A:$A,MATCH(TRIM(SUBSTITUTE($B95,CHAR(160)," ")),'Catalog'!$C:$C,0)),""))))</f>
        <v>4413054</v>
      </c>
      <c r="H95" s="8" t="str">
        <f aca="false">IFERROR(INDEX('TRANS'!$C:$C,MATCH($B95,'TRANS'!$A:$A,0)),IFERROR(INDEX('Catalog'!$B:$B,MATCH($G95,'Catalog'!$A:$A,0)),$B95))</f>
        <v>35C M מגן קרסול חום</v>
      </c>
      <c r="I95" s="8" t="str">
        <f aca="false">IF($G95="","Unmatched","Matched")</f>
        <v>Matched</v>
      </c>
    </row>
    <row r="96" customFormat="false" ht="15" hidden="false" customHeight="false" outlineLevel="0" collapsed="false">
      <c r="A96" s="8" t="s">
        <v>51</v>
      </c>
      <c r="B96" s="8" t="s">
        <v>142</v>
      </c>
      <c r="C96" s="19" t="n">
        <v>5</v>
      </c>
      <c r="D96" s="19" t="n">
        <v>154.46</v>
      </c>
      <c r="E96" s="19" t="n">
        <v>0</v>
      </c>
      <c r="F96" s="19" t="n">
        <v>0</v>
      </c>
      <c r="G96" s="8" t="n">
        <f aca="false">IFERROR(INDEX('TRANS'!$B:$B,MATCH($B96,'TRANS'!$A:$A,0)),IFERROR(INDEX('TRANS'!$B:$B,MATCH(TRIM(SUBSTITUTE($B96,CHAR(160)," ")),'TRANS'!$D:$D,0)),IFERROR(INDEX('Catalog'!$A:$A,MATCH($B96,'Catalog'!$B:$B,0)),IFERROR(INDEX('Catalog'!$A:$A,MATCH(TRIM(SUBSTITUTE($B96,CHAR(160)," ")),'Catalog'!$C:$C,0)),""))))</f>
        <v>4413052</v>
      </c>
      <c r="H96" s="8" t="str">
        <f aca="false">IFERROR(INDEX('TRANS'!$C:$C,MATCH($B96,'TRANS'!$A:$A,0)),IFERROR(INDEX('Catalog'!$B:$B,MATCH($G96,'Catalog'!$A:$A,0)),$B96))</f>
        <v>35C S מגן קרסול חום</v>
      </c>
      <c r="I96" s="8" t="str">
        <f aca="false">IF($G96="","Unmatched","Matched")</f>
        <v>Matched</v>
      </c>
    </row>
    <row r="97" customFormat="false" ht="15" hidden="false" customHeight="false" outlineLevel="0" collapsed="false">
      <c r="A97" s="8" t="s">
        <v>51</v>
      </c>
      <c r="B97" s="8" t="s">
        <v>143</v>
      </c>
      <c r="C97" s="19" t="n">
        <v>5</v>
      </c>
      <c r="D97" s="19" t="n">
        <v>154.45</v>
      </c>
      <c r="E97" s="19" t="n">
        <v>1</v>
      </c>
      <c r="F97" s="19" t="n">
        <v>30.89</v>
      </c>
      <c r="G97" s="8" t="str">
        <f aca="false">IFERROR(INDEX('TRANS'!$B:$B,MATCH($B97,'TRANS'!$A:$A,0)),IFERROR(INDEX('TRANS'!$B:$B,MATCH(TRIM(SUBSTITUTE($B97,CHAR(160)," ")),'TRANS'!$D:$D,0)),IFERROR(INDEX('Catalog'!$A:$A,MATCH($B97,'Catalog'!$B:$B,0)),IFERROR(INDEX('Catalog'!$A:$A,MATCH(TRIM(SUBSTITUTE($B97,CHAR(160)," ")),'Catalog'!$C:$C,0)),""))))</f>
        <v/>
      </c>
      <c r="H97" s="8" t="str">
        <f aca="false">IFERROR(INDEX('TRANS'!$C:$C,MATCH($B97,'TRANS'!$A:$A,0)),IFERROR(INDEX('Catalog'!$B:$B,MATCH($G97,'Catalog'!$A:$A,0)),$B97))</f>
        <v>35C XS</v>
      </c>
      <c r="I97" s="8" t="str">
        <f aca="false">IF($G97="","Unmatched","Matched")</f>
        <v>Unmatched</v>
      </c>
    </row>
    <row r="98" customFormat="false" ht="15" hidden="false" customHeight="false" outlineLevel="0" collapsed="false">
      <c r="A98" s="8" t="s">
        <v>51</v>
      </c>
      <c r="B98" s="8" t="s">
        <v>144</v>
      </c>
      <c r="C98" s="19" t="n">
        <v>10</v>
      </c>
      <c r="D98" s="19" t="n">
        <v>308.94</v>
      </c>
      <c r="E98" s="19" t="n">
        <v>0</v>
      </c>
      <c r="F98" s="19" t="n">
        <v>0</v>
      </c>
      <c r="G98" s="8" t="str">
        <f aca="false">IFERROR(INDEX('TRANS'!$B:$B,MATCH($B98,'TRANS'!$A:$A,0)),IFERROR(INDEX('TRANS'!$B:$B,MATCH(TRIM(SUBSTITUTE($B98,CHAR(160)," ")),'TRANS'!$D:$D,0)),IFERROR(INDEX('Catalog'!$A:$A,MATCH($B98,'Catalog'!$B:$B,0)),IFERROR(INDEX('Catalog'!$A:$A,MATCH(TRIM(SUBSTITUTE($B98,CHAR(160)," ")),'Catalog'!$C:$C,0)),""))))</f>
        <v/>
      </c>
      <c r="H98" s="8" t="str">
        <f aca="false">IFERROR(INDEX('TRANS'!$C:$C,MATCH($B98,'TRANS'!$A:$A,0)),IFERROR(INDEX('Catalog'!$B:$B,MATCH($G98,'Catalog'!$A:$A,0)),$B98))</f>
        <v>35C XXL</v>
      </c>
      <c r="I98" s="8" t="str">
        <f aca="false">IF($G98="","Unmatched","Matched")</f>
        <v>Unmatched</v>
      </c>
    </row>
    <row r="99" customFormat="false" ht="15" hidden="false" customHeight="false" outlineLevel="0" collapsed="false">
      <c r="A99" s="8" t="s">
        <v>51</v>
      </c>
      <c r="B99" s="8" t="s">
        <v>145</v>
      </c>
      <c r="C99" s="19" t="n">
        <v>7</v>
      </c>
      <c r="D99" s="19" t="n">
        <v>302.75</v>
      </c>
      <c r="E99" s="19" t="n">
        <v>6</v>
      </c>
      <c r="F99" s="19" t="n">
        <v>239.72</v>
      </c>
      <c r="G99" s="8" t="n">
        <f aca="false">IFERROR(INDEX('TRANS'!$B:$B,MATCH($B99,'TRANS'!$A:$A,0)),IFERROR(INDEX('TRANS'!$B:$B,MATCH(TRIM(SUBSTITUTE($B99,CHAR(160)," ")),'TRANS'!$D:$D,0)),IFERROR(INDEX('Catalog'!$A:$A,MATCH($B99,'Catalog'!$B:$B,0)),IFERROR(INDEX('Catalog'!$A:$A,MATCH(TRIM(SUBSTITUTE($B99,CHAR(160)," ")),'Catalog'!$C:$C,0)),""))))</f>
        <v>4421007</v>
      </c>
      <c r="H99" s="8" t="str">
        <f aca="false">IFERROR(INDEX('TRANS'!$C:$C,MATCH($B99,'TRANS'!$A:$A,0)),IFERROR(INDEX('Catalog'!$B:$B,MATCH($G99,'Catalog'!$A:$A,0)),$B99))</f>
        <v>שרוול לגבס קצר רגל</v>
      </c>
      <c r="I99" s="8" t="str">
        <f aca="false">IF($G99="","Unmatched","Matched")</f>
        <v>Matched</v>
      </c>
    </row>
    <row r="100" customFormat="false" ht="15" hidden="false" customHeight="false" outlineLevel="0" collapsed="false">
      <c r="A100" s="8" t="s">
        <v>51</v>
      </c>
      <c r="B100" s="8" t="s">
        <v>146</v>
      </c>
      <c r="C100" s="19" t="n">
        <v>4</v>
      </c>
      <c r="D100" s="19" t="n">
        <v>219.77</v>
      </c>
      <c r="E100" s="19" t="n">
        <v>5</v>
      </c>
      <c r="F100" s="19" t="n">
        <v>234.11</v>
      </c>
      <c r="G100" s="8" t="n">
        <f aca="false">IFERROR(INDEX('TRANS'!$B:$B,MATCH($B100,'TRANS'!$A:$A,0)),IFERROR(INDEX('TRANS'!$B:$B,MATCH(TRIM(SUBSTITUTE($B100,CHAR(160)," ")),'TRANS'!$D:$D,0)),IFERROR(INDEX('Catalog'!$A:$A,MATCH($B100,'Catalog'!$B:$B,0)),IFERROR(INDEX('Catalog'!$A:$A,MATCH(TRIM(SUBSTITUTE($B100,CHAR(160)," ")),'Catalog'!$C:$C,0)),""))))</f>
        <v>4421008</v>
      </c>
      <c r="H100" s="8" t="str">
        <f aca="false">IFERROR(INDEX('TRANS'!$C:$C,MATCH($B100,'TRANS'!$A:$A,0)),IFERROR(INDEX('Catalog'!$B:$B,MATCH($G100,'Catalog'!$A:$A,0)),$B100))</f>
        <v>שרוול לגבס ארוך רגל</v>
      </c>
      <c r="I100" s="8" t="str">
        <f aca="false">IF($G100="","Unmatched","Matched")</f>
        <v>Matched</v>
      </c>
    </row>
    <row r="101" customFormat="false" ht="15" hidden="false" customHeight="false" outlineLevel="0" collapsed="false">
      <c r="A101" s="8" t="s">
        <v>51</v>
      </c>
      <c r="B101" s="8" t="s">
        <v>147</v>
      </c>
      <c r="C101" s="19" t="n">
        <v>11</v>
      </c>
      <c r="D101" s="19" t="n">
        <v>649.42</v>
      </c>
      <c r="E101" s="19" t="n">
        <v>0</v>
      </c>
      <c r="F101" s="19" t="n">
        <v>0</v>
      </c>
      <c r="G101" s="8" t="n">
        <f aca="false">IFERROR(INDEX('TRANS'!$B:$B,MATCH($B101,'TRANS'!$A:$A,0)),IFERROR(INDEX('TRANS'!$B:$B,MATCH(TRIM(SUBSTITUTE($B101,CHAR(160)," ")),'TRANS'!$D:$D,0)),IFERROR(INDEX('Catalog'!$A:$A,MATCH($B101,'Catalog'!$B:$B,0)),IFERROR(INDEX('Catalog'!$A:$A,MATCH(TRIM(SUBSTITUTE($B101,CHAR(160)," ")),'Catalog'!$C:$C,0)),""))))</f>
        <v>4421001</v>
      </c>
      <c r="H101" s="8" t="str">
        <f aca="false">IFERROR(INDEX('TRANS'!$C:$C,MATCH($B101,'TRANS'!$A:$A,0)),IFERROR(INDEX('Catalog'!$B:$B,MATCH($G101,'Catalog'!$A:$A,0)),$B101))</f>
        <v>3611 שרוול מטטרזלי מסיליקון</v>
      </c>
      <c r="I101" s="8" t="str">
        <f aca="false">IF($G101="","Unmatched","Matched")</f>
        <v>Matched</v>
      </c>
    </row>
    <row r="102" customFormat="false" ht="15" hidden="false" customHeight="false" outlineLevel="0" collapsed="false">
      <c r="A102" s="8" t="s">
        <v>51</v>
      </c>
      <c r="B102" s="8" t="s">
        <v>148</v>
      </c>
      <c r="C102" s="19" t="n">
        <v>15</v>
      </c>
      <c r="D102" s="19" t="n">
        <v>449.2</v>
      </c>
      <c r="E102" s="19" t="n">
        <v>21</v>
      </c>
      <c r="F102" s="19" t="n">
        <v>638.85</v>
      </c>
      <c r="G102" s="8" t="n">
        <f aca="false">IFERROR(INDEX('TRANS'!$B:$B,MATCH($B102,'TRANS'!$A:$A,0)),IFERROR(INDEX('TRANS'!$B:$B,MATCH(TRIM(SUBSTITUTE($B102,CHAR(160)," ")),'TRANS'!$D:$D,0)),IFERROR(INDEX('Catalog'!$A:$A,MATCH($B102,'Catalog'!$B:$B,0)),IFERROR(INDEX('Catalog'!$A:$A,MATCH(TRIM(SUBSTITUTE($B102,CHAR(160)," ")),'Catalog'!$C:$C,0)),""))))</f>
        <v>4411000</v>
      </c>
      <c r="H102" s="8" t="str">
        <f aca="false">IFERROR(INDEX('TRANS'!$C:$C,MATCH($B102,'TRANS'!$A:$A,0)),IFERROR(INDEX('Catalog'!$B:$B,MATCH($G102,'Catalog'!$A:$A,0)),$B102))</f>
        <v>כרית מטטרזלי סיליקון362</v>
      </c>
      <c r="I102" s="8" t="str">
        <f aca="false">IF($G102="","Unmatched","Matched")</f>
        <v>Matched</v>
      </c>
    </row>
    <row r="103" customFormat="false" ht="15" hidden="false" customHeight="false" outlineLevel="0" collapsed="false">
      <c r="A103" s="8" t="s">
        <v>51</v>
      </c>
      <c r="B103" s="8" t="s">
        <v>149</v>
      </c>
      <c r="C103" s="19" t="n">
        <v>2</v>
      </c>
      <c r="D103" s="19" t="n">
        <v>65.54</v>
      </c>
      <c r="E103" s="19" t="n">
        <v>7</v>
      </c>
      <c r="F103" s="19" t="n">
        <v>229.37</v>
      </c>
      <c r="G103" s="8" t="n">
        <f aca="false">IFERROR(INDEX('TRANS'!$B:$B,MATCH($B103,'TRANS'!$A:$A,0)),IFERROR(INDEX('TRANS'!$B:$B,MATCH(TRIM(SUBSTITUTE($B103,CHAR(160)," ")),'TRANS'!$D:$D,0)),IFERROR(INDEX('Catalog'!$A:$A,MATCH($B103,'Catalog'!$B:$B,0)),IFERROR(INDEX('Catalog'!$A:$A,MATCH(TRIM(SUBSTITUTE($B103,CHAR(160)," ")),'Catalog'!$C:$C,0)),""))))</f>
        <v>4413058</v>
      </c>
      <c r="H103" s="8" t="str">
        <f aca="false">IFERROR(INDEX('TRANS'!$C:$C,MATCH($B103,'TRANS'!$A:$A,0)),IFERROR(INDEX('Catalog'!$B:$B,MATCH($G103,'Catalog'!$A:$A,0)),$B103))</f>
        <v>3622S מדבקה לשחרור לחץ 2 יח</v>
      </c>
      <c r="I103" s="8" t="str">
        <f aca="false">IF($G103="","Unmatched","Matched")</f>
        <v>Matched</v>
      </c>
    </row>
    <row r="104" customFormat="false" ht="15" hidden="false" customHeight="false" outlineLevel="0" collapsed="false">
      <c r="A104" s="8" t="s">
        <v>51</v>
      </c>
      <c r="B104" s="8" t="s">
        <v>150</v>
      </c>
      <c r="C104" s="19" t="n">
        <v>16</v>
      </c>
      <c r="D104" s="19" t="n">
        <v>408.33</v>
      </c>
      <c r="E104" s="19" t="n">
        <v>0</v>
      </c>
      <c r="F104" s="19" t="n">
        <v>0</v>
      </c>
      <c r="G104" s="8" t="n">
        <f aca="false">IFERROR(INDEX('TRANS'!$B:$B,MATCH($B104,'TRANS'!$A:$A,0)),IFERROR(INDEX('TRANS'!$B:$B,MATCH(TRIM(SUBSTITUTE($B104,CHAR(160)," ")),'TRANS'!$D:$D,0)),IFERROR(INDEX('Catalog'!$A:$A,MATCH($B104,'Catalog'!$B:$B,0)),IFERROR(INDEX('Catalog'!$A:$A,MATCH(TRIM(SUBSTITUTE($B104,CHAR(160)," ")),'Catalog'!$C:$C,0)),""))))</f>
        <v>4411001</v>
      </c>
      <c r="H104" s="8" t="str">
        <f aca="false">IFERROR(INDEX('TRANS'!$C:$C,MATCH($B104,'TRANS'!$A:$A,0)),IFERROR(INDEX('Catalog'!$B:$B,MATCH($G104,'Catalog'!$A:$A,0)),$B104))</f>
        <v>3623 כרית ליישור אצבע פטיש</v>
      </c>
      <c r="I104" s="8" t="str">
        <f aca="false">IF($G104="","Unmatched","Matched")</f>
        <v>Matched</v>
      </c>
    </row>
    <row r="105" customFormat="false" ht="15" hidden="false" customHeight="false" outlineLevel="0" collapsed="false">
      <c r="A105" s="8" t="s">
        <v>51</v>
      </c>
      <c r="B105" s="8" t="s">
        <v>151</v>
      </c>
      <c r="C105" s="19" t="n">
        <v>2</v>
      </c>
      <c r="D105" s="19" t="n">
        <v>56.16</v>
      </c>
      <c r="E105" s="19" t="n">
        <v>19</v>
      </c>
      <c r="F105" s="19" t="n">
        <v>508.36</v>
      </c>
      <c r="G105" s="8" t="str">
        <f aca="false">IFERROR(INDEX('TRANS'!$B:$B,MATCH($B105,'TRANS'!$A:$A,0)),IFERROR(INDEX('TRANS'!$B:$B,MATCH(TRIM(SUBSTITUTE($B105,CHAR(160)," ")),'TRANS'!$D:$D,0)),IFERROR(INDEX('Catalog'!$A:$A,MATCH($B105,'Catalog'!$B:$B,0)),IFERROR(INDEX('Catalog'!$A:$A,MATCH(TRIM(SUBSTITUTE($B105,CHAR(160)," ")),'Catalog'!$C:$C,0)),""))))</f>
        <v/>
      </c>
      <c r="H105" s="8" t="str">
        <f aca="false">IFERROR(INDEX('TRANS'!$C:$C,MATCH($B105,'TRANS'!$A:$A,0)),IFERROR(INDEX('Catalog'!$B:$B,MATCH($G105,'Catalog'!$A:$A,0)),$B105))</f>
        <v>363 L/R</v>
      </c>
      <c r="I105" s="8" t="str">
        <f aca="false">IF($G105="","Unmatched","Matched")</f>
        <v>Unmatched</v>
      </c>
    </row>
    <row r="106" customFormat="false" ht="15" hidden="false" customHeight="false" outlineLevel="0" collapsed="false">
      <c r="A106" s="8" t="s">
        <v>51</v>
      </c>
      <c r="B106" s="8" t="s">
        <v>152</v>
      </c>
      <c r="C106" s="19" t="n">
        <v>28</v>
      </c>
      <c r="D106" s="19" t="n">
        <v>379.94</v>
      </c>
      <c r="E106" s="19" t="n">
        <v>11</v>
      </c>
      <c r="F106" s="19" t="n">
        <v>159.3</v>
      </c>
      <c r="G106" s="8" t="n">
        <f aca="false">IFERROR(INDEX('TRANS'!$B:$B,MATCH($B106,'TRANS'!$A:$A,0)),IFERROR(INDEX('TRANS'!$B:$B,MATCH(TRIM(SUBSTITUTE($B106,CHAR(160)," ")),'TRANS'!$D:$D,0)),IFERROR(INDEX('Catalog'!$A:$A,MATCH($B106,'Catalog'!$B:$B,0)),IFERROR(INDEX('Catalog'!$A:$A,MATCH(TRIM(SUBSTITUTE($B106,CHAR(160)," ")),'Catalog'!$C:$C,0)),""))))</f>
        <v>4413059</v>
      </c>
      <c r="H106" s="8" t="str">
        <f aca="false">IFERROR(INDEX('TRANS'!$C:$C,MATCH($B106,'TRANS'!$A:$A,0)),IFERROR(INDEX('Catalog'!$B:$B,MATCH($G106,'Catalog'!$A:$A,0)),$B106))</f>
        <v>364S Lמפר.אצבע סיליק. ליבל.זוג</v>
      </c>
      <c r="I106" s="8" t="str">
        <f aca="false">IF($G106="","Unmatched","Matched")</f>
        <v>Matched</v>
      </c>
    </row>
    <row r="107" customFormat="false" ht="15" hidden="false" customHeight="false" outlineLevel="0" collapsed="false">
      <c r="A107" s="8" t="s">
        <v>51</v>
      </c>
      <c r="B107" s="8" t="s">
        <v>153</v>
      </c>
      <c r="C107" s="19" t="n">
        <v>3</v>
      </c>
      <c r="D107" s="19" t="n">
        <v>42.41</v>
      </c>
      <c r="E107" s="19" t="n">
        <v>15</v>
      </c>
      <c r="F107" s="19" t="n">
        <v>217.23</v>
      </c>
      <c r="G107" s="8" t="n">
        <f aca="false">IFERROR(INDEX('TRANS'!$B:$B,MATCH($B107,'TRANS'!$A:$A,0)),IFERROR(INDEX('TRANS'!$B:$B,MATCH(TRIM(SUBSTITUTE($B107,CHAR(160)," ")),'TRANS'!$D:$D,0)),IFERROR(INDEX('Catalog'!$A:$A,MATCH($B107,'Catalog'!$B:$B,0)),IFERROR(INDEX('Catalog'!$A:$A,MATCH(TRIM(SUBSTITUTE($B107,CHAR(160)," ")),'Catalog'!$C:$C,0)),""))))</f>
        <v>4413060</v>
      </c>
      <c r="H107" s="8" t="str">
        <f aca="false">IFERROR(INDEX('TRANS'!$C:$C,MATCH($B107,'TRANS'!$A:$A,0)),IFERROR(INDEX('Catalog'!$B:$B,MATCH($G107,'Catalog'!$A:$A,0)),$B107))</f>
        <v>364 XLמפריד אצבע סיליקון ליבלת</v>
      </c>
      <c r="I107" s="8" t="str">
        <f aca="false">IF($G107="","Unmatched","Matched")</f>
        <v>Matched</v>
      </c>
    </row>
    <row r="108" customFormat="false" ht="15" hidden="false" customHeight="false" outlineLevel="0" collapsed="false">
      <c r="A108" s="8" t="s">
        <v>51</v>
      </c>
      <c r="B108" s="8" t="s">
        <v>154</v>
      </c>
      <c r="C108" s="19" t="n">
        <v>13</v>
      </c>
      <c r="D108" s="19" t="n">
        <v>273.58</v>
      </c>
      <c r="E108" s="19" t="n">
        <v>0</v>
      </c>
      <c r="F108" s="19" t="n">
        <v>0</v>
      </c>
      <c r="G108" s="8" t="n">
        <f aca="false">IFERROR(INDEX('TRANS'!$B:$B,MATCH($B108,'TRANS'!$A:$A,0)),IFERROR(INDEX('TRANS'!$B:$B,MATCH(TRIM(SUBSTITUTE($B108,CHAR(160)," ")),'TRANS'!$D:$D,0)),IFERROR(INDEX('Catalog'!$A:$A,MATCH($B108,'Catalog'!$B:$B,0)),IFERROR(INDEX('Catalog'!$A:$A,MATCH(TRIM(SUBSTITUTE($B108,CHAR(160)," ")),'Catalog'!$C:$C,0)),""))))</f>
        <v>4413061</v>
      </c>
      <c r="H108" s="8" t="str">
        <f aca="false">IFERROR(INDEX('TRANS'!$C:$C,MATCH($B108,'TRANS'!$A:$A,0)),IFERROR(INDEX('Catalog'!$B:$B,MATCH($G108,'Catalog'!$A:$A,0)),$B108))</f>
        <v>3641-מיישר בוהן סיליקון קשיח</v>
      </c>
      <c r="I108" s="8" t="str">
        <f aca="false">IF($G108="","Unmatched","Matched")</f>
        <v>Matched</v>
      </c>
    </row>
    <row r="109" customFormat="false" ht="15" hidden="false" customHeight="false" outlineLevel="0" collapsed="false">
      <c r="A109" s="8" t="s">
        <v>51</v>
      </c>
      <c r="B109" s="8" t="s">
        <v>155</v>
      </c>
      <c r="C109" s="19" t="n">
        <v>24</v>
      </c>
      <c r="D109" s="19" t="n">
        <v>320.13</v>
      </c>
      <c r="E109" s="19" t="n">
        <v>7</v>
      </c>
      <c r="F109" s="19" t="n">
        <v>86.91</v>
      </c>
      <c r="G109" s="8" t="n">
        <f aca="false">IFERROR(INDEX('TRANS'!$B:$B,MATCH($B109,'TRANS'!$A:$A,0)),IFERROR(INDEX('TRANS'!$B:$B,MATCH(TRIM(SUBSTITUTE($B109,CHAR(160)," ")),'TRANS'!$D:$D,0)),IFERROR(INDEX('Catalog'!$A:$A,MATCH($B109,'Catalog'!$B:$B,0)),IFERROR(INDEX('Catalog'!$A:$A,MATCH(TRIM(SUBSTITUTE($B109,CHAR(160)," ")),'Catalog'!$C:$C,0)),""))))</f>
        <v>4409000</v>
      </c>
      <c r="H109" s="8" t="str">
        <f aca="false">IFERROR(INDEX('TRANS'!$C:$C,MATCH($B109,'TRANS'!$A:$A,0)),IFERROR(INDEX('Catalog'!$B:$B,MATCH($G109,'Catalog'!$A:$A,0)),$B109))</f>
        <v>365 S-Lטבעת אלסטית מסיליקון</v>
      </c>
      <c r="I109" s="8" t="str">
        <f aca="false">IF($G109="","Unmatched","Matched")</f>
        <v>Matched</v>
      </c>
    </row>
    <row r="110" customFormat="false" ht="15" hidden="false" customHeight="false" outlineLevel="0" collapsed="false">
      <c r="A110" s="8" t="s">
        <v>51</v>
      </c>
      <c r="B110" s="8" t="s">
        <v>156</v>
      </c>
      <c r="C110" s="19" t="n">
        <v>73</v>
      </c>
      <c r="D110" s="19" t="n">
        <v>1325.76</v>
      </c>
      <c r="E110" s="19" t="n">
        <v>41</v>
      </c>
      <c r="F110" s="19" t="n">
        <v>742.82</v>
      </c>
      <c r="G110" s="8" t="n">
        <f aca="false">IFERROR(INDEX('TRANS'!$B:$B,MATCH($B110,'TRANS'!$A:$A,0)),IFERROR(INDEX('TRANS'!$B:$B,MATCH(TRIM(SUBSTITUTE($B110,CHAR(160)," ")),'TRANS'!$D:$D,0)),IFERROR(INDEX('Catalog'!$A:$A,MATCH($B110,'Catalog'!$B:$B,0)),IFERROR(INDEX('Catalog'!$A:$A,MATCH(TRIM(SUBSTITUTE($B110,CHAR(160)," ")),'Catalog'!$C:$C,0)),""))))</f>
        <v>4421000</v>
      </c>
      <c r="H110" s="8" t="str">
        <f aca="false">IFERROR(INDEX('TRANS'!$C:$C,MATCH($B110,'TRANS'!$A:$A,0)),IFERROR(INDEX('Catalog'!$B:$B,MATCH($G110,'Catalog'!$A:$A,0)),$B110))</f>
        <v>3655 שרוול מסיליקון לאצבע</v>
      </c>
      <c r="I110" s="8" t="str">
        <f aca="false">IF($G110="","Unmatched","Matched")</f>
        <v>Matched</v>
      </c>
    </row>
    <row r="111" customFormat="false" ht="15" hidden="false" customHeight="false" outlineLevel="0" collapsed="false">
      <c r="A111" s="8" t="s">
        <v>51</v>
      </c>
      <c r="B111" s="8" t="s">
        <v>157</v>
      </c>
      <c r="C111" s="19" t="n">
        <v>14</v>
      </c>
      <c r="D111" s="19" t="n">
        <v>842.46</v>
      </c>
      <c r="E111" s="19" t="n">
        <v>1</v>
      </c>
      <c r="F111" s="19" t="n">
        <v>66.51</v>
      </c>
      <c r="G111" s="8" t="n">
        <f aca="false">IFERROR(INDEX('TRANS'!$B:$B,MATCH($B111,'TRANS'!$A:$A,0)),IFERROR(INDEX('TRANS'!$B:$B,MATCH(TRIM(SUBSTITUTE($B111,CHAR(160)," ")),'TRANS'!$D:$D,0)),IFERROR(INDEX('Catalog'!$A:$A,MATCH($B111,'Catalog'!$B:$B,0)),IFERROR(INDEX('Catalog'!$A:$A,MATCH(TRIM(SUBSTITUTE($B111,CHAR(160)," ")),'Catalog'!$C:$C,0)),""))))</f>
        <v>4413340</v>
      </c>
      <c r="H111" s="8" t="str">
        <f aca="false">IFERROR(INDEX('TRANS'!$C:$C,MATCH($B111,'TRANS'!$A:$A,0)),IFERROR(INDEX('Catalog'!$B:$B,MATCH($G111,'Catalog'!$A:$A,0)),$B111))</f>
        <v>3666 מפריד הלוקס</v>
      </c>
      <c r="I111" s="8" t="str">
        <f aca="false">IF($G111="","Unmatched","Matched")</f>
        <v>Matched</v>
      </c>
    </row>
    <row r="112" customFormat="false" ht="15" hidden="false" customHeight="false" outlineLevel="0" collapsed="false">
      <c r="A112" s="8" t="s">
        <v>51</v>
      </c>
      <c r="B112" s="8" t="s">
        <v>158</v>
      </c>
      <c r="C112" s="19" t="n">
        <v>4</v>
      </c>
      <c r="D112" s="19" t="n">
        <v>131.07</v>
      </c>
      <c r="E112" s="19" t="n">
        <v>2</v>
      </c>
      <c r="F112" s="19" t="n">
        <v>65.53</v>
      </c>
      <c r="G112" s="8" t="n">
        <f aca="false">IFERROR(INDEX('TRANS'!$B:$B,MATCH($B112,'TRANS'!$A:$A,0)),IFERROR(INDEX('TRANS'!$B:$B,MATCH(TRIM(SUBSTITUTE($B112,CHAR(160)," ")),'TRANS'!$D:$D,0)),IFERROR(INDEX('Catalog'!$A:$A,MATCH($B112,'Catalog'!$B:$B,0)),IFERROR(INDEX('Catalog'!$A:$A,MATCH(TRIM(SUBSTITUTE($B112,CHAR(160)," ")),'Catalog'!$C:$C,0)),""))))</f>
        <v>4413307</v>
      </c>
      <c r="H112" s="8" t="str">
        <f aca="false">IFERROR(INDEX('TRANS'!$C:$C,MATCH($B112,'TRANS'!$A:$A,0)),IFERROR(INDEX('Catalog'!$B:$B,MATCH($G112,'Catalog'!$A:$A,0)),$B112))</f>
        <v>URI 3667 מגן בוניון</v>
      </c>
      <c r="I112" s="8" t="str">
        <f aca="false">IF($G112="","Unmatched","Matched")</f>
        <v>Matched</v>
      </c>
    </row>
    <row r="113" customFormat="false" ht="15" hidden="false" customHeight="false" outlineLevel="0" collapsed="false">
      <c r="A113" s="8" t="s">
        <v>51</v>
      </c>
      <c r="B113" s="8" t="s">
        <v>159</v>
      </c>
      <c r="C113" s="19" t="n">
        <v>5</v>
      </c>
      <c r="D113" s="19" t="n">
        <v>66.97</v>
      </c>
      <c r="E113" s="19" t="n">
        <v>0</v>
      </c>
      <c r="F113" s="19" t="n">
        <v>0</v>
      </c>
      <c r="G113" s="8" t="n">
        <f aca="false">IFERROR(INDEX('TRANS'!$B:$B,MATCH($B113,'TRANS'!$A:$A,0)),IFERROR(INDEX('TRANS'!$B:$B,MATCH(TRIM(SUBSTITUTE($B113,CHAR(160)," ")),'TRANS'!$D:$D,0)),IFERROR(INDEX('Catalog'!$A:$A,MATCH($B113,'Catalog'!$B:$B,0)),IFERROR(INDEX('Catalog'!$A:$A,MATCH(TRIM(SUBSTITUTE($B113,CHAR(160)," ")),'Catalog'!$C:$C,0)),""))))</f>
        <v>4413063</v>
      </c>
      <c r="H113" s="8" t="str">
        <f aca="false">IFERROR(INDEX('TRANS'!$C:$C,MATCH($B113,'TRANS'!$A:$A,0)),IFERROR(INDEX('Catalog'!$B:$B,MATCH($G113,'Catalog'!$A:$A,0)),$B113))</f>
        <v>366S-'מדבק.לשחרור לחץ מיבלת2יח</v>
      </c>
      <c r="I113" s="8" t="str">
        <f aca="false">IF($G113="","Unmatched","Matched")</f>
        <v>Matched</v>
      </c>
    </row>
    <row r="114" customFormat="false" ht="15" hidden="false" customHeight="false" outlineLevel="0" collapsed="false">
      <c r="A114" s="8" t="s">
        <v>51</v>
      </c>
      <c r="B114" s="8" t="s">
        <v>160</v>
      </c>
      <c r="C114" s="19" t="n">
        <v>4</v>
      </c>
      <c r="D114" s="19" t="n">
        <v>149.82</v>
      </c>
      <c r="E114" s="19" t="n">
        <v>2</v>
      </c>
      <c r="F114" s="19" t="n">
        <v>74.9</v>
      </c>
      <c r="G114" s="8" t="n">
        <f aca="false">IFERROR(INDEX('TRANS'!$B:$B,MATCH($B114,'TRANS'!$A:$A,0)),IFERROR(INDEX('TRANS'!$B:$B,MATCH(TRIM(SUBSTITUTE($B114,CHAR(160)," ")),'TRANS'!$D:$D,0)),IFERROR(INDEX('Catalog'!$A:$A,MATCH($B114,'Catalog'!$B:$B,0)),IFERROR(INDEX('Catalog'!$A:$A,MATCH(TRIM(SUBSTITUTE($B114,CHAR(160)," ")),'Catalog'!$C:$C,0)),""))))</f>
        <v>4421003</v>
      </c>
      <c r="H114" s="8" t="str">
        <f aca="false">IFERROR(INDEX('TRANS'!$C:$C,MATCH($B114,'TRANS'!$A:$A,0)),IFERROR(INDEX('Catalog'!$B:$B,MATCH($G114,'Catalog'!$A:$A,0)),$B114))</f>
        <v>3672 שרוול מגן לבוניון</v>
      </c>
      <c r="I114" s="8" t="str">
        <f aca="false">IF($G114="","Unmatched","Matched")</f>
        <v>Matched</v>
      </c>
    </row>
    <row r="115" customFormat="false" ht="15" hidden="false" customHeight="false" outlineLevel="0" collapsed="false">
      <c r="A115" s="8" t="s">
        <v>51</v>
      </c>
      <c r="B115" s="8" t="s">
        <v>161</v>
      </c>
      <c r="C115" s="19" t="n">
        <v>32</v>
      </c>
      <c r="D115" s="19" t="n">
        <v>1261.32</v>
      </c>
      <c r="E115" s="19" t="n">
        <v>11</v>
      </c>
      <c r="F115" s="19" t="n">
        <v>402.66</v>
      </c>
      <c r="G115" s="8" t="n">
        <f aca="false">IFERROR(INDEX('TRANS'!$B:$B,MATCH($B115,'TRANS'!$A:$A,0)),IFERROR(INDEX('TRANS'!$B:$B,MATCH(TRIM(SUBSTITUTE($B115,CHAR(160)," ")),'TRANS'!$D:$D,0)),IFERROR(INDEX('Catalog'!$A:$A,MATCH($B115,'Catalog'!$B:$B,0)),IFERROR(INDEX('Catalog'!$A:$A,MATCH(TRIM(SUBSTITUTE($B115,CHAR(160)," ")),'Catalog'!$C:$C,0)),""))))</f>
        <v>4413370</v>
      </c>
      <c r="H115" s="8" t="str">
        <f aca="false">IFERROR(INDEX('TRANS'!$C:$C,MATCH($B115,'TRANS'!$A:$A,0)),IFERROR(INDEX('Catalog'!$B:$B,MATCH($G115,'Catalog'!$A:$A,0)),$B115))</f>
        <v>3674 0 מ.בוניון+מפריד אצבע</v>
      </c>
      <c r="I115" s="8" t="str">
        <f aca="false">IF($G115="","Unmatched","Matched")</f>
        <v>Matched</v>
      </c>
    </row>
    <row r="116" customFormat="false" ht="15" hidden="false" customHeight="false" outlineLevel="0" collapsed="false">
      <c r="A116" s="8" t="s">
        <v>51</v>
      </c>
      <c r="B116" s="8" t="s">
        <v>162</v>
      </c>
      <c r="C116" s="19" t="n">
        <v>0</v>
      </c>
      <c r="D116" s="19" t="n">
        <v>0</v>
      </c>
      <c r="E116" s="19" t="n">
        <v>7</v>
      </c>
      <c r="F116" s="19" t="n">
        <v>212.94</v>
      </c>
      <c r="G116" s="8" t="n">
        <f aca="false">IFERROR(INDEX('TRANS'!$B:$B,MATCH($B116,'TRANS'!$A:$A,0)),IFERROR(INDEX('TRANS'!$B:$B,MATCH(TRIM(SUBSTITUTE($B116,CHAR(160)," ")),'TRANS'!$D:$D,0)),IFERROR(INDEX('Catalog'!$A:$A,MATCH($B116,'Catalog'!$B:$B,0)),IFERROR(INDEX('Catalog'!$A:$A,MATCH(TRIM(SUBSTITUTE($B116,CHAR(160)," ")),'Catalog'!$C:$C,0)),""))))</f>
        <v>4413371</v>
      </c>
      <c r="H116" s="8" t="str">
        <f aca="false">IFERROR(INDEX('TRANS'!$C:$C,MATCH($B116,'TRANS'!$A:$A,0)),IFERROR(INDEX('Catalog'!$B:$B,MATCH($G116,'Catalog'!$A:$A,0)),$B116))</f>
        <v>3675    מגן זרת מסיליקון</v>
      </c>
      <c r="I116" s="8" t="str">
        <f aca="false">IF($G116="","Unmatched","Matched")</f>
        <v>Matched</v>
      </c>
    </row>
    <row r="117" customFormat="false" ht="15" hidden="false" customHeight="false" outlineLevel="0" collapsed="false">
      <c r="A117" s="8" t="s">
        <v>51</v>
      </c>
      <c r="B117" s="8" t="s">
        <v>163</v>
      </c>
      <c r="C117" s="19" t="n">
        <v>27</v>
      </c>
      <c r="D117" s="19" t="n">
        <v>601.58</v>
      </c>
      <c r="E117" s="19" t="n">
        <v>3</v>
      </c>
      <c r="F117" s="19" t="n">
        <v>71.58</v>
      </c>
      <c r="G117" s="8" t="n">
        <f aca="false">IFERROR(INDEX('TRANS'!$B:$B,MATCH($B117,'TRANS'!$A:$A,0)),IFERROR(INDEX('TRANS'!$B:$B,MATCH(TRIM(SUBSTITUTE($B117,CHAR(160)," ")),'TRANS'!$D:$D,0)),IFERROR(INDEX('Catalog'!$A:$A,MATCH($B117,'Catalog'!$B:$B,0)),IFERROR(INDEX('Catalog'!$A:$A,MATCH(TRIM(SUBSTITUTE($B117,CHAR(160)," ")),'Catalog'!$C:$C,0)),""))))</f>
        <v>4401000</v>
      </c>
      <c r="H117" s="8" t="str">
        <f aca="false">IFERROR(INDEX('TRANS'!$C:$C,MATCH($B117,'TRANS'!$A:$A,0)),IFERROR(INDEX('Catalog'!$B:$B,MATCH($G117,'Catalog'!$A:$A,0)),$B117))</f>
        <v>369  S-L אצבעון מסיליקון יחידה</v>
      </c>
      <c r="I117" s="8" t="str">
        <f aca="false">IF($G117="","Unmatched","Matched")</f>
        <v>Matched</v>
      </c>
    </row>
    <row r="118" customFormat="false" ht="15" hidden="false" customHeight="false" outlineLevel="0" collapsed="false">
      <c r="A118" s="8" t="s">
        <v>51</v>
      </c>
      <c r="B118" s="8" t="s">
        <v>164</v>
      </c>
      <c r="C118" s="19" t="n">
        <v>19</v>
      </c>
      <c r="D118" s="19" t="n">
        <v>453.02</v>
      </c>
      <c r="E118" s="19" t="n">
        <v>7</v>
      </c>
      <c r="F118" s="19" t="n">
        <v>162.43</v>
      </c>
      <c r="G118" s="8" t="n">
        <f aca="false">IFERROR(INDEX('TRANS'!$B:$B,MATCH($B118,'TRANS'!$A:$A,0)),IFERROR(INDEX('TRANS'!$B:$B,MATCH(TRIM(SUBSTITUTE($B118,CHAR(160)," ")),'TRANS'!$D:$D,0)),IFERROR(INDEX('Catalog'!$A:$A,MATCH($B118,'Catalog'!$B:$B,0)),IFERROR(INDEX('Catalog'!$A:$A,MATCH(TRIM(SUBSTITUTE($B118,CHAR(160)," ")),'Catalog'!$C:$C,0)),""))))</f>
        <v>4401001</v>
      </c>
      <c r="H118" s="8" t="str">
        <f aca="false">IFERROR(INDEX('TRANS'!$C:$C,MATCH($B118,'TRANS'!$A:$A,0)),IFERROR(INDEX('Catalog'!$B:$B,MATCH($G118,'Catalog'!$A:$A,0)),$B118))</f>
        <v>369   XL אצבעון מסיליקון יחידה</v>
      </c>
      <c r="I118" s="8" t="str">
        <f aca="false">IF($G118="","Unmatched","Matched")</f>
        <v>Matched</v>
      </c>
    </row>
    <row r="119" customFormat="false" ht="15" hidden="false" customHeight="false" outlineLevel="0" collapsed="false">
      <c r="A119" s="8" t="s">
        <v>51</v>
      </c>
      <c r="B119" s="8" t="s">
        <v>165</v>
      </c>
      <c r="C119" s="19" t="n">
        <v>13</v>
      </c>
      <c r="D119" s="19" t="n">
        <v>148.77</v>
      </c>
      <c r="E119" s="19" t="n">
        <v>15</v>
      </c>
      <c r="F119" s="19" t="n">
        <v>172.7</v>
      </c>
      <c r="G119" s="8" t="n">
        <f aca="false">IFERROR(INDEX('TRANS'!$B:$B,MATCH($B119,'TRANS'!$A:$A,0)),IFERROR(INDEX('TRANS'!$B:$B,MATCH(TRIM(SUBSTITUTE($B119,CHAR(160)," ")),'TRANS'!$D:$D,0)),IFERROR(INDEX('Catalog'!$A:$A,MATCH($B119,'Catalog'!$B:$B,0)),IFERROR(INDEX('Catalog'!$A:$A,MATCH(TRIM(SUBSTITUTE($B119,CHAR(160)," ")),'Catalog'!$C:$C,0)),""))))</f>
        <v>4420000</v>
      </c>
      <c r="H119" s="8" t="str">
        <f aca="false">IFERROR(INDEX('TRANS'!$C:$C,MATCH($B119,'TRANS'!$A:$A,0)),IFERROR(INDEX('Catalog'!$B:$B,MATCH($G119,'Catalog'!$A:$A,0)),$B119))</f>
        <v>370  רפידת נוחות-זוג</v>
      </c>
      <c r="I119" s="8" t="str">
        <f aca="false">IF($G119="","Unmatched","Matched")</f>
        <v>Matched</v>
      </c>
    </row>
    <row r="120" customFormat="false" ht="15" hidden="false" customHeight="false" outlineLevel="0" collapsed="false">
      <c r="A120" s="8" t="s">
        <v>51</v>
      </c>
      <c r="B120" s="8" t="s">
        <v>166</v>
      </c>
      <c r="C120" s="19" t="n">
        <v>16</v>
      </c>
      <c r="D120" s="19" t="n">
        <v>205.98</v>
      </c>
      <c r="E120" s="19" t="n">
        <v>0</v>
      </c>
      <c r="F120" s="19" t="n">
        <v>0</v>
      </c>
      <c r="G120" s="8" t="n">
        <f aca="false">IFERROR(INDEX('TRANS'!$B:$B,MATCH($B120,'TRANS'!$A:$A,0)),IFERROR(INDEX('TRANS'!$B:$B,MATCH(TRIM(SUBSTITUTE($B120,CHAR(160)," ")),'TRANS'!$D:$D,0)),IFERROR(INDEX('Catalog'!$A:$A,MATCH($B120,'Catalog'!$B:$B,0)),IFERROR(INDEX('Catalog'!$A:$A,MATCH(TRIM(SUBSTITUTE($B120,CHAR(160)," ")),'Catalog'!$C:$C,0)),""))))</f>
        <v>4420027</v>
      </c>
      <c r="H120" s="8" t="str">
        <f aca="false">IFERROR(INDEX('TRANS'!$C:$C,MATCH($B120,'TRANS'!$A:$A,0)),IFERROR(INDEX('Catalog'!$B:$B,MATCH($G120,'Catalog'!$A:$A,0)),$B120))</f>
        <v>370K 0 רפידת לילדים אנטי ריח</v>
      </c>
      <c r="I120" s="8" t="str">
        <f aca="false">IF($G120="","Unmatched","Matched")</f>
        <v>Matched</v>
      </c>
    </row>
    <row r="121" customFormat="false" ht="15" hidden="false" customHeight="false" outlineLevel="0" collapsed="false">
      <c r="A121" s="8" t="s">
        <v>51</v>
      </c>
      <c r="B121" s="8" t="s">
        <v>167</v>
      </c>
      <c r="C121" s="19" t="n">
        <v>25</v>
      </c>
      <c r="D121" s="19" t="n">
        <v>302.73</v>
      </c>
      <c r="E121" s="19" t="n">
        <v>17</v>
      </c>
      <c r="F121" s="19" t="n">
        <v>206.42</v>
      </c>
      <c r="G121" s="8" t="n">
        <f aca="false">IFERROR(INDEX('TRANS'!$B:$B,MATCH($B121,'TRANS'!$A:$A,0)),IFERROR(INDEX('TRANS'!$B:$B,MATCH(TRIM(SUBSTITUTE($B121,CHAR(160)," ")),'TRANS'!$D:$D,0)),IFERROR(INDEX('Catalog'!$A:$A,MATCH($B121,'Catalog'!$B:$B,0)),IFERROR(INDEX('Catalog'!$A:$A,MATCH(TRIM(SUBSTITUTE($B121,CHAR(160)," ")),'Catalog'!$C:$C,0)),""))))</f>
        <v>4420001</v>
      </c>
      <c r="H121" s="8" t="str">
        <f aca="false">IFERROR(INDEX('TRANS'!$C:$C,MATCH($B121,'TRANS'!$A:$A,0)),IFERROR(INDEX('Catalog'!$B:$B,MATCH($G121,'Catalog'!$A:$A,0)),$B121))</f>
        <v>371 רפידת מגבת כותנה-זוג</v>
      </c>
      <c r="I121" s="8" t="str">
        <f aca="false">IF($G121="","Unmatched","Matched")</f>
        <v>Matched</v>
      </c>
    </row>
    <row r="122" customFormat="false" ht="15" hidden="false" customHeight="false" outlineLevel="0" collapsed="false">
      <c r="A122" s="8" t="s">
        <v>51</v>
      </c>
      <c r="B122" s="8" t="s">
        <v>168</v>
      </c>
      <c r="C122" s="19" t="n">
        <v>17</v>
      </c>
      <c r="D122" s="19" t="n">
        <v>238.75</v>
      </c>
      <c r="E122" s="19" t="n">
        <v>7</v>
      </c>
      <c r="F122" s="19" t="n">
        <v>92.55</v>
      </c>
      <c r="G122" s="8" t="n">
        <f aca="false">IFERROR(INDEX('TRANS'!$B:$B,MATCH($B122,'TRANS'!$A:$A,0)),IFERROR(INDEX('TRANS'!$B:$B,MATCH(TRIM(SUBSTITUTE($B122,CHAR(160)," ")),'TRANS'!$D:$D,0)),IFERROR(INDEX('Catalog'!$A:$A,MATCH($B122,'Catalog'!$B:$B,0)),IFERROR(INDEX('Catalog'!$A:$A,MATCH(TRIM(SUBSTITUTE($B122,CHAR(160)," ")),'Catalog'!$C:$C,0)),""))))</f>
        <v>4420002</v>
      </c>
      <c r="H122" s="8" t="str">
        <f aca="false">IFERROR(INDEX('TRANS'!$C:$C,MATCH($B122,'TRANS'!$A:$A,0)),IFERROR(INDEX('Catalog'!$B:$B,MATCH($G122,'Catalog'!$A:$A,0)),$B122))</f>
        <v>372 רפידת אנטי ריח -זוג</v>
      </c>
      <c r="I122" s="8" t="str">
        <f aca="false">IF($G122="","Unmatched","Matched")</f>
        <v>Matched</v>
      </c>
    </row>
    <row r="123" customFormat="false" ht="15" hidden="false" customHeight="false" outlineLevel="0" collapsed="false">
      <c r="A123" s="8" t="s">
        <v>51</v>
      </c>
      <c r="B123" s="8" t="s">
        <v>169</v>
      </c>
      <c r="C123" s="19" t="n">
        <v>7</v>
      </c>
      <c r="D123" s="19" t="n">
        <v>106.81</v>
      </c>
      <c r="E123" s="19" t="n">
        <v>0</v>
      </c>
      <c r="F123" s="19" t="n">
        <v>0</v>
      </c>
      <c r="G123" s="8" t="n">
        <f aca="false">IFERROR(INDEX('TRANS'!$B:$B,MATCH($B123,'TRANS'!$A:$A,0)),IFERROR(INDEX('TRANS'!$B:$B,MATCH(TRIM(SUBSTITUTE($B123,CHAR(160)," ")),'TRANS'!$D:$D,0)),IFERROR(INDEX('Catalog'!$A:$A,MATCH($B123,'Catalog'!$B:$B,0)),IFERROR(INDEX('Catalog'!$A:$A,MATCH(TRIM(SUBSTITUTE($B123,CHAR(160)," ")),'Catalog'!$C:$C,0)),""))))</f>
        <v>4420003</v>
      </c>
      <c r="H123" s="8" t="str">
        <f aca="false">IFERROR(INDEX('TRANS'!$C:$C,MATCH($B123,'TRANS'!$A:$A,0)),IFERROR(INDEX('Catalog'!$B:$B,MATCH($G123,'Catalog'!$A:$A,0)),$B123))</f>
        <v>374 רפידת בולמת זעזועים -זוג</v>
      </c>
      <c r="I123" s="8" t="str">
        <f aca="false">IF($G123="","Unmatched","Matched")</f>
        <v>Matched</v>
      </c>
    </row>
    <row r="124" customFormat="false" ht="15" hidden="false" customHeight="false" outlineLevel="0" collapsed="false">
      <c r="A124" s="8" t="s">
        <v>51</v>
      </c>
      <c r="B124" s="8" t="s">
        <v>170</v>
      </c>
      <c r="C124" s="19" t="n">
        <v>4</v>
      </c>
      <c r="D124" s="19" t="n">
        <v>134.24</v>
      </c>
      <c r="E124" s="19" t="n">
        <v>0</v>
      </c>
      <c r="F124" s="19" t="n">
        <v>0</v>
      </c>
      <c r="G124" s="8" t="str">
        <f aca="false">IFERROR(INDEX('TRANS'!$B:$B,MATCH($B124,'TRANS'!$A:$A,0)),IFERROR(INDEX('TRANS'!$B:$B,MATCH(TRIM(SUBSTITUTE($B124,CHAR(160)," ")),'TRANS'!$D:$D,0)),IFERROR(INDEX('Catalog'!$A:$A,MATCH($B124,'Catalog'!$B:$B,0)),IFERROR(INDEX('Catalog'!$A:$A,MATCH(TRIM(SUBSTITUTE($B124,CHAR(160)," ")),'Catalog'!$C:$C,0)),""))))</f>
        <v/>
      </c>
      <c r="H124" s="8" t="str">
        <f aca="false">IFERROR(INDEX('TRANS'!$C:$C,MATCH($B124,'TRANS'!$A:$A,0)),IFERROR(INDEX('Catalog'!$B:$B,MATCH($G124,'Catalog'!$A:$A,0)),$B124))</f>
        <v>376-35-37</v>
      </c>
      <c r="I124" s="8" t="str">
        <f aca="false">IF($G124="","Unmatched","Matched")</f>
        <v>Unmatched</v>
      </c>
    </row>
    <row r="125" customFormat="false" ht="15" hidden="false" customHeight="false" outlineLevel="0" collapsed="false">
      <c r="A125" s="8" t="s">
        <v>51</v>
      </c>
      <c r="B125" s="8" t="s">
        <v>171</v>
      </c>
      <c r="C125" s="19" t="n">
        <v>4</v>
      </c>
      <c r="D125" s="19" t="n">
        <v>140.43</v>
      </c>
      <c r="E125" s="19" t="n">
        <v>1</v>
      </c>
      <c r="F125" s="19" t="n">
        <v>35.11</v>
      </c>
      <c r="G125" s="8" t="str">
        <f aca="false">IFERROR(INDEX('TRANS'!$B:$B,MATCH($B125,'TRANS'!$A:$A,0)),IFERROR(INDEX('TRANS'!$B:$B,MATCH(TRIM(SUBSTITUTE($B125,CHAR(160)," ")),'TRANS'!$D:$D,0)),IFERROR(INDEX('Catalog'!$A:$A,MATCH($B125,'Catalog'!$B:$B,0)),IFERROR(INDEX('Catalog'!$A:$A,MATCH(TRIM(SUBSTITUTE($B125,CHAR(160)," ")),'Catalog'!$C:$C,0)),""))))</f>
        <v/>
      </c>
      <c r="H125" s="8" t="str">
        <f aca="false">IFERROR(INDEX('TRANS'!$C:$C,MATCH($B125,'TRANS'!$A:$A,0)),IFERROR(INDEX('Catalog'!$B:$B,MATCH($G125,'Catalog'!$A:$A,0)),$B125))</f>
        <v>376-38-40</v>
      </c>
      <c r="I125" s="8" t="str">
        <f aca="false">IF($G125="","Unmatched","Matched")</f>
        <v>Unmatched</v>
      </c>
    </row>
    <row r="126" customFormat="false" ht="15" hidden="false" customHeight="false" outlineLevel="0" collapsed="false">
      <c r="A126" s="8" t="s">
        <v>51</v>
      </c>
      <c r="B126" s="8" t="s">
        <v>172</v>
      </c>
      <c r="C126" s="19" t="n">
        <v>11</v>
      </c>
      <c r="D126" s="19" t="n">
        <v>386.19</v>
      </c>
      <c r="E126" s="19" t="n">
        <v>1</v>
      </c>
      <c r="F126" s="19" t="n">
        <v>35.11</v>
      </c>
      <c r="G126" s="8" t="str">
        <f aca="false">IFERROR(INDEX('TRANS'!$B:$B,MATCH($B126,'TRANS'!$A:$A,0)),IFERROR(INDEX('TRANS'!$B:$B,MATCH(TRIM(SUBSTITUTE($B126,CHAR(160)," ")),'TRANS'!$D:$D,0)),IFERROR(INDEX('Catalog'!$A:$A,MATCH($B126,'Catalog'!$B:$B,0)),IFERROR(INDEX('Catalog'!$A:$A,MATCH(TRIM(SUBSTITUTE($B126,CHAR(160)," ")),'Catalog'!$C:$C,0)),""))))</f>
        <v/>
      </c>
      <c r="H126" s="8" t="str">
        <f aca="false">IFERROR(INDEX('TRANS'!$C:$C,MATCH($B126,'TRANS'!$A:$A,0)),IFERROR(INDEX('Catalog'!$B:$B,MATCH($G126,'Catalog'!$A:$A,0)),$B126))</f>
        <v>376-41-43</v>
      </c>
      <c r="I126" s="8" t="str">
        <f aca="false">IF($G126="","Unmatched","Matched")</f>
        <v>Unmatched</v>
      </c>
    </row>
    <row r="127" customFormat="false" ht="15" hidden="false" customHeight="false" outlineLevel="0" collapsed="false">
      <c r="A127" s="8" t="s">
        <v>51</v>
      </c>
      <c r="B127" s="8" t="s">
        <v>173</v>
      </c>
      <c r="C127" s="19" t="n">
        <v>6</v>
      </c>
      <c r="D127" s="19" t="n">
        <v>199.01</v>
      </c>
      <c r="E127" s="19" t="n">
        <v>0</v>
      </c>
      <c r="F127" s="19" t="n">
        <v>0</v>
      </c>
      <c r="G127" s="8" t="str">
        <f aca="false">IFERROR(INDEX('TRANS'!$B:$B,MATCH($B127,'TRANS'!$A:$A,0)),IFERROR(INDEX('TRANS'!$B:$B,MATCH(TRIM(SUBSTITUTE($B127,CHAR(160)," ")),'TRANS'!$D:$D,0)),IFERROR(INDEX('Catalog'!$A:$A,MATCH($B127,'Catalog'!$B:$B,0)),IFERROR(INDEX('Catalog'!$A:$A,MATCH(TRIM(SUBSTITUTE($B127,CHAR(160)," ")),'Catalog'!$C:$C,0)),""))))</f>
        <v/>
      </c>
      <c r="H127" s="8" t="str">
        <f aca="false">IFERROR(INDEX('TRANS'!$C:$C,MATCH($B127,'TRANS'!$A:$A,0)),IFERROR(INDEX('Catalog'!$B:$B,MATCH($G127,'Catalog'!$A:$A,0)),$B127))</f>
        <v>376-44-45</v>
      </c>
      <c r="I127" s="8" t="str">
        <f aca="false">IF($G127="","Unmatched","Matched")</f>
        <v>Unmatched</v>
      </c>
    </row>
    <row r="128" customFormat="false" ht="15" hidden="false" customHeight="false" outlineLevel="0" collapsed="false">
      <c r="A128" s="8" t="s">
        <v>51</v>
      </c>
      <c r="B128" s="8" t="s">
        <v>174</v>
      </c>
      <c r="C128" s="19" t="n">
        <v>2</v>
      </c>
      <c r="D128" s="19" t="n">
        <v>66.84</v>
      </c>
      <c r="E128" s="19" t="n">
        <v>1</v>
      </c>
      <c r="F128" s="19" t="n">
        <v>31.73</v>
      </c>
      <c r="G128" s="8" t="n">
        <f aca="false">IFERROR(INDEX('TRANS'!$B:$B,MATCH($B128,'TRANS'!$A:$A,0)),IFERROR(INDEX('TRANS'!$B:$B,MATCH(TRIM(SUBSTITUTE($B128,CHAR(160)," ")),'TRANS'!$D:$D,0)),IFERROR(INDEX('Catalog'!$A:$A,MATCH($B128,'Catalog'!$B:$B,0)),IFERROR(INDEX('Catalog'!$A:$A,MATCH(TRIM(SUBSTITUTE($B128,CHAR(160)," ")),'Catalog'!$C:$C,0)),""))))</f>
        <v>4420032</v>
      </c>
      <c r="H128" s="8" t="str">
        <f aca="false">IFERROR(INDEX('TRANS'!$C:$C,MATCH($B128,'TRANS'!$A:$A,0)),IFERROR(INDEX('Catalog'!$B:$B,MATCH($G128,'Catalog'!$A:$A,0)),$B128))</f>
        <v>46-47 רפידת ספורט 376 מידה</v>
      </c>
      <c r="I128" s="8" t="str">
        <f aca="false">IF($G128="","Unmatched","Matched")</f>
        <v>Matched</v>
      </c>
    </row>
    <row r="129" customFormat="false" ht="15" hidden="false" customHeight="false" outlineLevel="0" collapsed="false">
      <c r="A129" s="8" t="s">
        <v>51</v>
      </c>
      <c r="B129" s="8" t="s">
        <v>175</v>
      </c>
      <c r="C129" s="19" t="n">
        <v>1</v>
      </c>
      <c r="D129" s="19" t="n">
        <v>89.01</v>
      </c>
      <c r="E129" s="19" t="n">
        <v>2</v>
      </c>
      <c r="F129" s="19" t="n">
        <v>178.02</v>
      </c>
      <c r="G129" s="8" t="n">
        <f aca="false">IFERROR(INDEX('TRANS'!$B:$B,MATCH($B129,'TRANS'!$A:$A,0)),IFERROR(INDEX('TRANS'!$B:$B,MATCH(TRIM(SUBSTITUTE($B129,CHAR(160)," ")),'TRANS'!$D:$D,0)),IFERROR(INDEX('Catalog'!$A:$A,MATCH($B129,'Catalog'!$B:$B,0)),IFERROR(INDEX('Catalog'!$A:$A,MATCH(TRIM(SUBSTITUTE($B129,CHAR(160)," ")),'Catalog'!$C:$C,0)),""))))</f>
        <v>4408069</v>
      </c>
      <c r="H129" s="8" t="str">
        <f aca="false">IFERROR(INDEX('TRANS'!$C:$C,MATCH($B129,'TRANS'!$A:$A,0)),IFERROR(INDEX('Catalog'!$B:$B,MATCH($G129,'Catalog'!$A:$A,0)),$B129))</f>
        <v>38 .חבישת""""הלוקס ולגוס""""לאחר נית</v>
      </c>
      <c r="I129" s="8" t="str">
        <f aca="false">IF($G129="","Unmatched","Matched")</f>
        <v>Matched</v>
      </c>
    </row>
    <row r="130" customFormat="false" ht="15" hidden="false" customHeight="false" outlineLevel="0" collapsed="false">
      <c r="A130" s="8" t="s">
        <v>51</v>
      </c>
      <c r="B130" s="8" t="s">
        <v>176</v>
      </c>
      <c r="C130" s="19" t="n">
        <v>16</v>
      </c>
      <c r="D130" s="19" t="n">
        <v>767.87</v>
      </c>
      <c r="E130" s="19" t="n">
        <v>2</v>
      </c>
      <c r="F130" s="19" t="n">
        <v>94.59</v>
      </c>
      <c r="G130" s="8" t="n">
        <f aca="false">IFERROR(INDEX('TRANS'!$B:$B,MATCH($B130,'TRANS'!$A:$A,0)),IFERROR(INDEX('TRANS'!$B:$B,MATCH(TRIM(SUBSTITUTE($B130,CHAR(160)," ")),'TRANS'!$D:$D,0)),IFERROR(INDEX('Catalog'!$A:$A,MATCH($B130,'Catalog'!$B:$B,0)),IFERROR(INDEX('Catalog'!$A:$A,MATCH(TRIM(SUBSTITUTE($B130,CHAR(160)," ")),'Catalog'!$C:$C,0)),""))))</f>
        <v>4413452</v>
      </c>
      <c r="H130" s="8" t="str">
        <f aca="false">IFERROR(INDEX('TRANS'!$C:$C,MATCH($B130,'TRANS'!$A:$A,0)),IFERROR(INDEX('Catalog'!$B:$B,MATCH($G130,'Catalog'!$A:$A,0)),$B130))</f>
        <v>386  מיישר בוניון-האלוקס ולגוס</v>
      </c>
      <c r="I130" s="8" t="str">
        <f aca="false">IF($G130="","Unmatched","Matched")</f>
        <v>Matched</v>
      </c>
    </row>
    <row r="131" customFormat="false" ht="15" hidden="false" customHeight="false" outlineLevel="0" collapsed="false">
      <c r="A131" s="8" t="s">
        <v>51</v>
      </c>
      <c r="B131" s="8" t="s">
        <v>177</v>
      </c>
      <c r="C131" s="19" t="n">
        <v>1</v>
      </c>
      <c r="D131" s="19" t="n">
        <v>73.23</v>
      </c>
      <c r="E131" s="19" t="n">
        <v>0</v>
      </c>
      <c r="F131" s="19" t="n">
        <v>0</v>
      </c>
      <c r="G131" s="8" t="str">
        <f aca="false">IFERROR(INDEX('TRANS'!$B:$B,MATCH($B131,'TRANS'!$A:$A,0)),IFERROR(INDEX('TRANS'!$B:$B,MATCH(TRIM(SUBSTITUTE($B131,CHAR(160)," ")),'TRANS'!$D:$D,0)),IFERROR(INDEX('Catalog'!$A:$A,MATCH($B131,'Catalog'!$B:$B,0)),IFERROR(INDEX('Catalog'!$A:$A,MATCH(TRIM(SUBSTITUTE($B131,CHAR(160)," ")),'Catalog'!$C:$C,0)),""))))</f>
        <v/>
      </c>
      <c r="H131" s="8" t="str">
        <f aca="false">IFERROR(INDEX('TRANS'!$C:$C,MATCH($B131,'TRANS'!$A:$A,0)),IFERROR(INDEX('Catalog'!$B:$B,MATCH($G131,'Catalog'!$A:$A,0)),$B131))</f>
        <v>388L 0</v>
      </c>
      <c r="I131" s="8" t="str">
        <f aca="false">IF($G131="","Unmatched","Matched")</f>
        <v>Unmatched</v>
      </c>
    </row>
    <row r="132" customFormat="false" ht="15" hidden="false" customHeight="false" outlineLevel="0" collapsed="false">
      <c r="A132" s="8" t="s">
        <v>51</v>
      </c>
      <c r="B132" s="8" t="s">
        <v>178</v>
      </c>
      <c r="C132" s="19" t="n">
        <v>10</v>
      </c>
      <c r="D132" s="19" t="n">
        <v>694.82</v>
      </c>
      <c r="E132" s="19" t="n">
        <v>5</v>
      </c>
      <c r="F132" s="19" t="n">
        <v>294.19</v>
      </c>
      <c r="G132" s="8" t="n">
        <f aca="false">IFERROR(INDEX('TRANS'!$B:$B,MATCH($B132,'TRANS'!$A:$A,0)),IFERROR(INDEX('TRANS'!$B:$B,MATCH(TRIM(SUBSTITUTE($B132,CHAR(160)," ")),'TRANS'!$D:$D,0)),IFERROR(INDEX('Catalog'!$A:$A,MATCH($B132,'Catalog'!$B:$B,0)),IFERROR(INDEX('Catalog'!$A:$A,MATCH(TRIM(SUBSTITUTE($B132,CHAR(160)," ")),'Catalog'!$C:$C,0)),""))))</f>
        <v>4415298</v>
      </c>
      <c r="H132" s="8" t="str">
        <f aca="false">IFERROR(INDEX('TRANS'!$C:$C,MATCH($B132,'TRANS'!$A:$A,0)),IFERROR(INDEX('Catalog'!$B:$B,MATCH($G132,'Catalog'!$A:$A,0)),$B132))</f>
        <v>388B L סד לילה שחור לבוהן שמאל</v>
      </c>
      <c r="I132" s="8" t="str">
        <f aca="false">IF($G132="","Unmatched","Matched")</f>
        <v>Matched</v>
      </c>
    </row>
    <row r="133" customFormat="false" ht="15" hidden="false" customHeight="false" outlineLevel="0" collapsed="false">
      <c r="A133" s="8" t="s">
        <v>51</v>
      </c>
      <c r="B133" s="8" t="s">
        <v>179</v>
      </c>
      <c r="C133" s="19" t="n">
        <v>13</v>
      </c>
      <c r="D133" s="19" t="n">
        <v>1037.59</v>
      </c>
      <c r="E133" s="19" t="n">
        <v>3</v>
      </c>
      <c r="F133" s="19" t="n">
        <v>193.55</v>
      </c>
      <c r="G133" s="8" t="n">
        <f aca="false">IFERROR(INDEX('TRANS'!$B:$B,MATCH($B133,'TRANS'!$A:$A,0)),IFERROR(INDEX('TRANS'!$B:$B,MATCH(TRIM(SUBSTITUTE($B133,CHAR(160)," ")),'TRANS'!$D:$D,0)),IFERROR(INDEX('Catalog'!$A:$A,MATCH($B133,'Catalog'!$B:$B,0)),IFERROR(INDEX('Catalog'!$A:$A,MATCH(TRIM(SUBSTITUTE($B133,CHAR(160)," ")),'Catalog'!$C:$C,0)),""))))</f>
        <v>4415299</v>
      </c>
      <c r="H133" s="8" t="str">
        <f aca="false">IFERROR(INDEX('TRANS'!$C:$C,MATCH($B133,'TRANS'!$A:$A,0)),IFERROR(INDEX('Catalog'!$B:$B,MATCH($G133,'Catalog'!$A:$A,0)),$B133))</f>
        <v>388B L סד לילה שחור לבוהן ימין</v>
      </c>
      <c r="I133" s="8" t="str">
        <f aca="false">IF($G133="","Unmatched","Matched")</f>
        <v>Matched</v>
      </c>
    </row>
    <row r="134" customFormat="false" ht="15" hidden="false" customHeight="false" outlineLevel="0" collapsed="false">
      <c r="A134" s="8" t="s">
        <v>51</v>
      </c>
      <c r="B134" s="8" t="s">
        <v>180</v>
      </c>
      <c r="C134" s="19" t="n">
        <v>3</v>
      </c>
      <c r="D134" s="19" t="n">
        <v>105.32</v>
      </c>
      <c r="E134" s="19" t="n">
        <v>2</v>
      </c>
      <c r="F134" s="19" t="n">
        <v>70.22</v>
      </c>
      <c r="G134" s="8" t="n">
        <f aca="false">IFERROR(INDEX('TRANS'!$B:$B,MATCH($B134,'TRANS'!$A:$A,0)),IFERROR(INDEX('TRANS'!$B:$B,MATCH(TRIM(SUBSTITUTE($B134,CHAR(160)," ")),'TRANS'!$D:$D,0)),IFERROR(INDEX('Catalog'!$A:$A,MATCH($B134,'Catalog'!$B:$B,0)),IFERROR(INDEX('Catalog'!$A:$A,MATCH(TRIM(SUBSTITUTE($B134,CHAR(160)," ")),'Catalog'!$C:$C,0)),""))))</f>
        <v>4403000</v>
      </c>
      <c r="H134" s="8" t="str">
        <f aca="false">IFERROR(INDEX('TRANS'!$C:$C,MATCH($B134,'TRANS'!$A:$A,0)),IFERROR(INDEX('Catalog'!$B:$B,MATCH($G134,'Catalog'!$A:$A,0)),$B134))</f>
        <v>390B גרב.כסף לסכרתים שחור35-38</v>
      </c>
      <c r="I134" s="8" t="str">
        <f aca="false">IF($G134="","Unmatched","Matched")</f>
        <v>Matched</v>
      </c>
    </row>
    <row r="135" customFormat="false" ht="15" hidden="false" customHeight="false" outlineLevel="0" collapsed="false">
      <c r="A135" s="8" t="s">
        <v>51</v>
      </c>
      <c r="B135" s="8" t="s">
        <v>181</v>
      </c>
      <c r="C135" s="19" t="n">
        <v>6</v>
      </c>
      <c r="D135" s="19" t="n">
        <v>267.08</v>
      </c>
      <c r="E135" s="19" t="n">
        <v>11</v>
      </c>
      <c r="F135" s="19" t="n">
        <v>479.4</v>
      </c>
      <c r="G135" s="8" t="n">
        <f aca="false">IFERROR(INDEX('TRANS'!$B:$B,MATCH($B135,'TRANS'!$A:$A,0)),IFERROR(INDEX('TRANS'!$B:$B,MATCH(TRIM(SUBSTITUTE($B135,CHAR(160)," ")),'TRANS'!$D:$D,0)),IFERROR(INDEX('Catalog'!$A:$A,MATCH($B135,'Catalog'!$B:$B,0)),IFERROR(INDEX('Catalog'!$A:$A,MATCH(TRIM(SUBSTITUTE($B135,CHAR(160)," ")),'Catalog'!$C:$C,0)),""))))</f>
        <v>4403001</v>
      </c>
      <c r="H135" s="8" t="str">
        <f aca="false">IFERROR(INDEX('TRANS'!$C:$C,MATCH($B135,'TRANS'!$A:$A,0)),IFERROR(INDEX('Catalog'!$B:$B,MATCH($G135,'Catalog'!$A:$A,0)),$B135))</f>
        <v>390B 39-42.גרב.כסף לסכרתיים שח</v>
      </c>
      <c r="I135" s="8" t="str">
        <f aca="false">IF($G135="","Unmatched","Matched")</f>
        <v>Matched</v>
      </c>
    </row>
    <row r="136" customFormat="false" ht="15" hidden="false" customHeight="false" outlineLevel="0" collapsed="false">
      <c r="A136" s="8" t="s">
        <v>51</v>
      </c>
      <c r="B136" s="8" t="s">
        <v>182</v>
      </c>
      <c r="C136" s="19" t="n">
        <v>63</v>
      </c>
      <c r="D136" s="19" t="n">
        <v>1782.52</v>
      </c>
      <c r="E136" s="19" t="n">
        <v>31</v>
      </c>
      <c r="F136" s="19" t="n">
        <v>1138.05</v>
      </c>
      <c r="G136" s="8" t="n">
        <f aca="false">IFERROR(INDEX('TRANS'!$B:$B,MATCH($B136,'TRANS'!$A:$A,0)),IFERROR(INDEX('TRANS'!$B:$B,MATCH(TRIM(SUBSTITUTE($B136,CHAR(160)," ")),'TRANS'!$D:$D,0)),IFERROR(INDEX('Catalog'!$A:$A,MATCH($B136,'Catalog'!$B:$B,0)),IFERROR(INDEX('Catalog'!$A:$A,MATCH(TRIM(SUBSTITUTE($B136,CHAR(160)," ")),'Catalog'!$C:$C,0)),""))))</f>
        <v>4403002</v>
      </c>
      <c r="H136" s="8" t="str">
        <f aca="false">IFERROR(INDEX('TRANS'!$C:$C,MATCH($B136,'TRANS'!$A:$A,0)),IFERROR(INDEX('Catalog'!$B:$B,MATCH($G136,'Catalog'!$A:$A,0)),$B136))</f>
        <v>390B 43-46.גרב.כסף לסכרתיים שח</v>
      </c>
      <c r="I136" s="8" t="str">
        <f aca="false">IF($G136="","Unmatched","Matched")</f>
        <v>Matched</v>
      </c>
    </row>
    <row r="137" customFormat="false" ht="15" hidden="false" customHeight="false" outlineLevel="0" collapsed="false">
      <c r="A137" s="8" t="s">
        <v>51</v>
      </c>
      <c r="B137" s="8" t="s">
        <v>183</v>
      </c>
      <c r="C137" s="19" t="n">
        <v>2</v>
      </c>
      <c r="D137" s="19" t="n">
        <v>70.22</v>
      </c>
      <c r="E137" s="19" t="n">
        <v>0</v>
      </c>
      <c r="F137" s="19" t="n">
        <v>0</v>
      </c>
      <c r="G137" s="8" t="n">
        <f aca="false">IFERROR(INDEX('TRANS'!$B:$B,MATCH($B137,'TRANS'!$A:$A,0)),IFERROR(INDEX('TRANS'!$B:$B,MATCH(TRIM(SUBSTITUTE($B137,CHAR(160)," ")),'TRANS'!$D:$D,0)),IFERROR(INDEX('Catalog'!$A:$A,MATCH($B137,'Catalog'!$B:$B,0)),IFERROR(INDEX('Catalog'!$A:$A,MATCH(TRIM(SUBSTITUTE($B137,CHAR(160)," ")),'Catalog'!$C:$C,0)),""))))</f>
        <v>4403003</v>
      </c>
      <c r="H137" s="8" t="str">
        <f aca="false">IFERROR(INDEX('TRANS'!$C:$C,MATCH($B137,'TRANS'!$A:$A,0)),IFERROR(INDEX('Catalog'!$B:$B,MATCH($G137,'Catalog'!$A:$A,0)),$B137))</f>
        <v>390G ג.כסף לסכרתיים אפור35-38</v>
      </c>
      <c r="I137" s="8" t="str">
        <f aca="false">IF($G137="","Unmatched","Matched")</f>
        <v>Matched</v>
      </c>
    </row>
    <row r="138" customFormat="false" ht="15" hidden="false" customHeight="false" outlineLevel="0" collapsed="false">
      <c r="A138" s="8" t="s">
        <v>51</v>
      </c>
      <c r="B138" s="8" t="s">
        <v>184</v>
      </c>
      <c r="C138" s="19" t="n">
        <v>3</v>
      </c>
      <c r="D138" s="19" t="n">
        <v>105.32</v>
      </c>
      <c r="E138" s="19" t="n">
        <v>3</v>
      </c>
      <c r="F138" s="19" t="n">
        <v>105.33</v>
      </c>
      <c r="G138" s="8" t="str">
        <f aca="false">IFERROR(INDEX('TRANS'!$B:$B,MATCH($B138,'TRANS'!$A:$A,0)),IFERROR(INDEX('TRANS'!$B:$B,MATCH(TRIM(SUBSTITUTE($B138,CHAR(160)," ")),'TRANS'!$D:$D,0)),IFERROR(INDEX('Catalog'!$A:$A,MATCH($B138,'Catalog'!$B:$B,0)),IFERROR(INDEX('Catalog'!$A:$A,MATCH(TRIM(SUBSTITUTE($B138,CHAR(160)," ")),'Catalog'!$C:$C,0)),""))))</f>
        <v/>
      </c>
      <c r="H138" s="8" t="str">
        <f aca="false">IFERROR(INDEX('TRANS'!$C:$C,MATCH($B138,'TRANS'!$A:$A,0)),IFERROR(INDEX('Catalog'!$B:$B,MATCH($G138,'Catalog'!$A:$A,0)),$B138))</f>
        <v>390G-39-42</v>
      </c>
      <c r="I138" s="8" t="str">
        <f aca="false">IF($G138="","Unmatched","Matched")</f>
        <v>Unmatched</v>
      </c>
    </row>
    <row r="139" customFormat="false" ht="15" hidden="false" customHeight="false" outlineLevel="0" collapsed="false">
      <c r="A139" s="8" t="s">
        <v>51</v>
      </c>
      <c r="B139" s="8" t="s">
        <v>185</v>
      </c>
      <c r="C139" s="19" t="n">
        <v>30</v>
      </c>
      <c r="D139" s="19" t="n">
        <v>954.55</v>
      </c>
      <c r="E139" s="19" t="n">
        <v>0</v>
      </c>
      <c r="F139" s="19" t="n">
        <v>0</v>
      </c>
      <c r="G139" s="8" t="n">
        <f aca="false">IFERROR(INDEX('TRANS'!$B:$B,MATCH($B139,'TRANS'!$A:$A,0)),IFERROR(INDEX('TRANS'!$B:$B,MATCH(TRIM(SUBSTITUTE($B139,CHAR(160)," ")),'TRANS'!$D:$D,0)),IFERROR(INDEX('Catalog'!$A:$A,MATCH($B139,'Catalog'!$B:$B,0)),IFERROR(INDEX('Catalog'!$A:$A,MATCH(TRIM(SUBSTITUTE($B139,CHAR(160)," ")),'Catalog'!$C:$C,0)),""))))</f>
        <v>4403005</v>
      </c>
      <c r="H139" s="8" t="str">
        <f aca="false">IFERROR(INDEX('TRANS'!$C:$C,MATCH($B139,'TRANS'!$A:$A,0)),IFERROR(INDEX('Catalog'!$B:$B,MATCH($G139,'Catalog'!$A:$A,0)),$B139))</f>
        <v>G390.43-46 גרבי כסף לסכרת מידה</v>
      </c>
      <c r="I139" s="8" t="str">
        <f aca="false">IF($G139="","Unmatched","Matched")</f>
        <v>Matched</v>
      </c>
    </row>
    <row r="140" customFormat="false" ht="15" hidden="false" customHeight="false" outlineLevel="0" collapsed="false">
      <c r="A140" s="8" t="s">
        <v>51</v>
      </c>
      <c r="B140" s="8" t="s">
        <v>186</v>
      </c>
      <c r="C140" s="19" t="n">
        <v>2</v>
      </c>
      <c r="D140" s="19" t="n">
        <v>68.82</v>
      </c>
      <c r="E140" s="19" t="n">
        <v>0</v>
      </c>
      <c r="F140" s="19" t="n">
        <v>0</v>
      </c>
      <c r="G140" s="8" t="n">
        <f aca="false">IFERROR(INDEX('TRANS'!$B:$B,MATCH($B140,'TRANS'!$A:$A,0)),IFERROR(INDEX('TRANS'!$B:$B,MATCH(TRIM(SUBSTITUTE($B140,CHAR(160)," ")),'TRANS'!$D:$D,0)),IFERROR(INDEX('Catalog'!$A:$A,MATCH($B140,'Catalog'!$B:$B,0)),IFERROR(INDEX('Catalog'!$A:$A,MATCH(TRIM(SUBSTITUTE($B140,CHAR(160)," ")),'Catalog'!$C:$C,0)),""))))</f>
        <v>4403007</v>
      </c>
      <c r="H140" s="8" t="str">
        <f aca="false">IFERROR(INDEX('TRANS'!$C:$C,MATCH($B140,'TRANS'!$A:$A,0)),IFERROR(INDEX('Catalog'!$B:$B,MATCH($G140,'Catalog'!$A:$A,0)),$B140))</f>
        <v>390W גרב.כסף לסכרתיים לבן39-42</v>
      </c>
      <c r="I140" s="8" t="str">
        <f aca="false">IF($G140="","Unmatched","Matched")</f>
        <v>Matched</v>
      </c>
    </row>
    <row r="141" customFormat="false" ht="15" hidden="false" customHeight="false" outlineLevel="0" collapsed="false">
      <c r="A141" s="8" t="s">
        <v>51</v>
      </c>
      <c r="B141" s="8" t="s">
        <v>187</v>
      </c>
      <c r="C141" s="19" t="n">
        <v>10</v>
      </c>
      <c r="D141" s="19" t="n">
        <v>275.4</v>
      </c>
      <c r="E141" s="19" t="n">
        <v>0</v>
      </c>
      <c r="F141" s="19" t="n">
        <v>0</v>
      </c>
      <c r="G141" s="8" t="n">
        <f aca="false">IFERROR(INDEX('TRANS'!$B:$B,MATCH($B141,'TRANS'!$A:$A,0)),IFERROR(INDEX('TRANS'!$B:$B,MATCH(TRIM(SUBSTITUTE($B141,CHAR(160)," ")),'TRANS'!$D:$D,0)),IFERROR(INDEX('Catalog'!$A:$A,MATCH($B141,'Catalog'!$B:$B,0)),IFERROR(INDEX('Catalog'!$A:$A,MATCH(TRIM(SUBSTITUTE($B141,CHAR(160)," ")),'Catalog'!$C:$C,0)),""))))</f>
        <v>4403017</v>
      </c>
      <c r="H141" s="8" t="str">
        <f aca="false">IFERROR(INDEX('TRANS'!$C:$C,MATCH($B141,'TRANS'!$A:$A,0)),IFERROR(INDEX('Catalog'!$B:$B,MATCH($G141,'Catalog'!$A:$A,0)),$B141))</f>
        <v>394B גרב.כסף לסכרתים שחור35-38</v>
      </c>
      <c r="I141" s="8" t="str">
        <f aca="false">IF($G141="","Unmatched","Matched")</f>
        <v>Matched</v>
      </c>
    </row>
    <row r="142" customFormat="false" ht="15" hidden="false" customHeight="false" outlineLevel="0" collapsed="false">
      <c r="A142" s="8" t="s">
        <v>51</v>
      </c>
      <c r="B142" s="8" t="s">
        <v>188</v>
      </c>
      <c r="C142" s="19" t="n">
        <v>28</v>
      </c>
      <c r="D142" s="19" t="n">
        <v>765.38</v>
      </c>
      <c r="E142" s="19" t="n">
        <v>0</v>
      </c>
      <c r="F142" s="19" t="n">
        <v>0</v>
      </c>
      <c r="G142" s="8" t="n">
        <f aca="false">IFERROR(INDEX('TRANS'!$B:$B,MATCH($B142,'TRANS'!$A:$A,0)),IFERROR(INDEX('TRANS'!$B:$B,MATCH(TRIM(SUBSTITUTE($B142,CHAR(160)," ")),'TRANS'!$D:$D,0)),IFERROR(INDEX('Catalog'!$A:$A,MATCH($B142,'Catalog'!$B:$B,0)),IFERROR(INDEX('Catalog'!$A:$A,MATCH(TRIM(SUBSTITUTE($B142,CHAR(160)," ")),'Catalog'!$C:$C,0)),""))))</f>
        <v>4403018</v>
      </c>
      <c r="H142" s="8" t="str">
        <f aca="false">IFERROR(INDEX('TRANS'!$C:$C,MATCH($B142,'TRANS'!$A:$A,0)),IFERROR(INDEX('Catalog'!$B:$B,MATCH($G142,'Catalog'!$A:$A,0)),$B142))</f>
        <v>394B גרב.כסף לסכרתים שחור39-42</v>
      </c>
      <c r="I142" s="8" t="str">
        <f aca="false">IF($G142="","Unmatched","Matched")</f>
        <v>Matched</v>
      </c>
    </row>
    <row r="143" customFormat="false" ht="15" hidden="false" customHeight="false" outlineLevel="0" collapsed="false">
      <c r="A143" s="8" t="s">
        <v>51</v>
      </c>
      <c r="B143" s="8" t="s">
        <v>189</v>
      </c>
      <c r="C143" s="19" t="n">
        <v>63</v>
      </c>
      <c r="D143" s="19" t="n">
        <v>1674.81</v>
      </c>
      <c r="E143" s="19" t="n">
        <v>5</v>
      </c>
      <c r="F143" s="19" t="n">
        <v>140.4</v>
      </c>
      <c r="G143" s="8" t="n">
        <f aca="false">IFERROR(INDEX('TRANS'!$B:$B,MATCH($B143,'TRANS'!$A:$A,0)),IFERROR(INDEX('TRANS'!$B:$B,MATCH(TRIM(SUBSTITUTE($B143,CHAR(160)," ")),'TRANS'!$D:$D,0)),IFERROR(INDEX('Catalog'!$A:$A,MATCH($B143,'Catalog'!$B:$B,0)),IFERROR(INDEX('Catalog'!$A:$A,MATCH(TRIM(SUBSTITUTE($B143,CHAR(160)," ")),'Catalog'!$C:$C,0)),""))))</f>
        <v>4403019</v>
      </c>
      <c r="H143" s="8" t="str">
        <f aca="false">IFERROR(INDEX('TRANS'!$C:$C,MATCH($B143,'TRANS'!$A:$A,0)),IFERROR(INDEX('Catalog'!$B:$B,MATCH($G143,'Catalog'!$A:$A,0)),$B143))</f>
        <v>394B גרב.כסף לסכרתים שחור43-46</v>
      </c>
      <c r="I143" s="8" t="str">
        <f aca="false">IF($G143="","Unmatched","Matched")</f>
        <v>Matched</v>
      </c>
    </row>
    <row r="144" customFormat="false" ht="15" hidden="false" customHeight="false" outlineLevel="0" collapsed="false">
      <c r="A144" s="8" t="s">
        <v>51</v>
      </c>
      <c r="B144" s="8" t="s">
        <v>190</v>
      </c>
      <c r="C144" s="19" t="n">
        <v>0</v>
      </c>
      <c r="D144" s="19" t="n">
        <v>0</v>
      </c>
      <c r="E144" s="19" t="n">
        <v>1</v>
      </c>
      <c r="F144" s="19" t="n">
        <v>28.08</v>
      </c>
      <c r="G144" s="8" t="str">
        <f aca="false">IFERROR(INDEX('TRANS'!$B:$B,MATCH($B144,'TRANS'!$A:$A,0)),IFERROR(INDEX('TRANS'!$B:$B,MATCH(TRIM(SUBSTITUTE($B144,CHAR(160)," ")),'TRANS'!$D:$D,0)),IFERROR(INDEX('Catalog'!$A:$A,MATCH($B144,'Catalog'!$B:$B,0)),IFERROR(INDEX('Catalog'!$A:$A,MATCH(TRIM(SUBSTITUTE($B144,CHAR(160)," ")),'Catalog'!$C:$C,0)),""))))</f>
        <v/>
      </c>
      <c r="H144" s="8" t="str">
        <f aca="false">IFERROR(INDEX('TRANS'!$C:$C,MATCH($B144,'TRANS'!$A:$A,0)),IFERROR(INDEX('Catalog'!$B:$B,MATCH($G144,'Catalog'!$A:$A,0)),$B144))</f>
        <v>394G-35-38</v>
      </c>
      <c r="I144" s="8" t="str">
        <f aca="false">IF($G144="","Unmatched","Matched")</f>
        <v>Unmatched</v>
      </c>
    </row>
    <row r="145" customFormat="false" ht="15" hidden="false" customHeight="false" outlineLevel="0" collapsed="false">
      <c r="A145" s="8" t="s">
        <v>51</v>
      </c>
      <c r="B145" s="8" t="s">
        <v>191</v>
      </c>
      <c r="C145" s="19" t="n">
        <v>4</v>
      </c>
      <c r="D145" s="19" t="n">
        <v>105.27</v>
      </c>
      <c r="E145" s="19" t="n">
        <v>3</v>
      </c>
      <c r="F145" s="19" t="n">
        <v>84.24</v>
      </c>
      <c r="G145" s="8" t="str">
        <f aca="false">IFERROR(INDEX('TRANS'!$B:$B,MATCH($B145,'TRANS'!$A:$A,0)),IFERROR(INDEX('TRANS'!$B:$B,MATCH(TRIM(SUBSTITUTE($B145,CHAR(160)," ")),'TRANS'!$D:$D,0)),IFERROR(INDEX('Catalog'!$A:$A,MATCH($B145,'Catalog'!$B:$B,0)),IFERROR(INDEX('Catalog'!$A:$A,MATCH(TRIM(SUBSTITUTE($B145,CHAR(160)," ")),'Catalog'!$C:$C,0)),""))))</f>
        <v/>
      </c>
      <c r="H145" s="8" t="str">
        <f aca="false">IFERROR(INDEX('TRANS'!$C:$C,MATCH($B145,'TRANS'!$A:$A,0)),IFERROR(INDEX('Catalog'!$B:$B,MATCH($G145,'Catalog'!$A:$A,0)),$B145))</f>
        <v>394G-39-42</v>
      </c>
      <c r="I145" s="8" t="str">
        <f aca="false">IF($G145="","Unmatched","Matched")</f>
        <v>Unmatched</v>
      </c>
    </row>
    <row r="146" customFormat="false" ht="15" hidden="false" customHeight="false" outlineLevel="0" collapsed="false">
      <c r="A146" s="8" t="s">
        <v>51</v>
      </c>
      <c r="B146" s="8" t="s">
        <v>192</v>
      </c>
      <c r="C146" s="19" t="n">
        <v>6</v>
      </c>
      <c r="D146" s="19" t="n">
        <v>168.5</v>
      </c>
      <c r="E146" s="19" t="n">
        <v>1</v>
      </c>
      <c r="F146" s="19" t="n">
        <v>28.08</v>
      </c>
      <c r="G146" s="8" t="n">
        <f aca="false">IFERROR(INDEX('TRANS'!$B:$B,MATCH($B146,'TRANS'!$A:$A,0)),IFERROR(INDEX('TRANS'!$B:$B,MATCH(TRIM(SUBSTITUTE($B146,CHAR(160)," ")),'TRANS'!$D:$D,0)),IFERROR(INDEX('Catalog'!$A:$A,MATCH($B146,'Catalog'!$B:$B,0)),IFERROR(INDEX('Catalog'!$A:$A,MATCH(TRIM(SUBSTITUTE($B146,CHAR(160)," ")),'Catalog'!$C:$C,0)),""))))</f>
        <v>4403023</v>
      </c>
      <c r="H146" s="8" t="str">
        <f aca="false">IFERROR(INDEX('TRANS'!$C:$C,MATCH($B146,'TRANS'!$A:$A,0)),IFERROR(INDEX('Catalog'!$B:$B,MATCH($G146,'Catalog'!$A:$A,0)),$B146))</f>
        <v>394W 35-38 גרב.כסף לסכרתים לבן</v>
      </c>
      <c r="I146" s="8" t="str">
        <f aca="false">IF($G146="","Unmatched","Matched")</f>
        <v>Matched</v>
      </c>
    </row>
    <row r="147" customFormat="false" ht="15" hidden="false" customHeight="false" outlineLevel="0" collapsed="false">
      <c r="A147" s="8" t="s">
        <v>51</v>
      </c>
      <c r="B147" s="8" t="s">
        <v>193</v>
      </c>
      <c r="C147" s="19" t="n">
        <v>17</v>
      </c>
      <c r="D147" s="19" t="n">
        <v>475.02</v>
      </c>
      <c r="E147" s="19" t="n">
        <v>4</v>
      </c>
      <c r="F147" s="19" t="n">
        <v>112.33</v>
      </c>
      <c r="G147" s="8" t="n">
        <f aca="false">IFERROR(INDEX('TRANS'!$B:$B,MATCH($B147,'TRANS'!$A:$A,0)),IFERROR(INDEX('TRANS'!$B:$B,MATCH(TRIM(SUBSTITUTE($B147,CHAR(160)," ")),'TRANS'!$D:$D,0)),IFERROR(INDEX('Catalog'!$A:$A,MATCH($B147,'Catalog'!$B:$B,0)),IFERROR(INDEX('Catalog'!$A:$A,MATCH(TRIM(SUBSTITUTE($B147,CHAR(160)," ")),'Catalog'!$C:$C,0)),""))))</f>
        <v>4403024</v>
      </c>
      <c r="H147" s="8" t="str">
        <f aca="false">IFERROR(INDEX('TRANS'!$C:$C,MATCH($B147,'TRANS'!$A:$A,0)),IFERROR(INDEX('Catalog'!$B:$B,MATCH($G147,'Catalog'!$A:$A,0)),$B147))</f>
        <v>394W 39-42 גרב.כסף לסכרתים לבן</v>
      </c>
      <c r="I147" s="8" t="str">
        <f aca="false">IF($G147="","Unmatched","Matched")</f>
        <v>Matched</v>
      </c>
    </row>
    <row r="148" customFormat="false" ht="15" hidden="false" customHeight="false" outlineLevel="0" collapsed="false">
      <c r="A148" s="8" t="s">
        <v>51</v>
      </c>
      <c r="B148" s="8" t="s">
        <v>194</v>
      </c>
      <c r="C148" s="19" t="n">
        <v>8</v>
      </c>
      <c r="D148" s="19" t="n">
        <v>210.42</v>
      </c>
      <c r="E148" s="19" t="n">
        <v>6</v>
      </c>
      <c r="F148" s="19" t="n">
        <v>168.49</v>
      </c>
      <c r="G148" s="8" t="n">
        <f aca="false">IFERROR(INDEX('TRANS'!$B:$B,MATCH($B148,'TRANS'!$A:$A,0)),IFERROR(INDEX('TRANS'!$B:$B,MATCH(TRIM(SUBSTITUTE($B148,CHAR(160)," ")),'TRANS'!$D:$D,0)),IFERROR(INDEX('Catalog'!$A:$A,MATCH($B148,'Catalog'!$B:$B,0)),IFERROR(INDEX('Catalog'!$A:$A,MATCH(TRIM(SUBSTITUTE($B148,CHAR(160)," ")),'Catalog'!$C:$C,0)),""))))</f>
        <v>4403025</v>
      </c>
      <c r="H148" s="8" t="str">
        <f aca="false">IFERROR(INDEX('TRANS'!$C:$C,MATCH($B148,'TRANS'!$A:$A,0)),IFERROR(INDEX('Catalog'!$B:$B,MATCH($G148,'Catalog'!$A:$A,0)),$B148))</f>
        <v>394W 43-46 גרב.כסף לסכרתים לבן</v>
      </c>
      <c r="I148" s="8" t="str">
        <f aca="false">IF($G148="","Unmatched","Matched")</f>
        <v>Matched</v>
      </c>
    </row>
    <row r="149" customFormat="false" ht="15" hidden="false" customHeight="false" outlineLevel="0" collapsed="false">
      <c r="A149" s="8" t="s">
        <v>51</v>
      </c>
      <c r="B149" s="8" t="s">
        <v>195</v>
      </c>
      <c r="C149" s="19" t="n">
        <v>0</v>
      </c>
      <c r="D149" s="19" t="n">
        <v>0</v>
      </c>
      <c r="E149" s="19" t="n">
        <v>2</v>
      </c>
      <c r="F149" s="19" t="n">
        <v>30.46</v>
      </c>
      <c r="G149" s="8" t="n">
        <f aca="false">IFERROR(INDEX('TRANS'!$B:$B,MATCH($B149,'TRANS'!$A:$A,0)),IFERROR(INDEX('TRANS'!$B:$B,MATCH(TRIM(SUBSTITUTE($B149,CHAR(160)," ")),'TRANS'!$D:$D,0)),IFERROR(INDEX('Catalog'!$A:$A,MATCH($B149,'Catalog'!$B:$B,0)),IFERROR(INDEX('Catalog'!$A:$A,MATCH(TRIM(SUBSTITUTE($B149,CHAR(160)," ")),'Catalog'!$C:$C,0)),""))))</f>
        <v>4403044</v>
      </c>
      <c r="H149" s="8" t="str">
        <f aca="false">IFERROR(INDEX('TRANS'!$C:$C,MATCH($B149,'TRANS'!$A:$A,0)),IFERROR(INDEX('Catalog'!$B:$B,MATCH($G149,'Catalog'!$A:$A,0)),$B149))</f>
        <v>395B גרבי קיץ אנטי בקטריא39-42</v>
      </c>
      <c r="I149" s="8" t="str">
        <f aca="false">IF($G149="","Unmatched","Matched")</f>
        <v>Matched</v>
      </c>
    </row>
    <row r="150" customFormat="false" ht="15" hidden="false" customHeight="false" outlineLevel="0" collapsed="false">
      <c r="A150" s="8" t="s">
        <v>51</v>
      </c>
      <c r="B150" s="8" t="s">
        <v>196</v>
      </c>
      <c r="C150" s="19" t="n">
        <v>0</v>
      </c>
      <c r="D150" s="19" t="n">
        <v>0</v>
      </c>
      <c r="E150" s="19" t="n">
        <v>28</v>
      </c>
      <c r="F150" s="19" t="n">
        <v>851.08</v>
      </c>
      <c r="G150" s="8" t="n">
        <f aca="false">IFERROR(INDEX('TRANS'!$B:$B,MATCH($B150,'TRANS'!$A:$A,0)),IFERROR(INDEX('TRANS'!$B:$B,MATCH(TRIM(SUBSTITUTE($B150,CHAR(160)," ")),'TRANS'!$D:$D,0)),IFERROR(INDEX('Catalog'!$A:$A,MATCH($B150,'Catalog'!$B:$B,0)),IFERROR(INDEX('Catalog'!$A:$A,MATCH(TRIM(SUBSTITUTE($B150,CHAR(160)," ")),'Catalog'!$C:$C,0)),""))))</f>
        <v>4403045</v>
      </c>
      <c r="H150" s="8" t="str">
        <f aca="false">IFERROR(INDEX('TRANS'!$C:$C,MATCH($B150,'TRANS'!$A:$A,0)),IFERROR(INDEX('Catalog'!$B:$B,MATCH($G150,'Catalog'!$A:$A,0)),$B150))</f>
        <v>395B גרבי קיץ אנטי בקטריא43-46</v>
      </c>
      <c r="I150" s="8" t="str">
        <f aca="false">IF($G150="","Unmatched","Matched")</f>
        <v>Matched</v>
      </c>
    </row>
    <row r="151" customFormat="false" ht="15" hidden="false" customHeight="false" outlineLevel="0" collapsed="false">
      <c r="A151" s="8" t="s">
        <v>51</v>
      </c>
      <c r="B151" s="8" t="s">
        <v>197</v>
      </c>
      <c r="C151" s="19" t="n">
        <v>25</v>
      </c>
      <c r="D151" s="19" t="n">
        <v>1576.22</v>
      </c>
      <c r="E151" s="19" t="n">
        <v>0</v>
      </c>
      <c r="F151" s="19" t="n">
        <v>0</v>
      </c>
      <c r="G151" s="8" t="str">
        <f aca="false">IFERROR(INDEX('TRANS'!$B:$B,MATCH($B151,'TRANS'!$A:$A,0)),IFERROR(INDEX('TRANS'!$B:$B,MATCH(TRIM(SUBSTITUTE($B151,CHAR(160)," ")),'TRANS'!$D:$D,0)),IFERROR(INDEX('Catalog'!$A:$A,MATCH($B151,'Catalog'!$B:$B,0)),IFERROR(INDEX('Catalog'!$A:$A,MATCH(TRIM(SUBSTITUTE($B151,CHAR(160)," ")),'Catalog'!$C:$C,0)),""))))</f>
        <v/>
      </c>
      <c r="H151" s="8" t="str">
        <f aca="false">IFERROR(INDEX('TRANS'!$C:$C,MATCH($B151,'TRANS'!$A:$A,0)),IFERROR(INDEX('Catalog'!$B:$B,MATCH($G151,'Catalog'!$A:$A,0)),$B151))</f>
        <v>397-35-38</v>
      </c>
      <c r="I151" s="8" t="str">
        <f aca="false">IF($G151="","Unmatched","Matched")</f>
        <v>Unmatched</v>
      </c>
    </row>
    <row r="152" customFormat="false" ht="15" hidden="false" customHeight="false" outlineLevel="0" collapsed="false">
      <c r="A152" s="8" t="s">
        <v>51</v>
      </c>
      <c r="B152" s="8" t="s">
        <v>198</v>
      </c>
      <c r="C152" s="19" t="n">
        <v>35</v>
      </c>
      <c r="D152" s="19" t="n">
        <v>2280.99</v>
      </c>
      <c r="E152" s="19" t="n">
        <v>0</v>
      </c>
      <c r="F152" s="19" t="n">
        <v>0</v>
      </c>
      <c r="G152" s="8" t="n">
        <f aca="false">IFERROR(INDEX('TRANS'!$B:$B,MATCH($B152,'TRANS'!$A:$A,0)),IFERROR(INDEX('TRANS'!$B:$B,MATCH(TRIM(SUBSTITUTE($B152,CHAR(160)," ")),'TRANS'!$D:$D,0)),IFERROR(INDEX('Catalog'!$A:$A,MATCH($B152,'Catalog'!$B:$B,0)),IFERROR(INDEX('Catalog'!$A:$A,MATCH(TRIM(SUBSTITUTE($B152,CHAR(160)," ")),'Catalog'!$C:$C,0)),""))))</f>
        <v>4403029</v>
      </c>
      <c r="H152" s="8" t="str">
        <f aca="false">IFERROR(INDEX('TRANS'!$C:$C,MATCH($B152,'TRANS'!$A:$A,0)),IFERROR(INDEX('Catalog'!$B:$B,MATCH($G152,'Catalog'!$A:$A,0)),$B152))</f>
        <v>397 39-42 גרבי טיסה מידה</v>
      </c>
      <c r="I152" s="8" t="str">
        <f aca="false">IF($G152="","Unmatched","Matched")</f>
        <v>Matched</v>
      </c>
    </row>
    <row r="153" customFormat="false" ht="15" hidden="false" customHeight="false" outlineLevel="0" collapsed="false">
      <c r="A153" s="8" t="s">
        <v>51</v>
      </c>
      <c r="B153" s="8" t="s">
        <v>199</v>
      </c>
      <c r="C153" s="19" t="n">
        <v>18</v>
      </c>
      <c r="D153" s="19" t="n">
        <v>1156.07</v>
      </c>
      <c r="E153" s="19" t="n">
        <v>0</v>
      </c>
      <c r="F153" s="19" t="n">
        <v>0</v>
      </c>
      <c r="G153" s="8" t="str">
        <f aca="false">IFERROR(INDEX('TRANS'!$B:$B,MATCH($B153,'TRANS'!$A:$A,0)),IFERROR(INDEX('TRANS'!$B:$B,MATCH(TRIM(SUBSTITUTE($B153,CHAR(160)," ")),'TRANS'!$D:$D,0)),IFERROR(INDEX('Catalog'!$A:$A,MATCH($B153,'Catalog'!$B:$B,0)),IFERROR(INDEX('Catalog'!$A:$A,MATCH(TRIM(SUBSTITUTE($B153,CHAR(160)," ")),'Catalog'!$C:$C,0)),""))))</f>
        <v/>
      </c>
      <c r="H153" s="8" t="str">
        <f aca="false">IFERROR(INDEX('TRANS'!$C:$C,MATCH($B153,'TRANS'!$A:$A,0)),IFERROR(INDEX('Catalog'!$B:$B,MATCH($G153,'Catalog'!$A:$A,0)),$B153))</f>
        <v>397-43-46</v>
      </c>
      <c r="I153" s="8" t="str">
        <f aca="false">IF($G153="","Unmatched","Matched")</f>
        <v>Unmatched</v>
      </c>
    </row>
    <row r="154" customFormat="false" ht="15" hidden="false" customHeight="false" outlineLevel="0" collapsed="false">
      <c r="A154" s="8" t="s">
        <v>51</v>
      </c>
      <c r="B154" s="8" t="s">
        <v>200</v>
      </c>
      <c r="C154" s="19" t="n">
        <v>0</v>
      </c>
      <c r="D154" s="19" t="n">
        <v>0</v>
      </c>
      <c r="E154" s="19" t="n">
        <v>8</v>
      </c>
      <c r="F154" s="19" t="n">
        <v>442.63</v>
      </c>
      <c r="G154" s="8" t="n">
        <f aca="false">IFERROR(INDEX('TRANS'!$B:$B,MATCH($B154,'TRANS'!$A:$A,0)),IFERROR(INDEX('TRANS'!$B:$B,MATCH(TRIM(SUBSTITUTE($B154,CHAR(160)," ")),'TRANS'!$D:$D,0)),IFERROR(INDEX('Catalog'!$A:$A,MATCH($B154,'Catalog'!$B:$B,0)),IFERROR(INDEX('Catalog'!$A:$A,MATCH(TRIM(SUBSTITUTE($B154,CHAR(160)," ")),'Catalog'!$C:$C,0)),""))))</f>
        <v>4403041</v>
      </c>
      <c r="H154" s="8" t="str">
        <f aca="false">IFERROR(INDEX('TRANS'!$C:$C,MATCH($B154,'TRANS'!$A:$A,0)),IFERROR(INDEX('Catalog'!$B:$B,MATCH($G154,'Catalog'!$A:$A,0)),$B154))</f>
        <v>397A-גרבי טיסה אנטי בקטרי35-38</v>
      </c>
      <c r="I154" s="8" t="str">
        <f aca="false">IF($G154="","Unmatched","Matched")</f>
        <v>Matched</v>
      </c>
    </row>
    <row r="155" customFormat="false" ht="15" hidden="false" customHeight="false" outlineLevel="0" collapsed="false">
      <c r="A155" s="8" t="s">
        <v>51</v>
      </c>
      <c r="B155" s="8" t="s">
        <v>201</v>
      </c>
      <c r="C155" s="19" t="n">
        <v>0</v>
      </c>
      <c r="D155" s="19" t="n">
        <v>0</v>
      </c>
      <c r="E155" s="19" t="n">
        <v>20</v>
      </c>
      <c r="F155" s="19" t="n">
        <v>1275.35</v>
      </c>
      <c r="G155" s="8" t="n">
        <f aca="false">IFERROR(INDEX('TRANS'!$B:$B,MATCH($B155,'TRANS'!$A:$A,0)),IFERROR(INDEX('TRANS'!$B:$B,MATCH(TRIM(SUBSTITUTE($B155,CHAR(160)," ")),'TRANS'!$D:$D,0)),IFERROR(INDEX('Catalog'!$A:$A,MATCH($B155,'Catalog'!$B:$B,0)),IFERROR(INDEX('Catalog'!$A:$A,MATCH(TRIM(SUBSTITUTE($B155,CHAR(160)," ")),'Catalog'!$C:$C,0)),""))))</f>
        <v>4403042</v>
      </c>
      <c r="H155" s="8" t="str">
        <f aca="false">IFERROR(INDEX('TRANS'!$C:$C,MATCH($B155,'TRANS'!$A:$A,0)),IFERROR(INDEX('Catalog'!$B:$B,MATCH($G155,'Catalog'!$A:$A,0)),$B155))</f>
        <v>397A-גרבי טיסה אנטי בקטרי39-42</v>
      </c>
      <c r="I155" s="8" t="str">
        <f aca="false">IF($G155="","Unmatched","Matched")</f>
        <v>Matched</v>
      </c>
    </row>
    <row r="156" customFormat="false" ht="15" hidden="false" customHeight="false" outlineLevel="0" collapsed="false">
      <c r="A156" s="8" t="s">
        <v>51</v>
      </c>
      <c r="B156" s="8" t="s">
        <v>202</v>
      </c>
      <c r="C156" s="19" t="n">
        <v>0</v>
      </c>
      <c r="D156" s="19" t="n">
        <v>0</v>
      </c>
      <c r="E156" s="19" t="n">
        <v>20</v>
      </c>
      <c r="F156" s="19" t="n">
        <v>1264.67</v>
      </c>
      <c r="G156" s="8" t="n">
        <f aca="false">IFERROR(INDEX('TRANS'!$B:$B,MATCH($B156,'TRANS'!$A:$A,0)),IFERROR(INDEX('TRANS'!$B:$B,MATCH(TRIM(SUBSTITUTE($B156,CHAR(160)," ")),'TRANS'!$D:$D,0)),IFERROR(INDEX('Catalog'!$A:$A,MATCH($B156,'Catalog'!$B:$B,0)),IFERROR(INDEX('Catalog'!$A:$A,MATCH(TRIM(SUBSTITUTE($B156,CHAR(160)," ")),'Catalog'!$C:$C,0)),""))))</f>
        <v>4403043</v>
      </c>
      <c r="H156" s="8" t="str">
        <f aca="false">IFERROR(INDEX('TRANS'!$C:$C,MATCH($B156,'TRANS'!$A:$A,0)),IFERROR(INDEX('Catalog'!$B:$B,MATCH($G156,'Catalog'!$A:$A,0)),$B156))</f>
        <v>397A-גרבי טיסה אנטי בקטרי43-46</v>
      </c>
      <c r="I156" s="8" t="str">
        <f aca="false">IF($G156="","Unmatched","Matched")</f>
        <v>Matched</v>
      </c>
    </row>
    <row r="157" customFormat="false" ht="15" hidden="false" customHeight="false" outlineLevel="0" collapsed="false">
      <c r="A157" s="8" t="s">
        <v>51</v>
      </c>
      <c r="B157" s="8" t="s">
        <v>203</v>
      </c>
      <c r="C157" s="19" t="n">
        <v>16</v>
      </c>
      <c r="D157" s="19" t="n">
        <v>876.61</v>
      </c>
      <c r="E157" s="19" t="n">
        <v>10</v>
      </c>
      <c r="F157" s="19" t="n">
        <v>519.81</v>
      </c>
      <c r="G157" s="8" t="n">
        <f aca="false">IFERROR(INDEX('TRANS'!$B:$B,MATCH($B157,'TRANS'!$A:$A,0)),IFERROR(INDEX('TRANS'!$B:$B,MATCH(TRIM(SUBSTITUTE($B157,CHAR(160)," ")),'TRANS'!$D:$D,0)),IFERROR(INDEX('Catalog'!$A:$A,MATCH($B157,'Catalog'!$B:$B,0)),IFERROR(INDEX('Catalog'!$A:$A,MATCH(TRIM(SUBSTITUTE($B157,CHAR(160)," ")),'Catalog'!$C:$C,0)),""))))</f>
        <v>4420016</v>
      </c>
      <c r="H157" s="8" t="str">
        <f aca="false">IFERROR(INDEX('TRANS'!$C:$C,MATCH($B157,'TRANS'!$A:$A,0)),IFERROR(INDEX('Catalog'!$B:$B,MATCH($G157,'Catalog'!$A:$A,0)),$B157))</f>
        <v>40-רצועת פיקה לברך</v>
      </c>
      <c r="I157" s="8" t="str">
        <f aca="false">IF($G157="","Unmatched","Matched")</f>
        <v>Matched</v>
      </c>
    </row>
    <row r="158" customFormat="false" ht="15" hidden="false" customHeight="false" outlineLevel="0" collapsed="false">
      <c r="A158" s="8" t="s">
        <v>51</v>
      </c>
      <c r="B158" s="8" t="s">
        <v>204</v>
      </c>
      <c r="C158" s="19" t="n">
        <v>0</v>
      </c>
      <c r="D158" s="19" t="n">
        <v>0</v>
      </c>
      <c r="E158" s="19" t="n">
        <v>3</v>
      </c>
      <c r="F158" s="19" t="n">
        <v>283.9</v>
      </c>
      <c r="G158" s="8" t="n">
        <f aca="false">IFERROR(INDEX('TRANS'!$B:$B,MATCH($B158,'TRANS'!$A:$A,0)),IFERROR(INDEX('TRANS'!$B:$B,MATCH(TRIM(SUBSTITUTE($B158,CHAR(160)," ")),'TRANS'!$D:$D,0)),IFERROR(INDEX('Catalog'!$A:$A,MATCH($B158,'Catalog'!$B:$B,0)),IFERROR(INDEX('Catalog'!$A:$A,MATCH(TRIM(SUBSTITUTE($B158,CHAR(160)," ")),'Catalog'!$C:$C,0)),""))))</f>
        <v>4420017</v>
      </c>
      <c r="H158" s="8" t="str">
        <f aca="false">IFERROR(INDEX('TRANS'!$C:$C,MATCH($B158,'TRANS'!$A:$A,0)),IFERROR(INDEX('Catalog'!$B:$B,MATCH($G158,'Catalog'!$A:$A,0)),$B158))</f>
        <v>4022 רצועת """"פיקה""""+כרית</v>
      </c>
      <c r="I158" s="8" t="str">
        <f aca="false">IF($G158="","Unmatched","Matched")</f>
        <v>Matched</v>
      </c>
    </row>
    <row r="159" customFormat="false" ht="15" hidden="false" customHeight="false" outlineLevel="0" collapsed="false">
      <c r="A159" s="8" t="s">
        <v>51</v>
      </c>
      <c r="B159" s="8" t="s">
        <v>205</v>
      </c>
      <c r="C159" s="19" t="n">
        <v>3</v>
      </c>
      <c r="D159" s="19" t="n">
        <v>399.35</v>
      </c>
      <c r="E159" s="19" t="n">
        <v>0</v>
      </c>
      <c r="F159" s="19" t="n">
        <v>0</v>
      </c>
      <c r="G159" s="8" t="n">
        <f aca="false">IFERROR(INDEX('TRANS'!$B:$B,MATCH($B159,'TRANS'!$A:$A,0)),IFERROR(INDEX('TRANS'!$B:$B,MATCH(TRIM(SUBSTITUTE($B159,CHAR(160)," ")),'TRANS'!$D:$D,0)),IFERROR(INDEX('Catalog'!$A:$A,MATCH($B159,'Catalog'!$B:$B,0)),IFERROR(INDEX('Catalog'!$A:$A,MATCH(TRIM(SUBSTITUTE($B159,CHAR(160)," ")),'Catalog'!$C:$C,0)),""))))</f>
        <v>4413076</v>
      </c>
      <c r="H159" s="8" t="str">
        <f aca="false">IFERROR(INDEX('TRANS'!$C:$C,MATCH($B159,'TRANS'!$A:$A,0)),IFERROR(INDEX('Catalog'!$B:$B,MATCH($G159,'Catalog'!$A:$A,0)),$B159))</f>
        <v>41X L מגן ברך מוצלב+מוט</v>
      </c>
      <c r="I159" s="8" t="str">
        <f aca="false">IF($G159="","Unmatched","Matched")</f>
        <v>Matched</v>
      </c>
    </row>
    <row r="160" customFormat="false" ht="15" hidden="false" customHeight="false" outlineLevel="0" collapsed="false">
      <c r="A160" s="8" t="s">
        <v>51</v>
      </c>
      <c r="B160" s="8" t="s">
        <v>206</v>
      </c>
      <c r="C160" s="19" t="n">
        <v>3</v>
      </c>
      <c r="D160" s="19" t="n">
        <v>91.53</v>
      </c>
      <c r="E160" s="19" t="n">
        <v>0</v>
      </c>
      <c r="F160" s="19" t="n">
        <v>0</v>
      </c>
      <c r="G160" s="8" t="n">
        <f aca="false">IFERROR(INDEX('TRANS'!$B:$B,MATCH($B160,'TRANS'!$A:$A,0)),IFERROR(INDEX('TRANS'!$B:$B,MATCH(TRIM(SUBSTITUTE($B160,CHAR(160)," ")),'TRANS'!$D:$D,0)),IFERROR(INDEX('Catalog'!$A:$A,MATCH($B160,'Catalog'!$B:$B,0)),IFERROR(INDEX('Catalog'!$A:$A,MATCH(TRIM(SUBSTITUTE($B160,CHAR(160)," ")),'Catalog'!$C:$C,0)),""))))</f>
        <v>4413094</v>
      </c>
      <c r="H160" s="8" t="str">
        <f aca="false">IFERROR(INDEX('TRANS'!$C:$C,MATCH($B160,'TRANS'!$A:$A,0)),IFERROR(INDEX('Catalog'!$B:$B,MATCH($G160,'Catalog'!$A:$A,0)),$B160))</f>
        <v>45 S מגן ברך לבן</v>
      </c>
      <c r="I160" s="8" t="str">
        <f aca="false">IF($G160="","Unmatched","Matched")</f>
        <v>Matched</v>
      </c>
    </row>
    <row r="161" customFormat="false" ht="15" hidden="false" customHeight="false" outlineLevel="0" collapsed="false">
      <c r="A161" s="8" t="s">
        <v>51</v>
      </c>
      <c r="B161" s="8" t="s">
        <v>207</v>
      </c>
      <c r="C161" s="19" t="n">
        <v>3</v>
      </c>
      <c r="D161" s="19" t="n">
        <v>91.53</v>
      </c>
      <c r="E161" s="19" t="n">
        <v>0</v>
      </c>
      <c r="F161" s="19" t="n">
        <v>0</v>
      </c>
      <c r="G161" s="8" t="n">
        <f aca="false">IFERROR(INDEX('TRANS'!$B:$B,MATCH($B161,'TRANS'!$A:$A,0)),IFERROR(INDEX('TRANS'!$B:$B,MATCH(TRIM(SUBSTITUTE($B161,CHAR(160)," ")),'TRANS'!$D:$D,0)),IFERROR(INDEX('Catalog'!$A:$A,MATCH($B161,'Catalog'!$B:$B,0)),IFERROR(INDEX('Catalog'!$A:$A,MATCH(TRIM(SUBSTITUTE($B161,CHAR(160)," ")),'Catalog'!$C:$C,0)),""))))</f>
        <v>4413095</v>
      </c>
      <c r="H161" s="8" t="str">
        <f aca="false">IFERROR(INDEX('TRANS'!$C:$C,MATCH($B161,'TRANS'!$A:$A,0)),IFERROR(INDEX('Catalog'!$B:$B,MATCH($G161,'Catalog'!$A:$A,0)),$B161))</f>
        <v>45 XL מגן ברך לבן</v>
      </c>
      <c r="I161" s="8" t="str">
        <f aca="false">IF($G161="","Unmatched","Matched")</f>
        <v>Matched</v>
      </c>
    </row>
    <row r="162" customFormat="false" ht="15" hidden="false" customHeight="false" outlineLevel="0" collapsed="false">
      <c r="A162" s="8" t="s">
        <v>51</v>
      </c>
      <c r="B162" s="8" t="s">
        <v>208</v>
      </c>
      <c r="C162" s="19" t="n">
        <v>4</v>
      </c>
      <c r="D162" s="19" t="n">
        <v>133.86</v>
      </c>
      <c r="E162" s="19" t="n">
        <v>5</v>
      </c>
      <c r="F162" s="19" t="n">
        <v>154.46</v>
      </c>
      <c r="G162" s="8" t="n">
        <f aca="false">IFERROR(INDEX('TRANS'!$B:$B,MATCH($B162,'TRANS'!$A:$A,0)),IFERROR(INDEX('TRANS'!$B:$B,MATCH(TRIM(SUBSTITUTE($B162,CHAR(160)," ")),'TRANS'!$D:$D,0)),IFERROR(INDEX('Catalog'!$A:$A,MATCH($B162,'Catalog'!$B:$B,0)),IFERROR(INDEX('Catalog'!$A:$A,MATCH(TRIM(SUBSTITUTE($B162,CHAR(160)," ")),'Catalog'!$C:$C,0)),""))))</f>
        <v>4413495</v>
      </c>
      <c r="H162" s="8" t="str">
        <f aca="false">IFERROR(INDEX('TRANS'!$C:$C,MATCH($B162,'TRANS'!$A:$A,0)),IFERROR(INDEX('Catalog'!$B:$B,MATCH($G162,'Catalog'!$A:$A,0)),$B162))</f>
        <v>45B L מגן ברך שחור</v>
      </c>
      <c r="I162" s="8" t="str">
        <f aca="false">IF($G162="","Unmatched","Matched")</f>
        <v>Matched</v>
      </c>
    </row>
    <row r="163" customFormat="false" ht="15" hidden="false" customHeight="false" outlineLevel="0" collapsed="false">
      <c r="A163" s="8" t="s">
        <v>51</v>
      </c>
      <c r="B163" s="8" t="s">
        <v>209</v>
      </c>
      <c r="C163" s="19" t="n">
        <v>13</v>
      </c>
      <c r="D163" s="19" t="n">
        <v>365.91</v>
      </c>
      <c r="E163" s="19" t="n">
        <v>5</v>
      </c>
      <c r="F163" s="19" t="n">
        <v>154.46</v>
      </c>
      <c r="G163" s="8" t="n">
        <f aca="false">IFERROR(INDEX('TRANS'!$B:$B,MATCH($B163,'TRANS'!$A:$A,0)),IFERROR(INDEX('TRANS'!$B:$B,MATCH(TRIM(SUBSTITUTE($B163,CHAR(160)," ")),'TRANS'!$D:$D,0)),IFERROR(INDEX('Catalog'!$A:$A,MATCH($B163,'Catalog'!$B:$B,0)),IFERROR(INDEX('Catalog'!$A:$A,MATCH(TRIM(SUBSTITUTE($B163,CHAR(160)," ")),'Catalog'!$C:$C,0)),""))))</f>
        <v>4413497</v>
      </c>
      <c r="H163" s="8" t="str">
        <f aca="false">IFERROR(INDEX('TRANS'!$C:$C,MATCH($B163,'TRANS'!$A:$A,0)),IFERROR(INDEX('Catalog'!$B:$B,MATCH($G163,'Catalog'!$A:$A,0)),$B163))</f>
        <v>45B M מגן ברך שחור</v>
      </c>
      <c r="I163" s="8" t="str">
        <f aca="false">IF($G163="","Unmatched","Matched")</f>
        <v>Matched</v>
      </c>
    </row>
    <row r="164" customFormat="false" ht="15" hidden="false" customHeight="false" outlineLevel="0" collapsed="false">
      <c r="A164" s="8" t="s">
        <v>51</v>
      </c>
      <c r="B164" s="8" t="s">
        <v>210</v>
      </c>
      <c r="C164" s="19" t="n">
        <v>8</v>
      </c>
      <c r="D164" s="19" t="n">
        <v>245.99</v>
      </c>
      <c r="E164" s="19" t="n">
        <v>0</v>
      </c>
      <c r="F164" s="19" t="n">
        <v>0</v>
      </c>
      <c r="G164" s="8" t="n">
        <f aca="false">IFERROR(INDEX('TRANS'!$B:$B,MATCH($B164,'TRANS'!$A:$A,0)),IFERROR(INDEX('TRANS'!$B:$B,MATCH(TRIM(SUBSTITUTE($B164,CHAR(160)," ")),'TRANS'!$D:$D,0)),IFERROR(INDEX('Catalog'!$A:$A,MATCH($B164,'Catalog'!$B:$B,0)),IFERROR(INDEX('Catalog'!$A:$A,MATCH(TRIM(SUBSTITUTE($B164,CHAR(160)," ")),'Catalog'!$C:$C,0)),""))))</f>
        <v>4413098</v>
      </c>
      <c r="H164" s="8" t="str">
        <f aca="false">IFERROR(INDEX('TRANS'!$C:$C,MATCH($B164,'TRANS'!$A:$A,0)),IFERROR(INDEX('Catalog'!$B:$B,MATCH($G164,'Catalog'!$A:$A,0)),$B164))</f>
        <v>45C L מגן ברך חום</v>
      </c>
      <c r="I164" s="8" t="str">
        <f aca="false">IF($G164="","Unmatched","Matched")</f>
        <v>Matched</v>
      </c>
    </row>
    <row r="165" customFormat="false" ht="15" hidden="false" customHeight="false" outlineLevel="0" collapsed="false">
      <c r="A165" s="8" t="s">
        <v>51</v>
      </c>
      <c r="B165" s="8" t="s">
        <v>211</v>
      </c>
      <c r="C165" s="19" t="n">
        <v>20</v>
      </c>
      <c r="D165" s="19" t="n">
        <v>613.74</v>
      </c>
      <c r="E165" s="19" t="n">
        <v>2</v>
      </c>
      <c r="F165" s="19" t="n">
        <v>61.78</v>
      </c>
      <c r="G165" s="8" t="n">
        <f aca="false">IFERROR(INDEX('TRANS'!$B:$B,MATCH($B165,'TRANS'!$A:$A,0)),IFERROR(INDEX('TRANS'!$B:$B,MATCH(TRIM(SUBSTITUTE($B165,CHAR(160)," ")),'TRANS'!$D:$D,0)),IFERROR(INDEX('Catalog'!$A:$A,MATCH($B165,'Catalog'!$B:$B,0)),IFERROR(INDEX('Catalog'!$A:$A,MATCH(TRIM(SUBSTITUTE($B165,CHAR(160)," ")),'Catalog'!$C:$C,0)),""))))</f>
        <v>4413099</v>
      </c>
      <c r="H165" s="8" t="str">
        <f aca="false">IFERROR(INDEX('TRANS'!$C:$C,MATCH($B165,'TRANS'!$A:$A,0)),IFERROR(INDEX('Catalog'!$B:$B,MATCH($G165,'Catalog'!$A:$A,0)),$B165))</f>
        <v>45C M מגן ברך חום</v>
      </c>
      <c r="I165" s="8" t="str">
        <f aca="false">IF($G165="","Unmatched","Matched")</f>
        <v>Matched</v>
      </c>
    </row>
    <row r="166" customFormat="false" ht="15" hidden="false" customHeight="false" outlineLevel="0" collapsed="false">
      <c r="A166" s="8" t="s">
        <v>51</v>
      </c>
      <c r="B166" s="8" t="s">
        <v>212</v>
      </c>
      <c r="C166" s="19" t="n">
        <v>3</v>
      </c>
      <c r="D166" s="19" t="n">
        <v>92.68</v>
      </c>
      <c r="E166" s="19" t="n">
        <v>1</v>
      </c>
      <c r="F166" s="19" t="n">
        <v>30.89</v>
      </c>
      <c r="G166" s="8" t="n">
        <f aca="false">IFERROR(INDEX('TRANS'!$B:$B,MATCH($B166,'TRANS'!$A:$A,0)),IFERROR(INDEX('TRANS'!$B:$B,MATCH(TRIM(SUBSTITUTE($B166,CHAR(160)," ")),'TRANS'!$D:$D,0)),IFERROR(INDEX('Catalog'!$A:$A,MATCH($B166,'Catalog'!$B:$B,0)),IFERROR(INDEX('Catalog'!$A:$A,MATCH(TRIM(SUBSTITUTE($B166,CHAR(160)," ")),'Catalog'!$C:$C,0)),""))))</f>
        <v>4413097</v>
      </c>
      <c r="H166" s="8" t="str">
        <f aca="false">IFERROR(INDEX('TRANS'!$C:$C,MATCH($B166,'TRANS'!$A:$A,0)),IFERROR(INDEX('Catalog'!$B:$B,MATCH($G166,'Catalog'!$A:$A,0)),$B166))</f>
        <v>45C S מגן ברך חום</v>
      </c>
      <c r="I166" s="8" t="str">
        <f aca="false">IF($G166="","Unmatched","Matched")</f>
        <v>Matched</v>
      </c>
    </row>
    <row r="167" customFormat="false" ht="15" hidden="false" customHeight="false" outlineLevel="0" collapsed="false">
      <c r="A167" s="8" t="s">
        <v>51</v>
      </c>
      <c r="B167" s="8" t="s">
        <v>213</v>
      </c>
      <c r="C167" s="19" t="n">
        <v>4</v>
      </c>
      <c r="D167" s="19" t="n">
        <v>123.57</v>
      </c>
      <c r="E167" s="19" t="n">
        <v>1</v>
      </c>
      <c r="F167" s="19" t="n">
        <v>30.89</v>
      </c>
      <c r="G167" s="8" t="n">
        <f aca="false">IFERROR(INDEX('TRANS'!$B:$B,MATCH($B167,'TRANS'!$A:$A,0)),IFERROR(INDEX('TRANS'!$B:$B,MATCH(TRIM(SUBSTITUTE($B167,CHAR(160)," ")),'TRANS'!$D:$D,0)),IFERROR(INDEX('Catalog'!$A:$A,MATCH($B167,'Catalog'!$B:$B,0)),IFERROR(INDEX('Catalog'!$A:$A,MATCH(TRIM(SUBSTITUTE($B167,CHAR(160)," ")),'Catalog'!$C:$C,0)),""))))</f>
        <v>4413100</v>
      </c>
      <c r="H167" s="8" t="str">
        <f aca="false">IFERROR(INDEX('TRANS'!$C:$C,MATCH($B167,'TRANS'!$A:$A,0)),IFERROR(INDEX('Catalog'!$B:$B,MATCH($G167,'Catalog'!$A:$A,0)),$B167))</f>
        <v>45C XL מגן ברך חום</v>
      </c>
      <c r="I167" s="8" t="str">
        <f aca="false">IF($G167="","Unmatched","Matched")</f>
        <v>Matched</v>
      </c>
    </row>
    <row r="168" customFormat="false" ht="15" hidden="false" customHeight="false" outlineLevel="0" collapsed="false">
      <c r="A168" s="8" t="s">
        <v>51</v>
      </c>
      <c r="B168" s="8" t="s">
        <v>214</v>
      </c>
      <c r="C168" s="19" t="n">
        <v>2</v>
      </c>
      <c r="D168" s="19" t="n">
        <v>72.08</v>
      </c>
      <c r="E168" s="19" t="n">
        <v>0</v>
      </c>
      <c r="F168" s="19" t="n">
        <v>0</v>
      </c>
      <c r="G168" s="8" t="str">
        <f aca="false">IFERROR(INDEX('TRANS'!$B:$B,MATCH($B168,'TRANS'!$A:$A,0)),IFERROR(INDEX('TRANS'!$B:$B,MATCH(TRIM(SUBSTITUTE($B168,CHAR(160)," ")),'TRANS'!$D:$D,0)),IFERROR(INDEX('Catalog'!$A:$A,MATCH($B168,'Catalog'!$B:$B,0)),IFERROR(INDEX('Catalog'!$A:$A,MATCH(TRIM(SUBSTITUTE($B168,CHAR(160)," ")),'Catalog'!$C:$C,0)),""))))</f>
        <v/>
      </c>
      <c r="H168" s="8" t="str">
        <f aca="false">IFERROR(INDEX('TRANS'!$C:$C,MATCH($B168,'TRANS'!$A:$A,0)),IFERROR(INDEX('Catalog'!$B:$B,MATCH($G168,'Catalog'!$A:$A,0)),$B168))</f>
        <v>45C XS</v>
      </c>
      <c r="I168" s="8" t="str">
        <f aca="false">IF($G168="","Unmatched","Matched")</f>
        <v>Unmatched</v>
      </c>
    </row>
    <row r="169" customFormat="false" ht="15" hidden="false" customHeight="false" outlineLevel="0" collapsed="false">
      <c r="A169" s="8" t="s">
        <v>51</v>
      </c>
      <c r="B169" s="8" t="s">
        <v>215</v>
      </c>
      <c r="C169" s="19" t="n">
        <v>6</v>
      </c>
      <c r="D169" s="19" t="n">
        <v>184.21</v>
      </c>
      <c r="E169" s="19" t="n">
        <v>0</v>
      </c>
      <c r="F169" s="19" t="n">
        <v>0</v>
      </c>
      <c r="G169" s="8" t="str">
        <f aca="false">IFERROR(INDEX('TRANS'!$B:$B,MATCH($B169,'TRANS'!$A:$A,0)),IFERROR(INDEX('TRANS'!$B:$B,MATCH(TRIM(SUBSTITUTE($B169,CHAR(160)," ")),'TRANS'!$D:$D,0)),IFERROR(INDEX('Catalog'!$A:$A,MATCH($B169,'Catalog'!$B:$B,0)),IFERROR(INDEX('Catalog'!$A:$A,MATCH(TRIM(SUBSTITUTE($B169,CHAR(160)," ")),'Catalog'!$C:$C,0)),""))))</f>
        <v/>
      </c>
      <c r="H169" s="8" t="str">
        <f aca="false">IFERROR(INDEX('TRANS'!$C:$C,MATCH($B169,'TRANS'!$A:$A,0)),IFERROR(INDEX('Catalog'!$B:$B,MATCH($G169,'Catalog'!$A:$A,0)),$B169))</f>
        <v>45C XXL</v>
      </c>
      <c r="I169" s="8" t="str">
        <f aca="false">IF($G169="","Unmatched","Matched")</f>
        <v>Unmatched</v>
      </c>
    </row>
    <row r="170" customFormat="false" ht="15" hidden="false" customHeight="false" outlineLevel="0" collapsed="false">
      <c r="A170" s="8" t="s">
        <v>51</v>
      </c>
      <c r="B170" s="8" t="s">
        <v>216</v>
      </c>
      <c r="C170" s="19" t="n">
        <v>0</v>
      </c>
      <c r="D170" s="19" t="n">
        <v>0</v>
      </c>
      <c r="E170" s="19" t="n">
        <v>6</v>
      </c>
      <c r="F170" s="19" t="n">
        <v>224.72</v>
      </c>
      <c r="G170" s="8" t="n">
        <f aca="false">IFERROR(INDEX('TRANS'!$B:$B,MATCH($B170,'TRANS'!$A:$A,0)),IFERROR(INDEX('TRANS'!$B:$B,MATCH(TRIM(SUBSTITUTE($B170,CHAR(160)," ")),'TRANS'!$D:$D,0)),IFERROR(INDEX('Catalog'!$A:$A,MATCH($B170,'Catalog'!$B:$B,0)),IFERROR(INDEX('Catalog'!$A:$A,MATCH(TRIM(SUBSTITUTE($B170,CHAR(160)," ")),'Catalog'!$C:$C,0)),""))))</f>
        <v>4413104</v>
      </c>
      <c r="H170" s="8" t="str">
        <f aca="false">IFERROR(INDEX('TRANS'!$C:$C,MATCH($B170,'TRANS'!$A:$A,0)),IFERROR(INDEX('Catalog'!$B:$B,MATCH($G170,'Catalog'!$A:$A,0)),$B170))</f>
        <v>45E XLמגן ברך ארוך לבן</v>
      </c>
      <c r="I170" s="8" t="str">
        <f aca="false">IF($G170="","Unmatched","Matched")</f>
        <v>Matched</v>
      </c>
    </row>
    <row r="171" customFormat="false" ht="15" hidden="false" customHeight="false" outlineLevel="0" collapsed="false">
      <c r="A171" s="8" t="s">
        <v>51</v>
      </c>
      <c r="B171" s="8" t="s">
        <v>217</v>
      </c>
      <c r="C171" s="19" t="n">
        <v>1</v>
      </c>
      <c r="D171" s="19" t="n">
        <v>37.46</v>
      </c>
      <c r="E171" s="19" t="n">
        <v>0</v>
      </c>
      <c r="F171" s="19" t="n">
        <v>0</v>
      </c>
      <c r="G171" s="8" t="n">
        <f aca="false">IFERROR(INDEX('TRANS'!$B:$B,MATCH($B171,'TRANS'!$A:$A,0)),IFERROR(INDEX('TRANS'!$B:$B,MATCH(TRIM(SUBSTITUTE($B171,CHAR(160)," ")),'TRANS'!$D:$D,0)),IFERROR(INDEX('Catalog'!$A:$A,MATCH($B171,'Catalog'!$B:$B,0)),IFERROR(INDEX('Catalog'!$A:$A,MATCH(TRIM(SUBSTITUTE($B171,CHAR(160)," ")),'Catalog'!$C:$C,0)),""))))</f>
        <v>4413105</v>
      </c>
      <c r="H171" s="8" t="str">
        <f aca="false">IFERROR(INDEX('TRANS'!$C:$C,MATCH($B171,'TRANS'!$A:$A,0)),IFERROR(INDEX('Catalog'!$B:$B,MATCH($G171,'Catalog'!$A:$A,0)),$B171))</f>
        <v>45E XXLמגן ברך ארוך לבן</v>
      </c>
      <c r="I171" s="8" t="str">
        <f aca="false">IF($G171="","Unmatched","Matched")</f>
        <v>Matched</v>
      </c>
    </row>
    <row r="172" customFormat="false" ht="15" hidden="false" customHeight="false" outlineLevel="0" collapsed="false">
      <c r="A172" s="8" t="s">
        <v>51</v>
      </c>
      <c r="B172" s="8" t="s">
        <v>218</v>
      </c>
      <c r="C172" s="19" t="n">
        <v>5</v>
      </c>
      <c r="D172" s="19" t="n">
        <v>185.69</v>
      </c>
      <c r="E172" s="19" t="n">
        <v>0</v>
      </c>
      <c r="F172" s="19" t="n">
        <v>0</v>
      </c>
      <c r="G172" s="8" t="n">
        <f aca="false">IFERROR(INDEX('TRANS'!$B:$B,MATCH($B172,'TRANS'!$A:$A,0)),IFERROR(INDEX('TRANS'!$B:$B,MATCH(TRIM(SUBSTITUTE($B172,CHAR(160)," ")),'TRANS'!$D:$D,0)),IFERROR(INDEX('Catalog'!$A:$A,MATCH($B172,'Catalog'!$B:$B,0)),IFERROR(INDEX('Catalog'!$A:$A,MATCH(TRIM(SUBSTITUTE($B172,CHAR(160)," ")),'Catalog'!$C:$C,0)),""))))</f>
        <v>4413396</v>
      </c>
      <c r="H172" s="8" t="str">
        <f aca="false">IFERROR(INDEX('TRANS'!$C:$C,MATCH($B172,'TRANS'!$A:$A,0)),IFERROR(INDEX('Catalog'!$B:$B,MATCH($G172,'Catalog'!$A:$A,0)),$B172))</f>
        <v>45EC L 'מגן ברך ארוך בז</v>
      </c>
      <c r="I172" s="8" t="str">
        <f aca="false">IF($G172="","Unmatched","Matched")</f>
        <v>Matched</v>
      </c>
    </row>
    <row r="173" customFormat="false" ht="15" hidden="false" customHeight="false" outlineLevel="0" collapsed="false">
      <c r="A173" s="8" t="s">
        <v>51</v>
      </c>
      <c r="B173" s="8" t="s">
        <v>219</v>
      </c>
      <c r="C173" s="19" t="n">
        <v>5</v>
      </c>
      <c r="D173" s="19" t="n">
        <v>199.76</v>
      </c>
      <c r="E173" s="19" t="n">
        <v>2</v>
      </c>
      <c r="F173" s="19" t="n">
        <v>74.91</v>
      </c>
      <c r="G173" s="8" t="n">
        <f aca="false">IFERROR(INDEX('TRANS'!$B:$B,MATCH($B173,'TRANS'!$A:$A,0)),IFERROR(INDEX('TRANS'!$B:$B,MATCH(TRIM(SUBSTITUTE($B173,CHAR(160)," ")),'TRANS'!$D:$D,0)),IFERROR(INDEX('Catalog'!$A:$A,MATCH($B173,'Catalog'!$B:$B,0)),IFERROR(INDEX('Catalog'!$A:$A,MATCH(TRIM(SUBSTITUTE($B173,CHAR(160)," ")),'Catalog'!$C:$C,0)),""))))</f>
        <v>4413395</v>
      </c>
      <c r="H173" s="8" t="str">
        <f aca="false">IFERROR(INDEX('TRANS'!$C:$C,MATCH($B173,'TRANS'!$A:$A,0)),IFERROR(INDEX('Catalog'!$B:$B,MATCH($G173,'Catalog'!$A:$A,0)),$B173))</f>
        <v>45EC M 'מגן ברך ארוך בז</v>
      </c>
      <c r="I173" s="8" t="str">
        <f aca="false">IF($G173="","Unmatched","Matched")</f>
        <v>Matched</v>
      </c>
    </row>
    <row r="174" customFormat="false" ht="15" hidden="false" customHeight="false" outlineLevel="0" collapsed="false">
      <c r="A174" s="8" t="s">
        <v>51</v>
      </c>
      <c r="B174" s="8" t="s">
        <v>220</v>
      </c>
      <c r="C174" s="19" t="n">
        <v>3</v>
      </c>
      <c r="D174" s="19" t="n">
        <v>110.82</v>
      </c>
      <c r="E174" s="19" t="n">
        <v>0</v>
      </c>
      <c r="F174" s="19" t="n">
        <v>0</v>
      </c>
      <c r="G174" s="8" t="n">
        <f aca="false">IFERROR(INDEX('TRANS'!$B:$B,MATCH($B174,'TRANS'!$A:$A,0)),IFERROR(INDEX('TRANS'!$B:$B,MATCH(TRIM(SUBSTITUTE($B174,CHAR(160)," ")),'TRANS'!$D:$D,0)),IFERROR(INDEX('Catalog'!$A:$A,MATCH($B174,'Catalog'!$B:$B,0)),IFERROR(INDEX('Catalog'!$A:$A,MATCH(TRIM(SUBSTITUTE($B174,CHAR(160)," ")),'Catalog'!$C:$C,0)),""))))</f>
        <v>4413397</v>
      </c>
      <c r="H174" s="8" t="str">
        <f aca="false">IFERROR(INDEX('TRANS'!$C:$C,MATCH($B174,'TRANS'!$A:$A,0)),IFERROR(INDEX('Catalog'!$B:$B,MATCH($G174,'Catalog'!$A:$A,0)),$B174))</f>
        <v>45EC XL'מגן ברך ארוך בז</v>
      </c>
      <c r="I174" s="8" t="str">
        <f aca="false">IF($G174="","Unmatched","Matched")</f>
        <v>Matched</v>
      </c>
    </row>
    <row r="175" customFormat="false" ht="15" hidden="false" customHeight="false" outlineLevel="0" collapsed="false">
      <c r="A175" s="8" t="s">
        <v>51</v>
      </c>
      <c r="B175" s="8" t="s">
        <v>221</v>
      </c>
      <c r="C175" s="19" t="n">
        <v>4</v>
      </c>
      <c r="D175" s="19" t="n">
        <v>148.24</v>
      </c>
      <c r="E175" s="19" t="n">
        <v>1</v>
      </c>
      <c r="F175" s="19" t="n">
        <v>37.46</v>
      </c>
      <c r="G175" s="8" t="n">
        <f aca="false">IFERROR(INDEX('TRANS'!$B:$B,MATCH($B175,'TRANS'!$A:$A,0)),IFERROR(INDEX('TRANS'!$B:$B,MATCH(TRIM(SUBSTITUTE($B175,CHAR(160)," ")),'TRANS'!$D:$D,0)),IFERROR(INDEX('Catalog'!$A:$A,MATCH($B175,'Catalog'!$B:$B,0)),IFERROR(INDEX('Catalog'!$A:$A,MATCH(TRIM(SUBSTITUTE($B175,CHAR(160)," ")),'Catalog'!$C:$C,0)),""))))</f>
        <v>4413398</v>
      </c>
      <c r="H175" s="8" t="str">
        <f aca="false">IFERROR(INDEX('TRANS'!$C:$C,MATCH($B175,'TRANS'!$A:$A,0)),IFERROR(INDEX('Catalog'!$B:$B,MATCH($G175,'Catalog'!$A:$A,0)),$B175))</f>
        <v>45EC XXL'מגן ברך ארוך בז</v>
      </c>
      <c r="I175" s="8" t="str">
        <f aca="false">IF($G175="","Unmatched","Matched")</f>
        <v>Matched</v>
      </c>
    </row>
    <row r="176" customFormat="false" ht="15" hidden="false" customHeight="false" outlineLevel="0" collapsed="false">
      <c r="A176" s="8" t="s">
        <v>51</v>
      </c>
      <c r="B176" s="8" t="s">
        <v>222</v>
      </c>
      <c r="C176" s="19" t="n">
        <v>1</v>
      </c>
      <c r="D176" s="19" t="n">
        <v>56.67</v>
      </c>
      <c r="E176" s="19" t="n">
        <v>0</v>
      </c>
      <c r="F176" s="19" t="n">
        <v>0</v>
      </c>
      <c r="G176" s="8" t="str">
        <f aca="false">IFERROR(INDEX('TRANS'!$B:$B,MATCH($B176,'TRANS'!$A:$A,0)),IFERROR(INDEX('TRANS'!$B:$B,MATCH(TRIM(SUBSTITUTE($B176,CHAR(160)," ")),'TRANS'!$D:$D,0)),IFERROR(INDEX('Catalog'!$A:$A,MATCH($B176,'Catalog'!$B:$B,0)),IFERROR(INDEX('Catalog'!$A:$A,MATCH(TRIM(SUBSTITUTE($B176,CHAR(160)," ")),'Catalog'!$C:$C,0)),""))))</f>
        <v/>
      </c>
      <c r="H176" s="8" t="str">
        <f aca="false">IFERROR(INDEX('TRANS'!$C:$C,MATCH($B176,'TRANS'!$A:$A,0)),IFERROR(INDEX('Catalog'!$B:$B,MATCH($G176,'Catalog'!$A:$A,0)),$B176))</f>
        <v>48 XXL</v>
      </c>
      <c r="I176" s="8" t="str">
        <f aca="false">IF($G176="","Unmatched","Matched")</f>
        <v>Unmatched</v>
      </c>
    </row>
    <row r="177" customFormat="false" ht="15" hidden="false" customHeight="false" outlineLevel="0" collapsed="false">
      <c r="A177" s="8" t="s">
        <v>51</v>
      </c>
      <c r="B177" s="8" t="s">
        <v>223</v>
      </c>
      <c r="C177" s="19" t="n">
        <v>1</v>
      </c>
      <c r="D177" s="19" t="n">
        <v>84.32</v>
      </c>
      <c r="E177" s="19" t="n">
        <v>0</v>
      </c>
      <c r="F177" s="19" t="n">
        <v>0</v>
      </c>
      <c r="G177" s="8" t="n">
        <f aca="false">IFERROR(INDEX('TRANS'!$B:$B,MATCH($B177,'TRANS'!$A:$A,0)),IFERROR(INDEX('TRANS'!$B:$B,MATCH(TRIM(SUBSTITUTE($B177,CHAR(160)," ")),'TRANS'!$D:$D,0)),IFERROR(INDEX('Catalog'!$A:$A,MATCH($B177,'Catalog'!$B:$B,0)),IFERROR(INDEX('Catalog'!$A:$A,MATCH(TRIM(SUBSTITUTE($B177,CHAR(160)," ")),'Catalog'!$C:$C,0)),""))))</f>
        <v>4413124</v>
      </c>
      <c r="H177" s="8" t="str">
        <f aca="false">IFERROR(INDEX('TRANS'!$C:$C,MATCH($B177,'TRANS'!$A:$A,0)),IFERROR(INDEX('Catalog'!$B:$B,MATCH($G177,'Catalog'!$A:$A,0)),$B177))</f>
        <v>55 XL מתלה אשכים לספורטאים</v>
      </c>
      <c r="I177" s="8" t="str">
        <f aca="false">IF($G177="","Unmatched","Matched")</f>
        <v>Matched</v>
      </c>
    </row>
    <row r="178" customFormat="false" ht="15" hidden="false" customHeight="false" outlineLevel="0" collapsed="false">
      <c r="A178" s="8" t="s">
        <v>51</v>
      </c>
      <c r="B178" s="8" t="s">
        <v>224</v>
      </c>
      <c r="C178" s="19" t="n">
        <v>5</v>
      </c>
      <c r="D178" s="19" t="n">
        <v>874.8</v>
      </c>
      <c r="E178" s="19" t="n">
        <v>2</v>
      </c>
      <c r="F178" s="19" t="n">
        <v>280.01</v>
      </c>
      <c r="G178" s="8" t="n">
        <f aca="false">IFERROR(INDEX('TRANS'!$B:$B,MATCH($B178,'TRANS'!$A:$A,0)),IFERROR(INDEX('TRANS'!$B:$B,MATCH(TRIM(SUBSTITUTE($B178,CHAR(160)," ")),'TRANS'!$D:$D,0)),IFERROR(INDEX('Catalog'!$A:$A,MATCH($B178,'Catalog'!$B:$B,0)),IFERROR(INDEX('Catalog'!$A:$A,MATCH(TRIM(SUBSTITUTE($B178,CHAR(160)," ")),'Catalog'!$C:$C,0)),""))))</f>
        <v>4408076</v>
      </c>
      <c r="H178" s="8" t="str">
        <f aca="false">IFERROR(INDEX('TRANS'!$C:$C,MATCH($B178,'TRANS'!$A:$A,0)),IFERROR(INDEX('Catalog'!$B:$B,MATCH($G178,'Catalog'!$A:$A,0)),$B178))</f>
        <v>59L L חגורת שבר לצד שמאל</v>
      </c>
      <c r="I178" s="8" t="str">
        <f aca="false">IF($G178="","Unmatched","Matched")</f>
        <v>Matched</v>
      </c>
    </row>
    <row r="179" customFormat="false" ht="15" hidden="false" customHeight="false" outlineLevel="0" collapsed="false">
      <c r="A179" s="8" t="s">
        <v>51</v>
      </c>
      <c r="B179" s="8" t="s">
        <v>225</v>
      </c>
      <c r="C179" s="19" t="n">
        <v>2</v>
      </c>
      <c r="D179" s="19" t="n">
        <v>312.45</v>
      </c>
      <c r="E179" s="19" t="n">
        <v>0</v>
      </c>
      <c r="F179" s="19" t="n">
        <v>0</v>
      </c>
      <c r="G179" s="8" t="str">
        <f aca="false">IFERROR(INDEX('TRANS'!$B:$B,MATCH($B179,'TRANS'!$A:$A,0)),IFERROR(INDEX('TRANS'!$B:$B,MATCH(TRIM(SUBSTITUTE($B179,CHAR(160)," ")),'TRANS'!$D:$D,0)),IFERROR(INDEX('Catalog'!$A:$A,MATCH($B179,'Catalog'!$B:$B,0)),IFERROR(INDEX('Catalog'!$A:$A,MATCH(TRIM(SUBSTITUTE($B179,CHAR(160)," ")),'Catalog'!$C:$C,0)),""))))</f>
        <v/>
      </c>
      <c r="H179" s="8" t="str">
        <f aca="false">IFERROR(INDEX('TRANS'!$C:$C,MATCH($B179,'TRANS'!$A:$A,0)),IFERROR(INDEX('Catalog'!$B:$B,MATCH($G179,'Catalog'!$A:$A,0)),$B179))</f>
        <v>59L XXL</v>
      </c>
      <c r="I179" s="8" t="str">
        <f aca="false">IF($G179="","Unmatched","Matched")</f>
        <v>Unmatched</v>
      </c>
    </row>
    <row r="180" customFormat="false" ht="15" hidden="false" customHeight="false" outlineLevel="0" collapsed="false">
      <c r="A180" s="8" t="s">
        <v>51</v>
      </c>
      <c r="B180" s="8" t="s">
        <v>226</v>
      </c>
      <c r="C180" s="19" t="n">
        <v>2</v>
      </c>
      <c r="D180" s="19" t="n">
        <v>371.77</v>
      </c>
      <c r="E180" s="19" t="n">
        <v>2</v>
      </c>
      <c r="F180" s="19" t="n">
        <v>280</v>
      </c>
      <c r="G180" s="8" t="n">
        <f aca="false">IFERROR(INDEX('TRANS'!$B:$B,MATCH($B180,'TRANS'!$A:$A,0)),IFERROR(INDEX('TRANS'!$B:$B,MATCH(TRIM(SUBSTITUTE($B180,CHAR(160)," ")),'TRANS'!$D:$D,0)),IFERROR(INDEX('Catalog'!$A:$A,MATCH($B180,'Catalog'!$B:$B,0)),IFERROR(INDEX('Catalog'!$A:$A,MATCH(TRIM(SUBSTITUTE($B180,CHAR(160)," ")),'Catalog'!$C:$C,0)),""))))</f>
        <v>4408081</v>
      </c>
      <c r="H180" s="8" t="str">
        <f aca="false">IFERROR(INDEX('TRANS'!$C:$C,MATCH($B180,'TRANS'!$A:$A,0)),IFERROR(INDEX('Catalog'!$B:$B,MATCH($G180,'Catalog'!$A:$A,0)),$B180))</f>
        <v>59R M חגורת שבר לצד ימין</v>
      </c>
      <c r="I180" s="8" t="str">
        <f aca="false">IF($G180="","Unmatched","Matched")</f>
        <v>Matched</v>
      </c>
    </row>
    <row r="181" customFormat="false" ht="15" hidden="false" customHeight="false" outlineLevel="0" collapsed="false">
      <c r="A181" s="8" t="s">
        <v>51</v>
      </c>
      <c r="B181" s="8" t="s">
        <v>227</v>
      </c>
      <c r="C181" s="19" t="n">
        <v>5</v>
      </c>
      <c r="D181" s="19" t="n">
        <v>880.41</v>
      </c>
      <c r="E181" s="19" t="n">
        <v>0</v>
      </c>
      <c r="F181" s="19" t="n">
        <v>0</v>
      </c>
      <c r="G181" s="8" t="n">
        <f aca="false">IFERROR(INDEX('TRANS'!$B:$B,MATCH($B181,'TRANS'!$A:$A,0)),IFERROR(INDEX('TRANS'!$B:$B,MATCH(TRIM(SUBSTITUTE($B181,CHAR(160)," ")),'TRANS'!$D:$D,0)),IFERROR(INDEX('Catalog'!$A:$A,MATCH($B181,'Catalog'!$B:$B,0)),IFERROR(INDEX('Catalog'!$A:$A,MATCH(TRIM(SUBSTITUTE($B181,CHAR(160)," ")),'Catalog'!$C:$C,0)),""))))</f>
        <v>4408079</v>
      </c>
      <c r="H181" s="8" t="str">
        <f aca="false">IFERROR(INDEX('TRANS'!$C:$C,MATCH($B181,'TRANS'!$A:$A,0)),IFERROR(INDEX('Catalog'!$B:$B,MATCH($G181,'Catalog'!$A:$A,0)),$B181))</f>
        <v>59R S חגורת שבר לצד ימין</v>
      </c>
      <c r="I181" s="8" t="str">
        <f aca="false">IF($G181="","Unmatched","Matched")</f>
        <v>Matched</v>
      </c>
    </row>
    <row r="182" customFormat="false" ht="15" hidden="false" customHeight="false" outlineLevel="0" collapsed="false">
      <c r="A182" s="8" t="s">
        <v>51</v>
      </c>
      <c r="B182" s="8" t="s">
        <v>228</v>
      </c>
      <c r="C182" s="19" t="n">
        <v>5</v>
      </c>
      <c r="D182" s="19" t="n">
        <v>247.99</v>
      </c>
      <c r="E182" s="19" t="n">
        <v>7</v>
      </c>
      <c r="F182" s="19" t="n">
        <v>347.45</v>
      </c>
      <c r="G182" s="8" t="n">
        <f aca="false">IFERROR(INDEX('TRANS'!$B:$B,MATCH($B182,'TRANS'!$A:$A,0)),IFERROR(INDEX('TRANS'!$B:$B,MATCH(TRIM(SUBSTITUTE($B182,CHAR(160)," ")),'TRANS'!$D:$D,0)),IFERROR(INDEX('Catalog'!$A:$A,MATCH($B182,'Catalog'!$B:$B,0)),IFERROR(INDEX('Catalog'!$A:$A,MATCH(TRIM(SUBSTITUTE($B182,CHAR(160)," ")),'Catalog'!$C:$C,0)),""))))</f>
        <v>4418001</v>
      </c>
      <c r="H182" s="8" t="str">
        <f aca="false">IFERROR(INDEX('TRANS'!$C:$C,MATCH($B182,'TRANS'!$A:$A,0)),IFERROR(INDEX('Catalog'!$B:$B,MATCH($G182,'Catalog'!$A:$A,0)),$B182))</f>
        <v>60 M צוארון ספוגי</v>
      </c>
      <c r="I182" s="8" t="str">
        <f aca="false">IF($G182="","Unmatched","Matched")</f>
        <v>Matched</v>
      </c>
    </row>
    <row r="183" customFormat="false" ht="15" hidden="false" customHeight="false" outlineLevel="0" collapsed="false">
      <c r="A183" s="8" t="s">
        <v>51</v>
      </c>
      <c r="B183" s="8" t="s">
        <v>229</v>
      </c>
      <c r="C183" s="19" t="n">
        <v>5</v>
      </c>
      <c r="D183" s="19" t="n">
        <v>248.17</v>
      </c>
      <c r="E183" s="19" t="n">
        <v>0</v>
      </c>
      <c r="F183" s="19" t="n">
        <v>0</v>
      </c>
      <c r="G183" s="8" t="n">
        <f aca="false">IFERROR(INDEX('TRANS'!$B:$B,MATCH($B183,'TRANS'!$A:$A,0)),IFERROR(INDEX('TRANS'!$B:$B,MATCH(TRIM(SUBSTITUTE($B183,CHAR(160)," ")),'TRANS'!$D:$D,0)),IFERROR(INDEX('Catalog'!$A:$A,MATCH($B183,'Catalog'!$B:$B,0)),IFERROR(INDEX('Catalog'!$A:$A,MATCH(TRIM(SUBSTITUTE($B183,CHAR(160)," ")),'Catalog'!$C:$C,0)),""))))</f>
        <v>4418002</v>
      </c>
      <c r="H183" s="8" t="str">
        <f aca="false">IFERROR(INDEX('TRANS'!$C:$C,MATCH($B183,'TRANS'!$A:$A,0)),IFERROR(INDEX('Catalog'!$B:$B,MATCH($G183,'Catalog'!$A:$A,0)),$B183))</f>
        <v>60 S צוארון ספוגי</v>
      </c>
      <c r="I183" s="8" t="str">
        <f aca="false">IF($G183="","Unmatched","Matched")</f>
        <v>Matched</v>
      </c>
    </row>
    <row r="184" customFormat="false" ht="15" hidden="false" customHeight="false" outlineLevel="0" collapsed="false">
      <c r="A184" s="8" t="s">
        <v>51</v>
      </c>
      <c r="B184" s="8" t="s">
        <v>230</v>
      </c>
      <c r="C184" s="19" t="n">
        <v>1</v>
      </c>
      <c r="D184" s="19" t="n">
        <v>46.82</v>
      </c>
      <c r="E184" s="19" t="n">
        <v>0</v>
      </c>
      <c r="F184" s="19" t="n">
        <v>0</v>
      </c>
      <c r="G184" s="8" t="str">
        <f aca="false">IFERROR(INDEX('TRANS'!$B:$B,MATCH($B184,'TRANS'!$A:$A,0)),IFERROR(INDEX('TRANS'!$B:$B,MATCH(TRIM(SUBSTITUTE($B184,CHAR(160)," ")),'TRANS'!$D:$D,0)),IFERROR(INDEX('Catalog'!$A:$A,MATCH($B184,'Catalog'!$B:$B,0)),IFERROR(INDEX('Catalog'!$A:$A,MATCH(TRIM(SUBSTITUTE($B184,CHAR(160)," ")),'Catalog'!$C:$C,0)),""))))</f>
        <v/>
      </c>
      <c r="H184" s="8" t="str">
        <f aca="false">IFERROR(INDEX('TRANS'!$C:$C,MATCH($B184,'TRANS'!$A:$A,0)),IFERROR(INDEX('Catalog'!$B:$B,MATCH($G184,'Catalog'!$A:$A,0)),$B184))</f>
        <v>61 S</v>
      </c>
      <c r="I184" s="8" t="str">
        <f aca="false">IF($G184="","Unmatched","Matched")</f>
        <v>Unmatched</v>
      </c>
    </row>
    <row r="185" customFormat="false" ht="15" hidden="false" customHeight="false" outlineLevel="0" collapsed="false">
      <c r="A185" s="8" t="s">
        <v>51</v>
      </c>
      <c r="B185" s="8" t="s">
        <v>231</v>
      </c>
      <c r="C185" s="19" t="n">
        <v>186</v>
      </c>
      <c r="D185" s="19" t="n">
        <v>25326.99</v>
      </c>
      <c r="E185" s="19" t="n">
        <v>80</v>
      </c>
      <c r="F185" s="19" t="n">
        <v>14621.8</v>
      </c>
      <c r="G185" s="8" t="str">
        <f aca="false">IFERROR(INDEX('TRANS'!$B:$B,MATCH($B185,'TRANS'!$A:$A,0)),IFERROR(INDEX('TRANS'!$B:$B,MATCH(TRIM(SUBSTITUTE($B185,CHAR(160)," ")),'TRANS'!$D:$D,0)),IFERROR(INDEX('Catalog'!$A:$A,MATCH($B185,'Catalog'!$B:$B,0)),IFERROR(INDEX('Catalog'!$A:$A,MATCH(TRIM(SUBSTITUTE($B185,CHAR(160)," ")),'Catalog'!$C:$C,0)),""))))</f>
        <v/>
      </c>
      <c r="H185" s="8" t="str">
        <f aca="false">IFERROR(INDEX('TRANS'!$C:$C,MATCH($B185,'TRANS'!$A:$A,0)),IFERROR(INDEX('Catalog'!$B:$B,MATCH($G185,'Catalog'!$A:$A,0)),$B185))</f>
        <v>67 0</v>
      </c>
      <c r="I185" s="8" t="str">
        <f aca="false">IF($G185="","Unmatched","Matched")</f>
        <v>Unmatched</v>
      </c>
    </row>
    <row r="186" customFormat="false" ht="15" hidden="false" customHeight="false" outlineLevel="0" collapsed="false">
      <c r="A186" s="8" t="s">
        <v>51</v>
      </c>
      <c r="B186" s="8" t="s">
        <v>232</v>
      </c>
      <c r="C186" s="19" t="n">
        <v>1</v>
      </c>
      <c r="D186" s="19" t="n">
        <v>164.01</v>
      </c>
      <c r="E186" s="19" t="n">
        <v>0</v>
      </c>
      <c r="F186" s="19" t="n">
        <v>0</v>
      </c>
      <c r="G186" s="8" t="n">
        <f aca="false">IFERROR(INDEX('TRANS'!$B:$B,MATCH($B186,'TRANS'!$A:$A,0)),IFERROR(INDEX('TRANS'!$B:$B,MATCH(TRIM(SUBSTITUTE($B186,CHAR(160)," ")),'TRANS'!$D:$D,0)),IFERROR(INDEX('Catalog'!$A:$A,MATCH($B186,'Catalog'!$B:$B,0)),IFERROR(INDEX('Catalog'!$A:$A,MATCH(TRIM(SUBSTITUTE($B186,CHAR(160)," ")),'Catalog'!$C:$C,0)),""))))</f>
        <v>4413130</v>
      </c>
      <c r="H186" s="8" t="str">
        <f aca="false">IFERROR(INDEX('TRANS'!$C:$C,MATCH($B186,'TRANS'!$A:$A,0)),IFERROR(INDEX('Catalog'!$B:$B,MATCH($G186,'Catalog'!$A:$A,0)),$B186))</f>
        <v>75  XXL מיישר כתף יציב ישור צר</v>
      </c>
      <c r="I186" s="8" t="str">
        <f aca="false">IF($G186="","Unmatched","Matched")</f>
        <v>Matched</v>
      </c>
    </row>
    <row r="187" customFormat="false" ht="15" hidden="false" customHeight="false" outlineLevel="0" collapsed="false">
      <c r="A187" s="8" t="s">
        <v>51</v>
      </c>
      <c r="B187" s="8" t="s">
        <v>233</v>
      </c>
      <c r="C187" s="19" t="n">
        <v>2</v>
      </c>
      <c r="D187" s="19" t="n">
        <v>421.76</v>
      </c>
      <c r="E187" s="19" t="n">
        <v>1</v>
      </c>
      <c r="F187" s="19" t="n">
        <v>190.63</v>
      </c>
      <c r="G187" s="8" t="n">
        <f aca="false">IFERROR(INDEX('TRANS'!$B:$B,MATCH($B187,'TRANS'!$A:$A,0)),IFERROR(INDEX('TRANS'!$B:$B,MATCH(TRIM(SUBSTITUTE($B187,CHAR(160)," ")),'TRANS'!$D:$D,0)),IFERROR(INDEX('Catalog'!$A:$A,MATCH($B187,'Catalog'!$B:$B,0)),IFERROR(INDEX('Catalog'!$A:$A,MATCH(TRIM(SUBSTITUTE($B187,CHAR(160)," ")),'Catalog'!$C:$C,0)),""))))</f>
        <v>4413132</v>
      </c>
      <c r="H187" s="8" t="str">
        <f aca="false">IFERROR(INDEX('TRANS'!$C:$C,MATCH($B187,'TRANS'!$A:$A,0)),IFERROR(INDEX('Catalog'!$B:$B,MATCH($G187,'Catalog'!$A:$A,0)),$B187))</f>
        <v>76 Lמיישר כתף יציב יישור רחב</v>
      </c>
      <c r="I187" s="8" t="str">
        <f aca="false">IF($G187="","Unmatched","Matched")</f>
        <v>Matched</v>
      </c>
    </row>
    <row r="188" customFormat="false" ht="15" hidden="false" customHeight="false" outlineLevel="0" collapsed="false">
      <c r="A188" s="8" t="s">
        <v>51</v>
      </c>
      <c r="B188" s="8" t="s">
        <v>234</v>
      </c>
      <c r="C188" s="19" t="n">
        <v>2</v>
      </c>
      <c r="D188" s="19" t="n">
        <v>409.38</v>
      </c>
      <c r="E188" s="19" t="n">
        <v>0</v>
      </c>
      <c r="F188" s="19" t="n">
        <v>0</v>
      </c>
      <c r="G188" s="8" t="n">
        <f aca="false">IFERROR(INDEX('TRANS'!$B:$B,MATCH($B188,'TRANS'!$A:$A,0)),IFERROR(INDEX('TRANS'!$B:$B,MATCH(TRIM(SUBSTITUTE($B188,CHAR(160)," ")),'TRANS'!$D:$D,0)),IFERROR(INDEX('Catalog'!$A:$A,MATCH($B188,'Catalog'!$B:$B,0)),IFERROR(INDEX('Catalog'!$A:$A,MATCH(TRIM(SUBSTITUTE($B188,CHAR(160)," ")),'Catalog'!$C:$C,0)),""))))</f>
        <v>4413134</v>
      </c>
      <c r="H188" s="8" t="str">
        <f aca="false">IFERROR(INDEX('TRANS'!$C:$C,MATCH($B188,'TRANS'!$A:$A,0)),IFERROR(INDEX('Catalog'!$B:$B,MATCH($G188,'Catalog'!$A:$A,0)),$B188))</f>
        <v>76 XLמיישר כתף יציב יישור רחב</v>
      </c>
      <c r="I188" s="8" t="str">
        <f aca="false">IF($G188="","Unmatched","Matched")</f>
        <v>Matched</v>
      </c>
    </row>
    <row r="189" customFormat="false" ht="15" hidden="false" customHeight="false" outlineLevel="0" collapsed="false">
      <c r="A189" s="8" t="s">
        <v>51</v>
      </c>
      <c r="B189" s="8" t="s">
        <v>235</v>
      </c>
      <c r="C189" s="19" t="n">
        <v>4</v>
      </c>
      <c r="D189" s="19" t="n">
        <v>806.39</v>
      </c>
      <c r="E189" s="19" t="n">
        <v>0</v>
      </c>
      <c r="F189" s="19" t="n">
        <v>0</v>
      </c>
      <c r="G189" s="8" t="str">
        <f aca="false">IFERROR(INDEX('TRANS'!$B:$B,MATCH($B189,'TRANS'!$A:$A,0)),IFERROR(INDEX('TRANS'!$B:$B,MATCH(TRIM(SUBSTITUTE($B189,CHAR(160)," ")),'TRANS'!$D:$D,0)),IFERROR(INDEX('Catalog'!$A:$A,MATCH($B189,'Catalog'!$B:$B,0)),IFERROR(INDEX('Catalog'!$A:$A,MATCH(TRIM(SUBSTITUTE($B189,CHAR(160)," ")),'Catalog'!$C:$C,0)),""))))</f>
        <v/>
      </c>
      <c r="H189" s="8" t="str">
        <f aca="false">IFERROR(INDEX('TRANS'!$C:$C,MATCH($B189,'TRANS'!$A:$A,0)),IFERROR(INDEX('Catalog'!$B:$B,MATCH($G189,'Catalog'!$A:$A,0)),$B189))</f>
        <v>76 XS</v>
      </c>
      <c r="I189" s="8" t="str">
        <f aca="false">IF($G189="","Unmatched","Matched")</f>
        <v>Unmatched</v>
      </c>
    </row>
    <row r="190" customFormat="false" ht="15" hidden="false" customHeight="false" outlineLevel="0" collapsed="false">
      <c r="A190" s="8" t="s">
        <v>51</v>
      </c>
      <c r="B190" s="8" t="s">
        <v>236</v>
      </c>
      <c r="C190" s="19" t="n">
        <v>1</v>
      </c>
      <c r="D190" s="19" t="n">
        <v>472.9</v>
      </c>
      <c r="E190" s="19" t="n">
        <v>-1</v>
      </c>
      <c r="F190" s="19" t="n">
        <v>-350</v>
      </c>
      <c r="G190" s="8" t="str">
        <f aca="false">IFERROR(INDEX('TRANS'!$B:$B,MATCH($B190,'TRANS'!$A:$A,0)),IFERROR(INDEX('TRANS'!$B:$B,MATCH(TRIM(SUBSTITUTE($B190,CHAR(160)," ")),'TRANS'!$D:$D,0)),IFERROR(INDEX('Catalog'!$A:$A,MATCH($B190,'Catalog'!$B:$B,0)),IFERROR(INDEX('Catalog'!$A:$A,MATCH(TRIM(SUBSTITUTE($B190,CHAR(160)," ")),'Catalog'!$C:$C,0)),""))))</f>
        <v/>
      </c>
      <c r="H190" s="8" t="str">
        <f aca="false">IFERROR(INDEX('TRANS'!$C:$C,MATCH($B190,'TRANS'!$A:$A,0)),IFERROR(INDEX('Catalog'!$B:$B,MATCH($G190,'Catalog'!$A:$A,0)),$B190))</f>
        <v>776 L</v>
      </c>
      <c r="I190" s="8" t="str">
        <f aca="false">IF($G190="","Unmatched","Matched")</f>
        <v>Unmatched</v>
      </c>
    </row>
    <row r="191" customFormat="false" ht="15" hidden="false" customHeight="false" outlineLevel="0" collapsed="false">
      <c r="A191" s="8" t="s">
        <v>51</v>
      </c>
      <c r="B191" s="8" t="s">
        <v>237</v>
      </c>
      <c r="C191" s="19" t="n">
        <v>1</v>
      </c>
      <c r="D191" s="19" t="n">
        <v>165.41</v>
      </c>
      <c r="E191" s="19" t="n">
        <v>0</v>
      </c>
      <c r="F191" s="19" t="n">
        <v>0</v>
      </c>
      <c r="G191" s="8" t="str">
        <f aca="false">IFERROR(INDEX('TRANS'!$B:$B,MATCH($B191,'TRANS'!$A:$A,0)),IFERROR(INDEX('TRANS'!$B:$B,MATCH(TRIM(SUBSTITUTE($B191,CHAR(160)," ")),'TRANS'!$D:$D,0)),IFERROR(INDEX('Catalog'!$A:$A,MATCH($B191,'Catalog'!$B:$B,0)),IFERROR(INDEX('Catalog'!$A:$A,MATCH(TRIM(SUBSTITUTE($B191,CHAR(160)," ")),'Catalog'!$C:$C,0)),""))))</f>
        <v/>
      </c>
      <c r="H191" s="8" t="str">
        <f aca="false">IFERROR(INDEX('TRANS'!$C:$C,MATCH($B191,'TRANS'!$A:$A,0)),IFERROR(INDEX('Catalog'!$B:$B,MATCH($G191,'Catalog'!$A:$A,0)),$B191))</f>
        <v>78A XXXL</v>
      </c>
      <c r="I191" s="8" t="str">
        <f aca="false">IF($G191="","Unmatched","Matched")</f>
        <v>Unmatched</v>
      </c>
    </row>
    <row r="192" customFormat="false" ht="15" hidden="false" customHeight="false" outlineLevel="0" collapsed="false">
      <c r="A192" s="8" t="s">
        <v>51</v>
      </c>
      <c r="B192" s="8" t="s">
        <v>238</v>
      </c>
      <c r="C192" s="19" t="n">
        <v>56</v>
      </c>
      <c r="D192" s="19" t="n">
        <v>1122.26</v>
      </c>
      <c r="E192" s="19" t="n">
        <v>42</v>
      </c>
      <c r="F192" s="19" t="n">
        <v>820.25</v>
      </c>
      <c r="G192" s="8" t="n">
        <f aca="false">IFERROR(INDEX('TRANS'!$B:$B,MATCH($B192,'TRANS'!$A:$A,0)),IFERROR(INDEX('TRANS'!$B:$B,MATCH(TRIM(SUBSTITUTE($B192,CHAR(160)," ")),'TRANS'!$D:$D,0)),IFERROR(INDEX('Catalog'!$A:$A,MATCH($B192,'Catalog'!$B:$B,0)),IFERROR(INDEX('Catalog'!$A:$A,MATCH(TRIM(SUBSTITUTE($B192,CHAR(160)," ")),'Catalog'!$C:$C,0)),""))))</f>
        <v>4422000</v>
      </c>
      <c r="H192" s="8" t="str">
        <f aca="false">IFERROR(INDEX('TRANS'!$C:$C,MATCH($B192,'TRANS'!$A:$A,0)),IFERROR(INDEX('Catalog'!$B:$B,MATCH($G192,'Catalog'!$A:$A,0)),$B192))</f>
        <v>801  תחבושת אלסטית מקררת</v>
      </c>
      <c r="I192" s="8" t="str">
        <f aca="false">IF($G192="","Unmatched","Matched")</f>
        <v>Matched</v>
      </c>
    </row>
    <row r="193" customFormat="false" ht="15" hidden="false" customHeight="false" outlineLevel="0" collapsed="false">
      <c r="A193" s="8" t="s">
        <v>51</v>
      </c>
      <c r="B193" s="8" t="s">
        <v>239</v>
      </c>
      <c r="C193" s="19" t="n">
        <v>2</v>
      </c>
      <c r="D193" s="19" t="n">
        <v>39.29</v>
      </c>
      <c r="E193" s="19" t="n">
        <v>7</v>
      </c>
      <c r="F193" s="19" t="n">
        <v>92.3</v>
      </c>
      <c r="G193" s="8" t="n">
        <f aca="false">IFERROR(INDEX('TRANS'!$B:$B,MATCH($B193,'TRANS'!$A:$A,0)),IFERROR(INDEX('TRANS'!$B:$B,MATCH(TRIM(SUBSTITUTE($B193,CHAR(160)," ")),'TRANS'!$D:$D,0)),IFERROR(INDEX('Catalog'!$A:$A,MATCH($B193,'Catalog'!$B:$B,0)),IFERROR(INDEX('Catalog'!$A:$A,MATCH(TRIM(SUBSTITUTE($B193,CHAR(160)," ")),'Catalog'!$C:$C,0)),""))))</f>
        <v>4409011</v>
      </c>
      <c r="H193" s="8" t="str">
        <f aca="false">IFERROR(INDEX('TRANS'!$C:$C,MATCH($B193,'TRANS'!$A:$A,0)),IFERROR(INDEX('Catalog'!$B:$B,MATCH($G193,'Catalog'!$A:$A,0)),$B193))</f>
        <v>804AT-B      טייפ חבישה לספורט</v>
      </c>
      <c r="I193" s="8" t="str">
        <f aca="false">IF($G193="","Unmatched","Matched")</f>
        <v>Matched</v>
      </c>
    </row>
    <row r="194" customFormat="false" ht="15" hidden="false" customHeight="false" outlineLevel="0" collapsed="false">
      <c r="A194" s="8" t="s">
        <v>51</v>
      </c>
      <c r="B194" s="8" t="s">
        <v>240</v>
      </c>
      <c r="C194" s="19" t="n">
        <v>0</v>
      </c>
      <c r="D194" s="19" t="n">
        <v>0</v>
      </c>
      <c r="E194" s="19" t="n">
        <v>8</v>
      </c>
      <c r="F194" s="19" t="n">
        <v>92.31</v>
      </c>
      <c r="G194" s="8" t="n">
        <f aca="false">IFERROR(INDEX('TRANS'!$B:$B,MATCH($B194,'TRANS'!$A:$A,0)),IFERROR(INDEX('TRANS'!$B:$B,MATCH(TRIM(SUBSTITUTE($B194,CHAR(160)," ")),'TRANS'!$D:$D,0)),IFERROR(INDEX('Catalog'!$A:$A,MATCH($B194,'Catalog'!$B:$B,0)),IFERROR(INDEX('Catalog'!$A:$A,MATCH(TRIM(SUBSTITUTE($B194,CHAR(160)," ")),'Catalog'!$C:$C,0)),""))))</f>
        <v>4409013</v>
      </c>
      <c r="H194" s="8" t="str">
        <f aca="false">IFERROR(INDEX('TRANS'!$C:$C,MATCH($B194,'TRANS'!$A:$A,0)),IFERROR(INDEX('Catalog'!$B:$B,MATCH($G194,'Catalog'!$A:$A,0)),$B194))</f>
        <v>804AT-BL     טייפ חבישה לספורט</v>
      </c>
      <c r="I194" s="8" t="str">
        <f aca="false">IF($G194="","Unmatched","Matched")</f>
        <v>Matched</v>
      </c>
    </row>
    <row r="195" customFormat="false" ht="15" hidden="false" customHeight="false" outlineLevel="0" collapsed="false">
      <c r="A195" s="8" t="s">
        <v>51</v>
      </c>
      <c r="B195" s="8" t="s">
        <v>241</v>
      </c>
      <c r="C195" s="19" t="n">
        <v>7</v>
      </c>
      <c r="D195" s="19" t="n">
        <v>121.06</v>
      </c>
      <c r="E195" s="19" t="n">
        <v>7</v>
      </c>
      <c r="F195" s="19" t="n">
        <v>92.29</v>
      </c>
      <c r="G195" s="8" t="n">
        <f aca="false">IFERROR(INDEX('TRANS'!$B:$B,MATCH($B195,'TRANS'!$A:$A,0)),IFERROR(INDEX('TRANS'!$B:$B,MATCH(TRIM(SUBSTITUTE($B195,CHAR(160)," ")),'TRANS'!$D:$D,0)),IFERROR(INDEX('Catalog'!$A:$A,MATCH($B195,'Catalog'!$B:$B,0)),IFERROR(INDEX('Catalog'!$A:$A,MATCH(TRIM(SUBSTITUTE($B195,CHAR(160)," ")),'Catalog'!$C:$C,0)),""))))</f>
        <v>4409012</v>
      </c>
      <c r="H195" s="8" t="str">
        <f aca="false">IFERROR(INDEX('TRANS'!$C:$C,MATCH($B195,'TRANS'!$A:$A,0)),IFERROR(INDEX('Catalog'!$B:$B,MATCH($G195,'Catalog'!$A:$A,0)),$B195))</f>
        <v>804AT-C      טייפ חבישה לספורט</v>
      </c>
      <c r="I195" s="8" t="str">
        <f aca="false">IF($G195="","Unmatched","Matched")</f>
        <v>Matched</v>
      </c>
    </row>
    <row r="196" customFormat="false" ht="15" hidden="false" customHeight="false" outlineLevel="0" collapsed="false">
      <c r="A196" s="8" t="s">
        <v>51</v>
      </c>
      <c r="B196" s="8" t="s">
        <v>242</v>
      </c>
      <c r="C196" s="19" t="n">
        <v>1</v>
      </c>
      <c r="D196" s="19" t="n">
        <v>17.29</v>
      </c>
      <c r="E196" s="19" t="n">
        <v>0</v>
      </c>
      <c r="F196" s="19" t="n">
        <v>0</v>
      </c>
      <c r="G196" s="8" t="n">
        <f aca="false">IFERROR(INDEX('TRANS'!$B:$B,MATCH($B196,'TRANS'!$A:$A,0)),IFERROR(INDEX('TRANS'!$B:$B,MATCH(TRIM(SUBSTITUTE($B196,CHAR(160)," ")),'TRANS'!$D:$D,0)),IFERROR(INDEX('Catalog'!$A:$A,MATCH($B196,'Catalog'!$B:$B,0)),IFERROR(INDEX('Catalog'!$A:$A,MATCH(TRIM(SUBSTITUTE($B196,CHAR(160)," ")),'Catalog'!$C:$C,0)),""))))</f>
        <v>4401012</v>
      </c>
      <c r="H196" s="8" t="str">
        <f aca="false">IFERROR(INDEX('TRANS'!$C:$C,MATCH($B196,'TRANS'!$A:$A,0)),IFERROR(INDEX('Catalog'!$B:$B,MATCH($G196,'Catalog'!$A:$A,0)),$B196))</f>
        <v>805AT-B אתלטיק טייפ שחור 20מ""""מ</v>
      </c>
      <c r="I196" s="8" t="str">
        <f aca="false">IF($G196="","Unmatched","Matched")</f>
        <v>Matched</v>
      </c>
    </row>
    <row r="197" customFormat="false" ht="15" hidden="false" customHeight="false" outlineLevel="0" collapsed="false">
      <c r="A197" s="8" t="s">
        <v>51</v>
      </c>
      <c r="B197" s="8" t="s">
        <v>243</v>
      </c>
      <c r="C197" s="19" t="n">
        <v>2</v>
      </c>
      <c r="D197" s="19" t="n">
        <v>34.58</v>
      </c>
      <c r="E197" s="19" t="n">
        <v>0</v>
      </c>
      <c r="F197" s="19" t="n">
        <v>0</v>
      </c>
      <c r="G197" s="8" t="n">
        <f aca="false">IFERROR(INDEX('TRANS'!$B:$B,MATCH($B197,'TRANS'!$A:$A,0)),IFERROR(INDEX('TRANS'!$B:$B,MATCH(TRIM(SUBSTITUTE($B197,CHAR(160)," ")),'TRANS'!$D:$D,0)),IFERROR(INDEX('Catalog'!$A:$A,MATCH($B197,'Catalog'!$B:$B,0)),IFERROR(INDEX('Catalog'!$A:$A,MATCH(TRIM(SUBSTITUTE($B197,CHAR(160)," ")),'Catalog'!$C:$C,0)),""))))</f>
        <v>4401011</v>
      </c>
      <c r="H197" s="8" t="str">
        <f aca="false">IFERROR(INDEX('TRANS'!$C:$C,MATCH($B197,'TRANS'!$A:$A,0)),IFERROR(INDEX('Catalog'!$B:$B,MATCH($G197,'Catalog'!$A:$A,0)),$B197))</f>
        <v>805AT-Cאתלטיק טייפ בז' 20מ""""מ20</v>
      </c>
      <c r="I197" s="8" t="str">
        <f aca="false">IF($G197="","Unmatched","Matched")</f>
        <v>Matched</v>
      </c>
    </row>
    <row r="198" customFormat="false" ht="15" hidden="false" customHeight="false" outlineLevel="0" collapsed="false">
      <c r="A198" s="8" t="s">
        <v>51</v>
      </c>
      <c r="B198" s="8" t="s">
        <v>244</v>
      </c>
      <c r="C198" s="19" t="n">
        <v>0</v>
      </c>
      <c r="D198" s="19" t="n">
        <v>0</v>
      </c>
      <c r="E198" s="19" t="n">
        <v>8</v>
      </c>
      <c r="F198" s="19" t="n">
        <v>100.85</v>
      </c>
      <c r="G198" s="8" t="n">
        <f aca="false">IFERROR(INDEX('TRANS'!$B:$B,MATCH($B198,'TRANS'!$A:$A,0)),IFERROR(INDEX('TRANS'!$B:$B,MATCH(TRIM(SUBSTITUTE($B198,CHAR(160)," ")),'TRANS'!$D:$D,0)),IFERROR(INDEX('Catalog'!$A:$A,MATCH($B198,'Catalog'!$B:$B,0)),IFERROR(INDEX('Catalog'!$A:$A,MATCH(TRIM(SUBSTITUTE($B198,CHAR(160)," ")),'Catalog'!$C:$C,0)),""))))</f>
        <v>4422032</v>
      </c>
      <c r="H198" s="8" t="str">
        <f aca="false">IFERROR(INDEX('TRANS'!$C:$C,MATCH($B198,'TRANS'!$A:$A,0)),IFERROR(INDEX('Catalog'!$B:$B,MATCH($G198,'Catalog'!$A:$A,0)),$B198))</f>
        <v>807B-Bתחבושת נצמדת שחור 20 מ""""מ</v>
      </c>
      <c r="I198" s="8" t="str">
        <f aca="false">IF($G198="","Unmatched","Matched")</f>
        <v>Matched</v>
      </c>
    </row>
    <row r="199" customFormat="false" ht="15" hidden="false" customHeight="false" outlineLevel="0" collapsed="false">
      <c r="A199" s="8" t="s">
        <v>51</v>
      </c>
      <c r="B199" s="8" t="s">
        <v>245</v>
      </c>
      <c r="C199" s="19" t="n">
        <v>2</v>
      </c>
      <c r="D199" s="19" t="n">
        <v>23.55</v>
      </c>
      <c r="E199" s="19" t="n">
        <v>0</v>
      </c>
      <c r="F199" s="19" t="n">
        <v>0</v>
      </c>
      <c r="G199" s="8" t="n">
        <f aca="false">IFERROR(INDEX('TRANS'!$B:$B,MATCH($B199,'TRANS'!$A:$A,0)),IFERROR(INDEX('TRANS'!$B:$B,MATCH(TRIM(SUBSTITUTE($B199,CHAR(160)," ")),'TRANS'!$D:$D,0)),IFERROR(INDEX('Catalog'!$A:$A,MATCH($B199,'Catalog'!$B:$B,0)),IFERROR(INDEX('Catalog'!$A:$A,MATCH(TRIM(SUBSTITUTE($B199,CHAR(160)," ")),'Catalog'!$C:$C,0)),""))))</f>
        <v>4422033</v>
      </c>
      <c r="H199" s="8" t="str">
        <f aca="false">IFERROR(INDEX('TRANS'!$C:$C,MATCH($B199,'TRANS'!$A:$A,0)),IFERROR(INDEX('Catalog'!$B:$B,MATCH($G199,'Catalog'!$A:$A,0)),$B199))</f>
        <v>807CB-BLתחבושת נצמדת כחול20מ""""מ</v>
      </c>
      <c r="I199" s="8" t="str">
        <f aca="false">IF($G199="","Unmatched","Matched")</f>
        <v>Matched</v>
      </c>
    </row>
    <row r="200" customFormat="false" ht="15" hidden="false" customHeight="false" outlineLevel="0" collapsed="false">
      <c r="A200" s="8" t="s">
        <v>51</v>
      </c>
      <c r="B200" s="8" t="s">
        <v>246</v>
      </c>
      <c r="C200" s="19" t="n">
        <v>5</v>
      </c>
      <c r="D200" s="19" t="n">
        <v>68.67</v>
      </c>
      <c r="E200" s="19" t="n">
        <v>-1</v>
      </c>
      <c r="F200" s="19" t="n">
        <v>-16.81</v>
      </c>
      <c r="G200" s="8" t="n">
        <f aca="false">IFERROR(INDEX('TRANS'!$B:$B,MATCH($B200,'TRANS'!$A:$A,0)),IFERROR(INDEX('TRANS'!$B:$B,MATCH(TRIM(SUBSTITUTE($B200,CHAR(160)," ")),'TRANS'!$D:$D,0)),IFERROR(INDEX('Catalog'!$A:$A,MATCH($B200,'Catalog'!$B:$B,0)),IFERROR(INDEX('Catalog'!$A:$A,MATCH(TRIM(SUBSTITUTE($B200,CHAR(160)," ")),'Catalog'!$C:$C,0)),""))))</f>
        <v>4422031</v>
      </c>
      <c r="H200" s="8" t="str">
        <f aca="false">IFERROR(INDEX('TRANS'!$C:$C,MATCH($B200,'TRANS'!$A:$A,0)),IFERROR(INDEX('Catalog'!$B:$B,MATCH($G200,'Catalog'!$A:$A,0)),$B200))</f>
        <v>807CB-Cתחבושת נצמדת בז' 20 מ""""מ</v>
      </c>
      <c r="I200" s="8" t="str">
        <f aca="false">IF($G200="","Unmatched","Matched")</f>
        <v>Matched</v>
      </c>
    </row>
    <row r="201" customFormat="false" ht="15" hidden="false" customHeight="false" outlineLevel="0" collapsed="false">
      <c r="A201" s="8" t="s">
        <v>51</v>
      </c>
      <c r="B201" s="8" t="s">
        <v>247</v>
      </c>
      <c r="C201" s="19" t="n">
        <v>9</v>
      </c>
      <c r="D201" s="19" t="n">
        <v>389.59</v>
      </c>
      <c r="E201" s="19" t="n">
        <v>17</v>
      </c>
      <c r="F201" s="19" t="n">
        <v>914.38</v>
      </c>
      <c r="G201" s="8" t="n">
        <f aca="false">IFERROR(INDEX('TRANS'!$B:$B,MATCH($B201,'TRANS'!$A:$A,0)),IFERROR(INDEX('TRANS'!$B:$B,MATCH(TRIM(SUBSTITUTE($B201,CHAR(160)," ")),'TRANS'!$D:$D,0)),IFERROR(INDEX('Catalog'!$A:$A,MATCH($B201,'Catalog'!$B:$B,0)),IFERROR(INDEX('Catalog'!$A:$A,MATCH(TRIM(SUBSTITUTE($B201,CHAR(160)," ")),'Catalog'!$C:$C,0)),""))))</f>
        <v>4409017</v>
      </c>
      <c r="H201" s="8" t="str">
        <f aca="false">IFERROR(INDEX('TRANS'!$C:$C,MATCH($B201,'TRANS'!$A:$A,0)),IFERROR(INDEX('Catalog'!$B:$B,MATCH($G201,'Catalog'!$A:$A,0)),$B201))</f>
        <v>808KT-B        טייפ קינזיולוגי</v>
      </c>
      <c r="I201" s="8" t="str">
        <f aca="false">IF($G201="","Unmatched","Matched")</f>
        <v>Matched</v>
      </c>
    </row>
    <row r="202" customFormat="false" ht="15" hidden="false" customHeight="false" outlineLevel="0" collapsed="false">
      <c r="A202" s="8" t="s">
        <v>51</v>
      </c>
      <c r="B202" s="8" t="s">
        <v>248</v>
      </c>
      <c r="C202" s="19" t="n">
        <v>13</v>
      </c>
      <c r="D202" s="19" t="n">
        <v>658.5</v>
      </c>
      <c r="E202" s="19" t="n">
        <v>8</v>
      </c>
      <c r="F202" s="19" t="n">
        <v>491.66</v>
      </c>
      <c r="G202" s="8" t="n">
        <f aca="false">IFERROR(INDEX('TRANS'!$B:$B,MATCH($B202,'TRANS'!$A:$A,0)),IFERROR(INDEX('TRANS'!$B:$B,MATCH(TRIM(SUBSTITUTE($B202,CHAR(160)," ")),'TRANS'!$D:$D,0)),IFERROR(INDEX('Catalog'!$A:$A,MATCH($B202,'Catalog'!$B:$B,0)),IFERROR(INDEX('Catalog'!$A:$A,MATCH(TRIM(SUBSTITUTE($B202,CHAR(160)," ")),'Catalog'!$C:$C,0)),""))))</f>
        <v>4409016</v>
      </c>
      <c r="H202" s="8" t="str">
        <f aca="false">IFERROR(INDEX('TRANS'!$C:$C,MATCH($B202,'TRANS'!$A:$A,0)),IFERROR(INDEX('Catalog'!$B:$B,MATCH($G202,'Catalog'!$A:$A,0)),$B202))</f>
        <v>808KT-C        טייפ קינזיולוגי</v>
      </c>
      <c r="I202" s="8" t="str">
        <f aca="false">IF($G202="","Unmatched","Matched")</f>
        <v>Matched</v>
      </c>
    </row>
    <row r="203" customFormat="false" ht="15" hidden="false" customHeight="false" outlineLevel="0" collapsed="false">
      <c r="A203" s="8" t="s">
        <v>51</v>
      </c>
      <c r="B203" s="8" t="s">
        <v>249</v>
      </c>
      <c r="C203" s="19" t="n">
        <v>4</v>
      </c>
      <c r="D203" s="19" t="n">
        <v>204.93</v>
      </c>
      <c r="E203" s="19" t="n">
        <v>0</v>
      </c>
      <c r="F203" s="19" t="n">
        <v>0</v>
      </c>
      <c r="G203" s="8" t="n">
        <f aca="false">IFERROR(INDEX('TRANS'!$B:$B,MATCH($B203,'TRANS'!$A:$A,0)),IFERROR(INDEX('TRANS'!$B:$B,MATCH(TRIM(SUBSTITUTE($B203,CHAR(160)," ")),'TRANS'!$D:$D,0)),IFERROR(INDEX('Catalog'!$A:$A,MATCH($B203,'Catalog'!$B:$B,0)),IFERROR(INDEX('Catalog'!$A:$A,MATCH(TRIM(SUBSTITUTE($B203,CHAR(160)," ")),'Catalog'!$C:$C,0)),""))))</f>
        <v>4411015</v>
      </c>
      <c r="H203" s="8" t="str">
        <f aca="false">IFERROR(INDEX('TRANS'!$C:$C,MATCH($B203,'TRANS'!$A:$A,0)),IFERROR(INDEX('Catalog'!$B:$B,MATCH($G203,'Catalog'!$A:$A,0)),$B203))</f>
        <v>820 0 כרית חום וקור</v>
      </c>
      <c r="I203" s="8" t="str">
        <f aca="false">IF($G203="","Unmatched","Matched")</f>
        <v>Matched</v>
      </c>
    </row>
    <row r="204" customFormat="false" ht="15" hidden="false" customHeight="false" outlineLevel="0" collapsed="false">
      <c r="A204" s="8" t="s">
        <v>51</v>
      </c>
      <c r="B204" s="8" t="s">
        <v>250</v>
      </c>
      <c r="C204" s="19" t="n">
        <v>5</v>
      </c>
      <c r="D204" s="19" t="n">
        <v>765.27</v>
      </c>
      <c r="E204" s="19" t="n">
        <v>3</v>
      </c>
      <c r="F204" s="19" t="n">
        <v>384.23</v>
      </c>
      <c r="G204" s="8" t="str">
        <f aca="false">IFERROR(INDEX('TRANS'!$B:$B,MATCH($B204,'TRANS'!$A:$A,0)),IFERROR(INDEX('TRANS'!$B:$B,MATCH(TRIM(SUBSTITUTE($B204,CHAR(160)," ")),'TRANS'!$D:$D,0)),IFERROR(INDEX('Catalog'!$A:$A,MATCH($B204,'Catalog'!$B:$B,0)),IFERROR(INDEX('Catalog'!$A:$A,MATCH(TRIM(SUBSTITUTE($B204,CHAR(160)," ")),'Catalog'!$C:$C,0)),""))))</f>
        <v/>
      </c>
      <c r="H204" s="8" t="str">
        <f aca="false">IFERROR(INDEX('TRANS'!$C:$C,MATCH($B204,'TRANS'!$A:$A,0)),IFERROR(INDEX('Catalog'!$B:$B,MATCH($G204,'Catalog'!$A:$A,0)),$B204))</f>
        <v>84-L-XXL</v>
      </c>
      <c r="I204" s="8" t="str">
        <f aca="false">IF($G204="","Unmatched","Matched")</f>
        <v>Unmatched</v>
      </c>
    </row>
    <row r="205" customFormat="false" ht="15" hidden="false" customHeight="false" outlineLevel="0" collapsed="false">
      <c r="A205" s="8" t="s">
        <v>51</v>
      </c>
      <c r="B205" s="8" t="s">
        <v>251</v>
      </c>
      <c r="C205" s="19" t="n">
        <v>2</v>
      </c>
      <c r="D205" s="19" t="n">
        <v>281.14</v>
      </c>
      <c r="E205" s="19" t="n">
        <v>6</v>
      </c>
      <c r="F205" s="19" t="n">
        <v>796.56</v>
      </c>
      <c r="G205" s="8" t="str">
        <f aca="false">IFERROR(INDEX('TRANS'!$B:$B,MATCH($B205,'TRANS'!$A:$A,0)),IFERROR(INDEX('TRANS'!$B:$B,MATCH(TRIM(SUBSTITUTE($B205,CHAR(160)," ")),'TRANS'!$D:$D,0)),IFERROR(INDEX('Catalog'!$A:$A,MATCH($B205,'Catalog'!$B:$B,0)),IFERROR(INDEX('Catalog'!$A:$A,MATCH(TRIM(SUBSTITUTE($B205,CHAR(160)," ")),'Catalog'!$C:$C,0)),""))))</f>
        <v/>
      </c>
      <c r="H205" s="8" t="str">
        <f aca="false">IFERROR(INDEX('TRANS'!$C:$C,MATCH($B205,'TRANS'!$A:$A,0)),IFERROR(INDEX('Catalog'!$B:$B,MATCH($G205,'Catalog'!$A:$A,0)),$B205))</f>
        <v>84-S-M</v>
      </c>
      <c r="I205" s="8" t="str">
        <f aca="false">IF($G205="","Unmatched","Matched")</f>
        <v>Unmatched</v>
      </c>
    </row>
    <row r="206" customFormat="false" ht="15" hidden="false" customHeight="false" outlineLevel="0" collapsed="false">
      <c r="A206" s="8" t="s">
        <v>51</v>
      </c>
      <c r="B206" s="8" t="s">
        <v>252</v>
      </c>
      <c r="C206" s="19" t="n">
        <v>2</v>
      </c>
      <c r="D206" s="19" t="n">
        <v>98</v>
      </c>
      <c r="E206" s="19" t="n">
        <v>1</v>
      </c>
      <c r="F206" s="19" t="n">
        <v>56.67</v>
      </c>
      <c r="G206" s="8" t="n">
        <f aca="false">IFERROR(INDEX('TRANS'!$B:$B,MATCH($B206,'TRANS'!$A:$A,0)),IFERROR(INDEX('TRANS'!$B:$B,MATCH(TRIM(SUBSTITUTE($B206,CHAR(160)," ")),'TRANS'!$D:$D,0)),IFERROR(INDEX('Catalog'!$A:$A,MATCH($B206,'Catalog'!$B:$B,0)),IFERROR(INDEX('Catalog'!$A:$A,MATCH(TRIM(SUBSTITUTE($B206,CHAR(160)," ")),'Catalog'!$C:$C,0)),""))))</f>
        <v>4413135</v>
      </c>
      <c r="H206" s="8" t="str">
        <f aca="false">IFERROR(INDEX('TRANS'!$C:$C,MATCH($B206,'TRANS'!$A:$A,0)),IFERROR(INDEX('Catalog'!$B:$B,MATCH($G206,'Catalog'!$A:$A,0)),$B206))</f>
        <v>85 L (מתלה ליד )כיס</v>
      </c>
      <c r="I206" s="8" t="str">
        <f aca="false">IF($G206="","Unmatched","Matched")</f>
        <v>Matched</v>
      </c>
    </row>
    <row r="207" customFormat="false" ht="15" hidden="false" customHeight="false" outlineLevel="0" collapsed="false">
      <c r="A207" s="8" t="s">
        <v>51</v>
      </c>
      <c r="B207" s="8" t="s">
        <v>253</v>
      </c>
      <c r="C207" s="19" t="n">
        <v>3</v>
      </c>
      <c r="D207" s="19" t="n">
        <v>164.56</v>
      </c>
      <c r="E207" s="19" t="n">
        <v>0</v>
      </c>
      <c r="F207" s="19" t="n">
        <v>0</v>
      </c>
      <c r="G207" s="8" t="n">
        <f aca="false">IFERROR(INDEX('TRANS'!$B:$B,MATCH($B207,'TRANS'!$A:$A,0)),IFERROR(INDEX('TRANS'!$B:$B,MATCH(TRIM(SUBSTITUTE($B207,CHAR(160)," ")),'TRANS'!$D:$D,0)),IFERROR(INDEX('Catalog'!$A:$A,MATCH($B207,'Catalog'!$B:$B,0)),IFERROR(INDEX('Catalog'!$A:$A,MATCH(TRIM(SUBSTITUTE($B207,CHAR(160)," ")),'Catalog'!$C:$C,0)),""))))</f>
        <v>4413136</v>
      </c>
      <c r="H207" s="8" t="str">
        <f aca="false">IFERROR(INDEX('TRANS'!$C:$C,MATCH($B207,'TRANS'!$A:$A,0)),IFERROR(INDEX('Catalog'!$B:$B,MATCH($G207,'Catalog'!$A:$A,0)),$B207))</f>
        <v>85 M (מתלה ליד )כיס</v>
      </c>
      <c r="I207" s="8" t="str">
        <f aca="false">IF($G207="","Unmatched","Matched")</f>
        <v>Matched</v>
      </c>
    </row>
    <row r="208" customFormat="false" ht="15" hidden="false" customHeight="false" outlineLevel="0" collapsed="false">
      <c r="A208" s="8" t="s">
        <v>51</v>
      </c>
      <c r="B208" s="8" t="s">
        <v>254</v>
      </c>
      <c r="C208" s="19" t="n">
        <v>1</v>
      </c>
      <c r="D208" s="19" t="n">
        <v>56.67</v>
      </c>
      <c r="E208" s="19" t="n">
        <v>2</v>
      </c>
      <c r="F208" s="19" t="n">
        <v>97.99</v>
      </c>
      <c r="G208" s="8" t="n">
        <f aca="false">IFERROR(INDEX('TRANS'!$B:$B,MATCH($B208,'TRANS'!$A:$A,0)),IFERROR(INDEX('TRANS'!$B:$B,MATCH(TRIM(SUBSTITUTE($B208,CHAR(160)," ")),'TRANS'!$D:$D,0)),IFERROR(INDEX('Catalog'!$A:$A,MATCH($B208,'Catalog'!$B:$B,0)),IFERROR(INDEX('Catalog'!$A:$A,MATCH(TRIM(SUBSTITUTE($B208,CHAR(160)," ")),'Catalog'!$C:$C,0)),""))))</f>
        <v>4413138</v>
      </c>
      <c r="H208" s="8" t="str">
        <f aca="false">IFERROR(INDEX('TRANS'!$C:$C,MATCH($B208,'TRANS'!$A:$A,0)),IFERROR(INDEX('Catalog'!$B:$B,MATCH($G208,'Catalog'!$A:$A,0)),$B208))</f>
        <v>85 XL (מתלה ליד )כיס</v>
      </c>
      <c r="I208" s="8" t="str">
        <f aca="false">IF($G208="","Unmatched","Matched")</f>
        <v>Matched</v>
      </c>
    </row>
    <row r="209" customFormat="false" ht="15" hidden="false" customHeight="false" outlineLevel="0" collapsed="false">
      <c r="A209" s="8" t="s">
        <v>51</v>
      </c>
      <c r="B209" s="8" t="s">
        <v>255</v>
      </c>
      <c r="C209" s="19" t="n">
        <v>9</v>
      </c>
      <c r="D209" s="19" t="n">
        <v>498.6</v>
      </c>
      <c r="E209" s="19" t="n">
        <v>3</v>
      </c>
      <c r="F209" s="19" t="n">
        <v>140.24</v>
      </c>
      <c r="G209" s="8" t="n">
        <f aca="false">IFERROR(INDEX('TRANS'!$B:$B,MATCH($B209,'TRANS'!$A:$A,0)),IFERROR(INDEX('TRANS'!$B:$B,MATCH(TRIM(SUBSTITUTE($B209,CHAR(160)," ")),'TRANS'!$D:$D,0)),IFERROR(INDEX('Catalog'!$A:$A,MATCH($B209,'Catalog'!$B:$B,0)),IFERROR(INDEX('Catalog'!$A:$A,MATCH(TRIM(SUBSTITUTE($B209,CHAR(160)," ")),'Catalog'!$C:$C,0)),""))))</f>
        <v>4413516</v>
      </c>
      <c r="H209" s="8" t="str">
        <f aca="false">IFERROR(INDEX('TRANS'!$C:$C,MATCH($B209,'TRANS'!$A:$A,0)),IFERROR(INDEX('Catalog'!$B:$B,MATCH($G209,'Catalog'!$A:$A,0)),$B209))</f>
        <v>85B L מתלה רשת לזרוע שחור</v>
      </c>
      <c r="I209" s="8" t="str">
        <f aca="false">IF($G209="","Unmatched","Matched")</f>
        <v>Matched</v>
      </c>
    </row>
    <row r="210" customFormat="false" ht="15" hidden="false" customHeight="false" outlineLevel="0" collapsed="false">
      <c r="A210" s="8" t="s">
        <v>51</v>
      </c>
      <c r="B210" s="8" t="s">
        <v>256</v>
      </c>
      <c r="C210" s="19" t="n">
        <v>5</v>
      </c>
      <c r="D210" s="19" t="n">
        <v>253.15</v>
      </c>
      <c r="E210" s="19" t="n">
        <v>0</v>
      </c>
      <c r="F210" s="19" t="n">
        <v>7.67</v>
      </c>
      <c r="G210" s="8" t="n">
        <f aca="false">IFERROR(INDEX('TRANS'!$B:$B,MATCH($B210,'TRANS'!$A:$A,0)),IFERROR(INDEX('TRANS'!$B:$B,MATCH(TRIM(SUBSTITUTE($B210,CHAR(160)," ")),'TRANS'!$D:$D,0)),IFERROR(INDEX('Catalog'!$A:$A,MATCH($B210,'Catalog'!$B:$B,0)),IFERROR(INDEX('Catalog'!$A:$A,MATCH(TRIM(SUBSTITUTE($B210,CHAR(160)," ")),'Catalog'!$C:$C,0)),""))))</f>
        <v>4413517</v>
      </c>
      <c r="H210" s="8" t="str">
        <f aca="false">IFERROR(INDEX('TRANS'!$C:$C,MATCH($B210,'TRANS'!$A:$A,0)),IFERROR(INDEX('Catalog'!$B:$B,MATCH($G210,'Catalog'!$A:$A,0)),$B210))</f>
        <v>85B M מתלה רשת לזרוע שחור</v>
      </c>
      <c r="I210" s="8" t="str">
        <f aca="false">IF($G210="","Unmatched","Matched")</f>
        <v>Matched</v>
      </c>
    </row>
    <row r="211" customFormat="false" ht="15" hidden="false" customHeight="false" outlineLevel="0" collapsed="false">
      <c r="A211" s="8" t="s">
        <v>51</v>
      </c>
      <c r="B211" s="8" t="s">
        <v>257</v>
      </c>
      <c r="C211" s="19" t="n">
        <v>4</v>
      </c>
      <c r="D211" s="19" t="n">
        <v>204.03</v>
      </c>
      <c r="E211" s="19" t="n">
        <v>0</v>
      </c>
      <c r="F211" s="19" t="n">
        <v>0</v>
      </c>
      <c r="G211" s="8" t="n">
        <f aca="false">IFERROR(INDEX('TRANS'!$B:$B,MATCH($B211,'TRANS'!$A:$A,0)),IFERROR(INDEX('TRANS'!$B:$B,MATCH(TRIM(SUBSTITUTE($B211,CHAR(160)," ")),'TRANS'!$D:$D,0)),IFERROR(INDEX('Catalog'!$A:$A,MATCH($B211,'Catalog'!$B:$B,0)),IFERROR(INDEX('Catalog'!$A:$A,MATCH(TRIM(SUBSTITUTE($B211,CHAR(160)," ")),'Catalog'!$C:$C,0)),""))))</f>
        <v>4413519</v>
      </c>
      <c r="H211" s="8" t="str">
        <f aca="false">IFERROR(INDEX('TRANS'!$C:$C,MATCH($B211,'TRANS'!$A:$A,0)),IFERROR(INDEX('Catalog'!$B:$B,MATCH($G211,'Catalog'!$A:$A,0)),$B211))</f>
        <v>85B S מתלה רשת לזרוע שחור</v>
      </c>
      <c r="I211" s="8" t="str">
        <f aca="false">IF($G211="","Unmatched","Matched")</f>
        <v>Matched</v>
      </c>
    </row>
    <row r="212" customFormat="false" ht="15" hidden="false" customHeight="false" outlineLevel="0" collapsed="false">
      <c r="A212" s="8" t="s">
        <v>51</v>
      </c>
      <c r="B212" s="8" t="s">
        <v>258</v>
      </c>
      <c r="C212" s="19" t="n">
        <v>7</v>
      </c>
      <c r="D212" s="19" t="n">
        <v>388.07</v>
      </c>
      <c r="E212" s="19" t="n">
        <v>3</v>
      </c>
      <c r="F212" s="19" t="n">
        <v>154.67</v>
      </c>
      <c r="G212" s="8" t="n">
        <f aca="false">IFERROR(INDEX('TRANS'!$B:$B,MATCH($B212,'TRANS'!$A:$A,0)),IFERROR(INDEX('TRANS'!$B:$B,MATCH(TRIM(SUBSTITUTE($B212,CHAR(160)," ")),'TRANS'!$D:$D,0)),IFERROR(INDEX('Catalog'!$A:$A,MATCH($B212,'Catalog'!$B:$B,0)),IFERROR(INDEX('Catalog'!$A:$A,MATCH(TRIM(SUBSTITUTE($B212,CHAR(160)," ")),'Catalog'!$C:$C,0)),""))))</f>
        <v>4413518</v>
      </c>
      <c r="H212" s="8" t="str">
        <f aca="false">IFERROR(INDEX('TRANS'!$C:$C,MATCH($B212,'TRANS'!$A:$A,0)),IFERROR(INDEX('Catalog'!$B:$B,MATCH($G212,'Catalog'!$A:$A,0)),$B212))</f>
        <v>85B XL מתלה רשת לזרוע שחור</v>
      </c>
      <c r="I212" s="8" t="str">
        <f aca="false">IF($G212="","Unmatched","Matched")</f>
        <v>Matched</v>
      </c>
    </row>
    <row r="213" customFormat="false" ht="15" hidden="false" customHeight="false" outlineLevel="0" collapsed="false">
      <c r="A213" s="8" t="s">
        <v>51</v>
      </c>
      <c r="B213" s="8" t="s">
        <v>259</v>
      </c>
      <c r="C213" s="19" t="n">
        <v>17</v>
      </c>
      <c r="D213" s="19" t="n">
        <v>831.59</v>
      </c>
      <c r="E213" s="19" t="n">
        <v>2</v>
      </c>
      <c r="F213" s="19" t="n">
        <v>103.96</v>
      </c>
      <c r="G213" s="8" t="n">
        <f aca="false">IFERROR(INDEX('TRANS'!$B:$B,MATCH($B213,'TRANS'!$A:$A,0)),IFERROR(INDEX('TRANS'!$B:$B,MATCH(TRIM(SUBSTITUTE($B213,CHAR(160)," ")),'TRANS'!$D:$D,0)),IFERROR(INDEX('Catalog'!$A:$A,MATCH($B213,'Catalog'!$B:$B,0)),IFERROR(INDEX('Catalog'!$A:$A,MATCH(TRIM(SUBSTITUTE($B213,CHAR(160)," ")),'Catalog'!$C:$C,0)),""))))</f>
        <v>4413455</v>
      </c>
      <c r="H213" s="8" t="str">
        <f aca="false">IFERROR(INDEX('TRANS'!$C:$C,MATCH($B213,'TRANS'!$A:$A,0)),IFERROR(INDEX('Catalog'!$B:$B,MATCH($G213,'Catalog'!$A:$A,0)),$B213))</f>
        <v>85K מתלה ליד לילדים</v>
      </c>
      <c r="I213" s="8" t="str">
        <f aca="false">IF($G213="","Unmatched","Matched")</f>
        <v>Matched</v>
      </c>
    </row>
    <row r="214" customFormat="false" ht="15" hidden="false" customHeight="false" outlineLevel="0" collapsed="false">
      <c r="A214" s="8" t="s">
        <v>51</v>
      </c>
      <c r="B214" s="8" t="s">
        <v>260</v>
      </c>
      <c r="C214" s="19" t="n">
        <v>7</v>
      </c>
      <c r="D214" s="19" t="n">
        <v>216.25</v>
      </c>
      <c r="E214" s="19" t="n">
        <v>0</v>
      </c>
      <c r="F214" s="19" t="n">
        <v>0</v>
      </c>
      <c r="G214" s="8" t="n">
        <f aca="false">IFERROR(INDEX('TRANS'!$B:$B,MATCH($B214,'TRANS'!$A:$A,0)),IFERROR(INDEX('TRANS'!$B:$B,MATCH(TRIM(SUBSTITUTE($B214,CHAR(160)," ")),'TRANS'!$D:$D,0)),IFERROR(INDEX('Catalog'!$A:$A,MATCH($B214,'Catalog'!$B:$B,0)),IFERROR(INDEX('Catalog'!$A:$A,MATCH(TRIM(SUBSTITUTE($B214,CHAR(160)," ")),'Catalog'!$C:$C,0)),""))))</f>
        <v>4413140</v>
      </c>
      <c r="H214" s="8" t="str">
        <f aca="false">IFERROR(INDEX('TRANS'!$C:$C,MATCH($B214,'TRANS'!$A:$A,0)),IFERROR(INDEX('Catalog'!$B:$B,MATCH($G214,'Catalog'!$A:$A,0)),$B214))</f>
        <v>95 M מגן מרפק רגיל לבן</v>
      </c>
      <c r="I214" s="8" t="str">
        <f aca="false">IF($G214="","Unmatched","Matched")</f>
        <v>Matched</v>
      </c>
    </row>
    <row r="215" customFormat="false" ht="15" hidden="false" customHeight="false" outlineLevel="0" collapsed="false">
      <c r="A215" s="8" t="s">
        <v>51</v>
      </c>
      <c r="B215" s="8" t="s">
        <v>261</v>
      </c>
      <c r="C215" s="19" t="n">
        <v>1</v>
      </c>
      <c r="D215" s="19" t="n">
        <v>30.89</v>
      </c>
      <c r="E215" s="19" t="n">
        <v>0</v>
      </c>
      <c r="F215" s="19" t="n">
        <v>0</v>
      </c>
      <c r="G215" s="8" t="n">
        <f aca="false">IFERROR(INDEX('TRANS'!$B:$B,MATCH($B215,'TRANS'!$A:$A,0)),IFERROR(INDEX('TRANS'!$B:$B,MATCH(TRIM(SUBSTITUTE($B215,CHAR(160)," ")),'TRANS'!$D:$D,0)),IFERROR(INDEX('Catalog'!$A:$A,MATCH($B215,'Catalog'!$B:$B,0)),IFERROR(INDEX('Catalog'!$A:$A,MATCH(TRIM(SUBSTITUTE($B215,CHAR(160)," ")),'Catalog'!$C:$C,0)),""))))</f>
        <v>4413500</v>
      </c>
      <c r="H215" s="8" t="str">
        <f aca="false">IFERROR(INDEX('TRANS'!$C:$C,MATCH($B215,'TRANS'!$A:$A,0)),IFERROR(INDEX('Catalog'!$B:$B,MATCH($G215,'Catalog'!$A:$A,0)),$B215))</f>
        <v>95B L מגן מרפק שחור</v>
      </c>
      <c r="I215" s="8" t="str">
        <f aca="false">IF($G215="","Unmatched","Matched")</f>
        <v>Matched</v>
      </c>
    </row>
    <row r="216" customFormat="false" ht="15" hidden="false" customHeight="false" outlineLevel="0" collapsed="false">
      <c r="A216" s="8" t="s">
        <v>51</v>
      </c>
      <c r="B216" s="8" t="s">
        <v>262</v>
      </c>
      <c r="C216" s="19" t="n">
        <v>3</v>
      </c>
      <c r="D216" s="19" t="n">
        <v>92.67</v>
      </c>
      <c r="E216" s="19" t="n">
        <v>0</v>
      </c>
      <c r="F216" s="19" t="n">
        <v>0</v>
      </c>
      <c r="G216" s="8" t="n">
        <f aca="false">IFERROR(INDEX('TRANS'!$B:$B,MATCH($B216,'TRANS'!$A:$A,0)),IFERROR(INDEX('TRANS'!$B:$B,MATCH(TRIM(SUBSTITUTE($B216,CHAR(160)," ")),'TRANS'!$D:$D,0)),IFERROR(INDEX('Catalog'!$A:$A,MATCH($B216,'Catalog'!$B:$B,0)),IFERROR(INDEX('Catalog'!$A:$A,MATCH(TRIM(SUBSTITUTE($B216,CHAR(160)," ")),'Catalog'!$C:$C,0)),""))))</f>
        <v>4413501</v>
      </c>
      <c r="H216" s="8" t="str">
        <f aca="false">IFERROR(INDEX('TRANS'!$C:$C,MATCH($B216,'TRANS'!$A:$A,0)),IFERROR(INDEX('Catalog'!$B:$B,MATCH($G216,'Catalog'!$A:$A,0)),$B216))</f>
        <v>95B M מגן מרפק שחור</v>
      </c>
      <c r="I216" s="8" t="str">
        <f aca="false">IF($G216="","Unmatched","Matched")</f>
        <v>Matched</v>
      </c>
    </row>
    <row r="217" customFormat="false" ht="15" hidden="false" customHeight="false" outlineLevel="0" collapsed="false">
      <c r="A217" s="8" t="s">
        <v>51</v>
      </c>
      <c r="B217" s="8" t="s">
        <v>263</v>
      </c>
      <c r="C217" s="19" t="n">
        <v>1</v>
      </c>
      <c r="D217" s="19" t="n">
        <v>30.91</v>
      </c>
      <c r="E217" s="19" t="n">
        <v>0</v>
      </c>
      <c r="F217" s="19" t="n">
        <v>0</v>
      </c>
      <c r="G217" s="8" t="n">
        <f aca="false">IFERROR(INDEX('TRANS'!$B:$B,MATCH($B217,'TRANS'!$A:$A,0)),IFERROR(INDEX('TRANS'!$B:$B,MATCH(TRIM(SUBSTITUTE($B217,CHAR(160)," ")),'TRANS'!$D:$D,0)),IFERROR(INDEX('Catalog'!$A:$A,MATCH($B217,'Catalog'!$B:$B,0)),IFERROR(INDEX('Catalog'!$A:$A,MATCH(TRIM(SUBSTITUTE($B217,CHAR(160)," ")),'Catalog'!$C:$C,0)),""))))</f>
        <v>4413502</v>
      </c>
      <c r="H217" s="8" t="str">
        <f aca="false">IFERROR(INDEX('TRANS'!$C:$C,MATCH($B217,'TRANS'!$A:$A,0)),IFERROR(INDEX('Catalog'!$B:$B,MATCH($G217,'Catalog'!$A:$A,0)),$B217))</f>
        <v>95B S מגן מרפק שחור</v>
      </c>
      <c r="I217" s="8" t="str">
        <f aca="false">IF($G217="","Unmatched","Matched")</f>
        <v>Matched</v>
      </c>
    </row>
    <row r="218" customFormat="false" ht="15" hidden="false" customHeight="false" outlineLevel="0" collapsed="false">
      <c r="A218" s="8" t="s">
        <v>51</v>
      </c>
      <c r="B218" s="8" t="s">
        <v>264</v>
      </c>
      <c r="C218" s="19" t="n">
        <v>1</v>
      </c>
      <c r="D218" s="19" t="n">
        <v>30.89</v>
      </c>
      <c r="E218" s="19" t="n">
        <v>0</v>
      </c>
      <c r="F218" s="19" t="n">
        <v>0</v>
      </c>
      <c r="G218" s="8" t="n">
        <f aca="false">IFERROR(INDEX('TRANS'!$B:$B,MATCH($B218,'TRANS'!$A:$A,0)),IFERROR(INDEX('TRANS'!$B:$B,MATCH(TRIM(SUBSTITUTE($B218,CHAR(160)," ")),'TRANS'!$D:$D,0)),IFERROR(INDEX('Catalog'!$A:$A,MATCH($B218,'Catalog'!$B:$B,0)),IFERROR(INDEX('Catalog'!$A:$A,MATCH(TRIM(SUBSTITUTE($B218,CHAR(160)," ")),'Catalog'!$C:$C,0)),""))))</f>
        <v>4413503</v>
      </c>
      <c r="H218" s="8" t="str">
        <f aca="false">IFERROR(INDEX('TRANS'!$C:$C,MATCH($B218,'TRANS'!$A:$A,0)),IFERROR(INDEX('Catalog'!$B:$B,MATCH($G218,'Catalog'!$A:$A,0)),$B218))</f>
        <v>95B XL מגן מרפק שחור</v>
      </c>
      <c r="I218" s="8" t="str">
        <f aca="false">IF($G218="","Unmatched","Matched")</f>
        <v>Matched</v>
      </c>
    </row>
    <row r="219" customFormat="false" ht="15" hidden="false" customHeight="false" outlineLevel="0" collapsed="false">
      <c r="A219" s="8" t="s">
        <v>51</v>
      </c>
      <c r="B219" s="8" t="s">
        <v>265</v>
      </c>
      <c r="C219" s="19" t="n">
        <v>4</v>
      </c>
      <c r="D219" s="19" t="n">
        <v>133.87</v>
      </c>
      <c r="E219" s="19" t="n">
        <v>0</v>
      </c>
      <c r="F219" s="19" t="n">
        <v>-13.26</v>
      </c>
      <c r="G219" s="8" t="n">
        <f aca="false">IFERROR(INDEX('TRANS'!$B:$B,MATCH($B219,'TRANS'!$A:$A,0)),IFERROR(INDEX('TRANS'!$B:$B,MATCH(TRIM(SUBSTITUTE($B219,CHAR(160)," ")),'TRANS'!$D:$D,0)),IFERROR(INDEX('Catalog'!$A:$A,MATCH($B219,'Catalog'!$B:$B,0)),IFERROR(INDEX('Catalog'!$A:$A,MATCH(TRIM(SUBSTITUTE($B219,CHAR(160)," ")),'Catalog'!$C:$C,0)),""))))</f>
        <v>4413365</v>
      </c>
      <c r="H219" s="8" t="str">
        <f aca="false">IFERROR(INDEX('TRANS'!$C:$C,MATCH($B219,'TRANS'!$A:$A,0)),IFERROR(INDEX('Catalog'!$B:$B,MATCH($G219,'Catalog'!$A:$A,0)),$B219))</f>
        <v>95C L 'מגן מרפק בז</v>
      </c>
      <c r="I219" s="8" t="str">
        <f aca="false">IF($G219="","Unmatched","Matched")</f>
        <v>Matched</v>
      </c>
    </row>
    <row r="220" customFormat="false" ht="15" hidden="false" customHeight="false" outlineLevel="0" collapsed="false">
      <c r="A220" s="8" t="s">
        <v>51</v>
      </c>
      <c r="B220" s="8" t="s">
        <v>266</v>
      </c>
      <c r="C220" s="19" t="n">
        <v>4</v>
      </c>
      <c r="D220" s="19" t="n">
        <v>122.42</v>
      </c>
      <c r="E220" s="19" t="n">
        <v>0</v>
      </c>
      <c r="F220" s="19" t="n">
        <v>0</v>
      </c>
      <c r="G220" s="8" t="n">
        <f aca="false">IFERROR(INDEX('TRANS'!$B:$B,MATCH($B220,'TRANS'!$A:$A,0)),IFERROR(INDEX('TRANS'!$B:$B,MATCH(TRIM(SUBSTITUTE($B220,CHAR(160)," ")),'TRANS'!$D:$D,0)),IFERROR(INDEX('Catalog'!$A:$A,MATCH($B220,'Catalog'!$B:$B,0)),IFERROR(INDEX('Catalog'!$A:$A,MATCH(TRIM(SUBSTITUTE($B220,CHAR(160)," ")),'Catalog'!$C:$C,0)),""))))</f>
        <v>4413364</v>
      </c>
      <c r="H220" s="8" t="str">
        <f aca="false">IFERROR(INDEX('TRANS'!$C:$C,MATCH($B220,'TRANS'!$A:$A,0)),IFERROR(INDEX('Catalog'!$B:$B,MATCH($G220,'Catalog'!$A:$A,0)),$B220))</f>
        <v>95C M 'מגן מרפק בז</v>
      </c>
      <c r="I220" s="8" t="str">
        <f aca="false">IF($G220="","Unmatched","Matched")</f>
        <v>Matched</v>
      </c>
    </row>
    <row r="221" customFormat="false" ht="15" hidden="false" customHeight="false" outlineLevel="0" collapsed="false">
      <c r="A221" s="8" t="s">
        <v>51</v>
      </c>
      <c r="B221" s="8" t="s">
        <v>267</v>
      </c>
      <c r="C221" s="19" t="n">
        <v>97</v>
      </c>
      <c r="D221" s="19" t="n">
        <v>7095.97</v>
      </c>
      <c r="E221" s="19" t="n">
        <v>8</v>
      </c>
      <c r="F221" s="19" t="n">
        <v>703.11</v>
      </c>
      <c r="G221" s="8" t="n">
        <f aca="false">IFERROR(INDEX('TRANS'!$B:$B,MATCH($B221,'TRANS'!$A:$A,0)),IFERROR(INDEX('TRANS'!$B:$B,MATCH(TRIM(SUBSTITUTE($B221,CHAR(160)," ")),'TRANS'!$D:$D,0)),IFERROR(INDEX('Catalog'!$A:$A,MATCH($B221,'Catalog'!$B:$B,0)),IFERROR(INDEX('Catalog'!$A:$A,MATCH(TRIM(SUBSTITUTE($B221,CHAR(160)," ")),'Catalog'!$C:$C,0)),""))))</f>
        <v>4408205</v>
      </c>
      <c r="H221" s="8" t="str">
        <f aca="false">IFERROR(INDEX('TRANS'!$C:$C,MATCH($B221,'TRANS'!$A:$A,0)),IFERROR(INDEX('Catalog'!$B:$B,MATCH($G221,'Catalog'!$A:$A,0)),$B221))</f>
        <v>AC-07 חגורת גב עם תמיכות</v>
      </c>
      <c r="I221" s="8" t="str">
        <f aca="false">IF($G221="","Unmatched","Matched")</f>
        <v>Matched</v>
      </c>
    </row>
    <row r="222" customFormat="false" ht="15" hidden="false" customHeight="false" outlineLevel="0" collapsed="false">
      <c r="A222" s="8" t="s">
        <v>51</v>
      </c>
      <c r="B222" s="8" t="s">
        <v>268</v>
      </c>
      <c r="C222" s="19" t="n">
        <v>6</v>
      </c>
      <c r="D222" s="19" t="n">
        <v>366.47</v>
      </c>
      <c r="E222" s="19" t="n">
        <v>1</v>
      </c>
      <c r="F222" s="19" t="n">
        <v>0.01</v>
      </c>
      <c r="G222" s="8" t="n">
        <f aca="false">IFERROR(INDEX('TRANS'!$B:$B,MATCH($B222,'TRANS'!$A:$A,0)),IFERROR(INDEX('TRANS'!$B:$B,MATCH(TRIM(SUBSTITUTE($B222,CHAR(160)," ")),'TRANS'!$D:$D,0)),IFERROR(INDEX('Catalog'!$A:$A,MATCH($B222,'Catalog'!$B:$B,0)),IFERROR(INDEX('Catalog'!$A:$A,MATCH(TRIM(SUBSTITUTE($B222,CHAR(160)," ")),'Catalog'!$C:$C,0)),""))))</f>
        <v>4408206</v>
      </c>
      <c r="H222" s="8" t="str">
        <f aca="false">IFERROR(INDEX('TRANS'!$C:$C,MATCH($B222,'TRANS'!$A:$A,0)),IFERROR(INDEX('Catalog'!$B:$B,MATCH($G222,'Catalog'!$A:$A,0)),$B222))</f>
        <v>AC-11 חגורת בטן קלה</v>
      </c>
      <c r="I222" s="8" t="str">
        <f aca="false">IF($G222="","Unmatched","Matched")</f>
        <v>Matched</v>
      </c>
    </row>
    <row r="223" customFormat="false" ht="15" hidden="false" customHeight="false" outlineLevel="0" collapsed="false">
      <c r="A223" s="8" t="s">
        <v>51</v>
      </c>
      <c r="B223" s="8" t="s">
        <v>269</v>
      </c>
      <c r="C223" s="19" t="n">
        <v>6</v>
      </c>
      <c r="D223" s="19" t="n">
        <v>211.17</v>
      </c>
      <c r="E223" s="19" t="n">
        <v>11</v>
      </c>
      <c r="F223" s="19" t="n">
        <v>363.77</v>
      </c>
      <c r="G223" s="8" t="n">
        <f aca="false">IFERROR(INDEX('TRANS'!$B:$B,MATCH($B223,'TRANS'!$A:$A,0)),IFERROR(INDEX('TRANS'!$B:$B,MATCH(TRIM(SUBSTITUTE($B223,CHAR(160)," ")),'TRANS'!$D:$D,0)),IFERROR(INDEX('Catalog'!$A:$A,MATCH($B223,'Catalog'!$B:$B,0)),IFERROR(INDEX('Catalog'!$A:$A,MATCH(TRIM(SUBSTITUTE($B223,CHAR(160)," ")),'Catalog'!$C:$C,0)),""))))</f>
        <v>4408207</v>
      </c>
      <c r="H223" s="8" t="str">
        <f aca="false">IFERROR(INDEX('TRANS'!$C:$C,MATCH($B223,'TRANS'!$A:$A,0)),IFERROR(INDEX('Catalog'!$B:$B,MATCH($G223,'Catalog'!$A:$A,0)),$B223))</f>
        <v>AC-25 חבק לשורש כף היד</v>
      </c>
      <c r="I223" s="8" t="str">
        <f aca="false">IF($G223="","Unmatched","Matched")</f>
        <v>Matched</v>
      </c>
    </row>
    <row r="224" customFormat="false" ht="15" hidden="false" customHeight="false" outlineLevel="0" collapsed="false">
      <c r="A224" s="8" t="s">
        <v>51</v>
      </c>
      <c r="B224" s="8" t="s">
        <v>270</v>
      </c>
      <c r="C224" s="19" t="n">
        <v>4</v>
      </c>
      <c r="D224" s="19" t="n">
        <v>180.59</v>
      </c>
      <c r="E224" s="19" t="n">
        <v>2</v>
      </c>
      <c r="F224" s="19" t="n">
        <v>93.64</v>
      </c>
      <c r="G224" s="8" t="n">
        <f aca="false">IFERROR(INDEX('TRANS'!$B:$B,MATCH($B224,'TRANS'!$A:$A,0)),IFERROR(INDEX('TRANS'!$B:$B,MATCH(TRIM(SUBSTITUTE($B224,CHAR(160)," ")),'TRANS'!$D:$D,0)),IFERROR(INDEX('Catalog'!$A:$A,MATCH($B224,'Catalog'!$B:$B,0)),IFERROR(INDEX('Catalog'!$A:$A,MATCH(TRIM(SUBSTITUTE($B224,CHAR(160)," ")),'Catalog'!$C:$C,0)),""))))</f>
        <v>4415026</v>
      </c>
      <c r="H224" s="8" t="str">
        <f aca="false">IFERROR(INDEX('TRANS'!$C:$C,MATCH($B224,'TRANS'!$A:$A,0)),IFERROR(INDEX('Catalog'!$B:$B,MATCH($G224,'Catalog'!$A:$A,0)),$B224))</f>
        <v>AC-27L סד לש.כף יד שמאל</v>
      </c>
      <c r="I224" s="8" t="str">
        <f aca="false">IF($G224="","Unmatched","Matched")</f>
        <v>Matched</v>
      </c>
    </row>
    <row r="225" customFormat="false" ht="15" hidden="false" customHeight="false" outlineLevel="0" collapsed="false">
      <c r="A225" s="8" t="s">
        <v>51</v>
      </c>
      <c r="B225" s="8" t="s">
        <v>271</v>
      </c>
      <c r="C225" s="19" t="n">
        <v>3</v>
      </c>
      <c r="D225" s="19" t="n">
        <v>46.84</v>
      </c>
      <c r="E225" s="19" t="n">
        <v>2</v>
      </c>
      <c r="F225" s="19" t="n">
        <v>46.83</v>
      </c>
      <c r="G225" s="8" t="n">
        <f aca="false">IFERROR(INDEX('TRANS'!$B:$B,MATCH($B225,'TRANS'!$A:$A,0)),IFERROR(INDEX('TRANS'!$B:$B,MATCH(TRIM(SUBSTITUTE($B225,CHAR(160)," ")),'TRANS'!$D:$D,0)),IFERROR(INDEX('Catalog'!$A:$A,MATCH($B225,'Catalog'!$B:$B,0)),IFERROR(INDEX('Catalog'!$A:$A,MATCH(TRIM(SUBSTITUTE($B225,CHAR(160)," ")),'Catalog'!$C:$C,0)),""))))</f>
        <v>4415027</v>
      </c>
      <c r="H225" s="8" t="str">
        <f aca="false">IFERROR(INDEX('TRANS'!$C:$C,MATCH($B225,'TRANS'!$A:$A,0)),IFERROR(INDEX('Catalog'!$B:$B,MATCH($G225,'Catalog'!$A:$A,0)),$B225))</f>
        <v>AC-27R סד לש.כף יד ימין</v>
      </c>
      <c r="I225" s="8" t="str">
        <f aca="false">IF($G225="","Unmatched","Matched")</f>
        <v>Matched</v>
      </c>
    </row>
    <row r="226" customFormat="false" ht="15" hidden="false" customHeight="false" outlineLevel="0" collapsed="false">
      <c r="A226" s="8" t="s">
        <v>51</v>
      </c>
      <c r="B226" s="8" t="s">
        <v>272</v>
      </c>
      <c r="C226" s="19" t="n">
        <v>71</v>
      </c>
      <c r="D226" s="19" t="n">
        <v>2760.42</v>
      </c>
      <c r="E226" s="19" t="n">
        <v>21</v>
      </c>
      <c r="F226" s="19" t="n">
        <v>818.99</v>
      </c>
      <c r="G226" s="8" t="n">
        <f aca="false">IFERROR(INDEX('TRANS'!$B:$B,MATCH($B226,'TRANS'!$A:$A,0)),IFERROR(INDEX('TRANS'!$B:$B,MATCH(TRIM(SUBSTITUTE($B226,CHAR(160)," ")),'TRANS'!$D:$D,0)),IFERROR(INDEX('Catalog'!$A:$A,MATCH($B226,'Catalog'!$B:$B,0)),IFERROR(INDEX('Catalog'!$A:$A,MATCH(TRIM(SUBSTITUTE($B226,CHAR(160)," ")),'Catalog'!$C:$C,0)),""))))</f>
        <v>4415028</v>
      </c>
      <c r="H226" s="8" t="str">
        <f aca="false">IFERROR(INDEX('TRANS'!$C:$C,MATCH($B226,'TRANS'!$A:$A,0)),IFERROR(INDEX('Catalog'!$B:$B,MATCH($G226,'Catalog'!$A:$A,0)),$B226))</f>
        <v>AC-28 סד לאגודל</v>
      </c>
      <c r="I226" s="8" t="str">
        <f aca="false">IF($G226="","Unmatched","Matched")</f>
        <v>Matched</v>
      </c>
    </row>
    <row r="227" customFormat="false" ht="15" hidden="false" customHeight="false" outlineLevel="0" collapsed="false">
      <c r="A227" s="8" t="s">
        <v>51</v>
      </c>
      <c r="B227" s="8" t="s">
        <v>273</v>
      </c>
      <c r="C227" s="19" t="n">
        <v>12</v>
      </c>
      <c r="D227" s="19" t="n">
        <v>361.3</v>
      </c>
      <c r="E227" s="19" t="n">
        <v>7</v>
      </c>
      <c r="F227" s="19" t="n">
        <v>206.15</v>
      </c>
      <c r="G227" s="8" t="n">
        <f aca="false">IFERROR(INDEX('TRANS'!$B:$B,MATCH($B227,'TRANS'!$A:$A,0)),IFERROR(INDEX('TRANS'!$B:$B,MATCH(TRIM(SUBSTITUTE($B227,CHAR(160)," ")),'TRANS'!$D:$D,0)),IFERROR(INDEX('Catalog'!$A:$A,MATCH($B227,'Catalog'!$B:$B,0)),IFERROR(INDEX('Catalog'!$A:$A,MATCH(TRIM(SUBSTITUTE($B227,CHAR(160)," ")),'Catalog'!$C:$C,0)),""))))</f>
        <v>4413326</v>
      </c>
      <c r="H227" s="8" t="str">
        <f aca="false">IFERROR(INDEX('TRANS'!$C:$C,MATCH($B227,'TRANS'!$A:$A,0)),IFERROR(INDEX('Catalog'!$B:$B,MATCH($G227,'Catalog'!$A:$A,0)),$B227))</f>
        <v>AC37 מגן קרסול נושם</v>
      </c>
      <c r="I227" s="8" t="str">
        <f aca="false">IF($G227="","Unmatched","Matched")</f>
        <v>Matched</v>
      </c>
    </row>
    <row r="228" customFormat="false" ht="15" hidden="false" customHeight="false" outlineLevel="0" collapsed="false">
      <c r="A228" s="8" t="s">
        <v>51</v>
      </c>
      <c r="B228" s="8" t="s">
        <v>274</v>
      </c>
      <c r="C228" s="19" t="n">
        <v>9</v>
      </c>
      <c r="D228" s="19" t="n">
        <v>767.44</v>
      </c>
      <c r="E228" s="19" t="n">
        <v>5</v>
      </c>
      <c r="F228" s="19" t="n">
        <v>395.12</v>
      </c>
      <c r="G228" s="8" t="n">
        <f aca="false">IFERROR(INDEX('TRANS'!$B:$B,MATCH($B228,'TRANS'!$A:$A,0)),IFERROR(INDEX('TRANS'!$B:$B,MATCH(TRIM(SUBSTITUTE($B228,CHAR(160)," ")),'TRANS'!$D:$D,0)),IFERROR(INDEX('Catalog'!$A:$A,MATCH($B228,'Catalog'!$B:$B,0)),IFERROR(INDEX('Catalog'!$A:$A,MATCH(TRIM(SUBSTITUTE($B228,CHAR(160)," ")),'Catalog'!$C:$C,0)),""))))</f>
        <v>4420026</v>
      </c>
      <c r="H228" s="8" t="str">
        <f aca="false">IFERROR(INDEX('TRANS'!$C:$C,MATCH($B228,'TRANS'!$A:$A,0)),IFERROR(INDEX('Catalog'!$B:$B,MATCH($G228,'Catalog'!$A:$A,0)),$B228))</f>
        <v>AC40 רצועה לפיקת הברך</v>
      </c>
      <c r="I228" s="8" t="str">
        <f aca="false">IF($G228="","Unmatched","Matched")</f>
        <v>Matched</v>
      </c>
    </row>
    <row r="229" customFormat="false" ht="15" hidden="false" customHeight="false" outlineLevel="0" collapsed="false">
      <c r="A229" s="8" t="s">
        <v>51</v>
      </c>
      <c r="B229" s="8" t="s">
        <v>275</v>
      </c>
      <c r="C229" s="19" t="n">
        <v>10</v>
      </c>
      <c r="D229" s="19" t="n">
        <v>750.91</v>
      </c>
      <c r="E229" s="19" t="n">
        <v>3</v>
      </c>
      <c r="F229" s="19" t="n">
        <v>224.84</v>
      </c>
      <c r="G229" s="8" t="n">
        <f aca="false">IFERROR(INDEX('TRANS'!$B:$B,MATCH($B229,'TRANS'!$A:$A,0)),IFERROR(INDEX('TRANS'!$B:$B,MATCH(TRIM(SUBSTITUTE($B229,CHAR(160)," ")),'TRANS'!$D:$D,0)),IFERROR(INDEX('Catalog'!$A:$A,MATCH($B229,'Catalog'!$B:$B,0)),IFERROR(INDEX('Catalog'!$A:$A,MATCH(TRIM(SUBSTITUTE($B229,CHAR(160)," ")),'Catalog'!$C:$C,0)),""))))</f>
        <v>4413329</v>
      </c>
      <c r="H229" s="8" t="str">
        <f aca="false">IFERROR(INDEX('TRANS'!$C:$C,MATCH($B229,'TRANS'!$A:$A,0)),IFERROR(INDEX('Catalog'!$B:$B,MATCH($G229,'Catalog'!$A:$A,0)),$B229))</f>
        <v>AC45X מגן ברך עם תמיכות</v>
      </c>
      <c r="I229" s="8" t="str">
        <f aca="false">IF($G229="","Unmatched","Matched")</f>
        <v>Matched</v>
      </c>
    </row>
    <row r="230" customFormat="false" ht="15" hidden="false" customHeight="false" outlineLevel="0" collapsed="false">
      <c r="A230" s="8" t="s">
        <v>51</v>
      </c>
      <c r="B230" s="8" t="s">
        <v>276</v>
      </c>
      <c r="C230" s="19" t="n">
        <v>13</v>
      </c>
      <c r="D230" s="19" t="n">
        <v>910.42</v>
      </c>
      <c r="E230" s="19" t="n">
        <v>7</v>
      </c>
      <c r="F230" s="19" t="n">
        <v>493.83</v>
      </c>
      <c r="G230" s="8" t="n">
        <f aca="false">IFERROR(INDEX('TRANS'!$B:$B,MATCH($B230,'TRANS'!$A:$A,0)),IFERROR(INDEX('TRANS'!$B:$B,MATCH(TRIM(SUBSTITUTE($B230,CHAR(160)," ")),'TRANS'!$D:$D,0)),IFERROR(INDEX('Catalog'!$A:$A,MATCH($B230,'Catalog'!$B:$B,0)),IFERROR(INDEX('Catalog'!$A:$A,MATCH(TRIM(SUBSTITUTE($B230,CHAR(160)," ")),'Catalog'!$C:$C,0)),""))))</f>
        <v>4413456</v>
      </c>
      <c r="H230" s="8" t="str">
        <f aca="false">IFERROR(INDEX('TRANS'!$C:$C,MATCH($B230,'TRANS'!$A:$A,0)),IFERROR(INDEX('Catalog'!$B:$B,MATCH($G230,'Catalog'!$A:$A,0)),$B230))</f>
        <v>AC75 XXL  מיישר כתפיים אקטיב</v>
      </c>
      <c r="I230" s="8" t="str">
        <f aca="false">IF($G230="","Unmatched","Matched")</f>
        <v>Matched</v>
      </c>
    </row>
    <row r="231" customFormat="false" ht="15" hidden="false" customHeight="false" outlineLevel="0" collapsed="false">
      <c r="A231" s="8" t="s">
        <v>51</v>
      </c>
      <c r="B231" s="8" t="s">
        <v>277</v>
      </c>
      <c r="C231" s="19" t="n">
        <v>48</v>
      </c>
      <c r="D231" s="19" t="n">
        <v>1793.19</v>
      </c>
      <c r="E231" s="19" t="n">
        <v>12</v>
      </c>
      <c r="F231" s="19" t="n">
        <v>440.4</v>
      </c>
      <c r="G231" s="8" t="n">
        <f aca="false">IFERROR(INDEX('TRANS'!$B:$B,MATCH($B231,'TRANS'!$A:$A,0)),IFERROR(INDEX('TRANS'!$B:$B,MATCH(TRIM(SUBSTITUTE($B231,CHAR(160)," ")),'TRANS'!$D:$D,0)),IFERROR(INDEX('Catalog'!$A:$A,MATCH($B231,'Catalog'!$B:$B,0)),IFERROR(INDEX('Catalog'!$A:$A,MATCH(TRIM(SUBSTITUTE($B231,CHAR(160)," ")),'Catalog'!$C:$C,0)),""))))</f>
        <v>4408208</v>
      </c>
      <c r="H231" s="8" t="str">
        <f aca="false">IFERROR(INDEX('TRANS'!$C:$C,MATCH($B231,'TRANS'!$A:$A,0)),IFERROR(INDEX('Catalog'!$B:$B,MATCH($G231,'Catalog'!$A:$A,0)),$B231))</f>
        <v>AC91 חבק טניס</v>
      </c>
      <c r="I231" s="8" t="str">
        <f aca="false">IF($G231="","Unmatched","Matched")</f>
        <v>Matched</v>
      </c>
    </row>
    <row r="232" customFormat="false" ht="15" hidden="false" customHeight="false" outlineLevel="0" collapsed="false">
      <c r="A232" s="8" t="s">
        <v>51</v>
      </c>
      <c r="B232" s="8" t="s">
        <v>278</v>
      </c>
      <c r="C232" s="19" t="n">
        <v>15</v>
      </c>
      <c r="D232" s="19" t="n">
        <v>573.36</v>
      </c>
      <c r="E232" s="19" t="n">
        <v>7</v>
      </c>
      <c r="F232" s="19" t="n">
        <v>290.89</v>
      </c>
      <c r="G232" s="8" t="n">
        <f aca="false">IFERROR(INDEX('TRANS'!$B:$B,MATCH($B232,'TRANS'!$A:$A,0)),IFERROR(INDEX('TRANS'!$B:$B,MATCH(TRIM(SUBSTITUTE($B232,CHAR(160)," ")),'TRANS'!$D:$D,0)),IFERROR(INDEX('Catalog'!$A:$A,MATCH($B232,'Catalog'!$B:$B,0)),IFERROR(INDEX('Catalog'!$A:$A,MATCH(TRIM(SUBSTITUTE($B232,CHAR(160)," ")),'Catalog'!$C:$C,0)),""))))</f>
        <v>4413331</v>
      </c>
      <c r="H232" s="8" t="str">
        <f aca="false">IFERROR(INDEX('TRANS'!$C:$C,MATCH($B232,'TRANS'!$A:$A,0)),IFERROR(INDEX('Catalog'!$B:$B,MATCH($G232,'Catalog'!$A:$A,0)),$B232))</f>
        <v>AC95 מגן מרפק</v>
      </c>
      <c r="I232" s="8" t="str">
        <f aca="false">IF($G232="","Unmatched","Matched")</f>
        <v>Matched</v>
      </c>
    </row>
    <row r="233" customFormat="false" ht="15" hidden="false" customHeight="false" outlineLevel="0" collapsed="false">
      <c r="A233" s="8" t="s">
        <v>51</v>
      </c>
      <c r="B233" s="8" t="s">
        <v>279</v>
      </c>
      <c r="C233" s="19" t="n">
        <v>13</v>
      </c>
      <c r="D233" s="19" t="n">
        <v>182.32</v>
      </c>
      <c r="E233" s="19" t="n">
        <v>2</v>
      </c>
      <c r="F233" s="19" t="n">
        <v>28.03</v>
      </c>
      <c r="G233" s="8" t="n">
        <f aca="false">IFERROR(INDEX('TRANS'!$B:$B,MATCH($B233,'TRANS'!$A:$A,0)),IFERROR(INDEX('TRANS'!$B:$B,MATCH(TRIM(SUBSTITUTE($B233,CHAR(160)," ")),'TRANS'!$D:$D,0)),IFERROR(INDEX('Catalog'!$A:$A,MATCH($B233,'Catalog'!$B:$B,0)),IFERROR(INDEX('Catalog'!$A:$A,MATCH(TRIM(SUBSTITUTE($B233,CHAR(160)," ")),'Catalog'!$C:$C,0)),""))))</f>
        <v>4413149</v>
      </c>
      <c r="H233" s="8" t="str">
        <f aca="false">IFERROR(INDEX('TRANS'!$C:$C,MATCH($B233,'TRANS'!$A:$A,0)),IFERROR(INDEX('Catalog'!$B:$B,MATCH($G233,'Catalog'!$A:$A,0)),$B233))</f>
        <v>FC321-מלח אמבט לכף הרגל</v>
      </c>
      <c r="I233" s="8" t="str">
        <f aca="false">IF($G233="","Unmatched","Matched")</f>
        <v>Matched</v>
      </c>
    </row>
    <row r="234" customFormat="false" ht="15" hidden="false" customHeight="false" outlineLevel="0" collapsed="false">
      <c r="A234" s="8" t="s">
        <v>51</v>
      </c>
      <c r="B234" s="8" t="s">
        <v>280</v>
      </c>
      <c r="C234" s="19" t="n">
        <v>312</v>
      </c>
      <c r="D234" s="19" t="n">
        <v>8797.86</v>
      </c>
      <c r="E234" s="19" t="n">
        <v>105</v>
      </c>
      <c r="F234" s="19" t="n">
        <v>2265.05</v>
      </c>
      <c r="G234" s="8" t="n">
        <f aca="false">IFERROR(INDEX('TRANS'!$B:$B,MATCH($B234,'TRANS'!$A:$A,0)),IFERROR(INDEX('TRANS'!$B:$B,MATCH(TRIM(SUBSTITUTE($B234,CHAR(160)," ")),'TRANS'!$D:$D,0)),IFERROR(INDEX('Catalog'!$A:$A,MATCH($B234,'Catalog'!$B:$B,0)),IFERROR(INDEX('Catalog'!$A:$A,MATCH(TRIM(SUBSTITUTE($B234,CHAR(160)," ")),'Catalog'!$C:$C,0)),""))))</f>
        <v>4422035</v>
      </c>
      <c r="H234" s="8" t="str">
        <f aca="false">IFERROR(INDEX('TRANS'!$C:$C,MATCH($B234,'TRANS'!$A:$A,0)),IFERROR(INDEX('Catalog'!$B:$B,MATCH($G234,'Catalog'!$A:$A,0)),$B234))</f>
        <v>FCתרסיס דאודורנט אנטיבק.נעל333</v>
      </c>
      <c r="I234" s="8" t="str">
        <f aca="false">IF($G234="","Unmatched","Matched")</f>
        <v>Matched</v>
      </c>
    </row>
    <row r="235" customFormat="false" ht="15" hidden="false" customHeight="false" outlineLevel="0" collapsed="false">
      <c r="A235" s="8" t="s">
        <v>51</v>
      </c>
      <c r="B235" s="8" t="s">
        <v>281</v>
      </c>
      <c r="C235" s="19" t="n">
        <v>37</v>
      </c>
      <c r="D235" s="19" t="n">
        <v>849.2</v>
      </c>
      <c r="E235" s="19" t="n">
        <v>8</v>
      </c>
      <c r="F235" s="19" t="n">
        <v>205.77</v>
      </c>
      <c r="G235" s="8" t="n">
        <f aca="false">IFERROR(INDEX('TRANS'!$B:$B,MATCH($B235,'TRANS'!$A:$A,0)),IFERROR(INDEX('TRANS'!$B:$B,MATCH(TRIM(SUBSTITUTE($B235,CHAR(160)," ")),'TRANS'!$D:$D,0)),IFERROR(INDEX('Catalog'!$A:$A,MATCH($B235,'Catalog'!$B:$B,0)),IFERROR(INDEX('Catalog'!$A:$A,MATCH(TRIM(SUBSTITUTE($B235,CHAR(160)," ")),'Catalog'!$C:$C,0)),""))))</f>
        <v>4409004</v>
      </c>
      <c r="H235" s="8" t="str">
        <f aca="false">IFERROR(INDEX('TRANS'!$C:$C,MATCH($B235,'TRANS'!$A:$A,0)),IFERROR(INDEX('Catalog'!$B:$B,MATCH($G235,'Catalog'!$A:$A,0)),$B235))</f>
        <v>FC335 טלק מעושר באלוורה</v>
      </c>
      <c r="I235" s="8" t="str">
        <f aca="false">IF($G235="","Unmatched","Matched")</f>
        <v>Matched</v>
      </c>
    </row>
    <row r="236" customFormat="false" ht="15" hidden="false" customHeight="false" outlineLevel="0" collapsed="false">
      <c r="A236" s="8" t="s">
        <v>51</v>
      </c>
      <c r="B236" s="8" t="s">
        <v>282</v>
      </c>
      <c r="C236" s="19" t="n">
        <v>0</v>
      </c>
      <c r="D236" s="19" t="n">
        <v>0</v>
      </c>
      <c r="E236" s="19" t="n">
        <v>-3</v>
      </c>
      <c r="F236" s="19" t="n">
        <v>-106.72</v>
      </c>
      <c r="G236" s="8" t="str">
        <f aca="false">IFERROR(INDEX('TRANS'!$B:$B,MATCH($B236,'TRANS'!$A:$A,0)),IFERROR(INDEX('TRANS'!$B:$B,MATCH(TRIM(SUBSTITUTE($B236,CHAR(160)," ")),'TRANS'!$D:$D,0)),IFERROR(INDEX('Catalog'!$A:$A,MATCH($B236,'Catalog'!$B:$B,0)),IFERROR(INDEX('Catalog'!$A:$A,MATCH(TRIM(SUBSTITUTE($B236,CHAR(160)," ")),'Catalog'!$C:$C,0)),""))))</f>
        <v/>
      </c>
      <c r="H236" s="8" t="str">
        <f aca="false">IFERROR(INDEX('TRANS'!$C:$C,MATCH($B236,'TRANS'!$A:$A,0)),IFERROR(INDEX('Catalog'!$B:$B,MATCH($G236,'Catalog'!$A:$A,0)),$B236))</f>
        <v>FC341 0</v>
      </c>
      <c r="I236" s="8" t="str">
        <f aca="false">IF($G236="","Unmatched","Matched")</f>
        <v>Unmatched</v>
      </c>
    </row>
    <row r="237" customFormat="false" ht="15" hidden="false" customHeight="false" outlineLevel="0" collapsed="false">
      <c r="A237" s="8" t="s">
        <v>51</v>
      </c>
      <c r="B237" s="8" t="s">
        <v>283</v>
      </c>
      <c r="C237" s="19" t="n">
        <v>28</v>
      </c>
      <c r="D237" s="19" t="n">
        <v>1001.53</v>
      </c>
      <c r="E237" s="19" t="n">
        <v>3</v>
      </c>
      <c r="F237" s="19" t="n">
        <v>73.05</v>
      </c>
      <c r="G237" s="8" t="n">
        <f aca="false">IFERROR(INDEX('TRANS'!$B:$B,MATCH($B237,'TRANS'!$A:$A,0)),IFERROR(INDEX('TRANS'!$B:$B,MATCH(TRIM(SUBSTITUTE($B237,CHAR(160)," ")),'TRANS'!$D:$D,0)),IFERROR(INDEX('Catalog'!$A:$A,MATCH($B237,'Catalog'!$B:$B,0)),IFERROR(INDEX('Catalog'!$A:$A,MATCH(TRIM(SUBSTITUTE($B237,CHAR(160)," ")),'Catalog'!$C:$C,0)),""))))</f>
        <v>4414000</v>
      </c>
      <c r="H237" s="8" t="str">
        <f aca="false">IFERROR(INDEX('TRANS'!$C:$C,MATCH($B237,'TRANS'!$A:$A,0)),IFERROR(INDEX('Catalog'!$B:$B,MATCH($G237,'Catalog'!$A:$A,0)),$B237))</f>
        <v>FC342-נוזל לציפורן חודרנית</v>
      </c>
      <c r="I237" s="8" t="str">
        <f aca="false">IF($G237="","Unmatched","Matched")</f>
        <v>Matched</v>
      </c>
    </row>
    <row r="238" customFormat="false" ht="15" hidden="false" customHeight="false" outlineLevel="0" collapsed="false">
      <c r="A238" s="8" t="s">
        <v>51</v>
      </c>
      <c r="B238" s="8" t="s">
        <v>284</v>
      </c>
      <c r="C238" s="19" t="n">
        <v>12</v>
      </c>
      <c r="D238" s="19" t="n">
        <v>286.31</v>
      </c>
      <c r="E238" s="19" t="n">
        <v>7</v>
      </c>
      <c r="F238" s="19" t="n">
        <v>167</v>
      </c>
      <c r="G238" s="8" t="n">
        <f aca="false">IFERROR(INDEX('TRANS'!$B:$B,MATCH($B238,'TRANS'!$A:$A,0)),IFERROR(INDEX('TRANS'!$B:$B,MATCH(TRIM(SUBSTITUTE($B238,CHAR(160)," ")),'TRANS'!$D:$D,0)),IFERROR(INDEX('Catalog'!$A:$A,MATCH($B238,'Catalog'!$B:$B,0)),IFERROR(INDEX('Catalog'!$A:$A,MATCH(TRIM(SUBSTITUTE($B238,CHAR(160)," ")),'Catalog'!$C:$C,0)),""))))</f>
        <v>4413056</v>
      </c>
      <c r="H238" s="8" t="str">
        <f aca="false">IFERROR(INDEX('TRANS'!$C:$C,MATCH($B238,'TRANS'!$A:$A,0)),IFERROR(INDEX('Catalog'!$B:$B,MATCH($G238,'Catalog'!$A:$A,0)),$B238))</f>
        <v>LF360 מדרס מטטרזלי לנעלי עקב</v>
      </c>
      <c r="I238" s="8" t="str">
        <f aca="false">IF($G238="","Unmatched","Matched")</f>
        <v>Matched</v>
      </c>
    </row>
    <row r="239" customFormat="false" ht="15" hidden="false" customHeight="false" outlineLevel="0" collapsed="false">
      <c r="A239" s="8" t="s">
        <v>51</v>
      </c>
      <c r="B239" s="8" t="s">
        <v>285</v>
      </c>
      <c r="C239" s="19" t="n">
        <v>3</v>
      </c>
      <c r="D239" s="19" t="n">
        <v>64.55</v>
      </c>
      <c r="E239" s="19" t="n">
        <v>0</v>
      </c>
      <c r="F239" s="19" t="n">
        <v>0</v>
      </c>
      <c r="G239" s="8" t="n">
        <f aca="false">IFERROR(INDEX('TRANS'!$B:$B,MATCH($B239,'TRANS'!$A:$A,0)),IFERROR(INDEX('TRANS'!$B:$B,MATCH(TRIM(SUBSTITUTE($B239,CHAR(160)," ")),'TRANS'!$D:$D,0)),IFERROR(INDEX('Catalog'!$A:$A,MATCH($B239,'Catalog'!$B:$B,0)),IFERROR(INDEX('Catalog'!$A:$A,MATCH(TRIM(SUBSTITUTE($B239,CHAR(160)," ")),'Catalog'!$C:$C,0)),""))))</f>
        <v>4420024</v>
      </c>
      <c r="H239" s="8" t="str">
        <f aca="false">IFERROR(INDEX('TRANS'!$C:$C,MATCH($B239,'TRANS'!$A:$A,0)),IFERROR(INDEX('Catalog'!$B:$B,MATCH($G239,'Catalog'!$A:$A,0)),$B239))</f>
        <v>LFריפוד סיליק.לכרית כף הרגל373</v>
      </c>
      <c r="I239" s="8" t="str">
        <f aca="false">IF($G239="","Unmatched","Matched")</f>
        <v>Matched</v>
      </c>
    </row>
    <row r="240" customFormat="false" ht="15" hidden="false" customHeight="false" outlineLevel="0" collapsed="false">
      <c r="A240" s="8" t="s">
        <v>51</v>
      </c>
      <c r="B240" s="8" t="s">
        <v>286</v>
      </c>
      <c r="C240" s="19" t="n">
        <v>2</v>
      </c>
      <c r="D240" s="19" t="n">
        <v>23.87</v>
      </c>
      <c r="E240" s="19" t="n">
        <v>0</v>
      </c>
      <c r="F240" s="19" t="n">
        <v>0</v>
      </c>
      <c r="G240" s="8" t="n">
        <f aca="false">IFERROR(INDEX('TRANS'!$B:$B,MATCH($B240,'TRANS'!$A:$A,0)),IFERROR(INDEX('TRANS'!$B:$B,MATCH(TRIM(SUBSTITUTE($B240,CHAR(160)," ")),'TRANS'!$D:$D,0)),IFERROR(INDEX('Catalog'!$A:$A,MATCH($B240,'Catalog'!$B:$B,0)),IFERROR(INDEX('Catalog'!$A:$A,MATCH(TRIM(SUBSTITUTE($B240,CHAR(160)," ")),'Catalog'!$C:$C,0)),""))))</f>
        <v>4420025</v>
      </c>
      <c r="H240" s="8" t="str">
        <f aca="false">IFERROR(INDEX('TRANS'!$C:$C,MATCH($B240,'TRANS'!$A:$A,0)),IFERROR(INDEX('Catalog'!$B:$B,MATCH($G240,'Catalog'!$A:$A,0)),$B240))</f>
        <v>LF374 ריפוד סיליק.לעקב תחתון</v>
      </c>
      <c r="I240" s="8" t="str">
        <f aca="false">IF($G240="","Unmatched","Matched")</f>
        <v>Matched</v>
      </c>
    </row>
    <row r="241" customFormat="false" ht="15" hidden="false" customHeight="false" outlineLevel="0" collapsed="false">
      <c r="A241" s="8" t="s">
        <v>51</v>
      </c>
      <c r="B241" s="8" t="s">
        <v>287</v>
      </c>
      <c r="C241" s="19" t="n">
        <v>19</v>
      </c>
      <c r="D241" s="19" t="n">
        <v>273.44</v>
      </c>
      <c r="E241" s="19" t="n">
        <v>1</v>
      </c>
      <c r="F241" s="19" t="n">
        <v>14.48</v>
      </c>
      <c r="G241" s="8" t="n">
        <f aca="false">IFERROR(INDEX('TRANS'!$B:$B,MATCH($B241,'TRANS'!$A:$A,0)),IFERROR(INDEX('TRANS'!$B:$B,MATCH(TRIM(SUBSTITUTE($B241,CHAR(160)," ")),'TRANS'!$D:$D,0)),IFERROR(INDEX('Catalog'!$A:$A,MATCH($B241,'Catalog'!$B:$B,0)),IFERROR(INDEX('Catalog'!$A:$A,MATCH(TRIM(SUBSTITUTE($B241,CHAR(160)," ")),'Catalog'!$C:$C,0)),""))))</f>
        <v>4419006</v>
      </c>
      <c r="H241" s="8" t="str">
        <f aca="false">IFERROR(INDEX('TRANS'!$C:$C,MATCH($B241,'TRANS'!$A:$A,0)),IFERROR(INDEX('Catalog'!$B:$B,MATCH($G241,'Catalog'!$A:$A,0)),$B241))</f>
        <v>PD340-קוצץ ציפורניים</v>
      </c>
      <c r="I241" s="8" t="str">
        <f aca="false">IF($G241="","Unmatched","Matched")</f>
        <v>Matched</v>
      </c>
    </row>
    <row r="242" customFormat="false" ht="15" hidden="false" customHeight="false" outlineLevel="0" collapsed="false">
      <c r="A242" s="8" t="s">
        <v>51</v>
      </c>
      <c r="B242" s="8" t="s">
        <v>288</v>
      </c>
      <c r="C242" s="19" t="n">
        <v>7</v>
      </c>
      <c r="D242" s="19" t="n">
        <v>206.36</v>
      </c>
      <c r="E242" s="19" t="n">
        <v>0</v>
      </c>
      <c r="F242" s="19" t="n">
        <v>0</v>
      </c>
      <c r="G242" s="8" t="n">
        <f aca="false">IFERROR(INDEX('TRANS'!$B:$B,MATCH($B242,'TRANS'!$A:$A,0)),IFERROR(INDEX('TRANS'!$B:$B,MATCH(TRIM(SUBSTITUTE($B242,CHAR(160)," ")),'TRANS'!$D:$D,0)),IFERROR(INDEX('Catalog'!$A:$A,MATCH($B242,'Catalog'!$B:$B,0)),IFERROR(INDEX('Catalog'!$A:$A,MATCH(TRIM(SUBSTITUTE($B242,CHAR(160)," ")),'Catalog'!$C:$C,0)),""))))</f>
        <v>4413150</v>
      </c>
      <c r="H242" s="8" t="str">
        <f aca="false">IFERROR(INDEX('TRANS'!$C:$C,MATCH($B242,'TRANS'!$A:$A,0)),IFERROR(INDEX('Catalog'!$B:$B,MATCH($G242,'Catalog'!$A:$A,0)),$B242))</f>
        <v>PD341-מקצוע להסרת עור קשה</v>
      </c>
      <c r="I242" s="8" t="str">
        <f aca="false">IF($G242="","Unmatched","Matched")</f>
        <v>Matched</v>
      </c>
    </row>
    <row r="243" customFormat="false" ht="15" hidden="false" customHeight="false" outlineLevel="0" collapsed="false">
      <c r="A243" s="8" t="s">
        <v>51</v>
      </c>
      <c r="B243" s="8" t="s">
        <v>289</v>
      </c>
      <c r="C243" s="19" t="n">
        <v>3</v>
      </c>
      <c r="D243" s="19" t="n">
        <v>75.81</v>
      </c>
      <c r="E243" s="19" t="n">
        <v>0</v>
      </c>
      <c r="F243" s="19" t="n">
        <v>0</v>
      </c>
      <c r="G243" s="8" t="n">
        <f aca="false">IFERROR(INDEX('TRANS'!$B:$B,MATCH($B243,'TRANS'!$A:$A,0)),IFERROR(INDEX('TRANS'!$B:$B,MATCH(TRIM(SUBSTITUTE($B243,CHAR(160)," ")),'TRANS'!$D:$D,0)),IFERROR(INDEX('Catalog'!$A:$A,MATCH($B243,'Catalog'!$B:$B,0)),IFERROR(INDEX('Catalog'!$A:$A,MATCH(TRIM(SUBSTITUTE($B243,CHAR(160)," ")),'Catalog'!$C:$C,0)),""))))</f>
        <v>4417000</v>
      </c>
      <c r="H243" s="8" t="str">
        <f aca="false">IFERROR(INDEX('TRANS'!$C:$C,MATCH($B243,'TRANS'!$A:$A,0)),IFERROR(INDEX('Catalog'!$B:$B,MATCH($G243,'Catalog'!$A:$A,0)),$B243))</f>
        <v>PD342-פומפיה להסרת עור קשה</v>
      </c>
      <c r="I243" s="8" t="str">
        <f aca="false">IF($G243="","Unmatched","Matched")</f>
        <v>Matched</v>
      </c>
    </row>
    <row r="244" customFormat="false" ht="15" hidden="false" customHeight="false" outlineLevel="0" collapsed="false">
      <c r="A244" s="8" t="s">
        <v>51</v>
      </c>
      <c r="B244" s="8" t="s">
        <v>290</v>
      </c>
      <c r="C244" s="19" t="n">
        <v>9</v>
      </c>
      <c r="D244" s="19" t="n">
        <v>78.87</v>
      </c>
      <c r="E244" s="19" t="n">
        <v>2</v>
      </c>
      <c r="F244" s="19" t="n">
        <v>16.87</v>
      </c>
      <c r="G244" s="8" t="n">
        <f aca="false">IFERROR(INDEX('TRANS'!$B:$B,MATCH($B244,'TRANS'!$A:$A,0)),IFERROR(INDEX('TRANS'!$B:$B,MATCH(TRIM(SUBSTITUTE($B244,CHAR(160)," ")),'TRANS'!$D:$D,0)),IFERROR(INDEX('Catalog'!$A:$A,MATCH($B244,'Catalog'!$B:$B,0)),IFERROR(INDEX('Catalog'!$A:$A,MATCH(TRIM(SUBSTITUTE($B244,CHAR(160)," ")),'Catalog'!$C:$C,0)),""))))</f>
        <v>4401002</v>
      </c>
      <c r="H244" s="8" t="str">
        <f aca="false">IFERROR(INDEX('TRANS'!$C:$C,MATCH($B244,'TRANS'!$A:$A,0)),IFERROR(INDEX('Catalog'!$B:$B,MATCH($G244,'Catalog'!$A:$A,0)),$B244))</f>
        <v>PD 344-אבן טבעית להסרת עור קשה</v>
      </c>
      <c r="I244" s="8" t="str">
        <f aca="false">IF($G244="","Unmatched","Matched")</f>
        <v>Matched</v>
      </c>
    </row>
    <row r="245" customFormat="false" ht="15" hidden="false" customHeight="false" outlineLevel="0" collapsed="false">
      <c r="A245" s="8" t="s">
        <v>51</v>
      </c>
      <c r="B245" s="8" t="s">
        <v>291</v>
      </c>
      <c r="C245" s="19" t="n">
        <v>6</v>
      </c>
      <c r="D245" s="19" t="n">
        <v>58.76</v>
      </c>
      <c r="E245" s="19" t="n">
        <v>2</v>
      </c>
      <c r="F245" s="19" t="n">
        <v>19.58</v>
      </c>
      <c r="G245" s="8" t="n">
        <f aca="false">IFERROR(INDEX('TRANS'!$B:$B,MATCH($B245,'TRANS'!$A:$A,0)),IFERROR(INDEX('TRANS'!$B:$B,MATCH(TRIM(SUBSTITUTE($B245,CHAR(160)," ")),'TRANS'!$D:$D,0)),IFERROR(INDEX('Catalog'!$A:$A,MATCH($B245,'Catalog'!$B:$B,0)),IFERROR(INDEX('Catalog'!$A:$A,MATCH(TRIM(SUBSTITUTE($B245,CHAR(160)," ")),'Catalog'!$C:$C,0)),""))))</f>
        <v>4415080</v>
      </c>
      <c r="H245" s="8" t="str">
        <f aca="false">IFERROR(INDEX('TRANS'!$C:$C,MATCH($B245,'TRANS'!$A:$A,0)),IFERROR(INDEX('Catalog'!$B:$B,MATCH($G245,'Catalog'!$A:$A,0)),$B245))</f>
        <v>PD346-10 סכינים למקצוע</v>
      </c>
      <c r="I245" s="8" t="str">
        <f aca="false">IF($G245="","Unmatched","Matched")</f>
        <v>Matched</v>
      </c>
    </row>
    <row r="246" customFormat="false" ht="15" hidden="false" customHeight="false" outlineLevel="0" collapsed="false">
      <c r="A246" s="8" t="s">
        <v>51</v>
      </c>
      <c r="B246" s="8" t="s">
        <v>292</v>
      </c>
      <c r="C246" s="19" t="n">
        <v>14</v>
      </c>
      <c r="D246" s="19" t="n">
        <v>1038.8</v>
      </c>
      <c r="E246" s="19" t="n">
        <v>4</v>
      </c>
      <c r="F246" s="19" t="n">
        <v>365.74</v>
      </c>
      <c r="G246" s="8" t="n">
        <f aca="false">IFERROR(INDEX('TRANS'!$B:$B,MATCH($B246,'TRANS'!$A:$A,0)),IFERROR(INDEX('TRANS'!$B:$B,MATCH(TRIM(SUBSTITUTE($B246,CHAR(160)," ")),'TRANS'!$D:$D,0)),IFERROR(INDEX('Catalog'!$A:$A,MATCH($B246,'Catalog'!$B:$B,0)),IFERROR(INDEX('Catalog'!$A:$A,MATCH(TRIM(SUBSTITUTE($B246,CHAR(160)," ")),'Catalog'!$C:$C,0)),""))))</f>
        <v>4408249</v>
      </c>
      <c r="H246" s="8" t="str">
        <f aca="false">IFERROR(INDEX('TRANS'!$C:$C,MATCH($B246,'TRANS'!$A:$A,0)),IFERROR(INDEX('Catalog'!$B:$B,MATCH($G246,'Catalog'!$A:$A,0)),$B246))</f>
        <v>SC25  L חבק יד</v>
      </c>
      <c r="I246" s="8" t="str">
        <f aca="false">IF($G246="","Unmatched","Matched")</f>
        <v>Matched</v>
      </c>
    </row>
    <row r="247" customFormat="false" ht="15" hidden="false" customHeight="false" outlineLevel="0" collapsed="false">
      <c r="A247" s="8" t="s">
        <v>51</v>
      </c>
      <c r="B247" s="8" t="s">
        <v>293</v>
      </c>
      <c r="C247" s="19" t="n">
        <v>14</v>
      </c>
      <c r="D247" s="19" t="n">
        <v>1152.04</v>
      </c>
      <c r="E247" s="19" t="n">
        <v>8</v>
      </c>
      <c r="F247" s="19" t="n">
        <v>618.26</v>
      </c>
      <c r="G247" s="8" t="n">
        <f aca="false">IFERROR(INDEX('TRANS'!$B:$B,MATCH($B247,'TRANS'!$A:$A,0)),IFERROR(INDEX('TRANS'!$B:$B,MATCH(TRIM(SUBSTITUTE($B247,CHAR(160)," ")),'TRANS'!$D:$D,0)),IFERROR(INDEX('Catalog'!$A:$A,MATCH($B247,'Catalog'!$B:$B,0)),IFERROR(INDEX('Catalog'!$A:$A,MATCH(TRIM(SUBSTITUTE($B247,CHAR(160)," ")),'Catalog'!$C:$C,0)),""))))</f>
        <v>4408248</v>
      </c>
      <c r="H247" s="8" t="str">
        <f aca="false">IFERROR(INDEX('TRANS'!$C:$C,MATCH($B247,'TRANS'!$A:$A,0)),IFERROR(INDEX('Catalog'!$B:$B,MATCH($G247,'Catalog'!$A:$A,0)),$B247))</f>
        <v>SC25  M חבק יד</v>
      </c>
      <c r="I247" s="8" t="str">
        <f aca="false">IF($G247="","Unmatched","Matched")</f>
        <v>Matched</v>
      </c>
    </row>
    <row r="248" customFormat="false" ht="15" hidden="false" customHeight="false" outlineLevel="0" collapsed="false">
      <c r="A248" s="8" t="s">
        <v>51</v>
      </c>
      <c r="B248" s="8" t="s">
        <v>294</v>
      </c>
      <c r="C248" s="19" t="n">
        <v>10</v>
      </c>
      <c r="D248" s="19" t="n">
        <v>779.93</v>
      </c>
      <c r="E248" s="19" t="n">
        <v>0</v>
      </c>
      <c r="F248" s="19" t="n">
        <v>0</v>
      </c>
      <c r="G248" s="8" t="n">
        <f aca="false">IFERROR(INDEX('TRANS'!$B:$B,MATCH($B248,'TRANS'!$A:$A,0)),IFERROR(INDEX('TRANS'!$B:$B,MATCH(TRIM(SUBSTITUTE($B248,CHAR(160)," ")),'TRANS'!$D:$D,0)),IFERROR(INDEX('Catalog'!$A:$A,MATCH($B248,'Catalog'!$B:$B,0)),IFERROR(INDEX('Catalog'!$A:$A,MATCH(TRIM(SUBSTITUTE($B248,CHAR(160)," ")),'Catalog'!$C:$C,0)),""))))</f>
        <v>4408247</v>
      </c>
      <c r="H248" s="8" t="str">
        <f aca="false">IFERROR(INDEX('TRANS'!$C:$C,MATCH($B248,'TRANS'!$A:$A,0)),IFERROR(INDEX('Catalog'!$B:$B,MATCH($G248,'Catalog'!$A:$A,0)),$B248))</f>
        <v>SC25  S חבק יד</v>
      </c>
      <c r="I248" s="8" t="str">
        <f aca="false">IF($G248="","Unmatched","Matched")</f>
        <v>Matched</v>
      </c>
    </row>
    <row r="249" customFormat="false" ht="15" hidden="false" customHeight="false" outlineLevel="0" collapsed="false">
      <c r="A249" s="8" t="s">
        <v>51</v>
      </c>
      <c r="B249" s="8" t="s">
        <v>295</v>
      </c>
      <c r="C249" s="19" t="n">
        <v>9</v>
      </c>
      <c r="D249" s="19" t="n">
        <v>691.7</v>
      </c>
      <c r="E249" s="19" t="n">
        <v>13</v>
      </c>
      <c r="F249" s="19" t="n">
        <v>1180.3</v>
      </c>
      <c r="G249" s="8" t="n">
        <f aca="false">IFERROR(INDEX('TRANS'!$B:$B,MATCH($B249,'TRANS'!$A:$A,0)),IFERROR(INDEX('TRANS'!$B:$B,MATCH(TRIM(SUBSTITUTE($B249,CHAR(160)," ")),'TRANS'!$D:$D,0)),IFERROR(INDEX('Catalog'!$A:$A,MATCH($B249,'Catalog'!$B:$B,0)),IFERROR(INDEX('Catalog'!$A:$A,MATCH(TRIM(SUBSTITUTE($B249,CHAR(160)," ")),'Catalog'!$C:$C,0)),""))))</f>
        <v>4408250</v>
      </c>
      <c r="H249" s="8" t="str">
        <f aca="false">IFERROR(INDEX('TRANS'!$C:$C,MATCH($B249,'TRANS'!$A:$A,0)),IFERROR(INDEX('Catalog'!$B:$B,MATCH($G249,'Catalog'!$A:$A,0)),$B249))</f>
        <v>SC25 XL חבק יד</v>
      </c>
      <c r="I249" s="8" t="str">
        <f aca="false">IF($G249="","Unmatched","Matched")</f>
        <v>Matched</v>
      </c>
    </row>
    <row r="250" customFormat="false" ht="15" hidden="false" customHeight="false" outlineLevel="0" collapsed="false">
      <c r="A250" s="8" t="s">
        <v>51</v>
      </c>
      <c r="B250" s="8" t="s">
        <v>296</v>
      </c>
      <c r="C250" s="19" t="n">
        <v>2</v>
      </c>
      <c r="D250" s="19" t="n">
        <v>170.96</v>
      </c>
      <c r="E250" s="19" t="n">
        <v>0</v>
      </c>
      <c r="F250" s="19" t="n">
        <v>0</v>
      </c>
      <c r="G250" s="8" t="n">
        <f aca="false">IFERROR(INDEX('TRANS'!$B:$B,MATCH($B250,'TRANS'!$A:$A,0)),IFERROR(INDEX('TRANS'!$B:$B,MATCH(TRIM(SUBSTITUTE($B250,CHAR(160)," ")),'TRANS'!$D:$D,0)),IFERROR(INDEX('Catalog'!$A:$A,MATCH($B250,'Catalog'!$B:$B,0)),IFERROR(INDEX('Catalog'!$A:$A,MATCH(TRIM(SUBSTITUTE($B250,CHAR(160)," ")),'Catalog'!$C:$C,0)),""))))</f>
        <v>4413422</v>
      </c>
      <c r="H250" s="8" t="str">
        <f aca="false">IFERROR(INDEX('TRANS'!$C:$C,MATCH($B250,'TRANS'!$A:$A,0)),IFERROR(INDEX('Catalog'!$B:$B,MATCH($G250,'Catalog'!$A:$A,0)),$B250))</f>
        <v>SC35L  L מגן קרסול שמאל</v>
      </c>
      <c r="I250" s="8" t="str">
        <f aca="false">IF($G250="","Unmatched","Matched")</f>
        <v>Matched</v>
      </c>
    </row>
    <row r="251" customFormat="false" ht="15" hidden="false" customHeight="false" outlineLevel="0" collapsed="false">
      <c r="A251" s="8" t="s">
        <v>51</v>
      </c>
      <c r="B251" s="8" t="s">
        <v>297</v>
      </c>
      <c r="C251" s="19" t="n">
        <v>1</v>
      </c>
      <c r="D251" s="19" t="n">
        <v>77.29</v>
      </c>
      <c r="E251" s="19" t="n">
        <v>0</v>
      </c>
      <c r="F251" s="19" t="n">
        <v>0</v>
      </c>
      <c r="G251" s="8" t="n">
        <f aca="false">IFERROR(INDEX('TRANS'!$B:$B,MATCH($B251,'TRANS'!$A:$A,0)),IFERROR(INDEX('TRANS'!$B:$B,MATCH(TRIM(SUBSTITUTE($B251,CHAR(160)," ")),'TRANS'!$D:$D,0)),IFERROR(INDEX('Catalog'!$A:$A,MATCH($B251,'Catalog'!$B:$B,0)),IFERROR(INDEX('Catalog'!$A:$A,MATCH(TRIM(SUBSTITUTE($B251,CHAR(160)," ")),'Catalog'!$C:$C,0)),""))))</f>
        <v>4413423</v>
      </c>
      <c r="H251" s="8" t="str">
        <f aca="false">IFERROR(INDEX('TRANS'!$C:$C,MATCH($B251,'TRANS'!$A:$A,0)),IFERROR(INDEX('Catalog'!$B:$B,MATCH($G251,'Catalog'!$A:$A,0)),$B251))</f>
        <v>SC35L XL מגן קרסול שמאל</v>
      </c>
      <c r="I251" s="8" t="str">
        <f aca="false">IF($G251="","Unmatched","Matched")</f>
        <v>Matched</v>
      </c>
    </row>
    <row r="252" customFormat="false" ht="15" hidden="false" customHeight="false" outlineLevel="0" collapsed="false">
      <c r="A252" s="8" t="s">
        <v>51</v>
      </c>
      <c r="B252" s="8" t="s">
        <v>298</v>
      </c>
      <c r="C252" s="19" t="n">
        <v>2</v>
      </c>
      <c r="D252" s="19" t="n">
        <v>170.96</v>
      </c>
      <c r="E252" s="19" t="n">
        <v>1</v>
      </c>
      <c r="F252" s="19" t="n">
        <v>93.67</v>
      </c>
      <c r="G252" s="8" t="n">
        <f aca="false">IFERROR(INDEX('TRANS'!$B:$B,MATCH($B252,'TRANS'!$A:$A,0)),IFERROR(INDEX('TRANS'!$B:$B,MATCH(TRIM(SUBSTITUTE($B252,CHAR(160)," ")),'TRANS'!$D:$D,0)),IFERROR(INDEX('Catalog'!$A:$A,MATCH($B252,'Catalog'!$B:$B,0)),IFERROR(INDEX('Catalog'!$A:$A,MATCH(TRIM(SUBSTITUTE($B252,CHAR(160)," ")),'Catalog'!$C:$C,0)),""))))</f>
        <v>4413426</v>
      </c>
      <c r="H252" s="8" t="str">
        <f aca="false">IFERROR(INDEX('TRANS'!$C:$C,MATCH($B252,'TRANS'!$A:$A,0)),IFERROR(INDEX('Catalog'!$B:$B,MATCH($G252,'Catalog'!$A:$A,0)),$B252))</f>
        <v>SC35R  L מגן קרסול ימין</v>
      </c>
      <c r="I252" s="8" t="str">
        <f aca="false">IF($G252="","Unmatched","Matched")</f>
        <v>Matched</v>
      </c>
    </row>
    <row r="253" customFormat="false" ht="15" hidden="false" customHeight="false" outlineLevel="0" collapsed="false">
      <c r="A253" s="8" t="s">
        <v>51</v>
      </c>
      <c r="B253" s="8" t="s">
        <v>299</v>
      </c>
      <c r="C253" s="19" t="n">
        <v>6</v>
      </c>
      <c r="D253" s="19" t="n">
        <v>446</v>
      </c>
      <c r="E253" s="19" t="n">
        <v>0</v>
      </c>
      <c r="F253" s="19" t="n">
        <v>0</v>
      </c>
      <c r="G253" s="8" t="n">
        <f aca="false">IFERROR(INDEX('TRANS'!$B:$B,MATCH($B253,'TRANS'!$A:$A,0)),IFERROR(INDEX('TRANS'!$B:$B,MATCH(TRIM(SUBSTITUTE($B253,CHAR(160)," ")),'TRANS'!$D:$D,0)),IFERROR(INDEX('Catalog'!$A:$A,MATCH($B253,'Catalog'!$B:$B,0)),IFERROR(INDEX('Catalog'!$A:$A,MATCH(TRIM(SUBSTITUTE($B253,CHAR(160)," ")),'Catalog'!$C:$C,0)),""))))</f>
        <v>4413425</v>
      </c>
      <c r="H253" s="8" t="str">
        <f aca="false">IFERROR(INDEX('TRANS'!$C:$C,MATCH($B253,'TRANS'!$A:$A,0)),IFERROR(INDEX('Catalog'!$B:$B,MATCH($G253,'Catalog'!$A:$A,0)),$B253))</f>
        <v>SC35R  M מגן קרסול ימין</v>
      </c>
      <c r="I253" s="8" t="str">
        <f aca="false">IF($G253="","Unmatched","Matched")</f>
        <v>Matched</v>
      </c>
    </row>
    <row r="254" customFormat="false" ht="15" hidden="false" customHeight="false" outlineLevel="0" collapsed="false">
      <c r="A254" s="8" t="s">
        <v>51</v>
      </c>
      <c r="B254" s="8" t="s">
        <v>300</v>
      </c>
      <c r="C254" s="19" t="n">
        <v>1</v>
      </c>
      <c r="D254" s="19" t="n">
        <v>93.68</v>
      </c>
      <c r="E254" s="19" t="n">
        <v>0</v>
      </c>
      <c r="F254" s="19" t="n">
        <v>0</v>
      </c>
      <c r="G254" s="8" t="n">
        <f aca="false">IFERROR(INDEX('TRANS'!$B:$B,MATCH($B254,'TRANS'!$A:$A,0)),IFERROR(INDEX('TRANS'!$B:$B,MATCH(TRIM(SUBSTITUTE($B254,CHAR(160)," ")),'TRANS'!$D:$D,0)),IFERROR(INDEX('Catalog'!$A:$A,MATCH($B254,'Catalog'!$B:$B,0)),IFERROR(INDEX('Catalog'!$A:$A,MATCH(TRIM(SUBSTITUTE($B254,CHAR(160)," ")),'Catalog'!$C:$C,0)),""))))</f>
        <v>4413424</v>
      </c>
      <c r="H254" s="8" t="str">
        <f aca="false">IFERROR(INDEX('TRANS'!$C:$C,MATCH($B254,'TRANS'!$A:$A,0)),IFERROR(INDEX('Catalog'!$B:$B,MATCH($G254,'Catalog'!$A:$A,0)),$B254))</f>
        <v>SC35R  S מגן קרסול ימין</v>
      </c>
      <c r="I254" s="8" t="str">
        <f aca="false">IF($G254="","Unmatched","Matched")</f>
        <v>Matched</v>
      </c>
    </row>
    <row r="255" customFormat="false" ht="15" hidden="false" customHeight="false" outlineLevel="0" collapsed="false">
      <c r="A255" s="8" t="s">
        <v>51</v>
      </c>
      <c r="B255" s="8" t="s">
        <v>301</v>
      </c>
      <c r="C255" s="19" t="n">
        <v>11</v>
      </c>
      <c r="D255" s="19" t="n">
        <v>1590.62</v>
      </c>
      <c r="E255" s="19" t="n">
        <v>0</v>
      </c>
      <c r="F255" s="19" t="n">
        <v>0</v>
      </c>
      <c r="G255" s="8" t="n">
        <f aca="false">IFERROR(INDEX('TRANS'!$B:$B,MATCH($B255,'TRANS'!$A:$A,0)),IFERROR(INDEX('TRANS'!$B:$B,MATCH(TRIM(SUBSTITUTE($B255,CHAR(160)," ")),'TRANS'!$D:$D,0)),IFERROR(INDEX('Catalog'!$A:$A,MATCH($B255,'Catalog'!$B:$B,0)),IFERROR(INDEX('Catalog'!$A:$A,MATCH(TRIM(SUBSTITUTE($B255,CHAR(160)," ")),'Catalog'!$C:$C,0)),""))))</f>
        <v>4413416</v>
      </c>
      <c r="H255" s="8" t="str">
        <f aca="false">IFERROR(INDEX('TRANS'!$C:$C,MATCH($B255,'TRANS'!$A:$A,0)),IFERROR(INDEX('Catalog'!$B:$B,MATCH($G255,'Catalog'!$A:$A,0)),$B255))</f>
        <v>SC39  M מגן שוק</v>
      </c>
      <c r="I255" s="8" t="str">
        <f aca="false">IF($G255="","Unmatched","Matched")</f>
        <v>Matched</v>
      </c>
    </row>
    <row r="256" customFormat="false" ht="15" hidden="false" customHeight="false" outlineLevel="0" collapsed="false">
      <c r="A256" s="8" t="s">
        <v>51</v>
      </c>
      <c r="B256" s="8" t="s">
        <v>302</v>
      </c>
      <c r="C256" s="19" t="n">
        <v>11</v>
      </c>
      <c r="D256" s="19" t="n">
        <v>1266.8</v>
      </c>
      <c r="E256" s="19" t="n">
        <v>3</v>
      </c>
      <c r="F256" s="19" t="n">
        <v>365.49</v>
      </c>
      <c r="G256" s="8" t="n">
        <f aca="false">IFERROR(INDEX('TRANS'!$B:$B,MATCH($B256,'TRANS'!$A:$A,0)),IFERROR(INDEX('TRANS'!$B:$B,MATCH(TRIM(SUBSTITUTE($B256,CHAR(160)," ")),'TRANS'!$D:$D,0)),IFERROR(INDEX('Catalog'!$A:$A,MATCH($B256,'Catalog'!$B:$B,0)),IFERROR(INDEX('Catalog'!$A:$A,MATCH(TRIM(SUBSTITUTE($B256,CHAR(160)," ")),'Catalog'!$C:$C,0)),""))))</f>
        <v>4413439</v>
      </c>
      <c r="H256" s="8" t="str">
        <f aca="false">IFERROR(INDEX('TRANS'!$C:$C,MATCH($B256,'TRANS'!$A:$A,0)),IFERROR(INDEX('Catalog'!$B:$B,MATCH($G256,'Catalog'!$A:$A,0)),$B256))</f>
        <v>SC422  M מגן ברך</v>
      </c>
      <c r="I256" s="8" t="str">
        <f aca="false">IF($G256="","Unmatched","Matched")</f>
        <v>Matched</v>
      </c>
    </row>
    <row r="257" customFormat="false" ht="15" hidden="false" customHeight="false" outlineLevel="0" collapsed="false">
      <c r="A257" s="8" t="s">
        <v>51</v>
      </c>
      <c r="B257" s="8" t="s">
        <v>303</v>
      </c>
      <c r="C257" s="19" t="n">
        <v>1</v>
      </c>
      <c r="D257" s="19" t="n">
        <v>140.57</v>
      </c>
      <c r="E257" s="19" t="n">
        <v>1</v>
      </c>
      <c r="F257" s="19" t="n">
        <v>140.57</v>
      </c>
      <c r="G257" s="8" t="n">
        <f aca="false">IFERROR(INDEX('TRANS'!$B:$B,MATCH($B257,'TRANS'!$A:$A,0)),IFERROR(INDEX('TRANS'!$B:$B,MATCH(TRIM(SUBSTITUTE($B257,CHAR(160)," ")),'TRANS'!$D:$D,0)),IFERROR(INDEX('Catalog'!$A:$A,MATCH($B257,'Catalog'!$B:$B,0)),IFERROR(INDEX('Catalog'!$A:$A,MATCH(TRIM(SUBSTITUTE($B257,CHAR(160)," ")),'Catalog'!$C:$C,0)),""))))</f>
        <v>4413442</v>
      </c>
      <c r="H257" s="8" t="str">
        <f aca="false">IFERROR(INDEX('TRANS'!$C:$C,MATCH($B257,'TRANS'!$A:$A,0)),IFERROR(INDEX('Catalog'!$B:$B,MATCH($G257,'Catalog'!$A:$A,0)),$B257))</f>
        <v>SC422 XXLמגן ברך</v>
      </c>
      <c r="I257" s="8" t="str">
        <f aca="false">IF($G257="","Unmatched","Matched")</f>
        <v>Matched</v>
      </c>
    </row>
    <row r="258" customFormat="false" ht="15" hidden="false" customHeight="false" outlineLevel="0" collapsed="false">
      <c r="A258" s="8" t="s">
        <v>51</v>
      </c>
      <c r="B258" s="8" t="s">
        <v>304</v>
      </c>
      <c r="C258" s="19" t="n">
        <v>7</v>
      </c>
      <c r="D258" s="19" t="n">
        <v>482.11</v>
      </c>
      <c r="E258" s="19" t="n">
        <v>0</v>
      </c>
      <c r="F258" s="19" t="n">
        <v>0</v>
      </c>
      <c r="G258" s="8" t="n">
        <f aca="false">IFERROR(INDEX('TRANS'!$B:$B,MATCH($B258,'TRANS'!$A:$A,0)),IFERROR(INDEX('TRANS'!$B:$B,MATCH(TRIM(SUBSTITUTE($B258,CHAR(160)," ")),'TRANS'!$D:$D,0)),IFERROR(INDEX('Catalog'!$A:$A,MATCH($B258,'Catalog'!$B:$B,0)),IFERROR(INDEX('Catalog'!$A:$A,MATCH(TRIM(SUBSTITUTE($B258,CHAR(160)," ")),'Catalog'!$C:$C,0)),""))))</f>
        <v>4413407</v>
      </c>
      <c r="H258" s="8" t="str">
        <f aca="false">IFERROR(INDEX('TRANS'!$C:$C,MATCH($B258,'TRANS'!$A:$A,0)),IFERROR(INDEX('Catalog'!$B:$B,MATCH($G258,'Catalog'!$A:$A,0)),$B258))</f>
        <v>SC95 L מגן מרפק</v>
      </c>
      <c r="I258" s="8" t="str">
        <f aca="false">IF($G258="","Unmatched","Matched")</f>
        <v>Matched</v>
      </c>
    </row>
    <row r="259" customFormat="false" ht="15" hidden="false" customHeight="false" outlineLevel="0" collapsed="false">
      <c r="A259" s="8" t="s">
        <v>51</v>
      </c>
      <c r="B259" s="8" t="s">
        <v>305</v>
      </c>
      <c r="C259" s="19" t="n">
        <v>4</v>
      </c>
      <c r="D259" s="19" t="n">
        <v>309.19</v>
      </c>
      <c r="E259" s="19" t="n">
        <v>0</v>
      </c>
      <c r="F259" s="19" t="n">
        <v>0</v>
      </c>
      <c r="G259" s="8" t="n">
        <f aca="false">IFERROR(INDEX('TRANS'!$B:$B,MATCH($B259,'TRANS'!$A:$A,0)),IFERROR(INDEX('TRANS'!$B:$B,MATCH(TRIM(SUBSTITUTE($B259,CHAR(160)," ")),'TRANS'!$D:$D,0)),IFERROR(INDEX('Catalog'!$A:$A,MATCH($B259,'Catalog'!$B:$B,0)),IFERROR(INDEX('Catalog'!$A:$A,MATCH(TRIM(SUBSTITUTE($B259,CHAR(160)," ")),'Catalog'!$C:$C,0)),""))))</f>
        <v>4413406</v>
      </c>
      <c r="H259" s="8" t="str">
        <f aca="false">IFERROR(INDEX('TRANS'!$C:$C,MATCH($B259,'TRANS'!$A:$A,0)),IFERROR(INDEX('Catalog'!$B:$B,MATCH($G259,'Catalog'!$A:$A,0)),$B259))</f>
        <v>SC95 M מגן מרפק</v>
      </c>
      <c r="I259" s="8" t="str">
        <f aca="false">IF($G259="","Unmatched","Matched")</f>
        <v>Matched</v>
      </c>
    </row>
    <row r="260" customFormat="false" ht="15" hidden="false" customHeight="false" outlineLevel="0" collapsed="false">
      <c r="A260" s="8" t="s">
        <v>51</v>
      </c>
      <c r="B260" s="8" t="s">
        <v>306</v>
      </c>
      <c r="C260" s="19" t="n">
        <v>9</v>
      </c>
      <c r="D260" s="19" t="n">
        <v>740.36</v>
      </c>
      <c r="E260" s="19" t="n">
        <v>-1</v>
      </c>
      <c r="F260" s="19" t="n">
        <v>-93.67</v>
      </c>
      <c r="G260" s="8" t="n">
        <f aca="false">IFERROR(INDEX('TRANS'!$B:$B,MATCH($B260,'TRANS'!$A:$A,0)),IFERROR(INDEX('TRANS'!$B:$B,MATCH(TRIM(SUBSTITUTE($B260,CHAR(160)," ")),'TRANS'!$D:$D,0)),IFERROR(INDEX('Catalog'!$A:$A,MATCH($B260,'Catalog'!$B:$B,0)),IFERROR(INDEX('Catalog'!$A:$A,MATCH(TRIM(SUBSTITUTE($B260,CHAR(160)," ")),'Catalog'!$C:$C,0)),""))))</f>
        <v>4413405</v>
      </c>
      <c r="H260" s="8" t="str">
        <f aca="false">IFERROR(INDEX('TRANS'!$C:$C,MATCH($B260,'TRANS'!$A:$A,0)),IFERROR(INDEX('Catalog'!$B:$B,MATCH($G260,'Catalog'!$A:$A,0)),$B260))</f>
        <v>SC95 S מגן מרפק</v>
      </c>
      <c r="I260" s="8" t="str">
        <f aca="false">IF($G260="","Unmatched","Matched")</f>
        <v>Matched</v>
      </c>
    </row>
    <row r="261" customFormat="false" ht="15" hidden="false" customHeight="false" outlineLevel="0" collapsed="false">
      <c r="A261" s="8" t="s">
        <v>51</v>
      </c>
      <c r="B261" s="8" t="s">
        <v>307</v>
      </c>
      <c r="C261" s="19" t="n">
        <v>0</v>
      </c>
      <c r="D261" s="19" t="n">
        <v>0</v>
      </c>
      <c r="E261" s="19" t="n">
        <v>2</v>
      </c>
      <c r="F261" s="19" t="n">
        <v>164.02</v>
      </c>
      <c r="G261" s="8" t="n">
        <f aca="false">IFERROR(INDEX('TRANS'!$B:$B,MATCH($B261,'TRANS'!$A:$A,0)),IFERROR(INDEX('TRANS'!$B:$B,MATCH(TRIM(SUBSTITUTE($B261,CHAR(160)," ")),'TRANS'!$D:$D,0)),IFERROR(INDEX('Catalog'!$A:$A,MATCH($B261,'Catalog'!$B:$B,0)),IFERROR(INDEX('Catalog'!$A:$A,MATCH(TRIM(SUBSTITUTE($B261,CHAR(160)," ")),'Catalog'!$C:$C,0)),""))))</f>
        <v>4413534</v>
      </c>
      <c r="H261" s="8" t="str">
        <f aca="false">IFERROR(INDEX('TRANS'!$C:$C,MATCH($B261,'TRANS'!$A:$A,0)),IFERROR(INDEX('Catalog'!$B:$B,MATCH($G261,'Catalog'!$A:$A,0)),$B261))</f>
        <v>SH333 מקבע קרסול</v>
      </c>
      <c r="I261" s="8" t="str">
        <f aca="false">IF($G261="","Unmatched","Matched")</f>
        <v>Matched</v>
      </c>
    </row>
    <row r="262" customFormat="false" ht="15" hidden="false" customHeight="false" outlineLevel="0" collapsed="false">
      <c r="A262" s="8" t="s">
        <v>51</v>
      </c>
      <c r="B262" s="8" t="s">
        <v>308</v>
      </c>
      <c r="C262" s="19" t="n">
        <v>4</v>
      </c>
      <c r="D262" s="19" t="n">
        <v>943.6</v>
      </c>
      <c r="E262" s="19" t="n">
        <v>1</v>
      </c>
      <c r="F262" s="19" t="n">
        <v>210.89</v>
      </c>
      <c r="G262" s="8" t="n">
        <f aca="false">IFERROR(INDEX('TRANS'!$B:$B,MATCH($B262,'TRANS'!$A:$A,0)),IFERROR(INDEX('TRANS'!$B:$B,MATCH(TRIM(SUBSTITUTE($B262,CHAR(160)," ")),'TRANS'!$D:$D,0)),IFERROR(INDEX('Catalog'!$A:$A,MATCH($B262,'Catalog'!$B:$B,0)),IFERROR(INDEX('Catalog'!$A:$A,MATCH(TRIM(SUBSTITUTE($B262,CHAR(160)," ")),'Catalog'!$C:$C,0)),""))))</f>
        <v>4422041</v>
      </c>
      <c r="H262" s="8" t="str">
        <f aca="false">IFERROR(INDEX('TRANS'!$C:$C,MATCH($B262,'TRANS'!$A:$A,0)),IFERROR(INDEX('Catalog'!$B:$B,MATCH($G262,'Catalog'!$A:$A,0)),$B262))</f>
        <v>SH422 5 תומך ברך גנושילד</v>
      </c>
      <c r="I262" s="8" t="str">
        <f aca="false">IF($G262="","Unmatched","Matched")</f>
        <v>Matched</v>
      </c>
    </row>
    <row r="263" customFormat="false" ht="15" hidden="false" customHeight="false" outlineLevel="0" collapsed="false">
      <c r="A263" s="8" t="s">
        <v>51</v>
      </c>
      <c r="B263" s="8" t="s">
        <v>309</v>
      </c>
      <c r="C263" s="19" t="n">
        <v>18</v>
      </c>
      <c r="D263" s="19" t="n">
        <v>1385.33</v>
      </c>
      <c r="E263" s="19" t="n">
        <v>8</v>
      </c>
      <c r="F263" s="19" t="n">
        <v>520.01</v>
      </c>
      <c r="G263" s="8" t="n">
        <f aca="false">IFERROR(INDEX('TRANS'!$B:$B,MATCH($B263,'TRANS'!$A:$A,0)),IFERROR(INDEX('TRANS'!$B:$B,MATCH(TRIM(SUBSTITUTE($B263,CHAR(160)," ")),'TRANS'!$D:$D,0)),IFERROR(INDEX('Catalog'!$A:$A,MATCH($B263,'Catalog'!$B:$B,0)),IFERROR(INDEX('Catalog'!$A:$A,MATCH(TRIM(SUBSTITUTE($B263,CHAR(160)," ")),'Catalog'!$C:$C,0)),""))))</f>
        <v>4403035</v>
      </c>
      <c r="H263" s="8" t="str">
        <f aca="false">IFERROR(INDEX('TRANS'!$C:$C,MATCH($B263,'TRANS'!$A:$A,0)),IFERROR(INDEX('Catalog'!$B:$B,MATCH($G263,'Catalog'!$A:$A,0)),$B263))</f>
        <v>ST3555L-XLגרב לילה לטיפ.בדורבן</v>
      </c>
      <c r="I263" s="8" t="str">
        <f aca="false">IF($G263="","Unmatched","Matched")</f>
        <v>Matched</v>
      </c>
    </row>
    <row r="264" customFormat="false" ht="15" hidden="false" customHeight="false" outlineLevel="0" collapsed="false">
      <c r="A264" s="8" t="s">
        <v>51</v>
      </c>
      <c r="B264" s="8" t="s">
        <v>310</v>
      </c>
      <c r="C264" s="19" t="n">
        <v>17</v>
      </c>
      <c r="D264" s="19" t="n">
        <v>1296.07</v>
      </c>
      <c r="E264" s="19" t="n">
        <v>8</v>
      </c>
      <c r="F264" s="19" t="n">
        <v>520.02</v>
      </c>
      <c r="G264" s="8" t="n">
        <f aca="false">IFERROR(INDEX('TRANS'!$B:$B,MATCH($B264,'TRANS'!$A:$A,0)),IFERROR(INDEX('TRANS'!$B:$B,MATCH(TRIM(SUBSTITUTE($B264,CHAR(160)," ")),'TRANS'!$D:$D,0)),IFERROR(INDEX('Catalog'!$A:$A,MATCH($B264,'Catalog'!$B:$B,0)),IFERROR(INDEX('Catalog'!$A:$A,MATCH(TRIM(SUBSTITUTE($B264,CHAR(160)," ")),'Catalog'!$C:$C,0)),""))))</f>
        <v>4403034</v>
      </c>
      <c r="H264" s="8" t="str">
        <f aca="false">IFERROR(INDEX('TRANS'!$C:$C,MATCH($B264,'TRANS'!$A:$A,0)),IFERROR(INDEX('Catalog'!$B:$B,MATCH($G264,'Catalog'!$A:$A,0)),$B264))</f>
        <v>ST3555 S-Mגרב לילה לטיפ.בדורבן</v>
      </c>
      <c r="I264" s="8" t="str">
        <f aca="false">IF($G264="","Unmatched","Matched")</f>
        <v>Matched</v>
      </c>
    </row>
    <row r="265" customFormat="false" ht="15" hidden="false" customHeight="false" outlineLevel="0" collapsed="false">
      <c r="A265" s="8" t="s">
        <v>51</v>
      </c>
      <c r="B265" s="8" t="s">
        <v>311</v>
      </c>
      <c r="C265" s="19" t="n">
        <v>1</v>
      </c>
      <c r="D265" s="19" t="n">
        <v>111.04</v>
      </c>
      <c r="E265" s="19" t="n">
        <v>2</v>
      </c>
      <c r="F265" s="19" t="n">
        <v>222.08</v>
      </c>
      <c r="G265" s="8" t="str">
        <f aca="false">IFERROR(INDEX('TRANS'!$B:$B,MATCH($B265,'TRANS'!$A:$A,0)),IFERROR(INDEX('TRANS'!$B:$B,MATCH(TRIM(SUBSTITUTE($B265,CHAR(160)," ")),'TRANS'!$D:$D,0)),IFERROR(INDEX('Catalog'!$A:$A,MATCH($B265,'Catalog'!$B:$B,0)),IFERROR(INDEX('Catalog'!$A:$A,MATCH(TRIM(SUBSTITUTE($B265,CHAR(160)," ")),'Catalog'!$C:$C,0)),""))))</f>
        <v/>
      </c>
      <c r="H265" s="8" t="str">
        <f aca="false">IFERROR(INDEX('TRANS'!$C:$C,MATCH($B265,'TRANS'!$A:$A,0)),IFERROR(INDEX('Catalog'!$B:$B,MATCH($G265,'Catalog'!$A:$A,0)),$B265))</f>
        <v>T03 L</v>
      </c>
      <c r="I265" s="8" t="str">
        <f aca="false">IF($G265="","Unmatched","Matched")</f>
        <v>Unmatched</v>
      </c>
    </row>
    <row r="266" customFormat="false" ht="15" hidden="false" customHeight="false" outlineLevel="0" collapsed="false">
      <c r="A266" s="8" t="s">
        <v>51</v>
      </c>
      <c r="B266" s="8" t="s">
        <v>312</v>
      </c>
      <c r="C266" s="19" t="n">
        <v>2</v>
      </c>
      <c r="D266" s="19" t="n">
        <v>222.08</v>
      </c>
      <c r="E266" s="19" t="n">
        <v>1</v>
      </c>
      <c r="F266" s="19" t="n">
        <v>111.04</v>
      </c>
      <c r="G266" s="8" t="str">
        <f aca="false">IFERROR(INDEX('TRANS'!$B:$B,MATCH($B266,'TRANS'!$A:$A,0)),IFERROR(INDEX('TRANS'!$B:$B,MATCH(TRIM(SUBSTITUTE($B266,CHAR(160)," ")),'TRANS'!$D:$D,0)),IFERROR(INDEX('Catalog'!$A:$A,MATCH($B266,'Catalog'!$B:$B,0)),IFERROR(INDEX('Catalog'!$A:$A,MATCH(TRIM(SUBSTITUTE($B266,CHAR(160)," ")),'Catalog'!$C:$C,0)),""))))</f>
        <v/>
      </c>
      <c r="H266" s="8" t="str">
        <f aca="false">IFERROR(INDEX('TRANS'!$C:$C,MATCH($B266,'TRANS'!$A:$A,0)),IFERROR(INDEX('Catalog'!$B:$B,MATCH($G266,'Catalog'!$A:$A,0)),$B266))</f>
        <v>T03 M</v>
      </c>
      <c r="I266" s="8" t="str">
        <f aca="false">IF($G266="","Unmatched","Matched")</f>
        <v>Unmatched</v>
      </c>
    </row>
    <row r="267" customFormat="false" ht="15" hidden="false" customHeight="false" outlineLevel="0" collapsed="false">
      <c r="A267" s="8" t="s">
        <v>51</v>
      </c>
      <c r="B267" s="8" t="s">
        <v>313</v>
      </c>
      <c r="C267" s="19" t="n">
        <v>1</v>
      </c>
      <c r="D267" s="19" t="n">
        <v>111.04</v>
      </c>
      <c r="E267" s="19" t="n">
        <v>1</v>
      </c>
      <c r="F267" s="19" t="n">
        <v>111.04</v>
      </c>
      <c r="G267" s="8" t="str">
        <f aca="false">IFERROR(INDEX('TRANS'!$B:$B,MATCH($B267,'TRANS'!$A:$A,0)),IFERROR(INDEX('TRANS'!$B:$B,MATCH(TRIM(SUBSTITUTE($B267,CHAR(160)," ")),'TRANS'!$D:$D,0)),IFERROR(INDEX('Catalog'!$A:$A,MATCH($B267,'Catalog'!$B:$B,0)),IFERROR(INDEX('Catalog'!$A:$A,MATCH(TRIM(SUBSTITUTE($B267,CHAR(160)," ")),'Catalog'!$C:$C,0)),""))))</f>
        <v/>
      </c>
      <c r="H267" s="8" t="str">
        <f aca="false">IFERROR(INDEX('TRANS'!$C:$C,MATCH($B267,'TRANS'!$A:$A,0)),IFERROR(INDEX('Catalog'!$B:$B,MATCH($G267,'Catalog'!$A:$A,0)),$B267))</f>
        <v>T03 XXL</v>
      </c>
      <c r="I267" s="8" t="str">
        <f aca="false">IF($G267="","Unmatched","Matched")</f>
        <v>Unmatched</v>
      </c>
    </row>
    <row r="268" customFormat="false" ht="15" hidden="false" customHeight="false" outlineLevel="0" collapsed="false">
      <c r="A268" s="8" t="s">
        <v>51</v>
      </c>
      <c r="B268" s="8" t="s">
        <v>314</v>
      </c>
      <c r="C268" s="19" t="n">
        <v>3</v>
      </c>
      <c r="D268" s="19" t="n">
        <v>283.89</v>
      </c>
      <c r="E268" s="19" t="n">
        <v>0</v>
      </c>
      <c r="F268" s="19" t="n">
        <v>0</v>
      </c>
      <c r="G268" s="8" t="n">
        <f aca="false">IFERROR(INDEX('TRANS'!$B:$B,MATCH($B268,'TRANS'!$A:$A,0)),IFERROR(INDEX('TRANS'!$B:$B,MATCH(TRIM(SUBSTITUTE($B268,CHAR(160)," ")),'TRANS'!$D:$D,0)),IFERROR(INDEX('Catalog'!$A:$A,MATCH($B268,'Catalog'!$B:$B,0)),IFERROR(INDEX('Catalog'!$A:$A,MATCH(TRIM(SUBSTITUTE($B268,CHAR(160)," ")),'Catalog'!$C:$C,0)),""))))</f>
        <v>4408092</v>
      </c>
      <c r="H268" s="8" t="str">
        <f aca="false">IFERROR(INDEX('TRANS'!$C:$C,MATCH($B268,'TRANS'!$A:$A,0)),IFERROR(INDEX('Catalog'!$B:$B,MATCH($G268,'Catalog'!$A:$A,0)),$B268))</f>
        <v>T11C XL חגורת גב פוג'יאמה</v>
      </c>
      <c r="I268" s="8" t="str">
        <f aca="false">IF($G268="","Unmatched","Matched")</f>
        <v>Matched</v>
      </c>
    </row>
    <row r="269" customFormat="false" ht="15" hidden="false" customHeight="false" outlineLevel="0" collapsed="false">
      <c r="A269" s="8" t="s">
        <v>51</v>
      </c>
      <c r="B269" s="8" t="s">
        <v>315</v>
      </c>
      <c r="C269" s="19" t="n">
        <v>2</v>
      </c>
      <c r="D269" s="19" t="n">
        <v>71.14</v>
      </c>
      <c r="E269" s="19" t="n">
        <v>0</v>
      </c>
      <c r="F269" s="19" t="n">
        <v>0</v>
      </c>
      <c r="G269" s="8" t="n">
        <f aca="false">IFERROR(INDEX('TRANS'!$B:$B,MATCH($B269,'TRANS'!$A:$A,0)),IFERROR(INDEX('TRANS'!$B:$B,MATCH(TRIM(SUBSTITUTE($B269,CHAR(160)," ")),'TRANS'!$D:$D,0)),IFERROR(INDEX('Catalog'!$A:$A,MATCH($B269,'Catalog'!$B:$B,0)),IFERROR(INDEX('Catalog'!$A:$A,MATCH(TRIM(SUBSTITUTE($B269,CHAR(160)," ")),'Catalog'!$C:$C,0)),""))))</f>
        <v>4408095</v>
      </c>
      <c r="H269" s="8" t="str">
        <f aca="false">IFERROR(INDEX('TRANS'!$C:$C,MATCH($B269,'TRANS'!$A:$A,0)),IFERROR(INDEX('Catalog'!$B:$B,MATCH($G269,'Catalog'!$A:$A,0)),$B269))</f>
        <v>T20 L-XL  חבק יד עם צמדן</v>
      </c>
      <c r="I269" s="8" t="str">
        <f aca="false">IF($G269="","Unmatched","Matched")</f>
        <v>Matched</v>
      </c>
    </row>
    <row r="270" customFormat="false" ht="15" hidden="false" customHeight="false" outlineLevel="0" collapsed="false">
      <c r="A270" s="8" t="s">
        <v>51</v>
      </c>
      <c r="B270" s="8" t="s">
        <v>316</v>
      </c>
      <c r="C270" s="19" t="n">
        <v>3</v>
      </c>
      <c r="D270" s="19" t="n">
        <v>106.72</v>
      </c>
      <c r="E270" s="19" t="n">
        <v>0</v>
      </c>
      <c r="F270" s="19" t="n">
        <v>0</v>
      </c>
      <c r="G270" s="8" t="n">
        <f aca="false">IFERROR(INDEX('TRANS'!$B:$B,MATCH($B270,'TRANS'!$A:$A,0)),IFERROR(INDEX('TRANS'!$B:$B,MATCH(TRIM(SUBSTITUTE($B270,CHAR(160)," ")),'TRANS'!$D:$D,0)),IFERROR(INDEX('Catalog'!$A:$A,MATCH($B270,'Catalog'!$B:$B,0)),IFERROR(INDEX('Catalog'!$A:$A,MATCH(TRIM(SUBSTITUTE($B270,CHAR(160)," ")),'Catalog'!$C:$C,0)),""))))</f>
        <v>4408097</v>
      </c>
      <c r="H270" s="8" t="str">
        <f aca="false">IFERROR(INDEX('TRANS'!$C:$C,MATCH($B270,'TRANS'!$A:$A,0)),IFERROR(INDEX('Catalog'!$B:$B,MATCH($G270,'Catalog'!$A:$A,0)),$B270))</f>
        <v>T20C L-XL חבק יד עם צמדן חום</v>
      </c>
      <c r="I270" s="8" t="str">
        <f aca="false">IF($G270="","Unmatched","Matched")</f>
        <v>Matched</v>
      </c>
    </row>
    <row r="271" customFormat="false" ht="15" hidden="false" customHeight="false" outlineLevel="0" collapsed="false">
      <c r="A271" s="8" t="s">
        <v>51</v>
      </c>
      <c r="B271" s="8" t="s">
        <v>317</v>
      </c>
      <c r="C271" s="19" t="n">
        <v>4</v>
      </c>
      <c r="D271" s="19" t="n">
        <v>141.95</v>
      </c>
      <c r="E271" s="19" t="n">
        <v>0</v>
      </c>
      <c r="F271" s="19" t="n">
        <v>0</v>
      </c>
      <c r="G271" s="8" t="n">
        <f aca="false">IFERROR(INDEX('TRANS'!$B:$B,MATCH($B271,'TRANS'!$A:$A,0)),IFERROR(INDEX('TRANS'!$B:$B,MATCH(TRIM(SUBSTITUTE($B271,CHAR(160)," ")),'TRANS'!$D:$D,0)),IFERROR(INDEX('Catalog'!$A:$A,MATCH($B271,'Catalog'!$B:$B,0)),IFERROR(INDEX('Catalog'!$A:$A,MATCH(TRIM(SUBSTITUTE($B271,CHAR(160)," ")),'Catalog'!$C:$C,0)),""))))</f>
        <v>4408096</v>
      </c>
      <c r="H271" s="8" t="str">
        <f aca="false">IFERROR(INDEX('TRANS'!$C:$C,MATCH($B271,'TRANS'!$A:$A,0)),IFERROR(INDEX('Catalog'!$B:$B,MATCH($G271,'Catalog'!$A:$A,0)),$B271))</f>
        <v>T20C S-M חבק יד עם צמדןחום</v>
      </c>
      <c r="I271" s="8" t="str">
        <f aca="false">IF($G271="","Unmatched","Matched")</f>
        <v>Matched</v>
      </c>
    </row>
    <row r="272" customFormat="false" ht="15" hidden="false" customHeight="false" outlineLevel="0" collapsed="false">
      <c r="A272" s="8" t="s">
        <v>51</v>
      </c>
      <c r="B272" s="8" t="s">
        <v>318</v>
      </c>
      <c r="C272" s="19" t="n">
        <v>10</v>
      </c>
      <c r="D272" s="19" t="n">
        <v>522.98</v>
      </c>
      <c r="E272" s="19" t="n">
        <v>1</v>
      </c>
      <c r="F272" s="19" t="n">
        <v>0.01</v>
      </c>
      <c r="G272" s="8" t="n">
        <f aca="false">IFERROR(INDEX('TRANS'!$B:$B,MATCH($B272,'TRANS'!$A:$A,0)),IFERROR(INDEX('TRANS'!$B:$B,MATCH(TRIM(SUBSTITUTE($B272,CHAR(160)," ")),'TRANS'!$D:$D,0)),IFERROR(INDEX('Catalog'!$A:$A,MATCH($B272,'Catalog'!$B:$B,0)),IFERROR(INDEX('Catalog'!$A:$A,MATCH(TRIM(SUBSTITUTE($B272,CHAR(160)," ")),'Catalog'!$C:$C,0)),""))))</f>
        <v>4408098</v>
      </c>
      <c r="H272" s="8" t="str">
        <f aca="false">IFERROR(INDEX('TRANS'!$C:$C,MATCH($B272,'TRANS'!$A:$A,0)),IFERROR(INDEX('Catalog'!$B:$B,MATCH($G272,'Catalog'!$A:$A,0)),$B272))</f>
        <v>T25-חבק יד אגודלי</v>
      </c>
      <c r="I272" s="8" t="str">
        <f aca="false">IF($G272="","Unmatched","Matched")</f>
        <v>Matched</v>
      </c>
    </row>
    <row r="273" customFormat="false" ht="15" hidden="false" customHeight="false" outlineLevel="0" collapsed="false">
      <c r="A273" s="8" t="s">
        <v>51</v>
      </c>
      <c r="B273" s="8" t="s">
        <v>319</v>
      </c>
      <c r="C273" s="19" t="n">
        <v>1</v>
      </c>
      <c r="D273" s="19" t="n">
        <v>70.86</v>
      </c>
      <c r="E273" s="19" t="n">
        <v>0</v>
      </c>
      <c r="F273" s="19" t="n">
        <v>0</v>
      </c>
      <c r="G273" s="8" t="str">
        <f aca="false">IFERROR(INDEX('TRANS'!$B:$B,MATCH($B273,'TRANS'!$A:$A,0)),IFERROR(INDEX('TRANS'!$B:$B,MATCH(TRIM(SUBSTITUTE($B273,CHAR(160)," ")),'TRANS'!$D:$D,0)),IFERROR(INDEX('Catalog'!$A:$A,MATCH($B273,'Catalog'!$B:$B,0)),IFERROR(INDEX('Catalog'!$A:$A,MATCH(TRIM(SUBSTITUTE($B273,CHAR(160)," ")),'Catalog'!$C:$C,0)),""))))</f>
        <v/>
      </c>
      <c r="H273" s="8" t="str">
        <f aca="false">IFERROR(INDEX('TRANS'!$C:$C,MATCH($B273,'TRANS'!$A:$A,0)),IFERROR(INDEX('Catalog'!$B:$B,MATCH($G273,'Catalog'!$A:$A,0)),$B273))</f>
        <v>T28 M</v>
      </c>
      <c r="I273" s="8" t="str">
        <f aca="false">IF($G273="","Unmatched","Matched")</f>
        <v>Unmatched</v>
      </c>
    </row>
    <row r="274" customFormat="false" ht="15" hidden="false" customHeight="false" outlineLevel="0" collapsed="false">
      <c r="A274" s="8" t="s">
        <v>51</v>
      </c>
      <c r="B274" s="8" t="s">
        <v>320</v>
      </c>
      <c r="C274" s="19" t="n">
        <v>1</v>
      </c>
      <c r="D274" s="19" t="n">
        <v>70.26</v>
      </c>
      <c r="E274" s="19" t="n">
        <v>0</v>
      </c>
      <c r="F274" s="19" t="n">
        <v>0</v>
      </c>
      <c r="G274" s="8" t="str">
        <f aca="false">IFERROR(INDEX('TRANS'!$B:$B,MATCH($B274,'TRANS'!$A:$A,0)),IFERROR(INDEX('TRANS'!$B:$B,MATCH(TRIM(SUBSTITUTE($B274,CHAR(160)," ")),'TRANS'!$D:$D,0)),IFERROR(INDEX('Catalog'!$A:$A,MATCH($B274,'Catalog'!$B:$B,0)),IFERROR(INDEX('Catalog'!$A:$A,MATCH(TRIM(SUBSTITUTE($B274,CHAR(160)," ")),'Catalog'!$C:$C,0)),""))))</f>
        <v/>
      </c>
      <c r="H274" s="8" t="str">
        <f aca="false">IFERROR(INDEX('TRANS'!$C:$C,MATCH($B274,'TRANS'!$A:$A,0)),IFERROR(INDEX('Catalog'!$B:$B,MATCH($G274,'Catalog'!$A:$A,0)),$B274))</f>
        <v>T28A XS</v>
      </c>
      <c r="I274" s="8" t="str">
        <f aca="false">IF($G274="","Unmatched","Matched")</f>
        <v>Unmatched</v>
      </c>
    </row>
    <row r="275" customFormat="false" ht="15" hidden="false" customHeight="false" outlineLevel="0" collapsed="false">
      <c r="A275" s="8" t="s">
        <v>51</v>
      </c>
      <c r="B275" s="8" t="s">
        <v>321</v>
      </c>
      <c r="C275" s="19" t="n">
        <v>1</v>
      </c>
      <c r="D275" s="19" t="n">
        <v>70.26</v>
      </c>
      <c r="E275" s="19" t="n">
        <v>0</v>
      </c>
      <c r="F275" s="19" t="n">
        <v>0</v>
      </c>
      <c r="G275" s="8" t="n">
        <f aca="false">IFERROR(INDEX('TRANS'!$B:$B,MATCH($B275,'TRANS'!$A:$A,0)),IFERROR(INDEX('TRANS'!$B:$B,MATCH(TRIM(SUBSTITUTE($B275,CHAR(160)," ")),'TRANS'!$D:$D,0)),IFERROR(INDEX('Catalog'!$A:$A,MATCH($B275,'Catalog'!$B:$B,0)),IFERROR(INDEX('Catalog'!$A:$A,MATCH(TRIM(SUBSTITUTE($B275,CHAR(160)," ")),'Catalog'!$C:$C,0)),""))))</f>
        <v>4415075</v>
      </c>
      <c r="H275" s="8" t="str">
        <f aca="false">IFERROR(INDEX('TRANS'!$C:$C,MATCH($B275,'TRANS'!$A:$A,0)),IFERROR(INDEX('Catalog'!$B:$B,MATCH($G275,'Catalog'!$A:$A,0)),$B275))</f>
        <v>T28AC L-XL סד לאגודל</v>
      </c>
      <c r="I275" s="8" t="str">
        <f aca="false">IF($G275="","Unmatched","Matched")</f>
        <v>Matched</v>
      </c>
    </row>
    <row r="276" customFormat="false" ht="15" hidden="false" customHeight="false" outlineLevel="0" collapsed="false">
      <c r="A276" s="8" t="s">
        <v>51</v>
      </c>
      <c r="B276" s="8" t="s">
        <v>322</v>
      </c>
      <c r="C276" s="19" t="n">
        <v>1</v>
      </c>
      <c r="D276" s="19" t="n">
        <v>70.26</v>
      </c>
      <c r="E276" s="19" t="n">
        <v>1</v>
      </c>
      <c r="F276" s="19" t="n">
        <v>70.26</v>
      </c>
      <c r="G276" s="8" t="n">
        <f aca="false">IFERROR(INDEX('TRANS'!$B:$B,MATCH($B276,'TRANS'!$A:$A,0)),IFERROR(INDEX('TRANS'!$B:$B,MATCH(TRIM(SUBSTITUTE($B276,CHAR(160)," ")),'TRANS'!$D:$D,0)),IFERROR(INDEX('Catalog'!$A:$A,MATCH($B276,'Catalog'!$B:$B,0)),IFERROR(INDEX('Catalog'!$A:$A,MATCH(TRIM(SUBSTITUTE($B276,CHAR(160)," ")),'Catalog'!$C:$C,0)),""))))</f>
        <v>4415074</v>
      </c>
      <c r="H276" s="8" t="str">
        <f aca="false">IFERROR(INDEX('TRANS'!$C:$C,MATCH($B276,'TRANS'!$A:$A,0)),IFERROR(INDEX('Catalog'!$B:$B,MATCH($G276,'Catalog'!$A:$A,0)),$B276))</f>
        <v>T28AC S-M סד לאגודל</v>
      </c>
      <c r="I276" s="8" t="str">
        <f aca="false">IF($G276="","Unmatched","Matched")</f>
        <v>Matched</v>
      </c>
    </row>
    <row r="277" customFormat="false" ht="15" hidden="false" customHeight="false" outlineLevel="0" collapsed="false">
      <c r="A277" s="8" t="s">
        <v>51</v>
      </c>
      <c r="B277" s="8" t="s">
        <v>323</v>
      </c>
      <c r="C277" s="19" t="n">
        <v>0</v>
      </c>
      <c r="D277" s="19" t="n">
        <v>0</v>
      </c>
      <c r="E277" s="19" t="n">
        <v>1</v>
      </c>
      <c r="F277" s="19" t="n">
        <v>140.57</v>
      </c>
      <c r="G277" s="8" t="str">
        <f aca="false">IFERROR(INDEX('TRANS'!$B:$B,MATCH($B277,'TRANS'!$A:$A,0)),IFERROR(INDEX('TRANS'!$B:$B,MATCH(TRIM(SUBSTITUTE($B277,CHAR(160)," ")),'TRANS'!$D:$D,0)),IFERROR(INDEX('Catalog'!$A:$A,MATCH($B277,'Catalog'!$B:$B,0)),IFERROR(INDEX('Catalog'!$A:$A,MATCH(TRIM(SUBSTITUTE($B277,CHAR(160)," ")),'Catalog'!$C:$C,0)),""))))</f>
        <v/>
      </c>
      <c r="H277" s="8" t="str">
        <f aca="false">IFERROR(INDEX('TRANS'!$C:$C,MATCH($B277,'TRANS'!$A:$A,0)),IFERROR(INDEX('Catalog'!$B:$B,MATCH($G277,'Catalog'!$A:$A,0)),$B277))</f>
        <v>T33 XL</v>
      </c>
      <c r="I277" s="8" t="str">
        <f aca="false">IF($G277="","Unmatched","Matched")</f>
        <v>Unmatched</v>
      </c>
    </row>
    <row r="278" customFormat="false" ht="15" hidden="false" customHeight="false" outlineLevel="0" collapsed="false">
      <c r="A278" s="8" t="s">
        <v>51</v>
      </c>
      <c r="B278" s="8" t="s">
        <v>324</v>
      </c>
      <c r="C278" s="19" t="n">
        <v>2</v>
      </c>
      <c r="D278" s="19" t="n">
        <v>170.08</v>
      </c>
      <c r="E278" s="19" t="n">
        <v>0</v>
      </c>
      <c r="F278" s="19" t="n">
        <v>0</v>
      </c>
      <c r="G278" s="8" t="str">
        <f aca="false">IFERROR(INDEX('TRANS'!$B:$B,MATCH($B278,'TRANS'!$A:$A,0)),IFERROR(INDEX('TRANS'!$B:$B,MATCH(TRIM(SUBSTITUTE($B278,CHAR(160)," ")),'TRANS'!$D:$D,0)),IFERROR(INDEX('Catalog'!$A:$A,MATCH($B278,'Catalog'!$B:$B,0)),IFERROR(INDEX('Catalog'!$A:$A,MATCH(TRIM(SUBSTITUTE($B278,CHAR(160)," ")),'Catalog'!$C:$C,0)),""))))</f>
        <v/>
      </c>
      <c r="H278" s="8" t="str">
        <f aca="false">IFERROR(INDEX('TRANS'!$C:$C,MATCH($B278,'TRANS'!$A:$A,0)),IFERROR(INDEX('Catalog'!$B:$B,MATCH($G278,'Catalog'!$A:$A,0)),$B278))</f>
        <v>T40 0</v>
      </c>
      <c r="I278" s="8" t="str">
        <f aca="false">IF($G278="","Unmatched","Matched")</f>
        <v>Unmatched</v>
      </c>
    </row>
    <row r="279" customFormat="false" ht="15" hidden="false" customHeight="false" outlineLevel="0" collapsed="false">
      <c r="A279" s="8" t="s">
        <v>51</v>
      </c>
      <c r="B279" s="8" t="s">
        <v>325</v>
      </c>
      <c r="C279" s="19" t="n">
        <v>2</v>
      </c>
      <c r="D279" s="19" t="n">
        <v>189.26</v>
      </c>
      <c r="E279" s="19" t="n">
        <v>0</v>
      </c>
      <c r="F279" s="19" t="n">
        <v>0</v>
      </c>
      <c r="G279" s="8" t="str">
        <f aca="false">IFERROR(INDEX('TRANS'!$B:$B,MATCH($B279,'TRANS'!$A:$A,0)),IFERROR(INDEX('TRANS'!$B:$B,MATCH(TRIM(SUBSTITUTE($B279,CHAR(160)," ")),'TRANS'!$D:$D,0)),IFERROR(INDEX('Catalog'!$A:$A,MATCH($B279,'Catalog'!$B:$B,0)),IFERROR(INDEX('Catalog'!$A:$A,MATCH(TRIM(SUBSTITUTE($B279,CHAR(160)," ")),'Catalog'!$C:$C,0)),""))))</f>
        <v/>
      </c>
      <c r="H279" s="8" t="str">
        <f aca="false">IFERROR(INDEX('TRANS'!$C:$C,MATCH($B279,'TRANS'!$A:$A,0)),IFERROR(INDEX('Catalog'!$B:$B,MATCH($G279,'Catalog'!$A:$A,0)),$B279))</f>
        <v>T402 L</v>
      </c>
      <c r="I279" s="8" t="str">
        <f aca="false">IF($G279="","Unmatched","Matched")</f>
        <v>Unmatched</v>
      </c>
    </row>
    <row r="280" customFormat="false" ht="15" hidden="false" customHeight="false" outlineLevel="0" collapsed="false">
      <c r="A280" s="8" t="s">
        <v>51</v>
      </c>
      <c r="B280" s="8" t="s">
        <v>326</v>
      </c>
      <c r="C280" s="19" t="n">
        <v>2</v>
      </c>
      <c r="D280" s="19" t="n">
        <v>189</v>
      </c>
      <c r="E280" s="19" t="n">
        <v>0</v>
      </c>
      <c r="F280" s="19" t="n">
        <v>0</v>
      </c>
      <c r="G280" s="8" t="str">
        <f aca="false">IFERROR(INDEX('TRANS'!$B:$B,MATCH($B280,'TRANS'!$A:$A,0)),IFERROR(INDEX('TRANS'!$B:$B,MATCH(TRIM(SUBSTITUTE($B280,CHAR(160)," ")),'TRANS'!$D:$D,0)),IFERROR(INDEX('Catalog'!$A:$A,MATCH($B280,'Catalog'!$B:$B,0)),IFERROR(INDEX('Catalog'!$A:$A,MATCH(TRIM(SUBSTITUTE($B280,CHAR(160)," ")),'Catalog'!$C:$C,0)),""))))</f>
        <v/>
      </c>
      <c r="H280" s="8" t="str">
        <f aca="false">IFERROR(INDEX('TRANS'!$C:$C,MATCH($B280,'TRANS'!$A:$A,0)),IFERROR(INDEX('Catalog'!$B:$B,MATCH($G280,'Catalog'!$A:$A,0)),$B280))</f>
        <v>T402 M</v>
      </c>
      <c r="I280" s="8" t="str">
        <f aca="false">IF($G280="","Unmatched","Matched")</f>
        <v>Unmatched</v>
      </c>
    </row>
    <row r="281" customFormat="false" ht="15" hidden="false" customHeight="false" outlineLevel="0" collapsed="false">
      <c r="A281" s="8" t="s">
        <v>51</v>
      </c>
      <c r="B281" s="8" t="s">
        <v>327</v>
      </c>
      <c r="C281" s="19" t="n">
        <v>2</v>
      </c>
      <c r="D281" s="19" t="n">
        <v>189</v>
      </c>
      <c r="E281" s="19" t="n">
        <v>0</v>
      </c>
      <c r="F281" s="19" t="n">
        <v>0</v>
      </c>
      <c r="G281" s="8" t="str">
        <f aca="false">IFERROR(INDEX('TRANS'!$B:$B,MATCH($B281,'TRANS'!$A:$A,0)),IFERROR(INDEX('TRANS'!$B:$B,MATCH(TRIM(SUBSTITUTE($B281,CHAR(160)," ")),'TRANS'!$D:$D,0)),IFERROR(INDEX('Catalog'!$A:$A,MATCH($B281,'Catalog'!$B:$B,0)),IFERROR(INDEX('Catalog'!$A:$A,MATCH(TRIM(SUBSTITUTE($B281,CHAR(160)," ")),'Catalog'!$C:$C,0)),""))))</f>
        <v/>
      </c>
      <c r="H281" s="8" t="str">
        <f aca="false">IFERROR(INDEX('TRANS'!$C:$C,MATCH($B281,'TRANS'!$A:$A,0)),IFERROR(INDEX('Catalog'!$B:$B,MATCH($G281,'Catalog'!$A:$A,0)),$B281))</f>
        <v>T402 S</v>
      </c>
      <c r="I281" s="8" t="str">
        <f aca="false">IF($G281="","Unmatched","Matched")</f>
        <v>Unmatched</v>
      </c>
    </row>
    <row r="282" customFormat="false" ht="15" hidden="false" customHeight="false" outlineLevel="0" collapsed="false">
      <c r="A282" s="8" t="s">
        <v>51</v>
      </c>
      <c r="B282" s="8" t="s">
        <v>328</v>
      </c>
      <c r="C282" s="19" t="n">
        <v>0</v>
      </c>
      <c r="D282" s="19" t="n">
        <v>0</v>
      </c>
      <c r="E282" s="19" t="n">
        <v>1</v>
      </c>
      <c r="F282" s="19" t="n">
        <v>94.63</v>
      </c>
      <c r="G282" s="8" t="str">
        <f aca="false">IFERROR(INDEX('TRANS'!$B:$B,MATCH($B282,'TRANS'!$A:$A,0)),IFERROR(INDEX('TRANS'!$B:$B,MATCH(TRIM(SUBSTITUTE($B282,CHAR(160)," ")),'TRANS'!$D:$D,0)),IFERROR(INDEX('Catalog'!$A:$A,MATCH($B282,'Catalog'!$B:$B,0)),IFERROR(INDEX('Catalog'!$A:$A,MATCH(TRIM(SUBSTITUTE($B282,CHAR(160)," ")),'Catalog'!$C:$C,0)),""))))</f>
        <v/>
      </c>
      <c r="H282" s="8" t="str">
        <f aca="false">IFERROR(INDEX('TRANS'!$C:$C,MATCH($B282,'TRANS'!$A:$A,0)),IFERROR(INDEX('Catalog'!$B:$B,MATCH($G282,'Catalog'!$A:$A,0)),$B282))</f>
        <v>T402 XL</v>
      </c>
      <c r="I282" s="8" t="str">
        <f aca="false">IF($G282="","Unmatched","Matched")</f>
        <v>Unmatched</v>
      </c>
    </row>
    <row r="283" customFormat="false" ht="15" hidden="false" customHeight="false" outlineLevel="0" collapsed="false">
      <c r="A283" s="8" t="s">
        <v>51</v>
      </c>
      <c r="B283" s="8" t="s">
        <v>329</v>
      </c>
      <c r="C283" s="19" t="n">
        <v>2</v>
      </c>
      <c r="D283" s="19" t="n">
        <v>210.84</v>
      </c>
      <c r="E283" s="19" t="n">
        <v>0</v>
      </c>
      <c r="F283" s="19" t="n">
        <v>0</v>
      </c>
      <c r="G283" s="8" t="n">
        <f aca="false">IFERROR(INDEX('TRANS'!$B:$B,MATCH($B283,'TRANS'!$A:$A,0)),IFERROR(INDEX('TRANS'!$B:$B,MATCH(TRIM(SUBSTITUTE($B283,CHAR(160)," ")),'TRANS'!$D:$D,0)),IFERROR(INDEX('Catalog'!$A:$A,MATCH($B283,'Catalog'!$B:$B,0)),IFERROR(INDEX('Catalog'!$A:$A,MATCH(TRIM(SUBSTITUTE($B283,CHAR(160)," ")),'Catalog'!$C:$C,0)),""))))</f>
        <v>4413183</v>
      </c>
      <c r="H283" s="8" t="str">
        <f aca="false">IFERROR(INDEX('TRANS'!$C:$C,MATCH($B283,'TRANS'!$A:$A,0)),IFERROR(INDEX('Catalog'!$B:$B,MATCH($G283,'Catalog'!$A:$A,0)),$B283))</f>
        <v>T 45 M מגן ברך רגיל</v>
      </c>
      <c r="I283" s="8" t="str">
        <f aca="false">IF($G283="","Unmatched","Matched")</f>
        <v>Matched</v>
      </c>
    </row>
    <row r="284" customFormat="false" ht="15" hidden="false" customHeight="false" outlineLevel="0" collapsed="false">
      <c r="A284" s="8" t="s">
        <v>51</v>
      </c>
      <c r="B284" s="8" t="s">
        <v>330</v>
      </c>
      <c r="C284" s="19" t="n">
        <v>1</v>
      </c>
      <c r="D284" s="19" t="n">
        <v>85.04</v>
      </c>
      <c r="E284" s="19" t="n">
        <v>0</v>
      </c>
      <c r="F284" s="19" t="n">
        <v>0</v>
      </c>
      <c r="G284" s="8" t="str">
        <f aca="false">IFERROR(INDEX('TRANS'!$B:$B,MATCH($B284,'TRANS'!$A:$A,0)),IFERROR(INDEX('TRANS'!$B:$B,MATCH(TRIM(SUBSTITUTE($B284,CHAR(160)," ")),'TRANS'!$D:$D,0)),IFERROR(INDEX('Catalog'!$A:$A,MATCH($B284,'Catalog'!$B:$B,0)),IFERROR(INDEX('Catalog'!$A:$A,MATCH(TRIM(SUBSTITUTE($B284,CHAR(160)," ")),'Catalog'!$C:$C,0)),""))))</f>
        <v/>
      </c>
      <c r="H284" s="8" t="str">
        <f aca="false">IFERROR(INDEX('TRANS'!$C:$C,MATCH($B284,'TRANS'!$A:$A,0)),IFERROR(INDEX('Catalog'!$B:$B,MATCH($G284,'Catalog'!$A:$A,0)),$B284))</f>
        <v>T49 S</v>
      </c>
      <c r="I284" s="8" t="str">
        <f aca="false">IF($G284="","Unmatched","Matched")</f>
        <v>Unmatched</v>
      </c>
    </row>
    <row r="285" customFormat="false" ht="15" hidden="false" customHeight="false" outlineLevel="0" collapsed="false">
      <c r="A285" s="8" t="s">
        <v>51</v>
      </c>
      <c r="B285" s="8" t="s">
        <v>331</v>
      </c>
      <c r="C285" s="19" t="n">
        <v>1</v>
      </c>
      <c r="D285" s="19" t="n">
        <v>77.07</v>
      </c>
      <c r="E285" s="19" t="n">
        <v>1</v>
      </c>
      <c r="F285" s="19" t="n">
        <v>85.26</v>
      </c>
      <c r="G285" s="8" t="str">
        <f aca="false">IFERROR(INDEX('TRANS'!$B:$B,MATCH($B285,'TRANS'!$A:$A,0)),IFERROR(INDEX('TRANS'!$B:$B,MATCH(TRIM(SUBSTITUTE($B285,CHAR(160)," ")),'TRANS'!$D:$D,0)),IFERROR(INDEX('Catalog'!$A:$A,MATCH($B285,'Catalog'!$B:$B,0)),IFERROR(INDEX('Catalog'!$A:$A,MATCH(TRIM(SUBSTITUTE($B285,CHAR(160)," ")),'Catalog'!$C:$C,0)),""))))</f>
        <v/>
      </c>
      <c r="H285" s="8" t="str">
        <f aca="false">IFERROR(INDEX('TRANS'!$C:$C,MATCH($B285,'TRANS'!$A:$A,0)),IFERROR(INDEX('Catalog'!$B:$B,MATCH($G285,'Catalog'!$A:$A,0)),$B285))</f>
        <v>T49 XL</v>
      </c>
      <c r="I285" s="8" t="str">
        <f aca="false">IF($G285="","Unmatched","Matched")</f>
        <v>Unmatched</v>
      </c>
    </row>
    <row r="286" customFormat="false" ht="15" hidden="false" customHeight="false" outlineLevel="0" collapsed="false">
      <c r="A286" s="8" t="s">
        <v>51</v>
      </c>
      <c r="B286" s="8" t="s">
        <v>332</v>
      </c>
      <c r="C286" s="19" t="n">
        <v>5</v>
      </c>
      <c r="D286" s="19" t="n">
        <v>787.91</v>
      </c>
      <c r="E286" s="19" t="n">
        <v>2</v>
      </c>
      <c r="F286" s="19" t="n">
        <v>260</v>
      </c>
      <c r="G286" s="8" t="n">
        <f aca="false">IFERROR(INDEX('TRANS'!$B:$B,MATCH($B286,'TRANS'!$A:$A,0)),IFERROR(INDEX('TRANS'!$B:$B,MATCH(TRIM(SUBSTITUTE($B286,CHAR(160)," ")),'TRANS'!$D:$D,0)),IFERROR(INDEX('Catalog'!$A:$A,MATCH($B286,'Catalog'!$B:$B,0)),IFERROR(INDEX('Catalog'!$A:$A,MATCH(TRIM(SUBSTITUTE($B286,CHAR(160)," ")),'Catalog'!$C:$C,0)),""))))</f>
        <v>4422006</v>
      </c>
      <c r="H286" s="8" t="str">
        <f aca="false">IFERROR(INDEX('TRANS'!$C:$C,MATCH($B286,'TRANS'!$A:$A,0)),IFERROR(INDEX('Catalog'!$B:$B,MATCH($G286,'Catalog'!$A:$A,0)),$B286))</f>
        <v>T78 L תומך זרוע וכתף</v>
      </c>
      <c r="I286" s="8" t="str">
        <f aca="false">IF($G286="","Unmatched","Matched")</f>
        <v>Matched</v>
      </c>
    </row>
    <row r="287" customFormat="false" ht="15" hidden="false" customHeight="false" outlineLevel="0" collapsed="false">
      <c r="A287" s="8" t="s">
        <v>51</v>
      </c>
      <c r="B287" s="8" t="s">
        <v>333</v>
      </c>
      <c r="C287" s="19" t="n">
        <v>1</v>
      </c>
      <c r="D287" s="19" t="n">
        <v>56.67</v>
      </c>
      <c r="E287" s="19" t="n">
        <v>0</v>
      </c>
      <c r="F287" s="19" t="n">
        <v>0</v>
      </c>
      <c r="G287" s="8" t="str">
        <f aca="false">IFERROR(INDEX('TRANS'!$B:$B,MATCH($B287,'TRANS'!$A:$A,0)),IFERROR(INDEX('TRANS'!$B:$B,MATCH(TRIM(SUBSTITUTE($B287,CHAR(160)," ")),'TRANS'!$D:$D,0)),IFERROR(INDEX('Catalog'!$A:$A,MATCH($B287,'Catalog'!$B:$B,0)),IFERROR(INDEX('Catalog'!$A:$A,MATCH(TRIM(SUBSTITUTE($B287,CHAR(160)," ")),'Catalog'!$C:$C,0)),""))))</f>
        <v/>
      </c>
      <c r="H287" s="8" t="str">
        <f aca="false">IFERROR(INDEX('TRANS'!$C:$C,MATCH($B287,'TRANS'!$A:$A,0)),IFERROR(INDEX('Catalog'!$B:$B,MATCH($G287,'Catalog'!$A:$A,0)),$B287))</f>
        <v>T91-S-M</v>
      </c>
      <c r="I287" s="8" t="str">
        <f aca="false">IF($G287="","Unmatched","Matched")</f>
        <v>Unmatched</v>
      </c>
    </row>
    <row r="288" customFormat="false" ht="15" hidden="false" customHeight="false" outlineLevel="0" collapsed="false">
      <c r="A288" s="8" t="s">
        <v>51</v>
      </c>
      <c r="B288" s="8" t="s">
        <v>334</v>
      </c>
      <c r="C288" s="19" t="n">
        <v>0</v>
      </c>
      <c r="D288" s="19" t="n">
        <v>0</v>
      </c>
      <c r="E288" s="19" t="n">
        <v>-1</v>
      </c>
      <c r="F288" s="19" t="n">
        <v>-246.04</v>
      </c>
      <c r="G288" s="8" t="str">
        <f aca="false">IFERROR(INDEX('TRANS'!$B:$B,MATCH($B288,'TRANS'!$A:$A,0)),IFERROR(INDEX('TRANS'!$B:$B,MATCH(TRIM(SUBSTITUTE($B288,CHAR(160)," ")),'TRANS'!$D:$D,0)),IFERROR(INDEX('Catalog'!$A:$A,MATCH($B288,'Catalog'!$B:$B,0)),IFERROR(INDEX('Catalog'!$A:$A,MATCH(TRIM(SUBSTITUTE($B288,CHAR(160)," ")),'Catalog'!$C:$C,0)),""))))</f>
        <v/>
      </c>
      <c r="H288" s="8" t="str">
        <f aca="false">IFERROR(INDEX('TRANS'!$C:$C,MATCH($B288,'TRANS'!$A:$A,0)),IFERROR(INDEX('Catalog'!$B:$B,MATCH($G288,'Catalog'!$A:$A,0)),$B288))</f>
        <v>062 L</v>
      </c>
      <c r="I288" s="8" t="str">
        <f aca="false">IF($G288="","Unmatched","Matched")</f>
        <v>Unmatched</v>
      </c>
    </row>
    <row r="289" customFormat="false" ht="15" hidden="false" customHeight="false" outlineLevel="0" collapsed="false">
      <c r="A289" s="8" t="s">
        <v>51</v>
      </c>
      <c r="B289" s="8" t="s">
        <v>335</v>
      </c>
      <c r="C289" s="19" t="n">
        <v>0</v>
      </c>
      <c r="D289" s="19" t="n">
        <v>0</v>
      </c>
      <c r="E289" s="19" t="n">
        <v>3</v>
      </c>
      <c r="F289" s="19" t="n">
        <v>234.28</v>
      </c>
      <c r="G289" s="8" t="n">
        <f aca="false">IFERROR(INDEX('TRANS'!$B:$B,MATCH($B289,'TRANS'!$A:$A,0)),IFERROR(INDEX('TRANS'!$B:$B,MATCH(TRIM(SUBSTITUTE($B289,CHAR(160)," ")),'TRANS'!$D:$D,0)),IFERROR(INDEX('Catalog'!$A:$A,MATCH($B289,'Catalog'!$B:$B,0)),IFERROR(INDEX('Catalog'!$A:$A,MATCH(TRIM(SUBSTITUTE($B289,CHAR(160)," ")),'Catalog'!$C:$C,0)),""))))</f>
        <v>4408221</v>
      </c>
      <c r="H289" s="8" t="str">
        <f aca="false">IFERROR(INDEX('TRANS'!$C:$C,MATCH($B289,'TRANS'!$A:$A,0)),IFERROR(INDEX('Catalog'!$B:$B,MATCH($G289,'Catalog'!$A:$A,0)),$B289))</f>
        <v>078G-L חגורת גב אפורה</v>
      </c>
      <c r="I289" s="8" t="str">
        <f aca="false">IF($G289="","Unmatched","Matched")</f>
        <v>Matched</v>
      </c>
    </row>
    <row r="290" customFormat="false" ht="15" hidden="false" customHeight="false" outlineLevel="0" collapsed="false">
      <c r="A290" s="8" t="s">
        <v>51</v>
      </c>
      <c r="B290" s="8" t="s">
        <v>336</v>
      </c>
      <c r="C290" s="19" t="n">
        <v>0</v>
      </c>
      <c r="D290" s="19" t="n">
        <v>0</v>
      </c>
      <c r="E290" s="19" t="n">
        <v>3</v>
      </c>
      <c r="F290" s="19" t="n">
        <v>234.28</v>
      </c>
      <c r="G290" s="8" t="n">
        <f aca="false">IFERROR(INDEX('TRANS'!$B:$B,MATCH($B290,'TRANS'!$A:$A,0)),IFERROR(INDEX('TRANS'!$B:$B,MATCH(TRIM(SUBSTITUTE($B290,CHAR(160)," ")),'TRANS'!$D:$D,0)),IFERROR(INDEX('Catalog'!$A:$A,MATCH($B290,'Catalog'!$B:$B,0)),IFERROR(INDEX('Catalog'!$A:$A,MATCH(TRIM(SUBSTITUTE($B290,CHAR(160)," ")),'Catalog'!$C:$C,0)),""))))</f>
        <v>4408222</v>
      </c>
      <c r="H290" s="8" t="str">
        <f aca="false">IFERROR(INDEX('TRANS'!$C:$C,MATCH($B290,'TRANS'!$A:$A,0)),IFERROR(INDEX('Catalog'!$B:$B,MATCH($G290,'Catalog'!$A:$A,0)),$B290))</f>
        <v>078G-XLחגורת גב אפורה</v>
      </c>
      <c r="I290" s="8" t="str">
        <f aca="false">IF($G290="","Unmatched","Matched")</f>
        <v>Matched</v>
      </c>
    </row>
    <row r="291" customFormat="false" ht="15" hidden="false" customHeight="false" outlineLevel="0" collapsed="false">
      <c r="A291" s="8" t="s">
        <v>51</v>
      </c>
      <c r="B291" s="8" t="s">
        <v>337</v>
      </c>
      <c r="C291" s="19" t="n">
        <v>0</v>
      </c>
      <c r="D291" s="19" t="n">
        <v>0</v>
      </c>
      <c r="E291" s="19" t="n">
        <v>3</v>
      </c>
      <c r="F291" s="19" t="n">
        <v>234.28</v>
      </c>
      <c r="G291" s="8" t="n">
        <f aca="false">IFERROR(INDEX('TRANS'!$B:$B,MATCH($B291,'TRANS'!$A:$A,0)),IFERROR(INDEX('TRANS'!$B:$B,MATCH(TRIM(SUBSTITUTE($B291,CHAR(160)," ")),'TRANS'!$D:$D,0)),IFERROR(INDEX('Catalog'!$A:$A,MATCH($B291,'Catalog'!$B:$B,0)),IFERROR(INDEX('Catalog'!$A:$A,MATCH(TRIM(SUBSTITUTE($B291,CHAR(160)," ")),'Catalog'!$C:$C,0)),""))))</f>
        <v>4408223</v>
      </c>
      <c r="H291" s="8" t="str">
        <f aca="false">IFERROR(INDEX('TRANS'!$C:$C,MATCH($B291,'TRANS'!$A:$A,0)),IFERROR(INDEX('Catalog'!$B:$B,MATCH($G291,'Catalog'!$A:$A,0)),$B291))</f>
        <v>078G-XXLחגורת גב אפורה</v>
      </c>
      <c r="I291" s="8" t="str">
        <f aca="false">IF($G291="","Unmatched","Matched")</f>
        <v>Matched</v>
      </c>
    </row>
    <row r="292" customFormat="false" ht="15" hidden="false" customHeight="false" outlineLevel="0" collapsed="false">
      <c r="A292" s="8" t="s">
        <v>51</v>
      </c>
      <c r="B292" s="8" t="s">
        <v>338</v>
      </c>
      <c r="C292" s="19" t="n">
        <v>0</v>
      </c>
      <c r="D292" s="19" t="n">
        <v>0</v>
      </c>
      <c r="E292" s="19" t="n">
        <v>2</v>
      </c>
      <c r="F292" s="19" t="n">
        <v>784.56</v>
      </c>
      <c r="G292" s="8" t="str">
        <f aca="false">IFERROR(INDEX('TRANS'!$B:$B,MATCH($B292,'TRANS'!$A:$A,0)),IFERROR(INDEX('TRANS'!$B:$B,MATCH(TRIM(SUBSTITUTE($B292,CHAR(160)," ")),'TRANS'!$D:$D,0)),IFERROR(INDEX('Catalog'!$A:$A,MATCH($B292,'Catalog'!$B:$B,0)),IFERROR(INDEX('Catalog'!$A:$A,MATCH(TRIM(SUBSTITUTE($B292,CHAR(160)," ")),'Catalog'!$C:$C,0)),""))))</f>
        <v/>
      </c>
      <c r="H292" s="8" t="str">
        <f aca="false">IFERROR(INDEX('TRANS'!$C:$C,MATCH($B292,'TRANS'!$A:$A,0)),IFERROR(INDEX('Catalog'!$B:$B,MATCH($G292,'Catalog'!$A:$A,0)),$B292))</f>
        <v>07AE XL</v>
      </c>
      <c r="I292" s="8" t="str">
        <f aca="false">IF($G292="","Unmatched","Matched")</f>
        <v>Unmatched</v>
      </c>
    </row>
    <row r="293" customFormat="false" ht="15" hidden="false" customHeight="false" outlineLevel="0" collapsed="false">
      <c r="A293" s="8" t="s">
        <v>51</v>
      </c>
      <c r="B293" s="8" t="s">
        <v>339</v>
      </c>
      <c r="C293" s="19" t="n">
        <v>0</v>
      </c>
      <c r="D293" s="19" t="n">
        <v>0</v>
      </c>
      <c r="E293" s="19" t="n">
        <v>-2</v>
      </c>
      <c r="F293" s="19" t="n">
        <v>-784.64</v>
      </c>
      <c r="G293" s="8" t="str">
        <f aca="false">IFERROR(INDEX('TRANS'!$B:$B,MATCH($B293,'TRANS'!$A:$A,0)),IFERROR(INDEX('TRANS'!$B:$B,MATCH(TRIM(SUBSTITUTE($B293,CHAR(160)," ")),'TRANS'!$D:$D,0)),IFERROR(INDEX('Catalog'!$A:$A,MATCH($B293,'Catalog'!$B:$B,0)),IFERROR(INDEX('Catalog'!$A:$A,MATCH(TRIM(SUBSTITUTE($B293,CHAR(160)," ")),'Catalog'!$C:$C,0)),""))))</f>
        <v/>
      </c>
      <c r="H293" s="8" t="str">
        <f aca="false">IFERROR(INDEX('TRANS'!$C:$C,MATCH($B293,'TRANS'!$A:$A,0)),IFERROR(INDEX('Catalog'!$B:$B,MATCH($G293,'Catalog'!$A:$A,0)),$B293))</f>
        <v>07AF L</v>
      </c>
      <c r="I293" s="8" t="str">
        <f aca="false">IF($G293="","Unmatched","Matched")</f>
        <v>Unmatched</v>
      </c>
    </row>
    <row r="294" customFormat="false" ht="15" hidden="false" customHeight="false" outlineLevel="0" collapsed="false">
      <c r="A294" s="8" t="s">
        <v>51</v>
      </c>
      <c r="B294" s="8" t="s">
        <v>340</v>
      </c>
      <c r="C294" s="19" t="n">
        <v>0</v>
      </c>
      <c r="D294" s="19" t="n">
        <v>0</v>
      </c>
      <c r="E294" s="19" t="n">
        <v>-1</v>
      </c>
      <c r="F294" s="19" t="n">
        <v>-392.32</v>
      </c>
      <c r="G294" s="8" t="str">
        <f aca="false">IFERROR(INDEX('TRANS'!$B:$B,MATCH($B294,'TRANS'!$A:$A,0)),IFERROR(INDEX('TRANS'!$B:$B,MATCH(TRIM(SUBSTITUTE($B294,CHAR(160)," ")),'TRANS'!$D:$D,0)),IFERROR(INDEX('Catalog'!$A:$A,MATCH($B294,'Catalog'!$B:$B,0)),IFERROR(INDEX('Catalog'!$A:$A,MATCH(TRIM(SUBSTITUTE($B294,CHAR(160)," ")),'Catalog'!$C:$C,0)),""))))</f>
        <v/>
      </c>
      <c r="H294" s="8" t="str">
        <f aca="false">IFERROR(INDEX('TRANS'!$C:$C,MATCH($B294,'TRANS'!$A:$A,0)),IFERROR(INDEX('Catalog'!$B:$B,MATCH($G294,'Catalog'!$A:$A,0)),$B294))</f>
        <v>07AF XL</v>
      </c>
      <c r="I294" s="8" t="str">
        <f aca="false">IF($G294="","Unmatched","Matched")</f>
        <v>Unmatched</v>
      </c>
    </row>
    <row r="295" customFormat="false" ht="15" hidden="false" customHeight="false" outlineLevel="0" collapsed="false">
      <c r="A295" s="8" t="s">
        <v>51</v>
      </c>
      <c r="B295" s="8" t="s">
        <v>341</v>
      </c>
      <c r="C295" s="19" t="n">
        <v>3</v>
      </c>
      <c r="D295" s="19" t="n">
        <v>280.1</v>
      </c>
      <c r="E295" s="19" t="n">
        <v>0</v>
      </c>
      <c r="F295" s="19" t="n">
        <v>0</v>
      </c>
      <c r="G295" s="8" t="n">
        <f aca="false">IFERROR(INDEX('TRANS'!$B:$B,MATCH($B295,'TRANS'!$A:$A,0)),IFERROR(INDEX('TRANS'!$B:$B,MATCH(TRIM(SUBSTITUTE($B295,CHAR(160)," ")),'TRANS'!$D:$D,0)),IFERROR(INDEX('Catalog'!$A:$A,MATCH($B295,'Catalog'!$B:$B,0)),IFERROR(INDEX('Catalog'!$A:$A,MATCH(TRIM(SUBSTITUTE($B295,CHAR(160)," ")),'Catalog'!$C:$C,0)),""))))</f>
        <v>4408116</v>
      </c>
      <c r="H295" s="8" t="str">
        <f aca="false">IFERROR(INDEX('TRANS'!$C:$C,MATCH($B295,'TRANS'!$A:$A,0)),IFERROR(INDEX('Catalog'!$B:$B,MATCH($G295,'Catalog'!$A:$A,0)),$B295))</f>
        <v>11EU XLח.בטן לאחר ניתוח</v>
      </c>
      <c r="I295" s="8" t="str">
        <f aca="false">IF($G295="","Unmatched","Matched")</f>
        <v>Matched</v>
      </c>
    </row>
    <row r="296" customFormat="false" ht="15" hidden="false" customHeight="false" outlineLevel="0" collapsed="false">
      <c r="A296" s="8" t="s">
        <v>51</v>
      </c>
      <c r="B296" s="8" t="s">
        <v>342</v>
      </c>
      <c r="C296" s="19" t="n">
        <v>0</v>
      </c>
      <c r="D296" s="19" t="n">
        <v>0</v>
      </c>
      <c r="E296" s="19" t="n">
        <v>2</v>
      </c>
      <c r="F296" s="19" t="n">
        <v>271.77</v>
      </c>
      <c r="G296" s="8" t="n">
        <f aca="false">IFERROR(INDEX('TRANS'!$B:$B,MATCH($B296,'TRANS'!$A:$A,0)),IFERROR(INDEX('TRANS'!$B:$B,MATCH(TRIM(SUBSTITUTE($B296,CHAR(160)," ")),'TRANS'!$D:$D,0)),IFERROR(INDEX('Catalog'!$A:$A,MATCH($B296,'Catalog'!$B:$B,0)),IFERROR(INDEX('Catalog'!$A:$A,MATCH(TRIM(SUBSTITUTE($B296,CHAR(160)," ")),'Catalog'!$C:$C,0)),""))))</f>
        <v>4408149</v>
      </c>
      <c r="H296" s="8" t="str">
        <f aca="false">IFERROR(INDEX('TRANS'!$C:$C,MATCH($B296,'TRANS'!$A:$A,0)),IFERROR(INDEX('Catalog'!$B:$B,MATCH($G296,'Catalog'!$A:$A,0)),$B296))</f>
        <v>11PS XXLחגורה למנותחי בטן</v>
      </c>
      <c r="I296" s="8" t="str">
        <f aca="false">IF($G296="","Unmatched","Matched")</f>
        <v>Matched</v>
      </c>
    </row>
    <row r="297" customFormat="false" ht="15" hidden="false" customHeight="false" outlineLevel="0" collapsed="false">
      <c r="A297" s="8" t="s">
        <v>51</v>
      </c>
      <c r="B297" s="8" t="s">
        <v>343</v>
      </c>
      <c r="C297" s="19" t="n">
        <v>2</v>
      </c>
      <c r="D297" s="19" t="n">
        <v>210</v>
      </c>
      <c r="E297" s="19" t="n">
        <v>1</v>
      </c>
      <c r="F297" s="19" t="n">
        <v>0.01</v>
      </c>
      <c r="G297" s="8" t="n">
        <f aca="false">IFERROR(INDEX('TRANS'!$B:$B,MATCH($B297,'TRANS'!$A:$A,0)),IFERROR(INDEX('TRANS'!$B:$B,MATCH(TRIM(SUBSTITUTE($B297,CHAR(160)," ")),'TRANS'!$D:$D,0)),IFERROR(INDEX('Catalog'!$A:$A,MATCH($B297,'Catalog'!$B:$B,0)),IFERROR(INDEX('Catalog'!$A:$A,MATCH(TRIM(SUBSTITUTE($B297,CHAR(160)," ")),'Catalog'!$C:$C,0)),""))))</f>
        <v>4408262</v>
      </c>
      <c r="H297" s="8" t="str">
        <f aca="false">IFERROR(INDEX('TRANS'!$C:$C,MATCH($B297,'TRANS'!$A:$A,0)),IFERROR(INDEX('Catalog'!$B:$B,MATCH($G297,'Catalog'!$A:$A,0)),$B297))</f>
        <v>11STO XL  חגורה אחרי ניתוח</v>
      </c>
      <c r="I297" s="8" t="str">
        <f aca="false">IF($G297="","Unmatched","Matched")</f>
        <v>Matched</v>
      </c>
    </row>
    <row r="298" customFormat="false" ht="15" hidden="false" customHeight="false" outlineLevel="0" collapsed="false">
      <c r="A298" s="8" t="s">
        <v>51</v>
      </c>
      <c r="B298" s="8" t="s">
        <v>344</v>
      </c>
      <c r="C298" s="19" t="n">
        <v>1</v>
      </c>
      <c r="D298" s="19" t="n">
        <v>130</v>
      </c>
      <c r="E298" s="19" t="n">
        <v>0</v>
      </c>
      <c r="F298" s="19" t="n">
        <v>0</v>
      </c>
      <c r="G298" s="8" t="n">
        <f aca="false">IFERROR(INDEX('TRANS'!$B:$B,MATCH($B298,'TRANS'!$A:$A,0)),IFERROR(INDEX('TRANS'!$B:$B,MATCH(TRIM(SUBSTITUTE($B298,CHAR(160)," ")),'TRANS'!$D:$D,0)),IFERROR(INDEX('Catalog'!$A:$A,MATCH($B298,'Catalog'!$B:$B,0)),IFERROR(INDEX('Catalog'!$A:$A,MATCH(TRIM(SUBSTITUTE($B298,CHAR(160)," ")),'Catalog'!$C:$C,0)),""))))</f>
        <v>4408153</v>
      </c>
      <c r="H298" s="8" t="str">
        <f aca="false">IFERROR(INDEX('TRANS'!$C:$C,MATCH($B298,'TRANS'!$A:$A,0)),IFERROR(INDEX('Catalog'!$B:$B,MATCH($G298,'Catalog'!$A:$A,0)),$B298))</f>
        <v>11TO XLחגורה למנותחי בית החזה</v>
      </c>
      <c r="I298" s="8" t="str">
        <f aca="false">IF($G298="","Unmatched","Matched")</f>
        <v>Matched</v>
      </c>
    </row>
    <row r="299" customFormat="false" ht="15" hidden="false" customHeight="false" outlineLevel="0" collapsed="false">
      <c r="A299" s="8" t="s">
        <v>51</v>
      </c>
      <c r="B299" s="8" t="s">
        <v>345</v>
      </c>
      <c r="C299" s="19" t="n">
        <v>0</v>
      </c>
      <c r="D299" s="19" t="n">
        <v>0</v>
      </c>
      <c r="E299" s="19" t="n">
        <v>1</v>
      </c>
      <c r="F299" s="19" t="n">
        <v>115</v>
      </c>
      <c r="G299" s="8" t="str">
        <f aca="false">IFERROR(INDEX('TRANS'!$B:$B,MATCH($B299,'TRANS'!$A:$A,0)),IFERROR(INDEX('TRANS'!$B:$B,MATCH(TRIM(SUBSTITUTE($B299,CHAR(160)," ")),'TRANS'!$D:$D,0)),IFERROR(INDEX('Catalog'!$A:$A,MATCH($B299,'Catalog'!$B:$B,0)),IFERROR(INDEX('Catalog'!$A:$A,MATCH(TRIM(SUBSTITUTE($B299,CHAR(160)," ")),'Catalog'!$C:$C,0)),""))))</f>
        <v/>
      </c>
      <c r="H299" s="8" t="str">
        <f aca="false">IFERROR(INDEX('TRANS'!$C:$C,MATCH($B299,'TRANS'!$A:$A,0)),IFERROR(INDEX('Catalog'!$B:$B,MATCH($G299,'Catalog'!$A:$A,0)),$B299))</f>
        <v>13 M</v>
      </c>
      <c r="I299" s="8" t="str">
        <f aca="false">IF($G299="","Unmatched","Matched")</f>
        <v>Unmatched</v>
      </c>
    </row>
    <row r="300" customFormat="false" ht="15" hidden="false" customHeight="false" outlineLevel="0" collapsed="false">
      <c r="A300" s="8" t="s">
        <v>51</v>
      </c>
      <c r="B300" s="8" t="s">
        <v>346</v>
      </c>
      <c r="C300" s="19" t="n">
        <v>2</v>
      </c>
      <c r="D300" s="19" t="n">
        <v>198</v>
      </c>
      <c r="E300" s="19" t="n">
        <v>0</v>
      </c>
      <c r="F300" s="19" t="n">
        <v>0</v>
      </c>
      <c r="G300" s="8" t="n">
        <f aca="false">IFERROR(INDEX('TRANS'!$B:$B,MATCH($B300,'TRANS'!$A:$A,0)),IFERROR(INDEX('TRANS'!$B:$B,MATCH(TRIM(SUBSTITUTE($B300,CHAR(160)," ")),'TRANS'!$D:$D,0)),IFERROR(INDEX('Catalog'!$A:$A,MATCH($B300,'Catalog'!$B:$B,0)),IFERROR(INDEX('Catalog'!$A:$A,MATCH(TRIM(SUBSTITUTE($B300,CHAR(160)," ")),'Catalog'!$C:$C,0)),""))))</f>
        <v>4408180</v>
      </c>
      <c r="H300" s="8" t="str">
        <f aca="false">IFERROR(INDEX('TRANS'!$C:$C,MATCH($B300,'TRANS'!$A:$A,0)),IFERROR(INDEX('Catalog'!$B:$B,MATCH($G300,'Catalog'!$A:$A,0)),$B300))</f>
        <v>13 XXL חגורה לשבר טבור</v>
      </c>
      <c r="I300" s="8" t="str">
        <f aca="false">IF($G300="","Unmatched","Matched")</f>
        <v>Matched</v>
      </c>
    </row>
    <row r="301" customFormat="false" ht="15" hidden="false" customHeight="false" outlineLevel="0" collapsed="false">
      <c r="A301" s="8" t="s">
        <v>51</v>
      </c>
      <c r="B301" s="8" t="s">
        <v>347</v>
      </c>
      <c r="C301" s="19" t="n">
        <v>3</v>
      </c>
      <c r="D301" s="19" t="n">
        <v>103.24</v>
      </c>
      <c r="E301" s="19" t="n">
        <v>4</v>
      </c>
      <c r="F301" s="19" t="n">
        <v>159.18</v>
      </c>
      <c r="G301" s="8" t="n">
        <f aca="false">IFERROR(INDEX('TRANS'!$B:$B,MATCH($B301,'TRANS'!$A:$A,0)),IFERROR(INDEX('TRANS'!$B:$B,MATCH(TRIM(SUBSTITUTE($B301,CHAR(160)," ")),'TRANS'!$D:$D,0)),IFERROR(INDEX('Catalog'!$A:$A,MATCH($B301,'Catalog'!$B:$B,0)),IFERROR(INDEX('Catalog'!$A:$A,MATCH(TRIM(SUBSTITUTE($B301,CHAR(160)," ")),'Catalog'!$C:$C,0)),""))))</f>
        <v>4408052</v>
      </c>
      <c r="H301" s="8" t="str">
        <f aca="false">IFERROR(INDEX('TRANS'!$C:$C,MATCH($B301,'TRANS'!$A:$A,0)),IFERROR(INDEX('Catalog'!$B:$B,MATCH($G301,'Catalog'!$A:$A,0)),$B301))</f>
        <v>21 L  חבק יד ארוך</v>
      </c>
      <c r="I301" s="8" t="str">
        <f aca="false">IF($G301="","Unmatched","Matched")</f>
        <v>Matched</v>
      </c>
    </row>
    <row r="302" customFormat="false" ht="15" hidden="false" customHeight="false" outlineLevel="0" collapsed="false">
      <c r="A302" s="8" t="s">
        <v>51</v>
      </c>
      <c r="B302" s="8" t="s">
        <v>348</v>
      </c>
      <c r="C302" s="19" t="n">
        <v>2</v>
      </c>
      <c r="D302" s="19" t="n">
        <v>65.46</v>
      </c>
      <c r="E302" s="19" t="n">
        <v>5</v>
      </c>
      <c r="F302" s="19" t="n">
        <v>198.97</v>
      </c>
      <c r="G302" s="8" t="n">
        <f aca="false">IFERROR(INDEX('TRANS'!$B:$B,MATCH($B302,'TRANS'!$A:$A,0)),IFERROR(INDEX('TRANS'!$B:$B,MATCH(TRIM(SUBSTITUTE($B302,CHAR(160)," ")),'TRANS'!$D:$D,0)),IFERROR(INDEX('Catalog'!$A:$A,MATCH($B302,'Catalog'!$B:$B,0)),IFERROR(INDEX('Catalog'!$A:$A,MATCH(TRIM(SUBSTITUTE($B302,CHAR(160)," ")),'Catalog'!$C:$C,0)),""))))</f>
        <v>4408051</v>
      </c>
      <c r="H302" s="8" t="str">
        <f aca="false">IFERROR(INDEX('TRANS'!$C:$C,MATCH($B302,'TRANS'!$A:$A,0)),IFERROR(INDEX('Catalog'!$B:$B,MATCH($G302,'Catalog'!$A:$A,0)),$B302))</f>
        <v>21 S  חבק יד ארוך</v>
      </c>
      <c r="I302" s="8" t="str">
        <f aca="false">IF($G302="","Unmatched","Matched")</f>
        <v>Matched</v>
      </c>
    </row>
    <row r="303" customFormat="false" ht="15" hidden="false" customHeight="false" outlineLevel="0" collapsed="false">
      <c r="A303" s="8" t="s">
        <v>51</v>
      </c>
      <c r="B303" s="8" t="s">
        <v>349</v>
      </c>
      <c r="C303" s="19" t="n">
        <v>4</v>
      </c>
      <c r="D303" s="19" t="n">
        <v>141.01</v>
      </c>
      <c r="E303" s="19" t="n">
        <v>6</v>
      </c>
      <c r="F303" s="19" t="n">
        <v>238.76</v>
      </c>
      <c r="G303" s="8" t="n">
        <f aca="false">IFERROR(INDEX('TRANS'!$B:$B,MATCH($B303,'TRANS'!$A:$A,0)),IFERROR(INDEX('TRANS'!$B:$B,MATCH(TRIM(SUBSTITUTE($B303,CHAR(160)," ")),'TRANS'!$D:$D,0)),IFERROR(INDEX('Catalog'!$A:$A,MATCH($B303,'Catalog'!$B:$B,0)),IFERROR(INDEX('Catalog'!$A:$A,MATCH(TRIM(SUBSTITUTE($B303,CHAR(160)," ")),'Catalog'!$C:$C,0)),""))))</f>
        <v>4408054</v>
      </c>
      <c r="H303" s="8" t="str">
        <f aca="false">IFERROR(INDEX('TRANS'!$C:$C,MATCH($B303,'TRANS'!$A:$A,0)),IFERROR(INDEX('Catalog'!$B:$B,MATCH($G303,'Catalog'!$A:$A,0)),$B303))</f>
        <v>21 XL חבק יד ארוך</v>
      </c>
      <c r="I303" s="8" t="str">
        <f aca="false">IF($G303="","Unmatched","Matched")</f>
        <v>Matched</v>
      </c>
    </row>
    <row r="304" customFormat="false" ht="15" hidden="false" customHeight="false" outlineLevel="0" collapsed="false">
      <c r="A304" s="8" t="s">
        <v>51</v>
      </c>
      <c r="B304" s="8" t="s">
        <v>350</v>
      </c>
      <c r="C304" s="19" t="n">
        <v>0</v>
      </c>
      <c r="D304" s="19" t="n">
        <v>0</v>
      </c>
      <c r="E304" s="19" t="n">
        <v>3</v>
      </c>
      <c r="F304" s="19" t="n">
        <v>119.39</v>
      </c>
      <c r="G304" s="8" t="n">
        <f aca="false">IFERROR(INDEX('TRANS'!$B:$B,MATCH($B304,'TRANS'!$A:$A,0)),IFERROR(INDEX('TRANS'!$B:$B,MATCH(TRIM(SUBSTITUTE($B304,CHAR(160)," ")),'TRANS'!$D:$D,0)),IFERROR(INDEX('Catalog'!$A:$A,MATCH($B304,'Catalog'!$B:$B,0)),IFERROR(INDEX('Catalog'!$A:$A,MATCH(TRIM(SUBSTITUTE($B304,CHAR(160)," ")),'Catalog'!$C:$C,0)),""))))</f>
        <v>4413399</v>
      </c>
      <c r="H304" s="8" t="str">
        <f aca="false">IFERROR(INDEX('TRANS'!$C:$C,MATCH($B304,'TRANS'!$A:$A,0)),IFERROR(INDEX('Catalog'!$B:$B,MATCH($G304,'Catalog'!$A:$A,0)),$B304))</f>
        <v>21 XS מגן יד</v>
      </c>
      <c r="I304" s="8" t="str">
        <f aca="false">IF($G304="","Unmatched","Matched")</f>
        <v>Matched</v>
      </c>
    </row>
    <row r="305" customFormat="false" ht="15" hidden="false" customHeight="false" outlineLevel="0" collapsed="false">
      <c r="A305" s="8" t="s">
        <v>51</v>
      </c>
      <c r="B305" s="8" t="s">
        <v>351</v>
      </c>
      <c r="C305" s="19" t="n">
        <v>0</v>
      </c>
      <c r="D305" s="19" t="n">
        <v>0</v>
      </c>
      <c r="E305" s="19" t="n">
        <v>3</v>
      </c>
      <c r="F305" s="19" t="n">
        <v>199.53</v>
      </c>
      <c r="G305" s="8" t="str">
        <f aca="false">IFERROR(INDEX('TRANS'!$B:$B,MATCH($B305,'TRANS'!$A:$A,0)),IFERROR(INDEX('TRANS'!$B:$B,MATCH(TRIM(SUBSTITUTE($B305,CHAR(160)," ")),'TRANS'!$D:$D,0)),IFERROR(INDEX('Catalog'!$A:$A,MATCH($B305,'Catalog'!$B:$B,0)),IFERROR(INDEX('Catalog'!$A:$A,MATCH(TRIM(SUBSTITUTE($B305,CHAR(160)," ")),'Catalog'!$C:$C,0)),""))))</f>
        <v/>
      </c>
      <c r="H305" s="8" t="str">
        <f aca="false">IFERROR(INDEX('TRANS'!$C:$C,MATCH($B305,'TRANS'!$A:$A,0)),IFERROR(INDEX('Catalog'!$B:$B,MATCH($G305,'Catalog'!$A:$A,0)),$B305))</f>
        <v>25 L</v>
      </c>
      <c r="I305" s="8" t="str">
        <f aca="false">IF($G305="","Unmatched","Matched")</f>
        <v>Unmatched</v>
      </c>
    </row>
    <row r="306" customFormat="false" ht="15" hidden="false" customHeight="false" outlineLevel="0" collapsed="false">
      <c r="A306" s="8" t="s">
        <v>51</v>
      </c>
      <c r="B306" s="8" t="s">
        <v>352</v>
      </c>
      <c r="C306" s="19" t="n">
        <v>4</v>
      </c>
      <c r="D306" s="19" t="n">
        <v>412.29</v>
      </c>
      <c r="E306" s="19" t="n">
        <v>0</v>
      </c>
      <c r="F306" s="19" t="n">
        <v>0</v>
      </c>
      <c r="G306" s="8" t="n">
        <f aca="false">IFERROR(INDEX('TRANS'!$B:$B,MATCH($B306,'TRANS'!$A:$A,0)),IFERROR(INDEX('TRANS'!$B:$B,MATCH(TRIM(SUBSTITUTE($B306,CHAR(160)," ")),'TRANS'!$D:$D,0)),IFERROR(INDEX('Catalog'!$A:$A,MATCH($B306,'Catalog'!$B:$B,0)),IFERROR(INDEX('Catalog'!$A:$A,MATCH(TRIM(SUBSTITUTE($B306,CHAR(160)," ")),'Catalog'!$C:$C,0)),""))))</f>
        <v>4415002</v>
      </c>
      <c r="H306" s="8" t="str">
        <f aca="false">IFERROR(INDEX('TRANS'!$C:$C,MATCH($B306,'TRANS'!$A:$A,0)),IFERROR(INDEX('Catalog'!$B:$B,MATCH($G306,'Catalog'!$A:$A,0)),$B306))</f>
        <v>26 S סד ליד דו צדדי לאחר שבר</v>
      </c>
      <c r="I306" s="8" t="str">
        <f aca="false">IF($G306="","Unmatched","Matched")</f>
        <v>Matched</v>
      </c>
    </row>
    <row r="307" customFormat="false" ht="15" hidden="false" customHeight="false" outlineLevel="0" collapsed="false">
      <c r="A307" s="8" t="s">
        <v>51</v>
      </c>
      <c r="B307" s="8" t="s">
        <v>353</v>
      </c>
      <c r="C307" s="19" t="n">
        <v>0</v>
      </c>
      <c r="D307" s="19" t="n">
        <v>0</v>
      </c>
      <c r="E307" s="19" t="n">
        <v>2</v>
      </c>
      <c r="F307" s="19" t="n">
        <v>142.39</v>
      </c>
      <c r="G307" s="8" t="n">
        <f aca="false">IFERROR(INDEX('TRANS'!$B:$B,MATCH($B307,'TRANS'!$A:$A,0)),IFERROR(INDEX('TRANS'!$B:$B,MATCH(TRIM(SUBSTITUTE($B307,CHAR(160)," ")),'TRANS'!$D:$D,0)),IFERROR(INDEX('Catalog'!$A:$A,MATCH($B307,'Catalog'!$B:$B,0)),IFERROR(INDEX('Catalog'!$A:$A,MATCH(TRIM(SUBSTITUTE($B307,CHAR(160)," ")),'Catalog'!$C:$C,0)),""))))</f>
        <v>4420036</v>
      </c>
      <c r="H307" s="8" t="str">
        <f aca="false">IFERROR(INDEX('TRANS'!$C:$C,MATCH($B307,'TRANS'!$A:$A,0)),IFERROR(INDEX('Catalog'!$B:$B,MATCH($G307,'Catalog'!$A:$A,0)),$B307))</f>
        <v>301CM 41-45 'רפידת ג'ל בז</v>
      </c>
      <c r="I307" s="8" t="str">
        <f aca="false">IF($G307="","Unmatched","Matched")</f>
        <v>Matched</v>
      </c>
    </row>
    <row r="308" customFormat="false" ht="15" hidden="false" customHeight="false" outlineLevel="0" collapsed="false">
      <c r="A308" s="8" t="s">
        <v>51</v>
      </c>
      <c r="B308" s="8" t="s">
        <v>354</v>
      </c>
      <c r="C308" s="19" t="n">
        <v>0</v>
      </c>
      <c r="D308" s="19" t="n">
        <v>0</v>
      </c>
      <c r="E308" s="19" t="n">
        <v>3</v>
      </c>
      <c r="F308" s="19" t="n">
        <v>213.59</v>
      </c>
      <c r="G308" s="8" t="n">
        <f aca="false">IFERROR(INDEX('TRANS'!$B:$B,MATCH($B308,'TRANS'!$A:$A,0)),IFERROR(INDEX('TRANS'!$B:$B,MATCH(TRIM(SUBSTITUTE($B308,CHAR(160)," ")),'TRANS'!$D:$D,0)),IFERROR(INDEX('Catalog'!$A:$A,MATCH($B308,'Catalog'!$B:$B,0)),IFERROR(INDEX('Catalog'!$A:$A,MATCH(TRIM(SUBSTITUTE($B308,CHAR(160)," ")),'Catalog'!$C:$C,0)),""))))</f>
        <v>4420035</v>
      </c>
      <c r="H308" s="8" t="str">
        <f aca="false">IFERROR(INDEX('TRANS'!$C:$C,MATCH($B308,'TRANS'!$A:$A,0)),IFERROR(INDEX('Catalog'!$B:$B,MATCH($G308,'Catalog'!$A:$A,0)),$B308))</f>
        <v>301CW 36-40 'רפידת ג'ל בז</v>
      </c>
      <c r="I308" s="8" t="str">
        <f aca="false">IF($G308="","Unmatched","Matched")</f>
        <v>Matched</v>
      </c>
    </row>
    <row r="309" customFormat="false" ht="15" hidden="false" customHeight="false" outlineLevel="0" collapsed="false">
      <c r="A309" s="8" t="s">
        <v>51</v>
      </c>
      <c r="B309" s="8" t="s">
        <v>355</v>
      </c>
      <c r="C309" s="19" t="n">
        <v>1</v>
      </c>
      <c r="D309" s="19" t="n">
        <v>71.2</v>
      </c>
      <c r="E309" s="19" t="n">
        <v>0</v>
      </c>
      <c r="F309" s="19" t="n">
        <v>0</v>
      </c>
      <c r="G309" s="8" t="str">
        <f aca="false">IFERROR(INDEX('TRANS'!$B:$B,MATCH($B309,'TRANS'!$A:$A,0)),IFERROR(INDEX('TRANS'!$B:$B,MATCH(TRIM(SUBSTITUTE($B309,CHAR(160)," ")),'TRANS'!$D:$D,0)),IFERROR(INDEX('Catalog'!$A:$A,MATCH($B309,'Catalog'!$B:$B,0)),IFERROR(INDEX('Catalog'!$A:$A,MATCH(TRIM(SUBSTITUTE($B309,CHAR(160)," ")),'Catalog'!$C:$C,0)),""))))</f>
        <v/>
      </c>
      <c r="H309" s="8" t="str">
        <f aca="false">IFERROR(INDEX('TRANS'!$C:$C,MATCH($B309,'TRANS'!$A:$A,0)),IFERROR(INDEX('Catalog'!$B:$B,MATCH($G309,'Catalog'!$A:$A,0)),$B309))</f>
        <v>301JM-41-45</v>
      </c>
      <c r="I309" s="8" t="str">
        <f aca="false">IF($G309="","Unmatched","Matched")</f>
        <v>Unmatched</v>
      </c>
    </row>
    <row r="310" customFormat="false" ht="15" hidden="false" customHeight="false" outlineLevel="0" collapsed="false">
      <c r="A310" s="8" t="s">
        <v>51</v>
      </c>
      <c r="B310" s="8" t="s">
        <v>356</v>
      </c>
      <c r="C310" s="19" t="n">
        <v>0</v>
      </c>
      <c r="D310" s="19" t="n">
        <v>0</v>
      </c>
      <c r="E310" s="19" t="n">
        <v>-1</v>
      </c>
      <c r="F310" s="19" t="n">
        <v>-93.69</v>
      </c>
      <c r="G310" s="8" t="str">
        <f aca="false">IFERROR(INDEX('TRANS'!$B:$B,MATCH($B310,'TRANS'!$A:$A,0)),IFERROR(INDEX('TRANS'!$B:$B,MATCH(TRIM(SUBSTITUTE($B310,CHAR(160)," ")),'TRANS'!$D:$D,0)),IFERROR(INDEX('Catalog'!$A:$A,MATCH($B310,'Catalog'!$B:$B,0)),IFERROR(INDEX('Catalog'!$A:$A,MATCH(TRIM(SUBSTITUTE($B310,CHAR(160)," ")),'Catalog'!$C:$C,0)),""))))</f>
        <v/>
      </c>
      <c r="H310" s="8" t="str">
        <f aca="false">IFERROR(INDEX('TRANS'!$C:$C,MATCH($B310,'TRANS'!$A:$A,0)),IFERROR(INDEX('Catalog'!$B:$B,MATCH($G310,'Catalog'!$A:$A,0)),$B310))</f>
        <v>305-35-36</v>
      </c>
      <c r="I310" s="8" t="str">
        <f aca="false">IF($G310="","Unmatched","Matched")</f>
        <v>Unmatched</v>
      </c>
    </row>
    <row r="311" customFormat="false" ht="15" hidden="false" customHeight="false" outlineLevel="0" collapsed="false">
      <c r="A311" s="8" t="s">
        <v>51</v>
      </c>
      <c r="B311" s="8" t="s">
        <v>357</v>
      </c>
      <c r="C311" s="19" t="n">
        <v>2</v>
      </c>
      <c r="D311" s="19" t="n">
        <v>152.43</v>
      </c>
      <c r="E311" s="19" t="n">
        <v>3</v>
      </c>
      <c r="F311" s="19" t="n">
        <v>210.78</v>
      </c>
      <c r="G311" s="8" t="n">
        <f aca="false">IFERROR(INDEX('TRANS'!$B:$B,MATCH($B311,'TRANS'!$A:$A,0)),IFERROR(INDEX('TRANS'!$B:$B,MATCH(TRIM(SUBSTITUTE($B311,CHAR(160)," ")),'TRANS'!$D:$D,0)),IFERROR(INDEX('Catalog'!$A:$A,MATCH($B311,'Catalog'!$B:$B,0)),IFERROR(INDEX('Catalog'!$A:$A,MATCH(TRIM(SUBSTITUTE($B311,CHAR(160)," ")),'Catalog'!$C:$C,0)),""))))</f>
        <v>4413160</v>
      </c>
      <c r="H311" s="8" t="str">
        <f aca="false">IFERROR(INDEX('TRANS'!$C:$C,MATCH($B311,'TRANS'!$A:$A,0)),IFERROR(INDEX('Catalog'!$B:$B,MATCH($G311,'Catalog'!$A:$A,0)),$B311))</f>
        <v>34+ M מגן קרסול עקב סגור+רצוע</v>
      </c>
      <c r="I311" s="8" t="str">
        <f aca="false">IF($G311="","Unmatched","Matched")</f>
        <v>Matched</v>
      </c>
    </row>
    <row r="312" customFormat="false" ht="15" hidden="false" customHeight="false" outlineLevel="0" collapsed="false">
      <c r="A312" s="8" t="s">
        <v>51</v>
      </c>
      <c r="B312" s="8" t="s">
        <v>358</v>
      </c>
      <c r="C312" s="19" t="n">
        <v>4</v>
      </c>
      <c r="D312" s="19" t="n">
        <v>174.79</v>
      </c>
      <c r="E312" s="19" t="n">
        <v>8</v>
      </c>
      <c r="F312" s="19" t="n">
        <v>299.64</v>
      </c>
      <c r="G312" s="8" t="n">
        <f aca="false">IFERROR(INDEX('TRANS'!$B:$B,MATCH($B312,'TRANS'!$A:$A,0)),IFERROR(INDEX('TRANS'!$B:$B,MATCH(TRIM(SUBSTITUTE($B312,CHAR(160)," ")),'TRANS'!$D:$D,0)),IFERROR(INDEX('Catalog'!$A:$A,MATCH($B312,'Catalog'!$B:$B,0)),IFERROR(INDEX('Catalog'!$A:$A,MATCH(TRIM(SUBSTITUTE($B312,CHAR(160)," ")),'Catalog'!$C:$C,0)),""))))</f>
        <v>4403040</v>
      </c>
      <c r="H312" s="8" t="str">
        <f aca="false">IFERROR(INDEX('TRANS'!$C:$C,MATCH($B312,'TRANS'!$A:$A,0)),IFERROR(INDEX('Catalog'!$B:$B,MATCH($G312,'Catalog'!$A:$A,0)),$B312))</f>
        <v>3444B גרבי ג'ל לריכוך עור העקב</v>
      </c>
      <c r="I312" s="8" t="str">
        <f aca="false">IF($G312="","Unmatched","Matched")</f>
        <v>Matched</v>
      </c>
    </row>
    <row r="313" customFormat="false" ht="15" hidden="false" customHeight="false" outlineLevel="0" collapsed="false">
      <c r="A313" s="8" t="s">
        <v>51</v>
      </c>
      <c r="B313" s="8" t="s">
        <v>359</v>
      </c>
      <c r="C313" s="19" t="n">
        <v>2</v>
      </c>
      <c r="D313" s="19" t="n">
        <v>61.79</v>
      </c>
      <c r="E313" s="19" t="n">
        <v>0</v>
      </c>
      <c r="F313" s="19" t="n">
        <v>0</v>
      </c>
      <c r="G313" s="8" t="n">
        <f aca="false">IFERROR(INDEX('TRANS'!$B:$B,MATCH($B313,'TRANS'!$A:$A,0)),IFERROR(INDEX('TRANS'!$B:$B,MATCH(TRIM(SUBSTITUTE($B313,CHAR(160)," ")),'TRANS'!$D:$D,0)),IFERROR(INDEX('Catalog'!$A:$A,MATCH($B313,'Catalog'!$B:$B,0)),IFERROR(INDEX('Catalog'!$A:$A,MATCH(TRIM(SUBSTITUTE($B313,CHAR(160)," ")),'Catalog'!$C:$C,0)),""))))</f>
        <v>4413047</v>
      </c>
      <c r="H313" s="8" t="str">
        <f aca="false">IFERROR(INDEX('TRANS'!$C:$C,MATCH($B313,'TRANS'!$A:$A,0)),IFERROR(INDEX('Catalog'!$B:$B,MATCH($G313,'Catalog'!$A:$A,0)),$B313))</f>
        <v>35 S מגן קרסול לבן</v>
      </c>
      <c r="I313" s="8" t="str">
        <f aca="false">IF($G313="","Unmatched","Matched")</f>
        <v>Matched</v>
      </c>
    </row>
    <row r="314" customFormat="false" ht="15" hidden="false" customHeight="false" outlineLevel="0" collapsed="false">
      <c r="A314" s="8" t="s">
        <v>51</v>
      </c>
      <c r="B314" s="8" t="s">
        <v>360</v>
      </c>
      <c r="C314" s="19" t="n">
        <v>2</v>
      </c>
      <c r="D314" s="19" t="n">
        <v>61.79</v>
      </c>
      <c r="E314" s="19" t="n">
        <v>2</v>
      </c>
      <c r="F314" s="19" t="n">
        <v>61.78</v>
      </c>
      <c r="G314" s="8" t="n">
        <f aca="false">IFERROR(INDEX('TRANS'!$B:$B,MATCH($B314,'TRANS'!$A:$A,0)),IFERROR(INDEX('TRANS'!$B:$B,MATCH(TRIM(SUBSTITUTE($B314,CHAR(160)," ")),'TRANS'!$D:$D,0)),IFERROR(INDEX('Catalog'!$A:$A,MATCH($B314,'Catalog'!$B:$B,0)),IFERROR(INDEX('Catalog'!$A:$A,MATCH(TRIM(SUBSTITUTE($B314,CHAR(160)," ")),'Catalog'!$C:$C,0)),""))))</f>
        <v>4413050</v>
      </c>
      <c r="H314" s="8" t="str">
        <f aca="false">IFERROR(INDEX('TRANS'!$C:$C,MATCH($B314,'TRANS'!$A:$A,0)),IFERROR(INDEX('Catalog'!$B:$B,MATCH($G314,'Catalog'!$A:$A,0)),$B314))</f>
        <v>35 XL מגן קרסול לבן</v>
      </c>
      <c r="I314" s="8" t="str">
        <f aca="false">IF($G314="","Unmatched","Matched")</f>
        <v>Matched</v>
      </c>
    </row>
    <row r="315" customFormat="false" ht="15" hidden="false" customHeight="false" outlineLevel="0" collapsed="false">
      <c r="A315" s="8" t="s">
        <v>51</v>
      </c>
      <c r="B315" s="8" t="s">
        <v>361</v>
      </c>
      <c r="C315" s="19" t="n">
        <v>0</v>
      </c>
      <c r="D315" s="19" t="n">
        <v>0</v>
      </c>
      <c r="E315" s="19" t="n">
        <v>4</v>
      </c>
      <c r="F315" s="19" t="n">
        <v>123.57</v>
      </c>
      <c r="G315" s="8" t="str">
        <f aca="false">IFERROR(INDEX('TRANS'!$B:$B,MATCH($B315,'TRANS'!$A:$A,0)),IFERROR(INDEX('TRANS'!$B:$B,MATCH(TRIM(SUBSTITUTE($B315,CHAR(160)," ")),'TRANS'!$D:$D,0)),IFERROR(INDEX('Catalog'!$A:$A,MATCH($B315,'Catalog'!$B:$B,0)),IFERROR(INDEX('Catalog'!$A:$A,MATCH(TRIM(SUBSTITUTE($B315,CHAR(160)," ")),'Catalog'!$C:$C,0)),""))))</f>
        <v/>
      </c>
      <c r="H315" s="8" t="str">
        <f aca="false">IFERROR(INDEX('TRANS'!$C:$C,MATCH($B315,'TRANS'!$A:$A,0)),IFERROR(INDEX('Catalog'!$B:$B,MATCH($G315,'Catalog'!$A:$A,0)),$B315))</f>
        <v>35 XS</v>
      </c>
      <c r="I315" s="8" t="str">
        <f aca="false">IF($G315="","Unmatched","Matched")</f>
        <v>Unmatched</v>
      </c>
    </row>
    <row r="316" customFormat="false" ht="15" hidden="false" customHeight="false" outlineLevel="0" collapsed="false">
      <c r="A316" s="8" t="s">
        <v>51</v>
      </c>
      <c r="B316" s="8" t="s">
        <v>362</v>
      </c>
      <c r="C316" s="19" t="n">
        <v>2</v>
      </c>
      <c r="D316" s="19" t="n">
        <v>61.79</v>
      </c>
      <c r="E316" s="19" t="n">
        <v>0</v>
      </c>
      <c r="F316" s="19" t="n">
        <v>0</v>
      </c>
      <c r="G316" s="8" t="n">
        <f aca="false">IFERROR(INDEX('TRANS'!$B:$B,MATCH($B316,'TRANS'!$A:$A,0)),IFERROR(INDEX('TRANS'!$B:$B,MATCH(TRIM(SUBSTITUTE($B316,CHAR(160)," ")),'TRANS'!$D:$D,0)),IFERROR(INDEX('Catalog'!$A:$A,MATCH($B316,'Catalog'!$B:$B,0)),IFERROR(INDEX('Catalog'!$A:$A,MATCH(TRIM(SUBSTITUTE($B316,CHAR(160)," ")),'Catalog'!$C:$C,0)),""))))</f>
        <v>4413051</v>
      </c>
      <c r="H316" s="8" t="str">
        <f aca="false">IFERROR(INDEX('TRANS'!$C:$C,MATCH($B316,'TRANS'!$A:$A,0)),IFERROR(INDEX('Catalog'!$B:$B,MATCH($G316,'Catalog'!$A:$A,0)),$B316))</f>
        <v>35 XXL מגן קרסול לבן</v>
      </c>
      <c r="I316" s="8" t="str">
        <f aca="false">IF($G316="","Unmatched","Matched")</f>
        <v>Matched</v>
      </c>
    </row>
    <row r="317" customFormat="false" ht="15" hidden="false" customHeight="false" outlineLevel="0" collapsed="false">
      <c r="A317" s="8" t="s">
        <v>51</v>
      </c>
      <c r="B317" s="8" t="s">
        <v>363</v>
      </c>
      <c r="C317" s="19" t="n">
        <v>2</v>
      </c>
      <c r="D317" s="19" t="n">
        <v>61.79</v>
      </c>
      <c r="E317" s="19" t="n">
        <v>0</v>
      </c>
      <c r="F317" s="19" t="n">
        <v>0</v>
      </c>
      <c r="G317" s="8" t="n">
        <f aca="false">IFERROR(INDEX('TRANS'!$B:$B,MATCH($B317,'TRANS'!$A:$A,0)),IFERROR(INDEX('TRANS'!$B:$B,MATCH(TRIM(SUBSTITUTE($B317,CHAR(160)," ")),'TRANS'!$D:$D,0)),IFERROR(INDEX('Catalog'!$A:$A,MATCH($B317,'Catalog'!$B:$B,0)),IFERROR(INDEX('Catalog'!$A:$A,MATCH(TRIM(SUBSTITUTE($B317,CHAR(160)," ")),'Catalog'!$C:$C,0)),""))))</f>
        <v>4413055</v>
      </c>
      <c r="H317" s="8" t="str">
        <f aca="false">IFERROR(INDEX('TRANS'!$C:$C,MATCH($B317,'TRANS'!$A:$A,0)),IFERROR(INDEX('Catalog'!$B:$B,MATCH($G317,'Catalog'!$A:$A,0)),$B317))</f>
        <v>35C XL מגן קרסול חום</v>
      </c>
      <c r="I317" s="8" t="str">
        <f aca="false">IF($G317="","Unmatched","Matched")</f>
        <v>Matched</v>
      </c>
    </row>
    <row r="318" customFormat="false" ht="15" hidden="false" customHeight="false" outlineLevel="0" collapsed="false">
      <c r="A318" s="8" t="s">
        <v>51</v>
      </c>
      <c r="B318" s="8" t="s">
        <v>364</v>
      </c>
      <c r="C318" s="19" t="n">
        <v>3</v>
      </c>
      <c r="D318" s="19" t="n">
        <v>127.82</v>
      </c>
      <c r="E318" s="19" t="n">
        <v>0</v>
      </c>
      <c r="F318" s="19" t="n">
        <v>0</v>
      </c>
      <c r="G318" s="8" t="str">
        <f aca="false">IFERROR(INDEX('TRANS'!$B:$B,MATCH($B318,'TRANS'!$A:$A,0)),IFERROR(INDEX('TRANS'!$B:$B,MATCH(TRIM(SUBSTITUTE($B318,CHAR(160)," ")),'TRANS'!$D:$D,0)),IFERROR(INDEX('Catalog'!$A:$A,MATCH($B318,'Catalog'!$B:$B,0)),IFERROR(INDEX('Catalog'!$A:$A,MATCH(TRIM(SUBSTITUTE($B318,CHAR(160)," ")),'Catalog'!$C:$C,0)),""))))</f>
        <v/>
      </c>
      <c r="H318" s="8" t="str">
        <f aca="false">IFERROR(INDEX('TRANS'!$C:$C,MATCH($B318,'TRANS'!$A:$A,0)),IFERROR(INDEX('Catalog'!$B:$B,MATCH($G318,'Catalog'!$A:$A,0)),$B318))</f>
        <v>377-36</v>
      </c>
      <c r="I318" s="8" t="str">
        <f aca="false">IF($G318="","Unmatched","Matched")</f>
        <v>Unmatched</v>
      </c>
    </row>
    <row r="319" customFormat="false" ht="15" hidden="false" customHeight="false" outlineLevel="0" collapsed="false">
      <c r="A319" s="8" t="s">
        <v>51</v>
      </c>
      <c r="B319" s="8" t="s">
        <v>365</v>
      </c>
      <c r="C319" s="19" t="n">
        <v>0</v>
      </c>
      <c r="D319" s="19" t="n">
        <v>0</v>
      </c>
      <c r="E319" s="19" t="n">
        <v>6</v>
      </c>
      <c r="F319" s="19" t="n">
        <v>255.64</v>
      </c>
      <c r="G319" s="8" t="str">
        <f aca="false">IFERROR(INDEX('TRANS'!$B:$B,MATCH($B319,'TRANS'!$A:$A,0)),IFERROR(INDEX('TRANS'!$B:$B,MATCH(TRIM(SUBSTITUTE($B319,CHAR(160)," ")),'TRANS'!$D:$D,0)),IFERROR(INDEX('Catalog'!$A:$A,MATCH($B319,'Catalog'!$B:$B,0)),IFERROR(INDEX('Catalog'!$A:$A,MATCH(TRIM(SUBSTITUTE($B319,CHAR(160)," ")),'Catalog'!$C:$C,0)),""))))</f>
        <v/>
      </c>
      <c r="H319" s="8" t="str">
        <f aca="false">IFERROR(INDEX('TRANS'!$C:$C,MATCH($B319,'TRANS'!$A:$A,0)),IFERROR(INDEX('Catalog'!$B:$B,MATCH($G319,'Catalog'!$A:$A,0)),$B319))</f>
        <v>377-41</v>
      </c>
      <c r="I319" s="8" t="str">
        <f aca="false">IF($G319="","Unmatched","Matched")</f>
        <v>Unmatched</v>
      </c>
    </row>
    <row r="320" customFormat="false" ht="15" hidden="false" customHeight="false" outlineLevel="0" collapsed="false">
      <c r="A320" s="8" t="s">
        <v>51</v>
      </c>
      <c r="B320" s="8" t="s">
        <v>366</v>
      </c>
      <c r="C320" s="19" t="n">
        <v>12</v>
      </c>
      <c r="D320" s="19" t="n">
        <v>324</v>
      </c>
      <c r="E320" s="19" t="n">
        <v>0</v>
      </c>
      <c r="F320" s="19" t="n">
        <v>0</v>
      </c>
      <c r="G320" s="8" t="n">
        <f aca="false">IFERROR(INDEX('TRANS'!$B:$B,MATCH($B320,'TRANS'!$A:$A,0)),IFERROR(INDEX('TRANS'!$B:$B,MATCH(TRIM(SUBSTITUTE($B320,CHAR(160)," ")),'TRANS'!$D:$D,0)),IFERROR(INDEX('Catalog'!$A:$A,MATCH($B320,'Catalog'!$B:$B,0)),IFERROR(INDEX('Catalog'!$A:$A,MATCH(TRIM(SUBSTITUTE($B320,CHAR(160)," ")),'Catalog'!$C:$C,0)),""))))</f>
        <v>4403008</v>
      </c>
      <c r="H320" s="8" t="str">
        <f aca="false">IFERROR(INDEX('TRANS'!$C:$C,MATCH($B320,'TRANS'!$A:$A,0)),IFERROR(INDEX('Catalog'!$B:$B,MATCH($G320,'Catalog'!$A:$A,0)),$B320))</f>
        <v>390W גרב.כסף לסכרתיים לבן43-46</v>
      </c>
      <c r="I320" s="8" t="str">
        <f aca="false">IF($G320="","Unmatched","Matched")</f>
        <v>Matched</v>
      </c>
    </row>
    <row r="321" customFormat="false" ht="15" hidden="false" customHeight="false" outlineLevel="0" collapsed="false">
      <c r="A321" s="8" t="s">
        <v>51</v>
      </c>
      <c r="B321" s="8" t="s">
        <v>367</v>
      </c>
      <c r="C321" s="19" t="n">
        <v>4</v>
      </c>
      <c r="D321" s="19" t="n">
        <v>472.53</v>
      </c>
      <c r="E321" s="19" t="n">
        <v>0</v>
      </c>
      <c r="F321" s="19" t="n">
        <v>0</v>
      </c>
      <c r="G321" s="8" t="n">
        <f aca="false">IFERROR(INDEX('TRANS'!$B:$B,MATCH($B321,'TRANS'!$A:$A,0)),IFERROR(INDEX('TRANS'!$B:$B,MATCH(TRIM(SUBSTITUTE($B321,CHAR(160)," ")),'TRANS'!$D:$D,0)),IFERROR(INDEX('Catalog'!$A:$A,MATCH($B321,'Catalog'!$B:$B,0)),IFERROR(INDEX('Catalog'!$A:$A,MATCH(TRIM(SUBSTITUTE($B321,CHAR(160)," ")),'Catalog'!$C:$C,0)),""))))</f>
        <v>4413072</v>
      </c>
      <c r="H321" s="8" t="str">
        <f aca="false">IFERROR(INDEX('TRANS'!$C:$C,MATCH($B321,'TRANS'!$A:$A,0)),IFERROR(INDEX('Catalog'!$B:$B,MATCH($G321,'Catalog'!$A:$A,0)),$B321))</f>
        <v>41 Lמ.ברך מוצלב+ספירלות בצדדים</v>
      </c>
      <c r="I321" s="8" t="str">
        <f aca="false">IF($G321="","Unmatched","Matched")</f>
        <v>Matched</v>
      </c>
    </row>
    <row r="322" customFormat="false" ht="15" hidden="false" customHeight="false" outlineLevel="0" collapsed="false">
      <c r="A322" s="8" t="s">
        <v>51</v>
      </c>
      <c r="B322" s="8" t="s">
        <v>368</v>
      </c>
      <c r="C322" s="19" t="n">
        <v>2</v>
      </c>
      <c r="D322" s="19" t="n">
        <v>255.18</v>
      </c>
      <c r="E322" s="19" t="n">
        <v>0</v>
      </c>
      <c r="F322" s="19" t="n">
        <v>0</v>
      </c>
      <c r="G322" s="8" t="str">
        <f aca="false">IFERROR(INDEX('TRANS'!$B:$B,MATCH($B322,'TRANS'!$A:$A,0)),IFERROR(INDEX('TRANS'!$B:$B,MATCH(TRIM(SUBSTITUTE($B322,CHAR(160)," ")),'TRANS'!$D:$D,0)),IFERROR(INDEX('Catalog'!$A:$A,MATCH($B322,'Catalog'!$B:$B,0)),IFERROR(INDEX('Catalog'!$A:$A,MATCH(TRIM(SUBSTITUTE($B322,CHAR(160)," ")),'Catalog'!$C:$C,0)),""))))</f>
        <v/>
      </c>
      <c r="H322" s="8" t="str">
        <f aca="false">IFERROR(INDEX('TRANS'!$C:$C,MATCH($B322,'TRANS'!$A:$A,0)),IFERROR(INDEX('Catalog'!$B:$B,MATCH($G322,'Catalog'!$A:$A,0)),$B322))</f>
        <v>41X M</v>
      </c>
      <c r="I322" s="8" t="str">
        <f aca="false">IF($G322="","Unmatched","Matched")</f>
        <v>Unmatched</v>
      </c>
    </row>
    <row r="323" customFormat="false" ht="15" hidden="false" customHeight="false" outlineLevel="0" collapsed="false">
      <c r="A323" s="8" t="s">
        <v>51</v>
      </c>
      <c r="B323" s="8" t="s">
        <v>369</v>
      </c>
      <c r="C323" s="19" t="n">
        <v>4</v>
      </c>
      <c r="D323" s="19" t="n">
        <v>543.54</v>
      </c>
      <c r="E323" s="19" t="n">
        <v>0</v>
      </c>
      <c r="F323" s="19" t="n">
        <v>0</v>
      </c>
      <c r="G323" s="8" t="str">
        <f aca="false">IFERROR(INDEX('TRANS'!$B:$B,MATCH($B323,'TRANS'!$A:$A,0)),IFERROR(INDEX('TRANS'!$B:$B,MATCH(TRIM(SUBSTITUTE($B323,CHAR(160)," ")),'TRANS'!$D:$D,0)),IFERROR(INDEX('Catalog'!$A:$A,MATCH($B323,'Catalog'!$B:$B,0)),IFERROR(INDEX('Catalog'!$A:$A,MATCH(TRIM(SUBSTITUTE($B323,CHAR(160)," ")),'Catalog'!$C:$C,0)),""))))</f>
        <v/>
      </c>
      <c r="H323" s="8" t="str">
        <f aca="false">IFERROR(INDEX('TRANS'!$C:$C,MATCH($B323,'TRANS'!$A:$A,0)),IFERROR(INDEX('Catalog'!$B:$B,MATCH($G323,'Catalog'!$A:$A,0)),$B323))</f>
        <v>41X XXL</v>
      </c>
      <c r="I323" s="8" t="str">
        <f aca="false">IF($G323="","Unmatched","Matched")</f>
        <v>Unmatched</v>
      </c>
    </row>
    <row r="324" customFormat="false" ht="15" hidden="false" customHeight="false" outlineLevel="0" collapsed="false">
      <c r="A324" s="8" t="s">
        <v>51</v>
      </c>
      <c r="B324" s="8" t="s">
        <v>370</v>
      </c>
      <c r="C324" s="19" t="n">
        <v>5</v>
      </c>
      <c r="D324" s="19" t="n">
        <v>866.13</v>
      </c>
      <c r="E324" s="19" t="n">
        <v>0</v>
      </c>
      <c r="F324" s="19" t="n">
        <v>0</v>
      </c>
      <c r="G324" s="8" t="str">
        <f aca="false">IFERROR(INDEX('TRANS'!$B:$B,MATCH($B324,'TRANS'!$A:$A,0)),IFERROR(INDEX('TRANS'!$B:$B,MATCH(TRIM(SUBSTITUTE($B324,CHAR(160)," ")),'TRANS'!$D:$D,0)),IFERROR(INDEX('Catalog'!$A:$A,MATCH($B324,'Catalog'!$B:$B,0)),IFERROR(INDEX('Catalog'!$A:$A,MATCH(TRIM(SUBSTITUTE($B324,CHAR(160)," ")),'Catalog'!$C:$C,0)),""))))</f>
        <v/>
      </c>
      <c r="H324" s="8" t="str">
        <f aca="false">IFERROR(INDEX('TRANS'!$C:$C,MATCH($B324,'TRANS'!$A:$A,0)),IFERROR(INDEX('Catalog'!$B:$B,MATCH($G324,'Catalog'!$A:$A,0)),$B324))</f>
        <v>422E XL</v>
      </c>
      <c r="I324" s="8" t="str">
        <f aca="false">IF($G324="","Unmatched","Matched")</f>
        <v>Unmatched</v>
      </c>
    </row>
    <row r="325" customFormat="false" ht="15" hidden="false" customHeight="false" outlineLevel="0" collapsed="false">
      <c r="A325" s="8" t="s">
        <v>51</v>
      </c>
      <c r="B325" s="8" t="s">
        <v>371</v>
      </c>
      <c r="C325" s="19" t="n">
        <v>2</v>
      </c>
      <c r="D325" s="19" t="n">
        <v>256</v>
      </c>
      <c r="E325" s="19" t="n">
        <v>0</v>
      </c>
      <c r="F325" s="19" t="n">
        <v>0</v>
      </c>
      <c r="G325" s="8" t="str">
        <f aca="false">IFERROR(INDEX('TRANS'!$B:$B,MATCH($B325,'TRANS'!$A:$A,0)),IFERROR(INDEX('TRANS'!$B:$B,MATCH(TRIM(SUBSTITUTE($B325,CHAR(160)," ")),'TRANS'!$D:$D,0)),IFERROR(INDEX('Catalog'!$A:$A,MATCH($B325,'Catalog'!$B:$B,0)),IFERROR(INDEX('Catalog'!$A:$A,MATCH(TRIM(SUBSTITUTE($B325,CHAR(160)," ")),'Catalog'!$C:$C,0)),""))))</f>
        <v/>
      </c>
      <c r="H325" s="8" t="str">
        <f aca="false">IFERROR(INDEX('TRANS'!$C:$C,MATCH($B325,'TRANS'!$A:$A,0)),IFERROR(INDEX('Catalog'!$B:$B,MATCH($G325,'Catalog'!$A:$A,0)),$B325))</f>
        <v>422E XXL</v>
      </c>
      <c r="I325" s="8" t="str">
        <f aca="false">IF($G325="","Unmatched","Matched")</f>
        <v>Unmatched</v>
      </c>
    </row>
    <row r="326" customFormat="false" ht="15" hidden="false" customHeight="false" outlineLevel="0" collapsed="false">
      <c r="A326" s="8" t="s">
        <v>51</v>
      </c>
      <c r="B326" s="8" t="s">
        <v>372</v>
      </c>
      <c r="C326" s="19" t="n">
        <v>3</v>
      </c>
      <c r="D326" s="19" t="n">
        <v>664.15</v>
      </c>
      <c r="E326" s="19" t="n">
        <v>1</v>
      </c>
      <c r="F326" s="19" t="n">
        <v>183.86</v>
      </c>
      <c r="G326" s="8" t="str">
        <f aca="false">IFERROR(INDEX('TRANS'!$B:$B,MATCH($B326,'TRANS'!$A:$A,0)),IFERROR(INDEX('TRANS'!$B:$B,MATCH(TRIM(SUBSTITUTE($B326,CHAR(160)," ")),'TRANS'!$D:$D,0)),IFERROR(INDEX('Catalog'!$A:$A,MATCH($B326,'Catalog'!$B:$B,0)),IFERROR(INDEX('Catalog'!$A:$A,MATCH(TRIM(SUBSTITUTE($B326,CHAR(160)," ")),'Catalog'!$C:$C,0)),""))))</f>
        <v/>
      </c>
      <c r="H326" s="8" t="str">
        <f aca="false">IFERROR(INDEX('TRANS'!$C:$C,MATCH($B326,'TRANS'!$A:$A,0)),IFERROR(INDEX('Catalog'!$B:$B,MATCH($G326,'Catalog'!$A:$A,0)),$B326))</f>
        <v>422EB L</v>
      </c>
      <c r="I326" s="8" t="str">
        <f aca="false">IF($G326="","Unmatched","Matched")</f>
        <v>Unmatched</v>
      </c>
    </row>
    <row r="327" customFormat="false" ht="15" hidden="false" customHeight="false" outlineLevel="0" collapsed="false">
      <c r="A327" s="8" t="s">
        <v>51</v>
      </c>
      <c r="B327" s="8" t="s">
        <v>373</v>
      </c>
      <c r="C327" s="19" t="n">
        <v>3</v>
      </c>
      <c r="D327" s="19" t="n">
        <v>609.83</v>
      </c>
      <c r="E327" s="19" t="n">
        <v>0</v>
      </c>
      <c r="F327" s="19" t="n">
        <v>0</v>
      </c>
      <c r="G327" s="8" t="str">
        <f aca="false">IFERROR(INDEX('TRANS'!$B:$B,MATCH($B327,'TRANS'!$A:$A,0)),IFERROR(INDEX('TRANS'!$B:$B,MATCH(TRIM(SUBSTITUTE($B327,CHAR(160)," ")),'TRANS'!$D:$D,0)),IFERROR(INDEX('Catalog'!$A:$A,MATCH($B327,'Catalog'!$B:$B,0)),IFERROR(INDEX('Catalog'!$A:$A,MATCH(TRIM(SUBSTITUTE($B327,CHAR(160)," ")),'Catalog'!$C:$C,0)),""))))</f>
        <v/>
      </c>
      <c r="H327" s="8" t="str">
        <f aca="false">IFERROR(INDEX('TRANS'!$C:$C,MATCH($B327,'TRANS'!$A:$A,0)),IFERROR(INDEX('Catalog'!$B:$B,MATCH($G327,'Catalog'!$A:$A,0)),$B327))</f>
        <v>422EB XL</v>
      </c>
      <c r="I327" s="8" t="str">
        <f aca="false">IF($G327="","Unmatched","Matched")</f>
        <v>Unmatched</v>
      </c>
    </row>
    <row r="328" customFormat="false" ht="15" hidden="false" customHeight="false" outlineLevel="0" collapsed="false">
      <c r="A328" s="8" t="s">
        <v>51</v>
      </c>
      <c r="B328" s="8" t="s">
        <v>374</v>
      </c>
      <c r="C328" s="19" t="n">
        <v>2</v>
      </c>
      <c r="D328" s="19" t="n">
        <v>406.45</v>
      </c>
      <c r="E328" s="19" t="n">
        <v>0</v>
      </c>
      <c r="F328" s="19" t="n">
        <v>0</v>
      </c>
      <c r="G328" s="8" t="str">
        <f aca="false">IFERROR(INDEX('TRANS'!$B:$B,MATCH($B328,'TRANS'!$A:$A,0)),IFERROR(INDEX('TRANS'!$B:$B,MATCH(TRIM(SUBSTITUTE($B328,CHAR(160)," ")),'TRANS'!$D:$D,0)),IFERROR(INDEX('Catalog'!$A:$A,MATCH($B328,'Catalog'!$B:$B,0)),IFERROR(INDEX('Catalog'!$A:$A,MATCH(TRIM(SUBSTITUTE($B328,CHAR(160)," ")),'Catalog'!$C:$C,0)),""))))</f>
        <v/>
      </c>
      <c r="H328" s="8" t="str">
        <f aca="false">IFERROR(INDEX('TRANS'!$C:$C,MATCH($B328,'TRANS'!$A:$A,0)),IFERROR(INDEX('Catalog'!$B:$B,MATCH($G328,'Catalog'!$A:$A,0)),$B328))</f>
        <v>422EB XXL</v>
      </c>
      <c r="I328" s="8" t="str">
        <f aca="false">IF($G328="","Unmatched","Matched")</f>
        <v>Unmatched</v>
      </c>
    </row>
    <row r="329" customFormat="false" ht="15" hidden="false" customHeight="false" outlineLevel="0" collapsed="false">
      <c r="A329" s="8" t="s">
        <v>51</v>
      </c>
      <c r="B329" s="8" t="s">
        <v>375</v>
      </c>
      <c r="C329" s="19" t="n">
        <v>1</v>
      </c>
      <c r="D329" s="19" t="n">
        <v>330.86</v>
      </c>
      <c r="E329" s="19" t="n">
        <v>0</v>
      </c>
      <c r="F329" s="19" t="n">
        <v>0</v>
      </c>
      <c r="G329" s="8" t="str">
        <f aca="false">IFERROR(INDEX('TRANS'!$B:$B,MATCH($B329,'TRANS'!$A:$A,0)),IFERROR(INDEX('TRANS'!$B:$B,MATCH(TRIM(SUBSTITUTE($B329,CHAR(160)," ")),'TRANS'!$D:$D,0)),IFERROR(INDEX('Catalog'!$A:$A,MATCH($B329,'Catalog'!$B:$B,0)),IFERROR(INDEX('Catalog'!$A:$A,MATCH(TRIM(SUBSTITUTE($B329,CHAR(160)," ")),'Catalog'!$C:$C,0)),""))))</f>
        <v/>
      </c>
      <c r="H329" s="8" t="str">
        <f aca="false">IFERROR(INDEX('TRANS'!$C:$C,MATCH($B329,'TRANS'!$A:$A,0)),IFERROR(INDEX('Catalog'!$B:$B,MATCH($G329,'Catalog'!$A:$A,0)),$B329))</f>
        <v>422EBD XL</v>
      </c>
      <c r="I329" s="8" t="str">
        <f aca="false">IF($G329="","Unmatched","Matched")</f>
        <v>Unmatched</v>
      </c>
    </row>
    <row r="330" customFormat="false" ht="15" hidden="false" customHeight="false" outlineLevel="0" collapsed="false">
      <c r="A330" s="8" t="s">
        <v>51</v>
      </c>
      <c r="B330" s="8" t="s">
        <v>376</v>
      </c>
      <c r="C330" s="19" t="n">
        <v>4</v>
      </c>
      <c r="D330" s="19" t="n">
        <v>144.17</v>
      </c>
      <c r="E330" s="19" t="n">
        <v>0</v>
      </c>
      <c r="F330" s="19" t="n">
        <v>0</v>
      </c>
      <c r="G330" s="8" t="n">
        <f aca="false">IFERROR(INDEX('TRANS'!$B:$B,MATCH($B330,'TRANS'!$A:$A,0)),IFERROR(INDEX('TRANS'!$B:$B,MATCH(TRIM(SUBSTITUTE($B330,CHAR(160)," ")),'TRANS'!$D:$D,0)),IFERROR(INDEX('Catalog'!$A:$A,MATCH($B330,'Catalog'!$B:$B,0)),IFERROR(INDEX('Catalog'!$A:$A,MATCH(TRIM(SUBSTITUTE($B330,CHAR(160)," ")),'Catalog'!$C:$C,0)),""))))</f>
        <v>4413092</v>
      </c>
      <c r="H330" s="8" t="str">
        <f aca="false">IFERROR(INDEX('TRANS'!$C:$C,MATCH($B330,'TRANS'!$A:$A,0)),IFERROR(INDEX('Catalog'!$B:$B,MATCH($G330,'Catalog'!$A:$A,0)),$B330))</f>
        <v>45 L מגן ברך לבן</v>
      </c>
      <c r="I330" s="8" t="str">
        <f aca="false">IF($G330="","Unmatched","Matched")</f>
        <v>Matched</v>
      </c>
    </row>
    <row r="331" customFormat="false" ht="15" hidden="false" customHeight="false" outlineLevel="0" collapsed="false">
      <c r="A331" s="8" t="s">
        <v>51</v>
      </c>
      <c r="B331" s="8" t="s">
        <v>377</v>
      </c>
      <c r="C331" s="19" t="n">
        <v>9</v>
      </c>
      <c r="D331" s="19" t="n">
        <v>295.67</v>
      </c>
      <c r="E331" s="19" t="n">
        <v>1</v>
      </c>
      <c r="F331" s="19" t="n">
        <v>0.01</v>
      </c>
      <c r="G331" s="8" t="n">
        <f aca="false">IFERROR(INDEX('TRANS'!$B:$B,MATCH($B331,'TRANS'!$A:$A,0)),IFERROR(INDEX('TRANS'!$B:$B,MATCH(TRIM(SUBSTITUTE($B331,CHAR(160)," ")),'TRANS'!$D:$D,0)),IFERROR(INDEX('Catalog'!$A:$A,MATCH($B331,'Catalog'!$B:$B,0)),IFERROR(INDEX('Catalog'!$A:$A,MATCH(TRIM(SUBSTITUTE($B331,CHAR(160)," ")),'Catalog'!$C:$C,0)),""))))</f>
        <v>4413093</v>
      </c>
      <c r="H331" s="8" t="str">
        <f aca="false">IFERROR(INDEX('TRANS'!$C:$C,MATCH($B331,'TRANS'!$A:$A,0)),IFERROR(INDEX('Catalog'!$B:$B,MATCH($G331,'Catalog'!$A:$A,0)),$B331))</f>
        <v>45 M מגן ברך לבן</v>
      </c>
      <c r="I331" s="8" t="str">
        <f aca="false">IF($G331="","Unmatched","Matched")</f>
        <v>Matched</v>
      </c>
    </row>
    <row r="332" customFormat="false" ht="15" hidden="false" customHeight="false" outlineLevel="0" collapsed="false">
      <c r="A332" s="8" t="s">
        <v>51</v>
      </c>
      <c r="B332" s="8" t="s">
        <v>378</v>
      </c>
      <c r="C332" s="19" t="n">
        <v>2</v>
      </c>
      <c r="D332" s="19" t="n">
        <v>61.79</v>
      </c>
      <c r="E332" s="19" t="n">
        <v>0</v>
      </c>
      <c r="F332" s="19" t="n">
        <v>0</v>
      </c>
      <c r="G332" s="8" t="n">
        <f aca="false">IFERROR(INDEX('TRANS'!$B:$B,MATCH($B332,'TRANS'!$A:$A,0)),IFERROR(INDEX('TRANS'!$B:$B,MATCH(TRIM(SUBSTITUTE($B332,CHAR(160)," ")),'TRANS'!$D:$D,0)),IFERROR(INDEX('Catalog'!$A:$A,MATCH($B332,'Catalog'!$B:$B,0)),IFERROR(INDEX('Catalog'!$A:$A,MATCH(TRIM(SUBSTITUTE($B332,CHAR(160)," ")),'Catalog'!$C:$C,0)),""))))</f>
        <v>4413096</v>
      </c>
      <c r="H332" s="8" t="str">
        <f aca="false">IFERROR(INDEX('TRANS'!$C:$C,MATCH($B332,'TRANS'!$A:$A,0)),IFERROR(INDEX('Catalog'!$B:$B,MATCH($G332,'Catalog'!$A:$A,0)),$B332))</f>
        <v>45 XXL מגן ברך לבן</v>
      </c>
      <c r="I332" s="8" t="str">
        <f aca="false">IF($G332="","Unmatched","Matched")</f>
        <v>Matched</v>
      </c>
    </row>
    <row r="333" customFormat="false" ht="15" hidden="false" customHeight="false" outlineLevel="0" collapsed="false">
      <c r="A333" s="8" t="s">
        <v>51</v>
      </c>
      <c r="B333" s="8" t="s">
        <v>379</v>
      </c>
      <c r="C333" s="19" t="n">
        <v>1</v>
      </c>
      <c r="D333" s="19" t="n">
        <v>41.19</v>
      </c>
      <c r="E333" s="19" t="n">
        <v>4</v>
      </c>
      <c r="F333" s="19" t="n">
        <v>123.57</v>
      </c>
      <c r="G333" s="8" t="n">
        <f aca="false">IFERROR(INDEX('TRANS'!$B:$B,MATCH($B333,'TRANS'!$A:$A,0)),IFERROR(INDEX('TRANS'!$B:$B,MATCH(TRIM(SUBSTITUTE($B333,CHAR(160)," ")),'TRANS'!$D:$D,0)),IFERROR(INDEX('Catalog'!$A:$A,MATCH($B333,'Catalog'!$B:$B,0)),IFERROR(INDEX('Catalog'!$A:$A,MATCH(TRIM(SUBSTITUTE($B333,CHAR(160)," ")),'Catalog'!$C:$C,0)),""))))</f>
        <v>4413498</v>
      </c>
      <c r="H333" s="8" t="str">
        <f aca="false">IFERROR(INDEX('TRANS'!$C:$C,MATCH($B333,'TRANS'!$A:$A,0)),IFERROR(INDEX('Catalog'!$B:$B,MATCH($G333,'Catalog'!$A:$A,0)),$B333))</f>
        <v>45B S מגן ברך שחור</v>
      </c>
      <c r="I333" s="8" t="str">
        <f aca="false">IF($G333="","Unmatched","Matched")</f>
        <v>Matched</v>
      </c>
    </row>
    <row r="334" customFormat="false" ht="15" hidden="false" customHeight="false" outlineLevel="0" collapsed="false">
      <c r="A334" s="8" t="s">
        <v>51</v>
      </c>
      <c r="B334" s="8" t="s">
        <v>380</v>
      </c>
      <c r="C334" s="19" t="n">
        <v>0</v>
      </c>
      <c r="D334" s="19" t="n">
        <v>0</v>
      </c>
      <c r="E334" s="19" t="n">
        <v>4</v>
      </c>
      <c r="F334" s="19" t="n">
        <v>123.57</v>
      </c>
      <c r="G334" s="8" t="n">
        <f aca="false">IFERROR(INDEX('TRANS'!$B:$B,MATCH($B334,'TRANS'!$A:$A,0)),IFERROR(INDEX('TRANS'!$B:$B,MATCH(TRIM(SUBSTITUTE($B334,CHAR(160)," ")),'TRANS'!$D:$D,0)),IFERROR(INDEX('Catalog'!$A:$A,MATCH($B334,'Catalog'!$B:$B,0)),IFERROR(INDEX('Catalog'!$A:$A,MATCH(TRIM(SUBSTITUTE($B334,CHAR(160)," ")),'Catalog'!$C:$C,0)),""))))</f>
        <v>4413496</v>
      </c>
      <c r="H334" s="8" t="str">
        <f aca="false">IFERROR(INDEX('TRANS'!$C:$C,MATCH($B334,'TRANS'!$A:$A,0)),IFERROR(INDEX('Catalog'!$B:$B,MATCH($G334,'Catalog'!$A:$A,0)),$B334))</f>
        <v>45B XL מגן ברך שחור</v>
      </c>
      <c r="I334" s="8" t="str">
        <f aca="false">IF($G334="","Unmatched","Matched")</f>
        <v>Matched</v>
      </c>
    </row>
    <row r="335" customFormat="false" ht="15" hidden="false" customHeight="false" outlineLevel="0" collapsed="false">
      <c r="A335" s="8" t="s">
        <v>51</v>
      </c>
      <c r="B335" s="8" t="s">
        <v>381</v>
      </c>
      <c r="C335" s="19" t="n">
        <v>0</v>
      </c>
      <c r="D335" s="19" t="n">
        <v>0</v>
      </c>
      <c r="E335" s="19" t="n">
        <v>3</v>
      </c>
      <c r="F335" s="19" t="n">
        <v>80.32</v>
      </c>
      <c r="G335" s="8" t="n">
        <f aca="false">IFERROR(INDEX('TRANS'!$B:$B,MATCH($B335,'TRANS'!$A:$A,0)),IFERROR(INDEX('TRANS'!$B:$B,MATCH(TRIM(SUBSTITUTE($B335,CHAR(160)," ")),'TRANS'!$D:$D,0)),IFERROR(INDEX('Catalog'!$A:$A,MATCH($B335,'Catalog'!$B:$B,0)),IFERROR(INDEX('Catalog'!$A:$A,MATCH(TRIM(SUBSTITUTE($B335,CHAR(160)," ")),'Catalog'!$C:$C,0)),""))))</f>
        <v>4413499</v>
      </c>
      <c r="H335" s="8" t="str">
        <f aca="false">IFERROR(INDEX('TRANS'!$C:$C,MATCH($B335,'TRANS'!$A:$A,0)),IFERROR(INDEX('Catalog'!$B:$B,MATCH($G335,'Catalog'!$A:$A,0)),$B335))</f>
        <v>45B XXLמגן ברך שחור</v>
      </c>
      <c r="I335" s="8" t="str">
        <f aca="false">IF($G335="","Unmatched","Matched")</f>
        <v>Matched</v>
      </c>
    </row>
    <row r="336" customFormat="false" ht="15" hidden="false" customHeight="false" outlineLevel="0" collapsed="false">
      <c r="A336" s="8" t="s">
        <v>51</v>
      </c>
      <c r="B336" s="8" t="s">
        <v>382</v>
      </c>
      <c r="C336" s="19" t="n">
        <v>2</v>
      </c>
      <c r="D336" s="19" t="n">
        <v>71.76</v>
      </c>
      <c r="E336" s="19" t="n">
        <v>2</v>
      </c>
      <c r="F336" s="19" t="n">
        <v>74.92</v>
      </c>
      <c r="G336" s="8" t="n">
        <f aca="false">IFERROR(INDEX('TRANS'!$B:$B,MATCH($B336,'TRANS'!$A:$A,0)),IFERROR(INDEX('TRANS'!$B:$B,MATCH(TRIM(SUBSTITUTE($B336,CHAR(160)," ")),'TRANS'!$D:$D,0)),IFERROR(INDEX('Catalog'!$A:$A,MATCH($B336,'Catalog'!$B:$B,0)),IFERROR(INDEX('Catalog'!$A:$A,MATCH(TRIM(SUBSTITUTE($B336,CHAR(160)," ")),'Catalog'!$C:$C,0)),""))))</f>
        <v>4413102</v>
      </c>
      <c r="H336" s="8" t="str">
        <f aca="false">IFERROR(INDEX('TRANS'!$C:$C,MATCH($B336,'TRANS'!$A:$A,0)),IFERROR(INDEX('Catalog'!$B:$B,MATCH($G336,'Catalog'!$A:$A,0)),$B336))</f>
        <v>45E  L        מגן ברך ארוך לבן</v>
      </c>
      <c r="I336" s="8" t="str">
        <f aca="false">IF($G336="","Unmatched","Matched")</f>
        <v>Matched</v>
      </c>
    </row>
    <row r="337" customFormat="false" ht="15" hidden="false" customHeight="false" outlineLevel="0" collapsed="false">
      <c r="A337" s="8" t="s">
        <v>51</v>
      </c>
      <c r="B337" s="8" t="s">
        <v>383</v>
      </c>
      <c r="C337" s="19" t="n">
        <v>0</v>
      </c>
      <c r="D337" s="19" t="n">
        <v>0</v>
      </c>
      <c r="E337" s="19" t="n">
        <v>3</v>
      </c>
      <c r="F337" s="19" t="n">
        <v>112.36</v>
      </c>
      <c r="G337" s="8" t="n">
        <f aca="false">IFERROR(INDEX('TRANS'!$B:$B,MATCH($B337,'TRANS'!$A:$A,0)),IFERROR(INDEX('TRANS'!$B:$B,MATCH(TRIM(SUBSTITUTE($B337,CHAR(160)," ")),'TRANS'!$D:$D,0)),IFERROR(INDEX('Catalog'!$A:$A,MATCH($B337,'Catalog'!$B:$B,0)),IFERROR(INDEX('Catalog'!$A:$A,MATCH(TRIM(SUBSTITUTE($B337,CHAR(160)," ")),'Catalog'!$C:$C,0)),""))))</f>
        <v>4413103</v>
      </c>
      <c r="H337" s="8" t="str">
        <f aca="false">IFERROR(INDEX('TRANS'!$C:$C,MATCH($B337,'TRANS'!$A:$A,0)),IFERROR(INDEX('Catalog'!$B:$B,MATCH($G337,'Catalog'!$A:$A,0)),$B337))</f>
        <v>45E Mמגן ברך ארוך לבן</v>
      </c>
      <c r="I337" s="8" t="str">
        <f aca="false">IF($G337="","Unmatched","Matched")</f>
        <v>Matched</v>
      </c>
    </row>
    <row r="338" customFormat="false" ht="15" hidden="false" customHeight="false" outlineLevel="0" collapsed="false">
      <c r="A338" s="8" t="s">
        <v>51</v>
      </c>
      <c r="B338" s="8" t="s">
        <v>384</v>
      </c>
      <c r="C338" s="19" t="n">
        <v>0</v>
      </c>
      <c r="D338" s="19" t="n">
        <v>0</v>
      </c>
      <c r="E338" s="19" t="n">
        <v>3</v>
      </c>
      <c r="F338" s="19" t="n">
        <v>112.36</v>
      </c>
      <c r="G338" s="8" t="n">
        <f aca="false">IFERROR(INDEX('TRANS'!$B:$B,MATCH($B338,'TRANS'!$A:$A,0)),IFERROR(INDEX('TRANS'!$B:$B,MATCH(TRIM(SUBSTITUTE($B338,CHAR(160)," ")),'TRANS'!$D:$D,0)),IFERROR(INDEX('Catalog'!$A:$A,MATCH($B338,'Catalog'!$B:$B,0)),IFERROR(INDEX('Catalog'!$A:$A,MATCH(TRIM(SUBSTITUTE($B338,CHAR(160)," ")),'Catalog'!$C:$C,0)),""))))</f>
        <v>4413101</v>
      </c>
      <c r="H338" s="8" t="str">
        <f aca="false">IFERROR(INDEX('TRANS'!$C:$C,MATCH($B338,'TRANS'!$A:$A,0)),IFERROR(INDEX('Catalog'!$B:$B,MATCH($G338,'Catalog'!$A:$A,0)),$B338))</f>
        <v>45E Sמגן ברך ארוך לבן</v>
      </c>
      <c r="I338" s="8" t="str">
        <f aca="false">IF($G338="","Unmatched","Matched")</f>
        <v>Matched</v>
      </c>
    </row>
    <row r="339" customFormat="false" ht="15" hidden="false" customHeight="false" outlineLevel="0" collapsed="false">
      <c r="A339" s="8" t="s">
        <v>51</v>
      </c>
      <c r="B339" s="8" t="s">
        <v>385</v>
      </c>
      <c r="C339" s="19" t="n">
        <v>2</v>
      </c>
      <c r="D339" s="19" t="n">
        <v>74.91</v>
      </c>
      <c r="E339" s="19" t="n">
        <v>0</v>
      </c>
      <c r="F339" s="19" t="n">
        <v>0</v>
      </c>
      <c r="G339" s="8" t="n">
        <f aca="false">IFERROR(INDEX('TRANS'!$B:$B,MATCH($B339,'TRANS'!$A:$A,0)),IFERROR(INDEX('TRANS'!$B:$B,MATCH(TRIM(SUBSTITUTE($B339,CHAR(160)," ")),'TRANS'!$D:$D,0)),IFERROR(INDEX('Catalog'!$A:$A,MATCH($B339,'Catalog'!$B:$B,0)),IFERROR(INDEX('Catalog'!$A:$A,MATCH(TRIM(SUBSTITUTE($B339,CHAR(160)," ")),'Catalog'!$C:$C,0)),""))))</f>
        <v>4413394</v>
      </c>
      <c r="H339" s="8" t="str">
        <f aca="false">IFERROR(INDEX('TRANS'!$C:$C,MATCH($B339,'TRANS'!$A:$A,0)),IFERROR(INDEX('Catalog'!$B:$B,MATCH($G339,'Catalog'!$A:$A,0)),$B339))</f>
        <v>45EC S 'מגן ברך ארוך בז</v>
      </c>
      <c r="I339" s="8" t="str">
        <f aca="false">IF($G339="","Unmatched","Matched")</f>
        <v>Matched</v>
      </c>
    </row>
    <row r="340" customFormat="false" ht="15" hidden="false" customHeight="false" outlineLevel="0" collapsed="false">
      <c r="A340" s="8" t="s">
        <v>51</v>
      </c>
      <c r="B340" s="8" t="s">
        <v>386</v>
      </c>
      <c r="C340" s="19" t="n">
        <v>6</v>
      </c>
      <c r="D340" s="19" t="n">
        <v>340.04</v>
      </c>
      <c r="E340" s="19" t="n">
        <v>0</v>
      </c>
      <c r="F340" s="19" t="n">
        <v>0</v>
      </c>
      <c r="G340" s="8" t="n">
        <f aca="false">IFERROR(INDEX('TRANS'!$B:$B,MATCH($B340,'TRANS'!$A:$A,0)),IFERROR(INDEX('TRANS'!$B:$B,MATCH(TRIM(SUBSTITUTE($B340,CHAR(160)," ")),'TRANS'!$D:$D,0)),IFERROR(INDEX('Catalog'!$A:$A,MATCH($B340,'Catalog'!$B:$B,0)),IFERROR(INDEX('Catalog'!$A:$A,MATCH(TRIM(SUBSTITUTE($B340,CHAR(160)," ")),'Catalog'!$C:$C,0)),""))))</f>
        <v>4413107</v>
      </c>
      <c r="H340" s="8" t="str">
        <f aca="false">IFERROR(INDEX('TRANS'!$C:$C,MATCH($B340,'TRANS'!$A:$A,0)),IFERROR(INDEX('Catalog'!$B:$B,MATCH($G340,'Catalog'!$A:$A,0)),$B340))</f>
        <v>48 L מגן ברך מחמם</v>
      </c>
      <c r="I340" s="8" t="str">
        <f aca="false">IF($G340="","Unmatched","Matched")</f>
        <v>Matched</v>
      </c>
    </row>
    <row r="341" customFormat="false" ht="15" hidden="false" customHeight="false" outlineLevel="0" collapsed="false">
      <c r="A341" s="8" t="s">
        <v>51</v>
      </c>
      <c r="B341" s="8" t="s">
        <v>387</v>
      </c>
      <c r="C341" s="19" t="n">
        <v>2</v>
      </c>
      <c r="D341" s="19" t="n">
        <v>113.34</v>
      </c>
      <c r="E341" s="19" t="n">
        <v>0</v>
      </c>
      <c r="F341" s="19" t="n">
        <v>0</v>
      </c>
      <c r="G341" s="8" t="str">
        <f aca="false">IFERROR(INDEX('TRANS'!$B:$B,MATCH($B341,'TRANS'!$A:$A,0)),IFERROR(INDEX('TRANS'!$B:$B,MATCH(TRIM(SUBSTITUTE($B341,CHAR(160)," ")),'TRANS'!$D:$D,0)),IFERROR(INDEX('Catalog'!$A:$A,MATCH($B341,'Catalog'!$B:$B,0)),IFERROR(INDEX('Catalog'!$A:$A,MATCH(TRIM(SUBSTITUTE($B341,CHAR(160)," ")),'Catalog'!$C:$C,0)),""))))</f>
        <v/>
      </c>
      <c r="H341" s="8" t="str">
        <f aca="false">IFERROR(INDEX('TRANS'!$C:$C,MATCH($B341,'TRANS'!$A:$A,0)),IFERROR(INDEX('Catalog'!$B:$B,MATCH($G341,'Catalog'!$A:$A,0)),$B341))</f>
        <v>48 S</v>
      </c>
      <c r="I341" s="8" t="str">
        <f aca="false">IF($G341="","Unmatched","Matched")</f>
        <v>Unmatched</v>
      </c>
    </row>
    <row r="342" customFormat="false" ht="15" hidden="false" customHeight="false" outlineLevel="0" collapsed="false">
      <c r="A342" s="8" t="s">
        <v>51</v>
      </c>
      <c r="B342" s="8" t="s">
        <v>388</v>
      </c>
      <c r="C342" s="19" t="n">
        <v>9</v>
      </c>
      <c r="D342" s="19" t="n">
        <v>309.77</v>
      </c>
      <c r="E342" s="19" t="n">
        <v>0</v>
      </c>
      <c r="F342" s="19" t="n">
        <v>0</v>
      </c>
      <c r="G342" s="8" t="n">
        <f aca="false">IFERROR(INDEX('TRANS'!$B:$B,MATCH($B342,'TRANS'!$A:$A,0)),IFERROR(INDEX('TRANS'!$B:$B,MATCH(TRIM(SUBSTITUTE($B342,CHAR(160)," ")),'TRANS'!$D:$D,0)),IFERROR(INDEX('Catalog'!$A:$A,MATCH($B342,'Catalog'!$B:$B,0)),IFERROR(INDEX('Catalog'!$A:$A,MATCH(TRIM(SUBSTITUTE($B342,CHAR(160)," ")),'Catalog'!$C:$C,0)),""))))</f>
        <v>4413112</v>
      </c>
      <c r="H342" s="8" t="str">
        <f aca="false">IFERROR(INDEX('TRANS'!$C:$C,MATCH($B342,'TRANS'!$A:$A,0)),IFERROR(INDEX('Catalog'!$B:$B,MATCH($G342,'Catalog'!$A:$A,0)),$B342))</f>
        <v>49  L מגן ירך</v>
      </c>
      <c r="I342" s="8" t="str">
        <f aca="false">IF($G342="","Unmatched","Matched")</f>
        <v>Matched</v>
      </c>
    </row>
    <row r="343" customFormat="false" ht="15" hidden="false" customHeight="false" outlineLevel="0" collapsed="false">
      <c r="A343" s="8" t="s">
        <v>51</v>
      </c>
      <c r="B343" s="8" t="s">
        <v>389</v>
      </c>
      <c r="C343" s="19" t="n">
        <v>6</v>
      </c>
      <c r="D343" s="19" t="n">
        <v>210.64</v>
      </c>
      <c r="E343" s="19" t="n">
        <v>10</v>
      </c>
      <c r="F343" s="19" t="n">
        <v>351.07</v>
      </c>
      <c r="G343" s="8" t="n">
        <f aca="false">IFERROR(INDEX('TRANS'!$B:$B,MATCH($B343,'TRANS'!$A:$A,0)),IFERROR(INDEX('TRANS'!$B:$B,MATCH(TRIM(SUBSTITUTE($B343,CHAR(160)," ")),'TRANS'!$D:$D,0)),IFERROR(INDEX('Catalog'!$A:$A,MATCH($B343,'Catalog'!$B:$B,0)),IFERROR(INDEX('Catalog'!$A:$A,MATCH(TRIM(SUBSTITUTE($B343,CHAR(160)," ")),'Catalog'!$C:$C,0)),""))))</f>
        <v>4413113</v>
      </c>
      <c r="H343" s="8" t="str">
        <f aca="false">IFERROR(INDEX('TRANS'!$C:$C,MATCH($B343,'TRANS'!$A:$A,0)),IFERROR(INDEX('Catalog'!$B:$B,MATCH($G343,'Catalog'!$A:$A,0)),$B343))</f>
        <v>49  M מגן ירך</v>
      </c>
      <c r="I343" s="8" t="str">
        <f aca="false">IF($G343="","Unmatched","Matched")</f>
        <v>Matched</v>
      </c>
    </row>
    <row r="344" customFormat="false" ht="15" hidden="false" customHeight="false" outlineLevel="0" collapsed="false">
      <c r="A344" s="8" t="s">
        <v>51</v>
      </c>
      <c r="B344" s="8" t="s">
        <v>390</v>
      </c>
      <c r="C344" s="19" t="n">
        <v>5</v>
      </c>
      <c r="D344" s="19" t="n">
        <v>175.54</v>
      </c>
      <c r="E344" s="19" t="n">
        <v>4</v>
      </c>
      <c r="F344" s="19" t="n">
        <v>140.43</v>
      </c>
      <c r="G344" s="8" t="n">
        <f aca="false">IFERROR(INDEX('TRANS'!$B:$B,MATCH($B344,'TRANS'!$A:$A,0)),IFERROR(INDEX('TRANS'!$B:$B,MATCH(TRIM(SUBSTITUTE($B344,CHAR(160)," ")),'TRANS'!$D:$D,0)),IFERROR(INDEX('Catalog'!$A:$A,MATCH($B344,'Catalog'!$B:$B,0)),IFERROR(INDEX('Catalog'!$A:$A,MATCH(TRIM(SUBSTITUTE($B344,CHAR(160)," ")),'Catalog'!$C:$C,0)),""))))</f>
        <v>4413111</v>
      </c>
      <c r="H344" s="8" t="str">
        <f aca="false">IFERROR(INDEX('TRANS'!$C:$C,MATCH($B344,'TRANS'!$A:$A,0)),IFERROR(INDEX('Catalog'!$B:$B,MATCH($G344,'Catalog'!$A:$A,0)),$B344))</f>
        <v>49  S מגן ירך</v>
      </c>
      <c r="I344" s="8" t="str">
        <f aca="false">IF($G344="","Unmatched","Matched")</f>
        <v>Matched</v>
      </c>
    </row>
    <row r="345" customFormat="false" ht="15" hidden="false" customHeight="false" outlineLevel="0" collapsed="false">
      <c r="A345" s="8" t="s">
        <v>51</v>
      </c>
      <c r="B345" s="8" t="s">
        <v>391</v>
      </c>
      <c r="C345" s="19" t="n">
        <v>4</v>
      </c>
      <c r="D345" s="19" t="n">
        <v>140.43</v>
      </c>
      <c r="E345" s="19" t="n">
        <v>0</v>
      </c>
      <c r="F345" s="19" t="n">
        <v>0</v>
      </c>
      <c r="G345" s="8" t="n">
        <f aca="false">IFERROR(INDEX('TRANS'!$B:$B,MATCH($B345,'TRANS'!$A:$A,0)),IFERROR(INDEX('TRANS'!$B:$B,MATCH(TRIM(SUBSTITUTE($B345,CHAR(160)," ")),'TRANS'!$D:$D,0)),IFERROR(INDEX('Catalog'!$A:$A,MATCH($B345,'Catalog'!$B:$B,0)),IFERROR(INDEX('Catalog'!$A:$A,MATCH(TRIM(SUBSTITUTE($B345,CHAR(160)," ")),'Catalog'!$C:$C,0)),""))))</f>
        <v>4413114</v>
      </c>
      <c r="H345" s="8" t="str">
        <f aca="false">IFERROR(INDEX('TRANS'!$C:$C,MATCH($B345,'TRANS'!$A:$A,0)),IFERROR(INDEX('Catalog'!$B:$B,MATCH($G345,'Catalog'!$A:$A,0)),$B345))</f>
        <v>49 XL מגן ירך</v>
      </c>
      <c r="I345" s="8" t="str">
        <f aca="false">IF($G345="","Unmatched","Matched")</f>
        <v>Matched</v>
      </c>
    </row>
    <row r="346" customFormat="false" ht="15" hidden="false" customHeight="false" outlineLevel="0" collapsed="false">
      <c r="A346" s="8" t="s">
        <v>51</v>
      </c>
      <c r="B346" s="8" t="s">
        <v>392</v>
      </c>
      <c r="C346" s="19" t="n">
        <v>0</v>
      </c>
      <c r="D346" s="19" t="n">
        <v>0</v>
      </c>
      <c r="E346" s="19" t="n">
        <v>1</v>
      </c>
      <c r="F346" s="19" t="n">
        <v>133.54</v>
      </c>
      <c r="G346" s="8" t="str">
        <f aca="false">IFERROR(INDEX('TRANS'!$B:$B,MATCH($B346,'TRANS'!$A:$A,0)),IFERROR(INDEX('TRANS'!$B:$B,MATCH(TRIM(SUBSTITUTE($B346,CHAR(160)," ")),'TRANS'!$D:$D,0)),IFERROR(INDEX('Catalog'!$A:$A,MATCH($B346,'Catalog'!$B:$B,0)),IFERROR(INDEX('Catalog'!$A:$A,MATCH(TRIM(SUBSTITUTE($B346,CHAR(160)," ")),'Catalog'!$C:$C,0)),""))))</f>
        <v/>
      </c>
      <c r="H346" s="8" t="str">
        <f aca="false">IFERROR(INDEX('TRANS'!$C:$C,MATCH($B346,'TRANS'!$A:$A,0)),IFERROR(INDEX('Catalog'!$B:$B,MATCH($G346,'Catalog'!$A:$A,0)),$B346))</f>
        <v>49PS XL</v>
      </c>
      <c r="I346" s="8" t="str">
        <f aca="false">IF($G346="","Unmatched","Matched")</f>
        <v>Unmatched</v>
      </c>
    </row>
    <row r="347" customFormat="false" ht="15" hidden="false" customHeight="false" outlineLevel="0" collapsed="false">
      <c r="A347" s="8" t="s">
        <v>51</v>
      </c>
      <c r="B347" s="8" t="s">
        <v>393</v>
      </c>
      <c r="C347" s="19" t="n">
        <v>0</v>
      </c>
      <c r="D347" s="19" t="n">
        <v>0</v>
      </c>
      <c r="E347" s="19" t="n">
        <v>2</v>
      </c>
      <c r="F347" s="19" t="n">
        <v>222.07</v>
      </c>
      <c r="G347" s="8" t="str">
        <f aca="false">IFERROR(INDEX('TRANS'!$B:$B,MATCH($B347,'TRANS'!$A:$A,0)),IFERROR(INDEX('TRANS'!$B:$B,MATCH(TRIM(SUBSTITUTE($B347,CHAR(160)," ")),'TRANS'!$D:$D,0)),IFERROR(INDEX('Catalog'!$A:$A,MATCH($B347,'Catalog'!$B:$B,0)),IFERROR(INDEX('Catalog'!$A:$A,MATCH(TRIM(SUBSTITUTE($B347,CHAR(160)," ")),'Catalog'!$C:$C,0)),""))))</f>
        <v/>
      </c>
      <c r="H347" s="8" t="str">
        <f aca="false">IFERROR(INDEX('TRANS'!$C:$C,MATCH($B347,'TRANS'!$A:$A,0)),IFERROR(INDEX('Catalog'!$B:$B,MATCH($G347,'Catalog'!$A:$A,0)),$B347))</f>
        <v>50 S</v>
      </c>
      <c r="I347" s="8" t="str">
        <f aca="false">IF($G347="","Unmatched","Matched")</f>
        <v>Unmatched</v>
      </c>
    </row>
    <row r="348" customFormat="false" ht="15" hidden="false" customHeight="false" outlineLevel="0" collapsed="false">
      <c r="A348" s="8" t="s">
        <v>51</v>
      </c>
      <c r="B348" s="8" t="s">
        <v>394</v>
      </c>
      <c r="C348" s="19" t="n">
        <v>4</v>
      </c>
      <c r="D348" s="19" t="n">
        <v>1111.42</v>
      </c>
      <c r="E348" s="19" t="n">
        <v>1</v>
      </c>
      <c r="F348" s="19" t="n">
        <v>0.01</v>
      </c>
      <c r="G348" s="8" t="n">
        <f aca="false">IFERROR(INDEX('TRANS'!$B:$B,MATCH($B348,'TRANS'!$A:$A,0)),IFERROR(INDEX('TRANS'!$B:$B,MATCH(TRIM(SUBSTITUTE($B348,CHAR(160)," ")),'TRANS'!$D:$D,0)),IFERROR(INDEX('Catalog'!$A:$A,MATCH($B348,'Catalog'!$B:$B,0)),IFERROR(INDEX('Catalog'!$A:$A,MATCH(TRIM(SUBSTITUTE($B348,CHAR(160)," ")),'Catalog'!$C:$C,0)),""))))</f>
        <v>4408071</v>
      </c>
      <c r="H348" s="8" t="str">
        <f aca="false">IFERROR(INDEX('TRANS'!$C:$C,MATCH($B348,'TRANS'!$A:$A,0)),IFERROR(INDEX('Catalog'!$B:$B,MATCH($G348,'Catalog'!$A:$A,0)),$B348))</f>
        <v>59D L חגורת שבר דו צדדי</v>
      </c>
      <c r="I348" s="8" t="str">
        <f aca="false">IF($G348="","Unmatched","Matched")</f>
        <v>Matched</v>
      </c>
    </row>
    <row r="349" customFormat="false" ht="15" hidden="false" customHeight="false" outlineLevel="0" collapsed="false">
      <c r="A349" s="8" t="s">
        <v>51</v>
      </c>
      <c r="B349" s="8" t="s">
        <v>395</v>
      </c>
      <c r="C349" s="19" t="n">
        <v>1</v>
      </c>
      <c r="D349" s="19" t="n">
        <v>125</v>
      </c>
      <c r="E349" s="19" t="n">
        <v>4</v>
      </c>
      <c r="F349" s="19" t="n">
        <v>560</v>
      </c>
      <c r="G349" s="8" t="n">
        <f aca="false">IFERROR(INDEX('TRANS'!$B:$B,MATCH($B349,'TRANS'!$A:$A,0)),IFERROR(INDEX('TRANS'!$B:$B,MATCH(TRIM(SUBSTITUTE($B349,CHAR(160)," ")),'TRANS'!$D:$D,0)),IFERROR(INDEX('Catalog'!$A:$A,MATCH($B349,'Catalog'!$B:$B,0)),IFERROR(INDEX('Catalog'!$A:$A,MATCH(TRIM(SUBSTITUTE($B349,CHAR(160)," ")),'Catalog'!$C:$C,0)),""))))</f>
        <v>4408077</v>
      </c>
      <c r="H349" s="8" t="str">
        <f aca="false">IFERROR(INDEX('TRANS'!$C:$C,MATCH($B349,'TRANS'!$A:$A,0)),IFERROR(INDEX('Catalog'!$B:$B,MATCH($G349,'Catalog'!$A:$A,0)),$B349))</f>
        <v>59L M חגורת שבר לצד שמאל</v>
      </c>
      <c r="I349" s="8" t="str">
        <f aca="false">IF($G349="","Unmatched","Matched")</f>
        <v>Matched</v>
      </c>
    </row>
    <row r="350" customFormat="false" ht="15" hidden="false" customHeight="false" outlineLevel="0" collapsed="false">
      <c r="A350" s="8" t="s">
        <v>51</v>
      </c>
      <c r="B350" s="8" t="s">
        <v>396</v>
      </c>
      <c r="C350" s="19" t="n">
        <v>4</v>
      </c>
      <c r="D350" s="19" t="n">
        <v>574.44</v>
      </c>
      <c r="E350" s="19" t="n">
        <v>2</v>
      </c>
      <c r="F350" s="19" t="n">
        <v>280</v>
      </c>
      <c r="G350" s="8" t="n">
        <f aca="false">IFERROR(INDEX('TRANS'!$B:$B,MATCH($B350,'TRANS'!$A:$A,0)),IFERROR(INDEX('TRANS'!$B:$B,MATCH(TRIM(SUBSTITUTE($B350,CHAR(160)," ")),'TRANS'!$D:$D,0)),IFERROR(INDEX('Catalog'!$A:$A,MATCH($B350,'Catalog'!$B:$B,0)),IFERROR(INDEX('Catalog'!$A:$A,MATCH(TRIM(SUBSTITUTE($B350,CHAR(160)," ")),'Catalog'!$C:$C,0)),""))))</f>
        <v>4408075</v>
      </c>
      <c r="H350" s="8" t="str">
        <f aca="false">IFERROR(INDEX('TRANS'!$C:$C,MATCH($B350,'TRANS'!$A:$A,0)),IFERROR(INDEX('Catalog'!$B:$B,MATCH($G350,'Catalog'!$A:$A,0)),$B350))</f>
        <v>59L S חגורת שבר לצד שמאל</v>
      </c>
      <c r="I350" s="8" t="str">
        <f aca="false">IF($G350="","Unmatched","Matched")</f>
        <v>Matched</v>
      </c>
    </row>
    <row r="351" customFormat="false" ht="15" hidden="false" customHeight="false" outlineLevel="0" collapsed="false">
      <c r="A351" s="8" t="s">
        <v>51</v>
      </c>
      <c r="B351" s="8" t="s">
        <v>397</v>
      </c>
      <c r="C351" s="19" t="n">
        <v>2</v>
      </c>
      <c r="D351" s="19" t="n">
        <v>280.01</v>
      </c>
      <c r="E351" s="19" t="n">
        <v>0</v>
      </c>
      <c r="F351" s="19" t="n">
        <v>0</v>
      </c>
      <c r="G351" s="8" t="n">
        <f aca="false">IFERROR(INDEX('TRANS'!$B:$B,MATCH($B351,'TRANS'!$A:$A,0)),IFERROR(INDEX('TRANS'!$B:$B,MATCH(TRIM(SUBSTITUTE($B351,CHAR(160)," ")),'TRANS'!$D:$D,0)),IFERROR(INDEX('Catalog'!$A:$A,MATCH($B351,'Catalog'!$B:$B,0)),IFERROR(INDEX('Catalog'!$A:$A,MATCH(TRIM(SUBSTITUTE($B351,CHAR(160)," ")),'Catalog'!$C:$C,0)),""))))</f>
        <v>4408078</v>
      </c>
      <c r="H351" s="8" t="str">
        <f aca="false">IFERROR(INDEX('TRANS'!$C:$C,MATCH($B351,'TRANS'!$A:$A,0)),IFERROR(INDEX('Catalog'!$B:$B,MATCH($G351,'Catalog'!$A:$A,0)),$B351))</f>
        <v>59L XLחגורת שבר לצד שמאל</v>
      </c>
      <c r="I351" s="8" t="str">
        <f aca="false">IF($G351="","Unmatched","Matched")</f>
        <v>Matched</v>
      </c>
    </row>
    <row r="352" customFormat="false" ht="15" hidden="false" customHeight="false" outlineLevel="0" collapsed="false">
      <c r="A352" s="8" t="s">
        <v>51</v>
      </c>
      <c r="B352" s="8" t="s">
        <v>398</v>
      </c>
      <c r="C352" s="19" t="n">
        <v>3</v>
      </c>
      <c r="D352" s="19" t="n">
        <v>405</v>
      </c>
      <c r="E352" s="19" t="n">
        <v>1</v>
      </c>
      <c r="F352" s="19" t="n">
        <v>34.24</v>
      </c>
      <c r="G352" s="8" t="n">
        <f aca="false">IFERROR(INDEX('TRANS'!$B:$B,MATCH($B352,'TRANS'!$A:$A,0)),IFERROR(INDEX('TRANS'!$B:$B,MATCH(TRIM(SUBSTITUTE($B352,CHAR(160)," ")),'TRANS'!$D:$D,0)),IFERROR(INDEX('Catalog'!$A:$A,MATCH($B352,'Catalog'!$B:$B,0)),IFERROR(INDEX('Catalog'!$A:$A,MATCH(TRIM(SUBSTITUTE($B352,CHAR(160)," ")),'Catalog'!$C:$C,0)),""))))</f>
        <v>4408080</v>
      </c>
      <c r="H352" s="8" t="str">
        <f aca="false">IFERROR(INDEX('TRANS'!$C:$C,MATCH($B352,'TRANS'!$A:$A,0)),IFERROR(INDEX('Catalog'!$B:$B,MATCH($G352,'Catalog'!$A:$A,0)),$B352))</f>
        <v>59R L חגורת שבר לצד ימין</v>
      </c>
      <c r="I352" s="8" t="str">
        <f aca="false">IF($G352="","Unmatched","Matched")</f>
        <v>Matched</v>
      </c>
    </row>
    <row r="353" customFormat="false" ht="15" hidden="false" customHeight="false" outlineLevel="0" collapsed="false">
      <c r="A353" s="8" t="s">
        <v>51</v>
      </c>
      <c r="B353" s="8" t="s">
        <v>399</v>
      </c>
      <c r="C353" s="19" t="n">
        <v>1</v>
      </c>
      <c r="D353" s="19" t="n">
        <v>125</v>
      </c>
      <c r="E353" s="19" t="n">
        <v>2</v>
      </c>
      <c r="F353" s="19" t="n">
        <v>280</v>
      </c>
      <c r="G353" s="8" t="n">
        <f aca="false">IFERROR(INDEX('TRANS'!$B:$B,MATCH($B353,'TRANS'!$A:$A,0)),IFERROR(INDEX('TRANS'!$B:$B,MATCH(TRIM(SUBSTITUTE($B353,CHAR(160)," ")),'TRANS'!$D:$D,0)),IFERROR(INDEX('Catalog'!$A:$A,MATCH($B353,'Catalog'!$B:$B,0)),IFERROR(INDEX('Catalog'!$A:$A,MATCH(TRIM(SUBSTITUTE($B353,CHAR(160)," ")),'Catalog'!$C:$C,0)),""))))</f>
        <v>4408082</v>
      </c>
      <c r="H353" s="8" t="str">
        <f aca="false">IFERROR(INDEX('TRANS'!$C:$C,MATCH($B353,'TRANS'!$A:$A,0)),IFERROR(INDEX('Catalog'!$B:$B,MATCH($G353,'Catalog'!$A:$A,0)),$B353))</f>
        <v>59R XL חגורת שבר לצד ימין</v>
      </c>
      <c r="I353" s="8" t="str">
        <f aca="false">IF($G353="","Unmatched","Matched")</f>
        <v>Matched</v>
      </c>
    </row>
    <row r="354" customFormat="false" ht="15" hidden="false" customHeight="false" outlineLevel="0" collapsed="false">
      <c r="A354" s="8" t="s">
        <v>51</v>
      </c>
      <c r="B354" s="8" t="s">
        <v>400</v>
      </c>
      <c r="C354" s="19" t="n">
        <v>0</v>
      </c>
      <c r="D354" s="19" t="n">
        <v>0</v>
      </c>
      <c r="E354" s="19" t="n">
        <v>3</v>
      </c>
      <c r="F354" s="19" t="n">
        <v>148.9</v>
      </c>
      <c r="G354" s="8" t="n">
        <f aca="false">IFERROR(INDEX('TRANS'!$B:$B,MATCH($B354,'TRANS'!$A:$A,0)),IFERROR(INDEX('TRANS'!$B:$B,MATCH(TRIM(SUBSTITUTE($B354,CHAR(160)," ")),'TRANS'!$D:$D,0)),IFERROR(INDEX('Catalog'!$A:$A,MATCH($B354,'Catalog'!$B:$B,0)),IFERROR(INDEX('Catalog'!$A:$A,MATCH(TRIM(SUBSTITUTE($B354,CHAR(160)," ")),'Catalog'!$C:$C,0)),""))))</f>
        <v>4418003</v>
      </c>
      <c r="H354" s="8" t="str">
        <f aca="false">IFERROR(INDEX('TRANS'!$C:$C,MATCH($B354,'TRANS'!$A:$A,0)),IFERROR(INDEX('Catalog'!$B:$B,MATCH($G354,'Catalog'!$A:$A,0)),$B354))</f>
        <v>60 XL צוארון ספוגי</v>
      </c>
      <c r="I354" s="8" t="str">
        <f aca="false">IF($G354="","Unmatched","Matched")</f>
        <v>Matched</v>
      </c>
    </row>
    <row r="355" customFormat="false" ht="15" hidden="false" customHeight="false" outlineLevel="0" collapsed="false">
      <c r="A355" s="8" t="s">
        <v>51</v>
      </c>
      <c r="B355" s="8" t="s">
        <v>401</v>
      </c>
      <c r="C355" s="19" t="n">
        <v>0</v>
      </c>
      <c r="D355" s="19" t="n">
        <v>0</v>
      </c>
      <c r="E355" s="19" t="n">
        <v>2</v>
      </c>
      <c r="F355" s="19" t="n">
        <v>133.02</v>
      </c>
      <c r="G355" s="8" t="str">
        <f aca="false">IFERROR(INDEX('TRANS'!$B:$B,MATCH($B355,'TRANS'!$A:$A,0)),IFERROR(INDEX('TRANS'!$B:$B,MATCH(TRIM(SUBSTITUTE($B355,CHAR(160)," ")),'TRANS'!$D:$D,0)),IFERROR(INDEX('Catalog'!$A:$A,MATCH($B355,'Catalog'!$B:$B,0)),IFERROR(INDEX('Catalog'!$A:$A,MATCH(TRIM(SUBSTITUTE($B355,CHAR(160)," ")),'Catalog'!$C:$C,0)),""))))</f>
        <v/>
      </c>
      <c r="H355" s="8" t="str">
        <f aca="false">IFERROR(INDEX('TRANS'!$C:$C,MATCH($B355,'TRANS'!$A:$A,0)),IFERROR(INDEX('Catalog'!$B:$B,MATCH($G355,'Catalog'!$A:$A,0)),$B355))</f>
        <v>63 M</v>
      </c>
      <c r="I355" s="8" t="str">
        <f aca="false">IF($G355="","Unmatched","Matched")</f>
        <v>Unmatched</v>
      </c>
    </row>
    <row r="356" customFormat="false" ht="15" hidden="false" customHeight="false" outlineLevel="0" collapsed="false">
      <c r="A356" s="8" t="s">
        <v>51</v>
      </c>
      <c r="B356" s="8" t="s">
        <v>402</v>
      </c>
      <c r="C356" s="19" t="n">
        <v>0</v>
      </c>
      <c r="D356" s="19" t="n">
        <v>0</v>
      </c>
      <c r="E356" s="19" t="n">
        <v>2</v>
      </c>
      <c r="F356" s="19" t="n">
        <v>133.02</v>
      </c>
      <c r="G356" s="8" t="str">
        <f aca="false">IFERROR(INDEX('TRANS'!$B:$B,MATCH($B356,'TRANS'!$A:$A,0)),IFERROR(INDEX('TRANS'!$B:$B,MATCH(TRIM(SUBSTITUTE($B356,CHAR(160)," ")),'TRANS'!$D:$D,0)),IFERROR(INDEX('Catalog'!$A:$A,MATCH($B356,'Catalog'!$B:$B,0)),IFERROR(INDEX('Catalog'!$A:$A,MATCH(TRIM(SUBSTITUTE($B356,CHAR(160)," ")),'Catalog'!$C:$C,0)),""))))</f>
        <v/>
      </c>
      <c r="H356" s="8" t="str">
        <f aca="false">IFERROR(INDEX('TRANS'!$C:$C,MATCH($B356,'TRANS'!$A:$A,0)),IFERROR(INDEX('Catalog'!$B:$B,MATCH($G356,'Catalog'!$A:$A,0)),$B356))</f>
        <v>63 S</v>
      </c>
      <c r="I356" s="8" t="str">
        <f aca="false">IF($G356="","Unmatched","Matched")</f>
        <v>Unmatched</v>
      </c>
    </row>
    <row r="357" customFormat="false" ht="15" hidden="false" customHeight="false" outlineLevel="0" collapsed="false">
      <c r="A357" s="8" t="s">
        <v>51</v>
      </c>
      <c r="B357" s="8" t="s">
        <v>403</v>
      </c>
      <c r="C357" s="19" t="n">
        <v>0</v>
      </c>
      <c r="D357" s="19" t="n">
        <v>0</v>
      </c>
      <c r="E357" s="19" t="n">
        <v>2</v>
      </c>
      <c r="F357" s="19" t="n">
        <v>259.99</v>
      </c>
      <c r="G357" s="8" t="n">
        <f aca="false">IFERROR(INDEX('TRANS'!$B:$B,MATCH($B357,'TRANS'!$A:$A,0)),IFERROR(INDEX('TRANS'!$B:$B,MATCH(TRIM(SUBSTITUTE($B357,CHAR(160)," ")),'TRANS'!$D:$D,0)),IFERROR(INDEX('Catalog'!$A:$A,MATCH($B357,'Catalog'!$B:$B,0)),IFERROR(INDEX('Catalog'!$A:$A,MATCH(TRIM(SUBSTITUTE($B357,CHAR(160)," ")),'Catalog'!$C:$C,0)),""))))</f>
        <v>4413165</v>
      </c>
      <c r="H357" s="8" t="str">
        <f aca="false">IFERROR(INDEX('TRANS'!$C:$C,MATCH($B357,'TRANS'!$A:$A,0)),IFERROR(INDEX('Catalog'!$B:$B,MATCH($G357,'Catalog'!$A:$A,0)),$B357))</f>
        <v>74 L-XL מיצב כתפיים</v>
      </c>
      <c r="I357" s="8" t="str">
        <f aca="false">IF($G357="","Unmatched","Matched")</f>
        <v>Matched</v>
      </c>
    </row>
    <row r="358" customFormat="false" ht="15" hidden="false" customHeight="false" outlineLevel="0" collapsed="false">
      <c r="A358" s="8" t="s">
        <v>51</v>
      </c>
      <c r="B358" s="8" t="s">
        <v>404</v>
      </c>
      <c r="C358" s="19" t="n">
        <v>0</v>
      </c>
      <c r="D358" s="19" t="n">
        <v>0</v>
      </c>
      <c r="E358" s="19" t="n">
        <v>2</v>
      </c>
      <c r="F358" s="19" t="n">
        <v>319.99</v>
      </c>
      <c r="G358" s="8" t="n">
        <f aca="false">IFERROR(INDEX('TRANS'!$B:$B,MATCH($B358,'TRANS'!$A:$A,0)),IFERROR(INDEX('TRANS'!$B:$B,MATCH(TRIM(SUBSTITUTE($B358,CHAR(160)," ")),'TRANS'!$D:$D,0)),IFERROR(INDEX('Catalog'!$A:$A,MATCH($B358,'Catalog'!$B:$B,0)),IFERROR(INDEX('Catalog'!$A:$A,MATCH(TRIM(SUBSTITUTE($B358,CHAR(160)," ")),'Catalog'!$C:$C,0)),""))))</f>
        <v>4413131</v>
      </c>
      <c r="H358" s="8" t="str">
        <f aca="false">IFERROR(INDEX('TRANS'!$C:$C,MATCH($B358,'TRANS'!$A:$A,0)),IFERROR(INDEX('Catalog'!$B:$B,MATCH($G358,'Catalog'!$A:$A,0)),$B358))</f>
        <v>76 Sמיישר כתף יציב יישור ג.רחב</v>
      </c>
      <c r="I358" s="8" t="str">
        <f aca="false">IF($G358="","Unmatched","Matched")</f>
        <v>Matched</v>
      </c>
    </row>
    <row r="359" customFormat="false" ht="15" hidden="false" customHeight="false" outlineLevel="0" collapsed="false">
      <c r="A359" s="8" t="s">
        <v>51</v>
      </c>
      <c r="B359" s="8" t="s">
        <v>405</v>
      </c>
      <c r="C359" s="19" t="n">
        <v>0</v>
      </c>
      <c r="D359" s="19" t="n">
        <v>0</v>
      </c>
      <c r="E359" s="19" t="n">
        <v>-1</v>
      </c>
      <c r="F359" s="19" t="n">
        <v>-350</v>
      </c>
      <c r="G359" s="8" t="str">
        <f aca="false">IFERROR(INDEX('TRANS'!$B:$B,MATCH($B359,'TRANS'!$A:$A,0)),IFERROR(INDEX('TRANS'!$B:$B,MATCH(TRIM(SUBSTITUTE($B359,CHAR(160)," ")),'TRANS'!$D:$D,0)),IFERROR(INDEX('Catalog'!$A:$A,MATCH($B359,'Catalog'!$B:$B,0)),IFERROR(INDEX('Catalog'!$A:$A,MATCH(TRIM(SUBSTITUTE($B359,CHAR(160)," ")),'Catalog'!$C:$C,0)),""))))</f>
        <v/>
      </c>
      <c r="H359" s="8" t="str">
        <f aca="false">IFERROR(INDEX('TRANS'!$C:$C,MATCH($B359,'TRANS'!$A:$A,0)),IFERROR(INDEX('Catalog'!$B:$B,MATCH($G359,'Catalog'!$A:$A,0)),$B359))</f>
        <v>776 XL</v>
      </c>
      <c r="I359" s="8" t="str">
        <f aca="false">IF($G359="","Unmatched","Matched")</f>
        <v>Unmatched</v>
      </c>
    </row>
    <row r="360" customFormat="false" ht="15" hidden="false" customHeight="false" outlineLevel="0" collapsed="false">
      <c r="A360" s="8" t="s">
        <v>51</v>
      </c>
      <c r="B360" s="8" t="s">
        <v>406</v>
      </c>
      <c r="C360" s="19" t="n">
        <v>0</v>
      </c>
      <c r="D360" s="19" t="n">
        <v>0</v>
      </c>
      <c r="E360" s="19" t="n">
        <v>-1</v>
      </c>
      <c r="F360" s="19" t="n">
        <v>-449.46</v>
      </c>
      <c r="G360" s="8" t="str">
        <f aca="false">IFERROR(INDEX('TRANS'!$B:$B,MATCH($B360,'TRANS'!$A:$A,0)),IFERROR(INDEX('TRANS'!$B:$B,MATCH(TRIM(SUBSTITUTE($B360,CHAR(160)," ")),'TRANS'!$D:$D,0)),IFERROR(INDEX('Catalog'!$A:$A,MATCH($B360,'Catalog'!$B:$B,0)),IFERROR(INDEX('Catalog'!$A:$A,MATCH(TRIM(SUBSTITUTE($B360,CHAR(160)," ")),'Catalog'!$C:$C,0)),""))))</f>
        <v/>
      </c>
      <c r="H360" s="8" t="str">
        <f aca="false">IFERROR(INDEX('TRANS'!$C:$C,MATCH($B360,'TRANS'!$A:$A,0)),IFERROR(INDEX('Catalog'!$B:$B,MATCH($G360,'Catalog'!$A:$A,0)),$B360))</f>
        <v>777 XXL</v>
      </c>
      <c r="I360" s="8" t="str">
        <f aca="false">IF($G360="","Unmatched","Matched")</f>
        <v>Unmatched</v>
      </c>
    </row>
    <row r="361" customFormat="false" ht="15" hidden="false" customHeight="false" outlineLevel="0" collapsed="false">
      <c r="A361" s="8" t="s">
        <v>51</v>
      </c>
      <c r="B361" s="8" t="s">
        <v>407</v>
      </c>
      <c r="C361" s="19" t="n">
        <v>0</v>
      </c>
      <c r="D361" s="19" t="n">
        <v>0</v>
      </c>
      <c r="E361" s="19" t="n">
        <v>-1</v>
      </c>
      <c r="F361" s="19" t="n">
        <v>-449.46</v>
      </c>
      <c r="G361" s="8" t="str">
        <f aca="false">IFERROR(INDEX('TRANS'!$B:$B,MATCH($B361,'TRANS'!$A:$A,0)),IFERROR(INDEX('TRANS'!$B:$B,MATCH(TRIM(SUBSTITUTE($B361,CHAR(160)," ")),'TRANS'!$D:$D,0)),IFERROR(INDEX('Catalog'!$A:$A,MATCH($B361,'Catalog'!$B:$B,0)),IFERROR(INDEX('Catalog'!$A:$A,MATCH(TRIM(SUBSTITUTE($B361,CHAR(160)," ")),'Catalog'!$C:$C,0)),""))))</f>
        <v/>
      </c>
      <c r="H361" s="8" t="str">
        <f aca="false">IFERROR(INDEX('TRANS'!$C:$C,MATCH($B361,'TRANS'!$A:$A,0)),IFERROR(INDEX('Catalog'!$B:$B,MATCH($G361,'Catalog'!$A:$A,0)),$B361))</f>
        <v>777-L-XL</v>
      </c>
      <c r="I361" s="8" t="str">
        <f aca="false">IF($G361="","Unmatched","Matched")</f>
        <v>Unmatched</v>
      </c>
    </row>
    <row r="362" customFormat="false" ht="15" hidden="false" customHeight="false" outlineLevel="0" collapsed="false">
      <c r="A362" s="8" t="s">
        <v>51</v>
      </c>
      <c r="B362" s="8" t="s">
        <v>408</v>
      </c>
      <c r="C362" s="19" t="n">
        <v>0</v>
      </c>
      <c r="D362" s="19" t="n">
        <v>0</v>
      </c>
      <c r="E362" s="19" t="n">
        <v>-2</v>
      </c>
      <c r="F362" s="19" t="n">
        <v>-898.92</v>
      </c>
      <c r="G362" s="8" t="str">
        <f aca="false">IFERROR(INDEX('TRANS'!$B:$B,MATCH($B362,'TRANS'!$A:$A,0)),IFERROR(INDEX('TRANS'!$B:$B,MATCH(TRIM(SUBSTITUTE($B362,CHAR(160)," ")),'TRANS'!$D:$D,0)),IFERROR(INDEX('Catalog'!$A:$A,MATCH($B362,'Catalog'!$B:$B,0)),IFERROR(INDEX('Catalog'!$A:$A,MATCH(TRIM(SUBSTITUTE($B362,CHAR(160)," ")),'Catalog'!$C:$C,0)),""))))</f>
        <v/>
      </c>
      <c r="H362" s="8" t="str">
        <f aca="false">IFERROR(INDEX('TRANS'!$C:$C,MATCH($B362,'TRANS'!$A:$A,0)),IFERROR(INDEX('Catalog'!$B:$B,MATCH($G362,'Catalog'!$A:$A,0)),$B362))</f>
        <v>777-S-M</v>
      </c>
      <c r="I362" s="8" t="str">
        <f aca="false">IF($G362="","Unmatched","Matched")</f>
        <v>Unmatched</v>
      </c>
    </row>
    <row r="363" customFormat="false" ht="15" hidden="false" customHeight="false" outlineLevel="0" collapsed="false">
      <c r="A363" s="8" t="s">
        <v>51</v>
      </c>
      <c r="B363" s="8" t="s">
        <v>409</v>
      </c>
      <c r="C363" s="19" t="n">
        <v>0</v>
      </c>
      <c r="D363" s="19" t="n">
        <v>0</v>
      </c>
      <c r="E363" s="19" t="n">
        <v>1</v>
      </c>
      <c r="F363" s="19" t="n">
        <v>165.41</v>
      </c>
      <c r="G363" s="8" t="str">
        <f aca="false">IFERROR(INDEX('TRANS'!$B:$B,MATCH($B363,'TRANS'!$A:$A,0)),IFERROR(INDEX('TRANS'!$B:$B,MATCH(TRIM(SUBSTITUTE($B363,CHAR(160)," ")),'TRANS'!$D:$D,0)),IFERROR(INDEX('Catalog'!$A:$A,MATCH($B363,'Catalog'!$B:$B,0)),IFERROR(INDEX('Catalog'!$A:$A,MATCH(TRIM(SUBSTITUTE($B363,CHAR(160)," ")),'Catalog'!$C:$C,0)),""))))</f>
        <v/>
      </c>
      <c r="H363" s="8" t="str">
        <f aca="false">IFERROR(INDEX('TRANS'!$C:$C,MATCH($B363,'TRANS'!$A:$A,0)),IFERROR(INDEX('Catalog'!$B:$B,MATCH($G363,'Catalog'!$A:$A,0)),$B363))</f>
        <v>78A L</v>
      </c>
      <c r="I363" s="8" t="str">
        <f aca="false">IF($G363="","Unmatched","Matched")</f>
        <v>Unmatched</v>
      </c>
    </row>
    <row r="364" customFormat="false" ht="15" hidden="false" customHeight="false" outlineLevel="0" collapsed="false">
      <c r="A364" s="8" t="s">
        <v>51</v>
      </c>
      <c r="B364" s="8" t="s">
        <v>410</v>
      </c>
      <c r="C364" s="19" t="n">
        <v>0</v>
      </c>
      <c r="D364" s="19" t="n">
        <v>0</v>
      </c>
      <c r="E364" s="19" t="n">
        <v>1</v>
      </c>
      <c r="F364" s="19" t="n">
        <v>165.41</v>
      </c>
      <c r="G364" s="8" t="str">
        <f aca="false">IFERROR(INDEX('TRANS'!$B:$B,MATCH($B364,'TRANS'!$A:$A,0)),IFERROR(INDEX('TRANS'!$B:$B,MATCH(TRIM(SUBSTITUTE($B364,CHAR(160)," ")),'TRANS'!$D:$D,0)),IFERROR(INDEX('Catalog'!$A:$A,MATCH($B364,'Catalog'!$B:$B,0)),IFERROR(INDEX('Catalog'!$A:$A,MATCH(TRIM(SUBSTITUTE($B364,CHAR(160)," ")),'Catalog'!$C:$C,0)),""))))</f>
        <v/>
      </c>
      <c r="H364" s="8" t="str">
        <f aca="false">IFERROR(INDEX('TRANS'!$C:$C,MATCH($B364,'TRANS'!$A:$A,0)),IFERROR(INDEX('Catalog'!$B:$B,MATCH($G364,'Catalog'!$A:$A,0)),$B364))</f>
        <v>78A M</v>
      </c>
      <c r="I364" s="8" t="str">
        <f aca="false">IF($G364="","Unmatched","Matched")</f>
        <v>Unmatched</v>
      </c>
    </row>
    <row r="365" customFormat="false" ht="15" hidden="false" customHeight="false" outlineLevel="0" collapsed="false">
      <c r="A365" s="8" t="s">
        <v>51</v>
      </c>
      <c r="B365" s="8" t="s">
        <v>411</v>
      </c>
      <c r="C365" s="19" t="n">
        <v>3</v>
      </c>
      <c r="D365" s="19" t="n">
        <v>355.18</v>
      </c>
      <c r="E365" s="19" t="n">
        <v>0</v>
      </c>
      <c r="F365" s="19" t="n">
        <v>0</v>
      </c>
      <c r="G365" s="8" t="str">
        <f aca="false">IFERROR(INDEX('TRANS'!$B:$B,MATCH($B365,'TRANS'!$A:$A,0)),IFERROR(INDEX('TRANS'!$B:$B,MATCH(TRIM(SUBSTITUTE($B365,CHAR(160)," ")),'TRANS'!$D:$D,0)),IFERROR(INDEX('Catalog'!$A:$A,MATCH($B365,'Catalog'!$B:$B,0)),IFERROR(INDEX('Catalog'!$A:$A,MATCH(TRIM(SUBSTITUTE($B365,CHAR(160)," ")),'Catalog'!$C:$C,0)),""))))</f>
        <v/>
      </c>
      <c r="H365" s="8" t="str">
        <f aca="false">IFERROR(INDEX('TRANS'!$C:$C,MATCH($B365,'TRANS'!$A:$A,0)),IFERROR(INDEX('Catalog'!$B:$B,MATCH($G365,'Catalog'!$A:$A,0)),$B365))</f>
        <v>78AB L</v>
      </c>
      <c r="I365" s="8" t="str">
        <f aca="false">IF($G365="","Unmatched","Matched")</f>
        <v>Unmatched</v>
      </c>
    </row>
    <row r="366" customFormat="false" ht="15" hidden="false" customHeight="false" outlineLevel="0" collapsed="false">
      <c r="A366" s="8" t="s">
        <v>51</v>
      </c>
      <c r="B366" s="8" t="s">
        <v>412</v>
      </c>
      <c r="C366" s="19" t="n">
        <v>3</v>
      </c>
      <c r="D366" s="19" t="n">
        <v>355.16</v>
      </c>
      <c r="E366" s="19" t="n">
        <v>0</v>
      </c>
      <c r="F366" s="19" t="n">
        <v>0</v>
      </c>
      <c r="G366" s="8" t="str">
        <f aca="false">IFERROR(INDEX('TRANS'!$B:$B,MATCH($B366,'TRANS'!$A:$A,0)),IFERROR(INDEX('TRANS'!$B:$B,MATCH(TRIM(SUBSTITUTE($B366,CHAR(160)," ")),'TRANS'!$D:$D,0)),IFERROR(INDEX('Catalog'!$A:$A,MATCH($B366,'Catalog'!$B:$B,0)),IFERROR(INDEX('Catalog'!$A:$A,MATCH(TRIM(SUBSTITUTE($B366,CHAR(160)," ")),'Catalog'!$C:$C,0)),""))))</f>
        <v/>
      </c>
      <c r="H366" s="8" t="str">
        <f aca="false">IFERROR(INDEX('TRANS'!$C:$C,MATCH($B366,'TRANS'!$A:$A,0)),IFERROR(INDEX('Catalog'!$B:$B,MATCH($G366,'Catalog'!$A:$A,0)),$B366))</f>
        <v>78AB XL</v>
      </c>
      <c r="I366" s="8" t="str">
        <f aca="false">IF($G366="","Unmatched","Matched")</f>
        <v>Unmatched</v>
      </c>
    </row>
    <row r="367" customFormat="false" ht="15" hidden="false" customHeight="false" outlineLevel="0" collapsed="false">
      <c r="A367" s="8" t="s">
        <v>51</v>
      </c>
      <c r="B367" s="8" t="s">
        <v>413</v>
      </c>
      <c r="C367" s="19" t="n">
        <v>0</v>
      </c>
      <c r="D367" s="19" t="n">
        <v>0</v>
      </c>
      <c r="E367" s="19" t="n">
        <v>7</v>
      </c>
      <c r="F367" s="19" t="n">
        <v>75.01</v>
      </c>
      <c r="G367" s="8" t="n">
        <f aca="false">IFERROR(INDEX('TRANS'!$B:$B,MATCH($B367,'TRANS'!$A:$A,0)),IFERROR(INDEX('TRANS'!$B:$B,MATCH(TRIM(SUBSTITUTE($B367,CHAR(160)," ")),'TRANS'!$D:$D,0)),IFERROR(INDEX('Catalog'!$A:$A,MATCH($B367,'Catalog'!$B:$B,0)),IFERROR(INDEX('Catalog'!$A:$A,MATCH(TRIM(SUBSTITUTE($B367,CHAR(160)," ")),'Catalog'!$C:$C,0)),""))))</f>
        <v>4409010</v>
      </c>
      <c r="H367" s="8" t="str">
        <f aca="false">IFERROR(INDEX('TRANS'!$C:$C,MATCH($B367,'TRANS'!$A:$A,0)),IFERROR(INDEX('Catalog'!$B:$B,MATCH($G367,'Catalog'!$A:$A,0)),$B367))</f>
        <v>804AT-W      טייפ חבישה לספורט</v>
      </c>
      <c r="I367" s="8" t="str">
        <f aca="false">IF($G367="","Unmatched","Matched")</f>
        <v>Matched</v>
      </c>
    </row>
    <row r="368" customFormat="false" ht="15" hidden="false" customHeight="false" outlineLevel="0" collapsed="false">
      <c r="A368" s="8" t="s">
        <v>51</v>
      </c>
      <c r="B368" s="8" t="s">
        <v>414</v>
      </c>
      <c r="C368" s="19" t="n">
        <v>18</v>
      </c>
      <c r="D368" s="19" t="n">
        <v>207.33</v>
      </c>
      <c r="E368" s="19" t="n">
        <v>0</v>
      </c>
      <c r="F368" s="19" t="n">
        <v>0</v>
      </c>
      <c r="G368" s="8" t="n">
        <f aca="false">IFERROR(INDEX('TRANS'!$B:$B,MATCH($B368,'TRANS'!$A:$A,0)),IFERROR(INDEX('TRANS'!$B:$B,MATCH(TRIM(SUBSTITUTE($B368,CHAR(160)," ")),'TRANS'!$D:$D,0)),IFERROR(INDEX('Catalog'!$A:$A,MATCH($B368,'Catalog'!$B:$B,0)),IFERROR(INDEX('Catalog'!$A:$A,MATCH(TRIM(SUBSTITUTE($B368,CHAR(160)," ")),'Catalog'!$C:$C,0)),""))))</f>
        <v>4422024</v>
      </c>
      <c r="H368" s="8" t="str">
        <f aca="false">IFERROR(INDEX('TRANS'!$C:$C,MATCH($B368,'TRANS'!$A:$A,0)),IFERROR(INDEX('Catalog'!$B:$B,MATCH($G368,'Catalog'!$A:$A,0)),$B368))</f>
        <v>806CB-BLACK      תחבושת א.נצמ</v>
      </c>
      <c r="I368" s="8" t="str">
        <f aca="false">IF($G368="","Unmatched","Matched")</f>
        <v>Matched</v>
      </c>
    </row>
    <row r="369" customFormat="false" ht="15" hidden="false" customHeight="false" outlineLevel="0" collapsed="false">
      <c r="A369" s="8" t="s">
        <v>51</v>
      </c>
      <c r="B369" s="8" t="s">
        <v>415</v>
      </c>
      <c r="C369" s="19" t="n">
        <v>13</v>
      </c>
      <c r="D369" s="19" t="n">
        <v>131.69</v>
      </c>
      <c r="E369" s="19" t="n">
        <v>1</v>
      </c>
      <c r="F369" s="19" t="n">
        <v>0.01</v>
      </c>
      <c r="G369" s="8" t="n">
        <f aca="false">IFERROR(INDEX('TRANS'!$B:$B,MATCH($B369,'TRANS'!$A:$A,0)),IFERROR(INDEX('TRANS'!$B:$B,MATCH(TRIM(SUBSTITUTE($B369,CHAR(160)," ")),'TRANS'!$D:$D,0)),IFERROR(INDEX('Catalog'!$A:$A,MATCH($B369,'Catalog'!$B:$B,0)),IFERROR(INDEX('Catalog'!$A:$A,MATCH(TRIM(SUBSTITUTE($B369,CHAR(160)," ")),'Catalog'!$C:$C,0)),""))))</f>
        <v>4422023</v>
      </c>
      <c r="H369" s="8" t="str">
        <f aca="false">IFERROR(INDEX('TRANS'!$C:$C,MATCH($B369,'TRANS'!$A:$A,0)),IFERROR(INDEX('Catalog'!$B:$B,MATCH($G369,'Catalog'!$A:$A,0)),$B369))</f>
        <v>806CB-BEIGE      תחבושת א.נצמ</v>
      </c>
      <c r="I369" s="8" t="str">
        <f aca="false">IF($G369="","Unmatched","Matched")</f>
        <v>Matched</v>
      </c>
    </row>
    <row r="370" customFormat="false" ht="15" hidden="false" customHeight="false" outlineLevel="0" collapsed="false">
      <c r="A370" s="8" t="s">
        <v>51</v>
      </c>
      <c r="B370" s="8" t="s">
        <v>416</v>
      </c>
      <c r="C370" s="19" t="n">
        <v>15</v>
      </c>
      <c r="D370" s="19" t="n">
        <v>190.79</v>
      </c>
      <c r="E370" s="19" t="n">
        <v>0</v>
      </c>
      <c r="F370" s="19" t="n">
        <v>0</v>
      </c>
      <c r="G370" s="8" t="n">
        <f aca="false">IFERROR(INDEX('TRANS'!$B:$B,MATCH($B370,'TRANS'!$A:$A,0)),IFERROR(INDEX('TRANS'!$B:$B,MATCH(TRIM(SUBSTITUTE($B370,CHAR(160)," ")),'TRANS'!$D:$D,0)),IFERROR(INDEX('Catalog'!$A:$A,MATCH($B370,'Catalog'!$B:$B,0)),IFERROR(INDEX('Catalog'!$A:$A,MATCH(TRIM(SUBSTITUTE($B370,CHAR(160)," ")),'Catalog'!$C:$C,0)),""))))</f>
        <v>4422025</v>
      </c>
      <c r="H370" s="8" t="str">
        <f aca="false">IFERROR(INDEX('TRANS'!$C:$C,MATCH($B370,'TRANS'!$A:$A,0)),IFERROR(INDEX('Catalog'!$B:$B,MATCH($G370,'Catalog'!$A:$A,0)),$B370))</f>
        <v>806CB-GREEN      תחבושת א.נצמ</v>
      </c>
      <c r="I370" s="8" t="str">
        <f aca="false">IF($G370="","Unmatched","Matched")</f>
        <v>Matched</v>
      </c>
    </row>
    <row r="371" customFormat="false" ht="15" hidden="false" customHeight="false" outlineLevel="0" collapsed="false">
      <c r="A371" s="8" t="s">
        <v>51</v>
      </c>
      <c r="B371" s="8" t="s">
        <v>417</v>
      </c>
      <c r="C371" s="19" t="n">
        <v>7</v>
      </c>
      <c r="D371" s="19" t="n">
        <v>91.33</v>
      </c>
      <c r="E371" s="19" t="n">
        <v>0</v>
      </c>
      <c r="F371" s="19" t="n">
        <v>0</v>
      </c>
      <c r="G371" s="8" t="n">
        <f aca="false">IFERROR(INDEX('TRANS'!$B:$B,MATCH($B371,'TRANS'!$A:$A,0)),IFERROR(INDEX('TRANS'!$B:$B,MATCH(TRIM(SUBSTITUTE($B371,CHAR(160)," ")),'TRANS'!$D:$D,0)),IFERROR(INDEX('Catalog'!$A:$A,MATCH($B371,'Catalog'!$B:$B,0)),IFERROR(INDEX('Catalog'!$A:$A,MATCH(TRIM(SUBSTITUTE($B371,CHAR(160)," ")),'Catalog'!$C:$C,0)),""))))</f>
        <v>4422026</v>
      </c>
      <c r="H371" s="8" t="str">
        <f aca="false">IFERROR(INDEX('TRANS'!$C:$C,MATCH($B371,'TRANS'!$A:$A,0)),IFERROR(INDEX('Catalog'!$B:$B,MATCH($G371,'Catalog'!$A:$A,0)),$B371))</f>
        <v>806CB-PINK       תחבושת א.נצמ</v>
      </c>
      <c r="I371" s="8" t="str">
        <f aca="false">IF($G371="","Unmatched","Matched")</f>
        <v>Matched</v>
      </c>
    </row>
    <row r="372" customFormat="false" ht="15" hidden="false" customHeight="false" outlineLevel="0" collapsed="false">
      <c r="A372" s="8" t="s">
        <v>51</v>
      </c>
      <c r="B372" s="8" t="s">
        <v>418</v>
      </c>
      <c r="C372" s="19" t="n">
        <v>2</v>
      </c>
      <c r="D372" s="19" t="n">
        <v>139.99</v>
      </c>
      <c r="E372" s="19" t="n">
        <v>2</v>
      </c>
      <c r="F372" s="19" t="n">
        <v>139.99</v>
      </c>
      <c r="G372" s="8" t="n">
        <f aca="false">IFERROR(INDEX('TRANS'!$B:$B,MATCH($B372,'TRANS'!$A:$A,0)),IFERROR(INDEX('TRANS'!$B:$B,MATCH(TRIM(SUBSTITUTE($B372,CHAR(160)," ")),'TRANS'!$D:$D,0)),IFERROR(INDEX('Catalog'!$A:$A,MATCH($B372,'Catalog'!$B:$B,0)),IFERROR(INDEX('Catalog'!$A:$A,MATCH(TRIM(SUBSTITUTE($B372,CHAR(160)," ")),'Catalog'!$C:$C,0)),""))))</f>
        <v>4413176</v>
      </c>
      <c r="H372" s="8" t="str">
        <f aca="false">IFERROR(INDEX('TRANS'!$C:$C,MATCH($B372,'TRANS'!$A:$A,0)),IFERROR(INDEX('Catalog'!$B:$B,MATCH($G372,'Catalog'!$A:$A,0)),$B372))</f>
        <v>85+ Lמתלה ליד)כיס(+רצועת חיזוק</v>
      </c>
      <c r="I372" s="8" t="str">
        <f aca="false">IF($G372="","Unmatched","Matched")</f>
        <v>Matched</v>
      </c>
    </row>
    <row r="373" customFormat="false" ht="15" hidden="false" customHeight="false" outlineLevel="0" collapsed="false">
      <c r="A373" s="8" t="s">
        <v>51</v>
      </c>
      <c r="B373" s="8" t="s">
        <v>419</v>
      </c>
      <c r="C373" s="19" t="n">
        <v>1</v>
      </c>
      <c r="D373" s="19" t="n">
        <v>119.77</v>
      </c>
      <c r="E373" s="19" t="n">
        <v>2</v>
      </c>
      <c r="F373" s="19" t="n">
        <v>139.99</v>
      </c>
      <c r="G373" s="8" t="n">
        <f aca="false">IFERROR(INDEX('TRANS'!$B:$B,MATCH($B373,'TRANS'!$A:$A,0)),IFERROR(INDEX('TRANS'!$B:$B,MATCH(TRIM(SUBSTITUTE($B373,CHAR(160)," ")),'TRANS'!$D:$D,0)),IFERROR(INDEX('Catalog'!$A:$A,MATCH($B373,'Catalog'!$B:$B,0)),IFERROR(INDEX('Catalog'!$A:$A,MATCH(TRIM(SUBSTITUTE($B373,CHAR(160)," ")),'Catalog'!$C:$C,0)),""))))</f>
        <v>4413175</v>
      </c>
      <c r="H373" s="8" t="str">
        <f aca="false">IFERROR(INDEX('TRANS'!$C:$C,MATCH($B373,'TRANS'!$A:$A,0)),IFERROR(INDEX('Catalog'!$B:$B,MATCH($G373,'Catalog'!$A:$A,0)),$B373))</f>
        <v>85+ Mמתלה ליד)כיס(+רצועת חיזוק</v>
      </c>
      <c r="I373" s="8" t="str">
        <f aca="false">IF($G373="","Unmatched","Matched")</f>
        <v>Matched</v>
      </c>
    </row>
    <row r="374" customFormat="false" ht="15" hidden="false" customHeight="false" outlineLevel="0" collapsed="false">
      <c r="A374" s="8" t="s">
        <v>51</v>
      </c>
      <c r="B374" s="8" t="s">
        <v>420</v>
      </c>
      <c r="C374" s="19" t="n">
        <v>0</v>
      </c>
      <c r="D374" s="19" t="n">
        <v>0</v>
      </c>
      <c r="E374" s="19" t="n">
        <v>2</v>
      </c>
      <c r="F374" s="19" t="n">
        <v>139.99</v>
      </c>
      <c r="G374" s="8" t="n">
        <f aca="false">IFERROR(INDEX('TRANS'!$B:$B,MATCH($B374,'TRANS'!$A:$A,0)),IFERROR(INDEX('TRANS'!$B:$B,MATCH(TRIM(SUBSTITUTE($B374,CHAR(160)," ")),'TRANS'!$D:$D,0)),IFERROR(INDEX('Catalog'!$A:$A,MATCH($B374,'Catalog'!$B:$B,0)),IFERROR(INDEX('Catalog'!$A:$A,MATCH(TRIM(SUBSTITUTE($B374,CHAR(160)," ")),'Catalog'!$C:$C,0)),""))))</f>
        <v>4413177</v>
      </c>
      <c r="H374" s="8" t="str">
        <f aca="false">IFERROR(INDEX('TRANS'!$C:$C,MATCH($B374,'TRANS'!$A:$A,0)),IFERROR(INDEX('Catalog'!$B:$B,MATCH($G374,'Catalog'!$A:$A,0)),$B374))</f>
        <v>85+ XLמתלה ליד)כיס(רצועת חיזוק</v>
      </c>
      <c r="I374" s="8" t="str">
        <f aca="false">IF($G374="","Unmatched","Matched")</f>
        <v>Matched</v>
      </c>
    </row>
    <row r="375" customFormat="false" ht="15" hidden="false" customHeight="false" outlineLevel="0" collapsed="false">
      <c r="A375" s="8" t="s">
        <v>51</v>
      </c>
      <c r="B375" s="8" t="s">
        <v>421</v>
      </c>
      <c r="C375" s="19" t="n">
        <v>2</v>
      </c>
      <c r="D375" s="19" t="n">
        <v>254.01</v>
      </c>
      <c r="E375" s="19" t="n">
        <v>0</v>
      </c>
      <c r="F375" s="19" t="n">
        <v>0</v>
      </c>
      <c r="G375" s="8" t="n">
        <f aca="false">IFERROR(INDEX('TRANS'!$B:$B,MATCH($B375,'TRANS'!$A:$A,0)),IFERROR(INDEX('TRANS'!$B:$B,MATCH(TRIM(SUBSTITUTE($B375,CHAR(160)," ")),'TRANS'!$D:$D,0)),IFERROR(INDEX('Catalog'!$A:$A,MATCH($B375,'Catalog'!$B:$B,0)),IFERROR(INDEX('Catalog'!$A:$A,MATCH(TRIM(SUBSTITUTE($B375,CHAR(160)," ")),'Catalog'!$C:$C,0)),""))))</f>
        <v>4413197</v>
      </c>
      <c r="H375" s="8" t="str">
        <f aca="false">IFERROR(INDEX('TRANS'!$C:$C,MATCH($B375,'TRANS'!$A:$A,0)),IFERROR(INDEX('Catalog'!$B:$B,MATCH($G375,'Catalog'!$A:$A,0)),$B375))</f>
        <v>87 L מקבע כתף ויד</v>
      </c>
      <c r="I375" s="8" t="str">
        <f aca="false">IF($G375="","Unmatched","Matched")</f>
        <v>Matched</v>
      </c>
    </row>
    <row r="376" customFormat="false" ht="15" hidden="false" customHeight="false" outlineLevel="0" collapsed="false">
      <c r="A376" s="8" t="s">
        <v>51</v>
      </c>
      <c r="B376" s="8" t="s">
        <v>422</v>
      </c>
      <c r="C376" s="19" t="n">
        <v>1</v>
      </c>
      <c r="D376" s="19" t="n">
        <v>127</v>
      </c>
      <c r="E376" s="19" t="n">
        <v>0</v>
      </c>
      <c r="F376" s="19" t="n">
        <v>0</v>
      </c>
      <c r="G376" s="8" t="n">
        <f aca="false">IFERROR(INDEX('TRANS'!$B:$B,MATCH($B376,'TRANS'!$A:$A,0)),IFERROR(INDEX('TRANS'!$B:$B,MATCH(TRIM(SUBSTITUTE($B376,CHAR(160)," ")),'TRANS'!$D:$D,0)),IFERROR(INDEX('Catalog'!$A:$A,MATCH($B376,'Catalog'!$B:$B,0)),IFERROR(INDEX('Catalog'!$A:$A,MATCH(TRIM(SUBSTITUTE($B376,CHAR(160)," ")),'Catalog'!$C:$C,0)),""))))</f>
        <v>4413196</v>
      </c>
      <c r="H376" s="8" t="str">
        <f aca="false">IFERROR(INDEX('TRANS'!$C:$C,MATCH($B376,'TRANS'!$A:$A,0)),IFERROR(INDEX('Catalog'!$B:$B,MATCH($G376,'Catalog'!$A:$A,0)),$B376))</f>
        <v>87 M מקבע כתף ויד</v>
      </c>
      <c r="I376" s="8" t="str">
        <f aca="false">IF($G376="","Unmatched","Matched")</f>
        <v>Matched</v>
      </c>
    </row>
    <row r="377" customFormat="false" ht="15" hidden="false" customHeight="false" outlineLevel="0" collapsed="false">
      <c r="A377" s="8" t="s">
        <v>51</v>
      </c>
      <c r="B377" s="8" t="s">
        <v>423</v>
      </c>
      <c r="C377" s="19" t="n">
        <v>1</v>
      </c>
      <c r="D377" s="19" t="n">
        <v>127</v>
      </c>
      <c r="E377" s="19" t="n">
        <v>1</v>
      </c>
      <c r="F377" s="19" t="n">
        <v>140</v>
      </c>
      <c r="G377" s="8" t="n">
        <f aca="false">IFERROR(INDEX('TRANS'!$B:$B,MATCH($B377,'TRANS'!$A:$A,0)),IFERROR(INDEX('TRANS'!$B:$B,MATCH(TRIM(SUBSTITUTE($B377,CHAR(160)," ")),'TRANS'!$D:$D,0)),IFERROR(INDEX('Catalog'!$A:$A,MATCH($B377,'Catalog'!$B:$B,0)),IFERROR(INDEX('Catalog'!$A:$A,MATCH(TRIM(SUBSTITUTE($B377,CHAR(160)," ")),'Catalog'!$C:$C,0)),""))))</f>
        <v>4413198</v>
      </c>
      <c r="H377" s="8" t="str">
        <f aca="false">IFERROR(INDEX('TRANS'!$C:$C,MATCH($B377,'TRANS'!$A:$A,0)),IFERROR(INDEX('Catalog'!$B:$B,MATCH($G377,'Catalog'!$A:$A,0)),$B377))</f>
        <v>87 XL מקבע כתף ויד</v>
      </c>
      <c r="I377" s="8" t="str">
        <f aca="false">IF($G377="","Unmatched","Matched")</f>
        <v>Matched</v>
      </c>
    </row>
    <row r="378" customFormat="false" ht="15" hidden="false" customHeight="false" outlineLevel="0" collapsed="false">
      <c r="A378" s="8" t="s">
        <v>51</v>
      </c>
      <c r="B378" s="8" t="s">
        <v>424</v>
      </c>
      <c r="C378" s="19" t="n">
        <v>14</v>
      </c>
      <c r="D378" s="19" t="n">
        <v>1176.31</v>
      </c>
      <c r="E378" s="19" t="n">
        <v>1</v>
      </c>
      <c r="F378" s="19" t="n">
        <v>76.23</v>
      </c>
      <c r="G378" s="8" t="n">
        <f aca="false">IFERROR(INDEX('TRANS'!$B:$B,MATCH($B378,'TRANS'!$A:$A,0)),IFERROR(INDEX('TRANS'!$B:$B,MATCH(TRIM(SUBSTITUTE($B378,CHAR(160)," ")),'TRANS'!$D:$D,0)),IFERROR(INDEX('Catalog'!$A:$A,MATCH($B378,'Catalog'!$B:$B,0)),IFERROR(INDEX('Catalog'!$A:$A,MATCH(TRIM(SUBSTITUTE($B378,CHAR(160)," ")),'Catalog'!$C:$C,0)),""))))</f>
        <v>4408266</v>
      </c>
      <c r="H378" s="8" t="str">
        <f aca="false">IFERROR(INDEX('TRANS'!$C:$C,MATCH($B378,'TRANS'!$A:$A,0)),IFERROR(INDEX('Catalog'!$B:$B,MATCH($G378,'Catalog'!$A:$A,0)),$B378))</f>
        <v>91B חבק טניס אלבו</v>
      </c>
      <c r="I378" s="8" t="str">
        <f aca="false">IF($G378="","Unmatched","Matched")</f>
        <v>Matched</v>
      </c>
    </row>
    <row r="379" customFormat="false" ht="15" hidden="false" customHeight="false" outlineLevel="0" collapsed="false">
      <c r="A379" s="8" t="s">
        <v>51</v>
      </c>
      <c r="B379" s="8" t="s">
        <v>425</v>
      </c>
      <c r="C379" s="19" t="n">
        <v>0</v>
      </c>
      <c r="D379" s="19" t="n">
        <v>0</v>
      </c>
      <c r="E379" s="19" t="n">
        <v>4</v>
      </c>
      <c r="F379" s="19" t="n">
        <v>360</v>
      </c>
      <c r="G379" s="8" t="n">
        <f aca="false">IFERROR(INDEX('TRANS'!$B:$B,MATCH($B379,'TRANS'!$A:$A,0)),IFERROR(INDEX('TRANS'!$B:$B,MATCH(TRIM(SUBSTITUTE($B379,CHAR(160)," ")),'TRANS'!$D:$D,0)),IFERROR(INDEX('Catalog'!$A:$A,MATCH($B379,'Catalog'!$B:$B,0)),IFERROR(INDEX('Catalog'!$A:$A,MATCH(TRIM(SUBSTITUTE($B379,CHAR(160)," ")),'Catalog'!$C:$C,0)),""))))</f>
        <v>4408084</v>
      </c>
      <c r="H379" s="8" t="str">
        <f aca="false">IFERROR(INDEX('TRANS'!$C:$C,MATCH($B379,'TRANS'!$A:$A,0)),IFERROR(INDEX('Catalog'!$B:$B,MATCH($G379,'Catalog'!$A:$A,0)),$B379))</f>
        <v>922L.חבק יד לטניס כרית סיליק</v>
      </c>
      <c r="I379" s="8" t="str">
        <f aca="false">IF($G379="","Unmatched","Matched")</f>
        <v>Matched</v>
      </c>
    </row>
    <row r="380" customFormat="false" ht="15" hidden="false" customHeight="false" outlineLevel="0" collapsed="false">
      <c r="A380" s="8" t="s">
        <v>51</v>
      </c>
      <c r="B380" s="8" t="s">
        <v>426</v>
      </c>
      <c r="C380" s="19" t="n">
        <v>2</v>
      </c>
      <c r="D380" s="19" t="n">
        <v>180</v>
      </c>
      <c r="E380" s="19" t="n">
        <v>0</v>
      </c>
      <c r="F380" s="19" t="n">
        <v>0</v>
      </c>
      <c r="G380" s="8" t="n">
        <f aca="false">IFERROR(INDEX('TRANS'!$B:$B,MATCH($B380,'TRANS'!$A:$A,0)),IFERROR(INDEX('TRANS'!$B:$B,MATCH(TRIM(SUBSTITUTE($B380,CHAR(160)," ")),'TRANS'!$D:$D,0)),IFERROR(INDEX('Catalog'!$A:$A,MATCH($B380,'Catalog'!$B:$B,0)),IFERROR(INDEX('Catalog'!$A:$A,MATCH(TRIM(SUBSTITUTE($B380,CHAR(160)," ")),'Catalog'!$C:$C,0)),""))))</f>
        <v>4408087</v>
      </c>
      <c r="H380" s="8" t="str">
        <f aca="false">IFERROR(INDEX('TRANS'!$C:$C,MATCH($B380,'TRANS'!$A:$A,0)),IFERROR(INDEX('Catalog'!$B:$B,MATCH($G380,'Catalog'!$A:$A,0)),$B380))</f>
        <v>922XLחבק יד לטניס כרית סיליק</v>
      </c>
      <c r="I380" s="8" t="str">
        <f aca="false">IF($G380="","Unmatched","Matched")</f>
        <v>Matched</v>
      </c>
    </row>
    <row r="381" customFormat="false" ht="15" hidden="false" customHeight="false" outlineLevel="0" collapsed="false">
      <c r="A381" s="8" t="s">
        <v>51</v>
      </c>
      <c r="B381" s="8" t="s">
        <v>427</v>
      </c>
      <c r="C381" s="19" t="n">
        <v>2</v>
      </c>
      <c r="D381" s="19" t="n">
        <v>61.79</v>
      </c>
      <c r="E381" s="19" t="n">
        <v>2</v>
      </c>
      <c r="F381" s="19" t="n">
        <v>61.78</v>
      </c>
      <c r="G381" s="8" t="n">
        <f aca="false">IFERROR(INDEX('TRANS'!$B:$B,MATCH($B381,'TRANS'!$A:$A,0)),IFERROR(INDEX('TRANS'!$B:$B,MATCH(TRIM(SUBSTITUTE($B381,CHAR(160)," ")),'TRANS'!$D:$D,0)),IFERROR(INDEX('Catalog'!$A:$A,MATCH($B381,'Catalog'!$B:$B,0)),IFERROR(INDEX('Catalog'!$A:$A,MATCH(TRIM(SUBSTITUTE($B381,CHAR(160)," ")),'Catalog'!$C:$C,0)),""))))</f>
        <v>4413139</v>
      </c>
      <c r="H381" s="8" t="str">
        <f aca="false">IFERROR(INDEX('TRANS'!$C:$C,MATCH($B381,'TRANS'!$A:$A,0)),IFERROR(INDEX('Catalog'!$B:$B,MATCH($G381,'Catalog'!$A:$A,0)),$B381))</f>
        <v>95 L מגן מרפק רגיל לבן</v>
      </c>
      <c r="I381" s="8" t="str">
        <f aca="false">IF($G381="","Unmatched","Matched")</f>
        <v>Matched</v>
      </c>
    </row>
    <row r="382" customFormat="false" ht="15" hidden="false" customHeight="false" outlineLevel="0" collapsed="false">
      <c r="A382" s="8" t="s">
        <v>51</v>
      </c>
      <c r="B382" s="8" t="s">
        <v>428</v>
      </c>
      <c r="C382" s="19" t="n">
        <v>2</v>
      </c>
      <c r="D382" s="19" t="n">
        <v>61.79</v>
      </c>
      <c r="E382" s="19" t="n">
        <v>4</v>
      </c>
      <c r="F382" s="19" t="n">
        <v>123.57</v>
      </c>
      <c r="G382" s="8" t="n">
        <f aca="false">IFERROR(INDEX('TRANS'!$B:$B,MATCH($B382,'TRANS'!$A:$A,0)),IFERROR(INDEX('TRANS'!$B:$B,MATCH(TRIM(SUBSTITUTE($B382,CHAR(160)," ")),'TRANS'!$D:$D,0)),IFERROR(INDEX('Catalog'!$A:$A,MATCH($B382,'Catalog'!$B:$B,0)),IFERROR(INDEX('Catalog'!$A:$A,MATCH(TRIM(SUBSTITUTE($B382,CHAR(160)," ")),'Catalog'!$C:$C,0)),""))))</f>
        <v>4413141</v>
      </c>
      <c r="H382" s="8" t="str">
        <f aca="false">IFERROR(INDEX('TRANS'!$C:$C,MATCH($B382,'TRANS'!$A:$A,0)),IFERROR(INDEX('Catalog'!$B:$B,MATCH($G382,'Catalog'!$A:$A,0)),$B382))</f>
        <v>95 S מגן מרפק רגיל לבן</v>
      </c>
      <c r="I382" s="8" t="str">
        <f aca="false">IF($G382="","Unmatched","Matched")</f>
        <v>Matched</v>
      </c>
    </row>
    <row r="383" customFormat="false" ht="15" hidden="false" customHeight="false" outlineLevel="0" collapsed="false">
      <c r="A383" s="8" t="s">
        <v>51</v>
      </c>
      <c r="B383" s="8" t="s">
        <v>429</v>
      </c>
      <c r="C383" s="19" t="n">
        <v>2</v>
      </c>
      <c r="D383" s="19" t="n">
        <v>61.79</v>
      </c>
      <c r="E383" s="19" t="n">
        <v>1</v>
      </c>
      <c r="F383" s="19" t="n">
        <v>0.01</v>
      </c>
      <c r="G383" s="8" t="n">
        <f aca="false">IFERROR(INDEX('TRANS'!$B:$B,MATCH($B383,'TRANS'!$A:$A,0)),IFERROR(INDEX('TRANS'!$B:$B,MATCH(TRIM(SUBSTITUTE($B383,CHAR(160)," ")),'TRANS'!$D:$D,0)),IFERROR(INDEX('Catalog'!$A:$A,MATCH($B383,'Catalog'!$B:$B,0)),IFERROR(INDEX('Catalog'!$A:$A,MATCH(TRIM(SUBSTITUTE($B383,CHAR(160)," ")),'Catalog'!$C:$C,0)),""))))</f>
        <v>4413142</v>
      </c>
      <c r="H383" s="8" t="str">
        <f aca="false">IFERROR(INDEX('TRANS'!$C:$C,MATCH($B383,'TRANS'!$A:$A,0)),IFERROR(INDEX('Catalog'!$B:$B,MATCH($G383,'Catalog'!$A:$A,0)),$B383))</f>
        <v>95 XL מגן מרפק רגיל לבן</v>
      </c>
      <c r="I383" s="8" t="str">
        <f aca="false">IF($G383="","Unmatched","Matched")</f>
        <v>Matched</v>
      </c>
    </row>
    <row r="384" customFormat="false" ht="15" hidden="false" customHeight="false" outlineLevel="0" collapsed="false">
      <c r="A384" s="8" t="s">
        <v>51</v>
      </c>
      <c r="B384" s="8" t="s">
        <v>430</v>
      </c>
      <c r="C384" s="19" t="n">
        <v>3</v>
      </c>
      <c r="D384" s="19" t="n">
        <v>91.53</v>
      </c>
      <c r="E384" s="19" t="n">
        <v>0</v>
      </c>
      <c r="F384" s="19" t="n">
        <v>0</v>
      </c>
      <c r="G384" s="8" t="n">
        <f aca="false">IFERROR(INDEX('TRANS'!$B:$B,MATCH($B384,'TRANS'!$A:$A,0)),IFERROR(INDEX('TRANS'!$B:$B,MATCH(TRIM(SUBSTITUTE($B384,CHAR(160)," ")),'TRANS'!$D:$D,0)),IFERROR(INDEX('Catalog'!$A:$A,MATCH($B384,'Catalog'!$B:$B,0)),IFERROR(INDEX('Catalog'!$A:$A,MATCH(TRIM(SUBSTITUTE($B384,CHAR(160)," ")),'Catalog'!$C:$C,0)),""))))</f>
        <v>4413366</v>
      </c>
      <c r="H384" s="8" t="str">
        <f aca="false">IFERROR(INDEX('TRANS'!$C:$C,MATCH($B384,'TRANS'!$A:$A,0)),IFERROR(INDEX('Catalog'!$B:$B,MATCH($G384,'Catalog'!$A:$A,0)),$B384))</f>
        <v>95C S 'מגן מרפק בז</v>
      </c>
      <c r="I384" s="8" t="str">
        <f aca="false">IF($G384="","Unmatched","Matched")</f>
        <v>Matched</v>
      </c>
    </row>
    <row r="385" customFormat="false" ht="15" hidden="false" customHeight="false" outlineLevel="0" collapsed="false">
      <c r="A385" s="8" t="s">
        <v>51</v>
      </c>
      <c r="B385" s="8" t="s">
        <v>431</v>
      </c>
      <c r="C385" s="19" t="n">
        <v>2</v>
      </c>
      <c r="D385" s="19" t="n">
        <v>61.79</v>
      </c>
      <c r="E385" s="19" t="n">
        <v>0</v>
      </c>
      <c r="F385" s="19" t="n">
        <v>0</v>
      </c>
      <c r="G385" s="8" t="n">
        <f aca="false">IFERROR(INDEX('TRANS'!$B:$B,MATCH($B385,'TRANS'!$A:$A,0)),IFERROR(INDEX('TRANS'!$B:$B,MATCH(TRIM(SUBSTITUTE($B385,CHAR(160)," ")),'TRANS'!$D:$D,0)),IFERROR(INDEX('Catalog'!$A:$A,MATCH($B385,'Catalog'!$B:$B,0)),IFERROR(INDEX('Catalog'!$A:$A,MATCH(TRIM(SUBSTITUTE($B385,CHAR(160)," ")),'Catalog'!$C:$C,0)),""))))</f>
        <v>4413367</v>
      </c>
      <c r="H385" s="8" t="str">
        <f aca="false">IFERROR(INDEX('TRANS'!$C:$C,MATCH($B385,'TRANS'!$A:$A,0)),IFERROR(INDEX('Catalog'!$B:$B,MATCH($G385,'Catalog'!$A:$A,0)),$B385))</f>
        <v>95C XL'מגן מרפק בז</v>
      </c>
      <c r="I385" s="8" t="str">
        <f aca="false">IF($G385="","Unmatched","Matched")</f>
        <v>Matched</v>
      </c>
    </row>
    <row r="386" customFormat="false" ht="15" hidden="false" customHeight="false" outlineLevel="0" collapsed="false">
      <c r="A386" s="8" t="s">
        <v>51</v>
      </c>
      <c r="B386" s="8" t="s">
        <v>432</v>
      </c>
      <c r="C386" s="19" t="n">
        <v>0</v>
      </c>
      <c r="D386" s="19" t="n">
        <v>0</v>
      </c>
      <c r="E386" s="19" t="n">
        <v>6</v>
      </c>
      <c r="F386" s="19" t="n">
        <v>25.25</v>
      </c>
      <c r="G386" s="8" t="str">
        <f aca="false">IFERROR(INDEX('TRANS'!$B:$B,MATCH($B386,'TRANS'!$A:$A,0)),IFERROR(INDEX('TRANS'!$B:$B,MATCH(TRIM(SUBSTITUTE($B386,CHAR(160)," ")),'TRANS'!$D:$D,0)),IFERROR(INDEX('Catalog'!$A:$A,MATCH($B386,'Catalog'!$B:$B,0)),IFERROR(INDEX('Catalog'!$A:$A,MATCH(TRIM(SUBSTITUTE($B386,CHAR(160)," ")),'Catalog'!$C:$C,0)),""))))</f>
        <v/>
      </c>
      <c r="H386" s="8" t="str">
        <f aca="false">IFERROR(INDEX('TRANS'!$C:$C,MATCH($B386,'TRANS'!$A:$A,0)),IFERROR(INDEX('Catalog'!$B:$B,MATCH($G386,'Catalog'!$A:$A,0)),$B386))</f>
        <v>LUPD344 0</v>
      </c>
      <c r="I386" s="8" t="str">
        <f aca="false">IF($G386="","Unmatched","Matched")</f>
        <v>Unmatched</v>
      </c>
    </row>
    <row r="387" customFormat="false" ht="15" hidden="false" customHeight="false" outlineLevel="0" collapsed="false">
      <c r="A387" s="8" t="s">
        <v>51</v>
      </c>
      <c r="B387" s="8" t="s">
        <v>433</v>
      </c>
      <c r="C387" s="19" t="n">
        <v>3</v>
      </c>
      <c r="D387" s="19" t="n">
        <v>290.41</v>
      </c>
      <c r="E387" s="19" t="n">
        <v>0</v>
      </c>
      <c r="F387" s="19" t="n">
        <v>0</v>
      </c>
      <c r="G387" s="8" t="n">
        <f aca="false">IFERROR(INDEX('TRANS'!$B:$B,MATCH($B387,'TRANS'!$A:$A,0)),IFERROR(INDEX('TRANS'!$B:$B,MATCH(TRIM(SUBSTITUTE($B387,CHAR(160)," ")),'TRANS'!$D:$D,0)),IFERROR(INDEX('Catalog'!$A:$A,MATCH($B387,'Catalog'!$B:$B,0)),IFERROR(INDEX('Catalog'!$A:$A,MATCH(TRIM(SUBSTITUTE($B387,CHAR(160)," ")),'Catalog'!$C:$C,0)),""))))</f>
        <v>4413421</v>
      </c>
      <c r="H387" s="8" t="str">
        <f aca="false">IFERROR(INDEX('TRANS'!$C:$C,MATCH($B387,'TRANS'!$A:$A,0)),IFERROR(INDEX('Catalog'!$B:$B,MATCH($G387,'Catalog'!$A:$A,0)),$B387))</f>
        <v>SC35L  M מגן קרסול שמאל</v>
      </c>
      <c r="I387" s="8" t="str">
        <f aca="false">IF($G387="","Unmatched","Matched")</f>
        <v>Matched</v>
      </c>
    </row>
    <row r="388" customFormat="false" ht="15" hidden="false" customHeight="false" outlineLevel="0" collapsed="false">
      <c r="A388" s="8" t="s">
        <v>51</v>
      </c>
      <c r="B388" s="8" t="s">
        <v>434</v>
      </c>
      <c r="C388" s="19" t="n">
        <v>2</v>
      </c>
      <c r="D388" s="19" t="n">
        <v>328.05</v>
      </c>
      <c r="E388" s="19" t="n">
        <v>0</v>
      </c>
      <c r="F388" s="19" t="n">
        <v>0</v>
      </c>
      <c r="G388" s="8" t="n">
        <f aca="false">IFERROR(INDEX('TRANS'!$B:$B,MATCH($B388,'TRANS'!$A:$A,0)),IFERROR(INDEX('TRANS'!$B:$B,MATCH(TRIM(SUBSTITUTE($B388,CHAR(160)," ")),'TRANS'!$D:$D,0)),IFERROR(INDEX('Catalog'!$A:$A,MATCH($B388,'Catalog'!$B:$B,0)),IFERROR(INDEX('Catalog'!$A:$A,MATCH(TRIM(SUBSTITUTE($B388,CHAR(160)," ")),'Catalog'!$C:$C,0)),""))))</f>
        <v>4413417</v>
      </c>
      <c r="H388" s="8" t="str">
        <f aca="false">IFERROR(INDEX('TRANS'!$C:$C,MATCH($B388,'TRANS'!$A:$A,0)),IFERROR(INDEX('Catalog'!$B:$B,MATCH($G388,'Catalog'!$A:$A,0)),$B388))</f>
        <v>SC39  L מגן שוק</v>
      </c>
      <c r="I388" s="8" t="str">
        <f aca="false">IF($G388="","Unmatched","Matched")</f>
        <v>Matched</v>
      </c>
    </row>
    <row r="389" customFormat="false" ht="15" hidden="false" customHeight="false" outlineLevel="0" collapsed="false">
      <c r="A389" s="8" t="s">
        <v>51</v>
      </c>
      <c r="B389" s="8" t="s">
        <v>435</v>
      </c>
      <c r="C389" s="19" t="n">
        <v>2</v>
      </c>
      <c r="D389" s="19" t="n">
        <v>328.05</v>
      </c>
      <c r="E389" s="19" t="n">
        <v>0</v>
      </c>
      <c r="F389" s="19" t="n">
        <v>0</v>
      </c>
      <c r="G389" s="8" t="n">
        <f aca="false">IFERROR(INDEX('TRANS'!$B:$B,MATCH($B389,'TRANS'!$A:$A,0)),IFERROR(INDEX('TRANS'!$B:$B,MATCH(TRIM(SUBSTITUTE($B389,CHAR(160)," ")),'TRANS'!$D:$D,0)),IFERROR(INDEX('Catalog'!$A:$A,MATCH($B389,'Catalog'!$B:$B,0)),IFERROR(INDEX('Catalog'!$A:$A,MATCH(TRIM(SUBSTITUTE($B389,CHAR(160)," ")),'Catalog'!$C:$C,0)),""))))</f>
        <v>4413415</v>
      </c>
      <c r="H389" s="8" t="str">
        <f aca="false">IFERROR(INDEX('TRANS'!$C:$C,MATCH($B389,'TRANS'!$A:$A,0)),IFERROR(INDEX('Catalog'!$B:$B,MATCH($G389,'Catalog'!$A:$A,0)),$B389))</f>
        <v>SC39  S מגן שוק</v>
      </c>
      <c r="I389" s="8" t="str">
        <f aca="false">IF($G389="","Unmatched","Matched")</f>
        <v>Matched</v>
      </c>
    </row>
    <row r="390" customFormat="false" ht="15" hidden="false" customHeight="false" outlineLevel="0" collapsed="false">
      <c r="A390" s="8" t="s">
        <v>51</v>
      </c>
      <c r="B390" s="8" t="s">
        <v>436</v>
      </c>
      <c r="C390" s="19" t="n">
        <v>2</v>
      </c>
      <c r="D390" s="19" t="n">
        <v>281.14</v>
      </c>
      <c r="E390" s="19" t="n">
        <v>4</v>
      </c>
      <c r="F390" s="19" t="n">
        <v>421.73</v>
      </c>
      <c r="G390" s="8" t="n">
        <f aca="false">IFERROR(INDEX('TRANS'!$B:$B,MATCH($B390,'TRANS'!$A:$A,0)),IFERROR(INDEX('TRANS'!$B:$B,MATCH(TRIM(SUBSTITUTE($B390,CHAR(160)," ")),'TRANS'!$D:$D,0)),IFERROR(INDEX('Catalog'!$A:$A,MATCH($B390,'Catalog'!$B:$B,0)),IFERROR(INDEX('Catalog'!$A:$A,MATCH(TRIM(SUBSTITUTE($B390,CHAR(160)," ")),'Catalog'!$C:$C,0)),""))))</f>
        <v>4413440</v>
      </c>
      <c r="H390" s="8" t="str">
        <f aca="false">IFERROR(INDEX('TRANS'!$C:$C,MATCH($B390,'TRANS'!$A:$A,0)),IFERROR(INDEX('Catalog'!$B:$B,MATCH($G390,'Catalog'!$A:$A,0)),$B390))</f>
        <v>SC422  L מגן ברך</v>
      </c>
      <c r="I390" s="8" t="str">
        <f aca="false">IF($G390="","Unmatched","Matched")</f>
        <v>Matched</v>
      </c>
    </row>
    <row r="391" customFormat="false" ht="15" hidden="false" customHeight="false" outlineLevel="0" collapsed="false">
      <c r="A391" s="8" t="s">
        <v>51</v>
      </c>
      <c r="B391" s="8" t="s">
        <v>437</v>
      </c>
      <c r="C391" s="19" t="n">
        <v>5</v>
      </c>
      <c r="D391" s="19" t="n">
        <v>843.43</v>
      </c>
      <c r="E391" s="19" t="n">
        <v>0</v>
      </c>
      <c r="F391" s="19" t="n">
        <v>0</v>
      </c>
      <c r="G391" s="8" t="n">
        <f aca="false">IFERROR(INDEX('TRANS'!$B:$B,MATCH($B391,'TRANS'!$A:$A,0)),IFERROR(INDEX('TRANS'!$B:$B,MATCH(TRIM(SUBSTITUTE($B391,CHAR(160)," ")),'TRANS'!$D:$D,0)),IFERROR(INDEX('Catalog'!$A:$A,MATCH($B391,'Catalog'!$B:$B,0)),IFERROR(INDEX('Catalog'!$A:$A,MATCH(TRIM(SUBSTITUTE($B391,CHAR(160)," ")),'Catalog'!$C:$C,0)),""))))</f>
        <v>4413438</v>
      </c>
      <c r="H391" s="8" t="str">
        <f aca="false">IFERROR(INDEX('TRANS'!$C:$C,MATCH($B391,'TRANS'!$A:$A,0)),IFERROR(INDEX('Catalog'!$B:$B,MATCH($G391,'Catalog'!$A:$A,0)),$B391))</f>
        <v>SC422  S מגן ברך</v>
      </c>
      <c r="I391" s="8" t="str">
        <f aca="false">IF($G391="","Unmatched","Matched")</f>
        <v>Matched</v>
      </c>
    </row>
    <row r="392" customFormat="false" ht="15" hidden="false" customHeight="false" outlineLevel="0" collapsed="false">
      <c r="A392" s="8" t="s">
        <v>51</v>
      </c>
      <c r="B392" s="8" t="s">
        <v>438</v>
      </c>
      <c r="C392" s="19" t="n">
        <v>0</v>
      </c>
      <c r="D392" s="19" t="n">
        <v>0</v>
      </c>
      <c r="E392" s="19" t="n">
        <v>2</v>
      </c>
      <c r="F392" s="19" t="n">
        <v>281.15</v>
      </c>
      <c r="G392" s="8" t="n">
        <f aca="false">IFERROR(INDEX('TRANS'!$B:$B,MATCH($B392,'TRANS'!$A:$A,0)),IFERROR(INDEX('TRANS'!$B:$B,MATCH(TRIM(SUBSTITUTE($B392,CHAR(160)," ")),'TRANS'!$D:$D,0)),IFERROR(INDEX('Catalog'!$A:$A,MATCH($B392,'Catalog'!$B:$B,0)),IFERROR(INDEX('Catalog'!$A:$A,MATCH(TRIM(SUBSTITUTE($B392,CHAR(160)," ")),'Catalog'!$C:$C,0)),""))))</f>
        <v>4413441</v>
      </c>
      <c r="H392" s="8" t="str">
        <f aca="false">IFERROR(INDEX('TRANS'!$C:$C,MATCH($B392,'TRANS'!$A:$A,0)),IFERROR(INDEX('Catalog'!$B:$B,MATCH($G392,'Catalog'!$A:$A,0)),$B392))</f>
        <v>SC422 XL מגן ברך</v>
      </c>
      <c r="I392" s="8" t="str">
        <f aca="false">IF($G392="","Unmatched","Matched")</f>
        <v>Matched</v>
      </c>
    </row>
    <row r="393" customFormat="false" ht="15" hidden="false" customHeight="false" outlineLevel="0" collapsed="false">
      <c r="A393" s="8" t="s">
        <v>51</v>
      </c>
      <c r="B393" s="8" t="s">
        <v>439</v>
      </c>
      <c r="C393" s="19" t="n">
        <v>2</v>
      </c>
      <c r="D393" s="19" t="n">
        <v>154.59</v>
      </c>
      <c r="E393" s="19" t="n">
        <v>2</v>
      </c>
      <c r="F393" s="19" t="n">
        <v>199.84</v>
      </c>
      <c r="G393" s="8" t="n">
        <f aca="false">IFERROR(INDEX('TRANS'!$B:$B,MATCH($B393,'TRANS'!$A:$A,0)),IFERROR(INDEX('TRANS'!$B:$B,MATCH(TRIM(SUBSTITUTE($B393,CHAR(160)," ")),'TRANS'!$D:$D,0)),IFERROR(INDEX('Catalog'!$A:$A,MATCH($B393,'Catalog'!$B:$B,0)),IFERROR(INDEX('Catalog'!$A:$A,MATCH(TRIM(SUBSTITUTE($B393,CHAR(160)," ")),'Catalog'!$C:$C,0)),""))))</f>
        <v>4413408</v>
      </c>
      <c r="H393" s="8" t="str">
        <f aca="false">IFERROR(INDEX('TRANS'!$C:$C,MATCH($B393,'TRANS'!$A:$A,0)),IFERROR(INDEX('Catalog'!$B:$B,MATCH($G393,'Catalog'!$A:$A,0)),$B393))</f>
        <v>SC95 XLמגן מרפק</v>
      </c>
      <c r="I393" s="8" t="str">
        <f aca="false">IF($G393="","Unmatched","Matched")</f>
        <v>Matched</v>
      </c>
    </row>
    <row r="394" customFormat="false" ht="15" hidden="false" customHeight="false" outlineLevel="0" collapsed="false">
      <c r="A394" s="8" t="s">
        <v>51</v>
      </c>
      <c r="B394" s="8" t="s">
        <v>440</v>
      </c>
      <c r="C394" s="19" t="n">
        <v>0</v>
      </c>
      <c r="D394" s="19" t="n">
        <v>0</v>
      </c>
      <c r="E394" s="19" t="n">
        <v>6</v>
      </c>
      <c r="F394" s="19" t="n">
        <v>210.02</v>
      </c>
      <c r="G394" s="8" t="str">
        <f aca="false">IFERROR(INDEX('TRANS'!$B:$B,MATCH($B394,'TRANS'!$A:$A,0)),IFERROR(INDEX('TRANS'!$B:$B,MATCH(TRIM(SUBSTITUTE($B394,CHAR(160)," ")),'TRANS'!$D:$D,0)),IFERROR(INDEX('Catalog'!$A:$A,MATCH($B394,'Catalog'!$B:$B,0)),IFERROR(INDEX('Catalog'!$A:$A,MATCH(TRIM(SUBSTITUTE($B394,CHAR(160)," ")),'Catalog'!$C:$C,0)),""))))</f>
        <v/>
      </c>
      <c r="H394" s="8" t="str">
        <f aca="false">IFERROR(INDEX('TRANS'!$C:$C,MATCH($B394,'TRANS'!$A:$A,0)),IFERROR(INDEX('Catalog'!$B:$B,MATCH($G394,'Catalog'!$A:$A,0)),$B394))</f>
        <v>SP302W 0</v>
      </c>
      <c r="I394" s="8" t="str">
        <f aca="false">IF($G394="","Unmatched","Matched")</f>
        <v>Unmatched</v>
      </c>
    </row>
    <row r="395" customFormat="false" ht="15" hidden="false" customHeight="false" outlineLevel="0" collapsed="false">
      <c r="A395" s="8" t="s">
        <v>51</v>
      </c>
      <c r="B395" s="8" t="s">
        <v>441</v>
      </c>
      <c r="C395" s="19" t="n">
        <v>4</v>
      </c>
      <c r="D395" s="19" t="n">
        <v>620</v>
      </c>
      <c r="E395" s="19" t="n">
        <v>0</v>
      </c>
      <c r="F395" s="19" t="n">
        <v>0</v>
      </c>
      <c r="G395" s="8" t="str">
        <f aca="false">IFERROR(INDEX('TRANS'!$B:$B,MATCH($B395,'TRANS'!$A:$A,0)),IFERROR(INDEX('TRANS'!$B:$B,MATCH(TRIM(SUBSTITUTE($B395,CHAR(160)," ")),'TRANS'!$D:$D,0)),IFERROR(INDEX('Catalog'!$A:$A,MATCH($B395,'Catalog'!$B:$B,0)),IFERROR(INDEX('Catalog'!$A:$A,MATCH(TRIM(SUBSTITUTE($B395,CHAR(160)," ")),'Catalog'!$C:$C,0)),""))))</f>
        <v/>
      </c>
      <c r="H395" s="8" t="str">
        <f aca="false">IFERROR(INDEX('TRANS'!$C:$C,MATCH($B395,'TRANS'!$A:$A,0)),IFERROR(INDEX('Catalog'!$B:$B,MATCH($G395,'Catalog'!$A:$A,0)),$B395))</f>
        <v>ST433D 0</v>
      </c>
      <c r="I395" s="8" t="str">
        <f aca="false">IF($G395="","Unmatched","Matched")</f>
        <v>Unmatched</v>
      </c>
    </row>
    <row r="396" customFormat="false" ht="15" hidden="false" customHeight="false" outlineLevel="0" collapsed="false">
      <c r="A396" s="8" t="s">
        <v>51</v>
      </c>
      <c r="B396" s="8" t="s">
        <v>442</v>
      </c>
      <c r="C396" s="19" t="n">
        <v>0</v>
      </c>
      <c r="D396" s="19" t="n">
        <v>0</v>
      </c>
      <c r="E396" s="19" t="n">
        <v>1</v>
      </c>
      <c r="F396" s="19" t="n">
        <v>111.04</v>
      </c>
      <c r="G396" s="8" t="str">
        <f aca="false">IFERROR(INDEX('TRANS'!$B:$B,MATCH($B396,'TRANS'!$A:$A,0)),IFERROR(INDEX('TRANS'!$B:$B,MATCH(TRIM(SUBSTITUTE($B396,CHAR(160)," ")),'TRANS'!$D:$D,0)),IFERROR(INDEX('Catalog'!$A:$A,MATCH($B396,'Catalog'!$B:$B,0)),IFERROR(INDEX('Catalog'!$A:$A,MATCH(TRIM(SUBSTITUTE($B396,CHAR(160)," ")),'Catalog'!$C:$C,0)),""))))</f>
        <v/>
      </c>
      <c r="H396" s="8" t="str">
        <f aca="false">IFERROR(INDEX('TRANS'!$C:$C,MATCH($B396,'TRANS'!$A:$A,0)),IFERROR(INDEX('Catalog'!$B:$B,MATCH($G396,'Catalog'!$A:$A,0)),$B396))</f>
        <v>T03 XL</v>
      </c>
      <c r="I396" s="8" t="str">
        <f aca="false">IF($G396="","Unmatched","Matched")</f>
        <v>Unmatched</v>
      </c>
    </row>
    <row r="397" customFormat="false" ht="15" hidden="false" customHeight="false" outlineLevel="0" collapsed="false">
      <c r="A397" s="8" t="s">
        <v>51</v>
      </c>
      <c r="B397" s="8" t="s">
        <v>443</v>
      </c>
      <c r="C397" s="19" t="n">
        <v>7</v>
      </c>
      <c r="D397" s="19" t="n">
        <v>343.36</v>
      </c>
      <c r="E397" s="19" t="n">
        <v>0</v>
      </c>
      <c r="F397" s="19" t="n">
        <v>0</v>
      </c>
      <c r="G397" s="8" t="n">
        <f aca="false">IFERROR(INDEX('TRANS'!$B:$B,MATCH($B397,'TRANS'!$A:$A,0)),IFERROR(INDEX('TRANS'!$B:$B,MATCH(TRIM(SUBSTITUTE($B397,CHAR(160)," ")),'TRANS'!$D:$D,0)),IFERROR(INDEX('Catalog'!$A:$A,MATCH($B397,'Catalog'!$B:$B,0)),IFERROR(INDEX('Catalog'!$A:$A,MATCH(TRIM(SUBSTITUTE($B397,CHAR(160)," ")),'Catalog'!$C:$C,0)),""))))</f>
        <v>4408264</v>
      </c>
      <c r="H397" s="8" t="str">
        <f aca="false">IFERROR(INDEX('TRANS'!$C:$C,MATCH($B397,'TRANS'!$A:$A,0)),IFERROR(INDEX('Catalog'!$B:$B,MATCH($G397,'Catalog'!$A:$A,0)),$B397))</f>
        <v>T25B   חבק יד אגודלי</v>
      </c>
      <c r="I397" s="8" t="str">
        <f aca="false">IF($G397="","Unmatched","Matched")</f>
        <v>Matched</v>
      </c>
    </row>
    <row r="398" customFormat="false" ht="15" hidden="false" customHeight="false" outlineLevel="0" collapsed="false">
      <c r="A398" s="8" t="s">
        <v>51</v>
      </c>
      <c r="B398" s="8" t="s">
        <v>444</v>
      </c>
      <c r="C398" s="19" t="n">
        <v>1</v>
      </c>
      <c r="D398" s="19" t="n">
        <v>107.76</v>
      </c>
      <c r="E398" s="19" t="n">
        <v>0</v>
      </c>
      <c r="F398" s="19" t="n">
        <v>0</v>
      </c>
      <c r="G398" s="8" t="str">
        <f aca="false">IFERROR(INDEX('TRANS'!$B:$B,MATCH($B398,'TRANS'!$A:$A,0)),IFERROR(INDEX('TRANS'!$B:$B,MATCH(TRIM(SUBSTITUTE($B398,CHAR(160)," ")),'TRANS'!$D:$D,0)),IFERROR(INDEX('Catalog'!$A:$A,MATCH($B398,'Catalog'!$B:$B,0)),IFERROR(INDEX('Catalog'!$A:$A,MATCH(TRIM(SUBSTITUTE($B398,CHAR(160)," ")),'Catalog'!$C:$C,0)),""))))</f>
        <v/>
      </c>
      <c r="H398" s="8" t="str">
        <f aca="false">IFERROR(INDEX('TRANS'!$C:$C,MATCH($B398,'TRANS'!$A:$A,0)),IFERROR(INDEX('Catalog'!$B:$B,MATCH($G398,'Catalog'!$A:$A,0)),$B398))</f>
        <v>T39 M</v>
      </c>
      <c r="I398" s="8" t="str">
        <f aca="false">IF($G398="","Unmatched","Matched")</f>
        <v>Unmatched</v>
      </c>
    </row>
    <row r="399" customFormat="false" ht="15" hidden="false" customHeight="false" outlineLevel="0" collapsed="false">
      <c r="A399" s="8" t="s">
        <v>51</v>
      </c>
      <c r="B399" s="8" t="s">
        <v>445</v>
      </c>
      <c r="C399" s="19" t="n">
        <v>2</v>
      </c>
      <c r="D399" s="19" t="n">
        <v>215.52</v>
      </c>
      <c r="E399" s="19" t="n">
        <v>1</v>
      </c>
      <c r="F399" s="19" t="n">
        <v>93.39</v>
      </c>
      <c r="G399" s="8" t="n">
        <f aca="false">IFERROR(INDEX('TRANS'!$B:$B,MATCH($B399,'TRANS'!$A:$A,0)),IFERROR(INDEX('TRANS'!$B:$B,MATCH(TRIM(SUBSTITUTE($B399,CHAR(160)," ")),'TRANS'!$D:$D,0)),IFERROR(INDEX('Catalog'!$A:$A,MATCH($B399,'Catalog'!$B:$B,0)),IFERROR(INDEX('Catalog'!$A:$A,MATCH(TRIM(SUBSTITUTE($B399,CHAR(160)," ")),'Catalog'!$C:$C,0)),""))))</f>
        <v>4413180</v>
      </c>
      <c r="H399" s="8" t="str">
        <f aca="false">IFERROR(INDEX('TRANS'!$C:$C,MATCH($B399,'TRANS'!$A:$A,0)),IFERROR(INDEX('Catalog'!$B:$B,MATCH($G399,'Catalog'!$A:$A,0)),$B399))</f>
        <v>T39  S מגן שוק</v>
      </c>
      <c r="I399" s="8" t="str">
        <f aca="false">IF($G399="","Unmatched","Matched")</f>
        <v>Matched</v>
      </c>
    </row>
    <row r="400" customFormat="false" ht="15" hidden="false" customHeight="false" outlineLevel="0" collapsed="false">
      <c r="A400" s="8" t="s">
        <v>51</v>
      </c>
      <c r="B400" s="8" t="s">
        <v>446</v>
      </c>
      <c r="C400" s="19" t="n">
        <v>1</v>
      </c>
      <c r="D400" s="19" t="n">
        <v>330.88</v>
      </c>
      <c r="E400" s="19" t="n">
        <v>0</v>
      </c>
      <c r="F400" s="19" t="n">
        <v>0</v>
      </c>
      <c r="G400" s="8" t="str">
        <f aca="false">IFERROR(INDEX('TRANS'!$B:$B,MATCH($B400,'TRANS'!$A:$A,0)),IFERROR(INDEX('TRANS'!$B:$B,MATCH(TRIM(SUBSTITUTE($B400,CHAR(160)," ")),'TRANS'!$D:$D,0)),IFERROR(INDEX('Catalog'!$A:$A,MATCH($B400,'Catalog'!$B:$B,0)),IFERROR(INDEX('Catalog'!$A:$A,MATCH(TRIM(SUBSTITUTE($B400,CHAR(160)," ")),'Catalog'!$C:$C,0)),""))))</f>
        <v/>
      </c>
      <c r="H400" s="8" t="str">
        <f aca="false">IFERROR(INDEX('TRANS'!$C:$C,MATCH($B400,'TRANS'!$A:$A,0)),IFERROR(INDEX('Catalog'!$B:$B,MATCH($G400,'Catalog'!$A:$A,0)),$B400))</f>
        <v>T433 XL</v>
      </c>
      <c r="I400" s="8" t="str">
        <f aca="false">IF($G400="","Unmatched","Matched")</f>
        <v>Unmatched</v>
      </c>
    </row>
    <row r="401" customFormat="false" ht="15" hidden="false" customHeight="false" outlineLevel="0" collapsed="false">
      <c r="A401" s="8" t="s">
        <v>51</v>
      </c>
      <c r="B401" s="8" t="s">
        <v>447</v>
      </c>
      <c r="C401" s="19" t="n">
        <v>1</v>
      </c>
      <c r="D401" s="19" t="n">
        <v>107.16</v>
      </c>
      <c r="E401" s="19" t="n">
        <v>1</v>
      </c>
      <c r="F401" s="19" t="n">
        <v>80</v>
      </c>
      <c r="G401" s="8" t="str">
        <f aca="false">IFERROR(INDEX('TRANS'!$B:$B,MATCH($B401,'TRANS'!$A:$A,0)),IFERROR(INDEX('TRANS'!$B:$B,MATCH(TRIM(SUBSTITUTE($B401,CHAR(160)," ")),'TRANS'!$D:$D,0)),IFERROR(INDEX('Catalog'!$A:$A,MATCH($B401,'Catalog'!$B:$B,0)),IFERROR(INDEX('Catalog'!$A:$A,MATCH(TRIM(SUBSTITUTE($B401,CHAR(160)," ")),'Catalog'!$C:$C,0)),""))))</f>
        <v/>
      </c>
      <c r="H401" s="8" t="str">
        <f aca="false">IFERROR(INDEX('TRANS'!$C:$C,MATCH($B401,'TRANS'!$A:$A,0)),IFERROR(INDEX('Catalog'!$B:$B,MATCH($G401,'Catalog'!$A:$A,0)),$B401))</f>
        <v>T45X L</v>
      </c>
      <c r="I401" s="8" t="str">
        <f aca="false">IF($G401="","Unmatched","Matched")</f>
        <v>Unmatched</v>
      </c>
    </row>
    <row r="402" customFormat="false" ht="15" hidden="false" customHeight="false" outlineLevel="0" collapsed="false">
      <c r="A402" s="8" t="s">
        <v>51</v>
      </c>
      <c r="B402" s="8" t="s">
        <v>448</v>
      </c>
      <c r="C402" s="19" t="n">
        <v>0</v>
      </c>
      <c r="D402" s="19" t="n">
        <v>0</v>
      </c>
      <c r="E402" s="19" t="n">
        <v>1</v>
      </c>
      <c r="F402" s="19" t="n">
        <v>80</v>
      </c>
      <c r="G402" s="8" t="str">
        <f aca="false">IFERROR(INDEX('TRANS'!$B:$B,MATCH($B402,'TRANS'!$A:$A,0)),IFERROR(INDEX('TRANS'!$B:$B,MATCH(TRIM(SUBSTITUTE($B402,CHAR(160)," ")),'TRANS'!$D:$D,0)),IFERROR(INDEX('Catalog'!$A:$A,MATCH($B402,'Catalog'!$B:$B,0)),IFERROR(INDEX('Catalog'!$A:$A,MATCH(TRIM(SUBSTITUTE($B402,CHAR(160)," ")),'Catalog'!$C:$C,0)),""))))</f>
        <v/>
      </c>
      <c r="H402" s="8" t="str">
        <f aca="false">IFERROR(INDEX('TRANS'!$C:$C,MATCH($B402,'TRANS'!$A:$A,0)),IFERROR(INDEX('Catalog'!$B:$B,MATCH($G402,'Catalog'!$A:$A,0)),$B402))</f>
        <v>T45X M</v>
      </c>
      <c r="I402" s="8" t="str">
        <f aca="false">IF($G402="","Unmatched","Matched")</f>
        <v>Unmatched</v>
      </c>
    </row>
    <row r="403" customFormat="false" ht="15" hidden="false" customHeight="false" outlineLevel="0" collapsed="false">
      <c r="A403" s="8" t="s">
        <v>51</v>
      </c>
      <c r="B403" s="8" t="s">
        <v>449</v>
      </c>
      <c r="C403" s="19" t="n">
        <v>0</v>
      </c>
      <c r="D403" s="19" t="n">
        <v>0</v>
      </c>
      <c r="E403" s="19" t="n">
        <v>1</v>
      </c>
      <c r="F403" s="19" t="n">
        <v>80.02</v>
      </c>
      <c r="G403" s="8" t="str">
        <f aca="false">IFERROR(INDEX('TRANS'!$B:$B,MATCH($B403,'TRANS'!$A:$A,0)),IFERROR(INDEX('TRANS'!$B:$B,MATCH(TRIM(SUBSTITUTE($B403,CHAR(160)," ")),'TRANS'!$D:$D,0)),IFERROR(INDEX('Catalog'!$A:$A,MATCH($B403,'Catalog'!$B:$B,0)),IFERROR(INDEX('Catalog'!$A:$A,MATCH(TRIM(SUBSTITUTE($B403,CHAR(160)," ")),'Catalog'!$C:$C,0)),""))))</f>
        <v/>
      </c>
      <c r="H403" s="8" t="str">
        <f aca="false">IFERROR(INDEX('TRANS'!$C:$C,MATCH($B403,'TRANS'!$A:$A,0)),IFERROR(INDEX('Catalog'!$B:$B,MATCH($G403,'Catalog'!$A:$A,0)),$B403))</f>
        <v>T45X S</v>
      </c>
      <c r="I403" s="8" t="str">
        <f aca="false">IF($G403="","Unmatched","Matched")</f>
        <v>Unmatched</v>
      </c>
    </row>
    <row r="404" customFormat="false" ht="15" hidden="false" customHeight="false" outlineLevel="0" collapsed="false">
      <c r="A404" s="8" t="s">
        <v>51</v>
      </c>
      <c r="B404" s="8" t="s">
        <v>450</v>
      </c>
      <c r="C404" s="19" t="n">
        <v>0</v>
      </c>
      <c r="D404" s="19" t="n">
        <v>0</v>
      </c>
      <c r="E404" s="19" t="n">
        <v>1</v>
      </c>
      <c r="F404" s="19" t="n">
        <v>80</v>
      </c>
      <c r="G404" s="8" t="n">
        <f aca="false">IFERROR(INDEX('TRANS'!$B:$B,MATCH($B404,'TRANS'!$A:$A,0)),IFERROR(INDEX('TRANS'!$B:$B,MATCH(TRIM(SUBSTITUTE($B404,CHAR(160)," ")),'TRANS'!$D:$D,0)),IFERROR(INDEX('Catalog'!$A:$A,MATCH($B404,'Catalog'!$B:$B,0)),IFERROR(INDEX('Catalog'!$A:$A,MATCH(TRIM(SUBSTITUTE($B404,CHAR(160)," ")),'Catalog'!$C:$C,0)),""))))</f>
        <v>4413260</v>
      </c>
      <c r="H404" s="8" t="str">
        <f aca="false">IFERROR(INDEX('TRANS'!$C:$C,MATCH($B404,'TRANS'!$A:$A,0)),IFERROR(INDEX('Catalog'!$B:$B,MATCH($G404,'Catalog'!$A:$A,0)),$B404))</f>
        <v>T45X-XXLמגן ברך רגיל</v>
      </c>
      <c r="I404" s="8" t="str">
        <f aca="false">IF($G404="","Unmatched","Matched")</f>
        <v>Matched</v>
      </c>
    </row>
    <row r="405" customFormat="false" ht="15" hidden="false" customHeight="false" outlineLevel="0" collapsed="false">
      <c r="A405" s="8" t="s">
        <v>51</v>
      </c>
      <c r="B405" s="8" t="s">
        <v>451</v>
      </c>
      <c r="C405" s="19" t="n">
        <v>2</v>
      </c>
      <c r="D405" s="19" t="n">
        <v>170.52</v>
      </c>
      <c r="E405" s="19" t="n">
        <v>0</v>
      </c>
      <c r="F405" s="19" t="n">
        <v>0</v>
      </c>
      <c r="G405" s="8" t="str">
        <f aca="false">IFERROR(INDEX('TRANS'!$B:$B,MATCH($B405,'TRANS'!$A:$A,0)),IFERROR(INDEX('TRANS'!$B:$B,MATCH(TRIM(SUBSTITUTE($B405,CHAR(160)," ")),'TRANS'!$D:$D,0)),IFERROR(INDEX('Catalog'!$A:$A,MATCH($B405,'Catalog'!$B:$B,0)),IFERROR(INDEX('Catalog'!$A:$A,MATCH(TRIM(SUBSTITUTE($B405,CHAR(160)," ")),'Catalog'!$C:$C,0)),""))))</f>
        <v/>
      </c>
      <c r="H405" s="8" t="str">
        <f aca="false">IFERROR(INDEX('TRANS'!$C:$C,MATCH($B405,'TRANS'!$A:$A,0)),IFERROR(INDEX('Catalog'!$B:$B,MATCH($G405,'Catalog'!$A:$A,0)),$B405))</f>
        <v>T49 L</v>
      </c>
      <c r="I405" s="8" t="str">
        <f aca="false">IF($G405="","Unmatched","Matched")</f>
        <v>Unmatched</v>
      </c>
    </row>
    <row r="406" customFormat="false" ht="15" hidden="false" customHeight="false" outlineLevel="0" collapsed="false">
      <c r="A406" s="8" t="s">
        <v>51</v>
      </c>
      <c r="B406" s="8" t="s">
        <v>452</v>
      </c>
      <c r="C406" s="19" t="n">
        <v>2</v>
      </c>
      <c r="D406" s="19" t="n">
        <v>258</v>
      </c>
      <c r="E406" s="19" t="n">
        <v>1</v>
      </c>
      <c r="F406" s="19" t="n">
        <v>130</v>
      </c>
      <c r="G406" s="8" t="n">
        <f aca="false">IFERROR(INDEX('TRANS'!$B:$B,MATCH($B406,'TRANS'!$A:$A,0)),IFERROR(INDEX('TRANS'!$B:$B,MATCH(TRIM(SUBSTITUTE($B406,CHAR(160)," ")),'TRANS'!$D:$D,0)),IFERROR(INDEX('Catalog'!$A:$A,MATCH($B406,'Catalog'!$B:$B,0)),IFERROR(INDEX('Catalog'!$A:$A,MATCH(TRIM(SUBSTITUTE($B406,CHAR(160)," ")),'Catalog'!$C:$C,0)),""))))</f>
        <v>4422005</v>
      </c>
      <c r="H406" s="8" t="str">
        <f aca="false">IFERROR(INDEX('TRANS'!$C:$C,MATCH($B406,'TRANS'!$A:$A,0)),IFERROR(INDEX('Catalog'!$B:$B,MATCH($G406,'Catalog'!$A:$A,0)),$B406))</f>
        <v>T78 M תומך זרוע וכתף</v>
      </c>
      <c r="I406" s="8" t="str">
        <f aca="false">IF($G406="","Unmatched","Matched")</f>
        <v>Matched</v>
      </c>
    </row>
    <row r="407" customFormat="false" ht="15" hidden="false" customHeight="false" outlineLevel="0" collapsed="false">
      <c r="A407" s="8" t="s">
        <v>51</v>
      </c>
      <c r="B407" s="8" t="s">
        <v>453</v>
      </c>
      <c r="C407" s="19" t="n">
        <v>6</v>
      </c>
      <c r="D407" s="19" t="n">
        <v>500.94</v>
      </c>
      <c r="E407" s="19" t="n">
        <v>0</v>
      </c>
      <c r="F407" s="19" t="n">
        <v>0</v>
      </c>
      <c r="G407" s="8" t="str">
        <f aca="false">IFERROR(INDEX('TRANS'!$B:$B,MATCH($B407,'TRANS'!$A:$A,0)),IFERROR(INDEX('TRANS'!$B:$B,MATCH(TRIM(SUBSTITUTE($B407,CHAR(160)," ")),'TRANS'!$D:$D,0)),IFERROR(INDEX('Catalog'!$A:$A,MATCH($B407,'Catalog'!$B:$B,0)),IFERROR(INDEX('Catalog'!$A:$A,MATCH(TRIM(SUBSTITUTE($B407,CHAR(160)," ")),'Catalog'!$C:$C,0)),""))))</f>
        <v/>
      </c>
      <c r="H407" s="8" t="str">
        <f aca="false">IFERROR(INDEX('TRANS'!$C:$C,MATCH($B407,'TRANS'!$A:$A,0)),IFERROR(INDEX('Catalog'!$B:$B,MATCH($G407,'Catalog'!$A:$A,0)),$B407))</f>
        <v>T95 L</v>
      </c>
      <c r="I407" s="8" t="str">
        <f aca="false">IF($G407="","Unmatched","Matched")</f>
        <v>Unmatched</v>
      </c>
    </row>
    <row r="408" customFormat="false" ht="15" hidden="false" customHeight="false" outlineLevel="0" collapsed="false">
      <c r="A408" s="8" t="s">
        <v>51</v>
      </c>
      <c r="B408" s="8" t="s">
        <v>454</v>
      </c>
      <c r="C408" s="19" t="n">
        <v>3</v>
      </c>
      <c r="D408" s="19" t="n">
        <v>315</v>
      </c>
      <c r="E408" s="19" t="n">
        <v>15</v>
      </c>
      <c r="F408" s="19" t="n">
        <v>2130.06</v>
      </c>
      <c r="G408" s="8" t="n">
        <f aca="false">IFERROR(INDEX('TRANS'!$B:$B,MATCH($B408,'TRANS'!$A:$A,0)),IFERROR(INDEX('TRANS'!$B:$B,MATCH(TRIM(SUBSTITUTE($B408,CHAR(160)," ")),'TRANS'!$D:$D,0)),IFERROR(INDEX('Catalog'!$A:$A,MATCH($B408,'Catalog'!$B:$B,0)),IFERROR(INDEX('Catalog'!$A:$A,MATCH(TRIM(SUBSTITUTE($B408,CHAR(160)," ")),'Catalog'!$C:$C,0)),""))))</f>
        <v>4408190</v>
      </c>
      <c r="H408" s="8" t="str">
        <f aca="false">IFERROR(INDEX('TRANS'!$C:$C,MATCH($B408,'TRANS'!$A:$A,0)),IFERROR(INDEX('Catalog'!$B:$B,MATCH($G408,'Catalog'!$A:$A,0)),$B408))</f>
        <v>M078 חגורת גב +סגירה כפולה</v>
      </c>
      <c r="I408" s="8" t="str">
        <f aca="false">IF($G408="","Unmatched","Matched")</f>
        <v>Matched</v>
      </c>
    </row>
    <row r="409" customFormat="false" ht="15" hidden="false" customHeight="false" outlineLevel="0" collapsed="false">
      <c r="A409" s="8" t="s">
        <v>51</v>
      </c>
      <c r="B409" s="8" t="s">
        <v>455</v>
      </c>
      <c r="C409" s="19" t="n">
        <v>0</v>
      </c>
      <c r="D409" s="19" t="n">
        <v>0</v>
      </c>
      <c r="E409" s="19" t="n">
        <v>11</v>
      </c>
      <c r="F409" s="19" t="n">
        <v>1701.8</v>
      </c>
      <c r="G409" s="8" t="n">
        <f aca="false">IFERROR(INDEX('TRANS'!$B:$B,MATCH($B409,'TRANS'!$A:$A,0)),IFERROR(INDEX('TRANS'!$B:$B,MATCH(TRIM(SUBSTITUTE($B409,CHAR(160)," ")),'TRANS'!$D:$D,0)),IFERROR(INDEX('Catalog'!$A:$A,MATCH($B409,'Catalog'!$B:$B,0)),IFERROR(INDEX('Catalog'!$A:$A,MATCH(TRIM(SUBSTITUTE($B409,CHAR(160)," ")),'Catalog'!$C:$C,0)),""))))</f>
        <v>4408217</v>
      </c>
      <c r="H409" s="8" t="str">
        <f aca="false">IFERROR(INDEX('TRANS'!$C:$C,MATCH($B409,'TRANS'!$A:$A,0)),IFERROR(INDEX('Catalog'!$B:$B,MATCH($G409,'Catalog'!$A:$A,0)),$B409))</f>
        <v>S078 חגורת גב +סגירה כפולה</v>
      </c>
      <c r="I409" s="8" t="str">
        <f aca="false">IF($G409="","Unmatched","Matched")</f>
        <v>Matched</v>
      </c>
    </row>
    <row r="410" customFormat="false" ht="15" hidden="false" customHeight="false" outlineLevel="0" collapsed="false">
      <c r="A410" s="8" t="s">
        <v>51</v>
      </c>
      <c r="B410" s="8" t="s">
        <v>456</v>
      </c>
      <c r="C410" s="19" t="n">
        <v>0</v>
      </c>
      <c r="D410" s="19" t="n">
        <v>0</v>
      </c>
      <c r="E410" s="19" t="n">
        <v>2</v>
      </c>
      <c r="F410" s="19" t="n">
        <v>320</v>
      </c>
      <c r="G410" s="8" t="n">
        <f aca="false">IFERROR(INDEX('TRANS'!$B:$B,MATCH($B410,'TRANS'!$A:$A,0)),IFERROR(INDEX('TRANS'!$B:$B,MATCH(TRIM(SUBSTITUTE($B410,CHAR(160)," ")),'TRANS'!$D:$D,0)),IFERROR(INDEX('Catalog'!$A:$A,MATCH($B410,'Catalog'!$B:$B,0)),IFERROR(INDEX('Catalog'!$A:$A,MATCH(TRIM(SUBSTITUTE($B410,CHAR(160)," ")),'Catalog'!$C:$C,0)),""))))</f>
        <v>4408265</v>
      </c>
      <c r="H410" s="8" t="str">
        <f aca="false">IFERROR(INDEX('TRANS'!$C:$C,MATCH($B410,'TRANS'!$A:$A,0)),IFERROR(INDEX('Catalog'!$B:$B,MATCH($G410,'Catalog'!$A:$A,0)),$B410))</f>
        <v>078XXL חגורת גב +סגירה כפולה</v>
      </c>
      <c r="I410" s="8" t="str">
        <f aca="false">IF($G410="","Unmatched","Matched")</f>
        <v>Matched</v>
      </c>
    </row>
    <row r="411" customFormat="false" ht="15" hidden="false" customHeight="false" outlineLevel="0" collapsed="false">
      <c r="A411" s="8" t="s">
        <v>51</v>
      </c>
      <c r="B411" s="8" t="s">
        <v>457</v>
      </c>
      <c r="C411" s="19" t="n">
        <v>11</v>
      </c>
      <c r="D411" s="19" t="n">
        <v>1609.27</v>
      </c>
      <c r="E411" s="19" t="n">
        <v>0</v>
      </c>
      <c r="F411" s="19" t="n">
        <v>0</v>
      </c>
      <c r="G411" s="8" t="str">
        <f aca="false">IFERROR(INDEX('TRANS'!$B:$B,MATCH($B411,'TRANS'!$A:$A,0)),IFERROR(INDEX('TRANS'!$B:$B,MATCH(TRIM(SUBSTITUTE($B411,CHAR(160)," ")),'TRANS'!$D:$D,0)),IFERROR(INDEX('Catalog'!$A:$A,MATCH($B411,'Catalog'!$B:$B,0)),IFERROR(INDEX('Catalog'!$A:$A,MATCH(TRIM(SUBSTITUTE($B411,CHAR(160)," ")),'Catalog'!$C:$C,0)),""))))</f>
        <v/>
      </c>
      <c r="H411" s="8" t="str">
        <f aca="false">IFERROR(INDEX('TRANS'!$C:$C,MATCH($B411,'TRANS'!$A:$A,0)),IFERROR(INDEX('Catalog'!$B:$B,MATCH($G411,'Catalog'!$A:$A,0)),$B411))</f>
        <v>10 XXL</v>
      </c>
      <c r="I411" s="8" t="str">
        <f aca="false">IF($G411="","Unmatched","Matched")</f>
        <v>Unmatched</v>
      </c>
    </row>
    <row r="412" customFormat="false" ht="15" hidden="false" customHeight="false" outlineLevel="0" collapsed="false">
      <c r="A412" s="8" t="s">
        <v>51</v>
      </c>
      <c r="B412" s="8" t="s">
        <v>458</v>
      </c>
      <c r="C412" s="19" t="n">
        <v>1</v>
      </c>
      <c r="D412" s="19" t="n">
        <v>100.58</v>
      </c>
      <c r="E412" s="19" t="n">
        <v>0</v>
      </c>
      <c r="F412" s="19" t="n">
        <v>0</v>
      </c>
      <c r="G412" s="8" t="n">
        <f aca="false">IFERROR(INDEX('TRANS'!$B:$B,MATCH($B412,'TRANS'!$A:$A,0)),IFERROR(INDEX('TRANS'!$B:$B,MATCH(TRIM(SUBSTITUTE($B412,CHAR(160)," ")),'TRANS'!$D:$D,0)),IFERROR(INDEX('Catalog'!$A:$A,MATCH($B412,'Catalog'!$B:$B,0)),IFERROR(INDEX('Catalog'!$A:$A,MATCH(TRIM(SUBSTITUTE($B412,CHAR(160)," ")),'Catalog'!$C:$C,0)),""))))</f>
        <v>4408032</v>
      </c>
      <c r="H412" s="8" t="str">
        <f aca="false">IFERROR(INDEX('TRANS'!$C:$C,MATCH($B412,'TRANS'!$A:$A,0)),IFERROR(INDEX('Catalog'!$B:$B,MATCH($G412,'Catalog'!$A:$A,0)),$B412))</f>
        <v>11 L""""חגורת בטן""""אורירית</v>
      </c>
      <c r="I412" s="8" t="str">
        <f aca="false">IF($G412="","Unmatched","Matched")</f>
        <v>Matched</v>
      </c>
    </row>
    <row r="413" customFormat="false" ht="15" hidden="false" customHeight="false" outlineLevel="0" collapsed="false">
      <c r="A413" s="8" t="s">
        <v>51</v>
      </c>
      <c r="B413" s="8" t="s">
        <v>459</v>
      </c>
      <c r="C413" s="19" t="n">
        <v>1</v>
      </c>
      <c r="D413" s="19" t="n">
        <v>220.21</v>
      </c>
      <c r="E413" s="19" t="n">
        <v>1</v>
      </c>
      <c r="F413" s="19" t="n">
        <v>99.53</v>
      </c>
      <c r="G413" s="8" t="n">
        <f aca="false">IFERROR(INDEX('TRANS'!$B:$B,MATCH($B413,'TRANS'!$A:$A,0)),IFERROR(INDEX('TRANS'!$B:$B,MATCH(TRIM(SUBSTITUTE($B413,CHAR(160)," ")),'TRANS'!$D:$D,0)),IFERROR(INDEX('Catalog'!$A:$A,MATCH($B413,'Catalog'!$B:$B,0)),IFERROR(INDEX('Catalog'!$A:$A,MATCH(TRIM(SUBSTITUTE($B413,CHAR(160)," ")),'Catalog'!$C:$C,0)),""))))</f>
        <v>4408132</v>
      </c>
      <c r="H413" s="8" t="str">
        <f aca="false">IFERROR(INDEX('TRANS'!$C:$C,MATCH($B413,'TRANS'!$A:$A,0)),IFERROR(INDEX('Catalog'!$B:$B,MATCH($G413,'Catalog'!$A:$A,0)),$B413))</f>
        <v>11EU XXL חגורת בטןלאחר ניתוח</v>
      </c>
      <c r="I413" s="8" t="str">
        <f aca="false">IF($G413="","Unmatched","Matched")</f>
        <v>Matched</v>
      </c>
    </row>
    <row r="414" customFormat="false" ht="15" hidden="false" customHeight="false" outlineLevel="0" collapsed="false">
      <c r="A414" s="8" t="s">
        <v>51</v>
      </c>
      <c r="B414" s="8" t="s">
        <v>460</v>
      </c>
      <c r="C414" s="19" t="n">
        <v>1</v>
      </c>
      <c r="D414" s="19" t="n">
        <v>221.8</v>
      </c>
      <c r="E414" s="19" t="n">
        <v>0</v>
      </c>
      <c r="F414" s="19" t="n">
        <v>0</v>
      </c>
      <c r="G414" s="8" t="n">
        <f aca="false">IFERROR(INDEX('TRANS'!$B:$B,MATCH($B414,'TRANS'!$A:$A,0)),IFERROR(INDEX('TRANS'!$B:$B,MATCH(TRIM(SUBSTITUTE($B414,CHAR(160)," ")),'TRANS'!$D:$D,0)),IFERROR(INDEX('Catalog'!$A:$A,MATCH($B414,'Catalog'!$B:$B,0)),IFERROR(INDEX('Catalog'!$A:$A,MATCH(TRIM(SUBSTITUTE($B414,CHAR(160)," ")),'Catalog'!$C:$C,0)),""))))</f>
        <v>4408261</v>
      </c>
      <c r="H414" s="8" t="str">
        <f aca="false">IFERROR(INDEX('TRANS'!$C:$C,MATCH($B414,'TRANS'!$A:$A,0)),IFERROR(INDEX('Catalog'!$B:$B,MATCH($G414,'Catalog'!$A:$A,0)),$B414))</f>
        <v>11STO L חגורה אחרי ניתוח</v>
      </c>
      <c r="I414" s="8" t="str">
        <f aca="false">IF($G414="","Unmatched","Matched")</f>
        <v>Matched</v>
      </c>
    </row>
    <row r="415" customFormat="false" ht="15" hidden="false" customHeight="false" outlineLevel="0" collapsed="false">
      <c r="A415" s="8" t="s">
        <v>51</v>
      </c>
      <c r="B415" s="8" t="s">
        <v>461</v>
      </c>
      <c r="C415" s="19" t="n">
        <v>0</v>
      </c>
      <c r="D415" s="19" t="n">
        <v>0</v>
      </c>
      <c r="E415" s="19" t="n">
        <v>1</v>
      </c>
      <c r="F415" s="19" t="n">
        <v>0.01</v>
      </c>
      <c r="G415" s="8" t="n">
        <f aca="false">IFERROR(INDEX('TRANS'!$B:$B,MATCH($B415,'TRANS'!$A:$A,0)),IFERROR(INDEX('TRANS'!$B:$B,MATCH(TRIM(SUBSTITUTE($B415,CHAR(160)," ")),'TRANS'!$D:$D,0)),IFERROR(INDEX('Catalog'!$A:$A,MATCH($B415,'Catalog'!$B:$B,0)),IFERROR(INDEX('Catalog'!$A:$A,MATCH(TRIM(SUBSTITUTE($B415,CHAR(160)," ")),'Catalog'!$C:$C,0)),""))))</f>
        <v>4408152</v>
      </c>
      <c r="H415" s="8" t="str">
        <f aca="false">IFERROR(INDEX('TRANS'!$C:$C,MATCH($B415,'TRANS'!$A:$A,0)),IFERROR(INDEX('Catalog'!$B:$B,MATCH($G415,'Catalog'!$A:$A,0)),$B415))</f>
        <v>11TO L חגורה למנותחי בית החזה</v>
      </c>
      <c r="I415" s="8" t="str">
        <f aca="false">IF($G415="","Unmatched","Matched")</f>
        <v>Matched</v>
      </c>
    </row>
    <row r="416" customFormat="false" ht="15" hidden="false" customHeight="false" outlineLevel="0" collapsed="false">
      <c r="A416" s="8" t="s">
        <v>51</v>
      </c>
      <c r="B416" s="8" t="s">
        <v>462</v>
      </c>
      <c r="C416" s="19" t="n">
        <v>1</v>
      </c>
      <c r="D416" s="19" t="n">
        <v>137.43</v>
      </c>
      <c r="E416" s="19" t="n">
        <v>0</v>
      </c>
      <c r="F416" s="19" t="n">
        <v>0</v>
      </c>
      <c r="G416" s="8" t="str">
        <f aca="false">IFERROR(INDEX('TRANS'!$B:$B,MATCH($B416,'TRANS'!$A:$A,0)),IFERROR(INDEX('TRANS'!$B:$B,MATCH(TRIM(SUBSTITUTE($B416,CHAR(160)," ")),'TRANS'!$D:$D,0)),IFERROR(INDEX('Catalog'!$A:$A,MATCH($B416,'Catalog'!$B:$B,0)),IFERROR(INDEX('Catalog'!$A:$A,MATCH(TRIM(SUBSTITUTE($B416,CHAR(160)," ")),'Catalog'!$C:$C,0)),""))))</f>
        <v/>
      </c>
      <c r="H416" s="8" t="str">
        <f aca="false">IFERROR(INDEX('TRANS'!$C:$C,MATCH($B416,'TRANS'!$A:$A,0)),IFERROR(INDEX('Catalog'!$B:$B,MATCH($G416,'Catalog'!$A:$A,0)),$B416))</f>
        <v>11U L</v>
      </c>
      <c r="I416" s="8" t="str">
        <f aca="false">IF($G416="","Unmatched","Matched")</f>
        <v>Unmatched</v>
      </c>
    </row>
    <row r="417" customFormat="false" ht="15" hidden="false" customHeight="false" outlineLevel="0" collapsed="false">
      <c r="A417" s="8" t="s">
        <v>51</v>
      </c>
      <c r="B417" s="8" t="s">
        <v>463</v>
      </c>
      <c r="C417" s="19" t="n">
        <v>0</v>
      </c>
      <c r="D417" s="19" t="n">
        <v>0</v>
      </c>
      <c r="E417" s="19" t="n">
        <v>1</v>
      </c>
      <c r="F417" s="19" t="n">
        <v>0.01</v>
      </c>
      <c r="G417" s="8" t="n">
        <f aca="false">IFERROR(INDEX('TRANS'!$B:$B,MATCH($B417,'TRANS'!$A:$A,0)),IFERROR(INDEX('TRANS'!$B:$B,MATCH(TRIM(SUBSTITUTE($B417,CHAR(160)," ")),'TRANS'!$D:$D,0)),IFERROR(INDEX('Catalog'!$A:$A,MATCH($B417,'Catalog'!$B:$B,0)),IFERROR(INDEX('Catalog'!$A:$A,MATCH(TRIM(SUBSTITUTE($B417,CHAR(160)," ")),'Catalog'!$C:$C,0)),""))))</f>
        <v>4408275</v>
      </c>
      <c r="H417" s="8" t="str">
        <f aca="false">IFERROR(INDEX('TRANS'!$C:$C,MATCH($B417,'TRANS'!$A:$A,0)),IFERROR(INDEX('Catalog'!$B:$B,MATCH($G417,'Catalog'!$A:$A,0)),$B417))</f>
        <v>202  ONE SIZE חבק יד</v>
      </c>
      <c r="I417" s="8" t="str">
        <f aca="false">IF($G417="","Unmatched","Matched")</f>
        <v>Matched</v>
      </c>
    </row>
    <row r="418" customFormat="false" ht="15" hidden="false" customHeight="false" outlineLevel="0" collapsed="false">
      <c r="A418" s="8" t="s">
        <v>51</v>
      </c>
      <c r="B418" s="8" t="s">
        <v>464</v>
      </c>
      <c r="C418" s="19" t="n">
        <v>1</v>
      </c>
      <c r="D418" s="19" t="n">
        <v>37.77</v>
      </c>
      <c r="E418" s="19" t="n">
        <v>0</v>
      </c>
      <c r="F418" s="19" t="n">
        <v>0</v>
      </c>
      <c r="G418" s="8" t="str">
        <f aca="false">IFERROR(INDEX('TRANS'!$B:$B,MATCH($B418,'TRANS'!$A:$A,0)),IFERROR(INDEX('TRANS'!$B:$B,MATCH(TRIM(SUBSTITUTE($B418,CHAR(160)," ")),'TRANS'!$D:$D,0)),IFERROR(INDEX('Catalog'!$A:$A,MATCH($B418,'Catalog'!$B:$B,0)),IFERROR(INDEX('Catalog'!$A:$A,MATCH(TRIM(SUBSTITUTE($B418,CHAR(160)," ")),'Catalog'!$C:$C,0)),""))))</f>
        <v/>
      </c>
      <c r="H418" s="8" t="str">
        <f aca="false">IFERROR(INDEX('TRANS'!$C:$C,MATCH($B418,'TRANS'!$A:$A,0)),IFERROR(INDEX('Catalog'!$B:$B,MATCH($G418,'Catalog'!$A:$A,0)),$B418))</f>
        <v>21 XXL</v>
      </c>
      <c r="I418" s="8" t="str">
        <f aca="false">IF($G418="","Unmatched","Matched")</f>
        <v>Unmatched</v>
      </c>
    </row>
    <row r="419" customFormat="false" ht="15" hidden="false" customHeight="false" outlineLevel="0" collapsed="false">
      <c r="A419" s="8" t="s">
        <v>51</v>
      </c>
      <c r="B419" s="8" t="s">
        <v>465</v>
      </c>
      <c r="C419" s="19" t="n">
        <v>1</v>
      </c>
      <c r="D419" s="19" t="n">
        <v>156.18</v>
      </c>
      <c r="E419" s="19" t="n">
        <v>0</v>
      </c>
      <c r="F419" s="19" t="n">
        <v>0</v>
      </c>
      <c r="G419" s="8" t="n">
        <f aca="false">IFERROR(INDEX('TRANS'!$B:$B,MATCH($B419,'TRANS'!$A:$A,0)),IFERROR(INDEX('TRANS'!$B:$B,MATCH(TRIM(SUBSTITUTE($B419,CHAR(160)," ")),'TRANS'!$D:$D,0)),IFERROR(INDEX('Catalog'!$A:$A,MATCH($B419,'Catalog'!$B:$B,0)),IFERROR(INDEX('Catalog'!$A:$A,MATCH(TRIM(SUBSTITUTE($B419,CHAR(160)," ")),'Catalog'!$C:$C,0)),""))))</f>
        <v>4411026</v>
      </c>
      <c r="H419" s="8" t="str">
        <f aca="false">IFERROR(INDEX('TRANS'!$C:$C,MATCH($B419,'TRANS'!$A:$A,0)),IFERROR(INDEX('Catalog'!$B:$B,MATCH($G419,'Catalog'!$A:$A,0)),$B419))</f>
        <v>213CTSL L שמאל CTS כפפות</v>
      </c>
      <c r="I419" s="8" t="str">
        <f aca="false">IF($G419="","Unmatched","Matched")</f>
        <v>Matched</v>
      </c>
    </row>
    <row r="420" customFormat="false" ht="15" hidden="false" customHeight="false" outlineLevel="0" collapsed="false">
      <c r="A420" s="8" t="s">
        <v>51</v>
      </c>
      <c r="B420" s="8" t="s">
        <v>466</v>
      </c>
      <c r="C420" s="19" t="n">
        <v>2</v>
      </c>
      <c r="D420" s="19" t="n">
        <v>312.36</v>
      </c>
      <c r="E420" s="19" t="n">
        <v>2</v>
      </c>
      <c r="F420" s="19" t="n">
        <v>238.24</v>
      </c>
      <c r="G420" s="8" t="n">
        <f aca="false">IFERROR(INDEX('TRANS'!$B:$B,MATCH($B420,'TRANS'!$A:$A,0)),IFERROR(INDEX('TRANS'!$B:$B,MATCH(TRIM(SUBSTITUTE($B420,CHAR(160)," ")),'TRANS'!$D:$D,0)),IFERROR(INDEX('Catalog'!$A:$A,MATCH($B420,'Catalog'!$B:$B,0)),IFERROR(INDEX('Catalog'!$A:$A,MATCH(TRIM(SUBSTITUTE($B420,CHAR(160)," ")),'Catalog'!$C:$C,0)),""))))</f>
        <v>4411027</v>
      </c>
      <c r="H420" s="8" t="str">
        <f aca="false">IFERROR(INDEX('TRANS'!$C:$C,MATCH($B420,'TRANS'!$A:$A,0)),IFERROR(INDEX('Catalog'!$B:$B,MATCH($G420,'Catalog'!$A:$A,0)),$B420))</f>
        <v>213CTSL M שמאל CTS כפפות</v>
      </c>
      <c r="I420" s="8" t="str">
        <f aca="false">IF($G420="","Unmatched","Matched")</f>
        <v>Matched</v>
      </c>
    </row>
    <row r="421" customFormat="false" ht="15" hidden="false" customHeight="false" outlineLevel="0" collapsed="false">
      <c r="A421" s="8" t="s">
        <v>51</v>
      </c>
      <c r="B421" s="8" t="s">
        <v>467</v>
      </c>
      <c r="C421" s="19" t="n">
        <v>3</v>
      </c>
      <c r="D421" s="19" t="n">
        <v>460.61</v>
      </c>
      <c r="E421" s="19" t="n">
        <v>0</v>
      </c>
      <c r="F421" s="19" t="n">
        <v>-148.25</v>
      </c>
      <c r="G421" s="8" t="n">
        <f aca="false">IFERROR(INDEX('TRANS'!$B:$B,MATCH($B421,'TRANS'!$A:$A,0)),IFERROR(INDEX('TRANS'!$B:$B,MATCH(TRIM(SUBSTITUTE($B421,CHAR(160)," ")),'TRANS'!$D:$D,0)),IFERROR(INDEX('Catalog'!$A:$A,MATCH($B421,'Catalog'!$B:$B,0)),IFERROR(INDEX('Catalog'!$A:$A,MATCH(TRIM(SUBSTITUTE($B421,CHAR(160)," ")),'Catalog'!$C:$C,0)),""))))</f>
        <v>4411028</v>
      </c>
      <c r="H421" s="8" t="str">
        <f aca="false">IFERROR(INDEX('TRANS'!$C:$C,MATCH($B421,'TRANS'!$A:$A,0)),IFERROR(INDEX('Catalog'!$B:$B,MATCH($G421,'Catalog'!$A:$A,0)),$B421))</f>
        <v>213CTSL S שמאל CTS כפפות</v>
      </c>
      <c r="I421" s="8" t="str">
        <f aca="false">IF($G421="","Unmatched","Matched")</f>
        <v>Matched</v>
      </c>
    </row>
    <row r="422" customFormat="false" ht="15" hidden="false" customHeight="false" outlineLevel="0" collapsed="false">
      <c r="A422" s="8" t="s">
        <v>51</v>
      </c>
      <c r="B422" s="8" t="s">
        <v>468</v>
      </c>
      <c r="C422" s="19" t="n">
        <v>3</v>
      </c>
      <c r="D422" s="19" t="n">
        <v>312.37</v>
      </c>
      <c r="E422" s="19" t="n">
        <v>0</v>
      </c>
      <c r="F422" s="19" t="n">
        <v>0</v>
      </c>
      <c r="G422" s="8" t="n">
        <f aca="false">IFERROR(INDEX('TRANS'!$B:$B,MATCH($B422,'TRANS'!$A:$A,0)),IFERROR(INDEX('TRANS'!$B:$B,MATCH(TRIM(SUBSTITUTE($B422,CHAR(160)," ")),'TRANS'!$D:$D,0)),IFERROR(INDEX('Catalog'!$A:$A,MATCH($B422,'Catalog'!$B:$B,0)),IFERROR(INDEX('Catalog'!$A:$A,MATCH(TRIM(SUBSTITUTE($B422,CHAR(160)," ")),'Catalog'!$C:$C,0)),""))))</f>
        <v>4411029</v>
      </c>
      <c r="H422" s="8" t="str">
        <f aca="false">IFERROR(INDEX('TRANS'!$C:$C,MATCH($B422,'TRANS'!$A:$A,0)),IFERROR(INDEX('Catalog'!$B:$B,MATCH($G422,'Catalog'!$A:$A,0)),$B422))</f>
        <v>213CTSR L ימין CTS כפפות</v>
      </c>
      <c r="I422" s="8" t="str">
        <f aca="false">IF($G422="","Unmatched","Matched")</f>
        <v>Matched</v>
      </c>
    </row>
    <row r="423" customFormat="false" ht="15" hidden="false" customHeight="false" outlineLevel="0" collapsed="false">
      <c r="A423" s="8" t="s">
        <v>51</v>
      </c>
      <c r="B423" s="8" t="s">
        <v>469</v>
      </c>
      <c r="C423" s="19" t="n">
        <v>3</v>
      </c>
      <c r="D423" s="19" t="n">
        <v>468.54</v>
      </c>
      <c r="E423" s="19" t="n">
        <v>1</v>
      </c>
      <c r="F423" s="19" t="n">
        <v>0.01</v>
      </c>
      <c r="G423" s="8" t="n">
        <f aca="false">IFERROR(INDEX('TRANS'!$B:$B,MATCH($B423,'TRANS'!$A:$A,0)),IFERROR(INDEX('TRANS'!$B:$B,MATCH(TRIM(SUBSTITUTE($B423,CHAR(160)," ")),'TRANS'!$D:$D,0)),IFERROR(INDEX('Catalog'!$A:$A,MATCH($B423,'Catalog'!$B:$B,0)),IFERROR(INDEX('Catalog'!$A:$A,MATCH(TRIM(SUBSTITUTE($B423,CHAR(160)," ")),'Catalog'!$C:$C,0)),""))))</f>
        <v>4411030</v>
      </c>
      <c r="H423" s="8" t="str">
        <f aca="false">IFERROR(INDEX('TRANS'!$C:$C,MATCH($B423,'TRANS'!$A:$A,0)),IFERROR(INDEX('Catalog'!$B:$B,MATCH($G423,'Catalog'!$A:$A,0)),$B423))</f>
        <v>213CTSR M ימין CTS כפפות</v>
      </c>
      <c r="I423" s="8" t="str">
        <f aca="false">IF($G423="","Unmatched","Matched")</f>
        <v>Matched</v>
      </c>
    </row>
    <row r="424" customFormat="false" ht="15" hidden="false" customHeight="false" outlineLevel="0" collapsed="false">
      <c r="A424" s="8" t="s">
        <v>51</v>
      </c>
      <c r="B424" s="8" t="s">
        <v>470</v>
      </c>
      <c r="C424" s="19" t="n">
        <v>4</v>
      </c>
      <c r="D424" s="19" t="n">
        <v>616.79</v>
      </c>
      <c r="E424" s="19" t="n">
        <v>0</v>
      </c>
      <c r="F424" s="19" t="n">
        <v>-42.36</v>
      </c>
      <c r="G424" s="8" t="n">
        <f aca="false">IFERROR(INDEX('TRANS'!$B:$B,MATCH($B424,'TRANS'!$A:$A,0)),IFERROR(INDEX('TRANS'!$B:$B,MATCH(TRIM(SUBSTITUTE($B424,CHAR(160)," ")),'TRANS'!$D:$D,0)),IFERROR(INDEX('Catalog'!$A:$A,MATCH($B424,'Catalog'!$B:$B,0)),IFERROR(INDEX('Catalog'!$A:$A,MATCH(TRIM(SUBSTITUTE($B424,CHAR(160)," ")),'Catalog'!$C:$C,0)),""))))</f>
        <v>4411031</v>
      </c>
      <c r="H424" s="8" t="str">
        <f aca="false">IFERROR(INDEX('TRANS'!$C:$C,MATCH($B424,'TRANS'!$A:$A,0)),IFERROR(INDEX('Catalog'!$B:$B,MATCH($G424,'Catalog'!$A:$A,0)),$B424))</f>
        <v>213CTS  S ימין CTS כפפות</v>
      </c>
      <c r="I424" s="8" t="str">
        <f aca="false">IF($G424="","Unmatched","Matched")</f>
        <v>Matched</v>
      </c>
    </row>
    <row r="425" customFormat="false" ht="15" hidden="false" customHeight="false" outlineLevel="0" collapsed="false">
      <c r="A425" s="8" t="s">
        <v>51</v>
      </c>
      <c r="B425" s="8" t="s">
        <v>471</v>
      </c>
      <c r="C425" s="19" t="n">
        <v>6</v>
      </c>
      <c r="D425" s="19" t="n">
        <v>153.36</v>
      </c>
      <c r="E425" s="19" t="n">
        <v>0</v>
      </c>
      <c r="F425" s="19" t="n">
        <v>0</v>
      </c>
      <c r="G425" s="8" t="str">
        <f aca="false">IFERROR(INDEX('TRANS'!$B:$B,MATCH($B425,'TRANS'!$A:$A,0)),IFERROR(INDEX('TRANS'!$B:$B,MATCH(TRIM(SUBSTITUTE($B425,CHAR(160)," ")),'TRANS'!$D:$D,0)),IFERROR(INDEX('Catalog'!$A:$A,MATCH($B425,'Catalog'!$B:$B,0)),IFERROR(INDEX('Catalog'!$A:$A,MATCH(TRIM(SUBSTITUTE($B425,CHAR(160)," ")),'Catalog'!$C:$C,0)),""))))</f>
        <v/>
      </c>
      <c r="H425" s="8" t="str">
        <f aca="false">IFERROR(INDEX('TRANS'!$C:$C,MATCH($B425,'TRANS'!$A:$A,0)),IFERROR(INDEX('Catalog'!$B:$B,MATCH($G425,'Catalog'!$A:$A,0)),$B425))</f>
        <v>239P-S-M</v>
      </c>
      <c r="I425" s="8" t="str">
        <f aca="false">IF($G425="","Unmatched","Matched")</f>
        <v>Unmatched</v>
      </c>
    </row>
    <row r="426" customFormat="false" ht="15" hidden="false" customHeight="false" outlineLevel="0" collapsed="false">
      <c r="A426" s="8" t="s">
        <v>51</v>
      </c>
      <c r="B426" s="8" t="s">
        <v>472</v>
      </c>
      <c r="C426" s="19" t="n">
        <v>2</v>
      </c>
      <c r="D426" s="19" t="n">
        <v>206.14</v>
      </c>
      <c r="E426" s="19" t="n">
        <v>0</v>
      </c>
      <c r="F426" s="19" t="n">
        <v>0</v>
      </c>
      <c r="G426" s="8" t="str">
        <f aca="false">IFERROR(INDEX('TRANS'!$B:$B,MATCH($B426,'TRANS'!$A:$A,0)),IFERROR(INDEX('TRANS'!$B:$B,MATCH(TRIM(SUBSTITUTE($B426,CHAR(160)," ")),'TRANS'!$D:$D,0)),IFERROR(INDEX('Catalog'!$A:$A,MATCH($B426,'Catalog'!$B:$B,0)),IFERROR(INDEX('Catalog'!$A:$A,MATCH(TRIM(SUBSTITUTE($B426,CHAR(160)," ")),'Catalog'!$C:$C,0)),""))))</f>
        <v/>
      </c>
      <c r="H426" s="8" t="str">
        <f aca="false">IFERROR(INDEX('TRANS'!$C:$C,MATCH($B426,'TRANS'!$A:$A,0)),IFERROR(INDEX('Catalog'!$B:$B,MATCH($G426,'Catalog'!$A:$A,0)),$B426))</f>
        <v>26 XS</v>
      </c>
      <c r="I426" s="8" t="str">
        <f aca="false">IF($G426="","Unmatched","Matched")</f>
        <v>Unmatched</v>
      </c>
    </row>
    <row r="427" customFormat="false" ht="15" hidden="false" customHeight="false" outlineLevel="0" collapsed="false">
      <c r="A427" s="8" t="s">
        <v>51</v>
      </c>
      <c r="B427" s="8" t="s">
        <v>473</v>
      </c>
      <c r="C427" s="19" t="n">
        <v>11</v>
      </c>
      <c r="D427" s="19" t="n">
        <v>188.91</v>
      </c>
      <c r="E427" s="19" t="n">
        <v>2</v>
      </c>
      <c r="F427" s="19" t="n">
        <v>0.02</v>
      </c>
      <c r="G427" s="8" t="str">
        <f aca="false">IFERROR(INDEX('TRANS'!$B:$B,MATCH($B427,'TRANS'!$A:$A,0)),IFERROR(INDEX('TRANS'!$B:$B,MATCH(TRIM(SUBSTITUTE($B427,CHAR(160)," ")),'TRANS'!$D:$D,0)),IFERROR(INDEX('Catalog'!$A:$A,MATCH($B427,'Catalog'!$B:$B,0)),IFERROR(INDEX('Catalog'!$A:$A,MATCH(TRIM(SUBSTITUTE($B427,CHAR(160)," ")),'Catalog'!$C:$C,0)),""))))</f>
        <v/>
      </c>
      <c r="H427" s="8" t="str">
        <f aca="false">IFERROR(INDEX('TRANS'!$C:$C,MATCH($B427,'TRANS'!$A:$A,0)),IFERROR(INDEX('Catalog'!$B:$B,MATCH($G427,'Catalog'!$A:$A,0)),$B427))</f>
        <v>LU302M 0</v>
      </c>
      <c r="I427" s="8" t="str">
        <f aca="false">IF($G427="","Unmatched","Matched")</f>
        <v>Unmatched</v>
      </c>
    </row>
    <row r="428" customFormat="false" ht="15" hidden="false" customHeight="false" outlineLevel="0" collapsed="false">
      <c r="A428" s="8" t="s">
        <v>51</v>
      </c>
      <c r="B428" s="8" t="s">
        <v>474</v>
      </c>
      <c r="C428" s="19" t="n">
        <v>23</v>
      </c>
      <c r="D428" s="19" t="n">
        <v>897.21</v>
      </c>
      <c r="E428" s="19" t="n">
        <v>2</v>
      </c>
      <c r="F428" s="19" t="n">
        <v>0.02</v>
      </c>
      <c r="G428" s="8" t="str">
        <f aca="false">IFERROR(INDEX('TRANS'!$B:$B,MATCH($B428,'TRANS'!$A:$A,0)),IFERROR(INDEX('TRANS'!$B:$B,MATCH(TRIM(SUBSTITUTE($B428,CHAR(160)," ")),'TRANS'!$D:$D,0)),IFERROR(INDEX('Catalog'!$A:$A,MATCH($B428,'Catalog'!$B:$B,0)),IFERROR(INDEX('Catalog'!$A:$A,MATCH(TRIM(SUBSTITUTE($B428,CHAR(160)," ")),'Catalog'!$C:$C,0)),""))))</f>
        <v/>
      </c>
      <c r="H428" s="8" t="str">
        <f aca="false">IFERROR(INDEX('TRANS'!$C:$C,MATCH($B428,'TRANS'!$A:$A,0)),IFERROR(INDEX('Catalog'!$B:$B,MATCH($G428,'Catalog'!$A:$A,0)),$B428))</f>
        <v>LU302W 0</v>
      </c>
      <c r="I428" s="8" t="str">
        <f aca="false">IF($G428="","Unmatched","Matched")</f>
        <v>Unmatched</v>
      </c>
    </row>
    <row r="429" customFormat="false" ht="15" hidden="false" customHeight="false" outlineLevel="0" collapsed="false">
      <c r="A429" s="8" t="s">
        <v>51</v>
      </c>
      <c r="B429" s="8" t="s">
        <v>475</v>
      </c>
      <c r="C429" s="19" t="n">
        <v>0</v>
      </c>
      <c r="D429" s="19" t="n">
        <v>0</v>
      </c>
      <c r="E429" s="19" t="n">
        <v>1</v>
      </c>
      <c r="F429" s="19" t="n">
        <v>127.91</v>
      </c>
      <c r="G429" s="8" t="n">
        <f aca="false">IFERROR(INDEX('TRANS'!$B:$B,MATCH($B429,'TRANS'!$A:$A,0)),IFERROR(INDEX('TRANS'!$B:$B,MATCH(TRIM(SUBSTITUTE($B429,CHAR(160)," ")),'TRANS'!$D:$D,0)),IFERROR(INDEX('Catalog'!$A:$A,MATCH($B429,'Catalog'!$B:$B,0)),IFERROR(INDEX('Catalog'!$A:$A,MATCH(TRIM(SUBSTITUTE($B429,CHAR(160)," ")),'Catalog'!$C:$C,0)),""))))</f>
        <v>4413337</v>
      </c>
      <c r="H429" s="8" t="str">
        <f aca="false">IFERROR(INDEX('TRANS'!$C:$C,MATCH($B429,'TRANS'!$A:$A,0)),IFERROR(INDEX('Catalog'!$B:$B,MATCH($G429,'Catalog'!$A:$A,0)),$B429))</f>
        <v>322XL מגן קרסול+כרית סילקון</v>
      </c>
      <c r="I429" s="8" t="str">
        <f aca="false">IF($G429="","Unmatched","Matched")</f>
        <v>Matched</v>
      </c>
    </row>
    <row r="430" customFormat="false" ht="15" hidden="false" customHeight="false" outlineLevel="0" collapsed="false">
      <c r="A430" s="8" t="s">
        <v>51</v>
      </c>
      <c r="B430" s="8" t="s">
        <v>476</v>
      </c>
      <c r="C430" s="19" t="n">
        <v>1</v>
      </c>
      <c r="D430" s="19" t="n">
        <v>132.51</v>
      </c>
      <c r="E430" s="19" t="n">
        <v>0</v>
      </c>
      <c r="F430" s="19" t="n">
        <v>0</v>
      </c>
      <c r="G430" s="8" t="n">
        <f aca="false">IFERROR(INDEX('TRANS'!$B:$B,MATCH($B430,'TRANS'!$A:$A,0)),IFERROR(INDEX('TRANS'!$B:$B,MATCH(TRIM(SUBSTITUTE($B430,CHAR(160)," ")),'TRANS'!$D:$D,0)),IFERROR(INDEX('Catalog'!$A:$A,MATCH($B430,'Catalog'!$B:$B,0)),IFERROR(INDEX('Catalog'!$A:$A,MATCH(TRIM(SUBSTITUTE($B430,CHAR(160)," ")),'Catalog'!$C:$C,0)),""))))</f>
        <v>4415019</v>
      </c>
      <c r="H430" s="8" t="str">
        <f aca="false">IFERROR(INDEX('TRANS'!$C:$C,MATCH($B430,'TRANS'!$A:$A,0)),IFERROR(INDEX('Catalog'!$B:$B,MATCH($G430,'Catalog'!$A:$A,0)),$B430))</f>
        <v>333 סד לקרסול עם כריות אויר</v>
      </c>
      <c r="I430" s="8" t="str">
        <f aca="false">IF($G430="","Unmatched","Matched")</f>
        <v>Matched</v>
      </c>
    </row>
    <row r="431" customFormat="false" ht="15" hidden="false" customHeight="false" outlineLevel="0" collapsed="false">
      <c r="A431" s="8" t="s">
        <v>51</v>
      </c>
      <c r="B431" s="8" t="s">
        <v>477</v>
      </c>
      <c r="C431" s="19" t="n">
        <v>0</v>
      </c>
      <c r="D431" s="19" t="n">
        <v>0</v>
      </c>
      <c r="E431" s="19" t="n">
        <v>1</v>
      </c>
      <c r="F431" s="19" t="n">
        <v>0.01</v>
      </c>
      <c r="G431" s="8" t="str">
        <f aca="false">IFERROR(INDEX('TRANS'!$B:$B,MATCH($B431,'TRANS'!$A:$A,0)),IFERROR(INDEX('TRANS'!$B:$B,MATCH(TRIM(SUBSTITUTE($B431,CHAR(160)," ")),'TRANS'!$D:$D,0)),IFERROR(INDEX('Catalog'!$A:$A,MATCH($B431,'Catalog'!$B:$B,0)),IFERROR(INDEX('Catalog'!$A:$A,MATCH(TRIM(SUBSTITUTE($B431,CHAR(160)," ")),'Catalog'!$C:$C,0)),""))))</f>
        <v/>
      </c>
      <c r="H431" s="8" t="str">
        <f aca="false">IFERROR(INDEX('TRANS'!$C:$C,MATCH($B431,'TRANS'!$A:$A,0)),IFERROR(INDEX('Catalog'!$B:$B,MATCH($G431,'Catalog'!$A:$A,0)),$B431))</f>
        <v>364XL+ 0</v>
      </c>
      <c r="I431" s="8" t="str">
        <f aca="false">IF($G431="","Unmatched","Matched")</f>
        <v>Unmatched</v>
      </c>
    </row>
    <row r="432" customFormat="false" ht="15" hidden="false" customHeight="false" outlineLevel="0" collapsed="false">
      <c r="A432" s="8" t="s">
        <v>51</v>
      </c>
      <c r="B432" s="8" t="s">
        <v>478</v>
      </c>
      <c r="C432" s="19" t="n">
        <v>3</v>
      </c>
      <c r="D432" s="19" t="n">
        <v>47.07</v>
      </c>
      <c r="E432" s="19" t="n">
        <v>1</v>
      </c>
      <c r="F432" s="19" t="n">
        <v>12.67</v>
      </c>
      <c r="G432" s="8" t="n">
        <f aca="false">IFERROR(INDEX('TRANS'!$B:$B,MATCH($B432,'TRANS'!$A:$A,0)),IFERROR(INDEX('TRANS'!$B:$B,MATCH(TRIM(SUBSTITUTE($B432,CHAR(160)," ")),'TRANS'!$D:$D,0)),IFERROR(INDEX('Catalog'!$A:$A,MATCH($B432,'Catalog'!$B:$B,0)),IFERROR(INDEX('Catalog'!$A:$A,MATCH(TRIM(SUBSTITUTE($B432,CHAR(160)," ")),'Catalog'!$C:$C,0)),""))))</f>
        <v>4409001</v>
      </c>
      <c r="H432" s="8" t="str">
        <f aca="false">IFERROR(INDEX('TRANS'!$C:$C,MATCH($B432,'TRANS'!$A:$A,0)),IFERROR(INDEX('Catalog'!$B:$B,MATCH($G432,'Catalog'!$A:$A,0)),$B432))</f>
        <v>365  X-Lטבעת אלסטית מסיליקון</v>
      </c>
      <c r="I432" s="8" t="str">
        <f aca="false">IF($G432="","Unmatched","Matched")</f>
        <v>Matched</v>
      </c>
    </row>
    <row r="433" customFormat="false" ht="15" hidden="false" customHeight="false" outlineLevel="0" collapsed="false">
      <c r="A433" s="8" t="s">
        <v>51</v>
      </c>
      <c r="B433" s="8" t="s">
        <v>479</v>
      </c>
      <c r="C433" s="19" t="n">
        <v>14</v>
      </c>
      <c r="D433" s="19" t="n">
        <v>1678.58</v>
      </c>
      <c r="E433" s="19" t="n">
        <v>0</v>
      </c>
      <c r="F433" s="19" t="n">
        <v>0</v>
      </c>
      <c r="G433" s="8" t="n">
        <f aca="false">IFERROR(INDEX('TRANS'!$B:$B,MATCH($B433,'TRANS'!$A:$A,0)),IFERROR(INDEX('TRANS'!$B:$B,MATCH(TRIM(SUBSTITUTE($B433,CHAR(160)," ")),'TRANS'!$D:$D,0)),IFERROR(INDEX('Catalog'!$A:$A,MATCH($B433,'Catalog'!$B:$B,0)),IFERROR(INDEX('Catalog'!$A:$A,MATCH(TRIM(SUBSTITUTE($B433,CHAR(160)," ")),'Catalog'!$C:$C,0)),""))))</f>
        <v>4413523</v>
      </c>
      <c r="H433" s="8" t="str">
        <f aca="false">IFERROR(INDEX('TRANS'!$C:$C,MATCH($B433,'TRANS'!$A:$A,0)),IFERROR(INDEX('Catalog'!$B:$B,MATCH($G433,'Catalog'!$A:$A,0)),$B433))</f>
        <v>35-38 מדרסי אפיק ג'ל נוחות</v>
      </c>
      <c r="I433" s="8" t="str">
        <f aca="false">IF($G433="","Unmatched","Matched")</f>
        <v>Matched</v>
      </c>
    </row>
    <row r="434" customFormat="false" ht="15" hidden="false" customHeight="false" outlineLevel="0" collapsed="false">
      <c r="A434" s="8" t="s">
        <v>51</v>
      </c>
      <c r="B434" s="8" t="s">
        <v>480</v>
      </c>
      <c r="C434" s="19" t="n">
        <v>5</v>
      </c>
      <c r="D434" s="19" t="n">
        <v>789.17</v>
      </c>
      <c r="E434" s="19" t="n">
        <v>1</v>
      </c>
      <c r="F434" s="19" t="n">
        <v>0.01</v>
      </c>
      <c r="G434" s="8" t="n">
        <f aca="false">IFERROR(INDEX('TRANS'!$B:$B,MATCH($B434,'TRANS'!$A:$A,0)),IFERROR(INDEX('TRANS'!$B:$B,MATCH(TRIM(SUBSTITUTE($B434,CHAR(160)," ")),'TRANS'!$D:$D,0)),IFERROR(INDEX('Catalog'!$A:$A,MATCH($B434,'Catalog'!$B:$B,0)),IFERROR(INDEX('Catalog'!$A:$A,MATCH(TRIM(SUBSTITUTE($B434,CHAR(160)," ")),'Catalog'!$C:$C,0)),""))))</f>
        <v>4413524</v>
      </c>
      <c r="H434" s="8" t="str">
        <f aca="false">IFERROR(INDEX('TRANS'!$C:$C,MATCH($B434,'TRANS'!$A:$A,0)),IFERROR(INDEX('Catalog'!$B:$B,MATCH($G434,'Catalog'!$A:$A,0)),$B434))</f>
        <v>39-42 מדרסי אפיק ג'ל נוחות</v>
      </c>
      <c r="I434" s="8" t="str">
        <f aca="false">IF($G434="","Unmatched","Matched")</f>
        <v>Matched</v>
      </c>
    </row>
    <row r="435" customFormat="false" ht="15" hidden="false" customHeight="false" outlineLevel="0" collapsed="false">
      <c r="A435" s="8" t="s">
        <v>51</v>
      </c>
      <c r="B435" s="8" t="s">
        <v>481</v>
      </c>
      <c r="C435" s="19" t="n">
        <v>8</v>
      </c>
      <c r="D435" s="19" t="n">
        <v>693.87</v>
      </c>
      <c r="E435" s="19" t="n">
        <v>1</v>
      </c>
      <c r="F435" s="19" t="n">
        <v>107.16</v>
      </c>
      <c r="G435" s="8" t="n">
        <f aca="false">IFERROR(INDEX('TRANS'!$B:$B,MATCH($B435,'TRANS'!$A:$A,0)),IFERROR(INDEX('TRANS'!$B:$B,MATCH(TRIM(SUBSTITUTE($B435,CHAR(160)," ")),'TRANS'!$D:$D,0)),IFERROR(INDEX('Catalog'!$A:$A,MATCH($B435,'Catalog'!$B:$B,0)),IFERROR(INDEX('Catalog'!$A:$A,MATCH(TRIM(SUBSTITUTE($B435,CHAR(160)," ")),'Catalog'!$C:$C,0)),""))))</f>
        <v>4413525</v>
      </c>
      <c r="H435" s="8" t="str">
        <f aca="false">IFERROR(INDEX('TRANS'!$C:$C,MATCH($B435,'TRANS'!$A:$A,0)),IFERROR(INDEX('Catalog'!$B:$B,MATCH($G435,'Catalog'!$A:$A,0)),$B435))</f>
        <v>43-47 מדרסי אפיק ג'ל נוחות</v>
      </c>
      <c r="I435" s="8" t="str">
        <f aca="false">IF($G435="","Unmatched","Matched")</f>
        <v>Matched</v>
      </c>
    </row>
    <row r="436" customFormat="false" ht="15" hidden="false" customHeight="false" outlineLevel="0" collapsed="false">
      <c r="A436" s="8" t="s">
        <v>51</v>
      </c>
      <c r="B436" s="8" t="s">
        <v>482</v>
      </c>
      <c r="C436" s="19" t="n">
        <v>2</v>
      </c>
      <c r="D436" s="19" t="n">
        <v>0.02</v>
      </c>
      <c r="E436" s="19" t="n">
        <v>0</v>
      </c>
      <c r="F436" s="19" t="n">
        <v>0</v>
      </c>
      <c r="G436" s="8" t="n">
        <f aca="false">IFERROR(INDEX('TRANS'!$B:$B,MATCH($B436,'TRANS'!$A:$A,0)),IFERROR(INDEX('TRANS'!$B:$B,MATCH(TRIM(SUBSTITUTE($B436,CHAR(160)," ")),'TRANS'!$D:$D,0)),IFERROR(INDEX('Catalog'!$A:$A,MATCH($B436,'Catalog'!$B:$B,0)),IFERROR(INDEX('Catalog'!$A:$A,MATCH(TRIM(SUBSTITUTE($B436,CHAR(160)," ")),'Catalog'!$C:$C,0)),""))))</f>
        <v>4413520</v>
      </c>
      <c r="H436" s="8" t="str">
        <f aca="false">IFERROR(INDEX('TRANS'!$C:$C,MATCH($B436,'TRANS'!$A:$A,0)),IFERROR(INDEX('Catalog'!$B:$B,MATCH($G436,'Catalog'!$A:$A,0)),$B436))</f>
        <v>מדרסי אפיק ג'ל מולט.ספורט35-38</v>
      </c>
      <c r="I436" s="8" t="str">
        <f aca="false">IF($G436="","Unmatched","Matched")</f>
        <v>Matched</v>
      </c>
    </row>
    <row r="437" customFormat="false" ht="15" hidden="false" customHeight="false" outlineLevel="0" collapsed="false">
      <c r="A437" s="8" t="s">
        <v>51</v>
      </c>
      <c r="B437" s="8" t="s">
        <v>483</v>
      </c>
      <c r="C437" s="19" t="n">
        <v>5</v>
      </c>
      <c r="D437" s="19" t="n">
        <v>580.24</v>
      </c>
      <c r="E437" s="19" t="n">
        <v>1</v>
      </c>
      <c r="F437" s="19" t="n">
        <v>0.01</v>
      </c>
      <c r="G437" s="8" t="n">
        <f aca="false">IFERROR(INDEX('TRANS'!$B:$B,MATCH($B437,'TRANS'!$A:$A,0)),IFERROR(INDEX('TRANS'!$B:$B,MATCH(TRIM(SUBSTITUTE($B437,CHAR(160)," ")),'TRANS'!$D:$D,0)),IFERROR(INDEX('Catalog'!$A:$A,MATCH($B437,'Catalog'!$B:$B,0)),IFERROR(INDEX('Catalog'!$A:$A,MATCH(TRIM(SUBSTITUTE($B437,CHAR(160)," ")),'Catalog'!$C:$C,0)),""))))</f>
        <v>4413521</v>
      </c>
      <c r="H437" s="8" t="str">
        <f aca="false">IFERROR(INDEX('TRANS'!$C:$C,MATCH($B437,'TRANS'!$A:$A,0)),IFERROR(INDEX('Catalog'!$B:$B,MATCH($G437,'Catalog'!$A:$A,0)),$B437))</f>
        <v>מדרסי אפיק ג'ל מולטי ספור39-42</v>
      </c>
      <c r="I437" s="8" t="str">
        <f aca="false">IF($G437="","Unmatched","Matched")</f>
        <v>Matched</v>
      </c>
    </row>
    <row r="438" customFormat="false" ht="15" hidden="false" customHeight="false" outlineLevel="0" collapsed="false">
      <c r="A438" s="8" t="s">
        <v>51</v>
      </c>
      <c r="B438" s="8" t="s">
        <v>484</v>
      </c>
      <c r="C438" s="19" t="n">
        <v>8</v>
      </c>
      <c r="D438" s="19" t="n">
        <v>794.57</v>
      </c>
      <c r="E438" s="19" t="n">
        <v>2</v>
      </c>
      <c r="F438" s="19" t="n">
        <v>214.32</v>
      </c>
      <c r="G438" s="8" t="n">
        <f aca="false">IFERROR(INDEX('TRANS'!$B:$B,MATCH($B438,'TRANS'!$A:$A,0)),IFERROR(INDEX('TRANS'!$B:$B,MATCH(TRIM(SUBSTITUTE($B438,CHAR(160)," ")),'TRANS'!$D:$D,0)),IFERROR(INDEX('Catalog'!$A:$A,MATCH($B438,'Catalog'!$B:$B,0)),IFERROR(INDEX('Catalog'!$A:$A,MATCH(TRIM(SUBSTITUTE($B438,CHAR(160)," ")),'Catalog'!$C:$C,0)),""))))</f>
        <v>4413522</v>
      </c>
      <c r="H438" s="8" t="str">
        <f aca="false">IFERROR(INDEX('TRANS'!$C:$C,MATCH($B438,'TRANS'!$A:$A,0)),IFERROR(INDEX('Catalog'!$B:$B,MATCH($G438,'Catalog'!$A:$A,0)),$B438))</f>
        <v>מדרסי אפיק ג'ל מולט.ספורט43-47</v>
      </c>
      <c r="I438" s="8" t="str">
        <f aca="false">IF($G438="","Unmatched","Matched")</f>
        <v>Matched</v>
      </c>
    </row>
    <row r="439" customFormat="false" ht="15" hidden="false" customHeight="false" outlineLevel="0" collapsed="false">
      <c r="A439" s="8" t="s">
        <v>51</v>
      </c>
      <c r="B439" s="8" t="s">
        <v>485</v>
      </c>
      <c r="C439" s="19" t="n">
        <v>1</v>
      </c>
      <c r="D439" s="19" t="n">
        <v>0.01</v>
      </c>
      <c r="E439" s="19" t="n">
        <v>0</v>
      </c>
      <c r="F439" s="19" t="n">
        <v>0</v>
      </c>
      <c r="G439" s="8" t="n">
        <f aca="false">IFERROR(INDEX('TRANS'!$B:$B,MATCH($B439,'TRANS'!$A:$A,0)),IFERROR(INDEX('TRANS'!$B:$B,MATCH(TRIM(SUBSTITUTE($B439,CHAR(160)," ")),'TRANS'!$D:$D,0)),IFERROR(INDEX('Catalog'!$A:$A,MATCH($B439,'Catalog'!$B:$B,0)),IFERROR(INDEX('Catalog'!$A:$A,MATCH(TRIM(SUBSTITUTE($B439,CHAR(160)," ")),'Catalog'!$C:$C,0)),""))))</f>
        <v>4413527</v>
      </c>
      <c r="H439" s="8" t="str">
        <f aca="false">IFERROR(INDEX('TRANS'!$C:$C,MATCH($B439,'TRANS'!$A:$A,0)),IFERROR(INDEX('Catalog'!$B:$B,MATCH($G439,'Catalog'!$A:$A,0)),$B439))</f>
        <v>35-38 מדרסי אפיק ג'ל עבודה</v>
      </c>
      <c r="I439" s="8" t="str">
        <f aca="false">IF($G439="","Unmatched","Matched")</f>
        <v>Matched</v>
      </c>
    </row>
    <row r="440" customFormat="false" ht="15" hidden="false" customHeight="false" outlineLevel="0" collapsed="false">
      <c r="A440" s="8" t="s">
        <v>51</v>
      </c>
      <c r="B440" s="8" t="s">
        <v>486</v>
      </c>
      <c r="C440" s="19" t="n">
        <v>1</v>
      </c>
      <c r="D440" s="19" t="n">
        <v>157.51</v>
      </c>
      <c r="E440" s="19" t="n">
        <v>1</v>
      </c>
      <c r="F440" s="19" t="n">
        <v>0.01</v>
      </c>
      <c r="G440" s="8" t="n">
        <f aca="false">IFERROR(INDEX('TRANS'!$B:$B,MATCH($B440,'TRANS'!$A:$A,0)),IFERROR(INDEX('TRANS'!$B:$B,MATCH(TRIM(SUBSTITUTE($B440,CHAR(160)," ")),'TRANS'!$D:$D,0)),IFERROR(INDEX('Catalog'!$A:$A,MATCH($B440,'Catalog'!$B:$B,0)),IFERROR(INDEX('Catalog'!$A:$A,MATCH(TRIM(SUBSTITUTE($B440,CHAR(160)," ")),'Catalog'!$C:$C,0)),""))))</f>
        <v>4413528</v>
      </c>
      <c r="H440" s="8" t="str">
        <f aca="false">IFERROR(INDEX('TRANS'!$C:$C,MATCH($B440,'TRANS'!$A:$A,0)),IFERROR(INDEX('Catalog'!$B:$B,MATCH($G440,'Catalog'!$A:$A,0)),$B440))</f>
        <v>39-42 מדרסי אפיק ג'ל עבודה</v>
      </c>
      <c r="I440" s="8" t="str">
        <f aca="false">IF($G440="","Unmatched","Matched")</f>
        <v>Matched</v>
      </c>
    </row>
    <row r="441" customFormat="false" ht="15" hidden="false" customHeight="false" outlineLevel="0" collapsed="false">
      <c r="A441" s="8" t="s">
        <v>51</v>
      </c>
      <c r="B441" s="8" t="s">
        <v>487</v>
      </c>
      <c r="C441" s="19" t="n">
        <v>4</v>
      </c>
      <c r="D441" s="19" t="n">
        <v>552.1</v>
      </c>
      <c r="E441" s="19" t="n">
        <v>1</v>
      </c>
      <c r="F441" s="19" t="n">
        <v>107.16</v>
      </c>
      <c r="G441" s="8" t="n">
        <f aca="false">IFERROR(INDEX('TRANS'!$B:$B,MATCH($B441,'TRANS'!$A:$A,0)),IFERROR(INDEX('TRANS'!$B:$B,MATCH(TRIM(SUBSTITUTE($B441,CHAR(160)," ")),'TRANS'!$D:$D,0)),IFERROR(INDEX('Catalog'!$A:$A,MATCH($B441,'Catalog'!$B:$B,0)),IFERROR(INDEX('Catalog'!$A:$A,MATCH(TRIM(SUBSTITUTE($B441,CHAR(160)," ")),'Catalog'!$C:$C,0)),""))))</f>
        <v>4413529</v>
      </c>
      <c r="H441" s="8" t="str">
        <f aca="false">IFERROR(INDEX('TRANS'!$C:$C,MATCH($B441,'TRANS'!$A:$A,0)),IFERROR(INDEX('Catalog'!$B:$B,MATCH($G441,'Catalog'!$A:$A,0)),$B441))</f>
        <v>43-47 מדרסי אפיק ג'ל עבודה</v>
      </c>
      <c r="I441" s="8" t="str">
        <f aca="false">IF($G441="","Unmatched","Matched")</f>
        <v>Matched</v>
      </c>
    </row>
    <row r="442" customFormat="false" ht="15" hidden="false" customHeight="false" outlineLevel="0" collapsed="false">
      <c r="A442" s="8" t="s">
        <v>51</v>
      </c>
      <c r="B442" s="8" t="s">
        <v>488</v>
      </c>
      <c r="C442" s="19" t="n">
        <v>0</v>
      </c>
      <c r="D442" s="19" t="n">
        <v>0</v>
      </c>
      <c r="E442" s="19" t="n">
        <v>1</v>
      </c>
      <c r="F442" s="19" t="n">
        <v>0.01</v>
      </c>
      <c r="G442" s="8" t="str">
        <f aca="false">IFERROR(INDEX('TRANS'!$B:$B,MATCH($B442,'TRANS'!$A:$A,0)),IFERROR(INDEX('TRANS'!$B:$B,MATCH(TRIM(SUBSTITUTE($B442,CHAR(160)," ")),'TRANS'!$D:$D,0)),IFERROR(INDEX('Catalog'!$A:$A,MATCH($B442,'Catalog'!$B:$B,0)),IFERROR(INDEX('Catalog'!$A:$A,MATCH(TRIM(SUBSTITUTE($B442,CHAR(160)," ")),'Catalog'!$C:$C,0)),""))))</f>
        <v/>
      </c>
      <c r="H442" s="8" t="str">
        <f aca="false">IFERROR(INDEX('TRANS'!$C:$C,MATCH($B442,'TRANS'!$A:$A,0)),IFERROR(INDEX('Catalog'!$B:$B,MATCH($G442,'Catalog'!$A:$A,0)),$B442))</f>
        <v>391W-35-38</v>
      </c>
      <c r="I442" s="8" t="str">
        <f aca="false">IF($G442="","Unmatched","Matched")</f>
        <v>Unmatched</v>
      </c>
    </row>
    <row r="443" customFormat="false" ht="15" hidden="false" customHeight="false" outlineLevel="0" collapsed="false">
      <c r="A443" s="8" t="s">
        <v>51</v>
      </c>
      <c r="B443" s="8" t="s">
        <v>489</v>
      </c>
      <c r="C443" s="19" t="n">
        <v>0</v>
      </c>
      <c r="D443" s="19" t="n">
        <v>0</v>
      </c>
      <c r="E443" s="19" t="n">
        <v>1</v>
      </c>
      <c r="F443" s="19" t="n">
        <v>84.32</v>
      </c>
      <c r="G443" s="8" t="str">
        <f aca="false">IFERROR(INDEX('TRANS'!$B:$B,MATCH($B443,'TRANS'!$A:$A,0)),IFERROR(INDEX('TRANS'!$B:$B,MATCH(TRIM(SUBSTITUTE($B443,CHAR(160)," ")),'TRANS'!$D:$D,0)),IFERROR(INDEX('Catalog'!$A:$A,MATCH($B443,'Catalog'!$B:$B,0)),IFERROR(INDEX('Catalog'!$A:$A,MATCH(TRIM(SUBSTITUTE($B443,CHAR(160)," ")),'Catalog'!$C:$C,0)),""))))</f>
        <v/>
      </c>
      <c r="H443" s="8" t="str">
        <f aca="false">IFERROR(INDEX('TRANS'!$C:$C,MATCH($B443,'TRANS'!$A:$A,0)),IFERROR(INDEX('Catalog'!$B:$B,MATCH($G443,'Catalog'!$A:$A,0)),$B443))</f>
        <v>56B L</v>
      </c>
      <c r="I443" s="8" t="str">
        <f aca="false">IF($G443="","Unmatched","Matched")</f>
        <v>Unmatched</v>
      </c>
    </row>
    <row r="444" customFormat="false" ht="15" hidden="false" customHeight="false" outlineLevel="0" collapsed="false">
      <c r="A444" s="8" t="s">
        <v>51</v>
      </c>
      <c r="B444" s="8" t="s">
        <v>490</v>
      </c>
      <c r="C444" s="19" t="n">
        <v>0</v>
      </c>
      <c r="D444" s="19" t="n">
        <v>0</v>
      </c>
      <c r="E444" s="19" t="n">
        <v>1</v>
      </c>
      <c r="F444" s="19" t="n">
        <v>0.01</v>
      </c>
      <c r="G444" s="8" t="n">
        <f aca="false">IFERROR(INDEX('TRANS'!$B:$B,MATCH($B444,'TRANS'!$A:$A,0)),IFERROR(INDEX('TRANS'!$B:$B,MATCH(TRIM(SUBSTITUTE($B444,CHAR(160)," ")),'TRANS'!$D:$D,0)),IFERROR(INDEX('Catalog'!$A:$A,MATCH($B444,'Catalog'!$B:$B,0)),IFERROR(INDEX('Catalog'!$A:$A,MATCH(TRIM(SUBSTITUTE($B444,CHAR(160)," ")),'Catalog'!$C:$C,0)),""))))</f>
        <v>4408072</v>
      </c>
      <c r="H444" s="8" t="str">
        <f aca="false">IFERROR(INDEX('TRANS'!$C:$C,MATCH($B444,'TRANS'!$A:$A,0)),IFERROR(INDEX('Catalog'!$B:$B,MATCH($G444,'Catalog'!$A:$A,0)),$B444))</f>
        <v>59D M חגורת שבר דו צדדי</v>
      </c>
      <c r="I444" s="8" t="str">
        <f aca="false">IF($G444="","Unmatched","Matched")</f>
        <v>Matched</v>
      </c>
    </row>
    <row r="445" customFormat="false" ht="15" hidden="false" customHeight="false" outlineLevel="0" collapsed="false">
      <c r="A445" s="8" t="s">
        <v>51</v>
      </c>
      <c r="B445" s="8" t="s">
        <v>491</v>
      </c>
      <c r="C445" s="19" t="n">
        <v>0</v>
      </c>
      <c r="D445" s="19" t="n">
        <v>0</v>
      </c>
      <c r="E445" s="19" t="n">
        <v>1</v>
      </c>
      <c r="F445" s="19" t="n">
        <v>0.01</v>
      </c>
      <c r="G445" s="8" t="n">
        <f aca="false">IFERROR(INDEX('TRANS'!$B:$B,MATCH($B445,'TRANS'!$A:$A,0)),IFERROR(INDEX('TRANS'!$B:$B,MATCH(TRIM(SUBSTITUTE($B445,CHAR(160)," ")),'TRANS'!$D:$D,0)),IFERROR(INDEX('Catalog'!$A:$A,MATCH($B445,'Catalog'!$B:$B,0)),IFERROR(INDEX('Catalog'!$A:$A,MATCH(TRIM(SUBSTITUTE($B445,CHAR(160)," ")),'Catalog'!$C:$C,0)),""))))</f>
        <v>4408070</v>
      </c>
      <c r="H445" s="8" t="str">
        <f aca="false">IFERROR(INDEX('TRANS'!$C:$C,MATCH($B445,'TRANS'!$A:$A,0)),IFERROR(INDEX('Catalog'!$B:$B,MATCH($G445,'Catalog'!$A:$A,0)),$B445))</f>
        <v>59D S חגורת שבר דו צדדי</v>
      </c>
      <c r="I445" s="8" t="str">
        <f aca="false">IF($G445="","Unmatched","Matched")</f>
        <v>Matched</v>
      </c>
    </row>
    <row r="446" customFormat="false" ht="15" hidden="false" customHeight="false" outlineLevel="0" collapsed="false">
      <c r="A446" s="8" t="s">
        <v>51</v>
      </c>
      <c r="B446" s="8" t="s">
        <v>492</v>
      </c>
      <c r="C446" s="19" t="n">
        <v>1</v>
      </c>
      <c r="D446" s="19" t="n">
        <v>174.95</v>
      </c>
      <c r="E446" s="19" t="n">
        <v>0</v>
      </c>
      <c r="F446" s="19" t="n">
        <v>0</v>
      </c>
      <c r="G446" s="8" t="str">
        <f aca="false">IFERROR(INDEX('TRANS'!$B:$B,MATCH($B446,'TRANS'!$A:$A,0)),IFERROR(INDEX('TRANS'!$B:$B,MATCH(TRIM(SUBSTITUTE($B446,CHAR(160)," ")),'TRANS'!$D:$D,0)),IFERROR(INDEX('Catalog'!$A:$A,MATCH($B446,'Catalog'!$B:$B,0)),IFERROR(INDEX('Catalog'!$A:$A,MATCH(TRIM(SUBSTITUTE($B446,CHAR(160)," ")),'Catalog'!$C:$C,0)),""))))</f>
        <v/>
      </c>
      <c r="H446" s="8" t="str">
        <f aca="false">IFERROR(INDEX('TRANS'!$C:$C,MATCH($B446,'TRANS'!$A:$A,0)),IFERROR(INDEX('Catalog'!$B:$B,MATCH($G446,'Catalog'!$A:$A,0)),$B446))</f>
        <v>59LB L</v>
      </c>
      <c r="I446" s="8" t="str">
        <f aca="false">IF($G446="","Unmatched","Matched")</f>
        <v>Unmatched</v>
      </c>
    </row>
    <row r="447" customFormat="false" ht="15" hidden="false" customHeight="false" outlineLevel="0" collapsed="false">
      <c r="A447" s="8" t="s">
        <v>51</v>
      </c>
      <c r="B447" s="8" t="s">
        <v>493</v>
      </c>
      <c r="C447" s="19" t="n">
        <v>0</v>
      </c>
      <c r="D447" s="19" t="n">
        <v>0</v>
      </c>
      <c r="E447" s="19" t="n">
        <v>1</v>
      </c>
      <c r="F447" s="19" t="n">
        <v>0.01</v>
      </c>
      <c r="G447" s="8" t="str">
        <f aca="false">IFERROR(INDEX('TRANS'!$B:$B,MATCH($B447,'TRANS'!$A:$A,0)),IFERROR(INDEX('TRANS'!$B:$B,MATCH(TRIM(SUBSTITUTE($B447,CHAR(160)," ")),'TRANS'!$D:$D,0)),IFERROR(INDEX('Catalog'!$A:$A,MATCH($B447,'Catalog'!$B:$B,0)),IFERROR(INDEX('Catalog'!$A:$A,MATCH(TRIM(SUBSTITUTE($B447,CHAR(160)," ")),'Catalog'!$C:$C,0)),""))))</f>
        <v/>
      </c>
      <c r="H447" s="8" t="str">
        <f aca="false">IFERROR(INDEX('TRANS'!$C:$C,MATCH($B447,'TRANS'!$A:$A,0)),IFERROR(INDEX('Catalog'!$B:$B,MATCH($G447,'Catalog'!$A:$A,0)),$B447))</f>
        <v>61BL-M</v>
      </c>
      <c r="I447" s="8" t="str">
        <f aca="false">IF($G447="","Unmatched","Matched")</f>
        <v>Unmatched</v>
      </c>
    </row>
    <row r="448" customFormat="false" ht="15" hidden="false" customHeight="false" outlineLevel="0" collapsed="false">
      <c r="A448" s="8" t="s">
        <v>51</v>
      </c>
      <c r="B448" s="8" t="s">
        <v>494</v>
      </c>
      <c r="C448" s="19" t="n">
        <v>0</v>
      </c>
      <c r="D448" s="19" t="n">
        <v>0</v>
      </c>
      <c r="E448" s="19" t="n">
        <v>1</v>
      </c>
      <c r="F448" s="19" t="n">
        <v>0.01</v>
      </c>
      <c r="G448" s="8" t="str">
        <f aca="false">IFERROR(INDEX('TRANS'!$B:$B,MATCH($B448,'TRANS'!$A:$A,0)),IFERROR(INDEX('TRANS'!$B:$B,MATCH(TRIM(SUBSTITUTE($B448,CHAR(160)," ")),'TRANS'!$D:$D,0)),IFERROR(INDEX('Catalog'!$A:$A,MATCH($B448,'Catalog'!$B:$B,0)),IFERROR(INDEX('Catalog'!$A:$A,MATCH(TRIM(SUBSTITUTE($B448,CHAR(160)," ")),'Catalog'!$C:$C,0)),""))))</f>
        <v/>
      </c>
      <c r="H448" s="8" t="str">
        <f aca="false">IFERROR(INDEX('TRANS'!$C:$C,MATCH($B448,'TRANS'!$A:$A,0)),IFERROR(INDEX('Catalog'!$B:$B,MATCH($G448,'Catalog'!$A:$A,0)),$B448))</f>
        <v>61BL-S</v>
      </c>
      <c r="I448" s="8" t="str">
        <f aca="false">IF($G448="","Unmatched","Matched")</f>
        <v>Unmatched</v>
      </c>
    </row>
    <row r="449" customFormat="false" ht="15" hidden="false" customHeight="false" outlineLevel="0" collapsed="false">
      <c r="A449" s="8" t="s">
        <v>51</v>
      </c>
      <c r="B449" s="8" t="s">
        <v>495</v>
      </c>
      <c r="C449" s="19" t="n">
        <v>0</v>
      </c>
      <c r="D449" s="19" t="n">
        <v>0</v>
      </c>
      <c r="E449" s="19" t="n">
        <v>1</v>
      </c>
      <c r="F449" s="19" t="n">
        <v>0.01</v>
      </c>
      <c r="G449" s="8" t="str">
        <f aca="false">IFERROR(INDEX('TRANS'!$B:$B,MATCH($B449,'TRANS'!$A:$A,0)),IFERROR(INDEX('TRANS'!$B:$B,MATCH(TRIM(SUBSTITUTE($B449,CHAR(160)," ")),'TRANS'!$D:$D,0)),IFERROR(INDEX('Catalog'!$A:$A,MATCH($B449,'Catalog'!$B:$B,0)),IFERROR(INDEX('Catalog'!$A:$A,MATCH(TRIM(SUBSTITUTE($B449,CHAR(160)," ")),'Catalog'!$C:$C,0)),""))))</f>
        <v/>
      </c>
      <c r="H449" s="8" t="str">
        <f aca="false">IFERROR(INDEX('TRANS'!$C:$C,MATCH($B449,'TRANS'!$A:$A,0)),IFERROR(INDEX('Catalog'!$B:$B,MATCH($G449,'Catalog'!$A:$A,0)),$B449))</f>
        <v>621B-S</v>
      </c>
      <c r="I449" s="8" t="str">
        <f aca="false">IF($G449="","Unmatched","Matched")</f>
        <v>Unmatched</v>
      </c>
    </row>
    <row r="450" customFormat="false" ht="15" hidden="false" customHeight="false" outlineLevel="0" collapsed="false">
      <c r="A450" s="8" t="s">
        <v>51</v>
      </c>
      <c r="B450" s="8" t="s">
        <v>496</v>
      </c>
      <c r="C450" s="19" t="n">
        <v>250</v>
      </c>
      <c r="D450" s="19" t="n">
        <v>0</v>
      </c>
      <c r="E450" s="19" t="n">
        <v>0</v>
      </c>
      <c r="F450" s="19" t="n">
        <v>0</v>
      </c>
      <c r="G450" s="8" t="str">
        <f aca="false">IFERROR(INDEX('TRANS'!$B:$B,MATCH($B450,'TRANS'!$A:$A,0)),IFERROR(INDEX('TRANS'!$B:$B,MATCH(TRIM(SUBSTITUTE($B450,CHAR(160)," ")),'TRANS'!$D:$D,0)),IFERROR(INDEX('Catalog'!$A:$A,MATCH($B450,'Catalog'!$B:$B,0)),IFERROR(INDEX('Catalog'!$A:$A,MATCH(TRIM(SUBSTITUTE($B450,CHAR(160)," ")),'Catalog'!$C:$C,0)),""))))</f>
        <v/>
      </c>
      <c r="H450" s="8" t="str">
        <f aca="false">IFERROR(INDEX('TRANS'!$C:$C,MATCH($B450,'TRANS'!$A:$A,0)),IFERROR(INDEX('Catalog'!$B:$B,MATCH($G450,'Catalog'!$A:$A,0)),$B450))</f>
        <v>67600000</v>
      </c>
      <c r="I450" s="8" t="str">
        <f aca="false">IF($G450="","Unmatched","Matched")</f>
        <v>Unmatched</v>
      </c>
    </row>
    <row r="451" customFormat="false" ht="15" hidden="false" customHeight="false" outlineLevel="0" collapsed="false">
      <c r="A451" s="8" t="s">
        <v>51</v>
      </c>
      <c r="B451" s="8" t="s">
        <v>497</v>
      </c>
      <c r="C451" s="19" t="n">
        <v>40</v>
      </c>
      <c r="D451" s="19" t="n">
        <v>0.23</v>
      </c>
      <c r="E451" s="19" t="n">
        <v>15</v>
      </c>
      <c r="F451" s="19" t="n">
        <v>0.15</v>
      </c>
      <c r="G451" s="8" t="str">
        <f aca="false">IFERROR(INDEX('TRANS'!$B:$B,MATCH($B451,'TRANS'!$A:$A,0)),IFERROR(INDEX('TRANS'!$B:$B,MATCH(TRIM(SUBSTITUTE($B451,CHAR(160)," ")),'TRANS'!$D:$D,0)),IFERROR(INDEX('Catalog'!$A:$A,MATCH($B451,'Catalog'!$B:$B,0)),IFERROR(INDEX('Catalog'!$A:$A,MATCH(TRIM(SUBSTITUTE($B451,CHAR(160)," ")),'Catalog'!$C:$C,0)),""))))</f>
        <v/>
      </c>
      <c r="H451" s="8" t="str">
        <f aca="false">IFERROR(INDEX('TRANS'!$C:$C,MATCH($B451,'TRANS'!$A:$A,0)),IFERROR(INDEX('Catalog'!$B:$B,MATCH($G451,'Catalog'!$A:$A,0)),$B451))</f>
        <v>67800020</v>
      </c>
      <c r="I451" s="8" t="str">
        <f aca="false">IF($G451="","Unmatched","Matched")</f>
        <v>Unmatched</v>
      </c>
    </row>
    <row r="452" customFormat="false" ht="15" hidden="false" customHeight="false" outlineLevel="0" collapsed="false">
      <c r="A452" s="8" t="s">
        <v>51</v>
      </c>
      <c r="B452" s="8" t="s">
        <v>498</v>
      </c>
      <c r="C452" s="19" t="n">
        <v>12</v>
      </c>
      <c r="D452" s="19" t="n">
        <v>0.08</v>
      </c>
      <c r="E452" s="19" t="n">
        <v>9</v>
      </c>
      <c r="F452" s="19" t="n">
        <v>0.09</v>
      </c>
      <c r="G452" s="8" t="str">
        <f aca="false">IFERROR(INDEX('TRANS'!$B:$B,MATCH($B452,'TRANS'!$A:$A,0)),IFERROR(INDEX('TRANS'!$B:$B,MATCH(TRIM(SUBSTITUTE($B452,CHAR(160)," ")),'TRANS'!$D:$D,0)),IFERROR(INDEX('Catalog'!$A:$A,MATCH($B452,'Catalog'!$B:$B,0)),IFERROR(INDEX('Catalog'!$A:$A,MATCH(TRIM(SUBSTITUTE($B452,CHAR(160)," ")),'Catalog'!$C:$C,0)),""))))</f>
        <v/>
      </c>
      <c r="H452" s="8" t="str">
        <f aca="false">IFERROR(INDEX('TRANS'!$C:$C,MATCH($B452,'TRANS'!$A:$A,0)),IFERROR(INDEX('Catalog'!$B:$B,MATCH($G452,'Catalog'!$A:$A,0)),$B452))</f>
        <v>67813000</v>
      </c>
      <c r="I452" s="8" t="str">
        <f aca="false">IF($G452="","Unmatched","Matched")</f>
        <v>Unmatched</v>
      </c>
    </row>
    <row r="453" customFormat="false" ht="15" hidden="false" customHeight="false" outlineLevel="0" collapsed="false">
      <c r="A453" s="8" t="s">
        <v>51</v>
      </c>
      <c r="B453" s="8" t="s">
        <v>499</v>
      </c>
      <c r="C453" s="19" t="n">
        <v>0</v>
      </c>
      <c r="D453" s="19" t="n">
        <v>0</v>
      </c>
      <c r="E453" s="19" t="n">
        <v>1</v>
      </c>
      <c r="F453" s="19" t="n">
        <v>301.82</v>
      </c>
      <c r="G453" s="8" t="n">
        <f aca="false">IFERROR(INDEX('TRANS'!$B:$B,MATCH($B453,'TRANS'!$A:$A,0)),IFERROR(INDEX('TRANS'!$B:$B,MATCH(TRIM(SUBSTITUTE($B453,CHAR(160)," ")),'TRANS'!$D:$D,0)),IFERROR(INDEX('Catalog'!$A:$A,MATCH($B453,'Catalog'!$B:$B,0)),IFERROR(INDEX('Catalog'!$A:$A,MATCH(TRIM(SUBSTITUTE($B453,CHAR(160)," ")),'Catalog'!$C:$C,0)),""))))</f>
        <v>4408274</v>
      </c>
      <c r="H453" s="8" t="str">
        <f aca="false">IFERROR(INDEX('TRANS'!$C:$C,MATCH($B453,'TRANS'!$A:$A,0)),IFERROR(INDEX('Catalog'!$B:$B,MATCH($G453,'Catalog'!$A:$A,0)),$B453))</f>
        <v>70N L חגורת פאבליק</v>
      </c>
      <c r="I453" s="8" t="str">
        <f aca="false">IF($G453="","Unmatched","Matched")</f>
        <v>Matched</v>
      </c>
    </row>
    <row r="454" customFormat="false" ht="15" hidden="false" customHeight="false" outlineLevel="0" collapsed="false">
      <c r="A454" s="8" t="s">
        <v>51</v>
      </c>
      <c r="B454" s="8" t="s">
        <v>500</v>
      </c>
      <c r="C454" s="19" t="n">
        <v>0</v>
      </c>
      <c r="D454" s="19" t="n">
        <v>0</v>
      </c>
      <c r="E454" s="19" t="n">
        <v>1</v>
      </c>
      <c r="F454" s="19" t="n">
        <v>0.01</v>
      </c>
      <c r="G454" s="8" t="n">
        <f aca="false">IFERROR(INDEX('TRANS'!$B:$B,MATCH($B454,'TRANS'!$A:$A,0)),IFERROR(INDEX('TRANS'!$B:$B,MATCH(TRIM(SUBSTITUTE($B454,CHAR(160)," ")),'TRANS'!$D:$D,0)),IFERROR(INDEX('Catalog'!$A:$A,MATCH($B454,'Catalog'!$B:$B,0)),IFERROR(INDEX('Catalog'!$A:$A,MATCH(TRIM(SUBSTITUTE($B454,CHAR(160)," ")),'Catalog'!$C:$C,0)),""))))</f>
        <v>4408273</v>
      </c>
      <c r="H454" s="8" t="str">
        <f aca="false">IFERROR(INDEX('TRANS'!$C:$C,MATCH($B454,'TRANS'!$A:$A,0)),IFERROR(INDEX('Catalog'!$B:$B,MATCH($G454,'Catalog'!$A:$A,0)),$B454))</f>
        <v>70N M חגורת פאבליק</v>
      </c>
      <c r="I454" s="8" t="str">
        <f aca="false">IF($G454="","Unmatched","Matched")</f>
        <v>Matched</v>
      </c>
    </row>
    <row r="455" customFormat="false" ht="15" hidden="false" customHeight="false" outlineLevel="0" collapsed="false">
      <c r="A455" s="8" t="s">
        <v>51</v>
      </c>
      <c r="B455" s="8" t="s">
        <v>501</v>
      </c>
      <c r="C455" s="19" t="n">
        <v>1</v>
      </c>
      <c r="D455" s="19" t="n">
        <v>0.01</v>
      </c>
      <c r="E455" s="19" t="n">
        <v>0</v>
      </c>
      <c r="F455" s="19" t="n">
        <v>0</v>
      </c>
      <c r="G455" s="8" t="n">
        <f aca="false">IFERROR(INDEX('TRANS'!$B:$B,MATCH($B455,'TRANS'!$A:$A,0)),IFERROR(INDEX('TRANS'!$B:$B,MATCH(TRIM(SUBSTITUTE($B455,CHAR(160)," ")),'TRANS'!$D:$D,0)),IFERROR(INDEX('Catalog'!$A:$A,MATCH($B455,'Catalog'!$B:$B,0)),IFERROR(INDEX('Catalog'!$A:$A,MATCH(TRIM(SUBSTITUTE($B455,CHAR(160)," ")),'Catalog'!$C:$C,0)),""))))</f>
        <v>4408272</v>
      </c>
      <c r="H455" s="8" t="str">
        <f aca="false">IFERROR(INDEX('TRANS'!$C:$C,MATCH($B455,'TRANS'!$A:$A,0)),IFERROR(INDEX('Catalog'!$B:$B,MATCH($G455,'Catalog'!$A:$A,0)),$B455))</f>
        <v>70N S חגורת פאבליק</v>
      </c>
      <c r="I455" s="8" t="str">
        <f aca="false">IF($G455="","Unmatched","Matched")</f>
        <v>Matched</v>
      </c>
    </row>
    <row r="456" customFormat="false" ht="15" hidden="false" customHeight="false" outlineLevel="0" collapsed="false">
      <c r="A456" s="8" t="s">
        <v>51</v>
      </c>
      <c r="B456" s="8" t="s">
        <v>502</v>
      </c>
      <c r="C456" s="19" t="n">
        <v>1</v>
      </c>
      <c r="D456" s="19" t="n">
        <v>431.17</v>
      </c>
      <c r="E456" s="19" t="n">
        <v>0</v>
      </c>
      <c r="F456" s="19" t="n">
        <v>0</v>
      </c>
      <c r="G456" s="8" t="n">
        <f aca="false">IFERROR(INDEX('TRANS'!$B:$B,MATCH($B456,'TRANS'!$A:$A,0)),IFERROR(INDEX('TRANS'!$B:$B,MATCH(TRIM(SUBSTITUTE($B456,CHAR(160)," ")),'TRANS'!$D:$D,0)),IFERROR(INDEX('Catalog'!$A:$A,MATCH($B456,'Catalog'!$B:$B,0)),IFERROR(INDEX('Catalog'!$A:$A,MATCH(TRIM(SUBSTITUTE($B456,CHAR(160)," ")),'Catalog'!$C:$C,0)),""))))</f>
        <v>4408271</v>
      </c>
      <c r="H456" s="8" t="str">
        <f aca="false">IFERROR(INDEX('TRANS'!$C:$C,MATCH($B456,'TRANS'!$A:$A,0)),IFERROR(INDEX('Catalog'!$B:$B,MATCH($G456,'Catalog'!$A:$A,0)),$B456))</f>
        <v>70N XS חגורת פאבליק</v>
      </c>
      <c r="I456" s="8" t="str">
        <f aca="false">IF($G456="","Unmatched","Matched")</f>
        <v>Matched</v>
      </c>
    </row>
    <row r="457" customFormat="false" ht="15" hidden="false" customHeight="false" outlineLevel="0" collapsed="false">
      <c r="A457" s="8" t="s">
        <v>51</v>
      </c>
      <c r="B457" s="8" t="s">
        <v>503</v>
      </c>
      <c r="C457" s="19" t="n">
        <v>8</v>
      </c>
      <c r="D457" s="19" t="n">
        <v>100.07</v>
      </c>
      <c r="E457" s="19" t="n">
        <v>0</v>
      </c>
      <c r="F457" s="19" t="n">
        <v>0</v>
      </c>
      <c r="G457" s="8" t="n">
        <f aca="false">IFERROR(INDEX('TRANS'!$B:$B,MATCH($B457,'TRANS'!$A:$A,0)),IFERROR(INDEX('TRANS'!$B:$B,MATCH(TRIM(SUBSTITUTE($B457,CHAR(160)," ")),'TRANS'!$D:$D,0)),IFERROR(INDEX('Catalog'!$A:$A,MATCH($B457,'Catalog'!$B:$B,0)),IFERROR(INDEX('Catalog'!$A:$A,MATCH(TRIM(SUBSTITUTE($B457,CHAR(160)," ")),'Catalog'!$C:$C,0)),""))))</f>
        <v>4401013</v>
      </c>
      <c r="H457" s="8" t="str">
        <f aca="false">IFERROR(INDEX('TRANS'!$C:$C,MATCH($B457,'TRANS'!$A:$A,0)),IFERROR(INDEX('Catalog'!$B:$B,MATCH($G457,'Catalog'!$A:$A,0)),$B457))</f>
        <v>805AT-BLאתלטיק טייפ כחול 20מ""""מ</v>
      </c>
      <c r="I457" s="8" t="str">
        <f aca="false">IF($G457="","Unmatched","Matched")</f>
        <v>Matched</v>
      </c>
    </row>
    <row r="458" customFormat="false" ht="15" hidden="false" customHeight="false" outlineLevel="0" collapsed="false">
      <c r="A458" s="8" t="s">
        <v>51</v>
      </c>
      <c r="B458" s="8" t="s">
        <v>504</v>
      </c>
      <c r="C458" s="19" t="n">
        <v>1</v>
      </c>
      <c r="D458" s="19" t="n">
        <v>5.5</v>
      </c>
      <c r="E458" s="19" t="n">
        <v>0</v>
      </c>
      <c r="F458" s="19" t="n">
        <v>0</v>
      </c>
      <c r="G458" s="8" t="str">
        <f aca="false">IFERROR(INDEX('TRANS'!$B:$B,MATCH($B458,'TRANS'!$A:$A,0)),IFERROR(INDEX('TRANS'!$B:$B,MATCH(TRIM(SUBSTITUTE($B458,CHAR(160)," ")),'TRANS'!$D:$D,0)),IFERROR(INDEX('Catalog'!$A:$A,MATCH($B458,'Catalog'!$B:$B,0)),IFERROR(INDEX('Catalog'!$A:$A,MATCH(TRIM(SUBSTITUTE($B458,CHAR(160)," ")),'Catalog'!$C:$C,0)),""))))</f>
        <v/>
      </c>
      <c r="H458" s="8" t="str">
        <f aca="false">IFERROR(INDEX('TRANS'!$C:$C,MATCH($B458,'TRANS'!$A:$A,0)),IFERROR(INDEX('Catalog'!$B:$B,MATCH($G458,'Catalog'!$A:$A,0)),$B458))</f>
        <v>BE CA CB BEIGE</v>
      </c>
      <c r="I458" s="8" t="str">
        <f aca="false">IF($G458="","Unmatched","Matched")</f>
        <v>Unmatched</v>
      </c>
    </row>
    <row r="459" customFormat="false" ht="15" hidden="false" customHeight="false" outlineLevel="0" collapsed="false">
      <c r="A459" s="8" t="s">
        <v>51</v>
      </c>
      <c r="B459" s="8" t="s">
        <v>505</v>
      </c>
      <c r="C459" s="19" t="n">
        <v>0</v>
      </c>
      <c r="D459" s="19" t="n">
        <v>0</v>
      </c>
      <c r="E459" s="19" t="n">
        <v>1</v>
      </c>
      <c r="F459" s="19" t="n">
        <v>0.01</v>
      </c>
      <c r="G459" s="8" t="n">
        <f aca="false">IFERROR(INDEX('TRANS'!$B:$B,MATCH($B459,'TRANS'!$A:$A,0)),IFERROR(INDEX('TRANS'!$B:$B,MATCH(TRIM(SUBSTITUTE($B459,CHAR(160)," ")),'TRANS'!$D:$D,0)),IFERROR(INDEX('Catalog'!$A:$A,MATCH($B459,'Catalog'!$B:$B,0)),IFERROR(INDEX('Catalog'!$A:$A,MATCH(TRIM(SUBSTITUTE($B459,CHAR(160)," ")),'Catalog'!$C:$C,0)),""))))</f>
        <v>4422034</v>
      </c>
      <c r="H459" s="8" t="str">
        <f aca="false">IFERROR(INDEX('TRANS'!$C:$C,MATCH($B459,'TRANS'!$A:$A,0)),IFERROR(INDEX('Catalog'!$B:$B,MATCH($G459,'Catalog'!$A:$A,0)),$B459))</f>
        <v>807CB-P תחבושת נצמדת ורוד 20ממ</v>
      </c>
      <c r="I459" s="8" t="str">
        <f aca="false">IF($G459="","Unmatched","Matched")</f>
        <v>Matched</v>
      </c>
    </row>
    <row r="460" customFormat="false" ht="15" hidden="false" customHeight="false" outlineLevel="0" collapsed="false">
      <c r="A460" s="8" t="s">
        <v>51</v>
      </c>
      <c r="B460" s="8" t="s">
        <v>506</v>
      </c>
      <c r="C460" s="19" t="n">
        <v>3</v>
      </c>
      <c r="D460" s="19" t="n">
        <v>189.18</v>
      </c>
      <c r="E460" s="19" t="n">
        <v>10</v>
      </c>
      <c r="F460" s="19" t="n">
        <v>630.6</v>
      </c>
      <c r="G460" s="8" t="n">
        <f aca="false">IFERROR(INDEX('TRANS'!$B:$B,MATCH($B460,'TRANS'!$A:$A,0)),IFERROR(INDEX('TRANS'!$B:$B,MATCH(TRIM(SUBSTITUTE($B460,CHAR(160)," ")),'TRANS'!$D:$D,0)),IFERROR(INDEX('Catalog'!$A:$A,MATCH($B460,'Catalog'!$B:$B,0)),IFERROR(INDEX('Catalog'!$A:$A,MATCH(TRIM(SUBSTITUTE($B460,CHAR(160)," ")),'Catalog'!$C:$C,0)),""))))</f>
        <v>4409015</v>
      </c>
      <c r="H460" s="8" t="str">
        <f aca="false">IFERROR(INDEX('TRANS'!$C:$C,MATCH($B460,'TRANS'!$A:$A,0)),IFERROR(INDEX('Catalog'!$B:$B,MATCH($G460,'Catalog'!$A:$A,0)),$B460))</f>
        <v>808KT-BL       טייפ קינזיולוגי</v>
      </c>
      <c r="I460" s="8" t="str">
        <f aca="false">IF($G460="","Unmatched","Matched")</f>
        <v>Matched</v>
      </c>
    </row>
    <row r="461" customFormat="false" ht="15" hidden="false" customHeight="false" outlineLevel="0" collapsed="false">
      <c r="A461" s="8" t="s">
        <v>51</v>
      </c>
      <c r="B461" s="8" t="s">
        <v>507</v>
      </c>
      <c r="C461" s="19" t="n">
        <v>5</v>
      </c>
      <c r="D461" s="19" t="n">
        <v>252.25</v>
      </c>
      <c r="E461" s="19" t="n">
        <v>0</v>
      </c>
      <c r="F461" s="19" t="n">
        <v>0</v>
      </c>
      <c r="G461" s="8" t="n">
        <f aca="false">IFERROR(INDEX('TRANS'!$B:$B,MATCH($B461,'TRANS'!$A:$A,0)),IFERROR(INDEX('TRANS'!$B:$B,MATCH(TRIM(SUBSTITUTE($B461,CHAR(160)," ")),'TRANS'!$D:$D,0)),IFERROR(INDEX('Catalog'!$A:$A,MATCH($B461,'Catalog'!$B:$B,0)),IFERROR(INDEX('Catalog'!$A:$A,MATCH(TRIM(SUBSTITUTE($B461,CHAR(160)," ")),'Catalog'!$C:$C,0)),""))))</f>
        <v>4409014</v>
      </c>
      <c r="H461" s="8" t="str">
        <f aca="false">IFERROR(INDEX('TRANS'!$C:$C,MATCH($B461,'TRANS'!$A:$A,0)),IFERROR(INDEX('Catalog'!$B:$B,MATCH($G461,'Catalog'!$A:$A,0)),$B461))</f>
        <v>808KT-P        טייפ קינזיולוגי</v>
      </c>
      <c r="I461" s="8" t="str">
        <f aca="false">IF($G461="","Unmatched","Matched")</f>
        <v>Matched</v>
      </c>
    </row>
    <row r="462" customFormat="false" ht="15" hidden="false" customHeight="false" outlineLevel="0" collapsed="false">
      <c r="A462" s="8" t="s">
        <v>51</v>
      </c>
      <c r="B462" s="8" t="s">
        <v>508</v>
      </c>
      <c r="C462" s="19" t="n">
        <v>1</v>
      </c>
      <c r="D462" s="19" t="n">
        <v>62.97</v>
      </c>
      <c r="E462" s="19" t="n">
        <v>1</v>
      </c>
      <c r="F462" s="19" t="n">
        <v>42.75</v>
      </c>
      <c r="G462" s="8" t="str">
        <f aca="false">IFERROR(INDEX('TRANS'!$B:$B,MATCH($B462,'TRANS'!$A:$A,0)),IFERROR(INDEX('TRANS'!$B:$B,MATCH(TRIM(SUBSTITUTE($B462,CHAR(160)," ")),'TRANS'!$D:$D,0)),IFERROR(INDEX('Catalog'!$A:$A,MATCH($B462,'Catalog'!$B:$B,0)),IFERROR(INDEX('Catalog'!$A:$A,MATCH(TRIM(SUBSTITUTE($B462,CHAR(160)," ")),'Catalog'!$C:$C,0)),""))))</f>
        <v/>
      </c>
      <c r="H462" s="8" t="str">
        <f aca="false">IFERROR(INDEX('TRANS'!$C:$C,MATCH($B462,'TRANS'!$A:$A,0)),IFERROR(INDEX('Catalog'!$B:$B,MATCH($G462,'Catalog'!$A:$A,0)),$B462))</f>
        <v>808KTP-BL</v>
      </c>
      <c r="I462" s="8" t="str">
        <f aca="false">IF($G462="","Unmatched","Matched")</f>
        <v>Unmatched</v>
      </c>
    </row>
    <row r="463" customFormat="false" ht="15" hidden="false" customHeight="false" outlineLevel="0" collapsed="false">
      <c r="A463" s="8" t="s">
        <v>51</v>
      </c>
      <c r="B463" s="8" t="s">
        <v>509</v>
      </c>
      <c r="C463" s="19" t="n">
        <v>1</v>
      </c>
      <c r="D463" s="19" t="n">
        <v>24</v>
      </c>
      <c r="E463" s="19" t="n">
        <v>0</v>
      </c>
      <c r="F463" s="19" t="n">
        <v>0</v>
      </c>
      <c r="G463" s="8" t="str">
        <f aca="false">IFERROR(INDEX('TRANS'!$B:$B,MATCH($B463,'TRANS'!$A:$A,0)),IFERROR(INDEX('TRANS'!$B:$B,MATCH(TRIM(SUBSTITUTE($B463,CHAR(160)," ")),'TRANS'!$D:$D,0)),IFERROR(INDEX('Catalog'!$A:$A,MATCH($B463,'Catalog'!$B:$B,0)),IFERROR(INDEX('Catalog'!$A:$A,MATCH(TRIM(SUBSTITUTE($B463,CHAR(160)," ")),'Catalog'!$C:$C,0)),""))))</f>
        <v/>
      </c>
      <c r="H463" s="8" t="str">
        <f aca="false">IFERROR(INDEX('TRANS'!$C:$C,MATCH($B463,'TRANS'!$A:$A,0)),IFERROR(INDEX('Catalog'!$B:$B,MATCH($G463,'Catalog'!$A:$A,0)),$B463))</f>
        <v>BE CA KT BLACK</v>
      </c>
      <c r="I463" s="8" t="str">
        <f aca="false">IF($G463="","Unmatched","Matched")</f>
        <v>Unmatched</v>
      </c>
    </row>
    <row r="464" customFormat="false" ht="15" hidden="false" customHeight="false" outlineLevel="0" collapsed="false">
      <c r="A464" s="8" t="s">
        <v>51</v>
      </c>
      <c r="B464" s="8" t="s">
        <v>510</v>
      </c>
      <c r="C464" s="19" t="n">
        <v>0</v>
      </c>
      <c r="D464" s="19" t="n">
        <v>0</v>
      </c>
      <c r="E464" s="19" t="n">
        <v>2</v>
      </c>
      <c r="F464" s="19" t="n">
        <v>0.02</v>
      </c>
      <c r="G464" s="8" t="str">
        <f aca="false">IFERROR(INDEX('TRANS'!$B:$B,MATCH($B464,'TRANS'!$A:$A,0)),IFERROR(INDEX('TRANS'!$B:$B,MATCH(TRIM(SUBSTITUTE($B464,CHAR(160)," ")),'TRANS'!$D:$D,0)),IFERROR(INDEX('Catalog'!$A:$A,MATCH($B464,'Catalog'!$B:$B,0)),IFERROR(INDEX('Catalog'!$A:$A,MATCH(TRIM(SUBSTITUTE($B464,CHAR(160)," ")),'Catalog'!$C:$C,0)),""))))</f>
        <v/>
      </c>
      <c r="H464" s="8" t="str">
        <f aca="false">IFERROR(INDEX('TRANS'!$C:$C,MATCH($B464,'TRANS'!$A:$A,0)),IFERROR(INDEX('Catalog'!$B:$B,MATCH($G464,'Catalog'!$A:$A,0)),$B464))</f>
        <v>809PW-C</v>
      </c>
      <c r="I464" s="8" t="str">
        <f aca="false">IF($G464="","Unmatched","Matched")</f>
        <v>Unmatched</v>
      </c>
    </row>
    <row r="465" customFormat="false" ht="15" hidden="false" customHeight="false" outlineLevel="0" collapsed="false">
      <c r="A465" s="8" t="s">
        <v>51</v>
      </c>
      <c r="B465" s="8" t="s">
        <v>511</v>
      </c>
      <c r="C465" s="19" t="n">
        <v>1</v>
      </c>
      <c r="D465" s="19" t="n">
        <v>302.5</v>
      </c>
      <c r="E465" s="19" t="n">
        <v>0</v>
      </c>
      <c r="F465" s="19" t="n">
        <v>0</v>
      </c>
      <c r="G465" s="8" t="str">
        <f aca="false">IFERROR(INDEX('TRANS'!$B:$B,MATCH($B465,'TRANS'!$A:$A,0)),IFERROR(INDEX('TRANS'!$B:$B,MATCH(TRIM(SUBSTITUTE($B465,CHAR(160)," ")),'TRANS'!$D:$D,0)),IFERROR(INDEX('Catalog'!$A:$A,MATCH($B465,'Catalog'!$B:$B,0)),IFERROR(INDEX('Catalog'!$A:$A,MATCH(TRIM(SUBSTITUTE($B465,CHAR(160)," ")),'Catalog'!$C:$C,0)),""))))</f>
        <v/>
      </c>
      <c r="H465" s="8" t="str">
        <f aca="false">IFERROR(INDEX('TRANS'!$C:$C,MATCH($B465,'TRANS'!$A:$A,0)),IFERROR(INDEX('Catalog'!$B:$B,MATCH($G465,'Catalog'!$A:$A,0)),$B465))</f>
        <v>88L XXL</v>
      </c>
      <c r="I465" s="8" t="str">
        <f aca="false">IF($G465="","Unmatched","Matched")</f>
        <v>Unmatched</v>
      </c>
    </row>
    <row r="466" customFormat="false" ht="15" hidden="false" customHeight="false" outlineLevel="0" collapsed="false">
      <c r="A466" s="8" t="s">
        <v>51</v>
      </c>
      <c r="B466" s="8" t="s">
        <v>512</v>
      </c>
      <c r="C466" s="19" t="n">
        <v>2</v>
      </c>
      <c r="D466" s="19" t="n">
        <v>403.35</v>
      </c>
      <c r="E466" s="19" t="n">
        <v>0</v>
      </c>
      <c r="F466" s="19" t="n">
        <v>0</v>
      </c>
      <c r="G466" s="8" t="str">
        <f aca="false">IFERROR(INDEX('TRANS'!$B:$B,MATCH($B466,'TRANS'!$A:$A,0)),IFERROR(INDEX('TRANS'!$B:$B,MATCH(TRIM(SUBSTITUTE($B466,CHAR(160)," ")),'TRANS'!$D:$D,0)),IFERROR(INDEX('Catalog'!$A:$A,MATCH($B466,'Catalog'!$B:$B,0)),IFERROR(INDEX('Catalog'!$A:$A,MATCH(TRIM(SUBSTITUTE($B466,CHAR(160)," ")),'Catalog'!$C:$C,0)),""))))</f>
        <v/>
      </c>
      <c r="H466" s="8" t="str">
        <f aca="false">IFERROR(INDEX('TRANS'!$C:$C,MATCH($B466,'TRANS'!$A:$A,0)),IFERROR(INDEX('Catalog'!$B:$B,MATCH($G466,'Catalog'!$A:$A,0)),$B466))</f>
        <v>88L- S-M</v>
      </c>
      <c r="I466" s="8" t="str">
        <f aca="false">IF($G466="","Unmatched","Matched")</f>
        <v>Unmatched</v>
      </c>
    </row>
    <row r="467" customFormat="false" ht="15" hidden="false" customHeight="false" outlineLevel="0" collapsed="false">
      <c r="A467" s="8" t="s">
        <v>51</v>
      </c>
      <c r="B467" s="8" t="s">
        <v>513</v>
      </c>
      <c r="C467" s="19" t="n">
        <v>1</v>
      </c>
      <c r="D467" s="19" t="n">
        <v>107.09</v>
      </c>
      <c r="E467" s="19" t="n">
        <v>0</v>
      </c>
      <c r="F467" s="19" t="n">
        <v>0</v>
      </c>
      <c r="G467" s="8" t="str">
        <f aca="false">IFERROR(INDEX('TRANS'!$B:$B,MATCH($B467,'TRANS'!$A:$A,0)),IFERROR(INDEX('TRANS'!$B:$B,MATCH(TRIM(SUBSTITUTE($B467,CHAR(160)," ")),'TRANS'!$D:$D,0)),IFERROR(INDEX('Catalog'!$A:$A,MATCH($B467,'Catalog'!$B:$B,0)),IFERROR(INDEX('Catalog'!$A:$A,MATCH(TRIM(SUBSTITUTE($B467,CHAR(160)," ")),'Catalog'!$C:$C,0)),""))))</f>
        <v/>
      </c>
      <c r="H467" s="8" t="str">
        <f aca="false">IFERROR(INDEX('TRANS'!$C:$C,MATCH($B467,'TRANS'!$A:$A,0)),IFERROR(INDEX('Catalog'!$B:$B,MATCH($G467,'Catalog'!$A:$A,0)),$B467))</f>
        <v>91 0</v>
      </c>
      <c r="I467" s="8" t="str">
        <f aca="false">IF($G467="","Unmatched","Matched")</f>
        <v>Unmatched</v>
      </c>
    </row>
    <row r="468" customFormat="false" ht="15" hidden="false" customHeight="false" outlineLevel="0" collapsed="false">
      <c r="A468" s="8" t="s">
        <v>51</v>
      </c>
      <c r="B468" s="8" t="s">
        <v>514</v>
      </c>
      <c r="C468" s="19" t="n">
        <v>10</v>
      </c>
      <c r="D468" s="19" t="n">
        <v>301.94</v>
      </c>
      <c r="E468" s="19" t="n">
        <v>0</v>
      </c>
      <c r="F468" s="19" t="n">
        <v>0</v>
      </c>
      <c r="G468" s="8" t="n">
        <f aca="false">IFERROR(INDEX('TRANS'!$B:$B,MATCH($B468,'TRANS'!$A:$A,0)),IFERROR(INDEX('TRANS'!$B:$B,MATCH(TRIM(SUBSTITUTE($B468,CHAR(160)," ")),'TRANS'!$D:$D,0)),IFERROR(INDEX('Catalog'!$A:$A,MATCH($B468,'Catalog'!$B:$B,0)),IFERROR(INDEX('Catalog'!$A:$A,MATCH(TRIM(SUBSTITUTE($B468,CHAR(160)," ")),'Catalog'!$C:$C,0)),""))))</f>
        <v>4422036</v>
      </c>
      <c r="H468" s="8" t="str">
        <f aca="false">IFERROR(INDEX('TRANS'!$C:$C,MATCH($B468,'TRANS'!$A:$A,0)),IFERROR(INDEX('Catalog'!$B:$B,MATCH($G468,'Catalog'!$A:$A,0)),$B468))</f>
        <v>FC334  תרסיס דאודורנט לכף הרגל</v>
      </c>
      <c r="I468" s="8" t="str">
        <f aca="false">IF($G468="","Unmatched","Matched")</f>
        <v>Matched</v>
      </c>
    </row>
    <row r="469" customFormat="false" ht="15" hidden="false" customHeight="false" outlineLevel="0" collapsed="false">
      <c r="A469" s="8" t="s">
        <v>51</v>
      </c>
      <c r="B469" s="8" t="s">
        <v>515</v>
      </c>
      <c r="C469" s="19" t="n">
        <v>1</v>
      </c>
      <c r="D469" s="19" t="n">
        <v>0.01</v>
      </c>
      <c r="E469" s="19" t="n">
        <v>0</v>
      </c>
      <c r="F469" s="19" t="n">
        <v>0</v>
      </c>
      <c r="G469" s="8" t="n">
        <f aca="false">IFERROR(INDEX('TRANS'!$B:$B,MATCH($B469,'TRANS'!$A:$A,0)),IFERROR(INDEX('TRANS'!$B:$B,MATCH(TRIM(SUBSTITUTE($B469,CHAR(160)," ")),'TRANS'!$D:$D,0)),IFERROR(INDEX('Catalog'!$A:$A,MATCH($B469,'Catalog'!$B:$B,0)),IFERROR(INDEX('Catalog'!$A:$A,MATCH(TRIM(SUBSTITUTE($B469,CHAR(160)," ")),'Catalog'!$C:$C,0)),""))))</f>
        <v>4420022</v>
      </c>
      <c r="H469" s="8" t="str">
        <f aca="false">IFERROR(INDEX('TRANS'!$C:$C,MATCH($B469,'TRANS'!$A:$A,0)),IFERROR(INDEX('Catalog'!$B:$B,MATCH($G469,'Catalog'!$A:$A,0)),$B469))</f>
        <v>LF370 ריפוד סיליקון לעקב אחורי</v>
      </c>
      <c r="I469" s="8" t="str">
        <f aca="false">IF($G469="","Unmatched","Matched")</f>
        <v>Matched</v>
      </c>
    </row>
    <row r="470" customFormat="false" ht="15" hidden="false" customHeight="false" outlineLevel="0" collapsed="false">
      <c r="A470" s="8" t="s">
        <v>51</v>
      </c>
      <c r="B470" s="8" t="s">
        <v>516</v>
      </c>
      <c r="C470" s="19" t="n">
        <v>1</v>
      </c>
      <c r="D470" s="19" t="n">
        <v>42.29</v>
      </c>
      <c r="E470" s="19" t="n">
        <v>0</v>
      </c>
      <c r="F470" s="19" t="n">
        <v>0</v>
      </c>
      <c r="G470" s="8" t="str">
        <f aca="false">IFERROR(INDEX('TRANS'!$B:$B,MATCH($B470,'TRANS'!$A:$A,0)),IFERROR(INDEX('TRANS'!$B:$B,MATCH(TRIM(SUBSTITUTE($B470,CHAR(160)," ")),'TRANS'!$D:$D,0)),IFERROR(INDEX('Catalog'!$A:$A,MATCH($B470,'Catalog'!$B:$B,0)),IFERROR(INDEX('Catalog'!$A:$A,MATCH(TRIM(SUBSTITUTE($B470,CHAR(160)," ")),'Catalog'!$C:$C,0)),""))))</f>
        <v/>
      </c>
      <c r="H470" s="8" t="str">
        <f aca="false">IFERROR(INDEX('TRANS'!$C:$C,MATCH($B470,'TRANS'!$A:$A,0)),IFERROR(INDEX('Catalog'!$B:$B,MATCH($G470,'Catalog'!$A:$A,0)),$B470))</f>
        <v>M94</v>
      </c>
      <c r="I470" s="8" t="str">
        <f aca="false">IF($G470="","Unmatched","Matched")</f>
        <v>Unmatched</v>
      </c>
    </row>
    <row r="471" customFormat="false" ht="15" hidden="false" customHeight="false" outlineLevel="0" collapsed="false">
      <c r="A471" s="8" t="s">
        <v>51</v>
      </c>
      <c r="B471" s="8" t="s">
        <v>517</v>
      </c>
      <c r="C471" s="19" t="n">
        <v>0</v>
      </c>
      <c r="D471" s="19" t="n">
        <v>0</v>
      </c>
      <c r="E471" s="19" t="n">
        <v>3</v>
      </c>
      <c r="F471" s="19" t="n">
        <v>508.43</v>
      </c>
      <c r="G471" s="8" t="str">
        <f aca="false">IFERROR(INDEX('TRANS'!$B:$B,MATCH($B471,'TRANS'!$A:$A,0)),IFERROR(INDEX('TRANS'!$B:$B,MATCH(TRIM(SUBSTITUTE($B471,CHAR(160)," ")),'TRANS'!$D:$D,0)),IFERROR(INDEX('Catalog'!$A:$A,MATCH($B471,'Catalog'!$B:$B,0)),IFERROR(INDEX('Catalog'!$A:$A,MATCH(TRIM(SUBSTITUTE($B471,CHAR(160)," ")),'Catalog'!$C:$C,0)),""))))</f>
        <v/>
      </c>
      <c r="H471" s="8" t="str">
        <f aca="false">IFERROR(INDEX('TRANS'!$C:$C,MATCH($B471,'TRANS'!$A:$A,0)),IFERROR(INDEX('Catalog'!$B:$B,MATCH($G471,'Catalog'!$A:$A,0)),$B471))</f>
        <v>MSG001FB 0</v>
      </c>
      <c r="I471" s="8" t="str">
        <f aca="false">IF($G471="","Unmatched","Matched")</f>
        <v>Unmatched</v>
      </c>
    </row>
    <row r="472" customFormat="false" ht="15" hidden="false" customHeight="false" outlineLevel="0" collapsed="false">
      <c r="A472" s="8" t="s">
        <v>51</v>
      </c>
      <c r="B472" s="8" t="s">
        <v>518</v>
      </c>
      <c r="C472" s="19" t="n">
        <v>0</v>
      </c>
      <c r="D472" s="19" t="n">
        <v>0</v>
      </c>
      <c r="E472" s="19" t="n">
        <v>2</v>
      </c>
      <c r="F472" s="19" t="n">
        <v>0</v>
      </c>
      <c r="G472" s="8" t="str">
        <f aca="false">IFERROR(INDEX('TRANS'!$B:$B,MATCH($B472,'TRANS'!$A:$A,0)),IFERROR(INDEX('TRANS'!$B:$B,MATCH(TRIM(SUBSTITUTE($B472,CHAR(160)," ")),'TRANS'!$D:$D,0)),IFERROR(INDEX('Catalog'!$A:$A,MATCH($B472,'Catalog'!$B:$B,0)),IFERROR(INDEX('Catalog'!$A:$A,MATCH(TRIM(SUBSTITUTE($B472,CHAR(160)," ")),'Catalog'!$C:$C,0)),""))))</f>
        <v/>
      </c>
      <c r="H472" s="8" t="str">
        <f aca="false">IFERROR(INDEX('TRANS'!$C:$C,MATCH($B472,'TRANS'!$A:$A,0)),IFERROR(INDEX('Catalog'!$B:$B,MATCH($G472,'Catalog'!$A:$A,0)),$B472))</f>
        <v>MSG002S 0</v>
      </c>
      <c r="I472" s="8" t="str">
        <f aca="false">IF($G472="","Unmatched","Matched")</f>
        <v>Unmatched</v>
      </c>
    </row>
    <row r="473" customFormat="false" ht="15" hidden="false" customHeight="false" outlineLevel="0" collapsed="false">
      <c r="A473" s="8" t="s">
        <v>51</v>
      </c>
      <c r="B473" s="8" t="s">
        <v>519</v>
      </c>
      <c r="C473" s="19" t="n">
        <v>4</v>
      </c>
      <c r="D473" s="19" t="n">
        <v>1186.25</v>
      </c>
      <c r="E473" s="19" t="n">
        <v>2</v>
      </c>
      <c r="F473" s="19" t="n">
        <v>593.14</v>
      </c>
      <c r="G473" s="8" t="str">
        <f aca="false">IFERROR(INDEX('TRANS'!$B:$B,MATCH($B473,'TRANS'!$A:$A,0)),IFERROR(INDEX('TRANS'!$B:$B,MATCH(TRIM(SUBSTITUTE($B473,CHAR(160)," ")),'TRANS'!$D:$D,0)),IFERROR(INDEX('Catalog'!$A:$A,MATCH($B473,'Catalog'!$B:$B,0)),IFERROR(INDEX('Catalog'!$A:$A,MATCH(TRIM(SUBSTITUTE($B473,CHAR(160)," ")),'Catalog'!$C:$C,0)),""))))</f>
        <v/>
      </c>
      <c r="H473" s="8" t="str">
        <f aca="false">IFERROR(INDEX('TRANS'!$C:$C,MATCH($B473,'TRANS'!$A:$A,0)),IFERROR(INDEX('Catalog'!$B:$B,MATCH($G473,'Catalog'!$A:$A,0)),$B473))</f>
        <v>N433D M</v>
      </c>
      <c r="I473" s="8" t="str">
        <f aca="false">IF($G473="","Unmatched","Matched")</f>
        <v>Unmatched</v>
      </c>
    </row>
    <row r="474" customFormat="false" ht="15" hidden="false" customHeight="false" outlineLevel="0" collapsed="false">
      <c r="A474" s="8" t="s">
        <v>51</v>
      </c>
      <c r="B474" s="8" t="s">
        <v>520</v>
      </c>
      <c r="C474" s="19" t="n">
        <v>0</v>
      </c>
      <c r="D474" s="19" t="n">
        <v>0</v>
      </c>
      <c r="E474" s="19" t="n">
        <v>2</v>
      </c>
      <c r="F474" s="19" t="n">
        <v>593.14</v>
      </c>
      <c r="G474" s="8" t="str">
        <f aca="false">IFERROR(INDEX('TRANS'!$B:$B,MATCH($B474,'TRANS'!$A:$A,0)),IFERROR(INDEX('TRANS'!$B:$B,MATCH(TRIM(SUBSTITUTE($B474,CHAR(160)," ")),'TRANS'!$D:$D,0)),IFERROR(INDEX('Catalog'!$A:$A,MATCH($B474,'Catalog'!$B:$B,0)),IFERROR(INDEX('Catalog'!$A:$A,MATCH(TRIM(SUBSTITUTE($B474,CHAR(160)," ")),'Catalog'!$C:$C,0)),""))))</f>
        <v/>
      </c>
      <c r="H474" s="8" t="str">
        <f aca="false">IFERROR(INDEX('TRANS'!$C:$C,MATCH($B474,'TRANS'!$A:$A,0)),IFERROR(INDEX('Catalog'!$B:$B,MATCH($G474,'Catalog'!$A:$A,0)),$B474))</f>
        <v>N433D XL</v>
      </c>
      <c r="I474" s="8" t="str">
        <f aca="false">IF($G474="","Unmatched","Matched")</f>
        <v>Unmatched</v>
      </c>
    </row>
    <row r="475" customFormat="false" ht="15" hidden="false" customHeight="false" outlineLevel="0" collapsed="false">
      <c r="A475" s="8" t="s">
        <v>51</v>
      </c>
      <c r="B475" s="8" t="s">
        <v>521</v>
      </c>
      <c r="C475" s="19" t="n">
        <v>1</v>
      </c>
      <c r="D475" s="19" t="n">
        <v>281.17</v>
      </c>
      <c r="E475" s="19" t="n">
        <v>1</v>
      </c>
      <c r="F475" s="19" t="n">
        <v>196.82</v>
      </c>
      <c r="G475" s="8" t="n">
        <f aca="false">IFERROR(INDEX('TRANS'!$B:$B,MATCH($B475,'TRANS'!$A:$A,0)),IFERROR(INDEX('TRANS'!$B:$B,MATCH(TRIM(SUBSTITUTE($B475,CHAR(160)," ")),'TRANS'!$D:$D,0)),IFERROR(INDEX('Catalog'!$A:$A,MATCH($B475,'Catalog'!$B:$B,0)),IFERROR(INDEX('Catalog'!$A:$A,MATCH(TRIM(SUBSTITUTE($B475,CHAR(160)," ")),'Catalog'!$C:$C,0)),""))))</f>
        <v>4422037</v>
      </c>
      <c r="H475" s="8" t="str">
        <f aca="false">IFERROR(INDEX('TRANS'!$C:$C,MATCH($B475,'TRANS'!$A:$A,0)),IFERROR(INDEX('Catalog'!$B:$B,MATCH($G475,'Catalog'!$A:$A,0)),$B475))</f>
        <v>SH422 1 תומך ברך גנושילד</v>
      </c>
      <c r="I475" s="8" t="str">
        <f aca="false">IF($G475="","Unmatched","Matched")</f>
        <v>Matched</v>
      </c>
    </row>
    <row r="476" customFormat="false" ht="15" hidden="false" customHeight="false" outlineLevel="0" collapsed="false">
      <c r="A476" s="8" t="s">
        <v>51</v>
      </c>
      <c r="B476" s="8" t="s">
        <v>522</v>
      </c>
      <c r="C476" s="19" t="n">
        <v>1</v>
      </c>
      <c r="D476" s="19" t="n">
        <v>281.17</v>
      </c>
      <c r="E476" s="19" t="n">
        <v>2</v>
      </c>
      <c r="F476" s="19" t="n">
        <v>381.27</v>
      </c>
      <c r="G476" s="8" t="n">
        <f aca="false">IFERROR(INDEX('TRANS'!$B:$B,MATCH($B476,'TRANS'!$A:$A,0)),IFERROR(INDEX('TRANS'!$B:$B,MATCH(TRIM(SUBSTITUTE($B476,CHAR(160)," ")),'TRANS'!$D:$D,0)),IFERROR(INDEX('Catalog'!$A:$A,MATCH($B476,'Catalog'!$B:$B,0)),IFERROR(INDEX('Catalog'!$A:$A,MATCH(TRIM(SUBSTITUTE($B476,CHAR(160)," ")),'Catalog'!$C:$C,0)),""))))</f>
        <v>4422038</v>
      </c>
      <c r="H476" s="8" t="str">
        <f aca="false">IFERROR(INDEX('TRANS'!$C:$C,MATCH($B476,'TRANS'!$A:$A,0)),IFERROR(INDEX('Catalog'!$B:$B,MATCH($G476,'Catalog'!$A:$A,0)),$B476))</f>
        <v>SH422 2 תומך ברך גנושילד</v>
      </c>
      <c r="I476" s="8" t="str">
        <f aca="false">IF($G476="","Unmatched","Matched")</f>
        <v>Matched</v>
      </c>
    </row>
    <row r="477" customFormat="false" ht="15" hidden="false" customHeight="false" outlineLevel="0" collapsed="false">
      <c r="A477" s="8" t="s">
        <v>51</v>
      </c>
      <c r="B477" s="8" t="s">
        <v>523</v>
      </c>
      <c r="C477" s="19" t="n">
        <v>4</v>
      </c>
      <c r="D477" s="19" t="n">
        <v>1034.14</v>
      </c>
      <c r="E477" s="19" t="n">
        <v>4</v>
      </c>
      <c r="F477" s="19" t="n">
        <v>953.17</v>
      </c>
      <c r="G477" s="8" t="n">
        <f aca="false">IFERROR(INDEX('TRANS'!$B:$B,MATCH($B477,'TRANS'!$A:$A,0)),IFERROR(INDEX('TRANS'!$B:$B,MATCH(TRIM(SUBSTITUTE($B477,CHAR(160)," ")),'TRANS'!$D:$D,0)),IFERROR(INDEX('Catalog'!$A:$A,MATCH($B477,'Catalog'!$B:$B,0)),IFERROR(INDEX('Catalog'!$A:$A,MATCH(TRIM(SUBSTITUTE($B477,CHAR(160)," ")),'Catalog'!$C:$C,0)),""))))</f>
        <v>4422039</v>
      </c>
      <c r="H477" s="8" t="str">
        <f aca="false">IFERROR(INDEX('TRANS'!$C:$C,MATCH($B477,'TRANS'!$A:$A,0)),IFERROR(INDEX('Catalog'!$B:$B,MATCH($G477,'Catalog'!$A:$A,0)),$B477))</f>
        <v>SH422 3 תומך ברך גנושילד</v>
      </c>
      <c r="I477" s="8" t="str">
        <f aca="false">IF($G477="","Unmatched","Matched")</f>
        <v>Matched</v>
      </c>
    </row>
    <row r="478" customFormat="false" ht="15" hidden="false" customHeight="false" outlineLevel="0" collapsed="false">
      <c r="A478" s="8" t="s">
        <v>51</v>
      </c>
      <c r="B478" s="8" t="s">
        <v>524</v>
      </c>
      <c r="C478" s="19" t="n">
        <v>10</v>
      </c>
      <c r="D478" s="19" t="n">
        <v>2581.31</v>
      </c>
      <c r="E478" s="19" t="n">
        <v>1</v>
      </c>
      <c r="F478" s="19" t="n">
        <v>0.01</v>
      </c>
      <c r="G478" s="8" t="n">
        <f aca="false">IFERROR(INDEX('TRANS'!$B:$B,MATCH($B478,'TRANS'!$A:$A,0)),IFERROR(INDEX('TRANS'!$B:$B,MATCH(TRIM(SUBSTITUTE($B478,CHAR(160)," ")),'TRANS'!$D:$D,0)),IFERROR(INDEX('Catalog'!$A:$A,MATCH($B478,'Catalog'!$B:$B,0)),IFERROR(INDEX('Catalog'!$A:$A,MATCH(TRIM(SUBSTITUTE($B478,CHAR(160)," ")),'Catalog'!$C:$C,0)),""))))</f>
        <v>4422040</v>
      </c>
      <c r="H478" s="8" t="str">
        <f aca="false">IFERROR(INDEX('TRANS'!$C:$C,MATCH($B478,'TRANS'!$A:$A,0)),IFERROR(INDEX('Catalog'!$B:$B,MATCH($G478,'Catalog'!$A:$A,0)),$B478))</f>
        <v>SH422 4 תומך ברך גנושילד</v>
      </c>
      <c r="I478" s="8" t="str">
        <f aca="false">IF($G478="","Unmatched","Matched")</f>
        <v>Matched</v>
      </c>
    </row>
    <row r="479" customFormat="false" ht="15" hidden="false" customHeight="false" outlineLevel="0" collapsed="false">
      <c r="A479" s="8" t="s">
        <v>51</v>
      </c>
      <c r="B479" s="8" t="s">
        <v>525</v>
      </c>
      <c r="C479" s="19" t="n">
        <v>1</v>
      </c>
      <c r="D479" s="19" t="n">
        <v>281.17</v>
      </c>
      <c r="E479" s="19" t="n">
        <v>1</v>
      </c>
      <c r="F479" s="19" t="n">
        <v>0.01</v>
      </c>
      <c r="G479" s="8" t="n">
        <f aca="false">IFERROR(INDEX('TRANS'!$B:$B,MATCH($B479,'TRANS'!$A:$A,0)),IFERROR(INDEX('TRANS'!$B:$B,MATCH(TRIM(SUBSTITUTE($B479,CHAR(160)," ")),'TRANS'!$D:$D,0)),IFERROR(INDEX('Catalog'!$A:$A,MATCH($B479,'Catalog'!$B:$B,0)),IFERROR(INDEX('Catalog'!$A:$A,MATCH(TRIM(SUBSTITUTE($B479,CHAR(160)," ")),'Catalog'!$C:$C,0)),""))))</f>
        <v>4422042</v>
      </c>
      <c r="H479" s="8" t="str">
        <f aca="false">IFERROR(INDEX('TRANS'!$C:$C,MATCH($B479,'TRANS'!$A:$A,0)),IFERROR(INDEX('Catalog'!$B:$B,MATCH($G479,'Catalog'!$A:$A,0)),$B479))</f>
        <v>SH422 6 תומך ברך גנושילד</v>
      </c>
      <c r="I479" s="8" t="str">
        <f aca="false">IF($G479="","Unmatched","Matched")</f>
        <v>Matched</v>
      </c>
    </row>
    <row r="480" customFormat="false" ht="15" hidden="false" customHeight="false" outlineLevel="0" collapsed="false">
      <c r="A480" s="8" t="s">
        <v>51</v>
      </c>
      <c r="B480" s="8" t="s">
        <v>526</v>
      </c>
      <c r="C480" s="19" t="n">
        <v>0</v>
      </c>
      <c r="D480" s="19" t="n">
        <v>0</v>
      </c>
      <c r="E480" s="19" t="n">
        <v>1</v>
      </c>
      <c r="F480" s="19" t="n">
        <v>0.01</v>
      </c>
      <c r="G480" s="8" t="str">
        <f aca="false">IFERROR(INDEX('TRANS'!$B:$B,MATCH($B480,'TRANS'!$A:$A,0)),IFERROR(INDEX('TRANS'!$B:$B,MATCH(TRIM(SUBSTITUTE($B480,CHAR(160)," ")),'TRANS'!$D:$D,0)),IFERROR(INDEX('Catalog'!$A:$A,MATCH($B480,'Catalog'!$B:$B,0)),IFERROR(INDEX('Catalog'!$A:$A,MATCH(TRIM(SUBSTITUTE($B480,CHAR(160)," ")),'Catalog'!$C:$C,0)),""))))</f>
        <v/>
      </c>
      <c r="H480" s="8" t="str">
        <f aca="false">IFERROR(INDEX('TRANS'!$C:$C,MATCH($B480,'TRANS'!$A:$A,0)),IFERROR(INDEX('Catalog'!$B:$B,MATCH($G480,'Catalog'!$A:$A,0)),$B480))</f>
        <v>SH59D-XL-XXL</v>
      </c>
      <c r="I480" s="8" t="str">
        <f aca="false">IF($G480="","Unmatched","Matched")</f>
        <v>Unmatched</v>
      </c>
    </row>
    <row r="481" customFormat="false" ht="15" hidden="false" customHeight="false" outlineLevel="0" collapsed="false">
      <c r="A481" s="8" t="s">
        <v>51</v>
      </c>
      <c r="B481" s="8" t="s">
        <v>527</v>
      </c>
      <c r="C481" s="19" t="n">
        <v>0</v>
      </c>
      <c r="D481" s="19" t="n">
        <v>0</v>
      </c>
      <c r="E481" s="19" t="n">
        <v>1</v>
      </c>
      <c r="F481" s="19" t="n">
        <v>0.01</v>
      </c>
      <c r="G481" s="8" t="str">
        <f aca="false">IFERROR(INDEX('TRANS'!$B:$B,MATCH($B481,'TRANS'!$A:$A,0)),IFERROR(INDEX('TRANS'!$B:$B,MATCH(TRIM(SUBSTITUTE($B481,CHAR(160)," ")),'TRANS'!$D:$D,0)),IFERROR(INDEX('Catalog'!$A:$A,MATCH($B481,'Catalog'!$B:$B,0)),IFERROR(INDEX('Catalog'!$A:$A,MATCH(TRIM(SUBSTITUTE($B481,CHAR(160)," ")),'Catalog'!$C:$C,0)),""))))</f>
        <v/>
      </c>
      <c r="H481" s="8" t="str">
        <f aca="false">IFERROR(INDEX('TRANS'!$C:$C,MATCH($B481,'TRANS'!$A:$A,0)),IFERROR(INDEX('Catalog'!$B:$B,MATCH($G481,'Catalog'!$A:$A,0)),$B481))</f>
        <v>SH660</v>
      </c>
      <c r="I481" s="8" t="str">
        <f aca="false">IF($G481="","Unmatched","Matched")</f>
        <v>Unmatched</v>
      </c>
    </row>
    <row r="482" customFormat="false" ht="15" hidden="false" customHeight="false" outlineLevel="0" collapsed="false">
      <c r="A482" s="8" t="s">
        <v>51</v>
      </c>
      <c r="B482" s="8" t="s">
        <v>528</v>
      </c>
      <c r="C482" s="19" t="n">
        <v>0</v>
      </c>
      <c r="D482" s="19" t="n">
        <v>0</v>
      </c>
      <c r="E482" s="19" t="n">
        <v>1</v>
      </c>
      <c r="F482" s="19" t="n">
        <v>468.68</v>
      </c>
      <c r="G482" s="8" t="str">
        <f aca="false">IFERROR(INDEX('TRANS'!$B:$B,MATCH($B482,'TRANS'!$A:$A,0)),IFERROR(INDEX('TRANS'!$B:$B,MATCH(TRIM(SUBSTITUTE($B482,CHAR(160)," ")),'TRANS'!$D:$D,0)),IFERROR(INDEX('Catalog'!$A:$A,MATCH($B482,'Catalog'!$B:$B,0)),IFERROR(INDEX('Catalog'!$A:$A,MATCH(TRIM(SUBSTITUTE($B482,CHAR(160)," ")),'Catalog'!$C:$C,0)),""))))</f>
        <v/>
      </c>
      <c r="H482" s="8" t="str">
        <f aca="false">IFERROR(INDEX('TRANS'!$C:$C,MATCH($B482,'TRANS'!$A:$A,0)),IFERROR(INDEX('Catalog'!$B:$B,MATCH($G482,'Catalog'!$A:$A,0)),$B482))</f>
        <v>SH776 L</v>
      </c>
      <c r="I482" s="8" t="str">
        <f aca="false">IF($G482="","Unmatched","Matched")</f>
        <v>Unmatched</v>
      </c>
    </row>
    <row r="483" customFormat="false" ht="15" hidden="false" customHeight="false" outlineLevel="0" collapsed="false">
      <c r="A483" s="8" t="s">
        <v>51</v>
      </c>
      <c r="B483" s="8" t="s">
        <v>529</v>
      </c>
      <c r="C483" s="19" t="n">
        <v>3</v>
      </c>
      <c r="D483" s="19" t="n">
        <v>162.37</v>
      </c>
      <c r="E483" s="19" t="n">
        <v>0</v>
      </c>
      <c r="F483" s="19" t="n">
        <v>0</v>
      </c>
      <c r="G483" s="8" t="n">
        <f aca="false">IFERROR(INDEX('TRANS'!$B:$B,MATCH($B483,'TRANS'!$A:$A,0)),IFERROR(INDEX('TRANS'!$B:$B,MATCH(TRIM(SUBSTITUTE($B483,CHAR(160)," ")),'TRANS'!$D:$D,0)),IFERROR(INDEX('Catalog'!$A:$A,MATCH($B483,'Catalog'!$B:$B,0)),IFERROR(INDEX('Catalog'!$A:$A,MATCH(TRIM(SUBSTITUTE($B483,CHAR(160)," ")),'Catalog'!$C:$C,0)),""))))</f>
        <v>4408270</v>
      </c>
      <c r="H483" s="8" t="str">
        <f aca="false">IFERROR(INDEX('TRANS'!$C:$C,MATCH($B483,'TRANS'!$A:$A,0)),IFERROR(INDEX('Catalog'!$B:$B,MATCH($G483,'Catalog'!$A:$A,0)),$B483))</f>
        <v>ST11  חגורת בטן</v>
      </c>
      <c r="I483" s="8" t="str">
        <f aca="false">IF($G483="","Unmatched","Matched")</f>
        <v>Matched</v>
      </c>
    </row>
    <row r="484" customFormat="false" ht="15" hidden="false" customHeight="false" outlineLevel="0" collapsed="false">
      <c r="A484" s="8" t="s">
        <v>51</v>
      </c>
      <c r="B484" s="8" t="s">
        <v>530</v>
      </c>
      <c r="C484" s="19" t="n">
        <v>2</v>
      </c>
      <c r="D484" s="19" t="n">
        <v>41.3</v>
      </c>
      <c r="E484" s="19" t="n">
        <v>0</v>
      </c>
      <c r="F484" s="19" t="n">
        <v>0</v>
      </c>
      <c r="G484" s="8" t="n">
        <f aca="false">IFERROR(INDEX('TRANS'!$B:$B,MATCH($B484,'TRANS'!$A:$A,0)),IFERROR(INDEX('TRANS'!$B:$B,MATCH(TRIM(SUBSTITUTE($B484,CHAR(160)," ")),'TRANS'!$D:$D,0)),IFERROR(INDEX('Catalog'!$A:$A,MATCH($B484,'Catalog'!$B:$B,0)),IFERROR(INDEX('Catalog'!$A:$A,MATCH(TRIM(SUBSTITUTE($B484,CHAR(160)," ")),'Catalog'!$C:$C,0)),""))))</f>
        <v>4408268</v>
      </c>
      <c r="H484" s="8" t="str">
        <f aca="false">IFERROR(INDEX('TRANS'!$C:$C,MATCH($B484,'TRANS'!$A:$A,0)),IFERROR(INDEX('Catalog'!$B:$B,MATCH($G484,'Catalog'!$A:$A,0)),$B484))</f>
        <v>ST20 חבק יד</v>
      </c>
      <c r="I484" s="8" t="str">
        <f aca="false">IF($G484="","Unmatched","Matched")</f>
        <v>Matched</v>
      </c>
    </row>
    <row r="485" customFormat="false" ht="15" hidden="false" customHeight="false" outlineLevel="0" collapsed="false">
      <c r="A485" s="8" t="s">
        <v>51</v>
      </c>
      <c r="B485" s="8" t="s">
        <v>531</v>
      </c>
      <c r="C485" s="19" t="n">
        <v>6</v>
      </c>
      <c r="D485" s="19" t="n">
        <v>218.46</v>
      </c>
      <c r="E485" s="19" t="n">
        <v>20</v>
      </c>
      <c r="F485" s="19" t="n">
        <v>873.8</v>
      </c>
      <c r="G485" s="8" t="n">
        <f aca="false">IFERROR(INDEX('TRANS'!$B:$B,MATCH($B485,'TRANS'!$A:$A,0)),IFERROR(INDEX('TRANS'!$B:$B,MATCH(TRIM(SUBSTITUTE($B485,CHAR(160)," ")),'TRANS'!$D:$D,0)),IFERROR(INDEX('Catalog'!$A:$A,MATCH($B485,'Catalog'!$B:$B,0)),IFERROR(INDEX('Catalog'!$A:$A,MATCH(TRIM(SUBSTITUTE($B485,CHAR(160)," ")),'Catalog'!$C:$C,0)),""))))</f>
        <v>4408267</v>
      </c>
      <c r="H485" s="8" t="str">
        <f aca="false">IFERROR(INDEX('TRANS'!$C:$C,MATCH($B485,'TRANS'!$A:$A,0)),IFERROR(INDEX('Catalog'!$B:$B,MATCH($G485,'Catalog'!$A:$A,0)),$B485))</f>
        <v>ST25 חבק שורש לכף היד</v>
      </c>
      <c r="I485" s="8" t="str">
        <f aca="false">IF($G485="","Unmatched","Matched")</f>
        <v>Matched</v>
      </c>
    </row>
    <row r="486" customFormat="false" ht="15" hidden="false" customHeight="false" outlineLevel="0" collapsed="false">
      <c r="A486" s="8" t="s">
        <v>51</v>
      </c>
      <c r="B486" s="8" t="s">
        <v>532</v>
      </c>
      <c r="C486" s="19" t="n">
        <v>1</v>
      </c>
      <c r="D486" s="19" t="n">
        <v>62.43</v>
      </c>
      <c r="E486" s="19" t="n">
        <v>0</v>
      </c>
      <c r="F486" s="19" t="n">
        <v>0</v>
      </c>
      <c r="G486" s="8" t="str">
        <f aca="false">IFERROR(INDEX('TRANS'!$B:$B,MATCH($B486,'TRANS'!$A:$A,0)),IFERROR(INDEX('TRANS'!$B:$B,MATCH(TRIM(SUBSTITUTE($B486,CHAR(160)," ")),'TRANS'!$D:$D,0)),IFERROR(INDEX('Catalog'!$A:$A,MATCH($B486,'Catalog'!$B:$B,0)),IFERROR(INDEX('Catalog'!$A:$A,MATCH(TRIM(SUBSTITUTE($B486,CHAR(160)," ")),'Catalog'!$C:$C,0)),""))))</f>
        <v/>
      </c>
      <c r="H486" s="8" t="str">
        <f aca="false">IFERROR(INDEX('TRANS'!$C:$C,MATCH($B486,'TRANS'!$A:$A,0)),IFERROR(INDEX('Catalog'!$B:$B,MATCH($G486,'Catalog'!$A:$A,0)),$B486))</f>
        <v>ST27L 0</v>
      </c>
      <c r="I486" s="8" t="str">
        <f aca="false">IF($G486="","Unmatched","Matched")</f>
        <v>Unmatched</v>
      </c>
    </row>
    <row r="487" customFormat="false" ht="15" hidden="false" customHeight="false" outlineLevel="0" collapsed="false">
      <c r="A487" s="8" t="s">
        <v>51</v>
      </c>
      <c r="B487" s="8" t="s">
        <v>533</v>
      </c>
      <c r="C487" s="19" t="n">
        <v>1</v>
      </c>
      <c r="D487" s="19" t="n">
        <v>62.43</v>
      </c>
      <c r="E487" s="19" t="n">
        <v>0</v>
      </c>
      <c r="F487" s="19" t="n">
        <v>0</v>
      </c>
      <c r="G487" s="8" t="str">
        <f aca="false">IFERROR(INDEX('TRANS'!$B:$B,MATCH($B487,'TRANS'!$A:$A,0)),IFERROR(INDEX('TRANS'!$B:$B,MATCH(TRIM(SUBSTITUTE($B487,CHAR(160)," ")),'TRANS'!$D:$D,0)),IFERROR(INDEX('Catalog'!$A:$A,MATCH($B487,'Catalog'!$B:$B,0)),IFERROR(INDEX('Catalog'!$A:$A,MATCH(TRIM(SUBSTITUTE($B487,CHAR(160)," ")),'Catalog'!$C:$C,0)),""))))</f>
        <v/>
      </c>
      <c r="H487" s="8" t="str">
        <f aca="false">IFERROR(INDEX('TRANS'!$C:$C,MATCH($B487,'TRANS'!$A:$A,0)),IFERROR(INDEX('Catalog'!$B:$B,MATCH($G487,'Catalog'!$A:$A,0)),$B487))</f>
        <v>ST27R 0</v>
      </c>
      <c r="I487" s="8" t="str">
        <f aca="false">IF($G487="","Unmatched","Matched")</f>
        <v>Unmatched</v>
      </c>
    </row>
    <row r="488" customFormat="false" ht="15" hidden="false" customHeight="false" outlineLevel="0" collapsed="false">
      <c r="A488" s="8" t="s">
        <v>51</v>
      </c>
      <c r="B488" s="8" t="s">
        <v>534</v>
      </c>
      <c r="C488" s="19" t="n">
        <v>2</v>
      </c>
      <c r="D488" s="19" t="n">
        <v>57.07</v>
      </c>
      <c r="E488" s="19" t="n">
        <v>2</v>
      </c>
      <c r="F488" s="19" t="n">
        <v>28.1</v>
      </c>
      <c r="G488" s="8" t="n">
        <f aca="false">IFERROR(INDEX('TRANS'!$B:$B,MATCH($B488,'TRANS'!$A:$A,0)),IFERROR(INDEX('TRANS'!$B:$B,MATCH(TRIM(SUBSTITUTE($B488,CHAR(160)," ")),'TRANS'!$D:$D,0)),IFERROR(INDEX('Catalog'!$A:$A,MATCH($B488,'Catalog'!$B:$B,0)),IFERROR(INDEX('Catalog'!$A:$A,MATCH(TRIM(SUBSTITUTE($B488,CHAR(160)," ")),'Catalog'!$C:$C,0)),""))))</f>
        <v>4415177</v>
      </c>
      <c r="H488" s="8" t="str">
        <f aca="false">IFERROR(INDEX('TRANS'!$C:$C,MATCH($B488,'TRANS'!$A:$A,0)),IFERROR(INDEX('Catalog'!$B:$B,MATCH($G488,'Catalog'!$A:$A,0)),$B488))</f>
        <v>ST28 סד אגודלי עם מוט תמיכה</v>
      </c>
      <c r="I488" s="8" t="str">
        <f aca="false">IF($G488="","Unmatched","Matched")</f>
        <v>Matched</v>
      </c>
    </row>
    <row r="489" customFormat="false" ht="15" hidden="false" customHeight="false" outlineLevel="0" collapsed="false">
      <c r="A489" s="8" t="s">
        <v>51</v>
      </c>
      <c r="B489" s="8" t="s">
        <v>535</v>
      </c>
      <c r="C489" s="19" t="n">
        <v>4</v>
      </c>
      <c r="D489" s="19" t="n">
        <v>140.44</v>
      </c>
      <c r="E489" s="19" t="n">
        <v>1</v>
      </c>
      <c r="F489" s="19" t="n">
        <v>0.01</v>
      </c>
      <c r="G489" s="8" t="n">
        <f aca="false">IFERROR(INDEX('TRANS'!$B:$B,MATCH($B489,'TRANS'!$A:$A,0)),IFERROR(INDEX('TRANS'!$B:$B,MATCH(TRIM(SUBSTITUTE($B489,CHAR(160)," ")),'TRANS'!$D:$D,0)),IFERROR(INDEX('Catalog'!$A:$A,MATCH($B489,'Catalog'!$B:$B,0)),IFERROR(INDEX('Catalog'!$A:$A,MATCH(TRIM(SUBSTITUTE($B489,CHAR(160)," ")),'Catalog'!$C:$C,0)),""))))</f>
        <v>4408269</v>
      </c>
      <c r="H489" s="8" t="str">
        <f aca="false">IFERROR(INDEX('TRANS'!$C:$C,MATCH($B489,'TRANS'!$A:$A,0)),IFERROR(INDEX('Catalog'!$B:$B,MATCH($G489,'Catalog'!$A:$A,0)),$B489))</f>
        <v>ST37 חבק לקרסול</v>
      </c>
      <c r="I489" s="8" t="str">
        <f aca="false">IF($G489="","Unmatched","Matched")</f>
        <v>Matched</v>
      </c>
    </row>
    <row r="490" customFormat="false" ht="15" hidden="false" customHeight="false" outlineLevel="0" collapsed="false">
      <c r="A490" s="8" t="s">
        <v>51</v>
      </c>
      <c r="B490" s="8" t="s">
        <v>536</v>
      </c>
      <c r="C490" s="19" t="n">
        <v>1</v>
      </c>
      <c r="D490" s="19" t="n">
        <v>0.01</v>
      </c>
      <c r="E490" s="19" t="n">
        <v>0</v>
      </c>
      <c r="F490" s="19" t="n">
        <v>0</v>
      </c>
      <c r="G490" s="8" t="str">
        <f aca="false">IFERROR(INDEX('TRANS'!$B:$B,MATCH($B490,'TRANS'!$A:$A,0)),IFERROR(INDEX('TRANS'!$B:$B,MATCH(TRIM(SUBSTITUTE($B490,CHAR(160)," ")),'TRANS'!$D:$D,0)),IFERROR(INDEX('Catalog'!$A:$A,MATCH($B490,'Catalog'!$B:$B,0)),IFERROR(INDEX('Catalog'!$A:$A,MATCH(TRIM(SUBSTITUTE($B490,CHAR(160)," ")),'Catalog'!$C:$C,0)),""))))</f>
        <v/>
      </c>
      <c r="H490" s="8" t="str">
        <f aca="false">IFERROR(INDEX('TRANS'!$C:$C,MATCH($B490,'TRANS'!$A:$A,0)),IFERROR(INDEX('Catalog'!$B:$B,MATCH($G490,'Catalog'!$A:$A,0)),$B490))</f>
        <v>KST422 0</v>
      </c>
      <c r="I490" s="8" t="str">
        <f aca="false">IF($G490="","Unmatched","Matched")</f>
        <v>Unmatched</v>
      </c>
    </row>
    <row r="491" customFormat="false" ht="15" hidden="false" customHeight="false" outlineLevel="0" collapsed="false">
      <c r="A491" s="8" t="s">
        <v>51</v>
      </c>
      <c r="B491" s="8" t="s">
        <v>537</v>
      </c>
      <c r="C491" s="19" t="n">
        <v>4</v>
      </c>
      <c r="D491" s="19" t="n">
        <v>249.88</v>
      </c>
      <c r="E491" s="19" t="n">
        <v>2</v>
      </c>
      <c r="F491" s="19" t="n">
        <v>124.94</v>
      </c>
      <c r="G491" s="8" t="n">
        <f aca="false">IFERROR(INDEX('TRANS'!$B:$B,MATCH($B491,'TRANS'!$A:$A,0)),IFERROR(INDEX('TRANS'!$B:$B,MATCH(TRIM(SUBSTITUTE($B491,CHAR(160)," ")),'TRANS'!$D:$D,0)),IFERROR(INDEX('Catalog'!$A:$A,MATCH($B491,'Catalog'!$B:$B,0)),IFERROR(INDEX('Catalog'!$A:$A,MATCH(TRIM(SUBSTITUTE($B491,CHAR(160)," ")),'Catalog'!$C:$C,0)),""))))</f>
        <v>4402011</v>
      </c>
      <c r="H491" s="8" t="str">
        <f aca="false">IFERROR(INDEX('TRANS'!$C:$C,MATCH($B491,'TRANS'!$A:$A,0)),IFERROR(INDEX('Catalog'!$B:$B,MATCH($G491,'Catalog'!$A:$A,0)),$B491))</f>
        <v>S-XLST422 מגן ברך+כרית ג'ל</v>
      </c>
      <c r="I491" s="8" t="str">
        <f aca="false">IF($G491="","Unmatched","Matched")</f>
        <v>Matched</v>
      </c>
    </row>
    <row r="492" customFormat="false" ht="15" hidden="false" customHeight="false" outlineLevel="0" collapsed="false">
      <c r="A492" s="8" t="s">
        <v>51</v>
      </c>
      <c r="B492" s="8" t="s">
        <v>538</v>
      </c>
      <c r="C492" s="19" t="n">
        <v>3</v>
      </c>
      <c r="D492" s="19" t="n">
        <v>441.11</v>
      </c>
      <c r="E492" s="19" t="n">
        <v>0</v>
      </c>
      <c r="F492" s="19" t="n">
        <v>0</v>
      </c>
      <c r="G492" s="8" t="n">
        <f aca="false">IFERROR(INDEX('TRANS'!$B:$B,MATCH($B492,'TRANS'!$A:$A,0)),IFERROR(INDEX('TRANS'!$B:$B,MATCH(TRIM(SUBSTITUTE($B492,CHAR(160)," ")),'TRANS'!$D:$D,0)),IFERROR(INDEX('Catalog'!$A:$A,MATCH($B492,'Catalog'!$B:$B,0)),IFERROR(INDEX('Catalog'!$A:$A,MATCH(TRIM(SUBSTITUTE($B492,CHAR(160)," ")),'Catalog'!$C:$C,0)),""))))</f>
        <v>4413532</v>
      </c>
      <c r="H492" s="8" t="str">
        <f aca="false">IFERROR(INDEX('TRANS'!$C:$C,MATCH($B492,'TRANS'!$A:$A,0)),IFERROR(INDEX('Catalog'!$B:$B,MATCH($G492,'Catalog'!$A:$A,0)),$B492))</f>
        <v>ST433 H מגן ברך עם ציר</v>
      </c>
      <c r="I492" s="8" t="str">
        <f aca="false">IF($G492="","Unmatched","Matched")</f>
        <v>Matched</v>
      </c>
    </row>
    <row r="493" customFormat="false" ht="15" hidden="false" customHeight="false" outlineLevel="0" collapsed="false">
      <c r="A493" s="8" t="s">
        <v>51</v>
      </c>
      <c r="B493" s="8" t="s">
        <v>539</v>
      </c>
      <c r="C493" s="19" t="n">
        <v>2</v>
      </c>
      <c r="D493" s="19" t="n">
        <v>50.57</v>
      </c>
      <c r="E493" s="19" t="n">
        <v>0</v>
      </c>
      <c r="F493" s="19" t="n">
        <v>0</v>
      </c>
      <c r="G493" s="8" t="n">
        <f aca="false">IFERROR(INDEX('TRANS'!$B:$B,MATCH($B493,'TRANS'!$A:$A,0)),IFERROR(INDEX('TRANS'!$B:$B,MATCH(TRIM(SUBSTITUTE($B493,CHAR(160)," ")),'TRANS'!$D:$D,0)),IFERROR(INDEX('Catalog'!$A:$A,MATCH($B493,'Catalog'!$B:$B,0)),IFERROR(INDEX('Catalog'!$A:$A,MATCH(TRIM(SUBSTITUTE($B493,CHAR(160)," ")),'Catalog'!$C:$C,0)),""))))</f>
        <v>4413533</v>
      </c>
      <c r="H493" s="8" t="str">
        <f aca="false">IFERROR(INDEX('TRANS'!$C:$C,MATCH($B493,'TRANS'!$A:$A,0)),IFERROR(INDEX('Catalog'!$B:$B,MATCH($G493,'Catalog'!$A:$A,0)),$B493))</f>
        <v>ST49 מגן ירך</v>
      </c>
      <c r="I493" s="8" t="str">
        <f aca="false">IF($G493="","Unmatched","Matched")</f>
        <v>Matched</v>
      </c>
    </row>
    <row r="494" customFormat="false" ht="15" hidden="false" customHeight="false" outlineLevel="0" collapsed="false">
      <c r="A494" s="8" t="s">
        <v>51</v>
      </c>
      <c r="B494" s="8" t="s">
        <v>540</v>
      </c>
      <c r="C494" s="19" t="n">
        <v>3</v>
      </c>
      <c r="D494" s="19" t="n">
        <v>94.87</v>
      </c>
      <c r="E494" s="19" t="n">
        <v>0</v>
      </c>
      <c r="F494" s="19" t="n">
        <v>0</v>
      </c>
      <c r="G494" s="8" t="n">
        <f aca="false">IFERROR(INDEX('TRANS'!$B:$B,MATCH($B494,'TRANS'!$A:$A,0)),IFERROR(INDEX('TRANS'!$B:$B,MATCH(TRIM(SUBSTITUTE($B494,CHAR(160)," ")),'TRANS'!$D:$D,0)),IFERROR(INDEX('Catalog'!$A:$A,MATCH($B494,'Catalog'!$B:$B,0)),IFERROR(INDEX('Catalog'!$A:$A,MATCH(TRIM(SUBSTITUTE($B494,CHAR(160)," ")),'Catalog'!$C:$C,0)),""))))</f>
        <v>4413531</v>
      </c>
      <c r="H494" s="8" t="str">
        <f aca="false">IFERROR(INDEX('TRANS'!$C:$C,MATCH($B494,'TRANS'!$A:$A,0)),IFERROR(INDEX('Catalog'!$B:$B,MATCH($G494,'Catalog'!$A:$A,0)),$B494))</f>
        <v>ST91 מגן מרפק לטניס</v>
      </c>
      <c r="I494" s="8" t="str">
        <f aca="false">IF($G494="","Unmatched","Matched")</f>
        <v>Matched</v>
      </c>
    </row>
    <row r="495" customFormat="false" ht="15" hidden="false" customHeight="false" outlineLevel="0" collapsed="false">
      <c r="A495" s="8" t="s">
        <v>51</v>
      </c>
      <c r="B495" s="8" t="s">
        <v>541</v>
      </c>
      <c r="C495" s="19" t="n">
        <v>0</v>
      </c>
      <c r="D495" s="19" t="n">
        <v>0</v>
      </c>
      <c r="E495" s="19" t="n">
        <v>1</v>
      </c>
      <c r="F495" s="19" t="n">
        <v>0.01</v>
      </c>
      <c r="G495" s="8" t="str">
        <f aca="false">IFERROR(INDEX('TRANS'!$B:$B,MATCH($B495,'TRANS'!$A:$A,0)),IFERROR(INDEX('TRANS'!$B:$B,MATCH(TRIM(SUBSTITUTE($B495,CHAR(160)," ")),'TRANS'!$D:$D,0)),IFERROR(INDEX('Catalog'!$A:$A,MATCH($B495,'Catalog'!$B:$B,0)),IFERROR(INDEX('Catalog'!$A:$A,MATCH(TRIM(SUBSTITUTE($B495,CHAR(160)," ")),'Catalog'!$C:$C,0)),""))))</f>
        <v/>
      </c>
      <c r="H495" s="8" t="str">
        <f aca="false">IFERROR(INDEX('TRANS'!$C:$C,MATCH($B495,'TRANS'!$A:$A,0)),IFERROR(INDEX('Catalog'!$B:$B,MATCH($G495,'Catalog'!$A:$A,0)),$B495))</f>
        <v>T066B-S-M</v>
      </c>
      <c r="I495" s="8" t="str">
        <f aca="false">IF($G495="","Unmatched","Matched")</f>
        <v>Unmatched</v>
      </c>
    </row>
    <row r="496" customFormat="false" ht="15" hidden="false" customHeight="false" outlineLevel="0" collapsed="false">
      <c r="A496" s="8" t="s">
        <v>51</v>
      </c>
      <c r="B496" s="8" t="s">
        <v>542</v>
      </c>
      <c r="C496" s="19" t="n">
        <v>5</v>
      </c>
      <c r="D496" s="19" t="n">
        <v>271.94</v>
      </c>
      <c r="E496" s="19" t="n">
        <v>0</v>
      </c>
      <c r="F496" s="19" t="n">
        <v>0</v>
      </c>
      <c r="G496" s="8" t="n">
        <f aca="false">IFERROR(INDEX('TRANS'!$B:$B,MATCH($B496,'TRANS'!$A:$A,0)),IFERROR(INDEX('TRANS'!$B:$B,MATCH(TRIM(SUBSTITUTE($B496,CHAR(160)," ")),'TRANS'!$D:$D,0)),IFERROR(INDEX('Catalog'!$A:$A,MATCH($B496,'Catalog'!$B:$B,0)),IFERROR(INDEX('Catalog'!$A:$A,MATCH(TRIM(SUBSTITUTE($B496,CHAR(160)," ")),'Catalog'!$C:$C,0)),""))))</f>
        <v>4408099</v>
      </c>
      <c r="H496" s="8" t="str">
        <f aca="false">IFERROR(INDEX('TRANS'!$C:$C,MATCH($B496,'TRANS'!$A:$A,0)),IFERROR(INDEX('Catalog'!$B:$B,MATCH($G496,'Catalog'!$A:$A,0)),$B496))</f>
        <v>T25C-חבק יד אגודלי</v>
      </c>
      <c r="I496" s="8" t="str">
        <f aca="false">IF($G496="","Unmatched","Matched")</f>
        <v>Matched</v>
      </c>
    </row>
    <row r="497" customFormat="false" ht="15" hidden="false" customHeight="false" outlineLevel="0" collapsed="false">
      <c r="A497" s="8" t="s">
        <v>51</v>
      </c>
      <c r="B497" s="8" t="s">
        <v>543</v>
      </c>
      <c r="C497" s="19" t="n">
        <v>0</v>
      </c>
      <c r="D497" s="19" t="n">
        <v>0</v>
      </c>
      <c r="E497" s="19" t="n">
        <v>1</v>
      </c>
      <c r="F497" s="19" t="n">
        <v>0.01</v>
      </c>
      <c r="G497" s="8" t="str">
        <f aca="false">IFERROR(INDEX('TRANS'!$B:$B,MATCH($B497,'TRANS'!$A:$A,0)),IFERROR(INDEX('TRANS'!$B:$B,MATCH(TRIM(SUBSTITUTE($B497,CHAR(160)," ")),'TRANS'!$D:$D,0)),IFERROR(INDEX('Catalog'!$A:$A,MATCH($B497,'Catalog'!$B:$B,0)),IFERROR(INDEX('Catalog'!$A:$A,MATCH(TRIM(SUBSTITUTE($B497,CHAR(160)," ")),'Catalog'!$C:$C,0)),""))))</f>
        <v/>
      </c>
      <c r="H497" s="8" t="str">
        <f aca="false">IFERROR(INDEX('TRANS'!$C:$C,MATCH($B497,'TRANS'!$A:$A,0)),IFERROR(INDEX('Catalog'!$B:$B,MATCH($G497,'Catalog'!$A:$A,0)),$B497))</f>
        <v>T36B L</v>
      </c>
      <c r="I497" s="8" t="str">
        <f aca="false">IF($G497="","Unmatched","Matched")</f>
        <v>Unmatched</v>
      </c>
    </row>
    <row r="498" customFormat="false" ht="15" hidden="false" customHeight="false" outlineLevel="0" collapsed="false">
      <c r="A498" s="8" t="s">
        <v>51</v>
      </c>
      <c r="B498" s="8" t="s">
        <v>544</v>
      </c>
      <c r="C498" s="19" t="n">
        <v>2</v>
      </c>
      <c r="D498" s="19" t="n">
        <v>227.36</v>
      </c>
      <c r="E498" s="19" t="n">
        <v>1</v>
      </c>
      <c r="F498" s="19" t="n">
        <v>0.01</v>
      </c>
      <c r="G498" s="8" t="str">
        <f aca="false">IFERROR(INDEX('TRANS'!$B:$B,MATCH($B498,'TRANS'!$A:$A,0)),IFERROR(INDEX('TRANS'!$B:$B,MATCH(TRIM(SUBSTITUTE($B498,CHAR(160)," ")),'TRANS'!$D:$D,0)),IFERROR(INDEX('Catalog'!$A:$A,MATCH($B498,'Catalog'!$B:$B,0)),IFERROR(INDEX('Catalog'!$A:$A,MATCH(TRIM(SUBSTITUTE($B498,CHAR(160)," ")),'Catalog'!$C:$C,0)),""))))</f>
        <v/>
      </c>
      <c r="H498" s="8" t="str">
        <f aca="false">IFERROR(INDEX('TRANS'!$C:$C,MATCH($B498,'TRANS'!$A:$A,0)),IFERROR(INDEX('Catalog'!$B:$B,MATCH($G498,'Catalog'!$A:$A,0)),$B498))</f>
        <v>T40B 0</v>
      </c>
      <c r="I498" s="8" t="str">
        <f aca="false">IF($G498="","Unmatched","Matched")</f>
        <v>Unmatched</v>
      </c>
    </row>
    <row r="499" customFormat="false" ht="15" hidden="false" customHeight="false" outlineLevel="0" collapsed="false">
      <c r="A499" s="8" t="s">
        <v>51</v>
      </c>
      <c r="B499" s="8" t="s">
        <v>545</v>
      </c>
      <c r="C499" s="19" t="n">
        <v>0</v>
      </c>
      <c r="D499" s="19" t="n">
        <v>0</v>
      </c>
      <c r="E499" s="19" t="n">
        <v>1</v>
      </c>
      <c r="F499" s="19" t="n">
        <v>0.01</v>
      </c>
      <c r="G499" s="8" t="str">
        <f aca="false">IFERROR(INDEX('TRANS'!$B:$B,MATCH($B499,'TRANS'!$A:$A,0)),IFERROR(INDEX('TRANS'!$B:$B,MATCH(TRIM(SUBSTITUTE($B499,CHAR(160)," ")),'TRANS'!$D:$D,0)),IFERROR(INDEX('Catalog'!$A:$A,MATCH($B499,'Catalog'!$B:$B,0)),IFERROR(INDEX('Catalog'!$A:$A,MATCH(TRIM(SUBSTITUTE($B499,CHAR(160)," ")),'Catalog'!$C:$C,0)),""))))</f>
        <v/>
      </c>
      <c r="H499" s="8" t="str">
        <f aca="false">IFERROR(INDEX('TRANS'!$C:$C,MATCH($B499,'TRANS'!$A:$A,0)),IFERROR(INDEX('Catalog'!$B:$B,MATCH($G499,'Catalog'!$A:$A,0)),$B499))</f>
        <v>T46B M</v>
      </c>
      <c r="I499" s="8" t="str">
        <f aca="false">IF($G499="","Unmatched","Matched")</f>
        <v>Unmatched</v>
      </c>
    </row>
    <row r="500" customFormat="false" ht="15" hidden="false" customHeight="false" outlineLevel="0" collapsed="false">
      <c r="A500" s="8" t="s">
        <v>51</v>
      </c>
      <c r="B500" s="8" t="s">
        <v>546</v>
      </c>
      <c r="C500" s="19" t="n">
        <v>2</v>
      </c>
      <c r="D500" s="19" t="n">
        <v>171.08</v>
      </c>
      <c r="E500" s="19" t="n">
        <v>0</v>
      </c>
      <c r="F500" s="19" t="n">
        <v>0</v>
      </c>
      <c r="G500" s="8" t="n">
        <f aca="false">IFERROR(INDEX('TRANS'!$B:$B,MATCH($B500,'TRANS'!$A:$A,0)),IFERROR(INDEX('TRANS'!$B:$B,MATCH(TRIM(SUBSTITUTE($B500,CHAR(160)," ")),'TRANS'!$D:$D,0)),IFERROR(INDEX('Catalog'!$A:$A,MATCH($B500,'Catalog'!$B:$B,0)),IFERROR(INDEX('Catalog'!$A:$A,MATCH(TRIM(SUBSTITUTE($B500,CHAR(160)," ")),'Catalog'!$C:$C,0)),""))))</f>
        <v>4413210</v>
      </c>
      <c r="H500" s="8" t="str">
        <f aca="false">IFERROR(INDEX('TRANS'!$C:$C,MATCH($B500,'TRANS'!$A:$A,0)),IFERROR(INDEX('Catalog'!$B:$B,MATCH($G500,'Catalog'!$A:$A,0)),$B500))</f>
        <v>T95 S מגן מרפק רגיל</v>
      </c>
      <c r="I500" s="8" t="str">
        <f aca="false">IF($G500="","Unmatched","Matched")</f>
        <v>Matched</v>
      </c>
    </row>
    <row r="501" customFormat="false" ht="15" hidden="false" customHeight="false" outlineLevel="0" collapsed="false">
      <c r="A501" s="8" t="s">
        <v>51</v>
      </c>
      <c r="B501" s="8" t="s">
        <v>547</v>
      </c>
      <c r="C501" s="19" t="n">
        <v>1</v>
      </c>
      <c r="D501" s="19" t="n">
        <v>85.54</v>
      </c>
      <c r="E501" s="19" t="n">
        <v>2</v>
      </c>
      <c r="F501" s="19" t="n">
        <v>240.17</v>
      </c>
      <c r="G501" s="8" t="str">
        <f aca="false">IFERROR(INDEX('TRANS'!$B:$B,MATCH($B501,'TRANS'!$A:$A,0)),IFERROR(INDEX('TRANS'!$B:$B,MATCH(TRIM(SUBSTITUTE($B501,CHAR(160)," ")),'TRANS'!$D:$D,0)),IFERROR(INDEX('Catalog'!$A:$A,MATCH($B501,'Catalog'!$B:$B,0)),IFERROR(INDEX('Catalog'!$A:$A,MATCH(TRIM(SUBSTITUTE($B501,CHAR(160)," ")),'Catalog'!$C:$C,0)),""))))</f>
        <v/>
      </c>
      <c r="H501" s="8" t="str">
        <f aca="false">IFERROR(INDEX('TRANS'!$C:$C,MATCH($B501,'TRANS'!$A:$A,0)),IFERROR(INDEX('Catalog'!$B:$B,MATCH($G501,'Catalog'!$A:$A,0)),$B501))</f>
        <v>T95 XL</v>
      </c>
      <c r="I501" s="8" t="str">
        <f aca="false">IF($G501="","Unmatched","Matched")</f>
        <v>Unmatched</v>
      </c>
    </row>
    <row r="502" customFormat="false" ht="15" hidden="false" customHeight="false" outlineLevel="0" collapsed="false">
      <c r="A502" s="8" t="s">
        <v>51</v>
      </c>
      <c r="B502" s="8" t="s">
        <v>548</v>
      </c>
      <c r="C502" s="19" t="n">
        <v>3</v>
      </c>
      <c r="D502" s="19" t="n">
        <v>880.76</v>
      </c>
      <c r="E502" s="19" t="n">
        <v>0</v>
      </c>
      <c r="F502" s="19" t="n">
        <v>0</v>
      </c>
      <c r="G502" s="8" t="str">
        <f aca="false">IFERROR(INDEX('TRANS'!$B:$B,MATCH($B502,'TRANS'!$A:$A,0)),IFERROR(INDEX('TRANS'!$B:$B,MATCH(TRIM(SUBSTITUTE($B502,CHAR(160)," ")),'TRANS'!$D:$D,0)),IFERROR(INDEX('Catalog'!$A:$A,MATCH($B502,'Catalog'!$B:$B,0)),IFERROR(INDEX('Catalog'!$A:$A,MATCH(TRIM(SUBSTITUTE($B502,CHAR(160)," ")),'Catalog'!$C:$C,0)),""))))</f>
        <v/>
      </c>
      <c r="H502" s="8" t="str">
        <f aca="false">IFERROR(INDEX('TRANS'!$C:$C,MATCH($B502,'TRANS'!$A:$A,0)),IFERROR(INDEX('Catalog'!$B:$B,MATCH($G502,'Catalog'!$A:$A,0)),$B502))</f>
        <v>07UB-S-M</v>
      </c>
      <c r="I502" s="8" t="str">
        <f aca="false">IF($G502="","Unmatched","Matched")</f>
        <v>Unmatched</v>
      </c>
    </row>
    <row r="503" customFormat="false" ht="15" hidden="false" customHeight="false" outlineLevel="0" collapsed="false">
      <c r="A503" s="8" t="s">
        <v>51</v>
      </c>
      <c r="B503" s="8" t="s">
        <v>549</v>
      </c>
      <c r="C503" s="19" t="n">
        <v>0</v>
      </c>
      <c r="D503" s="19" t="n">
        <v>0</v>
      </c>
      <c r="E503" s="19" t="n">
        <v>1</v>
      </c>
      <c r="F503" s="19" t="n">
        <v>251.47</v>
      </c>
      <c r="G503" s="8" t="str">
        <f aca="false">IFERROR(INDEX('TRANS'!$B:$B,MATCH($B503,'TRANS'!$A:$A,0)),IFERROR(INDEX('TRANS'!$B:$B,MATCH(TRIM(SUBSTITUTE($B503,CHAR(160)," ")),'TRANS'!$D:$D,0)),IFERROR(INDEX('Catalog'!$A:$A,MATCH($B503,'Catalog'!$B:$B,0)),IFERROR(INDEX('Catalog'!$A:$A,MATCH(TRIM(SUBSTITUTE($B503,CHAR(160)," ")),'Catalog'!$C:$C,0)),""))))</f>
        <v/>
      </c>
      <c r="H503" s="8" t="str">
        <f aca="false">IFERROR(INDEX('TRANS'!$C:$C,MATCH($B503,'TRANS'!$A:$A,0)),IFERROR(INDEX('Catalog'!$B:$B,MATCH($G503,'Catalog'!$A:$A,0)),$B503))</f>
        <v>12 M</v>
      </c>
      <c r="I503" s="8" t="str">
        <f aca="false">IF($G503="","Unmatched","Matched")</f>
        <v>Unmatched</v>
      </c>
    </row>
    <row r="504" customFormat="false" ht="15" hidden="false" customHeight="false" outlineLevel="0" collapsed="false">
      <c r="A504" s="8" t="s">
        <v>51</v>
      </c>
      <c r="B504" s="8" t="s">
        <v>550</v>
      </c>
      <c r="C504" s="19" t="n">
        <v>0</v>
      </c>
      <c r="D504" s="19" t="n">
        <v>0</v>
      </c>
      <c r="E504" s="19" t="n">
        <v>1</v>
      </c>
      <c r="F504" s="19" t="n">
        <v>190.63</v>
      </c>
      <c r="G504" s="8" t="str">
        <f aca="false">IFERROR(INDEX('TRANS'!$B:$B,MATCH($B504,'TRANS'!$A:$A,0)),IFERROR(INDEX('TRANS'!$B:$B,MATCH(TRIM(SUBSTITUTE($B504,CHAR(160)," ")),'TRANS'!$D:$D,0)),IFERROR(INDEX('Catalog'!$A:$A,MATCH($B504,'Catalog'!$B:$B,0)),IFERROR(INDEX('Catalog'!$A:$A,MATCH(TRIM(SUBSTITUTE($B504,CHAR(160)," ")),'Catalog'!$C:$C,0)),""))))</f>
        <v/>
      </c>
      <c r="H504" s="8" t="str">
        <f aca="false">IFERROR(INDEX('TRANS'!$C:$C,MATCH($B504,'TRANS'!$A:$A,0)),IFERROR(INDEX('Catalog'!$B:$B,MATCH($G504,'Catalog'!$A:$A,0)),$B504))</f>
        <v>355 M</v>
      </c>
      <c r="I504" s="8" t="str">
        <f aca="false">IF($G504="","Unmatched","Matched")</f>
        <v>Unmatched</v>
      </c>
    </row>
    <row r="505" customFormat="false" ht="15" hidden="false" customHeight="false" outlineLevel="0" collapsed="false">
      <c r="A505" s="8" t="s">
        <v>51</v>
      </c>
      <c r="B505" s="8" t="s">
        <v>551</v>
      </c>
      <c r="C505" s="19" t="n">
        <v>4</v>
      </c>
      <c r="D505" s="19" t="n">
        <v>121.83</v>
      </c>
      <c r="E505" s="19" t="n">
        <v>0</v>
      </c>
      <c r="F505" s="19" t="n">
        <v>0</v>
      </c>
      <c r="G505" s="8" t="str">
        <f aca="false">IFERROR(INDEX('TRANS'!$B:$B,MATCH($B505,'TRANS'!$A:$A,0)),IFERROR(INDEX('TRANS'!$B:$B,MATCH(TRIM(SUBSTITUTE($B505,CHAR(160)," ")),'TRANS'!$D:$D,0)),IFERROR(INDEX('Catalog'!$A:$A,MATCH($B505,'Catalog'!$B:$B,0)),IFERROR(INDEX('Catalog'!$A:$A,MATCH(TRIM(SUBSTITUTE($B505,CHAR(160)," ")),'Catalog'!$C:$C,0)),""))))</f>
        <v/>
      </c>
      <c r="H505" s="8" t="str">
        <f aca="false">IFERROR(INDEX('TRANS'!$C:$C,MATCH($B505,'TRANS'!$A:$A,0)),IFERROR(INDEX('Catalog'!$B:$B,MATCH($G505,'Catalog'!$A:$A,0)),$B505))</f>
        <v>394G-43-46</v>
      </c>
      <c r="I505" s="8" t="str">
        <f aca="false">IF($G505="","Unmatched","Matched")</f>
        <v>Unmatched</v>
      </c>
    </row>
    <row r="506" customFormat="false" ht="15" hidden="false" customHeight="false" outlineLevel="0" collapsed="false">
      <c r="A506" s="8" t="s">
        <v>51</v>
      </c>
      <c r="B506" s="8" t="s">
        <v>552</v>
      </c>
      <c r="C506" s="19" t="n">
        <v>1</v>
      </c>
      <c r="D506" s="19" t="n">
        <v>237.23</v>
      </c>
      <c r="E506" s="19" t="n">
        <v>0</v>
      </c>
      <c r="F506" s="19" t="n">
        <v>0</v>
      </c>
      <c r="G506" s="8" t="str">
        <f aca="false">IFERROR(INDEX('TRANS'!$B:$B,MATCH($B506,'TRANS'!$A:$A,0)),IFERROR(INDEX('TRANS'!$B:$B,MATCH(TRIM(SUBSTITUTE($B506,CHAR(160)," ")),'TRANS'!$D:$D,0)),IFERROR(INDEX('Catalog'!$A:$A,MATCH($B506,'Catalog'!$B:$B,0)),IFERROR(INDEX('Catalog'!$A:$A,MATCH(TRIM(SUBSTITUTE($B506,CHAR(160)," ")),'Catalog'!$C:$C,0)),""))))</f>
        <v/>
      </c>
      <c r="H506" s="8" t="str">
        <f aca="false">IFERROR(INDEX('TRANS'!$C:$C,MATCH($B506,'TRANS'!$A:$A,0)),IFERROR(INDEX('Catalog'!$B:$B,MATCH($G506,'Catalog'!$A:$A,0)),$B506))</f>
        <v>422 XXL</v>
      </c>
      <c r="I506" s="8" t="str">
        <f aca="false">IF($G506="","Unmatched","Matched")</f>
        <v>Unmatched</v>
      </c>
    </row>
    <row r="507" customFormat="false" ht="15" hidden="false" customHeight="false" outlineLevel="0" collapsed="false">
      <c r="A507" s="8" t="s">
        <v>51</v>
      </c>
      <c r="B507" s="8" t="s">
        <v>553</v>
      </c>
      <c r="C507" s="19" t="n">
        <v>2</v>
      </c>
      <c r="D507" s="19" t="n">
        <v>735.42</v>
      </c>
      <c r="E507" s="19" t="n">
        <v>0</v>
      </c>
      <c r="F507" s="19" t="n">
        <v>0</v>
      </c>
      <c r="G507" s="8" t="str">
        <f aca="false">IFERROR(INDEX('TRANS'!$B:$B,MATCH($B507,'TRANS'!$A:$A,0)),IFERROR(INDEX('TRANS'!$B:$B,MATCH(TRIM(SUBSTITUTE($B507,CHAR(160)," ")),'TRANS'!$D:$D,0)),IFERROR(INDEX('Catalog'!$A:$A,MATCH($B507,'Catalog'!$B:$B,0)),IFERROR(INDEX('Catalog'!$A:$A,MATCH(TRIM(SUBSTITUTE($B507,CHAR(160)," ")),'Catalog'!$C:$C,0)),""))))</f>
        <v/>
      </c>
      <c r="H507" s="8" t="str">
        <f aca="false">IFERROR(INDEX('TRANS'!$C:$C,MATCH($B507,'TRANS'!$A:$A,0)),IFERROR(INDEX('Catalog'!$B:$B,MATCH($G507,'Catalog'!$A:$A,0)),$B507))</f>
        <v>422E L</v>
      </c>
      <c r="I507" s="8" t="str">
        <f aca="false">IF($G507="","Unmatched","Matched")</f>
        <v>Unmatched</v>
      </c>
    </row>
    <row r="508" customFormat="false" ht="15" hidden="false" customHeight="false" outlineLevel="0" collapsed="false">
      <c r="A508" s="8" t="s">
        <v>51</v>
      </c>
      <c r="B508" s="8" t="s">
        <v>554</v>
      </c>
      <c r="C508" s="19" t="n">
        <v>1</v>
      </c>
      <c r="D508" s="19" t="n">
        <v>78.25</v>
      </c>
      <c r="E508" s="19" t="n">
        <v>0</v>
      </c>
      <c r="F508" s="19" t="n">
        <v>0</v>
      </c>
      <c r="G508" s="8" t="n">
        <f aca="false">IFERROR(INDEX('TRANS'!$B:$B,MATCH($B508,'TRANS'!$A:$A,0)),IFERROR(INDEX('TRANS'!$B:$B,MATCH(TRIM(SUBSTITUTE($B508,CHAR(160)," ")),'TRANS'!$D:$D,0)),IFERROR(INDEX('Catalog'!$A:$A,MATCH($B508,'Catalog'!$B:$B,0)),IFERROR(INDEX('Catalog'!$A:$A,MATCH(TRIM(SUBSTITUTE($B508,CHAR(160)," ")),'Catalog'!$C:$C,0)),""))))</f>
        <v>4413330</v>
      </c>
      <c r="H508" s="8" t="str">
        <f aca="false">IFERROR(INDEX('TRANS'!$C:$C,MATCH($B508,'TRANS'!$A:$A,0)),IFERROR(INDEX('Catalog'!$B:$B,MATCH($G508,'Catalog'!$A:$A,0)),$B508))</f>
        <v>AC49 מגן ירך</v>
      </c>
      <c r="I508" s="8" t="str">
        <f aca="false">IF($G508="","Unmatched","Matched")</f>
        <v>Matched</v>
      </c>
    </row>
    <row r="509" customFormat="false" ht="15" hidden="false" customHeight="false" outlineLevel="0" collapsed="false">
      <c r="A509" s="8" t="s">
        <v>51</v>
      </c>
      <c r="B509" s="8" t="s">
        <v>555</v>
      </c>
      <c r="C509" s="19" t="n">
        <v>2</v>
      </c>
      <c r="D509" s="19" t="n">
        <v>33.72</v>
      </c>
      <c r="E509" s="19" t="n">
        <v>0</v>
      </c>
      <c r="F509" s="19" t="n">
        <v>0</v>
      </c>
      <c r="G509" s="8" t="str">
        <f aca="false">IFERROR(INDEX('TRANS'!$B:$B,MATCH($B509,'TRANS'!$A:$A,0)),IFERROR(INDEX('TRANS'!$B:$B,MATCH(TRIM(SUBSTITUTE($B509,CHAR(160)," ")),'TRANS'!$D:$D,0)),IFERROR(INDEX('Catalog'!$A:$A,MATCH($B509,'Catalog'!$B:$B,0)),IFERROR(INDEX('Catalog'!$A:$A,MATCH(TRIM(SUBSTITUTE($B509,CHAR(160)," ")),'Catalog'!$C:$C,0)),""))))</f>
        <v/>
      </c>
      <c r="H509" s="8" t="str">
        <f aca="false">IFERROR(INDEX('TRANS'!$C:$C,MATCH($B509,'TRANS'!$A:$A,0)),IFERROR(INDEX('Catalog'!$B:$B,MATCH($G509,'Catalog'!$A:$A,0)),$B509))</f>
        <v>M95</v>
      </c>
      <c r="I509" s="8" t="str">
        <f aca="false">IF($G509="","Unmatched","Matched")</f>
        <v>Unmatched</v>
      </c>
    </row>
    <row r="510" customFormat="false" ht="15" hidden="false" customHeight="false" outlineLevel="0" collapsed="false">
      <c r="A510" s="8" t="s">
        <v>51</v>
      </c>
      <c r="B510" s="8" t="s">
        <v>556</v>
      </c>
      <c r="C510" s="19" t="n">
        <v>1</v>
      </c>
      <c r="D510" s="19" t="n">
        <v>296.56</v>
      </c>
      <c r="E510" s="19" t="n">
        <v>2</v>
      </c>
      <c r="F510" s="19" t="n">
        <v>593.14</v>
      </c>
      <c r="G510" s="8" t="str">
        <f aca="false">IFERROR(INDEX('TRANS'!$B:$B,MATCH($B510,'TRANS'!$A:$A,0)),IFERROR(INDEX('TRANS'!$B:$B,MATCH(TRIM(SUBSTITUTE($B510,CHAR(160)," ")),'TRANS'!$D:$D,0)),IFERROR(INDEX('Catalog'!$A:$A,MATCH($B510,'Catalog'!$B:$B,0)),IFERROR(INDEX('Catalog'!$A:$A,MATCH(TRIM(SUBSTITUTE($B510,CHAR(160)," ")),'Catalog'!$C:$C,0)),""))))</f>
        <v/>
      </c>
      <c r="H510" s="8" t="str">
        <f aca="false">IFERROR(INDEX('TRANS'!$C:$C,MATCH($B510,'TRANS'!$A:$A,0)),IFERROR(INDEX('Catalog'!$B:$B,MATCH($G510,'Catalog'!$A:$A,0)),$B510))</f>
        <v>N433D L</v>
      </c>
      <c r="I510" s="8" t="str">
        <f aca="false">IF($G510="","Unmatched","Matched")</f>
        <v>Unmatched</v>
      </c>
    </row>
    <row r="511" customFormat="false" ht="15" hidden="false" customHeight="false" outlineLevel="0" collapsed="false">
      <c r="A511" s="8" t="s">
        <v>51</v>
      </c>
      <c r="B511" s="8" t="s">
        <v>557</v>
      </c>
      <c r="C511" s="19" t="n">
        <v>1</v>
      </c>
      <c r="D511" s="19" t="n">
        <v>296.56</v>
      </c>
      <c r="E511" s="19" t="n">
        <v>0</v>
      </c>
      <c r="F511" s="19" t="n">
        <v>0</v>
      </c>
      <c r="G511" s="8" t="str">
        <f aca="false">IFERROR(INDEX('TRANS'!$B:$B,MATCH($B511,'TRANS'!$A:$A,0)),IFERROR(INDEX('TRANS'!$B:$B,MATCH(TRIM(SUBSTITUTE($B511,CHAR(160)," ")),'TRANS'!$D:$D,0)),IFERROR(INDEX('Catalog'!$A:$A,MATCH($B511,'Catalog'!$B:$B,0)),IFERROR(INDEX('Catalog'!$A:$A,MATCH(TRIM(SUBSTITUTE($B511,CHAR(160)," ")),'Catalog'!$C:$C,0)),""))))</f>
        <v/>
      </c>
      <c r="H511" s="8" t="str">
        <f aca="false">IFERROR(INDEX('TRANS'!$C:$C,MATCH($B511,'TRANS'!$A:$A,0)),IFERROR(INDEX('Catalog'!$B:$B,MATCH($G511,'Catalog'!$A:$A,0)),$B511))</f>
        <v>N433D S</v>
      </c>
      <c r="I511" s="8" t="str">
        <f aca="false">IF($G511="","Unmatched","Matched")</f>
        <v>Unmatched</v>
      </c>
    </row>
    <row r="512" customFormat="false" ht="15" hidden="false" customHeight="false" outlineLevel="0" collapsed="false">
      <c r="A512" s="8" t="s">
        <v>51</v>
      </c>
      <c r="B512" s="8" t="s">
        <v>558</v>
      </c>
      <c r="C512" s="19" t="n">
        <v>0</v>
      </c>
      <c r="D512" s="19" t="n">
        <v>0</v>
      </c>
      <c r="E512" s="19" t="n">
        <v>1</v>
      </c>
      <c r="F512" s="19" t="n">
        <v>145.68</v>
      </c>
      <c r="G512" s="8" t="str">
        <f aca="false">IFERROR(INDEX('TRANS'!$B:$B,MATCH($B512,'TRANS'!$A:$A,0)),IFERROR(INDEX('TRANS'!$B:$B,MATCH(TRIM(SUBSTITUTE($B512,CHAR(160)," ")),'TRANS'!$D:$D,0)),IFERROR(INDEX('Catalog'!$A:$A,MATCH($B512,'Catalog'!$B:$B,0)),IFERROR(INDEX('Catalog'!$A:$A,MATCH(TRIM(SUBSTITUTE($B512,CHAR(160)," ")),'Catalog'!$C:$C,0)),""))))</f>
        <v/>
      </c>
      <c r="H512" s="8" t="str">
        <f aca="false">IFERROR(INDEX('TRANS'!$C:$C,MATCH($B512,'TRANS'!$A:$A,0)),IFERROR(INDEX('Catalog'!$B:$B,MATCH($G512,'Catalog'!$A:$A,0)),$B512))</f>
        <v>T26 XL</v>
      </c>
      <c r="I512" s="8" t="str">
        <f aca="false">IF($G512="","Unmatched","Matched")</f>
        <v>Unmatched</v>
      </c>
    </row>
    <row r="513" customFormat="false" ht="15" hidden="false" customHeight="false" outlineLevel="0" collapsed="false">
      <c r="A513" s="8" t="s">
        <v>51</v>
      </c>
      <c r="B513" s="8" t="s">
        <v>559</v>
      </c>
      <c r="C513" s="19" t="n">
        <v>1</v>
      </c>
      <c r="D513" s="19" t="n">
        <v>107.16</v>
      </c>
      <c r="E513" s="19" t="n">
        <v>0</v>
      </c>
      <c r="F513" s="19" t="n">
        <v>0</v>
      </c>
      <c r="G513" s="8" t="n">
        <f aca="false">IFERROR(INDEX('TRANS'!$B:$B,MATCH($B513,'TRANS'!$A:$A,0)),IFERROR(INDEX('TRANS'!$B:$B,MATCH(TRIM(SUBSTITUTE($B513,CHAR(160)," ")),'TRANS'!$D:$D,0)),IFERROR(INDEX('Catalog'!$A:$A,MATCH($B513,'Catalog'!$B:$B,0)),IFERROR(INDEX('Catalog'!$A:$A,MATCH(TRIM(SUBSTITUTE($B513,CHAR(160)," ")),'Catalog'!$C:$C,0)),""))))</f>
        <v>4413224</v>
      </c>
      <c r="H513" s="8" t="str">
        <f aca="false">IFERROR(INDEX('TRANS'!$C:$C,MATCH($B513,'TRANS'!$A:$A,0)),IFERROR(INDEX('Catalog'!$B:$B,MATCH($G513,'Catalog'!$A:$A,0)),$B513))</f>
        <v>T45X XL מגן ברך רגיל</v>
      </c>
      <c r="I513" s="8" t="str">
        <f aca="false">IF($G513="","Unmatched","Matched")</f>
        <v>Matched</v>
      </c>
    </row>
    <row r="514" customFormat="false" ht="15" hidden="false" customHeight="false" outlineLevel="0" collapsed="false">
      <c r="A514" s="8" t="s">
        <v>51</v>
      </c>
      <c r="B514" s="8" t="s">
        <v>560</v>
      </c>
      <c r="C514" s="19" t="n">
        <v>1</v>
      </c>
      <c r="D514" s="19" t="n">
        <v>64.16</v>
      </c>
      <c r="E514" s="19" t="n">
        <v>0</v>
      </c>
      <c r="F514" s="19" t="n">
        <v>0</v>
      </c>
      <c r="G514" s="8" t="str">
        <f aca="false">IFERROR(INDEX('TRANS'!$B:$B,MATCH($B514,'TRANS'!$A:$A,0)),IFERROR(INDEX('TRANS'!$B:$B,MATCH(TRIM(SUBSTITUTE($B514,CHAR(160)," ")),'TRANS'!$D:$D,0)),IFERROR(INDEX('Catalog'!$A:$A,MATCH($B514,'Catalog'!$B:$B,0)),IFERROR(INDEX('Catalog'!$A:$A,MATCH(TRIM(SUBSTITUTE($B514,CHAR(160)," ")),'Catalog'!$C:$C,0)),""))))</f>
        <v/>
      </c>
      <c r="H514" s="8" t="str">
        <f aca="false">IFERROR(INDEX('TRANS'!$C:$C,MATCH($B514,'TRANS'!$A:$A,0)),IFERROR(INDEX('Catalog'!$B:$B,MATCH($G514,'Catalog'!$A:$A,0)),$B514))</f>
        <v>T95 M</v>
      </c>
      <c r="I514" s="8" t="str">
        <f aca="false">IF($G514="","Unmatched","Matched")</f>
        <v>Unmatched</v>
      </c>
    </row>
    <row r="515" customFormat="false" ht="15" hidden="false" customHeight="false" outlineLevel="0" collapsed="false">
      <c r="A515" s="8" t="s">
        <v>51</v>
      </c>
      <c r="B515" s="8" t="s">
        <v>561</v>
      </c>
      <c r="C515" s="19" t="n">
        <v>1</v>
      </c>
      <c r="D515" s="19" t="n">
        <v>119.87</v>
      </c>
      <c r="E515" s="19" t="n">
        <v>0</v>
      </c>
      <c r="F515" s="19" t="n">
        <v>0</v>
      </c>
      <c r="G515" s="8" t="str">
        <f aca="false">IFERROR(INDEX('TRANS'!$B:$B,MATCH($B515,'TRANS'!$A:$A,0)),IFERROR(INDEX('TRANS'!$B:$B,MATCH(TRIM(SUBSTITUTE($B515,CHAR(160)," ")),'TRANS'!$D:$D,0)),IFERROR(INDEX('Catalog'!$A:$A,MATCH($B515,'Catalog'!$B:$B,0)),IFERROR(INDEX('Catalog'!$A:$A,MATCH(TRIM(SUBSTITUTE($B515,CHAR(160)," ")),'Catalog'!$C:$C,0)),""))))</f>
        <v/>
      </c>
      <c r="H515" s="8" t="str">
        <f aca="false">IFERROR(INDEX('TRANS'!$C:$C,MATCH($B515,'TRANS'!$A:$A,0)),IFERROR(INDEX('Catalog'!$B:$B,MATCH($G515,'Catalog'!$A:$A,0)),$B515))</f>
        <v>15M XXL</v>
      </c>
      <c r="I515" s="8" t="str">
        <f aca="false">IF($G515="","Unmatched","Matched")</f>
        <v>Unmatched</v>
      </c>
    </row>
    <row r="516" customFormat="false" ht="15" hidden="false" customHeight="false" outlineLevel="0" collapsed="false">
      <c r="A516" s="8" t="s">
        <v>51</v>
      </c>
      <c r="B516" s="8" t="s">
        <v>562</v>
      </c>
      <c r="C516" s="19" t="n">
        <v>1</v>
      </c>
      <c r="D516" s="19" t="n">
        <v>30.04</v>
      </c>
      <c r="E516" s="19" t="n">
        <v>0</v>
      </c>
      <c r="F516" s="19" t="n">
        <v>0</v>
      </c>
      <c r="G516" s="8" t="n">
        <f aca="false">IFERROR(INDEX('TRANS'!$B:$B,MATCH($B516,'TRANS'!$A:$A,0)),IFERROR(INDEX('TRANS'!$B:$B,MATCH(TRIM(SUBSTITUTE($B516,CHAR(160)," ")),'TRANS'!$D:$D,0)),IFERROR(INDEX('Catalog'!$A:$A,MATCH($B516,'Catalog'!$B:$B,0)),IFERROR(INDEX('Catalog'!$A:$A,MATCH(TRIM(SUBSTITUTE($B516,CHAR(160)," ")),'Catalog'!$C:$C,0)),""))))</f>
        <v>4408049</v>
      </c>
      <c r="H516" s="8" t="str">
        <f aca="false">IFERROR(INDEX('TRANS'!$C:$C,MATCH($B516,'TRANS'!$A:$A,0)),IFERROR(INDEX('Catalog'!$B:$B,MATCH($G516,'Catalog'!$A:$A,0)),$B516))</f>
        <v>20 XL חבק יד מתכוון עם צמדן</v>
      </c>
      <c r="I516" s="8" t="str">
        <f aca="false">IF($G516="","Unmatched","Matched")</f>
        <v>Matched</v>
      </c>
    </row>
    <row r="517" customFormat="false" ht="15" hidden="false" customHeight="false" outlineLevel="0" collapsed="false">
      <c r="A517" s="8" t="s">
        <v>51</v>
      </c>
      <c r="B517" s="8" t="s">
        <v>563</v>
      </c>
      <c r="C517" s="19" t="n">
        <v>2</v>
      </c>
      <c r="D517" s="19" t="n">
        <v>105.84</v>
      </c>
      <c r="E517" s="19" t="n">
        <v>0</v>
      </c>
      <c r="F517" s="19" t="n">
        <v>0</v>
      </c>
      <c r="G517" s="8" t="n">
        <f aca="false">IFERROR(INDEX('TRANS'!$B:$B,MATCH($B517,'TRANS'!$A:$A,0)),IFERROR(INDEX('TRANS'!$B:$B,MATCH(TRIM(SUBSTITUTE($B517,CHAR(160)," ")),'TRANS'!$D:$D,0)),IFERROR(INDEX('Catalog'!$A:$A,MATCH($B517,'Catalog'!$B:$B,0)),IFERROR(INDEX('Catalog'!$A:$A,MATCH(TRIM(SUBSTITUTE($B517,CHAR(160)," ")),'Catalog'!$C:$C,0)),""))))</f>
        <v>4416003</v>
      </c>
      <c r="H517" s="8" t="str">
        <f aca="false">IFERROR(INDEX('TRANS'!$C:$C,MATCH($B517,'TRANS'!$A:$A,0)),IFERROR(INDEX('Catalog'!$B:$B,MATCH($G517,'Catalog'!$A:$A,0)),$B517))</f>
        <v>308 Lעקבים סיליקון כחול לדורבן</v>
      </c>
      <c r="I517" s="8" t="str">
        <f aca="false">IF($G517="","Unmatched","Matched")</f>
        <v>Matched</v>
      </c>
    </row>
    <row r="518" customFormat="false" ht="15" hidden="false" customHeight="false" outlineLevel="0" collapsed="false">
      <c r="A518" s="8" t="s">
        <v>51</v>
      </c>
      <c r="B518" s="8" t="s">
        <v>564</v>
      </c>
      <c r="C518" s="19" t="n">
        <v>1</v>
      </c>
      <c r="D518" s="19" t="n">
        <v>56.66</v>
      </c>
      <c r="E518" s="19" t="n">
        <v>0</v>
      </c>
      <c r="F518" s="19" t="n">
        <v>0</v>
      </c>
      <c r="G518" s="8" t="n">
        <f aca="false">IFERROR(INDEX('TRANS'!$B:$B,MATCH($B518,'TRANS'!$A:$A,0)),IFERROR(INDEX('TRANS'!$B:$B,MATCH(TRIM(SUBSTITUTE($B518,CHAR(160)," ")),'TRANS'!$D:$D,0)),IFERROR(INDEX('Catalog'!$A:$A,MATCH($B518,'Catalog'!$B:$B,0)),IFERROR(INDEX('Catalog'!$A:$A,MATCH(TRIM(SUBSTITUTE($B518,CHAR(160)," ")),'Catalog'!$C:$C,0)),""))))</f>
        <v>4413043</v>
      </c>
      <c r="H518" s="8" t="str">
        <f aca="false">IFERROR(INDEX('TRANS'!$C:$C,MATCH($B518,'TRANS'!$A:$A,0)),IFERROR(INDEX('Catalog'!$B:$B,MATCH($G518,'Catalog'!$A:$A,0)),$B518))</f>
        <v>34  L מגן קרסול עקב סגור</v>
      </c>
      <c r="I518" s="8" t="str">
        <f aca="false">IF($G518="","Unmatched","Matched")</f>
        <v>Matched</v>
      </c>
    </row>
    <row r="519" customFormat="false" ht="15" hidden="false" customHeight="false" outlineLevel="0" collapsed="false">
      <c r="A519" s="8" t="s">
        <v>51</v>
      </c>
      <c r="B519" s="8" t="s">
        <v>565</v>
      </c>
      <c r="C519" s="19" t="n">
        <v>1</v>
      </c>
      <c r="D519" s="19" t="n">
        <v>249.93</v>
      </c>
      <c r="E519" s="19" t="n">
        <v>-1</v>
      </c>
      <c r="F519" s="19" t="n">
        <v>-249.93</v>
      </c>
      <c r="G519" s="8" t="str">
        <f aca="false">IFERROR(INDEX('TRANS'!$B:$B,MATCH($B519,'TRANS'!$A:$A,0)),IFERROR(INDEX('TRANS'!$B:$B,MATCH(TRIM(SUBSTITUTE($B519,CHAR(160)," ")),'TRANS'!$D:$D,0)),IFERROR(INDEX('Catalog'!$A:$A,MATCH($B519,'Catalog'!$B:$B,0)),IFERROR(INDEX('Catalog'!$A:$A,MATCH(TRIM(SUBSTITUTE($B519,CHAR(160)," ")),'Catalog'!$C:$C,0)),""))))</f>
        <v/>
      </c>
      <c r="H519" s="8" t="str">
        <f aca="false">IFERROR(INDEX('TRANS'!$C:$C,MATCH($B519,'TRANS'!$A:$A,0)),IFERROR(INDEX('Catalog'!$B:$B,MATCH($G519,'Catalog'!$A:$A,0)),$B519))</f>
        <v>422 L</v>
      </c>
      <c r="I519" s="8" t="str">
        <f aca="false">IF($G519="","Unmatched","Matched")</f>
        <v>Unmatched</v>
      </c>
    </row>
    <row r="520" customFormat="false" ht="15" hidden="false" customHeight="false" outlineLevel="0" collapsed="false">
      <c r="A520" s="8" t="s">
        <v>51</v>
      </c>
      <c r="B520" s="8" t="s">
        <v>566</v>
      </c>
      <c r="C520" s="19" t="n">
        <v>1</v>
      </c>
      <c r="D520" s="19" t="n">
        <v>183.85</v>
      </c>
      <c r="E520" s="19" t="n">
        <v>0</v>
      </c>
      <c r="F520" s="19" t="n">
        <v>0</v>
      </c>
      <c r="G520" s="8" t="str">
        <f aca="false">IFERROR(INDEX('TRANS'!$B:$B,MATCH($B520,'TRANS'!$A:$A,0)),IFERROR(INDEX('TRANS'!$B:$B,MATCH(TRIM(SUBSTITUTE($B520,CHAR(160)," ")),'TRANS'!$D:$D,0)),IFERROR(INDEX('Catalog'!$A:$A,MATCH($B520,'Catalog'!$B:$B,0)),IFERROR(INDEX('Catalog'!$A:$A,MATCH(TRIM(SUBSTITUTE($B520,CHAR(160)," ")),'Catalog'!$C:$C,0)),""))))</f>
        <v/>
      </c>
      <c r="H520" s="8" t="str">
        <f aca="false">IFERROR(INDEX('TRANS'!$C:$C,MATCH($B520,'TRANS'!$A:$A,0)),IFERROR(INDEX('Catalog'!$B:$B,MATCH($G520,'Catalog'!$A:$A,0)),$B520))</f>
        <v>422EB XXXL</v>
      </c>
      <c r="I520" s="8" t="str">
        <f aca="false">IF($G520="","Unmatched","Matched")</f>
        <v>Unmatched</v>
      </c>
    </row>
    <row r="521" customFormat="false" ht="15" hidden="false" customHeight="false" outlineLevel="0" collapsed="false">
      <c r="A521" s="8" t="s">
        <v>51</v>
      </c>
      <c r="B521" s="8" t="s">
        <v>567</v>
      </c>
      <c r="C521" s="19" t="n">
        <v>1</v>
      </c>
      <c r="D521" s="19" t="n">
        <v>52.89</v>
      </c>
      <c r="E521" s="19" t="n">
        <v>0</v>
      </c>
      <c r="F521" s="19" t="n">
        <v>0</v>
      </c>
      <c r="G521" s="8" t="n">
        <f aca="false">IFERROR(INDEX('TRANS'!$B:$B,MATCH($B521,'TRANS'!$A:$A,0)),IFERROR(INDEX('TRANS'!$B:$B,MATCH(TRIM(SUBSTITUTE($B521,CHAR(160)," ")),'TRANS'!$D:$D,0)),IFERROR(INDEX('Catalog'!$A:$A,MATCH($B521,'Catalog'!$B:$B,0)),IFERROR(INDEX('Catalog'!$A:$A,MATCH(TRIM(SUBSTITUTE($B521,CHAR(160)," ")),'Catalog'!$C:$C,0)),""))))</f>
        <v>4413108</v>
      </c>
      <c r="H521" s="8" t="str">
        <f aca="false">IFERROR(INDEX('TRANS'!$C:$C,MATCH($B521,'TRANS'!$A:$A,0)),IFERROR(INDEX('Catalog'!$B:$B,MATCH($G521,'Catalog'!$A:$A,0)),$B521))</f>
        <v>48 M מגן ברך מחמם</v>
      </c>
      <c r="I521" s="8" t="str">
        <f aca="false">IF($G521="","Unmatched","Matched")</f>
        <v>Matched</v>
      </c>
    </row>
    <row r="522" customFormat="false" ht="15" hidden="false" customHeight="false" outlineLevel="0" collapsed="false">
      <c r="A522" s="8" t="s">
        <v>51</v>
      </c>
      <c r="B522" s="8" t="s">
        <v>568</v>
      </c>
      <c r="C522" s="19" t="n">
        <v>1</v>
      </c>
      <c r="D522" s="19" t="n">
        <v>120.72</v>
      </c>
      <c r="E522" s="19" t="n">
        <v>0</v>
      </c>
      <c r="F522" s="19" t="n">
        <v>0</v>
      </c>
      <c r="G522" s="8" t="str">
        <f aca="false">IFERROR(INDEX('TRANS'!$B:$B,MATCH($B522,'TRANS'!$A:$A,0)),IFERROR(INDEX('TRANS'!$B:$B,MATCH(TRIM(SUBSTITUTE($B522,CHAR(160)," ")),'TRANS'!$D:$D,0)),IFERROR(INDEX('Catalog'!$A:$A,MATCH($B522,'Catalog'!$B:$B,0)),IFERROR(INDEX('Catalog'!$A:$A,MATCH(TRIM(SUBSTITUTE($B522,CHAR(160)," ")),'Catalog'!$C:$C,0)),""))))</f>
        <v/>
      </c>
      <c r="H522" s="8" t="str">
        <f aca="false">IFERROR(INDEX('TRANS'!$C:$C,MATCH($B522,'TRANS'!$A:$A,0)),IFERROR(INDEX('Catalog'!$B:$B,MATCH($G522,'Catalog'!$A:$A,0)),$B522))</f>
        <v>49PS M</v>
      </c>
      <c r="I522" s="8" t="str">
        <f aca="false">IF($G522="","Unmatched","Matched")</f>
        <v>Unmatched</v>
      </c>
    </row>
    <row r="523" customFormat="false" ht="15" hidden="false" customHeight="false" outlineLevel="0" collapsed="false">
      <c r="A523" s="8" t="s">
        <v>51</v>
      </c>
      <c r="B523" s="8" t="s">
        <v>569</v>
      </c>
      <c r="C523" s="19" t="n">
        <v>0</v>
      </c>
      <c r="D523" s="19" t="n">
        <v>0</v>
      </c>
      <c r="E523" s="19" t="n">
        <v>1</v>
      </c>
      <c r="F523" s="19" t="n">
        <v>62.43</v>
      </c>
      <c r="G523" s="8" t="str">
        <f aca="false">IFERROR(INDEX('TRANS'!$B:$B,MATCH($B523,'TRANS'!$A:$A,0)),IFERROR(INDEX('TRANS'!$B:$B,MATCH(TRIM(SUBSTITUTE($B523,CHAR(160)," ")),'TRANS'!$D:$D,0)),IFERROR(INDEX('Catalog'!$A:$A,MATCH($B523,'Catalog'!$B:$B,0)),IFERROR(INDEX('Catalog'!$A:$A,MATCH(TRIM(SUBSTITUTE($B523,CHAR(160)," ")),'Catalog'!$C:$C,0)),""))))</f>
        <v/>
      </c>
      <c r="H523" s="8" t="str">
        <f aca="false">IFERROR(INDEX('TRANS'!$C:$C,MATCH($B523,'TRANS'!$A:$A,0)),IFERROR(INDEX('Catalog'!$B:$B,MATCH($G523,'Catalog'!$A:$A,0)),$B523))</f>
        <v>ST45X 0</v>
      </c>
      <c r="I523" s="8" t="str">
        <f aca="false">IF($G523="","Unmatched","Matched")</f>
        <v>Unmatched</v>
      </c>
    </row>
    <row r="524" customFormat="false" ht="15" hidden="false" customHeight="false" outlineLevel="0" collapsed="false">
      <c r="A524" s="8" t="s">
        <v>51</v>
      </c>
      <c r="B524" s="8" t="s">
        <v>570</v>
      </c>
      <c r="C524" s="19" t="n">
        <v>0</v>
      </c>
      <c r="D524" s="19" t="n">
        <v>0</v>
      </c>
      <c r="E524" s="19" t="n">
        <v>1</v>
      </c>
      <c r="F524" s="19" t="n">
        <v>63.51</v>
      </c>
      <c r="G524" s="8" t="n">
        <f aca="false">IFERROR(INDEX('TRANS'!$B:$B,MATCH($B524,'TRANS'!$A:$A,0)),IFERROR(INDEX('TRANS'!$B:$B,MATCH(TRIM(SUBSTITUTE($B524,CHAR(160)," ")),'TRANS'!$D:$D,0)),IFERROR(INDEX('Catalog'!$A:$A,MATCH($B524,'Catalog'!$B:$B,0)),IFERROR(INDEX('Catalog'!$A:$A,MATCH(TRIM(SUBSTITUTE($B524,CHAR(160)," ")),'Catalog'!$C:$C,0)),""))))</f>
        <v>4415072</v>
      </c>
      <c r="H524" s="8" t="str">
        <f aca="false">IFERROR(INDEX('TRANS'!$C:$C,MATCH($B524,'TRANS'!$A:$A,0)),IFERROR(INDEX('Catalog'!$B:$B,MATCH($G524,'Catalog'!$A:$A,0)),$B524))</f>
        <v>T28A S-M סד לאגודל</v>
      </c>
      <c r="I524" s="8" t="str">
        <f aca="false">IF($G524="","Unmatched","Matched")</f>
        <v>Matched</v>
      </c>
    </row>
    <row r="525" customFormat="false" ht="15" hidden="false" customHeight="false" outlineLevel="0" collapsed="false">
      <c r="A525" s="8" t="s">
        <v>51</v>
      </c>
      <c r="B525" s="8" t="s">
        <v>571</v>
      </c>
      <c r="C525" s="19" t="n">
        <v>1</v>
      </c>
      <c r="D525" s="19" t="n">
        <v>140.56</v>
      </c>
      <c r="E525" s="19" t="n">
        <v>0</v>
      </c>
      <c r="F525" s="19" t="n">
        <v>0</v>
      </c>
      <c r="G525" s="8" t="str">
        <f aca="false">IFERROR(INDEX('TRANS'!$B:$B,MATCH($B525,'TRANS'!$A:$A,0)),IFERROR(INDEX('TRANS'!$B:$B,MATCH(TRIM(SUBSTITUTE($B525,CHAR(160)," ")),'TRANS'!$D:$D,0)),IFERROR(INDEX('Catalog'!$A:$A,MATCH($B525,'Catalog'!$B:$B,0)),IFERROR(INDEX('Catalog'!$A:$A,MATCH(TRIM(SUBSTITUTE($B525,CHAR(160)," ")),'Catalog'!$C:$C,0)),""))))</f>
        <v/>
      </c>
      <c r="H525" s="8" t="str">
        <f aca="false">IFERROR(INDEX('TRANS'!$C:$C,MATCH($B525,'TRANS'!$A:$A,0)),IFERROR(INDEX('Catalog'!$B:$B,MATCH($G525,'Catalog'!$A:$A,0)),$B525))</f>
        <v>T45 XS</v>
      </c>
      <c r="I525" s="8" t="str">
        <f aca="false">IF($G525="","Unmatched","Matched")</f>
        <v>Unmatched</v>
      </c>
    </row>
    <row r="526" customFormat="false" ht="15" hidden="false" customHeight="false" outlineLevel="0" collapsed="false">
      <c r="A526" s="8" t="s">
        <v>572</v>
      </c>
      <c r="B526" s="8" t="s">
        <v>573</v>
      </c>
      <c r="C526" s="19" t="n">
        <v>13</v>
      </c>
      <c r="D526" s="19" t="n">
        <v>1128.44</v>
      </c>
      <c r="E526" s="19" t="n">
        <v>5</v>
      </c>
      <c r="F526" s="19" t="n">
        <v>434.5</v>
      </c>
      <c r="G526" s="8" t="n">
        <f aca="false">IFERROR(INDEX('TRANS'!$B:$B,MATCH($B526,'TRANS'!$A:$A,0)),IFERROR(INDEX('TRANS'!$B:$B,MATCH(TRIM(SUBSTITUTE($B526,CHAR(160)," ")),'TRANS'!$D:$D,0)),IFERROR(INDEX('Catalog'!$A:$A,MATCH($B526,'Catalog'!$B:$B,0)),IFERROR(INDEX('Catalog'!$A:$A,MATCH(TRIM(SUBSTITUTE($B526,CHAR(160)," ")),'Catalog'!$C:$C,0)),""))))</f>
        <v>4408135</v>
      </c>
      <c r="H526" s="8" t="str">
        <f aca="false">IFERROR(INDEX('TRANS'!$C:$C,MATCH($B526,'TRANS'!$A:$A,0)),IFERROR(INDEX('Catalog'!$B:$B,MATCH($G526,'Catalog'!$A:$A,0)),$B526))</f>
        <v>077A L-XLחגורת גב</v>
      </c>
      <c r="I526" s="8" t="str">
        <f aca="false">IF($G526="","Unmatched","Matched")</f>
        <v>Matched</v>
      </c>
    </row>
    <row r="527" customFormat="false" ht="15" hidden="false" customHeight="false" outlineLevel="0" collapsed="false">
      <c r="A527" s="8" t="s">
        <v>572</v>
      </c>
      <c r="B527" s="8" t="s">
        <v>574</v>
      </c>
      <c r="C527" s="19" t="n">
        <v>10</v>
      </c>
      <c r="D527" s="19" t="n">
        <v>854.75</v>
      </c>
      <c r="E527" s="19" t="n">
        <v>2</v>
      </c>
      <c r="F527" s="19" t="n">
        <v>169.96</v>
      </c>
      <c r="G527" s="8" t="n">
        <f aca="false">IFERROR(INDEX('TRANS'!$B:$B,MATCH($B527,'TRANS'!$A:$A,0)),IFERROR(INDEX('TRANS'!$B:$B,MATCH(TRIM(SUBSTITUTE($B527,CHAR(160)," ")),'TRANS'!$D:$D,0)),IFERROR(INDEX('Catalog'!$A:$A,MATCH($B527,'Catalog'!$B:$B,0)),IFERROR(INDEX('Catalog'!$A:$A,MATCH(TRIM(SUBSTITUTE($B527,CHAR(160)," ")),'Catalog'!$C:$C,0)),""))))</f>
        <v>4408134</v>
      </c>
      <c r="H527" s="8" t="str">
        <f aca="false">IFERROR(INDEX('TRANS'!$C:$C,MATCH($B527,'TRANS'!$A:$A,0)),IFERROR(INDEX('Catalog'!$B:$B,MATCH($G527,'Catalog'!$A:$A,0)),$B527))</f>
        <v>077A S-M חגורת גב</v>
      </c>
      <c r="I527" s="8" t="str">
        <f aca="false">IF($G527="","Unmatched","Matched")</f>
        <v>Matched</v>
      </c>
    </row>
    <row r="528" customFormat="false" ht="15" hidden="false" customHeight="false" outlineLevel="0" collapsed="false">
      <c r="A528" s="8" t="s">
        <v>572</v>
      </c>
      <c r="B528" s="8" t="s">
        <v>60</v>
      </c>
      <c r="C528" s="19" t="n">
        <v>88</v>
      </c>
      <c r="D528" s="19" t="n">
        <v>7620.26</v>
      </c>
      <c r="E528" s="19" t="n">
        <v>80</v>
      </c>
      <c r="F528" s="19" t="n">
        <v>7200.16</v>
      </c>
      <c r="G528" s="8" t="n">
        <f aca="false">IFERROR(INDEX('TRANS'!$B:$B,MATCH($B528,'TRANS'!$A:$A,0)),IFERROR(INDEX('TRANS'!$B:$B,MATCH(TRIM(SUBSTITUTE($B528,CHAR(160)," ")),'TRANS'!$D:$D,0)),IFERROR(INDEX('Catalog'!$A:$A,MATCH($B528,'Catalog'!$B:$B,0)),IFERROR(INDEX('Catalog'!$A:$A,MATCH(TRIM(SUBSTITUTE($B528,CHAR(160)," ")),'Catalog'!$C:$C,0)),""))))</f>
        <v>4408192</v>
      </c>
      <c r="H528" s="8" t="str">
        <f aca="false">IFERROR(INDEX('TRANS'!$C:$C,MATCH($B528,'TRANS'!$A:$A,0)),IFERROR(INDEX('Catalog'!$B:$B,MATCH($G528,'Catalog'!$A:$A,0)),$B528))</f>
        <v>078 L חגורת גב +סגירה</v>
      </c>
      <c r="I528" s="8" t="str">
        <f aca="false">IF($G528="","Unmatched","Matched")</f>
        <v>Matched</v>
      </c>
    </row>
    <row r="529" customFormat="false" ht="15" hidden="false" customHeight="false" outlineLevel="0" collapsed="false">
      <c r="A529" s="8" t="s">
        <v>572</v>
      </c>
      <c r="B529" s="8" t="s">
        <v>454</v>
      </c>
      <c r="C529" s="19" t="n">
        <v>38</v>
      </c>
      <c r="D529" s="19" t="n">
        <v>3270.12</v>
      </c>
      <c r="E529" s="19" t="n">
        <v>43</v>
      </c>
      <c r="F529" s="19" t="n">
        <v>3870.1</v>
      </c>
      <c r="G529" s="8" t="n">
        <f aca="false">IFERROR(INDEX('TRANS'!$B:$B,MATCH($B529,'TRANS'!$A:$A,0)),IFERROR(INDEX('TRANS'!$B:$B,MATCH(TRIM(SUBSTITUTE($B529,CHAR(160)," ")),'TRANS'!$D:$D,0)),IFERROR(INDEX('Catalog'!$A:$A,MATCH($B529,'Catalog'!$B:$B,0)),IFERROR(INDEX('Catalog'!$A:$A,MATCH(TRIM(SUBSTITUTE($B529,CHAR(160)," ")),'Catalog'!$C:$C,0)),""))))</f>
        <v>4408190</v>
      </c>
      <c r="H529" s="8" t="str">
        <f aca="false">IFERROR(INDEX('TRANS'!$C:$C,MATCH($B529,'TRANS'!$A:$A,0)),IFERROR(INDEX('Catalog'!$B:$B,MATCH($G529,'Catalog'!$A:$A,0)),$B529))</f>
        <v>M078 חגורת גב +סגירה כפולה</v>
      </c>
      <c r="I529" s="8" t="str">
        <f aca="false">IF($G529="","Unmatched","Matched")</f>
        <v>Matched</v>
      </c>
    </row>
    <row r="530" customFormat="false" ht="15" hidden="false" customHeight="false" outlineLevel="0" collapsed="false">
      <c r="A530" s="8" t="s">
        <v>572</v>
      </c>
      <c r="B530" s="8" t="s">
        <v>61</v>
      </c>
      <c r="C530" s="19" t="n">
        <v>70</v>
      </c>
      <c r="D530" s="19" t="n">
        <v>5925.2</v>
      </c>
      <c r="E530" s="19" t="n">
        <v>62</v>
      </c>
      <c r="F530" s="19" t="n">
        <v>5580.01</v>
      </c>
      <c r="G530" s="8" t="n">
        <f aca="false">IFERROR(INDEX('TRANS'!$B:$B,MATCH($B530,'TRANS'!$A:$A,0)),IFERROR(INDEX('TRANS'!$B:$B,MATCH(TRIM(SUBSTITUTE($B530,CHAR(160)," ")),'TRANS'!$D:$D,0)),IFERROR(INDEX('Catalog'!$A:$A,MATCH($B530,'Catalog'!$B:$B,0)),IFERROR(INDEX('Catalog'!$A:$A,MATCH(TRIM(SUBSTITUTE($B530,CHAR(160)," ")),'Catalog'!$C:$C,0)),""))))</f>
        <v>4408218</v>
      </c>
      <c r="H530" s="8" t="str">
        <f aca="false">IFERROR(INDEX('TRANS'!$C:$C,MATCH($B530,'TRANS'!$A:$A,0)),IFERROR(INDEX('Catalog'!$B:$B,MATCH($G530,'Catalog'!$A:$A,0)),$B530))</f>
        <v>078XL חגורת גב +סגירה כפולה</v>
      </c>
      <c r="I530" s="8" t="str">
        <f aca="false">IF($G530="","Unmatched","Matched")</f>
        <v>Matched</v>
      </c>
    </row>
    <row r="531" customFormat="false" ht="15" hidden="false" customHeight="false" outlineLevel="0" collapsed="false">
      <c r="A531" s="8" t="s">
        <v>572</v>
      </c>
      <c r="B531" s="8" t="s">
        <v>456</v>
      </c>
      <c r="C531" s="19" t="n">
        <v>37</v>
      </c>
      <c r="D531" s="19" t="n">
        <v>3240.13</v>
      </c>
      <c r="E531" s="19" t="n">
        <v>24</v>
      </c>
      <c r="F531" s="19" t="n">
        <v>2160.02</v>
      </c>
      <c r="G531" s="8" t="n">
        <f aca="false">IFERROR(INDEX('TRANS'!$B:$B,MATCH($B531,'TRANS'!$A:$A,0)),IFERROR(INDEX('TRANS'!$B:$B,MATCH(TRIM(SUBSTITUTE($B531,CHAR(160)," ")),'TRANS'!$D:$D,0)),IFERROR(INDEX('Catalog'!$A:$A,MATCH($B531,'Catalog'!$B:$B,0)),IFERROR(INDEX('Catalog'!$A:$A,MATCH(TRIM(SUBSTITUTE($B531,CHAR(160)," ")),'Catalog'!$C:$C,0)),""))))</f>
        <v>4408265</v>
      </c>
      <c r="H531" s="8" t="str">
        <f aca="false">IFERROR(INDEX('TRANS'!$C:$C,MATCH($B531,'TRANS'!$A:$A,0)),IFERROR(INDEX('Catalog'!$B:$B,MATCH($G531,'Catalog'!$A:$A,0)),$B531))</f>
        <v>078XXL חגורת גב +סגירה כפולה</v>
      </c>
      <c r="I531" s="8" t="str">
        <f aca="false">IF($G531="","Unmatched","Matched")</f>
        <v>Matched</v>
      </c>
    </row>
    <row r="532" customFormat="false" ht="15" hidden="false" customHeight="false" outlineLevel="0" collapsed="false">
      <c r="A532" s="8" t="s">
        <v>572</v>
      </c>
      <c r="B532" s="8" t="s">
        <v>335</v>
      </c>
      <c r="C532" s="19" t="n">
        <v>29</v>
      </c>
      <c r="D532" s="19" t="n">
        <v>2936.67</v>
      </c>
      <c r="E532" s="19" t="n">
        <v>14</v>
      </c>
      <c r="F532" s="19" t="n">
        <v>1886.27</v>
      </c>
      <c r="G532" s="8" t="n">
        <f aca="false">IFERROR(INDEX('TRANS'!$B:$B,MATCH($B532,'TRANS'!$A:$A,0)),IFERROR(INDEX('TRANS'!$B:$B,MATCH(TRIM(SUBSTITUTE($B532,CHAR(160)," ")),'TRANS'!$D:$D,0)),IFERROR(INDEX('Catalog'!$A:$A,MATCH($B532,'Catalog'!$B:$B,0)),IFERROR(INDEX('Catalog'!$A:$A,MATCH(TRIM(SUBSTITUTE($B532,CHAR(160)," ")),'Catalog'!$C:$C,0)),""))))</f>
        <v>4408221</v>
      </c>
      <c r="H532" s="8" t="str">
        <f aca="false">IFERROR(INDEX('TRANS'!$C:$C,MATCH($B532,'TRANS'!$A:$A,0)),IFERROR(INDEX('Catalog'!$B:$B,MATCH($G532,'Catalog'!$A:$A,0)),$B532))</f>
        <v>078G-L חגורת גב אפורה</v>
      </c>
      <c r="I532" s="8" t="str">
        <f aca="false">IF($G532="","Unmatched","Matched")</f>
        <v>Matched</v>
      </c>
    </row>
    <row r="533" customFormat="false" ht="15" hidden="false" customHeight="false" outlineLevel="0" collapsed="false">
      <c r="A533" s="8" t="s">
        <v>572</v>
      </c>
      <c r="B533" s="8" t="s">
        <v>62</v>
      </c>
      <c r="C533" s="19" t="n">
        <v>17</v>
      </c>
      <c r="D533" s="19" t="n">
        <v>1780.65</v>
      </c>
      <c r="E533" s="19" t="n">
        <v>-3</v>
      </c>
      <c r="F533" s="19" t="n">
        <v>-43.5100000000001</v>
      </c>
      <c r="G533" s="8" t="n">
        <f aca="false">IFERROR(INDEX('TRANS'!$B:$B,MATCH($B533,'TRANS'!$A:$A,0)),IFERROR(INDEX('TRANS'!$B:$B,MATCH(TRIM(SUBSTITUTE($B533,CHAR(160)," ")),'TRANS'!$D:$D,0)),IFERROR(INDEX('Catalog'!$A:$A,MATCH($B533,'Catalog'!$B:$B,0)),IFERROR(INDEX('Catalog'!$A:$A,MATCH(TRIM(SUBSTITUTE($B533,CHAR(160)," ")),'Catalog'!$C:$C,0)),""))))</f>
        <v>4408220</v>
      </c>
      <c r="H533" s="8" t="str">
        <f aca="false">IFERROR(INDEX('TRANS'!$C:$C,MATCH($B533,'TRANS'!$A:$A,0)),IFERROR(INDEX('Catalog'!$B:$B,MATCH($G533,'Catalog'!$A:$A,0)),$B533))</f>
        <v>078G-M חגורת גב אפורה</v>
      </c>
      <c r="I533" s="8" t="str">
        <f aca="false">IF($G533="","Unmatched","Matched")</f>
        <v>Matched</v>
      </c>
    </row>
    <row r="534" customFormat="false" ht="15" hidden="false" customHeight="false" outlineLevel="0" collapsed="false">
      <c r="A534" s="8" t="s">
        <v>572</v>
      </c>
      <c r="B534" s="8" t="s">
        <v>336</v>
      </c>
      <c r="C534" s="19" t="n">
        <v>59</v>
      </c>
      <c r="D534" s="19" t="n">
        <v>5869.12</v>
      </c>
      <c r="E534" s="19" t="n">
        <v>7</v>
      </c>
      <c r="F534" s="19" t="n">
        <v>943.1</v>
      </c>
      <c r="G534" s="8" t="n">
        <f aca="false">IFERROR(INDEX('TRANS'!$B:$B,MATCH($B534,'TRANS'!$A:$A,0)),IFERROR(INDEX('TRANS'!$B:$B,MATCH(TRIM(SUBSTITUTE($B534,CHAR(160)," ")),'TRANS'!$D:$D,0)),IFERROR(INDEX('Catalog'!$A:$A,MATCH($B534,'Catalog'!$B:$B,0)),IFERROR(INDEX('Catalog'!$A:$A,MATCH(TRIM(SUBSTITUTE($B534,CHAR(160)," ")),'Catalog'!$C:$C,0)),""))))</f>
        <v>4408222</v>
      </c>
      <c r="H534" s="8" t="str">
        <f aca="false">IFERROR(INDEX('TRANS'!$C:$C,MATCH($B534,'TRANS'!$A:$A,0)),IFERROR(INDEX('Catalog'!$B:$B,MATCH($G534,'Catalog'!$A:$A,0)),$B534))</f>
        <v>078G-XLחגורת גב אפורה</v>
      </c>
      <c r="I534" s="8" t="str">
        <f aca="false">IF($G534="","Unmatched","Matched")</f>
        <v>Matched</v>
      </c>
    </row>
    <row r="535" customFormat="false" ht="15" hidden="false" customHeight="false" outlineLevel="0" collapsed="false">
      <c r="A535" s="8" t="s">
        <v>572</v>
      </c>
      <c r="B535" s="8" t="s">
        <v>337</v>
      </c>
      <c r="C535" s="19" t="n">
        <v>14</v>
      </c>
      <c r="D535" s="19" t="n">
        <v>1409.75</v>
      </c>
      <c r="E535" s="19" t="n">
        <v>4</v>
      </c>
      <c r="F535" s="19" t="n">
        <v>468.54</v>
      </c>
      <c r="G535" s="8" t="n">
        <f aca="false">IFERROR(INDEX('TRANS'!$B:$B,MATCH($B535,'TRANS'!$A:$A,0)),IFERROR(INDEX('TRANS'!$B:$B,MATCH(TRIM(SUBSTITUTE($B535,CHAR(160)," ")),'TRANS'!$D:$D,0)),IFERROR(INDEX('Catalog'!$A:$A,MATCH($B535,'Catalog'!$B:$B,0)),IFERROR(INDEX('Catalog'!$A:$A,MATCH(TRIM(SUBSTITUTE($B535,CHAR(160)," ")),'Catalog'!$C:$C,0)),""))))</f>
        <v>4408223</v>
      </c>
      <c r="H535" s="8" t="str">
        <f aca="false">IFERROR(INDEX('TRANS'!$C:$C,MATCH($B535,'TRANS'!$A:$A,0)),IFERROR(INDEX('Catalog'!$B:$B,MATCH($G535,'Catalog'!$A:$A,0)),$B535))</f>
        <v>078G-XXLחגורת גב אפורה</v>
      </c>
      <c r="I535" s="8" t="str">
        <f aca="false">IF($G535="","Unmatched","Matched")</f>
        <v>Matched</v>
      </c>
    </row>
    <row r="536" customFormat="false" ht="15" hidden="false" customHeight="false" outlineLevel="0" collapsed="false">
      <c r="A536" s="8" t="s">
        <v>572</v>
      </c>
      <c r="B536" s="8" t="s">
        <v>465</v>
      </c>
      <c r="C536" s="19" t="n">
        <v>20</v>
      </c>
      <c r="D536" s="19" t="n">
        <v>1800.3</v>
      </c>
      <c r="E536" s="19" t="n">
        <v>3</v>
      </c>
      <c r="F536" s="19" t="n">
        <v>270</v>
      </c>
      <c r="G536" s="8" t="n">
        <f aca="false">IFERROR(INDEX('TRANS'!$B:$B,MATCH($B536,'TRANS'!$A:$A,0)),IFERROR(INDEX('TRANS'!$B:$B,MATCH(TRIM(SUBSTITUTE($B536,CHAR(160)," ")),'TRANS'!$D:$D,0)),IFERROR(INDEX('Catalog'!$A:$A,MATCH($B536,'Catalog'!$B:$B,0)),IFERROR(INDEX('Catalog'!$A:$A,MATCH(TRIM(SUBSTITUTE($B536,CHAR(160)," ")),'Catalog'!$C:$C,0)),""))))</f>
        <v>4411026</v>
      </c>
      <c r="H536" s="8" t="str">
        <f aca="false">IFERROR(INDEX('TRANS'!$C:$C,MATCH($B536,'TRANS'!$A:$A,0)),IFERROR(INDEX('Catalog'!$B:$B,MATCH($G536,'Catalog'!$A:$A,0)),$B536))</f>
        <v>213CTSL L שמאל CTS כפפות</v>
      </c>
      <c r="I536" s="8" t="str">
        <f aca="false">IF($G536="","Unmatched","Matched")</f>
        <v>Matched</v>
      </c>
    </row>
    <row r="537" customFormat="false" ht="15" hidden="false" customHeight="false" outlineLevel="0" collapsed="false">
      <c r="A537" s="8" t="s">
        <v>572</v>
      </c>
      <c r="B537" s="8" t="s">
        <v>466</v>
      </c>
      <c r="C537" s="19" t="n">
        <v>23</v>
      </c>
      <c r="D537" s="19" t="n">
        <v>2070.3</v>
      </c>
      <c r="E537" s="19" t="n">
        <v>9</v>
      </c>
      <c r="F537" s="19" t="n">
        <v>810</v>
      </c>
      <c r="G537" s="8" t="n">
        <f aca="false">IFERROR(INDEX('TRANS'!$B:$B,MATCH($B537,'TRANS'!$A:$A,0)),IFERROR(INDEX('TRANS'!$B:$B,MATCH(TRIM(SUBSTITUTE($B537,CHAR(160)," ")),'TRANS'!$D:$D,0)),IFERROR(INDEX('Catalog'!$A:$A,MATCH($B537,'Catalog'!$B:$B,0)),IFERROR(INDEX('Catalog'!$A:$A,MATCH(TRIM(SUBSTITUTE($B537,CHAR(160)," ")),'Catalog'!$C:$C,0)),""))))</f>
        <v>4411027</v>
      </c>
      <c r="H537" s="8" t="str">
        <f aca="false">IFERROR(INDEX('TRANS'!$C:$C,MATCH($B537,'TRANS'!$A:$A,0)),IFERROR(INDEX('Catalog'!$B:$B,MATCH($G537,'Catalog'!$A:$A,0)),$B537))</f>
        <v>213CTSL M שמאל CTS כפפות</v>
      </c>
      <c r="I537" s="8" t="str">
        <f aca="false">IF($G537="","Unmatched","Matched")</f>
        <v>Matched</v>
      </c>
    </row>
    <row r="538" customFormat="false" ht="15" hidden="false" customHeight="false" outlineLevel="0" collapsed="false">
      <c r="A538" s="8" t="s">
        <v>572</v>
      </c>
      <c r="B538" s="8" t="s">
        <v>467</v>
      </c>
      <c r="C538" s="19" t="n">
        <v>15</v>
      </c>
      <c r="D538" s="19" t="n">
        <v>1350.3</v>
      </c>
      <c r="E538" s="19" t="n">
        <v>7</v>
      </c>
      <c r="F538" s="19" t="n">
        <v>630</v>
      </c>
      <c r="G538" s="8" t="n">
        <f aca="false">IFERROR(INDEX('TRANS'!$B:$B,MATCH($B538,'TRANS'!$A:$A,0)),IFERROR(INDEX('TRANS'!$B:$B,MATCH(TRIM(SUBSTITUTE($B538,CHAR(160)," ")),'TRANS'!$D:$D,0)),IFERROR(INDEX('Catalog'!$A:$A,MATCH($B538,'Catalog'!$B:$B,0)),IFERROR(INDEX('Catalog'!$A:$A,MATCH(TRIM(SUBSTITUTE($B538,CHAR(160)," ")),'Catalog'!$C:$C,0)),""))))</f>
        <v>4411028</v>
      </c>
      <c r="H538" s="8" t="str">
        <f aca="false">IFERROR(INDEX('TRANS'!$C:$C,MATCH($B538,'TRANS'!$A:$A,0)),IFERROR(INDEX('Catalog'!$B:$B,MATCH($G538,'Catalog'!$A:$A,0)),$B538))</f>
        <v>213CTSL S שמאל CTS כפפות</v>
      </c>
      <c r="I538" s="8" t="str">
        <f aca="false">IF($G538="","Unmatched","Matched")</f>
        <v>Matched</v>
      </c>
    </row>
    <row r="539" customFormat="false" ht="15" hidden="false" customHeight="false" outlineLevel="0" collapsed="false">
      <c r="A539" s="8" t="s">
        <v>572</v>
      </c>
      <c r="B539" s="8" t="s">
        <v>468</v>
      </c>
      <c r="C539" s="19" t="n">
        <v>22</v>
      </c>
      <c r="D539" s="19" t="n">
        <v>1980.3</v>
      </c>
      <c r="E539" s="19" t="n">
        <v>4</v>
      </c>
      <c r="F539" s="19" t="n">
        <v>360</v>
      </c>
      <c r="G539" s="8" t="n">
        <f aca="false">IFERROR(INDEX('TRANS'!$B:$B,MATCH($B539,'TRANS'!$A:$A,0)),IFERROR(INDEX('TRANS'!$B:$B,MATCH(TRIM(SUBSTITUTE($B539,CHAR(160)," ")),'TRANS'!$D:$D,0)),IFERROR(INDEX('Catalog'!$A:$A,MATCH($B539,'Catalog'!$B:$B,0)),IFERROR(INDEX('Catalog'!$A:$A,MATCH(TRIM(SUBSTITUTE($B539,CHAR(160)," ")),'Catalog'!$C:$C,0)),""))))</f>
        <v>4411029</v>
      </c>
      <c r="H539" s="8" t="str">
        <f aca="false">IFERROR(INDEX('TRANS'!$C:$C,MATCH($B539,'TRANS'!$A:$A,0)),IFERROR(INDEX('Catalog'!$B:$B,MATCH($G539,'Catalog'!$A:$A,0)),$B539))</f>
        <v>213CTSR L ימין CTS כפפות</v>
      </c>
      <c r="I539" s="8" t="str">
        <f aca="false">IF($G539="","Unmatched","Matched")</f>
        <v>Matched</v>
      </c>
    </row>
    <row r="540" customFormat="false" ht="15" hidden="false" customHeight="false" outlineLevel="0" collapsed="false">
      <c r="A540" s="8" t="s">
        <v>572</v>
      </c>
      <c r="B540" s="8" t="s">
        <v>469</v>
      </c>
      <c r="C540" s="19" t="n">
        <v>24</v>
      </c>
      <c r="D540" s="19" t="n">
        <v>2160.3</v>
      </c>
      <c r="E540" s="19" t="n">
        <v>9</v>
      </c>
      <c r="F540" s="19" t="n">
        <v>810</v>
      </c>
      <c r="G540" s="8" t="n">
        <f aca="false">IFERROR(INDEX('TRANS'!$B:$B,MATCH($B540,'TRANS'!$A:$A,0)),IFERROR(INDEX('TRANS'!$B:$B,MATCH(TRIM(SUBSTITUTE($B540,CHAR(160)," ")),'TRANS'!$D:$D,0)),IFERROR(INDEX('Catalog'!$A:$A,MATCH($B540,'Catalog'!$B:$B,0)),IFERROR(INDEX('Catalog'!$A:$A,MATCH(TRIM(SUBSTITUTE($B540,CHAR(160)," ")),'Catalog'!$C:$C,0)),""))))</f>
        <v>4411030</v>
      </c>
      <c r="H540" s="8" t="str">
        <f aca="false">IFERROR(INDEX('TRANS'!$C:$C,MATCH($B540,'TRANS'!$A:$A,0)),IFERROR(INDEX('Catalog'!$B:$B,MATCH($G540,'Catalog'!$A:$A,0)),$B540))</f>
        <v>213CTSR M ימין CTS כפפות</v>
      </c>
      <c r="I540" s="8" t="str">
        <f aca="false">IF($G540="","Unmatched","Matched")</f>
        <v>Matched</v>
      </c>
    </row>
    <row r="541" customFormat="false" ht="15" hidden="false" customHeight="false" outlineLevel="0" collapsed="false">
      <c r="A541" s="8" t="s">
        <v>572</v>
      </c>
      <c r="B541" s="8" t="s">
        <v>470</v>
      </c>
      <c r="C541" s="19" t="n">
        <v>17</v>
      </c>
      <c r="D541" s="19" t="n">
        <v>1530.3</v>
      </c>
      <c r="E541" s="19" t="n">
        <v>12</v>
      </c>
      <c r="F541" s="19" t="n">
        <v>1080.01</v>
      </c>
      <c r="G541" s="8" t="n">
        <f aca="false">IFERROR(INDEX('TRANS'!$B:$B,MATCH($B541,'TRANS'!$A:$A,0)),IFERROR(INDEX('TRANS'!$B:$B,MATCH(TRIM(SUBSTITUTE($B541,CHAR(160)," ")),'TRANS'!$D:$D,0)),IFERROR(INDEX('Catalog'!$A:$A,MATCH($B541,'Catalog'!$B:$B,0)),IFERROR(INDEX('Catalog'!$A:$A,MATCH(TRIM(SUBSTITUTE($B541,CHAR(160)," ")),'Catalog'!$C:$C,0)),""))))</f>
        <v>4411031</v>
      </c>
      <c r="H541" s="8" t="str">
        <f aca="false">IFERROR(INDEX('TRANS'!$C:$C,MATCH($B541,'TRANS'!$A:$A,0)),IFERROR(INDEX('Catalog'!$B:$B,MATCH($G541,'Catalog'!$A:$A,0)),$B541))</f>
        <v>213CTS  S ימין CTS כפפות</v>
      </c>
      <c r="I541" s="8" t="str">
        <f aca="false">IF($G541="","Unmatched","Matched")</f>
        <v>Matched</v>
      </c>
    </row>
    <row r="542" customFormat="false" ht="15" hidden="false" customHeight="false" outlineLevel="0" collapsed="false">
      <c r="A542" s="8" t="s">
        <v>572</v>
      </c>
      <c r="B542" s="8" t="s">
        <v>99</v>
      </c>
      <c r="C542" s="19" t="n">
        <v>20</v>
      </c>
      <c r="D542" s="19" t="n">
        <v>600.13</v>
      </c>
      <c r="E542" s="19" t="n">
        <v>27</v>
      </c>
      <c r="F542" s="19" t="n">
        <v>821.34</v>
      </c>
      <c r="G542" s="8" t="n">
        <f aca="false">IFERROR(INDEX('TRANS'!$B:$B,MATCH($B542,'TRANS'!$A:$A,0)),IFERROR(INDEX('TRANS'!$B:$B,MATCH(TRIM(SUBSTITUTE($B542,CHAR(160)," ")),'TRANS'!$D:$D,0)),IFERROR(INDEX('Catalog'!$A:$A,MATCH($B542,'Catalog'!$B:$B,0)),IFERROR(INDEX('Catalog'!$A:$A,MATCH(TRIM(SUBSTITUTE($B542,CHAR(160)," ")),'Catalog'!$C:$C,0)),""))))</f>
        <v>4415029</v>
      </c>
      <c r="H542" s="8" t="str">
        <f aca="false">IFERROR(INDEX('TRANS'!$C:$C,MATCH($B542,'TRANS'!$A:$A,0)),IFERROR(INDEX('Catalog'!$B:$B,MATCH($G542,'Catalog'!$A:$A,0)),$B542))</f>
        <v>סד קיבוע לאצבע הדק</v>
      </c>
      <c r="I542" s="8" t="str">
        <f aca="false">IF($G542="","Unmatched","Matched")</f>
        <v>Matched</v>
      </c>
    </row>
    <row r="543" customFormat="false" ht="15" hidden="false" customHeight="false" outlineLevel="0" collapsed="false">
      <c r="A543" s="8" t="s">
        <v>572</v>
      </c>
      <c r="B543" s="8" t="s">
        <v>108</v>
      </c>
      <c r="C543" s="19" t="n">
        <v>62</v>
      </c>
      <c r="D543" s="19" t="n">
        <v>3632.56</v>
      </c>
      <c r="E543" s="19" t="n">
        <v>52</v>
      </c>
      <c r="F543" s="19" t="n">
        <v>3137.43</v>
      </c>
      <c r="G543" s="8" t="n">
        <f aca="false">IFERROR(INDEX('TRANS'!$B:$B,MATCH($B543,'TRANS'!$A:$A,0)),IFERROR(INDEX('TRANS'!$B:$B,MATCH(TRIM(SUBSTITUTE($B543,CHAR(160)," ")),'TRANS'!$D:$D,0)),IFERROR(INDEX('Catalog'!$A:$A,MATCH($B543,'Catalog'!$B:$B,0)),IFERROR(INDEX('Catalog'!$A:$A,MATCH(TRIM(SUBSTITUTE($B543,CHAR(160)," ")),'Catalog'!$C:$C,0)),""))))</f>
        <v>4415158</v>
      </c>
      <c r="H543" s="8" t="str">
        <f aca="false">IFERROR(INDEX('TRANS'!$C:$C,MATCH($B543,'TRANS'!$A:$A,0)),IFERROR(INDEX('Catalog'!$B:$B,MATCH($G543,'Catalog'!$A:$A,0)),$B543))</f>
        <v>266 סד ליד דו צדדי</v>
      </c>
      <c r="I543" s="8" t="str">
        <f aca="false">IF($G543="","Unmatched","Matched")</f>
        <v>Matched</v>
      </c>
    </row>
    <row r="544" customFormat="false" ht="15" hidden="false" customHeight="false" outlineLevel="0" collapsed="false">
      <c r="A544" s="8" t="s">
        <v>572</v>
      </c>
      <c r="B544" s="8" t="s">
        <v>564</v>
      </c>
      <c r="C544" s="19" t="n">
        <v>26</v>
      </c>
      <c r="D544" s="19" t="n">
        <v>1170.25</v>
      </c>
      <c r="E544" s="19" t="n">
        <v>14</v>
      </c>
      <c r="F544" s="19" t="n">
        <v>649.25</v>
      </c>
      <c r="G544" s="8" t="n">
        <f aca="false">IFERROR(INDEX('TRANS'!$B:$B,MATCH($B544,'TRANS'!$A:$A,0)),IFERROR(INDEX('TRANS'!$B:$B,MATCH(TRIM(SUBSTITUTE($B544,CHAR(160)," ")),'TRANS'!$D:$D,0)),IFERROR(INDEX('Catalog'!$A:$A,MATCH($B544,'Catalog'!$B:$B,0)),IFERROR(INDEX('Catalog'!$A:$A,MATCH(TRIM(SUBSTITUTE($B544,CHAR(160)," ")),'Catalog'!$C:$C,0)),""))))</f>
        <v>4413043</v>
      </c>
      <c r="H544" s="8" t="str">
        <f aca="false">IFERROR(INDEX('TRANS'!$C:$C,MATCH($B544,'TRANS'!$A:$A,0)),IFERROR(INDEX('Catalog'!$B:$B,MATCH($G544,'Catalog'!$A:$A,0)),$B544))</f>
        <v>34  L מגן קרסול עקב סגור</v>
      </c>
      <c r="I544" s="8" t="str">
        <f aca="false">IF($G544="","Unmatched","Matched")</f>
        <v>Matched</v>
      </c>
    </row>
    <row r="545" customFormat="false" ht="15" hidden="false" customHeight="false" outlineLevel="0" collapsed="false">
      <c r="A545" s="8" t="s">
        <v>572</v>
      </c>
      <c r="B545" s="8" t="s">
        <v>575</v>
      </c>
      <c r="C545" s="19" t="n">
        <v>20</v>
      </c>
      <c r="D545" s="19" t="n">
        <v>900.62</v>
      </c>
      <c r="E545" s="19" t="n">
        <v>12</v>
      </c>
      <c r="F545" s="19" t="n">
        <v>561.87</v>
      </c>
      <c r="G545" s="8" t="n">
        <f aca="false">IFERROR(INDEX('TRANS'!$B:$B,MATCH($B545,'TRANS'!$A:$A,0)),IFERROR(INDEX('TRANS'!$B:$B,MATCH(TRIM(SUBSTITUTE($B545,CHAR(160)," ")),'TRANS'!$D:$D,0)),IFERROR(INDEX('Catalog'!$A:$A,MATCH($B545,'Catalog'!$B:$B,0)),IFERROR(INDEX('Catalog'!$A:$A,MATCH(TRIM(SUBSTITUTE($B545,CHAR(160)," ")),'Catalog'!$C:$C,0)),""))))</f>
        <v>4413041</v>
      </c>
      <c r="H545" s="8" t="str">
        <f aca="false">IFERROR(INDEX('TRANS'!$C:$C,MATCH($B545,'TRANS'!$A:$A,0)),IFERROR(INDEX('Catalog'!$B:$B,MATCH($G545,'Catalog'!$A:$A,0)),$B545))</f>
        <v>34  M מגן קרסול עקב סגור</v>
      </c>
      <c r="I545" s="8" t="str">
        <f aca="false">IF($G545="","Unmatched","Matched")</f>
        <v>Matched</v>
      </c>
    </row>
    <row r="546" customFormat="false" ht="15" hidden="false" customHeight="false" outlineLevel="0" collapsed="false">
      <c r="A546" s="8" t="s">
        <v>572</v>
      </c>
      <c r="B546" s="8" t="s">
        <v>576</v>
      </c>
      <c r="C546" s="19" t="n">
        <v>17</v>
      </c>
      <c r="D546" s="19" t="n">
        <v>778.65</v>
      </c>
      <c r="E546" s="19" t="n">
        <v>5</v>
      </c>
      <c r="F546" s="19" t="n">
        <v>227.86</v>
      </c>
      <c r="G546" s="8" t="n">
        <f aca="false">IFERROR(INDEX('TRANS'!$B:$B,MATCH($B546,'TRANS'!$A:$A,0)),IFERROR(INDEX('TRANS'!$B:$B,MATCH(TRIM(SUBSTITUTE($B546,CHAR(160)," ")),'TRANS'!$D:$D,0)),IFERROR(INDEX('Catalog'!$A:$A,MATCH($B546,'Catalog'!$B:$B,0)),IFERROR(INDEX('Catalog'!$A:$A,MATCH(TRIM(SUBSTITUTE($B546,CHAR(160)," ")),'Catalog'!$C:$C,0)),""))))</f>
        <v>4413044</v>
      </c>
      <c r="H546" s="8" t="str">
        <f aca="false">IFERROR(INDEX('TRANS'!$C:$C,MATCH($B546,'TRANS'!$A:$A,0)),IFERROR(INDEX('Catalog'!$B:$B,MATCH($G546,'Catalog'!$A:$A,0)),$B546))</f>
        <v>34 XL מגן קרסול עקב סגור</v>
      </c>
      <c r="I546" s="8" t="str">
        <f aca="false">IF($G546="","Unmatched","Matched")</f>
        <v>Matched</v>
      </c>
    </row>
    <row r="547" customFormat="false" ht="15" hidden="false" customHeight="false" outlineLevel="0" collapsed="false">
      <c r="A547" s="8" t="s">
        <v>572</v>
      </c>
      <c r="B547" s="8" t="s">
        <v>156</v>
      </c>
      <c r="C547" s="19" t="n">
        <v>193</v>
      </c>
      <c r="D547" s="19" t="n">
        <v>3544.33</v>
      </c>
      <c r="E547" s="19" t="n">
        <v>214</v>
      </c>
      <c r="F547" s="19" t="n">
        <v>3965.46</v>
      </c>
      <c r="G547" s="8" t="n">
        <f aca="false">IFERROR(INDEX('TRANS'!$B:$B,MATCH($B547,'TRANS'!$A:$A,0)),IFERROR(INDEX('TRANS'!$B:$B,MATCH(TRIM(SUBSTITUTE($B547,CHAR(160)," ")),'TRANS'!$D:$D,0)),IFERROR(INDEX('Catalog'!$A:$A,MATCH($B547,'Catalog'!$B:$B,0)),IFERROR(INDEX('Catalog'!$A:$A,MATCH(TRIM(SUBSTITUTE($B547,CHAR(160)," ")),'Catalog'!$C:$C,0)),""))))</f>
        <v>4421000</v>
      </c>
      <c r="H547" s="8" t="str">
        <f aca="false">IFERROR(INDEX('TRANS'!$C:$C,MATCH($B547,'TRANS'!$A:$A,0)),IFERROR(INDEX('Catalog'!$B:$B,MATCH($G547,'Catalog'!$A:$A,0)),$B547))</f>
        <v>3655 שרוול מסיליקון לאצבע</v>
      </c>
      <c r="I547" s="8" t="str">
        <f aca="false">IF($G547="","Unmatched","Matched")</f>
        <v>Matched</v>
      </c>
    </row>
    <row r="548" customFormat="false" ht="15" hidden="false" customHeight="false" outlineLevel="0" collapsed="false">
      <c r="A548" s="8" t="s">
        <v>572</v>
      </c>
      <c r="B548" s="8" t="s">
        <v>187</v>
      </c>
      <c r="C548" s="19" t="n">
        <v>109</v>
      </c>
      <c r="D548" s="19" t="n">
        <v>2569.68</v>
      </c>
      <c r="E548" s="19" t="n">
        <v>57</v>
      </c>
      <c r="F548" s="19" t="n">
        <v>1124.8</v>
      </c>
      <c r="G548" s="8" t="n">
        <f aca="false">IFERROR(INDEX('TRANS'!$B:$B,MATCH($B548,'TRANS'!$A:$A,0)),IFERROR(INDEX('TRANS'!$B:$B,MATCH(TRIM(SUBSTITUTE($B548,CHAR(160)," ")),'TRANS'!$D:$D,0)),IFERROR(INDEX('Catalog'!$A:$A,MATCH($B548,'Catalog'!$B:$B,0)),IFERROR(INDEX('Catalog'!$A:$A,MATCH(TRIM(SUBSTITUTE($B548,CHAR(160)," ")),'Catalog'!$C:$C,0)),""))))</f>
        <v>4403017</v>
      </c>
      <c r="H548" s="8" t="str">
        <f aca="false">IFERROR(INDEX('TRANS'!$C:$C,MATCH($B548,'TRANS'!$A:$A,0)),IFERROR(INDEX('Catalog'!$B:$B,MATCH($G548,'Catalog'!$A:$A,0)),$B548))</f>
        <v>394B גרב.כסף לסכרתים שחור35-38</v>
      </c>
      <c r="I548" s="8" t="str">
        <f aca="false">IF($G548="","Unmatched","Matched")</f>
        <v>Matched</v>
      </c>
    </row>
    <row r="549" customFormat="false" ht="15" hidden="false" customHeight="false" outlineLevel="0" collapsed="false">
      <c r="A549" s="8" t="s">
        <v>572</v>
      </c>
      <c r="B549" s="8" t="s">
        <v>188</v>
      </c>
      <c r="C549" s="19" t="n">
        <v>326</v>
      </c>
      <c r="D549" s="19" t="n">
        <v>7739.01</v>
      </c>
      <c r="E549" s="19" t="n">
        <v>7</v>
      </c>
      <c r="F549" s="19" t="n">
        <v>174.98</v>
      </c>
      <c r="G549" s="8" t="n">
        <f aca="false">IFERROR(INDEX('TRANS'!$B:$B,MATCH($B549,'TRANS'!$A:$A,0)),IFERROR(INDEX('TRANS'!$B:$B,MATCH(TRIM(SUBSTITUTE($B549,CHAR(160)," ")),'TRANS'!$D:$D,0)),IFERROR(INDEX('Catalog'!$A:$A,MATCH($B549,'Catalog'!$B:$B,0)),IFERROR(INDEX('Catalog'!$A:$A,MATCH(TRIM(SUBSTITUTE($B549,CHAR(160)," ")),'Catalog'!$C:$C,0)),""))))</f>
        <v>4403018</v>
      </c>
      <c r="H549" s="8" t="str">
        <f aca="false">IFERROR(INDEX('TRANS'!$C:$C,MATCH($B549,'TRANS'!$A:$A,0)),IFERROR(INDEX('Catalog'!$B:$B,MATCH($G549,'Catalog'!$A:$A,0)),$B549))</f>
        <v>394B גרב.כסף לסכרתים שחור39-42</v>
      </c>
      <c r="I549" s="8" t="str">
        <f aca="false">IF($G549="","Unmatched","Matched")</f>
        <v>Matched</v>
      </c>
    </row>
    <row r="550" customFormat="false" ht="15" hidden="false" customHeight="false" outlineLevel="0" collapsed="false">
      <c r="A550" s="8" t="s">
        <v>572</v>
      </c>
      <c r="B550" s="8" t="s">
        <v>189</v>
      </c>
      <c r="C550" s="19" t="n">
        <v>374</v>
      </c>
      <c r="D550" s="19" t="n">
        <v>8728.94</v>
      </c>
      <c r="E550" s="19" t="n">
        <v>54</v>
      </c>
      <c r="F550" s="19" t="n">
        <v>1349.68</v>
      </c>
      <c r="G550" s="8" t="n">
        <f aca="false">IFERROR(INDEX('TRANS'!$B:$B,MATCH($B550,'TRANS'!$A:$A,0)),IFERROR(INDEX('TRANS'!$B:$B,MATCH(TRIM(SUBSTITUTE($B550,CHAR(160)," ")),'TRANS'!$D:$D,0)),IFERROR(INDEX('Catalog'!$A:$A,MATCH($B550,'Catalog'!$B:$B,0)),IFERROR(INDEX('Catalog'!$A:$A,MATCH(TRIM(SUBSTITUTE($B550,CHAR(160)," ")),'Catalog'!$C:$C,0)),""))))</f>
        <v>4403019</v>
      </c>
      <c r="H550" s="8" t="str">
        <f aca="false">IFERROR(INDEX('TRANS'!$C:$C,MATCH($B550,'TRANS'!$A:$A,0)),IFERROR(INDEX('Catalog'!$B:$B,MATCH($G550,'Catalog'!$A:$A,0)),$B550))</f>
        <v>394B גרב.כסף לסכרתים שחור43-46</v>
      </c>
      <c r="I550" s="8" t="str">
        <f aca="false">IF($G550="","Unmatched","Matched")</f>
        <v>Matched</v>
      </c>
    </row>
    <row r="551" customFormat="false" ht="15" hidden="false" customHeight="false" outlineLevel="0" collapsed="false">
      <c r="A551" s="8" t="s">
        <v>572</v>
      </c>
      <c r="B551" s="8" t="s">
        <v>195</v>
      </c>
      <c r="C551" s="19" t="n">
        <v>0</v>
      </c>
      <c r="D551" s="19" t="n">
        <v>0</v>
      </c>
      <c r="E551" s="19" t="n">
        <v>171</v>
      </c>
      <c r="F551" s="19" t="n">
        <v>4947.36</v>
      </c>
      <c r="G551" s="8" t="n">
        <f aca="false">IFERROR(INDEX('TRANS'!$B:$B,MATCH($B551,'TRANS'!$A:$A,0)),IFERROR(INDEX('TRANS'!$B:$B,MATCH(TRIM(SUBSTITUTE($B551,CHAR(160)," ")),'TRANS'!$D:$D,0)),IFERROR(INDEX('Catalog'!$A:$A,MATCH($B551,'Catalog'!$B:$B,0)),IFERROR(INDEX('Catalog'!$A:$A,MATCH(TRIM(SUBSTITUTE($B551,CHAR(160)," ")),'Catalog'!$C:$C,0)),""))))</f>
        <v>4403044</v>
      </c>
      <c r="H551" s="8" t="str">
        <f aca="false">IFERROR(INDEX('TRANS'!$C:$C,MATCH($B551,'TRANS'!$A:$A,0)),IFERROR(INDEX('Catalog'!$B:$B,MATCH($G551,'Catalog'!$A:$A,0)),$B551))</f>
        <v>395B גרבי קיץ אנטי בקטריא39-42</v>
      </c>
      <c r="I551" s="8" t="str">
        <f aca="false">IF($G551="","Unmatched","Matched")</f>
        <v>Matched</v>
      </c>
    </row>
    <row r="552" customFormat="false" ht="15" hidden="false" customHeight="false" outlineLevel="0" collapsed="false">
      <c r="A552" s="8" t="s">
        <v>572</v>
      </c>
      <c r="B552" s="8" t="s">
        <v>196</v>
      </c>
      <c r="C552" s="19" t="n">
        <v>0</v>
      </c>
      <c r="D552" s="19" t="n">
        <v>0</v>
      </c>
      <c r="E552" s="19" t="n">
        <v>237</v>
      </c>
      <c r="F552" s="19" t="n">
        <v>6903.62</v>
      </c>
      <c r="G552" s="8" t="n">
        <f aca="false">IFERROR(INDEX('TRANS'!$B:$B,MATCH($B552,'TRANS'!$A:$A,0)),IFERROR(INDEX('TRANS'!$B:$B,MATCH(TRIM(SUBSTITUTE($B552,CHAR(160)," ")),'TRANS'!$D:$D,0)),IFERROR(INDEX('Catalog'!$A:$A,MATCH($B552,'Catalog'!$B:$B,0)),IFERROR(INDEX('Catalog'!$A:$A,MATCH(TRIM(SUBSTITUTE($B552,CHAR(160)," ")),'Catalog'!$C:$C,0)),""))))</f>
        <v>4403045</v>
      </c>
      <c r="H552" s="8" t="str">
        <f aca="false">IFERROR(INDEX('TRANS'!$C:$C,MATCH($B552,'TRANS'!$A:$A,0)),IFERROR(INDEX('Catalog'!$B:$B,MATCH($G552,'Catalog'!$A:$A,0)),$B552))</f>
        <v>395B גרבי קיץ אנטי בקטריא43-46</v>
      </c>
      <c r="I552" s="8" t="str">
        <f aca="false">IF($G552="","Unmatched","Matched")</f>
        <v>Matched</v>
      </c>
    </row>
    <row r="553" customFormat="false" ht="15" hidden="false" customHeight="false" outlineLevel="0" collapsed="false">
      <c r="A553" s="8" t="s">
        <v>572</v>
      </c>
      <c r="B553" s="8" t="s">
        <v>200</v>
      </c>
      <c r="C553" s="19" t="n">
        <v>1</v>
      </c>
      <c r="D553" s="19" t="n">
        <v>63.23</v>
      </c>
      <c r="E553" s="19" t="n">
        <v>45</v>
      </c>
      <c r="F553" s="19" t="n">
        <v>2815.93</v>
      </c>
      <c r="G553" s="8" t="n">
        <f aca="false">IFERROR(INDEX('TRANS'!$B:$B,MATCH($B553,'TRANS'!$A:$A,0)),IFERROR(INDEX('TRANS'!$B:$B,MATCH(TRIM(SUBSTITUTE($B553,CHAR(160)," ")),'TRANS'!$D:$D,0)),IFERROR(INDEX('Catalog'!$A:$A,MATCH($B553,'Catalog'!$B:$B,0)),IFERROR(INDEX('Catalog'!$A:$A,MATCH(TRIM(SUBSTITUTE($B553,CHAR(160)," ")),'Catalog'!$C:$C,0)),""))))</f>
        <v>4403041</v>
      </c>
      <c r="H553" s="8" t="str">
        <f aca="false">IFERROR(INDEX('TRANS'!$C:$C,MATCH($B553,'TRANS'!$A:$A,0)),IFERROR(INDEX('Catalog'!$B:$B,MATCH($G553,'Catalog'!$A:$A,0)),$B553))</f>
        <v>397A-גרבי טיסה אנטי בקטרי35-38</v>
      </c>
      <c r="I553" s="8" t="str">
        <f aca="false">IF($G553="","Unmatched","Matched")</f>
        <v>Matched</v>
      </c>
    </row>
    <row r="554" customFormat="false" ht="15" hidden="false" customHeight="false" outlineLevel="0" collapsed="false">
      <c r="A554" s="8" t="s">
        <v>572</v>
      </c>
      <c r="B554" s="8" t="s">
        <v>201</v>
      </c>
      <c r="C554" s="19" t="n">
        <v>0</v>
      </c>
      <c r="D554" s="19" t="n">
        <v>0</v>
      </c>
      <c r="E554" s="19" t="n">
        <v>66</v>
      </c>
      <c r="F554" s="19" t="n">
        <v>4126.94</v>
      </c>
      <c r="G554" s="8" t="n">
        <f aca="false">IFERROR(INDEX('TRANS'!$B:$B,MATCH($B554,'TRANS'!$A:$A,0)),IFERROR(INDEX('TRANS'!$B:$B,MATCH(TRIM(SUBSTITUTE($B554,CHAR(160)," ")),'TRANS'!$D:$D,0)),IFERROR(INDEX('Catalog'!$A:$A,MATCH($B554,'Catalog'!$B:$B,0)),IFERROR(INDEX('Catalog'!$A:$A,MATCH(TRIM(SUBSTITUTE($B554,CHAR(160)," ")),'Catalog'!$C:$C,0)),""))))</f>
        <v>4403042</v>
      </c>
      <c r="H554" s="8" t="str">
        <f aca="false">IFERROR(INDEX('TRANS'!$C:$C,MATCH($B554,'TRANS'!$A:$A,0)),IFERROR(INDEX('Catalog'!$B:$B,MATCH($G554,'Catalog'!$A:$A,0)),$B554))</f>
        <v>397A-גרבי טיסה אנטי בקטרי39-42</v>
      </c>
      <c r="I554" s="8" t="str">
        <f aca="false">IF($G554="","Unmatched","Matched")</f>
        <v>Matched</v>
      </c>
    </row>
    <row r="555" customFormat="false" ht="15" hidden="false" customHeight="false" outlineLevel="0" collapsed="false">
      <c r="A555" s="8" t="s">
        <v>572</v>
      </c>
      <c r="B555" s="8" t="s">
        <v>202</v>
      </c>
      <c r="C555" s="19" t="n">
        <v>3</v>
      </c>
      <c r="D555" s="19" t="n">
        <v>189.7</v>
      </c>
      <c r="E555" s="19" t="n">
        <v>48</v>
      </c>
      <c r="F555" s="19" t="n">
        <v>3001.39</v>
      </c>
      <c r="G555" s="8" t="n">
        <f aca="false">IFERROR(INDEX('TRANS'!$B:$B,MATCH($B555,'TRANS'!$A:$A,0)),IFERROR(INDEX('TRANS'!$B:$B,MATCH(TRIM(SUBSTITUTE($B555,CHAR(160)," ")),'TRANS'!$D:$D,0)),IFERROR(INDEX('Catalog'!$A:$A,MATCH($B555,'Catalog'!$B:$B,0)),IFERROR(INDEX('Catalog'!$A:$A,MATCH(TRIM(SUBSTITUTE($B555,CHAR(160)," ")),'Catalog'!$C:$C,0)),""))))</f>
        <v>4403043</v>
      </c>
      <c r="H555" s="8" t="str">
        <f aca="false">IFERROR(INDEX('TRANS'!$C:$C,MATCH($B555,'TRANS'!$A:$A,0)),IFERROR(INDEX('Catalog'!$B:$B,MATCH($G555,'Catalog'!$A:$A,0)),$B555))</f>
        <v>397A-גרבי טיסה אנטי בקטרי43-46</v>
      </c>
      <c r="I555" s="8" t="str">
        <f aca="false">IF($G555="","Unmatched","Matched")</f>
        <v>Matched</v>
      </c>
    </row>
    <row r="556" customFormat="false" ht="15" hidden="false" customHeight="false" outlineLevel="0" collapsed="false">
      <c r="A556" s="8" t="s">
        <v>572</v>
      </c>
      <c r="B556" s="8" t="s">
        <v>208</v>
      </c>
      <c r="C556" s="19" t="n">
        <v>10</v>
      </c>
      <c r="D556" s="19" t="n">
        <v>285.13</v>
      </c>
      <c r="E556" s="19" t="n">
        <v>5</v>
      </c>
      <c r="F556" s="19" t="n">
        <v>154.47</v>
      </c>
      <c r="G556" s="8" t="n">
        <f aca="false">IFERROR(INDEX('TRANS'!$B:$B,MATCH($B556,'TRANS'!$A:$A,0)),IFERROR(INDEX('TRANS'!$B:$B,MATCH(TRIM(SUBSTITUTE($B556,CHAR(160)," ")),'TRANS'!$D:$D,0)),IFERROR(INDEX('Catalog'!$A:$A,MATCH($B556,'Catalog'!$B:$B,0)),IFERROR(INDEX('Catalog'!$A:$A,MATCH(TRIM(SUBSTITUTE($B556,CHAR(160)," ")),'Catalog'!$C:$C,0)),""))))</f>
        <v>4413495</v>
      </c>
      <c r="H556" s="8" t="str">
        <f aca="false">IFERROR(INDEX('TRANS'!$C:$C,MATCH($B556,'TRANS'!$A:$A,0)),IFERROR(INDEX('Catalog'!$B:$B,MATCH($G556,'Catalog'!$A:$A,0)),$B556))</f>
        <v>45B L מגן ברך שחור</v>
      </c>
      <c r="I556" s="8" t="str">
        <f aca="false">IF($G556="","Unmatched","Matched")</f>
        <v>Matched</v>
      </c>
    </row>
    <row r="557" customFormat="false" ht="15" hidden="false" customHeight="false" outlineLevel="0" collapsed="false">
      <c r="A557" s="8" t="s">
        <v>572</v>
      </c>
      <c r="B557" s="8" t="s">
        <v>210</v>
      </c>
      <c r="C557" s="19" t="n">
        <v>44</v>
      </c>
      <c r="D557" s="19" t="n">
        <v>1320.36</v>
      </c>
      <c r="E557" s="19" t="n">
        <v>22</v>
      </c>
      <c r="F557" s="19" t="n">
        <v>608.04</v>
      </c>
      <c r="G557" s="8" t="n">
        <f aca="false">IFERROR(INDEX('TRANS'!$B:$B,MATCH($B557,'TRANS'!$A:$A,0)),IFERROR(INDEX('TRANS'!$B:$B,MATCH(TRIM(SUBSTITUTE($B557,CHAR(160)," ")),'TRANS'!$D:$D,0)),IFERROR(INDEX('Catalog'!$A:$A,MATCH($B557,'Catalog'!$B:$B,0)),IFERROR(INDEX('Catalog'!$A:$A,MATCH(TRIM(SUBSTITUTE($B557,CHAR(160)," ")),'Catalog'!$C:$C,0)),""))))</f>
        <v>4413098</v>
      </c>
      <c r="H557" s="8" t="str">
        <f aca="false">IFERROR(INDEX('TRANS'!$C:$C,MATCH($B557,'TRANS'!$A:$A,0)),IFERROR(INDEX('Catalog'!$B:$B,MATCH($G557,'Catalog'!$A:$A,0)),$B557))</f>
        <v>45C L מגן ברך חום</v>
      </c>
      <c r="I557" s="8" t="str">
        <f aca="false">IF($G557="","Unmatched","Matched")</f>
        <v>Matched</v>
      </c>
    </row>
    <row r="558" customFormat="false" ht="15" hidden="false" customHeight="false" outlineLevel="0" collapsed="false">
      <c r="A558" s="8" t="s">
        <v>572</v>
      </c>
      <c r="B558" s="8" t="s">
        <v>211</v>
      </c>
      <c r="C558" s="19" t="n">
        <v>23</v>
      </c>
      <c r="D558" s="19" t="n">
        <v>630.59</v>
      </c>
      <c r="E558" s="19" t="n">
        <v>20</v>
      </c>
      <c r="F558" s="19" t="n">
        <v>567.12</v>
      </c>
      <c r="G558" s="8" t="n">
        <f aca="false">IFERROR(INDEX('TRANS'!$B:$B,MATCH($B558,'TRANS'!$A:$A,0)),IFERROR(INDEX('TRANS'!$B:$B,MATCH(TRIM(SUBSTITUTE($B558,CHAR(160)," ")),'TRANS'!$D:$D,0)),IFERROR(INDEX('Catalog'!$A:$A,MATCH($B558,'Catalog'!$B:$B,0)),IFERROR(INDEX('Catalog'!$A:$A,MATCH(TRIM(SUBSTITUTE($B558,CHAR(160)," ")),'Catalog'!$C:$C,0)),""))))</f>
        <v>4413099</v>
      </c>
      <c r="H558" s="8" t="str">
        <f aca="false">IFERROR(INDEX('TRANS'!$C:$C,MATCH($B558,'TRANS'!$A:$A,0)),IFERROR(INDEX('Catalog'!$B:$B,MATCH($G558,'Catalog'!$A:$A,0)),$B558))</f>
        <v>45C M מגן ברך חום</v>
      </c>
      <c r="I558" s="8" t="str">
        <f aca="false">IF($G558="","Unmatched","Matched")</f>
        <v>Matched</v>
      </c>
    </row>
    <row r="559" customFormat="false" ht="15" hidden="false" customHeight="false" outlineLevel="0" collapsed="false">
      <c r="A559" s="8" t="s">
        <v>572</v>
      </c>
      <c r="B559" s="8" t="s">
        <v>213</v>
      </c>
      <c r="C559" s="19" t="n">
        <v>46</v>
      </c>
      <c r="D559" s="19" t="n">
        <v>1277.91</v>
      </c>
      <c r="E559" s="19" t="n">
        <v>33</v>
      </c>
      <c r="F559" s="19" t="n">
        <v>913.1</v>
      </c>
      <c r="G559" s="8" t="n">
        <f aca="false">IFERROR(INDEX('TRANS'!$B:$B,MATCH($B559,'TRANS'!$A:$A,0)),IFERROR(INDEX('TRANS'!$B:$B,MATCH(TRIM(SUBSTITUTE($B559,CHAR(160)," ")),'TRANS'!$D:$D,0)),IFERROR(INDEX('Catalog'!$A:$A,MATCH($B559,'Catalog'!$B:$B,0)),IFERROR(INDEX('Catalog'!$A:$A,MATCH(TRIM(SUBSTITUTE($B559,CHAR(160)," ")),'Catalog'!$C:$C,0)),""))))</f>
        <v>4413100</v>
      </c>
      <c r="H559" s="8" t="str">
        <f aca="false">IFERROR(INDEX('TRANS'!$C:$C,MATCH($B559,'TRANS'!$A:$A,0)),IFERROR(INDEX('Catalog'!$B:$B,MATCH($G559,'Catalog'!$A:$A,0)),$B559))</f>
        <v>45C XL מגן ברך חום</v>
      </c>
      <c r="I559" s="8" t="str">
        <f aca="false">IF($G559="","Unmatched","Matched")</f>
        <v>Matched</v>
      </c>
    </row>
    <row r="560" customFormat="false" ht="15" hidden="false" customHeight="false" outlineLevel="0" collapsed="false">
      <c r="A560" s="8" t="s">
        <v>572</v>
      </c>
      <c r="B560" s="8" t="s">
        <v>394</v>
      </c>
      <c r="C560" s="19" t="n">
        <v>30</v>
      </c>
      <c r="D560" s="19" t="n">
        <v>5221.71</v>
      </c>
      <c r="E560" s="19" t="n">
        <v>15</v>
      </c>
      <c r="F560" s="19" t="n">
        <v>2677.97</v>
      </c>
      <c r="G560" s="8" t="n">
        <f aca="false">IFERROR(INDEX('TRANS'!$B:$B,MATCH($B560,'TRANS'!$A:$A,0)),IFERROR(INDEX('TRANS'!$B:$B,MATCH(TRIM(SUBSTITUTE($B560,CHAR(160)," ")),'TRANS'!$D:$D,0)),IFERROR(INDEX('Catalog'!$A:$A,MATCH($B560,'Catalog'!$B:$B,0)),IFERROR(INDEX('Catalog'!$A:$A,MATCH(TRIM(SUBSTITUTE($B560,CHAR(160)," ")),'Catalog'!$C:$C,0)),""))))</f>
        <v>4408071</v>
      </c>
      <c r="H560" s="8" t="str">
        <f aca="false">IFERROR(INDEX('TRANS'!$C:$C,MATCH($B560,'TRANS'!$A:$A,0)),IFERROR(INDEX('Catalog'!$B:$B,MATCH($G560,'Catalog'!$A:$A,0)),$B560))</f>
        <v>59D L חגורת שבר דו צדדי</v>
      </c>
      <c r="I560" s="8" t="str">
        <f aca="false">IF($G560="","Unmatched","Matched")</f>
        <v>Matched</v>
      </c>
    </row>
    <row r="561" customFormat="false" ht="15" hidden="false" customHeight="false" outlineLevel="0" collapsed="false">
      <c r="A561" s="8" t="s">
        <v>572</v>
      </c>
      <c r="B561" s="8" t="s">
        <v>224</v>
      </c>
      <c r="C561" s="19" t="n">
        <v>20</v>
      </c>
      <c r="D561" s="19" t="n">
        <v>2735.76</v>
      </c>
      <c r="E561" s="19" t="n">
        <v>11</v>
      </c>
      <c r="F561" s="19" t="n">
        <v>1515.38</v>
      </c>
      <c r="G561" s="8" t="n">
        <f aca="false">IFERROR(INDEX('TRANS'!$B:$B,MATCH($B561,'TRANS'!$A:$A,0)),IFERROR(INDEX('TRANS'!$B:$B,MATCH(TRIM(SUBSTITUTE($B561,CHAR(160)," ")),'TRANS'!$D:$D,0)),IFERROR(INDEX('Catalog'!$A:$A,MATCH($B561,'Catalog'!$B:$B,0)),IFERROR(INDEX('Catalog'!$A:$A,MATCH(TRIM(SUBSTITUTE($B561,CHAR(160)," ")),'Catalog'!$C:$C,0)),""))))</f>
        <v>4408076</v>
      </c>
      <c r="H561" s="8" t="str">
        <f aca="false">IFERROR(INDEX('TRANS'!$C:$C,MATCH($B561,'TRANS'!$A:$A,0)),IFERROR(INDEX('Catalog'!$B:$B,MATCH($G561,'Catalog'!$A:$A,0)),$B561))</f>
        <v>59L L חגורת שבר לצד שמאל</v>
      </c>
      <c r="I561" s="8" t="str">
        <f aca="false">IF($G561="","Unmatched","Matched")</f>
        <v>Matched</v>
      </c>
    </row>
    <row r="562" customFormat="false" ht="15" hidden="false" customHeight="false" outlineLevel="0" collapsed="false">
      <c r="A562" s="8" t="s">
        <v>572</v>
      </c>
      <c r="B562" s="8" t="s">
        <v>395</v>
      </c>
      <c r="C562" s="19" t="n">
        <v>34</v>
      </c>
      <c r="D562" s="19" t="n">
        <v>4567.3</v>
      </c>
      <c r="E562" s="19" t="n">
        <v>17</v>
      </c>
      <c r="F562" s="19" t="n">
        <v>2330.76</v>
      </c>
      <c r="G562" s="8" t="n">
        <f aca="false">IFERROR(INDEX('TRANS'!$B:$B,MATCH($B562,'TRANS'!$A:$A,0)),IFERROR(INDEX('TRANS'!$B:$B,MATCH(TRIM(SUBSTITUTE($B562,CHAR(160)," ")),'TRANS'!$D:$D,0)),IFERROR(INDEX('Catalog'!$A:$A,MATCH($B562,'Catalog'!$B:$B,0)),IFERROR(INDEX('Catalog'!$A:$A,MATCH(TRIM(SUBSTITUTE($B562,CHAR(160)," ")),'Catalog'!$C:$C,0)),""))))</f>
        <v>4408077</v>
      </c>
      <c r="H562" s="8" t="str">
        <f aca="false">IFERROR(INDEX('TRANS'!$C:$C,MATCH($B562,'TRANS'!$A:$A,0)),IFERROR(INDEX('Catalog'!$B:$B,MATCH($G562,'Catalog'!$A:$A,0)),$B562))</f>
        <v>59L M חגורת שבר לצד שמאל</v>
      </c>
      <c r="I562" s="8" t="str">
        <f aca="false">IF($G562="","Unmatched","Matched")</f>
        <v>Matched</v>
      </c>
    </row>
    <row r="563" customFormat="false" ht="15" hidden="false" customHeight="false" outlineLevel="0" collapsed="false">
      <c r="A563" s="8" t="s">
        <v>572</v>
      </c>
      <c r="B563" s="8" t="s">
        <v>398</v>
      </c>
      <c r="C563" s="19" t="n">
        <v>22</v>
      </c>
      <c r="D563" s="19" t="n">
        <v>2896.91</v>
      </c>
      <c r="E563" s="19" t="n">
        <v>9</v>
      </c>
      <c r="F563" s="19" t="n">
        <v>1309.24</v>
      </c>
      <c r="G563" s="8" t="n">
        <f aca="false">IFERROR(INDEX('TRANS'!$B:$B,MATCH($B563,'TRANS'!$A:$A,0)),IFERROR(INDEX('TRANS'!$B:$B,MATCH(TRIM(SUBSTITUTE($B563,CHAR(160)," ")),'TRANS'!$D:$D,0)),IFERROR(INDEX('Catalog'!$A:$A,MATCH($B563,'Catalog'!$B:$B,0)),IFERROR(INDEX('Catalog'!$A:$A,MATCH(TRIM(SUBSTITUTE($B563,CHAR(160)," ")),'Catalog'!$C:$C,0)),""))))</f>
        <v>4408080</v>
      </c>
      <c r="H563" s="8" t="str">
        <f aca="false">IFERROR(INDEX('TRANS'!$C:$C,MATCH($B563,'TRANS'!$A:$A,0)),IFERROR(INDEX('Catalog'!$B:$B,MATCH($G563,'Catalog'!$A:$A,0)),$B563))</f>
        <v>59R L חגורת שבר לצד ימין</v>
      </c>
      <c r="I563" s="8" t="str">
        <f aca="false">IF($G563="","Unmatched","Matched")</f>
        <v>Matched</v>
      </c>
    </row>
    <row r="564" customFormat="false" ht="15" hidden="false" customHeight="false" outlineLevel="0" collapsed="false">
      <c r="A564" s="8" t="s">
        <v>572</v>
      </c>
      <c r="B564" s="8" t="s">
        <v>226</v>
      </c>
      <c r="C564" s="19" t="n">
        <v>42</v>
      </c>
      <c r="D564" s="19" t="n">
        <v>5523.43</v>
      </c>
      <c r="E564" s="19" t="n">
        <v>30</v>
      </c>
      <c r="F564" s="19" t="n">
        <v>4175.37</v>
      </c>
      <c r="G564" s="8" t="n">
        <f aca="false">IFERROR(INDEX('TRANS'!$B:$B,MATCH($B564,'TRANS'!$A:$A,0)),IFERROR(INDEX('TRANS'!$B:$B,MATCH(TRIM(SUBSTITUTE($B564,CHAR(160)," ")),'TRANS'!$D:$D,0)),IFERROR(INDEX('Catalog'!$A:$A,MATCH($B564,'Catalog'!$B:$B,0)),IFERROR(INDEX('Catalog'!$A:$A,MATCH(TRIM(SUBSTITUTE($B564,CHAR(160)," ")),'Catalog'!$C:$C,0)),""))))</f>
        <v>4408081</v>
      </c>
      <c r="H564" s="8" t="str">
        <f aca="false">IFERROR(INDEX('TRANS'!$C:$C,MATCH($B564,'TRANS'!$A:$A,0)),IFERROR(INDEX('Catalog'!$B:$B,MATCH($G564,'Catalog'!$A:$A,0)),$B564))</f>
        <v>59R M חגורת שבר לצד ימין</v>
      </c>
      <c r="I564" s="8" t="str">
        <f aca="false">IF($G564="","Unmatched","Matched")</f>
        <v>Matched</v>
      </c>
    </row>
    <row r="565" customFormat="false" ht="15" hidden="false" customHeight="false" outlineLevel="0" collapsed="false">
      <c r="A565" s="8" t="s">
        <v>572</v>
      </c>
      <c r="B565" s="8" t="s">
        <v>577</v>
      </c>
      <c r="C565" s="19" t="n">
        <v>36</v>
      </c>
      <c r="D565" s="19" t="n">
        <v>1786.7</v>
      </c>
      <c r="E565" s="19" t="n">
        <v>19</v>
      </c>
      <c r="F565" s="19" t="n">
        <v>936.43</v>
      </c>
      <c r="G565" s="8" t="n">
        <f aca="false">IFERROR(INDEX('TRANS'!$B:$B,MATCH($B565,'TRANS'!$A:$A,0)),IFERROR(INDEX('TRANS'!$B:$B,MATCH(TRIM(SUBSTITUTE($B565,CHAR(160)," ")),'TRANS'!$D:$D,0)),IFERROR(INDEX('Catalog'!$A:$A,MATCH($B565,'Catalog'!$B:$B,0)),IFERROR(INDEX('Catalog'!$A:$A,MATCH(TRIM(SUBSTITUTE($B565,CHAR(160)," ")),'Catalog'!$C:$C,0)),""))))</f>
        <v>4418000</v>
      </c>
      <c r="H565" s="8" t="str">
        <f aca="false">IFERROR(INDEX('TRANS'!$C:$C,MATCH($B565,'TRANS'!$A:$A,0)),IFERROR(INDEX('Catalog'!$B:$B,MATCH($G565,'Catalog'!$A:$A,0)),$B565))</f>
        <v>60 L צוארון ספוגי</v>
      </c>
      <c r="I565" s="8" t="str">
        <f aca="false">IF($G565="","Unmatched","Matched")</f>
        <v>Matched</v>
      </c>
    </row>
    <row r="566" customFormat="false" ht="15" hidden="false" customHeight="false" outlineLevel="0" collapsed="false">
      <c r="A566" s="8" t="s">
        <v>572</v>
      </c>
      <c r="B566" s="8" t="s">
        <v>228</v>
      </c>
      <c r="C566" s="19" t="n">
        <v>50</v>
      </c>
      <c r="D566" s="19" t="n">
        <v>2481.29</v>
      </c>
      <c r="E566" s="19" t="n">
        <v>16</v>
      </c>
      <c r="F566" s="19" t="n">
        <v>794.09</v>
      </c>
      <c r="G566" s="8" t="n">
        <f aca="false">IFERROR(INDEX('TRANS'!$B:$B,MATCH($B566,'TRANS'!$A:$A,0)),IFERROR(INDEX('TRANS'!$B:$B,MATCH(TRIM(SUBSTITUTE($B566,CHAR(160)," ")),'TRANS'!$D:$D,0)),IFERROR(INDEX('Catalog'!$A:$A,MATCH($B566,'Catalog'!$B:$B,0)),IFERROR(INDEX('Catalog'!$A:$A,MATCH(TRIM(SUBSTITUTE($B566,CHAR(160)," ")),'Catalog'!$C:$C,0)),""))))</f>
        <v>4418001</v>
      </c>
      <c r="H566" s="8" t="str">
        <f aca="false">IFERROR(INDEX('TRANS'!$C:$C,MATCH($B566,'TRANS'!$A:$A,0)),IFERROR(INDEX('Catalog'!$B:$B,MATCH($G566,'Catalog'!$A:$A,0)),$B566))</f>
        <v>60 M צוארון ספוגי</v>
      </c>
      <c r="I566" s="8" t="str">
        <f aca="false">IF($G566="","Unmatched","Matched")</f>
        <v>Matched</v>
      </c>
    </row>
    <row r="567" customFormat="false" ht="15" hidden="false" customHeight="false" outlineLevel="0" collapsed="false">
      <c r="A567" s="8" t="s">
        <v>572</v>
      </c>
      <c r="B567" s="8" t="s">
        <v>229</v>
      </c>
      <c r="C567" s="19" t="n">
        <v>24</v>
      </c>
      <c r="D567" s="19" t="n">
        <v>1191.06</v>
      </c>
      <c r="E567" s="19" t="n">
        <v>10</v>
      </c>
      <c r="F567" s="19" t="n">
        <v>496.32</v>
      </c>
      <c r="G567" s="8" t="n">
        <f aca="false">IFERROR(INDEX('TRANS'!$B:$B,MATCH($B567,'TRANS'!$A:$A,0)),IFERROR(INDEX('TRANS'!$B:$B,MATCH(TRIM(SUBSTITUTE($B567,CHAR(160)," ")),'TRANS'!$D:$D,0)),IFERROR(INDEX('Catalog'!$A:$A,MATCH($B567,'Catalog'!$B:$B,0)),IFERROR(INDEX('Catalog'!$A:$A,MATCH(TRIM(SUBSTITUTE($B567,CHAR(160)," ")),'Catalog'!$C:$C,0)),""))))</f>
        <v>4418002</v>
      </c>
      <c r="H567" s="8" t="str">
        <f aca="false">IFERROR(INDEX('TRANS'!$C:$C,MATCH($B567,'TRANS'!$A:$A,0)),IFERROR(INDEX('Catalog'!$B:$B,MATCH($G567,'Catalog'!$A:$A,0)),$B567))</f>
        <v>60 S צוארון ספוגי</v>
      </c>
      <c r="I567" s="8" t="str">
        <f aca="false">IF($G567="","Unmatched","Matched")</f>
        <v>Matched</v>
      </c>
    </row>
    <row r="568" customFormat="false" ht="15" hidden="false" customHeight="false" outlineLevel="0" collapsed="false">
      <c r="A568" s="8" t="s">
        <v>572</v>
      </c>
      <c r="B568" s="8" t="s">
        <v>500</v>
      </c>
      <c r="C568" s="19" t="n">
        <v>89</v>
      </c>
      <c r="D568" s="19" t="n">
        <v>22242.73</v>
      </c>
      <c r="E568" s="19" t="n">
        <v>81</v>
      </c>
      <c r="F568" s="19" t="n">
        <v>20455.04</v>
      </c>
      <c r="G568" s="8" t="n">
        <f aca="false">IFERROR(INDEX('TRANS'!$B:$B,MATCH($B568,'TRANS'!$A:$A,0)),IFERROR(INDEX('TRANS'!$B:$B,MATCH(TRIM(SUBSTITUTE($B568,CHAR(160)," ")),'TRANS'!$D:$D,0)),IFERROR(INDEX('Catalog'!$A:$A,MATCH($B568,'Catalog'!$B:$B,0)),IFERROR(INDEX('Catalog'!$A:$A,MATCH(TRIM(SUBSTITUTE($B568,CHAR(160)," ")),'Catalog'!$C:$C,0)),""))))</f>
        <v>4408273</v>
      </c>
      <c r="H568" s="8" t="str">
        <f aca="false">IFERROR(INDEX('TRANS'!$C:$C,MATCH($B568,'TRANS'!$A:$A,0)),IFERROR(INDEX('Catalog'!$B:$B,MATCH($G568,'Catalog'!$A:$A,0)),$B568))</f>
        <v>70N M חגורת פאבליק</v>
      </c>
      <c r="I568" s="8" t="str">
        <f aca="false">IF($G568="","Unmatched","Matched")</f>
        <v>Matched</v>
      </c>
    </row>
    <row r="569" customFormat="false" ht="15" hidden="false" customHeight="false" outlineLevel="0" collapsed="false">
      <c r="A569" s="8" t="s">
        <v>572</v>
      </c>
      <c r="B569" s="8" t="s">
        <v>501</v>
      </c>
      <c r="C569" s="19" t="n">
        <v>140</v>
      </c>
      <c r="D569" s="19" t="n">
        <v>34014.09</v>
      </c>
      <c r="E569" s="19" t="n">
        <v>169</v>
      </c>
      <c r="F569" s="19" t="n">
        <v>42271.95</v>
      </c>
      <c r="G569" s="8" t="n">
        <f aca="false">IFERROR(INDEX('TRANS'!$B:$B,MATCH($B569,'TRANS'!$A:$A,0)),IFERROR(INDEX('TRANS'!$B:$B,MATCH(TRIM(SUBSTITUTE($B569,CHAR(160)," ")),'TRANS'!$D:$D,0)),IFERROR(INDEX('Catalog'!$A:$A,MATCH($B569,'Catalog'!$B:$B,0)),IFERROR(INDEX('Catalog'!$A:$A,MATCH(TRIM(SUBSTITUTE($B569,CHAR(160)," ")),'Catalog'!$C:$C,0)),""))))</f>
        <v>4408272</v>
      </c>
      <c r="H569" s="8" t="str">
        <f aca="false">IFERROR(INDEX('TRANS'!$C:$C,MATCH($B569,'TRANS'!$A:$A,0)),IFERROR(INDEX('Catalog'!$B:$B,MATCH($G569,'Catalog'!$A:$A,0)),$B569))</f>
        <v>70N S חגורת פאבליק</v>
      </c>
      <c r="I569" s="8" t="str">
        <f aca="false">IF($G569="","Unmatched","Matched")</f>
        <v>Matched</v>
      </c>
    </row>
    <row r="570" customFormat="false" ht="15" hidden="false" customHeight="false" outlineLevel="0" collapsed="false">
      <c r="A570" s="8" t="s">
        <v>572</v>
      </c>
      <c r="B570" s="8" t="s">
        <v>502</v>
      </c>
      <c r="C570" s="19" t="n">
        <v>169</v>
      </c>
      <c r="D570" s="19" t="n">
        <v>41162.17</v>
      </c>
      <c r="E570" s="19" t="n">
        <v>182</v>
      </c>
      <c r="F570" s="19" t="n">
        <v>45686.37</v>
      </c>
      <c r="G570" s="8" t="n">
        <f aca="false">IFERROR(INDEX('TRANS'!$B:$B,MATCH($B570,'TRANS'!$A:$A,0)),IFERROR(INDEX('TRANS'!$B:$B,MATCH(TRIM(SUBSTITUTE($B570,CHAR(160)," ")),'TRANS'!$D:$D,0)),IFERROR(INDEX('Catalog'!$A:$A,MATCH($B570,'Catalog'!$B:$B,0)),IFERROR(INDEX('Catalog'!$A:$A,MATCH(TRIM(SUBSTITUTE($B570,CHAR(160)," ")),'Catalog'!$C:$C,0)),""))))</f>
        <v>4408271</v>
      </c>
      <c r="H570" s="8" t="str">
        <f aca="false">IFERROR(INDEX('TRANS'!$C:$C,MATCH($B570,'TRANS'!$A:$A,0)),IFERROR(INDEX('Catalog'!$B:$B,MATCH($G570,'Catalog'!$A:$A,0)),$B570))</f>
        <v>70N XS חגורת פאבליק</v>
      </c>
      <c r="I570" s="8" t="str">
        <f aca="false">IF($G570="","Unmatched","Matched")</f>
        <v>Matched</v>
      </c>
    </row>
    <row r="571" customFormat="false" ht="15" hidden="false" customHeight="false" outlineLevel="0" collapsed="false">
      <c r="A571" s="8" t="s">
        <v>572</v>
      </c>
      <c r="B571" s="8" t="s">
        <v>234</v>
      </c>
      <c r="C571" s="19" t="n">
        <v>26</v>
      </c>
      <c r="D571" s="19" t="n">
        <v>4064.18</v>
      </c>
      <c r="E571" s="19" t="n">
        <v>12</v>
      </c>
      <c r="F571" s="19" t="n">
        <v>1920.03</v>
      </c>
      <c r="G571" s="8" t="n">
        <f aca="false">IFERROR(INDEX('TRANS'!$B:$B,MATCH($B571,'TRANS'!$A:$A,0)),IFERROR(INDEX('TRANS'!$B:$B,MATCH(TRIM(SUBSTITUTE($B571,CHAR(160)," ")),'TRANS'!$D:$D,0)),IFERROR(INDEX('Catalog'!$A:$A,MATCH($B571,'Catalog'!$B:$B,0)),IFERROR(INDEX('Catalog'!$A:$A,MATCH(TRIM(SUBSTITUTE($B571,CHAR(160)," ")),'Catalog'!$C:$C,0)),""))))</f>
        <v>4413134</v>
      </c>
      <c r="H571" s="8" t="str">
        <f aca="false">IFERROR(INDEX('TRANS'!$C:$C,MATCH($B571,'TRANS'!$A:$A,0)),IFERROR(INDEX('Catalog'!$B:$B,MATCH($G571,'Catalog'!$A:$A,0)),$B571))</f>
        <v>76 XLמיישר כתף יציב יישור רחב</v>
      </c>
      <c r="I571" s="8" t="str">
        <f aca="false">IF($G571="","Unmatched","Matched")</f>
        <v>Matched</v>
      </c>
    </row>
    <row r="572" customFormat="false" ht="15" hidden="false" customHeight="false" outlineLevel="0" collapsed="false">
      <c r="A572" s="8" t="s">
        <v>572</v>
      </c>
      <c r="B572" s="8" t="s">
        <v>405</v>
      </c>
      <c r="C572" s="19" t="n">
        <v>9</v>
      </c>
      <c r="D572" s="19" t="n">
        <v>3063</v>
      </c>
      <c r="E572" s="19" t="n">
        <v>0</v>
      </c>
      <c r="F572" s="19" t="n">
        <v>0</v>
      </c>
      <c r="G572" s="8" t="str">
        <f aca="false">IFERROR(INDEX('TRANS'!$B:$B,MATCH($B572,'TRANS'!$A:$A,0)),IFERROR(INDEX('TRANS'!$B:$B,MATCH(TRIM(SUBSTITUTE($B572,CHAR(160)," ")),'TRANS'!$D:$D,0)),IFERROR(INDEX('Catalog'!$A:$A,MATCH($B572,'Catalog'!$B:$B,0)),IFERROR(INDEX('Catalog'!$A:$A,MATCH(TRIM(SUBSTITUTE($B572,CHAR(160)," ")),'Catalog'!$C:$C,0)),""))))</f>
        <v/>
      </c>
      <c r="H572" s="8" t="str">
        <f aca="false">IFERROR(INDEX('TRANS'!$C:$C,MATCH($B572,'TRANS'!$A:$A,0)),IFERROR(INDEX('Catalog'!$B:$B,MATCH($G572,'Catalog'!$A:$A,0)),$B572))</f>
        <v>776 XL</v>
      </c>
      <c r="I572" s="8" t="str">
        <f aca="false">IF($G572="","Unmatched","Matched")</f>
        <v>Unmatched</v>
      </c>
    </row>
    <row r="573" customFormat="false" ht="15" hidden="false" customHeight="false" outlineLevel="0" collapsed="false">
      <c r="A573" s="8" t="s">
        <v>572</v>
      </c>
      <c r="B573" s="8" t="s">
        <v>252</v>
      </c>
      <c r="C573" s="19" t="n">
        <v>55</v>
      </c>
      <c r="D573" s="19" t="n">
        <v>2694.86</v>
      </c>
      <c r="E573" s="19" t="n">
        <v>42</v>
      </c>
      <c r="F573" s="19" t="n">
        <v>2057.87</v>
      </c>
      <c r="G573" s="8" t="n">
        <f aca="false">IFERROR(INDEX('TRANS'!$B:$B,MATCH($B573,'TRANS'!$A:$A,0)),IFERROR(INDEX('TRANS'!$B:$B,MATCH(TRIM(SUBSTITUTE($B573,CHAR(160)," ")),'TRANS'!$D:$D,0)),IFERROR(INDEX('Catalog'!$A:$A,MATCH($B573,'Catalog'!$B:$B,0)),IFERROR(INDEX('Catalog'!$A:$A,MATCH(TRIM(SUBSTITUTE($B573,CHAR(160)," ")),'Catalog'!$C:$C,0)),""))))</f>
        <v>4413135</v>
      </c>
      <c r="H573" s="8" t="str">
        <f aca="false">IFERROR(INDEX('TRANS'!$C:$C,MATCH($B573,'TRANS'!$A:$A,0)),IFERROR(INDEX('Catalog'!$B:$B,MATCH($G573,'Catalog'!$A:$A,0)),$B573))</f>
        <v>85 L (מתלה ליד )כיס</v>
      </c>
      <c r="I573" s="8" t="str">
        <f aca="false">IF($G573="","Unmatched","Matched")</f>
        <v>Matched</v>
      </c>
    </row>
    <row r="574" customFormat="false" ht="15" hidden="false" customHeight="false" outlineLevel="0" collapsed="false">
      <c r="A574" s="8" t="s">
        <v>572</v>
      </c>
      <c r="B574" s="8" t="s">
        <v>253</v>
      </c>
      <c r="C574" s="19" t="n">
        <v>59</v>
      </c>
      <c r="D574" s="19" t="n">
        <v>2890.94</v>
      </c>
      <c r="E574" s="19" t="n">
        <v>29</v>
      </c>
      <c r="F574" s="19" t="n">
        <v>1420.92</v>
      </c>
      <c r="G574" s="8" t="n">
        <f aca="false">IFERROR(INDEX('TRANS'!$B:$B,MATCH($B574,'TRANS'!$A:$A,0)),IFERROR(INDEX('TRANS'!$B:$B,MATCH(TRIM(SUBSTITUTE($B574,CHAR(160)," ")),'TRANS'!$D:$D,0)),IFERROR(INDEX('Catalog'!$A:$A,MATCH($B574,'Catalog'!$B:$B,0)),IFERROR(INDEX('Catalog'!$A:$A,MATCH(TRIM(SUBSTITUTE($B574,CHAR(160)," ")),'Catalog'!$C:$C,0)),""))))</f>
        <v>4413136</v>
      </c>
      <c r="H574" s="8" t="str">
        <f aca="false">IFERROR(INDEX('TRANS'!$C:$C,MATCH($B574,'TRANS'!$A:$A,0)),IFERROR(INDEX('Catalog'!$B:$B,MATCH($G574,'Catalog'!$A:$A,0)),$B574))</f>
        <v>85 M (מתלה ליד )כיס</v>
      </c>
      <c r="I574" s="8" t="str">
        <f aca="false">IF($G574="","Unmatched","Matched")</f>
        <v>Matched</v>
      </c>
    </row>
    <row r="575" customFormat="false" ht="15" hidden="false" customHeight="false" outlineLevel="0" collapsed="false">
      <c r="A575" s="8" t="s">
        <v>572</v>
      </c>
      <c r="B575" s="8" t="s">
        <v>254</v>
      </c>
      <c r="C575" s="19" t="n">
        <v>25</v>
      </c>
      <c r="D575" s="19" t="n">
        <v>1224.98</v>
      </c>
      <c r="E575" s="19" t="n">
        <v>28</v>
      </c>
      <c r="F575" s="19" t="n">
        <v>1371.96</v>
      </c>
      <c r="G575" s="8" t="n">
        <f aca="false">IFERROR(INDEX('TRANS'!$B:$B,MATCH($B575,'TRANS'!$A:$A,0)),IFERROR(INDEX('TRANS'!$B:$B,MATCH(TRIM(SUBSTITUTE($B575,CHAR(160)," ")),'TRANS'!$D:$D,0)),IFERROR(INDEX('Catalog'!$A:$A,MATCH($B575,'Catalog'!$B:$B,0)),IFERROR(INDEX('Catalog'!$A:$A,MATCH(TRIM(SUBSTITUTE($B575,CHAR(160)," ")),'Catalog'!$C:$C,0)),""))))</f>
        <v>4413138</v>
      </c>
      <c r="H575" s="8" t="str">
        <f aca="false">IFERROR(INDEX('TRANS'!$C:$C,MATCH($B575,'TRANS'!$A:$A,0)),IFERROR(INDEX('Catalog'!$B:$B,MATCH($G575,'Catalog'!$A:$A,0)),$B575))</f>
        <v>85 XL (מתלה ליד )כיס</v>
      </c>
      <c r="I575" s="8" t="str">
        <f aca="false">IF($G575="","Unmatched","Matched")</f>
        <v>Matched</v>
      </c>
    </row>
    <row r="576" customFormat="false" ht="15" hidden="false" customHeight="false" outlineLevel="0" collapsed="false">
      <c r="A576" s="8" t="s">
        <v>572</v>
      </c>
      <c r="B576" s="8" t="s">
        <v>255</v>
      </c>
      <c r="C576" s="19" t="n">
        <v>97</v>
      </c>
      <c r="D576" s="19" t="n">
        <v>4808.33</v>
      </c>
      <c r="E576" s="19" t="n">
        <v>59</v>
      </c>
      <c r="F576" s="19" t="n">
        <v>2890.9</v>
      </c>
      <c r="G576" s="8" t="n">
        <f aca="false">IFERROR(INDEX('TRANS'!$B:$B,MATCH($B576,'TRANS'!$A:$A,0)),IFERROR(INDEX('TRANS'!$B:$B,MATCH(TRIM(SUBSTITUTE($B576,CHAR(160)," ")),'TRANS'!$D:$D,0)),IFERROR(INDEX('Catalog'!$A:$A,MATCH($B576,'Catalog'!$B:$B,0)),IFERROR(INDEX('Catalog'!$A:$A,MATCH(TRIM(SUBSTITUTE($B576,CHAR(160)," ")),'Catalog'!$C:$C,0)),""))))</f>
        <v>4413516</v>
      </c>
      <c r="H576" s="8" t="str">
        <f aca="false">IFERROR(INDEX('TRANS'!$C:$C,MATCH($B576,'TRANS'!$A:$A,0)),IFERROR(INDEX('Catalog'!$B:$B,MATCH($G576,'Catalog'!$A:$A,0)),$B576))</f>
        <v>85B L מתלה רשת לזרוע שחור</v>
      </c>
      <c r="I576" s="8" t="str">
        <f aca="false">IF($G576="","Unmatched","Matched")</f>
        <v>Matched</v>
      </c>
    </row>
    <row r="577" customFormat="false" ht="15" hidden="false" customHeight="false" outlineLevel="0" collapsed="false">
      <c r="A577" s="8" t="s">
        <v>572</v>
      </c>
      <c r="B577" s="8" t="s">
        <v>256</v>
      </c>
      <c r="C577" s="19" t="n">
        <v>51</v>
      </c>
      <c r="D577" s="19" t="n">
        <v>2529.61</v>
      </c>
      <c r="E577" s="19" t="n">
        <v>38</v>
      </c>
      <c r="F577" s="19" t="n">
        <v>1861.94</v>
      </c>
      <c r="G577" s="8" t="n">
        <f aca="false">IFERROR(INDEX('TRANS'!$B:$B,MATCH($B577,'TRANS'!$A:$A,0)),IFERROR(INDEX('TRANS'!$B:$B,MATCH(TRIM(SUBSTITUTE($B577,CHAR(160)," ")),'TRANS'!$D:$D,0)),IFERROR(INDEX('Catalog'!$A:$A,MATCH($B577,'Catalog'!$B:$B,0)),IFERROR(INDEX('Catalog'!$A:$A,MATCH(TRIM(SUBSTITUTE($B577,CHAR(160)," ")),'Catalog'!$C:$C,0)),""))))</f>
        <v>4413517</v>
      </c>
      <c r="H577" s="8" t="str">
        <f aca="false">IFERROR(INDEX('TRANS'!$C:$C,MATCH($B577,'TRANS'!$A:$A,0)),IFERROR(INDEX('Catalog'!$B:$B,MATCH($G577,'Catalog'!$A:$A,0)),$B577))</f>
        <v>85B M מתלה רשת לזרוע שחור</v>
      </c>
      <c r="I577" s="8" t="str">
        <f aca="false">IF($G577="","Unmatched","Matched")</f>
        <v>Matched</v>
      </c>
    </row>
    <row r="578" customFormat="false" ht="15" hidden="false" customHeight="false" outlineLevel="0" collapsed="false">
      <c r="A578" s="8" t="s">
        <v>572</v>
      </c>
      <c r="B578" s="8" t="s">
        <v>258</v>
      </c>
      <c r="C578" s="19" t="n">
        <v>50</v>
      </c>
      <c r="D578" s="19" t="n">
        <v>2557.39</v>
      </c>
      <c r="E578" s="19" t="n">
        <v>22</v>
      </c>
      <c r="F578" s="19" t="n">
        <v>1077.95</v>
      </c>
      <c r="G578" s="8" t="n">
        <f aca="false">IFERROR(INDEX('TRANS'!$B:$B,MATCH($B578,'TRANS'!$A:$A,0)),IFERROR(INDEX('TRANS'!$B:$B,MATCH(TRIM(SUBSTITUTE($B578,CHAR(160)," ")),'TRANS'!$D:$D,0)),IFERROR(INDEX('Catalog'!$A:$A,MATCH($B578,'Catalog'!$B:$B,0)),IFERROR(INDEX('Catalog'!$A:$A,MATCH(TRIM(SUBSTITUTE($B578,CHAR(160)," ")),'Catalog'!$C:$C,0)),""))))</f>
        <v>4413518</v>
      </c>
      <c r="H578" s="8" t="str">
        <f aca="false">IFERROR(INDEX('TRANS'!$C:$C,MATCH($B578,'TRANS'!$A:$A,0)),IFERROR(INDEX('Catalog'!$B:$B,MATCH($G578,'Catalog'!$A:$A,0)),$B578))</f>
        <v>85B XL מתלה רשת לזרוע שחור</v>
      </c>
      <c r="I578" s="8" t="str">
        <f aca="false">IF($G578="","Unmatched","Matched")</f>
        <v>Matched</v>
      </c>
    </row>
    <row r="579" customFormat="false" ht="15" hidden="false" customHeight="false" outlineLevel="0" collapsed="false">
      <c r="A579" s="8" t="s">
        <v>572</v>
      </c>
      <c r="B579" s="8" t="s">
        <v>421</v>
      </c>
      <c r="C579" s="19" t="n">
        <v>224</v>
      </c>
      <c r="D579" s="19" t="n">
        <v>30369.76</v>
      </c>
      <c r="E579" s="19" t="n">
        <v>175</v>
      </c>
      <c r="F579" s="19" t="n">
        <v>24500.36</v>
      </c>
      <c r="G579" s="8" t="n">
        <f aca="false">IFERROR(INDEX('TRANS'!$B:$B,MATCH($B579,'TRANS'!$A:$A,0)),IFERROR(INDEX('TRANS'!$B:$B,MATCH(TRIM(SUBSTITUTE($B579,CHAR(160)," ")),'TRANS'!$D:$D,0)),IFERROR(INDEX('Catalog'!$A:$A,MATCH($B579,'Catalog'!$B:$B,0)),IFERROR(INDEX('Catalog'!$A:$A,MATCH(TRIM(SUBSTITUTE($B579,CHAR(160)," ")),'Catalog'!$C:$C,0)),""))))</f>
        <v>4413197</v>
      </c>
      <c r="H579" s="8" t="str">
        <f aca="false">IFERROR(INDEX('TRANS'!$C:$C,MATCH($B579,'TRANS'!$A:$A,0)),IFERROR(INDEX('Catalog'!$B:$B,MATCH($G579,'Catalog'!$A:$A,0)),$B579))</f>
        <v>87 L מקבע כתף ויד</v>
      </c>
      <c r="I579" s="8" t="str">
        <f aca="false">IF($G579="","Unmatched","Matched")</f>
        <v>Matched</v>
      </c>
    </row>
    <row r="580" customFormat="false" ht="15" hidden="false" customHeight="false" outlineLevel="0" collapsed="false">
      <c r="A580" s="8" t="s">
        <v>572</v>
      </c>
      <c r="B580" s="8" t="s">
        <v>578</v>
      </c>
      <c r="C580" s="19" t="n">
        <v>13</v>
      </c>
      <c r="D580" s="19" t="n">
        <v>1743.81</v>
      </c>
      <c r="E580" s="19" t="n">
        <v>9</v>
      </c>
      <c r="F580" s="19" t="n">
        <v>1260.07</v>
      </c>
      <c r="G580" s="8" t="n">
        <f aca="false">IFERROR(INDEX('TRANS'!$B:$B,MATCH($B580,'TRANS'!$A:$A,0)),IFERROR(INDEX('TRANS'!$B:$B,MATCH(TRIM(SUBSTITUTE($B580,CHAR(160)," ")),'TRANS'!$D:$D,0)),IFERROR(INDEX('Catalog'!$A:$A,MATCH($B580,'Catalog'!$B:$B,0)),IFERROR(INDEX('Catalog'!$A:$A,MATCH(TRIM(SUBSTITUTE($B580,CHAR(160)," ")),'Catalog'!$C:$C,0)),""))))</f>
        <v>4413195</v>
      </c>
      <c r="H580" s="8" t="str">
        <f aca="false">IFERROR(INDEX('TRANS'!$C:$C,MATCH($B580,'TRANS'!$A:$A,0)),IFERROR(INDEX('Catalog'!$B:$B,MATCH($G580,'Catalog'!$A:$A,0)),$B580))</f>
        <v>87 S מקבע כתף ויד</v>
      </c>
      <c r="I580" s="8" t="str">
        <f aca="false">IF($G580="","Unmatched","Matched")</f>
        <v>Matched</v>
      </c>
    </row>
    <row r="581" customFormat="false" ht="15" hidden="false" customHeight="false" outlineLevel="0" collapsed="false">
      <c r="A581" s="8" t="s">
        <v>572</v>
      </c>
      <c r="B581" s="8" t="s">
        <v>57</v>
      </c>
      <c r="C581" s="19" t="n">
        <v>46</v>
      </c>
      <c r="D581" s="19" t="n">
        <v>1407.25</v>
      </c>
      <c r="E581" s="19" t="n">
        <v>23</v>
      </c>
      <c r="F581" s="19" t="n">
        <v>679.07</v>
      </c>
      <c r="G581" s="8" t="str">
        <f aca="false">IFERROR(INDEX('TRANS'!$B:$B,MATCH($B581,'TRANS'!$A:$A,0)),IFERROR(INDEX('TRANS'!$B:$B,MATCH(TRIM(SUBSTITUTE($B581,CHAR(160)," ")),'TRANS'!$D:$D,0)),IFERROR(INDEX('Catalog'!$A:$A,MATCH($B581,'Catalog'!$B:$B,0)),IFERROR(INDEX('Catalog'!$A:$A,MATCH(TRIM(SUBSTITUTE($B581,CHAR(160)," ")),'Catalog'!$C:$C,0)),""))))</f>
        <v/>
      </c>
      <c r="H581" s="8" t="str">
        <f aca="false">IFERROR(INDEX('TRANS'!$C:$C,MATCH($B581,'TRANS'!$A:$A,0)),IFERROR(INDEX('Catalog'!$B:$B,MATCH($G581,'Catalog'!$A:$A,0)),$B581))</f>
        <v>M93</v>
      </c>
      <c r="I581" s="8" t="str">
        <f aca="false">IF($G581="","Unmatched","Matched")</f>
        <v>Unmatched</v>
      </c>
    </row>
    <row r="582" customFormat="false" ht="15" hidden="false" customHeight="false" outlineLevel="0" collapsed="false">
      <c r="A582" s="8" t="s">
        <v>572</v>
      </c>
      <c r="B582" s="8" t="s">
        <v>308</v>
      </c>
      <c r="C582" s="19" t="n">
        <v>42</v>
      </c>
      <c r="D582" s="19" t="n">
        <v>4801.24</v>
      </c>
      <c r="E582" s="19" t="n">
        <v>28</v>
      </c>
      <c r="F582" s="19" t="n">
        <v>3000</v>
      </c>
      <c r="G582" s="8" t="n">
        <f aca="false">IFERROR(INDEX('TRANS'!$B:$B,MATCH($B582,'TRANS'!$A:$A,0)),IFERROR(INDEX('TRANS'!$B:$B,MATCH(TRIM(SUBSTITUTE($B582,CHAR(160)," ")),'TRANS'!$D:$D,0)),IFERROR(INDEX('Catalog'!$A:$A,MATCH($B582,'Catalog'!$B:$B,0)),IFERROR(INDEX('Catalog'!$A:$A,MATCH(TRIM(SUBSTITUTE($B582,CHAR(160)," ")),'Catalog'!$C:$C,0)),""))))</f>
        <v>4422041</v>
      </c>
      <c r="H582" s="8" t="str">
        <f aca="false">IFERROR(INDEX('TRANS'!$C:$C,MATCH($B582,'TRANS'!$A:$A,0)),IFERROR(INDEX('Catalog'!$B:$B,MATCH($G582,'Catalog'!$A:$A,0)),$B582))</f>
        <v>SH422 5 תומך ברך גנושילד</v>
      </c>
      <c r="I582" s="8" t="str">
        <f aca="false">IF($G582="","Unmatched","Matched")</f>
        <v>Matched</v>
      </c>
    </row>
    <row r="583" customFormat="false" ht="15" hidden="false" customHeight="false" outlineLevel="0" collapsed="false">
      <c r="A583" s="8" t="s">
        <v>572</v>
      </c>
      <c r="B583" s="8" t="s">
        <v>528</v>
      </c>
      <c r="C583" s="19" t="n">
        <v>0</v>
      </c>
      <c r="D583" s="19" t="n">
        <v>0</v>
      </c>
      <c r="E583" s="19" t="n">
        <v>23</v>
      </c>
      <c r="F583" s="19" t="n">
        <v>8075</v>
      </c>
      <c r="G583" s="8" t="str">
        <f aca="false">IFERROR(INDEX('TRANS'!$B:$B,MATCH($B583,'TRANS'!$A:$A,0)),IFERROR(INDEX('TRANS'!$B:$B,MATCH(TRIM(SUBSTITUTE($B583,CHAR(160)," ")),'TRANS'!$D:$D,0)),IFERROR(INDEX('Catalog'!$A:$A,MATCH($B583,'Catalog'!$B:$B,0)),IFERROR(INDEX('Catalog'!$A:$A,MATCH(TRIM(SUBSTITUTE($B583,CHAR(160)," ")),'Catalog'!$C:$C,0)),""))))</f>
        <v/>
      </c>
      <c r="H583" s="8" t="str">
        <f aca="false">IFERROR(INDEX('TRANS'!$C:$C,MATCH($B583,'TRANS'!$A:$A,0)),IFERROR(INDEX('Catalog'!$B:$B,MATCH($G583,'Catalog'!$A:$A,0)),$B583))</f>
        <v>SH776 L</v>
      </c>
      <c r="I583" s="8" t="str">
        <f aca="false">IF($G583="","Unmatched","Matched")</f>
        <v>Unmatched</v>
      </c>
    </row>
    <row r="584" customFormat="false" ht="15" hidden="false" customHeight="false" outlineLevel="0" collapsed="false">
      <c r="A584" s="8" t="s">
        <v>572</v>
      </c>
      <c r="B584" s="8" t="s">
        <v>579</v>
      </c>
      <c r="C584" s="19" t="n">
        <v>0</v>
      </c>
      <c r="D584" s="19" t="n">
        <v>0</v>
      </c>
      <c r="E584" s="19" t="n">
        <v>19</v>
      </c>
      <c r="F584" s="19" t="n">
        <v>6650.03</v>
      </c>
      <c r="G584" s="8" t="str">
        <f aca="false">IFERROR(INDEX('TRANS'!$B:$B,MATCH($B584,'TRANS'!$A:$A,0)),IFERROR(INDEX('TRANS'!$B:$B,MATCH(TRIM(SUBSTITUTE($B584,CHAR(160)," ")),'TRANS'!$D:$D,0)),IFERROR(INDEX('Catalog'!$A:$A,MATCH($B584,'Catalog'!$B:$B,0)),IFERROR(INDEX('Catalog'!$A:$A,MATCH(TRIM(SUBSTITUTE($B584,CHAR(160)," ")),'Catalog'!$C:$C,0)),""))))</f>
        <v/>
      </c>
      <c r="H584" s="8" t="str">
        <f aca="false">IFERROR(INDEX('TRANS'!$C:$C,MATCH($B584,'TRANS'!$A:$A,0)),IFERROR(INDEX('Catalog'!$B:$B,MATCH($G584,'Catalog'!$A:$A,0)),$B584))</f>
        <v>SH776 XL</v>
      </c>
      <c r="I584" s="8" t="str">
        <f aca="false">IF($G584="","Unmatched","Matched")</f>
        <v>Unmatched</v>
      </c>
    </row>
    <row r="585" customFormat="false" ht="15" hidden="false" customHeight="false" outlineLevel="0" collapsed="false">
      <c r="A585" s="8" t="s">
        <v>572</v>
      </c>
      <c r="B585" s="8" t="s">
        <v>443</v>
      </c>
      <c r="C585" s="19" t="n">
        <v>50</v>
      </c>
      <c r="D585" s="19" t="n">
        <v>2043.02</v>
      </c>
      <c r="E585" s="19" t="n">
        <v>15</v>
      </c>
      <c r="F585" s="19" t="n">
        <v>702.33</v>
      </c>
      <c r="G585" s="8" t="n">
        <f aca="false">IFERROR(INDEX('TRANS'!$B:$B,MATCH($B585,'TRANS'!$A:$A,0)),IFERROR(INDEX('TRANS'!$B:$B,MATCH(TRIM(SUBSTITUTE($B585,CHAR(160)," ")),'TRANS'!$D:$D,0)),IFERROR(INDEX('Catalog'!$A:$A,MATCH($B585,'Catalog'!$B:$B,0)),IFERROR(INDEX('Catalog'!$A:$A,MATCH(TRIM(SUBSTITUTE($B585,CHAR(160)," ")),'Catalog'!$C:$C,0)),""))))</f>
        <v>4408264</v>
      </c>
      <c r="H585" s="8" t="str">
        <f aca="false">IFERROR(INDEX('TRANS'!$C:$C,MATCH($B585,'TRANS'!$A:$A,0)),IFERROR(INDEX('Catalog'!$B:$B,MATCH($G585,'Catalog'!$A:$A,0)),$B585))</f>
        <v>T25B   חבק יד אגודלי</v>
      </c>
      <c r="I585" s="8" t="str">
        <f aca="false">IF($G585="","Unmatched","Matched")</f>
        <v>Matched</v>
      </c>
    </row>
    <row r="586" customFormat="false" ht="15" hidden="false" customHeight="false" outlineLevel="0" collapsed="false">
      <c r="A586" s="8" t="s">
        <v>572</v>
      </c>
      <c r="B586" s="8" t="s">
        <v>325</v>
      </c>
      <c r="C586" s="19" t="n">
        <v>11</v>
      </c>
      <c r="D586" s="19" t="n">
        <v>1015.62</v>
      </c>
      <c r="E586" s="19" t="n">
        <v>3</v>
      </c>
      <c r="F586" s="19" t="n">
        <v>271.29</v>
      </c>
      <c r="G586" s="8" t="str">
        <f aca="false">IFERROR(INDEX('TRANS'!$B:$B,MATCH($B586,'TRANS'!$A:$A,0)),IFERROR(INDEX('TRANS'!$B:$B,MATCH(TRIM(SUBSTITUTE($B586,CHAR(160)," ")),'TRANS'!$D:$D,0)),IFERROR(INDEX('Catalog'!$A:$A,MATCH($B586,'Catalog'!$B:$B,0)),IFERROR(INDEX('Catalog'!$A:$A,MATCH(TRIM(SUBSTITUTE($B586,CHAR(160)," ")),'Catalog'!$C:$C,0)),""))))</f>
        <v/>
      </c>
      <c r="H586" s="8" t="str">
        <f aca="false">IFERROR(INDEX('TRANS'!$C:$C,MATCH($B586,'TRANS'!$A:$A,0)),IFERROR(INDEX('Catalog'!$B:$B,MATCH($G586,'Catalog'!$A:$A,0)),$B586))</f>
        <v>T402 L</v>
      </c>
      <c r="I586" s="8" t="str">
        <f aca="false">IF($G586="","Unmatched","Matched")</f>
        <v>Unmatched</v>
      </c>
    </row>
    <row r="587" customFormat="false" ht="15" hidden="false" customHeight="false" outlineLevel="0" collapsed="false">
      <c r="A587" s="8" t="s">
        <v>572</v>
      </c>
      <c r="B587" s="8" t="s">
        <v>332</v>
      </c>
      <c r="C587" s="19" t="n">
        <v>67</v>
      </c>
      <c r="D587" s="19" t="n">
        <v>8683.86</v>
      </c>
      <c r="E587" s="19" t="n">
        <v>43</v>
      </c>
      <c r="F587" s="19" t="n">
        <v>5589.84</v>
      </c>
      <c r="G587" s="8" t="n">
        <f aca="false">IFERROR(INDEX('TRANS'!$B:$B,MATCH($B587,'TRANS'!$A:$A,0)),IFERROR(INDEX('TRANS'!$B:$B,MATCH(TRIM(SUBSTITUTE($B587,CHAR(160)," ")),'TRANS'!$D:$D,0)),IFERROR(INDEX('Catalog'!$A:$A,MATCH($B587,'Catalog'!$B:$B,0)),IFERROR(INDEX('Catalog'!$A:$A,MATCH(TRIM(SUBSTITUTE($B587,CHAR(160)," ")),'Catalog'!$C:$C,0)),""))))</f>
        <v>4422006</v>
      </c>
      <c r="H587" s="8" t="str">
        <f aca="false">IFERROR(INDEX('TRANS'!$C:$C,MATCH($B587,'TRANS'!$A:$A,0)),IFERROR(INDEX('Catalog'!$B:$B,MATCH($G587,'Catalog'!$A:$A,0)),$B587))</f>
        <v>T78 L תומך זרוע וכתף</v>
      </c>
      <c r="I587" s="8" t="str">
        <f aca="false">IF($G587="","Unmatched","Matched")</f>
        <v>Matched</v>
      </c>
    </row>
    <row r="588" customFormat="false" ht="15" hidden="false" customHeight="false" outlineLevel="0" collapsed="false">
      <c r="A588" s="8" t="s">
        <v>572</v>
      </c>
      <c r="B588" s="8" t="s">
        <v>452</v>
      </c>
      <c r="C588" s="19" t="n">
        <v>78</v>
      </c>
      <c r="D588" s="19" t="n">
        <v>10108.89</v>
      </c>
      <c r="E588" s="19" t="n">
        <v>41</v>
      </c>
      <c r="F588" s="19" t="n">
        <v>5329.85</v>
      </c>
      <c r="G588" s="8" t="n">
        <f aca="false">IFERROR(INDEX('TRANS'!$B:$B,MATCH($B588,'TRANS'!$A:$A,0)),IFERROR(INDEX('TRANS'!$B:$B,MATCH(TRIM(SUBSTITUTE($B588,CHAR(160)," ")),'TRANS'!$D:$D,0)),IFERROR(INDEX('Catalog'!$A:$A,MATCH($B588,'Catalog'!$B:$B,0)),IFERROR(INDEX('Catalog'!$A:$A,MATCH(TRIM(SUBSTITUTE($B588,CHAR(160)," ")),'Catalog'!$C:$C,0)),""))))</f>
        <v>4422005</v>
      </c>
      <c r="H588" s="8" t="str">
        <f aca="false">IFERROR(INDEX('TRANS'!$C:$C,MATCH($B588,'TRANS'!$A:$A,0)),IFERROR(INDEX('Catalog'!$B:$B,MATCH($G588,'Catalog'!$A:$A,0)),$B588))</f>
        <v>T78 M תומך זרוע וכתף</v>
      </c>
      <c r="I588" s="8" t="str">
        <f aca="false">IF($G588="","Unmatched","Matched")</f>
        <v>Matched</v>
      </c>
    </row>
    <row r="589" customFormat="false" ht="15" hidden="false" customHeight="false" outlineLevel="0" collapsed="false">
      <c r="A589" s="8" t="s">
        <v>572</v>
      </c>
      <c r="B589" s="8" t="s">
        <v>580</v>
      </c>
      <c r="C589" s="19" t="n">
        <v>43</v>
      </c>
      <c r="D589" s="19" t="n">
        <v>5576.92</v>
      </c>
      <c r="E589" s="19" t="n">
        <v>22</v>
      </c>
      <c r="F589" s="19" t="n">
        <v>2859.92</v>
      </c>
      <c r="G589" s="8" t="n">
        <f aca="false">IFERROR(INDEX('TRANS'!$B:$B,MATCH($B589,'TRANS'!$A:$A,0)),IFERROR(INDEX('TRANS'!$B:$B,MATCH(TRIM(SUBSTITUTE($B589,CHAR(160)," ")),'TRANS'!$D:$D,0)),IFERROR(INDEX('Catalog'!$A:$A,MATCH($B589,'Catalog'!$B:$B,0)),IFERROR(INDEX('Catalog'!$A:$A,MATCH(TRIM(SUBSTITUTE($B589,CHAR(160)," ")),'Catalog'!$C:$C,0)),""))))</f>
        <v>4422004</v>
      </c>
      <c r="H589" s="8" t="str">
        <f aca="false">IFERROR(INDEX('TRANS'!$C:$C,MATCH($B589,'TRANS'!$A:$A,0)),IFERROR(INDEX('Catalog'!$B:$B,MATCH($G589,'Catalog'!$A:$A,0)),$B589))</f>
        <v>T78 S תומך זרוע וכתף</v>
      </c>
      <c r="I589" s="8" t="str">
        <f aca="false">IF($G589="","Unmatched","Matched")</f>
        <v>Matched</v>
      </c>
    </row>
    <row r="590" customFormat="false" ht="15" hidden="false" customHeight="false" outlineLevel="0" collapsed="false">
      <c r="A590" s="8" t="s">
        <v>572</v>
      </c>
      <c r="B590" s="8" t="s">
        <v>455</v>
      </c>
      <c r="C590" s="19" t="n">
        <v>3</v>
      </c>
      <c r="D590" s="19" t="n">
        <v>239.99</v>
      </c>
      <c r="E590" s="19" t="n">
        <v>9</v>
      </c>
      <c r="F590" s="19" t="n">
        <v>810.02</v>
      </c>
      <c r="G590" s="8" t="n">
        <f aca="false">IFERROR(INDEX('TRANS'!$B:$B,MATCH($B590,'TRANS'!$A:$A,0)),IFERROR(INDEX('TRANS'!$B:$B,MATCH(TRIM(SUBSTITUTE($B590,CHAR(160)," ")),'TRANS'!$D:$D,0)),IFERROR(INDEX('Catalog'!$A:$A,MATCH($B590,'Catalog'!$B:$B,0)),IFERROR(INDEX('Catalog'!$A:$A,MATCH(TRIM(SUBSTITUTE($B590,CHAR(160)," ")),'Catalog'!$C:$C,0)),""))))</f>
        <v>4408217</v>
      </c>
      <c r="H590" s="8" t="str">
        <f aca="false">IFERROR(INDEX('TRANS'!$C:$C,MATCH($B590,'TRANS'!$A:$A,0)),IFERROR(INDEX('Catalog'!$B:$B,MATCH($G590,'Catalog'!$A:$A,0)),$B590))</f>
        <v>S078 חגורת גב +סגירה כפולה</v>
      </c>
      <c r="I590" s="8" t="str">
        <f aca="false">IF($G590="","Unmatched","Matched")</f>
        <v>Matched</v>
      </c>
    </row>
    <row r="591" customFormat="false" ht="15" hidden="false" customHeight="false" outlineLevel="0" collapsed="false">
      <c r="A591" s="8" t="s">
        <v>572</v>
      </c>
      <c r="B591" s="8" t="s">
        <v>341</v>
      </c>
      <c r="C591" s="19" t="n">
        <v>35</v>
      </c>
      <c r="D591" s="19" t="n">
        <v>2815.87</v>
      </c>
      <c r="E591" s="19" t="n">
        <v>21</v>
      </c>
      <c r="F591" s="19" t="n">
        <v>1784.93</v>
      </c>
      <c r="G591" s="8" t="n">
        <f aca="false">IFERROR(INDEX('TRANS'!$B:$B,MATCH($B591,'TRANS'!$A:$A,0)),IFERROR(INDEX('TRANS'!$B:$B,MATCH(TRIM(SUBSTITUTE($B591,CHAR(160)," ")),'TRANS'!$D:$D,0)),IFERROR(INDEX('Catalog'!$A:$A,MATCH($B591,'Catalog'!$B:$B,0)),IFERROR(INDEX('Catalog'!$A:$A,MATCH(TRIM(SUBSTITUTE($B591,CHAR(160)," ")),'Catalog'!$C:$C,0)),""))))</f>
        <v>4408116</v>
      </c>
      <c r="H591" s="8" t="str">
        <f aca="false">IFERROR(INDEX('TRANS'!$C:$C,MATCH($B591,'TRANS'!$A:$A,0)),IFERROR(INDEX('Catalog'!$B:$B,MATCH($G591,'Catalog'!$A:$A,0)),$B591))</f>
        <v>11EU XLח.בטן לאחר ניתוח</v>
      </c>
      <c r="I591" s="8" t="str">
        <f aca="false">IF($G591="","Unmatched","Matched")</f>
        <v>Matched</v>
      </c>
    </row>
    <row r="592" customFormat="false" ht="15" hidden="false" customHeight="false" outlineLevel="0" collapsed="false">
      <c r="A592" s="8" t="s">
        <v>572</v>
      </c>
      <c r="B592" s="8" t="s">
        <v>581</v>
      </c>
      <c r="C592" s="19" t="n">
        <v>1</v>
      </c>
      <c r="D592" s="19" t="n">
        <v>118.54</v>
      </c>
      <c r="E592" s="19" t="n">
        <v>4</v>
      </c>
      <c r="F592" s="19" t="n">
        <v>474.17</v>
      </c>
      <c r="G592" s="8" t="n">
        <f aca="false">IFERROR(INDEX('TRANS'!$B:$B,MATCH($B592,'TRANS'!$A:$A,0)),IFERROR(INDEX('TRANS'!$B:$B,MATCH(TRIM(SUBSTITUTE($B592,CHAR(160)," ")),'TRANS'!$D:$D,0)),IFERROR(INDEX('Catalog'!$A:$A,MATCH($B592,'Catalog'!$B:$B,0)),IFERROR(INDEX('Catalog'!$A:$A,MATCH(TRIM(SUBSTITUTE($B592,CHAR(160)," ")),'Catalog'!$C:$C,0)),""))))</f>
        <v>4413018</v>
      </c>
      <c r="H592" s="8" t="str">
        <f aca="false">IFERROR(INDEX('TRANS'!$C:$C,MATCH($B592,'TRANS'!$A:$A,0)),IFERROR(INDEX('Catalog'!$B:$B,MATCH($G592,'Catalog'!$A:$A,0)),$B592))</f>
        <v>303 37-38 מדרסי סיליק.לח.סכרת</v>
      </c>
      <c r="I592" s="8" t="str">
        <f aca="false">IF($G592="","Unmatched","Matched")</f>
        <v>Matched</v>
      </c>
    </row>
    <row r="593" customFormat="false" ht="15" hidden="false" customHeight="false" outlineLevel="0" collapsed="false">
      <c r="A593" s="8" t="s">
        <v>572</v>
      </c>
      <c r="B593" s="8" t="s">
        <v>582</v>
      </c>
      <c r="C593" s="19" t="n">
        <v>4</v>
      </c>
      <c r="D593" s="19" t="n">
        <v>474.16</v>
      </c>
      <c r="E593" s="19" t="n">
        <v>6</v>
      </c>
      <c r="F593" s="19" t="n">
        <v>711.22</v>
      </c>
      <c r="G593" s="8" t="str">
        <f aca="false">IFERROR(INDEX('TRANS'!$B:$B,MATCH($B593,'TRANS'!$A:$A,0)),IFERROR(INDEX('TRANS'!$B:$B,MATCH(TRIM(SUBSTITUTE($B593,CHAR(160)," ")),'TRANS'!$D:$D,0)),IFERROR(INDEX('Catalog'!$A:$A,MATCH($B593,'Catalog'!$B:$B,0)),IFERROR(INDEX('Catalog'!$A:$A,MATCH(TRIM(SUBSTITUTE($B593,CHAR(160)," ")),'Catalog'!$C:$C,0)),""))))</f>
        <v/>
      </c>
      <c r="H593" s="8" t="str">
        <f aca="false">IFERROR(INDEX('TRANS'!$C:$C,MATCH($B593,'TRANS'!$A:$A,0)),IFERROR(INDEX('Catalog'!$B:$B,MATCH($G593,'Catalog'!$A:$A,0)),$B593))</f>
        <v>303-39-40</v>
      </c>
      <c r="I593" s="8" t="str">
        <f aca="false">IF($G593="","Unmatched","Matched")</f>
        <v>Unmatched</v>
      </c>
    </row>
    <row r="594" customFormat="false" ht="15" hidden="false" customHeight="false" outlineLevel="0" collapsed="false">
      <c r="A594" s="8" t="s">
        <v>572</v>
      </c>
      <c r="B594" s="8" t="s">
        <v>583</v>
      </c>
      <c r="C594" s="19" t="n">
        <v>5</v>
      </c>
      <c r="D594" s="19" t="n">
        <v>592.7</v>
      </c>
      <c r="E594" s="19" t="n">
        <v>12</v>
      </c>
      <c r="F594" s="19" t="n">
        <v>1228.38</v>
      </c>
      <c r="G594" s="8" t="n">
        <f aca="false">IFERROR(INDEX('TRANS'!$B:$B,MATCH($B594,'TRANS'!$A:$A,0)),IFERROR(INDEX('TRANS'!$B:$B,MATCH(TRIM(SUBSTITUTE($B594,CHAR(160)," ")),'TRANS'!$D:$D,0)),IFERROR(INDEX('Catalog'!$A:$A,MATCH($B594,'Catalog'!$B:$B,0)),IFERROR(INDEX('Catalog'!$A:$A,MATCH(TRIM(SUBSTITUTE($B594,CHAR(160)," ")),'Catalog'!$C:$C,0)),""))))</f>
        <v>4413020</v>
      </c>
      <c r="H594" s="8" t="str">
        <f aca="false">IFERROR(INDEX('TRANS'!$C:$C,MATCH($B594,'TRANS'!$A:$A,0)),IFERROR(INDEX('Catalog'!$B:$B,MATCH($G594,'Catalog'!$A:$A,0)),$B594))</f>
        <v>303 41-42 מדרסי סיליק.לח.סכרת</v>
      </c>
      <c r="I594" s="8" t="str">
        <f aca="false">IF($G594="","Unmatched","Matched")</f>
        <v>Matched</v>
      </c>
    </row>
    <row r="595" customFormat="false" ht="15" hidden="false" customHeight="false" outlineLevel="0" collapsed="false">
      <c r="A595" s="8" t="s">
        <v>572</v>
      </c>
      <c r="B595" s="8" t="s">
        <v>584</v>
      </c>
      <c r="C595" s="19" t="n">
        <v>14</v>
      </c>
      <c r="D595" s="19" t="n">
        <v>1658.79</v>
      </c>
      <c r="E595" s="19" t="n">
        <v>8</v>
      </c>
      <c r="F595" s="19" t="n">
        <v>793.04</v>
      </c>
      <c r="G595" s="8" t="str">
        <f aca="false">IFERROR(INDEX('TRANS'!$B:$B,MATCH($B595,'TRANS'!$A:$A,0)),IFERROR(INDEX('TRANS'!$B:$B,MATCH(TRIM(SUBSTITUTE($B595,CHAR(160)," ")),'TRANS'!$D:$D,0)),IFERROR(INDEX('Catalog'!$A:$A,MATCH($B595,'Catalog'!$B:$B,0)),IFERROR(INDEX('Catalog'!$A:$A,MATCH(TRIM(SUBSTITUTE($B595,CHAR(160)," ")),'Catalog'!$C:$C,0)),""))))</f>
        <v/>
      </c>
      <c r="H595" s="8" t="str">
        <f aca="false">IFERROR(INDEX('TRANS'!$C:$C,MATCH($B595,'TRANS'!$A:$A,0)),IFERROR(INDEX('Catalog'!$B:$B,MATCH($G595,'Catalog'!$A:$A,0)),$B595))</f>
        <v>303-43-44</v>
      </c>
      <c r="I595" s="8" t="str">
        <f aca="false">IF($G595="","Unmatched","Matched")</f>
        <v>Unmatched</v>
      </c>
    </row>
    <row r="596" customFormat="false" ht="15" hidden="false" customHeight="false" outlineLevel="0" collapsed="false">
      <c r="A596" s="8" t="s">
        <v>572</v>
      </c>
      <c r="B596" s="8" t="s">
        <v>585</v>
      </c>
      <c r="C596" s="19" t="n">
        <v>12</v>
      </c>
      <c r="D596" s="19" t="n">
        <v>1421.97</v>
      </c>
      <c r="E596" s="19" t="n">
        <v>9</v>
      </c>
      <c r="F596" s="19" t="n">
        <v>911.58</v>
      </c>
      <c r="G596" s="8" t="n">
        <f aca="false">IFERROR(INDEX('TRANS'!$B:$B,MATCH($B596,'TRANS'!$A:$A,0)),IFERROR(INDEX('TRANS'!$B:$B,MATCH(TRIM(SUBSTITUTE($B596,CHAR(160)," ")),'TRANS'!$D:$D,0)),IFERROR(INDEX('Catalog'!$A:$A,MATCH($B596,'Catalog'!$B:$B,0)),IFERROR(INDEX('Catalog'!$A:$A,MATCH(TRIM(SUBSTITUTE($B596,CHAR(160)," ")),'Catalog'!$C:$C,0)),""))))</f>
        <v>4413022</v>
      </c>
      <c r="H596" s="8" t="str">
        <f aca="false">IFERROR(INDEX('TRANS'!$C:$C,MATCH($B596,'TRANS'!$A:$A,0)),IFERROR(INDEX('Catalog'!$B:$B,MATCH($G596,'Catalog'!$A:$A,0)),$B596))</f>
        <v>303 45-46 מדרסי סיליק.לח.סכרת</v>
      </c>
      <c r="I596" s="8" t="str">
        <f aca="false">IF($G596="","Unmatched","Matched")</f>
        <v>Matched</v>
      </c>
    </row>
    <row r="597" customFormat="false" ht="15" hidden="false" customHeight="false" outlineLevel="0" collapsed="false">
      <c r="A597" s="8" t="s">
        <v>572</v>
      </c>
      <c r="B597" s="8" t="s">
        <v>120</v>
      </c>
      <c r="C597" s="19" t="n">
        <v>33</v>
      </c>
      <c r="D597" s="19" t="n">
        <v>2290.18</v>
      </c>
      <c r="E597" s="19" t="n">
        <v>23</v>
      </c>
      <c r="F597" s="19" t="n">
        <v>1835.74</v>
      </c>
      <c r="G597" s="8" t="n">
        <f aca="false">IFERROR(INDEX('TRANS'!$B:$B,MATCH($B597,'TRANS'!$A:$A,0)),IFERROR(INDEX('TRANS'!$B:$B,MATCH(TRIM(SUBSTITUTE($B597,CHAR(160)," ")),'TRANS'!$D:$D,0)),IFERROR(INDEX('Catalog'!$A:$A,MATCH($B597,'Catalog'!$B:$B,0)),IFERROR(INDEX('Catalog'!$A:$A,MATCH(TRIM(SUBSTITUTE($B597,CHAR(160)," ")),'Catalog'!$C:$C,0)),""))))</f>
        <v>4416000</v>
      </c>
      <c r="H597" s="8" t="str">
        <f aca="false">IFERROR(INDEX('TRANS'!$C:$C,MATCH($B597,'TRANS'!$A:$A,0)),IFERROR(INDEX('Catalog'!$B:$B,MATCH($G597,'Catalog'!$A:$A,0)),$B597))</f>
        <v>307 L עקבים לדורבן-זוג כריות</v>
      </c>
      <c r="I597" s="8" t="str">
        <f aca="false">IF($G597="","Unmatched","Matched")</f>
        <v>Matched</v>
      </c>
    </row>
    <row r="598" customFormat="false" ht="15" hidden="false" customHeight="false" outlineLevel="0" collapsed="false">
      <c r="A598" s="8" t="s">
        <v>572</v>
      </c>
      <c r="B598" s="8" t="s">
        <v>121</v>
      </c>
      <c r="C598" s="19" t="n">
        <v>24</v>
      </c>
      <c r="D598" s="19" t="n">
        <v>1661.55</v>
      </c>
      <c r="E598" s="19" t="n">
        <v>22</v>
      </c>
      <c r="F598" s="19" t="n">
        <v>1725.01</v>
      </c>
      <c r="G598" s="8" t="n">
        <f aca="false">IFERROR(INDEX('TRANS'!$B:$B,MATCH($B598,'TRANS'!$A:$A,0)),IFERROR(INDEX('TRANS'!$B:$B,MATCH(TRIM(SUBSTITUTE($B598,CHAR(160)," ")),'TRANS'!$D:$D,0)),IFERROR(INDEX('Catalog'!$A:$A,MATCH($B598,'Catalog'!$B:$B,0)),IFERROR(INDEX('Catalog'!$A:$A,MATCH(TRIM(SUBSTITUTE($B598,CHAR(160)," ")),'Catalog'!$C:$C,0)),""))))</f>
        <v>4416001</v>
      </c>
      <c r="H598" s="8" t="str">
        <f aca="false">IFERROR(INDEX('TRANS'!$C:$C,MATCH($B598,'TRANS'!$A:$A,0)),IFERROR(INDEX('Catalog'!$B:$B,MATCH($G598,'Catalog'!$A:$A,0)),$B598))</f>
        <v>307 M עקבים לדורבן-זוג כריות</v>
      </c>
      <c r="I598" s="8" t="str">
        <f aca="false">IF($G598="","Unmatched","Matched")</f>
        <v>Matched</v>
      </c>
    </row>
    <row r="599" customFormat="false" ht="15" hidden="false" customHeight="false" outlineLevel="0" collapsed="false">
      <c r="A599" s="8" t="s">
        <v>572</v>
      </c>
      <c r="B599" s="8" t="s">
        <v>122</v>
      </c>
      <c r="C599" s="19" t="n">
        <v>21</v>
      </c>
      <c r="D599" s="19" t="n">
        <v>1433.15</v>
      </c>
      <c r="E599" s="19" t="n">
        <v>13</v>
      </c>
      <c r="F599" s="19" t="n">
        <v>1212.13</v>
      </c>
      <c r="G599" s="8" t="n">
        <f aca="false">IFERROR(INDEX('TRANS'!$B:$B,MATCH($B599,'TRANS'!$A:$A,0)),IFERROR(INDEX('TRANS'!$B:$B,MATCH(TRIM(SUBSTITUTE($B599,CHAR(160)," ")),'TRANS'!$D:$D,0)),IFERROR(INDEX('Catalog'!$A:$A,MATCH($B599,'Catalog'!$B:$B,0)),IFERROR(INDEX('Catalog'!$A:$A,MATCH(TRIM(SUBSTITUTE($B599,CHAR(160)," ")),'Catalog'!$C:$C,0)),""))))</f>
        <v>4411016</v>
      </c>
      <c r="H599" s="8" t="str">
        <f aca="false">IFERROR(INDEX('TRANS'!$C:$C,MATCH($B599,'TRANS'!$A:$A,0)),IFERROR(INDEX('Catalog'!$B:$B,MATCH($G599,'Catalog'!$A:$A,0)),$B599))</f>
        <v>307 XL כרית סיליקון לעקב</v>
      </c>
      <c r="I599" s="8" t="str">
        <f aca="false">IF($G599="","Unmatched","Matched")</f>
        <v>Matched</v>
      </c>
    </row>
    <row r="600" customFormat="false" ht="15" hidden="false" customHeight="false" outlineLevel="0" collapsed="false">
      <c r="A600" s="8" t="s">
        <v>572</v>
      </c>
      <c r="B600" s="8" t="s">
        <v>422</v>
      </c>
      <c r="C600" s="19" t="n">
        <v>178</v>
      </c>
      <c r="D600" s="19" t="n">
        <v>24223.45</v>
      </c>
      <c r="E600" s="19" t="n">
        <v>107</v>
      </c>
      <c r="F600" s="19" t="n">
        <v>14980.23</v>
      </c>
      <c r="G600" s="8" t="n">
        <f aca="false">IFERROR(INDEX('TRANS'!$B:$B,MATCH($B600,'TRANS'!$A:$A,0)),IFERROR(INDEX('TRANS'!$B:$B,MATCH(TRIM(SUBSTITUTE($B600,CHAR(160)," ")),'TRANS'!$D:$D,0)),IFERROR(INDEX('Catalog'!$A:$A,MATCH($B600,'Catalog'!$B:$B,0)),IFERROR(INDEX('Catalog'!$A:$A,MATCH(TRIM(SUBSTITUTE($B600,CHAR(160)," ")),'Catalog'!$C:$C,0)),""))))</f>
        <v>4413196</v>
      </c>
      <c r="H600" s="8" t="str">
        <f aca="false">IFERROR(INDEX('TRANS'!$C:$C,MATCH($B600,'TRANS'!$A:$A,0)),IFERROR(INDEX('Catalog'!$B:$B,MATCH($G600,'Catalog'!$A:$A,0)),$B600))</f>
        <v>87 M מקבע כתף ויד</v>
      </c>
      <c r="I600" s="8" t="str">
        <f aca="false">IF($G600="","Unmatched","Matched")</f>
        <v>Matched</v>
      </c>
    </row>
    <row r="601" customFormat="false" ht="15" hidden="false" customHeight="false" outlineLevel="0" collapsed="false">
      <c r="A601" s="8" t="s">
        <v>572</v>
      </c>
      <c r="B601" s="8" t="s">
        <v>423</v>
      </c>
      <c r="C601" s="19" t="n">
        <v>136</v>
      </c>
      <c r="D601" s="19" t="n">
        <v>18501.11</v>
      </c>
      <c r="E601" s="19" t="n">
        <v>109</v>
      </c>
      <c r="F601" s="19" t="n">
        <v>15260.15</v>
      </c>
      <c r="G601" s="8" t="n">
        <f aca="false">IFERROR(INDEX('TRANS'!$B:$B,MATCH($B601,'TRANS'!$A:$A,0)),IFERROR(INDEX('TRANS'!$B:$B,MATCH(TRIM(SUBSTITUTE($B601,CHAR(160)," ")),'TRANS'!$D:$D,0)),IFERROR(INDEX('Catalog'!$A:$A,MATCH($B601,'Catalog'!$B:$B,0)),IFERROR(INDEX('Catalog'!$A:$A,MATCH(TRIM(SUBSTITUTE($B601,CHAR(160)," ")),'Catalog'!$C:$C,0)),""))))</f>
        <v>4413198</v>
      </c>
      <c r="H601" s="8" t="str">
        <f aca="false">IFERROR(INDEX('TRANS'!$C:$C,MATCH($B601,'TRANS'!$A:$A,0)),IFERROR(INDEX('Catalog'!$B:$B,MATCH($G601,'Catalog'!$A:$A,0)),$B601))</f>
        <v>87 XL מקבע כתף ויד</v>
      </c>
      <c r="I601" s="8" t="str">
        <f aca="false">IF($G601="","Unmatched","Matched")</f>
        <v>Matched</v>
      </c>
    </row>
    <row r="602" customFormat="false" ht="15" hidden="false" customHeight="false" outlineLevel="0" collapsed="false">
      <c r="A602" s="8" t="s">
        <v>572</v>
      </c>
      <c r="B602" s="8" t="s">
        <v>56</v>
      </c>
      <c r="C602" s="19" t="n">
        <v>22</v>
      </c>
      <c r="D602" s="19" t="n">
        <v>2224.72</v>
      </c>
      <c r="E602" s="19" t="n">
        <v>21</v>
      </c>
      <c r="F602" s="19" t="n">
        <v>2164.51</v>
      </c>
      <c r="G602" s="8" t="n">
        <f aca="false">IFERROR(INDEX('TRANS'!$B:$B,MATCH($B602,'TRANS'!$A:$A,0)),IFERROR(INDEX('TRANS'!$B:$B,MATCH(TRIM(SUBSTITUTE($B602,CHAR(160)," ")),'TRANS'!$D:$D,0)),IFERROR(INDEX('Catalog'!$A:$A,MATCH($B602,'Catalog'!$B:$B,0)),IFERROR(INDEX('Catalog'!$A:$A,MATCH(TRIM(SUBSTITUTE($B602,CHAR(160)," ")),'Catalog'!$C:$C,0)),""))))</f>
        <v>4413328</v>
      </c>
      <c r="H602" s="8" t="str">
        <f aca="false">IFERROR(INDEX('TRANS'!$C:$C,MATCH($B602,'TRANS'!$A:$A,0)),IFERROR(INDEX('Catalog'!$B:$B,MATCH($G602,'Catalog'!$A:$A,0)),$B602))</f>
        <v>AC43D מגן ברך + צירים</v>
      </c>
      <c r="I602" s="8" t="str">
        <f aca="false">IF($G602="","Unmatched","Matched")</f>
        <v>Matched</v>
      </c>
    </row>
    <row r="603" customFormat="false" ht="15" hidden="false" customHeight="false" outlineLevel="0" collapsed="false">
      <c r="A603" s="8" t="s">
        <v>572</v>
      </c>
      <c r="B603" s="8" t="s">
        <v>460</v>
      </c>
      <c r="C603" s="19" t="n">
        <v>58</v>
      </c>
      <c r="D603" s="19" t="n">
        <v>5957.14</v>
      </c>
      <c r="E603" s="19" t="n">
        <v>46</v>
      </c>
      <c r="F603" s="19" t="n">
        <v>4796.82</v>
      </c>
      <c r="G603" s="8" t="n">
        <f aca="false">IFERROR(INDEX('TRANS'!$B:$B,MATCH($B603,'TRANS'!$A:$A,0)),IFERROR(INDEX('TRANS'!$B:$B,MATCH(TRIM(SUBSTITUTE($B603,CHAR(160)," ")),'TRANS'!$D:$D,0)),IFERROR(INDEX('Catalog'!$A:$A,MATCH($B603,'Catalog'!$B:$B,0)),IFERROR(INDEX('Catalog'!$A:$A,MATCH(TRIM(SUBSTITUTE($B603,CHAR(160)," ")),'Catalog'!$C:$C,0)),""))))</f>
        <v>4408261</v>
      </c>
      <c r="H603" s="8" t="str">
        <f aca="false">IFERROR(INDEX('TRANS'!$C:$C,MATCH($B603,'TRANS'!$A:$A,0)),IFERROR(INDEX('Catalog'!$B:$B,MATCH($G603,'Catalog'!$A:$A,0)),$B603))</f>
        <v>11STO L חגורה אחרי ניתוח</v>
      </c>
      <c r="I603" s="8" t="str">
        <f aca="false">IF($G603="","Unmatched","Matched")</f>
        <v>Matched</v>
      </c>
    </row>
    <row r="604" customFormat="false" ht="15" hidden="false" customHeight="false" outlineLevel="0" collapsed="false">
      <c r="A604" s="8" t="s">
        <v>572</v>
      </c>
      <c r="B604" s="8" t="s">
        <v>586</v>
      </c>
      <c r="C604" s="19" t="n">
        <v>51</v>
      </c>
      <c r="D604" s="19" t="n">
        <v>7010.04</v>
      </c>
      <c r="E604" s="19" t="n">
        <v>35</v>
      </c>
      <c r="F604" s="19" t="n">
        <v>4900.04</v>
      </c>
      <c r="G604" s="8" t="n">
        <f aca="false">IFERROR(INDEX('TRANS'!$B:$B,MATCH($B604,'TRANS'!$A:$A,0)),IFERROR(INDEX('TRANS'!$B:$B,MATCH(TRIM(SUBSTITUTE($B604,CHAR(160)," ")),'TRANS'!$D:$D,0)),IFERROR(INDEX('Catalog'!$A:$A,MATCH($B604,'Catalog'!$B:$B,0)),IFERROR(INDEX('Catalog'!$A:$A,MATCH(TRIM(SUBSTITUTE($B604,CHAR(160)," ")),'Catalog'!$C:$C,0)),""))))</f>
        <v>4413204</v>
      </c>
      <c r="H604" s="8" t="str">
        <f aca="false">IFERROR(INDEX('TRANS'!$C:$C,MATCH($B604,'TRANS'!$A:$A,0)),IFERROR(INDEX('Catalog'!$B:$B,MATCH($G604,'Catalog'!$A:$A,0)),$B604))</f>
        <v>87 XXL מקבע כתף ויד</v>
      </c>
      <c r="I604" s="8" t="str">
        <f aca="false">IF($G604="","Unmatched","Matched")</f>
        <v>Matched</v>
      </c>
    </row>
    <row r="605" customFormat="false" ht="15" hidden="false" customHeight="false" outlineLevel="0" collapsed="false">
      <c r="A605" s="8" t="s">
        <v>572</v>
      </c>
      <c r="B605" s="8" t="s">
        <v>587</v>
      </c>
      <c r="C605" s="19" t="n">
        <v>43</v>
      </c>
      <c r="D605" s="19" t="n">
        <v>4415.37</v>
      </c>
      <c r="E605" s="19" t="n">
        <v>26</v>
      </c>
      <c r="F605" s="19" t="n">
        <v>2696.88</v>
      </c>
      <c r="G605" s="8" t="n">
        <f aca="false">IFERROR(INDEX('TRANS'!$B:$B,MATCH($B605,'TRANS'!$A:$A,0)),IFERROR(INDEX('TRANS'!$B:$B,MATCH(TRIM(SUBSTITUTE($B605,CHAR(160)," ")),'TRANS'!$D:$D,0)),IFERROR(INDEX('Catalog'!$A:$A,MATCH($B605,'Catalog'!$B:$B,0)),IFERROR(INDEX('Catalog'!$A:$A,MATCH(TRIM(SUBSTITUTE($B605,CHAR(160)," ")),'Catalog'!$C:$C,0)),""))))</f>
        <v>4408260</v>
      </c>
      <c r="H605" s="8" t="str">
        <f aca="false">IFERROR(INDEX('TRANS'!$C:$C,MATCH($B605,'TRANS'!$A:$A,0)),IFERROR(INDEX('Catalog'!$B:$B,MATCH($G605,'Catalog'!$A:$A,0)),$B605))</f>
        <v>11STO M חגורה אחרי ניתוח</v>
      </c>
      <c r="I605" s="8" t="str">
        <f aca="false">IF($G605="","Unmatched","Matched")</f>
        <v>Matched</v>
      </c>
    </row>
    <row r="606" customFormat="false" ht="15" hidden="false" customHeight="false" outlineLevel="0" collapsed="false">
      <c r="A606" s="8" t="s">
        <v>572</v>
      </c>
      <c r="B606" s="8" t="s">
        <v>343</v>
      </c>
      <c r="C606" s="19" t="n">
        <v>64</v>
      </c>
      <c r="D606" s="19" t="n">
        <v>6776.37</v>
      </c>
      <c r="E606" s="19" t="n">
        <v>40</v>
      </c>
      <c r="F606" s="19" t="n">
        <v>4200.04</v>
      </c>
      <c r="G606" s="8" t="n">
        <f aca="false">IFERROR(INDEX('TRANS'!$B:$B,MATCH($B606,'TRANS'!$A:$A,0)),IFERROR(INDEX('TRANS'!$B:$B,MATCH(TRIM(SUBSTITUTE($B606,CHAR(160)," ")),'TRANS'!$D:$D,0)),IFERROR(INDEX('Catalog'!$A:$A,MATCH($B606,'Catalog'!$B:$B,0)),IFERROR(INDEX('Catalog'!$A:$A,MATCH(TRIM(SUBSTITUTE($B606,CHAR(160)," ")),'Catalog'!$C:$C,0)),""))))</f>
        <v>4408262</v>
      </c>
      <c r="H606" s="8" t="str">
        <f aca="false">IFERROR(INDEX('TRANS'!$C:$C,MATCH($B606,'TRANS'!$A:$A,0)),IFERROR(INDEX('Catalog'!$B:$B,MATCH($G606,'Catalog'!$A:$A,0)),$B606))</f>
        <v>11STO XL  חגורה אחרי ניתוח</v>
      </c>
      <c r="I606" s="8" t="str">
        <f aca="false">IF($G606="","Unmatched","Matched")</f>
        <v>Matched</v>
      </c>
    </row>
    <row r="607" customFormat="false" ht="15" hidden="false" customHeight="false" outlineLevel="0" collapsed="false">
      <c r="A607" s="8" t="s">
        <v>572</v>
      </c>
      <c r="B607" s="8" t="s">
        <v>75</v>
      </c>
      <c r="C607" s="19" t="n">
        <v>51</v>
      </c>
      <c r="D607" s="19" t="n">
        <v>5416.7</v>
      </c>
      <c r="E607" s="19" t="n">
        <v>28</v>
      </c>
      <c r="F607" s="19" t="n">
        <v>3150.05</v>
      </c>
      <c r="G607" s="8" t="n">
        <f aca="false">IFERROR(INDEX('TRANS'!$B:$B,MATCH($B607,'TRANS'!$A:$A,0)),IFERROR(INDEX('TRANS'!$B:$B,MATCH(TRIM(SUBSTITUTE($B607,CHAR(160)," ")),'TRANS'!$D:$D,0)),IFERROR(INDEX('Catalog'!$A:$A,MATCH($B607,'Catalog'!$B:$B,0)),IFERROR(INDEX('Catalog'!$A:$A,MATCH(TRIM(SUBSTITUTE($B607,CHAR(160)," ")),'Catalog'!$C:$C,0)),""))))</f>
        <v>4408263</v>
      </c>
      <c r="H607" s="8" t="str">
        <f aca="false">IFERROR(INDEX('TRANS'!$C:$C,MATCH($B607,'TRANS'!$A:$A,0)),IFERROR(INDEX('Catalog'!$B:$B,MATCH($G607,'Catalog'!$A:$A,0)),$B607))</f>
        <v>11STO XXL חגורה אחרי ניתוח</v>
      </c>
      <c r="I607" s="8" t="str">
        <f aca="false">IF($G607="","Unmatched","Matched")</f>
        <v>Matched</v>
      </c>
    </row>
    <row r="608" customFormat="false" ht="15" hidden="false" customHeight="false" outlineLevel="0" collapsed="false">
      <c r="A608" s="8" t="s">
        <v>572</v>
      </c>
      <c r="B608" s="8" t="s">
        <v>461</v>
      </c>
      <c r="C608" s="19" t="n">
        <v>16</v>
      </c>
      <c r="D608" s="19" t="n">
        <v>2291.7</v>
      </c>
      <c r="E608" s="19" t="n">
        <v>14</v>
      </c>
      <c r="F608" s="19" t="n">
        <v>1820.03</v>
      </c>
      <c r="G608" s="8" t="n">
        <f aca="false">IFERROR(INDEX('TRANS'!$B:$B,MATCH($B608,'TRANS'!$A:$A,0)),IFERROR(INDEX('TRANS'!$B:$B,MATCH(TRIM(SUBSTITUTE($B608,CHAR(160)," ")),'TRANS'!$D:$D,0)),IFERROR(INDEX('Catalog'!$A:$A,MATCH($B608,'Catalog'!$B:$B,0)),IFERROR(INDEX('Catalog'!$A:$A,MATCH(TRIM(SUBSTITUTE($B608,CHAR(160)," ")),'Catalog'!$C:$C,0)),""))))</f>
        <v>4408152</v>
      </c>
      <c r="H608" s="8" t="str">
        <f aca="false">IFERROR(INDEX('TRANS'!$C:$C,MATCH($B608,'TRANS'!$A:$A,0)),IFERROR(INDEX('Catalog'!$B:$B,MATCH($G608,'Catalog'!$A:$A,0)),$B608))</f>
        <v>11TO L חגורה למנותחי בית החזה</v>
      </c>
      <c r="I608" s="8" t="str">
        <f aca="false">IF($G608="","Unmatched","Matched")</f>
        <v>Matched</v>
      </c>
    </row>
    <row r="609" customFormat="false" ht="15" hidden="false" customHeight="false" outlineLevel="0" collapsed="false">
      <c r="A609" s="8" t="s">
        <v>572</v>
      </c>
      <c r="B609" s="8" t="s">
        <v>588</v>
      </c>
      <c r="C609" s="19" t="n">
        <v>1</v>
      </c>
      <c r="D609" s="19" t="n">
        <v>130.01</v>
      </c>
      <c r="E609" s="19" t="n">
        <v>3</v>
      </c>
      <c r="F609" s="19" t="n">
        <v>390</v>
      </c>
      <c r="G609" s="8" t="n">
        <f aca="false">IFERROR(INDEX('TRANS'!$B:$B,MATCH($B609,'TRANS'!$A:$A,0)),IFERROR(INDEX('TRANS'!$B:$B,MATCH(TRIM(SUBSTITUTE($B609,CHAR(160)," ")),'TRANS'!$D:$D,0)),IFERROR(INDEX('Catalog'!$A:$A,MATCH($B609,'Catalog'!$B:$B,0)),IFERROR(INDEX('Catalog'!$A:$A,MATCH(TRIM(SUBSTITUTE($B609,CHAR(160)," ")),'Catalog'!$C:$C,0)),""))))</f>
        <v>4408151</v>
      </c>
      <c r="H609" s="8" t="str">
        <f aca="false">IFERROR(INDEX('TRANS'!$C:$C,MATCH($B609,'TRANS'!$A:$A,0)),IFERROR(INDEX('Catalog'!$B:$B,MATCH($G609,'Catalog'!$A:$A,0)),$B609))</f>
        <v>11TO M חגורה למנותחי בית החזה</v>
      </c>
      <c r="I609" s="8" t="str">
        <f aca="false">IF($G609="","Unmatched","Matched")</f>
        <v>Matched</v>
      </c>
    </row>
    <row r="610" customFormat="false" ht="15" hidden="false" customHeight="false" outlineLevel="0" collapsed="false">
      <c r="A610" s="8" t="s">
        <v>572</v>
      </c>
      <c r="B610" s="8" t="s">
        <v>344</v>
      </c>
      <c r="C610" s="19" t="n">
        <v>40</v>
      </c>
      <c r="D610" s="19" t="n">
        <v>5598.45</v>
      </c>
      <c r="E610" s="19" t="n">
        <v>26</v>
      </c>
      <c r="F610" s="19" t="n">
        <v>3379.96</v>
      </c>
      <c r="G610" s="8" t="n">
        <f aca="false">IFERROR(INDEX('TRANS'!$B:$B,MATCH($B610,'TRANS'!$A:$A,0)),IFERROR(INDEX('TRANS'!$B:$B,MATCH(TRIM(SUBSTITUTE($B610,CHAR(160)," ")),'TRANS'!$D:$D,0)),IFERROR(INDEX('Catalog'!$A:$A,MATCH($B610,'Catalog'!$B:$B,0)),IFERROR(INDEX('Catalog'!$A:$A,MATCH(TRIM(SUBSTITUTE($B610,CHAR(160)," ")),'Catalog'!$C:$C,0)),""))))</f>
        <v>4408153</v>
      </c>
      <c r="H610" s="8" t="str">
        <f aca="false">IFERROR(INDEX('TRANS'!$C:$C,MATCH($B610,'TRANS'!$A:$A,0)),IFERROR(INDEX('Catalog'!$B:$B,MATCH($G610,'Catalog'!$A:$A,0)),$B610))</f>
        <v>11TO XLחגורה למנותחי בית החזה</v>
      </c>
      <c r="I610" s="8" t="str">
        <f aca="false">IF($G610="","Unmatched","Matched")</f>
        <v>Matched</v>
      </c>
    </row>
    <row r="611" customFormat="false" ht="15" hidden="false" customHeight="false" outlineLevel="0" collapsed="false">
      <c r="A611" s="8" t="s">
        <v>572</v>
      </c>
      <c r="B611" s="8" t="s">
        <v>76</v>
      </c>
      <c r="C611" s="19" t="n">
        <v>68</v>
      </c>
      <c r="D611" s="19" t="n">
        <v>9400.21</v>
      </c>
      <c r="E611" s="19" t="n">
        <v>73</v>
      </c>
      <c r="F611" s="19" t="n">
        <v>9489.82</v>
      </c>
      <c r="G611" s="8" t="n">
        <f aca="false">IFERROR(INDEX('TRANS'!$B:$B,MATCH($B611,'TRANS'!$A:$A,0)),IFERROR(INDEX('TRANS'!$B:$B,MATCH(TRIM(SUBSTITUTE($B611,CHAR(160)," ")),'TRANS'!$D:$D,0)),IFERROR(INDEX('Catalog'!$A:$A,MATCH($B611,'Catalog'!$B:$B,0)),IFERROR(INDEX('Catalog'!$A:$A,MATCH(TRIM(SUBSTITUTE($B611,CHAR(160)," ")),'Catalog'!$C:$C,0)),""))))</f>
        <v>4408154</v>
      </c>
      <c r="H611" s="8" t="str">
        <f aca="false">IFERROR(INDEX('TRANS'!$C:$C,MATCH($B611,'TRANS'!$A:$A,0)),IFERROR(INDEX('Catalog'!$B:$B,MATCH($G611,'Catalog'!$A:$A,0)),$B611))</f>
        <v>11TO XXLחגורה למנותחי בית החזה</v>
      </c>
      <c r="I611" s="8" t="str">
        <f aca="false">IF($G611="","Unmatched","Matched")</f>
        <v>Matched</v>
      </c>
    </row>
    <row r="612" customFormat="false" ht="15" hidden="false" customHeight="false" outlineLevel="0" collapsed="false">
      <c r="A612" s="8" t="s">
        <v>572</v>
      </c>
      <c r="B612" s="8" t="s">
        <v>82</v>
      </c>
      <c r="C612" s="19" t="n">
        <v>61</v>
      </c>
      <c r="D612" s="19" t="n">
        <v>10275.08</v>
      </c>
      <c r="E612" s="19" t="n">
        <v>30</v>
      </c>
      <c r="F612" s="19" t="n">
        <v>5078.82</v>
      </c>
      <c r="G612" s="8" t="n">
        <f aca="false">IFERROR(INDEX('TRANS'!$B:$B,MATCH($B612,'TRANS'!$A:$A,0)),IFERROR(INDEX('TRANS'!$B:$B,MATCH(TRIM(SUBSTITUTE($B612,CHAR(160)," ")),'TRANS'!$D:$D,0)),IFERROR(INDEX('Catalog'!$A:$A,MATCH($B612,'Catalog'!$B:$B,0)),IFERROR(INDEX('Catalog'!$A:$A,MATCH(TRIM(SUBSTITUTE($B612,CHAR(160)," ")),'Catalog'!$C:$C,0)),""))))</f>
        <v>4408203</v>
      </c>
      <c r="H612" s="8" t="str">
        <f aca="false">IFERROR(INDEX('TRANS'!$C:$C,MATCH($B612,'TRANS'!$A:$A,0)),IFERROR(INDEX('Catalog'!$B:$B,MATCH($G612,'Catalog'!$A:$A,0)),$B612))</f>
        <v>14 0 חגורה למנותחי בית חזה</v>
      </c>
      <c r="I612" s="8" t="str">
        <f aca="false">IF($G612="","Unmatched","Matched")</f>
        <v>Matched</v>
      </c>
    </row>
    <row r="613" customFormat="false" ht="15" hidden="false" customHeight="false" outlineLevel="0" collapsed="false">
      <c r="A613" s="8" t="s">
        <v>572</v>
      </c>
      <c r="B613" s="8" t="s">
        <v>100</v>
      </c>
      <c r="C613" s="19" t="n">
        <v>75</v>
      </c>
      <c r="D613" s="19" t="n">
        <v>1492.71</v>
      </c>
      <c r="E613" s="19" t="n">
        <v>76</v>
      </c>
      <c r="F613" s="19" t="n">
        <v>1528.15</v>
      </c>
      <c r="G613" s="8" t="n">
        <f aca="false">IFERROR(INDEX('TRANS'!$B:$B,MATCH($B613,'TRANS'!$A:$A,0)),IFERROR(INDEX('TRANS'!$B:$B,MATCH(TRIM(SUBSTITUTE($B613,CHAR(160)," ")),'TRANS'!$D:$D,0)),IFERROR(INDEX('Catalog'!$A:$A,MATCH($B613,'Catalog'!$B:$B,0)),IFERROR(INDEX('Catalog'!$A:$A,MATCH(TRIM(SUBSTITUTE($B613,CHAR(160)," ")),'Catalog'!$C:$C,0)),""))))</f>
        <v>4415162</v>
      </c>
      <c r="H613" s="8" t="str">
        <f aca="false">IFERROR(INDEX('TRANS'!$C:$C,MATCH($B613,'TRANS'!$A:$A,0)),IFERROR(INDEX('Catalog'!$B:$B,MATCH($G613,'Catalog'!$A:$A,0)),$B613))</f>
        <v>238L סד ליישור אצבע</v>
      </c>
      <c r="I613" s="8" t="str">
        <f aca="false">IF($G613="","Unmatched","Matched")</f>
        <v>Matched</v>
      </c>
    </row>
    <row r="614" customFormat="false" ht="15" hidden="false" customHeight="false" outlineLevel="0" collapsed="false">
      <c r="A614" s="8" t="s">
        <v>572</v>
      </c>
      <c r="B614" s="8" t="s">
        <v>589</v>
      </c>
      <c r="C614" s="19" t="n">
        <v>84</v>
      </c>
      <c r="D614" s="19" t="n">
        <v>1658.33</v>
      </c>
      <c r="E614" s="19" t="n">
        <v>86</v>
      </c>
      <c r="F614" s="19" t="n">
        <v>1729.21</v>
      </c>
      <c r="G614" s="8" t="n">
        <f aca="false">IFERROR(INDEX('TRANS'!$B:$B,MATCH($B614,'TRANS'!$A:$A,0)),IFERROR(INDEX('TRANS'!$B:$B,MATCH(TRIM(SUBSTITUTE($B614,CHAR(160)," ")),'TRANS'!$D:$D,0)),IFERROR(INDEX('Catalog'!$A:$A,MATCH($B614,'Catalog'!$B:$B,0)),IFERROR(INDEX('Catalog'!$A:$A,MATCH(TRIM(SUBSTITUTE($B614,CHAR(160)," ")),'Catalog'!$C:$C,0)),""))))</f>
        <v>4415161</v>
      </c>
      <c r="H614" s="8" t="str">
        <f aca="false">IFERROR(INDEX('TRANS'!$C:$C,MATCH($B614,'TRANS'!$A:$A,0)),IFERROR(INDEX('Catalog'!$B:$B,MATCH($G614,'Catalog'!$A:$A,0)),$B614))</f>
        <v>238M סד ליישור אצבע</v>
      </c>
      <c r="I614" s="8" t="str">
        <f aca="false">IF($G614="","Unmatched","Matched")</f>
        <v>Matched</v>
      </c>
    </row>
    <row r="615" customFormat="false" ht="15" hidden="false" customHeight="false" outlineLevel="0" collapsed="false">
      <c r="A615" s="8" t="s">
        <v>572</v>
      </c>
      <c r="B615" s="8" t="s">
        <v>101</v>
      </c>
      <c r="C615" s="19" t="n">
        <v>69</v>
      </c>
      <c r="D615" s="19" t="n">
        <v>1374.29</v>
      </c>
      <c r="E615" s="19" t="n">
        <v>53</v>
      </c>
      <c r="F615" s="19" t="n">
        <v>1065.68</v>
      </c>
      <c r="G615" s="8" t="n">
        <f aca="false">IFERROR(INDEX('TRANS'!$B:$B,MATCH($B615,'TRANS'!$A:$A,0)),IFERROR(INDEX('TRANS'!$B:$B,MATCH(TRIM(SUBSTITUTE($B615,CHAR(160)," ")),'TRANS'!$D:$D,0)),IFERROR(INDEX('Catalog'!$A:$A,MATCH($B615,'Catalog'!$B:$B,0)),IFERROR(INDEX('Catalog'!$A:$A,MATCH(TRIM(SUBSTITUTE($B615,CHAR(160)," ")),'Catalog'!$C:$C,0)),""))))</f>
        <v>4415160</v>
      </c>
      <c r="H615" s="8" t="str">
        <f aca="false">IFERROR(INDEX('TRANS'!$C:$C,MATCH($B615,'TRANS'!$A:$A,0)),IFERROR(INDEX('Catalog'!$B:$B,MATCH($G615,'Catalog'!$A:$A,0)),$B615))</f>
        <v>238S סד ליישור אצבע</v>
      </c>
      <c r="I615" s="8" t="str">
        <f aca="false">IF($G615="","Unmatched","Matched")</f>
        <v>Matched</v>
      </c>
    </row>
    <row r="616" customFormat="false" ht="15" hidden="false" customHeight="false" outlineLevel="0" collapsed="false">
      <c r="A616" s="8" t="s">
        <v>572</v>
      </c>
      <c r="B616" s="8" t="s">
        <v>590</v>
      </c>
      <c r="C616" s="19" t="n">
        <v>38</v>
      </c>
      <c r="D616" s="19" t="n">
        <v>746.55</v>
      </c>
      <c r="E616" s="19" t="n">
        <v>29</v>
      </c>
      <c r="F616" s="19" t="n">
        <v>583.13</v>
      </c>
      <c r="G616" s="8" t="n">
        <f aca="false">IFERROR(INDEX('TRANS'!$B:$B,MATCH($B616,'TRANS'!$A:$A,0)),IFERROR(INDEX('TRANS'!$B:$B,MATCH(TRIM(SUBSTITUTE($B616,CHAR(160)," ")),'TRANS'!$D:$D,0)),IFERROR(INDEX('Catalog'!$A:$A,MATCH($B616,'Catalog'!$B:$B,0)),IFERROR(INDEX('Catalog'!$A:$A,MATCH(TRIM(SUBSTITUTE($B616,CHAR(160)," ")),'Catalog'!$C:$C,0)),""))))</f>
        <v>4415163</v>
      </c>
      <c r="H616" s="8" t="str">
        <f aca="false">IFERROR(INDEX('TRANS'!$C:$C,MATCH($B616,'TRANS'!$A:$A,0)),IFERROR(INDEX('Catalog'!$B:$B,MATCH($G616,'Catalog'!$A:$A,0)),$B616))</f>
        <v>238XL סד ליישור אצבע</v>
      </c>
      <c r="I616" s="8" t="str">
        <f aca="false">IF($G616="","Unmatched","Matched")</f>
        <v>Matched</v>
      </c>
    </row>
    <row r="617" customFormat="false" ht="15" hidden="false" customHeight="false" outlineLevel="0" collapsed="false">
      <c r="A617" s="8" t="s">
        <v>572</v>
      </c>
      <c r="B617" s="8" t="s">
        <v>105</v>
      </c>
      <c r="C617" s="19" t="n">
        <v>53</v>
      </c>
      <c r="D617" s="19" t="n">
        <v>2075.38</v>
      </c>
      <c r="E617" s="19" t="n">
        <v>59</v>
      </c>
      <c r="F617" s="19" t="n">
        <v>2342.59</v>
      </c>
      <c r="G617" s="8" t="n">
        <f aca="false">IFERROR(INDEX('TRANS'!$B:$B,MATCH($B617,'TRANS'!$A:$A,0)),IFERROR(INDEX('TRANS'!$B:$B,MATCH(TRIM(SUBSTITUTE($B617,CHAR(160)," ")),'TRANS'!$D:$D,0)),IFERROR(INDEX('Catalog'!$A:$A,MATCH($B617,'Catalog'!$B:$B,0)),IFERROR(INDEX('Catalog'!$A:$A,MATCH(TRIM(SUBSTITUTE($B617,CHAR(160)," ")),'Catalog'!$C:$C,0)),""))))</f>
        <v>4421005</v>
      </c>
      <c r="H617" s="8" t="str">
        <f aca="false">IFERROR(INDEX('TRANS'!$C:$C,MATCH($B617,'TRANS'!$A:$A,0)),IFERROR(INDEX('Catalog'!$B:$B,MATCH($G617,'Catalog'!$A:$A,0)),$B617))</f>
        <v>שרוול לגבס קצר יד</v>
      </c>
      <c r="I617" s="8" t="str">
        <f aca="false">IF($G617="","Unmatched","Matched")</f>
        <v>Matched</v>
      </c>
    </row>
    <row r="618" customFormat="false" ht="15" hidden="false" customHeight="false" outlineLevel="0" collapsed="false">
      <c r="A618" s="8" t="s">
        <v>572</v>
      </c>
      <c r="B618" s="8" t="s">
        <v>106</v>
      </c>
      <c r="C618" s="19" t="n">
        <v>80</v>
      </c>
      <c r="D618" s="19" t="n">
        <v>3308.28</v>
      </c>
      <c r="E618" s="19" t="n">
        <v>55</v>
      </c>
      <c r="F618" s="19" t="n">
        <v>2311.77</v>
      </c>
      <c r="G618" s="8" t="n">
        <f aca="false">IFERROR(INDEX('TRANS'!$B:$B,MATCH($B618,'TRANS'!$A:$A,0)),IFERROR(INDEX('TRANS'!$B:$B,MATCH(TRIM(SUBSTITUTE($B618,CHAR(160)," ")),'TRANS'!$D:$D,0)),IFERROR(INDEX('Catalog'!$A:$A,MATCH($B618,'Catalog'!$B:$B,0)),IFERROR(INDEX('Catalog'!$A:$A,MATCH(TRIM(SUBSTITUTE($B618,CHAR(160)," ")),'Catalog'!$C:$C,0)),""))))</f>
        <v>4421006</v>
      </c>
      <c r="H618" s="8" t="str">
        <f aca="false">IFERROR(INDEX('TRANS'!$C:$C,MATCH($B618,'TRANS'!$A:$A,0)),IFERROR(INDEX('Catalog'!$B:$B,MATCH($G618,'Catalog'!$A:$A,0)),$B618))</f>
        <v>שרוול לגבס ארוך יד</v>
      </c>
      <c r="I618" s="8" t="str">
        <f aca="false">IF($G618="","Unmatched","Matched")</f>
        <v>Matched</v>
      </c>
    </row>
    <row r="619" customFormat="false" ht="15" hidden="false" customHeight="false" outlineLevel="0" collapsed="false">
      <c r="A619" s="8" t="s">
        <v>572</v>
      </c>
      <c r="B619" s="8" t="s">
        <v>110</v>
      </c>
      <c r="C619" s="19" t="n">
        <v>65</v>
      </c>
      <c r="D619" s="19" t="n">
        <v>4853.2</v>
      </c>
      <c r="E619" s="19" t="n">
        <v>46</v>
      </c>
      <c r="F619" s="19" t="n">
        <v>3493.66</v>
      </c>
      <c r="G619" s="8" t="n">
        <f aca="false">IFERROR(INDEX('TRANS'!$B:$B,MATCH($B619,'TRANS'!$A:$A,0)),IFERROR(INDEX('TRANS'!$B:$B,MATCH(TRIM(SUBSTITUTE($B619,CHAR(160)," ")),'TRANS'!$D:$D,0)),IFERROR(INDEX('Catalog'!$A:$A,MATCH($B619,'Catalog'!$B:$B,0)),IFERROR(INDEX('Catalog'!$A:$A,MATCH(TRIM(SUBSTITUTE($B619,CHAR(160)," ")),'Catalog'!$C:$C,0)),""))))</f>
        <v>4415159</v>
      </c>
      <c r="H619" s="8" t="str">
        <f aca="false">IFERROR(INDEX('TRANS'!$C:$C,MATCH($B619,'TRANS'!$A:$A,0)),IFERROR(INDEX('Catalog'!$B:$B,MATCH($G619,'Catalog'!$A:$A,0)),$B619))</f>
        <v>268 סד לאגודל</v>
      </c>
      <c r="I619" s="8" t="str">
        <f aca="false">IF($G619="","Unmatched","Matched")</f>
        <v>Matched</v>
      </c>
    </row>
    <row r="620" customFormat="false" ht="15" hidden="false" customHeight="false" outlineLevel="0" collapsed="false">
      <c r="A620" s="8" t="s">
        <v>572</v>
      </c>
      <c r="B620" s="8" t="s">
        <v>114</v>
      </c>
      <c r="C620" s="19" t="n">
        <v>17</v>
      </c>
      <c r="D620" s="19" t="n">
        <v>1045.75</v>
      </c>
      <c r="E620" s="19" t="n">
        <v>12</v>
      </c>
      <c r="F620" s="19" t="n">
        <v>831.97</v>
      </c>
      <c r="G620" s="8" t="n">
        <f aca="false">IFERROR(INDEX('TRANS'!$B:$B,MATCH($B620,'TRANS'!$A:$A,0)),IFERROR(INDEX('TRANS'!$B:$B,MATCH(TRIM(SUBSTITUTE($B620,CHAR(160)," ")),'TRANS'!$D:$D,0)),IFERROR(INDEX('Catalog'!$A:$A,MATCH($B620,'Catalog'!$B:$B,0)),IFERROR(INDEX('Catalog'!$A:$A,MATCH(TRIM(SUBSTITUTE($B620,CHAR(160)," ")),'Catalog'!$C:$C,0)),""))))</f>
        <v>4413348</v>
      </c>
      <c r="H620" s="8" t="str">
        <f aca="false">IFERROR(INDEX('TRANS'!$C:$C,MATCH($B620,'TRANS'!$A:$A,0)),IFERROR(INDEX('Catalog'!$B:$B,MATCH($G620,'Catalog'!$A:$A,0)),$B620))</f>
        <v>302 מדרס ג'ל לגבר</v>
      </c>
      <c r="I620" s="8" t="str">
        <f aca="false">IF($G620="","Unmatched","Matched")</f>
        <v>Matched</v>
      </c>
    </row>
    <row r="621" customFormat="false" ht="15" hidden="false" customHeight="false" outlineLevel="0" collapsed="false">
      <c r="A621" s="8" t="s">
        <v>572</v>
      </c>
      <c r="B621" s="8" t="s">
        <v>115</v>
      </c>
      <c r="C621" s="19" t="n">
        <v>18</v>
      </c>
      <c r="D621" s="19" t="n">
        <v>1085.18</v>
      </c>
      <c r="E621" s="19" t="n">
        <v>7</v>
      </c>
      <c r="F621" s="19" t="n">
        <v>475.98</v>
      </c>
      <c r="G621" s="8" t="n">
        <f aca="false">IFERROR(INDEX('TRANS'!$B:$B,MATCH($B621,'TRANS'!$A:$A,0)),IFERROR(INDEX('TRANS'!$B:$B,MATCH(TRIM(SUBSTITUTE($B621,CHAR(160)," ")),'TRANS'!$D:$D,0)),IFERROR(INDEX('Catalog'!$A:$A,MATCH($B621,'Catalog'!$B:$B,0)),IFERROR(INDEX('Catalog'!$A:$A,MATCH(TRIM(SUBSTITUTE($B621,CHAR(160)," ")),'Catalog'!$C:$C,0)),""))))</f>
        <v>4413372</v>
      </c>
      <c r="H621" s="8" t="str">
        <f aca="false">IFERROR(INDEX('TRANS'!$C:$C,MATCH($B621,'TRANS'!$A:$A,0)),IFERROR(INDEX('Catalog'!$B:$B,MATCH($G621,'Catalog'!$A:$A,0)),$B621))</f>
        <v>302 W מדרס לאישה</v>
      </c>
      <c r="I621" s="8" t="str">
        <f aca="false">IF($G621="","Unmatched","Matched")</f>
        <v>Matched</v>
      </c>
    </row>
    <row r="622" customFormat="false" ht="15" hidden="false" customHeight="false" outlineLevel="0" collapsed="false">
      <c r="A622" s="8" t="s">
        <v>572</v>
      </c>
      <c r="B622" s="8" t="s">
        <v>591</v>
      </c>
      <c r="C622" s="19" t="n">
        <v>4</v>
      </c>
      <c r="D622" s="19" t="n">
        <v>279.99</v>
      </c>
      <c r="E622" s="19" t="n">
        <v>6</v>
      </c>
      <c r="F622" s="19" t="n">
        <v>419.98</v>
      </c>
      <c r="G622" s="8" t="str">
        <f aca="false">IFERROR(INDEX('TRANS'!$B:$B,MATCH($B622,'TRANS'!$A:$A,0)),IFERROR(INDEX('TRANS'!$B:$B,MATCH(TRIM(SUBSTITUTE($B622,CHAR(160)," ")),'TRANS'!$D:$D,0)),IFERROR(INDEX('Catalog'!$A:$A,MATCH($B622,'Catalog'!$B:$B,0)),IFERROR(INDEX('Catalog'!$A:$A,MATCH(TRIM(SUBSTITUTE($B622,CHAR(160)," ")),'Catalog'!$C:$C,0)),""))))</f>
        <v/>
      </c>
      <c r="H622" s="8" t="str">
        <f aca="false">IFERROR(INDEX('TRANS'!$C:$C,MATCH($B622,'TRANS'!$A:$A,0)),IFERROR(INDEX('Catalog'!$B:$B,MATCH($G622,'Catalog'!$A:$A,0)),$B622))</f>
        <v>322 M</v>
      </c>
      <c r="I622" s="8" t="str">
        <f aca="false">IF($G622="","Unmatched","Matched")</f>
        <v>Unmatched</v>
      </c>
    </row>
    <row r="623" customFormat="false" ht="15" hidden="false" customHeight="false" outlineLevel="0" collapsed="false">
      <c r="A623" s="8" t="s">
        <v>572</v>
      </c>
      <c r="B623" s="8" t="s">
        <v>592</v>
      </c>
      <c r="C623" s="19" t="n">
        <v>1</v>
      </c>
      <c r="D623" s="19" t="n">
        <v>60</v>
      </c>
      <c r="E623" s="19" t="n">
        <v>0</v>
      </c>
      <c r="F623" s="19" t="n">
        <v>0</v>
      </c>
      <c r="G623" s="8" t="str">
        <f aca="false">IFERROR(INDEX('TRANS'!$B:$B,MATCH($B623,'TRANS'!$A:$A,0)),IFERROR(INDEX('TRANS'!$B:$B,MATCH(TRIM(SUBSTITUTE($B623,CHAR(160)," ")),'TRANS'!$D:$D,0)),IFERROR(INDEX('Catalog'!$A:$A,MATCH($B623,'Catalog'!$B:$B,0)),IFERROR(INDEX('Catalog'!$A:$A,MATCH(TRIM(SUBSTITUTE($B623,CHAR(160)," ")),'Catalog'!$C:$C,0)),""))))</f>
        <v/>
      </c>
      <c r="H623" s="8" t="str">
        <f aca="false">IFERROR(INDEX('TRANS'!$C:$C,MATCH($B623,'TRANS'!$A:$A,0)),IFERROR(INDEX('Catalog'!$B:$B,MATCH($G623,'Catalog'!$A:$A,0)),$B623))</f>
        <v>322B L</v>
      </c>
      <c r="I623" s="8" t="str">
        <f aca="false">IF($G623="","Unmatched","Matched")</f>
        <v>Unmatched</v>
      </c>
    </row>
    <row r="624" customFormat="false" ht="15" hidden="false" customHeight="false" outlineLevel="0" collapsed="false">
      <c r="A624" s="8" t="s">
        <v>572</v>
      </c>
      <c r="B624" s="8" t="s">
        <v>130</v>
      </c>
      <c r="C624" s="19" t="n">
        <v>9</v>
      </c>
      <c r="D624" s="19" t="n">
        <v>692.17</v>
      </c>
      <c r="E624" s="19" t="n">
        <v>1</v>
      </c>
      <c r="F624" s="19" t="n">
        <v>75</v>
      </c>
      <c r="G624" s="8" t="str">
        <f aca="false">IFERROR(INDEX('TRANS'!$B:$B,MATCH($B624,'TRANS'!$A:$A,0)),IFERROR(INDEX('TRANS'!$B:$B,MATCH(TRIM(SUBSTITUTE($B624,CHAR(160)," ")),'TRANS'!$D:$D,0)),IFERROR(INDEX('Catalog'!$A:$A,MATCH($B624,'Catalog'!$B:$B,0)),IFERROR(INDEX('Catalog'!$A:$A,MATCH(TRIM(SUBSTITUTE($B624,CHAR(160)," ")),'Catalog'!$C:$C,0)),""))))</f>
        <v/>
      </c>
      <c r="H624" s="8" t="str">
        <f aca="false">IFERROR(INDEX('TRANS'!$C:$C,MATCH($B624,'TRANS'!$A:$A,0)),IFERROR(INDEX('Catalog'!$B:$B,MATCH($G624,'Catalog'!$A:$A,0)),$B624))</f>
        <v>332B L</v>
      </c>
      <c r="I624" s="8" t="str">
        <f aca="false">IF($G624="","Unmatched","Matched")</f>
        <v>Unmatched</v>
      </c>
    </row>
    <row r="625" customFormat="false" ht="15" hidden="false" customHeight="false" outlineLevel="0" collapsed="false">
      <c r="A625" s="8" t="s">
        <v>572</v>
      </c>
      <c r="B625" s="8" t="s">
        <v>593</v>
      </c>
      <c r="C625" s="19" t="n">
        <v>3</v>
      </c>
      <c r="D625" s="19" t="n">
        <v>230.01</v>
      </c>
      <c r="E625" s="19" t="n">
        <v>0</v>
      </c>
      <c r="F625" s="19" t="n">
        <v>0</v>
      </c>
      <c r="G625" s="8" t="str">
        <f aca="false">IFERROR(INDEX('TRANS'!$B:$B,MATCH($B625,'TRANS'!$A:$A,0)),IFERROR(INDEX('TRANS'!$B:$B,MATCH(TRIM(SUBSTITUTE($B625,CHAR(160)," ")),'TRANS'!$D:$D,0)),IFERROR(INDEX('Catalog'!$A:$A,MATCH($B625,'Catalog'!$B:$B,0)),IFERROR(INDEX('Catalog'!$A:$A,MATCH(TRIM(SUBSTITUTE($B625,CHAR(160)," ")),'Catalog'!$C:$C,0)),""))))</f>
        <v/>
      </c>
      <c r="H625" s="8" t="str">
        <f aca="false">IFERROR(INDEX('TRANS'!$C:$C,MATCH($B625,'TRANS'!$A:$A,0)),IFERROR(INDEX('Catalog'!$B:$B,MATCH($G625,'Catalog'!$A:$A,0)),$B625))</f>
        <v>332B M</v>
      </c>
      <c r="I625" s="8" t="str">
        <f aca="false">IF($G625="","Unmatched","Matched")</f>
        <v>Unmatched</v>
      </c>
    </row>
    <row r="626" customFormat="false" ht="15" hidden="false" customHeight="false" outlineLevel="0" collapsed="false">
      <c r="A626" s="8" t="s">
        <v>572</v>
      </c>
      <c r="B626" s="8" t="s">
        <v>594</v>
      </c>
      <c r="C626" s="19" t="n">
        <v>4</v>
      </c>
      <c r="D626" s="19" t="n">
        <v>325</v>
      </c>
      <c r="E626" s="19" t="n">
        <v>2</v>
      </c>
      <c r="F626" s="19" t="n">
        <v>150</v>
      </c>
      <c r="G626" s="8" t="str">
        <f aca="false">IFERROR(INDEX('TRANS'!$B:$B,MATCH($B626,'TRANS'!$A:$A,0)),IFERROR(INDEX('TRANS'!$B:$B,MATCH(TRIM(SUBSTITUTE($B626,CHAR(160)," ")),'TRANS'!$D:$D,0)),IFERROR(INDEX('Catalog'!$A:$A,MATCH($B626,'Catalog'!$B:$B,0)),IFERROR(INDEX('Catalog'!$A:$A,MATCH(TRIM(SUBSTITUTE($B626,CHAR(160)," ")),'Catalog'!$C:$C,0)),""))))</f>
        <v/>
      </c>
      <c r="H626" s="8" t="str">
        <f aca="false">IFERROR(INDEX('TRANS'!$C:$C,MATCH($B626,'TRANS'!$A:$A,0)),IFERROR(INDEX('Catalog'!$B:$B,MATCH($G626,'Catalog'!$A:$A,0)),$B626))</f>
        <v>332B XL</v>
      </c>
      <c r="I626" s="8" t="str">
        <f aca="false">IF($G626="","Unmatched","Matched")</f>
        <v>Unmatched</v>
      </c>
    </row>
    <row r="627" customFormat="false" ht="15" hidden="false" customHeight="false" outlineLevel="0" collapsed="false">
      <c r="A627" s="8" t="s">
        <v>572</v>
      </c>
      <c r="B627" s="8" t="s">
        <v>595</v>
      </c>
      <c r="C627" s="19" t="n">
        <v>0</v>
      </c>
      <c r="D627" s="19" t="n">
        <v>0</v>
      </c>
      <c r="E627" s="19" t="n">
        <v>1</v>
      </c>
      <c r="F627" s="19" t="n">
        <v>75</v>
      </c>
      <c r="G627" s="8" t="str">
        <f aca="false">IFERROR(INDEX('TRANS'!$B:$B,MATCH($B627,'TRANS'!$A:$A,0)),IFERROR(INDEX('TRANS'!$B:$B,MATCH(TRIM(SUBSTITUTE($B627,CHAR(160)," ")),'TRANS'!$D:$D,0)),IFERROR(INDEX('Catalog'!$A:$A,MATCH($B627,'Catalog'!$B:$B,0)),IFERROR(INDEX('Catalog'!$A:$A,MATCH(TRIM(SUBSTITUTE($B627,CHAR(160)," ")),'Catalog'!$C:$C,0)),""))))</f>
        <v/>
      </c>
      <c r="H627" s="8" t="str">
        <f aca="false">IFERROR(INDEX('TRANS'!$C:$C,MATCH($B627,'TRANS'!$A:$A,0)),IFERROR(INDEX('Catalog'!$B:$B,MATCH($G627,'Catalog'!$A:$A,0)),$B627))</f>
        <v>332B XXL</v>
      </c>
      <c r="I627" s="8" t="str">
        <f aca="false">IF($G627="","Unmatched","Matched")</f>
        <v>Unmatched</v>
      </c>
    </row>
    <row r="628" customFormat="false" ht="15" hidden="false" customHeight="false" outlineLevel="0" collapsed="false">
      <c r="A628" s="8" t="s">
        <v>572</v>
      </c>
      <c r="B628" s="8" t="s">
        <v>145</v>
      </c>
      <c r="C628" s="19" t="n">
        <v>83</v>
      </c>
      <c r="D628" s="19" t="n">
        <v>3706.12</v>
      </c>
      <c r="E628" s="19" t="n">
        <v>81</v>
      </c>
      <c r="F628" s="19" t="n">
        <v>3637.77</v>
      </c>
      <c r="G628" s="8" t="n">
        <f aca="false">IFERROR(INDEX('TRANS'!$B:$B,MATCH($B628,'TRANS'!$A:$A,0)),IFERROR(INDEX('TRANS'!$B:$B,MATCH(TRIM(SUBSTITUTE($B628,CHAR(160)," ")),'TRANS'!$D:$D,0)),IFERROR(INDEX('Catalog'!$A:$A,MATCH($B628,'Catalog'!$B:$B,0)),IFERROR(INDEX('Catalog'!$A:$A,MATCH(TRIM(SUBSTITUTE($B628,CHAR(160)," ")),'Catalog'!$C:$C,0)),""))))</f>
        <v>4421007</v>
      </c>
      <c r="H628" s="8" t="str">
        <f aca="false">IFERROR(INDEX('TRANS'!$C:$C,MATCH($B628,'TRANS'!$A:$A,0)),IFERROR(INDEX('Catalog'!$B:$B,MATCH($G628,'Catalog'!$A:$A,0)),$B628))</f>
        <v>שרוול לגבס קצר רגל</v>
      </c>
      <c r="I628" s="8" t="str">
        <f aca="false">IF($G628="","Unmatched","Matched")</f>
        <v>Matched</v>
      </c>
    </row>
    <row r="629" customFormat="false" ht="15" hidden="false" customHeight="false" outlineLevel="0" collapsed="false">
      <c r="A629" s="8" t="s">
        <v>572</v>
      </c>
      <c r="B629" s="8" t="s">
        <v>146</v>
      </c>
      <c r="C629" s="19" t="n">
        <v>72</v>
      </c>
      <c r="D629" s="19" t="n">
        <v>3352.43</v>
      </c>
      <c r="E629" s="19" t="n">
        <v>67</v>
      </c>
      <c r="F629" s="19" t="n">
        <v>3133.94</v>
      </c>
      <c r="G629" s="8" t="n">
        <f aca="false">IFERROR(INDEX('TRANS'!$B:$B,MATCH($B629,'TRANS'!$A:$A,0)),IFERROR(INDEX('TRANS'!$B:$B,MATCH(TRIM(SUBSTITUTE($B629,CHAR(160)," ")),'TRANS'!$D:$D,0)),IFERROR(INDEX('Catalog'!$A:$A,MATCH($B629,'Catalog'!$B:$B,0)),IFERROR(INDEX('Catalog'!$A:$A,MATCH(TRIM(SUBSTITUTE($B629,CHAR(160)," ")),'Catalog'!$C:$C,0)),""))))</f>
        <v>4421008</v>
      </c>
      <c r="H629" s="8" t="str">
        <f aca="false">IFERROR(INDEX('TRANS'!$C:$C,MATCH($B629,'TRANS'!$A:$A,0)),IFERROR(INDEX('Catalog'!$B:$B,MATCH($G629,'Catalog'!$A:$A,0)),$B629))</f>
        <v>שרוול לגבס ארוך רגל</v>
      </c>
      <c r="I629" s="8" t="str">
        <f aca="false">IF($G629="","Unmatched","Matched")</f>
        <v>Matched</v>
      </c>
    </row>
    <row r="630" customFormat="false" ht="15" hidden="false" customHeight="false" outlineLevel="0" collapsed="false">
      <c r="A630" s="8" t="s">
        <v>572</v>
      </c>
      <c r="B630" s="8" t="s">
        <v>163</v>
      </c>
      <c r="C630" s="19" t="n">
        <v>52</v>
      </c>
      <c r="D630" s="19" t="n">
        <v>1176.69</v>
      </c>
      <c r="E630" s="19" t="n">
        <v>40</v>
      </c>
      <c r="F630" s="19" t="n">
        <v>922.49</v>
      </c>
      <c r="G630" s="8" t="n">
        <f aca="false">IFERROR(INDEX('TRANS'!$B:$B,MATCH($B630,'TRANS'!$A:$A,0)),IFERROR(INDEX('TRANS'!$B:$B,MATCH(TRIM(SUBSTITUTE($B630,CHAR(160)," ")),'TRANS'!$D:$D,0)),IFERROR(INDEX('Catalog'!$A:$A,MATCH($B630,'Catalog'!$B:$B,0)),IFERROR(INDEX('Catalog'!$A:$A,MATCH(TRIM(SUBSTITUTE($B630,CHAR(160)," ")),'Catalog'!$C:$C,0)),""))))</f>
        <v>4401000</v>
      </c>
      <c r="H630" s="8" t="str">
        <f aca="false">IFERROR(INDEX('TRANS'!$C:$C,MATCH($B630,'TRANS'!$A:$A,0)),IFERROR(INDEX('Catalog'!$B:$B,MATCH($G630,'Catalog'!$A:$A,0)),$B630))</f>
        <v>369  S-L אצבעון מסיליקון יחידה</v>
      </c>
      <c r="I630" s="8" t="str">
        <f aca="false">IF($G630="","Unmatched","Matched")</f>
        <v>Matched</v>
      </c>
    </row>
    <row r="631" customFormat="false" ht="15" hidden="false" customHeight="false" outlineLevel="0" collapsed="false">
      <c r="A631" s="8" t="s">
        <v>572</v>
      </c>
      <c r="B631" s="8" t="s">
        <v>164</v>
      </c>
      <c r="C631" s="19" t="n">
        <v>75</v>
      </c>
      <c r="D631" s="19" t="n">
        <v>1911.92</v>
      </c>
      <c r="E631" s="19" t="n">
        <v>36</v>
      </c>
      <c r="F631" s="19" t="n">
        <v>908.18</v>
      </c>
      <c r="G631" s="8" t="n">
        <f aca="false">IFERROR(INDEX('TRANS'!$B:$B,MATCH($B631,'TRANS'!$A:$A,0)),IFERROR(INDEX('TRANS'!$B:$B,MATCH(TRIM(SUBSTITUTE($B631,CHAR(160)," ")),'TRANS'!$D:$D,0)),IFERROR(INDEX('Catalog'!$A:$A,MATCH($B631,'Catalog'!$B:$B,0)),IFERROR(INDEX('Catalog'!$A:$A,MATCH(TRIM(SUBSTITUTE($B631,CHAR(160)," ")),'Catalog'!$C:$C,0)),""))))</f>
        <v>4401001</v>
      </c>
      <c r="H631" s="8" t="str">
        <f aca="false">IFERROR(INDEX('TRANS'!$C:$C,MATCH($B631,'TRANS'!$A:$A,0)),IFERROR(INDEX('Catalog'!$B:$B,MATCH($G631,'Catalog'!$A:$A,0)),$B631))</f>
        <v>369   XL אצבעון מסיליקון יחידה</v>
      </c>
      <c r="I631" s="8" t="str">
        <f aca="false">IF($G631="","Unmatched","Matched")</f>
        <v>Matched</v>
      </c>
    </row>
    <row r="632" customFormat="false" ht="15" hidden="false" customHeight="false" outlineLevel="0" collapsed="false">
      <c r="A632" s="8" t="s">
        <v>572</v>
      </c>
      <c r="B632" s="8" t="s">
        <v>178</v>
      </c>
      <c r="C632" s="19" t="n">
        <v>49</v>
      </c>
      <c r="D632" s="19" t="n">
        <v>2940</v>
      </c>
      <c r="E632" s="19" t="n">
        <v>51</v>
      </c>
      <c r="F632" s="19" t="n">
        <v>3060</v>
      </c>
      <c r="G632" s="8" t="n">
        <f aca="false">IFERROR(INDEX('TRANS'!$B:$B,MATCH($B632,'TRANS'!$A:$A,0)),IFERROR(INDEX('TRANS'!$B:$B,MATCH(TRIM(SUBSTITUTE($B632,CHAR(160)," ")),'TRANS'!$D:$D,0)),IFERROR(INDEX('Catalog'!$A:$A,MATCH($B632,'Catalog'!$B:$B,0)),IFERROR(INDEX('Catalog'!$A:$A,MATCH(TRIM(SUBSTITUTE($B632,CHAR(160)," ")),'Catalog'!$C:$C,0)),""))))</f>
        <v>4415298</v>
      </c>
      <c r="H632" s="8" t="str">
        <f aca="false">IFERROR(INDEX('TRANS'!$C:$C,MATCH($B632,'TRANS'!$A:$A,0)),IFERROR(INDEX('Catalog'!$B:$B,MATCH($G632,'Catalog'!$A:$A,0)),$B632))</f>
        <v>388B L סד לילה שחור לבוהן שמאל</v>
      </c>
      <c r="I632" s="8" t="str">
        <f aca="false">IF($G632="","Unmatched","Matched")</f>
        <v>Matched</v>
      </c>
    </row>
    <row r="633" customFormat="false" ht="15" hidden="false" customHeight="false" outlineLevel="0" collapsed="false">
      <c r="A633" s="8" t="s">
        <v>572</v>
      </c>
      <c r="B633" s="8" t="s">
        <v>179</v>
      </c>
      <c r="C633" s="19" t="n">
        <v>61</v>
      </c>
      <c r="D633" s="19" t="n">
        <v>3600.01</v>
      </c>
      <c r="E633" s="19" t="n">
        <v>50</v>
      </c>
      <c r="F633" s="19" t="n">
        <v>3000</v>
      </c>
      <c r="G633" s="8" t="n">
        <f aca="false">IFERROR(INDEX('TRANS'!$B:$B,MATCH($B633,'TRANS'!$A:$A,0)),IFERROR(INDEX('TRANS'!$B:$B,MATCH(TRIM(SUBSTITUTE($B633,CHAR(160)," ")),'TRANS'!$D:$D,0)),IFERROR(INDEX('Catalog'!$A:$A,MATCH($B633,'Catalog'!$B:$B,0)),IFERROR(INDEX('Catalog'!$A:$A,MATCH(TRIM(SUBSTITUTE($B633,CHAR(160)," ")),'Catalog'!$C:$C,0)),""))))</f>
        <v>4415299</v>
      </c>
      <c r="H633" s="8" t="str">
        <f aca="false">IFERROR(INDEX('TRANS'!$C:$C,MATCH($B633,'TRANS'!$A:$A,0)),IFERROR(INDEX('Catalog'!$B:$B,MATCH($G633,'Catalog'!$A:$A,0)),$B633))</f>
        <v>388B L סד לילה שחור לבוהן ימין</v>
      </c>
      <c r="I633" s="8" t="str">
        <f aca="false">IF($G633="","Unmatched","Matched")</f>
        <v>Matched</v>
      </c>
    </row>
    <row r="634" customFormat="false" ht="15" hidden="false" customHeight="false" outlineLevel="0" collapsed="false">
      <c r="A634" s="8" t="s">
        <v>572</v>
      </c>
      <c r="B634" s="8" t="s">
        <v>190</v>
      </c>
      <c r="C634" s="19" t="n">
        <v>17</v>
      </c>
      <c r="D634" s="19" t="n">
        <v>424.94</v>
      </c>
      <c r="E634" s="19" t="n">
        <v>0</v>
      </c>
      <c r="F634" s="19" t="n">
        <v>0</v>
      </c>
      <c r="G634" s="8" t="str">
        <f aca="false">IFERROR(INDEX('TRANS'!$B:$B,MATCH($B634,'TRANS'!$A:$A,0)),IFERROR(INDEX('TRANS'!$B:$B,MATCH(TRIM(SUBSTITUTE($B634,CHAR(160)," ")),'TRANS'!$D:$D,0)),IFERROR(INDEX('Catalog'!$A:$A,MATCH($B634,'Catalog'!$B:$B,0)),IFERROR(INDEX('Catalog'!$A:$A,MATCH(TRIM(SUBSTITUTE($B634,CHAR(160)," ")),'Catalog'!$C:$C,0)),""))))</f>
        <v/>
      </c>
      <c r="H634" s="8" t="str">
        <f aca="false">IFERROR(INDEX('TRANS'!$C:$C,MATCH($B634,'TRANS'!$A:$A,0)),IFERROR(INDEX('Catalog'!$B:$B,MATCH($G634,'Catalog'!$A:$A,0)),$B634))</f>
        <v>394G-35-38</v>
      </c>
      <c r="I634" s="8" t="str">
        <f aca="false">IF($G634="","Unmatched","Matched")</f>
        <v>Unmatched</v>
      </c>
    </row>
    <row r="635" customFormat="false" ht="15" hidden="false" customHeight="false" outlineLevel="0" collapsed="false">
      <c r="A635" s="8" t="s">
        <v>572</v>
      </c>
      <c r="B635" s="8" t="s">
        <v>191</v>
      </c>
      <c r="C635" s="19" t="n">
        <v>52</v>
      </c>
      <c r="D635" s="19" t="n">
        <v>1299.82</v>
      </c>
      <c r="E635" s="19" t="n">
        <v>0</v>
      </c>
      <c r="F635" s="19" t="n">
        <v>0</v>
      </c>
      <c r="G635" s="8" t="str">
        <f aca="false">IFERROR(INDEX('TRANS'!$B:$B,MATCH($B635,'TRANS'!$A:$A,0)),IFERROR(INDEX('TRANS'!$B:$B,MATCH(TRIM(SUBSTITUTE($B635,CHAR(160)," ")),'TRANS'!$D:$D,0)),IFERROR(INDEX('Catalog'!$A:$A,MATCH($B635,'Catalog'!$B:$B,0)),IFERROR(INDEX('Catalog'!$A:$A,MATCH(TRIM(SUBSTITUTE($B635,CHAR(160)," ")),'Catalog'!$C:$C,0)),""))))</f>
        <v/>
      </c>
      <c r="H635" s="8" t="str">
        <f aca="false">IFERROR(INDEX('TRANS'!$C:$C,MATCH($B635,'TRANS'!$A:$A,0)),IFERROR(INDEX('Catalog'!$B:$B,MATCH($G635,'Catalog'!$A:$A,0)),$B635))</f>
        <v>394G-39-42</v>
      </c>
      <c r="I635" s="8" t="str">
        <f aca="false">IF($G635="","Unmatched","Matched")</f>
        <v>Unmatched</v>
      </c>
    </row>
    <row r="636" customFormat="false" ht="15" hidden="false" customHeight="false" outlineLevel="0" collapsed="false">
      <c r="A636" s="8" t="s">
        <v>572</v>
      </c>
      <c r="B636" s="8" t="s">
        <v>192</v>
      </c>
      <c r="C636" s="19" t="n">
        <v>70</v>
      </c>
      <c r="D636" s="19" t="n">
        <v>1544.8</v>
      </c>
      <c r="E636" s="19" t="n">
        <v>31</v>
      </c>
      <c r="F636" s="19" t="n">
        <v>749.8</v>
      </c>
      <c r="G636" s="8" t="n">
        <f aca="false">IFERROR(INDEX('TRANS'!$B:$B,MATCH($B636,'TRANS'!$A:$A,0)),IFERROR(INDEX('TRANS'!$B:$B,MATCH(TRIM(SUBSTITUTE($B636,CHAR(160)," ")),'TRANS'!$D:$D,0)),IFERROR(INDEX('Catalog'!$A:$A,MATCH($B636,'Catalog'!$B:$B,0)),IFERROR(INDEX('Catalog'!$A:$A,MATCH(TRIM(SUBSTITUTE($B636,CHAR(160)," ")),'Catalog'!$C:$C,0)),""))))</f>
        <v>4403023</v>
      </c>
      <c r="H636" s="8" t="str">
        <f aca="false">IFERROR(INDEX('TRANS'!$C:$C,MATCH($B636,'TRANS'!$A:$A,0)),IFERROR(INDEX('Catalog'!$B:$B,MATCH($G636,'Catalog'!$A:$A,0)),$B636))</f>
        <v>394W 35-38 גרב.כסף לסכרתים לבן</v>
      </c>
      <c r="I636" s="8" t="str">
        <f aca="false">IF($G636="","Unmatched","Matched")</f>
        <v>Matched</v>
      </c>
    </row>
    <row r="637" customFormat="false" ht="15" hidden="false" customHeight="false" outlineLevel="0" collapsed="false">
      <c r="A637" s="8" t="s">
        <v>572</v>
      </c>
      <c r="B637" s="8" t="s">
        <v>193</v>
      </c>
      <c r="C637" s="19" t="n">
        <v>135</v>
      </c>
      <c r="D637" s="19" t="n">
        <v>3164.62</v>
      </c>
      <c r="E637" s="19" t="n">
        <v>32</v>
      </c>
      <c r="F637" s="19" t="n">
        <v>899.77</v>
      </c>
      <c r="G637" s="8" t="n">
        <f aca="false">IFERROR(INDEX('TRANS'!$B:$B,MATCH($B637,'TRANS'!$A:$A,0)),IFERROR(INDEX('TRANS'!$B:$B,MATCH(TRIM(SUBSTITUTE($B637,CHAR(160)," ")),'TRANS'!$D:$D,0)),IFERROR(INDEX('Catalog'!$A:$A,MATCH($B637,'Catalog'!$B:$B,0)),IFERROR(INDEX('Catalog'!$A:$A,MATCH(TRIM(SUBSTITUTE($B637,CHAR(160)," ")),'Catalog'!$C:$C,0)),""))))</f>
        <v>4403024</v>
      </c>
      <c r="H637" s="8" t="str">
        <f aca="false">IFERROR(INDEX('TRANS'!$C:$C,MATCH($B637,'TRANS'!$A:$A,0)),IFERROR(INDEX('Catalog'!$B:$B,MATCH($G637,'Catalog'!$A:$A,0)),$B637))</f>
        <v>394W 39-42 גרב.כסף לסכרתים לבן</v>
      </c>
      <c r="I637" s="8" t="str">
        <f aca="false">IF($G637="","Unmatched","Matched")</f>
        <v>Matched</v>
      </c>
    </row>
    <row r="638" customFormat="false" ht="15" hidden="false" customHeight="false" outlineLevel="0" collapsed="false">
      <c r="A638" s="8" t="s">
        <v>572</v>
      </c>
      <c r="B638" s="8" t="s">
        <v>194</v>
      </c>
      <c r="C638" s="19" t="n">
        <v>153</v>
      </c>
      <c r="D638" s="19" t="n">
        <v>3164.8</v>
      </c>
      <c r="E638" s="19" t="n">
        <v>102</v>
      </c>
      <c r="F638" s="19" t="n">
        <v>2499.48</v>
      </c>
      <c r="G638" s="8" t="n">
        <f aca="false">IFERROR(INDEX('TRANS'!$B:$B,MATCH($B638,'TRANS'!$A:$A,0)),IFERROR(INDEX('TRANS'!$B:$B,MATCH(TRIM(SUBSTITUTE($B638,CHAR(160)," ")),'TRANS'!$D:$D,0)),IFERROR(INDEX('Catalog'!$A:$A,MATCH($B638,'Catalog'!$B:$B,0)),IFERROR(INDEX('Catalog'!$A:$A,MATCH(TRIM(SUBSTITUTE($B638,CHAR(160)," ")),'Catalog'!$C:$C,0)),""))))</f>
        <v>4403025</v>
      </c>
      <c r="H638" s="8" t="str">
        <f aca="false">IFERROR(INDEX('TRANS'!$C:$C,MATCH($B638,'TRANS'!$A:$A,0)),IFERROR(INDEX('Catalog'!$B:$B,MATCH($G638,'Catalog'!$A:$A,0)),$B638))</f>
        <v>394W 43-46 גרב.כסף לסכרתים לבן</v>
      </c>
      <c r="I638" s="8" t="str">
        <f aca="false">IF($G638="","Unmatched","Matched")</f>
        <v>Matched</v>
      </c>
    </row>
    <row r="639" customFormat="false" ht="15" hidden="false" customHeight="false" outlineLevel="0" collapsed="false">
      <c r="A639" s="8" t="s">
        <v>572</v>
      </c>
      <c r="B639" s="8" t="s">
        <v>596</v>
      </c>
      <c r="C639" s="19" t="n">
        <v>0</v>
      </c>
      <c r="D639" s="19" t="n">
        <v>0</v>
      </c>
      <c r="E639" s="19" t="n">
        <v>13</v>
      </c>
      <c r="F639" s="19" t="n">
        <v>379.24</v>
      </c>
      <c r="G639" s="8" t="str">
        <f aca="false">IFERROR(INDEX('TRANS'!$B:$B,MATCH($B639,'TRANS'!$A:$A,0)),IFERROR(INDEX('TRANS'!$B:$B,MATCH(TRIM(SUBSTITUTE($B639,CHAR(160)," ")),'TRANS'!$D:$D,0)),IFERROR(INDEX('Catalog'!$A:$A,MATCH($B639,'Catalog'!$B:$B,0)),IFERROR(INDEX('Catalog'!$A:$A,MATCH(TRIM(SUBSTITUTE($B639,CHAR(160)," ")),'Catalog'!$C:$C,0)),""))))</f>
        <v/>
      </c>
      <c r="H639" s="8" t="str">
        <f aca="false">IFERROR(INDEX('TRANS'!$C:$C,MATCH($B639,'TRANS'!$A:$A,0)),IFERROR(INDEX('Catalog'!$B:$B,MATCH($G639,'Catalog'!$A:$A,0)),$B639))</f>
        <v>395W-39-42</v>
      </c>
      <c r="I639" s="8" t="str">
        <f aca="false">IF($G639="","Unmatched","Matched")</f>
        <v>Unmatched</v>
      </c>
    </row>
    <row r="640" customFormat="false" ht="15" hidden="false" customHeight="false" outlineLevel="0" collapsed="false">
      <c r="A640" s="8" t="s">
        <v>572</v>
      </c>
      <c r="B640" s="8" t="s">
        <v>197</v>
      </c>
      <c r="C640" s="19" t="n">
        <v>30</v>
      </c>
      <c r="D640" s="19" t="n">
        <v>1832.56</v>
      </c>
      <c r="E640" s="19" t="n">
        <v>0</v>
      </c>
      <c r="F640" s="19" t="n">
        <v>0</v>
      </c>
      <c r="G640" s="8" t="str">
        <f aca="false">IFERROR(INDEX('TRANS'!$B:$B,MATCH($B640,'TRANS'!$A:$A,0)),IFERROR(INDEX('TRANS'!$B:$B,MATCH(TRIM(SUBSTITUTE($B640,CHAR(160)," ")),'TRANS'!$D:$D,0)),IFERROR(INDEX('Catalog'!$A:$A,MATCH($B640,'Catalog'!$B:$B,0)),IFERROR(INDEX('Catalog'!$A:$A,MATCH(TRIM(SUBSTITUTE($B640,CHAR(160)," ")),'Catalog'!$C:$C,0)),""))))</f>
        <v/>
      </c>
      <c r="H640" s="8" t="str">
        <f aca="false">IFERROR(INDEX('TRANS'!$C:$C,MATCH($B640,'TRANS'!$A:$A,0)),IFERROR(INDEX('Catalog'!$B:$B,MATCH($G640,'Catalog'!$A:$A,0)),$B640))</f>
        <v>397-35-38</v>
      </c>
      <c r="I640" s="8" t="str">
        <f aca="false">IF($G640="","Unmatched","Matched")</f>
        <v>Unmatched</v>
      </c>
    </row>
    <row r="641" customFormat="false" ht="15" hidden="false" customHeight="false" outlineLevel="0" collapsed="false">
      <c r="A641" s="8" t="s">
        <v>572</v>
      </c>
      <c r="B641" s="8" t="s">
        <v>198</v>
      </c>
      <c r="C641" s="19" t="n">
        <v>60</v>
      </c>
      <c r="D641" s="19" t="n">
        <v>3699.96</v>
      </c>
      <c r="E641" s="19" t="n">
        <v>0</v>
      </c>
      <c r="F641" s="19" t="n">
        <v>0</v>
      </c>
      <c r="G641" s="8" t="n">
        <f aca="false">IFERROR(INDEX('TRANS'!$B:$B,MATCH($B641,'TRANS'!$A:$A,0)),IFERROR(INDEX('TRANS'!$B:$B,MATCH(TRIM(SUBSTITUTE($B641,CHAR(160)," ")),'TRANS'!$D:$D,0)),IFERROR(INDEX('Catalog'!$A:$A,MATCH($B641,'Catalog'!$B:$B,0)),IFERROR(INDEX('Catalog'!$A:$A,MATCH(TRIM(SUBSTITUTE($B641,CHAR(160)," ")),'Catalog'!$C:$C,0)),""))))</f>
        <v>4403029</v>
      </c>
      <c r="H641" s="8" t="str">
        <f aca="false">IFERROR(INDEX('TRANS'!$C:$C,MATCH($B641,'TRANS'!$A:$A,0)),IFERROR(INDEX('Catalog'!$B:$B,MATCH($G641,'Catalog'!$A:$A,0)),$B641))</f>
        <v>397 39-42 גרבי טיסה מידה</v>
      </c>
      <c r="I641" s="8" t="str">
        <f aca="false">IF($G641="","Unmatched","Matched")</f>
        <v>Matched</v>
      </c>
    </row>
    <row r="642" customFormat="false" ht="15" hidden="false" customHeight="false" outlineLevel="0" collapsed="false">
      <c r="A642" s="8" t="s">
        <v>572</v>
      </c>
      <c r="B642" s="8" t="s">
        <v>388</v>
      </c>
      <c r="C642" s="19" t="n">
        <v>1</v>
      </c>
      <c r="D642" s="19" t="n">
        <v>35.11</v>
      </c>
      <c r="E642" s="19" t="n">
        <v>3</v>
      </c>
      <c r="F642" s="19" t="n">
        <v>105.33</v>
      </c>
      <c r="G642" s="8" t="n">
        <f aca="false">IFERROR(INDEX('TRANS'!$B:$B,MATCH($B642,'TRANS'!$A:$A,0)),IFERROR(INDEX('TRANS'!$B:$B,MATCH(TRIM(SUBSTITUTE($B642,CHAR(160)," ")),'TRANS'!$D:$D,0)),IFERROR(INDEX('Catalog'!$A:$A,MATCH($B642,'Catalog'!$B:$B,0)),IFERROR(INDEX('Catalog'!$A:$A,MATCH(TRIM(SUBSTITUTE($B642,CHAR(160)," ")),'Catalog'!$C:$C,0)),""))))</f>
        <v>4413112</v>
      </c>
      <c r="H642" s="8" t="str">
        <f aca="false">IFERROR(INDEX('TRANS'!$C:$C,MATCH($B642,'TRANS'!$A:$A,0)),IFERROR(INDEX('Catalog'!$B:$B,MATCH($G642,'Catalog'!$A:$A,0)),$B642))</f>
        <v>49  L מגן ירך</v>
      </c>
      <c r="I642" s="8" t="str">
        <f aca="false">IF($G642="","Unmatched","Matched")</f>
        <v>Matched</v>
      </c>
    </row>
    <row r="643" customFormat="false" ht="15" hidden="false" customHeight="false" outlineLevel="0" collapsed="false">
      <c r="A643" s="8" t="s">
        <v>572</v>
      </c>
      <c r="B643" s="8" t="s">
        <v>389</v>
      </c>
      <c r="C643" s="19" t="n">
        <v>0</v>
      </c>
      <c r="D643" s="19" t="n">
        <v>0</v>
      </c>
      <c r="E643" s="19" t="n">
        <v>2</v>
      </c>
      <c r="F643" s="19" t="n">
        <v>70.22</v>
      </c>
      <c r="G643" s="8" t="n">
        <f aca="false">IFERROR(INDEX('TRANS'!$B:$B,MATCH($B643,'TRANS'!$A:$A,0)),IFERROR(INDEX('TRANS'!$B:$B,MATCH(TRIM(SUBSTITUTE($B643,CHAR(160)," ")),'TRANS'!$D:$D,0)),IFERROR(INDEX('Catalog'!$A:$A,MATCH($B643,'Catalog'!$B:$B,0)),IFERROR(INDEX('Catalog'!$A:$A,MATCH(TRIM(SUBSTITUTE($B643,CHAR(160)," ")),'Catalog'!$C:$C,0)),""))))</f>
        <v>4413113</v>
      </c>
      <c r="H643" s="8" t="str">
        <f aca="false">IFERROR(INDEX('TRANS'!$C:$C,MATCH($B643,'TRANS'!$A:$A,0)),IFERROR(INDEX('Catalog'!$B:$B,MATCH($G643,'Catalog'!$A:$A,0)),$B643))</f>
        <v>49  M מגן ירך</v>
      </c>
      <c r="I643" s="8" t="str">
        <f aca="false">IF($G643="","Unmatched","Matched")</f>
        <v>Matched</v>
      </c>
    </row>
    <row r="644" customFormat="false" ht="15" hidden="false" customHeight="false" outlineLevel="0" collapsed="false">
      <c r="A644" s="8" t="s">
        <v>572</v>
      </c>
      <c r="B644" s="8" t="s">
        <v>391</v>
      </c>
      <c r="C644" s="19" t="n">
        <v>1</v>
      </c>
      <c r="D644" s="19" t="n">
        <v>35.1</v>
      </c>
      <c r="E644" s="19" t="n">
        <v>2</v>
      </c>
      <c r="F644" s="19" t="n">
        <v>70.22</v>
      </c>
      <c r="G644" s="8" t="n">
        <f aca="false">IFERROR(INDEX('TRANS'!$B:$B,MATCH($B644,'TRANS'!$A:$A,0)),IFERROR(INDEX('TRANS'!$B:$B,MATCH(TRIM(SUBSTITUTE($B644,CHAR(160)," ")),'TRANS'!$D:$D,0)),IFERROR(INDEX('Catalog'!$A:$A,MATCH($B644,'Catalog'!$B:$B,0)),IFERROR(INDEX('Catalog'!$A:$A,MATCH(TRIM(SUBSTITUTE($B644,CHAR(160)," ")),'Catalog'!$C:$C,0)),""))))</f>
        <v>4413114</v>
      </c>
      <c r="H644" s="8" t="str">
        <f aca="false">IFERROR(INDEX('TRANS'!$C:$C,MATCH($B644,'TRANS'!$A:$A,0)),IFERROR(INDEX('Catalog'!$B:$B,MATCH($G644,'Catalog'!$A:$A,0)),$B644))</f>
        <v>49 XL מגן ירך</v>
      </c>
      <c r="I644" s="8" t="str">
        <f aca="false">IF($G644="","Unmatched","Matched")</f>
        <v>Matched</v>
      </c>
    </row>
    <row r="645" customFormat="false" ht="15" hidden="false" customHeight="false" outlineLevel="0" collapsed="false">
      <c r="A645" s="8" t="s">
        <v>572</v>
      </c>
      <c r="B645" s="8" t="s">
        <v>597</v>
      </c>
      <c r="C645" s="19" t="n">
        <v>0</v>
      </c>
      <c r="D645" s="19" t="n">
        <v>0</v>
      </c>
      <c r="E645" s="19" t="n">
        <v>1</v>
      </c>
      <c r="F645" s="19" t="n">
        <v>35.11</v>
      </c>
      <c r="G645" s="8" t="n">
        <f aca="false">IFERROR(INDEX('TRANS'!$B:$B,MATCH($B645,'TRANS'!$A:$A,0)),IFERROR(INDEX('TRANS'!$B:$B,MATCH(TRIM(SUBSTITUTE($B645,CHAR(160)," ")),'TRANS'!$D:$D,0)),IFERROR(INDEX('Catalog'!$A:$A,MATCH($B645,'Catalog'!$B:$B,0)),IFERROR(INDEX('Catalog'!$A:$A,MATCH(TRIM(SUBSTITUTE($B645,CHAR(160)," ")),'Catalog'!$C:$C,0)),""))))</f>
        <v>4413115</v>
      </c>
      <c r="H645" s="8" t="str">
        <f aca="false">IFERROR(INDEX('TRANS'!$C:$C,MATCH($B645,'TRANS'!$A:$A,0)),IFERROR(INDEX('Catalog'!$B:$B,MATCH($G645,'Catalog'!$A:$A,0)),$B645))</f>
        <v>49 XXL מגן ירך</v>
      </c>
      <c r="I645" s="8" t="str">
        <f aca="false">IF($G645="","Unmatched","Matched")</f>
        <v>Matched</v>
      </c>
    </row>
    <row r="646" customFormat="false" ht="15" hidden="false" customHeight="false" outlineLevel="0" collapsed="false">
      <c r="A646" s="8" t="s">
        <v>572</v>
      </c>
      <c r="B646" s="8" t="s">
        <v>598</v>
      </c>
      <c r="C646" s="19" t="n">
        <v>6</v>
      </c>
      <c r="D646" s="19" t="n">
        <v>412.71</v>
      </c>
      <c r="E646" s="19" t="n">
        <v>2</v>
      </c>
      <c r="F646" s="19" t="n">
        <v>163</v>
      </c>
      <c r="G646" s="8" t="n">
        <f aca="false">IFERROR(INDEX('TRANS'!$B:$B,MATCH($B646,'TRANS'!$A:$A,0)),IFERROR(INDEX('TRANS'!$B:$B,MATCH(TRIM(SUBSTITUTE($B646,CHAR(160)," ")),'TRANS'!$D:$D,0)),IFERROR(INDEX('Catalog'!$A:$A,MATCH($B646,'Catalog'!$B:$B,0)),IFERROR(INDEX('Catalog'!$A:$A,MATCH(TRIM(SUBSTITUTE($B646,CHAR(160)," ")),'Catalog'!$C:$C,0)),""))))</f>
        <v>4413122</v>
      </c>
      <c r="H646" s="8" t="str">
        <f aca="false">IFERROR(INDEX('TRANS'!$C:$C,MATCH($B646,'TRANS'!$A:$A,0)),IFERROR(INDEX('Catalog'!$B:$B,MATCH($G646,'Catalog'!$A:$A,0)),$B646))</f>
        <v>55 L מתלה אשכים לספורטאים</v>
      </c>
      <c r="I646" s="8" t="str">
        <f aca="false">IF($G646="","Unmatched","Matched")</f>
        <v>Matched</v>
      </c>
    </row>
    <row r="647" customFormat="false" ht="15" hidden="false" customHeight="false" outlineLevel="0" collapsed="false">
      <c r="A647" s="8" t="s">
        <v>572</v>
      </c>
      <c r="B647" s="8" t="s">
        <v>599</v>
      </c>
      <c r="C647" s="19" t="n">
        <v>12</v>
      </c>
      <c r="D647" s="19" t="n">
        <v>935.57</v>
      </c>
      <c r="E647" s="19" t="n">
        <v>1</v>
      </c>
      <c r="F647" s="19" t="n">
        <v>84.32</v>
      </c>
      <c r="G647" s="8" t="str">
        <f aca="false">IFERROR(INDEX('TRANS'!$B:$B,MATCH($B647,'TRANS'!$A:$A,0)),IFERROR(INDEX('TRANS'!$B:$B,MATCH(TRIM(SUBSTITUTE($B647,CHAR(160)," ")),'TRANS'!$D:$D,0)),IFERROR(INDEX('Catalog'!$A:$A,MATCH($B647,'Catalog'!$B:$B,0)),IFERROR(INDEX('Catalog'!$A:$A,MATCH(TRIM(SUBSTITUTE($B647,CHAR(160)," ")),'Catalog'!$C:$C,0)),""))))</f>
        <v/>
      </c>
      <c r="H647" s="8" t="str">
        <f aca="false">IFERROR(INDEX('TRANS'!$C:$C,MATCH($B647,'TRANS'!$A:$A,0)),IFERROR(INDEX('Catalog'!$B:$B,MATCH($G647,'Catalog'!$A:$A,0)),$B647))</f>
        <v>55 M</v>
      </c>
      <c r="I647" s="8" t="str">
        <f aca="false">IF($G647="","Unmatched","Matched")</f>
        <v>Unmatched</v>
      </c>
    </row>
    <row r="648" customFormat="false" ht="15" hidden="false" customHeight="false" outlineLevel="0" collapsed="false">
      <c r="A648" s="8" t="s">
        <v>572</v>
      </c>
      <c r="B648" s="8" t="s">
        <v>489</v>
      </c>
      <c r="C648" s="19" t="n">
        <v>0</v>
      </c>
      <c r="D648" s="19" t="n">
        <v>0</v>
      </c>
      <c r="E648" s="19" t="n">
        <v>3</v>
      </c>
      <c r="F648" s="19" t="n">
        <v>241.72</v>
      </c>
      <c r="G648" s="8" t="str">
        <f aca="false">IFERROR(INDEX('TRANS'!$B:$B,MATCH($B648,'TRANS'!$A:$A,0)),IFERROR(INDEX('TRANS'!$B:$B,MATCH(TRIM(SUBSTITUTE($B648,CHAR(160)," ")),'TRANS'!$D:$D,0)),IFERROR(INDEX('Catalog'!$A:$A,MATCH($B648,'Catalog'!$B:$B,0)),IFERROR(INDEX('Catalog'!$A:$A,MATCH(TRIM(SUBSTITUTE($B648,CHAR(160)," ")),'Catalog'!$C:$C,0)),""))))</f>
        <v/>
      </c>
      <c r="H648" s="8" t="str">
        <f aca="false">IFERROR(INDEX('TRANS'!$C:$C,MATCH($B648,'TRANS'!$A:$A,0)),IFERROR(INDEX('Catalog'!$B:$B,MATCH($G648,'Catalog'!$A:$A,0)),$B648))</f>
        <v>56B L</v>
      </c>
      <c r="I648" s="8" t="str">
        <f aca="false">IF($G648="","Unmatched","Matched")</f>
        <v>Unmatched</v>
      </c>
    </row>
    <row r="649" customFormat="false" ht="15" hidden="false" customHeight="false" outlineLevel="0" collapsed="false">
      <c r="A649" s="8" t="s">
        <v>572</v>
      </c>
      <c r="B649" s="8" t="s">
        <v>600</v>
      </c>
      <c r="C649" s="19" t="n">
        <v>0</v>
      </c>
      <c r="D649" s="19" t="n">
        <v>0</v>
      </c>
      <c r="E649" s="19" t="n">
        <v>3</v>
      </c>
      <c r="F649" s="19" t="n">
        <v>247.34</v>
      </c>
      <c r="G649" s="8" t="str">
        <f aca="false">IFERROR(INDEX('TRANS'!$B:$B,MATCH($B649,'TRANS'!$A:$A,0)),IFERROR(INDEX('TRANS'!$B:$B,MATCH(TRIM(SUBSTITUTE($B649,CHAR(160)," ")),'TRANS'!$D:$D,0)),IFERROR(INDEX('Catalog'!$A:$A,MATCH($B649,'Catalog'!$B:$B,0)),IFERROR(INDEX('Catalog'!$A:$A,MATCH(TRIM(SUBSTITUTE($B649,CHAR(160)," ")),'Catalog'!$C:$C,0)),""))))</f>
        <v/>
      </c>
      <c r="H649" s="8" t="str">
        <f aca="false">IFERROR(INDEX('TRANS'!$C:$C,MATCH($B649,'TRANS'!$A:$A,0)),IFERROR(INDEX('Catalog'!$B:$B,MATCH($G649,'Catalog'!$A:$A,0)),$B649))</f>
        <v>56B M</v>
      </c>
      <c r="I649" s="8" t="str">
        <f aca="false">IF($G649="","Unmatched","Matched")</f>
        <v>Unmatched</v>
      </c>
    </row>
    <row r="650" customFormat="false" ht="15" hidden="false" customHeight="false" outlineLevel="0" collapsed="false">
      <c r="A650" s="8" t="s">
        <v>572</v>
      </c>
      <c r="B650" s="8" t="s">
        <v>601</v>
      </c>
      <c r="C650" s="19" t="n">
        <v>0</v>
      </c>
      <c r="D650" s="19" t="n">
        <v>0</v>
      </c>
      <c r="E650" s="19" t="n">
        <v>3</v>
      </c>
      <c r="F650" s="19" t="n">
        <v>241.72</v>
      </c>
      <c r="G650" s="8" t="str">
        <f aca="false">IFERROR(INDEX('TRANS'!$B:$B,MATCH($B650,'TRANS'!$A:$A,0)),IFERROR(INDEX('TRANS'!$B:$B,MATCH(TRIM(SUBSTITUTE($B650,CHAR(160)," ")),'TRANS'!$D:$D,0)),IFERROR(INDEX('Catalog'!$A:$A,MATCH($B650,'Catalog'!$B:$B,0)),IFERROR(INDEX('Catalog'!$A:$A,MATCH(TRIM(SUBSTITUTE($B650,CHAR(160)," ")),'Catalog'!$C:$C,0)),""))))</f>
        <v/>
      </c>
      <c r="H650" s="8" t="str">
        <f aca="false">IFERROR(INDEX('TRANS'!$C:$C,MATCH($B650,'TRANS'!$A:$A,0)),IFERROR(INDEX('Catalog'!$B:$B,MATCH($G650,'Catalog'!$A:$A,0)),$B650))</f>
        <v>56B XL</v>
      </c>
      <c r="I650" s="8" t="str">
        <f aca="false">IF($G650="","Unmatched","Matched")</f>
        <v>Unmatched</v>
      </c>
    </row>
    <row r="651" customFormat="false" ht="15" hidden="false" customHeight="false" outlineLevel="0" collapsed="false">
      <c r="A651" s="8" t="s">
        <v>572</v>
      </c>
      <c r="B651" s="8" t="s">
        <v>227</v>
      </c>
      <c r="C651" s="19" t="n">
        <v>15</v>
      </c>
      <c r="D651" s="19" t="n">
        <v>1981.14</v>
      </c>
      <c r="E651" s="19" t="n">
        <v>9</v>
      </c>
      <c r="F651" s="19" t="n">
        <v>1260</v>
      </c>
      <c r="G651" s="8" t="n">
        <f aca="false">IFERROR(INDEX('TRANS'!$B:$B,MATCH($B651,'TRANS'!$A:$A,0)),IFERROR(INDEX('TRANS'!$B:$B,MATCH(TRIM(SUBSTITUTE($B651,CHAR(160)," ")),'TRANS'!$D:$D,0)),IFERROR(INDEX('Catalog'!$A:$A,MATCH($B651,'Catalog'!$B:$B,0)),IFERROR(INDEX('Catalog'!$A:$A,MATCH(TRIM(SUBSTITUTE($B651,CHAR(160)," ")),'Catalog'!$C:$C,0)),""))))</f>
        <v>4408079</v>
      </c>
      <c r="H651" s="8" t="str">
        <f aca="false">IFERROR(INDEX('TRANS'!$C:$C,MATCH($B651,'TRANS'!$A:$A,0)),IFERROR(INDEX('Catalog'!$B:$B,MATCH($G651,'Catalog'!$A:$A,0)),$B651))</f>
        <v>59R S חגורת שבר לצד ימין</v>
      </c>
      <c r="I651" s="8" t="str">
        <f aca="false">IF($G651="","Unmatched","Matched")</f>
        <v>Matched</v>
      </c>
    </row>
    <row r="652" customFormat="false" ht="15" hidden="false" customHeight="false" outlineLevel="0" collapsed="false">
      <c r="A652" s="8" t="s">
        <v>572</v>
      </c>
      <c r="B652" s="8" t="s">
        <v>602</v>
      </c>
      <c r="C652" s="19" t="n">
        <v>35</v>
      </c>
      <c r="D652" s="19" t="n">
        <v>1980.07</v>
      </c>
      <c r="E652" s="19" t="n">
        <v>16</v>
      </c>
      <c r="F652" s="19" t="n">
        <v>1064.16</v>
      </c>
      <c r="G652" s="8" t="str">
        <f aca="false">IFERROR(INDEX('TRANS'!$B:$B,MATCH($B652,'TRANS'!$A:$A,0)),IFERROR(INDEX('TRANS'!$B:$B,MATCH(TRIM(SUBSTITUTE($B652,CHAR(160)," ")),'TRANS'!$D:$D,0)),IFERROR(INDEX('Catalog'!$A:$A,MATCH($B652,'Catalog'!$B:$B,0)),IFERROR(INDEX('Catalog'!$A:$A,MATCH(TRIM(SUBSTITUTE($B652,CHAR(160)," ")),'Catalog'!$C:$C,0)),""))))</f>
        <v/>
      </c>
      <c r="H652" s="8" t="str">
        <f aca="false">IFERROR(INDEX('TRANS'!$C:$C,MATCH($B652,'TRANS'!$A:$A,0)),IFERROR(INDEX('Catalog'!$B:$B,MATCH($G652,'Catalog'!$A:$A,0)),$B652))</f>
        <v>63 L</v>
      </c>
      <c r="I652" s="8" t="str">
        <f aca="false">IF($G652="","Unmatched","Matched")</f>
        <v>Unmatched</v>
      </c>
    </row>
    <row r="653" customFormat="false" ht="15" hidden="false" customHeight="false" outlineLevel="0" collapsed="false">
      <c r="A653" s="8" t="s">
        <v>572</v>
      </c>
      <c r="B653" s="8" t="s">
        <v>401</v>
      </c>
      <c r="C653" s="19" t="n">
        <v>30</v>
      </c>
      <c r="D653" s="19" t="n">
        <v>1730.05</v>
      </c>
      <c r="E653" s="19" t="n">
        <v>8</v>
      </c>
      <c r="F653" s="19" t="n">
        <v>532.09</v>
      </c>
      <c r="G653" s="8" t="str">
        <f aca="false">IFERROR(INDEX('TRANS'!$B:$B,MATCH($B653,'TRANS'!$A:$A,0)),IFERROR(INDEX('TRANS'!$B:$B,MATCH(TRIM(SUBSTITUTE($B653,CHAR(160)," ")),'TRANS'!$D:$D,0)),IFERROR(INDEX('Catalog'!$A:$A,MATCH($B653,'Catalog'!$B:$B,0)),IFERROR(INDEX('Catalog'!$A:$A,MATCH(TRIM(SUBSTITUTE($B653,CHAR(160)," ")),'Catalog'!$C:$C,0)),""))))</f>
        <v/>
      </c>
      <c r="H653" s="8" t="str">
        <f aca="false">IFERROR(INDEX('TRANS'!$C:$C,MATCH($B653,'TRANS'!$A:$A,0)),IFERROR(INDEX('Catalog'!$B:$B,MATCH($G653,'Catalog'!$A:$A,0)),$B653))</f>
        <v>63 M</v>
      </c>
      <c r="I653" s="8" t="str">
        <f aca="false">IF($G653="","Unmatched","Matched")</f>
        <v>Unmatched</v>
      </c>
    </row>
    <row r="654" customFormat="false" ht="15" hidden="false" customHeight="false" outlineLevel="0" collapsed="false">
      <c r="A654" s="8" t="s">
        <v>572</v>
      </c>
      <c r="B654" s="8" t="s">
        <v>231</v>
      </c>
      <c r="C654" s="19" t="n">
        <v>316</v>
      </c>
      <c r="D654" s="19" t="n">
        <v>41094.77</v>
      </c>
      <c r="E654" s="19" t="n">
        <v>263</v>
      </c>
      <c r="F654" s="19" t="n">
        <v>43552.48</v>
      </c>
      <c r="G654" s="8" t="str">
        <f aca="false">IFERROR(INDEX('TRANS'!$B:$B,MATCH($B654,'TRANS'!$A:$A,0)),IFERROR(INDEX('TRANS'!$B:$B,MATCH(TRIM(SUBSTITUTE($B654,CHAR(160)," ")),'TRANS'!$D:$D,0)),IFERROR(INDEX('Catalog'!$A:$A,MATCH($B654,'Catalog'!$B:$B,0)),IFERROR(INDEX('Catalog'!$A:$A,MATCH(TRIM(SUBSTITUTE($B654,CHAR(160)," ")),'Catalog'!$C:$C,0)),""))))</f>
        <v/>
      </c>
      <c r="H654" s="8" t="str">
        <f aca="false">IFERROR(INDEX('TRANS'!$C:$C,MATCH($B654,'TRANS'!$A:$A,0)),IFERROR(INDEX('Catalog'!$B:$B,MATCH($G654,'Catalog'!$A:$A,0)),$B654))</f>
        <v>67 0</v>
      </c>
      <c r="I654" s="8" t="str">
        <f aca="false">IF($G654="","Unmatched","Matched")</f>
        <v>Unmatched</v>
      </c>
    </row>
    <row r="655" customFormat="false" ht="15" hidden="false" customHeight="false" outlineLevel="0" collapsed="false">
      <c r="A655" s="8" t="s">
        <v>572</v>
      </c>
      <c r="B655" s="8" t="s">
        <v>499</v>
      </c>
      <c r="C655" s="19" t="n">
        <v>15</v>
      </c>
      <c r="D655" s="19" t="n">
        <v>3807.34</v>
      </c>
      <c r="E655" s="19" t="n">
        <v>18</v>
      </c>
      <c r="F655" s="19" t="n">
        <v>4399.53</v>
      </c>
      <c r="G655" s="8" t="n">
        <f aca="false">IFERROR(INDEX('TRANS'!$B:$B,MATCH($B655,'TRANS'!$A:$A,0)),IFERROR(INDEX('TRANS'!$B:$B,MATCH(TRIM(SUBSTITUTE($B655,CHAR(160)," ")),'TRANS'!$D:$D,0)),IFERROR(INDEX('Catalog'!$A:$A,MATCH($B655,'Catalog'!$B:$B,0)),IFERROR(INDEX('Catalog'!$A:$A,MATCH(TRIM(SUBSTITUTE($B655,CHAR(160)," ")),'Catalog'!$C:$C,0)),""))))</f>
        <v>4408274</v>
      </c>
      <c r="H655" s="8" t="str">
        <f aca="false">IFERROR(INDEX('TRANS'!$C:$C,MATCH($B655,'TRANS'!$A:$A,0)),IFERROR(INDEX('Catalog'!$B:$B,MATCH($G655,'Catalog'!$A:$A,0)),$B655))</f>
        <v>70N L חגורת פאבליק</v>
      </c>
      <c r="I655" s="8" t="str">
        <f aca="false">IF($G655="","Unmatched","Matched")</f>
        <v>Matched</v>
      </c>
    </row>
    <row r="656" customFormat="false" ht="15" hidden="false" customHeight="false" outlineLevel="0" collapsed="false">
      <c r="A656" s="8" t="s">
        <v>572</v>
      </c>
      <c r="B656" s="8" t="s">
        <v>603</v>
      </c>
      <c r="C656" s="19" t="n">
        <v>7</v>
      </c>
      <c r="D656" s="19" t="n">
        <v>1135.29</v>
      </c>
      <c r="E656" s="19" t="n">
        <v>12</v>
      </c>
      <c r="F656" s="19" t="n">
        <v>1946.25</v>
      </c>
      <c r="G656" s="8" t="n">
        <f aca="false">IFERROR(INDEX('TRANS'!$B:$B,MATCH($B656,'TRANS'!$A:$A,0)),IFERROR(INDEX('TRANS'!$B:$B,MATCH(TRIM(SUBSTITUTE($B656,CHAR(160)," ")),'TRANS'!$D:$D,0)),IFERROR(INDEX('Catalog'!$A:$A,MATCH($B656,'Catalog'!$B:$B,0)),IFERROR(INDEX('Catalog'!$A:$A,MATCH(TRIM(SUBSTITUTE($B656,CHAR(160)," ")),'Catalog'!$C:$C,0)),""))))</f>
        <v>4413128</v>
      </c>
      <c r="H656" s="8" t="str">
        <f aca="false">IFERROR(INDEX('TRANS'!$C:$C,MATCH($B656,'TRANS'!$A:$A,0)),IFERROR(INDEX('Catalog'!$B:$B,MATCH($G656,'Catalog'!$A:$A,0)),$B656))</f>
        <v>75 Mמיישר כתף יציב יישור גב צר</v>
      </c>
      <c r="I656" s="8" t="str">
        <f aca="false">IF($G656="","Unmatched","Matched")</f>
        <v>Matched</v>
      </c>
    </row>
    <row r="657" customFormat="false" ht="15" hidden="false" customHeight="false" outlineLevel="0" collapsed="false">
      <c r="A657" s="8" t="s">
        <v>572</v>
      </c>
      <c r="B657" s="8" t="s">
        <v>604</v>
      </c>
      <c r="C657" s="19" t="n">
        <v>6</v>
      </c>
      <c r="D657" s="19" t="n">
        <v>2042.04</v>
      </c>
      <c r="E657" s="19" t="n">
        <v>0</v>
      </c>
      <c r="F657" s="19" t="n">
        <v>0</v>
      </c>
      <c r="G657" s="8" t="str">
        <f aca="false">IFERROR(INDEX('TRANS'!$B:$B,MATCH($B657,'TRANS'!$A:$A,0)),IFERROR(INDEX('TRANS'!$B:$B,MATCH(TRIM(SUBSTITUTE($B657,CHAR(160)," ")),'TRANS'!$D:$D,0)),IFERROR(INDEX('Catalog'!$A:$A,MATCH($B657,'Catalog'!$B:$B,0)),IFERROR(INDEX('Catalog'!$A:$A,MATCH(TRIM(SUBSTITUTE($B657,CHAR(160)," ")),'Catalog'!$C:$C,0)),""))))</f>
        <v/>
      </c>
      <c r="H657" s="8" t="str">
        <f aca="false">IFERROR(INDEX('TRANS'!$C:$C,MATCH($B657,'TRANS'!$A:$A,0)),IFERROR(INDEX('Catalog'!$B:$B,MATCH($G657,'Catalog'!$A:$A,0)),$B657))</f>
        <v>776 M</v>
      </c>
      <c r="I657" s="8" t="str">
        <f aca="false">IF($G657="","Unmatched","Matched")</f>
        <v>Unmatched</v>
      </c>
    </row>
    <row r="658" customFormat="false" ht="15" hidden="false" customHeight="false" outlineLevel="0" collapsed="false">
      <c r="A658" s="8" t="s">
        <v>572</v>
      </c>
      <c r="B658" s="8" t="s">
        <v>605</v>
      </c>
      <c r="C658" s="19" t="n">
        <v>4</v>
      </c>
      <c r="D658" s="19" t="n">
        <v>1371</v>
      </c>
      <c r="E658" s="19" t="n">
        <v>0</v>
      </c>
      <c r="F658" s="19" t="n">
        <v>0</v>
      </c>
      <c r="G658" s="8" t="str">
        <f aca="false">IFERROR(INDEX('TRANS'!$B:$B,MATCH($B658,'TRANS'!$A:$A,0)),IFERROR(INDEX('TRANS'!$B:$B,MATCH(TRIM(SUBSTITUTE($B658,CHAR(160)," ")),'TRANS'!$D:$D,0)),IFERROR(INDEX('Catalog'!$A:$A,MATCH($B658,'Catalog'!$B:$B,0)),IFERROR(INDEX('Catalog'!$A:$A,MATCH(TRIM(SUBSTITUTE($B658,CHAR(160)," ")),'Catalog'!$C:$C,0)),""))))</f>
        <v/>
      </c>
      <c r="H658" s="8" t="str">
        <f aca="false">IFERROR(INDEX('TRANS'!$C:$C,MATCH($B658,'TRANS'!$A:$A,0)),IFERROR(INDEX('Catalog'!$B:$B,MATCH($G658,'Catalog'!$A:$A,0)),$B658))</f>
        <v>776 S</v>
      </c>
      <c r="I658" s="8" t="str">
        <f aca="false">IF($G658="","Unmatched","Matched")</f>
        <v>Unmatched</v>
      </c>
    </row>
    <row r="659" customFormat="false" ht="15" hidden="false" customHeight="false" outlineLevel="0" collapsed="false">
      <c r="A659" s="8" t="s">
        <v>572</v>
      </c>
      <c r="B659" s="8" t="s">
        <v>606</v>
      </c>
      <c r="C659" s="19" t="n">
        <v>3</v>
      </c>
      <c r="D659" s="19" t="n">
        <v>934.03</v>
      </c>
      <c r="E659" s="19" t="n">
        <v>0</v>
      </c>
      <c r="F659" s="19" t="n">
        <v>0</v>
      </c>
      <c r="G659" s="8" t="str">
        <f aca="false">IFERROR(INDEX('TRANS'!$B:$B,MATCH($B659,'TRANS'!$A:$A,0)),IFERROR(INDEX('TRANS'!$B:$B,MATCH(TRIM(SUBSTITUTE($B659,CHAR(160)," ")),'TRANS'!$D:$D,0)),IFERROR(INDEX('Catalog'!$A:$A,MATCH($B659,'Catalog'!$B:$B,0)),IFERROR(INDEX('Catalog'!$A:$A,MATCH(TRIM(SUBSTITUTE($B659,CHAR(160)," ")),'Catalog'!$C:$C,0)),""))))</f>
        <v/>
      </c>
      <c r="H659" s="8" t="str">
        <f aca="false">IFERROR(INDEX('TRANS'!$C:$C,MATCH($B659,'TRANS'!$A:$A,0)),IFERROR(INDEX('Catalog'!$B:$B,MATCH($G659,'Catalog'!$A:$A,0)),$B659))</f>
        <v>776 XXL</v>
      </c>
      <c r="I659" s="8" t="str">
        <f aca="false">IF($G659="","Unmatched","Matched")</f>
        <v>Unmatched</v>
      </c>
    </row>
    <row r="660" customFormat="false" ht="15" hidden="false" customHeight="false" outlineLevel="0" collapsed="false">
      <c r="A660" s="8" t="s">
        <v>572</v>
      </c>
      <c r="B660" s="8" t="s">
        <v>409</v>
      </c>
      <c r="C660" s="19" t="n">
        <v>4</v>
      </c>
      <c r="D660" s="19" t="n">
        <v>309.59</v>
      </c>
      <c r="E660" s="19" t="n">
        <v>0</v>
      </c>
      <c r="F660" s="19" t="n">
        <v>0</v>
      </c>
      <c r="G660" s="8" t="str">
        <f aca="false">IFERROR(INDEX('TRANS'!$B:$B,MATCH($B660,'TRANS'!$A:$A,0)),IFERROR(INDEX('TRANS'!$B:$B,MATCH(TRIM(SUBSTITUTE($B660,CHAR(160)," ")),'TRANS'!$D:$D,0)),IFERROR(INDEX('Catalog'!$A:$A,MATCH($B660,'Catalog'!$B:$B,0)),IFERROR(INDEX('Catalog'!$A:$A,MATCH(TRIM(SUBSTITUTE($B660,CHAR(160)," ")),'Catalog'!$C:$C,0)),""))))</f>
        <v/>
      </c>
      <c r="H660" s="8" t="str">
        <f aca="false">IFERROR(INDEX('TRANS'!$C:$C,MATCH($B660,'TRANS'!$A:$A,0)),IFERROR(INDEX('Catalog'!$B:$B,MATCH($G660,'Catalog'!$A:$A,0)),$B660))</f>
        <v>78A L</v>
      </c>
      <c r="I660" s="8" t="str">
        <f aca="false">IF($G660="","Unmatched","Matched")</f>
        <v>Unmatched</v>
      </c>
    </row>
    <row r="661" customFormat="false" ht="15" hidden="false" customHeight="false" outlineLevel="0" collapsed="false">
      <c r="A661" s="8" t="s">
        <v>572</v>
      </c>
      <c r="B661" s="8" t="s">
        <v>410</v>
      </c>
      <c r="C661" s="19" t="n">
        <v>6</v>
      </c>
      <c r="D661" s="19" t="n">
        <v>499.59</v>
      </c>
      <c r="E661" s="19" t="n">
        <v>0</v>
      </c>
      <c r="F661" s="19" t="n">
        <v>0</v>
      </c>
      <c r="G661" s="8" t="str">
        <f aca="false">IFERROR(INDEX('TRANS'!$B:$B,MATCH($B661,'TRANS'!$A:$A,0)),IFERROR(INDEX('TRANS'!$B:$B,MATCH(TRIM(SUBSTITUTE($B661,CHAR(160)," ")),'TRANS'!$D:$D,0)),IFERROR(INDEX('Catalog'!$A:$A,MATCH($B661,'Catalog'!$B:$B,0)),IFERROR(INDEX('Catalog'!$A:$A,MATCH(TRIM(SUBSTITUTE($B661,CHAR(160)," ")),'Catalog'!$C:$C,0)),""))))</f>
        <v/>
      </c>
      <c r="H661" s="8" t="str">
        <f aca="false">IFERROR(INDEX('TRANS'!$C:$C,MATCH($B661,'TRANS'!$A:$A,0)),IFERROR(INDEX('Catalog'!$B:$B,MATCH($G661,'Catalog'!$A:$A,0)),$B661))</f>
        <v>78A M</v>
      </c>
      <c r="I661" s="8" t="str">
        <f aca="false">IF($G661="","Unmatched","Matched")</f>
        <v>Unmatched</v>
      </c>
    </row>
    <row r="662" customFormat="false" ht="15" hidden="false" customHeight="false" outlineLevel="0" collapsed="false">
      <c r="A662" s="8" t="s">
        <v>572</v>
      </c>
      <c r="B662" s="8" t="s">
        <v>275</v>
      </c>
      <c r="C662" s="19" t="n">
        <v>81</v>
      </c>
      <c r="D662" s="19" t="n">
        <v>5922.26</v>
      </c>
      <c r="E662" s="19" t="n">
        <v>66</v>
      </c>
      <c r="F662" s="19" t="n">
        <v>4946.48</v>
      </c>
      <c r="G662" s="8" t="n">
        <f aca="false">IFERROR(INDEX('TRANS'!$B:$B,MATCH($B662,'TRANS'!$A:$A,0)),IFERROR(INDEX('TRANS'!$B:$B,MATCH(TRIM(SUBSTITUTE($B662,CHAR(160)," ")),'TRANS'!$D:$D,0)),IFERROR(INDEX('Catalog'!$A:$A,MATCH($B662,'Catalog'!$B:$B,0)),IFERROR(INDEX('Catalog'!$A:$A,MATCH(TRIM(SUBSTITUTE($B662,CHAR(160)," ")),'Catalog'!$C:$C,0)),""))))</f>
        <v>4413329</v>
      </c>
      <c r="H662" s="8" t="str">
        <f aca="false">IFERROR(INDEX('TRANS'!$C:$C,MATCH($B662,'TRANS'!$A:$A,0)),IFERROR(INDEX('Catalog'!$B:$B,MATCH($G662,'Catalog'!$A:$A,0)),$B662))</f>
        <v>AC45X מגן ברך עם תמיכות</v>
      </c>
      <c r="I662" s="8" t="str">
        <f aca="false">IF($G662="","Unmatched","Matched")</f>
        <v>Matched</v>
      </c>
    </row>
    <row r="663" customFormat="false" ht="15" hidden="false" customHeight="false" outlineLevel="0" collapsed="false">
      <c r="A663" s="8" t="s">
        <v>572</v>
      </c>
      <c r="B663" s="8" t="s">
        <v>54</v>
      </c>
      <c r="C663" s="19" t="n">
        <v>212</v>
      </c>
      <c r="D663" s="19" t="n">
        <v>14964.85</v>
      </c>
      <c r="E663" s="19" t="n">
        <v>163</v>
      </c>
      <c r="F663" s="19" t="n">
        <v>12803</v>
      </c>
      <c r="G663" s="8" t="n">
        <f aca="false">IFERROR(INDEX('TRANS'!$B:$B,MATCH($B663,'TRANS'!$A:$A,0)),IFERROR(INDEX('TRANS'!$B:$B,MATCH(TRIM(SUBSTITUTE($B663,CHAR(160)," ")),'TRANS'!$D:$D,0)),IFERROR(INDEX('Catalog'!$A:$A,MATCH($B663,'Catalog'!$B:$B,0)),IFERROR(INDEX('Catalog'!$A:$A,MATCH(TRIM(SUBSTITUTE($B663,CHAR(160)," ")),'Catalog'!$C:$C,0)),""))))</f>
        <v>4413453</v>
      </c>
      <c r="H663" s="8" t="str">
        <f aca="false">IFERROR(INDEX('TRANS'!$C:$C,MATCH($B663,'TRANS'!$A:$A,0)),IFERROR(INDEX('Catalog'!$B:$B,MATCH($G663,'Catalog'!$A:$A,0)),$B663))</f>
        <v>AC75 מישר כתפיים אקטיב</v>
      </c>
      <c r="I663" s="8" t="str">
        <f aca="false">IF($G663="","Unmatched","Matched")</f>
        <v>Matched</v>
      </c>
    </row>
    <row r="664" customFormat="false" ht="15" hidden="false" customHeight="false" outlineLevel="0" collapsed="false">
      <c r="A664" s="8" t="s">
        <v>572</v>
      </c>
      <c r="B664" s="8" t="s">
        <v>556</v>
      </c>
      <c r="C664" s="19" t="n">
        <v>11</v>
      </c>
      <c r="D664" s="19" t="n">
        <v>2683.86</v>
      </c>
      <c r="E664" s="19" t="n">
        <v>1</v>
      </c>
      <c r="F664" s="19" t="n">
        <v>260.01</v>
      </c>
      <c r="G664" s="8" t="str">
        <f aca="false">IFERROR(INDEX('TRANS'!$B:$B,MATCH($B664,'TRANS'!$A:$A,0)),IFERROR(INDEX('TRANS'!$B:$B,MATCH(TRIM(SUBSTITUTE($B664,CHAR(160)," ")),'TRANS'!$D:$D,0)),IFERROR(INDEX('Catalog'!$A:$A,MATCH($B664,'Catalog'!$B:$B,0)),IFERROR(INDEX('Catalog'!$A:$A,MATCH(TRIM(SUBSTITUTE($B664,CHAR(160)," ")),'Catalog'!$C:$C,0)),""))))</f>
        <v/>
      </c>
      <c r="H664" s="8" t="str">
        <f aca="false">IFERROR(INDEX('TRANS'!$C:$C,MATCH($B664,'TRANS'!$A:$A,0)),IFERROR(INDEX('Catalog'!$B:$B,MATCH($G664,'Catalog'!$A:$A,0)),$B664))</f>
        <v>N433D L</v>
      </c>
      <c r="I664" s="8" t="str">
        <f aca="false">IF($G664="","Unmatched","Matched")</f>
        <v>Unmatched</v>
      </c>
    </row>
    <row r="665" customFormat="false" ht="15" hidden="false" customHeight="false" outlineLevel="0" collapsed="false">
      <c r="A665" s="8" t="s">
        <v>572</v>
      </c>
      <c r="B665" s="8" t="s">
        <v>519</v>
      </c>
      <c r="C665" s="19" t="n">
        <v>5</v>
      </c>
      <c r="D665" s="19" t="n">
        <v>1300</v>
      </c>
      <c r="E665" s="19" t="n">
        <v>2</v>
      </c>
      <c r="F665" s="19" t="n">
        <v>520</v>
      </c>
      <c r="G665" s="8" t="str">
        <f aca="false">IFERROR(INDEX('TRANS'!$B:$B,MATCH($B665,'TRANS'!$A:$A,0)),IFERROR(INDEX('TRANS'!$B:$B,MATCH(TRIM(SUBSTITUTE($B665,CHAR(160)," ")),'TRANS'!$D:$D,0)),IFERROR(INDEX('Catalog'!$A:$A,MATCH($B665,'Catalog'!$B:$B,0)),IFERROR(INDEX('Catalog'!$A:$A,MATCH(TRIM(SUBSTITUTE($B665,CHAR(160)," ")),'Catalog'!$C:$C,0)),""))))</f>
        <v/>
      </c>
      <c r="H665" s="8" t="str">
        <f aca="false">IFERROR(INDEX('TRANS'!$C:$C,MATCH($B665,'TRANS'!$A:$A,0)),IFERROR(INDEX('Catalog'!$B:$B,MATCH($G665,'Catalog'!$A:$A,0)),$B665))</f>
        <v>N433D M</v>
      </c>
      <c r="I665" s="8" t="str">
        <f aca="false">IF($G665="","Unmatched","Matched")</f>
        <v>Unmatched</v>
      </c>
    </row>
    <row r="666" customFormat="false" ht="15" hidden="false" customHeight="false" outlineLevel="0" collapsed="false">
      <c r="A666" s="8" t="s">
        <v>572</v>
      </c>
      <c r="B666" s="8" t="s">
        <v>520</v>
      </c>
      <c r="C666" s="19" t="n">
        <v>6</v>
      </c>
      <c r="D666" s="19" t="n">
        <v>1453.88</v>
      </c>
      <c r="E666" s="19" t="n">
        <v>7</v>
      </c>
      <c r="F666" s="19" t="n">
        <v>1819.99</v>
      </c>
      <c r="G666" s="8" t="str">
        <f aca="false">IFERROR(INDEX('TRANS'!$B:$B,MATCH($B666,'TRANS'!$A:$A,0)),IFERROR(INDEX('TRANS'!$B:$B,MATCH(TRIM(SUBSTITUTE($B666,CHAR(160)," ")),'TRANS'!$D:$D,0)),IFERROR(INDEX('Catalog'!$A:$A,MATCH($B666,'Catalog'!$B:$B,0)),IFERROR(INDEX('Catalog'!$A:$A,MATCH(TRIM(SUBSTITUTE($B666,CHAR(160)," ")),'Catalog'!$C:$C,0)),""))))</f>
        <v/>
      </c>
      <c r="H666" s="8" t="str">
        <f aca="false">IFERROR(INDEX('TRANS'!$C:$C,MATCH($B666,'TRANS'!$A:$A,0)),IFERROR(INDEX('Catalog'!$B:$B,MATCH($G666,'Catalog'!$A:$A,0)),$B666))</f>
        <v>N433D XL</v>
      </c>
      <c r="I666" s="8" t="str">
        <f aca="false">IF($G666="","Unmatched","Matched")</f>
        <v>Unmatched</v>
      </c>
    </row>
    <row r="667" customFormat="false" ht="15" hidden="false" customHeight="false" outlineLevel="0" collapsed="false">
      <c r="A667" s="8" t="s">
        <v>572</v>
      </c>
      <c r="B667" s="8" t="s">
        <v>607</v>
      </c>
      <c r="C667" s="19" t="n">
        <v>4</v>
      </c>
      <c r="D667" s="19" t="n">
        <v>933.85</v>
      </c>
      <c r="E667" s="19" t="n">
        <v>1</v>
      </c>
      <c r="F667" s="19" t="n">
        <v>260</v>
      </c>
      <c r="G667" s="8" t="str">
        <f aca="false">IFERROR(INDEX('TRANS'!$B:$B,MATCH($B667,'TRANS'!$A:$A,0)),IFERROR(INDEX('TRANS'!$B:$B,MATCH(TRIM(SUBSTITUTE($B667,CHAR(160)," ")),'TRANS'!$D:$D,0)),IFERROR(INDEX('Catalog'!$A:$A,MATCH($B667,'Catalog'!$B:$B,0)),IFERROR(INDEX('Catalog'!$A:$A,MATCH(TRIM(SUBSTITUTE($B667,CHAR(160)," ")),'Catalog'!$C:$C,0)),""))))</f>
        <v/>
      </c>
      <c r="H667" s="8" t="str">
        <f aca="false">IFERROR(INDEX('TRANS'!$C:$C,MATCH($B667,'TRANS'!$A:$A,0)),IFERROR(INDEX('Catalog'!$B:$B,MATCH($G667,'Catalog'!$A:$A,0)),$B667))</f>
        <v>N433D XXL</v>
      </c>
      <c r="I667" s="8" t="str">
        <f aca="false">IF($G667="","Unmatched","Matched")</f>
        <v>Unmatched</v>
      </c>
    </row>
    <row r="668" customFormat="false" ht="15" hidden="false" customHeight="false" outlineLevel="0" collapsed="false">
      <c r="A668" s="8" t="s">
        <v>572</v>
      </c>
      <c r="B668" s="8" t="s">
        <v>434</v>
      </c>
      <c r="C668" s="19" t="n">
        <v>7</v>
      </c>
      <c r="D668" s="19" t="n">
        <v>1091.89</v>
      </c>
      <c r="E668" s="19" t="n">
        <v>6</v>
      </c>
      <c r="F668" s="19" t="n">
        <v>984.14</v>
      </c>
      <c r="G668" s="8" t="n">
        <f aca="false">IFERROR(INDEX('TRANS'!$B:$B,MATCH($B668,'TRANS'!$A:$A,0)),IFERROR(INDEX('TRANS'!$B:$B,MATCH(TRIM(SUBSTITUTE($B668,CHAR(160)," ")),'TRANS'!$D:$D,0)),IFERROR(INDEX('Catalog'!$A:$A,MATCH($B668,'Catalog'!$B:$B,0)),IFERROR(INDEX('Catalog'!$A:$A,MATCH(TRIM(SUBSTITUTE($B668,CHAR(160)," ")),'Catalog'!$C:$C,0)),""))))</f>
        <v>4413417</v>
      </c>
      <c r="H668" s="8" t="str">
        <f aca="false">IFERROR(INDEX('TRANS'!$C:$C,MATCH($B668,'TRANS'!$A:$A,0)),IFERROR(INDEX('Catalog'!$B:$B,MATCH($G668,'Catalog'!$A:$A,0)),$B668))</f>
        <v>SC39  L מגן שוק</v>
      </c>
      <c r="I668" s="8" t="str">
        <f aca="false">IF($G668="","Unmatched","Matched")</f>
        <v>Matched</v>
      </c>
    </row>
    <row r="669" customFormat="false" ht="15" hidden="false" customHeight="false" outlineLevel="0" collapsed="false">
      <c r="A669" s="8" t="s">
        <v>572</v>
      </c>
      <c r="B669" s="8" t="s">
        <v>608</v>
      </c>
      <c r="C669" s="19" t="n">
        <v>8</v>
      </c>
      <c r="D669" s="19" t="n">
        <v>1218.38</v>
      </c>
      <c r="E669" s="19" t="n">
        <v>2</v>
      </c>
      <c r="F669" s="19" t="n">
        <v>328.04</v>
      </c>
      <c r="G669" s="8" t="n">
        <f aca="false">IFERROR(INDEX('TRANS'!$B:$B,MATCH($B669,'TRANS'!$A:$A,0)),IFERROR(INDEX('TRANS'!$B:$B,MATCH(TRIM(SUBSTITUTE($B669,CHAR(160)," ")),'TRANS'!$D:$D,0)),IFERROR(INDEX('Catalog'!$A:$A,MATCH($B669,'Catalog'!$B:$B,0)),IFERROR(INDEX('Catalog'!$A:$A,MATCH(TRIM(SUBSTITUTE($B669,CHAR(160)," ")),'Catalog'!$C:$C,0)),""))))</f>
        <v>4413418</v>
      </c>
      <c r="H669" s="8" t="str">
        <f aca="false">IFERROR(INDEX('TRANS'!$C:$C,MATCH($B669,'TRANS'!$A:$A,0)),IFERROR(INDEX('Catalog'!$B:$B,MATCH($G669,'Catalog'!$A:$A,0)),$B669))</f>
        <v>SC39 XL מגן שוק</v>
      </c>
      <c r="I669" s="8" t="str">
        <f aca="false">IF($G669="","Unmatched","Matched")</f>
        <v>Matched</v>
      </c>
    </row>
    <row r="670" customFormat="false" ht="15" hidden="false" customHeight="false" outlineLevel="0" collapsed="false">
      <c r="A670" s="8" t="s">
        <v>572</v>
      </c>
      <c r="B670" s="8" t="s">
        <v>609</v>
      </c>
      <c r="C670" s="19" t="n">
        <v>3</v>
      </c>
      <c r="D670" s="19" t="n">
        <v>492.08</v>
      </c>
      <c r="E670" s="19" t="n">
        <v>1</v>
      </c>
      <c r="F670" s="19" t="n">
        <v>164.02</v>
      </c>
      <c r="G670" s="8" t="n">
        <f aca="false">IFERROR(INDEX('TRANS'!$B:$B,MATCH($B670,'TRANS'!$A:$A,0)),IFERROR(INDEX('TRANS'!$B:$B,MATCH(TRIM(SUBSTITUTE($B670,CHAR(160)," ")),'TRANS'!$D:$D,0)),IFERROR(INDEX('Catalog'!$A:$A,MATCH($B670,'Catalog'!$B:$B,0)),IFERROR(INDEX('Catalog'!$A:$A,MATCH(TRIM(SUBSTITUTE($B670,CHAR(160)," ")),'Catalog'!$C:$C,0)),""))))</f>
        <v>4413419</v>
      </c>
      <c r="H670" s="8" t="str">
        <f aca="false">IFERROR(INDEX('TRANS'!$C:$C,MATCH($B670,'TRANS'!$A:$A,0)),IFERROR(INDEX('Catalog'!$B:$B,MATCH($G670,'Catalog'!$A:$A,0)),$B670))</f>
        <v>SC39 XXLמגן שוק</v>
      </c>
      <c r="I670" s="8" t="str">
        <f aca="false">IF($G670="","Unmatched","Matched")</f>
        <v>Matched</v>
      </c>
    </row>
    <row r="671" customFormat="false" ht="15" hidden="false" customHeight="false" outlineLevel="0" collapsed="false">
      <c r="A671" s="8" t="s">
        <v>572</v>
      </c>
      <c r="B671" s="8" t="s">
        <v>610</v>
      </c>
      <c r="C671" s="19" t="n">
        <v>0</v>
      </c>
      <c r="D671" s="19" t="n">
        <v>0</v>
      </c>
      <c r="E671" s="19" t="n">
        <v>18</v>
      </c>
      <c r="F671" s="19" t="n">
        <v>6325.1</v>
      </c>
      <c r="G671" s="8" t="str">
        <f aca="false">IFERROR(INDEX('TRANS'!$B:$B,MATCH($B671,'TRANS'!$A:$A,0)),IFERROR(INDEX('TRANS'!$B:$B,MATCH(TRIM(SUBSTITUTE($B671,CHAR(160)," ")),'TRANS'!$D:$D,0)),IFERROR(INDEX('Catalog'!$A:$A,MATCH($B671,'Catalog'!$B:$B,0)),IFERROR(INDEX('Catalog'!$A:$A,MATCH(TRIM(SUBSTITUTE($B671,CHAR(160)," ")),'Catalog'!$C:$C,0)),""))))</f>
        <v/>
      </c>
      <c r="H671" s="8" t="str">
        <f aca="false">IFERROR(INDEX('TRANS'!$C:$C,MATCH($B671,'TRANS'!$A:$A,0)),IFERROR(INDEX('Catalog'!$B:$B,MATCH($G671,'Catalog'!$A:$A,0)),$B671))</f>
        <v>SH776 M</v>
      </c>
      <c r="I671" s="8" t="str">
        <f aca="false">IF($G671="","Unmatched","Matched")</f>
        <v>Unmatched</v>
      </c>
    </row>
    <row r="672" customFormat="false" ht="15" hidden="false" customHeight="false" outlineLevel="0" collapsed="false">
      <c r="A672" s="8" t="s">
        <v>572</v>
      </c>
      <c r="B672" s="8" t="s">
        <v>328</v>
      </c>
      <c r="C672" s="19" t="n">
        <v>7</v>
      </c>
      <c r="D672" s="19" t="n">
        <v>656.12</v>
      </c>
      <c r="E672" s="19" t="n">
        <v>4</v>
      </c>
      <c r="F672" s="19" t="n">
        <v>353.3</v>
      </c>
      <c r="G672" s="8" t="str">
        <f aca="false">IFERROR(INDEX('TRANS'!$B:$B,MATCH($B672,'TRANS'!$A:$A,0)),IFERROR(INDEX('TRANS'!$B:$B,MATCH(TRIM(SUBSTITUTE($B672,CHAR(160)," ")),'TRANS'!$D:$D,0)),IFERROR(INDEX('Catalog'!$A:$A,MATCH($B672,'Catalog'!$B:$B,0)),IFERROR(INDEX('Catalog'!$A:$A,MATCH(TRIM(SUBSTITUTE($B672,CHAR(160)," ")),'Catalog'!$C:$C,0)),""))))</f>
        <v/>
      </c>
      <c r="H672" s="8" t="str">
        <f aca="false">IFERROR(INDEX('TRANS'!$C:$C,MATCH($B672,'TRANS'!$A:$A,0)),IFERROR(INDEX('Catalog'!$B:$B,MATCH($G672,'Catalog'!$A:$A,0)),$B672))</f>
        <v>T402 XL</v>
      </c>
      <c r="I672" s="8" t="str">
        <f aca="false">IF($G672="","Unmatched","Matched")</f>
        <v>Unmatched</v>
      </c>
    </row>
    <row r="673" customFormat="false" ht="15" hidden="false" customHeight="false" outlineLevel="0" collapsed="false">
      <c r="A673" s="8" t="s">
        <v>572</v>
      </c>
      <c r="B673" s="8" t="s">
        <v>611</v>
      </c>
      <c r="C673" s="19" t="n">
        <v>9</v>
      </c>
      <c r="D673" s="19" t="n">
        <v>838.96</v>
      </c>
      <c r="E673" s="19" t="n">
        <v>5</v>
      </c>
      <c r="F673" s="19" t="n">
        <v>460.56</v>
      </c>
      <c r="G673" s="8" t="str">
        <f aca="false">IFERROR(INDEX('TRANS'!$B:$B,MATCH($B673,'TRANS'!$A:$A,0)),IFERROR(INDEX('TRANS'!$B:$B,MATCH(TRIM(SUBSTITUTE($B673,CHAR(160)," ")),'TRANS'!$D:$D,0)),IFERROR(INDEX('Catalog'!$A:$A,MATCH($B673,'Catalog'!$B:$B,0)),IFERROR(INDEX('Catalog'!$A:$A,MATCH(TRIM(SUBSTITUTE($B673,CHAR(160)," ")),'Catalog'!$C:$C,0)),""))))</f>
        <v/>
      </c>
      <c r="H673" s="8" t="str">
        <f aca="false">IFERROR(INDEX('TRANS'!$C:$C,MATCH($B673,'TRANS'!$A:$A,0)),IFERROR(INDEX('Catalog'!$B:$B,MATCH($G673,'Catalog'!$A:$A,0)),$B673))</f>
        <v>T402 XXL</v>
      </c>
      <c r="I673" s="8" t="str">
        <f aca="false">IF($G673="","Unmatched","Matched")</f>
        <v>Unmatched</v>
      </c>
    </row>
    <row r="674" customFormat="false" ht="15" hidden="false" customHeight="false" outlineLevel="0" collapsed="false">
      <c r="A674" s="8" t="s">
        <v>572</v>
      </c>
      <c r="B674" s="8" t="s">
        <v>612</v>
      </c>
      <c r="C674" s="19" t="n">
        <v>22</v>
      </c>
      <c r="D674" s="19" t="n">
        <v>2853.93</v>
      </c>
      <c r="E674" s="19" t="n">
        <v>11</v>
      </c>
      <c r="F674" s="19" t="n">
        <v>1429.97</v>
      </c>
      <c r="G674" s="8" t="n">
        <f aca="false">IFERROR(INDEX('TRANS'!$B:$B,MATCH($B674,'TRANS'!$A:$A,0)),IFERROR(INDEX('TRANS'!$B:$B,MATCH(TRIM(SUBSTITUTE($B674,CHAR(160)," ")),'TRANS'!$D:$D,0)),IFERROR(INDEX('Catalog'!$A:$A,MATCH($B674,'Catalog'!$B:$B,0)),IFERROR(INDEX('Catalog'!$A:$A,MATCH(TRIM(SUBSTITUTE($B674,CHAR(160)," ")),'Catalog'!$C:$C,0)),""))))</f>
        <v>4422009</v>
      </c>
      <c r="H674" s="8" t="str">
        <f aca="false">IFERROR(INDEX('TRANS'!$C:$C,MATCH($B674,'TRANS'!$A:$A,0)),IFERROR(INDEX('Catalog'!$B:$B,MATCH($G674,'Catalog'!$A:$A,0)),$B674))</f>
        <v>T78 XXL תומך זרוע וכתף</v>
      </c>
      <c r="I674" s="8" t="str">
        <f aca="false">IF($G674="","Unmatched","Matched")</f>
        <v>Matched</v>
      </c>
    </row>
    <row r="675" customFormat="false" ht="15" hidden="false" customHeight="false" outlineLevel="0" collapsed="false">
      <c r="A675" s="8" t="s">
        <v>572</v>
      </c>
      <c r="B675" s="8" t="s">
        <v>71</v>
      </c>
      <c r="C675" s="19" t="n">
        <v>25</v>
      </c>
      <c r="D675" s="19" t="n">
        <v>2124.87</v>
      </c>
      <c r="E675" s="19" t="n">
        <v>20</v>
      </c>
      <c r="F675" s="19" t="n">
        <v>1699.92</v>
      </c>
      <c r="G675" s="8" t="n">
        <f aca="false">IFERROR(INDEX('TRANS'!$B:$B,MATCH($B675,'TRANS'!$A:$A,0)),IFERROR(INDEX('TRANS'!$B:$B,MATCH(TRIM(SUBSTITUTE($B675,CHAR(160)," ")),'TRANS'!$D:$D,0)),IFERROR(INDEX('Catalog'!$A:$A,MATCH($B675,'Catalog'!$B:$B,0)),IFERROR(INDEX('Catalog'!$A:$A,MATCH(TRIM(SUBSTITUTE($B675,CHAR(160)," ")),'Catalog'!$C:$C,0)),""))))</f>
        <v>4408033</v>
      </c>
      <c r="H675" s="8" t="str">
        <f aca="false">IFERROR(INDEX('TRANS'!$C:$C,MATCH($B675,'TRANS'!$A:$A,0)),IFERROR(INDEX('Catalog'!$B:$B,MATCH($G675,'Catalog'!$A:$A,0)),$B675))</f>
        <v>11 M""""חגורת בטן""""אורירית</v>
      </c>
      <c r="I675" s="8" t="str">
        <f aca="false">IF($G675="","Unmatched","Matched")</f>
        <v>Matched</v>
      </c>
    </row>
    <row r="676" customFormat="false" ht="15" hidden="false" customHeight="false" outlineLevel="0" collapsed="false">
      <c r="A676" s="8" t="s">
        <v>572</v>
      </c>
      <c r="B676" s="8" t="s">
        <v>73</v>
      </c>
      <c r="C676" s="19" t="n">
        <v>6</v>
      </c>
      <c r="D676" s="19" t="n">
        <v>477.85</v>
      </c>
      <c r="E676" s="19" t="n">
        <v>6</v>
      </c>
      <c r="F676" s="19" t="n">
        <v>510.01</v>
      </c>
      <c r="G676" s="8" t="n">
        <f aca="false">IFERROR(INDEX('TRANS'!$B:$B,MATCH($B676,'TRANS'!$A:$A,0)),IFERROR(INDEX('TRANS'!$B:$B,MATCH(TRIM(SUBSTITUTE($B676,CHAR(160)," ")),'TRANS'!$D:$D,0)),IFERROR(INDEX('Catalog'!$A:$A,MATCH($B676,'Catalog'!$B:$B,0)),IFERROR(INDEX('Catalog'!$A:$A,MATCH(TRIM(SUBSTITUTE($B676,CHAR(160)," ")),'Catalog'!$C:$C,0)),""))))</f>
        <v>4408114</v>
      </c>
      <c r="H676" s="8" t="str">
        <f aca="false">IFERROR(INDEX('TRANS'!$C:$C,MATCH($B676,'TRANS'!$A:$A,0)),IFERROR(INDEX('Catalog'!$B:$B,MATCH($G676,'Catalog'!$A:$A,0)),$B676))</f>
        <v>11EU M ח.בטן לאחר ניתוח</v>
      </c>
      <c r="I676" s="8" t="str">
        <f aca="false">IF($G676="","Unmatched","Matched")</f>
        <v>Matched</v>
      </c>
    </row>
    <row r="677" customFormat="false" ht="15" hidden="false" customHeight="false" outlineLevel="0" collapsed="false">
      <c r="A677" s="8" t="s">
        <v>572</v>
      </c>
      <c r="B677" s="8" t="s">
        <v>459</v>
      </c>
      <c r="C677" s="19" t="n">
        <v>39</v>
      </c>
      <c r="D677" s="19" t="n">
        <v>3043.98</v>
      </c>
      <c r="E677" s="19" t="n">
        <v>16</v>
      </c>
      <c r="F677" s="19" t="n">
        <v>1359.98</v>
      </c>
      <c r="G677" s="8" t="n">
        <f aca="false">IFERROR(INDEX('TRANS'!$B:$B,MATCH($B677,'TRANS'!$A:$A,0)),IFERROR(INDEX('TRANS'!$B:$B,MATCH(TRIM(SUBSTITUTE($B677,CHAR(160)," ")),'TRANS'!$D:$D,0)),IFERROR(INDEX('Catalog'!$A:$A,MATCH($B677,'Catalog'!$B:$B,0)),IFERROR(INDEX('Catalog'!$A:$A,MATCH(TRIM(SUBSTITUTE($B677,CHAR(160)," ")),'Catalog'!$C:$C,0)),""))))</f>
        <v>4408132</v>
      </c>
      <c r="H677" s="8" t="str">
        <f aca="false">IFERROR(INDEX('TRANS'!$C:$C,MATCH($B677,'TRANS'!$A:$A,0)),IFERROR(INDEX('Catalog'!$B:$B,MATCH($G677,'Catalog'!$A:$A,0)),$B677))</f>
        <v>11EU XXL חגורת בטןלאחר ניתוח</v>
      </c>
      <c r="I677" s="8" t="str">
        <f aca="false">IF($G677="","Unmatched","Matched")</f>
        <v>Matched</v>
      </c>
    </row>
    <row r="678" customFormat="false" ht="15" hidden="false" customHeight="false" outlineLevel="0" collapsed="false">
      <c r="A678" s="8" t="s">
        <v>572</v>
      </c>
      <c r="B678" s="8" t="s">
        <v>521</v>
      </c>
      <c r="C678" s="19" t="n">
        <v>12</v>
      </c>
      <c r="D678" s="19" t="n">
        <v>1440.01</v>
      </c>
      <c r="E678" s="19" t="n">
        <v>7</v>
      </c>
      <c r="F678" s="19" t="n">
        <v>839.99</v>
      </c>
      <c r="G678" s="8" t="n">
        <f aca="false">IFERROR(INDEX('TRANS'!$B:$B,MATCH($B678,'TRANS'!$A:$A,0)),IFERROR(INDEX('TRANS'!$B:$B,MATCH(TRIM(SUBSTITUTE($B678,CHAR(160)," ")),'TRANS'!$D:$D,0)),IFERROR(INDEX('Catalog'!$A:$A,MATCH($B678,'Catalog'!$B:$B,0)),IFERROR(INDEX('Catalog'!$A:$A,MATCH(TRIM(SUBSTITUTE($B678,CHAR(160)," ")),'Catalog'!$C:$C,0)),""))))</f>
        <v>4422037</v>
      </c>
      <c r="H678" s="8" t="str">
        <f aca="false">IFERROR(INDEX('TRANS'!$C:$C,MATCH($B678,'TRANS'!$A:$A,0)),IFERROR(INDEX('Catalog'!$B:$B,MATCH($G678,'Catalog'!$A:$A,0)),$B678))</f>
        <v>SH422 1 תומך ברך גנושילד</v>
      </c>
      <c r="I678" s="8" t="str">
        <f aca="false">IF($G678="","Unmatched","Matched")</f>
        <v>Matched</v>
      </c>
    </row>
    <row r="679" customFormat="false" ht="15" hidden="false" customHeight="false" outlineLevel="0" collapsed="false">
      <c r="A679" s="8" t="s">
        <v>572</v>
      </c>
      <c r="B679" s="8" t="s">
        <v>522</v>
      </c>
      <c r="C679" s="19" t="n">
        <v>22</v>
      </c>
      <c r="D679" s="19" t="n">
        <v>2640</v>
      </c>
      <c r="E679" s="19" t="n">
        <v>16</v>
      </c>
      <c r="F679" s="19" t="n">
        <v>1680.01</v>
      </c>
      <c r="G679" s="8" t="n">
        <f aca="false">IFERROR(INDEX('TRANS'!$B:$B,MATCH($B679,'TRANS'!$A:$A,0)),IFERROR(INDEX('TRANS'!$B:$B,MATCH(TRIM(SUBSTITUTE($B679,CHAR(160)," ")),'TRANS'!$D:$D,0)),IFERROR(INDEX('Catalog'!$A:$A,MATCH($B679,'Catalog'!$B:$B,0)),IFERROR(INDEX('Catalog'!$A:$A,MATCH(TRIM(SUBSTITUTE($B679,CHAR(160)," ")),'Catalog'!$C:$C,0)),""))))</f>
        <v>4422038</v>
      </c>
      <c r="H679" s="8" t="str">
        <f aca="false">IFERROR(INDEX('TRANS'!$C:$C,MATCH($B679,'TRANS'!$A:$A,0)),IFERROR(INDEX('Catalog'!$B:$B,MATCH($G679,'Catalog'!$A:$A,0)),$B679))</f>
        <v>SH422 2 תומך ברך גנושילד</v>
      </c>
      <c r="I679" s="8" t="str">
        <f aca="false">IF($G679="","Unmatched","Matched")</f>
        <v>Matched</v>
      </c>
    </row>
    <row r="680" customFormat="false" ht="15" hidden="false" customHeight="false" outlineLevel="0" collapsed="false">
      <c r="A680" s="8" t="s">
        <v>572</v>
      </c>
      <c r="B680" s="8" t="s">
        <v>523</v>
      </c>
      <c r="C680" s="19" t="n">
        <v>39</v>
      </c>
      <c r="D680" s="19" t="n">
        <v>4441.21</v>
      </c>
      <c r="E680" s="19" t="n">
        <v>29</v>
      </c>
      <c r="F680" s="19" t="n">
        <v>3360.02</v>
      </c>
      <c r="G680" s="8" t="n">
        <f aca="false">IFERROR(INDEX('TRANS'!$B:$B,MATCH($B680,'TRANS'!$A:$A,0)),IFERROR(INDEX('TRANS'!$B:$B,MATCH(TRIM(SUBSTITUTE($B680,CHAR(160)," ")),'TRANS'!$D:$D,0)),IFERROR(INDEX('Catalog'!$A:$A,MATCH($B680,'Catalog'!$B:$B,0)),IFERROR(INDEX('Catalog'!$A:$A,MATCH(TRIM(SUBSTITUTE($B680,CHAR(160)," ")),'Catalog'!$C:$C,0)),""))))</f>
        <v>4422039</v>
      </c>
      <c r="H680" s="8" t="str">
        <f aca="false">IFERROR(INDEX('TRANS'!$C:$C,MATCH($B680,'TRANS'!$A:$A,0)),IFERROR(INDEX('Catalog'!$B:$B,MATCH($G680,'Catalog'!$A:$A,0)),$B680))</f>
        <v>SH422 3 תומך ברך גנושילד</v>
      </c>
      <c r="I680" s="8" t="str">
        <f aca="false">IF($G680="","Unmatched","Matched")</f>
        <v>Matched</v>
      </c>
    </row>
    <row r="681" customFormat="false" ht="15" hidden="false" customHeight="false" outlineLevel="0" collapsed="false">
      <c r="A681" s="8" t="s">
        <v>572</v>
      </c>
      <c r="B681" s="8" t="s">
        <v>524</v>
      </c>
      <c r="C681" s="19" t="n">
        <v>42</v>
      </c>
      <c r="D681" s="19" t="n">
        <v>5041.2</v>
      </c>
      <c r="E681" s="19" t="n">
        <v>37</v>
      </c>
      <c r="F681" s="19" t="n">
        <v>4080.02</v>
      </c>
      <c r="G681" s="8" t="n">
        <f aca="false">IFERROR(INDEX('TRANS'!$B:$B,MATCH($B681,'TRANS'!$A:$A,0)),IFERROR(INDEX('TRANS'!$B:$B,MATCH(TRIM(SUBSTITUTE($B681,CHAR(160)," ")),'TRANS'!$D:$D,0)),IFERROR(INDEX('Catalog'!$A:$A,MATCH($B681,'Catalog'!$B:$B,0)),IFERROR(INDEX('Catalog'!$A:$A,MATCH(TRIM(SUBSTITUTE($B681,CHAR(160)," ")),'Catalog'!$C:$C,0)),""))))</f>
        <v>4422040</v>
      </c>
      <c r="H681" s="8" t="str">
        <f aca="false">IFERROR(INDEX('TRANS'!$C:$C,MATCH($B681,'TRANS'!$A:$A,0)),IFERROR(INDEX('Catalog'!$B:$B,MATCH($G681,'Catalog'!$A:$A,0)),$B681))</f>
        <v>SH422 4 תומך ברך גנושילד</v>
      </c>
      <c r="I681" s="8" t="str">
        <f aca="false">IF($G681="","Unmatched","Matched")</f>
        <v>Matched</v>
      </c>
    </row>
    <row r="682" customFormat="false" ht="15" hidden="false" customHeight="false" outlineLevel="0" collapsed="false">
      <c r="A682" s="8" t="s">
        <v>572</v>
      </c>
      <c r="B682" s="8" t="s">
        <v>613</v>
      </c>
      <c r="C682" s="19" t="n">
        <v>13</v>
      </c>
      <c r="D682" s="19" t="n">
        <v>1702.63</v>
      </c>
      <c r="E682" s="19" t="n">
        <v>6</v>
      </c>
      <c r="F682" s="19" t="n">
        <v>843.46</v>
      </c>
      <c r="G682" s="8" t="n">
        <f aca="false">IFERROR(INDEX('TRANS'!$B:$B,MATCH($B682,'TRANS'!$A:$A,0)),IFERROR(INDEX('TRANS'!$B:$B,MATCH(TRIM(SUBSTITUTE($B682,CHAR(160)," ")),'TRANS'!$D:$D,0)),IFERROR(INDEX('Catalog'!$A:$A,MATCH($B682,'Catalog'!$B:$B,0)),IFERROR(INDEX('Catalog'!$A:$A,MATCH(TRIM(SUBSTITUTE($B682,CHAR(160)," ")),'Catalog'!$C:$C,0)),""))))</f>
        <v>4408119</v>
      </c>
      <c r="H682" s="8" t="str">
        <f aca="false">IFERROR(INDEX('TRANS'!$C:$C,MATCH($B682,'TRANS'!$A:$A,0)),IFERROR(INDEX('Catalog'!$B:$B,MATCH($G682,'Catalog'!$A:$A,0)),$B682))</f>
        <v>06U L ח.בטן מותנית צר</v>
      </c>
      <c r="I682" s="8" t="str">
        <f aca="false">IF($G682="","Unmatched","Matched")</f>
        <v>Matched</v>
      </c>
    </row>
    <row r="683" customFormat="false" ht="15" hidden="false" customHeight="false" outlineLevel="0" collapsed="false">
      <c r="A683" s="8" t="s">
        <v>572</v>
      </c>
      <c r="B683" s="8" t="s">
        <v>59</v>
      </c>
      <c r="C683" s="19" t="n">
        <v>12</v>
      </c>
      <c r="D683" s="19" t="n">
        <v>1603.69</v>
      </c>
      <c r="E683" s="19" t="n">
        <v>7</v>
      </c>
      <c r="F683" s="19" t="n">
        <v>984.02</v>
      </c>
      <c r="G683" s="8" t="str">
        <f aca="false">IFERROR(INDEX('TRANS'!$B:$B,MATCH($B683,'TRANS'!$A:$A,0)),IFERROR(INDEX('TRANS'!$B:$B,MATCH(TRIM(SUBSTITUTE($B683,CHAR(160)," ")),'TRANS'!$D:$D,0)),IFERROR(INDEX('Catalog'!$A:$A,MATCH($B683,'Catalog'!$B:$B,0)),IFERROR(INDEX('Catalog'!$A:$A,MATCH(TRIM(SUBSTITUTE($B683,CHAR(160)," ")),'Catalog'!$C:$C,0)),""))))</f>
        <v/>
      </c>
      <c r="H683" s="8" t="str">
        <f aca="false">IFERROR(INDEX('TRANS'!$C:$C,MATCH($B683,'TRANS'!$A:$A,0)),IFERROR(INDEX('Catalog'!$B:$B,MATCH($G683,'Catalog'!$A:$A,0)),$B683))</f>
        <v>06U M</v>
      </c>
      <c r="I683" s="8" t="str">
        <f aca="false">IF($G683="","Unmatched","Matched")</f>
        <v>Unmatched</v>
      </c>
    </row>
    <row r="684" customFormat="false" ht="15" hidden="false" customHeight="false" outlineLevel="0" collapsed="false">
      <c r="A684" s="8" t="s">
        <v>572</v>
      </c>
      <c r="B684" s="8" t="s">
        <v>614</v>
      </c>
      <c r="C684" s="19" t="n">
        <v>3</v>
      </c>
      <c r="D684" s="19" t="n">
        <v>380.16</v>
      </c>
      <c r="E684" s="19" t="n">
        <v>2</v>
      </c>
      <c r="F684" s="19" t="n">
        <v>281.18</v>
      </c>
      <c r="G684" s="8" t="str">
        <f aca="false">IFERROR(INDEX('TRANS'!$B:$B,MATCH($B684,'TRANS'!$A:$A,0)),IFERROR(INDEX('TRANS'!$B:$B,MATCH(TRIM(SUBSTITUTE($B684,CHAR(160)," ")),'TRANS'!$D:$D,0)),IFERROR(INDEX('Catalog'!$A:$A,MATCH($B684,'Catalog'!$B:$B,0)),IFERROR(INDEX('Catalog'!$A:$A,MATCH(TRIM(SUBSTITUTE($B684,CHAR(160)," ")),'Catalog'!$C:$C,0)),""))))</f>
        <v/>
      </c>
      <c r="H684" s="8" t="str">
        <f aca="false">IFERROR(INDEX('TRANS'!$C:$C,MATCH($B684,'TRANS'!$A:$A,0)),IFERROR(INDEX('Catalog'!$B:$B,MATCH($G684,'Catalog'!$A:$A,0)),$B684))</f>
        <v>06U S</v>
      </c>
      <c r="I684" s="8" t="str">
        <f aca="false">IF($G684="","Unmatched","Matched")</f>
        <v>Unmatched</v>
      </c>
    </row>
    <row r="685" customFormat="false" ht="15" hidden="false" customHeight="false" outlineLevel="0" collapsed="false">
      <c r="A685" s="8" t="s">
        <v>572</v>
      </c>
      <c r="B685" s="8" t="s">
        <v>615</v>
      </c>
      <c r="C685" s="19" t="n">
        <v>11</v>
      </c>
      <c r="D685" s="19" t="n">
        <v>1380.01</v>
      </c>
      <c r="E685" s="19" t="n">
        <v>6</v>
      </c>
      <c r="F685" s="19" t="n">
        <v>843.45</v>
      </c>
      <c r="G685" s="8" t="n">
        <f aca="false">IFERROR(INDEX('TRANS'!$B:$B,MATCH($B685,'TRANS'!$A:$A,0)),IFERROR(INDEX('TRANS'!$B:$B,MATCH(TRIM(SUBSTITUTE($B685,CHAR(160)," ")),'TRANS'!$D:$D,0)),IFERROR(INDEX('Catalog'!$A:$A,MATCH($B685,'Catalog'!$B:$B,0)),IFERROR(INDEX('Catalog'!$A:$A,MATCH(TRIM(SUBSTITUTE($B685,CHAR(160)," ")),'Catalog'!$C:$C,0)),""))))</f>
        <v>4408120</v>
      </c>
      <c r="H685" s="8" t="str">
        <f aca="false">IFERROR(INDEX('TRANS'!$C:$C,MATCH($B685,'TRANS'!$A:$A,0)),IFERROR(INDEX('Catalog'!$B:$B,MATCH($G685,'Catalog'!$A:$A,0)),$B685))</f>
        <v>06U XL ח.בטן מותנית צר</v>
      </c>
      <c r="I685" s="8" t="str">
        <f aca="false">IF($G685="","Unmatched","Matched")</f>
        <v>Matched</v>
      </c>
    </row>
    <row r="686" customFormat="false" ht="15" hidden="false" customHeight="false" outlineLevel="0" collapsed="false">
      <c r="A686" s="8" t="s">
        <v>572</v>
      </c>
      <c r="B686" s="8" t="s">
        <v>616</v>
      </c>
      <c r="C686" s="19" t="n">
        <v>-1</v>
      </c>
      <c r="D686" s="19" t="n">
        <v>-108.68</v>
      </c>
      <c r="E686" s="19" t="n">
        <v>0</v>
      </c>
      <c r="F686" s="19" t="n">
        <v>0</v>
      </c>
      <c r="G686" s="8" t="str">
        <f aca="false">IFERROR(INDEX('TRANS'!$B:$B,MATCH($B686,'TRANS'!$A:$A,0)),IFERROR(INDEX('TRANS'!$B:$B,MATCH(TRIM(SUBSTITUTE($B686,CHAR(160)," ")),'TRANS'!$D:$D,0)),IFERROR(INDEX('Catalog'!$A:$A,MATCH($B686,'Catalog'!$B:$B,0)),IFERROR(INDEX('Catalog'!$A:$A,MATCH(TRIM(SUBSTITUTE($B686,CHAR(160)," ")),'Catalog'!$C:$C,0)),""))))</f>
        <v/>
      </c>
      <c r="H686" s="8" t="str">
        <f aca="false">IFERROR(INDEX('TRANS'!$C:$C,MATCH($B686,'TRANS'!$A:$A,0)),IFERROR(INDEX('Catalog'!$B:$B,MATCH($G686,'Catalog'!$A:$A,0)),$B686))</f>
        <v>079 XL</v>
      </c>
      <c r="I686" s="8" t="str">
        <f aca="false">IF($G686="","Unmatched","Matched")</f>
        <v>Unmatched</v>
      </c>
    </row>
    <row r="687" customFormat="false" ht="15" hidden="false" customHeight="false" outlineLevel="0" collapsed="false">
      <c r="A687" s="8" t="s">
        <v>572</v>
      </c>
      <c r="B687" s="8" t="s">
        <v>66</v>
      </c>
      <c r="C687" s="19" t="n">
        <v>15</v>
      </c>
      <c r="D687" s="19" t="n">
        <v>1387.12</v>
      </c>
      <c r="E687" s="19" t="n">
        <v>-1</v>
      </c>
      <c r="F687" s="19" t="n">
        <v>-69.98</v>
      </c>
      <c r="G687" s="8" t="str">
        <f aca="false">IFERROR(INDEX('TRANS'!$B:$B,MATCH($B687,'TRANS'!$A:$A,0)),IFERROR(INDEX('TRANS'!$B:$B,MATCH(TRIM(SUBSTITUTE($B687,CHAR(160)," ")),'TRANS'!$D:$D,0)),IFERROR(INDEX('Catalog'!$A:$A,MATCH($B687,'Catalog'!$B:$B,0)),IFERROR(INDEX('Catalog'!$A:$A,MATCH(TRIM(SUBSTITUTE($B687,CHAR(160)," ")),'Catalog'!$C:$C,0)),""))))</f>
        <v/>
      </c>
      <c r="H687" s="8" t="str">
        <f aca="false">IFERROR(INDEX('TRANS'!$C:$C,MATCH($B687,'TRANS'!$A:$A,0)),IFERROR(INDEX('Catalog'!$B:$B,MATCH($G687,'Catalog'!$A:$A,0)),$B687))</f>
        <v>099-L-XL</v>
      </c>
      <c r="I687" s="8" t="str">
        <f aca="false">IF($G687="","Unmatched","Matched")</f>
        <v>Unmatched</v>
      </c>
    </row>
    <row r="688" customFormat="false" ht="15" hidden="false" customHeight="false" outlineLevel="0" collapsed="false">
      <c r="A688" s="8" t="s">
        <v>572</v>
      </c>
      <c r="B688" s="8" t="s">
        <v>458</v>
      </c>
      <c r="C688" s="19" t="n">
        <v>61</v>
      </c>
      <c r="D688" s="19" t="n">
        <v>5184.78</v>
      </c>
      <c r="E688" s="19" t="n">
        <v>21</v>
      </c>
      <c r="F688" s="19" t="n">
        <v>1784.82</v>
      </c>
      <c r="G688" s="8" t="n">
        <f aca="false">IFERROR(INDEX('TRANS'!$B:$B,MATCH($B688,'TRANS'!$A:$A,0)),IFERROR(INDEX('TRANS'!$B:$B,MATCH(TRIM(SUBSTITUTE($B688,CHAR(160)," ")),'TRANS'!$D:$D,0)),IFERROR(INDEX('Catalog'!$A:$A,MATCH($B688,'Catalog'!$B:$B,0)),IFERROR(INDEX('Catalog'!$A:$A,MATCH(TRIM(SUBSTITUTE($B688,CHAR(160)," ")),'Catalog'!$C:$C,0)),""))))</f>
        <v>4408032</v>
      </c>
      <c r="H688" s="8" t="str">
        <f aca="false">IFERROR(INDEX('TRANS'!$C:$C,MATCH($B688,'TRANS'!$A:$A,0)),IFERROR(INDEX('Catalog'!$B:$B,MATCH($G688,'Catalog'!$A:$A,0)),$B688))</f>
        <v>11 L""""חגורת בטן""""אורירית</v>
      </c>
      <c r="I688" s="8" t="str">
        <f aca="false">IF($G688="","Unmatched","Matched")</f>
        <v>Matched</v>
      </c>
    </row>
    <row r="689" customFormat="false" ht="15" hidden="false" customHeight="false" outlineLevel="0" collapsed="false">
      <c r="A689" s="8" t="s">
        <v>572</v>
      </c>
      <c r="B689" s="8" t="s">
        <v>617</v>
      </c>
      <c r="C689" s="19" t="n">
        <v>42</v>
      </c>
      <c r="D689" s="19" t="n">
        <v>3569.81</v>
      </c>
      <c r="E689" s="19" t="n">
        <v>23</v>
      </c>
      <c r="F689" s="19" t="n">
        <v>1954.81</v>
      </c>
      <c r="G689" s="8" t="n">
        <f aca="false">IFERROR(INDEX('TRANS'!$B:$B,MATCH($B689,'TRANS'!$A:$A,0)),IFERROR(INDEX('TRANS'!$B:$B,MATCH(TRIM(SUBSTITUTE($B689,CHAR(160)," ")),'TRANS'!$D:$D,0)),IFERROR(INDEX('Catalog'!$A:$A,MATCH($B689,'Catalog'!$B:$B,0)),IFERROR(INDEX('Catalog'!$A:$A,MATCH(TRIM(SUBSTITUTE($B689,CHAR(160)," ")),'Catalog'!$C:$C,0)),""))))</f>
        <v>4408034</v>
      </c>
      <c r="H689" s="8" t="str">
        <f aca="false">IFERROR(INDEX('TRANS'!$C:$C,MATCH($B689,'TRANS'!$A:$A,0)),IFERROR(INDEX('Catalog'!$B:$B,MATCH($G689,'Catalog'!$A:$A,0)),$B689))</f>
        <v>11 XL""""חגורת בטן""""אורירית</v>
      </c>
      <c r="I689" s="8" t="str">
        <f aca="false">IF($G689="","Unmatched","Matched")</f>
        <v>Matched</v>
      </c>
    </row>
    <row r="690" customFormat="false" ht="15" hidden="false" customHeight="false" outlineLevel="0" collapsed="false">
      <c r="A690" s="8" t="s">
        <v>572</v>
      </c>
      <c r="B690" s="8" t="s">
        <v>618</v>
      </c>
      <c r="C690" s="19" t="n">
        <v>40</v>
      </c>
      <c r="D690" s="19" t="n">
        <v>3739.29</v>
      </c>
      <c r="E690" s="19" t="n">
        <v>22</v>
      </c>
      <c r="F690" s="19" t="n">
        <v>1869.77</v>
      </c>
      <c r="G690" s="8" t="n">
        <f aca="false">IFERROR(INDEX('TRANS'!$B:$B,MATCH($B690,'TRANS'!$A:$A,0)),IFERROR(INDEX('TRANS'!$B:$B,MATCH(TRIM(SUBSTITUTE($B690,CHAR(160)," ")),'TRANS'!$D:$D,0)),IFERROR(INDEX('Catalog'!$A:$A,MATCH($B690,'Catalog'!$B:$B,0)),IFERROR(INDEX('Catalog'!$A:$A,MATCH(TRIM(SUBSTITUTE($B690,CHAR(160)," ")),'Catalog'!$C:$C,0)),""))))</f>
        <v>4408035</v>
      </c>
      <c r="H690" s="8" t="str">
        <f aca="false">IFERROR(INDEX('TRANS'!$C:$C,MATCH($B690,'TRANS'!$A:$A,0)),IFERROR(INDEX('Catalog'!$B:$B,MATCH($G690,'Catalog'!$A:$A,0)),$B690))</f>
        <v>11 XXL""""חגורת בטן""""אורירית</v>
      </c>
      <c r="I690" s="8" t="str">
        <f aca="false">IF($G690="","Unmatched","Matched")</f>
        <v>Matched</v>
      </c>
    </row>
    <row r="691" customFormat="false" ht="15" hidden="false" customHeight="false" outlineLevel="0" collapsed="false">
      <c r="A691" s="8" t="s">
        <v>572</v>
      </c>
      <c r="B691" s="8" t="s">
        <v>619</v>
      </c>
      <c r="C691" s="19" t="n">
        <v>13</v>
      </c>
      <c r="D691" s="19" t="n">
        <v>1689.98</v>
      </c>
      <c r="E691" s="19" t="n">
        <v>32</v>
      </c>
      <c r="F691" s="19" t="n">
        <v>4549.43</v>
      </c>
      <c r="G691" s="8" t="str">
        <f aca="false">IFERROR(INDEX('TRANS'!$B:$B,MATCH($B691,'TRANS'!$A:$A,0)),IFERROR(INDEX('TRANS'!$B:$B,MATCH(TRIM(SUBSTITUTE($B691,CHAR(160)," ")),'TRANS'!$D:$D,0)),IFERROR(INDEX('Catalog'!$A:$A,MATCH($B691,'Catalog'!$B:$B,0)),IFERROR(INDEX('Catalog'!$A:$A,MATCH(TRIM(SUBSTITUTE($B691,CHAR(160)," ")),'Catalog'!$C:$C,0)),""))))</f>
        <v/>
      </c>
      <c r="H691" s="8" t="str">
        <f aca="false">IFERROR(INDEX('TRANS'!$C:$C,MATCH($B691,'TRANS'!$A:$A,0)),IFERROR(INDEX('Catalog'!$B:$B,MATCH($G691,'Catalog'!$A:$A,0)),$B691))</f>
        <v>11TO XXXL</v>
      </c>
      <c r="I691" s="8" t="str">
        <f aca="false">IF($G691="","Unmatched","Matched")</f>
        <v>Unmatched</v>
      </c>
    </row>
    <row r="692" customFormat="false" ht="15" hidden="false" customHeight="false" outlineLevel="0" collapsed="false">
      <c r="A692" s="8" t="s">
        <v>572</v>
      </c>
      <c r="B692" s="8" t="s">
        <v>80</v>
      </c>
      <c r="C692" s="19" t="n">
        <v>3</v>
      </c>
      <c r="D692" s="19" t="n">
        <v>314.98</v>
      </c>
      <c r="E692" s="19" t="n">
        <v>2</v>
      </c>
      <c r="F692" s="19" t="n">
        <v>229.99</v>
      </c>
      <c r="G692" s="8" t="str">
        <f aca="false">IFERROR(INDEX('TRANS'!$B:$B,MATCH($B692,'TRANS'!$A:$A,0)),IFERROR(INDEX('TRANS'!$B:$B,MATCH(TRIM(SUBSTITUTE($B692,CHAR(160)," ")),'TRANS'!$D:$D,0)),IFERROR(INDEX('Catalog'!$A:$A,MATCH($B692,'Catalog'!$B:$B,0)),IFERROR(INDEX('Catalog'!$A:$A,MATCH(TRIM(SUBSTITUTE($B692,CHAR(160)," ")),'Catalog'!$C:$C,0)),""))))</f>
        <v/>
      </c>
      <c r="H692" s="8" t="str">
        <f aca="false">IFERROR(INDEX('TRANS'!$C:$C,MATCH($B692,'TRANS'!$A:$A,0)),IFERROR(INDEX('Catalog'!$B:$B,MATCH($G692,'Catalog'!$A:$A,0)),$B692))</f>
        <v>13 L</v>
      </c>
      <c r="I692" s="8" t="str">
        <f aca="false">IF($G692="","Unmatched","Matched")</f>
        <v>Unmatched</v>
      </c>
    </row>
    <row r="693" customFormat="false" ht="15" hidden="false" customHeight="false" outlineLevel="0" collapsed="false">
      <c r="A693" s="8" t="s">
        <v>572</v>
      </c>
      <c r="B693" s="8" t="s">
        <v>345</v>
      </c>
      <c r="C693" s="19" t="n">
        <v>1</v>
      </c>
      <c r="D693" s="19" t="n">
        <v>100.97</v>
      </c>
      <c r="E693" s="19" t="n">
        <v>-1</v>
      </c>
      <c r="F693" s="19" t="n">
        <v>-115</v>
      </c>
      <c r="G693" s="8" t="str">
        <f aca="false">IFERROR(INDEX('TRANS'!$B:$B,MATCH($B693,'TRANS'!$A:$A,0)),IFERROR(INDEX('TRANS'!$B:$B,MATCH(TRIM(SUBSTITUTE($B693,CHAR(160)," ")),'TRANS'!$D:$D,0)),IFERROR(INDEX('Catalog'!$A:$A,MATCH($B693,'Catalog'!$B:$B,0)),IFERROR(INDEX('Catalog'!$A:$A,MATCH(TRIM(SUBSTITUTE($B693,CHAR(160)," ")),'Catalog'!$C:$C,0)),""))))</f>
        <v/>
      </c>
      <c r="H693" s="8" t="str">
        <f aca="false">IFERROR(INDEX('TRANS'!$C:$C,MATCH($B693,'TRANS'!$A:$A,0)),IFERROR(INDEX('Catalog'!$B:$B,MATCH($G693,'Catalog'!$A:$A,0)),$B693))</f>
        <v>13 M</v>
      </c>
      <c r="I693" s="8" t="str">
        <f aca="false">IF($G693="","Unmatched","Matched")</f>
        <v>Unmatched</v>
      </c>
    </row>
    <row r="694" customFormat="false" ht="15" hidden="false" customHeight="false" outlineLevel="0" collapsed="false">
      <c r="A694" s="8" t="s">
        <v>572</v>
      </c>
      <c r="B694" s="8" t="s">
        <v>620</v>
      </c>
      <c r="C694" s="19" t="n">
        <v>3</v>
      </c>
      <c r="D694" s="19" t="n">
        <v>313</v>
      </c>
      <c r="E694" s="19" t="n">
        <v>1</v>
      </c>
      <c r="F694" s="19" t="n">
        <v>115</v>
      </c>
      <c r="G694" s="8" t="n">
        <f aca="false">IFERROR(INDEX('TRANS'!$B:$B,MATCH($B694,'TRANS'!$A:$A,0)),IFERROR(INDEX('TRANS'!$B:$B,MATCH(TRIM(SUBSTITUTE($B694,CHAR(160)," ")),'TRANS'!$D:$D,0)),IFERROR(INDEX('Catalog'!$A:$A,MATCH($B694,'Catalog'!$B:$B,0)),IFERROR(INDEX('Catalog'!$A:$A,MATCH(TRIM(SUBSTITUTE($B694,CHAR(160)," ")),'Catalog'!$C:$C,0)),""))))</f>
        <v>4408179</v>
      </c>
      <c r="H694" s="8" t="str">
        <f aca="false">IFERROR(INDEX('TRANS'!$C:$C,MATCH($B694,'TRANS'!$A:$A,0)),IFERROR(INDEX('Catalog'!$B:$B,MATCH($G694,'Catalog'!$A:$A,0)),$B694))</f>
        <v>13 XL חגורה לשבר טבור</v>
      </c>
      <c r="I694" s="8" t="str">
        <f aca="false">IF($G694="","Unmatched","Matched")</f>
        <v>Matched</v>
      </c>
    </row>
    <row r="695" customFormat="false" ht="15" hidden="false" customHeight="false" outlineLevel="0" collapsed="false">
      <c r="A695" s="8" t="s">
        <v>572</v>
      </c>
      <c r="B695" s="8" t="s">
        <v>346</v>
      </c>
      <c r="C695" s="19" t="n">
        <v>5</v>
      </c>
      <c r="D695" s="19" t="n">
        <v>539.02</v>
      </c>
      <c r="E695" s="19" t="n">
        <v>3</v>
      </c>
      <c r="F695" s="19" t="n">
        <v>325</v>
      </c>
      <c r="G695" s="8" t="n">
        <f aca="false">IFERROR(INDEX('TRANS'!$B:$B,MATCH($B695,'TRANS'!$A:$A,0)),IFERROR(INDEX('TRANS'!$B:$B,MATCH(TRIM(SUBSTITUTE($B695,CHAR(160)," ")),'TRANS'!$D:$D,0)),IFERROR(INDEX('Catalog'!$A:$A,MATCH($B695,'Catalog'!$B:$B,0)),IFERROR(INDEX('Catalog'!$A:$A,MATCH(TRIM(SUBSTITUTE($B695,CHAR(160)," ")),'Catalog'!$C:$C,0)),""))))</f>
        <v>4408180</v>
      </c>
      <c r="H695" s="8" t="str">
        <f aca="false">IFERROR(INDEX('TRANS'!$C:$C,MATCH($B695,'TRANS'!$A:$A,0)),IFERROR(INDEX('Catalog'!$B:$B,MATCH($G695,'Catalog'!$A:$A,0)),$B695))</f>
        <v>13 XXL חגורה לשבר טבור</v>
      </c>
      <c r="I695" s="8" t="str">
        <f aca="false">IF($G695="","Unmatched","Matched")</f>
        <v>Matched</v>
      </c>
    </row>
    <row r="696" customFormat="false" ht="15" hidden="false" customHeight="false" outlineLevel="0" collapsed="false">
      <c r="A696" s="8" t="s">
        <v>572</v>
      </c>
      <c r="B696" s="8" t="s">
        <v>621</v>
      </c>
      <c r="C696" s="19" t="n">
        <v>15</v>
      </c>
      <c r="D696" s="19" t="n">
        <v>489.43</v>
      </c>
      <c r="E696" s="19" t="n">
        <v>12</v>
      </c>
      <c r="F696" s="19" t="n">
        <v>394.34</v>
      </c>
      <c r="G696" s="8" t="n">
        <f aca="false">IFERROR(INDEX('TRANS'!$B:$B,MATCH($B696,'TRANS'!$A:$A,0)),IFERROR(INDEX('TRANS'!$B:$B,MATCH(TRIM(SUBSTITUTE($B696,CHAR(160)," ")),'TRANS'!$D:$D,0)),IFERROR(INDEX('Catalog'!$A:$A,MATCH($B696,'Catalog'!$B:$B,0)),IFERROR(INDEX('Catalog'!$A:$A,MATCH(TRIM(SUBSTITUTE($B696,CHAR(160)," ")),'Catalog'!$C:$C,0)),""))))</f>
        <v>4408047</v>
      </c>
      <c r="H696" s="8" t="str">
        <f aca="false">IFERROR(INDEX('TRANS'!$C:$C,MATCH($B696,'TRANS'!$A:$A,0)),IFERROR(INDEX('Catalog'!$B:$B,MATCH($G696,'Catalog'!$A:$A,0)),$B696))</f>
        <v>20 M חבק יד מתכוון עם צמדן</v>
      </c>
      <c r="I696" s="8" t="str">
        <f aca="false">IF($G696="","Unmatched","Matched")</f>
        <v>Matched</v>
      </c>
    </row>
    <row r="697" customFormat="false" ht="15" hidden="false" customHeight="false" outlineLevel="0" collapsed="false">
      <c r="A697" s="8" t="s">
        <v>572</v>
      </c>
      <c r="B697" s="8" t="s">
        <v>622</v>
      </c>
      <c r="C697" s="19" t="n">
        <v>9</v>
      </c>
      <c r="D697" s="19" t="n">
        <v>292.48</v>
      </c>
      <c r="E697" s="19" t="n">
        <v>10</v>
      </c>
      <c r="F697" s="19" t="n">
        <v>327.96</v>
      </c>
      <c r="G697" s="8" t="n">
        <f aca="false">IFERROR(INDEX('TRANS'!$B:$B,MATCH($B697,'TRANS'!$A:$A,0)),IFERROR(INDEX('TRANS'!$B:$B,MATCH(TRIM(SUBSTITUTE($B697,CHAR(160)," ")),'TRANS'!$D:$D,0)),IFERROR(INDEX('Catalog'!$A:$A,MATCH($B697,'Catalog'!$B:$B,0)),IFERROR(INDEX('Catalog'!$A:$A,MATCH(TRIM(SUBSTITUTE($B697,CHAR(160)," ")),'Catalog'!$C:$C,0)),""))))</f>
        <v>4408048</v>
      </c>
      <c r="H697" s="8" t="str">
        <f aca="false">IFERROR(INDEX('TRANS'!$C:$C,MATCH($B697,'TRANS'!$A:$A,0)),IFERROR(INDEX('Catalog'!$B:$B,MATCH($G697,'Catalog'!$A:$A,0)),$B697))</f>
        <v>20 S חבק יד מתכוון עם צמדן</v>
      </c>
      <c r="I697" s="8" t="str">
        <f aca="false">IF($G697="","Unmatched","Matched")</f>
        <v>Matched</v>
      </c>
    </row>
    <row r="698" customFormat="false" ht="15" hidden="false" customHeight="false" outlineLevel="0" collapsed="false">
      <c r="A698" s="8" t="s">
        <v>572</v>
      </c>
      <c r="B698" s="8" t="s">
        <v>623</v>
      </c>
      <c r="C698" s="19" t="n">
        <v>1</v>
      </c>
      <c r="D698" s="19" t="n">
        <v>72</v>
      </c>
      <c r="E698" s="19" t="n">
        <v>0</v>
      </c>
      <c r="F698" s="19" t="n">
        <v>0</v>
      </c>
      <c r="G698" s="8" t="str">
        <f aca="false">IFERROR(INDEX('TRANS'!$B:$B,MATCH($B698,'TRANS'!$A:$A,0)),IFERROR(INDEX('TRANS'!$B:$B,MATCH(TRIM(SUBSTITUTE($B698,CHAR(160)," ")),'TRANS'!$D:$D,0)),IFERROR(INDEX('Catalog'!$A:$A,MATCH($B698,'Catalog'!$B:$B,0)),IFERROR(INDEX('Catalog'!$A:$A,MATCH(TRIM(SUBSTITUTE($B698,CHAR(160)," ")),'Catalog'!$C:$C,0)),""))))</f>
        <v/>
      </c>
      <c r="H698" s="8" t="str">
        <f aca="false">IFERROR(INDEX('TRANS'!$C:$C,MATCH($B698,'TRANS'!$A:$A,0)),IFERROR(INDEX('Catalog'!$B:$B,MATCH($G698,'Catalog'!$A:$A,0)),$B698))</f>
        <v>305GA-35-36</v>
      </c>
      <c r="I698" s="8" t="str">
        <f aca="false">IF($G698="","Unmatched","Matched")</f>
        <v>Unmatched</v>
      </c>
    </row>
    <row r="699" customFormat="false" ht="15" hidden="false" customHeight="false" outlineLevel="0" collapsed="false">
      <c r="A699" s="8" t="s">
        <v>572</v>
      </c>
      <c r="B699" s="8" t="s">
        <v>624</v>
      </c>
      <c r="C699" s="19" t="n">
        <v>7</v>
      </c>
      <c r="D699" s="19" t="n">
        <v>560.01</v>
      </c>
      <c r="E699" s="19" t="n">
        <v>2</v>
      </c>
      <c r="F699" s="19" t="n">
        <v>160.03</v>
      </c>
      <c r="G699" s="8" t="n">
        <f aca="false">IFERROR(INDEX('TRANS'!$B:$B,MATCH($B699,'TRANS'!$A:$A,0)),IFERROR(INDEX('TRANS'!$B:$B,MATCH(TRIM(SUBSTITUTE($B699,CHAR(160)," ")),'TRANS'!$D:$D,0)),IFERROR(INDEX('Catalog'!$A:$A,MATCH($B699,'Catalog'!$B:$B,0)),IFERROR(INDEX('Catalog'!$A:$A,MATCH(TRIM(SUBSTITUTE($B699,CHAR(160)," ")),'Catalog'!$C:$C,0)),""))))</f>
        <v>4413154</v>
      </c>
      <c r="H699" s="8" t="str">
        <f aca="false">IFERROR(INDEX('TRANS'!$C:$C,MATCH($B699,'TRANS'!$A:$A,0)),IFERROR(INDEX('Catalog'!$B:$B,MATCH($G699,'Catalog'!$A:$A,0)),$B699))</f>
        <v>305GA מדרס אורטופ.מתכוון37-38</v>
      </c>
      <c r="I699" s="8" t="str">
        <f aca="false">IF($G699="","Unmatched","Matched")</f>
        <v>Matched</v>
      </c>
    </row>
    <row r="700" customFormat="false" ht="15" hidden="false" customHeight="false" outlineLevel="0" collapsed="false">
      <c r="A700" s="8" t="s">
        <v>572</v>
      </c>
      <c r="B700" s="8" t="s">
        <v>116</v>
      </c>
      <c r="C700" s="19" t="n">
        <v>5</v>
      </c>
      <c r="D700" s="19" t="n">
        <v>384</v>
      </c>
      <c r="E700" s="19" t="n">
        <v>6</v>
      </c>
      <c r="F700" s="19" t="n">
        <v>480.02</v>
      </c>
      <c r="G700" s="8" t="n">
        <f aca="false">IFERROR(INDEX('TRANS'!$B:$B,MATCH($B700,'TRANS'!$A:$A,0)),IFERROR(INDEX('TRANS'!$B:$B,MATCH(TRIM(SUBSTITUTE($B700,CHAR(160)," ")),'TRANS'!$D:$D,0)),IFERROR(INDEX('Catalog'!$A:$A,MATCH($B700,'Catalog'!$B:$B,0)),IFERROR(INDEX('Catalog'!$A:$A,MATCH(TRIM(SUBSTITUTE($B700,CHAR(160)," ")),'Catalog'!$C:$C,0)),""))))</f>
        <v>4413155</v>
      </c>
      <c r="H700" s="8" t="str">
        <f aca="false">IFERROR(INDEX('TRANS'!$C:$C,MATCH($B700,'TRANS'!$A:$A,0)),IFERROR(INDEX('Catalog'!$B:$B,MATCH($G700,'Catalog'!$A:$A,0)),$B700))</f>
        <v>305GA מדרס אורטופ.מתכוון39-40</v>
      </c>
      <c r="I700" s="8" t="str">
        <f aca="false">IF($G700="","Unmatched","Matched")</f>
        <v>Matched</v>
      </c>
    </row>
    <row r="701" customFormat="false" ht="15" hidden="false" customHeight="false" outlineLevel="0" collapsed="false">
      <c r="A701" s="8" t="s">
        <v>572</v>
      </c>
      <c r="B701" s="8" t="s">
        <v>117</v>
      </c>
      <c r="C701" s="19" t="n">
        <v>12</v>
      </c>
      <c r="D701" s="19" t="n">
        <v>920.03</v>
      </c>
      <c r="E701" s="19" t="n">
        <v>18</v>
      </c>
      <c r="F701" s="19" t="n">
        <v>1440.09</v>
      </c>
      <c r="G701" s="8" t="n">
        <f aca="false">IFERROR(INDEX('TRANS'!$B:$B,MATCH($B701,'TRANS'!$A:$A,0)),IFERROR(INDEX('TRANS'!$B:$B,MATCH(TRIM(SUBSTITUTE($B701,CHAR(160)," ")),'TRANS'!$D:$D,0)),IFERROR(INDEX('Catalog'!$A:$A,MATCH($B701,'Catalog'!$B:$B,0)),IFERROR(INDEX('Catalog'!$A:$A,MATCH(TRIM(SUBSTITUTE($B701,CHAR(160)," ")),'Catalog'!$C:$C,0)),""))))</f>
        <v>4413156</v>
      </c>
      <c r="H701" s="8" t="str">
        <f aca="false">IFERROR(INDEX('TRANS'!$C:$C,MATCH($B701,'TRANS'!$A:$A,0)),IFERROR(INDEX('Catalog'!$B:$B,MATCH($G701,'Catalog'!$A:$A,0)),$B701))</f>
        <v>305GA מדרס אורטופ.מתכוון41-42</v>
      </c>
      <c r="I701" s="8" t="str">
        <f aca="false">IF($G701="","Unmatched","Matched")</f>
        <v>Matched</v>
      </c>
    </row>
    <row r="702" customFormat="false" ht="15" hidden="false" customHeight="false" outlineLevel="0" collapsed="false">
      <c r="A702" s="8" t="s">
        <v>572</v>
      </c>
      <c r="B702" s="8" t="s">
        <v>118</v>
      </c>
      <c r="C702" s="19" t="n">
        <v>18</v>
      </c>
      <c r="D702" s="19" t="n">
        <v>1368.01</v>
      </c>
      <c r="E702" s="19" t="n">
        <v>20</v>
      </c>
      <c r="F702" s="19" t="n">
        <v>1600.06</v>
      </c>
      <c r="G702" s="8" t="n">
        <f aca="false">IFERROR(INDEX('TRANS'!$B:$B,MATCH($B702,'TRANS'!$A:$A,0)),IFERROR(INDEX('TRANS'!$B:$B,MATCH(TRIM(SUBSTITUTE($B702,CHAR(160)," ")),'TRANS'!$D:$D,0)),IFERROR(INDEX('Catalog'!$A:$A,MATCH($B702,'Catalog'!$B:$B,0)),IFERROR(INDEX('Catalog'!$A:$A,MATCH(TRIM(SUBSTITUTE($B702,CHAR(160)," ")),'Catalog'!$C:$C,0)),""))))</f>
        <v>4413157</v>
      </c>
      <c r="H702" s="8" t="str">
        <f aca="false">IFERROR(INDEX('TRANS'!$C:$C,MATCH($B702,'TRANS'!$A:$A,0)),IFERROR(INDEX('Catalog'!$B:$B,MATCH($G702,'Catalog'!$A:$A,0)),$B702))</f>
        <v>305GA מדרס אורטופ.מתכוון43-44</v>
      </c>
      <c r="I702" s="8" t="str">
        <f aca="false">IF($G702="","Unmatched","Matched")</f>
        <v>Matched</v>
      </c>
    </row>
    <row r="703" customFormat="false" ht="15" hidden="false" customHeight="false" outlineLevel="0" collapsed="false">
      <c r="A703" s="8" t="s">
        <v>572</v>
      </c>
      <c r="B703" s="8" t="s">
        <v>119</v>
      </c>
      <c r="C703" s="19" t="n">
        <v>20</v>
      </c>
      <c r="D703" s="19" t="n">
        <v>2094.02</v>
      </c>
      <c r="E703" s="19" t="n">
        <v>17</v>
      </c>
      <c r="F703" s="19" t="n">
        <v>1910.01</v>
      </c>
      <c r="G703" s="8" t="n">
        <f aca="false">IFERROR(INDEX('TRANS'!$B:$B,MATCH($B703,'TRANS'!$A:$A,0)),IFERROR(INDEX('TRANS'!$B:$B,MATCH(TRIM(SUBSTITUTE($B703,CHAR(160)," ")),'TRANS'!$D:$D,0)),IFERROR(INDEX('Catalog'!$A:$A,MATCH($B703,'Catalog'!$B:$B,0)),IFERROR(INDEX('Catalog'!$A:$A,MATCH(TRIM(SUBSTITUTE($B703,CHAR(160)," ")),'Catalog'!$C:$C,0)),""))))</f>
        <v>4413158</v>
      </c>
      <c r="H703" s="8" t="str">
        <f aca="false">IFERROR(INDEX('TRANS'!$C:$C,MATCH($B703,'TRANS'!$A:$A,0)),IFERROR(INDEX('Catalog'!$B:$B,MATCH($G703,'Catalog'!$A:$A,0)),$B703))</f>
        <v>305GA מדרס אורטופ.מתכוון45-46</v>
      </c>
      <c r="I703" s="8" t="str">
        <f aca="false">IF($G703="","Unmatched","Matched")</f>
        <v>Matched</v>
      </c>
    </row>
    <row r="704" customFormat="false" ht="15" hidden="false" customHeight="false" outlineLevel="0" collapsed="false">
      <c r="A704" s="8" t="s">
        <v>572</v>
      </c>
      <c r="B704" s="8" t="s">
        <v>131</v>
      </c>
      <c r="C704" s="19" t="n">
        <v>35</v>
      </c>
      <c r="D704" s="19" t="n">
        <v>2359.31</v>
      </c>
      <c r="E704" s="19" t="n">
        <v>50</v>
      </c>
      <c r="F704" s="19" t="n">
        <v>3353.76</v>
      </c>
      <c r="G704" s="8" t="n">
        <f aca="false">IFERROR(INDEX('TRANS'!$B:$B,MATCH($B704,'TRANS'!$A:$A,0)),IFERROR(INDEX('TRANS'!$B:$B,MATCH(TRIM(SUBSTITUTE($B704,CHAR(160)," ")),'TRANS'!$D:$D,0)),IFERROR(INDEX('Catalog'!$A:$A,MATCH($B704,'Catalog'!$B:$B,0)),IFERROR(INDEX('Catalog'!$A:$A,MATCH(TRIM(SUBSTITUTE($B704,CHAR(160)," ")),'Catalog'!$C:$C,0)),""))))</f>
        <v>4413161</v>
      </c>
      <c r="H704" s="8" t="str">
        <f aca="false">IFERROR(INDEX('TRANS'!$C:$C,MATCH($B704,'TRANS'!$A:$A,0)),IFERROR(INDEX('Catalog'!$B:$B,MATCH($G704,'Catalog'!$A:$A,0)),$B704))</f>
        <v>34+ L מגן קרסול עקב סגור+רצוע</v>
      </c>
      <c r="I704" s="8" t="str">
        <f aca="false">IF($G704="","Unmatched","Matched")</f>
        <v>Matched</v>
      </c>
    </row>
    <row r="705" customFormat="false" ht="15" hidden="false" customHeight="false" outlineLevel="0" collapsed="false">
      <c r="A705" s="8" t="s">
        <v>572</v>
      </c>
      <c r="B705" s="8" t="s">
        <v>357</v>
      </c>
      <c r="C705" s="19" t="n">
        <v>27</v>
      </c>
      <c r="D705" s="19" t="n">
        <v>1786.85</v>
      </c>
      <c r="E705" s="19" t="n">
        <v>45</v>
      </c>
      <c r="F705" s="19" t="n">
        <v>3035.27</v>
      </c>
      <c r="G705" s="8" t="n">
        <f aca="false">IFERROR(INDEX('TRANS'!$B:$B,MATCH($B705,'TRANS'!$A:$A,0)),IFERROR(INDEX('TRANS'!$B:$B,MATCH(TRIM(SUBSTITUTE($B705,CHAR(160)," ")),'TRANS'!$D:$D,0)),IFERROR(INDEX('Catalog'!$A:$A,MATCH($B705,'Catalog'!$B:$B,0)),IFERROR(INDEX('Catalog'!$A:$A,MATCH(TRIM(SUBSTITUTE($B705,CHAR(160)," ")),'Catalog'!$C:$C,0)),""))))</f>
        <v>4413160</v>
      </c>
      <c r="H705" s="8" t="str">
        <f aca="false">IFERROR(INDEX('TRANS'!$C:$C,MATCH($B705,'TRANS'!$A:$A,0)),IFERROR(INDEX('Catalog'!$B:$B,MATCH($G705,'Catalog'!$A:$A,0)),$B705))</f>
        <v>34+ M מגן קרסול עקב סגור+רצוע</v>
      </c>
      <c r="I705" s="8" t="str">
        <f aca="false">IF($G705="","Unmatched","Matched")</f>
        <v>Matched</v>
      </c>
    </row>
    <row r="706" customFormat="false" ht="15" hidden="false" customHeight="false" outlineLevel="0" collapsed="false">
      <c r="A706" s="8" t="s">
        <v>572</v>
      </c>
      <c r="B706" s="8" t="s">
        <v>625</v>
      </c>
      <c r="C706" s="19" t="n">
        <v>16</v>
      </c>
      <c r="D706" s="19" t="n">
        <v>1091.37</v>
      </c>
      <c r="E706" s="19" t="n">
        <v>11</v>
      </c>
      <c r="F706" s="19" t="n">
        <v>740.09</v>
      </c>
      <c r="G706" s="8" t="n">
        <f aca="false">IFERROR(INDEX('TRANS'!$B:$B,MATCH($B706,'TRANS'!$A:$A,0)),IFERROR(INDEX('TRANS'!$B:$B,MATCH(TRIM(SUBSTITUTE($B706,CHAR(160)," ")),'TRANS'!$D:$D,0)),IFERROR(INDEX('Catalog'!$A:$A,MATCH($B706,'Catalog'!$B:$B,0)),IFERROR(INDEX('Catalog'!$A:$A,MATCH(TRIM(SUBSTITUTE($B706,CHAR(160)," ")),'Catalog'!$C:$C,0)),""))))</f>
        <v>4413159</v>
      </c>
      <c r="H706" s="8" t="str">
        <f aca="false">IFERROR(INDEX('TRANS'!$C:$C,MATCH($B706,'TRANS'!$A:$A,0)),IFERROR(INDEX('Catalog'!$B:$B,MATCH($G706,'Catalog'!$A:$A,0)),$B706))</f>
        <v>34+ S מגן קרסול עקב סגור+רצוע</v>
      </c>
      <c r="I706" s="8" t="str">
        <f aca="false">IF($G706="","Unmatched","Matched")</f>
        <v>Matched</v>
      </c>
    </row>
    <row r="707" customFormat="false" ht="15" hidden="false" customHeight="false" outlineLevel="0" collapsed="false">
      <c r="A707" s="8" t="s">
        <v>572</v>
      </c>
      <c r="B707" s="8" t="s">
        <v>132</v>
      </c>
      <c r="C707" s="19" t="n">
        <v>14</v>
      </c>
      <c r="D707" s="19" t="n">
        <v>930.17</v>
      </c>
      <c r="E707" s="19" t="n">
        <v>24</v>
      </c>
      <c r="F707" s="19" t="n">
        <v>1634.73</v>
      </c>
      <c r="G707" s="8" t="n">
        <f aca="false">IFERROR(INDEX('TRANS'!$B:$B,MATCH($B707,'TRANS'!$A:$A,0)),IFERROR(INDEX('TRANS'!$B:$B,MATCH(TRIM(SUBSTITUTE($B707,CHAR(160)," ")),'TRANS'!$D:$D,0)),IFERROR(INDEX('Catalog'!$A:$A,MATCH($B707,'Catalog'!$B:$B,0)),IFERROR(INDEX('Catalog'!$A:$A,MATCH(TRIM(SUBSTITUTE($B707,CHAR(160)," ")),'Catalog'!$C:$C,0)),""))))</f>
        <v>4413162</v>
      </c>
      <c r="H707" s="8" t="str">
        <f aca="false">IFERROR(INDEX('TRANS'!$C:$C,MATCH($B707,'TRANS'!$A:$A,0)),IFERROR(INDEX('Catalog'!$B:$B,MATCH($G707,'Catalog'!$A:$A,0)),$B707))</f>
        <v>34+XL מגן קרסול עקב סגור+רצוע</v>
      </c>
      <c r="I707" s="8" t="str">
        <f aca="false">IF($G707="","Unmatched","Matched")</f>
        <v>Matched</v>
      </c>
    </row>
    <row r="708" customFormat="false" ht="15" hidden="false" customHeight="false" outlineLevel="0" collapsed="false">
      <c r="A708" s="8" t="s">
        <v>572</v>
      </c>
      <c r="B708" s="8" t="s">
        <v>626</v>
      </c>
      <c r="C708" s="19" t="n">
        <v>7</v>
      </c>
      <c r="D708" s="19" t="n">
        <v>487.14</v>
      </c>
      <c r="E708" s="19" t="n">
        <v>8</v>
      </c>
      <c r="F708" s="19" t="n">
        <v>557.4</v>
      </c>
      <c r="G708" s="8" t="n">
        <f aca="false">IFERROR(INDEX('TRANS'!$B:$B,MATCH($B708,'TRANS'!$A:$A,0)),IFERROR(INDEX('TRANS'!$B:$B,MATCH(TRIM(SUBSTITUTE($B708,CHAR(160)," ")),'TRANS'!$D:$D,0)),IFERROR(INDEX('Catalog'!$A:$A,MATCH($B708,'Catalog'!$B:$B,0)),IFERROR(INDEX('Catalog'!$A:$A,MATCH(TRIM(SUBSTITUTE($B708,CHAR(160)," ")),'Catalog'!$C:$C,0)),""))))</f>
        <v>4413303</v>
      </c>
      <c r="H708" s="8" t="str">
        <f aca="false">IFERROR(INDEX('TRANS'!$C:$C,MATCH($B708,'TRANS'!$A:$A,0)),IFERROR(INDEX('Catalog'!$B:$B,MATCH($G708,'Catalog'!$A:$A,0)),$B708))</f>
        <v>34+XXL מ.קרסול+עכב סגור+רצועות</v>
      </c>
      <c r="I708" s="8" t="str">
        <f aca="false">IF($G708="","Unmatched","Matched")</f>
        <v>Matched</v>
      </c>
    </row>
    <row r="709" customFormat="false" ht="15" hidden="false" customHeight="false" outlineLevel="0" collapsed="false">
      <c r="A709" s="8" t="s">
        <v>572</v>
      </c>
      <c r="B709" s="8" t="s">
        <v>147</v>
      </c>
      <c r="C709" s="19" t="n">
        <v>38</v>
      </c>
      <c r="D709" s="19" t="n">
        <v>2308.31</v>
      </c>
      <c r="E709" s="19" t="n">
        <v>34</v>
      </c>
      <c r="F709" s="19" t="n">
        <v>2070.08</v>
      </c>
      <c r="G709" s="8" t="n">
        <f aca="false">IFERROR(INDEX('TRANS'!$B:$B,MATCH($B709,'TRANS'!$A:$A,0)),IFERROR(INDEX('TRANS'!$B:$B,MATCH(TRIM(SUBSTITUTE($B709,CHAR(160)," ")),'TRANS'!$D:$D,0)),IFERROR(INDEX('Catalog'!$A:$A,MATCH($B709,'Catalog'!$B:$B,0)),IFERROR(INDEX('Catalog'!$A:$A,MATCH(TRIM(SUBSTITUTE($B709,CHAR(160)," ")),'Catalog'!$C:$C,0)),""))))</f>
        <v>4421001</v>
      </c>
      <c r="H709" s="8" t="str">
        <f aca="false">IFERROR(INDEX('TRANS'!$C:$C,MATCH($B709,'TRANS'!$A:$A,0)),IFERROR(INDEX('Catalog'!$B:$B,MATCH($G709,'Catalog'!$A:$A,0)),$B709))</f>
        <v>3611 שרוול מטטרזלי מסיליקון</v>
      </c>
      <c r="I709" s="8" t="str">
        <f aca="false">IF($G709="","Unmatched","Matched")</f>
        <v>Matched</v>
      </c>
    </row>
    <row r="710" customFormat="false" ht="15" hidden="false" customHeight="false" outlineLevel="0" collapsed="false">
      <c r="A710" s="8" t="s">
        <v>572</v>
      </c>
      <c r="B710" s="8" t="s">
        <v>150</v>
      </c>
      <c r="C710" s="19" t="n">
        <v>161</v>
      </c>
      <c r="D710" s="19" t="n">
        <v>4514.25</v>
      </c>
      <c r="E710" s="19" t="n">
        <v>152</v>
      </c>
      <c r="F710" s="19" t="n">
        <v>4300.73</v>
      </c>
      <c r="G710" s="8" t="n">
        <f aca="false">IFERROR(INDEX('TRANS'!$B:$B,MATCH($B710,'TRANS'!$A:$A,0)),IFERROR(INDEX('TRANS'!$B:$B,MATCH(TRIM(SUBSTITUTE($B710,CHAR(160)," ")),'TRANS'!$D:$D,0)),IFERROR(INDEX('Catalog'!$A:$A,MATCH($B710,'Catalog'!$B:$B,0)),IFERROR(INDEX('Catalog'!$A:$A,MATCH(TRIM(SUBSTITUTE($B710,CHAR(160)," ")),'Catalog'!$C:$C,0)),""))))</f>
        <v>4411001</v>
      </c>
      <c r="H710" s="8" t="str">
        <f aca="false">IFERROR(INDEX('TRANS'!$C:$C,MATCH($B710,'TRANS'!$A:$A,0)),IFERROR(INDEX('Catalog'!$B:$B,MATCH($G710,'Catalog'!$A:$A,0)),$B710))</f>
        <v>3623 כרית ליישור אצבע פטיש</v>
      </c>
      <c r="I710" s="8" t="str">
        <f aca="false">IF($G710="","Unmatched","Matched")</f>
        <v>Matched</v>
      </c>
    </row>
    <row r="711" customFormat="false" ht="15" hidden="false" customHeight="false" outlineLevel="0" collapsed="false">
      <c r="A711" s="8" t="s">
        <v>572</v>
      </c>
      <c r="B711" s="8" t="s">
        <v>151</v>
      </c>
      <c r="C711" s="19" t="n">
        <v>27</v>
      </c>
      <c r="D711" s="19" t="n">
        <v>741.12</v>
      </c>
      <c r="E711" s="19" t="n">
        <v>48</v>
      </c>
      <c r="F711" s="19" t="n">
        <v>1347.84</v>
      </c>
      <c r="G711" s="8" t="str">
        <f aca="false">IFERROR(INDEX('TRANS'!$B:$B,MATCH($B711,'TRANS'!$A:$A,0)),IFERROR(INDEX('TRANS'!$B:$B,MATCH(TRIM(SUBSTITUTE($B711,CHAR(160)," ")),'TRANS'!$D:$D,0)),IFERROR(INDEX('Catalog'!$A:$A,MATCH($B711,'Catalog'!$B:$B,0)),IFERROR(INDEX('Catalog'!$A:$A,MATCH(TRIM(SUBSTITUTE($B711,CHAR(160)," ")),'Catalog'!$C:$C,0)),""))))</f>
        <v/>
      </c>
      <c r="H711" s="8" t="str">
        <f aca="false">IFERROR(INDEX('TRANS'!$C:$C,MATCH($B711,'TRANS'!$A:$A,0)),IFERROR(INDEX('Catalog'!$B:$B,MATCH($G711,'Catalog'!$A:$A,0)),$B711))</f>
        <v>363 L/R</v>
      </c>
      <c r="I711" s="8" t="str">
        <f aca="false">IF($G711="","Unmatched","Matched")</f>
        <v>Unmatched</v>
      </c>
    </row>
    <row r="712" customFormat="false" ht="15" hidden="false" customHeight="false" outlineLevel="0" collapsed="false">
      <c r="A712" s="8" t="s">
        <v>572</v>
      </c>
      <c r="B712" s="8" t="s">
        <v>152</v>
      </c>
      <c r="C712" s="19" t="n">
        <v>101</v>
      </c>
      <c r="D712" s="19" t="n">
        <v>1430.33</v>
      </c>
      <c r="E712" s="19" t="n">
        <v>36</v>
      </c>
      <c r="F712" s="19" t="n">
        <v>521.35</v>
      </c>
      <c r="G712" s="8" t="n">
        <f aca="false">IFERROR(INDEX('TRANS'!$B:$B,MATCH($B712,'TRANS'!$A:$A,0)),IFERROR(INDEX('TRANS'!$B:$B,MATCH(TRIM(SUBSTITUTE($B712,CHAR(160)," ")),'TRANS'!$D:$D,0)),IFERROR(INDEX('Catalog'!$A:$A,MATCH($B712,'Catalog'!$B:$B,0)),IFERROR(INDEX('Catalog'!$A:$A,MATCH(TRIM(SUBSTITUTE($B712,CHAR(160)," ")),'Catalog'!$C:$C,0)),""))))</f>
        <v>4413059</v>
      </c>
      <c r="H712" s="8" t="str">
        <f aca="false">IFERROR(INDEX('TRANS'!$C:$C,MATCH($B712,'TRANS'!$A:$A,0)),IFERROR(INDEX('Catalog'!$B:$B,MATCH($G712,'Catalog'!$A:$A,0)),$B712))</f>
        <v>364S Lמפר.אצבע סיליק. ליבל.זוג</v>
      </c>
      <c r="I712" s="8" t="str">
        <f aca="false">IF($G712="","Unmatched","Matched")</f>
        <v>Matched</v>
      </c>
    </row>
    <row r="713" customFormat="false" ht="15" hidden="false" customHeight="false" outlineLevel="0" collapsed="false">
      <c r="A713" s="8" t="s">
        <v>572</v>
      </c>
      <c r="B713" s="8" t="s">
        <v>160</v>
      </c>
      <c r="C713" s="19" t="n">
        <v>41</v>
      </c>
      <c r="D713" s="19" t="n">
        <v>1500.23</v>
      </c>
      <c r="E713" s="19" t="n">
        <v>17</v>
      </c>
      <c r="F713" s="19" t="n">
        <v>636.73</v>
      </c>
      <c r="G713" s="8" t="n">
        <f aca="false">IFERROR(INDEX('TRANS'!$B:$B,MATCH($B713,'TRANS'!$A:$A,0)),IFERROR(INDEX('TRANS'!$B:$B,MATCH(TRIM(SUBSTITUTE($B713,CHAR(160)," ")),'TRANS'!$D:$D,0)),IFERROR(INDEX('Catalog'!$A:$A,MATCH($B713,'Catalog'!$B:$B,0)),IFERROR(INDEX('Catalog'!$A:$A,MATCH(TRIM(SUBSTITUTE($B713,CHAR(160)," ")),'Catalog'!$C:$C,0)),""))))</f>
        <v>4421003</v>
      </c>
      <c r="H713" s="8" t="str">
        <f aca="false">IFERROR(INDEX('TRANS'!$C:$C,MATCH($B713,'TRANS'!$A:$A,0)),IFERROR(INDEX('Catalog'!$B:$B,MATCH($G713,'Catalog'!$A:$A,0)),$B713))</f>
        <v>3672 שרוול מגן לבוניון</v>
      </c>
      <c r="I713" s="8" t="str">
        <f aca="false">IF($G713="","Unmatched","Matched")</f>
        <v>Matched</v>
      </c>
    </row>
    <row r="714" customFormat="false" ht="15" hidden="false" customHeight="false" outlineLevel="0" collapsed="false">
      <c r="A714" s="8" t="s">
        <v>572</v>
      </c>
      <c r="B714" s="8" t="s">
        <v>175</v>
      </c>
      <c r="C714" s="19" t="n">
        <v>35</v>
      </c>
      <c r="D714" s="19" t="n">
        <v>2993.83</v>
      </c>
      <c r="E714" s="19" t="n">
        <v>24</v>
      </c>
      <c r="F714" s="19" t="n">
        <v>2035.37</v>
      </c>
      <c r="G714" s="8" t="n">
        <f aca="false">IFERROR(INDEX('TRANS'!$B:$B,MATCH($B714,'TRANS'!$A:$A,0)),IFERROR(INDEX('TRANS'!$B:$B,MATCH(TRIM(SUBSTITUTE($B714,CHAR(160)," ")),'TRANS'!$D:$D,0)),IFERROR(INDEX('Catalog'!$A:$A,MATCH($B714,'Catalog'!$B:$B,0)),IFERROR(INDEX('Catalog'!$A:$A,MATCH(TRIM(SUBSTITUTE($B714,CHAR(160)," ")),'Catalog'!$C:$C,0)),""))))</f>
        <v>4408069</v>
      </c>
      <c r="H714" s="8" t="str">
        <f aca="false">IFERROR(INDEX('TRANS'!$C:$C,MATCH($B714,'TRANS'!$A:$A,0)),IFERROR(INDEX('Catalog'!$B:$B,MATCH($G714,'Catalog'!$A:$A,0)),$B714))</f>
        <v>38 .חבישת""""הלוקס ולגוס""""לאחר נית</v>
      </c>
      <c r="I714" s="8" t="str">
        <f aca="false">IF($G714="","Unmatched","Matched")</f>
        <v>Matched</v>
      </c>
    </row>
    <row r="715" customFormat="false" ht="15" hidden="false" customHeight="false" outlineLevel="0" collapsed="false">
      <c r="A715" s="8" t="s">
        <v>572</v>
      </c>
      <c r="B715" s="8" t="s">
        <v>199</v>
      </c>
      <c r="C715" s="19" t="n">
        <v>73</v>
      </c>
      <c r="D715" s="19" t="n">
        <v>4367.6</v>
      </c>
      <c r="E715" s="19" t="n">
        <v>0</v>
      </c>
      <c r="F715" s="19" t="n">
        <v>0</v>
      </c>
      <c r="G715" s="8" t="str">
        <f aca="false">IFERROR(INDEX('TRANS'!$B:$B,MATCH($B715,'TRANS'!$A:$A,0)),IFERROR(INDEX('TRANS'!$B:$B,MATCH(TRIM(SUBSTITUTE($B715,CHAR(160)," ")),'TRANS'!$D:$D,0)),IFERROR(INDEX('Catalog'!$A:$A,MATCH($B715,'Catalog'!$B:$B,0)),IFERROR(INDEX('Catalog'!$A:$A,MATCH(TRIM(SUBSTITUTE($B715,CHAR(160)," ")),'Catalog'!$C:$C,0)),""))))</f>
        <v/>
      </c>
      <c r="H715" s="8" t="str">
        <f aca="false">IFERROR(INDEX('TRANS'!$C:$C,MATCH($B715,'TRANS'!$A:$A,0)),IFERROR(INDEX('Catalog'!$B:$B,MATCH($G715,'Catalog'!$A:$A,0)),$B715))</f>
        <v>397-43-46</v>
      </c>
      <c r="I715" s="8" t="str">
        <f aca="false">IF($G715="","Unmatched","Matched")</f>
        <v>Unmatched</v>
      </c>
    </row>
    <row r="716" customFormat="false" ht="15" hidden="false" customHeight="false" outlineLevel="0" collapsed="false">
      <c r="A716" s="8" t="s">
        <v>572</v>
      </c>
      <c r="B716" s="8" t="s">
        <v>212</v>
      </c>
      <c r="C716" s="19" t="n">
        <v>9</v>
      </c>
      <c r="D716" s="19" t="n">
        <v>239.15</v>
      </c>
      <c r="E716" s="19" t="n">
        <v>11</v>
      </c>
      <c r="F716" s="19" t="n">
        <v>305.04</v>
      </c>
      <c r="G716" s="8" t="n">
        <f aca="false">IFERROR(INDEX('TRANS'!$B:$B,MATCH($B716,'TRANS'!$A:$A,0)),IFERROR(INDEX('TRANS'!$B:$B,MATCH(TRIM(SUBSTITUTE($B716,CHAR(160)," ")),'TRANS'!$D:$D,0)),IFERROR(INDEX('Catalog'!$A:$A,MATCH($B716,'Catalog'!$B:$B,0)),IFERROR(INDEX('Catalog'!$A:$A,MATCH(TRIM(SUBSTITUTE($B716,CHAR(160)," ")),'Catalog'!$C:$C,0)),""))))</f>
        <v>4413097</v>
      </c>
      <c r="H716" s="8" t="str">
        <f aca="false">IFERROR(INDEX('TRANS'!$C:$C,MATCH($B716,'TRANS'!$A:$A,0)),IFERROR(INDEX('Catalog'!$B:$B,MATCH($G716,'Catalog'!$A:$A,0)),$B716))</f>
        <v>45C S מגן ברך חום</v>
      </c>
      <c r="I716" s="8" t="str">
        <f aca="false">IF($G716="","Unmatched","Matched")</f>
        <v>Matched</v>
      </c>
    </row>
    <row r="717" customFormat="false" ht="15" hidden="false" customHeight="false" outlineLevel="0" collapsed="false">
      <c r="A717" s="8" t="s">
        <v>572</v>
      </c>
      <c r="B717" s="8" t="s">
        <v>215</v>
      </c>
      <c r="C717" s="19" t="n">
        <v>27</v>
      </c>
      <c r="D717" s="19" t="n">
        <v>729.81</v>
      </c>
      <c r="E717" s="19" t="n">
        <v>11</v>
      </c>
      <c r="F717" s="19" t="n">
        <v>311.99</v>
      </c>
      <c r="G717" s="8" t="str">
        <f aca="false">IFERROR(INDEX('TRANS'!$B:$B,MATCH($B717,'TRANS'!$A:$A,0)),IFERROR(INDEX('TRANS'!$B:$B,MATCH(TRIM(SUBSTITUTE($B717,CHAR(160)," ")),'TRANS'!$D:$D,0)),IFERROR(INDEX('Catalog'!$A:$A,MATCH($B717,'Catalog'!$B:$B,0)),IFERROR(INDEX('Catalog'!$A:$A,MATCH(TRIM(SUBSTITUTE($B717,CHAR(160)," ")),'Catalog'!$C:$C,0)),""))))</f>
        <v/>
      </c>
      <c r="H717" s="8" t="str">
        <f aca="false">IFERROR(INDEX('TRANS'!$C:$C,MATCH($B717,'TRANS'!$A:$A,0)),IFERROR(INDEX('Catalog'!$B:$B,MATCH($G717,'Catalog'!$A:$A,0)),$B717))</f>
        <v>45C XXL</v>
      </c>
      <c r="I717" s="8" t="str">
        <f aca="false">IF($G717="","Unmatched","Matched")</f>
        <v>Unmatched</v>
      </c>
    </row>
    <row r="718" customFormat="false" ht="15" hidden="false" customHeight="false" outlineLevel="0" collapsed="false">
      <c r="A718" s="8" t="s">
        <v>572</v>
      </c>
      <c r="B718" s="8" t="s">
        <v>627</v>
      </c>
      <c r="C718" s="19" t="n">
        <v>0</v>
      </c>
      <c r="D718" s="19" t="n">
        <v>0</v>
      </c>
      <c r="E718" s="19" t="n">
        <v>1</v>
      </c>
      <c r="F718" s="19" t="n">
        <v>133.54</v>
      </c>
      <c r="G718" s="8" t="str">
        <f aca="false">IFERROR(INDEX('TRANS'!$B:$B,MATCH($B718,'TRANS'!$A:$A,0)),IFERROR(INDEX('TRANS'!$B:$B,MATCH(TRIM(SUBSTITUTE($B718,CHAR(160)," ")),'TRANS'!$D:$D,0)),IFERROR(INDEX('Catalog'!$A:$A,MATCH($B718,'Catalog'!$B:$B,0)),IFERROR(INDEX('Catalog'!$A:$A,MATCH(TRIM(SUBSTITUTE($B718,CHAR(160)," ")),'Catalog'!$C:$C,0)),""))))</f>
        <v/>
      </c>
      <c r="H718" s="8" t="str">
        <f aca="false">IFERROR(INDEX('TRANS'!$C:$C,MATCH($B718,'TRANS'!$A:$A,0)),IFERROR(INDEX('Catalog'!$B:$B,MATCH($G718,'Catalog'!$A:$A,0)),$B718))</f>
        <v>49PS XXL</v>
      </c>
      <c r="I718" s="8" t="str">
        <f aca="false">IF($G718="","Unmatched","Matched")</f>
        <v>Unmatched</v>
      </c>
    </row>
    <row r="719" customFormat="false" ht="15" hidden="false" customHeight="false" outlineLevel="0" collapsed="false">
      <c r="A719" s="8" t="s">
        <v>572</v>
      </c>
      <c r="B719" s="8" t="s">
        <v>628</v>
      </c>
      <c r="C719" s="19" t="n">
        <v>12</v>
      </c>
      <c r="D719" s="19" t="n">
        <v>912.08</v>
      </c>
      <c r="E719" s="19" t="n">
        <v>6</v>
      </c>
      <c r="F719" s="19" t="n">
        <v>666.24</v>
      </c>
      <c r="G719" s="8" t="n">
        <f aca="false">IFERROR(INDEX('TRANS'!$B:$B,MATCH($B719,'TRANS'!$A:$A,0)),IFERROR(INDEX('TRANS'!$B:$B,MATCH(TRIM(SUBSTITUTE($B719,CHAR(160)," ")),'TRANS'!$D:$D,0)),IFERROR(INDEX('Catalog'!$A:$A,MATCH($B719,'Catalog'!$B:$B,0)),IFERROR(INDEX('Catalog'!$A:$A,MATCH(TRIM(SUBSTITUTE($B719,CHAR(160)," ")),'Catalog'!$C:$C,0)),""))))</f>
        <v>4413119</v>
      </c>
      <c r="H719" s="8" t="str">
        <f aca="false">IFERROR(INDEX('TRANS'!$C:$C,MATCH($B719,'TRANS'!$A:$A,0)),IFERROR(INDEX('Catalog'!$B:$B,MATCH($G719,'Catalog'!$A:$A,0)),$B719))</f>
        <v>50 XL מתלה אשכים לאחר ניתוח</v>
      </c>
      <c r="I719" s="8" t="str">
        <f aca="false">IF($G719="","Unmatched","Matched")</f>
        <v>Matched</v>
      </c>
    </row>
    <row r="720" customFormat="false" ht="15" hidden="false" customHeight="false" outlineLevel="0" collapsed="false">
      <c r="A720" s="8" t="s">
        <v>572</v>
      </c>
      <c r="B720" s="8" t="s">
        <v>490</v>
      </c>
      <c r="C720" s="19" t="n">
        <v>42</v>
      </c>
      <c r="D720" s="19" t="n">
        <v>7313.06</v>
      </c>
      <c r="E720" s="19" t="n">
        <v>25</v>
      </c>
      <c r="F720" s="19" t="n">
        <v>4477.77</v>
      </c>
      <c r="G720" s="8" t="n">
        <f aca="false">IFERROR(INDEX('TRANS'!$B:$B,MATCH($B720,'TRANS'!$A:$A,0)),IFERROR(INDEX('TRANS'!$B:$B,MATCH(TRIM(SUBSTITUTE($B720,CHAR(160)," ")),'TRANS'!$D:$D,0)),IFERROR(INDEX('Catalog'!$A:$A,MATCH($B720,'Catalog'!$B:$B,0)),IFERROR(INDEX('Catalog'!$A:$A,MATCH(TRIM(SUBSTITUTE($B720,CHAR(160)," ")),'Catalog'!$C:$C,0)),""))))</f>
        <v>4408072</v>
      </c>
      <c r="H720" s="8" t="str">
        <f aca="false">IFERROR(INDEX('TRANS'!$C:$C,MATCH($B720,'TRANS'!$A:$A,0)),IFERROR(INDEX('Catalog'!$B:$B,MATCH($G720,'Catalog'!$A:$A,0)),$B720))</f>
        <v>59D M חגורת שבר דו צדדי</v>
      </c>
      <c r="I720" s="8" t="str">
        <f aca="false">IF($G720="","Unmatched","Matched")</f>
        <v>Matched</v>
      </c>
    </row>
    <row r="721" customFormat="false" ht="15" hidden="false" customHeight="false" outlineLevel="0" collapsed="false">
      <c r="A721" s="8" t="s">
        <v>572</v>
      </c>
      <c r="B721" s="8" t="s">
        <v>403</v>
      </c>
      <c r="C721" s="19" t="n">
        <v>4</v>
      </c>
      <c r="D721" s="19" t="n">
        <v>510</v>
      </c>
      <c r="E721" s="19" t="n">
        <v>4</v>
      </c>
      <c r="F721" s="19" t="n">
        <v>520</v>
      </c>
      <c r="G721" s="8" t="n">
        <f aca="false">IFERROR(INDEX('TRANS'!$B:$B,MATCH($B721,'TRANS'!$A:$A,0)),IFERROR(INDEX('TRANS'!$B:$B,MATCH(TRIM(SUBSTITUTE($B721,CHAR(160)," ")),'TRANS'!$D:$D,0)),IFERROR(INDEX('Catalog'!$A:$A,MATCH($B721,'Catalog'!$B:$B,0)),IFERROR(INDEX('Catalog'!$A:$A,MATCH(TRIM(SUBSTITUTE($B721,CHAR(160)," ")),'Catalog'!$C:$C,0)),""))))</f>
        <v>4413165</v>
      </c>
      <c r="H721" s="8" t="str">
        <f aca="false">IFERROR(INDEX('TRANS'!$C:$C,MATCH($B721,'TRANS'!$A:$A,0)),IFERROR(INDEX('Catalog'!$B:$B,MATCH($G721,'Catalog'!$A:$A,0)),$B721))</f>
        <v>74 L-XL מיצב כתפיים</v>
      </c>
      <c r="I721" s="8" t="str">
        <f aca="false">IF($G721="","Unmatched","Matched")</f>
        <v>Matched</v>
      </c>
    </row>
    <row r="722" customFormat="false" ht="15" hidden="false" customHeight="false" outlineLevel="0" collapsed="false">
      <c r="A722" s="8" t="s">
        <v>572</v>
      </c>
      <c r="B722" s="8" t="s">
        <v>629</v>
      </c>
      <c r="C722" s="19" t="n">
        <v>7</v>
      </c>
      <c r="D722" s="19" t="n">
        <v>894.99</v>
      </c>
      <c r="E722" s="19" t="n">
        <v>2</v>
      </c>
      <c r="F722" s="19" t="n">
        <v>260</v>
      </c>
      <c r="G722" s="8" t="str">
        <f aca="false">IFERROR(INDEX('TRANS'!$B:$B,MATCH($B722,'TRANS'!$A:$A,0)),IFERROR(INDEX('TRANS'!$B:$B,MATCH(TRIM(SUBSTITUTE($B722,CHAR(160)," ")),'TRANS'!$D:$D,0)),IFERROR(INDEX('Catalog'!$A:$A,MATCH($B722,'Catalog'!$B:$B,0)),IFERROR(INDEX('Catalog'!$A:$A,MATCH(TRIM(SUBSTITUTE($B722,CHAR(160)," ")),'Catalog'!$C:$C,0)),""))))</f>
        <v/>
      </c>
      <c r="H722" s="8" t="str">
        <f aca="false">IFERROR(INDEX('TRANS'!$C:$C,MATCH($B722,'TRANS'!$A:$A,0)),IFERROR(INDEX('Catalog'!$B:$B,MATCH($G722,'Catalog'!$A:$A,0)),$B722))</f>
        <v>74-S-M</v>
      </c>
      <c r="I722" s="8" t="str">
        <f aca="false">IF($G722="","Unmatched","Matched")</f>
        <v>Unmatched</v>
      </c>
    </row>
    <row r="723" customFormat="false" ht="15" hidden="false" customHeight="false" outlineLevel="0" collapsed="false">
      <c r="A723" s="8" t="s">
        <v>572</v>
      </c>
      <c r="B723" s="8" t="s">
        <v>244</v>
      </c>
      <c r="C723" s="19" t="n">
        <v>28</v>
      </c>
      <c r="D723" s="19" t="n">
        <v>253.86</v>
      </c>
      <c r="E723" s="19" t="n">
        <v>12</v>
      </c>
      <c r="F723" s="19" t="n">
        <v>126</v>
      </c>
      <c r="G723" s="8" t="n">
        <f aca="false">IFERROR(INDEX('TRANS'!$B:$B,MATCH($B723,'TRANS'!$A:$A,0)),IFERROR(INDEX('TRANS'!$B:$B,MATCH(TRIM(SUBSTITUTE($B723,CHAR(160)," ")),'TRANS'!$D:$D,0)),IFERROR(INDEX('Catalog'!$A:$A,MATCH($B723,'Catalog'!$B:$B,0)),IFERROR(INDEX('Catalog'!$A:$A,MATCH(TRIM(SUBSTITUTE($B723,CHAR(160)," ")),'Catalog'!$C:$C,0)),""))))</f>
        <v>4422032</v>
      </c>
      <c r="H723" s="8" t="str">
        <f aca="false">IFERROR(INDEX('TRANS'!$C:$C,MATCH($B723,'TRANS'!$A:$A,0)),IFERROR(INDEX('Catalog'!$B:$B,MATCH($G723,'Catalog'!$A:$A,0)),$B723))</f>
        <v>807B-Bתחבושת נצמדת שחור 20 מ""""מ</v>
      </c>
      <c r="I723" s="8" t="str">
        <f aca="false">IF($G723="","Unmatched","Matched")</f>
        <v>Matched</v>
      </c>
    </row>
    <row r="724" customFormat="false" ht="15" hidden="false" customHeight="false" outlineLevel="0" collapsed="false">
      <c r="A724" s="8" t="s">
        <v>572</v>
      </c>
      <c r="B724" s="8" t="s">
        <v>245</v>
      </c>
      <c r="C724" s="19" t="n">
        <v>28</v>
      </c>
      <c r="D724" s="19" t="n">
        <v>253.86</v>
      </c>
      <c r="E724" s="19" t="n">
        <v>20</v>
      </c>
      <c r="F724" s="19" t="n">
        <v>252.16</v>
      </c>
      <c r="G724" s="8" t="n">
        <f aca="false">IFERROR(INDEX('TRANS'!$B:$B,MATCH($B724,'TRANS'!$A:$A,0)),IFERROR(INDEX('TRANS'!$B:$B,MATCH(TRIM(SUBSTITUTE($B724,CHAR(160)," ")),'TRANS'!$D:$D,0)),IFERROR(INDEX('Catalog'!$A:$A,MATCH($B724,'Catalog'!$B:$B,0)),IFERROR(INDEX('Catalog'!$A:$A,MATCH(TRIM(SUBSTITUTE($B724,CHAR(160)," ")),'Catalog'!$C:$C,0)),""))))</f>
        <v>4422033</v>
      </c>
      <c r="H724" s="8" t="str">
        <f aca="false">IFERROR(INDEX('TRANS'!$C:$C,MATCH($B724,'TRANS'!$A:$A,0)),IFERROR(INDEX('Catalog'!$B:$B,MATCH($G724,'Catalog'!$A:$A,0)),$B724))</f>
        <v>807CB-BLתחבושת נצמדת כחול20מ""""מ</v>
      </c>
      <c r="I724" s="8" t="str">
        <f aca="false">IF($G724="","Unmatched","Matched")</f>
        <v>Matched</v>
      </c>
    </row>
    <row r="725" customFormat="false" ht="15" hidden="false" customHeight="false" outlineLevel="0" collapsed="false">
      <c r="A725" s="8" t="s">
        <v>572</v>
      </c>
      <c r="B725" s="8" t="s">
        <v>248</v>
      </c>
      <c r="C725" s="19" t="n">
        <v>82</v>
      </c>
      <c r="D725" s="19" t="n">
        <v>2045.9</v>
      </c>
      <c r="E725" s="19" t="n">
        <v>25</v>
      </c>
      <c r="F725" s="19" t="n">
        <v>701.25</v>
      </c>
      <c r="G725" s="8" t="n">
        <f aca="false">IFERROR(INDEX('TRANS'!$B:$B,MATCH($B725,'TRANS'!$A:$A,0)),IFERROR(INDEX('TRANS'!$B:$B,MATCH(TRIM(SUBSTITUTE($B725,CHAR(160)," ")),'TRANS'!$D:$D,0)),IFERROR(INDEX('Catalog'!$A:$A,MATCH($B725,'Catalog'!$B:$B,0)),IFERROR(INDEX('Catalog'!$A:$A,MATCH(TRIM(SUBSTITUTE($B725,CHAR(160)," ")),'Catalog'!$C:$C,0)),""))))</f>
        <v>4409016</v>
      </c>
      <c r="H725" s="8" t="str">
        <f aca="false">IFERROR(INDEX('TRANS'!$C:$C,MATCH($B725,'TRANS'!$A:$A,0)),IFERROR(INDEX('Catalog'!$B:$B,MATCH($G725,'Catalog'!$A:$A,0)),$B725))</f>
        <v>808KT-C        טייפ קינזיולוגי</v>
      </c>
      <c r="I725" s="8" t="str">
        <f aca="false">IF($G725="","Unmatched","Matched")</f>
        <v>Matched</v>
      </c>
    </row>
    <row r="726" customFormat="false" ht="15" hidden="false" customHeight="false" outlineLevel="0" collapsed="false">
      <c r="A726" s="8" t="s">
        <v>572</v>
      </c>
      <c r="B726" s="8" t="s">
        <v>630</v>
      </c>
      <c r="C726" s="19" t="n">
        <v>27</v>
      </c>
      <c r="D726" s="19" t="n">
        <v>810</v>
      </c>
      <c r="E726" s="19" t="n">
        <v>6</v>
      </c>
      <c r="F726" s="19" t="n">
        <v>180</v>
      </c>
      <c r="G726" s="8" t="str">
        <f aca="false">IFERROR(INDEX('TRANS'!$B:$B,MATCH($B726,'TRANS'!$A:$A,0)),IFERROR(INDEX('TRANS'!$B:$B,MATCH(TRIM(SUBSTITUTE($B726,CHAR(160)," ")),'TRANS'!$D:$D,0)),IFERROR(INDEX('Catalog'!$A:$A,MATCH($B726,'Catalog'!$B:$B,0)),IFERROR(INDEX('Catalog'!$A:$A,MATCH(TRIM(SUBSTITUTE($B726,CHAR(160)," ")),'Catalog'!$C:$C,0)),""))))</f>
        <v/>
      </c>
      <c r="H726" s="8" t="str">
        <f aca="false">IFERROR(INDEX('TRANS'!$C:$C,MATCH($B726,'TRANS'!$A:$A,0)),IFERROR(INDEX('Catalog'!$B:$B,MATCH($G726,'Catalog'!$A:$A,0)),$B726))</f>
        <v>808KTP-C</v>
      </c>
      <c r="I726" s="8" t="str">
        <f aca="false">IF($G726="","Unmatched","Matched")</f>
        <v>Unmatched</v>
      </c>
    </row>
    <row r="727" customFormat="false" ht="15" hidden="false" customHeight="false" outlineLevel="0" collapsed="false">
      <c r="A727" s="8" t="s">
        <v>572</v>
      </c>
      <c r="B727" s="8" t="s">
        <v>249</v>
      </c>
      <c r="C727" s="19" t="n">
        <v>6</v>
      </c>
      <c r="D727" s="19" t="n">
        <v>283.57</v>
      </c>
      <c r="E727" s="19" t="n">
        <v>2</v>
      </c>
      <c r="F727" s="19" t="n">
        <v>94.59</v>
      </c>
      <c r="G727" s="8" t="n">
        <f aca="false">IFERROR(INDEX('TRANS'!$B:$B,MATCH($B727,'TRANS'!$A:$A,0)),IFERROR(INDEX('TRANS'!$B:$B,MATCH(TRIM(SUBSTITUTE($B727,CHAR(160)," ")),'TRANS'!$D:$D,0)),IFERROR(INDEX('Catalog'!$A:$A,MATCH($B727,'Catalog'!$B:$B,0)),IFERROR(INDEX('Catalog'!$A:$A,MATCH(TRIM(SUBSTITUTE($B727,CHAR(160)," ")),'Catalog'!$C:$C,0)),""))))</f>
        <v>4411015</v>
      </c>
      <c r="H727" s="8" t="str">
        <f aca="false">IFERROR(INDEX('TRANS'!$C:$C,MATCH($B727,'TRANS'!$A:$A,0)),IFERROR(INDEX('Catalog'!$B:$B,MATCH($G727,'Catalog'!$A:$A,0)),$B727))</f>
        <v>820 0 כרית חום וקור</v>
      </c>
      <c r="I727" s="8" t="str">
        <f aca="false">IF($G727="","Unmatched","Matched")</f>
        <v>Matched</v>
      </c>
    </row>
    <row r="728" customFormat="false" ht="15" hidden="false" customHeight="false" outlineLevel="0" collapsed="false">
      <c r="A728" s="8" t="s">
        <v>572</v>
      </c>
      <c r="B728" s="8" t="s">
        <v>427</v>
      </c>
      <c r="C728" s="19" t="n">
        <v>7</v>
      </c>
      <c r="D728" s="19" t="n">
        <v>216.24</v>
      </c>
      <c r="E728" s="19" t="n">
        <v>9</v>
      </c>
      <c r="F728" s="19" t="n">
        <v>278.02</v>
      </c>
      <c r="G728" s="8" t="n">
        <f aca="false">IFERROR(INDEX('TRANS'!$B:$B,MATCH($B728,'TRANS'!$A:$A,0)),IFERROR(INDEX('TRANS'!$B:$B,MATCH(TRIM(SUBSTITUTE($B728,CHAR(160)," ")),'TRANS'!$D:$D,0)),IFERROR(INDEX('Catalog'!$A:$A,MATCH($B728,'Catalog'!$B:$B,0)),IFERROR(INDEX('Catalog'!$A:$A,MATCH(TRIM(SUBSTITUTE($B728,CHAR(160)," ")),'Catalog'!$C:$C,0)),""))))</f>
        <v>4413139</v>
      </c>
      <c r="H728" s="8" t="str">
        <f aca="false">IFERROR(INDEX('TRANS'!$C:$C,MATCH($B728,'TRANS'!$A:$A,0)),IFERROR(INDEX('Catalog'!$B:$B,MATCH($G728,'Catalog'!$A:$A,0)),$B728))</f>
        <v>95 L מגן מרפק רגיל לבן</v>
      </c>
      <c r="I728" s="8" t="str">
        <f aca="false">IF($G728="","Unmatched","Matched")</f>
        <v>Matched</v>
      </c>
    </row>
    <row r="729" customFormat="false" ht="15" hidden="false" customHeight="false" outlineLevel="0" collapsed="false">
      <c r="A729" s="8" t="s">
        <v>572</v>
      </c>
      <c r="B729" s="8" t="s">
        <v>260</v>
      </c>
      <c r="C729" s="19" t="n">
        <v>11</v>
      </c>
      <c r="D729" s="19" t="n">
        <v>339.8</v>
      </c>
      <c r="E729" s="19" t="n">
        <v>8</v>
      </c>
      <c r="F729" s="19" t="n">
        <v>247.13</v>
      </c>
      <c r="G729" s="8" t="n">
        <f aca="false">IFERROR(INDEX('TRANS'!$B:$B,MATCH($B729,'TRANS'!$A:$A,0)),IFERROR(INDEX('TRANS'!$B:$B,MATCH(TRIM(SUBSTITUTE($B729,CHAR(160)," ")),'TRANS'!$D:$D,0)),IFERROR(INDEX('Catalog'!$A:$A,MATCH($B729,'Catalog'!$B:$B,0)),IFERROR(INDEX('Catalog'!$A:$A,MATCH(TRIM(SUBSTITUTE($B729,CHAR(160)," ")),'Catalog'!$C:$C,0)),""))))</f>
        <v>4413140</v>
      </c>
      <c r="H729" s="8" t="str">
        <f aca="false">IFERROR(INDEX('TRANS'!$C:$C,MATCH($B729,'TRANS'!$A:$A,0)),IFERROR(INDEX('Catalog'!$B:$B,MATCH($G729,'Catalog'!$A:$A,0)),$B729))</f>
        <v>95 M מגן מרפק רגיל לבן</v>
      </c>
      <c r="I729" s="8" t="str">
        <f aca="false">IF($G729="","Unmatched","Matched")</f>
        <v>Matched</v>
      </c>
    </row>
    <row r="730" customFormat="false" ht="15" hidden="false" customHeight="false" outlineLevel="0" collapsed="false">
      <c r="A730" s="8" t="s">
        <v>572</v>
      </c>
      <c r="B730" s="8" t="s">
        <v>428</v>
      </c>
      <c r="C730" s="19" t="n">
        <v>4</v>
      </c>
      <c r="D730" s="19" t="n">
        <v>123.57</v>
      </c>
      <c r="E730" s="19" t="n">
        <v>7</v>
      </c>
      <c r="F730" s="19" t="n">
        <v>216.24</v>
      </c>
      <c r="G730" s="8" t="n">
        <f aca="false">IFERROR(INDEX('TRANS'!$B:$B,MATCH($B730,'TRANS'!$A:$A,0)),IFERROR(INDEX('TRANS'!$B:$B,MATCH(TRIM(SUBSTITUTE($B730,CHAR(160)," ")),'TRANS'!$D:$D,0)),IFERROR(INDEX('Catalog'!$A:$A,MATCH($B730,'Catalog'!$B:$B,0)),IFERROR(INDEX('Catalog'!$A:$A,MATCH(TRIM(SUBSTITUTE($B730,CHAR(160)," ")),'Catalog'!$C:$C,0)),""))))</f>
        <v>4413141</v>
      </c>
      <c r="H730" s="8" t="str">
        <f aca="false">IFERROR(INDEX('TRANS'!$C:$C,MATCH($B730,'TRANS'!$A:$A,0)),IFERROR(INDEX('Catalog'!$B:$B,MATCH($G730,'Catalog'!$A:$A,0)),$B730))</f>
        <v>95 S מגן מרפק רגיל לבן</v>
      </c>
      <c r="I730" s="8" t="str">
        <f aca="false">IF($G730="","Unmatched","Matched")</f>
        <v>Matched</v>
      </c>
    </row>
    <row r="731" customFormat="false" ht="15" hidden="false" customHeight="false" outlineLevel="0" collapsed="false">
      <c r="A731" s="8" t="s">
        <v>572</v>
      </c>
      <c r="B731" s="8" t="s">
        <v>429</v>
      </c>
      <c r="C731" s="19" t="n">
        <v>8</v>
      </c>
      <c r="D731" s="19" t="n">
        <v>247.14</v>
      </c>
      <c r="E731" s="19" t="n">
        <v>8</v>
      </c>
      <c r="F731" s="19" t="n">
        <v>247.13</v>
      </c>
      <c r="G731" s="8" t="n">
        <f aca="false">IFERROR(INDEX('TRANS'!$B:$B,MATCH($B731,'TRANS'!$A:$A,0)),IFERROR(INDEX('TRANS'!$B:$B,MATCH(TRIM(SUBSTITUTE($B731,CHAR(160)," ")),'TRANS'!$D:$D,0)),IFERROR(INDEX('Catalog'!$A:$A,MATCH($B731,'Catalog'!$B:$B,0)),IFERROR(INDEX('Catalog'!$A:$A,MATCH(TRIM(SUBSTITUTE($B731,CHAR(160)," ")),'Catalog'!$C:$C,0)),""))))</f>
        <v>4413142</v>
      </c>
      <c r="H731" s="8" t="str">
        <f aca="false">IFERROR(INDEX('TRANS'!$C:$C,MATCH($B731,'TRANS'!$A:$A,0)),IFERROR(INDEX('Catalog'!$B:$B,MATCH($G731,'Catalog'!$A:$A,0)),$B731))</f>
        <v>95 XL מגן מרפק רגיל לבן</v>
      </c>
      <c r="I731" s="8" t="str">
        <f aca="false">IF($G731="","Unmatched","Matched")</f>
        <v>Matched</v>
      </c>
    </row>
    <row r="732" customFormat="false" ht="15" hidden="false" customHeight="false" outlineLevel="0" collapsed="false">
      <c r="A732" s="8" t="s">
        <v>572</v>
      </c>
      <c r="B732" s="8" t="s">
        <v>631</v>
      </c>
      <c r="C732" s="19" t="n">
        <v>1</v>
      </c>
      <c r="D732" s="19" t="n">
        <v>30.89</v>
      </c>
      <c r="E732" s="19" t="n">
        <v>1</v>
      </c>
      <c r="F732" s="19" t="n">
        <v>30.89</v>
      </c>
      <c r="G732" s="8" t="n">
        <f aca="false">IFERROR(INDEX('TRANS'!$B:$B,MATCH($B732,'TRANS'!$A:$A,0)),IFERROR(INDEX('TRANS'!$B:$B,MATCH(TRIM(SUBSTITUTE($B732,CHAR(160)," ")),'TRANS'!$D:$D,0)),IFERROR(INDEX('Catalog'!$A:$A,MATCH($B732,'Catalog'!$B:$B,0)),IFERROR(INDEX('Catalog'!$A:$A,MATCH(TRIM(SUBSTITUTE($B732,CHAR(160)," ")),'Catalog'!$C:$C,0)),""))))</f>
        <v>4413143</v>
      </c>
      <c r="H732" s="8" t="str">
        <f aca="false">IFERROR(INDEX('TRANS'!$C:$C,MATCH($B732,'TRANS'!$A:$A,0)),IFERROR(INDEX('Catalog'!$B:$B,MATCH($G732,'Catalog'!$A:$A,0)),$B732))</f>
        <v>95 XS מגן מרפק רגיל לבן</v>
      </c>
      <c r="I732" s="8" t="str">
        <f aca="false">IF($G732="","Unmatched","Matched")</f>
        <v>Matched</v>
      </c>
    </row>
    <row r="733" customFormat="false" ht="15" hidden="false" customHeight="false" outlineLevel="0" collapsed="false">
      <c r="A733" s="8" t="s">
        <v>572</v>
      </c>
      <c r="B733" s="8" t="s">
        <v>265</v>
      </c>
      <c r="C733" s="19" t="n">
        <v>2</v>
      </c>
      <c r="D733" s="19" t="n">
        <v>60.63</v>
      </c>
      <c r="E733" s="19" t="n">
        <v>1</v>
      </c>
      <c r="F733" s="19" t="n">
        <v>30.89</v>
      </c>
      <c r="G733" s="8" t="n">
        <f aca="false">IFERROR(INDEX('TRANS'!$B:$B,MATCH($B733,'TRANS'!$A:$A,0)),IFERROR(INDEX('TRANS'!$B:$B,MATCH(TRIM(SUBSTITUTE($B733,CHAR(160)," ")),'TRANS'!$D:$D,0)),IFERROR(INDEX('Catalog'!$A:$A,MATCH($B733,'Catalog'!$B:$B,0)),IFERROR(INDEX('Catalog'!$A:$A,MATCH(TRIM(SUBSTITUTE($B733,CHAR(160)," ")),'Catalog'!$C:$C,0)),""))))</f>
        <v>4413365</v>
      </c>
      <c r="H733" s="8" t="str">
        <f aca="false">IFERROR(INDEX('TRANS'!$C:$C,MATCH($B733,'TRANS'!$A:$A,0)),IFERROR(INDEX('Catalog'!$B:$B,MATCH($G733,'Catalog'!$A:$A,0)),$B733))</f>
        <v>95C L 'מגן מרפק בז</v>
      </c>
      <c r="I733" s="8" t="str">
        <f aca="false">IF($G733="","Unmatched","Matched")</f>
        <v>Matched</v>
      </c>
    </row>
    <row r="734" customFormat="false" ht="15" hidden="false" customHeight="false" outlineLevel="0" collapsed="false">
      <c r="A734" s="8" t="s">
        <v>572</v>
      </c>
      <c r="B734" s="8" t="s">
        <v>266</v>
      </c>
      <c r="C734" s="19" t="n">
        <v>0</v>
      </c>
      <c r="D734" s="19" t="n">
        <v>0</v>
      </c>
      <c r="E734" s="19" t="n">
        <v>2</v>
      </c>
      <c r="F734" s="19" t="n">
        <v>61.78</v>
      </c>
      <c r="G734" s="8" t="n">
        <f aca="false">IFERROR(INDEX('TRANS'!$B:$B,MATCH($B734,'TRANS'!$A:$A,0)),IFERROR(INDEX('TRANS'!$B:$B,MATCH(TRIM(SUBSTITUTE($B734,CHAR(160)," ")),'TRANS'!$D:$D,0)),IFERROR(INDEX('Catalog'!$A:$A,MATCH($B734,'Catalog'!$B:$B,0)),IFERROR(INDEX('Catalog'!$A:$A,MATCH(TRIM(SUBSTITUTE($B734,CHAR(160)," ")),'Catalog'!$C:$C,0)),""))))</f>
        <v>4413364</v>
      </c>
      <c r="H734" s="8" t="str">
        <f aca="false">IFERROR(INDEX('TRANS'!$C:$C,MATCH($B734,'TRANS'!$A:$A,0)),IFERROR(INDEX('Catalog'!$B:$B,MATCH($G734,'Catalog'!$A:$A,0)),$B734))</f>
        <v>95C M 'מגן מרפק בז</v>
      </c>
      <c r="I734" s="8" t="str">
        <f aca="false">IF($G734="","Unmatched","Matched")</f>
        <v>Matched</v>
      </c>
    </row>
    <row r="735" customFormat="false" ht="15" hidden="false" customHeight="false" outlineLevel="0" collapsed="false">
      <c r="A735" s="8" t="s">
        <v>572</v>
      </c>
      <c r="B735" s="8" t="s">
        <v>430</v>
      </c>
      <c r="C735" s="19" t="n">
        <v>2</v>
      </c>
      <c r="D735" s="19" t="n">
        <v>60.63</v>
      </c>
      <c r="E735" s="19" t="n">
        <v>2</v>
      </c>
      <c r="F735" s="19" t="n">
        <v>61.78</v>
      </c>
      <c r="G735" s="8" t="n">
        <f aca="false">IFERROR(INDEX('TRANS'!$B:$B,MATCH($B735,'TRANS'!$A:$A,0)),IFERROR(INDEX('TRANS'!$B:$B,MATCH(TRIM(SUBSTITUTE($B735,CHAR(160)," ")),'TRANS'!$D:$D,0)),IFERROR(INDEX('Catalog'!$A:$A,MATCH($B735,'Catalog'!$B:$B,0)),IFERROR(INDEX('Catalog'!$A:$A,MATCH(TRIM(SUBSTITUTE($B735,CHAR(160)," ")),'Catalog'!$C:$C,0)),""))))</f>
        <v>4413366</v>
      </c>
      <c r="H735" s="8" t="str">
        <f aca="false">IFERROR(INDEX('TRANS'!$C:$C,MATCH($B735,'TRANS'!$A:$A,0)),IFERROR(INDEX('Catalog'!$B:$B,MATCH($G735,'Catalog'!$A:$A,0)),$B735))</f>
        <v>95C S 'מגן מרפק בז</v>
      </c>
      <c r="I735" s="8" t="str">
        <f aca="false">IF($G735="","Unmatched","Matched")</f>
        <v>Matched</v>
      </c>
    </row>
    <row r="736" customFormat="false" ht="15" hidden="false" customHeight="false" outlineLevel="0" collapsed="false">
      <c r="A736" s="8" t="s">
        <v>572</v>
      </c>
      <c r="B736" s="8" t="s">
        <v>431</v>
      </c>
      <c r="C736" s="19" t="n">
        <v>1</v>
      </c>
      <c r="D736" s="19" t="n">
        <v>30.89</v>
      </c>
      <c r="E736" s="19" t="n">
        <v>1</v>
      </c>
      <c r="F736" s="19" t="n">
        <v>30.89</v>
      </c>
      <c r="G736" s="8" t="n">
        <f aca="false">IFERROR(INDEX('TRANS'!$B:$B,MATCH($B736,'TRANS'!$A:$A,0)),IFERROR(INDEX('TRANS'!$B:$B,MATCH(TRIM(SUBSTITUTE($B736,CHAR(160)," ")),'TRANS'!$D:$D,0)),IFERROR(INDEX('Catalog'!$A:$A,MATCH($B736,'Catalog'!$B:$B,0)),IFERROR(INDEX('Catalog'!$A:$A,MATCH(TRIM(SUBSTITUTE($B736,CHAR(160)," ")),'Catalog'!$C:$C,0)),""))))</f>
        <v>4413367</v>
      </c>
      <c r="H736" s="8" t="str">
        <f aca="false">IFERROR(INDEX('TRANS'!$C:$C,MATCH($B736,'TRANS'!$A:$A,0)),IFERROR(INDEX('Catalog'!$B:$B,MATCH($G736,'Catalog'!$A:$A,0)),$B736))</f>
        <v>95C XL'מגן מרפק בז</v>
      </c>
      <c r="I736" s="8" t="str">
        <f aca="false">IF($G736="","Unmatched","Matched")</f>
        <v>Matched</v>
      </c>
    </row>
    <row r="737" customFormat="false" ht="15" hidden="false" customHeight="false" outlineLevel="0" collapsed="false">
      <c r="A737" s="8" t="s">
        <v>572</v>
      </c>
      <c r="B737" s="8" t="s">
        <v>267</v>
      </c>
      <c r="C737" s="19" t="n">
        <v>7</v>
      </c>
      <c r="D737" s="19" t="n">
        <v>649.36</v>
      </c>
      <c r="E737" s="19" t="n">
        <v>9</v>
      </c>
      <c r="F737" s="19" t="n">
        <v>749.59</v>
      </c>
      <c r="G737" s="8" t="n">
        <f aca="false">IFERROR(INDEX('TRANS'!$B:$B,MATCH($B737,'TRANS'!$A:$A,0)),IFERROR(INDEX('TRANS'!$B:$B,MATCH(TRIM(SUBSTITUTE($B737,CHAR(160)," ")),'TRANS'!$D:$D,0)),IFERROR(INDEX('Catalog'!$A:$A,MATCH($B737,'Catalog'!$B:$B,0)),IFERROR(INDEX('Catalog'!$A:$A,MATCH(TRIM(SUBSTITUTE($B737,CHAR(160)," ")),'Catalog'!$C:$C,0)),""))))</f>
        <v>4408205</v>
      </c>
      <c r="H737" s="8" t="str">
        <f aca="false">IFERROR(INDEX('TRANS'!$C:$C,MATCH($B737,'TRANS'!$A:$A,0)),IFERROR(INDEX('Catalog'!$B:$B,MATCH($G737,'Catalog'!$A:$A,0)),$B737))</f>
        <v>AC-07 חגורת גב עם תמיכות</v>
      </c>
      <c r="I737" s="8" t="str">
        <f aca="false">IF($G737="","Unmatched","Matched")</f>
        <v>Matched</v>
      </c>
    </row>
    <row r="738" customFormat="false" ht="15" hidden="false" customHeight="false" outlineLevel="0" collapsed="false">
      <c r="A738" s="8" t="s">
        <v>572</v>
      </c>
      <c r="B738" s="8" t="s">
        <v>269</v>
      </c>
      <c r="C738" s="19" t="n">
        <v>17</v>
      </c>
      <c r="D738" s="19" t="n">
        <v>636.73</v>
      </c>
      <c r="E738" s="19" t="n">
        <v>30</v>
      </c>
      <c r="F738" s="19" t="n">
        <v>1123.63</v>
      </c>
      <c r="G738" s="8" t="n">
        <f aca="false">IFERROR(INDEX('TRANS'!$B:$B,MATCH($B738,'TRANS'!$A:$A,0)),IFERROR(INDEX('TRANS'!$B:$B,MATCH(TRIM(SUBSTITUTE($B738,CHAR(160)," ")),'TRANS'!$D:$D,0)),IFERROR(INDEX('Catalog'!$A:$A,MATCH($B738,'Catalog'!$B:$B,0)),IFERROR(INDEX('Catalog'!$A:$A,MATCH(TRIM(SUBSTITUTE($B738,CHAR(160)," ")),'Catalog'!$C:$C,0)),""))))</f>
        <v>4408207</v>
      </c>
      <c r="H738" s="8" t="str">
        <f aca="false">IFERROR(INDEX('TRANS'!$C:$C,MATCH($B738,'TRANS'!$A:$A,0)),IFERROR(INDEX('Catalog'!$B:$B,MATCH($G738,'Catalog'!$A:$A,0)),$B738))</f>
        <v>AC-25 חבק לשורש כף היד</v>
      </c>
      <c r="I738" s="8" t="str">
        <f aca="false">IF($G738="","Unmatched","Matched")</f>
        <v>Matched</v>
      </c>
    </row>
    <row r="739" customFormat="false" ht="15" hidden="false" customHeight="false" outlineLevel="0" collapsed="false">
      <c r="A739" s="8" t="s">
        <v>572</v>
      </c>
      <c r="B739" s="8" t="s">
        <v>292</v>
      </c>
      <c r="C739" s="19" t="n">
        <v>8</v>
      </c>
      <c r="D739" s="19" t="n">
        <v>651.11</v>
      </c>
      <c r="E739" s="19" t="n">
        <v>3</v>
      </c>
      <c r="F739" s="19" t="n">
        <v>281.01</v>
      </c>
      <c r="G739" s="8" t="n">
        <f aca="false">IFERROR(INDEX('TRANS'!$B:$B,MATCH($B739,'TRANS'!$A:$A,0)),IFERROR(INDEX('TRANS'!$B:$B,MATCH(TRIM(SUBSTITUTE($B739,CHAR(160)," ")),'TRANS'!$D:$D,0)),IFERROR(INDEX('Catalog'!$A:$A,MATCH($B739,'Catalog'!$B:$B,0)),IFERROR(INDEX('Catalog'!$A:$A,MATCH(TRIM(SUBSTITUTE($B739,CHAR(160)," ")),'Catalog'!$C:$C,0)),""))))</f>
        <v>4408249</v>
      </c>
      <c r="H739" s="8" t="str">
        <f aca="false">IFERROR(INDEX('TRANS'!$C:$C,MATCH($B739,'TRANS'!$A:$A,0)),IFERROR(INDEX('Catalog'!$B:$B,MATCH($G739,'Catalog'!$A:$A,0)),$B739))</f>
        <v>SC25  L חבק יד</v>
      </c>
      <c r="I739" s="8" t="str">
        <f aca="false">IF($G739="","Unmatched","Matched")</f>
        <v>Matched</v>
      </c>
    </row>
    <row r="740" customFormat="false" ht="15" hidden="false" customHeight="false" outlineLevel="0" collapsed="false">
      <c r="A740" s="8" t="s">
        <v>572</v>
      </c>
      <c r="B740" s="8" t="s">
        <v>318</v>
      </c>
      <c r="C740" s="19" t="n">
        <v>37</v>
      </c>
      <c r="D740" s="19" t="n">
        <v>1686.28</v>
      </c>
      <c r="E740" s="19" t="n">
        <v>20</v>
      </c>
      <c r="F740" s="19" t="n">
        <v>936.45</v>
      </c>
      <c r="G740" s="8" t="n">
        <f aca="false">IFERROR(INDEX('TRANS'!$B:$B,MATCH($B740,'TRANS'!$A:$A,0)),IFERROR(INDEX('TRANS'!$B:$B,MATCH(TRIM(SUBSTITUTE($B740,CHAR(160)," ")),'TRANS'!$D:$D,0)),IFERROR(INDEX('Catalog'!$A:$A,MATCH($B740,'Catalog'!$B:$B,0)),IFERROR(INDEX('Catalog'!$A:$A,MATCH(TRIM(SUBSTITUTE($B740,CHAR(160)," ")),'Catalog'!$C:$C,0)),""))))</f>
        <v>4408098</v>
      </c>
      <c r="H740" s="8" t="str">
        <f aca="false">IFERROR(INDEX('TRANS'!$C:$C,MATCH($B740,'TRANS'!$A:$A,0)),IFERROR(INDEX('Catalog'!$B:$B,MATCH($G740,'Catalog'!$A:$A,0)),$B740))</f>
        <v>T25-חבק יד אגודלי</v>
      </c>
      <c r="I740" s="8" t="str">
        <f aca="false">IF($G740="","Unmatched","Matched")</f>
        <v>Matched</v>
      </c>
    </row>
    <row r="741" customFormat="false" ht="15" hidden="false" customHeight="false" outlineLevel="0" collapsed="false">
      <c r="A741" s="8" t="s">
        <v>572</v>
      </c>
      <c r="B741" s="8" t="s">
        <v>542</v>
      </c>
      <c r="C741" s="19" t="n">
        <v>54</v>
      </c>
      <c r="D741" s="19" t="n">
        <v>2455.89</v>
      </c>
      <c r="E741" s="19" t="n">
        <v>46</v>
      </c>
      <c r="F741" s="19" t="n">
        <v>2072.66</v>
      </c>
      <c r="G741" s="8" t="n">
        <f aca="false">IFERROR(INDEX('TRANS'!$B:$B,MATCH($B741,'TRANS'!$A:$A,0)),IFERROR(INDEX('TRANS'!$B:$B,MATCH(TRIM(SUBSTITUTE($B741,CHAR(160)," ")),'TRANS'!$D:$D,0)),IFERROR(INDEX('Catalog'!$A:$A,MATCH($B741,'Catalog'!$B:$B,0)),IFERROR(INDEX('Catalog'!$A:$A,MATCH(TRIM(SUBSTITUTE($B741,CHAR(160)," ")),'Catalog'!$C:$C,0)),""))))</f>
        <v>4408099</v>
      </c>
      <c r="H741" s="8" t="str">
        <f aca="false">IFERROR(INDEX('TRANS'!$C:$C,MATCH($B741,'TRANS'!$A:$A,0)),IFERROR(INDEX('Catalog'!$B:$B,MATCH($G741,'Catalog'!$A:$A,0)),$B741))</f>
        <v>T25C-חבק יד אגודלי</v>
      </c>
      <c r="I741" s="8" t="str">
        <f aca="false">IF($G741="","Unmatched","Matched")</f>
        <v>Matched</v>
      </c>
    </row>
    <row r="742" customFormat="false" ht="15" hidden="false" customHeight="false" outlineLevel="0" collapsed="false">
      <c r="A742" s="8" t="s">
        <v>572</v>
      </c>
      <c r="B742" s="8" t="s">
        <v>321</v>
      </c>
      <c r="C742" s="19" t="n">
        <v>6</v>
      </c>
      <c r="D742" s="19" t="n">
        <v>421.56</v>
      </c>
      <c r="E742" s="19" t="n">
        <v>5</v>
      </c>
      <c r="F742" s="19" t="n">
        <v>351.3</v>
      </c>
      <c r="G742" s="8" t="n">
        <f aca="false">IFERROR(INDEX('TRANS'!$B:$B,MATCH($B742,'TRANS'!$A:$A,0)),IFERROR(INDEX('TRANS'!$B:$B,MATCH(TRIM(SUBSTITUTE($B742,CHAR(160)," ")),'TRANS'!$D:$D,0)),IFERROR(INDEX('Catalog'!$A:$A,MATCH($B742,'Catalog'!$B:$B,0)),IFERROR(INDEX('Catalog'!$A:$A,MATCH(TRIM(SUBSTITUTE($B742,CHAR(160)," ")),'Catalog'!$C:$C,0)),""))))</f>
        <v>4415075</v>
      </c>
      <c r="H742" s="8" t="str">
        <f aca="false">IFERROR(INDEX('TRANS'!$C:$C,MATCH($B742,'TRANS'!$A:$A,0)),IFERROR(INDEX('Catalog'!$B:$B,MATCH($G742,'Catalog'!$A:$A,0)),$B742))</f>
        <v>T28AC L-XL סד לאגודל</v>
      </c>
      <c r="I742" s="8" t="str">
        <f aca="false">IF($G742="","Unmatched","Matched")</f>
        <v>Matched</v>
      </c>
    </row>
    <row r="743" customFormat="false" ht="15" hidden="false" customHeight="false" outlineLevel="0" collapsed="false">
      <c r="A743" s="8" t="s">
        <v>572</v>
      </c>
      <c r="B743" s="8" t="s">
        <v>322</v>
      </c>
      <c r="C743" s="19" t="n">
        <v>10</v>
      </c>
      <c r="D743" s="19" t="n">
        <v>702.6</v>
      </c>
      <c r="E743" s="19" t="n">
        <v>6</v>
      </c>
      <c r="F743" s="19" t="n">
        <v>421.56</v>
      </c>
      <c r="G743" s="8" t="n">
        <f aca="false">IFERROR(INDEX('TRANS'!$B:$B,MATCH($B743,'TRANS'!$A:$A,0)),IFERROR(INDEX('TRANS'!$B:$B,MATCH(TRIM(SUBSTITUTE($B743,CHAR(160)," ")),'TRANS'!$D:$D,0)),IFERROR(INDEX('Catalog'!$A:$A,MATCH($B743,'Catalog'!$B:$B,0)),IFERROR(INDEX('Catalog'!$A:$A,MATCH(TRIM(SUBSTITUTE($B743,CHAR(160)," ")),'Catalog'!$C:$C,0)),""))))</f>
        <v>4415074</v>
      </c>
      <c r="H743" s="8" t="str">
        <f aca="false">IFERROR(INDEX('TRANS'!$C:$C,MATCH($B743,'TRANS'!$A:$A,0)),IFERROR(INDEX('Catalog'!$B:$B,MATCH($G743,'Catalog'!$A:$A,0)),$B743))</f>
        <v>T28AC S-M סד לאגודל</v>
      </c>
      <c r="I743" s="8" t="str">
        <f aca="false">IF($G743="","Unmatched","Matched")</f>
        <v>Matched</v>
      </c>
    </row>
    <row r="744" customFormat="false" ht="15" hidden="false" customHeight="false" outlineLevel="0" collapsed="false">
      <c r="A744" s="8" t="s">
        <v>572</v>
      </c>
      <c r="B744" s="8" t="s">
        <v>58</v>
      </c>
      <c r="C744" s="19" t="n">
        <v>4</v>
      </c>
      <c r="D744" s="19" t="n">
        <v>431.04</v>
      </c>
      <c r="E744" s="19" t="n">
        <v>1</v>
      </c>
      <c r="F744" s="19" t="n">
        <v>107.76</v>
      </c>
      <c r="G744" s="8" t="str">
        <f aca="false">IFERROR(INDEX('TRANS'!$B:$B,MATCH($B744,'TRANS'!$A:$A,0)),IFERROR(INDEX('TRANS'!$B:$B,MATCH(TRIM(SUBSTITUTE($B744,CHAR(160)," ")),'TRANS'!$D:$D,0)),IFERROR(INDEX('Catalog'!$A:$A,MATCH($B744,'Catalog'!$B:$B,0)),IFERROR(INDEX('Catalog'!$A:$A,MATCH(TRIM(SUBSTITUTE($B744,CHAR(160)," ")),'Catalog'!$C:$C,0)),""))))</f>
        <v/>
      </c>
      <c r="H744" s="8" t="str">
        <f aca="false">IFERROR(INDEX('TRANS'!$C:$C,MATCH($B744,'TRANS'!$A:$A,0)),IFERROR(INDEX('Catalog'!$B:$B,MATCH($G744,'Catalog'!$A:$A,0)),$B744))</f>
        <v>T39 XL</v>
      </c>
      <c r="I744" s="8" t="str">
        <f aca="false">IF($G744="","Unmatched","Matched")</f>
        <v>Unmatched</v>
      </c>
    </row>
    <row r="745" customFormat="false" ht="15" hidden="false" customHeight="false" outlineLevel="0" collapsed="false">
      <c r="A745" s="8" t="s">
        <v>572</v>
      </c>
      <c r="B745" s="8" t="s">
        <v>326</v>
      </c>
      <c r="C745" s="19" t="n">
        <v>4</v>
      </c>
      <c r="D745" s="19" t="n">
        <v>365.66</v>
      </c>
      <c r="E745" s="19" t="n">
        <v>0</v>
      </c>
      <c r="F745" s="19" t="n">
        <v>-6.31000000000002</v>
      </c>
      <c r="G745" s="8" t="str">
        <f aca="false">IFERROR(INDEX('TRANS'!$B:$B,MATCH($B745,'TRANS'!$A:$A,0)),IFERROR(INDEX('TRANS'!$B:$B,MATCH(TRIM(SUBSTITUTE($B745,CHAR(160)," ")),'TRANS'!$D:$D,0)),IFERROR(INDEX('Catalog'!$A:$A,MATCH($B745,'Catalog'!$B:$B,0)),IFERROR(INDEX('Catalog'!$A:$A,MATCH(TRIM(SUBSTITUTE($B745,CHAR(160)," ")),'Catalog'!$C:$C,0)),""))))</f>
        <v/>
      </c>
      <c r="H745" s="8" t="str">
        <f aca="false">IFERROR(INDEX('TRANS'!$C:$C,MATCH($B745,'TRANS'!$A:$A,0)),IFERROR(INDEX('Catalog'!$B:$B,MATCH($G745,'Catalog'!$A:$A,0)),$B745))</f>
        <v>T402 M</v>
      </c>
      <c r="I745" s="8" t="str">
        <f aca="false">IF($G745="","Unmatched","Matched")</f>
        <v>Unmatched</v>
      </c>
    </row>
    <row r="746" customFormat="false" ht="15" hidden="false" customHeight="false" outlineLevel="0" collapsed="false">
      <c r="A746" s="8" t="s">
        <v>572</v>
      </c>
      <c r="B746" s="8" t="s">
        <v>327</v>
      </c>
      <c r="C746" s="19" t="n">
        <v>1</v>
      </c>
      <c r="D746" s="19" t="n">
        <v>88.06</v>
      </c>
      <c r="E746" s="19" t="n">
        <v>-2</v>
      </c>
      <c r="F746" s="19" t="n">
        <v>-189.27</v>
      </c>
      <c r="G746" s="8" t="str">
        <f aca="false">IFERROR(INDEX('TRANS'!$B:$B,MATCH($B746,'TRANS'!$A:$A,0)),IFERROR(INDEX('TRANS'!$B:$B,MATCH(TRIM(SUBSTITUTE($B746,CHAR(160)," ")),'TRANS'!$D:$D,0)),IFERROR(INDEX('Catalog'!$A:$A,MATCH($B746,'Catalog'!$B:$B,0)),IFERROR(INDEX('Catalog'!$A:$A,MATCH(TRIM(SUBSTITUTE($B746,CHAR(160)," ")),'Catalog'!$C:$C,0)),""))))</f>
        <v/>
      </c>
      <c r="H746" s="8" t="str">
        <f aca="false">IFERROR(INDEX('TRANS'!$C:$C,MATCH($B746,'TRANS'!$A:$A,0)),IFERROR(INDEX('Catalog'!$B:$B,MATCH($G746,'Catalog'!$A:$A,0)),$B746))</f>
        <v>T402 S</v>
      </c>
      <c r="I746" s="8" t="str">
        <f aca="false">IF($G746="","Unmatched","Matched")</f>
        <v>Unmatched</v>
      </c>
    </row>
    <row r="747" customFormat="false" ht="15" hidden="false" customHeight="false" outlineLevel="0" collapsed="false">
      <c r="A747" s="8" t="s">
        <v>572</v>
      </c>
      <c r="B747" s="8" t="s">
        <v>632</v>
      </c>
      <c r="C747" s="19" t="n">
        <v>39</v>
      </c>
      <c r="D747" s="19" t="n">
        <v>5060.9</v>
      </c>
      <c r="E747" s="19" t="n">
        <v>17</v>
      </c>
      <c r="F747" s="19" t="n">
        <v>2209.94</v>
      </c>
      <c r="G747" s="8" t="n">
        <f aca="false">IFERROR(INDEX('TRANS'!$B:$B,MATCH($B747,'TRANS'!$A:$A,0)),IFERROR(INDEX('TRANS'!$B:$B,MATCH(TRIM(SUBSTITUTE($B747,CHAR(160)," ")),'TRANS'!$D:$D,0)),IFERROR(INDEX('Catalog'!$A:$A,MATCH($B747,'Catalog'!$B:$B,0)),IFERROR(INDEX('Catalog'!$A:$A,MATCH(TRIM(SUBSTITUTE($B747,CHAR(160)," ")),'Catalog'!$C:$C,0)),""))))</f>
        <v>4422007</v>
      </c>
      <c r="H747" s="8" t="str">
        <f aca="false">IFERROR(INDEX('TRANS'!$C:$C,MATCH($B747,'TRANS'!$A:$A,0)),IFERROR(INDEX('Catalog'!$B:$B,MATCH($G747,'Catalog'!$A:$A,0)),$B747))</f>
        <v>T78 XLתומך זרוע וכתף</v>
      </c>
      <c r="I747" s="8" t="str">
        <f aca="false">IF($G747="","Unmatched","Matched")</f>
        <v>Matched</v>
      </c>
    </row>
    <row r="748" customFormat="false" ht="15" hidden="false" customHeight="false" outlineLevel="0" collapsed="false">
      <c r="A748" s="8" t="s">
        <v>572</v>
      </c>
      <c r="B748" s="8" t="s">
        <v>633</v>
      </c>
      <c r="C748" s="19" t="n">
        <v>2</v>
      </c>
      <c r="D748" s="19" t="n">
        <v>206.14</v>
      </c>
      <c r="E748" s="19" t="n">
        <v>3</v>
      </c>
      <c r="F748" s="19" t="n">
        <v>309.21</v>
      </c>
      <c r="G748" s="8" t="n">
        <f aca="false">IFERROR(INDEX('TRANS'!$B:$B,MATCH($B748,'TRANS'!$A:$A,0)),IFERROR(INDEX('TRANS'!$B:$B,MATCH(TRIM(SUBSTITUTE($B748,CHAR(160)," ")),'TRANS'!$D:$D,0)),IFERROR(INDEX('Catalog'!$A:$A,MATCH($B748,'Catalog'!$B:$B,0)),IFERROR(INDEX('Catalog'!$A:$A,MATCH(TRIM(SUBSTITUTE($B748,CHAR(160)," ")),'Catalog'!$C:$C,0)),""))))</f>
        <v>4408226</v>
      </c>
      <c r="H748" s="8" t="str">
        <f aca="false">IFERROR(INDEX('TRANS'!$C:$C,MATCH($B748,'TRANS'!$A:$A,0)),IFERROR(INDEX('Catalog'!$B:$B,MATCH($G748,'Catalog'!$A:$A,0)),$B748))</f>
        <v>L 11 אפורUG חגורת בטן</v>
      </c>
      <c r="I748" s="8" t="str">
        <f aca="false">IF($G748="","Unmatched","Matched")</f>
        <v>Matched</v>
      </c>
    </row>
    <row r="749" customFormat="false" ht="15" hidden="false" customHeight="false" outlineLevel="0" collapsed="false">
      <c r="A749" s="8" t="s">
        <v>572</v>
      </c>
      <c r="B749" s="8" t="s">
        <v>77</v>
      </c>
      <c r="C749" s="19" t="n">
        <v>2</v>
      </c>
      <c r="D749" s="19" t="n">
        <v>206.14</v>
      </c>
      <c r="E749" s="19" t="n">
        <v>2</v>
      </c>
      <c r="F749" s="19" t="n">
        <v>206.15</v>
      </c>
      <c r="G749" s="8" t="str">
        <f aca="false">IFERROR(INDEX('TRANS'!$B:$B,MATCH($B749,'TRANS'!$A:$A,0)),IFERROR(INDEX('TRANS'!$B:$B,MATCH(TRIM(SUBSTITUTE($B749,CHAR(160)," ")),'TRANS'!$D:$D,0)),IFERROR(INDEX('Catalog'!$A:$A,MATCH($B749,'Catalog'!$B:$B,0)),IFERROR(INDEX('Catalog'!$A:$A,MATCH(TRIM(SUBSTITUTE($B749,CHAR(160)," ")),'Catalog'!$C:$C,0)),""))))</f>
        <v/>
      </c>
      <c r="H749" s="8" t="str">
        <f aca="false">IFERROR(INDEX('TRANS'!$C:$C,MATCH($B749,'TRANS'!$A:$A,0)),IFERROR(INDEX('Catalog'!$B:$B,MATCH($G749,'Catalog'!$A:$A,0)),$B749))</f>
        <v>11UG M</v>
      </c>
      <c r="I749" s="8" t="str">
        <f aca="false">IF($G749="","Unmatched","Matched")</f>
        <v>Unmatched</v>
      </c>
    </row>
    <row r="750" customFormat="false" ht="15" hidden="false" customHeight="false" outlineLevel="0" collapsed="false">
      <c r="A750" s="8" t="s">
        <v>572</v>
      </c>
      <c r="B750" s="8" t="s">
        <v>634</v>
      </c>
      <c r="C750" s="19" t="n">
        <v>2</v>
      </c>
      <c r="D750" s="19" t="n">
        <v>206.16</v>
      </c>
      <c r="E750" s="19" t="n">
        <v>0</v>
      </c>
      <c r="F750" s="19" t="n">
        <v>0</v>
      </c>
      <c r="G750" s="8" t="str">
        <f aca="false">IFERROR(INDEX('TRANS'!$B:$B,MATCH($B750,'TRANS'!$A:$A,0)),IFERROR(INDEX('TRANS'!$B:$B,MATCH(TRIM(SUBSTITUTE($B750,CHAR(160)," ")),'TRANS'!$D:$D,0)),IFERROR(INDEX('Catalog'!$A:$A,MATCH($B750,'Catalog'!$B:$B,0)),IFERROR(INDEX('Catalog'!$A:$A,MATCH(TRIM(SUBSTITUTE($B750,CHAR(160)," ")),'Catalog'!$C:$C,0)),""))))</f>
        <v/>
      </c>
      <c r="H750" s="8" t="str">
        <f aca="false">IFERROR(INDEX('TRANS'!$C:$C,MATCH($B750,'TRANS'!$A:$A,0)),IFERROR(INDEX('Catalog'!$B:$B,MATCH($G750,'Catalog'!$A:$A,0)),$B750))</f>
        <v>11UG S</v>
      </c>
      <c r="I750" s="8" t="str">
        <f aca="false">IF($G750="","Unmatched","Matched")</f>
        <v>Unmatched</v>
      </c>
    </row>
    <row r="751" customFormat="false" ht="15" hidden="false" customHeight="false" outlineLevel="0" collapsed="false">
      <c r="A751" s="8" t="s">
        <v>572</v>
      </c>
      <c r="B751" s="8" t="s">
        <v>78</v>
      </c>
      <c r="C751" s="19" t="n">
        <v>2</v>
      </c>
      <c r="D751" s="19" t="n">
        <v>206.14</v>
      </c>
      <c r="E751" s="19" t="n">
        <v>0</v>
      </c>
      <c r="F751" s="19" t="n">
        <v>0</v>
      </c>
      <c r="G751" s="8" t="str">
        <f aca="false">IFERROR(INDEX('TRANS'!$B:$B,MATCH($B751,'TRANS'!$A:$A,0)),IFERROR(INDEX('TRANS'!$B:$B,MATCH(TRIM(SUBSTITUTE($B751,CHAR(160)," ")),'TRANS'!$D:$D,0)),IFERROR(INDEX('Catalog'!$A:$A,MATCH($B751,'Catalog'!$B:$B,0)),IFERROR(INDEX('Catalog'!$A:$A,MATCH(TRIM(SUBSTITUTE($B751,CHAR(160)," ")),'Catalog'!$C:$C,0)),""))))</f>
        <v/>
      </c>
      <c r="H751" s="8" t="str">
        <f aca="false">IFERROR(INDEX('TRANS'!$C:$C,MATCH($B751,'TRANS'!$A:$A,0)),IFERROR(INDEX('Catalog'!$B:$B,MATCH($G751,'Catalog'!$A:$A,0)),$B751))</f>
        <v>11UG XL</v>
      </c>
      <c r="I751" s="8" t="str">
        <f aca="false">IF($G751="","Unmatched","Matched")</f>
        <v>Unmatched</v>
      </c>
    </row>
    <row r="752" customFormat="false" ht="15" hidden="false" customHeight="false" outlineLevel="0" collapsed="false">
      <c r="A752" s="8" t="s">
        <v>572</v>
      </c>
      <c r="B752" s="8" t="s">
        <v>635</v>
      </c>
      <c r="C752" s="19" t="n">
        <v>18</v>
      </c>
      <c r="D752" s="19" t="n">
        <v>1838.14</v>
      </c>
      <c r="E752" s="19" t="n">
        <v>17</v>
      </c>
      <c r="F752" s="19" t="n">
        <v>1752.21</v>
      </c>
      <c r="G752" s="8" t="n">
        <f aca="false">IFERROR(INDEX('TRANS'!$B:$B,MATCH($B752,'TRANS'!$A:$A,0)),IFERROR(INDEX('TRANS'!$B:$B,MATCH(TRIM(SUBSTITUTE($B752,CHAR(160)," ")),'TRANS'!$D:$D,0)),IFERROR(INDEX('Catalog'!$A:$A,MATCH($B752,'Catalog'!$B:$B,0)),IFERROR(INDEX('Catalog'!$A:$A,MATCH(TRIM(SUBSTITUTE($B752,CHAR(160)," ")),'Catalog'!$C:$C,0)),""))))</f>
        <v>4415000</v>
      </c>
      <c r="H752" s="8" t="str">
        <f aca="false">IFERROR(INDEX('TRANS'!$C:$C,MATCH($B752,'TRANS'!$A:$A,0)),IFERROR(INDEX('Catalog'!$B:$B,MATCH($G752,'Catalog'!$A:$A,0)),$B752))</f>
        <v>26 L סד ליד דו צדדי לאחר שבר</v>
      </c>
      <c r="I752" s="8" t="str">
        <f aca="false">IF($G752="","Unmatched","Matched")</f>
        <v>Matched</v>
      </c>
    </row>
    <row r="753" customFormat="false" ht="15" hidden="false" customHeight="false" outlineLevel="0" collapsed="false">
      <c r="A753" s="8" t="s">
        <v>572</v>
      </c>
      <c r="B753" s="8" t="s">
        <v>352</v>
      </c>
      <c r="C753" s="19" t="n">
        <v>3</v>
      </c>
      <c r="D753" s="19" t="n">
        <v>300.65</v>
      </c>
      <c r="E753" s="19" t="n">
        <v>9</v>
      </c>
      <c r="F753" s="19" t="n">
        <v>927.63</v>
      </c>
      <c r="G753" s="8" t="n">
        <f aca="false">IFERROR(INDEX('TRANS'!$B:$B,MATCH($B753,'TRANS'!$A:$A,0)),IFERROR(INDEX('TRANS'!$B:$B,MATCH(TRIM(SUBSTITUTE($B753,CHAR(160)," ")),'TRANS'!$D:$D,0)),IFERROR(INDEX('Catalog'!$A:$A,MATCH($B753,'Catalog'!$B:$B,0)),IFERROR(INDEX('Catalog'!$A:$A,MATCH(TRIM(SUBSTITUTE($B753,CHAR(160)," ")),'Catalog'!$C:$C,0)),""))))</f>
        <v>4415002</v>
      </c>
      <c r="H753" s="8" t="str">
        <f aca="false">IFERROR(INDEX('TRANS'!$C:$C,MATCH($B753,'TRANS'!$A:$A,0)),IFERROR(INDEX('Catalog'!$B:$B,MATCH($G753,'Catalog'!$A:$A,0)),$B753))</f>
        <v>26 S סד ליד דו צדדי לאחר שבר</v>
      </c>
      <c r="I753" s="8" t="str">
        <f aca="false">IF($G753="","Unmatched","Matched")</f>
        <v>Matched</v>
      </c>
    </row>
    <row r="754" customFormat="false" ht="15" hidden="false" customHeight="false" outlineLevel="0" collapsed="false">
      <c r="A754" s="8" t="s">
        <v>572</v>
      </c>
      <c r="B754" s="8" t="s">
        <v>636</v>
      </c>
      <c r="C754" s="19" t="n">
        <v>18</v>
      </c>
      <c r="D754" s="19" t="n">
        <v>1855.27</v>
      </c>
      <c r="E754" s="19" t="n">
        <v>6</v>
      </c>
      <c r="F754" s="19" t="n">
        <v>618.43</v>
      </c>
      <c r="G754" s="8" t="n">
        <f aca="false">IFERROR(INDEX('TRANS'!$B:$B,MATCH($B754,'TRANS'!$A:$A,0)),IFERROR(INDEX('TRANS'!$B:$B,MATCH(TRIM(SUBSTITUTE($B754,CHAR(160)," ")),'TRANS'!$D:$D,0)),IFERROR(INDEX('Catalog'!$A:$A,MATCH($B754,'Catalog'!$B:$B,0)),IFERROR(INDEX('Catalog'!$A:$A,MATCH(TRIM(SUBSTITUTE($B754,CHAR(160)," ")),'Catalog'!$C:$C,0)),""))))</f>
        <v>4415003</v>
      </c>
      <c r="H754" s="8" t="str">
        <f aca="false">IFERROR(INDEX('TRANS'!$C:$C,MATCH($B754,'TRANS'!$A:$A,0)),IFERROR(INDEX('Catalog'!$B:$B,MATCH($G754,'Catalog'!$A:$A,0)),$B754))</f>
        <v>26 XL סד ליד דו צדדי לאחר שבר</v>
      </c>
      <c r="I754" s="8" t="str">
        <f aca="false">IF($G754="","Unmatched","Matched")</f>
        <v>Matched</v>
      </c>
    </row>
    <row r="755" customFormat="false" ht="15" hidden="false" customHeight="false" outlineLevel="0" collapsed="false">
      <c r="A755" s="8" t="s">
        <v>572</v>
      </c>
      <c r="B755" s="8" t="s">
        <v>140</v>
      </c>
      <c r="C755" s="19" t="n">
        <v>9</v>
      </c>
      <c r="D755" s="19" t="n">
        <v>278.02</v>
      </c>
      <c r="E755" s="19" t="n">
        <v>18</v>
      </c>
      <c r="F755" s="19" t="n">
        <v>553.99</v>
      </c>
      <c r="G755" s="8" t="n">
        <f aca="false">IFERROR(INDEX('TRANS'!$B:$B,MATCH($B755,'TRANS'!$A:$A,0)),IFERROR(INDEX('TRANS'!$B:$B,MATCH(TRIM(SUBSTITUTE($B755,CHAR(160)," ")),'TRANS'!$D:$D,0)),IFERROR(INDEX('Catalog'!$A:$A,MATCH($B755,'Catalog'!$B:$B,0)),IFERROR(INDEX('Catalog'!$A:$A,MATCH(TRIM(SUBSTITUTE($B755,CHAR(160)," ")),'Catalog'!$C:$C,0)),""))))</f>
        <v>4413053</v>
      </c>
      <c r="H755" s="8" t="str">
        <f aca="false">IFERROR(INDEX('TRANS'!$C:$C,MATCH($B755,'TRANS'!$A:$A,0)),IFERROR(INDEX('Catalog'!$B:$B,MATCH($G755,'Catalog'!$A:$A,0)),$B755))</f>
        <v>35C L מגן קרסול חום</v>
      </c>
      <c r="I755" s="8" t="str">
        <f aca="false">IF($G755="","Unmatched","Matched")</f>
        <v>Matched</v>
      </c>
    </row>
    <row r="756" customFormat="false" ht="15" hidden="false" customHeight="false" outlineLevel="0" collapsed="false">
      <c r="A756" s="8" t="s">
        <v>572</v>
      </c>
      <c r="B756" s="8" t="s">
        <v>241</v>
      </c>
      <c r="C756" s="19" t="n">
        <v>1</v>
      </c>
      <c r="D756" s="19" t="n">
        <v>17.29</v>
      </c>
      <c r="E756" s="19" t="n">
        <v>0</v>
      </c>
      <c r="F756" s="19" t="n">
        <v>0</v>
      </c>
      <c r="G756" s="8" t="n">
        <f aca="false">IFERROR(INDEX('TRANS'!$B:$B,MATCH($B756,'TRANS'!$A:$A,0)),IFERROR(INDEX('TRANS'!$B:$B,MATCH(TRIM(SUBSTITUTE($B756,CHAR(160)," ")),'TRANS'!$D:$D,0)),IFERROR(INDEX('Catalog'!$A:$A,MATCH($B756,'Catalog'!$B:$B,0)),IFERROR(INDEX('Catalog'!$A:$A,MATCH(TRIM(SUBSTITUTE($B756,CHAR(160)," ")),'Catalog'!$C:$C,0)),""))))</f>
        <v>4409012</v>
      </c>
      <c r="H756" s="8" t="str">
        <f aca="false">IFERROR(INDEX('TRANS'!$C:$C,MATCH($B756,'TRANS'!$A:$A,0)),IFERROR(INDEX('Catalog'!$B:$B,MATCH($G756,'Catalog'!$A:$A,0)),$B756))</f>
        <v>804AT-C      טייפ חבישה לספורט</v>
      </c>
      <c r="I756" s="8" t="str">
        <f aca="false">IF($G756="","Unmatched","Matched")</f>
        <v>Matched</v>
      </c>
    </row>
    <row r="757" customFormat="false" ht="15" hidden="false" customHeight="false" outlineLevel="0" collapsed="false">
      <c r="A757" s="8" t="s">
        <v>572</v>
      </c>
      <c r="B757" s="8" t="s">
        <v>243</v>
      </c>
      <c r="C757" s="19" t="n">
        <v>3</v>
      </c>
      <c r="D757" s="19" t="n">
        <v>51.88</v>
      </c>
      <c r="E757" s="19" t="n">
        <v>0</v>
      </c>
      <c r="F757" s="19" t="n">
        <v>0</v>
      </c>
      <c r="G757" s="8" t="n">
        <f aca="false">IFERROR(INDEX('TRANS'!$B:$B,MATCH($B757,'TRANS'!$A:$A,0)),IFERROR(INDEX('TRANS'!$B:$B,MATCH(TRIM(SUBSTITUTE($B757,CHAR(160)," ")),'TRANS'!$D:$D,0)),IFERROR(INDEX('Catalog'!$A:$A,MATCH($B757,'Catalog'!$B:$B,0)),IFERROR(INDEX('Catalog'!$A:$A,MATCH(TRIM(SUBSTITUTE($B757,CHAR(160)," ")),'Catalog'!$C:$C,0)),""))))</f>
        <v>4401011</v>
      </c>
      <c r="H757" s="8" t="str">
        <f aca="false">IFERROR(INDEX('TRANS'!$C:$C,MATCH($B757,'TRANS'!$A:$A,0)),IFERROR(INDEX('Catalog'!$B:$B,MATCH($G757,'Catalog'!$A:$A,0)),$B757))</f>
        <v>805AT-Cאתלטיק טייפ בז' 20מ""""מ20</v>
      </c>
      <c r="I757" s="8" t="str">
        <f aca="false">IF($G757="","Unmatched","Matched")</f>
        <v>Matched</v>
      </c>
    </row>
    <row r="758" customFormat="false" ht="15" hidden="false" customHeight="false" outlineLevel="0" collapsed="false">
      <c r="A758" s="8" t="s">
        <v>572</v>
      </c>
      <c r="B758" s="8" t="s">
        <v>637</v>
      </c>
      <c r="C758" s="19" t="n">
        <v>2</v>
      </c>
      <c r="D758" s="19" t="n">
        <v>184</v>
      </c>
      <c r="E758" s="19" t="n">
        <v>0</v>
      </c>
      <c r="F758" s="19" t="n">
        <v>0</v>
      </c>
      <c r="G758" s="8" t="n">
        <f aca="false">IFERROR(INDEX('TRANS'!$B:$B,MATCH($B758,'TRANS'!$A:$A,0)),IFERROR(INDEX('TRANS'!$B:$B,MATCH(TRIM(SUBSTITUTE($B758,CHAR(160)," ")),'TRANS'!$D:$D,0)),IFERROR(INDEX('Catalog'!$A:$A,MATCH($B758,'Catalog'!$B:$B,0)),IFERROR(INDEX('Catalog'!$A:$A,MATCH(TRIM(SUBSTITUTE($B758,CHAR(160)," ")),'Catalog'!$C:$C,0)),""))))</f>
        <v>4408245</v>
      </c>
      <c r="H758" s="8" t="str">
        <f aca="false">IFERROR(INDEX('TRANS'!$C:$C,MATCH($B758,'TRANS'!$A:$A,0)),IFERROR(INDEX('Catalog'!$B:$B,MATCH($G758,'Catalog'!$A:$A,0)),$B758))</f>
        <v>077A   XXL חגורת גב עם חיזוקים</v>
      </c>
      <c r="I758" s="8" t="str">
        <f aca="false">IF($G758="","Unmatched","Matched")</f>
        <v>Matched</v>
      </c>
    </row>
    <row r="759" customFormat="false" ht="15" hidden="false" customHeight="false" outlineLevel="0" collapsed="false">
      <c r="A759" s="8" t="s">
        <v>572</v>
      </c>
      <c r="B759" s="8" t="s">
        <v>638</v>
      </c>
      <c r="C759" s="19" t="n">
        <v>11</v>
      </c>
      <c r="D759" s="19" t="n">
        <v>2302.45</v>
      </c>
      <c r="E759" s="19" t="n">
        <v>7</v>
      </c>
      <c r="F759" s="19" t="n">
        <v>1540.03</v>
      </c>
      <c r="G759" s="8" t="n">
        <f aca="false">IFERROR(INDEX('TRANS'!$B:$B,MATCH($B759,'TRANS'!$A:$A,0)),IFERROR(INDEX('TRANS'!$B:$B,MATCH(TRIM(SUBSTITUTE($B759,CHAR(160)," ")),'TRANS'!$D:$D,0)),IFERROR(INDEX('Catalog'!$A:$A,MATCH($B759,'Catalog'!$B:$B,0)),IFERROR(INDEX('Catalog'!$A:$A,MATCH(TRIM(SUBSTITUTE($B759,CHAR(160)," ")),'Catalog'!$C:$C,0)),""))))</f>
        <v>4408015</v>
      </c>
      <c r="H759" s="8" t="str">
        <f aca="false">IFERROR(INDEX('TRANS'!$C:$C,MATCH($B759,'TRANS'!$A:$A,0)),IFERROR(INDEX('Catalog'!$B:$B,MATCH($G759,'Catalog'!$A:$A,0)),$B759))</f>
        <v>07AU L ח.גב """"איטלקית"""" אורירית</v>
      </c>
      <c r="I759" s="8" t="str">
        <f aca="false">IF($G759="","Unmatched","Matched")</f>
        <v>Matched</v>
      </c>
    </row>
    <row r="760" customFormat="false" ht="15" hidden="false" customHeight="false" outlineLevel="0" collapsed="false">
      <c r="A760" s="8" t="s">
        <v>572</v>
      </c>
      <c r="B760" s="8" t="s">
        <v>639</v>
      </c>
      <c r="C760" s="19" t="n">
        <v>6</v>
      </c>
      <c r="D760" s="19" t="n">
        <v>1282.45</v>
      </c>
      <c r="E760" s="19" t="n">
        <v>7</v>
      </c>
      <c r="F760" s="19" t="n">
        <v>1540.22</v>
      </c>
      <c r="G760" s="8" t="n">
        <f aca="false">IFERROR(INDEX('TRANS'!$B:$B,MATCH($B760,'TRANS'!$A:$A,0)),IFERROR(INDEX('TRANS'!$B:$B,MATCH(TRIM(SUBSTITUTE($B760,CHAR(160)," ")),'TRANS'!$D:$D,0)),IFERROR(INDEX('Catalog'!$A:$A,MATCH($B760,'Catalog'!$B:$B,0)),IFERROR(INDEX('Catalog'!$A:$A,MATCH(TRIM(SUBSTITUTE($B760,CHAR(160)," ")),'Catalog'!$C:$C,0)),""))))</f>
        <v>4408016</v>
      </c>
      <c r="H760" s="8" t="str">
        <f aca="false">IFERROR(INDEX('TRANS'!$C:$C,MATCH($B760,'TRANS'!$A:$A,0)),IFERROR(INDEX('Catalog'!$B:$B,MATCH($G760,'Catalog'!$A:$A,0)),$B760))</f>
        <v>07AU M ח.גב """"איטלקית"""" אורירית</v>
      </c>
      <c r="I760" s="8" t="str">
        <f aca="false">IF($G760="","Unmatched","Matched")</f>
        <v>Matched</v>
      </c>
    </row>
    <row r="761" customFormat="false" ht="15" hidden="false" customHeight="false" outlineLevel="0" collapsed="false">
      <c r="A761" s="8" t="s">
        <v>572</v>
      </c>
      <c r="B761" s="8" t="s">
        <v>640</v>
      </c>
      <c r="C761" s="19" t="n">
        <v>20</v>
      </c>
      <c r="D761" s="19" t="n">
        <v>4162.57</v>
      </c>
      <c r="E761" s="19" t="n">
        <v>11</v>
      </c>
      <c r="F761" s="19" t="n">
        <v>2419.99</v>
      </c>
      <c r="G761" s="8" t="n">
        <f aca="false">IFERROR(INDEX('TRANS'!$B:$B,MATCH($B761,'TRANS'!$A:$A,0)),IFERROR(INDEX('TRANS'!$B:$B,MATCH(TRIM(SUBSTITUTE($B761,CHAR(160)," ")),'TRANS'!$D:$D,0)),IFERROR(INDEX('Catalog'!$A:$A,MATCH($B761,'Catalog'!$B:$B,0)),IFERROR(INDEX('Catalog'!$A:$A,MATCH(TRIM(SUBSTITUTE($B761,CHAR(160)," ")),'Catalog'!$C:$C,0)),""))))</f>
        <v>4408017</v>
      </c>
      <c r="H761" s="8" t="str">
        <f aca="false">IFERROR(INDEX('TRANS'!$C:$C,MATCH($B761,'TRANS'!$A:$A,0)),IFERROR(INDEX('Catalog'!$B:$B,MATCH($G761,'Catalog'!$A:$A,0)),$B761))</f>
        <v>07AU XL ח.גב """"איטלקית"""" אורירית</v>
      </c>
      <c r="I761" s="8" t="str">
        <f aca="false">IF($G761="","Unmatched","Matched")</f>
        <v>Matched</v>
      </c>
    </row>
    <row r="762" customFormat="false" ht="15" hidden="false" customHeight="false" outlineLevel="0" collapsed="false">
      <c r="A762" s="8" t="s">
        <v>572</v>
      </c>
      <c r="B762" s="8" t="s">
        <v>641</v>
      </c>
      <c r="C762" s="19" t="n">
        <v>10</v>
      </c>
      <c r="D762" s="19" t="n">
        <v>2120.04</v>
      </c>
      <c r="E762" s="19" t="n">
        <v>8</v>
      </c>
      <c r="F762" s="19" t="n">
        <v>1760.02</v>
      </c>
      <c r="G762" s="8" t="n">
        <f aca="false">IFERROR(INDEX('TRANS'!$B:$B,MATCH($B762,'TRANS'!$A:$A,0)),IFERROR(INDEX('TRANS'!$B:$B,MATCH(TRIM(SUBSTITUTE($B762,CHAR(160)," ")),'TRANS'!$D:$D,0)),IFERROR(INDEX('Catalog'!$A:$A,MATCH($B762,'Catalog'!$B:$B,0)),IFERROR(INDEX('Catalog'!$A:$A,MATCH(TRIM(SUBSTITUTE($B762,CHAR(160)," ")),'Catalog'!$C:$C,0)),""))))</f>
        <v>4408018</v>
      </c>
      <c r="H762" s="8" t="str">
        <f aca="false">IFERROR(INDEX('TRANS'!$C:$C,MATCH($B762,'TRANS'!$A:$A,0)),IFERROR(INDEX('Catalog'!$B:$B,MATCH($G762,'Catalog'!$A:$A,0)),$B762))</f>
        <v>07AU XXL.ח.גב """"איטלקית"""" אוריר</v>
      </c>
      <c r="I762" s="8" t="str">
        <f aca="false">IF($G762="","Unmatched","Matched")</f>
        <v>Matched</v>
      </c>
    </row>
    <row r="763" customFormat="false" ht="15" hidden="false" customHeight="false" outlineLevel="0" collapsed="false">
      <c r="A763" s="8" t="s">
        <v>572</v>
      </c>
      <c r="B763" s="8" t="s">
        <v>642</v>
      </c>
      <c r="C763" s="19" t="n">
        <v>1</v>
      </c>
      <c r="D763" s="19" t="n">
        <v>135.9</v>
      </c>
      <c r="E763" s="19" t="n">
        <v>0</v>
      </c>
      <c r="F763" s="19" t="n">
        <v>0</v>
      </c>
      <c r="G763" s="8" t="n">
        <f aca="false">IFERROR(INDEX('TRANS'!$B:$B,MATCH($B763,'TRANS'!$A:$A,0)),IFERROR(INDEX('TRANS'!$B:$B,MATCH(TRIM(SUBSTITUTE($B763,CHAR(160)," ")),'TRANS'!$D:$D,0)),IFERROR(INDEX('Catalog'!$A:$A,MATCH($B763,'Catalog'!$B:$B,0)),IFERROR(INDEX('Catalog'!$A:$A,MATCH(TRIM(SUBSTITUTE($B763,CHAR(160)," ")),'Catalog'!$C:$C,0)),""))))</f>
        <v>4408147</v>
      </c>
      <c r="H763" s="8" t="str">
        <f aca="false">IFERROR(INDEX('TRANS'!$C:$C,MATCH($B763,'TRANS'!$A:$A,0)),IFERROR(INDEX('Catalog'!$B:$B,MATCH($G763,'Catalog'!$A:$A,0)),$B763))</f>
        <v>11PS Lחגורה למנותחי בטן</v>
      </c>
      <c r="I763" s="8" t="str">
        <f aca="false">IF($G763="","Unmatched","Matched")</f>
        <v>Matched</v>
      </c>
    </row>
    <row r="764" customFormat="false" ht="15" hidden="false" customHeight="false" outlineLevel="0" collapsed="false">
      <c r="A764" s="8" t="s">
        <v>572</v>
      </c>
      <c r="B764" s="8" t="s">
        <v>342</v>
      </c>
      <c r="C764" s="19" t="n">
        <v>5</v>
      </c>
      <c r="D764" s="19" t="n">
        <v>671.12</v>
      </c>
      <c r="E764" s="19" t="n">
        <v>0</v>
      </c>
      <c r="F764" s="19" t="n">
        <v>0</v>
      </c>
      <c r="G764" s="8" t="n">
        <f aca="false">IFERROR(INDEX('TRANS'!$B:$B,MATCH($B764,'TRANS'!$A:$A,0)),IFERROR(INDEX('TRANS'!$B:$B,MATCH(TRIM(SUBSTITUTE($B764,CHAR(160)," ")),'TRANS'!$D:$D,0)),IFERROR(INDEX('Catalog'!$A:$A,MATCH($B764,'Catalog'!$B:$B,0)),IFERROR(INDEX('Catalog'!$A:$A,MATCH(TRIM(SUBSTITUTE($B764,CHAR(160)," ")),'Catalog'!$C:$C,0)),""))))</f>
        <v>4408149</v>
      </c>
      <c r="H764" s="8" t="str">
        <f aca="false">IFERROR(INDEX('TRANS'!$C:$C,MATCH($B764,'TRANS'!$A:$A,0)),IFERROR(INDEX('Catalog'!$B:$B,MATCH($G764,'Catalog'!$A:$A,0)),$B764))</f>
        <v>11PS XXLחגורה למנותחי בטן</v>
      </c>
      <c r="I764" s="8" t="str">
        <f aca="false">IF($G764="","Unmatched","Matched")</f>
        <v>Matched</v>
      </c>
    </row>
    <row r="765" customFormat="false" ht="15" hidden="false" customHeight="false" outlineLevel="0" collapsed="false">
      <c r="A765" s="8" t="s">
        <v>572</v>
      </c>
      <c r="B765" s="8" t="s">
        <v>85</v>
      </c>
      <c r="C765" s="19" t="n">
        <v>1</v>
      </c>
      <c r="D765" s="19" t="n">
        <v>140.57</v>
      </c>
      <c r="E765" s="19" t="n">
        <v>0</v>
      </c>
      <c r="F765" s="19" t="n">
        <v>0</v>
      </c>
      <c r="G765" s="8" t="n">
        <f aca="false">IFERROR(INDEX('TRANS'!$B:$B,MATCH($B765,'TRANS'!$A:$A,0)),IFERROR(INDEX('TRANS'!$B:$B,MATCH(TRIM(SUBSTITUTE($B765,CHAR(160)," ")),'TRANS'!$D:$D,0)),IFERROR(INDEX('Catalog'!$A:$A,MATCH($B765,'Catalog'!$B:$B,0)),IFERROR(INDEX('Catalog'!$A:$A,MATCH(TRIM(SUBSTITUTE($B765,CHAR(160)," ")),'Catalog'!$C:$C,0)),""))))</f>
        <v>4408131</v>
      </c>
      <c r="H765" s="8" t="str">
        <f aca="false">IFERROR(INDEX('TRANS'!$C:$C,MATCH($B765,'TRANS'!$A:$A,0)),IFERROR(INDEX('Catalog'!$B:$B,MATCH($G765,'Catalog'!$A:$A,0)),$B765))</f>
        <v>15W L חגורת צלעות לאשה</v>
      </c>
      <c r="I765" s="8" t="str">
        <f aca="false">IF($G765="","Unmatched","Matched")</f>
        <v>Matched</v>
      </c>
    </row>
    <row r="766" customFormat="false" ht="15" hidden="false" customHeight="false" outlineLevel="0" collapsed="false">
      <c r="A766" s="8" t="s">
        <v>572</v>
      </c>
      <c r="B766" s="8" t="s">
        <v>88</v>
      </c>
      <c r="C766" s="19" t="n">
        <v>2</v>
      </c>
      <c r="D766" s="19" t="n">
        <v>225.57</v>
      </c>
      <c r="E766" s="19" t="n">
        <v>0</v>
      </c>
      <c r="F766" s="19" t="n">
        <v>0</v>
      </c>
      <c r="G766" s="8" t="str">
        <f aca="false">IFERROR(INDEX('TRANS'!$B:$B,MATCH($B766,'TRANS'!$A:$A,0)),IFERROR(INDEX('TRANS'!$B:$B,MATCH(TRIM(SUBSTITUTE($B766,CHAR(160)," ")),'TRANS'!$D:$D,0)),IFERROR(INDEX('Catalog'!$A:$A,MATCH($B766,'Catalog'!$B:$B,0)),IFERROR(INDEX('Catalog'!$A:$A,MATCH(TRIM(SUBSTITUTE($B766,CHAR(160)," ")),'Catalog'!$C:$C,0)),""))))</f>
        <v/>
      </c>
      <c r="H766" s="8" t="str">
        <f aca="false">IFERROR(INDEX('TRANS'!$C:$C,MATCH($B766,'TRANS'!$A:$A,0)),IFERROR(INDEX('Catalog'!$B:$B,MATCH($G766,'Catalog'!$A:$A,0)),$B766))</f>
        <v>15W XL</v>
      </c>
      <c r="I766" s="8" t="str">
        <f aca="false">IF($G766="","Unmatched","Matched")</f>
        <v>Unmatched</v>
      </c>
    </row>
    <row r="767" customFormat="false" ht="15" hidden="false" customHeight="false" outlineLevel="0" collapsed="false">
      <c r="A767" s="8" t="s">
        <v>572</v>
      </c>
      <c r="B767" s="8" t="s">
        <v>643</v>
      </c>
      <c r="C767" s="19" t="n">
        <v>13</v>
      </c>
      <c r="D767" s="19" t="n">
        <v>1331.38</v>
      </c>
      <c r="E767" s="19" t="n">
        <v>12</v>
      </c>
      <c r="F767" s="19" t="n">
        <v>1236.85</v>
      </c>
      <c r="G767" s="8" t="n">
        <f aca="false">IFERROR(INDEX('TRANS'!$B:$B,MATCH($B767,'TRANS'!$A:$A,0)),IFERROR(INDEX('TRANS'!$B:$B,MATCH(TRIM(SUBSTITUTE($B767,CHAR(160)," ")),'TRANS'!$D:$D,0)),IFERROR(INDEX('Catalog'!$A:$A,MATCH($B767,'Catalog'!$B:$B,0)),IFERROR(INDEX('Catalog'!$A:$A,MATCH(TRIM(SUBSTITUTE($B767,CHAR(160)," ")),'Catalog'!$C:$C,0)),""))))</f>
        <v>4415001</v>
      </c>
      <c r="H767" s="8" t="str">
        <f aca="false">IFERROR(INDEX('TRANS'!$C:$C,MATCH($B767,'TRANS'!$A:$A,0)),IFERROR(INDEX('Catalog'!$B:$B,MATCH($G767,'Catalog'!$A:$A,0)),$B767))</f>
        <v>26 M סד ליד דו צדדי לאחר שבר</v>
      </c>
      <c r="I767" s="8" t="str">
        <f aca="false">IF($G767="","Unmatched","Matched")</f>
        <v>Matched</v>
      </c>
    </row>
    <row r="768" customFormat="false" ht="15" hidden="false" customHeight="false" outlineLevel="0" collapsed="false">
      <c r="A768" s="8" t="s">
        <v>572</v>
      </c>
      <c r="B768" s="8" t="s">
        <v>107</v>
      </c>
      <c r="C768" s="19" t="n">
        <v>4</v>
      </c>
      <c r="D768" s="19" t="n">
        <v>412.29</v>
      </c>
      <c r="E768" s="19" t="n">
        <v>3</v>
      </c>
      <c r="F768" s="19" t="n">
        <v>309.22</v>
      </c>
      <c r="G768" s="8" t="n">
        <f aca="false">IFERROR(INDEX('TRANS'!$B:$B,MATCH($B768,'TRANS'!$A:$A,0)),IFERROR(INDEX('TRANS'!$B:$B,MATCH(TRIM(SUBSTITUTE($B768,CHAR(160)," ")),'TRANS'!$D:$D,0)),IFERROR(INDEX('Catalog'!$A:$A,MATCH($B768,'Catalog'!$B:$B,0)),IFERROR(INDEX('Catalog'!$A:$A,MATCH(TRIM(SUBSTITUTE($B768,CHAR(160)," ")),'Catalog'!$C:$C,0)),""))))</f>
        <v>4415004</v>
      </c>
      <c r="H768" s="8" t="str">
        <f aca="false">IFERROR(INDEX('TRANS'!$C:$C,MATCH($B768,'TRANS'!$A:$A,0)),IFERROR(INDEX('Catalog'!$B:$B,MATCH($G768,'Catalog'!$A:$A,0)),$B768))</f>
        <v>26 XXL סד ליד דו צדדי לאחר שבר</v>
      </c>
      <c r="I768" s="8" t="str">
        <f aca="false">IF($G768="","Unmatched","Matched")</f>
        <v>Matched</v>
      </c>
    </row>
    <row r="769" customFormat="false" ht="15" hidden="false" customHeight="false" outlineLevel="0" collapsed="false">
      <c r="A769" s="8" t="s">
        <v>572</v>
      </c>
      <c r="B769" s="8" t="s">
        <v>644</v>
      </c>
      <c r="C769" s="19" t="n">
        <v>10</v>
      </c>
      <c r="D769" s="19" t="n">
        <v>1015.84</v>
      </c>
      <c r="E769" s="19" t="n">
        <v>8</v>
      </c>
      <c r="F769" s="19" t="n">
        <v>824.57</v>
      </c>
      <c r="G769" s="8" t="n">
        <f aca="false">IFERROR(INDEX('TRANS'!$B:$B,MATCH($B769,'TRANS'!$A:$A,0)),IFERROR(INDEX('TRANS'!$B:$B,MATCH(TRIM(SUBSTITUTE($B769,CHAR(160)," ")),'TRANS'!$D:$D,0)),IFERROR(INDEX('Catalog'!$A:$A,MATCH($B769,'Catalog'!$B:$B,0)),IFERROR(INDEX('Catalog'!$A:$A,MATCH(TRIM(SUBSTITUTE($B769,CHAR(160)," ")),'Catalog'!$C:$C,0)),""))))</f>
        <v>4415005</v>
      </c>
      <c r="H769" s="8" t="str">
        <f aca="false">IFERROR(INDEX('TRANS'!$C:$C,MATCH($B769,'TRANS'!$A:$A,0)),IFERROR(INDEX('Catalog'!$B:$B,MATCH($G769,'Catalog'!$A:$A,0)),$B769))</f>
        <v>28 L סד לאגודל לאחר שבר</v>
      </c>
      <c r="I769" s="8" t="str">
        <f aca="false">IF($G769="","Unmatched","Matched")</f>
        <v>Matched</v>
      </c>
    </row>
    <row r="770" customFormat="false" ht="15" hidden="false" customHeight="false" outlineLevel="0" collapsed="false">
      <c r="A770" s="8" t="s">
        <v>572</v>
      </c>
      <c r="B770" s="8" t="s">
        <v>111</v>
      </c>
      <c r="C770" s="19" t="n">
        <v>10</v>
      </c>
      <c r="D770" s="19" t="n">
        <v>1015.85</v>
      </c>
      <c r="E770" s="19" t="n">
        <v>4</v>
      </c>
      <c r="F770" s="19" t="n">
        <v>412.28</v>
      </c>
      <c r="G770" s="8" t="n">
        <f aca="false">IFERROR(INDEX('TRANS'!$B:$B,MATCH($B770,'TRANS'!$A:$A,0)),IFERROR(INDEX('TRANS'!$B:$B,MATCH(TRIM(SUBSTITUTE($B770,CHAR(160)," ")),'TRANS'!$D:$D,0)),IFERROR(INDEX('Catalog'!$A:$A,MATCH($B770,'Catalog'!$B:$B,0)),IFERROR(INDEX('Catalog'!$A:$A,MATCH(TRIM(SUBSTITUTE($B770,CHAR(160)," ")),'Catalog'!$C:$C,0)),""))))</f>
        <v>4415006</v>
      </c>
      <c r="H770" s="8" t="str">
        <f aca="false">IFERROR(INDEX('TRANS'!$C:$C,MATCH($B770,'TRANS'!$A:$A,0)),IFERROR(INDEX('Catalog'!$B:$B,MATCH($G770,'Catalog'!$A:$A,0)),$B770))</f>
        <v>28 M סד לאגודל לאחר שבר</v>
      </c>
      <c r="I770" s="8" t="str">
        <f aca="false">IF($G770="","Unmatched","Matched")</f>
        <v>Matched</v>
      </c>
    </row>
    <row r="771" customFormat="false" ht="15" hidden="false" customHeight="false" outlineLevel="0" collapsed="false">
      <c r="A771" s="8" t="s">
        <v>572</v>
      </c>
      <c r="B771" s="8" t="s">
        <v>645</v>
      </c>
      <c r="C771" s="19" t="n">
        <v>6</v>
      </c>
      <c r="D771" s="19" t="n">
        <v>618.41</v>
      </c>
      <c r="E771" s="19" t="n">
        <v>3</v>
      </c>
      <c r="F771" s="19" t="n">
        <v>309.21</v>
      </c>
      <c r="G771" s="8" t="n">
        <f aca="false">IFERROR(INDEX('TRANS'!$B:$B,MATCH($B771,'TRANS'!$A:$A,0)),IFERROR(INDEX('TRANS'!$B:$B,MATCH(TRIM(SUBSTITUTE($B771,CHAR(160)," ")),'TRANS'!$D:$D,0)),IFERROR(INDEX('Catalog'!$A:$A,MATCH($B771,'Catalog'!$B:$B,0)),IFERROR(INDEX('Catalog'!$A:$A,MATCH(TRIM(SUBSTITUTE($B771,CHAR(160)," ")),'Catalog'!$C:$C,0)),""))))</f>
        <v>4415007</v>
      </c>
      <c r="H771" s="8" t="str">
        <f aca="false">IFERROR(INDEX('TRANS'!$C:$C,MATCH($B771,'TRANS'!$A:$A,0)),IFERROR(INDEX('Catalog'!$B:$B,MATCH($G771,'Catalog'!$A:$A,0)),$B771))</f>
        <v>28 S סד לאגודל לאחר שבר</v>
      </c>
      <c r="I771" s="8" t="str">
        <f aca="false">IF($G771="","Unmatched","Matched")</f>
        <v>Matched</v>
      </c>
    </row>
    <row r="772" customFormat="false" ht="15" hidden="false" customHeight="false" outlineLevel="0" collapsed="false">
      <c r="A772" s="8" t="s">
        <v>572</v>
      </c>
      <c r="B772" s="8" t="s">
        <v>646</v>
      </c>
      <c r="C772" s="19" t="n">
        <v>2</v>
      </c>
      <c r="D772" s="19" t="n">
        <v>191.27</v>
      </c>
      <c r="E772" s="19" t="n">
        <v>3</v>
      </c>
      <c r="F772" s="19" t="n">
        <v>309.21</v>
      </c>
      <c r="G772" s="8" t="n">
        <f aca="false">IFERROR(INDEX('TRANS'!$B:$B,MATCH($B772,'TRANS'!$A:$A,0)),IFERROR(INDEX('TRANS'!$B:$B,MATCH(TRIM(SUBSTITUTE($B772,CHAR(160)," ")),'TRANS'!$D:$D,0)),IFERROR(INDEX('Catalog'!$A:$A,MATCH($B772,'Catalog'!$B:$B,0)),IFERROR(INDEX('Catalog'!$A:$A,MATCH(TRIM(SUBSTITUTE($B772,CHAR(160)," ")),'Catalog'!$C:$C,0)),""))))</f>
        <v>4415008</v>
      </c>
      <c r="H772" s="8" t="str">
        <f aca="false">IFERROR(INDEX('TRANS'!$C:$C,MATCH($B772,'TRANS'!$A:$A,0)),IFERROR(INDEX('Catalog'!$B:$B,MATCH($G772,'Catalog'!$A:$A,0)),$B772))</f>
        <v>28 XL סד לאגודל לאחר שבר</v>
      </c>
      <c r="I772" s="8" t="str">
        <f aca="false">IF($G772="","Unmatched","Matched")</f>
        <v>Matched</v>
      </c>
    </row>
    <row r="773" customFormat="false" ht="15" hidden="false" customHeight="false" outlineLevel="0" collapsed="false">
      <c r="A773" s="8" t="s">
        <v>572</v>
      </c>
      <c r="B773" s="8" t="s">
        <v>647</v>
      </c>
      <c r="C773" s="19" t="n">
        <v>3</v>
      </c>
      <c r="D773" s="19" t="n">
        <v>212.29</v>
      </c>
      <c r="E773" s="19" t="n">
        <v>11</v>
      </c>
      <c r="F773" s="19" t="n">
        <v>893.06</v>
      </c>
      <c r="G773" s="8" t="n">
        <f aca="false">IFERROR(INDEX('TRANS'!$B:$B,MATCH($B773,'TRANS'!$A:$A,0)),IFERROR(INDEX('TRANS'!$B:$B,MATCH(TRIM(SUBSTITUTE($B773,CHAR(160)," ")),'TRANS'!$D:$D,0)),IFERROR(INDEX('Catalog'!$A:$A,MATCH($B773,'Catalog'!$B:$B,0)),IFERROR(INDEX('Catalog'!$A:$A,MATCH(TRIM(SUBSTITUTE($B773,CHAR(160)," ")),'Catalog'!$C:$C,0)),""))))</f>
        <v>4416002</v>
      </c>
      <c r="H773" s="8" t="str">
        <f aca="false">IFERROR(INDEX('TRANS'!$C:$C,MATCH($B773,'TRANS'!$A:$A,0)),IFERROR(INDEX('Catalog'!$B:$B,MATCH($G773,'Catalog'!$A:$A,0)),$B773))</f>
        <v>307 S עקבים לדורבן-זוג כריות</v>
      </c>
      <c r="I773" s="8" t="str">
        <f aca="false">IF($G773="","Unmatched","Matched")</f>
        <v>Matched</v>
      </c>
    </row>
    <row r="774" customFormat="false" ht="15" hidden="false" customHeight="false" outlineLevel="0" collapsed="false">
      <c r="A774" s="8" t="s">
        <v>572</v>
      </c>
      <c r="B774" s="8" t="s">
        <v>129</v>
      </c>
      <c r="C774" s="19" t="n">
        <v>11</v>
      </c>
      <c r="D774" s="19" t="n">
        <v>805.94</v>
      </c>
      <c r="E774" s="19" t="n">
        <v>4</v>
      </c>
      <c r="F774" s="19" t="n">
        <v>279.99</v>
      </c>
      <c r="G774" s="8" t="n">
        <f aca="false">IFERROR(INDEX('TRANS'!$B:$B,MATCH($B774,'TRANS'!$A:$A,0)),IFERROR(INDEX('TRANS'!$B:$B,MATCH(TRIM(SUBSTITUTE($B774,CHAR(160)," ")),'TRANS'!$D:$D,0)),IFERROR(INDEX('Catalog'!$A:$A,MATCH($B774,'Catalog'!$B:$B,0)),IFERROR(INDEX('Catalog'!$A:$A,MATCH(TRIM(SUBSTITUTE($B774,CHAR(160)," ")),'Catalog'!$C:$C,0)),""))))</f>
        <v>4413347</v>
      </c>
      <c r="H774" s="8" t="str">
        <f aca="false">IFERROR(INDEX('TRANS'!$C:$C,MATCH($B774,'TRANS'!$A:$A,0)),IFERROR(INDEX('Catalog'!$B:$B,MATCH($G774,'Catalog'!$A:$A,0)),$B774))</f>
        <v>322-L מגן קרסול+כרית סילקון</v>
      </c>
      <c r="I774" s="8" t="str">
        <f aca="false">IF($G774="","Unmatched","Matched")</f>
        <v>Matched</v>
      </c>
    </row>
    <row r="775" customFormat="false" ht="15" hidden="false" customHeight="false" outlineLevel="0" collapsed="false">
      <c r="A775" s="8" t="s">
        <v>572</v>
      </c>
      <c r="B775" s="8" t="s">
        <v>475</v>
      </c>
      <c r="C775" s="19" t="n">
        <v>5</v>
      </c>
      <c r="D775" s="19" t="n">
        <v>378</v>
      </c>
      <c r="E775" s="19" t="n">
        <v>7</v>
      </c>
      <c r="F775" s="19" t="n">
        <v>489.98</v>
      </c>
      <c r="G775" s="8" t="n">
        <f aca="false">IFERROR(INDEX('TRANS'!$B:$B,MATCH($B775,'TRANS'!$A:$A,0)),IFERROR(INDEX('TRANS'!$B:$B,MATCH(TRIM(SUBSTITUTE($B775,CHAR(160)," ")),'TRANS'!$D:$D,0)),IFERROR(INDEX('Catalog'!$A:$A,MATCH($B775,'Catalog'!$B:$B,0)),IFERROR(INDEX('Catalog'!$A:$A,MATCH(TRIM(SUBSTITUTE($B775,CHAR(160)," ")),'Catalog'!$C:$C,0)),""))))</f>
        <v>4413337</v>
      </c>
      <c r="H775" s="8" t="str">
        <f aca="false">IFERROR(INDEX('TRANS'!$C:$C,MATCH($B775,'TRANS'!$A:$A,0)),IFERROR(INDEX('Catalog'!$B:$B,MATCH($G775,'Catalog'!$A:$A,0)),$B775))</f>
        <v>322XL מגן קרסול+כרית סילקון</v>
      </c>
      <c r="I775" s="8" t="str">
        <f aca="false">IF($G775="","Unmatched","Matched")</f>
        <v>Matched</v>
      </c>
    </row>
    <row r="776" customFormat="false" ht="15" hidden="false" customHeight="false" outlineLevel="0" collapsed="false">
      <c r="A776" s="8" t="s">
        <v>572</v>
      </c>
      <c r="B776" s="8" t="s">
        <v>648</v>
      </c>
      <c r="C776" s="19" t="n">
        <v>12</v>
      </c>
      <c r="D776" s="19" t="n">
        <v>1130.23</v>
      </c>
      <c r="E776" s="19" t="n">
        <v>7</v>
      </c>
      <c r="F776" s="19" t="n">
        <v>489.98</v>
      </c>
      <c r="G776" s="8" t="str">
        <f aca="false">IFERROR(INDEX('TRANS'!$B:$B,MATCH($B776,'TRANS'!$A:$A,0)),IFERROR(INDEX('TRANS'!$B:$B,MATCH(TRIM(SUBSTITUTE($B776,CHAR(160)," ")),'TRANS'!$D:$D,0)),IFERROR(INDEX('Catalog'!$A:$A,MATCH($B776,'Catalog'!$B:$B,0)),IFERROR(INDEX('Catalog'!$A:$A,MATCH(TRIM(SUBSTITUTE($B776,CHAR(160)," ")),'Catalog'!$C:$C,0)),""))))</f>
        <v/>
      </c>
      <c r="H776" s="8" t="str">
        <f aca="false">IFERROR(INDEX('TRANS'!$C:$C,MATCH($B776,'TRANS'!$A:$A,0)),IFERROR(INDEX('Catalog'!$B:$B,MATCH($G776,'Catalog'!$A:$A,0)),$B776))</f>
        <v>322B M</v>
      </c>
      <c r="I776" s="8" t="str">
        <f aca="false">IF($G776="","Unmatched","Matched")</f>
        <v>Unmatched</v>
      </c>
    </row>
    <row r="777" customFormat="false" ht="15" hidden="false" customHeight="false" outlineLevel="0" collapsed="false">
      <c r="A777" s="8" t="s">
        <v>572</v>
      </c>
      <c r="B777" s="8" t="s">
        <v>476</v>
      </c>
      <c r="C777" s="19" t="n">
        <v>9</v>
      </c>
      <c r="D777" s="19" t="n">
        <v>905.94</v>
      </c>
      <c r="E777" s="19" t="n">
        <v>0</v>
      </c>
      <c r="F777" s="19" t="n">
        <v>0</v>
      </c>
      <c r="G777" s="8" t="n">
        <f aca="false">IFERROR(INDEX('TRANS'!$B:$B,MATCH($B777,'TRANS'!$A:$A,0)),IFERROR(INDEX('TRANS'!$B:$B,MATCH(TRIM(SUBSTITUTE($B777,CHAR(160)," ")),'TRANS'!$D:$D,0)),IFERROR(INDEX('Catalog'!$A:$A,MATCH($B777,'Catalog'!$B:$B,0)),IFERROR(INDEX('Catalog'!$A:$A,MATCH(TRIM(SUBSTITUTE($B777,CHAR(160)," ")),'Catalog'!$C:$C,0)),""))))</f>
        <v>4415019</v>
      </c>
      <c r="H777" s="8" t="str">
        <f aca="false">IFERROR(INDEX('TRANS'!$C:$C,MATCH($B777,'TRANS'!$A:$A,0)),IFERROR(INDEX('Catalog'!$B:$B,MATCH($G777,'Catalog'!$A:$A,0)),$B777))</f>
        <v>333 סד לקרסול עם כריות אויר</v>
      </c>
      <c r="I777" s="8" t="str">
        <f aca="false">IF($G777="","Unmatched","Matched")</f>
        <v>Matched</v>
      </c>
    </row>
    <row r="778" customFormat="false" ht="15" hidden="false" customHeight="false" outlineLevel="0" collapsed="false">
      <c r="A778" s="8" t="s">
        <v>572</v>
      </c>
      <c r="B778" s="8" t="s">
        <v>176</v>
      </c>
      <c r="C778" s="19" t="n">
        <v>18</v>
      </c>
      <c r="D778" s="19" t="n">
        <v>835.6</v>
      </c>
      <c r="E778" s="19" t="n">
        <v>19</v>
      </c>
      <c r="F778" s="19" t="n">
        <v>892.28</v>
      </c>
      <c r="G778" s="8" t="n">
        <f aca="false">IFERROR(INDEX('TRANS'!$B:$B,MATCH($B778,'TRANS'!$A:$A,0)),IFERROR(INDEX('TRANS'!$B:$B,MATCH(TRIM(SUBSTITUTE($B778,CHAR(160)," ")),'TRANS'!$D:$D,0)),IFERROR(INDEX('Catalog'!$A:$A,MATCH($B778,'Catalog'!$B:$B,0)),IFERROR(INDEX('Catalog'!$A:$A,MATCH(TRIM(SUBSTITUTE($B778,CHAR(160)," ")),'Catalog'!$C:$C,0)),""))))</f>
        <v>4413452</v>
      </c>
      <c r="H778" s="8" t="str">
        <f aca="false">IFERROR(INDEX('TRANS'!$C:$C,MATCH($B778,'TRANS'!$A:$A,0)),IFERROR(INDEX('Catalog'!$B:$B,MATCH($G778,'Catalog'!$A:$A,0)),$B778))</f>
        <v>386  מיישר בוניון-האלוקס ולגוס</v>
      </c>
      <c r="I778" s="8" t="str">
        <f aca="false">IF($G778="","Unmatched","Matched")</f>
        <v>Matched</v>
      </c>
    </row>
    <row r="779" customFormat="false" ht="15" hidden="false" customHeight="false" outlineLevel="0" collapsed="false">
      <c r="A779" s="8" t="s">
        <v>572</v>
      </c>
      <c r="B779" s="8" t="s">
        <v>204</v>
      </c>
      <c r="C779" s="19" t="n">
        <v>19</v>
      </c>
      <c r="D779" s="19" t="n">
        <v>1791.61</v>
      </c>
      <c r="E779" s="19" t="n">
        <v>12</v>
      </c>
      <c r="F779" s="19" t="n">
        <v>1135.62</v>
      </c>
      <c r="G779" s="8" t="n">
        <f aca="false">IFERROR(INDEX('TRANS'!$B:$B,MATCH($B779,'TRANS'!$A:$A,0)),IFERROR(INDEX('TRANS'!$B:$B,MATCH(TRIM(SUBSTITUTE($B779,CHAR(160)," ")),'TRANS'!$D:$D,0)),IFERROR(INDEX('Catalog'!$A:$A,MATCH($B779,'Catalog'!$B:$B,0)),IFERROR(INDEX('Catalog'!$A:$A,MATCH(TRIM(SUBSTITUTE($B779,CHAR(160)," ")),'Catalog'!$C:$C,0)),""))))</f>
        <v>4420017</v>
      </c>
      <c r="H779" s="8" t="str">
        <f aca="false">IFERROR(INDEX('TRANS'!$C:$C,MATCH($B779,'TRANS'!$A:$A,0)),IFERROR(INDEX('Catalog'!$B:$B,MATCH($G779,'Catalog'!$A:$A,0)),$B779))</f>
        <v>4022 רצועת """"פיקה""""+כרית</v>
      </c>
      <c r="I779" s="8" t="str">
        <f aca="false">IF($G779="","Unmatched","Matched")</f>
        <v>Matched</v>
      </c>
    </row>
    <row r="780" customFormat="false" ht="15" hidden="false" customHeight="false" outlineLevel="0" collapsed="false">
      <c r="A780" s="8" t="s">
        <v>572</v>
      </c>
      <c r="B780" s="8" t="s">
        <v>370</v>
      </c>
      <c r="C780" s="19" t="n">
        <v>4</v>
      </c>
      <c r="D780" s="19" t="n">
        <v>662.76</v>
      </c>
      <c r="E780" s="19" t="n">
        <v>0</v>
      </c>
      <c r="F780" s="19" t="n">
        <v>0</v>
      </c>
      <c r="G780" s="8" t="str">
        <f aca="false">IFERROR(INDEX('TRANS'!$B:$B,MATCH($B780,'TRANS'!$A:$A,0)),IFERROR(INDEX('TRANS'!$B:$B,MATCH(TRIM(SUBSTITUTE($B780,CHAR(160)," ")),'TRANS'!$D:$D,0)),IFERROR(INDEX('Catalog'!$A:$A,MATCH($B780,'Catalog'!$B:$B,0)),IFERROR(INDEX('Catalog'!$A:$A,MATCH(TRIM(SUBSTITUTE($B780,CHAR(160)," ")),'Catalog'!$C:$C,0)),""))))</f>
        <v/>
      </c>
      <c r="H780" s="8" t="str">
        <f aca="false">IFERROR(INDEX('TRANS'!$C:$C,MATCH($B780,'TRANS'!$A:$A,0)),IFERROR(INDEX('Catalog'!$B:$B,MATCH($G780,'Catalog'!$A:$A,0)),$B780))</f>
        <v>422E XL</v>
      </c>
      <c r="I780" s="8" t="str">
        <f aca="false">IF($G780="","Unmatched","Matched")</f>
        <v>Unmatched</v>
      </c>
    </row>
    <row r="781" customFormat="false" ht="15" hidden="false" customHeight="false" outlineLevel="0" collapsed="false">
      <c r="A781" s="8" t="s">
        <v>572</v>
      </c>
      <c r="B781" s="8" t="s">
        <v>371</v>
      </c>
      <c r="C781" s="19" t="n">
        <v>5</v>
      </c>
      <c r="D781" s="19" t="n">
        <v>941.51</v>
      </c>
      <c r="E781" s="19" t="n">
        <v>1</v>
      </c>
      <c r="F781" s="19" t="n">
        <v>203.38</v>
      </c>
      <c r="G781" s="8" t="str">
        <f aca="false">IFERROR(INDEX('TRANS'!$B:$B,MATCH($B781,'TRANS'!$A:$A,0)),IFERROR(INDEX('TRANS'!$B:$B,MATCH(TRIM(SUBSTITUTE($B781,CHAR(160)," ")),'TRANS'!$D:$D,0)),IFERROR(INDEX('Catalog'!$A:$A,MATCH($B781,'Catalog'!$B:$B,0)),IFERROR(INDEX('Catalog'!$A:$A,MATCH(TRIM(SUBSTITUTE($B781,CHAR(160)," ")),'Catalog'!$C:$C,0)),""))))</f>
        <v/>
      </c>
      <c r="H781" s="8" t="str">
        <f aca="false">IFERROR(INDEX('TRANS'!$C:$C,MATCH($B781,'TRANS'!$A:$A,0)),IFERROR(INDEX('Catalog'!$B:$B,MATCH($G781,'Catalog'!$A:$A,0)),$B781))</f>
        <v>422E XXL</v>
      </c>
      <c r="I781" s="8" t="str">
        <f aca="false">IF($G781="","Unmatched","Matched")</f>
        <v>Unmatched</v>
      </c>
    </row>
    <row r="782" customFormat="false" ht="15" hidden="false" customHeight="false" outlineLevel="0" collapsed="false">
      <c r="A782" s="8" t="s">
        <v>572</v>
      </c>
      <c r="B782" s="8" t="s">
        <v>649</v>
      </c>
      <c r="C782" s="19" t="n">
        <v>5</v>
      </c>
      <c r="D782" s="19" t="n">
        <v>640</v>
      </c>
      <c r="E782" s="19" t="n">
        <v>2</v>
      </c>
      <c r="F782" s="19" t="n">
        <v>406.76</v>
      </c>
      <c r="G782" s="8" t="n">
        <f aca="false">IFERROR(INDEX('TRANS'!$B:$B,MATCH($B782,'TRANS'!$A:$A,0)),IFERROR(INDEX('TRANS'!$B:$B,MATCH(TRIM(SUBSTITUTE($B782,CHAR(160)," ")),'TRANS'!$D:$D,0)),IFERROR(INDEX('Catalog'!$A:$A,MATCH($B782,'Catalog'!$B:$B,0)),IFERROR(INDEX('Catalog'!$A:$A,MATCH(TRIM(SUBSTITUTE($B782,CHAR(160)," ")),'Catalog'!$C:$C,0)),""))))</f>
        <v>4413284</v>
      </c>
      <c r="H782" s="8" t="str">
        <f aca="false">IFERROR(INDEX('TRANS'!$C:$C,MATCH($B782,'TRANS'!$A:$A,0)),IFERROR(INDEX('Catalog'!$B:$B,MATCH($G782,'Catalog'!$A:$A,0)),$B782))</f>
        <v>422E XXXL מגן ברך ארוך עם כרית</v>
      </c>
      <c r="I782" s="8" t="str">
        <f aca="false">IF($G782="","Unmatched","Matched")</f>
        <v>Matched</v>
      </c>
    </row>
    <row r="783" customFormat="false" ht="15" hidden="false" customHeight="false" outlineLevel="0" collapsed="false">
      <c r="A783" s="8" t="s">
        <v>572</v>
      </c>
      <c r="B783" s="8" t="s">
        <v>372</v>
      </c>
      <c r="C783" s="19" t="n">
        <v>0</v>
      </c>
      <c r="D783" s="19" t="n">
        <v>0</v>
      </c>
      <c r="E783" s="19" t="n">
        <v>1</v>
      </c>
      <c r="F783" s="19" t="n">
        <v>203.38</v>
      </c>
      <c r="G783" s="8" t="str">
        <f aca="false">IFERROR(INDEX('TRANS'!$B:$B,MATCH($B783,'TRANS'!$A:$A,0)),IFERROR(INDEX('TRANS'!$B:$B,MATCH(TRIM(SUBSTITUTE($B783,CHAR(160)," ")),'TRANS'!$D:$D,0)),IFERROR(INDEX('Catalog'!$A:$A,MATCH($B783,'Catalog'!$B:$B,0)),IFERROR(INDEX('Catalog'!$A:$A,MATCH(TRIM(SUBSTITUTE($B783,CHAR(160)," ")),'Catalog'!$C:$C,0)),""))))</f>
        <v/>
      </c>
      <c r="H783" s="8" t="str">
        <f aca="false">IFERROR(INDEX('TRANS'!$C:$C,MATCH($B783,'TRANS'!$A:$A,0)),IFERROR(INDEX('Catalog'!$B:$B,MATCH($G783,'Catalog'!$A:$A,0)),$B783))</f>
        <v>422EB L</v>
      </c>
      <c r="I783" s="8" t="str">
        <f aca="false">IF($G783="","Unmatched","Matched")</f>
        <v>Unmatched</v>
      </c>
    </row>
    <row r="784" customFormat="false" ht="15" hidden="false" customHeight="false" outlineLevel="0" collapsed="false">
      <c r="A784" s="8" t="s">
        <v>572</v>
      </c>
      <c r="B784" s="8" t="s">
        <v>373</v>
      </c>
      <c r="C784" s="19" t="n">
        <v>0</v>
      </c>
      <c r="D784" s="19" t="n">
        <v>0</v>
      </c>
      <c r="E784" s="19" t="n">
        <v>1</v>
      </c>
      <c r="F784" s="19" t="n">
        <v>203.38</v>
      </c>
      <c r="G784" s="8" t="str">
        <f aca="false">IFERROR(INDEX('TRANS'!$B:$B,MATCH($B784,'TRANS'!$A:$A,0)),IFERROR(INDEX('TRANS'!$B:$B,MATCH(TRIM(SUBSTITUTE($B784,CHAR(160)," ")),'TRANS'!$D:$D,0)),IFERROR(INDEX('Catalog'!$A:$A,MATCH($B784,'Catalog'!$B:$B,0)),IFERROR(INDEX('Catalog'!$A:$A,MATCH(TRIM(SUBSTITUTE($B784,CHAR(160)," ")),'Catalog'!$C:$C,0)),""))))</f>
        <v/>
      </c>
      <c r="H784" s="8" t="str">
        <f aca="false">IFERROR(INDEX('TRANS'!$C:$C,MATCH($B784,'TRANS'!$A:$A,0)),IFERROR(INDEX('Catalog'!$B:$B,MATCH($G784,'Catalog'!$A:$A,0)),$B784))</f>
        <v>422EB XL</v>
      </c>
      <c r="I784" s="8" t="str">
        <f aca="false">IF($G784="","Unmatched","Matched")</f>
        <v>Unmatched</v>
      </c>
    </row>
    <row r="785" customFormat="false" ht="15" hidden="false" customHeight="false" outlineLevel="0" collapsed="false">
      <c r="A785" s="8" t="s">
        <v>572</v>
      </c>
      <c r="B785" s="8" t="s">
        <v>650</v>
      </c>
      <c r="C785" s="19" t="n">
        <v>1</v>
      </c>
      <c r="D785" s="19" t="n">
        <v>330.88</v>
      </c>
      <c r="E785" s="19" t="n">
        <v>0</v>
      </c>
      <c r="F785" s="19" t="n">
        <v>0</v>
      </c>
      <c r="G785" s="8" t="str">
        <f aca="false">IFERROR(INDEX('TRANS'!$B:$B,MATCH($B785,'TRANS'!$A:$A,0)),IFERROR(INDEX('TRANS'!$B:$B,MATCH(TRIM(SUBSTITUTE($B785,CHAR(160)," ")),'TRANS'!$D:$D,0)),IFERROR(INDEX('Catalog'!$A:$A,MATCH($B785,'Catalog'!$B:$B,0)),IFERROR(INDEX('Catalog'!$A:$A,MATCH(TRIM(SUBSTITUTE($B785,CHAR(160)," ")),'Catalog'!$C:$C,0)),""))))</f>
        <v/>
      </c>
      <c r="H785" s="8" t="str">
        <f aca="false">IFERROR(INDEX('TRANS'!$C:$C,MATCH($B785,'TRANS'!$A:$A,0)),IFERROR(INDEX('Catalog'!$B:$B,MATCH($G785,'Catalog'!$A:$A,0)),$B785))</f>
        <v>422ED L</v>
      </c>
      <c r="I785" s="8" t="str">
        <f aca="false">IF($G785="","Unmatched","Matched")</f>
        <v>Unmatched</v>
      </c>
    </row>
    <row r="786" customFormat="false" ht="15" hidden="false" customHeight="false" outlineLevel="0" collapsed="false">
      <c r="A786" s="8" t="s">
        <v>572</v>
      </c>
      <c r="B786" s="8" t="s">
        <v>651</v>
      </c>
      <c r="C786" s="19" t="n">
        <v>1</v>
      </c>
      <c r="D786" s="19" t="n">
        <v>330.88</v>
      </c>
      <c r="E786" s="19" t="n">
        <v>1</v>
      </c>
      <c r="F786" s="19" t="n">
        <v>330.88</v>
      </c>
      <c r="G786" s="8" t="str">
        <f aca="false">IFERROR(INDEX('TRANS'!$B:$B,MATCH($B786,'TRANS'!$A:$A,0)),IFERROR(INDEX('TRANS'!$B:$B,MATCH(TRIM(SUBSTITUTE($B786,CHAR(160)," ")),'TRANS'!$D:$D,0)),IFERROR(INDEX('Catalog'!$A:$A,MATCH($B786,'Catalog'!$B:$B,0)),IFERROR(INDEX('Catalog'!$A:$A,MATCH(TRIM(SUBSTITUTE($B786,CHAR(160)," ")),'Catalog'!$C:$C,0)),""))))</f>
        <v/>
      </c>
      <c r="H786" s="8" t="str">
        <f aca="false">IFERROR(INDEX('TRANS'!$C:$C,MATCH($B786,'TRANS'!$A:$A,0)),IFERROR(INDEX('Catalog'!$B:$B,MATCH($G786,'Catalog'!$A:$A,0)),$B786))</f>
        <v>422ED XL</v>
      </c>
      <c r="I786" s="8" t="str">
        <f aca="false">IF($G786="","Unmatched","Matched")</f>
        <v>Unmatched</v>
      </c>
    </row>
    <row r="787" customFormat="false" ht="15" hidden="false" customHeight="false" outlineLevel="0" collapsed="false">
      <c r="A787" s="8" t="s">
        <v>572</v>
      </c>
      <c r="B787" s="8" t="s">
        <v>652</v>
      </c>
      <c r="C787" s="19" t="n">
        <v>3</v>
      </c>
      <c r="D787" s="19" t="n">
        <v>285</v>
      </c>
      <c r="E787" s="19" t="n">
        <v>0</v>
      </c>
      <c r="F787" s="19" t="n">
        <v>0</v>
      </c>
      <c r="G787" s="8" t="str">
        <f aca="false">IFERROR(INDEX('TRANS'!$B:$B,MATCH($B787,'TRANS'!$A:$A,0)),IFERROR(INDEX('TRANS'!$B:$B,MATCH(TRIM(SUBSTITUTE($B787,CHAR(160)," ")),'TRANS'!$D:$D,0)),IFERROR(INDEX('Catalog'!$A:$A,MATCH($B787,'Catalog'!$B:$B,0)),IFERROR(INDEX('Catalog'!$A:$A,MATCH(TRIM(SUBSTITUTE($B787,CHAR(160)," ")),'Catalog'!$C:$C,0)),""))))</f>
        <v/>
      </c>
      <c r="H787" s="8" t="str">
        <f aca="false">IFERROR(INDEX('TRANS'!$C:$C,MATCH($B787,'TRANS'!$A:$A,0)),IFERROR(INDEX('Catalog'!$B:$B,MATCH($G787,'Catalog'!$A:$A,0)),$B787))</f>
        <v>422EBU L</v>
      </c>
      <c r="I787" s="8" t="str">
        <f aca="false">IF($G787="","Unmatched","Matched")</f>
        <v>Unmatched</v>
      </c>
    </row>
    <row r="788" customFormat="false" ht="15" hidden="false" customHeight="false" outlineLevel="0" collapsed="false">
      <c r="A788" s="8" t="s">
        <v>572</v>
      </c>
      <c r="B788" s="8" t="s">
        <v>653</v>
      </c>
      <c r="C788" s="19" t="n">
        <v>3</v>
      </c>
      <c r="D788" s="19" t="n">
        <v>285</v>
      </c>
      <c r="E788" s="19" t="n">
        <v>0</v>
      </c>
      <c r="F788" s="19" t="n">
        <v>0</v>
      </c>
      <c r="G788" s="8" t="str">
        <f aca="false">IFERROR(INDEX('TRANS'!$B:$B,MATCH($B788,'TRANS'!$A:$A,0)),IFERROR(INDEX('TRANS'!$B:$B,MATCH(TRIM(SUBSTITUTE($B788,CHAR(160)," ")),'TRANS'!$D:$D,0)),IFERROR(INDEX('Catalog'!$A:$A,MATCH($B788,'Catalog'!$B:$B,0)),IFERROR(INDEX('Catalog'!$A:$A,MATCH(TRIM(SUBSTITUTE($B788,CHAR(160)," ")),'Catalog'!$C:$C,0)),""))))</f>
        <v/>
      </c>
      <c r="H788" s="8" t="str">
        <f aca="false">IFERROR(INDEX('TRANS'!$C:$C,MATCH($B788,'TRANS'!$A:$A,0)),IFERROR(INDEX('Catalog'!$B:$B,MATCH($G788,'Catalog'!$A:$A,0)),$B788))</f>
        <v>422EBU M</v>
      </c>
      <c r="I788" s="8" t="str">
        <f aca="false">IF($G788="","Unmatched","Matched")</f>
        <v>Unmatched</v>
      </c>
    </row>
    <row r="789" customFormat="false" ht="15" hidden="false" customHeight="false" outlineLevel="0" collapsed="false">
      <c r="A789" s="8" t="s">
        <v>572</v>
      </c>
      <c r="B789" s="8" t="s">
        <v>654</v>
      </c>
      <c r="C789" s="19" t="n">
        <v>2</v>
      </c>
      <c r="D789" s="19" t="n">
        <v>190</v>
      </c>
      <c r="E789" s="19" t="n">
        <v>0</v>
      </c>
      <c r="F789" s="19" t="n">
        <v>0</v>
      </c>
      <c r="G789" s="8" t="str">
        <f aca="false">IFERROR(INDEX('TRANS'!$B:$B,MATCH($B789,'TRANS'!$A:$A,0)),IFERROR(INDEX('TRANS'!$B:$B,MATCH(TRIM(SUBSTITUTE($B789,CHAR(160)," ")),'TRANS'!$D:$D,0)),IFERROR(INDEX('Catalog'!$A:$A,MATCH($B789,'Catalog'!$B:$B,0)),IFERROR(INDEX('Catalog'!$A:$A,MATCH(TRIM(SUBSTITUTE($B789,CHAR(160)," ")),'Catalog'!$C:$C,0)),""))))</f>
        <v/>
      </c>
      <c r="H789" s="8" t="str">
        <f aca="false">IFERROR(INDEX('TRANS'!$C:$C,MATCH($B789,'TRANS'!$A:$A,0)),IFERROR(INDEX('Catalog'!$B:$B,MATCH($G789,'Catalog'!$A:$A,0)),$B789))</f>
        <v>422EBU XXL</v>
      </c>
      <c r="I789" s="8" t="str">
        <f aca="false">IF($G789="","Unmatched","Matched")</f>
        <v>Unmatched</v>
      </c>
    </row>
    <row r="790" customFormat="false" ht="15" hidden="false" customHeight="false" outlineLevel="0" collapsed="false">
      <c r="A790" s="8" t="s">
        <v>572</v>
      </c>
      <c r="B790" s="8" t="s">
        <v>655</v>
      </c>
      <c r="C790" s="19" t="n">
        <v>2</v>
      </c>
      <c r="D790" s="19" t="n">
        <v>170</v>
      </c>
      <c r="E790" s="19" t="n">
        <v>0</v>
      </c>
      <c r="F790" s="19" t="n">
        <v>0</v>
      </c>
      <c r="G790" s="8" t="str">
        <f aca="false">IFERROR(INDEX('TRANS'!$B:$B,MATCH($B790,'TRANS'!$A:$A,0)),IFERROR(INDEX('TRANS'!$B:$B,MATCH(TRIM(SUBSTITUTE($B790,CHAR(160)," ")),'TRANS'!$D:$D,0)),IFERROR(INDEX('Catalog'!$A:$A,MATCH($B790,'Catalog'!$B:$B,0)),IFERROR(INDEX('Catalog'!$A:$A,MATCH(TRIM(SUBSTITUTE($B790,CHAR(160)," ")),'Catalog'!$C:$C,0)),""))))</f>
        <v/>
      </c>
      <c r="H790" s="8" t="str">
        <f aca="false">IFERROR(INDEX('TRANS'!$C:$C,MATCH($B790,'TRANS'!$A:$A,0)),IFERROR(INDEX('Catalog'!$B:$B,MATCH($G790,'Catalog'!$A:$A,0)),$B790))</f>
        <v>422EU L</v>
      </c>
      <c r="I790" s="8" t="str">
        <f aca="false">IF($G790="","Unmatched","Matched")</f>
        <v>Unmatched</v>
      </c>
    </row>
    <row r="791" customFormat="false" ht="15" hidden="false" customHeight="false" outlineLevel="0" collapsed="false">
      <c r="A791" s="8" t="s">
        <v>572</v>
      </c>
      <c r="B791" s="8" t="s">
        <v>656</v>
      </c>
      <c r="C791" s="19" t="n">
        <v>8</v>
      </c>
      <c r="D791" s="19" t="n">
        <v>690</v>
      </c>
      <c r="E791" s="19" t="n">
        <v>0</v>
      </c>
      <c r="F791" s="19" t="n">
        <v>0</v>
      </c>
      <c r="G791" s="8" t="str">
        <f aca="false">IFERROR(INDEX('TRANS'!$B:$B,MATCH($B791,'TRANS'!$A:$A,0)),IFERROR(INDEX('TRANS'!$B:$B,MATCH(TRIM(SUBSTITUTE($B791,CHAR(160)," ")),'TRANS'!$D:$D,0)),IFERROR(INDEX('Catalog'!$A:$A,MATCH($B791,'Catalog'!$B:$B,0)),IFERROR(INDEX('Catalog'!$A:$A,MATCH(TRIM(SUBSTITUTE($B791,CHAR(160)," ")),'Catalog'!$C:$C,0)),""))))</f>
        <v/>
      </c>
      <c r="H791" s="8" t="str">
        <f aca="false">IFERROR(INDEX('TRANS'!$C:$C,MATCH($B791,'TRANS'!$A:$A,0)),IFERROR(INDEX('Catalog'!$B:$B,MATCH($G791,'Catalog'!$A:$A,0)),$B791))</f>
        <v>422EU M</v>
      </c>
      <c r="I791" s="8" t="str">
        <f aca="false">IF($G791="","Unmatched","Matched")</f>
        <v>Unmatched</v>
      </c>
    </row>
    <row r="792" customFormat="false" ht="15" hidden="false" customHeight="false" outlineLevel="0" collapsed="false">
      <c r="A792" s="8" t="s">
        <v>572</v>
      </c>
      <c r="B792" s="8" t="s">
        <v>657</v>
      </c>
      <c r="C792" s="19" t="n">
        <v>13</v>
      </c>
      <c r="D792" s="19" t="n">
        <v>1156.02</v>
      </c>
      <c r="E792" s="19" t="n">
        <v>0</v>
      </c>
      <c r="F792" s="19" t="n">
        <v>0</v>
      </c>
      <c r="G792" s="8" t="str">
        <f aca="false">IFERROR(INDEX('TRANS'!$B:$B,MATCH($B792,'TRANS'!$A:$A,0)),IFERROR(INDEX('TRANS'!$B:$B,MATCH(TRIM(SUBSTITUTE($B792,CHAR(160)," ")),'TRANS'!$D:$D,0)),IFERROR(INDEX('Catalog'!$A:$A,MATCH($B792,'Catalog'!$B:$B,0)),IFERROR(INDEX('Catalog'!$A:$A,MATCH(TRIM(SUBSTITUTE($B792,CHAR(160)," ")),'Catalog'!$C:$C,0)),""))))</f>
        <v/>
      </c>
      <c r="H792" s="8" t="str">
        <f aca="false">IFERROR(INDEX('TRANS'!$C:$C,MATCH($B792,'TRANS'!$A:$A,0)),IFERROR(INDEX('Catalog'!$B:$B,MATCH($G792,'Catalog'!$A:$A,0)),$B792))</f>
        <v>422EU XL</v>
      </c>
      <c r="I792" s="8" t="str">
        <f aca="false">IF($G792="","Unmatched","Matched")</f>
        <v>Unmatched</v>
      </c>
    </row>
    <row r="793" customFormat="false" ht="15" hidden="false" customHeight="false" outlineLevel="0" collapsed="false">
      <c r="A793" s="8" t="s">
        <v>572</v>
      </c>
      <c r="B793" s="8" t="s">
        <v>658</v>
      </c>
      <c r="C793" s="19" t="n">
        <v>10</v>
      </c>
      <c r="D793" s="19" t="n">
        <v>864.8</v>
      </c>
      <c r="E793" s="19" t="n">
        <v>0</v>
      </c>
      <c r="F793" s="19" t="n">
        <v>0</v>
      </c>
      <c r="G793" s="8" t="str">
        <f aca="false">IFERROR(INDEX('TRANS'!$B:$B,MATCH($B793,'TRANS'!$A:$A,0)),IFERROR(INDEX('TRANS'!$B:$B,MATCH(TRIM(SUBSTITUTE($B793,CHAR(160)," ")),'TRANS'!$D:$D,0)),IFERROR(INDEX('Catalog'!$A:$A,MATCH($B793,'Catalog'!$B:$B,0)),IFERROR(INDEX('Catalog'!$A:$A,MATCH(TRIM(SUBSTITUTE($B793,CHAR(160)," ")),'Catalog'!$C:$C,0)),""))))</f>
        <v/>
      </c>
      <c r="H793" s="8" t="str">
        <f aca="false">IFERROR(INDEX('TRANS'!$C:$C,MATCH($B793,'TRANS'!$A:$A,0)),IFERROR(INDEX('Catalog'!$B:$B,MATCH($G793,'Catalog'!$A:$A,0)),$B793))</f>
        <v>422EU XXL</v>
      </c>
      <c r="I793" s="8" t="str">
        <f aca="false">IF($G793="","Unmatched","Matched")</f>
        <v>Unmatched</v>
      </c>
    </row>
    <row r="794" customFormat="false" ht="15" hidden="false" customHeight="false" outlineLevel="0" collapsed="false">
      <c r="A794" s="8" t="s">
        <v>572</v>
      </c>
      <c r="B794" s="8" t="s">
        <v>659</v>
      </c>
      <c r="C794" s="19" t="n">
        <v>1</v>
      </c>
      <c r="D794" s="19" t="n">
        <v>118</v>
      </c>
      <c r="E794" s="19" t="n">
        <v>0</v>
      </c>
      <c r="F794" s="19" t="n">
        <v>0</v>
      </c>
      <c r="G794" s="8" t="str">
        <f aca="false">IFERROR(INDEX('TRANS'!$B:$B,MATCH($B794,'TRANS'!$A:$A,0)),IFERROR(INDEX('TRANS'!$B:$B,MATCH(TRIM(SUBSTITUTE($B794,CHAR(160)," ")),'TRANS'!$D:$D,0)),IFERROR(INDEX('Catalog'!$A:$A,MATCH($B794,'Catalog'!$B:$B,0)),IFERROR(INDEX('Catalog'!$A:$A,MATCH(TRIM(SUBSTITUTE($B794,CHAR(160)," ")),'Catalog'!$C:$C,0)),""))))</f>
        <v/>
      </c>
      <c r="H794" s="8" t="str">
        <f aca="false">IFERROR(INDEX('TRANS'!$C:$C,MATCH($B794,'TRANS'!$A:$A,0)),IFERROR(INDEX('Catalog'!$B:$B,MATCH($G794,'Catalog'!$A:$A,0)),$B794))</f>
        <v>422N L</v>
      </c>
      <c r="I794" s="8" t="str">
        <f aca="false">IF($G794="","Unmatched","Matched")</f>
        <v>Unmatched</v>
      </c>
    </row>
    <row r="795" customFormat="false" ht="15" hidden="false" customHeight="false" outlineLevel="0" collapsed="false">
      <c r="A795" s="8" t="s">
        <v>572</v>
      </c>
      <c r="B795" s="8" t="s">
        <v>660</v>
      </c>
      <c r="C795" s="19" t="n">
        <v>1</v>
      </c>
      <c r="D795" s="19" t="n">
        <v>118</v>
      </c>
      <c r="E795" s="19" t="n">
        <v>0</v>
      </c>
      <c r="F795" s="19" t="n">
        <v>0</v>
      </c>
      <c r="G795" s="8" t="str">
        <f aca="false">IFERROR(INDEX('TRANS'!$B:$B,MATCH($B795,'TRANS'!$A:$A,0)),IFERROR(INDEX('TRANS'!$B:$B,MATCH(TRIM(SUBSTITUTE($B795,CHAR(160)," ")),'TRANS'!$D:$D,0)),IFERROR(INDEX('Catalog'!$A:$A,MATCH($B795,'Catalog'!$B:$B,0)),IFERROR(INDEX('Catalog'!$A:$A,MATCH(TRIM(SUBSTITUTE($B795,CHAR(160)," ")),'Catalog'!$C:$C,0)),""))))</f>
        <v/>
      </c>
      <c r="H795" s="8" t="str">
        <f aca="false">IFERROR(INDEX('TRANS'!$C:$C,MATCH($B795,'TRANS'!$A:$A,0)),IFERROR(INDEX('Catalog'!$B:$B,MATCH($G795,'Catalog'!$A:$A,0)),$B795))</f>
        <v>422N S</v>
      </c>
      <c r="I795" s="8" t="str">
        <f aca="false">IF($G795="","Unmatched","Matched")</f>
        <v>Unmatched</v>
      </c>
    </row>
    <row r="796" customFormat="false" ht="15" hidden="false" customHeight="false" outlineLevel="0" collapsed="false">
      <c r="A796" s="8" t="s">
        <v>572</v>
      </c>
      <c r="B796" s="8" t="s">
        <v>661</v>
      </c>
      <c r="C796" s="19" t="n">
        <v>3</v>
      </c>
      <c r="D796" s="19" t="n">
        <v>492.89</v>
      </c>
      <c r="E796" s="19" t="n">
        <v>0</v>
      </c>
      <c r="F796" s="19" t="n">
        <v>0</v>
      </c>
      <c r="G796" s="8" t="str">
        <f aca="false">IFERROR(INDEX('TRANS'!$B:$B,MATCH($B796,'TRANS'!$A:$A,0)),IFERROR(INDEX('TRANS'!$B:$B,MATCH(TRIM(SUBSTITUTE($B796,CHAR(160)," ")),'TRANS'!$D:$D,0)),IFERROR(INDEX('Catalog'!$A:$A,MATCH($B796,'Catalog'!$B:$B,0)),IFERROR(INDEX('Catalog'!$A:$A,MATCH(TRIM(SUBSTITUTE($B796,CHAR(160)," ")),'Catalog'!$C:$C,0)),""))))</f>
        <v/>
      </c>
      <c r="H796" s="8" t="str">
        <f aca="false">IFERROR(INDEX('TRANS'!$C:$C,MATCH($B796,'TRANS'!$A:$A,0)),IFERROR(INDEX('Catalog'!$B:$B,MATCH($G796,'Catalog'!$A:$A,0)),$B796))</f>
        <v>422N XL</v>
      </c>
      <c r="I796" s="8" t="str">
        <f aca="false">IF($G796="","Unmatched","Matched")</f>
        <v>Unmatched</v>
      </c>
    </row>
    <row r="797" customFormat="false" ht="15" hidden="false" customHeight="false" outlineLevel="0" collapsed="false">
      <c r="A797" s="8" t="s">
        <v>572</v>
      </c>
      <c r="B797" s="8" t="s">
        <v>399</v>
      </c>
      <c r="C797" s="19" t="n">
        <v>5</v>
      </c>
      <c r="D797" s="19" t="n">
        <v>675.38</v>
      </c>
      <c r="E797" s="19" t="n">
        <v>5</v>
      </c>
      <c r="F797" s="19" t="n">
        <v>675.38</v>
      </c>
      <c r="G797" s="8" t="n">
        <f aca="false">IFERROR(INDEX('TRANS'!$B:$B,MATCH($B797,'TRANS'!$A:$A,0)),IFERROR(INDEX('TRANS'!$B:$B,MATCH(TRIM(SUBSTITUTE($B797,CHAR(160)," ")),'TRANS'!$D:$D,0)),IFERROR(INDEX('Catalog'!$A:$A,MATCH($B797,'Catalog'!$B:$B,0)),IFERROR(INDEX('Catalog'!$A:$A,MATCH(TRIM(SUBSTITUTE($B797,CHAR(160)," ")),'Catalog'!$C:$C,0)),""))))</f>
        <v>4408082</v>
      </c>
      <c r="H797" s="8" t="str">
        <f aca="false">IFERROR(INDEX('TRANS'!$C:$C,MATCH($B797,'TRANS'!$A:$A,0)),IFERROR(INDEX('Catalog'!$B:$B,MATCH($G797,'Catalog'!$A:$A,0)),$B797))</f>
        <v>59R XL חגורת שבר לצד ימין</v>
      </c>
      <c r="I797" s="8" t="str">
        <f aca="false">IF($G797="","Unmatched","Matched")</f>
        <v>Matched</v>
      </c>
    </row>
    <row r="798" customFormat="false" ht="15" hidden="false" customHeight="false" outlineLevel="0" collapsed="false">
      <c r="A798" s="8" t="s">
        <v>572</v>
      </c>
      <c r="B798" s="8" t="s">
        <v>402</v>
      </c>
      <c r="C798" s="19" t="n">
        <v>23</v>
      </c>
      <c r="D798" s="19" t="n">
        <v>1429.58</v>
      </c>
      <c r="E798" s="19" t="n">
        <v>1</v>
      </c>
      <c r="F798" s="19" t="n">
        <v>66.51</v>
      </c>
      <c r="G798" s="8" t="str">
        <f aca="false">IFERROR(INDEX('TRANS'!$B:$B,MATCH($B798,'TRANS'!$A:$A,0)),IFERROR(INDEX('TRANS'!$B:$B,MATCH(TRIM(SUBSTITUTE($B798,CHAR(160)," ")),'TRANS'!$D:$D,0)),IFERROR(INDEX('Catalog'!$A:$A,MATCH($B798,'Catalog'!$B:$B,0)),IFERROR(INDEX('Catalog'!$A:$A,MATCH(TRIM(SUBSTITUTE($B798,CHAR(160)," ")),'Catalog'!$C:$C,0)),""))))</f>
        <v/>
      </c>
      <c r="H798" s="8" t="str">
        <f aca="false">IFERROR(INDEX('TRANS'!$C:$C,MATCH($B798,'TRANS'!$A:$A,0)),IFERROR(INDEX('Catalog'!$B:$B,MATCH($G798,'Catalog'!$A:$A,0)),$B798))</f>
        <v>63 S</v>
      </c>
      <c r="I798" s="8" t="str">
        <f aca="false">IF($G798="","Unmatched","Matched")</f>
        <v>Unmatched</v>
      </c>
    </row>
    <row r="799" customFormat="false" ht="15" hidden="false" customHeight="false" outlineLevel="0" collapsed="false">
      <c r="A799" s="8" t="s">
        <v>572</v>
      </c>
      <c r="B799" s="8" t="s">
        <v>52</v>
      </c>
      <c r="C799" s="19" t="n">
        <v>9</v>
      </c>
      <c r="D799" s="19" t="n">
        <v>1463.31</v>
      </c>
      <c r="E799" s="19" t="n">
        <v>9</v>
      </c>
      <c r="F799" s="19" t="n">
        <v>1465.16</v>
      </c>
      <c r="G799" s="8" t="n">
        <f aca="false">IFERROR(INDEX('TRANS'!$B:$B,MATCH($B799,'TRANS'!$A:$A,0)),IFERROR(INDEX('TRANS'!$B:$B,MATCH(TRIM(SUBSTITUTE($B799,CHAR(160)," ")),'TRANS'!$D:$D,0)),IFERROR(INDEX('Catalog'!$A:$A,MATCH($B799,'Catalog'!$B:$B,0)),IFERROR(INDEX('Catalog'!$A:$A,MATCH(TRIM(SUBSTITUTE($B799,CHAR(160)," ")),'Catalog'!$C:$C,0)),""))))</f>
        <v>4413127</v>
      </c>
      <c r="H799" s="8" t="str">
        <f aca="false">IFERROR(INDEX('TRANS'!$C:$C,MATCH($B799,'TRANS'!$A:$A,0)),IFERROR(INDEX('Catalog'!$B:$B,MATCH($G799,'Catalog'!$A:$A,0)),$B799))</f>
        <v>75 Lמיישר כתף יציב יישור גב צר</v>
      </c>
      <c r="I799" s="8" t="str">
        <f aca="false">IF($G799="","Unmatched","Matched")</f>
        <v>Matched</v>
      </c>
    </row>
    <row r="800" customFormat="false" ht="15" hidden="false" customHeight="false" outlineLevel="0" collapsed="false">
      <c r="A800" s="8" t="s">
        <v>572</v>
      </c>
      <c r="B800" s="8" t="s">
        <v>53</v>
      </c>
      <c r="C800" s="19" t="n">
        <v>6</v>
      </c>
      <c r="D800" s="19" t="n">
        <v>971.28</v>
      </c>
      <c r="E800" s="19" t="n">
        <v>1</v>
      </c>
      <c r="F800" s="19" t="n">
        <v>153.08</v>
      </c>
      <c r="G800" s="8" t="n">
        <f aca="false">IFERROR(INDEX('TRANS'!$B:$B,MATCH($B800,'TRANS'!$A:$A,0)),IFERROR(INDEX('TRANS'!$B:$B,MATCH(TRIM(SUBSTITUTE($B800,CHAR(160)," ")),'TRANS'!$D:$D,0)),IFERROR(INDEX('Catalog'!$A:$A,MATCH($B800,'Catalog'!$B:$B,0)),IFERROR(INDEX('Catalog'!$A:$A,MATCH(TRIM(SUBSTITUTE($B800,CHAR(160)," ")),'Catalog'!$C:$C,0)),""))))</f>
        <v>4413129</v>
      </c>
      <c r="H800" s="8" t="str">
        <f aca="false">IFERROR(INDEX('TRANS'!$C:$C,MATCH($B800,'TRANS'!$A:$A,0)),IFERROR(INDEX('Catalog'!$B:$B,MATCH($G800,'Catalog'!$A:$A,0)),$B800))</f>
        <v>75 XLמיישר כתף יציב יישור ג.צר</v>
      </c>
      <c r="I800" s="8" t="str">
        <f aca="false">IF($G800="","Unmatched","Matched")</f>
        <v>Matched</v>
      </c>
    </row>
    <row r="801" customFormat="false" ht="15" hidden="false" customHeight="false" outlineLevel="0" collapsed="false">
      <c r="A801" s="8" t="s">
        <v>572</v>
      </c>
      <c r="B801" s="8" t="s">
        <v>233</v>
      </c>
      <c r="C801" s="19" t="n">
        <v>29</v>
      </c>
      <c r="D801" s="19" t="n">
        <v>4424.07</v>
      </c>
      <c r="E801" s="19" t="n">
        <v>19</v>
      </c>
      <c r="F801" s="19" t="n">
        <v>3040.03</v>
      </c>
      <c r="G801" s="8" t="n">
        <f aca="false">IFERROR(INDEX('TRANS'!$B:$B,MATCH($B801,'TRANS'!$A:$A,0)),IFERROR(INDEX('TRANS'!$B:$B,MATCH(TRIM(SUBSTITUTE($B801,CHAR(160)," ")),'TRANS'!$D:$D,0)),IFERROR(INDEX('Catalog'!$A:$A,MATCH($B801,'Catalog'!$B:$B,0)),IFERROR(INDEX('Catalog'!$A:$A,MATCH(TRIM(SUBSTITUTE($B801,CHAR(160)," ")),'Catalog'!$C:$C,0)),""))))</f>
        <v>4413132</v>
      </c>
      <c r="H801" s="8" t="str">
        <f aca="false">IFERROR(INDEX('TRANS'!$C:$C,MATCH($B801,'TRANS'!$A:$A,0)),IFERROR(INDEX('Catalog'!$B:$B,MATCH($G801,'Catalog'!$A:$A,0)),$B801))</f>
        <v>76 Lמיישר כתף יציב יישור רחב</v>
      </c>
      <c r="I801" s="8" t="str">
        <f aca="false">IF($G801="","Unmatched","Matched")</f>
        <v>Matched</v>
      </c>
    </row>
    <row r="802" customFormat="false" ht="15" hidden="false" customHeight="false" outlineLevel="0" collapsed="false">
      <c r="A802" s="8" t="s">
        <v>572</v>
      </c>
      <c r="B802" s="8" t="s">
        <v>662</v>
      </c>
      <c r="C802" s="19" t="n">
        <v>27</v>
      </c>
      <c r="D802" s="19" t="n">
        <v>4176.06</v>
      </c>
      <c r="E802" s="19" t="n">
        <v>22</v>
      </c>
      <c r="F802" s="19" t="n">
        <v>3520.04</v>
      </c>
      <c r="G802" s="8" t="n">
        <f aca="false">IFERROR(INDEX('TRANS'!$B:$B,MATCH($B802,'TRANS'!$A:$A,0)),IFERROR(INDEX('TRANS'!$B:$B,MATCH(TRIM(SUBSTITUTE($B802,CHAR(160)," ")),'TRANS'!$D:$D,0)),IFERROR(INDEX('Catalog'!$A:$A,MATCH($B802,'Catalog'!$B:$B,0)),IFERROR(INDEX('Catalog'!$A:$A,MATCH(TRIM(SUBSTITUTE($B802,CHAR(160)," ")),'Catalog'!$C:$C,0)),""))))</f>
        <v>4413133</v>
      </c>
      <c r="H802" s="8" t="str">
        <f aca="false">IFERROR(INDEX('TRANS'!$C:$C,MATCH($B802,'TRANS'!$A:$A,0)),IFERROR(INDEX('Catalog'!$B:$B,MATCH($G802,'Catalog'!$A:$A,0)),$B802))</f>
        <v>76 Mמיישר כתף יציב,יישור רחב</v>
      </c>
      <c r="I802" s="8" t="str">
        <f aca="false">IF($G802="","Unmatched","Matched")</f>
        <v>Matched</v>
      </c>
    </row>
    <row r="803" customFormat="false" ht="15" hidden="false" customHeight="false" outlineLevel="0" collapsed="false">
      <c r="A803" s="8" t="s">
        <v>572</v>
      </c>
      <c r="B803" s="8" t="s">
        <v>404</v>
      </c>
      <c r="C803" s="19" t="n">
        <v>18</v>
      </c>
      <c r="D803" s="19" t="n">
        <v>2808.04</v>
      </c>
      <c r="E803" s="19" t="n">
        <v>12</v>
      </c>
      <c r="F803" s="19" t="n">
        <v>1920.01</v>
      </c>
      <c r="G803" s="8" t="n">
        <f aca="false">IFERROR(INDEX('TRANS'!$B:$B,MATCH($B803,'TRANS'!$A:$A,0)),IFERROR(INDEX('TRANS'!$B:$B,MATCH(TRIM(SUBSTITUTE($B803,CHAR(160)," ")),'TRANS'!$D:$D,0)),IFERROR(INDEX('Catalog'!$A:$A,MATCH($B803,'Catalog'!$B:$B,0)),IFERROR(INDEX('Catalog'!$A:$A,MATCH(TRIM(SUBSTITUTE($B803,CHAR(160)," ")),'Catalog'!$C:$C,0)),""))))</f>
        <v>4413131</v>
      </c>
      <c r="H803" s="8" t="str">
        <f aca="false">IFERROR(INDEX('TRANS'!$C:$C,MATCH($B803,'TRANS'!$A:$A,0)),IFERROR(INDEX('Catalog'!$B:$B,MATCH($G803,'Catalog'!$A:$A,0)),$B803))</f>
        <v>76 Sמיישר כתף יציב יישור ג.רחב</v>
      </c>
      <c r="I803" s="8" t="str">
        <f aca="false">IF($G803="","Unmatched","Matched")</f>
        <v>Matched</v>
      </c>
    </row>
    <row r="804" customFormat="false" ht="15" hidden="false" customHeight="false" outlineLevel="0" collapsed="false">
      <c r="A804" s="8" t="s">
        <v>572</v>
      </c>
      <c r="B804" s="8" t="s">
        <v>663</v>
      </c>
      <c r="C804" s="19" t="n">
        <v>11</v>
      </c>
      <c r="D804" s="19" t="n">
        <v>1688.02</v>
      </c>
      <c r="E804" s="19" t="n">
        <v>1</v>
      </c>
      <c r="F804" s="19" t="n">
        <v>160.02</v>
      </c>
      <c r="G804" s="8" t="str">
        <f aca="false">IFERROR(INDEX('TRANS'!$B:$B,MATCH($B804,'TRANS'!$A:$A,0)),IFERROR(INDEX('TRANS'!$B:$B,MATCH(TRIM(SUBSTITUTE($B804,CHAR(160)," ")),'TRANS'!$D:$D,0)),IFERROR(INDEX('Catalog'!$A:$A,MATCH($B804,'Catalog'!$B:$B,0)),IFERROR(INDEX('Catalog'!$A:$A,MATCH(TRIM(SUBSTITUTE($B804,CHAR(160)," ")),'Catalog'!$C:$C,0)),""))))</f>
        <v/>
      </c>
      <c r="H804" s="8" t="str">
        <f aca="false">IFERROR(INDEX('TRANS'!$C:$C,MATCH($B804,'TRANS'!$A:$A,0)),IFERROR(INDEX('Catalog'!$B:$B,MATCH($G804,'Catalog'!$A:$A,0)),$B804))</f>
        <v>76 XXL</v>
      </c>
      <c r="I804" s="8" t="str">
        <f aca="false">IF($G804="","Unmatched","Matched")</f>
        <v>Unmatched</v>
      </c>
    </row>
    <row r="805" customFormat="false" ht="15" hidden="false" customHeight="false" outlineLevel="0" collapsed="false">
      <c r="A805" s="8" t="s">
        <v>572</v>
      </c>
      <c r="B805" s="8" t="s">
        <v>418</v>
      </c>
      <c r="C805" s="19" t="n">
        <v>61</v>
      </c>
      <c r="D805" s="19" t="n">
        <v>4079.9</v>
      </c>
      <c r="E805" s="19" t="n">
        <v>19</v>
      </c>
      <c r="F805" s="19" t="n">
        <v>1329.97</v>
      </c>
      <c r="G805" s="8" t="n">
        <f aca="false">IFERROR(INDEX('TRANS'!$B:$B,MATCH($B805,'TRANS'!$A:$A,0)),IFERROR(INDEX('TRANS'!$B:$B,MATCH(TRIM(SUBSTITUTE($B805,CHAR(160)," ")),'TRANS'!$D:$D,0)),IFERROR(INDEX('Catalog'!$A:$A,MATCH($B805,'Catalog'!$B:$B,0)),IFERROR(INDEX('Catalog'!$A:$A,MATCH(TRIM(SUBSTITUTE($B805,CHAR(160)," ")),'Catalog'!$C:$C,0)),""))))</f>
        <v>4413176</v>
      </c>
      <c r="H805" s="8" t="str">
        <f aca="false">IFERROR(INDEX('TRANS'!$C:$C,MATCH($B805,'TRANS'!$A:$A,0)),IFERROR(INDEX('Catalog'!$B:$B,MATCH($G805,'Catalog'!$A:$A,0)),$B805))</f>
        <v>85+ Lמתלה ליד)כיס(+רצועת חיזוק</v>
      </c>
      <c r="I805" s="8" t="str">
        <f aca="false">IF($G805="","Unmatched","Matched")</f>
        <v>Matched</v>
      </c>
    </row>
    <row r="806" customFormat="false" ht="15" hidden="false" customHeight="false" outlineLevel="0" collapsed="false">
      <c r="A806" s="8" t="s">
        <v>572</v>
      </c>
      <c r="B806" s="8" t="s">
        <v>419</v>
      </c>
      <c r="C806" s="19" t="n">
        <v>40</v>
      </c>
      <c r="D806" s="19" t="n">
        <v>2669.88</v>
      </c>
      <c r="E806" s="19" t="n">
        <v>10</v>
      </c>
      <c r="F806" s="19" t="n">
        <v>699.96</v>
      </c>
      <c r="G806" s="8" t="n">
        <f aca="false">IFERROR(INDEX('TRANS'!$B:$B,MATCH($B806,'TRANS'!$A:$A,0)),IFERROR(INDEX('TRANS'!$B:$B,MATCH(TRIM(SUBSTITUTE($B806,CHAR(160)," ")),'TRANS'!$D:$D,0)),IFERROR(INDEX('Catalog'!$A:$A,MATCH($B806,'Catalog'!$B:$B,0)),IFERROR(INDEX('Catalog'!$A:$A,MATCH(TRIM(SUBSTITUTE($B806,CHAR(160)," ")),'Catalog'!$C:$C,0)),""))))</f>
        <v>4413175</v>
      </c>
      <c r="H806" s="8" t="str">
        <f aca="false">IFERROR(INDEX('TRANS'!$C:$C,MATCH($B806,'TRANS'!$A:$A,0)),IFERROR(INDEX('Catalog'!$B:$B,MATCH($G806,'Catalog'!$A:$A,0)),$B806))</f>
        <v>85+ Mמתלה ליד)כיס(+רצועת חיזוק</v>
      </c>
      <c r="I806" s="8" t="str">
        <f aca="false">IF($G806="","Unmatched","Matched")</f>
        <v>Matched</v>
      </c>
    </row>
    <row r="807" customFormat="false" ht="15" hidden="false" customHeight="false" outlineLevel="0" collapsed="false">
      <c r="A807" s="8" t="s">
        <v>572</v>
      </c>
      <c r="B807" s="8" t="s">
        <v>420</v>
      </c>
      <c r="C807" s="19" t="n">
        <v>34</v>
      </c>
      <c r="D807" s="19" t="n">
        <v>2229.96</v>
      </c>
      <c r="E807" s="19" t="n">
        <v>6</v>
      </c>
      <c r="F807" s="19" t="n">
        <v>419.99</v>
      </c>
      <c r="G807" s="8" t="n">
        <f aca="false">IFERROR(INDEX('TRANS'!$B:$B,MATCH($B807,'TRANS'!$A:$A,0)),IFERROR(INDEX('TRANS'!$B:$B,MATCH(TRIM(SUBSTITUTE($B807,CHAR(160)," ")),'TRANS'!$D:$D,0)),IFERROR(INDEX('Catalog'!$A:$A,MATCH($B807,'Catalog'!$B:$B,0)),IFERROR(INDEX('Catalog'!$A:$A,MATCH(TRIM(SUBSTITUTE($B807,CHAR(160)," ")),'Catalog'!$C:$C,0)),""))))</f>
        <v>4413177</v>
      </c>
      <c r="H807" s="8" t="str">
        <f aca="false">IFERROR(INDEX('TRANS'!$C:$C,MATCH($B807,'TRANS'!$A:$A,0)),IFERROR(INDEX('Catalog'!$B:$B,MATCH($G807,'Catalog'!$A:$A,0)),$B807))</f>
        <v>85+ XLמתלה ליד)כיס(רצועת חיזוק</v>
      </c>
      <c r="I807" s="8" t="str">
        <f aca="false">IF($G807="","Unmatched","Matched")</f>
        <v>Matched</v>
      </c>
    </row>
    <row r="808" customFormat="false" ht="15" hidden="false" customHeight="false" outlineLevel="0" collapsed="false">
      <c r="A808" s="8" t="s">
        <v>572</v>
      </c>
      <c r="B808" s="8" t="s">
        <v>664</v>
      </c>
      <c r="C808" s="19" t="n">
        <v>13</v>
      </c>
      <c r="D808" s="19" t="n">
        <v>637</v>
      </c>
      <c r="E808" s="19" t="n">
        <v>16</v>
      </c>
      <c r="F808" s="19" t="n">
        <v>783.96</v>
      </c>
      <c r="G808" s="8" t="n">
        <f aca="false">IFERROR(INDEX('TRANS'!$B:$B,MATCH($B808,'TRANS'!$A:$A,0)),IFERROR(INDEX('TRANS'!$B:$B,MATCH(TRIM(SUBSTITUTE($B808,CHAR(160)," ")),'TRANS'!$D:$D,0)),IFERROR(INDEX('Catalog'!$A:$A,MATCH($B808,'Catalog'!$B:$B,0)),IFERROR(INDEX('Catalog'!$A:$A,MATCH(TRIM(SUBSTITUTE($B808,CHAR(160)," ")),'Catalog'!$C:$C,0)),""))))</f>
        <v>4413137</v>
      </c>
      <c r="H808" s="8" t="str">
        <f aca="false">IFERROR(INDEX('TRANS'!$C:$C,MATCH($B808,'TRANS'!$A:$A,0)),IFERROR(INDEX('Catalog'!$B:$B,MATCH($G808,'Catalog'!$A:$A,0)),$B808))</f>
        <v>85 S (מתלה ליד )כיס</v>
      </c>
      <c r="I808" s="8" t="str">
        <f aca="false">IF($G808="","Unmatched","Matched")</f>
        <v>Matched</v>
      </c>
    </row>
    <row r="809" customFormat="false" ht="15" hidden="false" customHeight="false" outlineLevel="0" collapsed="false">
      <c r="A809" s="8" t="s">
        <v>572</v>
      </c>
      <c r="B809" s="8" t="s">
        <v>424</v>
      </c>
      <c r="C809" s="19" t="n">
        <v>19</v>
      </c>
      <c r="D809" s="19" t="n">
        <v>1274.41</v>
      </c>
      <c r="E809" s="19" t="n">
        <v>21</v>
      </c>
      <c r="F809" s="19" t="n">
        <v>1365.05</v>
      </c>
      <c r="G809" s="8" t="n">
        <f aca="false">IFERROR(INDEX('TRANS'!$B:$B,MATCH($B809,'TRANS'!$A:$A,0)),IFERROR(INDEX('TRANS'!$B:$B,MATCH(TRIM(SUBSTITUTE($B809,CHAR(160)," ")),'TRANS'!$D:$D,0)),IFERROR(INDEX('Catalog'!$A:$A,MATCH($B809,'Catalog'!$B:$B,0)),IFERROR(INDEX('Catalog'!$A:$A,MATCH(TRIM(SUBSTITUTE($B809,CHAR(160)," ")),'Catalog'!$C:$C,0)),""))))</f>
        <v>4408266</v>
      </c>
      <c r="H809" s="8" t="str">
        <f aca="false">IFERROR(INDEX('TRANS'!$C:$C,MATCH($B809,'TRANS'!$A:$A,0)),IFERROR(INDEX('Catalog'!$B:$B,MATCH($G809,'Catalog'!$A:$A,0)),$B809))</f>
        <v>91B חבק טניס אלבו</v>
      </c>
      <c r="I809" s="8" t="str">
        <f aca="false">IF($G809="","Unmatched","Matched")</f>
        <v>Matched</v>
      </c>
    </row>
    <row r="810" customFormat="false" ht="15" hidden="false" customHeight="false" outlineLevel="0" collapsed="false">
      <c r="A810" s="8" t="s">
        <v>572</v>
      </c>
      <c r="B810" s="8" t="s">
        <v>425</v>
      </c>
      <c r="C810" s="19" t="n">
        <v>8</v>
      </c>
      <c r="D810" s="19" t="n">
        <v>703.92</v>
      </c>
      <c r="E810" s="19" t="n">
        <v>2</v>
      </c>
      <c r="F810" s="19" t="n">
        <v>180</v>
      </c>
      <c r="G810" s="8" t="n">
        <f aca="false">IFERROR(INDEX('TRANS'!$B:$B,MATCH($B810,'TRANS'!$A:$A,0)),IFERROR(INDEX('TRANS'!$B:$B,MATCH(TRIM(SUBSTITUTE($B810,CHAR(160)," ")),'TRANS'!$D:$D,0)),IFERROR(INDEX('Catalog'!$A:$A,MATCH($B810,'Catalog'!$B:$B,0)),IFERROR(INDEX('Catalog'!$A:$A,MATCH(TRIM(SUBSTITUTE($B810,CHAR(160)," ")),'Catalog'!$C:$C,0)),""))))</f>
        <v>4408084</v>
      </c>
      <c r="H810" s="8" t="str">
        <f aca="false">IFERROR(INDEX('TRANS'!$C:$C,MATCH($B810,'TRANS'!$A:$A,0)),IFERROR(INDEX('Catalog'!$B:$B,MATCH($G810,'Catalog'!$A:$A,0)),$B810))</f>
        <v>922L.חבק יד לטניס כרית סיליק</v>
      </c>
      <c r="I810" s="8" t="str">
        <f aca="false">IF($G810="","Unmatched","Matched")</f>
        <v>Matched</v>
      </c>
    </row>
    <row r="811" customFormat="false" ht="15" hidden="false" customHeight="false" outlineLevel="0" collapsed="false">
      <c r="A811" s="8" t="s">
        <v>572</v>
      </c>
      <c r="B811" s="8" t="s">
        <v>665</v>
      </c>
      <c r="C811" s="19" t="n">
        <v>3</v>
      </c>
      <c r="D811" s="19" t="n">
        <v>255.92</v>
      </c>
      <c r="E811" s="19" t="n">
        <v>1</v>
      </c>
      <c r="F811" s="19" t="n">
        <v>90</v>
      </c>
      <c r="G811" s="8" t="str">
        <f aca="false">IFERROR(INDEX('TRANS'!$B:$B,MATCH($B811,'TRANS'!$A:$A,0)),IFERROR(INDEX('TRANS'!$B:$B,MATCH(TRIM(SUBSTITUTE($B811,CHAR(160)," ")),'TRANS'!$D:$D,0)),IFERROR(INDEX('Catalog'!$A:$A,MATCH($B811,'Catalog'!$B:$B,0)),IFERROR(INDEX('Catalog'!$A:$A,MATCH(TRIM(SUBSTITUTE($B811,CHAR(160)," ")),'Catalog'!$C:$C,0)),""))))</f>
        <v/>
      </c>
      <c r="H811" s="8" t="str">
        <f aca="false">IFERROR(INDEX('TRANS'!$C:$C,MATCH($B811,'TRANS'!$A:$A,0)),IFERROR(INDEX('Catalog'!$B:$B,MATCH($G811,'Catalog'!$A:$A,0)),$B811))</f>
        <v>922 M</v>
      </c>
      <c r="I811" s="8" t="str">
        <f aca="false">IF($G811="","Unmatched","Matched")</f>
        <v>Unmatched</v>
      </c>
    </row>
    <row r="812" customFormat="false" ht="15" hidden="false" customHeight="false" outlineLevel="0" collapsed="false">
      <c r="A812" s="8" t="s">
        <v>572</v>
      </c>
      <c r="B812" s="8" t="s">
        <v>666</v>
      </c>
      <c r="C812" s="19" t="n">
        <v>3</v>
      </c>
      <c r="D812" s="19" t="n">
        <v>268</v>
      </c>
      <c r="E812" s="19" t="n">
        <v>0</v>
      </c>
      <c r="F812" s="19" t="n">
        <v>0</v>
      </c>
      <c r="G812" s="8" t="str">
        <f aca="false">IFERROR(INDEX('TRANS'!$B:$B,MATCH($B812,'TRANS'!$A:$A,0)),IFERROR(INDEX('TRANS'!$B:$B,MATCH(TRIM(SUBSTITUTE($B812,CHAR(160)," ")),'TRANS'!$D:$D,0)),IFERROR(INDEX('Catalog'!$A:$A,MATCH($B812,'Catalog'!$B:$B,0)),IFERROR(INDEX('Catalog'!$A:$A,MATCH(TRIM(SUBSTITUTE($B812,CHAR(160)," ")),'Catalog'!$C:$C,0)),""))))</f>
        <v/>
      </c>
      <c r="H812" s="8" t="str">
        <f aca="false">IFERROR(INDEX('TRANS'!$C:$C,MATCH($B812,'TRANS'!$A:$A,0)),IFERROR(INDEX('Catalog'!$B:$B,MATCH($G812,'Catalog'!$A:$A,0)),$B812))</f>
        <v>922 S</v>
      </c>
      <c r="I812" s="8" t="str">
        <f aca="false">IF($G812="","Unmatched","Matched")</f>
        <v>Unmatched</v>
      </c>
    </row>
    <row r="813" customFormat="false" ht="15" hidden="false" customHeight="false" outlineLevel="0" collapsed="false">
      <c r="A813" s="8" t="s">
        <v>572</v>
      </c>
      <c r="B813" s="8" t="s">
        <v>426</v>
      </c>
      <c r="C813" s="19" t="n">
        <v>8</v>
      </c>
      <c r="D813" s="19" t="n">
        <v>717</v>
      </c>
      <c r="E813" s="19" t="n">
        <v>6</v>
      </c>
      <c r="F813" s="19" t="n">
        <v>540</v>
      </c>
      <c r="G813" s="8" t="n">
        <f aca="false">IFERROR(INDEX('TRANS'!$B:$B,MATCH($B813,'TRANS'!$A:$A,0)),IFERROR(INDEX('TRANS'!$B:$B,MATCH(TRIM(SUBSTITUTE($B813,CHAR(160)," ")),'TRANS'!$D:$D,0)),IFERROR(INDEX('Catalog'!$A:$A,MATCH($B813,'Catalog'!$B:$B,0)),IFERROR(INDEX('Catalog'!$A:$A,MATCH(TRIM(SUBSTITUTE($B813,CHAR(160)," ")),'Catalog'!$C:$C,0)),""))))</f>
        <v>4408087</v>
      </c>
      <c r="H813" s="8" t="str">
        <f aca="false">IFERROR(INDEX('TRANS'!$C:$C,MATCH($B813,'TRANS'!$A:$A,0)),IFERROR(INDEX('Catalog'!$B:$B,MATCH($G813,'Catalog'!$A:$A,0)),$B813))</f>
        <v>922XLחבק יד לטניס כרית סיליק</v>
      </c>
      <c r="I813" s="8" t="str">
        <f aca="false">IF($G813="","Unmatched","Matched")</f>
        <v>Matched</v>
      </c>
    </row>
    <row r="814" customFormat="false" ht="15" hidden="false" customHeight="false" outlineLevel="0" collapsed="false">
      <c r="A814" s="8" t="s">
        <v>572</v>
      </c>
      <c r="B814" s="8" t="s">
        <v>667</v>
      </c>
      <c r="C814" s="19" t="n">
        <v>3</v>
      </c>
      <c r="D814" s="19" t="n">
        <v>267</v>
      </c>
      <c r="E814" s="19" t="n">
        <v>0</v>
      </c>
      <c r="F814" s="19" t="n">
        <v>0</v>
      </c>
      <c r="G814" s="8" t="str">
        <f aca="false">IFERROR(INDEX('TRANS'!$B:$B,MATCH($B814,'TRANS'!$A:$A,0)),IFERROR(INDEX('TRANS'!$B:$B,MATCH(TRIM(SUBSTITUTE($B814,CHAR(160)," ")),'TRANS'!$D:$D,0)),IFERROR(INDEX('Catalog'!$A:$A,MATCH($B814,'Catalog'!$B:$B,0)),IFERROR(INDEX('Catalog'!$A:$A,MATCH(TRIM(SUBSTITUTE($B814,CHAR(160)," ")),'Catalog'!$C:$C,0)),""))))</f>
        <v/>
      </c>
      <c r="H814" s="8" t="str">
        <f aca="false">IFERROR(INDEX('TRANS'!$C:$C,MATCH($B814,'TRANS'!$A:$A,0)),IFERROR(INDEX('Catalog'!$B:$B,MATCH($G814,'Catalog'!$A:$A,0)),$B814))</f>
        <v>922 XXL</v>
      </c>
      <c r="I814" s="8" t="str">
        <f aca="false">IF($G814="","Unmatched","Matched")</f>
        <v>Unmatched</v>
      </c>
    </row>
    <row r="815" customFormat="false" ht="15" hidden="false" customHeight="false" outlineLevel="0" collapsed="false">
      <c r="A815" s="8" t="s">
        <v>572</v>
      </c>
      <c r="B815" s="8" t="s">
        <v>261</v>
      </c>
      <c r="C815" s="19" t="n">
        <v>5</v>
      </c>
      <c r="D815" s="19" t="n">
        <v>142.56</v>
      </c>
      <c r="E815" s="19" t="n">
        <v>6</v>
      </c>
      <c r="F815" s="19" t="n">
        <v>185.36</v>
      </c>
      <c r="G815" s="8" t="n">
        <f aca="false">IFERROR(INDEX('TRANS'!$B:$B,MATCH($B815,'TRANS'!$A:$A,0)),IFERROR(INDEX('TRANS'!$B:$B,MATCH(TRIM(SUBSTITUTE($B815,CHAR(160)," ")),'TRANS'!$D:$D,0)),IFERROR(INDEX('Catalog'!$A:$A,MATCH($B815,'Catalog'!$B:$B,0)),IFERROR(INDEX('Catalog'!$A:$A,MATCH(TRIM(SUBSTITUTE($B815,CHAR(160)," ")),'Catalog'!$C:$C,0)),""))))</f>
        <v>4413500</v>
      </c>
      <c r="H815" s="8" t="str">
        <f aca="false">IFERROR(INDEX('TRANS'!$C:$C,MATCH($B815,'TRANS'!$A:$A,0)),IFERROR(INDEX('Catalog'!$B:$B,MATCH($G815,'Catalog'!$A:$A,0)),$B815))</f>
        <v>95B L מגן מרפק שחור</v>
      </c>
      <c r="I815" s="8" t="str">
        <f aca="false">IF($G815="","Unmatched","Matched")</f>
        <v>Matched</v>
      </c>
    </row>
    <row r="816" customFormat="false" ht="15" hidden="false" customHeight="false" outlineLevel="0" collapsed="false">
      <c r="A816" s="8" t="s">
        <v>572</v>
      </c>
      <c r="B816" s="8" t="s">
        <v>264</v>
      </c>
      <c r="C816" s="19" t="n">
        <v>8</v>
      </c>
      <c r="D816" s="19" t="n">
        <v>211.46</v>
      </c>
      <c r="E816" s="19" t="n">
        <v>2</v>
      </c>
      <c r="F816" s="19" t="n">
        <v>61.78</v>
      </c>
      <c r="G816" s="8" t="n">
        <f aca="false">IFERROR(INDEX('TRANS'!$B:$B,MATCH($B816,'TRANS'!$A:$A,0)),IFERROR(INDEX('TRANS'!$B:$B,MATCH(TRIM(SUBSTITUTE($B816,CHAR(160)," ")),'TRANS'!$D:$D,0)),IFERROR(INDEX('Catalog'!$A:$A,MATCH($B816,'Catalog'!$B:$B,0)),IFERROR(INDEX('Catalog'!$A:$A,MATCH(TRIM(SUBSTITUTE($B816,CHAR(160)," ")),'Catalog'!$C:$C,0)),""))))</f>
        <v>4413503</v>
      </c>
      <c r="H816" s="8" t="str">
        <f aca="false">IFERROR(INDEX('TRANS'!$C:$C,MATCH($B816,'TRANS'!$A:$A,0)),IFERROR(INDEX('Catalog'!$B:$B,MATCH($G816,'Catalog'!$A:$A,0)),$B816))</f>
        <v>95B XL מגן מרפק שחור</v>
      </c>
      <c r="I816" s="8" t="str">
        <f aca="false">IF($G816="","Unmatched","Matched")</f>
        <v>Matched</v>
      </c>
    </row>
    <row r="817" customFormat="false" ht="15" hidden="false" customHeight="false" outlineLevel="0" collapsed="false">
      <c r="A817" s="8" t="s">
        <v>572</v>
      </c>
      <c r="B817" s="8" t="s">
        <v>554</v>
      </c>
      <c r="C817" s="19" t="n">
        <v>6</v>
      </c>
      <c r="D817" s="19" t="n">
        <v>365.6</v>
      </c>
      <c r="E817" s="19" t="n">
        <v>2</v>
      </c>
      <c r="F817" s="19" t="n">
        <v>123.64</v>
      </c>
      <c r="G817" s="8" t="n">
        <f aca="false">IFERROR(INDEX('TRANS'!$B:$B,MATCH($B817,'TRANS'!$A:$A,0)),IFERROR(INDEX('TRANS'!$B:$B,MATCH(TRIM(SUBSTITUTE($B817,CHAR(160)," ")),'TRANS'!$D:$D,0)),IFERROR(INDEX('Catalog'!$A:$A,MATCH($B817,'Catalog'!$B:$B,0)),IFERROR(INDEX('Catalog'!$A:$A,MATCH(TRIM(SUBSTITUTE($B817,CHAR(160)," ")),'Catalog'!$C:$C,0)),""))))</f>
        <v>4413330</v>
      </c>
      <c r="H817" s="8" t="str">
        <f aca="false">IFERROR(INDEX('TRANS'!$C:$C,MATCH($B817,'TRANS'!$A:$A,0)),IFERROR(INDEX('Catalog'!$B:$B,MATCH($G817,'Catalog'!$A:$A,0)),$B817))</f>
        <v>AC49 מגן ירך</v>
      </c>
      <c r="I817" s="8" t="str">
        <f aca="false">IF($G817="","Unmatched","Matched")</f>
        <v>Matched</v>
      </c>
    </row>
    <row r="818" customFormat="false" ht="15" hidden="false" customHeight="false" outlineLevel="0" collapsed="false">
      <c r="A818" s="8" t="s">
        <v>572</v>
      </c>
      <c r="B818" s="8" t="s">
        <v>436</v>
      </c>
      <c r="C818" s="19" t="n">
        <v>13</v>
      </c>
      <c r="D818" s="19" t="n">
        <v>1827.43</v>
      </c>
      <c r="E818" s="19" t="n">
        <v>1</v>
      </c>
      <c r="F818" s="19" t="n">
        <v>140.57</v>
      </c>
      <c r="G818" s="8" t="n">
        <f aca="false">IFERROR(INDEX('TRANS'!$B:$B,MATCH($B818,'TRANS'!$A:$A,0)),IFERROR(INDEX('TRANS'!$B:$B,MATCH(TRIM(SUBSTITUTE($B818,CHAR(160)," ")),'TRANS'!$D:$D,0)),IFERROR(INDEX('Catalog'!$A:$A,MATCH($B818,'Catalog'!$B:$B,0)),IFERROR(INDEX('Catalog'!$A:$A,MATCH(TRIM(SUBSTITUTE($B818,CHAR(160)," ")),'Catalog'!$C:$C,0)),""))))</f>
        <v>4413440</v>
      </c>
      <c r="H818" s="8" t="str">
        <f aca="false">IFERROR(INDEX('TRANS'!$C:$C,MATCH($B818,'TRANS'!$A:$A,0)),IFERROR(INDEX('Catalog'!$B:$B,MATCH($G818,'Catalog'!$A:$A,0)),$B818))</f>
        <v>SC422  L מגן ברך</v>
      </c>
      <c r="I818" s="8" t="str">
        <f aca="false">IF($G818="","Unmatched","Matched")</f>
        <v>Matched</v>
      </c>
    </row>
    <row r="819" customFormat="false" ht="15" hidden="false" customHeight="false" outlineLevel="0" collapsed="false">
      <c r="A819" s="8" t="s">
        <v>572</v>
      </c>
      <c r="B819" s="8" t="s">
        <v>438</v>
      </c>
      <c r="C819" s="19" t="n">
        <v>12</v>
      </c>
      <c r="D819" s="19" t="n">
        <v>1686.86</v>
      </c>
      <c r="E819" s="19" t="n">
        <v>1</v>
      </c>
      <c r="F819" s="19" t="n">
        <v>140.57</v>
      </c>
      <c r="G819" s="8" t="n">
        <f aca="false">IFERROR(INDEX('TRANS'!$B:$B,MATCH($B819,'TRANS'!$A:$A,0)),IFERROR(INDEX('TRANS'!$B:$B,MATCH(TRIM(SUBSTITUTE($B819,CHAR(160)," ")),'TRANS'!$D:$D,0)),IFERROR(INDEX('Catalog'!$A:$A,MATCH($B819,'Catalog'!$B:$B,0)),IFERROR(INDEX('Catalog'!$A:$A,MATCH(TRIM(SUBSTITUTE($B819,CHAR(160)," ")),'Catalog'!$C:$C,0)),""))))</f>
        <v>4413441</v>
      </c>
      <c r="H819" s="8" t="str">
        <f aca="false">IFERROR(INDEX('TRANS'!$C:$C,MATCH($B819,'TRANS'!$A:$A,0)),IFERROR(INDEX('Catalog'!$B:$B,MATCH($G819,'Catalog'!$A:$A,0)),$B819))</f>
        <v>SC422 XL מגן ברך</v>
      </c>
      <c r="I819" s="8" t="str">
        <f aca="false">IF($G819="","Unmatched","Matched")</f>
        <v>Matched</v>
      </c>
    </row>
    <row r="820" customFormat="false" ht="15" hidden="false" customHeight="false" outlineLevel="0" collapsed="false">
      <c r="A820" s="8" t="s">
        <v>572</v>
      </c>
      <c r="B820" s="8" t="s">
        <v>307</v>
      </c>
      <c r="C820" s="19" t="n">
        <v>0</v>
      </c>
      <c r="D820" s="19" t="n">
        <v>0</v>
      </c>
      <c r="E820" s="19" t="n">
        <v>21</v>
      </c>
      <c r="F820" s="19" t="n">
        <v>1468.02</v>
      </c>
      <c r="G820" s="8" t="n">
        <f aca="false">IFERROR(INDEX('TRANS'!$B:$B,MATCH($B820,'TRANS'!$A:$A,0)),IFERROR(INDEX('TRANS'!$B:$B,MATCH(TRIM(SUBSTITUTE($B820,CHAR(160)," ")),'TRANS'!$D:$D,0)),IFERROR(INDEX('Catalog'!$A:$A,MATCH($B820,'Catalog'!$B:$B,0)),IFERROR(INDEX('Catalog'!$A:$A,MATCH(TRIM(SUBSTITUTE($B820,CHAR(160)," ")),'Catalog'!$C:$C,0)),""))))</f>
        <v>4413534</v>
      </c>
      <c r="H820" s="8" t="str">
        <f aca="false">IFERROR(INDEX('TRANS'!$C:$C,MATCH($B820,'TRANS'!$A:$A,0)),IFERROR(INDEX('Catalog'!$B:$B,MATCH($G820,'Catalog'!$A:$A,0)),$B820))</f>
        <v>SH333 מקבע קרסול</v>
      </c>
      <c r="I820" s="8" t="str">
        <f aca="false">IF($G820="","Unmatched","Matched")</f>
        <v>Matched</v>
      </c>
    </row>
    <row r="821" customFormat="false" ht="15" hidden="false" customHeight="false" outlineLevel="0" collapsed="false">
      <c r="A821" s="8" t="s">
        <v>572</v>
      </c>
      <c r="B821" s="8" t="s">
        <v>525</v>
      </c>
      <c r="C821" s="19" t="n">
        <v>29</v>
      </c>
      <c r="D821" s="19" t="n">
        <v>1560.48</v>
      </c>
      <c r="E821" s="19" t="n">
        <v>18</v>
      </c>
      <c r="F821" s="19" t="n">
        <v>2160</v>
      </c>
      <c r="G821" s="8" t="n">
        <f aca="false">IFERROR(INDEX('TRANS'!$B:$B,MATCH($B821,'TRANS'!$A:$A,0)),IFERROR(INDEX('TRANS'!$B:$B,MATCH(TRIM(SUBSTITUTE($B821,CHAR(160)," ")),'TRANS'!$D:$D,0)),IFERROR(INDEX('Catalog'!$A:$A,MATCH($B821,'Catalog'!$B:$B,0)),IFERROR(INDEX('Catalog'!$A:$A,MATCH(TRIM(SUBSTITUTE($B821,CHAR(160)," ")),'Catalog'!$C:$C,0)),""))))</f>
        <v>4422042</v>
      </c>
      <c r="H821" s="8" t="str">
        <f aca="false">IFERROR(INDEX('TRANS'!$C:$C,MATCH($B821,'TRANS'!$A:$A,0)),IFERROR(INDEX('Catalog'!$B:$B,MATCH($G821,'Catalog'!$A:$A,0)),$B821))</f>
        <v>SH422 6 תומך ברך גנושילד</v>
      </c>
      <c r="I821" s="8" t="str">
        <f aca="false">IF($G821="","Unmatched","Matched")</f>
        <v>Matched</v>
      </c>
    </row>
    <row r="822" customFormat="false" ht="15" hidden="false" customHeight="false" outlineLevel="0" collapsed="false">
      <c r="A822" s="8" t="s">
        <v>572</v>
      </c>
      <c r="B822" s="8" t="s">
        <v>668</v>
      </c>
      <c r="C822" s="19" t="n">
        <v>5</v>
      </c>
      <c r="D822" s="19" t="n">
        <v>348.59</v>
      </c>
      <c r="E822" s="19" t="n">
        <v>7</v>
      </c>
      <c r="F822" s="19" t="n">
        <v>482.45</v>
      </c>
      <c r="G822" s="8" t="n">
        <f aca="false">IFERROR(INDEX('TRANS'!$B:$B,MATCH($B822,'TRANS'!$A:$A,0)),IFERROR(INDEX('TRANS'!$B:$B,MATCH(TRIM(SUBSTITUTE($B822,CHAR(160)," ")),'TRANS'!$D:$D,0)),IFERROR(INDEX('Catalog'!$A:$A,MATCH($B822,'Catalog'!$B:$B,0)),IFERROR(INDEX('Catalog'!$A:$A,MATCH(TRIM(SUBSTITUTE($B822,CHAR(160)," ")),'Catalog'!$C:$C,0)),""))))</f>
        <v>4415073</v>
      </c>
      <c r="H822" s="8" t="str">
        <f aca="false">IFERROR(INDEX('TRANS'!$C:$C,MATCH($B822,'TRANS'!$A:$A,0)),IFERROR(INDEX('Catalog'!$B:$B,MATCH($G822,'Catalog'!$A:$A,0)),$B822))</f>
        <v>T28A L-XL סד לאגודל</v>
      </c>
      <c r="I822" s="8" t="str">
        <f aca="false">IF($G822="","Unmatched","Matched")</f>
        <v>Matched</v>
      </c>
    </row>
    <row r="823" customFormat="false" ht="15" hidden="false" customHeight="false" outlineLevel="0" collapsed="false">
      <c r="A823" s="8" t="s">
        <v>572</v>
      </c>
      <c r="B823" s="8" t="s">
        <v>570</v>
      </c>
      <c r="C823" s="19" t="n">
        <v>7</v>
      </c>
      <c r="D823" s="19" t="n">
        <v>480.99</v>
      </c>
      <c r="E823" s="19" t="n">
        <v>4</v>
      </c>
      <c r="F823" s="19" t="n">
        <v>281.04</v>
      </c>
      <c r="G823" s="8" t="n">
        <f aca="false">IFERROR(INDEX('TRANS'!$B:$B,MATCH($B823,'TRANS'!$A:$A,0)),IFERROR(INDEX('TRANS'!$B:$B,MATCH(TRIM(SUBSTITUTE($B823,CHAR(160)," ")),'TRANS'!$D:$D,0)),IFERROR(INDEX('Catalog'!$A:$A,MATCH($B823,'Catalog'!$B:$B,0)),IFERROR(INDEX('Catalog'!$A:$A,MATCH(TRIM(SUBSTITUTE($B823,CHAR(160)," ")),'Catalog'!$C:$C,0)),""))))</f>
        <v>4415072</v>
      </c>
      <c r="H823" s="8" t="str">
        <f aca="false">IFERROR(INDEX('TRANS'!$C:$C,MATCH($B823,'TRANS'!$A:$A,0)),IFERROR(INDEX('Catalog'!$B:$B,MATCH($G823,'Catalog'!$A:$A,0)),$B823))</f>
        <v>T28A S-M סד לאגודל</v>
      </c>
      <c r="I823" s="8" t="str">
        <f aca="false">IF($G823="","Unmatched","Matched")</f>
        <v>Matched</v>
      </c>
    </row>
    <row r="824" customFormat="false" ht="15" hidden="false" customHeight="false" outlineLevel="0" collapsed="false">
      <c r="A824" s="8" t="s">
        <v>572</v>
      </c>
      <c r="B824" s="8" t="s">
        <v>669</v>
      </c>
      <c r="C824" s="19" t="n">
        <v>1</v>
      </c>
      <c r="D824" s="19" t="n">
        <v>70.26</v>
      </c>
      <c r="E824" s="19" t="n">
        <v>1</v>
      </c>
      <c r="F824" s="19" t="n">
        <v>70.26</v>
      </c>
      <c r="G824" s="8" t="str">
        <f aca="false">IFERROR(INDEX('TRANS'!$B:$B,MATCH($B824,'TRANS'!$A:$A,0)),IFERROR(INDEX('TRANS'!$B:$B,MATCH(TRIM(SUBSTITUTE($B824,CHAR(160)," ")),'TRANS'!$D:$D,0)),IFERROR(INDEX('Catalog'!$A:$A,MATCH($B824,'Catalog'!$B:$B,0)),IFERROR(INDEX('Catalog'!$A:$A,MATCH(TRIM(SUBSTITUTE($B824,CHAR(160)," ")),'Catalog'!$C:$C,0)),""))))</f>
        <v/>
      </c>
      <c r="H824" s="8" t="str">
        <f aca="false">IFERROR(INDEX('TRANS'!$C:$C,MATCH($B824,'TRANS'!$A:$A,0)),IFERROR(INDEX('Catalog'!$B:$B,MATCH($G824,'Catalog'!$A:$A,0)),$B824))</f>
        <v>T28AC XXL</v>
      </c>
      <c r="I824" s="8" t="str">
        <f aca="false">IF($G824="","Unmatched","Matched")</f>
        <v>Unmatched</v>
      </c>
    </row>
    <row r="825" customFormat="false" ht="15" hidden="false" customHeight="false" outlineLevel="0" collapsed="false">
      <c r="A825" s="8" t="s">
        <v>572</v>
      </c>
      <c r="B825" s="8" t="s">
        <v>670</v>
      </c>
      <c r="C825" s="19" t="n">
        <v>8</v>
      </c>
      <c r="D825" s="19" t="n">
        <v>904.99</v>
      </c>
      <c r="E825" s="19" t="n">
        <v>2</v>
      </c>
      <c r="F825" s="19" t="n">
        <v>229.99</v>
      </c>
      <c r="G825" s="8" t="str">
        <f aca="false">IFERROR(INDEX('TRANS'!$B:$B,MATCH($B825,'TRANS'!$A:$A,0)),IFERROR(INDEX('TRANS'!$B:$B,MATCH(TRIM(SUBSTITUTE($B825,CHAR(160)," ")),'TRANS'!$D:$D,0)),IFERROR(INDEX('Catalog'!$A:$A,MATCH($B825,'Catalog'!$B:$B,0)),IFERROR(INDEX('Catalog'!$A:$A,MATCH(TRIM(SUBSTITUTE($B825,CHAR(160)," ")),'Catalog'!$C:$C,0)),""))))</f>
        <v/>
      </c>
      <c r="H825" s="8" t="str">
        <f aca="false">IFERROR(INDEX('TRANS'!$C:$C,MATCH($B825,'TRANS'!$A:$A,0)),IFERROR(INDEX('Catalog'!$B:$B,MATCH($G825,'Catalog'!$A:$A,0)),$B825))</f>
        <v>T33 L</v>
      </c>
      <c r="I825" s="8" t="str">
        <f aca="false">IF($G825="","Unmatched","Matched")</f>
        <v>Unmatched</v>
      </c>
    </row>
    <row r="826" customFormat="false" ht="15" hidden="false" customHeight="false" outlineLevel="0" collapsed="false">
      <c r="A826" s="8" t="s">
        <v>572</v>
      </c>
      <c r="B826" s="8" t="s">
        <v>323</v>
      </c>
      <c r="C826" s="19" t="n">
        <v>6</v>
      </c>
      <c r="D826" s="19" t="n">
        <v>684.99</v>
      </c>
      <c r="E826" s="19" t="n">
        <v>1</v>
      </c>
      <c r="F826" s="19" t="n">
        <v>115</v>
      </c>
      <c r="G826" s="8" t="str">
        <f aca="false">IFERROR(INDEX('TRANS'!$B:$B,MATCH($B826,'TRANS'!$A:$A,0)),IFERROR(INDEX('TRANS'!$B:$B,MATCH(TRIM(SUBSTITUTE($B826,CHAR(160)," ")),'TRANS'!$D:$D,0)),IFERROR(INDEX('Catalog'!$A:$A,MATCH($B826,'Catalog'!$B:$B,0)),IFERROR(INDEX('Catalog'!$A:$A,MATCH(TRIM(SUBSTITUTE($B826,CHAR(160)," ")),'Catalog'!$C:$C,0)),""))))</f>
        <v/>
      </c>
      <c r="H826" s="8" t="str">
        <f aca="false">IFERROR(INDEX('TRANS'!$C:$C,MATCH($B826,'TRANS'!$A:$A,0)),IFERROR(INDEX('Catalog'!$B:$B,MATCH($G826,'Catalog'!$A:$A,0)),$B826))</f>
        <v>T33 XL</v>
      </c>
      <c r="I826" s="8" t="str">
        <f aca="false">IF($G826="","Unmatched","Matched")</f>
        <v>Unmatched</v>
      </c>
    </row>
    <row r="827" customFormat="false" ht="15" hidden="false" customHeight="false" outlineLevel="0" collapsed="false">
      <c r="A827" s="8" t="s">
        <v>572</v>
      </c>
      <c r="B827" s="8" t="s">
        <v>671</v>
      </c>
      <c r="C827" s="19" t="n">
        <v>4</v>
      </c>
      <c r="D827" s="19" t="n">
        <v>454.99</v>
      </c>
      <c r="E827" s="19" t="n">
        <v>0</v>
      </c>
      <c r="F827" s="19" t="n">
        <v>0</v>
      </c>
      <c r="G827" s="8" t="str">
        <f aca="false">IFERROR(INDEX('TRANS'!$B:$B,MATCH($B827,'TRANS'!$A:$A,0)),IFERROR(INDEX('TRANS'!$B:$B,MATCH(TRIM(SUBSTITUTE($B827,CHAR(160)," ")),'TRANS'!$D:$D,0)),IFERROR(INDEX('Catalog'!$A:$A,MATCH($B827,'Catalog'!$B:$B,0)),IFERROR(INDEX('Catalog'!$A:$A,MATCH(TRIM(SUBSTITUTE($B827,CHAR(160)," ")),'Catalog'!$C:$C,0)),""))))</f>
        <v/>
      </c>
      <c r="H827" s="8" t="str">
        <f aca="false">IFERROR(INDEX('TRANS'!$C:$C,MATCH($B827,'TRANS'!$A:$A,0)),IFERROR(INDEX('Catalog'!$B:$B,MATCH($G827,'Catalog'!$A:$A,0)),$B827))</f>
        <v>T33 XXL</v>
      </c>
      <c r="I827" s="8" t="str">
        <f aca="false">IF($G827="","Unmatched","Matched")</f>
        <v>Unmatched</v>
      </c>
    </row>
    <row r="828" customFormat="false" ht="15" hidden="false" customHeight="false" outlineLevel="0" collapsed="false">
      <c r="A828" s="8" t="s">
        <v>572</v>
      </c>
      <c r="B828" s="8" t="s">
        <v>672</v>
      </c>
      <c r="C828" s="19" t="n">
        <v>9</v>
      </c>
      <c r="D828" s="19" t="n">
        <v>966.04</v>
      </c>
      <c r="E828" s="19" t="n">
        <v>5</v>
      </c>
      <c r="F828" s="19" t="n">
        <v>538.8</v>
      </c>
      <c r="G828" s="8" t="str">
        <f aca="false">IFERROR(INDEX('TRANS'!$B:$B,MATCH($B828,'TRANS'!$A:$A,0)),IFERROR(INDEX('TRANS'!$B:$B,MATCH(TRIM(SUBSTITUTE($B828,CHAR(160)," ")),'TRANS'!$D:$D,0)),IFERROR(INDEX('Catalog'!$A:$A,MATCH($B828,'Catalog'!$B:$B,0)),IFERROR(INDEX('Catalog'!$A:$A,MATCH(TRIM(SUBSTITUTE($B828,CHAR(160)," ")),'Catalog'!$C:$C,0)),""))))</f>
        <v/>
      </c>
      <c r="H828" s="8" t="str">
        <f aca="false">IFERROR(INDEX('TRANS'!$C:$C,MATCH($B828,'TRANS'!$A:$A,0)),IFERROR(INDEX('Catalog'!$B:$B,MATCH($G828,'Catalog'!$A:$A,0)),$B828))</f>
        <v>T39 L</v>
      </c>
      <c r="I828" s="8" t="str">
        <f aca="false">IF($G828="","Unmatched","Matched")</f>
        <v>Unmatched</v>
      </c>
    </row>
    <row r="829" customFormat="false" ht="15" hidden="false" customHeight="false" outlineLevel="0" collapsed="false">
      <c r="A829" s="8" t="s">
        <v>572</v>
      </c>
      <c r="B829" s="8" t="s">
        <v>444</v>
      </c>
      <c r="C829" s="19" t="n">
        <v>8</v>
      </c>
      <c r="D829" s="19" t="n">
        <v>854.45</v>
      </c>
      <c r="E829" s="19" t="n">
        <v>4</v>
      </c>
      <c r="F829" s="19" t="n">
        <v>431.04</v>
      </c>
      <c r="G829" s="8" t="str">
        <f aca="false">IFERROR(INDEX('TRANS'!$B:$B,MATCH($B829,'TRANS'!$A:$A,0)),IFERROR(INDEX('TRANS'!$B:$B,MATCH(TRIM(SUBSTITUTE($B829,CHAR(160)," ")),'TRANS'!$D:$D,0)),IFERROR(INDEX('Catalog'!$A:$A,MATCH($B829,'Catalog'!$B:$B,0)),IFERROR(INDEX('Catalog'!$A:$A,MATCH(TRIM(SUBSTITUTE($B829,CHAR(160)," ")),'Catalog'!$C:$C,0)),""))))</f>
        <v/>
      </c>
      <c r="H829" s="8" t="str">
        <f aca="false">IFERROR(INDEX('TRANS'!$C:$C,MATCH($B829,'TRANS'!$A:$A,0)),IFERROR(INDEX('Catalog'!$B:$B,MATCH($G829,'Catalog'!$A:$A,0)),$B829))</f>
        <v>T39 M</v>
      </c>
      <c r="I829" s="8" t="str">
        <f aca="false">IF($G829="","Unmatched","Matched")</f>
        <v>Unmatched</v>
      </c>
    </row>
    <row r="830" customFormat="false" ht="15" hidden="false" customHeight="false" outlineLevel="0" collapsed="false">
      <c r="A830" s="8" t="s">
        <v>572</v>
      </c>
      <c r="B830" s="8" t="s">
        <v>544</v>
      </c>
      <c r="C830" s="19" t="n">
        <v>0</v>
      </c>
      <c r="D830" s="19" t="n">
        <v>0</v>
      </c>
      <c r="E830" s="19" t="n">
        <v>1</v>
      </c>
      <c r="F830" s="19" t="n">
        <v>85.26</v>
      </c>
      <c r="G830" s="8" t="str">
        <f aca="false">IFERROR(INDEX('TRANS'!$B:$B,MATCH($B830,'TRANS'!$A:$A,0)),IFERROR(INDEX('TRANS'!$B:$B,MATCH(TRIM(SUBSTITUTE($B830,CHAR(160)," ")),'TRANS'!$D:$D,0)),IFERROR(INDEX('Catalog'!$A:$A,MATCH($B830,'Catalog'!$B:$B,0)),IFERROR(INDEX('Catalog'!$A:$A,MATCH(TRIM(SUBSTITUTE($B830,CHAR(160)," ")),'Catalog'!$C:$C,0)),""))))</f>
        <v/>
      </c>
      <c r="H830" s="8" t="str">
        <f aca="false">IFERROR(INDEX('TRANS'!$C:$C,MATCH($B830,'TRANS'!$A:$A,0)),IFERROR(INDEX('Catalog'!$B:$B,MATCH($G830,'Catalog'!$A:$A,0)),$B830))</f>
        <v>T40B 0</v>
      </c>
      <c r="I830" s="8" t="str">
        <f aca="false">IF($G830="","Unmatched","Matched")</f>
        <v>Unmatched</v>
      </c>
    </row>
    <row r="831" customFormat="false" ht="15" hidden="false" customHeight="false" outlineLevel="0" collapsed="false">
      <c r="A831" s="8" t="s">
        <v>572</v>
      </c>
      <c r="B831" s="8" t="s">
        <v>673</v>
      </c>
      <c r="C831" s="19" t="n">
        <v>1</v>
      </c>
      <c r="D831" s="19" t="n">
        <v>105.42</v>
      </c>
      <c r="E831" s="19" t="n">
        <v>1</v>
      </c>
      <c r="F831" s="19" t="n">
        <v>105.42</v>
      </c>
      <c r="G831" s="8" t="n">
        <f aca="false">IFERROR(INDEX('TRANS'!$B:$B,MATCH($B831,'TRANS'!$A:$A,0)),IFERROR(INDEX('TRANS'!$B:$B,MATCH(TRIM(SUBSTITUTE($B831,CHAR(160)," ")),'TRANS'!$D:$D,0)),IFERROR(INDEX('Catalog'!$A:$A,MATCH($B831,'Catalog'!$B:$B,0)),IFERROR(INDEX('Catalog'!$A:$A,MATCH(TRIM(SUBSTITUTE($B831,CHAR(160)," ")),'Catalog'!$C:$C,0)),""))))</f>
        <v>4413184</v>
      </c>
      <c r="H831" s="8" t="str">
        <f aca="false">IFERROR(INDEX('TRANS'!$C:$C,MATCH($B831,'TRANS'!$A:$A,0)),IFERROR(INDEX('Catalog'!$B:$B,MATCH($G831,'Catalog'!$A:$A,0)),$B831))</f>
        <v>T 45 L מגן ברך רגיל</v>
      </c>
      <c r="I831" s="8" t="str">
        <f aca="false">IF($G831="","Unmatched","Matched")</f>
        <v>Matched</v>
      </c>
    </row>
    <row r="832" customFormat="false" ht="15" hidden="false" customHeight="false" outlineLevel="0" collapsed="false">
      <c r="A832" s="8" t="s">
        <v>572</v>
      </c>
      <c r="B832" s="8" t="s">
        <v>329</v>
      </c>
      <c r="C832" s="19" t="n">
        <v>0</v>
      </c>
      <c r="D832" s="19" t="n">
        <v>0</v>
      </c>
      <c r="E832" s="19" t="n">
        <v>5</v>
      </c>
      <c r="F832" s="19" t="n">
        <v>527.1</v>
      </c>
      <c r="G832" s="8" t="n">
        <f aca="false">IFERROR(INDEX('TRANS'!$B:$B,MATCH($B832,'TRANS'!$A:$A,0)),IFERROR(INDEX('TRANS'!$B:$B,MATCH(TRIM(SUBSTITUTE($B832,CHAR(160)," ")),'TRANS'!$D:$D,0)),IFERROR(INDEX('Catalog'!$A:$A,MATCH($B832,'Catalog'!$B:$B,0)),IFERROR(INDEX('Catalog'!$A:$A,MATCH(TRIM(SUBSTITUTE($B832,CHAR(160)," ")),'Catalog'!$C:$C,0)),""))))</f>
        <v>4413183</v>
      </c>
      <c r="H832" s="8" t="str">
        <f aca="false">IFERROR(INDEX('TRANS'!$C:$C,MATCH($B832,'TRANS'!$A:$A,0)),IFERROR(INDEX('Catalog'!$B:$B,MATCH($G832,'Catalog'!$A:$A,0)),$B832))</f>
        <v>T 45 M מגן ברך רגיל</v>
      </c>
      <c r="I832" s="8" t="str">
        <f aca="false">IF($G832="","Unmatched","Matched")</f>
        <v>Matched</v>
      </c>
    </row>
    <row r="833" customFormat="false" ht="15" hidden="false" customHeight="false" outlineLevel="0" collapsed="false">
      <c r="A833" s="8" t="s">
        <v>572</v>
      </c>
      <c r="B833" s="8" t="s">
        <v>674</v>
      </c>
      <c r="C833" s="19" t="n">
        <v>0</v>
      </c>
      <c r="D833" s="19" t="n">
        <v>0</v>
      </c>
      <c r="E833" s="19" t="n">
        <v>1</v>
      </c>
      <c r="F833" s="19" t="n">
        <v>105.42</v>
      </c>
      <c r="G833" s="8" t="n">
        <f aca="false">IFERROR(INDEX('TRANS'!$B:$B,MATCH($B833,'TRANS'!$A:$A,0)),IFERROR(INDEX('TRANS'!$B:$B,MATCH(TRIM(SUBSTITUTE($B833,CHAR(160)," ")),'TRANS'!$D:$D,0)),IFERROR(INDEX('Catalog'!$A:$A,MATCH($B833,'Catalog'!$B:$B,0)),IFERROR(INDEX('Catalog'!$A:$A,MATCH(TRIM(SUBSTITUTE($B833,CHAR(160)," ")),'Catalog'!$C:$C,0)),""))))</f>
        <v>4413185</v>
      </c>
      <c r="H833" s="8" t="str">
        <f aca="false">IFERROR(INDEX('TRANS'!$C:$C,MATCH($B833,'TRANS'!$A:$A,0)),IFERROR(INDEX('Catalog'!$B:$B,MATCH($G833,'Catalog'!$A:$A,0)),$B833))</f>
        <v>T 45XL מגן ברך רגיל</v>
      </c>
      <c r="I833" s="8" t="str">
        <f aca="false">IF($G833="","Unmatched","Matched")</f>
        <v>Matched</v>
      </c>
    </row>
    <row r="834" customFormat="false" ht="15" hidden="false" customHeight="false" outlineLevel="0" collapsed="false">
      <c r="A834" s="8" t="s">
        <v>572</v>
      </c>
      <c r="B834" s="8" t="s">
        <v>447</v>
      </c>
      <c r="C834" s="19" t="n">
        <v>0</v>
      </c>
      <c r="D834" s="19" t="n">
        <v>0</v>
      </c>
      <c r="E834" s="19" t="n">
        <v>3</v>
      </c>
      <c r="F834" s="19" t="n">
        <v>240</v>
      </c>
      <c r="G834" s="8" t="str">
        <f aca="false">IFERROR(INDEX('TRANS'!$B:$B,MATCH($B834,'TRANS'!$A:$A,0)),IFERROR(INDEX('TRANS'!$B:$B,MATCH(TRIM(SUBSTITUTE($B834,CHAR(160)," ")),'TRANS'!$D:$D,0)),IFERROR(INDEX('Catalog'!$A:$A,MATCH($B834,'Catalog'!$B:$B,0)),IFERROR(INDEX('Catalog'!$A:$A,MATCH(TRIM(SUBSTITUTE($B834,CHAR(160)," ")),'Catalog'!$C:$C,0)),""))))</f>
        <v/>
      </c>
      <c r="H834" s="8" t="str">
        <f aca="false">IFERROR(INDEX('TRANS'!$C:$C,MATCH($B834,'TRANS'!$A:$A,0)),IFERROR(INDEX('Catalog'!$B:$B,MATCH($G834,'Catalog'!$A:$A,0)),$B834))</f>
        <v>T45X L</v>
      </c>
      <c r="I834" s="8" t="str">
        <f aca="false">IF($G834="","Unmatched","Matched")</f>
        <v>Unmatched</v>
      </c>
    </row>
    <row r="835" customFormat="false" ht="15" hidden="false" customHeight="false" outlineLevel="0" collapsed="false">
      <c r="A835" s="8" t="s">
        <v>572</v>
      </c>
      <c r="B835" s="8" t="s">
        <v>448</v>
      </c>
      <c r="C835" s="19" t="n">
        <v>0</v>
      </c>
      <c r="D835" s="19" t="n">
        <v>0</v>
      </c>
      <c r="E835" s="19" t="n">
        <v>2</v>
      </c>
      <c r="F835" s="19" t="n">
        <v>160.01</v>
      </c>
      <c r="G835" s="8" t="str">
        <f aca="false">IFERROR(INDEX('TRANS'!$B:$B,MATCH($B835,'TRANS'!$A:$A,0)),IFERROR(INDEX('TRANS'!$B:$B,MATCH(TRIM(SUBSTITUTE($B835,CHAR(160)," ")),'TRANS'!$D:$D,0)),IFERROR(INDEX('Catalog'!$A:$A,MATCH($B835,'Catalog'!$B:$B,0)),IFERROR(INDEX('Catalog'!$A:$A,MATCH(TRIM(SUBSTITUTE($B835,CHAR(160)," ")),'Catalog'!$C:$C,0)),""))))</f>
        <v/>
      </c>
      <c r="H835" s="8" t="str">
        <f aca="false">IFERROR(INDEX('TRANS'!$C:$C,MATCH($B835,'TRANS'!$A:$A,0)),IFERROR(INDEX('Catalog'!$B:$B,MATCH($G835,'Catalog'!$A:$A,0)),$B835))</f>
        <v>T45X M</v>
      </c>
      <c r="I835" s="8" t="str">
        <f aca="false">IF($G835="","Unmatched","Matched")</f>
        <v>Unmatched</v>
      </c>
    </row>
    <row r="836" customFormat="false" ht="15" hidden="false" customHeight="false" outlineLevel="0" collapsed="false">
      <c r="A836" s="8" t="s">
        <v>572</v>
      </c>
      <c r="B836" s="8" t="s">
        <v>559</v>
      </c>
      <c r="C836" s="19" t="n">
        <v>0</v>
      </c>
      <c r="D836" s="19" t="n">
        <v>0</v>
      </c>
      <c r="E836" s="19" t="n">
        <v>1</v>
      </c>
      <c r="F836" s="19" t="n">
        <v>80</v>
      </c>
      <c r="G836" s="8" t="n">
        <f aca="false">IFERROR(INDEX('TRANS'!$B:$B,MATCH($B836,'TRANS'!$A:$A,0)),IFERROR(INDEX('TRANS'!$B:$B,MATCH(TRIM(SUBSTITUTE($B836,CHAR(160)," ")),'TRANS'!$D:$D,0)),IFERROR(INDEX('Catalog'!$A:$A,MATCH($B836,'Catalog'!$B:$B,0)),IFERROR(INDEX('Catalog'!$A:$A,MATCH(TRIM(SUBSTITUTE($B836,CHAR(160)," ")),'Catalog'!$C:$C,0)),""))))</f>
        <v>4413224</v>
      </c>
      <c r="H836" s="8" t="str">
        <f aca="false">IFERROR(INDEX('TRANS'!$C:$C,MATCH($B836,'TRANS'!$A:$A,0)),IFERROR(INDEX('Catalog'!$B:$B,MATCH($G836,'Catalog'!$A:$A,0)),$B836))</f>
        <v>T45X XL מגן ברך רגיל</v>
      </c>
      <c r="I836" s="8" t="str">
        <f aca="false">IF($G836="","Unmatched","Matched")</f>
        <v>Matched</v>
      </c>
    </row>
    <row r="837" customFormat="false" ht="15" hidden="false" customHeight="false" outlineLevel="0" collapsed="false">
      <c r="A837" s="8" t="s">
        <v>572</v>
      </c>
      <c r="B837" s="8" t="s">
        <v>450</v>
      </c>
      <c r="C837" s="19" t="n">
        <v>0</v>
      </c>
      <c r="D837" s="19" t="n">
        <v>0</v>
      </c>
      <c r="E837" s="19" t="n">
        <v>1</v>
      </c>
      <c r="F837" s="19" t="n">
        <v>80</v>
      </c>
      <c r="G837" s="8" t="n">
        <f aca="false">IFERROR(INDEX('TRANS'!$B:$B,MATCH($B837,'TRANS'!$A:$A,0)),IFERROR(INDEX('TRANS'!$B:$B,MATCH(TRIM(SUBSTITUTE($B837,CHAR(160)," ")),'TRANS'!$D:$D,0)),IFERROR(INDEX('Catalog'!$A:$A,MATCH($B837,'Catalog'!$B:$B,0)),IFERROR(INDEX('Catalog'!$A:$A,MATCH(TRIM(SUBSTITUTE($B837,CHAR(160)," ")),'Catalog'!$C:$C,0)),""))))</f>
        <v>4413260</v>
      </c>
      <c r="H837" s="8" t="str">
        <f aca="false">IFERROR(INDEX('TRANS'!$C:$C,MATCH($B837,'TRANS'!$A:$A,0)),IFERROR(INDEX('Catalog'!$B:$B,MATCH($G837,'Catalog'!$A:$A,0)),$B837))</f>
        <v>T45X-XXLמגן ברך רגיל</v>
      </c>
      <c r="I837" s="8" t="str">
        <f aca="false">IF($G837="","Unmatched","Matched")</f>
        <v>Matched</v>
      </c>
    </row>
    <row r="838" customFormat="false" ht="15" hidden="false" customHeight="false" outlineLevel="0" collapsed="false">
      <c r="A838" s="8" t="s">
        <v>572</v>
      </c>
      <c r="B838" s="8" t="s">
        <v>675</v>
      </c>
      <c r="C838" s="19" t="n">
        <v>10</v>
      </c>
      <c r="D838" s="19" t="n">
        <v>1296</v>
      </c>
      <c r="E838" s="19" t="n">
        <v>1</v>
      </c>
      <c r="F838" s="19" t="n">
        <v>130</v>
      </c>
      <c r="G838" s="8" t="str">
        <f aca="false">IFERROR(INDEX('TRANS'!$B:$B,MATCH($B838,'TRANS'!$A:$A,0)),IFERROR(INDEX('TRANS'!$B:$B,MATCH(TRIM(SUBSTITUTE($B838,CHAR(160)," ")),'TRANS'!$D:$D,0)),IFERROR(INDEX('Catalog'!$A:$A,MATCH($B838,'Catalog'!$B:$B,0)),IFERROR(INDEX('Catalog'!$A:$A,MATCH(TRIM(SUBSTITUTE($B838,CHAR(160)," ")),'Catalog'!$C:$C,0)),""))))</f>
        <v/>
      </c>
      <c r="H838" s="8" t="str">
        <f aca="false">IFERROR(INDEX('TRANS'!$C:$C,MATCH($B838,'TRANS'!$A:$A,0)),IFERROR(INDEX('Catalog'!$B:$B,MATCH($G838,'Catalog'!$A:$A,0)),$B838))</f>
        <v>T78 XS</v>
      </c>
      <c r="I838" s="8" t="str">
        <f aca="false">IF($G838="","Unmatched","Matched")</f>
        <v>Unmatched</v>
      </c>
    </row>
    <row r="839" customFormat="false" ht="15" hidden="false" customHeight="false" outlineLevel="0" collapsed="false">
      <c r="A839" s="8" t="s">
        <v>572</v>
      </c>
      <c r="B839" s="8" t="s">
        <v>676</v>
      </c>
      <c r="C839" s="19" t="n">
        <v>1</v>
      </c>
      <c r="D839" s="19" t="n">
        <v>113.38</v>
      </c>
      <c r="E839" s="19" t="n">
        <v>0</v>
      </c>
      <c r="F839" s="19" t="n">
        <v>0</v>
      </c>
      <c r="G839" s="8" t="str">
        <f aca="false">IFERROR(INDEX('TRANS'!$B:$B,MATCH($B839,'TRANS'!$A:$A,0)),IFERROR(INDEX('TRANS'!$B:$B,MATCH(TRIM(SUBSTITUTE($B839,CHAR(160)," ")),'TRANS'!$D:$D,0)),IFERROR(INDEX('Catalog'!$A:$A,MATCH($B839,'Catalog'!$B:$B,0)),IFERROR(INDEX('Catalog'!$A:$A,MATCH(TRIM(SUBSTITUTE($B839,CHAR(160)," ")),'Catalog'!$C:$C,0)),""))))</f>
        <v/>
      </c>
      <c r="H839" s="8" t="str">
        <f aca="false">IFERROR(INDEX('TRANS'!$C:$C,MATCH($B839,'TRANS'!$A:$A,0)),IFERROR(INDEX('Catalog'!$B:$B,MATCH($G839,'Catalog'!$A:$A,0)),$B839))</f>
        <v>T90 0</v>
      </c>
      <c r="I839" s="8" t="str">
        <f aca="false">IF($G839="","Unmatched","Matched")</f>
        <v>Unmatched</v>
      </c>
    </row>
    <row r="840" customFormat="false" ht="15" hidden="false" customHeight="false" outlineLevel="0" collapsed="false">
      <c r="A840" s="8" t="s">
        <v>572</v>
      </c>
      <c r="B840" s="8" t="s">
        <v>378</v>
      </c>
      <c r="C840" s="19" t="n">
        <v>3</v>
      </c>
      <c r="D840" s="19" t="n">
        <v>92.67</v>
      </c>
      <c r="E840" s="19" t="n">
        <v>8</v>
      </c>
      <c r="F840" s="19" t="n">
        <v>247.14</v>
      </c>
      <c r="G840" s="8" t="n">
        <f aca="false">IFERROR(INDEX('TRANS'!$B:$B,MATCH($B840,'TRANS'!$A:$A,0)),IFERROR(INDEX('TRANS'!$B:$B,MATCH(TRIM(SUBSTITUTE($B840,CHAR(160)," ")),'TRANS'!$D:$D,0)),IFERROR(INDEX('Catalog'!$A:$A,MATCH($B840,'Catalog'!$B:$B,0)),IFERROR(INDEX('Catalog'!$A:$A,MATCH(TRIM(SUBSTITUTE($B840,CHAR(160)," ")),'Catalog'!$C:$C,0)),""))))</f>
        <v>4413096</v>
      </c>
      <c r="H840" s="8" t="str">
        <f aca="false">IFERROR(INDEX('TRANS'!$C:$C,MATCH($B840,'TRANS'!$A:$A,0)),IFERROR(INDEX('Catalog'!$B:$B,MATCH($G840,'Catalog'!$A:$A,0)),$B840))</f>
        <v>45 XXL מגן ברך לבן</v>
      </c>
      <c r="I840" s="8" t="str">
        <f aca="false">IF($G840="","Unmatched","Matched")</f>
        <v>Matched</v>
      </c>
    </row>
    <row r="841" customFormat="false" ht="15" hidden="false" customHeight="false" outlineLevel="0" collapsed="false">
      <c r="A841" s="8" t="s">
        <v>572</v>
      </c>
      <c r="B841" s="8" t="s">
        <v>397</v>
      </c>
      <c r="C841" s="19" t="n">
        <v>0</v>
      </c>
      <c r="D841" s="19" t="n">
        <v>0</v>
      </c>
      <c r="E841" s="19" t="n">
        <v>4</v>
      </c>
      <c r="F841" s="19" t="n">
        <v>560.01</v>
      </c>
      <c r="G841" s="8" t="n">
        <f aca="false">IFERROR(INDEX('TRANS'!$B:$B,MATCH($B841,'TRANS'!$A:$A,0)),IFERROR(INDEX('TRANS'!$B:$B,MATCH(TRIM(SUBSTITUTE($B841,CHAR(160)," ")),'TRANS'!$D:$D,0)),IFERROR(INDEX('Catalog'!$A:$A,MATCH($B841,'Catalog'!$B:$B,0)),IFERROR(INDEX('Catalog'!$A:$A,MATCH(TRIM(SUBSTITUTE($B841,CHAR(160)," ")),'Catalog'!$C:$C,0)),""))))</f>
        <v>4408078</v>
      </c>
      <c r="H841" s="8" t="str">
        <f aca="false">IFERROR(INDEX('TRANS'!$C:$C,MATCH($B841,'TRANS'!$A:$A,0)),IFERROR(INDEX('Catalog'!$B:$B,MATCH($G841,'Catalog'!$A:$A,0)),$B841))</f>
        <v>59L XLחגורת שבר לצד שמאל</v>
      </c>
      <c r="I841" s="8" t="str">
        <f aca="false">IF($G841="","Unmatched","Matched")</f>
        <v>Matched</v>
      </c>
    </row>
    <row r="842" customFormat="false" ht="15" hidden="false" customHeight="false" outlineLevel="0" collapsed="false">
      <c r="A842" s="8" t="s">
        <v>572</v>
      </c>
      <c r="B842" s="8" t="s">
        <v>225</v>
      </c>
      <c r="C842" s="19" t="n">
        <v>1</v>
      </c>
      <c r="D842" s="19" t="n">
        <v>140</v>
      </c>
      <c r="E842" s="19" t="n">
        <v>0</v>
      </c>
      <c r="F842" s="19" t="n">
        <v>0</v>
      </c>
      <c r="G842" s="8" t="str">
        <f aca="false">IFERROR(INDEX('TRANS'!$B:$B,MATCH($B842,'TRANS'!$A:$A,0)),IFERROR(INDEX('TRANS'!$B:$B,MATCH(TRIM(SUBSTITUTE($B842,CHAR(160)," ")),'TRANS'!$D:$D,0)),IFERROR(INDEX('Catalog'!$A:$A,MATCH($B842,'Catalog'!$B:$B,0)),IFERROR(INDEX('Catalog'!$A:$A,MATCH(TRIM(SUBSTITUTE($B842,CHAR(160)," ")),'Catalog'!$C:$C,0)),""))))</f>
        <v/>
      </c>
      <c r="H842" s="8" t="str">
        <f aca="false">IFERROR(INDEX('TRANS'!$C:$C,MATCH($B842,'TRANS'!$A:$A,0)),IFERROR(INDEX('Catalog'!$B:$B,MATCH($G842,'Catalog'!$A:$A,0)),$B842))</f>
        <v>59L XXL</v>
      </c>
      <c r="I842" s="8" t="str">
        <f aca="false">IF($G842="","Unmatched","Matched")</f>
        <v>Unmatched</v>
      </c>
    </row>
    <row r="843" customFormat="false" ht="15" hidden="false" customHeight="false" outlineLevel="0" collapsed="false">
      <c r="A843" s="8" t="s">
        <v>572</v>
      </c>
      <c r="B843" s="8" t="s">
        <v>677</v>
      </c>
      <c r="C843" s="19" t="n">
        <v>1</v>
      </c>
      <c r="D843" s="19" t="n">
        <v>140</v>
      </c>
      <c r="E843" s="19" t="n">
        <v>0</v>
      </c>
      <c r="F843" s="19" t="n">
        <v>0</v>
      </c>
      <c r="G843" s="8" t="str">
        <f aca="false">IFERROR(INDEX('TRANS'!$B:$B,MATCH($B843,'TRANS'!$A:$A,0)),IFERROR(INDEX('TRANS'!$B:$B,MATCH(TRIM(SUBSTITUTE($B843,CHAR(160)," ")),'TRANS'!$D:$D,0)),IFERROR(INDEX('Catalog'!$A:$A,MATCH($B843,'Catalog'!$B:$B,0)),IFERROR(INDEX('Catalog'!$A:$A,MATCH(TRIM(SUBSTITUTE($B843,CHAR(160)," ")),'Catalog'!$C:$C,0)),""))))</f>
        <v/>
      </c>
      <c r="H843" s="8" t="str">
        <f aca="false">IFERROR(INDEX('TRANS'!$C:$C,MATCH($B843,'TRANS'!$A:$A,0)),IFERROR(INDEX('Catalog'!$B:$B,MATCH($G843,'Catalog'!$A:$A,0)),$B843))</f>
        <v>59R XXL</v>
      </c>
      <c r="I843" s="8" t="str">
        <f aca="false">IF($G843="","Unmatched","Matched")</f>
        <v>Unmatched</v>
      </c>
    </row>
    <row r="844" customFormat="false" ht="15" hidden="false" customHeight="false" outlineLevel="0" collapsed="false">
      <c r="A844" s="8" t="s">
        <v>572</v>
      </c>
      <c r="B844" s="8" t="s">
        <v>400</v>
      </c>
      <c r="C844" s="19" t="n">
        <v>24</v>
      </c>
      <c r="D844" s="19" t="n">
        <v>1191.03</v>
      </c>
      <c r="E844" s="19" t="n">
        <v>11</v>
      </c>
      <c r="F844" s="19" t="n">
        <v>545.96</v>
      </c>
      <c r="G844" s="8" t="n">
        <f aca="false">IFERROR(INDEX('TRANS'!$B:$B,MATCH($B844,'TRANS'!$A:$A,0)),IFERROR(INDEX('TRANS'!$B:$B,MATCH(TRIM(SUBSTITUTE($B844,CHAR(160)," ")),'TRANS'!$D:$D,0)),IFERROR(INDEX('Catalog'!$A:$A,MATCH($B844,'Catalog'!$B:$B,0)),IFERROR(INDEX('Catalog'!$A:$A,MATCH(TRIM(SUBSTITUTE($B844,CHAR(160)," ")),'Catalog'!$C:$C,0)),""))))</f>
        <v>4418003</v>
      </c>
      <c r="H844" s="8" t="str">
        <f aca="false">IFERROR(INDEX('TRANS'!$C:$C,MATCH($B844,'TRANS'!$A:$A,0)),IFERROR(INDEX('Catalog'!$B:$B,MATCH($G844,'Catalog'!$A:$A,0)),$B844))</f>
        <v>60 XL צוארון ספוגי</v>
      </c>
      <c r="I844" s="8" t="str">
        <f aca="false">IF($G844="","Unmatched","Matched")</f>
        <v>Matched</v>
      </c>
    </row>
    <row r="845" customFormat="false" ht="15" hidden="false" customHeight="false" outlineLevel="0" collapsed="false">
      <c r="A845" s="8" t="s">
        <v>572</v>
      </c>
      <c r="B845" s="8" t="s">
        <v>90</v>
      </c>
      <c r="C845" s="19" t="n">
        <v>13</v>
      </c>
      <c r="D845" s="19" t="n">
        <v>1217.07</v>
      </c>
      <c r="E845" s="19" t="n">
        <v>9</v>
      </c>
      <c r="F845" s="19" t="n">
        <v>810.04</v>
      </c>
      <c r="G845" s="8" t="n">
        <f aca="false">IFERROR(INDEX('TRANS'!$B:$B,MATCH($B845,'TRANS'!$A:$A,0)),IFERROR(INDEX('TRANS'!$B:$B,MATCH(TRIM(SUBSTITUTE($B845,CHAR(160)," ")),'TRANS'!$D:$D,0)),IFERROR(INDEX('Catalog'!$A:$A,MATCH($B845,'Catalog'!$B:$B,0)),IFERROR(INDEX('Catalog'!$A:$A,MATCH(TRIM(SUBSTITUTE($B845,CHAR(160)," ")),'Catalog'!$C:$C,0)),""))))</f>
        <v>4408230</v>
      </c>
      <c r="H845" s="8" t="str">
        <f aca="false">IFERROR(INDEX('TRANS'!$C:$C,MATCH($B845,'TRANS'!$A:$A,0)),IFERROR(INDEX('Catalog'!$B:$B,MATCH($G845,'Catalog'!$A:$A,0)),$B845))</f>
        <v>16 L-XL חגורת הריון</v>
      </c>
      <c r="I845" s="8" t="str">
        <f aca="false">IF($G845="","Unmatched","Matched")</f>
        <v>Matched</v>
      </c>
    </row>
    <row r="846" customFormat="false" ht="15" hidden="false" customHeight="false" outlineLevel="0" collapsed="false">
      <c r="A846" s="8" t="s">
        <v>572</v>
      </c>
      <c r="B846" s="8" t="s">
        <v>93</v>
      </c>
      <c r="C846" s="19" t="n">
        <v>1</v>
      </c>
      <c r="D846" s="19" t="n">
        <v>33.04</v>
      </c>
      <c r="E846" s="19" t="n">
        <v>1</v>
      </c>
      <c r="F846" s="19" t="n">
        <v>37.45</v>
      </c>
      <c r="G846" s="8" t="n">
        <f aca="false">IFERROR(INDEX('TRANS'!$B:$B,MATCH($B846,'TRANS'!$A:$A,0)),IFERROR(INDEX('TRANS'!$B:$B,MATCH(TRIM(SUBSTITUTE($B846,CHAR(160)," ")),'TRANS'!$D:$D,0)),IFERROR(INDEX('Catalog'!$A:$A,MATCH($B846,'Catalog'!$B:$B,0)),IFERROR(INDEX('Catalog'!$A:$A,MATCH(TRIM(SUBSTITUTE($B846,CHAR(160)," ")),'Catalog'!$C:$C,0)),""))))</f>
        <v>4411017</v>
      </c>
      <c r="H846" s="8" t="str">
        <f aca="false">IFERROR(INDEX('TRANS'!$C:$C,MATCH($B846,'TRANS'!$A:$A,0)),IFERROR(INDEX('Catalog'!$B:$B,MATCH($G846,'Catalog'!$A:$A,0)),$B846))</f>
        <v>211L כפפות לחץ</v>
      </c>
      <c r="I846" s="8" t="str">
        <f aca="false">IF($G846="","Unmatched","Matched")</f>
        <v>Matched</v>
      </c>
    </row>
    <row r="847" customFormat="false" ht="15" hidden="false" customHeight="false" outlineLevel="0" collapsed="false">
      <c r="A847" s="8" t="s">
        <v>572</v>
      </c>
      <c r="B847" s="8" t="s">
        <v>94</v>
      </c>
      <c r="C847" s="19" t="n">
        <v>1</v>
      </c>
      <c r="D847" s="19" t="n">
        <v>28.63</v>
      </c>
      <c r="E847" s="19" t="n">
        <v>1</v>
      </c>
      <c r="F847" s="19" t="n">
        <v>37.44</v>
      </c>
      <c r="G847" s="8" t="n">
        <f aca="false">IFERROR(INDEX('TRANS'!$B:$B,MATCH($B847,'TRANS'!$A:$A,0)),IFERROR(INDEX('TRANS'!$B:$B,MATCH(TRIM(SUBSTITUTE($B847,CHAR(160)," ")),'TRANS'!$D:$D,0)),IFERROR(INDEX('Catalog'!$A:$A,MATCH($B847,'Catalog'!$B:$B,0)),IFERROR(INDEX('Catalog'!$A:$A,MATCH(TRIM(SUBSTITUTE($B847,CHAR(160)," ")),'Catalog'!$C:$C,0)),""))))</f>
        <v>4411018</v>
      </c>
      <c r="H847" s="8" t="str">
        <f aca="false">IFERROR(INDEX('TRANS'!$C:$C,MATCH($B847,'TRANS'!$A:$A,0)),IFERROR(INDEX('Catalog'!$B:$B,MATCH($G847,'Catalog'!$A:$A,0)),$B847))</f>
        <v>211M כפפות לחץ</v>
      </c>
      <c r="I847" s="8" t="str">
        <f aca="false">IF($G847="","Unmatched","Matched")</f>
        <v>Matched</v>
      </c>
    </row>
    <row r="848" customFormat="false" ht="15" hidden="false" customHeight="false" outlineLevel="0" collapsed="false">
      <c r="A848" s="8" t="s">
        <v>572</v>
      </c>
      <c r="B848" s="8" t="s">
        <v>678</v>
      </c>
      <c r="C848" s="19" t="n">
        <v>2</v>
      </c>
      <c r="D848" s="19" t="n">
        <v>66.09</v>
      </c>
      <c r="E848" s="19" t="n">
        <v>-1</v>
      </c>
      <c r="F848" s="19" t="n">
        <v>-37.45</v>
      </c>
      <c r="G848" s="8" t="n">
        <f aca="false">IFERROR(INDEX('TRANS'!$B:$B,MATCH($B848,'TRANS'!$A:$A,0)),IFERROR(INDEX('TRANS'!$B:$B,MATCH(TRIM(SUBSTITUTE($B848,CHAR(160)," ")),'TRANS'!$D:$D,0)),IFERROR(INDEX('Catalog'!$A:$A,MATCH($B848,'Catalog'!$B:$B,0)),IFERROR(INDEX('Catalog'!$A:$A,MATCH(TRIM(SUBSTITUTE($B848,CHAR(160)," ")),'Catalog'!$C:$C,0)),""))))</f>
        <v>4411020</v>
      </c>
      <c r="H848" s="8" t="str">
        <f aca="false">IFERROR(INDEX('TRANS'!$C:$C,MATCH($B848,'TRANS'!$A:$A,0)),IFERROR(INDEX('Catalog'!$B:$B,MATCH($G848,'Catalog'!$A:$A,0)),$B848))</f>
        <v>211XL כפפות לחץ</v>
      </c>
      <c r="I848" s="8" t="str">
        <f aca="false">IF($G848="","Unmatched","Matched")</f>
        <v>Matched</v>
      </c>
    </row>
    <row r="849" customFormat="false" ht="15" hidden="false" customHeight="false" outlineLevel="0" collapsed="false">
      <c r="A849" s="8" t="s">
        <v>572</v>
      </c>
      <c r="B849" s="8" t="s">
        <v>679</v>
      </c>
      <c r="C849" s="19" t="n">
        <v>20</v>
      </c>
      <c r="D849" s="19" t="n">
        <v>2079.91</v>
      </c>
      <c r="E849" s="19" t="n">
        <v>1</v>
      </c>
      <c r="F849" s="19" t="n">
        <v>103.67</v>
      </c>
      <c r="G849" s="8" t="n">
        <f aca="false">IFERROR(INDEX('TRANS'!$B:$B,MATCH($B849,'TRANS'!$A:$A,0)),IFERROR(INDEX('TRANS'!$B:$B,MATCH(TRIM(SUBSTITUTE($B849,CHAR(160)," ")),'TRANS'!$D:$D,0)),IFERROR(INDEX('Catalog'!$A:$A,MATCH($B849,'Catalog'!$B:$B,0)),IFERROR(INDEX('Catalog'!$A:$A,MATCH(TRIM(SUBSTITUTE($B849,CHAR(160)," ")),'Catalog'!$C:$C,0)),""))))</f>
        <v>4413118</v>
      </c>
      <c r="H849" s="8" t="str">
        <f aca="false">IFERROR(INDEX('TRANS'!$C:$C,MATCH($B849,'TRANS'!$A:$A,0)),IFERROR(INDEX('Catalog'!$B:$B,MATCH($G849,'Catalog'!$A:$A,0)),$B849))</f>
        <v>50 M מתלה אשכים לאחר ניתוח</v>
      </c>
      <c r="I849" s="8" t="str">
        <f aca="false">IF($G849="","Unmatched","Matched")</f>
        <v>Matched</v>
      </c>
    </row>
    <row r="850" customFormat="false" ht="15" hidden="false" customHeight="false" outlineLevel="0" collapsed="false">
      <c r="A850" s="8" t="s">
        <v>572</v>
      </c>
      <c r="B850" s="8" t="s">
        <v>259</v>
      </c>
      <c r="C850" s="19" t="n">
        <v>32</v>
      </c>
      <c r="D850" s="19" t="n">
        <v>1663.44</v>
      </c>
      <c r="E850" s="19" t="n">
        <v>30</v>
      </c>
      <c r="F850" s="19" t="n">
        <v>1559.44</v>
      </c>
      <c r="G850" s="8" t="n">
        <f aca="false">IFERROR(INDEX('TRANS'!$B:$B,MATCH($B850,'TRANS'!$A:$A,0)),IFERROR(INDEX('TRANS'!$B:$B,MATCH(TRIM(SUBSTITUTE($B850,CHAR(160)," ")),'TRANS'!$D:$D,0)),IFERROR(INDEX('Catalog'!$A:$A,MATCH($B850,'Catalog'!$B:$B,0)),IFERROR(INDEX('Catalog'!$A:$A,MATCH(TRIM(SUBSTITUTE($B850,CHAR(160)," ")),'Catalog'!$C:$C,0)),""))))</f>
        <v>4413455</v>
      </c>
      <c r="H850" s="8" t="str">
        <f aca="false">IFERROR(INDEX('TRANS'!$C:$C,MATCH($B850,'TRANS'!$A:$A,0)),IFERROR(INDEX('Catalog'!$B:$B,MATCH($G850,'Catalog'!$A:$A,0)),$B850))</f>
        <v>85K מתלה ליד לילדים</v>
      </c>
      <c r="I850" s="8" t="str">
        <f aca="false">IF($G850="","Unmatched","Matched")</f>
        <v>Matched</v>
      </c>
    </row>
    <row r="851" customFormat="false" ht="15" hidden="false" customHeight="false" outlineLevel="0" collapsed="false">
      <c r="A851" s="8" t="s">
        <v>572</v>
      </c>
      <c r="B851" s="8" t="s">
        <v>276</v>
      </c>
      <c r="C851" s="19" t="n">
        <v>14</v>
      </c>
      <c r="D851" s="19" t="n">
        <v>787.43</v>
      </c>
      <c r="E851" s="19" t="n">
        <v>18</v>
      </c>
      <c r="F851" s="19" t="n">
        <v>1428.39</v>
      </c>
      <c r="G851" s="8" t="n">
        <f aca="false">IFERROR(INDEX('TRANS'!$B:$B,MATCH($B851,'TRANS'!$A:$A,0)),IFERROR(INDEX('TRANS'!$B:$B,MATCH(TRIM(SUBSTITUTE($B851,CHAR(160)," ")),'TRANS'!$D:$D,0)),IFERROR(INDEX('Catalog'!$A:$A,MATCH($B851,'Catalog'!$B:$B,0)),IFERROR(INDEX('Catalog'!$A:$A,MATCH(TRIM(SUBSTITUTE($B851,CHAR(160)," ")),'Catalog'!$C:$C,0)),""))))</f>
        <v>4413456</v>
      </c>
      <c r="H851" s="8" t="str">
        <f aca="false">IFERROR(INDEX('TRANS'!$C:$C,MATCH($B851,'TRANS'!$A:$A,0)),IFERROR(INDEX('Catalog'!$B:$B,MATCH($G851,'Catalog'!$A:$A,0)),$B851))</f>
        <v>AC75 XXL  מיישר כתפיים אקטיב</v>
      </c>
      <c r="I851" s="8" t="str">
        <f aca="false">IF($G851="","Unmatched","Matched")</f>
        <v>Matched</v>
      </c>
    </row>
    <row r="852" customFormat="false" ht="15" hidden="false" customHeight="false" outlineLevel="0" collapsed="false">
      <c r="A852" s="8" t="s">
        <v>572</v>
      </c>
      <c r="B852" s="8" t="s">
        <v>203</v>
      </c>
      <c r="C852" s="19" t="n">
        <v>11</v>
      </c>
      <c r="D852" s="19" t="n">
        <v>547.52</v>
      </c>
      <c r="E852" s="19" t="n">
        <v>8</v>
      </c>
      <c r="F852" s="19" t="n">
        <v>398.52</v>
      </c>
      <c r="G852" s="8" t="n">
        <f aca="false">IFERROR(INDEX('TRANS'!$B:$B,MATCH($B852,'TRANS'!$A:$A,0)),IFERROR(INDEX('TRANS'!$B:$B,MATCH(TRIM(SUBSTITUTE($B852,CHAR(160)," ")),'TRANS'!$D:$D,0)),IFERROR(INDEX('Catalog'!$A:$A,MATCH($B852,'Catalog'!$B:$B,0)),IFERROR(INDEX('Catalog'!$A:$A,MATCH(TRIM(SUBSTITUTE($B852,CHAR(160)," ")),'Catalog'!$C:$C,0)),""))))</f>
        <v>4420016</v>
      </c>
      <c r="H852" s="8" t="str">
        <f aca="false">IFERROR(INDEX('TRANS'!$C:$C,MATCH($B852,'TRANS'!$A:$A,0)),IFERROR(INDEX('Catalog'!$B:$B,MATCH($G852,'Catalog'!$A:$A,0)),$B852))</f>
        <v>40-רצועת פיקה לברך</v>
      </c>
      <c r="I852" s="8" t="str">
        <f aca="false">IF($G852="","Unmatched","Matched")</f>
        <v>Matched</v>
      </c>
    </row>
    <row r="853" customFormat="false" ht="15" hidden="false" customHeight="false" outlineLevel="0" collapsed="false">
      <c r="A853" s="8" t="s">
        <v>572</v>
      </c>
      <c r="B853" s="8" t="s">
        <v>72</v>
      </c>
      <c r="C853" s="19" t="n">
        <v>23</v>
      </c>
      <c r="D853" s="19" t="n">
        <v>1843</v>
      </c>
      <c r="E853" s="19" t="n">
        <v>8</v>
      </c>
      <c r="F853" s="19" t="n">
        <v>679.99</v>
      </c>
      <c r="G853" s="8" t="n">
        <f aca="false">IFERROR(INDEX('TRANS'!$B:$B,MATCH($B853,'TRANS'!$A:$A,0)),IFERROR(INDEX('TRANS'!$B:$B,MATCH(TRIM(SUBSTITUTE($B853,CHAR(160)," ")),'TRANS'!$D:$D,0)),IFERROR(INDEX('Catalog'!$A:$A,MATCH($B853,'Catalog'!$B:$B,0)),IFERROR(INDEX('Catalog'!$A:$A,MATCH(TRIM(SUBSTITUTE($B853,CHAR(160)," ")),'Catalog'!$C:$C,0)),""))))</f>
        <v>4408115</v>
      </c>
      <c r="H853" s="8" t="str">
        <f aca="false">IFERROR(INDEX('TRANS'!$C:$C,MATCH($B853,'TRANS'!$A:$A,0)),IFERROR(INDEX('Catalog'!$B:$B,MATCH($G853,'Catalog'!$A:$A,0)),$B853))</f>
        <v>11EU L ח.בטן לאחר ניתוח</v>
      </c>
      <c r="I853" s="8" t="str">
        <f aca="false">IF($G853="","Unmatched","Matched")</f>
        <v>Matched</v>
      </c>
    </row>
    <row r="854" customFormat="false" ht="15" hidden="false" customHeight="false" outlineLevel="0" collapsed="false">
      <c r="A854" s="8" t="s">
        <v>572</v>
      </c>
      <c r="B854" s="8" t="s">
        <v>680</v>
      </c>
      <c r="C854" s="19" t="n">
        <v>1</v>
      </c>
      <c r="D854" s="19" t="n">
        <v>42.06</v>
      </c>
      <c r="E854" s="19" t="n">
        <v>0</v>
      </c>
      <c r="F854" s="19" t="n">
        <v>0</v>
      </c>
      <c r="G854" s="8" t="str">
        <f aca="false">IFERROR(INDEX('TRANS'!$B:$B,MATCH($B854,'TRANS'!$A:$A,0)),IFERROR(INDEX('TRANS'!$B:$B,MATCH(TRIM(SUBSTITUTE($B854,CHAR(160)," ")),'TRANS'!$D:$D,0)),IFERROR(INDEX('Catalog'!$A:$A,MATCH($B854,'Catalog'!$B:$B,0)),IFERROR(INDEX('Catalog'!$A:$A,MATCH(TRIM(SUBSTITUTE($B854,CHAR(160)," ")),'Catalog'!$C:$C,0)),""))))</f>
        <v/>
      </c>
      <c r="H854" s="8" t="str">
        <f aca="false">IFERROR(INDEX('TRANS'!$C:$C,MATCH($B854,'TRANS'!$A:$A,0)),IFERROR(INDEX('Catalog'!$B:$B,MATCH($G854,'Catalog'!$A:$A,0)),$B854))</f>
        <v>392B-35-38</v>
      </c>
      <c r="I854" s="8" t="str">
        <f aca="false">IF($G854="","Unmatched","Matched")</f>
        <v>Unmatched</v>
      </c>
    </row>
    <row r="855" customFormat="false" ht="15" hidden="false" customHeight="false" outlineLevel="0" collapsed="false">
      <c r="A855" s="8" t="s">
        <v>572</v>
      </c>
      <c r="B855" s="8" t="s">
        <v>681</v>
      </c>
      <c r="C855" s="19" t="n">
        <v>1</v>
      </c>
      <c r="D855" s="19" t="n">
        <v>42.06</v>
      </c>
      <c r="E855" s="19" t="n">
        <v>0</v>
      </c>
      <c r="F855" s="19" t="n">
        <v>0</v>
      </c>
      <c r="G855" s="8" t="str">
        <f aca="false">IFERROR(INDEX('TRANS'!$B:$B,MATCH($B855,'TRANS'!$A:$A,0)),IFERROR(INDEX('TRANS'!$B:$B,MATCH(TRIM(SUBSTITUTE($B855,CHAR(160)," ")),'TRANS'!$D:$D,0)),IFERROR(INDEX('Catalog'!$A:$A,MATCH($B855,'Catalog'!$B:$B,0)),IFERROR(INDEX('Catalog'!$A:$A,MATCH(TRIM(SUBSTITUTE($B855,CHAR(160)," ")),'Catalog'!$C:$C,0)),""))))</f>
        <v/>
      </c>
      <c r="H855" s="8" t="str">
        <f aca="false">IFERROR(INDEX('TRANS'!$C:$C,MATCH($B855,'TRANS'!$A:$A,0)),IFERROR(INDEX('Catalog'!$B:$B,MATCH($G855,'Catalog'!$A:$A,0)),$B855))</f>
        <v>392B-39-42</v>
      </c>
      <c r="I855" s="8" t="str">
        <f aca="false">IF($G855="","Unmatched","Matched")</f>
        <v>Unmatched</v>
      </c>
    </row>
    <row r="856" customFormat="false" ht="15" hidden="false" customHeight="false" outlineLevel="0" collapsed="false">
      <c r="A856" s="8" t="s">
        <v>572</v>
      </c>
      <c r="B856" s="8" t="s">
        <v>412</v>
      </c>
      <c r="C856" s="19" t="n">
        <v>2</v>
      </c>
      <c r="D856" s="19" t="n">
        <v>160.8</v>
      </c>
      <c r="E856" s="19" t="n">
        <v>0</v>
      </c>
      <c r="F856" s="19" t="n">
        <v>0</v>
      </c>
      <c r="G856" s="8" t="str">
        <f aca="false">IFERROR(INDEX('TRANS'!$B:$B,MATCH($B856,'TRANS'!$A:$A,0)),IFERROR(INDEX('TRANS'!$B:$B,MATCH(TRIM(SUBSTITUTE($B856,CHAR(160)," ")),'TRANS'!$D:$D,0)),IFERROR(INDEX('Catalog'!$A:$A,MATCH($B856,'Catalog'!$B:$B,0)),IFERROR(INDEX('Catalog'!$A:$A,MATCH(TRIM(SUBSTITUTE($B856,CHAR(160)," ")),'Catalog'!$C:$C,0)),""))))</f>
        <v/>
      </c>
      <c r="H856" s="8" t="str">
        <f aca="false">IFERROR(INDEX('TRANS'!$C:$C,MATCH($B856,'TRANS'!$A:$A,0)),IFERROR(INDEX('Catalog'!$B:$B,MATCH($G856,'Catalog'!$A:$A,0)),$B856))</f>
        <v>78AB XL</v>
      </c>
      <c r="I856" s="8" t="str">
        <f aca="false">IF($G856="","Unmatched","Matched")</f>
        <v>Unmatched</v>
      </c>
    </row>
    <row r="857" customFormat="false" ht="15" hidden="false" customHeight="false" outlineLevel="0" collapsed="false">
      <c r="A857" s="8" t="s">
        <v>572</v>
      </c>
      <c r="B857" s="8" t="s">
        <v>682</v>
      </c>
      <c r="C857" s="19" t="n">
        <v>0</v>
      </c>
      <c r="D857" s="19" t="n">
        <v>0</v>
      </c>
      <c r="E857" s="19" t="n">
        <v>4</v>
      </c>
      <c r="F857" s="19" t="n">
        <v>1400</v>
      </c>
      <c r="G857" s="8" t="str">
        <f aca="false">IFERROR(INDEX('TRANS'!$B:$B,MATCH($B857,'TRANS'!$A:$A,0)),IFERROR(INDEX('TRANS'!$B:$B,MATCH(TRIM(SUBSTITUTE($B857,CHAR(160)," ")),'TRANS'!$D:$D,0)),IFERROR(INDEX('Catalog'!$A:$A,MATCH($B857,'Catalog'!$B:$B,0)),IFERROR(INDEX('Catalog'!$A:$A,MATCH(TRIM(SUBSTITUTE($B857,CHAR(160)," ")),'Catalog'!$C:$C,0)),""))))</f>
        <v/>
      </c>
      <c r="H857" s="8" t="str">
        <f aca="false">IFERROR(INDEX('TRANS'!$C:$C,MATCH($B857,'TRANS'!$A:$A,0)),IFERROR(INDEX('Catalog'!$B:$B,MATCH($G857,'Catalog'!$A:$A,0)),$B857))</f>
        <v>SH776 S</v>
      </c>
      <c r="I857" s="8" t="str">
        <f aca="false">IF($G857="","Unmatched","Matched")</f>
        <v>Unmatched</v>
      </c>
    </row>
    <row r="858" customFormat="false" ht="15" hidden="false" customHeight="false" outlineLevel="0" collapsed="false">
      <c r="A858" s="8" t="s">
        <v>572</v>
      </c>
      <c r="B858" s="8" t="s">
        <v>338</v>
      </c>
      <c r="C858" s="19" t="n">
        <v>0</v>
      </c>
      <c r="D858" s="19" t="n">
        <v>0</v>
      </c>
      <c r="E858" s="19" t="n">
        <v>1</v>
      </c>
      <c r="F858" s="19" t="n">
        <v>392.28</v>
      </c>
      <c r="G858" s="8" t="str">
        <f aca="false">IFERROR(INDEX('TRANS'!$B:$B,MATCH($B858,'TRANS'!$A:$A,0)),IFERROR(INDEX('TRANS'!$B:$B,MATCH(TRIM(SUBSTITUTE($B858,CHAR(160)," ")),'TRANS'!$D:$D,0)),IFERROR(INDEX('Catalog'!$A:$A,MATCH($B858,'Catalog'!$B:$B,0)),IFERROR(INDEX('Catalog'!$A:$A,MATCH(TRIM(SUBSTITUTE($B858,CHAR(160)," ")),'Catalog'!$C:$C,0)),""))))</f>
        <v/>
      </c>
      <c r="H858" s="8" t="str">
        <f aca="false">IFERROR(INDEX('TRANS'!$C:$C,MATCH($B858,'TRANS'!$A:$A,0)),IFERROR(INDEX('Catalog'!$B:$B,MATCH($G858,'Catalog'!$A:$A,0)),$B858))</f>
        <v>07AE XL</v>
      </c>
      <c r="I858" s="8" t="str">
        <f aca="false">IF($G858="","Unmatched","Matched")</f>
        <v>Unmatched</v>
      </c>
    </row>
    <row r="859" customFormat="false" ht="15" hidden="false" customHeight="false" outlineLevel="0" collapsed="false">
      <c r="A859" s="8" t="s">
        <v>572</v>
      </c>
      <c r="B859" s="8" t="s">
        <v>555</v>
      </c>
      <c r="C859" s="19" t="n">
        <v>1</v>
      </c>
      <c r="D859" s="19" t="n">
        <v>30</v>
      </c>
      <c r="E859" s="19" t="n">
        <v>0</v>
      </c>
      <c r="F859" s="19" t="n">
        <v>0</v>
      </c>
      <c r="G859" s="8" t="str">
        <f aca="false">IFERROR(INDEX('TRANS'!$B:$B,MATCH($B859,'TRANS'!$A:$A,0)),IFERROR(INDEX('TRANS'!$B:$B,MATCH(TRIM(SUBSTITUTE($B859,CHAR(160)," ")),'TRANS'!$D:$D,0)),IFERROR(INDEX('Catalog'!$A:$A,MATCH($B859,'Catalog'!$B:$B,0)),IFERROR(INDEX('Catalog'!$A:$A,MATCH(TRIM(SUBSTITUTE($B859,CHAR(160)," ")),'Catalog'!$C:$C,0)),""))))</f>
        <v/>
      </c>
      <c r="H859" s="8" t="str">
        <f aca="false">IFERROR(INDEX('TRANS'!$C:$C,MATCH($B859,'TRANS'!$A:$A,0)),IFERROR(INDEX('Catalog'!$B:$B,MATCH($G859,'Catalog'!$A:$A,0)),$B859))</f>
        <v>M95</v>
      </c>
      <c r="I859" s="8" t="str">
        <f aca="false">IF($G859="","Unmatched","Matched")</f>
        <v>Unmatched</v>
      </c>
    </row>
    <row r="860" customFormat="false" ht="15" hidden="false" customHeight="false" outlineLevel="0" collapsed="false">
      <c r="A860" s="8" t="s">
        <v>572</v>
      </c>
      <c r="B860" s="8" t="s">
        <v>563</v>
      </c>
      <c r="C860" s="19" t="n">
        <v>1</v>
      </c>
      <c r="D860" s="19" t="n">
        <v>63.2</v>
      </c>
      <c r="E860" s="19" t="n">
        <v>1</v>
      </c>
      <c r="F860" s="19" t="n">
        <v>60.88</v>
      </c>
      <c r="G860" s="8" t="n">
        <f aca="false">IFERROR(INDEX('TRANS'!$B:$B,MATCH($B860,'TRANS'!$A:$A,0)),IFERROR(INDEX('TRANS'!$B:$B,MATCH(TRIM(SUBSTITUTE($B860,CHAR(160)," ")),'TRANS'!$D:$D,0)),IFERROR(INDEX('Catalog'!$A:$A,MATCH($B860,'Catalog'!$B:$B,0)),IFERROR(INDEX('Catalog'!$A:$A,MATCH(TRIM(SUBSTITUTE($B860,CHAR(160)," ")),'Catalog'!$C:$C,0)),""))))</f>
        <v>4416003</v>
      </c>
      <c r="H860" s="8" t="str">
        <f aca="false">IFERROR(INDEX('TRANS'!$C:$C,MATCH($B860,'TRANS'!$A:$A,0)),IFERROR(INDEX('Catalog'!$B:$B,MATCH($G860,'Catalog'!$A:$A,0)),$B860))</f>
        <v>308 Lעקבים סיליקון כחול לדורבן</v>
      </c>
      <c r="I860" s="8" t="str">
        <f aca="false">IF($G860="","Unmatched","Matched")</f>
        <v>Matched</v>
      </c>
    </row>
    <row r="861" customFormat="false" ht="15" hidden="false" customHeight="false" outlineLevel="0" collapsed="false">
      <c r="A861" s="8" t="s">
        <v>572</v>
      </c>
      <c r="B861" s="8" t="s">
        <v>683</v>
      </c>
      <c r="C861" s="19" t="n">
        <v>8</v>
      </c>
      <c r="D861" s="19" t="n">
        <v>1212.08</v>
      </c>
      <c r="E861" s="19" t="n">
        <v>0</v>
      </c>
      <c r="F861" s="19" t="n">
        <v>0</v>
      </c>
      <c r="G861" s="8" t="str">
        <f aca="false">IFERROR(INDEX('TRANS'!$B:$B,MATCH($B861,'TRANS'!$A:$A,0)),IFERROR(INDEX('TRANS'!$B:$B,MATCH(TRIM(SUBSTITUTE($B861,CHAR(160)," ")),'TRANS'!$D:$D,0)),IFERROR(INDEX('Catalog'!$A:$A,MATCH($B861,'Catalog'!$B:$B,0)),IFERROR(INDEX('Catalog'!$A:$A,MATCH(TRIM(SUBSTITUTE($B861,CHAR(160)," ")),'Catalog'!$C:$C,0)),""))))</f>
        <v/>
      </c>
      <c r="H861" s="8" t="str">
        <f aca="false">IFERROR(INDEX('TRANS'!$C:$C,MATCH($B861,'TRANS'!$A:$A,0)),IFERROR(INDEX('Catalog'!$B:$B,MATCH($G861,'Catalog'!$A:$A,0)),$B861))</f>
        <v>355 L</v>
      </c>
      <c r="I861" s="8" t="str">
        <f aca="false">IF($G861="","Unmatched","Matched")</f>
        <v>Unmatched</v>
      </c>
    </row>
    <row r="862" customFormat="false" ht="15" hidden="false" customHeight="false" outlineLevel="0" collapsed="false">
      <c r="A862" s="8" t="s">
        <v>572</v>
      </c>
      <c r="B862" s="8" t="s">
        <v>550</v>
      </c>
      <c r="C862" s="19" t="n">
        <v>11</v>
      </c>
      <c r="D862" s="19" t="n">
        <v>2127.02</v>
      </c>
      <c r="E862" s="19" t="n">
        <v>0</v>
      </c>
      <c r="F862" s="19" t="n">
        <v>0</v>
      </c>
      <c r="G862" s="8" t="str">
        <f aca="false">IFERROR(INDEX('TRANS'!$B:$B,MATCH($B862,'TRANS'!$A:$A,0)),IFERROR(INDEX('TRANS'!$B:$B,MATCH(TRIM(SUBSTITUTE($B862,CHAR(160)," ")),'TRANS'!$D:$D,0)),IFERROR(INDEX('Catalog'!$A:$A,MATCH($B862,'Catalog'!$B:$B,0)),IFERROR(INDEX('Catalog'!$A:$A,MATCH(TRIM(SUBSTITUTE($B862,CHAR(160)," ")),'Catalog'!$C:$C,0)),""))))</f>
        <v/>
      </c>
      <c r="H862" s="8" t="str">
        <f aca="false">IFERROR(INDEX('TRANS'!$C:$C,MATCH($B862,'TRANS'!$A:$A,0)),IFERROR(INDEX('Catalog'!$B:$B,MATCH($G862,'Catalog'!$A:$A,0)),$B862))</f>
        <v>355 M</v>
      </c>
      <c r="I862" s="8" t="str">
        <f aca="false">IF($G862="","Unmatched","Matched")</f>
        <v>Unmatched</v>
      </c>
    </row>
    <row r="863" customFormat="false" ht="15" hidden="false" customHeight="false" outlineLevel="0" collapsed="false">
      <c r="A863" s="8" t="s">
        <v>572</v>
      </c>
      <c r="B863" s="8" t="s">
        <v>684</v>
      </c>
      <c r="C863" s="19" t="n">
        <v>4</v>
      </c>
      <c r="D863" s="19" t="n">
        <v>755.51</v>
      </c>
      <c r="E863" s="19" t="n">
        <v>0</v>
      </c>
      <c r="F863" s="19" t="n">
        <v>0</v>
      </c>
      <c r="G863" s="8" t="str">
        <f aca="false">IFERROR(INDEX('TRANS'!$B:$B,MATCH($B863,'TRANS'!$A:$A,0)),IFERROR(INDEX('TRANS'!$B:$B,MATCH(TRIM(SUBSTITUTE($B863,CHAR(160)," ")),'TRANS'!$D:$D,0)),IFERROR(INDEX('Catalog'!$A:$A,MATCH($B863,'Catalog'!$B:$B,0)),IFERROR(INDEX('Catalog'!$A:$A,MATCH(TRIM(SUBSTITUTE($B863,CHAR(160)," ")),'Catalog'!$C:$C,0)),""))))</f>
        <v/>
      </c>
      <c r="H863" s="8" t="str">
        <f aca="false">IFERROR(INDEX('TRANS'!$C:$C,MATCH($B863,'TRANS'!$A:$A,0)),IFERROR(INDEX('Catalog'!$B:$B,MATCH($G863,'Catalog'!$A:$A,0)),$B863))</f>
        <v>355 S</v>
      </c>
      <c r="I863" s="8" t="str">
        <f aca="false">IF($G863="","Unmatched","Matched")</f>
        <v>Unmatched</v>
      </c>
    </row>
    <row r="864" customFormat="false" ht="15" hidden="false" customHeight="false" outlineLevel="0" collapsed="false">
      <c r="A864" s="8" t="s">
        <v>572</v>
      </c>
      <c r="B864" s="8" t="s">
        <v>491</v>
      </c>
      <c r="C864" s="19" t="n">
        <v>8</v>
      </c>
      <c r="D864" s="19" t="n">
        <v>1394.24</v>
      </c>
      <c r="E864" s="19" t="n">
        <v>3</v>
      </c>
      <c r="F864" s="19" t="n">
        <v>561.79</v>
      </c>
      <c r="G864" s="8" t="n">
        <f aca="false">IFERROR(INDEX('TRANS'!$B:$B,MATCH($B864,'TRANS'!$A:$A,0)),IFERROR(INDEX('TRANS'!$B:$B,MATCH(TRIM(SUBSTITUTE($B864,CHAR(160)," ")),'TRANS'!$D:$D,0)),IFERROR(INDEX('Catalog'!$A:$A,MATCH($B864,'Catalog'!$B:$B,0)),IFERROR(INDEX('Catalog'!$A:$A,MATCH(TRIM(SUBSTITUTE($B864,CHAR(160)," ")),'Catalog'!$C:$C,0)),""))))</f>
        <v>4408070</v>
      </c>
      <c r="H864" s="8" t="str">
        <f aca="false">IFERROR(INDEX('TRANS'!$C:$C,MATCH($B864,'TRANS'!$A:$A,0)),IFERROR(INDEX('Catalog'!$B:$B,MATCH($G864,'Catalog'!$A:$A,0)),$B864))</f>
        <v>59D S חגורת שבר דו צדדי</v>
      </c>
      <c r="I864" s="8" t="str">
        <f aca="false">IF($G864="","Unmatched","Matched")</f>
        <v>Matched</v>
      </c>
    </row>
    <row r="865" customFormat="false" ht="15" hidden="false" customHeight="false" outlineLevel="0" collapsed="false">
      <c r="A865" s="8" t="s">
        <v>572</v>
      </c>
      <c r="B865" s="8" t="s">
        <v>257</v>
      </c>
      <c r="C865" s="19" t="n">
        <v>25</v>
      </c>
      <c r="D865" s="19" t="n">
        <v>1232.58</v>
      </c>
      <c r="E865" s="19" t="n">
        <v>5</v>
      </c>
      <c r="F865" s="19" t="n">
        <v>245.01</v>
      </c>
      <c r="G865" s="8" t="n">
        <f aca="false">IFERROR(INDEX('TRANS'!$B:$B,MATCH($B865,'TRANS'!$A:$A,0)),IFERROR(INDEX('TRANS'!$B:$B,MATCH(TRIM(SUBSTITUTE($B865,CHAR(160)," ")),'TRANS'!$D:$D,0)),IFERROR(INDEX('Catalog'!$A:$A,MATCH($B865,'Catalog'!$B:$B,0)),IFERROR(INDEX('Catalog'!$A:$A,MATCH(TRIM(SUBSTITUTE($B865,CHAR(160)," ")),'Catalog'!$C:$C,0)),""))))</f>
        <v>4413519</v>
      </c>
      <c r="H865" s="8" t="str">
        <f aca="false">IFERROR(INDEX('TRANS'!$C:$C,MATCH($B865,'TRANS'!$A:$A,0)),IFERROR(INDEX('Catalog'!$B:$B,MATCH($G865,'Catalog'!$A:$A,0)),$B865))</f>
        <v>85B S מתלה רשת לזרוע שחור</v>
      </c>
      <c r="I865" s="8" t="str">
        <f aca="false">IF($G865="","Unmatched","Matched")</f>
        <v>Matched</v>
      </c>
    </row>
    <row r="866" customFormat="false" ht="15" hidden="false" customHeight="false" outlineLevel="0" collapsed="false">
      <c r="A866" s="8" t="s">
        <v>572</v>
      </c>
      <c r="B866" s="8" t="s">
        <v>685</v>
      </c>
      <c r="C866" s="19" t="n">
        <v>3</v>
      </c>
      <c r="D866" s="19" t="n">
        <v>247.7</v>
      </c>
      <c r="E866" s="19" t="n">
        <v>0</v>
      </c>
      <c r="F866" s="19" t="n">
        <v>61.58</v>
      </c>
      <c r="G866" s="8" t="n">
        <f aca="false">IFERROR(INDEX('TRANS'!$B:$B,MATCH($B866,'TRANS'!$A:$A,0)),IFERROR(INDEX('TRANS'!$B:$B,MATCH(TRIM(SUBSTITUTE($B866,CHAR(160)," ")),'TRANS'!$D:$D,0)),IFERROR(INDEX('Catalog'!$A:$A,MATCH($B866,'Catalog'!$B:$B,0)),IFERROR(INDEX('Catalog'!$A:$A,MATCH(TRIM(SUBSTITUTE($B866,CHAR(160)," ")),'Catalog'!$C:$C,0)),""))))</f>
        <v>4408219</v>
      </c>
      <c r="H866" s="8" t="str">
        <f aca="false">IFERROR(INDEX('TRANS'!$C:$C,MATCH($B866,'TRANS'!$A:$A,0)),IFERROR(INDEX('Catalog'!$B:$B,MATCH($G866,'Catalog'!$A:$A,0)),$B866))</f>
        <v>078G-S חגורת גב אפורה</v>
      </c>
      <c r="I866" s="8" t="str">
        <f aca="false">IF($G866="","Unmatched","Matched")</f>
        <v>Matched</v>
      </c>
    </row>
    <row r="867" customFormat="false" ht="15" hidden="false" customHeight="false" outlineLevel="0" collapsed="false">
      <c r="A867" s="8" t="s">
        <v>572</v>
      </c>
      <c r="B867" s="8" t="s">
        <v>686</v>
      </c>
      <c r="C867" s="19" t="n">
        <v>7</v>
      </c>
      <c r="D867" s="19" t="n">
        <v>225.81</v>
      </c>
      <c r="E867" s="19" t="n">
        <v>14</v>
      </c>
      <c r="F867" s="19" t="n">
        <v>460.8</v>
      </c>
      <c r="G867" s="8" t="n">
        <f aca="false">IFERROR(INDEX('TRANS'!$B:$B,MATCH($B867,'TRANS'!$A:$A,0)),IFERROR(INDEX('TRANS'!$B:$B,MATCH(TRIM(SUBSTITUTE($B867,CHAR(160)," ")),'TRANS'!$D:$D,0)),IFERROR(INDEX('Catalog'!$A:$A,MATCH($B867,'Catalog'!$B:$B,0)),IFERROR(INDEX('Catalog'!$A:$A,MATCH(TRIM(SUBSTITUTE($B867,CHAR(160)," ")),'Catalog'!$C:$C,0)),""))))</f>
        <v>4408046</v>
      </c>
      <c r="H867" s="8" t="str">
        <f aca="false">IFERROR(INDEX('TRANS'!$C:$C,MATCH($B867,'TRANS'!$A:$A,0)),IFERROR(INDEX('Catalog'!$B:$B,MATCH($G867,'Catalog'!$A:$A,0)),$B867))</f>
        <v>20 L חבק יד מתכוון עם צמדן</v>
      </c>
      <c r="I867" s="8" t="str">
        <f aca="false">IF($G867="","Unmatched","Matched")</f>
        <v>Matched</v>
      </c>
    </row>
    <row r="868" customFormat="false" ht="15" hidden="false" customHeight="false" outlineLevel="0" collapsed="false">
      <c r="A868" s="8" t="s">
        <v>572</v>
      </c>
      <c r="B868" s="8" t="s">
        <v>562</v>
      </c>
      <c r="C868" s="19" t="n">
        <v>4</v>
      </c>
      <c r="D868" s="19" t="n">
        <v>128.5</v>
      </c>
      <c r="E868" s="19" t="n">
        <v>8</v>
      </c>
      <c r="F868" s="19" t="n">
        <v>259.2</v>
      </c>
      <c r="G868" s="8" t="n">
        <f aca="false">IFERROR(INDEX('TRANS'!$B:$B,MATCH($B868,'TRANS'!$A:$A,0)),IFERROR(INDEX('TRANS'!$B:$B,MATCH(TRIM(SUBSTITUTE($B868,CHAR(160)," ")),'TRANS'!$D:$D,0)),IFERROR(INDEX('Catalog'!$A:$A,MATCH($B868,'Catalog'!$B:$B,0)),IFERROR(INDEX('Catalog'!$A:$A,MATCH(TRIM(SUBSTITUTE($B868,CHAR(160)," ")),'Catalog'!$C:$C,0)),""))))</f>
        <v>4408049</v>
      </c>
      <c r="H868" s="8" t="str">
        <f aca="false">IFERROR(INDEX('TRANS'!$C:$C,MATCH($B868,'TRANS'!$A:$A,0)),IFERROR(INDEX('Catalog'!$B:$B,MATCH($G868,'Catalog'!$A:$A,0)),$B868))</f>
        <v>20 XL חבק יד מתכוון עם צמדן</v>
      </c>
      <c r="I868" s="8" t="str">
        <f aca="false">IF($G868="","Unmatched","Matched")</f>
        <v>Matched</v>
      </c>
    </row>
    <row r="869" customFormat="false" ht="15" hidden="false" customHeight="false" outlineLevel="0" collapsed="false">
      <c r="A869" s="8" t="s">
        <v>572</v>
      </c>
      <c r="B869" s="8" t="s">
        <v>347</v>
      </c>
      <c r="C869" s="19" t="n">
        <v>19</v>
      </c>
      <c r="D869" s="19" t="n">
        <v>748.75</v>
      </c>
      <c r="E869" s="19" t="n">
        <v>10</v>
      </c>
      <c r="F869" s="19" t="n">
        <v>395.28</v>
      </c>
      <c r="G869" s="8" t="n">
        <f aca="false">IFERROR(INDEX('TRANS'!$B:$B,MATCH($B869,'TRANS'!$A:$A,0)),IFERROR(INDEX('TRANS'!$B:$B,MATCH(TRIM(SUBSTITUTE($B869,CHAR(160)," ")),'TRANS'!$D:$D,0)),IFERROR(INDEX('Catalog'!$A:$A,MATCH($B869,'Catalog'!$B:$B,0)),IFERROR(INDEX('Catalog'!$A:$A,MATCH(TRIM(SUBSTITUTE($B869,CHAR(160)," ")),'Catalog'!$C:$C,0)),""))))</f>
        <v>4408052</v>
      </c>
      <c r="H869" s="8" t="str">
        <f aca="false">IFERROR(INDEX('TRANS'!$C:$C,MATCH($B869,'TRANS'!$A:$A,0)),IFERROR(INDEX('Catalog'!$B:$B,MATCH($G869,'Catalog'!$A:$A,0)),$B869))</f>
        <v>21 L  חבק יד ארוך</v>
      </c>
      <c r="I869" s="8" t="str">
        <f aca="false">IF($G869="","Unmatched","Matched")</f>
        <v>Matched</v>
      </c>
    </row>
    <row r="870" customFormat="false" ht="15" hidden="false" customHeight="false" outlineLevel="0" collapsed="false">
      <c r="A870" s="8" t="s">
        <v>572</v>
      </c>
      <c r="B870" s="8" t="s">
        <v>92</v>
      </c>
      <c r="C870" s="19" t="n">
        <v>24</v>
      </c>
      <c r="D870" s="19" t="n">
        <v>951</v>
      </c>
      <c r="E870" s="19" t="n">
        <v>17</v>
      </c>
      <c r="F870" s="19" t="n">
        <v>673.83</v>
      </c>
      <c r="G870" s="8" t="n">
        <f aca="false">IFERROR(INDEX('TRANS'!$B:$B,MATCH($B870,'TRANS'!$A:$A,0)),IFERROR(INDEX('TRANS'!$B:$B,MATCH(TRIM(SUBSTITUTE($B870,CHAR(160)," ")),'TRANS'!$D:$D,0)),IFERROR(INDEX('Catalog'!$A:$A,MATCH($B870,'Catalog'!$B:$B,0)),IFERROR(INDEX('Catalog'!$A:$A,MATCH(TRIM(SUBSTITUTE($B870,CHAR(160)," ")),'Catalog'!$C:$C,0)),""))))</f>
        <v>4408053</v>
      </c>
      <c r="H870" s="8" t="str">
        <f aca="false">IFERROR(INDEX('TRANS'!$C:$C,MATCH($B870,'TRANS'!$A:$A,0)),IFERROR(INDEX('Catalog'!$B:$B,MATCH($G870,'Catalog'!$A:$A,0)),$B870))</f>
        <v>21 M  חבק יד ארוך</v>
      </c>
      <c r="I870" s="8" t="str">
        <f aca="false">IF($G870="","Unmatched","Matched")</f>
        <v>Matched</v>
      </c>
    </row>
    <row r="871" customFormat="false" ht="15" hidden="false" customHeight="false" outlineLevel="0" collapsed="false">
      <c r="A871" s="8" t="s">
        <v>572</v>
      </c>
      <c r="B871" s="8" t="s">
        <v>348</v>
      </c>
      <c r="C871" s="19" t="n">
        <v>17</v>
      </c>
      <c r="D871" s="19" t="n">
        <v>673.86</v>
      </c>
      <c r="E871" s="19" t="n">
        <v>8</v>
      </c>
      <c r="F871" s="19" t="n">
        <v>318.36</v>
      </c>
      <c r="G871" s="8" t="n">
        <f aca="false">IFERROR(INDEX('TRANS'!$B:$B,MATCH($B871,'TRANS'!$A:$A,0)),IFERROR(INDEX('TRANS'!$B:$B,MATCH(TRIM(SUBSTITUTE($B871,CHAR(160)," ")),'TRANS'!$D:$D,0)),IFERROR(INDEX('Catalog'!$A:$A,MATCH($B871,'Catalog'!$B:$B,0)),IFERROR(INDEX('Catalog'!$A:$A,MATCH(TRIM(SUBSTITUTE($B871,CHAR(160)," ")),'Catalog'!$C:$C,0)),""))))</f>
        <v>4408051</v>
      </c>
      <c r="H871" s="8" t="str">
        <f aca="false">IFERROR(INDEX('TRANS'!$C:$C,MATCH($B871,'TRANS'!$A:$A,0)),IFERROR(INDEX('Catalog'!$B:$B,MATCH($G871,'Catalog'!$A:$A,0)),$B871))</f>
        <v>21 S  חבק יד ארוך</v>
      </c>
      <c r="I871" s="8" t="str">
        <f aca="false">IF($G871="","Unmatched","Matched")</f>
        <v>Matched</v>
      </c>
    </row>
    <row r="872" customFormat="false" ht="15" hidden="false" customHeight="false" outlineLevel="0" collapsed="false">
      <c r="A872" s="8" t="s">
        <v>572</v>
      </c>
      <c r="B872" s="8" t="s">
        <v>349</v>
      </c>
      <c r="C872" s="19" t="n">
        <v>13</v>
      </c>
      <c r="D872" s="19" t="n">
        <v>514.66</v>
      </c>
      <c r="E872" s="19" t="n">
        <v>9</v>
      </c>
      <c r="F872" s="19" t="n">
        <v>358.16</v>
      </c>
      <c r="G872" s="8" t="n">
        <f aca="false">IFERROR(INDEX('TRANS'!$B:$B,MATCH($B872,'TRANS'!$A:$A,0)),IFERROR(INDEX('TRANS'!$B:$B,MATCH(TRIM(SUBSTITUTE($B872,CHAR(160)," ")),'TRANS'!$D:$D,0)),IFERROR(INDEX('Catalog'!$A:$A,MATCH($B872,'Catalog'!$B:$B,0)),IFERROR(INDEX('Catalog'!$A:$A,MATCH(TRIM(SUBSTITUTE($B872,CHAR(160)," ")),'Catalog'!$C:$C,0)),""))))</f>
        <v>4408054</v>
      </c>
      <c r="H872" s="8" t="str">
        <f aca="false">IFERROR(INDEX('TRANS'!$C:$C,MATCH($B872,'TRANS'!$A:$A,0)),IFERROR(INDEX('Catalog'!$B:$B,MATCH($G872,'Catalog'!$A:$A,0)),$B872))</f>
        <v>21 XL חבק יד ארוך</v>
      </c>
      <c r="I872" s="8" t="str">
        <f aca="false">IF($G872="","Unmatched","Matched")</f>
        <v>Matched</v>
      </c>
    </row>
    <row r="873" customFormat="false" ht="15" hidden="false" customHeight="false" outlineLevel="0" collapsed="false">
      <c r="A873" s="8" t="s">
        <v>572</v>
      </c>
      <c r="B873" s="8" t="s">
        <v>687</v>
      </c>
      <c r="C873" s="19" t="n">
        <v>10</v>
      </c>
      <c r="D873" s="19" t="n">
        <v>647.41</v>
      </c>
      <c r="E873" s="19" t="n">
        <v>0</v>
      </c>
      <c r="F873" s="19" t="n">
        <v>0</v>
      </c>
      <c r="G873" s="8" t="str">
        <f aca="false">IFERROR(INDEX('TRANS'!$B:$B,MATCH($B873,'TRANS'!$A:$A,0)),IFERROR(INDEX('TRANS'!$B:$B,MATCH(TRIM(SUBSTITUTE($B873,CHAR(160)," ")),'TRANS'!$D:$D,0)),IFERROR(INDEX('Catalog'!$A:$A,MATCH($B873,'Catalog'!$B:$B,0)),IFERROR(INDEX('Catalog'!$A:$A,MATCH(TRIM(SUBSTITUTE($B873,CHAR(160)," ")),'Catalog'!$C:$C,0)),""))))</f>
        <v/>
      </c>
      <c r="H873" s="8" t="str">
        <f aca="false">IFERROR(INDEX('TRANS'!$C:$C,MATCH($B873,'TRANS'!$A:$A,0)),IFERROR(INDEX('Catalog'!$B:$B,MATCH($G873,'Catalog'!$A:$A,0)),$B873))</f>
        <v>30 L</v>
      </c>
      <c r="I873" s="8" t="str">
        <f aca="false">IF($G873="","Unmatched","Matched")</f>
        <v>Unmatched</v>
      </c>
    </row>
    <row r="874" customFormat="false" ht="15" hidden="false" customHeight="false" outlineLevel="0" collapsed="false">
      <c r="A874" s="8" t="s">
        <v>572</v>
      </c>
      <c r="B874" s="8" t="s">
        <v>112</v>
      </c>
      <c r="C874" s="19" t="n">
        <v>4</v>
      </c>
      <c r="D874" s="19" t="n">
        <v>252.74</v>
      </c>
      <c r="E874" s="19" t="n">
        <v>0</v>
      </c>
      <c r="F874" s="19" t="n">
        <v>0</v>
      </c>
      <c r="G874" s="8" t="str">
        <f aca="false">IFERROR(INDEX('TRANS'!$B:$B,MATCH($B874,'TRANS'!$A:$A,0)),IFERROR(INDEX('TRANS'!$B:$B,MATCH(TRIM(SUBSTITUTE($B874,CHAR(160)," ")),'TRANS'!$D:$D,0)),IFERROR(INDEX('Catalog'!$A:$A,MATCH($B874,'Catalog'!$B:$B,0)),IFERROR(INDEX('Catalog'!$A:$A,MATCH(TRIM(SUBSTITUTE($B874,CHAR(160)," ")),'Catalog'!$C:$C,0)),""))))</f>
        <v/>
      </c>
      <c r="H874" s="8" t="str">
        <f aca="false">IFERROR(INDEX('TRANS'!$C:$C,MATCH($B874,'TRANS'!$A:$A,0)),IFERROR(INDEX('Catalog'!$B:$B,MATCH($G874,'Catalog'!$A:$A,0)),$B874))</f>
        <v>30 M</v>
      </c>
      <c r="I874" s="8" t="str">
        <f aca="false">IF($G874="","Unmatched","Matched")</f>
        <v>Unmatched</v>
      </c>
    </row>
    <row r="875" customFormat="false" ht="15" hidden="false" customHeight="false" outlineLevel="0" collapsed="false">
      <c r="A875" s="8" t="s">
        <v>572</v>
      </c>
      <c r="B875" s="8" t="s">
        <v>113</v>
      </c>
      <c r="C875" s="19" t="n">
        <v>6</v>
      </c>
      <c r="D875" s="19" t="n">
        <v>385.39</v>
      </c>
      <c r="E875" s="19" t="n">
        <v>1</v>
      </c>
      <c r="F875" s="19" t="n">
        <v>66.51</v>
      </c>
      <c r="G875" s="8" t="str">
        <f aca="false">IFERROR(INDEX('TRANS'!$B:$B,MATCH($B875,'TRANS'!$A:$A,0)),IFERROR(INDEX('TRANS'!$B:$B,MATCH(TRIM(SUBSTITUTE($B875,CHAR(160)," ")),'TRANS'!$D:$D,0)),IFERROR(INDEX('Catalog'!$A:$A,MATCH($B875,'Catalog'!$B:$B,0)),IFERROR(INDEX('Catalog'!$A:$A,MATCH(TRIM(SUBSTITUTE($B875,CHAR(160)," ")),'Catalog'!$C:$C,0)),""))))</f>
        <v/>
      </c>
      <c r="H875" s="8" t="str">
        <f aca="false">IFERROR(INDEX('TRANS'!$C:$C,MATCH($B875,'TRANS'!$A:$A,0)),IFERROR(INDEX('Catalog'!$B:$B,MATCH($G875,'Catalog'!$A:$A,0)),$B875))</f>
        <v>30 XL</v>
      </c>
      <c r="I875" s="8" t="str">
        <f aca="false">IF($G875="","Unmatched","Matched")</f>
        <v>Unmatched</v>
      </c>
    </row>
    <row r="876" customFormat="false" ht="15" hidden="false" customHeight="false" outlineLevel="0" collapsed="false">
      <c r="A876" s="8" t="s">
        <v>572</v>
      </c>
      <c r="B876" s="8" t="s">
        <v>688</v>
      </c>
      <c r="C876" s="19" t="n">
        <v>2</v>
      </c>
      <c r="D876" s="19" t="n">
        <v>160.02</v>
      </c>
      <c r="E876" s="19" t="n">
        <v>0</v>
      </c>
      <c r="F876" s="19" t="n">
        <v>0</v>
      </c>
      <c r="G876" s="8" t="str">
        <f aca="false">IFERROR(INDEX('TRANS'!$B:$B,MATCH($B876,'TRANS'!$A:$A,0)),IFERROR(INDEX('TRANS'!$B:$B,MATCH(TRIM(SUBSTITUTE($B876,CHAR(160)," ")),'TRANS'!$D:$D,0)),IFERROR(INDEX('Catalog'!$A:$A,MATCH($B876,'Catalog'!$B:$B,0)),IFERROR(INDEX('Catalog'!$A:$A,MATCH(TRIM(SUBSTITUTE($B876,CHAR(160)," ")),'Catalog'!$C:$C,0)),""))))</f>
        <v/>
      </c>
      <c r="H876" s="8" t="str">
        <f aca="false">IFERROR(INDEX('TRANS'!$C:$C,MATCH($B876,'TRANS'!$A:$A,0)),IFERROR(INDEX('Catalog'!$B:$B,MATCH($G876,'Catalog'!$A:$A,0)),$B876))</f>
        <v>305GA-47-48</v>
      </c>
      <c r="I876" s="8" t="str">
        <f aca="false">IF($G876="","Unmatched","Matched")</f>
        <v>Unmatched</v>
      </c>
    </row>
    <row r="877" customFormat="false" ht="15" hidden="false" customHeight="false" outlineLevel="0" collapsed="false">
      <c r="A877" s="8" t="s">
        <v>572</v>
      </c>
      <c r="B877" s="8" t="s">
        <v>125</v>
      </c>
      <c r="C877" s="19" t="n">
        <v>29</v>
      </c>
      <c r="D877" s="19" t="n">
        <v>623.59</v>
      </c>
      <c r="E877" s="19" t="n">
        <v>0</v>
      </c>
      <c r="F877" s="19" t="n">
        <v>0</v>
      </c>
      <c r="G877" s="8" t="n">
        <f aca="false">IFERROR(INDEX('TRANS'!$B:$B,MATCH($B877,'TRANS'!$A:$A,0)),IFERROR(INDEX('TRANS'!$B:$B,MATCH(TRIM(SUBSTITUTE($B877,CHAR(160)," ")),'TRANS'!$D:$D,0)),IFERROR(INDEX('Catalog'!$A:$A,MATCH($B877,'Catalog'!$B:$B,0)),IFERROR(INDEX('Catalog'!$A:$A,MATCH(TRIM(SUBSTITUTE($B877,CHAR(160)," ")),'Catalog'!$C:$C,0)),""))))</f>
        <v>4413034</v>
      </c>
      <c r="H877" s="8" t="str">
        <f aca="false">IFERROR(INDEX('TRANS'!$C:$C,MATCH($B877,'TRANS'!$A:$A,0)),IFERROR(INDEX('Catalog'!$B:$B,MATCH($G877,'Catalog'!$A:$A,0)),$B877))</f>
        <v>312 9 מ""""ס להתאמהX5 מדבקה גדולה</v>
      </c>
      <c r="I877" s="8" t="str">
        <f aca="false">IF($G877="","Unmatched","Matched")</f>
        <v>Matched</v>
      </c>
    </row>
    <row r="878" customFormat="false" ht="15" hidden="false" customHeight="false" outlineLevel="0" collapsed="false">
      <c r="A878" s="8" t="s">
        <v>572</v>
      </c>
      <c r="B878" s="8" t="s">
        <v>141</v>
      </c>
      <c r="C878" s="19" t="n">
        <v>12</v>
      </c>
      <c r="D878" s="19" t="n">
        <v>367.57</v>
      </c>
      <c r="E878" s="19" t="n">
        <v>10</v>
      </c>
      <c r="F878" s="19" t="n">
        <v>306.85</v>
      </c>
      <c r="G878" s="8" t="n">
        <f aca="false">IFERROR(INDEX('TRANS'!$B:$B,MATCH($B878,'TRANS'!$A:$A,0)),IFERROR(INDEX('TRANS'!$B:$B,MATCH(TRIM(SUBSTITUTE($B878,CHAR(160)," ")),'TRANS'!$D:$D,0)),IFERROR(INDEX('Catalog'!$A:$A,MATCH($B878,'Catalog'!$B:$B,0)),IFERROR(INDEX('Catalog'!$A:$A,MATCH(TRIM(SUBSTITUTE($B878,CHAR(160)," ")),'Catalog'!$C:$C,0)),""))))</f>
        <v>4413054</v>
      </c>
      <c r="H878" s="8" t="str">
        <f aca="false">IFERROR(INDEX('TRANS'!$C:$C,MATCH($B878,'TRANS'!$A:$A,0)),IFERROR(INDEX('Catalog'!$B:$B,MATCH($G878,'Catalog'!$A:$A,0)),$B878))</f>
        <v>35C M מגן קרסול חום</v>
      </c>
      <c r="I878" s="8" t="str">
        <f aca="false">IF($G878="","Unmatched","Matched")</f>
        <v>Matched</v>
      </c>
    </row>
    <row r="879" customFormat="false" ht="15" hidden="false" customHeight="false" outlineLevel="0" collapsed="false">
      <c r="A879" s="8" t="s">
        <v>572</v>
      </c>
      <c r="B879" s="8" t="s">
        <v>363</v>
      </c>
      <c r="C879" s="19" t="n">
        <v>11</v>
      </c>
      <c r="D879" s="19" t="n">
        <v>336.68</v>
      </c>
      <c r="E879" s="19" t="n">
        <v>11</v>
      </c>
      <c r="F879" s="19" t="n">
        <v>339.8</v>
      </c>
      <c r="G879" s="8" t="n">
        <f aca="false">IFERROR(INDEX('TRANS'!$B:$B,MATCH($B879,'TRANS'!$A:$A,0)),IFERROR(INDEX('TRANS'!$B:$B,MATCH(TRIM(SUBSTITUTE($B879,CHAR(160)," ")),'TRANS'!$D:$D,0)),IFERROR(INDEX('Catalog'!$A:$A,MATCH($B879,'Catalog'!$B:$B,0)),IFERROR(INDEX('Catalog'!$A:$A,MATCH(TRIM(SUBSTITUTE($B879,CHAR(160)," ")),'Catalog'!$C:$C,0)),""))))</f>
        <v>4413055</v>
      </c>
      <c r="H879" s="8" t="str">
        <f aca="false">IFERROR(INDEX('TRANS'!$C:$C,MATCH($B879,'TRANS'!$A:$A,0)),IFERROR(INDEX('Catalog'!$B:$B,MATCH($G879,'Catalog'!$A:$A,0)),$B879))</f>
        <v>35C XL מגן קרסול חום</v>
      </c>
      <c r="I879" s="8" t="str">
        <f aca="false">IF($G879="","Unmatched","Matched")</f>
        <v>Matched</v>
      </c>
    </row>
    <row r="880" customFormat="false" ht="15" hidden="false" customHeight="false" outlineLevel="0" collapsed="false">
      <c r="A880" s="8" t="s">
        <v>572</v>
      </c>
      <c r="B880" s="8" t="s">
        <v>689</v>
      </c>
      <c r="C880" s="19" t="n">
        <v>7</v>
      </c>
      <c r="D880" s="19" t="n">
        <v>232.52</v>
      </c>
      <c r="E880" s="19" t="n">
        <v>4</v>
      </c>
      <c r="F880" s="19" t="n">
        <v>215.92</v>
      </c>
      <c r="G880" s="8" t="str">
        <f aca="false">IFERROR(INDEX('TRANS'!$B:$B,MATCH($B880,'TRANS'!$A:$A,0)),IFERROR(INDEX('TRANS'!$B:$B,MATCH(TRIM(SUBSTITUTE($B880,CHAR(160)," ")),'TRANS'!$D:$D,0)),IFERROR(INDEX('Catalog'!$A:$A,MATCH($B880,'Catalog'!$B:$B,0)),IFERROR(INDEX('Catalog'!$A:$A,MATCH(TRIM(SUBSTITUTE($B880,CHAR(160)," ")),'Catalog'!$C:$C,0)),""))))</f>
        <v/>
      </c>
      <c r="H880" s="8" t="str">
        <f aca="false">IFERROR(INDEX('TRANS'!$C:$C,MATCH($B880,'TRANS'!$A:$A,0)),IFERROR(INDEX('Catalog'!$B:$B,MATCH($G880,'Catalog'!$A:$A,0)),$B880))</f>
        <v>61 L</v>
      </c>
      <c r="I880" s="8" t="str">
        <f aca="false">IF($G880="","Unmatched","Matched")</f>
        <v>Unmatched</v>
      </c>
    </row>
    <row r="881" customFormat="false" ht="15" hidden="false" customHeight="false" outlineLevel="0" collapsed="false">
      <c r="A881" s="8" t="s">
        <v>572</v>
      </c>
      <c r="B881" s="8" t="s">
        <v>280</v>
      </c>
      <c r="C881" s="19" t="n">
        <v>114</v>
      </c>
      <c r="D881" s="19" t="n">
        <v>2245.01</v>
      </c>
      <c r="E881" s="19" t="n">
        <v>45</v>
      </c>
      <c r="F881" s="19" t="n">
        <v>909.47</v>
      </c>
      <c r="G881" s="8" t="n">
        <f aca="false">IFERROR(INDEX('TRANS'!$B:$B,MATCH($B881,'TRANS'!$A:$A,0)),IFERROR(INDEX('TRANS'!$B:$B,MATCH(TRIM(SUBSTITUTE($B881,CHAR(160)," ")),'TRANS'!$D:$D,0)),IFERROR(INDEX('Catalog'!$A:$A,MATCH($B881,'Catalog'!$B:$B,0)),IFERROR(INDEX('Catalog'!$A:$A,MATCH(TRIM(SUBSTITUTE($B881,CHAR(160)," ")),'Catalog'!$C:$C,0)),""))))</f>
        <v>4422035</v>
      </c>
      <c r="H881" s="8" t="str">
        <f aca="false">IFERROR(INDEX('TRANS'!$C:$C,MATCH($B881,'TRANS'!$A:$A,0)),IFERROR(INDEX('Catalog'!$B:$B,MATCH($G881,'Catalog'!$A:$A,0)),$B881))</f>
        <v>FCתרסיס דאודורנט אנטיבק.נעל333</v>
      </c>
      <c r="I881" s="8" t="str">
        <f aca="false">IF($G881="","Unmatched","Matched")</f>
        <v>Matched</v>
      </c>
    </row>
    <row r="882" customFormat="false" ht="15" hidden="false" customHeight="false" outlineLevel="0" collapsed="false">
      <c r="A882" s="8" t="s">
        <v>572</v>
      </c>
      <c r="B882" s="8" t="s">
        <v>514</v>
      </c>
      <c r="C882" s="19" t="n">
        <v>54</v>
      </c>
      <c r="D882" s="19" t="n">
        <v>1053.08</v>
      </c>
      <c r="E882" s="19" t="n">
        <v>30</v>
      </c>
      <c r="F882" s="19" t="n">
        <v>645.86</v>
      </c>
      <c r="G882" s="8" t="n">
        <f aca="false">IFERROR(INDEX('TRANS'!$B:$B,MATCH($B882,'TRANS'!$A:$A,0)),IFERROR(INDEX('TRANS'!$B:$B,MATCH(TRIM(SUBSTITUTE($B882,CHAR(160)," ")),'TRANS'!$D:$D,0)),IFERROR(INDEX('Catalog'!$A:$A,MATCH($B882,'Catalog'!$B:$B,0)),IFERROR(INDEX('Catalog'!$A:$A,MATCH(TRIM(SUBSTITUTE($B882,CHAR(160)," ")),'Catalog'!$C:$C,0)),""))))</f>
        <v>4422036</v>
      </c>
      <c r="H882" s="8" t="str">
        <f aca="false">IFERROR(INDEX('TRANS'!$C:$C,MATCH($B882,'TRANS'!$A:$A,0)),IFERROR(INDEX('Catalog'!$B:$B,MATCH($G882,'Catalog'!$A:$A,0)),$B882))</f>
        <v>FC334  תרסיס דאודורנט לכף הרגל</v>
      </c>
      <c r="I882" s="8" t="str">
        <f aca="false">IF($G882="","Unmatched","Matched")</f>
        <v>Matched</v>
      </c>
    </row>
    <row r="883" customFormat="false" ht="15" hidden="false" customHeight="false" outlineLevel="0" collapsed="false">
      <c r="A883" s="8" t="s">
        <v>572</v>
      </c>
      <c r="B883" s="8" t="s">
        <v>690</v>
      </c>
      <c r="C883" s="19" t="n">
        <v>2</v>
      </c>
      <c r="D883" s="19" t="n">
        <v>182.98</v>
      </c>
      <c r="E883" s="19" t="n">
        <v>3</v>
      </c>
      <c r="F883" s="19" t="n">
        <v>283.91</v>
      </c>
      <c r="G883" s="8" t="n">
        <f aca="false">IFERROR(INDEX('TRANS'!$B:$B,MATCH($B883,'TRANS'!$A:$A,0)),IFERROR(INDEX('TRANS'!$B:$B,MATCH(TRIM(SUBSTITUTE($B883,CHAR(160)," ")),'TRANS'!$D:$D,0)),IFERROR(INDEX('Catalog'!$A:$A,MATCH($B883,'Catalog'!$B:$B,0)),IFERROR(INDEX('Catalog'!$A:$A,MATCH(TRIM(SUBSTITUTE($B883,CHAR(160)," ")),'Catalog'!$C:$C,0)),""))))</f>
        <v>4408090</v>
      </c>
      <c r="H883" s="8" t="str">
        <f aca="false">IFERROR(INDEX('TRANS'!$C:$C,MATCH($B883,'TRANS'!$A:$A,0)),IFERROR(INDEX('Catalog'!$B:$B,MATCH($G883,'Catalog'!$A:$A,0)),$B883))</f>
        <v>T11C L  חגורת גב פוג'יאמה</v>
      </c>
      <c r="I883" s="8" t="str">
        <f aca="false">IF($G883="","Unmatched","Matched")</f>
        <v>Matched</v>
      </c>
    </row>
    <row r="884" customFormat="false" ht="15" hidden="false" customHeight="false" outlineLevel="0" collapsed="false">
      <c r="A884" s="8" t="s">
        <v>572</v>
      </c>
      <c r="B884" s="8" t="s">
        <v>691</v>
      </c>
      <c r="C884" s="19" t="n">
        <v>1</v>
      </c>
      <c r="D884" s="19" t="n">
        <v>170.13</v>
      </c>
      <c r="E884" s="19" t="n">
        <v>0</v>
      </c>
      <c r="F884" s="19" t="n">
        <v>0</v>
      </c>
      <c r="G884" s="8" t="str">
        <f aca="false">IFERROR(INDEX('TRANS'!$B:$B,MATCH($B884,'TRANS'!$A:$A,0)),IFERROR(INDEX('TRANS'!$B:$B,MATCH(TRIM(SUBSTITUTE($B884,CHAR(160)," ")),'TRANS'!$D:$D,0)),IFERROR(INDEX('Catalog'!$A:$A,MATCH($B884,'Catalog'!$B:$B,0)),IFERROR(INDEX('Catalog'!$A:$A,MATCH(TRIM(SUBSTITUTE($B884,CHAR(160)," ")),'Catalog'!$C:$C,0)),""))))</f>
        <v/>
      </c>
      <c r="H884" s="8" t="str">
        <f aca="false">IFERROR(INDEX('TRANS'!$C:$C,MATCH($B884,'TRANS'!$A:$A,0)),IFERROR(INDEX('Catalog'!$B:$B,MATCH($G884,'Catalog'!$A:$A,0)),$B884))</f>
        <v>06 L</v>
      </c>
      <c r="I884" s="8" t="str">
        <f aca="false">IF($G884="","Unmatched","Matched")</f>
        <v>Unmatched</v>
      </c>
    </row>
    <row r="885" customFormat="false" ht="15" hidden="false" customHeight="false" outlineLevel="0" collapsed="false">
      <c r="A885" s="8" t="s">
        <v>572</v>
      </c>
      <c r="B885" s="8" t="s">
        <v>692</v>
      </c>
      <c r="C885" s="19" t="n">
        <v>1</v>
      </c>
      <c r="D885" s="19" t="n">
        <v>170.14</v>
      </c>
      <c r="E885" s="19" t="n">
        <v>0</v>
      </c>
      <c r="F885" s="19" t="n">
        <v>0</v>
      </c>
      <c r="G885" s="8" t="str">
        <f aca="false">IFERROR(INDEX('TRANS'!$B:$B,MATCH($B885,'TRANS'!$A:$A,0)),IFERROR(INDEX('TRANS'!$B:$B,MATCH(TRIM(SUBSTITUTE($B885,CHAR(160)," ")),'TRANS'!$D:$D,0)),IFERROR(INDEX('Catalog'!$A:$A,MATCH($B885,'Catalog'!$B:$B,0)),IFERROR(INDEX('Catalog'!$A:$A,MATCH(TRIM(SUBSTITUTE($B885,CHAR(160)," ")),'Catalog'!$C:$C,0)),""))))</f>
        <v/>
      </c>
      <c r="H885" s="8" t="str">
        <f aca="false">IFERROR(INDEX('TRANS'!$C:$C,MATCH($B885,'TRANS'!$A:$A,0)),IFERROR(INDEX('Catalog'!$B:$B,MATCH($G885,'Catalog'!$A:$A,0)),$B885))</f>
        <v>06 XXL</v>
      </c>
      <c r="I885" s="8" t="str">
        <f aca="false">IF($G885="","Unmatched","Matched")</f>
        <v>Unmatched</v>
      </c>
    </row>
    <row r="886" customFormat="false" ht="15" hidden="false" customHeight="false" outlineLevel="0" collapsed="false">
      <c r="A886" s="8" t="s">
        <v>572</v>
      </c>
      <c r="B886" s="8" t="s">
        <v>693</v>
      </c>
      <c r="C886" s="19" t="n">
        <v>1</v>
      </c>
      <c r="D886" s="19" t="n">
        <v>99</v>
      </c>
      <c r="E886" s="19" t="n">
        <v>0</v>
      </c>
      <c r="F886" s="19" t="n">
        <v>0</v>
      </c>
      <c r="G886" s="8" t="str">
        <f aca="false">IFERROR(INDEX('TRANS'!$B:$B,MATCH($B886,'TRANS'!$A:$A,0)),IFERROR(INDEX('TRANS'!$B:$B,MATCH(TRIM(SUBSTITUTE($B886,CHAR(160)," ")),'TRANS'!$D:$D,0)),IFERROR(INDEX('Catalog'!$A:$A,MATCH($B886,'Catalog'!$B:$B,0)),IFERROR(INDEX('Catalog'!$A:$A,MATCH(TRIM(SUBSTITUTE($B886,CHAR(160)," ")),'Catalog'!$C:$C,0)),""))))</f>
        <v/>
      </c>
      <c r="H886" s="8" t="str">
        <f aca="false">IFERROR(INDEX('TRANS'!$C:$C,MATCH($B886,'TRANS'!$A:$A,0)),IFERROR(INDEX('Catalog'!$B:$B,MATCH($G886,'Catalog'!$A:$A,0)),$B886))</f>
        <v>06U XXL</v>
      </c>
      <c r="I886" s="8" t="str">
        <f aca="false">IF($G886="","Unmatched","Matched")</f>
        <v>Unmatched</v>
      </c>
    </row>
    <row r="887" customFormat="false" ht="15" hidden="false" customHeight="false" outlineLevel="0" collapsed="false">
      <c r="A887" s="8" t="s">
        <v>572</v>
      </c>
      <c r="B887" s="8" t="s">
        <v>694</v>
      </c>
      <c r="C887" s="19" t="n">
        <v>0</v>
      </c>
      <c r="D887" s="19" t="n">
        <v>0</v>
      </c>
      <c r="E887" s="19" t="n">
        <v>1</v>
      </c>
      <c r="F887" s="19" t="n">
        <v>220.01</v>
      </c>
      <c r="G887" s="8" t="n">
        <f aca="false">IFERROR(INDEX('TRANS'!$B:$B,MATCH($B887,'TRANS'!$A:$A,0)),IFERROR(INDEX('TRANS'!$B:$B,MATCH(TRIM(SUBSTITUTE($B887,CHAR(160)," ")),'TRANS'!$D:$D,0)),IFERROR(INDEX('Catalog'!$A:$A,MATCH($B887,'Catalog'!$B:$B,0)),IFERROR(INDEX('Catalog'!$A:$A,MATCH(TRIM(SUBSTITUTE($B887,CHAR(160)," ")),'Catalog'!$C:$C,0)),""))))</f>
        <v>4408014</v>
      </c>
      <c r="H887" s="8" t="str">
        <f aca="false">IFERROR(INDEX('TRANS'!$C:$C,MATCH($B887,'TRANS'!$A:$A,0)),IFERROR(INDEX('Catalog'!$B:$B,MATCH($G887,'Catalog'!$A:$A,0)),$B887))</f>
        <v>07AU S ח.גב """"איטלקית"""" אורירית</v>
      </c>
      <c r="I887" s="8" t="str">
        <f aca="false">IF($G887="","Unmatched","Matched")</f>
        <v>Matched</v>
      </c>
    </row>
    <row r="888" customFormat="false" ht="15" hidden="false" customHeight="false" outlineLevel="0" collapsed="false">
      <c r="A888" s="8" t="s">
        <v>572</v>
      </c>
      <c r="B888" s="8" t="s">
        <v>695</v>
      </c>
      <c r="C888" s="19" t="n">
        <v>7</v>
      </c>
      <c r="D888" s="19" t="n">
        <v>594.98</v>
      </c>
      <c r="E888" s="19" t="n">
        <v>1</v>
      </c>
      <c r="F888" s="19" t="n">
        <v>84.98</v>
      </c>
      <c r="G888" s="8" t="n">
        <f aca="false">IFERROR(INDEX('TRANS'!$B:$B,MATCH($B888,'TRANS'!$A:$A,0)),IFERROR(INDEX('TRANS'!$B:$B,MATCH(TRIM(SUBSTITUTE($B888,CHAR(160)," ")),'TRANS'!$D:$D,0)),IFERROR(INDEX('Catalog'!$A:$A,MATCH($B888,'Catalog'!$B:$B,0)),IFERROR(INDEX('Catalog'!$A:$A,MATCH(TRIM(SUBSTITUTE($B888,CHAR(160)," ")),'Catalog'!$C:$C,0)),""))))</f>
        <v>4408031</v>
      </c>
      <c r="H888" s="8" t="str">
        <f aca="false">IFERROR(INDEX('TRANS'!$C:$C,MATCH($B888,'TRANS'!$A:$A,0)),IFERROR(INDEX('Catalog'!$B:$B,MATCH($G888,'Catalog'!$A:$A,0)),$B888))</f>
        <v>11 S""""חגורת בטן""""אורירית</v>
      </c>
      <c r="I888" s="8" t="str">
        <f aca="false">IF($G888="","Unmatched","Matched")</f>
        <v>Matched</v>
      </c>
    </row>
    <row r="889" customFormat="false" ht="15" hidden="false" customHeight="false" outlineLevel="0" collapsed="false">
      <c r="A889" s="8" t="s">
        <v>572</v>
      </c>
      <c r="B889" s="8" t="s">
        <v>133</v>
      </c>
      <c r="C889" s="19" t="n">
        <v>8</v>
      </c>
      <c r="D889" s="19" t="n">
        <v>247.13</v>
      </c>
      <c r="E889" s="19" t="n">
        <v>3</v>
      </c>
      <c r="F889" s="19" t="n">
        <v>92.67</v>
      </c>
      <c r="G889" s="8" t="n">
        <f aca="false">IFERROR(INDEX('TRANS'!$B:$B,MATCH($B889,'TRANS'!$A:$A,0)),IFERROR(INDEX('TRANS'!$B:$B,MATCH(TRIM(SUBSTITUTE($B889,CHAR(160)," ")),'TRANS'!$D:$D,0)),IFERROR(INDEX('Catalog'!$A:$A,MATCH($B889,'Catalog'!$B:$B,0)),IFERROR(INDEX('Catalog'!$A:$A,MATCH(TRIM(SUBSTITUTE($B889,CHAR(160)," ")),'Catalog'!$C:$C,0)),""))))</f>
        <v>4413048</v>
      </c>
      <c r="H889" s="8" t="str">
        <f aca="false">IFERROR(INDEX('TRANS'!$C:$C,MATCH($B889,'TRANS'!$A:$A,0)),IFERROR(INDEX('Catalog'!$B:$B,MATCH($G889,'Catalog'!$A:$A,0)),$B889))</f>
        <v>35 L מגן קרסול לבן</v>
      </c>
      <c r="I889" s="8" t="str">
        <f aca="false">IF($G889="","Unmatched","Matched")</f>
        <v>Matched</v>
      </c>
    </row>
    <row r="890" customFormat="false" ht="15" hidden="false" customHeight="false" outlineLevel="0" collapsed="false">
      <c r="A890" s="8" t="s">
        <v>572</v>
      </c>
      <c r="B890" s="8" t="s">
        <v>134</v>
      </c>
      <c r="C890" s="19" t="n">
        <v>6</v>
      </c>
      <c r="D890" s="19" t="n">
        <v>185.34</v>
      </c>
      <c r="E890" s="19" t="n">
        <v>3</v>
      </c>
      <c r="F890" s="19" t="n">
        <v>92.67</v>
      </c>
      <c r="G890" s="8" t="n">
        <f aca="false">IFERROR(INDEX('TRANS'!$B:$B,MATCH($B890,'TRANS'!$A:$A,0)),IFERROR(INDEX('TRANS'!$B:$B,MATCH(TRIM(SUBSTITUTE($B890,CHAR(160)," ")),'TRANS'!$D:$D,0)),IFERROR(INDEX('Catalog'!$A:$A,MATCH($B890,'Catalog'!$B:$B,0)),IFERROR(INDEX('Catalog'!$A:$A,MATCH(TRIM(SUBSTITUTE($B890,CHAR(160)," ")),'Catalog'!$C:$C,0)),""))))</f>
        <v>4413049</v>
      </c>
      <c r="H890" s="8" t="str">
        <f aca="false">IFERROR(INDEX('TRANS'!$C:$C,MATCH($B890,'TRANS'!$A:$A,0)),IFERROR(INDEX('Catalog'!$B:$B,MATCH($G890,'Catalog'!$A:$A,0)),$B890))</f>
        <v>35 M מגן קרסול לבן</v>
      </c>
      <c r="I890" s="8" t="str">
        <f aca="false">IF($G890="","Unmatched","Matched")</f>
        <v>Matched</v>
      </c>
    </row>
    <row r="891" customFormat="false" ht="15" hidden="false" customHeight="false" outlineLevel="0" collapsed="false">
      <c r="A891" s="8" t="s">
        <v>572</v>
      </c>
      <c r="B891" s="8" t="s">
        <v>359</v>
      </c>
      <c r="C891" s="19" t="n">
        <v>5</v>
      </c>
      <c r="D891" s="19" t="n">
        <v>154.45</v>
      </c>
      <c r="E891" s="19" t="n">
        <v>3</v>
      </c>
      <c r="F891" s="19" t="n">
        <v>92.67</v>
      </c>
      <c r="G891" s="8" t="n">
        <f aca="false">IFERROR(INDEX('TRANS'!$B:$B,MATCH($B891,'TRANS'!$A:$A,0)),IFERROR(INDEX('TRANS'!$B:$B,MATCH(TRIM(SUBSTITUTE($B891,CHAR(160)," ")),'TRANS'!$D:$D,0)),IFERROR(INDEX('Catalog'!$A:$A,MATCH($B891,'Catalog'!$B:$B,0)),IFERROR(INDEX('Catalog'!$A:$A,MATCH(TRIM(SUBSTITUTE($B891,CHAR(160)," ")),'Catalog'!$C:$C,0)),""))))</f>
        <v>4413047</v>
      </c>
      <c r="H891" s="8" t="str">
        <f aca="false">IFERROR(INDEX('TRANS'!$C:$C,MATCH($B891,'TRANS'!$A:$A,0)),IFERROR(INDEX('Catalog'!$B:$B,MATCH($G891,'Catalog'!$A:$A,0)),$B891))</f>
        <v>35 S מגן קרסול לבן</v>
      </c>
      <c r="I891" s="8" t="str">
        <f aca="false">IF($G891="","Unmatched","Matched")</f>
        <v>Matched</v>
      </c>
    </row>
    <row r="892" customFormat="false" ht="15" hidden="false" customHeight="false" outlineLevel="0" collapsed="false">
      <c r="A892" s="8" t="s">
        <v>572</v>
      </c>
      <c r="B892" s="8" t="s">
        <v>360</v>
      </c>
      <c r="C892" s="19" t="n">
        <v>5</v>
      </c>
      <c r="D892" s="19" t="n">
        <v>154.45</v>
      </c>
      <c r="E892" s="19" t="n">
        <v>0</v>
      </c>
      <c r="F892" s="19" t="n">
        <v>0</v>
      </c>
      <c r="G892" s="8" t="n">
        <f aca="false">IFERROR(INDEX('TRANS'!$B:$B,MATCH($B892,'TRANS'!$A:$A,0)),IFERROR(INDEX('TRANS'!$B:$B,MATCH(TRIM(SUBSTITUTE($B892,CHAR(160)," ")),'TRANS'!$D:$D,0)),IFERROR(INDEX('Catalog'!$A:$A,MATCH($B892,'Catalog'!$B:$B,0)),IFERROR(INDEX('Catalog'!$A:$A,MATCH(TRIM(SUBSTITUTE($B892,CHAR(160)," ")),'Catalog'!$C:$C,0)),""))))</f>
        <v>4413050</v>
      </c>
      <c r="H892" s="8" t="str">
        <f aca="false">IFERROR(INDEX('TRANS'!$C:$C,MATCH($B892,'TRANS'!$A:$A,0)),IFERROR(INDEX('Catalog'!$B:$B,MATCH($G892,'Catalog'!$A:$A,0)),$B892))</f>
        <v>35 XL מגן קרסול לבן</v>
      </c>
      <c r="I892" s="8" t="str">
        <f aca="false">IF($G892="","Unmatched","Matched")</f>
        <v>Matched</v>
      </c>
    </row>
    <row r="893" customFormat="false" ht="15" hidden="false" customHeight="false" outlineLevel="0" collapsed="false">
      <c r="A893" s="8" t="s">
        <v>572</v>
      </c>
      <c r="B893" s="8" t="s">
        <v>142</v>
      </c>
      <c r="C893" s="19" t="n">
        <v>9</v>
      </c>
      <c r="D893" s="19" t="n">
        <v>278.04</v>
      </c>
      <c r="E893" s="19" t="n">
        <v>3</v>
      </c>
      <c r="F893" s="19" t="n">
        <v>92.67</v>
      </c>
      <c r="G893" s="8" t="n">
        <f aca="false">IFERROR(INDEX('TRANS'!$B:$B,MATCH($B893,'TRANS'!$A:$A,0)),IFERROR(INDEX('TRANS'!$B:$B,MATCH(TRIM(SUBSTITUTE($B893,CHAR(160)," ")),'TRANS'!$D:$D,0)),IFERROR(INDEX('Catalog'!$A:$A,MATCH($B893,'Catalog'!$B:$B,0)),IFERROR(INDEX('Catalog'!$A:$A,MATCH(TRIM(SUBSTITUTE($B893,CHAR(160)," ")),'Catalog'!$C:$C,0)),""))))</f>
        <v>4413052</v>
      </c>
      <c r="H893" s="8" t="str">
        <f aca="false">IFERROR(INDEX('TRANS'!$C:$C,MATCH($B893,'TRANS'!$A:$A,0)),IFERROR(INDEX('Catalog'!$B:$B,MATCH($G893,'Catalog'!$A:$A,0)),$B893))</f>
        <v>35C S מגן קרסול חום</v>
      </c>
      <c r="I893" s="8" t="str">
        <f aca="false">IF($G893="","Unmatched","Matched")</f>
        <v>Matched</v>
      </c>
    </row>
    <row r="894" customFormat="false" ht="15" hidden="false" customHeight="false" outlineLevel="0" collapsed="false">
      <c r="A894" s="8" t="s">
        <v>572</v>
      </c>
      <c r="B894" s="8" t="s">
        <v>162</v>
      </c>
      <c r="C894" s="19" t="n">
        <v>28</v>
      </c>
      <c r="D894" s="19" t="n">
        <v>809.33</v>
      </c>
      <c r="E894" s="19" t="n">
        <v>12</v>
      </c>
      <c r="F894" s="19" t="n">
        <v>365.04</v>
      </c>
      <c r="G894" s="8" t="n">
        <f aca="false">IFERROR(INDEX('TRANS'!$B:$B,MATCH($B894,'TRANS'!$A:$A,0)),IFERROR(INDEX('TRANS'!$B:$B,MATCH(TRIM(SUBSTITUTE($B894,CHAR(160)," ")),'TRANS'!$D:$D,0)),IFERROR(INDEX('Catalog'!$A:$A,MATCH($B894,'Catalog'!$B:$B,0)),IFERROR(INDEX('Catalog'!$A:$A,MATCH(TRIM(SUBSTITUTE($B894,CHAR(160)," ")),'Catalog'!$C:$C,0)),""))))</f>
        <v>4413371</v>
      </c>
      <c r="H894" s="8" t="str">
        <f aca="false">IFERROR(INDEX('TRANS'!$C:$C,MATCH($B894,'TRANS'!$A:$A,0)),IFERROR(INDEX('Catalog'!$B:$B,MATCH($G894,'Catalog'!$A:$A,0)),$B894))</f>
        <v>3675    מגן זרת מסיליקון</v>
      </c>
      <c r="I894" s="8" t="str">
        <f aca="false">IF($G894="","Unmatched","Matched")</f>
        <v>Matched</v>
      </c>
    </row>
    <row r="895" customFormat="false" ht="15" hidden="false" customHeight="false" outlineLevel="0" collapsed="false">
      <c r="A895" s="8" t="s">
        <v>572</v>
      </c>
      <c r="B895" s="8" t="s">
        <v>181</v>
      </c>
      <c r="C895" s="19" t="n">
        <v>4</v>
      </c>
      <c r="D895" s="19" t="n">
        <v>108</v>
      </c>
      <c r="E895" s="19" t="n">
        <v>20</v>
      </c>
      <c r="F895" s="19" t="n">
        <v>378.28</v>
      </c>
      <c r="G895" s="8" t="n">
        <f aca="false">IFERROR(INDEX('TRANS'!$B:$B,MATCH($B895,'TRANS'!$A:$A,0)),IFERROR(INDEX('TRANS'!$B:$B,MATCH(TRIM(SUBSTITUTE($B895,CHAR(160)," ")),'TRANS'!$D:$D,0)),IFERROR(INDEX('Catalog'!$A:$A,MATCH($B895,'Catalog'!$B:$B,0)),IFERROR(INDEX('Catalog'!$A:$A,MATCH(TRIM(SUBSTITUTE($B895,CHAR(160)," ")),'Catalog'!$C:$C,0)),""))))</f>
        <v>4403001</v>
      </c>
      <c r="H895" s="8" t="str">
        <f aca="false">IFERROR(INDEX('TRANS'!$C:$C,MATCH($B895,'TRANS'!$A:$A,0)),IFERROR(INDEX('Catalog'!$B:$B,MATCH($G895,'Catalog'!$A:$A,0)),$B895))</f>
        <v>390B 39-42.גרב.כסף לסכרתיים שח</v>
      </c>
      <c r="I895" s="8" t="str">
        <f aca="false">IF($G895="","Unmatched","Matched")</f>
        <v>Matched</v>
      </c>
    </row>
    <row r="896" customFormat="false" ht="15" hidden="false" customHeight="false" outlineLevel="0" collapsed="false">
      <c r="A896" s="8" t="s">
        <v>572</v>
      </c>
      <c r="B896" s="8" t="s">
        <v>182</v>
      </c>
      <c r="C896" s="19" t="n">
        <v>22</v>
      </c>
      <c r="D896" s="19" t="n">
        <v>594</v>
      </c>
      <c r="E896" s="19" t="n">
        <v>20</v>
      </c>
      <c r="F896" s="19" t="n">
        <v>540</v>
      </c>
      <c r="G896" s="8" t="n">
        <f aca="false">IFERROR(INDEX('TRANS'!$B:$B,MATCH($B896,'TRANS'!$A:$A,0)),IFERROR(INDEX('TRANS'!$B:$B,MATCH(TRIM(SUBSTITUTE($B896,CHAR(160)," ")),'TRANS'!$D:$D,0)),IFERROR(INDEX('Catalog'!$A:$A,MATCH($B896,'Catalog'!$B:$B,0)),IFERROR(INDEX('Catalog'!$A:$A,MATCH(TRIM(SUBSTITUTE($B896,CHAR(160)," ")),'Catalog'!$C:$C,0)),""))))</f>
        <v>4403002</v>
      </c>
      <c r="H896" s="8" t="str">
        <f aca="false">IFERROR(INDEX('TRANS'!$C:$C,MATCH($B896,'TRANS'!$A:$A,0)),IFERROR(INDEX('Catalog'!$B:$B,MATCH($G896,'Catalog'!$A:$A,0)),$B896))</f>
        <v>390B 43-46.גרב.כסף לסכרתיים שח</v>
      </c>
      <c r="I896" s="8" t="str">
        <f aca="false">IF($G896="","Unmatched","Matched")</f>
        <v>Matched</v>
      </c>
    </row>
    <row r="897" customFormat="false" ht="15" hidden="false" customHeight="false" outlineLevel="0" collapsed="false">
      <c r="A897" s="8" t="s">
        <v>572</v>
      </c>
      <c r="B897" s="8" t="s">
        <v>184</v>
      </c>
      <c r="C897" s="19" t="n">
        <v>2</v>
      </c>
      <c r="D897" s="19" t="n">
        <v>54</v>
      </c>
      <c r="E897" s="19" t="n">
        <v>0</v>
      </c>
      <c r="F897" s="19" t="n">
        <v>0</v>
      </c>
      <c r="G897" s="8" t="str">
        <f aca="false">IFERROR(INDEX('TRANS'!$B:$B,MATCH($B897,'TRANS'!$A:$A,0)),IFERROR(INDEX('TRANS'!$B:$B,MATCH(TRIM(SUBSTITUTE($B897,CHAR(160)," ")),'TRANS'!$D:$D,0)),IFERROR(INDEX('Catalog'!$A:$A,MATCH($B897,'Catalog'!$B:$B,0)),IFERROR(INDEX('Catalog'!$A:$A,MATCH(TRIM(SUBSTITUTE($B897,CHAR(160)," ")),'Catalog'!$C:$C,0)),""))))</f>
        <v/>
      </c>
      <c r="H897" s="8" t="str">
        <f aca="false">IFERROR(INDEX('TRANS'!$C:$C,MATCH($B897,'TRANS'!$A:$A,0)),IFERROR(INDEX('Catalog'!$B:$B,MATCH($G897,'Catalog'!$A:$A,0)),$B897))</f>
        <v>390G-39-42</v>
      </c>
      <c r="I897" s="8" t="str">
        <f aca="false">IF($G897="","Unmatched","Matched")</f>
        <v>Unmatched</v>
      </c>
    </row>
    <row r="898" customFormat="false" ht="15" hidden="false" customHeight="false" outlineLevel="0" collapsed="false">
      <c r="A898" s="8" t="s">
        <v>572</v>
      </c>
      <c r="B898" s="8" t="s">
        <v>185</v>
      </c>
      <c r="C898" s="19" t="n">
        <v>2</v>
      </c>
      <c r="D898" s="19" t="n">
        <v>54</v>
      </c>
      <c r="E898" s="19" t="n">
        <v>0</v>
      </c>
      <c r="F898" s="19" t="n">
        <v>0</v>
      </c>
      <c r="G898" s="8" t="n">
        <f aca="false">IFERROR(INDEX('TRANS'!$B:$B,MATCH($B898,'TRANS'!$A:$A,0)),IFERROR(INDEX('TRANS'!$B:$B,MATCH(TRIM(SUBSTITUTE($B898,CHAR(160)," ")),'TRANS'!$D:$D,0)),IFERROR(INDEX('Catalog'!$A:$A,MATCH($B898,'Catalog'!$B:$B,0)),IFERROR(INDEX('Catalog'!$A:$A,MATCH(TRIM(SUBSTITUTE($B898,CHAR(160)," ")),'Catalog'!$C:$C,0)),""))))</f>
        <v>4403005</v>
      </c>
      <c r="H898" s="8" t="str">
        <f aca="false">IFERROR(INDEX('TRANS'!$C:$C,MATCH($B898,'TRANS'!$A:$A,0)),IFERROR(INDEX('Catalog'!$B:$B,MATCH($G898,'Catalog'!$A:$A,0)),$B898))</f>
        <v>G390.43-46 גרבי כסף לסכרת מידה</v>
      </c>
      <c r="I898" s="8" t="str">
        <f aca="false">IF($G898="","Unmatched","Matched")</f>
        <v>Matched</v>
      </c>
    </row>
    <row r="899" customFormat="false" ht="15" hidden="false" customHeight="false" outlineLevel="0" collapsed="false">
      <c r="A899" s="8" t="s">
        <v>572</v>
      </c>
      <c r="B899" s="8" t="s">
        <v>565</v>
      </c>
      <c r="C899" s="19" t="n">
        <v>1</v>
      </c>
      <c r="D899" s="19" t="n">
        <v>187.45</v>
      </c>
      <c r="E899" s="19" t="n">
        <v>0</v>
      </c>
      <c r="F899" s="19" t="n">
        <v>0</v>
      </c>
      <c r="G899" s="8" t="str">
        <f aca="false">IFERROR(INDEX('TRANS'!$B:$B,MATCH($B899,'TRANS'!$A:$A,0)),IFERROR(INDEX('TRANS'!$B:$B,MATCH(TRIM(SUBSTITUTE($B899,CHAR(160)," ")),'TRANS'!$D:$D,0)),IFERROR(INDEX('Catalog'!$A:$A,MATCH($B899,'Catalog'!$B:$B,0)),IFERROR(INDEX('Catalog'!$A:$A,MATCH(TRIM(SUBSTITUTE($B899,CHAR(160)," ")),'Catalog'!$C:$C,0)),""))))</f>
        <v/>
      </c>
      <c r="H899" s="8" t="str">
        <f aca="false">IFERROR(INDEX('TRANS'!$C:$C,MATCH($B899,'TRANS'!$A:$A,0)),IFERROR(INDEX('Catalog'!$B:$B,MATCH($G899,'Catalog'!$A:$A,0)),$B899))</f>
        <v>422 L</v>
      </c>
      <c r="I899" s="8" t="str">
        <f aca="false">IF($G899="","Unmatched","Matched")</f>
        <v>Unmatched</v>
      </c>
    </row>
    <row r="900" customFormat="false" ht="15" hidden="false" customHeight="false" outlineLevel="0" collapsed="false">
      <c r="A900" s="8" t="s">
        <v>572</v>
      </c>
      <c r="B900" s="8" t="s">
        <v>696</v>
      </c>
      <c r="C900" s="19" t="n">
        <v>2</v>
      </c>
      <c r="D900" s="19" t="n">
        <v>374.9</v>
      </c>
      <c r="E900" s="19" t="n">
        <v>0</v>
      </c>
      <c r="F900" s="19" t="n">
        <v>0</v>
      </c>
      <c r="G900" s="8" t="str">
        <f aca="false">IFERROR(INDEX('TRANS'!$B:$B,MATCH($B900,'TRANS'!$A:$A,0)),IFERROR(INDEX('TRANS'!$B:$B,MATCH(TRIM(SUBSTITUTE($B900,CHAR(160)," ")),'TRANS'!$D:$D,0)),IFERROR(INDEX('Catalog'!$A:$A,MATCH($B900,'Catalog'!$B:$B,0)),IFERROR(INDEX('Catalog'!$A:$A,MATCH(TRIM(SUBSTITUTE($B900,CHAR(160)," ")),'Catalog'!$C:$C,0)),""))))</f>
        <v/>
      </c>
      <c r="H900" s="8" t="str">
        <f aca="false">IFERROR(INDEX('TRANS'!$C:$C,MATCH($B900,'TRANS'!$A:$A,0)),IFERROR(INDEX('Catalog'!$B:$B,MATCH($G900,'Catalog'!$A:$A,0)),$B900))</f>
        <v>422 M</v>
      </c>
      <c r="I900" s="8" t="str">
        <f aca="false">IF($G900="","Unmatched","Matched")</f>
        <v>Unmatched</v>
      </c>
    </row>
    <row r="901" customFormat="false" ht="15" hidden="false" customHeight="false" outlineLevel="0" collapsed="false">
      <c r="A901" s="8" t="s">
        <v>572</v>
      </c>
      <c r="B901" s="8" t="s">
        <v>697</v>
      </c>
      <c r="C901" s="19" t="n">
        <v>1</v>
      </c>
      <c r="D901" s="19" t="n">
        <v>187.45</v>
      </c>
      <c r="E901" s="19" t="n">
        <v>0</v>
      </c>
      <c r="F901" s="19" t="n">
        <v>0</v>
      </c>
      <c r="G901" s="8" t="n">
        <f aca="false">IFERROR(INDEX('TRANS'!$B:$B,MATCH($B901,'TRANS'!$A:$A,0)),IFERROR(INDEX('TRANS'!$B:$B,MATCH(TRIM(SUBSTITUTE($B901,CHAR(160)," ")),'TRANS'!$D:$D,0)),IFERROR(INDEX('Catalog'!$A:$A,MATCH($B901,'Catalog'!$B:$B,0)),IFERROR(INDEX('Catalog'!$A:$A,MATCH(TRIM(SUBSTITUTE($B901,CHAR(160)," ")),'Catalog'!$C:$C,0)),""))))</f>
        <v>4413089</v>
      </c>
      <c r="H901" s="8" t="str">
        <f aca="false">IFERROR(INDEX('TRANS'!$C:$C,MATCH($B901,'TRANS'!$A:$A,0)),IFERROR(INDEX('Catalog'!$B:$B,MATCH($G901,'Catalog'!$A:$A,0)),$B901))</f>
        <v>422 Sמ.ברך+כרית סיל.סביב לפיקה</v>
      </c>
      <c r="I901" s="8" t="str">
        <f aca="false">IF($G901="","Unmatched","Matched")</f>
        <v>Matched</v>
      </c>
    </row>
    <row r="902" customFormat="false" ht="15" hidden="false" customHeight="false" outlineLevel="0" collapsed="false">
      <c r="A902" s="8" t="s">
        <v>572</v>
      </c>
      <c r="B902" s="8" t="s">
        <v>698</v>
      </c>
      <c r="C902" s="19" t="n">
        <v>1</v>
      </c>
      <c r="D902" s="19" t="n">
        <v>187.45</v>
      </c>
      <c r="E902" s="19" t="n">
        <v>0</v>
      </c>
      <c r="F902" s="19" t="n">
        <v>0</v>
      </c>
      <c r="G902" s="8" t="str">
        <f aca="false">IFERROR(INDEX('TRANS'!$B:$B,MATCH($B902,'TRANS'!$A:$A,0)),IFERROR(INDEX('TRANS'!$B:$B,MATCH(TRIM(SUBSTITUTE($B902,CHAR(160)," ")),'TRANS'!$D:$D,0)),IFERROR(INDEX('Catalog'!$A:$A,MATCH($B902,'Catalog'!$B:$B,0)),IFERROR(INDEX('Catalog'!$A:$A,MATCH(TRIM(SUBSTITUTE($B902,CHAR(160)," ")),'Catalog'!$C:$C,0)),""))))</f>
        <v/>
      </c>
      <c r="H902" s="8" t="str">
        <f aca="false">IFERROR(INDEX('TRANS'!$C:$C,MATCH($B902,'TRANS'!$A:$A,0)),IFERROR(INDEX('Catalog'!$B:$B,MATCH($G902,'Catalog'!$A:$A,0)),$B902))</f>
        <v>422 XL</v>
      </c>
      <c r="I902" s="8" t="str">
        <f aca="false">IF($G902="","Unmatched","Matched")</f>
        <v>Unmatched</v>
      </c>
    </row>
    <row r="903" customFormat="false" ht="15" hidden="false" customHeight="false" outlineLevel="0" collapsed="false">
      <c r="A903" s="8" t="s">
        <v>572</v>
      </c>
      <c r="B903" s="8" t="s">
        <v>699</v>
      </c>
      <c r="C903" s="19" t="n">
        <v>1</v>
      </c>
      <c r="D903" s="19" t="n">
        <v>118.01</v>
      </c>
      <c r="E903" s="19" t="n">
        <v>0</v>
      </c>
      <c r="F903" s="19" t="n">
        <v>0</v>
      </c>
      <c r="G903" s="8" t="str">
        <f aca="false">IFERROR(INDEX('TRANS'!$B:$B,MATCH($B903,'TRANS'!$A:$A,0)),IFERROR(INDEX('TRANS'!$B:$B,MATCH(TRIM(SUBSTITUTE($B903,CHAR(160)," ")),'TRANS'!$D:$D,0)),IFERROR(INDEX('Catalog'!$A:$A,MATCH($B903,'Catalog'!$B:$B,0)),IFERROR(INDEX('Catalog'!$A:$A,MATCH(TRIM(SUBSTITUTE($B903,CHAR(160)," ")),'Catalog'!$C:$C,0)),""))))</f>
        <v/>
      </c>
      <c r="H903" s="8" t="str">
        <f aca="false">IFERROR(INDEX('TRANS'!$C:$C,MATCH($B903,'TRANS'!$A:$A,0)),IFERROR(INDEX('Catalog'!$B:$B,MATCH($G903,'Catalog'!$A:$A,0)),$B903))</f>
        <v>422N XXL</v>
      </c>
      <c r="I903" s="8" t="str">
        <f aca="false">IF($G903="","Unmatched","Matched")</f>
        <v>Unmatched</v>
      </c>
    </row>
    <row r="904" customFormat="false" ht="15" hidden="false" customHeight="false" outlineLevel="0" collapsed="false">
      <c r="A904" s="8" t="s">
        <v>572</v>
      </c>
      <c r="B904" s="8" t="s">
        <v>376</v>
      </c>
      <c r="C904" s="19" t="n">
        <v>25</v>
      </c>
      <c r="D904" s="19" t="n">
        <v>765.88</v>
      </c>
      <c r="E904" s="19" t="n">
        <v>10</v>
      </c>
      <c r="F904" s="19" t="n">
        <v>308.91</v>
      </c>
      <c r="G904" s="8" t="n">
        <f aca="false">IFERROR(INDEX('TRANS'!$B:$B,MATCH($B904,'TRANS'!$A:$A,0)),IFERROR(INDEX('TRANS'!$B:$B,MATCH(TRIM(SUBSTITUTE($B904,CHAR(160)," ")),'TRANS'!$D:$D,0)),IFERROR(INDEX('Catalog'!$A:$A,MATCH($B904,'Catalog'!$B:$B,0)),IFERROR(INDEX('Catalog'!$A:$A,MATCH(TRIM(SUBSTITUTE($B904,CHAR(160)," ")),'Catalog'!$C:$C,0)),""))))</f>
        <v>4413092</v>
      </c>
      <c r="H904" s="8" t="str">
        <f aca="false">IFERROR(INDEX('TRANS'!$C:$C,MATCH($B904,'TRANS'!$A:$A,0)),IFERROR(INDEX('Catalog'!$B:$B,MATCH($G904,'Catalog'!$A:$A,0)),$B904))</f>
        <v>45 L מגן ברך לבן</v>
      </c>
      <c r="I904" s="8" t="str">
        <f aca="false">IF($G904="","Unmatched","Matched")</f>
        <v>Matched</v>
      </c>
    </row>
    <row r="905" customFormat="false" ht="15" hidden="false" customHeight="false" outlineLevel="0" collapsed="false">
      <c r="A905" s="8" t="s">
        <v>572</v>
      </c>
      <c r="B905" s="8" t="s">
        <v>377</v>
      </c>
      <c r="C905" s="19" t="n">
        <v>23</v>
      </c>
      <c r="D905" s="19" t="n">
        <v>706.41</v>
      </c>
      <c r="E905" s="19" t="n">
        <v>11</v>
      </c>
      <c r="F905" s="19" t="n">
        <v>339.8</v>
      </c>
      <c r="G905" s="8" t="n">
        <f aca="false">IFERROR(INDEX('TRANS'!$B:$B,MATCH($B905,'TRANS'!$A:$A,0)),IFERROR(INDEX('TRANS'!$B:$B,MATCH(TRIM(SUBSTITUTE($B905,CHAR(160)," ")),'TRANS'!$D:$D,0)),IFERROR(INDEX('Catalog'!$A:$A,MATCH($B905,'Catalog'!$B:$B,0)),IFERROR(INDEX('Catalog'!$A:$A,MATCH(TRIM(SUBSTITUTE($B905,CHAR(160)," ")),'Catalog'!$C:$C,0)),""))))</f>
        <v>4413093</v>
      </c>
      <c r="H905" s="8" t="str">
        <f aca="false">IFERROR(INDEX('TRANS'!$C:$C,MATCH($B905,'TRANS'!$A:$A,0)),IFERROR(INDEX('Catalog'!$B:$B,MATCH($G905,'Catalog'!$A:$A,0)),$B905))</f>
        <v>45 M מגן ברך לבן</v>
      </c>
      <c r="I905" s="8" t="str">
        <f aca="false">IF($G905="","Unmatched","Matched")</f>
        <v>Matched</v>
      </c>
    </row>
    <row r="906" customFormat="false" ht="15" hidden="false" customHeight="false" outlineLevel="0" collapsed="false">
      <c r="A906" s="8" t="s">
        <v>572</v>
      </c>
      <c r="B906" s="8" t="s">
        <v>207</v>
      </c>
      <c r="C906" s="19" t="n">
        <v>23</v>
      </c>
      <c r="D906" s="19" t="n">
        <v>704.1</v>
      </c>
      <c r="E906" s="19" t="n">
        <v>13</v>
      </c>
      <c r="F906" s="19" t="n">
        <v>401.59</v>
      </c>
      <c r="G906" s="8" t="n">
        <f aca="false">IFERROR(INDEX('TRANS'!$B:$B,MATCH($B906,'TRANS'!$A:$A,0)),IFERROR(INDEX('TRANS'!$B:$B,MATCH(TRIM(SUBSTITUTE($B906,CHAR(160)," ")),'TRANS'!$D:$D,0)),IFERROR(INDEX('Catalog'!$A:$A,MATCH($B906,'Catalog'!$B:$B,0)),IFERROR(INDEX('Catalog'!$A:$A,MATCH(TRIM(SUBSTITUTE($B906,CHAR(160)," ")),'Catalog'!$C:$C,0)),""))))</f>
        <v>4413095</v>
      </c>
      <c r="H906" s="8" t="str">
        <f aca="false">IFERROR(INDEX('TRANS'!$C:$C,MATCH($B906,'TRANS'!$A:$A,0)),IFERROR(INDEX('Catalog'!$B:$B,MATCH($G906,'Catalog'!$A:$A,0)),$B906))</f>
        <v>45 XL מגן ברך לבן</v>
      </c>
      <c r="I906" s="8" t="str">
        <f aca="false">IF($G906="","Unmatched","Matched")</f>
        <v>Matched</v>
      </c>
    </row>
    <row r="907" customFormat="false" ht="15" hidden="false" customHeight="false" outlineLevel="0" collapsed="false">
      <c r="A907" s="8" t="s">
        <v>572</v>
      </c>
      <c r="B907" s="8" t="s">
        <v>382</v>
      </c>
      <c r="C907" s="19" t="n">
        <v>12</v>
      </c>
      <c r="D907" s="19" t="n">
        <v>444.71</v>
      </c>
      <c r="E907" s="19" t="n">
        <v>5</v>
      </c>
      <c r="F907" s="19" t="n">
        <v>187.26</v>
      </c>
      <c r="G907" s="8" t="n">
        <f aca="false">IFERROR(INDEX('TRANS'!$B:$B,MATCH($B907,'TRANS'!$A:$A,0)),IFERROR(INDEX('TRANS'!$B:$B,MATCH(TRIM(SUBSTITUTE($B907,CHAR(160)," ")),'TRANS'!$D:$D,0)),IFERROR(INDEX('Catalog'!$A:$A,MATCH($B907,'Catalog'!$B:$B,0)),IFERROR(INDEX('Catalog'!$A:$A,MATCH(TRIM(SUBSTITUTE($B907,CHAR(160)," ")),'Catalog'!$C:$C,0)),""))))</f>
        <v>4413102</v>
      </c>
      <c r="H907" s="8" t="str">
        <f aca="false">IFERROR(INDEX('TRANS'!$C:$C,MATCH($B907,'TRANS'!$A:$A,0)),IFERROR(INDEX('Catalog'!$B:$B,MATCH($G907,'Catalog'!$A:$A,0)),$B907))</f>
        <v>45E  L        מגן ברך ארוך לבן</v>
      </c>
      <c r="I907" s="8" t="str">
        <f aca="false">IF($G907="","Unmatched","Matched")</f>
        <v>Matched</v>
      </c>
    </row>
    <row r="908" customFormat="false" ht="15" hidden="false" customHeight="false" outlineLevel="0" collapsed="false">
      <c r="A908" s="8" t="s">
        <v>572</v>
      </c>
      <c r="B908" s="8" t="s">
        <v>216</v>
      </c>
      <c r="C908" s="19" t="n">
        <v>10</v>
      </c>
      <c r="D908" s="19" t="n">
        <v>369.82</v>
      </c>
      <c r="E908" s="19" t="n">
        <v>5</v>
      </c>
      <c r="F908" s="19" t="n">
        <v>187.27</v>
      </c>
      <c r="G908" s="8" t="n">
        <f aca="false">IFERROR(INDEX('TRANS'!$B:$B,MATCH($B908,'TRANS'!$A:$A,0)),IFERROR(INDEX('TRANS'!$B:$B,MATCH(TRIM(SUBSTITUTE($B908,CHAR(160)," ")),'TRANS'!$D:$D,0)),IFERROR(INDEX('Catalog'!$A:$A,MATCH($B908,'Catalog'!$B:$B,0)),IFERROR(INDEX('Catalog'!$A:$A,MATCH(TRIM(SUBSTITUTE($B908,CHAR(160)," ")),'Catalog'!$C:$C,0)),""))))</f>
        <v>4413104</v>
      </c>
      <c r="H908" s="8" t="str">
        <f aca="false">IFERROR(INDEX('TRANS'!$C:$C,MATCH($B908,'TRANS'!$A:$A,0)),IFERROR(INDEX('Catalog'!$B:$B,MATCH($G908,'Catalog'!$A:$A,0)),$B908))</f>
        <v>45E XLמגן ברך ארוך לבן</v>
      </c>
      <c r="I908" s="8" t="str">
        <f aca="false">IF($G908="","Unmatched","Matched")</f>
        <v>Matched</v>
      </c>
    </row>
    <row r="909" customFormat="false" ht="15" hidden="false" customHeight="false" outlineLevel="0" collapsed="false">
      <c r="A909" s="8" t="s">
        <v>572</v>
      </c>
      <c r="B909" s="8" t="s">
        <v>217</v>
      </c>
      <c r="C909" s="19" t="n">
        <v>6</v>
      </c>
      <c r="D909" s="19" t="n">
        <v>224.73</v>
      </c>
      <c r="E909" s="19" t="n">
        <v>0</v>
      </c>
      <c r="F909" s="19" t="n">
        <v>0</v>
      </c>
      <c r="G909" s="8" t="n">
        <f aca="false">IFERROR(INDEX('TRANS'!$B:$B,MATCH($B909,'TRANS'!$A:$A,0)),IFERROR(INDEX('TRANS'!$B:$B,MATCH(TRIM(SUBSTITUTE($B909,CHAR(160)," ")),'TRANS'!$D:$D,0)),IFERROR(INDEX('Catalog'!$A:$A,MATCH($B909,'Catalog'!$B:$B,0)),IFERROR(INDEX('Catalog'!$A:$A,MATCH(TRIM(SUBSTITUTE($B909,CHAR(160)," ")),'Catalog'!$C:$C,0)),""))))</f>
        <v>4413105</v>
      </c>
      <c r="H909" s="8" t="str">
        <f aca="false">IFERROR(INDEX('TRANS'!$C:$C,MATCH($B909,'TRANS'!$A:$A,0)),IFERROR(INDEX('Catalog'!$B:$B,MATCH($G909,'Catalog'!$A:$A,0)),$B909))</f>
        <v>45E XXLמגן ברך ארוך לבן</v>
      </c>
      <c r="I909" s="8" t="str">
        <f aca="false">IF($G909="","Unmatched","Matched")</f>
        <v>Matched</v>
      </c>
    </row>
    <row r="910" customFormat="false" ht="15" hidden="false" customHeight="false" outlineLevel="0" collapsed="false">
      <c r="A910" s="8" t="s">
        <v>572</v>
      </c>
      <c r="B910" s="8" t="s">
        <v>390</v>
      </c>
      <c r="C910" s="19" t="n">
        <v>1</v>
      </c>
      <c r="D910" s="19" t="n">
        <v>32.77</v>
      </c>
      <c r="E910" s="19" t="n">
        <v>1</v>
      </c>
      <c r="F910" s="19" t="n">
        <v>35.11</v>
      </c>
      <c r="G910" s="8" t="n">
        <f aca="false">IFERROR(INDEX('TRANS'!$B:$B,MATCH($B910,'TRANS'!$A:$A,0)),IFERROR(INDEX('TRANS'!$B:$B,MATCH(TRIM(SUBSTITUTE($B910,CHAR(160)," ")),'TRANS'!$D:$D,0)),IFERROR(INDEX('Catalog'!$A:$A,MATCH($B910,'Catalog'!$B:$B,0)),IFERROR(INDEX('Catalog'!$A:$A,MATCH(TRIM(SUBSTITUTE($B910,CHAR(160)," ")),'Catalog'!$C:$C,0)),""))))</f>
        <v>4413111</v>
      </c>
      <c r="H910" s="8" t="str">
        <f aca="false">IFERROR(INDEX('TRANS'!$C:$C,MATCH($B910,'TRANS'!$A:$A,0)),IFERROR(INDEX('Catalog'!$B:$B,MATCH($G910,'Catalog'!$A:$A,0)),$B910))</f>
        <v>49  S מגן ירך</v>
      </c>
      <c r="I910" s="8" t="str">
        <f aca="false">IF($G910="","Unmatched","Matched")</f>
        <v>Matched</v>
      </c>
    </row>
    <row r="911" customFormat="false" ht="15" hidden="false" customHeight="false" outlineLevel="0" collapsed="false">
      <c r="A911" s="8" t="s">
        <v>572</v>
      </c>
      <c r="B911" s="8" t="s">
        <v>700</v>
      </c>
      <c r="C911" s="19" t="n">
        <v>2</v>
      </c>
      <c r="D911" s="19" t="n">
        <v>99.27</v>
      </c>
      <c r="E911" s="19" t="n">
        <v>2</v>
      </c>
      <c r="F911" s="19" t="n">
        <v>99.27</v>
      </c>
      <c r="G911" s="8" t="str">
        <f aca="false">IFERROR(INDEX('TRANS'!$B:$B,MATCH($B911,'TRANS'!$A:$A,0)),IFERROR(INDEX('TRANS'!$B:$B,MATCH(TRIM(SUBSTITUTE($B911,CHAR(160)," ")),'TRANS'!$D:$D,0)),IFERROR(INDEX('Catalog'!$A:$A,MATCH($B911,'Catalog'!$B:$B,0)),IFERROR(INDEX('Catalog'!$A:$A,MATCH(TRIM(SUBSTITUTE($B911,CHAR(160)," ")),'Catalog'!$C:$C,0)),""))))</f>
        <v/>
      </c>
      <c r="H911" s="8" t="str">
        <f aca="false">IFERROR(INDEX('TRANS'!$C:$C,MATCH($B911,'TRANS'!$A:$A,0)),IFERROR(INDEX('Catalog'!$B:$B,MATCH($G911,'Catalog'!$A:$A,0)),$B911))</f>
        <v>60 XXL</v>
      </c>
      <c r="I911" s="8" t="str">
        <f aca="false">IF($G911="","Unmatched","Matched")</f>
        <v>Unmatched</v>
      </c>
    </row>
    <row r="912" customFormat="false" ht="15" hidden="false" customHeight="false" outlineLevel="0" collapsed="false">
      <c r="A912" s="8" t="s">
        <v>572</v>
      </c>
      <c r="B912" s="8" t="s">
        <v>414</v>
      </c>
      <c r="C912" s="19" t="n">
        <v>18</v>
      </c>
      <c r="D912" s="19" t="n">
        <v>183.64</v>
      </c>
      <c r="E912" s="19" t="n">
        <v>18</v>
      </c>
      <c r="F912" s="19" t="n">
        <v>207.96</v>
      </c>
      <c r="G912" s="8" t="n">
        <f aca="false">IFERROR(INDEX('TRANS'!$B:$B,MATCH($B912,'TRANS'!$A:$A,0)),IFERROR(INDEX('TRANS'!$B:$B,MATCH(TRIM(SUBSTITUTE($B912,CHAR(160)," ")),'TRANS'!$D:$D,0)),IFERROR(INDEX('Catalog'!$A:$A,MATCH($B912,'Catalog'!$B:$B,0)),IFERROR(INDEX('Catalog'!$A:$A,MATCH(TRIM(SUBSTITUTE($B912,CHAR(160)," ")),'Catalog'!$C:$C,0)),""))))</f>
        <v>4422024</v>
      </c>
      <c r="H912" s="8" t="str">
        <f aca="false">IFERROR(INDEX('TRANS'!$C:$C,MATCH($B912,'TRANS'!$A:$A,0)),IFERROR(INDEX('Catalog'!$B:$B,MATCH($G912,'Catalog'!$A:$A,0)),$B912))</f>
        <v>806CB-BLACK      תחבושת א.נצמ</v>
      </c>
      <c r="I912" s="8" t="str">
        <f aca="false">IF($G912="","Unmatched","Matched")</f>
        <v>Matched</v>
      </c>
    </row>
    <row r="913" customFormat="false" ht="15" hidden="false" customHeight="false" outlineLevel="0" collapsed="false">
      <c r="A913" s="8" t="s">
        <v>572</v>
      </c>
      <c r="B913" s="8" t="s">
        <v>415</v>
      </c>
      <c r="C913" s="19" t="n">
        <v>23</v>
      </c>
      <c r="D913" s="19" t="n">
        <v>246.68</v>
      </c>
      <c r="E913" s="19" t="n">
        <v>30</v>
      </c>
      <c r="F913" s="19" t="n">
        <v>333.96</v>
      </c>
      <c r="G913" s="8" t="n">
        <f aca="false">IFERROR(INDEX('TRANS'!$B:$B,MATCH($B913,'TRANS'!$A:$A,0)),IFERROR(INDEX('TRANS'!$B:$B,MATCH(TRIM(SUBSTITUTE($B913,CHAR(160)," ")),'TRANS'!$D:$D,0)),IFERROR(INDEX('Catalog'!$A:$A,MATCH($B913,'Catalog'!$B:$B,0)),IFERROR(INDEX('Catalog'!$A:$A,MATCH(TRIM(SUBSTITUTE($B913,CHAR(160)," ")),'Catalog'!$C:$C,0)),""))))</f>
        <v>4422023</v>
      </c>
      <c r="H913" s="8" t="str">
        <f aca="false">IFERROR(INDEX('TRANS'!$C:$C,MATCH($B913,'TRANS'!$A:$A,0)),IFERROR(INDEX('Catalog'!$B:$B,MATCH($G913,'Catalog'!$A:$A,0)),$B913))</f>
        <v>806CB-BEIGE      תחבושת א.נצמ</v>
      </c>
      <c r="I913" s="8" t="str">
        <f aca="false">IF($G913="","Unmatched","Matched")</f>
        <v>Matched</v>
      </c>
    </row>
    <row r="914" customFormat="false" ht="15" hidden="false" customHeight="false" outlineLevel="0" collapsed="false">
      <c r="A914" s="8" t="s">
        <v>572</v>
      </c>
      <c r="B914" s="8" t="s">
        <v>416</v>
      </c>
      <c r="C914" s="19" t="n">
        <v>0</v>
      </c>
      <c r="D914" s="19" t="n">
        <v>30.64</v>
      </c>
      <c r="E914" s="19" t="n">
        <v>6</v>
      </c>
      <c r="F914" s="19" t="n">
        <v>69.32</v>
      </c>
      <c r="G914" s="8" t="n">
        <f aca="false">IFERROR(INDEX('TRANS'!$B:$B,MATCH($B914,'TRANS'!$A:$A,0)),IFERROR(INDEX('TRANS'!$B:$B,MATCH(TRIM(SUBSTITUTE($B914,CHAR(160)," ")),'TRANS'!$D:$D,0)),IFERROR(INDEX('Catalog'!$A:$A,MATCH($B914,'Catalog'!$B:$B,0)),IFERROR(INDEX('Catalog'!$A:$A,MATCH(TRIM(SUBSTITUTE($B914,CHAR(160)," ")),'Catalog'!$C:$C,0)),""))))</f>
        <v>4422025</v>
      </c>
      <c r="H914" s="8" t="str">
        <f aca="false">IFERROR(INDEX('TRANS'!$C:$C,MATCH($B914,'TRANS'!$A:$A,0)),IFERROR(INDEX('Catalog'!$B:$B,MATCH($G914,'Catalog'!$A:$A,0)),$B914))</f>
        <v>806CB-GREEN      תחבושת א.נצמ</v>
      </c>
      <c r="I914" s="8" t="str">
        <f aca="false">IF($G914="","Unmatched","Matched")</f>
        <v>Matched</v>
      </c>
    </row>
    <row r="915" customFormat="false" ht="15" hidden="false" customHeight="false" outlineLevel="0" collapsed="false">
      <c r="A915" s="8" t="s">
        <v>572</v>
      </c>
      <c r="B915" s="8" t="s">
        <v>417</v>
      </c>
      <c r="C915" s="19" t="n">
        <v>0</v>
      </c>
      <c r="D915" s="19" t="n">
        <v>30.64</v>
      </c>
      <c r="E915" s="19" t="n">
        <v>6</v>
      </c>
      <c r="F915" s="19" t="n">
        <v>69.32</v>
      </c>
      <c r="G915" s="8" t="n">
        <f aca="false">IFERROR(INDEX('TRANS'!$B:$B,MATCH($B915,'TRANS'!$A:$A,0)),IFERROR(INDEX('TRANS'!$B:$B,MATCH(TRIM(SUBSTITUTE($B915,CHAR(160)," ")),'TRANS'!$D:$D,0)),IFERROR(INDEX('Catalog'!$A:$A,MATCH($B915,'Catalog'!$B:$B,0)),IFERROR(INDEX('Catalog'!$A:$A,MATCH(TRIM(SUBSTITUTE($B915,CHAR(160)," ")),'Catalog'!$C:$C,0)),""))))</f>
        <v>4422026</v>
      </c>
      <c r="H915" s="8" t="str">
        <f aca="false">IFERROR(INDEX('TRANS'!$C:$C,MATCH($B915,'TRANS'!$A:$A,0)),IFERROR(INDEX('Catalog'!$B:$B,MATCH($G915,'Catalog'!$A:$A,0)),$B915))</f>
        <v>806CB-PINK       תחבושת א.נצמ</v>
      </c>
      <c r="I915" s="8" t="str">
        <f aca="false">IF($G915="","Unmatched","Matched")</f>
        <v>Matched</v>
      </c>
    </row>
    <row r="916" customFormat="false" ht="15" hidden="false" customHeight="false" outlineLevel="0" collapsed="false">
      <c r="A916" s="8" t="s">
        <v>572</v>
      </c>
      <c r="B916" s="8" t="s">
        <v>508</v>
      </c>
      <c r="C916" s="19" t="n">
        <v>3</v>
      </c>
      <c r="D916" s="19" t="n">
        <v>90</v>
      </c>
      <c r="E916" s="19" t="n">
        <v>6</v>
      </c>
      <c r="F916" s="19" t="n">
        <v>180</v>
      </c>
      <c r="G916" s="8" t="str">
        <f aca="false">IFERROR(INDEX('TRANS'!$B:$B,MATCH($B916,'TRANS'!$A:$A,0)),IFERROR(INDEX('TRANS'!$B:$B,MATCH(TRIM(SUBSTITUTE($B916,CHAR(160)," ")),'TRANS'!$D:$D,0)),IFERROR(INDEX('Catalog'!$A:$A,MATCH($B916,'Catalog'!$B:$B,0)),IFERROR(INDEX('Catalog'!$A:$A,MATCH(TRIM(SUBSTITUTE($B916,CHAR(160)," ")),'Catalog'!$C:$C,0)),""))))</f>
        <v/>
      </c>
      <c r="H916" s="8" t="str">
        <f aca="false">IFERROR(INDEX('TRANS'!$C:$C,MATCH($B916,'TRANS'!$A:$A,0)),IFERROR(INDEX('Catalog'!$B:$B,MATCH($G916,'Catalog'!$A:$A,0)),$B916))</f>
        <v>808KTP-BL</v>
      </c>
      <c r="I916" s="8" t="str">
        <f aca="false">IF($G916="","Unmatched","Matched")</f>
        <v>Unmatched</v>
      </c>
    </row>
    <row r="917" customFormat="false" ht="15" hidden="false" customHeight="false" outlineLevel="0" collapsed="false">
      <c r="A917" s="8" t="s">
        <v>572</v>
      </c>
      <c r="B917" s="8" t="s">
        <v>701</v>
      </c>
      <c r="C917" s="19" t="n">
        <v>0</v>
      </c>
      <c r="D917" s="19" t="n">
        <v>0</v>
      </c>
      <c r="E917" s="19" t="n">
        <v>6</v>
      </c>
      <c r="F917" s="19" t="n">
        <v>180</v>
      </c>
      <c r="G917" s="8" t="str">
        <f aca="false">IFERROR(INDEX('TRANS'!$B:$B,MATCH($B917,'TRANS'!$A:$A,0)),IFERROR(INDEX('TRANS'!$B:$B,MATCH(TRIM(SUBSTITUTE($B917,CHAR(160)," ")),'TRANS'!$D:$D,0)),IFERROR(INDEX('Catalog'!$A:$A,MATCH($B917,'Catalog'!$B:$B,0)),IFERROR(INDEX('Catalog'!$A:$A,MATCH(TRIM(SUBSTITUTE($B917,CHAR(160)," ")),'Catalog'!$C:$C,0)),""))))</f>
        <v/>
      </c>
      <c r="H917" s="8" t="str">
        <f aca="false">IFERROR(INDEX('TRANS'!$C:$C,MATCH($B917,'TRANS'!$A:$A,0)),IFERROR(INDEX('Catalog'!$B:$B,MATCH($G917,'Catalog'!$A:$A,0)),$B917))</f>
        <v>808KTP-P</v>
      </c>
      <c r="I917" s="8" t="str">
        <f aca="false">IF($G917="","Unmatched","Matched")</f>
        <v>Unmatched</v>
      </c>
    </row>
    <row r="918" customFormat="false" ht="15" hidden="false" customHeight="false" outlineLevel="0" collapsed="false">
      <c r="A918" s="8" t="s">
        <v>572</v>
      </c>
      <c r="B918" s="8" t="s">
        <v>517</v>
      </c>
      <c r="C918" s="19" t="n">
        <v>0</v>
      </c>
      <c r="D918" s="19" t="n">
        <v>0</v>
      </c>
      <c r="E918" s="19" t="n">
        <v>4</v>
      </c>
      <c r="F918" s="19" t="n">
        <v>2099.72</v>
      </c>
      <c r="G918" s="8" t="str">
        <f aca="false">IFERROR(INDEX('TRANS'!$B:$B,MATCH($B918,'TRANS'!$A:$A,0)),IFERROR(INDEX('TRANS'!$B:$B,MATCH(TRIM(SUBSTITUTE($B918,CHAR(160)," ")),'TRANS'!$D:$D,0)),IFERROR(INDEX('Catalog'!$A:$A,MATCH($B918,'Catalog'!$B:$B,0)),IFERROR(INDEX('Catalog'!$A:$A,MATCH(TRIM(SUBSTITUTE($B918,CHAR(160)," ")),'Catalog'!$C:$C,0)),""))))</f>
        <v/>
      </c>
      <c r="H918" s="8" t="str">
        <f aca="false">IFERROR(INDEX('TRANS'!$C:$C,MATCH($B918,'TRANS'!$A:$A,0)),IFERROR(INDEX('Catalog'!$B:$B,MATCH($G918,'Catalog'!$A:$A,0)),$B918))</f>
        <v>MSG001FB 0</v>
      </c>
      <c r="I918" s="8" t="str">
        <f aca="false">IF($G918="","Unmatched","Matched")</f>
        <v>Unmatched</v>
      </c>
    </row>
    <row r="919" customFormat="false" ht="15" hidden="false" customHeight="false" outlineLevel="0" collapsed="false">
      <c r="A919" s="8" t="s">
        <v>572</v>
      </c>
      <c r="B919" s="8" t="s">
        <v>702</v>
      </c>
      <c r="C919" s="19" t="n">
        <v>0</v>
      </c>
      <c r="D919" s="19" t="n">
        <v>0</v>
      </c>
      <c r="E919" s="19" t="n">
        <v>2</v>
      </c>
      <c r="F919" s="19" t="n">
        <v>1049.86</v>
      </c>
      <c r="G919" s="8" t="str">
        <f aca="false">IFERROR(INDEX('TRANS'!$B:$B,MATCH($B919,'TRANS'!$A:$A,0)),IFERROR(INDEX('TRANS'!$B:$B,MATCH(TRIM(SUBSTITUTE($B919,CHAR(160)," ")),'TRANS'!$D:$D,0)),IFERROR(INDEX('Catalog'!$A:$A,MATCH($B919,'Catalog'!$B:$B,0)),IFERROR(INDEX('Catalog'!$A:$A,MATCH(TRIM(SUBSTITUTE($B919,CHAR(160)," ")),'Catalog'!$C:$C,0)),""))))</f>
        <v/>
      </c>
      <c r="H919" s="8" t="str">
        <f aca="false">IFERROR(INDEX('TRANS'!$C:$C,MATCH($B919,'TRANS'!$A:$A,0)),IFERROR(INDEX('Catalog'!$B:$B,MATCH($G919,'Catalog'!$A:$A,0)),$B919))</f>
        <v>MSG001FC</v>
      </c>
      <c r="I919" s="8" t="str">
        <f aca="false">IF($G919="","Unmatched","Matched")</f>
        <v>Unmatched</v>
      </c>
    </row>
    <row r="920" customFormat="false" ht="15" hidden="false" customHeight="false" outlineLevel="0" collapsed="false">
      <c r="A920" s="8" t="s">
        <v>572</v>
      </c>
      <c r="B920" s="8" t="s">
        <v>518</v>
      </c>
      <c r="C920" s="19" t="n">
        <v>0</v>
      </c>
      <c r="D920" s="19" t="n">
        <v>0</v>
      </c>
      <c r="E920" s="19" t="n">
        <v>8</v>
      </c>
      <c r="F920" s="19" t="n">
        <v>4199.44</v>
      </c>
      <c r="G920" s="8" t="str">
        <f aca="false">IFERROR(INDEX('TRANS'!$B:$B,MATCH($B920,'TRANS'!$A:$A,0)),IFERROR(INDEX('TRANS'!$B:$B,MATCH(TRIM(SUBSTITUTE($B920,CHAR(160)," ")),'TRANS'!$D:$D,0)),IFERROR(INDEX('Catalog'!$A:$A,MATCH($B920,'Catalog'!$B:$B,0)),IFERROR(INDEX('Catalog'!$A:$A,MATCH(TRIM(SUBSTITUTE($B920,CHAR(160)," ")),'Catalog'!$C:$C,0)),""))))</f>
        <v/>
      </c>
      <c r="H920" s="8" t="str">
        <f aca="false">IFERROR(INDEX('TRANS'!$C:$C,MATCH($B920,'TRANS'!$A:$A,0)),IFERROR(INDEX('Catalog'!$B:$B,MATCH($G920,'Catalog'!$A:$A,0)),$B920))</f>
        <v>MSG002S 0</v>
      </c>
      <c r="I920" s="8" t="str">
        <f aca="false">IF($G920="","Unmatched","Matched")</f>
        <v>Unmatched</v>
      </c>
    </row>
    <row r="921" customFormat="false" ht="15" hidden="false" customHeight="false" outlineLevel="0" collapsed="false">
      <c r="A921" s="8" t="s">
        <v>572</v>
      </c>
      <c r="B921" s="8" t="s">
        <v>703</v>
      </c>
      <c r="C921" s="19" t="n">
        <v>0</v>
      </c>
      <c r="D921" s="19" t="n">
        <v>0</v>
      </c>
      <c r="E921" s="19" t="n">
        <v>4</v>
      </c>
      <c r="F921" s="19" t="n">
        <v>1400</v>
      </c>
      <c r="G921" s="8" t="str">
        <f aca="false">IFERROR(INDEX('TRANS'!$B:$B,MATCH($B921,'TRANS'!$A:$A,0)),IFERROR(INDEX('TRANS'!$B:$B,MATCH(TRIM(SUBSTITUTE($B921,CHAR(160)," ")),'TRANS'!$D:$D,0)),IFERROR(INDEX('Catalog'!$A:$A,MATCH($B921,'Catalog'!$B:$B,0)),IFERROR(INDEX('Catalog'!$A:$A,MATCH(TRIM(SUBSTITUTE($B921,CHAR(160)," ")),'Catalog'!$C:$C,0)),""))))</f>
        <v/>
      </c>
      <c r="H921" s="8" t="str">
        <f aca="false">IFERROR(INDEX('TRANS'!$C:$C,MATCH($B921,'TRANS'!$A:$A,0)),IFERROR(INDEX('Catalog'!$B:$B,MATCH($G921,'Catalog'!$A:$A,0)),$B921))</f>
        <v>SH776 XXL</v>
      </c>
      <c r="I921" s="8" t="str">
        <f aca="false">IF($G921="","Unmatched","Matched")</f>
        <v>Unmatched</v>
      </c>
    </row>
    <row r="922" customFormat="false" ht="15" hidden="false" customHeight="false" outlineLevel="0" collapsed="false">
      <c r="A922" s="8" t="s">
        <v>572</v>
      </c>
      <c r="B922" s="8" t="s">
        <v>315</v>
      </c>
      <c r="C922" s="19" t="n">
        <v>9</v>
      </c>
      <c r="D922" s="19" t="n">
        <v>320.16</v>
      </c>
      <c r="E922" s="19" t="n">
        <v>0</v>
      </c>
      <c r="F922" s="19" t="n">
        <v>0</v>
      </c>
      <c r="G922" s="8" t="n">
        <f aca="false">IFERROR(INDEX('TRANS'!$B:$B,MATCH($B922,'TRANS'!$A:$A,0)),IFERROR(INDEX('TRANS'!$B:$B,MATCH(TRIM(SUBSTITUTE($B922,CHAR(160)," ")),'TRANS'!$D:$D,0)),IFERROR(INDEX('Catalog'!$A:$A,MATCH($B922,'Catalog'!$B:$B,0)),IFERROR(INDEX('Catalog'!$A:$A,MATCH(TRIM(SUBSTITUTE($B922,CHAR(160)," ")),'Catalog'!$C:$C,0)),""))))</f>
        <v>4408095</v>
      </c>
      <c r="H922" s="8" t="str">
        <f aca="false">IFERROR(INDEX('TRANS'!$C:$C,MATCH($B922,'TRANS'!$A:$A,0)),IFERROR(INDEX('Catalog'!$B:$B,MATCH($G922,'Catalog'!$A:$A,0)),$B922))</f>
        <v>T20 L-XL  חבק יד עם צמדן</v>
      </c>
      <c r="I922" s="8" t="str">
        <f aca="false">IF($G922="","Unmatched","Matched")</f>
        <v>Matched</v>
      </c>
    </row>
    <row r="923" customFormat="false" ht="15" hidden="false" customHeight="false" outlineLevel="0" collapsed="false">
      <c r="A923" s="8" t="s">
        <v>572</v>
      </c>
      <c r="B923" s="8" t="s">
        <v>704</v>
      </c>
      <c r="C923" s="19" t="n">
        <v>13</v>
      </c>
      <c r="D923" s="19" t="n">
        <v>462.25</v>
      </c>
      <c r="E923" s="19" t="n">
        <v>3</v>
      </c>
      <c r="F923" s="19" t="n">
        <v>106.72</v>
      </c>
      <c r="G923" s="8" t="n">
        <f aca="false">IFERROR(INDEX('TRANS'!$B:$B,MATCH($B923,'TRANS'!$A:$A,0)),IFERROR(INDEX('TRANS'!$B:$B,MATCH(TRIM(SUBSTITUTE($B923,CHAR(160)," ")),'TRANS'!$D:$D,0)),IFERROR(INDEX('Catalog'!$A:$A,MATCH($B923,'Catalog'!$B:$B,0)),IFERROR(INDEX('Catalog'!$A:$A,MATCH(TRIM(SUBSTITUTE($B923,CHAR(160)," ")),'Catalog'!$C:$C,0)),""))))</f>
        <v>4408094</v>
      </c>
      <c r="H923" s="8" t="str">
        <f aca="false">IFERROR(INDEX('TRANS'!$C:$C,MATCH($B923,'TRANS'!$A:$A,0)),IFERROR(INDEX('Catalog'!$B:$B,MATCH($G923,'Catalog'!$A:$A,0)),$B923))</f>
        <v>T20 S-M חבק יד עם צמדן</v>
      </c>
      <c r="I923" s="8" t="str">
        <f aca="false">IF($G923="","Unmatched","Matched")</f>
        <v>Matched</v>
      </c>
    </row>
    <row r="924" customFormat="false" ht="15" hidden="false" customHeight="false" outlineLevel="0" collapsed="false">
      <c r="A924" s="8" t="s">
        <v>572</v>
      </c>
      <c r="B924" s="8" t="s">
        <v>91</v>
      </c>
      <c r="C924" s="19" t="n">
        <v>9</v>
      </c>
      <c r="D924" s="19" t="n">
        <v>784.02</v>
      </c>
      <c r="E924" s="19" t="n">
        <v>8</v>
      </c>
      <c r="F924" s="19" t="n">
        <v>720.1</v>
      </c>
      <c r="G924" s="8" t="n">
        <f aca="false">IFERROR(INDEX('TRANS'!$B:$B,MATCH($B924,'TRANS'!$A:$A,0)),IFERROR(INDEX('TRANS'!$B:$B,MATCH(TRIM(SUBSTITUTE($B924,CHAR(160)," ")),'TRANS'!$D:$D,0)),IFERROR(INDEX('Catalog'!$A:$A,MATCH($B924,'Catalog'!$B:$B,0)),IFERROR(INDEX('Catalog'!$A:$A,MATCH(TRIM(SUBSTITUTE($B924,CHAR(160)," ")),'Catalog'!$C:$C,0)),""))))</f>
        <v>4408231</v>
      </c>
      <c r="H924" s="8" t="str">
        <f aca="false">IFERROR(INDEX('TRANS'!$C:$C,MATCH($B924,'TRANS'!$A:$A,0)),IFERROR(INDEX('Catalog'!$B:$B,MATCH($G924,'Catalog'!$A:$A,0)),$B924))</f>
        <v>16 S-M חגורת הריון</v>
      </c>
      <c r="I924" s="8" t="str">
        <f aca="false">IF($G924="","Unmatched","Matched")</f>
        <v>Matched</v>
      </c>
    </row>
    <row r="925" customFormat="false" ht="15" hidden="false" customHeight="false" outlineLevel="0" collapsed="false">
      <c r="A925" s="8" t="s">
        <v>572</v>
      </c>
      <c r="B925" s="8" t="s">
        <v>705</v>
      </c>
      <c r="C925" s="19" t="n">
        <v>1</v>
      </c>
      <c r="D925" s="19" t="n">
        <v>31</v>
      </c>
      <c r="E925" s="19" t="n">
        <v>0</v>
      </c>
      <c r="F925" s="19" t="n">
        <v>0</v>
      </c>
      <c r="G925" s="8" t="str">
        <f aca="false">IFERROR(INDEX('TRANS'!$B:$B,MATCH($B925,'TRANS'!$A:$A,0)),IFERROR(INDEX('TRANS'!$B:$B,MATCH(TRIM(SUBSTITUTE($B925,CHAR(160)," ")),'TRANS'!$D:$D,0)),IFERROR(INDEX('Catalog'!$A:$A,MATCH($B925,'Catalog'!$B:$B,0)),IFERROR(INDEX('Catalog'!$A:$A,MATCH(TRIM(SUBSTITUTE($B925,CHAR(160)," ")),'Catalog'!$C:$C,0)),""))))</f>
        <v/>
      </c>
      <c r="H925" s="8" t="str">
        <f aca="false">IFERROR(INDEX('TRANS'!$C:$C,MATCH($B925,'TRANS'!$A:$A,0)),IFERROR(INDEX('Catalog'!$B:$B,MATCH($G925,'Catalog'!$A:$A,0)),$B925))</f>
        <v>20 XS</v>
      </c>
      <c r="I925" s="8" t="str">
        <f aca="false">IF($G925="","Unmatched","Matched")</f>
        <v>Unmatched</v>
      </c>
    </row>
    <row r="926" customFormat="false" ht="15" hidden="false" customHeight="false" outlineLevel="0" collapsed="false">
      <c r="A926" s="8" t="s">
        <v>572</v>
      </c>
      <c r="B926" s="8" t="s">
        <v>358</v>
      </c>
      <c r="C926" s="19" t="n">
        <v>40</v>
      </c>
      <c r="D926" s="19" t="n">
        <v>1455.76</v>
      </c>
      <c r="E926" s="19" t="n">
        <v>16</v>
      </c>
      <c r="F926" s="19" t="n">
        <v>574.31</v>
      </c>
      <c r="G926" s="8" t="n">
        <f aca="false">IFERROR(INDEX('TRANS'!$B:$B,MATCH($B926,'TRANS'!$A:$A,0)),IFERROR(INDEX('TRANS'!$B:$B,MATCH(TRIM(SUBSTITUTE($B926,CHAR(160)," ")),'TRANS'!$D:$D,0)),IFERROR(INDEX('Catalog'!$A:$A,MATCH($B926,'Catalog'!$B:$B,0)),IFERROR(INDEX('Catalog'!$A:$A,MATCH(TRIM(SUBSTITUTE($B926,CHAR(160)," ")),'Catalog'!$C:$C,0)),""))))</f>
        <v>4403040</v>
      </c>
      <c r="H926" s="8" t="str">
        <f aca="false">IFERROR(INDEX('TRANS'!$C:$C,MATCH($B926,'TRANS'!$A:$A,0)),IFERROR(INDEX('Catalog'!$B:$B,MATCH($G926,'Catalog'!$A:$A,0)),$B926))</f>
        <v>3444B גרבי ג'ל לריכוך עור העקב</v>
      </c>
      <c r="I926" s="8" t="str">
        <f aca="false">IF($G926="","Unmatched","Matched")</f>
        <v>Matched</v>
      </c>
    </row>
    <row r="927" customFormat="false" ht="15" hidden="false" customHeight="false" outlineLevel="0" collapsed="false">
      <c r="A927" s="8" t="s">
        <v>572</v>
      </c>
      <c r="B927" s="8" t="s">
        <v>153</v>
      </c>
      <c r="C927" s="19" t="n">
        <v>54</v>
      </c>
      <c r="D927" s="19" t="n">
        <v>760.32</v>
      </c>
      <c r="E927" s="19" t="n">
        <v>30</v>
      </c>
      <c r="F927" s="19" t="n">
        <v>434.46</v>
      </c>
      <c r="G927" s="8" t="n">
        <f aca="false">IFERROR(INDEX('TRANS'!$B:$B,MATCH($B927,'TRANS'!$A:$A,0)),IFERROR(INDEX('TRANS'!$B:$B,MATCH(TRIM(SUBSTITUTE($B927,CHAR(160)," ")),'TRANS'!$D:$D,0)),IFERROR(INDEX('Catalog'!$A:$A,MATCH($B927,'Catalog'!$B:$B,0)),IFERROR(INDEX('Catalog'!$A:$A,MATCH(TRIM(SUBSTITUTE($B927,CHAR(160)," ")),'Catalog'!$C:$C,0)),""))))</f>
        <v>4413060</v>
      </c>
      <c r="H927" s="8" t="str">
        <f aca="false">IFERROR(INDEX('TRANS'!$C:$C,MATCH($B927,'TRANS'!$A:$A,0)),IFERROR(INDEX('Catalog'!$B:$B,MATCH($G927,'Catalog'!$A:$A,0)),$B927))</f>
        <v>364 XLמפריד אצבע סיליקון ליבלת</v>
      </c>
      <c r="I927" s="8" t="str">
        <f aca="false">IF($G927="","Unmatched","Matched")</f>
        <v>Matched</v>
      </c>
    </row>
    <row r="928" customFormat="false" ht="15" hidden="false" customHeight="false" outlineLevel="0" collapsed="false">
      <c r="A928" s="8" t="s">
        <v>572</v>
      </c>
      <c r="B928" s="8" t="s">
        <v>158</v>
      </c>
      <c r="C928" s="19" t="n">
        <v>27</v>
      </c>
      <c r="D928" s="19" t="n">
        <v>841.03</v>
      </c>
      <c r="E928" s="19" t="n">
        <v>17</v>
      </c>
      <c r="F928" s="19" t="n">
        <v>535.2</v>
      </c>
      <c r="G928" s="8" t="n">
        <f aca="false">IFERROR(INDEX('TRANS'!$B:$B,MATCH($B928,'TRANS'!$A:$A,0)),IFERROR(INDEX('TRANS'!$B:$B,MATCH(TRIM(SUBSTITUTE($B928,CHAR(160)," ")),'TRANS'!$D:$D,0)),IFERROR(INDEX('Catalog'!$A:$A,MATCH($B928,'Catalog'!$B:$B,0)),IFERROR(INDEX('Catalog'!$A:$A,MATCH(TRIM(SUBSTITUTE($B928,CHAR(160)," ")),'Catalog'!$C:$C,0)),""))))</f>
        <v>4413307</v>
      </c>
      <c r="H928" s="8" t="str">
        <f aca="false">IFERROR(INDEX('TRANS'!$C:$C,MATCH($B928,'TRANS'!$A:$A,0)),IFERROR(INDEX('Catalog'!$B:$B,MATCH($G928,'Catalog'!$A:$A,0)),$B928))</f>
        <v>URI 3667 מגן בוניון</v>
      </c>
      <c r="I928" s="8" t="str">
        <f aca="false">IF($G928="","Unmatched","Matched")</f>
        <v>Matched</v>
      </c>
    </row>
    <row r="929" customFormat="false" ht="15" hidden="false" customHeight="false" outlineLevel="0" collapsed="false">
      <c r="A929" s="8" t="s">
        <v>572</v>
      </c>
      <c r="B929" s="8" t="s">
        <v>159</v>
      </c>
      <c r="C929" s="19" t="n">
        <v>33</v>
      </c>
      <c r="D929" s="19" t="n">
        <v>540.7</v>
      </c>
      <c r="E929" s="19" t="n">
        <v>10</v>
      </c>
      <c r="F929" s="19" t="n">
        <v>157.01</v>
      </c>
      <c r="G929" s="8" t="n">
        <f aca="false">IFERROR(INDEX('TRANS'!$B:$B,MATCH($B929,'TRANS'!$A:$A,0)),IFERROR(INDEX('TRANS'!$B:$B,MATCH(TRIM(SUBSTITUTE($B929,CHAR(160)," ")),'TRANS'!$D:$D,0)),IFERROR(INDEX('Catalog'!$A:$A,MATCH($B929,'Catalog'!$B:$B,0)),IFERROR(INDEX('Catalog'!$A:$A,MATCH(TRIM(SUBSTITUTE($B929,CHAR(160)," ")),'Catalog'!$C:$C,0)),""))))</f>
        <v>4413063</v>
      </c>
      <c r="H929" s="8" t="str">
        <f aca="false">IFERROR(INDEX('TRANS'!$C:$C,MATCH($B929,'TRANS'!$A:$A,0)),IFERROR(INDEX('Catalog'!$B:$B,MATCH($G929,'Catalog'!$A:$A,0)),$B929))</f>
        <v>366S-'מדבק.לשחרור לחץ מיבלת2יח</v>
      </c>
      <c r="I929" s="8" t="str">
        <f aca="false">IF($G929="","Unmatched","Matched")</f>
        <v>Matched</v>
      </c>
    </row>
    <row r="930" customFormat="false" ht="15" hidden="false" customHeight="false" outlineLevel="0" collapsed="false">
      <c r="A930" s="8" t="s">
        <v>572</v>
      </c>
      <c r="B930" s="8" t="s">
        <v>161</v>
      </c>
      <c r="C930" s="19" t="n">
        <v>99</v>
      </c>
      <c r="D930" s="19" t="n">
        <v>3823.87</v>
      </c>
      <c r="E930" s="19" t="n">
        <v>74</v>
      </c>
      <c r="F930" s="19" t="n">
        <v>2899.27</v>
      </c>
      <c r="G930" s="8" t="n">
        <f aca="false">IFERROR(INDEX('TRANS'!$B:$B,MATCH($B930,'TRANS'!$A:$A,0)),IFERROR(INDEX('TRANS'!$B:$B,MATCH(TRIM(SUBSTITUTE($B930,CHAR(160)," ")),'TRANS'!$D:$D,0)),IFERROR(INDEX('Catalog'!$A:$A,MATCH($B930,'Catalog'!$B:$B,0)),IFERROR(INDEX('Catalog'!$A:$A,MATCH(TRIM(SUBSTITUTE($B930,CHAR(160)," ")),'Catalog'!$C:$C,0)),""))))</f>
        <v>4413370</v>
      </c>
      <c r="H930" s="8" t="str">
        <f aca="false">IFERROR(INDEX('TRANS'!$C:$C,MATCH($B930,'TRANS'!$A:$A,0)),IFERROR(INDEX('Catalog'!$B:$B,MATCH($G930,'Catalog'!$A:$A,0)),$B930))</f>
        <v>3674 0 מ.בוניון+מפריד אצבע</v>
      </c>
      <c r="I930" s="8" t="str">
        <f aca="false">IF($G930="","Unmatched","Matched")</f>
        <v>Matched</v>
      </c>
    </row>
    <row r="931" customFormat="false" ht="15" hidden="false" customHeight="false" outlineLevel="0" collapsed="false">
      <c r="A931" s="8" t="s">
        <v>572</v>
      </c>
      <c r="B931" s="8" t="s">
        <v>206</v>
      </c>
      <c r="C931" s="19" t="n">
        <v>10</v>
      </c>
      <c r="D931" s="19" t="n">
        <v>304.83</v>
      </c>
      <c r="E931" s="19" t="n">
        <v>4</v>
      </c>
      <c r="F931" s="19" t="n">
        <v>123.56</v>
      </c>
      <c r="G931" s="8" t="n">
        <f aca="false">IFERROR(INDEX('TRANS'!$B:$B,MATCH($B931,'TRANS'!$A:$A,0)),IFERROR(INDEX('TRANS'!$B:$B,MATCH(TRIM(SUBSTITUTE($B931,CHAR(160)," ")),'TRANS'!$D:$D,0)),IFERROR(INDEX('Catalog'!$A:$A,MATCH($B931,'Catalog'!$B:$B,0)),IFERROR(INDEX('Catalog'!$A:$A,MATCH(TRIM(SUBSTITUTE($B931,CHAR(160)," ")),'Catalog'!$C:$C,0)),""))))</f>
        <v>4413094</v>
      </c>
      <c r="H931" s="8" t="str">
        <f aca="false">IFERROR(INDEX('TRANS'!$C:$C,MATCH($B931,'TRANS'!$A:$A,0)),IFERROR(INDEX('Catalog'!$B:$B,MATCH($G931,'Catalog'!$A:$A,0)),$B931))</f>
        <v>45 S מגן ברך לבן</v>
      </c>
      <c r="I931" s="8" t="str">
        <f aca="false">IF($G931="","Unmatched","Matched")</f>
        <v>Matched</v>
      </c>
    </row>
    <row r="932" customFormat="false" ht="15" hidden="false" customHeight="false" outlineLevel="0" collapsed="false">
      <c r="A932" s="8" t="s">
        <v>572</v>
      </c>
      <c r="B932" s="8" t="s">
        <v>220</v>
      </c>
      <c r="C932" s="19" t="n">
        <v>4</v>
      </c>
      <c r="D932" s="19" t="n">
        <v>144.83</v>
      </c>
      <c r="E932" s="19" t="n">
        <v>0</v>
      </c>
      <c r="F932" s="19" t="n">
        <v>0</v>
      </c>
      <c r="G932" s="8" t="n">
        <f aca="false">IFERROR(INDEX('TRANS'!$B:$B,MATCH($B932,'TRANS'!$A:$A,0)),IFERROR(INDEX('TRANS'!$B:$B,MATCH(TRIM(SUBSTITUTE($B932,CHAR(160)," ")),'TRANS'!$D:$D,0)),IFERROR(INDEX('Catalog'!$A:$A,MATCH($B932,'Catalog'!$B:$B,0)),IFERROR(INDEX('Catalog'!$A:$A,MATCH(TRIM(SUBSTITUTE($B932,CHAR(160)," ")),'Catalog'!$C:$C,0)),""))))</f>
        <v>4413397</v>
      </c>
      <c r="H932" s="8" t="str">
        <f aca="false">IFERROR(INDEX('TRANS'!$C:$C,MATCH($B932,'TRANS'!$A:$A,0)),IFERROR(INDEX('Catalog'!$B:$B,MATCH($G932,'Catalog'!$A:$A,0)),$B932))</f>
        <v>45EC XL'מגן ברך ארוך בז</v>
      </c>
      <c r="I932" s="8" t="str">
        <f aca="false">IF($G932="","Unmatched","Matched")</f>
        <v>Matched</v>
      </c>
    </row>
    <row r="933" customFormat="false" ht="15" hidden="false" customHeight="false" outlineLevel="0" collapsed="false">
      <c r="A933" s="8" t="s">
        <v>572</v>
      </c>
      <c r="B933" s="8" t="s">
        <v>247</v>
      </c>
      <c r="C933" s="19" t="n">
        <v>54</v>
      </c>
      <c r="D933" s="19" t="n">
        <v>1380.8</v>
      </c>
      <c r="E933" s="19" t="n">
        <v>13</v>
      </c>
      <c r="F933" s="19" t="n">
        <v>341.25</v>
      </c>
      <c r="G933" s="8" t="n">
        <f aca="false">IFERROR(INDEX('TRANS'!$B:$B,MATCH($B933,'TRANS'!$A:$A,0)),IFERROR(INDEX('TRANS'!$B:$B,MATCH(TRIM(SUBSTITUTE($B933,CHAR(160)," ")),'TRANS'!$D:$D,0)),IFERROR(INDEX('Catalog'!$A:$A,MATCH($B933,'Catalog'!$B:$B,0)),IFERROR(INDEX('Catalog'!$A:$A,MATCH(TRIM(SUBSTITUTE($B933,CHAR(160)," ")),'Catalog'!$C:$C,0)),""))))</f>
        <v>4409017</v>
      </c>
      <c r="H933" s="8" t="str">
        <f aca="false">IFERROR(INDEX('TRANS'!$C:$C,MATCH($B933,'TRANS'!$A:$A,0)),IFERROR(INDEX('Catalog'!$B:$B,MATCH($G933,'Catalog'!$A:$A,0)),$B933))</f>
        <v>808KT-B        טייפ קינזיולוגי</v>
      </c>
      <c r="I933" s="8" t="str">
        <f aca="false">IF($G933="","Unmatched","Matched")</f>
        <v>Matched</v>
      </c>
    </row>
    <row r="934" customFormat="false" ht="15" hidden="false" customHeight="false" outlineLevel="0" collapsed="false">
      <c r="A934" s="8" t="s">
        <v>572</v>
      </c>
      <c r="B934" s="8" t="s">
        <v>506</v>
      </c>
      <c r="C934" s="19" t="n">
        <v>44</v>
      </c>
      <c r="D934" s="19" t="n">
        <v>974.3</v>
      </c>
      <c r="E934" s="19" t="n">
        <v>3</v>
      </c>
      <c r="F934" s="19" t="n">
        <v>90</v>
      </c>
      <c r="G934" s="8" t="n">
        <f aca="false">IFERROR(INDEX('TRANS'!$B:$B,MATCH($B934,'TRANS'!$A:$A,0)),IFERROR(INDEX('TRANS'!$B:$B,MATCH(TRIM(SUBSTITUTE($B934,CHAR(160)," ")),'TRANS'!$D:$D,0)),IFERROR(INDEX('Catalog'!$A:$A,MATCH($B934,'Catalog'!$B:$B,0)),IFERROR(INDEX('Catalog'!$A:$A,MATCH(TRIM(SUBSTITUTE($B934,CHAR(160)," ")),'Catalog'!$C:$C,0)),""))))</f>
        <v>4409015</v>
      </c>
      <c r="H934" s="8" t="str">
        <f aca="false">IFERROR(INDEX('TRANS'!$C:$C,MATCH($B934,'TRANS'!$A:$A,0)),IFERROR(INDEX('Catalog'!$B:$B,MATCH($G934,'Catalog'!$A:$A,0)),$B934))</f>
        <v>808KT-BL       טייפ קינזיולוגי</v>
      </c>
      <c r="I934" s="8" t="str">
        <f aca="false">IF($G934="","Unmatched","Matched")</f>
        <v>Matched</v>
      </c>
    </row>
    <row r="935" customFormat="false" ht="15" hidden="false" customHeight="false" outlineLevel="0" collapsed="false">
      <c r="A935" s="8" t="s">
        <v>572</v>
      </c>
      <c r="B935" s="8" t="s">
        <v>507</v>
      </c>
      <c r="C935" s="19" t="n">
        <v>47</v>
      </c>
      <c r="D935" s="19" t="n">
        <v>1064.3</v>
      </c>
      <c r="E935" s="19" t="n">
        <v>3</v>
      </c>
      <c r="F935" s="19" t="n">
        <v>90</v>
      </c>
      <c r="G935" s="8" t="n">
        <f aca="false">IFERROR(INDEX('TRANS'!$B:$B,MATCH($B935,'TRANS'!$A:$A,0)),IFERROR(INDEX('TRANS'!$B:$B,MATCH(TRIM(SUBSTITUTE($B935,CHAR(160)," ")),'TRANS'!$D:$D,0)),IFERROR(INDEX('Catalog'!$A:$A,MATCH($B935,'Catalog'!$B:$B,0)),IFERROR(INDEX('Catalog'!$A:$A,MATCH(TRIM(SUBSTITUTE($B935,CHAR(160)," ")),'Catalog'!$C:$C,0)),""))))</f>
        <v>4409014</v>
      </c>
      <c r="H935" s="8" t="str">
        <f aca="false">IFERROR(INDEX('TRANS'!$C:$C,MATCH($B935,'TRANS'!$A:$A,0)),IFERROR(INDEX('Catalog'!$B:$B,MATCH($G935,'Catalog'!$A:$A,0)),$B935))</f>
        <v>808KT-P        טייפ קינזיולוגי</v>
      </c>
      <c r="I935" s="8" t="str">
        <f aca="false">IF($G935="","Unmatched","Matched")</f>
        <v>Matched</v>
      </c>
    </row>
    <row r="936" customFormat="false" ht="15" hidden="false" customHeight="false" outlineLevel="0" collapsed="false">
      <c r="A936" s="8" t="s">
        <v>572</v>
      </c>
      <c r="B936" s="8" t="s">
        <v>706</v>
      </c>
      <c r="C936" s="19" t="n">
        <v>13</v>
      </c>
      <c r="D936" s="19" t="n">
        <v>860</v>
      </c>
      <c r="E936" s="19" t="n">
        <v>-1</v>
      </c>
      <c r="F936" s="19" t="n">
        <v>-69.99</v>
      </c>
      <c r="G936" s="8" t="str">
        <f aca="false">IFERROR(INDEX('TRANS'!$B:$B,MATCH($B936,'TRANS'!$A:$A,0)),IFERROR(INDEX('TRANS'!$B:$B,MATCH(TRIM(SUBSTITUTE($B936,CHAR(160)," ")),'TRANS'!$D:$D,0)),IFERROR(INDEX('Catalog'!$A:$A,MATCH($B936,'Catalog'!$B:$B,0)),IFERROR(INDEX('Catalog'!$A:$A,MATCH(TRIM(SUBSTITUTE($B936,CHAR(160)," ")),'Catalog'!$C:$C,0)),""))))</f>
        <v/>
      </c>
      <c r="H936" s="8" t="str">
        <f aca="false">IFERROR(INDEX('TRANS'!$C:$C,MATCH($B936,'TRANS'!$A:$A,0)),IFERROR(INDEX('Catalog'!$B:$B,MATCH($G936,'Catalog'!$A:$A,0)),$B936))</f>
        <v>85+ S</v>
      </c>
      <c r="I936" s="8" t="str">
        <f aca="false">IF($G936="","Unmatched","Matched")</f>
        <v>Unmatched</v>
      </c>
    </row>
    <row r="937" customFormat="false" ht="15" hidden="false" customHeight="false" outlineLevel="0" collapsed="false">
      <c r="A937" s="8" t="s">
        <v>572</v>
      </c>
      <c r="B937" s="8" t="s">
        <v>284</v>
      </c>
      <c r="C937" s="19" t="n">
        <v>76</v>
      </c>
      <c r="D937" s="19" t="n">
        <v>1731.13</v>
      </c>
      <c r="E937" s="19" t="n">
        <v>0</v>
      </c>
      <c r="F937" s="19" t="n">
        <v>0</v>
      </c>
      <c r="G937" s="8" t="n">
        <f aca="false">IFERROR(INDEX('TRANS'!$B:$B,MATCH($B937,'TRANS'!$A:$A,0)),IFERROR(INDEX('TRANS'!$B:$B,MATCH(TRIM(SUBSTITUTE($B937,CHAR(160)," ")),'TRANS'!$D:$D,0)),IFERROR(INDEX('Catalog'!$A:$A,MATCH($B937,'Catalog'!$B:$B,0)),IFERROR(INDEX('Catalog'!$A:$A,MATCH(TRIM(SUBSTITUTE($B937,CHAR(160)," ")),'Catalog'!$C:$C,0)),""))))</f>
        <v>4413056</v>
      </c>
      <c r="H937" s="8" t="str">
        <f aca="false">IFERROR(INDEX('TRANS'!$C:$C,MATCH($B937,'TRANS'!$A:$A,0)),IFERROR(INDEX('Catalog'!$B:$B,MATCH($G937,'Catalog'!$A:$A,0)),$B937))</f>
        <v>LF360 מדרס מטטרזלי לנעלי עקב</v>
      </c>
      <c r="I937" s="8" t="str">
        <f aca="false">IF($G937="","Unmatched","Matched")</f>
        <v>Matched</v>
      </c>
    </row>
    <row r="938" customFormat="false" ht="15" hidden="false" customHeight="false" outlineLevel="0" collapsed="false">
      <c r="A938" s="8" t="s">
        <v>572</v>
      </c>
      <c r="B938" s="8" t="s">
        <v>451</v>
      </c>
      <c r="C938" s="19" t="n">
        <v>3</v>
      </c>
      <c r="D938" s="19" t="n">
        <v>249.89</v>
      </c>
      <c r="E938" s="19" t="n">
        <v>1</v>
      </c>
      <c r="F938" s="19" t="n">
        <v>85.26</v>
      </c>
      <c r="G938" s="8" t="str">
        <f aca="false">IFERROR(INDEX('TRANS'!$B:$B,MATCH($B938,'TRANS'!$A:$A,0)),IFERROR(INDEX('TRANS'!$B:$B,MATCH(TRIM(SUBSTITUTE($B938,CHAR(160)," ")),'TRANS'!$D:$D,0)),IFERROR(INDEX('Catalog'!$A:$A,MATCH($B938,'Catalog'!$B:$B,0)),IFERROR(INDEX('Catalog'!$A:$A,MATCH(TRIM(SUBSTITUTE($B938,CHAR(160)," ")),'Catalog'!$C:$C,0)),""))))</f>
        <v/>
      </c>
      <c r="H938" s="8" t="str">
        <f aca="false">IFERROR(INDEX('TRANS'!$C:$C,MATCH($B938,'TRANS'!$A:$A,0)),IFERROR(INDEX('Catalog'!$B:$B,MATCH($G938,'Catalog'!$A:$A,0)),$B938))</f>
        <v>T49 L</v>
      </c>
      <c r="I938" s="8" t="str">
        <f aca="false">IF($G938="","Unmatched","Matched")</f>
        <v>Unmatched</v>
      </c>
    </row>
    <row r="939" customFormat="false" ht="15" hidden="false" customHeight="false" outlineLevel="0" collapsed="false">
      <c r="A939" s="8" t="s">
        <v>572</v>
      </c>
      <c r="B939" s="8" t="s">
        <v>707</v>
      </c>
      <c r="C939" s="19" t="n">
        <v>6</v>
      </c>
      <c r="D939" s="19" t="n">
        <v>505.67</v>
      </c>
      <c r="E939" s="19" t="n">
        <v>1</v>
      </c>
      <c r="F939" s="19" t="n">
        <v>85.26</v>
      </c>
      <c r="G939" s="8" t="str">
        <f aca="false">IFERROR(INDEX('TRANS'!$B:$B,MATCH($B939,'TRANS'!$A:$A,0)),IFERROR(INDEX('TRANS'!$B:$B,MATCH(TRIM(SUBSTITUTE($B939,CHAR(160)," ")),'TRANS'!$D:$D,0)),IFERROR(INDEX('Catalog'!$A:$A,MATCH($B939,'Catalog'!$B:$B,0)),IFERROR(INDEX('Catalog'!$A:$A,MATCH(TRIM(SUBSTITUTE($B939,CHAR(160)," ")),'Catalog'!$C:$C,0)),""))))</f>
        <v/>
      </c>
      <c r="H939" s="8" t="str">
        <f aca="false">IFERROR(INDEX('TRANS'!$C:$C,MATCH($B939,'TRANS'!$A:$A,0)),IFERROR(INDEX('Catalog'!$B:$B,MATCH($G939,'Catalog'!$A:$A,0)),$B939))</f>
        <v>T49 M</v>
      </c>
      <c r="I939" s="8" t="str">
        <f aca="false">IF($G939="","Unmatched","Matched")</f>
        <v>Unmatched</v>
      </c>
    </row>
    <row r="940" customFormat="false" ht="15" hidden="false" customHeight="false" outlineLevel="0" collapsed="false">
      <c r="A940" s="8" t="s">
        <v>572</v>
      </c>
      <c r="B940" s="8" t="s">
        <v>330</v>
      </c>
      <c r="C940" s="19" t="n">
        <v>1</v>
      </c>
      <c r="D940" s="19" t="n">
        <v>79.57</v>
      </c>
      <c r="E940" s="19" t="n">
        <v>0</v>
      </c>
      <c r="F940" s="19" t="n">
        <v>0</v>
      </c>
      <c r="G940" s="8" t="str">
        <f aca="false">IFERROR(INDEX('TRANS'!$B:$B,MATCH($B940,'TRANS'!$A:$A,0)),IFERROR(INDEX('TRANS'!$B:$B,MATCH(TRIM(SUBSTITUTE($B940,CHAR(160)," ")),'TRANS'!$D:$D,0)),IFERROR(INDEX('Catalog'!$A:$A,MATCH($B940,'Catalog'!$B:$B,0)),IFERROR(INDEX('Catalog'!$A:$A,MATCH(TRIM(SUBSTITUTE($B940,CHAR(160)," ")),'Catalog'!$C:$C,0)),""))))</f>
        <v/>
      </c>
      <c r="H940" s="8" t="str">
        <f aca="false">IFERROR(INDEX('TRANS'!$C:$C,MATCH($B940,'TRANS'!$A:$A,0)),IFERROR(INDEX('Catalog'!$B:$B,MATCH($G940,'Catalog'!$A:$A,0)),$B940))</f>
        <v>T49 S</v>
      </c>
      <c r="I940" s="8" t="str">
        <f aca="false">IF($G940="","Unmatched","Matched")</f>
        <v>Unmatched</v>
      </c>
    </row>
    <row r="941" customFormat="false" ht="15" hidden="false" customHeight="false" outlineLevel="0" collapsed="false">
      <c r="A941" s="8" t="s">
        <v>572</v>
      </c>
      <c r="B941" s="8" t="s">
        <v>708</v>
      </c>
      <c r="C941" s="19" t="n">
        <v>0</v>
      </c>
      <c r="D941" s="19" t="n">
        <v>0</v>
      </c>
      <c r="E941" s="19" t="n">
        <v>2</v>
      </c>
      <c r="F941" s="19" t="n">
        <v>201.57</v>
      </c>
      <c r="G941" s="8" t="str">
        <f aca="false">IFERROR(INDEX('TRANS'!$B:$B,MATCH($B941,'TRANS'!$A:$A,0)),IFERROR(INDEX('TRANS'!$B:$B,MATCH(TRIM(SUBSTITUTE($B941,CHAR(160)," ")),'TRANS'!$D:$D,0)),IFERROR(INDEX('Catalog'!$A:$A,MATCH($B941,'Catalog'!$B:$B,0)),IFERROR(INDEX('Catalog'!$A:$A,MATCH(TRIM(SUBSTITUTE($B941,CHAR(160)," ")),'Catalog'!$C:$C,0)),""))))</f>
        <v/>
      </c>
      <c r="H941" s="8" t="str">
        <f aca="false">IFERROR(INDEX('TRANS'!$C:$C,MATCH($B941,'TRANS'!$A:$A,0)),IFERROR(INDEX('Catalog'!$B:$B,MATCH($G941,'Catalog'!$A:$A,0)),$B941))</f>
        <v>WEB-AC75 XXL</v>
      </c>
      <c r="I941" s="8" t="str">
        <f aca="false">IF($G941="","Unmatched","Matched")</f>
        <v>Unmatched</v>
      </c>
    </row>
    <row r="942" customFormat="false" ht="15" hidden="false" customHeight="false" outlineLevel="0" collapsed="false">
      <c r="A942" s="8" t="s">
        <v>572</v>
      </c>
      <c r="B942" s="8" t="s">
        <v>709</v>
      </c>
      <c r="C942" s="19" t="n">
        <v>30</v>
      </c>
      <c r="D942" s="19" t="n">
        <v>3036.85</v>
      </c>
      <c r="E942" s="19" t="n">
        <v>9</v>
      </c>
      <c r="F942" s="19" t="n">
        <v>969.88</v>
      </c>
      <c r="G942" s="8" t="n">
        <f aca="false">IFERROR(INDEX('TRANS'!$B:$B,MATCH($B942,'TRANS'!$A:$A,0)),IFERROR(INDEX('TRANS'!$B:$B,MATCH(TRIM(SUBSTITUTE($B942,CHAR(160)," ")),'TRANS'!$D:$D,0)),IFERROR(INDEX('Catalog'!$A:$A,MATCH($B942,'Catalog'!$B:$B,0)),IFERROR(INDEX('Catalog'!$A:$A,MATCH(TRIM(SUBSTITUTE($B942,CHAR(160)," ")),'Catalog'!$C:$C,0)),""))))</f>
        <v>4413117</v>
      </c>
      <c r="H942" s="8" t="str">
        <f aca="false">IFERROR(INDEX('TRANS'!$C:$C,MATCH($B942,'TRANS'!$A:$A,0)),IFERROR(INDEX('Catalog'!$B:$B,MATCH($G942,'Catalog'!$A:$A,0)),$B942))</f>
        <v>50 L מתלה אשכים לאחר ניתוח</v>
      </c>
      <c r="I942" s="8" t="str">
        <f aca="false">IF($G942="","Unmatched","Matched")</f>
        <v>Matched</v>
      </c>
    </row>
    <row r="943" customFormat="false" ht="15" hidden="false" customHeight="false" outlineLevel="0" collapsed="false">
      <c r="A943" s="8" t="s">
        <v>572</v>
      </c>
      <c r="B943" s="8" t="s">
        <v>236</v>
      </c>
      <c r="C943" s="19" t="n">
        <v>11</v>
      </c>
      <c r="D943" s="19" t="n">
        <v>3850</v>
      </c>
      <c r="E943" s="19" t="n">
        <v>1</v>
      </c>
      <c r="F943" s="19" t="n">
        <v>350</v>
      </c>
      <c r="G943" s="8" t="str">
        <f aca="false">IFERROR(INDEX('TRANS'!$B:$B,MATCH($B943,'TRANS'!$A:$A,0)),IFERROR(INDEX('TRANS'!$B:$B,MATCH(TRIM(SUBSTITUTE($B943,CHAR(160)," ")),'TRANS'!$D:$D,0)),IFERROR(INDEX('Catalog'!$A:$A,MATCH($B943,'Catalog'!$B:$B,0)),IFERROR(INDEX('Catalog'!$A:$A,MATCH(TRIM(SUBSTITUTE($B943,CHAR(160)," ")),'Catalog'!$C:$C,0)),""))))</f>
        <v/>
      </c>
      <c r="H943" s="8" t="str">
        <f aca="false">IFERROR(INDEX('TRANS'!$C:$C,MATCH($B943,'TRANS'!$A:$A,0)),IFERROR(INDEX('Catalog'!$B:$B,MATCH($G943,'Catalog'!$A:$A,0)),$B943))</f>
        <v>776 L</v>
      </c>
      <c r="I943" s="8" t="str">
        <f aca="false">IF($G943="","Unmatched","Matched")</f>
        <v>Unmatched</v>
      </c>
    </row>
    <row r="944" customFormat="false" ht="15" hidden="false" customHeight="false" outlineLevel="0" collapsed="false">
      <c r="A944" s="8" t="s">
        <v>572</v>
      </c>
      <c r="B944" s="8" t="s">
        <v>281</v>
      </c>
      <c r="C944" s="19" t="n">
        <v>412</v>
      </c>
      <c r="D944" s="19" t="n">
        <v>8124.88</v>
      </c>
      <c r="E944" s="19" t="n">
        <v>323</v>
      </c>
      <c r="F944" s="19" t="n">
        <v>6074.34</v>
      </c>
      <c r="G944" s="8" t="n">
        <f aca="false">IFERROR(INDEX('TRANS'!$B:$B,MATCH($B944,'TRANS'!$A:$A,0)),IFERROR(INDEX('TRANS'!$B:$B,MATCH(TRIM(SUBSTITUTE($B944,CHAR(160)," ")),'TRANS'!$D:$D,0)),IFERROR(INDEX('Catalog'!$A:$A,MATCH($B944,'Catalog'!$B:$B,0)),IFERROR(INDEX('Catalog'!$A:$A,MATCH(TRIM(SUBSTITUTE($B944,CHAR(160)," ")),'Catalog'!$C:$C,0)),""))))</f>
        <v>4409004</v>
      </c>
      <c r="H944" s="8" t="str">
        <f aca="false">IFERROR(INDEX('TRANS'!$C:$C,MATCH($B944,'TRANS'!$A:$A,0)),IFERROR(INDEX('Catalog'!$B:$B,MATCH($G944,'Catalog'!$A:$A,0)),$B944))</f>
        <v>FC335 טלק מעושר באלוורה</v>
      </c>
      <c r="I944" s="8" t="str">
        <f aca="false">IF($G944="","Unmatched","Matched")</f>
        <v>Matched</v>
      </c>
    </row>
    <row r="945" customFormat="false" ht="15" hidden="false" customHeight="false" outlineLevel="0" collapsed="false">
      <c r="A945" s="8" t="s">
        <v>572</v>
      </c>
      <c r="B945" s="8" t="s">
        <v>81</v>
      </c>
      <c r="C945" s="19" t="n">
        <v>1</v>
      </c>
      <c r="D945" s="19" t="n">
        <v>55.02</v>
      </c>
      <c r="E945" s="19" t="n">
        <v>1</v>
      </c>
      <c r="F945" s="19" t="n">
        <v>55</v>
      </c>
      <c r="G945" s="8" t="str">
        <f aca="false">IFERROR(INDEX('TRANS'!$B:$B,MATCH($B945,'TRANS'!$A:$A,0)),IFERROR(INDEX('TRANS'!$B:$B,MATCH(TRIM(SUBSTITUTE($B945,CHAR(160)," ")),'TRANS'!$D:$D,0)),IFERROR(INDEX('Catalog'!$A:$A,MATCH($B945,'Catalog'!$B:$B,0)),IFERROR(INDEX('Catalog'!$A:$A,MATCH(TRIM(SUBSTITUTE($B945,CHAR(160)," ")),'Catalog'!$C:$C,0)),""))))</f>
        <v/>
      </c>
      <c r="H945" s="8" t="str">
        <f aca="false">IFERROR(INDEX('TRANS'!$C:$C,MATCH($B945,'TRANS'!$A:$A,0)),IFERROR(INDEX('Catalog'!$B:$B,MATCH($G945,'Catalog'!$A:$A,0)),$B945))</f>
        <v>13B S</v>
      </c>
      <c r="I945" s="8" t="str">
        <f aca="false">IF($G945="","Unmatched","Matched")</f>
        <v>Unmatched</v>
      </c>
    </row>
    <row r="946" customFormat="false" ht="15" hidden="false" customHeight="false" outlineLevel="0" collapsed="false">
      <c r="A946" s="8" t="s">
        <v>572</v>
      </c>
      <c r="B946" s="8" t="s">
        <v>83</v>
      </c>
      <c r="C946" s="19" t="n">
        <v>4</v>
      </c>
      <c r="D946" s="19" t="n">
        <v>524.72</v>
      </c>
      <c r="E946" s="19" t="n">
        <v>1</v>
      </c>
      <c r="F946" s="19" t="n">
        <v>131.18</v>
      </c>
      <c r="G946" s="8" t="str">
        <f aca="false">IFERROR(INDEX('TRANS'!$B:$B,MATCH($B946,'TRANS'!$A:$A,0)),IFERROR(INDEX('TRANS'!$B:$B,MATCH(TRIM(SUBSTITUTE($B946,CHAR(160)," ")),'TRANS'!$D:$D,0)),IFERROR(INDEX('Catalog'!$A:$A,MATCH($B946,'Catalog'!$B:$B,0)),IFERROR(INDEX('Catalog'!$A:$A,MATCH(TRIM(SUBSTITUTE($B946,CHAR(160)," ")),'Catalog'!$C:$C,0)),""))))</f>
        <v/>
      </c>
      <c r="H946" s="8" t="str">
        <f aca="false">IFERROR(INDEX('TRANS'!$C:$C,MATCH($B946,'TRANS'!$A:$A,0)),IFERROR(INDEX('Catalog'!$B:$B,MATCH($G946,'Catalog'!$A:$A,0)),$B946))</f>
        <v>15M L</v>
      </c>
      <c r="I946" s="8" t="str">
        <f aca="false">IF($G946="","Unmatched","Matched")</f>
        <v>Unmatched</v>
      </c>
    </row>
    <row r="947" customFormat="false" ht="15" hidden="false" customHeight="false" outlineLevel="0" collapsed="false">
      <c r="A947" s="8" t="s">
        <v>572</v>
      </c>
      <c r="B947" s="8" t="s">
        <v>710</v>
      </c>
      <c r="C947" s="19" t="n">
        <v>5</v>
      </c>
      <c r="D947" s="19" t="n">
        <v>510.04</v>
      </c>
      <c r="E947" s="19" t="n">
        <v>6</v>
      </c>
      <c r="F947" s="19" t="n">
        <v>540.01</v>
      </c>
      <c r="G947" s="8" t="n">
        <f aca="false">IFERROR(INDEX('TRANS'!$B:$B,MATCH($B947,'TRANS'!$A:$A,0)),IFERROR(INDEX('TRANS'!$B:$B,MATCH(TRIM(SUBSTITUTE($B947,CHAR(160)," ")),'TRANS'!$D:$D,0)),IFERROR(INDEX('Catalog'!$A:$A,MATCH($B947,'Catalog'!$B:$B,0)),IFERROR(INDEX('Catalog'!$A:$A,MATCH(TRIM(SUBSTITUTE($B947,CHAR(160)," ")),'Catalog'!$C:$C,0)),""))))</f>
        <v>4408232</v>
      </c>
      <c r="H947" s="8" t="str">
        <f aca="false">IFERROR(INDEX('TRANS'!$C:$C,MATCH($B947,'TRANS'!$A:$A,0)),IFERROR(INDEX('Catalog'!$B:$B,MATCH($G947,'Catalog'!$A:$A,0)),$B947))</f>
        <v>16 XXL חגורת הריון</v>
      </c>
      <c r="I947" s="8" t="str">
        <f aca="false">IF($G947="","Unmatched","Matched")</f>
        <v>Matched</v>
      </c>
    </row>
    <row r="948" customFormat="false" ht="15" hidden="false" customHeight="false" outlineLevel="0" collapsed="false">
      <c r="A948" s="8" t="s">
        <v>572</v>
      </c>
      <c r="B948" s="8" t="s">
        <v>711</v>
      </c>
      <c r="C948" s="19" t="n">
        <v>2</v>
      </c>
      <c r="D948" s="19" t="n">
        <v>536.06</v>
      </c>
      <c r="E948" s="19" t="n">
        <v>4</v>
      </c>
      <c r="F948" s="19" t="n">
        <v>1071.98</v>
      </c>
      <c r="G948" s="8" t="str">
        <f aca="false">IFERROR(INDEX('TRANS'!$B:$B,MATCH($B948,'TRANS'!$A:$A,0)),IFERROR(INDEX('TRANS'!$B:$B,MATCH(TRIM(SUBSTITUTE($B948,CHAR(160)," ")),'TRANS'!$D:$D,0)),IFERROR(INDEX('Catalog'!$A:$A,MATCH($B948,'Catalog'!$B:$B,0)),IFERROR(INDEX('Catalog'!$A:$A,MATCH(TRIM(SUBSTITUTE($B948,CHAR(160)," ")),'Catalog'!$C:$C,0)),""))))</f>
        <v/>
      </c>
      <c r="H948" s="8" t="str">
        <f aca="false">IFERROR(INDEX('TRANS'!$C:$C,MATCH($B948,'TRANS'!$A:$A,0)),IFERROR(INDEX('Catalog'!$B:$B,MATCH($G948,'Catalog'!$A:$A,0)),$B948))</f>
        <v>18 L</v>
      </c>
      <c r="I948" s="8" t="str">
        <f aca="false">IF($G948="","Unmatched","Matched")</f>
        <v>Unmatched</v>
      </c>
    </row>
    <row r="949" customFormat="false" ht="15" hidden="false" customHeight="false" outlineLevel="0" collapsed="false">
      <c r="A949" s="8" t="s">
        <v>572</v>
      </c>
      <c r="B949" s="8" t="s">
        <v>712</v>
      </c>
      <c r="C949" s="19" t="n">
        <v>1</v>
      </c>
      <c r="D949" s="19" t="n">
        <v>268.03</v>
      </c>
      <c r="E949" s="19" t="n">
        <v>6</v>
      </c>
      <c r="F949" s="19" t="n">
        <v>1608.02</v>
      </c>
      <c r="G949" s="8" t="str">
        <f aca="false">IFERROR(INDEX('TRANS'!$B:$B,MATCH($B949,'TRANS'!$A:$A,0)),IFERROR(INDEX('TRANS'!$B:$B,MATCH(TRIM(SUBSTITUTE($B949,CHAR(160)," ")),'TRANS'!$D:$D,0)),IFERROR(INDEX('Catalog'!$A:$A,MATCH($B949,'Catalog'!$B:$B,0)),IFERROR(INDEX('Catalog'!$A:$A,MATCH(TRIM(SUBSTITUTE($B949,CHAR(160)," ")),'Catalog'!$C:$C,0)),""))))</f>
        <v/>
      </c>
      <c r="H949" s="8" t="str">
        <f aca="false">IFERROR(INDEX('TRANS'!$C:$C,MATCH($B949,'TRANS'!$A:$A,0)),IFERROR(INDEX('Catalog'!$B:$B,MATCH($G949,'Catalog'!$A:$A,0)),$B949))</f>
        <v>18 M</v>
      </c>
      <c r="I949" s="8" t="str">
        <f aca="false">IF($G949="","Unmatched","Matched")</f>
        <v>Unmatched</v>
      </c>
    </row>
    <row r="950" customFormat="false" ht="15" hidden="false" customHeight="false" outlineLevel="0" collapsed="false">
      <c r="A950" s="8" t="s">
        <v>572</v>
      </c>
      <c r="B950" s="8" t="s">
        <v>713</v>
      </c>
      <c r="C950" s="19" t="n">
        <v>1</v>
      </c>
      <c r="D950" s="19" t="n">
        <v>268.03</v>
      </c>
      <c r="E950" s="19" t="n">
        <v>0</v>
      </c>
      <c r="F950" s="19" t="n">
        <v>0</v>
      </c>
      <c r="G950" s="8" t="str">
        <f aca="false">IFERROR(INDEX('TRANS'!$B:$B,MATCH($B950,'TRANS'!$A:$A,0)),IFERROR(INDEX('TRANS'!$B:$B,MATCH(TRIM(SUBSTITUTE($B950,CHAR(160)," ")),'TRANS'!$D:$D,0)),IFERROR(INDEX('Catalog'!$A:$A,MATCH($B950,'Catalog'!$B:$B,0)),IFERROR(INDEX('Catalog'!$A:$A,MATCH(TRIM(SUBSTITUTE($B950,CHAR(160)," ")),'Catalog'!$C:$C,0)),""))))</f>
        <v/>
      </c>
      <c r="H950" s="8" t="str">
        <f aca="false">IFERROR(INDEX('TRANS'!$C:$C,MATCH($B950,'TRANS'!$A:$A,0)),IFERROR(INDEX('Catalog'!$B:$B,MATCH($G950,'Catalog'!$A:$A,0)),$B950))</f>
        <v>18 XL</v>
      </c>
      <c r="I950" s="8" t="str">
        <f aca="false">IF($G950="","Unmatched","Matched")</f>
        <v>Unmatched</v>
      </c>
    </row>
    <row r="951" customFormat="false" ht="15" hidden="false" customHeight="false" outlineLevel="0" collapsed="false">
      <c r="A951" s="8" t="s">
        <v>572</v>
      </c>
      <c r="B951" s="8" t="s">
        <v>714</v>
      </c>
      <c r="C951" s="19" t="n">
        <v>0</v>
      </c>
      <c r="D951" s="19" t="n">
        <v>-2.21</v>
      </c>
      <c r="E951" s="19" t="n">
        <v>0</v>
      </c>
      <c r="F951" s="19" t="n">
        <v>0</v>
      </c>
      <c r="G951" s="8" t="n">
        <f aca="false">IFERROR(INDEX('TRANS'!$B:$B,MATCH($B951,'TRANS'!$A:$A,0)),IFERROR(INDEX('TRANS'!$B:$B,MATCH(TRIM(SUBSTITUTE($B951,CHAR(160)," ")),'TRANS'!$D:$D,0)),IFERROR(INDEX('Catalog'!$A:$A,MATCH($B951,'Catalog'!$B:$B,0)),IFERROR(INDEX('Catalog'!$A:$A,MATCH(TRIM(SUBSTITUTE($B951,CHAR(160)," ")),'Catalog'!$C:$C,0)),""))))</f>
        <v>4408050</v>
      </c>
      <c r="H951" s="8" t="str">
        <f aca="false">IFERROR(INDEX('TRANS'!$C:$C,MATCH($B951,'TRANS'!$A:$A,0)),IFERROR(INDEX('Catalog'!$B:$B,MATCH($G951,'Catalog'!$A:$A,0)),$B951))</f>
        <v>20 XXL חבק יד מתכוון עם צמדן</v>
      </c>
      <c r="I951" s="8" t="str">
        <f aca="false">IF($G951="","Unmatched","Matched")</f>
        <v>Matched</v>
      </c>
    </row>
    <row r="952" customFormat="false" ht="15" hidden="false" customHeight="false" outlineLevel="0" collapsed="false">
      <c r="A952" s="8" t="s">
        <v>572</v>
      </c>
      <c r="B952" s="8" t="s">
        <v>148</v>
      </c>
      <c r="C952" s="19" t="n">
        <v>15</v>
      </c>
      <c r="D952" s="19" t="n">
        <v>443.12</v>
      </c>
      <c r="E952" s="19" t="n">
        <v>44</v>
      </c>
      <c r="F952" s="19" t="n">
        <v>1257.36</v>
      </c>
      <c r="G952" s="8" t="n">
        <f aca="false">IFERROR(INDEX('TRANS'!$B:$B,MATCH($B952,'TRANS'!$A:$A,0)),IFERROR(INDEX('TRANS'!$B:$B,MATCH(TRIM(SUBSTITUTE($B952,CHAR(160)," ")),'TRANS'!$D:$D,0)),IFERROR(INDEX('Catalog'!$A:$A,MATCH($B952,'Catalog'!$B:$B,0)),IFERROR(INDEX('Catalog'!$A:$A,MATCH(TRIM(SUBSTITUTE($B952,CHAR(160)," ")),'Catalog'!$C:$C,0)),""))))</f>
        <v>4411000</v>
      </c>
      <c r="H952" s="8" t="str">
        <f aca="false">IFERROR(INDEX('TRANS'!$C:$C,MATCH($B952,'TRANS'!$A:$A,0)),IFERROR(INDEX('Catalog'!$B:$B,MATCH($G952,'Catalog'!$A:$A,0)),$B952))</f>
        <v>כרית מטטרזלי סיליקון362</v>
      </c>
      <c r="I952" s="8" t="str">
        <f aca="false">IF($G952="","Unmatched","Matched")</f>
        <v>Matched</v>
      </c>
    </row>
    <row r="953" customFormat="false" ht="15" hidden="false" customHeight="false" outlineLevel="0" collapsed="false">
      <c r="A953" s="8" t="s">
        <v>572</v>
      </c>
      <c r="B953" s="8" t="s">
        <v>168</v>
      </c>
      <c r="C953" s="19" t="n">
        <v>44</v>
      </c>
      <c r="D953" s="19" t="n">
        <v>578.83</v>
      </c>
      <c r="E953" s="19" t="n">
        <v>3</v>
      </c>
      <c r="F953" s="19" t="n">
        <v>46.26</v>
      </c>
      <c r="G953" s="8" t="n">
        <f aca="false">IFERROR(INDEX('TRANS'!$B:$B,MATCH($B953,'TRANS'!$A:$A,0)),IFERROR(INDEX('TRANS'!$B:$B,MATCH(TRIM(SUBSTITUTE($B953,CHAR(160)," ")),'TRANS'!$D:$D,0)),IFERROR(INDEX('Catalog'!$A:$A,MATCH($B953,'Catalog'!$B:$B,0)),IFERROR(INDEX('Catalog'!$A:$A,MATCH(TRIM(SUBSTITUTE($B953,CHAR(160)," ")),'Catalog'!$C:$C,0)),""))))</f>
        <v>4420002</v>
      </c>
      <c r="H953" s="8" t="str">
        <f aca="false">IFERROR(INDEX('TRANS'!$C:$C,MATCH($B953,'TRANS'!$A:$A,0)),IFERROR(INDEX('Catalog'!$B:$B,MATCH($G953,'Catalog'!$A:$A,0)),$B953))</f>
        <v>372 רפידת אנטי ריח -זוג</v>
      </c>
      <c r="I953" s="8" t="str">
        <f aca="false">IF($G953="","Unmatched","Matched")</f>
        <v>Matched</v>
      </c>
    </row>
    <row r="954" customFormat="false" ht="15" hidden="false" customHeight="false" outlineLevel="0" collapsed="false">
      <c r="A954" s="8" t="s">
        <v>572</v>
      </c>
      <c r="B954" s="8" t="s">
        <v>551</v>
      </c>
      <c r="C954" s="19" t="n">
        <v>18</v>
      </c>
      <c r="D954" s="19" t="n">
        <v>450</v>
      </c>
      <c r="E954" s="19" t="n">
        <v>0</v>
      </c>
      <c r="F954" s="19" t="n">
        <v>0</v>
      </c>
      <c r="G954" s="8" t="str">
        <f aca="false">IFERROR(INDEX('TRANS'!$B:$B,MATCH($B954,'TRANS'!$A:$A,0)),IFERROR(INDEX('TRANS'!$B:$B,MATCH(TRIM(SUBSTITUTE($B954,CHAR(160)," ")),'TRANS'!$D:$D,0)),IFERROR(INDEX('Catalog'!$A:$A,MATCH($B954,'Catalog'!$B:$B,0)),IFERROR(INDEX('Catalog'!$A:$A,MATCH(TRIM(SUBSTITUTE($B954,CHAR(160)," ")),'Catalog'!$C:$C,0)),""))))</f>
        <v/>
      </c>
      <c r="H954" s="8" t="str">
        <f aca="false">IFERROR(INDEX('TRANS'!$C:$C,MATCH($B954,'TRANS'!$A:$A,0)),IFERROR(INDEX('Catalog'!$B:$B,MATCH($G954,'Catalog'!$A:$A,0)),$B954))</f>
        <v>394G-43-46</v>
      </c>
      <c r="I954" s="8" t="str">
        <f aca="false">IF($G954="","Unmatched","Matched")</f>
        <v>Unmatched</v>
      </c>
    </row>
    <row r="955" customFormat="false" ht="15" hidden="false" customHeight="false" outlineLevel="0" collapsed="false">
      <c r="A955" s="8" t="s">
        <v>572</v>
      </c>
      <c r="B955" s="8" t="s">
        <v>715</v>
      </c>
      <c r="C955" s="19" t="n">
        <v>0</v>
      </c>
      <c r="D955" s="19" t="n">
        <v>0</v>
      </c>
      <c r="E955" s="19" t="n">
        <v>8</v>
      </c>
      <c r="F955" s="19" t="n">
        <v>206.77</v>
      </c>
      <c r="G955" s="8" t="str">
        <f aca="false">IFERROR(INDEX('TRANS'!$B:$B,MATCH($B955,'TRANS'!$A:$A,0)),IFERROR(INDEX('TRANS'!$B:$B,MATCH(TRIM(SUBSTITUTE($B955,CHAR(160)," ")),'TRANS'!$D:$D,0)),IFERROR(INDEX('Catalog'!$A:$A,MATCH($B955,'Catalog'!$B:$B,0)),IFERROR(INDEX('Catalog'!$A:$A,MATCH(TRIM(SUBSTITUTE($B955,CHAR(160)," ")),'Catalog'!$C:$C,0)),""))))</f>
        <v/>
      </c>
      <c r="H955" s="8" t="str">
        <f aca="false">IFERROR(INDEX('TRANS'!$C:$C,MATCH($B955,'TRANS'!$A:$A,0)),IFERROR(INDEX('Catalog'!$B:$B,MATCH($G955,'Catalog'!$A:$A,0)),$B955))</f>
        <v>395B-35-38</v>
      </c>
      <c r="I955" s="8" t="str">
        <f aca="false">IF($G955="","Unmatched","Matched")</f>
        <v>Unmatched</v>
      </c>
    </row>
    <row r="956" customFormat="false" ht="15" hidden="false" customHeight="false" outlineLevel="0" collapsed="false">
      <c r="A956" s="8" t="s">
        <v>572</v>
      </c>
      <c r="B956" s="8" t="s">
        <v>716</v>
      </c>
      <c r="C956" s="19" t="n">
        <v>0</v>
      </c>
      <c r="D956" s="19" t="n">
        <v>0</v>
      </c>
      <c r="E956" s="19" t="n">
        <v>6</v>
      </c>
      <c r="F956" s="19" t="n">
        <v>170.35</v>
      </c>
      <c r="G956" s="8" t="str">
        <f aca="false">IFERROR(INDEX('TRANS'!$B:$B,MATCH($B956,'TRANS'!$A:$A,0)),IFERROR(INDEX('TRANS'!$B:$B,MATCH(TRIM(SUBSTITUTE($B956,CHAR(160)," ")),'TRANS'!$D:$D,0)),IFERROR(INDEX('Catalog'!$A:$A,MATCH($B956,'Catalog'!$B:$B,0)),IFERROR(INDEX('Catalog'!$A:$A,MATCH(TRIM(SUBSTITUTE($B956,CHAR(160)," ")),'Catalog'!$C:$C,0)),""))))</f>
        <v/>
      </c>
      <c r="H956" s="8" t="str">
        <f aca="false">IFERROR(INDEX('TRANS'!$C:$C,MATCH($B956,'TRANS'!$A:$A,0)),IFERROR(INDEX('Catalog'!$B:$B,MATCH($G956,'Catalog'!$A:$A,0)),$B956))</f>
        <v>395W-35-38</v>
      </c>
      <c r="I956" s="8" t="str">
        <f aca="false">IF($G956="","Unmatched","Matched")</f>
        <v>Unmatched</v>
      </c>
    </row>
    <row r="957" customFormat="false" ht="15" hidden="false" customHeight="false" outlineLevel="0" collapsed="false">
      <c r="A957" s="8" t="s">
        <v>572</v>
      </c>
      <c r="B957" s="8" t="s">
        <v>717</v>
      </c>
      <c r="C957" s="19" t="n">
        <v>0</v>
      </c>
      <c r="D957" s="19" t="n">
        <v>0</v>
      </c>
      <c r="E957" s="19" t="n">
        <v>9</v>
      </c>
      <c r="F957" s="19" t="n">
        <v>265.67</v>
      </c>
      <c r="G957" s="8" t="str">
        <f aca="false">IFERROR(INDEX('TRANS'!$B:$B,MATCH($B957,'TRANS'!$A:$A,0)),IFERROR(INDEX('TRANS'!$B:$B,MATCH(TRIM(SUBSTITUTE($B957,CHAR(160)," ")),'TRANS'!$D:$D,0)),IFERROR(INDEX('Catalog'!$A:$A,MATCH($B957,'Catalog'!$B:$B,0)),IFERROR(INDEX('Catalog'!$A:$A,MATCH(TRIM(SUBSTITUTE($B957,CHAR(160)," ")),'Catalog'!$C:$C,0)),""))))</f>
        <v/>
      </c>
      <c r="H957" s="8" t="str">
        <f aca="false">IFERROR(INDEX('TRANS'!$C:$C,MATCH($B957,'TRANS'!$A:$A,0)),IFERROR(INDEX('Catalog'!$B:$B,MATCH($G957,'Catalog'!$A:$A,0)),$B957))</f>
        <v>395W-43-46</v>
      </c>
      <c r="I957" s="8" t="str">
        <f aca="false">IF($G957="","Unmatched","Matched")</f>
        <v>Unmatched</v>
      </c>
    </row>
    <row r="958" customFormat="false" ht="15" hidden="false" customHeight="false" outlineLevel="0" collapsed="false">
      <c r="A958" s="8" t="s">
        <v>572</v>
      </c>
      <c r="B958" s="8" t="s">
        <v>223</v>
      </c>
      <c r="C958" s="19" t="n">
        <v>1</v>
      </c>
      <c r="D958" s="19" t="n">
        <v>84.32</v>
      </c>
      <c r="E958" s="19" t="n">
        <v>1</v>
      </c>
      <c r="F958" s="19" t="n">
        <v>78.68</v>
      </c>
      <c r="G958" s="8" t="n">
        <f aca="false">IFERROR(INDEX('TRANS'!$B:$B,MATCH($B958,'TRANS'!$A:$A,0)),IFERROR(INDEX('TRANS'!$B:$B,MATCH(TRIM(SUBSTITUTE($B958,CHAR(160)," ")),'TRANS'!$D:$D,0)),IFERROR(INDEX('Catalog'!$A:$A,MATCH($B958,'Catalog'!$B:$B,0)),IFERROR(INDEX('Catalog'!$A:$A,MATCH(TRIM(SUBSTITUTE($B958,CHAR(160)," ")),'Catalog'!$C:$C,0)),""))))</f>
        <v>4413124</v>
      </c>
      <c r="H958" s="8" t="str">
        <f aca="false">IFERROR(INDEX('TRANS'!$C:$C,MATCH($B958,'TRANS'!$A:$A,0)),IFERROR(INDEX('Catalog'!$B:$B,MATCH($G958,'Catalog'!$A:$A,0)),$B958))</f>
        <v>55 XL מתלה אשכים לספורטאים</v>
      </c>
      <c r="I958" s="8" t="str">
        <f aca="false">IF($G958="","Unmatched","Matched")</f>
        <v>Matched</v>
      </c>
    </row>
    <row r="959" customFormat="false" ht="15" hidden="false" customHeight="false" outlineLevel="0" collapsed="false">
      <c r="A959" s="8" t="s">
        <v>572</v>
      </c>
      <c r="B959" s="8" t="s">
        <v>718</v>
      </c>
      <c r="C959" s="19" t="n">
        <v>6</v>
      </c>
      <c r="D959" s="19" t="n">
        <v>990.48</v>
      </c>
      <c r="E959" s="19" t="n">
        <v>7</v>
      </c>
      <c r="F959" s="19" t="n">
        <v>1238</v>
      </c>
      <c r="G959" s="8" t="n">
        <f aca="false">IFERROR(INDEX('TRANS'!$B:$B,MATCH($B959,'TRANS'!$A:$A,0)),IFERROR(INDEX('TRANS'!$B:$B,MATCH(TRIM(SUBSTITUTE($B959,CHAR(160)," ")),'TRANS'!$D:$D,0)),IFERROR(INDEX('Catalog'!$A:$A,MATCH($B959,'Catalog'!$B:$B,0)),IFERROR(INDEX('Catalog'!$A:$A,MATCH(TRIM(SUBSTITUTE($B959,CHAR(160)," ")),'Catalog'!$C:$C,0)),""))))</f>
        <v>4408073</v>
      </c>
      <c r="H959" s="8" t="str">
        <f aca="false">IFERROR(INDEX('TRANS'!$C:$C,MATCH($B959,'TRANS'!$A:$A,0)),IFERROR(INDEX('Catalog'!$B:$B,MATCH($G959,'Catalog'!$A:$A,0)),$B959))</f>
        <v>59D XL חגורת שבר דו צדדי</v>
      </c>
      <c r="I959" s="8" t="str">
        <f aca="false">IF($G959="","Unmatched","Matched")</f>
        <v>Matched</v>
      </c>
    </row>
    <row r="960" customFormat="false" ht="15" hidden="false" customHeight="false" outlineLevel="0" collapsed="false">
      <c r="A960" s="8" t="s">
        <v>572</v>
      </c>
      <c r="B960" s="8" t="s">
        <v>719</v>
      </c>
      <c r="C960" s="19" t="n">
        <v>13</v>
      </c>
      <c r="D960" s="19" t="n">
        <v>422.12</v>
      </c>
      <c r="E960" s="19" t="n">
        <v>7</v>
      </c>
      <c r="F960" s="19" t="n">
        <v>346.96</v>
      </c>
      <c r="G960" s="8" t="str">
        <f aca="false">IFERROR(INDEX('TRANS'!$B:$B,MATCH($B960,'TRANS'!$A:$A,0)),IFERROR(INDEX('TRANS'!$B:$B,MATCH(TRIM(SUBSTITUTE($B960,CHAR(160)," ")),'TRANS'!$D:$D,0)),IFERROR(INDEX('Catalog'!$A:$A,MATCH($B960,'Catalog'!$B:$B,0)),IFERROR(INDEX('Catalog'!$A:$A,MATCH(TRIM(SUBSTITUTE($B960,CHAR(160)," ")),'Catalog'!$C:$C,0)),""))))</f>
        <v/>
      </c>
      <c r="H960" s="8" t="str">
        <f aca="false">IFERROR(INDEX('TRANS'!$C:$C,MATCH($B960,'TRANS'!$A:$A,0)),IFERROR(INDEX('Catalog'!$B:$B,MATCH($G960,'Catalog'!$A:$A,0)),$B960))</f>
        <v>61 M</v>
      </c>
      <c r="I960" s="8" t="str">
        <f aca="false">IF($G960="","Unmatched","Matched")</f>
        <v>Unmatched</v>
      </c>
    </row>
    <row r="961" customFormat="false" ht="15" hidden="false" customHeight="false" outlineLevel="0" collapsed="false">
      <c r="A961" s="8" t="s">
        <v>572</v>
      </c>
      <c r="B961" s="8" t="s">
        <v>230</v>
      </c>
      <c r="C961" s="19" t="n">
        <v>8</v>
      </c>
      <c r="D961" s="19" t="n">
        <v>287.66</v>
      </c>
      <c r="E961" s="19" t="n">
        <v>4</v>
      </c>
      <c r="F961" s="19" t="n">
        <v>174.71</v>
      </c>
      <c r="G961" s="8" t="str">
        <f aca="false">IFERROR(INDEX('TRANS'!$B:$B,MATCH($B961,'TRANS'!$A:$A,0)),IFERROR(INDEX('TRANS'!$B:$B,MATCH(TRIM(SUBSTITUTE($B961,CHAR(160)," ")),'TRANS'!$D:$D,0)),IFERROR(INDEX('Catalog'!$A:$A,MATCH($B961,'Catalog'!$B:$B,0)),IFERROR(INDEX('Catalog'!$A:$A,MATCH(TRIM(SUBSTITUTE($B961,CHAR(160)," ")),'Catalog'!$C:$C,0)),""))))</f>
        <v/>
      </c>
      <c r="H961" s="8" t="str">
        <f aca="false">IFERROR(INDEX('TRANS'!$C:$C,MATCH($B961,'TRANS'!$A:$A,0)),IFERROR(INDEX('Catalog'!$B:$B,MATCH($G961,'Catalog'!$A:$A,0)),$B961))</f>
        <v>61 S</v>
      </c>
      <c r="I961" s="8" t="str">
        <f aca="false">IF($G961="","Unmatched","Matched")</f>
        <v>Unmatched</v>
      </c>
    </row>
    <row r="962" customFormat="false" ht="15" hidden="false" customHeight="false" outlineLevel="0" collapsed="false">
      <c r="A962" s="8" t="s">
        <v>572</v>
      </c>
      <c r="B962" s="8" t="s">
        <v>720</v>
      </c>
      <c r="C962" s="19" t="n">
        <v>7</v>
      </c>
      <c r="D962" s="19" t="n">
        <v>192.08</v>
      </c>
      <c r="E962" s="19" t="n">
        <v>0</v>
      </c>
      <c r="F962" s="19" t="n">
        <v>0</v>
      </c>
      <c r="G962" s="8" t="str">
        <f aca="false">IFERROR(INDEX('TRANS'!$B:$B,MATCH($B962,'TRANS'!$A:$A,0)),IFERROR(INDEX('TRANS'!$B:$B,MATCH(TRIM(SUBSTITUTE($B962,CHAR(160)," ")),'TRANS'!$D:$D,0)),IFERROR(INDEX('Catalog'!$A:$A,MATCH($B962,'Catalog'!$B:$B,0)),IFERROR(INDEX('Catalog'!$A:$A,MATCH(TRIM(SUBSTITUTE($B962,CHAR(160)," ")),'Catalog'!$C:$C,0)),""))))</f>
        <v/>
      </c>
      <c r="H962" s="8" t="str">
        <f aca="false">IFERROR(INDEX('TRANS'!$C:$C,MATCH($B962,'TRANS'!$A:$A,0)),IFERROR(INDEX('Catalog'!$B:$B,MATCH($G962,'Catalog'!$A:$A,0)),$B962))</f>
        <v>61 XL</v>
      </c>
      <c r="I962" s="8" t="str">
        <f aca="false">IF($G962="","Unmatched","Matched")</f>
        <v>Unmatched</v>
      </c>
    </row>
    <row r="963" customFormat="false" ht="15" hidden="false" customHeight="false" outlineLevel="0" collapsed="false">
      <c r="A963" s="8" t="s">
        <v>572</v>
      </c>
      <c r="B963" s="8" t="s">
        <v>721</v>
      </c>
      <c r="C963" s="19" t="n">
        <v>2</v>
      </c>
      <c r="D963" s="19" t="n">
        <v>190</v>
      </c>
      <c r="E963" s="19" t="n">
        <v>0</v>
      </c>
      <c r="F963" s="19" t="n">
        <v>0</v>
      </c>
      <c r="G963" s="8" t="str">
        <f aca="false">IFERROR(INDEX('TRANS'!$B:$B,MATCH($B963,'TRANS'!$A:$A,0)),IFERROR(INDEX('TRANS'!$B:$B,MATCH(TRIM(SUBSTITUTE($B963,CHAR(160)," ")),'TRANS'!$D:$D,0)),IFERROR(INDEX('Catalog'!$A:$A,MATCH($B963,'Catalog'!$B:$B,0)),IFERROR(INDEX('Catalog'!$A:$A,MATCH(TRIM(SUBSTITUTE($B963,CHAR(160)," ")),'Catalog'!$C:$C,0)),""))))</f>
        <v/>
      </c>
      <c r="H963" s="8" t="str">
        <f aca="false">IFERROR(INDEX('TRANS'!$C:$C,MATCH($B963,'TRANS'!$A:$A,0)),IFERROR(INDEX('Catalog'!$B:$B,MATCH($G963,'Catalog'!$A:$A,0)),$B963))</f>
        <v>78A S</v>
      </c>
      <c r="I963" s="8" t="str">
        <f aca="false">IF($G963="","Unmatched","Matched")</f>
        <v>Unmatched</v>
      </c>
    </row>
    <row r="964" customFormat="false" ht="15" hidden="false" customHeight="false" outlineLevel="0" collapsed="false">
      <c r="A964" s="8" t="s">
        <v>572</v>
      </c>
      <c r="B964" s="8" t="s">
        <v>722</v>
      </c>
      <c r="C964" s="19" t="n">
        <v>3</v>
      </c>
      <c r="D964" s="19" t="n">
        <v>285</v>
      </c>
      <c r="E964" s="19" t="n">
        <v>0</v>
      </c>
      <c r="F964" s="19" t="n">
        <v>0</v>
      </c>
      <c r="G964" s="8" t="str">
        <f aca="false">IFERROR(INDEX('TRANS'!$B:$B,MATCH($B964,'TRANS'!$A:$A,0)),IFERROR(INDEX('TRANS'!$B:$B,MATCH(TRIM(SUBSTITUTE($B964,CHAR(160)," ")),'TRANS'!$D:$D,0)),IFERROR(INDEX('Catalog'!$A:$A,MATCH($B964,'Catalog'!$B:$B,0)),IFERROR(INDEX('Catalog'!$A:$A,MATCH(TRIM(SUBSTITUTE($B964,CHAR(160)," ")),'Catalog'!$C:$C,0)),""))))</f>
        <v/>
      </c>
      <c r="H964" s="8" t="str">
        <f aca="false">IFERROR(INDEX('TRANS'!$C:$C,MATCH($B964,'TRANS'!$A:$A,0)),IFERROR(INDEX('Catalog'!$B:$B,MATCH($G964,'Catalog'!$A:$A,0)),$B964))</f>
        <v>78A XL</v>
      </c>
      <c r="I964" s="8" t="str">
        <f aca="false">IF($G964="","Unmatched","Matched")</f>
        <v>Unmatched</v>
      </c>
    </row>
    <row r="965" customFormat="false" ht="15" hidden="false" customHeight="false" outlineLevel="0" collapsed="false">
      <c r="A965" s="8" t="s">
        <v>572</v>
      </c>
      <c r="B965" s="8" t="s">
        <v>723</v>
      </c>
      <c r="C965" s="19" t="n">
        <v>1</v>
      </c>
      <c r="D965" s="19" t="n">
        <v>95</v>
      </c>
      <c r="E965" s="19" t="n">
        <v>0</v>
      </c>
      <c r="F965" s="19" t="n">
        <v>0</v>
      </c>
      <c r="G965" s="8" t="str">
        <f aca="false">IFERROR(INDEX('TRANS'!$B:$B,MATCH($B965,'TRANS'!$A:$A,0)),IFERROR(INDEX('TRANS'!$B:$B,MATCH(TRIM(SUBSTITUTE($B965,CHAR(160)," ")),'TRANS'!$D:$D,0)),IFERROR(INDEX('Catalog'!$A:$A,MATCH($B965,'Catalog'!$B:$B,0)),IFERROR(INDEX('Catalog'!$A:$A,MATCH(TRIM(SUBSTITUTE($B965,CHAR(160)," ")),'Catalog'!$C:$C,0)),""))))</f>
        <v/>
      </c>
      <c r="H965" s="8" t="str">
        <f aca="false">IFERROR(INDEX('TRANS'!$C:$C,MATCH($B965,'TRANS'!$A:$A,0)),IFERROR(INDEX('Catalog'!$B:$B,MATCH($G965,'Catalog'!$A:$A,0)),$B965))</f>
        <v>78A XXL</v>
      </c>
      <c r="I965" s="8" t="str">
        <f aca="false">IF($G965="","Unmatched","Matched")</f>
        <v>Unmatched</v>
      </c>
    </row>
    <row r="966" customFormat="false" ht="15" hidden="false" customHeight="false" outlineLevel="0" collapsed="false">
      <c r="A966" s="8" t="s">
        <v>572</v>
      </c>
      <c r="B966" s="8" t="s">
        <v>238</v>
      </c>
      <c r="C966" s="19" t="n">
        <v>17</v>
      </c>
      <c r="D966" s="19" t="n">
        <v>349.93</v>
      </c>
      <c r="E966" s="19" t="n">
        <v>11</v>
      </c>
      <c r="F966" s="19" t="n">
        <v>229.48</v>
      </c>
      <c r="G966" s="8" t="n">
        <f aca="false">IFERROR(INDEX('TRANS'!$B:$B,MATCH($B966,'TRANS'!$A:$A,0)),IFERROR(INDEX('TRANS'!$B:$B,MATCH(TRIM(SUBSTITUTE($B966,CHAR(160)," ")),'TRANS'!$D:$D,0)),IFERROR(INDEX('Catalog'!$A:$A,MATCH($B966,'Catalog'!$B:$B,0)),IFERROR(INDEX('Catalog'!$A:$A,MATCH(TRIM(SUBSTITUTE($B966,CHAR(160)," ")),'Catalog'!$C:$C,0)),""))))</f>
        <v>4422000</v>
      </c>
      <c r="H966" s="8" t="str">
        <f aca="false">IFERROR(INDEX('TRANS'!$C:$C,MATCH($B966,'TRANS'!$A:$A,0)),IFERROR(INDEX('Catalog'!$B:$B,MATCH($G966,'Catalog'!$A:$A,0)),$B966))</f>
        <v>801  תחבושת אלסטית מקררת</v>
      </c>
      <c r="I966" s="8" t="str">
        <f aca="false">IF($G966="","Unmatched","Matched")</f>
        <v>Matched</v>
      </c>
    </row>
    <row r="967" customFormat="false" ht="15" hidden="false" customHeight="false" outlineLevel="0" collapsed="false">
      <c r="A967" s="8" t="s">
        <v>572</v>
      </c>
      <c r="B967" s="8" t="s">
        <v>279</v>
      </c>
      <c r="C967" s="19" t="n">
        <v>29</v>
      </c>
      <c r="D967" s="19" t="n">
        <v>384.3</v>
      </c>
      <c r="E967" s="19" t="n">
        <v>10</v>
      </c>
      <c r="F967" s="19" t="n">
        <v>140.17</v>
      </c>
      <c r="G967" s="8" t="n">
        <f aca="false">IFERROR(INDEX('TRANS'!$B:$B,MATCH($B967,'TRANS'!$A:$A,0)),IFERROR(INDEX('TRANS'!$B:$B,MATCH(TRIM(SUBSTITUTE($B967,CHAR(160)," ")),'TRANS'!$D:$D,0)),IFERROR(INDEX('Catalog'!$A:$A,MATCH($B967,'Catalog'!$B:$B,0)),IFERROR(INDEX('Catalog'!$A:$A,MATCH(TRIM(SUBSTITUTE($B967,CHAR(160)," ")),'Catalog'!$C:$C,0)),""))))</f>
        <v>4413149</v>
      </c>
      <c r="H967" s="8" t="str">
        <f aca="false">IFERROR(INDEX('TRANS'!$C:$C,MATCH($B967,'TRANS'!$A:$A,0)),IFERROR(INDEX('Catalog'!$B:$B,MATCH($G967,'Catalog'!$A:$A,0)),$B967))</f>
        <v>FC321-מלח אמבט לכף הרגל</v>
      </c>
      <c r="I967" s="8" t="str">
        <f aca="false">IF($G967="","Unmatched","Matched")</f>
        <v>Matched</v>
      </c>
    </row>
    <row r="968" customFormat="false" ht="15" hidden="false" customHeight="false" outlineLevel="0" collapsed="false">
      <c r="A968" s="8" t="s">
        <v>572</v>
      </c>
      <c r="B968" s="8" t="s">
        <v>724</v>
      </c>
      <c r="C968" s="19" t="n">
        <v>3</v>
      </c>
      <c r="D968" s="19" t="n">
        <v>389.97</v>
      </c>
      <c r="E968" s="19" t="n">
        <v>3</v>
      </c>
      <c r="F968" s="19" t="n">
        <v>390</v>
      </c>
      <c r="G968" s="8" t="n">
        <f aca="false">IFERROR(INDEX('TRANS'!$B:$B,MATCH($B968,'TRANS'!$A:$A,0)),IFERROR(INDEX('TRANS'!$B:$B,MATCH(TRIM(SUBSTITUTE($B968,CHAR(160)," ")),'TRANS'!$D:$D,0)),IFERROR(INDEX('Catalog'!$A:$A,MATCH($B968,'Catalog'!$B:$B,0)),IFERROR(INDEX('Catalog'!$A:$A,MATCH(TRIM(SUBSTITUTE($B968,CHAR(160)," ")),'Catalog'!$C:$C,0)),""))))</f>
        <v>4408150</v>
      </c>
      <c r="H968" s="8" t="str">
        <f aca="false">IFERROR(INDEX('TRANS'!$C:$C,MATCH($B968,'TRANS'!$A:$A,0)),IFERROR(INDEX('Catalog'!$B:$B,MATCH($G968,'Catalog'!$A:$A,0)),$B968))</f>
        <v>11TO S חגורה למנותחי בית החזה</v>
      </c>
      <c r="I968" s="8" t="str">
        <f aca="false">IF($G968="","Unmatched","Matched")</f>
        <v>Matched</v>
      </c>
    </row>
    <row r="969" customFormat="false" ht="15" hidden="false" customHeight="false" outlineLevel="0" collapsed="false">
      <c r="A969" s="8" t="s">
        <v>572</v>
      </c>
      <c r="B969" s="8" t="s">
        <v>144</v>
      </c>
      <c r="C969" s="19" t="n">
        <v>6</v>
      </c>
      <c r="D969" s="19" t="n">
        <v>185.35</v>
      </c>
      <c r="E969" s="19" t="n">
        <v>1</v>
      </c>
      <c r="F969" s="19" t="n">
        <v>30.89</v>
      </c>
      <c r="G969" s="8" t="str">
        <f aca="false">IFERROR(INDEX('TRANS'!$B:$B,MATCH($B969,'TRANS'!$A:$A,0)),IFERROR(INDEX('TRANS'!$B:$B,MATCH(TRIM(SUBSTITUTE($B969,CHAR(160)," ")),'TRANS'!$D:$D,0)),IFERROR(INDEX('Catalog'!$A:$A,MATCH($B969,'Catalog'!$B:$B,0)),IFERROR(INDEX('Catalog'!$A:$A,MATCH(TRIM(SUBSTITUTE($B969,CHAR(160)," ")),'Catalog'!$C:$C,0)),""))))</f>
        <v/>
      </c>
      <c r="H969" s="8" t="str">
        <f aca="false">IFERROR(INDEX('TRANS'!$C:$C,MATCH($B969,'TRANS'!$A:$A,0)),IFERROR(INDEX('Catalog'!$B:$B,MATCH($G969,'Catalog'!$A:$A,0)),$B969))</f>
        <v>35C XXL</v>
      </c>
      <c r="I969" s="8" t="str">
        <f aca="false">IF($G969="","Unmatched","Matched")</f>
        <v>Unmatched</v>
      </c>
    </row>
    <row r="970" customFormat="false" ht="15" hidden="false" customHeight="false" outlineLevel="0" collapsed="false">
      <c r="A970" s="8" t="s">
        <v>572</v>
      </c>
      <c r="B970" s="8" t="s">
        <v>155</v>
      </c>
      <c r="C970" s="19" t="n">
        <v>13</v>
      </c>
      <c r="D970" s="19" t="n">
        <v>188.27</v>
      </c>
      <c r="E970" s="19" t="n">
        <v>10</v>
      </c>
      <c r="F970" s="19" t="n">
        <v>144.82</v>
      </c>
      <c r="G970" s="8" t="n">
        <f aca="false">IFERROR(INDEX('TRANS'!$B:$B,MATCH($B970,'TRANS'!$A:$A,0)),IFERROR(INDEX('TRANS'!$B:$B,MATCH(TRIM(SUBSTITUTE($B970,CHAR(160)," ")),'TRANS'!$D:$D,0)),IFERROR(INDEX('Catalog'!$A:$A,MATCH($B970,'Catalog'!$B:$B,0)),IFERROR(INDEX('Catalog'!$A:$A,MATCH(TRIM(SUBSTITUTE($B970,CHAR(160)," ")),'Catalog'!$C:$C,0)),""))))</f>
        <v>4409000</v>
      </c>
      <c r="H970" s="8" t="str">
        <f aca="false">IFERROR(INDEX('TRANS'!$C:$C,MATCH($B970,'TRANS'!$A:$A,0)),IFERROR(INDEX('Catalog'!$B:$B,MATCH($G970,'Catalog'!$A:$A,0)),$B970))</f>
        <v>365 S-Lטבעת אלסטית מסיליקון</v>
      </c>
      <c r="I970" s="8" t="str">
        <f aca="false">IF($G970="","Unmatched","Matched")</f>
        <v>Matched</v>
      </c>
    </row>
    <row r="971" customFormat="false" ht="15" hidden="false" customHeight="false" outlineLevel="0" collapsed="false">
      <c r="A971" s="8" t="s">
        <v>572</v>
      </c>
      <c r="B971" s="8" t="s">
        <v>478</v>
      </c>
      <c r="C971" s="19" t="n">
        <v>12</v>
      </c>
      <c r="D971" s="19" t="n">
        <v>168.21</v>
      </c>
      <c r="E971" s="19" t="n">
        <v>10</v>
      </c>
      <c r="F971" s="19" t="n">
        <v>140.17</v>
      </c>
      <c r="G971" s="8" t="n">
        <f aca="false">IFERROR(INDEX('TRANS'!$B:$B,MATCH($B971,'TRANS'!$A:$A,0)),IFERROR(INDEX('TRANS'!$B:$B,MATCH(TRIM(SUBSTITUTE($B971,CHAR(160)," ")),'TRANS'!$D:$D,0)),IFERROR(INDEX('Catalog'!$A:$A,MATCH($B971,'Catalog'!$B:$B,0)),IFERROR(INDEX('Catalog'!$A:$A,MATCH(TRIM(SUBSTITUTE($B971,CHAR(160)," ")),'Catalog'!$C:$C,0)),""))))</f>
        <v>4409001</v>
      </c>
      <c r="H971" s="8" t="str">
        <f aca="false">IFERROR(INDEX('TRANS'!$C:$C,MATCH($B971,'TRANS'!$A:$A,0)),IFERROR(INDEX('Catalog'!$B:$B,MATCH($G971,'Catalog'!$A:$A,0)),$B971))</f>
        <v>365  X-Lטבעת אלסטית מסיליקון</v>
      </c>
      <c r="I971" s="8" t="str">
        <f aca="false">IF($G971="","Unmatched","Matched")</f>
        <v>Matched</v>
      </c>
    </row>
    <row r="972" customFormat="false" ht="15" hidden="false" customHeight="false" outlineLevel="0" collapsed="false">
      <c r="A972" s="8" t="s">
        <v>572</v>
      </c>
      <c r="B972" s="8" t="s">
        <v>725</v>
      </c>
      <c r="C972" s="19" t="n">
        <v>2</v>
      </c>
      <c r="D972" s="19" t="n">
        <v>168.64</v>
      </c>
      <c r="E972" s="19" t="n">
        <v>0</v>
      </c>
      <c r="F972" s="19" t="n">
        <v>0</v>
      </c>
      <c r="G972" s="8" t="str">
        <f aca="false">IFERROR(INDEX('TRANS'!$B:$B,MATCH($B972,'TRANS'!$A:$A,0)),IFERROR(INDEX('TRANS'!$B:$B,MATCH(TRIM(SUBSTITUTE($B972,CHAR(160)," ")),'TRANS'!$D:$D,0)),IFERROR(INDEX('Catalog'!$A:$A,MATCH($B972,'Catalog'!$B:$B,0)),IFERROR(INDEX('Catalog'!$A:$A,MATCH(TRIM(SUBSTITUTE($B972,CHAR(160)," ")),'Catalog'!$C:$C,0)),""))))</f>
        <v/>
      </c>
      <c r="H972" s="8" t="str">
        <f aca="false">IFERROR(INDEX('TRANS'!$C:$C,MATCH($B972,'TRANS'!$A:$A,0)),IFERROR(INDEX('Catalog'!$B:$B,MATCH($G972,'Catalog'!$A:$A,0)),$B972))</f>
        <v>55 S</v>
      </c>
      <c r="I972" s="8" t="str">
        <f aca="false">IF($G972="","Unmatched","Matched")</f>
        <v>Unmatched</v>
      </c>
    </row>
    <row r="973" customFormat="false" ht="15" hidden="false" customHeight="false" outlineLevel="0" collapsed="false">
      <c r="A973" s="8" t="s">
        <v>572</v>
      </c>
      <c r="B973" s="8" t="s">
        <v>726</v>
      </c>
      <c r="C973" s="19" t="n">
        <v>2</v>
      </c>
      <c r="D973" s="19" t="n">
        <v>168.64</v>
      </c>
      <c r="E973" s="19" t="n">
        <v>0</v>
      </c>
      <c r="F973" s="19" t="n">
        <v>0</v>
      </c>
      <c r="G973" s="8" t="str">
        <f aca="false">IFERROR(INDEX('TRANS'!$B:$B,MATCH($B973,'TRANS'!$A:$A,0)),IFERROR(INDEX('TRANS'!$B:$B,MATCH(TRIM(SUBSTITUTE($B973,CHAR(160)," ")),'TRANS'!$D:$D,0)),IFERROR(INDEX('Catalog'!$A:$A,MATCH($B973,'Catalog'!$B:$B,0)),IFERROR(INDEX('Catalog'!$A:$A,MATCH(TRIM(SUBSTITUTE($B973,CHAR(160)," ")),'Catalog'!$C:$C,0)),""))))</f>
        <v/>
      </c>
      <c r="H973" s="8" t="str">
        <f aca="false">IFERROR(INDEX('TRANS'!$C:$C,MATCH($B973,'TRANS'!$A:$A,0)),IFERROR(INDEX('Catalog'!$B:$B,MATCH($G973,'Catalog'!$A:$A,0)),$B973))</f>
        <v>55 XXL</v>
      </c>
      <c r="I973" s="8" t="str">
        <f aca="false">IF($G973="","Unmatched","Matched")</f>
        <v>Unmatched</v>
      </c>
    </row>
    <row r="974" customFormat="false" ht="15" hidden="false" customHeight="false" outlineLevel="0" collapsed="false">
      <c r="A974" s="8" t="s">
        <v>572</v>
      </c>
      <c r="B974" s="8" t="s">
        <v>262</v>
      </c>
      <c r="C974" s="19" t="n">
        <v>16</v>
      </c>
      <c r="D974" s="19" t="n">
        <v>446.69</v>
      </c>
      <c r="E974" s="19" t="n">
        <v>9</v>
      </c>
      <c r="F974" s="19" t="n">
        <v>278.04</v>
      </c>
      <c r="G974" s="8" t="n">
        <f aca="false">IFERROR(INDEX('TRANS'!$B:$B,MATCH($B974,'TRANS'!$A:$A,0)),IFERROR(INDEX('TRANS'!$B:$B,MATCH(TRIM(SUBSTITUTE($B974,CHAR(160)," ")),'TRANS'!$D:$D,0)),IFERROR(INDEX('Catalog'!$A:$A,MATCH($B974,'Catalog'!$B:$B,0)),IFERROR(INDEX('Catalog'!$A:$A,MATCH(TRIM(SUBSTITUTE($B974,CHAR(160)," ")),'Catalog'!$C:$C,0)),""))))</f>
        <v>4413501</v>
      </c>
      <c r="H974" s="8" t="str">
        <f aca="false">IFERROR(INDEX('TRANS'!$C:$C,MATCH($B974,'TRANS'!$A:$A,0)),IFERROR(INDEX('Catalog'!$B:$B,MATCH($G974,'Catalog'!$A:$A,0)),$B974))</f>
        <v>95B M מגן מרפק שחור</v>
      </c>
      <c r="I974" s="8" t="str">
        <f aca="false">IF($G974="","Unmatched","Matched")</f>
        <v>Matched</v>
      </c>
    </row>
    <row r="975" customFormat="false" ht="15" hidden="false" customHeight="false" outlineLevel="0" collapsed="false">
      <c r="A975" s="8" t="s">
        <v>572</v>
      </c>
      <c r="B975" s="8" t="s">
        <v>263</v>
      </c>
      <c r="C975" s="19" t="n">
        <v>10</v>
      </c>
      <c r="D975" s="19" t="n">
        <v>285.13</v>
      </c>
      <c r="E975" s="19" t="n">
        <v>5</v>
      </c>
      <c r="F975" s="19" t="n">
        <v>154.46</v>
      </c>
      <c r="G975" s="8" t="n">
        <f aca="false">IFERROR(INDEX('TRANS'!$B:$B,MATCH($B975,'TRANS'!$A:$A,0)),IFERROR(INDEX('TRANS'!$B:$B,MATCH(TRIM(SUBSTITUTE($B975,CHAR(160)," ")),'TRANS'!$D:$D,0)),IFERROR(INDEX('Catalog'!$A:$A,MATCH($B975,'Catalog'!$B:$B,0)),IFERROR(INDEX('Catalog'!$A:$A,MATCH(TRIM(SUBSTITUTE($B975,CHAR(160)," ")),'Catalog'!$C:$C,0)),""))))</f>
        <v>4413502</v>
      </c>
      <c r="H975" s="8" t="str">
        <f aca="false">IFERROR(INDEX('TRANS'!$C:$C,MATCH($B975,'TRANS'!$A:$A,0)),IFERROR(INDEX('Catalog'!$B:$B,MATCH($G975,'Catalog'!$A:$A,0)),$B975))</f>
        <v>95B S מגן מרפק שחור</v>
      </c>
      <c r="I975" s="8" t="str">
        <f aca="false">IF($G975="","Unmatched","Matched")</f>
        <v>Matched</v>
      </c>
    </row>
    <row r="976" customFormat="false" ht="15" hidden="false" customHeight="false" outlineLevel="0" collapsed="false">
      <c r="A976" s="8" t="s">
        <v>572</v>
      </c>
      <c r="B976" s="8" t="s">
        <v>272</v>
      </c>
      <c r="C976" s="19" t="n">
        <v>28</v>
      </c>
      <c r="D976" s="19" t="n">
        <v>993.22</v>
      </c>
      <c r="E976" s="19" t="n">
        <v>22</v>
      </c>
      <c r="F976" s="19" t="n">
        <v>926.99</v>
      </c>
      <c r="G976" s="8" t="n">
        <f aca="false">IFERROR(INDEX('TRANS'!$B:$B,MATCH($B976,'TRANS'!$A:$A,0)),IFERROR(INDEX('TRANS'!$B:$B,MATCH(TRIM(SUBSTITUTE($B976,CHAR(160)," ")),'TRANS'!$D:$D,0)),IFERROR(INDEX('Catalog'!$A:$A,MATCH($B976,'Catalog'!$B:$B,0)),IFERROR(INDEX('Catalog'!$A:$A,MATCH(TRIM(SUBSTITUTE($B976,CHAR(160)," ")),'Catalog'!$C:$C,0)),""))))</f>
        <v>4415028</v>
      </c>
      <c r="H976" s="8" t="str">
        <f aca="false">IFERROR(INDEX('TRANS'!$C:$C,MATCH($B976,'TRANS'!$A:$A,0)),IFERROR(INDEX('Catalog'!$B:$B,MATCH($G976,'Catalog'!$A:$A,0)),$B976))</f>
        <v>AC-28 סד לאגודל</v>
      </c>
      <c r="I976" s="8" t="str">
        <f aca="false">IF($G976="","Unmatched","Matched")</f>
        <v>Matched</v>
      </c>
    </row>
    <row r="977" customFormat="false" ht="15" hidden="false" customHeight="false" outlineLevel="0" collapsed="false">
      <c r="A977" s="8" t="s">
        <v>572</v>
      </c>
      <c r="B977" s="8" t="s">
        <v>278</v>
      </c>
      <c r="C977" s="19" t="n">
        <v>2</v>
      </c>
      <c r="D977" s="19" t="n">
        <v>84.27</v>
      </c>
      <c r="E977" s="19" t="n">
        <v>3</v>
      </c>
      <c r="F977" s="19" t="n">
        <v>126.41</v>
      </c>
      <c r="G977" s="8" t="n">
        <f aca="false">IFERROR(INDEX('TRANS'!$B:$B,MATCH($B977,'TRANS'!$A:$A,0)),IFERROR(INDEX('TRANS'!$B:$B,MATCH(TRIM(SUBSTITUTE($B977,CHAR(160)," ")),'TRANS'!$D:$D,0)),IFERROR(INDEX('Catalog'!$A:$A,MATCH($B977,'Catalog'!$B:$B,0)),IFERROR(INDEX('Catalog'!$A:$A,MATCH(TRIM(SUBSTITUTE($B977,CHAR(160)," ")),'Catalog'!$C:$C,0)),""))))</f>
        <v>4413331</v>
      </c>
      <c r="H977" s="8" t="str">
        <f aca="false">IFERROR(INDEX('TRANS'!$C:$C,MATCH($B977,'TRANS'!$A:$A,0)),IFERROR(INDEX('Catalog'!$B:$B,MATCH($G977,'Catalog'!$A:$A,0)),$B977))</f>
        <v>AC95 מגן מרפק</v>
      </c>
      <c r="I977" s="8" t="str">
        <f aca="false">IF($G977="","Unmatched","Matched")</f>
        <v>Matched</v>
      </c>
    </row>
    <row r="978" customFormat="false" ht="15" hidden="false" customHeight="false" outlineLevel="0" collapsed="false">
      <c r="A978" s="8" t="s">
        <v>572</v>
      </c>
      <c r="B978" s="8" t="s">
        <v>727</v>
      </c>
      <c r="C978" s="19" t="n">
        <v>0</v>
      </c>
      <c r="D978" s="19" t="n">
        <v>0</v>
      </c>
      <c r="E978" s="19" t="n">
        <v>6</v>
      </c>
      <c r="F978" s="19" t="n">
        <v>165.64</v>
      </c>
      <c r="G978" s="8" t="str">
        <f aca="false">IFERROR(INDEX('TRANS'!$B:$B,MATCH($B978,'TRANS'!$A:$A,0)),IFERROR(INDEX('TRANS'!$B:$B,MATCH(TRIM(SUBSTITUTE($B978,CHAR(160)," ")),'TRANS'!$D:$D,0)),IFERROR(INDEX('Catalog'!$A:$A,MATCH($B978,'Catalog'!$B:$B,0)),IFERROR(INDEX('Catalog'!$A:$A,MATCH(TRIM(SUBSTITUTE($B978,CHAR(160)," ")),'Catalog'!$C:$C,0)),""))))</f>
        <v/>
      </c>
      <c r="H978" s="8" t="str">
        <f aca="false">IFERROR(INDEX('TRANS'!$C:$C,MATCH($B978,'TRANS'!$A:$A,0)),IFERROR(INDEX('Catalog'!$B:$B,MATCH($G978,'Catalog'!$A:$A,0)),$B978))</f>
        <v>FC330Z 0</v>
      </c>
      <c r="I978" s="8" t="str">
        <f aca="false">IF($G978="","Unmatched","Matched")</f>
        <v>Unmatched</v>
      </c>
    </row>
    <row r="979" customFormat="false" ht="15" hidden="false" customHeight="false" outlineLevel="0" collapsed="false">
      <c r="A979" s="8" t="s">
        <v>572</v>
      </c>
      <c r="B979" s="8" t="s">
        <v>557</v>
      </c>
      <c r="C979" s="19" t="n">
        <v>1</v>
      </c>
      <c r="D979" s="19" t="n">
        <v>260</v>
      </c>
      <c r="E979" s="19" t="n">
        <v>1</v>
      </c>
      <c r="F979" s="19" t="n">
        <v>260</v>
      </c>
      <c r="G979" s="8" t="str">
        <f aca="false">IFERROR(INDEX('TRANS'!$B:$B,MATCH($B979,'TRANS'!$A:$A,0)),IFERROR(INDEX('TRANS'!$B:$B,MATCH(TRIM(SUBSTITUTE($B979,CHAR(160)," ")),'TRANS'!$D:$D,0)),IFERROR(INDEX('Catalog'!$A:$A,MATCH($B979,'Catalog'!$B:$B,0)),IFERROR(INDEX('Catalog'!$A:$A,MATCH(TRIM(SUBSTITUTE($B979,CHAR(160)," ")),'Catalog'!$C:$C,0)),""))))</f>
        <v/>
      </c>
      <c r="H979" s="8" t="str">
        <f aca="false">IFERROR(INDEX('TRANS'!$C:$C,MATCH($B979,'TRANS'!$A:$A,0)),IFERROR(INDEX('Catalog'!$B:$B,MATCH($G979,'Catalog'!$A:$A,0)),$B979))</f>
        <v>N433D S</v>
      </c>
      <c r="I979" s="8" t="str">
        <f aca="false">IF($G979="","Unmatched","Matched")</f>
        <v>Unmatched</v>
      </c>
    </row>
    <row r="980" customFormat="false" ht="15" hidden="false" customHeight="false" outlineLevel="0" collapsed="false">
      <c r="A980" s="8" t="s">
        <v>572</v>
      </c>
      <c r="B980" s="8" t="s">
        <v>304</v>
      </c>
      <c r="C980" s="19" t="n">
        <v>5</v>
      </c>
      <c r="D980" s="19" t="n">
        <v>401.15</v>
      </c>
      <c r="E980" s="19" t="n">
        <v>4</v>
      </c>
      <c r="F980" s="19" t="n">
        <v>374.68</v>
      </c>
      <c r="G980" s="8" t="n">
        <f aca="false">IFERROR(INDEX('TRANS'!$B:$B,MATCH($B980,'TRANS'!$A:$A,0)),IFERROR(INDEX('TRANS'!$B:$B,MATCH(TRIM(SUBSTITUTE($B980,CHAR(160)," ")),'TRANS'!$D:$D,0)),IFERROR(INDEX('Catalog'!$A:$A,MATCH($B980,'Catalog'!$B:$B,0)),IFERROR(INDEX('Catalog'!$A:$A,MATCH(TRIM(SUBSTITUTE($B980,CHAR(160)," ")),'Catalog'!$C:$C,0)),""))))</f>
        <v>4413407</v>
      </c>
      <c r="H980" s="8" t="str">
        <f aca="false">IFERROR(INDEX('TRANS'!$C:$C,MATCH($B980,'TRANS'!$A:$A,0)),IFERROR(INDEX('Catalog'!$B:$B,MATCH($G980,'Catalog'!$A:$A,0)),$B980))</f>
        <v>SC95 L מגן מרפק</v>
      </c>
      <c r="I980" s="8" t="str">
        <f aca="false">IF($G980="","Unmatched","Matched")</f>
        <v>Matched</v>
      </c>
    </row>
    <row r="981" customFormat="false" ht="15" hidden="false" customHeight="false" outlineLevel="0" collapsed="false">
      <c r="A981" s="8" t="s">
        <v>572</v>
      </c>
      <c r="B981" s="8" t="s">
        <v>305</v>
      </c>
      <c r="C981" s="19" t="n">
        <v>5</v>
      </c>
      <c r="D981" s="19" t="n">
        <v>402.86</v>
      </c>
      <c r="E981" s="19" t="n">
        <v>3</v>
      </c>
      <c r="F981" s="19" t="n">
        <v>281.01</v>
      </c>
      <c r="G981" s="8" t="n">
        <f aca="false">IFERROR(INDEX('TRANS'!$B:$B,MATCH($B981,'TRANS'!$A:$A,0)),IFERROR(INDEX('TRANS'!$B:$B,MATCH(TRIM(SUBSTITUTE($B981,CHAR(160)," ")),'TRANS'!$D:$D,0)),IFERROR(INDEX('Catalog'!$A:$A,MATCH($B981,'Catalog'!$B:$B,0)),IFERROR(INDEX('Catalog'!$A:$A,MATCH(TRIM(SUBSTITUTE($B981,CHAR(160)," ")),'Catalog'!$C:$C,0)),""))))</f>
        <v>4413406</v>
      </c>
      <c r="H981" s="8" t="str">
        <f aca="false">IFERROR(INDEX('TRANS'!$C:$C,MATCH($B981,'TRANS'!$A:$A,0)),IFERROR(INDEX('Catalog'!$B:$B,MATCH($G981,'Catalog'!$A:$A,0)),$B981))</f>
        <v>SC95 M מגן מרפק</v>
      </c>
      <c r="I981" s="8" t="str">
        <f aca="false">IF($G981="","Unmatched","Matched")</f>
        <v>Matched</v>
      </c>
    </row>
    <row r="982" customFormat="false" ht="15" hidden="false" customHeight="false" outlineLevel="0" collapsed="false">
      <c r="A982" s="8" t="s">
        <v>572</v>
      </c>
      <c r="B982" s="8" t="s">
        <v>55</v>
      </c>
      <c r="C982" s="19" t="n">
        <v>2</v>
      </c>
      <c r="D982" s="19" t="n">
        <v>189.28</v>
      </c>
      <c r="E982" s="19" t="n">
        <v>2</v>
      </c>
      <c r="F982" s="19" t="n">
        <v>189.27</v>
      </c>
      <c r="G982" s="8" t="n">
        <f aca="false">IFERROR(INDEX('TRANS'!$B:$B,MATCH($B982,'TRANS'!$A:$A,0)),IFERROR(INDEX('TRANS'!$B:$B,MATCH(TRIM(SUBSTITUTE($B982,CHAR(160)," ")),'TRANS'!$D:$D,0)),IFERROR(INDEX('Catalog'!$A:$A,MATCH($B982,'Catalog'!$B:$B,0)),IFERROR(INDEX('Catalog'!$A:$A,MATCH(TRIM(SUBSTITUTE($B982,CHAR(160)," ")),'Catalog'!$C:$C,0)),""))))</f>
        <v>4408093</v>
      </c>
      <c r="H982" s="8" t="str">
        <f aca="false">IFERROR(INDEX('TRANS'!$C:$C,MATCH($B982,'TRANS'!$A:$A,0)),IFERROR(INDEX('Catalog'!$B:$B,MATCH($G982,'Catalog'!$A:$A,0)),$B982))</f>
        <v>T11C XXL חגורת גב פוג'יאמה</v>
      </c>
      <c r="I982" s="8" t="str">
        <f aca="false">IF($G982="","Unmatched","Matched")</f>
        <v>Matched</v>
      </c>
    </row>
    <row r="983" customFormat="false" ht="15" hidden="false" customHeight="false" outlineLevel="0" collapsed="false">
      <c r="A983" s="8" t="s">
        <v>572</v>
      </c>
      <c r="B983" s="8" t="s">
        <v>316</v>
      </c>
      <c r="C983" s="19" t="n">
        <v>7</v>
      </c>
      <c r="D983" s="19" t="n">
        <v>249</v>
      </c>
      <c r="E983" s="19" t="n">
        <v>0</v>
      </c>
      <c r="F983" s="19" t="n">
        <v>0</v>
      </c>
      <c r="G983" s="8" t="n">
        <f aca="false">IFERROR(INDEX('TRANS'!$B:$B,MATCH($B983,'TRANS'!$A:$A,0)),IFERROR(INDEX('TRANS'!$B:$B,MATCH(TRIM(SUBSTITUTE($B983,CHAR(160)," ")),'TRANS'!$D:$D,0)),IFERROR(INDEX('Catalog'!$A:$A,MATCH($B983,'Catalog'!$B:$B,0)),IFERROR(INDEX('Catalog'!$A:$A,MATCH(TRIM(SUBSTITUTE($B983,CHAR(160)," ")),'Catalog'!$C:$C,0)),""))))</f>
        <v>4408097</v>
      </c>
      <c r="H983" s="8" t="str">
        <f aca="false">IFERROR(INDEX('TRANS'!$C:$C,MATCH($B983,'TRANS'!$A:$A,0)),IFERROR(INDEX('Catalog'!$B:$B,MATCH($G983,'Catalog'!$A:$A,0)),$B983))</f>
        <v>T20C L-XL חבק יד עם צמדן חום</v>
      </c>
      <c r="I983" s="8" t="str">
        <f aca="false">IF($G983="","Unmatched","Matched")</f>
        <v>Matched</v>
      </c>
    </row>
    <row r="984" customFormat="false" ht="15" hidden="false" customHeight="false" outlineLevel="0" collapsed="false">
      <c r="A984" s="8" t="s">
        <v>572</v>
      </c>
      <c r="B984" s="8" t="s">
        <v>317</v>
      </c>
      <c r="C984" s="19" t="n">
        <v>16</v>
      </c>
      <c r="D984" s="19" t="n">
        <v>568.82</v>
      </c>
      <c r="E984" s="19" t="n">
        <v>0</v>
      </c>
      <c r="F984" s="19" t="n">
        <v>0</v>
      </c>
      <c r="G984" s="8" t="n">
        <f aca="false">IFERROR(INDEX('TRANS'!$B:$B,MATCH($B984,'TRANS'!$A:$A,0)),IFERROR(INDEX('TRANS'!$B:$B,MATCH(TRIM(SUBSTITUTE($B984,CHAR(160)," ")),'TRANS'!$D:$D,0)),IFERROR(INDEX('Catalog'!$A:$A,MATCH($B984,'Catalog'!$B:$B,0)),IFERROR(INDEX('Catalog'!$A:$A,MATCH(TRIM(SUBSTITUTE($B984,CHAR(160)," ")),'Catalog'!$C:$C,0)),""))))</f>
        <v>4408096</v>
      </c>
      <c r="H984" s="8" t="str">
        <f aca="false">IFERROR(INDEX('TRANS'!$C:$C,MATCH($B984,'TRANS'!$A:$A,0)),IFERROR(INDEX('Catalog'!$B:$B,MATCH($G984,'Catalog'!$A:$A,0)),$B984))</f>
        <v>T20C S-M חבק יד עם צמדןחום</v>
      </c>
      <c r="I984" s="8" t="str">
        <f aca="false">IF($G984="","Unmatched","Matched")</f>
        <v>Matched</v>
      </c>
    </row>
    <row r="985" customFormat="false" ht="15" hidden="false" customHeight="false" outlineLevel="0" collapsed="false">
      <c r="A985" s="8" t="s">
        <v>572</v>
      </c>
      <c r="B985" s="8" t="s">
        <v>445</v>
      </c>
      <c r="C985" s="19" t="n">
        <v>2</v>
      </c>
      <c r="D985" s="19" t="n">
        <v>211.72</v>
      </c>
      <c r="E985" s="19" t="n">
        <v>4</v>
      </c>
      <c r="F985" s="19" t="n">
        <v>431.04</v>
      </c>
      <c r="G985" s="8" t="n">
        <f aca="false">IFERROR(INDEX('TRANS'!$B:$B,MATCH($B985,'TRANS'!$A:$A,0)),IFERROR(INDEX('TRANS'!$B:$B,MATCH(TRIM(SUBSTITUTE($B985,CHAR(160)," ")),'TRANS'!$D:$D,0)),IFERROR(INDEX('Catalog'!$A:$A,MATCH($B985,'Catalog'!$B:$B,0)),IFERROR(INDEX('Catalog'!$A:$A,MATCH(TRIM(SUBSTITUTE($B985,CHAR(160)," ")),'Catalog'!$C:$C,0)),""))))</f>
        <v>4413180</v>
      </c>
      <c r="H985" s="8" t="str">
        <f aca="false">IFERROR(INDEX('TRANS'!$C:$C,MATCH($B985,'TRANS'!$A:$A,0)),IFERROR(INDEX('Catalog'!$B:$B,MATCH($G985,'Catalog'!$A:$A,0)),$B985))</f>
        <v>T39  S מגן שוק</v>
      </c>
      <c r="I985" s="8" t="str">
        <f aca="false">IF($G985="","Unmatched","Matched")</f>
        <v>Matched</v>
      </c>
    </row>
    <row r="986" customFormat="false" ht="15" hidden="false" customHeight="false" outlineLevel="0" collapsed="false">
      <c r="A986" s="8" t="s">
        <v>572</v>
      </c>
      <c r="B986" s="8" t="s">
        <v>728</v>
      </c>
      <c r="C986" s="19" t="n">
        <v>0</v>
      </c>
      <c r="D986" s="19" t="n">
        <v>0.01</v>
      </c>
      <c r="E986" s="19" t="n">
        <v>0</v>
      </c>
      <c r="F986" s="19" t="n">
        <v>0</v>
      </c>
      <c r="G986" s="8" t="str">
        <f aca="false">IFERROR(INDEX('TRANS'!$B:$B,MATCH($B986,'TRANS'!$A:$A,0)),IFERROR(INDEX('TRANS'!$B:$B,MATCH(TRIM(SUBSTITUTE($B986,CHAR(160)," ")),'TRANS'!$D:$D,0)),IFERROR(INDEX('Catalog'!$A:$A,MATCH($B986,'Catalog'!$B:$B,0)),IFERROR(INDEX('Catalog'!$A:$A,MATCH(TRIM(SUBSTITUTE($B986,CHAR(160)," ")),'Catalog'!$C:$C,0)),""))))</f>
        <v/>
      </c>
      <c r="H986" s="8" t="str">
        <f aca="false">IFERROR(INDEX('TRANS'!$C:$C,MATCH($B986,'TRANS'!$A:$A,0)),IFERROR(INDEX('Catalog'!$B:$B,MATCH($G986,'Catalog'!$A:$A,0)),$B986))</f>
        <v>T433 L</v>
      </c>
      <c r="I986" s="8" t="str">
        <f aca="false">IF($G986="","Unmatched","Matched")</f>
        <v>Unmatched</v>
      </c>
    </row>
    <row r="987" customFormat="false" ht="15" hidden="false" customHeight="false" outlineLevel="0" collapsed="false">
      <c r="A987" s="8" t="s">
        <v>572</v>
      </c>
      <c r="B987" s="8" t="s">
        <v>729</v>
      </c>
      <c r="C987" s="19" t="n">
        <v>1</v>
      </c>
      <c r="D987" s="19" t="n">
        <v>190</v>
      </c>
      <c r="E987" s="19" t="n">
        <v>-1</v>
      </c>
      <c r="F987" s="19" t="n">
        <v>-190</v>
      </c>
      <c r="G987" s="8" t="str">
        <f aca="false">IFERROR(INDEX('TRANS'!$B:$B,MATCH($B987,'TRANS'!$A:$A,0)),IFERROR(INDEX('TRANS'!$B:$B,MATCH(TRIM(SUBSTITUTE($B987,CHAR(160)," ")),'TRANS'!$D:$D,0)),IFERROR(INDEX('Catalog'!$A:$A,MATCH($B987,'Catalog'!$B:$B,0)),IFERROR(INDEX('Catalog'!$A:$A,MATCH(TRIM(SUBSTITUTE($B987,CHAR(160)," ")),'Catalog'!$C:$C,0)),""))))</f>
        <v/>
      </c>
      <c r="H987" s="8" t="str">
        <f aca="false">IFERROR(INDEX('TRANS'!$C:$C,MATCH($B987,'TRANS'!$A:$A,0)),IFERROR(INDEX('Catalog'!$B:$B,MATCH($G987,'Catalog'!$A:$A,0)),$B987))</f>
        <v>T433 M</v>
      </c>
      <c r="I987" s="8" t="str">
        <f aca="false">IF($G987="","Unmatched","Matched")</f>
        <v>Unmatched</v>
      </c>
    </row>
    <row r="988" customFormat="false" ht="15" hidden="false" customHeight="false" outlineLevel="0" collapsed="false">
      <c r="A988" s="8" t="s">
        <v>572</v>
      </c>
      <c r="B988" s="8" t="s">
        <v>331</v>
      </c>
      <c r="C988" s="19" t="n">
        <v>1</v>
      </c>
      <c r="D988" s="19" t="n">
        <v>85.26</v>
      </c>
      <c r="E988" s="19" t="n">
        <v>0</v>
      </c>
      <c r="F988" s="19" t="n">
        <v>0</v>
      </c>
      <c r="G988" s="8" t="str">
        <f aca="false">IFERROR(INDEX('TRANS'!$B:$B,MATCH($B988,'TRANS'!$A:$A,0)),IFERROR(INDEX('TRANS'!$B:$B,MATCH(TRIM(SUBSTITUTE($B988,CHAR(160)," ")),'TRANS'!$D:$D,0)),IFERROR(INDEX('Catalog'!$A:$A,MATCH($B988,'Catalog'!$B:$B,0)),IFERROR(INDEX('Catalog'!$A:$A,MATCH(TRIM(SUBSTITUTE($B988,CHAR(160)," ")),'Catalog'!$C:$C,0)),""))))</f>
        <v/>
      </c>
      <c r="H988" s="8" t="str">
        <f aca="false">IFERROR(INDEX('TRANS'!$C:$C,MATCH($B988,'TRANS'!$A:$A,0)),IFERROR(INDEX('Catalog'!$B:$B,MATCH($G988,'Catalog'!$A:$A,0)),$B988))</f>
        <v>T49 XL</v>
      </c>
      <c r="I988" s="8" t="str">
        <f aca="false">IF($G988="","Unmatched","Matched")</f>
        <v>Unmatched</v>
      </c>
    </row>
    <row r="989" customFormat="false" ht="15" hidden="false" customHeight="false" outlineLevel="0" collapsed="false">
      <c r="A989" s="8" t="s">
        <v>572</v>
      </c>
      <c r="B989" s="8" t="s">
        <v>560</v>
      </c>
      <c r="C989" s="19" t="n">
        <v>1</v>
      </c>
      <c r="D989" s="19" t="n">
        <v>59.01</v>
      </c>
      <c r="E989" s="19" t="n">
        <v>0</v>
      </c>
      <c r="F989" s="19" t="n">
        <v>0</v>
      </c>
      <c r="G989" s="8" t="str">
        <f aca="false">IFERROR(INDEX('TRANS'!$B:$B,MATCH($B989,'TRANS'!$A:$A,0)),IFERROR(INDEX('TRANS'!$B:$B,MATCH(TRIM(SUBSTITUTE($B989,CHAR(160)," ")),'TRANS'!$D:$D,0)),IFERROR(INDEX('Catalog'!$A:$A,MATCH($B989,'Catalog'!$B:$B,0)),IFERROR(INDEX('Catalog'!$A:$A,MATCH(TRIM(SUBSTITUTE($B989,CHAR(160)," ")),'Catalog'!$C:$C,0)),""))))</f>
        <v/>
      </c>
      <c r="H989" s="8" t="str">
        <f aca="false">IFERROR(INDEX('TRANS'!$C:$C,MATCH($B989,'TRANS'!$A:$A,0)),IFERROR(INDEX('Catalog'!$B:$B,MATCH($G989,'Catalog'!$A:$A,0)),$B989))</f>
        <v>T95 M</v>
      </c>
      <c r="I989" s="8" t="str">
        <f aca="false">IF($G989="","Unmatched","Matched")</f>
        <v>Unmatched</v>
      </c>
    </row>
    <row r="990" customFormat="false" ht="15" hidden="false" customHeight="false" outlineLevel="0" collapsed="false">
      <c r="A990" s="8" t="s">
        <v>572</v>
      </c>
      <c r="B990" s="8" t="s">
        <v>730</v>
      </c>
      <c r="C990" s="19" t="n">
        <v>5</v>
      </c>
      <c r="D990" s="19" t="n">
        <v>525</v>
      </c>
      <c r="E990" s="19" t="n">
        <v>1</v>
      </c>
      <c r="F990" s="19" t="n">
        <v>105</v>
      </c>
      <c r="G990" s="8" t="n">
        <f aca="false">IFERROR(INDEX('TRANS'!$B:$B,MATCH($B990,'TRANS'!$A:$A,0)),IFERROR(INDEX('TRANS'!$B:$B,MATCH(TRIM(SUBSTITUTE($B990,CHAR(160)," ")),'TRANS'!$D:$D,0)),IFERROR(INDEX('Catalog'!$A:$A,MATCH($B990,'Catalog'!$B:$B,0)),IFERROR(INDEX('Catalog'!$A:$A,MATCH(TRIM(SUBSTITUTE($B990,CHAR(160)," ")),'Catalog'!$C:$C,0)),""))))</f>
        <v>4408259</v>
      </c>
      <c r="H990" s="8" t="str">
        <f aca="false">IFERROR(INDEX('TRANS'!$C:$C,MATCH($B990,'TRANS'!$A:$A,0)),IFERROR(INDEX('Catalog'!$B:$B,MATCH($G990,'Catalog'!$A:$A,0)),$B990))</f>
        <v>11STO S חגורה אחרי ניתוח</v>
      </c>
      <c r="I990" s="8" t="str">
        <f aca="false">IF($G990="","Unmatched","Matched")</f>
        <v>Matched</v>
      </c>
    </row>
    <row r="991" customFormat="false" ht="15" hidden="false" customHeight="false" outlineLevel="0" collapsed="false">
      <c r="A991" s="8" t="s">
        <v>572</v>
      </c>
      <c r="B991" s="8" t="s">
        <v>396</v>
      </c>
      <c r="C991" s="19" t="n">
        <v>6</v>
      </c>
      <c r="D991" s="19" t="n">
        <v>760.76</v>
      </c>
      <c r="E991" s="19" t="n">
        <v>5</v>
      </c>
      <c r="F991" s="19" t="n">
        <v>675.38</v>
      </c>
      <c r="G991" s="8" t="n">
        <f aca="false">IFERROR(INDEX('TRANS'!$B:$B,MATCH($B991,'TRANS'!$A:$A,0)),IFERROR(INDEX('TRANS'!$B:$B,MATCH(TRIM(SUBSTITUTE($B991,CHAR(160)," ")),'TRANS'!$D:$D,0)),IFERROR(INDEX('Catalog'!$A:$A,MATCH($B991,'Catalog'!$B:$B,0)),IFERROR(INDEX('Catalog'!$A:$A,MATCH(TRIM(SUBSTITUTE($B991,CHAR(160)," ")),'Catalog'!$C:$C,0)),""))))</f>
        <v>4408075</v>
      </c>
      <c r="H991" s="8" t="str">
        <f aca="false">IFERROR(INDEX('TRANS'!$C:$C,MATCH($B991,'TRANS'!$A:$A,0)),IFERROR(INDEX('Catalog'!$B:$B,MATCH($G991,'Catalog'!$A:$A,0)),$B991))</f>
        <v>59L S חגורת שבר לצד שמאל</v>
      </c>
      <c r="I991" s="8" t="str">
        <f aca="false">IF($G991="","Unmatched","Matched")</f>
        <v>Matched</v>
      </c>
    </row>
    <row r="992" customFormat="false" ht="15" hidden="false" customHeight="false" outlineLevel="0" collapsed="false">
      <c r="A992" s="8" t="s">
        <v>572</v>
      </c>
      <c r="B992" s="8" t="s">
        <v>731</v>
      </c>
      <c r="C992" s="19" t="n">
        <v>0</v>
      </c>
      <c r="D992" s="19" t="n">
        <v>0</v>
      </c>
      <c r="E992" s="19" t="n">
        <v>1</v>
      </c>
      <c r="F992" s="19" t="n">
        <v>103.07</v>
      </c>
      <c r="G992" s="8" t="str">
        <f aca="false">IFERROR(INDEX('TRANS'!$B:$B,MATCH($B992,'TRANS'!$A:$A,0)),IFERROR(INDEX('TRANS'!$B:$B,MATCH(TRIM(SUBSTITUTE($B992,CHAR(160)," ")),'TRANS'!$D:$D,0)),IFERROR(INDEX('Catalog'!$A:$A,MATCH($B992,'Catalog'!$B:$B,0)),IFERROR(INDEX('Catalog'!$A:$A,MATCH(TRIM(SUBSTITUTE($B992,CHAR(160)," ")),'Catalog'!$C:$C,0)),""))))</f>
        <v/>
      </c>
      <c r="H992" s="8" t="str">
        <f aca="false">IFERROR(INDEX('TRANS'!$C:$C,MATCH($B992,'TRANS'!$A:$A,0)),IFERROR(INDEX('Catalog'!$B:$B,MATCH($G992,'Catalog'!$A:$A,0)),$B992))</f>
        <v>11U M</v>
      </c>
      <c r="I992" s="8" t="str">
        <f aca="false">IF($G992="","Unmatched","Matched")</f>
        <v>Unmatched</v>
      </c>
    </row>
    <row r="993" customFormat="false" ht="15" hidden="false" customHeight="false" outlineLevel="0" collapsed="false">
      <c r="A993" s="8" t="s">
        <v>572</v>
      </c>
      <c r="B993" s="8" t="s">
        <v>219</v>
      </c>
      <c r="C993" s="19" t="n">
        <v>3</v>
      </c>
      <c r="D993" s="19" t="n">
        <v>112.36</v>
      </c>
      <c r="E993" s="19" t="n">
        <v>1</v>
      </c>
      <c r="F993" s="19" t="n">
        <v>37.45</v>
      </c>
      <c r="G993" s="8" t="n">
        <f aca="false">IFERROR(INDEX('TRANS'!$B:$B,MATCH($B993,'TRANS'!$A:$A,0)),IFERROR(INDEX('TRANS'!$B:$B,MATCH(TRIM(SUBSTITUTE($B993,CHAR(160)," ")),'TRANS'!$D:$D,0)),IFERROR(INDEX('Catalog'!$A:$A,MATCH($B993,'Catalog'!$B:$B,0)),IFERROR(INDEX('Catalog'!$A:$A,MATCH(TRIM(SUBSTITUTE($B993,CHAR(160)," ")),'Catalog'!$C:$C,0)),""))))</f>
        <v>4413395</v>
      </c>
      <c r="H993" s="8" t="str">
        <f aca="false">IFERROR(INDEX('TRANS'!$C:$C,MATCH($B993,'TRANS'!$A:$A,0)),IFERROR(INDEX('Catalog'!$B:$B,MATCH($G993,'Catalog'!$A:$A,0)),$B993))</f>
        <v>45EC M 'מגן ברך ארוך בז</v>
      </c>
      <c r="I993" s="8" t="str">
        <f aca="false">IF($G993="","Unmatched","Matched")</f>
        <v>Matched</v>
      </c>
    </row>
    <row r="994" customFormat="false" ht="15" hidden="false" customHeight="false" outlineLevel="0" collapsed="false">
      <c r="A994" s="8" t="s">
        <v>572</v>
      </c>
      <c r="B994" s="8" t="s">
        <v>246</v>
      </c>
      <c r="C994" s="19" t="n">
        <v>0</v>
      </c>
      <c r="D994" s="19" t="n">
        <v>0</v>
      </c>
      <c r="E994" s="19" t="n">
        <v>24</v>
      </c>
      <c r="F994" s="19" t="n">
        <v>252</v>
      </c>
      <c r="G994" s="8" t="n">
        <f aca="false">IFERROR(INDEX('TRANS'!$B:$B,MATCH($B994,'TRANS'!$A:$A,0)),IFERROR(INDEX('TRANS'!$B:$B,MATCH(TRIM(SUBSTITUTE($B994,CHAR(160)," ")),'TRANS'!$D:$D,0)),IFERROR(INDEX('Catalog'!$A:$A,MATCH($B994,'Catalog'!$B:$B,0)),IFERROR(INDEX('Catalog'!$A:$A,MATCH(TRIM(SUBSTITUTE($B994,CHAR(160)," ")),'Catalog'!$C:$C,0)),""))))</f>
        <v>4422031</v>
      </c>
      <c r="H994" s="8" t="str">
        <f aca="false">IFERROR(INDEX('TRANS'!$C:$C,MATCH($B994,'TRANS'!$A:$A,0)),IFERROR(INDEX('Catalog'!$B:$B,MATCH($G994,'Catalog'!$A:$A,0)),$B994))</f>
        <v>807CB-Cתחבושת נצמדת בז' 20 מ""""מ</v>
      </c>
      <c r="I994" s="8" t="str">
        <f aca="false">IF($G994="","Unmatched","Matched")</f>
        <v>Matched</v>
      </c>
    </row>
    <row r="995" customFormat="false" ht="15" hidden="false" customHeight="false" outlineLevel="0" collapsed="false">
      <c r="A995" s="8" t="s">
        <v>572</v>
      </c>
      <c r="B995" s="8" t="s">
        <v>84</v>
      </c>
      <c r="C995" s="19" t="n">
        <v>3</v>
      </c>
      <c r="D995" s="19" t="n">
        <v>366.14</v>
      </c>
      <c r="E995" s="19" t="n">
        <v>0</v>
      </c>
      <c r="F995" s="19" t="n">
        <v>0</v>
      </c>
      <c r="G995" s="8" t="str">
        <f aca="false">IFERROR(INDEX('TRANS'!$B:$B,MATCH($B995,'TRANS'!$A:$A,0)),IFERROR(INDEX('TRANS'!$B:$B,MATCH(TRIM(SUBSTITUTE($B995,CHAR(160)," ")),'TRANS'!$D:$D,0)),IFERROR(INDEX('Catalog'!$A:$A,MATCH($B995,'Catalog'!$B:$B,0)),IFERROR(INDEX('Catalog'!$A:$A,MATCH(TRIM(SUBSTITUTE($B995,CHAR(160)," ")),'Catalog'!$C:$C,0)),""))))</f>
        <v/>
      </c>
      <c r="H995" s="8" t="str">
        <f aca="false">IFERROR(INDEX('TRANS'!$C:$C,MATCH($B995,'TRANS'!$A:$A,0)),IFERROR(INDEX('Catalog'!$B:$B,MATCH($G995,'Catalog'!$A:$A,0)),$B995))</f>
        <v>15M M</v>
      </c>
      <c r="I995" s="8" t="str">
        <f aca="false">IF($G995="","Unmatched","Matched")</f>
        <v>Unmatched</v>
      </c>
    </row>
    <row r="996" customFormat="false" ht="15" hidden="false" customHeight="false" outlineLevel="0" collapsed="false">
      <c r="A996" s="8" t="s">
        <v>572</v>
      </c>
      <c r="B996" s="8" t="s">
        <v>86</v>
      </c>
      <c r="C996" s="19" t="n">
        <v>3</v>
      </c>
      <c r="D996" s="19" t="n">
        <v>366.14</v>
      </c>
      <c r="E996" s="19" t="n">
        <v>2</v>
      </c>
      <c r="F996" s="19" t="n">
        <v>281.14</v>
      </c>
      <c r="G996" s="8" t="str">
        <f aca="false">IFERROR(INDEX('TRANS'!$B:$B,MATCH($B996,'TRANS'!$A:$A,0)),IFERROR(INDEX('TRANS'!$B:$B,MATCH(TRIM(SUBSTITUTE($B996,CHAR(160)," ")),'TRANS'!$D:$D,0)),IFERROR(INDEX('Catalog'!$A:$A,MATCH($B996,'Catalog'!$B:$B,0)),IFERROR(INDEX('Catalog'!$A:$A,MATCH(TRIM(SUBSTITUTE($B996,CHAR(160)," ")),'Catalog'!$C:$C,0)),""))))</f>
        <v/>
      </c>
      <c r="H996" s="8" t="str">
        <f aca="false">IFERROR(INDEX('TRANS'!$C:$C,MATCH($B996,'TRANS'!$A:$A,0)),IFERROR(INDEX('Catalog'!$B:$B,MATCH($G996,'Catalog'!$A:$A,0)),$B996))</f>
        <v>15W M</v>
      </c>
      <c r="I996" s="8" t="str">
        <f aca="false">IF($G996="","Unmatched","Matched")</f>
        <v>Unmatched</v>
      </c>
    </row>
    <row r="997" customFormat="false" ht="15" hidden="false" customHeight="false" outlineLevel="0" collapsed="false">
      <c r="A997" s="8" t="s">
        <v>572</v>
      </c>
      <c r="B997" s="8" t="s">
        <v>480</v>
      </c>
      <c r="C997" s="19" t="n">
        <v>2</v>
      </c>
      <c r="D997" s="19" t="n">
        <v>219.04</v>
      </c>
      <c r="E997" s="19" t="n">
        <v>1</v>
      </c>
      <c r="F997" s="19" t="n">
        <v>118.54</v>
      </c>
      <c r="G997" s="8" t="n">
        <f aca="false">IFERROR(INDEX('TRANS'!$B:$B,MATCH($B997,'TRANS'!$A:$A,0)),IFERROR(INDEX('TRANS'!$B:$B,MATCH(TRIM(SUBSTITUTE($B997,CHAR(160)," ")),'TRANS'!$D:$D,0)),IFERROR(INDEX('Catalog'!$A:$A,MATCH($B997,'Catalog'!$B:$B,0)),IFERROR(INDEX('Catalog'!$A:$A,MATCH(TRIM(SUBSTITUTE($B997,CHAR(160)," ")),'Catalog'!$C:$C,0)),""))))</f>
        <v>4413524</v>
      </c>
      <c r="H997" s="8" t="str">
        <f aca="false">IFERROR(INDEX('TRANS'!$C:$C,MATCH($B997,'TRANS'!$A:$A,0)),IFERROR(INDEX('Catalog'!$B:$B,MATCH($G997,'Catalog'!$A:$A,0)),$B997))</f>
        <v>39-42 מדרסי אפיק ג'ל נוחות</v>
      </c>
      <c r="I997" s="8" t="str">
        <f aca="false">IF($G997="","Unmatched","Matched")</f>
        <v>Matched</v>
      </c>
    </row>
    <row r="998" customFormat="false" ht="15" hidden="false" customHeight="false" outlineLevel="0" collapsed="false">
      <c r="A998" s="8" t="s">
        <v>572</v>
      </c>
      <c r="B998" s="8" t="s">
        <v>481</v>
      </c>
      <c r="C998" s="19" t="n">
        <v>2</v>
      </c>
      <c r="D998" s="19" t="n">
        <v>219.04</v>
      </c>
      <c r="E998" s="19" t="n">
        <v>2</v>
      </c>
      <c r="F998" s="19" t="n">
        <v>237.08</v>
      </c>
      <c r="G998" s="8" t="n">
        <f aca="false">IFERROR(INDEX('TRANS'!$B:$B,MATCH($B998,'TRANS'!$A:$A,0)),IFERROR(INDEX('TRANS'!$B:$B,MATCH(TRIM(SUBSTITUTE($B998,CHAR(160)," ")),'TRANS'!$D:$D,0)),IFERROR(INDEX('Catalog'!$A:$A,MATCH($B998,'Catalog'!$B:$B,0)),IFERROR(INDEX('Catalog'!$A:$A,MATCH(TRIM(SUBSTITUTE($B998,CHAR(160)," ")),'Catalog'!$C:$C,0)),""))))</f>
        <v>4413525</v>
      </c>
      <c r="H998" s="8" t="str">
        <f aca="false">IFERROR(INDEX('TRANS'!$C:$C,MATCH($B998,'TRANS'!$A:$A,0)),IFERROR(INDEX('Catalog'!$B:$B,MATCH($G998,'Catalog'!$A:$A,0)),$B998))</f>
        <v>43-47 מדרסי אפיק ג'ל נוחות</v>
      </c>
      <c r="I998" s="8" t="str">
        <f aca="false">IF($G998="","Unmatched","Matched")</f>
        <v>Matched</v>
      </c>
    </row>
    <row r="999" customFormat="false" ht="15" hidden="false" customHeight="false" outlineLevel="0" collapsed="false">
      <c r="A999" s="8" t="s">
        <v>572</v>
      </c>
      <c r="B999" s="8" t="s">
        <v>486</v>
      </c>
      <c r="C999" s="19" t="n">
        <v>3</v>
      </c>
      <c r="D999" s="19" t="n">
        <v>337.58</v>
      </c>
      <c r="E999" s="19" t="n">
        <v>2</v>
      </c>
      <c r="F999" s="19" t="n">
        <v>193.54</v>
      </c>
      <c r="G999" s="8" t="n">
        <f aca="false">IFERROR(INDEX('TRANS'!$B:$B,MATCH($B999,'TRANS'!$A:$A,0)),IFERROR(INDEX('TRANS'!$B:$B,MATCH(TRIM(SUBSTITUTE($B999,CHAR(160)," ")),'TRANS'!$D:$D,0)),IFERROR(INDEX('Catalog'!$A:$A,MATCH($B999,'Catalog'!$B:$B,0)),IFERROR(INDEX('Catalog'!$A:$A,MATCH(TRIM(SUBSTITUTE($B999,CHAR(160)," ")),'Catalog'!$C:$C,0)),""))))</f>
        <v>4413528</v>
      </c>
      <c r="H999" s="8" t="str">
        <f aca="false">IFERROR(INDEX('TRANS'!$C:$C,MATCH($B999,'TRANS'!$A:$A,0)),IFERROR(INDEX('Catalog'!$B:$B,MATCH($G999,'Catalog'!$A:$A,0)),$B999))</f>
        <v>39-42 מדרסי אפיק ג'ל עבודה</v>
      </c>
      <c r="I999" s="8" t="str">
        <f aca="false">IF($G999="","Unmatched","Matched")</f>
        <v>Matched</v>
      </c>
    </row>
    <row r="1000" customFormat="false" ht="15" hidden="false" customHeight="false" outlineLevel="0" collapsed="false">
      <c r="A1000" s="8" t="s">
        <v>572</v>
      </c>
      <c r="B1000" s="8" t="s">
        <v>487</v>
      </c>
      <c r="C1000" s="19" t="n">
        <v>2</v>
      </c>
      <c r="D1000" s="19" t="n">
        <v>219.04</v>
      </c>
      <c r="E1000" s="19" t="n">
        <v>5</v>
      </c>
      <c r="F1000" s="19" t="n">
        <v>530.62</v>
      </c>
      <c r="G1000" s="8" t="n">
        <f aca="false">IFERROR(INDEX('TRANS'!$B:$B,MATCH($B1000,'TRANS'!$A:$A,0)),IFERROR(INDEX('TRANS'!$B:$B,MATCH(TRIM(SUBSTITUTE($B1000,CHAR(160)," ")),'TRANS'!$D:$D,0)),IFERROR(INDEX('Catalog'!$A:$A,MATCH($B1000,'Catalog'!$B:$B,0)),IFERROR(INDEX('Catalog'!$A:$A,MATCH(TRIM(SUBSTITUTE($B1000,CHAR(160)," ")),'Catalog'!$C:$C,0)),""))))</f>
        <v>4413529</v>
      </c>
      <c r="H1000" s="8" t="str">
        <f aca="false">IFERROR(INDEX('TRANS'!$C:$C,MATCH($B1000,'TRANS'!$A:$A,0)),IFERROR(INDEX('Catalog'!$B:$B,MATCH($G1000,'Catalog'!$A:$A,0)),$B1000))</f>
        <v>43-47 מדרסי אפיק ג'ל עבודה</v>
      </c>
      <c r="I1000" s="8" t="str">
        <f aca="false">IF($G1000="","Unmatched","Matched")</f>
        <v>Matched</v>
      </c>
    </row>
    <row r="1001" customFormat="false" ht="15" hidden="false" customHeight="false" outlineLevel="0" collapsed="false">
      <c r="A1001" s="8" t="s">
        <v>572</v>
      </c>
      <c r="B1001" s="8" t="s">
        <v>497</v>
      </c>
      <c r="C1001" s="19" t="n">
        <v>4</v>
      </c>
      <c r="D1001" s="19" t="n">
        <v>0.02</v>
      </c>
      <c r="E1001" s="19" t="n">
        <v>1</v>
      </c>
      <c r="F1001" s="19" t="n">
        <v>0</v>
      </c>
      <c r="G1001" s="8" t="str">
        <f aca="false">IFERROR(INDEX('TRANS'!$B:$B,MATCH($B1001,'TRANS'!$A:$A,0)),IFERROR(INDEX('TRANS'!$B:$B,MATCH(TRIM(SUBSTITUTE($B1001,CHAR(160)," ")),'TRANS'!$D:$D,0)),IFERROR(INDEX('Catalog'!$A:$A,MATCH($B1001,'Catalog'!$B:$B,0)),IFERROR(INDEX('Catalog'!$A:$A,MATCH(TRIM(SUBSTITUTE($B1001,CHAR(160)," ")),'Catalog'!$C:$C,0)),""))))</f>
        <v/>
      </c>
      <c r="H1001" s="8" t="str">
        <f aca="false">IFERROR(INDEX('TRANS'!$C:$C,MATCH($B1001,'TRANS'!$A:$A,0)),IFERROR(INDEX('Catalog'!$B:$B,MATCH($G1001,'Catalog'!$A:$A,0)),$B1001))</f>
        <v>67800020</v>
      </c>
      <c r="I1001" s="8" t="str">
        <f aca="false">IF($G1001="","Unmatched","Matched")</f>
        <v>Unmatched</v>
      </c>
    </row>
    <row r="1002" customFormat="false" ht="15" hidden="false" customHeight="false" outlineLevel="0" collapsed="false">
      <c r="A1002" s="8" t="s">
        <v>572</v>
      </c>
      <c r="B1002" s="8" t="s">
        <v>498</v>
      </c>
      <c r="C1002" s="19" t="n">
        <v>1</v>
      </c>
      <c r="D1002" s="19" t="n">
        <v>0.01</v>
      </c>
      <c r="E1002" s="19" t="n">
        <v>1</v>
      </c>
      <c r="F1002" s="19" t="n">
        <v>0.01</v>
      </c>
      <c r="G1002" s="8" t="str">
        <f aca="false">IFERROR(INDEX('TRANS'!$B:$B,MATCH($B1002,'TRANS'!$A:$A,0)),IFERROR(INDEX('TRANS'!$B:$B,MATCH(TRIM(SUBSTITUTE($B1002,CHAR(160)," ")),'TRANS'!$D:$D,0)),IFERROR(INDEX('Catalog'!$A:$A,MATCH($B1002,'Catalog'!$B:$B,0)),IFERROR(INDEX('Catalog'!$A:$A,MATCH(TRIM(SUBSTITUTE($B1002,CHAR(160)," ")),'Catalog'!$C:$C,0)),""))))</f>
        <v/>
      </c>
      <c r="H1002" s="8" t="str">
        <f aca="false">IFERROR(INDEX('TRANS'!$C:$C,MATCH($B1002,'TRANS'!$A:$A,0)),IFERROR(INDEX('Catalog'!$B:$B,MATCH($G1002,'Catalog'!$A:$A,0)),$B1002))</f>
        <v>67813000</v>
      </c>
      <c r="I1002" s="8" t="str">
        <f aca="false">IF($G1002="","Unmatched","Matched")</f>
        <v>Unmatched</v>
      </c>
    </row>
    <row r="1003" customFormat="false" ht="15" hidden="false" customHeight="false" outlineLevel="0" collapsed="false">
      <c r="A1003" s="8" t="s">
        <v>572</v>
      </c>
      <c r="B1003" s="8" t="s">
        <v>511</v>
      </c>
      <c r="C1003" s="19" t="n">
        <v>1</v>
      </c>
      <c r="D1003" s="19" t="n">
        <v>304.63</v>
      </c>
      <c r="E1003" s="19" t="n">
        <v>0</v>
      </c>
      <c r="F1003" s="19" t="n">
        <v>0</v>
      </c>
      <c r="G1003" s="8" t="str">
        <f aca="false">IFERROR(INDEX('TRANS'!$B:$B,MATCH($B1003,'TRANS'!$A:$A,0)),IFERROR(INDEX('TRANS'!$B:$B,MATCH(TRIM(SUBSTITUTE($B1003,CHAR(160)," ")),'TRANS'!$D:$D,0)),IFERROR(INDEX('Catalog'!$A:$A,MATCH($B1003,'Catalog'!$B:$B,0)),IFERROR(INDEX('Catalog'!$A:$A,MATCH(TRIM(SUBSTITUTE($B1003,CHAR(160)," ")),'Catalog'!$C:$C,0)),""))))</f>
        <v/>
      </c>
      <c r="H1003" s="8" t="str">
        <f aca="false">IFERROR(INDEX('TRANS'!$C:$C,MATCH($B1003,'TRANS'!$A:$A,0)),IFERROR(INDEX('Catalog'!$B:$B,MATCH($G1003,'Catalog'!$A:$A,0)),$B1003))</f>
        <v>88L XXL</v>
      </c>
      <c r="I1003" s="8" t="str">
        <f aca="false">IF($G1003="","Unmatched","Matched")</f>
        <v>Unmatched</v>
      </c>
    </row>
    <row r="1004" customFormat="false" ht="15" hidden="false" customHeight="false" outlineLevel="0" collapsed="false">
      <c r="A1004" s="8" t="s">
        <v>572</v>
      </c>
      <c r="B1004" s="8" t="s">
        <v>732</v>
      </c>
      <c r="C1004" s="19" t="n">
        <v>4</v>
      </c>
      <c r="D1004" s="19" t="n">
        <v>463.95</v>
      </c>
      <c r="E1004" s="19" t="n">
        <v>0</v>
      </c>
      <c r="F1004" s="19" t="n">
        <v>0</v>
      </c>
      <c r="G1004" s="8" t="str">
        <f aca="false">IFERROR(INDEX('TRANS'!$B:$B,MATCH($B1004,'TRANS'!$A:$A,0)),IFERROR(INDEX('TRANS'!$B:$B,MATCH(TRIM(SUBSTITUTE($B1004,CHAR(160)," ")),'TRANS'!$D:$D,0)),IFERROR(INDEX('Catalog'!$A:$A,MATCH($B1004,'Catalog'!$B:$B,0)),IFERROR(INDEX('Catalog'!$A:$A,MATCH(TRIM(SUBSTITUTE($B1004,CHAR(160)," ")),'Catalog'!$C:$C,0)),""))))</f>
        <v/>
      </c>
      <c r="H1004" s="8" t="str">
        <f aca="false">IFERROR(INDEX('TRANS'!$C:$C,MATCH($B1004,'TRANS'!$A:$A,0)),IFERROR(INDEX('Catalog'!$B:$B,MATCH($G1004,'Catalog'!$A:$A,0)),$B1004))</f>
        <v>922B XL</v>
      </c>
      <c r="I1004" s="8" t="str">
        <f aca="false">IF($G1004="","Unmatched","Matched")</f>
        <v>Unmatched</v>
      </c>
    </row>
    <row r="1005" customFormat="false" ht="15" hidden="false" customHeight="false" outlineLevel="0" collapsed="false">
      <c r="A1005" s="8" t="s">
        <v>572</v>
      </c>
      <c r="B1005" s="8" t="s">
        <v>733</v>
      </c>
      <c r="C1005" s="19" t="n">
        <v>2</v>
      </c>
      <c r="D1005" s="19" t="n">
        <v>180</v>
      </c>
      <c r="E1005" s="19" t="n">
        <v>1</v>
      </c>
      <c r="F1005" s="19" t="n">
        <v>90</v>
      </c>
      <c r="G1005" s="8" t="str">
        <f aca="false">IFERROR(INDEX('TRANS'!$B:$B,MATCH($B1005,'TRANS'!$A:$A,0)),IFERROR(INDEX('TRANS'!$B:$B,MATCH(TRIM(SUBSTITUTE($B1005,CHAR(160)," ")),'TRANS'!$D:$D,0)),IFERROR(INDEX('Catalog'!$A:$A,MATCH($B1005,'Catalog'!$B:$B,0)),IFERROR(INDEX('Catalog'!$A:$A,MATCH(TRIM(SUBSTITUTE($B1005,CHAR(160)," ")),'Catalog'!$C:$C,0)),""))))</f>
        <v/>
      </c>
      <c r="H1005" s="8" t="str">
        <f aca="false">IFERROR(INDEX('TRANS'!$C:$C,MATCH($B1005,'TRANS'!$A:$A,0)),IFERROR(INDEX('Catalog'!$B:$B,MATCH($G1005,'Catalog'!$A:$A,0)),$B1005))</f>
        <v>922B XXL</v>
      </c>
      <c r="I1005" s="8" t="str">
        <f aca="false">IF($G1005="","Unmatched","Matched")</f>
        <v>Unmatched</v>
      </c>
    </row>
    <row r="1006" customFormat="false" ht="15" hidden="false" customHeight="false" outlineLevel="0" collapsed="false">
      <c r="A1006" s="8" t="s">
        <v>572</v>
      </c>
      <c r="B1006" s="8" t="s">
        <v>274</v>
      </c>
      <c r="C1006" s="19" t="n">
        <v>7</v>
      </c>
      <c r="D1006" s="19" t="n">
        <v>562.99</v>
      </c>
      <c r="E1006" s="19" t="n">
        <v>0</v>
      </c>
      <c r="F1006" s="19" t="n">
        <v>0</v>
      </c>
      <c r="G1006" s="8" t="n">
        <f aca="false">IFERROR(INDEX('TRANS'!$B:$B,MATCH($B1006,'TRANS'!$A:$A,0)),IFERROR(INDEX('TRANS'!$B:$B,MATCH(TRIM(SUBSTITUTE($B1006,CHAR(160)," ")),'TRANS'!$D:$D,0)),IFERROR(INDEX('Catalog'!$A:$A,MATCH($B1006,'Catalog'!$B:$B,0)),IFERROR(INDEX('Catalog'!$A:$A,MATCH(TRIM(SUBSTITUTE($B1006,CHAR(160)," ")),'Catalog'!$C:$C,0)),""))))</f>
        <v>4420026</v>
      </c>
      <c r="H1006" s="8" t="str">
        <f aca="false">IFERROR(INDEX('TRANS'!$C:$C,MATCH($B1006,'TRANS'!$A:$A,0)),IFERROR(INDEX('Catalog'!$B:$B,MATCH($G1006,'Catalog'!$A:$A,0)),$B1006))</f>
        <v>AC40 רצועה לפיקת הברך</v>
      </c>
      <c r="I1006" s="8" t="str">
        <f aca="false">IF($G1006="","Unmatched","Matched")</f>
        <v>Matched</v>
      </c>
    </row>
    <row r="1007" customFormat="false" ht="15" hidden="false" customHeight="false" outlineLevel="0" collapsed="false">
      <c r="A1007" s="8" t="s">
        <v>572</v>
      </c>
      <c r="B1007" s="8" t="s">
        <v>96</v>
      </c>
      <c r="C1007" s="19" t="n">
        <v>3</v>
      </c>
      <c r="D1007" s="19" t="n">
        <v>114.99</v>
      </c>
      <c r="E1007" s="19" t="n">
        <v>0</v>
      </c>
      <c r="F1007" s="19" t="n">
        <v>0</v>
      </c>
      <c r="G1007" s="8" t="n">
        <f aca="false">IFERROR(INDEX('TRANS'!$B:$B,MATCH($B1007,'TRANS'!$A:$A,0)),IFERROR(INDEX('TRANS'!$B:$B,MATCH(TRIM(SUBSTITUTE($B1007,CHAR(160)," ")),'TRANS'!$D:$D,0)),IFERROR(INDEX('Catalog'!$A:$A,MATCH($B1007,'Catalog'!$B:$B,0)),IFERROR(INDEX('Catalog'!$A:$A,MATCH(TRIM(SUBSTITUTE($B1007,CHAR(160)," ")),'Catalog'!$C:$C,0)),""))))</f>
        <v>4411021</v>
      </c>
      <c r="H1007" s="8" t="str">
        <f aca="false">IFERROR(INDEX('TRANS'!$C:$C,MATCH($B1007,'TRANS'!$A:$A,0)),IFERROR(INDEX('Catalog'!$B:$B,MATCH($G1007,'Catalog'!$A:$A,0)),$B1007))</f>
        <v>212L כפפות אגודל לחץ</v>
      </c>
      <c r="I1007" s="8" t="str">
        <f aca="false">IF($G1007="","Unmatched","Matched")</f>
        <v>Matched</v>
      </c>
    </row>
    <row r="1008" customFormat="false" ht="15" hidden="false" customHeight="false" outlineLevel="0" collapsed="false">
      <c r="A1008" s="8" t="s">
        <v>572</v>
      </c>
      <c r="B1008" s="8" t="s">
        <v>734</v>
      </c>
      <c r="C1008" s="19" t="n">
        <v>1</v>
      </c>
      <c r="D1008" s="19" t="n">
        <v>35.41</v>
      </c>
      <c r="E1008" s="19" t="n">
        <v>0</v>
      </c>
      <c r="F1008" s="19" t="n">
        <v>0</v>
      </c>
      <c r="G1008" s="8" t="n">
        <f aca="false">IFERROR(INDEX('TRANS'!$B:$B,MATCH($B1008,'TRANS'!$A:$A,0)),IFERROR(INDEX('TRANS'!$B:$B,MATCH(TRIM(SUBSTITUTE($B1008,CHAR(160)," ")),'TRANS'!$D:$D,0)),IFERROR(INDEX('Catalog'!$A:$A,MATCH($B1008,'Catalog'!$B:$B,0)),IFERROR(INDEX('Catalog'!$A:$A,MATCH(TRIM(SUBSTITUTE($B1008,CHAR(160)," ")),'Catalog'!$C:$C,0)),""))))</f>
        <v>4411024</v>
      </c>
      <c r="H1008" s="8" t="str">
        <f aca="false">IFERROR(INDEX('TRANS'!$C:$C,MATCH($B1008,'TRANS'!$A:$A,0)),IFERROR(INDEX('Catalog'!$B:$B,MATCH($G1008,'Catalog'!$A:$A,0)),$B1008))</f>
        <v>212XL כפפות אגודל לחץ</v>
      </c>
      <c r="I1008" s="8" t="str">
        <f aca="false">IF($G1008="","Unmatched","Matched")</f>
        <v>Matched</v>
      </c>
    </row>
    <row r="1009" customFormat="false" ht="15" hidden="false" customHeight="false" outlineLevel="0" collapsed="false">
      <c r="A1009" s="8" t="s">
        <v>572</v>
      </c>
      <c r="B1009" s="8" t="s">
        <v>123</v>
      </c>
      <c r="C1009" s="19" t="n">
        <v>2</v>
      </c>
      <c r="D1009" s="19" t="n">
        <v>124.08</v>
      </c>
      <c r="E1009" s="19" t="n">
        <v>0</v>
      </c>
      <c r="F1009" s="19" t="n">
        <v>0</v>
      </c>
      <c r="G1009" s="8" t="n">
        <f aca="false">IFERROR(INDEX('TRANS'!$B:$B,MATCH($B1009,'TRANS'!$A:$A,0)),IFERROR(INDEX('TRANS'!$B:$B,MATCH(TRIM(SUBSTITUTE($B1009,CHAR(160)," ")),'TRANS'!$D:$D,0)),IFERROR(INDEX('Catalog'!$A:$A,MATCH($B1009,'Catalog'!$B:$B,0)),IFERROR(INDEX('Catalog'!$A:$A,MATCH(TRIM(SUBSTITUTE($B1009,CHAR(160)," ")),'Catalog'!$C:$C,0)),""))))</f>
        <v>4416005</v>
      </c>
      <c r="H1009" s="8" t="str">
        <f aca="false">IFERROR(INDEX('TRANS'!$C:$C,MATCH($B1009,'TRANS'!$A:$A,0)),IFERROR(INDEX('Catalog'!$B:$B,MATCH($G1009,'Catalog'!$A:$A,0)),$B1009))</f>
        <v>308 Mעקבים סיליק.כחול לדורבן</v>
      </c>
      <c r="I1009" s="8" t="str">
        <f aca="false">IF($G1009="","Unmatched","Matched")</f>
        <v>Matched</v>
      </c>
    </row>
    <row r="1010" customFormat="false" ht="15" hidden="false" customHeight="false" outlineLevel="0" collapsed="false">
      <c r="A1010" s="8" t="s">
        <v>572</v>
      </c>
      <c r="B1010" s="8" t="s">
        <v>126</v>
      </c>
      <c r="C1010" s="19" t="n">
        <v>-1</v>
      </c>
      <c r="D1010" s="19" t="n">
        <v>-23.59</v>
      </c>
      <c r="E1010" s="19" t="n">
        <v>0</v>
      </c>
      <c r="F1010" s="19" t="n">
        <v>0</v>
      </c>
      <c r="G1010" s="8" t="n">
        <f aca="false">IFERROR(INDEX('TRANS'!$B:$B,MATCH($B1010,'TRANS'!$A:$A,0)),IFERROR(INDEX('TRANS'!$B:$B,MATCH(TRIM(SUBSTITUTE($B1010,CHAR(160)," ")),'TRANS'!$D:$D,0)),IFERROR(INDEX('Catalog'!$A:$A,MATCH($B1010,'Catalog'!$B:$B,0)),IFERROR(INDEX('Catalog'!$A:$A,MATCH(TRIM(SUBSTITUTE($B1010,CHAR(160)," ")),'Catalog'!$C:$C,0)),""))))</f>
        <v>4415297</v>
      </c>
      <c r="H1010" s="8" t="str">
        <f aca="false">IFERROR(INDEX('TRANS'!$C:$C,MATCH($B1010,'TRANS'!$A:$A,0)),IFERROR(INDEX('Catalog'!$B:$B,MATCH($G1010,'Catalog'!$A:$A,0)),$B1010))</f>
        <v>313 סט פלסטרים נגד שפשופים</v>
      </c>
      <c r="I1010" s="8" t="str">
        <f aca="false">IF($G1010="","Unmatched","Matched")</f>
        <v>Matched</v>
      </c>
    </row>
    <row r="1011" customFormat="false" ht="15" hidden="false" customHeight="false" outlineLevel="0" collapsed="false">
      <c r="A1011" s="8" t="s">
        <v>572</v>
      </c>
      <c r="B1011" s="8" t="s">
        <v>735</v>
      </c>
      <c r="C1011" s="19" t="n">
        <v>-1</v>
      </c>
      <c r="D1011" s="19" t="n">
        <v>-118.13</v>
      </c>
      <c r="E1011" s="19" t="n">
        <v>0</v>
      </c>
      <c r="F1011" s="19" t="n">
        <v>0</v>
      </c>
      <c r="G1011" s="8" t="n">
        <f aca="false">IFERROR(INDEX('TRANS'!$B:$B,MATCH($B1011,'TRANS'!$A:$A,0)),IFERROR(INDEX('TRANS'!$B:$B,MATCH(TRIM(SUBSTITUTE($B1011,CHAR(160)," ")),'TRANS'!$D:$D,0)),IFERROR(INDEX('Catalog'!$A:$A,MATCH($B1011,'Catalog'!$B:$B,0)),IFERROR(INDEX('Catalog'!$A:$A,MATCH(TRIM(SUBSTITUTE($B1011,CHAR(160)," ")),'Catalog'!$C:$C,0)),""))))</f>
        <v>4413073</v>
      </c>
      <c r="H1011" s="8" t="str">
        <f aca="false">IFERROR(INDEX('TRANS'!$C:$C,MATCH($B1011,'TRANS'!$A:$A,0)),IFERROR(INDEX('Catalog'!$B:$B,MATCH($G1011,'Catalog'!$A:$A,0)),$B1011))</f>
        <v>41 Mמ.ברך מוצלב+ספירלות בצדדים</v>
      </c>
      <c r="I1011" s="8" t="str">
        <f aca="false">IF($G1011="","Unmatched","Matched")</f>
        <v>Matched</v>
      </c>
    </row>
    <row r="1012" customFormat="false" ht="15" hidden="false" customHeight="false" outlineLevel="0" collapsed="false">
      <c r="A1012" s="8" t="s">
        <v>572</v>
      </c>
      <c r="B1012" s="8" t="s">
        <v>273</v>
      </c>
      <c r="C1012" s="19" t="n">
        <v>3</v>
      </c>
      <c r="D1012" s="19" t="n">
        <v>89.22</v>
      </c>
      <c r="E1012" s="19" t="n">
        <v>7</v>
      </c>
      <c r="F1012" s="19" t="n">
        <v>262.18</v>
      </c>
      <c r="G1012" s="8" t="n">
        <f aca="false">IFERROR(INDEX('TRANS'!$B:$B,MATCH($B1012,'TRANS'!$A:$A,0)),IFERROR(INDEX('TRANS'!$B:$B,MATCH(TRIM(SUBSTITUTE($B1012,CHAR(160)," ")),'TRANS'!$D:$D,0)),IFERROR(INDEX('Catalog'!$A:$A,MATCH($B1012,'Catalog'!$B:$B,0)),IFERROR(INDEX('Catalog'!$A:$A,MATCH(TRIM(SUBSTITUTE($B1012,CHAR(160)," ")),'Catalog'!$C:$C,0)),""))))</f>
        <v>4413326</v>
      </c>
      <c r="H1012" s="8" t="str">
        <f aca="false">IFERROR(INDEX('TRANS'!$C:$C,MATCH($B1012,'TRANS'!$A:$A,0)),IFERROR(INDEX('Catalog'!$B:$B,MATCH($G1012,'Catalog'!$A:$A,0)),$B1012))</f>
        <v>AC37 מגן קרסול נושם</v>
      </c>
      <c r="I1012" s="8" t="str">
        <f aca="false">IF($G1012="","Unmatched","Matched")</f>
        <v>Matched</v>
      </c>
    </row>
    <row r="1013" customFormat="false" ht="15" hidden="false" customHeight="false" outlineLevel="0" collapsed="false">
      <c r="A1013" s="8" t="s">
        <v>572</v>
      </c>
      <c r="B1013" s="8" t="s">
        <v>736</v>
      </c>
      <c r="C1013" s="19" t="n">
        <v>-1</v>
      </c>
      <c r="D1013" s="19" t="n">
        <v>-80.32</v>
      </c>
      <c r="E1013" s="19" t="n">
        <v>0</v>
      </c>
      <c r="F1013" s="19" t="n">
        <v>0</v>
      </c>
      <c r="G1013" s="8" t="str">
        <f aca="false">IFERROR(INDEX('TRANS'!$B:$B,MATCH($B1013,'TRANS'!$A:$A,0)),IFERROR(INDEX('TRANS'!$B:$B,MATCH(TRIM(SUBSTITUTE($B1013,CHAR(160)," ")),'TRANS'!$D:$D,0)),IFERROR(INDEX('Catalog'!$A:$A,MATCH($B1013,'Catalog'!$B:$B,0)),IFERROR(INDEX('Catalog'!$A:$A,MATCH(TRIM(SUBSTITUTE($B1013,CHAR(160)," ")),'Catalog'!$C:$C,0)),""))))</f>
        <v/>
      </c>
      <c r="H1013" s="8" t="str">
        <f aca="false">IFERROR(INDEX('TRANS'!$C:$C,MATCH($B1013,'TRANS'!$A:$A,0)),IFERROR(INDEX('Catalog'!$B:$B,MATCH($G1013,'Catalog'!$A:$A,0)),$B1013))</f>
        <v>T26 L</v>
      </c>
      <c r="I1013" s="8" t="str">
        <f aca="false">IF($G1013="","Unmatched","Matched")</f>
        <v>Unmatched</v>
      </c>
    </row>
    <row r="1014" customFormat="false" ht="15" hidden="false" customHeight="false" outlineLevel="0" collapsed="false">
      <c r="A1014" s="8" t="s">
        <v>572</v>
      </c>
      <c r="B1014" s="8" t="s">
        <v>737</v>
      </c>
      <c r="C1014" s="19" t="n">
        <v>1</v>
      </c>
      <c r="D1014" s="19" t="n">
        <v>267.99</v>
      </c>
      <c r="E1014" s="19" t="n">
        <v>1</v>
      </c>
      <c r="F1014" s="19" t="n">
        <v>268</v>
      </c>
      <c r="G1014" s="8" t="str">
        <f aca="false">IFERROR(INDEX('TRANS'!$B:$B,MATCH($B1014,'TRANS'!$A:$A,0)),IFERROR(INDEX('TRANS'!$B:$B,MATCH(TRIM(SUBSTITUTE($B1014,CHAR(160)," ")),'TRANS'!$D:$D,0)),IFERROR(INDEX('Catalog'!$A:$A,MATCH($B1014,'Catalog'!$B:$B,0)),IFERROR(INDEX('Catalog'!$A:$A,MATCH(TRIM(SUBSTITUTE($B1014,CHAR(160)," ")),'Catalog'!$C:$C,0)),""))))</f>
        <v/>
      </c>
      <c r="H1014" s="8" t="str">
        <f aca="false">IFERROR(INDEX('TRANS'!$C:$C,MATCH($B1014,'TRANS'!$A:$A,0)),IFERROR(INDEX('Catalog'!$B:$B,MATCH($G1014,'Catalog'!$A:$A,0)),$B1014))</f>
        <v>18 XXL</v>
      </c>
      <c r="I1014" s="8" t="str">
        <f aca="false">IF($G1014="","Unmatched","Matched")</f>
        <v>Unmatched</v>
      </c>
    </row>
    <row r="1015" customFormat="false" ht="15" hidden="false" customHeight="false" outlineLevel="0" collapsed="false">
      <c r="A1015" s="8" t="s">
        <v>572</v>
      </c>
      <c r="B1015" s="8" t="s">
        <v>738</v>
      </c>
      <c r="C1015" s="19" t="n">
        <v>2</v>
      </c>
      <c r="D1015" s="19" t="n">
        <v>328.02</v>
      </c>
      <c r="E1015" s="19" t="n">
        <v>1</v>
      </c>
      <c r="F1015" s="19" t="n">
        <v>164.01</v>
      </c>
      <c r="G1015" s="8" t="str">
        <f aca="false">IFERROR(INDEX('TRANS'!$B:$B,MATCH($B1015,'TRANS'!$A:$A,0)),IFERROR(INDEX('TRANS'!$B:$B,MATCH(TRIM(SUBSTITUTE($B1015,CHAR(160)," ")),'TRANS'!$D:$D,0)),IFERROR(INDEX('Catalog'!$A:$A,MATCH($B1015,'Catalog'!$B:$B,0)),IFERROR(INDEX('Catalog'!$A:$A,MATCH(TRIM(SUBSTITUTE($B1015,CHAR(160)," ")),'Catalog'!$C:$C,0)),""))))</f>
        <v/>
      </c>
      <c r="H1015" s="8" t="str">
        <f aca="false">IFERROR(INDEX('TRANS'!$C:$C,MATCH($B1015,'TRANS'!$A:$A,0)),IFERROR(INDEX('Catalog'!$B:$B,MATCH($G1015,'Catalog'!$A:$A,0)),$B1015))</f>
        <v>75 XS</v>
      </c>
      <c r="I1015" s="8" t="str">
        <f aca="false">IF($G1015="","Unmatched","Matched")</f>
        <v>Unmatched</v>
      </c>
    </row>
    <row r="1016" customFormat="false" ht="15" hidden="false" customHeight="false" outlineLevel="0" collapsed="false">
      <c r="A1016" s="8" t="s">
        <v>572</v>
      </c>
      <c r="B1016" s="8" t="s">
        <v>309</v>
      </c>
      <c r="C1016" s="19" t="n">
        <v>16</v>
      </c>
      <c r="D1016" s="19" t="n">
        <v>970</v>
      </c>
      <c r="E1016" s="19" t="n">
        <v>6</v>
      </c>
      <c r="F1016" s="19" t="n">
        <v>390.02</v>
      </c>
      <c r="G1016" s="8" t="n">
        <f aca="false">IFERROR(INDEX('TRANS'!$B:$B,MATCH($B1016,'TRANS'!$A:$A,0)),IFERROR(INDEX('TRANS'!$B:$B,MATCH(TRIM(SUBSTITUTE($B1016,CHAR(160)," ")),'TRANS'!$D:$D,0)),IFERROR(INDEX('Catalog'!$A:$A,MATCH($B1016,'Catalog'!$B:$B,0)),IFERROR(INDEX('Catalog'!$A:$A,MATCH(TRIM(SUBSTITUTE($B1016,CHAR(160)," ")),'Catalog'!$C:$C,0)),""))))</f>
        <v>4403035</v>
      </c>
      <c r="H1016" s="8" t="str">
        <f aca="false">IFERROR(INDEX('TRANS'!$C:$C,MATCH($B1016,'TRANS'!$A:$A,0)),IFERROR(INDEX('Catalog'!$B:$B,MATCH($G1016,'Catalog'!$A:$A,0)),$B1016))</f>
        <v>ST3555L-XLגרב לילה לטיפ.בדורבן</v>
      </c>
      <c r="I1016" s="8" t="str">
        <f aca="false">IF($G1016="","Unmatched","Matched")</f>
        <v>Matched</v>
      </c>
    </row>
    <row r="1017" customFormat="false" ht="15" hidden="false" customHeight="false" outlineLevel="0" collapsed="false">
      <c r="A1017" s="8" t="s">
        <v>572</v>
      </c>
      <c r="B1017" s="8" t="s">
        <v>310</v>
      </c>
      <c r="C1017" s="19" t="n">
        <v>21</v>
      </c>
      <c r="D1017" s="19" t="n">
        <v>1285.01</v>
      </c>
      <c r="E1017" s="19" t="n">
        <v>7</v>
      </c>
      <c r="F1017" s="19" t="n">
        <v>455.01</v>
      </c>
      <c r="G1017" s="8" t="n">
        <f aca="false">IFERROR(INDEX('TRANS'!$B:$B,MATCH($B1017,'TRANS'!$A:$A,0)),IFERROR(INDEX('TRANS'!$B:$B,MATCH(TRIM(SUBSTITUTE($B1017,CHAR(160)," ")),'TRANS'!$D:$D,0)),IFERROR(INDEX('Catalog'!$A:$A,MATCH($B1017,'Catalog'!$B:$B,0)),IFERROR(INDEX('Catalog'!$A:$A,MATCH(TRIM(SUBSTITUTE($B1017,CHAR(160)," ")),'Catalog'!$C:$C,0)),""))))</f>
        <v>4403034</v>
      </c>
      <c r="H1017" s="8" t="str">
        <f aca="false">IFERROR(INDEX('TRANS'!$C:$C,MATCH($B1017,'TRANS'!$A:$A,0)),IFERROR(INDEX('Catalog'!$B:$B,MATCH($G1017,'Catalog'!$A:$A,0)),$B1017))</f>
        <v>ST3555 S-Mגרב לילה לטיפ.בדורבן</v>
      </c>
      <c r="I1017" s="8" t="str">
        <f aca="false">IF($G1017="","Unmatched","Matched")</f>
        <v>Matched</v>
      </c>
    </row>
    <row r="1018" customFormat="false" ht="15" hidden="false" customHeight="false" outlineLevel="0" collapsed="false">
      <c r="A1018" s="8" t="s">
        <v>572</v>
      </c>
      <c r="B1018" s="8" t="s">
        <v>739</v>
      </c>
      <c r="C1018" s="19" t="n">
        <v>1</v>
      </c>
      <c r="D1018" s="19" t="n">
        <v>401.77</v>
      </c>
      <c r="E1018" s="19" t="n">
        <v>0</v>
      </c>
      <c r="F1018" s="19" t="n">
        <v>0</v>
      </c>
      <c r="G1018" s="8" t="str">
        <f aca="false">IFERROR(INDEX('TRANS'!$B:$B,MATCH($B1018,'TRANS'!$A:$A,0)),IFERROR(INDEX('TRANS'!$B:$B,MATCH(TRIM(SUBSTITUTE($B1018,CHAR(160)," ")),'TRANS'!$D:$D,0)),IFERROR(INDEX('Catalog'!$A:$A,MATCH($B1018,'Catalog'!$B:$B,0)),IFERROR(INDEX('Catalog'!$A:$A,MATCH(TRIM(SUBSTITUTE($B1018,CHAR(160)," ")),'Catalog'!$C:$C,0)),""))))</f>
        <v/>
      </c>
      <c r="H1018" s="8" t="str">
        <f aca="false">IFERROR(INDEX('TRANS'!$C:$C,MATCH($B1018,'TRANS'!$A:$A,0)),IFERROR(INDEX('Catalog'!$B:$B,MATCH($G1018,'Catalog'!$A:$A,0)),$B1018))</f>
        <v>T43V XXL</v>
      </c>
      <c r="I1018" s="8" t="str">
        <f aca="false">IF($G1018="","Unmatched","Matched")</f>
        <v>Unmatched</v>
      </c>
    </row>
    <row r="1019" customFormat="false" ht="15" hidden="false" customHeight="false" outlineLevel="0" collapsed="false">
      <c r="A1019" s="8" t="s">
        <v>572</v>
      </c>
      <c r="B1019" s="8" t="s">
        <v>250</v>
      </c>
      <c r="C1019" s="19" t="n">
        <v>16</v>
      </c>
      <c r="D1019" s="19" t="n">
        <v>2248.16</v>
      </c>
      <c r="E1019" s="19" t="n">
        <v>21</v>
      </c>
      <c r="F1019" s="19" t="n">
        <v>2952.04</v>
      </c>
      <c r="G1019" s="8" t="str">
        <f aca="false">IFERROR(INDEX('TRANS'!$B:$B,MATCH($B1019,'TRANS'!$A:$A,0)),IFERROR(INDEX('TRANS'!$B:$B,MATCH(TRIM(SUBSTITUTE($B1019,CHAR(160)," ")),'TRANS'!$D:$D,0)),IFERROR(INDEX('Catalog'!$A:$A,MATCH($B1019,'Catalog'!$B:$B,0)),IFERROR(INDEX('Catalog'!$A:$A,MATCH(TRIM(SUBSTITUTE($B1019,CHAR(160)," ")),'Catalog'!$C:$C,0)),""))))</f>
        <v/>
      </c>
      <c r="H1019" s="8" t="str">
        <f aca="false">IFERROR(INDEX('TRANS'!$C:$C,MATCH($B1019,'TRANS'!$A:$A,0)),IFERROR(INDEX('Catalog'!$B:$B,MATCH($G1019,'Catalog'!$A:$A,0)),$B1019))</f>
        <v>84-L-XXL</v>
      </c>
      <c r="I1019" s="8" t="str">
        <f aca="false">IF($G1019="","Unmatched","Matched")</f>
        <v>Unmatched</v>
      </c>
    </row>
    <row r="1020" customFormat="false" ht="15" hidden="false" customHeight="false" outlineLevel="0" collapsed="false">
      <c r="A1020" s="8" t="s">
        <v>572</v>
      </c>
      <c r="B1020" s="8" t="s">
        <v>251</v>
      </c>
      <c r="C1020" s="19" t="n">
        <v>15</v>
      </c>
      <c r="D1020" s="19" t="n">
        <v>2108.61</v>
      </c>
      <c r="E1020" s="19" t="n">
        <v>15</v>
      </c>
      <c r="F1020" s="19" t="n">
        <v>2108.59</v>
      </c>
      <c r="G1020" s="8" t="str">
        <f aca="false">IFERROR(INDEX('TRANS'!$B:$B,MATCH($B1020,'TRANS'!$A:$A,0)),IFERROR(INDEX('TRANS'!$B:$B,MATCH(TRIM(SUBSTITUTE($B1020,CHAR(160)," ")),'TRANS'!$D:$D,0)),IFERROR(INDEX('Catalog'!$A:$A,MATCH($B1020,'Catalog'!$B:$B,0)),IFERROR(INDEX('Catalog'!$A:$A,MATCH(TRIM(SUBSTITUTE($B1020,CHAR(160)," ")),'Catalog'!$C:$C,0)),""))))</f>
        <v/>
      </c>
      <c r="H1020" s="8" t="str">
        <f aca="false">IFERROR(INDEX('TRANS'!$C:$C,MATCH($B1020,'TRANS'!$A:$A,0)),IFERROR(INDEX('Catalog'!$B:$B,MATCH($G1020,'Catalog'!$A:$A,0)),$B1020))</f>
        <v>84-S-M</v>
      </c>
      <c r="I1020" s="8" t="str">
        <f aca="false">IF($G1020="","Unmatched","Matched")</f>
        <v>Unmatched</v>
      </c>
    </row>
    <row r="1021" customFormat="false" ht="15" hidden="false" customHeight="false" outlineLevel="0" collapsed="false">
      <c r="A1021" s="8" t="s">
        <v>572</v>
      </c>
      <c r="B1021" s="8" t="s">
        <v>301</v>
      </c>
      <c r="C1021" s="19" t="n">
        <v>5</v>
      </c>
      <c r="D1021" s="19" t="n">
        <v>801.36</v>
      </c>
      <c r="E1021" s="19" t="n">
        <v>4</v>
      </c>
      <c r="F1021" s="19" t="n">
        <v>656.08</v>
      </c>
      <c r="G1021" s="8" t="n">
        <f aca="false">IFERROR(INDEX('TRANS'!$B:$B,MATCH($B1021,'TRANS'!$A:$A,0)),IFERROR(INDEX('TRANS'!$B:$B,MATCH(TRIM(SUBSTITUTE($B1021,CHAR(160)," ")),'TRANS'!$D:$D,0)),IFERROR(INDEX('Catalog'!$A:$A,MATCH($B1021,'Catalog'!$B:$B,0)),IFERROR(INDEX('Catalog'!$A:$A,MATCH(TRIM(SUBSTITUTE($B1021,CHAR(160)," ")),'Catalog'!$C:$C,0)),""))))</f>
        <v>4413416</v>
      </c>
      <c r="H1021" s="8" t="str">
        <f aca="false">IFERROR(INDEX('TRANS'!$C:$C,MATCH($B1021,'TRANS'!$A:$A,0)),IFERROR(INDEX('Catalog'!$B:$B,MATCH($G1021,'Catalog'!$A:$A,0)),$B1021))</f>
        <v>SC39  M מגן שוק</v>
      </c>
      <c r="I1021" s="8" t="str">
        <f aca="false">IF($G1021="","Unmatched","Matched")</f>
        <v>Matched</v>
      </c>
    </row>
    <row r="1022" customFormat="false" ht="15" hidden="false" customHeight="false" outlineLevel="0" collapsed="false">
      <c r="A1022" s="8" t="s">
        <v>572</v>
      </c>
      <c r="B1022" s="8" t="s">
        <v>313</v>
      </c>
      <c r="C1022" s="19" t="n">
        <v>0</v>
      </c>
      <c r="D1022" s="19" t="n">
        <v>0</v>
      </c>
      <c r="E1022" s="19" t="n">
        <v>1</v>
      </c>
      <c r="F1022" s="19" t="n">
        <v>111.03</v>
      </c>
      <c r="G1022" s="8" t="str">
        <f aca="false">IFERROR(INDEX('TRANS'!$B:$B,MATCH($B1022,'TRANS'!$A:$A,0)),IFERROR(INDEX('TRANS'!$B:$B,MATCH(TRIM(SUBSTITUTE($B1022,CHAR(160)," ")),'TRANS'!$D:$D,0)),IFERROR(INDEX('Catalog'!$A:$A,MATCH($B1022,'Catalog'!$B:$B,0)),IFERROR(INDEX('Catalog'!$A:$A,MATCH(TRIM(SUBSTITUTE($B1022,CHAR(160)," ")),'Catalog'!$C:$C,0)),""))))</f>
        <v/>
      </c>
      <c r="H1022" s="8" t="str">
        <f aca="false">IFERROR(INDEX('TRANS'!$C:$C,MATCH($B1022,'TRANS'!$A:$A,0)),IFERROR(INDEX('Catalog'!$B:$B,MATCH($G1022,'Catalog'!$A:$A,0)),$B1022))</f>
        <v>T03 XXL</v>
      </c>
      <c r="I1022" s="8" t="str">
        <f aca="false">IF($G1022="","Unmatched","Matched")</f>
        <v>Unmatched</v>
      </c>
    </row>
    <row r="1023" customFormat="false" ht="15" hidden="false" customHeight="false" outlineLevel="0" collapsed="false">
      <c r="A1023" s="8" t="s">
        <v>572</v>
      </c>
      <c r="B1023" s="8" t="s">
        <v>479</v>
      </c>
      <c r="C1023" s="19" t="n">
        <v>2</v>
      </c>
      <c r="D1023" s="19" t="n">
        <v>219.04</v>
      </c>
      <c r="E1023" s="19" t="n">
        <v>0</v>
      </c>
      <c r="F1023" s="19" t="n">
        <v>0</v>
      </c>
      <c r="G1023" s="8" t="n">
        <f aca="false">IFERROR(INDEX('TRANS'!$B:$B,MATCH($B1023,'TRANS'!$A:$A,0)),IFERROR(INDEX('TRANS'!$B:$B,MATCH(TRIM(SUBSTITUTE($B1023,CHAR(160)," ")),'TRANS'!$D:$D,0)),IFERROR(INDEX('Catalog'!$A:$A,MATCH($B1023,'Catalog'!$B:$B,0)),IFERROR(INDEX('Catalog'!$A:$A,MATCH(TRIM(SUBSTITUTE($B1023,CHAR(160)," ")),'Catalog'!$C:$C,0)),""))))</f>
        <v>4413523</v>
      </c>
      <c r="H1023" s="8" t="str">
        <f aca="false">IFERROR(INDEX('TRANS'!$C:$C,MATCH($B1023,'TRANS'!$A:$A,0)),IFERROR(INDEX('Catalog'!$B:$B,MATCH($G1023,'Catalog'!$A:$A,0)),$B1023))</f>
        <v>35-38 מדרסי אפיק ג'ל נוחות</v>
      </c>
      <c r="I1023" s="8" t="str">
        <f aca="false">IF($G1023="","Unmatched","Matched")</f>
        <v>Matched</v>
      </c>
    </row>
    <row r="1024" customFormat="false" ht="15" hidden="false" customHeight="false" outlineLevel="0" collapsed="false">
      <c r="A1024" s="8" t="s">
        <v>572</v>
      </c>
      <c r="B1024" s="8" t="s">
        <v>482</v>
      </c>
      <c r="C1024" s="19" t="n">
        <v>3</v>
      </c>
      <c r="D1024" s="19" t="n">
        <v>337.58</v>
      </c>
      <c r="E1024" s="19" t="n">
        <v>0</v>
      </c>
      <c r="F1024" s="19" t="n">
        <v>0</v>
      </c>
      <c r="G1024" s="8" t="n">
        <f aca="false">IFERROR(INDEX('TRANS'!$B:$B,MATCH($B1024,'TRANS'!$A:$A,0)),IFERROR(INDEX('TRANS'!$B:$B,MATCH(TRIM(SUBSTITUTE($B1024,CHAR(160)," ")),'TRANS'!$D:$D,0)),IFERROR(INDEX('Catalog'!$A:$A,MATCH($B1024,'Catalog'!$B:$B,0)),IFERROR(INDEX('Catalog'!$A:$A,MATCH(TRIM(SUBSTITUTE($B1024,CHAR(160)," ")),'Catalog'!$C:$C,0)),""))))</f>
        <v>4413520</v>
      </c>
      <c r="H1024" s="8" t="str">
        <f aca="false">IFERROR(INDEX('TRANS'!$C:$C,MATCH($B1024,'TRANS'!$A:$A,0)),IFERROR(INDEX('Catalog'!$B:$B,MATCH($G1024,'Catalog'!$A:$A,0)),$B1024))</f>
        <v>מדרסי אפיק ג'ל מולט.ספורט35-38</v>
      </c>
      <c r="I1024" s="8" t="str">
        <f aca="false">IF($G1024="","Unmatched","Matched")</f>
        <v>Matched</v>
      </c>
    </row>
    <row r="1025" customFormat="false" ht="15" hidden="false" customHeight="false" outlineLevel="0" collapsed="false">
      <c r="A1025" s="8" t="s">
        <v>572</v>
      </c>
      <c r="B1025" s="8" t="s">
        <v>483</v>
      </c>
      <c r="C1025" s="19" t="n">
        <v>3</v>
      </c>
      <c r="D1025" s="19" t="n">
        <v>337.58</v>
      </c>
      <c r="E1025" s="19" t="n">
        <v>0</v>
      </c>
      <c r="F1025" s="19" t="n">
        <v>0</v>
      </c>
      <c r="G1025" s="8" t="n">
        <f aca="false">IFERROR(INDEX('TRANS'!$B:$B,MATCH($B1025,'TRANS'!$A:$A,0)),IFERROR(INDEX('TRANS'!$B:$B,MATCH(TRIM(SUBSTITUTE($B1025,CHAR(160)," ")),'TRANS'!$D:$D,0)),IFERROR(INDEX('Catalog'!$A:$A,MATCH($B1025,'Catalog'!$B:$B,0)),IFERROR(INDEX('Catalog'!$A:$A,MATCH(TRIM(SUBSTITUTE($B1025,CHAR(160)," ")),'Catalog'!$C:$C,0)),""))))</f>
        <v>4413521</v>
      </c>
      <c r="H1025" s="8" t="str">
        <f aca="false">IFERROR(INDEX('TRANS'!$C:$C,MATCH($B1025,'TRANS'!$A:$A,0)),IFERROR(INDEX('Catalog'!$B:$B,MATCH($G1025,'Catalog'!$A:$A,0)),$B1025))</f>
        <v>מדרסי אפיק ג'ל מולטי ספור39-42</v>
      </c>
      <c r="I1025" s="8" t="str">
        <f aca="false">IF($G1025="","Unmatched","Matched")</f>
        <v>Matched</v>
      </c>
    </row>
    <row r="1026" customFormat="false" ht="15" hidden="false" customHeight="false" outlineLevel="0" collapsed="false">
      <c r="A1026" s="8" t="s">
        <v>572</v>
      </c>
      <c r="B1026" s="8" t="s">
        <v>484</v>
      </c>
      <c r="C1026" s="19" t="n">
        <v>3</v>
      </c>
      <c r="D1026" s="19" t="n">
        <v>337.58</v>
      </c>
      <c r="E1026" s="19" t="n">
        <v>1</v>
      </c>
      <c r="F1026" s="19" t="n">
        <v>118.54</v>
      </c>
      <c r="G1026" s="8" t="n">
        <f aca="false">IFERROR(INDEX('TRANS'!$B:$B,MATCH($B1026,'TRANS'!$A:$A,0)),IFERROR(INDEX('TRANS'!$B:$B,MATCH(TRIM(SUBSTITUTE($B1026,CHAR(160)," ")),'TRANS'!$D:$D,0)),IFERROR(INDEX('Catalog'!$A:$A,MATCH($B1026,'Catalog'!$B:$B,0)),IFERROR(INDEX('Catalog'!$A:$A,MATCH(TRIM(SUBSTITUTE($B1026,CHAR(160)," ")),'Catalog'!$C:$C,0)),""))))</f>
        <v>4413522</v>
      </c>
      <c r="H1026" s="8" t="str">
        <f aca="false">IFERROR(INDEX('TRANS'!$C:$C,MATCH($B1026,'TRANS'!$A:$A,0)),IFERROR(INDEX('Catalog'!$B:$B,MATCH($G1026,'Catalog'!$A:$A,0)),$B1026))</f>
        <v>מדרסי אפיק ג'ל מולט.ספורט43-47</v>
      </c>
      <c r="I1026" s="8" t="str">
        <f aca="false">IF($G1026="","Unmatched","Matched")</f>
        <v>Matched</v>
      </c>
    </row>
    <row r="1027" customFormat="false" ht="15" hidden="false" customHeight="false" outlineLevel="0" collapsed="false">
      <c r="A1027" s="8" t="s">
        <v>572</v>
      </c>
      <c r="B1027" s="8" t="s">
        <v>485</v>
      </c>
      <c r="C1027" s="19" t="n">
        <v>2</v>
      </c>
      <c r="D1027" s="19" t="n">
        <v>219.04</v>
      </c>
      <c r="E1027" s="19" t="n">
        <v>1</v>
      </c>
      <c r="F1027" s="19" t="n">
        <v>75</v>
      </c>
      <c r="G1027" s="8" t="n">
        <f aca="false">IFERROR(INDEX('TRANS'!$B:$B,MATCH($B1027,'TRANS'!$A:$A,0)),IFERROR(INDEX('TRANS'!$B:$B,MATCH(TRIM(SUBSTITUTE($B1027,CHAR(160)," ")),'TRANS'!$D:$D,0)),IFERROR(INDEX('Catalog'!$A:$A,MATCH($B1027,'Catalog'!$B:$B,0)),IFERROR(INDEX('Catalog'!$A:$A,MATCH(TRIM(SUBSTITUTE($B1027,CHAR(160)," ")),'Catalog'!$C:$C,0)),""))))</f>
        <v>4413527</v>
      </c>
      <c r="H1027" s="8" t="str">
        <f aca="false">IFERROR(INDEX('TRANS'!$C:$C,MATCH($B1027,'TRANS'!$A:$A,0)),IFERROR(INDEX('Catalog'!$B:$B,MATCH($G1027,'Catalog'!$A:$A,0)),$B1027))</f>
        <v>35-38 מדרסי אפיק ג'ל עבודה</v>
      </c>
      <c r="I1027" s="8" t="str">
        <f aca="false">IF($G1027="","Unmatched","Matched")</f>
        <v>Matched</v>
      </c>
    </row>
    <row r="1028" customFormat="false" ht="15" hidden="false" customHeight="false" outlineLevel="0" collapsed="false">
      <c r="A1028" s="8" t="s">
        <v>572</v>
      </c>
      <c r="B1028" s="8" t="s">
        <v>740</v>
      </c>
      <c r="C1028" s="19" t="n">
        <v>1</v>
      </c>
      <c r="D1028" s="19" t="n">
        <v>108.68</v>
      </c>
      <c r="E1028" s="19" t="n">
        <v>0</v>
      </c>
      <c r="F1028" s="19" t="n">
        <v>0</v>
      </c>
      <c r="G1028" s="8" t="str">
        <f aca="false">IFERROR(INDEX('TRANS'!$B:$B,MATCH($B1028,'TRANS'!$A:$A,0)),IFERROR(INDEX('TRANS'!$B:$B,MATCH(TRIM(SUBSTITUTE($B1028,CHAR(160)," ")),'TRANS'!$D:$D,0)),IFERROR(INDEX('Catalog'!$A:$A,MATCH($B1028,'Catalog'!$B:$B,0)),IFERROR(INDEX('Catalog'!$A:$A,MATCH(TRIM(SUBSTITUTE($B1028,CHAR(160)," ")),'Catalog'!$C:$C,0)),""))))</f>
        <v/>
      </c>
      <c r="H1028" s="8" t="str">
        <f aca="false">IFERROR(INDEX('TRANS'!$C:$C,MATCH($B1028,'TRANS'!$A:$A,0)),IFERROR(INDEX('Catalog'!$B:$B,MATCH($G1028,'Catalog'!$A:$A,0)),$B1028))</f>
        <v>079 L</v>
      </c>
      <c r="I1028" s="8" t="str">
        <f aca="false">IF($G1028="","Unmatched","Matched")</f>
        <v>Unmatched</v>
      </c>
    </row>
    <row r="1029" customFormat="false" ht="15" hidden="false" customHeight="false" outlineLevel="0" collapsed="false">
      <c r="A1029" s="8" t="s">
        <v>572</v>
      </c>
      <c r="B1029" s="8" t="s">
        <v>63</v>
      </c>
      <c r="C1029" s="19" t="n">
        <v>1</v>
      </c>
      <c r="D1029" s="19" t="n">
        <v>108.68</v>
      </c>
      <c r="E1029" s="19" t="n">
        <v>0</v>
      </c>
      <c r="F1029" s="19" t="n">
        <v>0</v>
      </c>
      <c r="G1029" s="8" t="str">
        <f aca="false">IFERROR(INDEX('TRANS'!$B:$B,MATCH($B1029,'TRANS'!$A:$A,0)),IFERROR(INDEX('TRANS'!$B:$B,MATCH(TRIM(SUBSTITUTE($B1029,CHAR(160)," ")),'TRANS'!$D:$D,0)),IFERROR(INDEX('Catalog'!$A:$A,MATCH($B1029,'Catalog'!$B:$B,0)),IFERROR(INDEX('Catalog'!$A:$A,MATCH(TRIM(SUBSTITUTE($B1029,CHAR(160)," ")),'Catalog'!$C:$C,0)),""))))</f>
        <v/>
      </c>
      <c r="H1029" s="8" t="str">
        <f aca="false">IFERROR(INDEX('TRANS'!$C:$C,MATCH($B1029,'TRANS'!$A:$A,0)),IFERROR(INDEX('Catalog'!$B:$B,MATCH($G1029,'Catalog'!$A:$A,0)),$B1029))</f>
        <v>079 M</v>
      </c>
      <c r="I1029" s="8" t="str">
        <f aca="false">IF($G1029="","Unmatched","Matched")</f>
        <v>Unmatched</v>
      </c>
    </row>
    <row r="1030" customFormat="false" ht="15" hidden="false" customHeight="false" outlineLevel="0" collapsed="false">
      <c r="A1030" s="8" t="s">
        <v>572</v>
      </c>
      <c r="B1030" s="8" t="s">
        <v>741</v>
      </c>
      <c r="C1030" s="19" t="n">
        <v>2</v>
      </c>
      <c r="D1030" s="19" t="n">
        <v>281.14</v>
      </c>
      <c r="E1030" s="19" t="n">
        <v>0</v>
      </c>
      <c r="F1030" s="19" t="n">
        <v>0</v>
      </c>
      <c r="G1030" s="8" t="str">
        <f aca="false">IFERROR(INDEX('TRANS'!$B:$B,MATCH($B1030,'TRANS'!$A:$A,0)),IFERROR(INDEX('TRANS'!$B:$B,MATCH(TRIM(SUBSTITUTE($B1030,CHAR(160)," ")),'TRANS'!$D:$D,0)),IFERROR(INDEX('Catalog'!$A:$A,MATCH($B1030,'Catalog'!$B:$B,0)),IFERROR(INDEX('Catalog'!$A:$A,MATCH(TRIM(SUBSTITUTE($B1030,CHAR(160)," ")),'Catalog'!$C:$C,0)),""))))</f>
        <v/>
      </c>
      <c r="H1030" s="8" t="str">
        <f aca="false">IFERROR(INDEX('TRANS'!$C:$C,MATCH($B1030,'TRANS'!$A:$A,0)),IFERROR(INDEX('Catalog'!$B:$B,MATCH($G1030,'Catalog'!$A:$A,0)),$B1030))</f>
        <v>15M S</v>
      </c>
      <c r="I1030" s="8" t="str">
        <f aca="false">IF($G1030="","Unmatched","Matched")</f>
        <v>Unmatched</v>
      </c>
    </row>
    <row r="1031" customFormat="false" ht="15" hidden="false" customHeight="false" outlineLevel="0" collapsed="false">
      <c r="A1031" s="8" t="s">
        <v>572</v>
      </c>
      <c r="B1031" s="8" t="s">
        <v>742</v>
      </c>
      <c r="C1031" s="19" t="n">
        <v>4</v>
      </c>
      <c r="D1031" s="19" t="n">
        <v>451.14</v>
      </c>
      <c r="E1031" s="19" t="n">
        <v>2</v>
      </c>
      <c r="F1031" s="19" t="n">
        <v>281.14</v>
      </c>
      <c r="G1031" s="8" t="str">
        <f aca="false">IFERROR(INDEX('TRANS'!$B:$B,MATCH($B1031,'TRANS'!$A:$A,0)),IFERROR(INDEX('TRANS'!$B:$B,MATCH(TRIM(SUBSTITUTE($B1031,CHAR(160)," ")),'TRANS'!$D:$D,0)),IFERROR(INDEX('Catalog'!$A:$A,MATCH($B1031,'Catalog'!$B:$B,0)),IFERROR(INDEX('Catalog'!$A:$A,MATCH(TRIM(SUBSTITUTE($B1031,CHAR(160)," ")),'Catalog'!$C:$C,0)),""))))</f>
        <v/>
      </c>
      <c r="H1031" s="8" t="str">
        <f aca="false">IFERROR(INDEX('TRANS'!$C:$C,MATCH($B1031,'TRANS'!$A:$A,0)),IFERROR(INDEX('Catalog'!$B:$B,MATCH($G1031,'Catalog'!$A:$A,0)),$B1031))</f>
        <v>15M XL</v>
      </c>
      <c r="I1031" s="8" t="str">
        <f aca="false">IF($G1031="","Unmatched","Matched")</f>
        <v>Unmatched</v>
      </c>
    </row>
    <row r="1032" customFormat="false" ht="15" hidden="false" customHeight="false" outlineLevel="0" collapsed="false">
      <c r="A1032" s="8" t="s">
        <v>572</v>
      </c>
      <c r="B1032" s="8" t="s">
        <v>561</v>
      </c>
      <c r="C1032" s="19" t="n">
        <v>3</v>
      </c>
      <c r="D1032" s="19" t="n">
        <v>310.57</v>
      </c>
      <c r="E1032" s="19" t="n">
        <v>1</v>
      </c>
      <c r="F1032" s="19" t="n">
        <v>140.57</v>
      </c>
      <c r="G1032" s="8" t="str">
        <f aca="false">IFERROR(INDEX('TRANS'!$B:$B,MATCH($B1032,'TRANS'!$A:$A,0)),IFERROR(INDEX('TRANS'!$B:$B,MATCH(TRIM(SUBSTITUTE($B1032,CHAR(160)," ")),'TRANS'!$D:$D,0)),IFERROR(INDEX('Catalog'!$A:$A,MATCH($B1032,'Catalog'!$B:$B,0)),IFERROR(INDEX('Catalog'!$A:$A,MATCH(TRIM(SUBSTITUTE($B1032,CHAR(160)," ")),'Catalog'!$C:$C,0)),""))))</f>
        <v/>
      </c>
      <c r="H1032" s="8" t="str">
        <f aca="false">IFERROR(INDEX('TRANS'!$C:$C,MATCH($B1032,'TRANS'!$A:$A,0)),IFERROR(INDEX('Catalog'!$B:$B,MATCH($G1032,'Catalog'!$A:$A,0)),$B1032))</f>
        <v>15M XXL</v>
      </c>
      <c r="I1032" s="8" t="str">
        <f aca="false">IF($G1032="","Unmatched","Matched")</f>
        <v>Unmatched</v>
      </c>
    </row>
    <row r="1033" customFormat="false" ht="15" hidden="false" customHeight="false" outlineLevel="0" collapsed="false">
      <c r="A1033" s="8" t="s">
        <v>572</v>
      </c>
      <c r="B1033" s="8" t="s">
        <v>743</v>
      </c>
      <c r="C1033" s="19" t="n">
        <v>11</v>
      </c>
      <c r="D1033" s="19" t="n">
        <v>515.03</v>
      </c>
      <c r="E1033" s="19" t="n">
        <v>1</v>
      </c>
      <c r="F1033" s="19" t="n">
        <v>46.82</v>
      </c>
      <c r="G1033" s="8" t="n">
        <f aca="false">IFERROR(INDEX('TRANS'!$B:$B,MATCH($B1033,'TRANS'!$A:$A,0)),IFERROR(INDEX('TRANS'!$B:$B,MATCH(TRIM(SUBSTITUTE($B1033,CHAR(160)," ")),'TRANS'!$D:$D,0)),IFERROR(INDEX('Catalog'!$A:$A,MATCH($B1033,'Catalog'!$B:$B,0)),IFERROR(INDEX('Catalog'!$A:$A,MATCH(TRIM(SUBSTITUTE($B1033,CHAR(160)," ")),'Catalog'!$C:$C,0)),""))))</f>
        <v>4413042</v>
      </c>
      <c r="H1033" s="8" t="str">
        <f aca="false">IFERROR(INDEX('TRANS'!$C:$C,MATCH($B1033,'TRANS'!$A:$A,0)),IFERROR(INDEX('Catalog'!$B:$B,MATCH($G1033,'Catalog'!$A:$A,0)),$B1033))</f>
        <v>34  S מגן קרסול עקב סגור</v>
      </c>
      <c r="I1033" s="8" t="str">
        <f aca="false">IF($G1033="","Unmatched","Matched")</f>
        <v>Matched</v>
      </c>
    </row>
    <row r="1034" customFormat="false" ht="15" hidden="false" customHeight="false" outlineLevel="0" collapsed="false">
      <c r="A1034" s="8" t="s">
        <v>572</v>
      </c>
      <c r="B1034" s="8" t="s">
        <v>744</v>
      </c>
      <c r="C1034" s="19" t="n">
        <v>10</v>
      </c>
      <c r="D1034" s="19" t="n">
        <v>468.21</v>
      </c>
      <c r="E1034" s="19" t="n">
        <v>2</v>
      </c>
      <c r="F1034" s="19" t="n">
        <v>93.64</v>
      </c>
      <c r="G1034" s="8" t="n">
        <f aca="false">IFERROR(INDEX('TRANS'!$B:$B,MATCH($B1034,'TRANS'!$A:$A,0)),IFERROR(INDEX('TRANS'!$B:$B,MATCH(TRIM(SUBSTITUTE($B1034,CHAR(160)," ")),'TRANS'!$D:$D,0)),IFERROR(INDEX('Catalog'!$A:$A,MATCH($B1034,'Catalog'!$B:$B,0)),IFERROR(INDEX('Catalog'!$A:$A,MATCH(TRIM(SUBSTITUTE($B1034,CHAR(160)," ")),'Catalog'!$C:$C,0)),""))))</f>
        <v>4413046</v>
      </c>
      <c r="H1034" s="8" t="str">
        <f aca="false">IFERROR(INDEX('TRANS'!$C:$C,MATCH($B1034,'TRANS'!$A:$A,0)),IFERROR(INDEX('Catalog'!$B:$B,MATCH($G1034,'Catalog'!$A:$A,0)),$B1034))</f>
        <v>34 XXL מגן קרסול עקב סגור</v>
      </c>
      <c r="I1034" s="8" t="str">
        <f aca="false">IF($G1034="","Unmatched","Matched")</f>
        <v>Matched</v>
      </c>
    </row>
    <row r="1035" customFormat="false" ht="15" hidden="false" customHeight="false" outlineLevel="0" collapsed="false">
      <c r="A1035" s="8" t="s">
        <v>572</v>
      </c>
      <c r="B1035" s="8" t="s">
        <v>135</v>
      </c>
      <c r="C1035" s="19" t="n">
        <v>8</v>
      </c>
      <c r="D1035" s="19" t="n">
        <v>235.24</v>
      </c>
      <c r="E1035" s="19" t="n">
        <v>4</v>
      </c>
      <c r="F1035" s="19" t="n">
        <v>123.57</v>
      </c>
      <c r="G1035" s="8" t="n">
        <f aca="false">IFERROR(INDEX('TRANS'!$B:$B,MATCH($B1035,'TRANS'!$A:$A,0)),IFERROR(INDEX('TRANS'!$B:$B,MATCH(TRIM(SUBSTITUTE($B1035,CHAR(160)," ")),'TRANS'!$D:$D,0)),IFERROR(INDEX('Catalog'!$A:$A,MATCH($B1035,'Catalog'!$B:$B,0)),IFERROR(INDEX('Catalog'!$A:$A,MATCH(TRIM(SUBSTITUTE($B1035,CHAR(160)," ")),'Catalog'!$C:$C,0)),""))))</f>
        <v>4413490</v>
      </c>
      <c r="H1035" s="8" t="str">
        <f aca="false">IFERROR(INDEX('TRANS'!$C:$C,MATCH($B1035,'TRANS'!$A:$A,0)),IFERROR(INDEX('Catalog'!$B:$B,MATCH($G1035,'Catalog'!$A:$A,0)),$B1035))</f>
        <v>35B L מגן קרסול שחור</v>
      </c>
      <c r="I1035" s="8" t="str">
        <f aca="false">IF($G1035="","Unmatched","Matched")</f>
        <v>Matched</v>
      </c>
    </row>
    <row r="1036" customFormat="false" ht="15" hidden="false" customHeight="false" outlineLevel="0" collapsed="false">
      <c r="A1036" s="8" t="s">
        <v>572</v>
      </c>
      <c r="B1036" s="8" t="s">
        <v>136</v>
      </c>
      <c r="C1036" s="19" t="n">
        <v>7</v>
      </c>
      <c r="D1036" s="19" t="n">
        <v>204.35</v>
      </c>
      <c r="E1036" s="19" t="n">
        <v>1</v>
      </c>
      <c r="F1036" s="19" t="n">
        <v>30.89</v>
      </c>
      <c r="G1036" s="8" t="n">
        <f aca="false">IFERROR(INDEX('TRANS'!$B:$B,MATCH($B1036,'TRANS'!$A:$A,0)),IFERROR(INDEX('TRANS'!$B:$B,MATCH(TRIM(SUBSTITUTE($B1036,CHAR(160)," ")),'TRANS'!$D:$D,0)),IFERROR(INDEX('Catalog'!$A:$A,MATCH($B1036,'Catalog'!$B:$B,0)),IFERROR(INDEX('Catalog'!$A:$A,MATCH(TRIM(SUBSTITUTE($B1036,CHAR(160)," ")),'Catalog'!$C:$C,0)),""))))</f>
        <v>4413492</v>
      </c>
      <c r="H1036" s="8" t="str">
        <f aca="false">IFERROR(INDEX('TRANS'!$C:$C,MATCH($B1036,'TRANS'!$A:$A,0)),IFERROR(INDEX('Catalog'!$B:$B,MATCH($G1036,'Catalog'!$A:$A,0)),$B1036))</f>
        <v>35B M מגן קרסול שחור</v>
      </c>
      <c r="I1036" s="8" t="str">
        <f aca="false">IF($G1036="","Unmatched","Matched")</f>
        <v>Matched</v>
      </c>
    </row>
    <row r="1037" customFormat="false" ht="15" hidden="false" customHeight="false" outlineLevel="0" collapsed="false">
      <c r="A1037" s="8" t="s">
        <v>572</v>
      </c>
      <c r="B1037" s="8" t="s">
        <v>137</v>
      </c>
      <c r="C1037" s="19" t="n">
        <v>9</v>
      </c>
      <c r="D1037" s="19" t="n">
        <v>242.35</v>
      </c>
      <c r="E1037" s="19" t="n">
        <v>0</v>
      </c>
      <c r="F1037" s="19" t="n">
        <v>0</v>
      </c>
      <c r="G1037" s="8" t="n">
        <f aca="false">IFERROR(INDEX('TRANS'!$B:$B,MATCH($B1037,'TRANS'!$A:$A,0)),IFERROR(INDEX('TRANS'!$B:$B,MATCH(TRIM(SUBSTITUTE($B1037,CHAR(160)," ")),'TRANS'!$D:$D,0)),IFERROR(INDEX('Catalog'!$A:$A,MATCH($B1037,'Catalog'!$B:$B,0)),IFERROR(INDEX('Catalog'!$A:$A,MATCH(TRIM(SUBSTITUTE($B1037,CHAR(160)," ")),'Catalog'!$C:$C,0)),""))))</f>
        <v>4413493</v>
      </c>
      <c r="H1037" s="8" t="str">
        <f aca="false">IFERROR(INDEX('TRANS'!$C:$C,MATCH($B1037,'TRANS'!$A:$A,0)),IFERROR(INDEX('Catalog'!$B:$B,MATCH($G1037,'Catalog'!$A:$A,0)),$B1037))</f>
        <v>35B S מגן קרסול שחור</v>
      </c>
      <c r="I1037" s="8" t="str">
        <f aca="false">IF($G1037="","Unmatched","Matched")</f>
        <v>Matched</v>
      </c>
    </row>
    <row r="1038" customFormat="false" ht="15" hidden="false" customHeight="false" outlineLevel="0" collapsed="false">
      <c r="A1038" s="8" t="s">
        <v>572</v>
      </c>
      <c r="B1038" s="8" t="s">
        <v>138</v>
      </c>
      <c r="C1038" s="19" t="n">
        <v>7</v>
      </c>
      <c r="D1038" s="19" t="n">
        <v>192.46</v>
      </c>
      <c r="E1038" s="19" t="n">
        <v>1</v>
      </c>
      <c r="F1038" s="19" t="n">
        <v>30.89</v>
      </c>
      <c r="G1038" s="8" t="n">
        <f aca="false">IFERROR(INDEX('TRANS'!$B:$B,MATCH($B1038,'TRANS'!$A:$A,0)),IFERROR(INDEX('TRANS'!$B:$B,MATCH(TRIM(SUBSTITUTE($B1038,CHAR(160)," ")),'TRANS'!$D:$D,0)),IFERROR(INDEX('Catalog'!$A:$A,MATCH($B1038,'Catalog'!$B:$B,0)),IFERROR(INDEX('Catalog'!$A:$A,MATCH(TRIM(SUBSTITUTE($B1038,CHAR(160)," ")),'Catalog'!$C:$C,0)),""))))</f>
        <v>4413491</v>
      </c>
      <c r="H1038" s="8" t="str">
        <f aca="false">IFERROR(INDEX('TRANS'!$C:$C,MATCH($B1038,'TRANS'!$A:$A,0)),IFERROR(INDEX('Catalog'!$B:$B,MATCH($G1038,'Catalog'!$A:$A,0)),$B1038))</f>
        <v>35B XL מגן קרסול שחור</v>
      </c>
      <c r="I1038" s="8" t="str">
        <f aca="false">IF($G1038="","Unmatched","Matched")</f>
        <v>Matched</v>
      </c>
    </row>
    <row r="1039" customFormat="false" ht="15" hidden="false" customHeight="false" outlineLevel="0" collapsed="false">
      <c r="A1039" s="8" t="s">
        <v>572</v>
      </c>
      <c r="B1039" s="8" t="s">
        <v>745</v>
      </c>
      <c r="C1039" s="19" t="n">
        <v>2</v>
      </c>
      <c r="D1039" s="19" t="n">
        <v>330</v>
      </c>
      <c r="E1039" s="19" t="n">
        <v>1</v>
      </c>
      <c r="F1039" s="19" t="n">
        <v>212.75</v>
      </c>
      <c r="G1039" s="8" t="str">
        <f aca="false">IFERROR(INDEX('TRANS'!$B:$B,MATCH($B1039,'TRANS'!$A:$A,0)),IFERROR(INDEX('TRANS'!$B:$B,MATCH(TRIM(SUBSTITUTE($B1039,CHAR(160)," ")),'TRANS'!$D:$D,0)),IFERROR(INDEX('Catalog'!$A:$A,MATCH($B1039,'Catalog'!$B:$B,0)),IFERROR(INDEX('Catalog'!$A:$A,MATCH(TRIM(SUBSTITUTE($B1039,CHAR(160)," ")),'Catalog'!$C:$C,0)),""))))</f>
        <v/>
      </c>
      <c r="H1039" s="8" t="str">
        <f aca="false">IFERROR(INDEX('TRANS'!$C:$C,MATCH($B1039,'TRANS'!$A:$A,0)),IFERROR(INDEX('Catalog'!$B:$B,MATCH($G1039,'Catalog'!$A:$A,0)),$B1039))</f>
        <v>355 XL</v>
      </c>
      <c r="I1039" s="8" t="str">
        <f aca="false">IF($G1039="","Unmatched","Matched")</f>
        <v>Unmatched</v>
      </c>
    </row>
    <row r="1040" customFormat="false" ht="15" hidden="false" customHeight="false" outlineLevel="0" collapsed="false">
      <c r="A1040" s="8" t="s">
        <v>572</v>
      </c>
      <c r="B1040" s="8" t="s">
        <v>746</v>
      </c>
      <c r="C1040" s="19" t="n">
        <v>6</v>
      </c>
      <c r="D1040" s="19" t="n">
        <v>123.43</v>
      </c>
      <c r="E1040" s="19" t="n">
        <v>2</v>
      </c>
      <c r="F1040" s="19" t="n">
        <v>41.15</v>
      </c>
      <c r="G1040" s="8" t="n">
        <f aca="false">IFERROR(INDEX('TRANS'!$B:$B,MATCH($B1040,'TRANS'!$A:$A,0)),IFERROR(INDEX('TRANS'!$B:$B,MATCH(TRIM(SUBSTITUTE($B1040,CHAR(160)," ")),'TRANS'!$D:$D,0)),IFERROR(INDEX('Catalog'!$A:$A,MATCH($B1040,'Catalog'!$B:$B,0)),IFERROR(INDEX('Catalog'!$A:$A,MATCH(TRIM(SUBSTITUTE($B1040,CHAR(160)," ")),'Catalog'!$C:$C,0)),""))))</f>
        <v>4413066</v>
      </c>
      <c r="H1040" s="8" t="str">
        <f aca="false">IFERROR(INDEX('TRANS'!$C:$C,MATCH($B1040,'TRANS'!$A:$A,0)),IFERROR(INDEX('Catalog'!$B:$B,MATCH($G1040,'Catalog'!$A:$A,0)),$B1040))</f>
        <v>3677S-מד.לשחרור לחץ א.הבוניון</v>
      </c>
      <c r="I1040" s="8" t="str">
        <f aca="false">IF($G1040="","Unmatched","Matched")</f>
        <v>Matched</v>
      </c>
    </row>
    <row r="1041" customFormat="false" ht="15" hidden="false" customHeight="false" outlineLevel="0" collapsed="false">
      <c r="A1041" s="8" t="s">
        <v>572</v>
      </c>
      <c r="B1041" s="8" t="s">
        <v>383</v>
      </c>
      <c r="C1041" s="19" t="n">
        <v>7</v>
      </c>
      <c r="D1041" s="19" t="n">
        <v>262.18</v>
      </c>
      <c r="E1041" s="19" t="n">
        <v>1</v>
      </c>
      <c r="F1041" s="19" t="n">
        <v>37.45</v>
      </c>
      <c r="G1041" s="8" t="n">
        <f aca="false">IFERROR(INDEX('TRANS'!$B:$B,MATCH($B1041,'TRANS'!$A:$A,0)),IFERROR(INDEX('TRANS'!$B:$B,MATCH(TRIM(SUBSTITUTE($B1041,CHAR(160)," ")),'TRANS'!$D:$D,0)),IFERROR(INDEX('Catalog'!$A:$A,MATCH($B1041,'Catalog'!$B:$B,0)),IFERROR(INDEX('Catalog'!$A:$A,MATCH(TRIM(SUBSTITUTE($B1041,CHAR(160)," ")),'Catalog'!$C:$C,0)),""))))</f>
        <v>4413103</v>
      </c>
      <c r="H1041" s="8" t="str">
        <f aca="false">IFERROR(INDEX('TRANS'!$C:$C,MATCH($B1041,'TRANS'!$A:$A,0)),IFERROR(INDEX('Catalog'!$B:$B,MATCH($G1041,'Catalog'!$A:$A,0)),$B1041))</f>
        <v>45E Mמגן ברך ארוך לבן</v>
      </c>
      <c r="I1041" s="8" t="str">
        <f aca="false">IF($G1041="","Unmatched","Matched")</f>
        <v>Matched</v>
      </c>
    </row>
    <row r="1042" customFormat="false" ht="15" hidden="false" customHeight="false" outlineLevel="0" collapsed="false">
      <c r="A1042" s="8" t="s">
        <v>572</v>
      </c>
      <c r="B1042" s="8" t="s">
        <v>384</v>
      </c>
      <c r="C1042" s="19" t="n">
        <v>4</v>
      </c>
      <c r="D1042" s="19" t="n">
        <v>149.87</v>
      </c>
      <c r="E1042" s="19" t="n">
        <v>1</v>
      </c>
      <c r="F1042" s="19" t="n">
        <v>37.45</v>
      </c>
      <c r="G1042" s="8" t="n">
        <f aca="false">IFERROR(INDEX('TRANS'!$B:$B,MATCH($B1042,'TRANS'!$A:$A,0)),IFERROR(INDEX('TRANS'!$B:$B,MATCH(TRIM(SUBSTITUTE($B1042,CHAR(160)," ")),'TRANS'!$D:$D,0)),IFERROR(INDEX('Catalog'!$A:$A,MATCH($B1042,'Catalog'!$B:$B,0)),IFERROR(INDEX('Catalog'!$A:$A,MATCH(TRIM(SUBSTITUTE($B1042,CHAR(160)," ")),'Catalog'!$C:$C,0)),""))))</f>
        <v>4413101</v>
      </c>
      <c r="H1042" s="8" t="str">
        <f aca="false">IFERROR(INDEX('TRANS'!$C:$C,MATCH($B1042,'TRANS'!$A:$A,0)),IFERROR(INDEX('Catalog'!$B:$B,MATCH($G1042,'Catalog'!$A:$A,0)),$B1042))</f>
        <v>45E Sמגן ברך ארוך לבן</v>
      </c>
      <c r="I1042" s="8" t="str">
        <f aca="false">IF($G1042="","Unmatched","Matched")</f>
        <v>Matched</v>
      </c>
    </row>
    <row r="1043" customFormat="false" ht="15" hidden="false" customHeight="false" outlineLevel="0" collapsed="false">
      <c r="A1043" s="8" t="s">
        <v>572</v>
      </c>
      <c r="B1043" s="8" t="s">
        <v>747</v>
      </c>
      <c r="C1043" s="19" t="n">
        <v>2</v>
      </c>
      <c r="D1043" s="19" t="n">
        <v>330</v>
      </c>
      <c r="E1043" s="19" t="n">
        <v>0</v>
      </c>
      <c r="F1043" s="19" t="n">
        <v>0</v>
      </c>
      <c r="G1043" s="8" t="str">
        <f aca="false">IFERROR(INDEX('TRANS'!$B:$B,MATCH($B1043,'TRANS'!$A:$A,0)),IFERROR(INDEX('TRANS'!$B:$B,MATCH(TRIM(SUBSTITUTE($B1043,CHAR(160)," ")),'TRANS'!$D:$D,0)),IFERROR(INDEX('Catalog'!$A:$A,MATCH($B1043,'Catalog'!$B:$B,0)),IFERROR(INDEX('Catalog'!$A:$A,MATCH(TRIM(SUBSTITUTE($B1043,CHAR(160)," ")),'Catalog'!$C:$C,0)),""))))</f>
        <v/>
      </c>
      <c r="H1043" s="8" t="str">
        <f aca="false">IFERROR(INDEX('TRANS'!$C:$C,MATCH($B1043,'TRANS'!$A:$A,0)),IFERROR(INDEX('Catalog'!$B:$B,MATCH($G1043,'Catalog'!$A:$A,0)),$B1043))</f>
        <v>499 S</v>
      </c>
      <c r="I1043" s="8" t="str">
        <f aca="false">IF($G1043="","Unmatched","Matched")</f>
        <v>Unmatched</v>
      </c>
    </row>
    <row r="1044" customFormat="false" ht="15" hidden="false" customHeight="false" outlineLevel="0" collapsed="false">
      <c r="A1044" s="8" t="s">
        <v>572</v>
      </c>
      <c r="B1044" s="8" t="s">
        <v>393</v>
      </c>
      <c r="C1044" s="19" t="n">
        <v>5</v>
      </c>
      <c r="D1044" s="19" t="n">
        <v>429.08</v>
      </c>
      <c r="E1044" s="19" t="n">
        <v>0</v>
      </c>
      <c r="F1044" s="19" t="n">
        <v>0</v>
      </c>
      <c r="G1044" s="8" t="str">
        <f aca="false">IFERROR(INDEX('TRANS'!$B:$B,MATCH($B1044,'TRANS'!$A:$A,0)),IFERROR(INDEX('TRANS'!$B:$B,MATCH(TRIM(SUBSTITUTE($B1044,CHAR(160)," ")),'TRANS'!$D:$D,0)),IFERROR(INDEX('Catalog'!$A:$A,MATCH($B1044,'Catalog'!$B:$B,0)),IFERROR(INDEX('Catalog'!$A:$A,MATCH(TRIM(SUBSTITUTE($B1044,CHAR(160)," ")),'Catalog'!$C:$C,0)),""))))</f>
        <v/>
      </c>
      <c r="H1044" s="8" t="str">
        <f aca="false">IFERROR(INDEX('TRANS'!$C:$C,MATCH($B1044,'TRANS'!$A:$A,0)),IFERROR(INDEX('Catalog'!$B:$B,MATCH($G1044,'Catalog'!$A:$A,0)),$B1044))</f>
        <v>50 S</v>
      </c>
      <c r="I1044" s="8" t="str">
        <f aca="false">IF($G1044="","Unmatched","Matched")</f>
        <v>Unmatched</v>
      </c>
    </row>
    <row r="1045" customFormat="false" ht="15" hidden="false" customHeight="false" outlineLevel="0" collapsed="false">
      <c r="A1045" s="8" t="s">
        <v>572</v>
      </c>
      <c r="B1045" s="8" t="s">
        <v>748</v>
      </c>
      <c r="C1045" s="19" t="n">
        <v>7</v>
      </c>
      <c r="D1045" s="19" t="n">
        <v>651.15</v>
      </c>
      <c r="E1045" s="19" t="n">
        <v>2</v>
      </c>
      <c r="F1045" s="19" t="n">
        <v>222.07</v>
      </c>
      <c r="G1045" s="8" t="str">
        <f aca="false">IFERROR(INDEX('TRANS'!$B:$B,MATCH($B1045,'TRANS'!$A:$A,0)),IFERROR(INDEX('TRANS'!$B:$B,MATCH(TRIM(SUBSTITUTE($B1045,CHAR(160)," ")),'TRANS'!$D:$D,0)),IFERROR(INDEX('Catalog'!$A:$A,MATCH($B1045,'Catalog'!$B:$B,0)),IFERROR(INDEX('Catalog'!$A:$A,MATCH(TRIM(SUBSTITUTE($B1045,CHAR(160)," ")),'Catalog'!$C:$C,0)),""))))</f>
        <v/>
      </c>
      <c r="H1045" s="8" t="str">
        <f aca="false">IFERROR(INDEX('TRANS'!$C:$C,MATCH($B1045,'TRANS'!$A:$A,0)),IFERROR(INDEX('Catalog'!$B:$B,MATCH($G1045,'Catalog'!$A:$A,0)),$B1045))</f>
        <v>50 XXL</v>
      </c>
      <c r="I1045" s="8" t="str">
        <f aca="false">IF($G1045="","Unmatched","Matched")</f>
        <v>Unmatched</v>
      </c>
    </row>
    <row r="1046" customFormat="false" ht="15" hidden="false" customHeight="false" outlineLevel="0" collapsed="false">
      <c r="A1046" s="8" t="s">
        <v>572</v>
      </c>
      <c r="B1046" s="8" t="s">
        <v>749</v>
      </c>
      <c r="C1046" s="19" t="n">
        <v>1</v>
      </c>
      <c r="D1046" s="19" t="n">
        <v>180</v>
      </c>
      <c r="E1046" s="19" t="n">
        <v>0</v>
      </c>
      <c r="F1046" s="19" t="n">
        <v>0</v>
      </c>
      <c r="G1046" s="8" t="str">
        <f aca="false">IFERROR(INDEX('TRANS'!$B:$B,MATCH($B1046,'TRANS'!$A:$A,0)),IFERROR(INDEX('TRANS'!$B:$B,MATCH(TRIM(SUBSTITUTE($B1046,CHAR(160)," ")),'TRANS'!$D:$D,0)),IFERROR(INDEX('Catalog'!$A:$A,MATCH($B1046,'Catalog'!$B:$B,0)),IFERROR(INDEX('Catalog'!$A:$A,MATCH(TRIM(SUBSTITUTE($B1046,CHAR(160)," ")),'Catalog'!$C:$C,0)),""))))</f>
        <v/>
      </c>
      <c r="H1046" s="8" t="str">
        <f aca="false">IFERROR(INDEX('TRANS'!$C:$C,MATCH($B1046,'TRANS'!$A:$A,0)),IFERROR(INDEX('Catalog'!$B:$B,MATCH($G1046,'Catalog'!$A:$A,0)),$B1046))</f>
        <v>59DB L</v>
      </c>
      <c r="I1046" s="8" t="str">
        <f aca="false">IF($G1046="","Unmatched","Matched")</f>
        <v>Unmatched</v>
      </c>
    </row>
    <row r="1047" customFormat="false" ht="15" hidden="false" customHeight="false" outlineLevel="0" collapsed="false">
      <c r="A1047" s="8" t="s">
        <v>572</v>
      </c>
      <c r="B1047" s="8" t="s">
        <v>750</v>
      </c>
      <c r="C1047" s="19" t="n">
        <v>1</v>
      </c>
      <c r="D1047" s="19" t="n">
        <v>180</v>
      </c>
      <c r="E1047" s="19" t="n">
        <v>0</v>
      </c>
      <c r="F1047" s="19" t="n">
        <v>0</v>
      </c>
      <c r="G1047" s="8" t="str">
        <f aca="false">IFERROR(INDEX('TRANS'!$B:$B,MATCH($B1047,'TRANS'!$A:$A,0)),IFERROR(INDEX('TRANS'!$B:$B,MATCH(TRIM(SUBSTITUTE($B1047,CHAR(160)," ")),'TRANS'!$D:$D,0)),IFERROR(INDEX('Catalog'!$A:$A,MATCH($B1047,'Catalog'!$B:$B,0)),IFERROR(INDEX('Catalog'!$A:$A,MATCH(TRIM(SUBSTITUTE($B1047,CHAR(160)," ")),'Catalog'!$C:$C,0)),""))))</f>
        <v/>
      </c>
      <c r="H1047" s="8" t="str">
        <f aca="false">IFERROR(INDEX('TRANS'!$C:$C,MATCH($B1047,'TRANS'!$A:$A,0)),IFERROR(INDEX('Catalog'!$B:$B,MATCH($G1047,'Catalog'!$A:$A,0)),$B1047))</f>
        <v>59DB M</v>
      </c>
      <c r="I1047" s="8" t="str">
        <f aca="false">IF($G1047="","Unmatched","Matched")</f>
        <v>Unmatched</v>
      </c>
    </row>
    <row r="1048" customFormat="false" ht="15" hidden="false" customHeight="false" outlineLevel="0" collapsed="false">
      <c r="A1048" s="8" t="s">
        <v>572</v>
      </c>
      <c r="B1048" s="8" t="s">
        <v>496</v>
      </c>
      <c r="C1048" s="19" t="n">
        <v>0</v>
      </c>
      <c r="D1048" s="19" t="n">
        <v>0</v>
      </c>
      <c r="E1048" s="19" t="n">
        <v>10</v>
      </c>
      <c r="F1048" s="19" t="n">
        <v>0</v>
      </c>
      <c r="G1048" s="8" t="str">
        <f aca="false">IFERROR(INDEX('TRANS'!$B:$B,MATCH($B1048,'TRANS'!$A:$A,0)),IFERROR(INDEX('TRANS'!$B:$B,MATCH(TRIM(SUBSTITUTE($B1048,CHAR(160)," ")),'TRANS'!$D:$D,0)),IFERROR(INDEX('Catalog'!$A:$A,MATCH($B1048,'Catalog'!$B:$B,0)),IFERROR(INDEX('Catalog'!$A:$A,MATCH(TRIM(SUBSTITUTE($B1048,CHAR(160)," ")),'Catalog'!$C:$C,0)),""))))</f>
        <v/>
      </c>
      <c r="H1048" s="8" t="str">
        <f aca="false">IFERROR(INDEX('TRANS'!$C:$C,MATCH($B1048,'TRANS'!$A:$A,0)),IFERROR(INDEX('Catalog'!$B:$B,MATCH($G1048,'Catalog'!$A:$A,0)),$B1048))</f>
        <v>67600000</v>
      </c>
      <c r="I1048" s="8" t="str">
        <f aca="false">IF($G1048="","Unmatched","Matched")</f>
        <v>Unmatched</v>
      </c>
    </row>
    <row r="1049" customFormat="false" ht="15" hidden="false" customHeight="false" outlineLevel="0" collapsed="false">
      <c r="A1049" s="8" t="s">
        <v>572</v>
      </c>
      <c r="B1049" s="8" t="s">
        <v>751</v>
      </c>
      <c r="C1049" s="19" t="n">
        <v>0</v>
      </c>
      <c r="D1049" s="19" t="n">
        <v>-4.02999999999997</v>
      </c>
      <c r="E1049" s="19" t="n">
        <v>0</v>
      </c>
      <c r="F1049" s="19" t="n">
        <v>-101.74</v>
      </c>
      <c r="G1049" s="8" t="str">
        <f aca="false">IFERROR(INDEX('TRANS'!$B:$B,MATCH($B1049,'TRANS'!$A:$A,0)),IFERROR(INDEX('TRANS'!$B:$B,MATCH(TRIM(SUBSTITUTE($B1049,CHAR(160)," ")),'TRANS'!$D:$D,0)),IFERROR(INDEX('Catalog'!$A:$A,MATCH($B1049,'Catalog'!$B:$B,0)),IFERROR(INDEX('Catalog'!$A:$A,MATCH(TRIM(SUBSTITUTE($B1049,CHAR(160)," ")),'Catalog'!$C:$C,0)),""))))</f>
        <v/>
      </c>
      <c r="H1049" s="8" t="str">
        <f aca="false">IFERROR(INDEX('TRANS'!$C:$C,MATCH($B1049,'TRANS'!$A:$A,0)),IFERROR(INDEX('Catalog'!$B:$B,MATCH($G1049,'Catalog'!$A:$A,0)),$B1049))</f>
        <v>70 M</v>
      </c>
      <c r="I1049" s="8" t="str">
        <f aca="false">IF($G1049="","Unmatched","Matched")</f>
        <v>Unmatched</v>
      </c>
    </row>
    <row r="1050" customFormat="false" ht="15" hidden="false" customHeight="false" outlineLevel="0" collapsed="false">
      <c r="A1050" s="8" t="s">
        <v>572</v>
      </c>
      <c r="B1050" s="8" t="s">
        <v>752</v>
      </c>
      <c r="C1050" s="19" t="n">
        <v>2</v>
      </c>
      <c r="D1050" s="19" t="n">
        <v>328.02</v>
      </c>
      <c r="E1050" s="19" t="n">
        <v>3</v>
      </c>
      <c r="F1050" s="19" t="n">
        <v>492.03</v>
      </c>
      <c r="G1050" s="8" t="n">
        <f aca="false">IFERROR(INDEX('TRANS'!$B:$B,MATCH($B1050,'TRANS'!$A:$A,0)),IFERROR(INDEX('TRANS'!$B:$B,MATCH(TRIM(SUBSTITUTE($B1050,CHAR(160)," ")),'TRANS'!$D:$D,0)),IFERROR(INDEX('Catalog'!$A:$A,MATCH($B1050,'Catalog'!$B:$B,0)),IFERROR(INDEX('Catalog'!$A:$A,MATCH(TRIM(SUBSTITUTE($B1050,CHAR(160)," ")),'Catalog'!$C:$C,0)),""))))</f>
        <v>4413126</v>
      </c>
      <c r="H1050" s="8" t="str">
        <f aca="false">IFERROR(INDEX('TRANS'!$C:$C,MATCH($B1050,'TRANS'!$A:$A,0)),IFERROR(INDEX('Catalog'!$B:$B,MATCH($G1050,'Catalog'!$A:$A,0)),$B1050))</f>
        <v>75 Sמיישר כתף יציב יישור גב צר</v>
      </c>
      <c r="I1050" s="8" t="str">
        <f aca="false">IF($G1050="","Unmatched","Matched")</f>
        <v>Matched</v>
      </c>
    </row>
    <row r="1051" customFormat="false" ht="15" hidden="false" customHeight="false" outlineLevel="0" collapsed="false">
      <c r="A1051" s="8" t="s">
        <v>572</v>
      </c>
      <c r="B1051" s="8" t="s">
        <v>232</v>
      </c>
      <c r="C1051" s="19" t="n">
        <v>1</v>
      </c>
      <c r="D1051" s="19" t="n">
        <v>164.01</v>
      </c>
      <c r="E1051" s="19" t="n">
        <v>1</v>
      </c>
      <c r="F1051" s="19" t="n">
        <v>164.01</v>
      </c>
      <c r="G1051" s="8" t="n">
        <f aca="false">IFERROR(INDEX('TRANS'!$B:$B,MATCH($B1051,'TRANS'!$A:$A,0)),IFERROR(INDEX('TRANS'!$B:$B,MATCH(TRIM(SUBSTITUTE($B1051,CHAR(160)," ")),'TRANS'!$D:$D,0)),IFERROR(INDEX('Catalog'!$A:$A,MATCH($B1051,'Catalog'!$B:$B,0)),IFERROR(INDEX('Catalog'!$A:$A,MATCH(TRIM(SUBSTITUTE($B1051,CHAR(160)," ")),'Catalog'!$C:$C,0)),""))))</f>
        <v>4413130</v>
      </c>
      <c r="H1051" s="8" t="str">
        <f aca="false">IFERROR(INDEX('TRANS'!$C:$C,MATCH($B1051,'TRANS'!$A:$A,0)),IFERROR(INDEX('Catalog'!$B:$B,MATCH($G1051,'Catalog'!$A:$A,0)),$B1051))</f>
        <v>75  XXL מיישר כתף יציב ישור צר</v>
      </c>
      <c r="I1051" s="8" t="str">
        <f aca="false">IF($G1051="","Unmatched","Matched")</f>
        <v>Matched</v>
      </c>
    </row>
    <row r="1052" customFormat="false" ht="15" hidden="false" customHeight="false" outlineLevel="0" collapsed="false">
      <c r="A1052" s="8" t="s">
        <v>572</v>
      </c>
      <c r="B1052" s="8" t="s">
        <v>505</v>
      </c>
      <c r="C1052" s="19" t="n">
        <v>16</v>
      </c>
      <c r="D1052" s="19" t="n">
        <v>172.86</v>
      </c>
      <c r="E1052" s="19" t="n">
        <v>0</v>
      </c>
      <c r="F1052" s="19" t="n">
        <v>0</v>
      </c>
      <c r="G1052" s="8" t="n">
        <f aca="false">IFERROR(INDEX('TRANS'!$B:$B,MATCH($B1052,'TRANS'!$A:$A,0)),IFERROR(INDEX('TRANS'!$B:$B,MATCH(TRIM(SUBSTITUTE($B1052,CHAR(160)," ")),'TRANS'!$D:$D,0)),IFERROR(INDEX('Catalog'!$A:$A,MATCH($B1052,'Catalog'!$B:$B,0)),IFERROR(INDEX('Catalog'!$A:$A,MATCH(TRIM(SUBSTITUTE($B1052,CHAR(160)," ")),'Catalog'!$C:$C,0)),""))))</f>
        <v>4422034</v>
      </c>
      <c r="H1052" s="8" t="str">
        <f aca="false">IFERROR(INDEX('TRANS'!$C:$C,MATCH($B1052,'TRANS'!$A:$A,0)),IFERROR(INDEX('Catalog'!$B:$B,MATCH($G1052,'Catalog'!$A:$A,0)),$B1052))</f>
        <v>807CB-P תחבושת נצמדת ורוד 20ממ</v>
      </c>
      <c r="I1052" s="8" t="str">
        <f aca="false">IF($G1052="","Unmatched","Matched")</f>
        <v>Matched</v>
      </c>
    </row>
    <row r="1053" customFormat="false" ht="15" hidden="false" customHeight="false" outlineLevel="0" collapsed="false">
      <c r="A1053" s="8" t="s">
        <v>572</v>
      </c>
      <c r="B1053" s="8" t="s">
        <v>277</v>
      </c>
      <c r="C1053" s="19" t="n">
        <v>13</v>
      </c>
      <c r="D1053" s="19" t="n">
        <v>503.87</v>
      </c>
      <c r="E1053" s="19" t="n">
        <v>3</v>
      </c>
      <c r="F1053" s="19" t="n">
        <v>119.39</v>
      </c>
      <c r="G1053" s="8" t="n">
        <f aca="false">IFERROR(INDEX('TRANS'!$B:$B,MATCH($B1053,'TRANS'!$A:$A,0)),IFERROR(INDEX('TRANS'!$B:$B,MATCH(TRIM(SUBSTITUTE($B1053,CHAR(160)," ")),'TRANS'!$D:$D,0)),IFERROR(INDEX('Catalog'!$A:$A,MATCH($B1053,'Catalog'!$B:$B,0)),IFERROR(INDEX('Catalog'!$A:$A,MATCH(TRIM(SUBSTITUTE($B1053,CHAR(160)," ")),'Catalog'!$C:$C,0)),""))))</f>
        <v>4408208</v>
      </c>
      <c r="H1053" s="8" t="str">
        <f aca="false">IFERROR(INDEX('TRANS'!$C:$C,MATCH($B1053,'TRANS'!$A:$A,0)),IFERROR(INDEX('Catalog'!$B:$B,MATCH($G1053,'Catalog'!$A:$A,0)),$B1053))</f>
        <v>AC91 חבק טניס</v>
      </c>
      <c r="I1053" s="8" t="str">
        <f aca="false">IF($G1053="","Unmatched","Matched")</f>
        <v>Matched</v>
      </c>
    </row>
    <row r="1054" customFormat="false" ht="15" hidden="false" customHeight="false" outlineLevel="0" collapsed="false">
      <c r="A1054" s="8" t="s">
        <v>572</v>
      </c>
      <c r="B1054" s="8" t="s">
        <v>282</v>
      </c>
      <c r="C1054" s="19" t="n">
        <v>-3</v>
      </c>
      <c r="D1054" s="19" t="n">
        <v>-106.72</v>
      </c>
      <c r="E1054" s="19" t="n">
        <v>0</v>
      </c>
      <c r="F1054" s="19" t="n">
        <v>0</v>
      </c>
      <c r="G1054" s="8" t="str">
        <f aca="false">IFERROR(INDEX('TRANS'!$B:$B,MATCH($B1054,'TRANS'!$A:$A,0)),IFERROR(INDEX('TRANS'!$B:$B,MATCH(TRIM(SUBSTITUTE($B1054,CHAR(160)," ")),'TRANS'!$D:$D,0)),IFERROR(INDEX('Catalog'!$A:$A,MATCH($B1054,'Catalog'!$B:$B,0)),IFERROR(INDEX('Catalog'!$A:$A,MATCH(TRIM(SUBSTITUTE($B1054,CHAR(160)," ")),'Catalog'!$C:$C,0)),""))))</f>
        <v/>
      </c>
      <c r="H1054" s="8" t="str">
        <f aca="false">IFERROR(INDEX('TRANS'!$C:$C,MATCH($B1054,'TRANS'!$A:$A,0)),IFERROR(INDEX('Catalog'!$B:$B,MATCH($G1054,'Catalog'!$A:$A,0)),$B1054))</f>
        <v>FC341 0</v>
      </c>
      <c r="I1054" s="8" t="str">
        <f aca="false">IF($G1054="","Unmatched","Matched")</f>
        <v>Unmatched</v>
      </c>
    </row>
    <row r="1055" customFormat="false" ht="15" hidden="false" customHeight="false" outlineLevel="0" collapsed="false">
      <c r="A1055" s="8" t="s">
        <v>572</v>
      </c>
      <c r="B1055" s="8" t="s">
        <v>433</v>
      </c>
      <c r="C1055" s="19" t="n">
        <v>5</v>
      </c>
      <c r="D1055" s="19" t="n">
        <v>435.61</v>
      </c>
      <c r="E1055" s="19" t="n">
        <v>1</v>
      </c>
      <c r="F1055" s="19" t="n">
        <v>93.67</v>
      </c>
      <c r="G1055" s="8" t="n">
        <f aca="false">IFERROR(INDEX('TRANS'!$B:$B,MATCH($B1055,'TRANS'!$A:$A,0)),IFERROR(INDEX('TRANS'!$B:$B,MATCH(TRIM(SUBSTITUTE($B1055,CHAR(160)," ")),'TRANS'!$D:$D,0)),IFERROR(INDEX('Catalog'!$A:$A,MATCH($B1055,'Catalog'!$B:$B,0)),IFERROR(INDEX('Catalog'!$A:$A,MATCH(TRIM(SUBSTITUTE($B1055,CHAR(160)," ")),'Catalog'!$C:$C,0)),""))))</f>
        <v>4413421</v>
      </c>
      <c r="H1055" s="8" t="str">
        <f aca="false">IFERROR(INDEX('TRANS'!$C:$C,MATCH($B1055,'TRANS'!$A:$A,0)),IFERROR(INDEX('Catalog'!$B:$B,MATCH($G1055,'Catalog'!$A:$A,0)),$B1055))</f>
        <v>SC35L  M מגן קרסול שמאל</v>
      </c>
      <c r="I1055" s="8" t="str">
        <f aca="false">IF($G1055="","Unmatched","Matched")</f>
        <v>Matched</v>
      </c>
    </row>
    <row r="1056" customFormat="false" ht="15" hidden="false" customHeight="false" outlineLevel="0" collapsed="false">
      <c r="A1056" s="8" t="s">
        <v>572</v>
      </c>
      <c r="B1056" s="8" t="s">
        <v>302</v>
      </c>
      <c r="C1056" s="19" t="n">
        <v>9</v>
      </c>
      <c r="D1056" s="19" t="n">
        <v>1265.14</v>
      </c>
      <c r="E1056" s="19" t="n">
        <v>7</v>
      </c>
      <c r="F1056" s="19" t="n">
        <v>984</v>
      </c>
      <c r="G1056" s="8" t="n">
        <f aca="false">IFERROR(INDEX('TRANS'!$B:$B,MATCH($B1056,'TRANS'!$A:$A,0)),IFERROR(INDEX('TRANS'!$B:$B,MATCH(TRIM(SUBSTITUTE($B1056,CHAR(160)," ")),'TRANS'!$D:$D,0)),IFERROR(INDEX('Catalog'!$A:$A,MATCH($B1056,'Catalog'!$B:$B,0)),IFERROR(INDEX('Catalog'!$A:$A,MATCH(TRIM(SUBSTITUTE($B1056,CHAR(160)," ")),'Catalog'!$C:$C,0)),""))))</f>
        <v>4413439</v>
      </c>
      <c r="H1056" s="8" t="str">
        <f aca="false">IFERROR(INDEX('TRANS'!$C:$C,MATCH($B1056,'TRANS'!$A:$A,0)),IFERROR(INDEX('Catalog'!$B:$B,MATCH($G1056,'Catalog'!$A:$A,0)),$B1056))</f>
        <v>SC422  M מגן ברך</v>
      </c>
      <c r="I1056" s="8" t="str">
        <f aca="false">IF($G1056="","Unmatched","Matched")</f>
        <v>Matched</v>
      </c>
    </row>
    <row r="1057" customFormat="false" ht="15" hidden="false" customHeight="false" outlineLevel="0" collapsed="false">
      <c r="A1057" s="8" t="s">
        <v>572</v>
      </c>
      <c r="B1057" s="8" t="s">
        <v>437</v>
      </c>
      <c r="C1057" s="19" t="n">
        <v>4</v>
      </c>
      <c r="D1057" s="19" t="n">
        <v>558.76</v>
      </c>
      <c r="E1057" s="19" t="n">
        <v>0</v>
      </c>
      <c r="F1057" s="19" t="n">
        <v>0</v>
      </c>
      <c r="G1057" s="8" t="n">
        <f aca="false">IFERROR(INDEX('TRANS'!$B:$B,MATCH($B1057,'TRANS'!$A:$A,0)),IFERROR(INDEX('TRANS'!$B:$B,MATCH(TRIM(SUBSTITUTE($B1057,CHAR(160)," ")),'TRANS'!$D:$D,0)),IFERROR(INDEX('Catalog'!$A:$A,MATCH($B1057,'Catalog'!$B:$B,0)),IFERROR(INDEX('Catalog'!$A:$A,MATCH(TRIM(SUBSTITUTE($B1057,CHAR(160)," ")),'Catalog'!$C:$C,0)),""))))</f>
        <v>4413438</v>
      </c>
      <c r="H1057" s="8" t="str">
        <f aca="false">IFERROR(INDEX('TRANS'!$C:$C,MATCH($B1057,'TRANS'!$A:$A,0)),IFERROR(INDEX('Catalog'!$B:$B,MATCH($G1057,'Catalog'!$A:$A,0)),$B1057))</f>
        <v>SC422  S מגן ברך</v>
      </c>
      <c r="I1057" s="8" t="str">
        <f aca="false">IF($G1057="","Unmatched","Matched")</f>
        <v>Matched</v>
      </c>
    </row>
    <row r="1058" customFormat="false" ht="15" hidden="false" customHeight="false" outlineLevel="0" collapsed="false">
      <c r="A1058" s="8" t="s">
        <v>572</v>
      </c>
      <c r="B1058" s="8" t="s">
        <v>303</v>
      </c>
      <c r="C1058" s="19" t="n">
        <v>5</v>
      </c>
      <c r="D1058" s="19" t="n">
        <v>702.86</v>
      </c>
      <c r="E1058" s="19" t="n">
        <v>1</v>
      </c>
      <c r="F1058" s="19" t="n">
        <v>140.57</v>
      </c>
      <c r="G1058" s="8" t="n">
        <f aca="false">IFERROR(INDEX('TRANS'!$B:$B,MATCH($B1058,'TRANS'!$A:$A,0)),IFERROR(INDEX('TRANS'!$B:$B,MATCH(TRIM(SUBSTITUTE($B1058,CHAR(160)," ")),'TRANS'!$D:$D,0)),IFERROR(INDEX('Catalog'!$A:$A,MATCH($B1058,'Catalog'!$B:$B,0)),IFERROR(INDEX('Catalog'!$A:$A,MATCH(TRIM(SUBSTITUTE($B1058,CHAR(160)," ")),'Catalog'!$C:$C,0)),""))))</f>
        <v>4413442</v>
      </c>
      <c r="H1058" s="8" t="str">
        <f aca="false">IFERROR(INDEX('TRANS'!$C:$C,MATCH($B1058,'TRANS'!$A:$A,0)),IFERROR(INDEX('Catalog'!$B:$B,MATCH($G1058,'Catalog'!$A:$A,0)),$B1058))</f>
        <v>SC422 XXLמגן ברך</v>
      </c>
      <c r="I1058" s="8" t="str">
        <f aca="false">IF($G1058="","Unmatched","Matched")</f>
        <v>Matched</v>
      </c>
    </row>
    <row r="1059" customFormat="false" ht="15" hidden="false" customHeight="false" outlineLevel="0" collapsed="false">
      <c r="A1059" s="8" t="s">
        <v>572</v>
      </c>
      <c r="B1059" s="8" t="s">
        <v>753</v>
      </c>
      <c r="C1059" s="19" t="n">
        <v>0</v>
      </c>
      <c r="D1059" s="19" t="n">
        <v>0</v>
      </c>
      <c r="E1059" s="19" t="n">
        <v>1</v>
      </c>
      <c r="F1059" s="19" t="n">
        <v>94.65</v>
      </c>
      <c r="G1059" s="8" t="n">
        <f aca="false">IFERROR(INDEX('TRANS'!$B:$B,MATCH($B1059,'TRANS'!$A:$A,0)),IFERROR(INDEX('TRANS'!$B:$B,MATCH(TRIM(SUBSTITUTE($B1059,CHAR(160)," ")),'TRANS'!$D:$D,0)),IFERROR(INDEX('Catalog'!$A:$A,MATCH($B1059,'Catalog'!$B:$B,0)),IFERROR(INDEX('Catalog'!$A:$A,MATCH(TRIM(SUBSTITUTE($B1059,CHAR(160)," ")),'Catalog'!$C:$C,0)),""))))</f>
        <v>4408091</v>
      </c>
      <c r="H1059" s="8" t="str">
        <f aca="false">IFERROR(INDEX('TRANS'!$C:$C,MATCH($B1059,'TRANS'!$A:$A,0)),IFERROR(INDEX('Catalog'!$B:$B,MATCH($G1059,'Catalog'!$A:$A,0)),$B1059))</f>
        <v>T11C M  חגורת גב פוג'יאמה</v>
      </c>
      <c r="I1059" s="8" t="str">
        <f aca="false">IF($G1059="","Unmatched","Matched")</f>
        <v>Matched</v>
      </c>
    </row>
    <row r="1060" customFormat="false" ht="15" hidden="false" customHeight="false" outlineLevel="0" collapsed="false">
      <c r="A1060" s="8" t="s">
        <v>572</v>
      </c>
      <c r="B1060" s="8" t="s">
        <v>754</v>
      </c>
      <c r="C1060" s="19" t="n">
        <v>1</v>
      </c>
      <c r="D1060" s="19" t="n">
        <v>94.68</v>
      </c>
      <c r="E1060" s="19" t="n">
        <v>0</v>
      </c>
      <c r="F1060" s="19" t="n">
        <v>0</v>
      </c>
      <c r="G1060" s="8" t="n">
        <f aca="false">IFERROR(INDEX('TRANS'!$B:$B,MATCH($B1060,'TRANS'!$A:$A,0)),IFERROR(INDEX('TRANS'!$B:$B,MATCH(TRIM(SUBSTITUTE($B1060,CHAR(160)," ")),'TRANS'!$D:$D,0)),IFERROR(INDEX('Catalog'!$A:$A,MATCH($B1060,'Catalog'!$B:$B,0)),IFERROR(INDEX('Catalog'!$A:$A,MATCH(TRIM(SUBSTITUTE($B1060,CHAR(160)," ")),'Catalog'!$C:$C,0)),""))))</f>
        <v>4408089</v>
      </c>
      <c r="H1060" s="8" t="str">
        <f aca="false">IFERROR(INDEX('TRANS'!$C:$C,MATCH($B1060,'TRANS'!$A:$A,0)),IFERROR(INDEX('Catalog'!$B:$B,MATCH($G1060,'Catalog'!$A:$A,0)),$B1060))</f>
        <v>T11C S  חגורת גב פוג'יאמה</v>
      </c>
      <c r="I1060" s="8" t="str">
        <f aca="false">IF($G1060="","Unmatched","Matched")</f>
        <v>Matched</v>
      </c>
    </row>
    <row r="1061" customFormat="false" ht="15" hidden="false" customHeight="false" outlineLevel="0" collapsed="false">
      <c r="A1061" s="8" t="s">
        <v>572</v>
      </c>
      <c r="B1061" s="8" t="s">
        <v>314</v>
      </c>
      <c r="C1061" s="19" t="n">
        <v>3</v>
      </c>
      <c r="D1061" s="19" t="n">
        <v>283.9</v>
      </c>
      <c r="E1061" s="19" t="n">
        <v>0</v>
      </c>
      <c r="F1061" s="19" t="n">
        <v>0</v>
      </c>
      <c r="G1061" s="8" t="n">
        <f aca="false">IFERROR(INDEX('TRANS'!$B:$B,MATCH($B1061,'TRANS'!$A:$A,0)),IFERROR(INDEX('TRANS'!$B:$B,MATCH(TRIM(SUBSTITUTE($B1061,CHAR(160)," ")),'TRANS'!$D:$D,0)),IFERROR(INDEX('Catalog'!$A:$A,MATCH($B1061,'Catalog'!$B:$B,0)),IFERROR(INDEX('Catalog'!$A:$A,MATCH(TRIM(SUBSTITUTE($B1061,CHAR(160)," ")),'Catalog'!$C:$C,0)),""))))</f>
        <v>4408092</v>
      </c>
      <c r="H1061" s="8" t="str">
        <f aca="false">IFERROR(INDEX('TRANS'!$C:$C,MATCH($B1061,'TRANS'!$A:$A,0)),IFERROR(INDEX('Catalog'!$B:$B,MATCH($G1061,'Catalog'!$A:$A,0)),$B1061))</f>
        <v>T11C XL חגורת גב פוג'יאמה</v>
      </c>
      <c r="I1061" s="8" t="str">
        <f aca="false">IF($G1061="","Unmatched","Matched")</f>
        <v>Matched</v>
      </c>
    </row>
    <row r="1062" customFormat="false" ht="15" hidden="false" customHeight="false" outlineLevel="0" collapsed="false">
      <c r="A1062" s="8" t="s">
        <v>572</v>
      </c>
      <c r="B1062" s="8" t="s">
        <v>755</v>
      </c>
      <c r="C1062" s="19" t="n">
        <v>1</v>
      </c>
      <c r="D1062" s="19" t="n">
        <v>107.76</v>
      </c>
      <c r="E1062" s="19" t="n">
        <v>0</v>
      </c>
      <c r="F1062" s="19" t="n">
        <v>0</v>
      </c>
      <c r="G1062" s="8" t="str">
        <f aca="false">IFERROR(INDEX('TRANS'!$B:$B,MATCH($B1062,'TRANS'!$A:$A,0)),IFERROR(INDEX('TRANS'!$B:$B,MATCH(TRIM(SUBSTITUTE($B1062,CHAR(160)," ")),'TRANS'!$D:$D,0)),IFERROR(INDEX('Catalog'!$A:$A,MATCH($B1062,'Catalog'!$B:$B,0)),IFERROR(INDEX('Catalog'!$A:$A,MATCH(TRIM(SUBSTITUTE($B1062,CHAR(160)," ")),'Catalog'!$C:$C,0)),""))))</f>
        <v/>
      </c>
      <c r="H1062" s="8" t="str">
        <f aca="false">IFERROR(INDEX('TRANS'!$C:$C,MATCH($B1062,'TRANS'!$A:$A,0)),IFERROR(INDEX('Catalog'!$B:$B,MATCH($G1062,'Catalog'!$A:$A,0)),$B1062))</f>
        <v>T39 XS</v>
      </c>
      <c r="I1062" s="8" t="str">
        <f aca="false">IF($G1062="","Unmatched","Matched")</f>
        <v>Unmatched</v>
      </c>
    </row>
    <row r="1063" customFormat="false" ht="15" hidden="false" customHeight="false" outlineLevel="0" collapsed="false">
      <c r="A1063" s="8" t="s">
        <v>572</v>
      </c>
      <c r="B1063" s="8" t="s">
        <v>756</v>
      </c>
      <c r="C1063" s="19" t="n">
        <v>1</v>
      </c>
      <c r="D1063" s="19" t="n">
        <v>107.76</v>
      </c>
      <c r="E1063" s="19" t="n">
        <v>1</v>
      </c>
      <c r="F1063" s="19" t="n">
        <v>107.76</v>
      </c>
      <c r="G1063" s="8" t="str">
        <f aca="false">IFERROR(INDEX('TRANS'!$B:$B,MATCH($B1063,'TRANS'!$A:$A,0)),IFERROR(INDEX('TRANS'!$B:$B,MATCH(TRIM(SUBSTITUTE($B1063,CHAR(160)," ")),'TRANS'!$D:$D,0)),IFERROR(INDEX('Catalog'!$A:$A,MATCH($B1063,'Catalog'!$B:$B,0)),IFERROR(INDEX('Catalog'!$A:$A,MATCH(TRIM(SUBSTITUTE($B1063,CHAR(160)," ")),'Catalog'!$C:$C,0)),""))))</f>
        <v/>
      </c>
      <c r="H1063" s="8" t="str">
        <f aca="false">IFERROR(INDEX('TRANS'!$C:$C,MATCH($B1063,'TRANS'!$A:$A,0)),IFERROR(INDEX('Catalog'!$B:$B,MATCH($G1063,'Catalog'!$A:$A,0)),$B1063))</f>
        <v>T39 XXL</v>
      </c>
      <c r="I1063" s="8" t="str">
        <f aca="false">IF($G1063="","Unmatched","Matched")</f>
        <v>Unmatched</v>
      </c>
    </row>
    <row r="1064" customFormat="false" ht="15" hidden="false" customHeight="false" outlineLevel="0" collapsed="false">
      <c r="A1064" s="8" t="s">
        <v>572</v>
      </c>
      <c r="B1064" s="8" t="s">
        <v>757</v>
      </c>
      <c r="C1064" s="19" t="n">
        <v>1</v>
      </c>
      <c r="D1064" s="19" t="n">
        <v>0</v>
      </c>
      <c r="E1064" s="19" t="n">
        <v>0</v>
      </c>
      <c r="F1064" s="19" t="n">
        <v>0</v>
      </c>
      <c r="G1064" s="8" t="str">
        <f aca="false">IFERROR(INDEX('TRANS'!$B:$B,MATCH($B1064,'TRANS'!$A:$A,0)),IFERROR(INDEX('TRANS'!$B:$B,MATCH(TRIM(SUBSTITUTE($B1064,CHAR(160)," ")),'TRANS'!$D:$D,0)),IFERROR(INDEX('Catalog'!$A:$A,MATCH($B1064,'Catalog'!$B:$B,0)),IFERROR(INDEX('Catalog'!$A:$A,MATCH(TRIM(SUBSTITUTE($B1064,CHAR(160)," ")),'Catalog'!$C:$C,0)),""))))</f>
        <v/>
      </c>
      <c r="H1064" s="8" t="str">
        <f aca="false">IFERROR(INDEX('TRANS'!$C:$C,MATCH($B1064,'TRANS'!$A:$A,0)),IFERROR(INDEX('Catalog'!$B:$B,MATCH($G1064,'Catalog'!$A:$A,0)),$B1064))</f>
        <v>T79B S</v>
      </c>
      <c r="I1064" s="8" t="str">
        <f aca="false">IF($G1064="","Unmatched","Matched")</f>
        <v>Unmatched</v>
      </c>
    </row>
    <row r="1065" customFormat="false" ht="15" hidden="false" customHeight="false" outlineLevel="0" collapsed="false">
      <c r="A1065" s="8" t="s">
        <v>572</v>
      </c>
      <c r="B1065" s="8" t="s">
        <v>758</v>
      </c>
      <c r="C1065" s="19" t="n">
        <v>1</v>
      </c>
      <c r="D1065" s="19" t="n">
        <v>0.01</v>
      </c>
      <c r="E1065" s="19" t="n">
        <v>0</v>
      </c>
      <c r="F1065" s="19" t="n">
        <v>0</v>
      </c>
      <c r="G1065" s="8" t="str">
        <f aca="false">IFERROR(INDEX('TRANS'!$B:$B,MATCH($B1065,'TRANS'!$A:$A,0)),IFERROR(INDEX('TRANS'!$B:$B,MATCH(TRIM(SUBSTITUTE($B1065,CHAR(160)," ")),'TRANS'!$D:$D,0)),IFERROR(INDEX('Catalog'!$A:$A,MATCH($B1065,'Catalog'!$B:$B,0)),IFERROR(INDEX('Catalog'!$A:$A,MATCH(TRIM(SUBSTITUTE($B1065,CHAR(160)," ")),'Catalog'!$C:$C,0)),""))))</f>
        <v/>
      </c>
      <c r="H1065" s="8" t="str">
        <f aca="false">IFERROR(INDEX('TRANS'!$C:$C,MATCH($B1065,'TRANS'!$A:$A,0)),IFERROR(INDEX('Catalog'!$B:$B,MATCH($G1065,'Catalog'!$A:$A,0)),$B1065))</f>
        <v>T79B XS</v>
      </c>
      <c r="I1065" s="8" t="str">
        <f aca="false">IF($G1065="","Unmatched","Matched")</f>
        <v>Unmatched</v>
      </c>
    </row>
    <row r="1066" customFormat="false" ht="15" hidden="false" customHeight="false" outlineLevel="0" collapsed="false">
      <c r="A1066" s="8" t="s">
        <v>572</v>
      </c>
      <c r="B1066" s="8" t="s">
        <v>516</v>
      </c>
      <c r="C1066" s="19" t="n">
        <v>1</v>
      </c>
      <c r="D1066" s="19" t="n">
        <v>30</v>
      </c>
      <c r="E1066" s="19" t="n">
        <v>0</v>
      </c>
      <c r="F1066" s="19" t="n">
        <v>0</v>
      </c>
      <c r="G1066" s="8" t="str">
        <f aca="false">IFERROR(INDEX('TRANS'!$B:$B,MATCH($B1066,'TRANS'!$A:$A,0)),IFERROR(INDEX('TRANS'!$B:$B,MATCH(TRIM(SUBSTITUTE($B1066,CHAR(160)," ")),'TRANS'!$D:$D,0)),IFERROR(INDEX('Catalog'!$A:$A,MATCH($B1066,'Catalog'!$B:$B,0)),IFERROR(INDEX('Catalog'!$A:$A,MATCH(TRIM(SUBSTITUTE($B1066,CHAR(160)," ")),'Catalog'!$C:$C,0)),""))))</f>
        <v/>
      </c>
      <c r="H1066" s="8" t="str">
        <f aca="false">IFERROR(INDEX('TRANS'!$C:$C,MATCH($B1066,'TRANS'!$A:$A,0)),IFERROR(INDEX('Catalog'!$B:$B,MATCH($G1066,'Catalog'!$A:$A,0)),$B1066))</f>
        <v>M94</v>
      </c>
      <c r="I1066" s="8" t="str">
        <f aca="false">IF($G1066="","Unmatched","Matched")</f>
        <v>Unmatched</v>
      </c>
    </row>
    <row r="1067" customFormat="false" ht="15" hidden="false" customHeight="false" outlineLevel="0" collapsed="false">
      <c r="A1067" s="8" t="s">
        <v>572</v>
      </c>
      <c r="B1067" s="8" t="s">
        <v>103</v>
      </c>
      <c r="C1067" s="19" t="n">
        <v>6</v>
      </c>
      <c r="D1067" s="19" t="n">
        <v>113.17</v>
      </c>
      <c r="E1067" s="19" t="n">
        <v>-12</v>
      </c>
      <c r="F1067" s="19" t="n">
        <v>-230.04</v>
      </c>
      <c r="G1067" s="8" t="n">
        <f aca="false">IFERROR(INDEX('TRANS'!$B:$B,MATCH($B1067,'TRANS'!$A:$A,0)),IFERROR(INDEX('TRANS'!$B:$B,MATCH(TRIM(SUBSTITUTE($B1067,CHAR(160)," ")),'TRANS'!$D:$D,0)),IFERROR(INDEX('Catalog'!$A:$A,MATCH($B1067,'Catalog'!$B:$B,0)),IFERROR(INDEX('Catalog'!$A:$A,MATCH(TRIM(SUBSTITUTE($B1067,CHAR(160)," ")),'Catalog'!$C:$C,0)),""))))</f>
        <v>4419011</v>
      </c>
      <c r="H1067" s="8" t="str">
        <f aca="false">IFERROR(INDEX('TRANS'!$C:$C,MATCH($B1067,'TRANS'!$A:$A,0)),IFERROR(INDEX('Catalog'!$B:$B,MATCH($G1067,'Catalog'!$A:$A,0)),$B1067))</f>
        <v>239B S-M STRAP4U</v>
      </c>
      <c r="I1067" s="8" t="str">
        <f aca="false">IF($G1067="","Unmatched","Matched")</f>
        <v>Matched</v>
      </c>
    </row>
    <row r="1068" customFormat="false" ht="15" hidden="false" customHeight="false" outlineLevel="0" collapsed="false">
      <c r="A1068" s="8" t="s">
        <v>572</v>
      </c>
      <c r="B1068" s="8" t="s">
        <v>471</v>
      </c>
      <c r="C1068" s="19" t="n">
        <v>6</v>
      </c>
      <c r="D1068" s="19" t="n">
        <v>113.17</v>
      </c>
      <c r="E1068" s="19" t="n">
        <v>-12</v>
      </c>
      <c r="F1068" s="19" t="n">
        <v>-230.04</v>
      </c>
      <c r="G1068" s="8" t="str">
        <f aca="false">IFERROR(INDEX('TRANS'!$B:$B,MATCH($B1068,'TRANS'!$A:$A,0)),IFERROR(INDEX('TRANS'!$B:$B,MATCH(TRIM(SUBSTITUTE($B1068,CHAR(160)," ")),'TRANS'!$D:$D,0)),IFERROR(INDEX('Catalog'!$A:$A,MATCH($B1068,'Catalog'!$B:$B,0)),IFERROR(INDEX('Catalog'!$A:$A,MATCH(TRIM(SUBSTITUTE($B1068,CHAR(160)," ")),'Catalog'!$C:$C,0)),""))))</f>
        <v/>
      </c>
      <c r="H1068" s="8" t="str">
        <f aca="false">IFERROR(INDEX('TRANS'!$C:$C,MATCH($B1068,'TRANS'!$A:$A,0)),IFERROR(INDEX('Catalog'!$B:$B,MATCH($G1068,'Catalog'!$A:$A,0)),$B1068))</f>
        <v>239P-S-M</v>
      </c>
      <c r="I1068" s="8" t="str">
        <f aca="false">IF($G1068="","Unmatched","Matched")</f>
        <v>Unmatched</v>
      </c>
    </row>
    <row r="1069" customFormat="false" ht="15" hidden="false" customHeight="false" outlineLevel="0" collapsed="false">
      <c r="A1069" s="8" t="s">
        <v>572</v>
      </c>
      <c r="B1069" s="8" t="s">
        <v>124</v>
      </c>
      <c r="C1069" s="19" t="n">
        <v>11</v>
      </c>
      <c r="D1069" s="19" t="n">
        <v>183.7</v>
      </c>
      <c r="E1069" s="19" t="n">
        <v>2</v>
      </c>
      <c r="F1069" s="19" t="n">
        <v>37.41</v>
      </c>
      <c r="G1069" s="8" t="n">
        <f aca="false">IFERROR(INDEX('TRANS'!$B:$B,MATCH($B1069,'TRANS'!$A:$A,0)),IFERROR(INDEX('TRANS'!$B:$B,MATCH(TRIM(SUBSTITUTE($B1069,CHAR(160)," ")),'TRANS'!$D:$D,0)),IFERROR(INDEX('Catalog'!$A:$A,MATCH($B1069,'Catalog'!$B:$B,0)),IFERROR(INDEX('Catalog'!$A:$A,MATCH(TRIM(SUBSTITUTE($B1069,CHAR(160)," ")),'Catalog'!$C:$C,0)),""))))</f>
        <v>4413033</v>
      </c>
      <c r="H1069" s="8" t="str">
        <f aca="false">IFERROR(INDEX('TRANS'!$C:$C,MATCH($B1069,'TRANS'!$A:$A,0)),IFERROR(INDEX('Catalog'!$B:$B,MATCH($G1069,'Catalog'!$A:$A,0)),$B1069))</f>
        <v>311'מדב.ג'ל למניעת שפשוף 5 יח</v>
      </c>
      <c r="I1069" s="8" t="str">
        <f aca="false">IF($G1069="","Unmatched","Matched")</f>
        <v>Matched</v>
      </c>
    </row>
    <row r="1070" customFormat="false" ht="15" hidden="false" customHeight="false" outlineLevel="0" collapsed="false">
      <c r="A1070" s="8" t="s">
        <v>572</v>
      </c>
      <c r="B1070" s="8" t="s">
        <v>759</v>
      </c>
      <c r="C1070" s="19" t="n">
        <v>5</v>
      </c>
      <c r="D1070" s="19" t="n">
        <v>444.99</v>
      </c>
      <c r="E1070" s="19" t="n">
        <v>0</v>
      </c>
      <c r="F1070" s="19" t="n">
        <v>0</v>
      </c>
      <c r="G1070" s="8" t="str">
        <f aca="false">IFERROR(INDEX('TRANS'!$B:$B,MATCH($B1070,'TRANS'!$A:$A,0)),IFERROR(INDEX('TRANS'!$B:$B,MATCH(TRIM(SUBSTITUTE($B1070,CHAR(160)," ")),'TRANS'!$D:$D,0)),IFERROR(INDEX('Catalog'!$A:$A,MATCH($B1070,'Catalog'!$B:$B,0)),IFERROR(INDEX('Catalog'!$A:$A,MATCH(TRIM(SUBSTITUTE($B1070,CHAR(160)," ")),'Catalog'!$C:$C,0)),""))))</f>
        <v/>
      </c>
      <c r="H1070" s="8" t="str">
        <f aca="false">IFERROR(INDEX('TRANS'!$C:$C,MATCH($B1070,'TRANS'!$A:$A,0)),IFERROR(INDEX('Catalog'!$B:$B,MATCH($G1070,'Catalog'!$A:$A,0)),$B1070))</f>
        <v>422EU XXXL</v>
      </c>
      <c r="I1070" s="8" t="str">
        <f aca="false">IF($G1070="","Unmatched","Matched")</f>
        <v>Unmatched</v>
      </c>
    </row>
    <row r="1071" customFormat="false" ht="15" hidden="false" customHeight="false" outlineLevel="0" collapsed="false">
      <c r="A1071" s="8" t="s">
        <v>572</v>
      </c>
      <c r="B1071" s="8" t="s">
        <v>439</v>
      </c>
      <c r="C1071" s="19" t="n">
        <v>5</v>
      </c>
      <c r="D1071" s="19" t="n">
        <v>401.15</v>
      </c>
      <c r="E1071" s="19" t="n">
        <v>1</v>
      </c>
      <c r="F1071" s="19" t="n">
        <v>93.67</v>
      </c>
      <c r="G1071" s="8" t="n">
        <f aca="false">IFERROR(INDEX('TRANS'!$B:$B,MATCH($B1071,'TRANS'!$A:$A,0)),IFERROR(INDEX('TRANS'!$B:$B,MATCH(TRIM(SUBSTITUTE($B1071,CHAR(160)," ")),'TRANS'!$D:$D,0)),IFERROR(INDEX('Catalog'!$A:$A,MATCH($B1071,'Catalog'!$B:$B,0)),IFERROR(INDEX('Catalog'!$A:$A,MATCH(TRIM(SUBSTITUTE($B1071,CHAR(160)," ")),'Catalog'!$C:$C,0)),""))))</f>
        <v>4413408</v>
      </c>
      <c r="H1071" s="8" t="str">
        <f aca="false">IFERROR(INDEX('TRANS'!$C:$C,MATCH($B1071,'TRANS'!$A:$A,0)),IFERROR(INDEX('Catalog'!$B:$B,MATCH($G1071,'Catalog'!$A:$A,0)),$B1071))</f>
        <v>SC95 XLמגן מרפק</v>
      </c>
      <c r="I1071" s="8" t="str">
        <f aca="false">IF($G1071="","Unmatched","Matched")</f>
        <v>Matched</v>
      </c>
    </row>
    <row r="1072" customFormat="false" ht="15" hidden="false" customHeight="false" outlineLevel="0" collapsed="false">
      <c r="A1072" s="8" t="s">
        <v>572</v>
      </c>
      <c r="B1072" s="8" t="s">
        <v>760</v>
      </c>
      <c r="C1072" s="19" t="n">
        <v>1</v>
      </c>
      <c r="D1072" s="19" t="n">
        <v>165</v>
      </c>
      <c r="E1072" s="19" t="n">
        <v>1</v>
      </c>
      <c r="F1072" s="19" t="n">
        <v>165</v>
      </c>
      <c r="G1072" s="8" t="str">
        <f aca="false">IFERROR(INDEX('TRANS'!$B:$B,MATCH($B1072,'TRANS'!$A:$A,0)),IFERROR(INDEX('TRANS'!$B:$B,MATCH(TRIM(SUBSTITUTE($B1072,CHAR(160)," ")),'TRANS'!$D:$D,0)),IFERROR(INDEX('Catalog'!$A:$A,MATCH($B1072,'Catalog'!$B:$B,0)),IFERROR(INDEX('Catalog'!$A:$A,MATCH(TRIM(SUBSTITUTE($B1072,CHAR(160)," ")),'Catalog'!$C:$C,0)),""))))</f>
        <v/>
      </c>
      <c r="H1072" s="8" t="str">
        <f aca="false">IFERROR(INDEX('TRANS'!$C:$C,MATCH($B1072,'TRANS'!$A:$A,0)),IFERROR(INDEX('Catalog'!$B:$B,MATCH($G1072,'Catalog'!$A:$A,0)),$B1072))</f>
        <v>11NOR XL</v>
      </c>
      <c r="I1072" s="8" t="str">
        <f aca="false">IF($G1072="","Unmatched","Matched")</f>
        <v>Unmatched</v>
      </c>
    </row>
    <row r="1073" customFormat="false" ht="15" hidden="false" customHeight="false" outlineLevel="0" collapsed="false">
      <c r="A1073" s="8" t="s">
        <v>572</v>
      </c>
      <c r="B1073" s="8" t="s">
        <v>463</v>
      </c>
      <c r="C1073" s="19" t="n">
        <v>0</v>
      </c>
      <c r="D1073" s="19" t="n">
        <v>0</v>
      </c>
      <c r="E1073" s="19" t="n">
        <v>7</v>
      </c>
      <c r="F1073" s="19" t="n">
        <v>327.79</v>
      </c>
      <c r="G1073" s="8" t="n">
        <f aca="false">IFERROR(INDEX('TRANS'!$B:$B,MATCH($B1073,'TRANS'!$A:$A,0)),IFERROR(INDEX('TRANS'!$B:$B,MATCH(TRIM(SUBSTITUTE($B1073,CHAR(160)," ")),'TRANS'!$D:$D,0)),IFERROR(INDEX('Catalog'!$A:$A,MATCH($B1073,'Catalog'!$B:$B,0)),IFERROR(INDEX('Catalog'!$A:$A,MATCH(TRIM(SUBSTITUTE($B1073,CHAR(160)," ")),'Catalog'!$C:$C,0)),""))))</f>
        <v>4408275</v>
      </c>
      <c r="H1073" s="8" t="str">
        <f aca="false">IFERROR(INDEX('TRANS'!$C:$C,MATCH($B1073,'TRANS'!$A:$A,0)),IFERROR(INDEX('Catalog'!$B:$B,MATCH($G1073,'Catalog'!$A:$A,0)),$B1073))</f>
        <v>202  ONE SIZE חבק יד</v>
      </c>
      <c r="I1073" s="8" t="str">
        <f aca="false">IF($G1073="","Unmatched","Matched")</f>
        <v>Matched</v>
      </c>
    </row>
    <row r="1074" customFormat="false" ht="15" hidden="false" customHeight="false" outlineLevel="0" collapsed="false">
      <c r="A1074" s="8" t="s">
        <v>572</v>
      </c>
      <c r="B1074" s="8" t="s">
        <v>97</v>
      </c>
      <c r="C1074" s="19" t="n">
        <v>5</v>
      </c>
      <c r="D1074" s="19" t="n">
        <v>190.2</v>
      </c>
      <c r="E1074" s="19" t="n">
        <v>3</v>
      </c>
      <c r="F1074" s="19" t="n">
        <v>119.38</v>
      </c>
      <c r="G1074" s="8" t="n">
        <f aca="false">IFERROR(INDEX('TRANS'!$B:$B,MATCH($B1074,'TRANS'!$A:$A,0)),IFERROR(INDEX('TRANS'!$B:$B,MATCH(TRIM(SUBSTITUTE($B1074,CHAR(160)," ")),'TRANS'!$D:$D,0)),IFERROR(INDEX('Catalog'!$A:$A,MATCH($B1074,'Catalog'!$B:$B,0)),IFERROR(INDEX('Catalog'!$A:$A,MATCH(TRIM(SUBSTITUTE($B1074,CHAR(160)," ")),'Catalog'!$C:$C,0)),""))))</f>
        <v>4411022</v>
      </c>
      <c r="H1074" s="8" t="str">
        <f aca="false">IFERROR(INDEX('TRANS'!$C:$C,MATCH($B1074,'TRANS'!$A:$A,0)),IFERROR(INDEX('Catalog'!$B:$B,MATCH($G1074,'Catalog'!$A:$A,0)),$B1074))</f>
        <v>212M כפפות אגודל לחץ</v>
      </c>
      <c r="I1074" s="8" t="str">
        <f aca="false">IF($G1074="","Unmatched","Matched")</f>
        <v>Matched</v>
      </c>
    </row>
    <row r="1075" customFormat="false" ht="15" hidden="false" customHeight="false" outlineLevel="0" collapsed="false">
      <c r="A1075" s="8" t="s">
        <v>572</v>
      </c>
      <c r="B1075" s="8" t="s">
        <v>154</v>
      </c>
      <c r="C1075" s="19" t="n">
        <v>14</v>
      </c>
      <c r="D1075" s="19" t="n">
        <v>294.63</v>
      </c>
      <c r="E1075" s="19" t="n">
        <v>13</v>
      </c>
      <c r="F1075" s="19" t="n">
        <v>273.58</v>
      </c>
      <c r="G1075" s="8" t="n">
        <f aca="false">IFERROR(INDEX('TRANS'!$B:$B,MATCH($B1075,'TRANS'!$A:$A,0)),IFERROR(INDEX('TRANS'!$B:$B,MATCH(TRIM(SUBSTITUTE($B1075,CHAR(160)," ")),'TRANS'!$D:$D,0)),IFERROR(INDEX('Catalog'!$A:$A,MATCH($B1075,'Catalog'!$B:$B,0)),IFERROR(INDEX('Catalog'!$A:$A,MATCH(TRIM(SUBSTITUTE($B1075,CHAR(160)," ")),'Catalog'!$C:$C,0)),""))))</f>
        <v>4413061</v>
      </c>
      <c r="H1075" s="8" t="str">
        <f aca="false">IFERROR(INDEX('TRANS'!$C:$C,MATCH($B1075,'TRANS'!$A:$A,0)),IFERROR(INDEX('Catalog'!$B:$B,MATCH($G1075,'Catalog'!$A:$A,0)),$B1075))</f>
        <v>3641-מיישר בוהן סיליקון קשיח</v>
      </c>
      <c r="I1075" s="8" t="str">
        <f aca="false">IF($G1075="","Unmatched","Matched")</f>
        <v>Matched</v>
      </c>
    </row>
    <row r="1076" customFormat="false" ht="15" hidden="false" customHeight="false" outlineLevel="0" collapsed="false">
      <c r="A1076" s="8" t="s">
        <v>572</v>
      </c>
      <c r="B1076" s="8" t="s">
        <v>761</v>
      </c>
      <c r="C1076" s="19" t="n">
        <v>10</v>
      </c>
      <c r="D1076" s="19" t="n">
        <v>270</v>
      </c>
      <c r="E1076" s="19" t="n">
        <v>0</v>
      </c>
      <c r="F1076" s="19" t="n">
        <v>0</v>
      </c>
      <c r="G1076" s="8" t="n">
        <f aca="false">IFERROR(INDEX('TRANS'!$B:$B,MATCH($B1076,'TRANS'!$A:$A,0)),IFERROR(INDEX('TRANS'!$B:$B,MATCH(TRIM(SUBSTITUTE($B1076,CHAR(160)," ")),'TRANS'!$D:$D,0)),IFERROR(INDEX('Catalog'!$A:$A,MATCH($B1076,'Catalog'!$B:$B,0)),IFERROR(INDEX('Catalog'!$A:$A,MATCH(TRIM(SUBSTITUTE($B1076,CHAR(160)," ")),'Catalog'!$C:$C,0)),""))))</f>
        <v>4403006</v>
      </c>
      <c r="H1076" s="8" t="str">
        <f aca="false">IFERROR(INDEX('TRANS'!$C:$C,MATCH($B1076,'TRANS'!$A:$A,0)),IFERROR(INDEX('Catalog'!$B:$B,MATCH($G1076,'Catalog'!$A:$A,0)),$B1076))</f>
        <v>390W גרב כסף לסכרתיים לבן35-38</v>
      </c>
      <c r="I1076" s="8" t="str">
        <f aca="false">IF($G1076="","Unmatched","Matched")</f>
        <v>Matched</v>
      </c>
    </row>
    <row r="1077" customFormat="false" ht="15" hidden="false" customHeight="false" outlineLevel="0" collapsed="false">
      <c r="A1077" s="8" t="s">
        <v>572</v>
      </c>
      <c r="B1077" s="8" t="s">
        <v>242</v>
      </c>
      <c r="C1077" s="19" t="n">
        <v>2</v>
      </c>
      <c r="D1077" s="19" t="n">
        <v>34.59</v>
      </c>
      <c r="E1077" s="19" t="n">
        <v>0</v>
      </c>
      <c r="F1077" s="19" t="n">
        <v>0</v>
      </c>
      <c r="G1077" s="8" t="n">
        <f aca="false">IFERROR(INDEX('TRANS'!$B:$B,MATCH($B1077,'TRANS'!$A:$A,0)),IFERROR(INDEX('TRANS'!$B:$B,MATCH(TRIM(SUBSTITUTE($B1077,CHAR(160)," ")),'TRANS'!$D:$D,0)),IFERROR(INDEX('Catalog'!$A:$A,MATCH($B1077,'Catalog'!$B:$B,0)),IFERROR(INDEX('Catalog'!$A:$A,MATCH(TRIM(SUBSTITUTE($B1077,CHAR(160)," ")),'Catalog'!$C:$C,0)),""))))</f>
        <v>4401012</v>
      </c>
      <c r="H1077" s="8" t="str">
        <f aca="false">IFERROR(INDEX('TRANS'!$C:$C,MATCH($B1077,'TRANS'!$A:$A,0)),IFERROR(INDEX('Catalog'!$B:$B,MATCH($G1077,'Catalog'!$A:$A,0)),$B1077))</f>
        <v>805AT-B אתלטיק טייפ שחור 20מ""""מ</v>
      </c>
      <c r="I1077" s="8" t="str">
        <f aca="false">IF($G1077="","Unmatched","Matched")</f>
        <v>Matched</v>
      </c>
    </row>
    <row r="1078" customFormat="false" ht="15" hidden="false" customHeight="false" outlineLevel="0" collapsed="false">
      <c r="A1078" s="8" t="s">
        <v>572</v>
      </c>
      <c r="B1078" s="8" t="s">
        <v>283</v>
      </c>
      <c r="C1078" s="19" t="n">
        <v>0</v>
      </c>
      <c r="D1078" s="19" t="n">
        <v>0</v>
      </c>
      <c r="E1078" s="19" t="n">
        <v>8</v>
      </c>
      <c r="F1078" s="19" t="n">
        <v>292.13</v>
      </c>
      <c r="G1078" s="8" t="n">
        <f aca="false">IFERROR(INDEX('TRANS'!$B:$B,MATCH($B1078,'TRANS'!$A:$A,0)),IFERROR(INDEX('TRANS'!$B:$B,MATCH(TRIM(SUBSTITUTE($B1078,CHAR(160)," ")),'TRANS'!$D:$D,0)),IFERROR(INDEX('Catalog'!$A:$A,MATCH($B1078,'Catalog'!$B:$B,0)),IFERROR(INDEX('Catalog'!$A:$A,MATCH(TRIM(SUBSTITUTE($B1078,CHAR(160)," ")),'Catalog'!$C:$C,0)),""))))</f>
        <v>4414000</v>
      </c>
      <c r="H1078" s="8" t="str">
        <f aca="false">IFERROR(INDEX('TRANS'!$C:$C,MATCH($B1078,'TRANS'!$A:$A,0)),IFERROR(INDEX('Catalog'!$B:$B,MATCH($G1078,'Catalog'!$A:$A,0)),$B1078))</f>
        <v>FC342-נוזל לציפורן חודרנית</v>
      </c>
      <c r="I1078" s="8" t="str">
        <f aca="false">IF($G1078="","Unmatched","Matched")</f>
        <v>Matched</v>
      </c>
    </row>
    <row r="1079" customFormat="false" ht="15" hidden="false" customHeight="false" outlineLevel="0" collapsed="false">
      <c r="A1079" s="8" t="s">
        <v>572</v>
      </c>
      <c r="B1079" s="8" t="s">
        <v>287</v>
      </c>
      <c r="C1079" s="19" t="n">
        <v>82</v>
      </c>
      <c r="D1079" s="19" t="n">
        <v>1183.43</v>
      </c>
      <c r="E1079" s="19" t="n">
        <v>48</v>
      </c>
      <c r="F1079" s="19" t="n">
        <v>695.16</v>
      </c>
      <c r="G1079" s="8" t="n">
        <f aca="false">IFERROR(INDEX('TRANS'!$B:$B,MATCH($B1079,'TRANS'!$A:$A,0)),IFERROR(INDEX('TRANS'!$B:$B,MATCH(TRIM(SUBSTITUTE($B1079,CHAR(160)," ")),'TRANS'!$D:$D,0)),IFERROR(INDEX('Catalog'!$A:$A,MATCH($B1079,'Catalog'!$B:$B,0)),IFERROR(INDEX('Catalog'!$A:$A,MATCH(TRIM(SUBSTITUTE($B1079,CHAR(160)," ")),'Catalog'!$C:$C,0)),""))))</f>
        <v>4419006</v>
      </c>
      <c r="H1079" s="8" t="str">
        <f aca="false">IFERROR(INDEX('TRANS'!$C:$C,MATCH($B1079,'TRANS'!$A:$A,0)),IFERROR(INDEX('Catalog'!$B:$B,MATCH($G1079,'Catalog'!$A:$A,0)),$B1079))</f>
        <v>PD340-קוצץ ציפורניים</v>
      </c>
      <c r="I1079" s="8" t="str">
        <f aca="false">IF($G1079="","Unmatched","Matched")</f>
        <v>Matched</v>
      </c>
    </row>
    <row r="1080" customFormat="false" ht="15" hidden="false" customHeight="false" outlineLevel="0" collapsed="false">
      <c r="A1080" s="8" t="s">
        <v>572</v>
      </c>
      <c r="B1080" s="8" t="s">
        <v>294</v>
      </c>
      <c r="C1080" s="19" t="n">
        <v>1</v>
      </c>
      <c r="D1080" s="19" t="n">
        <v>93.67</v>
      </c>
      <c r="E1080" s="19" t="n">
        <v>0</v>
      </c>
      <c r="F1080" s="19" t="n">
        <v>0</v>
      </c>
      <c r="G1080" s="8" t="n">
        <f aca="false">IFERROR(INDEX('TRANS'!$B:$B,MATCH($B1080,'TRANS'!$A:$A,0)),IFERROR(INDEX('TRANS'!$B:$B,MATCH(TRIM(SUBSTITUTE($B1080,CHAR(160)," ")),'TRANS'!$D:$D,0)),IFERROR(INDEX('Catalog'!$A:$A,MATCH($B1080,'Catalog'!$B:$B,0)),IFERROR(INDEX('Catalog'!$A:$A,MATCH(TRIM(SUBSTITUTE($B1080,CHAR(160)," ")),'Catalog'!$C:$C,0)),""))))</f>
        <v>4408247</v>
      </c>
      <c r="H1080" s="8" t="str">
        <f aca="false">IFERROR(INDEX('TRANS'!$C:$C,MATCH($B1080,'TRANS'!$A:$A,0)),IFERROR(INDEX('Catalog'!$B:$B,MATCH($G1080,'Catalog'!$A:$A,0)),$B1080))</f>
        <v>SC25  S חבק יד</v>
      </c>
      <c r="I1080" s="8" t="str">
        <f aca="false">IF($G1080="","Unmatched","Matched")</f>
        <v>Matched</v>
      </c>
    </row>
    <row r="1081" customFormat="false" ht="15" hidden="false" customHeight="false" outlineLevel="0" collapsed="false">
      <c r="A1081" s="8" t="s">
        <v>572</v>
      </c>
      <c r="B1081" s="8" t="s">
        <v>762</v>
      </c>
      <c r="C1081" s="19" t="n">
        <v>0</v>
      </c>
      <c r="D1081" s="19" t="n">
        <v>0</v>
      </c>
      <c r="E1081" s="19" t="n">
        <v>1</v>
      </c>
      <c r="F1081" s="19" t="n">
        <v>165</v>
      </c>
      <c r="G1081" s="8" t="str">
        <f aca="false">IFERROR(INDEX('TRANS'!$B:$B,MATCH($B1081,'TRANS'!$A:$A,0)),IFERROR(INDEX('TRANS'!$B:$B,MATCH(TRIM(SUBSTITUTE($B1081,CHAR(160)," ")),'TRANS'!$D:$D,0)),IFERROR(INDEX('Catalog'!$A:$A,MATCH($B1081,'Catalog'!$B:$B,0)),IFERROR(INDEX('Catalog'!$A:$A,MATCH(TRIM(SUBSTITUTE($B1081,CHAR(160)," ")),'Catalog'!$C:$C,0)),""))))</f>
        <v/>
      </c>
      <c r="H1081" s="8" t="str">
        <f aca="false">IFERROR(INDEX('TRANS'!$C:$C,MATCH($B1081,'TRANS'!$A:$A,0)),IFERROR(INDEX('Catalog'!$B:$B,MATCH($G1081,'Catalog'!$A:$A,0)),$B1081))</f>
        <v>11NOR XXL</v>
      </c>
      <c r="I1081" s="8" t="str">
        <f aca="false">IF($G1081="","Unmatched","Matched")</f>
        <v>Unmatched</v>
      </c>
    </row>
    <row r="1082" customFormat="false" ht="15" hidden="false" customHeight="false" outlineLevel="0" collapsed="false">
      <c r="A1082" s="8" t="s">
        <v>572</v>
      </c>
      <c r="B1082" s="8" t="s">
        <v>763</v>
      </c>
      <c r="C1082" s="19" t="n">
        <v>1</v>
      </c>
      <c r="D1082" s="19" t="n">
        <v>214.35</v>
      </c>
      <c r="E1082" s="19" t="n">
        <v>0</v>
      </c>
      <c r="F1082" s="19" t="n">
        <v>0</v>
      </c>
      <c r="G1082" s="8" t="str">
        <f aca="false">IFERROR(INDEX('TRANS'!$B:$B,MATCH($B1082,'TRANS'!$A:$A,0)),IFERROR(INDEX('TRANS'!$B:$B,MATCH(TRIM(SUBSTITUTE($B1082,CHAR(160)," ")),'TRANS'!$D:$D,0)),IFERROR(INDEX('Catalog'!$A:$A,MATCH($B1082,'Catalog'!$B:$B,0)),IFERROR(INDEX('Catalog'!$A:$A,MATCH(TRIM(SUBSTITUTE($B1082,CHAR(160)," ")),'Catalog'!$C:$C,0)),""))))</f>
        <v/>
      </c>
      <c r="H1082" s="8" t="str">
        <f aca="false">IFERROR(INDEX('TRANS'!$C:$C,MATCH($B1082,'TRANS'!$A:$A,0)),IFERROR(INDEX('Catalog'!$B:$B,MATCH($G1082,'Catalog'!$A:$A,0)),$B1082))</f>
        <v>70 L</v>
      </c>
      <c r="I1082" s="8" t="str">
        <f aca="false">IF($G1082="","Unmatched","Matched")</f>
        <v>Unmatched</v>
      </c>
    </row>
    <row r="1083" customFormat="false" ht="15" hidden="false" customHeight="false" outlineLevel="0" collapsed="false">
      <c r="A1083" s="8" t="s">
        <v>572</v>
      </c>
      <c r="B1083" s="8" t="s">
        <v>764</v>
      </c>
      <c r="C1083" s="19" t="n">
        <v>4</v>
      </c>
      <c r="D1083" s="19" t="n">
        <v>881.7</v>
      </c>
      <c r="E1083" s="19" t="n">
        <v>0</v>
      </c>
      <c r="F1083" s="19" t="n">
        <v>0</v>
      </c>
      <c r="G1083" s="8" t="str">
        <f aca="false">IFERROR(INDEX('TRANS'!$B:$B,MATCH($B1083,'TRANS'!$A:$A,0)),IFERROR(INDEX('TRANS'!$B:$B,MATCH(TRIM(SUBSTITUTE($B1083,CHAR(160)," ")),'TRANS'!$D:$D,0)),IFERROR(INDEX('Catalog'!$A:$A,MATCH($B1083,'Catalog'!$B:$B,0)),IFERROR(INDEX('Catalog'!$A:$A,MATCH(TRIM(SUBSTITUTE($B1083,CHAR(160)," ")),'Catalog'!$C:$C,0)),""))))</f>
        <v/>
      </c>
      <c r="H1083" s="8" t="str">
        <f aca="false">IFERROR(INDEX('TRANS'!$C:$C,MATCH($B1083,'TRANS'!$A:$A,0)),IFERROR(INDEX('Catalog'!$B:$B,MATCH($G1083,'Catalog'!$A:$A,0)),$B1083))</f>
        <v>70 XS</v>
      </c>
      <c r="I1083" s="8" t="str">
        <f aca="false">IF($G1083="","Unmatched","Matched")</f>
        <v>Unmatched</v>
      </c>
    </row>
    <row r="1084" customFormat="false" ht="15" hidden="false" customHeight="false" outlineLevel="0" collapsed="false">
      <c r="A1084" s="8" t="s">
        <v>572</v>
      </c>
      <c r="B1084" s="8" t="s">
        <v>87</v>
      </c>
      <c r="C1084" s="19" t="n">
        <v>1</v>
      </c>
      <c r="D1084" s="19" t="n">
        <v>140.59</v>
      </c>
      <c r="E1084" s="19" t="n">
        <v>0</v>
      </c>
      <c r="F1084" s="19" t="n">
        <v>0</v>
      </c>
      <c r="G1084" s="8" t="str">
        <f aca="false">IFERROR(INDEX('TRANS'!$B:$B,MATCH($B1084,'TRANS'!$A:$A,0)),IFERROR(INDEX('TRANS'!$B:$B,MATCH(TRIM(SUBSTITUTE($B1084,CHAR(160)," ")),'TRANS'!$D:$D,0)),IFERROR(INDEX('Catalog'!$A:$A,MATCH($B1084,'Catalog'!$B:$B,0)),IFERROR(INDEX('Catalog'!$A:$A,MATCH(TRIM(SUBSTITUTE($B1084,CHAR(160)," ")),'Catalog'!$C:$C,0)),""))))</f>
        <v/>
      </c>
      <c r="H1084" s="8" t="str">
        <f aca="false">IFERROR(INDEX('TRANS'!$C:$C,MATCH($B1084,'TRANS'!$A:$A,0)),IFERROR(INDEX('Catalog'!$B:$B,MATCH($G1084,'Catalog'!$A:$A,0)),$B1084))</f>
        <v>15W S</v>
      </c>
      <c r="I1084" s="8" t="str">
        <f aca="false">IF($G1084="","Unmatched","Matched")</f>
        <v>Unmatched</v>
      </c>
    </row>
    <row r="1085" customFormat="false" ht="15" hidden="false" customHeight="false" outlineLevel="0" collapsed="false">
      <c r="A1085" s="8" t="s">
        <v>572</v>
      </c>
      <c r="B1085" s="8" t="s">
        <v>89</v>
      </c>
      <c r="C1085" s="19" t="n">
        <v>1</v>
      </c>
      <c r="D1085" s="19" t="n">
        <v>140.57</v>
      </c>
      <c r="E1085" s="19" t="n">
        <v>0</v>
      </c>
      <c r="F1085" s="19" t="n">
        <v>0</v>
      </c>
      <c r="G1085" s="8" t="str">
        <f aca="false">IFERROR(INDEX('TRANS'!$B:$B,MATCH($B1085,'TRANS'!$A:$A,0)),IFERROR(INDEX('TRANS'!$B:$B,MATCH(TRIM(SUBSTITUTE($B1085,CHAR(160)," ")),'TRANS'!$D:$D,0)),IFERROR(INDEX('Catalog'!$A:$A,MATCH($B1085,'Catalog'!$B:$B,0)),IFERROR(INDEX('Catalog'!$A:$A,MATCH(TRIM(SUBSTITUTE($B1085,CHAR(160)," ")),'Catalog'!$C:$C,0)),""))))</f>
        <v/>
      </c>
      <c r="H1085" s="8" t="str">
        <f aca="false">IFERROR(INDEX('TRANS'!$C:$C,MATCH($B1085,'TRANS'!$A:$A,0)),IFERROR(INDEX('Catalog'!$B:$B,MATCH($G1085,'Catalog'!$A:$A,0)),$B1085))</f>
        <v>15W XXL</v>
      </c>
      <c r="I1085" s="8" t="str">
        <f aca="false">IF($G1085="","Unmatched","Matched")</f>
        <v>Unmatched</v>
      </c>
    </row>
    <row r="1086" customFormat="false" ht="15" hidden="false" customHeight="false" outlineLevel="0" collapsed="false">
      <c r="A1086" s="8" t="s">
        <v>572</v>
      </c>
      <c r="B1086" s="8" t="s">
        <v>765</v>
      </c>
      <c r="C1086" s="19" t="n">
        <v>0</v>
      </c>
      <c r="D1086" s="19" t="n">
        <v>0</v>
      </c>
      <c r="E1086" s="19" t="n">
        <v>1</v>
      </c>
      <c r="F1086" s="19" t="n">
        <v>84.32</v>
      </c>
      <c r="G1086" s="8" t="str">
        <f aca="false">IFERROR(INDEX('TRANS'!$B:$B,MATCH($B1086,'TRANS'!$A:$A,0)),IFERROR(INDEX('TRANS'!$B:$B,MATCH(TRIM(SUBSTITUTE($B1086,CHAR(160)," ")),'TRANS'!$D:$D,0)),IFERROR(INDEX('Catalog'!$A:$A,MATCH($B1086,'Catalog'!$B:$B,0)),IFERROR(INDEX('Catalog'!$A:$A,MATCH(TRIM(SUBSTITUTE($B1086,CHAR(160)," ")),'Catalog'!$C:$C,0)),""))))</f>
        <v/>
      </c>
      <c r="H1086" s="8" t="str">
        <f aca="false">IFERROR(INDEX('TRANS'!$C:$C,MATCH($B1086,'TRANS'!$A:$A,0)),IFERROR(INDEX('Catalog'!$B:$B,MATCH($G1086,'Catalog'!$A:$A,0)),$B1086))</f>
        <v>56B S</v>
      </c>
      <c r="I1086" s="8" t="str">
        <f aca="false">IF($G1086="","Unmatched","Matched")</f>
        <v>Unmatched</v>
      </c>
    </row>
    <row r="1087" customFormat="false" ht="15" hidden="false" customHeight="false" outlineLevel="0" collapsed="false">
      <c r="A1087" s="8" t="s">
        <v>572</v>
      </c>
      <c r="B1087" s="8" t="s">
        <v>766</v>
      </c>
      <c r="C1087" s="19" t="n">
        <v>4</v>
      </c>
      <c r="D1087" s="19" t="n">
        <v>535.26</v>
      </c>
      <c r="E1087" s="19" t="n">
        <v>0</v>
      </c>
      <c r="F1087" s="19" t="n">
        <v>0</v>
      </c>
      <c r="G1087" s="8" t="n">
        <f aca="false">IFERROR(INDEX('TRANS'!$B:$B,MATCH($B1087,'TRANS'!$A:$A,0)),IFERROR(INDEX('TRANS'!$B:$B,MATCH(TRIM(SUBSTITUTE($B1087,CHAR(160)," ")),'TRANS'!$D:$D,0)),IFERROR(INDEX('Catalog'!$A:$A,MATCH($B1087,'Catalog'!$B:$B,0)),IFERROR(INDEX('Catalog'!$A:$A,MATCH(TRIM(SUBSTITUTE($B1087,CHAR(160)," ")),'Catalog'!$C:$C,0)),""))))</f>
        <v>4408148</v>
      </c>
      <c r="H1087" s="8" t="str">
        <f aca="false">IFERROR(INDEX('TRANS'!$C:$C,MATCH($B1087,'TRANS'!$A:$A,0)),IFERROR(INDEX('Catalog'!$B:$B,MATCH($G1087,'Catalog'!$A:$A,0)),$B1087))</f>
        <v>11PS XLחגורה למנותחי בטן</v>
      </c>
      <c r="I1087" s="8" t="str">
        <f aca="false">IF($G1087="","Unmatched","Matched")</f>
        <v>Matched</v>
      </c>
    </row>
    <row r="1088" customFormat="false" ht="15" hidden="false" customHeight="false" outlineLevel="0" collapsed="false">
      <c r="A1088" s="8" t="s">
        <v>572</v>
      </c>
      <c r="B1088" s="8" t="s">
        <v>362</v>
      </c>
      <c r="C1088" s="19" t="n">
        <v>1</v>
      </c>
      <c r="D1088" s="19" t="n">
        <v>30.89</v>
      </c>
      <c r="E1088" s="19" t="n">
        <v>0</v>
      </c>
      <c r="F1088" s="19" t="n">
        <v>0</v>
      </c>
      <c r="G1088" s="8" t="n">
        <f aca="false">IFERROR(INDEX('TRANS'!$B:$B,MATCH($B1088,'TRANS'!$A:$A,0)),IFERROR(INDEX('TRANS'!$B:$B,MATCH(TRIM(SUBSTITUTE($B1088,CHAR(160)," ")),'TRANS'!$D:$D,0)),IFERROR(INDEX('Catalog'!$A:$A,MATCH($B1088,'Catalog'!$B:$B,0)),IFERROR(INDEX('Catalog'!$A:$A,MATCH(TRIM(SUBSTITUTE($B1088,CHAR(160)," ")),'Catalog'!$C:$C,0)),""))))</f>
        <v>4413051</v>
      </c>
      <c r="H1088" s="8" t="str">
        <f aca="false">IFERROR(INDEX('TRANS'!$C:$C,MATCH($B1088,'TRANS'!$A:$A,0)),IFERROR(INDEX('Catalog'!$B:$B,MATCH($G1088,'Catalog'!$A:$A,0)),$B1088))</f>
        <v>35 XXL מגן קרסול לבן</v>
      </c>
      <c r="I1088" s="8" t="str">
        <f aca="false">IF($G1088="","Unmatched","Matched")</f>
        <v>Matched</v>
      </c>
    </row>
    <row r="1089" customFormat="false" ht="15" hidden="false" customHeight="false" outlineLevel="0" collapsed="false">
      <c r="A1089" s="8" t="s">
        <v>572</v>
      </c>
      <c r="B1089" s="8" t="s">
        <v>268</v>
      </c>
      <c r="C1089" s="19" t="n">
        <v>3</v>
      </c>
      <c r="D1089" s="19" t="n">
        <v>219.69</v>
      </c>
      <c r="E1089" s="19" t="n">
        <v>3</v>
      </c>
      <c r="F1089" s="19" t="n">
        <v>220.64</v>
      </c>
      <c r="G1089" s="8" t="n">
        <f aca="false">IFERROR(INDEX('TRANS'!$B:$B,MATCH($B1089,'TRANS'!$A:$A,0)),IFERROR(INDEX('TRANS'!$B:$B,MATCH(TRIM(SUBSTITUTE($B1089,CHAR(160)," ")),'TRANS'!$D:$D,0)),IFERROR(INDEX('Catalog'!$A:$A,MATCH($B1089,'Catalog'!$B:$B,0)),IFERROR(INDEX('Catalog'!$A:$A,MATCH(TRIM(SUBSTITUTE($B1089,CHAR(160)," ")),'Catalog'!$C:$C,0)),""))))</f>
        <v>4408206</v>
      </c>
      <c r="H1089" s="8" t="str">
        <f aca="false">IFERROR(INDEX('TRANS'!$C:$C,MATCH($B1089,'TRANS'!$A:$A,0)),IFERROR(INDEX('Catalog'!$B:$B,MATCH($G1089,'Catalog'!$A:$A,0)),$B1089))</f>
        <v>AC-11 חגורת בטן קלה</v>
      </c>
      <c r="I1089" s="8" t="str">
        <f aca="false">IF($G1089="","Unmatched","Matched")</f>
        <v>Matched</v>
      </c>
    </row>
    <row r="1090" customFormat="false" ht="15" hidden="false" customHeight="false" outlineLevel="0" collapsed="false">
      <c r="A1090" s="8" t="s">
        <v>572</v>
      </c>
      <c r="B1090" s="8" t="s">
        <v>95</v>
      </c>
      <c r="C1090" s="19" t="n">
        <v>2</v>
      </c>
      <c r="D1090" s="19" t="n">
        <v>66.09</v>
      </c>
      <c r="E1090" s="19" t="n">
        <v>1</v>
      </c>
      <c r="F1090" s="19" t="n">
        <v>37.45</v>
      </c>
      <c r="G1090" s="8" t="n">
        <f aca="false">IFERROR(INDEX('TRANS'!$B:$B,MATCH($B1090,'TRANS'!$A:$A,0)),IFERROR(INDEX('TRANS'!$B:$B,MATCH(TRIM(SUBSTITUTE($B1090,CHAR(160)," ")),'TRANS'!$D:$D,0)),IFERROR(INDEX('Catalog'!$A:$A,MATCH($B1090,'Catalog'!$B:$B,0)),IFERROR(INDEX('Catalog'!$A:$A,MATCH(TRIM(SUBSTITUTE($B1090,CHAR(160)," ")),'Catalog'!$C:$C,0)),""))))</f>
        <v>4411019</v>
      </c>
      <c r="H1090" s="8" t="str">
        <f aca="false">IFERROR(INDEX('TRANS'!$C:$C,MATCH($B1090,'TRANS'!$A:$A,0)),IFERROR(INDEX('Catalog'!$B:$B,MATCH($G1090,'Catalog'!$A:$A,0)),$B1090))</f>
        <v>211S כפפות לחץ</v>
      </c>
      <c r="I1090" s="8" t="str">
        <f aca="false">IF($G1090="","Unmatched","Matched")</f>
        <v>Matched</v>
      </c>
    </row>
    <row r="1091" customFormat="false" ht="15" hidden="false" customHeight="false" outlineLevel="0" collapsed="false">
      <c r="A1091" s="8" t="s">
        <v>572</v>
      </c>
      <c r="B1091" s="8" t="s">
        <v>98</v>
      </c>
      <c r="C1091" s="19" t="n">
        <v>3</v>
      </c>
      <c r="D1091" s="19" t="n">
        <v>110.61</v>
      </c>
      <c r="E1091" s="19" t="n">
        <v>2</v>
      </c>
      <c r="F1091" s="19" t="n">
        <v>79.59</v>
      </c>
      <c r="G1091" s="8" t="n">
        <f aca="false">IFERROR(INDEX('TRANS'!$B:$B,MATCH($B1091,'TRANS'!$A:$A,0)),IFERROR(INDEX('TRANS'!$B:$B,MATCH(TRIM(SUBSTITUTE($B1091,CHAR(160)," ")),'TRANS'!$D:$D,0)),IFERROR(INDEX('Catalog'!$A:$A,MATCH($B1091,'Catalog'!$B:$B,0)),IFERROR(INDEX('Catalog'!$A:$A,MATCH(TRIM(SUBSTITUTE($B1091,CHAR(160)," ")),'Catalog'!$C:$C,0)),""))))</f>
        <v>4411023</v>
      </c>
      <c r="H1091" s="8" t="str">
        <f aca="false">IFERROR(INDEX('TRANS'!$C:$C,MATCH($B1091,'TRANS'!$A:$A,0)),IFERROR(INDEX('Catalog'!$B:$B,MATCH($G1091,'Catalog'!$A:$A,0)),$B1091))</f>
        <v>212S כפפות אגודל לחץ</v>
      </c>
      <c r="I1091" s="8" t="str">
        <f aca="false">IF($G1091="","Unmatched","Matched")</f>
        <v>Matched</v>
      </c>
    </row>
    <row r="1092" customFormat="false" ht="15" hidden="false" customHeight="false" outlineLevel="0" collapsed="false">
      <c r="A1092" s="8" t="s">
        <v>572</v>
      </c>
      <c r="B1092" s="8" t="s">
        <v>767</v>
      </c>
      <c r="C1092" s="19" t="n">
        <v>0</v>
      </c>
      <c r="D1092" s="19" t="n">
        <v>0</v>
      </c>
      <c r="E1092" s="19" t="n">
        <v>-1</v>
      </c>
      <c r="F1092" s="19" t="n">
        <v>-524.93</v>
      </c>
      <c r="G1092" s="8" t="str">
        <f aca="false">IFERROR(INDEX('TRANS'!$B:$B,MATCH($B1092,'TRANS'!$A:$A,0)),IFERROR(INDEX('TRANS'!$B:$B,MATCH(TRIM(SUBSTITUTE($B1092,CHAR(160)," ")),'TRANS'!$D:$D,0)),IFERROR(INDEX('Catalog'!$A:$A,MATCH($B1092,'Catalog'!$B:$B,0)),IFERROR(INDEX('Catalog'!$A:$A,MATCH(TRIM(SUBSTITUTE($B1092,CHAR(160)," ")),'Catalog'!$C:$C,0)),""))))</f>
        <v/>
      </c>
      <c r="H1092" s="8" t="str">
        <f aca="false">IFERROR(INDEX('TRANS'!$C:$C,MATCH($B1092,'TRANS'!$A:$A,0)),IFERROR(INDEX('Catalog'!$B:$B,MATCH($G1092,'Catalog'!$A:$A,0)),$B1092))</f>
        <v>MSG001FW</v>
      </c>
      <c r="I1092" s="8" t="str">
        <f aca="false">IF($G1092="","Unmatched","Matched")</f>
        <v>Unmatched</v>
      </c>
    </row>
    <row r="1093" customFormat="false" ht="15" hidden="false" customHeight="false" outlineLevel="0" collapsed="false">
      <c r="A1093" s="8" t="s">
        <v>572</v>
      </c>
      <c r="B1093" s="8" t="s">
        <v>768</v>
      </c>
      <c r="C1093" s="19" t="n">
        <v>0</v>
      </c>
      <c r="D1093" s="19" t="n">
        <v>0</v>
      </c>
      <c r="E1093" s="19" t="n">
        <v>1</v>
      </c>
      <c r="F1093" s="19" t="n">
        <v>34.96</v>
      </c>
      <c r="G1093" s="8" t="str">
        <f aca="false">IFERROR(INDEX('TRANS'!$B:$B,MATCH($B1093,'TRANS'!$A:$A,0)),IFERROR(INDEX('TRANS'!$B:$B,MATCH(TRIM(SUBSTITUTE($B1093,CHAR(160)," ")),'TRANS'!$D:$D,0)),IFERROR(INDEX('Catalog'!$A:$A,MATCH($B1093,'Catalog'!$B:$B,0)),IFERROR(INDEX('Catalog'!$A:$A,MATCH(TRIM(SUBSTITUTE($B1093,CHAR(160)," ")),'Catalog'!$C:$C,0)),""))))</f>
        <v/>
      </c>
      <c r="H1093" s="8" t="str">
        <f aca="false">IFERROR(INDEX('TRANS'!$C:$C,MATCH($B1093,'TRANS'!$A:$A,0)),IFERROR(INDEX('Catalog'!$B:$B,MATCH($G1093,'Catalog'!$A:$A,0)),$B1093))</f>
        <v>VMSPCB50 0</v>
      </c>
      <c r="I1093" s="8" t="str">
        <f aca="false">IF($G1093="","Unmatched","Matched")</f>
        <v>Unmatched</v>
      </c>
    </row>
    <row r="1094" customFormat="false" ht="15" hidden="false" customHeight="false" outlineLevel="0" collapsed="false">
      <c r="A1094" s="8" t="s">
        <v>572</v>
      </c>
      <c r="B1094" s="8" t="s">
        <v>464</v>
      </c>
      <c r="C1094" s="19" t="n">
        <v>2</v>
      </c>
      <c r="D1094" s="19" t="n">
        <v>79.59</v>
      </c>
      <c r="E1094" s="19" t="n">
        <v>1</v>
      </c>
      <c r="F1094" s="19" t="n">
        <v>39.8</v>
      </c>
      <c r="G1094" s="8" t="str">
        <f aca="false">IFERROR(INDEX('TRANS'!$B:$B,MATCH($B1094,'TRANS'!$A:$A,0)),IFERROR(INDEX('TRANS'!$B:$B,MATCH(TRIM(SUBSTITUTE($B1094,CHAR(160)," ")),'TRANS'!$D:$D,0)),IFERROR(INDEX('Catalog'!$A:$A,MATCH($B1094,'Catalog'!$B:$B,0)),IFERROR(INDEX('Catalog'!$A:$A,MATCH(TRIM(SUBSTITUTE($B1094,CHAR(160)," ")),'Catalog'!$C:$C,0)),""))))</f>
        <v/>
      </c>
      <c r="H1094" s="8" t="str">
        <f aca="false">IFERROR(INDEX('TRANS'!$C:$C,MATCH($B1094,'TRANS'!$A:$A,0)),IFERROR(INDEX('Catalog'!$B:$B,MATCH($G1094,'Catalog'!$A:$A,0)),$B1094))</f>
        <v>21 XXL</v>
      </c>
      <c r="I1094" s="8" t="str">
        <f aca="false">IF($G1094="","Unmatched","Matched")</f>
        <v>Unmatched</v>
      </c>
    </row>
    <row r="1095" customFormat="false" ht="15" hidden="false" customHeight="false" outlineLevel="0" collapsed="false">
      <c r="A1095" s="8" t="s">
        <v>572</v>
      </c>
      <c r="B1095" s="8" t="s">
        <v>769</v>
      </c>
      <c r="C1095" s="19" t="n">
        <v>0</v>
      </c>
      <c r="D1095" s="19" t="n">
        <v>0</v>
      </c>
      <c r="E1095" s="19" t="n">
        <v>1</v>
      </c>
      <c r="F1095" s="19" t="n">
        <v>103.07</v>
      </c>
      <c r="G1095" s="8" t="str">
        <f aca="false">IFERROR(INDEX('TRANS'!$B:$B,MATCH($B1095,'TRANS'!$A:$A,0)),IFERROR(INDEX('TRANS'!$B:$B,MATCH(TRIM(SUBSTITUTE($B1095,CHAR(160)," ")),'TRANS'!$D:$D,0)),IFERROR(INDEX('Catalog'!$A:$A,MATCH($B1095,'Catalog'!$B:$B,0)),IFERROR(INDEX('Catalog'!$A:$A,MATCH(TRIM(SUBSTITUTE($B1095,CHAR(160)," ")),'Catalog'!$C:$C,0)),""))))</f>
        <v/>
      </c>
      <c r="H1095" s="8" t="str">
        <f aca="false">IFERROR(INDEX('TRANS'!$C:$C,MATCH($B1095,'TRANS'!$A:$A,0)),IFERROR(INDEX('Catalog'!$B:$B,MATCH($G1095,'Catalog'!$A:$A,0)),$B1095))</f>
        <v>28 XXL</v>
      </c>
      <c r="I1095" s="8" t="str">
        <f aca="false">IF($G1095="","Unmatched","Matched")</f>
        <v>Unmatched</v>
      </c>
    </row>
    <row r="1096" customFormat="false" ht="15" hidden="false" customHeight="false" outlineLevel="0" collapsed="false">
      <c r="A1096" s="8" t="s">
        <v>572</v>
      </c>
      <c r="B1096" s="8" t="s">
        <v>770</v>
      </c>
      <c r="C1096" s="19" t="n">
        <v>3</v>
      </c>
      <c r="D1096" s="19" t="n">
        <v>90</v>
      </c>
      <c r="E1096" s="19" t="n">
        <v>0</v>
      </c>
      <c r="F1096" s="19" t="n">
        <v>0</v>
      </c>
      <c r="G1096" s="8" t="str">
        <f aca="false">IFERROR(INDEX('TRANS'!$B:$B,MATCH($B1096,'TRANS'!$A:$A,0)),IFERROR(INDEX('TRANS'!$B:$B,MATCH(TRIM(SUBSTITUTE($B1096,CHAR(160)," ")),'TRANS'!$D:$D,0)),IFERROR(INDEX('Catalog'!$A:$A,MATCH($B1096,'Catalog'!$B:$B,0)),IFERROR(INDEX('Catalog'!$A:$A,MATCH(TRIM(SUBSTITUTE($B1096,CHAR(160)," ")),'Catalog'!$C:$C,0)),""))))</f>
        <v/>
      </c>
      <c r="H1096" s="8" t="str">
        <f aca="false">IFERROR(INDEX('TRANS'!$C:$C,MATCH($B1096,'TRANS'!$A:$A,0)),IFERROR(INDEX('Catalog'!$B:$B,MATCH($G1096,'Catalog'!$A:$A,0)),$B1096))</f>
        <v>808KTP-B</v>
      </c>
      <c r="I1096" s="8" t="str">
        <f aca="false">IF($G1096="","Unmatched","Matched")</f>
        <v>Unmatched</v>
      </c>
    </row>
    <row r="1097" customFormat="false" ht="15" hidden="false" customHeight="false" outlineLevel="0" collapsed="false">
      <c r="A1097" s="8" t="s">
        <v>572</v>
      </c>
      <c r="B1097" s="8" t="s">
        <v>320</v>
      </c>
      <c r="C1097" s="19" t="n">
        <v>1</v>
      </c>
      <c r="D1097" s="19" t="n">
        <v>67.55</v>
      </c>
      <c r="E1097" s="19" t="n">
        <v>0</v>
      </c>
      <c r="F1097" s="19" t="n">
        <v>0</v>
      </c>
      <c r="G1097" s="8" t="str">
        <f aca="false">IFERROR(INDEX('TRANS'!$B:$B,MATCH($B1097,'TRANS'!$A:$A,0)),IFERROR(INDEX('TRANS'!$B:$B,MATCH(TRIM(SUBSTITUTE($B1097,CHAR(160)," ")),'TRANS'!$D:$D,0)),IFERROR(INDEX('Catalog'!$A:$A,MATCH($B1097,'Catalog'!$B:$B,0)),IFERROR(INDEX('Catalog'!$A:$A,MATCH(TRIM(SUBSTITUTE($B1097,CHAR(160)," ")),'Catalog'!$C:$C,0)),""))))</f>
        <v/>
      </c>
      <c r="H1097" s="8" t="str">
        <f aca="false">IFERROR(INDEX('TRANS'!$C:$C,MATCH($B1097,'TRANS'!$A:$A,0)),IFERROR(INDEX('Catalog'!$B:$B,MATCH($G1097,'Catalog'!$A:$A,0)),$B1097))</f>
        <v>T28A XS</v>
      </c>
      <c r="I1097" s="8" t="str">
        <f aca="false">IF($G1097="","Unmatched","Matched")</f>
        <v>Unmatched</v>
      </c>
    </row>
    <row r="1098" customFormat="false" ht="15" hidden="false" customHeight="false" outlineLevel="0" collapsed="false">
      <c r="A1098" s="8" t="s">
        <v>572</v>
      </c>
      <c r="B1098" s="8" t="s">
        <v>771</v>
      </c>
      <c r="C1098" s="19" t="n">
        <v>1</v>
      </c>
      <c r="D1098" s="19" t="n">
        <v>46.82</v>
      </c>
      <c r="E1098" s="19" t="n">
        <v>2</v>
      </c>
      <c r="F1098" s="19" t="n">
        <v>87.4</v>
      </c>
      <c r="G1098" s="8" t="str">
        <f aca="false">IFERROR(INDEX('TRANS'!$B:$B,MATCH($B1098,'TRANS'!$A:$A,0)),IFERROR(INDEX('TRANS'!$B:$B,MATCH(TRIM(SUBSTITUTE($B1098,CHAR(160)," ")),'TRANS'!$D:$D,0)),IFERROR(INDEX('Catalog'!$A:$A,MATCH($B1098,'Catalog'!$B:$B,0)),IFERROR(INDEX('Catalog'!$A:$A,MATCH(TRIM(SUBSTITUTE($B1098,CHAR(160)," ")),'Catalog'!$C:$C,0)),""))))</f>
        <v/>
      </c>
      <c r="H1098" s="8" t="str">
        <f aca="false">IFERROR(INDEX('TRANS'!$C:$C,MATCH($B1098,'TRANS'!$A:$A,0)),IFERROR(INDEX('Catalog'!$B:$B,MATCH($G1098,'Catalog'!$A:$A,0)),$B1098))</f>
        <v>34 XS</v>
      </c>
      <c r="I1098" s="8" t="str">
        <f aca="false">IF($G1098="","Unmatched","Matched")</f>
        <v>Unmatched</v>
      </c>
    </row>
    <row r="1099" customFormat="false" ht="15" hidden="false" customHeight="false" outlineLevel="0" collapsed="false">
      <c r="A1099" s="8" t="s">
        <v>572</v>
      </c>
      <c r="B1099" s="8" t="s">
        <v>772</v>
      </c>
      <c r="C1099" s="19" t="n">
        <v>1</v>
      </c>
      <c r="D1099" s="19" t="n">
        <v>70.26</v>
      </c>
      <c r="E1099" s="19" t="n">
        <v>0</v>
      </c>
      <c r="F1099" s="19" t="n">
        <v>0</v>
      </c>
      <c r="G1099" s="8" t="str">
        <f aca="false">IFERROR(INDEX('TRANS'!$B:$B,MATCH($B1099,'TRANS'!$A:$A,0)),IFERROR(INDEX('TRANS'!$B:$B,MATCH(TRIM(SUBSTITUTE($B1099,CHAR(160)," ")),'TRANS'!$D:$D,0)),IFERROR(INDEX('Catalog'!$A:$A,MATCH($B1099,'Catalog'!$B:$B,0)),IFERROR(INDEX('Catalog'!$A:$A,MATCH(TRIM(SUBSTITUTE($B1099,CHAR(160)," ")),'Catalog'!$C:$C,0)),""))))</f>
        <v/>
      </c>
      <c r="H1099" s="8" t="str">
        <f aca="false">IFERROR(INDEX('TRANS'!$C:$C,MATCH($B1099,'TRANS'!$A:$A,0)),IFERROR(INDEX('Catalog'!$B:$B,MATCH($G1099,'Catalog'!$A:$A,0)),$B1099))</f>
        <v>34+ XS</v>
      </c>
      <c r="I1099" s="8" t="str">
        <f aca="false">IF($G1099="","Unmatched","Matched")</f>
        <v>Unmatched</v>
      </c>
    </row>
    <row r="1100" customFormat="false" ht="15" hidden="false" customHeight="false" outlineLevel="0" collapsed="false">
      <c r="A1100" s="8" t="s">
        <v>572</v>
      </c>
      <c r="B1100" s="8" t="s">
        <v>139</v>
      </c>
      <c r="C1100" s="19" t="n">
        <v>2</v>
      </c>
      <c r="D1100" s="19" t="n">
        <v>49.89</v>
      </c>
      <c r="E1100" s="19" t="n">
        <v>1</v>
      </c>
      <c r="F1100" s="19" t="n">
        <v>30.89</v>
      </c>
      <c r="G1100" s="8" t="n">
        <f aca="false">IFERROR(INDEX('TRANS'!$B:$B,MATCH($B1100,'TRANS'!$A:$A,0)),IFERROR(INDEX('TRANS'!$B:$B,MATCH(TRIM(SUBSTITUTE($B1100,CHAR(160)," ")),'TRANS'!$D:$D,0)),IFERROR(INDEX('Catalog'!$A:$A,MATCH($B1100,'Catalog'!$B:$B,0)),IFERROR(INDEX('Catalog'!$A:$A,MATCH(TRIM(SUBSTITUTE($B1100,CHAR(160)," ")),'Catalog'!$C:$C,0)),""))))</f>
        <v>4413494</v>
      </c>
      <c r="H1100" s="8" t="str">
        <f aca="false">IFERROR(INDEX('TRANS'!$C:$C,MATCH($B1100,'TRANS'!$A:$A,0)),IFERROR(INDEX('Catalog'!$B:$B,MATCH($G1100,'Catalog'!$A:$A,0)),$B1100))</f>
        <v>35B XXL מגן קרסול שחור</v>
      </c>
      <c r="I1100" s="8" t="str">
        <f aca="false">IF($G1100="","Unmatched","Matched")</f>
        <v>Matched</v>
      </c>
    </row>
    <row r="1101" customFormat="false" ht="15" hidden="false" customHeight="false" outlineLevel="0" collapsed="false">
      <c r="A1101" s="8" t="s">
        <v>572</v>
      </c>
      <c r="B1101" s="8" t="s">
        <v>773</v>
      </c>
      <c r="C1101" s="19" t="n">
        <v>-1</v>
      </c>
      <c r="D1101" s="19" t="n">
        <v>-236.32</v>
      </c>
      <c r="E1101" s="19" t="n">
        <v>0</v>
      </c>
      <c r="F1101" s="19" t="n">
        <v>0</v>
      </c>
      <c r="G1101" s="8" t="str">
        <f aca="false">IFERROR(INDEX('TRANS'!$B:$B,MATCH($B1101,'TRANS'!$A:$A,0)),IFERROR(INDEX('TRANS'!$B:$B,MATCH(TRIM(SUBSTITUTE($B1101,CHAR(160)," ")),'TRANS'!$D:$D,0)),IFERROR(INDEX('Catalog'!$A:$A,MATCH($B1101,'Catalog'!$B:$B,0)),IFERROR(INDEX('Catalog'!$A:$A,MATCH(TRIM(SUBSTITUTE($B1101,CHAR(160)," ")),'Catalog'!$C:$C,0)),""))))</f>
        <v/>
      </c>
      <c r="H1101" s="8" t="str">
        <f aca="false">IFERROR(INDEX('TRANS'!$C:$C,MATCH($B1101,'TRANS'!$A:$A,0)),IFERROR(INDEX('Catalog'!$B:$B,MATCH($G1101,'Catalog'!$A:$A,0)),$B1101))</f>
        <v>T32 M</v>
      </c>
      <c r="I1101" s="8" t="str">
        <f aca="false">IF($G1101="","Unmatched","Matched")</f>
        <v>Unmatched</v>
      </c>
    </row>
    <row r="1102" customFormat="false" ht="15" hidden="false" customHeight="false" outlineLevel="0" collapsed="false">
      <c r="A1102" s="8" t="s">
        <v>572</v>
      </c>
      <c r="B1102" s="8" t="s">
        <v>774</v>
      </c>
      <c r="C1102" s="19" t="n">
        <v>4</v>
      </c>
      <c r="D1102" s="19" t="n">
        <v>279.98</v>
      </c>
      <c r="E1102" s="19" t="n">
        <v>3</v>
      </c>
      <c r="F1102" s="19" t="n">
        <v>209.99</v>
      </c>
      <c r="G1102" s="8" t="str">
        <f aca="false">IFERROR(INDEX('TRANS'!$B:$B,MATCH($B1102,'TRANS'!$A:$A,0)),IFERROR(INDEX('TRANS'!$B:$B,MATCH(TRIM(SUBSTITUTE($B1102,CHAR(160)," ")),'TRANS'!$D:$D,0)),IFERROR(INDEX('Catalog'!$A:$A,MATCH($B1102,'Catalog'!$B:$B,0)),IFERROR(INDEX('Catalog'!$A:$A,MATCH(TRIM(SUBSTITUTE($B1102,CHAR(160)," ")),'Catalog'!$C:$C,0)),""))))</f>
        <v/>
      </c>
      <c r="H1102" s="8" t="str">
        <f aca="false">IFERROR(INDEX('TRANS'!$C:$C,MATCH($B1102,'TRANS'!$A:$A,0)),IFERROR(INDEX('Catalog'!$B:$B,MATCH($G1102,'Catalog'!$A:$A,0)),$B1102))</f>
        <v>322 S</v>
      </c>
      <c r="I1102" s="8" t="str">
        <f aca="false">IF($G1102="","Unmatched","Matched")</f>
        <v>Unmatched</v>
      </c>
    </row>
    <row r="1103" customFormat="false" ht="15" hidden="false" customHeight="false" outlineLevel="0" collapsed="false">
      <c r="A1103" s="8" t="s">
        <v>572</v>
      </c>
      <c r="B1103" s="8" t="s">
        <v>775</v>
      </c>
      <c r="C1103" s="19" t="n">
        <v>0</v>
      </c>
      <c r="D1103" s="19" t="n">
        <v>0</v>
      </c>
      <c r="E1103" s="19" t="n">
        <v>1</v>
      </c>
      <c r="F1103" s="19" t="n">
        <v>105</v>
      </c>
      <c r="G1103" s="8" t="str">
        <f aca="false">IFERROR(INDEX('TRANS'!$B:$B,MATCH($B1103,'TRANS'!$A:$A,0)),IFERROR(INDEX('TRANS'!$B:$B,MATCH(TRIM(SUBSTITUTE($B1103,CHAR(160)," ")),'TRANS'!$D:$D,0)),IFERROR(INDEX('Catalog'!$A:$A,MATCH($B1103,'Catalog'!$B:$B,0)),IFERROR(INDEX('Catalog'!$A:$A,MATCH(TRIM(SUBSTITUTE($B1103,CHAR(160)," ")),'Catalog'!$C:$C,0)),""))))</f>
        <v/>
      </c>
      <c r="H1103" s="8" t="str">
        <f aca="false">IFERROR(INDEX('TRANS'!$C:$C,MATCH($B1103,'TRANS'!$A:$A,0)),IFERROR(INDEX('Catalog'!$B:$B,MATCH($G1103,'Catalog'!$A:$A,0)),$B1103))</f>
        <v>11STOB XXL</v>
      </c>
      <c r="I1103" s="8" t="str">
        <f aca="false">IF($G1103="","Unmatched","Matched")</f>
        <v>Unmatched</v>
      </c>
    </row>
    <row r="1104" customFormat="false" ht="15" hidden="false" customHeight="false" outlineLevel="0" collapsed="false">
      <c r="A1104" s="8" t="s">
        <v>572</v>
      </c>
      <c r="B1104" s="8" t="s">
        <v>776</v>
      </c>
      <c r="C1104" s="19" t="n">
        <v>1</v>
      </c>
      <c r="D1104" s="19" t="n">
        <v>302.5</v>
      </c>
      <c r="E1104" s="19" t="n">
        <v>0</v>
      </c>
      <c r="F1104" s="19" t="n">
        <v>0</v>
      </c>
      <c r="G1104" s="8" t="str">
        <f aca="false">IFERROR(INDEX('TRANS'!$B:$B,MATCH($B1104,'TRANS'!$A:$A,0)),IFERROR(INDEX('TRANS'!$B:$B,MATCH(TRIM(SUBSTITUTE($B1104,CHAR(160)," ")),'TRANS'!$D:$D,0)),IFERROR(INDEX('Catalog'!$A:$A,MATCH($B1104,'Catalog'!$B:$B,0)),IFERROR(INDEX('Catalog'!$A:$A,MATCH(TRIM(SUBSTITUTE($B1104,CHAR(160)," ")),'Catalog'!$C:$C,0)),""))))</f>
        <v/>
      </c>
      <c r="H1104" s="8" t="str">
        <f aca="false">IFERROR(INDEX('TRANS'!$C:$C,MATCH($B1104,'TRANS'!$A:$A,0)),IFERROR(INDEX('Catalog'!$B:$B,MATCH($G1104,'Catalog'!$A:$A,0)),$B1104))</f>
        <v>88L- L-XL</v>
      </c>
      <c r="I1104" s="8" t="str">
        <f aca="false">IF($G1104="","Unmatched","Matched")</f>
        <v>Unmatched</v>
      </c>
    </row>
    <row r="1105" customFormat="false" ht="15" hidden="false" customHeight="false" outlineLevel="0" collapsed="false">
      <c r="A1105" s="8" t="s">
        <v>572</v>
      </c>
      <c r="B1105" s="8" t="s">
        <v>218</v>
      </c>
      <c r="C1105" s="19" t="n">
        <v>3</v>
      </c>
      <c r="D1105" s="19" t="n">
        <v>112.36</v>
      </c>
      <c r="E1105" s="19" t="n">
        <v>0</v>
      </c>
      <c r="F1105" s="19" t="n">
        <v>0</v>
      </c>
      <c r="G1105" s="8" t="n">
        <f aca="false">IFERROR(INDEX('TRANS'!$B:$B,MATCH($B1105,'TRANS'!$A:$A,0)),IFERROR(INDEX('TRANS'!$B:$B,MATCH(TRIM(SUBSTITUTE($B1105,CHAR(160)," ")),'TRANS'!$D:$D,0)),IFERROR(INDEX('Catalog'!$A:$A,MATCH($B1105,'Catalog'!$B:$B,0)),IFERROR(INDEX('Catalog'!$A:$A,MATCH(TRIM(SUBSTITUTE($B1105,CHAR(160)," ")),'Catalog'!$C:$C,0)),""))))</f>
        <v>4413396</v>
      </c>
      <c r="H1105" s="8" t="str">
        <f aca="false">IFERROR(INDEX('TRANS'!$C:$C,MATCH($B1105,'TRANS'!$A:$A,0)),IFERROR(INDEX('Catalog'!$B:$B,MATCH($G1105,'Catalog'!$A:$A,0)),$B1105))</f>
        <v>45EC L 'מגן ברך ארוך בז</v>
      </c>
      <c r="I1105" s="8" t="str">
        <f aca="false">IF($G1105="","Unmatched","Matched")</f>
        <v>Matched</v>
      </c>
    </row>
    <row r="1106" customFormat="false" ht="15" hidden="false" customHeight="false" outlineLevel="0" collapsed="false">
      <c r="A1106" s="8" t="s">
        <v>572</v>
      </c>
      <c r="B1106" s="8" t="s">
        <v>385</v>
      </c>
      <c r="C1106" s="19" t="n">
        <v>2</v>
      </c>
      <c r="D1106" s="19" t="n">
        <v>74.91</v>
      </c>
      <c r="E1106" s="19" t="n">
        <v>0</v>
      </c>
      <c r="F1106" s="19" t="n">
        <v>0</v>
      </c>
      <c r="G1106" s="8" t="n">
        <f aca="false">IFERROR(INDEX('TRANS'!$B:$B,MATCH($B1106,'TRANS'!$A:$A,0)),IFERROR(INDEX('TRANS'!$B:$B,MATCH(TRIM(SUBSTITUTE($B1106,CHAR(160)," ")),'TRANS'!$D:$D,0)),IFERROR(INDEX('Catalog'!$A:$A,MATCH($B1106,'Catalog'!$B:$B,0)),IFERROR(INDEX('Catalog'!$A:$A,MATCH(TRIM(SUBSTITUTE($B1106,CHAR(160)," ")),'Catalog'!$C:$C,0)),""))))</f>
        <v>4413394</v>
      </c>
      <c r="H1106" s="8" t="str">
        <f aca="false">IFERROR(INDEX('TRANS'!$C:$C,MATCH($B1106,'TRANS'!$A:$A,0)),IFERROR(INDEX('Catalog'!$B:$B,MATCH($G1106,'Catalog'!$A:$A,0)),$B1106))</f>
        <v>45EC S 'מגן ברך ארוך בז</v>
      </c>
      <c r="I1106" s="8" t="str">
        <f aca="false">IF($G1106="","Unmatched","Matched")</f>
        <v>Matched</v>
      </c>
    </row>
    <row r="1107" customFormat="false" ht="15" hidden="false" customHeight="false" outlineLevel="0" collapsed="false">
      <c r="A1107" s="8" t="s">
        <v>572</v>
      </c>
      <c r="B1107" s="8" t="s">
        <v>221</v>
      </c>
      <c r="C1107" s="19" t="n">
        <v>1</v>
      </c>
      <c r="D1107" s="19" t="n">
        <v>37.45</v>
      </c>
      <c r="E1107" s="19" t="n">
        <v>0</v>
      </c>
      <c r="F1107" s="19" t="n">
        <v>0</v>
      </c>
      <c r="G1107" s="8" t="n">
        <f aca="false">IFERROR(INDEX('TRANS'!$B:$B,MATCH($B1107,'TRANS'!$A:$A,0)),IFERROR(INDEX('TRANS'!$B:$B,MATCH(TRIM(SUBSTITUTE($B1107,CHAR(160)," ")),'TRANS'!$D:$D,0)),IFERROR(INDEX('Catalog'!$A:$A,MATCH($B1107,'Catalog'!$B:$B,0)),IFERROR(INDEX('Catalog'!$A:$A,MATCH(TRIM(SUBSTITUTE($B1107,CHAR(160)," ")),'Catalog'!$C:$C,0)),""))))</f>
        <v>4413398</v>
      </c>
      <c r="H1107" s="8" t="str">
        <f aca="false">IFERROR(INDEX('TRANS'!$C:$C,MATCH($B1107,'TRANS'!$A:$A,0)),IFERROR(INDEX('Catalog'!$B:$B,MATCH($G1107,'Catalog'!$A:$A,0)),$B1107))</f>
        <v>45EC XXL'מגן ברך ארוך בז</v>
      </c>
      <c r="I1107" s="8" t="str">
        <f aca="false">IF($G1107="","Unmatched","Matched")</f>
        <v>Matched</v>
      </c>
    </row>
    <row r="1108" customFormat="false" ht="15" hidden="false" customHeight="false" outlineLevel="0" collapsed="false">
      <c r="A1108" s="8" t="s">
        <v>572</v>
      </c>
      <c r="B1108" s="8" t="s">
        <v>441</v>
      </c>
      <c r="C1108" s="19" t="n">
        <v>2</v>
      </c>
      <c r="D1108" s="19" t="n">
        <v>310</v>
      </c>
      <c r="E1108" s="19" t="n">
        <v>0</v>
      </c>
      <c r="F1108" s="19" t="n">
        <v>0</v>
      </c>
      <c r="G1108" s="8" t="str">
        <f aca="false">IFERROR(INDEX('TRANS'!$B:$B,MATCH($B1108,'TRANS'!$A:$A,0)),IFERROR(INDEX('TRANS'!$B:$B,MATCH(TRIM(SUBSTITUTE($B1108,CHAR(160)," ")),'TRANS'!$D:$D,0)),IFERROR(INDEX('Catalog'!$A:$A,MATCH($B1108,'Catalog'!$B:$B,0)),IFERROR(INDEX('Catalog'!$A:$A,MATCH(TRIM(SUBSTITUTE($B1108,CHAR(160)," ")),'Catalog'!$C:$C,0)),""))))</f>
        <v/>
      </c>
      <c r="H1108" s="8" t="str">
        <f aca="false">IFERROR(INDEX('TRANS'!$C:$C,MATCH($B1108,'TRANS'!$A:$A,0)),IFERROR(INDEX('Catalog'!$B:$B,MATCH($G1108,'Catalog'!$A:$A,0)),$B1108))</f>
        <v>ST433D 0</v>
      </c>
      <c r="I1108" s="8" t="str">
        <f aca="false">IF($G1108="","Unmatched","Matched")</f>
        <v>Unmatched</v>
      </c>
    </row>
    <row r="1109" customFormat="false" ht="15" hidden="false" customHeight="false" outlineLevel="0" collapsed="false">
      <c r="A1109" s="8" t="s">
        <v>572</v>
      </c>
      <c r="B1109" s="8" t="s">
        <v>442</v>
      </c>
      <c r="C1109" s="19" t="n">
        <v>1</v>
      </c>
      <c r="D1109" s="19" t="n">
        <v>111.04</v>
      </c>
      <c r="E1109" s="19" t="n">
        <v>0</v>
      </c>
      <c r="F1109" s="19" t="n">
        <v>0</v>
      </c>
      <c r="G1109" s="8" t="str">
        <f aca="false">IFERROR(INDEX('TRANS'!$B:$B,MATCH($B1109,'TRANS'!$A:$A,0)),IFERROR(INDEX('TRANS'!$B:$B,MATCH(TRIM(SUBSTITUTE($B1109,CHAR(160)," ")),'TRANS'!$D:$D,0)),IFERROR(INDEX('Catalog'!$A:$A,MATCH($B1109,'Catalog'!$B:$B,0)),IFERROR(INDEX('Catalog'!$A:$A,MATCH(TRIM(SUBSTITUTE($B1109,CHAR(160)," ")),'Catalog'!$C:$C,0)),""))))</f>
        <v/>
      </c>
      <c r="H1109" s="8" t="str">
        <f aca="false">IFERROR(INDEX('TRANS'!$C:$C,MATCH($B1109,'TRANS'!$A:$A,0)),IFERROR(INDEX('Catalog'!$B:$B,MATCH($G1109,'Catalog'!$A:$A,0)),$B1109))</f>
        <v>T03 XL</v>
      </c>
      <c r="I1109" s="8" t="str">
        <f aca="false">IF($G1109="","Unmatched","Matched")</f>
        <v>Unmatched</v>
      </c>
    </row>
    <row r="1110" customFormat="false" ht="15" hidden="false" customHeight="false" outlineLevel="0" collapsed="false">
      <c r="A1110" s="8" t="s">
        <v>572</v>
      </c>
      <c r="B1110" s="8" t="s">
        <v>538</v>
      </c>
      <c r="C1110" s="19" t="n">
        <v>1</v>
      </c>
      <c r="D1110" s="19" t="n">
        <v>165.41</v>
      </c>
      <c r="E1110" s="19" t="n">
        <v>0</v>
      </c>
      <c r="F1110" s="19" t="n">
        <v>0</v>
      </c>
      <c r="G1110" s="8" t="n">
        <f aca="false">IFERROR(INDEX('TRANS'!$B:$B,MATCH($B1110,'TRANS'!$A:$A,0)),IFERROR(INDEX('TRANS'!$B:$B,MATCH(TRIM(SUBSTITUTE($B1110,CHAR(160)," ")),'TRANS'!$D:$D,0)),IFERROR(INDEX('Catalog'!$A:$A,MATCH($B1110,'Catalog'!$B:$B,0)),IFERROR(INDEX('Catalog'!$A:$A,MATCH(TRIM(SUBSTITUTE($B1110,CHAR(160)," ")),'Catalog'!$C:$C,0)),""))))</f>
        <v>4413532</v>
      </c>
      <c r="H1110" s="8" t="str">
        <f aca="false">IFERROR(INDEX('TRANS'!$C:$C,MATCH($B1110,'TRANS'!$A:$A,0)),IFERROR(INDEX('Catalog'!$B:$B,MATCH($G1110,'Catalog'!$A:$A,0)),$B1110))</f>
        <v>ST433 H מגן ברך עם ציר</v>
      </c>
      <c r="I1110" s="8" t="str">
        <f aca="false">IF($G1110="","Unmatched","Matched")</f>
        <v>Matched</v>
      </c>
    </row>
    <row r="1111" customFormat="false" ht="15" hidden="false" customHeight="false" outlineLevel="0" collapsed="false">
      <c r="A1111" s="8" t="s">
        <v>572</v>
      </c>
      <c r="B1111" s="8" t="s">
        <v>777</v>
      </c>
      <c r="C1111" s="19" t="n">
        <v>3</v>
      </c>
      <c r="D1111" s="19" t="n">
        <v>210</v>
      </c>
      <c r="E1111" s="19" t="n">
        <v>5</v>
      </c>
      <c r="F1111" s="19" t="n">
        <v>349.98</v>
      </c>
      <c r="G1111" s="8" t="str">
        <f aca="false">IFERROR(INDEX('TRANS'!$B:$B,MATCH($B1111,'TRANS'!$A:$A,0)),IFERROR(INDEX('TRANS'!$B:$B,MATCH(TRIM(SUBSTITUTE($B1111,CHAR(160)," ")),'TRANS'!$D:$D,0)),IFERROR(INDEX('Catalog'!$A:$A,MATCH($B1111,'Catalog'!$B:$B,0)),IFERROR(INDEX('Catalog'!$A:$A,MATCH(TRIM(SUBSTITUTE($B1111,CHAR(160)," ")),'Catalog'!$C:$C,0)),""))))</f>
        <v/>
      </c>
      <c r="H1111" s="8" t="str">
        <f aca="false">IFERROR(INDEX('TRANS'!$C:$C,MATCH($B1111,'TRANS'!$A:$A,0)),IFERROR(INDEX('Catalog'!$B:$B,MATCH($G1111,'Catalog'!$A:$A,0)),$B1111))</f>
        <v>322 XXL</v>
      </c>
      <c r="I1111" s="8" t="str">
        <f aca="false">IF($G1111="","Unmatched","Matched")</f>
        <v>Unmatched</v>
      </c>
    </row>
    <row r="1112" customFormat="false" ht="15" hidden="false" customHeight="false" outlineLevel="0" collapsed="false">
      <c r="A1112" s="8" t="s">
        <v>572</v>
      </c>
      <c r="B1112" s="8" t="s">
        <v>778</v>
      </c>
      <c r="C1112" s="19" t="n">
        <v>1</v>
      </c>
      <c r="D1112" s="19" t="n">
        <v>95</v>
      </c>
      <c r="E1112" s="19" t="n">
        <v>0</v>
      </c>
      <c r="F1112" s="19" t="n">
        <v>0</v>
      </c>
      <c r="G1112" s="8" t="str">
        <f aca="false">IFERROR(INDEX('TRANS'!$B:$B,MATCH($B1112,'TRANS'!$A:$A,0)),IFERROR(INDEX('TRANS'!$B:$B,MATCH(TRIM(SUBSTITUTE($B1112,CHAR(160)," ")),'TRANS'!$D:$D,0)),IFERROR(INDEX('Catalog'!$A:$A,MATCH($B1112,'Catalog'!$B:$B,0)),IFERROR(INDEX('Catalog'!$A:$A,MATCH(TRIM(SUBSTITUTE($B1112,CHAR(160)," ")),'Catalog'!$C:$C,0)),""))))</f>
        <v/>
      </c>
      <c r="H1112" s="8" t="str">
        <f aca="false">IFERROR(INDEX('TRANS'!$C:$C,MATCH($B1112,'TRANS'!$A:$A,0)),IFERROR(INDEX('Catalog'!$B:$B,MATCH($G1112,'Catalog'!$A:$A,0)),$B1112))</f>
        <v>422EBU XL</v>
      </c>
      <c r="I1112" s="8" t="str">
        <f aca="false">IF($G1112="","Unmatched","Matched")</f>
        <v>Unmatched</v>
      </c>
    </row>
    <row r="1113" customFormat="false" ht="15" hidden="false" customHeight="false" outlineLevel="0" collapsed="false">
      <c r="A1113" s="8" t="s">
        <v>572</v>
      </c>
      <c r="B1113" s="8" t="s">
        <v>779</v>
      </c>
      <c r="C1113" s="19" t="n">
        <v>0</v>
      </c>
      <c r="D1113" s="19" t="n">
        <v>0</v>
      </c>
      <c r="E1113" s="19" t="n">
        <v>1</v>
      </c>
      <c r="F1113" s="19" t="n">
        <v>108.7</v>
      </c>
      <c r="G1113" s="8" t="str">
        <f aca="false">IFERROR(INDEX('TRANS'!$B:$B,MATCH($B1113,'TRANS'!$A:$A,0)),IFERROR(INDEX('TRANS'!$B:$B,MATCH(TRIM(SUBSTITUTE($B1113,CHAR(160)," ")),'TRANS'!$D:$D,0)),IFERROR(INDEX('Catalog'!$A:$A,MATCH($B1113,'Catalog'!$B:$B,0)),IFERROR(INDEX('Catalog'!$A:$A,MATCH(TRIM(SUBSTITUTE($B1113,CHAR(160)," ")),'Catalog'!$C:$C,0)),""))))</f>
        <v/>
      </c>
      <c r="H1113" s="8" t="str">
        <f aca="false">IFERROR(INDEX('TRANS'!$C:$C,MATCH($B1113,'TRANS'!$A:$A,0)),IFERROR(INDEX('Catalog'!$B:$B,MATCH($G1113,'Catalog'!$A:$A,0)),$B1113))</f>
        <v>079 XXL</v>
      </c>
      <c r="I1113" s="8" t="str">
        <f aca="false">IF($G1113="","Unmatched","Matched")</f>
        <v>Unmatched</v>
      </c>
    </row>
    <row r="1114" customFormat="false" ht="15" hidden="false" customHeight="false" outlineLevel="0" collapsed="false">
      <c r="A1114" s="8" t="s">
        <v>572</v>
      </c>
      <c r="B1114" s="8" t="s">
        <v>74</v>
      </c>
      <c r="C1114" s="19" t="n">
        <v>1</v>
      </c>
      <c r="D1114" s="19" t="n">
        <v>69</v>
      </c>
      <c r="E1114" s="19" t="n">
        <v>1</v>
      </c>
      <c r="F1114" s="19" t="n">
        <v>85</v>
      </c>
      <c r="G1114" s="8" t="str">
        <f aca="false">IFERROR(INDEX('TRANS'!$B:$B,MATCH($B1114,'TRANS'!$A:$A,0)),IFERROR(INDEX('TRANS'!$B:$B,MATCH(TRIM(SUBSTITUTE($B1114,CHAR(160)," ")),'TRANS'!$D:$D,0)),IFERROR(INDEX('Catalog'!$A:$A,MATCH($B1114,'Catalog'!$B:$B,0)),IFERROR(INDEX('Catalog'!$A:$A,MATCH(TRIM(SUBSTITUTE($B1114,CHAR(160)," ")),'Catalog'!$C:$C,0)),""))))</f>
        <v/>
      </c>
      <c r="H1114" s="8" t="str">
        <f aca="false">IFERROR(INDEX('TRANS'!$C:$C,MATCH($B1114,'TRANS'!$A:$A,0)),IFERROR(INDEX('Catalog'!$B:$B,MATCH($G1114,'Catalog'!$A:$A,0)),$B1114))</f>
        <v>11EU S</v>
      </c>
      <c r="I1114" s="8" t="str">
        <f aca="false">IF($G1114="","Unmatched","Matched")</f>
        <v>Unmatched</v>
      </c>
    </row>
    <row r="1115" customFormat="false" ht="15" hidden="false" customHeight="false" outlineLevel="0" collapsed="false">
      <c r="A1115" s="8" t="s">
        <v>572</v>
      </c>
      <c r="B1115" s="8" t="s">
        <v>780</v>
      </c>
      <c r="C1115" s="19" t="n">
        <v>0</v>
      </c>
      <c r="D1115" s="19" t="n">
        <v>0</v>
      </c>
      <c r="E1115" s="19" t="n">
        <v>1</v>
      </c>
      <c r="F1115" s="19" t="n">
        <v>93.7</v>
      </c>
      <c r="G1115" s="8" t="str">
        <f aca="false">IFERROR(INDEX('TRANS'!$B:$B,MATCH($B1115,'TRANS'!$A:$A,0)),IFERROR(INDEX('TRANS'!$B:$B,MATCH(TRIM(SUBSTITUTE($B1115,CHAR(160)," ")),'TRANS'!$D:$D,0)),IFERROR(INDEX('Catalog'!$A:$A,MATCH($B1115,'Catalog'!$B:$B,0)),IFERROR(INDEX('Catalog'!$A:$A,MATCH(TRIM(SUBSTITUTE($B1115,CHAR(160)," ")),'Catalog'!$C:$C,0)),""))))</f>
        <v/>
      </c>
      <c r="H1115" s="8" t="str">
        <f aca="false">IFERROR(INDEX('TRANS'!$C:$C,MATCH($B1115,'TRANS'!$A:$A,0)),IFERROR(INDEX('Catalog'!$B:$B,MATCH($G1115,'Catalog'!$A:$A,0)),$B1115))</f>
        <v>305-41-42</v>
      </c>
      <c r="I1115" s="8" t="str">
        <f aca="false">IF($G1115="","Unmatched","Matched")</f>
        <v>Unmatched</v>
      </c>
    </row>
    <row r="1116" customFormat="false" ht="15" hidden="false" customHeight="false" outlineLevel="0" collapsed="false">
      <c r="A1116" s="8" t="s">
        <v>572</v>
      </c>
      <c r="B1116" s="8" t="s">
        <v>165</v>
      </c>
      <c r="C1116" s="19" t="n">
        <v>6</v>
      </c>
      <c r="D1116" s="19" t="n">
        <v>78.48</v>
      </c>
      <c r="E1116" s="19" t="n">
        <v>0</v>
      </c>
      <c r="F1116" s="19" t="n">
        <v>0</v>
      </c>
      <c r="G1116" s="8" t="n">
        <f aca="false">IFERROR(INDEX('TRANS'!$B:$B,MATCH($B1116,'TRANS'!$A:$A,0)),IFERROR(INDEX('TRANS'!$B:$B,MATCH(TRIM(SUBSTITUTE($B1116,CHAR(160)," ")),'TRANS'!$D:$D,0)),IFERROR(INDEX('Catalog'!$A:$A,MATCH($B1116,'Catalog'!$B:$B,0)),IFERROR(INDEX('Catalog'!$A:$A,MATCH(TRIM(SUBSTITUTE($B1116,CHAR(160)," ")),'Catalog'!$C:$C,0)),""))))</f>
        <v>4420000</v>
      </c>
      <c r="H1116" s="8" t="str">
        <f aca="false">IFERROR(INDEX('TRANS'!$C:$C,MATCH($B1116,'TRANS'!$A:$A,0)),IFERROR(INDEX('Catalog'!$B:$B,MATCH($G1116,'Catalog'!$A:$A,0)),$B1116))</f>
        <v>370  רפידת נוחות-זוג</v>
      </c>
      <c r="I1116" s="8" t="str">
        <f aca="false">IF($G1116="","Unmatched","Matched")</f>
        <v>Matched</v>
      </c>
    </row>
    <row r="1117" customFormat="false" ht="15" hidden="false" customHeight="false" outlineLevel="0" collapsed="false">
      <c r="A1117" s="8" t="s">
        <v>572</v>
      </c>
      <c r="B1117" s="8" t="s">
        <v>169</v>
      </c>
      <c r="C1117" s="19" t="n">
        <v>10</v>
      </c>
      <c r="D1117" s="19" t="n">
        <v>154.2</v>
      </c>
      <c r="E1117" s="19" t="n">
        <v>0</v>
      </c>
      <c r="F1117" s="19" t="n">
        <v>0</v>
      </c>
      <c r="G1117" s="8" t="n">
        <f aca="false">IFERROR(INDEX('TRANS'!$B:$B,MATCH($B1117,'TRANS'!$A:$A,0)),IFERROR(INDEX('TRANS'!$B:$B,MATCH(TRIM(SUBSTITUTE($B1117,CHAR(160)," ")),'TRANS'!$D:$D,0)),IFERROR(INDEX('Catalog'!$A:$A,MATCH($B1117,'Catalog'!$B:$B,0)),IFERROR(INDEX('Catalog'!$A:$A,MATCH(TRIM(SUBSTITUTE($B1117,CHAR(160)," ")),'Catalog'!$C:$C,0)),""))))</f>
        <v>4420003</v>
      </c>
      <c r="H1117" s="8" t="str">
        <f aca="false">IFERROR(INDEX('TRANS'!$C:$C,MATCH($B1117,'TRANS'!$A:$A,0)),IFERROR(INDEX('Catalog'!$B:$B,MATCH($G1117,'Catalog'!$A:$A,0)),$B1117))</f>
        <v>374 רפידת בולמת זעזועים -זוג</v>
      </c>
      <c r="I1117" s="8" t="str">
        <f aca="false">IF($G1117="","Unmatched","Matched")</f>
        <v>Matched</v>
      </c>
    </row>
    <row r="1118" customFormat="false" ht="15" hidden="false" customHeight="false" outlineLevel="0" collapsed="false">
      <c r="A1118" s="8" t="s">
        <v>572</v>
      </c>
      <c r="B1118" s="8" t="s">
        <v>781</v>
      </c>
      <c r="C1118" s="19" t="n">
        <v>3</v>
      </c>
      <c r="D1118" s="19" t="n">
        <v>148.9</v>
      </c>
      <c r="E1118" s="19" t="n">
        <v>0</v>
      </c>
      <c r="F1118" s="19" t="n">
        <v>0</v>
      </c>
      <c r="G1118" s="8" t="str">
        <f aca="false">IFERROR(INDEX('TRANS'!$B:$B,MATCH($B1118,'TRANS'!$A:$A,0)),IFERROR(INDEX('TRANS'!$B:$B,MATCH(TRIM(SUBSTITUTE($B1118,CHAR(160)," ")),'TRANS'!$D:$D,0)),IFERROR(INDEX('Catalog'!$A:$A,MATCH($B1118,'Catalog'!$B:$B,0)),IFERROR(INDEX('Catalog'!$A:$A,MATCH(TRIM(SUBSTITUTE($B1118,CHAR(160)," ")),'Catalog'!$C:$C,0)),""))))</f>
        <v/>
      </c>
      <c r="H1118" s="8" t="str">
        <f aca="false">IFERROR(INDEX('TRANS'!$C:$C,MATCH($B1118,'TRANS'!$A:$A,0)),IFERROR(INDEX('Catalog'!$B:$B,MATCH($G1118,'Catalog'!$A:$A,0)),$B1118))</f>
        <v>60 XS</v>
      </c>
      <c r="I1118" s="8" t="str">
        <f aca="false">IF($G1118="","Unmatched","Matched")</f>
        <v>Unmatched</v>
      </c>
    </row>
    <row r="1119" customFormat="false" ht="15" hidden="false" customHeight="false" outlineLevel="0" collapsed="false">
      <c r="A1119" s="8" t="s">
        <v>572</v>
      </c>
      <c r="B1119" s="8" t="s">
        <v>235</v>
      </c>
      <c r="C1119" s="19" t="n">
        <v>1</v>
      </c>
      <c r="D1119" s="19" t="n">
        <v>160</v>
      </c>
      <c r="E1119" s="19" t="n">
        <v>0</v>
      </c>
      <c r="F1119" s="19" t="n">
        <v>0</v>
      </c>
      <c r="G1119" s="8" t="str">
        <f aca="false">IFERROR(INDEX('TRANS'!$B:$B,MATCH($B1119,'TRANS'!$A:$A,0)),IFERROR(INDEX('TRANS'!$B:$B,MATCH(TRIM(SUBSTITUTE($B1119,CHAR(160)," ")),'TRANS'!$D:$D,0)),IFERROR(INDEX('Catalog'!$A:$A,MATCH($B1119,'Catalog'!$B:$B,0)),IFERROR(INDEX('Catalog'!$A:$A,MATCH(TRIM(SUBSTITUTE($B1119,CHAR(160)," ")),'Catalog'!$C:$C,0)),""))))</f>
        <v/>
      </c>
      <c r="H1119" s="8" t="str">
        <f aca="false">IFERROR(INDEX('TRANS'!$C:$C,MATCH($B1119,'TRANS'!$A:$A,0)),IFERROR(INDEX('Catalog'!$B:$B,MATCH($G1119,'Catalog'!$A:$A,0)),$B1119))</f>
        <v>76 XS</v>
      </c>
      <c r="I1119" s="8" t="str">
        <f aca="false">IF($G1119="","Unmatched","Matched")</f>
        <v>Unmatched</v>
      </c>
    </row>
    <row r="1120" customFormat="false" ht="15" hidden="false" customHeight="false" outlineLevel="0" collapsed="false">
      <c r="A1120" s="8" t="s">
        <v>572</v>
      </c>
      <c r="B1120" s="8" t="s">
        <v>293</v>
      </c>
      <c r="C1120" s="19" t="n">
        <v>8</v>
      </c>
      <c r="D1120" s="19" t="n">
        <v>634.73</v>
      </c>
      <c r="E1120" s="19" t="n">
        <v>1</v>
      </c>
      <c r="F1120" s="19" t="n">
        <v>93.67</v>
      </c>
      <c r="G1120" s="8" t="n">
        <f aca="false">IFERROR(INDEX('TRANS'!$B:$B,MATCH($B1120,'TRANS'!$A:$A,0)),IFERROR(INDEX('TRANS'!$B:$B,MATCH(TRIM(SUBSTITUTE($B1120,CHAR(160)," ")),'TRANS'!$D:$D,0)),IFERROR(INDEX('Catalog'!$A:$A,MATCH($B1120,'Catalog'!$B:$B,0)),IFERROR(INDEX('Catalog'!$A:$A,MATCH(TRIM(SUBSTITUTE($B1120,CHAR(160)," ")),'Catalog'!$C:$C,0)),""))))</f>
        <v>4408248</v>
      </c>
      <c r="H1120" s="8" t="str">
        <f aca="false">IFERROR(INDEX('TRANS'!$C:$C,MATCH($B1120,'TRANS'!$A:$A,0)),IFERROR(INDEX('Catalog'!$B:$B,MATCH($G1120,'Catalog'!$A:$A,0)),$B1120))</f>
        <v>SC25  M חבק יד</v>
      </c>
      <c r="I1120" s="8" t="str">
        <f aca="false">IF($G1120="","Unmatched","Matched")</f>
        <v>Matched</v>
      </c>
    </row>
    <row r="1121" customFormat="false" ht="15" hidden="false" customHeight="false" outlineLevel="0" collapsed="false">
      <c r="A1121" s="8" t="s">
        <v>572</v>
      </c>
      <c r="B1121" s="8" t="s">
        <v>295</v>
      </c>
      <c r="C1121" s="19" t="n">
        <v>2</v>
      </c>
      <c r="D1121" s="19" t="n">
        <v>170.97</v>
      </c>
      <c r="E1121" s="19" t="n">
        <v>1</v>
      </c>
      <c r="F1121" s="19" t="n">
        <v>93.67</v>
      </c>
      <c r="G1121" s="8" t="n">
        <f aca="false">IFERROR(INDEX('TRANS'!$B:$B,MATCH($B1121,'TRANS'!$A:$A,0)),IFERROR(INDEX('TRANS'!$B:$B,MATCH(TRIM(SUBSTITUTE($B1121,CHAR(160)," ")),'TRANS'!$D:$D,0)),IFERROR(INDEX('Catalog'!$A:$A,MATCH($B1121,'Catalog'!$B:$B,0)),IFERROR(INDEX('Catalog'!$A:$A,MATCH(TRIM(SUBSTITUTE($B1121,CHAR(160)," ")),'Catalog'!$C:$C,0)),""))))</f>
        <v>4408250</v>
      </c>
      <c r="H1121" s="8" t="str">
        <f aca="false">IFERROR(INDEX('TRANS'!$C:$C,MATCH($B1121,'TRANS'!$A:$A,0)),IFERROR(INDEX('Catalog'!$B:$B,MATCH($G1121,'Catalog'!$A:$A,0)),$B1121))</f>
        <v>SC25 XL חבק יד</v>
      </c>
      <c r="I1121" s="8" t="str">
        <f aca="false">IF($G1121="","Unmatched","Matched")</f>
        <v>Matched</v>
      </c>
    </row>
    <row r="1122" customFormat="false" ht="15" hidden="false" customHeight="false" outlineLevel="0" collapsed="false">
      <c r="A1122" s="8" t="s">
        <v>572</v>
      </c>
      <c r="B1122" s="8" t="s">
        <v>296</v>
      </c>
      <c r="C1122" s="19" t="n">
        <v>4</v>
      </c>
      <c r="D1122" s="19" t="n">
        <v>358.32</v>
      </c>
      <c r="E1122" s="19" t="n">
        <v>1</v>
      </c>
      <c r="F1122" s="19" t="n">
        <v>93.67</v>
      </c>
      <c r="G1122" s="8" t="n">
        <f aca="false">IFERROR(INDEX('TRANS'!$B:$B,MATCH($B1122,'TRANS'!$A:$A,0)),IFERROR(INDEX('TRANS'!$B:$B,MATCH(TRIM(SUBSTITUTE($B1122,CHAR(160)," ")),'TRANS'!$D:$D,0)),IFERROR(INDEX('Catalog'!$A:$A,MATCH($B1122,'Catalog'!$B:$B,0)),IFERROR(INDEX('Catalog'!$A:$A,MATCH(TRIM(SUBSTITUTE($B1122,CHAR(160)," ")),'Catalog'!$C:$C,0)),""))))</f>
        <v>4413422</v>
      </c>
      <c r="H1122" s="8" t="str">
        <f aca="false">IFERROR(INDEX('TRANS'!$C:$C,MATCH($B1122,'TRANS'!$A:$A,0)),IFERROR(INDEX('Catalog'!$B:$B,MATCH($G1122,'Catalog'!$A:$A,0)),$B1122))</f>
        <v>SC35L  L מגן קרסול שמאל</v>
      </c>
      <c r="I1122" s="8" t="str">
        <f aca="false">IF($G1122="","Unmatched","Matched")</f>
        <v>Matched</v>
      </c>
    </row>
    <row r="1123" customFormat="false" ht="15" hidden="false" customHeight="false" outlineLevel="0" collapsed="false">
      <c r="A1123" s="8" t="s">
        <v>572</v>
      </c>
      <c r="B1123" s="8" t="s">
        <v>782</v>
      </c>
      <c r="C1123" s="19" t="n">
        <v>1</v>
      </c>
      <c r="D1123" s="19" t="n">
        <v>77.29</v>
      </c>
      <c r="E1123" s="19" t="n">
        <v>0</v>
      </c>
      <c r="F1123" s="19" t="n">
        <v>0</v>
      </c>
      <c r="G1123" s="8" t="n">
        <f aca="false">IFERROR(INDEX('TRANS'!$B:$B,MATCH($B1123,'TRANS'!$A:$A,0)),IFERROR(INDEX('TRANS'!$B:$B,MATCH(TRIM(SUBSTITUTE($B1123,CHAR(160)," ")),'TRANS'!$D:$D,0)),IFERROR(INDEX('Catalog'!$A:$A,MATCH($B1123,'Catalog'!$B:$B,0)),IFERROR(INDEX('Catalog'!$A:$A,MATCH(TRIM(SUBSTITUTE($B1123,CHAR(160)," ")),'Catalog'!$C:$C,0)),""))))</f>
        <v>4413420</v>
      </c>
      <c r="H1123" s="8" t="str">
        <f aca="false">IFERROR(INDEX('TRANS'!$C:$C,MATCH($B1123,'TRANS'!$A:$A,0)),IFERROR(INDEX('Catalog'!$B:$B,MATCH($G1123,'Catalog'!$A:$A,0)),$B1123))</f>
        <v>SC35L  S מגן קרסול שמאל</v>
      </c>
      <c r="I1123" s="8" t="str">
        <f aca="false">IF($G1123="","Unmatched","Matched")</f>
        <v>Matched</v>
      </c>
    </row>
    <row r="1124" customFormat="false" ht="15" hidden="false" customHeight="false" outlineLevel="0" collapsed="false">
      <c r="A1124" s="8" t="s">
        <v>572</v>
      </c>
      <c r="B1124" s="8" t="s">
        <v>297</v>
      </c>
      <c r="C1124" s="19" t="n">
        <v>4</v>
      </c>
      <c r="D1124" s="19" t="n">
        <v>358.32</v>
      </c>
      <c r="E1124" s="19" t="n">
        <v>0</v>
      </c>
      <c r="F1124" s="19" t="n">
        <v>0</v>
      </c>
      <c r="G1124" s="8" t="n">
        <f aca="false">IFERROR(INDEX('TRANS'!$B:$B,MATCH($B1124,'TRANS'!$A:$A,0)),IFERROR(INDEX('TRANS'!$B:$B,MATCH(TRIM(SUBSTITUTE($B1124,CHAR(160)," ")),'TRANS'!$D:$D,0)),IFERROR(INDEX('Catalog'!$A:$A,MATCH($B1124,'Catalog'!$B:$B,0)),IFERROR(INDEX('Catalog'!$A:$A,MATCH(TRIM(SUBSTITUTE($B1124,CHAR(160)," ")),'Catalog'!$C:$C,0)),""))))</f>
        <v>4413423</v>
      </c>
      <c r="H1124" s="8" t="str">
        <f aca="false">IFERROR(INDEX('TRANS'!$C:$C,MATCH($B1124,'TRANS'!$A:$A,0)),IFERROR(INDEX('Catalog'!$B:$B,MATCH($G1124,'Catalog'!$A:$A,0)),$B1124))</f>
        <v>SC35L XL מגן קרסול שמאל</v>
      </c>
      <c r="I1124" s="8" t="str">
        <f aca="false">IF($G1124="","Unmatched","Matched")</f>
        <v>Matched</v>
      </c>
    </row>
    <row r="1125" customFormat="false" ht="15" hidden="false" customHeight="false" outlineLevel="0" collapsed="false">
      <c r="A1125" s="8" t="s">
        <v>572</v>
      </c>
      <c r="B1125" s="8" t="s">
        <v>298</v>
      </c>
      <c r="C1125" s="19" t="n">
        <v>4</v>
      </c>
      <c r="D1125" s="19" t="n">
        <v>358.32</v>
      </c>
      <c r="E1125" s="19" t="n">
        <v>0</v>
      </c>
      <c r="F1125" s="19" t="n">
        <v>0</v>
      </c>
      <c r="G1125" s="8" t="n">
        <f aca="false">IFERROR(INDEX('TRANS'!$B:$B,MATCH($B1125,'TRANS'!$A:$A,0)),IFERROR(INDEX('TRANS'!$B:$B,MATCH(TRIM(SUBSTITUTE($B1125,CHAR(160)," ")),'TRANS'!$D:$D,0)),IFERROR(INDEX('Catalog'!$A:$A,MATCH($B1125,'Catalog'!$B:$B,0)),IFERROR(INDEX('Catalog'!$A:$A,MATCH(TRIM(SUBSTITUTE($B1125,CHAR(160)," ")),'Catalog'!$C:$C,0)),""))))</f>
        <v>4413426</v>
      </c>
      <c r="H1125" s="8" t="str">
        <f aca="false">IFERROR(INDEX('TRANS'!$C:$C,MATCH($B1125,'TRANS'!$A:$A,0)),IFERROR(INDEX('Catalog'!$B:$B,MATCH($G1125,'Catalog'!$A:$A,0)),$B1125))</f>
        <v>SC35R  L מגן קרסול ימין</v>
      </c>
      <c r="I1125" s="8" t="str">
        <f aca="false">IF($G1125="","Unmatched","Matched")</f>
        <v>Matched</v>
      </c>
    </row>
    <row r="1126" customFormat="false" ht="15" hidden="false" customHeight="false" outlineLevel="0" collapsed="false">
      <c r="A1126" s="8" t="s">
        <v>572</v>
      </c>
      <c r="B1126" s="8" t="s">
        <v>299</v>
      </c>
      <c r="C1126" s="19" t="n">
        <v>4</v>
      </c>
      <c r="D1126" s="19" t="n">
        <v>358.32</v>
      </c>
      <c r="E1126" s="19" t="n">
        <v>0</v>
      </c>
      <c r="F1126" s="19" t="n">
        <v>0</v>
      </c>
      <c r="G1126" s="8" t="n">
        <f aca="false">IFERROR(INDEX('TRANS'!$B:$B,MATCH($B1126,'TRANS'!$A:$A,0)),IFERROR(INDEX('TRANS'!$B:$B,MATCH(TRIM(SUBSTITUTE($B1126,CHAR(160)," ")),'TRANS'!$D:$D,0)),IFERROR(INDEX('Catalog'!$A:$A,MATCH($B1126,'Catalog'!$B:$B,0)),IFERROR(INDEX('Catalog'!$A:$A,MATCH(TRIM(SUBSTITUTE($B1126,CHAR(160)," ")),'Catalog'!$C:$C,0)),""))))</f>
        <v>4413425</v>
      </c>
      <c r="H1126" s="8" t="str">
        <f aca="false">IFERROR(INDEX('TRANS'!$C:$C,MATCH($B1126,'TRANS'!$A:$A,0)),IFERROR(INDEX('Catalog'!$B:$B,MATCH($G1126,'Catalog'!$A:$A,0)),$B1126))</f>
        <v>SC35R  M מגן קרסול ימין</v>
      </c>
      <c r="I1126" s="8" t="str">
        <f aca="false">IF($G1126="","Unmatched","Matched")</f>
        <v>Matched</v>
      </c>
    </row>
    <row r="1127" customFormat="false" ht="15" hidden="false" customHeight="false" outlineLevel="0" collapsed="false">
      <c r="A1127" s="8" t="s">
        <v>572</v>
      </c>
      <c r="B1127" s="8" t="s">
        <v>300</v>
      </c>
      <c r="C1127" s="19" t="n">
        <v>1</v>
      </c>
      <c r="D1127" s="19" t="n">
        <v>77.29</v>
      </c>
      <c r="E1127" s="19" t="n">
        <v>0</v>
      </c>
      <c r="F1127" s="19" t="n">
        <v>0</v>
      </c>
      <c r="G1127" s="8" t="n">
        <f aca="false">IFERROR(INDEX('TRANS'!$B:$B,MATCH($B1127,'TRANS'!$A:$A,0)),IFERROR(INDEX('TRANS'!$B:$B,MATCH(TRIM(SUBSTITUTE($B1127,CHAR(160)," ")),'TRANS'!$D:$D,0)),IFERROR(INDEX('Catalog'!$A:$A,MATCH($B1127,'Catalog'!$B:$B,0)),IFERROR(INDEX('Catalog'!$A:$A,MATCH(TRIM(SUBSTITUTE($B1127,CHAR(160)," ")),'Catalog'!$C:$C,0)),""))))</f>
        <v>4413424</v>
      </c>
      <c r="H1127" s="8" t="str">
        <f aca="false">IFERROR(INDEX('TRANS'!$C:$C,MATCH($B1127,'TRANS'!$A:$A,0)),IFERROR(INDEX('Catalog'!$B:$B,MATCH($G1127,'Catalog'!$A:$A,0)),$B1127))</f>
        <v>SC35R  S מגן קרסול ימין</v>
      </c>
      <c r="I1127" s="8" t="str">
        <f aca="false">IF($G1127="","Unmatched","Matched")</f>
        <v>Matched</v>
      </c>
    </row>
    <row r="1128" customFormat="false" ht="15" hidden="false" customHeight="false" outlineLevel="0" collapsed="false">
      <c r="A1128" s="8" t="s">
        <v>572</v>
      </c>
      <c r="B1128" s="8" t="s">
        <v>783</v>
      </c>
      <c r="C1128" s="19" t="n">
        <v>4</v>
      </c>
      <c r="D1128" s="19" t="n">
        <v>358.32</v>
      </c>
      <c r="E1128" s="19" t="n">
        <v>0</v>
      </c>
      <c r="F1128" s="19" t="n">
        <v>0</v>
      </c>
      <c r="G1128" s="8" t="n">
        <f aca="false">IFERROR(INDEX('TRANS'!$B:$B,MATCH($B1128,'TRANS'!$A:$A,0)),IFERROR(INDEX('TRANS'!$B:$B,MATCH(TRIM(SUBSTITUTE($B1128,CHAR(160)," ")),'TRANS'!$D:$D,0)),IFERROR(INDEX('Catalog'!$A:$A,MATCH($B1128,'Catalog'!$B:$B,0)),IFERROR(INDEX('Catalog'!$A:$A,MATCH(TRIM(SUBSTITUTE($B1128,CHAR(160)," ")),'Catalog'!$C:$C,0)),""))))</f>
        <v>4413427</v>
      </c>
      <c r="H1128" s="8" t="str">
        <f aca="false">IFERROR(INDEX('TRANS'!$C:$C,MATCH($B1128,'TRANS'!$A:$A,0)),IFERROR(INDEX('Catalog'!$B:$B,MATCH($G1128,'Catalog'!$A:$A,0)),$B1128))</f>
        <v>SC35R  XLמגן קרסול ימין</v>
      </c>
      <c r="I1128" s="8" t="str">
        <f aca="false">IF($G1128="","Unmatched","Matched")</f>
        <v>Matched</v>
      </c>
    </row>
    <row r="1129" customFormat="false" ht="15" hidden="false" customHeight="false" outlineLevel="0" collapsed="false">
      <c r="A1129" s="8" t="s">
        <v>572</v>
      </c>
      <c r="B1129" s="8" t="s">
        <v>435</v>
      </c>
      <c r="C1129" s="19" t="n">
        <v>1</v>
      </c>
      <c r="D1129" s="19" t="n">
        <v>145.26</v>
      </c>
      <c r="E1129" s="19" t="n">
        <v>2</v>
      </c>
      <c r="F1129" s="19" t="n">
        <v>328.04</v>
      </c>
      <c r="G1129" s="8" t="n">
        <f aca="false">IFERROR(INDEX('TRANS'!$B:$B,MATCH($B1129,'TRANS'!$A:$A,0)),IFERROR(INDEX('TRANS'!$B:$B,MATCH(TRIM(SUBSTITUTE($B1129,CHAR(160)," ")),'TRANS'!$D:$D,0)),IFERROR(INDEX('Catalog'!$A:$A,MATCH($B1129,'Catalog'!$B:$B,0)),IFERROR(INDEX('Catalog'!$A:$A,MATCH(TRIM(SUBSTITUTE($B1129,CHAR(160)," ")),'Catalog'!$C:$C,0)),""))))</f>
        <v>4413415</v>
      </c>
      <c r="H1129" s="8" t="str">
        <f aca="false">IFERROR(INDEX('TRANS'!$C:$C,MATCH($B1129,'TRANS'!$A:$A,0)),IFERROR(INDEX('Catalog'!$B:$B,MATCH($G1129,'Catalog'!$A:$A,0)),$B1129))</f>
        <v>SC39  S מגן שוק</v>
      </c>
      <c r="I1129" s="8" t="str">
        <f aca="false">IF($G1129="","Unmatched","Matched")</f>
        <v>Matched</v>
      </c>
    </row>
    <row r="1130" customFormat="false" ht="15" hidden="false" customHeight="false" outlineLevel="0" collapsed="false">
      <c r="A1130" s="8" t="s">
        <v>572</v>
      </c>
      <c r="B1130" s="8" t="s">
        <v>306</v>
      </c>
      <c r="C1130" s="19" t="n">
        <v>2</v>
      </c>
      <c r="D1130" s="19" t="n">
        <v>170.97</v>
      </c>
      <c r="E1130" s="19" t="n">
        <v>0</v>
      </c>
      <c r="F1130" s="19" t="n">
        <v>0</v>
      </c>
      <c r="G1130" s="8" t="n">
        <f aca="false">IFERROR(INDEX('TRANS'!$B:$B,MATCH($B1130,'TRANS'!$A:$A,0)),IFERROR(INDEX('TRANS'!$B:$B,MATCH(TRIM(SUBSTITUTE($B1130,CHAR(160)," ")),'TRANS'!$D:$D,0)),IFERROR(INDEX('Catalog'!$A:$A,MATCH($B1130,'Catalog'!$B:$B,0)),IFERROR(INDEX('Catalog'!$A:$A,MATCH(TRIM(SUBSTITUTE($B1130,CHAR(160)," ")),'Catalog'!$C:$C,0)),""))))</f>
        <v>4413405</v>
      </c>
      <c r="H1130" s="8" t="str">
        <f aca="false">IFERROR(INDEX('TRANS'!$C:$C,MATCH($B1130,'TRANS'!$A:$A,0)),IFERROR(INDEX('Catalog'!$B:$B,MATCH($G1130,'Catalog'!$A:$A,0)),$B1130))</f>
        <v>SC95 S מגן מרפק</v>
      </c>
      <c r="I1130" s="8" t="str">
        <f aca="false">IF($G1130="","Unmatched","Matched")</f>
        <v>Matched</v>
      </c>
    </row>
    <row r="1131" customFormat="false" ht="15" hidden="false" customHeight="false" outlineLevel="0" collapsed="false">
      <c r="A1131" s="8" t="s">
        <v>572</v>
      </c>
      <c r="B1131" s="8" t="s">
        <v>784</v>
      </c>
      <c r="C1131" s="19" t="n">
        <v>4</v>
      </c>
      <c r="D1131" s="19" t="n">
        <v>450</v>
      </c>
      <c r="E1131" s="19" t="n">
        <v>1</v>
      </c>
      <c r="F1131" s="19" t="n">
        <v>115</v>
      </c>
      <c r="G1131" s="8" t="str">
        <f aca="false">IFERROR(INDEX('TRANS'!$B:$B,MATCH($B1131,'TRANS'!$A:$A,0)),IFERROR(INDEX('TRANS'!$B:$B,MATCH(TRIM(SUBSTITUTE($B1131,CHAR(160)," ")),'TRANS'!$D:$D,0)),IFERROR(INDEX('Catalog'!$A:$A,MATCH($B1131,'Catalog'!$B:$B,0)),IFERROR(INDEX('Catalog'!$A:$A,MATCH(TRIM(SUBSTITUTE($B1131,CHAR(160)," ")),'Catalog'!$C:$C,0)),""))))</f>
        <v/>
      </c>
      <c r="H1131" s="8" t="str">
        <f aca="false">IFERROR(INDEX('TRANS'!$C:$C,MATCH($B1131,'TRANS'!$A:$A,0)),IFERROR(INDEX('Catalog'!$B:$B,MATCH($G1131,'Catalog'!$A:$A,0)),$B1131))</f>
        <v>T33 M</v>
      </c>
      <c r="I1131" s="8" t="str">
        <f aca="false">IF($G1131="","Unmatched","Matched")</f>
        <v>Unmatched</v>
      </c>
    </row>
    <row r="1132" customFormat="false" ht="15" hidden="false" customHeight="false" outlineLevel="0" collapsed="false">
      <c r="A1132" s="8" t="s">
        <v>572</v>
      </c>
      <c r="B1132" s="8" t="s">
        <v>785</v>
      </c>
      <c r="C1132" s="19" t="n">
        <v>1</v>
      </c>
      <c r="D1132" s="19" t="n">
        <v>110</v>
      </c>
      <c r="E1132" s="19" t="n">
        <v>1</v>
      </c>
      <c r="F1132" s="19" t="n">
        <v>115</v>
      </c>
      <c r="G1132" s="8" t="str">
        <f aca="false">IFERROR(INDEX('TRANS'!$B:$B,MATCH($B1132,'TRANS'!$A:$A,0)),IFERROR(INDEX('TRANS'!$B:$B,MATCH(TRIM(SUBSTITUTE($B1132,CHAR(160)," ")),'TRANS'!$D:$D,0)),IFERROR(INDEX('Catalog'!$A:$A,MATCH($B1132,'Catalog'!$B:$B,0)),IFERROR(INDEX('Catalog'!$A:$A,MATCH(TRIM(SUBSTITUTE($B1132,CHAR(160)," ")),'Catalog'!$C:$C,0)),""))))</f>
        <v/>
      </c>
      <c r="H1132" s="8" t="str">
        <f aca="false">IFERROR(INDEX('TRANS'!$C:$C,MATCH($B1132,'TRANS'!$A:$A,0)),IFERROR(INDEX('Catalog'!$B:$B,MATCH($G1132,'Catalog'!$A:$A,0)),$B1132))</f>
        <v>T33 S</v>
      </c>
      <c r="I1132" s="8" t="str">
        <f aca="false">IF($G1132="","Unmatched","Matched")</f>
        <v>Unmatched</v>
      </c>
    </row>
    <row r="1133" customFormat="false" ht="15" hidden="false" customHeight="false" outlineLevel="0" collapsed="false">
      <c r="A1133" s="8" t="s">
        <v>572</v>
      </c>
      <c r="B1133" s="8" t="s">
        <v>786</v>
      </c>
      <c r="C1133" s="19" t="n">
        <v>1</v>
      </c>
      <c r="D1133" s="19" t="n">
        <v>110.01</v>
      </c>
      <c r="E1133" s="19" t="n">
        <v>0</v>
      </c>
      <c r="F1133" s="19" t="n">
        <v>0</v>
      </c>
      <c r="G1133" s="8" t="str">
        <f aca="false">IFERROR(INDEX('TRANS'!$B:$B,MATCH($B1133,'TRANS'!$A:$A,0)),IFERROR(INDEX('TRANS'!$B:$B,MATCH(TRIM(SUBSTITUTE($B1133,CHAR(160)," ")),'TRANS'!$D:$D,0)),IFERROR(INDEX('Catalog'!$A:$A,MATCH($B1133,'Catalog'!$B:$B,0)),IFERROR(INDEX('Catalog'!$A:$A,MATCH(TRIM(SUBSTITUTE($B1133,CHAR(160)," ")),'Catalog'!$C:$C,0)),""))))</f>
        <v/>
      </c>
      <c r="H1133" s="8" t="str">
        <f aca="false">IFERROR(INDEX('TRANS'!$C:$C,MATCH($B1133,'TRANS'!$A:$A,0)),IFERROR(INDEX('Catalog'!$B:$B,MATCH($G1133,'Catalog'!$A:$A,0)),$B1133))</f>
        <v>T33 XS</v>
      </c>
      <c r="I1133" s="8" t="str">
        <f aca="false">IF($G1133="","Unmatched","Matched")</f>
        <v>Unmatched</v>
      </c>
    </row>
    <row r="1134" customFormat="false" ht="15" hidden="false" customHeight="false" outlineLevel="0" collapsed="false">
      <c r="A1134" s="8" t="s">
        <v>572</v>
      </c>
      <c r="B1134" s="8" t="s">
        <v>334</v>
      </c>
      <c r="C1134" s="19" t="n">
        <v>1</v>
      </c>
      <c r="D1134" s="19" t="n">
        <v>164.99</v>
      </c>
      <c r="E1134" s="19" t="n">
        <v>0</v>
      </c>
      <c r="F1134" s="19" t="n">
        <v>0</v>
      </c>
      <c r="G1134" s="8" t="str">
        <f aca="false">IFERROR(INDEX('TRANS'!$B:$B,MATCH($B1134,'TRANS'!$A:$A,0)),IFERROR(INDEX('TRANS'!$B:$B,MATCH(TRIM(SUBSTITUTE($B1134,CHAR(160)," ")),'TRANS'!$D:$D,0)),IFERROR(INDEX('Catalog'!$A:$A,MATCH($B1134,'Catalog'!$B:$B,0)),IFERROR(INDEX('Catalog'!$A:$A,MATCH(TRIM(SUBSTITUTE($B1134,CHAR(160)," ")),'Catalog'!$C:$C,0)),""))))</f>
        <v/>
      </c>
      <c r="H1134" s="8" t="str">
        <f aca="false">IFERROR(INDEX('TRANS'!$C:$C,MATCH($B1134,'TRANS'!$A:$A,0)),IFERROR(INDEX('Catalog'!$B:$B,MATCH($G1134,'Catalog'!$A:$A,0)),$B1134))</f>
        <v>062 L</v>
      </c>
      <c r="I1134" s="8" t="str">
        <f aca="false">IF($G1134="","Unmatched","Matched")</f>
        <v>Unmatched</v>
      </c>
    </row>
    <row r="1135" customFormat="false" ht="15" hidden="false" customHeight="false" outlineLevel="0" collapsed="false">
      <c r="A1135" s="8" t="s">
        <v>572</v>
      </c>
      <c r="B1135" s="8" t="s">
        <v>787</v>
      </c>
      <c r="C1135" s="19" t="n">
        <v>2</v>
      </c>
      <c r="D1135" s="19" t="n">
        <v>330</v>
      </c>
      <c r="E1135" s="19" t="n">
        <v>0</v>
      </c>
      <c r="F1135" s="19" t="n">
        <v>0</v>
      </c>
      <c r="G1135" s="8" t="str">
        <f aca="false">IFERROR(INDEX('TRANS'!$B:$B,MATCH($B1135,'TRANS'!$A:$A,0)),IFERROR(INDEX('TRANS'!$B:$B,MATCH(TRIM(SUBSTITUTE($B1135,CHAR(160)," ")),'TRANS'!$D:$D,0)),IFERROR(INDEX('Catalog'!$A:$A,MATCH($B1135,'Catalog'!$B:$B,0)),IFERROR(INDEX('Catalog'!$A:$A,MATCH(TRIM(SUBSTITUTE($B1135,CHAR(160)," ")),'Catalog'!$C:$C,0)),""))))</f>
        <v/>
      </c>
      <c r="H1135" s="8" t="str">
        <f aca="false">IFERROR(INDEX('TRANS'!$C:$C,MATCH($B1135,'TRANS'!$A:$A,0)),IFERROR(INDEX('Catalog'!$B:$B,MATCH($G1135,'Catalog'!$A:$A,0)),$B1135))</f>
        <v>062 XXL</v>
      </c>
      <c r="I1135" s="8" t="str">
        <f aca="false">IF($G1135="","Unmatched","Matched")</f>
        <v>Unmatched</v>
      </c>
    </row>
    <row r="1136" customFormat="false" ht="15" hidden="false" customHeight="false" outlineLevel="0" collapsed="false">
      <c r="A1136" s="8" t="s">
        <v>572</v>
      </c>
      <c r="B1136" s="8" t="s">
        <v>788</v>
      </c>
      <c r="C1136" s="19" t="n">
        <v>2</v>
      </c>
      <c r="D1136" s="19" t="n">
        <v>271.77</v>
      </c>
      <c r="E1136" s="19" t="n">
        <v>0</v>
      </c>
      <c r="F1136" s="19" t="n">
        <v>0</v>
      </c>
      <c r="G1136" s="8" t="str">
        <f aca="false">IFERROR(INDEX('TRANS'!$B:$B,MATCH($B1136,'TRANS'!$A:$A,0)),IFERROR(INDEX('TRANS'!$B:$B,MATCH(TRIM(SUBSTITUTE($B1136,CHAR(160)," ")),'TRANS'!$D:$D,0)),IFERROR(INDEX('Catalog'!$A:$A,MATCH($B1136,'Catalog'!$B:$B,0)),IFERROR(INDEX('Catalog'!$A:$A,MATCH(TRIM(SUBSTITUTE($B1136,CHAR(160)," ")),'Catalog'!$C:$C,0)),""))))</f>
        <v/>
      </c>
      <c r="H1136" s="8" t="str">
        <f aca="false">IFERROR(INDEX('TRANS'!$C:$C,MATCH($B1136,'TRANS'!$A:$A,0)),IFERROR(INDEX('Catalog'!$B:$B,MATCH($G1136,'Catalog'!$A:$A,0)),$B1136))</f>
        <v>11PS M</v>
      </c>
      <c r="I1136" s="8" t="str">
        <f aca="false">IF($G1136="","Unmatched","Matched")</f>
        <v>Unmatched</v>
      </c>
    </row>
    <row r="1137" customFormat="false" ht="15" hidden="false" customHeight="false" outlineLevel="0" collapsed="false">
      <c r="A1137" s="8" t="s">
        <v>572</v>
      </c>
      <c r="B1137" s="8" t="s">
        <v>789</v>
      </c>
      <c r="C1137" s="19" t="n">
        <v>1</v>
      </c>
      <c r="D1137" s="19" t="n">
        <v>95</v>
      </c>
      <c r="E1137" s="19" t="n">
        <v>0</v>
      </c>
      <c r="F1137" s="19" t="n">
        <v>0</v>
      </c>
      <c r="G1137" s="8" t="str">
        <f aca="false">IFERROR(INDEX('TRANS'!$B:$B,MATCH($B1137,'TRANS'!$A:$A,0)),IFERROR(INDEX('TRANS'!$B:$B,MATCH(TRIM(SUBSTITUTE($B1137,CHAR(160)," ")),'TRANS'!$D:$D,0)),IFERROR(INDEX('Catalog'!$A:$A,MATCH($B1137,'Catalog'!$B:$B,0)),IFERROR(INDEX('Catalog'!$A:$A,MATCH(TRIM(SUBSTITUTE($B1137,CHAR(160)," ")),'Catalog'!$C:$C,0)),""))))</f>
        <v/>
      </c>
      <c r="H1137" s="8" t="str">
        <f aca="false">IFERROR(INDEX('TRANS'!$C:$C,MATCH($B1137,'TRANS'!$A:$A,0)),IFERROR(INDEX('Catalog'!$B:$B,MATCH($G1137,'Catalog'!$A:$A,0)),$B1137))</f>
        <v>422EU S</v>
      </c>
      <c r="I1137" s="8" t="str">
        <f aca="false">IF($G1137="","Unmatched","Matched")</f>
        <v>Unmatched</v>
      </c>
    </row>
    <row r="1138" customFormat="false" ht="15" hidden="false" customHeight="false" outlineLevel="0" collapsed="false">
      <c r="A1138" s="8" t="s">
        <v>572</v>
      </c>
      <c r="B1138" s="8" t="s">
        <v>180</v>
      </c>
      <c r="C1138" s="19" t="n">
        <v>2</v>
      </c>
      <c r="D1138" s="19" t="n">
        <v>54</v>
      </c>
      <c r="E1138" s="19" t="n">
        <v>0</v>
      </c>
      <c r="F1138" s="19" t="n">
        <v>0</v>
      </c>
      <c r="G1138" s="8" t="n">
        <f aca="false">IFERROR(INDEX('TRANS'!$B:$B,MATCH($B1138,'TRANS'!$A:$A,0)),IFERROR(INDEX('TRANS'!$B:$B,MATCH(TRIM(SUBSTITUTE($B1138,CHAR(160)," ")),'TRANS'!$D:$D,0)),IFERROR(INDEX('Catalog'!$A:$A,MATCH($B1138,'Catalog'!$B:$B,0)),IFERROR(INDEX('Catalog'!$A:$A,MATCH(TRIM(SUBSTITUTE($B1138,CHAR(160)," ")),'Catalog'!$C:$C,0)),""))))</f>
        <v>4403000</v>
      </c>
      <c r="H1138" s="8" t="str">
        <f aca="false">IFERROR(INDEX('TRANS'!$C:$C,MATCH($B1138,'TRANS'!$A:$A,0)),IFERROR(INDEX('Catalog'!$B:$B,MATCH($G1138,'Catalog'!$A:$A,0)),$B1138))</f>
        <v>390B גרב.כסף לסכרתים שחור35-38</v>
      </c>
      <c r="I1138" s="8" t="str">
        <f aca="false">IF($G1138="","Unmatched","Matched")</f>
        <v>Matched</v>
      </c>
    </row>
    <row r="1139" customFormat="false" ht="15" hidden="false" customHeight="false" outlineLevel="0" collapsed="false">
      <c r="A1139" s="8" t="s">
        <v>572</v>
      </c>
      <c r="B1139" s="8" t="s">
        <v>790</v>
      </c>
      <c r="C1139" s="19" t="n">
        <v>2</v>
      </c>
      <c r="D1139" s="19" t="n">
        <v>806.12</v>
      </c>
      <c r="E1139" s="19" t="n">
        <v>2</v>
      </c>
      <c r="F1139" s="19" t="n">
        <v>806.11</v>
      </c>
      <c r="G1139" s="8" t="str">
        <f aca="false">IFERROR(INDEX('TRANS'!$B:$B,MATCH($B1139,'TRANS'!$A:$A,0)),IFERROR(INDEX('TRANS'!$B:$B,MATCH(TRIM(SUBSTITUTE($B1139,CHAR(160)," ")),'TRANS'!$D:$D,0)),IFERROR(INDEX('Catalog'!$A:$A,MATCH($B1139,'Catalog'!$B:$B,0)),IFERROR(INDEX('Catalog'!$A:$A,MATCH(TRIM(SUBSTITUTE($B1139,CHAR(160)," ")),'Catalog'!$C:$C,0)),""))))</f>
        <v/>
      </c>
      <c r="H1139" s="8" t="str">
        <f aca="false">IFERROR(INDEX('TRANS'!$C:$C,MATCH($B1139,'TRANS'!$A:$A,0)),IFERROR(INDEX('Catalog'!$B:$B,MATCH($G1139,'Catalog'!$A:$A,0)),$B1139))</f>
        <v>T43V L</v>
      </c>
      <c r="I1139" s="8" t="str">
        <f aca="false">IF($G1139="","Unmatched","Matched")</f>
        <v>Unmatched</v>
      </c>
    </row>
    <row r="1140" customFormat="false" ht="15" hidden="false" customHeight="false" outlineLevel="0" collapsed="false">
      <c r="A1140" s="8" t="s">
        <v>572</v>
      </c>
      <c r="B1140" s="8" t="s">
        <v>791</v>
      </c>
      <c r="C1140" s="19" t="n">
        <v>1</v>
      </c>
      <c r="D1140" s="19" t="n">
        <v>66.51</v>
      </c>
      <c r="E1140" s="19" t="n">
        <v>0</v>
      </c>
      <c r="F1140" s="19" t="n">
        <v>0</v>
      </c>
      <c r="G1140" s="8" t="str">
        <f aca="false">IFERROR(INDEX('TRANS'!$B:$B,MATCH($B1140,'TRANS'!$A:$A,0)),IFERROR(INDEX('TRANS'!$B:$B,MATCH(TRIM(SUBSTITUTE($B1140,CHAR(160)," ")),'TRANS'!$D:$D,0)),IFERROR(INDEX('Catalog'!$A:$A,MATCH($B1140,'Catalog'!$B:$B,0)),IFERROR(INDEX('Catalog'!$A:$A,MATCH(TRIM(SUBSTITUTE($B1140,CHAR(160)," ")),'Catalog'!$C:$C,0)),""))))</f>
        <v/>
      </c>
      <c r="H1140" s="8" t="str">
        <f aca="false">IFERROR(INDEX('TRANS'!$C:$C,MATCH($B1140,'TRANS'!$A:$A,0)),IFERROR(INDEX('Catalog'!$B:$B,MATCH($G1140,'Catalog'!$A:$A,0)),$B1140))</f>
        <v>30 XXL</v>
      </c>
      <c r="I1140" s="8" t="str">
        <f aca="false">IF($G1140="","Unmatched","Matched")</f>
        <v>Unmatched</v>
      </c>
    </row>
    <row r="1141" customFormat="false" ht="15" hidden="false" customHeight="false" outlineLevel="0" collapsed="false">
      <c r="A1141" s="8" t="s">
        <v>572</v>
      </c>
      <c r="B1141" s="8" t="s">
        <v>157</v>
      </c>
      <c r="C1141" s="19" t="n">
        <v>1</v>
      </c>
      <c r="D1141" s="19" t="n">
        <v>66.5</v>
      </c>
      <c r="E1141" s="19" t="n">
        <v>0</v>
      </c>
      <c r="F1141" s="19" t="n">
        <v>0</v>
      </c>
      <c r="G1141" s="8" t="n">
        <f aca="false">IFERROR(INDEX('TRANS'!$B:$B,MATCH($B1141,'TRANS'!$A:$A,0)),IFERROR(INDEX('TRANS'!$B:$B,MATCH(TRIM(SUBSTITUTE($B1141,CHAR(160)," ")),'TRANS'!$D:$D,0)),IFERROR(INDEX('Catalog'!$A:$A,MATCH($B1141,'Catalog'!$B:$B,0)),IFERROR(INDEX('Catalog'!$A:$A,MATCH(TRIM(SUBSTITUTE($B1141,CHAR(160)," ")),'Catalog'!$C:$C,0)),""))))</f>
        <v>4413340</v>
      </c>
      <c r="H1141" s="8" t="str">
        <f aca="false">IFERROR(INDEX('TRANS'!$C:$C,MATCH($B1141,'TRANS'!$A:$A,0)),IFERROR(INDEX('Catalog'!$B:$B,MATCH($G1141,'Catalog'!$A:$A,0)),$B1141))</f>
        <v>3666 מפריד הלוקס</v>
      </c>
      <c r="I1141" s="8" t="str">
        <f aca="false">IF($G1141="","Unmatched","Matched")</f>
        <v>Matched</v>
      </c>
    </row>
    <row r="1142" customFormat="false" ht="15" hidden="false" customHeight="false" outlineLevel="0" collapsed="false">
      <c r="A1142" s="8" t="s">
        <v>572</v>
      </c>
      <c r="B1142" s="8" t="s">
        <v>102</v>
      </c>
      <c r="C1142" s="19" t="n">
        <v>0</v>
      </c>
      <c r="D1142" s="19" t="n">
        <v>0</v>
      </c>
      <c r="E1142" s="19" t="n">
        <v>-5</v>
      </c>
      <c r="F1142" s="19" t="n">
        <v>-95.85</v>
      </c>
      <c r="G1142" s="8" t="n">
        <f aca="false">IFERROR(INDEX('TRANS'!$B:$B,MATCH($B1142,'TRANS'!$A:$A,0)),IFERROR(INDEX('TRANS'!$B:$B,MATCH(TRIM(SUBSTITUTE($B1142,CHAR(160)," ")),'TRANS'!$D:$D,0)),IFERROR(INDEX('Catalog'!$A:$A,MATCH($B1142,'Catalog'!$B:$B,0)),IFERROR(INDEX('Catalog'!$A:$A,MATCH(TRIM(SUBSTITUTE($B1142,CHAR(160)," ")),'Catalog'!$C:$C,0)),""))))</f>
        <v>4419013</v>
      </c>
      <c r="H1142" s="8" t="str">
        <f aca="false">IFERROR(INDEX('TRANS'!$C:$C,MATCH($B1142,'TRANS'!$A:$A,0)),IFERROR(INDEX('Catalog'!$B:$B,MATCH($G1142,'Catalog'!$A:$A,0)),$B1142))</f>
        <v>239B L-XL STRAP4U</v>
      </c>
      <c r="I1142" s="8" t="str">
        <f aca="false">IF($G1142="","Unmatched","Matched")</f>
        <v>Matched</v>
      </c>
    </row>
    <row r="1143" customFormat="false" ht="15" hidden="false" customHeight="false" outlineLevel="0" collapsed="false">
      <c r="A1143" s="8" t="s">
        <v>572</v>
      </c>
      <c r="B1143" s="8" t="s">
        <v>104</v>
      </c>
      <c r="C1143" s="19" t="n">
        <v>0</v>
      </c>
      <c r="D1143" s="19" t="n">
        <v>0</v>
      </c>
      <c r="E1143" s="19" t="n">
        <v>-2</v>
      </c>
      <c r="F1143" s="19" t="n">
        <v>-38.34</v>
      </c>
      <c r="G1143" s="8" t="n">
        <f aca="false">IFERROR(INDEX('TRANS'!$B:$B,MATCH($B1143,'TRANS'!$A:$A,0)),IFERROR(INDEX('TRANS'!$B:$B,MATCH(TRIM(SUBSTITUTE($B1143,CHAR(160)," ")),'TRANS'!$D:$D,0)),IFERROR(INDEX('Catalog'!$A:$A,MATCH($B1143,'Catalog'!$B:$B,0)),IFERROR(INDEX('Catalog'!$A:$A,MATCH(TRIM(SUBSTITUTE($B1143,CHAR(160)," ")),'Catalog'!$C:$C,0)),""))))</f>
        <v>4419014</v>
      </c>
      <c r="H1143" s="8" t="str">
        <f aca="false">IFERROR(INDEX('TRANS'!$C:$C,MATCH($B1143,'TRANS'!$A:$A,0)),IFERROR(INDEX('Catalog'!$B:$B,MATCH($G1143,'Catalog'!$A:$A,0)),$B1143))</f>
        <v>239TR L-XL STRAP4U</v>
      </c>
      <c r="I1143" s="8" t="str">
        <f aca="false">IF($G1143="","Unmatched","Matched")</f>
        <v>Matched</v>
      </c>
    </row>
    <row r="1144" customFormat="false" ht="15" hidden="false" customHeight="false" outlineLevel="0" collapsed="false">
      <c r="A1144" s="8" t="s">
        <v>572</v>
      </c>
      <c r="B1144" s="8" t="s">
        <v>792</v>
      </c>
      <c r="C1144" s="19" t="n">
        <v>1</v>
      </c>
      <c r="D1144" s="19" t="n">
        <v>30.89</v>
      </c>
      <c r="E1144" s="19" t="n">
        <v>0</v>
      </c>
      <c r="F1144" s="19" t="n">
        <v>0</v>
      </c>
      <c r="G1144" s="8" t="n">
        <f aca="false">IFERROR(INDEX('TRANS'!$B:$B,MATCH($B1144,'TRANS'!$A:$A,0)),IFERROR(INDEX('TRANS'!$B:$B,MATCH(TRIM(SUBSTITUTE($B1144,CHAR(160)," ")),'TRANS'!$D:$D,0)),IFERROR(INDEX('Catalog'!$A:$A,MATCH($B1144,'Catalog'!$B:$B,0)),IFERROR(INDEX('Catalog'!$A:$A,MATCH(TRIM(SUBSTITUTE($B1144,CHAR(160)," ")),'Catalog'!$C:$C,0)),""))))</f>
        <v>4413332</v>
      </c>
      <c r="H1144" s="8" t="str">
        <f aca="false">IFERROR(INDEX('TRANS'!$C:$C,MATCH($B1144,'TRANS'!$A:$A,0)),IFERROR(INDEX('Catalog'!$B:$B,MATCH($G1144,'Catalog'!$A:$A,0)),$B1144))</f>
        <v>45  XS מגן ברך רגיל לבן</v>
      </c>
      <c r="I1144" s="8" t="str">
        <f aca="false">IF($G1144="","Unmatched","Matched")</f>
        <v>Matched</v>
      </c>
    </row>
    <row r="1145" customFormat="false" ht="15" hidden="false" customHeight="false" outlineLevel="0" collapsed="false">
      <c r="A1145" s="8" t="s">
        <v>572</v>
      </c>
      <c r="B1145" s="8" t="s">
        <v>209</v>
      </c>
      <c r="C1145" s="19" t="n">
        <v>5</v>
      </c>
      <c r="D1145" s="19" t="n">
        <v>130.67</v>
      </c>
      <c r="E1145" s="19" t="n">
        <v>2</v>
      </c>
      <c r="F1145" s="19" t="n">
        <v>61.78</v>
      </c>
      <c r="G1145" s="8" t="n">
        <f aca="false">IFERROR(INDEX('TRANS'!$B:$B,MATCH($B1145,'TRANS'!$A:$A,0)),IFERROR(INDEX('TRANS'!$B:$B,MATCH(TRIM(SUBSTITUTE($B1145,CHAR(160)," ")),'TRANS'!$D:$D,0)),IFERROR(INDEX('Catalog'!$A:$A,MATCH($B1145,'Catalog'!$B:$B,0)),IFERROR(INDEX('Catalog'!$A:$A,MATCH(TRIM(SUBSTITUTE($B1145,CHAR(160)," ")),'Catalog'!$C:$C,0)),""))))</f>
        <v>4413497</v>
      </c>
      <c r="H1145" s="8" t="str">
        <f aca="false">IFERROR(INDEX('TRANS'!$C:$C,MATCH($B1145,'TRANS'!$A:$A,0)),IFERROR(INDEX('Catalog'!$B:$B,MATCH($G1145,'Catalog'!$A:$A,0)),$B1145))</f>
        <v>45B M מגן ברך שחור</v>
      </c>
      <c r="I1145" s="8" t="str">
        <f aca="false">IF($G1145="","Unmatched","Matched")</f>
        <v>Matched</v>
      </c>
    </row>
    <row r="1146" customFormat="false" ht="15" hidden="false" customHeight="false" outlineLevel="0" collapsed="false">
      <c r="A1146" s="8" t="s">
        <v>572</v>
      </c>
      <c r="B1146" s="8" t="s">
        <v>379</v>
      </c>
      <c r="C1146" s="19" t="n">
        <v>5</v>
      </c>
      <c r="D1146" s="19" t="n">
        <v>154.45</v>
      </c>
      <c r="E1146" s="19" t="n">
        <v>0</v>
      </c>
      <c r="F1146" s="19" t="n">
        <v>0</v>
      </c>
      <c r="G1146" s="8" t="n">
        <f aca="false">IFERROR(INDEX('TRANS'!$B:$B,MATCH($B1146,'TRANS'!$A:$A,0)),IFERROR(INDEX('TRANS'!$B:$B,MATCH(TRIM(SUBSTITUTE($B1146,CHAR(160)," ")),'TRANS'!$D:$D,0)),IFERROR(INDEX('Catalog'!$A:$A,MATCH($B1146,'Catalog'!$B:$B,0)),IFERROR(INDEX('Catalog'!$A:$A,MATCH(TRIM(SUBSTITUTE($B1146,CHAR(160)," ")),'Catalog'!$C:$C,0)),""))))</f>
        <v>4413498</v>
      </c>
      <c r="H1146" s="8" t="str">
        <f aca="false">IFERROR(INDEX('TRANS'!$C:$C,MATCH($B1146,'TRANS'!$A:$A,0)),IFERROR(INDEX('Catalog'!$B:$B,MATCH($G1146,'Catalog'!$A:$A,0)),$B1146))</f>
        <v>45B S מגן ברך שחור</v>
      </c>
      <c r="I1146" s="8" t="str">
        <f aca="false">IF($G1146="","Unmatched","Matched")</f>
        <v>Matched</v>
      </c>
    </row>
    <row r="1147" customFormat="false" ht="15" hidden="false" customHeight="false" outlineLevel="0" collapsed="false">
      <c r="A1147" s="8" t="s">
        <v>572</v>
      </c>
      <c r="B1147" s="8" t="s">
        <v>380</v>
      </c>
      <c r="C1147" s="19" t="n">
        <v>9</v>
      </c>
      <c r="D1147" s="19" t="n">
        <v>254.24</v>
      </c>
      <c r="E1147" s="19" t="n">
        <v>0</v>
      </c>
      <c r="F1147" s="19" t="n">
        <v>0</v>
      </c>
      <c r="G1147" s="8" t="n">
        <f aca="false">IFERROR(INDEX('TRANS'!$B:$B,MATCH($B1147,'TRANS'!$A:$A,0)),IFERROR(INDEX('TRANS'!$B:$B,MATCH(TRIM(SUBSTITUTE($B1147,CHAR(160)," ")),'TRANS'!$D:$D,0)),IFERROR(INDEX('Catalog'!$A:$A,MATCH($B1147,'Catalog'!$B:$B,0)),IFERROR(INDEX('Catalog'!$A:$A,MATCH(TRIM(SUBSTITUTE($B1147,CHAR(160)," ")),'Catalog'!$C:$C,0)),""))))</f>
        <v>4413496</v>
      </c>
      <c r="H1147" s="8" t="str">
        <f aca="false">IFERROR(INDEX('TRANS'!$C:$C,MATCH($B1147,'TRANS'!$A:$A,0)),IFERROR(INDEX('Catalog'!$B:$B,MATCH($G1147,'Catalog'!$A:$A,0)),$B1147))</f>
        <v>45B XL מגן ברך שחור</v>
      </c>
      <c r="I1147" s="8" t="str">
        <f aca="false">IF($G1147="","Unmatched","Matched")</f>
        <v>Matched</v>
      </c>
    </row>
    <row r="1148" customFormat="false" ht="15" hidden="false" customHeight="false" outlineLevel="0" collapsed="false">
      <c r="A1148" s="8" t="s">
        <v>572</v>
      </c>
      <c r="B1148" s="8" t="s">
        <v>67</v>
      </c>
      <c r="C1148" s="19" t="n">
        <v>0</v>
      </c>
      <c r="D1148" s="19" t="n">
        <v>-0.0799999999999983</v>
      </c>
      <c r="E1148" s="19" t="n">
        <v>-1</v>
      </c>
      <c r="F1148" s="19" t="n">
        <v>-70</v>
      </c>
      <c r="G1148" s="8" t="str">
        <f aca="false">IFERROR(INDEX('TRANS'!$B:$B,MATCH($B1148,'TRANS'!$A:$A,0)),IFERROR(INDEX('TRANS'!$B:$B,MATCH(TRIM(SUBSTITUTE($B1148,CHAR(160)," ")),'TRANS'!$D:$D,0)),IFERROR(INDEX('Catalog'!$A:$A,MATCH($B1148,'Catalog'!$B:$B,0)),IFERROR(INDEX('Catalog'!$A:$A,MATCH(TRIM(SUBSTITUTE($B1148,CHAR(160)," ")),'Catalog'!$C:$C,0)),""))))</f>
        <v/>
      </c>
      <c r="H1148" s="8" t="str">
        <f aca="false">IFERROR(INDEX('TRANS'!$C:$C,MATCH($B1148,'TRANS'!$A:$A,0)),IFERROR(INDEX('Catalog'!$B:$B,MATCH($G1148,'Catalog'!$A:$A,0)),$B1148))</f>
        <v>099-S-M</v>
      </c>
      <c r="I1148" s="8" t="str">
        <f aca="false">IF($G1148="","Unmatched","Matched")</f>
        <v>Unmatched</v>
      </c>
    </row>
    <row r="1149" customFormat="false" ht="15" hidden="false" customHeight="false" outlineLevel="0" collapsed="false">
      <c r="A1149" s="8" t="s">
        <v>572</v>
      </c>
      <c r="B1149" s="8" t="s">
        <v>350</v>
      </c>
      <c r="C1149" s="19" t="n">
        <v>1</v>
      </c>
      <c r="D1149" s="19" t="n">
        <v>39.79</v>
      </c>
      <c r="E1149" s="19" t="n">
        <v>0</v>
      </c>
      <c r="F1149" s="19" t="n">
        <v>0</v>
      </c>
      <c r="G1149" s="8" t="n">
        <f aca="false">IFERROR(INDEX('TRANS'!$B:$B,MATCH($B1149,'TRANS'!$A:$A,0)),IFERROR(INDEX('TRANS'!$B:$B,MATCH(TRIM(SUBSTITUTE($B1149,CHAR(160)," ")),'TRANS'!$D:$D,0)),IFERROR(INDEX('Catalog'!$A:$A,MATCH($B1149,'Catalog'!$B:$B,0)),IFERROR(INDEX('Catalog'!$A:$A,MATCH(TRIM(SUBSTITUTE($B1149,CHAR(160)," ")),'Catalog'!$C:$C,0)),""))))</f>
        <v>4413399</v>
      </c>
      <c r="H1149" s="8" t="str">
        <f aca="false">IFERROR(INDEX('TRANS'!$C:$C,MATCH($B1149,'TRANS'!$A:$A,0)),IFERROR(INDEX('Catalog'!$B:$B,MATCH($G1149,'Catalog'!$A:$A,0)),$B1149))</f>
        <v>21 XS מגן יד</v>
      </c>
      <c r="I1149" s="8" t="str">
        <f aca="false">IF($G1149="","Unmatched","Matched")</f>
        <v>Matched</v>
      </c>
    </row>
    <row r="1150" customFormat="false" ht="15" hidden="false" customHeight="false" outlineLevel="0" collapsed="false">
      <c r="A1150" s="8" t="s">
        <v>572</v>
      </c>
      <c r="B1150" s="8" t="s">
        <v>367</v>
      </c>
      <c r="C1150" s="19" t="n">
        <v>1</v>
      </c>
      <c r="D1150" s="19" t="n">
        <v>126.51</v>
      </c>
      <c r="E1150" s="19" t="n">
        <v>2</v>
      </c>
      <c r="F1150" s="19" t="n">
        <v>253.02</v>
      </c>
      <c r="G1150" s="8" t="n">
        <f aca="false">IFERROR(INDEX('TRANS'!$B:$B,MATCH($B1150,'TRANS'!$A:$A,0)),IFERROR(INDEX('TRANS'!$B:$B,MATCH(TRIM(SUBSTITUTE($B1150,CHAR(160)," ")),'TRANS'!$D:$D,0)),IFERROR(INDEX('Catalog'!$A:$A,MATCH($B1150,'Catalog'!$B:$B,0)),IFERROR(INDEX('Catalog'!$A:$A,MATCH(TRIM(SUBSTITUTE($B1150,CHAR(160)," ")),'Catalog'!$C:$C,0)),""))))</f>
        <v>4413072</v>
      </c>
      <c r="H1150" s="8" t="str">
        <f aca="false">IFERROR(INDEX('TRANS'!$C:$C,MATCH($B1150,'TRANS'!$A:$A,0)),IFERROR(INDEX('Catalog'!$B:$B,MATCH($G1150,'Catalog'!$A:$A,0)),$B1150))</f>
        <v>41 Lמ.ברך מוצלב+ספירלות בצדדים</v>
      </c>
      <c r="I1150" s="8" t="str">
        <f aca="false">IF($G1150="","Unmatched","Matched")</f>
        <v>Matched</v>
      </c>
    </row>
    <row r="1151" customFormat="false" ht="15" hidden="false" customHeight="false" outlineLevel="0" collapsed="false">
      <c r="A1151" s="8" t="s">
        <v>572</v>
      </c>
      <c r="B1151" s="8" t="s">
        <v>793</v>
      </c>
      <c r="C1151" s="19" t="n">
        <v>0</v>
      </c>
      <c r="D1151" s="19" t="n">
        <v>0</v>
      </c>
      <c r="E1151" s="19" t="n">
        <v>1</v>
      </c>
      <c r="F1151" s="19" t="n">
        <v>126.51</v>
      </c>
      <c r="G1151" s="8" t="n">
        <f aca="false">IFERROR(INDEX('TRANS'!$B:$B,MATCH($B1151,'TRANS'!$A:$A,0)),IFERROR(INDEX('TRANS'!$B:$B,MATCH(TRIM(SUBSTITUTE($B1151,CHAR(160)," ")),'TRANS'!$D:$D,0)),IFERROR(INDEX('Catalog'!$A:$A,MATCH($B1151,'Catalog'!$B:$B,0)),IFERROR(INDEX('Catalog'!$A:$A,MATCH(TRIM(SUBSTITUTE($B1151,CHAR(160)," ")),'Catalog'!$C:$C,0)),""))))</f>
        <v>4413071</v>
      </c>
      <c r="H1151" s="8" t="str">
        <f aca="false">IFERROR(INDEX('TRANS'!$C:$C,MATCH($B1151,'TRANS'!$A:$A,0)),IFERROR(INDEX('Catalog'!$B:$B,MATCH($G1151,'Catalog'!$A:$A,0)),$B1151))</f>
        <v>41 Sמ.ברך מוצלב+ספירלות בצדדים</v>
      </c>
      <c r="I1151" s="8" t="str">
        <f aca="false">IF($G1151="","Unmatched","Matched")</f>
        <v>Matched</v>
      </c>
    </row>
    <row r="1152" customFormat="false" ht="15" hidden="false" customHeight="false" outlineLevel="0" collapsed="false">
      <c r="A1152" s="8" t="s">
        <v>572</v>
      </c>
      <c r="B1152" s="8" t="s">
        <v>794</v>
      </c>
      <c r="C1152" s="19" t="n">
        <v>1</v>
      </c>
      <c r="D1152" s="19" t="n">
        <v>126.51</v>
      </c>
      <c r="E1152" s="19" t="n">
        <v>2</v>
      </c>
      <c r="F1152" s="19" t="n">
        <v>253.02</v>
      </c>
      <c r="G1152" s="8" t="n">
        <f aca="false">IFERROR(INDEX('TRANS'!$B:$B,MATCH($B1152,'TRANS'!$A:$A,0)),IFERROR(INDEX('TRANS'!$B:$B,MATCH(TRIM(SUBSTITUTE($B1152,CHAR(160)," ")),'TRANS'!$D:$D,0)),IFERROR(INDEX('Catalog'!$A:$A,MATCH($B1152,'Catalog'!$B:$B,0)),IFERROR(INDEX('Catalog'!$A:$A,MATCH(TRIM(SUBSTITUTE($B1152,CHAR(160)," ")),'Catalog'!$C:$C,0)),""))))</f>
        <v>4413074</v>
      </c>
      <c r="H1152" s="8" t="str">
        <f aca="false">IFERROR(INDEX('TRANS'!$C:$C,MATCH($B1152,'TRANS'!$A:$A,0)),IFERROR(INDEX('Catalog'!$B:$B,MATCH($G1152,'Catalog'!$A:$A,0)),$B1152))</f>
        <v>41  XL.מ.ברך מוצלב+ספירלות בצד</v>
      </c>
      <c r="I1152" s="8" t="str">
        <f aca="false">IF($G1152="","Unmatched","Matched")</f>
        <v>Matched</v>
      </c>
    </row>
    <row r="1153" customFormat="false" ht="15" hidden="false" customHeight="false" outlineLevel="0" collapsed="false">
      <c r="A1153" s="8" t="s">
        <v>572</v>
      </c>
      <c r="B1153" s="8" t="s">
        <v>795</v>
      </c>
      <c r="C1153" s="19" t="n">
        <v>1</v>
      </c>
      <c r="D1153" s="19" t="n">
        <v>330.86</v>
      </c>
      <c r="E1153" s="19" t="n">
        <v>0</v>
      </c>
      <c r="F1153" s="19" t="n">
        <v>0</v>
      </c>
      <c r="G1153" s="8" t="str">
        <f aca="false">IFERROR(INDEX('TRANS'!$B:$B,MATCH($B1153,'TRANS'!$A:$A,0)),IFERROR(INDEX('TRANS'!$B:$B,MATCH(TRIM(SUBSTITUTE($B1153,CHAR(160)," ")),'TRANS'!$D:$D,0)),IFERROR(INDEX('Catalog'!$A:$A,MATCH($B1153,'Catalog'!$B:$B,0)),IFERROR(INDEX('Catalog'!$A:$A,MATCH(TRIM(SUBSTITUTE($B1153,CHAR(160)," ")),'Catalog'!$C:$C,0)),""))))</f>
        <v/>
      </c>
      <c r="H1153" s="8" t="str">
        <f aca="false">IFERROR(INDEX('TRANS'!$C:$C,MATCH($B1153,'TRANS'!$A:$A,0)),IFERROR(INDEX('Catalog'!$B:$B,MATCH($G1153,'Catalog'!$A:$A,0)),$B1153))</f>
        <v>422EBD L</v>
      </c>
      <c r="I1153" s="8" t="str">
        <f aca="false">IF($G1153="","Unmatched","Matched")</f>
        <v>Unmatched</v>
      </c>
    </row>
    <row r="1154" customFormat="false" ht="15" hidden="false" customHeight="false" outlineLevel="0" collapsed="false">
      <c r="A1154" s="8" t="s">
        <v>572</v>
      </c>
      <c r="B1154" s="8" t="s">
        <v>375</v>
      </c>
      <c r="C1154" s="19" t="n">
        <v>1</v>
      </c>
      <c r="D1154" s="19" t="n">
        <v>330.86</v>
      </c>
      <c r="E1154" s="19" t="n">
        <v>0</v>
      </c>
      <c r="F1154" s="19" t="n">
        <v>0</v>
      </c>
      <c r="G1154" s="8" t="str">
        <f aca="false">IFERROR(INDEX('TRANS'!$B:$B,MATCH($B1154,'TRANS'!$A:$A,0)),IFERROR(INDEX('TRANS'!$B:$B,MATCH(TRIM(SUBSTITUTE($B1154,CHAR(160)," ")),'TRANS'!$D:$D,0)),IFERROR(INDEX('Catalog'!$A:$A,MATCH($B1154,'Catalog'!$B:$B,0)),IFERROR(INDEX('Catalog'!$A:$A,MATCH(TRIM(SUBSTITUTE($B1154,CHAR(160)," ")),'Catalog'!$C:$C,0)),""))))</f>
        <v/>
      </c>
      <c r="H1154" s="8" t="str">
        <f aca="false">IFERROR(INDEX('TRANS'!$C:$C,MATCH($B1154,'TRANS'!$A:$A,0)),IFERROR(INDEX('Catalog'!$B:$B,MATCH($G1154,'Catalog'!$A:$A,0)),$B1154))</f>
        <v>422EBD XL</v>
      </c>
      <c r="I1154" s="8" t="str">
        <f aca="false">IF($G1154="","Unmatched","Matched")</f>
        <v>Unmatched</v>
      </c>
    </row>
    <row r="1155" customFormat="false" ht="15" hidden="false" customHeight="false" outlineLevel="0" collapsed="false">
      <c r="A1155" s="8" t="s">
        <v>572</v>
      </c>
      <c r="B1155" s="8" t="s">
        <v>796</v>
      </c>
      <c r="C1155" s="19" t="n">
        <v>0</v>
      </c>
      <c r="D1155" s="19" t="n">
        <v>0</v>
      </c>
      <c r="E1155" s="19" t="n">
        <v>1</v>
      </c>
      <c r="F1155" s="19" t="n">
        <v>330.88</v>
      </c>
      <c r="G1155" s="8" t="str">
        <f aca="false">IFERROR(INDEX('TRANS'!$B:$B,MATCH($B1155,'TRANS'!$A:$A,0)),IFERROR(INDEX('TRANS'!$B:$B,MATCH(TRIM(SUBSTITUTE($B1155,CHAR(160)," ")),'TRANS'!$D:$D,0)),IFERROR(INDEX('Catalog'!$A:$A,MATCH($B1155,'Catalog'!$B:$B,0)),IFERROR(INDEX('Catalog'!$A:$A,MATCH(TRIM(SUBSTITUTE($B1155,CHAR(160)," ")),'Catalog'!$C:$C,0)),""))))</f>
        <v/>
      </c>
      <c r="H1155" s="8" t="str">
        <f aca="false">IFERROR(INDEX('TRANS'!$C:$C,MATCH($B1155,'TRANS'!$A:$A,0)),IFERROR(INDEX('Catalog'!$B:$B,MATCH($G1155,'Catalog'!$A:$A,0)),$B1155))</f>
        <v>422ED XXL</v>
      </c>
      <c r="I1155" s="8" t="str">
        <f aca="false">IF($G1155="","Unmatched","Matched")</f>
        <v>Unmatched</v>
      </c>
    </row>
    <row r="1156" customFormat="false" ht="15" hidden="false" customHeight="false" outlineLevel="0" collapsed="false">
      <c r="A1156" s="8" t="s">
        <v>572</v>
      </c>
      <c r="B1156" s="8" t="s">
        <v>513</v>
      </c>
      <c r="C1156" s="19" t="n">
        <v>3</v>
      </c>
      <c r="D1156" s="19" t="n">
        <v>241.72</v>
      </c>
      <c r="E1156" s="19" t="n">
        <v>0</v>
      </c>
      <c r="F1156" s="19" t="n">
        <v>0</v>
      </c>
      <c r="G1156" s="8" t="str">
        <f aca="false">IFERROR(INDEX('TRANS'!$B:$B,MATCH($B1156,'TRANS'!$A:$A,0)),IFERROR(INDEX('TRANS'!$B:$B,MATCH(TRIM(SUBSTITUTE($B1156,CHAR(160)," ")),'TRANS'!$D:$D,0)),IFERROR(INDEX('Catalog'!$A:$A,MATCH($B1156,'Catalog'!$B:$B,0)),IFERROR(INDEX('Catalog'!$A:$A,MATCH(TRIM(SUBSTITUTE($B1156,CHAR(160)," ")),'Catalog'!$C:$C,0)),""))))</f>
        <v/>
      </c>
      <c r="H1156" s="8" t="str">
        <f aca="false">IFERROR(INDEX('TRANS'!$C:$C,MATCH($B1156,'TRANS'!$A:$A,0)),IFERROR(INDEX('Catalog'!$B:$B,MATCH($G1156,'Catalog'!$A:$A,0)),$B1156))</f>
        <v>91 0</v>
      </c>
      <c r="I1156" s="8" t="str">
        <f aca="false">IF($G1156="","Unmatched","Matched")</f>
        <v>Unmatched</v>
      </c>
    </row>
    <row r="1157" customFormat="false" ht="15" hidden="false" customHeight="false" outlineLevel="0" collapsed="false">
      <c r="A1157" s="8" t="s">
        <v>572</v>
      </c>
      <c r="B1157" s="8" t="s">
        <v>797</v>
      </c>
      <c r="C1157" s="19" t="n">
        <v>1</v>
      </c>
      <c r="D1157" s="19" t="n">
        <v>30.89</v>
      </c>
      <c r="E1157" s="19" t="n">
        <v>0</v>
      </c>
      <c r="F1157" s="19" t="n">
        <v>0</v>
      </c>
      <c r="G1157" s="8" t="n">
        <f aca="false">IFERROR(INDEX('TRANS'!$B:$B,MATCH($B1157,'TRANS'!$A:$A,0)),IFERROR(INDEX('TRANS'!$B:$B,MATCH(TRIM(SUBSTITUTE($B1157,CHAR(160)," ")),'TRANS'!$D:$D,0)),IFERROR(INDEX('Catalog'!$A:$A,MATCH($B1157,'Catalog'!$B:$B,0)),IFERROR(INDEX('Catalog'!$A:$A,MATCH(TRIM(SUBSTITUTE($B1157,CHAR(160)," ")),'Catalog'!$C:$C,0)),""))))</f>
        <v>4413144</v>
      </c>
      <c r="H1157" s="8" t="str">
        <f aca="false">IFERROR(INDEX('TRANS'!$C:$C,MATCH($B1157,'TRANS'!$A:$A,0)),IFERROR(INDEX('Catalog'!$B:$B,MATCH($G1157,'Catalog'!$A:$A,0)),$B1157))</f>
        <v>95 XXL מגן מרפק רגיל לבן</v>
      </c>
      <c r="I1157" s="8" t="str">
        <f aca="false">IF($G1157="","Unmatched","Matched")</f>
        <v>Matched</v>
      </c>
    </row>
    <row r="1158" customFormat="false" ht="15" hidden="false" customHeight="false" outlineLevel="0" collapsed="false">
      <c r="A1158" s="8" t="s">
        <v>572</v>
      </c>
      <c r="B1158" s="8" t="s">
        <v>798</v>
      </c>
      <c r="C1158" s="19" t="n">
        <v>0</v>
      </c>
      <c r="D1158" s="19" t="n">
        <v>0</v>
      </c>
      <c r="E1158" s="19" t="n">
        <v>1</v>
      </c>
      <c r="F1158" s="19" t="n">
        <v>70.26</v>
      </c>
      <c r="G1158" s="8" t="str">
        <f aca="false">IFERROR(INDEX('TRANS'!$B:$B,MATCH($B1158,'TRANS'!$A:$A,0)),IFERROR(INDEX('TRANS'!$B:$B,MATCH(TRIM(SUBSTITUTE($B1158,CHAR(160)," ")),'TRANS'!$D:$D,0)),IFERROR(INDEX('Catalog'!$A:$A,MATCH($B1158,'Catalog'!$B:$B,0)),IFERROR(INDEX('Catalog'!$A:$A,MATCH(TRIM(SUBSTITUTE($B1158,CHAR(160)," ")),'Catalog'!$C:$C,0)),""))))</f>
        <v/>
      </c>
      <c r="H1158" s="8" t="str">
        <f aca="false">IFERROR(INDEX('TRANS'!$C:$C,MATCH($B1158,'TRANS'!$A:$A,0)),IFERROR(INDEX('Catalog'!$B:$B,MATCH($G1158,'Catalog'!$A:$A,0)),$B1158))</f>
        <v>T28A XXL</v>
      </c>
      <c r="I1158" s="8" t="str">
        <f aca="false">IF($G1158="","Unmatched","Matched")</f>
        <v>Unmatched</v>
      </c>
    </row>
    <row r="1159" customFormat="false" ht="15" hidden="false" customHeight="false" outlineLevel="0" collapsed="false">
      <c r="A1159" s="8" t="s">
        <v>572</v>
      </c>
      <c r="B1159" s="8" t="s">
        <v>799</v>
      </c>
      <c r="C1159" s="19" t="n">
        <v>0</v>
      </c>
      <c r="D1159" s="19" t="n">
        <v>0</v>
      </c>
      <c r="E1159" s="19" t="n">
        <v>1</v>
      </c>
      <c r="F1159" s="19" t="n">
        <v>165</v>
      </c>
      <c r="G1159" s="8" t="str">
        <f aca="false">IFERROR(INDEX('TRANS'!$B:$B,MATCH($B1159,'TRANS'!$A:$A,0)),IFERROR(INDEX('TRANS'!$B:$B,MATCH(TRIM(SUBSTITUTE($B1159,CHAR(160)," ")),'TRANS'!$D:$D,0)),IFERROR(INDEX('Catalog'!$A:$A,MATCH($B1159,'Catalog'!$B:$B,0)),IFERROR(INDEX('Catalog'!$A:$A,MATCH(TRIM(SUBSTITUTE($B1159,CHAR(160)," ")),'Catalog'!$C:$C,0)),""))))</f>
        <v/>
      </c>
      <c r="H1159" s="8" t="str">
        <f aca="false">IFERROR(INDEX('TRANS'!$C:$C,MATCH($B1159,'TRANS'!$A:$A,0)),IFERROR(INDEX('Catalog'!$B:$B,MATCH($G1159,'Catalog'!$A:$A,0)),$B1159))</f>
        <v>11NOR M</v>
      </c>
      <c r="I1159" s="8" t="str">
        <f aca="false">IF($G1159="","Unmatched","Matched")</f>
        <v>Unmatched</v>
      </c>
    </row>
    <row r="1160" customFormat="false" ht="15" hidden="false" customHeight="false" outlineLevel="0" collapsed="false">
      <c r="A1160" s="8" t="s">
        <v>572</v>
      </c>
      <c r="B1160" s="8" t="s">
        <v>800</v>
      </c>
      <c r="C1160" s="19" t="n">
        <v>1</v>
      </c>
      <c r="D1160" s="19" t="n">
        <v>105</v>
      </c>
      <c r="E1160" s="19" t="n">
        <v>0</v>
      </c>
      <c r="F1160" s="19" t="n">
        <v>0</v>
      </c>
      <c r="G1160" s="8" t="str">
        <f aca="false">IFERROR(INDEX('TRANS'!$B:$B,MATCH($B1160,'TRANS'!$A:$A,0)),IFERROR(INDEX('TRANS'!$B:$B,MATCH(TRIM(SUBSTITUTE($B1160,CHAR(160)," ")),'TRANS'!$D:$D,0)),IFERROR(INDEX('Catalog'!$A:$A,MATCH($B1160,'Catalog'!$B:$B,0)),IFERROR(INDEX('Catalog'!$A:$A,MATCH(TRIM(SUBSTITUTE($B1160,CHAR(160)," ")),'Catalog'!$C:$C,0)),""))))</f>
        <v/>
      </c>
      <c r="H1160" s="8" t="str">
        <f aca="false">IFERROR(INDEX('TRANS'!$C:$C,MATCH($B1160,'TRANS'!$A:$A,0)),IFERROR(INDEX('Catalog'!$B:$B,MATCH($G1160,'Catalog'!$A:$A,0)),$B1160))</f>
        <v>11STOB L</v>
      </c>
      <c r="I1160" s="8" t="str">
        <f aca="false">IF($G1160="","Unmatched","Matched")</f>
        <v>Unmatched</v>
      </c>
    </row>
    <row r="1161" customFormat="false" ht="15" hidden="false" customHeight="false" outlineLevel="0" collapsed="false">
      <c r="A1161" s="8" t="s">
        <v>572</v>
      </c>
      <c r="B1161" s="8" t="s">
        <v>801</v>
      </c>
      <c r="C1161" s="19" t="n">
        <v>1</v>
      </c>
      <c r="D1161" s="19" t="n">
        <v>104.99</v>
      </c>
      <c r="E1161" s="19" t="n">
        <v>0</v>
      </c>
      <c r="F1161" s="19" t="n">
        <v>0</v>
      </c>
      <c r="G1161" s="8" t="str">
        <f aca="false">IFERROR(INDEX('TRANS'!$B:$B,MATCH($B1161,'TRANS'!$A:$A,0)),IFERROR(INDEX('TRANS'!$B:$B,MATCH(TRIM(SUBSTITUTE($B1161,CHAR(160)," ")),'TRANS'!$D:$D,0)),IFERROR(INDEX('Catalog'!$A:$A,MATCH($B1161,'Catalog'!$B:$B,0)),IFERROR(INDEX('Catalog'!$A:$A,MATCH(TRIM(SUBSTITUTE($B1161,CHAR(160)," ")),'Catalog'!$C:$C,0)),""))))</f>
        <v/>
      </c>
      <c r="H1161" s="8" t="str">
        <f aca="false">IFERROR(INDEX('TRANS'!$C:$C,MATCH($B1161,'TRANS'!$A:$A,0)),IFERROR(INDEX('Catalog'!$B:$B,MATCH($G1161,'Catalog'!$A:$A,0)),$B1161))</f>
        <v>11STOB M</v>
      </c>
      <c r="I1161" s="8" t="str">
        <f aca="false">IF($G1161="","Unmatched","Matched")</f>
        <v>Unmatched</v>
      </c>
    </row>
    <row r="1162" customFormat="false" ht="15" hidden="false" customHeight="false" outlineLevel="0" collapsed="false">
      <c r="A1162" s="8" t="s">
        <v>572</v>
      </c>
      <c r="B1162" s="8" t="s">
        <v>802</v>
      </c>
      <c r="C1162" s="19" t="n">
        <v>1</v>
      </c>
      <c r="D1162" s="19" t="n">
        <v>105</v>
      </c>
      <c r="E1162" s="19" t="n">
        <v>0</v>
      </c>
      <c r="F1162" s="19" t="n">
        <v>0</v>
      </c>
      <c r="G1162" s="8" t="str">
        <f aca="false">IFERROR(INDEX('TRANS'!$B:$B,MATCH($B1162,'TRANS'!$A:$A,0)),IFERROR(INDEX('TRANS'!$B:$B,MATCH(TRIM(SUBSTITUTE($B1162,CHAR(160)," ")),'TRANS'!$D:$D,0)),IFERROR(INDEX('Catalog'!$A:$A,MATCH($B1162,'Catalog'!$B:$B,0)),IFERROR(INDEX('Catalog'!$A:$A,MATCH(TRIM(SUBSTITUTE($B1162,CHAR(160)," ")),'Catalog'!$C:$C,0)),""))))</f>
        <v/>
      </c>
      <c r="H1162" s="8" t="str">
        <f aca="false">IFERROR(INDEX('TRANS'!$C:$C,MATCH($B1162,'TRANS'!$A:$A,0)),IFERROR(INDEX('Catalog'!$B:$B,MATCH($G1162,'Catalog'!$A:$A,0)),$B1162))</f>
        <v>11STOB XL</v>
      </c>
      <c r="I1162" s="8" t="str">
        <f aca="false">IF($G1162="","Unmatched","Matched")</f>
        <v>Unmatched</v>
      </c>
    </row>
    <row r="1163" customFormat="false" ht="15" hidden="false" customHeight="false" outlineLevel="0" collapsed="false">
      <c r="A1163" s="8" t="s">
        <v>572</v>
      </c>
      <c r="B1163" s="8" t="s">
        <v>803</v>
      </c>
      <c r="C1163" s="19" t="n">
        <v>-1</v>
      </c>
      <c r="D1163" s="19" t="n">
        <v>-129</v>
      </c>
      <c r="E1163" s="19" t="n">
        <v>0</v>
      </c>
      <c r="F1163" s="19" t="n">
        <v>0</v>
      </c>
      <c r="G1163" s="8" t="str">
        <f aca="false">IFERROR(INDEX('TRANS'!$B:$B,MATCH($B1163,'TRANS'!$A:$A,0)),IFERROR(INDEX('TRANS'!$B:$B,MATCH(TRIM(SUBSTITUTE($B1163,CHAR(160)," ")),'TRANS'!$D:$D,0)),IFERROR(INDEX('Catalog'!$A:$A,MATCH($B1163,'Catalog'!$B:$B,0)),IFERROR(INDEX('Catalog'!$A:$A,MATCH(TRIM(SUBSTITUTE($B1163,CHAR(160)," ")),'Catalog'!$C:$C,0)),""))))</f>
        <v/>
      </c>
      <c r="H1163" s="8" t="str">
        <f aca="false">IFERROR(INDEX('TRANS'!$C:$C,MATCH($B1163,'TRANS'!$A:$A,0)),IFERROR(INDEX('Catalog'!$B:$B,MATCH($G1163,'Catalog'!$A:$A,0)),$B1163))</f>
        <v>32 L</v>
      </c>
      <c r="I1163" s="8" t="str">
        <f aca="false">IF($G1163="","Unmatched","Matched")</f>
        <v>Unmatched</v>
      </c>
    </row>
    <row r="1164" customFormat="false" ht="15" hidden="false" customHeight="false" outlineLevel="0" collapsed="false">
      <c r="A1164" s="8" t="s">
        <v>572</v>
      </c>
      <c r="B1164" s="8" t="s">
        <v>804</v>
      </c>
      <c r="C1164" s="19" t="n">
        <v>-1</v>
      </c>
      <c r="D1164" s="19" t="n">
        <v>-129</v>
      </c>
      <c r="E1164" s="19" t="n">
        <v>0</v>
      </c>
      <c r="F1164" s="19" t="n">
        <v>0</v>
      </c>
      <c r="G1164" s="8" t="str">
        <f aca="false">IFERROR(INDEX('TRANS'!$B:$B,MATCH($B1164,'TRANS'!$A:$A,0)),IFERROR(INDEX('TRANS'!$B:$B,MATCH(TRIM(SUBSTITUTE($B1164,CHAR(160)," ")),'TRANS'!$D:$D,0)),IFERROR(INDEX('Catalog'!$A:$A,MATCH($B1164,'Catalog'!$B:$B,0)),IFERROR(INDEX('Catalog'!$A:$A,MATCH(TRIM(SUBSTITUTE($B1164,CHAR(160)," ")),'Catalog'!$C:$C,0)),""))))</f>
        <v/>
      </c>
      <c r="H1164" s="8" t="str">
        <f aca="false">IFERROR(INDEX('TRANS'!$C:$C,MATCH($B1164,'TRANS'!$A:$A,0)),IFERROR(INDEX('Catalog'!$B:$B,MATCH($G1164,'Catalog'!$A:$A,0)),$B1164))</f>
        <v>32 M</v>
      </c>
      <c r="I1164" s="8" t="str">
        <f aca="false">IF($G1164="","Unmatched","Matched")</f>
        <v>Unmatched</v>
      </c>
    </row>
    <row r="1165" customFormat="false" ht="15" hidden="false" customHeight="false" outlineLevel="0" collapsed="false">
      <c r="A1165" s="8" t="s">
        <v>572</v>
      </c>
      <c r="B1165" s="8" t="s">
        <v>167</v>
      </c>
      <c r="C1165" s="19" t="n">
        <v>2</v>
      </c>
      <c r="D1165" s="19" t="n">
        <v>24.28</v>
      </c>
      <c r="E1165" s="19" t="n">
        <v>0</v>
      </c>
      <c r="F1165" s="19" t="n">
        <v>0</v>
      </c>
      <c r="G1165" s="8" t="n">
        <f aca="false">IFERROR(INDEX('TRANS'!$B:$B,MATCH($B1165,'TRANS'!$A:$A,0)),IFERROR(INDEX('TRANS'!$B:$B,MATCH(TRIM(SUBSTITUTE($B1165,CHAR(160)," ")),'TRANS'!$D:$D,0)),IFERROR(INDEX('Catalog'!$A:$A,MATCH($B1165,'Catalog'!$B:$B,0)),IFERROR(INDEX('Catalog'!$A:$A,MATCH(TRIM(SUBSTITUTE($B1165,CHAR(160)," ")),'Catalog'!$C:$C,0)),""))))</f>
        <v>4420001</v>
      </c>
      <c r="H1165" s="8" t="str">
        <f aca="false">IFERROR(INDEX('TRANS'!$C:$C,MATCH($B1165,'TRANS'!$A:$A,0)),IFERROR(INDEX('Catalog'!$B:$B,MATCH($G1165,'Catalog'!$A:$A,0)),$B1165))</f>
        <v>371 רפידת מגבת כותנה-זוג</v>
      </c>
      <c r="I1165" s="8" t="str">
        <f aca="false">IF($G1165="","Unmatched","Matched")</f>
        <v>Matched</v>
      </c>
    </row>
    <row r="1166" customFormat="false" ht="15" hidden="false" customHeight="false" outlineLevel="0" collapsed="false">
      <c r="A1166" s="8" t="s">
        <v>572</v>
      </c>
      <c r="B1166" s="8" t="s">
        <v>171</v>
      </c>
      <c r="C1166" s="19" t="n">
        <v>1</v>
      </c>
      <c r="D1166" s="19" t="n">
        <v>35.11</v>
      </c>
      <c r="E1166" s="19" t="n">
        <v>0</v>
      </c>
      <c r="F1166" s="19" t="n">
        <v>0</v>
      </c>
      <c r="G1166" s="8" t="str">
        <f aca="false">IFERROR(INDEX('TRANS'!$B:$B,MATCH($B1166,'TRANS'!$A:$A,0)),IFERROR(INDEX('TRANS'!$B:$B,MATCH(TRIM(SUBSTITUTE($B1166,CHAR(160)," ")),'TRANS'!$D:$D,0)),IFERROR(INDEX('Catalog'!$A:$A,MATCH($B1166,'Catalog'!$B:$B,0)),IFERROR(INDEX('Catalog'!$A:$A,MATCH(TRIM(SUBSTITUTE($B1166,CHAR(160)," ")),'Catalog'!$C:$C,0)),""))))</f>
        <v/>
      </c>
      <c r="H1166" s="8" t="str">
        <f aca="false">IFERROR(INDEX('TRANS'!$C:$C,MATCH($B1166,'TRANS'!$A:$A,0)),IFERROR(INDEX('Catalog'!$B:$B,MATCH($G1166,'Catalog'!$A:$A,0)),$B1166))</f>
        <v>376-38-40</v>
      </c>
      <c r="I1166" s="8" t="str">
        <f aca="false">IF($G1166="","Unmatched","Matched")</f>
        <v>Unmatched</v>
      </c>
    </row>
    <row r="1167" customFormat="false" ht="15" hidden="false" customHeight="false" outlineLevel="0" collapsed="false">
      <c r="A1167" s="8" t="s">
        <v>572</v>
      </c>
      <c r="B1167" s="8" t="s">
        <v>173</v>
      </c>
      <c r="C1167" s="19" t="n">
        <v>2</v>
      </c>
      <c r="D1167" s="19" t="n">
        <v>70.22</v>
      </c>
      <c r="E1167" s="19" t="n">
        <v>0</v>
      </c>
      <c r="F1167" s="19" t="n">
        <v>0</v>
      </c>
      <c r="G1167" s="8" t="str">
        <f aca="false">IFERROR(INDEX('TRANS'!$B:$B,MATCH($B1167,'TRANS'!$A:$A,0)),IFERROR(INDEX('TRANS'!$B:$B,MATCH(TRIM(SUBSTITUTE($B1167,CHAR(160)," ")),'TRANS'!$D:$D,0)),IFERROR(INDEX('Catalog'!$A:$A,MATCH($B1167,'Catalog'!$B:$B,0)),IFERROR(INDEX('Catalog'!$A:$A,MATCH(TRIM(SUBSTITUTE($B1167,CHAR(160)," ")),'Catalog'!$C:$C,0)),""))))</f>
        <v/>
      </c>
      <c r="H1167" s="8" t="str">
        <f aca="false">IFERROR(INDEX('TRANS'!$C:$C,MATCH($B1167,'TRANS'!$A:$A,0)),IFERROR(INDEX('Catalog'!$B:$B,MATCH($G1167,'Catalog'!$A:$A,0)),$B1167))</f>
        <v>376-44-45</v>
      </c>
      <c r="I1167" s="8" t="str">
        <f aca="false">IF($G1167="","Unmatched","Matched")</f>
        <v>Unmatched</v>
      </c>
    </row>
    <row r="1168" customFormat="false" ht="15" hidden="false" customHeight="false" outlineLevel="0" collapsed="false">
      <c r="A1168" s="8" t="s">
        <v>572</v>
      </c>
      <c r="B1168" s="8" t="s">
        <v>174</v>
      </c>
      <c r="C1168" s="19" t="n">
        <v>1</v>
      </c>
      <c r="D1168" s="19" t="n">
        <v>35.11</v>
      </c>
      <c r="E1168" s="19" t="n">
        <v>0</v>
      </c>
      <c r="F1168" s="19" t="n">
        <v>0</v>
      </c>
      <c r="G1168" s="8" t="n">
        <f aca="false">IFERROR(INDEX('TRANS'!$B:$B,MATCH($B1168,'TRANS'!$A:$A,0)),IFERROR(INDEX('TRANS'!$B:$B,MATCH(TRIM(SUBSTITUTE($B1168,CHAR(160)," ")),'TRANS'!$D:$D,0)),IFERROR(INDEX('Catalog'!$A:$A,MATCH($B1168,'Catalog'!$B:$B,0)),IFERROR(INDEX('Catalog'!$A:$A,MATCH(TRIM(SUBSTITUTE($B1168,CHAR(160)," ")),'Catalog'!$C:$C,0)),""))))</f>
        <v>4420032</v>
      </c>
      <c r="H1168" s="8" t="str">
        <f aca="false">IFERROR(INDEX('TRANS'!$C:$C,MATCH($B1168,'TRANS'!$A:$A,0)),IFERROR(INDEX('Catalog'!$B:$B,MATCH($G1168,'Catalog'!$A:$A,0)),$B1168))</f>
        <v>46-47 רפידת ספורט 376 מידה</v>
      </c>
      <c r="I1168" s="8" t="str">
        <f aca="false">IF($G1168="","Unmatched","Matched")</f>
        <v>Matched</v>
      </c>
    </row>
    <row r="1169" customFormat="false" ht="15" hidden="false" customHeight="false" outlineLevel="0" collapsed="false">
      <c r="A1169" s="8" t="s">
        <v>572</v>
      </c>
      <c r="B1169" s="8" t="s">
        <v>381</v>
      </c>
      <c r="C1169" s="19" t="n">
        <v>3</v>
      </c>
      <c r="D1169" s="19" t="n">
        <v>92.67</v>
      </c>
      <c r="E1169" s="19" t="n">
        <v>0</v>
      </c>
      <c r="F1169" s="19" t="n">
        <v>0</v>
      </c>
      <c r="G1169" s="8" t="n">
        <f aca="false">IFERROR(INDEX('TRANS'!$B:$B,MATCH($B1169,'TRANS'!$A:$A,0)),IFERROR(INDEX('TRANS'!$B:$B,MATCH(TRIM(SUBSTITUTE($B1169,CHAR(160)," ")),'TRANS'!$D:$D,0)),IFERROR(INDEX('Catalog'!$A:$A,MATCH($B1169,'Catalog'!$B:$B,0)),IFERROR(INDEX('Catalog'!$A:$A,MATCH(TRIM(SUBSTITUTE($B1169,CHAR(160)," ")),'Catalog'!$C:$C,0)),""))))</f>
        <v>4413499</v>
      </c>
      <c r="H1169" s="8" t="str">
        <f aca="false">IFERROR(INDEX('TRANS'!$C:$C,MATCH($B1169,'TRANS'!$A:$A,0)),IFERROR(INDEX('Catalog'!$B:$B,MATCH($G1169,'Catalog'!$A:$A,0)),$B1169))</f>
        <v>45B XXLמגן ברך שחור</v>
      </c>
      <c r="I1169" s="8" t="str">
        <f aca="false">IF($G1169="","Unmatched","Matched")</f>
        <v>Matched</v>
      </c>
    </row>
    <row r="1170" customFormat="false" ht="15" hidden="false" customHeight="false" outlineLevel="0" collapsed="false">
      <c r="A1170" s="8" t="s">
        <v>572</v>
      </c>
      <c r="B1170" s="8" t="s">
        <v>515</v>
      </c>
      <c r="C1170" s="19" t="n">
        <v>7</v>
      </c>
      <c r="D1170" s="19" t="n">
        <v>165.66</v>
      </c>
      <c r="E1170" s="19" t="n">
        <v>10</v>
      </c>
      <c r="F1170" s="19" t="n">
        <v>238.57</v>
      </c>
      <c r="G1170" s="8" t="n">
        <f aca="false">IFERROR(INDEX('TRANS'!$B:$B,MATCH($B1170,'TRANS'!$A:$A,0)),IFERROR(INDEX('TRANS'!$B:$B,MATCH(TRIM(SUBSTITUTE($B1170,CHAR(160)," ")),'TRANS'!$D:$D,0)),IFERROR(INDEX('Catalog'!$A:$A,MATCH($B1170,'Catalog'!$B:$B,0)),IFERROR(INDEX('Catalog'!$A:$A,MATCH(TRIM(SUBSTITUTE($B1170,CHAR(160)," ")),'Catalog'!$C:$C,0)),""))))</f>
        <v>4420022</v>
      </c>
      <c r="H1170" s="8" t="str">
        <f aca="false">IFERROR(INDEX('TRANS'!$C:$C,MATCH($B1170,'TRANS'!$A:$A,0)),IFERROR(INDEX('Catalog'!$B:$B,MATCH($G1170,'Catalog'!$A:$A,0)),$B1170))</f>
        <v>LF370 ריפוד סיליקון לעקב אחורי</v>
      </c>
      <c r="I1170" s="8" t="str">
        <f aca="false">IF($G1170="","Unmatched","Matched")</f>
        <v>Matched</v>
      </c>
    </row>
    <row r="1171" customFormat="false" ht="15" hidden="false" customHeight="false" outlineLevel="0" collapsed="false">
      <c r="A1171" s="8" t="s">
        <v>572</v>
      </c>
      <c r="B1171" s="8" t="s">
        <v>285</v>
      </c>
      <c r="C1171" s="19" t="n">
        <v>4</v>
      </c>
      <c r="D1171" s="19" t="n">
        <v>86.08</v>
      </c>
      <c r="E1171" s="19" t="n">
        <v>0</v>
      </c>
      <c r="F1171" s="19" t="n">
        <v>0</v>
      </c>
      <c r="G1171" s="8" t="n">
        <f aca="false">IFERROR(INDEX('TRANS'!$B:$B,MATCH($B1171,'TRANS'!$A:$A,0)),IFERROR(INDEX('TRANS'!$B:$B,MATCH(TRIM(SUBSTITUTE($B1171,CHAR(160)," ")),'TRANS'!$D:$D,0)),IFERROR(INDEX('Catalog'!$A:$A,MATCH($B1171,'Catalog'!$B:$B,0)),IFERROR(INDEX('Catalog'!$A:$A,MATCH(TRIM(SUBSTITUTE($B1171,CHAR(160)," ")),'Catalog'!$C:$C,0)),""))))</f>
        <v>4420024</v>
      </c>
      <c r="H1171" s="8" t="str">
        <f aca="false">IFERROR(INDEX('TRANS'!$C:$C,MATCH($B1171,'TRANS'!$A:$A,0)),IFERROR(INDEX('Catalog'!$B:$B,MATCH($G1171,'Catalog'!$A:$A,0)),$B1171))</f>
        <v>LFריפוד סיליק.לכרית כף הרגל373</v>
      </c>
      <c r="I1171" s="8" t="str">
        <f aca="false">IF($G1171="","Unmatched","Matched")</f>
        <v>Matched</v>
      </c>
    </row>
    <row r="1172" customFormat="false" ht="15" hidden="false" customHeight="false" outlineLevel="0" collapsed="false">
      <c r="A1172" s="8" t="s">
        <v>572</v>
      </c>
      <c r="B1172" s="8" t="s">
        <v>286</v>
      </c>
      <c r="C1172" s="19" t="n">
        <v>0</v>
      </c>
      <c r="D1172" s="19" t="n">
        <v>0</v>
      </c>
      <c r="E1172" s="19" t="n">
        <v>1</v>
      </c>
      <c r="F1172" s="19" t="n">
        <v>23.86</v>
      </c>
      <c r="G1172" s="8" t="n">
        <f aca="false">IFERROR(INDEX('TRANS'!$B:$B,MATCH($B1172,'TRANS'!$A:$A,0)),IFERROR(INDEX('TRANS'!$B:$B,MATCH(TRIM(SUBSTITUTE($B1172,CHAR(160)," ")),'TRANS'!$D:$D,0)),IFERROR(INDEX('Catalog'!$A:$A,MATCH($B1172,'Catalog'!$B:$B,0)),IFERROR(INDEX('Catalog'!$A:$A,MATCH(TRIM(SUBSTITUTE($B1172,CHAR(160)," ")),'Catalog'!$C:$C,0)),""))))</f>
        <v>4420025</v>
      </c>
      <c r="H1172" s="8" t="str">
        <f aca="false">IFERROR(INDEX('TRANS'!$C:$C,MATCH($B1172,'TRANS'!$A:$A,0)),IFERROR(INDEX('Catalog'!$B:$B,MATCH($G1172,'Catalog'!$A:$A,0)),$B1172))</f>
        <v>LF374 ריפוד סיליק.לעקב תחתון</v>
      </c>
      <c r="I1172" s="8" t="str">
        <f aca="false">IF($G1172="","Unmatched","Matched")</f>
        <v>Matched</v>
      </c>
    </row>
    <row r="1173" customFormat="false" ht="15" hidden="false" customHeight="false" outlineLevel="0" collapsed="false">
      <c r="A1173" s="8" t="s">
        <v>572</v>
      </c>
      <c r="B1173" s="8" t="s">
        <v>805</v>
      </c>
      <c r="C1173" s="19" t="n">
        <v>1</v>
      </c>
      <c r="D1173" s="19" t="n">
        <v>73.55</v>
      </c>
      <c r="E1173" s="19" t="n">
        <v>0</v>
      </c>
      <c r="F1173" s="19" t="n">
        <v>0</v>
      </c>
      <c r="G1173" s="8" t="n">
        <f aca="false">IFERROR(INDEX('TRANS'!$B:$B,MATCH($B1173,'TRANS'!$A:$A,0)),IFERROR(INDEX('TRANS'!$B:$B,MATCH(TRIM(SUBSTITUTE($B1173,CHAR(160)," ")),'TRANS'!$D:$D,0)),IFERROR(INDEX('Catalog'!$A:$A,MATCH($B1173,'Catalog'!$B:$B,0)),IFERROR(INDEX('Catalog'!$A:$A,MATCH(TRIM(SUBSTITUTE($B1173,CHAR(160)," ")),'Catalog'!$C:$C,0)),""))))</f>
        <v>4413451</v>
      </c>
      <c r="H1173" s="8" t="str">
        <f aca="false">IFERROR(INDEX('TRANS'!$C:$C,MATCH($B1173,'TRANS'!$A:$A,0)),IFERROR(INDEX('Catalog'!$B:$B,MATCH($G1173,'Catalog'!$A:$A,0)),$B1173))</f>
        <v>LF378 L מדרס ג'ל לנעלי עקב</v>
      </c>
      <c r="I1173" s="8" t="str">
        <f aca="false">IF($G1173="","Unmatched","Matched")</f>
        <v>Matched</v>
      </c>
    </row>
    <row r="1174" customFormat="false" ht="15" hidden="false" customHeight="false" outlineLevel="0" collapsed="false">
      <c r="A1174" s="8" t="s">
        <v>572</v>
      </c>
      <c r="B1174" s="8" t="s">
        <v>806</v>
      </c>
      <c r="C1174" s="19" t="n">
        <v>1</v>
      </c>
      <c r="D1174" s="19" t="n">
        <v>73.55</v>
      </c>
      <c r="E1174" s="19" t="n">
        <v>0</v>
      </c>
      <c r="F1174" s="19" t="n">
        <v>0</v>
      </c>
      <c r="G1174" s="8" t="n">
        <f aca="false">IFERROR(INDEX('TRANS'!$B:$B,MATCH($B1174,'TRANS'!$A:$A,0)),IFERROR(INDEX('TRANS'!$B:$B,MATCH(TRIM(SUBSTITUTE($B1174,CHAR(160)," ")),'TRANS'!$D:$D,0)),IFERROR(INDEX('Catalog'!$A:$A,MATCH($B1174,'Catalog'!$B:$B,0)),IFERROR(INDEX('Catalog'!$A:$A,MATCH(TRIM(SUBSTITUTE($B1174,CHAR(160)," ")),'Catalog'!$C:$C,0)),""))))</f>
        <v>4413449</v>
      </c>
      <c r="H1174" s="8" t="str">
        <f aca="false">IFERROR(INDEX('TRANS'!$C:$C,MATCH($B1174,'TRANS'!$A:$A,0)),IFERROR(INDEX('Catalog'!$B:$B,MATCH($G1174,'Catalog'!$A:$A,0)),$B1174))</f>
        <v>LF378 S מדרס ג'ל לנעלי עקב</v>
      </c>
      <c r="I1174" s="8" t="str">
        <f aca="false">IF($G1174="","Unmatched","Matched")</f>
        <v>Matched</v>
      </c>
    </row>
    <row r="1175" customFormat="false" ht="15" hidden="false" customHeight="false" outlineLevel="0" collapsed="false">
      <c r="A1175" s="8" t="s">
        <v>572</v>
      </c>
      <c r="B1175" s="8" t="s">
        <v>446</v>
      </c>
      <c r="C1175" s="19" t="n">
        <v>0</v>
      </c>
      <c r="D1175" s="19" t="n">
        <v>0</v>
      </c>
      <c r="E1175" s="19" t="n">
        <v>-1</v>
      </c>
      <c r="F1175" s="19" t="n">
        <v>-190</v>
      </c>
      <c r="G1175" s="8" t="str">
        <f aca="false">IFERROR(INDEX('TRANS'!$B:$B,MATCH($B1175,'TRANS'!$A:$A,0)),IFERROR(INDEX('TRANS'!$B:$B,MATCH(TRIM(SUBSTITUTE($B1175,CHAR(160)," ")),'TRANS'!$D:$D,0)),IFERROR(INDEX('Catalog'!$A:$A,MATCH($B1175,'Catalog'!$B:$B,0)),IFERROR(INDEX('Catalog'!$A:$A,MATCH(TRIM(SUBSTITUTE($B1175,CHAR(160)," ")),'Catalog'!$C:$C,0)),""))))</f>
        <v/>
      </c>
      <c r="H1175" s="8" t="str">
        <f aca="false">IFERROR(INDEX('TRANS'!$C:$C,MATCH($B1175,'TRANS'!$A:$A,0)),IFERROR(INDEX('Catalog'!$B:$B,MATCH($G1175,'Catalog'!$A:$A,0)),$B1175))</f>
        <v>T433 XL</v>
      </c>
      <c r="I1175" s="8" t="str">
        <f aca="false">IF($G1175="","Unmatched","Matched")</f>
        <v>Unmatched</v>
      </c>
    </row>
    <row r="1176" customFormat="false" ht="15" hidden="false" customHeight="false" outlineLevel="0" collapsed="false">
      <c r="A1176" s="8" t="s">
        <v>572</v>
      </c>
      <c r="B1176" s="8" t="s">
        <v>807</v>
      </c>
      <c r="C1176" s="19" t="n">
        <v>1</v>
      </c>
      <c r="D1176" s="19" t="n">
        <v>203.23</v>
      </c>
      <c r="E1176" s="19" t="n">
        <v>0</v>
      </c>
      <c r="F1176" s="19" t="n">
        <v>0</v>
      </c>
      <c r="G1176" s="8" t="str">
        <f aca="false">IFERROR(INDEX('TRANS'!$B:$B,MATCH($B1176,'TRANS'!$A:$A,0)),IFERROR(INDEX('TRANS'!$B:$B,MATCH(TRIM(SUBSTITUTE($B1176,CHAR(160)," ")),'TRANS'!$D:$D,0)),IFERROR(INDEX('Catalog'!$A:$A,MATCH($B1176,'Catalog'!$B:$B,0)),IFERROR(INDEX('Catalog'!$A:$A,MATCH(TRIM(SUBSTITUTE($B1176,CHAR(160)," ")),'Catalog'!$C:$C,0)),""))))</f>
        <v/>
      </c>
      <c r="H1176" s="8" t="str">
        <f aca="false">IFERROR(INDEX('TRANS'!$C:$C,MATCH($B1176,'TRANS'!$A:$A,0)),IFERROR(INDEX('Catalog'!$B:$B,MATCH($G1176,'Catalog'!$A:$A,0)),$B1176))</f>
        <v>422N+ L</v>
      </c>
      <c r="I1176" s="8" t="str">
        <f aca="false">IF($G1176="","Unmatched","Matched")</f>
        <v>Unmatched</v>
      </c>
    </row>
    <row r="1177" customFormat="false" ht="15" hidden="false" customHeight="false" outlineLevel="0" collapsed="false">
      <c r="A1177" s="8" t="s">
        <v>572</v>
      </c>
      <c r="B1177" s="8" t="s">
        <v>808</v>
      </c>
      <c r="C1177" s="19" t="n">
        <v>1</v>
      </c>
      <c r="D1177" s="19" t="n">
        <v>203.23</v>
      </c>
      <c r="E1177" s="19" t="n">
        <v>0</v>
      </c>
      <c r="F1177" s="19" t="n">
        <v>0</v>
      </c>
      <c r="G1177" s="8" t="str">
        <f aca="false">IFERROR(INDEX('TRANS'!$B:$B,MATCH($B1177,'TRANS'!$A:$A,0)),IFERROR(INDEX('TRANS'!$B:$B,MATCH(TRIM(SUBSTITUTE($B1177,CHAR(160)," ")),'TRANS'!$D:$D,0)),IFERROR(INDEX('Catalog'!$A:$A,MATCH($B1177,'Catalog'!$B:$B,0)),IFERROR(INDEX('Catalog'!$A:$A,MATCH(TRIM(SUBSTITUTE($B1177,CHAR(160)," ")),'Catalog'!$C:$C,0)),""))))</f>
        <v/>
      </c>
      <c r="H1177" s="8" t="str">
        <f aca="false">IFERROR(INDEX('TRANS'!$C:$C,MATCH($B1177,'TRANS'!$A:$A,0)),IFERROR(INDEX('Catalog'!$B:$B,MATCH($G1177,'Catalog'!$A:$A,0)),$B1177))</f>
        <v>422N+ M</v>
      </c>
      <c r="I1177" s="8" t="str">
        <f aca="false">IF($G1177="","Unmatched","Matched")</f>
        <v>Unmatched</v>
      </c>
    </row>
    <row r="1178" customFormat="false" ht="15" hidden="false" customHeight="false" outlineLevel="0" collapsed="false">
      <c r="A1178" s="8" t="s">
        <v>572</v>
      </c>
      <c r="B1178" s="8" t="s">
        <v>809</v>
      </c>
      <c r="C1178" s="19" t="n">
        <v>1</v>
      </c>
      <c r="D1178" s="19" t="n">
        <v>203.23</v>
      </c>
      <c r="E1178" s="19" t="n">
        <v>0</v>
      </c>
      <c r="F1178" s="19" t="n">
        <v>0</v>
      </c>
      <c r="G1178" s="8" t="str">
        <f aca="false">IFERROR(INDEX('TRANS'!$B:$B,MATCH($B1178,'TRANS'!$A:$A,0)),IFERROR(INDEX('TRANS'!$B:$B,MATCH(TRIM(SUBSTITUTE($B1178,CHAR(160)," ")),'TRANS'!$D:$D,0)),IFERROR(INDEX('Catalog'!$A:$A,MATCH($B1178,'Catalog'!$B:$B,0)),IFERROR(INDEX('Catalog'!$A:$A,MATCH(TRIM(SUBSTITUTE($B1178,CHAR(160)," ")),'Catalog'!$C:$C,0)),""))))</f>
        <v/>
      </c>
      <c r="H1178" s="8" t="str">
        <f aca="false">IFERROR(INDEX('TRANS'!$C:$C,MATCH($B1178,'TRANS'!$A:$A,0)),IFERROR(INDEX('Catalog'!$B:$B,MATCH($G1178,'Catalog'!$A:$A,0)),$B1178))</f>
        <v>422N+ S</v>
      </c>
      <c r="I1178" s="8" t="str">
        <f aca="false">IF($G1178="","Unmatched","Matched")</f>
        <v>Unmatched</v>
      </c>
    </row>
    <row r="1179" customFormat="false" ht="15" hidden="false" customHeight="false" outlineLevel="0" collapsed="false">
      <c r="A1179" s="8" t="s">
        <v>572</v>
      </c>
      <c r="B1179" s="8" t="s">
        <v>810</v>
      </c>
      <c r="C1179" s="19" t="n">
        <v>1</v>
      </c>
      <c r="D1179" s="19" t="n">
        <v>203.23</v>
      </c>
      <c r="E1179" s="19" t="n">
        <v>0</v>
      </c>
      <c r="F1179" s="19" t="n">
        <v>0</v>
      </c>
      <c r="G1179" s="8" t="str">
        <f aca="false">IFERROR(INDEX('TRANS'!$B:$B,MATCH($B1179,'TRANS'!$A:$A,0)),IFERROR(INDEX('TRANS'!$B:$B,MATCH(TRIM(SUBSTITUTE($B1179,CHAR(160)," ")),'TRANS'!$D:$D,0)),IFERROR(INDEX('Catalog'!$A:$A,MATCH($B1179,'Catalog'!$B:$B,0)),IFERROR(INDEX('Catalog'!$A:$A,MATCH(TRIM(SUBSTITUTE($B1179,CHAR(160)," ")),'Catalog'!$C:$C,0)),""))))</f>
        <v/>
      </c>
      <c r="H1179" s="8" t="str">
        <f aca="false">IFERROR(INDEX('TRANS'!$C:$C,MATCH($B1179,'TRANS'!$A:$A,0)),IFERROR(INDEX('Catalog'!$B:$B,MATCH($G1179,'Catalog'!$A:$A,0)),$B1179))</f>
        <v>422N+ XL</v>
      </c>
      <c r="I1179" s="8" t="str">
        <f aca="false">IF($G1179="","Unmatched","Matched")</f>
        <v>Unmatched</v>
      </c>
    </row>
    <row r="1180" customFormat="false" ht="15" hidden="false" customHeight="false" outlineLevel="0" collapsed="false">
      <c r="A1180" s="8" t="s">
        <v>572</v>
      </c>
      <c r="B1180" s="8" t="s">
        <v>811</v>
      </c>
      <c r="C1180" s="19" t="n">
        <v>1</v>
      </c>
      <c r="D1180" s="19" t="n">
        <v>133.54</v>
      </c>
      <c r="E1180" s="19" t="n">
        <v>0</v>
      </c>
      <c r="F1180" s="19" t="n">
        <v>0</v>
      </c>
      <c r="G1180" s="8" t="str">
        <f aca="false">IFERROR(INDEX('TRANS'!$B:$B,MATCH($B1180,'TRANS'!$A:$A,0)),IFERROR(INDEX('TRANS'!$B:$B,MATCH(TRIM(SUBSTITUTE($B1180,CHAR(160)," ")),'TRANS'!$D:$D,0)),IFERROR(INDEX('Catalog'!$A:$A,MATCH($B1180,'Catalog'!$B:$B,0)),IFERROR(INDEX('Catalog'!$A:$A,MATCH(TRIM(SUBSTITUTE($B1180,CHAR(160)," ")),'Catalog'!$C:$C,0)),""))))</f>
        <v/>
      </c>
      <c r="H1180" s="8" t="str">
        <f aca="false">IFERROR(INDEX('TRANS'!$C:$C,MATCH($B1180,'TRANS'!$A:$A,0)),IFERROR(INDEX('Catalog'!$B:$B,MATCH($G1180,'Catalog'!$A:$A,0)),$B1180))</f>
        <v>49PS S</v>
      </c>
      <c r="I1180" s="8" t="str">
        <f aca="false">IF($G1180="","Unmatched","Matched")</f>
        <v>Unmatched</v>
      </c>
    </row>
    <row r="1181" customFormat="false" ht="15" hidden="false" customHeight="false" outlineLevel="0" collapsed="false">
      <c r="A1181" s="8" t="s">
        <v>572</v>
      </c>
      <c r="B1181" s="8" t="s">
        <v>812</v>
      </c>
      <c r="C1181" s="19" t="n">
        <v>1</v>
      </c>
      <c r="D1181" s="19" t="n">
        <v>133.54</v>
      </c>
      <c r="E1181" s="19" t="n">
        <v>0</v>
      </c>
      <c r="F1181" s="19" t="n">
        <v>0</v>
      </c>
      <c r="G1181" s="8" t="str">
        <f aca="false">IFERROR(INDEX('TRANS'!$B:$B,MATCH($B1181,'TRANS'!$A:$A,0)),IFERROR(INDEX('TRANS'!$B:$B,MATCH(TRIM(SUBSTITUTE($B1181,CHAR(160)," ")),'TRANS'!$D:$D,0)),IFERROR(INDEX('Catalog'!$A:$A,MATCH($B1181,'Catalog'!$B:$B,0)),IFERROR(INDEX('Catalog'!$A:$A,MATCH(TRIM(SUBSTITUTE($B1181,CHAR(160)," ")),'Catalog'!$C:$C,0)),""))))</f>
        <v/>
      </c>
      <c r="H1181" s="8" t="str">
        <f aca="false">IFERROR(INDEX('TRANS'!$C:$C,MATCH($B1181,'TRANS'!$A:$A,0)),IFERROR(INDEX('Catalog'!$B:$B,MATCH($G1181,'Catalog'!$A:$A,0)),$B1181))</f>
        <v>49PS XS</v>
      </c>
      <c r="I1181" s="8" t="str">
        <f aca="false">IF($G1181="","Unmatched","Matched")</f>
        <v>Unmatched</v>
      </c>
    </row>
    <row r="1182" customFormat="false" ht="15" hidden="false" customHeight="false" outlineLevel="0" collapsed="false">
      <c r="A1182" s="8" t="s">
        <v>572</v>
      </c>
      <c r="B1182" s="8" t="s">
        <v>813</v>
      </c>
      <c r="C1182" s="19" t="n">
        <v>2</v>
      </c>
      <c r="D1182" s="19" t="n">
        <v>283.95</v>
      </c>
      <c r="E1182" s="19" t="n">
        <v>0</v>
      </c>
      <c r="F1182" s="19" t="n">
        <v>0</v>
      </c>
      <c r="G1182" s="8" t="str">
        <f aca="false">IFERROR(INDEX('TRANS'!$B:$B,MATCH($B1182,'TRANS'!$A:$A,0)),IFERROR(INDEX('TRANS'!$B:$B,MATCH(TRIM(SUBSTITUTE($B1182,CHAR(160)," ")),'TRANS'!$D:$D,0)),IFERROR(INDEX('Catalog'!$A:$A,MATCH($B1182,'Catalog'!$B:$B,0)),IFERROR(INDEX('Catalog'!$A:$A,MATCH(TRIM(SUBSTITUTE($B1182,CHAR(160)," ")),'Catalog'!$C:$C,0)),""))))</f>
        <v/>
      </c>
      <c r="H1182" s="8" t="str">
        <f aca="false">IFERROR(INDEX('TRANS'!$C:$C,MATCH($B1182,'TRANS'!$A:$A,0)),IFERROR(INDEX('Catalog'!$B:$B,MATCH($G1182,'Catalog'!$A:$A,0)),$B1182))</f>
        <v>922B M</v>
      </c>
      <c r="I1182" s="8" t="str">
        <f aca="false">IF($G1182="","Unmatched","Matched")</f>
        <v>Unmatched</v>
      </c>
    </row>
    <row r="1183" customFormat="false" ht="15" hidden="false" customHeight="false" outlineLevel="0" collapsed="false">
      <c r="A1183" s="8" t="s">
        <v>572</v>
      </c>
      <c r="B1183" s="8" t="s">
        <v>149</v>
      </c>
      <c r="C1183" s="19" t="n">
        <v>0</v>
      </c>
      <c r="D1183" s="19" t="n">
        <v>0</v>
      </c>
      <c r="E1183" s="19" t="n">
        <v>2</v>
      </c>
      <c r="F1183" s="19" t="n">
        <v>65.54</v>
      </c>
      <c r="G1183" s="8" t="n">
        <f aca="false">IFERROR(INDEX('TRANS'!$B:$B,MATCH($B1183,'TRANS'!$A:$A,0)),IFERROR(INDEX('TRANS'!$B:$B,MATCH(TRIM(SUBSTITUTE($B1183,CHAR(160)," ")),'TRANS'!$D:$D,0)),IFERROR(INDEX('Catalog'!$A:$A,MATCH($B1183,'Catalog'!$B:$B,0)),IFERROR(INDEX('Catalog'!$A:$A,MATCH(TRIM(SUBSTITUTE($B1183,CHAR(160)," ")),'Catalog'!$C:$C,0)),""))))</f>
        <v>4413058</v>
      </c>
      <c r="H1183" s="8" t="str">
        <f aca="false">IFERROR(INDEX('TRANS'!$C:$C,MATCH($B1183,'TRANS'!$A:$A,0)),IFERROR(INDEX('Catalog'!$B:$B,MATCH($G1183,'Catalog'!$A:$A,0)),$B1183))</f>
        <v>3622S מדבקה לשחרור לחץ 2 יח</v>
      </c>
      <c r="I1183" s="8" t="str">
        <f aca="false">IF($G1183="","Unmatched","Matched")</f>
        <v>Matched</v>
      </c>
    </row>
    <row r="1184" customFormat="false" ht="15" hidden="false" customHeight="false" outlineLevel="0" collapsed="false">
      <c r="A1184" s="8" t="s">
        <v>572</v>
      </c>
      <c r="B1184" s="8" t="s">
        <v>270</v>
      </c>
      <c r="C1184" s="19" t="n">
        <v>0</v>
      </c>
      <c r="D1184" s="19" t="n">
        <v>0</v>
      </c>
      <c r="E1184" s="19" t="n">
        <v>3</v>
      </c>
      <c r="F1184" s="19" t="n">
        <v>93.66</v>
      </c>
      <c r="G1184" s="8" t="n">
        <f aca="false">IFERROR(INDEX('TRANS'!$B:$B,MATCH($B1184,'TRANS'!$A:$A,0)),IFERROR(INDEX('TRANS'!$B:$B,MATCH(TRIM(SUBSTITUTE($B1184,CHAR(160)," ")),'TRANS'!$D:$D,0)),IFERROR(INDEX('Catalog'!$A:$A,MATCH($B1184,'Catalog'!$B:$B,0)),IFERROR(INDEX('Catalog'!$A:$A,MATCH(TRIM(SUBSTITUTE($B1184,CHAR(160)," ")),'Catalog'!$C:$C,0)),""))))</f>
        <v>4415026</v>
      </c>
      <c r="H1184" s="8" t="str">
        <f aca="false">IFERROR(INDEX('TRANS'!$C:$C,MATCH($B1184,'TRANS'!$A:$A,0)),IFERROR(INDEX('Catalog'!$B:$B,MATCH($G1184,'Catalog'!$A:$A,0)),$B1184))</f>
        <v>AC-27L סד לש.כף יד שמאל</v>
      </c>
      <c r="I1184" s="8" t="str">
        <f aca="false">IF($G1184="","Unmatched","Matched")</f>
        <v>Matched</v>
      </c>
    </row>
    <row r="1185" customFormat="false" ht="15" hidden="false" customHeight="false" outlineLevel="0" collapsed="false">
      <c r="A1185" s="8" t="s">
        <v>572</v>
      </c>
      <c r="B1185" s="8" t="s">
        <v>271</v>
      </c>
      <c r="C1185" s="19" t="n">
        <v>0</v>
      </c>
      <c r="D1185" s="19" t="n">
        <v>0</v>
      </c>
      <c r="E1185" s="19" t="n">
        <v>3</v>
      </c>
      <c r="F1185" s="19" t="n">
        <v>140.47</v>
      </c>
      <c r="G1185" s="8" t="n">
        <f aca="false">IFERROR(INDEX('TRANS'!$B:$B,MATCH($B1185,'TRANS'!$A:$A,0)),IFERROR(INDEX('TRANS'!$B:$B,MATCH(TRIM(SUBSTITUTE($B1185,CHAR(160)," ")),'TRANS'!$D:$D,0)),IFERROR(INDEX('Catalog'!$A:$A,MATCH($B1185,'Catalog'!$B:$B,0)),IFERROR(INDEX('Catalog'!$A:$A,MATCH(TRIM(SUBSTITUTE($B1185,CHAR(160)," ")),'Catalog'!$C:$C,0)),""))))</f>
        <v>4415027</v>
      </c>
      <c r="H1185" s="8" t="str">
        <f aca="false">IFERROR(INDEX('TRANS'!$C:$C,MATCH($B1185,'TRANS'!$A:$A,0)),IFERROR(INDEX('Catalog'!$B:$B,MATCH($G1185,'Catalog'!$A:$A,0)),$B1185))</f>
        <v>AC-27R סד לש.כף יד ימין</v>
      </c>
      <c r="I1185" s="8" t="str">
        <f aca="false">IF($G1185="","Unmatched","Matched")</f>
        <v>Matched</v>
      </c>
    </row>
    <row r="1186" customFormat="false" ht="15" hidden="false" customHeight="false" outlineLevel="0" collapsed="false">
      <c r="A1186" s="8" t="s">
        <v>814</v>
      </c>
      <c r="B1186" s="8" t="s">
        <v>60</v>
      </c>
      <c r="C1186" s="19" t="n">
        <v>10</v>
      </c>
      <c r="D1186" s="19" t="n">
        <v>843</v>
      </c>
      <c r="E1186" s="19" t="n">
        <v>183</v>
      </c>
      <c r="F1186" s="19" t="n">
        <v>15324.4</v>
      </c>
      <c r="G1186" s="8" t="n">
        <f aca="false">IFERROR(INDEX('TRANS'!$B:$B,MATCH($B1186,'TRANS'!$A:$A,0)),IFERROR(INDEX('TRANS'!$B:$B,MATCH(TRIM(SUBSTITUTE($B1186,CHAR(160)," ")),'TRANS'!$D:$D,0)),IFERROR(INDEX('Catalog'!$A:$A,MATCH($B1186,'Catalog'!$B:$B,0)),IFERROR(INDEX('Catalog'!$A:$A,MATCH(TRIM(SUBSTITUTE($B1186,CHAR(160)," ")),'Catalog'!$C:$C,0)),""))))</f>
        <v>4408192</v>
      </c>
      <c r="H1186" s="8" t="str">
        <f aca="false">IFERROR(INDEX('TRANS'!$C:$C,MATCH($B1186,'TRANS'!$A:$A,0)),IFERROR(INDEX('Catalog'!$B:$B,MATCH($G1186,'Catalog'!$A:$A,0)),$B1186))</f>
        <v>078 L חגורת גב +סגירה</v>
      </c>
      <c r="I1186" s="8" t="str">
        <f aca="false">IF($G1186="","Unmatched","Matched")</f>
        <v>Matched</v>
      </c>
    </row>
    <row r="1187" customFormat="false" ht="15" hidden="false" customHeight="false" outlineLevel="0" collapsed="false">
      <c r="A1187" s="8" t="s">
        <v>814</v>
      </c>
      <c r="B1187" s="8" t="s">
        <v>61</v>
      </c>
      <c r="C1187" s="19" t="n">
        <v>9</v>
      </c>
      <c r="D1187" s="19" t="n">
        <v>753</v>
      </c>
      <c r="E1187" s="19" t="n">
        <v>88</v>
      </c>
      <c r="F1187" s="19" t="n">
        <v>7572.21</v>
      </c>
      <c r="G1187" s="8" t="n">
        <f aca="false">IFERROR(INDEX('TRANS'!$B:$B,MATCH($B1187,'TRANS'!$A:$A,0)),IFERROR(INDEX('TRANS'!$B:$B,MATCH(TRIM(SUBSTITUTE($B1187,CHAR(160)," ")),'TRANS'!$D:$D,0)),IFERROR(INDEX('Catalog'!$A:$A,MATCH($B1187,'Catalog'!$B:$B,0)),IFERROR(INDEX('Catalog'!$A:$A,MATCH(TRIM(SUBSTITUTE($B1187,CHAR(160)," ")),'Catalog'!$C:$C,0)),""))))</f>
        <v>4408218</v>
      </c>
      <c r="H1187" s="8" t="str">
        <f aca="false">IFERROR(INDEX('TRANS'!$C:$C,MATCH($B1187,'TRANS'!$A:$A,0)),IFERROR(INDEX('Catalog'!$B:$B,MATCH($G1187,'Catalog'!$A:$A,0)),$B1187))</f>
        <v>078XL חגורת גב +סגירה כפולה</v>
      </c>
      <c r="I1187" s="8" t="str">
        <f aca="false">IF($G1187="","Unmatched","Matched")</f>
        <v>Matched</v>
      </c>
    </row>
    <row r="1188" customFormat="false" ht="15" hidden="false" customHeight="false" outlineLevel="0" collapsed="false">
      <c r="A1188" s="8" t="s">
        <v>814</v>
      </c>
      <c r="B1188" s="8" t="s">
        <v>638</v>
      </c>
      <c r="C1188" s="19" t="n">
        <v>1</v>
      </c>
      <c r="D1188" s="19" t="n">
        <v>180</v>
      </c>
      <c r="E1188" s="19" t="n">
        <v>1</v>
      </c>
      <c r="F1188" s="19" t="n">
        <v>220</v>
      </c>
      <c r="G1188" s="8" t="n">
        <f aca="false">IFERROR(INDEX('TRANS'!$B:$B,MATCH($B1188,'TRANS'!$A:$A,0)),IFERROR(INDEX('TRANS'!$B:$B,MATCH(TRIM(SUBSTITUTE($B1188,CHAR(160)," ")),'TRANS'!$D:$D,0)),IFERROR(INDEX('Catalog'!$A:$A,MATCH($B1188,'Catalog'!$B:$B,0)),IFERROR(INDEX('Catalog'!$A:$A,MATCH(TRIM(SUBSTITUTE($B1188,CHAR(160)," ")),'Catalog'!$C:$C,0)),""))))</f>
        <v>4408015</v>
      </c>
      <c r="H1188" s="8" t="str">
        <f aca="false">IFERROR(INDEX('TRANS'!$C:$C,MATCH($B1188,'TRANS'!$A:$A,0)),IFERROR(INDEX('Catalog'!$B:$B,MATCH($G1188,'Catalog'!$A:$A,0)),$B1188))</f>
        <v>07AU L ח.גב """"איטלקית"""" אורירית</v>
      </c>
      <c r="I1188" s="8" t="str">
        <f aca="false">IF($G1188="","Unmatched","Matched")</f>
        <v>Matched</v>
      </c>
    </row>
    <row r="1189" customFormat="false" ht="15" hidden="false" customHeight="false" outlineLevel="0" collapsed="false">
      <c r="A1189" s="8" t="s">
        <v>814</v>
      </c>
      <c r="B1189" s="8" t="s">
        <v>640</v>
      </c>
      <c r="C1189" s="19" t="n">
        <v>1</v>
      </c>
      <c r="D1189" s="19" t="n">
        <v>180</v>
      </c>
      <c r="E1189" s="19" t="n">
        <v>1</v>
      </c>
      <c r="F1189" s="19" t="n">
        <v>220</v>
      </c>
      <c r="G1189" s="8" t="n">
        <f aca="false">IFERROR(INDEX('TRANS'!$B:$B,MATCH($B1189,'TRANS'!$A:$A,0)),IFERROR(INDEX('TRANS'!$B:$B,MATCH(TRIM(SUBSTITUTE($B1189,CHAR(160)," ")),'TRANS'!$D:$D,0)),IFERROR(INDEX('Catalog'!$A:$A,MATCH($B1189,'Catalog'!$B:$B,0)),IFERROR(INDEX('Catalog'!$A:$A,MATCH(TRIM(SUBSTITUTE($B1189,CHAR(160)," ")),'Catalog'!$C:$C,0)),""))))</f>
        <v>4408017</v>
      </c>
      <c r="H1189" s="8" t="str">
        <f aca="false">IFERROR(INDEX('TRANS'!$C:$C,MATCH($B1189,'TRANS'!$A:$A,0)),IFERROR(INDEX('Catalog'!$B:$B,MATCH($G1189,'Catalog'!$A:$A,0)),$B1189))</f>
        <v>07AU XL ח.גב """"איטלקית"""" אורירית</v>
      </c>
      <c r="I1189" s="8" t="str">
        <f aca="false">IF($G1189="","Unmatched","Matched")</f>
        <v>Matched</v>
      </c>
    </row>
    <row r="1190" customFormat="false" ht="15" hidden="false" customHeight="false" outlineLevel="0" collapsed="false">
      <c r="A1190" s="8" t="s">
        <v>814</v>
      </c>
      <c r="B1190" s="8" t="s">
        <v>460</v>
      </c>
      <c r="C1190" s="19" t="n">
        <v>1</v>
      </c>
      <c r="D1190" s="19" t="n">
        <v>105</v>
      </c>
      <c r="E1190" s="19" t="n">
        <v>0</v>
      </c>
      <c r="F1190" s="19" t="n">
        <v>0</v>
      </c>
      <c r="G1190" s="8" t="n">
        <f aca="false">IFERROR(INDEX('TRANS'!$B:$B,MATCH($B1190,'TRANS'!$A:$A,0)),IFERROR(INDEX('TRANS'!$B:$B,MATCH(TRIM(SUBSTITUTE($B1190,CHAR(160)," ")),'TRANS'!$D:$D,0)),IFERROR(INDEX('Catalog'!$A:$A,MATCH($B1190,'Catalog'!$B:$B,0)),IFERROR(INDEX('Catalog'!$A:$A,MATCH(TRIM(SUBSTITUTE($B1190,CHAR(160)," ")),'Catalog'!$C:$C,0)),""))))</f>
        <v>4408261</v>
      </c>
      <c r="H1190" s="8" t="str">
        <f aca="false">IFERROR(INDEX('TRANS'!$C:$C,MATCH($B1190,'TRANS'!$A:$A,0)),IFERROR(INDEX('Catalog'!$B:$B,MATCH($G1190,'Catalog'!$A:$A,0)),$B1190))</f>
        <v>11STO L חגורה אחרי ניתוח</v>
      </c>
      <c r="I1190" s="8" t="str">
        <f aca="false">IF($G1190="","Unmatched","Matched")</f>
        <v>Matched</v>
      </c>
    </row>
    <row r="1191" customFormat="false" ht="15" hidden="false" customHeight="false" outlineLevel="0" collapsed="false">
      <c r="A1191" s="8" t="s">
        <v>814</v>
      </c>
      <c r="B1191" s="8" t="s">
        <v>587</v>
      </c>
      <c r="C1191" s="19" t="n">
        <v>1</v>
      </c>
      <c r="D1191" s="19" t="n">
        <v>105</v>
      </c>
      <c r="E1191" s="19" t="n">
        <v>0</v>
      </c>
      <c r="F1191" s="19" t="n">
        <v>0</v>
      </c>
      <c r="G1191" s="8" t="n">
        <f aca="false">IFERROR(INDEX('TRANS'!$B:$B,MATCH($B1191,'TRANS'!$A:$A,0)),IFERROR(INDEX('TRANS'!$B:$B,MATCH(TRIM(SUBSTITUTE($B1191,CHAR(160)," ")),'TRANS'!$D:$D,0)),IFERROR(INDEX('Catalog'!$A:$A,MATCH($B1191,'Catalog'!$B:$B,0)),IFERROR(INDEX('Catalog'!$A:$A,MATCH(TRIM(SUBSTITUTE($B1191,CHAR(160)," ")),'Catalog'!$C:$C,0)),""))))</f>
        <v>4408260</v>
      </c>
      <c r="H1191" s="8" t="str">
        <f aca="false">IFERROR(INDEX('TRANS'!$C:$C,MATCH($B1191,'TRANS'!$A:$A,0)),IFERROR(INDEX('Catalog'!$B:$B,MATCH($G1191,'Catalog'!$A:$A,0)),$B1191))</f>
        <v>11STO M חגורה אחרי ניתוח</v>
      </c>
      <c r="I1191" s="8" t="str">
        <f aca="false">IF($G1191="","Unmatched","Matched")</f>
        <v>Matched</v>
      </c>
    </row>
    <row r="1192" customFormat="false" ht="15" hidden="false" customHeight="false" outlineLevel="0" collapsed="false">
      <c r="A1192" s="8" t="s">
        <v>814</v>
      </c>
      <c r="B1192" s="8" t="s">
        <v>730</v>
      </c>
      <c r="C1192" s="19" t="n">
        <v>1</v>
      </c>
      <c r="D1192" s="19" t="n">
        <v>105</v>
      </c>
      <c r="E1192" s="19" t="n">
        <v>0</v>
      </c>
      <c r="F1192" s="19" t="n">
        <v>0</v>
      </c>
      <c r="G1192" s="8" t="n">
        <f aca="false">IFERROR(INDEX('TRANS'!$B:$B,MATCH($B1192,'TRANS'!$A:$A,0)),IFERROR(INDEX('TRANS'!$B:$B,MATCH(TRIM(SUBSTITUTE($B1192,CHAR(160)," ")),'TRANS'!$D:$D,0)),IFERROR(INDEX('Catalog'!$A:$A,MATCH($B1192,'Catalog'!$B:$B,0)),IFERROR(INDEX('Catalog'!$A:$A,MATCH(TRIM(SUBSTITUTE($B1192,CHAR(160)," ")),'Catalog'!$C:$C,0)),""))))</f>
        <v>4408259</v>
      </c>
      <c r="H1192" s="8" t="str">
        <f aca="false">IFERROR(INDEX('TRANS'!$C:$C,MATCH($B1192,'TRANS'!$A:$A,0)),IFERROR(INDEX('Catalog'!$B:$B,MATCH($G1192,'Catalog'!$A:$A,0)),$B1192))</f>
        <v>11STO S חגורה אחרי ניתוח</v>
      </c>
      <c r="I1192" s="8" t="str">
        <f aca="false">IF($G1192="","Unmatched","Matched")</f>
        <v>Matched</v>
      </c>
    </row>
    <row r="1193" customFormat="false" ht="15" hidden="false" customHeight="false" outlineLevel="0" collapsed="false">
      <c r="A1193" s="8" t="s">
        <v>814</v>
      </c>
      <c r="B1193" s="8" t="s">
        <v>343</v>
      </c>
      <c r="C1193" s="19" t="n">
        <v>2</v>
      </c>
      <c r="D1193" s="19" t="n">
        <v>210</v>
      </c>
      <c r="E1193" s="19" t="n">
        <v>0</v>
      </c>
      <c r="F1193" s="19" t="n">
        <v>0</v>
      </c>
      <c r="G1193" s="8" t="n">
        <f aca="false">IFERROR(INDEX('TRANS'!$B:$B,MATCH($B1193,'TRANS'!$A:$A,0)),IFERROR(INDEX('TRANS'!$B:$B,MATCH(TRIM(SUBSTITUTE($B1193,CHAR(160)," ")),'TRANS'!$D:$D,0)),IFERROR(INDEX('Catalog'!$A:$A,MATCH($B1193,'Catalog'!$B:$B,0)),IFERROR(INDEX('Catalog'!$A:$A,MATCH(TRIM(SUBSTITUTE($B1193,CHAR(160)," ")),'Catalog'!$C:$C,0)),""))))</f>
        <v>4408262</v>
      </c>
      <c r="H1193" s="8" t="str">
        <f aca="false">IFERROR(INDEX('TRANS'!$C:$C,MATCH($B1193,'TRANS'!$A:$A,0)),IFERROR(INDEX('Catalog'!$B:$B,MATCH($G1193,'Catalog'!$A:$A,0)),$B1193))</f>
        <v>11STO XL  חגורה אחרי ניתוח</v>
      </c>
      <c r="I1193" s="8" t="str">
        <f aca="false">IF($G1193="","Unmatched","Matched")</f>
        <v>Matched</v>
      </c>
    </row>
    <row r="1194" customFormat="false" ht="15" hidden="false" customHeight="false" outlineLevel="0" collapsed="false">
      <c r="A1194" s="8" t="s">
        <v>814</v>
      </c>
      <c r="B1194" s="8" t="s">
        <v>633</v>
      </c>
      <c r="C1194" s="19" t="n">
        <v>0</v>
      </c>
      <c r="D1194" s="19" t="n">
        <v>0</v>
      </c>
      <c r="E1194" s="19" t="n">
        <v>3</v>
      </c>
      <c r="F1194" s="19" t="n">
        <v>295.47</v>
      </c>
      <c r="G1194" s="8" t="n">
        <f aca="false">IFERROR(INDEX('TRANS'!$B:$B,MATCH($B1194,'TRANS'!$A:$A,0)),IFERROR(INDEX('TRANS'!$B:$B,MATCH(TRIM(SUBSTITUTE($B1194,CHAR(160)," ")),'TRANS'!$D:$D,0)),IFERROR(INDEX('Catalog'!$A:$A,MATCH($B1194,'Catalog'!$B:$B,0)),IFERROR(INDEX('Catalog'!$A:$A,MATCH(TRIM(SUBSTITUTE($B1194,CHAR(160)," ")),'Catalog'!$C:$C,0)),""))))</f>
        <v>4408226</v>
      </c>
      <c r="H1194" s="8" t="str">
        <f aca="false">IFERROR(INDEX('TRANS'!$C:$C,MATCH($B1194,'TRANS'!$A:$A,0)),IFERROR(INDEX('Catalog'!$B:$B,MATCH($G1194,'Catalog'!$A:$A,0)),$B1194))</f>
        <v>L 11 אפורUG חגורת בטן</v>
      </c>
      <c r="I1194" s="8" t="str">
        <f aca="false">IF($G1194="","Unmatched","Matched")</f>
        <v>Matched</v>
      </c>
    </row>
    <row r="1195" customFormat="false" ht="15" hidden="false" customHeight="false" outlineLevel="0" collapsed="false">
      <c r="A1195" s="8" t="s">
        <v>814</v>
      </c>
      <c r="B1195" s="8" t="s">
        <v>77</v>
      </c>
      <c r="C1195" s="19" t="n">
        <v>0</v>
      </c>
      <c r="D1195" s="19" t="n">
        <v>0</v>
      </c>
      <c r="E1195" s="19" t="n">
        <v>4</v>
      </c>
      <c r="F1195" s="19" t="n">
        <v>384.8</v>
      </c>
      <c r="G1195" s="8" t="str">
        <f aca="false">IFERROR(INDEX('TRANS'!$B:$B,MATCH($B1195,'TRANS'!$A:$A,0)),IFERROR(INDEX('TRANS'!$B:$B,MATCH(TRIM(SUBSTITUTE($B1195,CHAR(160)," ")),'TRANS'!$D:$D,0)),IFERROR(INDEX('Catalog'!$A:$A,MATCH($B1195,'Catalog'!$B:$B,0)),IFERROR(INDEX('Catalog'!$A:$A,MATCH(TRIM(SUBSTITUTE($B1195,CHAR(160)," ")),'Catalog'!$C:$C,0)),""))))</f>
        <v/>
      </c>
      <c r="H1195" s="8" t="str">
        <f aca="false">IFERROR(INDEX('TRANS'!$C:$C,MATCH($B1195,'TRANS'!$A:$A,0)),IFERROR(INDEX('Catalog'!$B:$B,MATCH($G1195,'Catalog'!$A:$A,0)),$B1195))</f>
        <v>11UG M</v>
      </c>
      <c r="I1195" s="8" t="str">
        <f aca="false">IF($G1195="","Unmatched","Matched")</f>
        <v>Unmatched</v>
      </c>
    </row>
    <row r="1196" customFormat="false" ht="15" hidden="false" customHeight="false" outlineLevel="0" collapsed="false">
      <c r="A1196" s="8" t="s">
        <v>814</v>
      </c>
      <c r="B1196" s="8" t="s">
        <v>634</v>
      </c>
      <c r="C1196" s="19" t="n">
        <v>0</v>
      </c>
      <c r="D1196" s="19" t="n">
        <v>0</v>
      </c>
      <c r="E1196" s="19" t="n">
        <v>2</v>
      </c>
      <c r="F1196" s="19" t="n">
        <v>206.16</v>
      </c>
      <c r="G1196" s="8" t="str">
        <f aca="false">IFERROR(INDEX('TRANS'!$B:$B,MATCH($B1196,'TRANS'!$A:$A,0)),IFERROR(INDEX('TRANS'!$B:$B,MATCH(TRIM(SUBSTITUTE($B1196,CHAR(160)," ")),'TRANS'!$D:$D,0)),IFERROR(INDEX('Catalog'!$A:$A,MATCH($B1196,'Catalog'!$B:$B,0)),IFERROR(INDEX('Catalog'!$A:$A,MATCH(TRIM(SUBSTITUTE($B1196,CHAR(160)," ")),'Catalog'!$C:$C,0)),""))))</f>
        <v/>
      </c>
      <c r="H1196" s="8" t="str">
        <f aca="false">IFERROR(INDEX('TRANS'!$C:$C,MATCH($B1196,'TRANS'!$A:$A,0)),IFERROR(INDEX('Catalog'!$B:$B,MATCH($G1196,'Catalog'!$A:$A,0)),$B1196))</f>
        <v>11UG S</v>
      </c>
      <c r="I1196" s="8" t="str">
        <f aca="false">IF($G1196="","Unmatched","Matched")</f>
        <v>Unmatched</v>
      </c>
    </row>
    <row r="1197" customFormat="false" ht="15" hidden="false" customHeight="false" outlineLevel="0" collapsed="false">
      <c r="A1197" s="8" t="s">
        <v>814</v>
      </c>
      <c r="B1197" s="8" t="s">
        <v>79</v>
      </c>
      <c r="C1197" s="19" t="n">
        <v>0</v>
      </c>
      <c r="D1197" s="19" t="n">
        <v>0</v>
      </c>
      <c r="E1197" s="19" t="n">
        <v>2</v>
      </c>
      <c r="F1197" s="19" t="n">
        <v>206.14</v>
      </c>
      <c r="G1197" s="8" t="str">
        <f aca="false">IFERROR(INDEX('TRANS'!$B:$B,MATCH($B1197,'TRANS'!$A:$A,0)),IFERROR(INDEX('TRANS'!$B:$B,MATCH(TRIM(SUBSTITUTE($B1197,CHAR(160)," ")),'TRANS'!$D:$D,0)),IFERROR(INDEX('Catalog'!$A:$A,MATCH($B1197,'Catalog'!$B:$B,0)),IFERROR(INDEX('Catalog'!$A:$A,MATCH(TRIM(SUBSTITUTE($B1197,CHAR(160)," ")),'Catalog'!$C:$C,0)),""))))</f>
        <v/>
      </c>
      <c r="H1197" s="8" t="str">
        <f aca="false">IFERROR(INDEX('TRANS'!$C:$C,MATCH($B1197,'TRANS'!$A:$A,0)),IFERROR(INDEX('Catalog'!$B:$B,MATCH($G1197,'Catalog'!$A:$A,0)),$B1197))</f>
        <v>11UG XXL</v>
      </c>
      <c r="I1197" s="8" t="str">
        <f aca="false">IF($G1197="","Unmatched","Matched")</f>
        <v>Unmatched</v>
      </c>
    </row>
    <row r="1198" customFormat="false" ht="15" hidden="false" customHeight="false" outlineLevel="0" collapsed="false">
      <c r="A1198" s="8" t="s">
        <v>814</v>
      </c>
      <c r="B1198" s="8" t="s">
        <v>93</v>
      </c>
      <c r="C1198" s="19" t="n">
        <v>2</v>
      </c>
      <c r="D1198" s="19" t="n">
        <v>65.5</v>
      </c>
      <c r="E1198" s="19" t="n">
        <v>4</v>
      </c>
      <c r="F1198" s="19" t="n">
        <v>134.83</v>
      </c>
      <c r="G1198" s="8" t="n">
        <f aca="false">IFERROR(INDEX('TRANS'!$B:$B,MATCH($B1198,'TRANS'!$A:$A,0)),IFERROR(INDEX('TRANS'!$B:$B,MATCH(TRIM(SUBSTITUTE($B1198,CHAR(160)," ")),'TRANS'!$D:$D,0)),IFERROR(INDEX('Catalog'!$A:$A,MATCH($B1198,'Catalog'!$B:$B,0)),IFERROR(INDEX('Catalog'!$A:$A,MATCH(TRIM(SUBSTITUTE($B1198,CHAR(160)," ")),'Catalog'!$C:$C,0)),""))))</f>
        <v>4411017</v>
      </c>
      <c r="H1198" s="8" t="str">
        <f aca="false">IFERROR(INDEX('TRANS'!$C:$C,MATCH($B1198,'TRANS'!$A:$A,0)),IFERROR(INDEX('Catalog'!$B:$B,MATCH($G1198,'Catalog'!$A:$A,0)),$B1198))</f>
        <v>211L כפפות לחץ</v>
      </c>
      <c r="I1198" s="8" t="str">
        <f aca="false">IF($G1198="","Unmatched","Matched")</f>
        <v>Matched</v>
      </c>
    </row>
    <row r="1199" customFormat="false" ht="15" hidden="false" customHeight="false" outlineLevel="0" collapsed="false">
      <c r="A1199" s="8" t="s">
        <v>814</v>
      </c>
      <c r="B1199" s="8" t="s">
        <v>94</v>
      </c>
      <c r="C1199" s="19" t="n">
        <v>2</v>
      </c>
      <c r="D1199" s="19" t="n">
        <v>65.5</v>
      </c>
      <c r="E1199" s="19" t="n">
        <v>4</v>
      </c>
      <c r="F1199" s="19" t="n">
        <v>134.83</v>
      </c>
      <c r="G1199" s="8" t="n">
        <f aca="false">IFERROR(INDEX('TRANS'!$B:$B,MATCH($B1199,'TRANS'!$A:$A,0)),IFERROR(INDEX('TRANS'!$B:$B,MATCH(TRIM(SUBSTITUTE($B1199,CHAR(160)," ")),'TRANS'!$D:$D,0)),IFERROR(INDEX('Catalog'!$A:$A,MATCH($B1199,'Catalog'!$B:$B,0)),IFERROR(INDEX('Catalog'!$A:$A,MATCH(TRIM(SUBSTITUTE($B1199,CHAR(160)," ")),'Catalog'!$C:$C,0)),""))))</f>
        <v>4411018</v>
      </c>
      <c r="H1199" s="8" t="str">
        <f aca="false">IFERROR(INDEX('TRANS'!$C:$C,MATCH($B1199,'TRANS'!$A:$A,0)),IFERROR(INDEX('Catalog'!$B:$B,MATCH($G1199,'Catalog'!$A:$A,0)),$B1199))</f>
        <v>211M כפפות לחץ</v>
      </c>
      <c r="I1199" s="8" t="str">
        <f aca="false">IF($G1199="","Unmatched","Matched")</f>
        <v>Matched</v>
      </c>
    </row>
    <row r="1200" customFormat="false" ht="15" hidden="false" customHeight="false" outlineLevel="0" collapsed="false">
      <c r="A1200" s="8" t="s">
        <v>814</v>
      </c>
      <c r="B1200" s="8" t="s">
        <v>95</v>
      </c>
      <c r="C1200" s="19" t="n">
        <v>1</v>
      </c>
      <c r="D1200" s="19" t="n">
        <v>33.06</v>
      </c>
      <c r="E1200" s="19" t="n">
        <v>3</v>
      </c>
      <c r="F1200" s="19" t="n">
        <v>102.42</v>
      </c>
      <c r="G1200" s="8" t="n">
        <f aca="false">IFERROR(INDEX('TRANS'!$B:$B,MATCH($B1200,'TRANS'!$A:$A,0)),IFERROR(INDEX('TRANS'!$B:$B,MATCH(TRIM(SUBSTITUTE($B1200,CHAR(160)," ")),'TRANS'!$D:$D,0)),IFERROR(INDEX('Catalog'!$A:$A,MATCH($B1200,'Catalog'!$B:$B,0)),IFERROR(INDEX('Catalog'!$A:$A,MATCH(TRIM(SUBSTITUTE($B1200,CHAR(160)," ")),'Catalog'!$C:$C,0)),""))))</f>
        <v>4411019</v>
      </c>
      <c r="H1200" s="8" t="str">
        <f aca="false">IFERROR(INDEX('TRANS'!$C:$C,MATCH($B1200,'TRANS'!$A:$A,0)),IFERROR(INDEX('Catalog'!$B:$B,MATCH($G1200,'Catalog'!$A:$A,0)),$B1200))</f>
        <v>211S כפפות לחץ</v>
      </c>
      <c r="I1200" s="8" t="str">
        <f aca="false">IF($G1200="","Unmatched","Matched")</f>
        <v>Matched</v>
      </c>
    </row>
    <row r="1201" customFormat="false" ht="15" hidden="false" customHeight="false" outlineLevel="0" collapsed="false">
      <c r="A1201" s="8" t="s">
        <v>814</v>
      </c>
      <c r="B1201" s="8" t="s">
        <v>678</v>
      </c>
      <c r="C1201" s="19" t="n">
        <v>2</v>
      </c>
      <c r="D1201" s="19" t="n">
        <v>65.5</v>
      </c>
      <c r="E1201" s="19" t="n">
        <v>4</v>
      </c>
      <c r="F1201" s="19" t="n">
        <v>134.83</v>
      </c>
      <c r="G1201" s="8" t="n">
        <f aca="false">IFERROR(INDEX('TRANS'!$B:$B,MATCH($B1201,'TRANS'!$A:$A,0)),IFERROR(INDEX('TRANS'!$B:$B,MATCH(TRIM(SUBSTITUTE($B1201,CHAR(160)," ")),'TRANS'!$D:$D,0)),IFERROR(INDEX('Catalog'!$A:$A,MATCH($B1201,'Catalog'!$B:$B,0)),IFERROR(INDEX('Catalog'!$A:$A,MATCH(TRIM(SUBSTITUTE($B1201,CHAR(160)," ")),'Catalog'!$C:$C,0)),""))))</f>
        <v>4411020</v>
      </c>
      <c r="H1201" s="8" t="str">
        <f aca="false">IFERROR(INDEX('TRANS'!$C:$C,MATCH($B1201,'TRANS'!$A:$A,0)),IFERROR(INDEX('Catalog'!$B:$B,MATCH($G1201,'Catalog'!$A:$A,0)),$B1201))</f>
        <v>211XL כפפות לחץ</v>
      </c>
      <c r="I1201" s="8" t="str">
        <f aca="false">IF($G1201="","Unmatched","Matched")</f>
        <v>Matched</v>
      </c>
    </row>
    <row r="1202" customFormat="false" ht="15" hidden="false" customHeight="false" outlineLevel="0" collapsed="false">
      <c r="A1202" s="8" t="s">
        <v>814</v>
      </c>
      <c r="B1202" s="8" t="s">
        <v>96</v>
      </c>
      <c r="C1202" s="19" t="n">
        <v>1</v>
      </c>
      <c r="D1202" s="19" t="n">
        <v>34.49</v>
      </c>
      <c r="E1202" s="19" t="n">
        <v>4</v>
      </c>
      <c r="F1202" s="19" t="n">
        <v>143.26</v>
      </c>
      <c r="G1202" s="8" t="n">
        <f aca="false">IFERROR(INDEX('TRANS'!$B:$B,MATCH($B1202,'TRANS'!$A:$A,0)),IFERROR(INDEX('TRANS'!$B:$B,MATCH(TRIM(SUBSTITUTE($B1202,CHAR(160)," ")),'TRANS'!$D:$D,0)),IFERROR(INDEX('Catalog'!$A:$A,MATCH($B1202,'Catalog'!$B:$B,0)),IFERROR(INDEX('Catalog'!$A:$A,MATCH(TRIM(SUBSTITUTE($B1202,CHAR(160)," ")),'Catalog'!$C:$C,0)),""))))</f>
        <v>4411021</v>
      </c>
      <c r="H1202" s="8" t="str">
        <f aca="false">IFERROR(INDEX('TRANS'!$C:$C,MATCH($B1202,'TRANS'!$A:$A,0)),IFERROR(INDEX('Catalog'!$B:$B,MATCH($G1202,'Catalog'!$A:$A,0)),$B1202))</f>
        <v>212L כפפות אגודל לחץ</v>
      </c>
      <c r="I1202" s="8" t="str">
        <f aca="false">IF($G1202="","Unmatched","Matched")</f>
        <v>Matched</v>
      </c>
    </row>
    <row r="1203" customFormat="false" ht="15" hidden="false" customHeight="false" outlineLevel="0" collapsed="false">
      <c r="A1203" s="8" t="s">
        <v>814</v>
      </c>
      <c r="B1203" s="8" t="s">
        <v>97</v>
      </c>
      <c r="C1203" s="19" t="n">
        <v>1</v>
      </c>
      <c r="D1203" s="19" t="n">
        <v>34.49</v>
      </c>
      <c r="E1203" s="19" t="n">
        <v>4</v>
      </c>
      <c r="F1203" s="19" t="n">
        <v>143.26</v>
      </c>
      <c r="G1203" s="8" t="n">
        <f aca="false">IFERROR(INDEX('TRANS'!$B:$B,MATCH($B1203,'TRANS'!$A:$A,0)),IFERROR(INDEX('TRANS'!$B:$B,MATCH(TRIM(SUBSTITUTE($B1203,CHAR(160)," ")),'TRANS'!$D:$D,0)),IFERROR(INDEX('Catalog'!$A:$A,MATCH($B1203,'Catalog'!$B:$B,0)),IFERROR(INDEX('Catalog'!$A:$A,MATCH(TRIM(SUBSTITUTE($B1203,CHAR(160)," ")),'Catalog'!$C:$C,0)),""))))</f>
        <v>4411022</v>
      </c>
      <c r="H1203" s="8" t="str">
        <f aca="false">IFERROR(INDEX('TRANS'!$C:$C,MATCH($B1203,'TRANS'!$A:$A,0)),IFERROR(INDEX('Catalog'!$B:$B,MATCH($G1203,'Catalog'!$A:$A,0)),$B1203))</f>
        <v>212M כפפות אגודל לחץ</v>
      </c>
      <c r="I1203" s="8" t="str">
        <f aca="false">IF($G1203="","Unmatched","Matched")</f>
        <v>Matched</v>
      </c>
    </row>
    <row r="1204" customFormat="false" ht="15" hidden="false" customHeight="false" outlineLevel="0" collapsed="false">
      <c r="A1204" s="8" t="s">
        <v>814</v>
      </c>
      <c r="B1204" s="8" t="s">
        <v>98</v>
      </c>
      <c r="C1204" s="19" t="n">
        <v>0</v>
      </c>
      <c r="D1204" s="19" t="n">
        <v>0</v>
      </c>
      <c r="E1204" s="19" t="n">
        <v>2</v>
      </c>
      <c r="F1204" s="19" t="n">
        <v>74.28</v>
      </c>
      <c r="G1204" s="8" t="n">
        <f aca="false">IFERROR(INDEX('TRANS'!$B:$B,MATCH($B1204,'TRANS'!$A:$A,0)),IFERROR(INDEX('TRANS'!$B:$B,MATCH(TRIM(SUBSTITUTE($B1204,CHAR(160)," ")),'TRANS'!$D:$D,0)),IFERROR(INDEX('Catalog'!$A:$A,MATCH($B1204,'Catalog'!$B:$B,0)),IFERROR(INDEX('Catalog'!$A:$A,MATCH(TRIM(SUBSTITUTE($B1204,CHAR(160)," ")),'Catalog'!$C:$C,0)),""))))</f>
        <v>4411023</v>
      </c>
      <c r="H1204" s="8" t="str">
        <f aca="false">IFERROR(INDEX('TRANS'!$C:$C,MATCH($B1204,'TRANS'!$A:$A,0)),IFERROR(INDEX('Catalog'!$B:$B,MATCH($G1204,'Catalog'!$A:$A,0)),$B1204))</f>
        <v>212S כפפות אגודל לחץ</v>
      </c>
      <c r="I1204" s="8" t="str">
        <f aca="false">IF($G1204="","Unmatched","Matched")</f>
        <v>Matched</v>
      </c>
    </row>
    <row r="1205" customFormat="false" ht="15" hidden="false" customHeight="false" outlineLevel="0" collapsed="false">
      <c r="A1205" s="8" t="s">
        <v>814</v>
      </c>
      <c r="B1205" s="8" t="s">
        <v>734</v>
      </c>
      <c r="C1205" s="19" t="n">
        <v>1</v>
      </c>
      <c r="D1205" s="19" t="n">
        <v>34.49</v>
      </c>
      <c r="E1205" s="19" t="n">
        <v>5</v>
      </c>
      <c r="F1205" s="19" t="n">
        <v>177.75</v>
      </c>
      <c r="G1205" s="8" t="n">
        <f aca="false">IFERROR(INDEX('TRANS'!$B:$B,MATCH($B1205,'TRANS'!$A:$A,0)),IFERROR(INDEX('TRANS'!$B:$B,MATCH(TRIM(SUBSTITUTE($B1205,CHAR(160)," ")),'TRANS'!$D:$D,0)),IFERROR(INDEX('Catalog'!$A:$A,MATCH($B1205,'Catalog'!$B:$B,0)),IFERROR(INDEX('Catalog'!$A:$A,MATCH(TRIM(SUBSTITUTE($B1205,CHAR(160)," ")),'Catalog'!$C:$C,0)),""))))</f>
        <v>4411024</v>
      </c>
      <c r="H1205" s="8" t="str">
        <f aca="false">IFERROR(INDEX('TRANS'!$C:$C,MATCH($B1205,'TRANS'!$A:$A,0)),IFERROR(INDEX('Catalog'!$B:$B,MATCH($G1205,'Catalog'!$A:$A,0)),$B1205))</f>
        <v>212XL כפפות אגודל לחץ</v>
      </c>
      <c r="I1205" s="8" t="str">
        <f aca="false">IF($G1205="","Unmatched","Matched")</f>
        <v>Matched</v>
      </c>
    </row>
    <row r="1206" customFormat="false" ht="15" hidden="false" customHeight="false" outlineLevel="0" collapsed="false">
      <c r="A1206" s="8" t="s">
        <v>814</v>
      </c>
      <c r="B1206" s="8" t="s">
        <v>99</v>
      </c>
      <c r="C1206" s="19" t="n">
        <v>4</v>
      </c>
      <c r="D1206" s="19" t="n">
        <v>113.28</v>
      </c>
      <c r="E1206" s="19" t="n">
        <v>5</v>
      </c>
      <c r="F1206" s="19" t="n">
        <v>152.1</v>
      </c>
      <c r="G1206" s="8" t="n">
        <f aca="false">IFERROR(INDEX('TRANS'!$B:$B,MATCH($B1206,'TRANS'!$A:$A,0)),IFERROR(INDEX('TRANS'!$B:$B,MATCH(TRIM(SUBSTITUTE($B1206,CHAR(160)," ")),'TRANS'!$D:$D,0)),IFERROR(INDEX('Catalog'!$A:$A,MATCH($B1206,'Catalog'!$B:$B,0)),IFERROR(INDEX('Catalog'!$A:$A,MATCH(TRIM(SUBSTITUTE($B1206,CHAR(160)," ")),'Catalog'!$C:$C,0)),""))))</f>
        <v>4415029</v>
      </c>
      <c r="H1206" s="8" t="str">
        <f aca="false">IFERROR(INDEX('TRANS'!$C:$C,MATCH($B1206,'TRANS'!$A:$A,0)),IFERROR(INDEX('Catalog'!$B:$B,MATCH($G1206,'Catalog'!$A:$A,0)),$B1206))</f>
        <v>סד קיבוע לאצבע הדק</v>
      </c>
      <c r="I1206" s="8" t="str">
        <f aca="false">IF($G1206="","Unmatched","Matched")</f>
        <v>Matched</v>
      </c>
    </row>
    <row r="1207" customFormat="false" ht="15" hidden="false" customHeight="false" outlineLevel="0" collapsed="false">
      <c r="A1207" s="8" t="s">
        <v>814</v>
      </c>
      <c r="B1207" s="8" t="s">
        <v>100</v>
      </c>
      <c r="C1207" s="19" t="n">
        <v>6</v>
      </c>
      <c r="D1207" s="19" t="n">
        <v>116.28</v>
      </c>
      <c r="E1207" s="19" t="n">
        <v>4</v>
      </c>
      <c r="F1207" s="19" t="n">
        <v>80.44</v>
      </c>
      <c r="G1207" s="8" t="n">
        <f aca="false">IFERROR(INDEX('TRANS'!$B:$B,MATCH($B1207,'TRANS'!$A:$A,0)),IFERROR(INDEX('TRANS'!$B:$B,MATCH(TRIM(SUBSTITUTE($B1207,CHAR(160)," ")),'TRANS'!$D:$D,0)),IFERROR(INDEX('Catalog'!$A:$A,MATCH($B1207,'Catalog'!$B:$B,0)),IFERROR(INDEX('Catalog'!$A:$A,MATCH(TRIM(SUBSTITUTE($B1207,CHAR(160)," ")),'Catalog'!$C:$C,0)),""))))</f>
        <v>4415162</v>
      </c>
      <c r="H1207" s="8" t="str">
        <f aca="false">IFERROR(INDEX('TRANS'!$C:$C,MATCH($B1207,'TRANS'!$A:$A,0)),IFERROR(INDEX('Catalog'!$B:$B,MATCH($G1207,'Catalog'!$A:$A,0)),$B1207))</f>
        <v>238L סד ליישור אצבע</v>
      </c>
      <c r="I1207" s="8" t="str">
        <f aca="false">IF($G1207="","Unmatched","Matched")</f>
        <v>Matched</v>
      </c>
    </row>
    <row r="1208" customFormat="false" ht="15" hidden="false" customHeight="false" outlineLevel="0" collapsed="false">
      <c r="A1208" s="8" t="s">
        <v>814</v>
      </c>
      <c r="B1208" s="8" t="s">
        <v>589</v>
      </c>
      <c r="C1208" s="19" t="n">
        <v>10</v>
      </c>
      <c r="D1208" s="19" t="n">
        <v>196.74</v>
      </c>
      <c r="E1208" s="19" t="n">
        <v>5</v>
      </c>
      <c r="F1208" s="19" t="n">
        <v>100.54</v>
      </c>
      <c r="G1208" s="8" t="n">
        <f aca="false">IFERROR(INDEX('TRANS'!$B:$B,MATCH($B1208,'TRANS'!$A:$A,0)),IFERROR(INDEX('TRANS'!$B:$B,MATCH(TRIM(SUBSTITUTE($B1208,CHAR(160)," ")),'TRANS'!$D:$D,0)),IFERROR(INDEX('Catalog'!$A:$A,MATCH($B1208,'Catalog'!$B:$B,0)),IFERROR(INDEX('Catalog'!$A:$A,MATCH(TRIM(SUBSTITUTE($B1208,CHAR(160)," ")),'Catalog'!$C:$C,0)),""))))</f>
        <v>4415161</v>
      </c>
      <c r="H1208" s="8" t="str">
        <f aca="false">IFERROR(INDEX('TRANS'!$C:$C,MATCH($B1208,'TRANS'!$A:$A,0)),IFERROR(INDEX('Catalog'!$B:$B,MATCH($G1208,'Catalog'!$A:$A,0)),$B1208))</f>
        <v>238M סד ליישור אצבע</v>
      </c>
      <c r="I1208" s="8" t="str">
        <f aca="false">IF($G1208="","Unmatched","Matched")</f>
        <v>Matched</v>
      </c>
    </row>
    <row r="1209" customFormat="false" ht="15" hidden="false" customHeight="false" outlineLevel="0" collapsed="false">
      <c r="A1209" s="8" t="s">
        <v>814</v>
      </c>
      <c r="B1209" s="8" t="s">
        <v>101</v>
      </c>
      <c r="C1209" s="19" t="n">
        <v>5</v>
      </c>
      <c r="D1209" s="19" t="n">
        <v>100.5</v>
      </c>
      <c r="E1209" s="19" t="n">
        <v>4</v>
      </c>
      <c r="F1209" s="19" t="n">
        <v>80.42</v>
      </c>
      <c r="G1209" s="8" t="n">
        <f aca="false">IFERROR(INDEX('TRANS'!$B:$B,MATCH($B1209,'TRANS'!$A:$A,0)),IFERROR(INDEX('TRANS'!$B:$B,MATCH(TRIM(SUBSTITUTE($B1209,CHAR(160)," ")),'TRANS'!$D:$D,0)),IFERROR(INDEX('Catalog'!$A:$A,MATCH($B1209,'Catalog'!$B:$B,0)),IFERROR(INDEX('Catalog'!$A:$A,MATCH(TRIM(SUBSTITUTE($B1209,CHAR(160)," ")),'Catalog'!$C:$C,0)),""))))</f>
        <v>4415160</v>
      </c>
      <c r="H1209" s="8" t="str">
        <f aca="false">IFERROR(INDEX('TRANS'!$C:$C,MATCH($B1209,'TRANS'!$A:$A,0)),IFERROR(INDEX('Catalog'!$B:$B,MATCH($G1209,'Catalog'!$A:$A,0)),$B1209))</f>
        <v>238S סד ליישור אצבע</v>
      </c>
      <c r="I1209" s="8" t="str">
        <f aca="false">IF($G1209="","Unmatched","Matched")</f>
        <v>Matched</v>
      </c>
    </row>
    <row r="1210" customFormat="false" ht="15" hidden="false" customHeight="false" outlineLevel="0" collapsed="false">
      <c r="A1210" s="8" t="s">
        <v>814</v>
      </c>
      <c r="B1210" s="8" t="s">
        <v>590</v>
      </c>
      <c r="C1210" s="19" t="n">
        <v>5</v>
      </c>
      <c r="D1210" s="19" t="n">
        <v>100.55</v>
      </c>
      <c r="E1210" s="19" t="n">
        <v>5</v>
      </c>
      <c r="F1210" s="19" t="n">
        <v>100.55</v>
      </c>
      <c r="G1210" s="8" t="n">
        <f aca="false">IFERROR(INDEX('TRANS'!$B:$B,MATCH($B1210,'TRANS'!$A:$A,0)),IFERROR(INDEX('TRANS'!$B:$B,MATCH(TRIM(SUBSTITUTE($B1210,CHAR(160)," ")),'TRANS'!$D:$D,0)),IFERROR(INDEX('Catalog'!$A:$A,MATCH($B1210,'Catalog'!$B:$B,0)),IFERROR(INDEX('Catalog'!$A:$A,MATCH(TRIM(SUBSTITUTE($B1210,CHAR(160)," ")),'Catalog'!$C:$C,0)),""))))</f>
        <v>4415163</v>
      </c>
      <c r="H1210" s="8" t="str">
        <f aca="false">IFERROR(INDEX('TRANS'!$C:$C,MATCH($B1210,'TRANS'!$A:$A,0)),IFERROR(INDEX('Catalog'!$B:$B,MATCH($G1210,'Catalog'!$A:$A,0)),$B1210))</f>
        <v>238XL סד ליישור אצבע</v>
      </c>
      <c r="I1210" s="8" t="str">
        <f aca="false">IF($G1210="","Unmatched","Matched")</f>
        <v>Matched</v>
      </c>
    </row>
    <row r="1211" customFormat="false" ht="15" hidden="false" customHeight="false" outlineLevel="0" collapsed="false">
      <c r="A1211" s="8" t="s">
        <v>814</v>
      </c>
      <c r="B1211" s="8" t="s">
        <v>108</v>
      </c>
      <c r="C1211" s="19" t="n">
        <v>18</v>
      </c>
      <c r="D1211" s="19" t="n">
        <v>1075.39</v>
      </c>
      <c r="E1211" s="19" t="n">
        <v>9</v>
      </c>
      <c r="F1211" s="19" t="n">
        <v>598.9</v>
      </c>
      <c r="G1211" s="8" t="n">
        <f aca="false">IFERROR(INDEX('TRANS'!$B:$B,MATCH($B1211,'TRANS'!$A:$A,0)),IFERROR(INDEX('TRANS'!$B:$B,MATCH(TRIM(SUBSTITUTE($B1211,CHAR(160)," ")),'TRANS'!$D:$D,0)),IFERROR(INDEX('Catalog'!$A:$A,MATCH($B1211,'Catalog'!$B:$B,0)),IFERROR(INDEX('Catalog'!$A:$A,MATCH(TRIM(SUBSTITUTE($B1211,CHAR(160)," ")),'Catalog'!$C:$C,0)),""))))</f>
        <v>4415158</v>
      </c>
      <c r="H1211" s="8" t="str">
        <f aca="false">IFERROR(INDEX('TRANS'!$C:$C,MATCH($B1211,'TRANS'!$A:$A,0)),IFERROR(INDEX('Catalog'!$B:$B,MATCH($G1211,'Catalog'!$A:$A,0)),$B1211))</f>
        <v>266 סד ליד דו צדדי</v>
      </c>
      <c r="I1211" s="8" t="str">
        <f aca="false">IF($G1211="","Unmatched","Matched")</f>
        <v>Matched</v>
      </c>
    </row>
    <row r="1212" customFormat="false" ht="15" hidden="false" customHeight="false" outlineLevel="0" collapsed="false">
      <c r="A1212" s="8" t="s">
        <v>814</v>
      </c>
      <c r="B1212" s="8" t="s">
        <v>110</v>
      </c>
      <c r="C1212" s="19" t="n">
        <v>13</v>
      </c>
      <c r="D1212" s="19" t="n">
        <v>964.99</v>
      </c>
      <c r="E1212" s="19" t="n">
        <v>9</v>
      </c>
      <c r="F1212" s="19" t="n">
        <v>615</v>
      </c>
      <c r="G1212" s="8" t="n">
        <f aca="false">IFERROR(INDEX('TRANS'!$B:$B,MATCH($B1212,'TRANS'!$A:$A,0)),IFERROR(INDEX('TRANS'!$B:$B,MATCH(TRIM(SUBSTITUTE($B1212,CHAR(160)," ")),'TRANS'!$D:$D,0)),IFERROR(INDEX('Catalog'!$A:$A,MATCH($B1212,'Catalog'!$B:$B,0)),IFERROR(INDEX('Catalog'!$A:$A,MATCH(TRIM(SUBSTITUTE($B1212,CHAR(160)," ")),'Catalog'!$C:$C,0)),""))))</f>
        <v>4415159</v>
      </c>
      <c r="H1212" s="8" t="str">
        <f aca="false">IFERROR(INDEX('TRANS'!$C:$C,MATCH($B1212,'TRANS'!$A:$A,0)),IFERROR(INDEX('Catalog'!$B:$B,MATCH($G1212,'Catalog'!$A:$A,0)),$B1212))</f>
        <v>268 סד לאגודל</v>
      </c>
      <c r="I1212" s="8" t="str">
        <f aca="false">IF($G1212="","Unmatched","Matched")</f>
        <v>Matched</v>
      </c>
    </row>
    <row r="1213" customFormat="false" ht="15" hidden="false" customHeight="false" outlineLevel="0" collapsed="false">
      <c r="A1213" s="8" t="s">
        <v>814</v>
      </c>
      <c r="B1213" s="8" t="s">
        <v>114</v>
      </c>
      <c r="C1213" s="19" t="n">
        <v>34</v>
      </c>
      <c r="D1213" s="19" t="n">
        <v>1941.71</v>
      </c>
      <c r="E1213" s="19" t="n">
        <v>0</v>
      </c>
      <c r="F1213" s="19" t="n">
        <v>0</v>
      </c>
      <c r="G1213" s="8" t="n">
        <f aca="false">IFERROR(INDEX('TRANS'!$B:$B,MATCH($B1213,'TRANS'!$A:$A,0)),IFERROR(INDEX('TRANS'!$B:$B,MATCH(TRIM(SUBSTITUTE($B1213,CHAR(160)," ")),'TRANS'!$D:$D,0)),IFERROR(INDEX('Catalog'!$A:$A,MATCH($B1213,'Catalog'!$B:$B,0)),IFERROR(INDEX('Catalog'!$A:$A,MATCH(TRIM(SUBSTITUTE($B1213,CHAR(160)," ")),'Catalog'!$C:$C,0)),""))))</f>
        <v>4413348</v>
      </c>
      <c r="H1213" s="8" t="str">
        <f aca="false">IFERROR(INDEX('TRANS'!$C:$C,MATCH($B1213,'TRANS'!$A:$A,0)),IFERROR(INDEX('Catalog'!$B:$B,MATCH($G1213,'Catalog'!$A:$A,0)),$B1213))</f>
        <v>302 מדרס ג'ל לגבר</v>
      </c>
      <c r="I1213" s="8" t="str">
        <f aca="false">IF($G1213="","Unmatched","Matched")</f>
        <v>Matched</v>
      </c>
    </row>
    <row r="1214" customFormat="false" ht="15" hidden="false" customHeight="false" outlineLevel="0" collapsed="false">
      <c r="A1214" s="8" t="s">
        <v>814</v>
      </c>
      <c r="B1214" s="8" t="s">
        <v>115</v>
      </c>
      <c r="C1214" s="19" t="n">
        <v>24</v>
      </c>
      <c r="D1214" s="19" t="n">
        <v>1391.21</v>
      </c>
      <c r="E1214" s="19" t="n">
        <v>0</v>
      </c>
      <c r="F1214" s="19" t="n">
        <v>0</v>
      </c>
      <c r="G1214" s="8" t="n">
        <f aca="false">IFERROR(INDEX('TRANS'!$B:$B,MATCH($B1214,'TRANS'!$A:$A,0)),IFERROR(INDEX('TRANS'!$B:$B,MATCH(TRIM(SUBSTITUTE($B1214,CHAR(160)," ")),'TRANS'!$D:$D,0)),IFERROR(INDEX('Catalog'!$A:$A,MATCH($B1214,'Catalog'!$B:$B,0)),IFERROR(INDEX('Catalog'!$A:$A,MATCH(TRIM(SUBSTITUTE($B1214,CHAR(160)," ")),'Catalog'!$C:$C,0)),""))))</f>
        <v>4413372</v>
      </c>
      <c r="H1214" s="8" t="str">
        <f aca="false">IFERROR(INDEX('TRANS'!$C:$C,MATCH($B1214,'TRANS'!$A:$A,0)),IFERROR(INDEX('Catalog'!$B:$B,MATCH($G1214,'Catalog'!$A:$A,0)),$B1214))</f>
        <v>302 W מדרס לאישה</v>
      </c>
      <c r="I1214" s="8" t="str">
        <f aca="false">IF($G1214="","Unmatched","Matched")</f>
        <v>Matched</v>
      </c>
    </row>
    <row r="1215" customFormat="false" ht="15" hidden="false" customHeight="false" outlineLevel="0" collapsed="false">
      <c r="A1215" s="8" t="s">
        <v>814</v>
      </c>
      <c r="B1215" s="8" t="s">
        <v>803</v>
      </c>
      <c r="C1215" s="19" t="n">
        <v>0</v>
      </c>
      <c r="D1215" s="19" t="n">
        <v>0</v>
      </c>
      <c r="E1215" s="19" t="n">
        <v>1</v>
      </c>
      <c r="F1215" s="19" t="n">
        <v>135</v>
      </c>
      <c r="G1215" s="8" t="str">
        <f aca="false">IFERROR(INDEX('TRANS'!$B:$B,MATCH($B1215,'TRANS'!$A:$A,0)),IFERROR(INDEX('TRANS'!$B:$B,MATCH(TRIM(SUBSTITUTE($B1215,CHAR(160)," ")),'TRANS'!$D:$D,0)),IFERROR(INDEX('Catalog'!$A:$A,MATCH($B1215,'Catalog'!$B:$B,0)),IFERROR(INDEX('Catalog'!$A:$A,MATCH(TRIM(SUBSTITUTE($B1215,CHAR(160)," ")),'Catalog'!$C:$C,0)),""))))</f>
        <v/>
      </c>
      <c r="H1215" s="8" t="str">
        <f aca="false">IFERROR(INDEX('TRANS'!$C:$C,MATCH($B1215,'TRANS'!$A:$A,0)),IFERROR(INDEX('Catalog'!$B:$B,MATCH($G1215,'Catalog'!$A:$A,0)),$B1215))</f>
        <v>32 L</v>
      </c>
      <c r="I1215" s="8" t="str">
        <f aca="false">IF($G1215="","Unmatched","Matched")</f>
        <v>Unmatched</v>
      </c>
    </row>
    <row r="1216" customFormat="false" ht="15" hidden="false" customHeight="false" outlineLevel="0" collapsed="false">
      <c r="A1216" s="8" t="s">
        <v>814</v>
      </c>
      <c r="B1216" s="8" t="s">
        <v>815</v>
      </c>
      <c r="C1216" s="19" t="n">
        <v>0</v>
      </c>
      <c r="D1216" s="19" t="n">
        <v>0</v>
      </c>
      <c r="E1216" s="19" t="n">
        <v>1</v>
      </c>
      <c r="F1216" s="19" t="n">
        <v>134.99</v>
      </c>
      <c r="G1216" s="8" t="str">
        <f aca="false">IFERROR(INDEX('TRANS'!$B:$B,MATCH($B1216,'TRANS'!$A:$A,0)),IFERROR(INDEX('TRANS'!$B:$B,MATCH(TRIM(SUBSTITUTE($B1216,CHAR(160)," ")),'TRANS'!$D:$D,0)),IFERROR(INDEX('Catalog'!$A:$A,MATCH($B1216,'Catalog'!$B:$B,0)),IFERROR(INDEX('Catalog'!$A:$A,MATCH(TRIM(SUBSTITUTE($B1216,CHAR(160)," ")),'Catalog'!$C:$C,0)),""))))</f>
        <v/>
      </c>
      <c r="H1216" s="8" t="str">
        <f aca="false">IFERROR(INDEX('TRANS'!$C:$C,MATCH($B1216,'TRANS'!$A:$A,0)),IFERROR(INDEX('Catalog'!$B:$B,MATCH($G1216,'Catalog'!$A:$A,0)),$B1216))</f>
        <v>32 S</v>
      </c>
      <c r="I1216" s="8" t="str">
        <f aca="false">IF($G1216="","Unmatched","Matched")</f>
        <v>Unmatched</v>
      </c>
    </row>
    <row r="1217" customFormat="false" ht="15" hidden="false" customHeight="false" outlineLevel="0" collapsed="false">
      <c r="A1217" s="8" t="s">
        <v>814</v>
      </c>
      <c r="B1217" s="8" t="s">
        <v>816</v>
      </c>
      <c r="C1217" s="19" t="n">
        <v>0</v>
      </c>
      <c r="D1217" s="19" t="n">
        <v>0</v>
      </c>
      <c r="E1217" s="19" t="n">
        <v>2</v>
      </c>
      <c r="F1217" s="19" t="n">
        <v>270</v>
      </c>
      <c r="G1217" s="8" t="str">
        <f aca="false">IFERROR(INDEX('TRANS'!$B:$B,MATCH($B1217,'TRANS'!$A:$A,0)),IFERROR(INDEX('TRANS'!$B:$B,MATCH(TRIM(SUBSTITUTE($B1217,CHAR(160)," ")),'TRANS'!$D:$D,0)),IFERROR(INDEX('Catalog'!$A:$A,MATCH($B1217,'Catalog'!$B:$B,0)),IFERROR(INDEX('Catalog'!$A:$A,MATCH(TRIM(SUBSTITUTE($B1217,CHAR(160)," ")),'Catalog'!$C:$C,0)),""))))</f>
        <v/>
      </c>
      <c r="H1217" s="8" t="str">
        <f aca="false">IFERROR(INDEX('TRANS'!$C:$C,MATCH($B1217,'TRANS'!$A:$A,0)),IFERROR(INDEX('Catalog'!$B:$B,MATCH($G1217,'Catalog'!$A:$A,0)),$B1217))</f>
        <v>32 XXL</v>
      </c>
      <c r="I1217" s="8" t="str">
        <f aca="false">IF($G1217="","Unmatched","Matched")</f>
        <v>Unmatched</v>
      </c>
    </row>
    <row r="1218" customFormat="false" ht="15" hidden="false" customHeight="false" outlineLevel="0" collapsed="false">
      <c r="A1218" s="8" t="s">
        <v>814</v>
      </c>
      <c r="B1218" s="8" t="s">
        <v>476</v>
      </c>
      <c r="C1218" s="19" t="n">
        <v>4</v>
      </c>
      <c r="D1218" s="19" t="n">
        <v>443.94</v>
      </c>
      <c r="E1218" s="19" t="n">
        <v>0</v>
      </c>
      <c r="F1218" s="19" t="n">
        <v>0</v>
      </c>
      <c r="G1218" s="8" t="n">
        <f aca="false">IFERROR(INDEX('TRANS'!$B:$B,MATCH($B1218,'TRANS'!$A:$A,0)),IFERROR(INDEX('TRANS'!$B:$B,MATCH(TRIM(SUBSTITUTE($B1218,CHAR(160)," ")),'TRANS'!$D:$D,0)),IFERROR(INDEX('Catalog'!$A:$A,MATCH($B1218,'Catalog'!$B:$B,0)),IFERROR(INDEX('Catalog'!$A:$A,MATCH(TRIM(SUBSTITUTE($B1218,CHAR(160)," ")),'Catalog'!$C:$C,0)),""))))</f>
        <v>4415019</v>
      </c>
      <c r="H1218" s="8" t="str">
        <f aca="false">IFERROR(INDEX('TRANS'!$C:$C,MATCH($B1218,'TRANS'!$A:$A,0)),IFERROR(INDEX('Catalog'!$B:$B,MATCH($G1218,'Catalog'!$A:$A,0)),$B1218))</f>
        <v>333 סד לקרסול עם כריות אויר</v>
      </c>
      <c r="I1218" s="8" t="str">
        <f aca="false">IF($G1218="","Unmatched","Matched")</f>
        <v>Matched</v>
      </c>
    </row>
    <row r="1219" customFormat="false" ht="15" hidden="false" customHeight="false" outlineLevel="0" collapsed="false">
      <c r="A1219" s="8" t="s">
        <v>814</v>
      </c>
      <c r="B1219" s="8" t="s">
        <v>358</v>
      </c>
      <c r="C1219" s="19" t="n">
        <v>2</v>
      </c>
      <c r="D1219" s="19" t="n">
        <v>74.91</v>
      </c>
      <c r="E1219" s="19" t="n">
        <v>4</v>
      </c>
      <c r="F1219" s="19" t="n">
        <v>149.82</v>
      </c>
      <c r="G1219" s="8" t="n">
        <f aca="false">IFERROR(INDEX('TRANS'!$B:$B,MATCH($B1219,'TRANS'!$A:$A,0)),IFERROR(INDEX('TRANS'!$B:$B,MATCH(TRIM(SUBSTITUTE($B1219,CHAR(160)," ")),'TRANS'!$D:$D,0)),IFERROR(INDEX('Catalog'!$A:$A,MATCH($B1219,'Catalog'!$B:$B,0)),IFERROR(INDEX('Catalog'!$A:$A,MATCH(TRIM(SUBSTITUTE($B1219,CHAR(160)," ")),'Catalog'!$C:$C,0)),""))))</f>
        <v>4403040</v>
      </c>
      <c r="H1219" s="8" t="str">
        <f aca="false">IFERROR(INDEX('TRANS'!$C:$C,MATCH($B1219,'TRANS'!$A:$A,0)),IFERROR(INDEX('Catalog'!$B:$B,MATCH($G1219,'Catalog'!$A:$A,0)),$B1219))</f>
        <v>3444B גרבי ג'ל לריכוך עור העקב</v>
      </c>
      <c r="I1219" s="8" t="str">
        <f aca="false">IF($G1219="","Unmatched","Matched")</f>
        <v>Matched</v>
      </c>
    </row>
    <row r="1220" customFormat="false" ht="15" hidden="false" customHeight="false" outlineLevel="0" collapsed="false">
      <c r="A1220" s="8" t="s">
        <v>814</v>
      </c>
      <c r="B1220" s="8" t="s">
        <v>146</v>
      </c>
      <c r="C1220" s="19" t="n">
        <v>4</v>
      </c>
      <c r="D1220" s="19" t="n">
        <v>187.29</v>
      </c>
      <c r="E1220" s="19" t="n">
        <v>5</v>
      </c>
      <c r="F1220" s="19" t="n">
        <v>202.9</v>
      </c>
      <c r="G1220" s="8" t="n">
        <f aca="false">IFERROR(INDEX('TRANS'!$B:$B,MATCH($B1220,'TRANS'!$A:$A,0)),IFERROR(INDEX('TRANS'!$B:$B,MATCH(TRIM(SUBSTITUTE($B1220,CHAR(160)," ")),'TRANS'!$D:$D,0)),IFERROR(INDEX('Catalog'!$A:$A,MATCH($B1220,'Catalog'!$B:$B,0)),IFERROR(INDEX('Catalog'!$A:$A,MATCH(TRIM(SUBSTITUTE($B1220,CHAR(160)," ")),'Catalog'!$C:$C,0)),""))))</f>
        <v>4421008</v>
      </c>
      <c r="H1220" s="8" t="str">
        <f aca="false">IFERROR(INDEX('TRANS'!$C:$C,MATCH($B1220,'TRANS'!$A:$A,0)),IFERROR(INDEX('Catalog'!$B:$B,MATCH($G1220,'Catalog'!$A:$A,0)),$B1220))</f>
        <v>שרוול לגבס ארוך רגל</v>
      </c>
      <c r="I1220" s="8" t="str">
        <f aca="false">IF($G1220="","Unmatched","Matched")</f>
        <v>Matched</v>
      </c>
    </row>
    <row r="1221" customFormat="false" ht="15" hidden="false" customHeight="false" outlineLevel="0" collapsed="false">
      <c r="A1221" s="8" t="s">
        <v>814</v>
      </c>
      <c r="B1221" s="8" t="s">
        <v>148</v>
      </c>
      <c r="C1221" s="19" t="n">
        <v>5</v>
      </c>
      <c r="D1221" s="19" t="n">
        <v>139.93</v>
      </c>
      <c r="E1221" s="19" t="n">
        <v>0</v>
      </c>
      <c r="F1221" s="19" t="n">
        <v>0</v>
      </c>
      <c r="G1221" s="8" t="n">
        <f aca="false">IFERROR(INDEX('TRANS'!$B:$B,MATCH($B1221,'TRANS'!$A:$A,0)),IFERROR(INDEX('TRANS'!$B:$B,MATCH(TRIM(SUBSTITUTE($B1221,CHAR(160)," ")),'TRANS'!$D:$D,0)),IFERROR(INDEX('Catalog'!$A:$A,MATCH($B1221,'Catalog'!$B:$B,0)),IFERROR(INDEX('Catalog'!$A:$A,MATCH(TRIM(SUBSTITUTE($B1221,CHAR(160)," ")),'Catalog'!$C:$C,0)),""))))</f>
        <v>4411000</v>
      </c>
      <c r="H1221" s="8" t="str">
        <f aca="false">IFERROR(INDEX('TRANS'!$C:$C,MATCH($B1221,'TRANS'!$A:$A,0)),IFERROR(INDEX('Catalog'!$B:$B,MATCH($G1221,'Catalog'!$A:$A,0)),$B1221))</f>
        <v>כרית מטטרזלי סיליקון362</v>
      </c>
      <c r="I1221" s="8" t="str">
        <f aca="false">IF($G1221="","Unmatched","Matched")</f>
        <v>Matched</v>
      </c>
    </row>
    <row r="1222" customFormat="false" ht="15" hidden="false" customHeight="false" outlineLevel="0" collapsed="false">
      <c r="A1222" s="8" t="s">
        <v>814</v>
      </c>
      <c r="B1222" s="8" t="s">
        <v>157</v>
      </c>
      <c r="C1222" s="19" t="n">
        <v>2</v>
      </c>
      <c r="D1222" s="19" t="n">
        <v>133.02</v>
      </c>
      <c r="E1222" s="19" t="n">
        <v>0</v>
      </c>
      <c r="F1222" s="19" t="n">
        <v>0</v>
      </c>
      <c r="G1222" s="8" t="n">
        <f aca="false">IFERROR(INDEX('TRANS'!$B:$B,MATCH($B1222,'TRANS'!$A:$A,0)),IFERROR(INDEX('TRANS'!$B:$B,MATCH(TRIM(SUBSTITUTE($B1222,CHAR(160)," ")),'TRANS'!$D:$D,0)),IFERROR(INDEX('Catalog'!$A:$A,MATCH($B1222,'Catalog'!$B:$B,0)),IFERROR(INDEX('Catalog'!$A:$A,MATCH(TRIM(SUBSTITUTE($B1222,CHAR(160)," ")),'Catalog'!$C:$C,0)),""))))</f>
        <v>4413340</v>
      </c>
      <c r="H1222" s="8" t="str">
        <f aca="false">IFERROR(INDEX('TRANS'!$C:$C,MATCH($B1222,'TRANS'!$A:$A,0)),IFERROR(INDEX('Catalog'!$B:$B,MATCH($G1222,'Catalog'!$A:$A,0)),$B1222))</f>
        <v>3666 מפריד הלוקס</v>
      </c>
      <c r="I1222" s="8" t="str">
        <f aca="false">IF($G1222="","Unmatched","Matched")</f>
        <v>Matched</v>
      </c>
    </row>
    <row r="1223" customFormat="false" ht="15" hidden="false" customHeight="false" outlineLevel="0" collapsed="false">
      <c r="A1223" s="8" t="s">
        <v>814</v>
      </c>
      <c r="B1223" s="8" t="s">
        <v>160</v>
      </c>
      <c r="C1223" s="19" t="n">
        <v>7</v>
      </c>
      <c r="D1223" s="19" t="n">
        <v>247.19</v>
      </c>
      <c r="E1223" s="19" t="n">
        <v>2</v>
      </c>
      <c r="F1223" s="19" t="n">
        <v>74.91</v>
      </c>
      <c r="G1223" s="8" t="n">
        <f aca="false">IFERROR(INDEX('TRANS'!$B:$B,MATCH($B1223,'TRANS'!$A:$A,0)),IFERROR(INDEX('TRANS'!$B:$B,MATCH(TRIM(SUBSTITUTE($B1223,CHAR(160)," ")),'TRANS'!$D:$D,0)),IFERROR(INDEX('Catalog'!$A:$A,MATCH($B1223,'Catalog'!$B:$B,0)),IFERROR(INDEX('Catalog'!$A:$A,MATCH(TRIM(SUBSTITUTE($B1223,CHAR(160)," ")),'Catalog'!$C:$C,0)),""))))</f>
        <v>4421003</v>
      </c>
      <c r="H1223" s="8" t="str">
        <f aca="false">IFERROR(INDEX('TRANS'!$C:$C,MATCH($B1223,'TRANS'!$A:$A,0)),IFERROR(INDEX('Catalog'!$B:$B,MATCH($G1223,'Catalog'!$A:$A,0)),$B1223))</f>
        <v>3672 שרוול מגן לבוניון</v>
      </c>
      <c r="I1223" s="8" t="str">
        <f aca="false">IF($G1223="","Unmatched","Matched")</f>
        <v>Matched</v>
      </c>
    </row>
    <row r="1224" customFormat="false" ht="15" hidden="false" customHeight="false" outlineLevel="0" collapsed="false">
      <c r="A1224" s="8" t="s">
        <v>814</v>
      </c>
      <c r="B1224" s="8" t="s">
        <v>176</v>
      </c>
      <c r="C1224" s="19" t="n">
        <v>13</v>
      </c>
      <c r="D1224" s="19" t="n">
        <v>614.63</v>
      </c>
      <c r="E1224" s="19" t="n">
        <v>6</v>
      </c>
      <c r="F1224" s="19" t="n">
        <v>283.77</v>
      </c>
      <c r="G1224" s="8" t="n">
        <f aca="false">IFERROR(INDEX('TRANS'!$B:$B,MATCH($B1224,'TRANS'!$A:$A,0)),IFERROR(INDEX('TRANS'!$B:$B,MATCH(TRIM(SUBSTITUTE($B1224,CHAR(160)," ")),'TRANS'!$D:$D,0)),IFERROR(INDEX('Catalog'!$A:$A,MATCH($B1224,'Catalog'!$B:$B,0)),IFERROR(INDEX('Catalog'!$A:$A,MATCH(TRIM(SUBSTITUTE($B1224,CHAR(160)," ")),'Catalog'!$C:$C,0)),""))))</f>
        <v>4413452</v>
      </c>
      <c r="H1224" s="8" t="str">
        <f aca="false">IFERROR(INDEX('TRANS'!$C:$C,MATCH($B1224,'TRANS'!$A:$A,0)),IFERROR(INDEX('Catalog'!$B:$B,MATCH($G1224,'Catalog'!$A:$A,0)),$B1224))</f>
        <v>386  מיישר בוניון-האלוקס ולגוס</v>
      </c>
      <c r="I1224" s="8" t="str">
        <f aca="false">IF($G1224="","Unmatched","Matched")</f>
        <v>Matched</v>
      </c>
    </row>
    <row r="1225" customFormat="false" ht="15" hidden="false" customHeight="false" outlineLevel="0" collapsed="false">
      <c r="A1225" s="8" t="s">
        <v>814</v>
      </c>
      <c r="B1225" s="8" t="s">
        <v>187</v>
      </c>
      <c r="C1225" s="19" t="n">
        <v>10</v>
      </c>
      <c r="D1225" s="19" t="n">
        <v>224.99</v>
      </c>
      <c r="E1225" s="19" t="n">
        <v>0</v>
      </c>
      <c r="F1225" s="19" t="n">
        <v>0</v>
      </c>
      <c r="G1225" s="8" t="n">
        <f aca="false">IFERROR(INDEX('TRANS'!$B:$B,MATCH($B1225,'TRANS'!$A:$A,0)),IFERROR(INDEX('TRANS'!$B:$B,MATCH(TRIM(SUBSTITUTE($B1225,CHAR(160)," ")),'TRANS'!$D:$D,0)),IFERROR(INDEX('Catalog'!$A:$A,MATCH($B1225,'Catalog'!$B:$B,0)),IFERROR(INDEX('Catalog'!$A:$A,MATCH(TRIM(SUBSTITUTE($B1225,CHAR(160)," ")),'Catalog'!$C:$C,0)),""))))</f>
        <v>4403017</v>
      </c>
      <c r="H1225" s="8" t="str">
        <f aca="false">IFERROR(INDEX('TRANS'!$C:$C,MATCH($B1225,'TRANS'!$A:$A,0)),IFERROR(INDEX('Catalog'!$B:$B,MATCH($G1225,'Catalog'!$A:$A,0)),$B1225))</f>
        <v>394B גרב.כסף לסכרתים שחור35-38</v>
      </c>
      <c r="I1225" s="8" t="str">
        <f aca="false">IF($G1225="","Unmatched","Matched")</f>
        <v>Matched</v>
      </c>
    </row>
    <row r="1226" customFormat="false" ht="15" hidden="false" customHeight="false" outlineLevel="0" collapsed="false">
      <c r="A1226" s="8" t="s">
        <v>814</v>
      </c>
      <c r="B1226" s="8" t="s">
        <v>188</v>
      </c>
      <c r="C1226" s="19" t="n">
        <v>10</v>
      </c>
      <c r="D1226" s="19" t="n">
        <v>224.99</v>
      </c>
      <c r="E1226" s="19" t="n">
        <v>0</v>
      </c>
      <c r="F1226" s="19" t="n">
        <v>0</v>
      </c>
      <c r="G1226" s="8" t="n">
        <f aca="false">IFERROR(INDEX('TRANS'!$B:$B,MATCH($B1226,'TRANS'!$A:$A,0)),IFERROR(INDEX('TRANS'!$B:$B,MATCH(TRIM(SUBSTITUTE($B1226,CHAR(160)," ")),'TRANS'!$D:$D,0)),IFERROR(INDEX('Catalog'!$A:$A,MATCH($B1226,'Catalog'!$B:$B,0)),IFERROR(INDEX('Catalog'!$A:$A,MATCH(TRIM(SUBSTITUTE($B1226,CHAR(160)," ")),'Catalog'!$C:$C,0)),""))))</f>
        <v>4403018</v>
      </c>
      <c r="H1226" s="8" t="str">
        <f aca="false">IFERROR(INDEX('TRANS'!$C:$C,MATCH($B1226,'TRANS'!$A:$A,0)),IFERROR(INDEX('Catalog'!$B:$B,MATCH($G1226,'Catalog'!$A:$A,0)),$B1226))</f>
        <v>394B גרב.כסף לסכרתים שחור39-42</v>
      </c>
      <c r="I1226" s="8" t="str">
        <f aca="false">IF($G1226="","Unmatched","Matched")</f>
        <v>Matched</v>
      </c>
    </row>
    <row r="1227" customFormat="false" ht="15" hidden="false" customHeight="false" outlineLevel="0" collapsed="false">
      <c r="A1227" s="8" t="s">
        <v>814</v>
      </c>
      <c r="B1227" s="8" t="s">
        <v>189</v>
      </c>
      <c r="C1227" s="19" t="n">
        <v>10</v>
      </c>
      <c r="D1227" s="19" t="n">
        <v>224.99</v>
      </c>
      <c r="E1227" s="19" t="n">
        <v>0</v>
      </c>
      <c r="F1227" s="19" t="n">
        <v>0</v>
      </c>
      <c r="G1227" s="8" t="n">
        <f aca="false">IFERROR(INDEX('TRANS'!$B:$B,MATCH($B1227,'TRANS'!$A:$A,0)),IFERROR(INDEX('TRANS'!$B:$B,MATCH(TRIM(SUBSTITUTE($B1227,CHAR(160)," ")),'TRANS'!$D:$D,0)),IFERROR(INDEX('Catalog'!$A:$A,MATCH($B1227,'Catalog'!$B:$B,0)),IFERROR(INDEX('Catalog'!$A:$A,MATCH(TRIM(SUBSTITUTE($B1227,CHAR(160)," ")),'Catalog'!$C:$C,0)),""))))</f>
        <v>4403019</v>
      </c>
      <c r="H1227" s="8" t="str">
        <f aca="false">IFERROR(INDEX('TRANS'!$C:$C,MATCH($B1227,'TRANS'!$A:$A,0)),IFERROR(INDEX('Catalog'!$B:$B,MATCH($G1227,'Catalog'!$A:$A,0)),$B1227))</f>
        <v>394B גרב.כסף לסכרתים שחור43-46</v>
      </c>
      <c r="I1227" s="8" t="str">
        <f aca="false">IF($G1227="","Unmatched","Matched")</f>
        <v>Matched</v>
      </c>
    </row>
    <row r="1228" customFormat="false" ht="15" hidden="false" customHeight="false" outlineLevel="0" collapsed="false">
      <c r="A1228" s="8" t="s">
        <v>814</v>
      </c>
      <c r="B1228" s="8" t="s">
        <v>194</v>
      </c>
      <c r="C1228" s="19" t="n">
        <v>12</v>
      </c>
      <c r="D1228" s="19" t="n">
        <v>287.32</v>
      </c>
      <c r="E1228" s="19" t="n">
        <v>5</v>
      </c>
      <c r="F1228" s="19" t="n">
        <v>124.99</v>
      </c>
      <c r="G1228" s="8" t="n">
        <f aca="false">IFERROR(INDEX('TRANS'!$B:$B,MATCH($B1228,'TRANS'!$A:$A,0)),IFERROR(INDEX('TRANS'!$B:$B,MATCH(TRIM(SUBSTITUTE($B1228,CHAR(160)," ")),'TRANS'!$D:$D,0)),IFERROR(INDEX('Catalog'!$A:$A,MATCH($B1228,'Catalog'!$B:$B,0)),IFERROR(INDEX('Catalog'!$A:$A,MATCH(TRIM(SUBSTITUTE($B1228,CHAR(160)," ")),'Catalog'!$C:$C,0)),""))))</f>
        <v>4403025</v>
      </c>
      <c r="H1228" s="8" t="str">
        <f aca="false">IFERROR(INDEX('TRANS'!$C:$C,MATCH($B1228,'TRANS'!$A:$A,0)),IFERROR(INDEX('Catalog'!$B:$B,MATCH($G1228,'Catalog'!$A:$A,0)),$B1228))</f>
        <v>394W 43-46 גרב.כסף לסכרתים לבן</v>
      </c>
      <c r="I1228" s="8" t="str">
        <f aca="false">IF($G1228="","Unmatched","Matched")</f>
        <v>Matched</v>
      </c>
    </row>
    <row r="1229" customFormat="false" ht="15" hidden="false" customHeight="false" outlineLevel="0" collapsed="false">
      <c r="A1229" s="8" t="s">
        <v>814</v>
      </c>
      <c r="B1229" s="8" t="s">
        <v>376</v>
      </c>
      <c r="C1229" s="19" t="n">
        <v>1</v>
      </c>
      <c r="D1229" s="19" t="n">
        <v>30.89</v>
      </c>
      <c r="E1229" s="19" t="n">
        <v>2</v>
      </c>
      <c r="F1229" s="19" t="n">
        <v>61.78</v>
      </c>
      <c r="G1229" s="8" t="n">
        <f aca="false">IFERROR(INDEX('TRANS'!$B:$B,MATCH($B1229,'TRANS'!$A:$A,0)),IFERROR(INDEX('TRANS'!$B:$B,MATCH(TRIM(SUBSTITUTE($B1229,CHAR(160)," ")),'TRANS'!$D:$D,0)),IFERROR(INDEX('Catalog'!$A:$A,MATCH($B1229,'Catalog'!$B:$B,0)),IFERROR(INDEX('Catalog'!$A:$A,MATCH(TRIM(SUBSTITUTE($B1229,CHAR(160)," ")),'Catalog'!$C:$C,0)),""))))</f>
        <v>4413092</v>
      </c>
      <c r="H1229" s="8" t="str">
        <f aca="false">IFERROR(INDEX('TRANS'!$C:$C,MATCH($B1229,'TRANS'!$A:$A,0)),IFERROR(INDEX('Catalog'!$B:$B,MATCH($G1229,'Catalog'!$A:$A,0)),$B1229))</f>
        <v>45 L מגן ברך לבן</v>
      </c>
      <c r="I1229" s="8" t="str">
        <f aca="false">IF($G1229="","Unmatched","Matched")</f>
        <v>Matched</v>
      </c>
    </row>
    <row r="1230" customFormat="false" ht="15" hidden="false" customHeight="false" outlineLevel="0" collapsed="false">
      <c r="A1230" s="8" t="s">
        <v>814</v>
      </c>
      <c r="B1230" s="8" t="s">
        <v>377</v>
      </c>
      <c r="C1230" s="19" t="n">
        <v>1</v>
      </c>
      <c r="D1230" s="19" t="n">
        <v>30.89</v>
      </c>
      <c r="E1230" s="19" t="n">
        <v>2</v>
      </c>
      <c r="F1230" s="19" t="n">
        <v>61.78</v>
      </c>
      <c r="G1230" s="8" t="n">
        <f aca="false">IFERROR(INDEX('TRANS'!$B:$B,MATCH($B1230,'TRANS'!$A:$A,0)),IFERROR(INDEX('TRANS'!$B:$B,MATCH(TRIM(SUBSTITUTE($B1230,CHAR(160)," ")),'TRANS'!$D:$D,0)),IFERROR(INDEX('Catalog'!$A:$A,MATCH($B1230,'Catalog'!$B:$B,0)),IFERROR(INDEX('Catalog'!$A:$A,MATCH(TRIM(SUBSTITUTE($B1230,CHAR(160)," ")),'Catalog'!$C:$C,0)),""))))</f>
        <v>4413093</v>
      </c>
      <c r="H1230" s="8" t="str">
        <f aca="false">IFERROR(INDEX('TRANS'!$C:$C,MATCH($B1230,'TRANS'!$A:$A,0)),IFERROR(INDEX('Catalog'!$B:$B,MATCH($G1230,'Catalog'!$A:$A,0)),$B1230))</f>
        <v>45 M מגן ברך לבן</v>
      </c>
      <c r="I1230" s="8" t="str">
        <f aca="false">IF($G1230="","Unmatched","Matched")</f>
        <v>Matched</v>
      </c>
    </row>
    <row r="1231" customFormat="false" ht="15" hidden="false" customHeight="false" outlineLevel="0" collapsed="false">
      <c r="A1231" s="8" t="s">
        <v>814</v>
      </c>
      <c r="B1231" s="8" t="s">
        <v>207</v>
      </c>
      <c r="C1231" s="19" t="n">
        <v>3</v>
      </c>
      <c r="D1231" s="19" t="n">
        <v>92.67</v>
      </c>
      <c r="E1231" s="19" t="n">
        <v>2</v>
      </c>
      <c r="F1231" s="19" t="n">
        <v>61.78</v>
      </c>
      <c r="G1231" s="8" t="n">
        <f aca="false">IFERROR(INDEX('TRANS'!$B:$B,MATCH($B1231,'TRANS'!$A:$A,0)),IFERROR(INDEX('TRANS'!$B:$B,MATCH(TRIM(SUBSTITUTE($B1231,CHAR(160)," ")),'TRANS'!$D:$D,0)),IFERROR(INDEX('Catalog'!$A:$A,MATCH($B1231,'Catalog'!$B:$B,0)),IFERROR(INDEX('Catalog'!$A:$A,MATCH(TRIM(SUBSTITUTE($B1231,CHAR(160)," ")),'Catalog'!$C:$C,0)),""))))</f>
        <v>4413095</v>
      </c>
      <c r="H1231" s="8" t="str">
        <f aca="false">IFERROR(INDEX('TRANS'!$C:$C,MATCH($B1231,'TRANS'!$A:$A,0)),IFERROR(INDEX('Catalog'!$B:$B,MATCH($G1231,'Catalog'!$A:$A,0)),$B1231))</f>
        <v>45 XL מגן ברך לבן</v>
      </c>
      <c r="I1231" s="8" t="str">
        <f aca="false">IF($G1231="","Unmatched","Matched")</f>
        <v>Matched</v>
      </c>
    </row>
    <row r="1232" customFormat="false" ht="15" hidden="false" customHeight="false" outlineLevel="0" collapsed="false">
      <c r="A1232" s="8" t="s">
        <v>814</v>
      </c>
      <c r="B1232" s="8" t="s">
        <v>378</v>
      </c>
      <c r="C1232" s="19" t="n">
        <v>0</v>
      </c>
      <c r="D1232" s="19" t="n">
        <v>0</v>
      </c>
      <c r="E1232" s="19" t="n">
        <v>3</v>
      </c>
      <c r="F1232" s="19" t="n">
        <v>92.68</v>
      </c>
      <c r="G1232" s="8" t="n">
        <f aca="false">IFERROR(INDEX('TRANS'!$B:$B,MATCH($B1232,'TRANS'!$A:$A,0)),IFERROR(INDEX('TRANS'!$B:$B,MATCH(TRIM(SUBSTITUTE($B1232,CHAR(160)," ")),'TRANS'!$D:$D,0)),IFERROR(INDEX('Catalog'!$A:$A,MATCH($B1232,'Catalog'!$B:$B,0)),IFERROR(INDEX('Catalog'!$A:$A,MATCH(TRIM(SUBSTITUTE($B1232,CHAR(160)," ")),'Catalog'!$C:$C,0)),""))))</f>
        <v>4413096</v>
      </c>
      <c r="H1232" s="8" t="str">
        <f aca="false">IFERROR(INDEX('TRANS'!$C:$C,MATCH($B1232,'TRANS'!$A:$A,0)),IFERROR(INDEX('Catalog'!$B:$B,MATCH($G1232,'Catalog'!$A:$A,0)),$B1232))</f>
        <v>45 XXL מגן ברך לבן</v>
      </c>
      <c r="I1232" s="8" t="str">
        <f aca="false">IF($G1232="","Unmatched","Matched")</f>
        <v>Matched</v>
      </c>
    </row>
    <row r="1233" customFormat="false" ht="15" hidden="false" customHeight="false" outlineLevel="0" collapsed="false">
      <c r="A1233" s="8" t="s">
        <v>814</v>
      </c>
      <c r="B1233" s="8" t="s">
        <v>231</v>
      </c>
      <c r="C1233" s="19" t="n">
        <v>216</v>
      </c>
      <c r="D1233" s="19" t="n">
        <v>27989.58</v>
      </c>
      <c r="E1233" s="19" t="n">
        <v>89</v>
      </c>
      <c r="F1233" s="19" t="n">
        <v>14764.72</v>
      </c>
      <c r="G1233" s="8" t="str">
        <f aca="false">IFERROR(INDEX('TRANS'!$B:$B,MATCH($B1233,'TRANS'!$A:$A,0)),IFERROR(INDEX('TRANS'!$B:$B,MATCH(TRIM(SUBSTITUTE($B1233,CHAR(160)," ")),'TRANS'!$D:$D,0)),IFERROR(INDEX('Catalog'!$A:$A,MATCH($B1233,'Catalog'!$B:$B,0)),IFERROR(INDEX('Catalog'!$A:$A,MATCH(TRIM(SUBSTITUTE($B1233,CHAR(160)," ")),'Catalog'!$C:$C,0)),""))))</f>
        <v/>
      </c>
      <c r="H1233" s="8" t="str">
        <f aca="false">IFERROR(INDEX('TRANS'!$C:$C,MATCH($B1233,'TRANS'!$A:$A,0)),IFERROR(INDEX('Catalog'!$B:$B,MATCH($G1233,'Catalog'!$A:$A,0)),$B1233))</f>
        <v>67 0</v>
      </c>
      <c r="I1233" s="8" t="str">
        <f aca="false">IF($G1233="","Unmatched","Matched")</f>
        <v>Unmatched</v>
      </c>
    </row>
    <row r="1234" customFormat="false" ht="15" hidden="false" customHeight="false" outlineLevel="0" collapsed="false">
      <c r="A1234" s="8" t="s">
        <v>814</v>
      </c>
      <c r="B1234" s="8" t="s">
        <v>499</v>
      </c>
      <c r="C1234" s="19" t="n">
        <v>0</v>
      </c>
      <c r="D1234" s="19" t="n">
        <v>0</v>
      </c>
      <c r="E1234" s="19" t="n">
        <v>1</v>
      </c>
      <c r="F1234" s="19" t="n">
        <v>260</v>
      </c>
      <c r="G1234" s="8" t="n">
        <f aca="false">IFERROR(INDEX('TRANS'!$B:$B,MATCH($B1234,'TRANS'!$A:$A,0)),IFERROR(INDEX('TRANS'!$B:$B,MATCH(TRIM(SUBSTITUTE($B1234,CHAR(160)," ")),'TRANS'!$D:$D,0)),IFERROR(INDEX('Catalog'!$A:$A,MATCH($B1234,'Catalog'!$B:$B,0)),IFERROR(INDEX('Catalog'!$A:$A,MATCH(TRIM(SUBSTITUTE($B1234,CHAR(160)," ")),'Catalog'!$C:$C,0)),""))))</f>
        <v>4408274</v>
      </c>
      <c r="H1234" s="8" t="str">
        <f aca="false">IFERROR(INDEX('TRANS'!$C:$C,MATCH($B1234,'TRANS'!$A:$A,0)),IFERROR(INDEX('Catalog'!$B:$B,MATCH($G1234,'Catalog'!$A:$A,0)),$B1234))</f>
        <v>70N L חגורת פאבליק</v>
      </c>
      <c r="I1234" s="8" t="str">
        <f aca="false">IF($G1234="","Unmatched","Matched")</f>
        <v>Matched</v>
      </c>
    </row>
    <row r="1235" customFormat="false" ht="15" hidden="false" customHeight="false" outlineLevel="0" collapsed="false">
      <c r="A1235" s="8" t="s">
        <v>814</v>
      </c>
      <c r="B1235" s="8" t="s">
        <v>500</v>
      </c>
      <c r="C1235" s="19" t="n">
        <v>0</v>
      </c>
      <c r="D1235" s="19" t="n">
        <v>0</v>
      </c>
      <c r="E1235" s="19" t="n">
        <v>1</v>
      </c>
      <c r="F1235" s="19" t="n">
        <v>260</v>
      </c>
      <c r="G1235" s="8" t="n">
        <f aca="false">IFERROR(INDEX('TRANS'!$B:$B,MATCH($B1235,'TRANS'!$A:$A,0)),IFERROR(INDEX('TRANS'!$B:$B,MATCH(TRIM(SUBSTITUTE($B1235,CHAR(160)," ")),'TRANS'!$D:$D,0)),IFERROR(INDEX('Catalog'!$A:$A,MATCH($B1235,'Catalog'!$B:$B,0)),IFERROR(INDEX('Catalog'!$A:$A,MATCH(TRIM(SUBSTITUTE($B1235,CHAR(160)," ")),'Catalog'!$C:$C,0)),""))))</f>
        <v>4408273</v>
      </c>
      <c r="H1235" s="8" t="str">
        <f aca="false">IFERROR(INDEX('TRANS'!$C:$C,MATCH($B1235,'TRANS'!$A:$A,0)),IFERROR(INDEX('Catalog'!$B:$B,MATCH($G1235,'Catalog'!$A:$A,0)),$B1235))</f>
        <v>70N M חגורת פאבליק</v>
      </c>
      <c r="I1235" s="8" t="str">
        <f aca="false">IF($G1235="","Unmatched","Matched")</f>
        <v>Matched</v>
      </c>
    </row>
    <row r="1236" customFormat="false" ht="15" hidden="false" customHeight="false" outlineLevel="0" collapsed="false">
      <c r="A1236" s="8" t="s">
        <v>814</v>
      </c>
      <c r="B1236" s="8" t="s">
        <v>403</v>
      </c>
      <c r="C1236" s="19" t="n">
        <v>0</v>
      </c>
      <c r="D1236" s="19" t="n">
        <v>0</v>
      </c>
      <c r="E1236" s="19" t="n">
        <v>1</v>
      </c>
      <c r="F1236" s="19" t="n">
        <v>130</v>
      </c>
      <c r="G1236" s="8" t="n">
        <f aca="false">IFERROR(INDEX('TRANS'!$B:$B,MATCH($B1236,'TRANS'!$A:$A,0)),IFERROR(INDEX('TRANS'!$B:$B,MATCH(TRIM(SUBSTITUTE($B1236,CHAR(160)," ")),'TRANS'!$D:$D,0)),IFERROR(INDEX('Catalog'!$A:$A,MATCH($B1236,'Catalog'!$B:$B,0)),IFERROR(INDEX('Catalog'!$A:$A,MATCH(TRIM(SUBSTITUTE($B1236,CHAR(160)," ")),'Catalog'!$C:$C,0)),""))))</f>
        <v>4413165</v>
      </c>
      <c r="H1236" s="8" t="str">
        <f aca="false">IFERROR(INDEX('TRANS'!$C:$C,MATCH($B1236,'TRANS'!$A:$A,0)),IFERROR(INDEX('Catalog'!$B:$B,MATCH($G1236,'Catalog'!$A:$A,0)),$B1236))</f>
        <v>74 L-XL מיצב כתפיים</v>
      </c>
      <c r="I1236" s="8" t="str">
        <f aca="false">IF($G1236="","Unmatched","Matched")</f>
        <v>Matched</v>
      </c>
    </row>
    <row r="1237" customFormat="false" ht="15" hidden="false" customHeight="false" outlineLevel="0" collapsed="false">
      <c r="A1237" s="8" t="s">
        <v>814</v>
      </c>
      <c r="B1237" s="8" t="s">
        <v>629</v>
      </c>
      <c r="C1237" s="19" t="n">
        <v>0</v>
      </c>
      <c r="D1237" s="19" t="n">
        <v>0</v>
      </c>
      <c r="E1237" s="19" t="n">
        <v>1</v>
      </c>
      <c r="F1237" s="19" t="n">
        <v>130</v>
      </c>
      <c r="G1237" s="8" t="str">
        <f aca="false">IFERROR(INDEX('TRANS'!$B:$B,MATCH($B1237,'TRANS'!$A:$A,0)),IFERROR(INDEX('TRANS'!$B:$B,MATCH(TRIM(SUBSTITUTE($B1237,CHAR(160)," ")),'TRANS'!$D:$D,0)),IFERROR(INDEX('Catalog'!$A:$A,MATCH($B1237,'Catalog'!$B:$B,0)),IFERROR(INDEX('Catalog'!$A:$A,MATCH(TRIM(SUBSTITUTE($B1237,CHAR(160)," ")),'Catalog'!$C:$C,0)),""))))</f>
        <v/>
      </c>
      <c r="H1237" s="8" t="str">
        <f aca="false">IFERROR(INDEX('TRANS'!$C:$C,MATCH($B1237,'TRANS'!$A:$A,0)),IFERROR(INDEX('Catalog'!$B:$B,MATCH($G1237,'Catalog'!$A:$A,0)),$B1237))</f>
        <v>74-S-M</v>
      </c>
      <c r="I1237" s="8" t="str">
        <f aca="false">IF($G1237="","Unmatched","Matched")</f>
        <v>Unmatched</v>
      </c>
    </row>
    <row r="1238" customFormat="false" ht="15" hidden="false" customHeight="false" outlineLevel="0" collapsed="false">
      <c r="A1238" s="8" t="s">
        <v>814</v>
      </c>
      <c r="B1238" s="8" t="s">
        <v>233</v>
      </c>
      <c r="C1238" s="19" t="n">
        <v>7</v>
      </c>
      <c r="D1238" s="19" t="n">
        <v>1072</v>
      </c>
      <c r="E1238" s="19" t="n">
        <v>3</v>
      </c>
      <c r="F1238" s="19" t="n">
        <v>479.99</v>
      </c>
      <c r="G1238" s="8" t="n">
        <f aca="false">IFERROR(INDEX('TRANS'!$B:$B,MATCH($B1238,'TRANS'!$A:$A,0)),IFERROR(INDEX('TRANS'!$B:$B,MATCH(TRIM(SUBSTITUTE($B1238,CHAR(160)," ")),'TRANS'!$D:$D,0)),IFERROR(INDEX('Catalog'!$A:$A,MATCH($B1238,'Catalog'!$B:$B,0)),IFERROR(INDEX('Catalog'!$A:$A,MATCH(TRIM(SUBSTITUTE($B1238,CHAR(160)," ")),'Catalog'!$C:$C,0)),""))))</f>
        <v>4413132</v>
      </c>
      <c r="H1238" s="8" t="str">
        <f aca="false">IFERROR(INDEX('TRANS'!$C:$C,MATCH($B1238,'TRANS'!$A:$A,0)),IFERROR(INDEX('Catalog'!$B:$B,MATCH($G1238,'Catalog'!$A:$A,0)),$B1238))</f>
        <v>76 Lמיישר כתף יציב יישור רחב</v>
      </c>
      <c r="I1238" s="8" t="str">
        <f aca="false">IF($G1238="","Unmatched","Matched")</f>
        <v>Matched</v>
      </c>
    </row>
    <row r="1239" customFormat="false" ht="15" hidden="false" customHeight="false" outlineLevel="0" collapsed="false">
      <c r="A1239" s="8" t="s">
        <v>814</v>
      </c>
      <c r="B1239" s="8" t="s">
        <v>234</v>
      </c>
      <c r="C1239" s="19" t="n">
        <v>5</v>
      </c>
      <c r="D1239" s="19" t="n">
        <v>775.99</v>
      </c>
      <c r="E1239" s="19" t="n">
        <v>3</v>
      </c>
      <c r="F1239" s="19" t="n">
        <v>479.99</v>
      </c>
      <c r="G1239" s="8" t="n">
        <f aca="false">IFERROR(INDEX('TRANS'!$B:$B,MATCH($B1239,'TRANS'!$A:$A,0)),IFERROR(INDEX('TRANS'!$B:$B,MATCH(TRIM(SUBSTITUTE($B1239,CHAR(160)," ")),'TRANS'!$D:$D,0)),IFERROR(INDEX('Catalog'!$A:$A,MATCH($B1239,'Catalog'!$B:$B,0)),IFERROR(INDEX('Catalog'!$A:$A,MATCH(TRIM(SUBSTITUTE($B1239,CHAR(160)," ")),'Catalog'!$C:$C,0)),""))))</f>
        <v>4413134</v>
      </c>
      <c r="H1239" s="8" t="str">
        <f aca="false">IFERROR(INDEX('TRANS'!$C:$C,MATCH($B1239,'TRANS'!$A:$A,0)),IFERROR(INDEX('Catalog'!$B:$B,MATCH($G1239,'Catalog'!$A:$A,0)),$B1239))</f>
        <v>76 XLמיישר כתף יציב יישור רחב</v>
      </c>
      <c r="I1239" s="8" t="str">
        <f aca="false">IF($G1239="","Unmatched","Matched")</f>
        <v>Matched</v>
      </c>
    </row>
    <row r="1240" customFormat="false" ht="15" hidden="false" customHeight="false" outlineLevel="0" collapsed="false">
      <c r="A1240" s="8" t="s">
        <v>814</v>
      </c>
      <c r="B1240" s="8" t="s">
        <v>243</v>
      </c>
      <c r="C1240" s="19" t="n">
        <v>3</v>
      </c>
      <c r="D1240" s="19" t="n">
        <v>49.5</v>
      </c>
      <c r="E1240" s="19" t="n">
        <v>0</v>
      </c>
      <c r="F1240" s="19" t="n">
        <v>0</v>
      </c>
      <c r="G1240" s="8" t="n">
        <f aca="false">IFERROR(INDEX('TRANS'!$B:$B,MATCH($B1240,'TRANS'!$A:$A,0)),IFERROR(INDEX('TRANS'!$B:$B,MATCH(TRIM(SUBSTITUTE($B1240,CHAR(160)," ")),'TRANS'!$D:$D,0)),IFERROR(INDEX('Catalog'!$A:$A,MATCH($B1240,'Catalog'!$B:$B,0)),IFERROR(INDEX('Catalog'!$A:$A,MATCH(TRIM(SUBSTITUTE($B1240,CHAR(160)," ")),'Catalog'!$C:$C,0)),""))))</f>
        <v>4401011</v>
      </c>
      <c r="H1240" s="8" t="str">
        <f aca="false">IFERROR(INDEX('TRANS'!$C:$C,MATCH($B1240,'TRANS'!$A:$A,0)),IFERROR(INDEX('Catalog'!$B:$B,MATCH($G1240,'Catalog'!$A:$A,0)),$B1240))</f>
        <v>805AT-Cאתלטיק טייפ בז' 20מ""""מ20</v>
      </c>
      <c r="I1240" s="8" t="str">
        <f aca="false">IF($G1240="","Unmatched","Matched")</f>
        <v>Matched</v>
      </c>
    </row>
    <row r="1241" customFormat="false" ht="15" hidden="false" customHeight="false" outlineLevel="0" collapsed="false">
      <c r="A1241" s="8" t="s">
        <v>814</v>
      </c>
      <c r="B1241" s="8" t="s">
        <v>817</v>
      </c>
      <c r="C1241" s="19" t="n">
        <v>3</v>
      </c>
      <c r="D1241" s="19" t="n">
        <v>49.5</v>
      </c>
      <c r="E1241" s="19" t="n">
        <v>0</v>
      </c>
      <c r="F1241" s="19" t="n">
        <v>0</v>
      </c>
      <c r="G1241" s="8" t="n">
        <f aca="false">IFERROR(INDEX('TRANS'!$B:$B,MATCH($B1241,'TRANS'!$A:$A,0)),IFERROR(INDEX('TRANS'!$B:$B,MATCH(TRIM(SUBSTITUTE($B1241,CHAR(160)," ")),'TRANS'!$D:$D,0)),IFERROR(INDEX('Catalog'!$A:$A,MATCH($B1241,'Catalog'!$B:$B,0)),IFERROR(INDEX('Catalog'!$A:$A,MATCH(TRIM(SUBSTITUTE($B1241,CHAR(160)," ")),'Catalog'!$C:$C,0)),""))))</f>
        <v>4401014</v>
      </c>
      <c r="H1241" s="8" t="str">
        <f aca="false">IFERROR(INDEX('TRANS'!$C:$C,MATCH($B1241,'TRANS'!$A:$A,0)),IFERROR(INDEX('Catalog'!$B:$B,MATCH($G1241,'Catalog'!$A:$A,0)),$B1241))</f>
        <v>805AT-W  אתלטיק טייפ לבן 20מ""""מ</v>
      </c>
      <c r="I1241" s="8" t="str">
        <f aca="false">IF($G1241="","Unmatched","Matched")</f>
        <v>Matched</v>
      </c>
    </row>
    <row r="1242" customFormat="false" ht="15" hidden="false" customHeight="false" outlineLevel="0" collapsed="false">
      <c r="A1242" s="8" t="s">
        <v>814</v>
      </c>
      <c r="B1242" s="8" t="s">
        <v>247</v>
      </c>
      <c r="C1242" s="19" t="n">
        <v>31</v>
      </c>
      <c r="D1242" s="19" t="n">
        <v>880</v>
      </c>
      <c r="E1242" s="19" t="n">
        <v>6</v>
      </c>
      <c r="F1242" s="19" t="n">
        <v>175</v>
      </c>
      <c r="G1242" s="8" t="n">
        <f aca="false">IFERROR(INDEX('TRANS'!$B:$B,MATCH($B1242,'TRANS'!$A:$A,0)),IFERROR(INDEX('TRANS'!$B:$B,MATCH(TRIM(SUBSTITUTE($B1242,CHAR(160)," ")),'TRANS'!$D:$D,0)),IFERROR(INDEX('Catalog'!$A:$A,MATCH($B1242,'Catalog'!$B:$B,0)),IFERROR(INDEX('Catalog'!$A:$A,MATCH(TRIM(SUBSTITUTE($B1242,CHAR(160)," ")),'Catalog'!$C:$C,0)),""))))</f>
        <v>4409017</v>
      </c>
      <c r="H1242" s="8" t="str">
        <f aca="false">IFERROR(INDEX('TRANS'!$C:$C,MATCH($B1242,'TRANS'!$A:$A,0)),IFERROR(INDEX('Catalog'!$B:$B,MATCH($G1242,'Catalog'!$A:$A,0)),$B1242))</f>
        <v>808KT-B        טייפ קינזיולוגי</v>
      </c>
      <c r="I1242" s="8" t="str">
        <f aca="false">IF($G1242="","Unmatched","Matched")</f>
        <v>Matched</v>
      </c>
    </row>
    <row r="1243" customFormat="false" ht="15" hidden="false" customHeight="false" outlineLevel="0" collapsed="false">
      <c r="A1243" s="8" t="s">
        <v>814</v>
      </c>
      <c r="B1243" s="8" t="s">
        <v>506</v>
      </c>
      <c r="C1243" s="19" t="n">
        <v>31</v>
      </c>
      <c r="D1243" s="19" t="n">
        <v>880</v>
      </c>
      <c r="E1243" s="19" t="n">
        <v>6</v>
      </c>
      <c r="F1243" s="19" t="n">
        <v>175</v>
      </c>
      <c r="G1243" s="8" t="n">
        <f aca="false">IFERROR(INDEX('TRANS'!$B:$B,MATCH($B1243,'TRANS'!$A:$A,0)),IFERROR(INDEX('TRANS'!$B:$B,MATCH(TRIM(SUBSTITUTE($B1243,CHAR(160)," ")),'TRANS'!$D:$D,0)),IFERROR(INDEX('Catalog'!$A:$A,MATCH($B1243,'Catalog'!$B:$B,0)),IFERROR(INDEX('Catalog'!$A:$A,MATCH(TRIM(SUBSTITUTE($B1243,CHAR(160)," ")),'Catalog'!$C:$C,0)),""))))</f>
        <v>4409015</v>
      </c>
      <c r="H1243" s="8" t="str">
        <f aca="false">IFERROR(INDEX('TRANS'!$C:$C,MATCH($B1243,'TRANS'!$A:$A,0)),IFERROR(INDEX('Catalog'!$B:$B,MATCH($G1243,'Catalog'!$A:$A,0)),$B1243))</f>
        <v>808KT-BL       טייפ קינזיולוגי</v>
      </c>
      <c r="I1243" s="8" t="str">
        <f aca="false">IF($G1243="","Unmatched","Matched")</f>
        <v>Matched</v>
      </c>
    </row>
    <row r="1244" customFormat="false" ht="15" hidden="false" customHeight="false" outlineLevel="0" collapsed="false">
      <c r="A1244" s="8" t="s">
        <v>814</v>
      </c>
      <c r="B1244" s="8" t="s">
        <v>507</v>
      </c>
      <c r="C1244" s="19" t="n">
        <v>14</v>
      </c>
      <c r="D1244" s="19" t="n">
        <v>387.29</v>
      </c>
      <c r="E1244" s="19" t="n">
        <v>1</v>
      </c>
      <c r="F1244" s="19" t="n">
        <v>25</v>
      </c>
      <c r="G1244" s="8" t="n">
        <f aca="false">IFERROR(INDEX('TRANS'!$B:$B,MATCH($B1244,'TRANS'!$A:$A,0)),IFERROR(INDEX('TRANS'!$B:$B,MATCH(TRIM(SUBSTITUTE($B1244,CHAR(160)," ")),'TRANS'!$D:$D,0)),IFERROR(INDEX('Catalog'!$A:$A,MATCH($B1244,'Catalog'!$B:$B,0)),IFERROR(INDEX('Catalog'!$A:$A,MATCH(TRIM(SUBSTITUTE($B1244,CHAR(160)," ")),'Catalog'!$C:$C,0)),""))))</f>
        <v>4409014</v>
      </c>
      <c r="H1244" s="8" t="str">
        <f aca="false">IFERROR(INDEX('TRANS'!$C:$C,MATCH($B1244,'TRANS'!$A:$A,0)),IFERROR(INDEX('Catalog'!$B:$B,MATCH($G1244,'Catalog'!$A:$A,0)),$B1244))</f>
        <v>808KT-P        טייפ קינזיולוגי</v>
      </c>
      <c r="I1244" s="8" t="str">
        <f aca="false">IF($G1244="","Unmatched","Matched")</f>
        <v>Matched</v>
      </c>
    </row>
    <row r="1245" customFormat="false" ht="15" hidden="false" customHeight="false" outlineLevel="0" collapsed="false">
      <c r="A1245" s="8" t="s">
        <v>814</v>
      </c>
      <c r="B1245" s="8" t="s">
        <v>630</v>
      </c>
      <c r="C1245" s="19" t="n">
        <v>10</v>
      </c>
      <c r="D1245" s="19" t="n">
        <v>250</v>
      </c>
      <c r="E1245" s="19" t="n">
        <v>16</v>
      </c>
      <c r="F1245" s="19" t="n">
        <v>475</v>
      </c>
      <c r="G1245" s="8" t="str">
        <f aca="false">IFERROR(INDEX('TRANS'!$B:$B,MATCH($B1245,'TRANS'!$A:$A,0)),IFERROR(INDEX('TRANS'!$B:$B,MATCH(TRIM(SUBSTITUTE($B1245,CHAR(160)," ")),'TRANS'!$D:$D,0)),IFERROR(INDEX('Catalog'!$A:$A,MATCH($B1245,'Catalog'!$B:$B,0)),IFERROR(INDEX('Catalog'!$A:$A,MATCH(TRIM(SUBSTITUTE($B1245,CHAR(160)," ")),'Catalog'!$C:$C,0)),""))))</f>
        <v/>
      </c>
      <c r="H1245" s="8" t="str">
        <f aca="false">IFERROR(INDEX('TRANS'!$C:$C,MATCH($B1245,'TRANS'!$A:$A,0)),IFERROR(INDEX('Catalog'!$B:$B,MATCH($G1245,'Catalog'!$A:$A,0)),$B1245))</f>
        <v>808KTP-C</v>
      </c>
      <c r="I1245" s="8" t="str">
        <f aca="false">IF($G1245="","Unmatched","Matched")</f>
        <v>Unmatched</v>
      </c>
    </row>
    <row r="1246" customFormat="false" ht="15" hidden="false" customHeight="false" outlineLevel="0" collapsed="false">
      <c r="A1246" s="8" t="s">
        <v>814</v>
      </c>
      <c r="B1246" s="8" t="s">
        <v>267</v>
      </c>
      <c r="C1246" s="19" t="n">
        <v>0</v>
      </c>
      <c r="D1246" s="19" t="n">
        <v>0</v>
      </c>
      <c r="E1246" s="19" t="n">
        <v>7</v>
      </c>
      <c r="F1246" s="19" t="n">
        <v>630.9</v>
      </c>
      <c r="G1246" s="8" t="n">
        <f aca="false">IFERROR(INDEX('TRANS'!$B:$B,MATCH($B1246,'TRANS'!$A:$A,0)),IFERROR(INDEX('TRANS'!$B:$B,MATCH(TRIM(SUBSTITUTE($B1246,CHAR(160)," ")),'TRANS'!$D:$D,0)),IFERROR(INDEX('Catalog'!$A:$A,MATCH($B1246,'Catalog'!$B:$B,0)),IFERROR(INDEX('Catalog'!$A:$A,MATCH(TRIM(SUBSTITUTE($B1246,CHAR(160)," ")),'Catalog'!$C:$C,0)),""))))</f>
        <v>4408205</v>
      </c>
      <c r="H1246" s="8" t="str">
        <f aca="false">IFERROR(INDEX('TRANS'!$C:$C,MATCH($B1246,'TRANS'!$A:$A,0)),IFERROR(INDEX('Catalog'!$B:$B,MATCH($G1246,'Catalog'!$A:$A,0)),$B1246))</f>
        <v>AC-07 חגורת גב עם תמיכות</v>
      </c>
      <c r="I1246" s="8" t="str">
        <f aca="false">IF($G1246="","Unmatched","Matched")</f>
        <v>Matched</v>
      </c>
    </row>
    <row r="1247" customFormat="false" ht="15" hidden="false" customHeight="false" outlineLevel="0" collapsed="false">
      <c r="A1247" s="8" t="s">
        <v>814</v>
      </c>
      <c r="B1247" s="8" t="s">
        <v>268</v>
      </c>
      <c r="C1247" s="19" t="n">
        <v>0</v>
      </c>
      <c r="D1247" s="19" t="n">
        <v>0</v>
      </c>
      <c r="E1247" s="19" t="n">
        <v>4</v>
      </c>
      <c r="F1247" s="19" t="n">
        <v>294.18</v>
      </c>
      <c r="G1247" s="8" t="n">
        <f aca="false">IFERROR(INDEX('TRANS'!$B:$B,MATCH($B1247,'TRANS'!$A:$A,0)),IFERROR(INDEX('TRANS'!$B:$B,MATCH(TRIM(SUBSTITUTE($B1247,CHAR(160)," ")),'TRANS'!$D:$D,0)),IFERROR(INDEX('Catalog'!$A:$A,MATCH($B1247,'Catalog'!$B:$B,0)),IFERROR(INDEX('Catalog'!$A:$A,MATCH(TRIM(SUBSTITUTE($B1247,CHAR(160)," ")),'Catalog'!$C:$C,0)),""))))</f>
        <v>4408206</v>
      </c>
      <c r="H1247" s="8" t="str">
        <f aca="false">IFERROR(INDEX('TRANS'!$C:$C,MATCH($B1247,'TRANS'!$A:$A,0)),IFERROR(INDEX('Catalog'!$B:$B,MATCH($G1247,'Catalog'!$A:$A,0)),$B1247))</f>
        <v>AC-11 חגורת בטן קלה</v>
      </c>
      <c r="I1247" s="8" t="str">
        <f aca="false">IF($G1247="","Unmatched","Matched")</f>
        <v>Matched</v>
      </c>
    </row>
    <row r="1248" customFormat="false" ht="15" hidden="false" customHeight="false" outlineLevel="0" collapsed="false">
      <c r="A1248" s="8" t="s">
        <v>814</v>
      </c>
      <c r="B1248" s="8" t="s">
        <v>270</v>
      </c>
      <c r="C1248" s="19" t="n">
        <v>2</v>
      </c>
      <c r="D1248" s="19" t="n">
        <v>86.95</v>
      </c>
      <c r="E1248" s="19" t="n">
        <v>2</v>
      </c>
      <c r="F1248" s="19" t="n">
        <v>93.64</v>
      </c>
      <c r="G1248" s="8" t="n">
        <f aca="false">IFERROR(INDEX('TRANS'!$B:$B,MATCH($B1248,'TRANS'!$A:$A,0)),IFERROR(INDEX('TRANS'!$B:$B,MATCH(TRIM(SUBSTITUTE($B1248,CHAR(160)," ")),'TRANS'!$D:$D,0)),IFERROR(INDEX('Catalog'!$A:$A,MATCH($B1248,'Catalog'!$B:$B,0)),IFERROR(INDEX('Catalog'!$A:$A,MATCH(TRIM(SUBSTITUTE($B1248,CHAR(160)," ")),'Catalog'!$C:$C,0)),""))))</f>
        <v>4415026</v>
      </c>
      <c r="H1248" s="8" t="str">
        <f aca="false">IFERROR(INDEX('TRANS'!$C:$C,MATCH($B1248,'TRANS'!$A:$A,0)),IFERROR(INDEX('Catalog'!$B:$B,MATCH($G1248,'Catalog'!$A:$A,0)),$B1248))</f>
        <v>AC-27L סד לש.כף יד שמאל</v>
      </c>
      <c r="I1248" s="8" t="str">
        <f aca="false">IF($G1248="","Unmatched","Matched")</f>
        <v>Matched</v>
      </c>
    </row>
    <row r="1249" customFormat="false" ht="15" hidden="false" customHeight="false" outlineLevel="0" collapsed="false">
      <c r="A1249" s="8" t="s">
        <v>814</v>
      </c>
      <c r="B1249" s="8" t="s">
        <v>271</v>
      </c>
      <c r="C1249" s="19" t="n">
        <v>2</v>
      </c>
      <c r="D1249" s="19" t="n">
        <v>86.95</v>
      </c>
      <c r="E1249" s="19" t="n">
        <v>2</v>
      </c>
      <c r="F1249" s="19" t="n">
        <v>93.64</v>
      </c>
      <c r="G1249" s="8" t="n">
        <f aca="false">IFERROR(INDEX('TRANS'!$B:$B,MATCH($B1249,'TRANS'!$A:$A,0)),IFERROR(INDEX('TRANS'!$B:$B,MATCH(TRIM(SUBSTITUTE($B1249,CHAR(160)," ")),'TRANS'!$D:$D,0)),IFERROR(INDEX('Catalog'!$A:$A,MATCH($B1249,'Catalog'!$B:$B,0)),IFERROR(INDEX('Catalog'!$A:$A,MATCH(TRIM(SUBSTITUTE($B1249,CHAR(160)," ")),'Catalog'!$C:$C,0)),""))))</f>
        <v>4415027</v>
      </c>
      <c r="H1249" s="8" t="str">
        <f aca="false">IFERROR(INDEX('TRANS'!$C:$C,MATCH($B1249,'TRANS'!$A:$A,0)),IFERROR(INDEX('Catalog'!$B:$B,MATCH($G1249,'Catalog'!$A:$A,0)),$B1249))</f>
        <v>AC-27R סד לש.כף יד ימין</v>
      </c>
      <c r="I1249" s="8" t="str">
        <f aca="false">IF($G1249="","Unmatched","Matched")</f>
        <v>Matched</v>
      </c>
    </row>
    <row r="1250" customFormat="false" ht="15" hidden="false" customHeight="false" outlineLevel="0" collapsed="false">
      <c r="A1250" s="8" t="s">
        <v>814</v>
      </c>
      <c r="B1250" s="8" t="s">
        <v>518</v>
      </c>
      <c r="C1250" s="19" t="n">
        <v>0</v>
      </c>
      <c r="D1250" s="19" t="n">
        <v>0</v>
      </c>
      <c r="E1250" s="19" t="n">
        <v>2</v>
      </c>
      <c r="F1250" s="19" t="n">
        <v>1012.36</v>
      </c>
      <c r="G1250" s="8" t="str">
        <f aca="false">IFERROR(INDEX('TRANS'!$B:$B,MATCH($B1250,'TRANS'!$A:$A,0)),IFERROR(INDEX('TRANS'!$B:$B,MATCH(TRIM(SUBSTITUTE($B1250,CHAR(160)," ")),'TRANS'!$D:$D,0)),IFERROR(INDEX('Catalog'!$A:$A,MATCH($B1250,'Catalog'!$B:$B,0)),IFERROR(INDEX('Catalog'!$A:$A,MATCH(TRIM(SUBSTITUTE($B1250,CHAR(160)," ")),'Catalog'!$C:$C,0)),""))))</f>
        <v/>
      </c>
      <c r="H1250" s="8" t="str">
        <f aca="false">IFERROR(INDEX('TRANS'!$C:$C,MATCH($B1250,'TRANS'!$A:$A,0)),IFERROR(INDEX('Catalog'!$B:$B,MATCH($G1250,'Catalog'!$A:$A,0)),$B1250))</f>
        <v>MSG002S 0</v>
      </c>
      <c r="I1250" s="8" t="str">
        <f aca="false">IF($G1250="","Unmatched","Matched")</f>
        <v>Unmatched</v>
      </c>
    </row>
    <row r="1251" customFormat="false" ht="15" hidden="false" customHeight="false" outlineLevel="0" collapsed="false">
      <c r="A1251" s="8" t="s">
        <v>814</v>
      </c>
      <c r="B1251" s="8" t="s">
        <v>556</v>
      </c>
      <c r="C1251" s="19" t="n">
        <v>3</v>
      </c>
      <c r="D1251" s="19" t="n">
        <v>916.13</v>
      </c>
      <c r="E1251" s="19" t="n">
        <v>1</v>
      </c>
      <c r="F1251" s="19" t="n">
        <v>260</v>
      </c>
      <c r="G1251" s="8" t="str">
        <f aca="false">IFERROR(INDEX('TRANS'!$B:$B,MATCH($B1251,'TRANS'!$A:$A,0)),IFERROR(INDEX('TRANS'!$B:$B,MATCH(TRIM(SUBSTITUTE($B1251,CHAR(160)," ")),'TRANS'!$D:$D,0)),IFERROR(INDEX('Catalog'!$A:$A,MATCH($B1251,'Catalog'!$B:$B,0)),IFERROR(INDEX('Catalog'!$A:$A,MATCH(TRIM(SUBSTITUTE($B1251,CHAR(160)," ")),'Catalog'!$C:$C,0)),""))))</f>
        <v/>
      </c>
      <c r="H1251" s="8" t="str">
        <f aca="false">IFERROR(INDEX('TRANS'!$C:$C,MATCH($B1251,'TRANS'!$A:$A,0)),IFERROR(INDEX('Catalog'!$B:$B,MATCH($G1251,'Catalog'!$A:$A,0)),$B1251))</f>
        <v>N433D L</v>
      </c>
      <c r="I1251" s="8" t="str">
        <f aca="false">IF($G1251="","Unmatched","Matched")</f>
        <v>Unmatched</v>
      </c>
    </row>
    <row r="1252" customFormat="false" ht="15" hidden="false" customHeight="false" outlineLevel="0" collapsed="false">
      <c r="A1252" s="8" t="s">
        <v>814</v>
      </c>
      <c r="B1252" s="8" t="s">
        <v>519</v>
      </c>
      <c r="C1252" s="19" t="n">
        <v>1</v>
      </c>
      <c r="D1252" s="19" t="n">
        <v>328.06</v>
      </c>
      <c r="E1252" s="19" t="n">
        <v>1</v>
      </c>
      <c r="F1252" s="19" t="n">
        <v>260</v>
      </c>
      <c r="G1252" s="8" t="str">
        <f aca="false">IFERROR(INDEX('TRANS'!$B:$B,MATCH($B1252,'TRANS'!$A:$A,0)),IFERROR(INDEX('TRANS'!$B:$B,MATCH(TRIM(SUBSTITUTE($B1252,CHAR(160)," ")),'TRANS'!$D:$D,0)),IFERROR(INDEX('Catalog'!$A:$A,MATCH($B1252,'Catalog'!$B:$B,0)),IFERROR(INDEX('Catalog'!$A:$A,MATCH(TRIM(SUBSTITUTE($B1252,CHAR(160)," ")),'Catalog'!$C:$C,0)),""))))</f>
        <v/>
      </c>
      <c r="H1252" s="8" t="str">
        <f aca="false">IFERROR(INDEX('TRANS'!$C:$C,MATCH($B1252,'TRANS'!$A:$A,0)),IFERROR(INDEX('Catalog'!$B:$B,MATCH($G1252,'Catalog'!$A:$A,0)),$B1252))</f>
        <v>N433D M</v>
      </c>
      <c r="I1252" s="8" t="str">
        <f aca="false">IF($G1252="","Unmatched","Matched")</f>
        <v>Unmatched</v>
      </c>
    </row>
    <row r="1253" customFormat="false" ht="15" hidden="false" customHeight="false" outlineLevel="0" collapsed="false">
      <c r="A1253" s="8" t="s">
        <v>814</v>
      </c>
      <c r="B1253" s="8" t="s">
        <v>607</v>
      </c>
      <c r="C1253" s="19" t="n">
        <v>1</v>
      </c>
      <c r="D1253" s="19" t="n">
        <v>260</v>
      </c>
      <c r="E1253" s="19" t="n">
        <v>0</v>
      </c>
      <c r="F1253" s="19" t="n">
        <v>0</v>
      </c>
      <c r="G1253" s="8" t="str">
        <f aca="false">IFERROR(INDEX('TRANS'!$B:$B,MATCH($B1253,'TRANS'!$A:$A,0)),IFERROR(INDEX('TRANS'!$B:$B,MATCH(TRIM(SUBSTITUTE($B1253,CHAR(160)," ")),'TRANS'!$D:$D,0)),IFERROR(INDEX('Catalog'!$A:$A,MATCH($B1253,'Catalog'!$B:$B,0)),IFERROR(INDEX('Catalog'!$A:$A,MATCH(TRIM(SUBSTITUTE($B1253,CHAR(160)," ")),'Catalog'!$C:$C,0)),""))))</f>
        <v/>
      </c>
      <c r="H1253" s="8" t="str">
        <f aca="false">IFERROR(INDEX('TRANS'!$C:$C,MATCH($B1253,'TRANS'!$A:$A,0)),IFERROR(INDEX('Catalog'!$B:$B,MATCH($G1253,'Catalog'!$A:$A,0)),$B1253))</f>
        <v>N433D XXL</v>
      </c>
      <c r="I1253" s="8" t="str">
        <f aca="false">IF($G1253="","Unmatched","Matched")</f>
        <v>Unmatched</v>
      </c>
    </row>
    <row r="1254" customFormat="false" ht="15" hidden="false" customHeight="false" outlineLevel="0" collapsed="false">
      <c r="A1254" s="8" t="s">
        <v>814</v>
      </c>
      <c r="B1254" s="8" t="s">
        <v>307</v>
      </c>
      <c r="C1254" s="19" t="n">
        <v>0</v>
      </c>
      <c r="D1254" s="19" t="n">
        <v>0</v>
      </c>
      <c r="E1254" s="19" t="n">
        <v>11</v>
      </c>
      <c r="F1254" s="19" t="n">
        <v>1086.43</v>
      </c>
      <c r="G1254" s="8" t="n">
        <f aca="false">IFERROR(INDEX('TRANS'!$B:$B,MATCH($B1254,'TRANS'!$A:$A,0)),IFERROR(INDEX('TRANS'!$B:$B,MATCH(TRIM(SUBSTITUTE($B1254,CHAR(160)," ")),'TRANS'!$D:$D,0)),IFERROR(INDEX('Catalog'!$A:$A,MATCH($B1254,'Catalog'!$B:$B,0)),IFERROR(INDEX('Catalog'!$A:$A,MATCH(TRIM(SUBSTITUTE($B1254,CHAR(160)," ")),'Catalog'!$C:$C,0)),""))))</f>
        <v>4413534</v>
      </c>
      <c r="H1254" s="8" t="str">
        <f aca="false">IFERROR(INDEX('TRANS'!$C:$C,MATCH($B1254,'TRANS'!$A:$A,0)),IFERROR(INDEX('Catalog'!$B:$B,MATCH($G1254,'Catalog'!$A:$A,0)),$B1254))</f>
        <v>SH333 מקבע קרסול</v>
      </c>
      <c r="I1254" s="8" t="str">
        <f aca="false">IF($G1254="","Unmatched","Matched")</f>
        <v>Matched</v>
      </c>
    </row>
    <row r="1255" customFormat="false" ht="15" hidden="false" customHeight="false" outlineLevel="0" collapsed="false">
      <c r="A1255" s="8" t="s">
        <v>814</v>
      </c>
      <c r="B1255" s="8" t="s">
        <v>523</v>
      </c>
      <c r="C1255" s="19" t="n">
        <v>5</v>
      </c>
      <c r="D1255" s="19" t="n">
        <v>600</v>
      </c>
      <c r="E1255" s="19" t="n">
        <v>9</v>
      </c>
      <c r="F1255" s="19" t="n">
        <v>1080</v>
      </c>
      <c r="G1255" s="8" t="n">
        <f aca="false">IFERROR(INDEX('TRANS'!$B:$B,MATCH($B1255,'TRANS'!$A:$A,0)),IFERROR(INDEX('TRANS'!$B:$B,MATCH(TRIM(SUBSTITUTE($B1255,CHAR(160)," ")),'TRANS'!$D:$D,0)),IFERROR(INDEX('Catalog'!$A:$A,MATCH($B1255,'Catalog'!$B:$B,0)),IFERROR(INDEX('Catalog'!$A:$A,MATCH(TRIM(SUBSTITUTE($B1255,CHAR(160)," ")),'Catalog'!$C:$C,0)),""))))</f>
        <v>4422039</v>
      </c>
      <c r="H1255" s="8" t="str">
        <f aca="false">IFERROR(INDEX('TRANS'!$C:$C,MATCH($B1255,'TRANS'!$A:$A,0)),IFERROR(INDEX('Catalog'!$B:$B,MATCH($G1255,'Catalog'!$A:$A,0)),$B1255))</f>
        <v>SH422 3 תומך ברך גנושילד</v>
      </c>
      <c r="I1255" s="8" t="str">
        <f aca="false">IF($G1255="","Unmatched","Matched")</f>
        <v>Matched</v>
      </c>
    </row>
    <row r="1256" customFormat="false" ht="15" hidden="false" customHeight="false" outlineLevel="0" collapsed="false">
      <c r="A1256" s="8" t="s">
        <v>814</v>
      </c>
      <c r="B1256" s="8" t="s">
        <v>524</v>
      </c>
      <c r="C1256" s="19" t="n">
        <v>6</v>
      </c>
      <c r="D1256" s="19" t="n">
        <v>600.01</v>
      </c>
      <c r="E1256" s="19" t="n">
        <v>11</v>
      </c>
      <c r="F1256" s="19" t="n">
        <v>1410.88</v>
      </c>
      <c r="G1256" s="8" t="n">
        <f aca="false">IFERROR(INDEX('TRANS'!$B:$B,MATCH($B1256,'TRANS'!$A:$A,0)),IFERROR(INDEX('TRANS'!$B:$B,MATCH(TRIM(SUBSTITUTE($B1256,CHAR(160)," ")),'TRANS'!$D:$D,0)),IFERROR(INDEX('Catalog'!$A:$A,MATCH($B1256,'Catalog'!$B:$B,0)),IFERROR(INDEX('Catalog'!$A:$A,MATCH(TRIM(SUBSTITUTE($B1256,CHAR(160)," ")),'Catalog'!$C:$C,0)),""))))</f>
        <v>4422040</v>
      </c>
      <c r="H1256" s="8" t="str">
        <f aca="false">IFERROR(INDEX('TRANS'!$C:$C,MATCH($B1256,'TRANS'!$A:$A,0)),IFERROR(INDEX('Catalog'!$B:$B,MATCH($G1256,'Catalog'!$A:$A,0)),$B1256))</f>
        <v>SH422 4 תומך ברך גנושילד</v>
      </c>
      <c r="I1256" s="8" t="str">
        <f aca="false">IF($G1256="","Unmatched","Matched")</f>
        <v>Matched</v>
      </c>
    </row>
    <row r="1257" customFormat="false" ht="15" hidden="false" customHeight="false" outlineLevel="0" collapsed="false">
      <c r="A1257" s="8" t="s">
        <v>814</v>
      </c>
      <c r="B1257" s="8" t="s">
        <v>308</v>
      </c>
      <c r="C1257" s="19" t="n">
        <v>4</v>
      </c>
      <c r="D1257" s="19" t="n">
        <v>480</v>
      </c>
      <c r="E1257" s="19" t="n">
        <v>8</v>
      </c>
      <c r="F1257" s="19" t="n">
        <v>720.01</v>
      </c>
      <c r="G1257" s="8" t="n">
        <f aca="false">IFERROR(INDEX('TRANS'!$B:$B,MATCH($B1257,'TRANS'!$A:$A,0)),IFERROR(INDEX('TRANS'!$B:$B,MATCH(TRIM(SUBSTITUTE($B1257,CHAR(160)," ")),'TRANS'!$D:$D,0)),IFERROR(INDEX('Catalog'!$A:$A,MATCH($B1257,'Catalog'!$B:$B,0)),IFERROR(INDEX('Catalog'!$A:$A,MATCH(TRIM(SUBSTITUTE($B1257,CHAR(160)," ")),'Catalog'!$C:$C,0)),""))))</f>
        <v>4422041</v>
      </c>
      <c r="H1257" s="8" t="str">
        <f aca="false">IFERROR(INDEX('TRANS'!$C:$C,MATCH($B1257,'TRANS'!$A:$A,0)),IFERROR(INDEX('Catalog'!$B:$B,MATCH($G1257,'Catalog'!$A:$A,0)),$B1257))</f>
        <v>SH422 5 תומך ברך גנושילד</v>
      </c>
      <c r="I1257" s="8" t="str">
        <f aca="false">IF($G1257="","Unmatched","Matched")</f>
        <v>Matched</v>
      </c>
    </row>
    <row r="1258" customFormat="false" ht="15" hidden="false" customHeight="false" outlineLevel="0" collapsed="false">
      <c r="A1258" s="8" t="s">
        <v>814</v>
      </c>
      <c r="B1258" s="8" t="s">
        <v>670</v>
      </c>
      <c r="C1258" s="19" t="n">
        <v>0</v>
      </c>
      <c r="D1258" s="19" t="n">
        <v>0</v>
      </c>
      <c r="E1258" s="19" t="n">
        <v>1</v>
      </c>
      <c r="F1258" s="19" t="n">
        <v>115</v>
      </c>
      <c r="G1258" s="8" t="str">
        <f aca="false">IFERROR(INDEX('TRANS'!$B:$B,MATCH($B1258,'TRANS'!$A:$A,0)),IFERROR(INDEX('TRANS'!$B:$B,MATCH(TRIM(SUBSTITUTE($B1258,CHAR(160)," ")),'TRANS'!$D:$D,0)),IFERROR(INDEX('Catalog'!$A:$A,MATCH($B1258,'Catalog'!$B:$B,0)),IFERROR(INDEX('Catalog'!$A:$A,MATCH(TRIM(SUBSTITUTE($B1258,CHAR(160)," ")),'Catalog'!$C:$C,0)),""))))</f>
        <v/>
      </c>
      <c r="H1258" s="8" t="str">
        <f aca="false">IFERROR(INDEX('TRANS'!$C:$C,MATCH($B1258,'TRANS'!$A:$A,0)),IFERROR(INDEX('Catalog'!$B:$B,MATCH($G1258,'Catalog'!$A:$A,0)),$B1258))</f>
        <v>T33 L</v>
      </c>
      <c r="I1258" s="8" t="str">
        <f aca="false">IF($G1258="","Unmatched","Matched")</f>
        <v>Unmatched</v>
      </c>
    </row>
    <row r="1259" customFormat="false" ht="15" hidden="false" customHeight="false" outlineLevel="0" collapsed="false">
      <c r="A1259" s="8" t="s">
        <v>814</v>
      </c>
      <c r="B1259" s="8" t="s">
        <v>785</v>
      </c>
      <c r="C1259" s="19" t="n">
        <v>0</v>
      </c>
      <c r="D1259" s="19" t="n">
        <v>0</v>
      </c>
      <c r="E1259" s="19" t="n">
        <v>1</v>
      </c>
      <c r="F1259" s="19" t="n">
        <v>115</v>
      </c>
      <c r="G1259" s="8" t="str">
        <f aca="false">IFERROR(INDEX('TRANS'!$B:$B,MATCH($B1259,'TRANS'!$A:$A,0)),IFERROR(INDEX('TRANS'!$B:$B,MATCH(TRIM(SUBSTITUTE($B1259,CHAR(160)," ")),'TRANS'!$D:$D,0)),IFERROR(INDEX('Catalog'!$A:$A,MATCH($B1259,'Catalog'!$B:$B,0)),IFERROR(INDEX('Catalog'!$A:$A,MATCH(TRIM(SUBSTITUTE($B1259,CHAR(160)," ")),'Catalog'!$C:$C,0)),""))))</f>
        <v/>
      </c>
      <c r="H1259" s="8" t="str">
        <f aca="false">IFERROR(INDEX('TRANS'!$C:$C,MATCH($B1259,'TRANS'!$A:$A,0)),IFERROR(INDEX('Catalog'!$B:$B,MATCH($G1259,'Catalog'!$A:$A,0)),$B1259))</f>
        <v>T33 S</v>
      </c>
      <c r="I1259" s="8" t="str">
        <f aca="false">IF($G1259="","Unmatched","Matched")</f>
        <v>Unmatched</v>
      </c>
    </row>
    <row r="1260" customFormat="false" ht="15" hidden="false" customHeight="false" outlineLevel="0" collapsed="false">
      <c r="A1260" s="8" t="s">
        <v>814</v>
      </c>
      <c r="B1260" s="8" t="s">
        <v>323</v>
      </c>
      <c r="C1260" s="19" t="n">
        <v>0</v>
      </c>
      <c r="D1260" s="19" t="n">
        <v>0</v>
      </c>
      <c r="E1260" s="19" t="n">
        <v>1</v>
      </c>
      <c r="F1260" s="19" t="n">
        <v>115</v>
      </c>
      <c r="G1260" s="8" t="str">
        <f aca="false">IFERROR(INDEX('TRANS'!$B:$B,MATCH($B1260,'TRANS'!$A:$A,0)),IFERROR(INDEX('TRANS'!$B:$B,MATCH(TRIM(SUBSTITUTE($B1260,CHAR(160)," ")),'TRANS'!$D:$D,0)),IFERROR(INDEX('Catalog'!$A:$A,MATCH($B1260,'Catalog'!$B:$B,0)),IFERROR(INDEX('Catalog'!$A:$A,MATCH(TRIM(SUBSTITUTE($B1260,CHAR(160)," ")),'Catalog'!$C:$C,0)),""))))</f>
        <v/>
      </c>
      <c r="H1260" s="8" t="str">
        <f aca="false">IFERROR(INDEX('TRANS'!$C:$C,MATCH($B1260,'TRANS'!$A:$A,0)),IFERROR(INDEX('Catalog'!$B:$B,MATCH($G1260,'Catalog'!$A:$A,0)),$B1260))</f>
        <v>T33 XL</v>
      </c>
      <c r="I1260" s="8" t="str">
        <f aca="false">IF($G1260="","Unmatched","Matched")</f>
        <v>Unmatched</v>
      </c>
    </row>
    <row r="1261" customFormat="false" ht="15" hidden="false" customHeight="false" outlineLevel="0" collapsed="false">
      <c r="A1261" s="8" t="s">
        <v>814</v>
      </c>
      <c r="B1261" s="8" t="s">
        <v>671</v>
      </c>
      <c r="C1261" s="19" t="n">
        <v>0</v>
      </c>
      <c r="D1261" s="19" t="n">
        <v>0</v>
      </c>
      <c r="E1261" s="19" t="n">
        <v>3</v>
      </c>
      <c r="F1261" s="19" t="n">
        <v>345</v>
      </c>
      <c r="G1261" s="8" t="str">
        <f aca="false">IFERROR(INDEX('TRANS'!$B:$B,MATCH($B1261,'TRANS'!$A:$A,0)),IFERROR(INDEX('TRANS'!$B:$B,MATCH(TRIM(SUBSTITUTE($B1261,CHAR(160)," ")),'TRANS'!$D:$D,0)),IFERROR(INDEX('Catalog'!$A:$A,MATCH($B1261,'Catalog'!$B:$B,0)),IFERROR(INDEX('Catalog'!$A:$A,MATCH(TRIM(SUBSTITUTE($B1261,CHAR(160)," ")),'Catalog'!$C:$C,0)),""))))</f>
        <v/>
      </c>
      <c r="H1261" s="8" t="str">
        <f aca="false">IFERROR(INDEX('TRANS'!$C:$C,MATCH($B1261,'TRANS'!$A:$A,0)),IFERROR(INDEX('Catalog'!$B:$B,MATCH($G1261,'Catalog'!$A:$A,0)),$B1261))</f>
        <v>T33 XXL</v>
      </c>
      <c r="I1261" s="8" t="str">
        <f aca="false">IF($G1261="","Unmatched","Matched")</f>
        <v>Unmatched</v>
      </c>
    </row>
    <row r="1262" customFormat="false" ht="15" hidden="false" customHeight="false" outlineLevel="0" collapsed="false">
      <c r="A1262" s="8" t="s">
        <v>814</v>
      </c>
      <c r="B1262" s="8" t="s">
        <v>447</v>
      </c>
      <c r="C1262" s="19" t="n">
        <v>1</v>
      </c>
      <c r="D1262" s="19" t="n">
        <v>80</v>
      </c>
      <c r="E1262" s="19" t="n">
        <v>0</v>
      </c>
      <c r="F1262" s="19" t="n">
        <v>0</v>
      </c>
      <c r="G1262" s="8" t="str">
        <f aca="false">IFERROR(INDEX('TRANS'!$B:$B,MATCH($B1262,'TRANS'!$A:$A,0)),IFERROR(INDEX('TRANS'!$B:$B,MATCH(TRIM(SUBSTITUTE($B1262,CHAR(160)," ")),'TRANS'!$D:$D,0)),IFERROR(INDEX('Catalog'!$A:$A,MATCH($B1262,'Catalog'!$B:$B,0)),IFERROR(INDEX('Catalog'!$A:$A,MATCH(TRIM(SUBSTITUTE($B1262,CHAR(160)," ")),'Catalog'!$C:$C,0)),""))))</f>
        <v/>
      </c>
      <c r="H1262" s="8" t="str">
        <f aca="false">IFERROR(INDEX('TRANS'!$C:$C,MATCH($B1262,'TRANS'!$A:$A,0)),IFERROR(INDEX('Catalog'!$B:$B,MATCH($G1262,'Catalog'!$A:$A,0)),$B1262))</f>
        <v>T45X L</v>
      </c>
      <c r="I1262" s="8" t="str">
        <f aca="false">IF($G1262="","Unmatched","Matched")</f>
        <v>Unmatched</v>
      </c>
    </row>
    <row r="1263" customFormat="false" ht="15" hidden="false" customHeight="false" outlineLevel="0" collapsed="false">
      <c r="A1263" s="8" t="s">
        <v>814</v>
      </c>
      <c r="B1263" s="8" t="s">
        <v>448</v>
      </c>
      <c r="C1263" s="19" t="n">
        <v>1</v>
      </c>
      <c r="D1263" s="19" t="n">
        <v>80</v>
      </c>
      <c r="E1263" s="19" t="n">
        <v>0</v>
      </c>
      <c r="F1263" s="19" t="n">
        <v>0</v>
      </c>
      <c r="G1263" s="8" t="str">
        <f aca="false">IFERROR(INDEX('TRANS'!$B:$B,MATCH($B1263,'TRANS'!$A:$A,0)),IFERROR(INDEX('TRANS'!$B:$B,MATCH(TRIM(SUBSTITUTE($B1263,CHAR(160)," ")),'TRANS'!$D:$D,0)),IFERROR(INDEX('Catalog'!$A:$A,MATCH($B1263,'Catalog'!$B:$B,0)),IFERROR(INDEX('Catalog'!$A:$A,MATCH(TRIM(SUBSTITUTE($B1263,CHAR(160)," ")),'Catalog'!$C:$C,0)),""))))</f>
        <v/>
      </c>
      <c r="H1263" s="8" t="str">
        <f aca="false">IFERROR(INDEX('TRANS'!$C:$C,MATCH($B1263,'TRANS'!$A:$A,0)),IFERROR(INDEX('Catalog'!$B:$B,MATCH($G1263,'Catalog'!$A:$A,0)),$B1263))</f>
        <v>T45X M</v>
      </c>
      <c r="I1263" s="8" t="str">
        <f aca="false">IF($G1263="","Unmatched","Matched")</f>
        <v>Unmatched</v>
      </c>
    </row>
    <row r="1264" customFormat="false" ht="15" hidden="false" customHeight="false" outlineLevel="0" collapsed="false">
      <c r="A1264" s="8" t="s">
        <v>814</v>
      </c>
      <c r="B1264" s="8" t="s">
        <v>449</v>
      </c>
      <c r="C1264" s="19" t="n">
        <v>1</v>
      </c>
      <c r="D1264" s="19" t="n">
        <v>80</v>
      </c>
      <c r="E1264" s="19" t="n">
        <v>0</v>
      </c>
      <c r="F1264" s="19" t="n">
        <v>0</v>
      </c>
      <c r="G1264" s="8" t="str">
        <f aca="false">IFERROR(INDEX('TRANS'!$B:$B,MATCH($B1264,'TRANS'!$A:$A,0)),IFERROR(INDEX('TRANS'!$B:$B,MATCH(TRIM(SUBSTITUTE($B1264,CHAR(160)," ")),'TRANS'!$D:$D,0)),IFERROR(INDEX('Catalog'!$A:$A,MATCH($B1264,'Catalog'!$B:$B,0)),IFERROR(INDEX('Catalog'!$A:$A,MATCH(TRIM(SUBSTITUTE($B1264,CHAR(160)," ")),'Catalog'!$C:$C,0)),""))))</f>
        <v/>
      </c>
      <c r="H1264" s="8" t="str">
        <f aca="false">IFERROR(INDEX('TRANS'!$C:$C,MATCH($B1264,'TRANS'!$A:$A,0)),IFERROR(INDEX('Catalog'!$B:$B,MATCH($G1264,'Catalog'!$A:$A,0)),$B1264))</f>
        <v>T45X S</v>
      </c>
      <c r="I1264" s="8" t="str">
        <f aca="false">IF($G1264="","Unmatched","Matched")</f>
        <v>Unmatched</v>
      </c>
    </row>
    <row r="1265" customFormat="false" ht="15" hidden="false" customHeight="false" outlineLevel="0" collapsed="false">
      <c r="A1265" s="8" t="s">
        <v>814</v>
      </c>
      <c r="B1265" s="8" t="s">
        <v>450</v>
      </c>
      <c r="C1265" s="19" t="n">
        <v>1</v>
      </c>
      <c r="D1265" s="19" t="n">
        <v>80</v>
      </c>
      <c r="E1265" s="19" t="n">
        <v>0</v>
      </c>
      <c r="F1265" s="19" t="n">
        <v>0</v>
      </c>
      <c r="G1265" s="8" t="n">
        <f aca="false">IFERROR(INDEX('TRANS'!$B:$B,MATCH($B1265,'TRANS'!$A:$A,0)),IFERROR(INDEX('TRANS'!$B:$B,MATCH(TRIM(SUBSTITUTE($B1265,CHAR(160)," ")),'TRANS'!$D:$D,0)),IFERROR(INDEX('Catalog'!$A:$A,MATCH($B1265,'Catalog'!$B:$B,0)),IFERROR(INDEX('Catalog'!$A:$A,MATCH(TRIM(SUBSTITUTE($B1265,CHAR(160)," ")),'Catalog'!$C:$C,0)),""))))</f>
        <v>4413260</v>
      </c>
      <c r="H1265" s="8" t="str">
        <f aca="false">IFERROR(INDEX('TRANS'!$C:$C,MATCH($B1265,'TRANS'!$A:$A,0)),IFERROR(INDEX('Catalog'!$B:$B,MATCH($G1265,'Catalog'!$A:$A,0)),$B1265))</f>
        <v>T45X-XXLמגן ברך רגיל</v>
      </c>
      <c r="I1265" s="8" t="str">
        <f aca="false">IF($G1265="","Unmatched","Matched")</f>
        <v>Matched</v>
      </c>
    </row>
    <row r="1266" customFormat="false" ht="15" hidden="false" customHeight="false" outlineLevel="0" collapsed="false">
      <c r="A1266" s="8" t="s">
        <v>814</v>
      </c>
      <c r="B1266" s="8" t="s">
        <v>452</v>
      </c>
      <c r="C1266" s="19" t="n">
        <v>1</v>
      </c>
      <c r="D1266" s="19" t="n">
        <v>129.99</v>
      </c>
      <c r="E1266" s="19" t="n">
        <v>0</v>
      </c>
      <c r="F1266" s="19" t="n">
        <v>0</v>
      </c>
      <c r="G1266" s="8" t="n">
        <f aca="false">IFERROR(INDEX('TRANS'!$B:$B,MATCH($B1266,'TRANS'!$A:$A,0)),IFERROR(INDEX('TRANS'!$B:$B,MATCH(TRIM(SUBSTITUTE($B1266,CHAR(160)," ")),'TRANS'!$D:$D,0)),IFERROR(INDEX('Catalog'!$A:$A,MATCH($B1266,'Catalog'!$B:$B,0)),IFERROR(INDEX('Catalog'!$A:$A,MATCH(TRIM(SUBSTITUTE($B1266,CHAR(160)," ")),'Catalog'!$C:$C,0)),""))))</f>
        <v>4422005</v>
      </c>
      <c r="H1266" s="8" t="str">
        <f aca="false">IFERROR(INDEX('TRANS'!$C:$C,MATCH($B1266,'TRANS'!$A:$A,0)),IFERROR(INDEX('Catalog'!$B:$B,MATCH($G1266,'Catalog'!$A:$A,0)),$B1266))</f>
        <v>T78 M תומך זרוע וכתף</v>
      </c>
      <c r="I1266" s="8" t="str">
        <f aca="false">IF($G1266="","Unmatched","Matched")</f>
        <v>Matched</v>
      </c>
    </row>
    <row r="1267" customFormat="false" ht="15" hidden="false" customHeight="false" outlineLevel="0" collapsed="false">
      <c r="A1267" s="8" t="s">
        <v>814</v>
      </c>
      <c r="B1267" s="8" t="s">
        <v>580</v>
      </c>
      <c r="C1267" s="19" t="n">
        <v>1</v>
      </c>
      <c r="D1267" s="19" t="n">
        <v>130</v>
      </c>
      <c r="E1267" s="19" t="n">
        <v>0</v>
      </c>
      <c r="F1267" s="19" t="n">
        <v>0</v>
      </c>
      <c r="G1267" s="8" t="n">
        <f aca="false">IFERROR(INDEX('TRANS'!$B:$B,MATCH($B1267,'TRANS'!$A:$A,0)),IFERROR(INDEX('TRANS'!$B:$B,MATCH(TRIM(SUBSTITUTE($B1267,CHAR(160)," ")),'TRANS'!$D:$D,0)),IFERROR(INDEX('Catalog'!$A:$A,MATCH($B1267,'Catalog'!$B:$B,0)),IFERROR(INDEX('Catalog'!$A:$A,MATCH(TRIM(SUBSTITUTE($B1267,CHAR(160)," ")),'Catalog'!$C:$C,0)),""))))</f>
        <v>4422004</v>
      </c>
      <c r="H1267" s="8" t="str">
        <f aca="false">IFERROR(INDEX('TRANS'!$C:$C,MATCH($B1267,'TRANS'!$A:$A,0)),IFERROR(INDEX('Catalog'!$B:$B,MATCH($G1267,'Catalog'!$A:$A,0)),$B1267))</f>
        <v>T78 S תומך זרוע וכתף</v>
      </c>
      <c r="I1267" s="8" t="str">
        <f aca="false">IF($G1267="","Unmatched","Matched")</f>
        <v>Matched</v>
      </c>
    </row>
    <row r="1268" customFormat="false" ht="15" hidden="false" customHeight="false" outlineLevel="0" collapsed="false">
      <c r="A1268" s="8" t="s">
        <v>814</v>
      </c>
      <c r="B1268" s="8" t="s">
        <v>248</v>
      </c>
      <c r="C1268" s="19" t="n">
        <v>73</v>
      </c>
      <c r="D1268" s="19" t="n">
        <v>2258.97</v>
      </c>
      <c r="E1268" s="19" t="n">
        <v>50</v>
      </c>
      <c r="F1268" s="19" t="n">
        <v>1500</v>
      </c>
      <c r="G1268" s="8" t="n">
        <f aca="false">IFERROR(INDEX('TRANS'!$B:$B,MATCH($B1268,'TRANS'!$A:$A,0)),IFERROR(INDEX('TRANS'!$B:$B,MATCH(TRIM(SUBSTITUTE($B1268,CHAR(160)," ")),'TRANS'!$D:$D,0)),IFERROR(INDEX('Catalog'!$A:$A,MATCH($B1268,'Catalog'!$B:$B,0)),IFERROR(INDEX('Catalog'!$A:$A,MATCH(TRIM(SUBSTITUTE($B1268,CHAR(160)," ")),'Catalog'!$C:$C,0)),""))))</f>
        <v>4409016</v>
      </c>
      <c r="H1268" s="8" t="str">
        <f aca="false">IFERROR(INDEX('TRANS'!$C:$C,MATCH($B1268,'TRANS'!$A:$A,0)),IFERROR(INDEX('Catalog'!$B:$B,MATCH($G1268,'Catalog'!$A:$A,0)),$B1268))</f>
        <v>808KT-C        טייפ קינזיולוגי</v>
      </c>
      <c r="I1268" s="8" t="str">
        <f aca="false">IF($G1268="","Unmatched","Matched")</f>
        <v>Matched</v>
      </c>
    </row>
    <row r="1269" customFormat="false" ht="15" hidden="false" customHeight="false" outlineLevel="0" collapsed="false">
      <c r="A1269" s="8" t="s">
        <v>814</v>
      </c>
      <c r="B1269" s="8" t="s">
        <v>770</v>
      </c>
      <c r="C1269" s="19" t="n">
        <v>1</v>
      </c>
      <c r="D1269" s="19" t="n">
        <v>47.23</v>
      </c>
      <c r="E1269" s="19" t="n">
        <v>15</v>
      </c>
      <c r="F1269" s="19" t="n">
        <v>450</v>
      </c>
      <c r="G1269" s="8" t="str">
        <f aca="false">IFERROR(INDEX('TRANS'!$B:$B,MATCH($B1269,'TRANS'!$A:$A,0)),IFERROR(INDEX('TRANS'!$B:$B,MATCH(TRIM(SUBSTITUTE($B1269,CHAR(160)," ")),'TRANS'!$D:$D,0)),IFERROR(INDEX('Catalog'!$A:$A,MATCH($B1269,'Catalog'!$B:$B,0)),IFERROR(INDEX('Catalog'!$A:$A,MATCH(TRIM(SUBSTITUTE($B1269,CHAR(160)," ")),'Catalog'!$C:$C,0)),""))))</f>
        <v/>
      </c>
      <c r="H1269" s="8" t="str">
        <f aca="false">IFERROR(INDEX('TRANS'!$C:$C,MATCH($B1269,'TRANS'!$A:$A,0)),IFERROR(INDEX('Catalog'!$B:$B,MATCH($G1269,'Catalog'!$A:$A,0)),$B1269))</f>
        <v>808KTP-B</v>
      </c>
      <c r="I1269" s="8" t="str">
        <f aca="false">IF($G1269="","Unmatched","Matched")</f>
        <v>Unmatched</v>
      </c>
    </row>
    <row r="1270" customFormat="false" ht="15" hidden="false" customHeight="false" outlineLevel="0" collapsed="false">
      <c r="A1270" s="8" t="s">
        <v>814</v>
      </c>
      <c r="B1270" s="8" t="s">
        <v>508</v>
      </c>
      <c r="C1270" s="19" t="n">
        <v>1</v>
      </c>
      <c r="D1270" s="19" t="n">
        <v>47.23</v>
      </c>
      <c r="E1270" s="19" t="n">
        <v>16</v>
      </c>
      <c r="F1270" s="19" t="n">
        <v>497.23</v>
      </c>
      <c r="G1270" s="8" t="str">
        <f aca="false">IFERROR(INDEX('TRANS'!$B:$B,MATCH($B1270,'TRANS'!$A:$A,0)),IFERROR(INDEX('TRANS'!$B:$B,MATCH(TRIM(SUBSTITUTE($B1270,CHAR(160)," ")),'TRANS'!$D:$D,0)),IFERROR(INDEX('Catalog'!$A:$A,MATCH($B1270,'Catalog'!$B:$B,0)),IFERROR(INDEX('Catalog'!$A:$A,MATCH(TRIM(SUBSTITUTE($B1270,CHAR(160)," ")),'Catalog'!$C:$C,0)),""))))</f>
        <v/>
      </c>
      <c r="H1270" s="8" t="str">
        <f aca="false">IFERROR(INDEX('TRANS'!$C:$C,MATCH($B1270,'TRANS'!$A:$A,0)),IFERROR(INDEX('Catalog'!$B:$B,MATCH($G1270,'Catalog'!$A:$A,0)),$B1270))</f>
        <v>808KTP-BL</v>
      </c>
      <c r="I1270" s="8" t="str">
        <f aca="false">IF($G1270="","Unmatched","Matched")</f>
        <v>Unmatched</v>
      </c>
    </row>
    <row r="1271" customFormat="false" ht="15" hidden="false" customHeight="false" outlineLevel="0" collapsed="false">
      <c r="A1271" s="8" t="s">
        <v>814</v>
      </c>
      <c r="B1271" s="8" t="s">
        <v>202</v>
      </c>
      <c r="C1271" s="19" t="n">
        <v>0</v>
      </c>
      <c r="D1271" s="19" t="n">
        <v>0</v>
      </c>
      <c r="E1271" s="19" t="n">
        <v>4</v>
      </c>
      <c r="F1271" s="19" t="n">
        <v>252.93</v>
      </c>
      <c r="G1271" s="8" t="n">
        <f aca="false">IFERROR(INDEX('TRANS'!$B:$B,MATCH($B1271,'TRANS'!$A:$A,0)),IFERROR(INDEX('TRANS'!$B:$B,MATCH(TRIM(SUBSTITUTE($B1271,CHAR(160)," ")),'TRANS'!$D:$D,0)),IFERROR(INDEX('Catalog'!$A:$A,MATCH($B1271,'Catalog'!$B:$B,0)),IFERROR(INDEX('Catalog'!$A:$A,MATCH(TRIM(SUBSTITUTE($B1271,CHAR(160)," ")),'Catalog'!$C:$C,0)),""))))</f>
        <v>4403043</v>
      </c>
      <c r="H1271" s="8" t="str">
        <f aca="false">IFERROR(INDEX('TRANS'!$C:$C,MATCH($B1271,'TRANS'!$A:$A,0)),IFERROR(INDEX('Catalog'!$B:$B,MATCH($G1271,'Catalog'!$A:$A,0)),$B1271))</f>
        <v>397A-גרבי טיסה אנטי בקטרי43-46</v>
      </c>
      <c r="I1271" s="8" t="str">
        <f aca="false">IF($G1271="","Unmatched","Matched")</f>
        <v>Matched</v>
      </c>
    </row>
    <row r="1272" customFormat="false" ht="15" hidden="false" customHeight="false" outlineLevel="0" collapsed="false">
      <c r="A1272" s="8" t="s">
        <v>814</v>
      </c>
      <c r="B1272" s="8" t="s">
        <v>276</v>
      </c>
      <c r="C1272" s="19" t="n">
        <v>0</v>
      </c>
      <c r="D1272" s="19" t="n">
        <v>0</v>
      </c>
      <c r="E1272" s="19" t="n">
        <v>7</v>
      </c>
      <c r="F1272" s="19" t="n">
        <v>525.69</v>
      </c>
      <c r="G1272" s="8" t="n">
        <f aca="false">IFERROR(INDEX('TRANS'!$B:$B,MATCH($B1272,'TRANS'!$A:$A,0)),IFERROR(INDEX('TRANS'!$B:$B,MATCH(TRIM(SUBSTITUTE($B1272,CHAR(160)," ")),'TRANS'!$D:$D,0)),IFERROR(INDEX('Catalog'!$A:$A,MATCH($B1272,'Catalog'!$B:$B,0)),IFERROR(INDEX('Catalog'!$A:$A,MATCH(TRIM(SUBSTITUTE($B1272,CHAR(160)," ")),'Catalog'!$C:$C,0)),""))))</f>
        <v>4413456</v>
      </c>
      <c r="H1272" s="8" t="str">
        <f aca="false">IFERROR(INDEX('TRANS'!$C:$C,MATCH($B1272,'TRANS'!$A:$A,0)),IFERROR(INDEX('Catalog'!$B:$B,MATCH($G1272,'Catalog'!$A:$A,0)),$B1272))</f>
        <v>AC75 XXL  מיישר כתפיים אקטיב</v>
      </c>
      <c r="I1272" s="8" t="str">
        <f aca="false">IF($G1272="","Unmatched","Matched")</f>
        <v>Matched</v>
      </c>
    </row>
    <row r="1273" customFormat="false" ht="15" hidden="false" customHeight="false" outlineLevel="0" collapsed="false">
      <c r="A1273" s="8" t="s">
        <v>814</v>
      </c>
      <c r="B1273" s="8" t="s">
        <v>54</v>
      </c>
      <c r="C1273" s="19" t="n">
        <v>28</v>
      </c>
      <c r="D1273" s="19" t="n">
        <v>1993.56</v>
      </c>
      <c r="E1273" s="19" t="n">
        <v>30</v>
      </c>
      <c r="F1273" s="19" t="n">
        <v>2208.95</v>
      </c>
      <c r="G1273" s="8" t="n">
        <f aca="false">IFERROR(INDEX('TRANS'!$B:$B,MATCH($B1273,'TRANS'!$A:$A,0)),IFERROR(INDEX('TRANS'!$B:$B,MATCH(TRIM(SUBSTITUTE($B1273,CHAR(160)," ")),'TRANS'!$D:$D,0)),IFERROR(INDEX('Catalog'!$A:$A,MATCH($B1273,'Catalog'!$B:$B,0)),IFERROR(INDEX('Catalog'!$A:$A,MATCH(TRIM(SUBSTITUTE($B1273,CHAR(160)," ")),'Catalog'!$C:$C,0)),""))))</f>
        <v>4413453</v>
      </c>
      <c r="H1273" s="8" t="str">
        <f aca="false">IFERROR(INDEX('TRANS'!$C:$C,MATCH($B1273,'TRANS'!$A:$A,0)),IFERROR(INDEX('Catalog'!$B:$B,MATCH($G1273,'Catalog'!$A:$A,0)),$B1273))</f>
        <v>AC75 מישר כתפיים אקטיב</v>
      </c>
      <c r="I1273" s="8" t="str">
        <f aca="false">IF($G1273="","Unmatched","Matched")</f>
        <v>Matched</v>
      </c>
    </row>
    <row r="1274" customFormat="false" ht="15" hidden="false" customHeight="false" outlineLevel="0" collapsed="false">
      <c r="A1274" s="8" t="s">
        <v>814</v>
      </c>
      <c r="B1274" s="8" t="s">
        <v>57</v>
      </c>
      <c r="C1274" s="19" t="n">
        <v>9</v>
      </c>
      <c r="D1274" s="19" t="n">
        <v>246.2</v>
      </c>
      <c r="E1274" s="19" t="n">
        <v>5</v>
      </c>
      <c r="F1274" s="19" t="n">
        <v>150</v>
      </c>
      <c r="G1274" s="8" t="str">
        <f aca="false">IFERROR(INDEX('TRANS'!$B:$B,MATCH($B1274,'TRANS'!$A:$A,0)),IFERROR(INDEX('TRANS'!$B:$B,MATCH(TRIM(SUBSTITUTE($B1274,CHAR(160)," ")),'TRANS'!$D:$D,0)),IFERROR(INDEX('Catalog'!$A:$A,MATCH($B1274,'Catalog'!$B:$B,0)),IFERROR(INDEX('Catalog'!$A:$A,MATCH(TRIM(SUBSTITUTE($B1274,CHAR(160)," ")),'Catalog'!$C:$C,0)),""))))</f>
        <v/>
      </c>
      <c r="H1274" s="8" t="str">
        <f aca="false">IFERROR(INDEX('TRANS'!$C:$C,MATCH($B1274,'TRANS'!$A:$A,0)),IFERROR(INDEX('Catalog'!$B:$B,MATCH($G1274,'Catalog'!$A:$A,0)),$B1274))</f>
        <v>M93</v>
      </c>
      <c r="I1274" s="8" t="str">
        <f aca="false">IF($G1274="","Unmatched","Matched")</f>
        <v>Unmatched</v>
      </c>
    </row>
    <row r="1275" customFormat="false" ht="15" hidden="false" customHeight="false" outlineLevel="0" collapsed="false">
      <c r="A1275" s="8" t="s">
        <v>814</v>
      </c>
      <c r="B1275" s="8" t="s">
        <v>344</v>
      </c>
      <c r="C1275" s="19" t="n">
        <v>1</v>
      </c>
      <c r="D1275" s="19" t="n">
        <v>156.98</v>
      </c>
      <c r="E1275" s="19" t="n">
        <v>0</v>
      </c>
      <c r="F1275" s="19" t="n">
        <v>0</v>
      </c>
      <c r="G1275" s="8" t="n">
        <f aca="false">IFERROR(INDEX('TRANS'!$B:$B,MATCH($B1275,'TRANS'!$A:$A,0)),IFERROR(INDEX('TRANS'!$B:$B,MATCH(TRIM(SUBSTITUTE($B1275,CHAR(160)," ")),'TRANS'!$D:$D,0)),IFERROR(INDEX('Catalog'!$A:$A,MATCH($B1275,'Catalog'!$B:$B,0)),IFERROR(INDEX('Catalog'!$A:$A,MATCH(TRIM(SUBSTITUTE($B1275,CHAR(160)," ")),'Catalog'!$C:$C,0)),""))))</f>
        <v>4408153</v>
      </c>
      <c r="H1275" s="8" t="str">
        <f aca="false">IFERROR(INDEX('TRANS'!$C:$C,MATCH($B1275,'TRANS'!$A:$A,0)),IFERROR(INDEX('Catalog'!$B:$B,MATCH($G1275,'Catalog'!$A:$A,0)),$B1275))</f>
        <v>11TO XLחגורה למנותחי בית החזה</v>
      </c>
      <c r="I1275" s="8" t="str">
        <f aca="false">IF($G1275="","Unmatched","Matched")</f>
        <v>Matched</v>
      </c>
    </row>
    <row r="1276" customFormat="false" ht="15" hidden="false" customHeight="false" outlineLevel="0" collapsed="false">
      <c r="A1276" s="8" t="s">
        <v>814</v>
      </c>
      <c r="B1276" s="8" t="s">
        <v>76</v>
      </c>
      <c r="C1276" s="19" t="n">
        <v>1</v>
      </c>
      <c r="D1276" s="19" t="n">
        <v>156.98</v>
      </c>
      <c r="E1276" s="19" t="n">
        <v>0</v>
      </c>
      <c r="F1276" s="19" t="n">
        <v>0</v>
      </c>
      <c r="G1276" s="8" t="n">
        <f aca="false">IFERROR(INDEX('TRANS'!$B:$B,MATCH($B1276,'TRANS'!$A:$A,0)),IFERROR(INDEX('TRANS'!$B:$B,MATCH(TRIM(SUBSTITUTE($B1276,CHAR(160)," ")),'TRANS'!$D:$D,0)),IFERROR(INDEX('Catalog'!$A:$A,MATCH($B1276,'Catalog'!$B:$B,0)),IFERROR(INDEX('Catalog'!$A:$A,MATCH(TRIM(SUBSTITUTE($B1276,CHAR(160)," ")),'Catalog'!$C:$C,0)),""))))</f>
        <v>4408154</v>
      </c>
      <c r="H1276" s="8" t="str">
        <f aca="false">IFERROR(INDEX('TRANS'!$C:$C,MATCH($B1276,'TRANS'!$A:$A,0)),IFERROR(INDEX('Catalog'!$B:$B,MATCH($G1276,'Catalog'!$A:$A,0)),$B1276))</f>
        <v>11TO XXLחגורה למנותחי בית החזה</v>
      </c>
      <c r="I1276" s="8" t="str">
        <f aca="false">IF($G1276="","Unmatched","Matched")</f>
        <v>Matched</v>
      </c>
    </row>
    <row r="1277" customFormat="false" ht="15" hidden="false" customHeight="false" outlineLevel="0" collapsed="false">
      <c r="A1277" s="8" t="s">
        <v>814</v>
      </c>
      <c r="B1277" s="8" t="s">
        <v>636</v>
      </c>
      <c r="C1277" s="19" t="n">
        <v>7</v>
      </c>
      <c r="D1277" s="19" t="n">
        <v>721.5</v>
      </c>
      <c r="E1277" s="19" t="n">
        <v>6</v>
      </c>
      <c r="F1277" s="19" t="n">
        <v>604.69</v>
      </c>
      <c r="G1277" s="8" t="n">
        <f aca="false">IFERROR(INDEX('TRANS'!$B:$B,MATCH($B1277,'TRANS'!$A:$A,0)),IFERROR(INDEX('TRANS'!$B:$B,MATCH(TRIM(SUBSTITUTE($B1277,CHAR(160)," ")),'TRANS'!$D:$D,0)),IFERROR(INDEX('Catalog'!$A:$A,MATCH($B1277,'Catalog'!$B:$B,0)),IFERROR(INDEX('Catalog'!$A:$A,MATCH(TRIM(SUBSTITUTE($B1277,CHAR(160)," ")),'Catalog'!$C:$C,0)),""))))</f>
        <v>4415003</v>
      </c>
      <c r="H1277" s="8" t="str">
        <f aca="false">IFERROR(INDEX('TRANS'!$C:$C,MATCH($B1277,'TRANS'!$A:$A,0)),IFERROR(INDEX('Catalog'!$B:$B,MATCH($G1277,'Catalog'!$A:$A,0)),$B1277))</f>
        <v>26 XL סד ליד דו צדדי לאחר שבר</v>
      </c>
      <c r="I1277" s="8" t="str">
        <f aca="false">IF($G1277="","Unmatched","Matched")</f>
        <v>Matched</v>
      </c>
    </row>
    <row r="1278" customFormat="false" ht="15" hidden="false" customHeight="false" outlineLevel="0" collapsed="false">
      <c r="A1278" s="8" t="s">
        <v>814</v>
      </c>
      <c r="B1278" s="8" t="s">
        <v>107</v>
      </c>
      <c r="C1278" s="19" t="n">
        <v>1</v>
      </c>
      <c r="D1278" s="19" t="n">
        <v>103.07</v>
      </c>
      <c r="E1278" s="19" t="n">
        <v>3</v>
      </c>
      <c r="F1278" s="19" t="n">
        <v>309.22</v>
      </c>
      <c r="G1278" s="8" t="n">
        <f aca="false">IFERROR(INDEX('TRANS'!$B:$B,MATCH($B1278,'TRANS'!$A:$A,0)),IFERROR(INDEX('TRANS'!$B:$B,MATCH(TRIM(SUBSTITUTE($B1278,CHAR(160)," ")),'TRANS'!$D:$D,0)),IFERROR(INDEX('Catalog'!$A:$A,MATCH($B1278,'Catalog'!$B:$B,0)),IFERROR(INDEX('Catalog'!$A:$A,MATCH(TRIM(SUBSTITUTE($B1278,CHAR(160)," ")),'Catalog'!$C:$C,0)),""))))</f>
        <v>4415004</v>
      </c>
      <c r="H1278" s="8" t="str">
        <f aca="false">IFERROR(INDEX('TRANS'!$C:$C,MATCH($B1278,'TRANS'!$A:$A,0)),IFERROR(INDEX('Catalog'!$B:$B,MATCH($G1278,'Catalog'!$A:$A,0)),$B1278))</f>
        <v>26 XXL סד ליד דו צדדי לאחר שבר</v>
      </c>
      <c r="I1278" s="8" t="str">
        <f aca="false">IF($G1278="","Unmatched","Matched")</f>
        <v>Matched</v>
      </c>
    </row>
    <row r="1279" customFormat="false" ht="15" hidden="false" customHeight="false" outlineLevel="0" collapsed="false">
      <c r="A1279" s="8" t="s">
        <v>814</v>
      </c>
      <c r="B1279" s="8" t="s">
        <v>626</v>
      </c>
      <c r="C1279" s="19" t="n">
        <v>2</v>
      </c>
      <c r="D1279" s="19" t="n">
        <v>140.52</v>
      </c>
      <c r="E1279" s="19" t="n">
        <v>0</v>
      </c>
      <c r="F1279" s="19" t="n">
        <v>0</v>
      </c>
      <c r="G1279" s="8" t="n">
        <f aca="false">IFERROR(INDEX('TRANS'!$B:$B,MATCH($B1279,'TRANS'!$A:$A,0)),IFERROR(INDEX('TRANS'!$B:$B,MATCH(TRIM(SUBSTITUTE($B1279,CHAR(160)," ")),'TRANS'!$D:$D,0)),IFERROR(INDEX('Catalog'!$A:$A,MATCH($B1279,'Catalog'!$B:$B,0)),IFERROR(INDEX('Catalog'!$A:$A,MATCH(TRIM(SUBSTITUTE($B1279,CHAR(160)," ")),'Catalog'!$C:$C,0)),""))))</f>
        <v>4413303</v>
      </c>
      <c r="H1279" s="8" t="str">
        <f aca="false">IFERROR(INDEX('TRANS'!$C:$C,MATCH($B1279,'TRANS'!$A:$A,0)),IFERROR(INDEX('Catalog'!$B:$B,MATCH($G1279,'Catalog'!$A:$A,0)),$B1279))</f>
        <v>34+XXL מ.קרסול+עכב סגור+רצועות</v>
      </c>
      <c r="I1279" s="8" t="str">
        <f aca="false">IF($G1279="","Unmatched","Matched")</f>
        <v>Matched</v>
      </c>
    </row>
    <row r="1280" customFormat="false" ht="15" hidden="false" customHeight="false" outlineLevel="0" collapsed="false">
      <c r="A1280" s="8" t="s">
        <v>814</v>
      </c>
      <c r="B1280" s="8" t="s">
        <v>479</v>
      </c>
      <c r="C1280" s="19" t="n">
        <v>3</v>
      </c>
      <c r="D1280" s="19" t="n">
        <v>355.63</v>
      </c>
      <c r="E1280" s="19" t="n">
        <v>0</v>
      </c>
      <c r="F1280" s="19" t="n">
        <v>0</v>
      </c>
      <c r="G1280" s="8" t="n">
        <f aca="false">IFERROR(INDEX('TRANS'!$B:$B,MATCH($B1280,'TRANS'!$A:$A,0)),IFERROR(INDEX('TRANS'!$B:$B,MATCH(TRIM(SUBSTITUTE($B1280,CHAR(160)," ")),'TRANS'!$D:$D,0)),IFERROR(INDEX('Catalog'!$A:$A,MATCH($B1280,'Catalog'!$B:$B,0)),IFERROR(INDEX('Catalog'!$A:$A,MATCH(TRIM(SUBSTITUTE($B1280,CHAR(160)," ")),'Catalog'!$C:$C,0)),""))))</f>
        <v>4413523</v>
      </c>
      <c r="H1280" s="8" t="str">
        <f aca="false">IFERROR(INDEX('TRANS'!$C:$C,MATCH($B1280,'TRANS'!$A:$A,0)),IFERROR(INDEX('Catalog'!$B:$B,MATCH($G1280,'Catalog'!$A:$A,0)),$B1280))</f>
        <v>35-38 מדרסי אפיק ג'ל נוחות</v>
      </c>
      <c r="I1280" s="8" t="str">
        <f aca="false">IF($G1280="","Unmatched","Matched")</f>
        <v>Matched</v>
      </c>
    </row>
    <row r="1281" customFormat="false" ht="15" hidden="false" customHeight="false" outlineLevel="0" collapsed="false">
      <c r="A1281" s="8" t="s">
        <v>814</v>
      </c>
      <c r="B1281" s="8" t="s">
        <v>480</v>
      </c>
      <c r="C1281" s="19" t="n">
        <v>4</v>
      </c>
      <c r="D1281" s="19" t="n">
        <v>455.36</v>
      </c>
      <c r="E1281" s="19" t="n">
        <v>0</v>
      </c>
      <c r="F1281" s="19" t="n">
        <v>0</v>
      </c>
      <c r="G1281" s="8" t="n">
        <f aca="false">IFERROR(INDEX('TRANS'!$B:$B,MATCH($B1281,'TRANS'!$A:$A,0)),IFERROR(INDEX('TRANS'!$B:$B,MATCH(TRIM(SUBSTITUTE($B1281,CHAR(160)," ")),'TRANS'!$D:$D,0)),IFERROR(INDEX('Catalog'!$A:$A,MATCH($B1281,'Catalog'!$B:$B,0)),IFERROR(INDEX('Catalog'!$A:$A,MATCH(TRIM(SUBSTITUTE($B1281,CHAR(160)," ")),'Catalog'!$C:$C,0)),""))))</f>
        <v>4413524</v>
      </c>
      <c r="H1281" s="8" t="str">
        <f aca="false">IFERROR(INDEX('TRANS'!$C:$C,MATCH($B1281,'TRANS'!$A:$A,0)),IFERROR(INDEX('Catalog'!$B:$B,MATCH($G1281,'Catalog'!$A:$A,0)),$B1281))</f>
        <v>39-42 מדרסי אפיק ג'ל נוחות</v>
      </c>
      <c r="I1281" s="8" t="str">
        <f aca="false">IF($G1281="","Unmatched","Matched")</f>
        <v>Matched</v>
      </c>
    </row>
    <row r="1282" customFormat="false" ht="15" hidden="false" customHeight="false" outlineLevel="0" collapsed="false">
      <c r="A1282" s="8" t="s">
        <v>814</v>
      </c>
      <c r="B1282" s="8" t="s">
        <v>481</v>
      </c>
      <c r="C1282" s="19" t="n">
        <v>4</v>
      </c>
      <c r="D1282" s="19" t="n">
        <v>455.36</v>
      </c>
      <c r="E1282" s="19" t="n">
        <v>0</v>
      </c>
      <c r="F1282" s="19" t="n">
        <v>0</v>
      </c>
      <c r="G1282" s="8" t="n">
        <f aca="false">IFERROR(INDEX('TRANS'!$B:$B,MATCH($B1282,'TRANS'!$A:$A,0)),IFERROR(INDEX('TRANS'!$B:$B,MATCH(TRIM(SUBSTITUTE($B1282,CHAR(160)," ")),'TRANS'!$D:$D,0)),IFERROR(INDEX('Catalog'!$A:$A,MATCH($B1282,'Catalog'!$B:$B,0)),IFERROR(INDEX('Catalog'!$A:$A,MATCH(TRIM(SUBSTITUTE($B1282,CHAR(160)," ")),'Catalog'!$C:$C,0)),""))))</f>
        <v>4413525</v>
      </c>
      <c r="H1282" s="8" t="str">
        <f aca="false">IFERROR(INDEX('TRANS'!$C:$C,MATCH($B1282,'TRANS'!$A:$A,0)),IFERROR(INDEX('Catalog'!$B:$B,MATCH($G1282,'Catalog'!$A:$A,0)),$B1282))</f>
        <v>43-47 מדרסי אפיק ג'ל נוחות</v>
      </c>
      <c r="I1282" s="8" t="str">
        <f aca="false">IF($G1282="","Unmatched","Matched")</f>
        <v>Matched</v>
      </c>
    </row>
    <row r="1283" customFormat="false" ht="15" hidden="false" customHeight="false" outlineLevel="0" collapsed="false">
      <c r="A1283" s="8" t="s">
        <v>814</v>
      </c>
      <c r="B1283" s="8" t="s">
        <v>482</v>
      </c>
      <c r="C1283" s="19" t="n">
        <v>4</v>
      </c>
      <c r="D1283" s="19" t="n">
        <v>474.15</v>
      </c>
      <c r="E1283" s="19" t="n">
        <v>0</v>
      </c>
      <c r="F1283" s="19" t="n">
        <v>0</v>
      </c>
      <c r="G1283" s="8" t="n">
        <f aca="false">IFERROR(INDEX('TRANS'!$B:$B,MATCH($B1283,'TRANS'!$A:$A,0)),IFERROR(INDEX('TRANS'!$B:$B,MATCH(TRIM(SUBSTITUTE($B1283,CHAR(160)," ")),'TRANS'!$D:$D,0)),IFERROR(INDEX('Catalog'!$A:$A,MATCH($B1283,'Catalog'!$B:$B,0)),IFERROR(INDEX('Catalog'!$A:$A,MATCH(TRIM(SUBSTITUTE($B1283,CHAR(160)," ")),'Catalog'!$C:$C,0)),""))))</f>
        <v>4413520</v>
      </c>
      <c r="H1283" s="8" t="str">
        <f aca="false">IFERROR(INDEX('TRANS'!$C:$C,MATCH($B1283,'TRANS'!$A:$A,0)),IFERROR(INDEX('Catalog'!$B:$B,MATCH($G1283,'Catalog'!$A:$A,0)),$B1283))</f>
        <v>מדרסי אפיק ג'ל מולט.ספורט35-38</v>
      </c>
      <c r="I1283" s="8" t="str">
        <f aca="false">IF($G1283="","Unmatched","Matched")</f>
        <v>Matched</v>
      </c>
    </row>
    <row r="1284" customFormat="false" ht="15" hidden="false" customHeight="false" outlineLevel="0" collapsed="false">
      <c r="A1284" s="8" t="s">
        <v>814</v>
      </c>
      <c r="B1284" s="8" t="s">
        <v>483</v>
      </c>
      <c r="C1284" s="19" t="n">
        <v>5</v>
      </c>
      <c r="D1284" s="19" t="n">
        <v>573.9</v>
      </c>
      <c r="E1284" s="19" t="n">
        <v>0</v>
      </c>
      <c r="F1284" s="19" t="n">
        <v>0</v>
      </c>
      <c r="G1284" s="8" t="n">
        <f aca="false">IFERROR(INDEX('TRANS'!$B:$B,MATCH($B1284,'TRANS'!$A:$A,0)),IFERROR(INDEX('TRANS'!$B:$B,MATCH(TRIM(SUBSTITUTE($B1284,CHAR(160)," ")),'TRANS'!$D:$D,0)),IFERROR(INDEX('Catalog'!$A:$A,MATCH($B1284,'Catalog'!$B:$B,0)),IFERROR(INDEX('Catalog'!$A:$A,MATCH(TRIM(SUBSTITUTE($B1284,CHAR(160)," ")),'Catalog'!$C:$C,0)),""))))</f>
        <v>4413521</v>
      </c>
      <c r="H1284" s="8" t="str">
        <f aca="false">IFERROR(INDEX('TRANS'!$C:$C,MATCH($B1284,'TRANS'!$A:$A,0)),IFERROR(INDEX('Catalog'!$B:$B,MATCH($G1284,'Catalog'!$A:$A,0)),$B1284))</f>
        <v>מדרסי אפיק ג'ל מולטי ספור39-42</v>
      </c>
      <c r="I1284" s="8" t="str">
        <f aca="false">IF($G1284="","Unmatched","Matched")</f>
        <v>Matched</v>
      </c>
    </row>
    <row r="1285" customFormat="false" ht="15" hidden="false" customHeight="false" outlineLevel="0" collapsed="false">
      <c r="A1285" s="8" t="s">
        <v>814</v>
      </c>
      <c r="B1285" s="8" t="s">
        <v>484</v>
      </c>
      <c r="C1285" s="19" t="n">
        <v>5</v>
      </c>
      <c r="D1285" s="19" t="n">
        <v>573.9</v>
      </c>
      <c r="E1285" s="19" t="n">
        <v>0</v>
      </c>
      <c r="F1285" s="19" t="n">
        <v>0</v>
      </c>
      <c r="G1285" s="8" t="n">
        <f aca="false">IFERROR(INDEX('TRANS'!$B:$B,MATCH($B1285,'TRANS'!$A:$A,0)),IFERROR(INDEX('TRANS'!$B:$B,MATCH(TRIM(SUBSTITUTE($B1285,CHAR(160)," ")),'TRANS'!$D:$D,0)),IFERROR(INDEX('Catalog'!$A:$A,MATCH($B1285,'Catalog'!$B:$B,0)),IFERROR(INDEX('Catalog'!$A:$A,MATCH(TRIM(SUBSTITUTE($B1285,CHAR(160)," ")),'Catalog'!$C:$C,0)),""))))</f>
        <v>4413522</v>
      </c>
      <c r="H1285" s="8" t="str">
        <f aca="false">IFERROR(INDEX('TRANS'!$C:$C,MATCH($B1285,'TRANS'!$A:$A,0)),IFERROR(INDEX('Catalog'!$B:$B,MATCH($G1285,'Catalog'!$A:$A,0)),$B1285))</f>
        <v>מדרסי אפיק ג'ל מולט.ספורט43-47</v>
      </c>
      <c r="I1285" s="8" t="str">
        <f aca="false">IF($G1285="","Unmatched","Matched")</f>
        <v>Matched</v>
      </c>
    </row>
    <row r="1286" customFormat="false" ht="15" hidden="false" customHeight="false" outlineLevel="0" collapsed="false">
      <c r="A1286" s="8" t="s">
        <v>814</v>
      </c>
      <c r="B1286" s="8" t="s">
        <v>485</v>
      </c>
      <c r="C1286" s="19" t="n">
        <v>4</v>
      </c>
      <c r="D1286" s="19" t="n">
        <v>474.15</v>
      </c>
      <c r="E1286" s="19" t="n">
        <v>0</v>
      </c>
      <c r="F1286" s="19" t="n">
        <v>0</v>
      </c>
      <c r="G1286" s="8" t="n">
        <f aca="false">IFERROR(INDEX('TRANS'!$B:$B,MATCH($B1286,'TRANS'!$A:$A,0)),IFERROR(INDEX('TRANS'!$B:$B,MATCH(TRIM(SUBSTITUTE($B1286,CHAR(160)," ")),'TRANS'!$D:$D,0)),IFERROR(INDEX('Catalog'!$A:$A,MATCH($B1286,'Catalog'!$B:$B,0)),IFERROR(INDEX('Catalog'!$A:$A,MATCH(TRIM(SUBSTITUTE($B1286,CHAR(160)," ")),'Catalog'!$C:$C,0)),""))))</f>
        <v>4413527</v>
      </c>
      <c r="H1286" s="8" t="str">
        <f aca="false">IFERROR(INDEX('TRANS'!$C:$C,MATCH($B1286,'TRANS'!$A:$A,0)),IFERROR(INDEX('Catalog'!$B:$B,MATCH($G1286,'Catalog'!$A:$A,0)),$B1286))</f>
        <v>35-38 מדרסי אפיק ג'ל עבודה</v>
      </c>
      <c r="I1286" s="8" t="str">
        <f aca="false">IF($G1286="","Unmatched","Matched")</f>
        <v>Matched</v>
      </c>
    </row>
    <row r="1287" customFormat="false" ht="15" hidden="false" customHeight="false" outlineLevel="0" collapsed="false">
      <c r="A1287" s="8" t="s">
        <v>814</v>
      </c>
      <c r="B1287" s="8" t="s">
        <v>486</v>
      </c>
      <c r="C1287" s="19" t="n">
        <v>5</v>
      </c>
      <c r="D1287" s="19" t="n">
        <v>573.9</v>
      </c>
      <c r="E1287" s="19" t="n">
        <v>0</v>
      </c>
      <c r="F1287" s="19" t="n">
        <v>0</v>
      </c>
      <c r="G1287" s="8" t="n">
        <f aca="false">IFERROR(INDEX('TRANS'!$B:$B,MATCH($B1287,'TRANS'!$A:$A,0)),IFERROR(INDEX('TRANS'!$B:$B,MATCH(TRIM(SUBSTITUTE($B1287,CHAR(160)," ")),'TRANS'!$D:$D,0)),IFERROR(INDEX('Catalog'!$A:$A,MATCH($B1287,'Catalog'!$B:$B,0)),IFERROR(INDEX('Catalog'!$A:$A,MATCH(TRIM(SUBSTITUTE($B1287,CHAR(160)," ")),'Catalog'!$C:$C,0)),""))))</f>
        <v>4413528</v>
      </c>
      <c r="H1287" s="8" t="str">
        <f aca="false">IFERROR(INDEX('TRANS'!$C:$C,MATCH($B1287,'TRANS'!$A:$A,0)),IFERROR(INDEX('Catalog'!$B:$B,MATCH($G1287,'Catalog'!$A:$A,0)),$B1287))</f>
        <v>39-42 מדרסי אפיק ג'ל עבודה</v>
      </c>
      <c r="I1287" s="8" t="str">
        <f aca="false">IF($G1287="","Unmatched","Matched")</f>
        <v>Matched</v>
      </c>
    </row>
    <row r="1288" customFormat="false" ht="15" hidden="false" customHeight="false" outlineLevel="0" collapsed="false">
      <c r="A1288" s="8" t="s">
        <v>814</v>
      </c>
      <c r="B1288" s="8" t="s">
        <v>487</v>
      </c>
      <c r="C1288" s="19" t="n">
        <v>5</v>
      </c>
      <c r="D1288" s="19" t="n">
        <v>573.9</v>
      </c>
      <c r="E1288" s="19" t="n">
        <v>2</v>
      </c>
      <c r="F1288" s="19" t="n">
        <v>237.1</v>
      </c>
      <c r="G1288" s="8" t="n">
        <f aca="false">IFERROR(INDEX('TRANS'!$B:$B,MATCH($B1288,'TRANS'!$A:$A,0)),IFERROR(INDEX('TRANS'!$B:$B,MATCH(TRIM(SUBSTITUTE($B1288,CHAR(160)," ")),'TRANS'!$D:$D,0)),IFERROR(INDEX('Catalog'!$A:$A,MATCH($B1288,'Catalog'!$B:$B,0)),IFERROR(INDEX('Catalog'!$A:$A,MATCH(TRIM(SUBSTITUTE($B1288,CHAR(160)," ")),'Catalog'!$C:$C,0)),""))))</f>
        <v>4413529</v>
      </c>
      <c r="H1288" s="8" t="str">
        <f aca="false">IFERROR(INDEX('TRANS'!$C:$C,MATCH($B1288,'TRANS'!$A:$A,0)),IFERROR(INDEX('Catalog'!$B:$B,MATCH($G1288,'Catalog'!$A:$A,0)),$B1288))</f>
        <v>43-47 מדרסי אפיק ג'ל עבודה</v>
      </c>
      <c r="I1288" s="8" t="str">
        <f aca="false">IF($G1288="","Unmatched","Matched")</f>
        <v>Matched</v>
      </c>
    </row>
    <row r="1289" customFormat="false" ht="15" hidden="false" customHeight="false" outlineLevel="0" collapsed="false">
      <c r="A1289" s="8" t="s">
        <v>814</v>
      </c>
      <c r="B1289" s="8" t="s">
        <v>181</v>
      </c>
      <c r="C1289" s="19" t="n">
        <v>32</v>
      </c>
      <c r="D1289" s="19" t="n">
        <v>756</v>
      </c>
      <c r="E1289" s="19" t="n">
        <v>0</v>
      </c>
      <c r="F1289" s="19" t="n">
        <v>0</v>
      </c>
      <c r="G1289" s="8" t="n">
        <f aca="false">IFERROR(INDEX('TRANS'!$B:$B,MATCH($B1289,'TRANS'!$A:$A,0)),IFERROR(INDEX('TRANS'!$B:$B,MATCH(TRIM(SUBSTITUTE($B1289,CHAR(160)," ")),'TRANS'!$D:$D,0)),IFERROR(INDEX('Catalog'!$A:$A,MATCH($B1289,'Catalog'!$B:$B,0)),IFERROR(INDEX('Catalog'!$A:$A,MATCH(TRIM(SUBSTITUTE($B1289,CHAR(160)," ")),'Catalog'!$C:$C,0)),""))))</f>
        <v>4403001</v>
      </c>
      <c r="H1289" s="8" t="str">
        <f aca="false">IFERROR(INDEX('TRANS'!$C:$C,MATCH($B1289,'TRANS'!$A:$A,0)),IFERROR(INDEX('Catalog'!$B:$B,MATCH($G1289,'Catalog'!$A:$A,0)),$B1289))</f>
        <v>390B 39-42.גרב.כסף לסכרתיים שח</v>
      </c>
      <c r="I1289" s="8" t="str">
        <f aca="false">IF($G1289="","Unmatched","Matched")</f>
        <v>Matched</v>
      </c>
    </row>
    <row r="1290" customFormat="false" ht="15" hidden="false" customHeight="false" outlineLevel="0" collapsed="false">
      <c r="A1290" s="8" t="s">
        <v>814</v>
      </c>
      <c r="B1290" s="8" t="s">
        <v>193</v>
      </c>
      <c r="C1290" s="19" t="n">
        <v>8</v>
      </c>
      <c r="D1290" s="19" t="n">
        <v>175</v>
      </c>
      <c r="E1290" s="19" t="n">
        <v>3</v>
      </c>
      <c r="F1290" s="19" t="n">
        <v>84.24</v>
      </c>
      <c r="G1290" s="8" t="n">
        <f aca="false">IFERROR(INDEX('TRANS'!$B:$B,MATCH($B1290,'TRANS'!$A:$A,0)),IFERROR(INDEX('TRANS'!$B:$B,MATCH(TRIM(SUBSTITUTE($B1290,CHAR(160)," ")),'TRANS'!$D:$D,0)),IFERROR(INDEX('Catalog'!$A:$A,MATCH($B1290,'Catalog'!$B:$B,0)),IFERROR(INDEX('Catalog'!$A:$A,MATCH(TRIM(SUBSTITUTE($B1290,CHAR(160)," ")),'Catalog'!$C:$C,0)),""))))</f>
        <v>4403024</v>
      </c>
      <c r="H1290" s="8" t="str">
        <f aca="false">IFERROR(INDEX('TRANS'!$C:$C,MATCH($B1290,'TRANS'!$A:$A,0)),IFERROR(INDEX('Catalog'!$B:$B,MATCH($G1290,'Catalog'!$A:$A,0)),$B1290))</f>
        <v>394W 39-42 גרב.כסף לסכרתים לבן</v>
      </c>
      <c r="I1290" s="8" t="str">
        <f aca="false">IF($G1290="","Unmatched","Matched")</f>
        <v>Matched</v>
      </c>
    </row>
    <row r="1291" customFormat="false" ht="15" hidden="false" customHeight="false" outlineLevel="0" collapsed="false">
      <c r="A1291" s="8" t="s">
        <v>814</v>
      </c>
      <c r="B1291" s="8" t="s">
        <v>203</v>
      </c>
      <c r="C1291" s="19" t="n">
        <v>2</v>
      </c>
      <c r="D1291" s="19" t="n">
        <v>103.96</v>
      </c>
      <c r="E1291" s="19" t="n">
        <v>0</v>
      </c>
      <c r="F1291" s="19" t="n">
        <v>0</v>
      </c>
      <c r="G1291" s="8" t="n">
        <f aca="false">IFERROR(INDEX('TRANS'!$B:$B,MATCH($B1291,'TRANS'!$A:$A,0)),IFERROR(INDEX('TRANS'!$B:$B,MATCH(TRIM(SUBSTITUTE($B1291,CHAR(160)," ")),'TRANS'!$D:$D,0)),IFERROR(INDEX('Catalog'!$A:$A,MATCH($B1291,'Catalog'!$B:$B,0)),IFERROR(INDEX('Catalog'!$A:$A,MATCH(TRIM(SUBSTITUTE($B1291,CHAR(160)," ")),'Catalog'!$C:$C,0)),""))))</f>
        <v>4420016</v>
      </c>
      <c r="H1291" s="8" t="str">
        <f aca="false">IFERROR(INDEX('TRANS'!$C:$C,MATCH($B1291,'TRANS'!$A:$A,0)),IFERROR(INDEX('Catalog'!$B:$B,MATCH($G1291,'Catalog'!$A:$A,0)),$B1291))</f>
        <v>40-רצועת פיקה לברך</v>
      </c>
      <c r="I1291" s="8" t="str">
        <f aca="false">IF($G1291="","Unmatched","Matched")</f>
        <v>Matched</v>
      </c>
    </row>
    <row r="1292" customFormat="false" ht="15" hidden="false" customHeight="false" outlineLevel="0" collapsed="false">
      <c r="A1292" s="8" t="s">
        <v>814</v>
      </c>
      <c r="B1292" s="8" t="s">
        <v>204</v>
      </c>
      <c r="C1292" s="19" t="n">
        <v>5</v>
      </c>
      <c r="D1292" s="19" t="n">
        <v>473.18</v>
      </c>
      <c r="E1292" s="19" t="n">
        <v>0</v>
      </c>
      <c r="F1292" s="19" t="n">
        <v>0</v>
      </c>
      <c r="G1292" s="8" t="n">
        <f aca="false">IFERROR(INDEX('TRANS'!$B:$B,MATCH($B1292,'TRANS'!$A:$A,0)),IFERROR(INDEX('TRANS'!$B:$B,MATCH(TRIM(SUBSTITUTE($B1292,CHAR(160)," ")),'TRANS'!$D:$D,0)),IFERROR(INDEX('Catalog'!$A:$A,MATCH($B1292,'Catalog'!$B:$B,0)),IFERROR(INDEX('Catalog'!$A:$A,MATCH(TRIM(SUBSTITUTE($B1292,CHAR(160)," ")),'Catalog'!$C:$C,0)),""))))</f>
        <v>4420017</v>
      </c>
      <c r="H1292" s="8" t="str">
        <f aca="false">IFERROR(INDEX('TRANS'!$C:$C,MATCH($B1292,'TRANS'!$A:$A,0)),IFERROR(INDEX('Catalog'!$B:$B,MATCH($G1292,'Catalog'!$A:$A,0)),$B1292))</f>
        <v>4022 רצועת """"פיקה""""+כרית</v>
      </c>
      <c r="I1292" s="8" t="str">
        <f aca="false">IF($G1292="","Unmatched","Matched")</f>
        <v>Matched</v>
      </c>
    </row>
    <row r="1293" customFormat="false" ht="15" hidden="false" customHeight="false" outlineLevel="0" collapsed="false">
      <c r="A1293" s="8" t="s">
        <v>814</v>
      </c>
      <c r="B1293" s="8" t="s">
        <v>498</v>
      </c>
      <c r="C1293" s="19" t="n">
        <v>1</v>
      </c>
      <c r="D1293" s="19" t="n">
        <v>0</v>
      </c>
      <c r="E1293" s="19" t="n">
        <v>0</v>
      </c>
      <c r="F1293" s="19" t="n">
        <v>0</v>
      </c>
      <c r="G1293" s="8" t="str">
        <f aca="false">IFERROR(INDEX('TRANS'!$B:$B,MATCH($B1293,'TRANS'!$A:$A,0)),IFERROR(INDEX('TRANS'!$B:$B,MATCH(TRIM(SUBSTITUTE($B1293,CHAR(160)," ")),'TRANS'!$D:$D,0)),IFERROR(INDEX('Catalog'!$A:$A,MATCH($B1293,'Catalog'!$B:$B,0)),IFERROR(INDEX('Catalog'!$A:$A,MATCH(TRIM(SUBSTITUTE($B1293,CHAR(160)," ")),'Catalog'!$C:$C,0)),""))))</f>
        <v/>
      </c>
      <c r="H1293" s="8" t="str">
        <f aca="false">IFERROR(INDEX('TRANS'!$C:$C,MATCH($B1293,'TRANS'!$A:$A,0)),IFERROR(INDEX('Catalog'!$B:$B,MATCH($G1293,'Catalog'!$A:$A,0)),$B1293))</f>
        <v>67813000</v>
      </c>
      <c r="I1293" s="8" t="str">
        <f aca="false">IF($G1293="","Unmatched","Matched")</f>
        <v>Unmatched</v>
      </c>
    </row>
    <row r="1294" customFormat="false" ht="15" hidden="false" customHeight="false" outlineLevel="0" collapsed="false">
      <c r="A1294" s="8" t="s">
        <v>814</v>
      </c>
      <c r="B1294" s="8" t="s">
        <v>239</v>
      </c>
      <c r="C1294" s="19" t="n">
        <v>4</v>
      </c>
      <c r="D1294" s="19" t="n">
        <v>69.17</v>
      </c>
      <c r="E1294" s="19" t="n">
        <v>0</v>
      </c>
      <c r="F1294" s="19" t="n">
        <v>0</v>
      </c>
      <c r="G1294" s="8" t="n">
        <f aca="false">IFERROR(INDEX('TRANS'!$B:$B,MATCH($B1294,'TRANS'!$A:$A,0)),IFERROR(INDEX('TRANS'!$B:$B,MATCH(TRIM(SUBSTITUTE($B1294,CHAR(160)," ")),'TRANS'!$D:$D,0)),IFERROR(INDEX('Catalog'!$A:$A,MATCH($B1294,'Catalog'!$B:$B,0)),IFERROR(INDEX('Catalog'!$A:$A,MATCH(TRIM(SUBSTITUTE($B1294,CHAR(160)," ")),'Catalog'!$C:$C,0)),""))))</f>
        <v>4409011</v>
      </c>
      <c r="H1294" s="8" t="str">
        <f aca="false">IFERROR(INDEX('TRANS'!$C:$C,MATCH($B1294,'TRANS'!$A:$A,0)),IFERROR(INDEX('Catalog'!$B:$B,MATCH($G1294,'Catalog'!$A:$A,0)),$B1294))</f>
        <v>804AT-B      טייפ חבישה לספורט</v>
      </c>
      <c r="I1294" s="8" t="str">
        <f aca="false">IF($G1294="","Unmatched","Matched")</f>
        <v>Matched</v>
      </c>
    </row>
    <row r="1295" customFormat="false" ht="15" hidden="false" customHeight="false" outlineLevel="0" collapsed="false">
      <c r="A1295" s="8" t="s">
        <v>814</v>
      </c>
      <c r="B1295" s="8" t="s">
        <v>240</v>
      </c>
      <c r="C1295" s="19" t="n">
        <v>4</v>
      </c>
      <c r="D1295" s="19" t="n">
        <v>69.17</v>
      </c>
      <c r="E1295" s="19" t="n">
        <v>0</v>
      </c>
      <c r="F1295" s="19" t="n">
        <v>0</v>
      </c>
      <c r="G1295" s="8" t="n">
        <f aca="false">IFERROR(INDEX('TRANS'!$B:$B,MATCH($B1295,'TRANS'!$A:$A,0)),IFERROR(INDEX('TRANS'!$B:$B,MATCH(TRIM(SUBSTITUTE($B1295,CHAR(160)," ")),'TRANS'!$D:$D,0)),IFERROR(INDEX('Catalog'!$A:$A,MATCH($B1295,'Catalog'!$B:$B,0)),IFERROR(INDEX('Catalog'!$A:$A,MATCH(TRIM(SUBSTITUTE($B1295,CHAR(160)," ")),'Catalog'!$C:$C,0)),""))))</f>
        <v>4409013</v>
      </c>
      <c r="H1295" s="8" t="str">
        <f aca="false">IFERROR(INDEX('TRANS'!$C:$C,MATCH($B1295,'TRANS'!$A:$A,0)),IFERROR(INDEX('Catalog'!$B:$B,MATCH($G1295,'Catalog'!$A:$A,0)),$B1295))</f>
        <v>804AT-BL     טייפ חבישה לספורט</v>
      </c>
      <c r="I1295" s="8" t="str">
        <f aca="false">IF($G1295="","Unmatched","Matched")</f>
        <v>Matched</v>
      </c>
    </row>
    <row r="1296" customFormat="false" ht="15" hidden="false" customHeight="false" outlineLevel="0" collapsed="false">
      <c r="A1296" s="8" t="s">
        <v>814</v>
      </c>
      <c r="B1296" s="8" t="s">
        <v>241</v>
      </c>
      <c r="C1296" s="19" t="n">
        <v>4</v>
      </c>
      <c r="D1296" s="19" t="n">
        <v>69.17</v>
      </c>
      <c r="E1296" s="19" t="n">
        <v>0</v>
      </c>
      <c r="F1296" s="19" t="n">
        <v>0</v>
      </c>
      <c r="G1296" s="8" t="n">
        <f aca="false">IFERROR(INDEX('TRANS'!$B:$B,MATCH($B1296,'TRANS'!$A:$A,0)),IFERROR(INDEX('TRANS'!$B:$B,MATCH(TRIM(SUBSTITUTE($B1296,CHAR(160)," ")),'TRANS'!$D:$D,0)),IFERROR(INDEX('Catalog'!$A:$A,MATCH($B1296,'Catalog'!$B:$B,0)),IFERROR(INDEX('Catalog'!$A:$A,MATCH(TRIM(SUBSTITUTE($B1296,CHAR(160)," ")),'Catalog'!$C:$C,0)),""))))</f>
        <v>4409012</v>
      </c>
      <c r="H1296" s="8" t="str">
        <f aca="false">IFERROR(INDEX('TRANS'!$C:$C,MATCH($B1296,'TRANS'!$A:$A,0)),IFERROR(INDEX('Catalog'!$B:$B,MATCH($G1296,'Catalog'!$A:$A,0)),$B1296))</f>
        <v>804AT-C      טייפ חבישה לספורט</v>
      </c>
      <c r="I1296" s="8" t="str">
        <f aca="false">IF($G1296="","Unmatched","Matched")</f>
        <v>Matched</v>
      </c>
    </row>
    <row r="1297" customFormat="false" ht="15" hidden="false" customHeight="false" outlineLevel="0" collapsed="false">
      <c r="A1297" s="8" t="s">
        <v>814</v>
      </c>
      <c r="B1297" s="8" t="s">
        <v>413</v>
      </c>
      <c r="C1297" s="19" t="n">
        <v>4</v>
      </c>
      <c r="D1297" s="19" t="n">
        <v>69.17</v>
      </c>
      <c r="E1297" s="19" t="n">
        <v>0</v>
      </c>
      <c r="F1297" s="19" t="n">
        <v>0</v>
      </c>
      <c r="G1297" s="8" t="n">
        <f aca="false">IFERROR(INDEX('TRANS'!$B:$B,MATCH($B1297,'TRANS'!$A:$A,0)),IFERROR(INDEX('TRANS'!$B:$B,MATCH(TRIM(SUBSTITUTE($B1297,CHAR(160)," ")),'TRANS'!$D:$D,0)),IFERROR(INDEX('Catalog'!$A:$A,MATCH($B1297,'Catalog'!$B:$B,0)),IFERROR(INDEX('Catalog'!$A:$A,MATCH(TRIM(SUBSTITUTE($B1297,CHAR(160)," ")),'Catalog'!$C:$C,0)),""))))</f>
        <v>4409010</v>
      </c>
      <c r="H1297" s="8" t="str">
        <f aca="false">IFERROR(INDEX('TRANS'!$C:$C,MATCH($B1297,'TRANS'!$A:$A,0)),IFERROR(INDEX('Catalog'!$B:$B,MATCH($G1297,'Catalog'!$A:$A,0)),$B1297))</f>
        <v>804AT-W      טייפ חבישה לספורט</v>
      </c>
      <c r="I1297" s="8" t="str">
        <f aca="false">IF($G1297="","Unmatched","Matched")</f>
        <v>Matched</v>
      </c>
    </row>
    <row r="1298" customFormat="false" ht="15" hidden="false" customHeight="false" outlineLevel="0" collapsed="false">
      <c r="A1298" s="8" t="s">
        <v>814</v>
      </c>
      <c r="B1298" s="8" t="s">
        <v>242</v>
      </c>
      <c r="C1298" s="19" t="n">
        <v>3</v>
      </c>
      <c r="D1298" s="19" t="n">
        <v>51.88</v>
      </c>
      <c r="E1298" s="19" t="n">
        <v>0</v>
      </c>
      <c r="F1298" s="19" t="n">
        <v>0</v>
      </c>
      <c r="G1298" s="8" t="n">
        <f aca="false">IFERROR(INDEX('TRANS'!$B:$B,MATCH($B1298,'TRANS'!$A:$A,0)),IFERROR(INDEX('TRANS'!$B:$B,MATCH(TRIM(SUBSTITUTE($B1298,CHAR(160)," ")),'TRANS'!$D:$D,0)),IFERROR(INDEX('Catalog'!$A:$A,MATCH($B1298,'Catalog'!$B:$B,0)),IFERROR(INDEX('Catalog'!$A:$A,MATCH(TRIM(SUBSTITUTE($B1298,CHAR(160)," ")),'Catalog'!$C:$C,0)),""))))</f>
        <v>4401012</v>
      </c>
      <c r="H1298" s="8" t="str">
        <f aca="false">IFERROR(INDEX('TRANS'!$C:$C,MATCH($B1298,'TRANS'!$A:$A,0)),IFERROR(INDEX('Catalog'!$B:$B,MATCH($G1298,'Catalog'!$A:$A,0)),$B1298))</f>
        <v>805AT-B אתלטיק טייפ שחור 20מ""""מ</v>
      </c>
      <c r="I1298" s="8" t="str">
        <f aca="false">IF($G1298="","Unmatched","Matched")</f>
        <v>Matched</v>
      </c>
    </row>
    <row r="1299" customFormat="false" ht="15" hidden="false" customHeight="false" outlineLevel="0" collapsed="false">
      <c r="A1299" s="8" t="s">
        <v>814</v>
      </c>
      <c r="B1299" s="8" t="s">
        <v>503</v>
      </c>
      <c r="C1299" s="19" t="n">
        <v>3</v>
      </c>
      <c r="D1299" s="19" t="n">
        <v>51.88</v>
      </c>
      <c r="E1299" s="19" t="n">
        <v>0</v>
      </c>
      <c r="F1299" s="19" t="n">
        <v>0</v>
      </c>
      <c r="G1299" s="8" t="n">
        <f aca="false">IFERROR(INDEX('TRANS'!$B:$B,MATCH($B1299,'TRANS'!$A:$A,0)),IFERROR(INDEX('TRANS'!$B:$B,MATCH(TRIM(SUBSTITUTE($B1299,CHAR(160)," ")),'TRANS'!$D:$D,0)),IFERROR(INDEX('Catalog'!$A:$A,MATCH($B1299,'Catalog'!$B:$B,0)),IFERROR(INDEX('Catalog'!$A:$A,MATCH(TRIM(SUBSTITUTE($B1299,CHAR(160)," ")),'Catalog'!$C:$C,0)),""))))</f>
        <v>4401013</v>
      </c>
      <c r="H1299" s="8" t="str">
        <f aca="false">IFERROR(INDEX('TRANS'!$C:$C,MATCH($B1299,'TRANS'!$A:$A,0)),IFERROR(INDEX('Catalog'!$B:$B,MATCH($G1299,'Catalog'!$A:$A,0)),$B1299))</f>
        <v>805AT-BLאתלטיק טייפ כחול 20מ""""מ</v>
      </c>
      <c r="I1299" s="8" t="str">
        <f aca="false">IF($G1299="","Unmatched","Matched")</f>
        <v>Matched</v>
      </c>
    </row>
    <row r="1300" customFormat="false" ht="15" hidden="false" customHeight="false" outlineLevel="0" collapsed="false">
      <c r="A1300" s="8" t="s">
        <v>814</v>
      </c>
      <c r="B1300" s="8" t="s">
        <v>414</v>
      </c>
      <c r="C1300" s="19" t="n">
        <v>12</v>
      </c>
      <c r="D1300" s="19" t="n">
        <v>108</v>
      </c>
      <c r="E1300" s="19" t="n">
        <v>12</v>
      </c>
      <c r="F1300" s="19" t="n">
        <v>126</v>
      </c>
      <c r="G1300" s="8" t="n">
        <f aca="false">IFERROR(INDEX('TRANS'!$B:$B,MATCH($B1300,'TRANS'!$A:$A,0)),IFERROR(INDEX('TRANS'!$B:$B,MATCH(TRIM(SUBSTITUTE($B1300,CHAR(160)," ")),'TRANS'!$D:$D,0)),IFERROR(INDEX('Catalog'!$A:$A,MATCH($B1300,'Catalog'!$B:$B,0)),IFERROR(INDEX('Catalog'!$A:$A,MATCH(TRIM(SUBSTITUTE($B1300,CHAR(160)," ")),'Catalog'!$C:$C,0)),""))))</f>
        <v>4422024</v>
      </c>
      <c r="H1300" s="8" t="str">
        <f aca="false">IFERROR(INDEX('TRANS'!$C:$C,MATCH($B1300,'TRANS'!$A:$A,0)),IFERROR(INDEX('Catalog'!$B:$B,MATCH($G1300,'Catalog'!$A:$A,0)),$B1300))</f>
        <v>806CB-BLACK      תחבושת א.נצמ</v>
      </c>
      <c r="I1300" s="8" t="str">
        <f aca="false">IF($G1300="","Unmatched","Matched")</f>
        <v>Matched</v>
      </c>
    </row>
    <row r="1301" customFormat="false" ht="15" hidden="false" customHeight="false" outlineLevel="0" collapsed="false">
      <c r="A1301" s="8" t="s">
        <v>814</v>
      </c>
      <c r="B1301" s="8" t="s">
        <v>415</v>
      </c>
      <c r="C1301" s="19" t="n">
        <v>12</v>
      </c>
      <c r="D1301" s="19" t="n">
        <v>108</v>
      </c>
      <c r="E1301" s="19" t="n">
        <v>12</v>
      </c>
      <c r="F1301" s="19" t="n">
        <v>126</v>
      </c>
      <c r="G1301" s="8" t="n">
        <f aca="false">IFERROR(INDEX('TRANS'!$B:$B,MATCH($B1301,'TRANS'!$A:$A,0)),IFERROR(INDEX('TRANS'!$B:$B,MATCH(TRIM(SUBSTITUTE($B1301,CHAR(160)," ")),'TRANS'!$D:$D,0)),IFERROR(INDEX('Catalog'!$A:$A,MATCH($B1301,'Catalog'!$B:$B,0)),IFERROR(INDEX('Catalog'!$A:$A,MATCH(TRIM(SUBSTITUTE($B1301,CHAR(160)," ")),'Catalog'!$C:$C,0)),""))))</f>
        <v>4422023</v>
      </c>
      <c r="H1301" s="8" t="str">
        <f aca="false">IFERROR(INDEX('TRANS'!$C:$C,MATCH($B1301,'TRANS'!$A:$A,0)),IFERROR(INDEX('Catalog'!$B:$B,MATCH($G1301,'Catalog'!$A:$A,0)),$B1301))</f>
        <v>806CB-BEIGE      תחבושת א.נצמ</v>
      </c>
      <c r="I1301" s="8" t="str">
        <f aca="false">IF($G1301="","Unmatched","Matched")</f>
        <v>Matched</v>
      </c>
    </row>
    <row r="1302" customFormat="false" ht="15" hidden="false" customHeight="false" outlineLevel="0" collapsed="false">
      <c r="A1302" s="8" t="s">
        <v>814</v>
      </c>
      <c r="B1302" s="8" t="s">
        <v>416</v>
      </c>
      <c r="C1302" s="19" t="n">
        <v>12</v>
      </c>
      <c r="D1302" s="19" t="n">
        <v>108</v>
      </c>
      <c r="E1302" s="19" t="n">
        <v>0</v>
      </c>
      <c r="F1302" s="19" t="n">
        <v>0</v>
      </c>
      <c r="G1302" s="8" t="n">
        <f aca="false">IFERROR(INDEX('TRANS'!$B:$B,MATCH($B1302,'TRANS'!$A:$A,0)),IFERROR(INDEX('TRANS'!$B:$B,MATCH(TRIM(SUBSTITUTE($B1302,CHAR(160)," ")),'TRANS'!$D:$D,0)),IFERROR(INDEX('Catalog'!$A:$A,MATCH($B1302,'Catalog'!$B:$B,0)),IFERROR(INDEX('Catalog'!$A:$A,MATCH(TRIM(SUBSTITUTE($B1302,CHAR(160)," ")),'Catalog'!$C:$C,0)),""))))</f>
        <v>4422025</v>
      </c>
      <c r="H1302" s="8" t="str">
        <f aca="false">IFERROR(INDEX('TRANS'!$C:$C,MATCH($B1302,'TRANS'!$A:$A,0)),IFERROR(INDEX('Catalog'!$B:$B,MATCH($G1302,'Catalog'!$A:$A,0)),$B1302))</f>
        <v>806CB-GREEN      תחבושת א.נצמ</v>
      </c>
      <c r="I1302" s="8" t="str">
        <f aca="false">IF($G1302="","Unmatched","Matched")</f>
        <v>Matched</v>
      </c>
    </row>
    <row r="1303" customFormat="false" ht="15" hidden="false" customHeight="false" outlineLevel="0" collapsed="false">
      <c r="A1303" s="8" t="s">
        <v>814</v>
      </c>
      <c r="B1303" s="8" t="s">
        <v>417</v>
      </c>
      <c r="C1303" s="19" t="n">
        <v>12</v>
      </c>
      <c r="D1303" s="19" t="n">
        <v>108</v>
      </c>
      <c r="E1303" s="19" t="n">
        <v>0</v>
      </c>
      <c r="F1303" s="19" t="n">
        <v>0</v>
      </c>
      <c r="G1303" s="8" t="n">
        <f aca="false">IFERROR(INDEX('TRANS'!$B:$B,MATCH($B1303,'TRANS'!$A:$A,0)),IFERROR(INDEX('TRANS'!$B:$B,MATCH(TRIM(SUBSTITUTE($B1303,CHAR(160)," ")),'TRANS'!$D:$D,0)),IFERROR(INDEX('Catalog'!$A:$A,MATCH($B1303,'Catalog'!$B:$B,0)),IFERROR(INDEX('Catalog'!$A:$A,MATCH(TRIM(SUBSTITUTE($B1303,CHAR(160)," ")),'Catalog'!$C:$C,0)),""))))</f>
        <v>4422026</v>
      </c>
      <c r="H1303" s="8" t="str">
        <f aca="false">IFERROR(INDEX('TRANS'!$C:$C,MATCH($B1303,'TRANS'!$A:$A,0)),IFERROR(INDEX('Catalog'!$B:$B,MATCH($G1303,'Catalog'!$A:$A,0)),$B1303))</f>
        <v>806CB-PINK       תחבושת א.נצמ</v>
      </c>
      <c r="I1303" s="8" t="str">
        <f aca="false">IF($G1303="","Unmatched","Matched")</f>
        <v>Matched</v>
      </c>
    </row>
    <row r="1304" customFormat="false" ht="15" hidden="false" customHeight="false" outlineLevel="0" collapsed="false">
      <c r="A1304" s="8" t="s">
        <v>814</v>
      </c>
      <c r="B1304" s="8" t="s">
        <v>244</v>
      </c>
      <c r="C1304" s="19" t="n">
        <v>12</v>
      </c>
      <c r="D1304" s="19" t="n">
        <v>108</v>
      </c>
      <c r="E1304" s="19" t="n">
        <v>0</v>
      </c>
      <c r="F1304" s="19" t="n">
        <v>0</v>
      </c>
      <c r="G1304" s="8" t="n">
        <f aca="false">IFERROR(INDEX('TRANS'!$B:$B,MATCH($B1304,'TRANS'!$A:$A,0)),IFERROR(INDEX('TRANS'!$B:$B,MATCH(TRIM(SUBSTITUTE($B1304,CHAR(160)," ")),'TRANS'!$D:$D,0)),IFERROR(INDEX('Catalog'!$A:$A,MATCH($B1304,'Catalog'!$B:$B,0)),IFERROR(INDEX('Catalog'!$A:$A,MATCH(TRIM(SUBSTITUTE($B1304,CHAR(160)," ")),'Catalog'!$C:$C,0)),""))))</f>
        <v>4422032</v>
      </c>
      <c r="H1304" s="8" t="str">
        <f aca="false">IFERROR(INDEX('TRANS'!$C:$C,MATCH($B1304,'TRANS'!$A:$A,0)),IFERROR(INDEX('Catalog'!$B:$B,MATCH($G1304,'Catalog'!$A:$A,0)),$B1304))</f>
        <v>807B-Bתחבושת נצמדת שחור 20 מ""""מ</v>
      </c>
      <c r="I1304" s="8" t="str">
        <f aca="false">IF($G1304="","Unmatched","Matched")</f>
        <v>Matched</v>
      </c>
    </row>
    <row r="1305" customFormat="false" ht="15" hidden="false" customHeight="false" outlineLevel="0" collapsed="false">
      <c r="A1305" s="8" t="s">
        <v>814</v>
      </c>
      <c r="B1305" s="8" t="s">
        <v>245</v>
      </c>
      <c r="C1305" s="19" t="n">
        <v>12</v>
      </c>
      <c r="D1305" s="19" t="n">
        <v>108</v>
      </c>
      <c r="E1305" s="19" t="n">
        <v>0</v>
      </c>
      <c r="F1305" s="19" t="n">
        <v>0</v>
      </c>
      <c r="G1305" s="8" t="n">
        <f aca="false">IFERROR(INDEX('TRANS'!$B:$B,MATCH($B1305,'TRANS'!$A:$A,0)),IFERROR(INDEX('TRANS'!$B:$B,MATCH(TRIM(SUBSTITUTE($B1305,CHAR(160)," ")),'TRANS'!$D:$D,0)),IFERROR(INDEX('Catalog'!$A:$A,MATCH($B1305,'Catalog'!$B:$B,0)),IFERROR(INDEX('Catalog'!$A:$A,MATCH(TRIM(SUBSTITUTE($B1305,CHAR(160)," ")),'Catalog'!$C:$C,0)),""))))</f>
        <v>4422033</v>
      </c>
      <c r="H1305" s="8" t="str">
        <f aca="false">IFERROR(INDEX('TRANS'!$C:$C,MATCH($B1305,'TRANS'!$A:$A,0)),IFERROR(INDEX('Catalog'!$B:$B,MATCH($G1305,'Catalog'!$A:$A,0)),$B1305))</f>
        <v>807CB-BLתחבושת נצמדת כחול20מ""""מ</v>
      </c>
      <c r="I1305" s="8" t="str">
        <f aca="false">IF($G1305="","Unmatched","Matched")</f>
        <v>Matched</v>
      </c>
    </row>
    <row r="1306" customFormat="false" ht="15" hidden="false" customHeight="false" outlineLevel="0" collapsed="false">
      <c r="A1306" s="8" t="s">
        <v>814</v>
      </c>
      <c r="B1306" s="8" t="s">
        <v>505</v>
      </c>
      <c r="C1306" s="19" t="n">
        <v>12</v>
      </c>
      <c r="D1306" s="19" t="n">
        <v>108</v>
      </c>
      <c r="E1306" s="19" t="n">
        <v>0</v>
      </c>
      <c r="F1306" s="19" t="n">
        <v>0</v>
      </c>
      <c r="G1306" s="8" t="n">
        <f aca="false">IFERROR(INDEX('TRANS'!$B:$B,MATCH($B1306,'TRANS'!$A:$A,0)),IFERROR(INDEX('TRANS'!$B:$B,MATCH(TRIM(SUBSTITUTE($B1306,CHAR(160)," ")),'TRANS'!$D:$D,0)),IFERROR(INDEX('Catalog'!$A:$A,MATCH($B1306,'Catalog'!$B:$B,0)),IFERROR(INDEX('Catalog'!$A:$A,MATCH(TRIM(SUBSTITUTE($B1306,CHAR(160)," ")),'Catalog'!$C:$C,0)),""))))</f>
        <v>4422034</v>
      </c>
      <c r="H1306" s="8" t="str">
        <f aca="false">IFERROR(INDEX('TRANS'!$C:$C,MATCH($B1306,'TRANS'!$A:$A,0)),IFERROR(INDEX('Catalog'!$B:$B,MATCH($G1306,'Catalog'!$A:$A,0)),$B1306))</f>
        <v>807CB-P תחבושת נצמדת ורוד 20ממ</v>
      </c>
      <c r="I1306" s="8" t="str">
        <f aca="false">IF($G1306="","Unmatched","Matched")</f>
        <v>Matched</v>
      </c>
    </row>
    <row r="1307" customFormat="false" ht="15" hidden="false" customHeight="false" outlineLevel="0" collapsed="false">
      <c r="A1307" s="8" t="s">
        <v>814</v>
      </c>
      <c r="B1307" s="8" t="s">
        <v>418</v>
      </c>
      <c r="C1307" s="19" t="n">
        <v>2</v>
      </c>
      <c r="D1307" s="19" t="n">
        <v>120</v>
      </c>
      <c r="E1307" s="19" t="n">
        <v>1</v>
      </c>
      <c r="F1307" s="19" t="n">
        <v>70</v>
      </c>
      <c r="G1307" s="8" t="n">
        <f aca="false">IFERROR(INDEX('TRANS'!$B:$B,MATCH($B1307,'TRANS'!$A:$A,0)),IFERROR(INDEX('TRANS'!$B:$B,MATCH(TRIM(SUBSTITUTE($B1307,CHAR(160)," ")),'TRANS'!$D:$D,0)),IFERROR(INDEX('Catalog'!$A:$A,MATCH($B1307,'Catalog'!$B:$B,0)),IFERROR(INDEX('Catalog'!$A:$A,MATCH(TRIM(SUBSTITUTE($B1307,CHAR(160)," ")),'Catalog'!$C:$C,0)),""))))</f>
        <v>4413176</v>
      </c>
      <c r="H1307" s="8" t="str">
        <f aca="false">IFERROR(INDEX('TRANS'!$C:$C,MATCH($B1307,'TRANS'!$A:$A,0)),IFERROR(INDEX('Catalog'!$B:$B,MATCH($G1307,'Catalog'!$A:$A,0)),$B1307))</f>
        <v>85+ Lמתלה ליד)כיס(+רצועת חיזוק</v>
      </c>
      <c r="I1307" s="8" t="str">
        <f aca="false">IF($G1307="","Unmatched","Matched")</f>
        <v>Matched</v>
      </c>
    </row>
    <row r="1308" customFormat="false" ht="15" hidden="false" customHeight="false" outlineLevel="0" collapsed="false">
      <c r="A1308" s="8" t="s">
        <v>814</v>
      </c>
      <c r="B1308" s="8" t="s">
        <v>419</v>
      </c>
      <c r="C1308" s="19" t="n">
        <v>2</v>
      </c>
      <c r="D1308" s="19" t="n">
        <v>130</v>
      </c>
      <c r="E1308" s="19" t="n">
        <v>1</v>
      </c>
      <c r="F1308" s="19" t="n">
        <v>70</v>
      </c>
      <c r="G1308" s="8" t="n">
        <f aca="false">IFERROR(INDEX('TRANS'!$B:$B,MATCH($B1308,'TRANS'!$A:$A,0)),IFERROR(INDEX('TRANS'!$B:$B,MATCH(TRIM(SUBSTITUTE($B1308,CHAR(160)," ")),'TRANS'!$D:$D,0)),IFERROR(INDEX('Catalog'!$A:$A,MATCH($B1308,'Catalog'!$B:$B,0)),IFERROR(INDEX('Catalog'!$A:$A,MATCH(TRIM(SUBSTITUTE($B1308,CHAR(160)," ")),'Catalog'!$C:$C,0)),""))))</f>
        <v>4413175</v>
      </c>
      <c r="H1308" s="8" t="str">
        <f aca="false">IFERROR(INDEX('TRANS'!$C:$C,MATCH($B1308,'TRANS'!$A:$A,0)),IFERROR(INDEX('Catalog'!$B:$B,MATCH($G1308,'Catalog'!$A:$A,0)),$B1308))</f>
        <v>85+ Mמתלה ליד)כיס(+רצועת חיזוק</v>
      </c>
      <c r="I1308" s="8" t="str">
        <f aca="false">IF($G1308="","Unmatched","Matched")</f>
        <v>Matched</v>
      </c>
    </row>
    <row r="1309" customFormat="false" ht="15" hidden="false" customHeight="false" outlineLevel="0" collapsed="false">
      <c r="A1309" s="8" t="s">
        <v>814</v>
      </c>
      <c r="B1309" s="8" t="s">
        <v>706</v>
      </c>
      <c r="C1309" s="19" t="n">
        <v>1</v>
      </c>
      <c r="D1309" s="19" t="n">
        <v>60</v>
      </c>
      <c r="E1309" s="19" t="n">
        <v>0</v>
      </c>
      <c r="F1309" s="19" t="n">
        <v>0</v>
      </c>
      <c r="G1309" s="8" t="str">
        <f aca="false">IFERROR(INDEX('TRANS'!$B:$B,MATCH($B1309,'TRANS'!$A:$A,0)),IFERROR(INDEX('TRANS'!$B:$B,MATCH(TRIM(SUBSTITUTE($B1309,CHAR(160)," ")),'TRANS'!$D:$D,0)),IFERROR(INDEX('Catalog'!$A:$A,MATCH($B1309,'Catalog'!$B:$B,0)),IFERROR(INDEX('Catalog'!$A:$A,MATCH(TRIM(SUBSTITUTE($B1309,CHAR(160)," ")),'Catalog'!$C:$C,0)),""))))</f>
        <v/>
      </c>
      <c r="H1309" s="8" t="str">
        <f aca="false">IFERROR(INDEX('TRANS'!$C:$C,MATCH($B1309,'TRANS'!$A:$A,0)),IFERROR(INDEX('Catalog'!$B:$B,MATCH($G1309,'Catalog'!$A:$A,0)),$B1309))</f>
        <v>85+ S</v>
      </c>
      <c r="I1309" s="8" t="str">
        <f aca="false">IF($G1309="","Unmatched","Matched")</f>
        <v>Unmatched</v>
      </c>
    </row>
    <row r="1310" customFormat="false" ht="15" hidden="false" customHeight="false" outlineLevel="0" collapsed="false">
      <c r="A1310" s="8" t="s">
        <v>814</v>
      </c>
      <c r="B1310" s="8" t="s">
        <v>420</v>
      </c>
      <c r="C1310" s="19" t="n">
        <v>3</v>
      </c>
      <c r="D1310" s="19" t="n">
        <v>190</v>
      </c>
      <c r="E1310" s="19" t="n">
        <v>1</v>
      </c>
      <c r="F1310" s="19" t="n">
        <v>70</v>
      </c>
      <c r="G1310" s="8" t="n">
        <f aca="false">IFERROR(INDEX('TRANS'!$B:$B,MATCH($B1310,'TRANS'!$A:$A,0)),IFERROR(INDEX('TRANS'!$B:$B,MATCH(TRIM(SUBSTITUTE($B1310,CHAR(160)," ")),'TRANS'!$D:$D,0)),IFERROR(INDEX('Catalog'!$A:$A,MATCH($B1310,'Catalog'!$B:$B,0)),IFERROR(INDEX('Catalog'!$A:$A,MATCH(TRIM(SUBSTITUTE($B1310,CHAR(160)," ")),'Catalog'!$C:$C,0)),""))))</f>
        <v>4413177</v>
      </c>
      <c r="H1310" s="8" t="str">
        <f aca="false">IFERROR(INDEX('TRANS'!$C:$C,MATCH($B1310,'TRANS'!$A:$A,0)),IFERROR(INDEX('Catalog'!$B:$B,MATCH($G1310,'Catalog'!$A:$A,0)),$B1310))</f>
        <v>85+ XLמתלה ליד)כיס(רצועת חיזוק</v>
      </c>
      <c r="I1310" s="8" t="str">
        <f aca="false">IF($G1310="","Unmatched","Matched")</f>
        <v>Matched</v>
      </c>
    </row>
    <row r="1311" customFormat="false" ht="15" hidden="false" customHeight="false" outlineLevel="0" collapsed="false">
      <c r="A1311" s="8" t="s">
        <v>814</v>
      </c>
      <c r="B1311" s="8" t="s">
        <v>252</v>
      </c>
      <c r="C1311" s="19" t="n">
        <v>4</v>
      </c>
      <c r="D1311" s="19" t="n">
        <v>203.66</v>
      </c>
      <c r="E1311" s="19" t="n">
        <v>3</v>
      </c>
      <c r="F1311" s="19" t="n">
        <v>146.99</v>
      </c>
      <c r="G1311" s="8" t="n">
        <f aca="false">IFERROR(INDEX('TRANS'!$B:$B,MATCH($B1311,'TRANS'!$A:$A,0)),IFERROR(INDEX('TRANS'!$B:$B,MATCH(TRIM(SUBSTITUTE($B1311,CHAR(160)," ")),'TRANS'!$D:$D,0)),IFERROR(INDEX('Catalog'!$A:$A,MATCH($B1311,'Catalog'!$B:$B,0)),IFERROR(INDEX('Catalog'!$A:$A,MATCH(TRIM(SUBSTITUTE($B1311,CHAR(160)," ")),'Catalog'!$C:$C,0)),""))))</f>
        <v>4413135</v>
      </c>
      <c r="H1311" s="8" t="str">
        <f aca="false">IFERROR(INDEX('TRANS'!$C:$C,MATCH($B1311,'TRANS'!$A:$A,0)),IFERROR(INDEX('Catalog'!$B:$B,MATCH($G1311,'Catalog'!$A:$A,0)),$B1311))</f>
        <v>85 L (מתלה ליד )כיס</v>
      </c>
      <c r="I1311" s="8" t="str">
        <f aca="false">IF($G1311="","Unmatched","Matched")</f>
        <v>Matched</v>
      </c>
    </row>
    <row r="1312" customFormat="false" ht="15" hidden="false" customHeight="false" outlineLevel="0" collapsed="false">
      <c r="A1312" s="8" t="s">
        <v>814</v>
      </c>
      <c r="B1312" s="8" t="s">
        <v>255</v>
      </c>
      <c r="C1312" s="19" t="n">
        <v>3</v>
      </c>
      <c r="D1312" s="19" t="n">
        <v>141.6</v>
      </c>
      <c r="E1312" s="19" t="n">
        <v>6</v>
      </c>
      <c r="F1312" s="19" t="n">
        <v>340.02</v>
      </c>
      <c r="G1312" s="8" t="n">
        <f aca="false">IFERROR(INDEX('TRANS'!$B:$B,MATCH($B1312,'TRANS'!$A:$A,0)),IFERROR(INDEX('TRANS'!$B:$B,MATCH(TRIM(SUBSTITUTE($B1312,CHAR(160)," ")),'TRANS'!$D:$D,0)),IFERROR(INDEX('Catalog'!$A:$A,MATCH($B1312,'Catalog'!$B:$B,0)),IFERROR(INDEX('Catalog'!$A:$A,MATCH(TRIM(SUBSTITUTE($B1312,CHAR(160)," ")),'Catalog'!$C:$C,0)),""))))</f>
        <v>4413516</v>
      </c>
      <c r="H1312" s="8" t="str">
        <f aca="false">IFERROR(INDEX('TRANS'!$C:$C,MATCH($B1312,'TRANS'!$A:$A,0)),IFERROR(INDEX('Catalog'!$B:$B,MATCH($G1312,'Catalog'!$A:$A,0)),$B1312))</f>
        <v>85B L מתלה רשת לזרוע שחור</v>
      </c>
      <c r="I1312" s="8" t="str">
        <f aca="false">IF($G1312="","Unmatched","Matched")</f>
        <v>Matched</v>
      </c>
    </row>
    <row r="1313" customFormat="false" ht="15" hidden="false" customHeight="false" outlineLevel="0" collapsed="false">
      <c r="A1313" s="8" t="s">
        <v>814</v>
      </c>
      <c r="B1313" s="8" t="s">
        <v>258</v>
      </c>
      <c r="C1313" s="19" t="n">
        <v>8</v>
      </c>
      <c r="D1313" s="19" t="n">
        <v>424.95</v>
      </c>
      <c r="E1313" s="19" t="n">
        <v>4</v>
      </c>
      <c r="F1313" s="19" t="n">
        <v>226.68</v>
      </c>
      <c r="G1313" s="8" t="n">
        <f aca="false">IFERROR(INDEX('TRANS'!$B:$B,MATCH($B1313,'TRANS'!$A:$A,0)),IFERROR(INDEX('TRANS'!$B:$B,MATCH(TRIM(SUBSTITUTE($B1313,CHAR(160)," ")),'TRANS'!$D:$D,0)),IFERROR(INDEX('Catalog'!$A:$A,MATCH($B1313,'Catalog'!$B:$B,0)),IFERROR(INDEX('Catalog'!$A:$A,MATCH(TRIM(SUBSTITUTE($B1313,CHAR(160)," ")),'Catalog'!$C:$C,0)),""))))</f>
        <v>4413518</v>
      </c>
      <c r="H1313" s="8" t="str">
        <f aca="false">IFERROR(INDEX('TRANS'!$C:$C,MATCH($B1313,'TRANS'!$A:$A,0)),IFERROR(INDEX('Catalog'!$B:$B,MATCH($G1313,'Catalog'!$A:$A,0)),$B1313))</f>
        <v>85B XL מתלה רשת לזרוע שחור</v>
      </c>
      <c r="I1313" s="8" t="str">
        <f aca="false">IF($G1313="","Unmatched","Matched")</f>
        <v>Matched</v>
      </c>
    </row>
    <row r="1314" customFormat="false" ht="15" hidden="false" customHeight="false" outlineLevel="0" collapsed="false">
      <c r="A1314" s="8" t="s">
        <v>814</v>
      </c>
      <c r="B1314" s="8" t="s">
        <v>274</v>
      </c>
      <c r="C1314" s="19" t="n">
        <v>2</v>
      </c>
      <c r="D1314" s="19" t="n">
        <v>161.18</v>
      </c>
      <c r="E1314" s="19" t="n">
        <v>0</v>
      </c>
      <c r="F1314" s="19" t="n">
        <v>0</v>
      </c>
      <c r="G1314" s="8" t="n">
        <f aca="false">IFERROR(INDEX('TRANS'!$B:$B,MATCH($B1314,'TRANS'!$A:$A,0)),IFERROR(INDEX('TRANS'!$B:$B,MATCH(TRIM(SUBSTITUTE($B1314,CHAR(160)," ")),'TRANS'!$D:$D,0)),IFERROR(INDEX('Catalog'!$A:$A,MATCH($B1314,'Catalog'!$B:$B,0)),IFERROR(INDEX('Catalog'!$A:$A,MATCH(TRIM(SUBSTITUTE($B1314,CHAR(160)," ")),'Catalog'!$C:$C,0)),""))))</f>
        <v>4420026</v>
      </c>
      <c r="H1314" s="8" t="str">
        <f aca="false">IFERROR(INDEX('TRANS'!$C:$C,MATCH($B1314,'TRANS'!$A:$A,0)),IFERROR(INDEX('Catalog'!$B:$B,MATCH($G1314,'Catalog'!$A:$A,0)),$B1314))</f>
        <v>AC40 רצועה לפיקת הברך</v>
      </c>
      <c r="I1314" s="8" t="str">
        <f aca="false">IF($G1314="","Unmatched","Matched")</f>
        <v>Matched</v>
      </c>
    </row>
    <row r="1315" customFormat="false" ht="15" hidden="false" customHeight="false" outlineLevel="0" collapsed="false">
      <c r="A1315" s="8" t="s">
        <v>814</v>
      </c>
      <c r="B1315" s="8" t="s">
        <v>818</v>
      </c>
      <c r="C1315" s="19" t="n">
        <v>-3</v>
      </c>
      <c r="D1315" s="19" t="n">
        <v>-113.76</v>
      </c>
      <c r="E1315" s="19" t="n">
        <v>0</v>
      </c>
      <c r="F1315" s="19" t="n">
        <v>0</v>
      </c>
      <c r="G1315" s="8" t="str">
        <f aca="false">IFERROR(INDEX('TRANS'!$B:$B,MATCH($B1315,'TRANS'!$A:$A,0)),IFERROR(INDEX('TRANS'!$B:$B,MATCH(TRIM(SUBSTITUTE($B1315,CHAR(160)," ")),'TRANS'!$D:$D,0)),IFERROR(INDEX('Catalog'!$A:$A,MATCH($B1315,'Catalog'!$B:$B,0)),IFERROR(INDEX('Catalog'!$A:$A,MATCH(TRIM(SUBSTITUTE($B1315,CHAR(160)," ")),'Catalog'!$C:$C,0)),""))))</f>
        <v/>
      </c>
      <c r="H1315" s="8" t="str">
        <f aca="false">IFERROR(INDEX('TRANS'!$C:$C,MATCH($B1315,'TRANS'!$A:$A,0)),IFERROR(INDEX('Catalog'!$B:$B,MATCH($G1315,'Catalog'!$A:$A,0)),$B1315))</f>
        <v>FC316 0</v>
      </c>
      <c r="I1315" s="8" t="str">
        <f aca="false">IF($G1315="","Unmatched","Matched")</f>
        <v>Unmatched</v>
      </c>
    </row>
    <row r="1316" customFormat="false" ht="15" hidden="false" customHeight="false" outlineLevel="0" collapsed="false">
      <c r="A1316" s="8" t="s">
        <v>814</v>
      </c>
      <c r="B1316" s="8" t="s">
        <v>574</v>
      </c>
      <c r="C1316" s="19" t="n">
        <v>1</v>
      </c>
      <c r="D1316" s="19" t="n">
        <v>66.28</v>
      </c>
      <c r="E1316" s="19" t="n">
        <v>0</v>
      </c>
      <c r="F1316" s="19" t="n">
        <v>0</v>
      </c>
      <c r="G1316" s="8" t="n">
        <f aca="false">IFERROR(INDEX('TRANS'!$B:$B,MATCH($B1316,'TRANS'!$A:$A,0)),IFERROR(INDEX('TRANS'!$B:$B,MATCH(TRIM(SUBSTITUTE($B1316,CHAR(160)," ")),'TRANS'!$D:$D,0)),IFERROR(INDEX('Catalog'!$A:$A,MATCH($B1316,'Catalog'!$B:$B,0)),IFERROR(INDEX('Catalog'!$A:$A,MATCH(TRIM(SUBSTITUTE($B1316,CHAR(160)," ")),'Catalog'!$C:$C,0)),""))))</f>
        <v>4408134</v>
      </c>
      <c r="H1316" s="8" t="str">
        <f aca="false">IFERROR(INDEX('TRANS'!$C:$C,MATCH($B1316,'TRANS'!$A:$A,0)),IFERROR(INDEX('Catalog'!$B:$B,MATCH($G1316,'Catalog'!$A:$A,0)),$B1316))</f>
        <v>077A S-M חגורת גב</v>
      </c>
      <c r="I1316" s="8" t="str">
        <f aca="false">IF($G1316="","Unmatched","Matched")</f>
        <v>Matched</v>
      </c>
    </row>
    <row r="1317" customFormat="false" ht="15" hidden="false" customHeight="false" outlineLevel="0" collapsed="false">
      <c r="A1317" s="8" t="s">
        <v>814</v>
      </c>
      <c r="B1317" s="8" t="s">
        <v>454</v>
      </c>
      <c r="C1317" s="19" t="n">
        <v>4</v>
      </c>
      <c r="D1317" s="19" t="n">
        <v>345.14</v>
      </c>
      <c r="E1317" s="19" t="n">
        <v>117</v>
      </c>
      <c r="F1317" s="19" t="n">
        <v>9822.18</v>
      </c>
      <c r="G1317" s="8" t="n">
        <f aca="false">IFERROR(INDEX('TRANS'!$B:$B,MATCH($B1317,'TRANS'!$A:$A,0)),IFERROR(INDEX('TRANS'!$B:$B,MATCH(TRIM(SUBSTITUTE($B1317,CHAR(160)," ")),'TRANS'!$D:$D,0)),IFERROR(INDEX('Catalog'!$A:$A,MATCH($B1317,'Catalog'!$B:$B,0)),IFERROR(INDEX('Catalog'!$A:$A,MATCH(TRIM(SUBSTITUTE($B1317,CHAR(160)," ")),'Catalog'!$C:$C,0)),""))))</f>
        <v>4408190</v>
      </c>
      <c r="H1317" s="8" t="str">
        <f aca="false">IFERROR(INDEX('TRANS'!$C:$C,MATCH($B1317,'TRANS'!$A:$A,0)),IFERROR(INDEX('Catalog'!$B:$B,MATCH($G1317,'Catalog'!$A:$A,0)),$B1317))</f>
        <v>M078 חגורת גב +סגירה כפולה</v>
      </c>
      <c r="I1317" s="8" t="str">
        <f aca="false">IF($G1317="","Unmatched","Matched")</f>
        <v>Matched</v>
      </c>
    </row>
    <row r="1318" customFormat="false" ht="15" hidden="false" customHeight="false" outlineLevel="0" collapsed="false">
      <c r="A1318" s="8" t="s">
        <v>814</v>
      </c>
      <c r="B1318" s="8" t="s">
        <v>455</v>
      </c>
      <c r="C1318" s="19" t="n">
        <v>2</v>
      </c>
      <c r="D1318" s="19" t="n">
        <v>195.11</v>
      </c>
      <c r="E1318" s="19" t="n">
        <v>26</v>
      </c>
      <c r="F1318" s="19" t="n">
        <v>2328.25</v>
      </c>
      <c r="G1318" s="8" t="n">
        <f aca="false">IFERROR(INDEX('TRANS'!$B:$B,MATCH($B1318,'TRANS'!$A:$A,0)),IFERROR(INDEX('TRANS'!$B:$B,MATCH(TRIM(SUBSTITUTE($B1318,CHAR(160)," ")),'TRANS'!$D:$D,0)),IFERROR(INDEX('Catalog'!$A:$A,MATCH($B1318,'Catalog'!$B:$B,0)),IFERROR(INDEX('Catalog'!$A:$A,MATCH(TRIM(SUBSTITUTE($B1318,CHAR(160)," ")),'Catalog'!$C:$C,0)),""))))</f>
        <v>4408217</v>
      </c>
      <c r="H1318" s="8" t="str">
        <f aca="false">IFERROR(INDEX('TRANS'!$C:$C,MATCH($B1318,'TRANS'!$A:$A,0)),IFERROR(INDEX('Catalog'!$B:$B,MATCH($G1318,'Catalog'!$A:$A,0)),$B1318))</f>
        <v>S078 חגורת גב +סגירה כפולה</v>
      </c>
      <c r="I1318" s="8" t="str">
        <f aca="false">IF($G1318="","Unmatched","Matched")</f>
        <v>Matched</v>
      </c>
    </row>
    <row r="1319" customFormat="false" ht="15" hidden="false" customHeight="false" outlineLevel="0" collapsed="false">
      <c r="A1319" s="8" t="s">
        <v>814</v>
      </c>
      <c r="B1319" s="8" t="s">
        <v>456</v>
      </c>
      <c r="C1319" s="19" t="n">
        <v>1</v>
      </c>
      <c r="D1319" s="19" t="n">
        <v>78</v>
      </c>
      <c r="E1319" s="19" t="n">
        <v>18</v>
      </c>
      <c r="F1319" s="19" t="n">
        <v>1431.15</v>
      </c>
      <c r="G1319" s="8" t="n">
        <f aca="false">IFERROR(INDEX('TRANS'!$B:$B,MATCH($B1319,'TRANS'!$A:$A,0)),IFERROR(INDEX('TRANS'!$B:$B,MATCH(TRIM(SUBSTITUTE($B1319,CHAR(160)," ")),'TRANS'!$D:$D,0)),IFERROR(INDEX('Catalog'!$A:$A,MATCH($B1319,'Catalog'!$B:$B,0)),IFERROR(INDEX('Catalog'!$A:$A,MATCH(TRIM(SUBSTITUTE($B1319,CHAR(160)," ")),'Catalog'!$C:$C,0)),""))))</f>
        <v>4408265</v>
      </c>
      <c r="H1319" s="8" t="str">
        <f aca="false">IFERROR(INDEX('TRANS'!$C:$C,MATCH($B1319,'TRANS'!$A:$A,0)),IFERROR(INDEX('Catalog'!$B:$B,MATCH($G1319,'Catalog'!$A:$A,0)),$B1319))</f>
        <v>078XXL חגורת גב +סגירה כפולה</v>
      </c>
      <c r="I1319" s="8" t="str">
        <f aca="false">IF($G1319="","Unmatched","Matched")</f>
        <v>Matched</v>
      </c>
    </row>
    <row r="1320" customFormat="false" ht="15" hidden="false" customHeight="false" outlineLevel="0" collapsed="false">
      <c r="A1320" s="8" t="s">
        <v>814</v>
      </c>
      <c r="B1320" s="8" t="s">
        <v>740</v>
      </c>
      <c r="C1320" s="19" t="n">
        <v>0</v>
      </c>
      <c r="D1320" s="19" t="n">
        <v>0</v>
      </c>
      <c r="E1320" s="19" t="n">
        <v>2</v>
      </c>
      <c r="F1320" s="19" t="n">
        <v>180</v>
      </c>
      <c r="G1320" s="8" t="str">
        <f aca="false">IFERROR(INDEX('TRANS'!$B:$B,MATCH($B1320,'TRANS'!$A:$A,0)),IFERROR(INDEX('TRANS'!$B:$B,MATCH(TRIM(SUBSTITUTE($B1320,CHAR(160)," ")),'TRANS'!$D:$D,0)),IFERROR(INDEX('Catalog'!$A:$A,MATCH($B1320,'Catalog'!$B:$B,0)),IFERROR(INDEX('Catalog'!$A:$A,MATCH(TRIM(SUBSTITUTE($B1320,CHAR(160)," ")),'Catalog'!$C:$C,0)),""))))</f>
        <v/>
      </c>
      <c r="H1320" s="8" t="str">
        <f aca="false">IFERROR(INDEX('TRANS'!$C:$C,MATCH($B1320,'TRANS'!$A:$A,0)),IFERROR(INDEX('Catalog'!$B:$B,MATCH($G1320,'Catalog'!$A:$A,0)),$B1320))</f>
        <v>079 L</v>
      </c>
      <c r="I1320" s="8" t="str">
        <f aca="false">IF($G1320="","Unmatched","Matched")</f>
        <v>Unmatched</v>
      </c>
    </row>
    <row r="1321" customFormat="false" ht="15" hidden="false" customHeight="false" outlineLevel="0" collapsed="false">
      <c r="A1321" s="8" t="s">
        <v>814</v>
      </c>
      <c r="B1321" s="8" t="s">
        <v>63</v>
      </c>
      <c r="C1321" s="19" t="n">
        <v>0</v>
      </c>
      <c r="D1321" s="19" t="n">
        <v>0</v>
      </c>
      <c r="E1321" s="19" t="n">
        <v>2</v>
      </c>
      <c r="F1321" s="19" t="n">
        <v>180</v>
      </c>
      <c r="G1321" s="8" t="str">
        <f aca="false">IFERROR(INDEX('TRANS'!$B:$B,MATCH($B1321,'TRANS'!$A:$A,0)),IFERROR(INDEX('TRANS'!$B:$B,MATCH(TRIM(SUBSTITUTE($B1321,CHAR(160)," ")),'TRANS'!$D:$D,0)),IFERROR(INDEX('Catalog'!$A:$A,MATCH($B1321,'Catalog'!$B:$B,0)),IFERROR(INDEX('Catalog'!$A:$A,MATCH(TRIM(SUBSTITUTE($B1321,CHAR(160)," ")),'Catalog'!$C:$C,0)),""))))</f>
        <v/>
      </c>
      <c r="H1321" s="8" t="str">
        <f aca="false">IFERROR(INDEX('TRANS'!$C:$C,MATCH($B1321,'TRANS'!$A:$A,0)),IFERROR(INDEX('Catalog'!$B:$B,MATCH($G1321,'Catalog'!$A:$A,0)),$B1321))</f>
        <v>079 M</v>
      </c>
      <c r="I1321" s="8" t="str">
        <f aca="false">IF($G1321="","Unmatched","Matched")</f>
        <v>Unmatched</v>
      </c>
    </row>
    <row r="1322" customFormat="false" ht="15" hidden="false" customHeight="false" outlineLevel="0" collapsed="false">
      <c r="A1322" s="8" t="s">
        <v>814</v>
      </c>
      <c r="B1322" s="8" t="s">
        <v>819</v>
      </c>
      <c r="C1322" s="19" t="n">
        <v>0</v>
      </c>
      <c r="D1322" s="19" t="n">
        <v>0</v>
      </c>
      <c r="E1322" s="19" t="n">
        <v>1</v>
      </c>
      <c r="F1322" s="19" t="n">
        <v>89.99</v>
      </c>
      <c r="G1322" s="8" t="str">
        <f aca="false">IFERROR(INDEX('TRANS'!$B:$B,MATCH($B1322,'TRANS'!$A:$A,0)),IFERROR(INDEX('TRANS'!$B:$B,MATCH(TRIM(SUBSTITUTE($B1322,CHAR(160)," ")),'TRANS'!$D:$D,0)),IFERROR(INDEX('Catalog'!$A:$A,MATCH($B1322,'Catalog'!$B:$B,0)),IFERROR(INDEX('Catalog'!$A:$A,MATCH(TRIM(SUBSTITUTE($B1322,CHAR(160)," ")),'Catalog'!$C:$C,0)),""))))</f>
        <v/>
      </c>
      <c r="H1322" s="8" t="str">
        <f aca="false">IFERROR(INDEX('TRANS'!$C:$C,MATCH($B1322,'TRANS'!$A:$A,0)),IFERROR(INDEX('Catalog'!$B:$B,MATCH($G1322,'Catalog'!$A:$A,0)),$B1322))</f>
        <v>079 S</v>
      </c>
      <c r="I1322" s="8" t="str">
        <f aca="false">IF($G1322="","Unmatched","Matched")</f>
        <v>Unmatched</v>
      </c>
    </row>
    <row r="1323" customFormat="false" ht="15" hidden="false" customHeight="false" outlineLevel="0" collapsed="false">
      <c r="A1323" s="8" t="s">
        <v>814</v>
      </c>
      <c r="B1323" s="8" t="s">
        <v>616</v>
      </c>
      <c r="C1323" s="19" t="n">
        <v>0</v>
      </c>
      <c r="D1323" s="19" t="n">
        <v>0</v>
      </c>
      <c r="E1323" s="19" t="n">
        <v>2</v>
      </c>
      <c r="F1323" s="19" t="n">
        <v>180</v>
      </c>
      <c r="G1323" s="8" t="str">
        <f aca="false">IFERROR(INDEX('TRANS'!$B:$B,MATCH($B1323,'TRANS'!$A:$A,0)),IFERROR(INDEX('TRANS'!$B:$B,MATCH(TRIM(SUBSTITUTE($B1323,CHAR(160)," ")),'TRANS'!$D:$D,0)),IFERROR(INDEX('Catalog'!$A:$A,MATCH($B1323,'Catalog'!$B:$B,0)),IFERROR(INDEX('Catalog'!$A:$A,MATCH(TRIM(SUBSTITUTE($B1323,CHAR(160)," ")),'Catalog'!$C:$C,0)),""))))</f>
        <v/>
      </c>
      <c r="H1323" s="8" t="str">
        <f aca="false">IFERROR(INDEX('TRANS'!$C:$C,MATCH($B1323,'TRANS'!$A:$A,0)),IFERROR(INDEX('Catalog'!$B:$B,MATCH($G1323,'Catalog'!$A:$A,0)),$B1323))</f>
        <v>079 XL</v>
      </c>
      <c r="I1323" s="8" t="str">
        <f aca="false">IF($G1323="","Unmatched","Matched")</f>
        <v>Unmatched</v>
      </c>
    </row>
    <row r="1324" customFormat="false" ht="15" hidden="false" customHeight="false" outlineLevel="0" collapsed="false">
      <c r="A1324" s="8" t="s">
        <v>814</v>
      </c>
      <c r="B1324" s="8" t="s">
        <v>779</v>
      </c>
      <c r="C1324" s="19" t="n">
        <v>0</v>
      </c>
      <c r="D1324" s="19" t="n">
        <v>0</v>
      </c>
      <c r="E1324" s="19" t="n">
        <v>2</v>
      </c>
      <c r="F1324" s="19" t="n">
        <v>180</v>
      </c>
      <c r="G1324" s="8" t="str">
        <f aca="false">IFERROR(INDEX('TRANS'!$B:$B,MATCH($B1324,'TRANS'!$A:$A,0)),IFERROR(INDEX('TRANS'!$B:$B,MATCH(TRIM(SUBSTITUTE($B1324,CHAR(160)," ")),'TRANS'!$D:$D,0)),IFERROR(INDEX('Catalog'!$A:$A,MATCH($B1324,'Catalog'!$B:$B,0)),IFERROR(INDEX('Catalog'!$A:$A,MATCH(TRIM(SUBSTITUTE($B1324,CHAR(160)," ")),'Catalog'!$C:$C,0)),""))))</f>
        <v/>
      </c>
      <c r="H1324" s="8" t="str">
        <f aca="false">IFERROR(INDEX('TRANS'!$C:$C,MATCH($B1324,'TRANS'!$A:$A,0)),IFERROR(INDEX('Catalog'!$B:$B,MATCH($G1324,'Catalog'!$A:$A,0)),$B1324))</f>
        <v>079 XXL</v>
      </c>
      <c r="I1324" s="8" t="str">
        <f aca="false">IF($G1324="","Unmatched","Matched")</f>
        <v>Unmatched</v>
      </c>
    </row>
    <row r="1325" customFormat="false" ht="15" hidden="false" customHeight="false" outlineLevel="0" collapsed="false">
      <c r="A1325" s="8" t="s">
        <v>814</v>
      </c>
      <c r="B1325" s="8" t="s">
        <v>617</v>
      </c>
      <c r="C1325" s="19" t="n">
        <v>0</v>
      </c>
      <c r="D1325" s="19" t="n">
        <v>0</v>
      </c>
      <c r="E1325" s="19" t="n">
        <v>1</v>
      </c>
      <c r="F1325" s="19" t="n">
        <v>73.66</v>
      </c>
      <c r="G1325" s="8" t="n">
        <f aca="false">IFERROR(INDEX('TRANS'!$B:$B,MATCH($B1325,'TRANS'!$A:$A,0)),IFERROR(INDEX('TRANS'!$B:$B,MATCH(TRIM(SUBSTITUTE($B1325,CHAR(160)," ")),'TRANS'!$D:$D,0)),IFERROR(INDEX('Catalog'!$A:$A,MATCH($B1325,'Catalog'!$B:$B,0)),IFERROR(INDEX('Catalog'!$A:$A,MATCH(TRIM(SUBSTITUTE($B1325,CHAR(160)," ")),'Catalog'!$C:$C,0)),""))))</f>
        <v>4408034</v>
      </c>
      <c r="H1325" s="8" t="str">
        <f aca="false">IFERROR(INDEX('TRANS'!$C:$C,MATCH($B1325,'TRANS'!$A:$A,0)),IFERROR(INDEX('Catalog'!$B:$B,MATCH($G1325,'Catalog'!$A:$A,0)),$B1325))</f>
        <v>11 XL""""חגורת בטן""""אורירית</v>
      </c>
      <c r="I1325" s="8" t="str">
        <f aca="false">IF($G1325="","Unmatched","Matched")</f>
        <v>Matched</v>
      </c>
    </row>
    <row r="1326" customFormat="false" ht="15" hidden="false" customHeight="false" outlineLevel="0" collapsed="false">
      <c r="A1326" s="8" t="s">
        <v>814</v>
      </c>
      <c r="B1326" s="8" t="s">
        <v>618</v>
      </c>
      <c r="C1326" s="19" t="n">
        <v>0</v>
      </c>
      <c r="D1326" s="19" t="n">
        <v>0</v>
      </c>
      <c r="E1326" s="19" t="n">
        <v>1</v>
      </c>
      <c r="F1326" s="19" t="n">
        <v>73.66</v>
      </c>
      <c r="G1326" s="8" t="n">
        <f aca="false">IFERROR(INDEX('TRANS'!$B:$B,MATCH($B1326,'TRANS'!$A:$A,0)),IFERROR(INDEX('TRANS'!$B:$B,MATCH(TRIM(SUBSTITUTE($B1326,CHAR(160)," ")),'TRANS'!$D:$D,0)),IFERROR(INDEX('Catalog'!$A:$A,MATCH($B1326,'Catalog'!$B:$B,0)),IFERROR(INDEX('Catalog'!$A:$A,MATCH(TRIM(SUBSTITUTE($B1326,CHAR(160)," ")),'Catalog'!$C:$C,0)),""))))</f>
        <v>4408035</v>
      </c>
      <c r="H1326" s="8" t="str">
        <f aca="false">IFERROR(INDEX('TRANS'!$C:$C,MATCH($B1326,'TRANS'!$A:$A,0)),IFERROR(INDEX('Catalog'!$B:$B,MATCH($G1326,'Catalog'!$A:$A,0)),$B1326))</f>
        <v>11 XXL""""חגורת בטן""""אורירית</v>
      </c>
      <c r="I1326" s="8" t="str">
        <f aca="false">IF($G1326="","Unmatched","Matched")</f>
        <v>Matched</v>
      </c>
    </row>
    <row r="1327" customFormat="false" ht="15" hidden="false" customHeight="false" outlineLevel="0" collapsed="false">
      <c r="A1327" s="8" t="s">
        <v>814</v>
      </c>
      <c r="B1327" s="8" t="s">
        <v>78</v>
      </c>
      <c r="C1327" s="19" t="n">
        <v>0</v>
      </c>
      <c r="D1327" s="19" t="n">
        <v>0</v>
      </c>
      <c r="E1327" s="19" t="n">
        <v>1</v>
      </c>
      <c r="F1327" s="19" t="n">
        <v>89.33</v>
      </c>
      <c r="G1327" s="8" t="str">
        <f aca="false">IFERROR(INDEX('TRANS'!$B:$B,MATCH($B1327,'TRANS'!$A:$A,0)),IFERROR(INDEX('TRANS'!$B:$B,MATCH(TRIM(SUBSTITUTE($B1327,CHAR(160)," ")),'TRANS'!$D:$D,0)),IFERROR(INDEX('Catalog'!$A:$A,MATCH($B1327,'Catalog'!$B:$B,0)),IFERROR(INDEX('Catalog'!$A:$A,MATCH(TRIM(SUBSTITUTE($B1327,CHAR(160)," ")),'Catalog'!$C:$C,0)),""))))</f>
        <v/>
      </c>
      <c r="H1327" s="8" t="str">
        <f aca="false">IFERROR(INDEX('TRANS'!$C:$C,MATCH($B1327,'TRANS'!$A:$A,0)),IFERROR(INDEX('Catalog'!$B:$B,MATCH($G1327,'Catalog'!$A:$A,0)),$B1327))</f>
        <v>11UG XL</v>
      </c>
      <c r="I1327" s="8" t="str">
        <f aca="false">IF($G1327="","Unmatched","Matched")</f>
        <v>Unmatched</v>
      </c>
    </row>
    <row r="1328" customFormat="false" ht="15" hidden="false" customHeight="false" outlineLevel="0" collapsed="false">
      <c r="A1328" s="8" t="s">
        <v>814</v>
      </c>
      <c r="B1328" s="8" t="s">
        <v>80</v>
      </c>
      <c r="C1328" s="19" t="n">
        <v>0</v>
      </c>
      <c r="D1328" s="19" t="n">
        <v>0</v>
      </c>
      <c r="E1328" s="19" t="n">
        <v>1</v>
      </c>
      <c r="F1328" s="19" t="n">
        <v>99.66</v>
      </c>
      <c r="G1328" s="8" t="str">
        <f aca="false">IFERROR(INDEX('TRANS'!$B:$B,MATCH($B1328,'TRANS'!$A:$A,0)),IFERROR(INDEX('TRANS'!$B:$B,MATCH(TRIM(SUBSTITUTE($B1328,CHAR(160)," ")),'TRANS'!$D:$D,0)),IFERROR(INDEX('Catalog'!$A:$A,MATCH($B1328,'Catalog'!$B:$B,0)),IFERROR(INDEX('Catalog'!$A:$A,MATCH(TRIM(SUBSTITUTE($B1328,CHAR(160)," ")),'Catalog'!$C:$C,0)),""))))</f>
        <v/>
      </c>
      <c r="H1328" s="8" t="str">
        <f aca="false">IFERROR(INDEX('TRANS'!$C:$C,MATCH($B1328,'TRANS'!$A:$A,0)),IFERROR(INDEX('Catalog'!$B:$B,MATCH($G1328,'Catalog'!$A:$A,0)),$B1328))</f>
        <v>13 L</v>
      </c>
      <c r="I1328" s="8" t="str">
        <f aca="false">IF($G1328="","Unmatched","Matched")</f>
        <v>Unmatched</v>
      </c>
    </row>
    <row r="1329" customFormat="false" ht="15" hidden="false" customHeight="false" outlineLevel="0" collapsed="false">
      <c r="A1329" s="8" t="s">
        <v>814</v>
      </c>
      <c r="B1329" s="8" t="s">
        <v>345</v>
      </c>
      <c r="C1329" s="19" t="n">
        <v>0</v>
      </c>
      <c r="D1329" s="19" t="n">
        <v>0</v>
      </c>
      <c r="E1329" s="19" t="n">
        <v>1</v>
      </c>
      <c r="F1329" s="19" t="n">
        <v>99.67</v>
      </c>
      <c r="G1329" s="8" t="str">
        <f aca="false">IFERROR(INDEX('TRANS'!$B:$B,MATCH($B1329,'TRANS'!$A:$A,0)),IFERROR(INDEX('TRANS'!$B:$B,MATCH(TRIM(SUBSTITUTE($B1329,CHAR(160)," ")),'TRANS'!$D:$D,0)),IFERROR(INDEX('Catalog'!$A:$A,MATCH($B1329,'Catalog'!$B:$B,0)),IFERROR(INDEX('Catalog'!$A:$A,MATCH(TRIM(SUBSTITUTE($B1329,CHAR(160)," ")),'Catalog'!$C:$C,0)),""))))</f>
        <v/>
      </c>
      <c r="H1329" s="8" t="str">
        <f aca="false">IFERROR(INDEX('TRANS'!$C:$C,MATCH($B1329,'TRANS'!$A:$A,0)),IFERROR(INDEX('Catalog'!$B:$B,MATCH($G1329,'Catalog'!$A:$A,0)),$B1329))</f>
        <v>13 M</v>
      </c>
      <c r="I1329" s="8" t="str">
        <f aca="false">IF($G1329="","Unmatched","Matched")</f>
        <v>Unmatched</v>
      </c>
    </row>
    <row r="1330" customFormat="false" ht="15" hidden="false" customHeight="false" outlineLevel="0" collapsed="false">
      <c r="A1330" s="8" t="s">
        <v>814</v>
      </c>
      <c r="B1330" s="8" t="s">
        <v>620</v>
      </c>
      <c r="C1330" s="19" t="n">
        <v>0</v>
      </c>
      <c r="D1330" s="19" t="n">
        <v>0</v>
      </c>
      <c r="E1330" s="19" t="n">
        <v>2</v>
      </c>
      <c r="F1330" s="19" t="n">
        <v>199.33</v>
      </c>
      <c r="G1330" s="8" t="n">
        <f aca="false">IFERROR(INDEX('TRANS'!$B:$B,MATCH($B1330,'TRANS'!$A:$A,0)),IFERROR(INDEX('TRANS'!$B:$B,MATCH(TRIM(SUBSTITUTE($B1330,CHAR(160)," ")),'TRANS'!$D:$D,0)),IFERROR(INDEX('Catalog'!$A:$A,MATCH($B1330,'Catalog'!$B:$B,0)),IFERROR(INDEX('Catalog'!$A:$A,MATCH(TRIM(SUBSTITUTE($B1330,CHAR(160)," ")),'Catalog'!$C:$C,0)),""))))</f>
        <v>4408179</v>
      </c>
      <c r="H1330" s="8" t="str">
        <f aca="false">IFERROR(INDEX('TRANS'!$C:$C,MATCH($B1330,'TRANS'!$A:$A,0)),IFERROR(INDEX('Catalog'!$B:$B,MATCH($G1330,'Catalog'!$A:$A,0)),$B1330))</f>
        <v>13 XL חגורה לשבר טבור</v>
      </c>
      <c r="I1330" s="8" t="str">
        <f aca="false">IF($G1330="","Unmatched","Matched")</f>
        <v>Matched</v>
      </c>
    </row>
    <row r="1331" customFormat="false" ht="15" hidden="false" customHeight="false" outlineLevel="0" collapsed="false">
      <c r="A1331" s="8" t="s">
        <v>814</v>
      </c>
      <c r="B1331" s="8" t="s">
        <v>346</v>
      </c>
      <c r="C1331" s="19" t="n">
        <v>0</v>
      </c>
      <c r="D1331" s="19" t="n">
        <v>0</v>
      </c>
      <c r="E1331" s="19" t="n">
        <v>2</v>
      </c>
      <c r="F1331" s="19" t="n">
        <v>199.33</v>
      </c>
      <c r="G1331" s="8" t="n">
        <f aca="false">IFERROR(INDEX('TRANS'!$B:$B,MATCH($B1331,'TRANS'!$A:$A,0)),IFERROR(INDEX('TRANS'!$B:$B,MATCH(TRIM(SUBSTITUTE($B1331,CHAR(160)," ")),'TRANS'!$D:$D,0)),IFERROR(INDEX('Catalog'!$A:$A,MATCH($B1331,'Catalog'!$B:$B,0)),IFERROR(INDEX('Catalog'!$A:$A,MATCH(TRIM(SUBSTITUTE($B1331,CHAR(160)," ")),'Catalog'!$C:$C,0)),""))))</f>
        <v>4408180</v>
      </c>
      <c r="H1331" s="8" t="str">
        <f aca="false">IFERROR(INDEX('TRANS'!$C:$C,MATCH($B1331,'TRANS'!$A:$A,0)),IFERROR(INDEX('Catalog'!$B:$B,MATCH($G1331,'Catalog'!$A:$A,0)),$B1331))</f>
        <v>13 XXL חגורה לשבר טבור</v>
      </c>
      <c r="I1331" s="8" t="str">
        <f aca="false">IF($G1331="","Unmatched","Matched")</f>
        <v>Matched</v>
      </c>
    </row>
    <row r="1332" customFormat="false" ht="15" hidden="false" customHeight="false" outlineLevel="0" collapsed="false">
      <c r="A1332" s="8" t="s">
        <v>814</v>
      </c>
      <c r="B1332" s="8" t="s">
        <v>711</v>
      </c>
      <c r="C1332" s="19" t="n">
        <v>1</v>
      </c>
      <c r="D1332" s="19" t="n">
        <v>232.28</v>
      </c>
      <c r="E1332" s="19" t="n">
        <v>0</v>
      </c>
      <c r="F1332" s="19" t="n">
        <v>0</v>
      </c>
      <c r="G1332" s="8" t="str">
        <f aca="false">IFERROR(INDEX('TRANS'!$B:$B,MATCH($B1332,'TRANS'!$A:$A,0)),IFERROR(INDEX('TRANS'!$B:$B,MATCH(TRIM(SUBSTITUTE($B1332,CHAR(160)," ")),'TRANS'!$D:$D,0)),IFERROR(INDEX('Catalog'!$A:$A,MATCH($B1332,'Catalog'!$B:$B,0)),IFERROR(INDEX('Catalog'!$A:$A,MATCH(TRIM(SUBSTITUTE($B1332,CHAR(160)," ")),'Catalog'!$C:$C,0)),""))))</f>
        <v/>
      </c>
      <c r="H1332" s="8" t="str">
        <f aca="false">IFERROR(INDEX('TRANS'!$C:$C,MATCH($B1332,'TRANS'!$A:$A,0)),IFERROR(INDEX('Catalog'!$B:$B,MATCH($G1332,'Catalog'!$A:$A,0)),$B1332))</f>
        <v>18 L</v>
      </c>
      <c r="I1332" s="8" t="str">
        <f aca="false">IF($G1332="","Unmatched","Matched")</f>
        <v>Unmatched</v>
      </c>
    </row>
    <row r="1333" customFormat="false" ht="15" hidden="false" customHeight="false" outlineLevel="0" collapsed="false">
      <c r="A1333" s="8" t="s">
        <v>814</v>
      </c>
      <c r="B1333" s="8" t="s">
        <v>713</v>
      </c>
      <c r="C1333" s="19" t="n">
        <v>1</v>
      </c>
      <c r="D1333" s="19" t="n">
        <v>232.26</v>
      </c>
      <c r="E1333" s="19" t="n">
        <v>0</v>
      </c>
      <c r="F1333" s="19" t="n">
        <v>0</v>
      </c>
      <c r="G1333" s="8" t="str">
        <f aca="false">IFERROR(INDEX('TRANS'!$B:$B,MATCH($B1333,'TRANS'!$A:$A,0)),IFERROR(INDEX('TRANS'!$B:$B,MATCH(TRIM(SUBSTITUTE($B1333,CHAR(160)," ")),'TRANS'!$D:$D,0)),IFERROR(INDEX('Catalog'!$A:$A,MATCH($B1333,'Catalog'!$B:$B,0)),IFERROR(INDEX('Catalog'!$A:$A,MATCH(TRIM(SUBSTITUTE($B1333,CHAR(160)," ")),'Catalog'!$C:$C,0)),""))))</f>
        <v/>
      </c>
      <c r="H1333" s="8" t="str">
        <f aca="false">IFERROR(INDEX('TRANS'!$C:$C,MATCH($B1333,'TRANS'!$A:$A,0)),IFERROR(INDEX('Catalog'!$B:$B,MATCH($G1333,'Catalog'!$A:$A,0)),$B1333))</f>
        <v>18 XL</v>
      </c>
      <c r="I1333" s="8" t="str">
        <f aca="false">IF($G1333="","Unmatched","Matched")</f>
        <v>Unmatched</v>
      </c>
    </row>
    <row r="1334" customFormat="false" ht="15" hidden="false" customHeight="false" outlineLevel="0" collapsed="false">
      <c r="A1334" s="8" t="s">
        <v>814</v>
      </c>
      <c r="B1334" s="8" t="s">
        <v>737</v>
      </c>
      <c r="C1334" s="19" t="n">
        <v>1</v>
      </c>
      <c r="D1334" s="19" t="n">
        <v>232.26</v>
      </c>
      <c r="E1334" s="19" t="n">
        <v>0</v>
      </c>
      <c r="F1334" s="19" t="n">
        <v>0</v>
      </c>
      <c r="G1334" s="8" t="str">
        <f aca="false">IFERROR(INDEX('TRANS'!$B:$B,MATCH($B1334,'TRANS'!$A:$A,0)),IFERROR(INDEX('TRANS'!$B:$B,MATCH(TRIM(SUBSTITUTE($B1334,CHAR(160)," ")),'TRANS'!$D:$D,0)),IFERROR(INDEX('Catalog'!$A:$A,MATCH($B1334,'Catalog'!$B:$B,0)),IFERROR(INDEX('Catalog'!$A:$A,MATCH(TRIM(SUBSTITUTE($B1334,CHAR(160)," ")),'Catalog'!$C:$C,0)),""))))</f>
        <v/>
      </c>
      <c r="H1334" s="8" t="str">
        <f aca="false">IFERROR(INDEX('TRANS'!$C:$C,MATCH($B1334,'TRANS'!$A:$A,0)),IFERROR(INDEX('Catalog'!$B:$B,MATCH($G1334,'Catalog'!$A:$A,0)),$B1334))</f>
        <v>18 XXL</v>
      </c>
      <c r="I1334" s="8" t="str">
        <f aca="false">IF($G1334="","Unmatched","Matched")</f>
        <v>Unmatched</v>
      </c>
    </row>
    <row r="1335" customFormat="false" ht="15" hidden="false" customHeight="false" outlineLevel="0" collapsed="false">
      <c r="A1335" s="8" t="s">
        <v>814</v>
      </c>
      <c r="B1335" s="8" t="s">
        <v>686</v>
      </c>
      <c r="C1335" s="19" t="n">
        <v>3</v>
      </c>
      <c r="D1335" s="19" t="n">
        <v>90.83</v>
      </c>
      <c r="E1335" s="19" t="n">
        <v>3</v>
      </c>
      <c r="F1335" s="19" t="n">
        <v>95.27</v>
      </c>
      <c r="G1335" s="8" t="n">
        <f aca="false">IFERROR(INDEX('TRANS'!$B:$B,MATCH($B1335,'TRANS'!$A:$A,0)),IFERROR(INDEX('TRANS'!$B:$B,MATCH(TRIM(SUBSTITUTE($B1335,CHAR(160)," ")),'TRANS'!$D:$D,0)),IFERROR(INDEX('Catalog'!$A:$A,MATCH($B1335,'Catalog'!$B:$B,0)),IFERROR(INDEX('Catalog'!$A:$A,MATCH(TRIM(SUBSTITUTE($B1335,CHAR(160)," ")),'Catalog'!$C:$C,0)),""))))</f>
        <v>4408046</v>
      </c>
      <c r="H1335" s="8" t="str">
        <f aca="false">IFERROR(INDEX('TRANS'!$C:$C,MATCH($B1335,'TRANS'!$A:$A,0)),IFERROR(INDEX('Catalog'!$B:$B,MATCH($G1335,'Catalog'!$A:$A,0)),$B1335))</f>
        <v>20 L חבק יד מתכוון עם צמדן</v>
      </c>
      <c r="I1335" s="8" t="str">
        <f aca="false">IF($G1335="","Unmatched","Matched")</f>
        <v>Matched</v>
      </c>
    </row>
    <row r="1336" customFormat="false" ht="15" hidden="false" customHeight="false" outlineLevel="0" collapsed="false">
      <c r="A1336" s="8" t="s">
        <v>814</v>
      </c>
      <c r="B1336" s="8" t="s">
        <v>621</v>
      </c>
      <c r="C1336" s="19" t="n">
        <v>3</v>
      </c>
      <c r="D1336" s="19" t="n">
        <v>90.83</v>
      </c>
      <c r="E1336" s="19" t="n">
        <v>2</v>
      </c>
      <c r="F1336" s="19" t="n">
        <v>66.47</v>
      </c>
      <c r="G1336" s="8" t="n">
        <f aca="false">IFERROR(INDEX('TRANS'!$B:$B,MATCH($B1336,'TRANS'!$A:$A,0)),IFERROR(INDEX('TRANS'!$B:$B,MATCH(TRIM(SUBSTITUTE($B1336,CHAR(160)," ")),'TRANS'!$D:$D,0)),IFERROR(INDEX('Catalog'!$A:$A,MATCH($B1336,'Catalog'!$B:$B,0)),IFERROR(INDEX('Catalog'!$A:$A,MATCH(TRIM(SUBSTITUTE($B1336,CHAR(160)," ")),'Catalog'!$C:$C,0)),""))))</f>
        <v>4408047</v>
      </c>
      <c r="H1336" s="8" t="str">
        <f aca="false">IFERROR(INDEX('TRANS'!$C:$C,MATCH($B1336,'TRANS'!$A:$A,0)),IFERROR(INDEX('Catalog'!$B:$B,MATCH($G1336,'Catalog'!$A:$A,0)),$B1336))</f>
        <v>20 M חבק יד מתכוון עם צמדן</v>
      </c>
      <c r="I1336" s="8" t="str">
        <f aca="false">IF($G1336="","Unmatched","Matched")</f>
        <v>Matched</v>
      </c>
    </row>
    <row r="1337" customFormat="false" ht="15" hidden="false" customHeight="false" outlineLevel="0" collapsed="false">
      <c r="A1337" s="8" t="s">
        <v>814</v>
      </c>
      <c r="B1337" s="8" t="s">
        <v>622</v>
      </c>
      <c r="C1337" s="19" t="n">
        <v>3</v>
      </c>
      <c r="D1337" s="19" t="n">
        <v>90.93</v>
      </c>
      <c r="E1337" s="19" t="n">
        <v>0</v>
      </c>
      <c r="F1337" s="19" t="n">
        <v>0</v>
      </c>
      <c r="G1337" s="8" t="n">
        <f aca="false">IFERROR(INDEX('TRANS'!$B:$B,MATCH($B1337,'TRANS'!$A:$A,0)),IFERROR(INDEX('TRANS'!$B:$B,MATCH(TRIM(SUBSTITUTE($B1337,CHAR(160)," ")),'TRANS'!$D:$D,0)),IFERROR(INDEX('Catalog'!$A:$A,MATCH($B1337,'Catalog'!$B:$B,0)),IFERROR(INDEX('Catalog'!$A:$A,MATCH(TRIM(SUBSTITUTE($B1337,CHAR(160)," ")),'Catalog'!$C:$C,0)),""))))</f>
        <v>4408048</v>
      </c>
      <c r="H1337" s="8" t="str">
        <f aca="false">IFERROR(INDEX('TRANS'!$C:$C,MATCH($B1337,'TRANS'!$A:$A,0)),IFERROR(INDEX('Catalog'!$B:$B,MATCH($G1337,'Catalog'!$A:$A,0)),$B1337))</f>
        <v>20 S חבק יד מתכוון עם צמדן</v>
      </c>
      <c r="I1337" s="8" t="str">
        <f aca="false">IF($G1337="","Unmatched","Matched")</f>
        <v>Matched</v>
      </c>
    </row>
    <row r="1338" customFormat="false" ht="15" hidden="false" customHeight="false" outlineLevel="0" collapsed="false">
      <c r="A1338" s="8" t="s">
        <v>814</v>
      </c>
      <c r="B1338" s="8" t="s">
        <v>562</v>
      </c>
      <c r="C1338" s="19" t="n">
        <v>4</v>
      </c>
      <c r="D1338" s="19" t="n">
        <v>124.08</v>
      </c>
      <c r="E1338" s="19" t="n">
        <v>3</v>
      </c>
      <c r="F1338" s="19" t="n">
        <v>99.7</v>
      </c>
      <c r="G1338" s="8" t="n">
        <f aca="false">IFERROR(INDEX('TRANS'!$B:$B,MATCH($B1338,'TRANS'!$A:$A,0)),IFERROR(INDEX('TRANS'!$B:$B,MATCH(TRIM(SUBSTITUTE($B1338,CHAR(160)," ")),'TRANS'!$D:$D,0)),IFERROR(INDEX('Catalog'!$A:$A,MATCH($B1338,'Catalog'!$B:$B,0)),IFERROR(INDEX('Catalog'!$A:$A,MATCH(TRIM(SUBSTITUTE($B1338,CHAR(160)," ")),'Catalog'!$C:$C,0)),""))))</f>
        <v>4408049</v>
      </c>
      <c r="H1338" s="8" t="str">
        <f aca="false">IFERROR(INDEX('TRANS'!$C:$C,MATCH($B1338,'TRANS'!$A:$A,0)),IFERROR(INDEX('Catalog'!$B:$B,MATCH($G1338,'Catalog'!$A:$A,0)),$B1338))</f>
        <v>20 XL חבק יד מתכוון עם צמדן</v>
      </c>
      <c r="I1338" s="8" t="str">
        <f aca="false">IF($G1338="","Unmatched","Matched")</f>
        <v>Matched</v>
      </c>
    </row>
    <row r="1339" customFormat="false" ht="15" hidden="false" customHeight="false" outlineLevel="0" collapsed="false">
      <c r="A1339" s="8" t="s">
        <v>814</v>
      </c>
      <c r="B1339" s="8" t="s">
        <v>714</v>
      </c>
      <c r="C1339" s="19" t="n">
        <v>1</v>
      </c>
      <c r="D1339" s="19" t="n">
        <v>33.23</v>
      </c>
      <c r="E1339" s="19" t="n">
        <v>2</v>
      </c>
      <c r="F1339" s="19" t="n">
        <v>57.6</v>
      </c>
      <c r="G1339" s="8" t="n">
        <f aca="false">IFERROR(INDEX('TRANS'!$B:$B,MATCH($B1339,'TRANS'!$A:$A,0)),IFERROR(INDEX('TRANS'!$B:$B,MATCH(TRIM(SUBSTITUTE($B1339,CHAR(160)," ")),'TRANS'!$D:$D,0)),IFERROR(INDEX('Catalog'!$A:$A,MATCH($B1339,'Catalog'!$B:$B,0)),IFERROR(INDEX('Catalog'!$A:$A,MATCH(TRIM(SUBSTITUTE($B1339,CHAR(160)," ")),'Catalog'!$C:$C,0)),""))))</f>
        <v>4408050</v>
      </c>
      <c r="H1339" s="8" t="str">
        <f aca="false">IFERROR(INDEX('TRANS'!$C:$C,MATCH($B1339,'TRANS'!$A:$A,0)),IFERROR(INDEX('Catalog'!$B:$B,MATCH($G1339,'Catalog'!$A:$A,0)),$B1339))</f>
        <v>20 XXL חבק יד מתכוון עם צמדן</v>
      </c>
      <c r="I1339" s="8" t="str">
        <f aca="false">IF($G1339="","Unmatched","Matched")</f>
        <v>Matched</v>
      </c>
    </row>
    <row r="1340" customFormat="false" ht="15" hidden="false" customHeight="false" outlineLevel="0" collapsed="false">
      <c r="A1340" s="8" t="s">
        <v>814</v>
      </c>
      <c r="B1340" s="8" t="s">
        <v>463</v>
      </c>
      <c r="C1340" s="19" t="n">
        <v>0</v>
      </c>
      <c r="D1340" s="19" t="n">
        <v>0</v>
      </c>
      <c r="E1340" s="19" t="n">
        <v>9</v>
      </c>
      <c r="F1340" s="19" t="n">
        <v>365.23</v>
      </c>
      <c r="G1340" s="8" t="n">
        <f aca="false">IFERROR(INDEX('TRANS'!$B:$B,MATCH($B1340,'TRANS'!$A:$A,0)),IFERROR(INDEX('TRANS'!$B:$B,MATCH(TRIM(SUBSTITUTE($B1340,CHAR(160)," ")),'TRANS'!$D:$D,0)),IFERROR(INDEX('Catalog'!$A:$A,MATCH($B1340,'Catalog'!$B:$B,0)),IFERROR(INDEX('Catalog'!$A:$A,MATCH(TRIM(SUBSTITUTE($B1340,CHAR(160)," ")),'Catalog'!$C:$C,0)),""))))</f>
        <v>4408275</v>
      </c>
      <c r="H1340" s="8" t="str">
        <f aca="false">IFERROR(INDEX('TRANS'!$C:$C,MATCH($B1340,'TRANS'!$A:$A,0)),IFERROR(INDEX('Catalog'!$B:$B,MATCH($G1340,'Catalog'!$A:$A,0)),$B1340))</f>
        <v>202  ONE SIZE חבק יד</v>
      </c>
      <c r="I1340" s="8" t="str">
        <f aca="false">IF($G1340="","Unmatched","Matched")</f>
        <v>Matched</v>
      </c>
    </row>
    <row r="1341" customFormat="false" ht="15" hidden="false" customHeight="false" outlineLevel="0" collapsed="false">
      <c r="A1341" s="8" t="s">
        <v>814</v>
      </c>
      <c r="B1341" s="8" t="s">
        <v>347</v>
      </c>
      <c r="C1341" s="19" t="n">
        <v>6</v>
      </c>
      <c r="D1341" s="19" t="n">
        <v>228.19</v>
      </c>
      <c r="E1341" s="19" t="n">
        <v>5</v>
      </c>
      <c r="F1341" s="19" t="n">
        <v>193.66</v>
      </c>
      <c r="G1341" s="8" t="n">
        <f aca="false">IFERROR(INDEX('TRANS'!$B:$B,MATCH($B1341,'TRANS'!$A:$A,0)),IFERROR(INDEX('TRANS'!$B:$B,MATCH(TRIM(SUBSTITUTE($B1341,CHAR(160)," ")),'TRANS'!$D:$D,0)),IFERROR(INDEX('Catalog'!$A:$A,MATCH($B1341,'Catalog'!$B:$B,0)),IFERROR(INDEX('Catalog'!$A:$A,MATCH(TRIM(SUBSTITUTE($B1341,CHAR(160)," ")),'Catalog'!$C:$C,0)),""))))</f>
        <v>4408052</v>
      </c>
      <c r="H1341" s="8" t="str">
        <f aca="false">IFERROR(INDEX('TRANS'!$C:$C,MATCH($B1341,'TRANS'!$A:$A,0)),IFERROR(INDEX('Catalog'!$B:$B,MATCH($G1341,'Catalog'!$A:$A,0)),$B1341))</f>
        <v>21 L  חבק יד ארוך</v>
      </c>
      <c r="I1341" s="8" t="str">
        <f aca="false">IF($G1341="","Unmatched","Matched")</f>
        <v>Matched</v>
      </c>
    </row>
    <row r="1342" customFormat="false" ht="15" hidden="false" customHeight="false" outlineLevel="0" collapsed="false">
      <c r="A1342" s="8" t="s">
        <v>814</v>
      </c>
      <c r="B1342" s="8" t="s">
        <v>92</v>
      </c>
      <c r="C1342" s="19" t="n">
        <v>6</v>
      </c>
      <c r="D1342" s="19" t="n">
        <v>222.86</v>
      </c>
      <c r="E1342" s="19" t="n">
        <v>5</v>
      </c>
      <c r="F1342" s="19" t="n">
        <v>193.66</v>
      </c>
      <c r="G1342" s="8" t="n">
        <f aca="false">IFERROR(INDEX('TRANS'!$B:$B,MATCH($B1342,'TRANS'!$A:$A,0)),IFERROR(INDEX('TRANS'!$B:$B,MATCH(TRIM(SUBSTITUTE($B1342,CHAR(160)," ")),'TRANS'!$D:$D,0)),IFERROR(INDEX('Catalog'!$A:$A,MATCH($B1342,'Catalog'!$B:$B,0)),IFERROR(INDEX('Catalog'!$A:$A,MATCH(TRIM(SUBSTITUTE($B1342,CHAR(160)," ")),'Catalog'!$C:$C,0)),""))))</f>
        <v>4408053</v>
      </c>
      <c r="H1342" s="8" t="str">
        <f aca="false">IFERROR(INDEX('TRANS'!$C:$C,MATCH($B1342,'TRANS'!$A:$A,0)),IFERROR(INDEX('Catalog'!$B:$B,MATCH($G1342,'Catalog'!$A:$A,0)),$B1342))</f>
        <v>21 M  חבק יד ארוך</v>
      </c>
      <c r="I1342" s="8" t="str">
        <f aca="false">IF($G1342="","Unmatched","Matched")</f>
        <v>Matched</v>
      </c>
    </row>
    <row r="1343" customFormat="false" ht="15" hidden="false" customHeight="false" outlineLevel="0" collapsed="false">
      <c r="A1343" s="8" t="s">
        <v>814</v>
      </c>
      <c r="B1343" s="8" t="s">
        <v>348</v>
      </c>
      <c r="C1343" s="19" t="n">
        <v>5</v>
      </c>
      <c r="D1343" s="19" t="n">
        <v>183.11</v>
      </c>
      <c r="E1343" s="19" t="n">
        <v>3</v>
      </c>
      <c r="F1343" s="19" t="n">
        <v>119.44</v>
      </c>
      <c r="G1343" s="8" t="n">
        <f aca="false">IFERROR(INDEX('TRANS'!$B:$B,MATCH($B1343,'TRANS'!$A:$A,0)),IFERROR(INDEX('TRANS'!$B:$B,MATCH(TRIM(SUBSTITUTE($B1343,CHAR(160)," ")),'TRANS'!$D:$D,0)),IFERROR(INDEX('Catalog'!$A:$A,MATCH($B1343,'Catalog'!$B:$B,0)),IFERROR(INDEX('Catalog'!$A:$A,MATCH(TRIM(SUBSTITUTE($B1343,CHAR(160)," ")),'Catalog'!$C:$C,0)),""))))</f>
        <v>4408051</v>
      </c>
      <c r="H1343" s="8" t="str">
        <f aca="false">IFERROR(INDEX('TRANS'!$C:$C,MATCH($B1343,'TRANS'!$A:$A,0)),IFERROR(INDEX('Catalog'!$B:$B,MATCH($G1343,'Catalog'!$A:$A,0)),$B1343))</f>
        <v>21 S  חבק יד ארוך</v>
      </c>
      <c r="I1343" s="8" t="str">
        <f aca="false">IF($G1343="","Unmatched","Matched")</f>
        <v>Matched</v>
      </c>
    </row>
    <row r="1344" customFormat="false" ht="15" hidden="false" customHeight="false" outlineLevel="0" collapsed="false">
      <c r="A1344" s="8" t="s">
        <v>814</v>
      </c>
      <c r="B1344" s="8" t="s">
        <v>349</v>
      </c>
      <c r="C1344" s="19" t="n">
        <v>4</v>
      </c>
      <c r="D1344" s="19" t="n">
        <v>153.88</v>
      </c>
      <c r="E1344" s="19" t="n">
        <v>4</v>
      </c>
      <c r="F1344" s="19" t="n">
        <v>159.17</v>
      </c>
      <c r="G1344" s="8" t="n">
        <f aca="false">IFERROR(INDEX('TRANS'!$B:$B,MATCH($B1344,'TRANS'!$A:$A,0)),IFERROR(INDEX('TRANS'!$B:$B,MATCH(TRIM(SUBSTITUTE($B1344,CHAR(160)," ")),'TRANS'!$D:$D,0)),IFERROR(INDEX('Catalog'!$A:$A,MATCH($B1344,'Catalog'!$B:$B,0)),IFERROR(INDEX('Catalog'!$A:$A,MATCH(TRIM(SUBSTITUTE($B1344,CHAR(160)," ")),'Catalog'!$C:$C,0)),""))))</f>
        <v>4408054</v>
      </c>
      <c r="H1344" s="8" t="str">
        <f aca="false">IFERROR(INDEX('TRANS'!$C:$C,MATCH($B1344,'TRANS'!$A:$A,0)),IFERROR(INDEX('Catalog'!$B:$B,MATCH($G1344,'Catalog'!$A:$A,0)),$B1344))</f>
        <v>21 XL חבק יד ארוך</v>
      </c>
      <c r="I1344" s="8" t="str">
        <f aca="false">IF($G1344="","Unmatched","Matched")</f>
        <v>Matched</v>
      </c>
    </row>
    <row r="1345" customFormat="false" ht="15" hidden="false" customHeight="false" outlineLevel="0" collapsed="false">
      <c r="A1345" s="8" t="s">
        <v>814</v>
      </c>
      <c r="B1345" s="8" t="s">
        <v>465</v>
      </c>
      <c r="C1345" s="19" t="n">
        <v>3</v>
      </c>
      <c r="D1345" s="19" t="n">
        <v>270</v>
      </c>
      <c r="E1345" s="19" t="n">
        <v>1</v>
      </c>
      <c r="F1345" s="19" t="n">
        <v>117.13</v>
      </c>
      <c r="G1345" s="8" t="n">
        <f aca="false">IFERROR(INDEX('TRANS'!$B:$B,MATCH($B1345,'TRANS'!$A:$A,0)),IFERROR(INDEX('TRANS'!$B:$B,MATCH(TRIM(SUBSTITUTE($B1345,CHAR(160)," ")),'TRANS'!$D:$D,0)),IFERROR(INDEX('Catalog'!$A:$A,MATCH($B1345,'Catalog'!$B:$B,0)),IFERROR(INDEX('Catalog'!$A:$A,MATCH(TRIM(SUBSTITUTE($B1345,CHAR(160)," ")),'Catalog'!$C:$C,0)),""))))</f>
        <v>4411026</v>
      </c>
      <c r="H1345" s="8" t="str">
        <f aca="false">IFERROR(INDEX('TRANS'!$C:$C,MATCH($B1345,'TRANS'!$A:$A,0)),IFERROR(INDEX('Catalog'!$B:$B,MATCH($G1345,'Catalog'!$A:$A,0)),$B1345))</f>
        <v>213CTSL L שמאל CTS כפפות</v>
      </c>
      <c r="I1345" s="8" t="str">
        <f aca="false">IF($G1345="","Unmatched","Matched")</f>
        <v>Matched</v>
      </c>
    </row>
    <row r="1346" customFormat="false" ht="15" hidden="false" customHeight="false" outlineLevel="0" collapsed="false">
      <c r="A1346" s="8" t="s">
        <v>814</v>
      </c>
      <c r="B1346" s="8" t="s">
        <v>466</v>
      </c>
      <c r="C1346" s="19" t="n">
        <v>3</v>
      </c>
      <c r="D1346" s="19" t="n">
        <v>270</v>
      </c>
      <c r="E1346" s="19" t="n">
        <v>2</v>
      </c>
      <c r="F1346" s="19" t="n">
        <v>207.13</v>
      </c>
      <c r="G1346" s="8" t="n">
        <f aca="false">IFERROR(INDEX('TRANS'!$B:$B,MATCH($B1346,'TRANS'!$A:$A,0)),IFERROR(INDEX('TRANS'!$B:$B,MATCH(TRIM(SUBSTITUTE($B1346,CHAR(160)," ")),'TRANS'!$D:$D,0)),IFERROR(INDEX('Catalog'!$A:$A,MATCH($B1346,'Catalog'!$B:$B,0)),IFERROR(INDEX('Catalog'!$A:$A,MATCH(TRIM(SUBSTITUTE($B1346,CHAR(160)," ")),'Catalog'!$C:$C,0)),""))))</f>
        <v>4411027</v>
      </c>
      <c r="H1346" s="8" t="str">
        <f aca="false">IFERROR(INDEX('TRANS'!$C:$C,MATCH($B1346,'TRANS'!$A:$A,0)),IFERROR(INDEX('Catalog'!$B:$B,MATCH($G1346,'Catalog'!$A:$A,0)),$B1346))</f>
        <v>213CTSL M שמאל CTS כפפות</v>
      </c>
      <c r="I1346" s="8" t="str">
        <f aca="false">IF($G1346="","Unmatched","Matched")</f>
        <v>Matched</v>
      </c>
    </row>
    <row r="1347" customFormat="false" ht="15" hidden="false" customHeight="false" outlineLevel="0" collapsed="false">
      <c r="A1347" s="8" t="s">
        <v>814</v>
      </c>
      <c r="B1347" s="8" t="s">
        <v>467</v>
      </c>
      <c r="C1347" s="19" t="n">
        <v>3</v>
      </c>
      <c r="D1347" s="19" t="n">
        <v>270</v>
      </c>
      <c r="E1347" s="19" t="n">
        <v>1</v>
      </c>
      <c r="F1347" s="19" t="n">
        <v>117.13</v>
      </c>
      <c r="G1347" s="8" t="n">
        <f aca="false">IFERROR(INDEX('TRANS'!$B:$B,MATCH($B1347,'TRANS'!$A:$A,0)),IFERROR(INDEX('TRANS'!$B:$B,MATCH(TRIM(SUBSTITUTE($B1347,CHAR(160)," ")),'TRANS'!$D:$D,0)),IFERROR(INDEX('Catalog'!$A:$A,MATCH($B1347,'Catalog'!$B:$B,0)),IFERROR(INDEX('Catalog'!$A:$A,MATCH(TRIM(SUBSTITUTE($B1347,CHAR(160)," ")),'Catalog'!$C:$C,0)),""))))</f>
        <v>4411028</v>
      </c>
      <c r="H1347" s="8" t="str">
        <f aca="false">IFERROR(INDEX('TRANS'!$C:$C,MATCH($B1347,'TRANS'!$A:$A,0)),IFERROR(INDEX('Catalog'!$B:$B,MATCH($G1347,'Catalog'!$A:$A,0)),$B1347))</f>
        <v>213CTSL S שמאל CTS כפפות</v>
      </c>
      <c r="I1347" s="8" t="str">
        <f aca="false">IF($G1347="","Unmatched","Matched")</f>
        <v>Matched</v>
      </c>
    </row>
    <row r="1348" customFormat="false" ht="15" hidden="false" customHeight="false" outlineLevel="0" collapsed="false">
      <c r="A1348" s="8" t="s">
        <v>814</v>
      </c>
      <c r="B1348" s="8" t="s">
        <v>468</v>
      </c>
      <c r="C1348" s="19" t="n">
        <v>3</v>
      </c>
      <c r="D1348" s="19" t="n">
        <v>270</v>
      </c>
      <c r="E1348" s="19" t="n">
        <v>1</v>
      </c>
      <c r="F1348" s="19" t="n">
        <v>117.13</v>
      </c>
      <c r="G1348" s="8" t="n">
        <f aca="false">IFERROR(INDEX('TRANS'!$B:$B,MATCH($B1348,'TRANS'!$A:$A,0)),IFERROR(INDEX('TRANS'!$B:$B,MATCH(TRIM(SUBSTITUTE($B1348,CHAR(160)," ")),'TRANS'!$D:$D,0)),IFERROR(INDEX('Catalog'!$A:$A,MATCH($B1348,'Catalog'!$B:$B,0)),IFERROR(INDEX('Catalog'!$A:$A,MATCH(TRIM(SUBSTITUTE($B1348,CHAR(160)," ")),'Catalog'!$C:$C,0)),""))))</f>
        <v>4411029</v>
      </c>
      <c r="H1348" s="8" t="str">
        <f aca="false">IFERROR(INDEX('TRANS'!$C:$C,MATCH($B1348,'TRANS'!$A:$A,0)),IFERROR(INDEX('Catalog'!$B:$B,MATCH($G1348,'Catalog'!$A:$A,0)),$B1348))</f>
        <v>213CTSR L ימין CTS כפפות</v>
      </c>
      <c r="I1348" s="8" t="str">
        <f aca="false">IF($G1348="","Unmatched","Matched")</f>
        <v>Matched</v>
      </c>
    </row>
    <row r="1349" customFormat="false" ht="15" hidden="false" customHeight="false" outlineLevel="0" collapsed="false">
      <c r="A1349" s="8" t="s">
        <v>814</v>
      </c>
      <c r="B1349" s="8" t="s">
        <v>469</v>
      </c>
      <c r="C1349" s="19" t="n">
        <v>3</v>
      </c>
      <c r="D1349" s="19" t="n">
        <v>270</v>
      </c>
      <c r="E1349" s="19" t="n">
        <v>2</v>
      </c>
      <c r="F1349" s="19" t="n">
        <v>207.13</v>
      </c>
      <c r="G1349" s="8" t="n">
        <f aca="false">IFERROR(INDEX('TRANS'!$B:$B,MATCH($B1349,'TRANS'!$A:$A,0)),IFERROR(INDEX('TRANS'!$B:$B,MATCH(TRIM(SUBSTITUTE($B1349,CHAR(160)," ")),'TRANS'!$D:$D,0)),IFERROR(INDEX('Catalog'!$A:$A,MATCH($B1349,'Catalog'!$B:$B,0)),IFERROR(INDEX('Catalog'!$A:$A,MATCH(TRIM(SUBSTITUTE($B1349,CHAR(160)," ")),'Catalog'!$C:$C,0)),""))))</f>
        <v>4411030</v>
      </c>
      <c r="H1349" s="8" t="str">
        <f aca="false">IFERROR(INDEX('TRANS'!$C:$C,MATCH($B1349,'TRANS'!$A:$A,0)),IFERROR(INDEX('Catalog'!$B:$B,MATCH($G1349,'Catalog'!$A:$A,0)),$B1349))</f>
        <v>213CTSR M ימין CTS כפפות</v>
      </c>
      <c r="I1349" s="8" t="str">
        <f aca="false">IF($G1349="","Unmatched","Matched")</f>
        <v>Matched</v>
      </c>
    </row>
    <row r="1350" customFormat="false" ht="15" hidden="false" customHeight="false" outlineLevel="0" collapsed="false">
      <c r="A1350" s="8" t="s">
        <v>814</v>
      </c>
      <c r="B1350" s="8" t="s">
        <v>470</v>
      </c>
      <c r="C1350" s="19" t="n">
        <v>3</v>
      </c>
      <c r="D1350" s="19" t="n">
        <v>270</v>
      </c>
      <c r="E1350" s="19" t="n">
        <v>1</v>
      </c>
      <c r="F1350" s="19" t="n">
        <v>117.13</v>
      </c>
      <c r="G1350" s="8" t="n">
        <f aca="false">IFERROR(INDEX('TRANS'!$B:$B,MATCH($B1350,'TRANS'!$A:$A,0)),IFERROR(INDEX('TRANS'!$B:$B,MATCH(TRIM(SUBSTITUTE($B1350,CHAR(160)," ")),'TRANS'!$D:$D,0)),IFERROR(INDEX('Catalog'!$A:$A,MATCH($B1350,'Catalog'!$B:$B,0)),IFERROR(INDEX('Catalog'!$A:$A,MATCH(TRIM(SUBSTITUTE($B1350,CHAR(160)," ")),'Catalog'!$C:$C,0)),""))))</f>
        <v>4411031</v>
      </c>
      <c r="H1350" s="8" t="str">
        <f aca="false">IFERROR(INDEX('TRANS'!$C:$C,MATCH($B1350,'TRANS'!$A:$A,0)),IFERROR(INDEX('Catalog'!$B:$B,MATCH($G1350,'Catalog'!$A:$A,0)),$B1350))</f>
        <v>213CTS  S ימין CTS כפפות</v>
      </c>
      <c r="I1350" s="8" t="str">
        <f aca="false">IF($G1350="","Unmatched","Matched")</f>
        <v>Matched</v>
      </c>
    </row>
    <row r="1351" customFormat="false" ht="15" hidden="false" customHeight="false" outlineLevel="0" collapsed="false">
      <c r="A1351" s="8" t="s">
        <v>814</v>
      </c>
      <c r="B1351" s="8" t="s">
        <v>105</v>
      </c>
      <c r="C1351" s="19" t="n">
        <v>4</v>
      </c>
      <c r="D1351" s="19" t="n">
        <v>148.57</v>
      </c>
      <c r="E1351" s="19" t="n">
        <v>0</v>
      </c>
      <c r="F1351" s="19" t="n">
        <v>0</v>
      </c>
      <c r="G1351" s="8" t="n">
        <f aca="false">IFERROR(INDEX('TRANS'!$B:$B,MATCH($B1351,'TRANS'!$A:$A,0)),IFERROR(INDEX('TRANS'!$B:$B,MATCH(TRIM(SUBSTITUTE($B1351,CHAR(160)," ")),'TRANS'!$D:$D,0)),IFERROR(INDEX('Catalog'!$A:$A,MATCH($B1351,'Catalog'!$B:$B,0)),IFERROR(INDEX('Catalog'!$A:$A,MATCH(TRIM(SUBSTITUTE($B1351,CHAR(160)," ")),'Catalog'!$C:$C,0)),""))))</f>
        <v>4421005</v>
      </c>
      <c r="H1351" s="8" t="str">
        <f aca="false">IFERROR(INDEX('TRANS'!$C:$C,MATCH($B1351,'TRANS'!$A:$A,0)),IFERROR(INDEX('Catalog'!$B:$B,MATCH($G1351,'Catalog'!$A:$A,0)),$B1351))</f>
        <v>שרוול לגבס קצר יד</v>
      </c>
      <c r="I1351" s="8" t="str">
        <f aca="false">IF($G1351="","Unmatched","Matched")</f>
        <v>Matched</v>
      </c>
    </row>
    <row r="1352" customFormat="false" ht="15" hidden="false" customHeight="false" outlineLevel="0" collapsed="false">
      <c r="A1352" s="8" t="s">
        <v>814</v>
      </c>
      <c r="B1352" s="8" t="s">
        <v>106</v>
      </c>
      <c r="C1352" s="19" t="n">
        <v>4</v>
      </c>
      <c r="D1352" s="19" t="n">
        <v>157.3</v>
      </c>
      <c r="E1352" s="19" t="n">
        <v>6</v>
      </c>
      <c r="F1352" s="19" t="n">
        <v>219.1</v>
      </c>
      <c r="G1352" s="8" t="n">
        <f aca="false">IFERROR(INDEX('TRANS'!$B:$B,MATCH($B1352,'TRANS'!$A:$A,0)),IFERROR(INDEX('TRANS'!$B:$B,MATCH(TRIM(SUBSTITUTE($B1352,CHAR(160)," ")),'TRANS'!$D:$D,0)),IFERROR(INDEX('Catalog'!$A:$A,MATCH($B1352,'Catalog'!$B:$B,0)),IFERROR(INDEX('Catalog'!$A:$A,MATCH(TRIM(SUBSTITUTE($B1352,CHAR(160)," ")),'Catalog'!$C:$C,0)),""))))</f>
        <v>4421006</v>
      </c>
      <c r="H1352" s="8" t="str">
        <f aca="false">IFERROR(INDEX('TRANS'!$C:$C,MATCH($B1352,'TRANS'!$A:$A,0)),IFERROR(INDEX('Catalog'!$B:$B,MATCH($G1352,'Catalog'!$A:$A,0)),$B1352))</f>
        <v>שרוול לגבס ארוך יד</v>
      </c>
      <c r="I1352" s="8" t="str">
        <f aca="false">IF($G1352="","Unmatched","Matched")</f>
        <v>Matched</v>
      </c>
    </row>
    <row r="1353" customFormat="false" ht="15" hidden="false" customHeight="false" outlineLevel="0" collapsed="false">
      <c r="A1353" s="8" t="s">
        <v>814</v>
      </c>
      <c r="B1353" s="8" t="s">
        <v>635</v>
      </c>
      <c r="C1353" s="19" t="n">
        <v>7</v>
      </c>
      <c r="D1353" s="19" t="n">
        <v>721.5</v>
      </c>
      <c r="E1353" s="19" t="n">
        <v>7</v>
      </c>
      <c r="F1353" s="19" t="n">
        <v>694.02</v>
      </c>
      <c r="G1353" s="8" t="n">
        <f aca="false">IFERROR(INDEX('TRANS'!$B:$B,MATCH($B1353,'TRANS'!$A:$A,0)),IFERROR(INDEX('TRANS'!$B:$B,MATCH(TRIM(SUBSTITUTE($B1353,CHAR(160)," ")),'TRANS'!$D:$D,0)),IFERROR(INDEX('Catalog'!$A:$A,MATCH($B1353,'Catalog'!$B:$B,0)),IFERROR(INDEX('Catalog'!$A:$A,MATCH(TRIM(SUBSTITUTE($B1353,CHAR(160)," ")),'Catalog'!$C:$C,0)),""))))</f>
        <v>4415000</v>
      </c>
      <c r="H1353" s="8" t="str">
        <f aca="false">IFERROR(INDEX('TRANS'!$C:$C,MATCH($B1353,'TRANS'!$A:$A,0)),IFERROR(INDEX('Catalog'!$B:$B,MATCH($G1353,'Catalog'!$A:$A,0)),$B1353))</f>
        <v>26 L סד ליד דו צדדי לאחר שבר</v>
      </c>
      <c r="I1353" s="8" t="str">
        <f aca="false">IF($G1353="","Unmatched","Matched")</f>
        <v>Matched</v>
      </c>
    </row>
    <row r="1354" customFormat="false" ht="15" hidden="false" customHeight="false" outlineLevel="0" collapsed="false">
      <c r="A1354" s="8" t="s">
        <v>814</v>
      </c>
      <c r="B1354" s="8" t="s">
        <v>643</v>
      </c>
      <c r="C1354" s="19" t="n">
        <v>3</v>
      </c>
      <c r="D1354" s="19" t="n">
        <v>309.21</v>
      </c>
      <c r="E1354" s="19" t="n">
        <v>6</v>
      </c>
      <c r="F1354" s="19" t="n">
        <v>604.68</v>
      </c>
      <c r="G1354" s="8" t="n">
        <f aca="false">IFERROR(INDEX('TRANS'!$B:$B,MATCH($B1354,'TRANS'!$A:$A,0)),IFERROR(INDEX('TRANS'!$B:$B,MATCH(TRIM(SUBSTITUTE($B1354,CHAR(160)," ")),'TRANS'!$D:$D,0)),IFERROR(INDEX('Catalog'!$A:$A,MATCH($B1354,'Catalog'!$B:$B,0)),IFERROR(INDEX('Catalog'!$A:$A,MATCH(TRIM(SUBSTITUTE($B1354,CHAR(160)," ")),'Catalog'!$C:$C,0)),""))))</f>
        <v>4415001</v>
      </c>
      <c r="H1354" s="8" t="str">
        <f aca="false">IFERROR(INDEX('TRANS'!$C:$C,MATCH($B1354,'TRANS'!$A:$A,0)),IFERROR(INDEX('Catalog'!$B:$B,MATCH($G1354,'Catalog'!$A:$A,0)),$B1354))</f>
        <v>26 M סד ליד דו צדדי לאחר שבר</v>
      </c>
      <c r="I1354" s="8" t="str">
        <f aca="false">IF($G1354="","Unmatched","Matched")</f>
        <v>Matched</v>
      </c>
    </row>
    <row r="1355" customFormat="false" ht="15" hidden="false" customHeight="false" outlineLevel="0" collapsed="false">
      <c r="A1355" s="8" t="s">
        <v>814</v>
      </c>
      <c r="B1355" s="8" t="s">
        <v>820</v>
      </c>
      <c r="C1355" s="19" t="n">
        <v>0</v>
      </c>
      <c r="D1355" s="19" t="n">
        <v>0</v>
      </c>
      <c r="E1355" s="19" t="n">
        <v>1</v>
      </c>
      <c r="F1355" s="19" t="n">
        <v>56.34</v>
      </c>
      <c r="G1355" s="8" t="str">
        <f aca="false">IFERROR(INDEX('TRANS'!$B:$B,MATCH($B1355,'TRANS'!$A:$A,0)),IFERROR(INDEX('TRANS'!$B:$B,MATCH(TRIM(SUBSTITUTE($B1355,CHAR(160)," ")),'TRANS'!$D:$D,0)),IFERROR(INDEX('Catalog'!$A:$A,MATCH($B1355,'Catalog'!$B:$B,0)),IFERROR(INDEX('Catalog'!$A:$A,MATCH(TRIM(SUBSTITUTE($B1355,CHAR(160)," ")),'Catalog'!$C:$C,0)),""))))</f>
        <v/>
      </c>
      <c r="H1355" s="8" t="str">
        <f aca="false">IFERROR(INDEX('TRANS'!$C:$C,MATCH($B1355,'TRANS'!$A:$A,0)),IFERROR(INDEX('Catalog'!$B:$B,MATCH($G1355,'Catalog'!$A:$A,0)),$B1355))</f>
        <v>267LB XXL</v>
      </c>
      <c r="I1355" s="8" t="str">
        <f aca="false">IF($G1355="","Unmatched","Matched")</f>
        <v>Unmatched</v>
      </c>
    </row>
    <row r="1356" customFormat="false" ht="15" hidden="false" customHeight="false" outlineLevel="0" collapsed="false">
      <c r="A1356" s="8" t="s">
        <v>814</v>
      </c>
      <c r="B1356" s="8" t="s">
        <v>109</v>
      </c>
      <c r="C1356" s="19" t="n">
        <v>2</v>
      </c>
      <c r="D1356" s="19" t="n">
        <v>130</v>
      </c>
      <c r="E1356" s="19" t="n">
        <v>1</v>
      </c>
      <c r="F1356" s="19" t="n">
        <v>56.34</v>
      </c>
      <c r="G1356" s="8" t="str">
        <f aca="false">IFERROR(INDEX('TRANS'!$B:$B,MATCH($B1356,'TRANS'!$A:$A,0)),IFERROR(INDEX('TRANS'!$B:$B,MATCH(TRIM(SUBSTITUTE($B1356,CHAR(160)," ")),'TRANS'!$D:$D,0)),IFERROR(INDEX('Catalog'!$A:$A,MATCH($B1356,'Catalog'!$B:$B,0)),IFERROR(INDEX('Catalog'!$A:$A,MATCH(TRIM(SUBSTITUTE($B1356,CHAR(160)," ")),'Catalog'!$C:$C,0)),""))))</f>
        <v/>
      </c>
      <c r="H1356" s="8" t="str">
        <f aca="false">IFERROR(INDEX('TRANS'!$C:$C,MATCH($B1356,'TRANS'!$A:$A,0)),IFERROR(INDEX('Catalog'!$B:$B,MATCH($G1356,'Catalog'!$A:$A,0)),$B1356))</f>
        <v>267LB-L-XL</v>
      </c>
      <c r="I1356" s="8" t="str">
        <f aca="false">IF($G1356="","Unmatched","Matched")</f>
        <v>Unmatched</v>
      </c>
    </row>
    <row r="1357" customFormat="false" ht="15" hidden="false" customHeight="false" outlineLevel="0" collapsed="false">
      <c r="A1357" s="8" t="s">
        <v>814</v>
      </c>
      <c r="B1357" s="8" t="s">
        <v>821</v>
      </c>
      <c r="C1357" s="19" t="n">
        <v>0</v>
      </c>
      <c r="D1357" s="19" t="n">
        <v>0</v>
      </c>
      <c r="E1357" s="19" t="n">
        <v>1</v>
      </c>
      <c r="F1357" s="19" t="n">
        <v>56.34</v>
      </c>
      <c r="G1357" s="8" t="str">
        <f aca="false">IFERROR(INDEX('TRANS'!$B:$B,MATCH($B1357,'TRANS'!$A:$A,0)),IFERROR(INDEX('TRANS'!$B:$B,MATCH(TRIM(SUBSTITUTE($B1357,CHAR(160)," ")),'TRANS'!$D:$D,0)),IFERROR(INDEX('Catalog'!$A:$A,MATCH($B1357,'Catalog'!$B:$B,0)),IFERROR(INDEX('Catalog'!$A:$A,MATCH(TRIM(SUBSTITUTE($B1357,CHAR(160)," ")),'Catalog'!$C:$C,0)),""))))</f>
        <v/>
      </c>
      <c r="H1357" s="8" t="str">
        <f aca="false">IFERROR(INDEX('TRANS'!$C:$C,MATCH($B1357,'TRANS'!$A:$A,0)),IFERROR(INDEX('Catalog'!$B:$B,MATCH($G1357,'Catalog'!$A:$A,0)),$B1357))</f>
        <v>267LB-S-M</v>
      </c>
      <c r="I1357" s="8" t="str">
        <f aca="false">IF($G1357="","Unmatched","Matched")</f>
        <v>Unmatched</v>
      </c>
    </row>
    <row r="1358" customFormat="false" ht="15" hidden="false" customHeight="false" outlineLevel="0" collapsed="false">
      <c r="A1358" s="8" t="s">
        <v>814</v>
      </c>
      <c r="B1358" s="8" t="s">
        <v>822</v>
      </c>
      <c r="C1358" s="19" t="n">
        <v>0</v>
      </c>
      <c r="D1358" s="19" t="n">
        <v>0</v>
      </c>
      <c r="E1358" s="19" t="n">
        <v>1</v>
      </c>
      <c r="F1358" s="19" t="n">
        <v>56.34</v>
      </c>
      <c r="G1358" s="8" t="str">
        <f aca="false">IFERROR(INDEX('TRANS'!$B:$B,MATCH($B1358,'TRANS'!$A:$A,0)),IFERROR(INDEX('TRANS'!$B:$B,MATCH(TRIM(SUBSTITUTE($B1358,CHAR(160)," ")),'TRANS'!$D:$D,0)),IFERROR(INDEX('Catalog'!$A:$A,MATCH($B1358,'Catalog'!$B:$B,0)),IFERROR(INDEX('Catalog'!$A:$A,MATCH(TRIM(SUBSTITUTE($B1358,CHAR(160)," ")),'Catalog'!$C:$C,0)),""))))</f>
        <v/>
      </c>
      <c r="H1358" s="8" t="str">
        <f aca="false">IFERROR(INDEX('TRANS'!$C:$C,MATCH($B1358,'TRANS'!$A:$A,0)),IFERROR(INDEX('Catalog'!$B:$B,MATCH($G1358,'Catalog'!$A:$A,0)),$B1358))</f>
        <v>267RB XXL</v>
      </c>
      <c r="I1358" s="8" t="str">
        <f aca="false">IF($G1358="","Unmatched","Matched")</f>
        <v>Unmatched</v>
      </c>
    </row>
    <row r="1359" customFormat="false" ht="15" hidden="false" customHeight="false" outlineLevel="0" collapsed="false">
      <c r="A1359" s="8" t="s">
        <v>814</v>
      </c>
      <c r="B1359" s="8" t="s">
        <v>823</v>
      </c>
      <c r="C1359" s="19" t="n">
        <v>2</v>
      </c>
      <c r="D1359" s="19" t="n">
        <v>130</v>
      </c>
      <c r="E1359" s="19" t="n">
        <v>1</v>
      </c>
      <c r="F1359" s="19" t="n">
        <v>56.34</v>
      </c>
      <c r="G1359" s="8" t="str">
        <f aca="false">IFERROR(INDEX('TRANS'!$B:$B,MATCH($B1359,'TRANS'!$A:$A,0)),IFERROR(INDEX('TRANS'!$B:$B,MATCH(TRIM(SUBSTITUTE($B1359,CHAR(160)," ")),'TRANS'!$D:$D,0)),IFERROR(INDEX('Catalog'!$A:$A,MATCH($B1359,'Catalog'!$B:$B,0)),IFERROR(INDEX('Catalog'!$A:$A,MATCH(TRIM(SUBSTITUTE($B1359,CHAR(160)," ")),'Catalog'!$C:$C,0)),""))))</f>
        <v/>
      </c>
      <c r="H1359" s="8" t="str">
        <f aca="false">IFERROR(INDEX('TRANS'!$C:$C,MATCH($B1359,'TRANS'!$A:$A,0)),IFERROR(INDEX('Catalog'!$B:$B,MATCH($G1359,'Catalog'!$A:$A,0)),$B1359))</f>
        <v>267RB-L-XL</v>
      </c>
      <c r="I1359" s="8" t="str">
        <f aca="false">IF($G1359="","Unmatched","Matched")</f>
        <v>Unmatched</v>
      </c>
    </row>
    <row r="1360" customFormat="false" ht="15" hidden="false" customHeight="false" outlineLevel="0" collapsed="false">
      <c r="A1360" s="8" t="s">
        <v>814</v>
      </c>
      <c r="B1360" s="8" t="s">
        <v>824</v>
      </c>
      <c r="C1360" s="19" t="n">
        <v>0</v>
      </c>
      <c r="D1360" s="19" t="n">
        <v>0</v>
      </c>
      <c r="E1360" s="19" t="n">
        <v>1</v>
      </c>
      <c r="F1360" s="19" t="n">
        <v>56.34</v>
      </c>
      <c r="G1360" s="8" t="str">
        <f aca="false">IFERROR(INDEX('TRANS'!$B:$B,MATCH($B1360,'TRANS'!$A:$A,0)),IFERROR(INDEX('TRANS'!$B:$B,MATCH(TRIM(SUBSTITUTE($B1360,CHAR(160)," ")),'TRANS'!$D:$D,0)),IFERROR(INDEX('Catalog'!$A:$A,MATCH($B1360,'Catalog'!$B:$B,0)),IFERROR(INDEX('Catalog'!$A:$A,MATCH(TRIM(SUBSTITUTE($B1360,CHAR(160)," ")),'Catalog'!$C:$C,0)),""))))</f>
        <v/>
      </c>
      <c r="H1360" s="8" t="str">
        <f aca="false">IFERROR(INDEX('TRANS'!$C:$C,MATCH($B1360,'TRANS'!$A:$A,0)),IFERROR(INDEX('Catalog'!$B:$B,MATCH($G1360,'Catalog'!$A:$A,0)),$B1360))</f>
        <v>267RB-S-M</v>
      </c>
      <c r="I1360" s="8" t="str">
        <f aca="false">IF($G1360="","Unmatched","Matched")</f>
        <v>Unmatched</v>
      </c>
    </row>
    <row r="1361" customFormat="false" ht="15" hidden="false" customHeight="false" outlineLevel="0" collapsed="false">
      <c r="A1361" s="8" t="s">
        <v>814</v>
      </c>
      <c r="B1361" s="8" t="s">
        <v>120</v>
      </c>
      <c r="C1361" s="19" t="n">
        <v>1</v>
      </c>
      <c r="D1361" s="19" t="n">
        <v>54</v>
      </c>
      <c r="E1361" s="19" t="n">
        <v>2</v>
      </c>
      <c r="F1361" s="19" t="n">
        <v>184.58</v>
      </c>
      <c r="G1361" s="8" t="n">
        <f aca="false">IFERROR(INDEX('TRANS'!$B:$B,MATCH($B1361,'TRANS'!$A:$A,0)),IFERROR(INDEX('TRANS'!$B:$B,MATCH(TRIM(SUBSTITUTE($B1361,CHAR(160)," ")),'TRANS'!$D:$D,0)),IFERROR(INDEX('Catalog'!$A:$A,MATCH($B1361,'Catalog'!$B:$B,0)),IFERROR(INDEX('Catalog'!$A:$A,MATCH(TRIM(SUBSTITUTE($B1361,CHAR(160)," ")),'Catalog'!$C:$C,0)),""))))</f>
        <v>4416000</v>
      </c>
      <c r="H1361" s="8" t="str">
        <f aca="false">IFERROR(INDEX('TRANS'!$C:$C,MATCH($B1361,'TRANS'!$A:$A,0)),IFERROR(INDEX('Catalog'!$B:$B,MATCH($G1361,'Catalog'!$A:$A,0)),$B1361))</f>
        <v>307 L עקבים לדורבן-זוג כריות</v>
      </c>
      <c r="I1361" s="8" t="str">
        <f aca="false">IF($G1361="","Unmatched","Matched")</f>
        <v>Matched</v>
      </c>
    </row>
    <row r="1362" customFormat="false" ht="15" hidden="false" customHeight="false" outlineLevel="0" collapsed="false">
      <c r="A1362" s="8" t="s">
        <v>814</v>
      </c>
      <c r="B1362" s="8" t="s">
        <v>121</v>
      </c>
      <c r="C1362" s="19" t="n">
        <v>1</v>
      </c>
      <c r="D1362" s="19" t="n">
        <v>54</v>
      </c>
      <c r="E1362" s="19" t="n">
        <v>2</v>
      </c>
      <c r="F1362" s="19" t="n">
        <v>184.58</v>
      </c>
      <c r="G1362" s="8" t="n">
        <f aca="false">IFERROR(INDEX('TRANS'!$B:$B,MATCH($B1362,'TRANS'!$A:$A,0)),IFERROR(INDEX('TRANS'!$B:$B,MATCH(TRIM(SUBSTITUTE($B1362,CHAR(160)," ")),'TRANS'!$D:$D,0)),IFERROR(INDEX('Catalog'!$A:$A,MATCH($B1362,'Catalog'!$B:$B,0)),IFERROR(INDEX('Catalog'!$A:$A,MATCH(TRIM(SUBSTITUTE($B1362,CHAR(160)," ")),'Catalog'!$C:$C,0)),""))))</f>
        <v>4416001</v>
      </c>
      <c r="H1362" s="8" t="str">
        <f aca="false">IFERROR(INDEX('TRANS'!$C:$C,MATCH($B1362,'TRANS'!$A:$A,0)),IFERROR(INDEX('Catalog'!$B:$B,MATCH($G1362,'Catalog'!$A:$A,0)),$B1362))</f>
        <v>307 M עקבים לדורבן-זוג כריות</v>
      </c>
      <c r="I1362" s="8" t="str">
        <f aca="false">IF($G1362="","Unmatched","Matched")</f>
        <v>Matched</v>
      </c>
    </row>
    <row r="1363" customFormat="false" ht="15" hidden="false" customHeight="false" outlineLevel="0" collapsed="false">
      <c r="A1363" s="8" t="s">
        <v>814</v>
      </c>
      <c r="B1363" s="8" t="s">
        <v>647</v>
      </c>
      <c r="C1363" s="19" t="n">
        <v>1</v>
      </c>
      <c r="D1363" s="19" t="n">
        <v>54</v>
      </c>
      <c r="E1363" s="19" t="n">
        <v>1</v>
      </c>
      <c r="F1363" s="19" t="n">
        <v>92.29</v>
      </c>
      <c r="G1363" s="8" t="n">
        <f aca="false">IFERROR(INDEX('TRANS'!$B:$B,MATCH($B1363,'TRANS'!$A:$A,0)),IFERROR(INDEX('TRANS'!$B:$B,MATCH(TRIM(SUBSTITUTE($B1363,CHAR(160)," ")),'TRANS'!$D:$D,0)),IFERROR(INDEX('Catalog'!$A:$A,MATCH($B1363,'Catalog'!$B:$B,0)),IFERROR(INDEX('Catalog'!$A:$A,MATCH(TRIM(SUBSTITUTE($B1363,CHAR(160)," ")),'Catalog'!$C:$C,0)),""))))</f>
        <v>4416002</v>
      </c>
      <c r="H1363" s="8" t="str">
        <f aca="false">IFERROR(INDEX('TRANS'!$C:$C,MATCH($B1363,'TRANS'!$A:$A,0)),IFERROR(INDEX('Catalog'!$B:$B,MATCH($G1363,'Catalog'!$A:$A,0)),$B1363))</f>
        <v>307 S עקבים לדורבן-זוג כריות</v>
      </c>
      <c r="I1363" s="8" t="str">
        <f aca="false">IF($G1363="","Unmatched","Matched")</f>
        <v>Matched</v>
      </c>
    </row>
    <row r="1364" customFormat="false" ht="15" hidden="false" customHeight="false" outlineLevel="0" collapsed="false">
      <c r="A1364" s="8" t="s">
        <v>814</v>
      </c>
      <c r="B1364" s="8" t="s">
        <v>122</v>
      </c>
      <c r="C1364" s="19" t="n">
        <v>1</v>
      </c>
      <c r="D1364" s="19" t="n">
        <v>54</v>
      </c>
      <c r="E1364" s="19" t="n">
        <v>1</v>
      </c>
      <c r="F1364" s="19" t="n">
        <v>92.29</v>
      </c>
      <c r="G1364" s="8" t="n">
        <f aca="false">IFERROR(INDEX('TRANS'!$B:$B,MATCH($B1364,'TRANS'!$A:$A,0)),IFERROR(INDEX('TRANS'!$B:$B,MATCH(TRIM(SUBSTITUTE($B1364,CHAR(160)," ")),'TRANS'!$D:$D,0)),IFERROR(INDEX('Catalog'!$A:$A,MATCH($B1364,'Catalog'!$B:$B,0)),IFERROR(INDEX('Catalog'!$A:$A,MATCH(TRIM(SUBSTITUTE($B1364,CHAR(160)," ")),'Catalog'!$C:$C,0)),""))))</f>
        <v>4411016</v>
      </c>
      <c r="H1364" s="8" t="str">
        <f aca="false">IFERROR(INDEX('TRANS'!$C:$C,MATCH($B1364,'TRANS'!$A:$A,0)),IFERROR(INDEX('Catalog'!$B:$B,MATCH($G1364,'Catalog'!$A:$A,0)),$B1364))</f>
        <v>307 XL כרית סיליקון לעקב</v>
      </c>
      <c r="I1364" s="8" t="str">
        <f aca="false">IF($G1364="","Unmatched","Matched")</f>
        <v>Matched</v>
      </c>
    </row>
    <row r="1365" customFormat="false" ht="15" hidden="false" customHeight="false" outlineLevel="0" collapsed="false">
      <c r="A1365" s="8" t="s">
        <v>814</v>
      </c>
      <c r="B1365" s="8" t="s">
        <v>563</v>
      </c>
      <c r="C1365" s="19" t="n">
        <v>1</v>
      </c>
      <c r="D1365" s="19" t="n">
        <v>40.5</v>
      </c>
      <c r="E1365" s="19" t="n">
        <v>3</v>
      </c>
      <c r="F1365" s="19" t="n">
        <v>182.64</v>
      </c>
      <c r="G1365" s="8" t="n">
        <f aca="false">IFERROR(INDEX('TRANS'!$B:$B,MATCH($B1365,'TRANS'!$A:$A,0)),IFERROR(INDEX('TRANS'!$B:$B,MATCH(TRIM(SUBSTITUTE($B1365,CHAR(160)," ")),'TRANS'!$D:$D,0)),IFERROR(INDEX('Catalog'!$A:$A,MATCH($B1365,'Catalog'!$B:$B,0)),IFERROR(INDEX('Catalog'!$A:$A,MATCH(TRIM(SUBSTITUTE($B1365,CHAR(160)," ")),'Catalog'!$C:$C,0)),""))))</f>
        <v>4416003</v>
      </c>
      <c r="H1365" s="8" t="str">
        <f aca="false">IFERROR(INDEX('TRANS'!$C:$C,MATCH($B1365,'TRANS'!$A:$A,0)),IFERROR(INDEX('Catalog'!$B:$B,MATCH($G1365,'Catalog'!$A:$A,0)),$B1365))</f>
        <v>308 Lעקבים סיליקון כחול לדורבן</v>
      </c>
      <c r="I1365" s="8" t="str">
        <f aca="false">IF($G1365="","Unmatched","Matched")</f>
        <v>Matched</v>
      </c>
    </row>
    <row r="1366" customFormat="false" ht="15" hidden="false" customHeight="false" outlineLevel="0" collapsed="false">
      <c r="A1366" s="8" t="s">
        <v>814</v>
      </c>
      <c r="B1366" s="8" t="s">
        <v>123</v>
      </c>
      <c r="C1366" s="19" t="n">
        <v>1</v>
      </c>
      <c r="D1366" s="19" t="n">
        <v>40.5</v>
      </c>
      <c r="E1366" s="19" t="n">
        <v>3</v>
      </c>
      <c r="F1366" s="19" t="n">
        <v>182.64</v>
      </c>
      <c r="G1366" s="8" t="n">
        <f aca="false">IFERROR(INDEX('TRANS'!$B:$B,MATCH($B1366,'TRANS'!$A:$A,0)),IFERROR(INDEX('TRANS'!$B:$B,MATCH(TRIM(SUBSTITUTE($B1366,CHAR(160)," ")),'TRANS'!$D:$D,0)),IFERROR(INDEX('Catalog'!$A:$A,MATCH($B1366,'Catalog'!$B:$B,0)),IFERROR(INDEX('Catalog'!$A:$A,MATCH(TRIM(SUBSTITUTE($B1366,CHAR(160)," ")),'Catalog'!$C:$C,0)),""))))</f>
        <v>4416005</v>
      </c>
      <c r="H1366" s="8" t="str">
        <f aca="false">IFERROR(INDEX('TRANS'!$C:$C,MATCH($B1366,'TRANS'!$A:$A,0)),IFERROR(INDEX('Catalog'!$B:$B,MATCH($G1366,'Catalog'!$A:$A,0)),$B1366))</f>
        <v>308 Mעקבים סיליק.כחול לדורבן</v>
      </c>
      <c r="I1366" s="8" t="str">
        <f aca="false">IF($G1366="","Unmatched","Matched")</f>
        <v>Matched</v>
      </c>
    </row>
    <row r="1367" customFormat="false" ht="15" hidden="false" customHeight="false" outlineLevel="0" collapsed="false">
      <c r="A1367" s="8" t="s">
        <v>814</v>
      </c>
      <c r="B1367" s="8" t="s">
        <v>124</v>
      </c>
      <c r="C1367" s="19" t="n">
        <v>8</v>
      </c>
      <c r="D1367" s="19" t="n">
        <v>134.68</v>
      </c>
      <c r="E1367" s="19" t="n">
        <v>3</v>
      </c>
      <c r="F1367" s="19" t="n">
        <v>56.11</v>
      </c>
      <c r="G1367" s="8" t="n">
        <f aca="false">IFERROR(INDEX('TRANS'!$B:$B,MATCH($B1367,'TRANS'!$A:$A,0)),IFERROR(INDEX('TRANS'!$B:$B,MATCH(TRIM(SUBSTITUTE($B1367,CHAR(160)," ")),'TRANS'!$D:$D,0)),IFERROR(INDEX('Catalog'!$A:$A,MATCH($B1367,'Catalog'!$B:$B,0)),IFERROR(INDEX('Catalog'!$A:$A,MATCH(TRIM(SUBSTITUTE($B1367,CHAR(160)," ")),'Catalog'!$C:$C,0)),""))))</f>
        <v>4413033</v>
      </c>
      <c r="H1367" s="8" t="str">
        <f aca="false">IFERROR(INDEX('TRANS'!$C:$C,MATCH($B1367,'TRANS'!$A:$A,0)),IFERROR(INDEX('Catalog'!$B:$B,MATCH($G1367,'Catalog'!$A:$A,0)),$B1367))</f>
        <v>311'מדב.ג'ל למניעת שפשוף 5 יח</v>
      </c>
      <c r="I1367" s="8" t="str">
        <f aca="false">IF($G1367="","Unmatched","Matched")</f>
        <v>Matched</v>
      </c>
    </row>
    <row r="1368" customFormat="false" ht="15" hidden="false" customHeight="false" outlineLevel="0" collapsed="false">
      <c r="A1368" s="8" t="s">
        <v>814</v>
      </c>
      <c r="B1368" s="8" t="s">
        <v>125</v>
      </c>
      <c r="C1368" s="19" t="n">
        <v>3</v>
      </c>
      <c r="D1368" s="19" t="n">
        <v>57.15</v>
      </c>
      <c r="E1368" s="19" t="n">
        <v>0</v>
      </c>
      <c r="F1368" s="19" t="n">
        <v>0</v>
      </c>
      <c r="G1368" s="8" t="n">
        <f aca="false">IFERROR(INDEX('TRANS'!$B:$B,MATCH($B1368,'TRANS'!$A:$A,0)),IFERROR(INDEX('TRANS'!$B:$B,MATCH(TRIM(SUBSTITUTE($B1368,CHAR(160)," ")),'TRANS'!$D:$D,0)),IFERROR(INDEX('Catalog'!$A:$A,MATCH($B1368,'Catalog'!$B:$B,0)),IFERROR(INDEX('Catalog'!$A:$A,MATCH(TRIM(SUBSTITUTE($B1368,CHAR(160)," ")),'Catalog'!$C:$C,0)),""))))</f>
        <v>4413034</v>
      </c>
      <c r="H1368" s="8" t="str">
        <f aca="false">IFERROR(INDEX('TRANS'!$C:$C,MATCH($B1368,'TRANS'!$A:$A,0)),IFERROR(INDEX('Catalog'!$B:$B,MATCH($G1368,'Catalog'!$A:$A,0)),$B1368))</f>
        <v>312 9 מ""""ס להתאמהX5 מדבקה גדולה</v>
      </c>
      <c r="I1368" s="8" t="str">
        <f aca="false">IF($G1368="","Unmatched","Matched")</f>
        <v>Matched</v>
      </c>
    </row>
    <row r="1369" customFormat="false" ht="15" hidden="false" customHeight="false" outlineLevel="0" collapsed="false">
      <c r="A1369" s="8" t="s">
        <v>814</v>
      </c>
      <c r="B1369" s="8" t="s">
        <v>126</v>
      </c>
      <c r="C1369" s="19" t="n">
        <v>3</v>
      </c>
      <c r="D1369" s="19" t="n">
        <v>62.03</v>
      </c>
      <c r="E1369" s="19" t="n">
        <v>0</v>
      </c>
      <c r="F1369" s="19" t="n">
        <v>0</v>
      </c>
      <c r="G1369" s="8" t="n">
        <f aca="false">IFERROR(INDEX('TRANS'!$B:$B,MATCH($B1369,'TRANS'!$A:$A,0)),IFERROR(INDEX('TRANS'!$B:$B,MATCH(TRIM(SUBSTITUTE($B1369,CHAR(160)," ")),'TRANS'!$D:$D,0)),IFERROR(INDEX('Catalog'!$A:$A,MATCH($B1369,'Catalog'!$B:$B,0)),IFERROR(INDEX('Catalog'!$A:$A,MATCH(TRIM(SUBSTITUTE($B1369,CHAR(160)," ")),'Catalog'!$C:$C,0)),""))))</f>
        <v>4415297</v>
      </c>
      <c r="H1369" s="8" t="str">
        <f aca="false">IFERROR(INDEX('TRANS'!$C:$C,MATCH($B1369,'TRANS'!$A:$A,0)),IFERROR(INDEX('Catalog'!$B:$B,MATCH($G1369,'Catalog'!$A:$A,0)),$B1369))</f>
        <v>313 סט פלסטרים נגד שפשופים</v>
      </c>
      <c r="I1369" s="8" t="str">
        <f aca="false">IF($G1369="","Unmatched","Matched")</f>
        <v>Matched</v>
      </c>
    </row>
    <row r="1370" customFormat="false" ht="15" hidden="false" customHeight="false" outlineLevel="0" collapsed="false">
      <c r="A1370" s="8" t="s">
        <v>814</v>
      </c>
      <c r="B1370" s="8" t="s">
        <v>128</v>
      </c>
      <c r="C1370" s="19" t="n">
        <v>3</v>
      </c>
      <c r="D1370" s="19" t="n">
        <v>51.07</v>
      </c>
      <c r="E1370" s="19" t="n">
        <v>0</v>
      </c>
      <c r="F1370" s="19" t="n">
        <v>0</v>
      </c>
      <c r="G1370" s="8" t="n">
        <f aca="false">IFERROR(INDEX('TRANS'!$B:$B,MATCH($B1370,'TRANS'!$A:$A,0)),IFERROR(INDEX('TRANS'!$B:$B,MATCH(TRIM(SUBSTITUTE($B1370,CHAR(160)," ")),'TRANS'!$D:$D,0)),IFERROR(INDEX('Catalog'!$A:$A,MATCH($B1370,'Catalog'!$B:$B,0)),IFERROR(INDEX('Catalog'!$A:$A,MATCH(TRIM(SUBSTITUTE($B1370,CHAR(160)," ")),'Catalog'!$C:$C,0)),""))))</f>
        <v>4402007</v>
      </c>
      <c r="H1370" s="8" t="str">
        <f aca="false">IFERROR(INDEX('TRANS'!$C:$C,MATCH($B1370,'TRANS'!$A:$A,0)),IFERROR(INDEX('Catalog'!$B:$B,MATCH($G1370,'Catalog'!$A:$A,0)),$B1370))</f>
        <v>320 בליסטר פלסטר</v>
      </c>
      <c r="I1370" s="8" t="str">
        <f aca="false">IF($G1370="","Unmatched","Matched")</f>
        <v>Matched</v>
      </c>
    </row>
    <row r="1371" customFormat="false" ht="15" hidden="false" customHeight="false" outlineLevel="0" collapsed="false">
      <c r="A1371" s="8" t="s">
        <v>814</v>
      </c>
      <c r="B1371" s="8" t="s">
        <v>130</v>
      </c>
      <c r="C1371" s="19" t="n">
        <v>0</v>
      </c>
      <c r="D1371" s="19" t="n">
        <v>0</v>
      </c>
      <c r="E1371" s="19" t="n">
        <v>2</v>
      </c>
      <c r="F1371" s="19" t="n">
        <v>130</v>
      </c>
      <c r="G1371" s="8" t="str">
        <f aca="false">IFERROR(INDEX('TRANS'!$B:$B,MATCH($B1371,'TRANS'!$A:$A,0)),IFERROR(INDEX('TRANS'!$B:$B,MATCH(TRIM(SUBSTITUTE($B1371,CHAR(160)," ")),'TRANS'!$D:$D,0)),IFERROR(INDEX('Catalog'!$A:$A,MATCH($B1371,'Catalog'!$B:$B,0)),IFERROR(INDEX('Catalog'!$A:$A,MATCH(TRIM(SUBSTITUTE($B1371,CHAR(160)," ")),'Catalog'!$C:$C,0)),""))))</f>
        <v/>
      </c>
      <c r="H1371" s="8" t="str">
        <f aca="false">IFERROR(INDEX('TRANS'!$C:$C,MATCH($B1371,'TRANS'!$A:$A,0)),IFERROR(INDEX('Catalog'!$B:$B,MATCH($G1371,'Catalog'!$A:$A,0)),$B1371))</f>
        <v>332B L</v>
      </c>
      <c r="I1371" s="8" t="str">
        <f aca="false">IF($G1371="","Unmatched","Matched")</f>
        <v>Unmatched</v>
      </c>
    </row>
    <row r="1372" customFormat="false" ht="15" hidden="false" customHeight="false" outlineLevel="0" collapsed="false">
      <c r="A1372" s="8" t="s">
        <v>814</v>
      </c>
      <c r="B1372" s="8" t="s">
        <v>593</v>
      </c>
      <c r="C1372" s="19" t="n">
        <v>0</v>
      </c>
      <c r="D1372" s="19" t="n">
        <v>0</v>
      </c>
      <c r="E1372" s="19" t="n">
        <v>2</v>
      </c>
      <c r="F1372" s="19" t="n">
        <v>130</v>
      </c>
      <c r="G1372" s="8" t="str">
        <f aca="false">IFERROR(INDEX('TRANS'!$B:$B,MATCH($B1372,'TRANS'!$A:$A,0)),IFERROR(INDEX('TRANS'!$B:$B,MATCH(TRIM(SUBSTITUTE($B1372,CHAR(160)," ")),'TRANS'!$D:$D,0)),IFERROR(INDEX('Catalog'!$A:$A,MATCH($B1372,'Catalog'!$B:$B,0)),IFERROR(INDEX('Catalog'!$A:$A,MATCH(TRIM(SUBSTITUTE($B1372,CHAR(160)," ")),'Catalog'!$C:$C,0)),""))))</f>
        <v/>
      </c>
      <c r="H1372" s="8" t="str">
        <f aca="false">IFERROR(INDEX('TRANS'!$C:$C,MATCH($B1372,'TRANS'!$A:$A,0)),IFERROR(INDEX('Catalog'!$B:$B,MATCH($G1372,'Catalog'!$A:$A,0)),$B1372))</f>
        <v>332B M</v>
      </c>
      <c r="I1372" s="8" t="str">
        <f aca="false">IF($G1372="","Unmatched","Matched")</f>
        <v>Unmatched</v>
      </c>
    </row>
    <row r="1373" customFormat="false" ht="15" hidden="false" customHeight="false" outlineLevel="0" collapsed="false">
      <c r="A1373" s="8" t="s">
        <v>814</v>
      </c>
      <c r="B1373" s="8" t="s">
        <v>825</v>
      </c>
      <c r="C1373" s="19" t="n">
        <v>0</v>
      </c>
      <c r="D1373" s="19" t="n">
        <v>0</v>
      </c>
      <c r="E1373" s="19" t="n">
        <v>2</v>
      </c>
      <c r="F1373" s="19" t="n">
        <v>130</v>
      </c>
      <c r="G1373" s="8" t="str">
        <f aca="false">IFERROR(INDEX('TRANS'!$B:$B,MATCH($B1373,'TRANS'!$A:$A,0)),IFERROR(INDEX('TRANS'!$B:$B,MATCH(TRIM(SUBSTITUTE($B1373,CHAR(160)," ")),'TRANS'!$D:$D,0)),IFERROR(INDEX('Catalog'!$A:$A,MATCH($B1373,'Catalog'!$B:$B,0)),IFERROR(INDEX('Catalog'!$A:$A,MATCH(TRIM(SUBSTITUTE($B1373,CHAR(160)," ")),'Catalog'!$C:$C,0)),""))))</f>
        <v/>
      </c>
      <c r="H1373" s="8" t="str">
        <f aca="false">IFERROR(INDEX('TRANS'!$C:$C,MATCH($B1373,'TRANS'!$A:$A,0)),IFERROR(INDEX('Catalog'!$B:$B,MATCH($G1373,'Catalog'!$A:$A,0)),$B1373))</f>
        <v>332B S</v>
      </c>
      <c r="I1373" s="8" t="str">
        <f aca="false">IF($G1373="","Unmatched","Matched")</f>
        <v>Unmatched</v>
      </c>
    </row>
    <row r="1374" customFormat="false" ht="15" hidden="false" customHeight="false" outlineLevel="0" collapsed="false">
      <c r="A1374" s="8" t="s">
        <v>814</v>
      </c>
      <c r="B1374" s="8" t="s">
        <v>594</v>
      </c>
      <c r="C1374" s="19" t="n">
        <v>0</v>
      </c>
      <c r="D1374" s="19" t="n">
        <v>0</v>
      </c>
      <c r="E1374" s="19" t="n">
        <v>2</v>
      </c>
      <c r="F1374" s="19" t="n">
        <v>130</v>
      </c>
      <c r="G1374" s="8" t="str">
        <f aca="false">IFERROR(INDEX('TRANS'!$B:$B,MATCH($B1374,'TRANS'!$A:$A,0)),IFERROR(INDEX('TRANS'!$B:$B,MATCH(TRIM(SUBSTITUTE($B1374,CHAR(160)," ")),'TRANS'!$D:$D,0)),IFERROR(INDEX('Catalog'!$A:$A,MATCH($B1374,'Catalog'!$B:$B,0)),IFERROR(INDEX('Catalog'!$A:$A,MATCH(TRIM(SUBSTITUTE($B1374,CHAR(160)," ")),'Catalog'!$C:$C,0)),""))))</f>
        <v/>
      </c>
      <c r="H1374" s="8" t="str">
        <f aca="false">IFERROR(INDEX('TRANS'!$C:$C,MATCH($B1374,'TRANS'!$A:$A,0)),IFERROR(INDEX('Catalog'!$B:$B,MATCH($G1374,'Catalog'!$A:$A,0)),$B1374))</f>
        <v>332B XL</v>
      </c>
      <c r="I1374" s="8" t="str">
        <f aca="false">IF($G1374="","Unmatched","Matched")</f>
        <v>Unmatched</v>
      </c>
    </row>
    <row r="1375" customFormat="false" ht="15" hidden="false" customHeight="false" outlineLevel="0" collapsed="false">
      <c r="A1375" s="8" t="s">
        <v>814</v>
      </c>
      <c r="B1375" s="8" t="s">
        <v>826</v>
      </c>
      <c r="C1375" s="19" t="n">
        <v>0</v>
      </c>
      <c r="D1375" s="19" t="n">
        <v>0</v>
      </c>
      <c r="E1375" s="19" t="n">
        <v>2</v>
      </c>
      <c r="F1375" s="19" t="n">
        <v>130</v>
      </c>
      <c r="G1375" s="8" t="str">
        <f aca="false">IFERROR(INDEX('TRANS'!$B:$B,MATCH($B1375,'TRANS'!$A:$A,0)),IFERROR(INDEX('TRANS'!$B:$B,MATCH(TRIM(SUBSTITUTE($B1375,CHAR(160)," ")),'TRANS'!$D:$D,0)),IFERROR(INDEX('Catalog'!$A:$A,MATCH($B1375,'Catalog'!$B:$B,0)),IFERROR(INDEX('Catalog'!$A:$A,MATCH(TRIM(SUBSTITUTE($B1375,CHAR(160)," ")),'Catalog'!$C:$C,0)),""))))</f>
        <v/>
      </c>
      <c r="H1375" s="8" t="str">
        <f aca="false">IFERROR(INDEX('TRANS'!$C:$C,MATCH($B1375,'TRANS'!$A:$A,0)),IFERROR(INDEX('Catalog'!$B:$B,MATCH($G1375,'Catalog'!$A:$A,0)),$B1375))</f>
        <v>332C L</v>
      </c>
      <c r="I1375" s="8" t="str">
        <f aca="false">IF($G1375="","Unmatched","Matched")</f>
        <v>Unmatched</v>
      </c>
    </row>
    <row r="1376" customFormat="false" ht="15" hidden="false" customHeight="false" outlineLevel="0" collapsed="false">
      <c r="A1376" s="8" t="s">
        <v>814</v>
      </c>
      <c r="B1376" s="8" t="s">
        <v>827</v>
      </c>
      <c r="C1376" s="19" t="n">
        <v>0</v>
      </c>
      <c r="D1376" s="19" t="n">
        <v>0</v>
      </c>
      <c r="E1376" s="19" t="n">
        <v>2</v>
      </c>
      <c r="F1376" s="19" t="n">
        <v>130</v>
      </c>
      <c r="G1376" s="8" t="str">
        <f aca="false">IFERROR(INDEX('TRANS'!$B:$B,MATCH($B1376,'TRANS'!$A:$A,0)),IFERROR(INDEX('TRANS'!$B:$B,MATCH(TRIM(SUBSTITUTE($B1376,CHAR(160)," ")),'TRANS'!$D:$D,0)),IFERROR(INDEX('Catalog'!$A:$A,MATCH($B1376,'Catalog'!$B:$B,0)),IFERROR(INDEX('Catalog'!$A:$A,MATCH(TRIM(SUBSTITUTE($B1376,CHAR(160)," ")),'Catalog'!$C:$C,0)),""))))</f>
        <v/>
      </c>
      <c r="H1376" s="8" t="str">
        <f aca="false">IFERROR(INDEX('TRANS'!$C:$C,MATCH($B1376,'TRANS'!$A:$A,0)),IFERROR(INDEX('Catalog'!$B:$B,MATCH($G1376,'Catalog'!$A:$A,0)),$B1376))</f>
        <v>332C M</v>
      </c>
      <c r="I1376" s="8" t="str">
        <f aca="false">IF($G1376="","Unmatched","Matched")</f>
        <v>Unmatched</v>
      </c>
    </row>
    <row r="1377" customFormat="false" ht="15" hidden="false" customHeight="false" outlineLevel="0" collapsed="false">
      <c r="A1377" s="8" t="s">
        <v>814</v>
      </c>
      <c r="B1377" s="8" t="s">
        <v>828</v>
      </c>
      <c r="C1377" s="19" t="n">
        <v>0</v>
      </c>
      <c r="D1377" s="19" t="n">
        <v>0</v>
      </c>
      <c r="E1377" s="19" t="n">
        <v>2</v>
      </c>
      <c r="F1377" s="19" t="n">
        <v>130</v>
      </c>
      <c r="G1377" s="8" t="str">
        <f aca="false">IFERROR(INDEX('TRANS'!$B:$B,MATCH($B1377,'TRANS'!$A:$A,0)),IFERROR(INDEX('TRANS'!$B:$B,MATCH(TRIM(SUBSTITUTE($B1377,CHAR(160)," ")),'TRANS'!$D:$D,0)),IFERROR(INDEX('Catalog'!$A:$A,MATCH($B1377,'Catalog'!$B:$B,0)),IFERROR(INDEX('Catalog'!$A:$A,MATCH(TRIM(SUBSTITUTE($B1377,CHAR(160)," ")),'Catalog'!$C:$C,0)),""))))</f>
        <v/>
      </c>
      <c r="H1377" s="8" t="str">
        <f aca="false">IFERROR(INDEX('TRANS'!$C:$C,MATCH($B1377,'TRANS'!$A:$A,0)),IFERROR(INDEX('Catalog'!$B:$B,MATCH($G1377,'Catalog'!$A:$A,0)),$B1377))</f>
        <v>332C S</v>
      </c>
      <c r="I1377" s="8" t="str">
        <f aca="false">IF($G1377="","Unmatched","Matched")</f>
        <v>Unmatched</v>
      </c>
    </row>
    <row r="1378" customFormat="false" ht="15" hidden="false" customHeight="false" outlineLevel="0" collapsed="false">
      <c r="A1378" s="8" t="s">
        <v>814</v>
      </c>
      <c r="B1378" s="8" t="s">
        <v>829</v>
      </c>
      <c r="C1378" s="19" t="n">
        <v>0</v>
      </c>
      <c r="D1378" s="19" t="n">
        <v>0</v>
      </c>
      <c r="E1378" s="19" t="n">
        <v>2</v>
      </c>
      <c r="F1378" s="19" t="n">
        <v>130</v>
      </c>
      <c r="G1378" s="8" t="str">
        <f aca="false">IFERROR(INDEX('TRANS'!$B:$B,MATCH($B1378,'TRANS'!$A:$A,0)),IFERROR(INDEX('TRANS'!$B:$B,MATCH(TRIM(SUBSTITUTE($B1378,CHAR(160)," ")),'TRANS'!$D:$D,0)),IFERROR(INDEX('Catalog'!$A:$A,MATCH($B1378,'Catalog'!$B:$B,0)),IFERROR(INDEX('Catalog'!$A:$A,MATCH(TRIM(SUBSTITUTE($B1378,CHAR(160)," ")),'Catalog'!$C:$C,0)),""))))</f>
        <v/>
      </c>
      <c r="H1378" s="8" t="str">
        <f aca="false">IFERROR(INDEX('TRANS'!$C:$C,MATCH($B1378,'TRANS'!$A:$A,0)),IFERROR(INDEX('Catalog'!$B:$B,MATCH($G1378,'Catalog'!$A:$A,0)),$B1378))</f>
        <v>332C XL</v>
      </c>
      <c r="I1378" s="8" t="str">
        <f aca="false">IF($G1378="","Unmatched","Matched")</f>
        <v>Unmatched</v>
      </c>
    </row>
    <row r="1379" customFormat="false" ht="15" hidden="false" customHeight="false" outlineLevel="0" collapsed="false">
      <c r="A1379" s="8" t="s">
        <v>814</v>
      </c>
      <c r="B1379" s="8" t="s">
        <v>564</v>
      </c>
      <c r="C1379" s="19" t="n">
        <v>1</v>
      </c>
      <c r="D1379" s="19" t="n">
        <v>40.58</v>
      </c>
      <c r="E1379" s="19" t="n">
        <v>4</v>
      </c>
      <c r="F1379" s="19" t="n">
        <v>174.8</v>
      </c>
      <c r="G1379" s="8" t="n">
        <f aca="false">IFERROR(INDEX('TRANS'!$B:$B,MATCH($B1379,'TRANS'!$A:$A,0)),IFERROR(INDEX('TRANS'!$B:$B,MATCH(TRIM(SUBSTITUTE($B1379,CHAR(160)," ")),'TRANS'!$D:$D,0)),IFERROR(INDEX('Catalog'!$A:$A,MATCH($B1379,'Catalog'!$B:$B,0)),IFERROR(INDEX('Catalog'!$A:$A,MATCH(TRIM(SUBSTITUTE($B1379,CHAR(160)," ")),'Catalog'!$C:$C,0)),""))))</f>
        <v>4413043</v>
      </c>
      <c r="H1379" s="8" t="str">
        <f aca="false">IFERROR(INDEX('TRANS'!$C:$C,MATCH($B1379,'TRANS'!$A:$A,0)),IFERROR(INDEX('Catalog'!$B:$B,MATCH($G1379,'Catalog'!$A:$A,0)),$B1379))</f>
        <v>34  L מגן קרסול עקב סגור</v>
      </c>
      <c r="I1379" s="8" t="str">
        <f aca="false">IF($G1379="","Unmatched","Matched")</f>
        <v>Matched</v>
      </c>
    </row>
    <row r="1380" customFormat="false" ht="15" hidden="false" customHeight="false" outlineLevel="0" collapsed="false">
      <c r="A1380" s="8" t="s">
        <v>814</v>
      </c>
      <c r="B1380" s="8" t="s">
        <v>575</v>
      </c>
      <c r="C1380" s="19" t="n">
        <v>1</v>
      </c>
      <c r="D1380" s="19" t="n">
        <v>40.58</v>
      </c>
      <c r="E1380" s="19" t="n">
        <v>3</v>
      </c>
      <c r="F1380" s="19" t="n">
        <v>127.98</v>
      </c>
      <c r="G1380" s="8" t="n">
        <f aca="false">IFERROR(INDEX('TRANS'!$B:$B,MATCH($B1380,'TRANS'!$A:$A,0)),IFERROR(INDEX('TRANS'!$B:$B,MATCH(TRIM(SUBSTITUTE($B1380,CHAR(160)," ")),'TRANS'!$D:$D,0)),IFERROR(INDEX('Catalog'!$A:$A,MATCH($B1380,'Catalog'!$B:$B,0)),IFERROR(INDEX('Catalog'!$A:$A,MATCH(TRIM(SUBSTITUTE($B1380,CHAR(160)," ")),'Catalog'!$C:$C,0)),""))))</f>
        <v>4413041</v>
      </c>
      <c r="H1380" s="8" t="str">
        <f aca="false">IFERROR(INDEX('TRANS'!$C:$C,MATCH($B1380,'TRANS'!$A:$A,0)),IFERROR(INDEX('Catalog'!$B:$B,MATCH($G1380,'Catalog'!$A:$A,0)),$B1380))</f>
        <v>34  M מגן קרסול עקב סגור</v>
      </c>
      <c r="I1380" s="8" t="str">
        <f aca="false">IF($G1380="","Unmatched","Matched")</f>
        <v>Matched</v>
      </c>
    </row>
    <row r="1381" customFormat="false" ht="15" hidden="false" customHeight="false" outlineLevel="0" collapsed="false">
      <c r="A1381" s="8" t="s">
        <v>814</v>
      </c>
      <c r="B1381" s="8" t="s">
        <v>743</v>
      </c>
      <c r="C1381" s="19" t="n">
        <v>1</v>
      </c>
      <c r="D1381" s="19" t="n">
        <v>40.58</v>
      </c>
      <c r="E1381" s="19" t="n">
        <v>1</v>
      </c>
      <c r="F1381" s="19" t="n">
        <v>40.58</v>
      </c>
      <c r="G1381" s="8" t="n">
        <f aca="false">IFERROR(INDEX('TRANS'!$B:$B,MATCH($B1381,'TRANS'!$A:$A,0)),IFERROR(INDEX('TRANS'!$B:$B,MATCH(TRIM(SUBSTITUTE($B1381,CHAR(160)," ")),'TRANS'!$D:$D,0)),IFERROR(INDEX('Catalog'!$A:$A,MATCH($B1381,'Catalog'!$B:$B,0)),IFERROR(INDEX('Catalog'!$A:$A,MATCH(TRIM(SUBSTITUTE($B1381,CHAR(160)," ")),'Catalog'!$C:$C,0)),""))))</f>
        <v>4413042</v>
      </c>
      <c r="H1381" s="8" t="str">
        <f aca="false">IFERROR(INDEX('TRANS'!$C:$C,MATCH($B1381,'TRANS'!$A:$A,0)),IFERROR(INDEX('Catalog'!$B:$B,MATCH($G1381,'Catalog'!$A:$A,0)),$B1381))</f>
        <v>34  S מגן קרסול עקב סגור</v>
      </c>
      <c r="I1381" s="8" t="str">
        <f aca="false">IF($G1381="","Unmatched","Matched")</f>
        <v>Matched</v>
      </c>
    </row>
    <row r="1382" customFormat="false" ht="15" hidden="false" customHeight="false" outlineLevel="0" collapsed="false">
      <c r="A1382" s="8" t="s">
        <v>814</v>
      </c>
      <c r="B1382" s="8" t="s">
        <v>576</v>
      </c>
      <c r="C1382" s="19" t="n">
        <v>1</v>
      </c>
      <c r="D1382" s="19" t="n">
        <v>40.58</v>
      </c>
      <c r="E1382" s="19" t="n">
        <v>3</v>
      </c>
      <c r="F1382" s="19" t="n">
        <v>127.98</v>
      </c>
      <c r="G1382" s="8" t="n">
        <f aca="false">IFERROR(INDEX('TRANS'!$B:$B,MATCH($B1382,'TRANS'!$A:$A,0)),IFERROR(INDEX('TRANS'!$B:$B,MATCH(TRIM(SUBSTITUTE($B1382,CHAR(160)," ")),'TRANS'!$D:$D,0)),IFERROR(INDEX('Catalog'!$A:$A,MATCH($B1382,'Catalog'!$B:$B,0)),IFERROR(INDEX('Catalog'!$A:$A,MATCH(TRIM(SUBSTITUTE($B1382,CHAR(160)," ")),'Catalog'!$C:$C,0)),""))))</f>
        <v>4413044</v>
      </c>
      <c r="H1382" s="8" t="str">
        <f aca="false">IFERROR(INDEX('TRANS'!$C:$C,MATCH($B1382,'TRANS'!$A:$A,0)),IFERROR(INDEX('Catalog'!$B:$B,MATCH($G1382,'Catalog'!$A:$A,0)),$B1382))</f>
        <v>34 XL מגן קרסול עקב סגור</v>
      </c>
      <c r="I1382" s="8" t="str">
        <f aca="false">IF($G1382="","Unmatched","Matched")</f>
        <v>Matched</v>
      </c>
    </row>
    <row r="1383" customFormat="false" ht="15" hidden="false" customHeight="false" outlineLevel="0" collapsed="false">
      <c r="A1383" s="8" t="s">
        <v>814</v>
      </c>
      <c r="B1383" s="8" t="s">
        <v>744</v>
      </c>
      <c r="C1383" s="19" t="n">
        <v>0</v>
      </c>
      <c r="D1383" s="19" t="n">
        <v>0</v>
      </c>
      <c r="E1383" s="19" t="n">
        <v>5</v>
      </c>
      <c r="F1383" s="19" t="n">
        <v>202.9</v>
      </c>
      <c r="G1383" s="8" t="n">
        <f aca="false">IFERROR(INDEX('TRANS'!$B:$B,MATCH($B1383,'TRANS'!$A:$A,0)),IFERROR(INDEX('TRANS'!$B:$B,MATCH(TRIM(SUBSTITUTE($B1383,CHAR(160)," ")),'TRANS'!$D:$D,0)),IFERROR(INDEX('Catalog'!$A:$A,MATCH($B1383,'Catalog'!$B:$B,0)),IFERROR(INDEX('Catalog'!$A:$A,MATCH(TRIM(SUBSTITUTE($B1383,CHAR(160)," ")),'Catalog'!$C:$C,0)),""))))</f>
        <v>4413046</v>
      </c>
      <c r="H1383" s="8" t="str">
        <f aca="false">IFERROR(INDEX('TRANS'!$C:$C,MATCH($B1383,'TRANS'!$A:$A,0)),IFERROR(INDEX('Catalog'!$B:$B,MATCH($G1383,'Catalog'!$A:$A,0)),$B1383))</f>
        <v>34 XXL מגן קרסול עקב סגור</v>
      </c>
      <c r="I1383" s="8" t="str">
        <f aca="false">IF($G1383="","Unmatched","Matched")</f>
        <v>Matched</v>
      </c>
    </row>
    <row r="1384" customFormat="false" ht="15" hidden="false" customHeight="false" outlineLevel="0" collapsed="false">
      <c r="A1384" s="8" t="s">
        <v>814</v>
      </c>
      <c r="B1384" s="8" t="s">
        <v>135</v>
      </c>
      <c r="C1384" s="19" t="n">
        <v>8</v>
      </c>
      <c r="D1384" s="19" t="n">
        <v>218.77</v>
      </c>
      <c r="E1384" s="19" t="n">
        <v>2</v>
      </c>
      <c r="F1384" s="19" t="n">
        <v>53.55</v>
      </c>
      <c r="G1384" s="8" t="n">
        <f aca="false">IFERROR(INDEX('TRANS'!$B:$B,MATCH($B1384,'TRANS'!$A:$A,0)),IFERROR(INDEX('TRANS'!$B:$B,MATCH(TRIM(SUBSTITUTE($B1384,CHAR(160)," ")),'TRANS'!$D:$D,0)),IFERROR(INDEX('Catalog'!$A:$A,MATCH($B1384,'Catalog'!$B:$B,0)),IFERROR(INDEX('Catalog'!$A:$A,MATCH(TRIM(SUBSTITUTE($B1384,CHAR(160)," ")),'Catalog'!$C:$C,0)),""))))</f>
        <v>4413490</v>
      </c>
      <c r="H1384" s="8" t="str">
        <f aca="false">IFERROR(INDEX('TRANS'!$C:$C,MATCH($B1384,'TRANS'!$A:$A,0)),IFERROR(INDEX('Catalog'!$B:$B,MATCH($G1384,'Catalog'!$A:$A,0)),$B1384))</f>
        <v>35B L מגן קרסול שחור</v>
      </c>
      <c r="I1384" s="8" t="str">
        <f aca="false">IF($G1384="","Unmatched","Matched")</f>
        <v>Matched</v>
      </c>
    </row>
    <row r="1385" customFormat="false" ht="15" hidden="false" customHeight="false" outlineLevel="0" collapsed="false">
      <c r="A1385" s="8" t="s">
        <v>814</v>
      </c>
      <c r="B1385" s="8" t="s">
        <v>136</v>
      </c>
      <c r="C1385" s="19" t="n">
        <v>10</v>
      </c>
      <c r="D1385" s="19" t="n">
        <v>292.45</v>
      </c>
      <c r="E1385" s="19" t="n">
        <v>0</v>
      </c>
      <c r="F1385" s="19" t="n">
        <v>0</v>
      </c>
      <c r="G1385" s="8" t="n">
        <f aca="false">IFERROR(INDEX('TRANS'!$B:$B,MATCH($B1385,'TRANS'!$A:$A,0)),IFERROR(INDEX('TRANS'!$B:$B,MATCH(TRIM(SUBSTITUTE($B1385,CHAR(160)," ")),'TRANS'!$D:$D,0)),IFERROR(INDEX('Catalog'!$A:$A,MATCH($B1385,'Catalog'!$B:$B,0)),IFERROR(INDEX('Catalog'!$A:$A,MATCH(TRIM(SUBSTITUTE($B1385,CHAR(160)," ")),'Catalog'!$C:$C,0)),""))))</f>
        <v>4413492</v>
      </c>
      <c r="H1385" s="8" t="str">
        <f aca="false">IFERROR(INDEX('TRANS'!$C:$C,MATCH($B1385,'TRANS'!$A:$A,0)),IFERROR(INDEX('Catalog'!$B:$B,MATCH($G1385,'Catalog'!$A:$A,0)),$B1385))</f>
        <v>35B M מגן קרסול שחור</v>
      </c>
      <c r="I1385" s="8" t="str">
        <f aca="false">IF($G1385="","Unmatched","Matched")</f>
        <v>Matched</v>
      </c>
    </row>
    <row r="1386" customFormat="false" ht="15" hidden="false" customHeight="false" outlineLevel="0" collapsed="false">
      <c r="A1386" s="8" t="s">
        <v>814</v>
      </c>
      <c r="B1386" s="8" t="s">
        <v>137</v>
      </c>
      <c r="C1386" s="19" t="n">
        <v>5</v>
      </c>
      <c r="D1386" s="19" t="n">
        <v>130.21</v>
      </c>
      <c r="E1386" s="19" t="n">
        <v>0</v>
      </c>
      <c r="F1386" s="19" t="n">
        <v>0</v>
      </c>
      <c r="G1386" s="8" t="n">
        <f aca="false">IFERROR(INDEX('TRANS'!$B:$B,MATCH($B1386,'TRANS'!$A:$A,0)),IFERROR(INDEX('TRANS'!$B:$B,MATCH(TRIM(SUBSTITUTE($B1386,CHAR(160)," ")),'TRANS'!$D:$D,0)),IFERROR(INDEX('Catalog'!$A:$A,MATCH($B1386,'Catalog'!$B:$B,0)),IFERROR(INDEX('Catalog'!$A:$A,MATCH(TRIM(SUBSTITUTE($B1386,CHAR(160)," ")),'Catalog'!$C:$C,0)),""))))</f>
        <v>4413493</v>
      </c>
      <c r="H1386" s="8" t="str">
        <f aca="false">IFERROR(INDEX('TRANS'!$C:$C,MATCH($B1386,'TRANS'!$A:$A,0)),IFERROR(INDEX('Catalog'!$B:$B,MATCH($G1386,'Catalog'!$A:$A,0)),$B1386))</f>
        <v>35B S מגן קרסול שחור</v>
      </c>
      <c r="I1386" s="8" t="str">
        <f aca="false">IF($G1386="","Unmatched","Matched")</f>
        <v>Matched</v>
      </c>
    </row>
    <row r="1387" customFormat="false" ht="15" hidden="false" customHeight="false" outlineLevel="0" collapsed="false">
      <c r="A1387" s="8" t="s">
        <v>814</v>
      </c>
      <c r="B1387" s="8" t="s">
        <v>138</v>
      </c>
      <c r="C1387" s="19" t="n">
        <v>6</v>
      </c>
      <c r="D1387" s="19" t="n">
        <v>168.88</v>
      </c>
      <c r="E1387" s="19" t="n">
        <v>4</v>
      </c>
      <c r="F1387" s="19" t="n">
        <v>107.09</v>
      </c>
      <c r="G1387" s="8" t="n">
        <f aca="false">IFERROR(INDEX('TRANS'!$B:$B,MATCH($B1387,'TRANS'!$A:$A,0)),IFERROR(INDEX('TRANS'!$B:$B,MATCH(TRIM(SUBSTITUTE($B1387,CHAR(160)," ")),'TRANS'!$D:$D,0)),IFERROR(INDEX('Catalog'!$A:$A,MATCH($B1387,'Catalog'!$B:$B,0)),IFERROR(INDEX('Catalog'!$A:$A,MATCH(TRIM(SUBSTITUTE($B1387,CHAR(160)," ")),'Catalog'!$C:$C,0)),""))))</f>
        <v>4413491</v>
      </c>
      <c r="H1387" s="8" t="str">
        <f aca="false">IFERROR(INDEX('TRANS'!$C:$C,MATCH($B1387,'TRANS'!$A:$A,0)),IFERROR(INDEX('Catalog'!$B:$B,MATCH($G1387,'Catalog'!$A:$A,0)),$B1387))</f>
        <v>35B XL מגן קרסול שחור</v>
      </c>
      <c r="I1387" s="8" t="str">
        <f aca="false">IF($G1387="","Unmatched","Matched")</f>
        <v>Matched</v>
      </c>
    </row>
    <row r="1388" customFormat="false" ht="15" hidden="false" customHeight="false" outlineLevel="0" collapsed="false">
      <c r="A1388" s="8" t="s">
        <v>814</v>
      </c>
      <c r="B1388" s="8" t="s">
        <v>145</v>
      </c>
      <c r="C1388" s="19" t="n">
        <v>2</v>
      </c>
      <c r="D1388" s="19" t="n">
        <v>89.89</v>
      </c>
      <c r="E1388" s="19" t="n">
        <v>4</v>
      </c>
      <c r="F1388" s="19" t="n">
        <v>155.82</v>
      </c>
      <c r="G1388" s="8" t="n">
        <f aca="false">IFERROR(INDEX('TRANS'!$B:$B,MATCH($B1388,'TRANS'!$A:$A,0)),IFERROR(INDEX('TRANS'!$B:$B,MATCH(TRIM(SUBSTITUTE($B1388,CHAR(160)," ")),'TRANS'!$D:$D,0)),IFERROR(INDEX('Catalog'!$A:$A,MATCH($B1388,'Catalog'!$B:$B,0)),IFERROR(INDEX('Catalog'!$A:$A,MATCH(TRIM(SUBSTITUTE($B1388,CHAR(160)," ")),'Catalog'!$C:$C,0)),""))))</f>
        <v>4421007</v>
      </c>
      <c r="H1388" s="8" t="str">
        <f aca="false">IFERROR(INDEX('TRANS'!$C:$C,MATCH($B1388,'TRANS'!$A:$A,0)),IFERROR(INDEX('Catalog'!$B:$B,MATCH($G1388,'Catalog'!$A:$A,0)),$B1388))</f>
        <v>שרוול לגבס קצר רגל</v>
      </c>
      <c r="I1388" s="8" t="str">
        <f aca="false">IF($G1388="","Unmatched","Matched")</f>
        <v>Matched</v>
      </c>
    </row>
    <row r="1389" customFormat="false" ht="15" hidden="false" customHeight="false" outlineLevel="0" collapsed="false">
      <c r="A1389" s="8" t="s">
        <v>814</v>
      </c>
      <c r="B1389" s="8" t="s">
        <v>147</v>
      </c>
      <c r="C1389" s="19" t="n">
        <v>7</v>
      </c>
      <c r="D1389" s="19" t="n">
        <v>340.96</v>
      </c>
      <c r="E1389" s="19" t="n">
        <v>0</v>
      </c>
      <c r="F1389" s="19" t="n">
        <v>0</v>
      </c>
      <c r="G1389" s="8" t="n">
        <f aca="false">IFERROR(INDEX('TRANS'!$B:$B,MATCH($B1389,'TRANS'!$A:$A,0)),IFERROR(INDEX('TRANS'!$B:$B,MATCH(TRIM(SUBSTITUTE($B1389,CHAR(160)," ")),'TRANS'!$D:$D,0)),IFERROR(INDEX('Catalog'!$A:$A,MATCH($B1389,'Catalog'!$B:$B,0)),IFERROR(INDEX('Catalog'!$A:$A,MATCH(TRIM(SUBSTITUTE($B1389,CHAR(160)," ")),'Catalog'!$C:$C,0)),""))))</f>
        <v>4421001</v>
      </c>
      <c r="H1389" s="8" t="str">
        <f aca="false">IFERROR(INDEX('TRANS'!$C:$C,MATCH($B1389,'TRANS'!$A:$A,0)),IFERROR(INDEX('Catalog'!$B:$B,MATCH($G1389,'Catalog'!$A:$A,0)),$B1389))</f>
        <v>3611 שרוול מטטרזלי מסיליקון</v>
      </c>
      <c r="I1389" s="8" t="str">
        <f aca="false">IF($G1389="","Unmatched","Matched")</f>
        <v>Matched</v>
      </c>
    </row>
    <row r="1390" customFormat="false" ht="15" hidden="false" customHeight="false" outlineLevel="0" collapsed="false">
      <c r="A1390" s="8" t="s">
        <v>814</v>
      </c>
      <c r="B1390" s="8" t="s">
        <v>149</v>
      </c>
      <c r="C1390" s="19" t="n">
        <v>6</v>
      </c>
      <c r="D1390" s="19" t="n">
        <v>170.4</v>
      </c>
      <c r="E1390" s="19" t="n">
        <v>0</v>
      </c>
      <c r="F1390" s="19" t="n">
        <v>0</v>
      </c>
      <c r="G1390" s="8" t="n">
        <f aca="false">IFERROR(INDEX('TRANS'!$B:$B,MATCH($B1390,'TRANS'!$A:$A,0)),IFERROR(INDEX('TRANS'!$B:$B,MATCH(TRIM(SUBSTITUTE($B1390,CHAR(160)," ")),'TRANS'!$D:$D,0)),IFERROR(INDEX('Catalog'!$A:$A,MATCH($B1390,'Catalog'!$B:$B,0)),IFERROR(INDEX('Catalog'!$A:$A,MATCH(TRIM(SUBSTITUTE($B1390,CHAR(160)," ")),'Catalog'!$C:$C,0)),""))))</f>
        <v>4413058</v>
      </c>
      <c r="H1390" s="8" t="str">
        <f aca="false">IFERROR(INDEX('TRANS'!$C:$C,MATCH($B1390,'TRANS'!$A:$A,0)),IFERROR(INDEX('Catalog'!$B:$B,MATCH($G1390,'Catalog'!$A:$A,0)),$B1390))</f>
        <v>3622S מדבקה לשחרור לחץ 2 יח</v>
      </c>
      <c r="I1390" s="8" t="str">
        <f aca="false">IF($G1390="","Unmatched","Matched")</f>
        <v>Matched</v>
      </c>
    </row>
    <row r="1391" customFormat="false" ht="15" hidden="false" customHeight="false" outlineLevel="0" collapsed="false">
      <c r="A1391" s="8" t="s">
        <v>814</v>
      </c>
      <c r="B1391" s="8" t="s">
        <v>150</v>
      </c>
      <c r="C1391" s="19" t="n">
        <v>4</v>
      </c>
      <c r="D1391" s="19" t="n">
        <v>102.76</v>
      </c>
      <c r="E1391" s="19" t="n">
        <v>1</v>
      </c>
      <c r="F1391" s="19" t="n">
        <v>28.54</v>
      </c>
      <c r="G1391" s="8" t="n">
        <f aca="false">IFERROR(INDEX('TRANS'!$B:$B,MATCH($B1391,'TRANS'!$A:$A,0)),IFERROR(INDEX('TRANS'!$B:$B,MATCH(TRIM(SUBSTITUTE($B1391,CHAR(160)," ")),'TRANS'!$D:$D,0)),IFERROR(INDEX('Catalog'!$A:$A,MATCH($B1391,'Catalog'!$B:$B,0)),IFERROR(INDEX('Catalog'!$A:$A,MATCH(TRIM(SUBSTITUTE($B1391,CHAR(160)," ")),'Catalog'!$C:$C,0)),""))))</f>
        <v>4411001</v>
      </c>
      <c r="H1391" s="8" t="str">
        <f aca="false">IFERROR(INDEX('TRANS'!$C:$C,MATCH($B1391,'TRANS'!$A:$A,0)),IFERROR(INDEX('Catalog'!$B:$B,MATCH($G1391,'Catalog'!$A:$A,0)),$B1391))</f>
        <v>3623 כרית ליישור אצבע פטיש</v>
      </c>
      <c r="I1391" s="8" t="str">
        <f aca="false">IF($G1391="","Unmatched","Matched")</f>
        <v>Matched</v>
      </c>
    </row>
    <row r="1392" customFormat="false" ht="15" hidden="false" customHeight="false" outlineLevel="0" collapsed="false">
      <c r="A1392" s="8" t="s">
        <v>814</v>
      </c>
      <c r="B1392" s="8" t="s">
        <v>152</v>
      </c>
      <c r="C1392" s="19" t="n">
        <v>7</v>
      </c>
      <c r="D1392" s="19" t="n">
        <v>95.57</v>
      </c>
      <c r="E1392" s="19" t="n">
        <v>5</v>
      </c>
      <c r="F1392" s="19" t="n">
        <v>72.41</v>
      </c>
      <c r="G1392" s="8" t="n">
        <f aca="false">IFERROR(INDEX('TRANS'!$B:$B,MATCH($B1392,'TRANS'!$A:$A,0)),IFERROR(INDEX('TRANS'!$B:$B,MATCH(TRIM(SUBSTITUTE($B1392,CHAR(160)," ")),'TRANS'!$D:$D,0)),IFERROR(INDEX('Catalog'!$A:$A,MATCH($B1392,'Catalog'!$B:$B,0)),IFERROR(INDEX('Catalog'!$A:$A,MATCH(TRIM(SUBSTITUTE($B1392,CHAR(160)," ")),'Catalog'!$C:$C,0)),""))))</f>
        <v>4413059</v>
      </c>
      <c r="H1392" s="8" t="str">
        <f aca="false">IFERROR(INDEX('TRANS'!$C:$C,MATCH($B1392,'TRANS'!$A:$A,0)),IFERROR(INDEX('Catalog'!$B:$B,MATCH($G1392,'Catalog'!$A:$A,0)),$B1392))</f>
        <v>364S Lמפר.אצבע סיליק. ליבל.זוג</v>
      </c>
      <c r="I1392" s="8" t="str">
        <f aca="false">IF($G1392="","Unmatched","Matched")</f>
        <v>Matched</v>
      </c>
    </row>
    <row r="1393" customFormat="false" ht="15" hidden="false" customHeight="false" outlineLevel="0" collapsed="false">
      <c r="A1393" s="8" t="s">
        <v>814</v>
      </c>
      <c r="B1393" s="8" t="s">
        <v>153</v>
      </c>
      <c r="C1393" s="19" t="n">
        <v>5</v>
      </c>
      <c r="D1393" s="19" t="n">
        <v>66.61</v>
      </c>
      <c r="E1393" s="19" t="n">
        <v>8</v>
      </c>
      <c r="F1393" s="19" t="n">
        <v>115.86</v>
      </c>
      <c r="G1393" s="8" t="n">
        <f aca="false">IFERROR(INDEX('TRANS'!$B:$B,MATCH($B1393,'TRANS'!$A:$A,0)),IFERROR(INDEX('TRANS'!$B:$B,MATCH(TRIM(SUBSTITUTE($B1393,CHAR(160)," ")),'TRANS'!$D:$D,0)),IFERROR(INDEX('Catalog'!$A:$A,MATCH($B1393,'Catalog'!$B:$B,0)),IFERROR(INDEX('Catalog'!$A:$A,MATCH(TRIM(SUBSTITUTE($B1393,CHAR(160)," ")),'Catalog'!$C:$C,0)),""))))</f>
        <v>4413060</v>
      </c>
      <c r="H1393" s="8" t="str">
        <f aca="false">IFERROR(INDEX('TRANS'!$C:$C,MATCH($B1393,'TRANS'!$A:$A,0)),IFERROR(INDEX('Catalog'!$B:$B,MATCH($G1393,'Catalog'!$A:$A,0)),$B1393))</f>
        <v>364 XLמפריד אצבע סיליקון ליבלת</v>
      </c>
      <c r="I1393" s="8" t="str">
        <f aca="false">IF($G1393="","Unmatched","Matched")</f>
        <v>Matched</v>
      </c>
    </row>
    <row r="1394" customFormat="false" ht="15" hidden="false" customHeight="false" outlineLevel="0" collapsed="false">
      <c r="A1394" s="8" t="s">
        <v>814</v>
      </c>
      <c r="B1394" s="8" t="s">
        <v>477</v>
      </c>
      <c r="C1394" s="19" t="n">
        <v>0</v>
      </c>
      <c r="D1394" s="19" t="n">
        <v>0</v>
      </c>
      <c r="E1394" s="19" t="n">
        <v>4</v>
      </c>
      <c r="F1394" s="19" t="n">
        <v>50.21</v>
      </c>
      <c r="G1394" s="8" t="str">
        <f aca="false">IFERROR(INDEX('TRANS'!$B:$B,MATCH($B1394,'TRANS'!$A:$A,0)),IFERROR(INDEX('TRANS'!$B:$B,MATCH(TRIM(SUBSTITUTE($B1394,CHAR(160)," ")),'TRANS'!$D:$D,0)),IFERROR(INDEX('Catalog'!$A:$A,MATCH($B1394,'Catalog'!$B:$B,0)),IFERROR(INDEX('Catalog'!$A:$A,MATCH(TRIM(SUBSTITUTE($B1394,CHAR(160)," ")),'Catalog'!$C:$C,0)),""))))</f>
        <v/>
      </c>
      <c r="H1394" s="8" t="str">
        <f aca="false">IFERROR(INDEX('TRANS'!$C:$C,MATCH($B1394,'TRANS'!$A:$A,0)),IFERROR(INDEX('Catalog'!$B:$B,MATCH($G1394,'Catalog'!$A:$A,0)),$B1394))</f>
        <v>364XL+ 0</v>
      </c>
      <c r="I1394" s="8" t="str">
        <f aca="false">IF($G1394="","Unmatched","Matched")</f>
        <v>Unmatched</v>
      </c>
    </row>
    <row r="1395" customFormat="false" ht="15" hidden="false" customHeight="false" outlineLevel="0" collapsed="false">
      <c r="A1395" s="8" t="s">
        <v>814</v>
      </c>
      <c r="B1395" s="8" t="s">
        <v>154</v>
      </c>
      <c r="C1395" s="19" t="n">
        <v>5</v>
      </c>
      <c r="D1395" s="19" t="n">
        <v>96.81</v>
      </c>
      <c r="E1395" s="19" t="n">
        <v>0</v>
      </c>
      <c r="F1395" s="19" t="n">
        <v>0</v>
      </c>
      <c r="G1395" s="8" t="n">
        <f aca="false">IFERROR(INDEX('TRANS'!$B:$B,MATCH($B1395,'TRANS'!$A:$A,0)),IFERROR(INDEX('TRANS'!$B:$B,MATCH(TRIM(SUBSTITUTE($B1395,CHAR(160)," ")),'TRANS'!$D:$D,0)),IFERROR(INDEX('Catalog'!$A:$A,MATCH($B1395,'Catalog'!$B:$B,0)),IFERROR(INDEX('Catalog'!$A:$A,MATCH(TRIM(SUBSTITUTE($B1395,CHAR(160)," ")),'Catalog'!$C:$C,0)),""))))</f>
        <v>4413061</v>
      </c>
      <c r="H1395" s="8" t="str">
        <f aca="false">IFERROR(INDEX('TRANS'!$C:$C,MATCH($B1395,'TRANS'!$A:$A,0)),IFERROR(INDEX('Catalog'!$B:$B,MATCH($G1395,'Catalog'!$A:$A,0)),$B1395))</f>
        <v>3641-מיישר בוהן סיליקון קשיח</v>
      </c>
      <c r="I1395" s="8" t="str">
        <f aca="false">IF($G1395="","Unmatched","Matched")</f>
        <v>Matched</v>
      </c>
    </row>
    <row r="1396" customFormat="false" ht="15" hidden="false" customHeight="false" outlineLevel="0" collapsed="false">
      <c r="A1396" s="8" t="s">
        <v>814</v>
      </c>
      <c r="B1396" s="8" t="s">
        <v>155</v>
      </c>
      <c r="C1396" s="19" t="n">
        <v>3</v>
      </c>
      <c r="D1396" s="19" t="n">
        <v>37.65</v>
      </c>
      <c r="E1396" s="19" t="n">
        <v>0</v>
      </c>
      <c r="F1396" s="19" t="n">
        <v>0</v>
      </c>
      <c r="G1396" s="8" t="n">
        <f aca="false">IFERROR(INDEX('TRANS'!$B:$B,MATCH($B1396,'TRANS'!$A:$A,0)),IFERROR(INDEX('TRANS'!$B:$B,MATCH(TRIM(SUBSTITUTE($B1396,CHAR(160)," ")),'TRANS'!$D:$D,0)),IFERROR(INDEX('Catalog'!$A:$A,MATCH($B1396,'Catalog'!$B:$B,0)),IFERROR(INDEX('Catalog'!$A:$A,MATCH(TRIM(SUBSTITUTE($B1396,CHAR(160)," ")),'Catalog'!$C:$C,0)),""))))</f>
        <v>4409000</v>
      </c>
      <c r="H1396" s="8" t="str">
        <f aca="false">IFERROR(INDEX('TRANS'!$C:$C,MATCH($B1396,'TRANS'!$A:$A,0)),IFERROR(INDEX('Catalog'!$B:$B,MATCH($G1396,'Catalog'!$A:$A,0)),$B1396))</f>
        <v>365 S-Lטבעת אלסטית מסיליקון</v>
      </c>
      <c r="I1396" s="8" t="str">
        <f aca="false">IF($G1396="","Unmatched","Matched")</f>
        <v>Matched</v>
      </c>
    </row>
    <row r="1397" customFormat="false" ht="15" hidden="false" customHeight="false" outlineLevel="0" collapsed="false">
      <c r="A1397" s="8" t="s">
        <v>814</v>
      </c>
      <c r="B1397" s="8" t="s">
        <v>478</v>
      </c>
      <c r="C1397" s="19" t="n">
        <v>3</v>
      </c>
      <c r="D1397" s="19" t="n">
        <v>36.45</v>
      </c>
      <c r="E1397" s="19" t="n">
        <v>0</v>
      </c>
      <c r="F1397" s="19" t="n">
        <v>0</v>
      </c>
      <c r="G1397" s="8" t="n">
        <f aca="false">IFERROR(INDEX('TRANS'!$B:$B,MATCH($B1397,'TRANS'!$A:$A,0)),IFERROR(INDEX('TRANS'!$B:$B,MATCH(TRIM(SUBSTITUTE($B1397,CHAR(160)," ")),'TRANS'!$D:$D,0)),IFERROR(INDEX('Catalog'!$A:$A,MATCH($B1397,'Catalog'!$B:$B,0)),IFERROR(INDEX('Catalog'!$A:$A,MATCH(TRIM(SUBSTITUTE($B1397,CHAR(160)," ")),'Catalog'!$C:$C,0)),""))))</f>
        <v>4409001</v>
      </c>
      <c r="H1397" s="8" t="str">
        <f aca="false">IFERROR(INDEX('TRANS'!$C:$C,MATCH($B1397,'TRANS'!$A:$A,0)),IFERROR(INDEX('Catalog'!$B:$B,MATCH($G1397,'Catalog'!$A:$A,0)),$B1397))</f>
        <v>365  X-Lטבעת אלסטית מסיליקון</v>
      </c>
      <c r="I1397" s="8" t="str">
        <f aca="false">IF($G1397="","Unmatched","Matched")</f>
        <v>Matched</v>
      </c>
    </row>
    <row r="1398" customFormat="false" ht="15" hidden="false" customHeight="false" outlineLevel="0" collapsed="false">
      <c r="A1398" s="8" t="s">
        <v>814</v>
      </c>
      <c r="B1398" s="8" t="s">
        <v>156</v>
      </c>
      <c r="C1398" s="19" t="n">
        <v>6</v>
      </c>
      <c r="D1398" s="19" t="n">
        <v>97.27</v>
      </c>
      <c r="E1398" s="19" t="n">
        <v>2</v>
      </c>
      <c r="F1398" s="19" t="n">
        <v>37.41</v>
      </c>
      <c r="G1398" s="8" t="n">
        <f aca="false">IFERROR(INDEX('TRANS'!$B:$B,MATCH($B1398,'TRANS'!$A:$A,0)),IFERROR(INDEX('TRANS'!$B:$B,MATCH(TRIM(SUBSTITUTE($B1398,CHAR(160)," ")),'TRANS'!$D:$D,0)),IFERROR(INDEX('Catalog'!$A:$A,MATCH($B1398,'Catalog'!$B:$B,0)),IFERROR(INDEX('Catalog'!$A:$A,MATCH(TRIM(SUBSTITUTE($B1398,CHAR(160)," ")),'Catalog'!$C:$C,0)),""))))</f>
        <v>4421000</v>
      </c>
      <c r="H1398" s="8" t="str">
        <f aca="false">IFERROR(INDEX('TRANS'!$C:$C,MATCH($B1398,'TRANS'!$A:$A,0)),IFERROR(INDEX('Catalog'!$B:$B,MATCH($G1398,'Catalog'!$A:$A,0)),$B1398))</f>
        <v>3655 שרוול מסיליקון לאצבע</v>
      </c>
      <c r="I1398" s="8" t="str">
        <f aca="false">IF($G1398="","Unmatched","Matched")</f>
        <v>Matched</v>
      </c>
    </row>
    <row r="1399" customFormat="false" ht="15" hidden="false" customHeight="false" outlineLevel="0" collapsed="false">
      <c r="A1399" s="8" t="s">
        <v>814</v>
      </c>
      <c r="B1399" s="8" t="s">
        <v>158</v>
      </c>
      <c r="C1399" s="19" t="n">
        <v>4</v>
      </c>
      <c r="D1399" s="19" t="n">
        <v>117.97</v>
      </c>
      <c r="E1399" s="19" t="n">
        <v>0</v>
      </c>
      <c r="F1399" s="19" t="n">
        <v>0</v>
      </c>
      <c r="G1399" s="8" t="n">
        <f aca="false">IFERROR(INDEX('TRANS'!$B:$B,MATCH($B1399,'TRANS'!$A:$A,0)),IFERROR(INDEX('TRANS'!$B:$B,MATCH(TRIM(SUBSTITUTE($B1399,CHAR(160)," ")),'TRANS'!$D:$D,0)),IFERROR(INDEX('Catalog'!$A:$A,MATCH($B1399,'Catalog'!$B:$B,0)),IFERROR(INDEX('Catalog'!$A:$A,MATCH(TRIM(SUBSTITUTE($B1399,CHAR(160)," ")),'Catalog'!$C:$C,0)),""))))</f>
        <v>4413307</v>
      </c>
      <c r="H1399" s="8" t="str">
        <f aca="false">IFERROR(INDEX('TRANS'!$C:$C,MATCH($B1399,'TRANS'!$A:$A,0)),IFERROR(INDEX('Catalog'!$B:$B,MATCH($G1399,'Catalog'!$A:$A,0)),$B1399))</f>
        <v>URI 3667 מגן בוניון</v>
      </c>
      <c r="I1399" s="8" t="str">
        <f aca="false">IF($G1399="","Unmatched","Matched")</f>
        <v>Matched</v>
      </c>
    </row>
    <row r="1400" customFormat="false" ht="15" hidden="false" customHeight="false" outlineLevel="0" collapsed="false">
      <c r="A1400" s="8" t="s">
        <v>814</v>
      </c>
      <c r="B1400" s="8" t="s">
        <v>161</v>
      </c>
      <c r="C1400" s="19" t="n">
        <v>5</v>
      </c>
      <c r="D1400" s="19" t="n">
        <v>185.24</v>
      </c>
      <c r="E1400" s="19" t="n">
        <v>4</v>
      </c>
      <c r="F1400" s="19" t="n">
        <v>161.07</v>
      </c>
      <c r="G1400" s="8" t="n">
        <f aca="false">IFERROR(INDEX('TRANS'!$B:$B,MATCH($B1400,'TRANS'!$A:$A,0)),IFERROR(INDEX('TRANS'!$B:$B,MATCH(TRIM(SUBSTITUTE($B1400,CHAR(160)," ")),'TRANS'!$D:$D,0)),IFERROR(INDEX('Catalog'!$A:$A,MATCH($B1400,'Catalog'!$B:$B,0)),IFERROR(INDEX('Catalog'!$A:$A,MATCH(TRIM(SUBSTITUTE($B1400,CHAR(160)," ")),'Catalog'!$C:$C,0)),""))))</f>
        <v>4413370</v>
      </c>
      <c r="H1400" s="8" t="str">
        <f aca="false">IFERROR(INDEX('TRANS'!$C:$C,MATCH($B1400,'TRANS'!$A:$A,0)),IFERROR(INDEX('Catalog'!$B:$B,MATCH($G1400,'Catalog'!$A:$A,0)),$B1400))</f>
        <v>3674 0 מ.בוניון+מפריד אצבע</v>
      </c>
      <c r="I1400" s="8" t="str">
        <f aca="false">IF($G1400="","Unmatched","Matched")</f>
        <v>Matched</v>
      </c>
    </row>
    <row r="1401" customFormat="false" ht="15" hidden="false" customHeight="false" outlineLevel="0" collapsed="false">
      <c r="A1401" s="8" t="s">
        <v>814</v>
      </c>
      <c r="B1401" s="8" t="s">
        <v>162</v>
      </c>
      <c r="C1401" s="19" t="n">
        <v>3</v>
      </c>
      <c r="D1401" s="19" t="n">
        <v>83.15</v>
      </c>
      <c r="E1401" s="19" t="n">
        <v>0</v>
      </c>
      <c r="F1401" s="19" t="n">
        <v>0</v>
      </c>
      <c r="G1401" s="8" t="n">
        <f aca="false">IFERROR(INDEX('TRANS'!$B:$B,MATCH($B1401,'TRANS'!$A:$A,0)),IFERROR(INDEX('TRANS'!$B:$B,MATCH(TRIM(SUBSTITUTE($B1401,CHAR(160)," ")),'TRANS'!$D:$D,0)),IFERROR(INDEX('Catalog'!$A:$A,MATCH($B1401,'Catalog'!$B:$B,0)),IFERROR(INDEX('Catalog'!$A:$A,MATCH(TRIM(SUBSTITUTE($B1401,CHAR(160)," ")),'Catalog'!$C:$C,0)),""))))</f>
        <v>4413371</v>
      </c>
      <c r="H1401" s="8" t="str">
        <f aca="false">IFERROR(INDEX('TRANS'!$C:$C,MATCH($B1401,'TRANS'!$A:$A,0)),IFERROR(INDEX('Catalog'!$B:$B,MATCH($G1401,'Catalog'!$A:$A,0)),$B1401))</f>
        <v>3675    מגן זרת מסיליקון</v>
      </c>
      <c r="I1401" s="8" t="str">
        <f aca="false">IF($G1401="","Unmatched","Matched")</f>
        <v>Matched</v>
      </c>
    </row>
    <row r="1402" customFormat="false" ht="15" hidden="false" customHeight="false" outlineLevel="0" collapsed="false">
      <c r="A1402" s="8" t="s">
        <v>814</v>
      </c>
      <c r="B1402" s="8" t="s">
        <v>746</v>
      </c>
      <c r="C1402" s="19" t="n">
        <v>3</v>
      </c>
      <c r="D1402" s="19" t="n">
        <v>53.49</v>
      </c>
      <c r="E1402" s="19" t="n">
        <v>0</v>
      </c>
      <c r="F1402" s="19" t="n">
        <v>0</v>
      </c>
      <c r="G1402" s="8" t="n">
        <f aca="false">IFERROR(INDEX('TRANS'!$B:$B,MATCH($B1402,'TRANS'!$A:$A,0)),IFERROR(INDEX('TRANS'!$B:$B,MATCH(TRIM(SUBSTITUTE($B1402,CHAR(160)," ")),'TRANS'!$D:$D,0)),IFERROR(INDEX('Catalog'!$A:$A,MATCH($B1402,'Catalog'!$B:$B,0)),IFERROR(INDEX('Catalog'!$A:$A,MATCH(TRIM(SUBSTITUTE($B1402,CHAR(160)," ")),'Catalog'!$C:$C,0)),""))))</f>
        <v>4413066</v>
      </c>
      <c r="H1402" s="8" t="str">
        <f aca="false">IFERROR(INDEX('TRANS'!$C:$C,MATCH($B1402,'TRANS'!$A:$A,0)),IFERROR(INDEX('Catalog'!$B:$B,MATCH($G1402,'Catalog'!$A:$A,0)),$B1402))</f>
        <v>3677S-מד.לשחרור לחץ א.הבוניון</v>
      </c>
      <c r="I1402" s="8" t="str">
        <f aca="false">IF($G1402="","Unmatched","Matched")</f>
        <v>Matched</v>
      </c>
    </row>
    <row r="1403" customFormat="false" ht="15" hidden="false" customHeight="false" outlineLevel="0" collapsed="false">
      <c r="A1403" s="8" t="s">
        <v>814</v>
      </c>
      <c r="B1403" s="8" t="s">
        <v>163</v>
      </c>
      <c r="C1403" s="19" t="n">
        <v>3</v>
      </c>
      <c r="D1403" s="19" t="n">
        <v>62.03</v>
      </c>
      <c r="E1403" s="19" t="n">
        <v>0</v>
      </c>
      <c r="F1403" s="19" t="n">
        <v>0</v>
      </c>
      <c r="G1403" s="8" t="n">
        <f aca="false">IFERROR(INDEX('TRANS'!$B:$B,MATCH($B1403,'TRANS'!$A:$A,0)),IFERROR(INDEX('TRANS'!$B:$B,MATCH(TRIM(SUBSTITUTE($B1403,CHAR(160)," ")),'TRANS'!$D:$D,0)),IFERROR(INDEX('Catalog'!$A:$A,MATCH($B1403,'Catalog'!$B:$B,0)),IFERROR(INDEX('Catalog'!$A:$A,MATCH(TRIM(SUBSTITUTE($B1403,CHAR(160)," ")),'Catalog'!$C:$C,0)),""))))</f>
        <v>4401000</v>
      </c>
      <c r="H1403" s="8" t="str">
        <f aca="false">IFERROR(INDEX('TRANS'!$C:$C,MATCH($B1403,'TRANS'!$A:$A,0)),IFERROR(INDEX('Catalog'!$B:$B,MATCH($G1403,'Catalog'!$A:$A,0)),$B1403))</f>
        <v>369  S-L אצבעון מסיליקון יחידה</v>
      </c>
      <c r="I1403" s="8" t="str">
        <f aca="false">IF($G1403="","Unmatched","Matched")</f>
        <v>Matched</v>
      </c>
    </row>
    <row r="1404" customFormat="false" ht="15" hidden="false" customHeight="false" outlineLevel="0" collapsed="false">
      <c r="A1404" s="8" t="s">
        <v>814</v>
      </c>
      <c r="B1404" s="8" t="s">
        <v>164</v>
      </c>
      <c r="C1404" s="19" t="n">
        <v>3</v>
      </c>
      <c r="D1404" s="19" t="n">
        <v>68.11</v>
      </c>
      <c r="E1404" s="19" t="n">
        <v>0</v>
      </c>
      <c r="F1404" s="19" t="n">
        <v>0</v>
      </c>
      <c r="G1404" s="8" t="n">
        <f aca="false">IFERROR(INDEX('TRANS'!$B:$B,MATCH($B1404,'TRANS'!$A:$A,0)),IFERROR(INDEX('TRANS'!$B:$B,MATCH(TRIM(SUBSTITUTE($B1404,CHAR(160)," ")),'TRANS'!$D:$D,0)),IFERROR(INDEX('Catalog'!$A:$A,MATCH($B1404,'Catalog'!$B:$B,0)),IFERROR(INDEX('Catalog'!$A:$A,MATCH(TRIM(SUBSTITUTE($B1404,CHAR(160)," ")),'Catalog'!$C:$C,0)),""))))</f>
        <v>4401001</v>
      </c>
      <c r="H1404" s="8" t="str">
        <f aca="false">IFERROR(INDEX('TRANS'!$C:$C,MATCH($B1404,'TRANS'!$A:$A,0)),IFERROR(INDEX('Catalog'!$B:$B,MATCH($G1404,'Catalog'!$A:$A,0)),$B1404))</f>
        <v>369   XL אצבעון מסיליקון יחידה</v>
      </c>
      <c r="I1404" s="8" t="str">
        <f aca="false">IF($G1404="","Unmatched","Matched")</f>
        <v>Matched</v>
      </c>
    </row>
    <row r="1405" customFormat="false" ht="15" hidden="false" customHeight="false" outlineLevel="0" collapsed="false">
      <c r="A1405" s="8" t="s">
        <v>814</v>
      </c>
      <c r="B1405" s="8" t="s">
        <v>166</v>
      </c>
      <c r="C1405" s="19" t="n">
        <v>0</v>
      </c>
      <c r="D1405" s="19" t="n">
        <v>0</v>
      </c>
      <c r="E1405" s="19" t="n">
        <v>6</v>
      </c>
      <c r="F1405" s="19" t="n">
        <v>68.02</v>
      </c>
      <c r="G1405" s="8" t="n">
        <f aca="false">IFERROR(INDEX('TRANS'!$B:$B,MATCH($B1405,'TRANS'!$A:$A,0)),IFERROR(INDEX('TRANS'!$B:$B,MATCH(TRIM(SUBSTITUTE($B1405,CHAR(160)," ")),'TRANS'!$D:$D,0)),IFERROR(INDEX('Catalog'!$A:$A,MATCH($B1405,'Catalog'!$B:$B,0)),IFERROR(INDEX('Catalog'!$A:$A,MATCH(TRIM(SUBSTITUTE($B1405,CHAR(160)," ")),'Catalog'!$C:$C,0)),""))))</f>
        <v>4420027</v>
      </c>
      <c r="H1405" s="8" t="str">
        <f aca="false">IFERROR(INDEX('TRANS'!$C:$C,MATCH($B1405,'TRANS'!$A:$A,0)),IFERROR(INDEX('Catalog'!$B:$B,MATCH($G1405,'Catalog'!$A:$A,0)),$B1405))</f>
        <v>370K 0 רפידת לילדים אנטי ריח</v>
      </c>
      <c r="I1405" s="8" t="str">
        <f aca="false">IF($G1405="","Unmatched","Matched")</f>
        <v>Matched</v>
      </c>
    </row>
    <row r="1406" customFormat="false" ht="15" hidden="false" customHeight="false" outlineLevel="0" collapsed="false">
      <c r="A1406" s="8" t="s">
        <v>814</v>
      </c>
      <c r="B1406" s="8" t="s">
        <v>168</v>
      </c>
      <c r="C1406" s="19" t="n">
        <v>6</v>
      </c>
      <c r="D1406" s="19" t="n">
        <v>80.18</v>
      </c>
      <c r="E1406" s="19" t="n">
        <v>0</v>
      </c>
      <c r="F1406" s="19" t="n">
        <v>0</v>
      </c>
      <c r="G1406" s="8" t="n">
        <f aca="false">IFERROR(INDEX('TRANS'!$B:$B,MATCH($B1406,'TRANS'!$A:$A,0)),IFERROR(INDEX('TRANS'!$B:$B,MATCH(TRIM(SUBSTITUTE($B1406,CHAR(160)," ")),'TRANS'!$D:$D,0)),IFERROR(INDEX('Catalog'!$A:$A,MATCH($B1406,'Catalog'!$B:$B,0)),IFERROR(INDEX('Catalog'!$A:$A,MATCH(TRIM(SUBSTITUTE($B1406,CHAR(160)," ")),'Catalog'!$C:$C,0)),""))))</f>
        <v>4420002</v>
      </c>
      <c r="H1406" s="8" t="str">
        <f aca="false">IFERROR(INDEX('TRANS'!$C:$C,MATCH($B1406,'TRANS'!$A:$A,0)),IFERROR(INDEX('Catalog'!$B:$B,MATCH($G1406,'Catalog'!$A:$A,0)),$B1406))</f>
        <v>372 רפידת אנטי ריח -זוג</v>
      </c>
      <c r="I1406" s="8" t="str">
        <f aca="false">IF($G1406="","Unmatched","Matched")</f>
        <v>Matched</v>
      </c>
    </row>
    <row r="1407" customFormat="false" ht="15" hidden="false" customHeight="false" outlineLevel="0" collapsed="false">
      <c r="A1407" s="8" t="s">
        <v>814</v>
      </c>
      <c r="B1407" s="8" t="s">
        <v>169</v>
      </c>
      <c r="C1407" s="19" t="n">
        <v>6</v>
      </c>
      <c r="D1407" s="19" t="n">
        <v>80.18</v>
      </c>
      <c r="E1407" s="19" t="n">
        <v>0</v>
      </c>
      <c r="F1407" s="19" t="n">
        <v>0</v>
      </c>
      <c r="G1407" s="8" t="n">
        <f aca="false">IFERROR(INDEX('TRANS'!$B:$B,MATCH($B1407,'TRANS'!$A:$A,0)),IFERROR(INDEX('TRANS'!$B:$B,MATCH(TRIM(SUBSTITUTE($B1407,CHAR(160)," ")),'TRANS'!$D:$D,0)),IFERROR(INDEX('Catalog'!$A:$A,MATCH($B1407,'Catalog'!$B:$B,0)),IFERROR(INDEX('Catalog'!$A:$A,MATCH(TRIM(SUBSTITUTE($B1407,CHAR(160)," ")),'Catalog'!$C:$C,0)),""))))</f>
        <v>4420003</v>
      </c>
      <c r="H1407" s="8" t="str">
        <f aca="false">IFERROR(INDEX('TRANS'!$C:$C,MATCH($B1407,'TRANS'!$A:$A,0)),IFERROR(INDEX('Catalog'!$B:$B,MATCH($G1407,'Catalog'!$A:$A,0)),$B1407))</f>
        <v>374 רפידת בולמת זעזועים -זוג</v>
      </c>
      <c r="I1407" s="8" t="str">
        <f aca="false">IF($G1407="","Unmatched","Matched")</f>
        <v>Matched</v>
      </c>
    </row>
    <row r="1408" customFormat="false" ht="15" hidden="false" customHeight="false" outlineLevel="0" collapsed="false">
      <c r="A1408" s="8" t="s">
        <v>814</v>
      </c>
      <c r="B1408" s="8" t="s">
        <v>178</v>
      </c>
      <c r="C1408" s="19" t="n">
        <v>5</v>
      </c>
      <c r="D1408" s="19" t="n">
        <v>292</v>
      </c>
      <c r="E1408" s="19" t="n">
        <v>0</v>
      </c>
      <c r="F1408" s="19" t="n">
        <v>0</v>
      </c>
      <c r="G1408" s="8" t="n">
        <f aca="false">IFERROR(INDEX('TRANS'!$B:$B,MATCH($B1408,'TRANS'!$A:$A,0)),IFERROR(INDEX('TRANS'!$B:$B,MATCH(TRIM(SUBSTITUTE($B1408,CHAR(160)," ")),'TRANS'!$D:$D,0)),IFERROR(INDEX('Catalog'!$A:$A,MATCH($B1408,'Catalog'!$B:$B,0)),IFERROR(INDEX('Catalog'!$A:$A,MATCH(TRIM(SUBSTITUTE($B1408,CHAR(160)," ")),'Catalog'!$C:$C,0)),""))))</f>
        <v>4415298</v>
      </c>
      <c r="H1408" s="8" t="str">
        <f aca="false">IFERROR(INDEX('TRANS'!$C:$C,MATCH($B1408,'TRANS'!$A:$A,0)),IFERROR(INDEX('Catalog'!$B:$B,MATCH($G1408,'Catalog'!$A:$A,0)),$B1408))</f>
        <v>388B L סד לילה שחור לבוהן שמאל</v>
      </c>
      <c r="I1408" s="8" t="str">
        <f aca="false">IF($G1408="","Unmatched","Matched")</f>
        <v>Matched</v>
      </c>
    </row>
    <row r="1409" customFormat="false" ht="15" hidden="false" customHeight="false" outlineLevel="0" collapsed="false">
      <c r="A1409" s="8" t="s">
        <v>814</v>
      </c>
      <c r="B1409" s="8" t="s">
        <v>179</v>
      </c>
      <c r="C1409" s="19" t="n">
        <v>4</v>
      </c>
      <c r="D1409" s="19" t="n">
        <v>232</v>
      </c>
      <c r="E1409" s="19" t="n">
        <v>0</v>
      </c>
      <c r="F1409" s="19" t="n">
        <v>0</v>
      </c>
      <c r="G1409" s="8" t="n">
        <f aca="false">IFERROR(INDEX('TRANS'!$B:$B,MATCH($B1409,'TRANS'!$A:$A,0)),IFERROR(INDEX('TRANS'!$B:$B,MATCH(TRIM(SUBSTITUTE($B1409,CHAR(160)," ")),'TRANS'!$D:$D,0)),IFERROR(INDEX('Catalog'!$A:$A,MATCH($B1409,'Catalog'!$B:$B,0)),IFERROR(INDEX('Catalog'!$A:$A,MATCH(TRIM(SUBSTITUTE($B1409,CHAR(160)," ")),'Catalog'!$C:$C,0)),""))))</f>
        <v>4415299</v>
      </c>
      <c r="H1409" s="8" t="str">
        <f aca="false">IFERROR(INDEX('TRANS'!$C:$C,MATCH($B1409,'TRANS'!$A:$A,0)),IFERROR(INDEX('Catalog'!$B:$B,MATCH($G1409,'Catalog'!$A:$A,0)),$B1409))</f>
        <v>388B L סד לילה שחור לבוהן ימין</v>
      </c>
      <c r="I1409" s="8" t="str">
        <f aca="false">IF($G1409="","Unmatched","Matched")</f>
        <v>Matched</v>
      </c>
    </row>
    <row r="1410" customFormat="false" ht="15" hidden="false" customHeight="false" outlineLevel="0" collapsed="false">
      <c r="A1410" s="8" t="s">
        <v>814</v>
      </c>
      <c r="B1410" s="8" t="s">
        <v>180</v>
      </c>
      <c r="C1410" s="19" t="n">
        <v>10</v>
      </c>
      <c r="D1410" s="19" t="n">
        <v>234</v>
      </c>
      <c r="E1410" s="19" t="n">
        <v>0</v>
      </c>
      <c r="F1410" s="19" t="n">
        <v>0</v>
      </c>
      <c r="G1410" s="8" t="n">
        <f aca="false">IFERROR(INDEX('TRANS'!$B:$B,MATCH($B1410,'TRANS'!$A:$A,0)),IFERROR(INDEX('TRANS'!$B:$B,MATCH(TRIM(SUBSTITUTE($B1410,CHAR(160)," ")),'TRANS'!$D:$D,0)),IFERROR(INDEX('Catalog'!$A:$A,MATCH($B1410,'Catalog'!$B:$B,0)),IFERROR(INDEX('Catalog'!$A:$A,MATCH(TRIM(SUBSTITUTE($B1410,CHAR(160)," ")),'Catalog'!$C:$C,0)),""))))</f>
        <v>4403000</v>
      </c>
      <c r="H1410" s="8" t="str">
        <f aca="false">IFERROR(INDEX('TRANS'!$C:$C,MATCH($B1410,'TRANS'!$A:$A,0)),IFERROR(INDEX('Catalog'!$B:$B,MATCH($G1410,'Catalog'!$A:$A,0)),$B1410))</f>
        <v>390B גרב.כסף לסכרתים שחור35-38</v>
      </c>
      <c r="I1410" s="8" t="str">
        <f aca="false">IF($G1410="","Unmatched","Matched")</f>
        <v>Matched</v>
      </c>
    </row>
    <row r="1411" customFormat="false" ht="15" hidden="false" customHeight="false" outlineLevel="0" collapsed="false">
      <c r="A1411" s="8" t="s">
        <v>814</v>
      </c>
      <c r="B1411" s="8" t="s">
        <v>182</v>
      </c>
      <c r="C1411" s="19" t="n">
        <v>25</v>
      </c>
      <c r="D1411" s="19" t="n">
        <v>234.1</v>
      </c>
      <c r="E1411" s="19" t="n">
        <v>5</v>
      </c>
      <c r="F1411" s="19" t="n">
        <v>135</v>
      </c>
      <c r="G1411" s="8" t="n">
        <f aca="false">IFERROR(INDEX('TRANS'!$B:$B,MATCH($B1411,'TRANS'!$A:$A,0)),IFERROR(INDEX('TRANS'!$B:$B,MATCH(TRIM(SUBSTITUTE($B1411,CHAR(160)," ")),'TRANS'!$D:$D,0)),IFERROR(INDEX('Catalog'!$A:$A,MATCH($B1411,'Catalog'!$B:$B,0)),IFERROR(INDEX('Catalog'!$A:$A,MATCH(TRIM(SUBSTITUTE($B1411,CHAR(160)," ")),'Catalog'!$C:$C,0)),""))))</f>
        <v>4403002</v>
      </c>
      <c r="H1411" s="8" t="str">
        <f aca="false">IFERROR(INDEX('TRANS'!$C:$C,MATCH($B1411,'TRANS'!$A:$A,0)),IFERROR(INDEX('Catalog'!$B:$B,MATCH($G1411,'Catalog'!$A:$A,0)),$B1411))</f>
        <v>390B 43-46.גרב.כסף לסכרתיים שח</v>
      </c>
      <c r="I1411" s="8" t="str">
        <f aca="false">IF($G1411="","Unmatched","Matched")</f>
        <v>Matched</v>
      </c>
    </row>
    <row r="1412" customFormat="false" ht="15" hidden="false" customHeight="false" outlineLevel="0" collapsed="false">
      <c r="A1412" s="8" t="s">
        <v>814</v>
      </c>
      <c r="B1412" s="8" t="s">
        <v>205</v>
      </c>
      <c r="C1412" s="19" t="n">
        <v>1</v>
      </c>
      <c r="D1412" s="19" t="n">
        <v>117.77</v>
      </c>
      <c r="E1412" s="19" t="n">
        <v>0</v>
      </c>
      <c r="F1412" s="19" t="n">
        <v>0</v>
      </c>
      <c r="G1412" s="8" t="n">
        <f aca="false">IFERROR(INDEX('TRANS'!$B:$B,MATCH($B1412,'TRANS'!$A:$A,0)),IFERROR(INDEX('TRANS'!$B:$B,MATCH(TRIM(SUBSTITUTE($B1412,CHAR(160)," ")),'TRANS'!$D:$D,0)),IFERROR(INDEX('Catalog'!$A:$A,MATCH($B1412,'Catalog'!$B:$B,0)),IFERROR(INDEX('Catalog'!$A:$A,MATCH(TRIM(SUBSTITUTE($B1412,CHAR(160)," ")),'Catalog'!$C:$C,0)),""))))</f>
        <v>4413076</v>
      </c>
      <c r="H1412" s="8" t="str">
        <f aca="false">IFERROR(INDEX('TRANS'!$C:$C,MATCH($B1412,'TRANS'!$A:$A,0)),IFERROR(INDEX('Catalog'!$B:$B,MATCH($G1412,'Catalog'!$A:$A,0)),$B1412))</f>
        <v>41X L מגן ברך מוצלב+מוט</v>
      </c>
      <c r="I1412" s="8" t="str">
        <f aca="false">IF($G1412="","Unmatched","Matched")</f>
        <v>Matched</v>
      </c>
    </row>
    <row r="1413" customFormat="false" ht="15" hidden="false" customHeight="false" outlineLevel="0" collapsed="false">
      <c r="A1413" s="8" t="s">
        <v>814</v>
      </c>
      <c r="B1413" s="8" t="s">
        <v>368</v>
      </c>
      <c r="C1413" s="19" t="n">
        <v>1</v>
      </c>
      <c r="D1413" s="19" t="n">
        <v>117.77</v>
      </c>
      <c r="E1413" s="19" t="n">
        <v>0</v>
      </c>
      <c r="F1413" s="19" t="n">
        <v>0</v>
      </c>
      <c r="G1413" s="8" t="str">
        <f aca="false">IFERROR(INDEX('TRANS'!$B:$B,MATCH($B1413,'TRANS'!$A:$A,0)),IFERROR(INDEX('TRANS'!$B:$B,MATCH(TRIM(SUBSTITUTE($B1413,CHAR(160)," ")),'TRANS'!$D:$D,0)),IFERROR(INDEX('Catalog'!$A:$A,MATCH($B1413,'Catalog'!$B:$B,0)),IFERROR(INDEX('Catalog'!$A:$A,MATCH(TRIM(SUBSTITUTE($B1413,CHAR(160)," ")),'Catalog'!$C:$C,0)),""))))</f>
        <v/>
      </c>
      <c r="H1413" s="8" t="str">
        <f aca="false">IFERROR(INDEX('TRANS'!$C:$C,MATCH($B1413,'TRANS'!$A:$A,0)),IFERROR(INDEX('Catalog'!$B:$B,MATCH($G1413,'Catalog'!$A:$A,0)),$B1413))</f>
        <v>41X M</v>
      </c>
      <c r="I1413" s="8" t="str">
        <f aca="false">IF($G1413="","Unmatched","Matched")</f>
        <v>Unmatched</v>
      </c>
    </row>
    <row r="1414" customFormat="false" ht="15" hidden="false" customHeight="false" outlineLevel="0" collapsed="false">
      <c r="A1414" s="8" t="s">
        <v>814</v>
      </c>
      <c r="B1414" s="8" t="s">
        <v>830</v>
      </c>
      <c r="C1414" s="19" t="n">
        <v>1</v>
      </c>
      <c r="D1414" s="19" t="n">
        <v>117.77</v>
      </c>
      <c r="E1414" s="19" t="n">
        <v>0</v>
      </c>
      <c r="F1414" s="19" t="n">
        <v>0</v>
      </c>
      <c r="G1414" s="8" t="n">
        <f aca="false">IFERROR(INDEX('TRANS'!$B:$B,MATCH($B1414,'TRANS'!$A:$A,0)),IFERROR(INDEX('TRANS'!$B:$B,MATCH(TRIM(SUBSTITUTE($B1414,CHAR(160)," ")),'TRANS'!$D:$D,0)),IFERROR(INDEX('Catalog'!$A:$A,MATCH($B1414,'Catalog'!$B:$B,0)),IFERROR(INDEX('Catalog'!$A:$A,MATCH(TRIM(SUBSTITUTE($B1414,CHAR(160)," ")),'Catalog'!$C:$C,0)),""))))</f>
        <v>4413079</v>
      </c>
      <c r="H1414" s="8" t="str">
        <f aca="false">IFERROR(INDEX('TRANS'!$C:$C,MATCH($B1414,'TRANS'!$A:$A,0)),IFERROR(INDEX('Catalog'!$B:$B,MATCH($G1414,'Catalog'!$A:$A,0)),$B1414))</f>
        <v>41X XL מגן ברך מוצלב+מוט</v>
      </c>
      <c r="I1414" s="8" t="str">
        <f aca="false">IF($G1414="","Unmatched","Matched")</f>
        <v>Matched</v>
      </c>
    </row>
    <row r="1415" customFormat="false" ht="15" hidden="false" customHeight="false" outlineLevel="0" collapsed="false">
      <c r="A1415" s="8" t="s">
        <v>814</v>
      </c>
      <c r="B1415" s="8" t="s">
        <v>208</v>
      </c>
      <c r="C1415" s="19" t="n">
        <v>11</v>
      </c>
      <c r="D1415" s="19" t="n">
        <v>275.77</v>
      </c>
      <c r="E1415" s="19" t="n">
        <v>4</v>
      </c>
      <c r="F1415" s="19" t="n">
        <v>123.57</v>
      </c>
      <c r="G1415" s="8" t="n">
        <f aca="false">IFERROR(INDEX('TRANS'!$B:$B,MATCH($B1415,'TRANS'!$A:$A,0)),IFERROR(INDEX('TRANS'!$B:$B,MATCH(TRIM(SUBSTITUTE($B1415,CHAR(160)," ")),'TRANS'!$D:$D,0)),IFERROR(INDEX('Catalog'!$A:$A,MATCH($B1415,'Catalog'!$B:$B,0)),IFERROR(INDEX('Catalog'!$A:$A,MATCH(TRIM(SUBSTITUTE($B1415,CHAR(160)," ")),'Catalog'!$C:$C,0)),""))))</f>
        <v>4413495</v>
      </c>
      <c r="H1415" s="8" t="str">
        <f aca="false">IFERROR(INDEX('TRANS'!$C:$C,MATCH($B1415,'TRANS'!$A:$A,0)),IFERROR(INDEX('Catalog'!$B:$B,MATCH($G1415,'Catalog'!$A:$A,0)),$B1415))</f>
        <v>45B L מגן ברך שחור</v>
      </c>
      <c r="I1415" s="8" t="str">
        <f aca="false">IF($G1415="","Unmatched","Matched")</f>
        <v>Matched</v>
      </c>
    </row>
    <row r="1416" customFormat="false" ht="15" hidden="false" customHeight="false" outlineLevel="0" collapsed="false">
      <c r="A1416" s="8" t="s">
        <v>814</v>
      </c>
      <c r="B1416" s="8" t="s">
        <v>209</v>
      </c>
      <c r="C1416" s="19" t="n">
        <v>7</v>
      </c>
      <c r="D1416" s="19" t="n">
        <v>160.44</v>
      </c>
      <c r="E1416" s="19" t="n">
        <v>4</v>
      </c>
      <c r="F1416" s="19" t="n">
        <v>123.57</v>
      </c>
      <c r="G1416" s="8" t="n">
        <f aca="false">IFERROR(INDEX('TRANS'!$B:$B,MATCH($B1416,'TRANS'!$A:$A,0)),IFERROR(INDEX('TRANS'!$B:$B,MATCH(TRIM(SUBSTITUTE($B1416,CHAR(160)," ")),'TRANS'!$D:$D,0)),IFERROR(INDEX('Catalog'!$A:$A,MATCH($B1416,'Catalog'!$B:$B,0)),IFERROR(INDEX('Catalog'!$A:$A,MATCH(TRIM(SUBSTITUTE($B1416,CHAR(160)," ")),'Catalog'!$C:$C,0)),""))))</f>
        <v>4413497</v>
      </c>
      <c r="H1416" s="8" t="str">
        <f aca="false">IFERROR(INDEX('TRANS'!$C:$C,MATCH($B1416,'TRANS'!$A:$A,0)),IFERROR(INDEX('Catalog'!$B:$B,MATCH($G1416,'Catalog'!$A:$A,0)),$B1416))</f>
        <v>45B M מגן ברך שחור</v>
      </c>
      <c r="I1416" s="8" t="str">
        <f aca="false">IF($G1416="","Unmatched","Matched")</f>
        <v>Matched</v>
      </c>
    </row>
    <row r="1417" customFormat="false" ht="15" hidden="false" customHeight="false" outlineLevel="0" collapsed="false">
      <c r="A1417" s="8" t="s">
        <v>814</v>
      </c>
      <c r="B1417" s="8" t="s">
        <v>379</v>
      </c>
      <c r="C1417" s="19" t="n">
        <v>4</v>
      </c>
      <c r="D1417" s="19" t="n">
        <v>91.55</v>
      </c>
      <c r="E1417" s="19" t="n">
        <v>0</v>
      </c>
      <c r="F1417" s="19" t="n">
        <v>0</v>
      </c>
      <c r="G1417" s="8" t="n">
        <f aca="false">IFERROR(INDEX('TRANS'!$B:$B,MATCH($B1417,'TRANS'!$A:$A,0)),IFERROR(INDEX('TRANS'!$B:$B,MATCH(TRIM(SUBSTITUTE($B1417,CHAR(160)," ")),'TRANS'!$D:$D,0)),IFERROR(INDEX('Catalog'!$A:$A,MATCH($B1417,'Catalog'!$B:$B,0)),IFERROR(INDEX('Catalog'!$A:$A,MATCH(TRIM(SUBSTITUTE($B1417,CHAR(160)," ")),'Catalog'!$C:$C,0)),""))))</f>
        <v>4413498</v>
      </c>
      <c r="H1417" s="8" t="str">
        <f aca="false">IFERROR(INDEX('TRANS'!$C:$C,MATCH($B1417,'TRANS'!$A:$A,0)),IFERROR(INDEX('Catalog'!$B:$B,MATCH($G1417,'Catalog'!$A:$A,0)),$B1417))</f>
        <v>45B S מגן ברך שחור</v>
      </c>
      <c r="I1417" s="8" t="str">
        <f aca="false">IF($G1417="","Unmatched","Matched")</f>
        <v>Matched</v>
      </c>
    </row>
    <row r="1418" customFormat="false" ht="15" hidden="false" customHeight="false" outlineLevel="0" collapsed="false">
      <c r="A1418" s="8" t="s">
        <v>814</v>
      </c>
      <c r="B1418" s="8" t="s">
        <v>380</v>
      </c>
      <c r="C1418" s="19" t="n">
        <v>11</v>
      </c>
      <c r="D1418" s="19" t="n">
        <v>284.01</v>
      </c>
      <c r="E1418" s="19" t="n">
        <v>3</v>
      </c>
      <c r="F1418" s="19" t="n">
        <v>92.68</v>
      </c>
      <c r="G1418" s="8" t="n">
        <f aca="false">IFERROR(INDEX('TRANS'!$B:$B,MATCH($B1418,'TRANS'!$A:$A,0)),IFERROR(INDEX('TRANS'!$B:$B,MATCH(TRIM(SUBSTITUTE($B1418,CHAR(160)," ")),'TRANS'!$D:$D,0)),IFERROR(INDEX('Catalog'!$A:$A,MATCH($B1418,'Catalog'!$B:$B,0)),IFERROR(INDEX('Catalog'!$A:$A,MATCH(TRIM(SUBSTITUTE($B1418,CHAR(160)," ")),'Catalog'!$C:$C,0)),""))))</f>
        <v>4413496</v>
      </c>
      <c r="H1418" s="8" t="str">
        <f aca="false">IFERROR(INDEX('TRANS'!$C:$C,MATCH($B1418,'TRANS'!$A:$A,0)),IFERROR(INDEX('Catalog'!$B:$B,MATCH($G1418,'Catalog'!$A:$A,0)),$B1418))</f>
        <v>45B XL מגן ברך שחור</v>
      </c>
      <c r="I1418" s="8" t="str">
        <f aca="false">IF($G1418="","Unmatched","Matched")</f>
        <v>Matched</v>
      </c>
    </row>
    <row r="1419" customFormat="false" ht="15" hidden="false" customHeight="false" outlineLevel="0" collapsed="false">
      <c r="A1419" s="8" t="s">
        <v>814</v>
      </c>
      <c r="B1419" s="8" t="s">
        <v>394</v>
      </c>
      <c r="C1419" s="19" t="n">
        <v>0</v>
      </c>
      <c r="D1419" s="19" t="n">
        <v>0</v>
      </c>
      <c r="E1419" s="19" t="n">
        <v>1</v>
      </c>
      <c r="F1419" s="19" t="n">
        <v>0.01</v>
      </c>
      <c r="G1419" s="8" t="n">
        <f aca="false">IFERROR(INDEX('TRANS'!$B:$B,MATCH($B1419,'TRANS'!$A:$A,0)),IFERROR(INDEX('TRANS'!$B:$B,MATCH(TRIM(SUBSTITUTE($B1419,CHAR(160)," ")),'TRANS'!$D:$D,0)),IFERROR(INDEX('Catalog'!$A:$A,MATCH($B1419,'Catalog'!$B:$B,0)),IFERROR(INDEX('Catalog'!$A:$A,MATCH(TRIM(SUBSTITUTE($B1419,CHAR(160)," ")),'Catalog'!$C:$C,0)),""))))</f>
        <v>4408071</v>
      </c>
      <c r="H1419" s="8" t="str">
        <f aca="false">IFERROR(INDEX('TRANS'!$C:$C,MATCH($B1419,'TRANS'!$A:$A,0)),IFERROR(INDEX('Catalog'!$B:$B,MATCH($G1419,'Catalog'!$A:$A,0)),$B1419))</f>
        <v>59D L חגורת שבר דו צדדי</v>
      </c>
      <c r="I1419" s="8" t="str">
        <f aca="false">IF($G1419="","Unmatched","Matched")</f>
        <v>Matched</v>
      </c>
    </row>
    <row r="1420" customFormat="false" ht="15" hidden="false" customHeight="false" outlineLevel="0" collapsed="false">
      <c r="A1420" s="8" t="s">
        <v>814</v>
      </c>
      <c r="B1420" s="8" t="s">
        <v>224</v>
      </c>
      <c r="C1420" s="19" t="n">
        <v>0</v>
      </c>
      <c r="D1420" s="19" t="n">
        <v>0</v>
      </c>
      <c r="E1420" s="19" t="n">
        <v>1</v>
      </c>
      <c r="F1420" s="19" t="n">
        <v>0.01</v>
      </c>
      <c r="G1420" s="8" t="n">
        <f aca="false">IFERROR(INDEX('TRANS'!$B:$B,MATCH($B1420,'TRANS'!$A:$A,0)),IFERROR(INDEX('TRANS'!$B:$B,MATCH(TRIM(SUBSTITUTE($B1420,CHAR(160)," ")),'TRANS'!$D:$D,0)),IFERROR(INDEX('Catalog'!$A:$A,MATCH($B1420,'Catalog'!$B:$B,0)),IFERROR(INDEX('Catalog'!$A:$A,MATCH(TRIM(SUBSTITUTE($B1420,CHAR(160)," ")),'Catalog'!$C:$C,0)),""))))</f>
        <v>4408076</v>
      </c>
      <c r="H1420" s="8" t="str">
        <f aca="false">IFERROR(INDEX('TRANS'!$C:$C,MATCH($B1420,'TRANS'!$A:$A,0)),IFERROR(INDEX('Catalog'!$B:$B,MATCH($G1420,'Catalog'!$A:$A,0)),$B1420))</f>
        <v>59L L חגורת שבר לצד שמאל</v>
      </c>
      <c r="I1420" s="8" t="str">
        <f aca="false">IF($G1420="","Unmatched","Matched")</f>
        <v>Matched</v>
      </c>
    </row>
    <row r="1421" customFormat="false" ht="15" hidden="false" customHeight="false" outlineLevel="0" collapsed="false">
      <c r="A1421" s="8" t="s">
        <v>814</v>
      </c>
      <c r="B1421" s="8" t="s">
        <v>398</v>
      </c>
      <c r="C1421" s="19" t="n">
        <v>0</v>
      </c>
      <c r="D1421" s="19" t="n">
        <v>0</v>
      </c>
      <c r="E1421" s="19" t="n">
        <v>2</v>
      </c>
      <c r="F1421" s="19" t="n">
        <v>140.01</v>
      </c>
      <c r="G1421" s="8" t="n">
        <f aca="false">IFERROR(INDEX('TRANS'!$B:$B,MATCH($B1421,'TRANS'!$A:$A,0)),IFERROR(INDEX('TRANS'!$B:$B,MATCH(TRIM(SUBSTITUTE($B1421,CHAR(160)," ")),'TRANS'!$D:$D,0)),IFERROR(INDEX('Catalog'!$A:$A,MATCH($B1421,'Catalog'!$B:$B,0)),IFERROR(INDEX('Catalog'!$A:$A,MATCH(TRIM(SUBSTITUTE($B1421,CHAR(160)," ")),'Catalog'!$C:$C,0)),""))))</f>
        <v>4408080</v>
      </c>
      <c r="H1421" s="8" t="str">
        <f aca="false">IFERROR(INDEX('TRANS'!$C:$C,MATCH($B1421,'TRANS'!$A:$A,0)),IFERROR(INDEX('Catalog'!$B:$B,MATCH($G1421,'Catalog'!$A:$A,0)),$B1421))</f>
        <v>59R L חגורת שבר לצד ימין</v>
      </c>
      <c r="I1421" s="8" t="str">
        <f aca="false">IF($G1421="","Unmatched","Matched")</f>
        <v>Matched</v>
      </c>
    </row>
    <row r="1422" customFormat="false" ht="15" hidden="false" customHeight="false" outlineLevel="0" collapsed="false">
      <c r="A1422" s="8" t="s">
        <v>814</v>
      </c>
      <c r="B1422" s="8" t="s">
        <v>238</v>
      </c>
      <c r="C1422" s="19" t="n">
        <v>11</v>
      </c>
      <c r="D1422" s="19" t="n">
        <v>219.48</v>
      </c>
      <c r="E1422" s="19" t="n">
        <v>5</v>
      </c>
      <c r="F1422" s="19" t="n">
        <v>107.59</v>
      </c>
      <c r="G1422" s="8" t="n">
        <f aca="false">IFERROR(INDEX('TRANS'!$B:$B,MATCH($B1422,'TRANS'!$A:$A,0)),IFERROR(INDEX('TRANS'!$B:$B,MATCH(TRIM(SUBSTITUTE($B1422,CHAR(160)," ")),'TRANS'!$D:$D,0)),IFERROR(INDEX('Catalog'!$A:$A,MATCH($B1422,'Catalog'!$B:$B,0)),IFERROR(INDEX('Catalog'!$A:$A,MATCH(TRIM(SUBSTITUTE($B1422,CHAR(160)," ")),'Catalog'!$C:$C,0)),""))))</f>
        <v>4422000</v>
      </c>
      <c r="H1422" s="8" t="str">
        <f aca="false">IFERROR(INDEX('TRANS'!$C:$C,MATCH($B1422,'TRANS'!$A:$A,0)),IFERROR(INDEX('Catalog'!$B:$B,MATCH($G1422,'Catalog'!$A:$A,0)),$B1422))</f>
        <v>801  תחבושת אלסטית מקררת</v>
      </c>
      <c r="I1422" s="8" t="str">
        <f aca="false">IF($G1422="","Unmatched","Matched")</f>
        <v>Matched</v>
      </c>
    </row>
    <row r="1423" customFormat="false" ht="15" hidden="false" customHeight="false" outlineLevel="0" collapsed="false">
      <c r="A1423" s="8" t="s">
        <v>814</v>
      </c>
      <c r="B1423" s="8" t="s">
        <v>510</v>
      </c>
      <c r="C1423" s="19" t="n">
        <v>0</v>
      </c>
      <c r="D1423" s="19" t="n">
        <v>0</v>
      </c>
      <c r="E1423" s="19" t="n">
        <v>12</v>
      </c>
      <c r="F1423" s="19" t="n">
        <v>170.12</v>
      </c>
      <c r="G1423" s="8" t="str">
        <f aca="false">IFERROR(INDEX('TRANS'!$B:$B,MATCH($B1423,'TRANS'!$A:$A,0)),IFERROR(INDEX('TRANS'!$B:$B,MATCH(TRIM(SUBSTITUTE($B1423,CHAR(160)," ")),'TRANS'!$D:$D,0)),IFERROR(INDEX('Catalog'!$A:$A,MATCH($B1423,'Catalog'!$B:$B,0)),IFERROR(INDEX('Catalog'!$A:$A,MATCH(TRIM(SUBSTITUTE($B1423,CHAR(160)," ")),'Catalog'!$C:$C,0)),""))))</f>
        <v/>
      </c>
      <c r="H1423" s="8" t="str">
        <f aca="false">IFERROR(INDEX('TRANS'!$C:$C,MATCH($B1423,'TRANS'!$A:$A,0)),IFERROR(INDEX('Catalog'!$B:$B,MATCH($G1423,'Catalog'!$A:$A,0)),$B1423))</f>
        <v>809PW-C</v>
      </c>
      <c r="I1423" s="8" t="str">
        <f aca="false">IF($G1423="","Unmatched","Matched")</f>
        <v>Unmatched</v>
      </c>
    </row>
    <row r="1424" customFormat="false" ht="15" hidden="false" customHeight="false" outlineLevel="0" collapsed="false">
      <c r="A1424" s="8" t="s">
        <v>814</v>
      </c>
      <c r="B1424" s="8" t="s">
        <v>250</v>
      </c>
      <c r="C1424" s="19" t="n">
        <v>2</v>
      </c>
      <c r="D1424" s="19" t="n">
        <v>262.07</v>
      </c>
      <c r="E1424" s="19" t="n">
        <v>4</v>
      </c>
      <c r="F1424" s="19" t="n">
        <v>487.32</v>
      </c>
      <c r="G1424" s="8" t="str">
        <f aca="false">IFERROR(INDEX('TRANS'!$B:$B,MATCH($B1424,'TRANS'!$A:$A,0)),IFERROR(INDEX('TRANS'!$B:$B,MATCH(TRIM(SUBSTITUTE($B1424,CHAR(160)," ")),'TRANS'!$D:$D,0)),IFERROR(INDEX('Catalog'!$A:$A,MATCH($B1424,'Catalog'!$B:$B,0)),IFERROR(INDEX('Catalog'!$A:$A,MATCH(TRIM(SUBSTITUTE($B1424,CHAR(160)," ")),'Catalog'!$C:$C,0)),""))))</f>
        <v/>
      </c>
      <c r="H1424" s="8" t="str">
        <f aca="false">IFERROR(INDEX('TRANS'!$C:$C,MATCH($B1424,'TRANS'!$A:$A,0)),IFERROR(INDEX('Catalog'!$B:$B,MATCH($G1424,'Catalog'!$A:$A,0)),$B1424))</f>
        <v>84-L-XXL</v>
      </c>
      <c r="I1424" s="8" t="str">
        <f aca="false">IF($G1424="","Unmatched","Matched")</f>
        <v>Unmatched</v>
      </c>
    </row>
    <row r="1425" customFormat="false" ht="15" hidden="false" customHeight="false" outlineLevel="0" collapsed="false">
      <c r="A1425" s="8" t="s">
        <v>814</v>
      </c>
      <c r="B1425" s="8" t="s">
        <v>251</v>
      </c>
      <c r="C1425" s="19" t="n">
        <v>2</v>
      </c>
      <c r="D1425" s="19" t="n">
        <v>262.07</v>
      </c>
      <c r="E1425" s="19" t="n">
        <v>1</v>
      </c>
      <c r="F1425" s="19" t="n">
        <v>140.57</v>
      </c>
      <c r="G1425" s="8" t="str">
        <f aca="false">IFERROR(INDEX('TRANS'!$B:$B,MATCH($B1425,'TRANS'!$A:$A,0)),IFERROR(INDEX('TRANS'!$B:$B,MATCH(TRIM(SUBSTITUTE($B1425,CHAR(160)," ")),'TRANS'!$D:$D,0)),IFERROR(INDEX('Catalog'!$A:$A,MATCH($B1425,'Catalog'!$B:$B,0)),IFERROR(INDEX('Catalog'!$A:$A,MATCH(TRIM(SUBSTITUTE($B1425,CHAR(160)," ")),'Catalog'!$C:$C,0)),""))))</f>
        <v/>
      </c>
      <c r="H1425" s="8" t="str">
        <f aca="false">IFERROR(INDEX('TRANS'!$C:$C,MATCH($B1425,'TRANS'!$A:$A,0)),IFERROR(INDEX('Catalog'!$B:$B,MATCH($G1425,'Catalog'!$A:$A,0)),$B1425))</f>
        <v>84-S-M</v>
      </c>
      <c r="I1425" s="8" t="str">
        <f aca="false">IF($G1425="","Unmatched","Matched")</f>
        <v>Unmatched</v>
      </c>
    </row>
    <row r="1426" customFormat="false" ht="15" hidden="false" customHeight="false" outlineLevel="0" collapsed="false">
      <c r="A1426" s="8" t="s">
        <v>814</v>
      </c>
      <c r="B1426" s="8" t="s">
        <v>256</v>
      </c>
      <c r="C1426" s="19" t="n">
        <v>7</v>
      </c>
      <c r="D1426" s="19" t="n">
        <v>368.27</v>
      </c>
      <c r="E1426" s="19" t="n">
        <v>6</v>
      </c>
      <c r="F1426" s="19" t="n">
        <v>340.02</v>
      </c>
      <c r="G1426" s="8" t="n">
        <f aca="false">IFERROR(INDEX('TRANS'!$B:$B,MATCH($B1426,'TRANS'!$A:$A,0)),IFERROR(INDEX('TRANS'!$B:$B,MATCH(TRIM(SUBSTITUTE($B1426,CHAR(160)," ")),'TRANS'!$D:$D,0)),IFERROR(INDEX('Catalog'!$A:$A,MATCH($B1426,'Catalog'!$B:$B,0)),IFERROR(INDEX('Catalog'!$A:$A,MATCH(TRIM(SUBSTITUTE($B1426,CHAR(160)," ")),'Catalog'!$C:$C,0)),""))))</f>
        <v>4413517</v>
      </c>
      <c r="H1426" s="8" t="str">
        <f aca="false">IFERROR(INDEX('TRANS'!$C:$C,MATCH($B1426,'TRANS'!$A:$A,0)),IFERROR(INDEX('Catalog'!$B:$B,MATCH($G1426,'Catalog'!$A:$A,0)),$B1426))</f>
        <v>85B M מתלה רשת לזרוע שחור</v>
      </c>
      <c r="I1426" s="8" t="str">
        <f aca="false">IF($G1426="","Unmatched","Matched")</f>
        <v>Matched</v>
      </c>
    </row>
    <row r="1427" customFormat="false" ht="15" hidden="false" customHeight="false" outlineLevel="0" collapsed="false">
      <c r="A1427" s="8" t="s">
        <v>814</v>
      </c>
      <c r="B1427" s="8" t="s">
        <v>257</v>
      </c>
      <c r="C1427" s="19" t="n">
        <v>2</v>
      </c>
      <c r="D1427" s="19" t="n">
        <v>84.93</v>
      </c>
      <c r="E1427" s="19" t="n">
        <v>4</v>
      </c>
      <c r="F1427" s="19" t="n">
        <v>226.69</v>
      </c>
      <c r="G1427" s="8" t="n">
        <f aca="false">IFERROR(INDEX('TRANS'!$B:$B,MATCH($B1427,'TRANS'!$A:$A,0)),IFERROR(INDEX('TRANS'!$B:$B,MATCH(TRIM(SUBSTITUTE($B1427,CHAR(160)," ")),'TRANS'!$D:$D,0)),IFERROR(INDEX('Catalog'!$A:$A,MATCH($B1427,'Catalog'!$B:$B,0)),IFERROR(INDEX('Catalog'!$A:$A,MATCH(TRIM(SUBSTITUTE($B1427,CHAR(160)," ")),'Catalog'!$C:$C,0)),""))))</f>
        <v>4413519</v>
      </c>
      <c r="H1427" s="8" t="str">
        <f aca="false">IFERROR(INDEX('TRANS'!$C:$C,MATCH($B1427,'TRANS'!$A:$A,0)),IFERROR(INDEX('Catalog'!$B:$B,MATCH($G1427,'Catalog'!$A:$A,0)),$B1427))</f>
        <v>85B S מתלה רשת לזרוע שחור</v>
      </c>
      <c r="I1427" s="8" t="str">
        <f aca="false">IF($G1427="","Unmatched","Matched")</f>
        <v>Matched</v>
      </c>
    </row>
    <row r="1428" customFormat="false" ht="15" hidden="false" customHeight="false" outlineLevel="0" collapsed="false">
      <c r="A1428" s="8" t="s">
        <v>814</v>
      </c>
      <c r="B1428" s="8" t="s">
        <v>259</v>
      </c>
      <c r="C1428" s="19" t="n">
        <v>3</v>
      </c>
      <c r="D1428" s="19" t="n">
        <v>135.15</v>
      </c>
      <c r="E1428" s="19" t="n">
        <v>11</v>
      </c>
      <c r="F1428" s="19" t="n">
        <v>502.49</v>
      </c>
      <c r="G1428" s="8" t="n">
        <f aca="false">IFERROR(INDEX('TRANS'!$B:$B,MATCH($B1428,'TRANS'!$A:$A,0)),IFERROR(INDEX('TRANS'!$B:$B,MATCH(TRIM(SUBSTITUTE($B1428,CHAR(160)," ")),'TRANS'!$D:$D,0)),IFERROR(INDEX('Catalog'!$A:$A,MATCH($B1428,'Catalog'!$B:$B,0)),IFERROR(INDEX('Catalog'!$A:$A,MATCH(TRIM(SUBSTITUTE($B1428,CHAR(160)," ")),'Catalog'!$C:$C,0)),""))))</f>
        <v>4413455</v>
      </c>
      <c r="H1428" s="8" t="str">
        <f aca="false">IFERROR(INDEX('TRANS'!$C:$C,MATCH($B1428,'TRANS'!$A:$A,0)),IFERROR(INDEX('Catalog'!$B:$B,MATCH($G1428,'Catalog'!$A:$A,0)),$B1428))</f>
        <v>85K מתלה ליד לילדים</v>
      </c>
      <c r="I1428" s="8" t="str">
        <f aca="false">IF($G1428="","Unmatched","Matched")</f>
        <v>Matched</v>
      </c>
    </row>
    <row r="1429" customFormat="false" ht="15" hidden="false" customHeight="false" outlineLevel="0" collapsed="false">
      <c r="A1429" s="8" t="s">
        <v>814</v>
      </c>
      <c r="B1429" s="8" t="s">
        <v>424</v>
      </c>
      <c r="C1429" s="19" t="n">
        <v>23</v>
      </c>
      <c r="D1429" s="19" t="n">
        <v>1533.68</v>
      </c>
      <c r="E1429" s="19" t="n">
        <v>9</v>
      </c>
      <c r="F1429" s="19" t="n">
        <v>550.35</v>
      </c>
      <c r="G1429" s="8" t="n">
        <f aca="false">IFERROR(INDEX('TRANS'!$B:$B,MATCH($B1429,'TRANS'!$A:$A,0)),IFERROR(INDEX('TRANS'!$B:$B,MATCH(TRIM(SUBSTITUTE($B1429,CHAR(160)," ")),'TRANS'!$D:$D,0)),IFERROR(INDEX('Catalog'!$A:$A,MATCH($B1429,'Catalog'!$B:$B,0)),IFERROR(INDEX('Catalog'!$A:$A,MATCH(TRIM(SUBSTITUTE($B1429,CHAR(160)," ")),'Catalog'!$C:$C,0)),""))))</f>
        <v>4408266</v>
      </c>
      <c r="H1429" s="8" t="str">
        <f aca="false">IFERROR(INDEX('TRANS'!$C:$C,MATCH($B1429,'TRANS'!$A:$A,0)),IFERROR(INDEX('Catalog'!$B:$B,MATCH($G1429,'Catalog'!$A:$A,0)),$B1429))</f>
        <v>91B חבק טניס אלבו</v>
      </c>
      <c r="I1429" s="8" t="str">
        <f aca="false">IF($G1429="","Unmatched","Matched")</f>
        <v>Matched</v>
      </c>
    </row>
    <row r="1430" customFormat="false" ht="15" hidden="false" customHeight="false" outlineLevel="0" collapsed="false">
      <c r="A1430" s="8" t="s">
        <v>814</v>
      </c>
      <c r="B1430" s="8" t="s">
        <v>427</v>
      </c>
      <c r="C1430" s="19" t="n">
        <v>3</v>
      </c>
      <c r="D1430" s="19" t="n">
        <v>84.44</v>
      </c>
      <c r="E1430" s="19" t="n">
        <v>0</v>
      </c>
      <c r="F1430" s="19" t="n">
        <v>0</v>
      </c>
      <c r="G1430" s="8" t="n">
        <f aca="false">IFERROR(INDEX('TRANS'!$B:$B,MATCH($B1430,'TRANS'!$A:$A,0)),IFERROR(INDEX('TRANS'!$B:$B,MATCH(TRIM(SUBSTITUTE($B1430,CHAR(160)," ")),'TRANS'!$D:$D,0)),IFERROR(INDEX('Catalog'!$A:$A,MATCH($B1430,'Catalog'!$B:$B,0)),IFERROR(INDEX('Catalog'!$A:$A,MATCH(TRIM(SUBSTITUTE($B1430,CHAR(160)," ")),'Catalog'!$C:$C,0)),""))))</f>
        <v>4413139</v>
      </c>
      <c r="H1430" s="8" t="str">
        <f aca="false">IFERROR(INDEX('TRANS'!$C:$C,MATCH($B1430,'TRANS'!$A:$A,0)),IFERROR(INDEX('Catalog'!$B:$B,MATCH($G1430,'Catalog'!$A:$A,0)),$B1430))</f>
        <v>95 L מגן מרפק רגיל לבן</v>
      </c>
      <c r="I1430" s="8" t="str">
        <f aca="false">IF($G1430="","Unmatched","Matched")</f>
        <v>Matched</v>
      </c>
    </row>
    <row r="1431" customFormat="false" ht="15" hidden="false" customHeight="false" outlineLevel="0" collapsed="false">
      <c r="A1431" s="8" t="s">
        <v>814</v>
      </c>
      <c r="B1431" s="8" t="s">
        <v>261</v>
      </c>
      <c r="C1431" s="19" t="n">
        <v>4</v>
      </c>
      <c r="D1431" s="19" t="n">
        <v>107.55</v>
      </c>
      <c r="E1431" s="19" t="n">
        <v>6</v>
      </c>
      <c r="F1431" s="19" t="n">
        <v>185.35</v>
      </c>
      <c r="G1431" s="8" t="n">
        <f aca="false">IFERROR(INDEX('TRANS'!$B:$B,MATCH($B1431,'TRANS'!$A:$A,0)),IFERROR(INDEX('TRANS'!$B:$B,MATCH(TRIM(SUBSTITUTE($B1431,CHAR(160)," ")),'TRANS'!$D:$D,0)),IFERROR(INDEX('Catalog'!$A:$A,MATCH($B1431,'Catalog'!$B:$B,0)),IFERROR(INDEX('Catalog'!$A:$A,MATCH(TRIM(SUBSTITUTE($B1431,CHAR(160)," ")),'Catalog'!$C:$C,0)),""))))</f>
        <v>4413500</v>
      </c>
      <c r="H1431" s="8" t="str">
        <f aca="false">IFERROR(INDEX('TRANS'!$C:$C,MATCH($B1431,'TRANS'!$A:$A,0)),IFERROR(INDEX('Catalog'!$B:$B,MATCH($G1431,'Catalog'!$A:$A,0)),$B1431))</f>
        <v>95B L מגן מרפק שחור</v>
      </c>
      <c r="I1431" s="8" t="str">
        <f aca="false">IF($G1431="","Unmatched","Matched")</f>
        <v>Matched</v>
      </c>
    </row>
    <row r="1432" customFormat="false" ht="15" hidden="false" customHeight="false" outlineLevel="0" collapsed="false">
      <c r="A1432" s="8" t="s">
        <v>814</v>
      </c>
      <c r="B1432" s="8" t="s">
        <v>262</v>
      </c>
      <c r="C1432" s="19" t="n">
        <v>6</v>
      </c>
      <c r="D1432" s="19" t="n">
        <v>169.33</v>
      </c>
      <c r="E1432" s="19" t="n">
        <v>6</v>
      </c>
      <c r="F1432" s="19" t="n">
        <v>185.35</v>
      </c>
      <c r="G1432" s="8" t="n">
        <f aca="false">IFERROR(INDEX('TRANS'!$B:$B,MATCH($B1432,'TRANS'!$A:$A,0)),IFERROR(INDEX('TRANS'!$B:$B,MATCH(TRIM(SUBSTITUTE($B1432,CHAR(160)," ")),'TRANS'!$D:$D,0)),IFERROR(INDEX('Catalog'!$A:$A,MATCH($B1432,'Catalog'!$B:$B,0)),IFERROR(INDEX('Catalog'!$A:$A,MATCH(TRIM(SUBSTITUTE($B1432,CHAR(160)," ")),'Catalog'!$C:$C,0)),""))))</f>
        <v>4413501</v>
      </c>
      <c r="H1432" s="8" t="str">
        <f aca="false">IFERROR(INDEX('TRANS'!$C:$C,MATCH($B1432,'TRANS'!$A:$A,0)),IFERROR(INDEX('Catalog'!$B:$B,MATCH($G1432,'Catalog'!$A:$A,0)),$B1432))</f>
        <v>95B M מגן מרפק שחור</v>
      </c>
      <c r="I1432" s="8" t="str">
        <f aca="false">IF($G1432="","Unmatched","Matched")</f>
        <v>Matched</v>
      </c>
    </row>
    <row r="1433" customFormat="false" ht="15" hidden="false" customHeight="false" outlineLevel="0" collapsed="false">
      <c r="A1433" s="8" t="s">
        <v>814</v>
      </c>
      <c r="B1433" s="8" t="s">
        <v>263</v>
      </c>
      <c r="C1433" s="19" t="n">
        <v>3</v>
      </c>
      <c r="D1433" s="19" t="n">
        <v>88.55</v>
      </c>
      <c r="E1433" s="19" t="n">
        <v>1</v>
      </c>
      <c r="F1433" s="19" t="n">
        <v>30.89</v>
      </c>
      <c r="G1433" s="8" t="n">
        <f aca="false">IFERROR(INDEX('TRANS'!$B:$B,MATCH($B1433,'TRANS'!$A:$A,0)),IFERROR(INDEX('TRANS'!$B:$B,MATCH(TRIM(SUBSTITUTE($B1433,CHAR(160)," ")),'TRANS'!$D:$D,0)),IFERROR(INDEX('Catalog'!$A:$A,MATCH($B1433,'Catalog'!$B:$B,0)),IFERROR(INDEX('Catalog'!$A:$A,MATCH(TRIM(SUBSTITUTE($B1433,CHAR(160)," ")),'Catalog'!$C:$C,0)),""))))</f>
        <v>4413502</v>
      </c>
      <c r="H1433" s="8" t="str">
        <f aca="false">IFERROR(INDEX('TRANS'!$C:$C,MATCH($B1433,'TRANS'!$A:$A,0)),IFERROR(INDEX('Catalog'!$B:$B,MATCH($G1433,'Catalog'!$A:$A,0)),$B1433))</f>
        <v>95B S מגן מרפק שחור</v>
      </c>
      <c r="I1433" s="8" t="str">
        <f aca="false">IF($G1433="","Unmatched","Matched")</f>
        <v>Matched</v>
      </c>
    </row>
    <row r="1434" customFormat="false" ht="15" hidden="false" customHeight="false" outlineLevel="0" collapsed="false">
      <c r="A1434" s="8" t="s">
        <v>814</v>
      </c>
      <c r="B1434" s="8" t="s">
        <v>264</v>
      </c>
      <c r="C1434" s="19" t="n">
        <v>3</v>
      </c>
      <c r="D1434" s="19" t="n">
        <v>88.55</v>
      </c>
      <c r="E1434" s="19" t="n">
        <v>0</v>
      </c>
      <c r="F1434" s="19" t="n">
        <v>0</v>
      </c>
      <c r="G1434" s="8" t="n">
        <f aca="false">IFERROR(INDEX('TRANS'!$B:$B,MATCH($B1434,'TRANS'!$A:$A,0)),IFERROR(INDEX('TRANS'!$B:$B,MATCH(TRIM(SUBSTITUTE($B1434,CHAR(160)," ")),'TRANS'!$D:$D,0)),IFERROR(INDEX('Catalog'!$A:$A,MATCH($B1434,'Catalog'!$B:$B,0)),IFERROR(INDEX('Catalog'!$A:$A,MATCH(TRIM(SUBSTITUTE($B1434,CHAR(160)," ")),'Catalog'!$C:$C,0)),""))))</f>
        <v>4413503</v>
      </c>
      <c r="H1434" s="8" t="str">
        <f aca="false">IFERROR(INDEX('TRANS'!$C:$C,MATCH($B1434,'TRANS'!$A:$A,0)),IFERROR(INDEX('Catalog'!$B:$B,MATCH($G1434,'Catalog'!$A:$A,0)),$B1434))</f>
        <v>95B XL מגן מרפק שחור</v>
      </c>
      <c r="I1434" s="8" t="str">
        <f aca="false">IF($G1434="","Unmatched","Matched")</f>
        <v>Matched</v>
      </c>
    </row>
    <row r="1435" customFormat="false" ht="15" hidden="false" customHeight="false" outlineLevel="0" collapsed="false">
      <c r="A1435" s="8" t="s">
        <v>814</v>
      </c>
      <c r="B1435" s="8" t="s">
        <v>269</v>
      </c>
      <c r="C1435" s="19" t="n">
        <v>16</v>
      </c>
      <c r="D1435" s="19" t="n">
        <v>531.86</v>
      </c>
      <c r="E1435" s="19" t="n">
        <v>2</v>
      </c>
      <c r="F1435" s="19" t="n">
        <v>74.91</v>
      </c>
      <c r="G1435" s="8" t="n">
        <f aca="false">IFERROR(INDEX('TRANS'!$B:$B,MATCH($B1435,'TRANS'!$A:$A,0)),IFERROR(INDEX('TRANS'!$B:$B,MATCH(TRIM(SUBSTITUTE($B1435,CHAR(160)," ")),'TRANS'!$D:$D,0)),IFERROR(INDEX('Catalog'!$A:$A,MATCH($B1435,'Catalog'!$B:$B,0)),IFERROR(INDEX('Catalog'!$A:$A,MATCH(TRIM(SUBSTITUTE($B1435,CHAR(160)," ")),'Catalog'!$C:$C,0)),""))))</f>
        <v>4408207</v>
      </c>
      <c r="H1435" s="8" t="str">
        <f aca="false">IFERROR(INDEX('TRANS'!$C:$C,MATCH($B1435,'TRANS'!$A:$A,0)),IFERROR(INDEX('Catalog'!$B:$B,MATCH($G1435,'Catalog'!$A:$A,0)),$B1435))</f>
        <v>AC-25 חבק לשורש כף היד</v>
      </c>
      <c r="I1435" s="8" t="str">
        <f aca="false">IF($G1435="","Unmatched","Matched")</f>
        <v>Matched</v>
      </c>
    </row>
    <row r="1436" customFormat="false" ht="15" hidden="false" customHeight="false" outlineLevel="0" collapsed="false">
      <c r="A1436" s="8" t="s">
        <v>814</v>
      </c>
      <c r="B1436" s="8" t="s">
        <v>273</v>
      </c>
      <c r="C1436" s="19" t="n">
        <v>2</v>
      </c>
      <c r="D1436" s="19" t="n">
        <v>67.19</v>
      </c>
      <c r="E1436" s="19" t="n">
        <v>5</v>
      </c>
      <c r="F1436" s="19" t="n">
        <v>172.29</v>
      </c>
      <c r="G1436" s="8" t="n">
        <f aca="false">IFERROR(INDEX('TRANS'!$B:$B,MATCH($B1436,'TRANS'!$A:$A,0)),IFERROR(INDEX('TRANS'!$B:$B,MATCH(TRIM(SUBSTITUTE($B1436,CHAR(160)," ")),'TRANS'!$D:$D,0)),IFERROR(INDEX('Catalog'!$A:$A,MATCH($B1436,'Catalog'!$B:$B,0)),IFERROR(INDEX('Catalog'!$A:$A,MATCH(TRIM(SUBSTITUTE($B1436,CHAR(160)," ")),'Catalog'!$C:$C,0)),""))))</f>
        <v>4413326</v>
      </c>
      <c r="H1436" s="8" t="str">
        <f aca="false">IFERROR(INDEX('TRANS'!$C:$C,MATCH($B1436,'TRANS'!$A:$A,0)),IFERROR(INDEX('Catalog'!$B:$B,MATCH($G1436,'Catalog'!$A:$A,0)),$B1436))</f>
        <v>AC37 מגן קרסול נושם</v>
      </c>
      <c r="I1436" s="8" t="str">
        <f aca="false">IF($G1436="","Unmatched","Matched")</f>
        <v>Matched</v>
      </c>
    </row>
    <row r="1437" customFormat="false" ht="15" hidden="false" customHeight="false" outlineLevel="0" collapsed="false">
      <c r="A1437" s="8" t="s">
        <v>814</v>
      </c>
      <c r="B1437" s="8" t="s">
        <v>279</v>
      </c>
      <c r="C1437" s="19" t="n">
        <v>18</v>
      </c>
      <c r="D1437" s="19" t="n">
        <v>224.39</v>
      </c>
      <c r="E1437" s="19" t="n">
        <v>0</v>
      </c>
      <c r="F1437" s="19" t="n">
        <v>0</v>
      </c>
      <c r="G1437" s="8" t="n">
        <f aca="false">IFERROR(INDEX('TRANS'!$B:$B,MATCH($B1437,'TRANS'!$A:$A,0)),IFERROR(INDEX('TRANS'!$B:$B,MATCH(TRIM(SUBSTITUTE($B1437,CHAR(160)," ")),'TRANS'!$D:$D,0)),IFERROR(INDEX('Catalog'!$A:$A,MATCH($B1437,'Catalog'!$B:$B,0)),IFERROR(INDEX('Catalog'!$A:$A,MATCH(TRIM(SUBSTITUTE($B1437,CHAR(160)," ")),'Catalog'!$C:$C,0)),""))))</f>
        <v>4413149</v>
      </c>
      <c r="H1437" s="8" t="str">
        <f aca="false">IFERROR(INDEX('TRANS'!$C:$C,MATCH($B1437,'TRANS'!$A:$A,0)),IFERROR(INDEX('Catalog'!$B:$B,MATCH($G1437,'Catalog'!$A:$A,0)),$B1437))</f>
        <v>FC321-מלח אמבט לכף הרגל</v>
      </c>
      <c r="I1437" s="8" t="str">
        <f aca="false">IF($G1437="","Unmatched","Matched")</f>
        <v>Matched</v>
      </c>
    </row>
    <row r="1438" customFormat="false" ht="15" hidden="false" customHeight="false" outlineLevel="0" collapsed="false">
      <c r="A1438" s="8" t="s">
        <v>814</v>
      </c>
      <c r="B1438" s="8" t="s">
        <v>280</v>
      </c>
      <c r="C1438" s="19" t="n">
        <v>12</v>
      </c>
      <c r="D1438" s="19" t="n">
        <v>186.5</v>
      </c>
      <c r="E1438" s="19" t="n">
        <v>6</v>
      </c>
      <c r="F1438" s="19" t="n">
        <v>129.11</v>
      </c>
      <c r="G1438" s="8" t="n">
        <f aca="false">IFERROR(INDEX('TRANS'!$B:$B,MATCH($B1438,'TRANS'!$A:$A,0)),IFERROR(INDEX('TRANS'!$B:$B,MATCH(TRIM(SUBSTITUTE($B1438,CHAR(160)," ")),'TRANS'!$D:$D,0)),IFERROR(INDEX('Catalog'!$A:$A,MATCH($B1438,'Catalog'!$B:$B,0)),IFERROR(INDEX('Catalog'!$A:$A,MATCH(TRIM(SUBSTITUTE($B1438,CHAR(160)," ")),'Catalog'!$C:$C,0)),""))))</f>
        <v>4422035</v>
      </c>
      <c r="H1438" s="8" t="str">
        <f aca="false">IFERROR(INDEX('TRANS'!$C:$C,MATCH($B1438,'TRANS'!$A:$A,0)),IFERROR(INDEX('Catalog'!$B:$B,MATCH($G1438,'Catalog'!$A:$A,0)),$B1438))</f>
        <v>FCתרסיס דאודורנט אנטיבק.נעל333</v>
      </c>
      <c r="I1438" s="8" t="str">
        <f aca="false">IF($G1438="","Unmatched","Matched")</f>
        <v>Matched</v>
      </c>
    </row>
    <row r="1439" customFormat="false" ht="15" hidden="false" customHeight="false" outlineLevel="0" collapsed="false">
      <c r="A1439" s="8" t="s">
        <v>814</v>
      </c>
      <c r="B1439" s="8" t="s">
        <v>281</v>
      </c>
      <c r="C1439" s="19" t="n">
        <v>6</v>
      </c>
      <c r="D1439" s="19" t="n">
        <v>121.64</v>
      </c>
      <c r="E1439" s="19" t="n">
        <v>0</v>
      </c>
      <c r="F1439" s="19" t="n">
        <v>0</v>
      </c>
      <c r="G1439" s="8" t="n">
        <f aca="false">IFERROR(INDEX('TRANS'!$B:$B,MATCH($B1439,'TRANS'!$A:$A,0)),IFERROR(INDEX('TRANS'!$B:$B,MATCH(TRIM(SUBSTITUTE($B1439,CHAR(160)," ")),'TRANS'!$D:$D,0)),IFERROR(INDEX('Catalog'!$A:$A,MATCH($B1439,'Catalog'!$B:$B,0)),IFERROR(INDEX('Catalog'!$A:$A,MATCH(TRIM(SUBSTITUTE($B1439,CHAR(160)," ")),'Catalog'!$C:$C,0)),""))))</f>
        <v>4409004</v>
      </c>
      <c r="H1439" s="8" t="str">
        <f aca="false">IFERROR(INDEX('TRANS'!$C:$C,MATCH($B1439,'TRANS'!$A:$A,0)),IFERROR(INDEX('Catalog'!$B:$B,MATCH($G1439,'Catalog'!$A:$A,0)),$B1439))</f>
        <v>FC335 טלק מעושר באלוורה</v>
      </c>
      <c r="I1439" s="8" t="str">
        <f aca="false">IF($G1439="","Unmatched","Matched")</f>
        <v>Matched</v>
      </c>
    </row>
    <row r="1440" customFormat="false" ht="15" hidden="false" customHeight="false" outlineLevel="0" collapsed="false">
      <c r="A1440" s="8" t="s">
        <v>814</v>
      </c>
      <c r="B1440" s="8" t="s">
        <v>517</v>
      </c>
      <c r="C1440" s="19" t="n">
        <v>0</v>
      </c>
      <c r="D1440" s="19" t="n">
        <v>0</v>
      </c>
      <c r="E1440" s="19" t="n">
        <v>1</v>
      </c>
      <c r="F1440" s="19" t="n">
        <v>487.44</v>
      </c>
      <c r="G1440" s="8" t="str">
        <f aca="false">IFERROR(INDEX('TRANS'!$B:$B,MATCH($B1440,'TRANS'!$A:$A,0)),IFERROR(INDEX('TRANS'!$B:$B,MATCH(TRIM(SUBSTITUTE($B1440,CHAR(160)," ")),'TRANS'!$D:$D,0)),IFERROR(INDEX('Catalog'!$A:$A,MATCH($B1440,'Catalog'!$B:$B,0)),IFERROR(INDEX('Catalog'!$A:$A,MATCH(TRIM(SUBSTITUTE($B1440,CHAR(160)," ")),'Catalog'!$C:$C,0)),""))))</f>
        <v/>
      </c>
      <c r="H1440" s="8" t="str">
        <f aca="false">IFERROR(INDEX('TRANS'!$C:$C,MATCH($B1440,'TRANS'!$A:$A,0)),IFERROR(INDEX('Catalog'!$B:$B,MATCH($G1440,'Catalog'!$A:$A,0)),$B1440))</f>
        <v>MSG001FB 0</v>
      </c>
      <c r="I1440" s="8" t="str">
        <f aca="false">IF($G1440="","Unmatched","Matched")</f>
        <v>Unmatched</v>
      </c>
    </row>
    <row r="1441" customFormat="false" ht="15" hidden="false" customHeight="false" outlineLevel="0" collapsed="false">
      <c r="A1441" s="8" t="s">
        <v>814</v>
      </c>
      <c r="B1441" s="8" t="s">
        <v>292</v>
      </c>
      <c r="C1441" s="19" t="n">
        <v>0</v>
      </c>
      <c r="D1441" s="19" t="n">
        <v>0</v>
      </c>
      <c r="E1441" s="19" t="n">
        <v>11</v>
      </c>
      <c r="F1441" s="19" t="n">
        <v>905.52</v>
      </c>
      <c r="G1441" s="8" t="n">
        <f aca="false">IFERROR(INDEX('TRANS'!$B:$B,MATCH($B1441,'TRANS'!$A:$A,0)),IFERROR(INDEX('TRANS'!$B:$B,MATCH(TRIM(SUBSTITUTE($B1441,CHAR(160)," ")),'TRANS'!$D:$D,0)),IFERROR(INDEX('Catalog'!$A:$A,MATCH($B1441,'Catalog'!$B:$B,0)),IFERROR(INDEX('Catalog'!$A:$A,MATCH(TRIM(SUBSTITUTE($B1441,CHAR(160)," ")),'Catalog'!$C:$C,0)),""))))</f>
        <v>4408249</v>
      </c>
      <c r="H1441" s="8" t="str">
        <f aca="false">IFERROR(INDEX('TRANS'!$C:$C,MATCH($B1441,'TRANS'!$A:$A,0)),IFERROR(INDEX('Catalog'!$B:$B,MATCH($G1441,'Catalog'!$A:$A,0)),$B1441))</f>
        <v>SC25  L חבק יד</v>
      </c>
      <c r="I1441" s="8" t="str">
        <f aca="false">IF($G1441="","Unmatched","Matched")</f>
        <v>Matched</v>
      </c>
    </row>
    <row r="1442" customFormat="false" ht="15" hidden="false" customHeight="false" outlineLevel="0" collapsed="false">
      <c r="A1442" s="8" t="s">
        <v>814</v>
      </c>
      <c r="B1442" s="8" t="s">
        <v>293</v>
      </c>
      <c r="C1442" s="19" t="n">
        <v>0</v>
      </c>
      <c r="D1442" s="19" t="n">
        <v>0</v>
      </c>
      <c r="E1442" s="19" t="n">
        <v>4</v>
      </c>
      <c r="F1442" s="19" t="n">
        <v>324.74</v>
      </c>
      <c r="G1442" s="8" t="n">
        <f aca="false">IFERROR(INDEX('TRANS'!$B:$B,MATCH($B1442,'TRANS'!$A:$A,0)),IFERROR(INDEX('TRANS'!$B:$B,MATCH(TRIM(SUBSTITUTE($B1442,CHAR(160)," ")),'TRANS'!$D:$D,0)),IFERROR(INDEX('Catalog'!$A:$A,MATCH($B1442,'Catalog'!$B:$B,0)),IFERROR(INDEX('Catalog'!$A:$A,MATCH(TRIM(SUBSTITUTE($B1442,CHAR(160)," ")),'Catalog'!$C:$C,0)),""))))</f>
        <v>4408248</v>
      </c>
      <c r="H1442" s="8" t="str">
        <f aca="false">IFERROR(INDEX('TRANS'!$C:$C,MATCH($B1442,'TRANS'!$A:$A,0)),IFERROR(INDEX('Catalog'!$B:$B,MATCH($G1442,'Catalog'!$A:$A,0)),$B1442))</f>
        <v>SC25  M חבק יד</v>
      </c>
      <c r="I1442" s="8" t="str">
        <f aca="false">IF($G1442="","Unmatched","Matched")</f>
        <v>Matched</v>
      </c>
    </row>
    <row r="1443" customFormat="false" ht="15" hidden="false" customHeight="false" outlineLevel="0" collapsed="false">
      <c r="A1443" s="8" t="s">
        <v>814</v>
      </c>
      <c r="B1443" s="8" t="s">
        <v>294</v>
      </c>
      <c r="C1443" s="19" t="n">
        <v>0</v>
      </c>
      <c r="D1443" s="19" t="n">
        <v>0</v>
      </c>
      <c r="E1443" s="19" t="n">
        <v>7</v>
      </c>
      <c r="F1443" s="19" t="n">
        <v>593.29</v>
      </c>
      <c r="G1443" s="8" t="n">
        <f aca="false">IFERROR(INDEX('TRANS'!$B:$B,MATCH($B1443,'TRANS'!$A:$A,0)),IFERROR(INDEX('TRANS'!$B:$B,MATCH(TRIM(SUBSTITUTE($B1443,CHAR(160)," ")),'TRANS'!$D:$D,0)),IFERROR(INDEX('Catalog'!$A:$A,MATCH($B1443,'Catalog'!$B:$B,0)),IFERROR(INDEX('Catalog'!$A:$A,MATCH(TRIM(SUBSTITUTE($B1443,CHAR(160)," ")),'Catalog'!$C:$C,0)),""))))</f>
        <v>4408247</v>
      </c>
      <c r="H1443" s="8" t="str">
        <f aca="false">IFERROR(INDEX('TRANS'!$C:$C,MATCH($B1443,'TRANS'!$A:$A,0)),IFERROR(INDEX('Catalog'!$B:$B,MATCH($G1443,'Catalog'!$A:$A,0)),$B1443))</f>
        <v>SC25  S חבק יד</v>
      </c>
      <c r="I1443" s="8" t="str">
        <f aca="false">IF($G1443="","Unmatched","Matched")</f>
        <v>Matched</v>
      </c>
    </row>
    <row r="1444" customFormat="false" ht="15" hidden="false" customHeight="false" outlineLevel="0" collapsed="false">
      <c r="A1444" s="8" t="s">
        <v>814</v>
      </c>
      <c r="B1444" s="8" t="s">
        <v>295</v>
      </c>
      <c r="C1444" s="19" t="n">
        <v>0</v>
      </c>
      <c r="D1444" s="19" t="n">
        <v>0</v>
      </c>
      <c r="E1444" s="19" t="n">
        <v>4</v>
      </c>
      <c r="F1444" s="19" t="n">
        <v>324.74</v>
      </c>
      <c r="G1444" s="8" t="n">
        <f aca="false">IFERROR(INDEX('TRANS'!$B:$B,MATCH($B1444,'TRANS'!$A:$A,0)),IFERROR(INDEX('TRANS'!$B:$B,MATCH(TRIM(SUBSTITUTE($B1444,CHAR(160)," ")),'TRANS'!$D:$D,0)),IFERROR(INDEX('Catalog'!$A:$A,MATCH($B1444,'Catalog'!$B:$B,0)),IFERROR(INDEX('Catalog'!$A:$A,MATCH(TRIM(SUBSTITUTE($B1444,CHAR(160)," ")),'Catalog'!$C:$C,0)),""))))</f>
        <v>4408250</v>
      </c>
      <c r="H1444" s="8" t="str">
        <f aca="false">IFERROR(INDEX('TRANS'!$C:$C,MATCH($B1444,'TRANS'!$A:$A,0)),IFERROR(INDEX('Catalog'!$B:$B,MATCH($G1444,'Catalog'!$A:$A,0)),$B1444))</f>
        <v>SC25 XL חבק יד</v>
      </c>
      <c r="I1444" s="8" t="str">
        <f aca="false">IF($G1444="","Unmatched","Matched")</f>
        <v>Matched</v>
      </c>
    </row>
    <row r="1445" customFormat="false" ht="15" hidden="false" customHeight="false" outlineLevel="0" collapsed="false">
      <c r="A1445" s="8" t="s">
        <v>814</v>
      </c>
      <c r="B1445" s="8" t="s">
        <v>296</v>
      </c>
      <c r="C1445" s="19" t="n">
        <v>0</v>
      </c>
      <c r="D1445" s="19" t="n">
        <v>0</v>
      </c>
      <c r="E1445" s="19" t="n">
        <v>3</v>
      </c>
      <c r="F1445" s="19" t="n">
        <v>256.04</v>
      </c>
      <c r="G1445" s="8" t="n">
        <f aca="false">IFERROR(INDEX('TRANS'!$B:$B,MATCH($B1445,'TRANS'!$A:$A,0)),IFERROR(INDEX('TRANS'!$B:$B,MATCH(TRIM(SUBSTITUTE($B1445,CHAR(160)," ")),'TRANS'!$D:$D,0)),IFERROR(INDEX('Catalog'!$A:$A,MATCH($B1445,'Catalog'!$B:$B,0)),IFERROR(INDEX('Catalog'!$A:$A,MATCH(TRIM(SUBSTITUTE($B1445,CHAR(160)," ")),'Catalog'!$C:$C,0)),""))))</f>
        <v>4413422</v>
      </c>
      <c r="H1445" s="8" t="str">
        <f aca="false">IFERROR(INDEX('TRANS'!$C:$C,MATCH($B1445,'TRANS'!$A:$A,0)),IFERROR(INDEX('Catalog'!$B:$B,MATCH($G1445,'Catalog'!$A:$A,0)),$B1445))</f>
        <v>SC35L  L מגן קרסול שמאל</v>
      </c>
      <c r="I1445" s="8" t="str">
        <f aca="false">IF($G1445="","Unmatched","Matched")</f>
        <v>Matched</v>
      </c>
    </row>
    <row r="1446" customFormat="false" ht="15" hidden="false" customHeight="false" outlineLevel="0" collapsed="false">
      <c r="A1446" s="8" t="s">
        <v>814</v>
      </c>
      <c r="B1446" s="8" t="s">
        <v>433</v>
      </c>
      <c r="C1446" s="19" t="n">
        <v>0</v>
      </c>
      <c r="D1446" s="19" t="n">
        <v>0</v>
      </c>
      <c r="E1446" s="19" t="n">
        <v>2</v>
      </c>
      <c r="F1446" s="19" t="n">
        <v>162.37</v>
      </c>
      <c r="G1446" s="8" t="n">
        <f aca="false">IFERROR(INDEX('TRANS'!$B:$B,MATCH($B1446,'TRANS'!$A:$A,0)),IFERROR(INDEX('TRANS'!$B:$B,MATCH(TRIM(SUBSTITUTE($B1446,CHAR(160)," ")),'TRANS'!$D:$D,0)),IFERROR(INDEX('Catalog'!$A:$A,MATCH($B1446,'Catalog'!$B:$B,0)),IFERROR(INDEX('Catalog'!$A:$A,MATCH(TRIM(SUBSTITUTE($B1446,CHAR(160)," ")),'Catalog'!$C:$C,0)),""))))</f>
        <v>4413421</v>
      </c>
      <c r="H1446" s="8" t="str">
        <f aca="false">IFERROR(INDEX('TRANS'!$C:$C,MATCH($B1446,'TRANS'!$A:$A,0)),IFERROR(INDEX('Catalog'!$B:$B,MATCH($G1446,'Catalog'!$A:$A,0)),$B1446))</f>
        <v>SC35L  M מגן קרסול שמאל</v>
      </c>
      <c r="I1446" s="8" t="str">
        <f aca="false">IF($G1446="","Unmatched","Matched")</f>
        <v>Matched</v>
      </c>
    </row>
    <row r="1447" customFormat="false" ht="15" hidden="false" customHeight="false" outlineLevel="0" collapsed="false">
      <c r="A1447" s="8" t="s">
        <v>814</v>
      </c>
      <c r="B1447" s="8" t="s">
        <v>782</v>
      </c>
      <c r="C1447" s="19" t="n">
        <v>0</v>
      </c>
      <c r="D1447" s="19" t="n">
        <v>0</v>
      </c>
      <c r="E1447" s="19" t="n">
        <v>1</v>
      </c>
      <c r="F1447" s="19" t="n">
        <v>81.18</v>
      </c>
      <c r="G1447" s="8" t="n">
        <f aca="false">IFERROR(INDEX('TRANS'!$B:$B,MATCH($B1447,'TRANS'!$A:$A,0)),IFERROR(INDEX('TRANS'!$B:$B,MATCH(TRIM(SUBSTITUTE($B1447,CHAR(160)," ")),'TRANS'!$D:$D,0)),IFERROR(INDEX('Catalog'!$A:$A,MATCH($B1447,'Catalog'!$B:$B,0)),IFERROR(INDEX('Catalog'!$A:$A,MATCH(TRIM(SUBSTITUTE($B1447,CHAR(160)," ")),'Catalog'!$C:$C,0)),""))))</f>
        <v>4413420</v>
      </c>
      <c r="H1447" s="8" t="str">
        <f aca="false">IFERROR(INDEX('TRANS'!$C:$C,MATCH($B1447,'TRANS'!$A:$A,0)),IFERROR(INDEX('Catalog'!$B:$B,MATCH($G1447,'Catalog'!$A:$A,0)),$B1447))</f>
        <v>SC35L  S מגן קרסול שמאל</v>
      </c>
      <c r="I1447" s="8" t="str">
        <f aca="false">IF($G1447="","Unmatched","Matched")</f>
        <v>Matched</v>
      </c>
    </row>
    <row r="1448" customFormat="false" ht="15" hidden="false" customHeight="false" outlineLevel="0" collapsed="false">
      <c r="A1448" s="8" t="s">
        <v>814</v>
      </c>
      <c r="B1448" s="8" t="s">
        <v>298</v>
      </c>
      <c r="C1448" s="19" t="n">
        <v>0</v>
      </c>
      <c r="D1448" s="19" t="n">
        <v>0</v>
      </c>
      <c r="E1448" s="19" t="n">
        <v>3</v>
      </c>
      <c r="F1448" s="19" t="n">
        <v>256.04</v>
      </c>
      <c r="G1448" s="8" t="n">
        <f aca="false">IFERROR(INDEX('TRANS'!$B:$B,MATCH($B1448,'TRANS'!$A:$A,0)),IFERROR(INDEX('TRANS'!$B:$B,MATCH(TRIM(SUBSTITUTE($B1448,CHAR(160)," ")),'TRANS'!$D:$D,0)),IFERROR(INDEX('Catalog'!$A:$A,MATCH($B1448,'Catalog'!$B:$B,0)),IFERROR(INDEX('Catalog'!$A:$A,MATCH(TRIM(SUBSTITUTE($B1448,CHAR(160)," ")),'Catalog'!$C:$C,0)),""))))</f>
        <v>4413426</v>
      </c>
      <c r="H1448" s="8" t="str">
        <f aca="false">IFERROR(INDEX('TRANS'!$C:$C,MATCH($B1448,'TRANS'!$A:$A,0)),IFERROR(INDEX('Catalog'!$B:$B,MATCH($G1448,'Catalog'!$A:$A,0)),$B1448))</f>
        <v>SC35R  L מגן קרסול ימין</v>
      </c>
      <c r="I1448" s="8" t="str">
        <f aca="false">IF($G1448="","Unmatched","Matched")</f>
        <v>Matched</v>
      </c>
    </row>
    <row r="1449" customFormat="false" ht="15" hidden="false" customHeight="false" outlineLevel="0" collapsed="false">
      <c r="A1449" s="8" t="s">
        <v>814</v>
      </c>
      <c r="B1449" s="8" t="s">
        <v>299</v>
      </c>
      <c r="C1449" s="19" t="n">
        <v>0</v>
      </c>
      <c r="D1449" s="19" t="n">
        <v>0</v>
      </c>
      <c r="E1449" s="19" t="n">
        <v>2</v>
      </c>
      <c r="F1449" s="19" t="n">
        <v>174.85</v>
      </c>
      <c r="G1449" s="8" t="n">
        <f aca="false">IFERROR(INDEX('TRANS'!$B:$B,MATCH($B1449,'TRANS'!$A:$A,0)),IFERROR(INDEX('TRANS'!$B:$B,MATCH(TRIM(SUBSTITUTE($B1449,CHAR(160)," ")),'TRANS'!$D:$D,0)),IFERROR(INDEX('Catalog'!$A:$A,MATCH($B1449,'Catalog'!$B:$B,0)),IFERROR(INDEX('Catalog'!$A:$A,MATCH(TRIM(SUBSTITUTE($B1449,CHAR(160)," ")),'Catalog'!$C:$C,0)),""))))</f>
        <v>4413425</v>
      </c>
      <c r="H1449" s="8" t="str">
        <f aca="false">IFERROR(INDEX('TRANS'!$C:$C,MATCH($B1449,'TRANS'!$A:$A,0)),IFERROR(INDEX('Catalog'!$B:$B,MATCH($G1449,'Catalog'!$A:$A,0)),$B1449))</f>
        <v>SC35R  M מגן קרסול ימין</v>
      </c>
      <c r="I1449" s="8" t="str">
        <f aca="false">IF($G1449="","Unmatched","Matched")</f>
        <v>Matched</v>
      </c>
    </row>
    <row r="1450" customFormat="false" ht="15" hidden="false" customHeight="false" outlineLevel="0" collapsed="false">
      <c r="A1450" s="8" t="s">
        <v>814</v>
      </c>
      <c r="B1450" s="8" t="s">
        <v>300</v>
      </c>
      <c r="C1450" s="19" t="n">
        <v>0</v>
      </c>
      <c r="D1450" s="19" t="n">
        <v>0</v>
      </c>
      <c r="E1450" s="19" t="n">
        <v>1</v>
      </c>
      <c r="F1450" s="19" t="n">
        <v>81.18</v>
      </c>
      <c r="G1450" s="8" t="n">
        <f aca="false">IFERROR(INDEX('TRANS'!$B:$B,MATCH($B1450,'TRANS'!$A:$A,0)),IFERROR(INDEX('TRANS'!$B:$B,MATCH(TRIM(SUBSTITUTE($B1450,CHAR(160)," ")),'TRANS'!$D:$D,0)),IFERROR(INDEX('Catalog'!$A:$A,MATCH($B1450,'Catalog'!$B:$B,0)),IFERROR(INDEX('Catalog'!$A:$A,MATCH(TRIM(SUBSTITUTE($B1450,CHAR(160)," ")),'Catalog'!$C:$C,0)),""))))</f>
        <v>4413424</v>
      </c>
      <c r="H1450" s="8" t="str">
        <f aca="false">IFERROR(INDEX('TRANS'!$C:$C,MATCH($B1450,'TRANS'!$A:$A,0)),IFERROR(INDEX('Catalog'!$B:$B,MATCH($G1450,'Catalog'!$A:$A,0)),$B1450))</f>
        <v>SC35R  S מגן קרסול ימין</v>
      </c>
      <c r="I1450" s="8" t="str">
        <f aca="false">IF($G1450="","Unmatched","Matched")</f>
        <v>Matched</v>
      </c>
    </row>
    <row r="1451" customFormat="false" ht="15" hidden="false" customHeight="false" outlineLevel="0" collapsed="false">
      <c r="A1451" s="8" t="s">
        <v>814</v>
      </c>
      <c r="B1451" s="8" t="s">
        <v>783</v>
      </c>
      <c r="C1451" s="19" t="n">
        <v>0</v>
      </c>
      <c r="D1451" s="19" t="n">
        <v>0</v>
      </c>
      <c r="E1451" s="19" t="n">
        <v>1</v>
      </c>
      <c r="F1451" s="19" t="n">
        <v>81.18</v>
      </c>
      <c r="G1451" s="8" t="n">
        <f aca="false">IFERROR(INDEX('TRANS'!$B:$B,MATCH($B1451,'TRANS'!$A:$A,0)),IFERROR(INDEX('TRANS'!$B:$B,MATCH(TRIM(SUBSTITUTE($B1451,CHAR(160)," ")),'TRANS'!$D:$D,0)),IFERROR(INDEX('Catalog'!$A:$A,MATCH($B1451,'Catalog'!$B:$B,0)),IFERROR(INDEX('Catalog'!$A:$A,MATCH(TRIM(SUBSTITUTE($B1451,CHAR(160)," ")),'Catalog'!$C:$C,0)),""))))</f>
        <v>4413427</v>
      </c>
      <c r="H1451" s="8" t="str">
        <f aca="false">IFERROR(INDEX('TRANS'!$C:$C,MATCH($B1451,'TRANS'!$A:$A,0)),IFERROR(INDEX('Catalog'!$B:$B,MATCH($G1451,'Catalog'!$A:$A,0)),$B1451))</f>
        <v>SC35R  XLמגן קרסול ימין</v>
      </c>
      <c r="I1451" s="8" t="str">
        <f aca="false">IF($G1451="","Unmatched","Matched")</f>
        <v>Matched</v>
      </c>
    </row>
    <row r="1452" customFormat="false" ht="15" hidden="false" customHeight="false" outlineLevel="0" collapsed="false">
      <c r="A1452" s="8" t="s">
        <v>814</v>
      </c>
      <c r="B1452" s="8" t="s">
        <v>436</v>
      </c>
      <c r="C1452" s="19" t="n">
        <v>0</v>
      </c>
      <c r="D1452" s="19" t="n">
        <v>0</v>
      </c>
      <c r="E1452" s="19" t="n">
        <v>1</v>
      </c>
      <c r="F1452" s="19" t="n">
        <v>121.83</v>
      </c>
      <c r="G1452" s="8" t="n">
        <f aca="false">IFERROR(INDEX('TRANS'!$B:$B,MATCH($B1452,'TRANS'!$A:$A,0)),IFERROR(INDEX('TRANS'!$B:$B,MATCH(TRIM(SUBSTITUTE($B1452,CHAR(160)," ")),'TRANS'!$D:$D,0)),IFERROR(INDEX('Catalog'!$A:$A,MATCH($B1452,'Catalog'!$B:$B,0)),IFERROR(INDEX('Catalog'!$A:$A,MATCH(TRIM(SUBSTITUTE($B1452,CHAR(160)," ")),'Catalog'!$C:$C,0)),""))))</f>
        <v>4413440</v>
      </c>
      <c r="H1452" s="8" t="str">
        <f aca="false">IFERROR(INDEX('TRANS'!$C:$C,MATCH($B1452,'TRANS'!$A:$A,0)),IFERROR(INDEX('Catalog'!$B:$B,MATCH($G1452,'Catalog'!$A:$A,0)),$B1452))</f>
        <v>SC422  L מגן ברך</v>
      </c>
      <c r="I1452" s="8" t="str">
        <f aca="false">IF($G1452="","Unmatched","Matched")</f>
        <v>Matched</v>
      </c>
    </row>
    <row r="1453" customFormat="false" ht="15" hidden="false" customHeight="false" outlineLevel="0" collapsed="false">
      <c r="A1453" s="8" t="s">
        <v>814</v>
      </c>
      <c r="B1453" s="8" t="s">
        <v>302</v>
      </c>
      <c r="C1453" s="19" t="n">
        <v>0</v>
      </c>
      <c r="D1453" s="19" t="n">
        <v>0</v>
      </c>
      <c r="E1453" s="19" t="n">
        <v>4</v>
      </c>
      <c r="F1453" s="19" t="n">
        <v>506.06</v>
      </c>
      <c r="G1453" s="8" t="n">
        <f aca="false">IFERROR(INDEX('TRANS'!$B:$B,MATCH($B1453,'TRANS'!$A:$A,0)),IFERROR(INDEX('TRANS'!$B:$B,MATCH(TRIM(SUBSTITUTE($B1453,CHAR(160)," ")),'TRANS'!$D:$D,0)),IFERROR(INDEX('Catalog'!$A:$A,MATCH($B1453,'Catalog'!$B:$B,0)),IFERROR(INDEX('Catalog'!$A:$A,MATCH(TRIM(SUBSTITUTE($B1453,CHAR(160)," ")),'Catalog'!$C:$C,0)),""))))</f>
        <v>4413439</v>
      </c>
      <c r="H1453" s="8" t="str">
        <f aca="false">IFERROR(INDEX('TRANS'!$C:$C,MATCH($B1453,'TRANS'!$A:$A,0)),IFERROR(INDEX('Catalog'!$B:$B,MATCH($G1453,'Catalog'!$A:$A,0)),$B1453))</f>
        <v>SC422  M מגן ברך</v>
      </c>
      <c r="I1453" s="8" t="str">
        <f aca="false">IF($G1453="","Unmatched","Matched")</f>
        <v>Matched</v>
      </c>
    </row>
    <row r="1454" customFormat="false" ht="15" hidden="false" customHeight="false" outlineLevel="0" collapsed="false">
      <c r="A1454" s="8" t="s">
        <v>814</v>
      </c>
      <c r="B1454" s="8" t="s">
        <v>437</v>
      </c>
      <c r="C1454" s="19" t="n">
        <v>0</v>
      </c>
      <c r="D1454" s="19" t="n">
        <v>0</v>
      </c>
      <c r="E1454" s="19" t="n">
        <v>1</v>
      </c>
      <c r="F1454" s="19" t="n">
        <v>121.83</v>
      </c>
      <c r="G1454" s="8" t="n">
        <f aca="false">IFERROR(INDEX('TRANS'!$B:$B,MATCH($B1454,'TRANS'!$A:$A,0)),IFERROR(INDEX('TRANS'!$B:$B,MATCH(TRIM(SUBSTITUTE($B1454,CHAR(160)," ")),'TRANS'!$D:$D,0)),IFERROR(INDEX('Catalog'!$A:$A,MATCH($B1454,'Catalog'!$B:$B,0)),IFERROR(INDEX('Catalog'!$A:$A,MATCH(TRIM(SUBSTITUTE($B1454,CHAR(160)," ")),'Catalog'!$C:$C,0)),""))))</f>
        <v>4413438</v>
      </c>
      <c r="H1454" s="8" t="str">
        <f aca="false">IFERROR(INDEX('TRANS'!$C:$C,MATCH($B1454,'TRANS'!$A:$A,0)),IFERROR(INDEX('Catalog'!$B:$B,MATCH($G1454,'Catalog'!$A:$A,0)),$B1454))</f>
        <v>SC422  S מגן ברך</v>
      </c>
      <c r="I1454" s="8" t="str">
        <f aca="false">IF($G1454="","Unmatched","Matched")</f>
        <v>Matched</v>
      </c>
    </row>
    <row r="1455" customFormat="false" ht="15" hidden="false" customHeight="false" outlineLevel="0" collapsed="false">
      <c r="A1455" s="8" t="s">
        <v>814</v>
      </c>
      <c r="B1455" s="8" t="s">
        <v>438</v>
      </c>
      <c r="C1455" s="19" t="n">
        <v>0</v>
      </c>
      <c r="D1455" s="19" t="n">
        <v>0</v>
      </c>
      <c r="E1455" s="19" t="n">
        <v>2</v>
      </c>
      <c r="F1455" s="19" t="n">
        <v>262.4</v>
      </c>
      <c r="G1455" s="8" t="n">
        <f aca="false">IFERROR(INDEX('TRANS'!$B:$B,MATCH($B1455,'TRANS'!$A:$A,0)),IFERROR(INDEX('TRANS'!$B:$B,MATCH(TRIM(SUBSTITUTE($B1455,CHAR(160)," ")),'TRANS'!$D:$D,0)),IFERROR(INDEX('Catalog'!$A:$A,MATCH($B1455,'Catalog'!$B:$B,0)),IFERROR(INDEX('Catalog'!$A:$A,MATCH(TRIM(SUBSTITUTE($B1455,CHAR(160)," ")),'Catalog'!$C:$C,0)),""))))</f>
        <v>4413441</v>
      </c>
      <c r="H1455" s="8" t="str">
        <f aca="false">IFERROR(INDEX('TRANS'!$C:$C,MATCH($B1455,'TRANS'!$A:$A,0)),IFERROR(INDEX('Catalog'!$B:$B,MATCH($G1455,'Catalog'!$A:$A,0)),$B1455))</f>
        <v>SC422 XL מגן ברך</v>
      </c>
      <c r="I1455" s="8" t="str">
        <f aca="false">IF($G1455="","Unmatched","Matched")</f>
        <v>Matched</v>
      </c>
    </row>
    <row r="1456" customFormat="false" ht="15" hidden="false" customHeight="false" outlineLevel="0" collapsed="false">
      <c r="A1456" s="8" t="s">
        <v>814</v>
      </c>
      <c r="B1456" s="8" t="s">
        <v>304</v>
      </c>
      <c r="C1456" s="19" t="n">
        <v>0</v>
      </c>
      <c r="D1456" s="19" t="n">
        <v>0</v>
      </c>
      <c r="E1456" s="19" t="n">
        <v>2</v>
      </c>
      <c r="F1456" s="19" t="n">
        <v>162.37</v>
      </c>
      <c r="G1456" s="8" t="n">
        <f aca="false">IFERROR(INDEX('TRANS'!$B:$B,MATCH($B1456,'TRANS'!$A:$A,0)),IFERROR(INDEX('TRANS'!$B:$B,MATCH(TRIM(SUBSTITUTE($B1456,CHAR(160)," ")),'TRANS'!$D:$D,0)),IFERROR(INDEX('Catalog'!$A:$A,MATCH($B1456,'Catalog'!$B:$B,0)),IFERROR(INDEX('Catalog'!$A:$A,MATCH(TRIM(SUBSTITUTE($B1456,CHAR(160)," ")),'Catalog'!$C:$C,0)),""))))</f>
        <v>4413407</v>
      </c>
      <c r="H1456" s="8" t="str">
        <f aca="false">IFERROR(INDEX('TRANS'!$C:$C,MATCH($B1456,'TRANS'!$A:$A,0)),IFERROR(INDEX('Catalog'!$B:$B,MATCH($G1456,'Catalog'!$A:$A,0)),$B1456))</f>
        <v>SC95 L מגן מרפק</v>
      </c>
      <c r="I1456" s="8" t="str">
        <f aca="false">IF($G1456="","Unmatched","Matched")</f>
        <v>Matched</v>
      </c>
    </row>
    <row r="1457" customFormat="false" ht="15" hidden="false" customHeight="false" outlineLevel="0" collapsed="false">
      <c r="A1457" s="8" t="s">
        <v>814</v>
      </c>
      <c r="B1457" s="8" t="s">
        <v>306</v>
      </c>
      <c r="C1457" s="19" t="n">
        <v>0</v>
      </c>
      <c r="D1457" s="19" t="n">
        <v>0</v>
      </c>
      <c r="E1457" s="19" t="n">
        <v>1</v>
      </c>
      <c r="F1457" s="19" t="n">
        <v>81.18</v>
      </c>
      <c r="G1457" s="8" t="n">
        <f aca="false">IFERROR(INDEX('TRANS'!$B:$B,MATCH($B1457,'TRANS'!$A:$A,0)),IFERROR(INDEX('TRANS'!$B:$B,MATCH(TRIM(SUBSTITUTE($B1457,CHAR(160)," ")),'TRANS'!$D:$D,0)),IFERROR(INDEX('Catalog'!$A:$A,MATCH($B1457,'Catalog'!$B:$B,0)),IFERROR(INDEX('Catalog'!$A:$A,MATCH(TRIM(SUBSTITUTE($B1457,CHAR(160)," ")),'Catalog'!$C:$C,0)),""))))</f>
        <v>4413405</v>
      </c>
      <c r="H1457" s="8" t="str">
        <f aca="false">IFERROR(INDEX('TRANS'!$C:$C,MATCH($B1457,'TRANS'!$A:$A,0)),IFERROR(INDEX('Catalog'!$B:$B,MATCH($G1457,'Catalog'!$A:$A,0)),$B1457))</f>
        <v>SC95 S מגן מרפק</v>
      </c>
      <c r="I1457" s="8" t="str">
        <f aca="false">IF($G1457="","Unmatched","Matched")</f>
        <v>Matched</v>
      </c>
    </row>
    <row r="1458" customFormat="false" ht="15" hidden="false" customHeight="false" outlineLevel="0" collapsed="false">
      <c r="A1458" s="8" t="s">
        <v>814</v>
      </c>
      <c r="B1458" s="8" t="s">
        <v>521</v>
      </c>
      <c r="C1458" s="19" t="n">
        <v>2</v>
      </c>
      <c r="D1458" s="19" t="n">
        <v>240</v>
      </c>
      <c r="E1458" s="19" t="n">
        <v>1</v>
      </c>
      <c r="F1458" s="19" t="n">
        <v>120</v>
      </c>
      <c r="G1458" s="8" t="n">
        <f aca="false">IFERROR(INDEX('TRANS'!$B:$B,MATCH($B1458,'TRANS'!$A:$A,0)),IFERROR(INDEX('TRANS'!$B:$B,MATCH(TRIM(SUBSTITUTE($B1458,CHAR(160)," ")),'TRANS'!$D:$D,0)),IFERROR(INDEX('Catalog'!$A:$A,MATCH($B1458,'Catalog'!$B:$B,0)),IFERROR(INDEX('Catalog'!$A:$A,MATCH(TRIM(SUBSTITUTE($B1458,CHAR(160)," ")),'Catalog'!$C:$C,0)),""))))</f>
        <v>4422037</v>
      </c>
      <c r="H1458" s="8" t="str">
        <f aca="false">IFERROR(INDEX('TRANS'!$C:$C,MATCH($B1458,'TRANS'!$A:$A,0)),IFERROR(INDEX('Catalog'!$B:$B,MATCH($G1458,'Catalog'!$A:$A,0)),$B1458))</f>
        <v>SH422 1 תומך ברך גנושילד</v>
      </c>
      <c r="I1458" s="8" t="str">
        <f aca="false">IF($G1458="","Unmatched","Matched")</f>
        <v>Matched</v>
      </c>
    </row>
    <row r="1459" customFormat="false" ht="15" hidden="false" customHeight="false" outlineLevel="0" collapsed="false">
      <c r="A1459" s="8" t="s">
        <v>814</v>
      </c>
      <c r="B1459" s="8" t="s">
        <v>522</v>
      </c>
      <c r="C1459" s="19" t="n">
        <v>4</v>
      </c>
      <c r="D1459" s="19" t="n">
        <v>480</v>
      </c>
      <c r="E1459" s="19" t="n">
        <v>4</v>
      </c>
      <c r="F1459" s="19" t="n">
        <v>240.01</v>
      </c>
      <c r="G1459" s="8" t="n">
        <f aca="false">IFERROR(INDEX('TRANS'!$B:$B,MATCH($B1459,'TRANS'!$A:$A,0)),IFERROR(INDEX('TRANS'!$B:$B,MATCH(TRIM(SUBSTITUTE($B1459,CHAR(160)," ")),'TRANS'!$D:$D,0)),IFERROR(INDEX('Catalog'!$A:$A,MATCH($B1459,'Catalog'!$B:$B,0)),IFERROR(INDEX('Catalog'!$A:$A,MATCH(TRIM(SUBSTITUTE($B1459,CHAR(160)," ")),'Catalog'!$C:$C,0)),""))))</f>
        <v>4422038</v>
      </c>
      <c r="H1459" s="8" t="str">
        <f aca="false">IFERROR(INDEX('TRANS'!$C:$C,MATCH($B1459,'TRANS'!$A:$A,0)),IFERROR(INDEX('Catalog'!$B:$B,MATCH($G1459,'Catalog'!$A:$A,0)),$B1459))</f>
        <v>SH422 2 תומך ברך גנושילד</v>
      </c>
      <c r="I1459" s="8" t="str">
        <f aca="false">IF($G1459="","Unmatched","Matched")</f>
        <v>Matched</v>
      </c>
    </row>
    <row r="1460" customFormat="false" ht="15" hidden="false" customHeight="false" outlineLevel="0" collapsed="false">
      <c r="A1460" s="8" t="s">
        <v>814</v>
      </c>
      <c r="B1460" s="8" t="s">
        <v>525</v>
      </c>
      <c r="C1460" s="19" t="n">
        <v>3</v>
      </c>
      <c r="D1460" s="19" t="n">
        <v>120.02</v>
      </c>
      <c r="E1460" s="19" t="n">
        <v>0</v>
      </c>
      <c r="F1460" s="19" t="n">
        <v>0</v>
      </c>
      <c r="G1460" s="8" t="n">
        <f aca="false">IFERROR(INDEX('TRANS'!$B:$B,MATCH($B1460,'TRANS'!$A:$A,0)),IFERROR(INDEX('TRANS'!$B:$B,MATCH(TRIM(SUBSTITUTE($B1460,CHAR(160)," ")),'TRANS'!$D:$D,0)),IFERROR(INDEX('Catalog'!$A:$A,MATCH($B1460,'Catalog'!$B:$B,0)),IFERROR(INDEX('Catalog'!$A:$A,MATCH(TRIM(SUBSTITUTE($B1460,CHAR(160)," ")),'Catalog'!$C:$C,0)),""))))</f>
        <v>4422042</v>
      </c>
      <c r="H1460" s="8" t="str">
        <f aca="false">IFERROR(INDEX('TRANS'!$C:$C,MATCH($B1460,'TRANS'!$A:$A,0)),IFERROR(INDEX('Catalog'!$B:$B,MATCH($G1460,'Catalog'!$A:$A,0)),$B1460))</f>
        <v>SH422 6 תומך ברך גנושילד</v>
      </c>
      <c r="I1460" s="8" t="str">
        <f aca="false">IF($G1460="","Unmatched","Matched")</f>
        <v>Matched</v>
      </c>
    </row>
    <row r="1461" customFormat="false" ht="15" hidden="false" customHeight="false" outlineLevel="0" collapsed="false">
      <c r="A1461" s="8" t="s">
        <v>814</v>
      </c>
      <c r="B1461" s="8" t="s">
        <v>528</v>
      </c>
      <c r="C1461" s="19" t="n">
        <v>0</v>
      </c>
      <c r="D1461" s="19" t="n">
        <v>0</v>
      </c>
      <c r="E1461" s="19" t="n">
        <v>2</v>
      </c>
      <c r="F1461" s="19" t="n">
        <v>700.36</v>
      </c>
      <c r="G1461" s="8" t="str">
        <f aca="false">IFERROR(INDEX('TRANS'!$B:$B,MATCH($B1461,'TRANS'!$A:$A,0)),IFERROR(INDEX('TRANS'!$B:$B,MATCH(TRIM(SUBSTITUTE($B1461,CHAR(160)," ")),'TRANS'!$D:$D,0)),IFERROR(INDEX('Catalog'!$A:$A,MATCH($B1461,'Catalog'!$B:$B,0)),IFERROR(INDEX('Catalog'!$A:$A,MATCH(TRIM(SUBSTITUTE($B1461,CHAR(160)," ")),'Catalog'!$C:$C,0)),""))))</f>
        <v/>
      </c>
      <c r="H1461" s="8" t="str">
        <f aca="false">IFERROR(INDEX('TRANS'!$C:$C,MATCH($B1461,'TRANS'!$A:$A,0)),IFERROR(INDEX('Catalog'!$B:$B,MATCH($G1461,'Catalog'!$A:$A,0)),$B1461))</f>
        <v>SH776 L</v>
      </c>
      <c r="I1461" s="8" t="str">
        <f aca="false">IF($G1461="","Unmatched","Matched")</f>
        <v>Unmatched</v>
      </c>
    </row>
    <row r="1462" customFormat="false" ht="15" hidden="false" customHeight="false" outlineLevel="0" collapsed="false">
      <c r="A1462" s="8" t="s">
        <v>814</v>
      </c>
      <c r="B1462" s="8" t="s">
        <v>579</v>
      </c>
      <c r="C1462" s="19" t="n">
        <v>0</v>
      </c>
      <c r="D1462" s="19" t="n">
        <v>0</v>
      </c>
      <c r="E1462" s="19" t="n">
        <v>2</v>
      </c>
      <c r="F1462" s="19" t="n">
        <v>700.35</v>
      </c>
      <c r="G1462" s="8" t="str">
        <f aca="false">IFERROR(INDEX('TRANS'!$B:$B,MATCH($B1462,'TRANS'!$A:$A,0)),IFERROR(INDEX('TRANS'!$B:$B,MATCH(TRIM(SUBSTITUTE($B1462,CHAR(160)," ")),'TRANS'!$D:$D,0)),IFERROR(INDEX('Catalog'!$A:$A,MATCH($B1462,'Catalog'!$B:$B,0)),IFERROR(INDEX('Catalog'!$A:$A,MATCH(TRIM(SUBSTITUTE($B1462,CHAR(160)," ")),'Catalog'!$C:$C,0)),""))))</f>
        <v/>
      </c>
      <c r="H1462" s="8" t="str">
        <f aca="false">IFERROR(INDEX('TRANS'!$C:$C,MATCH($B1462,'TRANS'!$A:$A,0)),IFERROR(INDEX('Catalog'!$B:$B,MATCH($G1462,'Catalog'!$A:$A,0)),$B1462))</f>
        <v>SH776 XL</v>
      </c>
      <c r="I1462" s="8" t="str">
        <f aca="false">IF($G1462="","Unmatched","Matched")</f>
        <v>Unmatched</v>
      </c>
    </row>
    <row r="1463" customFormat="false" ht="15" hidden="false" customHeight="false" outlineLevel="0" collapsed="false">
      <c r="A1463" s="8" t="s">
        <v>814</v>
      </c>
      <c r="B1463" s="8" t="s">
        <v>703</v>
      </c>
      <c r="C1463" s="19" t="n">
        <v>0</v>
      </c>
      <c r="D1463" s="19" t="n">
        <v>0</v>
      </c>
      <c r="E1463" s="19" t="n">
        <v>1</v>
      </c>
      <c r="F1463" s="19" t="n">
        <v>350.35</v>
      </c>
      <c r="G1463" s="8" t="str">
        <f aca="false">IFERROR(INDEX('TRANS'!$B:$B,MATCH($B1463,'TRANS'!$A:$A,0)),IFERROR(INDEX('TRANS'!$B:$B,MATCH(TRIM(SUBSTITUTE($B1463,CHAR(160)," ")),'TRANS'!$D:$D,0)),IFERROR(INDEX('Catalog'!$A:$A,MATCH($B1463,'Catalog'!$B:$B,0)),IFERROR(INDEX('Catalog'!$A:$A,MATCH(TRIM(SUBSTITUTE($B1463,CHAR(160)," ")),'Catalog'!$C:$C,0)),""))))</f>
        <v/>
      </c>
      <c r="H1463" s="8" t="str">
        <f aca="false">IFERROR(INDEX('TRANS'!$C:$C,MATCH($B1463,'TRANS'!$A:$A,0)),IFERROR(INDEX('Catalog'!$B:$B,MATCH($G1463,'Catalog'!$A:$A,0)),$B1463))</f>
        <v>SH776 XXL</v>
      </c>
      <c r="I1463" s="8" t="str">
        <f aca="false">IF($G1463="","Unmatched","Matched")</f>
        <v>Unmatched</v>
      </c>
    </row>
    <row r="1464" customFormat="false" ht="15" hidden="false" customHeight="false" outlineLevel="0" collapsed="false">
      <c r="A1464" s="8" t="s">
        <v>814</v>
      </c>
      <c r="B1464" s="8" t="s">
        <v>831</v>
      </c>
      <c r="C1464" s="19" t="n">
        <v>0</v>
      </c>
      <c r="D1464" s="19" t="n">
        <v>0</v>
      </c>
      <c r="E1464" s="19" t="n">
        <v>2</v>
      </c>
      <c r="F1464" s="19" t="n">
        <v>284.28</v>
      </c>
      <c r="G1464" s="8" t="str">
        <f aca="false">IFERROR(INDEX('TRANS'!$B:$B,MATCH($B1464,'TRANS'!$A:$A,0)),IFERROR(INDEX('TRANS'!$B:$B,MATCH(TRIM(SUBSTITUTE($B1464,CHAR(160)," ")),'TRANS'!$D:$D,0)),IFERROR(INDEX('Catalog'!$A:$A,MATCH($B1464,'Catalog'!$B:$B,0)),IFERROR(INDEX('Catalog'!$A:$A,MATCH(TRIM(SUBSTITUTE($B1464,CHAR(160)," ")),'Catalog'!$C:$C,0)),""))))</f>
        <v/>
      </c>
      <c r="H1464" s="8" t="str">
        <f aca="false">IFERROR(INDEX('TRANS'!$C:$C,MATCH($B1464,'TRANS'!$A:$A,0)),IFERROR(INDEX('Catalog'!$B:$B,MATCH($G1464,'Catalog'!$A:$A,0)),$B1464))</f>
        <v>T066B-L-XL</v>
      </c>
      <c r="I1464" s="8" t="str">
        <f aca="false">IF($G1464="","Unmatched","Matched")</f>
        <v>Unmatched</v>
      </c>
    </row>
    <row r="1465" customFormat="false" ht="15" hidden="false" customHeight="false" outlineLevel="0" collapsed="false">
      <c r="A1465" s="8" t="s">
        <v>814</v>
      </c>
      <c r="B1465" s="8" t="s">
        <v>541</v>
      </c>
      <c r="C1465" s="19" t="n">
        <v>0</v>
      </c>
      <c r="D1465" s="19" t="n">
        <v>0</v>
      </c>
      <c r="E1465" s="19" t="n">
        <v>2</v>
      </c>
      <c r="F1465" s="19" t="n">
        <v>284.28</v>
      </c>
      <c r="G1465" s="8" t="str">
        <f aca="false">IFERROR(INDEX('TRANS'!$B:$B,MATCH($B1465,'TRANS'!$A:$A,0)),IFERROR(INDEX('TRANS'!$B:$B,MATCH(TRIM(SUBSTITUTE($B1465,CHAR(160)," ")),'TRANS'!$D:$D,0)),IFERROR(INDEX('Catalog'!$A:$A,MATCH($B1465,'Catalog'!$B:$B,0)),IFERROR(INDEX('Catalog'!$A:$A,MATCH(TRIM(SUBSTITUTE($B1465,CHAR(160)," ")),'Catalog'!$C:$C,0)),""))))</f>
        <v/>
      </c>
      <c r="H1465" s="8" t="str">
        <f aca="false">IFERROR(INDEX('TRANS'!$C:$C,MATCH($B1465,'TRANS'!$A:$A,0)),IFERROR(INDEX('Catalog'!$B:$B,MATCH($G1465,'Catalog'!$A:$A,0)),$B1465))</f>
        <v>T066B-S-M</v>
      </c>
      <c r="I1465" s="8" t="str">
        <f aca="false">IF($G1465="","Unmatched","Matched")</f>
        <v>Unmatched</v>
      </c>
    </row>
    <row r="1466" customFormat="false" ht="15" hidden="false" customHeight="false" outlineLevel="0" collapsed="false">
      <c r="A1466" s="8" t="s">
        <v>814</v>
      </c>
      <c r="B1466" s="8" t="s">
        <v>318</v>
      </c>
      <c r="C1466" s="19" t="n">
        <v>1</v>
      </c>
      <c r="D1466" s="19" t="n">
        <v>40.58</v>
      </c>
      <c r="E1466" s="19" t="n">
        <v>8</v>
      </c>
      <c r="F1466" s="19" t="n">
        <v>362.1</v>
      </c>
      <c r="G1466" s="8" t="n">
        <f aca="false">IFERROR(INDEX('TRANS'!$B:$B,MATCH($B1466,'TRANS'!$A:$A,0)),IFERROR(INDEX('TRANS'!$B:$B,MATCH(TRIM(SUBSTITUTE($B1466,CHAR(160)," ")),'TRANS'!$D:$D,0)),IFERROR(INDEX('Catalog'!$A:$A,MATCH($B1466,'Catalog'!$B:$B,0)),IFERROR(INDEX('Catalog'!$A:$A,MATCH(TRIM(SUBSTITUTE($B1466,CHAR(160)," ")),'Catalog'!$C:$C,0)),""))))</f>
        <v>4408098</v>
      </c>
      <c r="H1466" s="8" t="str">
        <f aca="false">IFERROR(INDEX('TRANS'!$C:$C,MATCH($B1466,'TRANS'!$A:$A,0)),IFERROR(INDEX('Catalog'!$B:$B,MATCH($G1466,'Catalog'!$A:$A,0)),$B1466))</f>
        <v>T25-חבק יד אגודלי</v>
      </c>
      <c r="I1466" s="8" t="str">
        <f aca="false">IF($G1466="","Unmatched","Matched")</f>
        <v>Matched</v>
      </c>
    </row>
    <row r="1467" customFormat="false" ht="15" hidden="false" customHeight="false" outlineLevel="0" collapsed="false">
      <c r="A1467" s="8" t="s">
        <v>814</v>
      </c>
      <c r="B1467" s="8" t="s">
        <v>443</v>
      </c>
      <c r="C1467" s="19" t="n">
        <v>7</v>
      </c>
      <c r="D1467" s="19" t="n">
        <v>300.37</v>
      </c>
      <c r="E1467" s="19" t="n">
        <v>1</v>
      </c>
      <c r="F1467" s="19" t="n">
        <v>40.58</v>
      </c>
      <c r="G1467" s="8" t="n">
        <f aca="false">IFERROR(INDEX('TRANS'!$B:$B,MATCH($B1467,'TRANS'!$A:$A,0)),IFERROR(INDEX('TRANS'!$B:$B,MATCH(TRIM(SUBSTITUTE($B1467,CHAR(160)," ")),'TRANS'!$D:$D,0)),IFERROR(INDEX('Catalog'!$A:$A,MATCH($B1467,'Catalog'!$B:$B,0)),IFERROR(INDEX('Catalog'!$A:$A,MATCH(TRIM(SUBSTITUTE($B1467,CHAR(160)," ")),'Catalog'!$C:$C,0)),""))))</f>
        <v>4408264</v>
      </c>
      <c r="H1467" s="8" t="str">
        <f aca="false">IFERROR(INDEX('TRANS'!$C:$C,MATCH($B1467,'TRANS'!$A:$A,0)),IFERROR(INDEX('Catalog'!$B:$B,MATCH($G1467,'Catalog'!$A:$A,0)),$B1467))</f>
        <v>T25B   חבק יד אגודלי</v>
      </c>
      <c r="I1467" s="8" t="str">
        <f aca="false">IF($G1467="","Unmatched","Matched")</f>
        <v>Matched</v>
      </c>
    </row>
    <row r="1468" customFormat="false" ht="15" hidden="false" customHeight="false" outlineLevel="0" collapsed="false">
      <c r="A1468" s="8" t="s">
        <v>814</v>
      </c>
      <c r="B1468" s="8" t="s">
        <v>542</v>
      </c>
      <c r="C1468" s="19" t="n">
        <v>4</v>
      </c>
      <c r="D1468" s="19" t="n">
        <v>181.05</v>
      </c>
      <c r="E1468" s="19" t="n">
        <v>14</v>
      </c>
      <c r="F1468" s="19" t="n">
        <v>636.78</v>
      </c>
      <c r="G1468" s="8" t="n">
        <f aca="false">IFERROR(INDEX('TRANS'!$B:$B,MATCH($B1468,'TRANS'!$A:$A,0)),IFERROR(INDEX('TRANS'!$B:$B,MATCH(TRIM(SUBSTITUTE($B1468,CHAR(160)," ")),'TRANS'!$D:$D,0)),IFERROR(INDEX('Catalog'!$A:$A,MATCH($B1468,'Catalog'!$B:$B,0)),IFERROR(INDEX('Catalog'!$A:$A,MATCH(TRIM(SUBSTITUTE($B1468,CHAR(160)," ")),'Catalog'!$C:$C,0)),""))))</f>
        <v>4408099</v>
      </c>
      <c r="H1468" s="8" t="str">
        <f aca="false">IFERROR(INDEX('TRANS'!$C:$C,MATCH($B1468,'TRANS'!$A:$A,0)),IFERROR(INDEX('Catalog'!$B:$B,MATCH($G1468,'Catalog'!$A:$A,0)),$B1468))</f>
        <v>T25C-חבק יד אגודלי</v>
      </c>
      <c r="I1468" s="8" t="str">
        <f aca="false">IF($G1468="","Unmatched","Matched")</f>
        <v>Matched</v>
      </c>
    </row>
    <row r="1469" customFormat="false" ht="15" hidden="false" customHeight="false" outlineLevel="0" collapsed="false">
      <c r="A1469" s="8" t="s">
        <v>814</v>
      </c>
      <c r="B1469" s="8" t="s">
        <v>559</v>
      </c>
      <c r="C1469" s="19" t="n">
        <v>0</v>
      </c>
      <c r="D1469" s="19" t="n">
        <v>0</v>
      </c>
      <c r="E1469" s="19" t="n">
        <v>1</v>
      </c>
      <c r="F1469" s="19" t="n">
        <v>69.34</v>
      </c>
      <c r="G1469" s="8" t="n">
        <f aca="false">IFERROR(INDEX('TRANS'!$B:$B,MATCH($B1469,'TRANS'!$A:$A,0)),IFERROR(INDEX('TRANS'!$B:$B,MATCH(TRIM(SUBSTITUTE($B1469,CHAR(160)," ")),'TRANS'!$D:$D,0)),IFERROR(INDEX('Catalog'!$A:$A,MATCH($B1469,'Catalog'!$B:$B,0)),IFERROR(INDEX('Catalog'!$A:$A,MATCH(TRIM(SUBSTITUTE($B1469,CHAR(160)," ")),'Catalog'!$C:$C,0)),""))))</f>
        <v>4413224</v>
      </c>
      <c r="H1469" s="8" t="str">
        <f aca="false">IFERROR(INDEX('TRANS'!$C:$C,MATCH($B1469,'TRANS'!$A:$A,0)),IFERROR(INDEX('Catalog'!$B:$B,MATCH($G1469,'Catalog'!$A:$A,0)),$B1469))</f>
        <v>T45X XL מגן ברך רגיל</v>
      </c>
      <c r="I1469" s="8" t="str">
        <f aca="false">IF($G1469="","Unmatched","Matched")</f>
        <v>Matched</v>
      </c>
    </row>
    <row r="1470" customFormat="false" ht="15" hidden="false" customHeight="false" outlineLevel="0" collapsed="false">
      <c r="A1470" s="8" t="s">
        <v>814</v>
      </c>
      <c r="B1470" s="8" t="s">
        <v>832</v>
      </c>
      <c r="C1470" s="19" t="n">
        <v>0</v>
      </c>
      <c r="D1470" s="19" t="n">
        <v>0</v>
      </c>
      <c r="E1470" s="19" t="n">
        <v>1</v>
      </c>
      <c r="F1470" s="19" t="n">
        <v>81.2</v>
      </c>
      <c r="G1470" s="8" t="str">
        <f aca="false">IFERROR(INDEX('TRANS'!$B:$B,MATCH($B1470,'TRANS'!$A:$A,0)),IFERROR(INDEX('TRANS'!$B:$B,MATCH(TRIM(SUBSTITUTE($B1470,CHAR(160)," ")),'TRANS'!$D:$D,0)),IFERROR(INDEX('Catalog'!$A:$A,MATCH($B1470,'Catalog'!$B:$B,0)),IFERROR(INDEX('Catalog'!$A:$A,MATCH(TRIM(SUBSTITUTE($B1470,CHAR(160)," ")),'Catalog'!$C:$C,0)),""))))</f>
        <v/>
      </c>
      <c r="H1470" s="8" t="str">
        <f aca="false">IFERROR(INDEX('TRANS'!$C:$C,MATCH($B1470,'TRANS'!$A:$A,0)),IFERROR(INDEX('Catalog'!$B:$B,MATCH($G1470,'Catalog'!$A:$A,0)),$B1470))</f>
        <v>T46B L</v>
      </c>
      <c r="I1470" s="8" t="str">
        <f aca="false">IF($G1470="","Unmatched","Matched")</f>
        <v>Unmatched</v>
      </c>
    </row>
    <row r="1471" customFormat="false" ht="15" hidden="false" customHeight="false" outlineLevel="0" collapsed="false">
      <c r="A1471" s="8" t="s">
        <v>814</v>
      </c>
      <c r="B1471" s="8" t="s">
        <v>545</v>
      </c>
      <c r="C1471" s="19" t="n">
        <v>0</v>
      </c>
      <c r="D1471" s="19" t="n">
        <v>0</v>
      </c>
      <c r="E1471" s="19" t="n">
        <v>1</v>
      </c>
      <c r="F1471" s="19" t="n">
        <v>81.2</v>
      </c>
      <c r="G1471" s="8" t="str">
        <f aca="false">IFERROR(INDEX('TRANS'!$B:$B,MATCH($B1471,'TRANS'!$A:$A,0)),IFERROR(INDEX('TRANS'!$B:$B,MATCH(TRIM(SUBSTITUTE($B1471,CHAR(160)," ")),'TRANS'!$D:$D,0)),IFERROR(INDEX('Catalog'!$A:$A,MATCH($B1471,'Catalog'!$B:$B,0)),IFERROR(INDEX('Catalog'!$A:$A,MATCH(TRIM(SUBSTITUTE($B1471,CHAR(160)," ")),'Catalog'!$C:$C,0)),""))))</f>
        <v/>
      </c>
      <c r="H1471" s="8" t="str">
        <f aca="false">IFERROR(INDEX('TRANS'!$C:$C,MATCH($B1471,'TRANS'!$A:$A,0)),IFERROR(INDEX('Catalog'!$B:$B,MATCH($G1471,'Catalog'!$A:$A,0)),$B1471))</f>
        <v>T46B M</v>
      </c>
      <c r="I1471" s="8" t="str">
        <f aca="false">IF($G1471="","Unmatched","Matched")</f>
        <v>Unmatched</v>
      </c>
    </row>
    <row r="1472" customFormat="false" ht="15" hidden="false" customHeight="false" outlineLevel="0" collapsed="false">
      <c r="A1472" s="8" t="s">
        <v>814</v>
      </c>
      <c r="B1472" s="8" t="s">
        <v>833</v>
      </c>
      <c r="C1472" s="19" t="n">
        <v>0</v>
      </c>
      <c r="D1472" s="19" t="n">
        <v>0</v>
      </c>
      <c r="E1472" s="19" t="n">
        <v>1</v>
      </c>
      <c r="F1472" s="19" t="n">
        <v>81.21</v>
      </c>
      <c r="G1472" s="8" t="str">
        <f aca="false">IFERROR(INDEX('TRANS'!$B:$B,MATCH($B1472,'TRANS'!$A:$A,0)),IFERROR(INDEX('TRANS'!$B:$B,MATCH(TRIM(SUBSTITUTE($B1472,CHAR(160)," ")),'TRANS'!$D:$D,0)),IFERROR(INDEX('Catalog'!$A:$A,MATCH($B1472,'Catalog'!$B:$B,0)),IFERROR(INDEX('Catalog'!$A:$A,MATCH(TRIM(SUBSTITUTE($B1472,CHAR(160)," ")),'Catalog'!$C:$C,0)),""))))</f>
        <v/>
      </c>
      <c r="H1472" s="8" t="str">
        <f aca="false">IFERROR(INDEX('TRANS'!$C:$C,MATCH($B1472,'TRANS'!$A:$A,0)),IFERROR(INDEX('Catalog'!$B:$B,MATCH($G1472,'Catalog'!$A:$A,0)),$B1472))</f>
        <v>T46B S</v>
      </c>
      <c r="I1472" s="8" t="str">
        <f aca="false">IF($G1472="","Unmatched","Matched")</f>
        <v>Unmatched</v>
      </c>
    </row>
    <row r="1473" customFormat="false" ht="15" hidden="false" customHeight="false" outlineLevel="0" collapsed="false">
      <c r="A1473" s="8" t="s">
        <v>814</v>
      </c>
      <c r="B1473" s="8" t="s">
        <v>834</v>
      </c>
      <c r="C1473" s="19" t="n">
        <v>0</v>
      </c>
      <c r="D1473" s="19" t="n">
        <v>0</v>
      </c>
      <c r="E1473" s="19" t="n">
        <v>1</v>
      </c>
      <c r="F1473" s="19" t="n">
        <v>81.2</v>
      </c>
      <c r="G1473" s="8" t="str">
        <f aca="false">IFERROR(INDEX('TRANS'!$B:$B,MATCH($B1473,'TRANS'!$A:$A,0)),IFERROR(INDEX('TRANS'!$B:$B,MATCH(TRIM(SUBSTITUTE($B1473,CHAR(160)," ")),'TRANS'!$D:$D,0)),IFERROR(INDEX('Catalog'!$A:$A,MATCH($B1473,'Catalog'!$B:$B,0)),IFERROR(INDEX('Catalog'!$A:$A,MATCH(TRIM(SUBSTITUTE($B1473,CHAR(160)," ")),'Catalog'!$C:$C,0)),""))))</f>
        <v/>
      </c>
      <c r="H1473" s="8" t="str">
        <f aca="false">IFERROR(INDEX('TRANS'!$C:$C,MATCH($B1473,'TRANS'!$A:$A,0)),IFERROR(INDEX('Catalog'!$B:$B,MATCH($G1473,'Catalog'!$A:$A,0)),$B1473))</f>
        <v>T46B XL</v>
      </c>
      <c r="I1473" s="8" t="str">
        <f aca="false">IF($G1473="","Unmatched","Matched")</f>
        <v>Unmatched</v>
      </c>
    </row>
    <row r="1474" customFormat="false" ht="15" hidden="false" customHeight="false" outlineLevel="0" collapsed="false">
      <c r="A1474" s="8" t="s">
        <v>814</v>
      </c>
      <c r="B1474" s="8" t="s">
        <v>835</v>
      </c>
      <c r="C1474" s="19" t="n">
        <v>0</v>
      </c>
      <c r="D1474" s="19" t="n">
        <v>0</v>
      </c>
      <c r="E1474" s="19" t="n">
        <v>1</v>
      </c>
      <c r="F1474" s="19" t="n">
        <v>81.2</v>
      </c>
      <c r="G1474" s="8" t="str">
        <f aca="false">IFERROR(INDEX('TRANS'!$B:$B,MATCH($B1474,'TRANS'!$A:$A,0)),IFERROR(INDEX('TRANS'!$B:$B,MATCH(TRIM(SUBSTITUTE($B1474,CHAR(160)," ")),'TRANS'!$D:$D,0)),IFERROR(INDEX('Catalog'!$A:$A,MATCH($B1474,'Catalog'!$B:$B,0)),IFERROR(INDEX('Catalog'!$A:$A,MATCH(TRIM(SUBSTITUTE($B1474,CHAR(160)," ")),'Catalog'!$C:$C,0)),""))))</f>
        <v/>
      </c>
      <c r="H1474" s="8" t="str">
        <f aca="false">IFERROR(INDEX('TRANS'!$C:$C,MATCH($B1474,'TRANS'!$A:$A,0)),IFERROR(INDEX('Catalog'!$B:$B,MATCH($G1474,'Catalog'!$A:$A,0)),$B1474))</f>
        <v>T46B XS</v>
      </c>
      <c r="I1474" s="8" t="str">
        <f aca="false">IF($G1474="","Unmatched","Matched")</f>
        <v>Unmatched</v>
      </c>
    </row>
    <row r="1475" customFormat="false" ht="15" hidden="false" customHeight="false" outlineLevel="0" collapsed="false">
      <c r="A1475" s="8" t="s">
        <v>814</v>
      </c>
      <c r="B1475" s="8" t="s">
        <v>683</v>
      </c>
      <c r="C1475" s="19" t="n">
        <v>1</v>
      </c>
      <c r="D1475" s="19" t="n">
        <v>130</v>
      </c>
      <c r="E1475" s="19" t="n">
        <v>0</v>
      </c>
      <c r="F1475" s="19" t="n">
        <v>0</v>
      </c>
      <c r="G1475" s="8" t="str">
        <f aca="false">IFERROR(INDEX('TRANS'!$B:$B,MATCH($B1475,'TRANS'!$A:$A,0)),IFERROR(INDEX('TRANS'!$B:$B,MATCH(TRIM(SUBSTITUTE($B1475,CHAR(160)," ")),'TRANS'!$D:$D,0)),IFERROR(INDEX('Catalog'!$A:$A,MATCH($B1475,'Catalog'!$B:$B,0)),IFERROR(INDEX('Catalog'!$A:$A,MATCH(TRIM(SUBSTITUTE($B1475,CHAR(160)," ")),'Catalog'!$C:$C,0)),""))))</f>
        <v/>
      </c>
      <c r="H1475" s="8" t="str">
        <f aca="false">IFERROR(INDEX('TRANS'!$C:$C,MATCH($B1475,'TRANS'!$A:$A,0)),IFERROR(INDEX('Catalog'!$B:$B,MATCH($G1475,'Catalog'!$A:$A,0)),$B1475))</f>
        <v>355 L</v>
      </c>
      <c r="I1475" s="8" t="str">
        <f aca="false">IF($G1475="","Unmatched","Matched")</f>
        <v>Unmatched</v>
      </c>
    </row>
    <row r="1476" customFormat="false" ht="15" hidden="false" customHeight="false" outlineLevel="0" collapsed="false">
      <c r="A1476" s="8" t="s">
        <v>814</v>
      </c>
      <c r="B1476" s="8" t="s">
        <v>550</v>
      </c>
      <c r="C1476" s="19" t="n">
        <v>1</v>
      </c>
      <c r="D1476" s="19" t="n">
        <v>130</v>
      </c>
      <c r="E1476" s="19" t="n">
        <v>0</v>
      </c>
      <c r="F1476" s="19" t="n">
        <v>0</v>
      </c>
      <c r="G1476" s="8" t="str">
        <f aca="false">IFERROR(INDEX('TRANS'!$B:$B,MATCH($B1476,'TRANS'!$A:$A,0)),IFERROR(INDEX('TRANS'!$B:$B,MATCH(TRIM(SUBSTITUTE($B1476,CHAR(160)," ")),'TRANS'!$D:$D,0)),IFERROR(INDEX('Catalog'!$A:$A,MATCH($B1476,'Catalog'!$B:$B,0)),IFERROR(INDEX('Catalog'!$A:$A,MATCH(TRIM(SUBSTITUTE($B1476,CHAR(160)," ")),'Catalog'!$C:$C,0)),""))))</f>
        <v/>
      </c>
      <c r="H1476" s="8" t="str">
        <f aca="false">IFERROR(INDEX('TRANS'!$C:$C,MATCH($B1476,'TRANS'!$A:$A,0)),IFERROR(INDEX('Catalog'!$B:$B,MATCH($G1476,'Catalog'!$A:$A,0)),$B1476))</f>
        <v>355 M</v>
      </c>
      <c r="I1476" s="8" t="str">
        <f aca="false">IF($G1476="","Unmatched","Matched")</f>
        <v>Unmatched</v>
      </c>
    </row>
    <row r="1477" customFormat="false" ht="15" hidden="false" customHeight="false" outlineLevel="0" collapsed="false">
      <c r="A1477" s="8" t="s">
        <v>814</v>
      </c>
      <c r="B1477" s="8" t="s">
        <v>745</v>
      </c>
      <c r="C1477" s="19" t="n">
        <v>1</v>
      </c>
      <c r="D1477" s="19" t="n">
        <v>130</v>
      </c>
      <c r="E1477" s="19" t="n">
        <v>0</v>
      </c>
      <c r="F1477" s="19" t="n">
        <v>0</v>
      </c>
      <c r="G1477" s="8" t="str">
        <f aca="false">IFERROR(INDEX('TRANS'!$B:$B,MATCH($B1477,'TRANS'!$A:$A,0)),IFERROR(INDEX('TRANS'!$B:$B,MATCH(TRIM(SUBSTITUTE($B1477,CHAR(160)," ")),'TRANS'!$D:$D,0)),IFERROR(INDEX('Catalog'!$A:$A,MATCH($B1477,'Catalog'!$B:$B,0)),IFERROR(INDEX('Catalog'!$A:$A,MATCH(TRIM(SUBSTITUTE($B1477,CHAR(160)," ")),'Catalog'!$C:$C,0)),""))))</f>
        <v/>
      </c>
      <c r="H1477" s="8" t="str">
        <f aca="false">IFERROR(INDEX('TRANS'!$C:$C,MATCH($B1477,'TRANS'!$A:$A,0)),IFERROR(INDEX('Catalog'!$B:$B,MATCH($G1477,'Catalog'!$A:$A,0)),$B1477))</f>
        <v>355 XL</v>
      </c>
      <c r="I1477" s="8" t="str">
        <f aca="false">IF($G1477="","Unmatched","Matched")</f>
        <v>Unmatched</v>
      </c>
    </row>
    <row r="1478" customFormat="false" ht="15" hidden="false" customHeight="false" outlineLevel="0" collapsed="false">
      <c r="A1478" s="8" t="s">
        <v>814</v>
      </c>
      <c r="B1478" s="8" t="s">
        <v>335</v>
      </c>
      <c r="C1478" s="19" t="n">
        <v>10</v>
      </c>
      <c r="D1478" s="19" t="n">
        <v>1002.81</v>
      </c>
      <c r="E1478" s="19" t="n">
        <v>1</v>
      </c>
      <c r="F1478" s="19" t="n">
        <v>117.13</v>
      </c>
      <c r="G1478" s="8" t="n">
        <f aca="false">IFERROR(INDEX('TRANS'!$B:$B,MATCH($B1478,'TRANS'!$A:$A,0)),IFERROR(INDEX('TRANS'!$B:$B,MATCH(TRIM(SUBSTITUTE($B1478,CHAR(160)," ")),'TRANS'!$D:$D,0)),IFERROR(INDEX('Catalog'!$A:$A,MATCH($B1478,'Catalog'!$B:$B,0)),IFERROR(INDEX('Catalog'!$A:$A,MATCH(TRIM(SUBSTITUTE($B1478,CHAR(160)," ")),'Catalog'!$C:$C,0)),""))))</f>
        <v>4408221</v>
      </c>
      <c r="H1478" s="8" t="str">
        <f aca="false">IFERROR(INDEX('TRANS'!$C:$C,MATCH($B1478,'TRANS'!$A:$A,0)),IFERROR(INDEX('Catalog'!$B:$B,MATCH($G1478,'Catalog'!$A:$A,0)),$B1478))</f>
        <v>078G-L חגורת גב אפורה</v>
      </c>
      <c r="I1478" s="8" t="str">
        <f aca="false">IF($G1478="","Unmatched","Matched")</f>
        <v>Matched</v>
      </c>
    </row>
    <row r="1479" customFormat="false" ht="15" hidden="false" customHeight="false" outlineLevel="0" collapsed="false">
      <c r="A1479" s="8" t="s">
        <v>814</v>
      </c>
      <c r="B1479" s="8" t="s">
        <v>62</v>
      </c>
      <c r="C1479" s="19" t="n">
        <v>9</v>
      </c>
      <c r="D1479" s="19" t="n">
        <v>885.67</v>
      </c>
      <c r="E1479" s="19" t="n">
        <v>2</v>
      </c>
      <c r="F1479" s="19" t="n">
        <v>234.27</v>
      </c>
      <c r="G1479" s="8" t="n">
        <f aca="false">IFERROR(INDEX('TRANS'!$B:$B,MATCH($B1479,'TRANS'!$A:$A,0)),IFERROR(INDEX('TRANS'!$B:$B,MATCH(TRIM(SUBSTITUTE($B1479,CHAR(160)," ")),'TRANS'!$D:$D,0)),IFERROR(INDEX('Catalog'!$A:$A,MATCH($B1479,'Catalog'!$B:$B,0)),IFERROR(INDEX('Catalog'!$A:$A,MATCH(TRIM(SUBSTITUTE($B1479,CHAR(160)," ")),'Catalog'!$C:$C,0)),""))))</f>
        <v>4408220</v>
      </c>
      <c r="H1479" s="8" t="str">
        <f aca="false">IFERROR(INDEX('TRANS'!$C:$C,MATCH($B1479,'TRANS'!$A:$A,0)),IFERROR(INDEX('Catalog'!$B:$B,MATCH($G1479,'Catalog'!$A:$A,0)),$B1479))</f>
        <v>078G-M חגורת גב אפורה</v>
      </c>
      <c r="I1479" s="8" t="str">
        <f aca="false">IF($G1479="","Unmatched","Matched")</f>
        <v>Matched</v>
      </c>
    </row>
    <row r="1480" customFormat="false" ht="15" hidden="false" customHeight="false" outlineLevel="0" collapsed="false">
      <c r="A1480" s="8" t="s">
        <v>814</v>
      </c>
      <c r="B1480" s="8" t="s">
        <v>336</v>
      </c>
      <c r="C1480" s="19" t="n">
        <v>9</v>
      </c>
      <c r="D1480" s="19" t="n">
        <v>843.55</v>
      </c>
      <c r="E1480" s="19" t="n">
        <v>2</v>
      </c>
      <c r="F1480" s="19" t="n">
        <v>234.27</v>
      </c>
      <c r="G1480" s="8" t="n">
        <f aca="false">IFERROR(INDEX('TRANS'!$B:$B,MATCH($B1480,'TRANS'!$A:$A,0)),IFERROR(INDEX('TRANS'!$B:$B,MATCH(TRIM(SUBSTITUTE($B1480,CHAR(160)," ")),'TRANS'!$D:$D,0)),IFERROR(INDEX('Catalog'!$A:$A,MATCH($B1480,'Catalog'!$B:$B,0)),IFERROR(INDEX('Catalog'!$A:$A,MATCH(TRIM(SUBSTITUTE($B1480,CHAR(160)," ")),'Catalog'!$C:$C,0)),""))))</f>
        <v>4408222</v>
      </c>
      <c r="H1480" s="8" t="str">
        <f aca="false">IFERROR(INDEX('TRANS'!$C:$C,MATCH($B1480,'TRANS'!$A:$A,0)),IFERROR(INDEX('Catalog'!$B:$B,MATCH($G1480,'Catalog'!$A:$A,0)),$B1480))</f>
        <v>078G-XLחגורת גב אפורה</v>
      </c>
      <c r="I1480" s="8" t="str">
        <f aca="false">IF($G1480="","Unmatched","Matched")</f>
        <v>Matched</v>
      </c>
    </row>
    <row r="1481" customFormat="false" ht="15" hidden="false" customHeight="false" outlineLevel="0" collapsed="false">
      <c r="A1481" s="8" t="s">
        <v>814</v>
      </c>
      <c r="B1481" s="8" t="s">
        <v>75</v>
      </c>
      <c r="C1481" s="19" t="n">
        <v>1</v>
      </c>
      <c r="D1481" s="19" t="n">
        <v>105</v>
      </c>
      <c r="E1481" s="19" t="n">
        <v>0</v>
      </c>
      <c r="F1481" s="19" t="n">
        <v>0</v>
      </c>
      <c r="G1481" s="8" t="n">
        <f aca="false">IFERROR(INDEX('TRANS'!$B:$B,MATCH($B1481,'TRANS'!$A:$A,0)),IFERROR(INDEX('TRANS'!$B:$B,MATCH(TRIM(SUBSTITUTE($B1481,CHAR(160)," ")),'TRANS'!$D:$D,0)),IFERROR(INDEX('Catalog'!$A:$A,MATCH($B1481,'Catalog'!$B:$B,0)),IFERROR(INDEX('Catalog'!$A:$A,MATCH(TRIM(SUBSTITUTE($B1481,CHAR(160)," ")),'Catalog'!$C:$C,0)),""))))</f>
        <v>4408263</v>
      </c>
      <c r="H1481" s="8" t="str">
        <f aca="false">IFERROR(INDEX('TRANS'!$C:$C,MATCH($B1481,'TRANS'!$A:$A,0)),IFERROR(INDEX('Catalog'!$B:$B,MATCH($G1481,'Catalog'!$A:$A,0)),$B1481))</f>
        <v>11STO XXL חגורה אחרי ניתוח</v>
      </c>
      <c r="I1481" s="8" t="str">
        <f aca="false">IF($G1481="","Unmatched","Matched")</f>
        <v>Matched</v>
      </c>
    </row>
    <row r="1482" customFormat="false" ht="15" hidden="false" customHeight="false" outlineLevel="0" collapsed="false">
      <c r="A1482" s="8" t="s">
        <v>814</v>
      </c>
      <c r="B1482" s="8" t="s">
        <v>655</v>
      </c>
      <c r="C1482" s="19" t="n">
        <v>1</v>
      </c>
      <c r="D1482" s="19" t="n">
        <v>85</v>
      </c>
      <c r="E1482" s="19" t="n">
        <v>0</v>
      </c>
      <c r="F1482" s="19" t="n">
        <v>0</v>
      </c>
      <c r="G1482" s="8" t="str">
        <f aca="false">IFERROR(INDEX('TRANS'!$B:$B,MATCH($B1482,'TRANS'!$A:$A,0)),IFERROR(INDEX('TRANS'!$B:$B,MATCH(TRIM(SUBSTITUTE($B1482,CHAR(160)," ")),'TRANS'!$D:$D,0)),IFERROR(INDEX('Catalog'!$A:$A,MATCH($B1482,'Catalog'!$B:$B,0)),IFERROR(INDEX('Catalog'!$A:$A,MATCH(TRIM(SUBSTITUTE($B1482,CHAR(160)," ")),'Catalog'!$C:$C,0)),""))))</f>
        <v/>
      </c>
      <c r="H1482" s="8" t="str">
        <f aca="false">IFERROR(INDEX('TRANS'!$C:$C,MATCH($B1482,'TRANS'!$A:$A,0)),IFERROR(INDEX('Catalog'!$B:$B,MATCH($G1482,'Catalog'!$A:$A,0)),$B1482))</f>
        <v>422EU L</v>
      </c>
      <c r="I1482" s="8" t="str">
        <f aca="false">IF($G1482="","Unmatched","Matched")</f>
        <v>Unmatched</v>
      </c>
    </row>
    <row r="1483" customFormat="false" ht="15" hidden="false" customHeight="false" outlineLevel="0" collapsed="false">
      <c r="A1483" s="8" t="s">
        <v>814</v>
      </c>
      <c r="B1483" s="8" t="s">
        <v>275</v>
      </c>
      <c r="C1483" s="19" t="n">
        <v>3</v>
      </c>
      <c r="D1483" s="19" t="n">
        <v>220.76</v>
      </c>
      <c r="E1483" s="19" t="n">
        <v>0</v>
      </c>
      <c r="F1483" s="19" t="n">
        <v>0</v>
      </c>
      <c r="G1483" s="8" t="n">
        <f aca="false">IFERROR(INDEX('TRANS'!$B:$B,MATCH($B1483,'TRANS'!$A:$A,0)),IFERROR(INDEX('TRANS'!$B:$B,MATCH(TRIM(SUBSTITUTE($B1483,CHAR(160)," ")),'TRANS'!$D:$D,0)),IFERROR(INDEX('Catalog'!$A:$A,MATCH($B1483,'Catalog'!$B:$B,0)),IFERROR(INDEX('Catalog'!$A:$A,MATCH(TRIM(SUBSTITUTE($B1483,CHAR(160)," ")),'Catalog'!$C:$C,0)),""))))</f>
        <v>4413329</v>
      </c>
      <c r="H1483" s="8" t="str">
        <f aca="false">IFERROR(INDEX('TRANS'!$C:$C,MATCH($B1483,'TRANS'!$A:$A,0)),IFERROR(INDEX('Catalog'!$B:$B,MATCH($G1483,'Catalog'!$A:$A,0)),$B1483))</f>
        <v>AC45X מגן ברך עם תמיכות</v>
      </c>
      <c r="I1483" s="8" t="str">
        <f aca="false">IF($G1483="","Unmatched","Matched")</f>
        <v>Matched</v>
      </c>
    </row>
    <row r="1484" customFormat="false" ht="15" hidden="false" customHeight="false" outlineLevel="0" collapsed="false">
      <c r="A1484" s="8" t="s">
        <v>814</v>
      </c>
      <c r="B1484" s="8" t="s">
        <v>283</v>
      </c>
      <c r="C1484" s="19" t="n">
        <v>2</v>
      </c>
      <c r="D1484" s="19" t="n">
        <v>72.7</v>
      </c>
      <c r="E1484" s="19" t="n">
        <v>0</v>
      </c>
      <c r="F1484" s="19" t="n">
        <v>0</v>
      </c>
      <c r="G1484" s="8" t="n">
        <f aca="false">IFERROR(INDEX('TRANS'!$B:$B,MATCH($B1484,'TRANS'!$A:$A,0)),IFERROR(INDEX('TRANS'!$B:$B,MATCH(TRIM(SUBSTITUTE($B1484,CHAR(160)," ")),'TRANS'!$D:$D,0)),IFERROR(INDEX('Catalog'!$A:$A,MATCH($B1484,'Catalog'!$B:$B,0)),IFERROR(INDEX('Catalog'!$A:$A,MATCH(TRIM(SUBSTITUTE($B1484,CHAR(160)," ")),'Catalog'!$C:$C,0)),""))))</f>
        <v>4414000</v>
      </c>
      <c r="H1484" s="8" t="str">
        <f aca="false">IFERROR(INDEX('TRANS'!$C:$C,MATCH($B1484,'TRANS'!$A:$A,0)),IFERROR(INDEX('Catalog'!$B:$B,MATCH($G1484,'Catalog'!$A:$A,0)),$B1484))</f>
        <v>FC342-נוזל לציפורן חודרנית</v>
      </c>
      <c r="I1484" s="8" t="str">
        <f aca="false">IF($G1484="","Unmatched","Matched")</f>
        <v>Matched</v>
      </c>
    </row>
    <row r="1485" customFormat="false" ht="15" hidden="false" customHeight="false" outlineLevel="0" collapsed="false">
      <c r="A1485" s="8" t="s">
        <v>814</v>
      </c>
      <c r="B1485" s="8" t="s">
        <v>301</v>
      </c>
      <c r="C1485" s="19" t="n">
        <v>1</v>
      </c>
      <c r="D1485" s="19" t="n">
        <v>145.26</v>
      </c>
      <c r="E1485" s="19" t="n">
        <v>2</v>
      </c>
      <c r="F1485" s="19" t="n">
        <v>328.05</v>
      </c>
      <c r="G1485" s="8" t="n">
        <f aca="false">IFERROR(INDEX('TRANS'!$B:$B,MATCH($B1485,'TRANS'!$A:$A,0)),IFERROR(INDEX('TRANS'!$B:$B,MATCH(TRIM(SUBSTITUTE($B1485,CHAR(160)," ")),'TRANS'!$D:$D,0)),IFERROR(INDEX('Catalog'!$A:$A,MATCH($B1485,'Catalog'!$B:$B,0)),IFERROR(INDEX('Catalog'!$A:$A,MATCH(TRIM(SUBSTITUTE($B1485,CHAR(160)," ")),'Catalog'!$C:$C,0)),""))))</f>
        <v>4413416</v>
      </c>
      <c r="H1485" s="8" t="str">
        <f aca="false">IFERROR(INDEX('TRANS'!$C:$C,MATCH($B1485,'TRANS'!$A:$A,0)),IFERROR(INDEX('Catalog'!$B:$B,MATCH($G1485,'Catalog'!$A:$A,0)),$B1485))</f>
        <v>SC39  M מגן שוק</v>
      </c>
      <c r="I1485" s="8" t="str">
        <f aca="false">IF($G1485="","Unmatched","Matched")</f>
        <v>Matched</v>
      </c>
    </row>
    <row r="1486" customFormat="false" ht="15" hidden="false" customHeight="false" outlineLevel="0" collapsed="false">
      <c r="A1486" s="8" t="s">
        <v>814</v>
      </c>
      <c r="B1486" s="8" t="s">
        <v>305</v>
      </c>
      <c r="C1486" s="19" t="n">
        <v>1</v>
      </c>
      <c r="D1486" s="19" t="n">
        <v>77.29</v>
      </c>
      <c r="E1486" s="19" t="n">
        <v>0</v>
      </c>
      <c r="F1486" s="19" t="n">
        <v>0</v>
      </c>
      <c r="G1486" s="8" t="n">
        <f aca="false">IFERROR(INDEX('TRANS'!$B:$B,MATCH($B1486,'TRANS'!$A:$A,0)),IFERROR(INDEX('TRANS'!$B:$B,MATCH(TRIM(SUBSTITUTE($B1486,CHAR(160)," ")),'TRANS'!$D:$D,0)),IFERROR(INDEX('Catalog'!$A:$A,MATCH($B1486,'Catalog'!$B:$B,0)),IFERROR(INDEX('Catalog'!$A:$A,MATCH(TRIM(SUBSTITUTE($B1486,CHAR(160)," ")),'Catalog'!$C:$C,0)),""))))</f>
        <v>4413406</v>
      </c>
      <c r="H1486" s="8" t="str">
        <f aca="false">IFERROR(INDEX('TRANS'!$C:$C,MATCH($B1486,'TRANS'!$A:$A,0)),IFERROR(INDEX('Catalog'!$B:$B,MATCH($G1486,'Catalog'!$A:$A,0)),$B1486))</f>
        <v>SC95 M מגן מרפק</v>
      </c>
      <c r="I1486" s="8" t="str">
        <f aca="false">IF($G1486="","Unmatched","Matched")</f>
        <v>Matched</v>
      </c>
    </row>
    <row r="1487" customFormat="false" ht="15" hidden="false" customHeight="false" outlineLevel="0" collapsed="false">
      <c r="A1487" s="8" t="s">
        <v>814</v>
      </c>
      <c r="B1487" s="8" t="s">
        <v>131</v>
      </c>
      <c r="C1487" s="19" t="n">
        <v>9</v>
      </c>
      <c r="D1487" s="19" t="n">
        <v>570.39</v>
      </c>
      <c r="E1487" s="19" t="n">
        <v>6</v>
      </c>
      <c r="F1487" s="19" t="n">
        <v>421.56</v>
      </c>
      <c r="G1487" s="8" t="n">
        <f aca="false">IFERROR(INDEX('TRANS'!$B:$B,MATCH($B1487,'TRANS'!$A:$A,0)),IFERROR(INDEX('TRANS'!$B:$B,MATCH(TRIM(SUBSTITUTE($B1487,CHAR(160)," ")),'TRANS'!$D:$D,0)),IFERROR(INDEX('Catalog'!$A:$A,MATCH($B1487,'Catalog'!$B:$B,0)),IFERROR(INDEX('Catalog'!$A:$A,MATCH(TRIM(SUBSTITUTE($B1487,CHAR(160)," ")),'Catalog'!$C:$C,0)),""))))</f>
        <v>4413161</v>
      </c>
      <c r="H1487" s="8" t="str">
        <f aca="false">IFERROR(INDEX('TRANS'!$C:$C,MATCH($B1487,'TRANS'!$A:$A,0)),IFERROR(INDEX('Catalog'!$B:$B,MATCH($G1487,'Catalog'!$A:$A,0)),$B1487))</f>
        <v>34+ L מגן קרסול עקב סגור+רצוע</v>
      </c>
      <c r="I1487" s="8" t="str">
        <f aca="false">IF($G1487="","Unmatched","Matched")</f>
        <v>Matched</v>
      </c>
    </row>
    <row r="1488" customFormat="false" ht="15" hidden="false" customHeight="false" outlineLevel="0" collapsed="false">
      <c r="A1488" s="8" t="s">
        <v>814</v>
      </c>
      <c r="B1488" s="8" t="s">
        <v>357</v>
      </c>
      <c r="C1488" s="19" t="n">
        <v>7</v>
      </c>
      <c r="D1488" s="19" t="n">
        <v>438.72</v>
      </c>
      <c r="E1488" s="19" t="n">
        <v>4</v>
      </c>
      <c r="F1488" s="19" t="n">
        <v>281.04</v>
      </c>
      <c r="G1488" s="8" t="n">
        <f aca="false">IFERROR(INDEX('TRANS'!$B:$B,MATCH($B1488,'TRANS'!$A:$A,0)),IFERROR(INDEX('TRANS'!$B:$B,MATCH(TRIM(SUBSTITUTE($B1488,CHAR(160)," ")),'TRANS'!$D:$D,0)),IFERROR(INDEX('Catalog'!$A:$A,MATCH($B1488,'Catalog'!$B:$B,0)),IFERROR(INDEX('Catalog'!$A:$A,MATCH(TRIM(SUBSTITUTE($B1488,CHAR(160)," ")),'Catalog'!$C:$C,0)),""))))</f>
        <v>4413160</v>
      </c>
      <c r="H1488" s="8" t="str">
        <f aca="false">IFERROR(INDEX('TRANS'!$C:$C,MATCH($B1488,'TRANS'!$A:$A,0)),IFERROR(INDEX('Catalog'!$B:$B,MATCH($G1488,'Catalog'!$A:$A,0)),$B1488))</f>
        <v>34+ M מגן קרסול עקב סגור+רצוע</v>
      </c>
      <c r="I1488" s="8" t="str">
        <f aca="false">IF($G1488="","Unmatched","Matched")</f>
        <v>Matched</v>
      </c>
    </row>
    <row r="1489" customFormat="false" ht="15" hidden="false" customHeight="false" outlineLevel="0" collapsed="false">
      <c r="A1489" s="8" t="s">
        <v>814</v>
      </c>
      <c r="B1489" s="8" t="s">
        <v>132</v>
      </c>
      <c r="C1489" s="19" t="n">
        <v>6</v>
      </c>
      <c r="D1489" s="19" t="n">
        <v>377.31</v>
      </c>
      <c r="E1489" s="19" t="n">
        <v>6</v>
      </c>
      <c r="F1489" s="19" t="n">
        <v>421.56</v>
      </c>
      <c r="G1489" s="8" t="n">
        <f aca="false">IFERROR(INDEX('TRANS'!$B:$B,MATCH($B1489,'TRANS'!$A:$A,0)),IFERROR(INDEX('TRANS'!$B:$B,MATCH(TRIM(SUBSTITUTE($B1489,CHAR(160)," ")),'TRANS'!$D:$D,0)),IFERROR(INDEX('Catalog'!$A:$A,MATCH($B1489,'Catalog'!$B:$B,0)),IFERROR(INDEX('Catalog'!$A:$A,MATCH(TRIM(SUBSTITUTE($B1489,CHAR(160)," ")),'Catalog'!$C:$C,0)),""))))</f>
        <v>4413162</v>
      </c>
      <c r="H1489" s="8" t="str">
        <f aca="false">IFERROR(INDEX('TRANS'!$C:$C,MATCH($B1489,'TRANS'!$A:$A,0)),IFERROR(INDEX('Catalog'!$B:$B,MATCH($G1489,'Catalog'!$A:$A,0)),$B1489))</f>
        <v>34+XL מגן קרסול עקב סגור+רצוע</v>
      </c>
      <c r="I1489" s="8" t="str">
        <f aca="false">IF($G1489="","Unmatched","Matched")</f>
        <v>Matched</v>
      </c>
    </row>
    <row r="1490" customFormat="false" ht="15" hidden="false" customHeight="false" outlineLevel="0" collapsed="false">
      <c r="A1490" s="8" t="s">
        <v>814</v>
      </c>
      <c r="B1490" s="8" t="s">
        <v>140</v>
      </c>
      <c r="C1490" s="19" t="n">
        <v>4</v>
      </c>
      <c r="D1490" s="19" t="n">
        <v>120.1</v>
      </c>
      <c r="E1490" s="19" t="n">
        <v>0</v>
      </c>
      <c r="F1490" s="19" t="n">
        <v>0</v>
      </c>
      <c r="G1490" s="8" t="n">
        <f aca="false">IFERROR(INDEX('TRANS'!$B:$B,MATCH($B1490,'TRANS'!$A:$A,0)),IFERROR(INDEX('TRANS'!$B:$B,MATCH(TRIM(SUBSTITUTE($B1490,CHAR(160)," ")),'TRANS'!$D:$D,0)),IFERROR(INDEX('Catalog'!$A:$A,MATCH($B1490,'Catalog'!$B:$B,0)),IFERROR(INDEX('Catalog'!$A:$A,MATCH(TRIM(SUBSTITUTE($B1490,CHAR(160)," ")),'Catalog'!$C:$C,0)),""))))</f>
        <v>4413053</v>
      </c>
      <c r="H1490" s="8" t="str">
        <f aca="false">IFERROR(INDEX('TRANS'!$C:$C,MATCH($B1490,'TRANS'!$A:$A,0)),IFERROR(INDEX('Catalog'!$B:$B,MATCH($G1490,'Catalog'!$A:$A,0)),$B1490))</f>
        <v>35C L מגן קרסול חום</v>
      </c>
      <c r="I1490" s="8" t="str">
        <f aca="false">IF($G1490="","Unmatched","Matched")</f>
        <v>Matched</v>
      </c>
    </row>
    <row r="1491" customFormat="false" ht="15" hidden="false" customHeight="false" outlineLevel="0" collapsed="false">
      <c r="A1491" s="8" t="s">
        <v>814</v>
      </c>
      <c r="B1491" s="8" t="s">
        <v>141</v>
      </c>
      <c r="C1491" s="19" t="n">
        <v>5</v>
      </c>
      <c r="D1491" s="19" t="n">
        <v>151</v>
      </c>
      <c r="E1491" s="19" t="n">
        <v>0</v>
      </c>
      <c r="F1491" s="19" t="n">
        <v>0</v>
      </c>
      <c r="G1491" s="8" t="n">
        <f aca="false">IFERROR(INDEX('TRANS'!$B:$B,MATCH($B1491,'TRANS'!$A:$A,0)),IFERROR(INDEX('TRANS'!$B:$B,MATCH(TRIM(SUBSTITUTE($B1491,CHAR(160)," ")),'TRANS'!$D:$D,0)),IFERROR(INDEX('Catalog'!$A:$A,MATCH($B1491,'Catalog'!$B:$B,0)),IFERROR(INDEX('Catalog'!$A:$A,MATCH(TRIM(SUBSTITUTE($B1491,CHAR(160)," ")),'Catalog'!$C:$C,0)),""))))</f>
        <v>4413054</v>
      </c>
      <c r="H1491" s="8" t="str">
        <f aca="false">IFERROR(INDEX('TRANS'!$C:$C,MATCH($B1491,'TRANS'!$A:$A,0)),IFERROR(INDEX('Catalog'!$B:$B,MATCH($G1491,'Catalog'!$A:$A,0)),$B1491))</f>
        <v>35C M מגן קרסול חום</v>
      </c>
      <c r="I1491" s="8" t="str">
        <f aca="false">IF($G1491="","Unmatched","Matched")</f>
        <v>Matched</v>
      </c>
    </row>
    <row r="1492" customFormat="false" ht="15" hidden="false" customHeight="false" outlineLevel="0" collapsed="false">
      <c r="A1492" s="8" t="s">
        <v>814</v>
      </c>
      <c r="B1492" s="8" t="s">
        <v>363</v>
      </c>
      <c r="C1492" s="19" t="n">
        <v>4</v>
      </c>
      <c r="D1492" s="19" t="n">
        <v>120.1</v>
      </c>
      <c r="E1492" s="19" t="n">
        <v>0</v>
      </c>
      <c r="F1492" s="19" t="n">
        <v>0</v>
      </c>
      <c r="G1492" s="8" t="n">
        <f aca="false">IFERROR(INDEX('TRANS'!$B:$B,MATCH($B1492,'TRANS'!$A:$A,0)),IFERROR(INDEX('TRANS'!$B:$B,MATCH(TRIM(SUBSTITUTE($B1492,CHAR(160)," ")),'TRANS'!$D:$D,0)),IFERROR(INDEX('Catalog'!$A:$A,MATCH($B1492,'Catalog'!$B:$B,0)),IFERROR(INDEX('Catalog'!$A:$A,MATCH(TRIM(SUBSTITUTE($B1492,CHAR(160)," ")),'Catalog'!$C:$C,0)),""))))</f>
        <v>4413055</v>
      </c>
      <c r="H1492" s="8" t="str">
        <f aca="false">IFERROR(INDEX('TRANS'!$C:$C,MATCH($B1492,'TRANS'!$A:$A,0)),IFERROR(INDEX('Catalog'!$B:$B,MATCH($G1492,'Catalog'!$A:$A,0)),$B1492))</f>
        <v>35C XL מגן קרסול חום</v>
      </c>
      <c r="I1492" s="8" t="str">
        <f aca="false">IF($G1492="","Unmatched","Matched")</f>
        <v>Matched</v>
      </c>
    </row>
    <row r="1493" customFormat="false" ht="15" hidden="false" customHeight="false" outlineLevel="0" collapsed="false">
      <c r="A1493" s="8" t="s">
        <v>814</v>
      </c>
      <c r="B1493" s="8" t="s">
        <v>144</v>
      </c>
      <c r="C1493" s="19" t="n">
        <v>3</v>
      </c>
      <c r="D1493" s="19" t="n">
        <v>89.21</v>
      </c>
      <c r="E1493" s="19" t="n">
        <v>0</v>
      </c>
      <c r="F1493" s="19" t="n">
        <v>0</v>
      </c>
      <c r="G1493" s="8" t="str">
        <f aca="false">IFERROR(INDEX('TRANS'!$B:$B,MATCH($B1493,'TRANS'!$A:$A,0)),IFERROR(INDEX('TRANS'!$B:$B,MATCH(TRIM(SUBSTITUTE($B1493,CHAR(160)," ")),'TRANS'!$D:$D,0)),IFERROR(INDEX('Catalog'!$A:$A,MATCH($B1493,'Catalog'!$B:$B,0)),IFERROR(INDEX('Catalog'!$A:$A,MATCH(TRIM(SUBSTITUTE($B1493,CHAR(160)," ")),'Catalog'!$C:$C,0)),""))))</f>
        <v/>
      </c>
      <c r="H1493" s="8" t="str">
        <f aca="false">IFERROR(INDEX('TRANS'!$C:$C,MATCH($B1493,'TRANS'!$A:$A,0)),IFERROR(INDEX('Catalog'!$B:$B,MATCH($G1493,'Catalog'!$A:$A,0)),$B1493))</f>
        <v>35C XXL</v>
      </c>
      <c r="I1493" s="8" t="str">
        <f aca="false">IF($G1493="","Unmatched","Matched")</f>
        <v>Unmatched</v>
      </c>
    </row>
    <row r="1494" customFormat="false" ht="15" hidden="false" customHeight="false" outlineLevel="0" collapsed="false">
      <c r="A1494" s="8" t="s">
        <v>814</v>
      </c>
      <c r="B1494" s="8" t="s">
        <v>249</v>
      </c>
      <c r="C1494" s="19" t="n">
        <v>7</v>
      </c>
      <c r="D1494" s="19" t="n">
        <v>330.86</v>
      </c>
      <c r="E1494" s="19" t="n">
        <v>8</v>
      </c>
      <c r="F1494" s="19" t="n">
        <v>378.36</v>
      </c>
      <c r="G1494" s="8" t="n">
        <f aca="false">IFERROR(INDEX('TRANS'!$B:$B,MATCH($B1494,'TRANS'!$A:$A,0)),IFERROR(INDEX('TRANS'!$B:$B,MATCH(TRIM(SUBSTITUTE($B1494,CHAR(160)," ")),'TRANS'!$D:$D,0)),IFERROR(INDEX('Catalog'!$A:$A,MATCH($B1494,'Catalog'!$B:$B,0)),IFERROR(INDEX('Catalog'!$A:$A,MATCH(TRIM(SUBSTITUTE($B1494,CHAR(160)," ")),'Catalog'!$C:$C,0)),""))))</f>
        <v>4411015</v>
      </c>
      <c r="H1494" s="8" t="str">
        <f aca="false">IFERROR(INDEX('TRANS'!$C:$C,MATCH($B1494,'TRANS'!$A:$A,0)),IFERROR(INDEX('Catalog'!$B:$B,MATCH($G1494,'Catalog'!$A:$A,0)),$B1494))</f>
        <v>820 0 כרית חום וקור</v>
      </c>
      <c r="I1494" s="8" t="str">
        <f aca="false">IF($G1494="","Unmatched","Matched")</f>
        <v>Matched</v>
      </c>
    </row>
    <row r="1495" customFormat="false" ht="15" hidden="false" customHeight="false" outlineLevel="0" collapsed="false">
      <c r="A1495" s="8" t="s">
        <v>814</v>
      </c>
      <c r="B1495" s="8" t="s">
        <v>265</v>
      </c>
      <c r="C1495" s="19" t="n">
        <v>3</v>
      </c>
      <c r="D1495" s="19" t="n">
        <v>92.67</v>
      </c>
      <c r="E1495" s="19" t="n">
        <v>1</v>
      </c>
      <c r="F1495" s="19" t="n">
        <v>30.89</v>
      </c>
      <c r="G1495" s="8" t="n">
        <f aca="false">IFERROR(INDEX('TRANS'!$B:$B,MATCH($B1495,'TRANS'!$A:$A,0)),IFERROR(INDEX('TRANS'!$B:$B,MATCH(TRIM(SUBSTITUTE($B1495,CHAR(160)," ")),'TRANS'!$D:$D,0)),IFERROR(INDEX('Catalog'!$A:$A,MATCH($B1495,'Catalog'!$B:$B,0)),IFERROR(INDEX('Catalog'!$A:$A,MATCH(TRIM(SUBSTITUTE($B1495,CHAR(160)," ")),'Catalog'!$C:$C,0)),""))))</f>
        <v>4413365</v>
      </c>
      <c r="H1495" s="8" t="str">
        <f aca="false">IFERROR(INDEX('TRANS'!$C:$C,MATCH($B1495,'TRANS'!$A:$A,0)),IFERROR(INDEX('Catalog'!$B:$B,MATCH($G1495,'Catalog'!$A:$A,0)),$B1495))</f>
        <v>95C L 'מגן מרפק בז</v>
      </c>
      <c r="I1495" s="8" t="str">
        <f aca="false">IF($G1495="","Unmatched","Matched")</f>
        <v>Matched</v>
      </c>
    </row>
    <row r="1496" customFormat="false" ht="15" hidden="false" customHeight="false" outlineLevel="0" collapsed="false">
      <c r="A1496" s="8" t="s">
        <v>814</v>
      </c>
      <c r="B1496" s="8" t="s">
        <v>266</v>
      </c>
      <c r="C1496" s="19" t="n">
        <v>3</v>
      </c>
      <c r="D1496" s="19" t="n">
        <v>92.67</v>
      </c>
      <c r="E1496" s="19" t="n">
        <v>1</v>
      </c>
      <c r="F1496" s="19" t="n">
        <v>30.9</v>
      </c>
      <c r="G1496" s="8" t="n">
        <f aca="false">IFERROR(INDEX('TRANS'!$B:$B,MATCH($B1496,'TRANS'!$A:$A,0)),IFERROR(INDEX('TRANS'!$B:$B,MATCH(TRIM(SUBSTITUTE($B1496,CHAR(160)," ")),'TRANS'!$D:$D,0)),IFERROR(INDEX('Catalog'!$A:$A,MATCH($B1496,'Catalog'!$B:$B,0)),IFERROR(INDEX('Catalog'!$A:$A,MATCH(TRIM(SUBSTITUTE($B1496,CHAR(160)," ")),'Catalog'!$C:$C,0)),""))))</f>
        <v>4413364</v>
      </c>
      <c r="H1496" s="8" t="str">
        <f aca="false">IFERROR(INDEX('TRANS'!$C:$C,MATCH($B1496,'TRANS'!$A:$A,0)),IFERROR(INDEX('Catalog'!$B:$B,MATCH($G1496,'Catalog'!$A:$A,0)),$B1496))</f>
        <v>95C M 'מגן מרפק בז</v>
      </c>
      <c r="I1496" s="8" t="str">
        <f aca="false">IF($G1496="","Unmatched","Matched")</f>
        <v>Matched</v>
      </c>
    </row>
    <row r="1497" customFormat="false" ht="15" hidden="false" customHeight="false" outlineLevel="0" collapsed="false">
      <c r="A1497" s="8" t="s">
        <v>814</v>
      </c>
      <c r="B1497" s="8" t="s">
        <v>56</v>
      </c>
      <c r="C1497" s="19" t="n">
        <v>3</v>
      </c>
      <c r="D1497" s="19" t="n">
        <v>300.64</v>
      </c>
      <c r="E1497" s="19" t="n">
        <v>1</v>
      </c>
      <c r="F1497" s="19" t="n">
        <v>103.07</v>
      </c>
      <c r="G1497" s="8" t="n">
        <f aca="false">IFERROR(INDEX('TRANS'!$B:$B,MATCH($B1497,'TRANS'!$A:$A,0)),IFERROR(INDEX('TRANS'!$B:$B,MATCH(TRIM(SUBSTITUTE($B1497,CHAR(160)," ")),'TRANS'!$D:$D,0)),IFERROR(INDEX('Catalog'!$A:$A,MATCH($B1497,'Catalog'!$B:$B,0)),IFERROR(INDEX('Catalog'!$A:$A,MATCH(TRIM(SUBSTITUTE($B1497,CHAR(160)," ")),'Catalog'!$C:$C,0)),""))))</f>
        <v>4413328</v>
      </c>
      <c r="H1497" s="8" t="str">
        <f aca="false">IFERROR(INDEX('TRANS'!$C:$C,MATCH($B1497,'TRANS'!$A:$A,0)),IFERROR(INDEX('Catalog'!$B:$B,MATCH($G1497,'Catalog'!$A:$A,0)),$B1497))</f>
        <v>AC43D מגן ברך + צירים</v>
      </c>
      <c r="I1497" s="8" t="str">
        <f aca="false">IF($G1497="","Unmatched","Matched")</f>
        <v>Matched</v>
      </c>
    </row>
    <row r="1498" customFormat="false" ht="15" hidden="false" customHeight="false" outlineLevel="0" collapsed="false">
      <c r="A1498" s="8" t="s">
        <v>814</v>
      </c>
      <c r="B1498" s="8" t="s">
        <v>704</v>
      </c>
      <c r="C1498" s="19" t="n">
        <v>8</v>
      </c>
      <c r="D1498" s="19" t="n">
        <v>284.57</v>
      </c>
      <c r="E1498" s="19" t="n">
        <v>2</v>
      </c>
      <c r="F1498" s="19" t="n">
        <v>71.15</v>
      </c>
      <c r="G1498" s="8" t="n">
        <f aca="false">IFERROR(INDEX('TRANS'!$B:$B,MATCH($B1498,'TRANS'!$A:$A,0)),IFERROR(INDEX('TRANS'!$B:$B,MATCH(TRIM(SUBSTITUTE($B1498,CHAR(160)," ")),'TRANS'!$D:$D,0)),IFERROR(INDEX('Catalog'!$A:$A,MATCH($B1498,'Catalog'!$B:$B,0)),IFERROR(INDEX('Catalog'!$A:$A,MATCH(TRIM(SUBSTITUTE($B1498,CHAR(160)," ")),'Catalog'!$C:$C,0)),""))))</f>
        <v>4408094</v>
      </c>
      <c r="H1498" s="8" t="str">
        <f aca="false">IFERROR(INDEX('TRANS'!$C:$C,MATCH($B1498,'TRANS'!$A:$A,0)),IFERROR(INDEX('Catalog'!$B:$B,MATCH($G1498,'Catalog'!$A:$A,0)),$B1498))</f>
        <v>T20 S-M חבק יד עם צמדן</v>
      </c>
      <c r="I1498" s="8" t="str">
        <f aca="false">IF($G1498="","Unmatched","Matched")</f>
        <v>Matched</v>
      </c>
    </row>
    <row r="1499" customFormat="false" ht="15" hidden="false" customHeight="false" outlineLevel="0" collapsed="false">
      <c r="A1499" s="8" t="s">
        <v>814</v>
      </c>
      <c r="B1499" s="8" t="s">
        <v>685</v>
      </c>
      <c r="C1499" s="19" t="n">
        <v>0</v>
      </c>
      <c r="D1499" s="19" t="n">
        <v>0</v>
      </c>
      <c r="E1499" s="19" t="n">
        <v>3</v>
      </c>
      <c r="F1499" s="19" t="n">
        <v>351.4</v>
      </c>
      <c r="G1499" s="8" t="n">
        <f aca="false">IFERROR(INDEX('TRANS'!$B:$B,MATCH($B1499,'TRANS'!$A:$A,0)),IFERROR(INDEX('TRANS'!$B:$B,MATCH(TRIM(SUBSTITUTE($B1499,CHAR(160)," ")),'TRANS'!$D:$D,0)),IFERROR(INDEX('Catalog'!$A:$A,MATCH($B1499,'Catalog'!$B:$B,0)),IFERROR(INDEX('Catalog'!$A:$A,MATCH(TRIM(SUBSTITUTE($B1499,CHAR(160)," ")),'Catalog'!$C:$C,0)),""))))</f>
        <v>4408219</v>
      </c>
      <c r="H1499" s="8" t="str">
        <f aca="false">IFERROR(INDEX('TRANS'!$C:$C,MATCH($B1499,'TRANS'!$A:$A,0)),IFERROR(INDEX('Catalog'!$B:$B,MATCH($G1499,'Catalog'!$A:$A,0)),$B1499))</f>
        <v>078G-S חגורת גב אפורה</v>
      </c>
      <c r="I1499" s="8" t="str">
        <f aca="false">IF($G1499="","Unmatched","Matched")</f>
        <v>Matched</v>
      </c>
    </row>
    <row r="1500" customFormat="false" ht="15" hidden="false" customHeight="false" outlineLevel="0" collapsed="false">
      <c r="A1500" s="8" t="s">
        <v>814</v>
      </c>
      <c r="B1500" s="8" t="s">
        <v>337</v>
      </c>
      <c r="C1500" s="19" t="n">
        <v>4</v>
      </c>
      <c r="D1500" s="19" t="n">
        <v>300</v>
      </c>
      <c r="E1500" s="19" t="n">
        <v>0</v>
      </c>
      <c r="F1500" s="19" t="n">
        <v>0</v>
      </c>
      <c r="G1500" s="8" t="n">
        <f aca="false">IFERROR(INDEX('TRANS'!$B:$B,MATCH($B1500,'TRANS'!$A:$A,0)),IFERROR(INDEX('TRANS'!$B:$B,MATCH(TRIM(SUBSTITUTE($B1500,CHAR(160)," ")),'TRANS'!$D:$D,0)),IFERROR(INDEX('Catalog'!$A:$A,MATCH($B1500,'Catalog'!$B:$B,0)),IFERROR(INDEX('Catalog'!$A:$A,MATCH(TRIM(SUBSTITUTE($B1500,CHAR(160)," ")),'Catalog'!$C:$C,0)),""))))</f>
        <v>4408223</v>
      </c>
      <c r="H1500" s="8" t="str">
        <f aca="false">IFERROR(INDEX('TRANS'!$C:$C,MATCH($B1500,'TRANS'!$A:$A,0)),IFERROR(INDEX('Catalog'!$B:$B,MATCH($G1500,'Catalog'!$A:$A,0)),$B1500))</f>
        <v>078G-XXLחגורת גב אפורה</v>
      </c>
      <c r="I1500" s="8" t="str">
        <f aca="false">IF($G1500="","Unmatched","Matched")</f>
        <v>Matched</v>
      </c>
    </row>
    <row r="1501" customFormat="false" ht="15" hidden="false" customHeight="false" outlineLevel="0" collapsed="false">
      <c r="A1501" s="8" t="s">
        <v>814</v>
      </c>
      <c r="B1501" s="8" t="s">
        <v>652</v>
      </c>
      <c r="C1501" s="19" t="n">
        <v>6</v>
      </c>
      <c r="D1501" s="19" t="n">
        <v>692.38</v>
      </c>
      <c r="E1501" s="19" t="n">
        <v>0</v>
      </c>
      <c r="F1501" s="19" t="n">
        <v>0</v>
      </c>
      <c r="G1501" s="8" t="str">
        <f aca="false">IFERROR(INDEX('TRANS'!$B:$B,MATCH($B1501,'TRANS'!$A:$A,0)),IFERROR(INDEX('TRANS'!$B:$B,MATCH(TRIM(SUBSTITUTE($B1501,CHAR(160)," ")),'TRANS'!$D:$D,0)),IFERROR(INDEX('Catalog'!$A:$A,MATCH($B1501,'Catalog'!$B:$B,0)),IFERROR(INDEX('Catalog'!$A:$A,MATCH(TRIM(SUBSTITUTE($B1501,CHAR(160)," ")),'Catalog'!$C:$C,0)),""))))</f>
        <v/>
      </c>
      <c r="H1501" s="8" t="str">
        <f aca="false">IFERROR(INDEX('TRANS'!$C:$C,MATCH($B1501,'TRANS'!$A:$A,0)),IFERROR(INDEX('Catalog'!$B:$B,MATCH($G1501,'Catalog'!$A:$A,0)),$B1501))</f>
        <v>422EBU L</v>
      </c>
      <c r="I1501" s="8" t="str">
        <f aca="false">IF($G1501="","Unmatched","Matched")</f>
        <v>Unmatched</v>
      </c>
    </row>
    <row r="1502" customFormat="false" ht="15" hidden="false" customHeight="false" outlineLevel="0" collapsed="false">
      <c r="A1502" s="8" t="s">
        <v>814</v>
      </c>
      <c r="B1502" s="8" t="s">
        <v>653</v>
      </c>
      <c r="C1502" s="19" t="n">
        <v>5</v>
      </c>
      <c r="D1502" s="19" t="n">
        <v>450</v>
      </c>
      <c r="E1502" s="19" t="n">
        <v>0</v>
      </c>
      <c r="F1502" s="19" t="n">
        <v>0</v>
      </c>
      <c r="G1502" s="8" t="str">
        <f aca="false">IFERROR(INDEX('TRANS'!$B:$B,MATCH($B1502,'TRANS'!$A:$A,0)),IFERROR(INDEX('TRANS'!$B:$B,MATCH(TRIM(SUBSTITUTE($B1502,CHAR(160)," ")),'TRANS'!$D:$D,0)),IFERROR(INDEX('Catalog'!$A:$A,MATCH($B1502,'Catalog'!$B:$B,0)),IFERROR(INDEX('Catalog'!$A:$A,MATCH(TRIM(SUBSTITUTE($B1502,CHAR(160)," ")),'Catalog'!$C:$C,0)),""))))</f>
        <v/>
      </c>
      <c r="H1502" s="8" t="str">
        <f aca="false">IFERROR(INDEX('TRANS'!$C:$C,MATCH($B1502,'TRANS'!$A:$A,0)),IFERROR(INDEX('Catalog'!$B:$B,MATCH($G1502,'Catalog'!$A:$A,0)),$B1502))</f>
        <v>422EBU M</v>
      </c>
      <c r="I1502" s="8" t="str">
        <f aca="false">IF($G1502="","Unmatched","Matched")</f>
        <v>Unmatched</v>
      </c>
    </row>
    <row r="1503" customFormat="false" ht="15" hidden="false" customHeight="false" outlineLevel="0" collapsed="false">
      <c r="A1503" s="8" t="s">
        <v>814</v>
      </c>
      <c r="B1503" s="8" t="s">
        <v>778</v>
      </c>
      <c r="C1503" s="19" t="n">
        <v>6</v>
      </c>
      <c r="D1503" s="19" t="n">
        <v>618.7</v>
      </c>
      <c r="E1503" s="19" t="n">
        <v>0</v>
      </c>
      <c r="F1503" s="19" t="n">
        <v>0</v>
      </c>
      <c r="G1503" s="8" t="str">
        <f aca="false">IFERROR(INDEX('TRANS'!$B:$B,MATCH($B1503,'TRANS'!$A:$A,0)),IFERROR(INDEX('TRANS'!$B:$B,MATCH(TRIM(SUBSTITUTE($B1503,CHAR(160)," ")),'TRANS'!$D:$D,0)),IFERROR(INDEX('Catalog'!$A:$A,MATCH($B1503,'Catalog'!$B:$B,0)),IFERROR(INDEX('Catalog'!$A:$A,MATCH(TRIM(SUBSTITUTE($B1503,CHAR(160)," ")),'Catalog'!$C:$C,0)),""))))</f>
        <v/>
      </c>
      <c r="H1503" s="8" t="str">
        <f aca="false">IFERROR(INDEX('TRANS'!$C:$C,MATCH($B1503,'TRANS'!$A:$A,0)),IFERROR(INDEX('Catalog'!$B:$B,MATCH($G1503,'Catalog'!$A:$A,0)),$B1503))</f>
        <v>422EBU XL</v>
      </c>
      <c r="I1503" s="8" t="str">
        <f aca="false">IF($G1503="","Unmatched","Matched")</f>
        <v>Unmatched</v>
      </c>
    </row>
    <row r="1504" customFormat="false" ht="15" hidden="false" customHeight="false" outlineLevel="0" collapsed="false">
      <c r="A1504" s="8" t="s">
        <v>814</v>
      </c>
      <c r="B1504" s="8" t="s">
        <v>66</v>
      </c>
      <c r="C1504" s="19" t="n">
        <v>2</v>
      </c>
      <c r="D1504" s="19" t="n">
        <v>140</v>
      </c>
      <c r="E1504" s="19" t="n">
        <v>2</v>
      </c>
      <c r="F1504" s="19" t="n">
        <v>140.11</v>
      </c>
      <c r="G1504" s="8" t="str">
        <f aca="false">IFERROR(INDEX('TRANS'!$B:$B,MATCH($B1504,'TRANS'!$A:$A,0)),IFERROR(INDEX('TRANS'!$B:$B,MATCH(TRIM(SUBSTITUTE($B1504,CHAR(160)," ")),'TRANS'!$D:$D,0)),IFERROR(INDEX('Catalog'!$A:$A,MATCH($B1504,'Catalog'!$B:$B,0)),IFERROR(INDEX('Catalog'!$A:$A,MATCH(TRIM(SUBSTITUTE($B1504,CHAR(160)," ")),'Catalog'!$C:$C,0)),""))))</f>
        <v/>
      </c>
      <c r="H1504" s="8" t="str">
        <f aca="false">IFERROR(INDEX('TRANS'!$C:$C,MATCH($B1504,'TRANS'!$A:$A,0)),IFERROR(INDEX('Catalog'!$B:$B,MATCH($G1504,'Catalog'!$A:$A,0)),$B1504))</f>
        <v>099-L-XL</v>
      </c>
      <c r="I1504" s="8" t="str">
        <f aca="false">IF($G1504="","Unmatched","Matched")</f>
        <v>Unmatched</v>
      </c>
    </row>
    <row r="1505" customFormat="false" ht="15" hidden="false" customHeight="false" outlineLevel="0" collapsed="false">
      <c r="A1505" s="8" t="s">
        <v>814</v>
      </c>
      <c r="B1505" s="8" t="s">
        <v>67</v>
      </c>
      <c r="C1505" s="19" t="n">
        <v>2</v>
      </c>
      <c r="D1505" s="19" t="n">
        <v>140</v>
      </c>
      <c r="E1505" s="19" t="n">
        <v>2</v>
      </c>
      <c r="F1505" s="19" t="n">
        <v>139.99</v>
      </c>
      <c r="G1505" s="8" t="str">
        <f aca="false">IFERROR(INDEX('TRANS'!$B:$B,MATCH($B1505,'TRANS'!$A:$A,0)),IFERROR(INDEX('TRANS'!$B:$B,MATCH(TRIM(SUBSTITUTE($B1505,CHAR(160)," ")),'TRANS'!$D:$D,0)),IFERROR(INDEX('Catalog'!$A:$A,MATCH($B1505,'Catalog'!$B:$B,0)),IFERROR(INDEX('Catalog'!$A:$A,MATCH(TRIM(SUBSTITUTE($B1505,CHAR(160)," ")),'Catalog'!$C:$C,0)),""))))</f>
        <v/>
      </c>
      <c r="H1505" s="8" t="str">
        <f aca="false">IFERROR(INDEX('TRANS'!$C:$C,MATCH($B1505,'TRANS'!$A:$A,0)),IFERROR(INDEX('Catalog'!$B:$B,MATCH($G1505,'Catalog'!$A:$A,0)),$B1505))</f>
        <v>099-S-M</v>
      </c>
      <c r="I1505" s="8" t="str">
        <f aca="false">IF($G1505="","Unmatched","Matched")</f>
        <v>Unmatched</v>
      </c>
    </row>
    <row r="1506" customFormat="false" ht="15" hidden="false" customHeight="false" outlineLevel="0" collapsed="false">
      <c r="A1506" s="8" t="s">
        <v>814</v>
      </c>
      <c r="B1506" s="8" t="s">
        <v>82</v>
      </c>
      <c r="C1506" s="19" t="n">
        <v>1</v>
      </c>
      <c r="D1506" s="19" t="n">
        <v>165</v>
      </c>
      <c r="E1506" s="19" t="n">
        <v>0</v>
      </c>
      <c r="F1506" s="19" t="n">
        <v>0</v>
      </c>
      <c r="G1506" s="8" t="n">
        <f aca="false">IFERROR(INDEX('TRANS'!$B:$B,MATCH($B1506,'TRANS'!$A:$A,0)),IFERROR(INDEX('TRANS'!$B:$B,MATCH(TRIM(SUBSTITUTE($B1506,CHAR(160)," ")),'TRANS'!$D:$D,0)),IFERROR(INDEX('Catalog'!$A:$A,MATCH($B1506,'Catalog'!$B:$B,0)),IFERROR(INDEX('Catalog'!$A:$A,MATCH(TRIM(SUBSTITUTE($B1506,CHAR(160)," ")),'Catalog'!$C:$C,0)),""))))</f>
        <v>4408203</v>
      </c>
      <c r="H1506" s="8" t="str">
        <f aca="false">IFERROR(INDEX('TRANS'!$C:$C,MATCH($B1506,'TRANS'!$A:$A,0)),IFERROR(INDEX('Catalog'!$B:$B,MATCH($G1506,'Catalog'!$A:$A,0)),$B1506))</f>
        <v>14 0 חגורה למנותחי בית חזה</v>
      </c>
      <c r="I1506" s="8" t="str">
        <f aca="false">IF($G1506="","Unmatched","Matched")</f>
        <v>Matched</v>
      </c>
    </row>
    <row r="1507" customFormat="false" ht="15" hidden="false" customHeight="false" outlineLevel="0" collapsed="false">
      <c r="A1507" s="8" t="s">
        <v>814</v>
      </c>
      <c r="B1507" s="8" t="s">
        <v>83</v>
      </c>
      <c r="C1507" s="19" t="n">
        <v>1</v>
      </c>
      <c r="D1507" s="19" t="n">
        <v>85</v>
      </c>
      <c r="E1507" s="19" t="n">
        <v>0</v>
      </c>
      <c r="F1507" s="19" t="n">
        <v>0</v>
      </c>
      <c r="G1507" s="8" t="str">
        <f aca="false">IFERROR(INDEX('TRANS'!$B:$B,MATCH($B1507,'TRANS'!$A:$A,0)),IFERROR(INDEX('TRANS'!$B:$B,MATCH(TRIM(SUBSTITUTE($B1507,CHAR(160)," ")),'TRANS'!$D:$D,0)),IFERROR(INDEX('Catalog'!$A:$A,MATCH($B1507,'Catalog'!$B:$B,0)),IFERROR(INDEX('Catalog'!$A:$A,MATCH(TRIM(SUBSTITUTE($B1507,CHAR(160)," ")),'Catalog'!$C:$C,0)),""))))</f>
        <v/>
      </c>
      <c r="H1507" s="8" t="str">
        <f aca="false">IFERROR(INDEX('TRANS'!$C:$C,MATCH($B1507,'TRANS'!$A:$A,0)),IFERROR(INDEX('Catalog'!$B:$B,MATCH($G1507,'Catalog'!$A:$A,0)),$B1507))</f>
        <v>15M L</v>
      </c>
      <c r="I1507" s="8" t="str">
        <f aca="false">IF($G1507="","Unmatched","Matched")</f>
        <v>Unmatched</v>
      </c>
    </row>
    <row r="1508" customFormat="false" ht="15" hidden="false" customHeight="false" outlineLevel="0" collapsed="false">
      <c r="A1508" s="8" t="s">
        <v>814</v>
      </c>
      <c r="B1508" s="8" t="s">
        <v>742</v>
      </c>
      <c r="C1508" s="19" t="n">
        <v>1</v>
      </c>
      <c r="D1508" s="19" t="n">
        <v>85</v>
      </c>
      <c r="E1508" s="19" t="n">
        <v>0</v>
      </c>
      <c r="F1508" s="19" t="n">
        <v>0</v>
      </c>
      <c r="G1508" s="8" t="str">
        <f aca="false">IFERROR(INDEX('TRANS'!$B:$B,MATCH($B1508,'TRANS'!$A:$A,0)),IFERROR(INDEX('TRANS'!$B:$B,MATCH(TRIM(SUBSTITUTE($B1508,CHAR(160)," ")),'TRANS'!$D:$D,0)),IFERROR(INDEX('Catalog'!$A:$A,MATCH($B1508,'Catalog'!$B:$B,0)),IFERROR(INDEX('Catalog'!$A:$A,MATCH(TRIM(SUBSTITUTE($B1508,CHAR(160)," ")),'Catalog'!$C:$C,0)),""))))</f>
        <v/>
      </c>
      <c r="H1508" s="8" t="str">
        <f aca="false">IFERROR(INDEX('TRANS'!$C:$C,MATCH($B1508,'TRANS'!$A:$A,0)),IFERROR(INDEX('Catalog'!$B:$B,MATCH($G1508,'Catalog'!$A:$A,0)),$B1508))</f>
        <v>15M XL</v>
      </c>
      <c r="I1508" s="8" t="str">
        <f aca="false">IF($G1508="","Unmatched","Matched")</f>
        <v>Unmatched</v>
      </c>
    </row>
    <row r="1509" customFormat="false" ht="15" hidden="false" customHeight="false" outlineLevel="0" collapsed="false">
      <c r="A1509" s="8" t="s">
        <v>814</v>
      </c>
      <c r="B1509" s="8" t="s">
        <v>705</v>
      </c>
      <c r="C1509" s="19" t="n">
        <v>0</v>
      </c>
      <c r="D1509" s="19" t="n">
        <v>0</v>
      </c>
      <c r="E1509" s="19" t="n">
        <v>1</v>
      </c>
      <c r="F1509" s="19" t="n">
        <v>33.23</v>
      </c>
      <c r="G1509" s="8" t="str">
        <f aca="false">IFERROR(INDEX('TRANS'!$B:$B,MATCH($B1509,'TRANS'!$A:$A,0)),IFERROR(INDEX('TRANS'!$B:$B,MATCH(TRIM(SUBSTITUTE($B1509,CHAR(160)," ")),'TRANS'!$D:$D,0)),IFERROR(INDEX('Catalog'!$A:$A,MATCH($B1509,'Catalog'!$B:$B,0)),IFERROR(INDEX('Catalog'!$A:$A,MATCH(TRIM(SUBSTITUTE($B1509,CHAR(160)," ")),'Catalog'!$C:$C,0)),""))))</f>
        <v/>
      </c>
      <c r="H1509" s="8" t="str">
        <f aca="false">IFERROR(INDEX('TRANS'!$C:$C,MATCH($B1509,'TRANS'!$A:$A,0)),IFERROR(INDEX('Catalog'!$B:$B,MATCH($G1509,'Catalog'!$A:$A,0)),$B1509))</f>
        <v>20 XS</v>
      </c>
      <c r="I1509" s="8" t="str">
        <f aca="false">IF($G1509="","Unmatched","Matched")</f>
        <v>Unmatched</v>
      </c>
    </row>
    <row r="1510" customFormat="false" ht="15" hidden="false" customHeight="false" outlineLevel="0" collapsed="false">
      <c r="A1510" s="8" t="s">
        <v>814</v>
      </c>
      <c r="B1510" s="8" t="s">
        <v>350</v>
      </c>
      <c r="C1510" s="19" t="n">
        <v>1</v>
      </c>
      <c r="D1510" s="19" t="n">
        <v>39.8</v>
      </c>
      <c r="E1510" s="19" t="n">
        <v>0</v>
      </c>
      <c r="F1510" s="19" t="n">
        <v>0</v>
      </c>
      <c r="G1510" s="8" t="n">
        <f aca="false">IFERROR(INDEX('TRANS'!$B:$B,MATCH($B1510,'TRANS'!$A:$A,0)),IFERROR(INDEX('TRANS'!$B:$B,MATCH(TRIM(SUBSTITUTE($B1510,CHAR(160)," ")),'TRANS'!$D:$D,0)),IFERROR(INDEX('Catalog'!$A:$A,MATCH($B1510,'Catalog'!$B:$B,0)),IFERROR(INDEX('Catalog'!$A:$A,MATCH(TRIM(SUBSTITUTE($B1510,CHAR(160)," ")),'Catalog'!$C:$C,0)),""))))</f>
        <v>4413399</v>
      </c>
      <c r="H1510" s="8" t="str">
        <f aca="false">IFERROR(INDEX('TRANS'!$C:$C,MATCH($B1510,'TRANS'!$A:$A,0)),IFERROR(INDEX('Catalog'!$B:$B,MATCH($G1510,'Catalog'!$A:$A,0)),$B1510))</f>
        <v>21 XS מגן יד</v>
      </c>
      <c r="I1510" s="8" t="str">
        <f aca="false">IF($G1510="","Unmatched","Matched")</f>
        <v>Matched</v>
      </c>
    </row>
    <row r="1511" customFormat="false" ht="15" hidden="false" customHeight="false" outlineLevel="0" collapsed="false">
      <c r="A1511" s="8" t="s">
        <v>814</v>
      </c>
      <c r="B1511" s="8" t="s">
        <v>464</v>
      </c>
      <c r="C1511" s="19" t="n">
        <v>1</v>
      </c>
      <c r="D1511" s="19" t="n">
        <v>39.79</v>
      </c>
      <c r="E1511" s="19" t="n">
        <v>1</v>
      </c>
      <c r="F1511" s="19" t="n">
        <v>39.79</v>
      </c>
      <c r="G1511" s="8" t="str">
        <f aca="false">IFERROR(INDEX('TRANS'!$B:$B,MATCH($B1511,'TRANS'!$A:$A,0)),IFERROR(INDEX('TRANS'!$B:$B,MATCH(TRIM(SUBSTITUTE($B1511,CHAR(160)," ")),'TRANS'!$D:$D,0)),IFERROR(INDEX('Catalog'!$A:$A,MATCH($B1511,'Catalog'!$B:$B,0)),IFERROR(INDEX('Catalog'!$A:$A,MATCH(TRIM(SUBSTITUTE($B1511,CHAR(160)," ")),'Catalog'!$C:$C,0)),""))))</f>
        <v/>
      </c>
      <c r="H1511" s="8" t="str">
        <f aca="false">IFERROR(INDEX('TRANS'!$C:$C,MATCH($B1511,'TRANS'!$A:$A,0)),IFERROR(INDEX('Catalog'!$B:$B,MATCH($G1511,'Catalog'!$A:$A,0)),$B1511))</f>
        <v>21 XXL</v>
      </c>
      <c r="I1511" s="8" t="str">
        <f aca="false">IF($G1511="","Unmatched","Matched")</f>
        <v>Unmatched</v>
      </c>
    </row>
    <row r="1512" customFormat="false" ht="15" hidden="false" customHeight="false" outlineLevel="0" collapsed="false">
      <c r="A1512" s="8" t="s">
        <v>814</v>
      </c>
      <c r="B1512" s="8" t="s">
        <v>625</v>
      </c>
      <c r="C1512" s="19" t="n">
        <v>1</v>
      </c>
      <c r="D1512" s="19" t="n">
        <v>70.26</v>
      </c>
      <c r="E1512" s="19" t="n">
        <v>0</v>
      </c>
      <c r="F1512" s="19" t="n">
        <v>0</v>
      </c>
      <c r="G1512" s="8" t="n">
        <f aca="false">IFERROR(INDEX('TRANS'!$B:$B,MATCH($B1512,'TRANS'!$A:$A,0)),IFERROR(INDEX('TRANS'!$B:$B,MATCH(TRIM(SUBSTITUTE($B1512,CHAR(160)," ")),'TRANS'!$D:$D,0)),IFERROR(INDEX('Catalog'!$A:$A,MATCH($B1512,'Catalog'!$B:$B,0)),IFERROR(INDEX('Catalog'!$A:$A,MATCH(TRIM(SUBSTITUTE($B1512,CHAR(160)," ")),'Catalog'!$C:$C,0)),""))))</f>
        <v>4413159</v>
      </c>
      <c r="H1512" s="8" t="str">
        <f aca="false">IFERROR(INDEX('TRANS'!$C:$C,MATCH($B1512,'TRANS'!$A:$A,0)),IFERROR(INDEX('Catalog'!$B:$B,MATCH($G1512,'Catalog'!$A:$A,0)),$B1512))</f>
        <v>34+ S מגן קרסול עקב סגור+רצוע</v>
      </c>
      <c r="I1512" s="8" t="str">
        <f aca="false">IF($G1512="","Unmatched","Matched")</f>
        <v>Matched</v>
      </c>
    </row>
    <row r="1513" customFormat="false" ht="15" hidden="false" customHeight="false" outlineLevel="0" collapsed="false">
      <c r="A1513" s="8" t="s">
        <v>814</v>
      </c>
      <c r="B1513" s="8" t="s">
        <v>772</v>
      </c>
      <c r="C1513" s="19" t="n">
        <v>1</v>
      </c>
      <c r="D1513" s="19" t="n">
        <v>70.26</v>
      </c>
      <c r="E1513" s="19" t="n">
        <v>0</v>
      </c>
      <c r="F1513" s="19" t="n">
        <v>0</v>
      </c>
      <c r="G1513" s="8" t="str">
        <f aca="false">IFERROR(INDEX('TRANS'!$B:$B,MATCH($B1513,'TRANS'!$A:$A,0)),IFERROR(INDEX('TRANS'!$B:$B,MATCH(TRIM(SUBSTITUTE($B1513,CHAR(160)," ")),'TRANS'!$D:$D,0)),IFERROR(INDEX('Catalog'!$A:$A,MATCH($B1513,'Catalog'!$B:$B,0)),IFERROR(INDEX('Catalog'!$A:$A,MATCH(TRIM(SUBSTITUTE($B1513,CHAR(160)," ")),'Catalog'!$C:$C,0)),""))))</f>
        <v/>
      </c>
      <c r="H1513" s="8" t="str">
        <f aca="false">IFERROR(INDEX('TRANS'!$C:$C,MATCH($B1513,'TRANS'!$A:$A,0)),IFERROR(INDEX('Catalog'!$B:$B,MATCH($G1513,'Catalog'!$A:$A,0)),$B1513))</f>
        <v>34+ XS</v>
      </c>
      <c r="I1513" s="8" t="str">
        <f aca="false">IF($G1513="","Unmatched","Matched")</f>
        <v>Unmatched</v>
      </c>
    </row>
    <row r="1514" customFormat="false" ht="15" hidden="false" customHeight="false" outlineLevel="0" collapsed="false">
      <c r="A1514" s="8" t="s">
        <v>814</v>
      </c>
      <c r="B1514" s="8" t="s">
        <v>139</v>
      </c>
      <c r="C1514" s="19" t="n">
        <v>1</v>
      </c>
      <c r="D1514" s="19" t="n">
        <v>30.89</v>
      </c>
      <c r="E1514" s="19" t="n">
        <v>0</v>
      </c>
      <c r="F1514" s="19" t="n">
        <v>0</v>
      </c>
      <c r="G1514" s="8" t="n">
        <f aca="false">IFERROR(INDEX('TRANS'!$B:$B,MATCH($B1514,'TRANS'!$A:$A,0)),IFERROR(INDEX('TRANS'!$B:$B,MATCH(TRIM(SUBSTITUTE($B1514,CHAR(160)," ")),'TRANS'!$D:$D,0)),IFERROR(INDEX('Catalog'!$A:$A,MATCH($B1514,'Catalog'!$B:$B,0)),IFERROR(INDEX('Catalog'!$A:$A,MATCH(TRIM(SUBSTITUTE($B1514,CHAR(160)," ")),'Catalog'!$C:$C,0)),""))))</f>
        <v>4413494</v>
      </c>
      <c r="H1514" s="8" t="str">
        <f aca="false">IFERROR(INDEX('TRANS'!$C:$C,MATCH($B1514,'TRANS'!$A:$A,0)),IFERROR(INDEX('Catalog'!$B:$B,MATCH($G1514,'Catalog'!$A:$A,0)),$B1514))</f>
        <v>35B XXL מגן קרסול שחור</v>
      </c>
      <c r="I1514" s="8" t="str">
        <f aca="false">IF($G1514="","Unmatched","Matched")</f>
        <v>Matched</v>
      </c>
    </row>
    <row r="1515" customFormat="false" ht="15" hidden="false" customHeight="false" outlineLevel="0" collapsed="false">
      <c r="A1515" s="8" t="s">
        <v>814</v>
      </c>
      <c r="B1515" s="8" t="s">
        <v>159</v>
      </c>
      <c r="C1515" s="19" t="n">
        <v>0</v>
      </c>
      <c r="D1515" s="19" t="n">
        <v>0</v>
      </c>
      <c r="E1515" s="19" t="n">
        <v>2</v>
      </c>
      <c r="F1515" s="19" t="n">
        <v>33.64</v>
      </c>
      <c r="G1515" s="8" t="n">
        <f aca="false">IFERROR(INDEX('TRANS'!$B:$B,MATCH($B1515,'TRANS'!$A:$A,0)),IFERROR(INDEX('TRANS'!$B:$B,MATCH(TRIM(SUBSTITUTE($B1515,CHAR(160)," ")),'TRANS'!$D:$D,0)),IFERROR(INDEX('Catalog'!$A:$A,MATCH($B1515,'Catalog'!$B:$B,0)),IFERROR(INDEX('Catalog'!$A:$A,MATCH(TRIM(SUBSTITUTE($B1515,CHAR(160)," ")),'Catalog'!$C:$C,0)),""))))</f>
        <v>4413063</v>
      </c>
      <c r="H1515" s="8" t="str">
        <f aca="false">IFERROR(INDEX('TRANS'!$C:$C,MATCH($B1515,'TRANS'!$A:$A,0)),IFERROR(INDEX('Catalog'!$B:$B,MATCH($G1515,'Catalog'!$A:$A,0)),$B1515))</f>
        <v>366S-'מדבק.לשחרור לחץ מיבלת2יח</v>
      </c>
      <c r="I1515" s="8" t="str">
        <f aca="false">IF($G1515="","Unmatched","Matched")</f>
        <v>Matched</v>
      </c>
    </row>
    <row r="1516" customFormat="false" ht="15" hidden="false" customHeight="false" outlineLevel="0" collapsed="false">
      <c r="A1516" s="8" t="s">
        <v>814</v>
      </c>
      <c r="B1516" s="8" t="s">
        <v>836</v>
      </c>
      <c r="C1516" s="19" t="n">
        <v>3</v>
      </c>
      <c r="D1516" s="19" t="n">
        <v>285</v>
      </c>
      <c r="E1516" s="19" t="n">
        <v>0</v>
      </c>
      <c r="F1516" s="19" t="n">
        <v>0</v>
      </c>
      <c r="G1516" s="8" t="str">
        <f aca="false">IFERROR(INDEX('TRANS'!$B:$B,MATCH($B1516,'TRANS'!$A:$A,0)),IFERROR(INDEX('TRANS'!$B:$B,MATCH(TRIM(SUBSTITUTE($B1516,CHAR(160)," ")),'TRANS'!$D:$D,0)),IFERROR(INDEX('Catalog'!$A:$A,MATCH($B1516,'Catalog'!$B:$B,0)),IFERROR(INDEX('Catalog'!$A:$A,MATCH(TRIM(SUBSTITUTE($B1516,CHAR(160)," ")),'Catalog'!$C:$C,0)),""))))</f>
        <v/>
      </c>
      <c r="H1516" s="8" t="str">
        <f aca="false">IFERROR(INDEX('TRANS'!$C:$C,MATCH($B1516,'TRANS'!$A:$A,0)),IFERROR(INDEX('Catalog'!$B:$B,MATCH($G1516,'Catalog'!$A:$A,0)),$B1516))</f>
        <v>422EBU S</v>
      </c>
      <c r="I1516" s="8" t="str">
        <f aca="false">IF($G1516="","Unmatched","Matched")</f>
        <v>Unmatched</v>
      </c>
    </row>
    <row r="1517" customFormat="false" ht="15" hidden="false" customHeight="false" outlineLevel="0" collapsed="false">
      <c r="A1517" s="8" t="s">
        <v>814</v>
      </c>
      <c r="B1517" s="8" t="s">
        <v>654</v>
      </c>
      <c r="C1517" s="19" t="n">
        <v>2</v>
      </c>
      <c r="D1517" s="19" t="n">
        <v>190</v>
      </c>
      <c r="E1517" s="19" t="n">
        <v>0</v>
      </c>
      <c r="F1517" s="19" t="n">
        <v>0</v>
      </c>
      <c r="G1517" s="8" t="str">
        <f aca="false">IFERROR(INDEX('TRANS'!$B:$B,MATCH($B1517,'TRANS'!$A:$A,0)),IFERROR(INDEX('TRANS'!$B:$B,MATCH(TRIM(SUBSTITUTE($B1517,CHAR(160)," ")),'TRANS'!$D:$D,0)),IFERROR(INDEX('Catalog'!$A:$A,MATCH($B1517,'Catalog'!$B:$B,0)),IFERROR(INDEX('Catalog'!$A:$A,MATCH(TRIM(SUBSTITUTE($B1517,CHAR(160)," ")),'Catalog'!$C:$C,0)),""))))</f>
        <v/>
      </c>
      <c r="H1517" s="8" t="str">
        <f aca="false">IFERROR(INDEX('TRANS'!$C:$C,MATCH($B1517,'TRANS'!$A:$A,0)),IFERROR(INDEX('Catalog'!$B:$B,MATCH($G1517,'Catalog'!$A:$A,0)),$B1517))</f>
        <v>422EBU XXL</v>
      </c>
      <c r="I1517" s="8" t="str">
        <f aca="false">IF($G1517="","Unmatched","Matched")</f>
        <v>Unmatched</v>
      </c>
    </row>
    <row r="1518" customFormat="false" ht="15" hidden="false" customHeight="false" outlineLevel="0" collapsed="false">
      <c r="A1518" s="8" t="s">
        <v>814</v>
      </c>
      <c r="B1518" s="8" t="s">
        <v>381</v>
      </c>
      <c r="C1518" s="19" t="n">
        <v>2</v>
      </c>
      <c r="D1518" s="19" t="n">
        <v>38</v>
      </c>
      <c r="E1518" s="19" t="n">
        <v>1</v>
      </c>
      <c r="F1518" s="19" t="n">
        <v>30.89</v>
      </c>
      <c r="G1518" s="8" t="n">
        <f aca="false">IFERROR(INDEX('TRANS'!$B:$B,MATCH($B1518,'TRANS'!$A:$A,0)),IFERROR(INDEX('TRANS'!$B:$B,MATCH(TRIM(SUBSTITUTE($B1518,CHAR(160)," ")),'TRANS'!$D:$D,0)),IFERROR(INDEX('Catalog'!$A:$A,MATCH($B1518,'Catalog'!$B:$B,0)),IFERROR(INDEX('Catalog'!$A:$A,MATCH(TRIM(SUBSTITUTE($B1518,CHAR(160)," ")),'Catalog'!$C:$C,0)),""))))</f>
        <v>4413499</v>
      </c>
      <c r="H1518" s="8" t="str">
        <f aca="false">IFERROR(INDEX('TRANS'!$C:$C,MATCH($B1518,'TRANS'!$A:$A,0)),IFERROR(INDEX('Catalog'!$B:$B,MATCH($G1518,'Catalog'!$A:$A,0)),$B1518))</f>
        <v>45B XXLמגן ברך שחור</v>
      </c>
      <c r="I1518" s="8" t="str">
        <f aca="false">IF($G1518="","Unmatched","Matched")</f>
        <v>Matched</v>
      </c>
    </row>
    <row r="1519" customFormat="false" ht="15" hidden="false" customHeight="false" outlineLevel="0" collapsed="false">
      <c r="A1519" s="8" t="s">
        <v>814</v>
      </c>
      <c r="B1519" s="8" t="s">
        <v>388</v>
      </c>
      <c r="C1519" s="19" t="n">
        <v>2</v>
      </c>
      <c r="D1519" s="19" t="n">
        <v>68.15</v>
      </c>
      <c r="E1519" s="19" t="n">
        <v>0</v>
      </c>
      <c r="F1519" s="19" t="n">
        <v>0</v>
      </c>
      <c r="G1519" s="8" t="n">
        <f aca="false">IFERROR(INDEX('TRANS'!$B:$B,MATCH($B1519,'TRANS'!$A:$A,0)),IFERROR(INDEX('TRANS'!$B:$B,MATCH(TRIM(SUBSTITUTE($B1519,CHAR(160)," ")),'TRANS'!$D:$D,0)),IFERROR(INDEX('Catalog'!$A:$A,MATCH($B1519,'Catalog'!$B:$B,0)),IFERROR(INDEX('Catalog'!$A:$A,MATCH(TRIM(SUBSTITUTE($B1519,CHAR(160)," ")),'Catalog'!$C:$C,0)),""))))</f>
        <v>4413112</v>
      </c>
      <c r="H1519" s="8" t="str">
        <f aca="false">IFERROR(INDEX('TRANS'!$C:$C,MATCH($B1519,'TRANS'!$A:$A,0)),IFERROR(INDEX('Catalog'!$B:$B,MATCH($G1519,'Catalog'!$A:$A,0)),$B1519))</f>
        <v>49  L מגן ירך</v>
      </c>
      <c r="I1519" s="8" t="str">
        <f aca="false">IF($G1519="","Unmatched","Matched")</f>
        <v>Matched</v>
      </c>
    </row>
    <row r="1520" customFormat="false" ht="15" hidden="false" customHeight="false" outlineLevel="0" collapsed="false">
      <c r="A1520" s="8" t="s">
        <v>814</v>
      </c>
      <c r="B1520" s="8" t="s">
        <v>389</v>
      </c>
      <c r="C1520" s="19" t="n">
        <v>2</v>
      </c>
      <c r="D1520" s="19" t="n">
        <v>68.15</v>
      </c>
      <c r="E1520" s="19" t="n">
        <v>1</v>
      </c>
      <c r="F1520" s="19" t="n">
        <v>35.11</v>
      </c>
      <c r="G1520" s="8" t="n">
        <f aca="false">IFERROR(INDEX('TRANS'!$B:$B,MATCH($B1520,'TRANS'!$A:$A,0)),IFERROR(INDEX('TRANS'!$B:$B,MATCH(TRIM(SUBSTITUTE($B1520,CHAR(160)," ")),'TRANS'!$D:$D,0)),IFERROR(INDEX('Catalog'!$A:$A,MATCH($B1520,'Catalog'!$B:$B,0)),IFERROR(INDEX('Catalog'!$A:$A,MATCH(TRIM(SUBSTITUTE($B1520,CHAR(160)," ")),'Catalog'!$C:$C,0)),""))))</f>
        <v>4413113</v>
      </c>
      <c r="H1520" s="8" t="str">
        <f aca="false">IFERROR(INDEX('TRANS'!$C:$C,MATCH($B1520,'TRANS'!$A:$A,0)),IFERROR(INDEX('Catalog'!$B:$B,MATCH($G1520,'Catalog'!$A:$A,0)),$B1520))</f>
        <v>49  M מגן ירך</v>
      </c>
      <c r="I1520" s="8" t="str">
        <f aca="false">IF($G1520="","Unmatched","Matched")</f>
        <v>Matched</v>
      </c>
    </row>
    <row r="1521" customFormat="false" ht="15" hidden="false" customHeight="false" outlineLevel="0" collapsed="false">
      <c r="A1521" s="8" t="s">
        <v>814</v>
      </c>
      <c r="B1521" s="8" t="s">
        <v>391</v>
      </c>
      <c r="C1521" s="19" t="n">
        <v>2</v>
      </c>
      <c r="D1521" s="19" t="n">
        <v>68.15</v>
      </c>
      <c r="E1521" s="19" t="n">
        <v>0</v>
      </c>
      <c r="F1521" s="19" t="n">
        <v>0</v>
      </c>
      <c r="G1521" s="8" t="n">
        <f aca="false">IFERROR(INDEX('TRANS'!$B:$B,MATCH($B1521,'TRANS'!$A:$A,0)),IFERROR(INDEX('TRANS'!$B:$B,MATCH(TRIM(SUBSTITUTE($B1521,CHAR(160)," ")),'TRANS'!$D:$D,0)),IFERROR(INDEX('Catalog'!$A:$A,MATCH($B1521,'Catalog'!$B:$B,0)),IFERROR(INDEX('Catalog'!$A:$A,MATCH(TRIM(SUBSTITUTE($B1521,CHAR(160)," ")),'Catalog'!$C:$C,0)),""))))</f>
        <v>4413114</v>
      </c>
      <c r="H1521" s="8" t="str">
        <f aca="false">IFERROR(INDEX('TRANS'!$C:$C,MATCH($B1521,'TRANS'!$A:$A,0)),IFERROR(INDEX('Catalog'!$B:$B,MATCH($G1521,'Catalog'!$A:$A,0)),$B1521))</f>
        <v>49 XL מגן ירך</v>
      </c>
      <c r="I1521" s="8" t="str">
        <f aca="false">IF($G1521="","Unmatched","Matched")</f>
        <v>Matched</v>
      </c>
    </row>
    <row r="1522" customFormat="false" ht="15" hidden="false" customHeight="false" outlineLevel="0" collapsed="false">
      <c r="A1522" s="8" t="s">
        <v>814</v>
      </c>
      <c r="B1522" s="8" t="s">
        <v>597</v>
      </c>
      <c r="C1522" s="19" t="n">
        <v>0</v>
      </c>
      <c r="D1522" s="19" t="n">
        <v>0</v>
      </c>
      <c r="E1522" s="19" t="n">
        <v>1</v>
      </c>
      <c r="F1522" s="19" t="n">
        <v>35.11</v>
      </c>
      <c r="G1522" s="8" t="n">
        <f aca="false">IFERROR(INDEX('TRANS'!$B:$B,MATCH($B1522,'TRANS'!$A:$A,0)),IFERROR(INDEX('TRANS'!$B:$B,MATCH(TRIM(SUBSTITUTE($B1522,CHAR(160)," ")),'TRANS'!$D:$D,0)),IFERROR(INDEX('Catalog'!$A:$A,MATCH($B1522,'Catalog'!$B:$B,0)),IFERROR(INDEX('Catalog'!$A:$A,MATCH(TRIM(SUBSTITUTE($B1522,CHAR(160)," ")),'Catalog'!$C:$C,0)),""))))</f>
        <v>4413115</v>
      </c>
      <c r="H1522" s="8" t="str">
        <f aca="false">IFERROR(INDEX('TRANS'!$C:$C,MATCH($B1522,'TRANS'!$A:$A,0)),IFERROR(INDEX('Catalog'!$B:$B,MATCH($G1522,'Catalog'!$A:$A,0)),$B1522))</f>
        <v>49 XXL מגן ירך</v>
      </c>
      <c r="I1522" s="8" t="str">
        <f aca="false">IF($G1522="","Unmatched","Matched")</f>
        <v>Matched</v>
      </c>
    </row>
    <row r="1523" customFormat="false" ht="15" hidden="false" customHeight="false" outlineLevel="0" collapsed="false">
      <c r="A1523" s="8" t="s">
        <v>814</v>
      </c>
      <c r="B1523" s="8" t="s">
        <v>577</v>
      </c>
      <c r="C1523" s="19" t="n">
        <v>1</v>
      </c>
      <c r="D1523" s="19" t="n">
        <v>49.63</v>
      </c>
      <c r="E1523" s="19" t="n">
        <v>2</v>
      </c>
      <c r="F1523" s="19" t="n">
        <v>99.27</v>
      </c>
      <c r="G1523" s="8" t="n">
        <f aca="false">IFERROR(INDEX('TRANS'!$B:$B,MATCH($B1523,'TRANS'!$A:$A,0)),IFERROR(INDEX('TRANS'!$B:$B,MATCH(TRIM(SUBSTITUTE($B1523,CHAR(160)," ")),'TRANS'!$D:$D,0)),IFERROR(INDEX('Catalog'!$A:$A,MATCH($B1523,'Catalog'!$B:$B,0)),IFERROR(INDEX('Catalog'!$A:$A,MATCH(TRIM(SUBSTITUTE($B1523,CHAR(160)," ")),'Catalog'!$C:$C,0)),""))))</f>
        <v>4418000</v>
      </c>
      <c r="H1523" s="8" t="str">
        <f aca="false">IFERROR(INDEX('TRANS'!$C:$C,MATCH($B1523,'TRANS'!$A:$A,0)),IFERROR(INDEX('Catalog'!$B:$B,MATCH($G1523,'Catalog'!$A:$A,0)),$B1523))</f>
        <v>60 L צוארון ספוגי</v>
      </c>
      <c r="I1523" s="8" t="str">
        <f aca="false">IF($G1523="","Unmatched","Matched")</f>
        <v>Matched</v>
      </c>
    </row>
    <row r="1524" customFormat="false" ht="15" hidden="false" customHeight="false" outlineLevel="0" collapsed="false">
      <c r="A1524" s="8" t="s">
        <v>814</v>
      </c>
      <c r="B1524" s="8" t="s">
        <v>228</v>
      </c>
      <c r="C1524" s="19" t="n">
        <v>2</v>
      </c>
      <c r="D1524" s="19" t="n">
        <v>99.27</v>
      </c>
      <c r="E1524" s="19" t="n">
        <v>3</v>
      </c>
      <c r="F1524" s="19" t="n">
        <v>148.9</v>
      </c>
      <c r="G1524" s="8" t="n">
        <f aca="false">IFERROR(INDEX('TRANS'!$B:$B,MATCH($B1524,'TRANS'!$A:$A,0)),IFERROR(INDEX('TRANS'!$B:$B,MATCH(TRIM(SUBSTITUTE($B1524,CHAR(160)," ")),'TRANS'!$D:$D,0)),IFERROR(INDEX('Catalog'!$A:$A,MATCH($B1524,'Catalog'!$B:$B,0)),IFERROR(INDEX('Catalog'!$A:$A,MATCH(TRIM(SUBSTITUTE($B1524,CHAR(160)," ")),'Catalog'!$C:$C,0)),""))))</f>
        <v>4418001</v>
      </c>
      <c r="H1524" s="8" t="str">
        <f aca="false">IFERROR(INDEX('TRANS'!$C:$C,MATCH($B1524,'TRANS'!$A:$A,0)),IFERROR(INDEX('Catalog'!$B:$B,MATCH($G1524,'Catalog'!$A:$A,0)),$B1524))</f>
        <v>60 M צוארון ספוגי</v>
      </c>
      <c r="I1524" s="8" t="str">
        <f aca="false">IF($G1524="","Unmatched","Matched")</f>
        <v>Matched</v>
      </c>
    </row>
    <row r="1525" customFormat="false" ht="15" hidden="false" customHeight="false" outlineLevel="0" collapsed="false">
      <c r="A1525" s="8" t="s">
        <v>814</v>
      </c>
      <c r="B1525" s="8" t="s">
        <v>229</v>
      </c>
      <c r="C1525" s="19" t="n">
        <v>1</v>
      </c>
      <c r="D1525" s="19" t="n">
        <v>49.63</v>
      </c>
      <c r="E1525" s="19" t="n">
        <v>1</v>
      </c>
      <c r="F1525" s="19" t="n">
        <v>49.63</v>
      </c>
      <c r="G1525" s="8" t="n">
        <f aca="false">IFERROR(INDEX('TRANS'!$B:$B,MATCH($B1525,'TRANS'!$A:$A,0)),IFERROR(INDEX('TRANS'!$B:$B,MATCH(TRIM(SUBSTITUTE($B1525,CHAR(160)," ")),'TRANS'!$D:$D,0)),IFERROR(INDEX('Catalog'!$A:$A,MATCH($B1525,'Catalog'!$B:$B,0)),IFERROR(INDEX('Catalog'!$A:$A,MATCH(TRIM(SUBSTITUTE($B1525,CHAR(160)," ")),'Catalog'!$C:$C,0)),""))))</f>
        <v>4418002</v>
      </c>
      <c r="H1525" s="8" t="str">
        <f aca="false">IFERROR(INDEX('TRANS'!$C:$C,MATCH($B1525,'TRANS'!$A:$A,0)),IFERROR(INDEX('Catalog'!$B:$B,MATCH($G1525,'Catalog'!$A:$A,0)),$B1525))</f>
        <v>60 S צוארון ספוגי</v>
      </c>
      <c r="I1525" s="8" t="str">
        <f aca="false">IF($G1525="","Unmatched","Matched")</f>
        <v>Matched</v>
      </c>
    </row>
    <row r="1526" customFormat="false" ht="15" hidden="false" customHeight="false" outlineLevel="0" collapsed="false">
      <c r="A1526" s="8" t="s">
        <v>814</v>
      </c>
      <c r="B1526" s="8" t="s">
        <v>400</v>
      </c>
      <c r="C1526" s="19" t="n">
        <v>1</v>
      </c>
      <c r="D1526" s="19" t="n">
        <v>49.63</v>
      </c>
      <c r="E1526" s="19" t="n">
        <v>0</v>
      </c>
      <c r="F1526" s="19" t="n">
        <v>0</v>
      </c>
      <c r="G1526" s="8" t="n">
        <f aca="false">IFERROR(INDEX('TRANS'!$B:$B,MATCH($B1526,'TRANS'!$A:$A,0)),IFERROR(INDEX('TRANS'!$B:$B,MATCH(TRIM(SUBSTITUTE($B1526,CHAR(160)," ")),'TRANS'!$D:$D,0)),IFERROR(INDEX('Catalog'!$A:$A,MATCH($B1526,'Catalog'!$B:$B,0)),IFERROR(INDEX('Catalog'!$A:$A,MATCH(TRIM(SUBSTITUTE($B1526,CHAR(160)," ")),'Catalog'!$C:$C,0)),""))))</f>
        <v>4418003</v>
      </c>
      <c r="H1526" s="8" t="str">
        <f aca="false">IFERROR(INDEX('TRANS'!$C:$C,MATCH($B1526,'TRANS'!$A:$A,0)),IFERROR(INDEX('Catalog'!$B:$B,MATCH($G1526,'Catalog'!$A:$A,0)),$B1526))</f>
        <v>60 XL צוארון ספוגי</v>
      </c>
      <c r="I1526" s="8" t="str">
        <f aca="false">IF($G1526="","Unmatched","Matched")</f>
        <v>Matched</v>
      </c>
    </row>
    <row r="1527" customFormat="false" ht="15" hidden="false" customHeight="false" outlineLevel="0" collapsed="false">
      <c r="A1527" s="8" t="s">
        <v>814</v>
      </c>
      <c r="B1527" s="8" t="s">
        <v>781</v>
      </c>
      <c r="C1527" s="19" t="n">
        <v>0</v>
      </c>
      <c r="D1527" s="19" t="n">
        <v>0</v>
      </c>
      <c r="E1527" s="19" t="n">
        <v>1</v>
      </c>
      <c r="F1527" s="19" t="n">
        <v>49.63</v>
      </c>
      <c r="G1527" s="8" t="str">
        <f aca="false">IFERROR(INDEX('TRANS'!$B:$B,MATCH($B1527,'TRANS'!$A:$A,0)),IFERROR(INDEX('TRANS'!$B:$B,MATCH(TRIM(SUBSTITUTE($B1527,CHAR(160)," ")),'TRANS'!$D:$D,0)),IFERROR(INDEX('Catalog'!$A:$A,MATCH($B1527,'Catalog'!$B:$B,0)),IFERROR(INDEX('Catalog'!$A:$A,MATCH(TRIM(SUBSTITUTE($B1527,CHAR(160)," ")),'Catalog'!$C:$C,0)),""))))</f>
        <v/>
      </c>
      <c r="H1527" s="8" t="str">
        <f aca="false">IFERROR(INDEX('TRANS'!$C:$C,MATCH($B1527,'TRANS'!$A:$A,0)),IFERROR(INDEX('Catalog'!$B:$B,MATCH($G1527,'Catalog'!$A:$A,0)),$B1527))</f>
        <v>60 XS</v>
      </c>
      <c r="I1527" s="8" t="str">
        <f aca="false">IF($G1527="","Unmatched","Matched")</f>
        <v>Unmatched</v>
      </c>
    </row>
    <row r="1528" customFormat="false" ht="15" hidden="false" customHeight="false" outlineLevel="0" collapsed="false">
      <c r="A1528" s="8" t="s">
        <v>814</v>
      </c>
      <c r="B1528" s="8" t="s">
        <v>700</v>
      </c>
      <c r="C1528" s="19" t="n">
        <v>1</v>
      </c>
      <c r="D1528" s="19" t="n">
        <v>49.63</v>
      </c>
      <c r="E1528" s="19" t="n">
        <v>0</v>
      </c>
      <c r="F1528" s="19" t="n">
        <v>0</v>
      </c>
      <c r="G1528" s="8" t="str">
        <f aca="false">IFERROR(INDEX('TRANS'!$B:$B,MATCH($B1528,'TRANS'!$A:$A,0)),IFERROR(INDEX('TRANS'!$B:$B,MATCH(TRIM(SUBSTITUTE($B1528,CHAR(160)," ")),'TRANS'!$D:$D,0)),IFERROR(INDEX('Catalog'!$A:$A,MATCH($B1528,'Catalog'!$B:$B,0)),IFERROR(INDEX('Catalog'!$A:$A,MATCH(TRIM(SUBSTITUTE($B1528,CHAR(160)," ")),'Catalog'!$C:$C,0)),""))))</f>
        <v/>
      </c>
      <c r="H1528" s="8" t="str">
        <f aca="false">IFERROR(INDEX('TRANS'!$C:$C,MATCH($B1528,'TRANS'!$A:$A,0)),IFERROR(INDEX('Catalog'!$B:$B,MATCH($G1528,'Catalog'!$A:$A,0)),$B1528))</f>
        <v>60 XXL</v>
      </c>
      <c r="I1528" s="8" t="str">
        <f aca="false">IF($G1528="","Unmatched","Matched")</f>
        <v>Unmatched</v>
      </c>
    </row>
    <row r="1529" customFormat="false" ht="15" hidden="false" customHeight="false" outlineLevel="0" collapsed="false">
      <c r="A1529" s="8" t="s">
        <v>814</v>
      </c>
      <c r="B1529" s="8" t="s">
        <v>662</v>
      </c>
      <c r="C1529" s="19" t="n">
        <v>1</v>
      </c>
      <c r="D1529" s="19" t="n">
        <v>136</v>
      </c>
      <c r="E1529" s="19" t="n">
        <v>1</v>
      </c>
      <c r="F1529" s="19" t="n">
        <v>160</v>
      </c>
      <c r="G1529" s="8" t="n">
        <f aca="false">IFERROR(INDEX('TRANS'!$B:$B,MATCH($B1529,'TRANS'!$A:$A,0)),IFERROR(INDEX('TRANS'!$B:$B,MATCH(TRIM(SUBSTITUTE($B1529,CHAR(160)," ")),'TRANS'!$D:$D,0)),IFERROR(INDEX('Catalog'!$A:$A,MATCH($B1529,'Catalog'!$B:$B,0)),IFERROR(INDEX('Catalog'!$A:$A,MATCH(TRIM(SUBSTITUTE($B1529,CHAR(160)," ")),'Catalog'!$C:$C,0)),""))))</f>
        <v>4413133</v>
      </c>
      <c r="H1529" s="8" t="str">
        <f aca="false">IFERROR(INDEX('TRANS'!$C:$C,MATCH($B1529,'TRANS'!$A:$A,0)),IFERROR(INDEX('Catalog'!$B:$B,MATCH($G1529,'Catalog'!$A:$A,0)),$B1529))</f>
        <v>76 Mמיישר כתף יציב,יישור רחב</v>
      </c>
      <c r="I1529" s="8" t="str">
        <f aca="false">IF($G1529="","Unmatched","Matched")</f>
        <v>Matched</v>
      </c>
    </row>
    <row r="1530" customFormat="false" ht="15" hidden="false" customHeight="false" outlineLevel="0" collapsed="false">
      <c r="A1530" s="8" t="s">
        <v>814</v>
      </c>
      <c r="B1530" s="8" t="s">
        <v>404</v>
      </c>
      <c r="C1530" s="19" t="n">
        <v>0</v>
      </c>
      <c r="D1530" s="19" t="n">
        <v>0</v>
      </c>
      <c r="E1530" s="19" t="n">
        <v>1</v>
      </c>
      <c r="F1530" s="19" t="n">
        <v>160</v>
      </c>
      <c r="G1530" s="8" t="n">
        <f aca="false">IFERROR(INDEX('TRANS'!$B:$B,MATCH($B1530,'TRANS'!$A:$A,0)),IFERROR(INDEX('TRANS'!$B:$B,MATCH(TRIM(SUBSTITUTE($B1530,CHAR(160)," ")),'TRANS'!$D:$D,0)),IFERROR(INDEX('Catalog'!$A:$A,MATCH($B1530,'Catalog'!$B:$B,0)),IFERROR(INDEX('Catalog'!$A:$A,MATCH(TRIM(SUBSTITUTE($B1530,CHAR(160)," ")),'Catalog'!$C:$C,0)),""))))</f>
        <v>4413131</v>
      </c>
      <c r="H1530" s="8" t="str">
        <f aca="false">IFERROR(INDEX('TRANS'!$C:$C,MATCH($B1530,'TRANS'!$A:$A,0)),IFERROR(INDEX('Catalog'!$B:$B,MATCH($G1530,'Catalog'!$A:$A,0)),$B1530))</f>
        <v>76 Sמיישר כתף יציב יישור ג.רחב</v>
      </c>
      <c r="I1530" s="8" t="str">
        <f aca="false">IF($G1530="","Unmatched","Matched")</f>
        <v>Matched</v>
      </c>
    </row>
    <row r="1531" customFormat="false" ht="15" hidden="false" customHeight="false" outlineLevel="0" collapsed="false">
      <c r="A1531" s="8" t="s">
        <v>814</v>
      </c>
      <c r="B1531" s="8" t="s">
        <v>421</v>
      </c>
      <c r="C1531" s="19" t="n">
        <v>0</v>
      </c>
      <c r="D1531" s="19" t="n">
        <v>0</v>
      </c>
      <c r="E1531" s="19" t="n">
        <v>1</v>
      </c>
      <c r="F1531" s="19" t="n">
        <v>140</v>
      </c>
      <c r="G1531" s="8" t="n">
        <f aca="false">IFERROR(INDEX('TRANS'!$B:$B,MATCH($B1531,'TRANS'!$A:$A,0)),IFERROR(INDEX('TRANS'!$B:$B,MATCH(TRIM(SUBSTITUTE($B1531,CHAR(160)," ")),'TRANS'!$D:$D,0)),IFERROR(INDEX('Catalog'!$A:$A,MATCH($B1531,'Catalog'!$B:$B,0)),IFERROR(INDEX('Catalog'!$A:$A,MATCH(TRIM(SUBSTITUTE($B1531,CHAR(160)," ")),'Catalog'!$C:$C,0)),""))))</f>
        <v>4413197</v>
      </c>
      <c r="H1531" s="8" t="str">
        <f aca="false">IFERROR(INDEX('TRANS'!$C:$C,MATCH($B1531,'TRANS'!$A:$A,0)),IFERROR(INDEX('Catalog'!$B:$B,MATCH($G1531,'Catalog'!$A:$A,0)),$B1531))</f>
        <v>87 L מקבע כתף ויד</v>
      </c>
      <c r="I1531" s="8" t="str">
        <f aca="false">IF($G1531="","Unmatched","Matched")</f>
        <v>Matched</v>
      </c>
    </row>
    <row r="1532" customFormat="false" ht="15" hidden="false" customHeight="false" outlineLevel="0" collapsed="false">
      <c r="A1532" s="8" t="s">
        <v>814</v>
      </c>
      <c r="B1532" s="8" t="s">
        <v>422</v>
      </c>
      <c r="C1532" s="19" t="n">
        <v>0</v>
      </c>
      <c r="D1532" s="19" t="n">
        <v>0</v>
      </c>
      <c r="E1532" s="19" t="n">
        <v>1</v>
      </c>
      <c r="F1532" s="19" t="n">
        <v>140</v>
      </c>
      <c r="G1532" s="8" t="n">
        <f aca="false">IFERROR(INDEX('TRANS'!$B:$B,MATCH($B1532,'TRANS'!$A:$A,0)),IFERROR(INDEX('TRANS'!$B:$B,MATCH(TRIM(SUBSTITUTE($B1532,CHAR(160)," ")),'TRANS'!$D:$D,0)),IFERROR(INDEX('Catalog'!$A:$A,MATCH($B1532,'Catalog'!$B:$B,0)),IFERROR(INDEX('Catalog'!$A:$A,MATCH(TRIM(SUBSTITUTE($B1532,CHAR(160)," ")),'Catalog'!$C:$C,0)),""))))</f>
        <v>4413196</v>
      </c>
      <c r="H1532" s="8" t="str">
        <f aca="false">IFERROR(INDEX('TRANS'!$C:$C,MATCH($B1532,'TRANS'!$A:$A,0)),IFERROR(INDEX('Catalog'!$B:$B,MATCH($G1532,'Catalog'!$A:$A,0)),$B1532))</f>
        <v>87 M מקבע כתף ויד</v>
      </c>
      <c r="I1532" s="8" t="str">
        <f aca="false">IF($G1532="","Unmatched","Matched")</f>
        <v>Matched</v>
      </c>
    </row>
    <row r="1533" customFormat="false" ht="15" hidden="false" customHeight="false" outlineLevel="0" collapsed="false">
      <c r="A1533" s="8" t="s">
        <v>814</v>
      </c>
      <c r="B1533" s="8" t="s">
        <v>578</v>
      </c>
      <c r="C1533" s="19" t="n">
        <v>0</v>
      </c>
      <c r="D1533" s="19" t="n">
        <v>0</v>
      </c>
      <c r="E1533" s="19" t="n">
        <v>1</v>
      </c>
      <c r="F1533" s="19" t="n">
        <v>140</v>
      </c>
      <c r="G1533" s="8" t="n">
        <f aca="false">IFERROR(INDEX('TRANS'!$B:$B,MATCH($B1533,'TRANS'!$A:$A,0)),IFERROR(INDEX('TRANS'!$B:$B,MATCH(TRIM(SUBSTITUTE($B1533,CHAR(160)," ")),'TRANS'!$D:$D,0)),IFERROR(INDEX('Catalog'!$A:$A,MATCH($B1533,'Catalog'!$B:$B,0)),IFERROR(INDEX('Catalog'!$A:$A,MATCH(TRIM(SUBSTITUTE($B1533,CHAR(160)," ")),'Catalog'!$C:$C,0)),""))))</f>
        <v>4413195</v>
      </c>
      <c r="H1533" s="8" t="str">
        <f aca="false">IFERROR(INDEX('TRANS'!$C:$C,MATCH($B1533,'TRANS'!$A:$A,0)),IFERROR(INDEX('Catalog'!$B:$B,MATCH($G1533,'Catalog'!$A:$A,0)),$B1533))</f>
        <v>87 S מקבע כתף ויד</v>
      </c>
      <c r="I1533" s="8" t="str">
        <f aca="false">IF($G1533="","Unmatched","Matched")</f>
        <v>Matched</v>
      </c>
    </row>
    <row r="1534" customFormat="false" ht="15" hidden="false" customHeight="false" outlineLevel="0" collapsed="false">
      <c r="A1534" s="8" t="s">
        <v>814</v>
      </c>
      <c r="B1534" s="8" t="s">
        <v>423</v>
      </c>
      <c r="C1534" s="19" t="n">
        <v>0</v>
      </c>
      <c r="D1534" s="19" t="n">
        <v>0</v>
      </c>
      <c r="E1534" s="19" t="n">
        <v>1</v>
      </c>
      <c r="F1534" s="19" t="n">
        <v>140</v>
      </c>
      <c r="G1534" s="8" t="n">
        <f aca="false">IFERROR(INDEX('TRANS'!$B:$B,MATCH($B1534,'TRANS'!$A:$A,0)),IFERROR(INDEX('TRANS'!$B:$B,MATCH(TRIM(SUBSTITUTE($B1534,CHAR(160)," ")),'TRANS'!$D:$D,0)),IFERROR(INDEX('Catalog'!$A:$A,MATCH($B1534,'Catalog'!$B:$B,0)),IFERROR(INDEX('Catalog'!$A:$A,MATCH(TRIM(SUBSTITUTE($B1534,CHAR(160)," ")),'Catalog'!$C:$C,0)),""))))</f>
        <v>4413198</v>
      </c>
      <c r="H1534" s="8" t="str">
        <f aca="false">IFERROR(INDEX('TRANS'!$C:$C,MATCH($B1534,'TRANS'!$A:$A,0)),IFERROR(INDEX('Catalog'!$B:$B,MATCH($G1534,'Catalog'!$A:$A,0)),$B1534))</f>
        <v>87 XL מקבע כתף ויד</v>
      </c>
      <c r="I1534" s="8" t="str">
        <f aca="false">IF($G1534="","Unmatched","Matched")</f>
        <v>Matched</v>
      </c>
    </row>
    <row r="1535" customFormat="false" ht="15" hidden="false" customHeight="false" outlineLevel="0" collapsed="false">
      <c r="A1535" s="8" t="s">
        <v>814</v>
      </c>
      <c r="B1535" s="8" t="s">
        <v>837</v>
      </c>
      <c r="C1535" s="19" t="n">
        <v>0</v>
      </c>
      <c r="D1535" s="19" t="n">
        <v>0</v>
      </c>
      <c r="E1535" s="19" t="n">
        <v>1</v>
      </c>
      <c r="F1535" s="19" t="n">
        <v>140</v>
      </c>
      <c r="G1535" s="8" t="str">
        <f aca="false">IFERROR(INDEX('TRANS'!$B:$B,MATCH($B1535,'TRANS'!$A:$A,0)),IFERROR(INDEX('TRANS'!$B:$B,MATCH(TRIM(SUBSTITUTE($B1535,CHAR(160)," ")),'TRANS'!$D:$D,0)),IFERROR(INDEX('Catalog'!$A:$A,MATCH($B1535,'Catalog'!$B:$B,0)),IFERROR(INDEX('Catalog'!$A:$A,MATCH(TRIM(SUBSTITUTE($B1535,CHAR(160)," ")),'Catalog'!$C:$C,0)),""))))</f>
        <v/>
      </c>
      <c r="H1535" s="8" t="str">
        <f aca="false">IFERROR(INDEX('TRANS'!$C:$C,MATCH($B1535,'TRANS'!$A:$A,0)),IFERROR(INDEX('Catalog'!$B:$B,MATCH($G1535,'Catalog'!$A:$A,0)),$B1535))</f>
        <v>87 XS</v>
      </c>
      <c r="I1535" s="8" t="str">
        <f aca="false">IF($G1535="","Unmatched","Matched")</f>
        <v>Unmatched</v>
      </c>
    </row>
    <row r="1536" customFormat="false" ht="15" hidden="false" customHeight="false" outlineLevel="0" collapsed="false">
      <c r="A1536" s="8" t="s">
        <v>814</v>
      </c>
      <c r="B1536" s="8" t="s">
        <v>586</v>
      </c>
      <c r="C1536" s="19" t="n">
        <v>0</v>
      </c>
      <c r="D1536" s="19" t="n">
        <v>0</v>
      </c>
      <c r="E1536" s="19" t="n">
        <v>1</v>
      </c>
      <c r="F1536" s="19" t="n">
        <v>140</v>
      </c>
      <c r="G1536" s="8" t="n">
        <f aca="false">IFERROR(INDEX('TRANS'!$B:$B,MATCH($B1536,'TRANS'!$A:$A,0)),IFERROR(INDEX('TRANS'!$B:$B,MATCH(TRIM(SUBSTITUTE($B1536,CHAR(160)," ")),'TRANS'!$D:$D,0)),IFERROR(INDEX('Catalog'!$A:$A,MATCH($B1536,'Catalog'!$B:$B,0)),IFERROR(INDEX('Catalog'!$A:$A,MATCH(TRIM(SUBSTITUTE($B1536,CHAR(160)," ")),'Catalog'!$C:$C,0)),""))))</f>
        <v>4413204</v>
      </c>
      <c r="H1536" s="8" t="str">
        <f aca="false">IFERROR(INDEX('TRANS'!$C:$C,MATCH($B1536,'TRANS'!$A:$A,0)),IFERROR(INDEX('Catalog'!$B:$B,MATCH($G1536,'Catalog'!$A:$A,0)),$B1536))</f>
        <v>87 XXL מקבע כתף ויד</v>
      </c>
      <c r="I1536" s="8" t="str">
        <f aca="false">IF($G1536="","Unmatched","Matched")</f>
        <v>Matched</v>
      </c>
    </row>
    <row r="1537" customFormat="false" ht="15" hidden="false" customHeight="false" outlineLevel="0" collapsed="false">
      <c r="A1537" s="8" t="s">
        <v>814</v>
      </c>
      <c r="B1537" s="8" t="s">
        <v>667</v>
      </c>
      <c r="C1537" s="19" t="n">
        <v>1</v>
      </c>
      <c r="D1537" s="19" t="n">
        <v>90</v>
      </c>
      <c r="E1537" s="19" t="n">
        <v>0</v>
      </c>
      <c r="F1537" s="19" t="n">
        <v>0</v>
      </c>
      <c r="G1537" s="8" t="str">
        <f aca="false">IFERROR(INDEX('TRANS'!$B:$B,MATCH($B1537,'TRANS'!$A:$A,0)),IFERROR(INDEX('TRANS'!$B:$B,MATCH(TRIM(SUBSTITUTE($B1537,CHAR(160)," ")),'TRANS'!$D:$D,0)),IFERROR(INDEX('Catalog'!$A:$A,MATCH($B1537,'Catalog'!$B:$B,0)),IFERROR(INDEX('Catalog'!$A:$A,MATCH(TRIM(SUBSTITUTE($B1537,CHAR(160)," ")),'Catalog'!$C:$C,0)),""))))</f>
        <v/>
      </c>
      <c r="H1537" s="8" t="str">
        <f aca="false">IFERROR(INDEX('TRANS'!$C:$C,MATCH($B1537,'TRANS'!$A:$A,0)),IFERROR(INDEX('Catalog'!$B:$B,MATCH($G1537,'Catalog'!$A:$A,0)),$B1537))</f>
        <v>922 XXL</v>
      </c>
      <c r="I1537" s="8" t="str">
        <f aca="false">IF($G1537="","Unmatched","Matched")</f>
        <v>Unmatched</v>
      </c>
    </row>
    <row r="1538" customFormat="false" ht="15" hidden="false" customHeight="false" outlineLevel="0" collapsed="false">
      <c r="A1538" s="8" t="s">
        <v>814</v>
      </c>
      <c r="B1538" s="8" t="s">
        <v>838</v>
      </c>
      <c r="C1538" s="19" t="n">
        <v>2</v>
      </c>
      <c r="D1538" s="19" t="n">
        <v>201.97</v>
      </c>
      <c r="E1538" s="19" t="n">
        <v>0</v>
      </c>
      <c r="F1538" s="19" t="n">
        <v>0</v>
      </c>
      <c r="G1538" s="8" t="str">
        <f aca="false">IFERROR(INDEX('TRANS'!$B:$B,MATCH($B1538,'TRANS'!$A:$A,0)),IFERROR(INDEX('TRANS'!$B:$B,MATCH(TRIM(SUBSTITUTE($B1538,CHAR(160)," ")),'TRANS'!$D:$D,0)),IFERROR(INDEX('Catalog'!$A:$A,MATCH($B1538,'Catalog'!$B:$B,0)),IFERROR(INDEX('Catalog'!$A:$A,MATCH(TRIM(SUBSTITUTE($B1538,CHAR(160)," ")),'Catalog'!$C:$C,0)),""))))</f>
        <v/>
      </c>
      <c r="H1538" s="8" t="str">
        <f aca="false">IFERROR(INDEX('TRANS'!$C:$C,MATCH($B1538,'TRANS'!$A:$A,0)),IFERROR(INDEX('Catalog'!$B:$B,MATCH($G1538,'Catalog'!$A:$A,0)),$B1538))</f>
        <v>922B L</v>
      </c>
      <c r="I1538" s="8" t="str">
        <f aca="false">IF($G1538="","Unmatched","Matched")</f>
        <v>Unmatched</v>
      </c>
    </row>
    <row r="1539" customFormat="false" ht="15" hidden="false" customHeight="false" outlineLevel="0" collapsed="false">
      <c r="A1539" s="8" t="s">
        <v>814</v>
      </c>
      <c r="B1539" s="8" t="s">
        <v>813</v>
      </c>
      <c r="C1539" s="19" t="n">
        <v>1</v>
      </c>
      <c r="D1539" s="19" t="n">
        <v>60</v>
      </c>
      <c r="E1539" s="19" t="n">
        <v>0</v>
      </c>
      <c r="F1539" s="19" t="n">
        <v>0</v>
      </c>
      <c r="G1539" s="8" t="str">
        <f aca="false">IFERROR(INDEX('TRANS'!$B:$B,MATCH($B1539,'TRANS'!$A:$A,0)),IFERROR(INDEX('TRANS'!$B:$B,MATCH(TRIM(SUBSTITUTE($B1539,CHAR(160)," ")),'TRANS'!$D:$D,0)),IFERROR(INDEX('Catalog'!$A:$A,MATCH($B1539,'Catalog'!$B:$B,0)),IFERROR(INDEX('Catalog'!$A:$A,MATCH(TRIM(SUBSTITUTE($B1539,CHAR(160)," ")),'Catalog'!$C:$C,0)),""))))</f>
        <v/>
      </c>
      <c r="H1539" s="8" t="str">
        <f aca="false">IFERROR(INDEX('TRANS'!$C:$C,MATCH($B1539,'TRANS'!$A:$A,0)),IFERROR(INDEX('Catalog'!$B:$B,MATCH($G1539,'Catalog'!$A:$A,0)),$B1539))</f>
        <v>922B M</v>
      </c>
      <c r="I1539" s="8" t="str">
        <f aca="false">IF($G1539="","Unmatched","Matched")</f>
        <v>Unmatched</v>
      </c>
    </row>
    <row r="1540" customFormat="false" ht="15" hidden="false" customHeight="false" outlineLevel="0" collapsed="false">
      <c r="A1540" s="8" t="s">
        <v>814</v>
      </c>
      <c r="B1540" s="8" t="s">
        <v>732</v>
      </c>
      <c r="C1540" s="19" t="n">
        <v>2</v>
      </c>
      <c r="D1540" s="19" t="n">
        <v>201.97</v>
      </c>
      <c r="E1540" s="19" t="n">
        <v>1</v>
      </c>
      <c r="F1540" s="19" t="n">
        <v>90</v>
      </c>
      <c r="G1540" s="8" t="str">
        <f aca="false">IFERROR(INDEX('TRANS'!$B:$B,MATCH($B1540,'TRANS'!$A:$A,0)),IFERROR(INDEX('TRANS'!$B:$B,MATCH(TRIM(SUBSTITUTE($B1540,CHAR(160)," ")),'TRANS'!$D:$D,0)),IFERROR(INDEX('Catalog'!$A:$A,MATCH($B1540,'Catalog'!$B:$B,0)),IFERROR(INDEX('Catalog'!$A:$A,MATCH(TRIM(SUBSTITUTE($B1540,CHAR(160)," ")),'Catalog'!$C:$C,0)),""))))</f>
        <v/>
      </c>
      <c r="H1540" s="8" t="str">
        <f aca="false">IFERROR(INDEX('TRANS'!$C:$C,MATCH($B1540,'TRANS'!$A:$A,0)),IFERROR(INDEX('Catalog'!$B:$B,MATCH($G1540,'Catalog'!$A:$A,0)),$B1540))</f>
        <v>922B XL</v>
      </c>
      <c r="I1540" s="8" t="str">
        <f aca="false">IF($G1540="","Unmatched","Matched")</f>
        <v>Unmatched</v>
      </c>
    </row>
    <row r="1541" customFormat="false" ht="15" hidden="false" customHeight="false" outlineLevel="0" collapsed="false">
      <c r="A1541" s="8" t="s">
        <v>814</v>
      </c>
      <c r="B1541" s="8" t="s">
        <v>839</v>
      </c>
      <c r="C1541" s="19" t="n">
        <v>1</v>
      </c>
      <c r="D1541" s="19" t="n">
        <v>30.89</v>
      </c>
      <c r="E1541" s="19" t="n">
        <v>0</v>
      </c>
      <c r="F1541" s="19" t="n">
        <v>0</v>
      </c>
      <c r="G1541" s="8" t="str">
        <f aca="false">IFERROR(INDEX('TRANS'!$B:$B,MATCH($B1541,'TRANS'!$A:$A,0)),IFERROR(INDEX('TRANS'!$B:$B,MATCH(TRIM(SUBSTITUTE($B1541,CHAR(160)," ")),'TRANS'!$D:$D,0)),IFERROR(INDEX('Catalog'!$A:$A,MATCH($B1541,'Catalog'!$B:$B,0)),IFERROR(INDEX('Catalog'!$A:$A,MATCH(TRIM(SUBSTITUTE($B1541,CHAR(160)," ")),'Catalog'!$C:$C,0)),""))))</f>
        <v/>
      </c>
      <c r="H1541" s="8" t="str">
        <f aca="false">IFERROR(INDEX('TRANS'!$C:$C,MATCH($B1541,'TRANS'!$A:$A,0)),IFERROR(INDEX('Catalog'!$B:$B,MATCH($G1541,'Catalog'!$A:$A,0)),$B1541))</f>
        <v>95B XS</v>
      </c>
      <c r="I1541" s="8" t="str">
        <f aca="false">IF($G1541="","Unmatched","Matched")</f>
        <v>Unmatched</v>
      </c>
    </row>
    <row r="1542" customFormat="false" ht="15" hidden="false" customHeight="false" outlineLevel="0" collapsed="false">
      <c r="A1542" s="8" t="s">
        <v>814</v>
      </c>
      <c r="B1542" s="8" t="s">
        <v>840</v>
      </c>
      <c r="C1542" s="19" t="n">
        <v>2</v>
      </c>
      <c r="D1542" s="19" t="n">
        <v>61.78</v>
      </c>
      <c r="E1542" s="19" t="n">
        <v>0</v>
      </c>
      <c r="F1542" s="19" t="n">
        <v>0</v>
      </c>
      <c r="G1542" s="8" t="n">
        <f aca="false">IFERROR(INDEX('TRANS'!$B:$B,MATCH($B1542,'TRANS'!$A:$A,0)),IFERROR(INDEX('TRANS'!$B:$B,MATCH(TRIM(SUBSTITUTE($B1542,CHAR(160)," ")),'TRANS'!$D:$D,0)),IFERROR(INDEX('Catalog'!$A:$A,MATCH($B1542,'Catalog'!$B:$B,0)),IFERROR(INDEX('Catalog'!$A:$A,MATCH(TRIM(SUBSTITUTE($B1542,CHAR(160)," ")),'Catalog'!$C:$C,0)),""))))</f>
        <v>4413504</v>
      </c>
      <c r="H1542" s="8" t="str">
        <f aca="false">IFERROR(INDEX('TRANS'!$C:$C,MATCH($B1542,'TRANS'!$A:$A,0)),IFERROR(INDEX('Catalog'!$B:$B,MATCH($G1542,'Catalog'!$A:$A,0)),$B1542))</f>
        <v>95B XXLמגן מרפק שחור</v>
      </c>
      <c r="I1542" s="8" t="str">
        <f aca="false">IF($G1542="","Unmatched","Matched")</f>
        <v>Matched</v>
      </c>
    </row>
    <row r="1543" customFormat="false" ht="15" hidden="false" customHeight="false" outlineLevel="0" collapsed="false">
      <c r="A1543" s="8" t="s">
        <v>814</v>
      </c>
      <c r="B1543" s="8" t="s">
        <v>272</v>
      </c>
      <c r="C1543" s="19" t="n">
        <v>9</v>
      </c>
      <c r="D1543" s="19" t="n">
        <v>359.14</v>
      </c>
      <c r="E1543" s="19" t="n">
        <v>3</v>
      </c>
      <c r="F1543" s="19" t="n">
        <v>126.41</v>
      </c>
      <c r="G1543" s="8" t="n">
        <f aca="false">IFERROR(INDEX('TRANS'!$B:$B,MATCH($B1543,'TRANS'!$A:$A,0)),IFERROR(INDEX('TRANS'!$B:$B,MATCH(TRIM(SUBSTITUTE($B1543,CHAR(160)," ")),'TRANS'!$D:$D,0)),IFERROR(INDEX('Catalog'!$A:$A,MATCH($B1543,'Catalog'!$B:$B,0)),IFERROR(INDEX('Catalog'!$A:$A,MATCH(TRIM(SUBSTITUTE($B1543,CHAR(160)," ")),'Catalog'!$C:$C,0)),""))))</f>
        <v>4415028</v>
      </c>
      <c r="H1543" s="8" t="str">
        <f aca="false">IFERROR(INDEX('TRANS'!$C:$C,MATCH($B1543,'TRANS'!$A:$A,0)),IFERROR(INDEX('Catalog'!$B:$B,MATCH($G1543,'Catalog'!$A:$A,0)),$B1543))</f>
        <v>AC-28 סד לאגודל</v>
      </c>
      <c r="I1543" s="8" t="str">
        <f aca="false">IF($G1543="","Unmatched","Matched")</f>
        <v>Matched</v>
      </c>
    </row>
    <row r="1544" customFormat="false" ht="15" hidden="false" customHeight="false" outlineLevel="0" collapsed="false">
      <c r="A1544" s="8" t="s">
        <v>814</v>
      </c>
      <c r="B1544" s="8" t="s">
        <v>277</v>
      </c>
      <c r="C1544" s="19" t="n">
        <v>7</v>
      </c>
      <c r="D1544" s="19" t="n">
        <v>278.56</v>
      </c>
      <c r="E1544" s="19" t="n">
        <v>5</v>
      </c>
      <c r="F1544" s="19" t="n">
        <v>198.97</v>
      </c>
      <c r="G1544" s="8" t="n">
        <f aca="false">IFERROR(INDEX('TRANS'!$B:$B,MATCH($B1544,'TRANS'!$A:$A,0)),IFERROR(INDEX('TRANS'!$B:$B,MATCH(TRIM(SUBSTITUTE($B1544,CHAR(160)," ")),'TRANS'!$D:$D,0)),IFERROR(INDEX('Catalog'!$A:$A,MATCH($B1544,'Catalog'!$B:$B,0)),IFERROR(INDEX('Catalog'!$A:$A,MATCH(TRIM(SUBSTITUTE($B1544,CHAR(160)," ")),'Catalog'!$C:$C,0)),""))))</f>
        <v>4408208</v>
      </c>
      <c r="H1544" s="8" t="str">
        <f aca="false">IFERROR(INDEX('TRANS'!$C:$C,MATCH($B1544,'TRANS'!$A:$A,0)),IFERROR(INDEX('Catalog'!$B:$B,MATCH($G1544,'Catalog'!$A:$A,0)),$B1544))</f>
        <v>AC91 חבק טניס</v>
      </c>
      <c r="I1544" s="8" t="str">
        <f aca="false">IF($G1544="","Unmatched","Matched")</f>
        <v>Matched</v>
      </c>
    </row>
    <row r="1545" customFormat="false" ht="15" hidden="false" customHeight="false" outlineLevel="0" collapsed="false">
      <c r="A1545" s="8" t="s">
        <v>814</v>
      </c>
      <c r="B1545" s="8" t="s">
        <v>309</v>
      </c>
      <c r="C1545" s="19" t="n">
        <v>2</v>
      </c>
      <c r="D1545" s="19" t="n">
        <v>110</v>
      </c>
      <c r="E1545" s="19" t="n">
        <v>0</v>
      </c>
      <c r="F1545" s="19" t="n">
        <v>0</v>
      </c>
      <c r="G1545" s="8" t="n">
        <f aca="false">IFERROR(INDEX('TRANS'!$B:$B,MATCH($B1545,'TRANS'!$A:$A,0)),IFERROR(INDEX('TRANS'!$B:$B,MATCH(TRIM(SUBSTITUTE($B1545,CHAR(160)," ")),'TRANS'!$D:$D,0)),IFERROR(INDEX('Catalog'!$A:$A,MATCH($B1545,'Catalog'!$B:$B,0)),IFERROR(INDEX('Catalog'!$A:$A,MATCH(TRIM(SUBSTITUTE($B1545,CHAR(160)," ")),'Catalog'!$C:$C,0)),""))))</f>
        <v>4403035</v>
      </c>
      <c r="H1545" s="8" t="str">
        <f aca="false">IFERROR(INDEX('TRANS'!$C:$C,MATCH($B1545,'TRANS'!$A:$A,0)),IFERROR(INDEX('Catalog'!$B:$B,MATCH($G1545,'Catalog'!$A:$A,0)),$B1545))</f>
        <v>ST3555L-XLגרב לילה לטיפ.בדורבן</v>
      </c>
      <c r="I1545" s="8" t="str">
        <f aca="false">IF($G1545="","Unmatched","Matched")</f>
        <v>Matched</v>
      </c>
    </row>
    <row r="1546" customFormat="false" ht="15" hidden="false" customHeight="false" outlineLevel="0" collapsed="false">
      <c r="A1546" s="8" t="s">
        <v>814</v>
      </c>
      <c r="B1546" s="8" t="s">
        <v>310</v>
      </c>
      <c r="C1546" s="19" t="n">
        <v>2</v>
      </c>
      <c r="D1546" s="19" t="n">
        <v>110</v>
      </c>
      <c r="E1546" s="19" t="n">
        <v>0</v>
      </c>
      <c r="F1546" s="19" t="n">
        <v>0</v>
      </c>
      <c r="G1546" s="8" t="n">
        <f aca="false">IFERROR(INDEX('TRANS'!$B:$B,MATCH($B1546,'TRANS'!$A:$A,0)),IFERROR(INDEX('TRANS'!$B:$B,MATCH(TRIM(SUBSTITUTE($B1546,CHAR(160)," ")),'TRANS'!$D:$D,0)),IFERROR(INDEX('Catalog'!$A:$A,MATCH($B1546,'Catalog'!$B:$B,0)),IFERROR(INDEX('Catalog'!$A:$A,MATCH(TRIM(SUBSTITUTE($B1546,CHAR(160)," ")),'Catalog'!$C:$C,0)),""))))</f>
        <v>4403034</v>
      </c>
      <c r="H1546" s="8" t="str">
        <f aca="false">IFERROR(INDEX('TRANS'!$C:$C,MATCH($B1546,'TRANS'!$A:$A,0)),IFERROR(INDEX('Catalog'!$B:$B,MATCH($G1546,'Catalog'!$A:$A,0)),$B1546))</f>
        <v>ST3555 S-Mגרב לילה לטיפ.בדורבן</v>
      </c>
      <c r="I1546" s="8" t="str">
        <f aca="false">IF($G1546="","Unmatched","Matched")</f>
        <v>Matched</v>
      </c>
    </row>
    <row r="1547" customFormat="false" ht="15" hidden="false" customHeight="false" outlineLevel="0" collapsed="false">
      <c r="A1547" s="8" t="s">
        <v>814</v>
      </c>
      <c r="B1547" s="8" t="s">
        <v>570</v>
      </c>
      <c r="C1547" s="19" t="n">
        <v>1</v>
      </c>
      <c r="D1547" s="19" t="n">
        <v>67.55</v>
      </c>
      <c r="E1547" s="19" t="n">
        <v>1</v>
      </c>
      <c r="F1547" s="19" t="n">
        <v>70.28</v>
      </c>
      <c r="G1547" s="8" t="n">
        <f aca="false">IFERROR(INDEX('TRANS'!$B:$B,MATCH($B1547,'TRANS'!$A:$A,0)),IFERROR(INDEX('TRANS'!$B:$B,MATCH(TRIM(SUBSTITUTE($B1547,CHAR(160)," ")),'TRANS'!$D:$D,0)),IFERROR(INDEX('Catalog'!$A:$A,MATCH($B1547,'Catalog'!$B:$B,0)),IFERROR(INDEX('Catalog'!$A:$A,MATCH(TRIM(SUBSTITUTE($B1547,CHAR(160)," ")),'Catalog'!$C:$C,0)),""))))</f>
        <v>4415072</v>
      </c>
      <c r="H1547" s="8" t="str">
        <f aca="false">IFERROR(INDEX('TRANS'!$C:$C,MATCH($B1547,'TRANS'!$A:$A,0)),IFERROR(INDEX('Catalog'!$B:$B,MATCH($G1547,'Catalog'!$A:$A,0)),$B1547))</f>
        <v>T28A S-M סד לאגודל</v>
      </c>
      <c r="I1547" s="8" t="str">
        <f aca="false">IF($G1547="","Unmatched","Matched")</f>
        <v>Matched</v>
      </c>
    </row>
    <row r="1548" customFormat="false" ht="15" hidden="false" customHeight="false" outlineLevel="0" collapsed="false">
      <c r="A1548" s="8" t="s">
        <v>814</v>
      </c>
      <c r="B1548" s="8" t="s">
        <v>326</v>
      </c>
      <c r="C1548" s="19" t="n">
        <v>1</v>
      </c>
      <c r="D1548" s="19" t="n">
        <v>94.63</v>
      </c>
      <c r="E1548" s="19" t="n">
        <v>0</v>
      </c>
      <c r="F1548" s="19" t="n">
        <v>0</v>
      </c>
      <c r="G1548" s="8" t="str">
        <f aca="false">IFERROR(INDEX('TRANS'!$B:$B,MATCH($B1548,'TRANS'!$A:$A,0)),IFERROR(INDEX('TRANS'!$B:$B,MATCH(TRIM(SUBSTITUTE($B1548,CHAR(160)," ")),'TRANS'!$D:$D,0)),IFERROR(INDEX('Catalog'!$A:$A,MATCH($B1548,'Catalog'!$B:$B,0)),IFERROR(INDEX('Catalog'!$A:$A,MATCH(TRIM(SUBSTITUTE($B1548,CHAR(160)," ")),'Catalog'!$C:$C,0)),""))))</f>
        <v/>
      </c>
      <c r="H1548" s="8" t="str">
        <f aca="false">IFERROR(INDEX('TRANS'!$C:$C,MATCH($B1548,'TRANS'!$A:$A,0)),IFERROR(INDEX('Catalog'!$B:$B,MATCH($G1548,'Catalog'!$A:$A,0)),$B1548))</f>
        <v>T402 M</v>
      </c>
      <c r="I1548" s="8" t="str">
        <f aca="false">IF($G1548="","Unmatched","Matched")</f>
        <v>Unmatched</v>
      </c>
    </row>
    <row r="1549" customFormat="false" ht="15" hidden="false" customHeight="false" outlineLevel="0" collapsed="false">
      <c r="A1549" s="8" t="s">
        <v>814</v>
      </c>
      <c r="B1549" s="8" t="s">
        <v>70</v>
      </c>
      <c r="C1549" s="19" t="n">
        <v>1</v>
      </c>
      <c r="D1549" s="19" t="n">
        <v>151.23</v>
      </c>
      <c r="E1549" s="19" t="n">
        <v>0</v>
      </c>
      <c r="F1549" s="19" t="n">
        <v>0</v>
      </c>
      <c r="G1549" s="8" t="n">
        <f aca="false">IFERROR(INDEX('TRANS'!$B:$B,MATCH($B1549,'TRANS'!$A:$A,0)),IFERROR(INDEX('TRANS'!$B:$B,MATCH(TRIM(SUBSTITUTE($B1549,CHAR(160)," ")),'TRANS'!$D:$D,0)),IFERROR(INDEX('Catalog'!$A:$A,MATCH($B1549,'Catalog'!$B:$B,0)),IFERROR(INDEX('Catalog'!$A:$A,MATCH(TRIM(SUBSTITUTE($B1549,CHAR(160)," ")),'Catalog'!$C:$C,0)),""))))</f>
        <v>4408029</v>
      </c>
      <c r="H1549" s="8" t="str">
        <f aca="false">IFERROR(INDEX('TRANS'!$C:$C,MATCH($B1549,'TRANS'!$A:$A,0)),IFERROR(INDEX('Catalog'!$B:$B,MATCH($G1549,'Catalog'!$A:$A,0)),$B1549))</f>
        <v>10 XL """"חגורת גב """"לומבו</v>
      </c>
      <c r="I1549" s="8" t="str">
        <f aca="false">IF($G1549="","Unmatched","Matched")</f>
        <v>Matched</v>
      </c>
    </row>
    <row r="1550" customFormat="false" ht="15" hidden="false" customHeight="false" outlineLevel="0" collapsed="false">
      <c r="A1550" s="8" t="s">
        <v>814</v>
      </c>
      <c r="B1550" s="8" t="s">
        <v>352</v>
      </c>
      <c r="C1550" s="19" t="n">
        <v>3</v>
      </c>
      <c r="D1550" s="19" t="n">
        <v>309.22</v>
      </c>
      <c r="E1550" s="19" t="n">
        <v>2</v>
      </c>
      <c r="F1550" s="19" t="n">
        <v>206.14</v>
      </c>
      <c r="G1550" s="8" t="n">
        <f aca="false">IFERROR(INDEX('TRANS'!$B:$B,MATCH($B1550,'TRANS'!$A:$A,0)),IFERROR(INDEX('TRANS'!$B:$B,MATCH(TRIM(SUBSTITUTE($B1550,CHAR(160)," ")),'TRANS'!$D:$D,0)),IFERROR(INDEX('Catalog'!$A:$A,MATCH($B1550,'Catalog'!$B:$B,0)),IFERROR(INDEX('Catalog'!$A:$A,MATCH(TRIM(SUBSTITUTE($B1550,CHAR(160)," ")),'Catalog'!$C:$C,0)),""))))</f>
        <v>4415002</v>
      </c>
      <c r="H1550" s="8" t="str">
        <f aca="false">IFERROR(INDEX('TRANS'!$C:$C,MATCH($B1550,'TRANS'!$A:$A,0)),IFERROR(INDEX('Catalog'!$B:$B,MATCH($G1550,'Catalog'!$A:$A,0)),$B1550))</f>
        <v>26 S סד ליד דו צדדי לאחר שבר</v>
      </c>
      <c r="I1550" s="8" t="str">
        <f aca="false">IF($G1550="","Unmatched","Matched")</f>
        <v>Matched</v>
      </c>
    </row>
    <row r="1551" customFormat="false" ht="15" hidden="false" customHeight="false" outlineLevel="0" collapsed="false">
      <c r="A1551" s="8" t="s">
        <v>814</v>
      </c>
      <c r="B1551" s="8" t="s">
        <v>644</v>
      </c>
      <c r="C1551" s="19" t="n">
        <v>1</v>
      </c>
      <c r="D1551" s="19" t="n">
        <v>103.07</v>
      </c>
      <c r="E1551" s="19" t="n">
        <v>0</v>
      </c>
      <c r="F1551" s="19" t="n">
        <v>0</v>
      </c>
      <c r="G1551" s="8" t="n">
        <f aca="false">IFERROR(INDEX('TRANS'!$B:$B,MATCH($B1551,'TRANS'!$A:$A,0)),IFERROR(INDEX('TRANS'!$B:$B,MATCH(TRIM(SUBSTITUTE($B1551,CHAR(160)," ")),'TRANS'!$D:$D,0)),IFERROR(INDEX('Catalog'!$A:$A,MATCH($B1551,'Catalog'!$B:$B,0)),IFERROR(INDEX('Catalog'!$A:$A,MATCH(TRIM(SUBSTITUTE($B1551,CHAR(160)," ")),'Catalog'!$C:$C,0)),""))))</f>
        <v>4415005</v>
      </c>
      <c r="H1551" s="8" t="str">
        <f aca="false">IFERROR(INDEX('TRANS'!$C:$C,MATCH($B1551,'TRANS'!$A:$A,0)),IFERROR(INDEX('Catalog'!$B:$B,MATCH($G1551,'Catalog'!$A:$A,0)),$B1551))</f>
        <v>28 L סד לאגודל לאחר שבר</v>
      </c>
      <c r="I1551" s="8" t="str">
        <f aca="false">IF($G1551="","Unmatched","Matched")</f>
        <v>Matched</v>
      </c>
    </row>
    <row r="1552" customFormat="false" ht="15" hidden="false" customHeight="false" outlineLevel="0" collapsed="false">
      <c r="A1552" s="8" t="s">
        <v>814</v>
      </c>
      <c r="B1552" s="8" t="s">
        <v>111</v>
      </c>
      <c r="C1552" s="19" t="n">
        <v>1</v>
      </c>
      <c r="D1552" s="19" t="n">
        <v>103.07</v>
      </c>
      <c r="E1552" s="19" t="n">
        <v>0</v>
      </c>
      <c r="F1552" s="19" t="n">
        <v>0</v>
      </c>
      <c r="G1552" s="8" t="n">
        <f aca="false">IFERROR(INDEX('TRANS'!$B:$B,MATCH($B1552,'TRANS'!$A:$A,0)),IFERROR(INDEX('TRANS'!$B:$B,MATCH(TRIM(SUBSTITUTE($B1552,CHAR(160)," ")),'TRANS'!$D:$D,0)),IFERROR(INDEX('Catalog'!$A:$A,MATCH($B1552,'Catalog'!$B:$B,0)),IFERROR(INDEX('Catalog'!$A:$A,MATCH(TRIM(SUBSTITUTE($B1552,CHAR(160)," ")),'Catalog'!$C:$C,0)),""))))</f>
        <v>4415006</v>
      </c>
      <c r="H1552" s="8" t="str">
        <f aca="false">IFERROR(INDEX('TRANS'!$C:$C,MATCH($B1552,'TRANS'!$A:$A,0)),IFERROR(INDEX('Catalog'!$B:$B,MATCH($G1552,'Catalog'!$A:$A,0)),$B1552))</f>
        <v>28 M סד לאגודל לאחר שבר</v>
      </c>
      <c r="I1552" s="8" t="str">
        <f aca="false">IF($G1552="","Unmatched","Matched")</f>
        <v>Matched</v>
      </c>
    </row>
    <row r="1553" customFormat="false" ht="15" hidden="false" customHeight="false" outlineLevel="0" collapsed="false">
      <c r="A1553" s="8" t="s">
        <v>814</v>
      </c>
      <c r="B1553" s="8" t="s">
        <v>645</v>
      </c>
      <c r="C1553" s="19" t="n">
        <v>1</v>
      </c>
      <c r="D1553" s="19" t="n">
        <v>103.07</v>
      </c>
      <c r="E1553" s="19" t="n">
        <v>1</v>
      </c>
      <c r="F1553" s="19" t="n">
        <v>103.07</v>
      </c>
      <c r="G1553" s="8" t="n">
        <f aca="false">IFERROR(INDEX('TRANS'!$B:$B,MATCH($B1553,'TRANS'!$A:$A,0)),IFERROR(INDEX('TRANS'!$B:$B,MATCH(TRIM(SUBSTITUTE($B1553,CHAR(160)," ")),'TRANS'!$D:$D,0)),IFERROR(INDEX('Catalog'!$A:$A,MATCH($B1553,'Catalog'!$B:$B,0)),IFERROR(INDEX('Catalog'!$A:$A,MATCH(TRIM(SUBSTITUTE($B1553,CHAR(160)," ")),'Catalog'!$C:$C,0)),""))))</f>
        <v>4415007</v>
      </c>
      <c r="H1553" s="8" t="str">
        <f aca="false">IFERROR(INDEX('TRANS'!$C:$C,MATCH($B1553,'TRANS'!$A:$A,0)),IFERROR(INDEX('Catalog'!$B:$B,MATCH($G1553,'Catalog'!$A:$A,0)),$B1553))</f>
        <v>28 S סד לאגודל לאחר שבר</v>
      </c>
      <c r="I1553" s="8" t="str">
        <f aca="false">IF($G1553="","Unmatched","Matched")</f>
        <v>Matched</v>
      </c>
    </row>
    <row r="1554" customFormat="false" ht="15" hidden="false" customHeight="false" outlineLevel="0" collapsed="false">
      <c r="A1554" s="8" t="s">
        <v>814</v>
      </c>
      <c r="B1554" s="8" t="s">
        <v>841</v>
      </c>
      <c r="C1554" s="19" t="n">
        <v>0</v>
      </c>
      <c r="D1554" s="19" t="n">
        <v>0</v>
      </c>
      <c r="E1554" s="19" t="n">
        <v>2</v>
      </c>
      <c r="F1554" s="19" t="n">
        <v>192</v>
      </c>
      <c r="G1554" s="8" t="str">
        <f aca="false">IFERROR(INDEX('TRANS'!$B:$B,MATCH($B1554,'TRANS'!$A:$A,0)),IFERROR(INDEX('TRANS'!$B:$B,MATCH(TRIM(SUBSTITUTE($B1554,CHAR(160)," ")),'TRANS'!$D:$D,0)),IFERROR(INDEX('Catalog'!$A:$A,MATCH($B1554,'Catalog'!$B:$B,0)),IFERROR(INDEX('Catalog'!$A:$A,MATCH(TRIM(SUBSTITUTE($B1554,CHAR(160)," ")),'Catalog'!$C:$C,0)),""))))</f>
        <v/>
      </c>
      <c r="H1554" s="8" t="str">
        <f aca="false">IFERROR(INDEX('TRANS'!$C:$C,MATCH($B1554,'TRANS'!$A:$A,0)),IFERROR(INDEX('Catalog'!$B:$B,MATCH($G1554,'Catalog'!$A:$A,0)),$B1554))</f>
        <v>422E M</v>
      </c>
      <c r="I1554" s="8" t="str">
        <f aca="false">IF($G1554="","Unmatched","Matched")</f>
        <v>Unmatched</v>
      </c>
    </row>
    <row r="1555" customFormat="false" ht="15" hidden="false" customHeight="false" outlineLevel="0" collapsed="false">
      <c r="A1555" s="8" t="s">
        <v>814</v>
      </c>
      <c r="B1555" s="8" t="s">
        <v>370</v>
      </c>
      <c r="C1555" s="19" t="n">
        <v>2</v>
      </c>
      <c r="D1555" s="19" t="n">
        <v>406.75</v>
      </c>
      <c r="E1555" s="19" t="n">
        <v>2</v>
      </c>
      <c r="F1555" s="19" t="n">
        <v>192</v>
      </c>
      <c r="G1555" s="8" t="str">
        <f aca="false">IFERROR(INDEX('TRANS'!$B:$B,MATCH($B1555,'TRANS'!$A:$A,0)),IFERROR(INDEX('TRANS'!$B:$B,MATCH(TRIM(SUBSTITUTE($B1555,CHAR(160)," ")),'TRANS'!$D:$D,0)),IFERROR(INDEX('Catalog'!$A:$A,MATCH($B1555,'Catalog'!$B:$B,0)),IFERROR(INDEX('Catalog'!$A:$A,MATCH(TRIM(SUBSTITUTE($B1555,CHAR(160)," ")),'Catalog'!$C:$C,0)),""))))</f>
        <v/>
      </c>
      <c r="H1555" s="8" t="str">
        <f aca="false">IFERROR(INDEX('TRANS'!$C:$C,MATCH($B1555,'TRANS'!$A:$A,0)),IFERROR(INDEX('Catalog'!$B:$B,MATCH($G1555,'Catalog'!$A:$A,0)),$B1555))</f>
        <v>422E XL</v>
      </c>
      <c r="I1555" s="8" t="str">
        <f aca="false">IF($G1555="","Unmatched","Matched")</f>
        <v>Unmatched</v>
      </c>
    </row>
    <row r="1556" customFormat="false" ht="15" hidden="false" customHeight="false" outlineLevel="0" collapsed="false">
      <c r="A1556" s="8" t="s">
        <v>814</v>
      </c>
      <c r="B1556" s="8" t="s">
        <v>371</v>
      </c>
      <c r="C1556" s="19" t="n">
        <v>0</v>
      </c>
      <c r="D1556" s="19" t="n">
        <v>0</v>
      </c>
      <c r="E1556" s="19" t="n">
        <v>1</v>
      </c>
      <c r="F1556" s="19" t="n">
        <v>96</v>
      </c>
      <c r="G1556" s="8" t="str">
        <f aca="false">IFERROR(INDEX('TRANS'!$B:$B,MATCH($B1556,'TRANS'!$A:$A,0)),IFERROR(INDEX('TRANS'!$B:$B,MATCH(TRIM(SUBSTITUTE($B1556,CHAR(160)," ")),'TRANS'!$D:$D,0)),IFERROR(INDEX('Catalog'!$A:$A,MATCH($B1556,'Catalog'!$B:$B,0)),IFERROR(INDEX('Catalog'!$A:$A,MATCH(TRIM(SUBSTITUTE($B1556,CHAR(160)," ")),'Catalog'!$C:$C,0)),""))))</f>
        <v/>
      </c>
      <c r="H1556" s="8" t="str">
        <f aca="false">IFERROR(INDEX('TRANS'!$C:$C,MATCH($B1556,'TRANS'!$A:$A,0)),IFERROR(INDEX('Catalog'!$B:$B,MATCH($G1556,'Catalog'!$A:$A,0)),$B1556))</f>
        <v>422E XXL</v>
      </c>
      <c r="I1556" s="8" t="str">
        <f aca="false">IF($G1556="","Unmatched","Matched")</f>
        <v>Unmatched</v>
      </c>
    </row>
    <row r="1557" customFormat="false" ht="15" hidden="false" customHeight="false" outlineLevel="0" collapsed="false">
      <c r="A1557" s="8" t="s">
        <v>814</v>
      </c>
      <c r="B1557" s="8" t="s">
        <v>226</v>
      </c>
      <c r="C1557" s="19" t="n">
        <v>0</v>
      </c>
      <c r="D1557" s="19" t="n">
        <v>0</v>
      </c>
      <c r="E1557" s="19" t="n">
        <v>1</v>
      </c>
      <c r="F1557" s="19" t="n">
        <v>140</v>
      </c>
      <c r="G1557" s="8" t="n">
        <f aca="false">IFERROR(INDEX('TRANS'!$B:$B,MATCH($B1557,'TRANS'!$A:$A,0)),IFERROR(INDEX('TRANS'!$B:$B,MATCH(TRIM(SUBSTITUTE($B1557,CHAR(160)," ")),'TRANS'!$D:$D,0)),IFERROR(INDEX('Catalog'!$A:$A,MATCH($B1557,'Catalog'!$B:$B,0)),IFERROR(INDEX('Catalog'!$A:$A,MATCH(TRIM(SUBSTITUTE($B1557,CHAR(160)," ")),'Catalog'!$C:$C,0)),""))))</f>
        <v>4408081</v>
      </c>
      <c r="H1557" s="8" t="str">
        <f aca="false">IFERROR(INDEX('TRANS'!$C:$C,MATCH($B1557,'TRANS'!$A:$A,0)),IFERROR(INDEX('Catalog'!$B:$B,MATCH($G1557,'Catalog'!$A:$A,0)),$B1557))</f>
        <v>59R M חגורת שבר לצד ימין</v>
      </c>
      <c r="I1557" s="8" t="str">
        <f aca="false">IF($G1557="","Unmatched","Matched")</f>
        <v>Matched</v>
      </c>
    </row>
    <row r="1558" customFormat="false" ht="15" hidden="false" customHeight="false" outlineLevel="0" collapsed="false">
      <c r="A1558" s="8" t="s">
        <v>814</v>
      </c>
      <c r="B1558" s="8" t="s">
        <v>425</v>
      </c>
      <c r="C1558" s="19" t="n">
        <v>1</v>
      </c>
      <c r="D1558" s="19" t="n">
        <v>90</v>
      </c>
      <c r="E1558" s="19" t="n">
        <v>0</v>
      </c>
      <c r="F1558" s="19" t="n">
        <v>0</v>
      </c>
      <c r="G1558" s="8" t="n">
        <f aca="false">IFERROR(INDEX('TRANS'!$B:$B,MATCH($B1558,'TRANS'!$A:$A,0)),IFERROR(INDEX('TRANS'!$B:$B,MATCH(TRIM(SUBSTITUTE($B1558,CHAR(160)," ")),'TRANS'!$D:$D,0)),IFERROR(INDEX('Catalog'!$A:$A,MATCH($B1558,'Catalog'!$B:$B,0)),IFERROR(INDEX('Catalog'!$A:$A,MATCH(TRIM(SUBSTITUTE($B1558,CHAR(160)," ")),'Catalog'!$C:$C,0)),""))))</f>
        <v>4408084</v>
      </c>
      <c r="H1558" s="8" t="str">
        <f aca="false">IFERROR(INDEX('TRANS'!$C:$C,MATCH($B1558,'TRANS'!$A:$A,0)),IFERROR(INDEX('Catalog'!$B:$B,MATCH($G1558,'Catalog'!$A:$A,0)),$B1558))</f>
        <v>922L.חבק יד לטניס כרית סיליק</v>
      </c>
      <c r="I1558" s="8" t="str">
        <f aca="false">IF($G1558="","Unmatched","Matched")</f>
        <v>Matched</v>
      </c>
    </row>
    <row r="1559" customFormat="false" ht="15" hidden="false" customHeight="false" outlineLevel="0" collapsed="false">
      <c r="A1559" s="8" t="s">
        <v>814</v>
      </c>
      <c r="B1559" s="8" t="s">
        <v>665</v>
      </c>
      <c r="C1559" s="19" t="n">
        <v>1</v>
      </c>
      <c r="D1559" s="19" t="n">
        <v>90</v>
      </c>
      <c r="E1559" s="19" t="n">
        <v>0</v>
      </c>
      <c r="F1559" s="19" t="n">
        <v>0</v>
      </c>
      <c r="G1559" s="8" t="str">
        <f aca="false">IFERROR(INDEX('TRANS'!$B:$B,MATCH($B1559,'TRANS'!$A:$A,0)),IFERROR(INDEX('TRANS'!$B:$B,MATCH(TRIM(SUBSTITUTE($B1559,CHAR(160)," ")),'TRANS'!$D:$D,0)),IFERROR(INDEX('Catalog'!$A:$A,MATCH($B1559,'Catalog'!$B:$B,0)),IFERROR(INDEX('Catalog'!$A:$A,MATCH(TRIM(SUBSTITUTE($B1559,CHAR(160)," ")),'Catalog'!$C:$C,0)),""))))</f>
        <v/>
      </c>
      <c r="H1559" s="8" t="str">
        <f aca="false">IFERROR(INDEX('TRANS'!$C:$C,MATCH($B1559,'TRANS'!$A:$A,0)),IFERROR(INDEX('Catalog'!$B:$B,MATCH($G1559,'Catalog'!$A:$A,0)),$B1559))</f>
        <v>922 M</v>
      </c>
      <c r="I1559" s="8" t="str">
        <f aca="false">IF($G1559="","Unmatched","Matched")</f>
        <v>Unmatched</v>
      </c>
    </row>
    <row r="1560" customFormat="false" ht="15" hidden="false" customHeight="false" outlineLevel="0" collapsed="false">
      <c r="A1560" s="8" t="s">
        <v>814</v>
      </c>
      <c r="B1560" s="8" t="s">
        <v>842</v>
      </c>
      <c r="C1560" s="19" t="n">
        <v>0</v>
      </c>
      <c r="D1560" s="19" t="n">
        <v>0</v>
      </c>
      <c r="E1560" s="19" t="n">
        <v>1</v>
      </c>
      <c r="F1560" s="19" t="n">
        <v>90</v>
      </c>
      <c r="G1560" s="8" t="str">
        <f aca="false">IFERROR(INDEX('TRANS'!$B:$B,MATCH($B1560,'TRANS'!$A:$A,0)),IFERROR(INDEX('TRANS'!$B:$B,MATCH(TRIM(SUBSTITUTE($B1560,CHAR(160)," ")),'TRANS'!$D:$D,0)),IFERROR(INDEX('Catalog'!$A:$A,MATCH($B1560,'Catalog'!$B:$B,0)),IFERROR(INDEX('Catalog'!$A:$A,MATCH(TRIM(SUBSTITUTE($B1560,CHAR(160)," ")),'Catalog'!$C:$C,0)),""))))</f>
        <v/>
      </c>
      <c r="H1560" s="8" t="str">
        <f aca="false">IFERROR(INDEX('TRANS'!$C:$C,MATCH($B1560,'TRANS'!$A:$A,0)),IFERROR(INDEX('Catalog'!$B:$B,MATCH($G1560,'Catalog'!$A:$A,0)),$B1560))</f>
        <v>922B S</v>
      </c>
      <c r="I1560" s="8" t="str">
        <f aca="false">IF($G1560="","Unmatched","Matched")</f>
        <v>Unmatched</v>
      </c>
    </row>
    <row r="1561" customFormat="false" ht="15" hidden="false" customHeight="false" outlineLevel="0" collapsed="false">
      <c r="A1561" s="8" t="s">
        <v>814</v>
      </c>
      <c r="B1561" s="8" t="s">
        <v>676</v>
      </c>
      <c r="C1561" s="19" t="n">
        <v>2</v>
      </c>
      <c r="D1561" s="19" t="n">
        <v>140</v>
      </c>
      <c r="E1561" s="19" t="n">
        <v>0</v>
      </c>
      <c r="F1561" s="19" t="n">
        <v>0</v>
      </c>
      <c r="G1561" s="8" t="str">
        <f aca="false">IFERROR(INDEX('TRANS'!$B:$B,MATCH($B1561,'TRANS'!$A:$A,0)),IFERROR(INDEX('TRANS'!$B:$B,MATCH(TRIM(SUBSTITUTE($B1561,CHAR(160)," ")),'TRANS'!$D:$D,0)),IFERROR(INDEX('Catalog'!$A:$A,MATCH($B1561,'Catalog'!$B:$B,0)),IFERROR(INDEX('Catalog'!$A:$A,MATCH(TRIM(SUBSTITUTE($B1561,CHAR(160)," ")),'Catalog'!$C:$C,0)),""))))</f>
        <v/>
      </c>
      <c r="H1561" s="8" t="str">
        <f aca="false">IFERROR(INDEX('TRANS'!$C:$C,MATCH($B1561,'TRANS'!$A:$A,0)),IFERROR(INDEX('Catalog'!$B:$B,MATCH($G1561,'Catalog'!$A:$A,0)),$B1561))</f>
        <v>T90 0</v>
      </c>
      <c r="I1561" s="8" t="str">
        <f aca="false">IF($G1561="","Unmatched","Matched")</f>
        <v>Unmatched</v>
      </c>
    </row>
    <row r="1562" customFormat="false" ht="15" hidden="false" customHeight="false" outlineLevel="0" collapsed="false">
      <c r="A1562" s="8" t="s">
        <v>814</v>
      </c>
      <c r="B1562" s="8" t="s">
        <v>210</v>
      </c>
      <c r="C1562" s="19" t="n">
        <v>3</v>
      </c>
      <c r="D1562" s="19" t="n">
        <v>92.68</v>
      </c>
      <c r="E1562" s="19" t="n">
        <v>0</v>
      </c>
      <c r="F1562" s="19" t="n">
        <v>0</v>
      </c>
      <c r="G1562" s="8" t="n">
        <f aca="false">IFERROR(INDEX('TRANS'!$B:$B,MATCH($B1562,'TRANS'!$A:$A,0)),IFERROR(INDEX('TRANS'!$B:$B,MATCH(TRIM(SUBSTITUTE($B1562,CHAR(160)," ")),'TRANS'!$D:$D,0)),IFERROR(INDEX('Catalog'!$A:$A,MATCH($B1562,'Catalog'!$B:$B,0)),IFERROR(INDEX('Catalog'!$A:$A,MATCH(TRIM(SUBSTITUTE($B1562,CHAR(160)," ")),'Catalog'!$C:$C,0)),""))))</f>
        <v>4413098</v>
      </c>
      <c r="H1562" s="8" t="str">
        <f aca="false">IFERROR(INDEX('TRANS'!$C:$C,MATCH($B1562,'TRANS'!$A:$A,0)),IFERROR(INDEX('Catalog'!$B:$B,MATCH($G1562,'Catalog'!$A:$A,0)),$B1562))</f>
        <v>45C L מגן ברך חום</v>
      </c>
      <c r="I1562" s="8" t="str">
        <f aca="false">IF($G1562="","Unmatched","Matched")</f>
        <v>Matched</v>
      </c>
    </row>
    <row r="1563" customFormat="false" ht="15" hidden="false" customHeight="false" outlineLevel="0" collapsed="false">
      <c r="A1563" s="8" t="s">
        <v>814</v>
      </c>
      <c r="B1563" s="8" t="s">
        <v>213</v>
      </c>
      <c r="C1563" s="19" t="n">
        <v>0</v>
      </c>
      <c r="D1563" s="19" t="n">
        <v>0</v>
      </c>
      <c r="E1563" s="19" t="n">
        <v>4</v>
      </c>
      <c r="F1563" s="19" t="n">
        <v>123.57</v>
      </c>
      <c r="G1563" s="8" t="n">
        <f aca="false">IFERROR(INDEX('TRANS'!$B:$B,MATCH($B1563,'TRANS'!$A:$A,0)),IFERROR(INDEX('TRANS'!$B:$B,MATCH(TRIM(SUBSTITUTE($B1563,CHAR(160)," ")),'TRANS'!$D:$D,0)),IFERROR(INDEX('Catalog'!$A:$A,MATCH($B1563,'Catalog'!$B:$B,0)),IFERROR(INDEX('Catalog'!$A:$A,MATCH(TRIM(SUBSTITUTE($B1563,CHAR(160)," ")),'Catalog'!$C:$C,0)),""))))</f>
        <v>4413100</v>
      </c>
      <c r="H1563" s="8" t="str">
        <f aca="false">IFERROR(INDEX('TRANS'!$C:$C,MATCH($B1563,'TRANS'!$A:$A,0)),IFERROR(INDEX('Catalog'!$B:$B,MATCH($G1563,'Catalog'!$A:$A,0)),$B1563))</f>
        <v>45C XL מגן ברך חום</v>
      </c>
      <c r="I1563" s="8" t="str">
        <f aca="false">IF($G1563="","Unmatched","Matched")</f>
        <v>Matched</v>
      </c>
    </row>
    <row r="1564" customFormat="false" ht="15" hidden="false" customHeight="false" outlineLevel="0" collapsed="false">
      <c r="A1564" s="8" t="s">
        <v>814</v>
      </c>
      <c r="B1564" s="8" t="s">
        <v>843</v>
      </c>
      <c r="C1564" s="19" t="n">
        <v>10</v>
      </c>
      <c r="D1564" s="19" t="n">
        <v>496.35</v>
      </c>
      <c r="E1564" s="19" t="n">
        <v>15</v>
      </c>
      <c r="F1564" s="19" t="n">
        <v>744.52</v>
      </c>
      <c r="G1564" s="8" t="str">
        <f aca="false">IFERROR(INDEX('TRANS'!$B:$B,MATCH($B1564,'TRANS'!$A:$A,0)),IFERROR(INDEX('TRANS'!$B:$B,MATCH(TRIM(SUBSTITUTE($B1564,CHAR(160)," ")),'TRANS'!$D:$D,0)),IFERROR(INDEX('Catalog'!$A:$A,MATCH($B1564,'Catalog'!$B:$B,0)),IFERROR(INDEX('Catalog'!$A:$A,MATCH(TRIM(SUBSTITUTE($B1564,CHAR(160)," ")),'Catalog'!$C:$C,0)),""))))</f>
        <v/>
      </c>
      <c r="H1564" s="8" t="str">
        <f aca="false">IFERROR(INDEX('TRANS'!$C:$C,MATCH($B1564,'TRANS'!$A:$A,0)),IFERROR(INDEX('Catalog'!$B:$B,MATCH($G1564,'Catalog'!$A:$A,0)),$B1564))</f>
        <v>60B L</v>
      </c>
      <c r="I1564" s="8" t="str">
        <f aca="false">IF($G1564="","Unmatched","Matched")</f>
        <v>Unmatched</v>
      </c>
    </row>
    <row r="1565" customFormat="false" ht="15" hidden="false" customHeight="false" outlineLevel="0" collapsed="false">
      <c r="A1565" s="8" t="s">
        <v>814</v>
      </c>
      <c r="B1565" s="8" t="s">
        <v>844</v>
      </c>
      <c r="C1565" s="19" t="n">
        <v>10</v>
      </c>
      <c r="D1565" s="19" t="n">
        <v>496.35</v>
      </c>
      <c r="E1565" s="19" t="n">
        <v>15</v>
      </c>
      <c r="F1565" s="19" t="n">
        <v>744.52</v>
      </c>
      <c r="G1565" s="8" t="str">
        <f aca="false">IFERROR(INDEX('TRANS'!$B:$B,MATCH($B1565,'TRANS'!$A:$A,0)),IFERROR(INDEX('TRANS'!$B:$B,MATCH(TRIM(SUBSTITUTE($B1565,CHAR(160)," ")),'TRANS'!$D:$D,0)),IFERROR(INDEX('Catalog'!$A:$A,MATCH($B1565,'Catalog'!$B:$B,0)),IFERROR(INDEX('Catalog'!$A:$A,MATCH(TRIM(SUBSTITUTE($B1565,CHAR(160)," ")),'Catalog'!$C:$C,0)),""))))</f>
        <v/>
      </c>
      <c r="H1565" s="8" t="str">
        <f aca="false">IFERROR(INDEX('TRANS'!$C:$C,MATCH($B1565,'TRANS'!$A:$A,0)),IFERROR(INDEX('Catalog'!$B:$B,MATCH($G1565,'Catalog'!$A:$A,0)),$B1565))</f>
        <v>60B M</v>
      </c>
      <c r="I1565" s="8" t="str">
        <f aca="false">IF($G1565="","Unmatched","Matched")</f>
        <v>Unmatched</v>
      </c>
    </row>
    <row r="1566" customFormat="false" ht="15" hidden="false" customHeight="false" outlineLevel="0" collapsed="false">
      <c r="A1566" s="8" t="s">
        <v>814</v>
      </c>
      <c r="B1566" s="8" t="s">
        <v>845</v>
      </c>
      <c r="C1566" s="19" t="n">
        <v>17</v>
      </c>
      <c r="D1566" s="19" t="n">
        <v>843.8</v>
      </c>
      <c r="E1566" s="19" t="n">
        <v>20</v>
      </c>
      <c r="F1566" s="19" t="n">
        <v>992.7</v>
      </c>
      <c r="G1566" s="8" t="str">
        <f aca="false">IFERROR(INDEX('TRANS'!$B:$B,MATCH($B1566,'TRANS'!$A:$A,0)),IFERROR(INDEX('TRANS'!$B:$B,MATCH(TRIM(SUBSTITUTE($B1566,CHAR(160)," ")),'TRANS'!$D:$D,0)),IFERROR(INDEX('Catalog'!$A:$A,MATCH($B1566,'Catalog'!$B:$B,0)),IFERROR(INDEX('Catalog'!$A:$A,MATCH(TRIM(SUBSTITUTE($B1566,CHAR(160)," ")),'Catalog'!$C:$C,0)),""))))</f>
        <v/>
      </c>
      <c r="H1566" s="8" t="str">
        <f aca="false">IFERROR(INDEX('TRANS'!$C:$C,MATCH($B1566,'TRANS'!$A:$A,0)),IFERROR(INDEX('Catalog'!$B:$B,MATCH($G1566,'Catalog'!$A:$A,0)),$B1566))</f>
        <v>60B S</v>
      </c>
      <c r="I1566" s="8" t="str">
        <f aca="false">IF($G1566="","Unmatched","Matched")</f>
        <v>Unmatched</v>
      </c>
    </row>
    <row r="1567" customFormat="false" ht="15" hidden="false" customHeight="false" outlineLevel="0" collapsed="false">
      <c r="A1567" s="8" t="s">
        <v>814</v>
      </c>
      <c r="B1567" s="8" t="s">
        <v>846</v>
      </c>
      <c r="C1567" s="19" t="n">
        <v>17</v>
      </c>
      <c r="D1567" s="19" t="n">
        <v>843.8</v>
      </c>
      <c r="E1567" s="19" t="n">
        <v>-4</v>
      </c>
      <c r="F1567" s="19" t="n">
        <v>-264.72</v>
      </c>
      <c r="G1567" s="8" t="str">
        <f aca="false">IFERROR(INDEX('TRANS'!$B:$B,MATCH($B1567,'TRANS'!$A:$A,0)),IFERROR(INDEX('TRANS'!$B:$B,MATCH(TRIM(SUBSTITUTE($B1567,CHAR(160)," ")),'TRANS'!$D:$D,0)),IFERROR(INDEX('Catalog'!$A:$A,MATCH($B1567,'Catalog'!$B:$B,0)),IFERROR(INDEX('Catalog'!$A:$A,MATCH(TRIM(SUBSTITUTE($B1567,CHAR(160)," ")),'Catalog'!$C:$C,0)),""))))</f>
        <v/>
      </c>
      <c r="H1567" s="8" t="str">
        <f aca="false">IFERROR(INDEX('TRANS'!$C:$C,MATCH($B1567,'TRANS'!$A:$A,0)),IFERROR(INDEX('Catalog'!$B:$B,MATCH($G1567,'Catalog'!$A:$A,0)),$B1567))</f>
        <v>60B XS</v>
      </c>
      <c r="I1567" s="8" t="str">
        <f aca="false">IF($G1567="","Unmatched","Matched")</f>
        <v>Unmatched</v>
      </c>
    </row>
    <row r="1568" customFormat="false" ht="15" hidden="false" customHeight="false" outlineLevel="0" collapsed="false">
      <c r="A1568" s="8" t="s">
        <v>814</v>
      </c>
      <c r="B1568" s="8" t="s">
        <v>847</v>
      </c>
      <c r="C1568" s="19" t="n">
        <v>0</v>
      </c>
      <c r="D1568" s="19" t="n">
        <v>0</v>
      </c>
      <c r="E1568" s="19" t="n">
        <v>2</v>
      </c>
      <c r="F1568" s="19" t="n">
        <v>93.64</v>
      </c>
      <c r="G1568" s="8" t="str">
        <f aca="false">IFERROR(INDEX('TRANS'!$B:$B,MATCH($B1568,'TRANS'!$A:$A,0)),IFERROR(INDEX('TRANS'!$B:$B,MATCH(TRIM(SUBSTITUTE($B1568,CHAR(160)," ")),'TRANS'!$D:$D,0)),IFERROR(INDEX('Catalog'!$A:$A,MATCH($B1568,'Catalog'!$B:$B,0)),IFERROR(INDEX('Catalog'!$A:$A,MATCH(TRIM(SUBSTITUTE($B1568,CHAR(160)," ")),'Catalog'!$C:$C,0)),""))))</f>
        <v/>
      </c>
      <c r="H1568" s="8" t="str">
        <f aca="false">IFERROR(INDEX('TRANS'!$C:$C,MATCH($B1568,'TRANS'!$A:$A,0)),IFERROR(INDEX('Catalog'!$B:$B,MATCH($G1568,'Catalog'!$A:$A,0)),$B1568))</f>
        <v>61BL-L</v>
      </c>
      <c r="I1568" s="8" t="str">
        <f aca="false">IF($G1568="","Unmatched","Matched")</f>
        <v>Unmatched</v>
      </c>
    </row>
    <row r="1569" customFormat="false" ht="15" hidden="false" customHeight="false" outlineLevel="0" collapsed="false">
      <c r="A1569" s="8" t="s">
        <v>814</v>
      </c>
      <c r="B1569" s="8" t="s">
        <v>493</v>
      </c>
      <c r="C1569" s="19" t="n">
        <v>0</v>
      </c>
      <c r="D1569" s="19" t="n">
        <v>0</v>
      </c>
      <c r="E1569" s="19" t="n">
        <v>2</v>
      </c>
      <c r="F1569" s="19" t="n">
        <v>93.64</v>
      </c>
      <c r="G1569" s="8" t="str">
        <f aca="false">IFERROR(INDEX('TRANS'!$B:$B,MATCH($B1569,'TRANS'!$A:$A,0)),IFERROR(INDEX('TRANS'!$B:$B,MATCH(TRIM(SUBSTITUTE($B1569,CHAR(160)," ")),'TRANS'!$D:$D,0)),IFERROR(INDEX('Catalog'!$A:$A,MATCH($B1569,'Catalog'!$B:$B,0)),IFERROR(INDEX('Catalog'!$A:$A,MATCH(TRIM(SUBSTITUTE($B1569,CHAR(160)," ")),'Catalog'!$C:$C,0)),""))))</f>
        <v/>
      </c>
      <c r="H1569" s="8" t="str">
        <f aca="false">IFERROR(INDEX('TRANS'!$C:$C,MATCH($B1569,'TRANS'!$A:$A,0)),IFERROR(INDEX('Catalog'!$B:$B,MATCH($G1569,'Catalog'!$A:$A,0)),$B1569))</f>
        <v>61BL-M</v>
      </c>
      <c r="I1569" s="8" t="str">
        <f aca="false">IF($G1569="","Unmatched","Matched")</f>
        <v>Unmatched</v>
      </c>
    </row>
    <row r="1570" customFormat="false" ht="15" hidden="false" customHeight="false" outlineLevel="0" collapsed="false">
      <c r="A1570" s="8" t="s">
        <v>814</v>
      </c>
      <c r="B1570" s="8" t="s">
        <v>494</v>
      </c>
      <c r="C1570" s="19" t="n">
        <v>0</v>
      </c>
      <c r="D1570" s="19" t="n">
        <v>0</v>
      </c>
      <c r="E1570" s="19" t="n">
        <v>2</v>
      </c>
      <c r="F1570" s="19" t="n">
        <v>93.68</v>
      </c>
      <c r="G1570" s="8" t="str">
        <f aca="false">IFERROR(INDEX('TRANS'!$B:$B,MATCH($B1570,'TRANS'!$A:$A,0)),IFERROR(INDEX('TRANS'!$B:$B,MATCH(TRIM(SUBSTITUTE($B1570,CHAR(160)," ")),'TRANS'!$D:$D,0)),IFERROR(INDEX('Catalog'!$A:$A,MATCH($B1570,'Catalog'!$B:$B,0)),IFERROR(INDEX('Catalog'!$A:$A,MATCH(TRIM(SUBSTITUTE($B1570,CHAR(160)," ")),'Catalog'!$C:$C,0)),""))))</f>
        <v/>
      </c>
      <c r="H1570" s="8" t="str">
        <f aca="false">IFERROR(INDEX('TRANS'!$C:$C,MATCH($B1570,'TRANS'!$A:$A,0)),IFERROR(INDEX('Catalog'!$B:$B,MATCH($G1570,'Catalog'!$A:$A,0)),$B1570))</f>
        <v>61BL-S</v>
      </c>
      <c r="I1570" s="8" t="str">
        <f aca="false">IF($G1570="","Unmatched","Matched")</f>
        <v>Unmatched</v>
      </c>
    </row>
    <row r="1571" customFormat="false" ht="15" hidden="false" customHeight="false" outlineLevel="0" collapsed="false">
      <c r="A1571" s="8" t="s">
        <v>814</v>
      </c>
      <c r="B1571" s="8" t="s">
        <v>848</v>
      </c>
      <c r="C1571" s="19" t="n">
        <v>0</v>
      </c>
      <c r="D1571" s="19" t="n">
        <v>0</v>
      </c>
      <c r="E1571" s="19" t="n">
        <v>2</v>
      </c>
      <c r="F1571" s="19" t="n">
        <v>93.64</v>
      </c>
      <c r="G1571" s="8" t="str">
        <f aca="false">IFERROR(INDEX('TRANS'!$B:$B,MATCH($B1571,'TRANS'!$A:$A,0)),IFERROR(INDEX('TRANS'!$B:$B,MATCH(TRIM(SUBSTITUTE($B1571,CHAR(160)," ")),'TRANS'!$D:$D,0)),IFERROR(INDEX('Catalog'!$A:$A,MATCH($B1571,'Catalog'!$B:$B,0)),IFERROR(INDEX('Catalog'!$A:$A,MATCH(TRIM(SUBSTITUTE($B1571,CHAR(160)," ")),'Catalog'!$C:$C,0)),""))))</f>
        <v/>
      </c>
      <c r="H1571" s="8" t="str">
        <f aca="false">IFERROR(INDEX('TRANS'!$C:$C,MATCH($B1571,'TRANS'!$A:$A,0)),IFERROR(INDEX('Catalog'!$B:$B,MATCH($G1571,'Catalog'!$A:$A,0)),$B1571))</f>
        <v>61BL-XL</v>
      </c>
      <c r="I1571" s="8" t="str">
        <f aca="false">IF($G1571="","Unmatched","Matched")</f>
        <v>Unmatched</v>
      </c>
    </row>
    <row r="1572" customFormat="false" ht="15" hidden="false" customHeight="false" outlineLevel="0" collapsed="false">
      <c r="A1572" s="8" t="s">
        <v>814</v>
      </c>
      <c r="B1572" s="8" t="s">
        <v>849</v>
      </c>
      <c r="C1572" s="19" t="n">
        <v>0</v>
      </c>
      <c r="D1572" s="19" t="n">
        <v>0</v>
      </c>
      <c r="E1572" s="19" t="n">
        <v>12</v>
      </c>
      <c r="F1572" s="19" t="n">
        <v>786.87</v>
      </c>
      <c r="G1572" s="8" t="str">
        <f aca="false">IFERROR(INDEX('TRANS'!$B:$B,MATCH($B1572,'TRANS'!$A:$A,0)),IFERROR(INDEX('TRANS'!$B:$B,MATCH(TRIM(SUBSTITUTE($B1572,CHAR(160)," ")),'TRANS'!$D:$D,0)),IFERROR(INDEX('Catalog'!$A:$A,MATCH($B1572,'Catalog'!$B:$B,0)),IFERROR(INDEX('Catalog'!$A:$A,MATCH(TRIM(SUBSTITUTE($B1572,CHAR(160)," ")),'Catalog'!$C:$C,0)),""))))</f>
        <v/>
      </c>
      <c r="H1572" s="8" t="str">
        <f aca="false">IFERROR(INDEX('TRANS'!$C:$C,MATCH($B1572,'TRANS'!$A:$A,0)),IFERROR(INDEX('Catalog'!$B:$B,MATCH($G1572,'Catalog'!$A:$A,0)),$B1572))</f>
        <v>621B-L</v>
      </c>
      <c r="I1572" s="8" t="str">
        <f aca="false">IF($G1572="","Unmatched","Matched")</f>
        <v>Unmatched</v>
      </c>
    </row>
    <row r="1573" customFormat="false" ht="15" hidden="false" customHeight="false" outlineLevel="0" collapsed="false">
      <c r="A1573" s="8" t="s">
        <v>814</v>
      </c>
      <c r="B1573" s="8" t="s">
        <v>850</v>
      </c>
      <c r="C1573" s="19" t="n">
        <v>0</v>
      </c>
      <c r="D1573" s="19" t="n">
        <v>0</v>
      </c>
      <c r="E1573" s="19" t="n">
        <v>22</v>
      </c>
      <c r="F1573" s="19" t="n">
        <v>1442.59</v>
      </c>
      <c r="G1573" s="8" t="str">
        <f aca="false">IFERROR(INDEX('TRANS'!$B:$B,MATCH($B1573,'TRANS'!$A:$A,0)),IFERROR(INDEX('TRANS'!$B:$B,MATCH(TRIM(SUBSTITUTE($B1573,CHAR(160)," ")),'TRANS'!$D:$D,0)),IFERROR(INDEX('Catalog'!$A:$A,MATCH($B1573,'Catalog'!$B:$B,0)),IFERROR(INDEX('Catalog'!$A:$A,MATCH(TRIM(SUBSTITUTE($B1573,CHAR(160)," ")),'Catalog'!$C:$C,0)),""))))</f>
        <v/>
      </c>
      <c r="H1573" s="8" t="str">
        <f aca="false">IFERROR(INDEX('TRANS'!$C:$C,MATCH($B1573,'TRANS'!$A:$A,0)),IFERROR(INDEX('Catalog'!$B:$B,MATCH($G1573,'Catalog'!$A:$A,0)),$B1573))</f>
        <v>621B-M</v>
      </c>
      <c r="I1573" s="8" t="str">
        <f aca="false">IF($G1573="","Unmatched","Matched")</f>
        <v>Unmatched</v>
      </c>
    </row>
    <row r="1574" customFormat="false" ht="15" hidden="false" customHeight="false" outlineLevel="0" collapsed="false">
      <c r="A1574" s="8" t="s">
        <v>814</v>
      </c>
      <c r="B1574" s="8" t="s">
        <v>495</v>
      </c>
      <c r="C1574" s="19" t="n">
        <v>0</v>
      </c>
      <c r="D1574" s="19" t="n">
        <v>0</v>
      </c>
      <c r="E1574" s="19" t="n">
        <v>10</v>
      </c>
      <c r="F1574" s="19" t="n">
        <v>655.72</v>
      </c>
      <c r="G1574" s="8" t="str">
        <f aca="false">IFERROR(INDEX('TRANS'!$B:$B,MATCH($B1574,'TRANS'!$A:$A,0)),IFERROR(INDEX('TRANS'!$B:$B,MATCH(TRIM(SUBSTITUTE($B1574,CHAR(160)," ")),'TRANS'!$D:$D,0)),IFERROR(INDEX('Catalog'!$A:$A,MATCH($B1574,'Catalog'!$B:$B,0)),IFERROR(INDEX('Catalog'!$A:$A,MATCH(TRIM(SUBSTITUTE($B1574,CHAR(160)," ")),'Catalog'!$C:$C,0)),""))))</f>
        <v/>
      </c>
      <c r="H1574" s="8" t="str">
        <f aca="false">IFERROR(INDEX('TRANS'!$C:$C,MATCH($B1574,'TRANS'!$A:$A,0)),IFERROR(INDEX('Catalog'!$B:$B,MATCH($G1574,'Catalog'!$A:$A,0)),$B1574))</f>
        <v>621B-S</v>
      </c>
      <c r="I1574" s="8" t="str">
        <f aca="false">IF($G1574="","Unmatched","Matched")</f>
        <v>Unmatched</v>
      </c>
    </row>
    <row r="1575" customFormat="false" ht="15" hidden="false" customHeight="false" outlineLevel="0" collapsed="false">
      <c r="A1575" s="8" t="s">
        <v>814</v>
      </c>
      <c r="B1575" s="8" t="s">
        <v>851</v>
      </c>
      <c r="C1575" s="19" t="n">
        <v>0</v>
      </c>
      <c r="D1575" s="19" t="n">
        <v>0</v>
      </c>
      <c r="E1575" s="19" t="n">
        <v>12</v>
      </c>
      <c r="F1575" s="19" t="n">
        <v>786.86</v>
      </c>
      <c r="G1575" s="8" t="str">
        <f aca="false">IFERROR(INDEX('TRANS'!$B:$B,MATCH($B1575,'TRANS'!$A:$A,0)),IFERROR(INDEX('TRANS'!$B:$B,MATCH(TRIM(SUBSTITUTE($B1575,CHAR(160)," ")),'TRANS'!$D:$D,0)),IFERROR(INDEX('Catalog'!$A:$A,MATCH($B1575,'Catalog'!$B:$B,0)),IFERROR(INDEX('Catalog'!$A:$A,MATCH(TRIM(SUBSTITUTE($B1575,CHAR(160)," ")),'Catalog'!$C:$C,0)),""))))</f>
        <v/>
      </c>
      <c r="H1575" s="8" t="str">
        <f aca="false">IFERROR(INDEX('TRANS'!$C:$C,MATCH($B1575,'TRANS'!$A:$A,0)),IFERROR(INDEX('Catalog'!$B:$B,MATCH($G1575,'Catalog'!$A:$A,0)),$B1575))</f>
        <v>621B-XL</v>
      </c>
      <c r="I1575" s="8" t="str">
        <f aca="false">IF($G1575="","Unmatched","Matched")</f>
        <v>Unmatched</v>
      </c>
    </row>
    <row r="1576" customFormat="false" ht="15" hidden="false" customHeight="false" outlineLevel="0" collapsed="false">
      <c r="A1576" s="8" t="s">
        <v>814</v>
      </c>
      <c r="B1576" s="8" t="s">
        <v>648</v>
      </c>
      <c r="C1576" s="19" t="n">
        <v>1</v>
      </c>
      <c r="D1576" s="19" t="n">
        <v>70</v>
      </c>
      <c r="E1576" s="19" t="n">
        <v>0</v>
      </c>
      <c r="F1576" s="19" t="n">
        <v>0</v>
      </c>
      <c r="G1576" s="8" t="str">
        <f aca="false">IFERROR(INDEX('TRANS'!$B:$B,MATCH($B1576,'TRANS'!$A:$A,0)),IFERROR(INDEX('TRANS'!$B:$B,MATCH(TRIM(SUBSTITUTE($B1576,CHAR(160)," ")),'TRANS'!$D:$D,0)),IFERROR(INDEX('Catalog'!$A:$A,MATCH($B1576,'Catalog'!$B:$B,0)),IFERROR(INDEX('Catalog'!$A:$A,MATCH(TRIM(SUBSTITUTE($B1576,CHAR(160)," ")),'Catalog'!$C:$C,0)),""))))</f>
        <v/>
      </c>
      <c r="H1576" s="8" t="str">
        <f aca="false">IFERROR(INDEX('TRANS'!$C:$C,MATCH($B1576,'TRANS'!$A:$A,0)),IFERROR(INDEX('Catalog'!$B:$B,MATCH($G1576,'Catalog'!$A:$A,0)),$B1576))</f>
        <v>322B M</v>
      </c>
      <c r="I1576" s="8" t="str">
        <f aca="false">IF($G1576="","Unmatched","Matched")</f>
        <v>Unmatched</v>
      </c>
    </row>
    <row r="1577" customFormat="false" ht="15" hidden="false" customHeight="false" outlineLevel="0" collapsed="false">
      <c r="A1577" s="8" t="s">
        <v>814</v>
      </c>
      <c r="B1577" s="8" t="s">
        <v>133</v>
      </c>
      <c r="C1577" s="19" t="n">
        <v>1</v>
      </c>
      <c r="D1577" s="19" t="n">
        <v>30.89</v>
      </c>
      <c r="E1577" s="19" t="n">
        <v>0</v>
      </c>
      <c r="F1577" s="19" t="n">
        <v>0</v>
      </c>
      <c r="G1577" s="8" t="n">
        <f aca="false">IFERROR(INDEX('TRANS'!$B:$B,MATCH($B1577,'TRANS'!$A:$A,0)),IFERROR(INDEX('TRANS'!$B:$B,MATCH(TRIM(SUBSTITUTE($B1577,CHAR(160)," ")),'TRANS'!$D:$D,0)),IFERROR(INDEX('Catalog'!$A:$A,MATCH($B1577,'Catalog'!$B:$B,0)),IFERROR(INDEX('Catalog'!$A:$A,MATCH(TRIM(SUBSTITUTE($B1577,CHAR(160)," ")),'Catalog'!$C:$C,0)),""))))</f>
        <v>4413048</v>
      </c>
      <c r="H1577" s="8" t="str">
        <f aca="false">IFERROR(INDEX('TRANS'!$C:$C,MATCH($B1577,'TRANS'!$A:$A,0)),IFERROR(INDEX('Catalog'!$B:$B,MATCH($G1577,'Catalog'!$A:$A,0)),$B1577))</f>
        <v>35 L מגן קרסול לבן</v>
      </c>
      <c r="I1577" s="8" t="str">
        <f aca="false">IF($G1577="","Unmatched","Matched")</f>
        <v>Matched</v>
      </c>
    </row>
    <row r="1578" customFormat="false" ht="15" hidden="false" customHeight="false" outlineLevel="0" collapsed="false">
      <c r="A1578" s="8" t="s">
        <v>814</v>
      </c>
      <c r="B1578" s="8" t="s">
        <v>134</v>
      </c>
      <c r="C1578" s="19" t="n">
        <v>1</v>
      </c>
      <c r="D1578" s="19" t="n">
        <v>30.89</v>
      </c>
      <c r="E1578" s="19" t="n">
        <v>1</v>
      </c>
      <c r="F1578" s="19" t="n">
        <v>30.89</v>
      </c>
      <c r="G1578" s="8" t="n">
        <f aca="false">IFERROR(INDEX('TRANS'!$B:$B,MATCH($B1578,'TRANS'!$A:$A,0)),IFERROR(INDEX('TRANS'!$B:$B,MATCH(TRIM(SUBSTITUTE($B1578,CHAR(160)," ")),'TRANS'!$D:$D,0)),IFERROR(INDEX('Catalog'!$A:$A,MATCH($B1578,'Catalog'!$B:$B,0)),IFERROR(INDEX('Catalog'!$A:$A,MATCH(TRIM(SUBSTITUTE($B1578,CHAR(160)," ")),'Catalog'!$C:$C,0)),""))))</f>
        <v>4413049</v>
      </c>
      <c r="H1578" s="8" t="str">
        <f aca="false">IFERROR(INDEX('TRANS'!$C:$C,MATCH($B1578,'TRANS'!$A:$A,0)),IFERROR(INDEX('Catalog'!$B:$B,MATCH($G1578,'Catalog'!$A:$A,0)),$B1578))</f>
        <v>35 M מגן קרסול לבן</v>
      </c>
      <c r="I1578" s="8" t="str">
        <f aca="false">IF($G1578="","Unmatched","Matched")</f>
        <v>Matched</v>
      </c>
    </row>
    <row r="1579" customFormat="false" ht="15" hidden="false" customHeight="false" outlineLevel="0" collapsed="false">
      <c r="A1579" s="8" t="s">
        <v>814</v>
      </c>
      <c r="B1579" s="8" t="s">
        <v>360</v>
      </c>
      <c r="C1579" s="19" t="n">
        <v>1</v>
      </c>
      <c r="D1579" s="19" t="n">
        <v>30.89</v>
      </c>
      <c r="E1579" s="19" t="n">
        <v>0</v>
      </c>
      <c r="F1579" s="19" t="n">
        <v>0</v>
      </c>
      <c r="G1579" s="8" t="n">
        <f aca="false">IFERROR(INDEX('TRANS'!$B:$B,MATCH($B1579,'TRANS'!$A:$A,0)),IFERROR(INDEX('TRANS'!$B:$B,MATCH(TRIM(SUBSTITUTE($B1579,CHAR(160)," ")),'TRANS'!$D:$D,0)),IFERROR(INDEX('Catalog'!$A:$A,MATCH($B1579,'Catalog'!$B:$B,0)),IFERROR(INDEX('Catalog'!$A:$A,MATCH(TRIM(SUBSTITUTE($B1579,CHAR(160)," ")),'Catalog'!$C:$C,0)),""))))</f>
        <v>4413050</v>
      </c>
      <c r="H1579" s="8" t="str">
        <f aca="false">IFERROR(INDEX('TRANS'!$C:$C,MATCH($B1579,'TRANS'!$A:$A,0)),IFERROR(INDEX('Catalog'!$B:$B,MATCH($G1579,'Catalog'!$A:$A,0)),$B1579))</f>
        <v>35 XL מגן קרסול לבן</v>
      </c>
      <c r="I1579" s="8" t="str">
        <f aca="false">IF($G1579="","Unmatched","Matched")</f>
        <v>Matched</v>
      </c>
    </row>
    <row r="1580" customFormat="false" ht="15" hidden="false" customHeight="false" outlineLevel="0" collapsed="false">
      <c r="A1580" s="8" t="s">
        <v>814</v>
      </c>
      <c r="B1580" s="8" t="s">
        <v>142</v>
      </c>
      <c r="C1580" s="19" t="n">
        <v>2</v>
      </c>
      <c r="D1580" s="19" t="n">
        <v>61.78</v>
      </c>
      <c r="E1580" s="19" t="n">
        <v>0</v>
      </c>
      <c r="F1580" s="19" t="n">
        <v>0</v>
      </c>
      <c r="G1580" s="8" t="n">
        <f aca="false">IFERROR(INDEX('TRANS'!$B:$B,MATCH($B1580,'TRANS'!$A:$A,0)),IFERROR(INDEX('TRANS'!$B:$B,MATCH(TRIM(SUBSTITUTE($B1580,CHAR(160)," ")),'TRANS'!$D:$D,0)),IFERROR(INDEX('Catalog'!$A:$A,MATCH($B1580,'Catalog'!$B:$B,0)),IFERROR(INDEX('Catalog'!$A:$A,MATCH(TRIM(SUBSTITUTE($B1580,CHAR(160)," ")),'Catalog'!$C:$C,0)),""))))</f>
        <v>4413052</v>
      </c>
      <c r="H1580" s="8" t="str">
        <f aca="false">IFERROR(INDEX('TRANS'!$C:$C,MATCH($B1580,'TRANS'!$A:$A,0)),IFERROR(INDEX('Catalog'!$B:$B,MATCH($G1580,'Catalog'!$A:$A,0)),$B1580))</f>
        <v>35C S מגן קרסול חום</v>
      </c>
      <c r="I1580" s="8" t="str">
        <f aca="false">IF($G1580="","Unmatched","Matched")</f>
        <v>Matched</v>
      </c>
    </row>
    <row r="1581" customFormat="false" ht="15" hidden="false" customHeight="false" outlineLevel="0" collapsed="false">
      <c r="A1581" s="8" t="s">
        <v>814</v>
      </c>
      <c r="B1581" s="8" t="s">
        <v>497</v>
      </c>
      <c r="C1581" s="19" t="n">
        <v>3</v>
      </c>
      <c r="D1581" s="19" t="n">
        <v>0.02</v>
      </c>
      <c r="E1581" s="19" t="n">
        <v>0</v>
      </c>
      <c r="F1581" s="19" t="n">
        <v>0</v>
      </c>
      <c r="G1581" s="8" t="str">
        <f aca="false">IFERROR(INDEX('TRANS'!$B:$B,MATCH($B1581,'TRANS'!$A:$A,0)),IFERROR(INDEX('TRANS'!$B:$B,MATCH(TRIM(SUBSTITUTE($B1581,CHAR(160)," ")),'TRANS'!$D:$D,0)),IFERROR(INDEX('Catalog'!$A:$A,MATCH($B1581,'Catalog'!$B:$B,0)),IFERROR(INDEX('Catalog'!$A:$A,MATCH(TRIM(SUBSTITUTE($B1581,CHAR(160)," ")),'Catalog'!$C:$C,0)),""))))</f>
        <v/>
      </c>
      <c r="H1581" s="8" t="str">
        <f aca="false">IFERROR(INDEX('TRANS'!$C:$C,MATCH($B1581,'TRANS'!$A:$A,0)),IFERROR(INDEX('Catalog'!$B:$B,MATCH($G1581,'Catalog'!$A:$A,0)),$B1581))</f>
        <v>67800020</v>
      </c>
      <c r="I1581" s="8" t="str">
        <f aca="false">IF($G1581="","Unmatched","Matched")</f>
        <v>Unmatched</v>
      </c>
    </row>
    <row r="1582" customFormat="false" ht="15" hidden="false" customHeight="false" outlineLevel="0" collapsed="false">
      <c r="A1582" s="8" t="s">
        <v>814</v>
      </c>
      <c r="B1582" s="8" t="s">
        <v>53</v>
      </c>
      <c r="C1582" s="19" t="n">
        <v>0</v>
      </c>
      <c r="D1582" s="19" t="n">
        <v>0</v>
      </c>
      <c r="E1582" s="19" t="n">
        <v>1</v>
      </c>
      <c r="F1582" s="19" t="n">
        <v>164.01</v>
      </c>
      <c r="G1582" s="8" t="n">
        <f aca="false">IFERROR(INDEX('TRANS'!$B:$B,MATCH($B1582,'TRANS'!$A:$A,0)),IFERROR(INDEX('TRANS'!$B:$B,MATCH(TRIM(SUBSTITUTE($B1582,CHAR(160)," ")),'TRANS'!$D:$D,0)),IFERROR(INDEX('Catalog'!$A:$A,MATCH($B1582,'Catalog'!$B:$B,0)),IFERROR(INDEX('Catalog'!$A:$A,MATCH(TRIM(SUBSTITUTE($B1582,CHAR(160)," ")),'Catalog'!$C:$C,0)),""))))</f>
        <v>4413129</v>
      </c>
      <c r="H1582" s="8" t="str">
        <f aca="false">IFERROR(INDEX('TRANS'!$C:$C,MATCH($B1582,'TRANS'!$A:$A,0)),IFERROR(INDEX('Catalog'!$B:$B,MATCH($G1582,'Catalog'!$A:$A,0)),$B1582))</f>
        <v>75 XLמיישר כתף יציב יישור ג.צר</v>
      </c>
      <c r="I1582" s="8" t="str">
        <f aca="false">IF($G1582="","Unmatched","Matched")</f>
        <v>Matched</v>
      </c>
    </row>
    <row r="1583" customFormat="false" ht="15" hidden="false" customHeight="false" outlineLevel="0" collapsed="false">
      <c r="A1583" s="8" t="s">
        <v>814</v>
      </c>
      <c r="B1583" s="8" t="s">
        <v>253</v>
      </c>
      <c r="C1583" s="19" t="n">
        <v>4</v>
      </c>
      <c r="D1583" s="19" t="n">
        <v>211.33</v>
      </c>
      <c r="E1583" s="19" t="n">
        <v>0</v>
      </c>
      <c r="F1583" s="19" t="n">
        <v>0</v>
      </c>
      <c r="G1583" s="8" t="n">
        <f aca="false">IFERROR(INDEX('TRANS'!$B:$B,MATCH($B1583,'TRANS'!$A:$A,0)),IFERROR(INDEX('TRANS'!$B:$B,MATCH(TRIM(SUBSTITUTE($B1583,CHAR(160)," ")),'TRANS'!$D:$D,0)),IFERROR(INDEX('Catalog'!$A:$A,MATCH($B1583,'Catalog'!$B:$B,0)),IFERROR(INDEX('Catalog'!$A:$A,MATCH(TRIM(SUBSTITUTE($B1583,CHAR(160)," ")),'Catalog'!$C:$C,0)),""))))</f>
        <v>4413136</v>
      </c>
      <c r="H1583" s="8" t="str">
        <f aca="false">IFERROR(INDEX('TRANS'!$C:$C,MATCH($B1583,'TRANS'!$A:$A,0)),IFERROR(INDEX('Catalog'!$B:$B,MATCH($G1583,'Catalog'!$A:$A,0)),$B1583))</f>
        <v>85 M (מתלה ליד )כיס</v>
      </c>
      <c r="I1583" s="8" t="str">
        <f aca="false">IF($G1583="","Unmatched","Matched")</f>
        <v>Matched</v>
      </c>
    </row>
    <row r="1584" customFormat="false" ht="15" hidden="false" customHeight="false" outlineLevel="0" collapsed="false">
      <c r="A1584" s="8" t="s">
        <v>814</v>
      </c>
      <c r="B1584" s="8" t="s">
        <v>664</v>
      </c>
      <c r="C1584" s="19" t="n">
        <v>2</v>
      </c>
      <c r="D1584" s="19" t="n">
        <v>113.32</v>
      </c>
      <c r="E1584" s="19" t="n">
        <v>3</v>
      </c>
      <c r="F1584" s="19" t="n">
        <v>154.66</v>
      </c>
      <c r="G1584" s="8" t="n">
        <f aca="false">IFERROR(INDEX('TRANS'!$B:$B,MATCH($B1584,'TRANS'!$A:$A,0)),IFERROR(INDEX('TRANS'!$B:$B,MATCH(TRIM(SUBSTITUTE($B1584,CHAR(160)," ")),'TRANS'!$D:$D,0)),IFERROR(INDEX('Catalog'!$A:$A,MATCH($B1584,'Catalog'!$B:$B,0)),IFERROR(INDEX('Catalog'!$A:$A,MATCH(TRIM(SUBSTITUTE($B1584,CHAR(160)," ")),'Catalog'!$C:$C,0)),""))))</f>
        <v>4413137</v>
      </c>
      <c r="H1584" s="8" t="str">
        <f aca="false">IFERROR(INDEX('TRANS'!$C:$C,MATCH($B1584,'TRANS'!$A:$A,0)),IFERROR(INDEX('Catalog'!$B:$B,MATCH($G1584,'Catalog'!$A:$A,0)),$B1584))</f>
        <v>85 S (מתלה ליד )כיס</v>
      </c>
      <c r="I1584" s="8" t="str">
        <f aca="false">IF($G1584="","Unmatched","Matched")</f>
        <v>Matched</v>
      </c>
    </row>
    <row r="1585" customFormat="false" ht="15" hidden="false" customHeight="false" outlineLevel="0" collapsed="false">
      <c r="A1585" s="8" t="s">
        <v>814</v>
      </c>
      <c r="B1585" s="8" t="s">
        <v>254</v>
      </c>
      <c r="C1585" s="19" t="n">
        <v>0</v>
      </c>
      <c r="D1585" s="19" t="n">
        <v>0</v>
      </c>
      <c r="E1585" s="19" t="n">
        <v>3</v>
      </c>
      <c r="F1585" s="19" t="n">
        <v>154.66</v>
      </c>
      <c r="G1585" s="8" t="n">
        <f aca="false">IFERROR(INDEX('TRANS'!$B:$B,MATCH($B1585,'TRANS'!$A:$A,0)),IFERROR(INDEX('TRANS'!$B:$B,MATCH(TRIM(SUBSTITUTE($B1585,CHAR(160)," ")),'TRANS'!$D:$D,0)),IFERROR(INDEX('Catalog'!$A:$A,MATCH($B1585,'Catalog'!$B:$B,0)),IFERROR(INDEX('Catalog'!$A:$A,MATCH(TRIM(SUBSTITUTE($B1585,CHAR(160)," ")),'Catalog'!$C:$C,0)),""))))</f>
        <v>4413138</v>
      </c>
      <c r="H1585" s="8" t="str">
        <f aca="false">IFERROR(INDEX('TRANS'!$C:$C,MATCH($B1585,'TRANS'!$A:$A,0)),IFERROR(INDEX('Catalog'!$B:$B,MATCH($G1585,'Catalog'!$A:$A,0)),$B1585))</f>
        <v>85 XL (מתלה ליד )כיס</v>
      </c>
      <c r="I1585" s="8" t="str">
        <f aca="false">IF($G1585="","Unmatched","Matched")</f>
        <v>Matched</v>
      </c>
    </row>
    <row r="1586" customFormat="false" ht="15" hidden="false" customHeight="false" outlineLevel="0" collapsed="false">
      <c r="A1586" s="8" t="s">
        <v>814</v>
      </c>
      <c r="B1586" s="8" t="s">
        <v>733</v>
      </c>
      <c r="C1586" s="19" t="n">
        <v>1</v>
      </c>
      <c r="D1586" s="19" t="n">
        <v>141.97</v>
      </c>
      <c r="E1586" s="19" t="n">
        <v>0</v>
      </c>
      <c r="F1586" s="19" t="n">
        <v>0</v>
      </c>
      <c r="G1586" s="8" t="str">
        <f aca="false">IFERROR(INDEX('TRANS'!$B:$B,MATCH($B1586,'TRANS'!$A:$A,0)),IFERROR(INDEX('TRANS'!$B:$B,MATCH(TRIM(SUBSTITUTE($B1586,CHAR(160)," ")),'TRANS'!$D:$D,0)),IFERROR(INDEX('Catalog'!$A:$A,MATCH($B1586,'Catalog'!$B:$B,0)),IFERROR(INDEX('Catalog'!$A:$A,MATCH(TRIM(SUBSTITUTE($B1586,CHAR(160)," ")),'Catalog'!$C:$C,0)),""))))</f>
        <v/>
      </c>
      <c r="H1586" s="8" t="str">
        <f aca="false">IFERROR(INDEX('TRANS'!$C:$C,MATCH($B1586,'TRANS'!$A:$A,0)),IFERROR(INDEX('Catalog'!$B:$B,MATCH($G1586,'Catalog'!$A:$A,0)),$B1586))</f>
        <v>922B XXL</v>
      </c>
      <c r="I1586" s="8" t="str">
        <f aca="false">IF($G1586="","Unmatched","Matched")</f>
        <v>Unmatched</v>
      </c>
    </row>
    <row r="1587" customFormat="false" ht="15" hidden="false" customHeight="false" outlineLevel="0" collapsed="false">
      <c r="A1587" s="8" t="s">
        <v>814</v>
      </c>
      <c r="B1587" s="8" t="s">
        <v>430</v>
      </c>
      <c r="C1587" s="19" t="n">
        <v>3</v>
      </c>
      <c r="D1587" s="19" t="n">
        <v>92.66</v>
      </c>
      <c r="E1587" s="19" t="n">
        <v>0</v>
      </c>
      <c r="F1587" s="19" t="n">
        <v>0</v>
      </c>
      <c r="G1587" s="8" t="n">
        <f aca="false">IFERROR(INDEX('TRANS'!$B:$B,MATCH($B1587,'TRANS'!$A:$A,0)),IFERROR(INDEX('TRANS'!$B:$B,MATCH(TRIM(SUBSTITUTE($B1587,CHAR(160)," ")),'TRANS'!$D:$D,0)),IFERROR(INDEX('Catalog'!$A:$A,MATCH($B1587,'Catalog'!$B:$B,0)),IFERROR(INDEX('Catalog'!$A:$A,MATCH(TRIM(SUBSTITUTE($B1587,CHAR(160)," ")),'Catalog'!$C:$C,0)),""))))</f>
        <v>4413366</v>
      </c>
      <c r="H1587" s="8" t="str">
        <f aca="false">IFERROR(INDEX('TRANS'!$C:$C,MATCH($B1587,'TRANS'!$A:$A,0)),IFERROR(INDEX('Catalog'!$B:$B,MATCH($G1587,'Catalog'!$A:$A,0)),$B1587))</f>
        <v>95C S 'מגן מרפק בז</v>
      </c>
      <c r="I1587" s="8" t="str">
        <f aca="false">IF($G1587="","Unmatched","Matched")</f>
        <v>Matched</v>
      </c>
    </row>
    <row r="1588" customFormat="false" ht="15" hidden="false" customHeight="false" outlineLevel="0" collapsed="false">
      <c r="A1588" s="8" t="s">
        <v>814</v>
      </c>
      <c r="B1588" s="8" t="s">
        <v>278</v>
      </c>
      <c r="C1588" s="19" t="n">
        <v>2</v>
      </c>
      <c r="D1588" s="19" t="n">
        <v>84.27</v>
      </c>
      <c r="E1588" s="19" t="n">
        <v>0</v>
      </c>
      <c r="F1588" s="19" t="n">
        <v>0</v>
      </c>
      <c r="G1588" s="8" t="n">
        <f aca="false">IFERROR(INDEX('TRANS'!$B:$B,MATCH($B1588,'TRANS'!$A:$A,0)),IFERROR(INDEX('TRANS'!$B:$B,MATCH(TRIM(SUBSTITUTE($B1588,CHAR(160)," ")),'TRANS'!$D:$D,0)),IFERROR(INDEX('Catalog'!$A:$A,MATCH($B1588,'Catalog'!$B:$B,0)),IFERROR(INDEX('Catalog'!$A:$A,MATCH(TRIM(SUBSTITUTE($B1588,CHAR(160)," ")),'Catalog'!$C:$C,0)),""))))</f>
        <v>4413331</v>
      </c>
      <c r="H1588" s="8" t="str">
        <f aca="false">IFERROR(INDEX('TRANS'!$C:$C,MATCH($B1588,'TRANS'!$A:$A,0)),IFERROR(INDEX('Catalog'!$B:$B,MATCH($G1588,'Catalog'!$A:$A,0)),$B1588))</f>
        <v>AC95 מגן מרפק</v>
      </c>
      <c r="I1588" s="8" t="str">
        <f aca="false">IF($G1588="","Unmatched","Matched")</f>
        <v>Matched</v>
      </c>
    </row>
    <row r="1589" customFormat="false" ht="15" hidden="false" customHeight="false" outlineLevel="0" collapsed="false">
      <c r="A1589" s="8" t="s">
        <v>814</v>
      </c>
      <c r="B1589" s="8" t="s">
        <v>520</v>
      </c>
      <c r="C1589" s="19" t="n">
        <v>1</v>
      </c>
      <c r="D1589" s="19" t="n">
        <v>328.06</v>
      </c>
      <c r="E1589" s="19" t="n">
        <v>0</v>
      </c>
      <c r="F1589" s="19" t="n">
        <v>0</v>
      </c>
      <c r="G1589" s="8" t="str">
        <f aca="false">IFERROR(INDEX('TRANS'!$B:$B,MATCH($B1589,'TRANS'!$A:$A,0)),IFERROR(INDEX('TRANS'!$B:$B,MATCH(TRIM(SUBSTITUTE($B1589,CHAR(160)," ")),'TRANS'!$D:$D,0)),IFERROR(INDEX('Catalog'!$A:$A,MATCH($B1589,'Catalog'!$B:$B,0)),IFERROR(INDEX('Catalog'!$A:$A,MATCH(TRIM(SUBSTITUTE($B1589,CHAR(160)," ")),'Catalog'!$C:$C,0)),""))))</f>
        <v/>
      </c>
      <c r="H1589" s="8" t="str">
        <f aca="false">IFERROR(INDEX('TRANS'!$C:$C,MATCH($B1589,'TRANS'!$A:$A,0)),IFERROR(INDEX('Catalog'!$B:$B,MATCH($G1589,'Catalog'!$A:$A,0)),$B1589))</f>
        <v>N433D XL</v>
      </c>
      <c r="I1589" s="8" t="str">
        <f aca="false">IF($G1589="","Unmatched","Matched")</f>
        <v>Unmatched</v>
      </c>
    </row>
    <row r="1590" customFormat="false" ht="15" hidden="false" customHeight="false" outlineLevel="0" collapsed="false">
      <c r="A1590" s="8" t="s">
        <v>814</v>
      </c>
      <c r="B1590" s="8" t="s">
        <v>315</v>
      </c>
      <c r="C1590" s="19" t="n">
        <v>7</v>
      </c>
      <c r="D1590" s="19" t="n">
        <v>249</v>
      </c>
      <c r="E1590" s="19" t="n">
        <v>0</v>
      </c>
      <c r="F1590" s="19" t="n">
        <v>0</v>
      </c>
      <c r="G1590" s="8" t="n">
        <f aca="false">IFERROR(INDEX('TRANS'!$B:$B,MATCH($B1590,'TRANS'!$A:$A,0)),IFERROR(INDEX('TRANS'!$B:$B,MATCH(TRIM(SUBSTITUTE($B1590,CHAR(160)," ")),'TRANS'!$D:$D,0)),IFERROR(INDEX('Catalog'!$A:$A,MATCH($B1590,'Catalog'!$B:$B,0)),IFERROR(INDEX('Catalog'!$A:$A,MATCH(TRIM(SUBSTITUTE($B1590,CHAR(160)," ")),'Catalog'!$C:$C,0)),""))))</f>
        <v>4408095</v>
      </c>
      <c r="H1590" s="8" t="str">
        <f aca="false">IFERROR(INDEX('TRANS'!$C:$C,MATCH($B1590,'TRANS'!$A:$A,0)),IFERROR(INDEX('Catalog'!$B:$B,MATCH($G1590,'Catalog'!$A:$A,0)),$B1590))</f>
        <v>T20 L-XL  חבק יד עם צמדן</v>
      </c>
      <c r="I1590" s="8" t="str">
        <f aca="false">IF($G1590="","Unmatched","Matched")</f>
        <v>Matched</v>
      </c>
    </row>
    <row r="1591" customFormat="false" ht="15" hidden="false" customHeight="false" outlineLevel="0" collapsed="false">
      <c r="A1591" s="8" t="s">
        <v>814</v>
      </c>
      <c r="B1591" s="8" t="s">
        <v>321</v>
      </c>
      <c r="C1591" s="19" t="n">
        <v>1</v>
      </c>
      <c r="D1591" s="19" t="n">
        <v>70.26</v>
      </c>
      <c r="E1591" s="19" t="n">
        <v>0</v>
      </c>
      <c r="F1591" s="19" t="n">
        <v>0</v>
      </c>
      <c r="G1591" s="8" t="n">
        <f aca="false">IFERROR(INDEX('TRANS'!$B:$B,MATCH($B1591,'TRANS'!$A:$A,0)),IFERROR(INDEX('TRANS'!$B:$B,MATCH(TRIM(SUBSTITUTE($B1591,CHAR(160)," ")),'TRANS'!$D:$D,0)),IFERROR(INDEX('Catalog'!$A:$A,MATCH($B1591,'Catalog'!$B:$B,0)),IFERROR(INDEX('Catalog'!$A:$A,MATCH(TRIM(SUBSTITUTE($B1591,CHAR(160)," ")),'Catalog'!$C:$C,0)),""))))</f>
        <v>4415075</v>
      </c>
      <c r="H1591" s="8" t="str">
        <f aca="false">IFERROR(INDEX('TRANS'!$C:$C,MATCH($B1591,'TRANS'!$A:$A,0)),IFERROR(INDEX('Catalog'!$B:$B,MATCH($G1591,'Catalog'!$A:$A,0)),$B1591))</f>
        <v>T28AC L-XL סד לאגודל</v>
      </c>
      <c r="I1591" s="8" t="str">
        <f aca="false">IF($G1591="","Unmatched","Matched")</f>
        <v>Matched</v>
      </c>
    </row>
    <row r="1592" customFormat="false" ht="15" hidden="false" customHeight="false" outlineLevel="0" collapsed="false">
      <c r="A1592" s="8" t="s">
        <v>814</v>
      </c>
      <c r="B1592" s="8" t="s">
        <v>322</v>
      </c>
      <c r="C1592" s="19" t="n">
        <v>1</v>
      </c>
      <c r="D1592" s="19" t="n">
        <v>70.26</v>
      </c>
      <c r="E1592" s="19" t="n">
        <v>0</v>
      </c>
      <c r="F1592" s="19" t="n">
        <v>0</v>
      </c>
      <c r="G1592" s="8" t="n">
        <f aca="false">IFERROR(INDEX('TRANS'!$B:$B,MATCH($B1592,'TRANS'!$A:$A,0)),IFERROR(INDEX('TRANS'!$B:$B,MATCH(TRIM(SUBSTITUTE($B1592,CHAR(160)," ")),'TRANS'!$D:$D,0)),IFERROR(INDEX('Catalog'!$A:$A,MATCH($B1592,'Catalog'!$B:$B,0)),IFERROR(INDEX('Catalog'!$A:$A,MATCH(TRIM(SUBSTITUTE($B1592,CHAR(160)," ")),'Catalog'!$C:$C,0)),""))))</f>
        <v>4415074</v>
      </c>
      <c r="H1592" s="8" t="str">
        <f aca="false">IFERROR(INDEX('TRANS'!$C:$C,MATCH($B1592,'TRANS'!$A:$A,0)),IFERROR(INDEX('Catalog'!$B:$B,MATCH($G1592,'Catalog'!$A:$A,0)),$B1592))</f>
        <v>T28AC S-M סד לאגודל</v>
      </c>
      <c r="I1592" s="8" t="str">
        <f aca="false">IF($G1592="","Unmatched","Matched")</f>
        <v>Matched</v>
      </c>
    </row>
    <row r="1593" customFormat="false" ht="15" hidden="false" customHeight="false" outlineLevel="0" collapsed="false">
      <c r="A1593" s="8" t="s">
        <v>814</v>
      </c>
      <c r="B1593" s="8" t="s">
        <v>672</v>
      </c>
      <c r="C1593" s="19" t="n">
        <v>1</v>
      </c>
      <c r="D1593" s="19" t="n">
        <v>107.76</v>
      </c>
      <c r="E1593" s="19" t="n">
        <v>0</v>
      </c>
      <c r="F1593" s="19" t="n">
        <v>0</v>
      </c>
      <c r="G1593" s="8" t="str">
        <f aca="false">IFERROR(INDEX('TRANS'!$B:$B,MATCH($B1593,'TRANS'!$A:$A,0)),IFERROR(INDEX('TRANS'!$B:$B,MATCH(TRIM(SUBSTITUTE($B1593,CHAR(160)," ")),'TRANS'!$D:$D,0)),IFERROR(INDEX('Catalog'!$A:$A,MATCH($B1593,'Catalog'!$B:$B,0)),IFERROR(INDEX('Catalog'!$A:$A,MATCH(TRIM(SUBSTITUTE($B1593,CHAR(160)," ")),'Catalog'!$C:$C,0)),""))))</f>
        <v/>
      </c>
      <c r="H1593" s="8" t="str">
        <f aca="false">IFERROR(INDEX('TRANS'!$C:$C,MATCH($B1593,'TRANS'!$A:$A,0)),IFERROR(INDEX('Catalog'!$B:$B,MATCH($G1593,'Catalog'!$A:$A,0)),$B1593))</f>
        <v>T39 L</v>
      </c>
      <c r="I1593" s="8" t="str">
        <f aca="false">IF($G1593="","Unmatched","Matched")</f>
        <v>Unmatched</v>
      </c>
    </row>
    <row r="1594" customFormat="false" ht="15" hidden="false" customHeight="false" outlineLevel="0" collapsed="false">
      <c r="A1594" s="8" t="s">
        <v>814</v>
      </c>
      <c r="B1594" s="8" t="s">
        <v>58</v>
      </c>
      <c r="C1594" s="19" t="n">
        <v>1</v>
      </c>
      <c r="D1594" s="19" t="n">
        <v>107.76</v>
      </c>
      <c r="E1594" s="19" t="n">
        <v>0</v>
      </c>
      <c r="F1594" s="19" t="n">
        <v>0</v>
      </c>
      <c r="G1594" s="8" t="str">
        <f aca="false">IFERROR(INDEX('TRANS'!$B:$B,MATCH($B1594,'TRANS'!$A:$A,0)),IFERROR(INDEX('TRANS'!$B:$B,MATCH(TRIM(SUBSTITUTE($B1594,CHAR(160)," ")),'TRANS'!$D:$D,0)),IFERROR(INDEX('Catalog'!$A:$A,MATCH($B1594,'Catalog'!$B:$B,0)),IFERROR(INDEX('Catalog'!$A:$A,MATCH(TRIM(SUBSTITUTE($B1594,CHAR(160)," ")),'Catalog'!$C:$C,0)),""))))</f>
        <v/>
      </c>
      <c r="H1594" s="8" t="str">
        <f aca="false">IFERROR(INDEX('TRANS'!$C:$C,MATCH($B1594,'TRANS'!$A:$A,0)),IFERROR(INDEX('Catalog'!$B:$B,MATCH($G1594,'Catalog'!$A:$A,0)),$B1594))</f>
        <v>T39 XL</v>
      </c>
      <c r="I1594" s="8" t="str">
        <f aca="false">IF($G1594="","Unmatched","Matched")</f>
        <v>Unmatched</v>
      </c>
    </row>
    <row r="1595" customFormat="false" ht="15" hidden="false" customHeight="false" outlineLevel="0" collapsed="false">
      <c r="A1595" s="8" t="s">
        <v>814</v>
      </c>
      <c r="B1595" s="8" t="s">
        <v>472</v>
      </c>
      <c r="C1595" s="19" t="n">
        <v>0</v>
      </c>
      <c r="D1595" s="19" t="n">
        <v>0</v>
      </c>
      <c r="E1595" s="19" t="n">
        <v>2</v>
      </c>
      <c r="F1595" s="19" t="n">
        <v>206.14</v>
      </c>
      <c r="G1595" s="8" t="str">
        <f aca="false">IFERROR(INDEX('TRANS'!$B:$B,MATCH($B1595,'TRANS'!$A:$A,0)),IFERROR(INDEX('TRANS'!$B:$B,MATCH(TRIM(SUBSTITUTE($B1595,CHAR(160)," ")),'TRANS'!$D:$D,0)),IFERROR(INDEX('Catalog'!$A:$A,MATCH($B1595,'Catalog'!$B:$B,0)),IFERROR(INDEX('Catalog'!$A:$A,MATCH(TRIM(SUBSTITUTE($B1595,CHAR(160)," ")),'Catalog'!$C:$C,0)),""))))</f>
        <v/>
      </c>
      <c r="H1595" s="8" t="str">
        <f aca="false">IFERROR(INDEX('TRANS'!$C:$C,MATCH($B1595,'TRANS'!$A:$A,0)),IFERROR(INDEX('Catalog'!$B:$B,MATCH($G1595,'Catalog'!$A:$A,0)),$B1595))</f>
        <v>26 XS</v>
      </c>
      <c r="I1595" s="8" t="str">
        <f aca="false">IF($G1595="","Unmatched","Matched")</f>
        <v>Unmatched</v>
      </c>
    </row>
    <row r="1596" customFormat="false" ht="15" hidden="false" customHeight="false" outlineLevel="0" collapsed="false">
      <c r="A1596" s="8" t="s">
        <v>814</v>
      </c>
      <c r="B1596" s="8" t="s">
        <v>192</v>
      </c>
      <c r="C1596" s="19" t="n">
        <v>6</v>
      </c>
      <c r="D1596" s="19" t="n">
        <v>125</v>
      </c>
      <c r="E1596" s="19" t="n">
        <v>0</v>
      </c>
      <c r="F1596" s="19" t="n">
        <v>0</v>
      </c>
      <c r="G1596" s="8" t="n">
        <f aca="false">IFERROR(INDEX('TRANS'!$B:$B,MATCH($B1596,'TRANS'!$A:$A,0)),IFERROR(INDEX('TRANS'!$B:$B,MATCH(TRIM(SUBSTITUTE($B1596,CHAR(160)," ")),'TRANS'!$D:$D,0)),IFERROR(INDEX('Catalog'!$A:$A,MATCH($B1596,'Catalog'!$B:$B,0)),IFERROR(INDEX('Catalog'!$A:$A,MATCH(TRIM(SUBSTITUTE($B1596,CHAR(160)," ")),'Catalog'!$C:$C,0)),""))))</f>
        <v>4403023</v>
      </c>
      <c r="H1596" s="8" t="str">
        <f aca="false">IFERROR(INDEX('TRANS'!$C:$C,MATCH($B1596,'TRANS'!$A:$A,0)),IFERROR(INDEX('Catalog'!$B:$B,MATCH($G1596,'Catalog'!$A:$A,0)),$B1596))</f>
        <v>394W 35-38 גרב.כסף לסכרתים לבן</v>
      </c>
      <c r="I1596" s="8" t="str">
        <f aca="false">IF($G1596="","Unmatched","Matched")</f>
        <v>Matched</v>
      </c>
    </row>
    <row r="1597" customFormat="false" ht="15" hidden="false" customHeight="false" outlineLevel="0" collapsed="false">
      <c r="A1597" s="8" t="s">
        <v>814</v>
      </c>
      <c r="B1597" s="8" t="s">
        <v>431</v>
      </c>
      <c r="C1597" s="19" t="n">
        <v>2</v>
      </c>
      <c r="D1597" s="19" t="n">
        <v>61.78</v>
      </c>
      <c r="E1597" s="19" t="n">
        <v>0</v>
      </c>
      <c r="F1597" s="19" t="n">
        <v>0</v>
      </c>
      <c r="G1597" s="8" t="n">
        <f aca="false">IFERROR(INDEX('TRANS'!$B:$B,MATCH($B1597,'TRANS'!$A:$A,0)),IFERROR(INDEX('TRANS'!$B:$B,MATCH(TRIM(SUBSTITUTE($B1597,CHAR(160)," ")),'TRANS'!$D:$D,0)),IFERROR(INDEX('Catalog'!$A:$A,MATCH($B1597,'Catalog'!$B:$B,0)),IFERROR(INDEX('Catalog'!$A:$A,MATCH(TRIM(SUBSTITUTE($B1597,CHAR(160)," ")),'Catalog'!$C:$C,0)),""))))</f>
        <v>4413367</v>
      </c>
      <c r="H1597" s="8" t="str">
        <f aca="false">IFERROR(INDEX('TRANS'!$C:$C,MATCH($B1597,'TRANS'!$A:$A,0)),IFERROR(INDEX('Catalog'!$B:$B,MATCH($G1597,'Catalog'!$A:$A,0)),$B1597))</f>
        <v>95C XL'מגן מרפק בז</v>
      </c>
      <c r="I1597" s="8" t="str">
        <f aca="false">IF($G1597="","Unmatched","Matched")</f>
        <v>Matched</v>
      </c>
    </row>
    <row r="1598" customFormat="false" ht="15" hidden="false" customHeight="false" outlineLevel="0" collapsed="false">
      <c r="A1598" s="8" t="s">
        <v>814</v>
      </c>
      <c r="B1598" s="8" t="s">
        <v>852</v>
      </c>
      <c r="C1598" s="19" t="n">
        <v>1</v>
      </c>
      <c r="D1598" s="19" t="n">
        <v>30.89</v>
      </c>
      <c r="E1598" s="19" t="n">
        <v>0</v>
      </c>
      <c r="F1598" s="19" t="n">
        <v>0</v>
      </c>
      <c r="G1598" s="8" t="n">
        <f aca="false">IFERROR(INDEX('TRANS'!$B:$B,MATCH($B1598,'TRANS'!$A:$A,0)),IFERROR(INDEX('TRANS'!$B:$B,MATCH(TRIM(SUBSTITUTE($B1598,CHAR(160)," ")),'TRANS'!$D:$D,0)),IFERROR(INDEX('Catalog'!$A:$A,MATCH($B1598,'Catalog'!$B:$B,0)),IFERROR(INDEX('Catalog'!$A:$A,MATCH(TRIM(SUBSTITUTE($B1598,CHAR(160)," ")),'Catalog'!$C:$C,0)),""))))</f>
        <v>4413368</v>
      </c>
      <c r="H1598" s="8" t="str">
        <f aca="false">IFERROR(INDEX('TRANS'!$C:$C,MATCH($B1598,'TRANS'!$A:$A,0)),IFERROR(INDEX('Catalog'!$B:$B,MATCH($G1598,'Catalog'!$A:$A,0)),$B1598))</f>
        <v>95C XS'מגן מרפק בז</v>
      </c>
      <c r="I1598" s="8" t="str">
        <f aca="false">IF($G1598="","Unmatched","Matched")</f>
        <v>Matched</v>
      </c>
    </row>
    <row r="1599" customFormat="false" ht="15" hidden="false" customHeight="false" outlineLevel="0" collapsed="false">
      <c r="A1599" s="8" t="s">
        <v>814</v>
      </c>
      <c r="B1599" s="8" t="s">
        <v>475</v>
      </c>
      <c r="C1599" s="19" t="n">
        <v>0</v>
      </c>
      <c r="D1599" s="19" t="n">
        <v>0</v>
      </c>
      <c r="E1599" s="19" t="n">
        <v>2</v>
      </c>
      <c r="F1599" s="19" t="n">
        <v>255.82</v>
      </c>
      <c r="G1599" s="8" t="n">
        <f aca="false">IFERROR(INDEX('TRANS'!$B:$B,MATCH($B1599,'TRANS'!$A:$A,0)),IFERROR(INDEX('TRANS'!$B:$B,MATCH(TRIM(SUBSTITUTE($B1599,CHAR(160)," ")),'TRANS'!$D:$D,0)),IFERROR(INDEX('Catalog'!$A:$A,MATCH($B1599,'Catalog'!$B:$B,0)),IFERROR(INDEX('Catalog'!$A:$A,MATCH(TRIM(SUBSTITUTE($B1599,CHAR(160)," ")),'Catalog'!$C:$C,0)),""))))</f>
        <v>4413337</v>
      </c>
      <c r="H1599" s="8" t="str">
        <f aca="false">IFERROR(INDEX('TRANS'!$C:$C,MATCH($B1599,'TRANS'!$A:$A,0)),IFERROR(INDEX('Catalog'!$B:$B,MATCH($G1599,'Catalog'!$A:$A,0)),$B1599))</f>
        <v>322XL מגן קרסול+כרית סילקון</v>
      </c>
      <c r="I1599" s="8" t="str">
        <f aca="false">IF($G1599="","Unmatched","Matched")</f>
        <v>Matched</v>
      </c>
    </row>
    <row r="1600" customFormat="false" ht="15" hidden="false" customHeight="false" outlineLevel="0" collapsed="false">
      <c r="A1600" s="8" t="s">
        <v>814</v>
      </c>
      <c r="B1600" s="8" t="s">
        <v>613</v>
      </c>
      <c r="C1600" s="19" t="n">
        <v>0</v>
      </c>
      <c r="D1600" s="19" t="n">
        <v>0</v>
      </c>
      <c r="E1600" s="19" t="n">
        <v>1</v>
      </c>
      <c r="F1600" s="19" t="n">
        <v>140.57</v>
      </c>
      <c r="G1600" s="8" t="n">
        <f aca="false">IFERROR(INDEX('TRANS'!$B:$B,MATCH($B1600,'TRANS'!$A:$A,0)),IFERROR(INDEX('TRANS'!$B:$B,MATCH(TRIM(SUBSTITUTE($B1600,CHAR(160)," ")),'TRANS'!$D:$D,0)),IFERROR(INDEX('Catalog'!$A:$A,MATCH($B1600,'Catalog'!$B:$B,0)),IFERROR(INDEX('Catalog'!$A:$A,MATCH(TRIM(SUBSTITUTE($B1600,CHAR(160)," ")),'Catalog'!$C:$C,0)),""))))</f>
        <v>4408119</v>
      </c>
      <c r="H1600" s="8" t="str">
        <f aca="false">IFERROR(INDEX('TRANS'!$C:$C,MATCH($B1600,'TRANS'!$A:$A,0)),IFERROR(INDEX('Catalog'!$B:$B,MATCH($G1600,'Catalog'!$A:$A,0)),$B1600))</f>
        <v>06U L ח.בטן מותנית צר</v>
      </c>
      <c r="I1600" s="8" t="str">
        <f aca="false">IF($G1600="","Unmatched","Matched")</f>
        <v>Matched</v>
      </c>
    </row>
    <row r="1601" customFormat="false" ht="15" hidden="false" customHeight="false" outlineLevel="0" collapsed="false">
      <c r="A1601" s="8" t="s">
        <v>814</v>
      </c>
      <c r="B1601" s="8" t="s">
        <v>59</v>
      </c>
      <c r="C1601" s="19" t="n">
        <v>0</v>
      </c>
      <c r="D1601" s="19" t="n">
        <v>0</v>
      </c>
      <c r="E1601" s="19" t="n">
        <v>1</v>
      </c>
      <c r="F1601" s="19" t="n">
        <v>140.51</v>
      </c>
      <c r="G1601" s="8" t="str">
        <f aca="false">IFERROR(INDEX('TRANS'!$B:$B,MATCH($B1601,'TRANS'!$A:$A,0)),IFERROR(INDEX('TRANS'!$B:$B,MATCH(TRIM(SUBSTITUTE($B1601,CHAR(160)," ")),'TRANS'!$D:$D,0)),IFERROR(INDEX('Catalog'!$A:$A,MATCH($B1601,'Catalog'!$B:$B,0)),IFERROR(INDEX('Catalog'!$A:$A,MATCH(TRIM(SUBSTITUTE($B1601,CHAR(160)," ")),'Catalog'!$C:$C,0)),""))))</f>
        <v/>
      </c>
      <c r="H1601" s="8" t="str">
        <f aca="false">IFERROR(INDEX('TRANS'!$C:$C,MATCH($B1601,'TRANS'!$A:$A,0)),IFERROR(INDEX('Catalog'!$B:$B,MATCH($G1601,'Catalog'!$A:$A,0)),$B1601))</f>
        <v>06U M</v>
      </c>
      <c r="I1601" s="8" t="str">
        <f aca="false">IF($G1601="","Unmatched","Matched")</f>
        <v>Unmatched</v>
      </c>
    </row>
    <row r="1602" customFormat="false" ht="15" hidden="false" customHeight="false" outlineLevel="0" collapsed="false">
      <c r="A1602" s="8" t="s">
        <v>814</v>
      </c>
      <c r="B1602" s="8" t="s">
        <v>615</v>
      </c>
      <c r="C1602" s="19" t="n">
        <v>0</v>
      </c>
      <c r="D1602" s="19" t="n">
        <v>0</v>
      </c>
      <c r="E1602" s="19" t="n">
        <v>1</v>
      </c>
      <c r="F1602" s="19" t="n">
        <v>140.57</v>
      </c>
      <c r="G1602" s="8" t="n">
        <f aca="false">IFERROR(INDEX('TRANS'!$B:$B,MATCH($B1602,'TRANS'!$A:$A,0)),IFERROR(INDEX('TRANS'!$B:$B,MATCH(TRIM(SUBSTITUTE($B1602,CHAR(160)," ")),'TRANS'!$D:$D,0)),IFERROR(INDEX('Catalog'!$A:$A,MATCH($B1602,'Catalog'!$B:$B,0)),IFERROR(INDEX('Catalog'!$A:$A,MATCH(TRIM(SUBSTITUTE($B1602,CHAR(160)," ")),'Catalog'!$C:$C,0)),""))))</f>
        <v>4408120</v>
      </c>
      <c r="H1602" s="8" t="str">
        <f aca="false">IFERROR(INDEX('TRANS'!$C:$C,MATCH($B1602,'TRANS'!$A:$A,0)),IFERROR(INDEX('Catalog'!$B:$B,MATCH($G1602,'Catalog'!$A:$A,0)),$B1602))</f>
        <v>06U XL ח.בטן מותנית צר</v>
      </c>
      <c r="I1602" s="8" t="str">
        <f aca="false">IF($G1602="","Unmatched","Matched")</f>
        <v>Matched</v>
      </c>
    </row>
    <row r="1603" customFormat="false" ht="15" hidden="false" customHeight="false" outlineLevel="0" collapsed="false">
      <c r="A1603" s="8" t="s">
        <v>814</v>
      </c>
      <c r="B1603" s="8" t="s">
        <v>639</v>
      </c>
      <c r="C1603" s="19" t="n">
        <v>0</v>
      </c>
      <c r="D1603" s="19" t="n">
        <v>0</v>
      </c>
      <c r="E1603" s="19" t="n">
        <v>1</v>
      </c>
      <c r="F1603" s="19" t="n">
        <v>220</v>
      </c>
      <c r="G1603" s="8" t="n">
        <f aca="false">IFERROR(INDEX('TRANS'!$B:$B,MATCH($B1603,'TRANS'!$A:$A,0)),IFERROR(INDEX('TRANS'!$B:$B,MATCH(TRIM(SUBSTITUTE($B1603,CHAR(160)," ")),'TRANS'!$D:$D,0)),IFERROR(INDEX('Catalog'!$A:$A,MATCH($B1603,'Catalog'!$B:$B,0)),IFERROR(INDEX('Catalog'!$A:$A,MATCH(TRIM(SUBSTITUTE($B1603,CHAR(160)," ")),'Catalog'!$C:$C,0)),""))))</f>
        <v>4408016</v>
      </c>
      <c r="H1603" s="8" t="str">
        <f aca="false">IFERROR(INDEX('TRANS'!$C:$C,MATCH($B1603,'TRANS'!$A:$A,0)),IFERROR(INDEX('Catalog'!$B:$B,MATCH($G1603,'Catalog'!$A:$A,0)),$B1603))</f>
        <v>07AU M ח.גב """"איטלקית"""" אורירית</v>
      </c>
      <c r="I1603" s="8" t="str">
        <f aca="false">IF($G1603="","Unmatched","Matched")</f>
        <v>Matched</v>
      </c>
    </row>
    <row r="1604" customFormat="false" ht="15" hidden="false" customHeight="false" outlineLevel="0" collapsed="false">
      <c r="A1604" s="8" t="s">
        <v>814</v>
      </c>
      <c r="B1604" s="8" t="s">
        <v>201</v>
      </c>
      <c r="C1604" s="19" t="n">
        <v>0</v>
      </c>
      <c r="D1604" s="19" t="n">
        <v>0</v>
      </c>
      <c r="E1604" s="19" t="n">
        <v>1</v>
      </c>
      <c r="F1604" s="19" t="n">
        <v>63.23</v>
      </c>
      <c r="G1604" s="8" t="n">
        <f aca="false">IFERROR(INDEX('TRANS'!$B:$B,MATCH($B1604,'TRANS'!$A:$A,0)),IFERROR(INDEX('TRANS'!$B:$B,MATCH(TRIM(SUBSTITUTE($B1604,CHAR(160)," ")),'TRANS'!$D:$D,0)),IFERROR(INDEX('Catalog'!$A:$A,MATCH($B1604,'Catalog'!$B:$B,0)),IFERROR(INDEX('Catalog'!$A:$A,MATCH(TRIM(SUBSTITUTE($B1604,CHAR(160)," ")),'Catalog'!$C:$C,0)),""))))</f>
        <v>4403042</v>
      </c>
      <c r="H1604" s="8" t="str">
        <f aca="false">IFERROR(INDEX('TRANS'!$C:$C,MATCH($B1604,'TRANS'!$A:$A,0)),IFERROR(INDEX('Catalog'!$B:$B,MATCH($G1604,'Catalog'!$A:$A,0)),$B1604))</f>
        <v>397A-גרבי טיסה אנטי בקטרי39-42</v>
      </c>
      <c r="I1604" s="8" t="str">
        <f aca="false">IF($G1604="","Unmatched","Matched")</f>
        <v>Matched</v>
      </c>
    </row>
    <row r="1605" customFormat="false" ht="15" hidden="false" customHeight="false" outlineLevel="0" collapsed="false">
      <c r="A1605" s="8" t="s">
        <v>814</v>
      </c>
      <c r="B1605" s="8" t="s">
        <v>434</v>
      </c>
      <c r="C1605" s="19" t="n">
        <v>0</v>
      </c>
      <c r="D1605" s="19" t="n">
        <v>0</v>
      </c>
      <c r="E1605" s="19" t="n">
        <v>1</v>
      </c>
      <c r="F1605" s="19" t="n">
        <v>164.04</v>
      </c>
      <c r="G1605" s="8" t="n">
        <f aca="false">IFERROR(INDEX('TRANS'!$B:$B,MATCH($B1605,'TRANS'!$A:$A,0)),IFERROR(INDEX('TRANS'!$B:$B,MATCH(TRIM(SUBSTITUTE($B1605,CHAR(160)," ")),'TRANS'!$D:$D,0)),IFERROR(INDEX('Catalog'!$A:$A,MATCH($B1605,'Catalog'!$B:$B,0)),IFERROR(INDEX('Catalog'!$A:$A,MATCH(TRIM(SUBSTITUTE($B1605,CHAR(160)," ")),'Catalog'!$C:$C,0)),""))))</f>
        <v>4413417</v>
      </c>
      <c r="H1605" s="8" t="str">
        <f aca="false">IFERROR(INDEX('TRANS'!$C:$C,MATCH($B1605,'TRANS'!$A:$A,0)),IFERROR(INDEX('Catalog'!$B:$B,MATCH($G1605,'Catalog'!$A:$A,0)),$B1605))</f>
        <v>SC39  L מגן שוק</v>
      </c>
      <c r="I1605" s="8" t="str">
        <f aca="false">IF($G1605="","Unmatched","Matched")</f>
        <v>Matched</v>
      </c>
    </row>
    <row r="1606" customFormat="false" ht="15" hidden="false" customHeight="false" outlineLevel="0" collapsed="false">
      <c r="A1606" s="8" t="s">
        <v>814</v>
      </c>
      <c r="B1606" s="8" t="s">
        <v>608</v>
      </c>
      <c r="C1606" s="19" t="n">
        <v>0</v>
      </c>
      <c r="D1606" s="19" t="n">
        <v>0</v>
      </c>
      <c r="E1606" s="19" t="n">
        <v>1</v>
      </c>
      <c r="F1606" s="19" t="n">
        <v>164.03</v>
      </c>
      <c r="G1606" s="8" t="n">
        <f aca="false">IFERROR(INDEX('TRANS'!$B:$B,MATCH($B1606,'TRANS'!$A:$A,0)),IFERROR(INDEX('TRANS'!$B:$B,MATCH(TRIM(SUBSTITUTE($B1606,CHAR(160)," ")),'TRANS'!$D:$D,0)),IFERROR(INDEX('Catalog'!$A:$A,MATCH($B1606,'Catalog'!$B:$B,0)),IFERROR(INDEX('Catalog'!$A:$A,MATCH(TRIM(SUBSTITUTE($B1606,CHAR(160)," ")),'Catalog'!$C:$C,0)),""))))</f>
        <v>4413418</v>
      </c>
      <c r="H1606" s="8" t="str">
        <f aca="false">IFERROR(INDEX('TRANS'!$C:$C,MATCH($B1606,'TRANS'!$A:$A,0)),IFERROR(INDEX('Catalog'!$B:$B,MATCH($G1606,'Catalog'!$A:$A,0)),$B1606))</f>
        <v>SC39 XL מגן שוק</v>
      </c>
      <c r="I1606" s="8" t="str">
        <f aca="false">IF($G1606="","Unmatched","Matched")</f>
        <v>Matched</v>
      </c>
    </row>
    <row r="1607" customFormat="false" ht="15" hidden="false" customHeight="false" outlineLevel="0" collapsed="false">
      <c r="A1607" s="8" t="s">
        <v>814</v>
      </c>
      <c r="B1607" s="8" t="s">
        <v>316</v>
      </c>
      <c r="C1607" s="19" t="n">
        <v>0</v>
      </c>
      <c r="D1607" s="19" t="n">
        <v>0</v>
      </c>
      <c r="E1607" s="19" t="n">
        <v>2</v>
      </c>
      <c r="F1607" s="19" t="n">
        <v>71.15</v>
      </c>
      <c r="G1607" s="8" t="n">
        <f aca="false">IFERROR(INDEX('TRANS'!$B:$B,MATCH($B1607,'TRANS'!$A:$A,0)),IFERROR(INDEX('TRANS'!$B:$B,MATCH(TRIM(SUBSTITUTE($B1607,CHAR(160)," ")),'TRANS'!$D:$D,0)),IFERROR(INDEX('Catalog'!$A:$A,MATCH($B1607,'Catalog'!$B:$B,0)),IFERROR(INDEX('Catalog'!$A:$A,MATCH(TRIM(SUBSTITUTE($B1607,CHAR(160)," ")),'Catalog'!$C:$C,0)),""))))</f>
        <v>4408097</v>
      </c>
      <c r="H1607" s="8" t="str">
        <f aca="false">IFERROR(INDEX('TRANS'!$C:$C,MATCH($B1607,'TRANS'!$A:$A,0)),IFERROR(INDEX('Catalog'!$B:$B,MATCH($G1607,'Catalog'!$A:$A,0)),$B1607))</f>
        <v>T20C L-XL חבק יד עם צמדן חום</v>
      </c>
      <c r="I1607" s="8" t="str">
        <f aca="false">IF($G1607="","Unmatched","Matched")</f>
        <v>Matched</v>
      </c>
    </row>
    <row r="1608" customFormat="false" ht="15" hidden="false" customHeight="false" outlineLevel="0" collapsed="false">
      <c r="A1608" s="8" t="s">
        <v>814</v>
      </c>
      <c r="B1608" s="8" t="s">
        <v>317</v>
      </c>
      <c r="C1608" s="19" t="n">
        <v>0</v>
      </c>
      <c r="D1608" s="19" t="n">
        <v>0</v>
      </c>
      <c r="E1608" s="19" t="n">
        <v>2</v>
      </c>
      <c r="F1608" s="19" t="n">
        <v>71.15</v>
      </c>
      <c r="G1608" s="8" t="n">
        <f aca="false">IFERROR(INDEX('TRANS'!$B:$B,MATCH($B1608,'TRANS'!$A:$A,0)),IFERROR(INDEX('TRANS'!$B:$B,MATCH(TRIM(SUBSTITUTE($B1608,CHAR(160)," ")),'TRANS'!$D:$D,0)),IFERROR(INDEX('Catalog'!$A:$A,MATCH($B1608,'Catalog'!$B:$B,0)),IFERROR(INDEX('Catalog'!$A:$A,MATCH(TRIM(SUBSTITUTE($B1608,CHAR(160)," ")),'Catalog'!$C:$C,0)),""))))</f>
        <v>4408096</v>
      </c>
      <c r="H1608" s="8" t="str">
        <f aca="false">IFERROR(INDEX('TRANS'!$C:$C,MATCH($B1608,'TRANS'!$A:$A,0)),IFERROR(INDEX('Catalog'!$B:$B,MATCH($G1608,'Catalog'!$A:$A,0)),$B1608))</f>
        <v>T20C S-M חבק יד עם צמדןחום</v>
      </c>
      <c r="I1608" s="8" t="str">
        <f aca="false">IF($G1608="","Unmatched","Matched")</f>
        <v>Matched</v>
      </c>
    </row>
    <row r="1609" customFormat="false" ht="15" hidden="false" customHeight="false" outlineLevel="0" collapsed="false">
      <c r="A1609" s="8" t="s">
        <v>814</v>
      </c>
      <c r="B1609" s="8" t="s">
        <v>673</v>
      </c>
      <c r="C1609" s="19" t="n">
        <v>0</v>
      </c>
      <c r="D1609" s="19" t="n">
        <v>0</v>
      </c>
      <c r="E1609" s="19" t="n">
        <v>1</v>
      </c>
      <c r="F1609" s="19" t="n">
        <v>105.42</v>
      </c>
      <c r="G1609" s="8" t="n">
        <f aca="false">IFERROR(INDEX('TRANS'!$B:$B,MATCH($B1609,'TRANS'!$A:$A,0)),IFERROR(INDEX('TRANS'!$B:$B,MATCH(TRIM(SUBSTITUTE($B1609,CHAR(160)," ")),'TRANS'!$D:$D,0)),IFERROR(INDEX('Catalog'!$A:$A,MATCH($B1609,'Catalog'!$B:$B,0)),IFERROR(INDEX('Catalog'!$A:$A,MATCH(TRIM(SUBSTITUTE($B1609,CHAR(160)," ")),'Catalog'!$C:$C,0)),""))))</f>
        <v>4413184</v>
      </c>
      <c r="H1609" s="8" t="str">
        <f aca="false">IFERROR(INDEX('TRANS'!$C:$C,MATCH($B1609,'TRANS'!$A:$A,0)),IFERROR(INDEX('Catalog'!$B:$B,MATCH($G1609,'Catalog'!$A:$A,0)),$B1609))</f>
        <v>T 45 L מגן ברך רגיל</v>
      </c>
      <c r="I1609" s="8" t="str">
        <f aca="false">IF($G1609="","Unmatched","Matched")</f>
        <v>Matched</v>
      </c>
    </row>
    <row r="1610" customFormat="false" ht="15" hidden="false" customHeight="false" outlineLevel="0" collapsed="false">
      <c r="A1610" s="8" t="s">
        <v>814</v>
      </c>
      <c r="B1610" s="8" t="s">
        <v>329</v>
      </c>
      <c r="C1610" s="19" t="n">
        <v>0</v>
      </c>
      <c r="D1610" s="19" t="n">
        <v>0</v>
      </c>
      <c r="E1610" s="19" t="n">
        <v>1</v>
      </c>
      <c r="F1610" s="19" t="n">
        <v>105.42</v>
      </c>
      <c r="G1610" s="8" t="n">
        <f aca="false">IFERROR(INDEX('TRANS'!$B:$B,MATCH($B1610,'TRANS'!$A:$A,0)),IFERROR(INDEX('TRANS'!$B:$B,MATCH(TRIM(SUBSTITUTE($B1610,CHAR(160)," ")),'TRANS'!$D:$D,0)),IFERROR(INDEX('Catalog'!$A:$A,MATCH($B1610,'Catalog'!$B:$B,0)),IFERROR(INDEX('Catalog'!$A:$A,MATCH(TRIM(SUBSTITUTE($B1610,CHAR(160)," ")),'Catalog'!$C:$C,0)),""))))</f>
        <v>4413183</v>
      </c>
      <c r="H1610" s="8" t="str">
        <f aca="false">IFERROR(INDEX('TRANS'!$C:$C,MATCH($B1610,'TRANS'!$A:$A,0)),IFERROR(INDEX('Catalog'!$B:$B,MATCH($G1610,'Catalog'!$A:$A,0)),$B1610))</f>
        <v>T 45 M מגן ברך רגיל</v>
      </c>
      <c r="I1610" s="8" t="str">
        <f aca="false">IF($G1610="","Unmatched","Matched")</f>
        <v>Matched</v>
      </c>
    </row>
    <row r="1611" customFormat="false" ht="15" hidden="false" customHeight="false" outlineLevel="0" collapsed="false">
      <c r="A1611" s="8" t="s">
        <v>814</v>
      </c>
      <c r="B1611" s="8" t="s">
        <v>674</v>
      </c>
      <c r="C1611" s="19" t="n">
        <v>0</v>
      </c>
      <c r="D1611" s="19" t="n">
        <v>0</v>
      </c>
      <c r="E1611" s="19" t="n">
        <v>1</v>
      </c>
      <c r="F1611" s="19" t="n">
        <v>105.42</v>
      </c>
      <c r="G1611" s="8" t="n">
        <f aca="false">IFERROR(INDEX('TRANS'!$B:$B,MATCH($B1611,'TRANS'!$A:$A,0)),IFERROR(INDEX('TRANS'!$B:$B,MATCH(TRIM(SUBSTITUTE($B1611,CHAR(160)," ")),'TRANS'!$D:$D,0)),IFERROR(INDEX('Catalog'!$A:$A,MATCH($B1611,'Catalog'!$B:$B,0)),IFERROR(INDEX('Catalog'!$A:$A,MATCH(TRIM(SUBSTITUTE($B1611,CHAR(160)," ")),'Catalog'!$C:$C,0)),""))))</f>
        <v>4413185</v>
      </c>
      <c r="H1611" s="8" t="str">
        <f aca="false">IFERROR(INDEX('TRANS'!$C:$C,MATCH($B1611,'TRANS'!$A:$A,0)),IFERROR(INDEX('Catalog'!$B:$B,MATCH($G1611,'Catalog'!$A:$A,0)),$B1611))</f>
        <v>T 45XL מגן ברך רגיל</v>
      </c>
      <c r="I1611" s="8" t="str">
        <f aca="false">IF($G1611="","Unmatched","Matched")</f>
        <v>Matched</v>
      </c>
    </row>
    <row r="1612" customFormat="false" ht="15" hidden="false" customHeight="false" outlineLevel="0" collapsed="false">
      <c r="A1612" s="8" t="s">
        <v>814</v>
      </c>
      <c r="B1612" s="8" t="s">
        <v>853</v>
      </c>
      <c r="C1612" s="19" t="n">
        <v>0</v>
      </c>
      <c r="D1612" s="19" t="n">
        <v>0</v>
      </c>
      <c r="E1612" s="19" t="n">
        <v>1</v>
      </c>
      <c r="F1612" s="19" t="n">
        <v>105.42</v>
      </c>
      <c r="G1612" s="8" t="n">
        <f aca="false">IFERROR(INDEX('TRANS'!$B:$B,MATCH($B1612,'TRANS'!$A:$A,0)),IFERROR(INDEX('TRANS'!$B:$B,MATCH(TRIM(SUBSTITUTE($B1612,CHAR(160)," ")),'TRANS'!$D:$D,0)),IFERROR(INDEX('Catalog'!$A:$A,MATCH($B1612,'Catalog'!$B:$B,0)),IFERROR(INDEX('Catalog'!$A:$A,MATCH(TRIM(SUBSTITUTE($B1612,CHAR(160)," ")),'Catalog'!$C:$C,0)),""))))</f>
        <v>4413286</v>
      </c>
      <c r="H1612" s="8" t="str">
        <f aca="false">IFERROR(INDEX('TRANS'!$C:$C,MATCH($B1612,'TRANS'!$A:$A,0)),IFERROR(INDEX('Catalog'!$B:$B,MATCH($G1612,'Catalog'!$A:$A,0)),$B1612))</f>
        <v>T45 XXL מגן ברך רגיל</v>
      </c>
      <c r="I1612" s="8" t="str">
        <f aca="false">IF($G1612="","Unmatched","Matched")</f>
        <v>Matched</v>
      </c>
    </row>
    <row r="1613" customFormat="false" ht="15" hidden="false" customHeight="false" outlineLevel="0" collapsed="false">
      <c r="A1613" s="8" t="s">
        <v>814</v>
      </c>
      <c r="B1613" s="8" t="s">
        <v>439</v>
      </c>
      <c r="C1613" s="19" t="n">
        <v>0</v>
      </c>
      <c r="D1613" s="19" t="n">
        <v>0</v>
      </c>
      <c r="E1613" s="19" t="n">
        <v>1</v>
      </c>
      <c r="F1613" s="19" t="n">
        <v>93.67</v>
      </c>
      <c r="G1613" s="8" t="n">
        <f aca="false">IFERROR(INDEX('TRANS'!$B:$B,MATCH($B1613,'TRANS'!$A:$A,0)),IFERROR(INDEX('TRANS'!$B:$B,MATCH(TRIM(SUBSTITUTE($B1613,CHAR(160)," ")),'TRANS'!$D:$D,0)),IFERROR(INDEX('Catalog'!$A:$A,MATCH($B1613,'Catalog'!$B:$B,0)),IFERROR(INDEX('Catalog'!$A:$A,MATCH(TRIM(SUBSTITUTE($B1613,CHAR(160)," ")),'Catalog'!$C:$C,0)),""))))</f>
        <v>4413408</v>
      </c>
      <c r="H1613" s="8" t="str">
        <f aca="false">IFERROR(INDEX('TRANS'!$C:$C,MATCH($B1613,'TRANS'!$A:$A,0)),IFERROR(INDEX('Catalog'!$B:$B,MATCH($G1613,'Catalog'!$A:$A,0)),$B1613))</f>
        <v>SC95 XLמגן מרפק</v>
      </c>
      <c r="I1613" s="8" t="str">
        <f aca="false">IF($G1613="","Unmatched","Matched")</f>
        <v>Matched</v>
      </c>
    </row>
    <row r="1614" customFormat="false" ht="15" hidden="false" customHeight="false" outlineLevel="0" collapsed="false">
      <c r="A1614" s="8" t="s">
        <v>814</v>
      </c>
      <c r="B1614" s="8" t="s">
        <v>290</v>
      </c>
      <c r="C1614" s="19" t="n">
        <v>0</v>
      </c>
      <c r="D1614" s="19" t="n">
        <v>0</v>
      </c>
      <c r="E1614" s="19" t="n">
        <v>1</v>
      </c>
      <c r="F1614" s="19" t="n">
        <v>8.86</v>
      </c>
      <c r="G1614" s="8" t="n">
        <f aca="false">IFERROR(INDEX('TRANS'!$B:$B,MATCH($B1614,'TRANS'!$A:$A,0)),IFERROR(INDEX('TRANS'!$B:$B,MATCH(TRIM(SUBSTITUTE($B1614,CHAR(160)," ")),'TRANS'!$D:$D,0)),IFERROR(INDEX('Catalog'!$A:$A,MATCH($B1614,'Catalog'!$B:$B,0)),IFERROR(INDEX('Catalog'!$A:$A,MATCH(TRIM(SUBSTITUTE($B1614,CHAR(160)," ")),'Catalog'!$C:$C,0)),""))))</f>
        <v>4401002</v>
      </c>
      <c r="H1614" s="8" t="str">
        <f aca="false">IFERROR(INDEX('TRANS'!$C:$C,MATCH($B1614,'TRANS'!$A:$A,0)),IFERROR(INDEX('Catalog'!$B:$B,MATCH($G1614,'Catalog'!$A:$A,0)),$B1614))</f>
        <v>PD 344-אבן טבעית להסרת עור קשה</v>
      </c>
      <c r="I1614" s="8" t="str">
        <f aca="false">IF($G1614="","Unmatched","Matched")</f>
        <v>Matched</v>
      </c>
    </row>
    <row r="1615" customFormat="false" ht="15" hidden="false" customHeight="false" outlineLevel="0" collapsed="false">
      <c r="A1615" s="8" t="s">
        <v>854</v>
      </c>
      <c r="B1615" s="8" t="s">
        <v>114</v>
      </c>
      <c r="C1615" s="19" t="n">
        <v>6</v>
      </c>
      <c r="D1615" s="19" t="n">
        <v>360</v>
      </c>
      <c r="E1615" s="19" t="n">
        <v>0</v>
      </c>
      <c r="F1615" s="19" t="n">
        <v>0</v>
      </c>
      <c r="G1615" s="8" t="n">
        <f aca="false">IFERROR(INDEX('TRANS'!$B:$B,MATCH($B1615,'TRANS'!$A:$A,0)),IFERROR(INDEX('TRANS'!$B:$B,MATCH(TRIM(SUBSTITUTE($B1615,CHAR(160)," ")),'TRANS'!$D:$D,0)),IFERROR(INDEX('Catalog'!$A:$A,MATCH($B1615,'Catalog'!$B:$B,0)),IFERROR(INDEX('Catalog'!$A:$A,MATCH(TRIM(SUBSTITUTE($B1615,CHAR(160)," ")),'Catalog'!$C:$C,0)),""))))</f>
        <v>4413348</v>
      </c>
      <c r="H1615" s="8" t="str">
        <f aca="false">IFERROR(INDEX('TRANS'!$C:$C,MATCH($B1615,'TRANS'!$A:$A,0)),IFERROR(INDEX('Catalog'!$B:$B,MATCH($G1615,'Catalog'!$A:$A,0)),$B1615))</f>
        <v>302 מדרס ג'ל לגבר</v>
      </c>
      <c r="I1615" s="8" t="str">
        <f aca="false">IF($G1615="","Unmatched","Matched")</f>
        <v>Matched</v>
      </c>
    </row>
    <row r="1616" customFormat="false" ht="15" hidden="false" customHeight="false" outlineLevel="0" collapsed="false">
      <c r="A1616" s="8" t="s">
        <v>854</v>
      </c>
      <c r="B1616" s="8" t="s">
        <v>168</v>
      </c>
      <c r="C1616" s="19" t="n">
        <v>5</v>
      </c>
      <c r="D1616" s="19" t="n">
        <v>77.1</v>
      </c>
      <c r="E1616" s="19" t="n">
        <v>0</v>
      </c>
      <c r="F1616" s="19" t="n">
        <v>0</v>
      </c>
      <c r="G1616" s="8" t="n">
        <f aca="false">IFERROR(INDEX('TRANS'!$B:$B,MATCH($B1616,'TRANS'!$A:$A,0)),IFERROR(INDEX('TRANS'!$B:$B,MATCH(TRIM(SUBSTITUTE($B1616,CHAR(160)," ")),'TRANS'!$D:$D,0)),IFERROR(INDEX('Catalog'!$A:$A,MATCH($B1616,'Catalog'!$B:$B,0)),IFERROR(INDEX('Catalog'!$A:$A,MATCH(TRIM(SUBSTITUTE($B1616,CHAR(160)," ")),'Catalog'!$C:$C,0)),""))))</f>
        <v>4420002</v>
      </c>
      <c r="H1616" s="8" t="str">
        <f aca="false">IFERROR(INDEX('TRANS'!$C:$C,MATCH($B1616,'TRANS'!$A:$A,0)),IFERROR(INDEX('Catalog'!$B:$B,MATCH($G1616,'Catalog'!$A:$A,0)),$B1616))</f>
        <v>372 רפידת אנטי ריח -זוג</v>
      </c>
      <c r="I1616" s="8" t="str">
        <f aca="false">IF($G1616="","Unmatched","Matched")</f>
        <v>Matched</v>
      </c>
    </row>
    <row r="1617" customFormat="false" ht="15" hidden="false" customHeight="false" outlineLevel="0" collapsed="false">
      <c r="A1617" s="8" t="s">
        <v>854</v>
      </c>
      <c r="B1617" s="8" t="s">
        <v>169</v>
      </c>
      <c r="C1617" s="19" t="n">
        <v>5</v>
      </c>
      <c r="D1617" s="19" t="n">
        <v>77.1</v>
      </c>
      <c r="E1617" s="19" t="n">
        <v>0</v>
      </c>
      <c r="F1617" s="19" t="n">
        <v>0</v>
      </c>
      <c r="G1617" s="8" t="n">
        <f aca="false">IFERROR(INDEX('TRANS'!$B:$B,MATCH($B1617,'TRANS'!$A:$A,0)),IFERROR(INDEX('TRANS'!$B:$B,MATCH(TRIM(SUBSTITUTE($B1617,CHAR(160)," ")),'TRANS'!$D:$D,0)),IFERROR(INDEX('Catalog'!$A:$A,MATCH($B1617,'Catalog'!$B:$B,0)),IFERROR(INDEX('Catalog'!$A:$A,MATCH(TRIM(SUBSTITUTE($B1617,CHAR(160)," ")),'Catalog'!$C:$C,0)),""))))</f>
        <v>4420003</v>
      </c>
      <c r="H1617" s="8" t="str">
        <f aca="false">IFERROR(INDEX('TRANS'!$C:$C,MATCH($B1617,'TRANS'!$A:$A,0)),IFERROR(INDEX('Catalog'!$B:$B,MATCH($G1617,'Catalog'!$A:$A,0)),$B1617))</f>
        <v>374 רפידת בולמת זעזועים -זוג</v>
      </c>
      <c r="I1617" s="8" t="str">
        <f aca="false">IF($G1617="","Unmatched","Matched")</f>
        <v>Matched</v>
      </c>
    </row>
    <row r="1618" customFormat="false" ht="15" hidden="false" customHeight="false" outlineLevel="0" collapsed="false">
      <c r="A1618" s="8" t="s">
        <v>854</v>
      </c>
      <c r="B1618" s="8" t="s">
        <v>135</v>
      </c>
      <c r="C1618" s="19" t="n">
        <v>0</v>
      </c>
      <c r="D1618" s="19" t="n">
        <v>0</v>
      </c>
      <c r="E1618" s="19" t="n">
        <v>2</v>
      </c>
      <c r="F1618" s="19" t="n">
        <v>61.79</v>
      </c>
      <c r="G1618" s="8" t="n">
        <f aca="false">IFERROR(INDEX('TRANS'!$B:$B,MATCH($B1618,'TRANS'!$A:$A,0)),IFERROR(INDEX('TRANS'!$B:$B,MATCH(TRIM(SUBSTITUTE($B1618,CHAR(160)," ")),'TRANS'!$D:$D,0)),IFERROR(INDEX('Catalog'!$A:$A,MATCH($B1618,'Catalog'!$B:$B,0)),IFERROR(INDEX('Catalog'!$A:$A,MATCH(TRIM(SUBSTITUTE($B1618,CHAR(160)," ")),'Catalog'!$C:$C,0)),""))))</f>
        <v>4413490</v>
      </c>
      <c r="H1618" s="8" t="str">
        <f aca="false">IFERROR(INDEX('TRANS'!$C:$C,MATCH($B1618,'TRANS'!$A:$A,0)),IFERROR(INDEX('Catalog'!$B:$B,MATCH($G1618,'Catalog'!$A:$A,0)),$B1618))</f>
        <v>35B L מגן קרסול שחור</v>
      </c>
      <c r="I1618" s="8" t="str">
        <f aca="false">IF($G1618="","Unmatched","Matched")</f>
        <v>Matched</v>
      </c>
    </row>
    <row r="1619" customFormat="false" ht="15" hidden="false" customHeight="false" outlineLevel="0" collapsed="false">
      <c r="A1619" s="8" t="s">
        <v>854</v>
      </c>
      <c r="B1619" s="8" t="s">
        <v>136</v>
      </c>
      <c r="C1619" s="19" t="n">
        <v>0</v>
      </c>
      <c r="D1619" s="19" t="n">
        <v>0</v>
      </c>
      <c r="E1619" s="19" t="n">
        <v>2</v>
      </c>
      <c r="F1619" s="19" t="n">
        <v>61.79</v>
      </c>
      <c r="G1619" s="8" t="n">
        <f aca="false">IFERROR(INDEX('TRANS'!$B:$B,MATCH($B1619,'TRANS'!$A:$A,0)),IFERROR(INDEX('TRANS'!$B:$B,MATCH(TRIM(SUBSTITUTE($B1619,CHAR(160)," ")),'TRANS'!$D:$D,0)),IFERROR(INDEX('Catalog'!$A:$A,MATCH($B1619,'Catalog'!$B:$B,0)),IFERROR(INDEX('Catalog'!$A:$A,MATCH(TRIM(SUBSTITUTE($B1619,CHAR(160)," ")),'Catalog'!$C:$C,0)),""))))</f>
        <v>4413492</v>
      </c>
      <c r="H1619" s="8" t="str">
        <f aca="false">IFERROR(INDEX('TRANS'!$C:$C,MATCH($B1619,'TRANS'!$A:$A,0)),IFERROR(INDEX('Catalog'!$B:$B,MATCH($G1619,'Catalog'!$A:$A,0)),$B1619))</f>
        <v>35B M מגן קרסול שחור</v>
      </c>
      <c r="I1619" s="8" t="str">
        <f aca="false">IF($G1619="","Unmatched","Matched")</f>
        <v>Matched</v>
      </c>
    </row>
    <row r="1620" customFormat="false" ht="15" hidden="false" customHeight="false" outlineLevel="0" collapsed="false">
      <c r="A1620" s="8" t="s">
        <v>854</v>
      </c>
      <c r="B1620" s="8" t="s">
        <v>138</v>
      </c>
      <c r="C1620" s="19" t="n">
        <v>0</v>
      </c>
      <c r="D1620" s="19" t="n">
        <v>0</v>
      </c>
      <c r="E1620" s="19" t="n">
        <v>1</v>
      </c>
      <c r="F1620" s="19" t="n">
        <v>30.89</v>
      </c>
      <c r="G1620" s="8" t="n">
        <f aca="false">IFERROR(INDEX('TRANS'!$B:$B,MATCH($B1620,'TRANS'!$A:$A,0)),IFERROR(INDEX('TRANS'!$B:$B,MATCH(TRIM(SUBSTITUTE($B1620,CHAR(160)," ")),'TRANS'!$D:$D,0)),IFERROR(INDEX('Catalog'!$A:$A,MATCH($B1620,'Catalog'!$B:$B,0)),IFERROR(INDEX('Catalog'!$A:$A,MATCH(TRIM(SUBSTITUTE($B1620,CHAR(160)," ")),'Catalog'!$C:$C,0)),""))))</f>
        <v>4413491</v>
      </c>
      <c r="H1620" s="8" t="str">
        <f aca="false">IFERROR(INDEX('TRANS'!$C:$C,MATCH($B1620,'TRANS'!$A:$A,0)),IFERROR(INDEX('Catalog'!$B:$B,MATCH($G1620,'Catalog'!$A:$A,0)),$B1620))</f>
        <v>35B XL מגן קרסול שחור</v>
      </c>
      <c r="I1620" s="8" t="str">
        <f aca="false">IF($G1620="","Unmatched","Matched")</f>
        <v>Matched</v>
      </c>
    </row>
    <row r="1621" customFormat="false" ht="15" hidden="false" customHeight="false" outlineLevel="0" collapsed="false">
      <c r="A1621" s="8" t="s">
        <v>854</v>
      </c>
      <c r="B1621" s="8" t="s">
        <v>140</v>
      </c>
      <c r="C1621" s="19" t="n">
        <v>0</v>
      </c>
      <c r="D1621" s="19" t="n">
        <v>0</v>
      </c>
      <c r="E1621" s="19" t="n">
        <v>2</v>
      </c>
      <c r="F1621" s="19" t="n">
        <v>61.79</v>
      </c>
      <c r="G1621" s="8" t="n">
        <f aca="false">IFERROR(INDEX('TRANS'!$B:$B,MATCH($B1621,'TRANS'!$A:$A,0)),IFERROR(INDEX('TRANS'!$B:$B,MATCH(TRIM(SUBSTITUTE($B1621,CHAR(160)," ")),'TRANS'!$D:$D,0)),IFERROR(INDEX('Catalog'!$A:$A,MATCH($B1621,'Catalog'!$B:$B,0)),IFERROR(INDEX('Catalog'!$A:$A,MATCH(TRIM(SUBSTITUTE($B1621,CHAR(160)," ")),'Catalog'!$C:$C,0)),""))))</f>
        <v>4413053</v>
      </c>
      <c r="H1621" s="8" t="str">
        <f aca="false">IFERROR(INDEX('TRANS'!$C:$C,MATCH($B1621,'TRANS'!$A:$A,0)),IFERROR(INDEX('Catalog'!$B:$B,MATCH($G1621,'Catalog'!$A:$A,0)),$B1621))</f>
        <v>35C L מגן קרסול חום</v>
      </c>
      <c r="I1621" s="8" t="str">
        <f aca="false">IF($G1621="","Unmatched","Matched")</f>
        <v>Matched</v>
      </c>
    </row>
    <row r="1622" customFormat="false" ht="15" hidden="false" customHeight="false" outlineLevel="0" collapsed="false">
      <c r="A1622" s="8" t="s">
        <v>854</v>
      </c>
      <c r="B1622" s="8" t="s">
        <v>141</v>
      </c>
      <c r="C1622" s="19" t="n">
        <v>0</v>
      </c>
      <c r="D1622" s="19" t="n">
        <v>0</v>
      </c>
      <c r="E1622" s="19" t="n">
        <v>2</v>
      </c>
      <c r="F1622" s="19" t="n">
        <v>61.79</v>
      </c>
      <c r="G1622" s="8" t="n">
        <f aca="false">IFERROR(INDEX('TRANS'!$B:$B,MATCH($B1622,'TRANS'!$A:$A,0)),IFERROR(INDEX('TRANS'!$B:$B,MATCH(TRIM(SUBSTITUTE($B1622,CHAR(160)," ")),'TRANS'!$D:$D,0)),IFERROR(INDEX('Catalog'!$A:$A,MATCH($B1622,'Catalog'!$B:$B,0)),IFERROR(INDEX('Catalog'!$A:$A,MATCH(TRIM(SUBSTITUTE($B1622,CHAR(160)," ")),'Catalog'!$C:$C,0)),""))))</f>
        <v>4413054</v>
      </c>
      <c r="H1622" s="8" t="str">
        <f aca="false">IFERROR(INDEX('TRANS'!$C:$C,MATCH($B1622,'TRANS'!$A:$A,0)),IFERROR(INDEX('Catalog'!$B:$B,MATCH($G1622,'Catalog'!$A:$A,0)),$B1622))</f>
        <v>35C M מגן קרסול חום</v>
      </c>
      <c r="I1622" s="8" t="str">
        <f aca="false">IF($G1622="","Unmatched","Matched")</f>
        <v>Matched</v>
      </c>
    </row>
    <row r="1623" customFormat="false" ht="15" hidden="false" customHeight="false" outlineLevel="0" collapsed="false">
      <c r="A1623" s="8" t="s">
        <v>854</v>
      </c>
      <c r="B1623" s="8" t="s">
        <v>363</v>
      </c>
      <c r="C1623" s="19" t="n">
        <v>0</v>
      </c>
      <c r="D1623" s="19" t="n">
        <v>0</v>
      </c>
      <c r="E1623" s="19" t="n">
        <v>1</v>
      </c>
      <c r="F1623" s="19" t="n">
        <v>30.89</v>
      </c>
      <c r="G1623" s="8" t="n">
        <f aca="false">IFERROR(INDEX('TRANS'!$B:$B,MATCH($B1623,'TRANS'!$A:$A,0)),IFERROR(INDEX('TRANS'!$B:$B,MATCH(TRIM(SUBSTITUTE($B1623,CHAR(160)," ")),'TRANS'!$D:$D,0)),IFERROR(INDEX('Catalog'!$A:$A,MATCH($B1623,'Catalog'!$B:$B,0)),IFERROR(INDEX('Catalog'!$A:$A,MATCH(TRIM(SUBSTITUTE($B1623,CHAR(160)," ")),'Catalog'!$C:$C,0)),""))))</f>
        <v>4413055</v>
      </c>
      <c r="H1623" s="8" t="str">
        <f aca="false">IFERROR(INDEX('TRANS'!$C:$C,MATCH($B1623,'TRANS'!$A:$A,0)),IFERROR(INDEX('Catalog'!$B:$B,MATCH($G1623,'Catalog'!$A:$A,0)),$B1623))</f>
        <v>35C XL מגן קרסול חום</v>
      </c>
      <c r="I1623" s="8" t="str">
        <f aca="false">IF($G1623="","Unmatched","Matched")</f>
        <v>Matched</v>
      </c>
    </row>
    <row r="1624" customFormat="false" ht="15" hidden="false" customHeight="false" outlineLevel="0" collapsed="false">
      <c r="A1624" s="8" t="s">
        <v>854</v>
      </c>
      <c r="B1624" s="8" t="s">
        <v>208</v>
      </c>
      <c r="C1624" s="19" t="n">
        <v>0</v>
      </c>
      <c r="D1624" s="19" t="n">
        <v>0</v>
      </c>
      <c r="E1624" s="19" t="n">
        <v>2</v>
      </c>
      <c r="F1624" s="19" t="n">
        <v>61.79</v>
      </c>
      <c r="G1624" s="8" t="n">
        <f aca="false">IFERROR(INDEX('TRANS'!$B:$B,MATCH($B1624,'TRANS'!$A:$A,0)),IFERROR(INDEX('TRANS'!$B:$B,MATCH(TRIM(SUBSTITUTE($B1624,CHAR(160)," ")),'TRANS'!$D:$D,0)),IFERROR(INDEX('Catalog'!$A:$A,MATCH($B1624,'Catalog'!$B:$B,0)),IFERROR(INDEX('Catalog'!$A:$A,MATCH(TRIM(SUBSTITUTE($B1624,CHAR(160)," ")),'Catalog'!$C:$C,0)),""))))</f>
        <v>4413495</v>
      </c>
      <c r="H1624" s="8" t="str">
        <f aca="false">IFERROR(INDEX('TRANS'!$C:$C,MATCH($B1624,'TRANS'!$A:$A,0)),IFERROR(INDEX('Catalog'!$B:$B,MATCH($G1624,'Catalog'!$A:$A,0)),$B1624))</f>
        <v>45B L מגן ברך שחור</v>
      </c>
      <c r="I1624" s="8" t="str">
        <f aca="false">IF($G1624="","Unmatched","Matched")</f>
        <v>Matched</v>
      </c>
    </row>
    <row r="1625" customFormat="false" ht="15" hidden="false" customHeight="false" outlineLevel="0" collapsed="false">
      <c r="A1625" s="8" t="s">
        <v>854</v>
      </c>
      <c r="B1625" s="8" t="s">
        <v>209</v>
      </c>
      <c r="C1625" s="19" t="n">
        <v>0</v>
      </c>
      <c r="D1625" s="19" t="n">
        <v>0</v>
      </c>
      <c r="E1625" s="19" t="n">
        <v>2</v>
      </c>
      <c r="F1625" s="19" t="n">
        <v>61.79</v>
      </c>
      <c r="G1625" s="8" t="n">
        <f aca="false">IFERROR(INDEX('TRANS'!$B:$B,MATCH($B1625,'TRANS'!$A:$A,0)),IFERROR(INDEX('TRANS'!$B:$B,MATCH(TRIM(SUBSTITUTE($B1625,CHAR(160)," ")),'TRANS'!$D:$D,0)),IFERROR(INDEX('Catalog'!$A:$A,MATCH($B1625,'Catalog'!$B:$B,0)),IFERROR(INDEX('Catalog'!$A:$A,MATCH(TRIM(SUBSTITUTE($B1625,CHAR(160)," ")),'Catalog'!$C:$C,0)),""))))</f>
        <v>4413497</v>
      </c>
      <c r="H1625" s="8" t="str">
        <f aca="false">IFERROR(INDEX('TRANS'!$C:$C,MATCH($B1625,'TRANS'!$A:$A,0)),IFERROR(INDEX('Catalog'!$B:$B,MATCH($G1625,'Catalog'!$A:$A,0)),$B1625))</f>
        <v>45B M מגן ברך שחור</v>
      </c>
      <c r="I1625" s="8" t="str">
        <f aca="false">IF($G1625="","Unmatched","Matched")</f>
        <v>Matched</v>
      </c>
    </row>
    <row r="1626" customFormat="false" ht="15" hidden="false" customHeight="false" outlineLevel="0" collapsed="false">
      <c r="A1626" s="8" t="s">
        <v>854</v>
      </c>
      <c r="B1626" s="8" t="s">
        <v>380</v>
      </c>
      <c r="C1626" s="19" t="n">
        <v>0</v>
      </c>
      <c r="D1626" s="19" t="n">
        <v>0</v>
      </c>
      <c r="E1626" s="19" t="n">
        <v>2</v>
      </c>
      <c r="F1626" s="19" t="n">
        <v>61.79</v>
      </c>
      <c r="G1626" s="8" t="n">
        <f aca="false">IFERROR(INDEX('TRANS'!$B:$B,MATCH($B1626,'TRANS'!$A:$A,0)),IFERROR(INDEX('TRANS'!$B:$B,MATCH(TRIM(SUBSTITUTE($B1626,CHAR(160)," ")),'TRANS'!$D:$D,0)),IFERROR(INDEX('Catalog'!$A:$A,MATCH($B1626,'Catalog'!$B:$B,0)),IFERROR(INDEX('Catalog'!$A:$A,MATCH(TRIM(SUBSTITUTE($B1626,CHAR(160)," ")),'Catalog'!$C:$C,0)),""))))</f>
        <v>4413496</v>
      </c>
      <c r="H1626" s="8" t="str">
        <f aca="false">IFERROR(INDEX('TRANS'!$C:$C,MATCH($B1626,'TRANS'!$A:$A,0)),IFERROR(INDEX('Catalog'!$B:$B,MATCH($G1626,'Catalog'!$A:$A,0)),$B1626))</f>
        <v>45B XL מגן ברך שחור</v>
      </c>
      <c r="I1626" s="8" t="str">
        <f aca="false">IF($G1626="","Unmatched","Matched")</f>
        <v>Matched</v>
      </c>
    </row>
    <row r="1627" customFormat="false" ht="15" hidden="false" customHeight="false" outlineLevel="0" collapsed="false">
      <c r="A1627" s="8" t="s">
        <v>854</v>
      </c>
      <c r="B1627" s="8" t="s">
        <v>210</v>
      </c>
      <c r="C1627" s="19" t="n">
        <v>0</v>
      </c>
      <c r="D1627" s="19" t="n">
        <v>0</v>
      </c>
      <c r="E1627" s="19" t="n">
        <v>2</v>
      </c>
      <c r="F1627" s="19" t="n">
        <v>61.79</v>
      </c>
      <c r="G1627" s="8" t="n">
        <f aca="false">IFERROR(INDEX('TRANS'!$B:$B,MATCH($B1627,'TRANS'!$A:$A,0)),IFERROR(INDEX('TRANS'!$B:$B,MATCH(TRIM(SUBSTITUTE($B1627,CHAR(160)," ")),'TRANS'!$D:$D,0)),IFERROR(INDEX('Catalog'!$A:$A,MATCH($B1627,'Catalog'!$B:$B,0)),IFERROR(INDEX('Catalog'!$A:$A,MATCH(TRIM(SUBSTITUTE($B1627,CHAR(160)," ")),'Catalog'!$C:$C,0)),""))))</f>
        <v>4413098</v>
      </c>
      <c r="H1627" s="8" t="str">
        <f aca="false">IFERROR(INDEX('TRANS'!$C:$C,MATCH($B1627,'TRANS'!$A:$A,0)),IFERROR(INDEX('Catalog'!$B:$B,MATCH($G1627,'Catalog'!$A:$A,0)),$B1627))</f>
        <v>45C L מגן ברך חום</v>
      </c>
      <c r="I1627" s="8" t="str">
        <f aca="false">IF($G1627="","Unmatched","Matched")</f>
        <v>Matched</v>
      </c>
    </row>
    <row r="1628" customFormat="false" ht="15" hidden="false" customHeight="false" outlineLevel="0" collapsed="false">
      <c r="A1628" s="8" t="s">
        <v>854</v>
      </c>
      <c r="B1628" s="8" t="s">
        <v>211</v>
      </c>
      <c r="C1628" s="19" t="n">
        <v>0</v>
      </c>
      <c r="D1628" s="19" t="n">
        <v>0</v>
      </c>
      <c r="E1628" s="19" t="n">
        <v>2</v>
      </c>
      <c r="F1628" s="19" t="n">
        <v>61.79</v>
      </c>
      <c r="G1628" s="8" t="n">
        <f aca="false">IFERROR(INDEX('TRANS'!$B:$B,MATCH($B1628,'TRANS'!$A:$A,0)),IFERROR(INDEX('TRANS'!$B:$B,MATCH(TRIM(SUBSTITUTE($B1628,CHAR(160)," ")),'TRANS'!$D:$D,0)),IFERROR(INDEX('Catalog'!$A:$A,MATCH($B1628,'Catalog'!$B:$B,0)),IFERROR(INDEX('Catalog'!$A:$A,MATCH(TRIM(SUBSTITUTE($B1628,CHAR(160)," ")),'Catalog'!$C:$C,0)),""))))</f>
        <v>4413099</v>
      </c>
      <c r="H1628" s="8" t="str">
        <f aca="false">IFERROR(INDEX('TRANS'!$C:$C,MATCH($B1628,'TRANS'!$A:$A,0)),IFERROR(INDEX('Catalog'!$B:$B,MATCH($G1628,'Catalog'!$A:$A,0)),$B1628))</f>
        <v>45C M מגן ברך חום</v>
      </c>
      <c r="I1628" s="8" t="str">
        <f aca="false">IF($G1628="","Unmatched","Matched")</f>
        <v>Matched</v>
      </c>
    </row>
    <row r="1629" customFormat="false" ht="15" hidden="false" customHeight="false" outlineLevel="0" collapsed="false">
      <c r="A1629" s="8" t="s">
        <v>854</v>
      </c>
      <c r="B1629" s="8" t="s">
        <v>213</v>
      </c>
      <c r="C1629" s="19" t="n">
        <v>0</v>
      </c>
      <c r="D1629" s="19" t="n">
        <v>0</v>
      </c>
      <c r="E1629" s="19" t="n">
        <v>2</v>
      </c>
      <c r="F1629" s="19" t="n">
        <v>61.79</v>
      </c>
      <c r="G1629" s="8" t="n">
        <f aca="false">IFERROR(INDEX('TRANS'!$B:$B,MATCH($B1629,'TRANS'!$A:$A,0)),IFERROR(INDEX('TRANS'!$B:$B,MATCH(TRIM(SUBSTITUTE($B1629,CHAR(160)," ")),'TRANS'!$D:$D,0)),IFERROR(INDEX('Catalog'!$A:$A,MATCH($B1629,'Catalog'!$B:$B,0)),IFERROR(INDEX('Catalog'!$A:$A,MATCH(TRIM(SUBSTITUTE($B1629,CHAR(160)," ")),'Catalog'!$C:$C,0)),""))))</f>
        <v>4413100</v>
      </c>
      <c r="H1629" s="8" t="str">
        <f aca="false">IFERROR(INDEX('TRANS'!$C:$C,MATCH($B1629,'TRANS'!$A:$A,0)),IFERROR(INDEX('Catalog'!$B:$B,MATCH($G1629,'Catalog'!$A:$A,0)),$B1629))</f>
        <v>45C XL מגן ברך חום</v>
      </c>
      <c r="I1629" s="8" t="str">
        <f aca="false">IF($G1629="","Unmatched","Matched")</f>
        <v>Matched</v>
      </c>
    </row>
    <row r="1630" customFormat="false" ht="15" hidden="false" customHeight="false" outlineLevel="0" collapsed="false">
      <c r="A1630" s="8" t="s">
        <v>854</v>
      </c>
      <c r="B1630" s="8" t="s">
        <v>247</v>
      </c>
      <c r="C1630" s="19" t="n">
        <v>0</v>
      </c>
      <c r="D1630" s="19" t="n">
        <v>0</v>
      </c>
      <c r="E1630" s="19" t="n">
        <v>6</v>
      </c>
      <c r="F1630" s="19" t="n">
        <v>180</v>
      </c>
      <c r="G1630" s="8" t="n">
        <f aca="false">IFERROR(INDEX('TRANS'!$B:$B,MATCH($B1630,'TRANS'!$A:$A,0)),IFERROR(INDEX('TRANS'!$B:$B,MATCH(TRIM(SUBSTITUTE($B1630,CHAR(160)," ")),'TRANS'!$D:$D,0)),IFERROR(INDEX('Catalog'!$A:$A,MATCH($B1630,'Catalog'!$B:$B,0)),IFERROR(INDEX('Catalog'!$A:$A,MATCH(TRIM(SUBSTITUTE($B1630,CHAR(160)," ")),'Catalog'!$C:$C,0)),""))))</f>
        <v>4409017</v>
      </c>
      <c r="H1630" s="8" t="str">
        <f aca="false">IFERROR(INDEX('TRANS'!$C:$C,MATCH($B1630,'TRANS'!$A:$A,0)),IFERROR(INDEX('Catalog'!$B:$B,MATCH($G1630,'Catalog'!$A:$A,0)),$B1630))</f>
        <v>808KT-B        טייפ קינזיולוגי</v>
      </c>
      <c r="I1630" s="8" t="str">
        <f aca="false">IF($G1630="","Unmatched","Matched")</f>
        <v>Matched</v>
      </c>
    </row>
    <row r="1631" customFormat="false" ht="15" hidden="false" customHeight="false" outlineLevel="0" collapsed="false">
      <c r="A1631" s="8" t="s">
        <v>854</v>
      </c>
      <c r="B1631" s="8" t="s">
        <v>506</v>
      </c>
      <c r="C1631" s="19" t="n">
        <v>0</v>
      </c>
      <c r="D1631" s="19" t="n">
        <v>0</v>
      </c>
      <c r="E1631" s="19" t="n">
        <v>6</v>
      </c>
      <c r="F1631" s="19" t="n">
        <v>180</v>
      </c>
      <c r="G1631" s="8" t="n">
        <f aca="false">IFERROR(INDEX('TRANS'!$B:$B,MATCH($B1631,'TRANS'!$A:$A,0)),IFERROR(INDEX('TRANS'!$B:$B,MATCH(TRIM(SUBSTITUTE($B1631,CHAR(160)," ")),'TRANS'!$D:$D,0)),IFERROR(INDEX('Catalog'!$A:$A,MATCH($B1631,'Catalog'!$B:$B,0)),IFERROR(INDEX('Catalog'!$A:$A,MATCH(TRIM(SUBSTITUTE($B1631,CHAR(160)," ")),'Catalog'!$C:$C,0)),""))))</f>
        <v>4409015</v>
      </c>
      <c r="H1631" s="8" t="str">
        <f aca="false">IFERROR(INDEX('TRANS'!$C:$C,MATCH($B1631,'TRANS'!$A:$A,0)),IFERROR(INDEX('Catalog'!$B:$B,MATCH($G1631,'Catalog'!$A:$A,0)),$B1631))</f>
        <v>808KT-BL       טייפ קינזיולוגי</v>
      </c>
      <c r="I1631" s="8" t="str">
        <f aca="false">IF($G1631="","Unmatched","Matched")</f>
        <v>Matched</v>
      </c>
    </row>
    <row r="1632" customFormat="false" ht="15" hidden="false" customHeight="false" outlineLevel="0" collapsed="false">
      <c r="A1632" s="8" t="s">
        <v>854</v>
      </c>
      <c r="B1632" s="8" t="s">
        <v>248</v>
      </c>
      <c r="C1632" s="19" t="n">
        <v>0</v>
      </c>
      <c r="D1632" s="19" t="n">
        <v>0</v>
      </c>
      <c r="E1632" s="19" t="n">
        <v>6</v>
      </c>
      <c r="F1632" s="19" t="n">
        <v>180</v>
      </c>
      <c r="G1632" s="8" t="n">
        <f aca="false">IFERROR(INDEX('TRANS'!$B:$B,MATCH($B1632,'TRANS'!$A:$A,0)),IFERROR(INDEX('TRANS'!$B:$B,MATCH(TRIM(SUBSTITUTE($B1632,CHAR(160)," ")),'TRANS'!$D:$D,0)),IFERROR(INDEX('Catalog'!$A:$A,MATCH($B1632,'Catalog'!$B:$B,0)),IFERROR(INDEX('Catalog'!$A:$A,MATCH(TRIM(SUBSTITUTE($B1632,CHAR(160)," ")),'Catalog'!$C:$C,0)),""))))</f>
        <v>4409016</v>
      </c>
      <c r="H1632" s="8" t="str">
        <f aca="false">IFERROR(INDEX('TRANS'!$C:$C,MATCH($B1632,'TRANS'!$A:$A,0)),IFERROR(INDEX('Catalog'!$B:$B,MATCH($G1632,'Catalog'!$A:$A,0)),$B1632))</f>
        <v>808KT-C        טייפ קינזיולוגי</v>
      </c>
      <c r="I1632" s="8" t="str">
        <f aca="false">IF($G1632="","Unmatched","Matched")</f>
        <v>Matched</v>
      </c>
    </row>
    <row r="1633" customFormat="false" ht="15" hidden="false" customHeight="false" outlineLevel="0" collapsed="false">
      <c r="A1633" s="8" t="s">
        <v>854</v>
      </c>
      <c r="B1633" s="8" t="s">
        <v>507</v>
      </c>
      <c r="C1633" s="19" t="n">
        <v>0</v>
      </c>
      <c r="D1633" s="19" t="n">
        <v>0</v>
      </c>
      <c r="E1633" s="19" t="n">
        <v>6</v>
      </c>
      <c r="F1633" s="19" t="n">
        <v>180</v>
      </c>
      <c r="G1633" s="8" t="n">
        <f aca="false">IFERROR(INDEX('TRANS'!$B:$B,MATCH($B1633,'TRANS'!$A:$A,0)),IFERROR(INDEX('TRANS'!$B:$B,MATCH(TRIM(SUBSTITUTE($B1633,CHAR(160)," ")),'TRANS'!$D:$D,0)),IFERROR(INDEX('Catalog'!$A:$A,MATCH($B1633,'Catalog'!$B:$B,0)),IFERROR(INDEX('Catalog'!$A:$A,MATCH(TRIM(SUBSTITUTE($B1633,CHAR(160)," ")),'Catalog'!$C:$C,0)),""))))</f>
        <v>4409014</v>
      </c>
      <c r="H1633" s="8" t="str">
        <f aca="false">IFERROR(INDEX('TRANS'!$C:$C,MATCH($B1633,'TRANS'!$A:$A,0)),IFERROR(INDEX('Catalog'!$B:$B,MATCH($G1633,'Catalog'!$A:$A,0)),$B1633))</f>
        <v>808KT-P        טייפ קינזיולוגי</v>
      </c>
      <c r="I1633" s="8" t="str">
        <f aca="false">IF($G1633="","Unmatched","Matched")</f>
        <v>Matched</v>
      </c>
    </row>
    <row r="1634" customFormat="false" ht="15" hidden="false" customHeight="false" outlineLevel="0" collapsed="false">
      <c r="A1634" s="8" t="s">
        <v>854</v>
      </c>
      <c r="B1634" s="8" t="s">
        <v>261</v>
      </c>
      <c r="C1634" s="19" t="n">
        <v>0</v>
      </c>
      <c r="D1634" s="19" t="n">
        <v>0</v>
      </c>
      <c r="E1634" s="19" t="n">
        <v>1</v>
      </c>
      <c r="F1634" s="19" t="n">
        <v>30.89</v>
      </c>
      <c r="G1634" s="8" t="n">
        <f aca="false">IFERROR(INDEX('TRANS'!$B:$B,MATCH($B1634,'TRANS'!$A:$A,0)),IFERROR(INDEX('TRANS'!$B:$B,MATCH(TRIM(SUBSTITUTE($B1634,CHAR(160)," ")),'TRANS'!$D:$D,0)),IFERROR(INDEX('Catalog'!$A:$A,MATCH($B1634,'Catalog'!$B:$B,0)),IFERROR(INDEX('Catalog'!$A:$A,MATCH(TRIM(SUBSTITUTE($B1634,CHAR(160)," ")),'Catalog'!$C:$C,0)),""))))</f>
        <v>4413500</v>
      </c>
      <c r="H1634" s="8" t="str">
        <f aca="false">IFERROR(INDEX('TRANS'!$C:$C,MATCH($B1634,'TRANS'!$A:$A,0)),IFERROR(INDEX('Catalog'!$B:$B,MATCH($G1634,'Catalog'!$A:$A,0)),$B1634))</f>
        <v>95B L מגן מרפק שחור</v>
      </c>
      <c r="I1634" s="8" t="str">
        <f aca="false">IF($G1634="","Unmatched","Matched")</f>
        <v>Matched</v>
      </c>
    </row>
    <row r="1635" customFormat="false" ht="15" hidden="false" customHeight="false" outlineLevel="0" collapsed="false">
      <c r="A1635" s="8" t="s">
        <v>854</v>
      </c>
      <c r="B1635" s="8" t="s">
        <v>262</v>
      </c>
      <c r="C1635" s="19" t="n">
        <v>0</v>
      </c>
      <c r="D1635" s="19" t="n">
        <v>0</v>
      </c>
      <c r="E1635" s="19" t="n">
        <v>1</v>
      </c>
      <c r="F1635" s="19" t="n">
        <v>30.89</v>
      </c>
      <c r="G1635" s="8" t="n">
        <f aca="false">IFERROR(INDEX('TRANS'!$B:$B,MATCH($B1635,'TRANS'!$A:$A,0)),IFERROR(INDEX('TRANS'!$B:$B,MATCH(TRIM(SUBSTITUTE($B1635,CHAR(160)," ")),'TRANS'!$D:$D,0)),IFERROR(INDEX('Catalog'!$A:$A,MATCH($B1635,'Catalog'!$B:$B,0)),IFERROR(INDEX('Catalog'!$A:$A,MATCH(TRIM(SUBSTITUTE($B1635,CHAR(160)," ")),'Catalog'!$C:$C,0)),""))))</f>
        <v>4413501</v>
      </c>
      <c r="H1635" s="8" t="str">
        <f aca="false">IFERROR(INDEX('TRANS'!$C:$C,MATCH($B1635,'TRANS'!$A:$A,0)),IFERROR(INDEX('Catalog'!$B:$B,MATCH($G1635,'Catalog'!$A:$A,0)),$B1635))</f>
        <v>95B M מגן מרפק שחור</v>
      </c>
      <c r="I1635" s="8" t="str">
        <f aca="false">IF($G1635="","Unmatched","Matched")</f>
        <v>Matched</v>
      </c>
    </row>
    <row r="1636" customFormat="false" ht="15" hidden="false" customHeight="false" outlineLevel="0" collapsed="false">
      <c r="A1636" s="8" t="s">
        <v>854</v>
      </c>
      <c r="B1636" s="8" t="s">
        <v>264</v>
      </c>
      <c r="C1636" s="19" t="n">
        <v>0</v>
      </c>
      <c r="D1636" s="19" t="n">
        <v>0</v>
      </c>
      <c r="E1636" s="19" t="n">
        <v>1</v>
      </c>
      <c r="F1636" s="19" t="n">
        <v>30.89</v>
      </c>
      <c r="G1636" s="8" t="n">
        <f aca="false">IFERROR(INDEX('TRANS'!$B:$B,MATCH($B1636,'TRANS'!$A:$A,0)),IFERROR(INDEX('TRANS'!$B:$B,MATCH(TRIM(SUBSTITUTE($B1636,CHAR(160)," ")),'TRANS'!$D:$D,0)),IFERROR(INDEX('Catalog'!$A:$A,MATCH($B1636,'Catalog'!$B:$B,0)),IFERROR(INDEX('Catalog'!$A:$A,MATCH(TRIM(SUBSTITUTE($B1636,CHAR(160)," ")),'Catalog'!$C:$C,0)),""))))</f>
        <v>4413503</v>
      </c>
      <c r="H1636" s="8" t="str">
        <f aca="false">IFERROR(INDEX('TRANS'!$C:$C,MATCH($B1636,'TRANS'!$A:$A,0)),IFERROR(INDEX('Catalog'!$B:$B,MATCH($G1636,'Catalog'!$A:$A,0)),$B1636))</f>
        <v>95B XL מגן מרפק שחור</v>
      </c>
      <c r="I1636" s="8" t="str">
        <f aca="false">IF($G1636="","Unmatched","Matched")</f>
        <v>Matched</v>
      </c>
    </row>
    <row r="1637" customFormat="false" ht="15" hidden="false" customHeight="false" outlineLevel="0" collapsed="false">
      <c r="A1637" s="8" t="s">
        <v>854</v>
      </c>
      <c r="B1637" s="8" t="s">
        <v>265</v>
      </c>
      <c r="C1637" s="19" t="n">
        <v>0</v>
      </c>
      <c r="D1637" s="19" t="n">
        <v>0</v>
      </c>
      <c r="E1637" s="19" t="n">
        <v>2</v>
      </c>
      <c r="F1637" s="19" t="n">
        <v>61.79</v>
      </c>
      <c r="G1637" s="8" t="n">
        <f aca="false">IFERROR(INDEX('TRANS'!$B:$B,MATCH($B1637,'TRANS'!$A:$A,0)),IFERROR(INDEX('TRANS'!$B:$B,MATCH(TRIM(SUBSTITUTE($B1637,CHAR(160)," ")),'TRANS'!$D:$D,0)),IFERROR(INDEX('Catalog'!$A:$A,MATCH($B1637,'Catalog'!$B:$B,0)),IFERROR(INDEX('Catalog'!$A:$A,MATCH(TRIM(SUBSTITUTE($B1637,CHAR(160)," ")),'Catalog'!$C:$C,0)),""))))</f>
        <v>4413365</v>
      </c>
      <c r="H1637" s="8" t="str">
        <f aca="false">IFERROR(INDEX('TRANS'!$C:$C,MATCH($B1637,'TRANS'!$A:$A,0)),IFERROR(INDEX('Catalog'!$B:$B,MATCH($G1637,'Catalog'!$A:$A,0)),$B1637))</f>
        <v>95C L 'מגן מרפק בז</v>
      </c>
      <c r="I1637" s="8" t="str">
        <f aca="false">IF($G1637="","Unmatched","Matched")</f>
        <v>Matched</v>
      </c>
    </row>
    <row r="1638" customFormat="false" ht="15" hidden="false" customHeight="false" outlineLevel="0" collapsed="false">
      <c r="A1638" s="8" t="s">
        <v>854</v>
      </c>
      <c r="B1638" s="8" t="s">
        <v>266</v>
      </c>
      <c r="C1638" s="19" t="n">
        <v>0</v>
      </c>
      <c r="D1638" s="19" t="n">
        <v>0</v>
      </c>
      <c r="E1638" s="19" t="n">
        <v>1</v>
      </c>
      <c r="F1638" s="19" t="n">
        <v>30.89</v>
      </c>
      <c r="G1638" s="8" t="n">
        <f aca="false">IFERROR(INDEX('TRANS'!$B:$B,MATCH($B1638,'TRANS'!$A:$A,0)),IFERROR(INDEX('TRANS'!$B:$B,MATCH(TRIM(SUBSTITUTE($B1638,CHAR(160)," ")),'TRANS'!$D:$D,0)),IFERROR(INDEX('Catalog'!$A:$A,MATCH($B1638,'Catalog'!$B:$B,0)),IFERROR(INDEX('Catalog'!$A:$A,MATCH(TRIM(SUBSTITUTE($B1638,CHAR(160)," ")),'Catalog'!$C:$C,0)),""))))</f>
        <v>4413364</v>
      </c>
      <c r="H1638" s="8" t="str">
        <f aca="false">IFERROR(INDEX('TRANS'!$C:$C,MATCH($B1638,'TRANS'!$A:$A,0)),IFERROR(INDEX('Catalog'!$B:$B,MATCH($G1638,'Catalog'!$A:$A,0)),$B1638))</f>
        <v>95C M 'מגן מרפק בז</v>
      </c>
      <c r="I1638" s="8" t="str">
        <f aca="false">IF($G1638="","Unmatched","Matched")</f>
        <v>Matched</v>
      </c>
    </row>
    <row r="1639" customFormat="false" ht="15" hidden="false" customHeight="false" outlineLevel="0" collapsed="false">
      <c r="A1639" s="8" t="s">
        <v>854</v>
      </c>
      <c r="B1639" s="8" t="s">
        <v>431</v>
      </c>
      <c r="C1639" s="19" t="n">
        <v>0</v>
      </c>
      <c r="D1639" s="19" t="n">
        <v>0</v>
      </c>
      <c r="E1639" s="19" t="n">
        <v>1</v>
      </c>
      <c r="F1639" s="19" t="n">
        <v>30.89</v>
      </c>
      <c r="G1639" s="8" t="n">
        <f aca="false">IFERROR(INDEX('TRANS'!$B:$B,MATCH($B1639,'TRANS'!$A:$A,0)),IFERROR(INDEX('TRANS'!$B:$B,MATCH(TRIM(SUBSTITUTE($B1639,CHAR(160)," ")),'TRANS'!$D:$D,0)),IFERROR(INDEX('Catalog'!$A:$A,MATCH($B1639,'Catalog'!$B:$B,0)),IFERROR(INDEX('Catalog'!$A:$A,MATCH(TRIM(SUBSTITUTE($B1639,CHAR(160)," ")),'Catalog'!$C:$C,0)),""))))</f>
        <v>4413367</v>
      </c>
      <c r="H1639" s="8" t="str">
        <f aca="false">IFERROR(INDEX('TRANS'!$C:$C,MATCH($B1639,'TRANS'!$A:$A,0)),IFERROR(INDEX('Catalog'!$B:$B,MATCH($G1639,'Catalog'!$A:$A,0)),$B1639))</f>
        <v>95C XL'מגן מרפק בז</v>
      </c>
      <c r="I1639" s="8" t="str">
        <f aca="false">IF($G1639="","Unmatched","Matched")</f>
        <v>Matched</v>
      </c>
    </row>
    <row r="1640" customFormat="false" ht="15" hidden="false" customHeight="false" outlineLevel="0" collapsed="false">
      <c r="A1640" s="8" t="s">
        <v>854</v>
      </c>
      <c r="B1640" s="8" t="s">
        <v>318</v>
      </c>
      <c r="C1640" s="19" t="n">
        <v>0</v>
      </c>
      <c r="D1640" s="19" t="n">
        <v>0</v>
      </c>
      <c r="E1640" s="19" t="n">
        <v>2</v>
      </c>
      <c r="F1640" s="19" t="n">
        <v>93.6</v>
      </c>
      <c r="G1640" s="8" t="n">
        <f aca="false">IFERROR(INDEX('TRANS'!$B:$B,MATCH($B1640,'TRANS'!$A:$A,0)),IFERROR(INDEX('TRANS'!$B:$B,MATCH(TRIM(SUBSTITUTE($B1640,CHAR(160)," ")),'TRANS'!$D:$D,0)),IFERROR(INDEX('Catalog'!$A:$A,MATCH($B1640,'Catalog'!$B:$B,0)),IFERROR(INDEX('Catalog'!$A:$A,MATCH(TRIM(SUBSTITUTE($B1640,CHAR(160)," ")),'Catalog'!$C:$C,0)),""))))</f>
        <v>4408098</v>
      </c>
      <c r="H1640" s="8" t="str">
        <f aca="false">IFERROR(INDEX('TRANS'!$C:$C,MATCH($B1640,'TRANS'!$A:$A,0)),IFERROR(INDEX('Catalog'!$B:$B,MATCH($G1640,'Catalog'!$A:$A,0)),$B1640))</f>
        <v>T25-חבק יד אגודלי</v>
      </c>
      <c r="I1640" s="8" t="str">
        <f aca="false">IF($G1640="","Unmatched","Matched")</f>
        <v>Matched</v>
      </c>
    </row>
    <row r="1641" customFormat="false" ht="15" hidden="false" customHeight="false" outlineLevel="0" collapsed="false">
      <c r="A1641" s="8" t="s">
        <v>854</v>
      </c>
      <c r="B1641" s="8" t="s">
        <v>443</v>
      </c>
      <c r="C1641" s="19" t="n">
        <v>0</v>
      </c>
      <c r="D1641" s="19" t="n">
        <v>0</v>
      </c>
      <c r="E1641" s="19" t="n">
        <v>2</v>
      </c>
      <c r="F1641" s="19" t="n">
        <v>93.65</v>
      </c>
      <c r="G1641" s="8" t="n">
        <f aca="false">IFERROR(INDEX('TRANS'!$B:$B,MATCH($B1641,'TRANS'!$A:$A,0)),IFERROR(INDEX('TRANS'!$B:$B,MATCH(TRIM(SUBSTITUTE($B1641,CHAR(160)," ")),'TRANS'!$D:$D,0)),IFERROR(INDEX('Catalog'!$A:$A,MATCH($B1641,'Catalog'!$B:$B,0)),IFERROR(INDEX('Catalog'!$A:$A,MATCH(TRIM(SUBSTITUTE($B1641,CHAR(160)," ")),'Catalog'!$C:$C,0)),""))))</f>
        <v>4408264</v>
      </c>
      <c r="H1641" s="8" t="str">
        <f aca="false">IFERROR(INDEX('TRANS'!$C:$C,MATCH($B1641,'TRANS'!$A:$A,0)),IFERROR(INDEX('Catalog'!$B:$B,MATCH($G1641,'Catalog'!$A:$A,0)),$B1641))</f>
        <v>T25B   חבק יד אגודלי</v>
      </c>
      <c r="I1641" s="8" t="str">
        <f aca="false">IF($G1641="","Unmatched","Matched")</f>
        <v>Matched</v>
      </c>
    </row>
    <row r="1642" customFormat="false" ht="15" hidden="false" customHeight="false" outlineLevel="0" collapsed="false">
      <c r="A1642" s="8" t="s">
        <v>854</v>
      </c>
      <c r="B1642" s="8" t="s">
        <v>542</v>
      </c>
      <c r="C1642" s="19" t="n">
        <v>0</v>
      </c>
      <c r="D1642" s="19" t="n">
        <v>0</v>
      </c>
      <c r="E1642" s="19" t="n">
        <v>2</v>
      </c>
      <c r="F1642" s="19" t="n">
        <v>93.65</v>
      </c>
      <c r="G1642" s="8" t="n">
        <f aca="false">IFERROR(INDEX('TRANS'!$B:$B,MATCH($B1642,'TRANS'!$A:$A,0)),IFERROR(INDEX('TRANS'!$B:$B,MATCH(TRIM(SUBSTITUTE($B1642,CHAR(160)," ")),'TRANS'!$D:$D,0)),IFERROR(INDEX('Catalog'!$A:$A,MATCH($B1642,'Catalog'!$B:$B,0)),IFERROR(INDEX('Catalog'!$A:$A,MATCH(TRIM(SUBSTITUTE($B1642,CHAR(160)," ")),'Catalog'!$C:$C,0)),""))))</f>
        <v>4408099</v>
      </c>
      <c r="H1642" s="8" t="str">
        <f aca="false">IFERROR(INDEX('TRANS'!$C:$C,MATCH($B1642,'TRANS'!$A:$A,0)),IFERROR(INDEX('Catalog'!$B:$B,MATCH($G1642,'Catalog'!$A:$A,0)),$B1642))</f>
        <v>T25C-חבק יד אגודלי</v>
      </c>
      <c r="I1642" s="8" t="str">
        <f aca="false">IF($G1642="","Unmatched","Matched")</f>
        <v>Matched</v>
      </c>
    </row>
    <row r="1643" customFormat="false" ht="15" hidden="false" customHeight="false" outlineLevel="0" collapsed="false">
      <c r="A1643" s="8" t="s">
        <v>855</v>
      </c>
      <c r="B1643" s="8" t="s">
        <v>581</v>
      </c>
      <c r="C1643" s="19" t="n">
        <v>0</v>
      </c>
      <c r="D1643" s="19" t="n">
        <v>0</v>
      </c>
      <c r="E1643" s="19" t="n">
        <v>6</v>
      </c>
      <c r="F1643" s="19" t="n">
        <v>510.72</v>
      </c>
      <c r="G1643" s="8" t="n">
        <f aca="false">IFERROR(INDEX('TRANS'!$B:$B,MATCH($B1643,'TRANS'!$A:$A,0)),IFERROR(INDEX('TRANS'!$B:$B,MATCH(TRIM(SUBSTITUTE($B1643,CHAR(160)," ")),'TRANS'!$D:$D,0)),IFERROR(INDEX('Catalog'!$A:$A,MATCH($B1643,'Catalog'!$B:$B,0)),IFERROR(INDEX('Catalog'!$A:$A,MATCH(TRIM(SUBSTITUTE($B1643,CHAR(160)," ")),'Catalog'!$C:$C,0)),""))))</f>
        <v>4413018</v>
      </c>
      <c r="H1643" s="8" t="str">
        <f aca="false">IFERROR(INDEX('TRANS'!$C:$C,MATCH($B1643,'TRANS'!$A:$A,0)),IFERROR(INDEX('Catalog'!$B:$B,MATCH($G1643,'Catalog'!$A:$A,0)),$B1643))</f>
        <v>303 37-38 מדרסי סיליק.לח.סכרת</v>
      </c>
      <c r="I1643" s="8" t="str">
        <f aca="false">IF($G1643="","Unmatched","Matched")</f>
        <v>Matched</v>
      </c>
    </row>
    <row r="1644" customFormat="false" ht="15" hidden="false" customHeight="false" outlineLevel="0" collapsed="false">
      <c r="A1644" s="8" t="s">
        <v>855</v>
      </c>
      <c r="B1644" s="8" t="s">
        <v>582</v>
      </c>
      <c r="C1644" s="19" t="n">
        <v>10</v>
      </c>
      <c r="D1644" s="19" t="n">
        <v>850.41</v>
      </c>
      <c r="E1644" s="19" t="n">
        <v>5</v>
      </c>
      <c r="F1644" s="19" t="n">
        <v>425.6</v>
      </c>
      <c r="G1644" s="8" t="str">
        <f aca="false">IFERROR(INDEX('TRANS'!$B:$B,MATCH($B1644,'TRANS'!$A:$A,0)),IFERROR(INDEX('TRANS'!$B:$B,MATCH(TRIM(SUBSTITUTE($B1644,CHAR(160)," ")),'TRANS'!$D:$D,0)),IFERROR(INDEX('Catalog'!$A:$A,MATCH($B1644,'Catalog'!$B:$B,0)),IFERROR(INDEX('Catalog'!$A:$A,MATCH(TRIM(SUBSTITUTE($B1644,CHAR(160)," ")),'Catalog'!$C:$C,0)),""))))</f>
        <v/>
      </c>
      <c r="H1644" s="8" t="str">
        <f aca="false">IFERROR(INDEX('TRANS'!$C:$C,MATCH($B1644,'TRANS'!$A:$A,0)),IFERROR(INDEX('Catalog'!$B:$B,MATCH($G1644,'Catalog'!$A:$A,0)),$B1644))</f>
        <v>303-39-40</v>
      </c>
      <c r="I1644" s="8" t="str">
        <f aca="false">IF($G1644="","Unmatched","Matched")</f>
        <v>Unmatched</v>
      </c>
    </row>
    <row r="1645" customFormat="false" ht="15" hidden="false" customHeight="false" outlineLevel="0" collapsed="false">
      <c r="A1645" s="8" t="s">
        <v>855</v>
      </c>
      <c r="B1645" s="8" t="s">
        <v>583</v>
      </c>
      <c r="C1645" s="19" t="n">
        <v>2</v>
      </c>
      <c r="D1645" s="19" t="n">
        <v>170.08</v>
      </c>
      <c r="E1645" s="19" t="n">
        <v>5</v>
      </c>
      <c r="F1645" s="19" t="n">
        <v>425.6</v>
      </c>
      <c r="G1645" s="8" t="n">
        <f aca="false">IFERROR(INDEX('TRANS'!$B:$B,MATCH($B1645,'TRANS'!$A:$A,0)),IFERROR(INDEX('TRANS'!$B:$B,MATCH(TRIM(SUBSTITUTE($B1645,CHAR(160)," ")),'TRANS'!$D:$D,0)),IFERROR(INDEX('Catalog'!$A:$A,MATCH($B1645,'Catalog'!$B:$B,0)),IFERROR(INDEX('Catalog'!$A:$A,MATCH(TRIM(SUBSTITUTE($B1645,CHAR(160)," ")),'Catalog'!$C:$C,0)),""))))</f>
        <v>4413020</v>
      </c>
      <c r="H1645" s="8" t="str">
        <f aca="false">IFERROR(INDEX('TRANS'!$C:$C,MATCH($B1645,'TRANS'!$A:$A,0)),IFERROR(INDEX('Catalog'!$B:$B,MATCH($G1645,'Catalog'!$A:$A,0)),$B1645))</f>
        <v>303 41-42 מדרסי סיליק.לח.סכרת</v>
      </c>
      <c r="I1645" s="8" t="str">
        <f aca="false">IF($G1645="","Unmatched","Matched")</f>
        <v>Matched</v>
      </c>
    </row>
    <row r="1646" customFormat="false" ht="15" hidden="false" customHeight="false" outlineLevel="0" collapsed="false">
      <c r="A1646" s="8" t="s">
        <v>855</v>
      </c>
      <c r="B1646" s="8" t="s">
        <v>584</v>
      </c>
      <c r="C1646" s="19" t="n">
        <v>6</v>
      </c>
      <c r="D1646" s="19" t="n">
        <v>510.24</v>
      </c>
      <c r="E1646" s="19" t="n">
        <v>4</v>
      </c>
      <c r="F1646" s="19" t="n">
        <v>340.48</v>
      </c>
      <c r="G1646" s="8" t="str">
        <f aca="false">IFERROR(INDEX('TRANS'!$B:$B,MATCH($B1646,'TRANS'!$A:$A,0)),IFERROR(INDEX('TRANS'!$B:$B,MATCH(TRIM(SUBSTITUTE($B1646,CHAR(160)," ")),'TRANS'!$D:$D,0)),IFERROR(INDEX('Catalog'!$A:$A,MATCH($B1646,'Catalog'!$B:$B,0)),IFERROR(INDEX('Catalog'!$A:$A,MATCH(TRIM(SUBSTITUTE($B1646,CHAR(160)," ")),'Catalog'!$C:$C,0)),""))))</f>
        <v/>
      </c>
      <c r="H1646" s="8" t="str">
        <f aca="false">IFERROR(INDEX('TRANS'!$C:$C,MATCH($B1646,'TRANS'!$A:$A,0)),IFERROR(INDEX('Catalog'!$B:$B,MATCH($G1646,'Catalog'!$A:$A,0)),$B1646))</f>
        <v>303-43-44</v>
      </c>
      <c r="I1646" s="8" t="str">
        <f aca="false">IF($G1646="","Unmatched","Matched")</f>
        <v>Unmatched</v>
      </c>
    </row>
    <row r="1647" customFormat="false" ht="15" hidden="false" customHeight="false" outlineLevel="0" collapsed="false">
      <c r="A1647" s="8" t="s">
        <v>855</v>
      </c>
      <c r="B1647" s="8" t="s">
        <v>585</v>
      </c>
      <c r="C1647" s="19" t="n">
        <v>2</v>
      </c>
      <c r="D1647" s="19" t="n">
        <v>170.08</v>
      </c>
      <c r="E1647" s="19" t="n">
        <v>5</v>
      </c>
      <c r="F1647" s="19" t="n">
        <v>425.6</v>
      </c>
      <c r="G1647" s="8" t="n">
        <f aca="false">IFERROR(INDEX('TRANS'!$B:$B,MATCH($B1647,'TRANS'!$A:$A,0)),IFERROR(INDEX('TRANS'!$B:$B,MATCH(TRIM(SUBSTITUTE($B1647,CHAR(160)," ")),'TRANS'!$D:$D,0)),IFERROR(INDEX('Catalog'!$A:$A,MATCH($B1647,'Catalog'!$B:$B,0)),IFERROR(INDEX('Catalog'!$A:$A,MATCH(TRIM(SUBSTITUTE($B1647,CHAR(160)," ")),'Catalog'!$C:$C,0)),""))))</f>
        <v>4413022</v>
      </c>
      <c r="H1647" s="8" t="str">
        <f aca="false">IFERROR(INDEX('TRANS'!$C:$C,MATCH($B1647,'TRANS'!$A:$A,0)),IFERROR(INDEX('Catalog'!$B:$B,MATCH($G1647,'Catalog'!$A:$A,0)),$B1647))</f>
        <v>303 45-46 מדרסי סיליק.לח.סכרת</v>
      </c>
      <c r="I1647" s="8" t="str">
        <f aca="false">IF($G1647="","Unmatched","Matched")</f>
        <v>Matched</v>
      </c>
    </row>
    <row r="1648" customFormat="false" ht="15" hidden="false" customHeight="false" outlineLevel="0" collapsed="false">
      <c r="A1648" s="8" t="s">
        <v>855</v>
      </c>
      <c r="B1648" s="8" t="s">
        <v>178</v>
      </c>
      <c r="C1648" s="19" t="n">
        <v>2</v>
      </c>
      <c r="D1648" s="19" t="n">
        <v>156.22</v>
      </c>
      <c r="E1648" s="19" t="n">
        <v>0</v>
      </c>
      <c r="F1648" s="19" t="n">
        <v>0</v>
      </c>
      <c r="G1648" s="8" t="n">
        <f aca="false">IFERROR(INDEX('TRANS'!$B:$B,MATCH($B1648,'TRANS'!$A:$A,0)),IFERROR(INDEX('TRANS'!$B:$B,MATCH(TRIM(SUBSTITUTE($B1648,CHAR(160)," ")),'TRANS'!$D:$D,0)),IFERROR(INDEX('Catalog'!$A:$A,MATCH($B1648,'Catalog'!$B:$B,0)),IFERROR(INDEX('Catalog'!$A:$A,MATCH(TRIM(SUBSTITUTE($B1648,CHAR(160)," ")),'Catalog'!$C:$C,0)),""))))</f>
        <v>4415298</v>
      </c>
      <c r="H1648" s="8" t="str">
        <f aca="false">IFERROR(INDEX('TRANS'!$C:$C,MATCH($B1648,'TRANS'!$A:$A,0)),IFERROR(INDEX('Catalog'!$B:$B,MATCH($G1648,'Catalog'!$A:$A,0)),$B1648))</f>
        <v>388B L סד לילה שחור לבוהן שמאל</v>
      </c>
      <c r="I1648" s="8" t="str">
        <f aca="false">IF($G1648="","Unmatched","Matched")</f>
        <v>Matched</v>
      </c>
    </row>
    <row r="1649" customFormat="false" ht="15" hidden="false" customHeight="false" outlineLevel="0" collapsed="false">
      <c r="A1649" s="8" t="s">
        <v>855</v>
      </c>
      <c r="B1649" s="8" t="s">
        <v>179</v>
      </c>
      <c r="C1649" s="19" t="n">
        <v>2</v>
      </c>
      <c r="D1649" s="19" t="n">
        <v>156.22</v>
      </c>
      <c r="E1649" s="19" t="n">
        <v>1</v>
      </c>
      <c r="F1649" s="19" t="n">
        <v>78.45</v>
      </c>
      <c r="G1649" s="8" t="n">
        <f aca="false">IFERROR(INDEX('TRANS'!$B:$B,MATCH($B1649,'TRANS'!$A:$A,0)),IFERROR(INDEX('TRANS'!$B:$B,MATCH(TRIM(SUBSTITUTE($B1649,CHAR(160)," ")),'TRANS'!$D:$D,0)),IFERROR(INDEX('Catalog'!$A:$A,MATCH($B1649,'Catalog'!$B:$B,0)),IFERROR(INDEX('Catalog'!$A:$A,MATCH(TRIM(SUBSTITUTE($B1649,CHAR(160)," ")),'Catalog'!$C:$C,0)),""))))</f>
        <v>4415299</v>
      </c>
      <c r="H1649" s="8" t="str">
        <f aca="false">IFERROR(INDEX('TRANS'!$C:$C,MATCH($B1649,'TRANS'!$A:$A,0)),IFERROR(INDEX('Catalog'!$B:$B,MATCH($G1649,'Catalog'!$A:$A,0)),$B1649))</f>
        <v>388B L סד לילה שחור לבוהן ימין</v>
      </c>
      <c r="I1649" s="8" t="str">
        <f aca="false">IF($G1649="","Unmatched","Matched")</f>
        <v>Matched</v>
      </c>
    </row>
    <row r="1650" customFormat="false" ht="15" hidden="false" customHeight="false" outlineLevel="0" collapsed="false">
      <c r="A1650" s="8" t="s">
        <v>855</v>
      </c>
      <c r="B1650" s="8" t="s">
        <v>120</v>
      </c>
      <c r="C1650" s="19" t="n">
        <v>0</v>
      </c>
      <c r="D1650" s="19" t="n">
        <v>0</v>
      </c>
      <c r="E1650" s="19" t="n">
        <v>2</v>
      </c>
      <c r="F1650" s="19" t="n">
        <v>221.51</v>
      </c>
      <c r="G1650" s="8" t="n">
        <f aca="false">IFERROR(INDEX('TRANS'!$B:$B,MATCH($B1650,'TRANS'!$A:$A,0)),IFERROR(INDEX('TRANS'!$B:$B,MATCH(TRIM(SUBSTITUTE($B1650,CHAR(160)," ")),'TRANS'!$D:$D,0)),IFERROR(INDEX('Catalog'!$A:$A,MATCH($B1650,'Catalog'!$B:$B,0)),IFERROR(INDEX('Catalog'!$A:$A,MATCH(TRIM(SUBSTITUTE($B1650,CHAR(160)," ")),'Catalog'!$C:$C,0)),""))))</f>
        <v>4416000</v>
      </c>
      <c r="H1650" s="8" t="str">
        <f aca="false">IFERROR(INDEX('TRANS'!$C:$C,MATCH($B1650,'TRANS'!$A:$A,0)),IFERROR(INDEX('Catalog'!$B:$B,MATCH($G1650,'Catalog'!$A:$A,0)),$B1650))</f>
        <v>307 L עקבים לדורבן-זוג כריות</v>
      </c>
      <c r="I1650" s="8" t="str">
        <f aca="false">IF($G1650="","Unmatched","Matched")</f>
        <v>Matched</v>
      </c>
    </row>
    <row r="1651" customFormat="false" ht="15" hidden="false" customHeight="false" outlineLevel="0" collapsed="false">
      <c r="A1651" s="8" t="s">
        <v>855</v>
      </c>
      <c r="B1651" s="8" t="s">
        <v>124</v>
      </c>
      <c r="C1651" s="19" t="n">
        <v>11</v>
      </c>
      <c r="D1651" s="19" t="n">
        <v>225.31</v>
      </c>
      <c r="E1651" s="19" t="n">
        <v>2</v>
      </c>
      <c r="F1651" s="19" t="n">
        <v>49.88</v>
      </c>
      <c r="G1651" s="8" t="n">
        <f aca="false">IFERROR(INDEX('TRANS'!$B:$B,MATCH($B1651,'TRANS'!$A:$A,0)),IFERROR(INDEX('TRANS'!$B:$B,MATCH(TRIM(SUBSTITUTE($B1651,CHAR(160)," ")),'TRANS'!$D:$D,0)),IFERROR(INDEX('Catalog'!$A:$A,MATCH($B1651,'Catalog'!$B:$B,0)),IFERROR(INDEX('Catalog'!$A:$A,MATCH(TRIM(SUBSTITUTE($B1651,CHAR(160)," ")),'Catalog'!$C:$C,0)),""))))</f>
        <v>4413033</v>
      </c>
      <c r="H1651" s="8" t="str">
        <f aca="false">IFERROR(INDEX('TRANS'!$C:$C,MATCH($B1651,'TRANS'!$A:$A,0)),IFERROR(INDEX('Catalog'!$B:$B,MATCH($G1651,'Catalog'!$A:$A,0)),$B1651))</f>
        <v>311'מדב.ג'ל למניעת שפשוף 5 יח</v>
      </c>
      <c r="I1651" s="8" t="str">
        <f aca="false">IF($G1651="","Unmatched","Matched")</f>
        <v>Matched</v>
      </c>
    </row>
    <row r="1652" customFormat="false" ht="15" hidden="false" customHeight="false" outlineLevel="0" collapsed="false">
      <c r="A1652" s="8" t="s">
        <v>855</v>
      </c>
      <c r="B1652" s="8" t="s">
        <v>128</v>
      </c>
      <c r="C1652" s="19" t="n">
        <v>0</v>
      </c>
      <c r="D1652" s="19" t="n">
        <v>0</v>
      </c>
      <c r="E1652" s="19" t="n">
        <v>2</v>
      </c>
      <c r="F1652" s="19" t="n">
        <v>41.9</v>
      </c>
      <c r="G1652" s="8" t="n">
        <f aca="false">IFERROR(INDEX('TRANS'!$B:$B,MATCH($B1652,'TRANS'!$A:$A,0)),IFERROR(INDEX('TRANS'!$B:$B,MATCH(TRIM(SUBSTITUTE($B1652,CHAR(160)," ")),'TRANS'!$D:$D,0)),IFERROR(INDEX('Catalog'!$A:$A,MATCH($B1652,'Catalog'!$B:$B,0)),IFERROR(INDEX('Catalog'!$A:$A,MATCH(TRIM(SUBSTITUTE($B1652,CHAR(160)," ")),'Catalog'!$C:$C,0)),""))))</f>
        <v>4402007</v>
      </c>
      <c r="H1652" s="8" t="str">
        <f aca="false">IFERROR(INDEX('TRANS'!$C:$C,MATCH($B1652,'TRANS'!$A:$A,0)),IFERROR(INDEX('Catalog'!$B:$B,MATCH($G1652,'Catalog'!$A:$A,0)),$B1652))</f>
        <v>320 בליסטר פלסטר</v>
      </c>
      <c r="I1652" s="8" t="str">
        <f aca="false">IF($G1652="","Unmatched","Matched")</f>
        <v>Matched</v>
      </c>
    </row>
    <row r="1653" customFormat="false" ht="15" hidden="false" customHeight="false" outlineLevel="0" collapsed="false">
      <c r="A1653" s="8" t="s">
        <v>855</v>
      </c>
      <c r="B1653" s="8" t="s">
        <v>149</v>
      </c>
      <c r="C1653" s="19" t="n">
        <v>1</v>
      </c>
      <c r="D1653" s="19" t="n">
        <v>34.95</v>
      </c>
      <c r="E1653" s="19" t="n">
        <v>0</v>
      </c>
      <c r="F1653" s="19" t="n">
        <v>0</v>
      </c>
      <c r="G1653" s="8" t="n">
        <f aca="false">IFERROR(INDEX('TRANS'!$B:$B,MATCH($B1653,'TRANS'!$A:$A,0)),IFERROR(INDEX('TRANS'!$B:$B,MATCH(TRIM(SUBSTITUTE($B1653,CHAR(160)," ")),'TRANS'!$D:$D,0)),IFERROR(INDEX('Catalog'!$A:$A,MATCH($B1653,'Catalog'!$B:$B,0)),IFERROR(INDEX('Catalog'!$A:$A,MATCH(TRIM(SUBSTITUTE($B1653,CHAR(160)," ")),'Catalog'!$C:$C,0)),""))))</f>
        <v>4413058</v>
      </c>
      <c r="H1653" s="8" t="str">
        <f aca="false">IFERROR(INDEX('TRANS'!$C:$C,MATCH($B1653,'TRANS'!$A:$A,0)),IFERROR(INDEX('Catalog'!$B:$B,MATCH($G1653,'Catalog'!$A:$A,0)),$B1653))</f>
        <v>3622S מדבקה לשחרור לחץ 2 יח</v>
      </c>
      <c r="I1653" s="8" t="str">
        <f aca="false">IF($G1653="","Unmatched","Matched")</f>
        <v>Matched</v>
      </c>
    </row>
    <row r="1654" customFormat="false" ht="15" hidden="false" customHeight="false" outlineLevel="0" collapsed="false">
      <c r="A1654" s="8" t="s">
        <v>855</v>
      </c>
      <c r="B1654" s="8" t="s">
        <v>150</v>
      </c>
      <c r="C1654" s="19" t="n">
        <v>0</v>
      </c>
      <c r="D1654" s="19" t="n">
        <v>0</v>
      </c>
      <c r="E1654" s="19" t="n">
        <v>6</v>
      </c>
      <c r="F1654" s="19" t="n">
        <v>182.7</v>
      </c>
      <c r="G1654" s="8" t="n">
        <f aca="false">IFERROR(INDEX('TRANS'!$B:$B,MATCH($B1654,'TRANS'!$A:$A,0)),IFERROR(INDEX('TRANS'!$B:$B,MATCH(TRIM(SUBSTITUTE($B1654,CHAR(160)," ")),'TRANS'!$D:$D,0)),IFERROR(INDEX('Catalog'!$A:$A,MATCH($B1654,'Catalog'!$B:$B,0)),IFERROR(INDEX('Catalog'!$A:$A,MATCH(TRIM(SUBSTITUTE($B1654,CHAR(160)," ")),'Catalog'!$C:$C,0)),""))))</f>
        <v>4411001</v>
      </c>
      <c r="H1654" s="8" t="str">
        <f aca="false">IFERROR(INDEX('TRANS'!$C:$C,MATCH($B1654,'TRANS'!$A:$A,0)),IFERROR(INDEX('Catalog'!$B:$B,MATCH($G1654,'Catalog'!$A:$A,0)),$B1654))</f>
        <v>3623 כרית ליישור אצבע פטיש</v>
      </c>
      <c r="I1654" s="8" t="str">
        <f aca="false">IF($G1654="","Unmatched","Matched")</f>
        <v>Matched</v>
      </c>
    </row>
    <row r="1655" customFormat="false" ht="15" hidden="false" customHeight="false" outlineLevel="0" collapsed="false">
      <c r="A1655" s="8" t="s">
        <v>855</v>
      </c>
      <c r="B1655" s="8" t="s">
        <v>151</v>
      </c>
      <c r="C1655" s="19" t="n">
        <v>14</v>
      </c>
      <c r="D1655" s="19" t="n">
        <v>401.15</v>
      </c>
      <c r="E1655" s="19" t="n">
        <v>18</v>
      </c>
      <c r="F1655" s="19" t="n">
        <v>584.05</v>
      </c>
      <c r="G1655" s="8" t="str">
        <f aca="false">IFERROR(INDEX('TRANS'!$B:$B,MATCH($B1655,'TRANS'!$A:$A,0)),IFERROR(INDEX('TRANS'!$B:$B,MATCH(TRIM(SUBSTITUTE($B1655,CHAR(160)," ")),'TRANS'!$D:$D,0)),IFERROR(INDEX('Catalog'!$A:$A,MATCH($B1655,'Catalog'!$B:$B,0)),IFERROR(INDEX('Catalog'!$A:$A,MATCH(TRIM(SUBSTITUTE($B1655,CHAR(160)," ")),'Catalog'!$C:$C,0)),""))))</f>
        <v/>
      </c>
      <c r="H1655" s="8" t="str">
        <f aca="false">IFERROR(INDEX('TRANS'!$C:$C,MATCH($B1655,'TRANS'!$A:$A,0)),IFERROR(INDEX('Catalog'!$B:$B,MATCH($G1655,'Catalog'!$A:$A,0)),$B1655))</f>
        <v>363 L/R</v>
      </c>
      <c r="I1655" s="8" t="str">
        <f aca="false">IF($G1655="","Unmatched","Matched")</f>
        <v>Unmatched</v>
      </c>
    </row>
    <row r="1656" customFormat="false" ht="15" hidden="false" customHeight="false" outlineLevel="0" collapsed="false">
      <c r="A1656" s="8" t="s">
        <v>855</v>
      </c>
      <c r="B1656" s="8" t="s">
        <v>152</v>
      </c>
      <c r="C1656" s="19" t="n">
        <v>7</v>
      </c>
      <c r="D1656" s="19" t="n">
        <v>122.48</v>
      </c>
      <c r="E1656" s="19" t="n">
        <v>4</v>
      </c>
      <c r="F1656" s="19" t="n">
        <v>61.79</v>
      </c>
      <c r="G1656" s="8" t="n">
        <f aca="false">IFERROR(INDEX('TRANS'!$B:$B,MATCH($B1656,'TRANS'!$A:$A,0)),IFERROR(INDEX('TRANS'!$B:$B,MATCH(TRIM(SUBSTITUTE($B1656,CHAR(160)," ")),'TRANS'!$D:$D,0)),IFERROR(INDEX('Catalog'!$A:$A,MATCH($B1656,'Catalog'!$B:$B,0)),IFERROR(INDEX('Catalog'!$A:$A,MATCH(TRIM(SUBSTITUTE($B1656,CHAR(160)," ")),'Catalog'!$C:$C,0)),""))))</f>
        <v>4413059</v>
      </c>
      <c r="H1656" s="8" t="str">
        <f aca="false">IFERROR(INDEX('TRANS'!$C:$C,MATCH($B1656,'TRANS'!$A:$A,0)),IFERROR(INDEX('Catalog'!$B:$B,MATCH($G1656,'Catalog'!$A:$A,0)),$B1656))</f>
        <v>364S Lמפר.אצבע סיליק. ליבל.זוג</v>
      </c>
      <c r="I1656" s="8" t="str">
        <f aca="false">IF($G1656="","Unmatched","Matched")</f>
        <v>Matched</v>
      </c>
    </row>
    <row r="1657" customFormat="false" ht="15" hidden="false" customHeight="false" outlineLevel="0" collapsed="false">
      <c r="A1657" s="8" t="s">
        <v>855</v>
      </c>
      <c r="B1657" s="8" t="s">
        <v>153</v>
      </c>
      <c r="C1657" s="19" t="n">
        <v>1</v>
      </c>
      <c r="D1657" s="19" t="n">
        <v>19.31</v>
      </c>
      <c r="E1657" s="19" t="n">
        <v>0</v>
      </c>
      <c r="F1657" s="19" t="n">
        <v>0</v>
      </c>
      <c r="G1657" s="8" t="n">
        <f aca="false">IFERROR(INDEX('TRANS'!$B:$B,MATCH($B1657,'TRANS'!$A:$A,0)),IFERROR(INDEX('TRANS'!$B:$B,MATCH(TRIM(SUBSTITUTE($B1657,CHAR(160)," ")),'TRANS'!$D:$D,0)),IFERROR(INDEX('Catalog'!$A:$A,MATCH($B1657,'Catalog'!$B:$B,0)),IFERROR(INDEX('Catalog'!$A:$A,MATCH(TRIM(SUBSTITUTE($B1657,CHAR(160)," ")),'Catalog'!$C:$C,0)),""))))</f>
        <v>4413060</v>
      </c>
      <c r="H1657" s="8" t="str">
        <f aca="false">IFERROR(INDEX('TRANS'!$C:$C,MATCH($B1657,'TRANS'!$A:$A,0)),IFERROR(INDEX('Catalog'!$B:$B,MATCH($G1657,'Catalog'!$A:$A,0)),$B1657))</f>
        <v>364 XLמפריד אצבע סיליקון ליבלת</v>
      </c>
      <c r="I1657" s="8" t="str">
        <f aca="false">IF($G1657="","Unmatched","Matched")</f>
        <v>Matched</v>
      </c>
    </row>
    <row r="1658" customFormat="false" ht="15" hidden="false" customHeight="false" outlineLevel="0" collapsed="false">
      <c r="A1658" s="8" t="s">
        <v>855</v>
      </c>
      <c r="B1658" s="8" t="s">
        <v>478</v>
      </c>
      <c r="C1658" s="19" t="n">
        <v>1</v>
      </c>
      <c r="D1658" s="19" t="n">
        <v>18.69</v>
      </c>
      <c r="E1658" s="19" t="n">
        <v>0</v>
      </c>
      <c r="F1658" s="19" t="n">
        <v>0</v>
      </c>
      <c r="G1658" s="8" t="n">
        <f aca="false">IFERROR(INDEX('TRANS'!$B:$B,MATCH($B1658,'TRANS'!$A:$A,0)),IFERROR(INDEX('TRANS'!$B:$B,MATCH(TRIM(SUBSTITUTE($B1658,CHAR(160)," ")),'TRANS'!$D:$D,0)),IFERROR(INDEX('Catalog'!$A:$A,MATCH($B1658,'Catalog'!$B:$B,0)),IFERROR(INDEX('Catalog'!$A:$A,MATCH(TRIM(SUBSTITUTE($B1658,CHAR(160)," ")),'Catalog'!$C:$C,0)),""))))</f>
        <v>4409001</v>
      </c>
      <c r="H1658" s="8" t="str">
        <f aca="false">IFERROR(INDEX('TRANS'!$C:$C,MATCH($B1658,'TRANS'!$A:$A,0)),IFERROR(INDEX('Catalog'!$B:$B,MATCH($G1658,'Catalog'!$A:$A,0)),$B1658))</f>
        <v>365  X-Lטבעת אלסטית מסיליקון</v>
      </c>
      <c r="I1658" s="8" t="str">
        <f aca="false">IF($G1658="","Unmatched","Matched")</f>
        <v>Matched</v>
      </c>
    </row>
    <row r="1659" customFormat="false" ht="15" hidden="false" customHeight="false" outlineLevel="0" collapsed="false">
      <c r="A1659" s="8" t="s">
        <v>855</v>
      </c>
      <c r="B1659" s="8" t="s">
        <v>156</v>
      </c>
      <c r="C1659" s="19" t="n">
        <v>38</v>
      </c>
      <c r="D1659" s="19" t="n">
        <v>849.54</v>
      </c>
      <c r="E1659" s="19" t="n">
        <v>16</v>
      </c>
      <c r="F1659" s="19" t="n">
        <v>339.18</v>
      </c>
      <c r="G1659" s="8" t="n">
        <f aca="false">IFERROR(INDEX('TRANS'!$B:$B,MATCH($B1659,'TRANS'!$A:$A,0)),IFERROR(INDEX('TRANS'!$B:$B,MATCH(TRIM(SUBSTITUTE($B1659,CHAR(160)," ")),'TRANS'!$D:$D,0)),IFERROR(INDEX('Catalog'!$A:$A,MATCH($B1659,'Catalog'!$B:$B,0)),IFERROR(INDEX('Catalog'!$A:$A,MATCH(TRIM(SUBSTITUTE($B1659,CHAR(160)," ")),'Catalog'!$C:$C,0)),""))))</f>
        <v>4421000</v>
      </c>
      <c r="H1659" s="8" t="str">
        <f aca="false">IFERROR(INDEX('TRANS'!$C:$C,MATCH($B1659,'TRANS'!$A:$A,0)),IFERROR(INDEX('Catalog'!$B:$B,MATCH($G1659,'Catalog'!$A:$A,0)),$B1659))</f>
        <v>3655 שרוול מסיליקון לאצבע</v>
      </c>
      <c r="I1659" s="8" t="str">
        <f aca="false">IF($G1659="","Unmatched","Matched")</f>
        <v>Matched</v>
      </c>
    </row>
    <row r="1660" customFormat="false" ht="15" hidden="false" customHeight="false" outlineLevel="0" collapsed="false">
      <c r="A1660" s="8" t="s">
        <v>855</v>
      </c>
      <c r="B1660" s="8" t="s">
        <v>158</v>
      </c>
      <c r="C1660" s="19" t="n">
        <v>4</v>
      </c>
      <c r="D1660" s="19" t="n">
        <v>135.81</v>
      </c>
      <c r="E1660" s="19" t="n">
        <v>6</v>
      </c>
      <c r="F1660" s="19" t="n">
        <v>235.93</v>
      </c>
      <c r="G1660" s="8" t="n">
        <f aca="false">IFERROR(INDEX('TRANS'!$B:$B,MATCH($B1660,'TRANS'!$A:$A,0)),IFERROR(INDEX('TRANS'!$B:$B,MATCH(TRIM(SUBSTITUTE($B1660,CHAR(160)," ")),'TRANS'!$D:$D,0)),IFERROR(INDEX('Catalog'!$A:$A,MATCH($B1660,'Catalog'!$B:$B,0)),IFERROR(INDEX('Catalog'!$A:$A,MATCH(TRIM(SUBSTITUTE($B1660,CHAR(160)," ")),'Catalog'!$C:$C,0)),""))))</f>
        <v>4413307</v>
      </c>
      <c r="H1660" s="8" t="str">
        <f aca="false">IFERROR(INDEX('TRANS'!$C:$C,MATCH($B1660,'TRANS'!$A:$A,0)),IFERROR(INDEX('Catalog'!$B:$B,MATCH($G1660,'Catalog'!$A:$A,0)),$B1660))</f>
        <v>URI 3667 מגן בוניון</v>
      </c>
      <c r="I1660" s="8" t="str">
        <f aca="false">IF($G1660="","Unmatched","Matched")</f>
        <v>Matched</v>
      </c>
    </row>
    <row r="1661" customFormat="false" ht="15" hidden="false" customHeight="false" outlineLevel="0" collapsed="false">
      <c r="A1661" s="8" t="s">
        <v>855</v>
      </c>
      <c r="B1661" s="8" t="s">
        <v>159</v>
      </c>
      <c r="C1661" s="19" t="n">
        <v>8</v>
      </c>
      <c r="D1661" s="19" t="n">
        <v>179.44</v>
      </c>
      <c r="E1661" s="19" t="n">
        <v>8</v>
      </c>
      <c r="F1661" s="19" t="n">
        <v>143.55</v>
      </c>
      <c r="G1661" s="8" t="n">
        <f aca="false">IFERROR(INDEX('TRANS'!$B:$B,MATCH($B1661,'TRANS'!$A:$A,0)),IFERROR(INDEX('TRANS'!$B:$B,MATCH(TRIM(SUBSTITUTE($B1661,CHAR(160)," ")),'TRANS'!$D:$D,0)),IFERROR(INDEX('Catalog'!$A:$A,MATCH($B1661,'Catalog'!$B:$B,0)),IFERROR(INDEX('Catalog'!$A:$A,MATCH(TRIM(SUBSTITUTE($B1661,CHAR(160)," ")),'Catalog'!$C:$C,0)),""))))</f>
        <v>4413063</v>
      </c>
      <c r="H1661" s="8" t="str">
        <f aca="false">IFERROR(INDEX('TRANS'!$C:$C,MATCH($B1661,'TRANS'!$A:$A,0)),IFERROR(INDEX('Catalog'!$B:$B,MATCH($G1661,'Catalog'!$A:$A,0)),$B1661))</f>
        <v>366S-'מדבק.לשחרור לחץ מיבלת2יח</v>
      </c>
      <c r="I1661" s="8" t="str">
        <f aca="false">IF($G1661="","Unmatched","Matched")</f>
        <v>Matched</v>
      </c>
    </row>
    <row r="1662" customFormat="false" ht="15" hidden="false" customHeight="false" outlineLevel="0" collapsed="false">
      <c r="A1662" s="8" t="s">
        <v>855</v>
      </c>
      <c r="B1662" s="8" t="s">
        <v>162</v>
      </c>
      <c r="C1662" s="19" t="n">
        <v>2</v>
      </c>
      <c r="D1662" s="19" t="n">
        <v>64.89</v>
      </c>
      <c r="E1662" s="19" t="n">
        <v>2</v>
      </c>
      <c r="F1662" s="19" t="n">
        <v>81.12</v>
      </c>
      <c r="G1662" s="8" t="n">
        <f aca="false">IFERROR(INDEX('TRANS'!$B:$B,MATCH($B1662,'TRANS'!$A:$A,0)),IFERROR(INDEX('TRANS'!$B:$B,MATCH(TRIM(SUBSTITUTE($B1662,CHAR(160)," ")),'TRANS'!$D:$D,0)),IFERROR(INDEX('Catalog'!$A:$A,MATCH($B1662,'Catalog'!$B:$B,0)),IFERROR(INDEX('Catalog'!$A:$A,MATCH(TRIM(SUBSTITUTE($B1662,CHAR(160)," ")),'Catalog'!$C:$C,0)),""))))</f>
        <v>4413371</v>
      </c>
      <c r="H1662" s="8" t="str">
        <f aca="false">IFERROR(INDEX('TRANS'!$C:$C,MATCH($B1662,'TRANS'!$A:$A,0)),IFERROR(INDEX('Catalog'!$B:$B,MATCH($G1662,'Catalog'!$A:$A,0)),$B1662))</f>
        <v>3675    מגן זרת מסיליקון</v>
      </c>
      <c r="I1662" s="8" t="str">
        <f aca="false">IF($G1662="","Unmatched","Matched")</f>
        <v>Matched</v>
      </c>
    </row>
    <row r="1663" customFormat="false" ht="15" hidden="false" customHeight="false" outlineLevel="0" collapsed="false">
      <c r="A1663" s="8" t="s">
        <v>855</v>
      </c>
      <c r="B1663" s="8" t="s">
        <v>164</v>
      </c>
      <c r="C1663" s="19" t="n">
        <v>0</v>
      </c>
      <c r="D1663" s="19" t="n">
        <v>0</v>
      </c>
      <c r="E1663" s="19" t="n">
        <v>2</v>
      </c>
      <c r="F1663" s="19" t="n">
        <v>55.89</v>
      </c>
      <c r="G1663" s="8" t="n">
        <f aca="false">IFERROR(INDEX('TRANS'!$B:$B,MATCH($B1663,'TRANS'!$A:$A,0)),IFERROR(INDEX('TRANS'!$B:$B,MATCH(TRIM(SUBSTITUTE($B1663,CHAR(160)," ")),'TRANS'!$D:$D,0)),IFERROR(INDEX('Catalog'!$A:$A,MATCH($B1663,'Catalog'!$B:$B,0)),IFERROR(INDEX('Catalog'!$A:$A,MATCH(TRIM(SUBSTITUTE($B1663,CHAR(160)," ")),'Catalog'!$C:$C,0)),""))))</f>
        <v>4401001</v>
      </c>
      <c r="H1663" s="8" t="str">
        <f aca="false">IFERROR(INDEX('TRANS'!$C:$C,MATCH($B1663,'TRANS'!$A:$A,0)),IFERROR(INDEX('Catalog'!$B:$B,MATCH($G1663,'Catalog'!$A:$A,0)),$B1663))</f>
        <v>369   XL אצבעון מסיליקון יחידה</v>
      </c>
      <c r="I1663" s="8" t="str">
        <f aca="false">IF($G1663="","Unmatched","Matched")</f>
        <v>Matched</v>
      </c>
    </row>
    <row r="1664" customFormat="false" ht="15" hidden="false" customHeight="false" outlineLevel="0" collapsed="false">
      <c r="A1664" s="8" t="s">
        <v>855</v>
      </c>
      <c r="B1664" s="8" t="s">
        <v>289</v>
      </c>
      <c r="C1664" s="19" t="n">
        <v>3</v>
      </c>
      <c r="D1664" s="19" t="n">
        <v>80.86</v>
      </c>
      <c r="E1664" s="19" t="n">
        <v>3</v>
      </c>
      <c r="F1664" s="19" t="n">
        <v>101.07</v>
      </c>
      <c r="G1664" s="8" t="n">
        <f aca="false">IFERROR(INDEX('TRANS'!$B:$B,MATCH($B1664,'TRANS'!$A:$A,0)),IFERROR(INDEX('TRANS'!$B:$B,MATCH(TRIM(SUBSTITUTE($B1664,CHAR(160)," ")),'TRANS'!$D:$D,0)),IFERROR(INDEX('Catalog'!$A:$A,MATCH($B1664,'Catalog'!$B:$B,0)),IFERROR(INDEX('Catalog'!$A:$A,MATCH(TRIM(SUBSTITUTE($B1664,CHAR(160)," ")),'Catalog'!$C:$C,0)),""))))</f>
        <v>4417000</v>
      </c>
      <c r="H1664" s="8" t="str">
        <f aca="false">IFERROR(INDEX('TRANS'!$C:$C,MATCH($B1664,'TRANS'!$A:$A,0)),IFERROR(INDEX('Catalog'!$B:$B,MATCH($G1664,'Catalog'!$A:$A,0)),$B1664))</f>
        <v>PD342-פומפיה להסרת עור קשה</v>
      </c>
      <c r="I1664" s="8" t="str">
        <f aca="false">IF($G1664="","Unmatched","Matched")</f>
        <v>Matched</v>
      </c>
    </row>
    <row r="1665" customFormat="false" ht="15" hidden="false" customHeight="false" outlineLevel="0" collapsed="false">
      <c r="A1665" s="8" t="s">
        <v>856</v>
      </c>
      <c r="B1665" s="8" t="s">
        <v>252</v>
      </c>
      <c r="C1665" s="19" t="n">
        <v>1</v>
      </c>
      <c r="D1665" s="19" t="n">
        <v>49</v>
      </c>
      <c r="E1665" s="19" t="n">
        <v>30</v>
      </c>
      <c r="F1665" s="19" t="n">
        <v>1470</v>
      </c>
      <c r="G1665" s="8" t="n">
        <f aca="false">IFERROR(INDEX('TRANS'!$B:$B,MATCH($B1665,'TRANS'!$A:$A,0)),IFERROR(INDEX('TRANS'!$B:$B,MATCH(TRIM(SUBSTITUTE($B1665,CHAR(160)," ")),'TRANS'!$D:$D,0)),IFERROR(INDEX('Catalog'!$A:$A,MATCH($B1665,'Catalog'!$B:$B,0)),IFERROR(INDEX('Catalog'!$A:$A,MATCH(TRIM(SUBSTITUTE($B1665,CHAR(160)," ")),'Catalog'!$C:$C,0)),""))))</f>
        <v>4413135</v>
      </c>
      <c r="H1665" s="8" t="str">
        <f aca="false">IFERROR(INDEX('TRANS'!$C:$C,MATCH($B1665,'TRANS'!$A:$A,0)),IFERROR(INDEX('Catalog'!$B:$B,MATCH($G1665,'Catalog'!$A:$A,0)),$B1665))</f>
        <v>85 L (מתלה ליד )כיס</v>
      </c>
      <c r="I1665" s="8" t="str">
        <f aca="false">IF($G1665="","Unmatched","Matched")</f>
        <v>Matched</v>
      </c>
    </row>
    <row r="1666" customFormat="false" ht="15" hidden="false" customHeight="false" outlineLevel="0" collapsed="false">
      <c r="A1666" s="8" t="s">
        <v>856</v>
      </c>
      <c r="B1666" s="8" t="s">
        <v>253</v>
      </c>
      <c r="C1666" s="19" t="n">
        <v>1</v>
      </c>
      <c r="D1666" s="19" t="n">
        <v>49</v>
      </c>
      <c r="E1666" s="19" t="n">
        <v>25</v>
      </c>
      <c r="F1666" s="19" t="n">
        <v>1225</v>
      </c>
      <c r="G1666" s="8" t="n">
        <f aca="false">IFERROR(INDEX('TRANS'!$B:$B,MATCH($B1666,'TRANS'!$A:$A,0)),IFERROR(INDEX('TRANS'!$B:$B,MATCH(TRIM(SUBSTITUTE($B1666,CHAR(160)," ")),'TRANS'!$D:$D,0)),IFERROR(INDEX('Catalog'!$A:$A,MATCH($B1666,'Catalog'!$B:$B,0)),IFERROR(INDEX('Catalog'!$A:$A,MATCH(TRIM(SUBSTITUTE($B1666,CHAR(160)," ")),'Catalog'!$C:$C,0)),""))))</f>
        <v>4413136</v>
      </c>
      <c r="H1666" s="8" t="str">
        <f aca="false">IFERROR(INDEX('TRANS'!$C:$C,MATCH($B1666,'TRANS'!$A:$A,0)),IFERROR(INDEX('Catalog'!$B:$B,MATCH($G1666,'Catalog'!$A:$A,0)),$B1666))</f>
        <v>85 M (מתלה ליד )כיס</v>
      </c>
      <c r="I1666" s="8" t="str">
        <f aca="false">IF($G1666="","Unmatched","Matched")</f>
        <v>Matched</v>
      </c>
    </row>
    <row r="1667" customFormat="false" ht="15" hidden="false" customHeight="false" outlineLevel="0" collapsed="false">
      <c r="A1667" s="8" t="s">
        <v>856</v>
      </c>
      <c r="B1667" s="8" t="s">
        <v>664</v>
      </c>
      <c r="C1667" s="19" t="n">
        <v>0</v>
      </c>
      <c r="D1667" s="19" t="n">
        <v>0</v>
      </c>
      <c r="E1667" s="19" t="n">
        <v>5</v>
      </c>
      <c r="F1667" s="19" t="n">
        <v>245</v>
      </c>
      <c r="G1667" s="8" t="n">
        <f aca="false">IFERROR(INDEX('TRANS'!$B:$B,MATCH($B1667,'TRANS'!$A:$A,0)),IFERROR(INDEX('TRANS'!$B:$B,MATCH(TRIM(SUBSTITUTE($B1667,CHAR(160)," ")),'TRANS'!$D:$D,0)),IFERROR(INDEX('Catalog'!$A:$A,MATCH($B1667,'Catalog'!$B:$B,0)),IFERROR(INDEX('Catalog'!$A:$A,MATCH(TRIM(SUBSTITUTE($B1667,CHAR(160)," ")),'Catalog'!$C:$C,0)),""))))</f>
        <v>4413137</v>
      </c>
      <c r="H1667" s="8" t="str">
        <f aca="false">IFERROR(INDEX('TRANS'!$C:$C,MATCH($B1667,'TRANS'!$A:$A,0)),IFERROR(INDEX('Catalog'!$B:$B,MATCH($G1667,'Catalog'!$A:$A,0)),$B1667))</f>
        <v>85 S (מתלה ליד )כיס</v>
      </c>
      <c r="I1667" s="8" t="str">
        <f aca="false">IF($G1667="","Unmatched","Matched")</f>
        <v>Matched</v>
      </c>
    </row>
    <row r="1668" customFormat="false" ht="15" hidden="false" customHeight="false" outlineLevel="0" collapsed="false">
      <c r="A1668" s="8" t="s">
        <v>856</v>
      </c>
      <c r="B1668" s="8" t="s">
        <v>254</v>
      </c>
      <c r="C1668" s="19" t="n">
        <v>1</v>
      </c>
      <c r="D1668" s="19" t="n">
        <v>49</v>
      </c>
      <c r="E1668" s="19" t="n">
        <v>10</v>
      </c>
      <c r="F1668" s="19" t="n">
        <v>490</v>
      </c>
      <c r="G1668" s="8" t="n">
        <f aca="false">IFERROR(INDEX('TRANS'!$B:$B,MATCH($B1668,'TRANS'!$A:$A,0)),IFERROR(INDEX('TRANS'!$B:$B,MATCH(TRIM(SUBSTITUTE($B1668,CHAR(160)," ")),'TRANS'!$D:$D,0)),IFERROR(INDEX('Catalog'!$A:$A,MATCH($B1668,'Catalog'!$B:$B,0)),IFERROR(INDEX('Catalog'!$A:$A,MATCH(TRIM(SUBSTITUTE($B1668,CHAR(160)," ")),'Catalog'!$C:$C,0)),""))))</f>
        <v>4413138</v>
      </c>
      <c r="H1668" s="8" t="str">
        <f aca="false">IFERROR(INDEX('TRANS'!$C:$C,MATCH($B1668,'TRANS'!$A:$A,0)),IFERROR(INDEX('Catalog'!$B:$B,MATCH($G1668,'Catalog'!$A:$A,0)),$B1668))</f>
        <v>85 XL (מתלה ליד )כיס</v>
      </c>
      <c r="I1668" s="8" t="str">
        <f aca="false">IF($G1668="","Unmatched","Matched")</f>
        <v>Matched</v>
      </c>
    </row>
    <row r="1669" customFormat="false" ht="15" hidden="false" customHeight="false" outlineLevel="0" collapsed="false">
      <c r="A1669" s="8" t="s">
        <v>856</v>
      </c>
      <c r="B1669" s="8" t="s">
        <v>690</v>
      </c>
      <c r="C1669" s="19" t="n">
        <v>0</v>
      </c>
      <c r="D1669" s="19" t="n">
        <v>0</v>
      </c>
      <c r="E1669" s="19" t="n">
        <v>10</v>
      </c>
      <c r="F1669" s="19" t="n">
        <v>1261.8</v>
      </c>
      <c r="G1669" s="8" t="n">
        <f aca="false">IFERROR(INDEX('TRANS'!$B:$B,MATCH($B1669,'TRANS'!$A:$A,0)),IFERROR(INDEX('TRANS'!$B:$B,MATCH(TRIM(SUBSTITUTE($B1669,CHAR(160)," ")),'TRANS'!$D:$D,0)),IFERROR(INDEX('Catalog'!$A:$A,MATCH($B1669,'Catalog'!$B:$B,0)),IFERROR(INDEX('Catalog'!$A:$A,MATCH(TRIM(SUBSTITUTE($B1669,CHAR(160)," ")),'Catalog'!$C:$C,0)),""))))</f>
        <v>4408090</v>
      </c>
      <c r="H1669" s="8" t="str">
        <f aca="false">IFERROR(INDEX('TRANS'!$C:$C,MATCH($B1669,'TRANS'!$A:$A,0)),IFERROR(INDEX('Catalog'!$B:$B,MATCH($G1669,'Catalog'!$A:$A,0)),$B1669))</f>
        <v>T11C L  חגורת גב פוג'יאמה</v>
      </c>
      <c r="I1669" s="8" t="str">
        <f aca="false">IF($G1669="","Unmatched","Matched")</f>
        <v>Matched</v>
      </c>
    </row>
    <row r="1670" customFormat="false" ht="15" hidden="false" customHeight="false" outlineLevel="0" collapsed="false">
      <c r="A1670" s="8" t="s">
        <v>856</v>
      </c>
      <c r="B1670" s="8" t="s">
        <v>753</v>
      </c>
      <c r="C1670" s="19" t="n">
        <v>10</v>
      </c>
      <c r="D1670" s="19" t="n">
        <v>1260</v>
      </c>
      <c r="E1670" s="19" t="n">
        <v>0</v>
      </c>
      <c r="F1670" s="19" t="n">
        <v>0</v>
      </c>
      <c r="G1670" s="8" t="n">
        <f aca="false">IFERROR(INDEX('TRANS'!$B:$B,MATCH($B1670,'TRANS'!$A:$A,0)),IFERROR(INDEX('TRANS'!$B:$B,MATCH(TRIM(SUBSTITUTE($B1670,CHAR(160)," ")),'TRANS'!$D:$D,0)),IFERROR(INDEX('Catalog'!$A:$A,MATCH($B1670,'Catalog'!$B:$B,0)),IFERROR(INDEX('Catalog'!$A:$A,MATCH(TRIM(SUBSTITUTE($B1670,CHAR(160)," ")),'Catalog'!$C:$C,0)),""))))</f>
        <v>4408091</v>
      </c>
      <c r="H1670" s="8" t="str">
        <f aca="false">IFERROR(INDEX('TRANS'!$C:$C,MATCH($B1670,'TRANS'!$A:$A,0)),IFERROR(INDEX('Catalog'!$B:$B,MATCH($G1670,'Catalog'!$A:$A,0)),$B1670))</f>
        <v>T11C M  חגורת גב פוג'יאמה</v>
      </c>
      <c r="I1670" s="8" t="str">
        <f aca="false">IF($G1670="","Unmatched","Matched")</f>
        <v>Matched</v>
      </c>
    </row>
    <row r="1671" customFormat="false" ht="15" hidden="false" customHeight="false" outlineLevel="0" collapsed="false">
      <c r="A1671" s="8" t="s">
        <v>856</v>
      </c>
      <c r="B1671" s="8" t="s">
        <v>754</v>
      </c>
      <c r="C1671" s="19" t="n">
        <v>0</v>
      </c>
      <c r="D1671" s="19" t="n">
        <v>0</v>
      </c>
      <c r="E1671" s="19" t="n">
        <v>3</v>
      </c>
      <c r="F1671" s="19" t="n">
        <v>478.2</v>
      </c>
      <c r="G1671" s="8" t="n">
        <f aca="false">IFERROR(INDEX('TRANS'!$B:$B,MATCH($B1671,'TRANS'!$A:$A,0)),IFERROR(INDEX('TRANS'!$B:$B,MATCH(TRIM(SUBSTITUTE($B1671,CHAR(160)," ")),'TRANS'!$D:$D,0)),IFERROR(INDEX('Catalog'!$A:$A,MATCH($B1671,'Catalog'!$B:$B,0)),IFERROR(INDEX('Catalog'!$A:$A,MATCH(TRIM(SUBSTITUTE($B1671,CHAR(160)," ")),'Catalog'!$C:$C,0)),""))))</f>
        <v>4408089</v>
      </c>
      <c r="H1671" s="8" t="str">
        <f aca="false">IFERROR(INDEX('TRANS'!$C:$C,MATCH($B1671,'TRANS'!$A:$A,0)),IFERROR(INDEX('Catalog'!$B:$B,MATCH($G1671,'Catalog'!$A:$A,0)),$B1671))</f>
        <v>T11C S  חגורת גב פוג'יאמה</v>
      </c>
      <c r="I1671" s="8" t="str">
        <f aca="false">IF($G1671="","Unmatched","Matched")</f>
        <v>Matched</v>
      </c>
    </row>
    <row r="1672" customFormat="false" ht="15" hidden="false" customHeight="false" outlineLevel="0" collapsed="false">
      <c r="A1672" s="8" t="s">
        <v>856</v>
      </c>
      <c r="B1672" s="8" t="s">
        <v>314</v>
      </c>
      <c r="C1672" s="19" t="n">
        <v>0</v>
      </c>
      <c r="D1672" s="19" t="n">
        <v>0</v>
      </c>
      <c r="E1672" s="19" t="n">
        <v>10</v>
      </c>
      <c r="F1672" s="19" t="n">
        <v>1261.8</v>
      </c>
      <c r="G1672" s="8" t="n">
        <f aca="false">IFERROR(INDEX('TRANS'!$B:$B,MATCH($B1672,'TRANS'!$A:$A,0)),IFERROR(INDEX('TRANS'!$B:$B,MATCH(TRIM(SUBSTITUTE($B1672,CHAR(160)," ")),'TRANS'!$D:$D,0)),IFERROR(INDEX('Catalog'!$A:$A,MATCH($B1672,'Catalog'!$B:$B,0)),IFERROR(INDEX('Catalog'!$A:$A,MATCH(TRIM(SUBSTITUTE($B1672,CHAR(160)," ")),'Catalog'!$C:$C,0)),""))))</f>
        <v>4408092</v>
      </c>
      <c r="H1672" s="8" t="str">
        <f aca="false">IFERROR(INDEX('TRANS'!$C:$C,MATCH($B1672,'TRANS'!$A:$A,0)),IFERROR(INDEX('Catalog'!$B:$B,MATCH($G1672,'Catalog'!$A:$A,0)),$B1672))</f>
        <v>T11C XL חגורת גב פוג'יאמה</v>
      </c>
      <c r="I1672" s="8" t="str">
        <f aca="false">IF($G1672="","Unmatched","Matched")</f>
        <v>Matched</v>
      </c>
    </row>
    <row r="1673" customFormat="false" ht="15" hidden="false" customHeight="false" outlineLevel="0" collapsed="false">
      <c r="A1673" s="8" t="s">
        <v>856</v>
      </c>
      <c r="B1673" s="8" t="s">
        <v>335</v>
      </c>
      <c r="C1673" s="19" t="n">
        <v>3</v>
      </c>
      <c r="D1673" s="19" t="n">
        <v>225</v>
      </c>
      <c r="E1673" s="19" t="n">
        <v>2</v>
      </c>
      <c r="F1673" s="19" t="n">
        <v>150</v>
      </c>
      <c r="G1673" s="8" t="n">
        <f aca="false">IFERROR(INDEX('TRANS'!$B:$B,MATCH($B1673,'TRANS'!$A:$A,0)),IFERROR(INDEX('TRANS'!$B:$B,MATCH(TRIM(SUBSTITUTE($B1673,CHAR(160)," ")),'TRANS'!$D:$D,0)),IFERROR(INDEX('Catalog'!$A:$A,MATCH($B1673,'Catalog'!$B:$B,0)),IFERROR(INDEX('Catalog'!$A:$A,MATCH(TRIM(SUBSTITUTE($B1673,CHAR(160)," ")),'Catalog'!$C:$C,0)),""))))</f>
        <v>4408221</v>
      </c>
      <c r="H1673" s="8" t="str">
        <f aca="false">IFERROR(INDEX('TRANS'!$C:$C,MATCH($B1673,'TRANS'!$A:$A,0)),IFERROR(INDEX('Catalog'!$B:$B,MATCH($G1673,'Catalog'!$A:$A,0)),$B1673))</f>
        <v>078G-L חגורת גב אפורה</v>
      </c>
      <c r="I1673" s="8" t="str">
        <f aca="false">IF($G1673="","Unmatched","Matched")</f>
        <v>Matched</v>
      </c>
    </row>
    <row r="1674" customFormat="false" ht="15" hidden="false" customHeight="false" outlineLevel="0" collapsed="false">
      <c r="A1674" s="8" t="s">
        <v>856</v>
      </c>
      <c r="B1674" s="8" t="s">
        <v>62</v>
      </c>
      <c r="C1674" s="19" t="n">
        <v>1</v>
      </c>
      <c r="D1674" s="19" t="n">
        <v>75</v>
      </c>
      <c r="E1674" s="19" t="n">
        <v>0</v>
      </c>
      <c r="F1674" s="19" t="n">
        <v>0</v>
      </c>
      <c r="G1674" s="8" t="n">
        <f aca="false">IFERROR(INDEX('TRANS'!$B:$B,MATCH($B1674,'TRANS'!$A:$A,0)),IFERROR(INDEX('TRANS'!$B:$B,MATCH(TRIM(SUBSTITUTE($B1674,CHAR(160)," ")),'TRANS'!$D:$D,0)),IFERROR(INDEX('Catalog'!$A:$A,MATCH($B1674,'Catalog'!$B:$B,0)),IFERROR(INDEX('Catalog'!$A:$A,MATCH(TRIM(SUBSTITUTE($B1674,CHAR(160)," ")),'Catalog'!$C:$C,0)),""))))</f>
        <v>4408220</v>
      </c>
      <c r="H1674" s="8" t="str">
        <f aca="false">IFERROR(INDEX('TRANS'!$C:$C,MATCH($B1674,'TRANS'!$A:$A,0)),IFERROR(INDEX('Catalog'!$B:$B,MATCH($G1674,'Catalog'!$A:$A,0)),$B1674))</f>
        <v>078G-M חגורת גב אפורה</v>
      </c>
      <c r="I1674" s="8" t="str">
        <f aca="false">IF($G1674="","Unmatched","Matched")</f>
        <v>Matched</v>
      </c>
    </row>
    <row r="1675" customFormat="false" ht="15" hidden="false" customHeight="false" outlineLevel="0" collapsed="false">
      <c r="A1675" s="8" t="s">
        <v>856</v>
      </c>
      <c r="B1675" s="8" t="s">
        <v>336</v>
      </c>
      <c r="C1675" s="19" t="n">
        <v>3</v>
      </c>
      <c r="D1675" s="19" t="n">
        <v>225</v>
      </c>
      <c r="E1675" s="19" t="n">
        <v>2</v>
      </c>
      <c r="F1675" s="19" t="n">
        <v>150</v>
      </c>
      <c r="G1675" s="8" t="n">
        <f aca="false">IFERROR(INDEX('TRANS'!$B:$B,MATCH($B1675,'TRANS'!$A:$A,0)),IFERROR(INDEX('TRANS'!$B:$B,MATCH(TRIM(SUBSTITUTE($B1675,CHAR(160)," ")),'TRANS'!$D:$D,0)),IFERROR(INDEX('Catalog'!$A:$A,MATCH($B1675,'Catalog'!$B:$B,0)),IFERROR(INDEX('Catalog'!$A:$A,MATCH(TRIM(SUBSTITUTE($B1675,CHAR(160)," ")),'Catalog'!$C:$C,0)),""))))</f>
        <v>4408222</v>
      </c>
      <c r="H1675" s="8" t="str">
        <f aca="false">IFERROR(INDEX('TRANS'!$C:$C,MATCH($B1675,'TRANS'!$A:$A,0)),IFERROR(INDEX('Catalog'!$B:$B,MATCH($G1675,'Catalog'!$A:$A,0)),$B1675))</f>
        <v>078G-XLחגורת גב אפורה</v>
      </c>
      <c r="I1675" s="8" t="str">
        <f aca="false">IF($G1675="","Unmatched","Matched")</f>
        <v>Matched</v>
      </c>
    </row>
    <row r="1676" customFormat="false" ht="15" hidden="false" customHeight="false" outlineLevel="0" collapsed="false">
      <c r="A1676" s="8" t="s">
        <v>856</v>
      </c>
      <c r="B1676" s="8" t="s">
        <v>458</v>
      </c>
      <c r="C1676" s="19" t="n">
        <v>1</v>
      </c>
      <c r="D1676" s="19" t="n">
        <v>85</v>
      </c>
      <c r="E1676" s="19" t="n">
        <v>0</v>
      </c>
      <c r="F1676" s="19" t="n">
        <v>0</v>
      </c>
      <c r="G1676" s="8" t="n">
        <f aca="false">IFERROR(INDEX('TRANS'!$B:$B,MATCH($B1676,'TRANS'!$A:$A,0)),IFERROR(INDEX('TRANS'!$B:$B,MATCH(TRIM(SUBSTITUTE($B1676,CHAR(160)," ")),'TRANS'!$D:$D,0)),IFERROR(INDEX('Catalog'!$A:$A,MATCH($B1676,'Catalog'!$B:$B,0)),IFERROR(INDEX('Catalog'!$A:$A,MATCH(TRIM(SUBSTITUTE($B1676,CHAR(160)," ")),'Catalog'!$C:$C,0)),""))))</f>
        <v>4408032</v>
      </c>
      <c r="H1676" s="8" t="str">
        <f aca="false">IFERROR(INDEX('TRANS'!$C:$C,MATCH($B1676,'TRANS'!$A:$A,0)),IFERROR(INDEX('Catalog'!$B:$B,MATCH($G1676,'Catalog'!$A:$A,0)),$B1676))</f>
        <v>11 L""""חגורת בטן""""אורירית</v>
      </c>
      <c r="I1676" s="8" t="str">
        <f aca="false">IF($G1676="","Unmatched","Matched")</f>
        <v>Matched</v>
      </c>
    </row>
    <row r="1677" customFormat="false" ht="15" hidden="false" customHeight="false" outlineLevel="0" collapsed="false">
      <c r="A1677" s="8" t="s">
        <v>856</v>
      </c>
      <c r="B1677" s="8" t="s">
        <v>71</v>
      </c>
      <c r="C1677" s="19" t="n">
        <v>1</v>
      </c>
      <c r="D1677" s="19" t="n">
        <v>85</v>
      </c>
      <c r="E1677" s="19" t="n">
        <v>0</v>
      </c>
      <c r="F1677" s="19" t="n">
        <v>0</v>
      </c>
      <c r="G1677" s="8" t="n">
        <f aca="false">IFERROR(INDEX('TRANS'!$B:$B,MATCH($B1677,'TRANS'!$A:$A,0)),IFERROR(INDEX('TRANS'!$B:$B,MATCH(TRIM(SUBSTITUTE($B1677,CHAR(160)," ")),'TRANS'!$D:$D,0)),IFERROR(INDEX('Catalog'!$A:$A,MATCH($B1677,'Catalog'!$B:$B,0)),IFERROR(INDEX('Catalog'!$A:$A,MATCH(TRIM(SUBSTITUTE($B1677,CHAR(160)," ")),'Catalog'!$C:$C,0)),""))))</f>
        <v>4408033</v>
      </c>
      <c r="H1677" s="8" t="str">
        <f aca="false">IFERROR(INDEX('TRANS'!$C:$C,MATCH($B1677,'TRANS'!$A:$A,0)),IFERROR(INDEX('Catalog'!$B:$B,MATCH($G1677,'Catalog'!$A:$A,0)),$B1677))</f>
        <v>11 M""""חגורת בטן""""אורירית</v>
      </c>
      <c r="I1677" s="8" t="str">
        <f aca="false">IF($G1677="","Unmatched","Matched")</f>
        <v>Matched</v>
      </c>
    </row>
    <row r="1678" customFormat="false" ht="15" hidden="false" customHeight="false" outlineLevel="0" collapsed="false">
      <c r="A1678" s="8" t="s">
        <v>856</v>
      </c>
      <c r="B1678" s="8" t="s">
        <v>617</v>
      </c>
      <c r="C1678" s="19" t="n">
        <v>1</v>
      </c>
      <c r="D1678" s="19" t="n">
        <v>85</v>
      </c>
      <c r="E1678" s="19" t="n">
        <v>0</v>
      </c>
      <c r="F1678" s="19" t="n">
        <v>0</v>
      </c>
      <c r="G1678" s="8" t="n">
        <f aca="false">IFERROR(INDEX('TRANS'!$B:$B,MATCH($B1678,'TRANS'!$A:$A,0)),IFERROR(INDEX('TRANS'!$B:$B,MATCH(TRIM(SUBSTITUTE($B1678,CHAR(160)," ")),'TRANS'!$D:$D,0)),IFERROR(INDEX('Catalog'!$A:$A,MATCH($B1678,'Catalog'!$B:$B,0)),IFERROR(INDEX('Catalog'!$A:$A,MATCH(TRIM(SUBSTITUTE($B1678,CHAR(160)," ")),'Catalog'!$C:$C,0)),""))))</f>
        <v>4408034</v>
      </c>
      <c r="H1678" s="8" t="str">
        <f aca="false">IFERROR(INDEX('TRANS'!$C:$C,MATCH($B1678,'TRANS'!$A:$A,0)),IFERROR(INDEX('Catalog'!$B:$B,MATCH($G1678,'Catalog'!$A:$A,0)),$B1678))</f>
        <v>11 XL""""חגורת בטן""""אורירית</v>
      </c>
      <c r="I1678" s="8" t="str">
        <f aca="false">IF($G1678="","Unmatched","Matched")</f>
        <v>Matched</v>
      </c>
    </row>
    <row r="1679" customFormat="false" ht="15" hidden="false" customHeight="false" outlineLevel="0" collapsed="false">
      <c r="A1679" s="8" t="s">
        <v>856</v>
      </c>
      <c r="B1679" s="8" t="s">
        <v>93</v>
      </c>
      <c r="C1679" s="19" t="n">
        <v>1</v>
      </c>
      <c r="D1679" s="19" t="n">
        <v>33.04</v>
      </c>
      <c r="E1679" s="19" t="n">
        <v>2</v>
      </c>
      <c r="F1679" s="19" t="n">
        <v>74.92</v>
      </c>
      <c r="G1679" s="8" t="n">
        <f aca="false">IFERROR(INDEX('TRANS'!$B:$B,MATCH($B1679,'TRANS'!$A:$A,0)),IFERROR(INDEX('TRANS'!$B:$B,MATCH(TRIM(SUBSTITUTE($B1679,CHAR(160)," ")),'TRANS'!$D:$D,0)),IFERROR(INDEX('Catalog'!$A:$A,MATCH($B1679,'Catalog'!$B:$B,0)),IFERROR(INDEX('Catalog'!$A:$A,MATCH(TRIM(SUBSTITUTE($B1679,CHAR(160)," ")),'Catalog'!$C:$C,0)),""))))</f>
        <v>4411017</v>
      </c>
      <c r="H1679" s="8" t="str">
        <f aca="false">IFERROR(INDEX('TRANS'!$C:$C,MATCH($B1679,'TRANS'!$A:$A,0)),IFERROR(INDEX('Catalog'!$B:$B,MATCH($G1679,'Catalog'!$A:$A,0)),$B1679))</f>
        <v>211L כפפות לחץ</v>
      </c>
      <c r="I1679" s="8" t="str">
        <f aca="false">IF($G1679="","Unmatched","Matched")</f>
        <v>Matched</v>
      </c>
    </row>
    <row r="1680" customFormat="false" ht="15" hidden="false" customHeight="false" outlineLevel="0" collapsed="false">
      <c r="A1680" s="8" t="s">
        <v>856</v>
      </c>
      <c r="B1680" s="8" t="s">
        <v>94</v>
      </c>
      <c r="C1680" s="19" t="n">
        <v>1</v>
      </c>
      <c r="D1680" s="19" t="n">
        <v>33.04</v>
      </c>
      <c r="E1680" s="19" t="n">
        <v>0</v>
      </c>
      <c r="F1680" s="19" t="n">
        <v>0</v>
      </c>
      <c r="G1680" s="8" t="n">
        <f aca="false">IFERROR(INDEX('TRANS'!$B:$B,MATCH($B1680,'TRANS'!$A:$A,0)),IFERROR(INDEX('TRANS'!$B:$B,MATCH(TRIM(SUBSTITUTE($B1680,CHAR(160)," ")),'TRANS'!$D:$D,0)),IFERROR(INDEX('Catalog'!$A:$A,MATCH($B1680,'Catalog'!$B:$B,0)),IFERROR(INDEX('Catalog'!$A:$A,MATCH(TRIM(SUBSTITUTE($B1680,CHAR(160)," ")),'Catalog'!$C:$C,0)),""))))</f>
        <v>4411018</v>
      </c>
      <c r="H1680" s="8" t="str">
        <f aca="false">IFERROR(INDEX('TRANS'!$C:$C,MATCH($B1680,'TRANS'!$A:$A,0)),IFERROR(INDEX('Catalog'!$B:$B,MATCH($G1680,'Catalog'!$A:$A,0)),$B1680))</f>
        <v>211M כפפות לחץ</v>
      </c>
      <c r="I1680" s="8" t="str">
        <f aca="false">IF($G1680="","Unmatched","Matched")</f>
        <v>Matched</v>
      </c>
    </row>
    <row r="1681" customFormat="false" ht="15" hidden="false" customHeight="false" outlineLevel="0" collapsed="false">
      <c r="A1681" s="8" t="s">
        <v>856</v>
      </c>
      <c r="B1681" s="8" t="s">
        <v>95</v>
      </c>
      <c r="C1681" s="19" t="n">
        <v>1</v>
      </c>
      <c r="D1681" s="19" t="n">
        <v>33.04</v>
      </c>
      <c r="E1681" s="19" t="n">
        <v>0</v>
      </c>
      <c r="F1681" s="19" t="n">
        <v>0</v>
      </c>
      <c r="G1681" s="8" t="n">
        <f aca="false">IFERROR(INDEX('TRANS'!$B:$B,MATCH($B1681,'TRANS'!$A:$A,0)),IFERROR(INDEX('TRANS'!$B:$B,MATCH(TRIM(SUBSTITUTE($B1681,CHAR(160)," ")),'TRANS'!$D:$D,0)),IFERROR(INDEX('Catalog'!$A:$A,MATCH($B1681,'Catalog'!$B:$B,0)),IFERROR(INDEX('Catalog'!$A:$A,MATCH(TRIM(SUBSTITUTE($B1681,CHAR(160)," ")),'Catalog'!$C:$C,0)),""))))</f>
        <v>4411019</v>
      </c>
      <c r="H1681" s="8" t="str">
        <f aca="false">IFERROR(INDEX('TRANS'!$C:$C,MATCH($B1681,'TRANS'!$A:$A,0)),IFERROR(INDEX('Catalog'!$B:$B,MATCH($G1681,'Catalog'!$A:$A,0)),$B1681))</f>
        <v>211S כפפות לחץ</v>
      </c>
      <c r="I1681" s="8" t="str">
        <f aca="false">IF($G1681="","Unmatched","Matched")</f>
        <v>Matched</v>
      </c>
    </row>
    <row r="1682" customFormat="false" ht="15" hidden="false" customHeight="false" outlineLevel="0" collapsed="false">
      <c r="A1682" s="8" t="s">
        <v>856</v>
      </c>
      <c r="B1682" s="8" t="s">
        <v>678</v>
      </c>
      <c r="C1682" s="19" t="n">
        <v>1</v>
      </c>
      <c r="D1682" s="19" t="n">
        <v>33.04</v>
      </c>
      <c r="E1682" s="19" t="n">
        <v>0</v>
      </c>
      <c r="F1682" s="19" t="n">
        <v>0</v>
      </c>
      <c r="G1682" s="8" t="n">
        <f aca="false">IFERROR(INDEX('TRANS'!$B:$B,MATCH($B1682,'TRANS'!$A:$A,0)),IFERROR(INDEX('TRANS'!$B:$B,MATCH(TRIM(SUBSTITUTE($B1682,CHAR(160)," ")),'TRANS'!$D:$D,0)),IFERROR(INDEX('Catalog'!$A:$A,MATCH($B1682,'Catalog'!$B:$B,0)),IFERROR(INDEX('Catalog'!$A:$A,MATCH(TRIM(SUBSTITUTE($B1682,CHAR(160)," ")),'Catalog'!$C:$C,0)),""))))</f>
        <v>4411020</v>
      </c>
      <c r="H1682" s="8" t="str">
        <f aca="false">IFERROR(INDEX('TRANS'!$C:$C,MATCH($B1682,'TRANS'!$A:$A,0)),IFERROR(INDEX('Catalog'!$B:$B,MATCH($G1682,'Catalog'!$A:$A,0)),$B1682))</f>
        <v>211XL כפפות לחץ</v>
      </c>
      <c r="I1682" s="8" t="str">
        <f aca="false">IF($G1682="","Unmatched","Matched")</f>
        <v>Matched</v>
      </c>
    </row>
    <row r="1683" customFormat="false" ht="15" hidden="false" customHeight="false" outlineLevel="0" collapsed="false">
      <c r="A1683" s="8" t="s">
        <v>856</v>
      </c>
      <c r="B1683" s="8" t="s">
        <v>96</v>
      </c>
      <c r="C1683" s="19" t="n">
        <v>2</v>
      </c>
      <c r="D1683" s="19" t="n">
        <v>70.82</v>
      </c>
      <c r="E1683" s="19" t="n">
        <v>1</v>
      </c>
      <c r="F1683" s="19" t="n">
        <v>35.41</v>
      </c>
      <c r="G1683" s="8" t="n">
        <f aca="false">IFERROR(INDEX('TRANS'!$B:$B,MATCH($B1683,'TRANS'!$A:$A,0)),IFERROR(INDEX('TRANS'!$B:$B,MATCH(TRIM(SUBSTITUTE($B1683,CHAR(160)," ")),'TRANS'!$D:$D,0)),IFERROR(INDEX('Catalog'!$A:$A,MATCH($B1683,'Catalog'!$B:$B,0)),IFERROR(INDEX('Catalog'!$A:$A,MATCH(TRIM(SUBSTITUTE($B1683,CHAR(160)," ")),'Catalog'!$C:$C,0)),""))))</f>
        <v>4411021</v>
      </c>
      <c r="H1683" s="8" t="str">
        <f aca="false">IFERROR(INDEX('TRANS'!$C:$C,MATCH($B1683,'TRANS'!$A:$A,0)),IFERROR(INDEX('Catalog'!$B:$B,MATCH($G1683,'Catalog'!$A:$A,0)),$B1683))</f>
        <v>212L כפפות אגודל לחץ</v>
      </c>
      <c r="I1683" s="8" t="str">
        <f aca="false">IF($G1683="","Unmatched","Matched")</f>
        <v>Matched</v>
      </c>
    </row>
    <row r="1684" customFormat="false" ht="15" hidden="false" customHeight="false" outlineLevel="0" collapsed="false">
      <c r="A1684" s="8" t="s">
        <v>856</v>
      </c>
      <c r="B1684" s="8" t="s">
        <v>97</v>
      </c>
      <c r="C1684" s="19" t="n">
        <v>1</v>
      </c>
      <c r="D1684" s="19" t="n">
        <v>35.41</v>
      </c>
      <c r="E1684" s="19" t="n">
        <v>0</v>
      </c>
      <c r="F1684" s="19" t="n">
        <v>0</v>
      </c>
      <c r="G1684" s="8" t="n">
        <f aca="false">IFERROR(INDEX('TRANS'!$B:$B,MATCH($B1684,'TRANS'!$A:$A,0)),IFERROR(INDEX('TRANS'!$B:$B,MATCH(TRIM(SUBSTITUTE($B1684,CHAR(160)," ")),'TRANS'!$D:$D,0)),IFERROR(INDEX('Catalog'!$A:$A,MATCH($B1684,'Catalog'!$B:$B,0)),IFERROR(INDEX('Catalog'!$A:$A,MATCH(TRIM(SUBSTITUTE($B1684,CHAR(160)," ")),'Catalog'!$C:$C,0)),""))))</f>
        <v>4411022</v>
      </c>
      <c r="H1684" s="8" t="str">
        <f aca="false">IFERROR(INDEX('TRANS'!$C:$C,MATCH($B1684,'TRANS'!$A:$A,0)),IFERROR(INDEX('Catalog'!$B:$B,MATCH($G1684,'Catalog'!$A:$A,0)),$B1684))</f>
        <v>212M כפפות אגודל לחץ</v>
      </c>
      <c r="I1684" s="8" t="str">
        <f aca="false">IF($G1684="","Unmatched","Matched")</f>
        <v>Matched</v>
      </c>
    </row>
    <row r="1685" customFormat="false" ht="15" hidden="false" customHeight="false" outlineLevel="0" collapsed="false">
      <c r="A1685" s="8" t="s">
        <v>856</v>
      </c>
      <c r="B1685" s="8" t="s">
        <v>98</v>
      </c>
      <c r="C1685" s="19" t="n">
        <v>1</v>
      </c>
      <c r="D1685" s="19" t="n">
        <v>35.41</v>
      </c>
      <c r="E1685" s="19" t="n">
        <v>0</v>
      </c>
      <c r="F1685" s="19" t="n">
        <v>0</v>
      </c>
      <c r="G1685" s="8" t="n">
        <f aca="false">IFERROR(INDEX('TRANS'!$B:$B,MATCH($B1685,'TRANS'!$A:$A,0)),IFERROR(INDEX('TRANS'!$B:$B,MATCH(TRIM(SUBSTITUTE($B1685,CHAR(160)," ")),'TRANS'!$D:$D,0)),IFERROR(INDEX('Catalog'!$A:$A,MATCH($B1685,'Catalog'!$B:$B,0)),IFERROR(INDEX('Catalog'!$A:$A,MATCH(TRIM(SUBSTITUTE($B1685,CHAR(160)," ")),'Catalog'!$C:$C,0)),""))))</f>
        <v>4411023</v>
      </c>
      <c r="H1685" s="8" t="str">
        <f aca="false">IFERROR(INDEX('TRANS'!$C:$C,MATCH($B1685,'TRANS'!$A:$A,0)),IFERROR(INDEX('Catalog'!$B:$B,MATCH($G1685,'Catalog'!$A:$A,0)),$B1685))</f>
        <v>212S כפפות אגודל לחץ</v>
      </c>
      <c r="I1685" s="8" t="str">
        <f aca="false">IF($G1685="","Unmatched","Matched")</f>
        <v>Matched</v>
      </c>
    </row>
    <row r="1686" customFormat="false" ht="15" hidden="false" customHeight="false" outlineLevel="0" collapsed="false">
      <c r="A1686" s="8" t="s">
        <v>856</v>
      </c>
      <c r="B1686" s="8" t="s">
        <v>734</v>
      </c>
      <c r="C1686" s="19" t="n">
        <v>2</v>
      </c>
      <c r="D1686" s="19" t="n">
        <v>70.82</v>
      </c>
      <c r="E1686" s="19" t="n">
        <v>1</v>
      </c>
      <c r="F1686" s="19" t="n">
        <v>35.41</v>
      </c>
      <c r="G1686" s="8" t="n">
        <f aca="false">IFERROR(INDEX('TRANS'!$B:$B,MATCH($B1686,'TRANS'!$A:$A,0)),IFERROR(INDEX('TRANS'!$B:$B,MATCH(TRIM(SUBSTITUTE($B1686,CHAR(160)," ")),'TRANS'!$D:$D,0)),IFERROR(INDEX('Catalog'!$A:$A,MATCH($B1686,'Catalog'!$B:$B,0)),IFERROR(INDEX('Catalog'!$A:$A,MATCH(TRIM(SUBSTITUTE($B1686,CHAR(160)," ")),'Catalog'!$C:$C,0)),""))))</f>
        <v>4411024</v>
      </c>
      <c r="H1686" s="8" t="str">
        <f aca="false">IFERROR(INDEX('TRANS'!$C:$C,MATCH($B1686,'TRANS'!$A:$A,0)),IFERROR(INDEX('Catalog'!$B:$B,MATCH($G1686,'Catalog'!$A:$A,0)),$B1686))</f>
        <v>212XL כפפות אגודל לחץ</v>
      </c>
      <c r="I1686" s="8" t="str">
        <f aca="false">IF($G1686="","Unmatched","Matched")</f>
        <v>Matched</v>
      </c>
    </row>
    <row r="1687" customFormat="false" ht="15" hidden="false" customHeight="false" outlineLevel="0" collapsed="false">
      <c r="A1687" s="8" t="s">
        <v>856</v>
      </c>
      <c r="B1687" s="8" t="s">
        <v>100</v>
      </c>
      <c r="C1687" s="19" t="n">
        <v>3</v>
      </c>
      <c r="D1687" s="19" t="n">
        <v>53.75</v>
      </c>
      <c r="E1687" s="19" t="n">
        <v>2</v>
      </c>
      <c r="F1687" s="19" t="n">
        <v>35.83</v>
      </c>
      <c r="G1687" s="8" t="n">
        <f aca="false">IFERROR(INDEX('TRANS'!$B:$B,MATCH($B1687,'TRANS'!$A:$A,0)),IFERROR(INDEX('TRANS'!$B:$B,MATCH(TRIM(SUBSTITUTE($B1687,CHAR(160)," ")),'TRANS'!$D:$D,0)),IFERROR(INDEX('Catalog'!$A:$A,MATCH($B1687,'Catalog'!$B:$B,0)),IFERROR(INDEX('Catalog'!$A:$A,MATCH(TRIM(SUBSTITUTE($B1687,CHAR(160)," ")),'Catalog'!$C:$C,0)),""))))</f>
        <v>4415162</v>
      </c>
      <c r="H1687" s="8" t="str">
        <f aca="false">IFERROR(INDEX('TRANS'!$C:$C,MATCH($B1687,'TRANS'!$A:$A,0)),IFERROR(INDEX('Catalog'!$B:$B,MATCH($G1687,'Catalog'!$A:$A,0)),$B1687))</f>
        <v>238L סד ליישור אצבע</v>
      </c>
      <c r="I1687" s="8" t="str">
        <f aca="false">IF($G1687="","Unmatched","Matched")</f>
        <v>Matched</v>
      </c>
    </row>
    <row r="1688" customFormat="false" ht="15" hidden="false" customHeight="false" outlineLevel="0" collapsed="false">
      <c r="A1688" s="8" t="s">
        <v>856</v>
      </c>
      <c r="B1688" s="8" t="s">
        <v>589</v>
      </c>
      <c r="C1688" s="19" t="n">
        <v>2</v>
      </c>
      <c r="D1688" s="19" t="n">
        <v>35.84</v>
      </c>
      <c r="E1688" s="19" t="n">
        <v>1</v>
      </c>
      <c r="F1688" s="19" t="n">
        <v>17.92</v>
      </c>
      <c r="G1688" s="8" t="n">
        <f aca="false">IFERROR(INDEX('TRANS'!$B:$B,MATCH($B1688,'TRANS'!$A:$A,0)),IFERROR(INDEX('TRANS'!$B:$B,MATCH(TRIM(SUBSTITUTE($B1688,CHAR(160)," ")),'TRANS'!$D:$D,0)),IFERROR(INDEX('Catalog'!$A:$A,MATCH($B1688,'Catalog'!$B:$B,0)),IFERROR(INDEX('Catalog'!$A:$A,MATCH(TRIM(SUBSTITUTE($B1688,CHAR(160)," ")),'Catalog'!$C:$C,0)),""))))</f>
        <v>4415161</v>
      </c>
      <c r="H1688" s="8" t="str">
        <f aca="false">IFERROR(INDEX('TRANS'!$C:$C,MATCH($B1688,'TRANS'!$A:$A,0)),IFERROR(INDEX('Catalog'!$B:$B,MATCH($G1688,'Catalog'!$A:$A,0)),$B1688))</f>
        <v>238M סד ליישור אצבע</v>
      </c>
      <c r="I1688" s="8" t="str">
        <f aca="false">IF($G1688="","Unmatched","Matched")</f>
        <v>Matched</v>
      </c>
    </row>
    <row r="1689" customFormat="false" ht="15" hidden="false" customHeight="false" outlineLevel="0" collapsed="false">
      <c r="A1689" s="8" t="s">
        <v>856</v>
      </c>
      <c r="B1689" s="8" t="s">
        <v>101</v>
      </c>
      <c r="C1689" s="19" t="n">
        <v>1</v>
      </c>
      <c r="D1689" s="19" t="n">
        <v>17.92</v>
      </c>
      <c r="E1689" s="19" t="n">
        <v>0</v>
      </c>
      <c r="F1689" s="19" t="n">
        <v>0</v>
      </c>
      <c r="G1689" s="8" t="n">
        <f aca="false">IFERROR(INDEX('TRANS'!$B:$B,MATCH($B1689,'TRANS'!$A:$A,0)),IFERROR(INDEX('TRANS'!$B:$B,MATCH(TRIM(SUBSTITUTE($B1689,CHAR(160)," ")),'TRANS'!$D:$D,0)),IFERROR(INDEX('Catalog'!$A:$A,MATCH($B1689,'Catalog'!$B:$B,0)),IFERROR(INDEX('Catalog'!$A:$A,MATCH(TRIM(SUBSTITUTE($B1689,CHAR(160)," ")),'Catalog'!$C:$C,0)),""))))</f>
        <v>4415160</v>
      </c>
      <c r="H1689" s="8" t="str">
        <f aca="false">IFERROR(INDEX('TRANS'!$C:$C,MATCH($B1689,'TRANS'!$A:$A,0)),IFERROR(INDEX('Catalog'!$B:$B,MATCH($G1689,'Catalog'!$A:$A,0)),$B1689))</f>
        <v>238S סד ליישור אצבע</v>
      </c>
      <c r="I1689" s="8" t="str">
        <f aca="false">IF($G1689="","Unmatched","Matched")</f>
        <v>Matched</v>
      </c>
    </row>
    <row r="1690" customFormat="false" ht="15" hidden="false" customHeight="false" outlineLevel="0" collapsed="false">
      <c r="A1690" s="8" t="s">
        <v>856</v>
      </c>
      <c r="B1690" s="8" t="s">
        <v>590</v>
      </c>
      <c r="C1690" s="19" t="n">
        <v>3</v>
      </c>
      <c r="D1690" s="19" t="n">
        <v>53.75</v>
      </c>
      <c r="E1690" s="19" t="n">
        <v>2</v>
      </c>
      <c r="F1690" s="19" t="n">
        <v>35.83</v>
      </c>
      <c r="G1690" s="8" t="n">
        <f aca="false">IFERROR(INDEX('TRANS'!$B:$B,MATCH($B1690,'TRANS'!$A:$A,0)),IFERROR(INDEX('TRANS'!$B:$B,MATCH(TRIM(SUBSTITUTE($B1690,CHAR(160)," ")),'TRANS'!$D:$D,0)),IFERROR(INDEX('Catalog'!$A:$A,MATCH($B1690,'Catalog'!$B:$B,0)),IFERROR(INDEX('Catalog'!$A:$A,MATCH(TRIM(SUBSTITUTE($B1690,CHAR(160)," ")),'Catalog'!$C:$C,0)),""))))</f>
        <v>4415163</v>
      </c>
      <c r="H1690" s="8" t="str">
        <f aca="false">IFERROR(INDEX('TRANS'!$C:$C,MATCH($B1690,'TRANS'!$A:$A,0)),IFERROR(INDEX('Catalog'!$B:$B,MATCH($G1690,'Catalog'!$A:$A,0)),$B1690))</f>
        <v>238XL סד ליישור אצבע</v>
      </c>
      <c r="I1690" s="8" t="str">
        <f aca="false">IF($G1690="","Unmatched","Matched")</f>
        <v>Matched</v>
      </c>
    </row>
    <row r="1691" customFormat="false" ht="15" hidden="false" customHeight="false" outlineLevel="0" collapsed="false">
      <c r="A1691" s="8" t="s">
        <v>856</v>
      </c>
      <c r="B1691" s="8" t="s">
        <v>105</v>
      </c>
      <c r="C1691" s="19" t="n">
        <v>2</v>
      </c>
      <c r="D1691" s="19" t="n">
        <v>66.09</v>
      </c>
      <c r="E1691" s="19" t="n">
        <v>0</v>
      </c>
      <c r="F1691" s="19" t="n">
        <v>0</v>
      </c>
      <c r="G1691" s="8" t="n">
        <f aca="false">IFERROR(INDEX('TRANS'!$B:$B,MATCH($B1691,'TRANS'!$A:$A,0)),IFERROR(INDEX('TRANS'!$B:$B,MATCH(TRIM(SUBSTITUTE($B1691,CHAR(160)," ")),'TRANS'!$D:$D,0)),IFERROR(INDEX('Catalog'!$A:$A,MATCH($B1691,'Catalog'!$B:$B,0)),IFERROR(INDEX('Catalog'!$A:$A,MATCH(TRIM(SUBSTITUTE($B1691,CHAR(160)," ")),'Catalog'!$C:$C,0)),""))))</f>
        <v>4421005</v>
      </c>
      <c r="H1691" s="8" t="str">
        <f aca="false">IFERROR(INDEX('TRANS'!$C:$C,MATCH($B1691,'TRANS'!$A:$A,0)),IFERROR(INDEX('Catalog'!$B:$B,MATCH($G1691,'Catalog'!$A:$A,0)),$B1691))</f>
        <v>שרוול לגבס קצר יד</v>
      </c>
      <c r="I1691" s="8" t="str">
        <f aca="false">IF($G1691="","Unmatched","Matched")</f>
        <v>Matched</v>
      </c>
    </row>
    <row r="1692" customFormat="false" ht="15" hidden="false" customHeight="false" outlineLevel="0" collapsed="false">
      <c r="A1692" s="8" t="s">
        <v>856</v>
      </c>
      <c r="B1692" s="8" t="s">
        <v>106</v>
      </c>
      <c r="C1692" s="19" t="n">
        <v>2</v>
      </c>
      <c r="D1692" s="19" t="n">
        <v>71.77</v>
      </c>
      <c r="E1692" s="19" t="n">
        <v>0</v>
      </c>
      <c r="F1692" s="19" t="n">
        <v>0</v>
      </c>
      <c r="G1692" s="8" t="n">
        <f aca="false">IFERROR(INDEX('TRANS'!$B:$B,MATCH($B1692,'TRANS'!$A:$A,0)),IFERROR(INDEX('TRANS'!$B:$B,MATCH(TRIM(SUBSTITUTE($B1692,CHAR(160)," ")),'TRANS'!$D:$D,0)),IFERROR(INDEX('Catalog'!$A:$A,MATCH($B1692,'Catalog'!$B:$B,0)),IFERROR(INDEX('Catalog'!$A:$A,MATCH(TRIM(SUBSTITUTE($B1692,CHAR(160)," ")),'Catalog'!$C:$C,0)),""))))</f>
        <v>4421006</v>
      </c>
      <c r="H1692" s="8" t="str">
        <f aca="false">IFERROR(INDEX('TRANS'!$C:$C,MATCH($B1692,'TRANS'!$A:$A,0)),IFERROR(INDEX('Catalog'!$B:$B,MATCH($G1692,'Catalog'!$A:$A,0)),$B1692))</f>
        <v>שרוול לגבס ארוך יד</v>
      </c>
      <c r="I1692" s="8" t="str">
        <f aca="false">IF($G1692="","Unmatched","Matched")</f>
        <v>Matched</v>
      </c>
    </row>
    <row r="1693" customFormat="false" ht="15" hidden="false" customHeight="false" outlineLevel="0" collapsed="false">
      <c r="A1693" s="8" t="s">
        <v>856</v>
      </c>
      <c r="B1693" s="8" t="s">
        <v>108</v>
      </c>
      <c r="C1693" s="19" t="n">
        <v>6</v>
      </c>
      <c r="D1693" s="19" t="n">
        <v>330</v>
      </c>
      <c r="E1693" s="19" t="n">
        <v>4</v>
      </c>
      <c r="F1693" s="19" t="n">
        <v>219.99</v>
      </c>
      <c r="G1693" s="8" t="n">
        <f aca="false">IFERROR(INDEX('TRANS'!$B:$B,MATCH($B1693,'TRANS'!$A:$A,0)),IFERROR(INDEX('TRANS'!$B:$B,MATCH(TRIM(SUBSTITUTE($B1693,CHAR(160)," ")),'TRANS'!$D:$D,0)),IFERROR(INDEX('Catalog'!$A:$A,MATCH($B1693,'Catalog'!$B:$B,0)),IFERROR(INDEX('Catalog'!$A:$A,MATCH(TRIM(SUBSTITUTE($B1693,CHAR(160)," ")),'Catalog'!$C:$C,0)),""))))</f>
        <v>4415158</v>
      </c>
      <c r="H1693" s="8" t="str">
        <f aca="false">IFERROR(INDEX('TRANS'!$C:$C,MATCH($B1693,'TRANS'!$A:$A,0)),IFERROR(INDEX('Catalog'!$B:$B,MATCH($G1693,'Catalog'!$A:$A,0)),$B1693))</f>
        <v>266 סד ליד דו צדדי</v>
      </c>
      <c r="I1693" s="8" t="str">
        <f aca="false">IF($G1693="","Unmatched","Matched")</f>
        <v>Matched</v>
      </c>
    </row>
    <row r="1694" customFormat="false" ht="15" hidden="false" customHeight="false" outlineLevel="0" collapsed="false">
      <c r="A1694" s="8" t="s">
        <v>856</v>
      </c>
      <c r="B1694" s="8" t="s">
        <v>110</v>
      </c>
      <c r="C1694" s="19" t="n">
        <v>4</v>
      </c>
      <c r="D1694" s="19" t="n">
        <v>300</v>
      </c>
      <c r="E1694" s="19" t="n">
        <v>2</v>
      </c>
      <c r="F1694" s="19" t="n">
        <v>150</v>
      </c>
      <c r="G1694" s="8" t="n">
        <f aca="false">IFERROR(INDEX('TRANS'!$B:$B,MATCH($B1694,'TRANS'!$A:$A,0)),IFERROR(INDEX('TRANS'!$B:$B,MATCH(TRIM(SUBSTITUTE($B1694,CHAR(160)," ")),'TRANS'!$D:$D,0)),IFERROR(INDEX('Catalog'!$A:$A,MATCH($B1694,'Catalog'!$B:$B,0)),IFERROR(INDEX('Catalog'!$A:$A,MATCH(TRIM(SUBSTITUTE($B1694,CHAR(160)," ")),'Catalog'!$C:$C,0)),""))))</f>
        <v>4415159</v>
      </c>
      <c r="H1694" s="8" t="str">
        <f aca="false">IFERROR(INDEX('TRANS'!$C:$C,MATCH($B1694,'TRANS'!$A:$A,0)),IFERROR(INDEX('Catalog'!$B:$B,MATCH($G1694,'Catalog'!$A:$A,0)),$B1694))</f>
        <v>268 סד לאגודל</v>
      </c>
      <c r="I1694" s="8" t="str">
        <f aca="false">IF($G1694="","Unmatched","Matched")</f>
        <v>Matched</v>
      </c>
    </row>
    <row r="1695" customFormat="false" ht="15" hidden="false" customHeight="false" outlineLevel="0" collapsed="false">
      <c r="A1695" s="8" t="s">
        <v>856</v>
      </c>
      <c r="B1695" s="8" t="s">
        <v>121</v>
      </c>
      <c r="C1695" s="19" t="n">
        <v>1</v>
      </c>
      <c r="D1695" s="19" t="n">
        <v>92.14</v>
      </c>
      <c r="E1695" s="19" t="n">
        <v>0</v>
      </c>
      <c r="F1695" s="19" t="n">
        <v>0</v>
      </c>
      <c r="G1695" s="8" t="n">
        <f aca="false">IFERROR(INDEX('TRANS'!$B:$B,MATCH($B1695,'TRANS'!$A:$A,0)),IFERROR(INDEX('TRANS'!$B:$B,MATCH(TRIM(SUBSTITUTE($B1695,CHAR(160)," ")),'TRANS'!$D:$D,0)),IFERROR(INDEX('Catalog'!$A:$A,MATCH($B1695,'Catalog'!$B:$B,0)),IFERROR(INDEX('Catalog'!$A:$A,MATCH(TRIM(SUBSTITUTE($B1695,CHAR(160)," ")),'Catalog'!$C:$C,0)),""))))</f>
        <v>4416001</v>
      </c>
      <c r="H1695" s="8" t="str">
        <f aca="false">IFERROR(INDEX('TRANS'!$C:$C,MATCH($B1695,'TRANS'!$A:$A,0)),IFERROR(INDEX('Catalog'!$B:$B,MATCH($G1695,'Catalog'!$A:$A,0)),$B1695))</f>
        <v>307 M עקבים לדורבן-זוג כריות</v>
      </c>
      <c r="I1695" s="8" t="str">
        <f aca="false">IF($G1695="","Unmatched","Matched")</f>
        <v>Matched</v>
      </c>
    </row>
    <row r="1696" customFormat="false" ht="15" hidden="false" customHeight="false" outlineLevel="0" collapsed="false">
      <c r="A1696" s="8" t="s">
        <v>856</v>
      </c>
      <c r="B1696" s="8" t="s">
        <v>123</v>
      </c>
      <c r="C1696" s="19" t="n">
        <v>1</v>
      </c>
      <c r="D1696" s="19" t="n">
        <v>58.57</v>
      </c>
      <c r="E1696" s="19" t="n">
        <v>0</v>
      </c>
      <c r="F1696" s="19" t="n">
        <v>0</v>
      </c>
      <c r="G1696" s="8" t="n">
        <f aca="false">IFERROR(INDEX('TRANS'!$B:$B,MATCH($B1696,'TRANS'!$A:$A,0)),IFERROR(INDEX('TRANS'!$B:$B,MATCH(TRIM(SUBSTITUTE($B1696,CHAR(160)," ")),'TRANS'!$D:$D,0)),IFERROR(INDEX('Catalog'!$A:$A,MATCH($B1696,'Catalog'!$B:$B,0)),IFERROR(INDEX('Catalog'!$A:$A,MATCH(TRIM(SUBSTITUTE($B1696,CHAR(160)," ")),'Catalog'!$C:$C,0)),""))))</f>
        <v>4416005</v>
      </c>
      <c r="H1696" s="8" t="str">
        <f aca="false">IFERROR(INDEX('TRANS'!$C:$C,MATCH($B1696,'TRANS'!$A:$A,0)),IFERROR(INDEX('Catalog'!$B:$B,MATCH($G1696,'Catalog'!$A:$A,0)),$B1696))</f>
        <v>308 Mעקבים סיליק.כחול לדורבן</v>
      </c>
      <c r="I1696" s="8" t="str">
        <f aca="false">IF($G1696="","Unmatched","Matched")</f>
        <v>Matched</v>
      </c>
    </row>
    <row r="1697" customFormat="false" ht="15" hidden="false" customHeight="false" outlineLevel="0" collapsed="false">
      <c r="A1697" s="8" t="s">
        <v>856</v>
      </c>
      <c r="B1697" s="8" t="s">
        <v>135</v>
      </c>
      <c r="C1697" s="19" t="n">
        <v>4</v>
      </c>
      <c r="D1697" s="19" t="n">
        <v>76</v>
      </c>
      <c r="E1697" s="19" t="n">
        <v>2</v>
      </c>
      <c r="F1697" s="19" t="n">
        <v>37.99</v>
      </c>
      <c r="G1697" s="8" t="n">
        <f aca="false">IFERROR(INDEX('TRANS'!$B:$B,MATCH($B1697,'TRANS'!$A:$A,0)),IFERROR(INDEX('TRANS'!$B:$B,MATCH(TRIM(SUBSTITUTE($B1697,CHAR(160)," ")),'TRANS'!$D:$D,0)),IFERROR(INDEX('Catalog'!$A:$A,MATCH($B1697,'Catalog'!$B:$B,0)),IFERROR(INDEX('Catalog'!$A:$A,MATCH(TRIM(SUBSTITUTE($B1697,CHAR(160)," ")),'Catalog'!$C:$C,0)),""))))</f>
        <v>4413490</v>
      </c>
      <c r="H1697" s="8" t="str">
        <f aca="false">IFERROR(INDEX('TRANS'!$C:$C,MATCH($B1697,'TRANS'!$A:$A,0)),IFERROR(INDEX('Catalog'!$B:$B,MATCH($G1697,'Catalog'!$A:$A,0)),$B1697))</f>
        <v>35B L מגן קרסול שחור</v>
      </c>
      <c r="I1697" s="8" t="str">
        <f aca="false">IF($G1697="","Unmatched","Matched")</f>
        <v>Matched</v>
      </c>
    </row>
    <row r="1698" customFormat="false" ht="15" hidden="false" customHeight="false" outlineLevel="0" collapsed="false">
      <c r="A1698" s="8" t="s">
        <v>856</v>
      </c>
      <c r="B1698" s="8" t="s">
        <v>136</v>
      </c>
      <c r="C1698" s="19" t="n">
        <v>4</v>
      </c>
      <c r="D1698" s="19" t="n">
        <v>76</v>
      </c>
      <c r="E1698" s="19" t="n">
        <v>2</v>
      </c>
      <c r="F1698" s="19" t="n">
        <v>37.99</v>
      </c>
      <c r="G1698" s="8" t="n">
        <f aca="false">IFERROR(INDEX('TRANS'!$B:$B,MATCH($B1698,'TRANS'!$A:$A,0)),IFERROR(INDEX('TRANS'!$B:$B,MATCH(TRIM(SUBSTITUTE($B1698,CHAR(160)," ")),'TRANS'!$D:$D,0)),IFERROR(INDEX('Catalog'!$A:$A,MATCH($B1698,'Catalog'!$B:$B,0)),IFERROR(INDEX('Catalog'!$A:$A,MATCH(TRIM(SUBSTITUTE($B1698,CHAR(160)," ")),'Catalog'!$C:$C,0)),""))))</f>
        <v>4413492</v>
      </c>
      <c r="H1698" s="8" t="str">
        <f aca="false">IFERROR(INDEX('TRANS'!$C:$C,MATCH($B1698,'TRANS'!$A:$A,0)),IFERROR(INDEX('Catalog'!$B:$B,MATCH($G1698,'Catalog'!$A:$A,0)),$B1698))</f>
        <v>35B M מגן קרסול שחור</v>
      </c>
      <c r="I1698" s="8" t="str">
        <f aca="false">IF($G1698="","Unmatched","Matched")</f>
        <v>Matched</v>
      </c>
    </row>
    <row r="1699" customFormat="false" ht="15" hidden="false" customHeight="false" outlineLevel="0" collapsed="false">
      <c r="A1699" s="8" t="s">
        <v>856</v>
      </c>
      <c r="B1699" s="8" t="s">
        <v>138</v>
      </c>
      <c r="C1699" s="19" t="n">
        <v>4</v>
      </c>
      <c r="D1699" s="19" t="n">
        <v>38.02</v>
      </c>
      <c r="E1699" s="19" t="n">
        <v>2</v>
      </c>
      <c r="F1699" s="19" t="n">
        <v>19.01</v>
      </c>
      <c r="G1699" s="8" t="n">
        <f aca="false">IFERROR(INDEX('TRANS'!$B:$B,MATCH($B1699,'TRANS'!$A:$A,0)),IFERROR(INDEX('TRANS'!$B:$B,MATCH(TRIM(SUBSTITUTE($B1699,CHAR(160)," ")),'TRANS'!$D:$D,0)),IFERROR(INDEX('Catalog'!$A:$A,MATCH($B1699,'Catalog'!$B:$B,0)),IFERROR(INDEX('Catalog'!$A:$A,MATCH(TRIM(SUBSTITUTE($B1699,CHAR(160)," ")),'Catalog'!$C:$C,0)),""))))</f>
        <v>4413491</v>
      </c>
      <c r="H1699" s="8" t="str">
        <f aca="false">IFERROR(INDEX('TRANS'!$C:$C,MATCH($B1699,'TRANS'!$A:$A,0)),IFERROR(INDEX('Catalog'!$B:$B,MATCH($G1699,'Catalog'!$A:$A,0)),$B1699))</f>
        <v>35B XL מגן קרסול שחור</v>
      </c>
      <c r="I1699" s="8" t="str">
        <f aca="false">IF($G1699="","Unmatched","Matched")</f>
        <v>Matched</v>
      </c>
    </row>
    <row r="1700" customFormat="false" ht="15" hidden="false" customHeight="false" outlineLevel="0" collapsed="false">
      <c r="A1700" s="8" t="s">
        <v>856</v>
      </c>
      <c r="B1700" s="8" t="s">
        <v>145</v>
      </c>
      <c r="C1700" s="19" t="n">
        <v>2</v>
      </c>
      <c r="D1700" s="19" t="n">
        <v>84.99</v>
      </c>
      <c r="E1700" s="19" t="n">
        <v>0</v>
      </c>
      <c r="F1700" s="19" t="n">
        <v>0</v>
      </c>
      <c r="G1700" s="8" t="n">
        <f aca="false">IFERROR(INDEX('TRANS'!$B:$B,MATCH($B1700,'TRANS'!$A:$A,0)),IFERROR(INDEX('TRANS'!$B:$B,MATCH(TRIM(SUBSTITUTE($B1700,CHAR(160)," ")),'TRANS'!$D:$D,0)),IFERROR(INDEX('Catalog'!$A:$A,MATCH($B1700,'Catalog'!$B:$B,0)),IFERROR(INDEX('Catalog'!$A:$A,MATCH(TRIM(SUBSTITUTE($B1700,CHAR(160)," ")),'Catalog'!$C:$C,0)),""))))</f>
        <v>4421007</v>
      </c>
      <c r="H1700" s="8" t="str">
        <f aca="false">IFERROR(INDEX('TRANS'!$C:$C,MATCH($B1700,'TRANS'!$A:$A,0)),IFERROR(INDEX('Catalog'!$B:$B,MATCH($G1700,'Catalog'!$A:$A,0)),$B1700))</f>
        <v>שרוול לגבס קצר רגל</v>
      </c>
      <c r="I1700" s="8" t="str">
        <f aca="false">IF($G1700="","Unmatched","Matched")</f>
        <v>Matched</v>
      </c>
    </row>
    <row r="1701" customFormat="false" ht="15" hidden="false" customHeight="false" outlineLevel="0" collapsed="false">
      <c r="A1701" s="8" t="s">
        <v>856</v>
      </c>
      <c r="B1701" s="8" t="s">
        <v>146</v>
      </c>
      <c r="C1701" s="19" t="n">
        <v>2</v>
      </c>
      <c r="D1701" s="19" t="n">
        <v>89.73</v>
      </c>
      <c r="E1701" s="19" t="n">
        <v>0</v>
      </c>
      <c r="F1701" s="19" t="n">
        <v>0</v>
      </c>
      <c r="G1701" s="8" t="n">
        <f aca="false">IFERROR(INDEX('TRANS'!$B:$B,MATCH($B1701,'TRANS'!$A:$A,0)),IFERROR(INDEX('TRANS'!$B:$B,MATCH(TRIM(SUBSTITUTE($B1701,CHAR(160)," ")),'TRANS'!$D:$D,0)),IFERROR(INDEX('Catalog'!$A:$A,MATCH($B1701,'Catalog'!$B:$B,0)),IFERROR(INDEX('Catalog'!$A:$A,MATCH(TRIM(SUBSTITUTE($B1701,CHAR(160)," ")),'Catalog'!$C:$C,0)),""))))</f>
        <v>4421008</v>
      </c>
      <c r="H1701" s="8" t="str">
        <f aca="false">IFERROR(INDEX('TRANS'!$C:$C,MATCH($B1701,'TRANS'!$A:$A,0)),IFERROR(INDEX('Catalog'!$B:$B,MATCH($G1701,'Catalog'!$A:$A,0)),$B1701))</f>
        <v>שרוול לגבס ארוך רגל</v>
      </c>
      <c r="I1701" s="8" t="str">
        <f aca="false">IF($G1701="","Unmatched","Matched")</f>
        <v>Matched</v>
      </c>
    </row>
    <row r="1702" customFormat="false" ht="15" hidden="false" customHeight="false" outlineLevel="0" collapsed="false">
      <c r="A1702" s="8" t="s">
        <v>856</v>
      </c>
      <c r="B1702" s="8" t="s">
        <v>208</v>
      </c>
      <c r="C1702" s="19" t="n">
        <v>4</v>
      </c>
      <c r="D1702" s="19" t="n">
        <v>76</v>
      </c>
      <c r="E1702" s="19" t="n">
        <v>2</v>
      </c>
      <c r="F1702" s="19" t="n">
        <v>37.99</v>
      </c>
      <c r="G1702" s="8" t="n">
        <f aca="false">IFERROR(INDEX('TRANS'!$B:$B,MATCH($B1702,'TRANS'!$A:$A,0)),IFERROR(INDEX('TRANS'!$B:$B,MATCH(TRIM(SUBSTITUTE($B1702,CHAR(160)," ")),'TRANS'!$D:$D,0)),IFERROR(INDEX('Catalog'!$A:$A,MATCH($B1702,'Catalog'!$B:$B,0)),IFERROR(INDEX('Catalog'!$A:$A,MATCH(TRIM(SUBSTITUTE($B1702,CHAR(160)," ")),'Catalog'!$C:$C,0)),""))))</f>
        <v>4413495</v>
      </c>
      <c r="H1702" s="8" t="str">
        <f aca="false">IFERROR(INDEX('TRANS'!$C:$C,MATCH($B1702,'TRANS'!$A:$A,0)),IFERROR(INDEX('Catalog'!$B:$B,MATCH($G1702,'Catalog'!$A:$A,0)),$B1702))</f>
        <v>45B L מגן ברך שחור</v>
      </c>
      <c r="I1702" s="8" t="str">
        <f aca="false">IF($G1702="","Unmatched","Matched")</f>
        <v>Matched</v>
      </c>
    </row>
    <row r="1703" customFormat="false" ht="15" hidden="false" customHeight="false" outlineLevel="0" collapsed="false">
      <c r="A1703" s="8" t="s">
        <v>856</v>
      </c>
      <c r="B1703" s="8" t="s">
        <v>209</v>
      </c>
      <c r="C1703" s="19" t="n">
        <v>4</v>
      </c>
      <c r="D1703" s="19" t="n">
        <v>76</v>
      </c>
      <c r="E1703" s="19" t="n">
        <v>2</v>
      </c>
      <c r="F1703" s="19" t="n">
        <v>37.99</v>
      </c>
      <c r="G1703" s="8" t="n">
        <f aca="false">IFERROR(INDEX('TRANS'!$B:$B,MATCH($B1703,'TRANS'!$A:$A,0)),IFERROR(INDEX('TRANS'!$B:$B,MATCH(TRIM(SUBSTITUTE($B1703,CHAR(160)," ")),'TRANS'!$D:$D,0)),IFERROR(INDEX('Catalog'!$A:$A,MATCH($B1703,'Catalog'!$B:$B,0)),IFERROR(INDEX('Catalog'!$A:$A,MATCH(TRIM(SUBSTITUTE($B1703,CHAR(160)," ")),'Catalog'!$C:$C,0)),""))))</f>
        <v>4413497</v>
      </c>
      <c r="H1703" s="8" t="str">
        <f aca="false">IFERROR(INDEX('TRANS'!$C:$C,MATCH($B1703,'TRANS'!$A:$A,0)),IFERROR(INDEX('Catalog'!$B:$B,MATCH($G1703,'Catalog'!$A:$A,0)),$B1703))</f>
        <v>45B M מגן ברך שחור</v>
      </c>
      <c r="I1703" s="8" t="str">
        <f aca="false">IF($G1703="","Unmatched","Matched")</f>
        <v>Matched</v>
      </c>
    </row>
    <row r="1704" customFormat="false" ht="15" hidden="false" customHeight="false" outlineLevel="0" collapsed="false">
      <c r="A1704" s="8" t="s">
        <v>856</v>
      </c>
      <c r="B1704" s="8" t="s">
        <v>380</v>
      </c>
      <c r="C1704" s="19" t="n">
        <v>4</v>
      </c>
      <c r="D1704" s="19" t="n">
        <v>38.02</v>
      </c>
      <c r="E1704" s="19" t="n">
        <v>2</v>
      </c>
      <c r="F1704" s="19" t="n">
        <v>19.01</v>
      </c>
      <c r="G1704" s="8" t="n">
        <f aca="false">IFERROR(INDEX('TRANS'!$B:$B,MATCH($B1704,'TRANS'!$A:$A,0)),IFERROR(INDEX('TRANS'!$B:$B,MATCH(TRIM(SUBSTITUTE($B1704,CHAR(160)," ")),'TRANS'!$D:$D,0)),IFERROR(INDEX('Catalog'!$A:$A,MATCH($B1704,'Catalog'!$B:$B,0)),IFERROR(INDEX('Catalog'!$A:$A,MATCH(TRIM(SUBSTITUTE($B1704,CHAR(160)," ")),'Catalog'!$C:$C,0)),""))))</f>
        <v>4413496</v>
      </c>
      <c r="H1704" s="8" t="str">
        <f aca="false">IFERROR(INDEX('TRANS'!$C:$C,MATCH($B1704,'TRANS'!$A:$A,0)),IFERROR(INDEX('Catalog'!$B:$B,MATCH($G1704,'Catalog'!$A:$A,0)),$B1704))</f>
        <v>45B XL מגן ברך שחור</v>
      </c>
      <c r="I1704" s="8" t="str">
        <f aca="false">IF($G1704="","Unmatched","Matched")</f>
        <v>Matched</v>
      </c>
    </row>
    <row r="1705" customFormat="false" ht="15" hidden="false" customHeight="false" outlineLevel="0" collapsed="false">
      <c r="A1705" s="8" t="s">
        <v>856</v>
      </c>
      <c r="B1705" s="8" t="s">
        <v>238</v>
      </c>
      <c r="C1705" s="19" t="n">
        <v>2</v>
      </c>
      <c r="D1705" s="19" t="n">
        <v>41.5</v>
      </c>
      <c r="E1705" s="19" t="n">
        <v>0</v>
      </c>
      <c r="F1705" s="19" t="n">
        <v>0</v>
      </c>
      <c r="G1705" s="8" t="n">
        <f aca="false">IFERROR(INDEX('TRANS'!$B:$B,MATCH($B1705,'TRANS'!$A:$A,0)),IFERROR(INDEX('TRANS'!$B:$B,MATCH(TRIM(SUBSTITUTE($B1705,CHAR(160)," ")),'TRANS'!$D:$D,0)),IFERROR(INDEX('Catalog'!$A:$A,MATCH($B1705,'Catalog'!$B:$B,0)),IFERROR(INDEX('Catalog'!$A:$A,MATCH(TRIM(SUBSTITUTE($B1705,CHAR(160)," ")),'Catalog'!$C:$C,0)),""))))</f>
        <v>4422000</v>
      </c>
      <c r="H1705" s="8" t="str">
        <f aca="false">IFERROR(INDEX('TRANS'!$C:$C,MATCH($B1705,'TRANS'!$A:$A,0)),IFERROR(INDEX('Catalog'!$B:$B,MATCH($G1705,'Catalog'!$A:$A,0)),$B1705))</f>
        <v>801  תחבושת אלסטית מקררת</v>
      </c>
      <c r="I1705" s="8" t="str">
        <f aca="false">IF($G1705="","Unmatched","Matched")</f>
        <v>Matched</v>
      </c>
    </row>
    <row r="1706" customFormat="false" ht="15" hidden="false" customHeight="false" outlineLevel="0" collapsed="false">
      <c r="A1706" s="8" t="s">
        <v>856</v>
      </c>
      <c r="B1706" s="8" t="s">
        <v>247</v>
      </c>
      <c r="C1706" s="19" t="n">
        <v>6</v>
      </c>
      <c r="D1706" s="19" t="n">
        <v>180</v>
      </c>
      <c r="E1706" s="19" t="n">
        <v>0</v>
      </c>
      <c r="F1706" s="19" t="n">
        <v>0</v>
      </c>
      <c r="G1706" s="8" t="n">
        <f aca="false">IFERROR(INDEX('TRANS'!$B:$B,MATCH($B1706,'TRANS'!$A:$A,0)),IFERROR(INDEX('TRANS'!$B:$B,MATCH(TRIM(SUBSTITUTE($B1706,CHAR(160)," ")),'TRANS'!$D:$D,0)),IFERROR(INDEX('Catalog'!$A:$A,MATCH($B1706,'Catalog'!$B:$B,0)),IFERROR(INDEX('Catalog'!$A:$A,MATCH(TRIM(SUBSTITUTE($B1706,CHAR(160)," ")),'Catalog'!$C:$C,0)),""))))</f>
        <v>4409017</v>
      </c>
      <c r="H1706" s="8" t="str">
        <f aca="false">IFERROR(INDEX('TRANS'!$C:$C,MATCH($B1706,'TRANS'!$A:$A,0)),IFERROR(INDEX('Catalog'!$B:$B,MATCH($G1706,'Catalog'!$A:$A,0)),$B1706))</f>
        <v>808KT-B        טייפ קינזיולוגי</v>
      </c>
      <c r="I1706" s="8" t="str">
        <f aca="false">IF($G1706="","Unmatched","Matched")</f>
        <v>Matched</v>
      </c>
    </row>
    <row r="1707" customFormat="false" ht="15" hidden="false" customHeight="false" outlineLevel="0" collapsed="false">
      <c r="A1707" s="8" t="s">
        <v>856</v>
      </c>
      <c r="B1707" s="8" t="s">
        <v>506</v>
      </c>
      <c r="C1707" s="19" t="n">
        <v>6</v>
      </c>
      <c r="D1707" s="19" t="n">
        <v>180</v>
      </c>
      <c r="E1707" s="19" t="n">
        <v>0</v>
      </c>
      <c r="F1707" s="19" t="n">
        <v>0</v>
      </c>
      <c r="G1707" s="8" t="n">
        <f aca="false">IFERROR(INDEX('TRANS'!$B:$B,MATCH($B1707,'TRANS'!$A:$A,0)),IFERROR(INDEX('TRANS'!$B:$B,MATCH(TRIM(SUBSTITUTE($B1707,CHAR(160)," ")),'TRANS'!$D:$D,0)),IFERROR(INDEX('Catalog'!$A:$A,MATCH($B1707,'Catalog'!$B:$B,0)),IFERROR(INDEX('Catalog'!$A:$A,MATCH(TRIM(SUBSTITUTE($B1707,CHAR(160)," ")),'Catalog'!$C:$C,0)),""))))</f>
        <v>4409015</v>
      </c>
      <c r="H1707" s="8" t="str">
        <f aca="false">IFERROR(INDEX('TRANS'!$C:$C,MATCH($B1707,'TRANS'!$A:$A,0)),IFERROR(INDEX('Catalog'!$B:$B,MATCH($G1707,'Catalog'!$A:$A,0)),$B1707))</f>
        <v>808KT-BL       טייפ קינזיולוגי</v>
      </c>
      <c r="I1707" s="8" t="str">
        <f aca="false">IF($G1707="","Unmatched","Matched")</f>
        <v>Matched</v>
      </c>
    </row>
    <row r="1708" customFormat="false" ht="15" hidden="false" customHeight="false" outlineLevel="0" collapsed="false">
      <c r="A1708" s="8" t="s">
        <v>856</v>
      </c>
      <c r="B1708" s="8" t="s">
        <v>248</v>
      </c>
      <c r="C1708" s="19" t="n">
        <v>6</v>
      </c>
      <c r="D1708" s="19" t="n">
        <v>180</v>
      </c>
      <c r="E1708" s="19" t="n">
        <v>0</v>
      </c>
      <c r="F1708" s="19" t="n">
        <v>0</v>
      </c>
      <c r="G1708" s="8" t="n">
        <f aca="false">IFERROR(INDEX('TRANS'!$B:$B,MATCH($B1708,'TRANS'!$A:$A,0)),IFERROR(INDEX('TRANS'!$B:$B,MATCH(TRIM(SUBSTITUTE($B1708,CHAR(160)," ")),'TRANS'!$D:$D,0)),IFERROR(INDEX('Catalog'!$A:$A,MATCH($B1708,'Catalog'!$B:$B,0)),IFERROR(INDEX('Catalog'!$A:$A,MATCH(TRIM(SUBSTITUTE($B1708,CHAR(160)," ")),'Catalog'!$C:$C,0)),""))))</f>
        <v>4409016</v>
      </c>
      <c r="H1708" s="8" t="str">
        <f aca="false">IFERROR(INDEX('TRANS'!$C:$C,MATCH($B1708,'TRANS'!$A:$A,0)),IFERROR(INDEX('Catalog'!$B:$B,MATCH($G1708,'Catalog'!$A:$A,0)),$B1708))</f>
        <v>808KT-C        טייפ קינזיולוגי</v>
      </c>
      <c r="I1708" s="8" t="str">
        <f aca="false">IF($G1708="","Unmatched","Matched")</f>
        <v>Matched</v>
      </c>
    </row>
    <row r="1709" customFormat="false" ht="15" hidden="false" customHeight="false" outlineLevel="0" collapsed="false">
      <c r="A1709" s="8" t="s">
        <v>856</v>
      </c>
      <c r="B1709" s="8" t="s">
        <v>507</v>
      </c>
      <c r="C1709" s="19" t="n">
        <v>6</v>
      </c>
      <c r="D1709" s="19" t="n">
        <v>180</v>
      </c>
      <c r="E1709" s="19" t="n">
        <v>0</v>
      </c>
      <c r="F1709" s="19" t="n">
        <v>0</v>
      </c>
      <c r="G1709" s="8" t="n">
        <f aca="false">IFERROR(INDEX('TRANS'!$B:$B,MATCH($B1709,'TRANS'!$A:$A,0)),IFERROR(INDEX('TRANS'!$B:$B,MATCH(TRIM(SUBSTITUTE($B1709,CHAR(160)," ")),'TRANS'!$D:$D,0)),IFERROR(INDEX('Catalog'!$A:$A,MATCH($B1709,'Catalog'!$B:$B,0)),IFERROR(INDEX('Catalog'!$A:$A,MATCH(TRIM(SUBSTITUTE($B1709,CHAR(160)," ")),'Catalog'!$C:$C,0)),""))))</f>
        <v>4409014</v>
      </c>
      <c r="H1709" s="8" t="str">
        <f aca="false">IFERROR(INDEX('TRANS'!$C:$C,MATCH($B1709,'TRANS'!$A:$A,0)),IFERROR(INDEX('Catalog'!$B:$B,MATCH($G1709,'Catalog'!$A:$A,0)),$B1709))</f>
        <v>808KT-P        טייפ קינזיולוגי</v>
      </c>
      <c r="I1709" s="8" t="str">
        <f aca="false">IF($G1709="","Unmatched","Matched")</f>
        <v>Matched</v>
      </c>
    </row>
    <row r="1710" customFormat="false" ht="15" hidden="false" customHeight="false" outlineLevel="0" collapsed="false">
      <c r="A1710" s="8" t="s">
        <v>856</v>
      </c>
      <c r="B1710" s="8" t="s">
        <v>261</v>
      </c>
      <c r="C1710" s="19" t="n">
        <v>4</v>
      </c>
      <c r="D1710" s="19" t="n">
        <v>76</v>
      </c>
      <c r="E1710" s="19" t="n">
        <v>2</v>
      </c>
      <c r="F1710" s="19" t="n">
        <v>37.99</v>
      </c>
      <c r="G1710" s="8" t="n">
        <f aca="false">IFERROR(INDEX('TRANS'!$B:$B,MATCH($B1710,'TRANS'!$A:$A,0)),IFERROR(INDEX('TRANS'!$B:$B,MATCH(TRIM(SUBSTITUTE($B1710,CHAR(160)," ")),'TRANS'!$D:$D,0)),IFERROR(INDEX('Catalog'!$A:$A,MATCH($B1710,'Catalog'!$B:$B,0)),IFERROR(INDEX('Catalog'!$A:$A,MATCH(TRIM(SUBSTITUTE($B1710,CHAR(160)," ")),'Catalog'!$C:$C,0)),""))))</f>
        <v>4413500</v>
      </c>
      <c r="H1710" s="8" t="str">
        <f aca="false">IFERROR(INDEX('TRANS'!$C:$C,MATCH($B1710,'TRANS'!$A:$A,0)),IFERROR(INDEX('Catalog'!$B:$B,MATCH($G1710,'Catalog'!$A:$A,0)),$B1710))</f>
        <v>95B L מגן מרפק שחור</v>
      </c>
      <c r="I1710" s="8" t="str">
        <f aca="false">IF($G1710="","Unmatched","Matched")</f>
        <v>Matched</v>
      </c>
    </row>
    <row r="1711" customFormat="false" ht="15" hidden="false" customHeight="false" outlineLevel="0" collapsed="false">
      <c r="A1711" s="8" t="s">
        <v>856</v>
      </c>
      <c r="B1711" s="8" t="s">
        <v>262</v>
      </c>
      <c r="C1711" s="19" t="n">
        <v>3</v>
      </c>
      <c r="D1711" s="19" t="n">
        <v>38.01</v>
      </c>
      <c r="E1711" s="19" t="n">
        <v>1</v>
      </c>
      <c r="F1711" s="19" t="n">
        <v>0.01</v>
      </c>
      <c r="G1711" s="8" t="n">
        <f aca="false">IFERROR(INDEX('TRANS'!$B:$B,MATCH($B1711,'TRANS'!$A:$A,0)),IFERROR(INDEX('TRANS'!$B:$B,MATCH(TRIM(SUBSTITUTE($B1711,CHAR(160)," ")),'TRANS'!$D:$D,0)),IFERROR(INDEX('Catalog'!$A:$A,MATCH($B1711,'Catalog'!$B:$B,0)),IFERROR(INDEX('Catalog'!$A:$A,MATCH(TRIM(SUBSTITUTE($B1711,CHAR(160)," ")),'Catalog'!$C:$C,0)),""))))</f>
        <v>4413501</v>
      </c>
      <c r="H1711" s="8" t="str">
        <f aca="false">IFERROR(INDEX('TRANS'!$C:$C,MATCH($B1711,'TRANS'!$A:$A,0)),IFERROR(INDEX('Catalog'!$B:$B,MATCH($G1711,'Catalog'!$A:$A,0)),$B1711))</f>
        <v>95B M מגן מרפק שחור</v>
      </c>
      <c r="I1711" s="8" t="str">
        <f aca="false">IF($G1711="","Unmatched","Matched")</f>
        <v>Matched</v>
      </c>
    </row>
    <row r="1712" customFormat="false" ht="15" hidden="false" customHeight="false" outlineLevel="0" collapsed="false">
      <c r="A1712" s="8" t="s">
        <v>856</v>
      </c>
      <c r="B1712" s="8" t="s">
        <v>264</v>
      </c>
      <c r="C1712" s="19" t="n">
        <v>5</v>
      </c>
      <c r="D1712" s="19" t="n">
        <v>76.01</v>
      </c>
      <c r="E1712" s="19" t="n">
        <v>3</v>
      </c>
      <c r="F1712" s="19" t="n">
        <v>56.99</v>
      </c>
      <c r="G1712" s="8" t="n">
        <f aca="false">IFERROR(INDEX('TRANS'!$B:$B,MATCH($B1712,'TRANS'!$A:$A,0)),IFERROR(INDEX('TRANS'!$B:$B,MATCH(TRIM(SUBSTITUTE($B1712,CHAR(160)," ")),'TRANS'!$D:$D,0)),IFERROR(INDEX('Catalog'!$A:$A,MATCH($B1712,'Catalog'!$B:$B,0)),IFERROR(INDEX('Catalog'!$A:$A,MATCH(TRIM(SUBSTITUTE($B1712,CHAR(160)," ")),'Catalog'!$C:$C,0)),""))))</f>
        <v>4413503</v>
      </c>
      <c r="H1712" s="8" t="str">
        <f aca="false">IFERROR(INDEX('TRANS'!$C:$C,MATCH($B1712,'TRANS'!$A:$A,0)),IFERROR(INDEX('Catalog'!$B:$B,MATCH($G1712,'Catalog'!$A:$A,0)),$B1712))</f>
        <v>95B XL מגן מרפק שחור</v>
      </c>
      <c r="I1712" s="8" t="str">
        <f aca="false">IF($G1712="","Unmatched","Matched")</f>
        <v>Matched</v>
      </c>
    </row>
    <row r="1713" customFormat="false" ht="15" hidden="false" customHeight="false" outlineLevel="0" collapsed="false">
      <c r="A1713" s="8" t="s">
        <v>856</v>
      </c>
      <c r="B1713" s="8" t="s">
        <v>267</v>
      </c>
      <c r="C1713" s="19" t="n">
        <v>10</v>
      </c>
      <c r="D1713" s="19" t="n">
        <v>748.42</v>
      </c>
      <c r="E1713" s="19" t="n">
        <v>5</v>
      </c>
      <c r="F1713" s="19" t="n">
        <v>374.24</v>
      </c>
      <c r="G1713" s="8" t="n">
        <f aca="false">IFERROR(INDEX('TRANS'!$B:$B,MATCH($B1713,'TRANS'!$A:$A,0)),IFERROR(INDEX('TRANS'!$B:$B,MATCH(TRIM(SUBSTITUTE($B1713,CHAR(160)," ")),'TRANS'!$D:$D,0)),IFERROR(INDEX('Catalog'!$A:$A,MATCH($B1713,'Catalog'!$B:$B,0)),IFERROR(INDEX('Catalog'!$A:$A,MATCH(TRIM(SUBSTITUTE($B1713,CHAR(160)," ")),'Catalog'!$C:$C,0)),""))))</f>
        <v>4408205</v>
      </c>
      <c r="H1713" s="8" t="str">
        <f aca="false">IFERROR(INDEX('TRANS'!$C:$C,MATCH($B1713,'TRANS'!$A:$A,0)),IFERROR(INDEX('Catalog'!$B:$B,MATCH($G1713,'Catalog'!$A:$A,0)),$B1713))</f>
        <v>AC-07 חגורת גב עם תמיכות</v>
      </c>
      <c r="I1713" s="8" t="str">
        <f aca="false">IF($G1713="","Unmatched","Matched")</f>
        <v>Matched</v>
      </c>
    </row>
    <row r="1714" customFormat="false" ht="15" hidden="false" customHeight="false" outlineLevel="0" collapsed="false">
      <c r="A1714" s="8" t="s">
        <v>856</v>
      </c>
      <c r="B1714" s="8" t="s">
        <v>268</v>
      </c>
      <c r="C1714" s="19" t="n">
        <v>5</v>
      </c>
      <c r="D1714" s="19" t="n">
        <v>292.93</v>
      </c>
      <c r="E1714" s="19" t="n">
        <v>0</v>
      </c>
      <c r="F1714" s="19" t="n">
        <v>0</v>
      </c>
      <c r="G1714" s="8" t="n">
        <f aca="false">IFERROR(INDEX('TRANS'!$B:$B,MATCH($B1714,'TRANS'!$A:$A,0)),IFERROR(INDEX('TRANS'!$B:$B,MATCH(TRIM(SUBSTITUTE($B1714,CHAR(160)," ")),'TRANS'!$D:$D,0)),IFERROR(INDEX('Catalog'!$A:$A,MATCH($B1714,'Catalog'!$B:$B,0)),IFERROR(INDEX('Catalog'!$A:$A,MATCH(TRIM(SUBSTITUTE($B1714,CHAR(160)," ")),'Catalog'!$C:$C,0)),""))))</f>
        <v>4408206</v>
      </c>
      <c r="H1714" s="8" t="str">
        <f aca="false">IFERROR(INDEX('TRANS'!$C:$C,MATCH($B1714,'TRANS'!$A:$A,0)),IFERROR(INDEX('Catalog'!$B:$B,MATCH($G1714,'Catalog'!$A:$A,0)),$B1714))</f>
        <v>AC-11 חגורת בטן קלה</v>
      </c>
      <c r="I1714" s="8" t="str">
        <f aca="false">IF($G1714="","Unmatched","Matched")</f>
        <v>Matched</v>
      </c>
    </row>
    <row r="1715" customFormat="false" ht="15" hidden="false" customHeight="false" outlineLevel="0" collapsed="false">
      <c r="A1715" s="8" t="s">
        <v>856</v>
      </c>
      <c r="B1715" s="8" t="s">
        <v>269</v>
      </c>
      <c r="C1715" s="19" t="n">
        <v>5</v>
      </c>
      <c r="D1715" s="19" t="n">
        <v>122.74</v>
      </c>
      <c r="E1715" s="19" t="n">
        <v>0</v>
      </c>
      <c r="F1715" s="19" t="n">
        <v>0</v>
      </c>
      <c r="G1715" s="8" t="n">
        <f aca="false">IFERROR(INDEX('TRANS'!$B:$B,MATCH($B1715,'TRANS'!$A:$A,0)),IFERROR(INDEX('TRANS'!$B:$B,MATCH(TRIM(SUBSTITUTE($B1715,CHAR(160)," ")),'TRANS'!$D:$D,0)),IFERROR(INDEX('Catalog'!$A:$A,MATCH($B1715,'Catalog'!$B:$B,0)),IFERROR(INDEX('Catalog'!$A:$A,MATCH(TRIM(SUBSTITUTE($B1715,CHAR(160)," ")),'Catalog'!$C:$C,0)),""))))</f>
        <v>4408207</v>
      </c>
      <c r="H1715" s="8" t="str">
        <f aca="false">IFERROR(INDEX('TRANS'!$C:$C,MATCH($B1715,'TRANS'!$A:$A,0)),IFERROR(INDEX('Catalog'!$B:$B,MATCH($G1715,'Catalog'!$A:$A,0)),$B1715))</f>
        <v>AC-25 חבק לשורש כף היד</v>
      </c>
      <c r="I1715" s="8" t="str">
        <f aca="false">IF($G1715="","Unmatched","Matched")</f>
        <v>Matched</v>
      </c>
    </row>
    <row r="1716" customFormat="false" ht="15" hidden="false" customHeight="false" outlineLevel="0" collapsed="false">
      <c r="A1716" s="8" t="s">
        <v>856</v>
      </c>
      <c r="B1716" s="8" t="s">
        <v>270</v>
      </c>
      <c r="C1716" s="19" t="n">
        <v>12</v>
      </c>
      <c r="D1716" s="19" t="n">
        <v>414.73</v>
      </c>
      <c r="E1716" s="19" t="n">
        <v>7</v>
      </c>
      <c r="F1716" s="19" t="n">
        <v>254.18</v>
      </c>
      <c r="G1716" s="8" t="n">
        <f aca="false">IFERROR(INDEX('TRANS'!$B:$B,MATCH($B1716,'TRANS'!$A:$A,0)),IFERROR(INDEX('TRANS'!$B:$B,MATCH(TRIM(SUBSTITUTE($B1716,CHAR(160)," ")),'TRANS'!$D:$D,0)),IFERROR(INDEX('Catalog'!$A:$A,MATCH($B1716,'Catalog'!$B:$B,0)),IFERROR(INDEX('Catalog'!$A:$A,MATCH(TRIM(SUBSTITUTE($B1716,CHAR(160)," ")),'Catalog'!$C:$C,0)),""))))</f>
        <v>4415026</v>
      </c>
      <c r="H1716" s="8" t="str">
        <f aca="false">IFERROR(INDEX('TRANS'!$C:$C,MATCH($B1716,'TRANS'!$A:$A,0)),IFERROR(INDEX('Catalog'!$B:$B,MATCH($G1716,'Catalog'!$A:$A,0)),$B1716))</f>
        <v>AC-27L סד לש.כף יד שמאל</v>
      </c>
      <c r="I1716" s="8" t="str">
        <f aca="false">IF($G1716="","Unmatched","Matched")</f>
        <v>Matched</v>
      </c>
    </row>
    <row r="1717" customFormat="false" ht="15" hidden="false" customHeight="false" outlineLevel="0" collapsed="false">
      <c r="A1717" s="8" t="s">
        <v>856</v>
      </c>
      <c r="B1717" s="8" t="s">
        <v>271</v>
      </c>
      <c r="C1717" s="19" t="n">
        <v>13</v>
      </c>
      <c r="D1717" s="19" t="n">
        <v>414.73</v>
      </c>
      <c r="E1717" s="19" t="n">
        <v>7</v>
      </c>
      <c r="F1717" s="19" t="n">
        <v>254.18</v>
      </c>
      <c r="G1717" s="8" t="n">
        <f aca="false">IFERROR(INDEX('TRANS'!$B:$B,MATCH($B1717,'TRANS'!$A:$A,0)),IFERROR(INDEX('TRANS'!$B:$B,MATCH(TRIM(SUBSTITUTE($B1717,CHAR(160)," ")),'TRANS'!$D:$D,0)),IFERROR(INDEX('Catalog'!$A:$A,MATCH($B1717,'Catalog'!$B:$B,0)),IFERROR(INDEX('Catalog'!$A:$A,MATCH(TRIM(SUBSTITUTE($B1717,CHAR(160)," ")),'Catalog'!$C:$C,0)),""))))</f>
        <v>4415027</v>
      </c>
      <c r="H1717" s="8" t="str">
        <f aca="false">IFERROR(INDEX('TRANS'!$C:$C,MATCH($B1717,'TRANS'!$A:$A,0)),IFERROR(INDEX('Catalog'!$B:$B,MATCH($G1717,'Catalog'!$A:$A,0)),$B1717))</f>
        <v>AC-27R סד לש.כף יד ימין</v>
      </c>
      <c r="I1717" s="8" t="str">
        <f aca="false">IF($G1717="","Unmatched","Matched")</f>
        <v>Matched</v>
      </c>
    </row>
    <row r="1718" customFormat="false" ht="15" hidden="false" customHeight="false" outlineLevel="0" collapsed="false">
      <c r="A1718" s="8" t="s">
        <v>856</v>
      </c>
      <c r="B1718" s="8" t="s">
        <v>272</v>
      </c>
      <c r="C1718" s="19" t="n">
        <v>10</v>
      </c>
      <c r="D1718" s="19" t="n">
        <v>256.82</v>
      </c>
      <c r="E1718" s="19" t="n">
        <v>5</v>
      </c>
      <c r="F1718" s="19" t="n">
        <v>128.41</v>
      </c>
      <c r="G1718" s="8" t="n">
        <f aca="false">IFERROR(INDEX('TRANS'!$B:$B,MATCH($B1718,'TRANS'!$A:$A,0)),IFERROR(INDEX('TRANS'!$B:$B,MATCH(TRIM(SUBSTITUTE($B1718,CHAR(160)," ")),'TRANS'!$D:$D,0)),IFERROR(INDEX('Catalog'!$A:$A,MATCH($B1718,'Catalog'!$B:$B,0)),IFERROR(INDEX('Catalog'!$A:$A,MATCH(TRIM(SUBSTITUTE($B1718,CHAR(160)," ")),'Catalog'!$C:$C,0)),""))))</f>
        <v>4415028</v>
      </c>
      <c r="H1718" s="8" t="str">
        <f aca="false">IFERROR(INDEX('TRANS'!$C:$C,MATCH($B1718,'TRANS'!$A:$A,0)),IFERROR(INDEX('Catalog'!$B:$B,MATCH($G1718,'Catalog'!$A:$A,0)),$B1718))</f>
        <v>AC-28 סד לאגודל</v>
      </c>
      <c r="I1718" s="8" t="str">
        <f aca="false">IF($G1718="","Unmatched","Matched")</f>
        <v>Matched</v>
      </c>
    </row>
    <row r="1719" customFormat="false" ht="15" hidden="false" customHeight="false" outlineLevel="0" collapsed="false">
      <c r="A1719" s="8" t="s">
        <v>856</v>
      </c>
      <c r="B1719" s="8" t="s">
        <v>273</v>
      </c>
      <c r="C1719" s="19" t="n">
        <v>10</v>
      </c>
      <c r="D1719" s="19" t="n">
        <v>237.92</v>
      </c>
      <c r="E1719" s="19" t="n">
        <v>5</v>
      </c>
      <c r="F1719" s="19" t="n">
        <v>118.96</v>
      </c>
      <c r="G1719" s="8" t="n">
        <f aca="false">IFERROR(INDEX('TRANS'!$B:$B,MATCH($B1719,'TRANS'!$A:$A,0)),IFERROR(INDEX('TRANS'!$B:$B,MATCH(TRIM(SUBSTITUTE($B1719,CHAR(160)," ")),'TRANS'!$D:$D,0)),IFERROR(INDEX('Catalog'!$A:$A,MATCH($B1719,'Catalog'!$B:$B,0)),IFERROR(INDEX('Catalog'!$A:$A,MATCH(TRIM(SUBSTITUTE($B1719,CHAR(160)," ")),'Catalog'!$C:$C,0)),""))))</f>
        <v>4413326</v>
      </c>
      <c r="H1719" s="8" t="str">
        <f aca="false">IFERROR(INDEX('TRANS'!$C:$C,MATCH($B1719,'TRANS'!$A:$A,0)),IFERROR(INDEX('Catalog'!$B:$B,MATCH($G1719,'Catalog'!$A:$A,0)),$B1719))</f>
        <v>AC37 מגן קרסול נושם</v>
      </c>
      <c r="I1719" s="8" t="str">
        <f aca="false">IF($G1719="","Unmatched","Matched")</f>
        <v>Matched</v>
      </c>
    </row>
    <row r="1720" customFormat="false" ht="15" hidden="false" customHeight="false" outlineLevel="0" collapsed="false">
      <c r="A1720" s="8" t="s">
        <v>856</v>
      </c>
      <c r="B1720" s="8" t="s">
        <v>56</v>
      </c>
      <c r="C1720" s="19" t="n">
        <v>12</v>
      </c>
      <c r="D1720" s="19" t="n">
        <v>962.16</v>
      </c>
      <c r="E1720" s="19" t="n">
        <v>5</v>
      </c>
      <c r="F1720" s="19" t="n">
        <v>378.01</v>
      </c>
      <c r="G1720" s="8" t="n">
        <f aca="false">IFERROR(INDEX('TRANS'!$B:$B,MATCH($B1720,'TRANS'!$A:$A,0)),IFERROR(INDEX('TRANS'!$B:$B,MATCH(TRIM(SUBSTITUTE($B1720,CHAR(160)," ")),'TRANS'!$D:$D,0)),IFERROR(INDEX('Catalog'!$A:$A,MATCH($B1720,'Catalog'!$B:$B,0)),IFERROR(INDEX('Catalog'!$A:$A,MATCH(TRIM(SUBSTITUTE($B1720,CHAR(160)," ")),'Catalog'!$C:$C,0)),""))))</f>
        <v>4413328</v>
      </c>
      <c r="H1720" s="8" t="str">
        <f aca="false">IFERROR(INDEX('TRANS'!$C:$C,MATCH($B1720,'TRANS'!$A:$A,0)),IFERROR(INDEX('Catalog'!$B:$B,MATCH($G1720,'Catalog'!$A:$A,0)),$B1720))</f>
        <v>AC43D מגן ברך + צירים</v>
      </c>
      <c r="I1720" s="8" t="str">
        <f aca="false">IF($G1720="","Unmatched","Matched")</f>
        <v>Matched</v>
      </c>
    </row>
    <row r="1721" customFormat="false" ht="15" hidden="false" customHeight="false" outlineLevel="0" collapsed="false">
      <c r="A1721" s="8" t="s">
        <v>856</v>
      </c>
      <c r="B1721" s="8" t="s">
        <v>275</v>
      </c>
      <c r="C1721" s="19" t="n">
        <v>14</v>
      </c>
      <c r="D1721" s="19" t="n">
        <v>866.69</v>
      </c>
      <c r="E1721" s="19" t="n">
        <v>5</v>
      </c>
      <c r="F1721" s="19" t="n">
        <v>283.45</v>
      </c>
      <c r="G1721" s="8" t="n">
        <f aca="false">IFERROR(INDEX('TRANS'!$B:$B,MATCH($B1721,'TRANS'!$A:$A,0)),IFERROR(INDEX('TRANS'!$B:$B,MATCH(TRIM(SUBSTITUTE($B1721,CHAR(160)," ")),'TRANS'!$D:$D,0)),IFERROR(INDEX('Catalog'!$A:$A,MATCH($B1721,'Catalog'!$B:$B,0)),IFERROR(INDEX('Catalog'!$A:$A,MATCH(TRIM(SUBSTITUTE($B1721,CHAR(160)," ")),'Catalog'!$C:$C,0)),""))))</f>
        <v>4413329</v>
      </c>
      <c r="H1721" s="8" t="str">
        <f aca="false">IFERROR(INDEX('TRANS'!$C:$C,MATCH($B1721,'TRANS'!$A:$A,0)),IFERROR(INDEX('Catalog'!$B:$B,MATCH($G1721,'Catalog'!$A:$A,0)),$B1721))</f>
        <v>AC45X מגן ברך עם תמיכות</v>
      </c>
      <c r="I1721" s="8" t="str">
        <f aca="false">IF($G1721="","Unmatched","Matched")</f>
        <v>Matched</v>
      </c>
    </row>
    <row r="1722" customFormat="false" ht="15" hidden="false" customHeight="false" outlineLevel="0" collapsed="false">
      <c r="A1722" s="8" t="s">
        <v>856</v>
      </c>
      <c r="B1722" s="8" t="s">
        <v>276</v>
      </c>
      <c r="C1722" s="19" t="n">
        <v>4</v>
      </c>
      <c r="D1722" s="19" t="n">
        <v>286.97</v>
      </c>
      <c r="E1722" s="19" t="n">
        <v>0</v>
      </c>
      <c r="F1722" s="19" t="n">
        <v>0</v>
      </c>
      <c r="G1722" s="8" t="n">
        <f aca="false">IFERROR(INDEX('TRANS'!$B:$B,MATCH($B1722,'TRANS'!$A:$A,0)),IFERROR(INDEX('TRANS'!$B:$B,MATCH(TRIM(SUBSTITUTE($B1722,CHAR(160)," ")),'TRANS'!$D:$D,0)),IFERROR(INDEX('Catalog'!$A:$A,MATCH($B1722,'Catalog'!$B:$B,0)),IFERROR(INDEX('Catalog'!$A:$A,MATCH(TRIM(SUBSTITUTE($B1722,CHAR(160)," ")),'Catalog'!$C:$C,0)),""))))</f>
        <v>4413456</v>
      </c>
      <c r="H1722" s="8" t="str">
        <f aca="false">IFERROR(INDEX('TRANS'!$C:$C,MATCH($B1722,'TRANS'!$A:$A,0)),IFERROR(INDEX('Catalog'!$B:$B,MATCH($G1722,'Catalog'!$A:$A,0)),$B1722))</f>
        <v>AC75 XXL  מיישר כתפיים אקטיב</v>
      </c>
      <c r="I1722" s="8" t="str">
        <f aca="false">IF($G1722="","Unmatched","Matched")</f>
        <v>Matched</v>
      </c>
    </row>
    <row r="1723" customFormat="false" ht="15" hidden="false" customHeight="false" outlineLevel="0" collapsed="false">
      <c r="A1723" s="8" t="s">
        <v>856</v>
      </c>
      <c r="B1723" s="8" t="s">
        <v>54</v>
      </c>
      <c r="C1723" s="19" t="n">
        <v>12</v>
      </c>
      <c r="D1723" s="19" t="n">
        <v>859.16</v>
      </c>
      <c r="E1723" s="19" t="n">
        <v>10</v>
      </c>
      <c r="F1723" s="19" t="n">
        <v>752.62</v>
      </c>
      <c r="G1723" s="8" t="n">
        <f aca="false">IFERROR(INDEX('TRANS'!$B:$B,MATCH($B1723,'TRANS'!$A:$A,0)),IFERROR(INDEX('TRANS'!$B:$B,MATCH(TRIM(SUBSTITUTE($B1723,CHAR(160)," ")),'TRANS'!$D:$D,0)),IFERROR(INDEX('Catalog'!$A:$A,MATCH($B1723,'Catalog'!$B:$B,0)),IFERROR(INDEX('Catalog'!$A:$A,MATCH(TRIM(SUBSTITUTE($B1723,CHAR(160)," ")),'Catalog'!$C:$C,0)),""))))</f>
        <v>4413453</v>
      </c>
      <c r="H1723" s="8" t="str">
        <f aca="false">IFERROR(INDEX('TRANS'!$C:$C,MATCH($B1723,'TRANS'!$A:$A,0)),IFERROR(INDEX('Catalog'!$B:$B,MATCH($G1723,'Catalog'!$A:$A,0)),$B1723))</f>
        <v>AC75 מישר כתפיים אקטיב</v>
      </c>
      <c r="I1723" s="8" t="str">
        <f aca="false">IF($G1723="","Unmatched","Matched")</f>
        <v>Matched</v>
      </c>
    </row>
    <row r="1724" customFormat="false" ht="15" hidden="false" customHeight="false" outlineLevel="0" collapsed="false">
      <c r="A1724" s="8" t="s">
        <v>856</v>
      </c>
      <c r="B1724" s="8" t="s">
        <v>277</v>
      </c>
      <c r="C1724" s="19" t="n">
        <v>10</v>
      </c>
      <c r="D1724" s="19" t="n">
        <v>264.38</v>
      </c>
      <c r="E1724" s="19" t="n">
        <v>5</v>
      </c>
      <c r="F1724" s="19" t="n">
        <v>132.19</v>
      </c>
      <c r="G1724" s="8" t="n">
        <f aca="false">IFERROR(INDEX('TRANS'!$B:$B,MATCH($B1724,'TRANS'!$A:$A,0)),IFERROR(INDEX('TRANS'!$B:$B,MATCH(TRIM(SUBSTITUTE($B1724,CHAR(160)," ")),'TRANS'!$D:$D,0)),IFERROR(INDEX('Catalog'!$A:$A,MATCH($B1724,'Catalog'!$B:$B,0)),IFERROR(INDEX('Catalog'!$A:$A,MATCH(TRIM(SUBSTITUTE($B1724,CHAR(160)," ")),'Catalog'!$C:$C,0)),""))))</f>
        <v>4408208</v>
      </c>
      <c r="H1724" s="8" t="str">
        <f aca="false">IFERROR(INDEX('TRANS'!$C:$C,MATCH($B1724,'TRANS'!$A:$A,0)),IFERROR(INDEX('Catalog'!$B:$B,MATCH($G1724,'Catalog'!$A:$A,0)),$B1724))</f>
        <v>AC91 חבק טניס</v>
      </c>
      <c r="I1724" s="8" t="str">
        <f aca="false">IF($G1724="","Unmatched","Matched")</f>
        <v>Matched</v>
      </c>
    </row>
    <row r="1725" customFormat="false" ht="15" hidden="false" customHeight="false" outlineLevel="0" collapsed="false">
      <c r="A1725" s="8" t="s">
        <v>856</v>
      </c>
      <c r="B1725" s="8" t="s">
        <v>278</v>
      </c>
      <c r="C1725" s="19" t="n">
        <v>10</v>
      </c>
      <c r="D1725" s="19" t="n">
        <v>287.06</v>
      </c>
      <c r="E1725" s="19" t="n">
        <v>5</v>
      </c>
      <c r="F1725" s="19" t="n">
        <v>143.53</v>
      </c>
      <c r="G1725" s="8" t="n">
        <f aca="false">IFERROR(INDEX('TRANS'!$B:$B,MATCH($B1725,'TRANS'!$A:$A,0)),IFERROR(INDEX('TRANS'!$B:$B,MATCH(TRIM(SUBSTITUTE($B1725,CHAR(160)," ")),'TRANS'!$D:$D,0)),IFERROR(INDEX('Catalog'!$A:$A,MATCH($B1725,'Catalog'!$B:$B,0)),IFERROR(INDEX('Catalog'!$A:$A,MATCH(TRIM(SUBSTITUTE($B1725,CHAR(160)," ")),'Catalog'!$C:$C,0)),""))))</f>
        <v>4413331</v>
      </c>
      <c r="H1725" s="8" t="str">
        <f aca="false">IFERROR(INDEX('TRANS'!$C:$C,MATCH($B1725,'TRANS'!$A:$A,0)),IFERROR(INDEX('Catalog'!$B:$B,MATCH($G1725,'Catalog'!$A:$A,0)),$B1725))</f>
        <v>AC95 מגן מרפק</v>
      </c>
      <c r="I1725" s="8" t="str">
        <f aca="false">IF($G1725="","Unmatched","Matched")</f>
        <v>Matched</v>
      </c>
    </row>
    <row r="1726" customFormat="false" ht="15" hidden="false" customHeight="false" outlineLevel="0" collapsed="false">
      <c r="A1726" s="8" t="s">
        <v>856</v>
      </c>
      <c r="B1726" s="8" t="s">
        <v>443</v>
      </c>
      <c r="C1726" s="19" t="n">
        <v>9</v>
      </c>
      <c r="D1726" s="19" t="n">
        <v>339.96</v>
      </c>
      <c r="E1726" s="19" t="n">
        <v>3</v>
      </c>
      <c r="F1726" s="19" t="n">
        <v>127.48</v>
      </c>
      <c r="G1726" s="8" t="n">
        <f aca="false">IFERROR(INDEX('TRANS'!$B:$B,MATCH($B1726,'TRANS'!$A:$A,0)),IFERROR(INDEX('TRANS'!$B:$B,MATCH(TRIM(SUBSTITUTE($B1726,CHAR(160)," ")),'TRANS'!$D:$D,0)),IFERROR(INDEX('Catalog'!$A:$A,MATCH($B1726,'Catalog'!$B:$B,0)),IFERROR(INDEX('Catalog'!$A:$A,MATCH(TRIM(SUBSTITUTE($B1726,CHAR(160)," ")),'Catalog'!$C:$C,0)),""))))</f>
        <v>4408264</v>
      </c>
      <c r="H1726" s="8" t="str">
        <f aca="false">IFERROR(INDEX('TRANS'!$C:$C,MATCH($B1726,'TRANS'!$A:$A,0)),IFERROR(INDEX('Catalog'!$B:$B,MATCH($G1726,'Catalog'!$A:$A,0)),$B1726))</f>
        <v>T25B   חבק יד אגודלי</v>
      </c>
      <c r="I1726" s="8" t="str">
        <f aca="false">IF($G1726="","Unmatched","Matched")</f>
        <v>Matched</v>
      </c>
    </row>
    <row r="1727" customFormat="false" ht="15" hidden="false" customHeight="false" outlineLevel="0" collapsed="false">
      <c r="A1727" s="8" t="s">
        <v>856</v>
      </c>
      <c r="B1727" s="8" t="s">
        <v>465</v>
      </c>
      <c r="C1727" s="19" t="n">
        <v>1</v>
      </c>
      <c r="D1727" s="19" t="n">
        <v>90</v>
      </c>
      <c r="E1727" s="19" t="n">
        <v>0</v>
      </c>
      <c r="F1727" s="19" t="n">
        <v>0</v>
      </c>
      <c r="G1727" s="8" t="n">
        <f aca="false">IFERROR(INDEX('TRANS'!$B:$B,MATCH($B1727,'TRANS'!$A:$A,0)),IFERROR(INDEX('TRANS'!$B:$B,MATCH(TRIM(SUBSTITUTE($B1727,CHAR(160)," ")),'TRANS'!$D:$D,0)),IFERROR(INDEX('Catalog'!$A:$A,MATCH($B1727,'Catalog'!$B:$B,0)),IFERROR(INDEX('Catalog'!$A:$A,MATCH(TRIM(SUBSTITUTE($B1727,CHAR(160)," ")),'Catalog'!$C:$C,0)),""))))</f>
        <v>4411026</v>
      </c>
      <c r="H1727" s="8" t="str">
        <f aca="false">IFERROR(INDEX('TRANS'!$C:$C,MATCH($B1727,'TRANS'!$A:$A,0)),IFERROR(INDEX('Catalog'!$B:$B,MATCH($G1727,'Catalog'!$A:$A,0)),$B1727))</f>
        <v>213CTSL L שמאל CTS כפפות</v>
      </c>
      <c r="I1727" s="8" t="str">
        <f aca="false">IF($G1727="","Unmatched","Matched")</f>
        <v>Matched</v>
      </c>
    </row>
    <row r="1728" customFormat="false" ht="15" hidden="false" customHeight="false" outlineLevel="0" collapsed="false">
      <c r="A1728" s="8" t="s">
        <v>856</v>
      </c>
      <c r="B1728" s="8" t="s">
        <v>466</v>
      </c>
      <c r="C1728" s="19" t="n">
        <v>1</v>
      </c>
      <c r="D1728" s="19" t="n">
        <v>90</v>
      </c>
      <c r="E1728" s="19" t="n">
        <v>0</v>
      </c>
      <c r="F1728" s="19" t="n">
        <v>0</v>
      </c>
      <c r="G1728" s="8" t="n">
        <f aca="false">IFERROR(INDEX('TRANS'!$B:$B,MATCH($B1728,'TRANS'!$A:$A,0)),IFERROR(INDEX('TRANS'!$B:$B,MATCH(TRIM(SUBSTITUTE($B1728,CHAR(160)," ")),'TRANS'!$D:$D,0)),IFERROR(INDEX('Catalog'!$A:$A,MATCH($B1728,'Catalog'!$B:$B,0)),IFERROR(INDEX('Catalog'!$A:$A,MATCH(TRIM(SUBSTITUTE($B1728,CHAR(160)," ")),'Catalog'!$C:$C,0)),""))))</f>
        <v>4411027</v>
      </c>
      <c r="H1728" s="8" t="str">
        <f aca="false">IFERROR(INDEX('TRANS'!$C:$C,MATCH($B1728,'TRANS'!$A:$A,0)),IFERROR(INDEX('Catalog'!$B:$B,MATCH($G1728,'Catalog'!$A:$A,0)),$B1728))</f>
        <v>213CTSL M שמאל CTS כפפות</v>
      </c>
      <c r="I1728" s="8" t="str">
        <f aca="false">IF($G1728="","Unmatched","Matched")</f>
        <v>Matched</v>
      </c>
    </row>
    <row r="1729" customFormat="false" ht="15" hidden="false" customHeight="false" outlineLevel="0" collapsed="false">
      <c r="A1729" s="8" t="s">
        <v>856</v>
      </c>
      <c r="B1729" s="8" t="s">
        <v>467</v>
      </c>
      <c r="C1729" s="19" t="n">
        <v>1</v>
      </c>
      <c r="D1729" s="19" t="n">
        <v>90</v>
      </c>
      <c r="E1729" s="19" t="n">
        <v>0</v>
      </c>
      <c r="F1729" s="19" t="n">
        <v>0</v>
      </c>
      <c r="G1729" s="8" t="n">
        <f aca="false">IFERROR(INDEX('TRANS'!$B:$B,MATCH($B1729,'TRANS'!$A:$A,0)),IFERROR(INDEX('TRANS'!$B:$B,MATCH(TRIM(SUBSTITUTE($B1729,CHAR(160)," ")),'TRANS'!$D:$D,0)),IFERROR(INDEX('Catalog'!$A:$A,MATCH($B1729,'Catalog'!$B:$B,0)),IFERROR(INDEX('Catalog'!$A:$A,MATCH(TRIM(SUBSTITUTE($B1729,CHAR(160)," ")),'Catalog'!$C:$C,0)),""))))</f>
        <v>4411028</v>
      </c>
      <c r="H1729" s="8" t="str">
        <f aca="false">IFERROR(INDEX('TRANS'!$C:$C,MATCH($B1729,'TRANS'!$A:$A,0)),IFERROR(INDEX('Catalog'!$B:$B,MATCH($G1729,'Catalog'!$A:$A,0)),$B1729))</f>
        <v>213CTSL S שמאל CTS כפפות</v>
      </c>
      <c r="I1729" s="8" t="str">
        <f aca="false">IF($G1729="","Unmatched","Matched")</f>
        <v>Matched</v>
      </c>
    </row>
    <row r="1730" customFormat="false" ht="15" hidden="false" customHeight="false" outlineLevel="0" collapsed="false">
      <c r="A1730" s="8" t="s">
        <v>856</v>
      </c>
      <c r="B1730" s="8" t="s">
        <v>468</v>
      </c>
      <c r="C1730" s="19" t="n">
        <v>1</v>
      </c>
      <c r="D1730" s="19" t="n">
        <v>90</v>
      </c>
      <c r="E1730" s="19" t="n">
        <v>0</v>
      </c>
      <c r="F1730" s="19" t="n">
        <v>0</v>
      </c>
      <c r="G1730" s="8" t="n">
        <f aca="false">IFERROR(INDEX('TRANS'!$B:$B,MATCH($B1730,'TRANS'!$A:$A,0)),IFERROR(INDEX('TRANS'!$B:$B,MATCH(TRIM(SUBSTITUTE($B1730,CHAR(160)," ")),'TRANS'!$D:$D,0)),IFERROR(INDEX('Catalog'!$A:$A,MATCH($B1730,'Catalog'!$B:$B,0)),IFERROR(INDEX('Catalog'!$A:$A,MATCH(TRIM(SUBSTITUTE($B1730,CHAR(160)," ")),'Catalog'!$C:$C,0)),""))))</f>
        <v>4411029</v>
      </c>
      <c r="H1730" s="8" t="str">
        <f aca="false">IFERROR(INDEX('TRANS'!$C:$C,MATCH($B1730,'TRANS'!$A:$A,0)),IFERROR(INDEX('Catalog'!$B:$B,MATCH($G1730,'Catalog'!$A:$A,0)),$B1730))</f>
        <v>213CTSR L ימין CTS כפפות</v>
      </c>
      <c r="I1730" s="8" t="str">
        <f aca="false">IF($G1730="","Unmatched","Matched")</f>
        <v>Matched</v>
      </c>
    </row>
    <row r="1731" customFormat="false" ht="15" hidden="false" customHeight="false" outlineLevel="0" collapsed="false">
      <c r="A1731" s="8" t="s">
        <v>856</v>
      </c>
      <c r="B1731" s="8" t="s">
        <v>469</v>
      </c>
      <c r="C1731" s="19" t="n">
        <v>1</v>
      </c>
      <c r="D1731" s="19" t="n">
        <v>90</v>
      </c>
      <c r="E1731" s="19" t="n">
        <v>0</v>
      </c>
      <c r="F1731" s="19" t="n">
        <v>0</v>
      </c>
      <c r="G1731" s="8" t="n">
        <f aca="false">IFERROR(INDEX('TRANS'!$B:$B,MATCH($B1731,'TRANS'!$A:$A,0)),IFERROR(INDEX('TRANS'!$B:$B,MATCH(TRIM(SUBSTITUTE($B1731,CHAR(160)," ")),'TRANS'!$D:$D,0)),IFERROR(INDEX('Catalog'!$A:$A,MATCH($B1731,'Catalog'!$B:$B,0)),IFERROR(INDEX('Catalog'!$A:$A,MATCH(TRIM(SUBSTITUTE($B1731,CHAR(160)," ")),'Catalog'!$C:$C,0)),""))))</f>
        <v>4411030</v>
      </c>
      <c r="H1731" s="8" t="str">
        <f aca="false">IFERROR(INDEX('TRANS'!$C:$C,MATCH($B1731,'TRANS'!$A:$A,0)),IFERROR(INDEX('Catalog'!$B:$B,MATCH($G1731,'Catalog'!$A:$A,0)),$B1731))</f>
        <v>213CTSR M ימין CTS כפפות</v>
      </c>
      <c r="I1731" s="8" t="str">
        <f aca="false">IF($G1731="","Unmatched","Matched")</f>
        <v>Matched</v>
      </c>
    </row>
    <row r="1732" customFormat="false" ht="15" hidden="false" customHeight="false" outlineLevel="0" collapsed="false">
      <c r="A1732" s="8" t="s">
        <v>856</v>
      </c>
      <c r="B1732" s="8" t="s">
        <v>470</v>
      </c>
      <c r="C1732" s="19" t="n">
        <v>1</v>
      </c>
      <c r="D1732" s="19" t="n">
        <v>90</v>
      </c>
      <c r="E1732" s="19" t="n">
        <v>0</v>
      </c>
      <c r="F1732" s="19" t="n">
        <v>0</v>
      </c>
      <c r="G1732" s="8" t="n">
        <f aca="false">IFERROR(INDEX('TRANS'!$B:$B,MATCH($B1732,'TRANS'!$A:$A,0)),IFERROR(INDEX('TRANS'!$B:$B,MATCH(TRIM(SUBSTITUTE($B1732,CHAR(160)," ")),'TRANS'!$D:$D,0)),IFERROR(INDEX('Catalog'!$A:$A,MATCH($B1732,'Catalog'!$B:$B,0)),IFERROR(INDEX('Catalog'!$A:$A,MATCH(TRIM(SUBSTITUTE($B1732,CHAR(160)," ")),'Catalog'!$C:$C,0)),""))))</f>
        <v>4411031</v>
      </c>
      <c r="H1732" s="8" t="str">
        <f aca="false">IFERROR(INDEX('TRANS'!$C:$C,MATCH($B1732,'TRANS'!$A:$A,0)),IFERROR(INDEX('Catalog'!$B:$B,MATCH($G1732,'Catalog'!$A:$A,0)),$B1732))</f>
        <v>213CTS  S ימין CTS כפפות</v>
      </c>
      <c r="I1732" s="8" t="str">
        <f aca="false">IF($G1732="","Unmatched","Matched")</f>
        <v>Matched</v>
      </c>
    </row>
    <row r="1733" customFormat="false" ht="15" hidden="false" customHeight="false" outlineLevel="0" collapsed="false">
      <c r="A1733" s="8" t="s">
        <v>856</v>
      </c>
      <c r="B1733" s="8" t="s">
        <v>131</v>
      </c>
      <c r="C1733" s="19" t="n">
        <v>2</v>
      </c>
      <c r="D1733" s="19" t="n">
        <v>140.52</v>
      </c>
      <c r="E1733" s="19" t="n">
        <v>0</v>
      </c>
      <c r="F1733" s="19" t="n">
        <v>0</v>
      </c>
      <c r="G1733" s="8" t="n">
        <f aca="false">IFERROR(INDEX('TRANS'!$B:$B,MATCH($B1733,'TRANS'!$A:$A,0)),IFERROR(INDEX('TRANS'!$B:$B,MATCH(TRIM(SUBSTITUTE($B1733,CHAR(160)," ")),'TRANS'!$D:$D,0)),IFERROR(INDEX('Catalog'!$A:$A,MATCH($B1733,'Catalog'!$B:$B,0)),IFERROR(INDEX('Catalog'!$A:$A,MATCH(TRIM(SUBSTITUTE($B1733,CHAR(160)," ")),'Catalog'!$C:$C,0)),""))))</f>
        <v>4413161</v>
      </c>
      <c r="H1733" s="8" t="str">
        <f aca="false">IFERROR(INDEX('TRANS'!$C:$C,MATCH($B1733,'TRANS'!$A:$A,0)),IFERROR(INDEX('Catalog'!$B:$B,MATCH($G1733,'Catalog'!$A:$A,0)),$B1733))</f>
        <v>34+ L מגן קרסול עקב סגור+רצוע</v>
      </c>
      <c r="I1733" s="8" t="str">
        <f aca="false">IF($G1733="","Unmatched","Matched")</f>
        <v>Matched</v>
      </c>
    </row>
    <row r="1734" customFormat="false" ht="15" hidden="false" customHeight="false" outlineLevel="0" collapsed="false">
      <c r="A1734" s="8" t="s">
        <v>856</v>
      </c>
      <c r="B1734" s="8" t="s">
        <v>132</v>
      </c>
      <c r="C1734" s="19" t="n">
        <v>2</v>
      </c>
      <c r="D1734" s="19" t="n">
        <v>140.52</v>
      </c>
      <c r="E1734" s="19" t="n">
        <v>0</v>
      </c>
      <c r="F1734" s="19" t="n">
        <v>0</v>
      </c>
      <c r="G1734" s="8" t="n">
        <f aca="false">IFERROR(INDEX('TRANS'!$B:$B,MATCH($B1734,'TRANS'!$A:$A,0)),IFERROR(INDEX('TRANS'!$B:$B,MATCH(TRIM(SUBSTITUTE($B1734,CHAR(160)," ")),'TRANS'!$D:$D,0)),IFERROR(INDEX('Catalog'!$A:$A,MATCH($B1734,'Catalog'!$B:$B,0)),IFERROR(INDEX('Catalog'!$A:$A,MATCH(TRIM(SUBSTITUTE($B1734,CHAR(160)," ")),'Catalog'!$C:$C,0)),""))))</f>
        <v>4413162</v>
      </c>
      <c r="H1734" s="8" t="str">
        <f aca="false">IFERROR(INDEX('TRANS'!$C:$C,MATCH($B1734,'TRANS'!$A:$A,0)),IFERROR(INDEX('Catalog'!$B:$B,MATCH($G1734,'Catalog'!$A:$A,0)),$B1734))</f>
        <v>34+XL מגן קרסול עקב סגור+רצוע</v>
      </c>
      <c r="I1734" s="8" t="str">
        <f aca="false">IF($G1734="","Unmatched","Matched")</f>
        <v>Matched</v>
      </c>
    </row>
    <row r="1735" customFormat="false" ht="15" hidden="false" customHeight="false" outlineLevel="0" collapsed="false">
      <c r="A1735" s="8" t="s">
        <v>856</v>
      </c>
      <c r="B1735" s="8" t="s">
        <v>156</v>
      </c>
      <c r="C1735" s="19" t="n">
        <v>2</v>
      </c>
      <c r="D1735" s="19" t="n">
        <v>35.83</v>
      </c>
      <c r="E1735" s="19" t="n">
        <v>2</v>
      </c>
      <c r="F1735" s="19" t="n">
        <v>35.83</v>
      </c>
      <c r="G1735" s="8" t="n">
        <f aca="false">IFERROR(INDEX('TRANS'!$B:$B,MATCH($B1735,'TRANS'!$A:$A,0)),IFERROR(INDEX('TRANS'!$B:$B,MATCH(TRIM(SUBSTITUTE($B1735,CHAR(160)," ")),'TRANS'!$D:$D,0)),IFERROR(INDEX('Catalog'!$A:$A,MATCH($B1735,'Catalog'!$B:$B,0)),IFERROR(INDEX('Catalog'!$A:$A,MATCH(TRIM(SUBSTITUTE($B1735,CHAR(160)," ")),'Catalog'!$C:$C,0)),""))))</f>
        <v>4421000</v>
      </c>
      <c r="H1735" s="8" t="str">
        <f aca="false">IFERROR(INDEX('TRANS'!$C:$C,MATCH($B1735,'TRANS'!$A:$A,0)),IFERROR(INDEX('Catalog'!$B:$B,MATCH($G1735,'Catalog'!$A:$A,0)),$B1735))</f>
        <v>3655 שרוול מסיליקון לאצבע</v>
      </c>
      <c r="I1735" s="8" t="str">
        <f aca="false">IF($G1735="","Unmatched","Matched")</f>
        <v>Matched</v>
      </c>
    </row>
    <row r="1736" customFormat="false" ht="15" hidden="false" customHeight="false" outlineLevel="0" collapsed="false">
      <c r="A1736" s="8" t="s">
        <v>856</v>
      </c>
      <c r="B1736" s="8" t="s">
        <v>201</v>
      </c>
      <c r="C1736" s="19" t="n">
        <v>2</v>
      </c>
      <c r="D1736" s="19" t="n">
        <v>126.46</v>
      </c>
      <c r="E1736" s="19" t="n">
        <v>0</v>
      </c>
      <c r="F1736" s="19" t="n">
        <v>0</v>
      </c>
      <c r="G1736" s="8" t="n">
        <f aca="false">IFERROR(INDEX('TRANS'!$B:$B,MATCH($B1736,'TRANS'!$A:$A,0)),IFERROR(INDEX('TRANS'!$B:$B,MATCH(TRIM(SUBSTITUTE($B1736,CHAR(160)," ")),'TRANS'!$D:$D,0)),IFERROR(INDEX('Catalog'!$A:$A,MATCH($B1736,'Catalog'!$B:$B,0)),IFERROR(INDEX('Catalog'!$A:$A,MATCH(TRIM(SUBSTITUTE($B1736,CHAR(160)," ")),'Catalog'!$C:$C,0)),""))))</f>
        <v>4403042</v>
      </c>
      <c r="H1736" s="8" t="str">
        <f aca="false">IFERROR(INDEX('TRANS'!$C:$C,MATCH($B1736,'TRANS'!$A:$A,0)),IFERROR(INDEX('Catalog'!$B:$B,MATCH($G1736,'Catalog'!$A:$A,0)),$B1736))</f>
        <v>397A-גרבי טיסה אנטי בקטרי39-42</v>
      </c>
      <c r="I1736" s="8" t="str">
        <f aca="false">IF($G1736="","Unmatched","Matched")</f>
        <v>Matched</v>
      </c>
    </row>
    <row r="1737" customFormat="false" ht="15" hidden="false" customHeight="false" outlineLevel="0" collapsed="false">
      <c r="A1737" s="8" t="s">
        <v>856</v>
      </c>
      <c r="B1737" s="8" t="s">
        <v>202</v>
      </c>
      <c r="C1737" s="19" t="n">
        <v>2</v>
      </c>
      <c r="D1737" s="19" t="n">
        <v>126.46</v>
      </c>
      <c r="E1737" s="19" t="n">
        <v>0</v>
      </c>
      <c r="F1737" s="19" t="n">
        <v>0</v>
      </c>
      <c r="G1737" s="8" t="n">
        <f aca="false">IFERROR(INDEX('TRANS'!$B:$B,MATCH($B1737,'TRANS'!$A:$A,0)),IFERROR(INDEX('TRANS'!$B:$B,MATCH(TRIM(SUBSTITUTE($B1737,CHAR(160)," ")),'TRANS'!$D:$D,0)),IFERROR(INDEX('Catalog'!$A:$A,MATCH($B1737,'Catalog'!$B:$B,0)),IFERROR(INDEX('Catalog'!$A:$A,MATCH(TRIM(SUBSTITUTE($B1737,CHAR(160)," ")),'Catalog'!$C:$C,0)),""))))</f>
        <v>4403043</v>
      </c>
      <c r="H1737" s="8" t="str">
        <f aca="false">IFERROR(INDEX('TRANS'!$C:$C,MATCH($B1737,'TRANS'!$A:$A,0)),IFERROR(INDEX('Catalog'!$B:$B,MATCH($G1737,'Catalog'!$A:$A,0)),$B1737))</f>
        <v>397A-גרבי טיסה אנטי בקטרי43-46</v>
      </c>
      <c r="I1737" s="8" t="str">
        <f aca="false">IF($G1737="","Unmatched","Matched")</f>
        <v>Matched</v>
      </c>
    </row>
    <row r="1738" customFormat="false" ht="15" hidden="false" customHeight="false" outlineLevel="0" collapsed="false">
      <c r="A1738" s="8" t="s">
        <v>856</v>
      </c>
      <c r="B1738" s="8" t="s">
        <v>204</v>
      </c>
      <c r="C1738" s="19" t="n">
        <v>2</v>
      </c>
      <c r="D1738" s="19" t="n">
        <v>189.27</v>
      </c>
      <c r="E1738" s="19" t="n">
        <v>0</v>
      </c>
      <c r="F1738" s="19" t="n">
        <v>0</v>
      </c>
      <c r="G1738" s="8" t="n">
        <f aca="false">IFERROR(INDEX('TRANS'!$B:$B,MATCH($B1738,'TRANS'!$A:$A,0)),IFERROR(INDEX('TRANS'!$B:$B,MATCH(TRIM(SUBSTITUTE($B1738,CHAR(160)," ")),'TRANS'!$D:$D,0)),IFERROR(INDEX('Catalog'!$A:$A,MATCH($B1738,'Catalog'!$B:$B,0)),IFERROR(INDEX('Catalog'!$A:$A,MATCH(TRIM(SUBSTITUTE($B1738,CHAR(160)," ")),'Catalog'!$C:$C,0)),""))))</f>
        <v>4420017</v>
      </c>
      <c r="H1738" s="8" t="str">
        <f aca="false">IFERROR(INDEX('TRANS'!$C:$C,MATCH($B1738,'TRANS'!$A:$A,0)),IFERROR(INDEX('Catalog'!$B:$B,MATCH($G1738,'Catalog'!$A:$A,0)),$B1738))</f>
        <v>4022 רצועת """"פיקה""""+כרית</v>
      </c>
      <c r="I1738" s="8" t="str">
        <f aca="false">IF($G1738="","Unmatched","Matched")</f>
        <v>Matched</v>
      </c>
    </row>
    <row r="1739" customFormat="false" ht="15" hidden="false" customHeight="false" outlineLevel="0" collapsed="false">
      <c r="A1739" s="8" t="s">
        <v>856</v>
      </c>
      <c r="B1739" s="8" t="s">
        <v>498</v>
      </c>
      <c r="C1739" s="19" t="n">
        <v>1</v>
      </c>
      <c r="D1739" s="19" t="n">
        <v>0.01</v>
      </c>
      <c r="E1739" s="19" t="n">
        <v>0</v>
      </c>
      <c r="F1739" s="19" t="n">
        <v>0</v>
      </c>
      <c r="G1739" s="8" t="str">
        <f aca="false">IFERROR(INDEX('TRANS'!$B:$B,MATCH($B1739,'TRANS'!$A:$A,0)),IFERROR(INDEX('TRANS'!$B:$B,MATCH(TRIM(SUBSTITUTE($B1739,CHAR(160)," ")),'TRANS'!$D:$D,0)),IFERROR(INDEX('Catalog'!$A:$A,MATCH($B1739,'Catalog'!$B:$B,0)),IFERROR(INDEX('Catalog'!$A:$A,MATCH(TRIM(SUBSTITUTE($B1739,CHAR(160)," ")),'Catalog'!$C:$C,0)),""))))</f>
        <v/>
      </c>
      <c r="H1739" s="8" t="str">
        <f aca="false">IFERROR(INDEX('TRANS'!$C:$C,MATCH($B1739,'TRANS'!$A:$A,0)),IFERROR(INDEX('Catalog'!$B:$B,MATCH($G1739,'Catalog'!$A:$A,0)),$B1739))</f>
        <v>67813000</v>
      </c>
      <c r="I1739" s="8" t="str">
        <f aca="false">IF($G1739="","Unmatched","Matched")</f>
        <v>Unmatched</v>
      </c>
    </row>
    <row r="1740" customFormat="false" ht="15" hidden="false" customHeight="false" outlineLevel="0" collapsed="false">
      <c r="A1740" s="8" t="s">
        <v>856</v>
      </c>
      <c r="B1740" s="8" t="s">
        <v>318</v>
      </c>
      <c r="C1740" s="19" t="n">
        <v>0</v>
      </c>
      <c r="D1740" s="19" t="n">
        <v>0</v>
      </c>
      <c r="E1740" s="19" t="n">
        <v>4</v>
      </c>
      <c r="F1740" s="19" t="n">
        <v>187.29</v>
      </c>
      <c r="G1740" s="8" t="n">
        <f aca="false">IFERROR(INDEX('TRANS'!$B:$B,MATCH($B1740,'TRANS'!$A:$A,0)),IFERROR(INDEX('TRANS'!$B:$B,MATCH(TRIM(SUBSTITUTE($B1740,CHAR(160)," ")),'TRANS'!$D:$D,0)),IFERROR(INDEX('Catalog'!$A:$A,MATCH($B1740,'Catalog'!$B:$B,0)),IFERROR(INDEX('Catalog'!$A:$A,MATCH(TRIM(SUBSTITUTE($B1740,CHAR(160)," ")),'Catalog'!$C:$C,0)),""))))</f>
        <v>4408098</v>
      </c>
      <c r="H1740" s="8" t="str">
        <f aca="false">IFERROR(INDEX('TRANS'!$C:$C,MATCH($B1740,'TRANS'!$A:$A,0)),IFERROR(INDEX('Catalog'!$B:$B,MATCH($G1740,'Catalog'!$A:$A,0)),$B1740))</f>
        <v>T25-חבק יד אגודלי</v>
      </c>
      <c r="I1740" s="8" t="str">
        <f aca="false">IF($G1740="","Unmatched","Matched")</f>
        <v>Matched</v>
      </c>
    </row>
    <row r="1741" customFormat="false" ht="15" hidden="false" customHeight="false" outlineLevel="0" collapsed="false">
      <c r="A1741" s="8" t="s">
        <v>856</v>
      </c>
      <c r="B1741" s="8" t="s">
        <v>60</v>
      </c>
      <c r="C1741" s="19" t="n">
        <v>2</v>
      </c>
      <c r="D1741" s="19" t="n">
        <v>217.36</v>
      </c>
      <c r="E1741" s="19" t="n">
        <v>0</v>
      </c>
      <c r="F1741" s="19" t="n">
        <v>0</v>
      </c>
      <c r="G1741" s="8" t="n">
        <f aca="false">IFERROR(INDEX('TRANS'!$B:$B,MATCH($B1741,'TRANS'!$A:$A,0)),IFERROR(INDEX('TRANS'!$B:$B,MATCH(TRIM(SUBSTITUTE($B1741,CHAR(160)," ")),'TRANS'!$D:$D,0)),IFERROR(INDEX('Catalog'!$A:$A,MATCH($B1741,'Catalog'!$B:$B,0)),IFERROR(INDEX('Catalog'!$A:$A,MATCH(TRIM(SUBSTITUTE($B1741,CHAR(160)," ")),'Catalog'!$C:$C,0)),""))))</f>
        <v>4408192</v>
      </c>
      <c r="H1741" s="8" t="str">
        <f aca="false">IFERROR(INDEX('TRANS'!$C:$C,MATCH($B1741,'TRANS'!$A:$A,0)),IFERROR(INDEX('Catalog'!$B:$B,MATCH($G1741,'Catalog'!$A:$A,0)),$B1741))</f>
        <v>078 L חגורת גב +סגירה</v>
      </c>
      <c r="I1741" s="8" t="str">
        <f aca="false">IF($G1741="","Unmatched","Matched")</f>
        <v>Matched</v>
      </c>
    </row>
    <row r="1742" customFormat="false" ht="15" hidden="false" customHeight="false" outlineLevel="0" collapsed="false">
      <c r="A1742" s="8" t="s">
        <v>856</v>
      </c>
      <c r="B1742" s="8" t="s">
        <v>454</v>
      </c>
      <c r="C1742" s="19" t="n">
        <v>1</v>
      </c>
      <c r="D1742" s="19" t="n">
        <v>108.68</v>
      </c>
      <c r="E1742" s="19" t="n">
        <v>0</v>
      </c>
      <c r="F1742" s="19" t="n">
        <v>0</v>
      </c>
      <c r="G1742" s="8" t="n">
        <f aca="false">IFERROR(INDEX('TRANS'!$B:$B,MATCH($B1742,'TRANS'!$A:$A,0)),IFERROR(INDEX('TRANS'!$B:$B,MATCH(TRIM(SUBSTITUTE($B1742,CHAR(160)," ")),'TRANS'!$D:$D,0)),IFERROR(INDEX('Catalog'!$A:$A,MATCH($B1742,'Catalog'!$B:$B,0)),IFERROR(INDEX('Catalog'!$A:$A,MATCH(TRIM(SUBSTITUTE($B1742,CHAR(160)," ")),'Catalog'!$C:$C,0)),""))))</f>
        <v>4408190</v>
      </c>
      <c r="H1742" s="8" t="str">
        <f aca="false">IFERROR(INDEX('TRANS'!$C:$C,MATCH($B1742,'TRANS'!$A:$A,0)),IFERROR(INDEX('Catalog'!$B:$B,MATCH($G1742,'Catalog'!$A:$A,0)),$B1742))</f>
        <v>M078 חגורת גב +סגירה כפולה</v>
      </c>
      <c r="I1742" s="8" t="str">
        <f aca="false">IF($G1742="","Unmatched","Matched")</f>
        <v>Matched</v>
      </c>
    </row>
    <row r="1743" customFormat="false" ht="15" hidden="false" customHeight="false" outlineLevel="0" collapsed="false">
      <c r="A1743" s="8" t="s">
        <v>856</v>
      </c>
      <c r="B1743" s="8" t="s">
        <v>61</v>
      </c>
      <c r="C1743" s="19" t="n">
        <v>4</v>
      </c>
      <c r="D1743" s="19" t="n">
        <v>434.72</v>
      </c>
      <c r="E1743" s="19" t="n">
        <v>0</v>
      </c>
      <c r="F1743" s="19" t="n">
        <v>0</v>
      </c>
      <c r="G1743" s="8" t="n">
        <f aca="false">IFERROR(INDEX('TRANS'!$B:$B,MATCH($B1743,'TRANS'!$A:$A,0)),IFERROR(INDEX('TRANS'!$B:$B,MATCH(TRIM(SUBSTITUTE($B1743,CHAR(160)," ")),'TRANS'!$D:$D,0)),IFERROR(INDEX('Catalog'!$A:$A,MATCH($B1743,'Catalog'!$B:$B,0)),IFERROR(INDEX('Catalog'!$A:$A,MATCH(TRIM(SUBSTITUTE($B1743,CHAR(160)," ")),'Catalog'!$C:$C,0)),""))))</f>
        <v>4408218</v>
      </c>
      <c r="H1743" s="8" t="str">
        <f aca="false">IFERROR(INDEX('TRANS'!$C:$C,MATCH($B1743,'TRANS'!$A:$A,0)),IFERROR(INDEX('Catalog'!$B:$B,MATCH($G1743,'Catalog'!$A:$A,0)),$B1743))</f>
        <v>078XL חגורת גב +סגירה כפולה</v>
      </c>
      <c r="I1743" s="8" t="str">
        <f aca="false">IF($G1743="","Unmatched","Matched")</f>
        <v>Matched</v>
      </c>
    </row>
    <row r="1744" customFormat="false" ht="15" hidden="false" customHeight="false" outlineLevel="0" collapsed="false">
      <c r="A1744" s="8" t="s">
        <v>856</v>
      </c>
      <c r="B1744" s="8" t="s">
        <v>250</v>
      </c>
      <c r="C1744" s="19" t="n">
        <v>0</v>
      </c>
      <c r="D1744" s="19" t="n">
        <v>0</v>
      </c>
      <c r="E1744" s="19" t="n">
        <v>1</v>
      </c>
      <c r="F1744" s="19" t="n">
        <v>140.57</v>
      </c>
      <c r="G1744" s="8" t="str">
        <f aca="false">IFERROR(INDEX('TRANS'!$B:$B,MATCH($B1744,'TRANS'!$A:$A,0)),IFERROR(INDEX('TRANS'!$B:$B,MATCH(TRIM(SUBSTITUTE($B1744,CHAR(160)," ")),'TRANS'!$D:$D,0)),IFERROR(INDEX('Catalog'!$A:$A,MATCH($B1744,'Catalog'!$B:$B,0)),IFERROR(INDEX('Catalog'!$A:$A,MATCH(TRIM(SUBSTITUTE($B1744,CHAR(160)," ")),'Catalog'!$C:$C,0)),""))))</f>
        <v/>
      </c>
      <c r="H1744" s="8" t="str">
        <f aca="false">IFERROR(INDEX('TRANS'!$C:$C,MATCH($B1744,'TRANS'!$A:$A,0)),IFERROR(INDEX('Catalog'!$B:$B,MATCH($G1744,'Catalog'!$A:$A,0)),$B1744))</f>
        <v>84-L-XXL</v>
      </c>
      <c r="I1744" s="8" t="str">
        <f aca="false">IF($G1744="","Unmatched","Matched")</f>
        <v>Unmatched</v>
      </c>
    </row>
    <row r="1745" customFormat="false" ht="15" hidden="false" customHeight="false" outlineLevel="0" collapsed="false">
      <c r="A1745" s="8" t="s">
        <v>856</v>
      </c>
      <c r="B1745" s="8" t="s">
        <v>251</v>
      </c>
      <c r="C1745" s="19" t="n">
        <v>0</v>
      </c>
      <c r="D1745" s="19" t="n">
        <v>0</v>
      </c>
      <c r="E1745" s="19" t="n">
        <v>1</v>
      </c>
      <c r="F1745" s="19" t="n">
        <v>140.57</v>
      </c>
      <c r="G1745" s="8" t="str">
        <f aca="false">IFERROR(INDEX('TRANS'!$B:$B,MATCH($B1745,'TRANS'!$A:$A,0)),IFERROR(INDEX('TRANS'!$B:$B,MATCH(TRIM(SUBSTITUTE($B1745,CHAR(160)," ")),'TRANS'!$D:$D,0)),IFERROR(INDEX('Catalog'!$A:$A,MATCH($B1745,'Catalog'!$B:$B,0)),IFERROR(INDEX('Catalog'!$A:$A,MATCH(TRIM(SUBSTITUTE($B1745,CHAR(160)," ")),'Catalog'!$C:$C,0)),""))))</f>
        <v/>
      </c>
      <c r="H1745" s="8" t="str">
        <f aca="false">IFERROR(INDEX('TRANS'!$C:$C,MATCH($B1745,'TRANS'!$A:$A,0)),IFERROR(INDEX('Catalog'!$B:$B,MATCH($G1745,'Catalog'!$A:$A,0)),$B1745))</f>
        <v>84-S-M</v>
      </c>
      <c r="I1745" s="8" t="str">
        <f aca="false">IF($G1745="","Unmatched","Matched")</f>
        <v>Unmatched</v>
      </c>
    </row>
    <row r="1746" customFormat="false" ht="15" hidden="false" customHeight="false" outlineLevel="0" collapsed="false">
      <c r="A1746" s="8" t="s">
        <v>856</v>
      </c>
      <c r="B1746" s="8" t="s">
        <v>311</v>
      </c>
      <c r="C1746" s="19" t="n">
        <v>0</v>
      </c>
      <c r="D1746" s="19" t="n">
        <v>0</v>
      </c>
      <c r="E1746" s="19" t="n">
        <v>2</v>
      </c>
      <c r="F1746" s="19" t="n">
        <v>222.08</v>
      </c>
      <c r="G1746" s="8" t="str">
        <f aca="false">IFERROR(INDEX('TRANS'!$B:$B,MATCH($B1746,'TRANS'!$A:$A,0)),IFERROR(INDEX('TRANS'!$B:$B,MATCH(TRIM(SUBSTITUTE($B1746,CHAR(160)," ")),'TRANS'!$D:$D,0)),IFERROR(INDEX('Catalog'!$A:$A,MATCH($B1746,'Catalog'!$B:$B,0)),IFERROR(INDEX('Catalog'!$A:$A,MATCH(TRIM(SUBSTITUTE($B1746,CHAR(160)," ")),'Catalog'!$C:$C,0)),""))))</f>
        <v/>
      </c>
      <c r="H1746" s="8" t="str">
        <f aca="false">IFERROR(INDEX('TRANS'!$C:$C,MATCH($B1746,'TRANS'!$A:$A,0)),IFERROR(INDEX('Catalog'!$B:$B,MATCH($G1746,'Catalog'!$A:$A,0)),$B1746))</f>
        <v>T03 L</v>
      </c>
      <c r="I1746" s="8" t="str">
        <f aca="false">IF($G1746="","Unmatched","Matched")</f>
        <v>Unmatched</v>
      </c>
    </row>
    <row r="1747" customFormat="false" ht="15" hidden="false" customHeight="false" outlineLevel="0" collapsed="false">
      <c r="A1747" s="8" t="s">
        <v>856</v>
      </c>
      <c r="B1747" s="8" t="s">
        <v>312</v>
      </c>
      <c r="C1747" s="19" t="n">
        <v>0</v>
      </c>
      <c r="D1747" s="19" t="n">
        <v>0</v>
      </c>
      <c r="E1747" s="19" t="n">
        <v>2</v>
      </c>
      <c r="F1747" s="19" t="n">
        <v>222.08</v>
      </c>
      <c r="G1747" s="8" t="str">
        <f aca="false">IFERROR(INDEX('TRANS'!$B:$B,MATCH($B1747,'TRANS'!$A:$A,0)),IFERROR(INDEX('TRANS'!$B:$B,MATCH(TRIM(SUBSTITUTE($B1747,CHAR(160)," ")),'TRANS'!$D:$D,0)),IFERROR(INDEX('Catalog'!$A:$A,MATCH($B1747,'Catalog'!$B:$B,0)),IFERROR(INDEX('Catalog'!$A:$A,MATCH(TRIM(SUBSTITUTE($B1747,CHAR(160)," ")),'Catalog'!$C:$C,0)),""))))</f>
        <v/>
      </c>
      <c r="H1747" s="8" t="str">
        <f aca="false">IFERROR(INDEX('TRANS'!$C:$C,MATCH($B1747,'TRANS'!$A:$A,0)),IFERROR(INDEX('Catalog'!$B:$B,MATCH($G1747,'Catalog'!$A:$A,0)),$B1747))</f>
        <v>T03 M</v>
      </c>
      <c r="I1747" s="8" t="str">
        <f aca="false">IF($G1747="","Unmatched","Matched")</f>
        <v>Unmatched</v>
      </c>
    </row>
    <row r="1748" customFormat="false" ht="15" hidden="false" customHeight="false" outlineLevel="0" collapsed="false">
      <c r="A1748" s="8" t="s">
        <v>856</v>
      </c>
      <c r="B1748" s="8" t="s">
        <v>442</v>
      </c>
      <c r="C1748" s="19" t="n">
        <v>0</v>
      </c>
      <c r="D1748" s="19" t="n">
        <v>0</v>
      </c>
      <c r="E1748" s="19" t="n">
        <v>2</v>
      </c>
      <c r="F1748" s="19" t="n">
        <v>222.08</v>
      </c>
      <c r="G1748" s="8" t="str">
        <f aca="false">IFERROR(INDEX('TRANS'!$B:$B,MATCH($B1748,'TRANS'!$A:$A,0)),IFERROR(INDEX('TRANS'!$B:$B,MATCH(TRIM(SUBSTITUTE($B1748,CHAR(160)," ")),'TRANS'!$D:$D,0)),IFERROR(INDEX('Catalog'!$A:$A,MATCH($B1748,'Catalog'!$B:$B,0)),IFERROR(INDEX('Catalog'!$A:$A,MATCH(TRIM(SUBSTITUTE($B1748,CHAR(160)," ")),'Catalog'!$C:$C,0)),""))))</f>
        <v/>
      </c>
      <c r="H1748" s="8" t="str">
        <f aca="false">IFERROR(INDEX('TRANS'!$C:$C,MATCH($B1748,'TRANS'!$A:$A,0)),IFERROR(INDEX('Catalog'!$B:$B,MATCH($G1748,'Catalog'!$A:$A,0)),$B1748))</f>
        <v>T03 XL</v>
      </c>
      <c r="I1748" s="8" t="str">
        <f aca="false">IF($G1748="","Unmatched","Matched")</f>
        <v>Unmatched</v>
      </c>
    </row>
    <row r="1749" customFormat="false" ht="15" hidden="false" customHeight="false" outlineLevel="0" collapsed="false">
      <c r="A1749" s="8" t="s">
        <v>856</v>
      </c>
      <c r="B1749" s="8" t="s">
        <v>497</v>
      </c>
      <c r="C1749" s="19" t="n">
        <v>0</v>
      </c>
      <c r="D1749" s="19" t="n">
        <v>0</v>
      </c>
      <c r="E1749" s="19" t="n">
        <v>1</v>
      </c>
      <c r="F1749" s="19" t="n">
        <v>0</v>
      </c>
      <c r="G1749" s="8" t="str">
        <f aca="false">IFERROR(INDEX('TRANS'!$B:$B,MATCH($B1749,'TRANS'!$A:$A,0)),IFERROR(INDEX('TRANS'!$B:$B,MATCH(TRIM(SUBSTITUTE($B1749,CHAR(160)," ")),'TRANS'!$D:$D,0)),IFERROR(INDEX('Catalog'!$A:$A,MATCH($B1749,'Catalog'!$B:$B,0)),IFERROR(INDEX('Catalog'!$A:$A,MATCH(TRIM(SUBSTITUTE($B1749,CHAR(160)," ")),'Catalog'!$C:$C,0)),""))))</f>
        <v/>
      </c>
      <c r="H1749" s="8" t="str">
        <f aca="false">IFERROR(INDEX('TRANS'!$C:$C,MATCH($B1749,'TRANS'!$A:$A,0)),IFERROR(INDEX('Catalog'!$B:$B,MATCH($G1749,'Catalog'!$A:$A,0)),$B1749))</f>
        <v>67800020</v>
      </c>
      <c r="I1749" s="8" t="str">
        <f aca="false">IF($G1749="","Unmatched","Matched")</f>
        <v>Unmatched</v>
      </c>
    </row>
    <row r="1750" customFormat="false" ht="15" hidden="false" customHeight="false" outlineLevel="0" collapsed="false">
      <c r="A1750" s="8" t="s">
        <v>857</v>
      </c>
      <c r="B1750" s="8" t="s">
        <v>114</v>
      </c>
      <c r="C1750" s="19" t="n">
        <v>48</v>
      </c>
      <c r="D1750" s="19" t="n">
        <v>2880</v>
      </c>
      <c r="E1750" s="19" t="n">
        <v>0</v>
      </c>
      <c r="F1750" s="19" t="n">
        <v>0</v>
      </c>
      <c r="G1750" s="8" t="n">
        <f aca="false">IFERROR(INDEX('TRANS'!$B:$B,MATCH($B1750,'TRANS'!$A:$A,0)),IFERROR(INDEX('TRANS'!$B:$B,MATCH(TRIM(SUBSTITUTE($B1750,CHAR(160)," ")),'TRANS'!$D:$D,0)),IFERROR(INDEX('Catalog'!$A:$A,MATCH($B1750,'Catalog'!$B:$B,0)),IFERROR(INDEX('Catalog'!$A:$A,MATCH(TRIM(SUBSTITUTE($B1750,CHAR(160)," ")),'Catalog'!$C:$C,0)),""))))</f>
        <v>4413348</v>
      </c>
      <c r="H1750" s="8" t="str">
        <f aca="false">IFERROR(INDEX('TRANS'!$C:$C,MATCH($B1750,'TRANS'!$A:$A,0)),IFERROR(INDEX('Catalog'!$B:$B,MATCH($G1750,'Catalog'!$A:$A,0)),$B1750))</f>
        <v>302 מדרס ג'ל לגבר</v>
      </c>
      <c r="I1750" s="8" t="str">
        <f aca="false">IF($G1750="","Unmatched","Matched")</f>
        <v>Matched</v>
      </c>
    </row>
    <row r="1751" customFormat="false" ht="15" hidden="false" customHeight="false" outlineLevel="0" collapsed="false">
      <c r="A1751" s="8" t="s">
        <v>857</v>
      </c>
      <c r="B1751" s="8" t="s">
        <v>115</v>
      </c>
      <c r="C1751" s="19" t="n">
        <v>40</v>
      </c>
      <c r="D1751" s="19" t="n">
        <v>2400</v>
      </c>
      <c r="E1751" s="19" t="n">
        <v>0</v>
      </c>
      <c r="F1751" s="19" t="n">
        <v>0</v>
      </c>
      <c r="G1751" s="8" t="n">
        <f aca="false">IFERROR(INDEX('TRANS'!$B:$B,MATCH($B1751,'TRANS'!$A:$A,0)),IFERROR(INDEX('TRANS'!$B:$B,MATCH(TRIM(SUBSTITUTE($B1751,CHAR(160)," ")),'TRANS'!$D:$D,0)),IFERROR(INDEX('Catalog'!$A:$A,MATCH($B1751,'Catalog'!$B:$B,0)),IFERROR(INDEX('Catalog'!$A:$A,MATCH(TRIM(SUBSTITUTE($B1751,CHAR(160)," ")),'Catalog'!$C:$C,0)),""))))</f>
        <v>4413372</v>
      </c>
      <c r="H1751" s="8" t="str">
        <f aca="false">IFERROR(INDEX('TRANS'!$C:$C,MATCH($B1751,'TRANS'!$A:$A,0)),IFERROR(INDEX('Catalog'!$B:$B,MATCH($G1751,'Catalog'!$A:$A,0)),$B1751))</f>
        <v>302 W מדרס לאישה</v>
      </c>
      <c r="I1751" s="8" t="str">
        <f aca="false">IF($G1751="","Unmatched","Matched")</f>
        <v>Matched</v>
      </c>
    </row>
    <row r="1752" customFormat="false" ht="15" hidden="false" customHeight="false" outlineLevel="0" collapsed="false">
      <c r="A1752" s="8" t="s">
        <v>857</v>
      </c>
      <c r="B1752" s="8" t="s">
        <v>124</v>
      </c>
      <c r="C1752" s="19" t="n">
        <v>14</v>
      </c>
      <c r="D1752" s="19" t="n">
        <v>226.59</v>
      </c>
      <c r="E1752" s="19" t="n">
        <v>0</v>
      </c>
      <c r="F1752" s="19" t="n">
        <v>0</v>
      </c>
      <c r="G1752" s="8" t="n">
        <f aca="false">IFERROR(INDEX('TRANS'!$B:$B,MATCH($B1752,'TRANS'!$A:$A,0)),IFERROR(INDEX('TRANS'!$B:$B,MATCH(TRIM(SUBSTITUTE($B1752,CHAR(160)," ")),'TRANS'!$D:$D,0)),IFERROR(INDEX('Catalog'!$A:$A,MATCH($B1752,'Catalog'!$B:$B,0)),IFERROR(INDEX('Catalog'!$A:$A,MATCH(TRIM(SUBSTITUTE($B1752,CHAR(160)," ")),'Catalog'!$C:$C,0)),""))))</f>
        <v>4413033</v>
      </c>
      <c r="H1752" s="8" t="str">
        <f aca="false">IFERROR(INDEX('TRANS'!$C:$C,MATCH($B1752,'TRANS'!$A:$A,0)),IFERROR(INDEX('Catalog'!$B:$B,MATCH($G1752,'Catalog'!$A:$A,0)),$B1752))</f>
        <v>311'מדב.ג'ל למניעת שפשוף 5 יח</v>
      </c>
      <c r="I1752" s="8" t="str">
        <f aca="false">IF($G1752="","Unmatched","Matched")</f>
        <v>Matched</v>
      </c>
    </row>
    <row r="1753" customFormat="false" ht="15" hidden="false" customHeight="false" outlineLevel="0" collapsed="false">
      <c r="A1753" s="8" t="s">
        <v>857</v>
      </c>
      <c r="B1753" s="8" t="s">
        <v>126</v>
      </c>
      <c r="C1753" s="19" t="n">
        <v>14</v>
      </c>
      <c r="D1753" s="19" t="n">
        <v>331.84</v>
      </c>
      <c r="E1753" s="19" t="n">
        <v>0</v>
      </c>
      <c r="F1753" s="19" t="n">
        <v>0</v>
      </c>
      <c r="G1753" s="8" t="n">
        <f aca="false">IFERROR(INDEX('TRANS'!$B:$B,MATCH($B1753,'TRANS'!$A:$A,0)),IFERROR(INDEX('TRANS'!$B:$B,MATCH(TRIM(SUBSTITUTE($B1753,CHAR(160)," ")),'TRANS'!$D:$D,0)),IFERROR(INDEX('Catalog'!$A:$A,MATCH($B1753,'Catalog'!$B:$B,0)),IFERROR(INDEX('Catalog'!$A:$A,MATCH(TRIM(SUBSTITUTE($B1753,CHAR(160)," ")),'Catalog'!$C:$C,0)),""))))</f>
        <v>4415297</v>
      </c>
      <c r="H1753" s="8" t="str">
        <f aca="false">IFERROR(INDEX('TRANS'!$C:$C,MATCH($B1753,'TRANS'!$A:$A,0)),IFERROR(INDEX('Catalog'!$B:$B,MATCH($G1753,'Catalog'!$A:$A,0)),$B1753))</f>
        <v>313 סט פלסטרים נגד שפשופים</v>
      </c>
      <c r="I1753" s="8" t="str">
        <f aca="false">IF($G1753="","Unmatched","Matched")</f>
        <v>Matched</v>
      </c>
    </row>
    <row r="1754" customFormat="false" ht="15" hidden="false" customHeight="false" outlineLevel="0" collapsed="false">
      <c r="A1754" s="8" t="s">
        <v>857</v>
      </c>
      <c r="B1754" s="8" t="s">
        <v>128</v>
      </c>
      <c r="C1754" s="19" t="n">
        <v>14</v>
      </c>
      <c r="D1754" s="19" t="n">
        <v>268.75</v>
      </c>
      <c r="E1754" s="19" t="n">
        <v>0</v>
      </c>
      <c r="F1754" s="19" t="n">
        <v>0</v>
      </c>
      <c r="G1754" s="8" t="n">
        <f aca="false">IFERROR(INDEX('TRANS'!$B:$B,MATCH($B1754,'TRANS'!$A:$A,0)),IFERROR(INDEX('TRANS'!$B:$B,MATCH(TRIM(SUBSTITUTE($B1754,CHAR(160)," ")),'TRANS'!$D:$D,0)),IFERROR(INDEX('Catalog'!$A:$A,MATCH($B1754,'Catalog'!$B:$B,0)),IFERROR(INDEX('Catalog'!$A:$A,MATCH(TRIM(SUBSTITUTE($B1754,CHAR(160)," ")),'Catalog'!$C:$C,0)),""))))</f>
        <v>4402007</v>
      </c>
      <c r="H1754" s="8" t="str">
        <f aca="false">IFERROR(INDEX('TRANS'!$C:$C,MATCH($B1754,'TRANS'!$A:$A,0)),IFERROR(INDEX('Catalog'!$B:$B,MATCH($G1754,'Catalog'!$A:$A,0)),$B1754))</f>
        <v>320 בליסטר פלסטר</v>
      </c>
      <c r="I1754" s="8" t="str">
        <f aca="false">IF($G1754="","Unmatched","Matched")</f>
        <v>Matched</v>
      </c>
    </row>
    <row r="1755" customFormat="false" ht="15" hidden="false" customHeight="false" outlineLevel="0" collapsed="false">
      <c r="A1755" s="8" t="s">
        <v>857</v>
      </c>
      <c r="B1755" s="8" t="s">
        <v>147</v>
      </c>
      <c r="C1755" s="19" t="n">
        <v>14</v>
      </c>
      <c r="D1755" s="19" t="n">
        <v>845.38</v>
      </c>
      <c r="E1755" s="19" t="n">
        <v>0</v>
      </c>
      <c r="F1755" s="19" t="n">
        <v>0</v>
      </c>
      <c r="G1755" s="8" t="n">
        <f aca="false">IFERROR(INDEX('TRANS'!$B:$B,MATCH($B1755,'TRANS'!$A:$A,0)),IFERROR(INDEX('TRANS'!$B:$B,MATCH(TRIM(SUBSTITUTE($B1755,CHAR(160)," ")),'TRANS'!$D:$D,0)),IFERROR(INDEX('Catalog'!$A:$A,MATCH($B1755,'Catalog'!$B:$B,0)),IFERROR(INDEX('Catalog'!$A:$A,MATCH(TRIM(SUBSTITUTE($B1755,CHAR(160)," ")),'Catalog'!$C:$C,0)),""))))</f>
        <v>4421001</v>
      </c>
      <c r="H1755" s="8" t="str">
        <f aca="false">IFERROR(INDEX('TRANS'!$C:$C,MATCH($B1755,'TRANS'!$A:$A,0)),IFERROR(INDEX('Catalog'!$B:$B,MATCH($G1755,'Catalog'!$A:$A,0)),$B1755))</f>
        <v>3611 שרוול מטטרזלי מסיליקון</v>
      </c>
      <c r="I1755" s="8" t="str">
        <f aca="false">IF($G1755="","Unmatched","Matched")</f>
        <v>Matched</v>
      </c>
    </row>
    <row r="1756" customFormat="false" ht="15" hidden="false" customHeight="false" outlineLevel="0" collapsed="false">
      <c r="A1756" s="8" t="s">
        <v>857</v>
      </c>
      <c r="B1756" s="8" t="s">
        <v>152</v>
      </c>
      <c r="C1756" s="19" t="n">
        <v>14</v>
      </c>
      <c r="D1756" s="19" t="n">
        <v>199.99</v>
      </c>
      <c r="E1756" s="19" t="n">
        <v>0</v>
      </c>
      <c r="F1756" s="19" t="n">
        <v>0</v>
      </c>
      <c r="G1756" s="8" t="n">
        <f aca="false">IFERROR(INDEX('TRANS'!$B:$B,MATCH($B1756,'TRANS'!$A:$A,0)),IFERROR(INDEX('TRANS'!$B:$B,MATCH(TRIM(SUBSTITUTE($B1756,CHAR(160)," ")),'TRANS'!$D:$D,0)),IFERROR(INDEX('Catalog'!$A:$A,MATCH($B1756,'Catalog'!$B:$B,0)),IFERROR(INDEX('Catalog'!$A:$A,MATCH(TRIM(SUBSTITUTE($B1756,CHAR(160)," ")),'Catalog'!$C:$C,0)),""))))</f>
        <v>4413059</v>
      </c>
      <c r="H1756" s="8" t="str">
        <f aca="false">IFERROR(INDEX('TRANS'!$C:$C,MATCH($B1756,'TRANS'!$A:$A,0)),IFERROR(INDEX('Catalog'!$B:$B,MATCH($G1756,'Catalog'!$A:$A,0)),$B1756))</f>
        <v>364S Lמפר.אצבע סיליק. ליבל.זוג</v>
      </c>
      <c r="I1756" s="8" t="str">
        <f aca="false">IF($G1756="","Unmatched","Matched")</f>
        <v>Matched</v>
      </c>
    </row>
    <row r="1757" customFormat="false" ht="15" hidden="false" customHeight="false" outlineLevel="0" collapsed="false">
      <c r="A1757" s="8" t="s">
        <v>857</v>
      </c>
      <c r="B1757" s="8" t="s">
        <v>153</v>
      </c>
      <c r="C1757" s="19" t="n">
        <v>14</v>
      </c>
      <c r="D1757" s="19" t="n">
        <v>199.99</v>
      </c>
      <c r="E1757" s="19" t="n">
        <v>0</v>
      </c>
      <c r="F1757" s="19" t="n">
        <v>0</v>
      </c>
      <c r="G1757" s="8" t="n">
        <f aca="false">IFERROR(INDEX('TRANS'!$B:$B,MATCH($B1757,'TRANS'!$A:$A,0)),IFERROR(INDEX('TRANS'!$B:$B,MATCH(TRIM(SUBSTITUTE($B1757,CHAR(160)," ")),'TRANS'!$D:$D,0)),IFERROR(INDEX('Catalog'!$A:$A,MATCH($B1757,'Catalog'!$B:$B,0)),IFERROR(INDEX('Catalog'!$A:$A,MATCH(TRIM(SUBSTITUTE($B1757,CHAR(160)," ")),'Catalog'!$C:$C,0)),""))))</f>
        <v>4413060</v>
      </c>
      <c r="H1757" s="8" t="str">
        <f aca="false">IFERROR(INDEX('TRANS'!$C:$C,MATCH($B1757,'TRANS'!$A:$A,0)),IFERROR(INDEX('Catalog'!$B:$B,MATCH($G1757,'Catalog'!$A:$A,0)),$B1757))</f>
        <v>364 XLמפריד אצבע סיליקון ליבלת</v>
      </c>
      <c r="I1757" s="8" t="str">
        <f aca="false">IF($G1757="","Unmatched","Matched")</f>
        <v>Matched</v>
      </c>
    </row>
    <row r="1758" customFormat="false" ht="15" hidden="false" customHeight="false" outlineLevel="0" collapsed="false">
      <c r="A1758" s="8" t="s">
        <v>857</v>
      </c>
      <c r="B1758" s="8" t="s">
        <v>163</v>
      </c>
      <c r="C1758" s="19" t="n">
        <v>14</v>
      </c>
      <c r="D1758" s="19" t="n">
        <v>331.84</v>
      </c>
      <c r="E1758" s="19" t="n">
        <v>0</v>
      </c>
      <c r="F1758" s="19" t="n">
        <v>0</v>
      </c>
      <c r="G1758" s="8" t="n">
        <f aca="false">IFERROR(INDEX('TRANS'!$B:$B,MATCH($B1758,'TRANS'!$A:$A,0)),IFERROR(INDEX('TRANS'!$B:$B,MATCH(TRIM(SUBSTITUTE($B1758,CHAR(160)," ")),'TRANS'!$D:$D,0)),IFERROR(INDEX('Catalog'!$A:$A,MATCH($B1758,'Catalog'!$B:$B,0)),IFERROR(INDEX('Catalog'!$A:$A,MATCH(TRIM(SUBSTITUTE($B1758,CHAR(160)," ")),'Catalog'!$C:$C,0)),""))))</f>
        <v>4401000</v>
      </c>
      <c r="H1758" s="8" t="str">
        <f aca="false">IFERROR(INDEX('TRANS'!$C:$C,MATCH($B1758,'TRANS'!$A:$A,0)),IFERROR(INDEX('Catalog'!$B:$B,MATCH($G1758,'Catalog'!$A:$A,0)),$B1758))</f>
        <v>369  S-L אצבעון מסיליקון יחידה</v>
      </c>
      <c r="I1758" s="8" t="str">
        <f aca="false">IF($G1758="","Unmatched","Matched")</f>
        <v>Matched</v>
      </c>
    </row>
    <row r="1759" customFormat="false" ht="15" hidden="false" customHeight="false" outlineLevel="0" collapsed="false">
      <c r="A1759" s="8" t="s">
        <v>857</v>
      </c>
      <c r="B1759" s="8" t="s">
        <v>164</v>
      </c>
      <c r="C1759" s="19" t="n">
        <v>14</v>
      </c>
      <c r="D1759" s="19" t="n">
        <v>364.78</v>
      </c>
      <c r="E1759" s="19" t="n">
        <v>0</v>
      </c>
      <c r="F1759" s="19" t="n">
        <v>0</v>
      </c>
      <c r="G1759" s="8" t="n">
        <f aca="false">IFERROR(INDEX('TRANS'!$B:$B,MATCH($B1759,'TRANS'!$A:$A,0)),IFERROR(INDEX('TRANS'!$B:$B,MATCH(TRIM(SUBSTITUTE($B1759,CHAR(160)," ")),'TRANS'!$D:$D,0)),IFERROR(INDEX('Catalog'!$A:$A,MATCH($B1759,'Catalog'!$B:$B,0)),IFERROR(INDEX('Catalog'!$A:$A,MATCH(TRIM(SUBSTITUTE($B1759,CHAR(160)," ")),'Catalog'!$C:$C,0)),""))))</f>
        <v>4401001</v>
      </c>
      <c r="H1759" s="8" t="str">
        <f aca="false">IFERROR(INDEX('TRANS'!$C:$C,MATCH($B1759,'TRANS'!$A:$A,0)),IFERROR(INDEX('Catalog'!$B:$B,MATCH($G1759,'Catalog'!$A:$A,0)),$B1759))</f>
        <v>369   XL אצבעון מסיליקון יחידה</v>
      </c>
      <c r="I1759" s="8" t="str">
        <f aca="false">IF($G1759="","Unmatched","Matched")</f>
        <v>Matched</v>
      </c>
    </row>
    <row r="1760" customFormat="false" ht="15" hidden="false" customHeight="false" outlineLevel="0" collapsed="false">
      <c r="A1760" s="8" t="s">
        <v>857</v>
      </c>
      <c r="B1760" s="8" t="s">
        <v>165</v>
      </c>
      <c r="C1760" s="19" t="n">
        <v>6</v>
      </c>
      <c r="D1760" s="19" t="n">
        <v>78.48</v>
      </c>
      <c r="E1760" s="19" t="n">
        <v>0</v>
      </c>
      <c r="F1760" s="19" t="n">
        <v>0</v>
      </c>
      <c r="G1760" s="8" t="n">
        <f aca="false">IFERROR(INDEX('TRANS'!$B:$B,MATCH($B1760,'TRANS'!$A:$A,0)),IFERROR(INDEX('TRANS'!$B:$B,MATCH(TRIM(SUBSTITUTE($B1760,CHAR(160)," ")),'TRANS'!$D:$D,0)),IFERROR(INDEX('Catalog'!$A:$A,MATCH($B1760,'Catalog'!$B:$B,0)),IFERROR(INDEX('Catalog'!$A:$A,MATCH(TRIM(SUBSTITUTE($B1760,CHAR(160)," ")),'Catalog'!$C:$C,0)),""))))</f>
        <v>4420000</v>
      </c>
      <c r="H1760" s="8" t="str">
        <f aca="false">IFERROR(INDEX('TRANS'!$C:$C,MATCH($B1760,'TRANS'!$A:$A,0)),IFERROR(INDEX('Catalog'!$B:$B,MATCH($G1760,'Catalog'!$A:$A,0)),$B1760))</f>
        <v>370  רפידת נוחות-זוג</v>
      </c>
      <c r="I1760" s="8" t="str">
        <f aca="false">IF($G1760="","Unmatched","Matched")</f>
        <v>Matched</v>
      </c>
    </row>
    <row r="1761" customFormat="false" ht="15" hidden="false" customHeight="false" outlineLevel="0" collapsed="false">
      <c r="A1761" s="8" t="s">
        <v>857</v>
      </c>
      <c r="B1761" s="8" t="s">
        <v>168</v>
      </c>
      <c r="C1761" s="19" t="n">
        <v>6</v>
      </c>
      <c r="D1761" s="19" t="n">
        <v>92.52</v>
      </c>
      <c r="E1761" s="19" t="n">
        <v>0</v>
      </c>
      <c r="F1761" s="19" t="n">
        <v>0</v>
      </c>
      <c r="G1761" s="8" t="n">
        <f aca="false">IFERROR(INDEX('TRANS'!$B:$B,MATCH($B1761,'TRANS'!$A:$A,0)),IFERROR(INDEX('TRANS'!$B:$B,MATCH(TRIM(SUBSTITUTE($B1761,CHAR(160)," ")),'TRANS'!$D:$D,0)),IFERROR(INDEX('Catalog'!$A:$A,MATCH($B1761,'Catalog'!$B:$B,0)),IFERROR(INDEX('Catalog'!$A:$A,MATCH(TRIM(SUBSTITUTE($B1761,CHAR(160)," ")),'Catalog'!$C:$C,0)),""))))</f>
        <v>4420002</v>
      </c>
      <c r="H1761" s="8" t="str">
        <f aca="false">IFERROR(INDEX('TRANS'!$C:$C,MATCH($B1761,'TRANS'!$A:$A,0)),IFERROR(INDEX('Catalog'!$B:$B,MATCH($G1761,'Catalog'!$A:$A,0)),$B1761))</f>
        <v>372 רפידת אנטי ריח -זוג</v>
      </c>
      <c r="I1761" s="8" t="str">
        <f aca="false">IF($G1761="","Unmatched","Matched")</f>
        <v>Matched</v>
      </c>
    </row>
    <row r="1762" customFormat="false" ht="15" hidden="false" customHeight="false" outlineLevel="0" collapsed="false">
      <c r="A1762" s="8" t="s">
        <v>857</v>
      </c>
      <c r="B1762" s="8" t="s">
        <v>169</v>
      </c>
      <c r="C1762" s="19" t="n">
        <v>6</v>
      </c>
      <c r="D1762" s="19" t="n">
        <v>92.52</v>
      </c>
      <c r="E1762" s="19" t="n">
        <v>0</v>
      </c>
      <c r="F1762" s="19" t="n">
        <v>0</v>
      </c>
      <c r="G1762" s="8" t="n">
        <f aca="false">IFERROR(INDEX('TRANS'!$B:$B,MATCH($B1762,'TRANS'!$A:$A,0)),IFERROR(INDEX('TRANS'!$B:$B,MATCH(TRIM(SUBSTITUTE($B1762,CHAR(160)," ")),'TRANS'!$D:$D,0)),IFERROR(INDEX('Catalog'!$A:$A,MATCH($B1762,'Catalog'!$B:$B,0)),IFERROR(INDEX('Catalog'!$A:$A,MATCH(TRIM(SUBSTITUTE($B1762,CHAR(160)," ")),'Catalog'!$C:$C,0)),""))))</f>
        <v>4420003</v>
      </c>
      <c r="H1762" s="8" t="str">
        <f aca="false">IFERROR(INDEX('TRANS'!$C:$C,MATCH($B1762,'TRANS'!$A:$A,0)),IFERROR(INDEX('Catalog'!$B:$B,MATCH($G1762,'Catalog'!$A:$A,0)),$B1762))</f>
        <v>374 רפידת בולמת זעזועים -זוג</v>
      </c>
      <c r="I1762" s="8" t="str">
        <f aca="false">IF($G1762="","Unmatched","Matched")</f>
        <v>Matched</v>
      </c>
    </row>
    <row r="1763" customFormat="false" ht="15" hidden="false" customHeight="false" outlineLevel="0" collapsed="false">
      <c r="A1763" s="8" t="s">
        <v>857</v>
      </c>
      <c r="B1763" s="8" t="s">
        <v>181</v>
      </c>
      <c r="C1763" s="19" t="n">
        <v>10</v>
      </c>
      <c r="D1763" s="19" t="n">
        <v>270</v>
      </c>
      <c r="E1763" s="19" t="n">
        <v>0</v>
      </c>
      <c r="F1763" s="19" t="n">
        <v>0</v>
      </c>
      <c r="G1763" s="8" t="n">
        <f aca="false">IFERROR(INDEX('TRANS'!$B:$B,MATCH($B1763,'TRANS'!$A:$A,0)),IFERROR(INDEX('TRANS'!$B:$B,MATCH(TRIM(SUBSTITUTE($B1763,CHAR(160)," ")),'TRANS'!$D:$D,0)),IFERROR(INDEX('Catalog'!$A:$A,MATCH($B1763,'Catalog'!$B:$B,0)),IFERROR(INDEX('Catalog'!$A:$A,MATCH(TRIM(SUBSTITUTE($B1763,CHAR(160)," ")),'Catalog'!$C:$C,0)),""))))</f>
        <v>4403001</v>
      </c>
      <c r="H1763" s="8" t="str">
        <f aca="false">IFERROR(INDEX('TRANS'!$C:$C,MATCH($B1763,'TRANS'!$A:$A,0)),IFERROR(INDEX('Catalog'!$B:$B,MATCH($G1763,'Catalog'!$A:$A,0)),$B1763))</f>
        <v>390B 39-42.גרב.כסף לסכרתיים שח</v>
      </c>
      <c r="I1763" s="8" t="str">
        <f aca="false">IF($G1763="","Unmatched","Matched")</f>
        <v>Matched</v>
      </c>
    </row>
    <row r="1764" customFormat="false" ht="15" hidden="false" customHeight="false" outlineLevel="0" collapsed="false">
      <c r="A1764" s="8" t="s">
        <v>857</v>
      </c>
      <c r="B1764" s="8" t="s">
        <v>182</v>
      </c>
      <c r="C1764" s="19" t="n">
        <v>10</v>
      </c>
      <c r="D1764" s="19" t="n">
        <v>270</v>
      </c>
      <c r="E1764" s="19" t="n">
        <v>0</v>
      </c>
      <c r="F1764" s="19" t="n">
        <v>0</v>
      </c>
      <c r="G1764" s="8" t="n">
        <f aca="false">IFERROR(INDEX('TRANS'!$B:$B,MATCH($B1764,'TRANS'!$A:$A,0)),IFERROR(INDEX('TRANS'!$B:$B,MATCH(TRIM(SUBSTITUTE($B1764,CHAR(160)," ")),'TRANS'!$D:$D,0)),IFERROR(INDEX('Catalog'!$A:$A,MATCH($B1764,'Catalog'!$B:$B,0)),IFERROR(INDEX('Catalog'!$A:$A,MATCH(TRIM(SUBSTITUTE($B1764,CHAR(160)," ")),'Catalog'!$C:$C,0)),""))))</f>
        <v>4403002</v>
      </c>
      <c r="H1764" s="8" t="str">
        <f aca="false">IFERROR(INDEX('TRANS'!$C:$C,MATCH($B1764,'TRANS'!$A:$A,0)),IFERROR(INDEX('Catalog'!$B:$B,MATCH($G1764,'Catalog'!$A:$A,0)),$B1764))</f>
        <v>390B 43-46.גרב.כסף לסכרתיים שח</v>
      </c>
      <c r="I1764" s="8" t="str">
        <f aca="false">IF($G1764="","Unmatched","Matched")</f>
        <v>Matched</v>
      </c>
    </row>
    <row r="1765" customFormat="false" ht="15" hidden="false" customHeight="false" outlineLevel="0" collapsed="false">
      <c r="A1765" s="8" t="s">
        <v>857</v>
      </c>
      <c r="B1765" s="8" t="s">
        <v>184</v>
      </c>
      <c r="C1765" s="19" t="n">
        <v>10</v>
      </c>
      <c r="D1765" s="19" t="n">
        <v>270</v>
      </c>
      <c r="E1765" s="19" t="n">
        <v>0</v>
      </c>
      <c r="F1765" s="19" t="n">
        <v>0</v>
      </c>
      <c r="G1765" s="8" t="str">
        <f aca="false">IFERROR(INDEX('TRANS'!$B:$B,MATCH($B1765,'TRANS'!$A:$A,0)),IFERROR(INDEX('TRANS'!$B:$B,MATCH(TRIM(SUBSTITUTE($B1765,CHAR(160)," ")),'TRANS'!$D:$D,0)),IFERROR(INDEX('Catalog'!$A:$A,MATCH($B1765,'Catalog'!$B:$B,0)),IFERROR(INDEX('Catalog'!$A:$A,MATCH(TRIM(SUBSTITUTE($B1765,CHAR(160)," ")),'Catalog'!$C:$C,0)),""))))</f>
        <v/>
      </c>
      <c r="H1765" s="8" t="str">
        <f aca="false">IFERROR(INDEX('TRANS'!$C:$C,MATCH($B1765,'TRANS'!$A:$A,0)),IFERROR(INDEX('Catalog'!$B:$B,MATCH($G1765,'Catalog'!$A:$A,0)),$B1765))</f>
        <v>390G-39-42</v>
      </c>
      <c r="I1765" s="8" t="str">
        <f aca="false">IF($G1765="","Unmatched","Matched")</f>
        <v>Unmatched</v>
      </c>
    </row>
    <row r="1766" customFormat="false" ht="15" hidden="false" customHeight="false" outlineLevel="0" collapsed="false">
      <c r="A1766" s="8" t="s">
        <v>857</v>
      </c>
      <c r="B1766" s="8" t="s">
        <v>185</v>
      </c>
      <c r="C1766" s="19" t="n">
        <v>10</v>
      </c>
      <c r="D1766" s="19" t="n">
        <v>270</v>
      </c>
      <c r="E1766" s="19" t="n">
        <v>0</v>
      </c>
      <c r="F1766" s="19" t="n">
        <v>0</v>
      </c>
      <c r="G1766" s="8" t="n">
        <f aca="false">IFERROR(INDEX('TRANS'!$B:$B,MATCH($B1766,'TRANS'!$A:$A,0)),IFERROR(INDEX('TRANS'!$B:$B,MATCH(TRIM(SUBSTITUTE($B1766,CHAR(160)," ")),'TRANS'!$D:$D,0)),IFERROR(INDEX('Catalog'!$A:$A,MATCH($B1766,'Catalog'!$B:$B,0)),IFERROR(INDEX('Catalog'!$A:$A,MATCH(TRIM(SUBSTITUTE($B1766,CHAR(160)," ")),'Catalog'!$C:$C,0)),""))))</f>
        <v>4403005</v>
      </c>
      <c r="H1766" s="8" t="str">
        <f aca="false">IFERROR(INDEX('TRANS'!$C:$C,MATCH($B1766,'TRANS'!$A:$A,0)),IFERROR(INDEX('Catalog'!$B:$B,MATCH($G1766,'Catalog'!$A:$A,0)),$B1766))</f>
        <v>G390.43-46 גרבי כסף לסכרת מידה</v>
      </c>
      <c r="I1766" s="8" t="str">
        <f aca="false">IF($G1766="","Unmatched","Matched")</f>
        <v>Matched</v>
      </c>
    </row>
    <row r="1767" customFormat="false" ht="15" hidden="false" customHeight="false" outlineLevel="0" collapsed="false">
      <c r="A1767" s="8" t="s">
        <v>857</v>
      </c>
      <c r="B1767" s="8" t="s">
        <v>680</v>
      </c>
      <c r="C1767" s="19" t="n">
        <v>50</v>
      </c>
      <c r="D1767" s="19" t="n">
        <v>850</v>
      </c>
      <c r="E1767" s="19" t="n">
        <v>0</v>
      </c>
      <c r="F1767" s="19" t="n">
        <v>0</v>
      </c>
      <c r="G1767" s="8" t="str">
        <f aca="false">IFERROR(INDEX('TRANS'!$B:$B,MATCH($B1767,'TRANS'!$A:$A,0)),IFERROR(INDEX('TRANS'!$B:$B,MATCH(TRIM(SUBSTITUTE($B1767,CHAR(160)," ")),'TRANS'!$D:$D,0)),IFERROR(INDEX('Catalog'!$A:$A,MATCH($B1767,'Catalog'!$B:$B,0)),IFERROR(INDEX('Catalog'!$A:$A,MATCH(TRIM(SUBSTITUTE($B1767,CHAR(160)," ")),'Catalog'!$C:$C,0)),""))))</f>
        <v/>
      </c>
      <c r="H1767" s="8" t="str">
        <f aca="false">IFERROR(INDEX('TRANS'!$C:$C,MATCH($B1767,'TRANS'!$A:$A,0)),IFERROR(INDEX('Catalog'!$B:$B,MATCH($G1767,'Catalog'!$A:$A,0)),$B1767))</f>
        <v>392B-35-38</v>
      </c>
      <c r="I1767" s="8" t="str">
        <f aca="false">IF($G1767="","Unmatched","Matched")</f>
        <v>Unmatched</v>
      </c>
    </row>
    <row r="1768" customFormat="false" ht="15" hidden="false" customHeight="false" outlineLevel="0" collapsed="false">
      <c r="A1768" s="8" t="s">
        <v>857</v>
      </c>
      <c r="B1768" s="8" t="s">
        <v>681</v>
      </c>
      <c r="C1768" s="19" t="n">
        <v>57</v>
      </c>
      <c r="D1768" s="19" t="n">
        <v>952.01</v>
      </c>
      <c r="E1768" s="19" t="n">
        <v>0</v>
      </c>
      <c r="F1768" s="19" t="n">
        <v>0</v>
      </c>
      <c r="G1768" s="8" t="str">
        <f aca="false">IFERROR(INDEX('TRANS'!$B:$B,MATCH($B1768,'TRANS'!$A:$A,0)),IFERROR(INDEX('TRANS'!$B:$B,MATCH(TRIM(SUBSTITUTE($B1768,CHAR(160)," ")),'TRANS'!$D:$D,0)),IFERROR(INDEX('Catalog'!$A:$A,MATCH($B1768,'Catalog'!$B:$B,0)),IFERROR(INDEX('Catalog'!$A:$A,MATCH(TRIM(SUBSTITUTE($B1768,CHAR(160)," ")),'Catalog'!$C:$C,0)),""))))</f>
        <v/>
      </c>
      <c r="H1768" s="8" t="str">
        <f aca="false">IFERROR(INDEX('TRANS'!$C:$C,MATCH($B1768,'TRANS'!$A:$A,0)),IFERROR(INDEX('Catalog'!$B:$B,MATCH($G1768,'Catalog'!$A:$A,0)),$B1768))</f>
        <v>392B-39-42</v>
      </c>
      <c r="I1768" s="8" t="str">
        <f aca="false">IF($G1768="","Unmatched","Matched")</f>
        <v>Unmatched</v>
      </c>
    </row>
    <row r="1769" customFormat="false" ht="15" hidden="false" customHeight="false" outlineLevel="0" collapsed="false">
      <c r="A1769" s="8" t="s">
        <v>857</v>
      </c>
      <c r="B1769" s="8" t="s">
        <v>858</v>
      </c>
      <c r="C1769" s="19" t="n">
        <v>34</v>
      </c>
      <c r="D1769" s="19" t="n">
        <v>578</v>
      </c>
      <c r="E1769" s="19" t="n">
        <v>0</v>
      </c>
      <c r="F1769" s="19" t="n">
        <v>0</v>
      </c>
      <c r="G1769" s="8" t="str">
        <f aca="false">IFERROR(INDEX('TRANS'!$B:$B,MATCH($B1769,'TRANS'!$A:$A,0)),IFERROR(INDEX('TRANS'!$B:$B,MATCH(TRIM(SUBSTITUTE($B1769,CHAR(160)," ")),'TRANS'!$D:$D,0)),IFERROR(INDEX('Catalog'!$A:$A,MATCH($B1769,'Catalog'!$B:$B,0)),IFERROR(INDEX('Catalog'!$A:$A,MATCH(TRIM(SUBSTITUTE($B1769,CHAR(160)," ")),'Catalog'!$C:$C,0)),""))))</f>
        <v/>
      </c>
      <c r="H1769" s="8" t="str">
        <f aca="false">IFERROR(INDEX('TRANS'!$C:$C,MATCH($B1769,'TRANS'!$A:$A,0)),IFERROR(INDEX('Catalog'!$B:$B,MATCH($G1769,'Catalog'!$A:$A,0)),$B1769))</f>
        <v>392B-43-46</v>
      </c>
      <c r="I1769" s="8" t="str">
        <f aca="false">IF($G1769="","Unmatched","Matched")</f>
        <v>Unmatched</v>
      </c>
    </row>
    <row r="1770" customFormat="false" ht="15" hidden="false" customHeight="false" outlineLevel="0" collapsed="false">
      <c r="A1770" s="8" t="s">
        <v>857</v>
      </c>
      <c r="B1770" s="8" t="s">
        <v>859</v>
      </c>
      <c r="C1770" s="19" t="n">
        <v>60</v>
      </c>
      <c r="D1770" s="19" t="n">
        <v>1020</v>
      </c>
      <c r="E1770" s="19" t="n">
        <v>0</v>
      </c>
      <c r="F1770" s="19" t="n">
        <v>0</v>
      </c>
      <c r="G1770" s="8" t="str">
        <f aca="false">IFERROR(INDEX('TRANS'!$B:$B,MATCH($B1770,'TRANS'!$A:$A,0)),IFERROR(INDEX('TRANS'!$B:$B,MATCH(TRIM(SUBSTITUTE($B1770,CHAR(160)," ")),'TRANS'!$D:$D,0)),IFERROR(INDEX('Catalog'!$A:$A,MATCH($B1770,'Catalog'!$B:$B,0)),IFERROR(INDEX('Catalog'!$A:$A,MATCH(TRIM(SUBSTITUTE($B1770,CHAR(160)," ")),'Catalog'!$C:$C,0)),""))))</f>
        <v/>
      </c>
      <c r="H1770" s="8" t="str">
        <f aca="false">IFERROR(INDEX('TRANS'!$C:$C,MATCH($B1770,'TRANS'!$A:$A,0)),IFERROR(INDEX('Catalog'!$B:$B,MATCH($G1770,'Catalog'!$A:$A,0)),$B1770))</f>
        <v>392G-43-46</v>
      </c>
      <c r="I1770" s="8" t="str">
        <f aca="false">IF($G1770="","Unmatched","Matched")</f>
        <v>Unmatched</v>
      </c>
    </row>
    <row r="1771" customFormat="false" ht="15" hidden="false" customHeight="false" outlineLevel="0" collapsed="false">
      <c r="A1771" s="8" t="s">
        <v>857</v>
      </c>
      <c r="B1771" s="8" t="s">
        <v>860</v>
      </c>
      <c r="C1771" s="19" t="n">
        <v>179</v>
      </c>
      <c r="D1771" s="19" t="n">
        <v>1790</v>
      </c>
      <c r="E1771" s="19" t="n">
        <v>0</v>
      </c>
      <c r="F1771" s="19" t="n">
        <v>0</v>
      </c>
      <c r="G1771" s="8" t="str">
        <f aca="false">IFERROR(INDEX('TRANS'!$B:$B,MATCH($B1771,'TRANS'!$A:$A,0)),IFERROR(INDEX('TRANS'!$B:$B,MATCH(TRIM(SUBSTITUTE($B1771,CHAR(160)," ")),'TRANS'!$D:$D,0)),IFERROR(INDEX('Catalog'!$A:$A,MATCH($B1771,'Catalog'!$B:$B,0)),IFERROR(INDEX('Catalog'!$A:$A,MATCH(TRIM(SUBSTITUTE($B1771,CHAR(160)," ")),'Catalog'!$C:$C,0)),""))))</f>
        <v/>
      </c>
      <c r="H1771" s="8" t="str">
        <f aca="false">IFERROR(INDEX('TRANS'!$C:$C,MATCH($B1771,'TRANS'!$A:$A,0)),IFERROR(INDEX('Catalog'!$B:$B,MATCH($G1771,'Catalog'!$A:$A,0)),$B1771))</f>
        <v>396 0</v>
      </c>
      <c r="I1771" s="8" t="str">
        <f aca="false">IF($G1771="","Unmatched","Matched")</f>
        <v>Unmatched</v>
      </c>
    </row>
    <row r="1772" customFormat="false" ht="15" hidden="false" customHeight="false" outlineLevel="0" collapsed="false">
      <c r="A1772" s="8" t="s">
        <v>857</v>
      </c>
      <c r="B1772" s="8" t="s">
        <v>498</v>
      </c>
      <c r="C1772" s="19" t="n">
        <v>3</v>
      </c>
      <c r="D1772" s="19" t="n">
        <v>0.01</v>
      </c>
      <c r="E1772" s="19" t="n">
        <v>0</v>
      </c>
      <c r="F1772" s="19" t="n">
        <v>0</v>
      </c>
      <c r="G1772" s="8" t="str">
        <f aca="false">IFERROR(INDEX('TRANS'!$B:$B,MATCH($B1772,'TRANS'!$A:$A,0)),IFERROR(INDEX('TRANS'!$B:$B,MATCH(TRIM(SUBSTITUTE($B1772,CHAR(160)," ")),'TRANS'!$D:$D,0)),IFERROR(INDEX('Catalog'!$A:$A,MATCH($B1772,'Catalog'!$B:$B,0)),IFERROR(INDEX('Catalog'!$A:$A,MATCH(TRIM(SUBSTITUTE($B1772,CHAR(160)," ")),'Catalog'!$C:$C,0)),""))))</f>
        <v/>
      </c>
      <c r="H1772" s="8" t="str">
        <f aca="false">IFERROR(INDEX('TRANS'!$C:$C,MATCH($B1772,'TRANS'!$A:$A,0)),IFERROR(INDEX('Catalog'!$B:$B,MATCH($G1772,'Catalog'!$A:$A,0)),$B1772))</f>
        <v>67813000</v>
      </c>
      <c r="I1772" s="8" t="str">
        <f aca="false">IF($G1772="","Unmatched","Matched")</f>
        <v>Unmatched</v>
      </c>
    </row>
    <row r="1773" customFormat="false" ht="15" hidden="false" customHeight="false" outlineLevel="0" collapsed="false">
      <c r="A1773" s="8" t="s">
        <v>857</v>
      </c>
      <c r="B1773" s="8" t="s">
        <v>280</v>
      </c>
      <c r="C1773" s="19" t="n">
        <v>24</v>
      </c>
      <c r="D1773" s="19" t="n">
        <v>430.38</v>
      </c>
      <c r="E1773" s="19" t="n">
        <v>0</v>
      </c>
      <c r="F1773" s="19" t="n">
        <v>0</v>
      </c>
      <c r="G1773" s="8" t="n">
        <f aca="false">IFERROR(INDEX('TRANS'!$B:$B,MATCH($B1773,'TRANS'!$A:$A,0)),IFERROR(INDEX('TRANS'!$B:$B,MATCH(TRIM(SUBSTITUTE($B1773,CHAR(160)," ")),'TRANS'!$D:$D,0)),IFERROR(INDEX('Catalog'!$A:$A,MATCH($B1773,'Catalog'!$B:$B,0)),IFERROR(INDEX('Catalog'!$A:$A,MATCH(TRIM(SUBSTITUTE($B1773,CHAR(160)," ")),'Catalog'!$C:$C,0)),""))))</f>
        <v>4422035</v>
      </c>
      <c r="H1773" s="8" t="str">
        <f aca="false">IFERROR(INDEX('TRANS'!$C:$C,MATCH($B1773,'TRANS'!$A:$A,0)),IFERROR(INDEX('Catalog'!$B:$B,MATCH($G1773,'Catalog'!$A:$A,0)),$B1773))</f>
        <v>FCתרסיס דאודורנט אנטיבק.נעל333</v>
      </c>
      <c r="I1773" s="8" t="str">
        <f aca="false">IF($G1773="","Unmatched","Matched")</f>
        <v>Matched</v>
      </c>
    </row>
    <row r="1774" customFormat="false" ht="15" hidden="false" customHeight="false" outlineLevel="0" collapsed="false">
      <c r="A1774" s="8" t="s">
        <v>857</v>
      </c>
      <c r="B1774" s="8" t="s">
        <v>514</v>
      </c>
      <c r="C1774" s="19" t="n">
        <v>24</v>
      </c>
      <c r="D1774" s="19" t="n">
        <v>468.03</v>
      </c>
      <c r="E1774" s="19" t="n">
        <v>0</v>
      </c>
      <c r="F1774" s="19" t="n">
        <v>0</v>
      </c>
      <c r="G1774" s="8" t="n">
        <f aca="false">IFERROR(INDEX('TRANS'!$B:$B,MATCH($B1774,'TRANS'!$A:$A,0)),IFERROR(INDEX('TRANS'!$B:$B,MATCH(TRIM(SUBSTITUTE($B1774,CHAR(160)," ")),'TRANS'!$D:$D,0)),IFERROR(INDEX('Catalog'!$A:$A,MATCH($B1774,'Catalog'!$B:$B,0)),IFERROR(INDEX('Catalog'!$A:$A,MATCH(TRIM(SUBSTITUTE($B1774,CHAR(160)," ")),'Catalog'!$C:$C,0)),""))))</f>
        <v>4422036</v>
      </c>
      <c r="H1774" s="8" t="str">
        <f aca="false">IFERROR(INDEX('TRANS'!$C:$C,MATCH($B1774,'TRANS'!$A:$A,0)),IFERROR(INDEX('Catalog'!$B:$B,MATCH($G1774,'Catalog'!$A:$A,0)),$B1774))</f>
        <v>FC334  תרסיס דאודורנט לכף הרגל</v>
      </c>
      <c r="I1774" s="8" t="str">
        <f aca="false">IF($G1774="","Unmatched","Matched")</f>
        <v>Matched</v>
      </c>
    </row>
    <row r="1775" customFormat="false" ht="15" hidden="false" customHeight="false" outlineLevel="0" collapsed="false">
      <c r="A1775" s="8" t="s">
        <v>857</v>
      </c>
      <c r="B1775" s="8" t="s">
        <v>283</v>
      </c>
      <c r="C1775" s="19" t="n">
        <v>12</v>
      </c>
      <c r="D1775" s="19" t="n">
        <v>436.89</v>
      </c>
      <c r="E1775" s="19" t="n">
        <v>0</v>
      </c>
      <c r="F1775" s="19" t="n">
        <v>0</v>
      </c>
      <c r="G1775" s="8" t="n">
        <f aca="false">IFERROR(INDEX('TRANS'!$B:$B,MATCH($B1775,'TRANS'!$A:$A,0)),IFERROR(INDEX('TRANS'!$B:$B,MATCH(TRIM(SUBSTITUTE($B1775,CHAR(160)," ")),'TRANS'!$D:$D,0)),IFERROR(INDEX('Catalog'!$A:$A,MATCH($B1775,'Catalog'!$B:$B,0)),IFERROR(INDEX('Catalog'!$A:$A,MATCH(TRIM(SUBSTITUTE($B1775,CHAR(160)," ")),'Catalog'!$C:$C,0)),""))))</f>
        <v>4414000</v>
      </c>
      <c r="H1775" s="8" t="str">
        <f aca="false">IFERROR(INDEX('TRANS'!$C:$C,MATCH($B1775,'TRANS'!$A:$A,0)),IFERROR(INDEX('Catalog'!$B:$B,MATCH($G1775,'Catalog'!$A:$A,0)),$B1775))</f>
        <v>FC342-נוזל לציפורן חודרנית</v>
      </c>
      <c r="I1775" s="8" t="str">
        <f aca="false">IF($G1775="","Unmatched","Matched")</f>
        <v>Matched</v>
      </c>
    </row>
    <row r="1776" customFormat="false" ht="15" hidden="false" customHeight="false" outlineLevel="0" collapsed="false">
      <c r="A1776" s="8" t="s">
        <v>857</v>
      </c>
      <c r="B1776" s="8" t="s">
        <v>284</v>
      </c>
      <c r="C1776" s="19" t="n">
        <v>30</v>
      </c>
      <c r="D1776" s="19" t="n">
        <v>712.47</v>
      </c>
      <c r="E1776" s="19" t="n">
        <v>0</v>
      </c>
      <c r="F1776" s="19" t="n">
        <v>0</v>
      </c>
      <c r="G1776" s="8" t="n">
        <f aca="false">IFERROR(INDEX('TRANS'!$B:$B,MATCH($B1776,'TRANS'!$A:$A,0)),IFERROR(INDEX('TRANS'!$B:$B,MATCH(TRIM(SUBSTITUTE($B1776,CHAR(160)," ")),'TRANS'!$D:$D,0)),IFERROR(INDEX('Catalog'!$A:$A,MATCH($B1776,'Catalog'!$B:$B,0)),IFERROR(INDEX('Catalog'!$A:$A,MATCH(TRIM(SUBSTITUTE($B1776,CHAR(160)," ")),'Catalog'!$C:$C,0)),""))))</f>
        <v>4413056</v>
      </c>
      <c r="H1776" s="8" t="str">
        <f aca="false">IFERROR(INDEX('TRANS'!$C:$C,MATCH($B1776,'TRANS'!$A:$A,0)),IFERROR(INDEX('Catalog'!$B:$B,MATCH($G1776,'Catalog'!$A:$A,0)),$B1776))</f>
        <v>LF360 מדרס מטטרזלי לנעלי עקב</v>
      </c>
      <c r="I1776" s="8" t="str">
        <f aca="false">IF($G1776="","Unmatched","Matched")</f>
        <v>Matched</v>
      </c>
    </row>
    <row r="1777" customFormat="false" ht="15" hidden="false" customHeight="false" outlineLevel="0" collapsed="false">
      <c r="A1777" s="8" t="s">
        <v>857</v>
      </c>
      <c r="B1777" s="8" t="s">
        <v>515</v>
      </c>
      <c r="C1777" s="19" t="n">
        <v>30</v>
      </c>
      <c r="D1777" s="19" t="n">
        <v>712.47</v>
      </c>
      <c r="E1777" s="19" t="n">
        <v>0</v>
      </c>
      <c r="F1777" s="19" t="n">
        <v>0</v>
      </c>
      <c r="G1777" s="8" t="n">
        <f aca="false">IFERROR(INDEX('TRANS'!$B:$B,MATCH($B1777,'TRANS'!$A:$A,0)),IFERROR(INDEX('TRANS'!$B:$B,MATCH(TRIM(SUBSTITUTE($B1777,CHAR(160)," ")),'TRANS'!$D:$D,0)),IFERROR(INDEX('Catalog'!$A:$A,MATCH($B1777,'Catalog'!$B:$B,0)),IFERROR(INDEX('Catalog'!$A:$A,MATCH(TRIM(SUBSTITUTE($B1777,CHAR(160)," ")),'Catalog'!$C:$C,0)),""))))</f>
        <v>4420022</v>
      </c>
      <c r="H1777" s="8" t="str">
        <f aca="false">IFERROR(INDEX('TRANS'!$C:$C,MATCH($B1777,'TRANS'!$A:$A,0)),IFERROR(INDEX('Catalog'!$B:$B,MATCH($G1777,'Catalog'!$A:$A,0)),$B1777))</f>
        <v>LF370 ריפוד סיליקון לעקב אחורי</v>
      </c>
      <c r="I1777" s="8" t="str">
        <f aca="false">IF($G1777="","Unmatched","Matched")</f>
        <v>Matched</v>
      </c>
    </row>
    <row r="1778" customFormat="false" ht="15" hidden="false" customHeight="false" outlineLevel="0" collapsed="false">
      <c r="A1778" s="8" t="s">
        <v>857</v>
      </c>
      <c r="B1778" s="8" t="s">
        <v>861</v>
      </c>
      <c r="C1778" s="19" t="n">
        <v>18</v>
      </c>
      <c r="D1778" s="19" t="n">
        <v>511.11</v>
      </c>
      <c r="E1778" s="19" t="n">
        <v>0</v>
      </c>
      <c r="F1778" s="19" t="n">
        <v>0</v>
      </c>
      <c r="G1778" s="8" t="n">
        <f aca="false">IFERROR(INDEX('TRANS'!$B:$B,MATCH($B1778,'TRANS'!$A:$A,0)),IFERROR(INDEX('TRANS'!$B:$B,MATCH(TRIM(SUBSTITUTE($B1778,CHAR(160)," ")),'TRANS'!$D:$D,0)),IFERROR(INDEX('Catalog'!$A:$A,MATCH($B1778,'Catalog'!$B:$B,0)),IFERROR(INDEX('Catalog'!$A:$A,MATCH(TRIM(SUBSTITUTE($B1778,CHAR(160)," ")),'Catalog'!$C:$C,0)),""))))</f>
        <v>4420023</v>
      </c>
      <c r="H1778" s="8" t="str">
        <f aca="false">IFERROR(INDEX('TRANS'!$C:$C,MATCH($B1778,'TRANS'!$A:$A,0)),IFERROR(INDEX('Catalog'!$B:$B,MATCH($G1778,'Catalog'!$A:$A,0)),$B1778))</f>
        <v>LF371 ריפוד סיליקון לנעלי אצבע</v>
      </c>
      <c r="I1778" s="8" t="str">
        <f aca="false">IF($G1778="","Unmatched","Matched")</f>
        <v>Matched</v>
      </c>
    </row>
    <row r="1779" customFormat="false" ht="15" hidden="false" customHeight="false" outlineLevel="0" collapsed="false">
      <c r="A1779" s="8" t="s">
        <v>857</v>
      </c>
      <c r="B1779" s="8" t="s">
        <v>285</v>
      </c>
      <c r="C1779" s="19" t="n">
        <v>30</v>
      </c>
      <c r="D1779" s="19" t="n">
        <v>642.01</v>
      </c>
      <c r="E1779" s="19" t="n">
        <v>0</v>
      </c>
      <c r="F1779" s="19" t="n">
        <v>0</v>
      </c>
      <c r="G1779" s="8" t="n">
        <f aca="false">IFERROR(INDEX('TRANS'!$B:$B,MATCH($B1779,'TRANS'!$A:$A,0)),IFERROR(INDEX('TRANS'!$B:$B,MATCH(TRIM(SUBSTITUTE($B1779,CHAR(160)," ")),'TRANS'!$D:$D,0)),IFERROR(INDEX('Catalog'!$A:$A,MATCH($B1779,'Catalog'!$B:$B,0)),IFERROR(INDEX('Catalog'!$A:$A,MATCH(TRIM(SUBSTITUTE($B1779,CHAR(160)," ")),'Catalog'!$C:$C,0)),""))))</f>
        <v>4420024</v>
      </c>
      <c r="H1779" s="8" t="str">
        <f aca="false">IFERROR(INDEX('TRANS'!$C:$C,MATCH($B1779,'TRANS'!$A:$A,0)),IFERROR(INDEX('Catalog'!$B:$B,MATCH($G1779,'Catalog'!$A:$A,0)),$B1779))</f>
        <v>LFריפוד סיליק.לכרית כף הרגל373</v>
      </c>
      <c r="I1779" s="8" t="str">
        <f aca="false">IF($G1779="","Unmatched","Matched")</f>
        <v>Matched</v>
      </c>
    </row>
    <row r="1780" customFormat="false" ht="15" hidden="false" customHeight="false" outlineLevel="0" collapsed="false">
      <c r="A1780" s="8" t="s">
        <v>857</v>
      </c>
      <c r="B1780" s="8" t="s">
        <v>286</v>
      </c>
      <c r="C1780" s="19" t="n">
        <v>24</v>
      </c>
      <c r="D1780" s="19" t="n">
        <v>569.32</v>
      </c>
      <c r="E1780" s="19" t="n">
        <v>0</v>
      </c>
      <c r="F1780" s="19" t="n">
        <v>0</v>
      </c>
      <c r="G1780" s="8" t="n">
        <f aca="false">IFERROR(INDEX('TRANS'!$B:$B,MATCH($B1780,'TRANS'!$A:$A,0)),IFERROR(INDEX('TRANS'!$B:$B,MATCH(TRIM(SUBSTITUTE($B1780,CHAR(160)," ")),'TRANS'!$D:$D,0)),IFERROR(INDEX('Catalog'!$A:$A,MATCH($B1780,'Catalog'!$B:$B,0)),IFERROR(INDEX('Catalog'!$A:$A,MATCH(TRIM(SUBSTITUTE($B1780,CHAR(160)," ")),'Catalog'!$C:$C,0)),""))))</f>
        <v>4420025</v>
      </c>
      <c r="H1780" s="8" t="str">
        <f aca="false">IFERROR(INDEX('TRANS'!$C:$C,MATCH($B1780,'TRANS'!$A:$A,0)),IFERROR(INDEX('Catalog'!$B:$B,MATCH($G1780,'Catalog'!$A:$A,0)),$B1780))</f>
        <v>LF374 ריפוד סיליק.לעקב תחתון</v>
      </c>
      <c r="I1780" s="8" t="str">
        <f aca="false">IF($G1780="","Unmatched","Matched")</f>
        <v>Matched</v>
      </c>
    </row>
    <row r="1781" customFormat="false" ht="15" hidden="false" customHeight="false" outlineLevel="0" collapsed="false">
      <c r="A1781" s="8" t="s">
        <v>862</v>
      </c>
      <c r="B1781" s="8" t="s">
        <v>711</v>
      </c>
      <c r="C1781" s="19" t="n">
        <v>9</v>
      </c>
      <c r="D1781" s="19" t="n">
        <v>1883.99</v>
      </c>
      <c r="E1781" s="19" t="n">
        <v>4</v>
      </c>
      <c r="F1781" s="19" t="n">
        <v>1071.99</v>
      </c>
      <c r="G1781" s="8" t="str">
        <f aca="false">IFERROR(INDEX('TRANS'!$B:$B,MATCH($B1781,'TRANS'!$A:$A,0)),IFERROR(INDEX('TRANS'!$B:$B,MATCH(TRIM(SUBSTITUTE($B1781,CHAR(160)," ")),'TRANS'!$D:$D,0)),IFERROR(INDEX('Catalog'!$A:$A,MATCH($B1781,'Catalog'!$B:$B,0)),IFERROR(INDEX('Catalog'!$A:$A,MATCH(TRIM(SUBSTITUTE($B1781,CHAR(160)," ")),'Catalog'!$C:$C,0)),""))))</f>
        <v/>
      </c>
      <c r="H1781" s="8" t="str">
        <f aca="false">IFERROR(INDEX('TRANS'!$C:$C,MATCH($B1781,'TRANS'!$A:$A,0)),IFERROR(INDEX('Catalog'!$B:$B,MATCH($G1781,'Catalog'!$A:$A,0)),$B1781))</f>
        <v>18 L</v>
      </c>
      <c r="I1781" s="8" t="str">
        <f aca="false">IF($G1781="","Unmatched","Matched")</f>
        <v>Unmatched</v>
      </c>
    </row>
    <row r="1782" customFormat="false" ht="15" hidden="false" customHeight="false" outlineLevel="0" collapsed="false">
      <c r="A1782" s="8" t="s">
        <v>862</v>
      </c>
      <c r="B1782" s="8" t="s">
        <v>712</v>
      </c>
      <c r="C1782" s="19" t="n">
        <v>8</v>
      </c>
      <c r="D1782" s="19" t="n">
        <v>1791.99</v>
      </c>
      <c r="E1782" s="19" t="n">
        <v>7</v>
      </c>
      <c r="F1782" s="19" t="n">
        <v>1875.96</v>
      </c>
      <c r="G1782" s="8" t="str">
        <f aca="false">IFERROR(INDEX('TRANS'!$B:$B,MATCH($B1782,'TRANS'!$A:$A,0)),IFERROR(INDEX('TRANS'!$B:$B,MATCH(TRIM(SUBSTITUTE($B1782,CHAR(160)," ")),'TRANS'!$D:$D,0)),IFERROR(INDEX('Catalog'!$A:$A,MATCH($B1782,'Catalog'!$B:$B,0)),IFERROR(INDEX('Catalog'!$A:$A,MATCH(TRIM(SUBSTITUTE($B1782,CHAR(160)," ")),'Catalog'!$C:$C,0)),""))))</f>
        <v/>
      </c>
      <c r="H1782" s="8" t="str">
        <f aca="false">IFERROR(INDEX('TRANS'!$C:$C,MATCH($B1782,'TRANS'!$A:$A,0)),IFERROR(INDEX('Catalog'!$B:$B,MATCH($G1782,'Catalog'!$A:$A,0)),$B1782))</f>
        <v>18 M</v>
      </c>
      <c r="I1782" s="8" t="str">
        <f aca="false">IF($G1782="","Unmatched","Matched")</f>
        <v>Unmatched</v>
      </c>
    </row>
    <row r="1783" customFormat="false" ht="15" hidden="false" customHeight="false" outlineLevel="0" collapsed="false">
      <c r="A1783" s="8" t="s">
        <v>862</v>
      </c>
      <c r="B1783" s="8" t="s">
        <v>863</v>
      </c>
      <c r="C1783" s="19" t="n">
        <v>6</v>
      </c>
      <c r="D1783" s="19" t="n">
        <v>1431.99</v>
      </c>
      <c r="E1783" s="19" t="n">
        <v>3</v>
      </c>
      <c r="F1783" s="19" t="n">
        <v>804.01</v>
      </c>
      <c r="G1783" s="8" t="str">
        <f aca="false">IFERROR(INDEX('TRANS'!$B:$B,MATCH($B1783,'TRANS'!$A:$A,0)),IFERROR(INDEX('TRANS'!$B:$B,MATCH(TRIM(SUBSTITUTE($B1783,CHAR(160)," ")),'TRANS'!$D:$D,0)),IFERROR(INDEX('Catalog'!$A:$A,MATCH($B1783,'Catalog'!$B:$B,0)),IFERROR(INDEX('Catalog'!$A:$A,MATCH(TRIM(SUBSTITUTE($B1783,CHAR(160)," ")),'Catalog'!$C:$C,0)),""))))</f>
        <v/>
      </c>
      <c r="H1783" s="8" t="str">
        <f aca="false">IFERROR(INDEX('TRANS'!$C:$C,MATCH($B1783,'TRANS'!$A:$A,0)),IFERROR(INDEX('Catalog'!$B:$B,MATCH($G1783,'Catalog'!$A:$A,0)),$B1783))</f>
        <v>18 S</v>
      </c>
      <c r="I1783" s="8" t="str">
        <f aca="false">IF($G1783="","Unmatched","Matched")</f>
        <v>Unmatched</v>
      </c>
    </row>
    <row r="1784" customFormat="false" ht="15" hidden="false" customHeight="false" outlineLevel="0" collapsed="false">
      <c r="A1784" s="8" t="s">
        <v>862</v>
      </c>
      <c r="B1784" s="8" t="s">
        <v>713</v>
      </c>
      <c r="C1784" s="19" t="n">
        <v>11</v>
      </c>
      <c r="D1784" s="19" t="n">
        <v>2595.98</v>
      </c>
      <c r="E1784" s="19" t="n">
        <v>5</v>
      </c>
      <c r="F1784" s="19" t="n">
        <v>1339.98</v>
      </c>
      <c r="G1784" s="8" t="str">
        <f aca="false">IFERROR(INDEX('TRANS'!$B:$B,MATCH($B1784,'TRANS'!$A:$A,0)),IFERROR(INDEX('TRANS'!$B:$B,MATCH(TRIM(SUBSTITUTE($B1784,CHAR(160)," ")),'TRANS'!$D:$D,0)),IFERROR(INDEX('Catalog'!$A:$A,MATCH($B1784,'Catalog'!$B:$B,0)),IFERROR(INDEX('Catalog'!$A:$A,MATCH(TRIM(SUBSTITUTE($B1784,CHAR(160)," ")),'Catalog'!$C:$C,0)),""))))</f>
        <v/>
      </c>
      <c r="H1784" s="8" t="str">
        <f aca="false">IFERROR(INDEX('TRANS'!$C:$C,MATCH($B1784,'TRANS'!$A:$A,0)),IFERROR(INDEX('Catalog'!$B:$B,MATCH($G1784,'Catalog'!$A:$A,0)),$B1784))</f>
        <v>18 XL</v>
      </c>
      <c r="I1784" s="8" t="str">
        <f aca="false">IF($G1784="","Unmatched","Matched")</f>
        <v>Unmatched</v>
      </c>
    </row>
    <row r="1785" customFormat="false" ht="15" hidden="false" customHeight="false" outlineLevel="0" collapsed="false">
      <c r="A1785" s="8" t="s">
        <v>862</v>
      </c>
      <c r="B1785" s="8" t="s">
        <v>737</v>
      </c>
      <c r="C1785" s="19" t="n">
        <v>4</v>
      </c>
      <c r="D1785" s="19" t="n">
        <v>808</v>
      </c>
      <c r="E1785" s="19" t="n">
        <v>1</v>
      </c>
      <c r="F1785" s="19" t="n">
        <v>268</v>
      </c>
      <c r="G1785" s="8" t="str">
        <f aca="false">IFERROR(INDEX('TRANS'!$B:$B,MATCH($B1785,'TRANS'!$A:$A,0)),IFERROR(INDEX('TRANS'!$B:$B,MATCH(TRIM(SUBSTITUTE($B1785,CHAR(160)," ")),'TRANS'!$D:$D,0)),IFERROR(INDEX('Catalog'!$A:$A,MATCH($B1785,'Catalog'!$B:$B,0)),IFERROR(INDEX('Catalog'!$A:$A,MATCH(TRIM(SUBSTITUTE($B1785,CHAR(160)," ")),'Catalog'!$C:$C,0)),""))))</f>
        <v/>
      </c>
      <c r="H1785" s="8" t="str">
        <f aca="false">IFERROR(INDEX('TRANS'!$C:$C,MATCH($B1785,'TRANS'!$A:$A,0)),IFERROR(INDEX('Catalog'!$B:$B,MATCH($G1785,'Catalog'!$A:$A,0)),$B1785))</f>
        <v>18 XXL</v>
      </c>
      <c r="I1785" s="8" t="str">
        <f aca="false">IF($G1785="","Unmatched","Matched")</f>
        <v>Unmatched</v>
      </c>
    </row>
    <row r="1786" customFormat="false" ht="15" hidden="false" customHeight="false" outlineLevel="0" collapsed="false">
      <c r="A1786" s="8" t="s">
        <v>862</v>
      </c>
      <c r="B1786" s="8" t="s">
        <v>120</v>
      </c>
      <c r="C1786" s="19" t="n">
        <v>1</v>
      </c>
      <c r="D1786" s="19" t="n">
        <v>92.29</v>
      </c>
      <c r="E1786" s="19" t="n">
        <v>4</v>
      </c>
      <c r="F1786" s="19" t="n">
        <v>369.17</v>
      </c>
      <c r="G1786" s="8" t="n">
        <f aca="false">IFERROR(INDEX('TRANS'!$B:$B,MATCH($B1786,'TRANS'!$A:$A,0)),IFERROR(INDEX('TRANS'!$B:$B,MATCH(TRIM(SUBSTITUTE($B1786,CHAR(160)," ")),'TRANS'!$D:$D,0)),IFERROR(INDEX('Catalog'!$A:$A,MATCH($B1786,'Catalog'!$B:$B,0)),IFERROR(INDEX('Catalog'!$A:$A,MATCH(TRIM(SUBSTITUTE($B1786,CHAR(160)," ")),'Catalog'!$C:$C,0)),""))))</f>
        <v>4416000</v>
      </c>
      <c r="H1786" s="8" t="str">
        <f aca="false">IFERROR(INDEX('TRANS'!$C:$C,MATCH($B1786,'TRANS'!$A:$A,0)),IFERROR(INDEX('Catalog'!$B:$B,MATCH($G1786,'Catalog'!$A:$A,0)),$B1786))</f>
        <v>307 L עקבים לדורבן-זוג כריות</v>
      </c>
      <c r="I1786" s="8" t="str">
        <f aca="false">IF($G1786="","Unmatched","Matched")</f>
        <v>Matched</v>
      </c>
    </row>
    <row r="1787" customFormat="false" ht="15" hidden="false" customHeight="false" outlineLevel="0" collapsed="false">
      <c r="A1787" s="8" t="s">
        <v>862</v>
      </c>
      <c r="B1787" s="8" t="s">
        <v>122</v>
      </c>
      <c r="C1787" s="19" t="n">
        <v>1</v>
      </c>
      <c r="D1787" s="19" t="n">
        <v>92.29</v>
      </c>
      <c r="E1787" s="19" t="n">
        <v>3</v>
      </c>
      <c r="F1787" s="19" t="n">
        <v>276.87</v>
      </c>
      <c r="G1787" s="8" t="n">
        <f aca="false">IFERROR(INDEX('TRANS'!$B:$B,MATCH($B1787,'TRANS'!$A:$A,0)),IFERROR(INDEX('TRANS'!$B:$B,MATCH(TRIM(SUBSTITUTE($B1787,CHAR(160)," ")),'TRANS'!$D:$D,0)),IFERROR(INDEX('Catalog'!$A:$A,MATCH($B1787,'Catalog'!$B:$B,0)),IFERROR(INDEX('Catalog'!$A:$A,MATCH(TRIM(SUBSTITUTE($B1787,CHAR(160)," ")),'Catalog'!$C:$C,0)),""))))</f>
        <v>4411016</v>
      </c>
      <c r="H1787" s="8" t="str">
        <f aca="false">IFERROR(INDEX('TRANS'!$C:$C,MATCH($B1787,'TRANS'!$A:$A,0)),IFERROR(INDEX('Catalog'!$B:$B,MATCH($G1787,'Catalog'!$A:$A,0)),$B1787))</f>
        <v>307 XL כרית סיליקון לעקב</v>
      </c>
      <c r="I1787" s="8" t="str">
        <f aca="false">IF($G1787="","Unmatched","Matched")</f>
        <v>Matched</v>
      </c>
    </row>
    <row r="1788" customFormat="false" ht="15" hidden="false" customHeight="false" outlineLevel="0" collapsed="false">
      <c r="A1788" s="8" t="s">
        <v>862</v>
      </c>
      <c r="B1788" s="8" t="s">
        <v>280</v>
      </c>
      <c r="C1788" s="19" t="n">
        <v>42</v>
      </c>
      <c r="D1788" s="19" t="n">
        <v>790.1</v>
      </c>
      <c r="E1788" s="19" t="n">
        <v>18</v>
      </c>
      <c r="F1788" s="19" t="n">
        <v>331.38</v>
      </c>
      <c r="G1788" s="8" t="n">
        <f aca="false">IFERROR(INDEX('TRANS'!$B:$B,MATCH($B1788,'TRANS'!$A:$A,0)),IFERROR(INDEX('TRANS'!$B:$B,MATCH(TRIM(SUBSTITUTE($B1788,CHAR(160)," ")),'TRANS'!$D:$D,0)),IFERROR(INDEX('Catalog'!$A:$A,MATCH($B1788,'Catalog'!$B:$B,0)),IFERROR(INDEX('Catalog'!$A:$A,MATCH(TRIM(SUBSTITUTE($B1788,CHAR(160)," ")),'Catalog'!$C:$C,0)),""))))</f>
        <v>4422035</v>
      </c>
      <c r="H1788" s="8" t="str">
        <f aca="false">IFERROR(INDEX('TRANS'!$C:$C,MATCH($B1788,'TRANS'!$A:$A,0)),IFERROR(INDEX('Catalog'!$B:$B,MATCH($G1788,'Catalog'!$A:$A,0)),$B1788))</f>
        <v>FCתרסיס דאודורנט אנטיבק.נעל333</v>
      </c>
      <c r="I1788" s="8" t="str">
        <f aca="false">IF($G1788="","Unmatched","Matched")</f>
        <v>Matched</v>
      </c>
    </row>
    <row r="1789" customFormat="false" ht="15" hidden="false" customHeight="false" outlineLevel="0" collapsed="false">
      <c r="A1789" s="8" t="s">
        <v>862</v>
      </c>
      <c r="B1789" s="8" t="s">
        <v>515</v>
      </c>
      <c r="C1789" s="19" t="n">
        <v>6</v>
      </c>
      <c r="D1789" s="19" t="n">
        <v>143.14</v>
      </c>
      <c r="E1789" s="19" t="n">
        <v>10</v>
      </c>
      <c r="F1789" s="19" t="n">
        <v>238.57</v>
      </c>
      <c r="G1789" s="8" t="n">
        <f aca="false">IFERROR(INDEX('TRANS'!$B:$B,MATCH($B1789,'TRANS'!$A:$A,0)),IFERROR(INDEX('TRANS'!$B:$B,MATCH(TRIM(SUBSTITUTE($B1789,CHAR(160)," ")),'TRANS'!$D:$D,0)),IFERROR(INDEX('Catalog'!$A:$A,MATCH($B1789,'Catalog'!$B:$B,0)),IFERROR(INDEX('Catalog'!$A:$A,MATCH(TRIM(SUBSTITUTE($B1789,CHAR(160)," ")),'Catalog'!$C:$C,0)),""))))</f>
        <v>4420022</v>
      </c>
      <c r="H1789" s="8" t="str">
        <f aca="false">IFERROR(INDEX('TRANS'!$C:$C,MATCH($B1789,'TRANS'!$A:$A,0)),IFERROR(INDEX('Catalog'!$B:$B,MATCH($G1789,'Catalog'!$A:$A,0)),$B1789))</f>
        <v>LF370 ריפוד סיליקון לעקב אחורי</v>
      </c>
      <c r="I1789" s="8" t="str">
        <f aca="false">IF($G1789="","Unmatched","Matched")</f>
        <v>Matched</v>
      </c>
    </row>
    <row r="1790" customFormat="false" ht="15" hidden="false" customHeight="false" outlineLevel="0" collapsed="false">
      <c r="A1790" s="8" t="s">
        <v>862</v>
      </c>
      <c r="B1790" s="8" t="s">
        <v>285</v>
      </c>
      <c r="C1790" s="19" t="n">
        <v>10</v>
      </c>
      <c r="D1790" s="19" t="n">
        <v>215.17</v>
      </c>
      <c r="E1790" s="19" t="n">
        <v>0</v>
      </c>
      <c r="F1790" s="19" t="n">
        <v>0</v>
      </c>
      <c r="G1790" s="8" t="n">
        <f aca="false">IFERROR(INDEX('TRANS'!$B:$B,MATCH($B1790,'TRANS'!$A:$A,0)),IFERROR(INDEX('TRANS'!$B:$B,MATCH(TRIM(SUBSTITUTE($B1790,CHAR(160)," ")),'TRANS'!$D:$D,0)),IFERROR(INDEX('Catalog'!$A:$A,MATCH($B1790,'Catalog'!$B:$B,0)),IFERROR(INDEX('Catalog'!$A:$A,MATCH(TRIM(SUBSTITUTE($B1790,CHAR(160)," ")),'Catalog'!$C:$C,0)),""))))</f>
        <v>4420024</v>
      </c>
      <c r="H1790" s="8" t="str">
        <f aca="false">IFERROR(INDEX('TRANS'!$C:$C,MATCH($B1790,'TRANS'!$A:$A,0)),IFERROR(INDEX('Catalog'!$B:$B,MATCH($G1790,'Catalog'!$A:$A,0)),$B1790))</f>
        <v>LFריפוד סיליק.לכרית כף הרגל373</v>
      </c>
      <c r="I1790" s="8" t="str">
        <f aca="false">IF($G1790="","Unmatched","Matched")</f>
        <v>Matched</v>
      </c>
    </row>
    <row r="1791" customFormat="false" ht="15" hidden="false" customHeight="false" outlineLevel="0" collapsed="false">
      <c r="A1791" s="8" t="s">
        <v>862</v>
      </c>
      <c r="B1791" s="8" t="s">
        <v>60</v>
      </c>
      <c r="C1791" s="19" t="n">
        <v>14</v>
      </c>
      <c r="D1791" s="19" t="n">
        <v>1513.53</v>
      </c>
      <c r="E1791" s="19" t="n">
        <v>9</v>
      </c>
      <c r="F1791" s="19" t="n">
        <v>1168.01</v>
      </c>
      <c r="G1791" s="8" t="n">
        <f aca="false">IFERROR(INDEX('TRANS'!$B:$B,MATCH($B1791,'TRANS'!$A:$A,0)),IFERROR(INDEX('TRANS'!$B:$B,MATCH(TRIM(SUBSTITUTE($B1791,CHAR(160)," ")),'TRANS'!$D:$D,0)),IFERROR(INDEX('Catalog'!$A:$A,MATCH($B1791,'Catalog'!$B:$B,0)),IFERROR(INDEX('Catalog'!$A:$A,MATCH(TRIM(SUBSTITUTE($B1791,CHAR(160)," ")),'Catalog'!$C:$C,0)),""))))</f>
        <v>4408192</v>
      </c>
      <c r="H1791" s="8" t="str">
        <f aca="false">IFERROR(INDEX('TRANS'!$C:$C,MATCH($B1791,'TRANS'!$A:$A,0)),IFERROR(INDEX('Catalog'!$B:$B,MATCH($G1791,'Catalog'!$A:$A,0)),$B1791))</f>
        <v>078 L חגורת גב +סגירה</v>
      </c>
      <c r="I1791" s="8" t="str">
        <f aca="false">IF($G1791="","Unmatched","Matched")</f>
        <v>Matched</v>
      </c>
    </row>
    <row r="1792" customFormat="false" ht="15" hidden="false" customHeight="false" outlineLevel="0" collapsed="false">
      <c r="A1792" s="8" t="s">
        <v>862</v>
      </c>
      <c r="B1792" s="8" t="s">
        <v>61</v>
      </c>
      <c r="C1792" s="19" t="n">
        <v>1</v>
      </c>
      <c r="D1792" s="19" t="n">
        <v>117.13</v>
      </c>
      <c r="E1792" s="19" t="n">
        <v>8</v>
      </c>
      <c r="F1792" s="19" t="n">
        <v>1105.17</v>
      </c>
      <c r="G1792" s="8" t="n">
        <f aca="false">IFERROR(INDEX('TRANS'!$B:$B,MATCH($B1792,'TRANS'!$A:$A,0)),IFERROR(INDEX('TRANS'!$B:$B,MATCH(TRIM(SUBSTITUTE($B1792,CHAR(160)," ")),'TRANS'!$D:$D,0)),IFERROR(INDEX('Catalog'!$A:$A,MATCH($B1792,'Catalog'!$B:$B,0)),IFERROR(INDEX('Catalog'!$A:$A,MATCH(TRIM(SUBSTITUTE($B1792,CHAR(160)," ")),'Catalog'!$C:$C,0)),""))))</f>
        <v>4408218</v>
      </c>
      <c r="H1792" s="8" t="str">
        <f aca="false">IFERROR(INDEX('TRANS'!$C:$C,MATCH($B1792,'TRANS'!$A:$A,0)),IFERROR(INDEX('Catalog'!$B:$B,MATCH($G1792,'Catalog'!$A:$A,0)),$B1792))</f>
        <v>078XL חגורת גב +סגירה כפולה</v>
      </c>
      <c r="I1792" s="8" t="str">
        <f aca="false">IF($G1792="","Unmatched","Matched")</f>
        <v>Matched</v>
      </c>
    </row>
    <row r="1793" customFormat="false" ht="15" hidden="false" customHeight="false" outlineLevel="0" collapsed="false">
      <c r="A1793" s="8" t="s">
        <v>862</v>
      </c>
      <c r="B1793" s="8" t="s">
        <v>456</v>
      </c>
      <c r="C1793" s="19" t="n">
        <v>0</v>
      </c>
      <c r="D1793" s="19" t="n">
        <v>0</v>
      </c>
      <c r="E1793" s="19" t="n">
        <v>0</v>
      </c>
      <c r="F1793" s="19" t="n">
        <v>27.13</v>
      </c>
      <c r="G1793" s="8" t="n">
        <f aca="false">IFERROR(INDEX('TRANS'!$B:$B,MATCH($B1793,'TRANS'!$A:$A,0)),IFERROR(INDEX('TRANS'!$B:$B,MATCH(TRIM(SUBSTITUTE($B1793,CHAR(160)," ")),'TRANS'!$D:$D,0)),IFERROR(INDEX('Catalog'!$A:$A,MATCH($B1793,'Catalog'!$B:$B,0)),IFERROR(INDEX('Catalog'!$A:$A,MATCH(TRIM(SUBSTITUTE($B1793,CHAR(160)," ")),'Catalog'!$C:$C,0)),""))))</f>
        <v>4408265</v>
      </c>
      <c r="H1793" s="8" t="str">
        <f aca="false">IFERROR(INDEX('TRANS'!$C:$C,MATCH($B1793,'TRANS'!$A:$A,0)),IFERROR(INDEX('Catalog'!$B:$B,MATCH($G1793,'Catalog'!$A:$A,0)),$B1793))</f>
        <v>078XXL חגורת גב +סגירה כפולה</v>
      </c>
      <c r="I1793" s="8" t="str">
        <f aca="false">IF($G1793="","Unmatched","Matched")</f>
        <v>Matched</v>
      </c>
    </row>
    <row r="1794" customFormat="false" ht="15" hidden="false" customHeight="false" outlineLevel="0" collapsed="false">
      <c r="A1794" s="8" t="s">
        <v>862</v>
      </c>
      <c r="B1794" s="8" t="s">
        <v>347</v>
      </c>
      <c r="C1794" s="19" t="n">
        <v>0</v>
      </c>
      <c r="D1794" s="19" t="n">
        <v>0</v>
      </c>
      <c r="E1794" s="19" t="n">
        <v>4</v>
      </c>
      <c r="F1794" s="19" t="n">
        <v>159.17</v>
      </c>
      <c r="G1794" s="8" t="n">
        <f aca="false">IFERROR(INDEX('TRANS'!$B:$B,MATCH($B1794,'TRANS'!$A:$A,0)),IFERROR(INDEX('TRANS'!$B:$B,MATCH(TRIM(SUBSTITUTE($B1794,CHAR(160)," ")),'TRANS'!$D:$D,0)),IFERROR(INDEX('Catalog'!$A:$A,MATCH($B1794,'Catalog'!$B:$B,0)),IFERROR(INDEX('Catalog'!$A:$A,MATCH(TRIM(SUBSTITUTE($B1794,CHAR(160)," ")),'Catalog'!$C:$C,0)),""))))</f>
        <v>4408052</v>
      </c>
      <c r="H1794" s="8" t="str">
        <f aca="false">IFERROR(INDEX('TRANS'!$C:$C,MATCH($B1794,'TRANS'!$A:$A,0)),IFERROR(INDEX('Catalog'!$B:$B,MATCH($G1794,'Catalog'!$A:$A,0)),$B1794))</f>
        <v>21 L  חבק יד ארוך</v>
      </c>
      <c r="I1794" s="8" t="str">
        <f aca="false">IF($G1794="","Unmatched","Matched")</f>
        <v>Matched</v>
      </c>
    </row>
    <row r="1795" customFormat="false" ht="15" hidden="false" customHeight="false" outlineLevel="0" collapsed="false">
      <c r="A1795" s="8" t="s">
        <v>862</v>
      </c>
      <c r="B1795" s="8" t="s">
        <v>734</v>
      </c>
      <c r="C1795" s="19" t="n">
        <v>0</v>
      </c>
      <c r="D1795" s="19" t="n">
        <v>0</v>
      </c>
      <c r="E1795" s="19" t="n">
        <v>3</v>
      </c>
      <c r="F1795" s="19" t="n">
        <v>119.38</v>
      </c>
      <c r="G1795" s="8" t="n">
        <f aca="false">IFERROR(INDEX('TRANS'!$B:$B,MATCH($B1795,'TRANS'!$A:$A,0)),IFERROR(INDEX('TRANS'!$B:$B,MATCH(TRIM(SUBSTITUTE($B1795,CHAR(160)," ")),'TRANS'!$D:$D,0)),IFERROR(INDEX('Catalog'!$A:$A,MATCH($B1795,'Catalog'!$B:$B,0)),IFERROR(INDEX('Catalog'!$A:$A,MATCH(TRIM(SUBSTITUTE($B1795,CHAR(160)," ")),'Catalog'!$C:$C,0)),""))))</f>
        <v>4411024</v>
      </c>
      <c r="H1795" s="8" t="str">
        <f aca="false">IFERROR(INDEX('TRANS'!$C:$C,MATCH($B1795,'TRANS'!$A:$A,0)),IFERROR(INDEX('Catalog'!$B:$B,MATCH($G1795,'Catalog'!$A:$A,0)),$B1795))</f>
        <v>212XL כפפות אגודל לחץ</v>
      </c>
      <c r="I1795" s="8" t="str">
        <f aca="false">IF($G1795="","Unmatched","Matched")</f>
        <v>Matched</v>
      </c>
    </row>
    <row r="1796" customFormat="false" ht="15" hidden="false" customHeight="false" outlineLevel="0" collapsed="false">
      <c r="A1796" s="8" t="s">
        <v>862</v>
      </c>
      <c r="B1796" s="8" t="s">
        <v>114</v>
      </c>
      <c r="C1796" s="19" t="n">
        <v>60</v>
      </c>
      <c r="D1796" s="19" t="n">
        <v>3784.19</v>
      </c>
      <c r="E1796" s="19" t="n">
        <v>45</v>
      </c>
      <c r="F1796" s="19" t="n">
        <v>2871.65</v>
      </c>
      <c r="G1796" s="8" t="n">
        <f aca="false">IFERROR(INDEX('TRANS'!$B:$B,MATCH($B1796,'TRANS'!$A:$A,0)),IFERROR(INDEX('TRANS'!$B:$B,MATCH(TRIM(SUBSTITUTE($B1796,CHAR(160)," ")),'TRANS'!$D:$D,0)),IFERROR(INDEX('Catalog'!$A:$A,MATCH($B1796,'Catalog'!$B:$B,0)),IFERROR(INDEX('Catalog'!$A:$A,MATCH(TRIM(SUBSTITUTE($B1796,CHAR(160)," ")),'Catalog'!$C:$C,0)),""))))</f>
        <v>4413348</v>
      </c>
      <c r="H1796" s="8" t="str">
        <f aca="false">IFERROR(INDEX('TRANS'!$C:$C,MATCH($B1796,'TRANS'!$A:$A,0)),IFERROR(INDEX('Catalog'!$B:$B,MATCH($G1796,'Catalog'!$A:$A,0)),$B1796))</f>
        <v>302 מדרס ג'ל לגבר</v>
      </c>
      <c r="I1796" s="8" t="str">
        <f aca="false">IF($G1796="","Unmatched","Matched")</f>
        <v>Matched</v>
      </c>
    </row>
    <row r="1797" customFormat="false" ht="15" hidden="false" customHeight="false" outlineLevel="0" collapsed="false">
      <c r="A1797" s="8" t="s">
        <v>862</v>
      </c>
      <c r="B1797" s="8" t="s">
        <v>136</v>
      </c>
      <c r="C1797" s="19" t="n">
        <v>0</v>
      </c>
      <c r="D1797" s="19" t="n">
        <v>0</v>
      </c>
      <c r="E1797" s="19" t="n">
        <v>2</v>
      </c>
      <c r="F1797" s="19" t="n">
        <v>61.78</v>
      </c>
      <c r="G1797" s="8" t="n">
        <f aca="false">IFERROR(INDEX('TRANS'!$B:$B,MATCH($B1797,'TRANS'!$A:$A,0)),IFERROR(INDEX('TRANS'!$B:$B,MATCH(TRIM(SUBSTITUTE($B1797,CHAR(160)," ")),'TRANS'!$D:$D,0)),IFERROR(INDEX('Catalog'!$A:$A,MATCH($B1797,'Catalog'!$B:$B,0)),IFERROR(INDEX('Catalog'!$A:$A,MATCH(TRIM(SUBSTITUTE($B1797,CHAR(160)," ")),'Catalog'!$C:$C,0)),""))))</f>
        <v>4413492</v>
      </c>
      <c r="H1797" s="8" t="str">
        <f aca="false">IFERROR(INDEX('TRANS'!$C:$C,MATCH($B1797,'TRANS'!$A:$A,0)),IFERROR(INDEX('Catalog'!$B:$B,MATCH($G1797,'Catalog'!$A:$A,0)),$B1797))</f>
        <v>35B M מגן קרסול שחור</v>
      </c>
      <c r="I1797" s="8" t="str">
        <f aca="false">IF($G1797="","Unmatched","Matched")</f>
        <v>Matched</v>
      </c>
    </row>
    <row r="1798" customFormat="false" ht="15" hidden="false" customHeight="false" outlineLevel="0" collapsed="false">
      <c r="A1798" s="8" t="s">
        <v>862</v>
      </c>
      <c r="B1798" s="8" t="s">
        <v>168</v>
      </c>
      <c r="C1798" s="19" t="n">
        <v>102</v>
      </c>
      <c r="D1798" s="19" t="n">
        <v>1388.74</v>
      </c>
      <c r="E1798" s="19" t="n">
        <v>49</v>
      </c>
      <c r="F1798" s="19" t="n">
        <v>693.9</v>
      </c>
      <c r="G1798" s="8" t="n">
        <f aca="false">IFERROR(INDEX('TRANS'!$B:$B,MATCH($B1798,'TRANS'!$A:$A,0)),IFERROR(INDEX('TRANS'!$B:$B,MATCH(TRIM(SUBSTITUTE($B1798,CHAR(160)," ")),'TRANS'!$D:$D,0)),IFERROR(INDEX('Catalog'!$A:$A,MATCH($B1798,'Catalog'!$B:$B,0)),IFERROR(INDEX('Catalog'!$A:$A,MATCH(TRIM(SUBSTITUTE($B1798,CHAR(160)," ")),'Catalog'!$C:$C,0)),""))))</f>
        <v>4420002</v>
      </c>
      <c r="H1798" s="8" t="str">
        <f aca="false">IFERROR(INDEX('TRANS'!$C:$C,MATCH($B1798,'TRANS'!$A:$A,0)),IFERROR(INDEX('Catalog'!$B:$B,MATCH($G1798,'Catalog'!$A:$A,0)),$B1798))</f>
        <v>372 רפידת אנטי ריח -זוג</v>
      </c>
      <c r="I1798" s="8" t="str">
        <f aca="false">IF($G1798="","Unmatched","Matched")</f>
        <v>Matched</v>
      </c>
    </row>
    <row r="1799" customFormat="false" ht="15" hidden="false" customHeight="false" outlineLevel="0" collapsed="false">
      <c r="A1799" s="8" t="s">
        <v>862</v>
      </c>
      <c r="B1799" s="8" t="s">
        <v>169</v>
      </c>
      <c r="C1799" s="19" t="n">
        <v>78</v>
      </c>
      <c r="D1799" s="19" t="n">
        <v>1059.78</v>
      </c>
      <c r="E1799" s="19" t="n">
        <v>22</v>
      </c>
      <c r="F1799" s="19" t="n">
        <v>318.68</v>
      </c>
      <c r="G1799" s="8" t="n">
        <f aca="false">IFERROR(INDEX('TRANS'!$B:$B,MATCH($B1799,'TRANS'!$A:$A,0)),IFERROR(INDEX('TRANS'!$B:$B,MATCH(TRIM(SUBSTITUTE($B1799,CHAR(160)," ")),'TRANS'!$D:$D,0)),IFERROR(INDEX('Catalog'!$A:$A,MATCH($B1799,'Catalog'!$B:$B,0)),IFERROR(INDEX('Catalog'!$A:$A,MATCH(TRIM(SUBSTITUTE($B1799,CHAR(160)," ")),'Catalog'!$C:$C,0)),""))))</f>
        <v>4420003</v>
      </c>
      <c r="H1799" s="8" t="str">
        <f aca="false">IFERROR(INDEX('TRANS'!$C:$C,MATCH($B1799,'TRANS'!$A:$A,0)),IFERROR(INDEX('Catalog'!$B:$B,MATCH($G1799,'Catalog'!$A:$A,0)),$B1799))</f>
        <v>374 רפידת בולמת זעזועים -זוג</v>
      </c>
      <c r="I1799" s="8" t="str">
        <f aca="false">IF($G1799="","Unmatched","Matched")</f>
        <v>Matched</v>
      </c>
    </row>
    <row r="1800" customFormat="false" ht="15" hidden="false" customHeight="false" outlineLevel="0" collapsed="false">
      <c r="A1800" s="8" t="s">
        <v>862</v>
      </c>
      <c r="B1800" s="8" t="s">
        <v>172</v>
      </c>
      <c r="C1800" s="19" t="n">
        <v>3</v>
      </c>
      <c r="D1800" s="19" t="n">
        <v>105.32</v>
      </c>
      <c r="E1800" s="19" t="n">
        <v>2</v>
      </c>
      <c r="F1800" s="19" t="n">
        <v>70.21</v>
      </c>
      <c r="G1800" s="8" t="str">
        <f aca="false">IFERROR(INDEX('TRANS'!$B:$B,MATCH($B1800,'TRANS'!$A:$A,0)),IFERROR(INDEX('TRANS'!$B:$B,MATCH(TRIM(SUBSTITUTE($B1800,CHAR(160)," ")),'TRANS'!$D:$D,0)),IFERROR(INDEX('Catalog'!$A:$A,MATCH($B1800,'Catalog'!$B:$B,0)),IFERROR(INDEX('Catalog'!$A:$A,MATCH(TRIM(SUBSTITUTE($B1800,CHAR(160)," ")),'Catalog'!$C:$C,0)),""))))</f>
        <v/>
      </c>
      <c r="H1800" s="8" t="str">
        <f aca="false">IFERROR(INDEX('TRANS'!$C:$C,MATCH($B1800,'TRANS'!$A:$A,0)),IFERROR(INDEX('Catalog'!$B:$B,MATCH($G1800,'Catalog'!$A:$A,0)),$B1800))</f>
        <v>376-41-43</v>
      </c>
      <c r="I1800" s="8" t="str">
        <f aca="false">IF($G1800="","Unmatched","Matched")</f>
        <v>Unmatched</v>
      </c>
    </row>
    <row r="1801" customFormat="false" ht="15" hidden="false" customHeight="false" outlineLevel="0" collapsed="false">
      <c r="A1801" s="8" t="s">
        <v>862</v>
      </c>
      <c r="B1801" s="8" t="s">
        <v>173</v>
      </c>
      <c r="C1801" s="19" t="n">
        <v>3</v>
      </c>
      <c r="D1801" s="19" t="n">
        <v>105.32</v>
      </c>
      <c r="E1801" s="19" t="n">
        <v>5</v>
      </c>
      <c r="F1801" s="19" t="n">
        <v>175.53</v>
      </c>
      <c r="G1801" s="8" t="str">
        <f aca="false">IFERROR(INDEX('TRANS'!$B:$B,MATCH($B1801,'TRANS'!$A:$A,0)),IFERROR(INDEX('TRANS'!$B:$B,MATCH(TRIM(SUBSTITUTE($B1801,CHAR(160)," ")),'TRANS'!$D:$D,0)),IFERROR(INDEX('Catalog'!$A:$A,MATCH($B1801,'Catalog'!$B:$B,0)),IFERROR(INDEX('Catalog'!$A:$A,MATCH(TRIM(SUBSTITUTE($B1801,CHAR(160)," ")),'Catalog'!$C:$C,0)),""))))</f>
        <v/>
      </c>
      <c r="H1801" s="8" t="str">
        <f aca="false">IFERROR(INDEX('TRANS'!$C:$C,MATCH($B1801,'TRANS'!$A:$A,0)),IFERROR(INDEX('Catalog'!$B:$B,MATCH($G1801,'Catalog'!$A:$A,0)),$B1801))</f>
        <v>376-44-45</v>
      </c>
      <c r="I1801" s="8" t="str">
        <f aca="false">IF($G1801="","Unmatched","Matched")</f>
        <v>Unmatched</v>
      </c>
    </row>
    <row r="1802" customFormat="false" ht="15" hidden="false" customHeight="false" outlineLevel="0" collapsed="false">
      <c r="A1802" s="8" t="s">
        <v>862</v>
      </c>
      <c r="B1802" s="8" t="s">
        <v>864</v>
      </c>
      <c r="C1802" s="19" t="n">
        <v>0</v>
      </c>
      <c r="D1802" s="19" t="n">
        <v>0</v>
      </c>
      <c r="E1802" s="19" t="n">
        <v>2</v>
      </c>
      <c r="F1802" s="19" t="n">
        <v>70.21</v>
      </c>
      <c r="G1802" s="8" t="str">
        <f aca="false">IFERROR(INDEX('TRANS'!$B:$B,MATCH($B1802,'TRANS'!$A:$A,0)),IFERROR(INDEX('TRANS'!$B:$B,MATCH(TRIM(SUBSTITUTE($B1802,CHAR(160)," ")),'TRANS'!$D:$D,0)),IFERROR(INDEX('Catalog'!$A:$A,MATCH($B1802,'Catalog'!$B:$B,0)),IFERROR(INDEX('Catalog'!$A:$A,MATCH(TRIM(SUBSTITUTE($B1802,CHAR(160)," ")),'Catalog'!$C:$C,0)),""))))</f>
        <v/>
      </c>
      <c r="H1802" s="8" t="str">
        <f aca="false">IFERROR(INDEX('TRANS'!$C:$C,MATCH($B1802,'TRANS'!$A:$A,0)),IFERROR(INDEX('Catalog'!$B:$B,MATCH($G1802,'Catalog'!$A:$A,0)),$B1802))</f>
        <v>376-44-46</v>
      </c>
      <c r="I1802" s="8" t="str">
        <f aca="false">IF($G1802="","Unmatched","Matched")</f>
        <v>Unmatched</v>
      </c>
    </row>
    <row r="1803" customFormat="false" ht="15" hidden="false" customHeight="false" outlineLevel="0" collapsed="false">
      <c r="A1803" s="8" t="s">
        <v>862</v>
      </c>
      <c r="B1803" s="8" t="s">
        <v>174</v>
      </c>
      <c r="C1803" s="19" t="n">
        <v>2</v>
      </c>
      <c r="D1803" s="19" t="n">
        <v>70.21</v>
      </c>
      <c r="E1803" s="19" t="n">
        <v>2</v>
      </c>
      <c r="F1803" s="19" t="n">
        <v>70.22</v>
      </c>
      <c r="G1803" s="8" t="n">
        <f aca="false">IFERROR(INDEX('TRANS'!$B:$B,MATCH($B1803,'TRANS'!$A:$A,0)),IFERROR(INDEX('TRANS'!$B:$B,MATCH(TRIM(SUBSTITUTE($B1803,CHAR(160)," ")),'TRANS'!$D:$D,0)),IFERROR(INDEX('Catalog'!$A:$A,MATCH($B1803,'Catalog'!$B:$B,0)),IFERROR(INDEX('Catalog'!$A:$A,MATCH(TRIM(SUBSTITUTE($B1803,CHAR(160)," ")),'Catalog'!$C:$C,0)),""))))</f>
        <v>4420032</v>
      </c>
      <c r="H1803" s="8" t="str">
        <f aca="false">IFERROR(INDEX('TRANS'!$C:$C,MATCH($B1803,'TRANS'!$A:$A,0)),IFERROR(INDEX('Catalog'!$B:$B,MATCH($G1803,'Catalog'!$A:$A,0)),$B1803))</f>
        <v>46-47 רפידת ספורט 376 מידה</v>
      </c>
      <c r="I1803" s="8" t="str">
        <f aca="false">IF($G1803="","Unmatched","Matched")</f>
        <v>Matched</v>
      </c>
    </row>
    <row r="1804" customFormat="false" ht="15" hidden="false" customHeight="false" outlineLevel="0" collapsed="false">
      <c r="A1804" s="8" t="s">
        <v>862</v>
      </c>
      <c r="B1804" s="8" t="s">
        <v>479</v>
      </c>
      <c r="C1804" s="19" t="n">
        <v>0</v>
      </c>
      <c r="D1804" s="19" t="n">
        <v>0</v>
      </c>
      <c r="E1804" s="19" t="n">
        <v>1</v>
      </c>
      <c r="F1804" s="19" t="n">
        <v>118.54</v>
      </c>
      <c r="G1804" s="8" t="n">
        <f aca="false">IFERROR(INDEX('TRANS'!$B:$B,MATCH($B1804,'TRANS'!$A:$A,0)),IFERROR(INDEX('TRANS'!$B:$B,MATCH(TRIM(SUBSTITUTE($B1804,CHAR(160)," ")),'TRANS'!$D:$D,0)),IFERROR(INDEX('Catalog'!$A:$A,MATCH($B1804,'Catalog'!$B:$B,0)),IFERROR(INDEX('Catalog'!$A:$A,MATCH(TRIM(SUBSTITUTE($B1804,CHAR(160)," ")),'Catalog'!$C:$C,0)),""))))</f>
        <v>4413523</v>
      </c>
      <c r="H1804" s="8" t="str">
        <f aca="false">IFERROR(INDEX('TRANS'!$C:$C,MATCH($B1804,'TRANS'!$A:$A,0)),IFERROR(INDEX('Catalog'!$B:$B,MATCH($G1804,'Catalog'!$A:$A,0)),$B1804))</f>
        <v>35-38 מדרסי אפיק ג'ל נוחות</v>
      </c>
      <c r="I1804" s="8" t="str">
        <f aca="false">IF($G1804="","Unmatched","Matched")</f>
        <v>Matched</v>
      </c>
    </row>
    <row r="1805" customFormat="false" ht="15" hidden="false" customHeight="false" outlineLevel="0" collapsed="false">
      <c r="A1805" s="8" t="s">
        <v>862</v>
      </c>
      <c r="B1805" s="8" t="s">
        <v>480</v>
      </c>
      <c r="C1805" s="19" t="n">
        <v>0</v>
      </c>
      <c r="D1805" s="19" t="n">
        <v>0</v>
      </c>
      <c r="E1805" s="19" t="n">
        <v>2</v>
      </c>
      <c r="F1805" s="19" t="n">
        <v>237.07</v>
      </c>
      <c r="G1805" s="8" t="n">
        <f aca="false">IFERROR(INDEX('TRANS'!$B:$B,MATCH($B1805,'TRANS'!$A:$A,0)),IFERROR(INDEX('TRANS'!$B:$B,MATCH(TRIM(SUBSTITUTE($B1805,CHAR(160)," ")),'TRANS'!$D:$D,0)),IFERROR(INDEX('Catalog'!$A:$A,MATCH($B1805,'Catalog'!$B:$B,0)),IFERROR(INDEX('Catalog'!$A:$A,MATCH(TRIM(SUBSTITUTE($B1805,CHAR(160)," ")),'Catalog'!$C:$C,0)),""))))</f>
        <v>4413524</v>
      </c>
      <c r="H1805" s="8" t="str">
        <f aca="false">IFERROR(INDEX('TRANS'!$C:$C,MATCH($B1805,'TRANS'!$A:$A,0)),IFERROR(INDEX('Catalog'!$B:$B,MATCH($G1805,'Catalog'!$A:$A,0)),$B1805))</f>
        <v>39-42 מדרסי אפיק ג'ל נוחות</v>
      </c>
      <c r="I1805" s="8" t="str">
        <f aca="false">IF($G1805="","Unmatched","Matched")</f>
        <v>Matched</v>
      </c>
    </row>
    <row r="1806" customFormat="false" ht="15" hidden="false" customHeight="false" outlineLevel="0" collapsed="false">
      <c r="A1806" s="8" t="s">
        <v>862</v>
      </c>
      <c r="B1806" s="8" t="s">
        <v>481</v>
      </c>
      <c r="C1806" s="19" t="n">
        <v>0</v>
      </c>
      <c r="D1806" s="19" t="n">
        <v>0</v>
      </c>
      <c r="E1806" s="19" t="n">
        <v>2</v>
      </c>
      <c r="F1806" s="19" t="n">
        <v>237.07</v>
      </c>
      <c r="G1806" s="8" t="n">
        <f aca="false">IFERROR(INDEX('TRANS'!$B:$B,MATCH($B1806,'TRANS'!$A:$A,0)),IFERROR(INDEX('TRANS'!$B:$B,MATCH(TRIM(SUBSTITUTE($B1806,CHAR(160)," ")),'TRANS'!$D:$D,0)),IFERROR(INDEX('Catalog'!$A:$A,MATCH($B1806,'Catalog'!$B:$B,0)),IFERROR(INDEX('Catalog'!$A:$A,MATCH(TRIM(SUBSTITUTE($B1806,CHAR(160)," ")),'Catalog'!$C:$C,0)),""))))</f>
        <v>4413525</v>
      </c>
      <c r="H1806" s="8" t="str">
        <f aca="false">IFERROR(INDEX('TRANS'!$C:$C,MATCH($B1806,'TRANS'!$A:$A,0)),IFERROR(INDEX('Catalog'!$B:$B,MATCH($G1806,'Catalog'!$A:$A,0)),$B1806))</f>
        <v>43-47 מדרסי אפיק ג'ל נוחות</v>
      </c>
      <c r="I1806" s="8" t="str">
        <f aca="false">IF($G1806="","Unmatched","Matched")</f>
        <v>Matched</v>
      </c>
    </row>
    <row r="1807" customFormat="false" ht="15" hidden="false" customHeight="false" outlineLevel="0" collapsed="false">
      <c r="A1807" s="8" t="s">
        <v>862</v>
      </c>
      <c r="B1807" s="8" t="s">
        <v>482</v>
      </c>
      <c r="C1807" s="19" t="n">
        <v>0</v>
      </c>
      <c r="D1807" s="19" t="n">
        <v>0</v>
      </c>
      <c r="E1807" s="19" t="n">
        <v>1</v>
      </c>
      <c r="F1807" s="19" t="n">
        <v>118.54</v>
      </c>
      <c r="G1807" s="8" t="n">
        <f aca="false">IFERROR(INDEX('TRANS'!$B:$B,MATCH($B1807,'TRANS'!$A:$A,0)),IFERROR(INDEX('TRANS'!$B:$B,MATCH(TRIM(SUBSTITUTE($B1807,CHAR(160)," ")),'TRANS'!$D:$D,0)),IFERROR(INDEX('Catalog'!$A:$A,MATCH($B1807,'Catalog'!$B:$B,0)),IFERROR(INDEX('Catalog'!$A:$A,MATCH(TRIM(SUBSTITUTE($B1807,CHAR(160)," ")),'Catalog'!$C:$C,0)),""))))</f>
        <v>4413520</v>
      </c>
      <c r="H1807" s="8" t="str">
        <f aca="false">IFERROR(INDEX('TRANS'!$C:$C,MATCH($B1807,'TRANS'!$A:$A,0)),IFERROR(INDEX('Catalog'!$B:$B,MATCH($G1807,'Catalog'!$A:$A,0)),$B1807))</f>
        <v>מדרסי אפיק ג'ל מולט.ספורט35-38</v>
      </c>
      <c r="I1807" s="8" t="str">
        <f aca="false">IF($G1807="","Unmatched","Matched")</f>
        <v>Matched</v>
      </c>
    </row>
    <row r="1808" customFormat="false" ht="15" hidden="false" customHeight="false" outlineLevel="0" collapsed="false">
      <c r="A1808" s="8" t="s">
        <v>862</v>
      </c>
      <c r="B1808" s="8" t="s">
        <v>483</v>
      </c>
      <c r="C1808" s="19" t="n">
        <v>0</v>
      </c>
      <c r="D1808" s="19" t="n">
        <v>0</v>
      </c>
      <c r="E1808" s="19" t="n">
        <v>8</v>
      </c>
      <c r="F1808" s="19" t="n">
        <v>853.48</v>
      </c>
      <c r="G1808" s="8" t="n">
        <f aca="false">IFERROR(INDEX('TRANS'!$B:$B,MATCH($B1808,'TRANS'!$A:$A,0)),IFERROR(INDEX('TRANS'!$B:$B,MATCH(TRIM(SUBSTITUTE($B1808,CHAR(160)," ")),'TRANS'!$D:$D,0)),IFERROR(INDEX('Catalog'!$A:$A,MATCH($B1808,'Catalog'!$B:$B,0)),IFERROR(INDEX('Catalog'!$A:$A,MATCH(TRIM(SUBSTITUTE($B1808,CHAR(160)," ")),'Catalog'!$C:$C,0)),""))))</f>
        <v>4413521</v>
      </c>
      <c r="H1808" s="8" t="str">
        <f aca="false">IFERROR(INDEX('TRANS'!$C:$C,MATCH($B1808,'TRANS'!$A:$A,0)),IFERROR(INDEX('Catalog'!$B:$B,MATCH($G1808,'Catalog'!$A:$A,0)),$B1808))</f>
        <v>מדרסי אפיק ג'ל מולטי ספור39-42</v>
      </c>
      <c r="I1808" s="8" t="str">
        <f aca="false">IF($G1808="","Unmatched","Matched")</f>
        <v>Matched</v>
      </c>
    </row>
    <row r="1809" customFormat="false" ht="15" hidden="false" customHeight="false" outlineLevel="0" collapsed="false">
      <c r="A1809" s="8" t="s">
        <v>862</v>
      </c>
      <c r="B1809" s="8" t="s">
        <v>484</v>
      </c>
      <c r="C1809" s="19" t="n">
        <v>0</v>
      </c>
      <c r="D1809" s="19" t="n">
        <v>0</v>
      </c>
      <c r="E1809" s="19" t="n">
        <v>19</v>
      </c>
      <c r="F1809" s="19" t="n">
        <v>2062.54</v>
      </c>
      <c r="G1809" s="8" t="n">
        <f aca="false">IFERROR(INDEX('TRANS'!$B:$B,MATCH($B1809,'TRANS'!$A:$A,0)),IFERROR(INDEX('TRANS'!$B:$B,MATCH(TRIM(SUBSTITUTE($B1809,CHAR(160)," ")),'TRANS'!$D:$D,0)),IFERROR(INDEX('Catalog'!$A:$A,MATCH($B1809,'Catalog'!$B:$B,0)),IFERROR(INDEX('Catalog'!$A:$A,MATCH(TRIM(SUBSTITUTE($B1809,CHAR(160)," ")),'Catalog'!$C:$C,0)),""))))</f>
        <v>4413522</v>
      </c>
      <c r="H1809" s="8" t="str">
        <f aca="false">IFERROR(INDEX('TRANS'!$C:$C,MATCH($B1809,'TRANS'!$A:$A,0)),IFERROR(INDEX('Catalog'!$B:$B,MATCH($G1809,'Catalog'!$A:$A,0)),$B1809))</f>
        <v>מדרסי אפיק ג'ל מולט.ספורט43-47</v>
      </c>
      <c r="I1809" s="8" t="str">
        <f aca="false">IF($G1809="","Unmatched","Matched")</f>
        <v>Matched</v>
      </c>
    </row>
    <row r="1810" customFormat="false" ht="15" hidden="false" customHeight="false" outlineLevel="0" collapsed="false">
      <c r="A1810" s="8" t="s">
        <v>862</v>
      </c>
      <c r="B1810" s="8" t="s">
        <v>485</v>
      </c>
      <c r="C1810" s="19" t="n">
        <v>0</v>
      </c>
      <c r="D1810" s="19" t="n">
        <v>0</v>
      </c>
      <c r="E1810" s="19" t="n">
        <v>10</v>
      </c>
      <c r="F1810" s="19" t="n">
        <v>1018.54</v>
      </c>
      <c r="G1810" s="8" t="n">
        <f aca="false">IFERROR(INDEX('TRANS'!$B:$B,MATCH($B1810,'TRANS'!$A:$A,0)),IFERROR(INDEX('TRANS'!$B:$B,MATCH(TRIM(SUBSTITUTE($B1810,CHAR(160)," ")),'TRANS'!$D:$D,0)),IFERROR(INDEX('Catalog'!$A:$A,MATCH($B1810,'Catalog'!$B:$B,0)),IFERROR(INDEX('Catalog'!$A:$A,MATCH(TRIM(SUBSTITUTE($B1810,CHAR(160)," ")),'Catalog'!$C:$C,0)),""))))</f>
        <v>4413527</v>
      </c>
      <c r="H1810" s="8" t="str">
        <f aca="false">IFERROR(INDEX('TRANS'!$C:$C,MATCH($B1810,'TRANS'!$A:$A,0)),IFERROR(INDEX('Catalog'!$B:$B,MATCH($G1810,'Catalog'!$A:$A,0)),$B1810))</f>
        <v>35-38 מדרסי אפיק ג'ל עבודה</v>
      </c>
      <c r="I1810" s="8" t="str">
        <f aca="false">IF($G1810="","Unmatched","Matched")</f>
        <v>Matched</v>
      </c>
    </row>
    <row r="1811" customFormat="false" ht="15" hidden="false" customHeight="false" outlineLevel="0" collapsed="false">
      <c r="A1811" s="8" t="s">
        <v>862</v>
      </c>
      <c r="B1811" s="8" t="s">
        <v>486</v>
      </c>
      <c r="C1811" s="19" t="n">
        <v>0</v>
      </c>
      <c r="D1811" s="19" t="n">
        <v>0</v>
      </c>
      <c r="E1811" s="19" t="n">
        <v>9</v>
      </c>
      <c r="F1811" s="19" t="n">
        <v>950.74</v>
      </c>
      <c r="G1811" s="8" t="n">
        <f aca="false">IFERROR(INDEX('TRANS'!$B:$B,MATCH($B1811,'TRANS'!$A:$A,0)),IFERROR(INDEX('TRANS'!$B:$B,MATCH(TRIM(SUBSTITUTE($B1811,CHAR(160)," ")),'TRANS'!$D:$D,0)),IFERROR(INDEX('Catalog'!$A:$A,MATCH($B1811,'Catalog'!$B:$B,0)),IFERROR(INDEX('Catalog'!$A:$A,MATCH(TRIM(SUBSTITUTE($B1811,CHAR(160)," ")),'Catalog'!$C:$C,0)),""))))</f>
        <v>4413528</v>
      </c>
      <c r="H1811" s="8" t="str">
        <f aca="false">IFERROR(INDEX('TRANS'!$C:$C,MATCH($B1811,'TRANS'!$A:$A,0)),IFERROR(INDEX('Catalog'!$B:$B,MATCH($G1811,'Catalog'!$A:$A,0)),$B1811))</f>
        <v>39-42 מדרסי אפיק ג'ל עבודה</v>
      </c>
      <c r="I1811" s="8" t="str">
        <f aca="false">IF($G1811="","Unmatched","Matched")</f>
        <v>Matched</v>
      </c>
    </row>
    <row r="1812" customFormat="false" ht="15" hidden="false" customHeight="false" outlineLevel="0" collapsed="false">
      <c r="A1812" s="8" t="s">
        <v>862</v>
      </c>
      <c r="B1812" s="8" t="s">
        <v>487</v>
      </c>
      <c r="C1812" s="19" t="n">
        <v>0</v>
      </c>
      <c r="D1812" s="19" t="n">
        <v>0</v>
      </c>
      <c r="E1812" s="19" t="n">
        <v>19</v>
      </c>
      <c r="F1812" s="19" t="n">
        <v>2059.82</v>
      </c>
      <c r="G1812" s="8" t="n">
        <f aca="false">IFERROR(INDEX('TRANS'!$B:$B,MATCH($B1812,'TRANS'!$A:$A,0)),IFERROR(INDEX('TRANS'!$B:$B,MATCH(TRIM(SUBSTITUTE($B1812,CHAR(160)," ")),'TRANS'!$D:$D,0)),IFERROR(INDEX('Catalog'!$A:$A,MATCH($B1812,'Catalog'!$B:$B,0)),IFERROR(INDEX('Catalog'!$A:$A,MATCH(TRIM(SUBSTITUTE($B1812,CHAR(160)," ")),'Catalog'!$C:$C,0)),""))))</f>
        <v>4413529</v>
      </c>
      <c r="H1812" s="8" t="str">
        <f aca="false">IFERROR(INDEX('TRANS'!$C:$C,MATCH($B1812,'TRANS'!$A:$A,0)),IFERROR(INDEX('Catalog'!$B:$B,MATCH($G1812,'Catalog'!$A:$A,0)),$B1812))</f>
        <v>43-47 מדרסי אפיק ג'ל עבודה</v>
      </c>
      <c r="I1812" s="8" t="str">
        <f aca="false">IF($G1812="","Unmatched","Matched")</f>
        <v>Matched</v>
      </c>
    </row>
    <row r="1813" customFormat="false" ht="15" hidden="false" customHeight="false" outlineLevel="0" collapsed="false">
      <c r="A1813" s="8" t="s">
        <v>862</v>
      </c>
      <c r="B1813" s="8" t="s">
        <v>203</v>
      </c>
      <c r="C1813" s="19" t="n">
        <v>0</v>
      </c>
      <c r="D1813" s="19" t="n">
        <v>0</v>
      </c>
      <c r="E1813" s="19" t="n">
        <v>1</v>
      </c>
      <c r="F1813" s="19" t="n">
        <v>51.98</v>
      </c>
      <c r="G1813" s="8" t="n">
        <f aca="false">IFERROR(INDEX('TRANS'!$B:$B,MATCH($B1813,'TRANS'!$A:$A,0)),IFERROR(INDEX('TRANS'!$B:$B,MATCH(TRIM(SUBSTITUTE($B1813,CHAR(160)," ")),'TRANS'!$D:$D,0)),IFERROR(INDEX('Catalog'!$A:$A,MATCH($B1813,'Catalog'!$B:$B,0)),IFERROR(INDEX('Catalog'!$A:$A,MATCH(TRIM(SUBSTITUTE($B1813,CHAR(160)," ")),'Catalog'!$C:$C,0)),""))))</f>
        <v>4420016</v>
      </c>
      <c r="H1813" s="8" t="str">
        <f aca="false">IFERROR(INDEX('TRANS'!$C:$C,MATCH($B1813,'TRANS'!$A:$A,0)),IFERROR(INDEX('Catalog'!$B:$B,MATCH($G1813,'Catalog'!$A:$A,0)),$B1813))</f>
        <v>40-רצועת פיקה לברך</v>
      </c>
      <c r="I1813" s="8" t="str">
        <f aca="false">IF($G1813="","Unmatched","Matched")</f>
        <v>Matched</v>
      </c>
    </row>
    <row r="1814" customFormat="false" ht="15" hidden="false" customHeight="false" outlineLevel="0" collapsed="false">
      <c r="A1814" s="8" t="s">
        <v>862</v>
      </c>
      <c r="B1814" s="8" t="s">
        <v>208</v>
      </c>
      <c r="C1814" s="19" t="n">
        <v>2</v>
      </c>
      <c r="D1814" s="19" t="n">
        <v>61.78</v>
      </c>
      <c r="E1814" s="19" t="n">
        <v>6</v>
      </c>
      <c r="F1814" s="19" t="n">
        <v>185.35</v>
      </c>
      <c r="G1814" s="8" t="n">
        <f aca="false">IFERROR(INDEX('TRANS'!$B:$B,MATCH($B1814,'TRANS'!$A:$A,0)),IFERROR(INDEX('TRANS'!$B:$B,MATCH(TRIM(SUBSTITUTE($B1814,CHAR(160)," ")),'TRANS'!$D:$D,0)),IFERROR(INDEX('Catalog'!$A:$A,MATCH($B1814,'Catalog'!$B:$B,0)),IFERROR(INDEX('Catalog'!$A:$A,MATCH(TRIM(SUBSTITUTE($B1814,CHAR(160)," ")),'Catalog'!$C:$C,0)),""))))</f>
        <v>4413495</v>
      </c>
      <c r="H1814" s="8" t="str">
        <f aca="false">IFERROR(INDEX('TRANS'!$C:$C,MATCH($B1814,'TRANS'!$A:$A,0)),IFERROR(INDEX('Catalog'!$B:$B,MATCH($G1814,'Catalog'!$A:$A,0)),$B1814))</f>
        <v>45B L מגן ברך שחור</v>
      </c>
      <c r="I1814" s="8" t="str">
        <f aca="false">IF($G1814="","Unmatched","Matched")</f>
        <v>Matched</v>
      </c>
    </row>
    <row r="1815" customFormat="false" ht="15" hidden="false" customHeight="false" outlineLevel="0" collapsed="false">
      <c r="A1815" s="8" t="s">
        <v>862</v>
      </c>
      <c r="B1815" s="8" t="s">
        <v>380</v>
      </c>
      <c r="C1815" s="19" t="n">
        <v>2</v>
      </c>
      <c r="D1815" s="19" t="n">
        <v>61.78</v>
      </c>
      <c r="E1815" s="19" t="n">
        <v>5</v>
      </c>
      <c r="F1815" s="19" t="n">
        <v>154.46</v>
      </c>
      <c r="G1815" s="8" t="n">
        <f aca="false">IFERROR(INDEX('TRANS'!$B:$B,MATCH($B1815,'TRANS'!$A:$A,0)),IFERROR(INDEX('TRANS'!$B:$B,MATCH(TRIM(SUBSTITUTE($B1815,CHAR(160)," ")),'TRANS'!$D:$D,0)),IFERROR(INDEX('Catalog'!$A:$A,MATCH($B1815,'Catalog'!$B:$B,0)),IFERROR(INDEX('Catalog'!$A:$A,MATCH(TRIM(SUBSTITUTE($B1815,CHAR(160)," ")),'Catalog'!$C:$C,0)),""))))</f>
        <v>4413496</v>
      </c>
      <c r="H1815" s="8" t="str">
        <f aca="false">IFERROR(INDEX('TRANS'!$C:$C,MATCH($B1815,'TRANS'!$A:$A,0)),IFERROR(INDEX('Catalog'!$B:$B,MATCH($G1815,'Catalog'!$A:$A,0)),$B1815))</f>
        <v>45B XL מגן ברך שחור</v>
      </c>
      <c r="I1815" s="8" t="str">
        <f aca="false">IF($G1815="","Unmatched","Matched")</f>
        <v>Matched</v>
      </c>
    </row>
    <row r="1816" customFormat="false" ht="15" hidden="false" customHeight="false" outlineLevel="0" collapsed="false">
      <c r="A1816" s="8" t="s">
        <v>862</v>
      </c>
      <c r="B1816" s="8" t="s">
        <v>865</v>
      </c>
      <c r="C1816" s="19" t="n">
        <v>0</v>
      </c>
      <c r="D1816" s="19" t="n">
        <v>0</v>
      </c>
      <c r="E1816" s="19" t="n">
        <v>10</v>
      </c>
      <c r="F1816" s="19" t="n">
        <v>32.25</v>
      </c>
      <c r="G1816" s="8" t="str">
        <f aca="false">IFERROR(INDEX('TRANS'!$B:$B,MATCH($B1816,'TRANS'!$A:$A,0)),IFERROR(INDEX('TRANS'!$B:$B,MATCH(TRIM(SUBSTITUTE($B1816,CHAR(160)," ")),'TRANS'!$D:$D,0)),IFERROR(INDEX('Catalog'!$A:$A,MATCH($B1816,'Catalog'!$B:$B,0)),IFERROR(INDEX('Catalog'!$A:$A,MATCH(TRIM(SUBSTITUTE($B1816,CHAR(160)," ")),'Catalog'!$C:$C,0)),""))))</f>
        <v/>
      </c>
      <c r="H1816" s="8" t="str">
        <f aca="false">IFERROR(INDEX('TRANS'!$C:$C,MATCH($B1816,'TRANS'!$A:$A,0)),IFERROR(INDEX('Catalog'!$B:$B,MATCH($G1816,'Catalog'!$A:$A,0)),$B1816))</f>
        <v>8011 0</v>
      </c>
      <c r="I1816" s="8" t="str">
        <f aca="false">IF($G1816="","Unmatched","Matched")</f>
        <v>Unmatched</v>
      </c>
    </row>
    <row r="1817" customFormat="false" ht="15" hidden="false" customHeight="false" outlineLevel="0" collapsed="false">
      <c r="A1817" s="8" t="s">
        <v>862</v>
      </c>
      <c r="B1817" s="8" t="s">
        <v>239</v>
      </c>
      <c r="C1817" s="19" t="n">
        <v>0</v>
      </c>
      <c r="D1817" s="19" t="n">
        <v>0</v>
      </c>
      <c r="E1817" s="19" t="n">
        <v>7</v>
      </c>
      <c r="F1817" s="19" t="n">
        <v>121.06</v>
      </c>
      <c r="G1817" s="8" t="n">
        <f aca="false">IFERROR(INDEX('TRANS'!$B:$B,MATCH($B1817,'TRANS'!$A:$A,0)),IFERROR(INDEX('TRANS'!$B:$B,MATCH(TRIM(SUBSTITUTE($B1817,CHAR(160)," ")),'TRANS'!$D:$D,0)),IFERROR(INDEX('Catalog'!$A:$A,MATCH($B1817,'Catalog'!$B:$B,0)),IFERROR(INDEX('Catalog'!$A:$A,MATCH(TRIM(SUBSTITUTE($B1817,CHAR(160)," ")),'Catalog'!$C:$C,0)),""))))</f>
        <v>4409011</v>
      </c>
      <c r="H1817" s="8" t="str">
        <f aca="false">IFERROR(INDEX('TRANS'!$C:$C,MATCH($B1817,'TRANS'!$A:$A,0)),IFERROR(INDEX('Catalog'!$B:$B,MATCH($G1817,'Catalog'!$A:$A,0)),$B1817))</f>
        <v>804AT-B      טייפ חבישה לספורט</v>
      </c>
      <c r="I1817" s="8" t="str">
        <f aca="false">IF($G1817="","Unmatched","Matched")</f>
        <v>Matched</v>
      </c>
    </row>
    <row r="1818" customFormat="false" ht="15" hidden="false" customHeight="false" outlineLevel="0" collapsed="false">
      <c r="A1818" s="8" t="s">
        <v>862</v>
      </c>
      <c r="B1818" s="8" t="s">
        <v>240</v>
      </c>
      <c r="C1818" s="19" t="n">
        <v>4</v>
      </c>
      <c r="D1818" s="19" t="n">
        <v>69.18</v>
      </c>
      <c r="E1818" s="19" t="n">
        <v>3</v>
      </c>
      <c r="F1818" s="19" t="n">
        <v>51.88</v>
      </c>
      <c r="G1818" s="8" t="n">
        <f aca="false">IFERROR(INDEX('TRANS'!$B:$B,MATCH($B1818,'TRANS'!$A:$A,0)),IFERROR(INDEX('TRANS'!$B:$B,MATCH(TRIM(SUBSTITUTE($B1818,CHAR(160)," ")),'TRANS'!$D:$D,0)),IFERROR(INDEX('Catalog'!$A:$A,MATCH($B1818,'Catalog'!$B:$B,0)),IFERROR(INDEX('Catalog'!$A:$A,MATCH(TRIM(SUBSTITUTE($B1818,CHAR(160)," ")),'Catalog'!$C:$C,0)),""))))</f>
        <v>4409013</v>
      </c>
      <c r="H1818" s="8" t="str">
        <f aca="false">IFERROR(INDEX('TRANS'!$C:$C,MATCH($B1818,'TRANS'!$A:$A,0)),IFERROR(INDEX('Catalog'!$B:$B,MATCH($G1818,'Catalog'!$A:$A,0)),$B1818))</f>
        <v>804AT-BL     טייפ חבישה לספורט</v>
      </c>
      <c r="I1818" s="8" t="str">
        <f aca="false">IF($G1818="","Unmatched","Matched")</f>
        <v>Matched</v>
      </c>
    </row>
    <row r="1819" customFormat="false" ht="15" hidden="false" customHeight="false" outlineLevel="0" collapsed="false">
      <c r="A1819" s="8" t="s">
        <v>862</v>
      </c>
      <c r="B1819" s="8" t="s">
        <v>241</v>
      </c>
      <c r="C1819" s="19" t="n">
        <v>0</v>
      </c>
      <c r="D1819" s="19" t="n">
        <v>0</v>
      </c>
      <c r="E1819" s="19" t="n">
        <v>3</v>
      </c>
      <c r="F1819" s="19" t="n">
        <v>51.88</v>
      </c>
      <c r="G1819" s="8" t="n">
        <f aca="false">IFERROR(INDEX('TRANS'!$B:$B,MATCH($B1819,'TRANS'!$A:$A,0)),IFERROR(INDEX('TRANS'!$B:$B,MATCH(TRIM(SUBSTITUTE($B1819,CHAR(160)," ")),'TRANS'!$D:$D,0)),IFERROR(INDEX('Catalog'!$A:$A,MATCH($B1819,'Catalog'!$B:$B,0)),IFERROR(INDEX('Catalog'!$A:$A,MATCH(TRIM(SUBSTITUTE($B1819,CHAR(160)," ")),'Catalog'!$C:$C,0)),""))))</f>
        <v>4409012</v>
      </c>
      <c r="H1819" s="8" t="str">
        <f aca="false">IFERROR(INDEX('TRANS'!$C:$C,MATCH($B1819,'TRANS'!$A:$A,0)),IFERROR(INDEX('Catalog'!$B:$B,MATCH($G1819,'Catalog'!$A:$A,0)),$B1819))</f>
        <v>804AT-C      טייפ חבישה לספורט</v>
      </c>
      <c r="I1819" s="8" t="str">
        <f aca="false">IF($G1819="","Unmatched","Matched")</f>
        <v>Matched</v>
      </c>
    </row>
    <row r="1820" customFormat="false" ht="15" hidden="false" customHeight="false" outlineLevel="0" collapsed="false">
      <c r="A1820" s="8" t="s">
        <v>862</v>
      </c>
      <c r="B1820" s="8" t="s">
        <v>247</v>
      </c>
      <c r="C1820" s="19" t="n">
        <v>3</v>
      </c>
      <c r="D1820" s="19" t="n">
        <v>90</v>
      </c>
      <c r="E1820" s="19" t="n">
        <v>4</v>
      </c>
      <c r="F1820" s="19" t="n">
        <v>189.18</v>
      </c>
      <c r="G1820" s="8" t="n">
        <f aca="false">IFERROR(INDEX('TRANS'!$B:$B,MATCH($B1820,'TRANS'!$A:$A,0)),IFERROR(INDEX('TRANS'!$B:$B,MATCH(TRIM(SUBSTITUTE($B1820,CHAR(160)," ")),'TRANS'!$D:$D,0)),IFERROR(INDEX('Catalog'!$A:$A,MATCH($B1820,'Catalog'!$B:$B,0)),IFERROR(INDEX('Catalog'!$A:$A,MATCH(TRIM(SUBSTITUTE($B1820,CHAR(160)," ")),'Catalog'!$C:$C,0)),""))))</f>
        <v>4409017</v>
      </c>
      <c r="H1820" s="8" t="str">
        <f aca="false">IFERROR(INDEX('TRANS'!$C:$C,MATCH($B1820,'TRANS'!$A:$A,0)),IFERROR(INDEX('Catalog'!$B:$B,MATCH($G1820,'Catalog'!$A:$A,0)),$B1820))</f>
        <v>808KT-B        טייפ קינזיולוגי</v>
      </c>
      <c r="I1820" s="8" t="str">
        <f aca="false">IF($G1820="","Unmatched","Matched")</f>
        <v>Matched</v>
      </c>
    </row>
    <row r="1821" customFormat="false" ht="15" hidden="false" customHeight="false" outlineLevel="0" collapsed="false">
      <c r="A1821" s="8" t="s">
        <v>862</v>
      </c>
      <c r="B1821" s="8" t="s">
        <v>630</v>
      </c>
      <c r="C1821" s="19" t="n">
        <v>0</v>
      </c>
      <c r="D1821" s="19" t="n">
        <v>0</v>
      </c>
      <c r="E1821" s="19" t="n">
        <v>3</v>
      </c>
      <c r="F1821" s="19" t="n">
        <v>141.68</v>
      </c>
      <c r="G1821" s="8" t="str">
        <f aca="false">IFERROR(INDEX('TRANS'!$B:$B,MATCH($B1821,'TRANS'!$A:$A,0)),IFERROR(INDEX('TRANS'!$B:$B,MATCH(TRIM(SUBSTITUTE($B1821,CHAR(160)," ")),'TRANS'!$D:$D,0)),IFERROR(INDEX('Catalog'!$A:$A,MATCH($B1821,'Catalog'!$B:$B,0)),IFERROR(INDEX('Catalog'!$A:$A,MATCH(TRIM(SUBSTITUTE($B1821,CHAR(160)," ")),'Catalog'!$C:$C,0)),""))))</f>
        <v/>
      </c>
      <c r="H1821" s="8" t="str">
        <f aca="false">IFERROR(INDEX('TRANS'!$C:$C,MATCH($B1821,'TRANS'!$A:$A,0)),IFERROR(INDEX('Catalog'!$B:$B,MATCH($G1821,'Catalog'!$A:$A,0)),$B1821))</f>
        <v>808KTP-C</v>
      </c>
      <c r="I1821" s="8" t="str">
        <f aca="false">IF($G1821="","Unmatched","Matched")</f>
        <v>Unmatched</v>
      </c>
    </row>
    <row r="1822" customFormat="false" ht="15" hidden="false" customHeight="false" outlineLevel="0" collapsed="false">
      <c r="A1822" s="8" t="s">
        <v>862</v>
      </c>
      <c r="B1822" s="8" t="s">
        <v>424</v>
      </c>
      <c r="C1822" s="19" t="n">
        <v>3</v>
      </c>
      <c r="D1822" s="19" t="n">
        <v>252.97</v>
      </c>
      <c r="E1822" s="19" t="n">
        <v>6</v>
      </c>
      <c r="F1822" s="19" t="n">
        <v>447.97</v>
      </c>
      <c r="G1822" s="8" t="n">
        <f aca="false">IFERROR(INDEX('TRANS'!$B:$B,MATCH($B1822,'TRANS'!$A:$A,0)),IFERROR(INDEX('TRANS'!$B:$B,MATCH(TRIM(SUBSTITUTE($B1822,CHAR(160)," ")),'TRANS'!$D:$D,0)),IFERROR(INDEX('Catalog'!$A:$A,MATCH($B1822,'Catalog'!$B:$B,0)),IFERROR(INDEX('Catalog'!$A:$A,MATCH(TRIM(SUBSTITUTE($B1822,CHAR(160)," ")),'Catalog'!$C:$C,0)),""))))</f>
        <v>4408266</v>
      </c>
      <c r="H1822" s="8" t="str">
        <f aca="false">IFERROR(INDEX('TRANS'!$C:$C,MATCH($B1822,'TRANS'!$A:$A,0)),IFERROR(INDEX('Catalog'!$B:$B,MATCH($G1822,'Catalog'!$A:$A,0)),$B1822))</f>
        <v>91B חבק טניס אלבו</v>
      </c>
      <c r="I1822" s="8" t="str">
        <f aca="false">IF($G1822="","Unmatched","Matched")</f>
        <v>Matched</v>
      </c>
    </row>
    <row r="1823" customFormat="false" ht="15" hidden="false" customHeight="false" outlineLevel="0" collapsed="false">
      <c r="A1823" s="8" t="s">
        <v>862</v>
      </c>
      <c r="B1823" s="8" t="s">
        <v>261</v>
      </c>
      <c r="C1823" s="19" t="n">
        <v>2</v>
      </c>
      <c r="D1823" s="19" t="n">
        <v>61.78</v>
      </c>
      <c r="E1823" s="19" t="n">
        <v>3</v>
      </c>
      <c r="F1823" s="19" t="n">
        <v>92.68</v>
      </c>
      <c r="G1823" s="8" t="n">
        <f aca="false">IFERROR(INDEX('TRANS'!$B:$B,MATCH($B1823,'TRANS'!$A:$A,0)),IFERROR(INDEX('TRANS'!$B:$B,MATCH(TRIM(SUBSTITUTE($B1823,CHAR(160)," ")),'TRANS'!$D:$D,0)),IFERROR(INDEX('Catalog'!$A:$A,MATCH($B1823,'Catalog'!$B:$B,0)),IFERROR(INDEX('Catalog'!$A:$A,MATCH(TRIM(SUBSTITUTE($B1823,CHAR(160)," ")),'Catalog'!$C:$C,0)),""))))</f>
        <v>4413500</v>
      </c>
      <c r="H1823" s="8" t="str">
        <f aca="false">IFERROR(INDEX('TRANS'!$C:$C,MATCH($B1823,'TRANS'!$A:$A,0)),IFERROR(INDEX('Catalog'!$B:$B,MATCH($G1823,'Catalog'!$A:$A,0)),$B1823))</f>
        <v>95B L מגן מרפק שחור</v>
      </c>
      <c r="I1823" s="8" t="str">
        <f aca="false">IF($G1823="","Unmatched","Matched")</f>
        <v>Matched</v>
      </c>
    </row>
    <row r="1824" customFormat="false" ht="15" hidden="false" customHeight="false" outlineLevel="0" collapsed="false">
      <c r="A1824" s="8" t="s">
        <v>862</v>
      </c>
      <c r="B1824" s="8" t="s">
        <v>264</v>
      </c>
      <c r="C1824" s="19" t="n">
        <v>2</v>
      </c>
      <c r="D1824" s="19" t="n">
        <v>61.78</v>
      </c>
      <c r="E1824" s="19" t="n">
        <v>0</v>
      </c>
      <c r="F1824" s="19" t="n">
        <v>0</v>
      </c>
      <c r="G1824" s="8" t="n">
        <f aca="false">IFERROR(INDEX('TRANS'!$B:$B,MATCH($B1824,'TRANS'!$A:$A,0)),IFERROR(INDEX('TRANS'!$B:$B,MATCH(TRIM(SUBSTITUTE($B1824,CHAR(160)," ")),'TRANS'!$D:$D,0)),IFERROR(INDEX('Catalog'!$A:$A,MATCH($B1824,'Catalog'!$B:$B,0)),IFERROR(INDEX('Catalog'!$A:$A,MATCH(TRIM(SUBSTITUTE($B1824,CHAR(160)," ")),'Catalog'!$C:$C,0)),""))))</f>
        <v>4413503</v>
      </c>
      <c r="H1824" s="8" t="str">
        <f aca="false">IFERROR(INDEX('TRANS'!$C:$C,MATCH($B1824,'TRANS'!$A:$A,0)),IFERROR(INDEX('Catalog'!$B:$B,MATCH($G1824,'Catalog'!$A:$A,0)),$B1824))</f>
        <v>95B XL מגן מרפק שחור</v>
      </c>
      <c r="I1824" s="8" t="str">
        <f aca="false">IF($G1824="","Unmatched","Matched")</f>
        <v>Matched</v>
      </c>
    </row>
    <row r="1825" customFormat="false" ht="15" hidden="false" customHeight="false" outlineLevel="0" collapsed="false">
      <c r="A1825" s="8" t="s">
        <v>862</v>
      </c>
      <c r="B1825" s="8" t="s">
        <v>265</v>
      </c>
      <c r="C1825" s="19" t="n">
        <v>0</v>
      </c>
      <c r="D1825" s="19" t="n">
        <v>0</v>
      </c>
      <c r="E1825" s="19" t="n">
        <v>2</v>
      </c>
      <c r="F1825" s="19" t="n">
        <v>61.79</v>
      </c>
      <c r="G1825" s="8" t="n">
        <f aca="false">IFERROR(INDEX('TRANS'!$B:$B,MATCH($B1825,'TRANS'!$A:$A,0)),IFERROR(INDEX('TRANS'!$B:$B,MATCH(TRIM(SUBSTITUTE($B1825,CHAR(160)," ")),'TRANS'!$D:$D,0)),IFERROR(INDEX('Catalog'!$A:$A,MATCH($B1825,'Catalog'!$B:$B,0)),IFERROR(INDEX('Catalog'!$A:$A,MATCH(TRIM(SUBSTITUTE($B1825,CHAR(160)," ")),'Catalog'!$C:$C,0)),""))))</f>
        <v>4413365</v>
      </c>
      <c r="H1825" s="8" t="str">
        <f aca="false">IFERROR(INDEX('TRANS'!$C:$C,MATCH($B1825,'TRANS'!$A:$A,0)),IFERROR(INDEX('Catalog'!$B:$B,MATCH($G1825,'Catalog'!$A:$A,0)),$B1825))</f>
        <v>95C L 'מגן מרפק בז</v>
      </c>
      <c r="I1825" s="8" t="str">
        <f aca="false">IF($G1825="","Unmatched","Matched")</f>
        <v>Matched</v>
      </c>
    </row>
    <row r="1826" customFormat="false" ht="15" hidden="false" customHeight="false" outlineLevel="0" collapsed="false">
      <c r="A1826" s="8" t="s">
        <v>862</v>
      </c>
      <c r="B1826" s="8" t="s">
        <v>267</v>
      </c>
      <c r="C1826" s="19" t="n">
        <v>0</v>
      </c>
      <c r="D1826" s="19" t="n">
        <v>0</v>
      </c>
      <c r="E1826" s="19" t="n">
        <v>6</v>
      </c>
      <c r="F1826" s="19" t="n">
        <v>562.3</v>
      </c>
      <c r="G1826" s="8" t="n">
        <f aca="false">IFERROR(INDEX('TRANS'!$B:$B,MATCH($B1826,'TRANS'!$A:$A,0)),IFERROR(INDEX('TRANS'!$B:$B,MATCH(TRIM(SUBSTITUTE($B1826,CHAR(160)," ")),'TRANS'!$D:$D,0)),IFERROR(INDEX('Catalog'!$A:$A,MATCH($B1826,'Catalog'!$B:$B,0)),IFERROR(INDEX('Catalog'!$A:$A,MATCH(TRIM(SUBSTITUTE($B1826,CHAR(160)," ")),'Catalog'!$C:$C,0)),""))))</f>
        <v>4408205</v>
      </c>
      <c r="H1826" s="8" t="str">
        <f aca="false">IFERROR(INDEX('TRANS'!$C:$C,MATCH($B1826,'TRANS'!$A:$A,0)),IFERROR(INDEX('Catalog'!$B:$B,MATCH($G1826,'Catalog'!$A:$A,0)),$B1826))</f>
        <v>AC-07 חגורת גב עם תמיכות</v>
      </c>
      <c r="I1826" s="8" t="str">
        <f aca="false">IF($G1826="","Unmatched","Matched")</f>
        <v>Matched</v>
      </c>
    </row>
    <row r="1827" customFormat="false" ht="15" hidden="false" customHeight="false" outlineLevel="0" collapsed="false">
      <c r="A1827" s="8" t="s">
        <v>862</v>
      </c>
      <c r="B1827" s="8" t="s">
        <v>54</v>
      </c>
      <c r="C1827" s="19" t="n">
        <v>6</v>
      </c>
      <c r="D1827" s="19" t="n">
        <v>435.64</v>
      </c>
      <c r="E1827" s="19" t="n">
        <v>33</v>
      </c>
      <c r="F1827" s="19" t="n">
        <v>2628.46</v>
      </c>
      <c r="G1827" s="8" t="n">
        <f aca="false">IFERROR(INDEX('TRANS'!$B:$B,MATCH($B1827,'TRANS'!$A:$A,0)),IFERROR(INDEX('TRANS'!$B:$B,MATCH(TRIM(SUBSTITUTE($B1827,CHAR(160)," ")),'TRANS'!$D:$D,0)),IFERROR(INDEX('Catalog'!$A:$A,MATCH($B1827,'Catalog'!$B:$B,0)),IFERROR(INDEX('Catalog'!$A:$A,MATCH(TRIM(SUBSTITUTE($B1827,CHAR(160)," ")),'Catalog'!$C:$C,0)),""))))</f>
        <v>4413453</v>
      </c>
      <c r="H1827" s="8" t="str">
        <f aca="false">IFERROR(INDEX('TRANS'!$C:$C,MATCH($B1827,'TRANS'!$A:$A,0)),IFERROR(INDEX('Catalog'!$B:$B,MATCH($G1827,'Catalog'!$A:$A,0)),$B1827))</f>
        <v>AC75 מישר כתפיים אקטיב</v>
      </c>
      <c r="I1827" s="8" t="str">
        <f aca="false">IF($G1827="","Unmatched","Matched")</f>
        <v>Matched</v>
      </c>
    </row>
    <row r="1828" customFormat="false" ht="15" hidden="false" customHeight="false" outlineLevel="0" collapsed="false">
      <c r="A1828" s="8" t="s">
        <v>862</v>
      </c>
      <c r="B1828" s="8" t="s">
        <v>277</v>
      </c>
      <c r="C1828" s="19" t="n">
        <v>0</v>
      </c>
      <c r="D1828" s="19" t="n">
        <v>0</v>
      </c>
      <c r="E1828" s="19" t="n">
        <v>10</v>
      </c>
      <c r="F1828" s="19" t="n">
        <v>397.94</v>
      </c>
      <c r="G1828" s="8" t="n">
        <f aca="false">IFERROR(INDEX('TRANS'!$B:$B,MATCH($B1828,'TRANS'!$A:$A,0)),IFERROR(INDEX('TRANS'!$B:$B,MATCH(TRIM(SUBSTITUTE($B1828,CHAR(160)," ")),'TRANS'!$D:$D,0)),IFERROR(INDEX('Catalog'!$A:$A,MATCH($B1828,'Catalog'!$B:$B,0)),IFERROR(INDEX('Catalog'!$A:$A,MATCH(TRIM(SUBSTITUTE($B1828,CHAR(160)," ")),'Catalog'!$C:$C,0)),""))))</f>
        <v>4408208</v>
      </c>
      <c r="H1828" s="8" t="str">
        <f aca="false">IFERROR(INDEX('TRANS'!$C:$C,MATCH($B1828,'TRANS'!$A:$A,0)),IFERROR(INDEX('Catalog'!$B:$B,MATCH($G1828,'Catalog'!$A:$A,0)),$B1828))</f>
        <v>AC91 חבק טניס</v>
      </c>
      <c r="I1828" s="8" t="str">
        <f aca="false">IF($G1828="","Unmatched","Matched")</f>
        <v>Matched</v>
      </c>
    </row>
    <row r="1829" customFormat="false" ht="15" hidden="false" customHeight="false" outlineLevel="0" collapsed="false">
      <c r="A1829" s="8" t="s">
        <v>862</v>
      </c>
      <c r="B1829" s="8" t="s">
        <v>292</v>
      </c>
      <c r="C1829" s="19" t="n">
        <v>3</v>
      </c>
      <c r="D1829" s="19" t="n">
        <v>231.88</v>
      </c>
      <c r="E1829" s="19" t="n">
        <v>-4</v>
      </c>
      <c r="F1829" s="19" t="n">
        <v>-374.7</v>
      </c>
      <c r="G1829" s="8" t="n">
        <f aca="false">IFERROR(INDEX('TRANS'!$B:$B,MATCH($B1829,'TRANS'!$A:$A,0)),IFERROR(INDEX('TRANS'!$B:$B,MATCH(TRIM(SUBSTITUTE($B1829,CHAR(160)," ")),'TRANS'!$D:$D,0)),IFERROR(INDEX('Catalog'!$A:$A,MATCH($B1829,'Catalog'!$B:$B,0)),IFERROR(INDEX('Catalog'!$A:$A,MATCH(TRIM(SUBSTITUTE($B1829,CHAR(160)," ")),'Catalog'!$C:$C,0)),""))))</f>
        <v>4408249</v>
      </c>
      <c r="H1829" s="8" t="str">
        <f aca="false">IFERROR(INDEX('TRANS'!$C:$C,MATCH($B1829,'TRANS'!$A:$A,0)),IFERROR(INDEX('Catalog'!$B:$B,MATCH($G1829,'Catalog'!$A:$A,0)),$B1829))</f>
        <v>SC25  L חבק יד</v>
      </c>
      <c r="I1829" s="8" t="str">
        <f aca="false">IF($G1829="","Unmatched","Matched")</f>
        <v>Matched</v>
      </c>
    </row>
    <row r="1830" customFormat="false" ht="15" hidden="false" customHeight="false" outlineLevel="0" collapsed="false">
      <c r="A1830" s="8" t="s">
        <v>862</v>
      </c>
      <c r="B1830" s="8" t="s">
        <v>293</v>
      </c>
      <c r="C1830" s="19" t="n">
        <v>0</v>
      </c>
      <c r="D1830" s="19" t="n">
        <v>0</v>
      </c>
      <c r="E1830" s="19" t="n">
        <v>4</v>
      </c>
      <c r="F1830" s="19" t="n">
        <v>374.7</v>
      </c>
      <c r="G1830" s="8" t="n">
        <f aca="false">IFERROR(INDEX('TRANS'!$B:$B,MATCH($B1830,'TRANS'!$A:$A,0)),IFERROR(INDEX('TRANS'!$B:$B,MATCH(TRIM(SUBSTITUTE($B1830,CHAR(160)," ")),'TRANS'!$D:$D,0)),IFERROR(INDEX('Catalog'!$A:$A,MATCH($B1830,'Catalog'!$B:$B,0)),IFERROR(INDEX('Catalog'!$A:$A,MATCH(TRIM(SUBSTITUTE($B1830,CHAR(160)," ")),'Catalog'!$C:$C,0)),""))))</f>
        <v>4408248</v>
      </c>
      <c r="H1830" s="8" t="str">
        <f aca="false">IFERROR(INDEX('TRANS'!$C:$C,MATCH($B1830,'TRANS'!$A:$A,0)),IFERROR(INDEX('Catalog'!$B:$B,MATCH($G1830,'Catalog'!$A:$A,0)),$B1830))</f>
        <v>SC25  M חבק יד</v>
      </c>
      <c r="I1830" s="8" t="str">
        <f aca="false">IF($G1830="","Unmatched","Matched")</f>
        <v>Matched</v>
      </c>
    </row>
    <row r="1831" customFormat="false" ht="15" hidden="false" customHeight="false" outlineLevel="0" collapsed="false">
      <c r="A1831" s="8" t="s">
        <v>862</v>
      </c>
      <c r="B1831" s="8" t="s">
        <v>294</v>
      </c>
      <c r="C1831" s="19" t="n">
        <v>0</v>
      </c>
      <c r="D1831" s="19" t="n">
        <v>0</v>
      </c>
      <c r="E1831" s="19" t="n">
        <v>3</v>
      </c>
      <c r="F1831" s="19" t="n">
        <v>281.02</v>
      </c>
      <c r="G1831" s="8" t="n">
        <f aca="false">IFERROR(INDEX('TRANS'!$B:$B,MATCH($B1831,'TRANS'!$A:$A,0)),IFERROR(INDEX('TRANS'!$B:$B,MATCH(TRIM(SUBSTITUTE($B1831,CHAR(160)," ")),'TRANS'!$D:$D,0)),IFERROR(INDEX('Catalog'!$A:$A,MATCH($B1831,'Catalog'!$B:$B,0)),IFERROR(INDEX('Catalog'!$A:$A,MATCH(TRIM(SUBSTITUTE($B1831,CHAR(160)," ")),'Catalog'!$C:$C,0)),""))))</f>
        <v>4408247</v>
      </c>
      <c r="H1831" s="8" t="str">
        <f aca="false">IFERROR(INDEX('TRANS'!$C:$C,MATCH($B1831,'TRANS'!$A:$A,0)),IFERROR(INDEX('Catalog'!$B:$B,MATCH($G1831,'Catalog'!$A:$A,0)),$B1831))</f>
        <v>SC25  S חבק יד</v>
      </c>
      <c r="I1831" s="8" t="str">
        <f aca="false">IF($G1831="","Unmatched","Matched")</f>
        <v>Matched</v>
      </c>
    </row>
    <row r="1832" customFormat="false" ht="15" hidden="false" customHeight="false" outlineLevel="0" collapsed="false">
      <c r="A1832" s="8" t="s">
        <v>862</v>
      </c>
      <c r="B1832" s="8" t="s">
        <v>295</v>
      </c>
      <c r="C1832" s="19" t="n">
        <v>0</v>
      </c>
      <c r="D1832" s="19" t="n">
        <v>0</v>
      </c>
      <c r="E1832" s="19" t="n">
        <v>5</v>
      </c>
      <c r="F1832" s="19" t="n">
        <v>468.37</v>
      </c>
      <c r="G1832" s="8" t="n">
        <f aca="false">IFERROR(INDEX('TRANS'!$B:$B,MATCH($B1832,'TRANS'!$A:$A,0)),IFERROR(INDEX('TRANS'!$B:$B,MATCH(TRIM(SUBSTITUTE($B1832,CHAR(160)," ")),'TRANS'!$D:$D,0)),IFERROR(INDEX('Catalog'!$A:$A,MATCH($B1832,'Catalog'!$B:$B,0)),IFERROR(INDEX('Catalog'!$A:$A,MATCH(TRIM(SUBSTITUTE($B1832,CHAR(160)," ")),'Catalog'!$C:$C,0)),""))))</f>
        <v>4408250</v>
      </c>
      <c r="H1832" s="8" t="str">
        <f aca="false">IFERROR(INDEX('TRANS'!$C:$C,MATCH($B1832,'TRANS'!$A:$A,0)),IFERROR(INDEX('Catalog'!$B:$B,MATCH($G1832,'Catalog'!$A:$A,0)),$B1832))</f>
        <v>SC25 XL חבק יד</v>
      </c>
      <c r="I1832" s="8" t="str">
        <f aca="false">IF($G1832="","Unmatched","Matched")</f>
        <v>Matched</v>
      </c>
    </row>
    <row r="1833" customFormat="false" ht="15" hidden="false" customHeight="false" outlineLevel="0" collapsed="false">
      <c r="A1833" s="8" t="s">
        <v>862</v>
      </c>
      <c r="B1833" s="8" t="s">
        <v>315</v>
      </c>
      <c r="C1833" s="19" t="n">
        <v>12</v>
      </c>
      <c r="D1833" s="19" t="n">
        <v>426.86</v>
      </c>
      <c r="E1833" s="19" t="n">
        <v>5</v>
      </c>
      <c r="F1833" s="19" t="n">
        <v>177.86</v>
      </c>
      <c r="G1833" s="8" t="n">
        <f aca="false">IFERROR(INDEX('TRANS'!$B:$B,MATCH($B1833,'TRANS'!$A:$A,0)),IFERROR(INDEX('TRANS'!$B:$B,MATCH(TRIM(SUBSTITUTE($B1833,CHAR(160)," ")),'TRANS'!$D:$D,0)),IFERROR(INDEX('Catalog'!$A:$A,MATCH($B1833,'Catalog'!$B:$B,0)),IFERROR(INDEX('Catalog'!$A:$A,MATCH(TRIM(SUBSTITUTE($B1833,CHAR(160)," ")),'Catalog'!$C:$C,0)),""))))</f>
        <v>4408095</v>
      </c>
      <c r="H1833" s="8" t="str">
        <f aca="false">IFERROR(INDEX('TRANS'!$C:$C,MATCH($B1833,'TRANS'!$A:$A,0)),IFERROR(INDEX('Catalog'!$B:$B,MATCH($G1833,'Catalog'!$A:$A,0)),$B1833))</f>
        <v>T20 L-XL  חבק יד עם צמדן</v>
      </c>
      <c r="I1833" s="8" t="str">
        <f aca="false">IF($G1833="","Unmatched","Matched")</f>
        <v>Matched</v>
      </c>
    </row>
    <row r="1834" customFormat="false" ht="15" hidden="false" customHeight="false" outlineLevel="0" collapsed="false">
      <c r="A1834" s="8" t="s">
        <v>862</v>
      </c>
      <c r="B1834" s="8" t="s">
        <v>318</v>
      </c>
      <c r="C1834" s="19" t="n">
        <v>0</v>
      </c>
      <c r="D1834" s="19" t="n">
        <v>0</v>
      </c>
      <c r="E1834" s="19" t="n">
        <v>5</v>
      </c>
      <c r="F1834" s="19" t="n">
        <v>234.11</v>
      </c>
      <c r="G1834" s="8" t="n">
        <f aca="false">IFERROR(INDEX('TRANS'!$B:$B,MATCH($B1834,'TRANS'!$A:$A,0)),IFERROR(INDEX('TRANS'!$B:$B,MATCH(TRIM(SUBSTITUTE($B1834,CHAR(160)," ")),'TRANS'!$D:$D,0)),IFERROR(INDEX('Catalog'!$A:$A,MATCH($B1834,'Catalog'!$B:$B,0)),IFERROR(INDEX('Catalog'!$A:$A,MATCH(TRIM(SUBSTITUTE($B1834,CHAR(160)," ")),'Catalog'!$C:$C,0)),""))))</f>
        <v>4408098</v>
      </c>
      <c r="H1834" s="8" t="str">
        <f aca="false">IFERROR(INDEX('TRANS'!$C:$C,MATCH($B1834,'TRANS'!$A:$A,0)),IFERROR(INDEX('Catalog'!$B:$B,MATCH($G1834,'Catalog'!$A:$A,0)),$B1834))</f>
        <v>T25-חבק יד אגודלי</v>
      </c>
      <c r="I1834" s="8" t="str">
        <f aca="false">IF($G1834="","Unmatched","Matched")</f>
        <v>Matched</v>
      </c>
    </row>
    <row r="1835" customFormat="false" ht="15" hidden="false" customHeight="false" outlineLevel="0" collapsed="false">
      <c r="A1835" s="8" t="s">
        <v>862</v>
      </c>
      <c r="B1835" s="8" t="s">
        <v>581</v>
      </c>
      <c r="C1835" s="19" t="n">
        <v>1</v>
      </c>
      <c r="D1835" s="19" t="n">
        <v>118.38</v>
      </c>
      <c r="E1835" s="19" t="n">
        <v>0</v>
      </c>
      <c r="F1835" s="19" t="n">
        <v>0</v>
      </c>
      <c r="G1835" s="8" t="n">
        <f aca="false">IFERROR(INDEX('TRANS'!$B:$B,MATCH($B1835,'TRANS'!$A:$A,0)),IFERROR(INDEX('TRANS'!$B:$B,MATCH(TRIM(SUBSTITUTE($B1835,CHAR(160)," ")),'TRANS'!$D:$D,0)),IFERROR(INDEX('Catalog'!$A:$A,MATCH($B1835,'Catalog'!$B:$B,0)),IFERROR(INDEX('Catalog'!$A:$A,MATCH(TRIM(SUBSTITUTE($B1835,CHAR(160)," ")),'Catalog'!$C:$C,0)),""))))</f>
        <v>4413018</v>
      </c>
      <c r="H1835" s="8" t="str">
        <f aca="false">IFERROR(INDEX('TRANS'!$C:$C,MATCH($B1835,'TRANS'!$A:$A,0)),IFERROR(INDEX('Catalog'!$B:$B,MATCH($G1835,'Catalog'!$A:$A,0)),$B1835))</f>
        <v>303 37-38 מדרסי סיליק.לח.סכרת</v>
      </c>
      <c r="I1835" s="8" t="str">
        <f aca="false">IF($G1835="","Unmatched","Matched")</f>
        <v>Matched</v>
      </c>
    </row>
    <row r="1836" customFormat="false" ht="15" hidden="false" customHeight="false" outlineLevel="0" collapsed="false">
      <c r="A1836" s="8" t="s">
        <v>862</v>
      </c>
      <c r="B1836" s="8" t="s">
        <v>582</v>
      </c>
      <c r="C1836" s="19" t="n">
        <v>2</v>
      </c>
      <c r="D1836" s="19" t="n">
        <v>236.92</v>
      </c>
      <c r="E1836" s="19" t="n">
        <v>0</v>
      </c>
      <c r="F1836" s="19" t="n">
        <v>0</v>
      </c>
      <c r="G1836" s="8" t="str">
        <f aca="false">IFERROR(INDEX('TRANS'!$B:$B,MATCH($B1836,'TRANS'!$A:$A,0)),IFERROR(INDEX('TRANS'!$B:$B,MATCH(TRIM(SUBSTITUTE($B1836,CHAR(160)," ")),'TRANS'!$D:$D,0)),IFERROR(INDEX('Catalog'!$A:$A,MATCH($B1836,'Catalog'!$B:$B,0)),IFERROR(INDEX('Catalog'!$A:$A,MATCH(TRIM(SUBSTITUTE($B1836,CHAR(160)," ")),'Catalog'!$C:$C,0)),""))))</f>
        <v/>
      </c>
      <c r="H1836" s="8" t="str">
        <f aca="false">IFERROR(INDEX('TRANS'!$C:$C,MATCH($B1836,'TRANS'!$A:$A,0)),IFERROR(INDEX('Catalog'!$B:$B,MATCH($G1836,'Catalog'!$A:$A,0)),$B1836))</f>
        <v>303-39-40</v>
      </c>
      <c r="I1836" s="8" t="str">
        <f aca="false">IF($G1836="","Unmatched","Matched")</f>
        <v>Unmatched</v>
      </c>
    </row>
    <row r="1837" customFormat="false" ht="15" hidden="false" customHeight="false" outlineLevel="0" collapsed="false">
      <c r="A1837" s="8" t="s">
        <v>862</v>
      </c>
      <c r="B1837" s="8" t="s">
        <v>583</v>
      </c>
      <c r="C1837" s="19" t="n">
        <v>2</v>
      </c>
      <c r="D1837" s="19" t="n">
        <v>236.93</v>
      </c>
      <c r="E1837" s="19" t="n">
        <v>0</v>
      </c>
      <c r="F1837" s="19" t="n">
        <v>0</v>
      </c>
      <c r="G1837" s="8" t="n">
        <f aca="false">IFERROR(INDEX('TRANS'!$B:$B,MATCH($B1837,'TRANS'!$A:$A,0)),IFERROR(INDEX('TRANS'!$B:$B,MATCH(TRIM(SUBSTITUTE($B1837,CHAR(160)," ")),'TRANS'!$D:$D,0)),IFERROR(INDEX('Catalog'!$A:$A,MATCH($B1837,'Catalog'!$B:$B,0)),IFERROR(INDEX('Catalog'!$A:$A,MATCH(TRIM(SUBSTITUTE($B1837,CHAR(160)," ")),'Catalog'!$C:$C,0)),""))))</f>
        <v>4413020</v>
      </c>
      <c r="H1837" s="8" t="str">
        <f aca="false">IFERROR(INDEX('TRANS'!$C:$C,MATCH($B1837,'TRANS'!$A:$A,0)),IFERROR(INDEX('Catalog'!$B:$B,MATCH($G1837,'Catalog'!$A:$A,0)),$B1837))</f>
        <v>303 41-42 מדרסי סיליק.לח.סכרת</v>
      </c>
      <c r="I1837" s="8" t="str">
        <f aca="false">IF($G1837="","Unmatched","Matched")</f>
        <v>Matched</v>
      </c>
    </row>
    <row r="1838" customFormat="false" ht="15" hidden="false" customHeight="false" outlineLevel="0" collapsed="false">
      <c r="A1838" s="8" t="s">
        <v>862</v>
      </c>
      <c r="B1838" s="8" t="s">
        <v>584</v>
      </c>
      <c r="C1838" s="19" t="n">
        <v>3</v>
      </c>
      <c r="D1838" s="19" t="n">
        <v>355.32</v>
      </c>
      <c r="E1838" s="19" t="n">
        <v>0</v>
      </c>
      <c r="F1838" s="19" t="n">
        <v>0</v>
      </c>
      <c r="G1838" s="8" t="str">
        <f aca="false">IFERROR(INDEX('TRANS'!$B:$B,MATCH($B1838,'TRANS'!$A:$A,0)),IFERROR(INDEX('TRANS'!$B:$B,MATCH(TRIM(SUBSTITUTE($B1838,CHAR(160)," ")),'TRANS'!$D:$D,0)),IFERROR(INDEX('Catalog'!$A:$A,MATCH($B1838,'Catalog'!$B:$B,0)),IFERROR(INDEX('Catalog'!$A:$A,MATCH(TRIM(SUBSTITUTE($B1838,CHAR(160)," ")),'Catalog'!$C:$C,0)),""))))</f>
        <v/>
      </c>
      <c r="H1838" s="8" t="str">
        <f aca="false">IFERROR(INDEX('TRANS'!$C:$C,MATCH($B1838,'TRANS'!$A:$A,0)),IFERROR(INDEX('Catalog'!$B:$B,MATCH($G1838,'Catalog'!$A:$A,0)),$B1838))</f>
        <v>303-43-44</v>
      </c>
      <c r="I1838" s="8" t="str">
        <f aca="false">IF($G1838="","Unmatched","Matched")</f>
        <v>Unmatched</v>
      </c>
    </row>
    <row r="1839" customFormat="false" ht="15" hidden="false" customHeight="false" outlineLevel="0" collapsed="false">
      <c r="A1839" s="8" t="s">
        <v>862</v>
      </c>
      <c r="B1839" s="8" t="s">
        <v>585</v>
      </c>
      <c r="C1839" s="19" t="n">
        <v>3</v>
      </c>
      <c r="D1839" s="19" t="n">
        <v>355.14</v>
      </c>
      <c r="E1839" s="19" t="n">
        <v>0</v>
      </c>
      <c r="F1839" s="19" t="n">
        <v>0</v>
      </c>
      <c r="G1839" s="8" t="n">
        <f aca="false">IFERROR(INDEX('TRANS'!$B:$B,MATCH($B1839,'TRANS'!$A:$A,0)),IFERROR(INDEX('TRANS'!$B:$B,MATCH(TRIM(SUBSTITUTE($B1839,CHAR(160)," ")),'TRANS'!$D:$D,0)),IFERROR(INDEX('Catalog'!$A:$A,MATCH($B1839,'Catalog'!$B:$B,0)),IFERROR(INDEX('Catalog'!$A:$A,MATCH(TRIM(SUBSTITUTE($B1839,CHAR(160)," ")),'Catalog'!$C:$C,0)),""))))</f>
        <v>4413022</v>
      </c>
      <c r="H1839" s="8" t="str">
        <f aca="false">IFERROR(INDEX('TRANS'!$C:$C,MATCH($B1839,'TRANS'!$A:$A,0)),IFERROR(INDEX('Catalog'!$B:$B,MATCH($G1839,'Catalog'!$A:$A,0)),$B1839))</f>
        <v>303 45-46 מדרסי סיליק.לח.סכרת</v>
      </c>
      <c r="I1839" s="8" t="str">
        <f aca="false">IF($G1839="","Unmatched","Matched")</f>
        <v>Matched</v>
      </c>
    </row>
    <row r="1840" customFormat="false" ht="15" hidden="false" customHeight="false" outlineLevel="0" collapsed="false">
      <c r="A1840" s="8" t="s">
        <v>862</v>
      </c>
      <c r="B1840" s="8" t="s">
        <v>121</v>
      </c>
      <c r="C1840" s="19" t="n">
        <v>3</v>
      </c>
      <c r="D1840" s="19" t="n">
        <v>276.87</v>
      </c>
      <c r="E1840" s="19" t="n">
        <v>2</v>
      </c>
      <c r="F1840" s="19" t="n">
        <v>184.58</v>
      </c>
      <c r="G1840" s="8" t="n">
        <f aca="false">IFERROR(INDEX('TRANS'!$B:$B,MATCH($B1840,'TRANS'!$A:$A,0)),IFERROR(INDEX('TRANS'!$B:$B,MATCH(TRIM(SUBSTITUTE($B1840,CHAR(160)," ")),'TRANS'!$D:$D,0)),IFERROR(INDEX('Catalog'!$A:$A,MATCH($B1840,'Catalog'!$B:$B,0)),IFERROR(INDEX('Catalog'!$A:$A,MATCH(TRIM(SUBSTITUTE($B1840,CHAR(160)," ")),'Catalog'!$C:$C,0)),""))))</f>
        <v>4416001</v>
      </c>
      <c r="H1840" s="8" t="str">
        <f aca="false">IFERROR(INDEX('TRANS'!$C:$C,MATCH($B1840,'TRANS'!$A:$A,0)),IFERROR(INDEX('Catalog'!$B:$B,MATCH($G1840,'Catalog'!$A:$A,0)),$B1840))</f>
        <v>307 M עקבים לדורבן-זוג כריות</v>
      </c>
      <c r="I1840" s="8" t="str">
        <f aca="false">IF($G1840="","Unmatched","Matched")</f>
        <v>Matched</v>
      </c>
    </row>
    <row r="1841" customFormat="false" ht="15" hidden="false" customHeight="false" outlineLevel="0" collapsed="false">
      <c r="A1841" s="8" t="s">
        <v>862</v>
      </c>
      <c r="B1841" s="8" t="s">
        <v>647</v>
      </c>
      <c r="C1841" s="19" t="n">
        <v>1</v>
      </c>
      <c r="D1841" s="19" t="n">
        <v>92.29</v>
      </c>
      <c r="E1841" s="19" t="n">
        <v>2</v>
      </c>
      <c r="F1841" s="19" t="n">
        <v>184.58</v>
      </c>
      <c r="G1841" s="8" t="n">
        <f aca="false">IFERROR(INDEX('TRANS'!$B:$B,MATCH($B1841,'TRANS'!$A:$A,0)),IFERROR(INDEX('TRANS'!$B:$B,MATCH(TRIM(SUBSTITUTE($B1841,CHAR(160)," ")),'TRANS'!$D:$D,0)),IFERROR(INDEX('Catalog'!$A:$A,MATCH($B1841,'Catalog'!$B:$B,0)),IFERROR(INDEX('Catalog'!$A:$A,MATCH(TRIM(SUBSTITUTE($B1841,CHAR(160)," ")),'Catalog'!$C:$C,0)),""))))</f>
        <v>4416002</v>
      </c>
      <c r="H1841" s="8" t="str">
        <f aca="false">IFERROR(INDEX('TRANS'!$C:$C,MATCH($B1841,'TRANS'!$A:$A,0)),IFERROR(INDEX('Catalog'!$B:$B,MATCH($G1841,'Catalog'!$A:$A,0)),$B1841))</f>
        <v>307 S עקבים לדורבן-זוג כריות</v>
      </c>
      <c r="I1841" s="8" t="str">
        <f aca="false">IF($G1841="","Unmatched","Matched")</f>
        <v>Matched</v>
      </c>
    </row>
    <row r="1842" customFormat="false" ht="15" hidden="false" customHeight="false" outlineLevel="0" collapsed="false">
      <c r="A1842" s="8" t="s">
        <v>862</v>
      </c>
      <c r="B1842" s="8" t="s">
        <v>563</v>
      </c>
      <c r="C1842" s="19" t="n">
        <v>3</v>
      </c>
      <c r="D1842" s="19" t="n">
        <v>182.65</v>
      </c>
      <c r="E1842" s="19" t="n">
        <v>2</v>
      </c>
      <c r="F1842" s="19" t="n">
        <v>121.76</v>
      </c>
      <c r="G1842" s="8" t="n">
        <f aca="false">IFERROR(INDEX('TRANS'!$B:$B,MATCH($B1842,'TRANS'!$A:$A,0)),IFERROR(INDEX('TRANS'!$B:$B,MATCH(TRIM(SUBSTITUTE($B1842,CHAR(160)," ")),'TRANS'!$D:$D,0)),IFERROR(INDEX('Catalog'!$A:$A,MATCH($B1842,'Catalog'!$B:$B,0)),IFERROR(INDEX('Catalog'!$A:$A,MATCH(TRIM(SUBSTITUTE($B1842,CHAR(160)," ")),'Catalog'!$C:$C,0)),""))))</f>
        <v>4416003</v>
      </c>
      <c r="H1842" s="8" t="str">
        <f aca="false">IFERROR(INDEX('TRANS'!$C:$C,MATCH($B1842,'TRANS'!$A:$A,0)),IFERROR(INDEX('Catalog'!$B:$B,MATCH($G1842,'Catalog'!$A:$A,0)),$B1842))</f>
        <v>308 Lעקבים סיליקון כחול לדורבן</v>
      </c>
      <c r="I1842" s="8" t="str">
        <f aca="false">IF($G1842="","Unmatched","Matched")</f>
        <v>Matched</v>
      </c>
    </row>
    <row r="1843" customFormat="false" ht="15" hidden="false" customHeight="false" outlineLevel="0" collapsed="false">
      <c r="A1843" s="8" t="s">
        <v>862</v>
      </c>
      <c r="B1843" s="8" t="s">
        <v>123</v>
      </c>
      <c r="C1843" s="19" t="n">
        <v>3</v>
      </c>
      <c r="D1843" s="19" t="n">
        <v>182.65</v>
      </c>
      <c r="E1843" s="19" t="n">
        <v>2</v>
      </c>
      <c r="F1843" s="19" t="n">
        <v>121.76</v>
      </c>
      <c r="G1843" s="8" t="n">
        <f aca="false">IFERROR(INDEX('TRANS'!$B:$B,MATCH($B1843,'TRANS'!$A:$A,0)),IFERROR(INDEX('TRANS'!$B:$B,MATCH(TRIM(SUBSTITUTE($B1843,CHAR(160)," ")),'TRANS'!$D:$D,0)),IFERROR(INDEX('Catalog'!$A:$A,MATCH($B1843,'Catalog'!$B:$B,0)),IFERROR(INDEX('Catalog'!$A:$A,MATCH(TRIM(SUBSTITUTE($B1843,CHAR(160)," ")),'Catalog'!$C:$C,0)),""))))</f>
        <v>4416005</v>
      </c>
      <c r="H1843" s="8" t="str">
        <f aca="false">IFERROR(INDEX('TRANS'!$C:$C,MATCH($B1843,'TRANS'!$A:$A,0)),IFERROR(INDEX('Catalog'!$B:$B,MATCH($G1843,'Catalog'!$A:$A,0)),$B1843))</f>
        <v>308 Mעקבים סיליק.כחול לדורבן</v>
      </c>
      <c r="I1843" s="8" t="str">
        <f aca="false">IF($G1843="","Unmatched","Matched")</f>
        <v>Matched</v>
      </c>
    </row>
    <row r="1844" customFormat="false" ht="15" hidden="false" customHeight="false" outlineLevel="0" collapsed="false">
      <c r="A1844" s="8" t="s">
        <v>862</v>
      </c>
      <c r="B1844" s="8" t="s">
        <v>147</v>
      </c>
      <c r="C1844" s="19" t="n">
        <v>0</v>
      </c>
      <c r="D1844" s="19" t="n">
        <v>0</v>
      </c>
      <c r="E1844" s="19" t="n">
        <v>10</v>
      </c>
      <c r="F1844" s="19" t="n">
        <v>608.87</v>
      </c>
      <c r="G1844" s="8" t="n">
        <f aca="false">IFERROR(INDEX('TRANS'!$B:$B,MATCH($B1844,'TRANS'!$A:$A,0)),IFERROR(INDEX('TRANS'!$B:$B,MATCH(TRIM(SUBSTITUTE($B1844,CHAR(160)," ")),'TRANS'!$D:$D,0)),IFERROR(INDEX('Catalog'!$A:$A,MATCH($B1844,'Catalog'!$B:$B,0)),IFERROR(INDEX('Catalog'!$A:$A,MATCH(TRIM(SUBSTITUTE($B1844,CHAR(160)," ")),'Catalog'!$C:$C,0)),""))))</f>
        <v>4421001</v>
      </c>
      <c r="H1844" s="8" t="str">
        <f aca="false">IFERROR(INDEX('TRANS'!$C:$C,MATCH($B1844,'TRANS'!$A:$A,0)),IFERROR(INDEX('Catalog'!$B:$B,MATCH($G1844,'Catalog'!$A:$A,0)),$B1844))</f>
        <v>3611 שרוול מטטרזלי מסיליקון</v>
      </c>
      <c r="I1844" s="8" t="str">
        <f aca="false">IF($G1844="","Unmatched","Matched")</f>
        <v>Matched</v>
      </c>
    </row>
    <row r="1845" customFormat="false" ht="15" hidden="false" customHeight="false" outlineLevel="0" collapsed="false">
      <c r="A1845" s="8" t="s">
        <v>862</v>
      </c>
      <c r="B1845" s="8" t="s">
        <v>150</v>
      </c>
      <c r="C1845" s="19" t="n">
        <v>6</v>
      </c>
      <c r="D1845" s="19" t="n">
        <v>171.27</v>
      </c>
      <c r="E1845" s="19" t="n">
        <v>0</v>
      </c>
      <c r="F1845" s="19" t="n">
        <v>0</v>
      </c>
      <c r="G1845" s="8" t="n">
        <f aca="false">IFERROR(INDEX('TRANS'!$B:$B,MATCH($B1845,'TRANS'!$A:$A,0)),IFERROR(INDEX('TRANS'!$B:$B,MATCH(TRIM(SUBSTITUTE($B1845,CHAR(160)," ")),'TRANS'!$D:$D,0)),IFERROR(INDEX('Catalog'!$A:$A,MATCH($B1845,'Catalog'!$B:$B,0)),IFERROR(INDEX('Catalog'!$A:$A,MATCH(TRIM(SUBSTITUTE($B1845,CHAR(160)," ")),'Catalog'!$C:$C,0)),""))))</f>
        <v>4411001</v>
      </c>
      <c r="H1845" s="8" t="str">
        <f aca="false">IFERROR(INDEX('TRANS'!$C:$C,MATCH($B1845,'TRANS'!$A:$A,0)),IFERROR(INDEX('Catalog'!$B:$B,MATCH($G1845,'Catalog'!$A:$A,0)),$B1845))</f>
        <v>3623 כרית ליישור אצבע פטיש</v>
      </c>
      <c r="I1845" s="8" t="str">
        <f aca="false">IF($G1845="","Unmatched","Matched")</f>
        <v>Matched</v>
      </c>
    </row>
    <row r="1846" customFormat="false" ht="15" hidden="false" customHeight="false" outlineLevel="0" collapsed="false">
      <c r="A1846" s="8" t="s">
        <v>862</v>
      </c>
      <c r="B1846" s="8" t="s">
        <v>156</v>
      </c>
      <c r="C1846" s="19" t="n">
        <v>11</v>
      </c>
      <c r="D1846" s="19" t="n">
        <v>205.75</v>
      </c>
      <c r="E1846" s="19" t="n">
        <v>5</v>
      </c>
      <c r="F1846" s="19" t="n">
        <v>81.06</v>
      </c>
      <c r="G1846" s="8" t="n">
        <f aca="false">IFERROR(INDEX('TRANS'!$B:$B,MATCH($B1846,'TRANS'!$A:$A,0)),IFERROR(INDEX('TRANS'!$B:$B,MATCH(TRIM(SUBSTITUTE($B1846,CHAR(160)," ")),'TRANS'!$D:$D,0)),IFERROR(INDEX('Catalog'!$A:$A,MATCH($B1846,'Catalog'!$B:$B,0)),IFERROR(INDEX('Catalog'!$A:$A,MATCH(TRIM(SUBSTITUTE($B1846,CHAR(160)," ")),'Catalog'!$C:$C,0)),""))))</f>
        <v>4421000</v>
      </c>
      <c r="H1846" s="8" t="str">
        <f aca="false">IFERROR(INDEX('TRANS'!$C:$C,MATCH($B1846,'TRANS'!$A:$A,0)),IFERROR(INDEX('Catalog'!$B:$B,MATCH($G1846,'Catalog'!$A:$A,0)),$B1846))</f>
        <v>3655 שרוול מסיליקון לאצבע</v>
      </c>
      <c r="I1846" s="8" t="str">
        <f aca="false">IF($G1846="","Unmatched","Matched")</f>
        <v>Matched</v>
      </c>
    </row>
    <row r="1847" customFormat="false" ht="15" hidden="false" customHeight="false" outlineLevel="0" collapsed="false">
      <c r="A1847" s="8" t="s">
        <v>862</v>
      </c>
      <c r="B1847" s="8" t="s">
        <v>160</v>
      </c>
      <c r="C1847" s="19" t="n">
        <v>8</v>
      </c>
      <c r="D1847" s="19" t="n">
        <v>299.64</v>
      </c>
      <c r="E1847" s="19" t="n">
        <v>0</v>
      </c>
      <c r="F1847" s="19" t="n">
        <v>0</v>
      </c>
      <c r="G1847" s="8" t="n">
        <f aca="false">IFERROR(INDEX('TRANS'!$B:$B,MATCH($B1847,'TRANS'!$A:$A,0)),IFERROR(INDEX('TRANS'!$B:$B,MATCH(TRIM(SUBSTITUTE($B1847,CHAR(160)," ")),'TRANS'!$D:$D,0)),IFERROR(INDEX('Catalog'!$A:$A,MATCH($B1847,'Catalog'!$B:$B,0)),IFERROR(INDEX('Catalog'!$A:$A,MATCH(TRIM(SUBSTITUTE($B1847,CHAR(160)," ")),'Catalog'!$C:$C,0)),""))))</f>
        <v>4421003</v>
      </c>
      <c r="H1847" s="8" t="str">
        <f aca="false">IFERROR(INDEX('TRANS'!$C:$C,MATCH($B1847,'TRANS'!$A:$A,0)),IFERROR(INDEX('Catalog'!$B:$B,MATCH($G1847,'Catalog'!$A:$A,0)),$B1847))</f>
        <v>3672 שרוול מגן לבוניון</v>
      </c>
      <c r="I1847" s="8" t="str">
        <f aca="false">IF($G1847="","Unmatched","Matched")</f>
        <v>Matched</v>
      </c>
    </row>
    <row r="1848" customFormat="false" ht="15" hidden="false" customHeight="false" outlineLevel="0" collapsed="false">
      <c r="A1848" s="8" t="s">
        <v>862</v>
      </c>
      <c r="B1848" s="8" t="s">
        <v>284</v>
      </c>
      <c r="C1848" s="19" t="n">
        <v>0</v>
      </c>
      <c r="D1848" s="19" t="n">
        <v>0</v>
      </c>
      <c r="E1848" s="19" t="n">
        <v>5</v>
      </c>
      <c r="F1848" s="19" t="n">
        <v>119.29</v>
      </c>
      <c r="G1848" s="8" t="n">
        <f aca="false">IFERROR(INDEX('TRANS'!$B:$B,MATCH($B1848,'TRANS'!$A:$A,0)),IFERROR(INDEX('TRANS'!$B:$B,MATCH(TRIM(SUBSTITUTE($B1848,CHAR(160)," ")),'TRANS'!$D:$D,0)),IFERROR(INDEX('Catalog'!$A:$A,MATCH($B1848,'Catalog'!$B:$B,0)),IFERROR(INDEX('Catalog'!$A:$A,MATCH(TRIM(SUBSTITUTE($B1848,CHAR(160)," ")),'Catalog'!$C:$C,0)),""))))</f>
        <v>4413056</v>
      </c>
      <c r="H1848" s="8" t="str">
        <f aca="false">IFERROR(INDEX('TRANS'!$C:$C,MATCH($B1848,'TRANS'!$A:$A,0)),IFERROR(INDEX('Catalog'!$B:$B,MATCH($G1848,'Catalog'!$A:$A,0)),$B1848))</f>
        <v>LF360 מדרס מטטרזלי לנעלי עקב</v>
      </c>
      <c r="I1848" s="8" t="str">
        <f aca="false">IF($G1848="","Unmatched","Matched")</f>
        <v>Matched</v>
      </c>
    </row>
    <row r="1849" customFormat="false" ht="15" hidden="false" customHeight="false" outlineLevel="0" collapsed="false">
      <c r="A1849" s="8" t="s">
        <v>862</v>
      </c>
      <c r="B1849" s="8" t="s">
        <v>861</v>
      </c>
      <c r="C1849" s="19" t="n">
        <v>0</v>
      </c>
      <c r="D1849" s="19" t="n">
        <v>0</v>
      </c>
      <c r="E1849" s="19" t="n">
        <v>10</v>
      </c>
      <c r="F1849" s="19" t="n">
        <v>285.45</v>
      </c>
      <c r="G1849" s="8" t="n">
        <f aca="false">IFERROR(INDEX('TRANS'!$B:$B,MATCH($B1849,'TRANS'!$A:$A,0)),IFERROR(INDEX('TRANS'!$B:$B,MATCH(TRIM(SUBSTITUTE($B1849,CHAR(160)," ")),'TRANS'!$D:$D,0)),IFERROR(INDEX('Catalog'!$A:$A,MATCH($B1849,'Catalog'!$B:$B,0)),IFERROR(INDEX('Catalog'!$A:$A,MATCH(TRIM(SUBSTITUTE($B1849,CHAR(160)," ")),'Catalog'!$C:$C,0)),""))))</f>
        <v>4420023</v>
      </c>
      <c r="H1849" s="8" t="str">
        <f aca="false">IFERROR(INDEX('TRANS'!$C:$C,MATCH($B1849,'TRANS'!$A:$A,0)),IFERROR(INDEX('Catalog'!$B:$B,MATCH($G1849,'Catalog'!$A:$A,0)),$B1849))</f>
        <v>LF371 ריפוד סיליקון לנעלי אצבע</v>
      </c>
      <c r="I1849" s="8" t="str">
        <f aca="false">IF($G1849="","Unmatched","Matched")</f>
        <v>Matched</v>
      </c>
    </row>
    <row r="1850" customFormat="false" ht="15" hidden="false" customHeight="false" outlineLevel="0" collapsed="false">
      <c r="A1850" s="8" t="s">
        <v>862</v>
      </c>
      <c r="B1850" s="8" t="s">
        <v>421</v>
      </c>
      <c r="C1850" s="19" t="n">
        <v>2</v>
      </c>
      <c r="D1850" s="19" t="n">
        <v>254</v>
      </c>
      <c r="E1850" s="19" t="n">
        <v>0</v>
      </c>
      <c r="F1850" s="19" t="n">
        <v>0</v>
      </c>
      <c r="G1850" s="8" t="n">
        <f aca="false">IFERROR(INDEX('TRANS'!$B:$B,MATCH($B1850,'TRANS'!$A:$A,0)),IFERROR(INDEX('TRANS'!$B:$B,MATCH(TRIM(SUBSTITUTE($B1850,CHAR(160)," ")),'TRANS'!$D:$D,0)),IFERROR(INDEX('Catalog'!$A:$A,MATCH($B1850,'Catalog'!$B:$B,0)),IFERROR(INDEX('Catalog'!$A:$A,MATCH(TRIM(SUBSTITUTE($B1850,CHAR(160)," ")),'Catalog'!$C:$C,0)),""))))</f>
        <v>4413197</v>
      </c>
      <c r="H1850" s="8" t="str">
        <f aca="false">IFERROR(INDEX('TRANS'!$C:$C,MATCH($B1850,'TRANS'!$A:$A,0)),IFERROR(INDEX('Catalog'!$B:$B,MATCH($G1850,'Catalog'!$A:$A,0)),$B1850))</f>
        <v>87 L מקבע כתף ויד</v>
      </c>
      <c r="I1850" s="8" t="str">
        <f aca="false">IF($G1850="","Unmatched","Matched")</f>
        <v>Matched</v>
      </c>
    </row>
    <row r="1851" customFormat="false" ht="15" hidden="false" customHeight="false" outlineLevel="0" collapsed="false">
      <c r="A1851" s="8" t="s">
        <v>862</v>
      </c>
      <c r="B1851" s="8" t="s">
        <v>422</v>
      </c>
      <c r="C1851" s="19" t="n">
        <v>2</v>
      </c>
      <c r="D1851" s="19" t="n">
        <v>254</v>
      </c>
      <c r="E1851" s="19" t="n">
        <v>0</v>
      </c>
      <c r="F1851" s="19" t="n">
        <v>0</v>
      </c>
      <c r="G1851" s="8" t="n">
        <f aca="false">IFERROR(INDEX('TRANS'!$B:$B,MATCH($B1851,'TRANS'!$A:$A,0)),IFERROR(INDEX('TRANS'!$B:$B,MATCH(TRIM(SUBSTITUTE($B1851,CHAR(160)," ")),'TRANS'!$D:$D,0)),IFERROR(INDEX('Catalog'!$A:$A,MATCH($B1851,'Catalog'!$B:$B,0)),IFERROR(INDEX('Catalog'!$A:$A,MATCH(TRIM(SUBSTITUTE($B1851,CHAR(160)," ")),'Catalog'!$C:$C,0)),""))))</f>
        <v>4413196</v>
      </c>
      <c r="H1851" s="8" t="str">
        <f aca="false">IFERROR(INDEX('TRANS'!$C:$C,MATCH($B1851,'TRANS'!$A:$A,0)),IFERROR(INDEX('Catalog'!$B:$B,MATCH($G1851,'Catalog'!$A:$A,0)),$B1851))</f>
        <v>87 M מקבע כתף ויד</v>
      </c>
      <c r="I1851" s="8" t="str">
        <f aca="false">IF($G1851="","Unmatched","Matched")</f>
        <v>Matched</v>
      </c>
    </row>
    <row r="1852" customFormat="false" ht="15" hidden="false" customHeight="false" outlineLevel="0" collapsed="false">
      <c r="A1852" s="8" t="s">
        <v>862</v>
      </c>
      <c r="B1852" s="8" t="s">
        <v>578</v>
      </c>
      <c r="C1852" s="19" t="n">
        <v>2</v>
      </c>
      <c r="D1852" s="19" t="n">
        <v>253.98</v>
      </c>
      <c r="E1852" s="19" t="n">
        <v>0</v>
      </c>
      <c r="F1852" s="19" t="n">
        <v>0</v>
      </c>
      <c r="G1852" s="8" t="n">
        <f aca="false">IFERROR(INDEX('TRANS'!$B:$B,MATCH($B1852,'TRANS'!$A:$A,0)),IFERROR(INDEX('TRANS'!$B:$B,MATCH(TRIM(SUBSTITUTE($B1852,CHAR(160)," ")),'TRANS'!$D:$D,0)),IFERROR(INDEX('Catalog'!$A:$A,MATCH($B1852,'Catalog'!$B:$B,0)),IFERROR(INDEX('Catalog'!$A:$A,MATCH(TRIM(SUBSTITUTE($B1852,CHAR(160)," ")),'Catalog'!$C:$C,0)),""))))</f>
        <v>4413195</v>
      </c>
      <c r="H1852" s="8" t="str">
        <f aca="false">IFERROR(INDEX('TRANS'!$C:$C,MATCH($B1852,'TRANS'!$A:$A,0)),IFERROR(INDEX('Catalog'!$B:$B,MATCH($G1852,'Catalog'!$A:$A,0)),$B1852))</f>
        <v>87 S מקבע כתף ויד</v>
      </c>
      <c r="I1852" s="8" t="str">
        <f aca="false">IF($G1852="","Unmatched","Matched")</f>
        <v>Matched</v>
      </c>
    </row>
    <row r="1853" customFormat="false" ht="15" hidden="false" customHeight="false" outlineLevel="0" collapsed="false">
      <c r="A1853" s="8" t="s">
        <v>862</v>
      </c>
      <c r="B1853" s="8" t="s">
        <v>189</v>
      </c>
      <c r="C1853" s="19" t="n">
        <v>12</v>
      </c>
      <c r="D1853" s="19" t="n">
        <v>313.84</v>
      </c>
      <c r="E1853" s="19" t="n">
        <v>0</v>
      </c>
      <c r="F1853" s="19" t="n">
        <v>0</v>
      </c>
      <c r="G1853" s="8" t="n">
        <f aca="false">IFERROR(INDEX('TRANS'!$B:$B,MATCH($B1853,'TRANS'!$A:$A,0)),IFERROR(INDEX('TRANS'!$B:$B,MATCH(TRIM(SUBSTITUTE($B1853,CHAR(160)," ")),'TRANS'!$D:$D,0)),IFERROR(INDEX('Catalog'!$A:$A,MATCH($B1853,'Catalog'!$B:$B,0)),IFERROR(INDEX('Catalog'!$A:$A,MATCH(TRIM(SUBSTITUTE($B1853,CHAR(160)," ")),'Catalog'!$C:$C,0)),""))))</f>
        <v>4403019</v>
      </c>
      <c r="H1853" s="8" t="str">
        <f aca="false">IFERROR(INDEX('TRANS'!$C:$C,MATCH($B1853,'TRANS'!$A:$A,0)),IFERROR(INDEX('Catalog'!$B:$B,MATCH($G1853,'Catalog'!$A:$A,0)),$B1853))</f>
        <v>394B גרב.כסף לסכרתים שחור43-46</v>
      </c>
      <c r="I1853" s="8" t="str">
        <f aca="false">IF($G1853="","Unmatched","Matched")</f>
        <v>Matched</v>
      </c>
    </row>
    <row r="1854" customFormat="false" ht="15" hidden="false" customHeight="false" outlineLevel="0" collapsed="false">
      <c r="A1854" s="8" t="s">
        <v>862</v>
      </c>
      <c r="B1854" s="8" t="s">
        <v>551</v>
      </c>
      <c r="C1854" s="19" t="n">
        <v>6</v>
      </c>
      <c r="D1854" s="19" t="n">
        <v>157.25</v>
      </c>
      <c r="E1854" s="19" t="n">
        <v>0</v>
      </c>
      <c r="F1854" s="19" t="n">
        <v>0</v>
      </c>
      <c r="G1854" s="8" t="str">
        <f aca="false">IFERROR(INDEX('TRANS'!$B:$B,MATCH($B1854,'TRANS'!$A:$A,0)),IFERROR(INDEX('TRANS'!$B:$B,MATCH(TRIM(SUBSTITUTE($B1854,CHAR(160)," ")),'TRANS'!$D:$D,0)),IFERROR(INDEX('Catalog'!$A:$A,MATCH($B1854,'Catalog'!$B:$B,0)),IFERROR(INDEX('Catalog'!$A:$A,MATCH(TRIM(SUBSTITUTE($B1854,CHAR(160)," ")),'Catalog'!$C:$C,0)),""))))</f>
        <v/>
      </c>
      <c r="H1854" s="8" t="str">
        <f aca="false">IFERROR(INDEX('TRANS'!$C:$C,MATCH($B1854,'TRANS'!$A:$A,0)),IFERROR(INDEX('Catalog'!$B:$B,MATCH($G1854,'Catalog'!$A:$A,0)),$B1854))</f>
        <v>394G-43-46</v>
      </c>
      <c r="I1854" s="8" t="str">
        <f aca="false">IF($G1854="","Unmatched","Matched")</f>
        <v>Unmatched</v>
      </c>
    </row>
    <row r="1855" customFormat="false" ht="15" hidden="false" customHeight="false" outlineLevel="0" collapsed="false">
      <c r="A1855" s="8" t="s">
        <v>862</v>
      </c>
      <c r="B1855" s="8" t="s">
        <v>434</v>
      </c>
      <c r="C1855" s="19" t="n">
        <v>2</v>
      </c>
      <c r="D1855" s="19" t="n">
        <v>287.03</v>
      </c>
      <c r="E1855" s="19" t="n">
        <v>2</v>
      </c>
      <c r="F1855" s="19" t="n">
        <v>328.05</v>
      </c>
      <c r="G1855" s="8" t="n">
        <f aca="false">IFERROR(INDEX('TRANS'!$B:$B,MATCH($B1855,'TRANS'!$A:$A,0)),IFERROR(INDEX('TRANS'!$B:$B,MATCH(TRIM(SUBSTITUTE($B1855,CHAR(160)," ")),'TRANS'!$D:$D,0)),IFERROR(INDEX('Catalog'!$A:$A,MATCH($B1855,'Catalog'!$B:$B,0)),IFERROR(INDEX('Catalog'!$A:$A,MATCH(TRIM(SUBSTITUTE($B1855,CHAR(160)," ")),'Catalog'!$C:$C,0)),""))))</f>
        <v>4413417</v>
      </c>
      <c r="H1855" s="8" t="str">
        <f aca="false">IFERROR(INDEX('TRANS'!$C:$C,MATCH($B1855,'TRANS'!$A:$A,0)),IFERROR(INDEX('Catalog'!$B:$B,MATCH($G1855,'Catalog'!$A:$A,0)),$B1855))</f>
        <v>SC39  L מגן שוק</v>
      </c>
      <c r="I1855" s="8" t="str">
        <f aca="false">IF($G1855="","Unmatched","Matched")</f>
        <v>Matched</v>
      </c>
    </row>
    <row r="1856" customFormat="false" ht="15" hidden="false" customHeight="false" outlineLevel="0" collapsed="false">
      <c r="A1856" s="8" t="s">
        <v>862</v>
      </c>
      <c r="B1856" s="8" t="s">
        <v>438</v>
      </c>
      <c r="C1856" s="19" t="n">
        <v>2</v>
      </c>
      <c r="D1856" s="19" t="n">
        <v>281.14</v>
      </c>
      <c r="E1856" s="19" t="n">
        <v>0</v>
      </c>
      <c r="F1856" s="19" t="n">
        <v>0</v>
      </c>
      <c r="G1856" s="8" t="n">
        <f aca="false">IFERROR(INDEX('TRANS'!$B:$B,MATCH($B1856,'TRANS'!$A:$A,0)),IFERROR(INDEX('TRANS'!$B:$B,MATCH(TRIM(SUBSTITUTE($B1856,CHAR(160)," ")),'TRANS'!$D:$D,0)),IFERROR(INDEX('Catalog'!$A:$A,MATCH($B1856,'Catalog'!$B:$B,0)),IFERROR(INDEX('Catalog'!$A:$A,MATCH(TRIM(SUBSTITUTE($B1856,CHAR(160)," ")),'Catalog'!$C:$C,0)),""))))</f>
        <v>4413441</v>
      </c>
      <c r="H1856" s="8" t="str">
        <f aca="false">IFERROR(INDEX('TRANS'!$C:$C,MATCH($B1856,'TRANS'!$A:$A,0)),IFERROR(INDEX('Catalog'!$B:$B,MATCH($G1856,'Catalog'!$A:$A,0)),$B1856))</f>
        <v>SC422 XL מגן ברך</v>
      </c>
      <c r="I1856" s="8" t="str">
        <f aca="false">IF($G1856="","Unmatched","Matched")</f>
        <v>Matched</v>
      </c>
    </row>
    <row r="1857" customFormat="false" ht="15" hidden="false" customHeight="false" outlineLevel="0" collapsed="false">
      <c r="A1857" s="8" t="s">
        <v>862</v>
      </c>
      <c r="B1857" s="8" t="s">
        <v>692</v>
      </c>
      <c r="C1857" s="19" t="n">
        <v>2</v>
      </c>
      <c r="D1857" s="19" t="n">
        <v>340.21</v>
      </c>
      <c r="E1857" s="19" t="n">
        <v>0</v>
      </c>
      <c r="F1857" s="19" t="n">
        <v>0</v>
      </c>
      <c r="G1857" s="8" t="str">
        <f aca="false">IFERROR(INDEX('TRANS'!$B:$B,MATCH($B1857,'TRANS'!$A:$A,0)),IFERROR(INDEX('TRANS'!$B:$B,MATCH(TRIM(SUBSTITUTE($B1857,CHAR(160)," ")),'TRANS'!$D:$D,0)),IFERROR(INDEX('Catalog'!$A:$A,MATCH($B1857,'Catalog'!$B:$B,0)),IFERROR(INDEX('Catalog'!$A:$A,MATCH(TRIM(SUBSTITUTE($B1857,CHAR(160)," ")),'Catalog'!$C:$C,0)),""))))</f>
        <v/>
      </c>
      <c r="H1857" s="8" t="str">
        <f aca="false">IFERROR(INDEX('TRANS'!$C:$C,MATCH($B1857,'TRANS'!$A:$A,0)),IFERROR(INDEX('Catalog'!$B:$B,MATCH($G1857,'Catalog'!$A:$A,0)),$B1857))</f>
        <v>06 XXL</v>
      </c>
      <c r="I1857" s="8" t="str">
        <f aca="false">IF($G1857="","Unmatched","Matched")</f>
        <v>Unmatched</v>
      </c>
    </row>
    <row r="1858" customFormat="false" ht="15" hidden="false" customHeight="false" outlineLevel="0" collapsed="false">
      <c r="A1858" s="8" t="s">
        <v>862</v>
      </c>
      <c r="B1858" s="8" t="s">
        <v>641</v>
      </c>
      <c r="C1858" s="19" t="n">
        <v>2</v>
      </c>
      <c r="D1858" s="19" t="n">
        <v>524.88</v>
      </c>
      <c r="E1858" s="19" t="n">
        <v>0</v>
      </c>
      <c r="F1858" s="19" t="n">
        <v>0</v>
      </c>
      <c r="G1858" s="8" t="n">
        <f aca="false">IFERROR(INDEX('TRANS'!$B:$B,MATCH($B1858,'TRANS'!$A:$A,0)),IFERROR(INDEX('TRANS'!$B:$B,MATCH(TRIM(SUBSTITUTE($B1858,CHAR(160)," ")),'TRANS'!$D:$D,0)),IFERROR(INDEX('Catalog'!$A:$A,MATCH($B1858,'Catalog'!$B:$B,0)),IFERROR(INDEX('Catalog'!$A:$A,MATCH(TRIM(SUBSTITUTE($B1858,CHAR(160)," ")),'Catalog'!$C:$C,0)),""))))</f>
        <v>4408018</v>
      </c>
      <c r="H1858" s="8" t="str">
        <f aca="false">IFERROR(INDEX('TRANS'!$C:$C,MATCH($B1858,'TRANS'!$A:$A,0)),IFERROR(INDEX('Catalog'!$B:$B,MATCH($G1858,'Catalog'!$A:$A,0)),$B1858))</f>
        <v>07AU XXL.ח.גב """"איטלקית"""" אוריר</v>
      </c>
      <c r="I1858" s="8" t="str">
        <f aca="false">IF($G1858="","Unmatched","Matched")</f>
        <v>Matched</v>
      </c>
    </row>
    <row r="1859" customFormat="false" ht="15" hidden="false" customHeight="false" outlineLevel="0" collapsed="false">
      <c r="A1859" s="8" t="s">
        <v>862</v>
      </c>
      <c r="B1859" s="8" t="s">
        <v>115</v>
      </c>
      <c r="C1859" s="19" t="n">
        <v>43</v>
      </c>
      <c r="D1859" s="19" t="n">
        <v>2680.6</v>
      </c>
      <c r="E1859" s="19" t="n">
        <v>24</v>
      </c>
      <c r="F1859" s="19" t="n">
        <v>1480.92</v>
      </c>
      <c r="G1859" s="8" t="n">
        <f aca="false">IFERROR(INDEX('TRANS'!$B:$B,MATCH($B1859,'TRANS'!$A:$A,0)),IFERROR(INDEX('TRANS'!$B:$B,MATCH(TRIM(SUBSTITUTE($B1859,CHAR(160)," ")),'TRANS'!$D:$D,0)),IFERROR(INDEX('Catalog'!$A:$A,MATCH($B1859,'Catalog'!$B:$B,0)),IFERROR(INDEX('Catalog'!$A:$A,MATCH(TRIM(SUBSTITUTE($B1859,CHAR(160)," ")),'Catalog'!$C:$C,0)),""))))</f>
        <v>4413372</v>
      </c>
      <c r="H1859" s="8" t="str">
        <f aca="false">IFERROR(INDEX('TRANS'!$C:$C,MATCH($B1859,'TRANS'!$A:$A,0)),IFERROR(INDEX('Catalog'!$B:$B,MATCH($G1859,'Catalog'!$A:$A,0)),$B1859))</f>
        <v>302 W מדרס לאישה</v>
      </c>
      <c r="I1859" s="8" t="str">
        <f aca="false">IF($G1859="","Unmatched","Matched")</f>
        <v>Matched</v>
      </c>
    </row>
    <row r="1860" customFormat="false" ht="15" hidden="false" customHeight="false" outlineLevel="0" collapsed="false">
      <c r="A1860" s="8" t="s">
        <v>862</v>
      </c>
      <c r="B1860" s="8" t="s">
        <v>126</v>
      </c>
      <c r="C1860" s="19" t="n">
        <v>2</v>
      </c>
      <c r="D1860" s="19" t="n">
        <v>47.71</v>
      </c>
      <c r="E1860" s="19" t="n">
        <v>0</v>
      </c>
      <c r="F1860" s="19" t="n">
        <v>0</v>
      </c>
      <c r="G1860" s="8" t="n">
        <f aca="false">IFERROR(INDEX('TRANS'!$B:$B,MATCH($B1860,'TRANS'!$A:$A,0)),IFERROR(INDEX('TRANS'!$B:$B,MATCH(TRIM(SUBSTITUTE($B1860,CHAR(160)," ")),'TRANS'!$D:$D,0)),IFERROR(INDEX('Catalog'!$A:$A,MATCH($B1860,'Catalog'!$B:$B,0)),IFERROR(INDEX('Catalog'!$A:$A,MATCH(TRIM(SUBSTITUTE($B1860,CHAR(160)," ")),'Catalog'!$C:$C,0)),""))))</f>
        <v>4415297</v>
      </c>
      <c r="H1860" s="8" t="str">
        <f aca="false">IFERROR(INDEX('TRANS'!$C:$C,MATCH($B1860,'TRANS'!$A:$A,0)),IFERROR(INDEX('Catalog'!$B:$B,MATCH($G1860,'Catalog'!$A:$A,0)),$B1860))</f>
        <v>313 סט פלסטרים נגד שפשופים</v>
      </c>
      <c r="I1860" s="8" t="str">
        <f aca="false">IF($G1860="","Unmatched","Matched")</f>
        <v>Matched</v>
      </c>
    </row>
    <row r="1861" customFormat="false" ht="15" hidden="false" customHeight="false" outlineLevel="0" collapsed="false">
      <c r="A1861" s="8" t="s">
        <v>862</v>
      </c>
      <c r="B1861" s="8" t="s">
        <v>358</v>
      </c>
      <c r="C1861" s="19" t="n">
        <v>8</v>
      </c>
      <c r="D1861" s="19" t="n">
        <v>299.64</v>
      </c>
      <c r="E1861" s="19" t="n">
        <v>1</v>
      </c>
      <c r="F1861" s="19" t="n">
        <v>37.45</v>
      </c>
      <c r="G1861" s="8" t="n">
        <f aca="false">IFERROR(INDEX('TRANS'!$B:$B,MATCH($B1861,'TRANS'!$A:$A,0)),IFERROR(INDEX('TRANS'!$B:$B,MATCH(TRIM(SUBSTITUTE($B1861,CHAR(160)," ")),'TRANS'!$D:$D,0)),IFERROR(INDEX('Catalog'!$A:$A,MATCH($B1861,'Catalog'!$B:$B,0)),IFERROR(INDEX('Catalog'!$A:$A,MATCH(TRIM(SUBSTITUTE($B1861,CHAR(160)," ")),'Catalog'!$C:$C,0)),""))))</f>
        <v>4403040</v>
      </c>
      <c r="H1861" s="8" t="str">
        <f aca="false">IFERROR(INDEX('TRANS'!$C:$C,MATCH($B1861,'TRANS'!$A:$A,0)),IFERROR(INDEX('Catalog'!$B:$B,MATCH($G1861,'Catalog'!$A:$A,0)),$B1861))</f>
        <v>3444B גרבי ג'ל לריכוך עור העקב</v>
      </c>
      <c r="I1861" s="8" t="str">
        <f aca="false">IF($G1861="","Unmatched","Matched")</f>
        <v>Matched</v>
      </c>
    </row>
    <row r="1862" customFormat="false" ht="15" hidden="false" customHeight="false" outlineLevel="0" collapsed="false">
      <c r="A1862" s="8" t="s">
        <v>862</v>
      </c>
      <c r="B1862" s="8" t="s">
        <v>152</v>
      </c>
      <c r="C1862" s="19" t="n">
        <v>2</v>
      </c>
      <c r="D1862" s="19" t="n">
        <v>28.96</v>
      </c>
      <c r="E1862" s="19" t="n">
        <v>0</v>
      </c>
      <c r="F1862" s="19" t="n">
        <v>0</v>
      </c>
      <c r="G1862" s="8" t="n">
        <f aca="false">IFERROR(INDEX('TRANS'!$B:$B,MATCH($B1862,'TRANS'!$A:$A,0)),IFERROR(INDEX('TRANS'!$B:$B,MATCH(TRIM(SUBSTITUTE($B1862,CHAR(160)," ")),'TRANS'!$D:$D,0)),IFERROR(INDEX('Catalog'!$A:$A,MATCH($B1862,'Catalog'!$B:$B,0)),IFERROR(INDEX('Catalog'!$A:$A,MATCH(TRIM(SUBSTITUTE($B1862,CHAR(160)," ")),'Catalog'!$C:$C,0)),""))))</f>
        <v>4413059</v>
      </c>
      <c r="H1862" s="8" t="str">
        <f aca="false">IFERROR(INDEX('TRANS'!$C:$C,MATCH($B1862,'TRANS'!$A:$A,0)),IFERROR(INDEX('Catalog'!$B:$B,MATCH($G1862,'Catalog'!$A:$A,0)),$B1862))</f>
        <v>364S Lמפר.אצבע סיליק. ליבל.זוג</v>
      </c>
      <c r="I1862" s="8" t="str">
        <f aca="false">IF($G1862="","Unmatched","Matched")</f>
        <v>Matched</v>
      </c>
    </row>
    <row r="1863" customFormat="false" ht="15" hidden="false" customHeight="false" outlineLevel="0" collapsed="false">
      <c r="A1863" s="8" t="s">
        <v>862</v>
      </c>
      <c r="B1863" s="8" t="s">
        <v>163</v>
      </c>
      <c r="C1863" s="19" t="n">
        <v>3</v>
      </c>
      <c r="D1863" s="19" t="n">
        <v>71.57</v>
      </c>
      <c r="E1863" s="19" t="n">
        <v>0</v>
      </c>
      <c r="F1863" s="19" t="n">
        <v>0</v>
      </c>
      <c r="G1863" s="8" t="n">
        <f aca="false">IFERROR(INDEX('TRANS'!$B:$B,MATCH($B1863,'TRANS'!$A:$A,0)),IFERROR(INDEX('TRANS'!$B:$B,MATCH(TRIM(SUBSTITUTE($B1863,CHAR(160)," ")),'TRANS'!$D:$D,0)),IFERROR(INDEX('Catalog'!$A:$A,MATCH($B1863,'Catalog'!$B:$B,0)),IFERROR(INDEX('Catalog'!$A:$A,MATCH(TRIM(SUBSTITUTE($B1863,CHAR(160)," ")),'Catalog'!$C:$C,0)),""))))</f>
        <v>4401000</v>
      </c>
      <c r="H1863" s="8" t="str">
        <f aca="false">IFERROR(INDEX('TRANS'!$C:$C,MATCH($B1863,'TRANS'!$A:$A,0)),IFERROR(INDEX('Catalog'!$B:$B,MATCH($G1863,'Catalog'!$A:$A,0)),$B1863))</f>
        <v>369  S-L אצבעון מסיליקון יחידה</v>
      </c>
      <c r="I1863" s="8" t="str">
        <f aca="false">IF($G1863="","Unmatched","Matched")</f>
        <v>Matched</v>
      </c>
    </row>
    <row r="1864" customFormat="false" ht="15" hidden="false" customHeight="false" outlineLevel="0" collapsed="false">
      <c r="A1864" s="8" t="s">
        <v>862</v>
      </c>
      <c r="B1864" s="8" t="s">
        <v>164</v>
      </c>
      <c r="C1864" s="19" t="n">
        <v>8</v>
      </c>
      <c r="D1864" s="19" t="n">
        <v>209.58</v>
      </c>
      <c r="E1864" s="19" t="n">
        <v>0</v>
      </c>
      <c r="F1864" s="19" t="n">
        <v>0</v>
      </c>
      <c r="G1864" s="8" t="n">
        <f aca="false">IFERROR(INDEX('TRANS'!$B:$B,MATCH($B1864,'TRANS'!$A:$A,0)),IFERROR(INDEX('TRANS'!$B:$B,MATCH(TRIM(SUBSTITUTE($B1864,CHAR(160)," ")),'TRANS'!$D:$D,0)),IFERROR(INDEX('Catalog'!$A:$A,MATCH($B1864,'Catalog'!$B:$B,0)),IFERROR(INDEX('Catalog'!$A:$A,MATCH(TRIM(SUBSTITUTE($B1864,CHAR(160)," ")),'Catalog'!$C:$C,0)),""))))</f>
        <v>4401001</v>
      </c>
      <c r="H1864" s="8" t="str">
        <f aca="false">IFERROR(INDEX('TRANS'!$C:$C,MATCH($B1864,'TRANS'!$A:$A,0)),IFERROR(INDEX('Catalog'!$B:$B,MATCH($G1864,'Catalog'!$A:$A,0)),$B1864))</f>
        <v>369   XL אצבעון מסיליקון יחידה</v>
      </c>
      <c r="I1864" s="8" t="str">
        <f aca="false">IF($G1864="","Unmatched","Matched")</f>
        <v>Matched</v>
      </c>
    </row>
    <row r="1865" customFormat="false" ht="15" hidden="false" customHeight="false" outlineLevel="0" collapsed="false">
      <c r="A1865" s="8" t="s">
        <v>862</v>
      </c>
      <c r="B1865" s="8" t="s">
        <v>197</v>
      </c>
      <c r="C1865" s="19" t="n">
        <v>7</v>
      </c>
      <c r="D1865" s="19" t="n">
        <v>425.76</v>
      </c>
      <c r="E1865" s="19" t="n">
        <v>0</v>
      </c>
      <c r="F1865" s="19" t="n">
        <v>0</v>
      </c>
      <c r="G1865" s="8" t="str">
        <f aca="false">IFERROR(INDEX('TRANS'!$B:$B,MATCH($B1865,'TRANS'!$A:$A,0)),IFERROR(INDEX('TRANS'!$B:$B,MATCH(TRIM(SUBSTITUTE($B1865,CHAR(160)," ")),'TRANS'!$D:$D,0)),IFERROR(INDEX('Catalog'!$A:$A,MATCH($B1865,'Catalog'!$B:$B,0)),IFERROR(INDEX('Catalog'!$A:$A,MATCH(TRIM(SUBSTITUTE($B1865,CHAR(160)," ")),'Catalog'!$C:$C,0)),""))))</f>
        <v/>
      </c>
      <c r="H1865" s="8" t="str">
        <f aca="false">IFERROR(INDEX('TRANS'!$C:$C,MATCH($B1865,'TRANS'!$A:$A,0)),IFERROR(INDEX('Catalog'!$B:$B,MATCH($G1865,'Catalog'!$A:$A,0)),$B1865))</f>
        <v>397-35-38</v>
      </c>
      <c r="I1865" s="8" t="str">
        <f aca="false">IF($G1865="","Unmatched","Matched")</f>
        <v>Unmatched</v>
      </c>
    </row>
    <row r="1866" customFormat="false" ht="15" hidden="false" customHeight="false" outlineLevel="0" collapsed="false">
      <c r="A1866" s="8" t="s">
        <v>862</v>
      </c>
      <c r="B1866" s="8" t="s">
        <v>198</v>
      </c>
      <c r="C1866" s="19" t="n">
        <v>7</v>
      </c>
      <c r="D1866" s="19" t="n">
        <v>425.76</v>
      </c>
      <c r="E1866" s="19" t="n">
        <v>0</v>
      </c>
      <c r="F1866" s="19" t="n">
        <v>0</v>
      </c>
      <c r="G1866" s="8" t="n">
        <f aca="false">IFERROR(INDEX('TRANS'!$B:$B,MATCH($B1866,'TRANS'!$A:$A,0)),IFERROR(INDEX('TRANS'!$B:$B,MATCH(TRIM(SUBSTITUTE($B1866,CHAR(160)," ")),'TRANS'!$D:$D,0)),IFERROR(INDEX('Catalog'!$A:$A,MATCH($B1866,'Catalog'!$B:$B,0)),IFERROR(INDEX('Catalog'!$A:$A,MATCH(TRIM(SUBSTITUTE($B1866,CHAR(160)," ")),'Catalog'!$C:$C,0)),""))))</f>
        <v>4403029</v>
      </c>
      <c r="H1866" s="8" t="str">
        <f aca="false">IFERROR(INDEX('TRANS'!$C:$C,MATCH($B1866,'TRANS'!$A:$A,0)),IFERROR(INDEX('Catalog'!$B:$B,MATCH($G1866,'Catalog'!$A:$A,0)),$B1866))</f>
        <v>397 39-42 גרבי טיסה מידה</v>
      </c>
      <c r="I1866" s="8" t="str">
        <f aca="false">IF($G1866="","Unmatched","Matched")</f>
        <v>Matched</v>
      </c>
    </row>
    <row r="1867" customFormat="false" ht="15" hidden="false" customHeight="false" outlineLevel="0" collapsed="false">
      <c r="A1867" s="8" t="s">
        <v>862</v>
      </c>
      <c r="B1867" s="8" t="s">
        <v>659</v>
      </c>
      <c r="C1867" s="19" t="n">
        <v>1</v>
      </c>
      <c r="D1867" s="19" t="n">
        <v>187.45</v>
      </c>
      <c r="E1867" s="19" t="n">
        <v>0</v>
      </c>
      <c r="F1867" s="19" t="n">
        <v>0</v>
      </c>
      <c r="G1867" s="8" t="str">
        <f aca="false">IFERROR(INDEX('TRANS'!$B:$B,MATCH($B1867,'TRANS'!$A:$A,0)),IFERROR(INDEX('TRANS'!$B:$B,MATCH(TRIM(SUBSTITUTE($B1867,CHAR(160)," ")),'TRANS'!$D:$D,0)),IFERROR(INDEX('Catalog'!$A:$A,MATCH($B1867,'Catalog'!$B:$B,0)),IFERROR(INDEX('Catalog'!$A:$A,MATCH(TRIM(SUBSTITUTE($B1867,CHAR(160)," ")),'Catalog'!$C:$C,0)),""))))</f>
        <v/>
      </c>
      <c r="H1867" s="8" t="str">
        <f aca="false">IFERROR(INDEX('TRANS'!$C:$C,MATCH($B1867,'TRANS'!$A:$A,0)),IFERROR(INDEX('Catalog'!$B:$B,MATCH($G1867,'Catalog'!$A:$A,0)),$B1867))</f>
        <v>422N L</v>
      </c>
      <c r="I1867" s="8" t="str">
        <f aca="false">IF($G1867="","Unmatched","Matched")</f>
        <v>Unmatched</v>
      </c>
    </row>
    <row r="1868" customFormat="false" ht="15" hidden="false" customHeight="false" outlineLevel="0" collapsed="false">
      <c r="A1868" s="8" t="s">
        <v>862</v>
      </c>
      <c r="B1868" s="8" t="s">
        <v>661</v>
      </c>
      <c r="C1868" s="19" t="n">
        <v>1</v>
      </c>
      <c r="D1868" s="19" t="n">
        <v>187.45</v>
      </c>
      <c r="E1868" s="19" t="n">
        <v>0</v>
      </c>
      <c r="F1868" s="19" t="n">
        <v>0</v>
      </c>
      <c r="G1868" s="8" t="str">
        <f aca="false">IFERROR(INDEX('TRANS'!$B:$B,MATCH($B1868,'TRANS'!$A:$A,0)),IFERROR(INDEX('TRANS'!$B:$B,MATCH(TRIM(SUBSTITUTE($B1868,CHAR(160)," ")),'TRANS'!$D:$D,0)),IFERROR(INDEX('Catalog'!$A:$A,MATCH($B1868,'Catalog'!$B:$B,0)),IFERROR(INDEX('Catalog'!$A:$A,MATCH(TRIM(SUBSTITUTE($B1868,CHAR(160)," ")),'Catalog'!$C:$C,0)),""))))</f>
        <v/>
      </c>
      <c r="H1868" s="8" t="str">
        <f aca="false">IFERROR(INDEX('TRANS'!$C:$C,MATCH($B1868,'TRANS'!$A:$A,0)),IFERROR(INDEX('Catalog'!$B:$B,MATCH($G1868,'Catalog'!$A:$A,0)),$B1868))</f>
        <v>422N XL</v>
      </c>
      <c r="I1868" s="8" t="str">
        <f aca="false">IF($G1868="","Unmatched","Matched")</f>
        <v>Unmatched</v>
      </c>
    </row>
    <row r="1869" customFormat="false" ht="15" hidden="false" customHeight="false" outlineLevel="0" collapsed="false">
      <c r="A1869" s="8" t="s">
        <v>862</v>
      </c>
      <c r="B1869" s="8" t="s">
        <v>52</v>
      </c>
      <c r="C1869" s="19" t="n">
        <v>0</v>
      </c>
      <c r="D1869" s="19" t="n">
        <v>0</v>
      </c>
      <c r="E1869" s="19" t="n">
        <v>1</v>
      </c>
      <c r="F1869" s="19" t="n">
        <v>164.01</v>
      </c>
      <c r="G1869" s="8" t="n">
        <f aca="false">IFERROR(INDEX('TRANS'!$B:$B,MATCH($B1869,'TRANS'!$A:$A,0)),IFERROR(INDEX('TRANS'!$B:$B,MATCH(TRIM(SUBSTITUTE($B1869,CHAR(160)," ")),'TRANS'!$D:$D,0)),IFERROR(INDEX('Catalog'!$A:$A,MATCH($B1869,'Catalog'!$B:$B,0)),IFERROR(INDEX('Catalog'!$A:$A,MATCH(TRIM(SUBSTITUTE($B1869,CHAR(160)," ")),'Catalog'!$C:$C,0)),""))))</f>
        <v>4413127</v>
      </c>
      <c r="H1869" s="8" t="str">
        <f aca="false">IFERROR(INDEX('TRANS'!$C:$C,MATCH($B1869,'TRANS'!$A:$A,0)),IFERROR(INDEX('Catalog'!$B:$B,MATCH($G1869,'Catalog'!$A:$A,0)),$B1869))</f>
        <v>75 Lמיישר כתף יציב יישור גב צר</v>
      </c>
      <c r="I1869" s="8" t="str">
        <f aca="false">IF($G1869="","Unmatched","Matched")</f>
        <v>Matched</v>
      </c>
    </row>
    <row r="1870" customFormat="false" ht="15" hidden="false" customHeight="false" outlineLevel="0" collapsed="false">
      <c r="A1870" s="8" t="s">
        <v>862</v>
      </c>
      <c r="B1870" s="8" t="s">
        <v>603</v>
      </c>
      <c r="C1870" s="19" t="n">
        <v>0</v>
      </c>
      <c r="D1870" s="19" t="n">
        <v>0</v>
      </c>
      <c r="E1870" s="19" t="n">
        <v>1</v>
      </c>
      <c r="F1870" s="19" t="n">
        <v>164.01</v>
      </c>
      <c r="G1870" s="8" t="n">
        <f aca="false">IFERROR(INDEX('TRANS'!$B:$B,MATCH($B1870,'TRANS'!$A:$A,0)),IFERROR(INDEX('TRANS'!$B:$B,MATCH(TRIM(SUBSTITUTE($B1870,CHAR(160)," ")),'TRANS'!$D:$D,0)),IFERROR(INDEX('Catalog'!$A:$A,MATCH($B1870,'Catalog'!$B:$B,0)),IFERROR(INDEX('Catalog'!$A:$A,MATCH(TRIM(SUBSTITUTE($B1870,CHAR(160)," ")),'Catalog'!$C:$C,0)),""))))</f>
        <v>4413128</v>
      </c>
      <c r="H1870" s="8" t="str">
        <f aca="false">IFERROR(INDEX('TRANS'!$C:$C,MATCH($B1870,'TRANS'!$A:$A,0)),IFERROR(INDEX('Catalog'!$B:$B,MATCH($G1870,'Catalog'!$A:$A,0)),$B1870))</f>
        <v>75 Mמיישר כתף יציב יישור גב צר</v>
      </c>
      <c r="I1870" s="8" t="str">
        <f aca="false">IF($G1870="","Unmatched","Matched")</f>
        <v>Matched</v>
      </c>
    </row>
    <row r="1871" customFormat="false" ht="15" hidden="false" customHeight="false" outlineLevel="0" collapsed="false">
      <c r="A1871" s="8" t="s">
        <v>862</v>
      </c>
      <c r="B1871" s="8" t="s">
        <v>53</v>
      </c>
      <c r="C1871" s="19" t="n">
        <v>0</v>
      </c>
      <c r="D1871" s="19" t="n">
        <v>0</v>
      </c>
      <c r="E1871" s="19" t="n">
        <v>1</v>
      </c>
      <c r="F1871" s="19" t="n">
        <v>164.01</v>
      </c>
      <c r="G1871" s="8" t="n">
        <f aca="false">IFERROR(INDEX('TRANS'!$B:$B,MATCH($B1871,'TRANS'!$A:$A,0)),IFERROR(INDEX('TRANS'!$B:$B,MATCH(TRIM(SUBSTITUTE($B1871,CHAR(160)," ")),'TRANS'!$D:$D,0)),IFERROR(INDEX('Catalog'!$A:$A,MATCH($B1871,'Catalog'!$B:$B,0)),IFERROR(INDEX('Catalog'!$A:$A,MATCH(TRIM(SUBSTITUTE($B1871,CHAR(160)," ")),'Catalog'!$C:$C,0)),""))))</f>
        <v>4413129</v>
      </c>
      <c r="H1871" s="8" t="str">
        <f aca="false">IFERROR(INDEX('TRANS'!$C:$C,MATCH($B1871,'TRANS'!$A:$A,0)),IFERROR(INDEX('Catalog'!$B:$B,MATCH($G1871,'Catalog'!$A:$A,0)),$B1871))</f>
        <v>75 XLמיישר כתף יציב יישור ג.צר</v>
      </c>
      <c r="I1871" s="8" t="str">
        <f aca="false">IF($G1871="","Unmatched","Matched")</f>
        <v>Matched</v>
      </c>
    </row>
    <row r="1872" customFormat="false" ht="15" hidden="false" customHeight="false" outlineLevel="0" collapsed="false">
      <c r="A1872" s="8" t="s">
        <v>862</v>
      </c>
      <c r="B1872" s="8" t="s">
        <v>242</v>
      </c>
      <c r="C1872" s="19" t="n">
        <v>6</v>
      </c>
      <c r="D1872" s="19" t="n">
        <v>103.77</v>
      </c>
      <c r="E1872" s="19" t="n">
        <v>0</v>
      </c>
      <c r="F1872" s="19" t="n">
        <v>0</v>
      </c>
      <c r="G1872" s="8" t="n">
        <f aca="false">IFERROR(INDEX('TRANS'!$B:$B,MATCH($B1872,'TRANS'!$A:$A,0)),IFERROR(INDEX('TRANS'!$B:$B,MATCH(TRIM(SUBSTITUTE($B1872,CHAR(160)," ")),'TRANS'!$D:$D,0)),IFERROR(INDEX('Catalog'!$A:$A,MATCH($B1872,'Catalog'!$B:$B,0)),IFERROR(INDEX('Catalog'!$A:$A,MATCH(TRIM(SUBSTITUTE($B1872,CHAR(160)," ")),'Catalog'!$C:$C,0)),""))))</f>
        <v>4401012</v>
      </c>
      <c r="H1872" s="8" t="str">
        <f aca="false">IFERROR(INDEX('TRANS'!$C:$C,MATCH($B1872,'TRANS'!$A:$A,0)),IFERROR(INDEX('Catalog'!$B:$B,MATCH($G1872,'Catalog'!$A:$A,0)),$B1872))</f>
        <v>805AT-B אתלטיק טייפ שחור 20מ""""מ</v>
      </c>
      <c r="I1872" s="8" t="str">
        <f aca="false">IF($G1872="","Unmatched","Matched")</f>
        <v>Matched</v>
      </c>
    </row>
    <row r="1873" customFormat="false" ht="15" hidden="false" customHeight="false" outlineLevel="0" collapsed="false">
      <c r="A1873" s="8" t="s">
        <v>862</v>
      </c>
      <c r="B1873" s="8" t="s">
        <v>243</v>
      </c>
      <c r="C1873" s="19" t="n">
        <v>6</v>
      </c>
      <c r="D1873" s="19" t="n">
        <v>103.77</v>
      </c>
      <c r="E1873" s="19" t="n">
        <v>0</v>
      </c>
      <c r="F1873" s="19" t="n">
        <v>0</v>
      </c>
      <c r="G1873" s="8" t="n">
        <f aca="false">IFERROR(INDEX('TRANS'!$B:$B,MATCH($B1873,'TRANS'!$A:$A,0)),IFERROR(INDEX('TRANS'!$B:$B,MATCH(TRIM(SUBSTITUTE($B1873,CHAR(160)," ")),'TRANS'!$D:$D,0)),IFERROR(INDEX('Catalog'!$A:$A,MATCH($B1873,'Catalog'!$B:$B,0)),IFERROR(INDEX('Catalog'!$A:$A,MATCH(TRIM(SUBSTITUTE($B1873,CHAR(160)," ")),'Catalog'!$C:$C,0)),""))))</f>
        <v>4401011</v>
      </c>
      <c r="H1873" s="8" t="str">
        <f aca="false">IFERROR(INDEX('TRANS'!$C:$C,MATCH($B1873,'TRANS'!$A:$A,0)),IFERROR(INDEX('Catalog'!$B:$B,MATCH($G1873,'Catalog'!$A:$A,0)),$B1873))</f>
        <v>805AT-Cאתלטיק טייפ בז' 20מ""""מ20</v>
      </c>
      <c r="I1873" s="8" t="str">
        <f aca="false">IF($G1873="","Unmatched","Matched")</f>
        <v>Matched</v>
      </c>
    </row>
    <row r="1874" customFormat="false" ht="15" hidden="false" customHeight="false" outlineLevel="0" collapsed="false">
      <c r="A1874" s="8" t="s">
        <v>862</v>
      </c>
      <c r="B1874" s="8" t="s">
        <v>506</v>
      </c>
      <c r="C1874" s="19" t="n">
        <v>3</v>
      </c>
      <c r="D1874" s="19" t="n">
        <v>90</v>
      </c>
      <c r="E1874" s="19" t="n">
        <v>0</v>
      </c>
      <c r="F1874" s="19" t="n">
        <v>0</v>
      </c>
      <c r="G1874" s="8" t="n">
        <f aca="false">IFERROR(INDEX('TRANS'!$B:$B,MATCH($B1874,'TRANS'!$A:$A,0)),IFERROR(INDEX('TRANS'!$B:$B,MATCH(TRIM(SUBSTITUTE($B1874,CHAR(160)," ")),'TRANS'!$D:$D,0)),IFERROR(INDEX('Catalog'!$A:$A,MATCH($B1874,'Catalog'!$B:$B,0)),IFERROR(INDEX('Catalog'!$A:$A,MATCH(TRIM(SUBSTITUTE($B1874,CHAR(160)," ")),'Catalog'!$C:$C,0)),""))))</f>
        <v>4409015</v>
      </c>
      <c r="H1874" s="8" t="str">
        <f aca="false">IFERROR(INDEX('TRANS'!$C:$C,MATCH($B1874,'TRANS'!$A:$A,0)),IFERROR(INDEX('Catalog'!$B:$B,MATCH($G1874,'Catalog'!$A:$A,0)),$B1874))</f>
        <v>808KT-BL       טייפ קינזיולוגי</v>
      </c>
      <c r="I1874" s="8" t="str">
        <f aca="false">IF($G1874="","Unmatched","Matched")</f>
        <v>Matched</v>
      </c>
    </row>
    <row r="1875" customFormat="false" ht="15" hidden="false" customHeight="false" outlineLevel="0" collapsed="false">
      <c r="A1875" s="8" t="s">
        <v>862</v>
      </c>
      <c r="B1875" s="8" t="s">
        <v>248</v>
      </c>
      <c r="C1875" s="19" t="n">
        <v>6</v>
      </c>
      <c r="D1875" s="19" t="n">
        <v>180</v>
      </c>
      <c r="E1875" s="19" t="n">
        <v>0</v>
      </c>
      <c r="F1875" s="19" t="n">
        <v>0</v>
      </c>
      <c r="G1875" s="8" t="n">
        <f aca="false">IFERROR(INDEX('TRANS'!$B:$B,MATCH($B1875,'TRANS'!$A:$A,0)),IFERROR(INDEX('TRANS'!$B:$B,MATCH(TRIM(SUBSTITUTE($B1875,CHAR(160)," ")),'TRANS'!$D:$D,0)),IFERROR(INDEX('Catalog'!$A:$A,MATCH($B1875,'Catalog'!$B:$B,0)),IFERROR(INDEX('Catalog'!$A:$A,MATCH(TRIM(SUBSTITUTE($B1875,CHAR(160)," ")),'Catalog'!$C:$C,0)),""))))</f>
        <v>4409016</v>
      </c>
      <c r="H1875" s="8" t="str">
        <f aca="false">IFERROR(INDEX('TRANS'!$C:$C,MATCH($B1875,'TRANS'!$A:$A,0)),IFERROR(INDEX('Catalog'!$B:$B,MATCH($G1875,'Catalog'!$A:$A,0)),$B1875))</f>
        <v>808KT-C        טייפ קינזיולוגי</v>
      </c>
      <c r="I1875" s="8" t="str">
        <f aca="false">IF($G1875="","Unmatched","Matched")</f>
        <v>Matched</v>
      </c>
    </row>
    <row r="1876" customFormat="false" ht="15" hidden="false" customHeight="false" outlineLevel="0" collapsed="false">
      <c r="A1876" s="8" t="s">
        <v>862</v>
      </c>
      <c r="B1876" s="8" t="s">
        <v>269</v>
      </c>
      <c r="C1876" s="19" t="n">
        <v>6</v>
      </c>
      <c r="D1876" s="19" t="n">
        <v>224.73</v>
      </c>
      <c r="E1876" s="19" t="n">
        <v>0</v>
      </c>
      <c r="F1876" s="19" t="n">
        <v>0</v>
      </c>
      <c r="G1876" s="8" t="n">
        <f aca="false">IFERROR(INDEX('TRANS'!$B:$B,MATCH($B1876,'TRANS'!$A:$A,0)),IFERROR(INDEX('TRANS'!$B:$B,MATCH(TRIM(SUBSTITUTE($B1876,CHAR(160)," ")),'TRANS'!$D:$D,0)),IFERROR(INDEX('Catalog'!$A:$A,MATCH($B1876,'Catalog'!$B:$B,0)),IFERROR(INDEX('Catalog'!$A:$A,MATCH(TRIM(SUBSTITUTE($B1876,CHAR(160)," ")),'Catalog'!$C:$C,0)),""))))</f>
        <v>4408207</v>
      </c>
      <c r="H1876" s="8" t="str">
        <f aca="false">IFERROR(INDEX('TRANS'!$C:$C,MATCH($B1876,'TRANS'!$A:$A,0)),IFERROR(INDEX('Catalog'!$B:$B,MATCH($G1876,'Catalog'!$A:$A,0)),$B1876))</f>
        <v>AC-25 חבק לשורש כף היד</v>
      </c>
      <c r="I1876" s="8" t="str">
        <f aca="false">IF($G1876="","Unmatched","Matched")</f>
        <v>Matched</v>
      </c>
    </row>
    <row r="1877" customFormat="false" ht="15" hidden="false" customHeight="false" outlineLevel="0" collapsed="false">
      <c r="A1877" s="8" t="s">
        <v>862</v>
      </c>
      <c r="B1877" s="8" t="s">
        <v>272</v>
      </c>
      <c r="C1877" s="19" t="n">
        <v>2</v>
      </c>
      <c r="D1877" s="19" t="n">
        <v>84.27</v>
      </c>
      <c r="E1877" s="19" t="n">
        <v>1</v>
      </c>
      <c r="F1877" s="19" t="n">
        <v>42.14</v>
      </c>
      <c r="G1877" s="8" t="n">
        <f aca="false">IFERROR(INDEX('TRANS'!$B:$B,MATCH($B1877,'TRANS'!$A:$A,0)),IFERROR(INDEX('TRANS'!$B:$B,MATCH(TRIM(SUBSTITUTE($B1877,CHAR(160)," ")),'TRANS'!$D:$D,0)),IFERROR(INDEX('Catalog'!$A:$A,MATCH($B1877,'Catalog'!$B:$B,0)),IFERROR(INDEX('Catalog'!$A:$A,MATCH(TRIM(SUBSTITUTE($B1877,CHAR(160)," ")),'Catalog'!$C:$C,0)),""))))</f>
        <v>4415028</v>
      </c>
      <c r="H1877" s="8" t="str">
        <f aca="false">IFERROR(INDEX('TRANS'!$C:$C,MATCH($B1877,'TRANS'!$A:$A,0)),IFERROR(INDEX('Catalog'!$B:$B,MATCH($G1877,'Catalog'!$A:$A,0)),$B1877))</f>
        <v>AC-28 סד לאגודל</v>
      </c>
      <c r="I1877" s="8" t="str">
        <f aca="false">IF($G1877="","Unmatched","Matched")</f>
        <v>Matched</v>
      </c>
    </row>
    <row r="1878" customFormat="false" ht="15" hidden="false" customHeight="false" outlineLevel="0" collapsed="false">
      <c r="A1878" s="8" t="s">
        <v>862</v>
      </c>
      <c r="B1878" s="8" t="s">
        <v>273</v>
      </c>
      <c r="C1878" s="19" t="n">
        <v>9</v>
      </c>
      <c r="D1878" s="19" t="n">
        <v>337.09</v>
      </c>
      <c r="E1878" s="19" t="n">
        <v>2</v>
      </c>
      <c r="F1878" s="19" t="n">
        <v>74.91</v>
      </c>
      <c r="G1878" s="8" t="n">
        <f aca="false">IFERROR(INDEX('TRANS'!$B:$B,MATCH($B1878,'TRANS'!$A:$A,0)),IFERROR(INDEX('TRANS'!$B:$B,MATCH(TRIM(SUBSTITUTE($B1878,CHAR(160)," ")),'TRANS'!$D:$D,0)),IFERROR(INDEX('Catalog'!$A:$A,MATCH($B1878,'Catalog'!$B:$B,0)),IFERROR(INDEX('Catalog'!$A:$A,MATCH(TRIM(SUBSTITUTE($B1878,CHAR(160)," ")),'Catalog'!$C:$C,0)),""))))</f>
        <v>4413326</v>
      </c>
      <c r="H1878" s="8" t="str">
        <f aca="false">IFERROR(INDEX('TRANS'!$C:$C,MATCH($B1878,'TRANS'!$A:$A,0)),IFERROR(INDEX('Catalog'!$B:$B,MATCH($G1878,'Catalog'!$A:$A,0)),$B1878))</f>
        <v>AC37 מגן קרסול נושם</v>
      </c>
      <c r="I1878" s="8" t="str">
        <f aca="false">IF($G1878="","Unmatched","Matched")</f>
        <v>Matched</v>
      </c>
    </row>
    <row r="1879" customFormat="false" ht="15" hidden="false" customHeight="false" outlineLevel="0" collapsed="false">
      <c r="A1879" s="8" t="s">
        <v>862</v>
      </c>
      <c r="B1879" s="8" t="s">
        <v>276</v>
      </c>
      <c r="C1879" s="19" t="n">
        <v>3</v>
      </c>
      <c r="D1879" s="19" t="n">
        <v>217.83</v>
      </c>
      <c r="E1879" s="19" t="n">
        <v>10</v>
      </c>
      <c r="F1879" s="19" t="n">
        <v>796.52</v>
      </c>
      <c r="G1879" s="8" t="n">
        <f aca="false">IFERROR(INDEX('TRANS'!$B:$B,MATCH($B1879,'TRANS'!$A:$A,0)),IFERROR(INDEX('TRANS'!$B:$B,MATCH(TRIM(SUBSTITUTE($B1879,CHAR(160)," ")),'TRANS'!$D:$D,0)),IFERROR(INDEX('Catalog'!$A:$A,MATCH($B1879,'Catalog'!$B:$B,0)),IFERROR(INDEX('Catalog'!$A:$A,MATCH(TRIM(SUBSTITUTE($B1879,CHAR(160)," ")),'Catalog'!$C:$C,0)),""))))</f>
        <v>4413456</v>
      </c>
      <c r="H1879" s="8" t="str">
        <f aca="false">IFERROR(INDEX('TRANS'!$C:$C,MATCH($B1879,'TRANS'!$A:$A,0)),IFERROR(INDEX('Catalog'!$B:$B,MATCH($G1879,'Catalog'!$A:$A,0)),$B1879))</f>
        <v>AC75 XXL  מיישר כתפיים אקטיב</v>
      </c>
      <c r="I1879" s="8" t="str">
        <f aca="false">IF($G1879="","Unmatched","Matched")</f>
        <v>Matched</v>
      </c>
    </row>
    <row r="1880" customFormat="false" ht="15" hidden="false" customHeight="false" outlineLevel="0" collapsed="false">
      <c r="A1880" s="8" t="s">
        <v>862</v>
      </c>
      <c r="B1880" s="8" t="s">
        <v>672</v>
      </c>
      <c r="C1880" s="19" t="n">
        <v>2</v>
      </c>
      <c r="D1880" s="19" t="n">
        <v>215.52</v>
      </c>
      <c r="E1880" s="19" t="n">
        <v>0</v>
      </c>
      <c r="F1880" s="19" t="n">
        <v>0</v>
      </c>
      <c r="G1880" s="8" t="str">
        <f aca="false">IFERROR(INDEX('TRANS'!$B:$B,MATCH($B1880,'TRANS'!$A:$A,0)),IFERROR(INDEX('TRANS'!$B:$B,MATCH(TRIM(SUBSTITUTE($B1880,CHAR(160)," ")),'TRANS'!$D:$D,0)),IFERROR(INDEX('Catalog'!$A:$A,MATCH($B1880,'Catalog'!$B:$B,0)),IFERROR(INDEX('Catalog'!$A:$A,MATCH(TRIM(SUBSTITUTE($B1880,CHAR(160)," ")),'Catalog'!$C:$C,0)),""))))</f>
        <v/>
      </c>
      <c r="H1880" s="8" t="str">
        <f aca="false">IFERROR(INDEX('TRANS'!$C:$C,MATCH($B1880,'TRANS'!$A:$A,0)),IFERROR(INDEX('Catalog'!$B:$B,MATCH($G1880,'Catalog'!$A:$A,0)),$B1880))</f>
        <v>T39 L</v>
      </c>
      <c r="I1880" s="8" t="str">
        <f aca="false">IF($G1880="","Unmatched","Matched")</f>
        <v>Unmatched</v>
      </c>
    </row>
    <row r="1881" customFormat="false" ht="15" hidden="false" customHeight="false" outlineLevel="0" collapsed="false">
      <c r="A1881" s="8" t="s">
        <v>862</v>
      </c>
      <c r="B1881" s="8" t="s">
        <v>58</v>
      </c>
      <c r="C1881" s="19" t="n">
        <v>1</v>
      </c>
      <c r="D1881" s="19" t="n">
        <v>107.76</v>
      </c>
      <c r="E1881" s="19" t="n">
        <v>0</v>
      </c>
      <c r="F1881" s="19" t="n">
        <v>0</v>
      </c>
      <c r="G1881" s="8" t="str">
        <f aca="false">IFERROR(INDEX('TRANS'!$B:$B,MATCH($B1881,'TRANS'!$A:$A,0)),IFERROR(INDEX('TRANS'!$B:$B,MATCH(TRIM(SUBSTITUTE($B1881,CHAR(160)," ")),'TRANS'!$D:$D,0)),IFERROR(INDEX('Catalog'!$A:$A,MATCH($B1881,'Catalog'!$B:$B,0)),IFERROR(INDEX('Catalog'!$A:$A,MATCH(TRIM(SUBSTITUTE($B1881,CHAR(160)," ")),'Catalog'!$C:$C,0)),""))))</f>
        <v/>
      </c>
      <c r="H1881" s="8" t="str">
        <f aca="false">IFERROR(INDEX('TRANS'!$C:$C,MATCH($B1881,'TRANS'!$A:$A,0)),IFERROR(INDEX('Catalog'!$B:$B,MATCH($G1881,'Catalog'!$A:$A,0)),$B1881))</f>
        <v>T39 XL</v>
      </c>
      <c r="I1881" s="8" t="str">
        <f aca="false">IF($G1881="","Unmatched","Matched")</f>
        <v>Unmatched</v>
      </c>
    </row>
    <row r="1882" customFormat="false" ht="15" hidden="false" customHeight="false" outlineLevel="0" collapsed="false">
      <c r="A1882" s="8" t="s">
        <v>862</v>
      </c>
      <c r="B1882" s="8" t="s">
        <v>866</v>
      </c>
      <c r="C1882" s="19" t="n">
        <v>1</v>
      </c>
      <c r="D1882" s="19" t="n">
        <v>234.34</v>
      </c>
      <c r="E1882" s="19" t="n">
        <v>1</v>
      </c>
      <c r="F1882" s="19" t="n">
        <v>234.31</v>
      </c>
      <c r="G1882" s="8" t="str">
        <f aca="false">IFERROR(INDEX('TRANS'!$B:$B,MATCH($B1882,'TRANS'!$A:$A,0)),IFERROR(INDEX('TRANS'!$B:$B,MATCH(TRIM(SUBSTITUTE($B1882,CHAR(160)," ")),'TRANS'!$D:$D,0)),IFERROR(INDEX('Catalog'!$A:$A,MATCH($B1882,'Catalog'!$B:$B,0)),IFERROR(INDEX('Catalog'!$A:$A,MATCH(TRIM(SUBSTITUTE($B1882,CHAR(160)," ")),'Catalog'!$C:$C,0)),""))))</f>
        <v/>
      </c>
      <c r="H1882" s="8" t="str">
        <f aca="false">IFERROR(INDEX('TRANS'!$C:$C,MATCH($B1882,'TRANS'!$A:$A,0)),IFERROR(INDEX('Catalog'!$B:$B,MATCH($G1882,'Catalog'!$A:$A,0)),$B1882))</f>
        <v>07UB XXL</v>
      </c>
      <c r="I1882" s="8" t="str">
        <f aca="false">IF($G1882="","Unmatched","Matched")</f>
        <v>Unmatched</v>
      </c>
    </row>
    <row r="1883" customFormat="false" ht="15" hidden="false" customHeight="false" outlineLevel="0" collapsed="false">
      <c r="A1883" s="8" t="s">
        <v>862</v>
      </c>
      <c r="B1883" s="8" t="s">
        <v>867</v>
      </c>
      <c r="C1883" s="19" t="n">
        <v>1</v>
      </c>
      <c r="D1883" s="19" t="n">
        <v>234.32</v>
      </c>
      <c r="E1883" s="19" t="n">
        <v>1</v>
      </c>
      <c r="F1883" s="19" t="n">
        <v>234.35</v>
      </c>
      <c r="G1883" s="8" t="str">
        <f aca="false">IFERROR(INDEX('TRANS'!$B:$B,MATCH($B1883,'TRANS'!$A:$A,0)),IFERROR(INDEX('TRANS'!$B:$B,MATCH(TRIM(SUBSTITUTE($B1883,CHAR(160)," ")),'TRANS'!$D:$D,0)),IFERROR(INDEX('Catalog'!$A:$A,MATCH($B1883,'Catalog'!$B:$B,0)),IFERROR(INDEX('Catalog'!$A:$A,MATCH(TRIM(SUBSTITUTE($B1883,CHAR(160)," ")),'Catalog'!$C:$C,0)),""))))</f>
        <v/>
      </c>
      <c r="H1883" s="8" t="str">
        <f aca="false">IFERROR(INDEX('TRANS'!$C:$C,MATCH($B1883,'TRANS'!$A:$A,0)),IFERROR(INDEX('Catalog'!$B:$B,MATCH($G1883,'Catalog'!$A:$A,0)),$B1883))</f>
        <v>07UB-L-XL</v>
      </c>
      <c r="I1883" s="8" t="str">
        <f aca="false">IF($G1883="","Unmatched","Matched")</f>
        <v>Unmatched</v>
      </c>
    </row>
    <row r="1884" customFormat="false" ht="15" hidden="false" customHeight="false" outlineLevel="0" collapsed="false">
      <c r="A1884" s="8" t="s">
        <v>862</v>
      </c>
      <c r="B1884" s="8" t="s">
        <v>548</v>
      </c>
      <c r="C1884" s="19" t="n">
        <v>1</v>
      </c>
      <c r="D1884" s="19" t="n">
        <v>234.31</v>
      </c>
      <c r="E1884" s="19" t="n">
        <v>0</v>
      </c>
      <c r="F1884" s="19" t="n">
        <v>0</v>
      </c>
      <c r="G1884" s="8" t="str">
        <f aca="false">IFERROR(INDEX('TRANS'!$B:$B,MATCH($B1884,'TRANS'!$A:$A,0)),IFERROR(INDEX('TRANS'!$B:$B,MATCH(TRIM(SUBSTITUTE($B1884,CHAR(160)," ")),'TRANS'!$D:$D,0)),IFERROR(INDEX('Catalog'!$A:$A,MATCH($B1884,'Catalog'!$B:$B,0)),IFERROR(INDEX('Catalog'!$A:$A,MATCH(TRIM(SUBSTITUTE($B1884,CHAR(160)," ")),'Catalog'!$C:$C,0)),""))))</f>
        <v/>
      </c>
      <c r="H1884" s="8" t="str">
        <f aca="false">IFERROR(INDEX('TRANS'!$C:$C,MATCH($B1884,'TRANS'!$A:$A,0)),IFERROR(INDEX('Catalog'!$B:$B,MATCH($G1884,'Catalog'!$A:$A,0)),$B1884))</f>
        <v>07UB-S-M</v>
      </c>
      <c r="I1884" s="8" t="str">
        <f aca="false">IF($G1884="","Unmatched","Matched")</f>
        <v>Unmatched</v>
      </c>
    </row>
    <row r="1885" customFormat="false" ht="15" hidden="false" customHeight="false" outlineLevel="0" collapsed="false">
      <c r="A1885" s="8" t="s">
        <v>862</v>
      </c>
      <c r="B1885" s="8" t="s">
        <v>72</v>
      </c>
      <c r="C1885" s="19" t="n">
        <v>1</v>
      </c>
      <c r="D1885" s="19" t="n">
        <v>110.11</v>
      </c>
      <c r="E1885" s="19" t="n">
        <v>0</v>
      </c>
      <c r="F1885" s="19" t="n">
        <v>0</v>
      </c>
      <c r="G1885" s="8" t="n">
        <f aca="false">IFERROR(INDEX('TRANS'!$B:$B,MATCH($B1885,'TRANS'!$A:$A,0)),IFERROR(INDEX('TRANS'!$B:$B,MATCH(TRIM(SUBSTITUTE($B1885,CHAR(160)," ")),'TRANS'!$D:$D,0)),IFERROR(INDEX('Catalog'!$A:$A,MATCH($B1885,'Catalog'!$B:$B,0)),IFERROR(INDEX('Catalog'!$A:$A,MATCH(TRIM(SUBSTITUTE($B1885,CHAR(160)," ")),'Catalog'!$C:$C,0)),""))))</f>
        <v>4408115</v>
      </c>
      <c r="H1885" s="8" t="str">
        <f aca="false">IFERROR(INDEX('TRANS'!$C:$C,MATCH($B1885,'TRANS'!$A:$A,0)),IFERROR(INDEX('Catalog'!$B:$B,MATCH($G1885,'Catalog'!$A:$A,0)),$B1885))</f>
        <v>11EU L ח.בטן לאחר ניתוח</v>
      </c>
      <c r="I1885" s="8" t="str">
        <f aca="false">IF($G1885="","Unmatched","Matched")</f>
        <v>Matched</v>
      </c>
    </row>
    <row r="1886" customFormat="false" ht="15" hidden="false" customHeight="false" outlineLevel="0" collapsed="false">
      <c r="A1886" s="8" t="s">
        <v>862</v>
      </c>
      <c r="B1886" s="8" t="s">
        <v>73</v>
      </c>
      <c r="C1886" s="19" t="n">
        <v>1</v>
      </c>
      <c r="D1886" s="19" t="n">
        <v>110.15</v>
      </c>
      <c r="E1886" s="19" t="n">
        <v>0</v>
      </c>
      <c r="F1886" s="19" t="n">
        <v>0</v>
      </c>
      <c r="G1886" s="8" t="n">
        <f aca="false">IFERROR(INDEX('TRANS'!$B:$B,MATCH($B1886,'TRANS'!$A:$A,0)),IFERROR(INDEX('TRANS'!$B:$B,MATCH(TRIM(SUBSTITUTE($B1886,CHAR(160)," ")),'TRANS'!$D:$D,0)),IFERROR(INDEX('Catalog'!$A:$A,MATCH($B1886,'Catalog'!$B:$B,0)),IFERROR(INDEX('Catalog'!$A:$A,MATCH(TRIM(SUBSTITUTE($B1886,CHAR(160)," ")),'Catalog'!$C:$C,0)),""))))</f>
        <v>4408114</v>
      </c>
      <c r="H1886" s="8" t="str">
        <f aca="false">IFERROR(INDEX('TRANS'!$C:$C,MATCH($B1886,'TRANS'!$A:$A,0)),IFERROR(INDEX('Catalog'!$B:$B,MATCH($G1886,'Catalog'!$A:$A,0)),$B1886))</f>
        <v>11EU M ח.בטן לאחר ניתוח</v>
      </c>
      <c r="I1886" s="8" t="str">
        <f aca="false">IF($G1886="","Unmatched","Matched")</f>
        <v>Matched</v>
      </c>
    </row>
    <row r="1887" customFormat="false" ht="15" hidden="false" customHeight="false" outlineLevel="0" collapsed="false">
      <c r="A1887" s="8" t="s">
        <v>862</v>
      </c>
      <c r="B1887" s="8" t="s">
        <v>341</v>
      </c>
      <c r="C1887" s="19" t="n">
        <v>1</v>
      </c>
      <c r="D1887" s="19" t="n">
        <v>110.11</v>
      </c>
      <c r="E1887" s="19" t="n">
        <v>0</v>
      </c>
      <c r="F1887" s="19" t="n">
        <v>0</v>
      </c>
      <c r="G1887" s="8" t="n">
        <f aca="false">IFERROR(INDEX('TRANS'!$B:$B,MATCH($B1887,'TRANS'!$A:$A,0)),IFERROR(INDEX('TRANS'!$B:$B,MATCH(TRIM(SUBSTITUTE($B1887,CHAR(160)," ")),'TRANS'!$D:$D,0)),IFERROR(INDEX('Catalog'!$A:$A,MATCH($B1887,'Catalog'!$B:$B,0)),IFERROR(INDEX('Catalog'!$A:$A,MATCH(TRIM(SUBSTITUTE($B1887,CHAR(160)," ")),'Catalog'!$C:$C,0)),""))))</f>
        <v>4408116</v>
      </c>
      <c r="H1887" s="8" t="str">
        <f aca="false">IFERROR(INDEX('TRANS'!$C:$C,MATCH($B1887,'TRANS'!$A:$A,0)),IFERROR(INDEX('Catalog'!$B:$B,MATCH($G1887,'Catalog'!$A:$A,0)),$B1887))</f>
        <v>11EU XLח.בטן לאחר ניתוח</v>
      </c>
      <c r="I1887" s="8" t="str">
        <f aca="false">IF($G1887="","Unmatched","Matched")</f>
        <v>Matched</v>
      </c>
    </row>
    <row r="1888" customFormat="false" ht="15" hidden="false" customHeight="false" outlineLevel="0" collapsed="false">
      <c r="A1888" s="8" t="s">
        <v>862</v>
      </c>
      <c r="B1888" s="8" t="s">
        <v>459</v>
      </c>
      <c r="C1888" s="19" t="n">
        <v>1</v>
      </c>
      <c r="D1888" s="19" t="n">
        <v>110.11</v>
      </c>
      <c r="E1888" s="19" t="n">
        <v>0</v>
      </c>
      <c r="F1888" s="19" t="n">
        <v>0</v>
      </c>
      <c r="G1888" s="8" t="n">
        <f aca="false">IFERROR(INDEX('TRANS'!$B:$B,MATCH($B1888,'TRANS'!$A:$A,0)),IFERROR(INDEX('TRANS'!$B:$B,MATCH(TRIM(SUBSTITUTE($B1888,CHAR(160)," ")),'TRANS'!$D:$D,0)),IFERROR(INDEX('Catalog'!$A:$A,MATCH($B1888,'Catalog'!$B:$B,0)),IFERROR(INDEX('Catalog'!$A:$A,MATCH(TRIM(SUBSTITUTE($B1888,CHAR(160)," ")),'Catalog'!$C:$C,0)),""))))</f>
        <v>4408132</v>
      </c>
      <c r="H1888" s="8" t="str">
        <f aca="false">IFERROR(INDEX('TRANS'!$C:$C,MATCH($B1888,'TRANS'!$A:$A,0)),IFERROR(INDEX('Catalog'!$B:$B,MATCH($G1888,'Catalog'!$A:$A,0)),$B1888))</f>
        <v>11EU XXL חגורת בטןלאחר ניתוח</v>
      </c>
      <c r="I1888" s="8" t="str">
        <f aca="false">IF($G1888="","Unmatched","Matched")</f>
        <v>Matched</v>
      </c>
    </row>
    <row r="1889" customFormat="false" ht="15" hidden="false" customHeight="false" outlineLevel="0" collapsed="false">
      <c r="A1889" s="8" t="s">
        <v>862</v>
      </c>
      <c r="B1889" s="8" t="s">
        <v>80</v>
      </c>
      <c r="C1889" s="19" t="n">
        <v>1</v>
      </c>
      <c r="D1889" s="19" t="n">
        <v>115</v>
      </c>
      <c r="E1889" s="19" t="n">
        <v>0</v>
      </c>
      <c r="F1889" s="19" t="n">
        <v>41.98</v>
      </c>
      <c r="G1889" s="8" t="str">
        <f aca="false">IFERROR(INDEX('TRANS'!$B:$B,MATCH($B1889,'TRANS'!$A:$A,0)),IFERROR(INDEX('TRANS'!$B:$B,MATCH(TRIM(SUBSTITUTE($B1889,CHAR(160)," ")),'TRANS'!$D:$D,0)),IFERROR(INDEX('Catalog'!$A:$A,MATCH($B1889,'Catalog'!$B:$B,0)),IFERROR(INDEX('Catalog'!$A:$A,MATCH(TRIM(SUBSTITUTE($B1889,CHAR(160)," ")),'Catalog'!$C:$C,0)),""))))</f>
        <v/>
      </c>
      <c r="H1889" s="8" t="str">
        <f aca="false">IFERROR(INDEX('TRANS'!$C:$C,MATCH($B1889,'TRANS'!$A:$A,0)),IFERROR(INDEX('Catalog'!$B:$B,MATCH($G1889,'Catalog'!$A:$A,0)),$B1889))</f>
        <v>13 L</v>
      </c>
      <c r="I1889" s="8" t="str">
        <f aca="false">IF($G1889="","Unmatched","Matched")</f>
        <v>Unmatched</v>
      </c>
    </row>
    <row r="1890" customFormat="false" ht="15" hidden="false" customHeight="false" outlineLevel="0" collapsed="false">
      <c r="A1890" s="8" t="s">
        <v>862</v>
      </c>
      <c r="B1890" s="8" t="s">
        <v>620</v>
      </c>
      <c r="C1890" s="19" t="n">
        <v>0</v>
      </c>
      <c r="D1890" s="19" t="n">
        <v>0</v>
      </c>
      <c r="E1890" s="19" t="n">
        <v>2</v>
      </c>
      <c r="F1890" s="19" t="n">
        <v>313.94</v>
      </c>
      <c r="G1890" s="8" t="n">
        <f aca="false">IFERROR(INDEX('TRANS'!$B:$B,MATCH($B1890,'TRANS'!$A:$A,0)),IFERROR(INDEX('TRANS'!$B:$B,MATCH(TRIM(SUBSTITUTE($B1890,CHAR(160)," ")),'TRANS'!$D:$D,0)),IFERROR(INDEX('Catalog'!$A:$A,MATCH($B1890,'Catalog'!$B:$B,0)),IFERROR(INDEX('Catalog'!$A:$A,MATCH(TRIM(SUBSTITUTE($B1890,CHAR(160)," ")),'Catalog'!$C:$C,0)),""))))</f>
        <v>4408179</v>
      </c>
      <c r="H1890" s="8" t="str">
        <f aca="false">IFERROR(INDEX('TRANS'!$C:$C,MATCH($B1890,'TRANS'!$A:$A,0)),IFERROR(INDEX('Catalog'!$B:$B,MATCH($G1890,'Catalog'!$A:$A,0)),$B1890))</f>
        <v>13 XL חגורה לשבר טבור</v>
      </c>
      <c r="I1890" s="8" t="str">
        <f aca="false">IF($G1890="","Unmatched","Matched")</f>
        <v>Matched</v>
      </c>
    </row>
    <row r="1891" customFormat="false" ht="15" hidden="false" customHeight="false" outlineLevel="0" collapsed="false">
      <c r="A1891" s="8" t="s">
        <v>862</v>
      </c>
      <c r="B1891" s="8" t="s">
        <v>346</v>
      </c>
      <c r="C1891" s="19" t="n">
        <v>0</v>
      </c>
      <c r="D1891" s="19" t="n">
        <v>0</v>
      </c>
      <c r="E1891" s="19" t="n">
        <v>1</v>
      </c>
      <c r="F1891" s="19" t="n">
        <v>156.97</v>
      </c>
      <c r="G1891" s="8" t="n">
        <f aca="false">IFERROR(INDEX('TRANS'!$B:$B,MATCH($B1891,'TRANS'!$A:$A,0)),IFERROR(INDEX('TRANS'!$B:$B,MATCH(TRIM(SUBSTITUTE($B1891,CHAR(160)," ")),'TRANS'!$D:$D,0)),IFERROR(INDEX('Catalog'!$A:$A,MATCH($B1891,'Catalog'!$B:$B,0)),IFERROR(INDEX('Catalog'!$A:$A,MATCH(TRIM(SUBSTITUTE($B1891,CHAR(160)," ")),'Catalog'!$C:$C,0)),""))))</f>
        <v>4408180</v>
      </c>
      <c r="H1891" s="8" t="str">
        <f aca="false">IFERROR(INDEX('TRANS'!$C:$C,MATCH($B1891,'TRANS'!$A:$A,0)),IFERROR(INDEX('Catalog'!$B:$B,MATCH($G1891,'Catalog'!$A:$A,0)),$B1891))</f>
        <v>13 XXL חגורה לשבר טבור</v>
      </c>
      <c r="I1891" s="8" t="str">
        <f aca="false">IF($G1891="","Unmatched","Matched")</f>
        <v>Matched</v>
      </c>
    </row>
    <row r="1892" customFormat="false" ht="15" hidden="false" customHeight="false" outlineLevel="0" collapsed="false">
      <c r="A1892" s="8" t="s">
        <v>862</v>
      </c>
      <c r="B1892" s="8" t="s">
        <v>82</v>
      </c>
      <c r="C1892" s="19" t="n">
        <v>5</v>
      </c>
      <c r="D1892" s="19" t="n">
        <v>1312.2</v>
      </c>
      <c r="E1892" s="19" t="n">
        <v>2</v>
      </c>
      <c r="F1892" s="19" t="n">
        <v>432.44</v>
      </c>
      <c r="G1892" s="8" t="n">
        <f aca="false">IFERROR(INDEX('TRANS'!$B:$B,MATCH($B1892,'TRANS'!$A:$A,0)),IFERROR(INDEX('TRANS'!$B:$B,MATCH(TRIM(SUBSTITUTE($B1892,CHAR(160)," ")),'TRANS'!$D:$D,0)),IFERROR(INDEX('Catalog'!$A:$A,MATCH($B1892,'Catalog'!$B:$B,0)),IFERROR(INDEX('Catalog'!$A:$A,MATCH(TRIM(SUBSTITUTE($B1892,CHAR(160)," ")),'Catalog'!$C:$C,0)),""))))</f>
        <v>4408203</v>
      </c>
      <c r="H1892" s="8" t="str">
        <f aca="false">IFERROR(INDEX('TRANS'!$C:$C,MATCH($B1892,'TRANS'!$A:$A,0)),IFERROR(INDEX('Catalog'!$B:$B,MATCH($G1892,'Catalog'!$A:$A,0)),$B1892))</f>
        <v>14 0 חגורה למנותחי בית חזה</v>
      </c>
      <c r="I1892" s="8" t="str">
        <f aca="false">IF($G1892="","Unmatched","Matched")</f>
        <v>Matched</v>
      </c>
    </row>
    <row r="1893" customFormat="false" ht="15" hidden="false" customHeight="false" outlineLevel="0" collapsed="false">
      <c r="A1893" s="8" t="s">
        <v>862</v>
      </c>
      <c r="B1893" s="8" t="s">
        <v>93</v>
      </c>
      <c r="C1893" s="19" t="n">
        <v>3</v>
      </c>
      <c r="D1893" s="19" t="n">
        <v>112.36</v>
      </c>
      <c r="E1893" s="19" t="n">
        <v>2</v>
      </c>
      <c r="F1893" s="19" t="n">
        <v>74.91</v>
      </c>
      <c r="G1893" s="8" t="n">
        <f aca="false">IFERROR(INDEX('TRANS'!$B:$B,MATCH($B1893,'TRANS'!$A:$A,0)),IFERROR(INDEX('TRANS'!$B:$B,MATCH(TRIM(SUBSTITUTE($B1893,CHAR(160)," ")),'TRANS'!$D:$D,0)),IFERROR(INDEX('Catalog'!$A:$A,MATCH($B1893,'Catalog'!$B:$B,0)),IFERROR(INDEX('Catalog'!$A:$A,MATCH(TRIM(SUBSTITUTE($B1893,CHAR(160)," ")),'Catalog'!$C:$C,0)),""))))</f>
        <v>4411017</v>
      </c>
      <c r="H1893" s="8" t="str">
        <f aca="false">IFERROR(INDEX('TRANS'!$C:$C,MATCH($B1893,'TRANS'!$A:$A,0)),IFERROR(INDEX('Catalog'!$B:$B,MATCH($G1893,'Catalog'!$A:$A,0)),$B1893))</f>
        <v>211L כפפות לחץ</v>
      </c>
      <c r="I1893" s="8" t="str">
        <f aca="false">IF($G1893="","Unmatched","Matched")</f>
        <v>Matched</v>
      </c>
    </row>
    <row r="1894" customFormat="false" ht="15" hidden="false" customHeight="false" outlineLevel="0" collapsed="false">
      <c r="A1894" s="8" t="s">
        <v>862</v>
      </c>
      <c r="B1894" s="8" t="s">
        <v>94</v>
      </c>
      <c r="C1894" s="19" t="n">
        <v>2</v>
      </c>
      <c r="D1894" s="19" t="n">
        <v>74.9</v>
      </c>
      <c r="E1894" s="19" t="n">
        <v>1</v>
      </c>
      <c r="F1894" s="19" t="n">
        <v>37.45</v>
      </c>
      <c r="G1894" s="8" t="n">
        <f aca="false">IFERROR(INDEX('TRANS'!$B:$B,MATCH($B1894,'TRANS'!$A:$A,0)),IFERROR(INDEX('TRANS'!$B:$B,MATCH(TRIM(SUBSTITUTE($B1894,CHAR(160)," ")),'TRANS'!$D:$D,0)),IFERROR(INDEX('Catalog'!$A:$A,MATCH($B1894,'Catalog'!$B:$B,0)),IFERROR(INDEX('Catalog'!$A:$A,MATCH(TRIM(SUBSTITUTE($B1894,CHAR(160)," ")),'Catalog'!$C:$C,0)),""))))</f>
        <v>4411018</v>
      </c>
      <c r="H1894" s="8" t="str">
        <f aca="false">IFERROR(INDEX('TRANS'!$C:$C,MATCH($B1894,'TRANS'!$A:$A,0)),IFERROR(INDEX('Catalog'!$B:$B,MATCH($G1894,'Catalog'!$A:$A,0)),$B1894))</f>
        <v>211M כפפות לחץ</v>
      </c>
      <c r="I1894" s="8" t="str">
        <f aca="false">IF($G1894="","Unmatched","Matched")</f>
        <v>Matched</v>
      </c>
    </row>
    <row r="1895" customFormat="false" ht="15" hidden="false" customHeight="false" outlineLevel="0" collapsed="false">
      <c r="A1895" s="8" t="s">
        <v>862</v>
      </c>
      <c r="B1895" s="8" t="s">
        <v>95</v>
      </c>
      <c r="C1895" s="19" t="n">
        <v>1</v>
      </c>
      <c r="D1895" s="19" t="n">
        <v>37.45</v>
      </c>
      <c r="E1895" s="19" t="n">
        <v>1</v>
      </c>
      <c r="F1895" s="19" t="n">
        <v>37.45</v>
      </c>
      <c r="G1895" s="8" t="n">
        <f aca="false">IFERROR(INDEX('TRANS'!$B:$B,MATCH($B1895,'TRANS'!$A:$A,0)),IFERROR(INDEX('TRANS'!$B:$B,MATCH(TRIM(SUBSTITUTE($B1895,CHAR(160)," ")),'TRANS'!$D:$D,0)),IFERROR(INDEX('Catalog'!$A:$A,MATCH($B1895,'Catalog'!$B:$B,0)),IFERROR(INDEX('Catalog'!$A:$A,MATCH(TRIM(SUBSTITUTE($B1895,CHAR(160)," ")),'Catalog'!$C:$C,0)),""))))</f>
        <v>4411019</v>
      </c>
      <c r="H1895" s="8" t="str">
        <f aca="false">IFERROR(INDEX('TRANS'!$C:$C,MATCH($B1895,'TRANS'!$A:$A,0)),IFERROR(INDEX('Catalog'!$B:$B,MATCH($G1895,'Catalog'!$A:$A,0)),$B1895))</f>
        <v>211S כפפות לחץ</v>
      </c>
      <c r="I1895" s="8" t="str">
        <f aca="false">IF($G1895="","Unmatched","Matched")</f>
        <v>Matched</v>
      </c>
    </row>
    <row r="1896" customFormat="false" ht="15" hidden="false" customHeight="false" outlineLevel="0" collapsed="false">
      <c r="A1896" s="8" t="s">
        <v>862</v>
      </c>
      <c r="B1896" s="8" t="s">
        <v>678</v>
      </c>
      <c r="C1896" s="19" t="n">
        <v>1</v>
      </c>
      <c r="D1896" s="19" t="n">
        <v>37.45</v>
      </c>
      <c r="E1896" s="19" t="n">
        <v>1</v>
      </c>
      <c r="F1896" s="19" t="n">
        <v>37.45</v>
      </c>
      <c r="G1896" s="8" t="n">
        <f aca="false">IFERROR(INDEX('TRANS'!$B:$B,MATCH($B1896,'TRANS'!$A:$A,0)),IFERROR(INDEX('TRANS'!$B:$B,MATCH(TRIM(SUBSTITUTE($B1896,CHAR(160)," ")),'TRANS'!$D:$D,0)),IFERROR(INDEX('Catalog'!$A:$A,MATCH($B1896,'Catalog'!$B:$B,0)),IFERROR(INDEX('Catalog'!$A:$A,MATCH(TRIM(SUBSTITUTE($B1896,CHAR(160)," ")),'Catalog'!$C:$C,0)),""))))</f>
        <v>4411020</v>
      </c>
      <c r="H1896" s="8" t="str">
        <f aca="false">IFERROR(INDEX('TRANS'!$C:$C,MATCH($B1896,'TRANS'!$A:$A,0)),IFERROR(INDEX('Catalog'!$B:$B,MATCH($G1896,'Catalog'!$A:$A,0)),$B1896))</f>
        <v>211XL כפפות לחץ</v>
      </c>
      <c r="I1896" s="8" t="str">
        <f aca="false">IF($G1896="","Unmatched","Matched")</f>
        <v>Matched</v>
      </c>
    </row>
    <row r="1897" customFormat="false" ht="15" hidden="false" customHeight="false" outlineLevel="0" collapsed="false">
      <c r="A1897" s="8" t="s">
        <v>862</v>
      </c>
      <c r="B1897" s="8" t="s">
        <v>96</v>
      </c>
      <c r="C1897" s="19" t="n">
        <v>0</v>
      </c>
      <c r="D1897" s="19" t="n">
        <v>0</v>
      </c>
      <c r="E1897" s="19" t="n">
        <v>2</v>
      </c>
      <c r="F1897" s="19" t="n">
        <v>79.59</v>
      </c>
      <c r="G1897" s="8" t="n">
        <f aca="false">IFERROR(INDEX('TRANS'!$B:$B,MATCH($B1897,'TRANS'!$A:$A,0)),IFERROR(INDEX('TRANS'!$B:$B,MATCH(TRIM(SUBSTITUTE($B1897,CHAR(160)," ")),'TRANS'!$D:$D,0)),IFERROR(INDEX('Catalog'!$A:$A,MATCH($B1897,'Catalog'!$B:$B,0)),IFERROR(INDEX('Catalog'!$A:$A,MATCH(TRIM(SUBSTITUTE($B1897,CHAR(160)," ")),'Catalog'!$C:$C,0)),""))))</f>
        <v>4411021</v>
      </c>
      <c r="H1897" s="8" t="str">
        <f aca="false">IFERROR(INDEX('TRANS'!$C:$C,MATCH($B1897,'TRANS'!$A:$A,0)),IFERROR(INDEX('Catalog'!$B:$B,MATCH($G1897,'Catalog'!$A:$A,0)),$B1897))</f>
        <v>212L כפפות אגודל לחץ</v>
      </c>
      <c r="I1897" s="8" t="str">
        <f aca="false">IF($G1897="","Unmatched","Matched")</f>
        <v>Matched</v>
      </c>
    </row>
    <row r="1898" customFormat="false" ht="15" hidden="false" customHeight="false" outlineLevel="0" collapsed="false">
      <c r="A1898" s="8" t="s">
        <v>862</v>
      </c>
      <c r="B1898" s="8" t="s">
        <v>97</v>
      </c>
      <c r="C1898" s="19" t="n">
        <v>1</v>
      </c>
      <c r="D1898" s="19" t="n">
        <v>39.79</v>
      </c>
      <c r="E1898" s="19" t="n">
        <v>2</v>
      </c>
      <c r="F1898" s="19" t="n">
        <v>79.59</v>
      </c>
      <c r="G1898" s="8" t="n">
        <f aca="false">IFERROR(INDEX('TRANS'!$B:$B,MATCH($B1898,'TRANS'!$A:$A,0)),IFERROR(INDEX('TRANS'!$B:$B,MATCH(TRIM(SUBSTITUTE($B1898,CHAR(160)," ")),'TRANS'!$D:$D,0)),IFERROR(INDEX('Catalog'!$A:$A,MATCH($B1898,'Catalog'!$B:$B,0)),IFERROR(INDEX('Catalog'!$A:$A,MATCH(TRIM(SUBSTITUTE($B1898,CHAR(160)," ")),'Catalog'!$C:$C,0)),""))))</f>
        <v>4411022</v>
      </c>
      <c r="H1898" s="8" t="str">
        <f aca="false">IFERROR(INDEX('TRANS'!$C:$C,MATCH($B1898,'TRANS'!$A:$A,0)),IFERROR(INDEX('Catalog'!$B:$B,MATCH($G1898,'Catalog'!$A:$A,0)),$B1898))</f>
        <v>212M כפפות אגודל לחץ</v>
      </c>
      <c r="I1898" s="8" t="str">
        <f aca="false">IF($G1898="","Unmatched","Matched")</f>
        <v>Matched</v>
      </c>
    </row>
    <row r="1899" customFormat="false" ht="15" hidden="false" customHeight="false" outlineLevel="0" collapsed="false">
      <c r="A1899" s="8" t="s">
        <v>862</v>
      </c>
      <c r="B1899" s="8" t="s">
        <v>98</v>
      </c>
      <c r="C1899" s="19" t="n">
        <v>0</v>
      </c>
      <c r="D1899" s="19" t="n">
        <v>0</v>
      </c>
      <c r="E1899" s="19" t="n">
        <v>2</v>
      </c>
      <c r="F1899" s="19" t="n">
        <v>79.59</v>
      </c>
      <c r="G1899" s="8" t="n">
        <f aca="false">IFERROR(INDEX('TRANS'!$B:$B,MATCH($B1899,'TRANS'!$A:$A,0)),IFERROR(INDEX('TRANS'!$B:$B,MATCH(TRIM(SUBSTITUTE($B1899,CHAR(160)," ")),'TRANS'!$D:$D,0)),IFERROR(INDEX('Catalog'!$A:$A,MATCH($B1899,'Catalog'!$B:$B,0)),IFERROR(INDEX('Catalog'!$A:$A,MATCH(TRIM(SUBSTITUTE($B1899,CHAR(160)," ")),'Catalog'!$C:$C,0)),""))))</f>
        <v>4411023</v>
      </c>
      <c r="H1899" s="8" t="str">
        <f aca="false">IFERROR(INDEX('TRANS'!$C:$C,MATCH($B1899,'TRANS'!$A:$A,0)),IFERROR(INDEX('Catalog'!$B:$B,MATCH($G1899,'Catalog'!$A:$A,0)),$B1899))</f>
        <v>212S כפפות אגודל לחץ</v>
      </c>
      <c r="I1899" s="8" t="str">
        <f aca="false">IF($G1899="","Unmatched","Matched")</f>
        <v>Matched</v>
      </c>
    </row>
    <row r="1900" customFormat="false" ht="15" hidden="false" customHeight="false" outlineLevel="0" collapsed="false">
      <c r="A1900" s="8" t="s">
        <v>862</v>
      </c>
      <c r="B1900" s="8" t="s">
        <v>624</v>
      </c>
      <c r="C1900" s="19" t="n">
        <v>4</v>
      </c>
      <c r="D1900" s="19" t="n">
        <v>334.4</v>
      </c>
      <c r="E1900" s="19" t="n">
        <v>0</v>
      </c>
      <c r="F1900" s="19" t="n">
        <v>0</v>
      </c>
      <c r="G1900" s="8" t="n">
        <f aca="false">IFERROR(INDEX('TRANS'!$B:$B,MATCH($B1900,'TRANS'!$A:$A,0)),IFERROR(INDEX('TRANS'!$B:$B,MATCH(TRIM(SUBSTITUTE($B1900,CHAR(160)," ")),'TRANS'!$D:$D,0)),IFERROR(INDEX('Catalog'!$A:$A,MATCH($B1900,'Catalog'!$B:$B,0)),IFERROR(INDEX('Catalog'!$A:$A,MATCH(TRIM(SUBSTITUTE($B1900,CHAR(160)," ")),'Catalog'!$C:$C,0)),""))))</f>
        <v>4413154</v>
      </c>
      <c r="H1900" s="8" t="str">
        <f aca="false">IFERROR(INDEX('TRANS'!$C:$C,MATCH($B1900,'TRANS'!$A:$A,0)),IFERROR(INDEX('Catalog'!$B:$B,MATCH($G1900,'Catalog'!$A:$A,0)),$B1900))</f>
        <v>305GA מדרס אורטופ.מתכוון37-38</v>
      </c>
      <c r="I1900" s="8" t="str">
        <f aca="false">IF($G1900="","Unmatched","Matched")</f>
        <v>Matched</v>
      </c>
    </row>
    <row r="1901" customFormat="false" ht="15" hidden="false" customHeight="false" outlineLevel="0" collapsed="false">
      <c r="A1901" s="8" t="s">
        <v>862</v>
      </c>
      <c r="B1901" s="8" t="s">
        <v>119</v>
      </c>
      <c r="C1901" s="19" t="n">
        <v>17</v>
      </c>
      <c r="D1901" s="19" t="n">
        <v>1381.93</v>
      </c>
      <c r="E1901" s="19" t="n">
        <v>5</v>
      </c>
      <c r="F1901" s="19" t="n">
        <v>406.02</v>
      </c>
      <c r="G1901" s="8" t="n">
        <f aca="false">IFERROR(INDEX('TRANS'!$B:$B,MATCH($B1901,'TRANS'!$A:$A,0)),IFERROR(INDEX('TRANS'!$B:$B,MATCH(TRIM(SUBSTITUTE($B1901,CHAR(160)," ")),'TRANS'!$D:$D,0)),IFERROR(INDEX('Catalog'!$A:$A,MATCH($B1901,'Catalog'!$B:$B,0)),IFERROR(INDEX('Catalog'!$A:$A,MATCH(TRIM(SUBSTITUTE($B1901,CHAR(160)," ")),'Catalog'!$C:$C,0)),""))))</f>
        <v>4413158</v>
      </c>
      <c r="H1901" s="8" t="str">
        <f aca="false">IFERROR(INDEX('TRANS'!$C:$C,MATCH($B1901,'TRANS'!$A:$A,0)),IFERROR(INDEX('Catalog'!$B:$B,MATCH($G1901,'Catalog'!$A:$A,0)),$B1901))</f>
        <v>305GA מדרס אורטופ.מתכוון45-46</v>
      </c>
      <c r="I1901" s="8" t="str">
        <f aca="false">IF($G1901="","Unmatched","Matched")</f>
        <v>Matched</v>
      </c>
    </row>
    <row r="1902" customFormat="false" ht="15" hidden="false" customHeight="false" outlineLevel="0" collapsed="false">
      <c r="A1902" s="8" t="s">
        <v>862</v>
      </c>
      <c r="B1902" s="8" t="s">
        <v>131</v>
      </c>
      <c r="C1902" s="19" t="n">
        <v>1</v>
      </c>
      <c r="D1902" s="19" t="n">
        <v>61.41</v>
      </c>
      <c r="E1902" s="19" t="n">
        <v>0</v>
      </c>
      <c r="F1902" s="19" t="n">
        <v>0</v>
      </c>
      <c r="G1902" s="8" t="n">
        <f aca="false">IFERROR(INDEX('TRANS'!$B:$B,MATCH($B1902,'TRANS'!$A:$A,0)),IFERROR(INDEX('TRANS'!$B:$B,MATCH(TRIM(SUBSTITUTE($B1902,CHAR(160)," ")),'TRANS'!$D:$D,0)),IFERROR(INDEX('Catalog'!$A:$A,MATCH($B1902,'Catalog'!$B:$B,0)),IFERROR(INDEX('Catalog'!$A:$A,MATCH(TRIM(SUBSTITUTE($B1902,CHAR(160)," ")),'Catalog'!$C:$C,0)),""))))</f>
        <v>4413161</v>
      </c>
      <c r="H1902" s="8" t="str">
        <f aca="false">IFERROR(INDEX('TRANS'!$C:$C,MATCH($B1902,'TRANS'!$A:$A,0)),IFERROR(INDEX('Catalog'!$B:$B,MATCH($G1902,'Catalog'!$A:$A,0)),$B1902))</f>
        <v>34+ L מגן קרסול עקב סגור+רצוע</v>
      </c>
      <c r="I1902" s="8" t="str">
        <f aca="false">IF($G1902="","Unmatched","Matched")</f>
        <v>Matched</v>
      </c>
    </row>
    <row r="1903" customFormat="false" ht="15" hidden="false" customHeight="false" outlineLevel="0" collapsed="false">
      <c r="A1903" s="8" t="s">
        <v>862</v>
      </c>
      <c r="B1903" s="8" t="s">
        <v>357</v>
      </c>
      <c r="C1903" s="19" t="n">
        <v>1</v>
      </c>
      <c r="D1903" s="19" t="n">
        <v>61.41</v>
      </c>
      <c r="E1903" s="19" t="n">
        <v>0</v>
      </c>
      <c r="F1903" s="19" t="n">
        <v>0</v>
      </c>
      <c r="G1903" s="8" t="n">
        <f aca="false">IFERROR(INDEX('TRANS'!$B:$B,MATCH($B1903,'TRANS'!$A:$A,0)),IFERROR(INDEX('TRANS'!$B:$B,MATCH(TRIM(SUBSTITUTE($B1903,CHAR(160)," ")),'TRANS'!$D:$D,0)),IFERROR(INDEX('Catalog'!$A:$A,MATCH($B1903,'Catalog'!$B:$B,0)),IFERROR(INDEX('Catalog'!$A:$A,MATCH(TRIM(SUBSTITUTE($B1903,CHAR(160)," ")),'Catalog'!$C:$C,0)),""))))</f>
        <v>4413160</v>
      </c>
      <c r="H1903" s="8" t="str">
        <f aca="false">IFERROR(INDEX('TRANS'!$C:$C,MATCH($B1903,'TRANS'!$A:$A,0)),IFERROR(INDEX('Catalog'!$B:$B,MATCH($G1903,'Catalog'!$A:$A,0)),$B1903))</f>
        <v>34+ M מגן קרסול עקב סגור+רצוע</v>
      </c>
      <c r="I1903" s="8" t="str">
        <f aca="false">IF($G1903="","Unmatched","Matched")</f>
        <v>Matched</v>
      </c>
    </row>
    <row r="1904" customFormat="false" ht="15" hidden="false" customHeight="false" outlineLevel="0" collapsed="false">
      <c r="A1904" s="8" t="s">
        <v>862</v>
      </c>
      <c r="B1904" s="8" t="s">
        <v>133</v>
      </c>
      <c r="C1904" s="19" t="n">
        <v>1</v>
      </c>
      <c r="D1904" s="19" t="n">
        <v>30.89</v>
      </c>
      <c r="E1904" s="19" t="n">
        <v>0</v>
      </c>
      <c r="F1904" s="19" t="n">
        <v>0</v>
      </c>
      <c r="G1904" s="8" t="n">
        <f aca="false">IFERROR(INDEX('TRANS'!$B:$B,MATCH($B1904,'TRANS'!$A:$A,0)),IFERROR(INDEX('TRANS'!$B:$B,MATCH(TRIM(SUBSTITUTE($B1904,CHAR(160)," ")),'TRANS'!$D:$D,0)),IFERROR(INDEX('Catalog'!$A:$A,MATCH($B1904,'Catalog'!$B:$B,0)),IFERROR(INDEX('Catalog'!$A:$A,MATCH(TRIM(SUBSTITUTE($B1904,CHAR(160)," ")),'Catalog'!$C:$C,0)),""))))</f>
        <v>4413048</v>
      </c>
      <c r="H1904" s="8" t="str">
        <f aca="false">IFERROR(INDEX('TRANS'!$C:$C,MATCH($B1904,'TRANS'!$A:$A,0)),IFERROR(INDEX('Catalog'!$B:$B,MATCH($G1904,'Catalog'!$A:$A,0)),$B1904))</f>
        <v>35 L מגן קרסול לבן</v>
      </c>
      <c r="I1904" s="8" t="str">
        <f aca="false">IF($G1904="","Unmatched","Matched")</f>
        <v>Matched</v>
      </c>
    </row>
    <row r="1905" customFormat="false" ht="15" hidden="false" customHeight="false" outlineLevel="0" collapsed="false">
      <c r="A1905" s="8" t="s">
        <v>862</v>
      </c>
      <c r="B1905" s="8" t="s">
        <v>134</v>
      </c>
      <c r="C1905" s="19" t="n">
        <v>1</v>
      </c>
      <c r="D1905" s="19" t="n">
        <v>30.89</v>
      </c>
      <c r="E1905" s="19" t="n">
        <v>0</v>
      </c>
      <c r="F1905" s="19" t="n">
        <v>0</v>
      </c>
      <c r="G1905" s="8" t="n">
        <f aca="false">IFERROR(INDEX('TRANS'!$B:$B,MATCH($B1905,'TRANS'!$A:$A,0)),IFERROR(INDEX('TRANS'!$B:$B,MATCH(TRIM(SUBSTITUTE($B1905,CHAR(160)," ")),'TRANS'!$D:$D,0)),IFERROR(INDEX('Catalog'!$A:$A,MATCH($B1905,'Catalog'!$B:$B,0)),IFERROR(INDEX('Catalog'!$A:$A,MATCH(TRIM(SUBSTITUTE($B1905,CHAR(160)," ")),'Catalog'!$C:$C,0)),""))))</f>
        <v>4413049</v>
      </c>
      <c r="H1905" s="8" t="str">
        <f aca="false">IFERROR(INDEX('TRANS'!$C:$C,MATCH($B1905,'TRANS'!$A:$A,0)),IFERROR(INDEX('Catalog'!$B:$B,MATCH($G1905,'Catalog'!$A:$A,0)),$B1905))</f>
        <v>35 M מגן קרסול לבן</v>
      </c>
      <c r="I1905" s="8" t="str">
        <f aca="false">IF($G1905="","Unmatched","Matched")</f>
        <v>Matched</v>
      </c>
    </row>
    <row r="1906" customFormat="false" ht="15" hidden="false" customHeight="false" outlineLevel="0" collapsed="false">
      <c r="A1906" s="8" t="s">
        <v>862</v>
      </c>
      <c r="B1906" s="8" t="s">
        <v>359</v>
      </c>
      <c r="C1906" s="19" t="n">
        <v>1</v>
      </c>
      <c r="D1906" s="19" t="n">
        <v>30.89</v>
      </c>
      <c r="E1906" s="19" t="n">
        <v>0</v>
      </c>
      <c r="F1906" s="19" t="n">
        <v>0</v>
      </c>
      <c r="G1906" s="8" t="n">
        <f aca="false">IFERROR(INDEX('TRANS'!$B:$B,MATCH($B1906,'TRANS'!$A:$A,0)),IFERROR(INDEX('TRANS'!$B:$B,MATCH(TRIM(SUBSTITUTE($B1906,CHAR(160)," ")),'TRANS'!$D:$D,0)),IFERROR(INDEX('Catalog'!$A:$A,MATCH($B1906,'Catalog'!$B:$B,0)),IFERROR(INDEX('Catalog'!$A:$A,MATCH(TRIM(SUBSTITUTE($B1906,CHAR(160)," ")),'Catalog'!$C:$C,0)),""))))</f>
        <v>4413047</v>
      </c>
      <c r="H1906" s="8" t="str">
        <f aca="false">IFERROR(INDEX('TRANS'!$C:$C,MATCH($B1906,'TRANS'!$A:$A,0)),IFERROR(INDEX('Catalog'!$B:$B,MATCH($G1906,'Catalog'!$A:$A,0)),$B1906))</f>
        <v>35 S מגן קרסול לבן</v>
      </c>
      <c r="I1906" s="8" t="str">
        <f aca="false">IF($G1906="","Unmatched","Matched")</f>
        <v>Matched</v>
      </c>
    </row>
    <row r="1907" customFormat="false" ht="15" hidden="false" customHeight="false" outlineLevel="0" collapsed="false">
      <c r="A1907" s="8" t="s">
        <v>862</v>
      </c>
      <c r="B1907" s="8" t="s">
        <v>360</v>
      </c>
      <c r="C1907" s="19" t="n">
        <v>1</v>
      </c>
      <c r="D1907" s="19" t="n">
        <v>30.89</v>
      </c>
      <c r="E1907" s="19" t="n">
        <v>0</v>
      </c>
      <c r="F1907" s="19" t="n">
        <v>0</v>
      </c>
      <c r="G1907" s="8" t="n">
        <f aca="false">IFERROR(INDEX('TRANS'!$B:$B,MATCH($B1907,'TRANS'!$A:$A,0)),IFERROR(INDEX('TRANS'!$B:$B,MATCH(TRIM(SUBSTITUTE($B1907,CHAR(160)," ")),'TRANS'!$D:$D,0)),IFERROR(INDEX('Catalog'!$A:$A,MATCH($B1907,'Catalog'!$B:$B,0)),IFERROR(INDEX('Catalog'!$A:$A,MATCH(TRIM(SUBSTITUTE($B1907,CHAR(160)," ")),'Catalog'!$C:$C,0)),""))))</f>
        <v>4413050</v>
      </c>
      <c r="H1907" s="8" t="str">
        <f aca="false">IFERROR(INDEX('TRANS'!$C:$C,MATCH($B1907,'TRANS'!$A:$A,0)),IFERROR(INDEX('Catalog'!$B:$B,MATCH($G1907,'Catalog'!$A:$A,0)),$B1907))</f>
        <v>35 XL מגן קרסול לבן</v>
      </c>
      <c r="I1907" s="8" t="str">
        <f aca="false">IF($G1907="","Unmatched","Matched")</f>
        <v>Matched</v>
      </c>
    </row>
    <row r="1908" customFormat="false" ht="15" hidden="false" customHeight="false" outlineLevel="0" collapsed="false">
      <c r="A1908" s="8" t="s">
        <v>862</v>
      </c>
      <c r="B1908" s="8" t="s">
        <v>148</v>
      </c>
      <c r="C1908" s="19" t="n">
        <v>6</v>
      </c>
      <c r="D1908" s="19" t="n">
        <v>182.52</v>
      </c>
      <c r="E1908" s="19" t="n">
        <v>1</v>
      </c>
      <c r="F1908" s="19" t="n">
        <v>30.42</v>
      </c>
      <c r="G1908" s="8" t="n">
        <f aca="false">IFERROR(INDEX('TRANS'!$B:$B,MATCH($B1908,'TRANS'!$A:$A,0)),IFERROR(INDEX('TRANS'!$B:$B,MATCH(TRIM(SUBSTITUTE($B1908,CHAR(160)," ")),'TRANS'!$D:$D,0)),IFERROR(INDEX('Catalog'!$A:$A,MATCH($B1908,'Catalog'!$B:$B,0)),IFERROR(INDEX('Catalog'!$A:$A,MATCH(TRIM(SUBSTITUTE($B1908,CHAR(160)," ")),'Catalog'!$C:$C,0)),""))))</f>
        <v>4411000</v>
      </c>
      <c r="H1908" s="8" t="str">
        <f aca="false">IFERROR(INDEX('TRANS'!$C:$C,MATCH($B1908,'TRANS'!$A:$A,0)),IFERROR(INDEX('Catalog'!$B:$B,MATCH($G1908,'Catalog'!$A:$A,0)),$B1908))</f>
        <v>כרית מטטרזלי סיליקון362</v>
      </c>
      <c r="I1908" s="8" t="str">
        <f aca="false">IF($G1908="","Unmatched","Matched")</f>
        <v>Matched</v>
      </c>
    </row>
    <row r="1909" customFormat="false" ht="15" hidden="false" customHeight="false" outlineLevel="0" collapsed="false">
      <c r="A1909" s="8" t="s">
        <v>862</v>
      </c>
      <c r="B1909" s="8" t="s">
        <v>180</v>
      </c>
      <c r="C1909" s="19" t="n">
        <v>1</v>
      </c>
      <c r="D1909" s="19" t="n">
        <v>35.11</v>
      </c>
      <c r="E1909" s="19" t="n">
        <v>0</v>
      </c>
      <c r="F1909" s="19" t="n">
        <v>0</v>
      </c>
      <c r="G1909" s="8" t="n">
        <f aca="false">IFERROR(INDEX('TRANS'!$B:$B,MATCH($B1909,'TRANS'!$A:$A,0)),IFERROR(INDEX('TRANS'!$B:$B,MATCH(TRIM(SUBSTITUTE($B1909,CHAR(160)," ")),'TRANS'!$D:$D,0)),IFERROR(INDEX('Catalog'!$A:$A,MATCH($B1909,'Catalog'!$B:$B,0)),IFERROR(INDEX('Catalog'!$A:$A,MATCH(TRIM(SUBSTITUTE($B1909,CHAR(160)," ")),'Catalog'!$C:$C,0)),""))))</f>
        <v>4403000</v>
      </c>
      <c r="H1909" s="8" t="str">
        <f aca="false">IFERROR(INDEX('TRANS'!$C:$C,MATCH($B1909,'TRANS'!$A:$A,0)),IFERROR(INDEX('Catalog'!$B:$B,MATCH($G1909,'Catalog'!$A:$A,0)),$B1909))</f>
        <v>390B גרב.כסף לסכרתים שחור35-38</v>
      </c>
      <c r="I1909" s="8" t="str">
        <f aca="false">IF($G1909="","Unmatched","Matched")</f>
        <v>Matched</v>
      </c>
    </row>
    <row r="1910" customFormat="false" ht="15" hidden="false" customHeight="false" outlineLevel="0" collapsed="false">
      <c r="A1910" s="8" t="s">
        <v>862</v>
      </c>
      <c r="B1910" s="8" t="s">
        <v>181</v>
      </c>
      <c r="C1910" s="19" t="n">
        <v>3</v>
      </c>
      <c r="D1910" s="19" t="n">
        <v>102.52</v>
      </c>
      <c r="E1910" s="19" t="n">
        <v>2</v>
      </c>
      <c r="F1910" s="19" t="n">
        <v>70.22</v>
      </c>
      <c r="G1910" s="8" t="n">
        <f aca="false">IFERROR(INDEX('TRANS'!$B:$B,MATCH($B1910,'TRANS'!$A:$A,0)),IFERROR(INDEX('TRANS'!$B:$B,MATCH(TRIM(SUBSTITUTE($B1910,CHAR(160)," ")),'TRANS'!$D:$D,0)),IFERROR(INDEX('Catalog'!$A:$A,MATCH($B1910,'Catalog'!$B:$B,0)),IFERROR(INDEX('Catalog'!$A:$A,MATCH(TRIM(SUBSTITUTE($B1910,CHAR(160)," ")),'Catalog'!$C:$C,0)),""))))</f>
        <v>4403001</v>
      </c>
      <c r="H1910" s="8" t="str">
        <f aca="false">IFERROR(INDEX('TRANS'!$C:$C,MATCH($B1910,'TRANS'!$A:$A,0)),IFERROR(INDEX('Catalog'!$B:$B,MATCH($G1910,'Catalog'!$A:$A,0)),$B1910))</f>
        <v>390B 39-42.גרב.כסף לסכרתיים שח</v>
      </c>
      <c r="I1910" s="8" t="str">
        <f aca="false">IF($G1910="","Unmatched","Matched")</f>
        <v>Matched</v>
      </c>
    </row>
    <row r="1911" customFormat="false" ht="15" hidden="false" customHeight="false" outlineLevel="0" collapsed="false">
      <c r="A1911" s="8" t="s">
        <v>862</v>
      </c>
      <c r="B1911" s="8" t="s">
        <v>182</v>
      </c>
      <c r="C1911" s="19" t="n">
        <v>6</v>
      </c>
      <c r="D1911" s="19" t="n">
        <v>210.64</v>
      </c>
      <c r="E1911" s="19" t="n">
        <v>4</v>
      </c>
      <c r="F1911" s="19" t="n">
        <v>140.42</v>
      </c>
      <c r="G1911" s="8" t="n">
        <f aca="false">IFERROR(INDEX('TRANS'!$B:$B,MATCH($B1911,'TRANS'!$A:$A,0)),IFERROR(INDEX('TRANS'!$B:$B,MATCH(TRIM(SUBSTITUTE($B1911,CHAR(160)," ")),'TRANS'!$D:$D,0)),IFERROR(INDEX('Catalog'!$A:$A,MATCH($B1911,'Catalog'!$B:$B,0)),IFERROR(INDEX('Catalog'!$A:$A,MATCH(TRIM(SUBSTITUTE($B1911,CHAR(160)," ")),'Catalog'!$C:$C,0)),""))))</f>
        <v>4403002</v>
      </c>
      <c r="H1911" s="8" t="str">
        <f aca="false">IFERROR(INDEX('TRANS'!$C:$C,MATCH($B1911,'TRANS'!$A:$A,0)),IFERROR(INDEX('Catalog'!$B:$B,MATCH($G1911,'Catalog'!$A:$A,0)),$B1911))</f>
        <v>390B 43-46.גרב.כסף לסכרתיים שח</v>
      </c>
      <c r="I1911" s="8" t="str">
        <f aca="false">IF($G1911="","Unmatched","Matched")</f>
        <v>Matched</v>
      </c>
    </row>
    <row r="1912" customFormat="false" ht="15" hidden="false" customHeight="false" outlineLevel="0" collapsed="false">
      <c r="A1912" s="8" t="s">
        <v>862</v>
      </c>
      <c r="B1912" s="8" t="s">
        <v>183</v>
      </c>
      <c r="C1912" s="19" t="n">
        <v>1</v>
      </c>
      <c r="D1912" s="19" t="n">
        <v>35.11</v>
      </c>
      <c r="E1912" s="19" t="n">
        <v>0</v>
      </c>
      <c r="F1912" s="19" t="n">
        <v>0</v>
      </c>
      <c r="G1912" s="8" t="n">
        <f aca="false">IFERROR(INDEX('TRANS'!$B:$B,MATCH($B1912,'TRANS'!$A:$A,0)),IFERROR(INDEX('TRANS'!$B:$B,MATCH(TRIM(SUBSTITUTE($B1912,CHAR(160)," ")),'TRANS'!$D:$D,0)),IFERROR(INDEX('Catalog'!$A:$A,MATCH($B1912,'Catalog'!$B:$B,0)),IFERROR(INDEX('Catalog'!$A:$A,MATCH(TRIM(SUBSTITUTE($B1912,CHAR(160)," ")),'Catalog'!$C:$C,0)),""))))</f>
        <v>4403003</v>
      </c>
      <c r="H1912" s="8" t="str">
        <f aca="false">IFERROR(INDEX('TRANS'!$C:$C,MATCH($B1912,'TRANS'!$A:$A,0)),IFERROR(INDEX('Catalog'!$B:$B,MATCH($G1912,'Catalog'!$A:$A,0)),$B1912))</f>
        <v>390G ג.כסף לסכרתיים אפור35-38</v>
      </c>
      <c r="I1912" s="8" t="str">
        <f aca="false">IF($G1912="","Unmatched","Matched")</f>
        <v>Matched</v>
      </c>
    </row>
    <row r="1913" customFormat="false" ht="15" hidden="false" customHeight="false" outlineLevel="0" collapsed="false">
      <c r="A1913" s="8" t="s">
        <v>862</v>
      </c>
      <c r="B1913" s="8" t="s">
        <v>184</v>
      </c>
      <c r="C1913" s="19" t="n">
        <v>1</v>
      </c>
      <c r="D1913" s="19" t="n">
        <v>35.11</v>
      </c>
      <c r="E1913" s="19" t="n">
        <v>0</v>
      </c>
      <c r="F1913" s="19" t="n">
        <v>0</v>
      </c>
      <c r="G1913" s="8" t="str">
        <f aca="false">IFERROR(INDEX('TRANS'!$B:$B,MATCH($B1913,'TRANS'!$A:$A,0)),IFERROR(INDEX('TRANS'!$B:$B,MATCH(TRIM(SUBSTITUTE($B1913,CHAR(160)," ")),'TRANS'!$D:$D,0)),IFERROR(INDEX('Catalog'!$A:$A,MATCH($B1913,'Catalog'!$B:$B,0)),IFERROR(INDEX('Catalog'!$A:$A,MATCH(TRIM(SUBSTITUTE($B1913,CHAR(160)," ")),'Catalog'!$C:$C,0)),""))))</f>
        <v/>
      </c>
      <c r="H1913" s="8" t="str">
        <f aca="false">IFERROR(INDEX('TRANS'!$C:$C,MATCH($B1913,'TRANS'!$A:$A,0)),IFERROR(INDEX('Catalog'!$B:$B,MATCH($G1913,'Catalog'!$A:$A,0)),$B1913))</f>
        <v>390G-39-42</v>
      </c>
      <c r="I1913" s="8" t="str">
        <f aca="false">IF($G1913="","Unmatched","Matched")</f>
        <v>Unmatched</v>
      </c>
    </row>
    <row r="1914" customFormat="false" ht="15" hidden="false" customHeight="false" outlineLevel="0" collapsed="false">
      <c r="A1914" s="8" t="s">
        <v>862</v>
      </c>
      <c r="B1914" s="8" t="s">
        <v>185</v>
      </c>
      <c r="C1914" s="19" t="n">
        <v>1</v>
      </c>
      <c r="D1914" s="19" t="n">
        <v>35.11</v>
      </c>
      <c r="E1914" s="19" t="n">
        <v>0</v>
      </c>
      <c r="F1914" s="19" t="n">
        <v>0</v>
      </c>
      <c r="G1914" s="8" t="n">
        <f aca="false">IFERROR(INDEX('TRANS'!$B:$B,MATCH($B1914,'TRANS'!$A:$A,0)),IFERROR(INDEX('TRANS'!$B:$B,MATCH(TRIM(SUBSTITUTE($B1914,CHAR(160)," ")),'TRANS'!$D:$D,0)),IFERROR(INDEX('Catalog'!$A:$A,MATCH($B1914,'Catalog'!$B:$B,0)),IFERROR(INDEX('Catalog'!$A:$A,MATCH(TRIM(SUBSTITUTE($B1914,CHAR(160)," ")),'Catalog'!$C:$C,0)),""))))</f>
        <v>4403005</v>
      </c>
      <c r="H1914" s="8" t="str">
        <f aca="false">IFERROR(INDEX('TRANS'!$C:$C,MATCH($B1914,'TRANS'!$A:$A,0)),IFERROR(INDEX('Catalog'!$B:$B,MATCH($G1914,'Catalog'!$A:$A,0)),$B1914))</f>
        <v>G390.43-46 גרבי כסף לסכרת מידה</v>
      </c>
      <c r="I1914" s="8" t="str">
        <f aca="false">IF($G1914="","Unmatched","Matched")</f>
        <v>Matched</v>
      </c>
    </row>
    <row r="1915" customFormat="false" ht="15" hidden="false" customHeight="false" outlineLevel="0" collapsed="false">
      <c r="A1915" s="8" t="s">
        <v>862</v>
      </c>
      <c r="B1915" s="8" t="s">
        <v>187</v>
      </c>
      <c r="C1915" s="19" t="n">
        <v>7</v>
      </c>
      <c r="D1915" s="19" t="n">
        <v>174.1</v>
      </c>
      <c r="E1915" s="19" t="n">
        <v>3</v>
      </c>
      <c r="F1915" s="19" t="n">
        <v>73.01</v>
      </c>
      <c r="G1915" s="8" t="n">
        <f aca="false">IFERROR(INDEX('TRANS'!$B:$B,MATCH($B1915,'TRANS'!$A:$A,0)),IFERROR(INDEX('TRANS'!$B:$B,MATCH(TRIM(SUBSTITUTE($B1915,CHAR(160)," ")),'TRANS'!$D:$D,0)),IFERROR(INDEX('Catalog'!$A:$A,MATCH($B1915,'Catalog'!$B:$B,0)),IFERROR(INDEX('Catalog'!$A:$A,MATCH(TRIM(SUBSTITUTE($B1915,CHAR(160)," ")),'Catalog'!$C:$C,0)),""))))</f>
        <v>4403017</v>
      </c>
      <c r="H1915" s="8" t="str">
        <f aca="false">IFERROR(INDEX('TRANS'!$C:$C,MATCH($B1915,'TRANS'!$A:$A,0)),IFERROR(INDEX('Catalog'!$B:$B,MATCH($G1915,'Catalog'!$A:$A,0)),$B1915))</f>
        <v>394B גרב.כסף לסכרתים שחור35-38</v>
      </c>
      <c r="I1915" s="8" t="str">
        <f aca="false">IF($G1915="","Unmatched","Matched")</f>
        <v>Matched</v>
      </c>
    </row>
    <row r="1916" customFormat="false" ht="15" hidden="false" customHeight="false" outlineLevel="0" collapsed="false">
      <c r="A1916" s="8" t="s">
        <v>862</v>
      </c>
      <c r="B1916" s="8" t="s">
        <v>190</v>
      </c>
      <c r="C1916" s="19" t="n">
        <v>4</v>
      </c>
      <c r="D1916" s="19" t="n">
        <v>101.09</v>
      </c>
      <c r="E1916" s="19" t="n">
        <v>0</v>
      </c>
      <c r="F1916" s="19" t="n">
        <v>0</v>
      </c>
      <c r="G1916" s="8" t="str">
        <f aca="false">IFERROR(INDEX('TRANS'!$B:$B,MATCH($B1916,'TRANS'!$A:$A,0)),IFERROR(INDEX('TRANS'!$B:$B,MATCH(TRIM(SUBSTITUTE($B1916,CHAR(160)," ")),'TRANS'!$D:$D,0)),IFERROR(INDEX('Catalog'!$A:$A,MATCH($B1916,'Catalog'!$B:$B,0)),IFERROR(INDEX('Catalog'!$A:$A,MATCH(TRIM(SUBSTITUTE($B1916,CHAR(160)," ")),'Catalog'!$C:$C,0)),""))))</f>
        <v/>
      </c>
      <c r="H1916" s="8" t="str">
        <f aca="false">IFERROR(INDEX('TRANS'!$C:$C,MATCH($B1916,'TRANS'!$A:$A,0)),IFERROR(INDEX('Catalog'!$B:$B,MATCH($G1916,'Catalog'!$A:$A,0)),$B1916))</f>
        <v>394G-35-38</v>
      </c>
      <c r="I1916" s="8" t="str">
        <f aca="false">IF($G1916="","Unmatched","Matched")</f>
        <v>Unmatched</v>
      </c>
    </row>
    <row r="1917" customFormat="false" ht="15" hidden="false" customHeight="false" outlineLevel="0" collapsed="false">
      <c r="A1917" s="8" t="s">
        <v>862</v>
      </c>
      <c r="B1917" s="8" t="s">
        <v>191</v>
      </c>
      <c r="C1917" s="19" t="n">
        <v>4</v>
      </c>
      <c r="D1917" s="19" t="n">
        <v>101.09</v>
      </c>
      <c r="E1917" s="19" t="n">
        <v>0</v>
      </c>
      <c r="F1917" s="19" t="n">
        <v>0</v>
      </c>
      <c r="G1917" s="8" t="str">
        <f aca="false">IFERROR(INDEX('TRANS'!$B:$B,MATCH($B1917,'TRANS'!$A:$A,0)),IFERROR(INDEX('TRANS'!$B:$B,MATCH(TRIM(SUBSTITUTE($B1917,CHAR(160)," ")),'TRANS'!$D:$D,0)),IFERROR(INDEX('Catalog'!$A:$A,MATCH($B1917,'Catalog'!$B:$B,0)),IFERROR(INDEX('Catalog'!$A:$A,MATCH(TRIM(SUBSTITUTE($B1917,CHAR(160)," ")),'Catalog'!$C:$C,0)),""))))</f>
        <v/>
      </c>
      <c r="H1917" s="8" t="str">
        <f aca="false">IFERROR(INDEX('TRANS'!$C:$C,MATCH($B1917,'TRANS'!$A:$A,0)),IFERROR(INDEX('Catalog'!$B:$B,MATCH($G1917,'Catalog'!$A:$A,0)),$B1917))</f>
        <v>394G-39-42</v>
      </c>
      <c r="I1917" s="8" t="str">
        <f aca="false">IF($G1917="","Unmatched","Matched")</f>
        <v>Unmatched</v>
      </c>
    </row>
    <row r="1918" customFormat="false" ht="15" hidden="false" customHeight="false" outlineLevel="0" collapsed="false">
      <c r="A1918" s="8" t="s">
        <v>862</v>
      </c>
      <c r="B1918" s="8" t="s">
        <v>193</v>
      </c>
      <c r="C1918" s="19" t="n">
        <v>0</v>
      </c>
      <c r="D1918" s="19" t="n">
        <v>0</v>
      </c>
      <c r="E1918" s="19" t="n">
        <v>5</v>
      </c>
      <c r="F1918" s="19" t="n">
        <v>129.17</v>
      </c>
      <c r="G1918" s="8" t="n">
        <f aca="false">IFERROR(INDEX('TRANS'!$B:$B,MATCH($B1918,'TRANS'!$A:$A,0)),IFERROR(INDEX('TRANS'!$B:$B,MATCH(TRIM(SUBSTITUTE($B1918,CHAR(160)," ")),'TRANS'!$D:$D,0)),IFERROR(INDEX('Catalog'!$A:$A,MATCH($B1918,'Catalog'!$B:$B,0)),IFERROR(INDEX('Catalog'!$A:$A,MATCH(TRIM(SUBSTITUTE($B1918,CHAR(160)," ")),'Catalog'!$C:$C,0)),""))))</f>
        <v>4403024</v>
      </c>
      <c r="H1918" s="8" t="str">
        <f aca="false">IFERROR(INDEX('TRANS'!$C:$C,MATCH($B1918,'TRANS'!$A:$A,0)),IFERROR(INDEX('Catalog'!$B:$B,MATCH($G1918,'Catalog'!$A:$A,0)),$B1918))</f>
        <v>394W 39-42 גרב.כסף לסכרתים לבן</v>
      </c>
      <c r="I1918" s="8" t="str">
        <f aca="false">IF($G1918="","Unmatched","Matched")</f>
        <v>Matched</v>
      </c>
    </row>
    <row r="1919" customFormat="false" ht="15" hidden="false" customHeight="false" outlineLevel="0" collapsed="false">
      <c r="A1919" s="8" t="s">
        <v>862</v>
      </c>
      <c r="B1919" s="8" t="s">
        <v>194</v>
      </c>
      <c r="C1919" s="19" t="n">
        <v>0</v>
      </c>
      <c r="D1919" s="19" t="n">
        <v>0</v>
      </c>
      <c r="E1919" s="19" t="n">
        <v>5</v>
      </c>
      <c r="F1919" s="19" t="n">
        <v>129.17</v>
      </c>
      <c r="G1919" s="8" t="n">
        <f aca="false">IFERROR(INDEX('TRANS'!$B:$B,MATCH($B1919,'TRANS'!$A:$A,0)),IFERROR(INDEX('TRANS'!$B:$B,MATCH(TRIM(SUBSTITUTE($B1919,CHAR(160)," ")),'TRANS'!$D:$D,0)),IFERROR(INDEX('Catalog'!$A:$A,MATCH($B1919,'Catalog'!$B:$B,0)),IFERROR(INDEX('Catalog'!$A:$A,MATCH(TRIM(SUBSTITUTE($B1919,CHAR(160)," ")),'Catalog'!$C:$C,0)),""))))</f>
        <v>4403025</v>
      </c>
      <c r="H1919" s="8" t="str">
        <f aca="false">IFERROR(INDEX('TRANS'!$C:$C,MATCH($B1919,'TRANS'!$A:$A,0)),IFERROR(INDEX('Catalog'!$B:$B,MATCH($G1919,'Catalog'!$A:$A,0)),$B1919))</f>
        <v>394W 43-46 גרב.כסף לסכרתים לבן</v>
      </c>
      <c r="I1919" s="8" t="str">
        <f aca="false">IF($G1919="","Unmatched","Matched")</f>
        <v>Matched</v>
      </c>
    </row>
    <row r="1920" customFormat="false" ht="15" hidden="false" customHeight="false" outlineLevel="0" collapsed="false">
      <c r="A1920" s="8" t="s">
        <v>862</v>
      </c>
      <c r="B1920" s="8" t="s">
        <v>196</v>
      </c>
      <c r="C1920" s="19" t="n">
        <v>0</v>
      </c>
      <c r="D1920" s="19" t="n">
        <v>0</v>
      </c>
      <c r="E1920" s="19" t="n">
        <v>5</v>
      </c>
      <c r="F1920" s="19" t="n">
        <v>139.93</v>
      </c>
      <c r="G1920" s="8" t="n">
        <f aca="false">IFERROR(INDEX('TRANS'!$B:$B,MATCH($B1920,'TRANS'!$A:$A,0)),IFERROR(INDEX('TRANS'!$B:$B,MATCH(TRIM(SUBSTITUTE($B1920,CHAR(160)," ")),'TRANS'!$D:$D,0)),IFERROR(INDEX('Catalog'!$A:$A,MATCH($B1920,'Catalog'!$B:$B,0)),IFERROR(INDEX('Catalog'!$A:$A,MATCH(TRIM(SUBSTITUTE($B1920,CHAR(160)," ")),'Catalog'!$C:$C,0)),""))))</f>
        <v>4403045</v>
      </c>
      <c r="H1920" s="8" t="str">
        <f aca="false">IFERROR(INDEX('TRANS'!$C:$C,MATCH($B1920,'TRANS'!$A:$A,0)),IFERROR(INDEX('Catalog'!$B:$B,MATCH($G1920,'Catalog'!$A:$A,0)),$B1920))</f>
        <v>395B גרבי קיץ אנטי בקטריא43-46</v>
      </c>
      <c r="I1920" s="8" t="str">
        <f aca="false">IF($G1920="","Unmatched","Matched")</f>
        <v>Matched</v>
      </c>
    </row>
    <row r="1921" customFormat="false" ht="15" hidden="false" customHeight="false" outlineLevel="0" collapsed="false">
      <c r="A1921" s="8" t="s">
        <v>862</v>
      </c>
      <c r="B1921" s="8" t="s">
        <v>199</v>
      </c>
      <c r="C1921" s="19" t="n">
        <v>8</v>
      </c>
      <c r="D1921" s="19" t="n">
        <v>480.56</v>
      </c>
      <c r="E1921" s="19" t="n">
        <v>0</v>
      </c>
      <c r="F1921" s="19" t="n">
        <v>0</v>
      </c>
      <c r="G1921" s="8" t="str">
        <f aca="false">IFERROR(INDEX('TRANS'!$B:$B,MATCH($B1921,'TRANS'!$A:$A,0)),IFERROR(INDEX('TRANS'!$B:$B,MATCH(TRIM(SUBSTITUTE($B1921,CHAR(160)," ")),'TRANS'!$D:$D,0)),IFERROR(INDEX('Catalog'!$A:$A,MATCH($B1921,'Catalog'!$B:$B,0)),IFERROR(INDEX('Catalog'!$A:$A,MATCH(TRIM(SUBSTITUTE($B1921,CHAR(160)," ")),'Catalog'!$C:$C,0)),""))))</f>
        <v/>
      </c>
      <c r="H1921" s="8" t="str">
        <f aca="false">IFERROR(INDEX('TRANS'!$C:$C,MATCH($B1921,'TRANS'!$A:$A,0)),IFERROR(INDEX('Catalog'!$B:$B,MATCH($G1921,'Catalog'!$A:$A,0)),$B1921))</f>
        <v>397-43-46</v>
      </c>
      <c r="I1921" s="8" t="str">
        <f aca="false">IF($G1921="","Unmatched","Matched")</f>
        <v>Unmatched</v>
      </c>
    </row>
    <row r="1922" customFormat="false" ht="15" hidden="false" customHeight="false" outlineLevel="0" collapsed="false">
      <c r="A1922" s="8" t="s">
        <v>862</v>
      </c>
      <c r="B1922" s="8" t="s">
        <v>200</v>
      </c>
      <c r="C1922" s="19" t="n">
        <v>0</v>
      </c>
      <c r="D1922" s="19" t="n">
        <v>0</v>
      </c>
      <c r="E1922" s="19" t="n">
        <v>9</v>
      </c>
      <c r="F1922" s="19" t="n">
        <v>518.49</v>
      </c>
      <c r="G1922" s="8" t="n">
        <f aca="false">IFERROR(INDEX('TRANS'!$B:$B,MATCH($B1922,'TRANS'!$A:$A,0)),IFERROR(INDEX('TRANS'!$B:$B,MATCH(TRIM(SUBSTITUTE($B1922,CHAR(160)," ")),'TRANS'!$D:$D,0)),IFERROR(INDEX('Catalog'!$A:$A,MATCH($B1922,'Catalog'!$B:$B,0)),IFERROR(INDEX('Catalog'!$A:$A,MATCH(TRIM(SUBSTITUTE($B1922,CHAR(160)," ")),'Catalog'!$C:$C,0)),""))))</f>
        <v>4403041</v>
      </c>
      <c r="H1922" s="8" t="str">
        <f aca="false">IFERROR(INDEX('TRANS'!$C:$C,MATCH($B1922,'TRANS'!$A:$A,0)),IFERROR(INDEX('Catalog'!$B:$B,MATCH($G1922,'Catalog'!$A:$A,0)),$B1922))</f>
        <v>397A-גרבי טיסה אנטי בקטרי35-38</v>
      </c>
      <c r="I1922" s="8" t="str">
        <f aca="false">IF($G1922="","Unmatched","Matched")</f>
        <v>Matched</v>
      </c>
    </row>
    <row r="1923" customFormat="false" ht="15" hidden="false" customHeight="false" outlineLevel="0" collapsed="false">
      <c r="A1923" s="8" t="s">
        <v>862</v>
      </c>
      <c r="B1923" s="8" t="s">
        <v>201</v>
      </c>
      <c r="C1923" s="19" t="n">
        <v>0</v>
      </c>
      <c r="D1923" s="19" t="n">
        <v>0</v>
      </c>
      <c r="E1923" s="19" t="n">
        <v>4</v>
      </c>
      <c r="F1923" s="19" t="n">
        <v>227.63</v>
      </c>
      <c r="G1923" s="8" t="n">
        <f aca="false">IFERROR(INDEX('TRANS'!$B:$B,MATCH($B1923,'TRANS'!$A:$A,0)),IFERROR(INDEX('TRANS'!$B:$B,MATCH(TRIM(SUBSTITUTE($B1923,CHAR(160)," ")),'TRANS'!$D:$D,0)),IFERROR(INDEX('Catalog'!$A:$A,MATCH($B1923,'Catalog'!$B:$B,0)),IFERROR(INDEX('Catalog'!$A:$A,MATCH(TRIM(SUBSTITUTE($B1923,CHAR(160)," ")),'Catalog'!$C:$C,0)),""))))</f>
        <v>4403042</v>
      </c>
      <c r="H1923" s="8" t="str">
        <f aca="false">IFERROR(INDEX('TRANS'!$C:$C,MATCH($B1923,'TRANS'!$A:$A,0)),IFERROR(INDEX('Catalog'!$B:$B,MATCH($G1923,'Catalog'!$A:$A,0)),$B1923))</f>
        <v>397A-גרבי טיסה אנטי בקטרי39-42</v>
      </c>
      <c r="I1923" s="8" t="str">
        <f aca="false">IF($G1923="","Unmatched","Matched")</f>
        <v>Matched</v>
      </c>
    </row>
    <row r="1924" customFormat="false" ht="15" hidden="false" customHeight="false" outlineLevel="0" collapsed="false">
      <c r="A1924" s="8" t="s">
        <v>862</v>
      </c>
      <c r="B1924" s="8" t="s">
        <v>388</v>
      </c>
      <c r="C1924" s="19" t="n">
        <v>0</v>
      </c>
      <c r="D1924" s="19" t="n">
        <v>0</v>
      </c>
      <c r="E1924" s="19" t="n">
        <v>2</v>
      </c>
      <c r="F1924" s="19" t="n">
        <v>70.21</v>
      </c>
      <c r="G1924" s="8" t="n">
        <f aca="false">IFERROR(INDEX('TRANS'!$B:$B,MATCH($B1924,'TRANS'!$A:$A,0)),IFERROR(INDEX('TRANS'!$B:$B,MATCH(TRIM(SUBSTITUTE($B1924,CHAR(160)," ")),'TRANS'!$D:$D,0)),IFERROR(INDEX('Catalog'!$A:$A,MATCH($B1924,'Catalog'!$B:$B,0)),IFERROR(INDEX('Catalog'!$A:$A,MATCH(TRIM(SUBSTITUTE($B1924,CHAR(160)," ")),'Catalog'!$C:$C,0)),""))))</f>
        <v>4413112</v>
      </c>
      <c r="H1924" s="8" t="str">
        <f aca="false">IFERROR(INDEX('TRANS'!$C:$C,MATCH($B1924,'TRANS'!$A:$A,0)),IFERROR(INDEX('Catalog'!$B:$B,MATCH($G1924,'Catalog'!$A:$A,0)),$B1924))</f>
        <v>49  L מגן ירך</v>
      </c>
      <c r="I1924" s="8" t="str">
        <f aca="false">IF($G1924="","Unmatched","Matched")</f>
        <v>Matched</v>
      </c>
    </row>
    <row r="1925" customFormat="false" ht="15" hidden="false" customHeight="false" outlineLevel="0" collapsed="false">
      <c r="A1925" s="8" t="s">
        <v>862</v>
      </c>
      <c r="B1925" s="8" t="s">
        <v>391</v>
      </c>
      <c r="C1925" s="19" t="n">
        <v>0</v>
      </c>
      <c r="D1925" s="19" t="n">
        <v>0</v>
      </c>
      <c r="E1925" s="19" t="n">
        <v>2</v>
      </c>
      <c r="F1925" s="19" t="n">
        <v>70.21</v>
      </c>
      <c r="G1925" s="8" t="n">
        <f aca="false">IFERROR(INDEX('TRANS'!$B:$B,MATCH($B1925,'TRANS'!$A:$A,0)),IFERROR(INDEX('TRANS'!$B:$B,MATCH(TRIM(SUBSTITUTE($B1925,CHAR(160)," ")),'TRANS'!$D:$D,0)),IFERROR(INDEX('Catalog'!$A:$A,MATCH($B1925,'Catalog'!$B:$B,0)),IFERROR(INDEX('Catalog'!$A:$A,MATCH(TRIM(SUBSTITUTE($B1925,CHAR(160)," ")),'Catalog'!$C:$C,0)),""))))</f>
        <v>4413114</v>
      </c>
      <c r="H1925" s="8" t="str">
        <f aca="false">IFERROR(INDEX('TRANS'!$C:$C,MATCH($B1925,'TRANS'!$A:$A,0)),IFERROR(INDEX('Catalog'!$B:$B,MATCH($G1925,'Catalog'!$A:$A,0)),$B1925))</f>
        <v>49 XL מגן ירך</v>
      </c>
      <c r="I1925" s="8" t="str">
        <f aca="false">IF($G1925="","Unmatched","Matched")</f>
        <v>Matched</v>
      </c>
    </row>
    <row r="1926" customFormat="false" ht="15" hidden="false" customHeight="false" outlineLevel="0" collapsed="false">
      <c r="A1926" s="8" t="s">
        <v>862</v>
      </c>
      <c r="B1926" s="8" t="s">
        <v>597</v>
      </c>
      <c r="C1926" s="19" t="n">
        <v>0</v>
      </c>
      <c r="D1926" s="19" t="n">
        <v>0</v>
      </c>
      <c r="E1926" s="19" t="n">
        <v>3</v>
      </c>
      <c r="F1926" s="19" t="n">
        <v>105.32</v>
      </c>
      <c r="G1926" s="8" t="n">
        <f aca="false">IFERROR(INDEX('TRANS'!$B:$B,MATCH($B1926,'TRANS'!$A:$A,0)),IFERROR(INDEX('TRANS'!$B:$B,MATCH(TRIM(SUBSTITUTE($B1926,CHAR(160)," ")),'TRANS'!$D:$D,0)),IFERROR(INDEX('Catalog'!$A:$A,MATCH($B1926,'Catalog'!$B:$B,0)),IFERROR(INDEX('Catalog'!$A:$A,MATCH(TRIM(SUBSTITUTE($B1926,CHAR(160)," ")),'Catalog'!$C:$C,0)),""))))</f>
        <v>4413115</v>
      </c>
      <c r="H1926" s="8" t="str">
        <f aca="false">IFERROR(INDEX('TRANS'!$C:$C,MATCH($B1926,'TRANS'!$A:$A,0)),IFERROR(INDEX('Catalog'!$B:$B,MATCH($G1926,'Catalog'!$A:$A,0)),$B1926))</f>
        <v>49 XXL מגן ירך</v>
      </c>
      <c r="I1926" s="8" t="str">
        <f aca="false">IF($G1926="","Unmatched","Matched")</f>
        <v>Matched</v>
      </c>
    </row>
    <row r="1927" customFormat="false" ht="15" hidden="false" customHeight="false" outlineLevel="0" collapsed="false">
      <c r="A1927" s="8" t="s">
        <v>862</v>
      </c>
      <c r="B1927" s="8" t="s">
        <v>233</v>
      </c>
      <c r="C1927" s="19" t="n">
        <v>0</v>
      </c>
      <c r="D1927" s="19" t="n">
        <v>0</v>
      </c>
      <c r="E1927" s="19" t="n">
        <v>2</v>
      </c>
      <c r="F1927" s="19" t="n">
        <v>370.88</v>
      </c>
      <c r="G1927" s="8" t="n">
        <f aca="false">IFERROR(INDEX('TRANS'!$B:$B,MATCH($B1927,'TRANS'!$A:$A,0)),IFERROR(INDEX('TRANS'!$B:$B,MATCH(TRIM(SUBSTITUTE($B1927,CHAR(160)," ")),'TRANS'!$D:$D,0)),IFERROR(INDEX('Catalog'!$A:$A,MATCH($B1927,'Catalog'!$B:$B,0)),IFERROR(INDEX('Catalog'!$A:$A,MATCH(TRIM(SUBSTITUTE($B1927,CHAR(160)," ")),'Catalog'!$C:$C,0)),""))))</f>
        <v>4413132</v>
      </c>
      <c r="H1927" s="8" t="str">
        <f aca="false">IFERROR(INDEX('TRANS'!$C:$C,MATCH($B1927,'TRANS'!$A:$A,0)),IFERROR(INDEX('Catalog'!$B:$B,MATCH($G1927,'Catalog'!$A:$A,0)),$B1927))</f>
        <v>76 Lמיישר כתף יציב יישור רחב</v>
      </c>
      <c r="I1927" s="8" t="str">
        <f aca="false">IF($G1927="","Unmatched","Matched")</f>
        <v>Matched</v>
      </c>
    </row>
    <row r="1928" customFormat="false" ht="15" hidden="false" customHeight="false" outlineLevel="0" collapsed="false">
      <c r="A1928" s="8" t="s">
        <v>862</v>
      </c>
      <c r="B1928" s="8" t="s">
        <v>234</v>
      </c>
      <c r="C1928" s="19" t="n">
        <v>0</v>
      </c>
      <c r="D1928" s="19" t="n">
        <v>0</v>
      </c>
      <c r="E1928" s="19" t="n">
        <v>2</v>
      </c>
      <c r="F1928" s="19" t="n">
        <v>370.88</v>
      </c>
      <c r="G1928" s="8" t="n">
        <f aca="false">IFERROR(INDEX('TRANS'!$B:$B,MATCH($B1928,'TRANS'!$A:$A,0)),IFERROR(INDEX('TRANS'!$B:$B,MATCH(TRIM(SUBSTITUTE($B1928,CHAR(160)," ")),'TRANS'!$D:$D,0)),IFERROR(INDEX('Catalog'!$A:$A,MATCH($B1928,'Catalog'!$B:$B,0)),IFERROR(INDEX('Catalog'!$A:$A,MATCH(TRIM(SUBSTITUTE($B1928,CHAR(160)," ")),'Catalog'!$C:$C,0)),""))))</f>
        <v>4413134</v>
      </c>
      <c r="H1928" s="8" t="str">
        <f aca="false">IFERROR(INDEX('TRANS'!$C:$C,MATCH($B1928,'TRANS'!$A:$A,0)),IFERROR(INDEX('Catalog'!$B:$B,MATCH($G1928,'Catalog'!$A:$A,0)),$B1928))</f>
        <v>76 XLמיישר כתף יציב יישור רחב</v>
      </c>
      <c r="I1928" s="8" t="str">
        <f aca="false">IF($G1928="","Unmatched","Matched")</f>
        <v>Matched</v>
      </c>
    </row>
    <row r="1929" customFormat="false" ht="15" hidden="false" customHeight="false" outlineLevel="0" collapsed="false">
      <c r="A1929" s="8" t="s">
        <v>862</v>
      </c>
      <c r="B1929" s="8" t="s">
        <v>663</v>
      </c>
      <c r="C1929" s="19" t="n">
        <v>0</v>
      </c>
      <c r="D1929" s="19" t="n">
        <v>0</v>
      </c>
      <c r="E1929" s="19" t="n">
        <v>1</v>
      </c>
      <c r="F1929" s="19" t="n">
        <v>210.88</v>
      </c>
      <c r="G1929" s="8" t="str">
        <f aca="false">IFERROR(INDEX('TRANS'!$B:$B,MATCH($B1929,'TRANS'!$A:$A,0)),IFERROR(INDEX('TRANS'!$B:$B,MATCH(TRIM(SUBSTITUTE($B1929,CHAR(160)," ")),'TRANS'!$D:$D,0)),IFERROR(INDEX('Catalog'!$A:$A,MATCH($B1929,'Catalog'!$B:$B,0)),IFERROR(INDEX('Catalog'!$A:$A,MATCH(TRIM(SUBSTITUTE($B1929,CHAR(160)," ")),'Catalog'!$C:$C,0)),""))))</f>
        <v/>
      </c>
      <c r="H1929" s="8" t="str">
        <f aca="false">IFERROR(INDEX('TRANS'!$C:$C,MATCH($B1929,'TRANS'!$A:$A,0)),IFERROR(INDEX('Catalog'!$B:$B,MATCH($G1929,'Catalog'!$A:$A,0)),$B1929))</f>
        <v>76 XXL</v>
      </c>
      <c r="I1929" s="8" t="str">
        <f aca="false">IF($G1929="","Unmatched","Matched")</f>
        <v>Unmatched</v>
      </c>
    </row>
    <row r="1930" customFormat="false" ht="15" hidden="false" customHeight="false" outlineLevel="0" collapsed="false">
      <c r="A1930" s="8" t="s">
        <v>862</v>
      </c>
      <c r="B1930" s="8" t="s">
        <v>604</v>
      </c>
      <c r="C1930" s="19" t="n">
        <v>1</v>
      </c>
      <c r="D1930" s="19" t="n">
        <v>472.69</v>
      </c>
      <c r="E1930" s="19" t="n">
        <v>0</v>
      </c>
      <c r="F1930" s="19" t="n">
        <v>0</v>
      </c>
      <c r="G1930" s="8" t="str">
        <f aca="false">IFERROR(INDEX('TRANS'!$B:$B,MATCH($B1930,'TRANS'!$A:$A,0)),IFERROR(INDEX('TRANS'!$B:$B,MATCH(TRIM(SUBSTITUTE($B1930,CHAR(160)," ")),'TRANS'!$D:$D,0)),IFERROR(INDEX('Catalog'!$A:$A,MATCH($B1930,'Catalog'!$B:$B,0)),IFERROR(INDEX('Catalog'!$A:$A,MATCH(TRIM(SUBSTITUTE($B1930,CHAR(160)," ")),'Catalog'!$C:$C,0)),""))))</f>
        <v/>
      </c>
      <c r="H1930" s="8" t="str">
        <f aca="false">IFERROR(INDEX('TRANS'!$C:$C,MATCH($B1930,'TRANS'!$A:$A,0)),IFERROR(INDEX('Catalog'!$B:$B,MATCH($G1930,'Catalog'!$A:$A,0)),$B1930))</f>
        <v>776 M</v>
      </c>
      <c r="I1930" s="8" t="str">
        <f aca="false">IF($G1930="","Unmatched","Matched")</f>
        <v>Unmatched</v>
      </c>
    </row>
    <row r="1931" customFormat="false" ht="15" hidden="false" customHeight="false" outlineLevel="0" collapsed="false">
      <c r="A1931" s="8" t="s">
        <v>862</v>
      </c>
      <c r="B1931" s="8" t="s">
        <v>405</v>
      </c>
      <c r="C1931" s="19" t="n">
        <v>1</v>
      </c>
      <c r="D1931" s="19" t="n">
        <v>472.68</v>
      </c>
      <c r="E1931" s="19" t="n">
        <v>0</v>
      </c>
      <c r="F1931" s="19" t="n">
        <v>0</v>
      </c>
      <c r="G1931" s="8" t="str">
        <f aca="false">IFERROR(INDEX('TRANS'!$B:$B,MATCH($B1931,'TRANS'!$A:$A,0)),IFERROR(INDEX('TRANS'!$B:$B,MATCH(TRIM(SUBSTITUTE($B1931,CHAR(160)," ")),'TRANS'!$D:$D,0)),IFERROR(INDEX('Catalog'!$A:$A,MATCH($B1931,'Catalog'!$B:$B,0)),IFERROR(INDEX('Catalog'!$A:$A,MATCH(TRIM(SUBSTITUTE($B1931,CHAR(160)," ")),'Catalog'!$C:$C,0)),""))))</f>
        <v/>
      </c>
      <c r="H1931" s="8" t="str">
        <f aca="false">IFERROR(INDEX('TRANS'!$C:$C,MATCH($B1931,'TRANS'!$A:$A,0)),IFERROR(INDEX('Catalog'!$B:$B,MATCH($G1931,'Catalog'!$A:$A,0)),$B1931))</f>
        <v>776 XL</v>
      </c>
      <c r="I1931" s="8" t="str">
        <f aca="false">IF($G1931="","Unmatched","Matched")</f>
        <v>Unmatched</v>
      </c>
    </row>
    <row r="1932" customFormat="false" ht="15" hidden="false" customHeight="false" outlineLevel="0" collapsed="false">
      <c r="A1932" s="8" t="s">
        <v>862</v>
      </c>
      <c r="B1932" s="8" t="s">
        <v>250</v>
      </c>
      <c r="C1932" s="19" t="n">
        <v>8</v>
      </c>
      <c r="D1932" s="19" t="n">
        <v>1123.24</v>
      </c>
      <c r="E1932" s="19" t="n">
        <v>4</v>
      </c>
      <c r="F1932" s="19" t="n">
        <v>562.29</v>
      </c>
      <c r="G1932" s="8" t="str">
        <f aca="false">IFERROR(INDEX('TRANS'!$B:$B,MATCH($B1932,'TRANS'!$A:$A,0)),IFERROR(INDEX('TRANS'!$B:$B,MATCH(TRIM(SUBSTITUTE($B1932,CHAR(160)," ")),'TRANS'!$D:$D,0)),IFERROR(INDEX('Catalog'!$A:$A,MATCH($B1932,'Catalog'!$B:$B,0)),IFERROR(INDEX('Catalog'!$A:$A,MATCH(TRIM(SUBSTITUTE($B1932,CHAR(160)," ")),'Catalog'!$C:$C,0)),""))))</f>
        <v/>
      </c>
      <c r="H1932" s="8" t="str">
        <f aca="false">IFERROR(INDEX('TRANS'!$C:$C,MATCH($B1932,'TRANS'!$A:$A,0)),IFERROR(INDEX('Catalog'!$B:$B,MATCH($G1932,'Catalog'!$A:$A,0)),$B1932))</f>
        <v>84-L-XXL</v>
      </c>
      <c r="I1932" s="8" t="str">
        <f aca="false">IF($G1932="","Unmatched","Matched")</f>
        <v>Unmatched</v>
      </c>
    </row>
    <row r="1933" customFormat="false" ht="15" hidden="false" customHeight="false" outlineLevel="0" collapsed="false">
      <c r="A1933" s="8" t="s">
        <v>862</v>
      </c>
      <c r="B1933" s="8" t="s">
        <v>251</v>
      </c>
      <c r="C1933" s="19" t="n">
        <v>17</v>
      </c>
      <c r="D1933" s="19" t="n">
        <v>2388.75</v>
      </c>
      <c r="E1933" s="19" t="n">
        <v>9</v>
      </c>
      <c r="F1933" s="19" t="n">
        <v>1265.16</v>
      </c>
      <c r="G1933" s="8" t="str">
        <f aca="false">IFERROR(INDEX('TRANS'!$B:$B,MATCH($B1933,'TRANS'!$A:$A,0)),IFERROR(INDEX('TRANS'!$B:$B,MATCH(TRIM(SUBSTITUTE($B1933,CHAR(160)," ")),'TRANS'!$D:$D,0)),IFERROR(INDEX('Catalog'!$A:$A,MATCH($B1933,'Catalog'!$B:$B,0)),IFERROR(INDEX('Catalog'!$A:$A,MATCH(TRIM(SUBSTITUTE($B1933,CHAR(160)," ")),'Catalog'!$C:$C,0)),""))))</f>
        <v/>
      </c>
      <c r="H1933" s="8" t="str">
        <f aca="false">IFERROR(INDEX('TRANS'!$C:$C,MATCH($B1933,'TRANS'!$A:$A,0)),IFERROR(INDEX('Catalog'!$B:$B,MATCH($G1933,'Catalog'!$A:$A,0)),$B1933))</f>
        <v>84-S-M</v>
      </c>
      <c r="I1933" s="8" t="str">
        <f aca="false">IF($G1933="","Unmatched","Matched")</f>
        <v>Unmatched</v>
      </c>
    </row>
    <row r="1934" customFormat="false" ht="15" hidden="false" customHeight="false" outlineLevel="0" collapsed="false">
      <c r="A1934" s="8" t="s">
        <v>862</v>
      </c>
      <c r="B1934" s="8" t="s">
        <v>252</v>
      </c>
      <c r="C1934" s="19" t="n">
        <v>1</v>
      </c>
      <c r="D1934" s="19" t="n">
        <v>56.67</v>
      </c>
      <c r="E1934" s="19" t="n">
        <v>0</v>
      </c>
      <c r="F1934" s="19" t="n">
        <v>0</v>
      </c>
      <c r="G1934" s="8" t="n">
        <f aca="false">IFERROR(INDEX('TRANS'!$B:$B,MATCH($B1934,'TRANS'!$A:$A,0)),IFERROR(INDEX('TRANS'!$B:$B,MATCH(TRIM(SUBSTITUTE($B1934,CHAR(160)," ")),'TRANS'!$D:$D,0)),IFERROR(INDEX('Catalog'!$A:$A,MATCH($B1934,'Catalog'!$B:$B,0)),IFERROR(INDEX('Catalog'!$A:$A,MATCH(TRIM(SUBSTITUTE($B1934,CHAR(160)," ")),'Catalog'!$C:$C,0)),""))))</f>
        <v>4413135</v>
      </c>
      <c r="H1934" s="8" t="str">
        <f aca="false">IFERROR(INDEX('TRANS'!$C:$C,MATCH($B1934,'TRANS'!$A:$A,0)),IFERROR(INDEX('Catalog'!$B:$B,MATCH($G1934,'Catalog'!$A:$A,0)),$B1934))</f>
        <v>85 L (מתלה ליד )כיס</v>
      </c>
      <c r="I1934" s="8" t="str">
        <f aca="false">IF($G1934="","Unmatched","Matched")</f>
        <v>Matched</v>
      </c>
    </row>
    <row r="1935" customFormat="false" ht="15" hidden="false" customHeight="false" outlineLevel="0" collapsed="false">
      <c r="A1935" s="8" t="s">
        <v>862</v>
      </c>
      <c r="B1935" s="8" t="s">
        <v>253</v>
      </c>
      <c r="C1935" s="19" t="n">
        <v>1</v>
      </c>
      <c r="D1935" s="19" t="n">
        <v>56.67</v>
      </c>
      <c r="E1935" s="19" t="n">
        <v>0</v>
      </c>
      <c r="F1935" s="19" t="n">
        <v>0</v>
      </c>
      <c r="G1935" s="8" t="n">
        <f aca="false">IFERROR(INDEX('TRANS'!$B:$B,MATCH($B1935,'TRANS'!$A:$A,0)),IFERROR(INDEX('TRANS'!$B:$B,MATCH(TRIM(SUBSTITUTE($B1935,CHAR(160)," ")),'TRANS'!$D:$D,0)),IFERROR(INDEX('Catalog'!$A:$A,MATCH($B1935,'Catalog'!$B:$B,0)),IFERROR(INDEX('Catalog'!$A:$A,MATCH(TRIM(SUBSTITUTE($B1935,CHAR(160)," ")),'Catalog'!$C:$C,0)),""))))</f>
        <v>4413136</v>
      </c>
      <c r="H1935" s="8" t="str">
        <f aca="false">IFERROR(INDEX('TRANS'!$C:$C,MATCH($B1935,'TRANS'!$A:$A,0)),IFERROR(INDEX('Catalog'!$B:$B,MATCH($G1935,'Catalog'!$A:$A,0)),$B1935))</f>
        <v>85 M (מתלה ליד )כיס</v>
      </c>
      <c r="I1935" s="8" t="str">
        <f aca="false">IF($G1935="","Unmatched","Matched")</f>
        <v>Matched</v>
      </c>
    </row>
    <row r="1936" customFormat="false" ht="15" hidden="false" customHeight="false" outlineLevel="0" collapsed="false">
      <c r="A1936" s="8" t="s">
        <v>862</v>
      </c>
      <c r="B1936" s="8" t="s">
        <v>254</v>
      </c>
      <c r="C1936" s="19" t="n">
        <v>1</v>
      </c>
      <c r="D1936" s="19" t="n">
        <v>56.67</v>
      </c>
      <c r="E1936" s="19" t="n">
        <v>0</v>
      </c>
      <c r="F1936" s="19" t="n">
        <v>0</v>
      </c>
      <c r="G1936" s="8" t="n">
        <f aca="false">IFERROR(INDEX('TRANS'!$B:$B,MATCH($B1936,'TRANS'!$A:$A,0)),IFERROR(INDEX('TRANS'!$B:$B,MATCH(TRIM(SUBSTITUTE($B1936,CHAR(160)," ")),'TRANS'!$D:$D,0)),IFERROR(INDEX('Catalog'!$A:$A,MATCH($B1936,'Catalog'!$B:$B,0)),IFERROR(INDEX('Catalog'!$A:$A,MATCH(TRIM(SUBSTITUTE($B1936,CHAR(160)," ")),'Catalog'!$C:$C,0)),""))))</f>
        <v>4413138</v>
      </c>
      <c r="H1936" s="8" t="str">
        <f aca="false">IFERROR(INDEX('TRANS'!$C:$C,MATCH($B1936,'TRANS'!$A:$A,0)),IFERROR(INDEX('Catalog'!$B:$B,MATCH($G1936,'Catalog'!$A:$A,0)),$B1936))</f>
        <v>85 XL (מתלה ליד )כיס</v>
      </c>
      <c r="I1936" s="8" t="str">
        <f aca="false">IF($G1936="","Unmatched","Matched")</f>
        <v>Matched</v>
      </c>
    </row>
    <row r="1937" customFormat="false" ht="15" hidden="false" customHeight="false" outlineLevel="0" collapsed="false">
      <c r="A1937" s="8" t="s">
        <v>862</v>
      </c>
      <c r="B1937" s="8" t="s">
        <v>427</v>
      </c>
      <c r="C1937" s="19" t="n">
        <v>2</v>
      </c>
      <c r="D1937" s="19" t="n">
        <v>61.78</v>
      </c>
      <c r="E1937" s="19" t="n">
        <v>0</v>
      </c>
      <c r="F1937" s="19" t="n">
        <v>0</v>
      </c>
      <c r="G1937" s="8" t="n">
        <f aca="false">IFERROR(INDEX('TRANS'!$B:$B,MATCH($B1937,'TRANS'!$A:$A,0)),IFERROR(INDEX('TRANS'!$B:$B,MATCH(TRIM(SUBSTITUTE($B1937,CHAR(160)," ")),'TRANS'!$D:$D,0)),IFERROR(INDEX('Catalog'!$A:$A,MATCH($B1937,'Catalog'!$B:$B,0)),IFERROR(INDEX('Catalog'!$A:$A,MATCH(TRIM(SUBSTITUTE($B1937,CHAR(160)," ")),'Catalog'!$C:$C,0)),""))))</f>
        <v>4413139</v>
      </c>
      <c r="H1937" s="8" t="str">
        <f aca="false">IFERROR(INDEX('TRANS'!$C:$C,MATCH($B1937,'TRANS'!$A:$A,0)),IFERROR(INDEX('Catalog'!$B:$B,MATCH($G1937,'Catalog'!$A:$A,0)),$B1937))</f>
        <v>95 L מגן מרפק רגיל לבן</v>
      </c>
      <c r="I1937" s="8" t="str">
        <f aca="false">IF($G1937="","Unmatched","Matched")</f>
        <v>Matched</v>
      </c>
    </row>
    <row r="1938" customFormat="false" ht="15" hidden="false" customHeight="false" outlineLevel="0" collapsed="false">
      <c r="A1938" s="8" t="s">
        <v>862</v>
      </c>
      <c r="B1938" s="8" t="s">
        <v>260</v>
      </c>
      <c r="C1938" s="19" t="n">
        <v>2</v>
      </c>
      <c r="D1938" s="19" t="n">
        <v>61.78</v>
      </c>
      <c r="E1938" s="19" t="n">
        <v>0</v>
      </c>
      <c r="F1938" s="19" t="n">
        <v>0</v>
      </c>
      <c r="G1938" s="8" t="n">
        <f aca="false">IFERROR(INDEX('TRANS'!$B:$B,MATCH($B1938,'TRANS'!$A:$A,0)),IFERROR(INDEX('TRANS'!$B:$B,MATCH(TRIM(SUBSTITUTE($B1938,CHAR(160)," ")),'TRANS'!$D:$D,0)),IFERROR(INDEX('Catalog'!$A:$A,MATCH($B1938,'Catalog'!$B:$B,0)),IFERROR(INDEX('Catalog'!$A:$A,MATCH(TRIM(SUBSTITUTE($B1938,CHAR(160)," ")),'Catalog'!$C:$C,0)),""))))</f>
        <v>4413140</v>
      </c>
      <c r="H1938" s="8" t="str">
        <f aca="false">IFERROR(INDEX('TRANS'!$C:$C,MATCH($B1938,'TRANS'!$A:$A,0)),IFERROR(INDEX('Catalog'!$B:$B,MATCH($G1938,'Catalog'!$A:$A,0)),$B1938))</f>
        <v>95 M מגן מרפק רגיל לבן</v>
      </c>
      <c r="I1938" s="8" t="str">
        <f aca="false">IF($G1938="","Unmatched","Matched")</f>
        <v>Matched</v>
      </c>
    </row>
    <row r="1939" customFormat="false" ht="15" hidden="false" customHeight="false" outlineLevel="0" collapsed="false">
      <c r="A1939" s="8" t="s">
        <v>862</v>
      </c>
      <c r="B1939" s="8" t="s">
        <v>429</v>
      </c>
      <c r="C1939" s="19" t="n">
        <v>1</v>
      </c>
      <c r="D1939" s="19" t="n">
        <v>30.89</v>
      </c>
      <c r="E1939" s="19" t="n">
        <v>0</v>
      </c>
      <c r="F1939" s="19" t="n">
        <v>0</v>
      </c>
      <c r="G1939" s="8" t="n">
        <f aca="false">IFERROR(INDEX('TRANS'!$B:$B,MATCH($B1939,'TRANS'!$A:$A,0)),IFERROR(INDEX('TRANS'!$B:$B,MATCH(TRIM(SUBSTITUTE($B1939,CHAR(160)," ")),'TRANS'!$D:$D,0)),IFERROR(INDEX('Catalog'!$A:$A,MATCH($B1939,'Catalog'!$B:$B,0)),IFERROR(INDEX('Catalog'!$A:$A,MATCH(TRIM(SUBSTITUTE($B1939,CHAR(160)," ")),'Catalog'!$C:$C,0)),""))))</f>
        <v>4413142</v>
      </c>
      <c r="H1939" s="8" t="str">
        <f aca="false">IFERROR(INDEX('TRANS'!$C:$C,MATCH($B1939,'TRANS'!$A:$A,0)),IFERROR(INDEX('Catalog'!$B:$B,MATCH($G1939,'Catalog'!$A:$A,0)),$B1939))</f>
        <v>95 XL מגן מרפק רגיל לבן</v>
      </c>
      <c r="I1939" s="8" t="str">
        <f aca="false">IF($G1939="","Unmatched","Matched")</f>
        <v>Matched</v>
      </c>
    </row>
    <row r="1940" customFormat="false" ht="15" hidden="false" customHeight="false" outlineLevel="0" collapsed="false">
      <c r="A1940" s="8" t="s">
        <v>862</v>
      </c>
      <c r="B1940" s="8" t="s">
        <v>797</v>
      </c>
      <c r="C1940" s="19" t="n">
        <v>1</v>
      </c>
      <c r="D1940" s="19" t="n">
        <v>30.89</v>
      </c>
      <c r="E1940" s="19" t="n">
        <v>0</v>
      </c>
      <c r="F1940" s="19" t="n">
        <v>0</v>
      </c>
      <c r="G1940" s="8" t="n">
        <f aca="false">IFERROR(INDEX('TRANS'!$B:$B,MATCH($B1940,'TRANS'!$A:$A,0)),IFERROR(INDEX('TRANS'!$B:$B,MATCH(TRIM(SUBSTITUTE($B1940,CHAR(160)," ")),'TRANS'!$D:$D,0)),IFERROR(INDEX('Catalog'!$A:$A,MATCH($B1940,'Catalog'!$B:$B,0)),IFERROR(INDEX('Catalog'!$A:$A,MATCH(TRIM(SUBSTITUTE($B1940,CHAR(160)," ")),'Catalog'!$C:$C,0)),""))))</f>
        <v>4413144</v>
      </c>
      <c r="H1940" s="8" t="str">
        <f aca="false">IFERROR(INDEX('TRANS'!$C:$C,MATCH($B1940,'TRANS'!$A:$A,0)),IFERROR(INDEX('Catalog'!$B:$B,MATCH($G1940,'Catalog'!$A:$A,0)),$B1940))</f>
        <v>95 XXL מגן מרפק רגיל לבן</v>
      </c>
      <c r="I1940" s="8" t="str">
        <f aca="false">IF($G1940="","Unmatched","Matched")</f>
        <v>Matched</v>
      </c>
    </row>
    <row r="1941" customFormat="false" ht="15" hidden="false" customHeight="false" outlineLevel="0" collapsed="false">
      <c r="A1941" s="8" t="s">
        <v>862</v>
      </c>
      <c r="B1941" s="8" t="s">
        <v>262</v>
      </c>
      <c r="C1941" s="19" t="n">
        <v>1</v>
      </c>
      <c r="D1941" s="19" t="n">
        <v>30.89</v>
      </c>
      <c r="E1941" s="19" t="n">
        <v>0</v>
      </c>
      <c r="F1941" s="19" t="n">
        <v>0</v>
      </c>
      <c r="G1941" s="8" t="n">
        <f aca="false">IFERROR(INDEX('TRANS'!$B:$B,MATCH($B1941,'TRANS'!$A:$A,0)),IFERROR(INDEX('TRANS'!$B:$B,MATCH(TRIM(SUBSTITUTE($B1941,CHAR(160)," ")),'TRANS'!$D:$D,0)),IFERROR(INDEX('Catalog'!$A:$A,MATCH($B1941,'Catalog'!$B:$B,0)),IFERROR(INDEX('Catalog'!$A:$A,MATCH(TRIM(SUBSTITUTE($B1941,CHAR(160)," ")),'Catalog'!$C:$C,0)),""))))</f>
        <v>4413501</v>
      </c>
      <c r="H1941" s="8" t="str">
        <f aca="false">IFERROR(INDEX('TRANS'!$C:$C,MATCH($B1941,'TRANS'!$A:$A,0)),IFERROR(INDEX('Catalog'!$B:$B,MATCH($G1941,'Catalog'!$A:$A,0)),$B1941))</f>
        <v>95B M מגן מרפק שחור</v>
      </c>
      <c r="I1941" s="8" t="str">
        <f aca="false">IF($G1941="","Unmatched","Matched")</f>
        <v>Matched</v>
      </c>
    </row>
    <row r="1942" customFormat="false" ht="15" hidden="false" customHeight="false" outlineLevel="0" collapsed="false">
      <c r="A1942" s="8" t="s">
        <v>862</v>
      </c>
      <c r="B1942" s="8" t="s">
        <v>275</v>
      </c>
      <c r="C1942" s="19" t="n">
        <v>9</v>
      </c>
      <c r="D1942" s="19" t="n">
        <v>666.36</v>
      </c>
      <c r="E1942" s="19" t="n">
        <v>1</v>
      </c>
      <c r="F1942" s="19" t="n">
        <v>74.95</v>
      </c>
      <c r="G1942" s="8" t="n">
        <f aca="false">IFERROR(INDEX('TRANS'!$B:$B,MATCH($B1942,'TRANS'!$A:$A,0)),IFERROR(INDEX('TRANS'!$B:$B,MATCH(TRIM(SUBSTITUTE($B1942,CHAR(160)," ")),'TRANS'!$D:$D,0)),IFERROR(INDEX('Catalog'!$A:$A,MATCH($B1942,'Catalog'!$B:$B,0)),IFERROR(INDEX('Catalog'!$A:$A,MATCH(TRIM(SUBSTITUTE($B1942,CHAR(160)," ")),'Catalog'!$C:$C,0)),""))))</f>
        <v>4413329</v>
      </c>
      <c r="H1942" s="8" t="str">
        <f aca="false">IFERROR(INDEX('TRANS'!$C:$C,MATCH($B1942,'TRANS'!$A:$A,0)),IFERROR(INDEX('Catalog'!$B:$B,MATCH($G1942,'Catalog'!$A:$A,0)),$B1942))</f>
        <v>AC45X מגן ברך עם תמיכות</v>
      </c>
      <c r="I1942" s="8" t="str">
        <f aca="false">IF($G1942="","Unmatched","Matched")</f>
        <v>Matched</v>
      </c>
    </row>
    <row r="1943" customFormat="false" ht="15" hidden="false" customHeight="false" outlineLevel="0" collapsed="false">
      <c r="A1943" s="8" t="s">
        <v>862</v>
      </c>
      <c r="B1943" s="8" t="s">
        <v>301</v>
      </c>
      <c r="C1943" s="19" t="n">
        <v>3</v>
      </c>
      <c r="D1943" s="19" t="n">
        <v>432.29</v>
      </c>
      <c r="E1943" s="19" t="n">
        <v>0</v>
      </c>
      <c r="F1943" s="19" t="n">
        <v>0</v>
      </c>
      <c r="G1943" s="8" t="n">
        <f aca="false">IFERROR(INDEX('TRANS'!$B:$B,MATCH($B1943,'TRANS'!$A:$A,0)),IFERROR(INDEX('TRANS'!$B:$B,MATCH(TRIM(SUBSTITUTE($B1943,CHAR(160)," ")),'TRANS'!$D:$D,0)),IFERROR(INDEX('Catalog'!$A:$A,MATCH($B1943,'Catalog'!$B:$B,0)),IFERROR(INDEX('Catalog'!$A:$A,MATCH(TRIM(SUBSTITUTE($B1943,CHAR(160)," ")),'Catalog'!$C:$C,0)),""))))</f>
        <v>4413416</v>
      </c>
      <c r="H1943" s="8" t="str">
        <f aca="false">IFERROR(INDEX('TRANS'!$C:$C,MATCH($B1943,'TRANS'!$A:$A,0)),IFERROR(INDEX('Catalog'!$B:$B,MATCH($G1943,'Catalog'!$A:$A,0)),$B1943))</f>
        <v>SC39  M מגן שוק</v>
      </c>
      <c r="I1943" s="8" t="str">
        <f aca="false">IF($G1943="","Unmatched","Matched")</f>
        <v>Matched</v>
      </c>
    </row>
    <row r="1944" customFormat="false" ht="15" hidden="false" customHeight="false" outlineLevel="0" collapsed="false">
      <c r="A1944" s="8" t="s">
        <v>862</v>
      </c>
      <c r="B1944" s="8" t="s">
        <v>435</v>
      </c>
      <c r="C1944" s="19" t="n">
        <v>1</v>
      </c>
      <c r="D1944" s="19" t="n">
        <v>141.77</v>
      </c>
      <c r="E1944" s="19" t="n">
        <v>2</v>
      </c>
      <c r="F1944" s="19" t="n">
        <v>328.06</v>
      </c>
      <c r="G1944" s="8" t="n">
        <f aca="false">IFERROR(INDEX('TRANS'!$B:$B,MATCH($B1944,'TRANS'!$A:$A,0)),IFERROR(INDEX('TRANS'!$B:$B,MATCH(TRIM(SUBSTITUTE($B1944,CHAR(160)," ")),'TRANS'!$D:$D,0)),IFERROR(INDEX('Catalog'!$A:$A,MATCH($B1944,'Catalog'!$B:$B,0)),IFERROR(INDEX('Catalog'!$A:$A,MATCH(TRIM(SUBSTITUTE($B1944,CHAR(160)," ")),'Catalog'!$C:$C,0)),""))))</f>
        <v>4413415</v>
      </c>
      <c r="H1944" s="8" t="str">
        <f aca="false">IFERROR(INDEX('TRANS'!$C:$C,MATCH($B1944,'TRANS'!$A:$A,0)),IFERROR(INDEX('Catalog'!$B:$B,MATCH($G1944,'Catalog'!$A:$A,0)),$B1944))</f>
        <v>SC39  S מגן שוק</v>
      </c>
      <c r="I1944" s="8" t="str">
        <f aca="false">IF($G1944="","Unmatched","Matched")</f>
        <v>Matched</v>
      </c>
    </row>
    <row r="1945" customFormat="false" ht="15" hidden="false" customHeight="false" outlineLevel="0" collapsed="false">
      <c r="A1945" s="8" t="s">
        <v>862</v>
      </c>
      <c r="B1945" s="8" t="s">
        <v>608</v>
      </c>
      <c r="C1945" s="19" t="n">
        <v>1</v>
      </c>
      <c r="D1945" s="19" t="n">
        <v>145.26</v>
      </c>
      <c r="E1945" s="19" t="n">
        <v>1</v>
      </c>
      <c r="F1945" s="19" t="n">
        <v>164.02</v>
      </c>
      <c r="G1945" s="8" t="n">
        <f aca="false">IFERROR(INDEX('TRANS'!$B:$B,MATCH($B1945,'TRANS'!$A:$A,0)),IFERROR(INDEX('TRANS'!$B:$B,MATCH(TRIM(SUBSTITUTE($B1945,CHAR(160)," ")),'TRANS'!$D:$D,0)),IFERROR(INDEX('Catalog'!$A:$A,MATCH($B1945,'Catalog'!$B:$B,0)),IFERROR(INDEX('Catalog'!$A:$A,MATCH(TRIM(SUBSTITUTE($B1945,CHAR(160)," ")),'Catalog'!$C:$C,0)),""))))</f>
        <v>4413418</v>
      </c>
      <c r="H1945" s="8" t="str">
        <f aca="false">IFERROR(INDEX('TRANS'!$C:$C,MATCH($B1945,'TRANS'!$A:$A,0)),IFERROR(INDEX('Catalog'!$B:$B,MATCH($G1945,'Catalog'!$A:$A,0)),$B1945))</f>
        <v>SC39 XL מגן שוק</v>
      </c>
      <c r="I1945" s="8" t="str">
        <f aca="false">IF($G1945="","Unmatched","Matched")</f>
        <v>Matched</v>
      </c>
    </row>
    <row r="1946" customFormat="false" ht="15" hidden="false" customHeight="false" outlineLevel="0" collapsed="false">
      <c r="A1946" s="8" t="s">
        <v>862</v>
      </c>
      <c r="B1946" s="8" t="s">
        <v>302</v>
      </c>
      <c r="C1946" s="19" t="n">
        <v>1</v>
      </c>
      <c r="D1946" s="19" t="n">
        <v>140.57</v>
      </c>
      <c r="E1946" s="19" t="n">
        <v>0</v>
      </c>
      <c r="F1946" s="19" t="n">
        <v>0</v>
      </c>
      <c r="G1946" s="8" t="n">
        <f aca="false">IFERROR(INDEX('TRANS'!$B:$B,MATCH($B1946,'TRANS'!$A:$A,0)),IFERROR(INDEX('TRANS'!$B:$B,MATCH(TRIM(SUBSTITUTE($B1946,CHAR(160)," ")),'TRANS'!$D:$D,0)),IFERROR(INDEX('Catalog'!$A:$A,MATCH($B1946,'Catalog'!$B:$B,0)),IFERROR(INDEX('Catalog'!$A:$A,MATCH(TRIM(SUBSTITUTE($B1946,CHAR(160)," ")),'Catalog'!$C:$C,0)),""))))</f>
        <v>4413439</v>
      </c>
      <c r="H1946" s="8" t="str">
        <f aca="false">IFERROR(INDEX('TRANS'!$C:$C,MATCH($B1946,'TRANS'!$A:$A,0)),IFERROR(INDEX('Catalog'!$B:$B,MATCH($G1946,'Catalog'!$A:$A,0)),$B1946))</f>
        <v>SC422  M מגן ברך</v>
      </c>
      <c r="I1946" s="8" t="str">
        <f aca="false">IF($G1946="","Unmatched","Matched")</f>
        <v>Matched</v>
      </c>
    </row>
    <row r="1947" customFormat="false" ht="15" hidden="false" customHeight="false" outlineLevel="0" collapsed="false">
      <c r="A1947" s="8" t="s">
        <v>862</v>
      </c>
      <c r="B1947" s="8" t="s">
        <v>437</v>
      </c>
      <c r="C1947" s="19" t="n">
        <v>1</v>
      </c>
      <c r="D1947" s="19" t="n">
        <v>140.57</v>
      </c>
      <c r="E1947" s="19" t="n">
        <v>0</v>
      </c>
      <c r="F1947" s="19" t="n">
        <v>0</v>
      </c>
      <c r="G1947" s="8" t="n">
        <f aca="false">IFERROR(INDEX('TRANS'!$B:$B,MATCH($B1947,'TRANS'!$A:$A,0)),IFERROR(INDEX('TRANS'!$B:$B,MATCH(TRIM(SUBSTITUTE($B1947,CHAR(160)," ")),'TRANS'!$D:$D,0)),IFERROR(INDEX('Catalog'!$A:$A,MATCH($B1947,'Catalog'!$B:$B,0)),IFERROR(INDEX('Catalog'!$A:$A,MATCH(TRIM(SUBSTITUTE($B1947,CHAR(160)," ")),'Catalog'!$C:$C,0)),""))))</f>
        <v>4413438</v>
      </c>
      <c r="H1947" s="8" t="str">
        <f aca="false">IFERROR(INDEX('TRANS'!$C:$C,MATCH($B1947,'TRANS'!$A:$A,0)),IFERROR(INDEX('Catalog'!$B:$B,MATCH($G1947,'Catalog'!$A:$A,0)),$B1947))</f>
        <v>SC422  S מגן ברך</v>
      </c>
      <c r="I1947" s="8" t="str">
        <f aca="false">IF($G1947="","Unmatched","Matched")</f>
        <v>Matched</v>
      </c>
    </row>
    <row r="1948" customFormat="false" ht="15" hidden="false" customHeight="false" outlineLevel="0" collapsed="false">
      <c r="A1948" s="8" t="s">
        <v>862</v>
      </c>
      <c r="B1948" s="8" t="s">
        <v>303</v>
      </c>
      <c r="C1948" s="19" t="n">
        <v>1</v>
      </c>
      <c r="D1948" s="19" t="n">
        <v>140.57</v>
      </c>
      <c r="E1948" s="19" t="n">
        <v>0</v>
      </c>
      <c r="F1948" s="19" t="n">
        <v>0</v>
      </c>
      <c r="G1948" s="8" t="n">
        <f aca="false">IFERROR(INDEX('TRANS'!$B:$B,MATCH($B1948,'TRANS'!$A:$A,0)),IFERROR(INDEX('TRANS'!$B:$B,MATCH(TRIM(SUBSTITUTE($B1948,CHAR(160)," ")),'TRANS'!$D:$D,0)),IFERROR(INDEX('Catalog'!$A:$A,MATCH($B1948,'Catalog'!$B:$B,0)),IFERROR(INDEX('Catalog'!$A:$A,MATCH(TRIM(SUBSTITUTE($B1948,CHAR(160)," ")),'Catalog'!$C:$C,0)),""))))</f>
        <v>4413442</v>
      </c>
      <c r="H1948" s="8" t="str">
        <f aca="false">IFERROR(INDEX('TRANS'!$C:$C,MATCH($B1948,'TRANS'!$A:$A,0)),IFERROR(INDEX('Catalog'!$B:$B,MATCH($G1948,'Catalog'!$A:$A,0)),$B1948))</f>
        <v>SC422 XXLמגן ברך</v>
      </c>
      <c r="I1948" s="8" t="str">
        <f aca="false">IF($G1948="","Unmatched","Matched")</f>
        <v>Matched</v>
      </c>
    </row>
    <row r="1949" customFormat="false" ht="15" hidden="false" customHeight="false" outlineLevel="0" collapsed="false">
      <c r="A1949" s="8" t="s">
        <v>862</v>
      </c>
      <c r="B1949" s="8" t="s">
        <v>310</v>
      </c>
      <c r="C1949" s="19" t="n">
        <v>1</v>
      </c>
      <c r="D1949" s="19" t="n">
        <v>92.29</v>
      </c>
      <c r="E1949" s="19" t="n">
        <v>1</v>
      </c>
      <c r="F1949" s="19" t="n">
        <v>65</v>
      </c>
      <c r="G1949" s="8" t="n">
        <f aca="false">IFERROR(INDEX('TRANS'!$B:$B,MATCH($B1949,'TRANS'!$A:$A,0)),IFERROR(INDEX('TRANS'!$B:$B,MATCH(TRIM(SUBSTITUTE($B1949,CHAR(160)," ")),'TRANS'!$D:$D,0)),IFERROR(INDEX('Catalog'!$A:$A,MATCH($B1949,'Catalog'!$B:$B,0)),IFERROR(INDEX('Catalog'!$A:$A,MATCH(TRIM(SUBSTITUTE($B1949,CHAR(160)," ")),'Catalog'!$C:$C,0)),""))))</f>
        <v>4403034</v>
      </c>
      <c r="H1949" s="8" t="str">
        <f aca="false">IFERROR(INDEX('TRANS'!$C:$C,MATCH($B1949,'TRANS'!$A:$A,0)),IFERROR(INDEX('Catalog'!$B:$B,MATCH($G1949,'Catalog'!$A:$A,0)),$B1949))</f>
        <v>ST3555 S-Mגרב לילה לטיפ.בדורבן</v>
      </c>
      <c r="I1949" s="8" t="str">
        <f aca="false">IF($G1949="","Unmatched","Matched")</f>
        <v>Matched</v>
      </c>
    </row>
    <row r="1950" customFormat="false" ht="15" hidden="false" customHeight="false" outlineLevel="0" collapsed="false">
      <c r="A1950" s="8" t="s">
        <v>862</v>
      </c>
      <c r="B1950" s="8" t="s">
        <v>332</v>
      </c>
      <c r="C1950" s="19" t="n">
        <v>1</v>
      </c>
      <c r="D1950" s="19" t="n">
        <v>187.45</v>
      </c>
      <c r="E1950" s="19" t="n">
        <v>2</v>
      </c>
      <c r="F1950" s="19" t="n">
        <v>374.9</v>
      </c>
      <c r="G1950" s="8" t="n">
        <f aca="false">IFERROR(INDEX('TRANS'!$B:$B,MATCH($B1950,'TRANS'!$A:$A,0)),IFERROR(INDEX('TRANS'!$B:$B,MATCH(TRIM(SUBSTITUTE($B1950,CHAR(160)," ")),'TRANS'!$D:$D,0)),IFERROR(INDEX('Catalog'!$A:$A,MATCH($B1950,'Catalog'!$B:$B,0)),IFERROR(INDEX('Catalog'!$A:$A,MATCH(TRIM(SUBSTITUTE($B1950,CHAR(160)," ")),'Catalog'!$C:$C,0)),""))))</f>
        <v>4422006</v>
      </c>
      <c r="H1950" s="8" t="str">
        <f aca="false">IFERROR(INDEX('TRANS'!$C:$C,MATCH($B1950,'TRANS'!$A:$A,0)),IFERROR(INDEX('Catalog'!$B:$B,MATCH($G1950,'Catalog'!$A:$A,0)),$B1950))</f>
        <v>T78 L תומך זרוע וכתף</v>
      </c>
      <c r="I1950" s="8" t="str">
        <f aca="false">IF($G1950="","Unmatched","Matched")</f>
        <v>Matched</v>
      </c>
    </row>
    <row r="1951" customFormat="false" ht="15" hidden="false" customHeight="false" outlineLevel="0" collapsed="false">
      <c r="A1951" s="8" t="s">
        <v>862</v>
      </c>
      <c r="B1951" s="8" t="s">
        <v>452</v>
      </c>
      <c r="C1951" s="19" t="n">
        <v>0</v>
      </c>
      <c r="D1951" s="19" t="n">
        <v>0</v>
      </c>
      <c r="E1951" s="19" t="n">
        <v>1</v>
      </c>
      <c r="F1951" s="19" t="n">
        <v>187.45</v>
      </c>
      <c r="G1951" s="8" t="n">
        <f aca="false">IFERROR(INDEX('TRANS'!$B:$B,MATCH($B1951,'TRANS'!$A:$A,0)),IFERROR(INDEX('TRANS'!$B:$B,MATCH(TRIM(SUBSTITUTE($B1951,CHAR(160)," ")),'TRANS'!$D:$D,0)),IFERROR(INDEX('Catalog'!$A:$A,MATCH($B1951,'Catalog'!$B:$B,0)),IFERROR(INDEX('Catalog'!$A:$A,MATCH(TRIM(SUBSTITUTE($B1951,CHAR(160)," ")),'Catalog'!$C:$C,0)),""))))</f>
        <v>4422005</v>
      </c>
      <c r="H1951" s="8" t="str">
        <f aca="false">IFERROR(INDEX('TRANS'!$C:$C,MATCH($B1951,'TRANS'!$A:$A,0)),IFERROR(INDEX('Catalog'!$B:$B,MATCH($G1951,'Catalog'!$A:$A,0)),$B1951))</f>
        <v>T78 M תומך זרוע וכתף</v>
      </c>
      <c r="I1951" s="8" t="str">
        <f aca="false">IF($G1951="","Unmatched","Matched")</f>
        <v>Matched</v>
      </c>
    </row>
    <row r="1952" customFormat="false" ht="15" hidden="false" customHeight="false" outlineLevel="0" collapsed="false">
      <c r="A1952" s="8" t="s">
        <v>862</v>
      </c>
      <c r="B1952" s="8" t="s">
        <v>580</v>
      </c>
      <c r="C1952" s="19" t="n">
        <v>0</v>
      </c>
      <c r="D1952" s="19" t="n">
        <v>0</v>
      </c>
      <c r="E1952" s="19" t="n">
        <v>1</v>
      </c>
      <c r="F1952" s="19" t="n">
        <v>187.45</v>
      </c>
      <c r="G1952" s="8" t="n">
        <f aca="false">IFERROR(INDEX('TRANS'!$B:$B,MATCH($B1952,'TRANS'!$A:$A,0)),IFERROR(INDEX('TRANS'!$B:$B,MATCH(TRIM(SUBSTITUTE($B1952,CHAR(160)," ")),'TRANS'!$D:$D,0)),IFERROR(INDEX('Catalog'!$A:$A,MATCH($B1952,'Catalog'!$B:$B,0)),IFERROR(INDEX('Catalog'!$A:$A,MATCH(TRIM(SUBSTITUTE($B1952,CHAR(160)," ")),'Catalog'!$C:$C,0)),""))))</f>
        <v>4422004</v>
      </c>
      <c r="H1952" s="8" t="str">
        <f aca="false">IFERROR(INDEX('TRANS'!$C:$C,MATCH($B1952,'TRANS'!$A:$A,0)),IFERROR(INDEX('Catalog'!$B:$B,MATCH($G1952,'Catalog'!$A:$A,0)),$B1952))</f>
        <v>T78 S תומך זרוע וכתף</v>
      </c>
      <c r="I1952" s="8" t="str">
        <f aca="false">IF($G1952="","Unmatched","Matched")</f>
        <v>Matched</v>
      </c>
    </row>
    <row r="1953" customFormat="false" ht="15" hidden="false" customHeight="false" outlineLevel="0" collapsed="false">
      <c r="A1953" s="8" t="s">
        <v>862</v>
      </c>
      <c r="B1953" s="8" t="s">
        <v>632</v>
      </c>
      <c r="C1953" s="19" t="n">
        <v>1</v>
      </c>
      <c r="D1953" s="19" t="n">
        <v>187.45</v>
      </c>
      <c r="E1953" s="19" t="n">
        <v>0</v>
      </c>
      <c r="F1953" s="19" t="n">
        <v>0</v>
      </c>
      <c r="G1953" s="8" t="n">
        <f aca="false">IFERROR(INDEX('TRANS'!$B:$B,MATCH($B1953,'TRANS'!$A:$A,0)),IFERROR(INDEX('TRANS'!$B:$B,MATCH(TRIM(SUBSTITUTE($B1953,CHAR(160)," ")),'TRANS'!$D:$D,0)),IFERROR(INDEX('Catalog'!$A:$A,MATCH($B1953,'Catalog'!$B:$B,0)),IFERROR(INDEX('Catalog'!$A:$A,MATCH(TRIM(SUBSTITUTE($B1953,CHAR(160)," ")),'Catalog'!$C:$C,0)),""))))</f>
        <v>4422007</v>
      </c>
      <c r="H1953" s="8" t="str">
        <f aca="false">IFERROR(INDEX('TRANS'!$C:$C,MATCH($B1953,'TRANS'!$A:$A,0)),IFERROR(INDEX('Catalog'!$B:$B,MATCH($G1953,'Catalog'!$A:$A,0)),$B1953))</f>
        <v>T78 XLתומך זרוע וכתף</v>
      </c>
      <c r="I1953" s="8" t="str">
        <f aca="false">IF($G1953="","Unmatched","Matched")</f>
        <v>Matched</v>
      </c>
    </row>
    <row r="1954" customFormat="false" ht="15" hidden="false" customHeight="false" outlineLevel="0" collapsed="false">
      <c r="A1954" s="8" t="s">
        <v>862</v>
      </c>
      <c r="B1954" s="8" t="s">
        <v>675</v>
      </c>
      <c r="C1954" s="19" t="n">
        <v>0</v>
      </c>
      <c r="D1954" s="19" t="n">
        <v>0</v>
      </c>
      <c r="E1954" s="19" t="n">
        <v>1</v>
      </c>
      <c r="F1954" s="19" t="n">
        <v>187.44</v>
      </c>
      <c r="G1954" s="8" t="str">
        <f aca="false">IFERROR(INDEX('TRANS'!$B:$B,MATCH($B1954,'TRANS'!$A:$A,0)),IFERROR(INDEX('TRANS'!$B:$B,MATCH(TRIM(SUBSTITUTE($B1954,CHAR(160)," ")),'TRANS'!$D:$D,0)),IFERROR(INDEX('Catalog'!$A:$A,MATCH($B1954,'Catalog'!$B:$B,0)),IFERROR(INDEX('Catalog'!$A:$A,MATCH(TRIM(SUBSTITUTE($B1954,CHAR(160)," ")),'Catalog'!$C:$C,0)),""))))</f>
        <v/>
      </c>
      <c r="H1954" s="8" t="str">
        <f aca="false">IFERROR(INDEX('TRANS'!$C:$C,MATCH($B1954,'TRANS'!$A:$A,0)),IFERROR(INDEX('Catalog'!$B:$B,MATCH($G1954,'Catalog'!$A:$A,0)),$B1954))</f>
        <v>T78 XS</v>
      </c>
      <c r="I1954" s="8" t="str">
        <f aca="false">IF($G1954="","Unmatched","Matched")</f>
        <v>Unmatched</v>
      </c>
    </row>
    <row r="1955" customFormat="false" ht="15" hidden="false" customHeight="false" outlineLevel="0" collapsed="false">
      <c r="A1955" s="8" t="s">
        <v>862</v>
      </c>
      <c r="B1955" s="8" t="s">
        <v>612</v>
      </c>
      <c r="C1955" s="19" t="n">
        <v>1</v>
      </c>
      <c r="D1955" s="19" t="n">
        <v>187.45</v>
      </c>
      <c r="E1955" s="19" t="n">
        <v>0</v>
      </c>
      <c r="F1955" s="19" t="n">
        <v>0</v>
      </c>
      <c r="G1955" s="8" t="n">
        <f aca="false">IFERROR(INDEX('TRANS'!$B:$B,MATCH($B1955,'TRANS'!$A:$A,0)),IFERROR(INDEX('TRANS'!$B:$B,MATCH(TRIM(SUBSTITUTE($B1955,CHAR(160)," ")),'TRANS'!$D:$D,0)),IFERROR(INDEX('Catalog'!$A:$A,MATCH($B1955,'Catalog'!$B:$B,0)),IFERROR(INDEX('Catalog'!$A:$A,MATCH(TRIM(SUBSTITUTE($B1955,CHAR(160)," ")),'Catalog'!$C:$C,0)),""))))</f>
        <v>4422009</v>
      </c>
      <c r="H1955" s="8" t="str">
        <f aca="false">IFERROR(INDEX('TRANS'!$C:$C,MATCH($B1955,'TRANS'!$A:$A,0)),IFERROR(INDEX('Catalog'!$B:$B,MATCH($G1955,'Catalog'!$A:$A,0)),$B1955))</f>
        <v>T78 XXL תומך זרוע וכתף</v>
      </c>
      <c r="I1955" s="8" t="str">
        <f aca="false">IF($G1955="","Unmatched","Matched")</f>
        <v>Matched</v>
      </c>
    </row>
    <row r="1956" customFormat="false" ht="15" hidden="false" customHeight="false" outlineLevel="0" collapsed="false">
      <c r="A1956" s="8" t="s">
        <v>862</v>
      </c>
      <c r="B1956" s="8" t="s">
        <v>623</v>
      </c>
      <c r="C1956" s="19" t="n">
        <v>1</v>
      </c>
      <c r="D1956" s="19" t="n">
        <v>81.2</v>
      </c>
      <c r="E1956" s="19" t="n">
        <v>0</v>
      </c>
      <c r="F1956" s="19" t="n">
        <v>0</v>
      </c>
      <c r="G1956" s="8" t="str">
        <f aca="false">IFERROR(INDEX('TRANS'!$B:$B,MATCH($B1956,'TRANS'!$A:$A,0)),IFERROR(INDEX('TRANS'!$B:$B,MATCH(TRIM(SUBSTITUTE($B1956,CHAR(160)," ")),'TRANS'!$D:$D,0)),IFERROR(INDEX('Catalog'!$A:$A,MATCH($B1956,'Catalog'!$B:$B,0)),IFERROR(INDEX('Catalog'!$A:$A,MATCH(TRIM(SUBSTITUTE($B1956,CHAR(160)," ")),'Catalog'!$C:$C,0)),""))))</f>
        <v/>
      </c>
      <c r="H1956" s="8" t="str">
        <f aca="false">IFERROR(INDEX('TRANS'!$C:$C,MATCH($B1956,'TRANS'!$A:$A,0)),IFERROR(INDEX('Catalog'!$B:$B,MATCH($G1956,'Catalog'!$A:$A,0)),$B1956))</f>
        <v>305GA-35-36</v>
      </c>
      <c r="I1956" s="8" t="str">
        <f aca="false">IF($G1956="","Unmatched","Matched")</f>
        <v>Unmatched</v>
      </c>
    </row>
    <row r="1957" customFormat="false" ht="15" hidden="false" customHeight="false" outlineLevel="0" collapsed="false">
      <c r="A1957" s="8" t="s">
        <v>862</v>
      </c>
      <c r="B1957" s="8" t="s">
        <v>116</v>
      </c>
      <c r="C1957" s="19" t="n">
        <v>6</v>
      </c>
      <c r="D1957" s="19" t="n">
        <v>485.86</v>
      </c>
      <c r="E1957" s="19" t="n">
        <v>4</v>
      </c>
      <c r="F1957" s="19" t="n">
        <v>324.83</v>
      </c>
      <c r="G1957" s="8" t="n">
        <f aca="false">IFERROR(INDEX('TRANS'!$B:$B,MATCH($B1957,'TRANS'!$A:$A,0)),IFERROR(INDEX('TRANS'!$B:$B,MATCH(TRIM(SUBSTITUTE($B1957,CHAR(160)," ")),'TRANS'!$D:$D,0)),IFERROR(INDEX('Catalog'!$A:$A,MATCH($B1957,'Catalog'!$B:$B,0)),IFERROR(INDEX('Catalog'!$A:$A,MATCH(TRIM(SUBSTITUTE($B1957,CHAR(160)," ")),'Catalog'!$C:$C,0)),""))))</f>
        <v>4413155</v>
      </c>
      <c r="H1957" s="8" t="str">
        <f aca="false">IFERROR(INDEX('TRANS'!$C:$C,MATCH($B1957,'TRANS'!$A:$A,0)),IFERROR(INDEX('Catalog'!$B:$B,MATCH($G1957,'Catalog'!$A:$A,0)),$B1957))</f>
        <v>305GA מדרס אורטופ.מתכוון39-40</v>
      </c>
      <c r="I1957" s="8" t="str">
        <f aca="false">IF($G1957="","Unmatched","Matched")</f>
        <v>Matched</v>
      </c>
    </row>
    <row r="1958" customFormat="false" ht="15" hidden="false" customHeight="false" outlineLevel="0" collapsed="false">
      <c r="A1958" s="8" t="s">
        <v>862</v>
      </c>
      <c r="B1958" s="8" t="s">
        <v>117</v>
      </c>
      <c r="C1958" s="19" t="n">
        <v>11</v>
      </c>
      <c r="D1958" s="19" t="n">
        <v>890.54</v>
      </c>
      <c r="E1958" s="19" t="n">
        <v>4</v>
      </c>
      <c r="F1958" s="19" t="n">
        <v>324.79</v>
      </c>
      <c r="G1958" s="8" t="n">
        <f aca="false">IFERROR(INDEX('TRANS'!$B:$B,MATCH($B1958,'TRANS'!$A:$A,0)),IFERROR(INDEX('TRANS'!$B:$B,MATCH(TRIM(SUBSTITUTE($B1958,CHAR(160)," ")),'TRANS'!$D:$D,0)),IFERROR(INDEX('Catalog'!$A:$A,MATCH($B1958,'Catalog'!$B:$B,0)),IFERROR(INDEX('Catalog'!$A:$A,MATCH(TRIM(SUBSTITUTE($B1958,CHAR(160)," ")),'Catalog'!$C:$C,0)),""))))</f>
        <v>4413156</v>
      </c>
      <c r="H1958" s="8" t="str">
        <f aca="false">IFERROR(INDEX('TRANS'!$C:$C,MATCH($B1958,'TRANS'!$A:$A,0)),IFERROR(INDEX('Catalog'!$B:$B,MATCH($G1958,'Catalog'!$A:$A,0)),$B1958))</f>
        <v>305GA מדרס אורטופ.מתכוון41-42</v>
      </c>
      <c r="I1958" s="8" t="str">
        <f aca="false">IF($G1958="","Unmatched","Matched")</f>
        <v>Matched</v>
      </c>
    </row>
    <row r="1959" customFormat="false" ht="15" hidden="false" customHeight="false" outlineLevel="0" collapsed="false">
      <c r="A1959" s="8" t="s">
        <v>862</v>
      </c>
      <c r="B1959" s="8" t="s">
        <v>118</v>
      </c>
      <c r="C1959" s="19" t="n">
        <v>23</v>
      </c>
      <c r="D1959" s="19" t="n">
        <v>1858.22</v>
      </c>
      <c r="E1959" s="19" t="n">
        <v>13</v>
      </c>
      <c r="F1959" s="19" t="n">
        <v>1055.63</v>
      </c>
      <c r="G1959" s="8" t="n">
        <f aca="false">IFERROR(INDEX('TRANS'!$B:$B,MATCH($B1959,'TRANS'!$A:$A,0)),IFERROR(INDEX('TRANS'!$B:$B,MATCH(TRIM(SUBSTITUTE($B1959,CHAR(160)," ")),'TRANS'!$D:$D,0)),IFERROR(INDEX('Catalog'!$A:$A,MATCH($B1959,'Catalog'!$B:$B,0)),IFERROR(INDEX('Catalog'!$A:$A,MATCH(TRIM(SUBSTITUTE($B1959,CHAR(160)," ")),'Catalog'!$C:$C,0)),""))))</f>
        <v>4413157</v>
      </c>
      <c r="H1959" s="8" t="str">
        <f aca="false">IFERROR(INDEX('TRANS'!$C:$C,MATCH($B1959,'TRANS'!$A:$A,0)),IFERROR(INDEX('Catalog'!$B:$B,MATCH($G1959,'Catalog'!$A:$A,0)),$B1959))</f>
        <v>305GA מדרס אורטופ.מתכוון43-44</v>
      </c>
      <c r="I1959" s="8" t="str">
        <f aca="false">IF($G1959="","Unmatched","Matched")</f>
        <v>Matched</v>
      </c>
    </row>
    <row r="1960" customFormat="false" ht="15" hidden="false" customHeight="false" outlineLevel="0" collapsed="false">
      <c r="A1960" s="8" t="s">
        <v>862</v>
      </c>
      <c r="B1960" s="8" t="s">
        <v>124</v>
      </c>
      <c r="C1960" s="19" t="n">
        <v>116</v>
      </c>
      <c r="D1960" s="19" t="n">
        <v>1605.3</v>
      </c>
      <c r="E1960" s="19" t="n">
        <v>4</v>
      </c>
      <c r="F1960" s="19" t="n">
        <v>67.33</v>
      </c>
      <c r="G1960" s="8" t="n">
        <f aca="false">IFERROR(INDEX('TRANS'!$B:$B,MATCH($B1960,'TRANS'!$A:$A,0)),IFERROR(INDEX('TRANS'!$B:$B,MATCH(TRIM(SUBSTITUTE($B1960,CHAR(160)," ")),'TRANS'!$D:$D,0)),IFERROR(INDEX('Catalog'!$A:$A,MATCH($B1960,'Catalog'!$B:$B,0)),IFERROR(INDEX('Catalog'!$A:$A,MATCH(TRIM(SUBSTITUTE($B1960,CHAR(160)," ")),'Catalog'!$C:$C,0)),""))))</f>
        <v>4413033</v>
      </c>
      <c r="H1960" s="8" t="str">
        <f aca="false">IFERROR(INDEX('TRANS'!$C:$C,MATCH($B1960,'TRANS'!$A:$A,0)),IFERROR(INDEX('Catalog'!$B:$B,MATCH($G1960,'Catalog'!$A:$A,0)),$B1960))</f>
        <v>311'מדב.ג'ל למניעת שפשוף 5 יח</v>
      </c>
      <c r="I1960" s="8" t="str">
        <f aca="false">IF($G1960="","Unmatched","Matched")</f>
        <v>Matched</v>
      </c>
    </row>
    <row r="1961" customFormat="false" ht="15" hidden="false" customHeight="false" outlineLevel="0" collapsed="false">
      <c r="A1961" s="8" t="s">
        <v>862</v>
      </c>
      <c r="B1961" s="8" t="s">
        <v>128</v>
      </c>
      <c r="C1961" s="19" t="n">
        <v>136</v>
      </c>
      <c r="D1961" s="19" t="n">
        <v>2266.58</v>
      </c>
      <c r="E1961" s="19" t="n">
        <v>5</v>
      </c>
      <c r="F1961" s="19" t="n">
        <v>90.35</v>
      </c>
      <c r="G1961" s="8" t="n">
        <f aca="false">IFERROR(INDEX('TRANS'!$B:$B,MATCH($B1961,'TRANS'!$A:$A,0)),IFERROR(INDEX('TRANS'!$B:$B,MATCH(TRIM(SUBSTITUTE($B1961,CHAR(160)," ")),'TRANS'!$D:$D,0)),IFERROR(INDEX('Catalog'!$A:$A,MATCH($B1961,'Catalog'!$B:$B,0)),IFERROR(INDEX('Catalog'!$A:$A,MATCH(TRIM(SUBSTITUTE($B1961,CHAR(160)," ")),'Catalog'!$C:$C,0)),""))))</f>
        <v>4402007</v>
      </c>
      <c r="H1961" s="8" t="str">
        <f aca="false">IFERROR(INDEX('TRANS'!$C:$C,MATCH($B1961,'TRANS'!$A:$A,0)),IFERROR(INDEX('Catalog'!$B:$B,MATCH($G1961,'Catalog'!$A:$A,0)),$B1961))</f>
        <v>320 בליסטר פלסטר</v>
      </c>
      <c r="I1961" s="8" t="str">
        <f aca="false">IF($G1961="","Unmatched","Matched")</f>
        <v>Matched</v>
      </c>
    </row>
    <row r="1962" customFormat="false" ht="15" hidden="false" customHeight="false" outlineLevel="0" collapsed="false">
      <c r="A1962" s="8" t="s">
        <v>862</v>
      </c>
      <c r="B1962" s="8" t="s">
        <v>159</v>
      </c>
      <c r="C1962" s="19" t="n">
        <v>25</v>
      </c>
      <c r="D1962" s="19" t="n">
        <v>363.41</v>
      </c>
      <c r="E1962" s="19" t="n">
        <v>3</v>
      </c>
      <c r="F1962" s="19" t="n">
        <v>43.75</v>
      </c>
      <c r="G1962" s="8" t="n">
        <f aca="false">IFERROR(INDEX('TRANS'!$B:$B,MATCH($B1962,'TRANS'!$A:$A,0)),IFERROR(INDEX('TRANS'!$B:$B,MATCH(TRIM(SUBSTITUTE($B1962,CHAR(160)," ")),'TRANS'!$D:$D,0)),IFERROR(INDEX('Catalog'!$A:$A,MATCH($B1962,'Catalog'!$B:$B,0)),IFERROR(INDEX('Catalog'!$A:$A,MATCH(TRIM(SUBSTITUTE($B1962,CHAR(160)," ")),'Catalog'!$C:$C,0)),""))))</f>
        <v>4413063</v>
      </c>
      <c r="H1962" s="8" t="str">
        <f aca="false">IFERROR(INDEX('TRANS'!$C:$C,MATCH($B1962,'TRANS'!$A:$A,0)),IFERROR(INDEX('Catalog'!$B:$B,MATCH($G1962,'Catalog'!$A:$A,0)),$B1962))</f>
        <v>366S-'מדבק.לשחרור לחץ מיבלת2יח</v>
      </c>
      <c r="I1962" s="8" t="str">
        <f aca="false">IF($G1962="","Unmatched","Matched")</f>
        <v>Matched</v>
      </c>
    </row>
    <row r="1963" customFormat="false" ht="15" hidden="false" customHeight="false" outlineLevel="0" collapsed="false">
      <c r="A1963" s="8" t="s">
        <v>862</v>
      </c>
      <c r="B1963" s="8" t="s">
        <v>188</v>
      </c>
      <c r="C1963" s="19" t="n">
        <v>10</v>
      </c>
      <c r="D1963" s="19" t="n">
        <v>235.22</v>
      </c>
      <c r="E1963" s="19" t="n">
        <v>0</v>
      </c>
      <c r="F1963" s="19" t="n">
        <v>0</v>
      </c>
      <c r="G1963" s="8" t="n">
        <f aca="false">IFERROR(INDEX('TRANS'!$B:$B,MATCH($B1963,'TRANS'!$A:$A,0)),IFERROR(INDEX('TRANS'!$B:$B,MATCH(TRIM(SUBSTITUTE($B1963,CHAR(160)," ")),'TRANS'!$D:$D,0)),IFERROR(INDEX('Catalog'!$A:$A,MATCH($B1963,'Catalog'!$B:$B,0)),IFERROR(INDEX('Catalog'!$A:$A,MATCH(TRIM(SUBSTITUTE($B1963,CHAR(160)," ")),'Catalog'!$C:$C,0)),""))))</f>
        <v>4403018</v>
      </c>
      <c r="H1963" s="8" t="str">
        <f aca="false">IFERROR(INDEX('TRANS'!$C:$C,MATCH($B1963,'TRANS'!$A:$A,0)),IFERROR(INDEX('Catalog'!$B:$B,MATCH($G1963,'Catalog'!$A:$A,0)),$B1963))</f>
        <v>394B גרב.כסף לסכרתים שחור39-42</v>
      </c>
      <c r="I1963" s="8" t="str">
        <f aca="false">IF($G1963="","Unmatched","Matched")</f>
        <v>Matched</v>
      </c>
    </row>
    <row r="1964" customFormat="false" ht="15" hidden="false" customHeight="false" outlineLevel="0" collapsed="false">
      <c r="A1964" s="8" t="s">
        <v>862</v>
      </c>
      <c r="B1964" s="8" t="s">
        <v>192</v>
      </c>
      <c r="C1964" s="19" t="n">
        <v>0</v>
      </c>
      <c r="D1964" s="19" t="n">
        <v>0</v>
      </c>
      <c r="E1964" s="19" t="n">
        <v>3</v>
      </c>
      <c r="F1964" s="19" t="n">
        <v>73.01</v>
      </c>
      <c r="G1964" s="8" t="n">
        <f aca="false">IFERROR(INDEX('TRANS'!$B:$B,MATCH($B1964,'TRANS'!$A:$A,0)),IFERROR(INDEX('TRANS'!$B:$B,MATCH(TRIM(SUBSTITUTE($B1964,CHAR(160)," ")),'TRANS'!$D:$D,0)),IFERROR(INDEX('Catalog'!$A:$A,MATCH($B1964,'Catalog'!$B:$B,0)),IFERROR(INDEX('Catalog'!$A:$A,MATCH(TRIM(SUBSTITUTE($B1964,CHAR(160)," ")),'Catalog'!$C:$C,0)),""))))</f>
        <v>4403023</v>
      </c>
      <c r="H1964" s="8" t="str">
        <f aca="false">IFERROR(INDEX('TRANS'!$C:$C,MATCH($B1964,'TRANS'!$A:$A,0)),IFERROR(INDEX('Catalog'!$B:$B,MATCH($G1964,'Catalog'!$A:$A,0)),$B1964))</f>
        <v>394W 35-38 גרב.כסף לסכרתים לבן</v>
      </c>
      <c r="I1964" s="8" t="str">
        <f aca="false">IF($G1964="","Unmatched","Matched")</f>
        <v>Matched</v>
      </c>
    </row>
    <row r="1965" customFormat="false" ht="15" hidden="false" customHeight="false" outlineLevel="0" collapsed="false">
      <c r="A1965" s="8" t="s">
        <v>862</v>
      </c>
      <c r="B1965" s="8" t="s">
        <v>195</v>
      </c>
      <c r="C1965" s="19" t="n">
        <v>0</v>
      </c>
      <c r="D1965" s="19" t="n">
        <v>0</v>
      </c>
      <c r="E1965" s="19" t="n">
        <v>3</v>
      </c>
      <c r="F1965" s="19" t="n">
        <v>79.09</v>
      </c>
      <c r="G1965" s="8" t="n">
        <f aca="false">IFERROR(INDEX('TRANS'!$B:$B,MATCH($B1965,'TRANS'!$A:$A,0)),IFERROR(INDEX('TRANS'!$B:$B,MATCH(TRIM(SUBSTITUTE($B1965,CHAR(160)," ")),'TRANS'!$D:$D,0)),IFERROR(INDEX('Catalog'!$A:$A,MATCH($B1965,'Catalog'!$B:$B,0)),IFERROR(INDEX('Catalog'!$A:$A,MATCH(TRIM(SUBSTITUTE($B1965,CHAR(160)," ")),'Catalog'!$C:$C,0)),""))))</f>
        <v>4403044</v>
      </c>
      <c r="H1965" s="8" t="str">
        <f aca="false">IFERROR(INDEX('TRANS'!$C:$C,MATCH($B1965,'TRANS'!$A:$A,0)),IFERROR(INDEX('Catalog'!$B:$B,MATCH($G1965,'Catalog'!$A:$A,0)),$B1965))</f>
        <v>395B גרבי קיץ אנטי בקטריא39-42</v>
      </c>
      <c r="I1965" s="8" t="str">
        <f aca="false">IF($G1965="","Unmatched","Matched")</f>
        <v>Matched</v>
      </c>
    </row>
    <row r="1966" customFormat="false" ht="15" hidden="false" customHeight="false" outlineLevel="0" collapsed="false">
      <c r="A1966" s="8" t="s">
        <v>862</v>
      </c>
      <c r="B1966" s="8" t="s">
        <v>202</v>
      </c>
      <c r="C1966" s="19" t="n">
        <v>0</v>
      </c>
      <c r="D1966" s="19" t="n">
        <v>0</v>
      </c>
      <c r="E1966" s="19" t="n">
        <v>6</v>
      </c>
      <c r="F1966" s="19" t="n">
        <v>328.8</v>
      </c>
      <c r="G1966" s="8" t="n">
        <f aca="false">IFERROR(INDEX('TRANS'!$B:$B,MATCH($B1966,'TRANS'!$A:$A,0)),IFERROR(INDEX('TRANS'!$B:$B,MATCH(TRIM(SUBSTITUTE($B1966,CHAR(160)," ")),'TRANS'!$D:$D,0)),IFERROR(INDEX('Catalog'!$A:$A,MATCH($B1966,'Catalog'!$B:$B,0)),IFERROR(INDEX('Catalog'!$A:$A,MATCH(TRIM(SUBSTITUTE($B1966,CHAR(160)," ")),'Catalog'!$C:$C,0)),""))))</f>
        <v>4403043</v>
      </c>
      <c r="H1966" s="8" t="str">
        <f aca="false">IFERROR(INDEX('TRANS'!$C:$C,MATCH($B1966,'TRANS'!$A:$A,0)),IFERROR(INDEX('Catalog'!$B:$B,MATCH($G1966,'Catalog'!$A:$A,0)),$B1966))</f>
        <v>397A-גרבי טיסה אנטי בקטרי43-46</v>
      </c>
      <c r="I1966" s="8" t="str">
        <f aca="false">IF($G1966="","Unmatched","Matched")</f>
        <v>Matched</v>
      </c>
    </row>
    <row r="1967" customFormat="false" ht="15" hidden="false" customHeight="false" outlineLevel="0" collapsed="false">
      <c r="A1967" s="8" t="s">
        <v>862</v>
      </c>
      <c r="B1967" s="8" t="s">
        <v>238</v>
      </c>
      <c r="C1967" s="19" t="n">
        <v>24</v>
      </c>
      <c r="D1967" s="19" t="n">
        <v>435.62</v>
      </c>
      <c r="E1967" s="19" t="n">
        <v>0</v>
      </c>
      <c r="F1967" s="19" t="n">
        <v>0</v>
      </c>
      <c r="G1967" s="8" t="n">
        <f aca="false">IFERROR(INDEX('TRANS'!$B:$B,MATCH($B1967,'TRANS'!$A:$A,0)),IFERROR(INDEX('TRANS'!$B:$B,MATCH(TRIM(SUBSTITUTE($B1967,CHAR(160)," ")),'TRANS'!$D:$D,0)),IFERROR(INDEX('Catalog'!$A:$A,MATCH($B1967,'Catalog'!$B:$B,0)),IFERROR(INDEX('Catalog'!$A:$A,MATCH(TRIM(SUBSTITUTE($B1967,CHAR(160)," ")),'Catalog'!$C:$C,0)),""))))</f>
        <v>4422000</v>
      </c>
      <c r="H1967" s="8" t="str">
        <f aca="false">IFERROR(INDEX('TRANS'!$C:$C,MATCH($B1967,'TRANS'!$A:$A,0)),IFERROR(INDEX('Catalog'!$B:$B,MATCH($G1967,'Catalog'!$A:$A,0)),$B1967))</f>
        <v>801  תחבושת אלסטית מקררת</v>
      </c>
      <c r="I1967" s="8" t="str">
        <f aca="false">IF($G1967="","Unmatched","Matched")</f>
        <v>Matched</v>
      </c>
    </row>
    <row r="1968" customFormat="false" ht="15" hidden="false" customHeight="false" outlineLevel="0" collapsed="false">
      <c r="A1968" s="8" t="s">
        <v>862</v>
      </c>
      <c r="B1968" s="8" t="s">
        <v>281</v>
      </c>
      <c r="C1968" s="19" t="n">
        <v>39</v>
      </c>
      <c r="D1968" s="19" t="n">
        <v>806.26</v>
      </c>
      <c r="E1968" s="19" t="n">
        <v>0</v>
      </c>
      <c r="F1968" s="19" t="n">
        <v>0</v>
      </c>
      <c r="G1968" s="8" t="n">
        <f aca="false">IFERROR(INDEX('TRANS'!$B:$B,MATCH($B1968,'TRANS'!$A:$A,0)),IFERROR(INDEX('TRANS'!$B:$B,MATCH(TRIM(SUBSTITUTE($B1968,CHAR(160)," ")),'TRANS'!$D:$D,0)),IFERROR(INDEX('Catalog'!$A:$A,MATCH($B1968,'Catalog'!$B:$B,0)),IFERROR(INDEX('Catalog'!$A:$A,MATCH(TRIM(SUBSTITUTE($B1968,CHAR(160)," ")),'Catalog'!$C:$C,0)),""))))</f>
        <v>4409004</v>
      </c>
      <c r="H1968" s="8" t="str">
        <f aca="false">IFERROR(INDEX('TRANS'!$C:$C,MATCH($B1968,'TRANS'!$A:$A,0)),IFERROR(INDEX('Catalog'!$B:$B,MATCH($G1968,'Catalog'!$A:$A,0)),$B1968))</f>
        <v>FC335 טלק מעושר באלוורה</v>
      </c>
      <c r="I1968" s="8" t="str">
        <f aca="false">IF($G1968="","Unmatched","Matched")</f>
        <v>Matched</v>
      </c>
    </row>
    <row r="1969" customFormat="false" ht="15" hidden="false" customHeight="false" outlineLevel="0" collapsed="false">
      <c r="A1969" s="8" t="s">
        <v>862</v>
      </c>
      <c r="B1969" s="8" t="s">
        <v>454</v>
      </c>
      <c r="C1969" s="19" t="n">
        <v>11</v>
      </c>
      <c r="D1969" s="19" t="n">
        <v>1246.35</v>
      </c>
      <c r="E1969" s="19" t="n">
        <v>6</v>
      </c>
      <c r="F1969" s="19" t="n">
        <v>870.9</v>
      </c>
      <c r="G1969" s="8" t="n">
        <f aca="false">IFERROR(INDEX('TRANS'!$B:$B,MATCH($B1969,'TRANS'!$A:$A,0)),IFERROR(INDEX('TRANS'!$B:$B,MATCH(TRIM(SUBSTITUTE($B1969,CHAR(160)," ")),'TRANS'!$D:$D,0)),IFERROR(INDEX('Catalog'!$A:$A,MATCH($B1969,'Catalog'!$B:$B,0)),IFERROR(INDEX('Catalog'!$A:$A,MATCH(TRIM(SUBSTITUTE($B1969,CHAR(160)," ")),'Catalog'!$C:$C,0)),""))))</f>
        <v>4408190</v>
      </c>
      <c r="H1969" s="8" t="str">
        <f aca="false">IFERROR(INDEX('TRANS'!$C:$C,MATCH($B1969,'TRANS'!$A:$A,0)),IFERROR(INDEX('Catalog'!$B:$B,MATCH($G1969,'Catalog'!$A:$A,0)),$B1969))</f>
        <v>M078 חגורת גב +סגירה כפולה</v>
      </c>
      <c r="I1969" s="8" t="str">
        <f aca="false">IF($G1969="","Unmatched","Matched")</f>
        <v>Matched</v>
      </c>
    </row>
    <row r="1970" customFormat="false" ht="15" hidden="false" customHeight="false" outlineLevel="0" collapsed="false">
      <c r="A1970" s="8" t="s">
        <v>862</v>
      </c>
      <c r="B1970" s="8" t="s">
        <v>57</v>
      </c>
      <c r="C1970" s="19" t="n">
        <v>8</v>
      </c>
      <c r="D1970" s="19" t="n">
        <v>246.75</v>
      </c>
      <c r="E1970" s="19" t="n">
        <v>16</v>
      </c>
      <c r="F1970" s="19" t="n">
        <v>458.12</v>
      </c>
      <c r="G1970" s="8" t="str">
        <f aca="false">IFERROR(INDEX('TRANS'!$B:$B,MATCH($B1970,'TRANS'!$A:$A,0)),IFERROR(INDEX('TRANS'!$B:$B,MATCH(TRIM(SUBSTITUTE($B1970,CHAR(160)," ")),'TRANS'!$D:$D,0)),IFERROR(INDEX('Catalog'!$A:$A,MATCH($B1970,'Catalog'!$B:$B,0)),IFERROR(INDEX('Catalog'!$A:$A,MATCH(TRIM(SUBSTITUTE($B1970,CHAR(160)," ")),'Catalog'!$C:$C,0)),""))))</f>
        <v/>
      </c>
      <c r="H1970" s="8" t="str">
        <f aca="false">IFERROR(INDEX('TRANS'!$C:$C,MATCH($B1970,'TRANS'!$A:$A,0)),IFERROR(INDEX('Catalog'!$B:$B,MATCH($G1970,'Catalog'!$A:$A,0)),$B1970))</f>
        <v>M93</v>
      </c>
      <c r="I1970" s="8" t="str">
        <f aca="false">IF($G1970="","Unmatched","Matched")</f>
        <v>Unmatched</v>
      </c>
    </row>
    <row r="1971" customFormat="false" ht="15" hidden="false" customHeight="false" outlineLevel="0" collapsed="false">
      <c r="A1971" s="8" t="s">
        <v>862</v>
      </c>
      <c r="B1971" s="8" t="s">
        <v>92</v>
      </c>
      <c r="C1971" s="19" t="n">
        <v>0</v>
      </c>
      <c r="D1971" s="19" t="n">
        <v>0</v>
      </c>
      <c r="E1971" s="19" t="n">
        <v>1</v>
      </c>
      <c r="F1971" s="19" t="n">
        <v>39.8</v>
      </c>
      <c r="G1971" s="8" t="n">
        <f aca="false">IFERROR(INDEX('TRANS'!$B:$B,MATCH($B1971,'TRANS'!$A:$A,0)),IFERROR(INDEX('TRANS'!$B:$B,MATCH(TRIM(SUBSTITUTE($B1971,CHAR(160)," ")),'TRANS'!$D:$D,0)),IFERROR(INDEX('Catalog'!$A:$A,MATCH($B1971,'Catalog'!$B:$B,0)),IFERROR(INDEX('Catalog'!$A:$A,MATCH(TRIM(SUBSTITUTE($B1971,CHAR(160)," ")),'Catalog'!$C:$C,0)),""))))</f>
        <v>4408053</v>
      </c>
      <c r="H1971" s="8" t="str">
        <f aca="false">IFERROR(INDEX('TRANS'!$C:$C,MATCH($B1971,'TRANS'!$A:$A,0)),IFERROR(INDEX('Catalog'!$B:$B,MATCH($G1971,'Catalog'!$A:$A,0)),$B1971))</f>
        <v>21 M  חבק יד ארוך</v>
      </c>
      <c r="I1971" s="8" t="str">
        <f aca="false">IF($G1971="","Unmatched","Matched")</f>
        <v>Matched</v>
      </c>
    </row>
    <row r="1972" customFormat="false" ht="15" hidden="false" customHeight="false" outlineLevel="0" collapsed="false">
      <c r="A1972" s="8" t="s">
        <v>862</v>
      </c>
      <c r="B1972" s="8" t="s">
        <v>501</v>
      </c>
      <c r="C1972" s="19" t="n">
        <v>0</v>
      </c>
      <c r="D1972" s="19" t="n">
        <v>0</v>
      </c>
      <c r="E1972" s="19" t="n">
        <v>1</v>
      </c>
      <c r="F1972" s="19" t="n">
        <v>260</v>
      </c>
      <c r="G1972" s="8" t="n">
        <f aca="false">IFERROR(INDEX('TRANS'!$B:$B,MATCH($B1972,'TRANS'!$A:$A,0)),IFERROR(INDEX('TRANS'!$B:$B,MATCH(TRIM(SUBSTITUTE($B1972,CHAR(160)," ")),'TRANS'!$D:$D,0)),IFERROR(INDEX('Catalog'!$A:$A,MATCH($B1972,'Catalog'!$B:$B,0)),IFERROR(INDEX('Catalog'!$A:$A,MATCH(TRIM(SUBSTITUTE($B1972,CHAR(160)," ")),'Catalog'!$C:$C,0)),""))))</f>
        <v>4408272</v>
      </c>
      <c r="H1972" s="8" t="str">
        <f aca="false">IFERROR(INDEX('TRANS'!$C:$C,MATCH($B1972,'TRANS'!$A:$A,0)),IFERROR(INDEX('Catalog'!$B:$B,MATCH($G1972,'Catalog'!$A:$A,0)),$B1972))</f>
        <v>70N S חגורת פאבליק</v>
      </c>
      <c r="I1972" s="8" t="str">
        <f aca="false">IF($G1972="","Unmatched","Matched")</f>
        <v>Matched</v>
      </c>
    </row>
    <row r="1973" customFormat="false" ht="15" hidden="false" customHeight="false" outlineLevel="0" collapsed="false">
      <c r="A1973" s="8" t="s">
        <v>862</v>
      </c>
      <c r="B1973" s="8" t="s">
        <v>868</v>
      </c>
      <c r="C1973" s="19" t="n">
        <v>0</v>
      </c>
      <c r="D1973" s="19" t="n">
        <v>0</v>
      </c>
      <c r="E1973" s="19" t="n">
        <v>1</v>
      </c>
      <c r="F1973" s="19" t="n">
        <v>421.81</v>
      </c>
      <c r="G1973" s="8" t="str">
        <f aca="false">IFERROR(INDEX('TRANS'!$B:$B,MATCH($B1973,'TRANS'!$A:$A,0)),IFERROR(INDEX('TRANS'!$B:$B,MATCH(TRIM(SUBSTITUTE($B1973,CHAR(160)," ")),'TRANS'!$D:$D,0)),IFERROR(INDEX('Catalog'!$A:$A,MATCH($B1973,'Catalog'!$B:$B,0)),IFERROR(INDEX('Catalog'!$A:$A,MATCH(TRIM(SUBSTITUTE($B1973,CHAR(160)," ")),'Catalog'!$C:$C,0)),""))))</f>
        <v/>
      </c>
      <c r="H1973" s="8" t="str">
        <f aca="false">IFERROR(INDEX('TRANS'!$C:$C,MATCH($B1973,'TRANS'!$A:$A,0)),IFERROR(INDEX('Catalog'!$B:$B,MATCH($G1973,'Catalog'!$A:$A,0)),$B1973))</f>
        <v>בונוסים ללקוחות</v>
      </c>
      <c r="I1973" s="8" t="str">
        <f aca="false">IF($G1973="","Unmatched","Matched")</f>
        <v>Unmatched</v>
      </c>
    </row>
    <row r="1974" customFormat="false" ht="15" hidden="false" customHeight="false" outlineLevel="0" collapsed="false">
      <c r="A1974" s="8" t="s">
        <v>862</v>
      </c>
      <c r="B1974" s="8" t="s">
        <v>335</v>
      </c>
      <c r="C1974" s="19" t="n">
        <v>1</v>
      </c>
      <c r="D1974" s="19" t="n">
        <v>117.13</v>
      </c>
      <c r="E1974" s="19" t="n">
        <v>0</v>
      </c>
      <c r="F1974" s="19" t="n">
        <v>0</v>
      </c>
      <c r="G1974" s="8" t="n">
        <f aca="false">IFERROR(INDEX('TRANS'!$B:$B,MATCH($B1974,'TRANS'!$A:$A,0)),IFERROR(INDEX('TRANS'!$B:$B,MATCH(TRIM(SUBSTITUTE($B1974,CHAR(160)," ")),'TRANS'!$D:$D,0)),IFERROR(INDEX('Catalog'!$A:$A,MATCH($B1974,'Catalog'!$B:$B,0)),IFERROR(INDEX('Catalog'!$A:$A,MATCH(TRIM(SUBSTITUTE($B1974,CHAR(160)," ")),'Catalog'!$C:$C,0)),""))))</f>
        <v>4408221</v>
      </c>
      <c r="H1974" s="8" t="str">
        <f aca="false">IFERROR(INDEX('TRANS'!$C:$C,MATCH($B1974,'TRANS'!$A:$A,0)),IFERROR(INDEX('Catalog'!$B:$B,MATCH($G1974,'Catalog'!$A:$A,0)),$B1974))</f>
        <v>078G-L חגורת גב אפורה</v>
      </c>
      <c r="I1974" s="8" t="str">
        <f aca="false">IF($G1974="","Unmatched","Matched")</f>
        <v>Matched</v>
      </c>
    </row>
    <row r="1975" customFormat="false" ht="15" hidden="false" customHeight="false" outlineLevel="0" collapsed="false">
      <c r="A1975" s="8" t="s">
        <v>862</v>
      </c>
      <c r="B1975" s="8" t="s">
        <v>617</v>
      </c>
      <c r="C1975" s="19" t="n">
        <v>0</v>
      </c>
      <c r="D1975" s="19" t="n">
        <v>0</v>
      </c>
      <c r="E1975" s="19" t="n">
        <v>1</v>
      </c>
      <c r="F1975" s="19" t="n">
        <v>85</v>
      </c>
      <c r="G1975" s="8" t="n">
        <f aca="false">IFERROR(INDEX('TRANS'!$B:$B,MATCH($B1975,'TRANS'!$A:$A,0)),IFERROR(INDEX('TRANS'!$B:$B,MATCH(TRIM(SUBSTITUTE($B1975,CHAR(160)," ")),'TRANS'!$D:$D,0)),IFERROR(INDEX('Catalog'!$A:$A,MATCH($B1975,'Catalog'!$B:$B,0)),IFERROR(INDEX('Catalog'!$A:$A,MATCH(TRIM(SUBSTITUTE($B1975,CHAR(160)," ")),'Catalog'!$C:$C,0)),""))))</f>
        <v>4408034</v>
      </c>
      <c r="H1975" s="8" t="str">
        <f aca="false">IFERROR(INDEX('TRANS'!$C:$C,MATCH($B1975,'TRANS'!$A:$A,0)),IFERROR(INDEX('Catalog'!$B:$B,MATCH($G1975,'Catalog'!$A:$A,0)),$B1975))</f>
        <v>11 XL""""חגורת בטן""""אורירית</v>
      </c>
      <c r="I1975" s="8" t="str">
        <f aca="false">IF($G1975="","Unmatched","Matched")</f>
        <v>Matched</v>
      </c>
    </row>
    <row r="1976" customFormat="false" ht="15" hidden="false" customHeight="false" outlineLevel="0" collapsed="false">
      <c r="A1976" s="8" t="s">
        <v>862</v>
      </c>
      <c r="B1976" s="8" t="s">
        <v>76</v>
      </c>
      <c r="C1976" s="19" t="n">
        <v>0</v>
      </c>
      <c r="D1976" s="19" t="n">
        <v>0</v>
      </c>
      <c r="E1976" s="19" t="n">
        <v>1</v>
      </c>
      <c r="F1976" s="19" t="n">
        <v>130</v>
      </c>
      <c r="G1976" s="8" t="n">
        <f aca="false">IFERROR(INDEX('TRANS'!$B:$B,MATCH($B1976,'TRANS'!$A:$A,0)),IFERROR(INDEX('TRANS'!$B:$B,MATCH(TRIM(SUBSTITUTE($B1976,CHAR(160)," ")),'TRANS'!$D:$D,0)),IFERROR(INDEX('Catalog'!$A:$A,MATCH($B1976,'Catalog'!$B:$B,0)),IFERROR(INDEX('Catalog'!$A:$A,MATCH(TRIM(SUBSTITUTE($B1976,CHAR(160)," ")),'Catalog'!$C:$C,0)),""))))</f>
        <v>4408154</v>
      </c>
      <c r="H1976" s="8" t="str">
        <f aca="false">IFERROR(INDEX('TRANS'!$C:$C,MATCH($B1976,'TRANS'!$A:$A,0)),IFERROR(INDEX('Catalog'!$B:$B,MATCH($G1976,'Catalog'!$A:$A,0)),$B1976))</f>
        <v>11TO XXLחגורה למנותחי בית החזה</v>
      </c>
      <c r="I1976" s="8" t="str">
        <f aca="false">IF($G1976="","Unmatched","Matched")</f>
        <v>Matched</v>
      </c>
    </row>
    <row r="1977" customFormat="false" ht="15" hidden="false" customHeight="false" outlineLevel="0" collapsed="false">
      <c r="A1977" s="8" t="s">
        <v>862</v>
      </c>
      <c r="B1977" s="8" t="s">
        <v>710</v>
      </c>
      <c r="C1977" s="19" t="n">
        <v>0</v>
      </c>
      <c r="D1977" s="19" t="n">
        <v>0</v>
      </c>
      <c r="E1977" s="19" t="n">
        <v>1</v>
      </c>
      <c r="F1977" s="19" t="n">
        <v>90</v>
      </c>
      <c r="G1977" s="8" t="n">
        <f aca="false">IFERROR(INDEX('TRANS'!$B:$B,MATCH($B1977,'TRANS'!$A:$A,0)),IFERROR(INDEX('TRANS'!$B:$B,MATCH(TRIM(SUBSTITUTE($B1977,CHAR(160)," ")),'TRANS'!$D:$D,0)),IFERROR(INDEX('Catalog'!$A:$A,MATCH($B1977,'Catalog'!$B:$B,0)),IFERROR(INDEX('Catalog'!$A:$A,MATCH(TRIM(SUBSTITUTE($B1977,CHAR(160)," ")),'Catalog'!$C:$C,0)),""))))</f>
        <v>4408232</v>
      </c>
      <c r="H1977" s="8" t="str">
        <f aca="false">IFERROR(INDEX('TRANS'!$C:$C,MATCH($B1977,'TRANS'!$A:$A,0)),IFERROR(INDEX('Catalog'!$B:$B,MATCH($G1977,'Catalog'!$A:$A,0)),$B1977))</f>
        <v>16 XXL חגורת הריון</v>
      </c>
      <c r="I1977" s="8" t="str">
        <f aca="false">IF($G1977="","Unmatched","Matched")</f>
        <v>Matched</v>
      </c>
    </row>
    <row r="1978" customFormat="false" ht="15" hidden="false" customHeight="false" outlineLevel="0" collapsed="false">
      <c r="A1978" s="8" t="s">
        <v>862</v>
      </c>
      <c r="B1978" s="8" t="s">
        <v>138</v>
      </c>
      <c r="C1978" s="19" t="n">
        <v>1</v>
      </c>
      <c r="D1978" s="19" t="n">
        <v>30.89</v>
      </c>
      <c r="E1978" s="19" t="n">
        <v>0</v>
      </c>
      <c r="F1978" s="19" t="n">
        <v>0</v>
      </c>
      <c r="G1978" s="8" t="n">
        <f aca="false">IFERROR(INDEX('TRANS'!$B:$B,MATCH($B1978,'TRANS'!$A:$A,0)),IFERROR(INDEX('TRANS'!$B:$B,MATCH(TRIM(SUBSTITUTE($B1978,CHAR(160)," ")),'TRANS'!$D:$D,0)),IFERROR(INDEX('Catalog'!$A:$A,MATCH($B1978,'Catalog'!$B:$B,0)),IFERROR(INDEX('Catalog'!$A:$A,MATCH(TRIM(SUBSTITUTE($B1978,CHAR(160)," ")),'Catalog'!$C:$C,0)),""))))</f>
        <v>4413491</v>
      </c>
      <c r="H1978" s="8" t="str">
        <f aca="false">IFERROR(INDEX('TRANS'!$C:$C,MATCH($B1978,'TRANS'!$A:$A,0)),IFERROR(INDEX('Catalog'!$B:$B,MATCH($G1978,'Catalog'!$A:$A,0)),$B1978))</f>
        <v>35B XL מגן קרסול שחור</v>
      </c>
      <c r="I1978" s="8" t="str">
        <f aca="false">IF($G1978="","Unmatched","Matched")</f>
        <v>Matched</v>
      </c>
    </row>
    <row r="1979" customFormat="false" ht="15" hidden="false" customHeight="false" outlineLevel="0" collapsed="false">
      <c r="A1979" s="8" t="s">
        <v>862</v>
      </c>
      <c r="B1979" s="8" t="s">
        <v>162</v>
      </c>
      <c r="C1979" s="19" t="n">
        <v>2</v>
      </c>
      <c r="D1979" s="19" t="n">
        <v>60.84</v>
      </c>
      <c r="E1979" s="19" t="n">
        <v>0</v>
      </c>
      <c r="F1979" s="19" t="n">
        <v>0</v>
      </c>
      <c r="G1979" s="8" t="n">
        <f aca="false">IFERROR(INDEX('TRANS'!$B:$B,MATCH($B1979,'TRANS'!$A:$A,0)),IFERROR(INDEX('TRANS'!$B:$B,MATCH(TRIM(SUBSTITUTE($B1979,CHAR(160)," ")),'TRANS'!$D:$D,0)),IFERROR(INDEX('Catalog'!$A:$A,MATCH($B1979,'Catalog'!$B:$B,0)),IFERROR(INDEX('Catalog'!$A:$A,MATCH(TRIM(SUBSTITUTE($B1979,CHAR(160)," ")),'Catalog'!$C:$C,0)),""))))</f>
        <v>4413371</v>
      </c>
      <c r="H1979" s="8" t="str">
        <f aca="false">IFERROR(INDEX('TRANS'!$C:$C,MATCH($B1979,'TRANS'!$A:$A,0)),IFERROR(INDEX('Catalog'!$B:$B,MATCH($G1979,'Catalog'!$A:$A,0)),$B1979))</f>
        <v>3675    מגן זרת מסיליקון</v>
      </c>
      <c r="I1979" s="8" t="str">
        <f aca="false">IF($G1979="","Unmatched","Matched")</f>
        <v>Matched</v>
      </c>
    </row>
    <row r="1980" customFormat="false" ht="15" hidden="false" customHeight="false" outlineLevel="0" collapsed="false">
      <c r="A1980" s="8" t="s">
        <v>862</v>
      </c>
      <c r="B1980" s="8" t="s">
        <v>794</v>
      </c>
      <c r="C1980" s="19" t="n">
        <v>0</v>
      </c>
      <c r="D1980" s="19" t="n">
        <v>0</v>
      </c>
      <c r="E1980" s="19" t="n">
        <v>1</v>
      </c>
      <c r="F1980" s="19" t="n">
        <v>126.51</v>
      </c>
      <c r="G1980" s="8" t="n">
        <f aca="false">IFERROR(INDEX('TRANS'!$B:$B,MATCH($B1980,'TRANS'!$A:$A,0)),IFERROR(INDEX('TRANS'!$B:$B,MATCH(TRIM(SUBSTITUTE($B1980,CHAR(160)," ")),'TRANS'!$D:$D,0)),IFERROR(INDEX('Catalog'!$A:$A,MATCH($B1980,'Catalog'!$B:$B,0)),IFERROR(INDEX('Catalog'!$A:$A,MATCH(TRIM(SUBSTITUTE($B1980,CHAR(160)," ")),'Catalog'!$C:$C,0)),""))))</f>
        <v>4413074</v>
      </c>
      <c r="H1980" s="8" t="str">
        <f aca="false">IFERROR(INDEX('TRANS'!$C:$C,MATCH($B1980,'TRANS'!$A:$A,0)),IFERROR(INDEX('Catalog'!$B:$B,MATCH($G1980,'Catalog'!$A:$A,0)),$B1980))</f>
        <v>41  XL.מ.ברך מוצלב+ספירלות בצד</v>
      </c>
      <c r="I1980" s="8" t="str">
        <f aca="false">IF($G1980="","Unmatched","Matched")</f>
        <v>Matched</v>
      </c>
    </row>
    <row r="1981" customFormat="false" ht="15" hidden="false" customHeight="false" outlineLevel="0" collapsed="false">
      <c r="A1981" s="8" t="s">
        <v>862</v>
      </c>
      <c r="B1981" s="8" t="s">
        <v>207</v>
      </c>
      <c r="C1981" s="19" t="n">
        <v>1</v>
      </c>
      <c r="D1981" s="19" t="n">
        <v>30.89</v>
      </c>
      <c r="E1981" s="19" t="n">
        <v>0</v>
      </c>
      <c r="F1981" s="19" t="n">
        <v>0</v>
      </c>
      <c r="G1981" s="8" t="n">
        <f aca="false">IFERROR(INDEX('TRANS'!$B:$B,MATCH($B1981,'TRANS'!$A:$A,0)),IFERROR(INDEX('TRANS'!$B:$B,MATCH(TRIM(SUBSTITUTE($B1981,CHAR(160)," ")),'TRANS'!$D:$D,0)),IFERROR(INDEX('Catalog'!$A:$A,MATCH($B1981,'Catalog'!$B:$B,0)),IFERROR(INDEX('Catalog'!$A:$A,MATCH(TRIM(SUBSTITUTE($B1981,CHAR(160)," ")),'Catalog'!$C:$C,0)),""))))</f>
        <v>4413095</v>
      </c>
      <c r="H1981" s="8" t="str">
        <f aca="false">IFERROR(INDEX('TRANS'!$C:$C,MATCH($B1981,'TRANS'!$A:$A,0)),IFERROR(INDEX('Catalog'!$B:$B,MATCH($G1981,'Catalog'!$A:$A,0)),$B1981))</f>
        <v>45 XL מגן ברך לבן</v>
      </c>
      <c r="I1981" s="8" t="str">
        <f aca="false">IF($G1981="","Unmatched","Matched")</f>
        <v>Matched</v>
      </c>
    </row>
    <row r="1982" customFormat="false" ht="15" hidden="false" customHeight="false" outlineLevel="0" collapsed="false">
      <c r="A1982" s="8" t="s">
        <v>862</v>
      </c>
      <c r="B1982" s="8" t="s">
        <v>217</v>
      </c>
      <c r="C1982" s="19" t="n">
        <v>1</v>
      </c>
      <c r="D1982" s="19" t="n">
        <v>37.45</v>
      </c>
      <c r="E1982" s="19" t="n">
        <v>0</v>
      </c>
      <c r="F1982" s="19" t="n">
        <v>0</v>
      </c>
      <c r="G1982" s="8" t="n">
        <f aca="false">IFERROR(INDEX('TRANS'!$B:$B,MATCH($B1982,'TRANS'!$A:$A,0)),IFERROR(INDEX('TRANS'!$B:$B,MATCH(TRIM(SUBSTITUTE($B1982,CHAR(160)," ")),'TRANS'!$D:$D,0)),IFERROR(INDEX('Catalog'!$A:$A,MATCH($B1982,'Catalog'!$B:$B,0)),IFERROR(INDEX('Catalog'!$A:$A,MATCH(TRIM(SUBSTITUTE($B1982,CHAR(160)," ")),'Catalog'!$C:$C,0)),""))))</f>
        <v>4413105</v>
      </c>
      <c r="H1982" s="8" t="str">
        <f aca="false">IFERROR(INDEX('TRANS'!$C:$C,MATCH($B1982,'TRANS'!$A:$A,0)),IFERROR(INDEX('Catalog'!$B:$B,MATCH($G1982,'Catalog'!$A:$A,0)),$B1982))</f>
        <v>45E XXLמגן ברך ארוך לבן</v>
      </c>
      <c r="I1982" s="8" t="str">
        <f aca="false">IF($G1982="","Unmatched","Matched")</f>
        <v>Matched</v>
      </c>
    </row>
    <row r="1983" customFormat="false" ht="15" hidden="false" customHeight="false" outlineLevel="0" collapsed="false">
      <c r="A1983" s="8" t="s">
        <v>862</v>
      </c>
      <c r="B1983" s="8" t="s">
        <v>221</v>
      </c>
      <c r="C1983" s="19" t="n">
        <v>2</v>
      </c>
      <c r="D1983" s="19" t="n">
        <v>74.91</v>
      </c>
      <c r="E1983" s="19" t="n">
        <v>0</v>
      </c>
      <c r="F1983" s="19" t="n">
        <v>0</v>
      </c>
      <c r="G1983" s="8" t="n">
        <f aca="false">IFERROR(INDEX('TRANS'!$B:$B,MATCH($B1983,'TRANS'!$A:$A,0)),IFERROR(INDEX('TRANS'!$B:$B,MATCH(TRIM(SUBSTITUTE($B1983,CHAR(160)," ")),'TRANS'!$D:$D,0)),IFERROR(INDEX('Catalog'!$A:$A,MATCH($B1983,'Catalog'!$B:$B,0)),IFERROR(INDEX('Catalog'!$A:$A,MATCH(TRIM(SUBSTITUTE($B1983,CHAR(160)," ")),'Catalog'!$C:$C,0)),""))))</f>
        <v>4413398</v>
      </c>
      <c r="H1983" s="8" t="str">
        <f aca="false">IFERROR(INDEX('TRANS'!$C:$C,MATCH($B1983,'TRANS'!$A:$A,0)),IFERROR(INDEX('Catalog'!$B:$B,MATCH($G1983,'Catalog'!$A:$A,0)),$B1983))</f>
        <v>45EC XXL'מגן ברך ארוך בז</v>
      </c>
      <c r="I1983" s="8" t="str">
        <f aca="false">IF($G1983="","Unmatched","Matched")</f>
        <v>Matched</v>
      </c>
    </row>
    <row r="1984" customFormat="false" ht="15" hidden="false" customHeight="false" outlineLevel="0" collapsed="false">
      <c r="A1984" s="8" t="s">
        <v>862</v>
      </c>
      <c r="B1984" s="8" t="s">
        <v>222</v>
      </c>
      <c r="C1984" s="19" t="n">
        <v>2</v>
      </c>
      <c r="D1984" s="19" t="n">
        <v>113.34</v>
      </c>
      <c r="E1984" s="19" t="n">
        <v>0</v>
      </c>
      <c r="F1984" s="19" t="n">
        <v>0</v>
      </c>
      <c r="G1984" s="8" t="str">
        <f aca="false">IFERROR(INDEX('TRANS'!$B:$B,MATCH($B1984,'TRANS'!$A:$A,0)),IFERROR(INDEX('TRANS'!$B:$B,MATCH(TRIM(SUBSTITUTE($B1984,CHAR(160)," ")),'TRANS'!$D:$D,0)),IFERROR(INDEX('Catalog'!$A:$A,MATCH($B1984,'Catalog'!$B:$B,0)),IFERROR(INDEX('Catalog'!$A:$A,MATCH(TRIM(SUBSTITUTE($B1984,CHAR(160)," ")),'Catalog'!$C:$C,0)),""))))</f>
        <v/>
      </c>
      <c r="H1984" s="8" t="str">
        <f aca="false">IFERROR(INDEX('TRANS'!$C:$C,MATCH($B1984,'TRANS'!$A:$A,0)),IFERROR(INDEX('Catalog'!$B:$B,MATCH($G1984,'Catalog'!$A:$A,0)),$B1984))</f>
        <v>48 XXL</v>
      </c>
      <c r="I1984" s="8" t="str">
        <f aca="false">IF($G1984="","Unmatched","Matched")</f>
        <v>Unmatched</v>
      </c>
    </row>
    <row r="1985" customFormat="false" ht="15" hidden="false" customHeight="false" outlineLevel="0" collapsed="false">
      <c r="A1985" s="8" t="s">
        <v>862</v>
      </c>
      <c r="B1985" s="8" t="s">
        <v>679</v>
      </c>
      <c r="C1985" s="19" t="n">
        <v>0</v>
      </c>
      <c r="D1985" s="19" t="n">
        <v>0</v>
      </c>
      <c r="E1985" s="19" t="n">
        <v>1</v>
      </c>
      <c r="F1985" s="19" t="n">
        <v>111.04</v>
      </c>
      <c r="G1985" s="8" t="n">
        <f aca="false">IFERROR(INDEX('TRANS'!$B:$B,MATCH($B1985,'TRANS'!$A:$A,0)),IFERROR(INDEX('TRANS'!$B:$B,MATCH(TRIM(SUBSTITUTE($B1985,CHAR(160)," ")),'TRANS'!$D:$D,0)),IFERROR(INDEX('Catalog'!$A:$A,MATCH($B1985,'Catalog'!$B:$B,0)),IFERROR(INDEX('Catalog'!$A:$A,MATCH(TRIM(SUBSTITUTE($B1985,CHAR(160)," ")),'Catalog'!$C:$C,0)),""))))</f>
        <v>4413118</v>
      </c>
      <c r="H1985" s="8" t="str">
        <f aca="false">IFERROR(INDEX('TRANS'!$C:$C,MATCH($B1985,'TRANS'!$A:$A,0)),IFERROR(INDEX('Catalog'!$B:$B,MATCH($G1985,'Catalog'!$A:$A,0)),$B1985))</f>
        <v>50 M מתלה אשכים לאחר ניתוח</v>
      </c>
      <c r="I1985" s="8" t="str">
        <f aca="false">IF($G1985="","Unmatched","Matched")</f>
        <v>Matched</v>
      </c>
    </row>
    <row r="1986" customFormat="false" ht="15" hidden="false" customHeight="false" outlineLevel="0" collapsed="false">
      <c r="A1986" s="8" t="s">
        <v>862</v>
      </c>
      <c r="B1986" s="8" t="s">
        <v>231</v>
      </c>
      <c r="C1986" s="19" t="n">
        <v>12</v>
      </c>
      <c r="D1986" s="19" t="n">
        <v>1554.98</v>
      </c>
      <c r="E1986" s="19" t="n">
        <v>1</v>
      </c>
      <c r="F1986" s="19" t="n">
        <v>222.13</v>
      </c>
      <c r="G1986" s="8" t="str">
        <f aca="false">IFERROR(INDEX('TRANS'!$B:$B,MATCH($B1986,'TRANS'!$A:$A,0)),IFERROR(INDEX('TRANS'!$B:$B,MATCH(TRIM(SUBSTITUTE($B1986,CHAR(160)," ")),'TRANS'!$D:$D,0)),IFERROR(INDEX('Catalog'!$A:$A,MATCH($B1986,'Catalog'!$B:$B,0)),IFERROR(INDEX('Catalog'!$A:$A,MATCH(TRIM(SUBSTITUTE($B1986,CHAR(160)," ")),'Catalog'!$C:$C,0)),""))))</f>
        <v/>
      </c>
      <c r="H1986" s="8" t="str">
        <f aca="false">IFERROR(INDEX('TRANS'!$C:$C,MATCH($B1986,'TRANS'!$A:$A,0)),IFERROR(INDEX('Catalog'!$B:$B,MATCH($G1986,'Catalog'!$A:$A,0)),$B1986))</f>
        <v>67 0</v>
      </c>
      <c r="I1986" s="8" t="str">
        <f aca="false">IF($G1986="","Unmatched","Matched")</f>
        <v>Unmatched</v>
      </c>
    </row>
    <row r="1987" customFormat="false" ht="15" hidden="false" customHeight="false" outlineLevel="0" collapsed="false">
      <c r="A1987" s="8" t="s">
        <v>862</v>
      </c>
      <c r="B1987" s="8" t="s">
        <v>503</v>
      </c>
      <c r="C1987" s="19" t="n">
        <v>0</v>
      </c>
      <c r="D1987" s="19" t="n">
        <v>0</v>
      </c>
      <c r="E1987" s="19" t="n">
        <v>1</v>
      </c>
      <c r="F1987" s="19" t="n">
        <v>17.3</v>
      </c>
      <c r="G1987" s="8" t="n">
        <f aca="false">IFERROR(INDEX('TRANS'!$B:$B,MATCH($B1987,'TRANS'!$A:$A,0)),IFERROR(INDEX('TRANS'!$B:$B,MATCH(TRIM(SUBSTITUTE($B1987,CHAR(160)," ")),'TRANS'!$D:$D,0)),IFERROR(INDEX('Catalog'!$A:$A,MATCH($B1987,'Catalog'!$B:$B,0)),IFERROR(INDEX('Catalog'!$A:$A,MATCH(TRIM(SUBSTITUTE($B1987,CHAR(160)," ")),'Catalog'!$C:$C,0)),""))))</f>
        <v>4401013</v>
      </c>
      <c r="H1987" s="8" t="str">
        <f aca="false">IFERROR(INDEX('TRANS'!$C:$C,MATCH($B1987,'TRANS'!$A:$A,0)),IFERROR(INDEX('Catalog'!$B:$B,MATCH($G1987,'Catalog'!$A:$A,0)),$B1987))</f>
        <v>805AT-BLאתלטיק טייפ כחול 20מ""""מ</v>
      </c>
      <c r="I1987" s="8" t="str">
        <f aca="false">IF($G1987="","Unmatched","Matched")</f>
        <v>Matched</v>
      </c>
    </row>
    <row r="1988" customFormat="false" ht="15" hidden="false" customHeight="false" outlineLevel="0" collapsed="false">
      <c r="A1988" s="8" t="s">
        <v>862</v>
      </c>
      <c r="B1988" s="8" t="s">
        <v>249</v>
      </c>
      <c r="C1988" s="19" t="n">
        <v>0</v>
      </c>
      <c r="D1988" s="19" t="n">
        <v>0</v>
      </c>
      <c r="E1988" s="19" t="n">
        <v>1</v>
      </c>
      <c r="F1988" s="19" t="n">
        <v>47.3</v>
      </c>
      <c r="G1988" s="8" t="n">
        <f aca="false">IFERROR(INDEX('TRANS'!$B:$B,MATCH($B1988,'TRANS'!$A:$A,0)),IFERROR(INDEX('TRANS'!$B:$B,MATCH(TRIM(SUBSTITUTE($B1988,CHAR(160)," ")),'TRANS'!$D:$D,0)),IFERROR(INDEX('Catalog'!$A:$A,MATCH($B1988,'Catalog'!$B:$B,0)),IFERROR(INDEX('Catalog'!$A:$A,MATCH(TRIM(SUBSTITUTE($B1988,CHAR(160)," ")),'Catalog'!$C:$C,0)),""))))</f>
        <v>4411015</v>
      </c>
      <c r="H1988" s="8" t="str">
        <f aca="false">IFERROR(INDEX('TRANS'!$C:$C,MATCH($B1988,'TRANS'!$A:$A,0)),IFERROR(INDEX('Catalog'!$B:$B,MATCH($G1988,'Catalog'!$A:$A,0)),$B1988))</f>
        <v>820 0 כרית חום וקור</v>
      </c>
      <c r="I1988" s="8" t="str">
        <f aca="false">IF($G1988="","Unmatched","Matched")</f>
        <v>Matched</v>
      </c>
    </row>
    <row r="1989" customFormat="false" ht="15" hidden="false" customHeight="false" outlineLevel="0" collapsed="false">
      <c r="A1989" s="8" t="s">
        <v>862</v>
      </c>
      <c r="B1989" s="8" t="s">
        <v>309</v>
      </c>
      <c r="C1989" s="19" t="n">
        <v>1</v>
      </c>
      <c r="D1989" s="19" t="n">
        <v>65</v>
      </c>
      <c r="E1989" s="19" t="n">
        <v>3</v>
      </c>
      <c r="F1989" s="19" t="n">
        <v>195</v>
      </c>
      <c r="G1989" s="8" t="n">
        <f aca="false">IFERROR(INDEX('TRANS'!$B:$B,MATCH($B1989,'TRANS'!$A:$A,0)),IFERROR(INDEX('TRANS'!$B:$B,MATCH(TRIM(SUBSTITUTE($B1989,CHAR(160)," ")),'TRANS'!$D:$D,0)),IFERROR(INDEX('Catalog'!$A:$A,MATCH($B1989,'Catalog'!$B:$B,0)),IFERROR(INDEX('Catalog'!$A:$A,MATCH(TRIM(SUBSTITUTE($B1989,CHAR(160)," ")),'Catalog'!$C:$C,0)),""))))</f>
        <v>4403035</v>
      </c>
      <c r="H1989" s="8" t="str">
        <f aca="false">IFERROR(INDEX('TRANS'!$C:$C,MATCH($B1989,'TRANS'!$A:$A,0)),IFERROR(INDEX('Catalog'!$B:$B,MATCH($G1989,'Catalog'!$A:$A,0)),$B1989))</f>
        <v>ST3555L-XLגרב לילה לטיפ.בדורבן</v>
      </c>
      <c r="I1989" s="8" t="str">
        <f aca="false">IF($G1989="","Unmatched","Matched")</f>
        <v>Matched</v>
      </c>
    </row>
    <row r="1990" customFormat="false" ht="15" hidden="false" customHeight="false" outlineLevel="0" collapsed="false">
      <c r="A1990" s="8" t="s">
        <v>862</v>
      </c>
      <c r="B1990" s="8" t="s">
        <v>690</v>
      </c>
      <c r="C1990" s="19" t="n">
        <v>0</v>
      </c>
      <c r="D1990" s="19" t="n">
        <v>0</v>
      </c>
      <c r="E1990" s="19" t="n">
        <v>1</v>
      </c>
      <c r="F1990" s="19" t="n">
        <v>94.64</v>
      </c>
      <c r="G1990" s="8" t="n">
        <f aca="false">IFERROR(INDEX('TRANS'!$B:$B,MATCH($B1990,'TRANS'!$A:$A,0)),IFERROR(INDEX('TRANS'!$B:$B,MATCH(TRIM(SUBSTITUTE($B1990,CHAR(160)," ")),'TRANS'!$D:$D,0)),IFERROR(INDEX('Catalog'!$A:$A,MATCH($B1990,'Catalog'!$B:$B,0)),IFERROR(INDEX('Catalog'!$A:$A,MATCH(TRIM(SUBSTITUTE($B1990,CHAR(160)," ")),'Catalog'!$C:$C,0)),""))))</f>
        <v>4408090</v>
      </c>
      <c r="H1990" s="8" t="str">
        <f aca="false">IFERROR(INDEX('TRANS'!$C:$C,MATCH($B1990,'TRANS'!$A:$A,0)),IFERROR(INDEX('Catalog'!$B:$B,MATCH($G1990,'Catalog'!$A:$A,0)),$B1990))</f>
        <v>T11C L  חגורת גב פוג'יאמה</v>
      </c>
      <c r="I1990" s="8" t="str">
        <f aca="false">IF($G1990="","Unmatched","Matched")</f>
        <v>Matched</v>
      </c>
    </row>
    <row r="1991" customFormat="false" ht="15" hidden="false" customHeight="false" outlineLevel="0" collapsed="false">
      <c r="A1991" s="8" t="s">
        <v>862</v>
      </c>
      <c r="B1991" s="8" t="s">
        <v>444</v>
      </c>
      <c r="C1991" s="19" t="n">
        <v>0</v>
      </c>
      <c r="D1991" s="19" t="n">
        <v>0</v>
      </c>
      <c r="E1991" s="19" t="n">
        <v>2</v>
      </c>
      <c r="F1991" s="19" t="n">
        <v>215.52</v>
      </c>
      <c r="G1991" s="8" t="str">
        <f aca="false">IFERROR(INDEX('TRANS'!$B:$B,MATCH($B1991,'TRANS'!$A:$A,0)),IFERROR(INDEX('TRANS'!$B:$B,MATCH(TRIM(SUBSTITUTE($B1991,CHAR(160)," ")),'TRANS'!$D:$D,0)),IFERROR(INDEX('Catalog'!$A:$A,MATCH($B1991,'Catalog'!$B:$B,0)),IFERROR(INDEX('Catalog'!$A:$A,MATCH(TRIM(SUBSTITUTE($B1991,CHAR(160)," ")),'Catalog'!$C:$C,0)),""))))</f>
        <v/>
      </c>
      <c r="H1991" s="8" t="str">
        <f aca="false">IFERROR(INDEX('TRANS'!$C:$C,MATCH($B1991,'TRANS'!$A:$A,0)),IFERROR(INDEX('Catalog'!$B:$B,MATCH($G1991,'Catalog'!$A:$A,0)),$B1991))</f>
        <v>T39 M</v>
      </c>
      <c r="I1991" s="8" t="str">
        <f aca="false">IF($G1991="","Unmatched","Matched")</f>
        <v>Unmatched</v>
      </c>
    </row>
    <row r="1992" customFormat="false" ht="15" hidden="false" customHeight="false" outlineLevel="0" collapsed="false">
      <c r="A1992" s="8" t="s">
        <v>862</v>
      </c>
      <c r="B1992" s="8" t="s">
        <v>453</v>
      </c>
      <c r="C1992" s="19" t="n">
        <v>2</v>
      </c>
      <c r="D1992" s="19" t="n">
        <v>189.27</v>
      </c>
      <c r="E1992" s="19" t="n">
        <v>0</v>
      </c>
      <c r="F1992" s="19" t="n">
        <v>0</v>
      </c>
      <c r="G1992" s="8" t="str">
        <f aca="false">IFERROR(INDEX('TRANS'!$B:$B,MATCH($B1992,'TRANS'!$A:$A,0)),IFERROR(INDEX('TRANS'!$B:$B,MATCH(TRIM(SUBSTITUTE($B1992,CHAR(160)," ")),'TRANS'!$D:$D,0)),IFERROR(INDEX('Catalog'!$A:$A,MATCH($B1992,'Catalog'!$B:$B,0)),IFERROR(INDEX('Catalog'!$A:$A,MATCH(TRIM(SUBSTITUTE($B1992,CHAR(160)," ")),'Catalog'!$C:$C,0)),""))))</f>
        <v/>
      </c>
      <c r="H1992" s="8" t="str">
        <f aca="false">IFERROR(INDEX('TRANS'!$C:$C,MATCH($B1992,'TRANS'!$A:$A,0)),IFERROR(INDEX('Catalog'!$B:$B,MATCH($G1992,'Catalog'!$A:$A,0)),$B1992))</f>
        <v>T95 L</v>
      </c>
      <c r="I1992" s="8" t="str">
        <f aca="false">IF($G1992="","Unmatched","Matched")</f>
        <v>Unmatched</v>
      </c>
    </row>
    <row r="1993" customFormat="false" ht="15" hidden="false" customHeight="false" outlineLevel="0" collapsed="false">
      <c r="A1993" s="8" t="s">
        <v>862</v>
      </c>
      <c r="B1993" s="8" t="s">
        <v>289</v>
      </c>
      <c r="C1993" s="19" t="n">
        <v>12</v>
      </c>
      <c r="D1993" s="19" t="n">
        <v>300.06</v>
      </c>
      <c r="E1993" s="19" t="n">
        <v>0</v>
      </c>
      <c r="F1993" s="19" t="n">
        <v>0</v>
      </c>
      <c r="G1993" s="8" t="n">
        <f aca="false">IFERROR(INDEX('TRANS'!$B:$B,MATCH($B1993,'TRANS'!$A:$A,0)),IFERROR(INDEX('TRANS'!$B:$B,MATCH(TRIM(SUBSTITUTE($B1993,CHAR(160)," ")),'TRANS'!$D:$D,0)),IFERROR(INDEX('Catalog'!$A:$A,MATCH($B1993,'Catalog'!$B:$B,0)),IFERROR(INDEX('Catalog'!$A:$A,MATCH(TRIM(SUBSTITUTE($B1993,CHAR(160)," ")),'Catalog'!$C:$C,0)),""))))</f>
        <v>4417000</v>
      </c>
      <c r="H1993" s="8" t="str">
        <f aca="false">IFERROR(INDEX('TRANS'!$C:$C,MATCH($B1993,'TRANS'!$A:$A,0)),IFERROR(INDEX('Catalog'!$B:$B,MATCH($G1993,'Catalog'!$A:$A,0)),$B1993))</f>
        <v>PD342-פומפיה להסרת עור קשה</v>
      </c>
      <c r="I1993" s="8" t="str">
        <f aca="false">IF($G1993="","Unmatched","Matched")</f>
        <v>Matched</v>
      </c>
    </row>
    <row r="1994" customFormat="false" ht="15" hidden="false" customHeight="false" outlineLevel="0" collapsed="false">
      <c r="A1994" s="8" t="s">
        <v>862</v>
      </c>
      <c r="B1994" s="8" t="s">
        <v>279</v>
      </c>
      <c r="C1994" s="19" t="n">
        <v>3</v>
      </c>
      <c r="D1994" s="19" t="n">
        <v>42.05</v>
      </c>
      <c r="E1994" s="19" t="n">
        <v>0</v>
      </c>
      <c r="F1994" s="19" t="n">
        <v>0</v>
      </c>
      <c r="G1994" s="8" t="n">
        <f aca="false">IFERROR(INDEX('TRANS'!$B:$B,MATCH($B1994,'TRANS'!$A:$A,0)),IFERROR(INDEX('TRANS'!$B:$B,MATCH(TRIM(SUBSTITUTE($B1994,CHAR(160)," ")),'TRANS'!$D:$D,0)),IFERROR(INDEX('Catalog'!$A:$A,MATCH($B1994,'Catalog'!$B:$B,0)),IFERROR(INDEX('Catalog'!$A:$A,MATCH(TRIM(SUBSTITUTE($B1994,CHAR(160)," ")),'Catalog'!$C:$C,0)),""))))</f>
        <v>4413149</v>
      </c>
      <c r="H1994" s="8" t="str">
        <f aca="false">IFERROR(INDEX('TRANS'!$C:$C,MATCH($B1994,'TRANS'!$A:$A,0)),IFERROR(INDEX('Catalog'!$B:$B,MATCH($G1994,'Catalog'!$A:$A,0)),$B1994))</f>
        <v>FC321-מלח אמבט לכף הרגל</v>
      </c>
      <c r="I1994" s="8" t="str">
        <f aca="false">IF($G1994="","Unmatched","Matched")</f>
        <v>Matched</v>
      </c>
    </row>
    <row r="1995" customFormat="false" ht="15" hidden="false" customHeight="false" outlineLevel="0" collapsed="false">
      <c r="A1995" s="8" t="s">
        <v>862</v>
      </c>
      <c r="B1995" s="8" t="s">
        <v>283</v>
      </c>
      <c r="C1995" s="19" t="n">
        <v>6</v>
      </c>
      <c r="D1995" s="19" t="n">
        <v>182.6</v>
      </c>
      <c r="E1995" s="19" t="n">
        <v>0</v>
      </c>
      <c r="F1995" s="19" t="n">
        <v>0</v>
      </c>
      <c r="G1995" s="8" t="n">
        <f aca="false">IFERROR(INDEX('TRANS'!$B:$B,MATCH($B1995,'TRANS'!$A:$A,0)),IFERROR(INDEX('TRANS'!$B:$B,MATCH(TRIM(SUBSTITUTE($B1995,CHAR(160)," ")),'TRANS'!$D:$D,0)),IFERROR(INDEX('Catalog'!$A:$A,MATCH($B1995,'Catalog'!$B:$B,0)),IFERROR(INDEX('Catalog'!$A:$A,MATCH(TRIM(SUBSTITUTE($B1995,CHAR(160)," ")),'Catalog'!$C:$C,0)),""))))</f>
        <v>4414000</v>
      </c>
      <c r="H1995" s="8" t="str">
        <f aca="false">IFERROR(INDEX('TRANS'!$C:$C,MATCH($B1995,'TRANS'!$A:$A,0)),IFERROR(INDEX('Catalog'!$B:$B,MATCH($G1995,'Catalog'!$A:$A,0)),$B1995))</f>
        <v>FC342-נוזל לציפורן חודרנית</v>
      </c>
      <c r="I1995" s="8" t="str">
        <f aca="false">IF($G1995="","Unmatched","Matched")</f>
        <v>Matched</v>
      </c>
    </row>
    <row r="1996" customFormat="false" ht="15" hidden="false" customHeight="false" outlineLevel="0" collapsed="false">
      <c r="A1996" s="8" t="s">
        <v>8</v>
      </c>
      <c r="B1996" s="8" t="s">
        <v>869</v>
      </c>
      <c r="C1996" s="19" t="n">
        <v>0</v>
      </c>
      <c r="D1996" s="19" t="n">
        <v>7427.59</v>
      </c>
      <c r="E1996" s="19" t="n">
        <v>0</v>
      </c>
      <c r="F1996" s="19" t="n">
        <v>0</v>
      </c>
      <c r="G1996" s="8" t="str">
        <f aca="false">IFERROR(INDEX('TRANS'!$B:$B,MATCH($B1996,'TRANS'!$A:$A,0)),IFERROR(INDEX('TRANS'!$B:$B,MATCH(TRIM(SUBSTITUTE($B1996,CHAR(160)," ")),'TRANS'!$D:$D,0)),IFERROR(INDEX('Catalog'!$A:$A,MATCH($B1996,'Catalog'!$B:$B,0)),IFERROR(INDEX('Catalog'!$A:$A,MATCH(TRIM(SUBSTITUTE($B1996,CHAR(160)," ")),'Catalog'!$C:$C,0)),""))))</f>
        <v/>
      </c>
      <c r="H1996" s="8" t="str">
        <f aca="false">IFERROR(INDEX('TRANS'!$C:$C,MATCH($B1996,'TRANS'!$A:$A,0)),IFERROR(INDEX('Catalog'!$B:$B,MATCH($G1996,'Catalog'!$A:$A,0)),$B1996))</f>
        <v>(NO ITEM CODE)</v>
      </c>
      <c r="I1996" s="8" t="str">
        <f aca="false">IF($G1996="","Unmatched","Matched")</f>
        <v>Unmatched</v>
      </c>
    </row>
    <row r="1997" customFormat="false" ht="15" hidden="false" customHeight="false" outlineLevel="0" collapsed="false">
      <c r="A1997" s="8" t="s">
        <v>8</v>
      </c>
      <c r="B1997" s="8" t="s">
        <v>473</v>
      </c>
      <c r="C1997" s="19" t="n">
        <v>6300</v>
      </c>
      <c r="D1997" s="19" t="n">
        <v>297486</v>
      </c>
      <c r="E1997" s="19" t="n">
        <v>6360</v>
      </c>
      <c r="F1997" s="19" t="n">
        <v>300319.2</v>
      </c>
      <c r="G1997" s="8" t="str">
        <f aca="false">IFERROR(INDEX('TRANS'!$B:$B,MATCH($B1997,'TRANS'!$A:$A,0)),IFERROR(INDEX('TRANS'!$B:$B,MATCH(TRIM(SUBSTITUTE($B1997,CHAR(160)," ")),'TRANS'!$D:$D,0)),IFERROR(INDEX('Catalog'!$A:$A,MATCH($B1997,'Catalog'!$B:$B,0)),IFERROR(INDEX('Catalog'!$A:$A,MATCH(TRIM(SUBSTITUTE($B1997,CHAR(160)," ")),'Catalog'!$C:$C,0)),""))))</f>
        <v/>
      </c>
      <c r="H1997" s="8" t="str">
        <f aca="false">IFERROR(INDEX('TRANS'!$C:$C,MATCH($B1997,'TRANS'!$A:$A,0)),IFERROR(INDEX('Catalog'!$B:$B,MATCH($G1997,'Catalog'!$A:$A,0)),$B1997))</f>
        <v>LU302M 0</v>
      </c>
      <c r="I1997" s="8" t="str">
        <f aca="false">IF($G1997="","Unmatched","Matched")</f>
        <v>Unmatched</v>
      </c>
    </row>
    <row r="1998" customFormat="false" ht="15" hidden="false" customHeight="false" outlineLevel="0" collapsed="false">
      <c r="A1998" s="8" t="s">
        <v>8</v>
      </c>
      <c r="B1998" s="8" t="s">
        <v>474</v>
      </c>
      <c r="C1998" s="19" t="n">
        <v>2400</v>
      </c>
      <c r="D1998" s="19" t="n">
        <v>113328</v>
      </c>
      <c r="E1998" s="19" t="n">
        <v>2400</v>
      </c>
      <c r="F1998" s="19" t="n">
        <v>113328</v>
      </c>
      <c r="G1998" s="8" t="str">
        <f aca="false">IFERROR(INDEX('TRANS'!$B:$B,MATCH($B1998,'TRANS'!$A:$A,0)),IFERROR(INDEX('TRANS'!$B:$B,MATCH(TRIM(SUBSTITUTE($B1998,CHAR(160)," ")),'TRANS'!$D:$D,0)),IFERROR(INDEX('Catalog'!$A:$A,MATCH($B1998,'Catalog'!$B:$B,0)),IFERROR(INDEX('Catalog'!$A:$A,MATCH(TRIM(SUBSTITUTE($B1998,CHAR(160)," ")),'Catalog'!$C:$C,0)),""))))</f>
        <v/>
      </c>
      <c r="H1998" s="8" t="str">
        <f aca="false">IFERROR(INDEX('TRANS'!$C:$C,MATCH($B1998,'TRANS'!$A:$A,0)),IFERROR(INDEX('Catalog'!$B:$B,MATCH($G1998,'Catalog'!$A:$A,0)),$B1998))</f>
        <v>LU302W 0</v>
      </c>
      <c r="I1998" s="8" t="str">
        <f aca="false">IF($G1998="","Unmatched","Matched")</f>
        <v>Unmatched</v>
      </c>
    </row>
    <row r="1999" customFormat="false" ht="15" hidden="false" customHeight="false" outlineLevel="0" collapsed="false">
      <c r="A1999" s="8" t="s">
        <v>8</v>
      </c>
      <c r="B1999" s="8" t="s">
        <v>870</v>
      </c>
      <c r="C1999" s="19" t="n">
        <v>1600</v>
      </c>
      <c r="D1999" s="19" t="n">
        <v>63104</v>
      </c>
      <c r="E1999" s="19" t="n">
        <v>1600</v>
      </c>
      <c r="F1999" s="19" t="n">
        <v>63104</v>
      </c>
      <c r="G1999" s="8" t="str">
        <f aca="false">IFERROR(INDEX('TRANS'!$B:$B,MATCH($B1999,'TRANS'!$A:$A,0)),IFERROR(INDEX('TRANS'!$B:$B,MATCH(TRIM(SUBSTITUTE($B1999,CHAR(160)," ")),'TRANS'!$D:$D,0)),IFERROR(INDEX('Catalog'!$A:$A,MATCH($B1999,'Catalog'!$B:$B,0)),IFERROR(INDEX('Catalog'!$A:$A,MATCH(TRIM(SUBSTITUTE($B1999,CHAR(160)," ")),'Catalog'!$C:$C,0)),""))))</f>
        <v/>
      </c>
      <c r="H1999" s="8" t="str">
        <f aca="false">IFERROR(INDEX('TRANS'!$C:$C,MATCH($B1999,'TRANS'!$A:$A,0)),IFERROR(INDEX('Catalog'!$B:$B,MATCH($G1999,'Catalog'!$A:$A,0)),$B1999))</f>
        <v>LU308 L</v>
      </c>
      <c r="I1999" s="8" t="str">
        <f aca="false">IF($G1999="","Unmatched","Matched")</f>
        <v>Unmatched</v>
      </c>
    </row>
    <row r="2000" customFormat="false" ht="15" hidden="false" customHeight="false" outlineLevel="0" collapsed="false">
      <c r="A2000" s="8" t="s">
        <v>8</v>
      </c>
      <c r="B2000" s="8" t="s">
        <v>871</v>
      </c>
      <c r="C2000" s="19" t="n">
        <v>2400</v>
      </c>
      <c r="D2000" s="19" t="n">
        <v>94656</v>
      </c>
      <c r="E2000" s="19" t="n">
        <v>2400</v>
      </c>
      <c r="F2000" s="19" t="n">
        <v>94656</v>
      </c>
      <c r="G2000" s="8" t="str">
        <f aca="false">IFERROR(INDEX('TRANS'!$B:$B,MATCH($B2000,'TRANS'!$A:$A,0)),IFERROR(INDEX('TRANS'!$B:$B,MATCH(TRIM(SUBSTITUTE($B2000,CHAR(160)," ")),'TRANS'!$D:$D,0)),IFERROR(INDEX('Catalog'!$A:$A,MATCH($B2000,'Catalog'!$B:$B,0)),IFERROR(INDEX('Catalog'!$A:$A,MATCH(TRIM(SUBSTITUTE($B2000,CHAR(160)," ")),'Catalog'!$C:$C,0)),""))))</f>
        <v/>
      </c>
      <c r="H2000" s="8" t="str">
        <f aca="false">IFERROR(INDEX('TRANS'!$C:$C,MATCH($B2000,'TRANS'!$A:$A,0)),IFERROR(INDEX('Catalog'!$B:$B,MATCH($G2000,'Catalog'!$A:$A,0)),$B2000))</f>
        <v>LU308 M</v>
      </c>
      <c r="I2000" s="8" t="str">
        <f aca="false">IF($G2000="","Unmatched","Matched")</f>
        <v>Unmatched</v>
      </c>
    </row>
    <row r="2001" customFormat="false" ht="15" hidden="false" customHeight="false" outlineLevel="0" collapsed="false">
      <c r="A2001" s="8" t="s">
        <v>8</v>
      </c>
      <c r="B2001" s="8" t="s">
        <v>872</v>
      </c>
      <c r="C2001" s="19" t="n">
        <v>4320</v>
      </c>
      <c r="D2001" s="19" t="n">
        <v>67910.4</v>
      </c>
      <c r="E2001" s="19" t="n">
        <v>4320</v>
      </c>
      <c r="F2001" s="19" t="n">
        <v>67910.4</v>
      </c>
      <c r="G2001" s="8" t="str">
        <f aca="false">IFERROR(INDEX('TRANS'!$B:$B,MATCH($B2001,'TRANS'!$A:$A,0)),IFERROR(INDEX('TRANS'!$B:$B,MATCH(TRIM(SUBSTITUTE($B2001,CHAR(160)," ")),'TRANS'!$D:$D,0)),IFERROR(INDEX('Catalog'!$A:$A,MATCH($B2001,'Catalog'!$B:$B,0)),IFERROR(INDEX('Catalog'!$A:$A,MATCH(TRIM(SUBSTITUTE($B2001,CHAR(160)," ")),'Catalog'!$C:$C,0)),""))))</f>
        <v/>
      </c>
      <c r="H2001" s="8" t="str">
        <f aca="false">IFERROR(INDEX('TRANS'!$C:$C,MATCH($B2001,'TRANS'!$A:$A,0)),IFERROR(INDEX('Catalog'!$B:$B,MATCH($G2001,'Catalog'!$A:$A,0)),$B2001))</f>
        <v>LU313 0</v>
      </c>
      <c r="I2001" s="8" t="str">
        <f aca="false">IF($G2001="","Unmatched","Matched")</f>
        <v>Unmatched</v>
      </c>
    </row>
    <row r="2002" customFormat="false" ht="15" hidden="false" customHeight="false" outlineLevel="0" collapsed="false">
      <c r="A2002" s="8" t="s">
        <v>8</v>
      </c>
      <c r="B2002" s="8" t="s">
        <v>873</v>
      </c>
      <c r="C2002" s="19" t="n">
        <v>8100</v>
      </c>
      <c r="D2002" s="19" t="n">
        <v>81891</v>
      </c>
      <c r="E2002" s="19" t="n">
        <v>5400</v>
      </c>
      <c r="F2002" s="19" t="n">
        <v>54594</v>
      </c>
      <c r="G2002" s="8" t="str">
        <f aca="false">IFERROR(INDEX('TRANS'!$B:$B,MATCH($B2002,'TRANS'!$A:$A,0)),IFERROR(INDEX('TRANS'!$B:$B,MATCH(TRIM(SUBSTITUTE($B2002,CHAR(160)," ")),'TRANS'!$D:$D,0)),IFERROR(INDEX('Catalog'!$A:$A,MATCH($B2002,'Catalog'!$B:$B,0)),IFERROR(INDEX('Catalog'!$A:$A,MATCH(TRIM(SUBSTITUTE($B2002,CHAR(160)," ")),'Catalog'!$C:$C,0)),""))))</f>
        <v/>
      </c>
      <c r="H2002" s="8" t="str">
        <f aca="false">IFERROR(INDEX('TRANS'!$C:$C,MATCH($B2002,'TRANS'!$A:$A,0)),IFERROR(INDEX('Catalog'!$B:$B,MATCH($G2002,'Catalog'!$A:$A,0)),$B2002))</f>
        <v>LU364-S-L</v>
      </c>
      <c r="I2002" s="8" t="str">
        <f aca="false">IF($G2002="","Unmatched","Matched")</f>
        <v>Unmatched</v>
      </c>
    </row>
    <row r="2003" customFormat="false" ht="15" hidden="false" customHeight="false" outlineLevel="0" collapsed="false">
      <c r="A2003" s="8" t="s">
        <v>8</v>
      </c>
      <c r="B2003" s="8" t="s">
        <v>874</v>
      </c>
      <c r="C2003" s="19" t="n">
        <v>4050</v>
      </c>
      <c r="D2003" s="19" t="n">
        <v>40945.5</v>
      </c>
      <c r="E2003" s="19" t="n">
        <v>1350</v>
      </c>
      <c r="F2003" s="19" t="n">
        <v>13648.5</v>
      </c>
      <c r="G2003" s="8" t="str">
        <f aca="false">IFERROR(INDEX('TRANS'!$B:$B,MATCH($B2003,'TRANS'!$A:$A,0)),IFERROR(INDEX('TRANS'!$B:$B,MATCH(TRIM(SUBSTITUTE($B2003,CHAR(160)," ")),'TRANS'!$D:$D,0)),IFERROR(INDEX('Catalog'!$A:$A,MATCH($B2003,'Catalog'!$B:$B,0)),IFERROR(INDEX('Catalog'!$A:$A,MATCH(TRIM(SUBSTITUTE($B2003,CHAR(160)," ")),'Catalog'!$C:$C,0)),""))))</f>
        <v/>
      </c>
      <c r="H2003" s="8" t="str">
        <f aca="false">IFERROR(INDEX('TRANS'!$C:$C,MATCH($B2003,'TRANS'!$A:$A,0)),IFERROR(INDEX('Catalog'!$B:$B,MATCH($G2003,'Catalog'!$A:$A,0)),$B2003))</f>
        <v>LU364 XL</v>
      </c>
      <c r="I2003" s="8" t="str">
        <f aca="false">IF($G2003="","Unmatched","Matched")</f>
        <v>Unmatched</v>
      </c>
    </row>
    <row r="2004" customFormat="false" ht="15" hidden="false" customHeight="false" outlineLevel="0" collapsed="false">
      <c r="A2004" s="8" t="s">
        <v>8</v>
      </c>
      <c r="B2004" s="8" t="s">
        <v>875</v>
      </c>
      <c r="C2004" s="19" t="n">
        <v>3780</v>
      </c>
      <c r="D2004" s="19" t="n">
        <v>53751.6</v>
      </c>
      <c r="E2004" s="19" t="n">
        <v>1010</v>
      </c>
      <c r="F2004" s="19" t="n">
        <v>14362.2</v>
      </c>
      <c r="G2004" s="8" t="str">
        <f aca="false">IFERROR(INDEX('TRANS'!$B:$B,MATCH($B2004,'TRANS'!$A:$A,0)),IFERROR(INDEX('TRANS'!$B:$B,MATCH(TRIM(SUBSTITUTE($B2004,CHAR(160)," ")),'TRANS'!$D:$D,0)),IFERROR(INDEX('Catalog'!$A:$A,MATCH($B2004,'Catalog'!$B:$B,0)),IFERROR(INDEX('Catalog'!$A:$A,MATCH(TRIM(SUBSTITUTE($B2004,CHAR(160)," ")),'Catalog'!$C:$C,0)),""))))</f>
        <v/>
      </c>
      <c r="H2004" s="8" t="str">
        <f aca="false">IFERROR(INDEX('TRANS'!$C:$C,MATCH($B2004,'TRANS'!$A:$A,0)),IFERROR(INDEX('Catalog'!$B:$B,MATCH($G2004,'Catalog'!$A:$A,0)),$B2004))</f>
        <v>LU3641 0</v>
      </c>
      <c r="I2004" s="8" t="str">
        <f aca="false">IF($G2004="","Unmatched","Matched")</f>
        <v>Unmatched</v>
      </c>
    </row>
    <row r="2005" customFormat="false" ht="15" hidden="false" customHeight="false" outlineLevel="0" collapsed="false">
      <c r="A2005" s="8" t="s">
        <v>8</v>
      </c>
      <c r="B2005" s="8" t="s">
        <v>876</v>
      </c>
      <c r="C2005" s="19" t="n">
        <v>4860</v>
      </c>
      <c r="D2005" s="19" t="n">
        <v>47239.2</v>
      </c>
      <c r="E2005" s="19" t="n">
        <v>2160</v>
      </c>
      <c r="F2005" s="19" t="n">
        <v>20995.2</v>
      </c>
      <c r="G2005" s="8" t="str">
        <f aca="false">IFERROR(INDEX('TRANS'!$B:$B,MATCH($B2005,'TRANS'!$A:$A,0)),IFERROR(INDEX('TRANS'!$B:$B,MATCH(TRIM(SUBSTITUTE($B2005,CHAR(160)," ")),'TRANS'!$D:$D,0)),IFERROR(INDEX('Catalog'!$A:$A,MATCH($B2005,'Catalog'!$B:$B,0)),IFERROR(INDEX('Catalog'!$A:$A,MATCH(TRIM(SUBSTITUTE($B2005,CHAR(160)," ")),'Catalog'!$C:$C,0)),""))))</f>
        <v/>
      </c>
      <c r="H2005" s="8" t="str">
        <f aca="false">IFERROR(INDEX('TRANS'!$C:$C,MATCH($B2005,'TRANS'!$A:$A,0)),IFERROR(INDEX('Catalog'!$B:$B,MATCH($G2005,'Catalog'!$A:$A,0)),$B2005))</f>
        <v>LU365-S-L</v>
      </c>
      <c r="I2005" s="8" t="str">
        <f aca="false">IF($G2005="","Unmatched","Matched")</f>
        <v>Unmatched</v>
      </c>
    </row>
    <row r="2006" customFormat="false" ht="15" hidden="false" customHeight="false" outlineLevel="0" collapsed="false">
      <c r="A2006" s="8" t="s">
        <v>8</v>
      </c>
      <c r="B2006" s="8" t="s">
        <v>877</v>
      </c>
      <c r="C2006" s="19" t="n">
        <v>17820</v>
      </c>
      <c r="D2006" s="19" t="n">
        <v>219007.8</v>
      </c>
      <c r="E2006" s="19" t="n">
        <v>3000</v>
      </c>
      <c r="F2006" s="19" t="n">
        <v>36870</v>
      </c>
      <c r="G2006" s="8" t="str">
        <f aca="false">IFERROR(INDEX('TRANS'!$B:$B,MATCH($B2006,'TRANS'!$A:$A,0)),IFERROR(INDEX('TRANS'!$B:$B,MATCH(TRIM(SUBSTITUTE($B2006,CHAR(160)," ")),'TRANS'!$D:$D,0)),IFERROR(INDEX('Catalog'!$A:$A,MATCH($B2006,'Catalog'!$B:$B,0)),IFERROR(INDEX('Catalog'!$A:$A,MATCH(TRIM(SUBSTITUTE($B2006,CHAR(160)," ")),'Catalog'!$C:$C,0)),""))))</f>
        <v/>
      </c>
      <c r="H2006" s="8" t="str">
        <f aca="false">IFERROR(INDEX('TRANS'!$C:$C,MATCH($B2006,'TRANS'!$A:$A,0)),IFERROR(INDEX('Catalog'!$B:$B,MATCH($G2006,'Catalog'!$A:$A,0)),$B2006))</f>
        <v>LU3655 0</v>
      </c>
      <c r="I2006" s="8" t="str">
        <f aca="false">IF($G2006="","Unmatched","Matched")</f>
        <v>Unmatched</v>
      </c>
    </row>
    <row r="2007" customFormat="false" ht="15" hidden="false" customHeight="false" outlineLevel="0" collapsed="false">
      <c r="A2007" s="8" t="s">
        <v>8</v>
      </c>
      <c r="B2007" s="8" t="s">
        <v>878</v>
      </c>
      <c r="C2007" s="19" t="n">
        <v>4860</v>
      </c>
      <c r="D2007" s="19" t="n">
        <v>47239.2</v>
      </c>
      <c r="E2007" s="19" t="n">
        <v>2430</v>
      </c>
      <c r="F2007" s="19" t="n">
        <v>23619.6</v>
      </c>
      <c r="G2007" s="8" t="str">
        <f aca="false">IFERROR(INDEX('TRANS'!$B:$B,MATCH($B2007,'TRANS'!$A:$A,0)),IFERROR(INDEX('TRANS'!$B:$B,MATCH(TRIM(SUBSTITUTE($B2007,CHAR(160)," ")),'TRANS'!$D:$D,0)),IFERROR(INDEX('Catalog'!$A:$A,MATCH($B2007,'Catalog'!$B:$B,0)),IFERROR(INDEX('Catalog'!$A:$A,MATCH(TRIM(SUBSTITUTE($B2007,CHAR(160)," ")),'Catalog'!$C:$C,0)),""))))</f>
        <v/>
      </c>
      <c r="H2007" s="8" t="str">
        <f aca="false">IFERROR(INDEX('TRANS'!$C:$C,MATCH($B2007,'TRANS'!$A:$A,0)),IFERROR(INDEX('Catalog'!$B:$B,MATCH($G2007,'Catalog'!$A:$A,0)),$B2007))</f>
        <v>LU366S 0</v>
      </c>
      <c r="I2007" s="8" t="str">
        <f aca="false">IF($G2007="","Unmatched","Matched")</f>
        <v>Unmatched</v>
      </c>
    </row>
    <row r="2008" customFormat="false" ht="15" hidden="false" customHeight="false" outlineLevel="0" collapsed="false">
      <c r="A2008" s="8" t="s">
        <v>8</v>
      </c>
      <c r="B2008" s="8" t="s">
        <v>879</v>
      </c>
      <c r="C2008" s="19" t="n">
        <v>1350</v>
      </c>
      <c r="D2008" s="19" t="n">
        <v>18306</v>
      </c>
      <c r="E2008" s="19" t="n">
        <v>1350</v>
      </c>
      <c r="F2008" s="19" t="n">
        <v>18306</v>
      </c>
      <c r="G2008" s="8" t="str">
        <f aca="false">IFERROR(INDEX('TRANS'!$B:$B,MATCH($B2008,'TRANS'!$A:$A,0)),IFERROR(INDEX('TRANS'!$B:$B,MATCH(TRIM(SUBSTITUTE($B2008,CHAR(160)," ")),'TRANS'!$D:$D,0)),IFERROR(INDEX('Catalog'!$A:$A,MATCH($B2008,'Catalog'!$B:$B,0)),IFERROR(INDEX('Catalog'!$A:$A,MATCH(TRIM(SUBSTITUTE($B2008,CHAR(160)," ")),'Catalog'!$C:$C,0)),""))))</f>
        <v/>
      </c>
      <c r="H2008" s="8" t="str">
        <f aca="false">IFERROR(INDEX('TRANS'!$C:$C,MATCH($B2008,'TRANS'!$A:$A,0)),IFERROR(INDEX('Catalog'!$B:$B,MATCH($G2008,'Catalog'!$A:$A,0)),$B2008))</f>
        <v>LU3677S 0</v>
      </c>
      <c r="I2008" s="8" t="str">
        <f aca="false">IF($G2008="","Unmatched","Matched")</f>
        <v>Unmatched</v>
      </c>
    </row>
    <row r="2009" customFormat="false" ht="15" hidden="false" customHeight="false" outlineLevel="0" collapsed="false">
      <c r="A2009" s="8" t="s">
        <v>8</v>
      </c>
      <c r="B2009" s="8" t="s">
        <v>880</v>
      </c>
      <c r="C2009" s="19" t="n">
        <v>14000</v>
      </c>
      <c r="D2009" s="19" t="n">
        <v>105840</v>
      </c>
      <c r="E2009" s="19" t="n">
        <v>6000</v>
      </c>
      <c r="F2009" s="19" t="n">
        <v>45360</v>
      </c>
      <c r="G2009" s="8" t="str">
        <f aca="false">IFERROR(INDEX('TRANS'!$B:$B,MATCH($B2009,'TRANS'!$A:$A,0)),IFERROR(INDEX('TRANS'!$B:$B,MATCH(TRIM(SUBSTITUTE($B2009,CHAR(160)," ")),'TRANS'!$D:$D,0)),IFERROR(INDEX('Catalog'!$A:$A,MATCH($B2009,'Catalog'!$B:$B,0)),IFERROR(INDEX('Catalog'!$A:$A,MATCH(TRIM(SUBSTITUTE($B2009,CHAR(160)," ")),'Catalog'!$C:$C,0)),""))))</f>
        <v/>
      </c>
      <c r="H2009" s="8" t="str">
        <f aca="false">IFERROR(INDEX('TRANS'!$C:$C,MATCH($B2009,'TRANS'!$A:$A,0)),IFERROR(INDEX('Catalog'!$B:$B,MATCH($G2009,'Catalog'!$A:$A,0)),$B2009))</f>
        <v>LU370 0</v>
      </c>
      <c r="I2009" s="8" t="str">
        <f aca="false">IF($G2009="","Unmatched","Matched")</f>
        <v>Unmatched</v>
      </c>
    </row>
    <row r="2010" customFormat="false" ht="15" hidden="false" customHeight="false" outlineLevel="0" collapsed="false">
      <c r="A2010" s="8" t="s">
        <v>8</v>
      </c>
      <c r="B2010" s="8" t="s">
        <v>881</v>
      </c>
      <c r="C2010" s="19" t="n">
        <v>9600</v>
      </c>
      <c r="D2010" s="19" t="n">
        <v>93888</v>
      </c>
      <c r="E2010" s="19" t="n">
        <v>4800</v>
      </c>
      <c r="F2010" s="19" t="n">
        <v>46944</v>
      </c>
      <c r="G2010" s="8" t="str">
        <f aca="false">IFERROR(INDEX('TRANS'!$B:$B,MATCH($B2010,'TRANS'!$A:$A,0)),IFERROR(INDEX('TRANS'!$B:$B,MATCH(TRIM(SUBSTITUTE($B2010,CHAR(160)," ")),'TRANS'!$D:$D,0)),IFERROR(INDEX('Catalog'!$A:$A,MATCH($B2010,'Catalog'!$B:$B,0)),IFERROR(INDEX('Catalog'!$A:$A,MATCH(TRIM(SUBSTITUTE($B2010,CHAR(160)," ")),'Catalog'!$C:$C,0)),""))))</f>
        <v/>
      </c>
      <c r="H2010" s="8" t="str">
        <f aca="false">IFERROR(INDEX('TRANS'!$C:$C,MATCH($B2010,'TRANS'!$A:$A,0)),IFERROR(INDEX('Catalog'!$B:$B,MATCH($G2010,'Catalog'!$A:$A,0)),$B2010))</f>
        <v>LU372 0</v>
      </c>
      <c r="I2010" s="8" t="str">
        <f aca="false">IF($G2010="","Unmatched","Matched")</f>
        <v>Unmatched</v>
      </c>
    </row>
    <row r="2011" customFormat="false" ht="15" hidden="false" customHeight="false" outlineLevel="0" collapsed="false">
      <c r="A2011" s="8" t="s">
        <v>8</v>
      </c>
      <c r="B2011" s="8" t="s">
        <v>882</v>
      </c>
      <c r="C2011" s="19" t="n">
        <v>9000</v>
      </c>
      <c r="D2011" s="19" t="n">
        <v>88020</v>
      </c>
      <c r="E2011" s="19" t="n">
        <v>6000</v>
      </c>
      <c r="F2011" s="19" t="n">
        <v>58680</v>
      </c>
      <c r="G2011" s="8" t="str">
        <f aca="false">IFERROR(INDEX('TRANS'!$B:$B,MATCH($B2011,'TRANS'!$A:$A,0)),IFERROR(INDEX('TRANS'!$B:$B,MATCH(TRIM(SUBSTITUTE($B2011,CHAR(160)," ")),'TRANS'!$D:$D,0)),IFERROR(INDEX('Catalog'!$A:$A,MATCH($B2011,'Catalog'!$B:$B,0)),IFERROR(INDEX('Catalog'!$A:$A,MATCH(TRIM(SUBSTITUTE($B2011,CHAR(160)," ")),'Catalog'!$C:$C,0)),""))))</f>
        <v/>
      </c>
      <c r="H2011" s="8" t="str">
        <f aca="false">IFERROR(INDEX('TRANS'!$C:$C,MATCH($B2011,'TRANS'!$A:$A,0)),IFERROR(INDEX('Catalog'!$B:$B,MATCH($G2011,'Catalog'!$A:$A,0)),$B2011))</f>
        <v>LU374 0</v>
      </c>
      <c r="I2011" s="8" t="str">
        <f aca="false">IF($G2011="","Unmatched","Matched")</f>
        <v>Unmatched</v>
      </c>
    </row>
    <row r="2012" customFormat="false" ht="15" hidden="false" customHeight="false" outlineLevel="0" collapsed="false">
      <c r="A2012" s="8" t="s">
        <v>8</v>
      </c>
      <c r="B2012" s="8" t="s">
        <v>883</v>
      </c>
      <c r="C2012" s="19" t="n">
        <v>3200</v>
      </c>
      <c r="D2012" s="19" t="n">
        <v>45856</v>
      </c>
      <c r="E2012" s="19" t="n">
        <v>1600</v>
      </c>
      <c r="F2012" s="19" t="n">
        <v>22928</v>
      </c>
      <c r="G2012" s="8" t="str">
        <f aca="false">IFERROR(INDEX('TRANS'!$B:$B,MATCH($B2012,'TRANS'!$A:$A,0)),IFERROR(INDEX('TRANS'!$B:$B,MATCH(TRIM(SUBSTITUTE($B2012,CHAR(160)," ")),'TRANS'!$D:$D,0)),IFERROR(INDEX('Catalog'!$A:$A,MATCH($B2012,'Catalog'!$B:$B,0)),IFERROR(INDEX('Catalog'!$A:$A,MATCH(TRIM(SUBSTITUTE($B2012,CHAR(160)," ")),'Catalog'!$C:$C,0)),""))))</f>
        <v/>
      </c>
      <c r="H2012" s="8" t="str">
        <f aca="false">IFERROR(INDEX('TRANS'!$C:$C,MATCH($B2012,'TRANS'!$A:$A,0)),IFERROR(INDEX('Catalog'!$B:$B,MATCH($G2012,'Catalog'!$A:$A,0)),$B2012))</f>
        <v>LULF370 0</v>
      </c>
      <c r="I2012" s="8" t="str">
        <f aca="false">IF($G2012="","Unmatched","Matched")</f>
        <v>Unmatched</v>
      </c>
    </row>
    <row r="2013" customFormat="false" ht="15" hidden="false" customHeight="false" outlineLevel="0" collapsed="false">
      <c r="A2013" s="8" t="s">
        <v>8</v>
      </c>
      <c r="B2013" s="8" t="s">
        <v>884</v>
      </c>
      <c r="C2013" s="19" t="n">
        <v>4200</v>
      </c>
      <c r="D2013" s="19" t="n">
        <v>61824</v>
      </c>
      <c r="E2013" s="19" t="n">
        <v>2800</v>
      </c>
      <c r="F2013" s="19" t="n">
        <v>41216</v>
      </c>
      <c r="G2013" s="8" t="str">
        <f aca="false">IFERROR(INDEX('TRANS'!$B:$B,MATCH($B2013,'TRANS'!$A:$A,0)),IFERROR(INDEX('TRANS'!$B:$B,MATCH(TRIM(SUBSTITUTE($B2013,CHAR(160)," ")),'TRANS'!$D:$D,0)),IFERROR(INDEX('Catalog'!$A:$A,MATCH($B2013,'Catalog'!$B:$B,0)),IFERROR(INDEX('Catalog'!$A:$A,MATCH(TRIM(SUBSTITUTE($B2013,CHAR(160)," ")),'Catalog'!$C:$C,0)),""))))</f>
        <v/>
      </c>
      <c r="H2013" s="8" t="str">
        <f aca="false">IFERROR(INDEX('TRANS'!$C:$C,MATCH($B2013,'TRANS'!$A:$A,0)),IFERROR(INDEX('Catalog'!$B:$B,MATCH($G2013,'Catalog'!$A:$A,0)),$B2013))</f>
        <v>LULF373 0</v>
      </c>
      <c r="I2013" s="8" t="str">
        <f aca="false">IF($G2013="","Unmatched","Matched")</f>
        <v>Unmatched</v>
      </c>
    </row>
    <row r="2014" customFormat="false" ht="15" hidden="false" customHeight="false" outlineLevel="0" collapsed="false">
      <c r="A2014" s="8" t="s">
        <v>8</v>
      </c>
      <c r="B2014" s="8" t="s">
        <v>885</v>
      </c>
      <c r="C2014" s="19" t="n">
        <v>5400</v>
      </c>
      <c r="D2014" s="19" t="n">
        <v>47844</v>
      </c>
      <c r="E2014" s="19" t="n">
        <v>1800</v>
      </c>
      <c r="F2014" s="19" t="n">
        <v>15948</v>
      </c>
      <c r="G2014" s="8" t="str">
        <f aca="false">IFERROR(INDEX('TRANS'!$B:$B,MATCH($B2014,'TRANS'!$A:$A,0)),IFERROR(INDEX('TRANS'!$B:$B,MATCH(TRIM(SUBSTITUTE($B2014,CHAR(160)," ")),'TRANS'!$D:$D,0)),IFERROR(INDEX('Catalog'!$A:$A,MATCH($B2014,'Catalog'!$B:$B,0)),IFERROR(INDEX('Catalog'!$A:$A,MATCH(TRIM(SUBSTITUTE($B2014,CHAR(160)," ")),'Catalog'!$C:$C,0)),""))))</f>
        <v/>
      </c>
      <c r="H2014" s="8" t="str">
        <f aca="false">IFERROR(INDEX('TRANS'!$C:$C,MATCH($B2014,'TRANS'!$A:$A,0)),IFERROR(INDEX('Catalog'!$B:$B,MATCH($G2014,'Catalog'!$A:$A,0)),$B2014))</f>
        <v>LUPD340 0</v>
      </c>
      <c r="I2014" s="8" t="str">
        <f aca="false">IF($G2014="","Unmatched","Matched")</f>
        <v>Unmatched</v>
      </c>
    </row>
    <row r="2015" customFormat="false" ht="15" hidden="false" customHeight="false" outlineLevel="0" collapsed="false">
      <c r="A2015" s="8" t="s">
        <v>8</v>
      </c>
      <c r="B2015" s="8" t="s">
        <v>886</v>
      </c>
      <c r="C2015" s="19" t="n">
        <v>4152</v>
      </c>
      <c r="D2015" s="19" t="n">
        <v>73822.56</v>
      </c>
      <c r="E2015" s="19" t="n">
        <v>2400</v>
      </c>
      <c r="F2015" s="19" t="n">
        <v>42672</v>
      </c>
      <c r="G2015" s="8" t="str">
        <f aca="false">IFERROR(INDEX('TRANS'!$B:$B,MATCH($B2015,'TRANS'!$A:$A,0)),IFERROR(INDEX('TRANS'!$B:$B,MATCH(TRIM(SUBSTITUTE($B2015,CHAR(160)," ")),'TRANS'!$D:$D,0)),IFERROR(INDEX('Catalog'!$A:$A,MATCH($B2015,'Catalog'!$B:$B,0)),IFERROR(INDEX('Catalog'!$A:$A,MATCH(TRIM(SUBSTITUTE($B2015,CHAR(160)," ")),'Catalog'!$C:$C,0)),""))))</f>
        <v/>
      </c>
      <c r="H2015" s="8" t="str">
        <f aca="false">IFERROR(INDEX('TRANS'!$C:$C,MATCH($B2015,'TRANS'!$A:$A,0)),IFERROR(INDEX('Catalog'!$B:$B,MATCH($G2015,'Catalog'!$A:$A,0)),$B2015))</f>
        <v>LUPD342 0</v>
      </c>
      <c r="I2015" s="8" t="str">
        <f aca="false">IF($G2015="","Unmatched","Matched")</f>
        <v>Unmatched</v>
      </c>
    </row>
    <row r="2016" customFormat="false" ht="15" hidden="false" customHeight="false" outlineLevel="0" collapsed="false">
      <c r="A2016" s="8" t="s">
        <v>8</v>
      </c>
      <c r="B2016" s="8" t="s">
        <v>432</v>
      </c>
      <c r="C2016" s="19" t="n">
        <v>7000</v>
      </c>
      <c r="D2016" s="19" t="n">
        <v>39270</v>
      </c>
      <c r="E2016" s="19" t="n">
        <v>3275</v>
      </c>
      <c r="F2016" s="19" t="n">
        <v>18372.75</v>
      </c>
      <c r="G2016" s="8" t="str">
        <f aca="false">IFERROR(INDEX('TRANS'!$B:$B,MATCH($B2016,'TRANS'!$A:$A,0)),IFERROR(INDEX('TRANS'!$B:$B,MATCH(TRIM(SUBSTITUTE($B2016,CHAR(160)," ")),'TRANS'!$D:$D,0)),IFERROR(INDEX('Catalog'!$A:$A,MATCH($B2016,'Catalog'!$B:$B,0)),IFERROR(INDEX('Catalog'!$A:$A,MATCH(TRIM(SUBSTITUTE($B2016,CHAR(160)," ")),'Catalog'!$C:$C,0)),""))))</f>
        <v/>
      </c>
      <c r="H2016" s="8" t="str">
        <f aca="false">IFERROR(INDEX('TRANS'!$C:$C,MATCH($B2016,'TRANS'!$A:$A,0)),IFERROR(INDEX('Catalog'!$B:$B,MATCH($G2016,'Catalog'!$A:$A,0)),$B2016))</f>
        <v>LUPD344 0</v>
      </c>
      <c r="I2016" s="8" t="str">
        <f aca="false">IF($G2016="","Unmatched","Matched")</f>
        <v>Unmatched</v>
      </c>
    </row>
    <row r="2017" customFormat="false" ht="15" hidden="false" customHeight="false" outlineLevel="0" collapsed="false">
      <c r="A2017" s="8" t="s">
        <v>10</v>
      </c>
      <c r="B2017" s="8" t="s">
        <v>887</v>
      </c>
      <c r="C2017" s="19" t="n">
        <v>7450</v>
      </c>
      <c r="D2017" s="19" t="n">
        <v>422328</v>
      </c>
      <c r="E2017" s="19" t="n">
        <v>5000</v>
      </c>
      <c r="F2017" s="19" t="n">
        <v>272050</v>
      </c>
      <c r="G2017" s="8" t="str">
        <f aca="false">IFERROR(INDEX('TRANS'!$B:$B,MATCH($B2017,'TRANS'!$A:$A,0)),IFERROR(INDEX('TRANS'!$B:$B,MATCH(TRIM(SUBSTITUTE($B2017,CHAR(160)," ")),'TRANS'!$D:$D,0)),IFERROR(INDEX('Catalog'!$A:$A,MATCH($B2017,'Catalog'!$B:$B,0)),IFERROR(INDEX('Catalog'!$A:$A,MATCH(TRIM(SUBSTITUTE($B2017,CHAR(160)," ")),'Catalog'!$C:$C,0)),""))))</f>
        <v/>
      </c>
      <c r="H2017" s="8" t="str">
        <f aca="false">IFERROR(INDEX('TRANS'!$C:$C,MATCH($B2017,'TRANS'!$A:$A,0)),IFERROR(INDEX('Catalog'!$B:$B,MATCH($G2017,'Catalog'!$A:$A,0)),$B2017))</f>
        <v>K078 L</v>
      </c>
      <c r="I2017" s="8" t="str">
        <f aca="false">IF($G2017="","Unmatched","Matched")</f>
        <v>Unmatched</v>
      </c>
    </row>
    <row r="2018" customFormat="false" ht="15" hidden="false" customHeight="false" outlineLevel="0" collapsed="false">
      <c r="A2018" s="8" t="s">
        <v>10</v>
      </c>
      <c r="B2018" s="8" t="s">
        <v>888</v>
      </c>
      <c r="C2018" s="19" t="n">
        <v>3800</v>
      </c>
      <c r="D2018" s="19" t="n">
        <v>215142.5</v>
      </c>
      <c r="E2018" s="19" t="n">
        <v>2200</v>
      </c>
      <c r="F2018" s="19" t="n">
        <v>119702</v>
      </c>
      <c r="G2018" s="8" t="str">
        <f aca="false">IFERROR(INDEX('TRANS'!$B:$B,MATCH($B2018,'TRANS'!$A:$A,0)),IFERROR(INDEX('TRANS'!$B:$B,MATCH(TRIM(SUBSTITUTE($B2018,CHAR(160)," ")),'TRANS'!$D:$D,0)),IFERROR(INDEX('Catalog'!$A:$A,MATCH($B2018,'Catalog'!$B:$B,0)),IFERROR(INDEX('Catalog'!$A:$A,MATCH(TRIM(SUBSTITUTE($B2018,CHAR(160)," ")),'Catalog'!$C:$C,0)),""))))</f>
        <v/>
      </c>
      <c r="H2018" s="8" t="str">
        <f aca="false">IFERROR(INDEX('TRANS'!$C:$C,MATCH($B2018,'TRANS'!$A:$A,0)),IFERROR(INDEX('Catalog'!$B:$B,MATCH($G2018,'Catalog'!$A:$A,0)),$B2018))</f>
        <v>K078 M</v>
      </c>
      <c r="I2018" s="8" t="str">
        <f aca="false">IF($G2018="","Unmatched","Matched")</f>
        <v>Unmatched</v>
      </c>
    </row>
    <row r="2019" customFormat="false" ht="15" hidden="false" customHeight="false" outlineLevel="0" collapsed="false">
      <c r="A2019" s="8" t="s">
        <v>10</v>
      </c>
      <c r="B2019" s="8" t="s">
        <v>889</v>
      </c>
      <c r="C2019" s="19" t="n">
        <v>5850</v>
      </c>
      <c r="D2019" s="19" t="n">
        <v>332000</v>
      </c>
      <c r="E2019" s="19" t="n">
        <v>3700</v>
      </c>
      <c r="F2019" s="19" t="n">
        <v>201317</v>
      </c>
      <c r="G2019" s="8" t="str">
        <f aca="false">IFERROR(INDEX('TRANS'!$B:$B,MATCH($B2019,'TRANS'!$A:$A,0)),IFERROR(INDEX('TRANS'!$B:$B,MATCH(TRIM(SUBSTITUTE($B2019,CHAR(160)," ")),'TRANS'!$D:$D,0)),IFERROR(INDEX('Catalog'!$A:$A,MATCH($B2019,'Catalog'!$B:$B,0)),IFERROR(INDEX('Catalog'!$A:$A,MATCH(TRIM(SUBSTITUTE($B2019,CHAR(160)," ")),'Catalog'!$C:$C,0)),""))))</f>
        <v/>
      </c>
      <c r="H2019" s="8" t="str">
        <f aca="false">IFERROR(INDEX('TRANS'!$C:$C,MATCH($B2019,'TRANS'!$A:$A,0)),IFERROR(INDEX('Catalog'!$B:$B,MATCH($G2019,'Catalog'!$A:$A,0)),$B2019))</f>
        <v>K078 XL</v>
      </c>
      <c r="I2019" s="8" t="str">
        <f aca="false">IF($G2019="","Unmatched","Matched")</f>
        <v>Unmatched</v>
      </c>
    </row>
    <row r="2020" customFormat="false" ht="15" hidden="false" customHeight="false" outlineLevel="0" collapsed="false">
      <c r="A2020" s="8" t="s">
        <v>10</v>
      </c>
      <c r="B2020" s="8" t="s">
        <v>890</v>
      </c>
      <c r="C2020" s="19" t="n">
        <v>2565</v>
      </c>
      <c r="D2020" s="19" t="n">
        <v>146555.55</v>
      </c>
      <c r="E2020" s="19" t="n">
        <v>1305</v>
      </c>
      <c r="F2020" s="19" t="n">
        <v>71005.05</v>
      </c>
      <c r="G2020" s="8" t="str">
        <f aca="false">IFERROR(INDEX('TRANS'!$B:$B,MATCH($B2020,'TRANS'!$A:$A,0)),IFERROR(INDEX('TRANS'!$B:$B,MATCH(TRIM(SUBSTITUTE($B2020,CHAR(160)," ")),'TRANS'!$D:$D,0)),IFERROR(INDEX('Catalog'!$A:$A,MATCH($B2020,'Catalog'!$B:$B,0)),IFERROR(INDEX('Catalog'!$A:$A,MATCH(TRIM(SUBSTITUTE($B2020,CHAR(160)," ")),'Catalog'!$C:$C,0)),""))))</f>
        <v/>
      </c>
      <c r="H2020" s="8" t="str">
        <f aca="false">IFERROR(INDEX('TRANS'!$C:$C,MATCH($B2020,'TRANS'!$A:$A,0)),IFERROR(INDEX('Catalog'!$B:$B,MATCH($G2020,'Catalog'!$A:$A,0)),$B2020))</f>
        <v>K078 XXL</v>
      </c>
      <c r="I2020" s="8" t="str">
        <f aca="false">IF($G2020="","Unmatched","Matched")</f>
        <v>Unmatched</v>
      </c>
    </row>
    <row r="2021" customFormat="false" ht="15" hidden="false" customHeight="false" outlineLevel="0" collapsed="false">
      <c r="A2021" s="8" t="s">
        <v>10</v>
      </c>
      <c r="B2021" s="8" t="s">
        <v>891</v>
      </c>
      <c r="C2021" s="19" t="n">
        <v>1400</v>
      </c>
      <c r="D2021" s="19" t="n">
        <v>62020</v>
      </c>
      <c r="E2021" s="19" t="n">
        <v>1000</v>
      </c>
      <c r="F2021" s="19" t="n">
        <v>44300</v>
      </c>
      <c r="G2021" s="8" t="str">
        <f aca="false">IFERROR(INDEX('TRANS'!$B:$B,MATCH($B2021,'TRANS'!$A:$A,0)),IFERROR(INDEX('TRANS'!$B:$B,MATCH(TRIM(SUBSTITUTE($B2021,CHAR(160)," ")),'TRANS'!$D:$D,0)),IFERROR(INDEX('Catalog'!$A:$A,MATCH($B2021,'Catalog'!$B:$B,0)),IFERROR(INDEX('Catalog'!$A:$A,MATCH(TRIM(SUBSTITUTE($B2021,CHAR(160)," ")),'Catalog'!$C:$C,0)),""))))</f>
        <v/>
      </c>
      <c r="H2021" s="8" t="str">
        <f aca="false">IFERROR(INDEX('TRANS'!$C:$C,MATCH($B2021,'TRANS'!$A:$A,0)),IFERROR(INDEX('Catalog'!$B:$B,MATCH($G2021,'Catalog'!$A:$A,0)),$B2021))</f>
        <v>K11U L</v>
      </c>
      <c r="I2021" s="8" t="str">
        <f aca="false">IF($G2021="","Unmatched","Matched")</f>
        <v>Unmatched</v>
      </c>
    </row>
    <row r="2022" customFormat="false" ht="15" hidden="false" customHeight="false" outlineLevel="0" collapsed="false">
      <c r="A2022" s="8" t="s">
        <v>10</v>
      </c>
      <c r="B2022" s="8" t="s">
        <v>892</v>
      </c>
      <c r="C2022" s="19" t="n">
        <v>950</v>
      </c>
      <c r="D2022" s="19" t="n">
        <v>42085</v>
      </c>
      <c r="E2022" s="19" t="n">
        <v>650</v>
      </c>
      <c r="F2022" s="19" t="n">
        <v>28795</v>
      </c>
      <c r="G2022" s="8" t="str">
        <f aca="false">IFERROR(INDEX('TRANS'!$B:$B,MATCH($B2022,'TRANS'!$A:$A,0)),IFERROR(INDEX('TRANS'!$B:$B,MATCH(TRIM(SUBSTITUTE($B2022,CHAR(160)," ")),'TRANS'!$D:$D,0)),IFERROR(INDEX('Catalog'!$A:$A,MATCH($B2022,'Catalog'!$B:$B,0)),IFERROR(INDEX('Catalog'!$A:$A,MATCH(TRIM(SUBSTITUTE($B2022,CHAR(160)," ")),'Catalog'!$C:$C,0)),""))))</f>
        <v/>
      </c>
      <c r="H2022" s="8" t="str">
        <f aca="false">IFERROR(INDEX('TRANS'!$C:$C,MATCH($B2022,'TRANS'!$A:$A,0)),IFERROR(INDEX('Catalog'!$B:$B,MATCH($G2022,'Catalog'!$A:$A,0)),$B2022))</f>
        <v>K11U M</v>
      </c>
      <c r="I2022" s="8" t="str">
        <f aca="false">IF($G2022="","Unmatched","Matched")</f>
        <v>Unmatched</v>
      </c>
    </row>
    <row r="2023" customFormat="false" ht="15" hidden="false" customHeight="false" outlineLevel="0" collapsed="false">
      <c r="A2023" s="8" t="s">
        <v>10</v>
      </c>
      <c r="B2023" s="8" t="s">
        <v>893</v>
      </c>
      <c r="C2023" s="19" t="n">
        <v>1300</v>
      </c>
      <c r="D2023" s="19" t="n">
        <v>57590</v>
      </c>
      <c r="E2023" s="19" t="n">
        <v>900</v>
      </c>
      <c r="F2023" s="19" t="n">
        <v>39870</v>
      </c>
      <c r="G2023" s="8" t="str">
        <f aca="false">IFERROR(INDEX('TRANS'!$B:$B,MATCH($B2023,'TRANS'!$A:$A,0)),IFERROR(INDEX('TRANS'!$B:$B,MATCH(TRIM(SUBSTITUTE($B2023,CHAR(160)," ")),'TRANS'!$D:$D,0)),IFERROR(INDEX('Catalog'!$A:$A,MATCH($B2023,'Catalog'!$B:$B,0)),IFERROR(INDEX('Catalog'!$A:$A,MATCH(TRIM(SUBSTITUTE($B2023,CHAR(160)," ")),'Catalog'!$C:$C,0)),""))))</f>
        <v/>
      </c>
      <c r="H2023" s="8" t="str">
        <f aca="false">IFERROR(INDEX('TRANS'!$C:$C,MATCH($B2023,'TRANS'!$A:$A,0)),IFERROR(INDEX('Catalog'!$B:$B,MATCH($G2023,'Catalog'!$A:$A,0)),$B2023))</f>
        <v>K11U XL</v>
      </c>
      <c r="I2023" s="8" t="str">
        <f aca="false">IF($G2023="","Unmatched","Matched")</f>
        <v>Unmatched</v>
      </c>
    </row>
    <row r="2024" customFormat="false" ht="15" hidden="false" customHeight="false" outlineLevel="0" collapsed="false">
      <c r="A2024" s="8" t="s">
        <v>10</v>
      </c>
      <c r="B2024" s="8" t="s">
        <v>894</v>
      </c>
      <c r="C2024" s="19" t="n">
        <v>945</v>
      </c>
      <c r="D2024" s="19" t="n">
        <v>41863.5</v>
      </c>
      <c r="E2024" s="19" t="n">
        <v>720</v>
      </c>
      <c r="F2024" s="19" t="n">
        <v>31896</v>
      </c>
      <c r="G2024" s="8" t="str">
        <f aca="false">IFERROR(INDEX('TRANS'!$B:$B,MATCH($B2024,'TRANS'!$A:$A,0)),IFERROR(INDEX('TRANS'!$B:$B,MATCH(TRIM(SUBSTITUTE($B2024,CHAR(160)," ")),'TRANS'!$D:$D,0)),IFERROR(INDEX('Catalog'!$A:$A,MATCH($B2024,'Catalog'!$B:$B,0)),IFERROR(INDEX('Catalog'!$A:$A,MATCH(TRIM(SUBSTITUTE($B2024,CHAR(160)," ")),'Catalog'!$C:$C,0)),""))))</f>
        <v/>
      </c>
      <c r="H2024" s="8" t="str">
        <f aca="false">IFERROR(INDEX('TRANS'!$C:$C,MATCH($B2024,'TRANS'!$A:$A,0)),IFERROR(INDEX('Catalog'!$B:$B,MATCH($G2024,'Catalog'!$A:$A,0)),$B2024))</f>
        <v>K11U XXL</v>
      </c>
      <c r="I2024" s="8" t="str">
        <f aca="false">IF($G2024="","Unmatched","Matched")</f>
        <v>Unmatched</v>
      </c>
    </row>
    <row r="2025" customFormat="false" ht="15" hidden="false" customHeight="false" outlineLevel="0" collapsed="false">
      <c r="A2025" s="8" t="s">
        <v>10</v>
      </c>
      <c r="B2025" s="8" t="s">
        <v>895</v>
      </c>
      <c r="C2025" s="19" t="n">
        <v>7320</v>
      </c>
      <c r="D2025" s="19" t="n">
        <v>92964</v>
      </c>
      <c r="E2025" s="19" t="n">
        <v>4200</v>
      </c>
      <c r="F2025" s="19" t="n">
        <v>53340</v>
      </c>
      <c r="G2025" s="8" t="str">
        <f aca="false">IFERROR(INDEX('TRANS'!$B:$B,MATCH($B2025,'TRANS'!$A:$A,0)),IFERROR(INDEX('TRANS'!$B:$B,MATCH(TRIM(SUBSTITUTE($B2025,CHAR(160)," ")),'TRANS'!$D:$D,0)),IFERROR(INDEX('Catalog'!$A:$A,MATCH($B2025,'Catalog'!$B:$B,0)),IFERROR(INDEX('Catalog'!$A:$A,MATCH(TRIM(SUBSTITUTE($B2025,CHAR(160)," ")),'Catalog'!$C:$C,0)),""))))</f>
        <v/>
      </c>
      <c r="H2025" s="8" t="str">
        <f aca="false">IFERROR(INDEX('TRANS'!$C:$C,MATCH($B2025,'TRANS'!$A:$A,0)),IFERROR(INDEX('Catalog'!$B:$B,MATCH($G2025,'Catalog'!$A:$A,0)),$B2025))</f>
        <v>K35 L</v>
      </c>
      <c r="I2025" s="8" t="str">
        <f aca="false">IF($G2025="","Unmatched","Matched")</f>
        <v>Unmatched</v>
      </c>
    </row>
    <row r="2026" customFormat="false" ht="15" hidden="false" customHeight="false" outlineLevel="0" collapsed="false">
      <c r="A2026" s="8" t="s">
        <v>10</v>
      </c>
      <c r="B2026" s="8" t="s">
        <v>896</v>
      </c>
      <c r="C2026" s="19" t="n">
        <v>4920</v>
      </c>
      <c r="D2026" s="19" t="n">
        <v>62484</v>
      </c>
      <c r="E2026" s="19" t="n">
        <v>3720</v>
      </c>
      <c r="F2026" s="19" t="n">
        <v>47244</v>
      </c>
      <c r="G2026" s="8" t="str">
        <f aca="false">IFERROR(INDEX('TRANS'!$B:$B,MATCH($B2026,'TRANS'!$A:$A,0)),IFERROR(INDEX('TRANS'!$B:$B,MATCH(TRIM(SUBSTITUTE($B2026,CHAR(160)," ")),'TRANS'!$D:$D,0)),IFERROR(INDEX('Catalog'!$A:$A,MATCH($B2026,'Catalog'!$B:$B,0)),IFERROR(INDEX('Catalog'!$A:$A,MATCH(TRIM(SUBSTITUTE($B2026,CHAR(160)," ")),'Catalog'!$C:$C,0)),""))))</f>
        <v/>
      </c>
      <c r="H2026" s="8" t="str">
        <f aca="false">IFERROR(INDEX('TRANS'!$C:$C,MATCH($B2026,'TRANS'!$A:$A,0)),IFERROR(INDEX('Catalog'!$B:$B,MATCH($G2026,'Catalog'!$A:$A,0)),$B2026))</f>
        <v>K35 M</v>
      </c>
      <c r="I2026" s="8" t="str">
        <f aca="false">IF($G2026="","Unmatched","Matched")</f>
        <v>Unmatched</v>
      </c>
    </row>
    <row r="2027" customFormat="false" ht="15" hidden="false" customHeight="false" outlineLevel="0" collapsed="false">
      <c r="A2027" s="8" t="s">
        <v>10</v>
      </c>
      <c r="B2027" s="8" t="s">
        <v>897</v>
      </c>
      <c r="C2027" s="19" t="n">
        <v>1920</v>
      </c>
      <c r="D2027" s="19" t="n">
        <v>24384</v>
      </c>
      <c r="E2027" s="19" t="n">
        <v>1560</v>
      </c>
      <c r="F2027" s="19" t="n">
        <v>19812</v>
      </c>
      <c r="G2027" s="8" t="str">
        <f aca="false">IFERROR(INDEX('TRANS'!$B:$B,MATCH($B2027,'TRANS'!$A:$A,0)),IFERROR(INDEX('TRANS'!$B:$B,MATCH(TRIM(SUBSTITUTE($B2027,CHAR(160)," ")),'TRANS'!$D:$D,0)),IFERROR(INDEX('Catalog'!$A:$A,MATCH($B2027,'Catalog'!$B:$B,0)),IFERROR(INDEX('Catalog'!$A:$A,MATCH(TRIM(SUBSTITUTE($B2027,CHAR(160)," ")),'Catalog'!$C:$C,0)),""))))</f>
        <v/>
      </c>
      <c r="H2027" s="8" t="str">
        <f aca="false">IFERROR(INDEX('TRANS'!$C:$C,MATCH($B2027,'TRANS'!$A:$A,0)),IFERROR(INDEX('Catalog'!$B:$B,MATCH($G2027,'Catalog'!$A:$A,0)),$B2027))</f>
        <v>K35 S</v>
      </c>
      <c r="I2027" s="8" t="str">
        <f aca="false">IF($G2027="","Unmatched","Matched")</f>
        <v>Unmatched</v>
      </c>
    </row>
    <row r="2028" customFormat="false" ht="15" hidden="false" customHeight="false" outlineLevel="0" collapsed="false">
      <c r="A2028" s="8" t="s">
        <v>10</v>
      </c>
      <c r="B2028" s="8" t="s">
        <v>898</v>
      </c>
      <c r="C2028" s="19" t="n">
        <v>5400</v>
      </c>
      <c r="D2028" s="19" t="n">
        <v>68580</v>
      </c>
      <c r="E2028" s="19" t="n">
        <v>4680</v>
      </c>
      <c r="F2028" s="19" t="n">
        <v>59436</v>
      </c>
      <c r="G2028" s="8" t="str">
        <f aca="false">IFERROR(INDEX('TRANS'!$B:$B,MATCH($B2028,'TRANS'!$A:$A,0)),IFERROR(INDEX('TRANS'!$B:$B,MATCH(TRIM(SUBSTITUTE($B2028,CHAR(160)," ")),'TRANS'!$D:$D,0)),IFERROR(INDEX('Catalog'!$A:$A,MATCH($B2028,'Catalog'!$B:$B,0)),IFERROR(INDEX('Catalog'!$A:$A,MATCH(TRIM(SUBSTITUTE($B2028,CHAR(160)," ")),'Catalog'!$C:$C,0)),""))))</f>
        <v/>
      </c>
      <c r="H2028" s="8" t="str">
        <f aca="false">IFERROR(INDEX('TRANS'!$C:$C,MATCH($B2028,'TRANS'!$A:$A,0)),IFERROR(INDEX('Catalog'!$B:$B,MATCH($G2028,'Catalog'!$A:$A,0)),$B2028))</f>
        <v>K35 XL</v>
      </c>
      <c r="I2028" s="8" t="str">
        <f aca="false">IF($G2028="","Unmatched","Matched")</f>
        <v>Unmatched</v>
      </c>
    </row>
    <row r="2029" customFormat="false" ht="15" hidden="false" customHeight="false" outlineLevel="0" collapsed="false">
      <c r="A2029" s="8" t="s">
        <v>10</v>
      </c>
      <c r="B2029" s="8" t="s">
        <v>899</v>
      </c>
      <c r="C2029" s="19" t="n">
        <v>9480</v>
      </c>
      <c r="D2029" s="19" t="n">
        <v>118622.4</v>
      </c>
      <c r="E2029" s="19" t="n">
        <v>8160</v>
      </c>
      <c r="F2029" s="19" t="n">
        <v>97593.6</v>
      </c>
      <c r="G2029" s="8" t="str">
        <f aca="false">IFERROR(INDEX('TRANS'!$B:$B,MATCH($B2029,'TRANS'!$A:$A,0)),IFERROR(INDEX('TRANS'!$B:$B,MATCH(TRIM(SUBSTITUTE($B2029,CHAR(160)," ")),'TRANS'!$D:$D,0)),IFERROR(INDEX('Catalog'!$A:$A,MATCH($B2029,'Catalog'!$B:$B,0)),IFERROR(INDEX('Catalog'!$A:$A,MATCH(TRIM(SUBSTITUTE($B2029,CHAR(160)," ")),'Catalog'!$C:$C,0)),""))))</f>
        <v/>
      </c>
      <c r="H2029" s="8" t="str">
        <f aca="false">IFERROR(INDEX('TRANS'!$C:$C,MATCH($B2029,'TRANS'!$A:$A,0)),IFERROR(INDEX('Catalog'!$B:$B,MATCH($G2029,'Catalog'!$A:$A,0)),$B2029))</f>
        <v>K45 L</v>
      </c>
      <c r="I2029" s="8" t="str">
        <f aca="false">IF($G2029="","Unmatched","Matched")</f>
        <v>Unmatched</v>
      </c>
    </row>
    <row r="2030" customFormat="false" ht="15" hidden="false" customHeight="false" outlineLevel="0" collapsed="false">
      <c r="A2030" s="8" t="s">
        <v>10</v>
      </c>
      <c r="B2030" s="8" t="s">
        <v>900</v>
      </c>
      <c r="C2030" s="19" t="n">
        <v>6720</v>
      </c>
      <c r="D2030" s="19" t="n">
        <v>87360</v>
      </c>
      <c r="E2030" s="19" t="n">
        <v>4560</v>
      </c>
      <c r="F2030" s="19" t="n">
        <v>59280</v>
      </c>
      <c r="G2030" s="8" t="str">
        <f aca="false">IFERROR(INDEX('TRANS'!$B:$B,MATCH($B2030,'TRANS'!$A:$A,0)),IFERROR(INDEX('TRANS'!$B:$B,MATCH(TRIM(SUBSTITUTE($B2030,CHAR(160)," ")),'TRANS'!$D:$D,0)),IFERROR(INDEX('Catalog'!$A:$A,MATCH($B2030,'Catalog'!$B:$B,0)),IFERROR(INDEX('Catalog'!$A:$A,MATCH(TRIM(SUBSTITUTE($B2030,CHAR(160)," ")),'Catalog'!$C:$C,0)),""))))</f>
        <v/>
      </c>
      <c r="H2030" s="8" t="str">
        <f aca="false">IFERROR(INDEX('TRANS'!$C:$C,MATCH($B2030,'TRANS'!$A:$A,0)),IFERROR(INDEX('Catalog'!$B:$B,MATCH($G2030,'Catalog'!$A:$A,0)),$B2030))</f>
        <v>K45 M</v>
      </c>
      <c r="I2030" s="8" t="str">
        <f aca="false">IF($G2030="","Unmatched","Matched")</f>
        <v>Unmatched</v>
      </c>
    </row>
    <row r="2031" customFormat="false" ht="15" hidden="false" customHeight="false" outlineLevel="0" collapsed="false">
      <c r="A2031" s="8" t="s">
        <v>10</v>
      </c>
      <c r="B2031" s="8" t="s">
        <v>901</v>
      </c>
      <c r="C2031" s="19" t="n">
        <v>2040</v>
      </c>
      <c r="D2031" s="19" t="n">
        <v>26520</v>
      </c>
      <c r="E2031" s="19" t="n">
        <v>1440</v>
      </c>
      <c r="F2031" s="19" t="n">
        <v>18720</v>
      </c>
      <c r="G2031" s="8" t="str">
        <f aca="false">IFERROR(INDEX('TRANS'!$B:$B,MATCH($B2031,'TRANS'!$A:$A,0)),IFERROR(INDEX('TRANS'!$B:$B,MATCH(TRIM(SUBSTITUTE($B2031,CHAR(160)," ")),'TRANS'!$D:$D,0)),IFERROR(INDEX('Catalog'!$A:$A,MATCH($B2031,'Catalog'!$B:$B,0)),IFERROR(INDEX('Catalog'!$A:$A,MATCH(TRIM(SUBSTITUTE($B2031,CHAR(160)," ")),'Catalog'!$C:$C,0)),""))))</f>
        <v/>
      </c>
      <c r="H2031" s="8" t="str">
        <f aca="false">IFERROR(INDEX('TRANS'!$C:$C,MATCH($B2031,'TRANS'!$A:$A,0)),IFERROR(INDEX('Catalog'!$B:$B,MATCH($G2031,'Catalog'!$A:$A,0)),$B2031))</f>
        <v>K45 S</v>
      </c>
      <c r="I2031" s="8" t="str">
        <f aca="false">IF($G2031="","Unmatched","Matched")</f>
        <v>Unmatched</v>
      </c>
    </row>
    <row r="2032" customFormat="false" ht="15" hidden="false" customHeight="false" outlineLevel="0" collapsed="false">
      <c r="A2032" s="8" t="s">
        <v>10</v>
      </c>
      <c r="B2032" s="8" t="s">
        <v>902</v>
      </c>
      <c r="C2032" s="19" t="n">
        <v>9960</v>
      </c>
      <c r="D2032" s="19" t="n">
        <v>124737.6</v>
      </c>
      <c r="E2032" s="19" t="n">
        <v>6840</v>
      </c>
      <c r="F2032" s="19" t="n">
        <v>81806.4</v>
      </c>
      <c r="G2032" s="8" t="str">
        <f aca="false">IFERROR(INDEX('TRANS'!$B:$B,MATCH($B2032,'TRANS'!$A:$A,0)),IFERROR(INDEX('TRANS'!$B:$B,MATCH(TRIM(SUBSTITUTE($B2032,CHAR(160)," ")),'TRANS'!$D:$D,0)),IFERROR(INDEX('Catalog'!$A:$A,MATCH($B2032,'Catalog'!$B:$B,0)),IFERROR(INDEX('Catalog'!$A:$A,MATCH(TRIM(SUBSTITUTE($B2032,CHAR(160)," ")),'Catalog'!$C:$C,0)),""))))</f>
        <v/>
      </c>
      <c r="H2032" s="8" t="str">
        <f aca="false">IFERROR(INDEX('TRANS'!$C:$C,MATCH($B2032,'TRANS'!$A:$A,0)),IFERROR(INDEX('Catalog'!$B:$B,MATCH($G2032,'Catalog'!$A:$A,0)),$B2032))</f>
        <v>K45 XL</v>
      </c>
      <c r="I2032" s="8" t="str">
        <f aca="false">IF($G2032="","Unmatched","Matched")</f>
        <v>Unmatched</v>
      </c>
    </row>
    <row r="2033" customFormat="false" ht="15" hidden="false" customHeight="false" outlineLevel="0" collapsed="false">
      <c r="A2033" s="8" t="s">
        <v>10</v>
      </c>
      <c r="B2033" s="8" t="s">
        <v>903</v>
      </c>
      <c r="C2033" s="19" t="n">
        <v>1500</v>
      </c>
      <c r="D2033" s="19" t="n">
        <v>32400</v>
      </c>
      <c r="E2033" s="19" t="n">
        <v>900</v>
      </c>
      <c r="F2033" s="19" t="n">
        <v>19440</v>
      </c>
      <c r="G2033" s="8" t="str">
        <f aca="false">IFERROR(INDEX('TRANS'!$B:$B,MATCH($B2033,'TRANS'!$A:$A,0)),IFERROR(INDEX('TRANS'!$B:$B,MATCH(TRIM(SUBSTITUTE($B2033,CHAR(160)," ")),'TRANS'!$D:$D,0)),IFERROR(INDEX('Catalog'!$A:$A,MATCH($B2033,'Catalog'!$B:$B,0)),IFERROR(INDEX('Catalog'!$A:$A,MATCH(TRIM(SUBSTITUTE($B2033,CHAR(160)," ")),'Catalog'!$C:$C,0)),""))))</f>
        <v/>
      </c>
      <c r="H2033" s="8" t="str">
        <f aca="false">IFERROR(INDEX('TRANS'!$C:$C,MATCH($B2033,'TRANS'!$A:$A,0)),IFERROR(INDEX('Catalog'!$B:$B,MATCH($G2033,'Catalog'!$A:$A,0)),$B2033))</f>
        <v>K61 L</v>
      </c>
      <c r="I2033" s="8" t="str">
        <f aca="false">IF($G2033="","Unmatched","Matched")</f>
        <v>Unmatched</v>
      </c>
    </row>
    <row r="2034" customFormat="false" ht="15" hidden="false" customHeight="false" outlineLevel="0" collapsed="false">
      <c r="A2034" s="8" t="s">
        <v>10</v>
      </c>
      <c r="B2034" s="8" t="s">
        <v>904</v>
      </c>
      <c r="C2034" s="19" t="n">
        <v>720</v>
      </c>
      <c r="D2034" s="19" t="n">
        <v>15552</v>
      </c>
      <c r="E2034" s="19" t="n">
        <v>660</v>
      </c>
      <c r="F2034" s="19" t="n">
        <v>14256</v>
      </c>
      <c r="G2034" s="8" t="str">
        <f aca="false">IFERROR(INDEX('TRANS'!$B:$B,MATCH($B2034,'TRANS'!$A:$A,0)),IFERROR(INDEX('TRANS'!$B:$B,MATCH(TRIM(SUBSTITUTE($B2034,CHAR(160)," ")),'TRANS'!$D:$D,0)),IFERROR(INDEX('Catalog'!$A:$A,MATCH($B2034,'Catalog'!$B:$B,0)),IFERROR(INDEX('Catalog'!$A:$A,MATCH(TRIM(SUBSTITUTE($B2034,CHAR(160)," ")),'Catalog'!$C:$C,0)),""))))</f>
        <v/>
      </c>
      <c r="H2034" s="8" t="str">
        <f aca="false">IFERROR(INDEX('TRANS'!$C:$C,MATCH($B2034,'TRANS'!$A:$A,0)),IFERROR(INDEX('Catalog'!$B:$B,MATCH($G2034,'Catalog'!$A:$A,0)),$B2034))</f>
        <v>K61 M</v>
      </c>
      <c r="I2034" s="8" t="str">
        <f aca="false">IF($G2034="","Unmatched","Matched")</f>
        <v>Unmatched</v>
      </c>
    </row>
    <row r="2035" customFormat="false" ht="15" hidden="false" customHeight="false" outlineLevel="0" collapsed="false">
      <c r="A2035" s="8" t="s">
        <v>10</v>
      </c>
      <c r="B2035" s="8" t="s">
        <v>905</v>
      </c>
      <c r="C2035" s="19" t="n">
        <v>1680</v>
      </c>
      <c r="D2035" s="19" t="n">
        <v>28560</v>
      </c>
      <c r="E2035" s="19" t="n">
        <v>1440</v>
      </c>
      <c r="F2035" s="19" t="n">
        <v>24480</v>
      </c>
      <c r="G2035" s="8" t="str">
        <f aca="false">IFERROR(INDEX('TRANS'!$B:$B,MATCH($B2035,'TRANS'!$A:$A,0)),IFERROR(INDEX('TRANS'!$B:$B,MATCH(TRIM(SUBSTITUTE($B2035,CHAR(160)," ")),'TRANS'!$D:$D,0)),IFERROR(INDEX('Catalog'!$A:$A,MATCH($B2035,'Catalog'!$B:$B,0)),IFERROR(INDEX('Catalog'!$A:$A,MATCH(TRIM(SUBSTITUTE($B2035,CHAR(160)," ")),'Catalog'!$C:$C,0)),""))))</f>
        <v/>
      </c>
      <c r="H2035" s="8" t="str">
        <f aca="false">IFERROR(INDEX('TRANS'!$C:$C,MATCH($B2035,'TRANS'!$A:$A,0)),IFERROR(INDEX('Catalog'!$B:$B,MATCH($G2035,'Catalog'!$A:$A,0)),$B2035))</f>
        <v>K801 0</v>
      </c>
      <c r="I2035" s="8" t="str">
        <f aca="false">IF($G2035="","Unmatched","Matched")</f>
        <v>Unmatched</v>
      </c>
    </row>
    <row r="2036" customFormat="false" ht="15" hidden="false" customHeight="false" outlineLevel="0" collapsed="false">
      <c r="A2036" s="8" t="s">
        <v>10</v>
      </c>
      <c r="B2036" s="8" t="s">
        <v>906</v>
      </c>
      <c r="C2036" s="19" t="n">
        <v>1360</v>
      </c>
      <c r="D2036" s="19" t="n">
        <v>46240</v>
      </c>
      <c r="E2036" s="19" t="n">
        <v>1040</v>
      </c>
      <c r="F2036" s="19" t="n">
        <v>35360</v>
      </c>
      <c r="G2036" s="8" t="str">
        <f aca="false">IFERROR(INDEX('TRANS'!$B:$B,MATCH($B2036,'TRANS'!$A:$A,0)),IFERROR(INDEX('TRANS'!$B:$B,MATCH(TRIM(SUBSTITUTE($B2036,CHAR(160)," ")),'TRANS'!$D:$D,0)),IFERROR(INDEX('Catalog'!$A:$A,MATCH($B2036,'Catalog'!$B:$B,0)),IFERROR(INDEX('Catalog'!$A:$A,MATCH(TRIM(SUBSTITUTE($B2036,CHAR(160)," ")),'Catalog'!$C:$C,0)),""))))</f>
        <v/>
      </c>
      <c r="H2036" s="8" t="str">
        <f aca="false">IFERROR(INDEX('TRANS'!$C:$C,MATCH($B2036,'TRANS'!$A:$A,0)),IFERROR(INDEX('Catalog'!$B:$B,MATCH($G2036,'Catalog'!$A:$A,0)),$B2036))</f>
        <v>K85 L</v>
      </c>
      <c r="I2036" s="8" t="str">
        <f aca="false">IF($G2036="","Unmatched","Matched")</f>
        <v>Unmatched</v>
      </c>
    </row>
    <row r="2037" customFormat="false" ht="15" hidden="false" customHeight="false" outlineLevel="0" collapsed="false">
      <c r="A2037" s="8" t="s">
        <v>10</v>
      </c>
      <c r="B2037" s="8" t="s">
        <v>907</v>
      </c>
      <c r="C2037" s="19" t="n">
        <v>800</v>
      </c>
      <c r="D2037" s="19" t="n">
        <v>27200</v>
      </c>
      <c r="E2037" s="19" t="n">
        <v>720</v>
      </c>
      <c r="F2037" s="19" t="n">
        <v>24480</v>
      </c>
      <c r="G2037" s="8" t="str">
        <f aca="false">IFERROR(INDEX('TRANS'!$B:$B,MATCH($B2037,'TRANS'!$A:$A,0)),IFERROR(INDEX('TRANS'!$B:$B,MATCH(TRIM(SUBSTITUTE($B2037,CHAR(160)," ")),'TRANS'!$D:$D,0)),IFERROR(INDEX('Catalog'!$A:$A,MATCH($B2037,'Catalog'!$B:$B,0)),IFERROR(INDEX('Catalog'!$A:$A,MATCH(TRIM(SUBSTITUTE($B2037,CHAR(160)," ")),'Catalog'!$C:$C,0)),""))))</f>
        <v/>
      </c>
      <c r="H2037" s="8" t="str">
        <f aca="false">IFERROR(INDEX('TRANS'!$C:$C,MATCH($B2037,'TRANS'!$A:$A,0)),IFERROR(INDEX('Catalog'!$B:$B,MATCH($G2037,'Catalog'!$A:$A,0)),$B2037))</f>
        <v>K85 M</v>
      </c>
      <c r="I2037" s="8" t="str">
        <f aca="false">IF($G2037="","Unmatched","Matched")</f>
        <v>Unmatched</v>
      </c>
    </row>
    <row r="2038" customFormat="false" ht="15" hidden="false" customHeight="false" outlineLevel="0" collapsed="false">
      <c r="A2038" s="8" t="s">
        <v>10</v>
      </c>
      <c r="B2038" s="8" t="s">
        <v>908</v>
      </c>
      <c r="C2038" s="19" t="n">
        <v>0</v>
      </c>
      <c r="D2038" s="19" t="n">
        <v>0</v>
      </c>
      <c r="E2038" s="19" t="n">
        <v>-2</v>
      </c>
      <c r="F2038" s="19" t="n">
        <v>-1176</v>
      </c>
      <c r="G2038" s="8" t="str">
        <f aca="false">IFERROR(INDEX('TRANS'!$B:$B,MATCH($B2038,'TRANS'!$A:$A,0)),IFERROR(INDEX('TRANS'!$B:$B,MATCH(TRIM(SUBSTITUTE($B2038,CHAR(160)," ")),'TRANS'!$D:$D,0)),IFERROR(INDEX('Catalog'!$A:$A,MATCH($B2038,'Catalog'!$B:$B,0)),IFERROR(INDEX('Catalog'!$A:$A,MATCH(TRIM(SUBSTITUTE($B2038,CHAR(160)," ")),'Catalog'!$C:$C,0)),""))))</f>
        <v/>
      </c>
      <c r="H2038" s="8" t="str">
        <f aca="false">IFERROR(INDEX('TRANS'!$C:$C,MATCH($B2038,'TRANS'!$A:$A,0)),IFERROR(INDEX('Catalog'!$B:$B,MATCH($G2038,'Catalog'!$A:$A,0)),$B2038))</f>
        <v>99 General</v>
      </c>
      <c r="I2038" s="8" t="str">
        <f aca="false">IF($G2038="","Unmatched","Matched")</f>
        <v>Unmatched</v>
      </c>
    </row>
    <row r="2039" customFormat="false" ht="15" hidden="false" customHeight="false" outlineLevel="0" collapsed="false">
      <c r="A2039" s="8" t="s">
        <v>10</v>
      </c>
      <c r="B2039" s="8" t="s">
        <v>909</v>
      </c>
      <c r="C2039" s="19" t="n">
        <v>1700</v>
      </c>
      <c r="D2039" s="19" t="n">
        <v>53890</v>
      </c>
      <c r="E2039" s="19" t="n">
        <v>1250</v>
      </c>
      <c r="F2039" s="19" t="n">
        <v>39625</v>
      </c>
      <c r="G2039" s="8" t="str">
        <f aca="false">IFERROR(INDEX('TRANS'!$B:$B,MATCH($B2039,'TRANS'!$A:$A,0)),IFERROR(INDEX('TRANS'!$B:$B,MATCH(TRIM(SUBSTITUTE($B2039,CHAR(160)," ")),'TRANS'!$D:$D,0)),IFERROR(INDEX('Catalog'!$A:$A,MATCH($B2039,'Catalog'!$B:$B,0)),IFERROR(INDEX('Catalog'!$A:$A,MATCH(TRIM(SUBSTITUTE($B2039,CHAR(160)," ")),'Catalog'!$C:$C,0)),""))))</f>
        <v/>
      </c>
      <c r="H2039" s="8" t="str">
        <f aca="false">IFERROR(INDEX('TRANS'!$C:$C,MATCH($B2039,'TRANS'!$A:$A,0)),IFERROR(INDEX('Catalog'!$B:$B,MATCH($G2039,'Catalog'!$A:$A,0)),$B2039))</f>
        <v>KST11 0</v>
      </c>
      <c r="I2039" s="8" t="str">
        <f aca="false">IF($G2039="","Unmatched","Matched")</f>
        <v>Unmatched</v>
      </c>
    </row>
    <row r="2040" customFormat="false" ht="15" hidden="false" customHeight="false" outlineLevel="0" collapsed="false">
      <c r="A2040" s="8" t="s">
        <v>10</v>
      </c>
      <c r="B2040" s="8" t="s">
        <v>910</v>
      </c>
      <c r="C2040" s="19" t="n">
        <v>4920</v>
      </c>
      <c r="D2040" s="19" t="n">
        <v>66912</v>
      </c>
      <c r="E2040" s="19" t="n">
        <v>4080</v>
      </c>
      <c r="F2040" s="19" t="n">
        <v>55488</v>
      </c>
      <c r="G2040" s="8" t="str">
        <f aca="false">IFERROR(INDEX('TRANS'!$B:$B,MATCH($B2040,'TRANS'!$A:$A,0)),IFERROR(INDEX('TRANS'!$B:$B,MATCH(TRIM(SUBSTITUTE($B2040,CHAR(160)," ")),'TRANS'!$D:$D,0)),IFERROR(INDEX('Catalog'!$A:$A,MATCH($B2040,'Catalog'!$B:$B,0)),IFERROR(INDEX('Catalog'!$A:$A,MATCH(TRIM(SUBSTITUTE($B2040,CHAR(160)," ")),'Catalog'!$C:$C,0)),""))))</f>
        <v/>
      </c>
      <c r="H2040" s="8" t="str">
        <f aca="false">IFERROR(INDEX('TRANS'!$C:$C,MATCH($B2040,'TRANS'!$A:$A,0)),IFERROR(INDEX('Catalog'!$B:$B,MATCH($G2040,'Catalog'!$A:$A,0)),$B2040))</f>
        <v>KST20 0</v>
      </c>
      <c r="I2040" s="8" t="str">
        <f aca="false">IF($G2040="","Unmatched","Matched")</f>
        <v>Unmatched</v>
      </c>
    </row>
    <row r="2041" customFormat="false" ht="15" hidden="false" customHeight="false" outlineLevel="0" collapsed="false">
      <c r="A2041" s="8" t="s">
        <v>10</v>
      </c>
      <c r="B2041" s="8" t="s">
        <v>911</v>
      </c>
      <c r="C2041" s="19" t="n">
        <v>21480</v>
      </c>
      <c r="D2041" s="19" t="n">
        <v>344287.2</v>
      </c>
      <c r="E2041" s="19" t="n">
        <v>15110</v>
      </c>
      <c r="F2041" s="19" t="n">
        <v>227103.3</v>
      </c>
      <c r="G2041" s="8" t="str">
        <f aca="false">IFERROR(INDEX('TRANS'!$B:$B,MATCH($B2041,'TRANS'!$A:$A,0)),IFERROR(INDEX('TRANS'!$B:$B,MATCH(TRIM(SUBSTITUTE($B2041,CHAR(160)," ")),'TRANS'!$D:$D,0)),IFERROR(INDEX('Catalog'!$A:$A,MATCH($B2041,'Catalog'!$B:$B,0)),IFERROR(INDEX('Catalog'!$A:$A,MATCH(TRIM(SUBSTITUTE($B2041,CHAR(160)," ")),'Catalog'!$C:$C,0)),""))))</f>
        <v/>
      </c>
      <c r="H2041" s="8" t="str">
        <f aca="false">IFERROR(INDEX('TRANS'!$C:$C,MATCH($B2041,'TRANS'!$A:$A,0)),IFERROR(INDEX('Catalog'!$B:$B,MATCH($G2041,'Catalog'!$A:$A,0)),$B2041))</f>
        <v>KST25 0</v>
      </c>
      <c r="I2041" s="8" t="str">
        <f aca="false">IF($G2041="","Unmatched","Matched")</f>
        <v>Unmatched</v>
      </c>
    </row>
    <row r="2042" customFormat="false" ht="15" hidden="false" customHeight="false" outlineLevel="0" collapsed="false">
      <c r="A2042" s="8" t="s">
        <v>10</v>
      </c>
      <c r="B2042" s="8" t="s">
        <v>912</v>
      </c>
      <c r="C2042" s="19" t="n">
        <v>4157</v>
      </c>
      <c r="D2042" s="19" t="n">
        <v>99932.5</v>
      </c>
      <c r="E2042" s="19" t="n">
        <v>3359</v>
      </c>
      <c r="F2042" s="19" t="n">
        <v>75577.5</v>
      </c>
      <c r="G2042" s="8" t="str">
        <f aca="false">IFERROR(INDEX('TRANS'!$B:$B,MATCH($B2042,'TRANS'!$A:$A,0)),IFERROR(INDEX('TRANS'!$B:$B,MATCH(TRIM(SUBSTITUTE($B2042,CHAR(160)," ")),'TRANS'!$D:$D,0)),IFERROR(INDEX('Catalog'!$A:$A,MATCH($B2042,'Catalog'!$B:$B,0)),IFERROR(INDEX('Catalog'!$A:$A,MATCH(TRIM(SUBSTITUTE($B2042,CHAR(160)," ")),'Catalog'!$C:$C,0)),""))))</f>
        <v/>
      </c>
      <c r="H2042" s="8" t="str">
        <f aca="false">IFERROR(INDEX('TRANS'!$C:$C,MATCH($B2042,'TRANS'!$A:$A,0)),IFERROR(INDEX('Catalog'!$B:$B,MATCH($G2042,'Catalog'!$A:$A,0)),$B2042))</f>
        <v>KST27L 0</v>
      </c>
      <c r="I2042" s="8" t="str">
        <f aca="false">IF($G2042="","Unmatched","Matched")</f>
        <v>Unmatched</v>
      </c>
    </row>
    <row r="2043" customFormat="false" ht="15" hidden="false" customHeight="false" outlineLevel="0" collapsed="false">
      <c r="A2043" s="8" t="s">
        <v>10</v>
      </c>
      <c r="B2043" s="8" t="s">
        <v>913</v>
      </c>
      <c r="C2043" s="19" t="n">
        <v>5600</v>
      </c>
      <c r="D2043" s="19" t="n">
        <v>135200</v>
      </c>
      <c r="E2043" s="19" t="n">
        <v>3920</v>
      </c>
      <c r="F2043" s="19" t="n">
        <v>88200</v>
      </c>
      <c r="G2043" s="8" t="str">
        <f aca="false">IFERROR(INDEX('TRANS'!$B:$B,MATCH($B2043,'TRANS'!$A:$A,0)),IFERROR(INDEX('TRANS'!$B:$B,MATCH(TRIM(SUBSTITUTE($B2043,CHAR(160)," ")),'TRANS'!$D:$D,0)),IFERROR(INDEX('Catalog'!$A:$A,MATCH($B2043,'Catalog'!$B:$B,0)),IFERROR(INDEX('Catalog'!$A:$A,MATCH(TRIM(SUBSTITUTE($B2043,CHAR(160)," ")),'Catalog'!$C:$C,0)),""))))</f>
        <v/>
      </c>
      <c r="H2043" s="8" t="str">
        <f aca="false">IFERROR(INDEX('TRANS'!$C:$C,MATCH($B2043,'TRANS'!$A:$A,0)),IFERROR(INDEX('Catalog'!$B:$B,MATCH($G2043,'Catalog'!$A:$A,0)),$B2043))</f>
        <v>KST27R 0</v>
      </c>
      <c r="I2043" s="8" t="str">
        <f aca="false">IF($G2043="","Unmatched","Matched")</f>
        <v>Unmatched</v>
      </c>
    </row>
    <row r="2044" customFormat="false" ht="15" hidden="false" customHeight="false" outlineLevel="0" collapsed="false">
      <c r="A2044" s="8" t="s">
        <v>10</v>
      </c>
      <c r="B2044" s="8" t="s">
        <v>532</v>
      </c>
      <c r="C2044" s="19" t="n">
        <v>-1</v>
      </c>
      <c r="D2044" s="19" t="n">
        <v>-62.43</v>
      </c>
      <c r="E2044" s="19" t="n">
        <v>0</v>
      </c>
      <c r="F2044" s="19" t="n">
        <v>0</v>
      </c>
      <c r="G2044" s="8" t="str">
        <f aca="false">IFERROR(INDEX('TRANS'!$B:$B,MATCH($B2044,'TRANS'!$A:$A,0)),IFERROR(INDEX('TRANS'!$B:$B,MATCH(TRIM(SUBSTITUTE($B2044,CHAR(160)," ")),'TRANS'!$D:$D,0)),IFERROR(INDEX('Catalog'!$A:$A,MATCH($B2044,'Catalog'!$B:$B,0)),IFERROR(INDEX('Catalog'!$A:$A,MATCH(TRIM(SUBSTITUTE($B2044,CHAR(160)," ")),'Catalog'!$C:$C,0)),""))))</f>
        <v/>
      </c>
      <c r="H2044" s="8" t="str">
        <f aca="false">IFERROR(INDEX('TRANS'!$C:$C,MATCH($B2044,'TRANS'!$A:$A,0)),IFERROR(INDEX('Catalog'!$B:$B,MATCH($G2044,'Catalog'!$A:$A,0)),$B2044))</f>
        <v>ST27L 0</v>
      </c>
      <c r="I2044" s="8" t="str">
        <f aca="false">IF($G2044="","Unmatched","Matched")</f>
        <v>Unmatched</v>
      </c>
    </row>
    <row r="2045" customFormat="false" ht="15" hidden="false" customHeight="false" outlineLevel="0" collapsed="false">
      <c r="A2045" s="8" t="s">
        <v>10</v>
      </c>
      <c r="B2045" s="8" t="s">
        <v>914</v>
      </c>
      <c r="C2045" s="19" t="n">
        <v>6240</v>
      </c>
      <c r="D2045" s="19" t="n">
        <v>119520</v>
      </c>
      <c r="E2045" s="19" t="n">
        <v>4956</v>
      </c>
      <c r="F2045" s="19" t="n">
        <v>88216.8</v>
      </c>
      <c r="G2045" s="8" t="str">
        <f aca="false">IFERROR(INDEX('TRANS'!$B:$B,MATCH($B2045,'TRANS'!$A:$A,0)),IFERROR(INDEX('TRANS'!$B:$B,MATCH(TRIM(SUBSTITUTE($B2045,CHAR(160)," ")),'TRANS'!$D:$D,0)),IFERROR(INDEX('Catalog'!$A:$A,MATCH($B2045,'Catalog'!$B:$B,0)),IFERROR(INDEX('Catalog'!$A:$A,MATCH(TRIM(SUBSTITUTE($B2045,CHAR(160)," ")),'Catalog'!$C:$C,0)),""))))</f>
        <v/>
      </c>
      <c r="H2045" s="8" t="str">
        <f aca="false">IFERROR(INDEX('TRANS'!$C:$C,MATCH($B2045,'TRANS'!$A:$A,0)),IFERROR(INDEX('Catalog'!$B:$B,MATCH($G2045,'Catalog'!$A:$A,0)),$B2045))</f>
        <v>KST28 0</v>
      </c>
      <c r="I2045" s="8" t="str">
        <f aca="false">IF($G2045="","Unmatched","Matched")</f>
        <v>Unmatched</v>
      </c>
    </row>
    <row r="2046" customFormat="false" ht="15" hidden="false" customHeight="false" outlineLevel="0" collapsed="false">
      <c r="A2046" s="8" t="s">
        <v>10</v>
      </c>
      <c r="B2046" s="8" t="s">
        <v>915</v>
      </c>
      <c r="C2046" s="19" t="n">
        <v>7800</v>
      </c>
      <c r="D2046" s="19" t="n">
        <v>145066.8</v>
      </c>
      <c r="E2046" s="19" t="n">
        <v>6120</v>
      </c>
      <c r="F2046" s="19" t="n">
        <v>107283.6</v>
      </c>
      <c r="G2046" s="8" t="str">
        <f aca="false">IFERROR(INDEX('TRANS'!$B:$B,MATCH($B2046,'TRANS'!$A:$A,0)),IFERROR(INDEX('TRANS'!$B:$B,MATCH(TRIM(SUBSTITUTE($B2046,CHAR(160)," ")),'TRANS'!$D:$D,0)),IFERROR(INDEX('Catalog'!$A:$A,MATCH($B2046,'Catalog'!$B:$B,0)),IFERROR(INDEX('Catalog'!$A:$A,MATCH(TRIM(SUBSTITUTE($B2046,CHAR(160)," ")),'Catalog'!$C:$C,0)),""))))</f>
        <v/>
      </c>
      <c r="H2046" s="8" t="str">
        <f aca="false">IFERROR(INDEX('TRANS'!$C:$C,MATCH($B2046,'TRANS'!$A:$A,0)),IFERROR(INDEX('Catalog'!$B:$B,MATCH($G2046,'Catalog'!$A:$A,0)),$B2046))</f>
        <v>KST37 0</v>
      </c>
      <c r="I2046" s="8" t="str">
        <f aca="false">IF($G2046="","Unmatched","Matched")</f>
        <v>Unmatched</v>
      </c>
    </row>
    <row r="2047" customFormat="false" ht="15" hidden="false" customHeight="false" outlineLevel="0" collapsed="false">
      <c r="A2047" s="8" t="s">
        <v>10</v>
      </c>
      <c r="B2047" s="8" t="s">
        <v>536</v>
      </c>
      <c r="C2047" s="19" t="n">
        <v>13299</v>
      </c>
      <c r="D2047" s="19" t="n">
        <v>577794.6</v>
      </c>
      <c r="E2047" s="19" t="n">
        <v>9589</v>
      </c>
      <c r="F2047" s="19" t="n">
        <v>396984.6</v>
      </c>
      <c r="G2047" s="8" t="str">
        <f aca="false">IFERROR(INDEX('TRANS'!$B:$B,MATCH($B2047,'TRANS'!$A:$A,0)),IFERROR(INDEX('TRANS'!$B:$B,MATCH(TRIM(SUBSTITUTE($B2047,CHAR(160)," ")),'TRANS'!$D:$D,0)),IFERROR(INDEX('Catalog'!$A:$A,MATCH($B2047,'Catalog'!$B:$B,0)),IFERROR(INDEX('Catalog'!$A:$A,MATCH(TRIM(SUBSTITUTE($B2047,CHAR(160)," ")),'Catalog'!$C:$C,0)),""))))</f>
        <v/>
      </c>
      <c r="H2047" s="8" t="str">
        <f aca="false">IFERROR(INDEX('TRANS'!$C:$C,MATCH($B2047,'TRANS'!$A:$A,0)),IFERROR(INDEX('Catalog'!$B:$B,MATCH($G2047,'Catalog'!$A:$A,0)),$B2047))</f>
        <v>KST422 0</v>
      </c>
      <c r="I2047" s="8" t="str">
        <f aca="false">IF($G2047="","Unmatched","Matched")</f>
        <v>Unmatched</v>
      </c>
    </row>
    <row r="2048" customFormat="false" ht="15" hidden="false" customHeight="false" outlineLevel="0" collapsed="false">
      <c r="A2048" s="8" t="s">
        <v>10</v>
      </c>
      <c r="B2048" s="8" t="s">
        <v>916</v>
      </c>
      <c r="C2048" s="19" t="n">
        <v>4080</v>
      </c>
      <c r="D2048" s="19" t="n">
        <v>77112</v>
      </c>
      <c r="E2048" s="19" t="n">
        <v>3000</v>
      </c>
      <c r="F2048" s="19" t="n">
        <v>56700</v>
      </c>
      <c r="G2048" s="8" t="str">
        <f aca="false">IFERROR(INDEX('TRANS'!$B:$B,MATCH($B2048,'TRANS'!$A:$A,0)),IFERROR(INDEX('TRANS'!$B:$B,MATCH(TRIM(SUBSTITUTE($B2048,CHAR(160)," ")),'TRANS'!$D:$D,0)),IFERROR(INDEX('Catalog'!$A:$A,MATCH($B2048,'Catalog'!$B:$B,0)),IFERROR(INDEX('Catalog'!$A:$A,MATCH(TRIM(SUBSTITUTE($B2048,CHAR(160)," ")),'Catalog'!$C:$C,0)),""))))</f>
        <v/>
      </c>
      <c r="H2048" s="8" t="str">
        <f aca="false">IFERROR(INDEX('TRANS'!$C:$C,MATCH($B2048,'TRANS'!$A:$A,0)),IFERROR(INDEX('Catalog'!$B:$B,MATCH($G2048,'Catalog'!$A:$A,0)),$B2048))</f>
        <v>KST91 0</v>
      </c>
      <c r="I2048" s="8" t="str">
        <f aca="false">IF($G2048="","Unmatched","Matched")</f>
        <v>Unmatched</v>
      </c>
    </row>
    <row r="2049" customFormat="false" ht="15" hidden="false" customHeight="false" outlineLevel="0" collapsed="false">
      <c r="A2049" s="8" t="s">
        <v>10</v>
      </c>
      <c r="B2049" s="8" t="s">
        <v>917</v>
      </c>
      <c r="C2049" s="19" t="n">
        <v>5040</v>
      </c>
      <c r="D2049" s="19" t="n">
        <v>114775.2</v>
      </c>
      <c r="E2049" s="19" t="n">
        <v>3360</v>
      </c>
      <c r="F2049" s="19" t="n">
        <v>71467.2</v>
      </c>
      <c r="G2049" s="8" t="str">
        <f aca="false">IFERROR(INDEX('TRANS'!$B:$B,MATCH($B2049,'TRANS'!$A:$A,0)),IFERROR(INDEX('TRANS'!$B:$B,MATCH(TRIM(SUBSTITUTE($B2049,CHAR(160)," ")),'TRANS'!$D:$D,0)),IFERROR(INDEX('Catalog'!$A:$A,MATCH($B2049,'Catalog'!$B:$B,0)),IFERROR(INDEX('Catalog'!$A:$A,MATCH(TRIM(SUBSTITUTE($B2049,CHAR(160)," ")),'Catalog'!$C:$C,0)),""))))</f>
        <v/>
      </c>
      <c r="H2049" s="8" t="str">
        <f aca="false">IFERROR(INDEX('TRANS'!$C:$C,MATCH($B2049,'TRANS'!$A:$A,0)),IFERROR(INDEX('Catalog'!$B:$B,MATCH($G2049,'Catalog'!$A:$A,0)),$B2049))</f>
        <v>KST95 0</v>
      </c>
      <c r="I2049" s="8" t="str">
        <f aca="false">IF($G2049="","Unmatched","Matched")</f>
        <v>Unmatched</v>
      </c>
    </row>
    <row r="2050" customFormat="false" ht="15" hidden="false" customHeight="false" outlineLevel="0" collapsed="false">
      <c r="A2050" s="8" t="s">
        <v>918</v>
      </c>
      <c r="B2050" s="8" t="s">
        <v>869</v>
      </c>
      <c r="C2050" s="19" t="n">
        <v>0</v>
      </c>
      <c r="D2050" s="19" t="n">
        <v>-2545.41</v>
      </c>
      <c r="E2050" s="19" t="n">
        <v>0</v>
      </c>
      <c r="F2050" s="19" t="n">
        <v>0</v>
      </c>
      <c r="G2050" s="8" t="str">
        <f aca="false">IFERROR(INDEX('TRANS'!$B:$B,MATCH($B2050,'TRANS'!$A:$A,0)),IFERROR(INDEX('TRANS'!$B:$B,MATCH(TRIM(SUBSTITUTE($B2050,CHAR(160)," ")),'TRANS'!$D:$D,0)),IFERROR(INDEX('Catalog'!$A:$A,MATCH($B2050,'Catalog'!$B:$B,0)),IFERROR(INDEX('Catalog'!$A:$A,MATCH(TRIM(SUBSTITUTE($B2050,CHAR(160)," ")),'Catalog'!$C:$C,0)),""))))</f>
        <v/>
      </c>
      <c r="H2050" s="8" t="str">
        <f aca="false">IFERROR(INDEX('TRANS'!$C:$C,MATCH($B2050,'TRANS'!$A:$A,0)),IFERROR(INDEX('Catalog'!$B:$B,MATCH($G2050,'Catalog'!$A:$A,0)),$B2050))</f>
        <v>(NO ITEM CODE)</v>
      </c>
      <c r="I2050" s="8" t="str">
        <f aca="false">IF($G2050="","Unmatched","Matched")</f>
        <v>Unmatched</v>
      </c>
    </row>
    <row r="2051" customFormat="false" ht="15" hidden="false" customHeight="false" outlineLevel="0" collapsed="false">
      <c r="A2051" s="8" t="s">
        <v>918</v>
      </c>
      <c r="B2051" s="8" t="s">
        <v>334</v>
      </c>
      <c r="C2051" s="19" t="n">
        <v>1</v>
      </c>
      <c r="D2051" s="19" t="n">
        <v>444.83</v>
      </c>
      <c r="E2051" s="19" t="n">
        <v>0</v>
      </c>
      <c r="F2051" s="19" t="n">
        <v>0</v>
      </c>
      <c r="G2051" s="8" t="str">
        <f aca="false">IFERROR(INDEX('TRANS'!$B:$B,MATCH($B2051,'TRANS'!$A:$A,0)),IFERROR(INDEX('TRANS'!$B:$B,MATCH(TRIM(SUBSTITUTE($B2051,CHAR(160)," ")),'TRANS'!$D:$D,0)),IFERROR(INDEX('Catalog'!$A:$A,MATCH($B2051,'Catalog'!$B:$B,0)),IFERROR(INDEX('Catalog'!$A:$A,MATCH(TRIM(SUBSTITUTE($B2051,CHAR(160)," ")),'Catalog'!$C:$C,0)),""))))</f>
        <v/>
      </c>
      <c r="H2051" s="8" t="str">
        <f aca="false">IFERROR(INDEX('TRANS'!$C:$C,MATCH($B2051,'TRANS'!$A:$A,0)),IFERROR(INDEX('Catalog'!$B:$B,MATCH($G2051,'Catalog'!$A:$A,0)),$B2051))</f>
        <v>062 L</v>
      </c>
      <c r="I2051" s="8" t="str">
        <f aca="false">IF($G2051="","Unmatched","Matched")</f>
        <v>Unmatched</v>
      </c>
    </row>
    <row r="2052" customFormat="false" ht="15" hidden="false" customHeight="false" outlineLevel="0" collapsed="false">
      <c r="A2052" s="8" t="s">
        <v>918</v>
      </c>
      <c r="B2052" s="8" t="s">
        <v>919</v>
      </c>
      <c r="C2052" s="19" t="n">
        <v>1</v>
      </c>
      <c r="D2052" s="19" t="n">
        <v>444.83</v>
      </c>
      <c r="E2052" s="19" t="n">
        <v>0</v>
      </c>
      <c r="F2052" s="19" t="n">
        <v>0</v>
      </c>
      <c r="G2052" s="8" t="str">
        <f aca="false">IFERROR(INDEX('TRANS'!$B:$B,MATCH($B2052,'TRANS'!$A:$A,0)),IFERROR(INDEX('TRANS'!$B:$B,MATCH(TRIM(SUBSTITUTE($B2052,CHAR(160)," ")),'TRANS'!$D:$D,0)),IFERROR(INDEX('Catalog'!$A:$A,MATCH($B2052,'Catalog'!$B:$B,0)),IFERROR(INDEX('Catalog'!$A:$A,MATCH(TRIM(SUBSTITUTE($B2052,CHAR(160)," ")),'Catalog'!$C:$C,0)),""))))</f>
        <v/>
      </c>
      <c r="H2052" s="8" t="str">
        <f aca="false">IFERROR(INDEX('TRANS'!$C:$C,MATCH($B2052,'TRANS'!$A:$A,0)),IFERROR(INDEX('Catalog'!$B:$B,MATCH($G2052,'Catalog'!$A:$A,0)),$B2052))</f>
        <v>062 M</v>
      </c>
      <c r="I2052" s="8" t="str">
        <f aca="false">IF($G2052="","Unmatched","Matched")</f>
        <v>Unmatched</v>
      </c>
    </row>
    <row r="2053" customFormat="false" ht="15" hidden="false" customHeight="false" outlineLevel="0" collapsed="false">
      <c r="A2053" s="8" t="s">
        <v>918</v>
      </c>
      <c r="B2053" s="8" t="s">
        <v>920</v>
      </c>
      <c r="C2053" s="19" t="n">
        <v>1</v>
      </c>
      <c r="D2053" s="19" t="n">
        <v>444.83</v>
      </c>
      <c r="E2053" s="19" t="n">
        <v>0</v>
      </c>
      <c r="F2053" s="19" t="n">
        <v>0</v>
      </c>
      <c r="G2053" s="8" t="str">
        <f aca="false">IFERROR(INDEX('TRANS'!$B:$B,MATCH($B2053,'TRANS'!$A:$A,0)),IFERROR(INDEX('TRANS'!$B:$B,MATCH(TRIM(SUBSTITUTE($B2053,CHAR(160)," ")),'TRANS'!$D:$D,0)),IFERROR(INDEX('Catalog'!$A:$A,MATCH($B2053,'Catalog'!$B:$B,0)),IFERROR(INDEX('Catalog'!$A:$A,MATCH(TRIM(SUBSTITUTE($B2053,CHAR(160)," ")),'Catalog'!$C:$C,0)),""))))</f>
        <v/>
      </c>
      <c r="H2053" s="8" t="str">
        <f aca="false">IFERROR(INDEX('TRANS'!$C:$C,MATCH($B2053,'TRANS'!$A:$A,0)),IFERROR(INDEX('Catalog'!$B:$B,MATCH($G2053,'Catalog'!$A:$A,0)),$B2053))</f>
        <v>062 S</v>
      </c>
      <c r="I2053" s="8" t="str">
        <f aca="false">IF($G2053="","Unmatched","Matched")</f>
        <v>Unmatched</v>
      </c>
    </row>
    <row r="2054" customFormat="false" ht="15" hidden="false" customHeight="false" outlineLevel="0" collapsed="false">
      <c r="A2054" s="8" t="s">
        <v>918</v>
      </c>
      <c r="B2054" s="8" t="s">
        <v>921</v>
      </c>
      <c r="C2054" s="19" t="n">
        <v>5</v>
      </c>
      <c r="D2054" s="19" t="n">
        <v>1645.89</v>
      </c>
      <c r="E2054" s="19" t="n">
        <v>0</v>
      </c>
      <c r="F2054" s="19" t="n">
        <v>0</v>
      </c>
      <c r="G2054" s="8" t="str">
        <f aca="false">IFERROR(INDEX('TRANS'!$B:$B,MATCH($B2054,'TRANS'!$A:$A,0)),IFERROR(INDEX('TRANS'!$B:$B,MATCH(TRIM(SUBSTITUTE($B2054,CHAR(160)," ")),'TRANS'!$D:$D,0)),IFERROR(INDEX('Catalog'!$A:$A,MATCH($B2054,'Catalog'!$B:$B,0)),IFERROR(INDEX('Catalog'!$A:$A,MATCH(TRIM(SUBSTITUTE($B2054,CHAR(160)," ")),'Catalog'!$C:$C,0)),""))))</f>
        <v/>
      </c>
      <c r="H2054" s="8" t="str">
        <f aca="false">IFERROR(INDEX('TRANS'!$C:$C,MATCH($B2054,'TRANS'!$A:$A,0)),IFERROR(INDEX('Catalog'!$B:$B,MATCH($G2054,'Catalog'!$A:$A,0)),$B2054))</f>
        <v>062 XL</v>
      </c>
      <c r="I2054" s="8" t="str">
        <f aca="false">IF($G2054="","Unmatched","Matched")</f>
        <v>Unmatched</v>
      </c>
    </row>
    <row r="2055" customFormat="false" ht="15" hidden="false" customHeight="false" outlineLevel="0" collapsed="false">
      <c r="A2055" s="8" t="s">
        <v>918</v>
      </c>
      <c r="B2055" s="8" t="s">
        <v>613</v>
      </c>
      <c r="C2055" s="19" t="n">
        <v>8</v>
      </c>
      <c r="D2055" s="19" t="n">
        <v>1890.04</v>
      </c>
      <c r="E2055" s="19" t="n">
        <v>3</v>
      </c>
      <c r="F2055" s="19" t="n">
        <v>762.45</v>
      </c>
      <c r="G2055" s="8" t="n">
        <f aca="false">IFERROR(INDEX('TRANS'!$B:$B,MATCH($B2055,'TRANS'!$A:$A,0)),IFERROR(INDEX('TRANS'!$B:$B,MATCH(TRIM(SUBSTITUTE($B2055,CHAR(160)," ")),'TRANS'!$D:$D,0)),IFERROR(INDEX('Catalog'!$A:$A,MATCH($B2055,'Catalog'!$B:$B,0)),IFERROR(INDEX('Catalog'!$A:$A,MATCH(TRIM(SUBSTITUTE($B2055,CHAR(160)," ")),'Catalog'!$C:$C,0)),""))))</f>
        <v>4408119</v>
      </c>
      <c r="H2055" s="8" t="str">
        <f aca="false">IFERROR(INDEX('TRANS'!$C:$C,MATCH($B2055,'TRANS'!$A:$A,0)),IFERROR(INDEX('Catalog'!$B:$B,MATCH($G2055,'Catalog'!$A:$A,0)),$B2055))</f>
        <v>06U L ח.בטן מותנית צר</v>
      </c>
      <c r="I2055" s="8" t="str">
        <f aca="false">IF($G2055="","Unmatched","Matched")</f>
        <v>Matched</v>
      </c>
    </row>
    <row r="2056" customFormat="false" ht="15" hidden="false" customHeight="false" outlineLevel="0" collapsed="false">
      <c r="A2056" s="8" t="s">
        <v>918</v>
      </c>
      <c r="B2056" s="8" t="s">
        <v>59</v>
      </c>
      <c r="C2056" s="19" t="n">
        <v>6</v>
      </c>
      <c r="D2056" s="19" t="n">
        <v>1410.54</v>
      </c>
      <c r="E2056" s="19" t="n">
        <v>5</v>
      </c>
      <c r="F2056" s="19" t="n">
        <v>1232.63</v>
      </c>
      <c r="G2056" s="8" t="str">
        <f aca="false">IFERROR(INDEX('TRANS'!$B:$B,MATCH($B2056,'TRANS'!$A:$A,0)),IFERROR(INDEX('TRANS'!$B:$B,MATCH(TRIM(SUBSTITUTE($B2056,CHAR(160)," ")),'TRANS'!$D:$D,0)),IFERROR(INDEX('Catalog'!$A:$A,MATCH($B2056,'Catalog'!$B:$B,0)),IFERROR(INDEX('Catalog'!$A:$A,MATCH(TRIM(SUBSTITUTE($B2056,CHAR(160)," ")),'Catalog'!$C:$C,0)),""))))</f>
        <v/>
      </c>
      <c r="H2056" s="8" t="str">
        <f aca="false">IFERROR(INDEX('TRANS'!$C:$C,MATCH($B2056,'TRANS'!$A:$A,0)),IFERROR(INDEX('Catalog'!$B:$B,MATCH($G2056,'Catalog'!$A:$A,0)),$B2056))</f>
        <v>06U M</v>
      </c>
      <c r="I2056" s="8" t="str">
        <f aca="false">IF($G2056="","Unmatched","Matched")</f>
        <v>Unmatched</v>
      </c>
    </row>
    <row r="2057" customFormat="false" ht="15" hidden="false" customHeight="false" outlineLevel="0" collapsed="false">
      <c r="A2057" s="8" t="s">
        <v>918</v>
      </c>
      <c r="B2057" s="8" t="s">
        <v>614</v>
      </c>
      <c r="C2057" s="19" t="n">
        <v>3</v>
      </c>
      <c r="D2057" s="19" t="n">
        <v>722.63</v>
      </c>
      <c r="E2057" s="19" t="n">
        <v>1</v>
      </c>
      <c r="F2057" s="19" t="n">
        <v>406.69</v>
      </c>
      <c r="G2057" s="8" t="str">
        <f aca="false">IFERROR(INDEX('TRANS'!$B:$B,MATCH($B2057,'TRANS'!$A:$A,0)),IFERROR(INDEX('TRANS'!$B:$B,MATCH(TRIM(SUBSTITUTE($B2057,CHAR(160)," ")),'TRANS'!$D:$D,0)),IFERROR(INDEX('Catalog'!$A:$A,MATCH($B2057,'Catalog'!$B:$B,0)),IFERROR(INDEX('Catalog'!$A:$A,MATCH(TRIM(SUBSTITUTE($B2057,CHAR(160)," ")),'Catalog'!$C:$C,0)),""))))</f>
        <v/>
      </c>
      <c r="H2057" s="8" t="str">
        <f aca="false">IFERROR(INDEX('TRANS'!$C:$C,MATCH($B2057,'TRANS'!$A:$A,0)),IFERROR(INDEX('Catalog'!$B:$B,MATCH($G2057,'Catalog'!$A:$A,0)),$B2057))</f>
        <v>06U S</v>
      </c>
      <c r="I2057" s="8" t="str">
        <f aca="false">IF($G2057="","Unmatched","Matched")</f>
        <v>Unmatched</v>
      </c>
    </row>
    <row r="2058" customFormat="false" ht="15" hidden="false" customHeight="false" outlineLevel="0" collapsed="false">
      <c r="A2058" s="8" t="s">
        <v>918</v>
      </c>
      <c r="B2058" s="8" t="s">
        <v>615</v>
      </c>
      <c r="C2058" s="19" t="n">
        <v>5</v>
      </c>
      <c r="D2058" s="19" t="n">
        <v>1256.35</v>
      </c>
      <c r="E2058" s="19" t="n">
        <v>6</v>
      </c>
      <c r="F2058" s="19" t="n">
        <v>1474.07</v>
      </c>
      <c r="G2058" s="8" t="n">
        <f aca="false">IFERROR(INDEX('TRANS'!$B:$B,MATCH($B2058,'TRANS'!$A:$A,0)),IFERROR(INDEX('TRANS'!$B:$B,MATCH(TRIM(SUBSTITUTE($B2058,CHAR(160)," ")),'TRANS'!$D:$D,0)),IFERROR(INDEX('Catalog'!$A:$A,MATCH($B2058,'Catalog'!$B:$B,0)),IFERROR(INDEX('Catalog'!$A:$A,MATCH(TRIM(SUBSTITUTE($B2058,CHAR(160)," ")),'Catalog'!$C:$C,0)),""))))</f>
        <v>4408120</v>
      </c>
      <c r="H2058" s="8" t="str">
        <f aca="false">IFERROR(INDEX('TRANS'!$C:$C,MATCH($B2058,'TRANS'!$A:$A,0)),IFERROR(INDEX('Catalog'!$B:$B,MATCH($G2058,'Catalog'!$A:$A,0)),$B2058))</f>
        <v>06U XL ח.בטן מותנית צר</v>
      </c>
      <c r="I2058" s="8" t="str">
        <f aca="false">IF($G2058="","Unmatched","Matched")</f>
        <v>Matched</v>
      </c>
    </row>
    <row r="2059" customFormat="false" ht="15" hidden="false" customHeight="false" outlineLevel="0" collapsed="false">
      <c r="A2059" s="8" t="s">
        <v>918</v>
      </c>
      <c r="B2059" s="8" t="s">
        <v>922</v>
      </c>
      <c r="C2059" s="19" t="n">
        <v>2</v>
      </c>
      <c r="D2059" s="19" t="n">
        <v>508.3</v>
      </c>
      <c r="E2059" s="19" t="n">
        <v>1</v>
      </c>
      <c r="F2059" s="19" t="n">
        <v>254.15</v>
      </c>
      <c r="G2059" s="8" t="str">
        <f aca="false">IFERROR(INDEX('TRANS'!$B:$B,MATCH($B2059,'TRANS'!$A:$A,0)),IFERROR(INDEX('TRANS'!$B:$B,MATCH(TRIM(SUBSTITUTE($B2059,CHAR(160)," ")),'TRANS'!$D:$D,0)),IFERROR(INDEX('Catalog'!$A:$A,MATCH($B2059,'Catalog'!$B:$B,0)),IFERROR(INDEX('Catalog'!$A:$A,MATCH(TRIM(SUBSTITUTE($B2059,CHAR(160)," ")),'Catalog'!$C:$C,0)),""))))</f>
        <v/>
      </c>
      <c r="H2059" s="8" t="str">
        <f aca="false">IFERROR(INDEX('TRANS'!$C:$C,MATCH($B2059,'TRANS'!$A:$A,0)),IFERROR(INDEX('Catalog'!$B:$B,MATCH($G2059,'Catalog'!$A:$A,0)),$B2059))</f>
        <v>06U XS</v>
      </c>
      <c r="I2059" s="8" t="str">
        <f aca="false">IF($G2059="","Unmatched","Matched")</f>
        <v>Unmatched</v>
      </c>
    </row>
    <row r="2060" customFormat="false" ht="15" hidden="false" customHeight="false" outlineLevel="0" collapsed="false">
      <c r="A2060" s="8" t="s">
        <v>918</v>
      </c>
      <c r="B2060" s="8" t="s">
        <v>693</v>
      </c>
      <c r="C2060" s="19" t="n">
        <v>6</v>
      </c>
      <c r="D2060" s="19" t="n">
        <v>1436.42</v>
      </c>
      <c r="E2060" s="19" t="n">
        <v>5</v>
      </c>
      <c r="F2060" s="19" t="n">
        <v>1207.22</v>
      </c>
      <c r="G2060" s="8" t="str">
        <f aca="false">IFERROR(INDEX('TRANS'!$B:$B,MATCH($B2060,'TRANS'!$A:$A,0)),IFERROR(INDEX('TRANS'!$B:$B,MATCH(TRIM(SUBSTITUTE($B2060,CHAR(160)," ")),'TRANS'!$D:$D,0)),IFERROR(INDEX('Catalog'!$A:$A,MATCH($B2060,'Catalog'!$B:$B,0)),IFERROR(INDEX('Catalog'!$A:$A,MATCH(TRIM(SUBSTITUTE($B2060,CHAR(160)," ")),'Catalog'!$C:$C,0)),""))))</f>
        <v/>
      </c>
      <c r="H2060" s="8" t="str">
        <f aca="false">IFERROR(INDEX('TRANS'!$C:$C,MATCH($B2060,'TRANS'!$A:$A,0)),IFERROR(INDEX('Catalog'!$B:$B,MATCH($G2060,'Catalog'!$A:$A,0)),$B2060))</f>
        <v>06U XXL</v>
      </c>
      <c r="I2060" s="8" t="str">
        <f aca="false">IF($G2060="","Unmatched","Matched")</f>
        <v>Unmatched</v>
      </c>
    </row>
    <row r="2061" customFormat="false" ht="15" hidden="false" customHeight="false" outlineLevel="0" collapsed="false">
      <c r="A2061" s="8" t="s">
        <v>918</v>
      </c>
      <c r="B2061" s="8" t="s">
        <v>637</v>
      </c>
      <c r="C2061" s="19" t="n">
        <v>0</v>
      </c>
      <c r="D2061" s="19" t="n">
        <v>0</v>
      </c>
      <c r="E2061" s="19" t="n">
        <v>1</v>
      </c>
      <c r="F2061" s="19" t="n">
        <v>169.4</v>
      </c>
      <c r="G2061" s="8" t="n">
        <f aca="false">IFERROR(INDEX('TRANS'!$B:$B,MATCH($B2061,'TRANS'!$A:$A,0)),IFERROR(INDEX('TRANS'!$B:$B,MATCH(TRIM(SUBSTITUTE($B2061,CHAR(160)," ")),'TRANS'!$D:$D,0)),IFERROR(INDEX('Catalog'!$A:$A,MATCH($B2061,'Catalog'!$B:$B,0)),IFERROR(INDEX('Catalog'!$A:$A,MATCH(TRIM(SUBSTITUTE($B2061,CHAR(160)," ")),'Catalog'!$C:$C,0)),""))))</f>
        <v>4408245</v>
      </c>
      <c r="H2061" s="8" t="str">
        <f aca="false">IFERROR(INDEX('TRANS'!$C:$C,MATCH($B2061,'TRANS'!$A:$A,0)),IFERROR(INDEX('Catalog'!$B:$B,MATCH($G2061,'Catalog'!$A:$A,0)),$B2061))</f>
        <v>077A   XXL חגורת גב עם חיזוקים</v>
      </c>
      <c r="I2061" s="8" t="str">
        <f aca="false">IF($G2061="","Unmatched","Matched")</f>
        <v>Matched</v>
      </c>
    </row>
    <row r="2062" customFormat="false" ht="15" hidden="false" customHeight="false" outlineLevel="0" collapsed="false">
      <c r="A2062" s="8" t="s">
        <v>918</v>
      </c>
      <c r="B2062" s="8" t="s">
        <v>573</v>
      </c>
      <c r="C2062" s="19" t="n">
        <v>5</v>
      </c>
      <c r="D2062" s="19" t="n">
        <v>1368.28</v>
      </c>
      <c r="E2062" s="19" t="n">
        <v>8</v>
      </c>
      <c r="F2062" s="19" t="n">
        <v>1451</v>
      </c>
      <c r="G2062" s="8" t="n">
        <f aca="false">IFERROR(INDEX('TRANS'!$B:$B,MATCH($B2062,'TRANS'!$A:$A,0)),IFERROR(INDEX('TRANS'!$B:$B,MATCH(TRIM(SUBSTITUTE($B2062,CHAR(160)," ")),'TRANS'!$D:$D,0)),IFERROR(INDEX('Catalog'!$A:$A,MATCH($B2062,'Catalog'!$B:$B,0)),IFERROR(INDEX('Catalog'!$A:$A,MATCH(TRIM(SUBSTITUTE($B2062,CHAR(160)," ")),'Catalog'!$C:$C,0)),""))))</f>
        <v>4408135</v>
      </c>
      <c r="H2062" s="8" t="str">
        <f aca="false">IFERROR(INDEX('TRANS'!$C:$C,MATCH($B2062,'TRANS'!$A:$A,0)),IFERROR(INDEX('Catalog'!$B:$B,MATCH($G2062,'Catalog'!$A:$A,0)),$B2062))</f>
        <v>077A L-XLחגורת גב</v>
      </c>
      <c r="I2062" s="8" t="str">
        <f aca="false">IF($G2062="","Unmatched","Matched")</f>
        <v>Matched</v>
      </c>
    </row>
    <row r="2063" customFormat="false" ht="15" hidden="false" customHeight="false" outlineLevel="0" collapsed="false">
      <c r="A2063" s="8" t="s">
        <v>918</v>
      </c>
      <c r="B2063" s="8" t="s">
        <v>574</v>
      </c>
      <c r="C2063" s="19" t="n">
        <v>0</v>
      </c>
      <c r="D2063" s="19" t="n">
        <v>0</v>
      </c>
      <c r="E2063" s="19" t="n">
        <v>4</v>
      </c>
      <c r="F2063" s="19" t="n">
        <v>886.1</v>
      </c>
      <c r="G2063" s="8" t="n">
        <f aca="false">IFERROR(INDEX('TRANS'!$B:$B,MATCH($B2063,'TRANS'!$A:$A,0)),IFERROR(INDEX('TRANS'!$B:$B,MATCH(TRIM(SUBSTITUTE($B2063,CHAR(160)," ")),'TRANS'!$D:$D,0)),IFERROR(INDEX('Catalog'!$A:$A,MATCH($B2063,'Catalog'!$B:$B,0)),IFERROR(INDEX('Catalog'!$A:$A,MATCH(TRIM(SUBSTITUTE($B2063,CHAR(160)," ")),'Catalog'!$C:$C,0)),""))))</f>
        <v>4408134</v>
      </c>
      <c r="H2063" s="8" t="str">
        <f aca="false">IFERROR(INDEX('TRANS'!$C:$C,MATCH($B2063,'TRANS'!$A:$A,0)),IFERROR(INDEX('Catalog'!$B:$B,MATCH($G2063,'Catalog'!$A:$A,0)),$B2063))</f>
        <v>077A S-M חגורת גב</v>
      </c>
      <c r="I2063" s="8" t="str">
        <f aca="false">IF($G2063="","Unmatched","Matched")</f>
        <v>Matched</v>
      </c>
    </row>
    <row r="2064" customFormat="false" ht="15" hidden="false" customHeight="false" outlineLevel="0" collapsed="false">
      <c r="A2064" s="8" t="s">
        <v>918</v>
      </c>
      <c r="B2064" s="8" t="s">
        <v>60</v>
      </c>
      <c r="C2064" s="19" t="n">
        <v>56</v>
      </c>
      <c r="D2064" s="19" t="n">
        <v>10667.91</v>
      </c>
      <c r="E2064" s="19" t="n">
        <v>49</v>
      </c>
      <c r="F2064" s="19" t="n">
        <v>10009.17</v>
      </c>
      <c r="G2064" s="8" t="n">
        <f aca="false">IFERROR(INDEX('TRANS'!$B:$B,MATCH($B2064,'TRANS'!$A:$A,0)),IFERROR(INDEX('TRANS'!$B:$B,MATCH(TRIM(SUBSTITUTE($B2064,CHAR(160)," ")),'TRANS'!$D:$D,0)),IFERROR(INDEX('Catalog'!$A:$A,MATCH($B2064,'Catalog'!$B:$B,0)),IFERROR(INDEX('Catalog'!$A:$A,MATCH(TRIM(SUBSTITUTE($B2064,CHAR(160)," ")),'Catalog'!$C:$C,0)),""))))</f>
        <v>4408192</v>
      </c>
      <c r="H2064" s="8" t="str">
        <f aca="false">IFERROR(INDEX('TRANS'!$C:$C,MATCH($B2064,'TRANS'!$A:$A,0)),IFERROR(INDEX('Catalog'!$B:$B,MATCH($G2064,'Catalog'!$A:$A,0)),$B2064))</f>
        <v>078 L חגורת גב +סגירה</v>
      </c>
      <c r="I2064" s="8" t="str">
        <f aca="false">IF($G2064="","Unmatched","Matched")</f>
        <v>Matched</v>
      </c>
    </row>
    <row r="2065" customFormat="false" ht="15" hidden="false" customHeight="false" outlineLevel="0" collapsed="false">
      <c r="A2065" s="8" t="s">
        <v>918</v>
      </c>
      <c r="B2065" s="8" t="s">
        <v>454</v>
      </c>
      <c r="C2065" s="19" t="n">
        <v>47</v>
      </c>
      <c r="D2065" s="19" t="n">
        <v>9331.31</v>
      </c>
      <c r="E2065" s="19" t="n">
        <v>32</v>
      </c>
      <c r="F2065" s="19" t="n">
        <v>6512.22</v>
      </c>
      <c r="G2065" s="8" t="n">
        <f aca="false">IFERROR(INDEX('TRANS'!$B:$B,MATCH($B2065,'TRANS'!$A:$A,0)),IFERROR(INDEX('TRANS'!$B:$B,MATCH(TRIM(SUBSTITUTE($B2065,CHAR(160)," ")),'TRANS'!$D:$D,0)),IFERROR(INDEX('Catalog'!$A:$A,MATCH($B2065,'Catalog'!$B:$B,0)),IFERROR(INDEX('Catalog'!$A:$A,MATCH(TRIM(SUBSTITUTE($B2065,CHAR(160)," ")),'Catalog'!$C:$C,0)),""))))</f>
        <v>4408190</v>
      </c>
      <c r="H2065" s="8" t="str">
        <f aca="false">IFERROR(INDEX('TRANS'!$C:$C,MATCH($B2065,'TRANS'!$A:$A,0)),IFERROR(INDEX('Catalog'!$B:$B,MATCH($G2065,'Catalog'!$A:$A,0)),$B2065))</f>
        <v>M078 חגורת גב +סגירה כפולה</v>
      </c>
      <c r="I2065" s="8" t="str">
        <f aca="false">IF($G2065="","Unmatched","Matched")</f>
        <v>Matched</v>
      </c>
    </row>
    <row r="2066" customFormat="false" ht="15" hidden="false" customHeight="false" outlineLevel="0" collapsed="false">
      <c r="A2066" s="8" t="s">
        <v>918</v>
      </c>
      <c r="B2066" s="8" t="s">
        <v>455</v>
      </c>
      <c r="C2066" s="19" t="n">
        <v>11</v>
      </c>
      <c r="D2066" s="19" t="n">
        <v>2420.12</v>
      </c>
      <c r="E2066" s="19" t="n">
        <v>12</v>
      </c>
      <c r="F2066" s="19" t="n">
        <v>2456.65</v>
      </c>
      <c r="G2066" s="8" t="n">
        <f aca="false">IFERROR(INDEX('TRANS'!$B:$B,MATCH($B2066,'TRANS'!$A:$A,0)),IFERROR(INDEX('TRANS'!$B:$B,MATCH(TRIM(SUBSTITUTE($B2066,CHAR(160)," ")),'TRANS'!$D:$D,0)),IFERROR(INDEX('Catalog'!$A:$A,MATCH($B2066,'Catalog'!$B:$B,0)),IFERROR(INDEX('Catalog'!$A:$A,MATCH(TRIM(SUBSTITUTE($B2066,CHAR(160)," ")),'Catalog'!$C:$C,0)),""))))</f>
        <v>4408217</v>
      </c>
      <c r="H2066" s="8" t="str">
        <f aca="false">IFERROR(INDEX('TRANS'!$C:$C,MATCH($B2066,'TRANS'!$A:$A,0)),IFERROR(INDEX('Catalog'!$B:$B,MATCH($G2066,'Catalog'!$A:$A,0)),$B2066))</f>
        <v>S078 חגורת גב +סגירה כפולה</v>
      </c>
      <c r="I2066" s="8" t="str">
        <f aca="false">IF($G2066="","Unmatched","Matched")</f>
        <v>Matched</v>
      </c>
    </row>
    <row r="2067" customFormat="false" ht="15" hidden="false" customHeight="false" outlineLevel="0" collapsed="false">
      <c r="A2067" s="8" t="s">
        <v>918</v>
      </c>
      <c r="B2067" s="8" t="s">
        <v>61</v>
      </c>
      <c r="C2067" s="19" t="n">
        <v>47</v>
      </c>
      <c r="D2067" s="19" t="n">
        <v>8888.35</v>
      </c>
      <c r="E2067" s="19" t="n">
        <v>39</v>
      </c>
      <c r="F2067" s="19" t="n">
        <v>7973.5</v>
      </c>
      <c r="G2067" s="8" t="n">
        <f aca="false">IFERROR(INDEX('TRANS'!$B:$B,MATCH($B2067,'TRANS'!$A:$A,0)),IFERROR(INDEX('TRANS'!$B:$B,MATCH(TRIM(SUBSTITUTE($B2067,CHAR(160)," ")),'TRANS'!$D:$D,0)),IFERROR(INDEX('Catalog'!$A:$A,MATCH($B2067,'Catalog'!$B:$B,0)),IFERROR(INDEX('Catalog'!$A:$A,MATCH(TRIM(SUBSTITUTE($B2067,CHAR(160)," ")),'Catalog'!$C:$C,0)),""))))</f>
        <v>4408218</v>
      </c>
      <c r="H2067" s="8" t="str">
        <f aca="false">IFERROR(INDEX('TRANS'!$C:$C,MATCH($B2067,'TRANS'!$A:$A,0)),IFERROR(INDEX('Catalog'!$B:$B,MATCH($G2067,'Catalog'!$A:$A,0)),$B2067))</f>
        <v>078XL חגורת גב +סגירה כפולה</v>
      </c>
      <c r="I2067" s="8" t="str">
        <f aca="false">IF($G2067="","Unmatched","Matched")</f>
        <v>Matched</v>
      </c>
    </row>
    <row r="2068" customFormat="false" ht="15" hidden="false" customHeight="false" outlineLevel="0" collapsed="false">
      <c r="A2068" s="8" t="s">
        <v>918</v>
      </c>
      <c r="B2068" s="8" t="s">
        <v>456</v>
      </c>
      <c r="C2068" s="19" t="n">
        <v>34</v>
      </c>
      <c r="D2068" s="19" t="n">
        <v>6847.67</v>
      </c>
      <c r="E2068" s="19" t="n">
        <v>37</v>
      </c>
      <c r="F2068" s="19" t="n">
        <v>7613.52</v>
      </c>
      <c r="G2068" s="8" t="n">
        <f aca="false">IFERROR(INDEX('TRANS'!$B:$B,MATCH($B2068,'TRANS'!$A:$A,0)),IFERROR(INDEX('TRANS'!$B:$B,MATCH(TRIM(SUBSTITUTE($B2068,CHAR(160)," ")),'TRANS'!$D:$D,0)),IFERROR(INDEX('Catalog'!$A:$A,MATCH($B2068,'Catalog'!$B:$B,0)),IFERROR(INDEX('Catalog'!$A:$A,MATCH(TRIM(SUBSTITUTE($B2068,CHAR(160)," ")),'Catalog'!$C:$C,0)),""))))</f>
        <v>4408265</v>
      </c>
      <c r="H2068" s="8" t="str">
        <f aca="false">IFERROR(INDEX('TRANS'!$C:$C,MATCH($B2068,'TRANS'!$A:$A,0)),IFERROR(INDEX('Catalog'!$B:$B,MATCH($G2068,'Catalog'!$A:$A,0)),$B2068))</f>
        <v>078XXL חגורת גב +סגירה כפולה</v>
      </c>
      <c r="I2068" s="8" t="str">
        <f aca="false">IF($G2068="","Unmatched","Matched")</f>
        <v>Matched</v>
      </c>
    </row>
    <row r="2069" customFormat="false" ht="15" hidden="false" customHeight="false" outlineLevel="0" collapsed="false">
      <c r="A2069" s="8" t="s">
        <v>918</v>
      </c>
      <c r="B2069" s="8" t="s">
        <v>335</v>
      </c>
      <c r="C2069" s="19" t="n">
        <v>14</v>
      </c>
      <c r="D2069" s="19" t="n">
        <v>2782.52</v>
      </c>
      <c r="E2069" s="19" t="n">
        <v>21</v>
      </c>
      <c r="F2069" s="19" t="n">
        <v>4405.02</v>
      </c>
      <c r="G2069" s="8" t="n">
        <f aca="false">IFERROR(INDEX('TRANS'!$B:$B,MATCH($B2069,'TRANS'!$A:$A,0)),IFERROR(INDEX('TRANS'!$B:$B,MATCH(TRIM(SUBSTITUTE($B2069,CHAR(160)," ")),'TRANS'!$D:$D,0)),IFERROR(INDEX('Catalog'!$A:$A,MATCH($B2069,'Catalog'!$B:$B,0)),IFERROR(INDEX('Catalog'!$A:$A,MATCH(TRIM(SUBSTITUTE($B2069,CHAR(160)," ")),'Catalog'!$C:$C,0)),""))))</f>
        <v>4408221</v>
      </c>
      <c r="H2069" s="8" t="str">
        <f aca="false">IFERROR(INDEX('TRANS'!$C:$C,MATCH($B2069,'TRANS'!$A:$A,0)),IFERROR(INDEX('Catalog'!$B:$B,MATCH($G2069,'Catalog'!$A:$A,0)),$B2069))</f>
        <v>078G-L חגורת גב אפורה</v>
      </c>
      <c r="I2069" s="8" t="str">
        <f aca="false">IF($G2069="","Unmatched","Matched")</f>
        <v>Matched</v>
      </c>
    </row>
    <row r="2070" customFormat="false" ht="15" hidden="false" customHeight="false" outlineLevel="0" collapsed="false">
      <c r="A2070" s="8" t="s">
        <v>918</v>
      </c>
      <c r="B2070" s="8" t="s">
        <v>62</v>
      </c>
      <c r="C2070" s="19" t="n">
        <v>10</v>
      </c>
      <c r="D2070" s="19" t="n">
        <v>1958.96</v>
      </c>
      <c r="E2070" s="19" t="n">
        <v>7</v>
      </c>
      <c r="F2070" s="19" t="n">
        <v>1397.74</v>
      </c>
      <c r="G2070" s="8" t="n">
        <f aca="false">IFERROR(INDEX('TRANS'!$B:$B,MATCH($B2070,'TRANS'!$A:$A,0)),IFERROR(INDEX('TRANS'!$B:$B,MATCH(TRIM(SUBSTITUTE($B2070,CHAR(160)," ")),'TRANS'!$D:$D,0)),IFERROR(INDEX('Catalog'!$A:$A,MATCH($B2070,'Catalog'!$B:$B,0)),IFERROR(INDEX('Catalog'!$A:$A,MATCH(TRIM(SUBSTITUTE($B2070,CHAR(160)," ")),'Catalog'!$C:$C,0)),""))))</f>
        <v>4408220</v>
      </c>
      <c r="H2070" s="8" t="str">
        <f aca="false">IFERROR(INDEX('TRANS'!$C:$C,MATCH($B2070,'TRANS'!$A:$A,0)),IFERROR(INDEX('Catalog'!$B:$B,MATCH($G2070,'Catalog'!$A:$A,0)),$B2070))</f>
        <v>078G-M חגורת גב אפורה</v>
      </c>
      <c r="I2070" s="8" t="str">
        <f aca="false">IF($G2070="","Unmatched","Matched")</f>
        <v>Matched</v>
      </c>
    </row>
    <row r="2071" customFormat="false" ht="15" hidden="false" customHeight="false" outlineLevel="0" collapsed="false">
      <c r="A2071" s="8" t="s">
        <v>918</v>
      </c>
      <c r="B2071" s="8" t="s">
        <v>685</v>
      </c>
      <c r="C2071" s="19" t="n">
        <v>7</v>
      </c>
      <c r="D2071" s="19" t="n">
        <v>1354.28</v>
      </c>
      <c r="E2071" s="19" t="n">
        <v>2</v>
      </c>
      <c r="F2071" s="19" t="n">
        <v>402.38</v>
      </c>
      <c r="G2071" s="8" t="n">
        <f aca="false">IFERROR(INDEX('TRANS'!$B:$B,MATCH($B2071,'TRANS'!$A:$A,0)),IFERROR(INDEX('TRANS'!$B:$B,MATCH(TRIM(SUBSTITUTE($B2071,CHAR(160)," ")),'TRANS'!$D:$D,0)),IFERROR(INDEX('Catalog'!$A:$A,MATCH($B2071,'Catalog'!$B:$B,0)),IFERROR(INDEX('Catalog'!$A:$A,MATCH(TRIM(SUBSTITUTE($B2071,CHAR(160)," ")),'Catalog'!$C:$C,0)),""))))</f>
        <v>4408219</v>
      </c>
      <c r="H2071" s="8" t="str">
        <f aca="false">IFERROR(INDEX('TRANS'!$C:$C,MATCH($B2071,'TRANS'!$A:$A,0)),IFERROR(INDEX('Catalog'!$B:$B,MATCH($G2071,'Catalog'!$A:$A,0)),$B2071))</f>
        <v>078G-S חגורת גב אפורה</v>
      </c>
      <c r="I2071" s="8" t="str">
        <f aca="false">IF($G2071="","Unmatched","Matched")</f>
        <v>Matched</v>
      </c>
    </row>
    <row r="2072" customFormat="false" ht="15" hidden="false" customHeight="false" outlineLevel="0" collapsed="false">
      <c r="A2072" s="8" t="s">
        <v>918</v>
      </c>
      <c r="B2072" s="8" t="s">
        <v>336</v>
      </c>
      <c r="C2072" s="19" t="n">
        <v>12</v>
      </c>
      <c r="D2072" s="19" t="n">
        <v>2290.76</v>
      </c>
      <c r="E2072" s="19" t="n">
        <v>4</v>
      </c>
      <c r="F2072" s="19" t="n">
        <v>825.94</v>
      </c>
      <c r="G2072" s="8" t="n">
        <f aca="false">IFERROR(INDEX('TRANS'!$B:$B,MATCH($B2072,'TRANS'!$A:$A,0)),IFERROR(INDEX('TRANS'!$B:$B,MATCH(TRIM(SUBSTITUTE($B2072,CHAR(160)," ")),'TRANS'!$D:$D,0)),IFERROR(INDEX('Catalog'!$A:$A,MATCH($B2072,'Catalog'!$B:$B,0)),IFERROR(INDEX('Catalog'!$A:$A,MATCH(TRIM(SUBSTITUTE($B2072,CHAR(160)," ")),'Catalog'!$C:$C,0)),""))))</f>
        <v>4408222</v>
      </c>
      <c r="H2072" s="8" t="str">
        <f aca="false">IFERROR(INDEX('TRANS'!$C:$C,MATCH($B2072,'TRANS'!$A:$A,0)),IFERROR(INDEX('Catalog'!$B:$B,MATCH($G2072,'Catalog'!$A:$A,0)),$B2072))</f>
        <v>078G-XLחגורת גב אפורה</v>
      </c>
      <c r="I2072" s="8" t="str">
        <f aca="false">IF($G2072="","Unmatched","Matched")</f>
        <v>Matched</v>
      </c>
    </row>
    <row r="2073" customFormat="false" ht="15" hidden="false" customHeight="false" outlineLevel="0" collapsed="false">
      <c r="A2073" s="8" t="s">
        <v>918</v>
      </c>
      <c r="B2073" s="8" t="s">
        <v>337</v>
      </c>
      <c r="C2073" s="19" t="n">
        <v>14</v>
      </c>
      <c r="D2073" s="19" t="n">
        <v>2824.88</v>
      </c>
      <c r="E2073" s="19" t="n">
        <v>6</v>
      </c>
      <c r="F2073" s="19" t="n">
        <v>1207.14</v>
      </c>
      <c r="G2073" s="8" t="n">
        <f aca="false">IFERROR(INDEX('TRANS'!$B:$B,MATCH($B2073,'TRANS'!$A:$A,0)),IFERROR(INDEX('TRANS'!$B:$B,MATCH(TRIM(SUBSTITUTE($B2073,CHAR(160)," ")),'TRANS'!$D:$D,0)),IFERROR(INDEX('Catalog'!$A:$A,MATCH($B2073,'Catalog'!$B:$B,0)),IFERROR(INDEX('Catalog'!$A:$A,MATCH(TRIM(SUBSTITUTE($B2073,CHAR(160)," ")),'Catalog'!$C:$C,0)),""))))</f>
        <v>4408223</v>
      </c>
      <c r="H2073" s="8" t="str">
        <f aca="false">IFERROR(INDEX('TRANS'!$C:$C,MATCH($B2073,'TRANS'!$A:$A,0)),IFERROR(INDEX('Catalog'!$B:$B,MATCH($G2073,'Catalog'!$A:$A,0)),$B2073))</f>
        <v>078G-XXLחגורת גב אפורה</v>
      </c>
      <c r="I2073" s="8" t="str">
        <f aca="false">IF($G2073="","Unmatched","Matched")</f>
        <v>Matched</v>
      </c>
    </row>
    <row r="2074" customFormat="false" ht="15" hidden="false" customHeight="false" outlineLevel="0" collapsed="false">
      <c r="A2074" s="8" t="s">
        <v>918</v>
      </c>
      <c r="B2074" s="8" t="s">
        <v>638</v>
      </c>
      <c r="C2074" s="19" t="n">
        <v>5</v>
      </c>
      <c r="D2074" s="19" t="n">
        <v>2111.49</v>
      </c>
      <c r="E2074" s="19" t="n">
        <v>1</v>
      </c>
      <c r="F2074" s="19" t="n">
        <v>427.04</v>
      </c>
      <c r="G2074" s="8" t="n">
        <f aca="false">IFERROR(INDEX('TRANS'!$B:$B,MATCH($B2074,'TRANS'!$A:$A,0)),IFERROR(INDEX('TRANS'!$B:$B,MATCH(TRIM(SUBSTITUTE($B2074,CHAR(160)," ")),'TRANS'!$D:$D,0)),IFERROR(INDEX('Catalog'!$A:$A,MATCH($B2074,'Catalog'!$B:$B,0)),IFERROR(INDEX('Catalog'!$A:$A,MATCH(TRIM(SUBSTITUTE($B2074,CHAR(160)," ")),'Catalog'!$C:$C,0)),""))))</f>
        <v>4408015</v>
      </c>
      <c r="H2074" s="8" t="str">
        <f aca="false">IFERROR(INDEX('TRANS'!$C:$C,MATCH($B2074,'TRANS'!$A:$A,0)),IFERROR(INDEX('Catalog'!$B:$B,MATCH($G2074,'Catalog'!$A:$A,0)),$B2074))</f>
        <v>07AU L ח.גב """"איטלקית"""" אורירית</v>
      </c>
      <c r="I2074" s="8" t="str">
        <f aca="false">IF($G2074="","Unmatched","Matched")</f>
        <v>Matched</v>
      </c>
    </row>
    <row r="2075" customFormat="false" ht="15" hidden="false" customHeight="false" outlineLevel="0" collapsed="false">
      <c r="A2075" s="8" t="s">
        <v>918</v>
      </c>
      <c r="B2075" s="8" t="s">
        <v>639</v>
      </c>
      <c r="C2075" s="19" t="n">
        <v>3</v>
      </c>
      <c r="D2075" s="19" t="n">
        <v>1328.57</v>
      </c>
      <c r="E2075" s="19" t="n">
        <v>2</v>
      </c>
      <c r="F2075" s="19" t="n">
        <v>948.98</v>
      </c>
      <c r="G2075" s="8" t="n">
        <f aca="false">IFERROR(INDEX('TRANS'!$B:$B,MATCH($B2075,'TRANS'!$A:$A,0)),IFERROR(INDEX('TRANS'!$B:$B,MATCH(TRIM(SUBSTITUTE($B2075,CHAR(160)," ")),'TRANS'!$D:$D,0)),IFERROR(INDEX('Catalog'!$A:$A,MATCH($B2075,'Catalog'!$B:$B,0)),IFERROR(INDEX('Catalog'!$A:$A,MATCH(TRIM(SUBSTITUTE($B2075,CHAR(160)," ")),'Catalog'!$C:$C,0)),""))))</f>
        <v>4408016</v>
      </c>
      <c r="H2075" s="8" t="str">
        <f aca="false">IFERROR(INDEX('TRANS'!$C:$C,MATCH($B2075,'TRANS'!$A:$A,0)),IFERROR(INDEX('Catalog'!$B:$B,MATCH($G2075,'Catalog'!$A:$A,0)),$B2075))</f>
        <v>07AU M ח.גב """"איטלקית"""" אורירית</v>
      </c>
      <c r="I2075" s="8" t="str">
        <f aca="false">IF($G2075="","Unmatched","Matched")</f>
        <v>Matched</v>
      </c>
    </row>
    <row r="2076" customFormat="false" ht="15" hidden="false" customHeight="false" outlineLevel="0" collapsed="false">
      <c r="A2076" s="8" t="s">
        <v>918</v>
      </c>
      <c r="B2076" s="8" t="s">
        <v>694</v>
      </c>
      <c r="C2076" s="19" t="n">
        <v>0</v>
      </c>
      <c r="D2076" s="19" t="n">
        <v>0</v>
      </c>
      <c r="E2076" s="19" t="n">
        <v>1</v>
      </c>
      <c r="F2076" s="19" t="n">
        <v>474.49</v>
      </c>
      <c r="G2076" s="8" t="n">
        <f aca="false">IFERROR(INDEX('TRANS'!$B:$B,MATCH($B2076,'TRANS'!$A:$A,0)),IFERROR(INDEX('TRANS'!$B:$B,MATCH(TRIM(SUBSTITUTE($B2076,CHAR(160)," ")),'TRANS'!$D:$D,0)),IFERROR(INDEX('Catalog'!$A:$A,MATCH($B2076,'Catalog'!$B:$B,0)),IFERROR(INDEX('Catalog'!$A:$A,MATCH(TRIM(SUBSTITUTE($B2076,CHAR(160)," ")),'Catalog'!$C:$C,0)),""))))</f>
        <v>4408014</v>
      </c>
      <c r="H2076" s="8" t="str">
        <f aca="false">IFERROR(INDEX('TRANS'!$C:$C,MATCH($B2076,'TRANS'!$A:$A,0)),IFERROR(INDEX('Catalog'!$B:$B,MATCH($G2076,'Catalog'!$A:$A,0)),$B2076))</f>
        <v>07AU S ח.גב """"איטלקית"""" אורירית</v>
      </c>
      <c r="I2076" s="8" t="str">
        <f aca="false">IF($G2076="","Unmatched","Matched")</f>
        <v>Matched</v>
      </c>
    </row>
    <row r="2077" customFormat="false" ht="15" hidden="false" customHeight="false" outlineLevel="0" collapsed="false">
      <c r="A2077" s="8" t="s">
        <v>918</v>
      </c>
      <c r="B2077" s="8" t="s">
        <v>640</v>
      </c>
      <c r="C2077" s="19" t="n">
        <v>5</v>
      </c>
      <c r="D2077" s="19" t="n">
        <v>2301.28</v>
      </c>
      <c r="E2077" s="19" t="n">
        <v>4</v>
      </c>
      <c r="F2077" s="19" t="n">
        <v>1755.62</v>
      </c>
      <c r="G2077" s="8" t="n">
        <f aca="false">IFERROR(INDEX('TRANS'!$B:$B,MATCH($B2077,'TRANS'!$A:$A,0)),IFERROR(INDEX('TRANS'!$B:$B,MATCH(TRIM(SUBSTITUTE($B2077,CHAR(160)," ")),'TRANS'!$D:$D,0)),IFERROR(INDEX('Catalog'!$A:$A,MATCH($B2077,'Catalog'!$B:$B,0)),IFERROR(INDEX('Catalog'!$A:$A,MATCH(TRIM(SUBSTITUTE($B2077,CHAR(160)," ")),'Catalog'!$C:$C,0)),""))))</f>
        <v>4408017</v>
      </c>
      <c r="H2077" s="8" t="str">
        <f aca="false">IFERROR(INDEX('TRANS'!$C:$C,MATCH($B2077,'TRANS'!$A:$A,0)),IFERROR(INDEX('Catalog'!$B:$B,MATCH($G2077,'Catalog'!$A:$A,0)),$B2077))</f>
        <v>07AU XL ח.גב """"איטלקית"""" אורירית</v>
      </c>
      <c r="I2077" s="8" t="str">
        <f aca="false">IF($G2077="","Unmatched","Matched")</f>
        <v>Matched</v>
      </c>
    </row>
    <row r="2078" customFormat="false" ht="15" hidden="false" customHeight="false" outlineLevel="0" collapsed="false">
      <c r="A2078" s="8" t="s">
        <v>918</v>
      </c>
      <c r="B2078" s="8" t="s">
        <v>923</v>
      </c>
      <c r="C2078" s="19" t="n">
        <v>0</v>
      </c>
      <c r="D2078" s="19" t="n">
        <v>0</v>
      </c>
      <c r="E2078" s="19" t="n">
        <v>3</v>
      </c>
      <c r="F2078" s="19" t="n">
        <v>1423.47</v>
      </c>
      <c r="G2078" s="8" t="str">
        <f aca="false">IFERROR(INDEX('TRANS'!$B:$B,MATCH($B2078,'TRANS'!$A:$A,0)),IFERROR(INDEX('TRANS'!$B:$B,MATCH(TRIM(SUBSTITUTE($B2078,CHAR(160)," ")),'TRANS'!$D:$D,0)),IFERROR(INDEX('Catalog'!$A:$A,MATCH($B2078,'Catalog'!$B:$B,0)),IFERROR(INDEX('Catalog'!$A:$A,MATCH(TRIM(SUBSTITUTE($B2078,CHAR(160)," ")),'Catalog'!$C:$C,0)),""))))</f>
        <v/>
      </c>
      <c r="H2078" s="8" t="str">
        <f aca="false">IFERROR(INDEX('TRANS'!$C:$C,MATCH($B2078,'TRANS'!$A:$A,0)),IFERROR(INDEX('Catalog'!$B:$B,MATCH($G2078,'Catalog'!$A:$A,0)),$B2078))</f>
        <v>07AU XS</v>
      </c>
      <c r="I2078" s="8" t="str">
        <f aca="false">IF($G2078="","Unmatched","Matched")</f>
        <v>Unmatched</v>
      </c>
    </row>
    <row r="2079" customFormat="false" ht="15" hidden="false" customHeight="false" outlineLevel="0" collapsed="false">
      <c r="A2079" s="8" t="s">
        <v>918</v>
      </c>
      <c r="B2079" s="8" t="s">
        <v>641</v>
      </c>
      <c r="C2079" s="19" t="n">
        <v>3</v>
      </c>
      <c r="D2079" s="19" t="n">
        <v>1209.96</v>
      </c>
      <c r="E2079" s="19" t="n">
        <v>2</v>
      </c>
      <c r="F2079" s="19" t="n">
        <v>901.53</v>
      </c>
      <c r="G2079" s="8" t="n">
        <f aca="false">IFERROR(INDEX('TRANS'!$B:$B,MATCH($B2079,'TRANS'!$A:$A,0)),IFERROR(INDEX('TRANS'!$B:$B,MATCH(TRIM(SUBSTITUTE($B2079,CHAR(160)," ")),'TRANS'!$D:$D,0)),IFERROR(INDEX('Catalog'!$A:$A,MATCH($B2079,'Catalog'!$B:$B,0)),IFERROR(INDEX('Catalog'!$A:$A,MATCH(TRIM(SUBSTITUTE($B2079,CHAR(160)," ")),'Catalog'!$C:$C,0)),""))))</f>
        <v>4408018</v>
      </c>
      <c r="H2079" s="8" t="str">
        <f aca="false">IFERROR(INDEX('TRANS'!$C:$C,MATCH($B2079,'TRANS'!$A:$A,0)),IFERROR(INDEX('Catalog'!$B:$B,MATCH($G2079,'Catalog'!$A:$A,0)),$B2079))</f>
        <v>07AU XXL.ח.גב """"איטלקית"""" אוריר</v>
      </c>
      <c r="I2079" s="8" t="str">
        <f aca="false">IF($G2079="","Unmatched","Matched")</f>
        <v>Matched</v>
      </c>
    </row>
    <row r="2080" customFormat="false" ht="15" hidden="false" customHeight="false" outlineLevel="0" collapsed="false">
      <c r="A2080" s="8" t="s">
        <v>918</v>
      </c>
      <c r="B2080" s="8" t="s">
        <v>924</v>
      </c>
      <c r="C2080" s="19" t="n">
        <v>0</v>
      </c>
      <c r="D2080" s="19" t="n">
        <v>0</v>
      </c>
      <c r="E2080" s="19" t="n">
        <v>1</v>
      </c>
      <c r="F2080" s="19" t="n">
        <v>677.88</v>
      </c>
      <c r="G2080" s="8" t="str">
        <f aca="false">IFERROR(INDEX('TRANS'!$B:$B,MATCH($B2080,'TRANS'!$A:$A,0)),IFERROR(INDEX('TRANS'!$B:$B,MATCH(TRIM(SUBSTITUTE($B2080,CHAR(160)," ")),'TRANS'!$D:$D,0)),IFERROR(INDEX('Catalog'!$A:$A,MATCH($B2080,'Catalog'!$B:$B,0)),IFERROR(INDEX('Catalog'!$A:$A,MATCH(TRIM(SUBSTITUTE($B2080,CHAR(160)," ")),'Catalog'!$C:$C,0)),""))))</f>
        <v/>
      </c>
      <c r="H2080" s="8" t="str">
        <f aca="false">IFERROR(INDEX('TRANS'!$C:$C,MATCH($B2080,'TRANS'!$A:$A,0)),IFERROR(INDEX('Catalog'!$B:$B,MATCH($G2080,'Catalog'!$A:$A,0)),$B2080))</f>
        <v>07UB XS</v>
      </c>
      <c r="I2080" s="8" t="str">
        <f aca="false">IF($G2080="","Unmatched","Matched")</f>
        <v>Unmatched</v>
      </c>
    </row>
    <row r="2081" customFormat="false" ht="15" hidden="false" customHeight="false" outlineLevel="0" collapsed="false">
      <c r="A2081" s="8" t="s">
        <v>918</v>
      </c>
      <c r="B2081" s="8" t="s">
        <v>866</v>
      </c>
      <c r="C2081" s="19" t="n">
        <v>2</v>
      </c>
      <c r="D2081" s="19" t="n">
        <v>847.28</v>
      </c>
      <c r="E2081" s="19" t="n">
        <v>2</v>
      </c>
      <c r="F2081" s="19" t="n">
        <v>783.73</v>
      </c>
      <c r="G2081" s="8" t="str">
        <f aca="false">IFERROR(INDEX('TRANS'!$B:$B,MATCH($B2081,'TRANS'!$A:$A,0)),IFERROR(INDEX('TRANS'!$B:$B,MATCH(TRIM(SUBSTITUTE($B2081,CHAR(160)," ")),'TRANS'!$D:$D,0)),IFERROR(INDEX('Catalog'!$A:$A,MATCH($B2081,'Catalog'!$B:$B,0)),IFERROR(INDEX('Catalog'!$A:$A,MATCH(TRIM(SUBSTITUTE($B2081,CHAR(160)," ")),'Catalog'!$C:$C,0)),""))))</f>
        <v/>
      </c>
      <c r="H2081" s="8" t="str">
        <f aca="false">IFERROR(INDEX('TRANS'!$C:$C,MATCH($B2081,'TRANS'!$A:$A,0)),IFERROR(INDEX('Catalog'!$B:$B,MATCH($G2081,'Catalog'!$A:$A,0)),$B2081))</f>
        <v>07UB XXL</v>
      </c>
      <c r="I2081" s="8" t="str">
        <f aca="false">IF($G2081="","Unmatched","Matched")</f>
        <v>Unmatched</v>
      </c>
    </row>
    <row r="2082" customFormat="false" ht="15" hidden="false" customHeight="false" outlineLevel="0" collapsed="false">
      <c r="A2082" s="8" t="s">
        <v>918</v>
      </c>
      <c r="B2082" s="8" t="s">
        <v>867</v>
      </c>
      <c r="C2082" s="19" t="n">
        <v>6</v>
      </c>
      <c r="D2082" s="19" t="n">
        <v>2541.84</v>
      </c>
      <c r="E2082" s="19" t="n">
        <v>8</v>
      </c>
      <c r="F2082" s="19" t="n">
        <v>3177.32</v>
      </c>
      <c r="G2082" s="8" t="str">
        <f aca="false">IFERROR(INDEX('TRANS'!$B:$B,MATCH($B2082,'TRANS'!$A:$A,0)),IFERROR(INDEX('TRANS'!$B:$B,MATCH(TRIM(SUBSTITUTE($B2082,CHAR(160)," ")),'TRANS'!$D:$D,0)),IFERROR(INDEX('Catalog'!$A:$A,MATCH($B2082,'Catalog'!$B:$B,0)),IFERROR(INDEX('Catalog'!$A:$A,MATCH(TRIM(SUBSTITUTE($B2082,CHAR(160)," ")),'Catalog'!$C:$C,0)),""))))</f>
        <v/>
      </c>
      <c r="H2082" s="8" t="str">
        <f aca="false">IFERROR(INDEX('TRANS'!$C:$C,MATCH($B2082,'TRANS'!$A:$A,0)),IFERROR(INDEX('Catalog'!$B:$B,MATCH($G2082,'Catalog'!$A:$A,0)),$B2082))</f>
        <v>07UB-L-XL</v>
      </c>
      <c r="I2082" s="8" t="str">
        <f aca="false">IF($G2082="","Unmatched","Matched")</f>
        <v>Unmatched</v>
      </c>
    </row>
    <row r="2083" customFormat="false" ht="15" hidden="false" customHeight="false" outlineLevel="0" collapsed="false">
      <c r="A2083" s="8" t="s">
        <v>918</v>
      </c>
      <c r="B2083" s="8" t="s">
        <v>548</v>
      </c>
      <c r="C2083" s="19" t="n">
        <v>2</v>
      </c>
      <c r="D2083" s="19" t="n">
        <v>780.04</v>
      </c>
      <c r="E2083" s="19" t="n">
        <v>1</v>
      </c>
      <c r="F2083" s="19" t="n">
        <v>423.64</v>
      </c>
      <c r="G2083" s="8" t="str">
        <f aca="false">IFERROR(INDEX('TRANS'!$B:$B,MATCH($B2083,'TRANS'!$A:$A,0)),IFERROR(INDEX('TRANS'!$B:$B,MATCH(TRIM(SUBSTITUTE($B2083,CHAR(160)," ")),'TRANS'!$D:$D,0)),IFERROR(INDEX('Catalog'!$A:$A,MATCH($B2083,'Catalog'!$B:$B,0)),IFERROR(INDEX('Catalog'!$A:$A,MATCH(TRIM(SUBSTITUTE($B2083,CHAR(160)," ")),'Catalog'!$C:$C,0)),""))))</f>
        <v/>
      </c>
      <c r="H2083" s="8" t="str">
        <f aca="false">IFERROR(INDEX('TRANS'!$C:$C,MATCH($B2083,'TRANS'!$A:$A,0)),IFERROR(INDEX('Catalog'!$B:$B,MATCH($G2083,'Catalog'!$A:$A,0)),$B2083))</f>
        <v>07UB-S-M</v>
      </c>
      <c r="I2083" s="8" t="str">
        <f aca="false">IF($G2083="","Unmatched","Matched")</f>
        <v>Unmatched</v>
      </c>
    </row>
    <row r="2084" customFormat="false" ht="15" hidden="false" customHeight="false" outlineLevel="0" collapsed="false">
      <c r="A2084" s="8" t="s">
        <v>918</v>
      </c>
      <c r="B2084" s="8" t="s">
        <v>66</v>
      </c>
      <c r="C2084" s="19" t="n">
        <v>10</v>
      </c>
      <c r="D2084" s="19" t="n">
        <v>1929.17</v>
      </c>
      <c r="E2084" s="19" t="n">
        <v>10</v>
      </c>
      <c r="F2084" s="19" t="n">
        <v>1963.34</v>
      </c>
      <c r="G2084" s="8" t="str">
        <f aca="false">IFERROR(INDEX('TRANS'!$B:$B,MATCH($B2084,'TRANS'!$A:$A,0)),IFERROR(INDEX('TRANS'!$B:$B,MATCH(TRIM(SUBSTITUTE($B2084,CHAR(160)," ")),'TRANS'!$D:$D,0)),IFERROR(INDEX('Catalog'!$A:$A,MATCH($B2084,'Catalog'!$B:$B,0)),IFERROR(INDEX('Catalog'!$A:$A,MATCH(TRIM(SUBSTITUTE($B2084,CHAR(160)," ")),'Catalog'!$C:$C,0)),""))))</f>
        <v/>
      </c>
      <c r="H2084" s="8" t="str">
        <f aca="false">IFERROR(INDEX('TRANS'!$C:$C,MATCH($B2084,'TRANS'!$A:$A,0)),IFERROR(INDEX('Catalog'!$B:$B,MATCH($G2084,'Catalog'!$A:$A,0)),$B2084))</f>
        <v>099-L-XL</v>
      </c>
      <c r="I2084" s="8" t="str">
        <f aca="false">IF($G2084="","Unmatched","Matched")</f>
        <v>Unmatched</v>
      </c>
    </row>
    <row r="2085" customFormat="false" ht="15" hidden="false" customHeight="false" outlineLevel="0" collapsed="false">
      <c r="A2085" s="8" t="s">
        <v>918</v>
      </c>
      <c r="B2085" s="8" t="s">
        <v>67</v>
      </c>
      <c r="C2085" s="19" t="n">
        <v>3</v>
      </c>
      <c r="D2085" s="19" t="n">
        <v>456.69</v>
      </c>
      <c r="E2085" s="19" t="n">
        <v>3</v>
      </c>
      <c r="F2085" s="19" t="n">
        <v>440.43</v>
      </c>
      <c r="G2085" s="8" t="str">
        <f aca="false">IFERROR(INDEX('TRANS'!$B:$B,MATCH($B2085,'TRANS'!$A:$A,0)),IFERROR(INDEX('TRANS'!$B:$B,MATCH(TRIM(SUBSTITUTE($B2085,CHAR(160)," ")),'TRANS'!$D:$D,0)),IFERROR(INDEX('Catalog'!$A:$A,MATCH($B2085,'Catalog'!$B:$B,0)),IFERROR(INDEX('Catalog'!$A:$A,MATCH(TRIM(SUBSTITUTE($B2085,CHAR(160)," ")),'Catalog'!$C:$C,0)),""))))</f>
        <v/>
      </c>
      <c r="H2085" s="8" t="str">
        <f aca="false">IFERROR(INDEX('TRANS'!$C:$C,MATCH($B2085,'TRANS'!$A:$A,0)),IFERROR(INDEX('Catalog'!$B:$B,MATCH($G2085,'Catalog'!$A:$A,0)),$B2085))</f>
        <v>099-S-M</v>
      </c>
      <c r="I2085" s="8" t="str">
        <f aca="false">IF($G2085="","Unmatched","Matched")</f>
        <v>Unmatched</v>
      </c>
    </row>
    <row r="2086" customFormat="false" ht="15" hidden="false" customHeight="false" outlineLevel="0" collapsed="false">
      <c r="A2086" s="8" t="s">
        <v>918</v>
      </c>
      <c r="B2086" s="8" t="s">
        <v>68</v>
      </c>
      <c r="C2086" s="19" t="n">
        <v>4</v>
      </c>
      <c r="D2086" s="19" t="n">
        <v>1071.33</v>
      </c>
      <c r="E2086" s="19" t="n">
        <v>0</v>
      </c>
      <c r="F2086" s="19" t="n">
        <v>0</v>
      </c>
      <c r="G2086" s="8" t="n">
        <f aca="false">IFERROR(INDEX('TRANS'!$B:$B,MATCH($B2086,'TRANS'!$A:$A,0)),IFERROR(INDEX('TRANS'!$B:$B,MATCH(TRIM(SUBSTITUTE($B2086,CHAR(160)," ")),'TRANS'!$D:$D,0)),IFERROR(INDEX('Catalog'!$A:$A,MATCH($B2086,'Catalog'!$B:$B,0)),IFERROR(INDEX('Catalog'!$A:$A,MATCH(TRIM(SUBSTITUTE($B2086,CHAR(160)," ")),'Catalog'!$C:$C,0)),""))))</f>
        <v>4408027</v>
      </c>
      <c r="H2086" s="8" t="str">
        <f aca="false">IFERROR(INDEX('TRANS'!$C:$C,MATCH($B2086,'TRANS'!$A:$A,0)),IFERROR(INDEX('Catalog'!$B:$B,MATCH($G2086,'Catalog'!$A:$A,0)),$B2086))</f>
        <v>10 L """"חגורת גב """"לומבו</v>
      </c>
      <c r="I2086" s="8" t="str">
        <f aca="false">IF($G2086="","Unmatched","Matched")</f>
        <v>Matched</v>
      </c>
    </row>
    <row r="2087" customFormat="false" ht="15" hidden="false" customHeight="false" outlineLevel="0" collapsed="false">
      <c r="A2087" s="8" t="s">
        <v>918</v>
      </c>
      <c r="B2087" s="8" t="s">
        <v>69</v>
      </c>
      <c r="C2087" s="19" t="n">
        <v>2</v>
      </c>
      <c r="D2087" s="19" t="n">
        <v>475.29</v>
      </c>
      <c r="E2087" s="19" t="n">
        <v>0</v>
      </c>
      <c r="F2087" s="19" t="n">
        <v>0</v>
      </c>
      <c r="G2087" s="8" t="n">
        <f aca="false">IFERROR(INDEX('TRANS'!$B:$B,MATCH($B2087,'TRANS'!$A:$A,0)),IFERROR(INDEX('TRANS'!$B:$B,MATCH(TRIM(SUBSTITUTE($B2087,CHAR(160)," ")),'TRANS'!$D:$D,0)),IFERROR(INDEX('Catalog'!$A:$A,MATCH($B2087,'Catalog'!$B:$B,0)),IFERROR(INDEX('Catalog'!$A:$A,MATCH(TRIM(SUBSTITUTE($B2087,CHAR(160)," ")),'Catalog'!$C:$C,0)),""))))</f>
        <v>4408028</v>
      </c>
      <c r="H2087" s="8" t="str">
        <f aca="false">IFERROR(INDEX('TRANS'!$C:$C,MATCH($B2087,'TRANS'!$A:$A,0)),IFERROR(INDEX('Catalog'!$B:$B,MATCH($G2087,'Catalog'!$A:$A,0)),$B2087))</f>
        <v>10 M """"חגורת גב """"לומבו</v>
      </c>
      <c r="I2087" s="8" t="str">
        <f aca="false">IF($G2087="","Unmatched","Matched")</f>
        <v>Matched</v>
      </c>
    </row>
    <row r="2088" customFormat="false" ht="15" hidden="false" customHeight="false" outlineLevel="0" collapsed="false">
      <c r="A2088" s="8" t="s">
        <v>918</v>
      </c>
      <c r="B2088" s="8" t="s">
        <v>925</v>
      </c>
      <c r="C2088" s="19" t="n">
        <v>1</v>
      </c>
      <c r="D2088" s="19" t="n">
        <v>223.66</v>
      </c>
      <c r="E2088" s="19" t="n">
        <v>0</v>
      </c>
      <c r="F2088" s="19" t="n">
        <v>0</v>
      </c>
      <c r="G2088" s="8" t="str">
        <f aca="false">IFERROR(INDEX('TRANS'!$B:$B,MATCH($B2088,'TRANS'!$A:$A,0)),IFERROR(INDEX('TRANS'!$B:$B,MATCH(TRIM(SUBSTITUTE($B2088,CHAR(160)," ")),'TRANS'!$D:$D,0)),IFERROR(INDEX('Catalog'!$A:$A,MATCH($B2088,'Catalog'!$B:$B,0)),IFERROR(INDEX('Catalog'!$A:$A,MATCH(TRIM(SUBSTITUTE($B2088,CHAR(160)," ")),'Catalog'!$C:$C,0)),""))))</f>
        <v/>
      </c>
      <c r="H2088" s="8" t="str">
        <f aca="false">IFERROR(INDEX('TRANS'!$C:$C,MATCH($B2088,'TRANS'!$A:$A,0)),IFERROR(INDEX('Catalog'!$B:$B,MATCH($G2088,'Catalog'!$A:$A,0)),$B2088))</f>
        <v>10 S</v>
      </c>
      <c r="I2088" s="8" t="str">
        <f aca="false">IF($G2088="","Unmatched","Matched")</f>
        <v>Unmatched</v>
      </c>
    </row>
    <row r="2089" customFormat="false" ht="15" hidden="false" customHeight="false" outlineLevel="0" collapsed="false">
      <c r="A2089" s="8" t="s">
        <v>918</v>
      </c>
      <c r="B2089" s="8" t="s">
        <v>70</v>
      </c>
      <c r="C2089" s="19" t="n">
        <v>2</v>
      </c>
      <c r="D2089" s="19" t="n">
        <v>475.28</v>
      </c>
      <c r="E2089" s="19" t="n">
        <v>0</v>
      </c>
      <c r="F2089" s="19" t="n">
        <v>0</v>
      </c>
      <c r="G2089" s="8" t="n">
        <f aca="false">IFERROR(INDEX('TRANS'!$B:$B,MATCH($B2089,'TRANS'!$A:$A,0)),IFERROR(INDEX('TRANS'!$B:$B,MATCH(TRIM(SUBSTITUTE($B2089,CHAR(160)," ")),'TRANS'!$D:$D,0)),IFERROR(INDEX('Catalog'!$A:$A,MATCH($B2089,'Catalog'!$B:$B,0)),IFERROR(INDEX('Catalog'!$A:$A,MATCH(TRIM(SUBSTITUTE($B2089,CHAR(160)," ")),'Catalog'!$C:$C,0)),""))))</f>
        <v>4408029</v>
      </c>
      <c r="H2089" s="8" t="str">
        <f aca="false">IFERROR(INDEX('TRANS'!$C:$C,MATCH($B2089,'TRANS'!$A:$A,0)),IFERROR(INDEX('Catalog'!$B:$B,MATCH($G2089,'Catalog'!$A:$A,0)),$B2089))</f>
        <v>10 XL """"חגורת גב """"לומבו</v>
      </c>
      <c r="I2089" s="8" t="str">
        <f aca="false">IF($G2089="","Unmatched","Matched")</f>
        <v>Matched</v>
      </c>
    </row>
    <row r="2090" customFormat="false" ht="15" hidden="false" customHeight="false" outlineLevel="0" collapsed="false">
      <c r="A2090" s="8" t="s">
        <v>918</v>
      </c>
      <c r="B2090" s="8" t="s">
        <v>457</v>
      </c>
      <c r="C2090" s="19" t="n">
        <v>3</v>
      </c>
      <c r="D2090" s="19" t="n">
        <v>742.02</v>
      </c>
      <c r="E2090" s="19" t="n">
        <v>0</v>
      </c>
      <c r="F2090" s="19" t="n">
        <v>0</v>
      </c>
      <c r="G2090" s="8" t="str">
        <f aca="false">IFERROR(INDEX('TRANS'!$B:$B,MATCH($B2090,'TRANS'!$A:$A,0)),IFERROR(INDEX('TRANS'!$B:$B,MATCH(TRIM(SUBSTITUTE($B2090,CHAR(160)," ")),'TRANS'!$D:$D,0)),IFERROR(INDEX('Catalog'!$A:$A,MATCH($B2090,'Catalog'!$B:$B,0)),IFERROR(INDEX('Catalog'!$A:$A,MATCH(TRIM(SUBSTITUTE($B2090,CHAR(160)," ")),'Catalog'!$C:$C,0)),""))))</f>
        <v/>
      </c>
      <c r="H2090" s="8" t="str">
        <f aca="false">IFERROR(INDEX('TRANS'!$C:$C,MATCH($B2090,'TRANS'!$A:$A,0)),IFERROR(INDEX('Catalog'!$B:$B,MATCH($G2090,'Catalog'!$A:$A,0)),$B2090))</f>
        <v>10 XXL</v>
      </c>
      <c r="I2090" s="8" t="str">
        <f aca="false">IF($G2090="","Unmatched","Matched")</f>
        <v>Unmatched</v>
      </c>
    </row>
    <row r="2091" customFormat="false" ht="15" hidden="false" customHeight="false" outlineLevel="0" collapsed="false">
      <c r="A2091" s="8" t="s">
        <v>918</v>
      </c>
      <c r="B2091" s="8" t="s">
        <v>458</v>
      </c>
      <c r="C2091" s="19" t="n">
        <v>5</v>
      </c>
      <c r="D2091" s="19" t="n">
        <v>974.15</v>
      </c>
      <c r="E2091" s="19" t="n">
        <v>6</v>
      </c>
      <c r="F2091" s="19" t="n">
        <v>1149.5</v>
      </c>
      <c r="G2091" s="8" t="n">
        <f aca="false">IFERROR(INDEX('TRANS'!$B:$B,MATCH($B2091,'TRANS'!$A:$A,0)),IFERROR(INDEX('TRANS'!$B:$B,MATCH(TRIM(SUBSTITUTE($B2091,CHAR(160)," ")),'TRANS'!$D:$D,0)),IFERROR(INDEX('Catalog'!$A:$A,MATCH($B2091,'Catalog'!$B:$B,0)),IFERROR(INDEX('Catalog'!$A:$A,MATCH(TRIM(SUBSTITUTE($B2091,CHAR(160)," ")),'Catalog'!$C:$C,0)),""))))</f>
        <v>4408032</v>
      </c>
      <c r="H2091" s="8" t="str">
        <f aca="false">IFERROR(INDEX('TRANS'!$C:$C,MATCH($B2091,'TRANS'!$A:$A,0)),IFERROR(INDEX('Catalog'!$B:$B,MATCH($G2091,'Catalog'!$A:$A,0)),$B2091))</f>
        <v>11 L""""חגורת בטן""""אורירית</v>
      </c>
      <c r="I2091" s="8" t="str">
        <f aca="false">IF($G2091="","Unmatched","Matched")</f>
        <v>Matched</v>
      </c>
    </row>
    <row r="2092" customFormat="false" ht="15" hidden="false" customHeight="false" outlineLevel="0" collapsed="false">
      <c r="A2092" s="8" t="s">
        <v>918</v>
      </c>
      <c r="B2092" s="8" t="s">
        <v>71</v>
      </c>
      <c r="C2092" s="19" t="n">
        <v>7</v>
      </c>
      <c r="D2092" s="19" t="n">
        <v>1285.88</v>
      </c>
      <c r="E2092" s="19" t="n">
        <v>11</v>
      </c>
      <c r="F2092" s="19" t="n">
        <v>2065.21</v>
      </c>
      <c r="G2092" s="8" t="n">
        <f aca="false">IFERROR(INDEX('TRANS'!$B:$B,MATCH($B2092,'TRANS'!$A:$A,0)),IFERROR(INDEX('TRANS'!$B:$B,MATCH(TRIM(SUBSTITUTE($B2092,CHAR(160)," ")),'TRANS'!$D:$D,0)),IFERROR(INDEX('Catalog'!$A:$A,MATCH($B2092,'Catalog'!$B:$B,0)),IFERROR(INDEX('Catalog'!$A:$A,MATCH(TRIM(SUBSTITUTE($B2092,CHAR(160)," ")),'Catalog'!$C:$C,0)),""))))</f>
        <v>4408033</v>
      </c>
      <c r="H2092" s="8" t="str">
        <f aca="false">IFERROR(INDEX('TRANS'!$C:$C,MATCH($B2092,'TRANS'!$A:$A,0)),IFERROR(INDEX('Catalog'!$B:$B,MATCH($G2092,'Catalog'!$A:$A,0)),$B2092))</f>
        <v>11 M""""חגורת בטן""""אורירית</v>
      </c>
      <c r="I2092" s="8" t="str">
        <f aca="false">IF($G2092="","Unmatched","Matched")</f>
        <v>Matched</v>
      </c>
    </row>
    <row r="2093" customFormat="false" ht="15" hidden="false" customHeight="false" outlineLevel="0" collapsed="false">
      <c r="A2093" s="8" t="s">
        <v>918</v>
      </c>
      <c r="B2093" s="8" t="s">
        <v>695</v>
      </c>
      <c r="C2093" s="19" t="n">
        <v>4</v>
      </c>
      <c r="D2093" s="19" t="n">
        <v>711.13</v>
      </c>
      <c r="E2093" s="19" t="n">
        <v>5</v>
      </c>
      <c r="F2093" s="19" t="n">
        <v>935.19</v>
      </c>
      <c r="G2093" s="8" t="n">
        <f aca="false">IFERROR(INDEX('TRANS'!$B:$B,MATCH($B2093,'TRANS'!$A:$A,0)),IFERROR(INDEX('TRANS'!$B:$B,MATCH(TRIM(SUBSTITUTE($B2093,CHAR(160)," ")),'TRANS'!$D:$D,0)),IFERROR(INDEX('Catalog'!$A:$A,MATCH($B2093,'Catalog'!$B:$B,0)),IFERROR(INDEX('Catalog'!$A:$A,MATCH(TRIM(SUBSTITUTE($B2093,CHAR(160)," ")),'Catalog'!$C:$C,0)),""))))</f>
        <v>4408031</v>
      </c>
      <c r="H2093" s="8" t="str">
        <f aca="false">IFERROR(INDEX('TRANS'!$C:$C,MATCH($B2093,'TRANS'!$A:$A,0)),IFERROR(INDEX('Catalog'!$B:$B,MATCH($G2093,'Catalog'!$A:$A,0)),$B2093))</f>
        <v>11 S""""חגורת בטן""""אורירית</v>
      </c>
      <c r="I2093" s="8" t="str">
        <f aca="false">IF($G2093="","Unmatched","Matched")</f>
        <v>Matched</v>
      </c>
    </row>
    <row r="2094" customFormat="false" ht="15" hidden="false" customHeight="false" outlineLevel="0" collapsed="false">
      <c r="A2094" s="8" t="s">
        <v>918</v>
      </c>
      <c r="B2094" s="8" t="s">
        <v>617</v>
      </c>
      <c r="C2094" s="19" t="n">
        <v>5</v>
      </c>
      <c r="D2094" s="19" t="n">
        <v>944.93</v>
      </c>
      <c r="E2094" s="19" t="n">
        <v>5</v>
      </c>
      <c r="F2094" s="19" t="n">
        <v>935.19</v>
      </c>
      <c r="G2094" s="8" t="n">
        <f aca="false">IFERROR(INDEX('TRANS'!$B:$B,MATCH($B2094,'TRANS'!$A:$A,0)),IFERROR(INDEX('TRANS'!$B:$B,MATCH(TRIM(SUBSTITUTE($B2094,CHAR(160)," ")),'TRANS'!$D:$D,0)),IFERROR(INDEX('Catalog'!$A:$A,MATCH($B2094,'Catalog'!$B:$B,0)),IFERROR(INDEX('Catalog'!$A:$A,MATCH(TRIM(SUBSTITUTE($B2094,CHAR(160)," ")),'Catalog'!$C:$C,0)),""))))</f>
        <v>4408034</v>
      </c>
      <c r="H2094" s="8" t="str">
        <f aca="false">IFERROR(INDEX('TRANS'!$C:$C,MATCH($B2094,'TRANS'!$A:$A,0)),IFERROR(INDEX('Catalog'!$B:$B,MATCH($G2094,'Catalog'!$A:$A,0)),$B2094))</f>
        <v>11 XL""""חגורת בטן""""אורירית</v>
      </c>
      <c r="I2094" s="8" t="str">
        <f aca="false">IF($G2094="","Unmatched","Matched")</f>
        <v>Matched</v>
      </c>
    </row>
    <row r="2095" customFormat="false" ht="15" hidden="false" customHeight="false" outlineLevel="0" collapsed="false">
      <c r="A2095" s="8" t="s">
        <v>918</v>
      </c>
      <c r="B2095" s="8" t="s">
        <v>926</v>
      </c>
      <c r="C2095" s="19" t="n">
        <v>0</v>
      </c>
      <c r="D2095" s="19" t="n">
        <v>0</v>
      </c>
      <c r="E2095" s="19" t="n">
        <v>2</v>
      </c>
      <c r="F2095" s="19" t="n">
        <v>508.3</v>
      </c>
      <c r="G2095" s="8" t="str">
        <f aca="false">IFERROR(INDEX('TRANS'!$B:$B,MATCH($B2095,'TRANS'!$A:$A,0)),IFERROR(INDEX('TRANS'!$B:$B,MATCH(TRIM(SUBSTITUTE($B2095,CHAR(160)," ")),'TRANS'!$D:$D,0)),IFERROR(INDEX('Catalog'!$A:$A,MATCH($B2095,'Catalog'!$B:$B,0)),IFERROR(INDEX('Catalog'!$A:$A,MATCH(TRIM(SUBSTITUTE($B2095,CHAR(160)," ")),'Catalog'!$C:$C,0)),""))))</f>
        <v/>
      </c>
      <c r="H2095" s="8" t="str">
        <f aca="false">IFERROR(INDEX('TRANS'!$C:$C,MATCH($B2095,'TRANS'!$A:$A,0)),IFERROR(INDEX('Catalog'!$B:$B,MATCH($G2095,'Catalog'!$A:$A,0)),$B2095))</f>
        <v>11 XS</v>
      </c>
      <c r="I2095" s="8" t="str">
        <f aca="false">IF($G2095="","Unmatched","Matched")</f>
        <v>Unmatched</v>
      </c>
    </row>
    <row r="2096" customFormat="false" ht="15" hidden="false" customHeight="false" outlineLevel="0" collapsed="false">
      <c r="A2096" s="8" t="s">
        <v>918</v>
      </c>
      <c r="B2096" s="8" t="s">
        <v>618</v>
      </c>
      <c r="C2096" s="19" t="n">
        <v>9</v>
      </c>
      <c r="D2096" s="19" t="n">
        <v>1832.38</v>
      </c>
      <c r="E2096" s="19" t="n">
        <v>10</v>
      </c>
      <c r="F2096" s="19" t="n">
        <v>1909.33</v>
      </c>
      <c r="G2096" s="8" t="n">
        <f aca="false">IFERROR(INDEX('TRANS'!$B:$B,MATCH($B2096,'TRANS'!$A:$A,0)),IFERROR(INDEX('TRANS'!$B:$B,MATCH(TRIM(SUBSTITUTE($B2096,CHAR(160)," ")),'TRANS'!$D:$D,0)),IFERROR(INDEX('Catalog'!$A:$A,MATCH($B2096,'Catalog'!$B:$B,0)),IFERROR(INDEX('Catalog'!$A:$A,MATCH(TRIM(SUBSTITUTE($B2096,CHAR(160)," ")),'Catalog'!$C:$C,0)),""))))</f>
        <v>4408035</v>
      </c>
      <c r="H2096" s="8" t="str">
        <f aca="false">IFERROR(INDEX('TRANS'!$C:$C,MATCH($B2096,'TRANS'!$A:$A,0)),IFERROR(INDEX('Catalog'!$B:$B,MATCH($G2096,'Catalog'!$A:$A,0)),$B2096))</f>
        <v>11 XXL""""חגורת בטן""""אורירית</v>
      </c>
      <c r="I2096" s="8" t="str">
        <f aca="false">IF($G2096="","Unmatched","Matched")</f>
        <v>Matched</v>
      </c>
    </row>
    <row r="2097" customFormat="false" ht="15" hidden="false" customHeight="false" outlineLevel="0" collapsed="false">
      <c r="A2097" s="8" t="s">
        <v>918</v>
      </c>
      <c r="B2097" s="8" t="s">
        <v>72</v>
      </c>
      <c r="C2097" s="19" t="n">
        <v>10</v>
      </c>
      <c r="D2097" s="19" t="n">
        <v>1960.84</v>
      </c>
      <c r="E2097" s="19" t="n">
        <v>8</v>
      </c>
      <c r="F2097" s="19" t="n">
        <v>1592.55</v>
      </c>
      <c r="G2097" s="8" t="n">
        <f aca="false">IFERROR(INDEX('TRANS'!$B:$B,MATCH($B2097,'TRANS'!$A:$A,0)),IFERROR(INDEX('TRANS'!$B:$B,MATCH(TRIM(SUBSTITUTE($B2097,CHAR(160)," ")),'TRANS'!$D:$D,0)),IFERROR(INDEX('Catalog'!$A:$A,MATCH($B2097,'Catalog'!$B:$B,0)),IFERROR(INDEX('Catalog'!$A:$A,MATCH(TRIM(SUBSTITUTE($B2097,CHAR(160)," ")),'Catalog'!$C:$C,0)),""))))</f>
        <v>4408115</v>
      </c>
      <c r="H2097" s="8" t="str">
        <f aca="false">IFERROR(INDEX('TRANS'!$C:$C,MATCH($B2097,'TRANS'!$A:$A,0)),IFERROR(INDEX('Catalog'!$B:$B,MATCH($G2097,'Catalog'!$A:$A,0)),$B2097))</f>
        <v>11EU L ח.בטן לאחר ניתוח</v>
      </c>
      <c r="I2097" s="8" t="str">
        <f aca="false">IF($G2097="","Unmatched","Matched")</f>
        <v>Matched</v>
      </c>
    </row>
    <row r="2098" customFormat="false" ht="15" hidden="false" customHeight="false" outlineLevel="0" collapsed="false">
      <c r="A2098" s="8" t="s">
        <v>918</v>
      </c>
      <c r="B2098" s="8" t="s">
        <v>73</v>
      </c>
      <c r="C2098" s="19" t="n">
        <v>5</v>
      </c>
      <c r="D2098" s="19" t="n">
        <v>973.31</v>
      </c>
      <c r="E2098" s="19" t="n">
        <v>10</v>
      </c>
      <c r="F2098" s="19" t="n">
        <v>1930.97</v>
      </c>
      <c r="G2098" s="8" t="n">
        <f aca="false">IFERROR(INDEX('TRANS'!$B:$B,MATCH($B2098,'TRANS'!$A:$A,0)),IFERROR(INDEX('TRANS'!$B:$B,MATCH(TRIM(SUBSTITUTE($B2098,CHAR(160)," ")),'TRANS'!$D:$D,0)),IFERROR(INDEX('Catalog'!$A:$A,MATCH($B2098,'Catalog'!$B:$B,0)),IFERROR(INDEX('Catalog'!$A:$A,MATCH(TRIM(SUBSTITUTE($B2098,CHAR(160)," ")),'Catalog'!$C:$C,0)),""))))</f>
        <v>4408114</v>
      </c>
      <c r="H2098" s="8" t="str">
        <f aca="false">IFERROR(INDEX('TRANS'!$C:$C,MATCH($B2098,'TRANS'!$A:$A,0)),IFERROR(INDEX('Catalog'!$B:$B,MATCH($G2098,'Catalog'!$A:$A,0)),$B2098))</f>
        <v>11EU M ח.בטן לאחר ניתוח</v>
      </c>
      <c r="I2098" s="8" t="str">
        <f aca="false">IF($G2098="","Unmatched","Matched")</f>
        <v>Matched</v>
      </c>
    </row>
    <row r="2099" customFormat="false" ht="15" hidden="false" customHeight="false" outlineLevel="0" collapsed="false">
      <c r="A2099" s="8" t="s">
        <v>918</v>
      </c>
      <c r="B2099" s="8" t="s">
        <v>74</v>
      </c>
      <c r="C2099" s="19" t="n">
        <v>4</v>
      </c>
      <c r="D2099" s="19" t="n">
        <v>705.15</v>
      </c>
      <c r="E2099" s="19" t="n">
        <v>5</v>
      </c>
      <c r="F2099" s="19" t="n">
        <v>975.44</v>
      </c>
      <c r="G2099" s="8" t="str">
        <f aca="false">IFERROR(INDEX('TRANS'!$B:$B,MATCH($B2099,'TRANS'!$A:$A,0)),IFERROR(INDEX('TRANS'!$B:$B,MATCH(TRIM(SUBSTITUTE($B2099,CHAR(160)," ")),'TRANS'!$D:$D,0)),IFERROR(INDEX('Catalog'!$A:$A,MATCH($B2099,'Catalog'!$B:$B,0)),IFERROR(INDEX('Catalog'!$A:$A,MATCH(TRIM(SUBSTITUTE($B2099,CHAR(160)," ")),'Catalog'!$C:$C,0)),""))))</f>
        <v/>
      </c>
      <c r="H2099" s="8" t="str">
        <f aca="false">IFERROR(INDEX('TRANS'!$C:$C,MATCH($B2099,'TRANS'!$A:$A,0)),IFERROR(INDEX('Catalog'!$B:$B,MATCH($G2099,'Catalog'!$A:$A,0)),$B2099))</f>
        <v>11EU S</v>
      </c>
      <c r="I2099" s="8" t="str">
        <f aca="false">IF($G2099="","Unmatched","Matched")</f>
        <v>Unmatched</v>
      </c>
    </row>
    <row r="2100" customFormat="false" ht="15" hidden="false" customHeight="false" outlineLevel="0" collapsed="false">
      <c r="A2100" s="8" t="s">
        <v>918</v>
      </c>
      <c r="B2100" s="8" t="s">
        <v>341</v>
      </c>
      <c r="C2100" s="19" t="n">
        <v>5</v>
      </c>
      <c r="D2100" s="19" t="n">
        <v>973.31</v>
      </c>
      <c r="E2100" s="19" t="n">
        <v>7</v>
      </c>
      <c r="F2100" s="19" t="n">
        <v>1323.81</v>
      </c>
      <c r="G2100" s="8" t="n">
        <f aca="false">IFERROR(INDEX('TRANS'!$B:$B,MATCH($B2100,'TRANS'!$A:$A,0)),IFERROR(INDEX('TRANS'!$B:$B,MATCH(TRIM(SUBSTITUTE($B2100,CHAR(160)," ")),'TRANS'!$D:$D,0)),IFERROR(INDEX('Catalog'!$A:$A,MATCH($B2100,'Catalog'!$B:$B,0)),IFERROR(INDEX('Catalog'!$A:$A,MATCH(TRIM(SUBSTITUTE($B2100,CHAR(160)," ")),'Catalog'!$C:$C,0)),""))))</f>
        <v>4408116</v>
      </c>
      <c r="H2100" s="8" t="str">
        <f aca="false">IFERROR(INDEX('TRANS'!$C:$C,MATCH($B2100,'TRANS'!$A:$A,0)),IFERROR(INDEX('Catalog'!$B:$B,MATCH($G2100,'Catalog'!$A:$A,0)),$B2100))</f>
        <v>11EU XLח.בטן לאחר ניתוח</v>
      </c>
      <c r="I2100" s="8" t="str">
        <f aca="false">IF($G2100="","Unmatched","Matched")</f>
        <v>Matched</v>
      </c>
    </row>
    <row r="2101" customFormat="false" ht="15" hidden="false" customHeight="false" outlineLevel="0" collapsed="false">
      <c r="A2101" s="8" t="s">
        <v>918</v>
      </c>
      <c r="B2101" s="8" t="s">
        <v>927</v>
      </c>
      <c r="C2101" s="19" t="n">
        <v>0</v>
      </c>
      <c r="D2101" s="19" t="n">
        <v>0</v>
      </c>
      <c r="E2101" s="19" t="n">
        <v>1</v>
      </c>
      <c r="F2101" s="19" t="n">
        <v>199.07</v>
      </c>
      <c r="G2101" s="8" t="str">
        <f aca="false">IFERROR(INDEX('TRANS'!$B:$B,MATCH($B2101,'TRANS'!$A:$A,0)),IFERROR(INDEX('TRANS'!$B:$B,MATCH(TRIM(SUBSTITUTE($B2101,CHAR(160)," ")),'TRANS'!$D:$D,0)),IFERROR(INDEX('Catalog'!$A:$A,MATCH($B2101,'Catalog'!$B:$B,0)),IFERROR(INDEX('Catalog'!$A:$A,MATCH(TRIM(SUBSTITUTE($B2101,CHAR(160)," ")),'Catalog'!$C:$C,0)),""))))</f>
        <v/>
      </c>
      <c r="H2101" s="8" t="str">
        <f aca="false">IFERROR(INDEX('TRANS'!$C:$C,MATCH($B2101,'TRANS'!$A:$A,0)),IFERROR(INDEX('Catalog'!$B:$B,MATCH($G2101,'Catalog'!$A:$A,0)),$B2101))</f>
        <v>11EU XS</v>
      </c>
      <c r="I2101" s="8" t="str">
        <f aca="false">IF($G2101="","Unmatched","Matched")</f>
        <v>Unmatched</v>
      </c>
    </row>
    <row r="2102" customFormat="false" ht="15" hidden="false" customHeight="false" outlineLevel="0" collapsed="false">
      <c r="A2102" s="8" t="s">
        <v>918</v>
      </c>
      <c r="B2102" s="8" t="s">
        <v>459</v>
      </c>
      <c r="C2102" s="19" t="n">
        <v>11</v>
      </c>
      <c r="D2102" s="19" t="n">
        <v>2217.55</v>
      </c>
      <c r="E2102" s="19" t="n">
        <v>5</v>
      </c>
      <c r="F2102" s="19" t="n">
        <v>915.71</v>
      </c>
      <c r="G2102" s="8" t="n">
        <f aca="false">IFERROR(INDEX('TRANS'!$B:$B,MATCH($B2102,'TRANS'!$A:$A,0)),IFERROR(INDEX('TRANS'!$B:$B,MATCH(TRIM(SUBSTITUTE($B2102,CHAR(160)," ")),'TRANS'!$D:$D,0)),IFERROR(INDEX('Catalog'!$A:$A,MATCH($B2102,'Catalog'!$B:$B,0)),IFERROR(INDEX('Catalog'!$A:$A,MATCH(TRIM(SUBSTITUTE($B2102,CHAR(160)," ")),'Catalog'!$C:$C,0)),""))))</f>
        <v>4408132</v>
      </c>
      <c r="H2102" s="8" t="str">
        <f aca="false">IFERROR(INDEX('TRANS'!$C:$C,MATCH($B2102,'TRANS'!$A:$A,0)),IFERROR(INDEX('Catalog'!$B:$B,MATCH($G2102,'Catalog'!$A:$A,0)),$B2102))</f>
        <v>11EU XXL חגורת בטןלאחר ניתוח</v>
      </c>
      <c r="I2102" s="8" t="str">
        <f aca="false">IF($G2102="","Unmatched","Matched")</f>
        <v>Matched</v>
      </c>
    </row>
    <row r="2103" customFormat="false" ht="15" hidden="false" customHeight="false" outlineLevel="0" collapsed="false">
      <c r="A2103" s="8" t="s">
        <v>918</v>
      </c>
      <c r="B2103" s="8" t="s">
        <v>928</v>
      </c>
      <c r="C2103" s="19" t="n">
        <v>2</v>
      </c>
      <c r="D2103" s="19" t="n">
        <v>769.32</v>
      </c>
      <c r="E2103" s="19" t="n">
        <v>1</v>
      </c>
      <c r="F2103" s="19" t="n">
        <v>384.66</v>
      </c>
      <c r="G2103" s="8" t="str">
        <f aca="false">IFERROR(INDEX('TRANS'!$B:$B,MATCH($B2103,'TRANS'!$A:$A,0)),IFERROR(INDEX('TRANS'!$B:$B,MATCH(TRIM(SUBSTITUTE($B2103,CHAR(160)," ")),'TRANS'!$D:$D,0)),IFERROR(INDEX('Catalog'!$A:$A,MATCH($B2103,'Catalog'!$B:$B,0)),IFERROR(INDEX('Catalog'!$A:$A,MATCH(TRIM(SUBSTITUTE($B2103,CHAR(160)," ")),'Catalog'!$C:$C,0)),""))))</f>
        <v/>
      </c>
      <c r="H2103" s="8" t="str">
        <f aca="false">IFERROR(INDEX('TRANS'!$C:$C,MATCH($B2103,'TRANS'!$A:$A,0)),IFERROR(INDEX('Catalog'!$B:$B,MATCH($G2103,'Catalog'!$A:$A,0)),$B2103))</f>
        <v>11NOR L</v>
      </c>
      <c r="I2103" s="8" t="str">
        <f aca="false">IF($G2103="","Unmatched","Matched")</f>
        <v>Unmatched</v>
      </c>
    </row>
    <row r="2104" customFormat="false" ht="15" hidden="false" customHeight="false" outlineLevel="0" collapsed="false">
      <c r="A2104" s="8" t="s">
        <v>918</v>
      </c>
      <c r="B2104" s="8" t="s">
        <v>760</v>
      </c>
      <c r="C2104" s="19" t="n">
        <v>4</v>
      </c>
      <c r="D2104" s="19" t="n">
        <v>1404.01</v>
      </c>
      <c r="E2104" s="19" t="n">
        <v>0</v>
      </c>
      <c r="F2104" s="19" t="n">
        <v>0</v>
      </c>
      <c r="G2104" s="8" t="str">
        <f aca="false">IFERROR(INDEX('TRANS'!$B:$B,MATCH($B2104,'TRANS'!$A:$A,0)),IFERROR(INDEX('TRANS'!$B:$B,MATCH(TRIM(SUBSTITUTE($B2104,CHAR(160)," ")),'TRANS'!$D:$D,0)),IFERROR(INDEX('Catalog'!$A:$A,MATCH($B2104,'Catalog'!$B:$B,0)),IFERROR(INDEX('Catalog'!$A:$A,MATCH(TRIM(SUBSTITUTE($B2104,CHAR(160)," ")),'Catalog'!$C:$C,0)),""))))</f>
        <v/>
      </c>
      <c r="H2104" s="8" t="str">
        <f aca="false">IFERROR(INDEX('TRANS'!$C:$C,MATCH($B2104,'TRANS'!$A:$A,0)),IFERROR(INDEX('Catalog'!$B:$B,MATCH($G2104,'Catalog'!$A:$A,0)),$B2104))</f>
        <v>11NOR XL</v>
      </c>
      <c r="I2104" s="8" t="str">
        <f aca="false">IF($G2104="","Unmatched","Matched")</f>
        <v>Unmatched</v>
      </c>
    </row>
    <row r="2105" customFormat="false" ht="15" hidden="false" customHeight="false" outlineLevel="0" collapsed="false">
      <c r="A2105" s="8" t="s">
        <v>918</v>
      </c>
      <c r="B2105" s="8" t="s">
        <v>762</v>
      </c>
      <c r="C2105" s="19" t="n">
        <v>3</v>
      </c>
      <c r="D2105" s="19" t="n">
        <v>1387.82</v>
      </c>
      <c r="E2105" s="19" t="n">
        <v>4</v>
      </c>
      <c r="F2105" s="19" t="n">
        <v>1652.48</v>
      </c>
      <c r="G2105" s="8" t="str">
        <f aca="false">IFERROR(INDEX('TRANS'!$B:$B,MATCH($B2105,'TRANS'!$A:$A,0)),IFERROR(INDEX('TRANS'!$B:$B,MATCH(TRIM(SUBSTITUTE($B2105,CHAR(160)," ")),'TRANS'!$D:$D,0)),IFERROR(INDEX('Catalog'!$A:$A,MATCH($B2105,'Catalog'!$B:$B,0)),IFERROR(INDEX('Catalog'!$A:$A,MATCH(TRIM(SUBSTITUTE($B2105,CHAR(160)," ")),'Catalog'!$C:$C,0)),""))))</f>
        <v/>
      </c>
      <c r="H2105" s="8" t="str">
        <f aca="false">IFERROR(INDEX('TRANS'!$C:$C,MATCH($B2105,'TRANS'!$A:$A,0)),IFERROR(INDEX('Catalog'!$B:$B,MATCH($G2105,'Catalog'!$A:$A,0)),$B2105))</f>
        <v>11NOR XXL</v>
      </c>
      <c r="I2105" s="8" t="str">
        <f aca="false">IF($G2105="","Unmatched","Matched")</f>
        <v>Unmatched</v>
      </c>
    </row>
    <row r="2106" customFormat="false" ht="15" hidden="false" customHeight="false" outlineLevel="0" collapsed="false">
      <c r="A2106" s="8" t="s">
        <v>918</v>
      </c>
      <c r="B2106" s="8" t="s">
        <v>642</v>
      </c>
      <c r="C2106" s="19" t="n">
        <v>7</v>
      </c>
      <c r="D2106" s="19" t="n">
        <v>1560.07</v>
      </c>
      <c r="E2106" s="19" t="n">
        <v>4</v>
      </c>
      <c r="F2106" s="19" t="n">
        <v>909.01</v>
      </c>
      <c r="G2106" s="8" t="n">
        <f aca="false">IFERROR(INDEX('TRANS'!$B:$B,MATCH($B2106,'TRANS'!$A:$A,0)),IFERROR(INDEX('TRANS'!$B:$B,MATCH(TRIM(SUBSTITUTE($B2106,CHAR(160)," ")),'TRANS'!$D:$D,0)),IFERROR(INDEX('Catalog'!$A:$A,MATCH($B2106,'Catalog'!$B:$B,0)),IFERROR(INDEX('Catalog'!$A:$A,MATCH(TRIM(SUBSTITUTE($B2106,CHAR(160)," ")),'Catalog'!$C:$C,0)),""))))</f>
        <v>4408147</v>
      </c>
      <c r="H2106" s="8" t="str">
        <f aca="false">IFERROR(INDEX('TRANS'!$C:$C,MATCH($B2106,'TRANS'!$A:$A,0)),IFERROR(INDEX('Catalog'!$B:$B,MATCH($G2106,'Catalog'!$A:$A,0)),$B2106))</f>
        <v>11PS Lחגורה למנותחי בטן</v>
      </c>
      <c r="I2106" s="8" t="str">
        <f aca="false">IF($G2106="","Unmatched","Matched")</f>
        <v>Matched</v>
      </c>
    </row>
    <row r="2107" customFormat="false" ht="15" hidden="false" customHeight="false" outlineLevel="0" collapsed="false">
      <c r="A2107" s="8" t="s">
        <v>918</v>
      </c>
      <c r="B2107" s="8" t="s">
        <v>788</v>
      </c>
      <c r="C2107" s="19" t="n">
        <v>3</v>
      </c>
      <c r="D2107" s="19" t="n">
        <v>675.62</v>
      </c>
      <c r="E2107" s="19" t="n">
        <v>1</v>
      </c>
      <c r="F2107" s="19" t="n">
        <v>221.11</v>
      </c>
      <c r="G2107" s="8" t="str">
        <f aca="false">IFERROR(INDEX('TRANS'!$B:$B,MATCH($B2107,'TRANS'!$A:$A,0)),IFERROR(INDEX('TRANS'!$B:$B,MATCH(TRIM(SUBSTITUTE($B2107,CHAR(160)," ")),'TRANS'!$D:$D,0)),IFERROR(INDEX('Catalog'!$A:$A,MATCH($B2107,'Catalog'!$B:$B,0)),IFERROR(INDEX('Catalog'!$A:$A,MATCH(TRIM(SUBSTITUTE($B2107,CHAR(160)," ")),'Catalog'!$C:$C,0)),""))))</f>
        <v/>
      </c>
      <c r="H2107" s="8" t="str">
        <f aca="false">IFERROR(INDEX('TRANS'!$C:$C,MATCH($B2107,'TRANS'!$A:$A,0)),IFERROR(INDEX('Catalog'!$B:$B,MATCH($G2107,'Catalog'!$A:$A,0)),$B2107))</f>
        <v>11PS M</v>
      </c>
      <c r="I2107" s="8" t="str">
        <f aca="false">IF($G2107="","Unmatched","Matched")</f>
        <v>Unmatched</v>
      </c>
    </row>
    <row r="2108" customFormat="false" ht="15" hidden="false" customHeight="false" outlineLevel="0" collapsed="false">
      <c r="A2108" s="8" t="s">
        <v>918</v>
      </c>
      <c r="B2108" s="8" t="s">
        <v>929</v>
      </c>
      <c r="C2108" s="19" t="n">
        <v>2</v>
      </c>
      <c r="D2108" s="19" t="n">
        <v>454.51</v>
      </c>
      <c r="E2108" s="19" t="n">
        <v>0</v>
      </c>
      <c r="F2108" s="19" t="n">
        <v>0</v>
      </c>
      <c r="G2108" s="8" t="n">
        <f aca="false">IFERROR(INDEX('TRANS'!$B:$B,MATCH($B2108,'TRANS'!$A:$A,0)),IFERROR(INDEX('TRANS'!$B:$B,MATCH(TRIM(SUBSTITUTE($B2108,CHAR(160)," ")),'TRANS'!$D:$D,0)),IFERROR(INDEX('Catalog'!$A:$A,MATCH($B2108,'Catalog'!$B:$B,0)),IFERROR(INDEX('Catalog'!$A:$A,MATCH(TRIM(SUBSTITUTE($B2108,CHAR(160)," ")),'Catalog'!$C:$C,0)),""))))</f>
        <v>4408145</v>
      </c>
      <c r="H2108" s="8" t="str">
        <f aca="false">IFERROR(INDEX('TRANS'!$C:$C,MATCH($B2108,'TRANS'!$A:$A,0)),IFERROR(INDEX('Catalog'!$B:$B,MATCH($G2108,'Catalog'!$A:$A,0)),$B2108))</f>
        <v>11PS Sחגורה למנותחי בטן</v>
      </c>
      <c r="I2108" s="8" t="str">
        <f aca="false">IF($G2108="","Unmatched","Matched")</f>
        <v>Matched</v>
      </c>
    </row>
    <row r="2109" customFormat="false" ht="15" hidden="false" customHeight="false" outlineLevel="0" collapsed="false">
      <c r="A2109" s="8" t="s">
        <v>918</v>
      </c>
      <c r="B2109" s="8" t="s">
        <v>766</v>
      </c>
      <c r="C2109" s="19" t="n">
        <v>7</v>
      </c>
      <c r="D2109" s="19" t="n">
        <v>1584.68</v>
      </c>
      <c r="E2109" s="19" t="n">
        <v>4</v>
      </c>
      <c r="F2109" s="19" t="n">
        <v>909.01</v>
      </c>
      <c r="G2109" s="8" t="n">
        <f aca="false">IFERROR(INDEX('TRANS'!$B:$B,MATCH($B2109,'TRANS'!$A:$A,0)),IFERROR(INDEX('TRANS'!$B:$B,MATCH(TRIM(SUBSTITUTE($B2109,CHAR(160)," ")),'TRANS'!$D:$D,0)),IFERROR(INDEX('Catalog'!$A:$A,MATCH($B2109,'Catalog'!$B:$B,0)),IFERROR(INDEX('Catalog'!$A:$A,MATCH(TRIM(SUBSTITUTE($B2109,CHAR(160)," ")),'Catalog'!$C:$C,0)),""))))</f>
        <v>4408148</v>
      </c>
      <c r="H2109" s="8" t="str">
        <f aca="false">IFERROR(INDEX('TRANS'!$C:$C,MATCH($B2109,'TRANS'!$A:$A,0)),IFERROR(INDEX('Catalog'!$B:$B,MATCH($G2109,'Catalog'!$A:$A,0)),$B2109))</f>
        <v>11PS XLחגורה למנותחי בטן</v>
      </c>
      <c r="I2109" s="8" t="str">
        <f aca="false">IF($G2109="","Unmatched","Matched")</f>
        <v>Matched</v>
      </c>
    </row>
    <row r="2110" customFormat="false" ht="15" hidden="false" customHeight="false" outlineLevel="0" collapsed="false">
      <c r="A2110" s="8" t="s">
        <v>918</v>
      </c>
      <c r="B2110" s="8" t="s">
        <v>930</v>
      </c>
      <c r="C2110" s="19" t="n">
        <v>1</v>
      </c>
      <c r="D2110" s="19" t="n">
        <v>208.83</v>
      </c>
      <c r="E2110" s="19" t="n">
        <v>2</v>
      </c>
      <c r="F2110" s="19" t="n">
        <v>796.44</v>
      </c>
      <c r="G2110" s="8" t="str">
        <f aca="false">IFERROR(INDEX('TRANS'!$B:$B,MATCH($B2110,'TRANS'!$A:$A,0)),IFERROR(INDEX('TRANS'!$B:$B,MATCH(TRIM(SUBSTITUTE($B2110,CHAR(160)," ")),'TRANS'!$D:$D,0)),IFERROR(INDEX('Catalog'!$A:$A,MATCH($B2110,'Catalog'!$B:$B,0)),IFERROR(INDEX('Catalog'!$A:$A,MATCH(TRIM(SUBSTITUTE($B2110,CHAR(160)," ")),'Catalog'!$C:$C,0)),""))))</f>
        <v/>
      </c>
      <c r="H2110" s="8" t="str">
        <f aca="false">IFERROR(INDEX('TRANS'!$C:$C,MATCH($B2110,'TRANS'!$A:$A,0)),IFERROR(INDEX('Catalog'!$B:$B,MATCH($G2110,'Catalog'!$A:$A,0)),$B2110))</f>
        <v>11PS XS</v>
      </c>
      <c r="I2110" s="8" t="str">
        <f aca="false">IF($G2110="","Unmatched","Matched")</f>
        <v>Unmatched</v>
      </c>
    </row>
    <row r="2111" customFormat="false" ht="15" hidden="false" customHeight="false" outlineLevel="0" collapsed="false">
      <c r="A2111" s="8" t="s">
        <v>918</v>
      </c>
      <c r="B2111" s="8" t="s">
        <v>342</v>
      </c>
      <c r="C2111" s="19" t="n">
        <v>9</v>
      </c>
      <c r="D2111" s="19" t="n">
        <v>2803.61</v>
      </c>
      <c r="E2111" s="19" t="n">
        <v>8</v>
      </c>
      <c r="F2111" s="19" t="n">
        <v>2376.18</v>
      </c>
      <c r="G2111" s="8" t="n">
        <f aca="false">IFERROR(INDEX('TRANS'!$B:$B,MATCH($B2111,'TRANS'!$A:$A,0)),IFERROR(INDEX('TRANS'!$B:$B,MATCH(TRIM(SUBSTITUTE($B2111,CHAR(160)," ")),'TRANS'!$D:$D,0)),IFERROR(INDEX('Catalog'!$A:$A,MATCH($B2111,'Catalog'!$B:$B,0)),IFERROR(INDEX('Catalog'!$A:$A,MATCH(TRIM(SUBSTITUTE($B2111,CHAR(160)," ")),'Catalog'!$C:$C,0)),""))))</f>
        <v>4408149</v>
      </c>
      <c r="H2111" s="8" t="str">
        <f aca="false">IFERROR(INDEX('TRANS'!$C:$C,MATCH($B2111,'TRANS'!$A:$A,0)),IFERROR(INDEX('Catalog'!$B:$B,MATCH($G2111,'Catalog'!$A:$A,0)),$B2111))</f>
        <v>11PS XXLחגורה למנותחי בטן</v>
      </c>
      <c r="I2111" s="8" t="str">
        <f aca="false">IF($G2111="","Unmatched","Matched")</f>
        <v>Matched</v>
      </c>
    </row>
    <row r="2112" customFormat="false" ht="15" hidden="false" customHeight="false" outlineLevel="0" collapsed="false">
      <c r="A2112" s="8" t="s">
        <v>918</v>
      </c>
      <c r="B2112" s="8" t="s">
        <v>460</v>
      </c>
      <c r="C2112" s="19" t="n">
        <v>12</v>
      </c>
      <c r="D2112" s="19" t="n">
        <v>3470.66</v>
      </c>
      <c r="E2112" s="19" t="n">
        <v>14</v>
      </c>
      <c r="F2112" s="19" t="n">
        <v>4030.19</v>
      </c>
      <c r="G2112" s="8" t="n">
        <f aca="false">IFERROR(INDEX('TRANS'!$B:$B,MATCH($B2112,'TRANS'!$A:$A,0)),IFERROR(INDEX('TRANS'!$B:$B,MATCH(TRIM(SUBSTITUTE($B2112,CHAR(160)," ")),'TRANS'!$D:$D,0)),IFERROR(INDEX('Catalog'!$A:$A,MATCH($B2112,'Catalog'!$B:$B,0)),IFERROR(INDEX('Catalog'!$A:$A,MATCH(TRIM(SUBSTITUTE($B2112,CHAR(160)," ")),'Catalog'!$C:$C,0)),""))))</f>
        <v>4408261</v>
      </c>
      <c r="H2112" s="8" t="str">
        <f aca="false">IFERROR(INDEX('TRANS'!$C:$C,MATCH($B2112,'TRANS'!$A:$A,0)),IFERROR(INDEX('Catalog'!$B:$B,MATCH($G2112,'Catalog'!$A:$A,0)),$B2112))</f>
        <v>11STO L חגורה אחרי ניתוח</v>
      </c>
      <c r="I2112" s="8" t="str">
        <f aca="false">IF($G2112="","Unmatched","Matched")</f>
        <v>Matched</v>
      </c>
    </row>
    <row r="2113" customFormat="false" ht="15" hidden="false" customHeight="false" outlineLevel="0" collapsed="false">
      <c r="A2113" s="8" t="s">
        <v>918</v>
      </c>
      <c r="B2113" s="8" t="s">
        <v>587</v>
      </c>
      <c r="C2113" s="19" t="n">
        <v>8</v>
      </c>
      <c r="D2113" s="19" t="n">
        <v>2193.23</v>
      </c>
      <c r="E2113" s="19" t="n">
        <v>4</v>
      </c>
      <c r="F2113" s="19" t="n">
        <v>1172.97</v>
      </c>
      <c r="G2113" s="8" t="n">
        <f aca="false">IFERROR(INDEX('TRANS'!$B:$B,MATCH($B2113,'TRANS'!$A:$A,0)),IFERROR(INDEX('TRANS'!$B:$B,MATCH(TRIM(SUBSTITUTE($B2113,CHAR(160)," ")),'TRANS'!$D:$D,0)),IFERROR(INDEX('Catalog'!$A:$A,MATCH($B2113,'Catalog'!$B:$B,0)),IFERROR(INDEX('Catalog'!$A:$A,MATCH(TRIM(SUBSTITUTE($B2113,CHAR(160)," ")),'Catalog'!$C:$C,0)),""))))</f>
        <v>4408260</v>
      </c>
      <c r="H2113" s="8" t="str">
        <f aca="false">IFERROR(INDEX('TRANS'!$C:$C,MATCH($B2113,'TRANS'!$A:$A,0)),IFERROR(INDEX('Catalog'!$B:$B,MATCH($G2113,'Catalog'!$A:$A,0)),$B2113))</f>
        <v>11STO M חגורה אחרי ניתוח</v>
      </c>
      <c r="I2113" s="8" t="str">
        <f aca="false">IF($G2113="","Unmatched","Matched")</f>
        <v>Matched</v>
      </c>
    </row>
    <row r="2114" customFormat="false" ht="15" hidden="false" customHeight="false" outlineLevel="0" collapsed="false">
      <c r="A2114" s="8" t="s">
        <v>918</v>
      </c>
      <c r="B2114" s="8" t="s">
        <v>730</v>
      </c>
      <c r="C2114" s="19" t="n">
        <v>1</v>
      </c>
      <c r="D2114" s="19" t="n">
        <v>240.61</v>
      </c>
      <c r="E2114" s="19" t="n">
        <v>4</v>
      </c>
      <c r="F2114" s="19" t="n">
        <v>1306.88</v>
      </c>
      <c r="G2114" s="8" t="n">
        <f aca="false">IFERROR(INDEX('TRANS'!$B:$B,MATCH($B2114,'TRANS'!$A:$A,0)),IFERROR(INDEX('TRANS'!$B:$B,MATCH(TRIM(SUBSTITUTE($B2114,CHAR(160)," ")),'TRANS'!$D:$D,0)),IFERROR(INDEX('Catalog'!$A:$A,MATCH($B2114,'Catalog'!$B:$B,0)),IFERROR(INDEX('Catalog'!$A:$A,MATCH(TRIM(SUBSTITUTE($B2114,CHAR(160)," ")),'Catalog'!$C:$C,0)),""))))</f>
        <v>4408259</v>
      </c>
      <c r="H2114" s="8" t="str">
        <f aca="false">IFERROR(INDEX('TRANS'!$C:$C,MATCH($B2114,'TRANS'!$A:$A,0)),IFERROR(INDEX('Catalog'!$B:$B,MATCH($G2114,'Catalog'!$A:$A,0)),$B2114))</f>
        <v>11STO S חגורה אחרי ניתוח</v>
      </c>
      <c r="I2114" s="8" t="str">
        <f aca="false">IF($G2114="","Unmatched","Matched")</f>
        <v>Matched</v>
      </c>
    </row>
    <row r="2115" customFormat="false" ht="15" hidden="false" customHeight="false" outlineLevel="0" collapsed="false">
      <c r="A2115" s="8" t="s">
        <v>918</v>
      </c>
      <c r="B2115" s="8" t="s">
        <v>343</v>
      </c>
      <c r="C2115" s="19" t="n">
        <v>11</v>
      </c>
      <c r="D2115" s="19" t="n">
        <v>3022.64</v>
      </c>
      <c r="E2115" s="19" t="n">
        <v>4</v>
      </c>
      <c r="F2115" s="19" t="n">
        <v>1172.97</v>
      </c>
      <c r="G2115" s="8" t="n">
        <f aca="false">IFERROR(INDEX('TRANS'!$B:$B,MATCH($B2115,'TRANS'!$A:$A,0)),IFERROR(INDEX('TRANS'!$B:$B,MATCH(TRIM(SUBSTITUTE($B2115,CHAR(160)," ")),'TRANS'!$D:$D,0)),IFERROR(INDEX('Catalog'!$A:$A,MATCH($B2115,'Catalog'!$B:$B,0)),IFERROR(INDEX('Catalog'!$A:$A,MATCH(TRIM(SUBSTITUTE($B2115,CHAR(160)," ")),'Catalog'!$C:$C,0)),""))))</f>
        <v>4408262</v>
      </c>
      <c r="H2115" s="8" t="str">
        <f aca="false">IFERROR(INDEX('TRANS'!$C:$C,MATCH($B2115,'TRANS'!$A:$A,0)),IFERROR(INDEX('Catalog'!$B:$B,MATCH($G2115,'Catalog'!$A:$A,0)),$B2115))</f>
        <v>11STO XL  חגורה אחרי ניתוח</v>
      </c>
      <c r="I2115" s="8" t="str">
        <f aca="false">IF($G2115="","Unmatched","Matched")</f>
        <v>Matched</v>
      </c>
    </row>
    <row r="2116" customFormat="false" ht="15" hidden="false" customHeight="false" outlineLevel="0" collapsed="false">
      <c r="A2116" s="8" t="s">
        <v>918</v>
      </c>
      <c r="B2116" s="8" t="s">
        <v>75</v>
      </c>
      <c r="C2116" s="19" t="n">
        <v>13</v>
      </c>
      <c r="D2116" s="19" t="n">
        <v>4020.81</v>
      </c>
      <c r="E2116" s="19" t="n">
        <v>7</v>
      </c>
      <c r="F2116" s="19" t="n">
        <v>2182.28</v>
      </c>
      <c r="G2116" s="8" t="n">
        <f aca="false">IFERROR(INDEX('TRANS'!$B:$B,MATCH($B2116,'TRANS'!$A:$A,0)),IFERROR(INDEX('TRANS'!$B:$B,MATCH(TRIM(SUBSTITUTE($B2116,CHAR(160)," ")),'TRANS'!$D:$D,0)),IFERROR(INDEX('Catalog'!$A:$A,MATCH($B2116,'Catalog'!$B:$B,0)),IFERROR(INDEX('Catalog'!$A:$A,MATCH(TRIM(SUBSTITUTE($B2116,CHAR(160)," ")),'Catalog'!$C:$C,0)),""))))</f>
        <v>4408263</v>
      </c>
      <c r="H2116" s="8" t="str">
        <f aca="false">IFERROR(INDEX('TRANS'!$C:$C,MATCH($B2116,'TRANS'!$A:$A,0)),IFERROR(INDEX('Catalog'!$B:$B,MATCH($G2116,'Catalog'!$A:$A,0)),$B2116))</f>
        <v>11STO XXL חגורה אחרי ניתוח</v>
      </c>
      <c r="I2116" s="8" t="str">
        <f aca="false">IF($G2116="","Unmatched","Matched")</f>
        <v>Matched</v>
      </c>
    </row>
    <row r="2117" customFormat="false" ht="15" hidden="false" customHeight="false" outlineLevel="0" collapsed="false">
      <c r="A2117" s="8" t="s">
        <v>918</v>
      </c>
      <c r="B2117" s="8" t="s">
        <v>800</v>
      </c>
      <c r="C2117" s="19" t="n">
        <v>0</v>
      </c>
      <c r="D2117" s="19" t="n">
        <v>0</v>
      </c>
      <c r="E2117" s="19" t="n">
        <v>4</v>
      </c>
      <c r="F2117" s="19" t="n">
        <v>1097.77</v>
      </c>
      <c r="G2117" s="8" t="str">
        <f aca="false">IFERROR(INDEX('TRANS'!$B:$B,MATCH($B2117,'TRANS'!$A:$A,0)),IFERROR(INDEX('TRANS'!$B:$B,MATCH(TRIM(SUBSTITUTE($B2117,CHAR(160)," ")),'TRANS'!$D:$D,0)),IFERROR(INDEX('Catalog'!$A:$A,MATCH($B2117,'Catalog'!$B:$B,0)),IFERROR(INDEX('Catalog'!$A:$A,MATCH(TRIM(SUBSTITUTE($B2117,CHAR(160)," ")),'Catalog'!$C:$C,0)),""))))</f>
        <v/>
      </c>
      <c r="H2117" s="8" t="str">
        <f aca="false">IFERROR(INDEX('TRANS'!$C:$C,MATCH($B2117,'TRANS'!$A:$A,0)),IFERROR(INDEX('Catalog'!$B:$B,MATCH($G2117,'Catalog'!$A:$A,0)),$B2117))</f>
        <v>11STOB L</v>
      </c>
      <c r="I2117" s="8" t="str">
        <f aca="false">IF($G2117="","Unmatched","Matched")</f>
        <v>Unmatched</v>
      </c>
    </row>
    <row r="2118" customFormat="false" ht="15" hidden="false" customHeight="false" outlineLevel="0" collapsed="false">
      <c r="A2118" s="8" t="s">
        <v>918</v>
      </c>
      <c r="B2118" s="8" t="s">
        <v>801</v>
      </c>
      <c r="C2118" s="19" t="n">
        <v>2</v>
      </c>
      <c r="D2118" s="19" t="n">
        <v>541.37</v>
      </c>
      <c r="E2118" s="19" t="n">
        <v>2</v>
      </c>
      <c r="F2118" s="19" t="n">
        <v>601.52</v>
      </c>
      <c r="G2118" s="8" t="str">
        <f aca="false">IFERROR(INDEX('TRANS'!$B:$B,MATCH($B2118,'TRANS'!$A:$A,0)),IFERROR(INDEX('TRANS'!$B:$B,MATCH(TRIM(SUBSTITUTE($B2118,CHAR(160)," ")),'TRANS'!$D:$D,0)),IFERROR(INDEX('Catalog'!$A:$A,MATCH($B2118,'Catalog'!$B:$B,0)),IFERROR(INDEX('Catalog'!$A:$A,MATCH(TRIM(SUBSTITUTE($B2118,CHAR(160)," ")),'Catalog'!$C:$C,0)),""))))</f>
        <v/>
      </c>
      <c r="H2118" s="8" t="str">
        <f aca="false">IFERROR(INDEX('TRANS'!$C:$C,MATCH($B2118,'TRANS'!$A:$A,0)),IFERROR(INDEX('Catalog'!$B:$B,MATCH($G2118,'Catalog'!$A:$A,0)),$B2118))</f>
        <v>11STOB M</v>
      </c>
      <c r="I2118" s="8" t="str">
        <f aca="false">IF($G2118="","Unmatched","Matched")</f>
        <v>Unmatched</v>
      </c>
    </row>
    <row r="2119" customFormat="false" ht="15" hidden="false" customHeight="false" outlineLevel="0" collapsed="false">
      <c r="A2119" s="8" t="s">
        <v>918</v>
      </c>
      <c r="B2119" s="8" t="s">
        <v>931</v>
      </c>
      <c r="C2119" s="19" t="n">
        <v>3</v>
      </c>
      <c r="D2119" s="19" t="n">
        <v>902.28</v>
      </c>
      <c r="E2119" s="19" t="n">
        <v>0</v>
      </c>
      <c r="F2119" s="19" t="n">
        <v>0</v>
      </c>
      <c r="G2119" s="8" t="str">
        <f aca="false">IFERROR(INDEX('TRANS'!$B:$B,MATCH($B2119,'TRANS'!$A:$A,0)),IFERROR(INDEX('TRANS'!$B:$B,MATCH(TRIM(SUBSTITUTE($B2119,CHAR(160)," ")),'TRANS'!$D:$D,0)),IFERROR(INDEX('Catalog'!$A:$A,MATCH($B2119,'Catalog'!$B:$B,0)),IFERROR(INDEX('Catalog'!$A:$A,MATCH(TRIM(SUBSTITUTE($B2119,CHAR(160)," ")),'Catalog'!$C:$C,0)),""))))</f>
        <v/>
      </c>
      <c r="H2119" s="8" t="str">
        <f aca="false">IFERROR(INDEX('TRANS'!$C:$C,MATCH($B2119,'TRANS'!$A:$A,0)),IFERROR(INDEX('Catalog'!$B:$B,MATCH($G2119,'Catalog'!$A:$A,0)),$B2119))</f>
        <v>11STOB S</v>
      </c>
      <c r="I2119" s="8" t="str">
        <f aca="false">IF($G2119="","Unmatched","Matched")</f>
        <v>Unmatched</v>
      </c>
    </row>
    <row r="2120" customFormat="false" ht="15" hidden="false" customHeight="false" outlineLevel="0" collapsed="false">
      <c r="A2120" s="8" t="s">
        <v>918</v>
      </c>
      <c r="B2120" s="8" t="s">
        <v>802</v>
      </c>
      <c r="C2120" s="19" t="n">
        <v>1</v>
      </c>
      <c r="D2120" s="19" t="n">
        <v>255.65</v>
      </c>
      <c r="E2120" s="19" t="n">
        <v>3</v>
      </c>
      <c r="F2120" s="19" t="n">
        <v>872.2</v>
      </c>
      <c r="G2120" s="8" t="str">
        <f aca="false">IFERROR(INDEX('TRANS'!$B:$B,MATCH($B2120,'TRANS'!$A:$A,0)),IFERROR(INDEX('TRANS'!$B:$B,MATCH(TRIM(SUBSTITUTE($B2120,CHAR(160)," ")),'TRANS'!$D:$D,0)),IFERROR(INDEX('Catalog'!$A:$A,MATCH($B2120,'Catalog'!$B:$B,0)),IFERROR(INDEX('Catalog'!$A:$A,MATCH(TRIM(SUBSTITUTE($B2120,CHAR(160)," ")),'Catalog'!$C:$C,0)),""))))</f>
        <v/>
      </c>
      <c r="H2120" s="8" t="str">
        <f aca="false">IFERROR(INDEX('TRANS'!$C:$C,MATCH($B2120,'TRANS'!$A:$A,0)),IFERROR(INDEX('Catalog'!$B:$B,MATCH($G2120,'Catalog'!$A:$A,0)),$B2120))</f>
        <v>11STOB XL</v>
      </c>
      <c r="I2120" s="8" t="str">
        <f aca="false">IF($G2120="","Unmatched","Matched")</f>
        <v>Unmatched</v>
      </c>
    </row>
    <row r="2121" customFormat="false" ht="15" hidden="false" customHeight="false" outlineLevel="0" collapsed="false">
      <c r="A2121" s="8" t="s">
        <v>918</v>
      </c>
      <c r="B2121" s="8" t="s">
        <v>461</v>
      </c>
      <c r="C2121" s="19" t="n">
        <v>3</v>
      </c>
      <c r="D2121" s="19" t="n">
        <v>807.17</v>
      </c>
      <c r="E2121" s="19" t="n">
        <v>8</v>
      </c>
      <c r="F2121" s="19" t="n">
        <v>2295.32</v>
      </c>
      <c r="G2121" s="8" t="n">
        <f aca="false">IFERROR(INDEX('TRANS'!$B:$B,MATCH($B2121,'TRANS'!$A:$A,0)),IFERROR(INDEX('TRANS'!$B:$B,MATCH(TRIM(SUBSTITUTE($B2121,CHAR(160)," ")),'TRANS'!$D:$D,0)),IFERROR(INDEX('Catalog'!$A:$A,MATCH($B2121,'Catalog'!$B:$B,0)),IFERROR(INDEX('Catalog'!$A:$A,MATCH(TRIM(SUBSTITUTE($B2121,CHAR(160)," ")),'Catalog'!$C:$C,0)),""))))</f>
        <v>4408152</v>
      </c>
      <c r="H2121" s="8" t="str">
        <f aca="false">IFERROR(INDEX('TRANS'!$C:$C,MATCH($B2121,'TRANS'!$A:$A,0)),IFERROR(INDEX('Catalog'!$B:$B,MATCH($G2121,'Catalog'!$A:$A,0)),$B2121))</f>
        <v>11TO L חגורה למנותחי בית החזה</v>
      </c>
      <c r="I2121" s="8" t="str">
        <f aca="false">IF($G2121="","Unmatched","Matched")</f>
        <v>Matched</v>
      </c>
    </row>
    <row r="2122" customFormat="false" ht="15" hidden="false" customHeight="false" outlineLevel="0" collapsed="false">
      <c r="A2122" s="8" t="s">
        <v>918</v>
      </c>
      <c r="B2122" s="8" t="s">
        <v>588</v>
      </c>
      <c r="C2122" s="19" t="n">
        <v>4</v>
      </c>
      <c r="D2122" s="19" t="n">
        <v>1087.85</v>
      </c>
      <c r="E2122" s="19" t="n">
        <v>4</v>
      </c>
      <c r="F2122" s="19" t="n">
        <v>1106.86</v>
      </c>
      <c r="G2122" s="8" t="n">
        <f aca="false">IFERROR(INDEX('TRANS'!$B:$B,MATCH($B2122,'TRANS'!$A:$A,0)),IFERROR(INDEX('TRANS'!$B:$B,MATCH(TRIM(SUBSTITUTE($B2122,CHAR(160)," ")),'TRANS'!$D:$D,0)),IFERROR(INDEX('Catalog'!$A:$A,MATCH($B2122,'Catalog'!$B:$B,0)),IFERROR(INDEX('Catalog'!$A:$A,MATCH(TRIM(SUBSTITUTE($B2122,CHAR(160)," ")),'Catalog'!$C:$C,0)),""))))</f>
        <v>4408151</v>
      </c>
      <c r="H2122" s="8" t="str">
        <f aca="false">IFERROR(INDEX('TRANS'!$C:$C,MATCH($B2122,'TRANS'!$A:$A,0)),IFERROR(INDEX('Catalog'!$B:$B,MATCH($G2122,'Catalog'!$A:$A,0)),$B2122))</f>
        <v>11TO M חגורה למנותחי בית החזה</v>
      </c>
      <c r="I2122" s="8" t="str">
        <f aca="false">IF($G2122="","Unmatched","Matched")</f>
        <v>Matched</v>
      </c>
    </row>
    <row r="2123" customFormat="false" ht="15" hidden="false" customHeight="false" outlineLevel="0" collapsed="false">
      <c r="A2123" s="8" t="s">
        <v>918</v>
      </c>
      <c r="B2123" s="8" t="s">
        <v>724</v>
      </c>
      <c r="C2123" s="19" t="n">
        <v>0</v>
      </c>
      <c r="D2123" s="19" t="n">
        <v>0</v>
      </c>
      <c r="E2123" s="19" t="n">
        <v>1</v>
      </c>
      <c r="F2123" s="19" t="n">
        <v>283.81</v>
      </c>
      <c r="G2123" s="8" t="n">
        <f aca="false">IFERROR(INDEX('TRANS'!$B:$B,MATCH($B2123,'TRANS'!$A:$A,0)),IFERROR(INDEX('TRANS'!$B:$B,MATCH(TRIM(SUBSTITUTE($B2123,CHAR(160)," ")),'TRANS'!$D:$D,0)),IFERROR(INDEX('Catalog'!$A:$A,MATCH($B2123,'Catalog'!$B:$B,0)),IFERROR(INDEX('Catalog'!$A:$A,MATCH(TRIM(SUBSTITUTE($B2123,CHAR(160)," ")),'Catalog'!$C:$C,0)),""))))</f>
        <v>4408150</v>
      </c>
      <c r="H2123" s="8" t="str">
        <f aca="false">IFERROR(INDEX('TRANS'!$C:$C,MATCH($B2123,'TRANS'!$A:$A,0)),IFERROR(INDEX('Catalog'!$B:$B,MATCH($G2123,'Catalog'!$A:$A,0)),$B2123))</f>
        <v>11TO S חגורה למנותחי בית החזה</v>
      </c>
      <c r="I2123" s="8" t="str">
        <f aca="false">IF($G2123="","Unmatched","Matched")</f>
        <v>Matched</v>
      </c>
    </row>
    <row r="2124" customFormat="false" ht="15" hidden="false" customHeight="false" outlineLevel="0" collapsed="false">
      <c r="A2124" s="8" t="s">
        <v>918</v>
      </c>
      <c r="B2124" s="8" t="s">
        <v>344</v>
      </c>
      <c r="C2124" s="19" t="n">
        <v>5</v>
      </c>
      <c r="D2124" s="19" t="n">
        <v>1092.68</v>
      </c>
      <c r="E2124" s="19" t="n">
        <v>8</v>
      </c>
      <c r="F2124" s="19" t="n">
        <v>2199.53</v>
      </c>
      <c r="G2124" s="8" t="n">
        <f aca="false">IFERROR(INDEX('TRANS'!$B:$B,MATCH($B2124,'TRANS'!$A:$A,0)),IFERROR(INDEX('TRANS'!$B:$B,MATCH(TRIM(SUBSTITUTE($B2124,CHAR(160)," ")),'TRANS'!$D:$D,0)),IFERROR(INDEX('Catalog'!$A:$A,MATCH($B2124,'Catalog'!$B:$B,0)),IFERROR(INDEX('Catalog'!$A:$A,MATCH(TRIM(SUBSTITUTE($B2124,CHAR(160)," ")),'Catalog'!$C:$C,0)),""))))</f>
        <v>4408153</v>
      </c>
      <c r="H2124" s="8" t="str">
        <f aca="false">IFERROR(INDEX('TRANS'!$C:$C,MATCH($B2124,'TRANS'!$A:$A,0)),IFERROR(INDEX('Catalog'!$B:$B,MATCH($G2124,'Catalog'!$A:$A,0)),$B2124))</f>
        <v>11TO XLחגורה למנותחי בית החזה</v>
      </c>
      <c r="I2124" s="8" t="str">
        <f aca="false">IF($G2124="","Unmatched","Matched")</f>
        <v>Matched</v>
      </c>
    </row>
    <row r="2125" customFormat="false" ht="15" hidden="false" customHeight="false" outlineLevel="0" collapsed="false">
      <c r="A2125" s="8" t="s">
        <v>918</v>
      </c>
      <c r="B2125" s="8" t="s">
        <v>76</v>
      </c>
      <c r="C2125" s="19" t="n">
        <v>13</v>
      </c>
      <c r="D2125" s="19" t="n">
        <v>3788.89</v>
      </c>
      <c r="E2125" s="19" t="n">
        <v>13</v>
      </c>
      <c r="F2125" s="19" t="n">
        <v>3929.19</v>
      </c>
      <c r="G2125" s="8" t="n">
        <f aca="false">IFERROR(INDEX('TRANS'!$B:$B,MATCH($B2125,'TRANS'!$A:$A,0)),IFERROR(INDEX('TRANS'!$B:$B,MATCH(TRIM(SUBSTITUTE($B2125,CHAR(160)," ")),'TRANS'!$D:$D,0)),IFERROR(INDEX('Catalog'!$A:$A,MATCH($B2125,'Catalog'!$B:$B,0)),IFERROR(INDEX('Catalog'!$A:$A,MATCH(TRIM(SUBSTITUTE($B2125,CHAR(160)," ")),'Catalog'!$C:$C,0)),""))))</f>
        <v>4408154</v>
      </c>
      <c r="H2125" s="8" t="str">
        <f aca="false">IFERROR(INDEX('TRANS'!$C:$C,MATCH($B2125,'TRANS'!$A:$A,0)),IFERROR(INDEX('Catalog'!$B:$B,MATCH($G2125,'Catalog'!$A:$A,0)),$B2125))</f>
        <v>11TO XXLחגורה למנותחי בית החזה</v>
      </c>
      <c r="I2125" s="8" t="str">
        <f aca="false">IF($G2125="","Unmatched","Matched")</f>
        <v>Matched</v>
      </c>
    </row>
    <row r="2126" customFormat="false" ht="15" hidden="false" customHeight="false" outlineLevel="0" collapsed="false">
      <c r="A2126" s="8" t="s">
        <v>918</v>
      </c>
      <c r="B2126" s="8" t="s">
        <v>619</v>
      </c>
      <c r="C2126" s="19" t="n">
        <v>2</v>
      </c>
      <c r="D2126" s="19" t="n">
        <v>567.62</v>
      </c>
      <c r="E2126" s="19" t="n">
        <v>0</v>
      </c>
      <c r="F2126" s="19" t="n">
        <v>0</v>
      </c>
      <c r="G2126" s="8" t="str">
        <f aca="false">IFERROR(INDEX('TRANS'!$B:$B,MATCH($B2126,'TRANS'!$A:$A,0)),IFERROR(INDEX('TRANS'!$B:$B,MATCH(TRIM(SUBSTITUTE($B2126,CHAR(160)," ")),'TRANS'!$D:$D,0)),IFERROR(INDEX('Catalog'!$A:$A,MATCH($B2126,'Catalog'!$B:$B,0)),IFERROR(INDEX('Catalog'!$A:$A,MATCH(TRIM(SUBSTITUTE($B2126,CHAR(160)," ")),'Catalog'!$C:$C,0)),""))))</f>
        <v/>
      </c>
      <c r="H2126" s="8" t="str">
        <f aca="false">IFERROR(INDEX('TRANS'!$C:$C,MATCH($B2126,'TRANS'!$A:$A,0)),IFERROR(INDEX('Catalog'!$B:$B,MATCH($G2126,'Catalog'!$A:$A,0)),$B2126))</f>
        <v>11TO XXXL</v>
      </c>
      <c r="I2126" s="8" t="str">
        <f aca="false">IF($G2126="","Unmatched","Matched")</f>
        <v>Unmatched</v>
      </c>
    </row>
    <row r="2127" customFormat="false" ht="15" hidden="false" customHeight="false" outlineLevel="0" collapsed="false">
      <c r="A2127" s="8" t="s">
        <v>918</v>
      </c>
      <c r="B2127" s="8" t="s">
        <v>731</v>
      </c>
      <c r="C2127" s="19" t="n">
        <v>1</v>
      </c>
      <c r="D2127" s="19" t="n">
        <v>165.58</v>
      </c>
      <c r="E2127" s="19" t="n">
        <v>0</v>
      </c>
      <c r="F2127" s="19" t="n">
        <v>0</v>
      </c>
      <c r="G2127" s="8" t="str">
        <f aca="false">IFERROR(INDEX('TRANS'!$B:$B,MATCH($B2127,'TRANS'!$A:$A,0)),IFERROR(INDEX('TRANS'!$B:$B,MATCH(TRIM(SUBSTITUTE($B2127,CHAR(160)," ")),'TRANS'!$D:$D,0)),IFERROR(INDEX('Catalog'!$A:$A,MATCH($B2127,'Catalog'!$B:$B,0)),IFERROR(INDEX('Catalog'!$A:$A,MATCH(TRIM(SUBSTITUTE($B2127,CHAR(160)," ")),'Catalog'!$C:$C,0)),""))))</f>
        <v/>
      </c>
      <c r="H2127" s="8" t="str">
        <f aca="false">IFERROR(INDEX('TRANS'!$C:$C,MATCH($B2127,'TRANS'!$A:$A,0)),IFERROR(INDEX('Catalog'!$B:$B,MATCH($G2127,'Catalog'!$A:$A,0)),$B2127))</f>
        <v>11U M</v>
      </c>
      <c r="I2127" s="8" t="str">
        <f aca="false">IF($G2127="","Unmatched","Matched")</f>
        <v>Unmatched</v>
      </c>
    </row>
    <row r="2128" customFormat="false" ht="15" hidden="false" customHeight="false" outlineLevel="0" collapsed="false">
      <c r="A2128" s="8" t="s">
        <v>918</v>
      </c>
      <c r="B2128" s="8" t="s">
        <v>633</v>
      </c>
      <c r="C2128" s="19" t="n">
        <v>5</v>
      </c>
      <c r="D2128" s="19" t="n">
        <v>810.68</v>
      </c>
      <c r="E2128" s="19" t="n">
        <v>7</v>
      </c>
      <c r="F2128" s="19" t="n">
        <v>1285.88</v>
      </c>
      <c r="G2128" s="8" t="n">
        <f aca="false">IFERROR(INDEX('TRANS'!$B:$B,MATCH($B2128,'TRANS'!$A:$A,0)),IFERROR(INDEX('TRANS'!$B:$B,MATCH(TRIM(SUBSTITUTE($B2128,CHAR(160)," ")),'TRANS'!$D:$D,0)),IFERROR(INDEX('Catalog'!$A:$A,MATCH($B2128,'Catalog'!$B:$B,0)),IFERROR(INDEX('Catalog'!$A:$A,MATCH(TRIM(SUBSTITUTE($B2128,CHAR(160)," ")),'Catalog'!$C:$C,0)),""))))</f>
        <v>4408226</v>
      </c>
      <c r="H2128" s="8" t="str">
        <f aca="false">IFERROR(INDEX('TRANS'!$C:$C,MATCH($B2128,'TRANS'!$A:$A,0)),IFERROR(INDEX('Catalog'!$B:$B,MATCH($G2128,'Catalog'!$A:$A,0)),$B2128))</f>
        <v>L 11 אפורUG חגורת בטן</v>
      </c>
      <c r="I2128" s="8" t="str">
        <f aca="false">IF($G2128="","Unmatched","Matched")</f>
        <v>Matched</v>
      </c>
    </row>
    <row r="2129" customFormat="false" ht="15" hidden="false" customHeight="false" outlineLevel="0" collapsed="false">
      <c r="A2129" s="8" t="s">
        <v>918</v>
      </c>
      <c r="B2129" s="8" t="s">
        <v>77</v>
      </c>
      <c r="C2129" s="19" t="n">
        <v>5</v>
      </c>
      <c r="D2129" s="19" t="n">
        <v>903.85</v>
      </c>
      <c r="E2129" s="19" t="n">
        <v>6</v>
      </c>
      <c r="F2129" s="19" t="n">
        <v>1062.23</v>
      </c>
      <c r="G2129" s="8" t="str">
        <f aca="false">IFERROR(INDEX('TRANS'!$B:$B,MATCH($B2129,'TRANS'!$A:$A,0)),IFERROR(INDEX('TRANS'!$B:$B,MATCH(TRIM(SUBSTITUTE($B2129,CHAR(160)," ")),'TRANS'!$D:$D,0)),IFERROR(INDEX('Catalog'!$A:$A,MATCH($B2129,'Catalog'!$B:$B,0)),IFERROR(INDEX('Catalog'!$A:$A,MATCH(TRIM(SUBSTITUTE($B2129,CHAR(160)," ")),'Catalog'!$C:$C,0)),""))))</f>
        <v/>
      </c>
      <c r="H2129" s="8" t="str">
        <f aca="false">IFERROR(INDEX('TRANS'!$C:$C,MATCH($B2129,'TRANS'!$A:$A,0)),IFERROR(INDEX('Catalog'!$B:$B,MATCH($G2129,'Catalog'!$A:$A,0)),$B2129))</f>
        <v>11UG M</v>
      </c>
      <c r="I2129" s="8" t="str">
        <f aca="false">IF($G2129="","Unmatched","Matched")</f>
        <v>Unmatched</v>
      </c>
    </row>
    <row r="2130" customFormat="false" ht="15" hidden="false" customHeight="false" outlineLevel="0" collapsed="false">
      <c r="A2130" s="8" t="s">
        <v>918</v>
      </c>
      <c r="B2130" s="8" t="s">
        <v>634</v>
      </c>
      <c r="C2130" s="19" t="n">
        <v>5</v>
      </c>
      <c r="D2130" s="19" t="n">
        <v>916.54</v>
      </c>
      <c r="E2130" s="19" t="n">
        <v>7</v>
      </c>
      <c r="F2130" s="19" t="n">
        <v>1239.29</v>
      </c>
      <c r="G2130" s="8" t="str">
        <f aca="false">IFERROR(INDEX('TRANS'!$B:$B,MATCH($B2130,'TRANS'!$A:$A,0)),IFERROR(INDEX('TRANS'!$B:$B,MATCH(TRIM(SUBSTITUTE($B2130,CHAR(160)," ")),'TRANS'!$D:$D,0)),IFERROR(INDEX('Catalog'!$A:$A,MATCH($B2130,'Catalog'!$B:$B,0)),IFERROR(INDEX('Catalog'!$A:$A,MATCH(TRIM(SUBSTITUTE($B2130,CHAR(160)," ")),'Catalog'!$C:$C,0)),""))))</f>
        <v/>
      </c>
      <c r="H2130" s="8" t="str">
        <f aca="false">IFERROR(INDEX('TRANS'!$C:$C,MATCH($B2130,'TRANS'!$A:$A,0)),IFERROR(INDEX('Catalog'!$B:$B,MATCH($G2130,'Catalog'!$A:$A,0)),$B2130))</f>
        <v>11UG S</v>
      </c>
      <c r="I2130" s="8" t="str">
        <f aca="false">IF($G2130="","Unmatched","Matched")</f>
        <v>Unmatched</v>
      </c>
    </row>
    <row r="2131" customFormat="false" ht="15" hidden="false" customHeight="false" outlineLevel="0" collapsed="false">
      <c r="A2131" s="8" t="s">
        <v>918</v>
      </c>
      <c r="B2131" s="8" t="s">
        <v>78</v>
      </c>
      <c r="C2131" s="19" t="n">
        <v>5</v>
      </c>
      <c r="D2131" s="19" t="n">
        <v>845.38</v>
      </c>
      <c r="E2131" s="19" t="n">
        <v>3</v>
      </c>
      <c r="F2131" s="19" t="n">
        <v>540.43</v>
      </c>
      <c r="G2131" s="8" t="str">
        <f aca="false">IFERROR(INDEX('TRANS'!$B:$B,MATCH($B2131,'TRANS'!$A:$A,0)),IFERROR(INDEX('TRANS'!$B:$B,MATCH(TRIM(SUBSTITUTE($B2131,CHAR(160)," ")),'TRANS'!$D:$D,0)),IFERROR(INDEX('Catalog'!$A:$A,MATCH($B2131,'Catalog'!$B:$B,0)),IFERROR(INDEX('Catalog'!$A:$A,MATCH(TRIM(SUBSTITUTE($B2131,CHAR(160)," ")),'Catalog'!$C:$C,0)),""))))</f>
        <v/>
      </c>
      <c r="H2131" s="8" t="str">
        <f aca="false">IFERROR(INDEX('TRANS'!$C:$C,MATCH($B2131,'TRANS'!$A:$A,0)),IFERROR(INDEX('Catalog'!$B:$B,MATCH($G2131,'Catalog'!$A:$A,0)),$B2131))</f>
        <v>11UG XL</v>
      </c>
      <c r="I2131" s="8" t="str">
        <f aca="false">IF($G2131="","Unmatched","Matched")</f>
        <v>Unmatched</v>
      </c>
    </row>
    <row r="2132" customFormat="false" ht="15" hidden="false" customHeight="false" outlineLevel="0" collapsed="false">
      <c r="A2132" s="8" t="s">
        <v>918</v>
      </c>
      <c r="B2132" s="8" t="s">
        <v>932</v>
      </c>
      <c r="C2132" s="19" t="n">
        <v>1</v>
      </c>
      <c r="D2132" s="19" t="n">
        <v>186.36</v>
      </c>
      <c r="E2132" s="19" t="n">
        <v>3</v>
      </c>
      <c r="F2132" s="19" t="n">
        <v>540.42</v>
      </c>
      <c r="G2132" s="8" t="str">
        <f aca="false">IFERROR(INDEX('TRANS'!$B:$B,MATCH($B2132,'TRANS'!$A:$A,0)),IFERROR(INDEX('TRANS'!$B:$B,MATCH(TRIM(SUBSTITUTE($B2132,CHAR(160)," ")),'TRANS'!$D:$D,0)),IFERROR(INDEX('Catalog'!$A:$A,MATCH($B2132,'Catalog'!$B:$B,0)),IFERROR(INDEX('Catalog'!$A:$A,MATCH(TRIM(SUBSTITUTE($B2132,CHAR(160)," ")),'Catalog'!$C:$C,0)),""))))</f>
        <v/>
      </c>
      <c r="H2132" s="8" t="str">
        <f aca="false">IFERROR(INDEX('TRANS'!$C:$C,MATCH($B2132,'TRANS'!$A:$A,0)),IFERROR(INDEX('Catalog'!$B:$B,MATCH($G2132,'Catalog'!$A:$A,0)),$B2132))</f>
        <v>11UG XS</v>
      </c>
      <c r="I2132" s="8" t="str">
        <f aca="false">IF($G2132="","Unmatched","Matched")</f>
        <v>Unmatched</v>
      </c>
    </row>
    <row r="2133" customFormat="false" ht="15" hidden="false" customHeight="false" outlineLevel="0" collapsed="false">
      <c r="A2133" s="8" t="s">
        <v>918</v>
      </c>
      <c r="B2133" s="8" t="s">
        <v>79</v>
      </c>
      <c r="C2133" s="19" t="n">
        <v>11</v>
      </c>
      <c r="D2133" s="19" t="n">
        <v>2325.29</v>
      </c>
      <c r="E2133" s="19" t="n">
        <v>8</v>
      </c>
      <c r="F2133" s="19" t="n">
        <v>1586.54</v>
      </c>
      <c r="G2133" s="8" t="str">
        <f aca="false">IFERROR(INDEX('TRANS'!$B:$B,MATCH($B2133,'TRANS'!$A:$A,0)),IFERROR(INDEX('TRANS'!$B:$B,MATCH(TRIM(SUBSTITUTE($B2133,CHAR(160)," ")),'TRANS'!$D:$D,0)),IFERROR(INDEX('Catalog'!$A:$A,MATCH($B2133,'Catalog'!$B:$B,0)),IFERROR(INDEX('Catalog'!$A:$A,MATCH(TRIM(SUBSTITUTE($B2133,CHAR(160)," ")),'Catalog'!$C:$C,0)),""))))</f>
        <v/>
      </c>
      <c r="H2133" s="8" t="str">
        <f aca="false">IFERROR(INDEX('TRANS'!$C:$C,MATCH($B2133,'TRANS'!$A:$A,0)),IFERROR(INDEX('Catalog'!$B:$B,MATCH($G2133,'Catalog'!$A:$A,0)),$B2133))</f>
        <v>11UG XXL</v>
      </c>
      <c r="I2133" s="8" t="str">
        <f aca="false">IF($G2133="","Unmatched","Matched")</f>
        <v>Unmatched</v>
      </c>
    </row>
    <row r="2134" customFormat="false" ht="15" hidden="false" customHeight="false" outlineLevel="0" collapsed="false">
      <c r="A2134" s="8" t="s">
        <v>918</v>
      </c>
      <c r="B2134" s="8" t="s">
        <v>80</v>
      </c>
      <c r="C2134" s="19" t="n">
        <v>3</v>
      </c>
      <c r="D2134" s="19" t="n">
        <v>823.05</v>
      </c>
      <c r="E2134" s="19" t="n">
        <v>1</v>
      </c>
      <c r="F2134" s="19" t="n">
        <v>283.81</v>
      </c>
      <c r="G2134" s="8" t="str">
        <f aca="false">IFERROR(INDEX('TRANS'!$B:$B,MATCH($B2134,'TRANS'!$A:$A,0)),IFERROR(INDEX('TRANS'!$B:$B,MATCH(TRIM(SUBSTITUTE($B2134,CHAR(160)," ")),'TRANS'!$D:$D,0)),IFERROR(INDEX('Catalog'!$A:$A,MATCH($B2134,'Catalog'!$B:$B,0)),IFERROR(INDEX('Catalog'!$A:$A,MATCH(TRIM(SUBSTITUTE($B2134,CHAR(160)," ")),'Catalog'!$C:$C,0)),""))))</f>
        <v/>
      </c>
      <c r="H2134" s="8" t="str">
        <f aca="false">IFERROR(INDEX('TRANS'!$C:$C,MATCH($B2134,'TRANS'!$A:$A,0)),IFERROR(INDEX('Catalog'!$B:$B,MATCH($G2134,'Catalog'!$A:$A,0)),$B2134))</f>
        <v>13 L</v>
      </c>
      <c r="I2134" s="8" t="str">
        <f aca="false">IF($G2134="","Unmatched","Matched")</f>
        <v>Unmatched</v>
      </c>
    </row>
    <row r="2135" customFormat="false" ht="15" hidden="false" customHeight="false" outlineLevel="0" collapsed="false">
      <c r="A2135" s="8" t="s">
        <v>918</v>
      </c>
      <c r="B2135" s="8" t="s">
        <v>345</v>
      </c>
      <c r="C2135" s="19" t="n">
        <v>1</v>
      </c>
      <c r="D2135" s="19" t="n">
        <v>227.05</v>
      </c>
      <c r="E2135" s="19" t="n">
        <v>5</v>
      </c>
      <c r="F2135" s="19" t="n">
        <v>1419.05</v>
      </c>
      <c r="G2135" s="8" t="str">
        <f aca="false">IFERROR(INDEX('TRANS'!$B:$B,MATCH($B2135,'TRANS'!$A:$A,0)),IFERROR(INDEX('TRANS'!$B:$B,MATCH(TRIM(SUBSTITUTE($B2135,CHAR(160)," ")),'TRANS'!$D:$D,0)),IFERROR(INDEX('Catalog'!$A:$A,MATCH($B2135,'Catalog'!$B:$B,0)),IFERROR(INDEX('Catalog'!$A:$A,MATCH(TRIM(SUBSTITUTE($B2135,CHAR(160)," ")),'Catalog'!$C:$C,0)),""))))</f>
        <v/>
      </c>
      <c r="H2135" s="8" t="str">
        <f aca="false">IFERROR(INDEX('TRANS'!$C:$C,MATCH($B2135,'TRANS'!$A:$A,0)),IFERROR(INDEX('Catalog'!$B:$B,MATCH($G2135,'Catalog'!$A:$A,0)),$B2135))</f>
        <v>13 M</v>
      </c>
      <c r="I2135" s="8" t="str">
        <f aca="false">IF($G2135="","Unmatched","Matched")</f>
        <v>Unmatched</v>
      </c>
    </row>
    <row r="2136" customFormat="false" ht="15" hidden="false" customHeight="false" outlineLevel="0" collapsed="false">
      <c r="A2136" s="8" t="s">
        <v>918</v>
      </c>
      <c r="B2136" s="8" t="s">
        <v>933</v>
      </c>
      <c r="C2136" s="19" t="n">
        <v>0</v>
      </c>
      <c r="D2136" s="19" t="n">
        <v>0</v>
      </c>
      <c r="E2136" s="19" t="n">
        <v>1</v>
      </c>
      <c r="F2136" s="19" t="n">
        <v>241.25</v>
      </c>
      <c r="G2136" s="8" t="str">
        <f aca="false">IFERROR(INDEX('TRANS'!$B:$B,MATCH($B2136,'TRANS'!$A:$A,0)),IFERROR(INDEX('TRANS'!$B:$B,MATCH(TRIM(SUBSTITUTE($B2136,CHAR(160)," ")),'TRANS'!$D:$D,0)),IFERROR(INDEX('Catalog'!$A:$A,MATCH($B2136,'Catalog'!$B:$B,0)),IFERROR(INDEX('Catalog'!$A:$A,MATCH(TRIM(SUBSTITUTE($B2136,CHAR(160)," ")),'Catalog'!$C:$C,0)),""))))</f>
        <v/>
      </c>
      <c r="H2136" s="8" t="str">
        <f aca="false">IFERROR(INDEX('TRANS'!$C:$C,MATCH($B2136,'TRANS'!$A:$A,0)),IFERROR(INDEX('Catalog'!$B:$B,MATCH($G2136,'Catalog'!$A:$A,0)),$B2136))</f>
        <v>13 S</v>
      </c>
      <c r="I2136" s="8" t="str">
        <f aca="false">IF($G2136="","Unmatched","Matched")</f>
        <v>Unmatched</v>
      </c>
    </row>
    <row r="2137" customFormat="false" ht="15" hidden="false" customHeight="false" outlineLevel="0" collapsed="false">
      <c r="A2137" s="8" t="s">
        <v>918</v>
      </c>
      <c r="B2137" s="8" t="s">
        <v>620</v>
      </c>
      <c r="C2137" s="19" t="n">
        <v>8</v>
      </c>
      <c r="D2137" s="19" t="n">
        <v>2185.34</v>
      </c>
      <c r="E2137" s="19" t="n">
        <v>5</v>
      </c>
      <c r="F2137" s="19" t="n">
        <v>1333.91</v>
      </c>
      <c r="G2137" s="8" t="n">
        <f aca="false">IFERROR(INDEX('TRANS'!$B:$B,MATCH($B2137,'TRANS'!$A:$A,0)),IFERROR(INDEX('TRANS'!$B:$B,MATCH(TRIM(SUBSTITUTE($B2137,CHAR(160)," ")),'TRANS'!$D:$D,0)),IFERROR(INDEX('Catalog'!$A:$A,MATCH($B2137,'Catalog'!$B:$B,0)),IFERROR(INDEX('Catalog'!$A:$A,MATCH(TRIM(SUBSTITUTE($B2137,CHAR(160)," ")),'Catalog'!$C:$C,0)),""))))</f>
        <v>4408179</v>
      </c>
      <c r="H2137" s="8" t="str">
        <f aca="false">IFERROR(INDEX('TRANS'!$C:$C,MATCH($B2137,'TRANS'!$A:$A,0)),IFERROR(INDEX('Catalog'!$B:$B,MATCH($G2137,'Catalog'!$A:$A,0)),$B2137))</f>
        <v>13 XL חגורה לשבר טבור</v>
      </c>
      <c r="I2137" s="8" t="str">
        <f aca="false">IF($G2137="","Unmatched","Matched")</f>
        <v>Matched</v>
      </c>
    </row>
    <row r="2138" customFormat="false" ht="15" hidden="false" customHeight="false" outlineLevel="0" collapsed="false">
      <c r="A2138" s="8" t="s">
        <v>918</v>
      </c>
      <c r="B2138" s="8" t="s">
        <v>934</v>
      </c>
      <c r="C2138" s="19" t="n">
        <v>0</v>
      </c>
      <c r="D2138" s="19" t="n">
        <v>0</v>
      </c>
      <c r="E2138" s="19" t="n">
        <v>1</v>
      </c>
      <c r="F2138" s="19" t="n">
        <v>283.81</v>
      </c>
      <c r="G2138" s="8" t="str">
        <f aca="false">IFERROR(INDEX('TRANS'!$B:$B,MATCH($B2138,'TRANS'!$A:$A,0)),IFERROR(INDEX('TRANS'!$B:$B,MATCH(TRIM(SUBSTITUTE($B2138,CHAR(160)," ")),'TRANS'!$D:$D,0)),IFERROR(INDEX('Catalog'!$A:$A,MATCH($B2138,'Catalog'!$B:$B,0)),IFERROR(INDEX('Catalog'!$A:$A,MATCH(TRIM(SUBSTITUTE($B2138,CHAR(160)," ")),'Catalog'!$C:$C,0)),""))))</f>
        <v/>
      </c>
      <c r="H2138" s="8" t="str">
        <f aca="false">IFERROR(INDEX('TRANS'!$C:$C,MATCH($B2138,'TRANS'!$A:$A,0)),IFERROR(INDEX('Catalog'!$B:$B,MATCH($G2138,'Catalog'!$A:$A,0)),$B2138))</f>
        <v>13 XS</v>
      </c>
      <c r="I2138" s="8" t="str">
        <f aca="false">IF($G2138="","Unmatched","Matched")</f>
        <v>Unmatched</v>
      </c>
    </row>
    <row r="2139" customFormat="false" ht="15" hidden="false" customHeight="false" outlineLevel="0" collapsed="false">
      <c r="A2139" s="8" t="s">
        <v>918</v>
      </c>
      <c r="B2139" s="8" t="s">
        <v>346</v>
      </c>
      <c r="C2139" s="19" t="n">
        <v>2</v>
      </c>
      <c r="D2139" s="19" t="n">
        <v>481.04</v>
      </c>
      <c r="E2139" s="19" t="n">
        <v>7</v>
      </c>
      <c r="F2139" s="19" t="n">
        <v>1901.53</v>
      </c>
      <c r="G2139" s="8" t="n">
        <f aca="false">IFERROR(INDEX('TRANS'!$B:$B,MATCH($B2139,'TRANS'!$A:$A,0)),IFERROR(INDEX('TRANS'!$B:$B,MATCH(TRIM(SUBSTITUTE($B2139,CHAR(160)," ")),'TRANS'!$D:$D,0)),IFERROR(INDEX('Catalog'!$A:$A,MATCH($B2139,'Catalog'!$B:$B,0)),IFERROR(INDEX('Catalog'!$A:$A,MATCH(TRIM(SUBSTITUTE($B2139,CHAR(160)," ")),'Catalog'!$C:$C,0)),""))))</f>
        <v>4408180</v>
      </c>
      <c r="H2139" s="8" t="str">
        <f aca="false">IFERROR(INDEX('TRANS'!$C:$C,MATCH($B2139,'TRANS'!$A:$A,0)),IFERROR(INDEX('Catalog'!$B:$B,MATCH($G2139,'Catalog'!$A:$A,0)),$B2139))</f>
        <v>13 XXL חגורה לשבר טבור</v>
      </c>
      <c r="I2139" s="8" t="str">
        <f aca="false">IF($G2139="","Unmatched","Matched")</f>
        <v>Matched</v>
      </c>
    </row>
    <row r="2140" customFormat="false" ht="15" hidden="false" customHeight="false" outlineLevel="0" collapsed="false">
      <c r="A2140" s="8" t="s">
        <v>918</v>
      </c>
      <c r="B2140" s="8" t="s">
        <v>935</v>
      </c>
      <c r="C2140" s="19" t="n">
        <v>1</v>
      </c>
      <c r="D2140" s="19" t="n">
        <v>97.17</v>
      </c>
      <c r="E2140" s="19" t="n">
        <v>0</v>
      </c>
      <c r="F2140" s="19" t="n">
        <v>0</v>
      </c>
      <c r="G2140" s="8" t="str">
        <f aca="false">IFERROR(INDEX('TRANS'!$B:$B,MATCH($B2140,'TRANS'!$A:$A,0)),IFERROR(INDEX('TRANS'!$B:$B,MATCH(TRIM(SUBSTITUTE($B2140,CHAR(160)," ")),'TRANS'!$D:$D,0)),IFERROR(INDEX('Catalog'!$A:$A,MATCH($B2140,'Catalog'!$B:$B,0)),IFERROR(INDEX('Catalog'!$A:$A,MATCH(TRIM(SUBSTITUTE($B2140,CHAR(160)," ")),'Catalog'!$C:$C,0)),""))))</f>
        <v/>
      </c>
      <c r="H2140" s="8" t="str">
        <f aca="false">IFERROR(INDEX('TRANS'!$C:$C,MATCH($B2140,'TRANS'!$A:$A,0)),IFERROR(INDEX('Catalog'!$B:$B,MATCH($G2140,'Catalog'!$A:$A,0)),$B2140))</f>
        <v>13B L</v>
      </c>
      <c r="I2140" s="8" t="str">
        <f aca="false">IF($G2140="","Unmatched","Matched")</f>
        <v>Unmatched</v>
      </c>
    </row>
    <row r="2141" customFormat="false" ht="15" hidden="false" customHeight="false" outlineLevel="0" collapsed="false">
      <c r="A2141" s="8" t="s">
        <v>918</v>
      </c>
      <c r="B2141" s="8" t="s">
        <v>936</v>
      </c>
      <c r="C2141" s="19" t="n">
        <v>1</v>
      </c>
      <c r="D2141" s="19" t="n">
        <v>106.69</v>
      </c>
      <c r="E2141" s="19" t="n">
        <v>0</v>
      </c>
      <c r="F2141" s="19" t="n">
        <v>0</v>
      </c>
      <c r="G2141" s="8" t="str">
        <f aca="false">IFERROR(INDEX('TRANS'!$B:$B,MATCH($B2141,'TRANS'!$A:$A,0)),IFERROR(INDEX('TRANS'!$B:$B,MATCH(TRIM(SUBSTITUTE($B2141,CHAR(160)," ")),'TRANS'!$D:$D,0)),IFERROR(INDEX('Catalog'!$A:$A,MATCH($B2141,'Catalog'!$B:$B,0)),IFERROR(INDEX('Catalog'!$A:$A,MATCH(TRIM(SUBSTITUTE($B2141,CHAR(160)," ")),'Catalog'!$C:$C,0)),""))))</f>
        <v/>
      </c>
      <c r="H2141" s="8" t="str">
        <f aca="false">IFERROR(INDEX('TRANS'!$C:$C,MATCH($B2141,'TRANS'!$A:$A,0)),IFERROR(INDEX('Catalog'!$B:$B,MATCH($G2141,'Catalog'!$A:$A,0)),$B2141))</f>
        <v>13B M</v>
      </c>
      <c r="I2141" s="8" t="str">
        <f aca="false">IF($G2141="","Unmatched","Matched")</f>
        <v>Unmatched</v>
      </c>
    </row>
    <row r="2142" customFormat="false" ht="15" hidden="false" customHeight="false" outlineLevel="0" collapsed="false">
      <c r="A2142" s="8" t="s">
        <v>918</v>
      </c>
      <c r="B2142" s="8" t="s">
        <v>81</v>
      </c>
      <c r="C2142" s="19" t="n">
        <v>7</v>
      </c>
      <c r="D2142" s="19" t="n">
        <v>769.64</v>
      </c>
      <c r="E2142" s="19" t="n">
        <v>5</v>
      </c>
      <c r="F2142" s="19" t="n">
        <v>560.17</v>
      </c>
      <c r="G2142" s="8" t="str">
        <f aca="false">IFERROR(INDEX('TRANS'!$B:$B,MATCH($B2142,'TRANS'!$A:$A,0)),IFERROR(INDEX('TRANS'!$B:$B,MATCH(TRIM(SUBSTITUTE($B2142,CHAR(160)," ")),'TRANS'!$D:$D,0)),IFERROR(INDEX('Catalog'!$A:$A,MATCH($B2142,'Catalog'!$B:$B,0)),IFERROR(INDEX('Catalog'!$A:$A,MATCH(TRIM(SUBSTITUTE($B2142,CHAR(160)," ")),'Catalog'!$C:$C,0)),""))))</f>
        <v/>
      </c>
      <c r="H2142" s="8" t="str">
        <f aca="false">IFERROR(INDEX('TRANS'!$C:$C,MATCH($B2142,'TRANS'!$A:$A,0)),IFERROR(INDEX('Catalog'!$B:$B,MATCH($G2142,'Catalog'!$A:$A,0)),$B2142))</f>
        <v>13B S</v>
      </c>
      <c r="I2142" s="8" t="str">
        <f aca="false">IF($G2142="","Unmatched","Matched")</f>
        <v>Unmatched</v>
      </c>
    </row>
    <row r="2143" customFormat="false" ht="15" hidden="false" customHeight="false" outlineLevel="0" collapsed="false">
      <c r="A2143" s="8" t="s">
        <v>918</v>
      </c>
      <c r="B2143" s="8" t="s">
        <v>82</v>
      </c>
      <c r="C2143" s="19" t="n">
        <v>13</v>
      </c>
      <c r="D2143" s="19" t="n">
        <v>5658.71</v>
      </c>
      <c r="E2143" s="19" t="n">
        <v>5</v>
      </c>
      <c r="F2143" s="19" t="n">
        <v>2277.55</v>
      </c>
      <c r="G2143" s="8" t="n">
        <f aca="false">IFERROR(INDEX('TRANS'!$B:$B,MATCH($B2143,'TRANS'!$A:$A,0)),IFERROR(INDEX('TRANS'!$B:$B,MATCH(TRIM(SUBSTITUTE($B2143,CHAR(160)," ")),'TRANS'!$D:$D,0)),IFERROR(INDEX('Catalog'!$A:$A,MATCH($B2143,'Catalog'!$B:$B,0)),IFERROR(INDEX('Catalog'!$A:$A,MATCH(TRIM(SUBSTITUTE($B2143,CHAR(160)," ")),'Catalog'!$C:$C,0)),""))))</f>
        <v>4408203</v>
      </c>
      <c r="H2143" s="8" t="str">
        <f aca="false">IFERROR(INDEX('TRANS'!$C:$C,MATCH($B2143,'TRANS'!$A:$A,0)),IFERROR(INDEX('Catalog'!$B:$B,MATCH($G2143,'Catalog'!$A:$A,0)),$B2143))</f>
        <v>14 0 חגורה למנותחי בית חזה</v>
      </c>
      <c r="I2143" s="8" t="str">
        <f aca="false">IF($G2143="","Unmatched","Matched")</f>
        <v>Matched</v>
      </c>
    </row>
    <row r="2144" customFormat="false" ht="15" hidden="false" customHeight="false" outlineLevel="0" collapsed="false">
      <c r="A2144" s="8" t="s">
        <v>918</v>
      </c>
      <c r="B2144" s="8" t="s">
        <v>83</v>
      </c>
      <c r="C2144" s="19" t="n">
        <v>3</v>
      </c>
      <c r="D2144" s="19" t="n">
        <v>457.95</v>
      </c>
      <c r="E2144" s="19" t="n">
        <v>2</v>
      </c>
      <c r="F2144" s="19" t="n">
        <v>482.89</v>
      </c>
      <c r="G2144" s="8" t="str">
        <f aca="false">IFERROR(INDEX('TRANS'!$B:$B,MATCH($B2144,'TRANS'!$A:$A,0)),IFERROR(INDEX('TRANS'!$B:$B,MATCH(TRIM(SUBSTITUTE($B2144,CHAR(160)," ")),'TRANS'!$D:$D,0)),IFERROR(INDEX('Catalog'!$A:$A,MATCH($B2144,'Catalog'!$B:$B,0)),IFERROR(INDEX('Catalog'!$A:$A,MATCH(TRIM(SUBSTITUTE($B2144,CHAR(160)," ")),'Catalog'!$C:$C,0)),""))))</f>
        <v/>
      </c>
      <c r="H2144" s="8" t="str">
        <f aca="false">IFERROR(INDEX('TRANS'!$C:$C,MATCH($B2144,'TRANS'!$A:$A,0)),IFERROR(INDEX('Catalog'!$B:$B,MATCH($G2144,'Catalog'!$A:$A,0)),$B2144))</f>
        <v>15M L</v>
      </c>
      <c r="I2144" s="8" t="str">
        <f aca="false">IF($G2144="","Unmatched","Matched")</f>
        <v>Unmatched</v>
      </c>
    </row>
    <row r="2145" customFormat="false" ht="15" hidden="false" customHeight="false" outlineLevel="0" collapsed="false">
      <c r="A2145" s="8" t="s">
        <v>918</v>
      </c>
      <c r="B2145" s="8" t="s">
        <v>84</v>
      </c>
      <c r="C2145" s="19" t="n">
        <v>2</v>
      </c>
      <c r="D2145" s="19" t="n">
        <v>443.07</v>
      </c>
      <c r="E2145" s="19" t="n">
        <v>0</v>
      </c>
      <c r="F2145" s="19" t="n">
        <v>0</v>
      </c>
      <c r="G2145" s="8" t="str">
        <f aca="false">IFERROR(INDEX('TRANS'!$B:$B,MATCH($B2145,'TRANS'!$A:$A,0)),IFERROR(INDEX('TRANS'!$B:$B,MATCH(TRIM(SUBSTITUTE($B2145,CHAR(160)," ")),'TRANS'!$D:$D,0)),IFERROR(INDEX('Catalog'!$A:$A,MATCH($B2145,'Catalog'!$B:$B,0)),IFERROR(INDEX('Catalog'!$A:$A,MATCH(TRIM(SUBSTITUTE($B2145,CHAR(160)," ")),'Catalog'!$C:$C,0)),""))))</f>
        <v/>
      </c>
      <c r="H2145" s="8" t="str">
        <f aca="false">IFERROR(INDEX('TRANS'!$C:$C,MATCH($B2145,'TRANS'!$A:$A,0)),IFERROR(INDEX('Catalog'!$B:$B,MATCH($G2145,'Catalog'!$A:$A,0)),$B2145))</f>
        <v>15M M</v>
      </c>
      <c r="I2145" s="8" t="str">
        <f aca="false">IF($G2145="","Unmatched","Matched")</f>
        <v>Unmatched</v>
      </c>
    </row>
    <row r="2146" customFormat="false" ht="15" hidden="false" customHeight="false" outlineLevel="0" collapsed="false">
      <c r="A2146" s="8" t="s">
        <v>918</v>
      </c>
      <c r="B2146" s="8" t="s">
        <v>742</v>
      </c>
      <c r="C2146" s="19" t="n">
        <v>3</v>
      </c>
      <c r="D2146" s="19" t="n">
        <v>724.32</v>
      </c>
      <c r="E2146" s="19" t="n">
        <v>1</v>
      </c>
      <c r="F2146" s="19" t="n">
        <v>228.74</v>
      </c>
      <c r="G2146" s="8" t="str">
        <f aca="false">IFERROR(INDEX('TRANS'!$B:$B,MATCH($B2146,'TRANS'!$A:$A,0)),IFERROR(INDEX('TRANS'!$B:$B,MATCH(TRIM(SUBSTITUTE($B2146,CHAR(160)," ")),'TRANS'!$D:$D,0)),IFERROR(INDEX('Catalog'!$A:$A,MATCH($B2146,'Catalog'!$B:$B,0)),IFERROR(INDEX('Catalog'!$A:$A,MATCH(TRIM(SUBSTITUTE($B2146,CHAR(160)," ")),'Catalog'!$C:$C,0)),""))))</f>
        <v/>
      </c>
      <c r="H2146" s="8" t="str">
        <f aca="false">IFERROR(INDEX('TRANS'!$C:$C,MATCH($B2146,'TRANS'!$A:$A,0)),IFERROR(INDEX('Catalog'!$B:$B,MATCH($G2146,'Catalog'!$A:$A,0)),$B2146))</f>
        <v>15M XL</v>
      </c>
      <c r="I2146" s="8" t="str">
        <f aca="false">IF($G2146="","Unmatched","Matched")</f>
        <v>Unmatched</v>
      </c>
    </row>
    <row r="2147" customFormat="false" ht="15" hidden="false" customHeight="false" outlineLevel="0" collapsed="false">
      <c r="A2147" s="8" t="s">
        <v>918</v>
      </c>
      <c r="B2147" s="8" t="s">
        <v>561</v>
      </c>
      <c r="C2147" s="19" t="n">
        <v>2</v>
      </c>
      <c r="D2147" s="19" t="n">
        <v>393.94</v>
      </c>
      <c r="E2147" s="19" t="n">
        <v>2</v>
      </c>
      <c r="F2147" s="19" t="n">
        <v>482.89</v>
      </c>
      <c r="G2147" s="8" t="str">
        <f aca="false">IFERROR(INDEX('TRANS'!$B:$B,MATCH($B2147,'TRANS'!$A:$A,0)),IFERROR(INDEX('TRANS'!$B:$B,MATCH(TRIM(SUBSTITUTE($B2147,CHAR(160)," ")),'TRANS'!$D:$D,0)),IFERROR(INDEX('Catalog'!$A:$A,MATCH($B2147,'Catalog'!$B:$B,0)),IFERROR(INDEX('Catalog'!$A:$A,MATCH(TRIM(SUBSTITUTE($B2147,CHAR(160)," ")),'Catalog'!$C:$C,0)),""))))</f>
        <v/>
      </c>
      <c r="H2147" s="8" t="str">
        <f aca="false">IFERROR(INDEX('TRANS'!$C:$C,MATCH($B2147,'TRANS'!$A:$A,0)),IFERROR(INDEX('Catalog'!$B:$B,MATCH($G2147,'Catalog'!$A:$A,0)),$B2147))</f>
        <v>15M XXL</v>
      </c>
      <c r="I2147" s="8" t="str">
        <f aca="false">IF($G2147="","Unmatched","Matched")</f>
        <v>Unmatched</v>
      </c>
    </row>
    <row r="2148" customFormat="false" ht="15" hidden="false" customHeight="false" outlineLevel="0" collapsed="false">
      <c r="A2148" s="8" t="s">
        <v>918</v>
      </c>
      <c r="B2148" s="8" t="s">
        <v>85</v>
      </c>
      <c r="C2148" s="19" t="n">
        <v>3</v>
      </c>
      <c r="D2148" s="19" t="n">
        <v>709.93</v>
      </c>
      <c r="E2148" s="19" t="n">
        <v>3</v>
      </c>
      <c r="F2148" s="19" t="n">
        <v>762.46</v>
      </c>
      <c r="G2148" s="8" t="n">
        <f aca="false">IFERROR(INDEX('TRANS'!$B:$B,MATCH($B2148,'TRANS'!$A:$A,0)),IFERROR(INDEX('TRANS'!$B:$B,MATCH(TRIM(SUBSTITUTE($B2148,CHAR(160)," ")),'TRANS'!$D:$D,0)),IFERROR(INDEX('Catalog'!$A:$A,MATCH($B2148,'Catalog'!$B:$B,0)),IFERROR(INDEX('Catalog'!$A:$A,MATCH(TRIM(SUBSTITUTE($B2148,CHAR(160)," ")),'Catalog'!$C:$C,0)),""))))</f>
        <v>4408131</v>
      </c>
      <c r="H2148" s="8" t="str">
        <f aca="false">IFERROR(INDEX('TRANS'!$C:$C,MATCH($B2148,'TRANS'!$A:$A,0)),IFERROR(INDEX('Catalog'!$B:$B,MATCH($G2148,'Catalog'!$A:$A,0)),$B2148))</f>
        <v>15W L חגורת צלעות לאשה</v>
      </c>
      <c r="I2148" s="8" t="str">
        <f aca="false">IF($G2148="","Unmatched","Matched")</f>
        <v>Matched</v>
      </c>
    </row>
    <row r="2149" customFormat="false" ht="15" hidden="false" customHeight="false" outlineLevel="0" collapsed="false">
      <c r="A2149" s="8" t="s">
        <v>918</v>
      </c>
      <c r="B2149" s="8" t="s">
        <v>86</v>
      </c>
      <c r="C2149" s="19" t="n">
        <v>6</v>
      </c>
      <c r="D2149" s="19" t="n">
        <v>1524.9</v>
      </c>
      <c r="E2149" s="19" t="n">
        <v>0</v>
      </c>
      <c r="F2149" s="19" t="n">
        <v>0.00999999999999091</v>
      </c>
      <c r="G2149" s="8" t="str">
        <f aca="false">IFERROR(INDEX('TRANS'!$B:$B,MATCH($B2149,'TRANS'!$A:$A,0)),IFERROR(INDEX('TRANS'!$B:$B,MATCH(TRIM(SUBSTITUTE($B2149,CHAR(160)," ")),'TRANS'!$D:$D,0)),IFERROR(INDEX('Catalog'!$A:$A,MATCH($B2149,'Catalog'!$B:$B,0)),IFERROR(INDEX('Catalog'!$A:$A,MATCH(TRIM(SUBSTITUTE($B2149,CHAR(160)," ")),'Catalog'!$C:$C,0)),""))))</f>
        <v/>
      </c>
      <c r="H2149" s="8" t="str">
        <f aca="false">IFERROR(INDEX('TRANS'!$C:$C,MATCH($B2149,'TRANS'!$A:$A,0)),IFERROR(INDEX('Catalog'!$B:$B,MATCH($G2149,'Catalog'!$A:$A,0)),$B2149))</f>
        <v>15W M</v>
      </c>
      <c r="I2149" s="8" t="str">
        <f aca="false">IF($G2149="","Unmatched","Matched")</f>
        <v>Unmatched</v>
      </c>
    </row>
    <row r="2150" customFormat="false" ht="15" hidden="false" customHeight="false" outlineLevel="0" collapsed="false">
      <c r="A2150" s="8" t="s">
        <v>918</v>
      </c>
      <c r="B2150" s="8" t="s">
        <v>87</v>
      </c>
      <c r="C2150" s="19" t="n">
        <v>2</v>
      </c>
      <c r="D2150" s="19" t="n">
        <v>470.18</v>
      </c>
      <c r="E2150" s="19" t="n">
        <v>0</v>
      </c>
      <c r="F2150" s="19" t="n">
        <v>0</v>
      </c>
      <c r="G2150" s="8" t="str">
        <f aca="false">IFERROR(INDEX('TRANS'!$B:$B,MATCH($B2150,'TRANS'!$A:$A,0)),IFERROR(INDEX('TRANS'!$B:$B,MATCH(TRIM(SUBSTITUTE($B2150,CHAR(160)," ")),'TRANS'!$D:$D,0)),IFERROR(INDEX('Catalog'!$A:$A,MATCH($B2150,'Catalog'!$B:$B,0)),IFERROR(INDEX('Catalog'!$A:$A,MATCH(TRIM(SUBSTITUTE($B2150,CHAR(160)," ")),'Catalog'!$C:$C,0)),""))))</f>
        <v/>
      </c>
      <c r="H2150" s="8" t="str">
        <f aca="false">IFERROR(INDEX('TRANS'!$C:$C,MATCH($B2150,'TRANS'!$A:$A,0)),IFERROR(INDEX('Catalog'!$B:$B,MATCH($G2150,'Catalog'!$A:$A,0)),$B2150))</f>
        <v>15W S</v>
      </c>
      <c r="I2150" s="8" t="str">
        <f aca="false">IF($G2150="","Unmatched","Matched")</f>
        <v>Unmatched</v>
      </c>
    </row>
    <row r="2151" customFormat="false" ht="15" hidden="false" customHeight="false" outlineLevel="0" collapsed="false">
      <c r="A2151" s="8" t="s">
        <v>918</v>
      </c>
      <c r="B2151" s="8" t="s">
        <v>88</v>
      </c>
      <c r="C2151" s="19" t="n">
        <v>2</v>
      </c>
      <c r="D2151" s="19" t="n">
        <v>493.9</v>
      </c>
      <c r="E2151" s="19" t="n">
        <v>1</v>
      </c>
      <c r="F2151" s="19" t="n">
        <v>228.74</v>
      </c>
      <c r="G2151" s="8" t="str">
        <f aca="false">IFERROR(INDEX('TRANS'!$B:$B,MATCH($B2151,'TRANS'!$A:$A,0)),IFERROR(INDEX('TRANS'!$B:$B,MATCH(TRIM(SUBSTITUTE($B2151,CHAR(160)," ")),'TRANS'!$D:$D,0)),IFERROR(INDEX('Catalog'!$A:$A,MATCH($B2151,'Catalog'!$B:$B,0)),IFERROR(INDEX('Catalog'!$A:$A,MATCH(TRIM(SUBSTITUTE($B2151,CHAR(160)," ")),'Catalog'!$C:$C,0)),""))))</f>
        <v/>
      </c>
      <c r="H2151" s="8" t="str">
        <f aca="false">IFERROR(INDEX('TRANS'!$C:$C,MATCH($B2151,'TRANS'!$A:$A,0)),IFERROR(INDEX('Catalog'!$B:$B,MATCH($G2151,'Catalog'!$A:$A,0)),$B2151))</f>
        <v>15W XL</v>
      </c>
      <c r="I2151" s="8" t="str">
        <f aca="false">IF($G2151="","Unmatched","Matched")</f>
        <v>Unmatched</v>
      </c>
    </row>
    <row r="2152" customFormat="false" ht="15" hidden="false" customHeight="false" outlineLevel="0" collapsed="false">
      <c r="A2152" s="8" t="s">
        <v>918</v>
      </c>
      <c r="B2152" s="8" t="s">
        <v>89</v>
      </c>
      <c r="C2152" s="19" t="n">
        <v>0</v>
      </c>
      <c r="D2152" s="19" t="n">
        <v>0</v>
      </c>
      <c r="E2152" s="19" t="n">
        <v>1</v>
      </c>
      <c r="F2152" s="19" t="n">
        <v>228.73</v>
      </c>
      <c r="G2152" s="8" t="str">
        <f aca="false">IFERROR(INDEX('TRANS'!$B:$B,MATCH($B2152,'TRANS'!$A:$A,0)),IFERROR(INDEX('TRANS'!$B:$B,MATCH(TRIM(SUBSTITUTE($B2152,CHAR(160)," ")),'TRANS'!$D:$D,0)),IFERROR(INDEX('Catalog'!$A:$A,MATCH($B2152,'Catalog'!$B:$B,0)),IFERROR(INDEX('Catalog'!$A:$A,MATCH(TRIM(SUBSTITUTE($B2152,CHAR(160)," ")),'Catalog'!$C:$C,0)),""))))</f>
        <v/>
      </c>
      <c r="H2152" s="8" t="str">
        <f aca="false">IFERROR(INDEX('TRANS'!$C:$C,MATCH($B2152,'TRANS'!$A:$A,0)),IFERROR(INDEX('Catalog'!$B:$B,MATCH($G2152,'Catalog'!$A:$A,0)),$B2152))</f>
        <v>15W XXL</v>
      </c>
      <c r="I2152" s="8" t="str">
        <f aca="false">IF($G2152="","Unmatched","Matched")</f>
        <v>Unmatched</v>
      </c>
    </row>
    <row r="2153" customFormat="false" ht="15" hidden="false" customHeight="false" outlineLevel="0" collapsed="false">
      <c r="A2153" s="8" t="s">
        <v>918</v>
      </c>
      <c r="B2153" s="8" t="s">
        <v>710</v>
      </c>
      <c r="C2153" s="19" t="n">
        <v>3</v>
      </c>
      <c r="D2153" s="19" t="n">
        <v>651.88</v>
      </c>
      <c r="E2153" s="19" t="n">
        <v>3</v>
      </c>
      <c r="F2153" s="19" t="n">
        <v>663.32</v>
      </c>
      <c r="G2153" s="8" t="n">
        <f aca="false">IFERROR(INDEX('TRANS'!$B:$B,MATCH($B2153,'TRANS'!$A:$A,0)),IFERROR(INDEX('TRANS'!$B:$B,MATCH(TRIM(SUBSTITUTE($B2153,CHAR(160)," ")),'TRANS'!$D:$D,0)),IFERROR(INDEX('Catalog'!$A:$A,MATCH($B2153,'Catalog'!$B:$B,0)),IFERROR(INDEX('Catalog'!$A:$A,MATCH(TRIM(SUBSTITUTE($B2153,CHAR(160)," ")),'Catalog'!$C:$C,0)),""))))</f>
        <v>4408232</v>
      </c>
      <c r="H2153" s="8" t="str">
        <f aca="false">IFERROR(INDEX('TRANS'!$C:$C,MATCH($B2153,'TRANS'!$A:$A,0)),IFERROR(INDEX('Catalog'!$B:$B,MATCH($G2153,'Catalog'!$A:$A,0)),$B2153))</f>
        <v>16 XXL חגורת הריון</v>
      </c>
      <c r="I2153" s="8" t="str">
        <f aca="false">IF($G2153="","Unmatched","Matched")</f>
        <v>Matched</v>
      </c>
    </row>
    <row r="2154" customFormat="false" ht="15" hidden="false" customHeight="false" outlineLevel="0" collapsed="false">
      <c r="A2154" s="8" t="s">
        <v>918</v>
      </c>
      <c r="B2154" s="8" t="s">
        <v>90</v>
      </c>
      <c r="C2154" s="19" t="n">
        <v>12</v>
      </c>
      <c r="D2154" s="19" t="n">
        <v>2550.34</v>
      </c>
      <c r="E2154" s="19" t="n">
        <v>15</v>
      </c>
      <c r="F2154" s="19" t="n">
        <v>3339.46</v>
      </c>
      <c r="G2154" s="8" t="n">
        <f aca="false">IFERROR(INDEX('TRANS'!$B:$B,MATCH($B2154,'TRANS'!$A:$A,0)),IFERROR(INDEX('TRANS'!$B:$B,MATCH(TRIM(SUBSTITUTE($B2154,CHAR(160)," ")),'TRANS'!$D:$D,0)),IFERROR(INDEX('Catalog'!$A:$A,MATCH($B2154,'Catalog'!$B:$B,0)),IFERROR(INDEX('Catalog'!$A:$A,MATCH(TRIM(SUBSTITUTE($B2154,CHAR(160)," ")),'Catalog'!$C:$C,0)),""))))</f>
        <v>4408230</v>
      </c>
      <c r="H2154" s="8" t="str">
        <f aca="false">IFERROR(INDEX('TRANS'!$C:$C,MATCH($B2154,'TRANS'!$A:$A,0)),IFERROR(INDEX('Catalog'!$B:$B,MATCH($G2154,'Catalog'!$A:$A,0)),$B2154))</f>
        <v>16 L-XL חגורת הריון</v>
      </c>
      <c r="I2154" s="8" t="str">
        <f aca="false">IF($G2154="","Unmatched","Matched")</f>
        <v>Matched</v>
      </c>
    </row>
    <row r="2155" customFormat="false" ht="15" hidden="false" customHeight="false" outlineLevel="0" collapsed="false">
      <c r="A2155" s="8" t="s">
        <v>918</v>
      </c>
      <c r="B2155" s="8" t="s">
        <v>91</v>
      </c>
      <c r="C2155" s="19" t="n">
        <v>3</v>
      </c>
      <c r="D2155" s="19" t="n">
        <v>640.44</v>
      </c>
      <c r="E2155" s="19" t="n">
        <v>10</v>
      </c>
      <c r="F2155" s="19" t="n">
        <v>2218.69</v>
      </c>
      <c r="G2155" s="8" t="n">
        <f aca="false">IFERROR(INDEX('TRANS'!$B:$B,MATCH($B2155,'TRANS'!$A:$A,0)),IFERROR(INDEX('TRANS'!$B:$B,MATCH(TRIM(SUBSTITUTE($B2155,CHAR(160)," ")),'TRANS'!$D:$D,0)),IFERROR(INDEX('Catalog'!$A:$A,MATCH($B2155,'Catalog'!$B:$B,0)),IFERROR(INDEX('Catalog'!$A:$A,MATCH(TRIM(SUBSTITUTE($B2155,CHAR(160)," ")),'Catalog'!$C:$C,0)),""))))</f>
        <v>4408231</v>
      </c>
      <c r="H2155" s="8" t="str">
        <f aca="false">IFERROR(INDEX('TRANS'!$C:$C,MATCH($B2155,'TRANS'!$A:$A,0)),IFERROR(INDEX('Catalog'!$B:$B,MATCH($G2155,'Catalog'!$A:$A,0)),$B2155))</f>
        <v>16 S-M חגורת הריון</v>
      </c>
      <c r="I2155" s="8" t="str">
        <f aca="false">IF($G2155="","Unmatched","Matched")</f>
        <v>Matched</v>
      </c>
    </row>
    <row r="2156" customFormat="false" ht="15" hidden="false" customHeight="false" outlineLevel="0" collapsed="false">
      <c r="A2156" s="8" t="s">
        <v>918</v>
      </c>
      <c r="B2156" s="8" t="s">
        <v>711</v>
      </c>
      <c r="C2156" s="19" t="n">
        <v>1</v>
      </c>
      <c r="D2156" s="19" t="n">
        <v>475.35</v>
      </c>
      <c r="E2156" s="19" t="n">
        <v>1</v>
      </c>
      <c r="F2156" s="19" t="n">
        <v>503.31</v>
      </c>
      <c r="G2156" s="8" t="str">
        <f aca="false">IFERROR(INDEX('TRANS'!$B:$B,MATCH($B2156,'TRANS'!$A:$A,0)),IFERROR(INDEX('TRANS'!$B:$B,MATCH(TRIM(SUBSTITUTE($B2156,CHAR(160)," ")),'TRANS'!$D:$D,0)),IFERROR(INDEX('Catalog'!$A:$A,MATCH($B2156,'Catalog'!$B:$B,0)),IFERROR(INDEX('Catalog'!$A:$A,MATCH(TRIM(SUBSTITUTE($B2156,CHAR(160)," ")),'Catalog'!$C:$C,0)),""))))</f>
        <v/>
      </c>
      <c r="H2156" s="8" t="str">
        <f aca="false">IFERROR(INDEX('TRANS'!$C:$C,MATCH($B2156,'TRANS'!$A:$A,0)),IFERROR(INDEX('Catalog'!$B:$B,MATCH($G2156,'Catalog'!$A:$A,0)),$B2156))</f>
        <v>18 L</v>
      </c>
      <c r="I2156" s="8" t="str">
        <f aca="false">IF($G2156="","Unmatched","Matched")</f>
        <v>Unmatched</v>
      </c>
    </row>
    <row r="2157" customFormat="false" ht="15" hidden="false" customHeight="false" outlineLevel="0" collapsed="false">
      <c r="A2157" s="8" t="s">
        <v>918</v>
      </c>
      <c r="B2157" s="8" t="s">
        <v>712</v>
      </c>
      <c r="C2157" s="19" t="n">
        <v>1</v>
      </c>
      <c r="D2157" s="19" t="n">
        <v>559.24</v>
      </c>
      <c r="E2157" s="19" t="n">
        <v>1</v>
      </c>
      <c r="F2157" s="19" t="n">
        <v>559.24</v>
      </c>
      <c r="G2157" s="8" t="str">
        <f aca="false">IFERROR(INDEX('TRANS'!$B:$B,MATCH($B2157,'TRANS'!$A:$A,0)),IFERROR(INDEX('TRANS'!$B:$B,MATCH(TRIM(SUBSTITUTE($B2157,CHAR(160)," ")),'TRANS'!$D:$D,0)),IFERROR(INDEX('Catalog'!$A:$A,MATCH($B2157,'Catalog'!$B:$B,0)),IFERROR(INDEX('Catalog'!$A:$A,MATCH(TRIM(SUBSTITUTE($B2157,CHAR(160)," ")),'Catalog'!$C:$C,0)),""))))</f>
        <v/>
      </c>
      <c r="H2157" s="8" t="str">
        <f aca="false">IFERROR(INDEX('TRANS'!$C:$C,MATCH($B2157,'TRANS'!$A:$A,0)),IFERROR(INDEX('Catalog'!$B:$B,MATCH($G2157,'Catalog'!$A:$A,0)),$B2157))</f>
        <v>18 M</v>
      </c>
      <c r="I2157" s="8" t="str">
        <f aca="false">IF($G2157="","Unmatched","Matched")</f>
        <v>Unmatched</v>
      </c>
    </row>
    <row r="2158" customFormat="false" ht="15" hidden="false" customHeight="false" outlineLevel="0" collapsed="false">
      <c r="A2158" s="8" t="s">
        <v>918</v>
      </c>
      <c r="B2158" s="8" t="s">
        <v>686</v>
      </c>
      <c r="C2158" s="19" t="n">
        <v>3</v>
      </c>
      <c r="D2158" s="19" t="n">
        <v>162.22</v>
      </c>
      <c r="E2158" s="19" t="n">
        <v>0</v>
      </c>
      <c r="F2158" s="19" t="n">
        <v>0</v>
      </c>
      <c r="G2158" s="8" t="n">
        <f aca="false">IFERROR(INDEX('TRANS'!$B:$B,MATCH($B2158,'TRANS'!$A:$A,0)),IFERROR(INDEX('TRANS'!$B:$B,MATCH(TRIM(SUBSTITUTE($B2158,CHAR(160)," ")),'TRANS'!$D:$D,0)),IFERROR(INDEX('Catalog'!$A:$A,MATCH($B2158,'Catalog'!$B:$B,0)),IFERROR(INDEX('Catalog'!$A:$A,MATCH(TRIM(SUBSTITUTE($B2158,CHAR(160)," ")),'Catalog'!$C:$C,0)),""))))</f>
        <v>4408046</v>
      </c>
      <c r="H2158" s="8" t="str">
        <f aca="false">IFERROR(INDEX('TRANS'!$C:$C,MATCH($B2158,'TRANS'!$A:$A,0)),IFERROR(INDEX('Catalog'!$B:$B,MATCH($G2158,'Catalog'!$A:$A,0)),$B2158))</f>
        <v>20 L חבק יד מתכוון עם צמדן</v>
      </c>
      <c r="I2158" s="8" t="str">
        <f aca="false">IF($G2158="","Unmatched","Matched")</f>
        <v>Matched</v>
      </c>
    </row>
    <row r="2159" customFormat="false" ht="15" hidden="false" customHeight="false" outlineLevel="0" collapsed="false">
      <c r="A2159" s="8" t="s">
        <v>918</v>
      </c>
      <c r="B2159" s="8" t="s">
        <v>621</v>
      </c>
      <c r="C2159" s="19" t="n">
        <v>4</v>
      </c>
      <c r="D2159" s="19" t="n">
        <v>219.29</v>
      </c>
      <c r="E2159" s="19" t="n">
        <v>1</v>
      </c>
      <c r="F2159" s="19" t="n">
        <v>60.08</v>
      </c>
      <c r="G2159" s="8" t="n">
        <f aca="false">IFERROR(INDEX('TRANS'!$B:$B,MATCH($B2159,'TRANS'!$A:$A,0)),IFERROR(INDEX('TRANS'!$B:$B,MATCH(TRIM(SUBSTITUTE($B2159,CHAR(160)," ")),'TRANS'!$D:$D,0)),IFERROR(INDEX('Catalog'!$A:$A,MATCH($B2159,'Catalog'!$B:$B,0)),IFERROR(INDEX('Catalog'!$A:$A,MATCH(TRIM(SUBSTITUTE($B2159,CHAR(160)," ")),'Catalog'!$C:$C,0)),""))))</f>
        <v>4408047</v>
      </c>
      <c r="H2159" s="8" t="str">
        <f aca="false">IFERROR(INDEX('TRANS'!$C:$C,MATCH($B2159,'TRANS'!$A:$A,0)),IFERROR(INDEX('Catalog'!$B:$B,MATCH($G2159,'Catalog'!$A:$A,0)),$B2159))</f>
        <v>20 M חבק יד מתכוון עם צמדן</v>
      </c>
      <c r="I2159" s="8" t="str">
        <f aca="false">IF($G2159="","Unmatched","Matched")</f>
        <v>Matched</v>
      </c>
    </row>
    <row r="2160" customFormat="false" ht="15" hidden="false" customHeight="false" outlineLevel="0" collapsed="false">
      <c r="A2160" s="8" t="s">
        <v>918</v>
      </c>
      <c r="B2160" s="8" t="s">
        <v>622</v>
      </c>
      <c r="C2160" s="19" t="n">
        <v>10</v>
      </c>
      <c r="D2160" s="19" t="n">
        <v>576.77</v>
      </c>
      <c r="E2160" s="19" t="n">
        <v>0</v>
      </c>
      <c r="F2160" s="19" t="n">
        <v>0</v>
      </c>
      <c r="G2160" s="8" t="n">
        <f aca="false">IFERROR(INDEX('TRANS'!$B:$B,MATCH($B2160,'TRANS'!$A:$A,0)),IFERROR(INDEX('TRANS'!$B:$B,MATCH(TRIM(SUBSTITUTE($B2160,CHAR(160)," ")),'TRANS'!$D:$D,0)),IFERROR(INDEX('Catalog'!$A:$A,MATCH($B2160,'Catalog'!$B:$B,0)),IFERROR(INDEX('Catalog'!$A:$A,MATCH(TRIM(SUBSTITUTE($B2160,CHAR(160)," ")),'Catalog'!$C:$C,0)),""))))</f>
        <v>4408048</v>
      </c>
      <c r="H2160" s="8" t="str">
        <f aca="false">IFERROR(INDEX('TRANS'!$C:$C,MATCH($B2160,'TRANS'!$A:$A,0)),IFERROR(INDEX('Catalog'!$B:$B,MATCH($G2160,'Catalog'!$A:$A,0)),$B2160))</f>
        <v>20 S חבק יד מתכוון עם צמדן</v>
      </c>
      <c r="I2160" s="8" t="str">
        <f aca="false">IF($G2160="","Unmatched","Matched")</f>
        <v>Matched</v>
      </c>
    </row>
    <row r="2161" customFormat="false" ht="15" hidden="false" customHeight="false" outlineLevel="0" collapsed="false">
      <c r="A2161" s="8" t="s">
        <v>918</v>
      </c>
      <c r="B2161" s="8" t="s">
        <v>562</v>
      </c>
      <c r="C2161" s="19" t="n">
        <v>2</v>
      </c>
      <c r="D2161" s="19" t="n">
        <v>120.16</v>
      </c>
      <c r="E2161" s="19" t="n">
        <v>0</v>
      </c>
      <c r="F2161" s="19" t="n">
        <v>0</v>
      </c>
      <c r="G2161" s="8" t="n">
        <f aca="false">IFERROR(INDEX('TRANS'!$B:$B,MATCH($B2161,'TRANS'!$A:$A,0)),IFERROR(INDEX('TRANS'!$B:$B,MATCH(TRIM(SUBSTITUTE($B2161,CHAR(160)," ")),'TRANS'!$D:$D,0)),IFERROR(INDEX('Catalog'!$A:$A,MATCH($B2161,'Catalog'!$B:$B,0)),IFERROR(INDEX('Catalog'!$A:$A,MATCH(TRIM(SUBSTITUTE($B2161,CHAR(160)," ")),'Catalog'!$C:$C,0)),""))))</f>
        <v>4408049</v>
      </c>
      <c r="H2161" s="8" t="str">
        <f aca="false">IFERROR(INDEX('TRANS'!$C:$C,MATCH($B2161,'TRANS'!$A:$A,0)),IFERROR(INDEX('Catalog'!$B:$B,MATCH($G2161,'Catalog'!$A:$A,0)),$B2161))</f>
        <v>20 XL חבק יד מתכוון עם צמדן</v>
      </c>
      <c r="I2161" s="8" t="str">
        <f aca="false">IF($G2161="","Unmatched","Matched")</f>
        <v>Matched</v>
      </c>
    </row>
    <row r="2162" customFormat="false" ht="15" hidden="false" customHeight="false" outlineLevel="0" collapsed="false">
      <c r="A2162" s="8" t="s">
        <v>918</v>
      </c>
      <c r="B2162" s="8" t="s">
        <v>705</v>
      </c>
      <c r="C2162" s="19" t="n">
        <v>4</v>
      </c>
      <c r="D2162" s="19" t="n">
        <v>198.27</v>
      </c>
      <c r="E2162" s="19" t="n">
        <v>0</v>
      </c>
      <c r="F2162" s="19" t="n">
        <v>0</v>
      </c>
      <c r="G2162" s="8" t="str">
        <f aca="false">IFERROR(INDEX('TRANS'!$B:$B,MATCH($B2162,'TRANS'!$A:$A,0)),IFERROR(INDEX('TRANS'!$B:$B,MATCH(TRIM(SUBSTITUTE($B2162,CHAR(160)," ")),'TRANS'!$D:$D,0)),IFERROR(INDEX('Catalog'!$A:$A,MATCH($B2162,'Catalog'!$B:$B,0)),IFERROR(INDEX('Catalog'!$A:$A,MATCH(TRIM(SUBSTITUTE($B2162,CHAR(160)," ")),'Catalog'!$C:$C,0)),""))))</f>
        <v/>
      </c>
      <c r="H2162" s="8" t="str">
        <f aca="false">IFERROR(INDEX('TRANS'!$C:$C,MATCH($B2162,'TRANS'!$A:$A,0)),IFERROR(INDEX('Catalog'!$B:$B,MATCH($G2162,'Catalog'!$A:$A,0)),$B2162))</f>
        <v>20 XS</v>
      </c>
      <c r="I2162" s="8" t="str">
        <f aca="false">IF($G2162="","Unmatched","Matched")</f>
        <v>Unmatched</v>
      </c>
    </row>
    <row r="2163" customFormat="false" ht="15" hidden="false" customHeight="false" outlineLevel="0" collapsed="false">
      <c r="A2163" s="8" t="s">
        <v>918</v>
      </c>
      <c r="B2163" s="8" t="s">
        <v>463</v>
      </c>
      <c r="C2163" s="19" t="n">
        <v>0</v>
      </c>
      <c r="D2163" s="19" t="n">
        <v>0</v>
      </c>
      <c r="E2163" s="19" t="n">
        <v>3</v>
      </c>
      <c r="F2163" s="19" t="n">
        <v>237.04</v>
      </c>
      <c r="G2163" s="8" t="n">
        <f aca="false">IFERROR(INDEX('TRANS'!$B:$B,MATCH($B2163,'TRANS'!$A:$A,0)),IFERROR(INDEX('TRANS'!$B:$B,MATCH(TRIM(SUBSTITUTE($B2163,CHAR(160)," ")),'TRANS'!$D:$D,0)),IFERROR(INDEX('Catalog'!$A:$A,MATCH($B2163,'Catalog'!$B:$B,0)),IFERROR(INDEX('Catalog'!$A:$A,MATCH(TRIM(SUBSTITUTE($B2163,CHAR(160)," ")),'Catalog'!$C:$C,0)),""))))</f>
        <v>4408275</v>
      </c>
      <c r="H2163" s="8" t="str">
        <f aca="false">IFERROR(INDEX('TRANS'!$C:$C,MATCH($B2163,'TRANS'!$A:$A,0)),IFERROR(INDEX('Catalog'!$B:$B,MATCH($G2163,'Catalog'!$A:$A,0)),$B2163))</f>
        <v>202  ONE SIZE חבק יד</v>
      </c>
      <c r="I2163" s="8" t="str">
        <f aca="false">IF($G2163="","Unmatched","Matched")</f>
        <v>Matched</v>
      </c>
    </row>
    <row r="2164" customFormat="false" ht="15" hidden="false" customHeight="false" outlineLevel="0" collapsed="false">
      <c r="A2164" s="8" t="s">
        <v>918</v>
      </c>
      <c r="B2164" s="8" t="s">
        <v>347</v>
      </c>
      <c r="C2164" s="19" t="n">
        <v>4</v>
      </c>
      <c r="D2164" s="19" t="n">
        <v>266.22</v>
      </c>
      <c r="E2164" s="19" t="n">
        <v>8</v>
      </c>
      <c r="F2164" s="19" t="n">
        <v>568.4</v>
      </c>
      <c r="G2164" s="8" t="n">
        <f aca="false">IFERROR(INDEX('TRANS'!$B:$B,MATCH($B2164,'TRANS'!$A:$A,0)),IFERROR(INDEX('TRANS'!$B:$B,MATCH(TRIM(SUBSTITUTE($B2164,CHAR(160)," ")),'TRANS'!$D:$D,0)),IFERROR(INDEX('Catalog'!$A:$A,MATCH($B2164,'Catalog'!$B:$B,0)),IFERROR(INDEX('Catalog'!$A:$A,MATCH(TRIM(SUBSTITUTE($B2164,CHAR(160)," ")),'Catalog'!$C:$C,0)),""))))</f>
        <v>4408052</v>
      </c>
      <c r="H2164" s="8" t="str">
        <f aca="false">IFERROR(INDEX('TRANS'!$C:$C,MATCH($B2164,'TRANS'!$A:$A,0)),IFERROR(INDEX('Catalog'!$B:$B,MATCH($G2164,'Catalog'!$A:$A,0)),$B2164))</f>
        <v>21 L  חבק יד ארוך</v>
      </c>
      <c r="I2164" s="8" t="str">
        <f aca="false">IF($G2164="","Unmatched","Matched")</f>
        <v>Matched</v>
      </c>
    </row>
    <row r="2165" customFormat="false" ht="15" hidden="false" customHeight="false" outlineLevel="0" collapsed="false">
      <c r="A2165" s="8" t="s">
        <v>918</v>
      </c>
      <c r="B2165" s="8" t="s">
        <v>92</v>
      </c>
      <c r="C2165" s="19" t="n">
        <v>8</v>
      </c>
      <c r="D2165" s="19" t="n">
        <v>557.82</v>
      </c>
      <c r="E2165" s="19" t="n">
        <v>8</v>
      </c>
      <c r="F2165" s="19" t="n">
        <v>568.4</v>
      </c>
      <c r="G2165" s="8" t="n">
        <f aca="false">IFERROR(INDEX('TRANS'!$B:$B,MATCH($B2165,'TRANS'!$A:$A,0)),IFERROR(INDEX('TRANS'!$B:$B,MATCH(TRIM(SUBSTITUTE($B2165,CHAR(160)," ")),'TRANS'!$D:$D,0)),IFERROR(INDEX('Catalog'!$A:$A,MATCH($B2165,'Catalog'!$B:$B,0)),IFERROR(INDEX('Catalog'!$A:$A,MATCH(TRIM(SUBSTITUTE($B2165,CHAR(160)," ")),'Catalog'!$C:$C,0)),""))))</f>
        <v>4408053</v>
      </c>
      <c r="H2165" s="8" t="str">
        <f aca="false">IFERROR(INDEX('TRANS'!$C:$C,MATCH($B2165,'TRANS'!$A:$A,0)),IFERROR(INDEX('Catalog'!$B:$B,MATCH($G2165,'Catalog'!$A:$A,0)),$B2165))</f>
        <v>21 M  חבק יד ארוך</v>
      </c>
      <c r="I2165" s="8" t="str">
        <f aca="false">IF($G2165="","Unmatched","Matched")</f>
        <v>Matched</v>
      </c>
    </row>
    <row r="2166" customFormat="false" ht="15" hidden="false" customHeight="false" outlineLevel="0" collapsed="false">
      <c r="A2166" s="8" t="s">
        <v>918</v>
      </c>
      <c r="B2166" s="8" t="s">
        <v>348</v>
      </c>
      <c r="C2166" s="19" t="n">
        <v>3</v>
      </c>
      <c r="D2166" s="19" t="n">
        <v>205.06</v>
      </c>
      <c r="E2166" s="19" t="n">
        <v>5</v>
      </c>
      <c r="F2166" s="19" t="n">
        <v>345.36</v>
      </c>
      <c r="G2166" s="8" t="n">
        <f aca="false">IFERROR(INDEX('TRANS'!$B:$B,MATCH($B2166,'TRANS'!$A:$A,0)),IFERROR(INDEX('TRANS'!$B:$B,MATCH(TRIM(SUBSTITUTE($B2166,CHAR(160)," ")),'TRANS'!$D:$D,0)),IFERROR(INDEX('Catalog'!$A:$A,MATCH($B2166,'Catalog'!$B:$B,0)),IFERROR(INDEX('Catalog'!$A:$A,MATCH(TRIM(SUBSTITUTE($B2166,CHAR(160)," ")),'Catalog'!$C:$C,0)),""))))</f>
        <v>4408051</v>
      </c>
      <c r="H2166" s="8" t="str">
        <f aca="false">IFERROR(INDEX('TRANS'!$C:$C,MATCH($B2166,'TRANS'!$A:$A,0)),IFERROR(INDEX('Catalog'!$B:$B,MATCH($G2166,'Catalog'!$A:$A,0)),$B2166))</f>
        <v>21 S  חבק יד ארוך</v>
      </c>
      <c r="I2166" s="8" t="str">
        <f aca="false">IF($G2166="","Unmatched","Matched")</f>
        <v>Matched</v>
      </c>
    </row>
    <row r="2167" customFormat="false" ht="15" hidden="false" customHeight="false" outlineLevel="0" collapsed="false">
      <c r="A2167" s="8" t="s">
        <v>918</v>
      </c>
      <c r="B2167" s="8" t="s">
        <v>349</v>
      </c>
      <c r="C2167" s="19" t="n">
        <v>4</v>
      </c>
      <c r="D2167" s="19" t="n">
        <v>262.82</v>
      </c>
      <c r="E2167" s="19" t="n">
        <v>2</v>
      </c>
      <c r="F2167" s="19" t="n">
        <v>136.71</v>
      </c>
      <c r="G2167" s="8" t="n">
        <f aca="false">IFERROR(INDEX('TRANS'!$B:$B,MATCH($B2167,'TRANS'!$A:$A,0)),IFERROR(INDEX('TRANS'!$B:$B,MATCH(TRIM(SUBSTITUTE($B2167,CHAR(160)," ")),'TRANS'!$D:$D,0)),IFERROR(INDEX('Catalog'!$A:$A,MATCH($B2167,'Catalog'!$B:$B,0)),IFERROR(INDEX('Catalog'!$A:$A,MATCH(TRIM(SUBSTITUTE($B2167,CHAR(160)," ")),'Catalog'!$C:$C,0)),""))))</f>
        <v>4408054</v>
      </c>
      <c r="H2167" s="8" t="str">
        <f aca="false">IFERROR(INDEX('TRANS'!$C:$C,MATCH($B2167,'TRANS'!$A:$A,0)),IFERROR(INDEX('Catalog'!$B:$B,MATCH($G2167,'Catalog'!$A:$A,0)),$B2167))</f>
        <v>21 XL חבק יד ארוך</v>
      </c>
      <c r="I2167" s="8" t="str">
        <f aca="false">IF($G2167="","Unmatched","Matched")</f>
        <v>Matched</v>
      </c>
    </row>
    <row r="2168" customFormat="false" ht="15" hidden="false" customHeight="false" outlineLevel="0" collapsed="false">
      <c r="A2168" s="8" t="s">
        <v>918</v>
      </c>
      <c r="B2168" s="8" t="s">
        <v>93</v>
      </c>
      <c r="C2168" s="19" t="n">
        <v>10</v>
      </c>
      <c r="D2168" s="19" t="n">
        <v>631.37</v>
      </c>
      <c r="E2168" s="19" t="n">
        <v>19</v>
      </c>
      <c r="F2168" s="19" t="n">
        <v>1212.05</v>
      </c>
      <c r="G2168" s="8" t="n">
        <f aca="false">IFERROR(INDEX('TRANS'!$B:$B,MATCH($B2168,'TRANS'!$A:$A,0)),IFERROR(INDEX('TRANS'!$B:$B,MATCH(TRIM(SUBSTITUTE($B2168,CHAR(160)," ")),'TRANS'!$D:$D,0)),IFERROR(INDEX('Catalog'!$A:$A,MATCH($B2168,'Catalog'!$B:$B,0)),IFERROR(INDEX('Catalog'!$A:$A,MATCH(TRIM(SUBSTITUTE($B2168,CHAR(160)," ")),'Catalog'!$C:$C,0)),""))))</f>
        <v>4411017</v>
      </c>
      <c r="H2168" s="8" t="str">
        <f aca="false">IFERROR(INDEX('TRANS'!$C:$C,MATCH($B2168,'TRANS'!$A:$A,0)),IFERROR(INDEX('Catalog'!$B:$B,MATCH($G2168,'Catalog'!$A:$A,0)),$B2168))</f>
        <v>211L כפפות לחץ</v>
      </c>
      <c r="I2168" s="8" t="str">
        <f aca="false">IF($G2168="","Unmatched","Matched")</f>
        <v>Matched</v>
      </c>
    </row>
    <row r="2169" customFormat="false" ht="15" hidden="false" customHeight="false" outlineLevel="0" collapsed="false">
      <c r="A2169" s="8" t="s">
        <v>918</v>
      </c>
      <c r="B2169" s="8" t="s">
        <v>94</v>
      </c>
      <c r="C2169" s="19" t="n">
        <v>43</v>
      </c>
      <c r="D2169" s="19" t="n">
        <v>2531.63</v>
      </c>
      <c r="E2169" s="19" t="n">
        <v>40</v>
      </c>
      <c r="F2169" s="19" t="n">
        <v>2537.48</v>
      </c>
      <c r="G2169" s="8" t="n">
        <f aca="false">IFERROR(INDEX('TRANS'!$B:$B,MATCH($B2169,'TRANS'!$A:$A,0)),IFERROR(INDEX('TRANS'!$B:$B,MATCH(TRIM(SUBSTITUTE($B2169,CHAR(160)," ")),'TRANS'!$D:$D,0)),IFERROR(INDEX('Catalog'!$A:$A,MATCH($B2169,'Catalog'!$B:$B,0)),IFERROR(INDEX('Catalog'!$A:$A,MATCH(TRIM(SUBSTITUTE($B2169,CHAR(160)," ")),'Catalog'!$C:$C,0)),""))))</f>
        <v>4411018</v>
      </c>
      <c r="H2169" s="8" t="str">
        <f aca="false">IFERROR(INDEX('TRANS'!$C:$C,MATCH($B2169,'TRANS'!$A:$A,0)),IFERROR(INDEX('Catalog'!$B:$B,MATCH($G2169,'Catalog'!$A:$A,0)),$B2169))</f>
        <v>211M כפפות לחץ</v>
      </c>
      <c r="I2169" s="8" t="str">
        <f aca="false">IF($G2169="","Unmatched","Matched")</f>
        <v>Matched</v>
      </c>
    </row>
    <row r="2170" customFormat="false" ht="15" hidden="false" customHeight="false" outlineLevel="0" collapsed="false">
      <c r="A2170" s="8" t="s">
        <v>918</v>
      </c>
      <c r="B2170" s="8" t="s">
        <v>95</v>
      </c>
      <c r="C2170" s="19" t="n">
        <v>31</v>
      </c>
      <c r="D2170" s="19" t="n">
        <v>1896.96</v>
      </c>
      <c r="E2170" s="19" t="n">
        <v>26</v>
      </c>
      <c r="F2170" s="19" t="n">
        <v>1648.75</v>
      </c>
      <c r="G2170" s="8" t="n">
        <f aca="false">IFERROR(INDEX('TRANS'!$B:$B,MATCH($B2170,'TRANS'!$A:$A,0)),IFERROR(INDEX('TRANS'!$B:$B,MATCH(TRIM(SUBSTITUTE($B2170,CHAR(160)," ")),'TRANS'!$D:$D,0)),IFERROR(INDEX('Catalog'!$A:$A,MATCH($B2170,'Catalog'!$B:$B,0)),IFERROR(INDEX('Catalog'!$A:$A,MATCH(TRIM(SUBSTITUTE($B2170,CHAR(160)," ")),'Catalog'!$C:$C,0)),""))))</f>
        <v>4411019</v>
      </c>
      <c r="H2170" s="8" t="str">
        <f aca="false">IFERROR(INDEX('TRANS'!$C:$C,MATCH($B2170,'TRANS'!$A:$A,0)),IFERROR(INDEX('Catalog'!$B:$B,MATCH($G2170,'Catalog'!$A:$A,0)),$B2170))</f>
        <v>211S כפפות לחץ</v>
      </c>
      <c r="I2170" s="8" t="str">
        <f aca="false">IF($G2170="","Unmatched","Matched")</f>
        <v>Matched</v>
      </c>
    </row>
    <row r="2171" customFormat="false" ht="15" hidden="false" customHeight="false" outlineLevel="0" collapsed="false">
      <c r="A2171" s="8" t="s">
        <v>918</v>
      </c>
      <c r="B2171" s="8" t="s">
        <v>678</v>
      </c>
      <c r="C2171" s="19" t="n">
        <v>8</v>
      </c>
      <c r="D2171" s="19" t="n">
        <v>507.82</v>
      </c>
      <c r="E2171" s="19" t="n">
        <v>9</v>
      </c>
      <c r="F2171" s="19" t="n">
        <v>580.62</v>
      </c>
      <c r="G2171" s="8" t="n">
        <f aca="false">IFERROR(INDEX('TRANS'!$B:$B,MATCH($B2171,'TRANS'!$A:$A,0)),IFERROR(INDEX('TRANS'!$B:$B,MATCH(TRIM(SUBSTITUTE($B2171,CHAR(160)," ")),'TRANS'!$D:$D,0)),IFERROR(INDEX('Catalog'!$A:$A,MATCH($B2171,'Catalog'!$B:$B,0)),IFERROR(INDEX('Catalog'!$A:$A,MATCH(TRIM(SUBSTITUTE($B2171,CHAR(160)," ")),'Catalog'!$C:$C,0)),""))))</f>
        <v>4411020</v>
      </c>
      <c r="H2171" s="8" t="str">
        <f aca="false">IFERROR(INDEX('TRANS'!$C:$C,MATCH($B2171,'TRANS'!$A:$A,0)),IFERROR(INDEX('Catalog'!$B:$B,MATCH($G2171,'Catalog'!$A:$A,0)),$B2171))</f>
        <v>211XL כפפות לחץ</v>
      </c>
      <c r="I2171" s="8" t="str">
        <f aca="false">IF($G2171="","Unmatched","Matched")</f>
        <v>Matched</v>
      </c>
    </row>
    <row r="2172" customFormat="false" ht="15" hidden="false" customHeight="false" outlineLevel="0" collapsed="false">
      <c r="A2172" s="8" t="s">
        <v>918</v>
      </c>
      <c r="B2172" s="8" t="s">
        <v>96</v>
      </c>
      <c r="C2172" s="19" t="n">
        <v>26</v>
      </c>
      <c r="D2172" s="19" t="n">
        <v>1703.91</v>
      </c>
      <c r="E2172" s="19" t="n">
        <v>48</v>
      </c>
      <c r="F2172" s="19" t="n">
        <v>3263.75</v>
      </c>
      <c r="G2172" s="8" t="n">
        <f aca="false">IFERROR(INDEX('TRANS'!$B:$B,MATCH($B2172,'TRANS'!$A:$A,0)),IFERROR(INDEX('TRANS'!$B:$B,MATCH(TRIM(SUBSTITUTE($B2172,CHAR(160)," ")),'TRANS'!$D:$D,0)),IFERROR(INDEX('Catalog'!$A:$A,MATCH($B2172,'Catalog'!$B:$B,0)),IFERROR(INDEX('Catalog'!$A:$A,MATCH(TRIM(SUBSTITUTE($B2172,CHAR(160)," ")),'Catalog'!$C:$C,0)),""))))</f>
        <v>4411021</v>
      </c>
      <c r="H2172" s="8" t="str">
        <f aca="false">IFERROR(INDEX('TRANS'!$C:$C,MATCH($B2172,'TRANS'!$A:$A,0)),IFERROR(INDEX('Catalog'!$B:$B,MATCH($G2172,'Catalog'!$A:$A,0)),$B2172))</f>
        <v>212L כפפות אגודל לחץ</v>
      </c>
      <c r="I2172" s="8" t="str">
        <f aca="false">IF($G2172="","Unmatched","Matched")</f>
        <v>Matched</v>
      </c>
    </row>
    <row r="2173" customFormat="false" ht="15" hidden="false" customHeight="false" outlineLevel="0" collapsed="false">
      <c r="A2173" s="8" t="s">
        <v>918</v>
      </c>
      <c r="B2173" s="8" t="s">
        <v>97</v>
      </c>
      <c r="C2173" s="19" t="n">
        <v>67</v>
      </c>
      <c r="D2173" s="19" t="n">
        <v>4170.49</v>
      </c>
      <c r="E2173" s="19" t="n">
        <v>81</v>
      </c>
      <c r="F2173" s="19" t="n">
        <v>5475.48</v>
      </c>
      <c r="G2173" s="8" t="n">
        <f aca="false">IFERROR(INDEX('TRANS'!$B:$B,MATCH($B2173,'TRANS'!$A:$A,0)),IFERROR(INDEX('TRANS'!$B:$B,MATCH(TRIM(SUBSTITUTE($B2173,CHAR(160)," ")),'TRANS'!$D:$D,0)),IFERROR(INDEX('Catalog'!$A:$A,MATCH($B2173,'Catalog'!$B:$B,0)),IFERROR(INDEX('Catalog'!$A:$A,MATCH(TRIM(SUBSTITUTE($B2173,CHAR(160)," ")),'Catalog'!$C:$C,0)),""))))</f>
        <v>4411022</v>
      </c>
      <c r="H2173" s="8" t="str">
        <f aca="false">IFERROR(INDEX('TRANS'!$C:$C,MATCH($B2173,'TRANS'!$A:$A,0)),IFERROR(INDEX('Catalog'!$B:$B,MATCH($G2173,'Catalog'!$A:$A,0)),$B2173))</f>
        <v>212M כפפות אגודל לחץ</v>
      </c>
      <c r="I2173" s="8" t="str">
        <f aca="false">IF($G2173="","Unmatched","Matched")</f>
        <v>Matched</v>
      </c>
    </row>
    <row r="2174" customFormat="false" ht="15" hidden="false" customHeight="false" outlineLevel="0" collapsed="false">
      <c r="A2174" s="8" t="s">
        <v>918</v>
      </c>
      <c r="B2174" s="8" t="s">
        <v>98</v>
      </c>
      <c r="C2174" s="19" t="n">
        <v>61</v>
      </c>
      <c r="D2174" s="19" t="n">
        <v>3870.96</v>
      </c>
      <c r="E2174" s="19" t="n">
        <v>83</v>
      </c>
      <c r="F2174" s="19" t="n">
        <v>5689.48</v>
      </c>
      <c r="G2174" s="8" t="n">
        <f aca="false">IFERROR(INDEX('TRANS'!$B:$B,MATCH($B2174,'TRANS'!$A:$A,0)),IFERROR(INDEX('TRANS'!$B:$B,MATCH(TRIM(SUBSTITUTE($B2174,CHAR(160)," ")),'TRANS'!$D:$D,0)),IFERROR(INDEX('Catalog'!$A:$A,MATCH($B2174,'Catalog'!$B:$B,0)),IFERROR(INDEX('Catalog'!$A:$A,MATCH(TRIM(SUBSTITUTE($B2174,CHAR(160)," ")),'Catalog'!$C:$C,0)),""))))</f>
        <v>4411023</v>
      </c>
      <c r="H2174" s="8" t="str">
        <f aca="false">IFERROR(INDEX('TRANS'!$C:$C,MATCH($B2174,'TRANS'!$A:$A,0)),IFERROR(INDEX('Catalog'!$B:$B,MATCH($G2174,'Catalog'!$A:$A,0)),$B2174))</f>
        <v>212S כפפות אגודל לחץ</v>
      </c>
      <c r="I2174" s="8" t="str">
        <f aca="false">IF($G2174="","Unmatched","Matched")</f>
        <v>Matched</v>
      </c>
    </row>
    <row r="2175" customFormat="false" ht="15" hidden="false" customHeight="false" outlineLevel="0" collapsed="false">
      <c r="A2175" s="8" t="s">
        <v>918</v>
      </c>
      <c r="B2175" s="8" t="s">
        <v>734</v>
      </c>
      <c r="C2175" s="19" t="n">
        <v>17</v>
      </c>
      <c r="D2175" s="19" t="n">
        <v>1067.16</v>
      </c>
      <c r="E2175" s="19" t="n">
        <v>11</v>
      </c>
      <c r="F2175" s="19" t="n">
        <v>755.48</v>
      </c>
      <c r="G2175" s="8" t="n">
        <f aca="false">IFERROR(INDEX('TRANS'!$B:$B,MATCH($B2175,'TRANS'!$A:$A,0)),IFERROR(INDEX('TRANS'!$B:$B,MATCH(TRIM(SUBSTITUTE($B2175,CHAR(160)," ")),'TRANS'!$D:$D,0)),IFERROR(INDEX('Catalog'!$A:$A,MATCH($B2175,'Catalog'!$B:$B,0)),IFERROR(INDEX('Catalog'!$A:$A,MATCH(TRIM(SUBSTITUTE($B2175,CHAR(160)," ")),'Catalog'!$C:$C,0)),""))))</f>
        <v>4411024</v>
      </c>
      <c r="H2175" s="8" t="str">
        <f aca="false">IFERROR(INDEX('TRANS'!$C:$C,MATCH($B2175,'TRANS'!$A:$A,0)),IFERROR(INDEX('Catalog'!$B:$B,MATCH($G2175,'Catalog'!$A:$A,0)),$B2175))</f>
        <v>212XL כפפות אגודל לחץ</v>
      </c>
      <c r="I2175" s="8" t="str">
        <f aca="false">IF($G2175="","Unmatched","Matched")</f>
        <v>Matched</v>
      </c>
    </row>
    <row r="2176" customFormat="false" ht="15" hidden="false" customHeight="false" outlineLevel="0" collapsed="false">
      <c r="A2176" s="8" t="s">
        <v>918</v>
      </c>
      <c r="B2176" s="8" t="s">
        <v>465</v>
      </c>
      <c r="C2176" s="19" t="n">
        <v>4</v>
      </c>
      <c r="D2176" s="19" t="n">
        <v>762.4</v>
      </c>
      <c r="E2176" s="19" t="n">
        <v>25</v>
      </c>
      <c r="F2176" s="19" t="n">
        <v>4913.91</v>
      </c>
      <c r="G2176" s="8" t="n">
        <f aca="false">IFERROR(INDEX('TRANS'!$B:$B,MATCH($B2176,'TRANS'!$A:$A,0)),IFERROR(INDEX('TRANS'!$B:$B,MATCH(TRIM(SUBSTITUTE($B2176,CHAR(160)," ")),'TRANS'!$D:$D,0)),IFERROR(INDEX('Catalog'!$A:$A,MATCH($B2176,'Catalog'!$B:$B,0)),IFERROR(INDEX('Catalog'!$A:$A,MATCH(TRIM(SUBSTITUTE($B2176,CHAR(160)," ")),'Catalog'!$C:$C,0)),""))))</f>
        <v>4411026</v>
      </c>
      <c r="H2176" s="8" t="str">
        <f aca="false">IFERROR(INDEX('TRANS'!$C:$C,MATCH($B2176,'TRANS'!$A:$A,0)),IFERROR(INDEX('Catalog'!$B:$B,MATCH($G2176,'Catalog'!$A:$A,0)),$B2176))</f>
        <v>213CTSL L שמאל CTS כפפות</v>
      </c>
      <c r="I2176" s="8" t="str">
        <f aca="false">IF($G2176="","Unmatched","Matched")</f>
        <v>Matched</v>
      </c>
    </row>
    <row r="2177" customFormat="false" ht="15" hidden="false" customHeight="false" outlineLevel="0" collapsed="false">
      <c r="A2177" s="8" t="s">
        <v>918</v>
      </c>
      <c r="B2177" s="8" t="s">
        <v>466</v>
      </c>
      <c r="C2177" s="19" t="n">
        <v>21</v>
      </c>
      <c r="D2177" s="19" t="n">
        <v>3886.13</v>
      </c>
      <c r="E2177" s="19" t="n">
        <v>38</v>
      </c>
      <c r="F2177" s="19" t="n">
        <v>7359.01</v>
      </c>
      <c r="G2177" s="8" t="n">
        <f aca="false">IFERROR(INDEX('TRANS'!$B:$B,MATCH($B2177,'TRANS'!$A:$A,0)),IFERROR(INDEX('TRANS'!$B:$B,MATCH(TRIM(SUBSTITUTE($B2177,CHAR(160)," ")),'TRANS'!$D:$D,0)),IFERROR(INDEX('Catalog'!$A:$A,MATCH($B2177,'Catalog'!$B:$B,0)),IFERROR(INDEX('Catalog'!$A:$A,MATCH(TRIM(SUBSTITUTE($B2177,CHAR(160)," ")),'Catalog'!$C:$C,0)),""))))</f>
        <v>4411027</v>
      </c>
      <c r="H2177" s="8" t="str">
        <f aca="false">IFERROR(INDEX('TRANS'!$C:$C,MATCH($B2177,'TRANS'!$A:$A,0)),IFERROR(INDEX('Catalog'!$B:$B,MATCH($G2177,'Catalog'!$A:$A,0)),$B2177))</f>
        <v>213CTSL M שמאל CTS כפפות</v>
      </c>
      <c r="I2177" s="8" t="str">
        <f aca="false">IF($G2177="","Unmatched","Matched")</f>
        <v>Matched</v>
      </c>
    </row>
    <row r="2178" customFormat="false" ht="15" hidden="false" customHeight="false" outlineLevel="0" collapsed="false">
      <c r="A2178" s="8" t="s">
        <v>918</v>
      </c>
      <c r="B2178" s="8" t="s">
        <v>467</v>
      </c>
      <c r="C2178" s="19" t="n">
        <v>16</v>
      </c>
      <c r="D2178" s="19" t="n">
        <v>3060.19</v>
      </c>
      <c r="E2178" s="19" t="n">
        <v>55</v>
      </c>
      <c r="F2178" s="19" t="n">
        <v>10996.54</v>
      </c>
      <c r="G2178" s="8" t="n">
        <f aca="false">IFERROR(INDEX('TRANS'!$B:$B,MATCH($B2178,'TRANS'!$A:$A,0)),IFERROR(INDEX('TRANS'!$B:$B,MATCH(TRIM(SUBSTITUTE($B2178,CHAR(160)," ")),'TRANS'!$D:$D,0)),IFERROR(INDEX('Catalog'!$A:$A,MATCH($B2178,'Catalog'!$B:$B,0)),IFERROR(INDEX('Catalog'!$A:$A,MATCH(TRIM(SUBSTITUTE($B2178,CHAR(160)," ")),'Catalog'!$C:$C,0)),""))))</f>
        <v>4411028</v>
      </c>
      <c r="H2178" s="8" t="str">
        <f aca="false">IFERROR(INDEX('TRANS'!$C:$C,MATCH($B2178,'TRANS'!$A:$A,0)),IFERROR(INDEX('Catalog'!$B:$B,MATCH($G2178,'Catalog'!$A:$A,0)),$B2178))</f>
        <v>213CTSL S שמאל CTS כפפות</v>
      </c>
      <c r="I2178" s="8" t="str">
        <f aca="false">IF($G2178="","Unmatched","Matched")</f>
        <v>Matched</v>
      </c>
    </row>
    <row r="2179" customFormat="false" ht="15" hidden="false" customHeight="false" outlineLevel="0" collapsed="false">
      <c r="A2179" s="8" t="s">
        <v>918</v>
      </c>
      <c r="B2179" s="8" t="s">
        <v>468</v>
      </c>
      <c r="C2179" s="19" t="n">
        <v>9</v>
      </c>
      <c r="D2179" s="19" t="n">
        <v>1662.46</v>
      </c>
      <c r="E2179" s="19" t="n">
        <v>48</v>
      </c>
      <c r="F2179" s="19" t="n">
        <v>9857.91</v>
      </c>
      <c r="G2179" s="8" t="n">
        <f aca="false">IFERROR(INDEX('TRANS'!$B:$B,MATCH($B2179,'TRANS'!$A:$A,0)),IFERROR(INDEX('TRANS'!$B:$B,MATCH(TRIM(SUBSTITUTE($B2179,CHAR(160)," ")),'TRANS'!$D:$D,0)),IFERROR(INDEX('Catalog'!$A:$A,MATCH($B2179,'Catalog'!$B:$B,0)),IFERROR(INDEX('Catalog'!$A:$A,MATCH(TRIM(SUBSTITUTE($B2179,CHAR(160)," ")),'Catalog'!$C:$C,0)),""))))</f>
        <v>4411029</v>
      </c>
      <c r="H2179" s="8" t="str">
        <f aca="false">IFERROR(INDEX('TRANS'!$C:$C,MATCH($B2179,'TRANS'!$A:$A,0)),IFERROR(INDEX('Catalog'!$B:$B,MATCH($G2179,'Catalog'!$A:$A,0)),$B2179))</f>
        <v>213CTSR L ימין CTS כפפות</v>
      </c>
      <c r="I2179" s="8" t="str">
        <f aca="false">IF($G2179="","Unmatched","Matched")</f>
        <v>Matched</v>
      </c>
    </row>
    <row r="2180" customFormat="false" ht="15" hidden="false" customHeight="false" outlineLevel="0" collapsed="false">
      <c r="A2180" s="8" t="s">
        <v>918</v>
      </c>
      <c r="B2180" s="8" t="s">
        <v>469</v>
      </c>
      <c r="C2180" s="19" t="n">
        <v>29</v>
      </c>
      <c r="D2180" s="19" t="n">
        <v>5601.54</v>
      </c>
      <c r="E2180" s="19" t="n">
        <v>81</v>
      </c>
      <c r="F2180" s="19" t="n">
        <v>15851.97</v>
      </c>
      <c r="G2180" s="8" t="n">
        <f aca="false">IFERROR(INDEX('TRANS'!$B:$B,MATCH($B2180,'TRANS'!$A:$A,0)),IFERROR(INDEX('TRANS'!$B:$B,MATCH(TRIM(SUBSTITUTE($B2180,CHAR(160)," ")),'TRANS'!$D:$D,0)),IFERROR(INDEX('Catalog'!$A:$A,MATCH($B2180,'Catalog'!$B:$B,0)),IFERROR(INDEX('Catalog'!$A:$A,MATCH(TRIM(SUBSTITUTE($B2180,CHAR(160)," ")),'Catalog'!$C:$C,0)),""))))</f>
        <v>4411030</v>
      </c>
      <c r="H2180" s="8" t="str">
        <f aca="false">IFERROR(INDEX('TRANS'!$C:$C,MATCH($B2180,'TRANS'!$A:$A,0)),IFERROR(INDEX('Catalog'!$B:$B,MATCH($G2180,'Catalog'!$A:$A,0)),$B2180))</f>
        <v>213CTSR M ימין CTS כפפות</v>
      </c>
      <c r="I2180" s="8" t="str">
        <f aca="false">IF($G2180="","Unmatched","Matched")</f>
        <v>Matched</v>
      </c>
    </row>
    <row r="2181" customFormat="false" ht="15" hidden="false" customHeight="false" outlineLevel="0" collapsed="false">
      <c r="A2181" s="8" t="s">
        <v>918</v>
      </c>
      <c r="B2181" s="8" t="s">
        <v>470</v>
      </c>
      <c r="C2181" s="19" t="n">
        <v>21</v>
      </c>
      <c r="D2181" s="19" t="n">
        <v>3928.48</v>
      </c>
      <c r="E2181" s="19" t="n">
        <v>90</v>
      </c>
      <c r="F2181" s="19" t="n">
        <v>17558.83</v>
      </c>
      <c r="G2181" s="8" t="n">
        <f aca="false">IFERROR(INDEX('TRANS'!$B:$B,MATCH($B2181,'TRANS'!$A:$A,0)),IFERROR(INDEX('TRANS'!$B:$B,MATCH(TRIM(SUBSTITUTE($B2181,CHAR(160)," ")),'TRANS'!$D:$D,0)),IFERROR(INDEX('Catalog'!$A:$A,MATCH($B2181,'Catalog'!$B:$B,0)),IFERROR(INDEX('Catalog'!$A:$A,MATCH(TRIM(SUBSTITUTE($B2181,CHAR(160)," ")),'Catalog'!$C:$C,0)),""))))</f>
        <v>4411031</v>
      </c>
      <c r="H2181" s="8" t="str">
        <f aca="false">IFERROR(INDEX('TRANS'!$C:$C,MATCH($B2181,'TRANS'!$A:$A,0)),IFERROR(INDEX('Catalog'!$B:$B,MATCH($G2181,'Catalog'!$A:$A,0)),$B2181))</f>
        <v>213CTS  S ימין CTS כפפות</v>
      </c>
      <c r="I2181" s="8" t="str">
        <f aca="false">IF($G2181="","Unmatched","Matched")</f>
        <v>Matched</v>
      </c>
    </row>
    <row r="2182" customFormat="false" ht="15" hidden="false" customHeight="false" outlineLevel="0" collapsed="false">
      <c r="A2182" s="8" t="s">
        <v>918</v>
      </c>
      <c r="B2182" s="8" t="s">
        <v>99</v>
      </c>
      <c r="C2182" s="19" t="n">
        <v>40</v>
      </c>
      <c r="D2182" s="19" t="n">
        <v>2072.6</v>
      </c>
      <c r="E2182" s="19" t="n">
        <v>41</v>
      </c>
      <c r="F2182" s="19" t="n">
        <v>2186.28</v>
      </c>
      <c r="G2182" s="8" t="n">
        <f aca="false">IFERROR(INDEX('TRANS'!$B:$B,MATCH($B2182,'TRANS'!$A:$A,0)),IFERROR(INDEX('TRANS'!$B:$B,MATCH(TRIM(SUBSTITUTE($B2182,CHAR(160)," ")),'TRANS'!$D:$D,0)),IFERROR(INDEX('Catalog'!$A:$A,MATCH($B2182,'Catalog'!$B:$B,0)),IFERROR(INDEX('Catalog'!$A:$A,MATCH(TRIM(SUBSTITUTE($B2182,CHAR(160)," ")),'Catalog'!$C:$C,0)),""))))</f>
        <v>4415029</v>
      </c>
      <c r="H2182" s="8" t="str">
        <f aca="false">IFERROR(INDEX('TRANS'!$C:$C,MATCH($B2182,'TRANS'!$A:$A,0)),IFERROR(INDEX('Catalog'!$B:$B,MATCH($G2182,'Catalog'!$A:$A,0)),$B2182))</f>
        <v>סד קיבוע לאצבע הדק</v>
      </c>
      <c r="I2182" s="8" t="str">
        <f aca="false">IF($G2182="","Unmatched","Matched")</f>
        <v>Matched</v>
      </c>
    </row>
    <row r="2183" customFormat="false" ht="15" hidden="false" customHeight="false" outlineLevel="0" collapsed="false">
      <c r="A2183" s="8" t="s">
        <v>918</v>
      </c>
      <c r="B2183" s="8" t="s">
        <v>100</v>
      </c>
      <c r="C2183" s="19" t="n">
        <v>27</v>
      </c>
      <c r="D2183" s="19" t="n">
        <v>916.47</v>
      </c>
      <c r="E2183" s="19" t="n">
        <v>11</v>
      </c>
      <c r="F2183" s="19" t="n">
        <v>389.04</v>
      </c>
      <c r="G2183" s="8" t="n">
        <f aca="false">IFERROR(INDEX('TRANS'!$B:$B,MATCH($B2183,'TRANS'!$A:$A,0)),IFERROR(INDEX('TRANS'!$B:$B,MATCH(TRIM(SUBSTITUTE($B2183,CHAR(160)," ")),'TRANS'!$D:$D,0)),IFERROR(INDEX('Catalog'!$A:$A,MATCH($B2183,'Catalog'!$B:$B,0)),IFERROR(INDEX('Catalog'!$A:$A,MATCH(TRIM(SUBSTITUTE($B2183,CHAR(160)," ")),'Catalog'!$C:$C,0)),""))))</f>
        <v>4415162</v>
      </c>
      <c r="H2183" s="8" t="str">
        <f aca="false">IFERROR(INDEX('TRANS'!$C:$C,MATCH($B2183,'TRANS'!$A:$A,0)),IFERROR(INDEX('Catalog'!$B:$B,MATCH($G2183,'Catalog'!$A:$A,0)),$B2183))</f>
        <v>238L סד ליישור אצבע</v>
      </c>
      <c r="I2183" s="8" t="str">
        <f aca="false">IF($G2183="","Unmatched","Matched")</f>
        <v>Matched</v>
      </c>
    </row>
    <row r="2184" customFormat="false" ht="15" hidden="false" customHeight="false" outlineLevel="0" collapsed="false">
      <c r="A2184" s="8" t="s">
        <v>918</v>
      </c>
      <c r="B2184" s="8" t="s">
        <v>589</v>
      </c>
      <c r="C2184" s="19" t="n">
        <v>27</v>
      </c>
      <c r="D2184" s="19" t="n">
        <v>928.1</v>
      </c>
      <c r="E2184" s="19" t="n">
        <v>29</v>
      </c>
      <c r="F2184" s="19" t="n">
        <v>1029.29</v>
      </c>
      <c r="G2184" s="8" t="n">
        <f aca="false">IFERROR(INDEX('TRANS'!$B:$B,MATCH($B2184,'TRANS'!$A:$A,0)),IFERROR(INDEX('TRANS'!$B:$B,MATCH(TRIM(SUBSTITUTE($B2184,CHAR(160)," ")),'TRANS'!$D:$D,0)),IFERROR(INDEX('Catalog'!$A:$A,MATCH($B2184,'Catalog'!$B:$B,0)),IFERROR(INDEX('Catalog'!$A:$A,MATCH(TRIM(SUBSTITUTE($B2184,CHAR(160)," ")),'Catalog'!$C:$C,0)),""))))</f>
        <v>4415161</v>
      </c>
      <c r="H2184" s="8" t="str">
        <f aca="false">IFERROR(INDEX('TRANS'!$C:$C,MATCH($B2184,'TRANS'!$A:$A,0)),IFERROR(INDEX('Catalog'!$B:$B,MATCH($G2184,'Catalog'!$A:$A,0)),$B2184))</f>
        <v>238M סד ליישור אצבע</v>
      </c>
      <c r="I2184" s="8" t="str">
        <f aca="false">IF($G2184="","Unmatched","Matched")</f>
        <v>Matched</v>
      </c>
    </row>
    <row r="2185" customFormat="false" ht="15" hidden="false" customHeight="false" outlineLevel="0" collapsed="false">
      <c r="A2185" s="8" t="s">
        <v>918</v>
      </c>
      <c r="B2185" s="8" t="s">
        <v>101</v>
      </c>
      <c r="C2185" s="19" t="n">
        <v>16</v>
      </c>
      <c r="D2185" s="19" t="n">
        <v>527.65</v>
      </c>
      <c r="E2185" s="19" t="n">
        <v>18</v>
      </c>
      <c r="F2185" s="19" t="n">
        <v>623.56</v>
      </c>
      <c r="G2185" s="8" t="n">
        <f aca="false">IFERROR(INDEX('TRANS'!$B:$B,MATCH($B2185,'TRANS'!$A:$A,0)),IFERROR(INDEX('TRANS'!$B:$B,MATCH(TRIM(SUBSTITUTE($B2185,CHAR(160)," ")),'TRANS'!$D:$D,0)),IFERROR(INDEX('Catalog'!$A:$A,MATCH($B2185,'Catalog'!$B:$B,0)),IFERROR(INDEX('Catalog'!$A:$A,MATCH(TRIM(SUBSTITUTE($B2185,CHAR(160)," ")),'Catalog'!$C:$C,0)),""))))</f>
        <v>4415160</v>
      </c>
      <c r="H2185" s="8" t="str">
        <f aca="false">IFERROR(INDEX('TRANS'!$C:$C,MATCH($B2185,'TRANS'!$A:$A,0)),IFERROR(INDEX('Catalog'!$B:$B,MATCH($G2185,'Catalog'!$A:$A,0)),$B2185))</f>
        <v>238S סד ליישור אצבע</v>
      </c>
      <c r="I2185" s="8" t="str">
        <f aca="false">IF($G2185="","Unmatched","Matched")</f>
        <v>Matched</v>
      </c>
    </row>
    <row r="2186" customFormat="false" ht="15" hidden="false" customHeight="false" outlineLevel="0" collapsed="false">
      <c r="A2186" s="8" t="s">
        <v>918</v>
      </c>
      <c r="B2186" s="8" t="s">
        <v>590</v>
      </c>
      <c r="C2186" s="19" t="n">
        <v>10</v>
      </c>
      <c r="D2186" s="19" t="n">
        <v>335.78</v>
      </c>
      <c r="E2186" s="19" t="n">
        <v>16</v>
      </c>
      <c r="F2186" s="19" t="n">
        <v>574.46</v>
      </c>
      <c r="G2186" s="8" t="n">
        <f aca="false">IFERROR(INDEX('TRANS'!$B:$B,MATCH($B2186,'TRANS'!$A:$A,0)),IFERROR(INDEX('TRANS'!$B:$B,MATCH(TRIM(SUBSTITUTE($B2186,CHAR(160)," ")),'TRANS'!$D:$D,0)),IFERROR(INDEX('Catalog'!$A:$A,MATCH($B2186,'Catalog'!$B:$B,0)),IFERROR(INDEX('Catalog'!$A:$A,MATCH(TRIM(SUBSTITUTE($B2186,CHAR(160)," ")),'Catalog'!$C:$C,0)),""))))</f>
        <v>4415163</v>
      </c>
      <c r="H2186" s="8" t="str">
        <f aca="false">IFERROR(INDEX('TRANS'!$C:$C,MATCH($B2186,'TRANS'!$A:$A,0)),IFERROR(INDEX('Catalog'!$B:$B,MATCH($G2186,'Catalog'!$A:$A,0)),$B2186))</f>
        <v>238XL סד ליישור אצבע</v>
      </c>
      <c r="I2186" s="8" t="str">
        <f aca="false">IF($G2186="","Unmatched","Matched")</f>
        <v>Matched</v>
      </c>
    </row>
    <row r="2187" customFormat="false" ht="15" hidden="false" customHeight="false" outlineLevel="0" collapsed="false">
      <c r="A2187" s="8" t="s">
        <v>918</v>
      </c>
      <c r="B2187" s="8" t="s">
        <v>102</v>
      </c>
      <c r="C2187" s="19" t="n">
        <v>22</v>
      </c>
      <c r="D2187" s="19" t="n">
        <v>750.39</v>
      </c>
      <c r="E2187" s="19" t="n">
        <v>9</v>
      </c>
      <c r="F2187" s="19" t="n">
        <v>311.94</v>
      </c>
      <c r="G2187" s="8" t="n">
        <f aca="false">IFERROR(INDEX('TRANS'!$B:$B,MATCH($B2187,'TRANS'!$A:$A,0)),IFERROR(INDEX('TRANS'!$B:$B,MATCH(TRIM(SUBSTITUTE($B2187,CHAR(160)," ")),'TRANS'!$D:$D,0)),IFERROR(INDEX('Catalog'!$A:$A,MATCH($B2187,'Catalog'!$B:$B,0)),IFERROR(INDEX('Catalog'!$A:$A,MATCH(TRIM(SUBSTITUTE($B2187,CHAR(160)," ")),'Catalog'!$C:$C,0)),""))))</f>
        <v>4419013</v>
      </c>
      <c r="H2187" s="8" t="str">
        <f aca="false">IFERROR(INDEX('TRANS'!$C:$C,MATCH($B2187,'TRANS'!$A:$A,0)),IFERROR(INDEX('Catalog'!$B:$B,MATCH($G2187,'Catalog'!$A:$A,0)),$B2187))</f>
        <v>239B L-XL STRAP4U</v>
      </c>
      <c r="I2187" s="8" t="str">
        <f aca="false">IF($G2187="","Unmatched","Matched")</f>
        <v>Matched</v>
      </c>
    </row>
    <row r="2188" customFormat="false" ht="15" hidden="false" customHeight="false" outlineLevel="0" collapsed="false">
      <c r="A2188" s="8" t="s">
        <v>918</v>
      </c>
      <c r="B2188" s="8" t="s">
        <v>103</v>
      </c>
      <c r="C2188" s="19" t="n">
        <v>32</v>
      </c>
      <c r="D2188" s="19" t="n">
        <v>1041.52</v>
      </c>
      <c r="E2188" s="19" t="n">
        <v>13</v>
      </c>
      <c r="F2188" s="19" t="n">
        <v>447.11</v>
      </c>
      <c r="G2188" s="8" t="n">
        <f aca="false">IFERROR(INDEX('TRANS'!$B:$B,MATCH($B2188,'TRANS'!$A:$A,0)),IFERROR(INDEX('TRANS'!$B:$B,MATCH(TRIM(SUBSTITUTE($B2188,CHAR(160)," ")),'TRANS'!$D:$D,0)),IFERROR(INDEX('Catalog'!$A:$A,MATCH($B2188,'Catalog'!$B:$B,0)),IFERROR(INDEX('Catalog'!$A:$A,MATCH(TRIM(SUBSTITUTE($B2188,CHAR(160)," ")),'Catalog'!$C:$C,0)),""))))</f>
        <v>4419011</v>
      </c>
      <c r="H2188" s="8" t="str">
        <f aca="false">IFERROR(INDEX('TRANS'!$C:$C,MATCH($B2188,'TRANS'!$A:$A,0)),IFERROR(INDEX('Catalog'!$B:$B,MATCH($G2188,'Catalog'!$A:$A,0)),$B2188))</f>
        <v>239B S-M STRAP4U</v>
      </c>
      <c r="I2188" s="8" t="str">
        <f aca="false">IF($G2188="","Unmatched","Matched")</f>
        <v>Matched</v>
      </c>
    </row>
    <row r="2189" customFormat="false" ht="15" hidden="false" customHeight="false" outlineLevel="0" collapsed="false">
      <c r="A2189" s="8" t="s">
        <v>918</v>
      </c>
      <c r="B2189" s="8" t="s">
        <v>471</v>
      </c>
      <c r="C2189" s="19" t="n">
        <v>4</v>
      </c>
      <c r="D2189" s="19" t="n">
        <v>133.44</v>
      </c>
      <c r="E2189" s="19" t="n">
        <v>6</v>
      </c>
      <c r="F2189" s="19" t="n">
        <v>207.96</v>
      </c>
      <c r="G2189" s="8" t="str">
        <f aca="false">IFERROR(INDEX('TRANS'!$B:$B,MATCH($B2189,'TRANS'!$A:$A,0)),IFERROR(INDEX('TRANS'!$B:$B,MATCH(TRIM(SUBSTITUTE($B2189,CHAR(160)," ")),'TRANS'!$D:$D,0)),IFERROR(INDEX('Catalog'!$A:$A,MATCH($B2189,'Catalog'!$B:$B,0)),IFERROR(INDEX('Catalog'!$A:$A,MATCH(TRIM(SUBSTITUTE($B2189,CHAR(160)," ")),'Catalog'!$C:$C,0)),""))))</f>
        <v/>
      </c>
      <c r="H2189" s="8" t="str">
        <f aca="false">IFERROR(INDEX('TRANS'!$C:$C,MATCH($B2189,'TRANS'!$A:$A,0)),IFERROR(INDEX('Catalog'!$B:$B,MATCH($G2189,'Catalog'!$A:$A,0)),$B2189))</f>
        <v>239P-S-M</v>
      </c>
      <c r="I2189" s="8" t="str">
        <f aca="false">IF($G2189="","Unmatched","Matched")</f>
        <v>Unmatched</v>
      </c>
    </row>
    <row r="2190" customFormat="false" ht="15" hidden="false" customHeight="false" outlineLevel="0" collapsed="false">
      <c r="A2190" s="8" t="s">
        <v>918</v>
      </c>
      <c r="B2190" s="8" t="s">
        <v>104</v>
      </c>
      <c r="C2190" s="19" t="n">
        <v>3</v>
      </c>
      <c r="D2190" s="19" t="n">
        <v>98.78</v>
      </c>
      <c r="E2190" s="19" t="n">
        <v>2</v>
      </c>
      <c r="F2190" s="19" t="n">
        <v>65.85</v>
      </c>
      <c r="G2190" s="8" t="n">
        <f aca="false">IFERROR(INDEX('TRANS'!$B:$B,MATCH($B2190,'TRANS'!$A:$A,0)),IFERROR(INDEX('TRANS'!$B:$B,MATCH(TRIM(SUBSTITUTE($B2190,CHAR(160)," ")),'TRANS'!$D:$D,0)),IFERROR(INDEX('Catalog'!$A:$A,MATCH($B2190,'Catalog'!$B:$B,0)),IFERROR(INDEX('Catalog'!$A:$A,MATCH(TRIM(SUBSTITUTE($B2190,CHAR(160)," ")),'Catalog'!$C:$C,0)),""))))</f>
        <v>4419014</v>
      </c>
      <c r="H2190" s="8" t="str">
        <f aca="false">IFERROR(INDEX('TRANS'!$C:$C,MATCH($B2190,'TRANS'!$A:$A,0)),IFERROR(INDEX('Catalog'!$B:$B,MATCH($G2190,'Catalog'!$A:$A,0)),$B2190))</f>
        <v>239TR L-XL STRAP4U</v>
      </c>
      <c r="I2190" s="8" t="str">
        <f aca="false">IF($G2190="","Unmatched","Matched")</f>
        <v>Matched</v>
      </c>
    </row>
    <row r="2191" customFormat="false" ht="15" hidden="false" customHeight="false" outlineLevel="0" collapsed="false">
      <c r="A2191" s="8" t="s">
        <v>918</v>
      </c>
      <c r="B2191" s="8" t="s">
        <v>105</v>
      </c>
      <c r="C2191" s="19" t="n">
        <v>37</v>
      </c>
      <c r="D2191" s="19" t="n">
        <v>2516.81</v>
      </c>
      <c r="E2191" s="19" t="n">
        <v>45</v>
      </c>
      <c r="F2191" s="19" t="n">
        <v>3154.96</v>
      </c>
      <c r="G2191" s="8" t="n">
        <f aca="false">IFERROR(INDEX('TRANS'!$B:$B,MATCH($B2191,'TRANS'!$A:$A,0)),IFERROR(INDEX('TRANS'!$B:$B,MATCH(TRIM(SUBSTITUTE($B2191,CHAR(160)," ")),'TRANS'!$D:$D,0)),IFERROR(INDEX('Catalog'!$A:$A,MATCH($B2191,'Catalog'!$B:$B,0)),IFERROR(INDEX('Catalog'!$A:$A,MATCH(TRIM(SUBSTITUTE($B2191,CHAR(160)," ")),'Catalog'!$C:$C,0)),""))))</f>
        <v>4421005</v>
      </c>
      <c r="H2191" s="8" t="str">
        <f aca="false">IFERROR(INDEX('TRANS'!$C:$C,MATCH($B2191,'TRANS'!$A:$A,0)),IFERROR(INDEX('Catalog'!$B:$B,MATCH($G2191,'Catalog'!$A:$A,0)),$B2191))</f>
        <v>שרוול לגבס קצר יד</v>
      </c>
      <c r="I2191" s="8" t="str">
        <f aca="false">IF($G2191="","Unmatched","Matched")</f>
        <v>Matched</v>
      </c>
    </row>
    <row r="2192" customFormat="false" ht="15" hidden="false" customHeight="false" outlineLevel="0" collapsed="false">
      <c r="A2192" s="8" t="s">
        <v>918</v>
      </c>
      <c r="B2192" s="8" t="s">
        <v>106</v>
      </c>
      <c r="C2192" s="19" t="n">
        <v>88</v>
      </c>
      <c r="D2192" s="19" t="n">
        <v>6228.56</v>
      </c>
      <c r="E2192" s="19" t="n">
        <v>119</v>
      </c>
      <c r="F2192" s="19" t="n">
        <v>8898.68</v>
      </c>
      <c r="G2192" s="8" t="n">
        <f aca="false">IFERROR(INDEX('TRANS'!$B:$B,MATCH($B2192,'TRANS'!$A:$A,0)),IFERROR(INDEX('TRANS'!$B:$B,MATCH(TRIM(SUBSTITUTE($B2192,CHAR(160)," ")),'TRANS'!$D:$D,0)),IFERROR(INDEX('Catalog'!$A:$A,MATCH($B2192,'Catalog'!$B:$B,0)),IFERROR(INDEX('Catalog'!$A:$A,MATCH(TRIM(SUBSTITUTE($B2192,CHAR(160)," ")),'Catalog'!$C:$C,0)),""))))</f>
        <v>4421006</v>
      </c>
      <c r="H2192" s="8" t="str">
        <f aca="false">IFERROR(INDEX('TRANS'!$C:$C,MATCH($B2192,'TRANS'!$A:$A,0)),IFERROR(INDEX('Catalog'!$B:$B,MATCH($G2192,'Catalog'!$A:$A,0)),$B2192))</f>
        <v>שרוול לגבס ארוך יד</v>
      </c>
      <c r="I2192" s="8" t="str">
        <f aca="false">IF($G2192="","Unmatched","Matched")</f>
        <v>Matched</v>
      </c>
    </row>
    <row r="2193" customFormat="false" ht="15" hidden="false" customHeight="false" outlineLevel="0" collapsed="false">
      <c r="A2193" s="8" t="s">
        <v>918</v>
      </c>
      <c r="B2193" s="8" t="s">
        <v>635</v>
      </c>
      <c r="C2193" s="19" t="n">
        <v>8</v>
      </c>
      <c r="D2193" s="19" t="n">
        <v>1373.13</v>
      </c>
      <c r="E2193" s="19" t="n">
        <v>3</v>
      </c>
      <c r="F2193" s="19" t="n">
        <v>559.07</v>
      </c>
      <c r="G2193" s="8" t="n">
        <f aca="false">IFERROR(INDEX('TRANS'!$B:$B,MATCH($B2193,'TRANS'!$A:$A,0)),IFERROR(INDEX('TRANS'!$B:$B,MATCH(TRIM(SUBSTITUTE($B2193,CHAR(160)," ")),'TRANS'!$D:$D,0)),IFERROR(INDEX('Catalog'!$A:$A,MATCH($B2193,'Catalog'!$B:$B,0)),IFERROR(INDEX('Catalog'!$A:$A,MATCH(TRIM(SUBSTITUTE($B2193,CHAR(160)," ")),'Catalog'!$C:$C,0)),""))))</f>
        <v>4415000</v>
      </c>
      <c r="H2193" s="8" t="str">
        <f aca="false">IFERROR(INDEX('TRANS'!$C:$C,MATCH($B2193,'TRANS'!$A:$A,0)),IFERROR(INDEX('Catalog'!$B:$B,MATCH($G2193,'Catalog'!$A:$A,0)),$B2193))</f>
        <v>26 L סד ליד דו צדדי לאחר שבר</v>
      </c>
      <c r="I2193" s="8" t="str">
        <f aca="false">IF($G2193="","Unmatched","Matched")</f>
        <v>Matched</v>
      </c>
    </row>
    <row r="2194" customFormat="false" ht="15" hidden="false" customHeight="false" outlineLevel="0" collapsed="false">
      <c r="A2194" s="8" t="s">
        <v>918</v>
      </c>
      <c r="B2194" s="8" t="s">
        <v>643</v>
      </c>
      <c r="C2194" s="19" t="n">
        <v>15</v>
      </c>
      <c r="D2194" s="19" t="n">
        <v>2693.71</v>
      </c>
      <c r="E2194" s="19" t="n">
        <v>5</v>
      </c>
      <c r="F2194" s="19" t="n">
        <v>913.16</v>
      </c>
      <c r="G2194" s="8" t="n">
        <f aca="false">IFERROR(INDEX('TRANS'!$B:$B,MATCH($B2194,'TRANS'!$A:$A,0)),IFERROR(INDEX('TRANS'!$B:$B,MATCH(TRIM(SUBSTITUTE($B2194,CHAR(160)," ")),'TRANS'!$D:$D,0)),IFERROR(INDEX('Catalog'!$A:$A,MATCH($B2194,'Catalog'!$B:$B,0)),IFERROR(INDEX('Catalog'!$A:$A,MATCH(TRIM(SUBSTITUTE($B2194,CHAR(160)," ")),'Catalog'!$C:$C,0)),""))))</f>
        <v>4415001</v>
      </c>
      <c r="H2194" s="8" t="str">
        <f aca="false">IFERROR(INDEX('TRANS'!$C:$C,MATCH($B2194,'TRANS'!$A:$A,0)),IFERROR(INDEX('Catalog'!$B:$B,MATCH($G2194,'Catalog'!$A:$A,0)),$B2194))</f>
        <v>26 M סד ליד דו צדדי לאחר שבר</v>
      </c>
      <c r="I2194" s="8" t="str">
        <f aca="false">IF($G2194="","Unmatched","Matched")</f>
        <v>Matched</v>
      </c>
    </row>
    <row r="2195" customFormat="false" ht="15" hidden="false" customHeight="false" outlineLevel="0" collapsed="false">
      <c r="A2195" s="8" t="s">
        <v>918</v>
      </c>
      <c r="B2195" s="8" t="s">
        <v>352</v>
      </c>
      <c r="C2195" s="19" t="n">
        <v>7</v>
      </c>
      <c r="D2195" s="19" t="n">
        <v>1205.4</v>
      </c>
      <c r="E2195" s="19" t="n">
        <v>3</v>
      </c>
      <c r="F2195" s="19" t="n">
        <v>559.08</v>
      </c>
      <c r="G2195" s="8" t="n">
        <f aca="false">IFERROR(INDEX('TRANS'!$B:$B,MATCH($B2195,'TRANS'!$A:$A,0)),IFERROR(INDEX('TRANS'!$B:$B,MATCH(TRIM(SUBSTITUTE($B2195,CHAR(160)," ")),'TRANS'!$D:$D,0)),IFERROR(INDEX('Catalog'!$A:$A,MATCH($B2195,'Catalog'!$B:$B,0)),IFERROR(INDEX('Catalog'!$A:$A,MATCH(TRIM(SUBSTITUTE($B2195,CHAR(160)," ")),'Catalog'!$C:$C,0)),""))))</f>
        <v>4415002</v>
      </c>
      <c r="H2195" s="8" t="str">
        <f aca="false">IFERROR(INDEX('TRANS'!$C:$C,MATCH($B2195,'TRANS'!$A:$A,0)),IFERROR(INDEX('Catalog'!$B:$B,MATCH($G2195,'Catalog'!$A:$A,0)),$B2195))</f>
        <v>26 S סד ליד דו צדדי לאחר שבר</v>
      </c>
      <c r="I2195" s="8" t="str">
        <f aca="false">IF($G2195="","Unmatched","Matched")</f>
        <v>Matched</v>
      </c>
    </row>
    <row r="2196" customFormat="false" ht="15" hidden="false" customHeight="false" outlineLevel="0" collapsed="false">
      <c r="A2196" s="8" t="s">
        <v>918</v>
      </c>
      <c r="B2196" s="8" t="s">
        <v>636</v>
      </c>
      <c r="C2196" s="19" t="n">
        <v>2</v>
      </c>
      <c r="D2196" s="19" t="n">
        <v>344.77</v>
      </c>
      <c r="E2196" s="19" t="n">
        <v>0</v>
      </c>
      <c r="F2196" s="19" t="n">
        <v>0</v>
      </c>
      <c r="G2196" s="8" t="n">
        <f aca="false">IFERROR(INDEX('TRANS'!$B:$B,MATCH($B2196,'TRANS'!$A:$A,0)),IFERROR(INDEX('TRANS'!$B:$B,MATCH(TRIM(SUBSTITUTE($B2196,CHAR(160)," ")),'TRANS'!$D:$D,0)),IFERROR(INDEX('Catalog'!$A:$A,MATCH($B2196,'Catalog'!$B:$B,0)),IFERROR(INDEX('Catalog'!$A:$A,MATCH(TRIM(SUBSTITUTE($B2196,CHAR(160)," ")),'Catalog'!$C:$C,0)),""))))</f>
        <v>4415003</v>
      </c>
      <c r="H2196" s="8" t="str">
        <f aca="false">IFERROR(INDEX('TRANS'!$C:$C,MATCH($B2196,'TRANS'!$A:$A,0)),IFERROR(INDEX('Catalog'!$B:$B,MATCH($G2196,'Catalog'!$A:$A,0)),$B2196))</f>
        <v>26 XL סד ליד דו צדדי לאחר שבר</v>
      </c>
      <c r="I2196" s="8" t="str">
        <f aca="false">IF($G2196="","Unmatched","Matched")</f>
        <v>Matched</v>
      </c>
    </row>
    <row r="2197" customFormat="false" ht="15" hidden="false" customHeight="false" outlineLevel="0" collapsed="false">
      <c r="A2197" s="8" t="s">
        <v>918</v>
      </c>
      <c r="B2197" s="8" t="s">
        <v>472</v>
      </c>
      <c r="C2197" s="19" t="n">
        <v>1</v>
      </c>
      <c r="D2197" s="19" t="n">
        <v>171.1</v>
      </c>
      <c r="E2197" s="19" t="n">
        <v>4</v>
      </c>
      <c r="F2197" s="19" t="n">
        <v>726.8</v>
      </c>
      <c r="G2197" s="8" t="str">
        <f aca="false">IFERROR(INDEX('TRANS'!$B:$B,MATCH($B2197,'TRANS'!$A:$A,0)),IFERROR(INDEX('TRANS'!$B:$B,MATCH(TRIM(SUBSTITUTE($B2197,CHAR(160)," ")),'TRANS'!$D:$D,0)),IFERROR(INDEX('Catalog'!$A:$A,MATCH($B2197,'Catalog'!$B:$B,0)),IFERROR(INDEX('Catalog'!$A:$A,MATCH(TRIM(SUBSTITUTE($B2197,CHAR(160)," ")),'Catalog'!$C:$C,0)),""))))</f>
        <v/>
      </c>
      <c r="H2197" s="8" t="str">
        <f aca="false">IFERROR(INDEX('TRANS'!$C:$C,MATCH($B2197,'TRANS'!$A:$A,0)),IFERROR(INDEX('Catalog'!$B:$B,MATCH($G2197,'Catalog'!$A:$A,0)),$B2197))</f>
        <v>26 XS</v>
      </c>
      <c r="I2197" s="8" t="str">
        <f aca="false">IF($G2197="","Unmatched","Matched")</f>
        <v>Unmatched</v>
      </c>
    </row>
    <row r="2198" customFormat="false" ht="15" hidden="false" customHeight="false" outlineLevel="0" collapsed="false">
      <c r="A2198" s="8" t="s">
        <v>918</v>
      </c>
      <c r="B2198" s="8" t="s">
        <v>107</v>
      </c>
      <c r="C2198" s="19" t="n">
        <v>1</v>
      </c>
      <c r="D2198" s="19" t="n">
        <v>158.41</v>
      </c>
      <c r="E2198" s="19" t="n">
        <v>3</v>
      </c>
      <c r="F2198" s="19" t="n">
        <v>516.08</v>
      </c>
      <c r="G2198" s="8" t="n">
        <f aca="false">IFERROR(INDEX('TRANS'!$B:$B,MATCH($B2198,'TRANS'!$A:$A,0)),IFERROR(INDEX('TRANS'!$B:$B,MATCH(TRIM(SUBSTITUTE($B2198,CHAR(160)," ")),'TRANS'!$D:$D,0)),IFERROR(INDEX('Catalog'!$A:$A,MATCH($B2198,'Catalog'!$B:$B,0)),IFERROR(INDEX('Catalog'!$A:$A,MATCH(TRIM(SUBSTITUTE($B2198,CHAR(160)," ")),'Catalog'!$C:$C,0)),""))))</f>
        <v>4415004</v>
      </c>
      <c r="H2198" s="8" t="str">
        <f aca="false">IFERROR(INDEX('TRANS'!$C:$C,MATCH($B2198,'TRANS'!$A:$A,0)),IFERROR(INDEX('Catalog'!$B:$B,MATCH($G2198,'Catalog'!$A:$A,0)),$B2198))</f>
        <v>26 XXL סד ליד דו צדדי לאחר שבר</v>
      </c>
      <c r="I2198" s="8" t="str">
        <f aca="false">IF($G2198="","Unmatched","Matched")</f>
        <v>Matched</v>
      </c>
    </row>
    <row r="2199" customFormat="false" ht="15" hidden="false" customHeight="false" outlineLevel="0" collapsed="false">
      <c r="A2199" s="8" t="s">
        <v>918</v>
      </c>
      <c r="B2199" s="8" t="s">
        <v>108</v>
      </c>
      <c r="C2199" s="19" t="n">
        <v>111</v>
      </c>
      <c r="D2199" s="19" t="n">
        <v>15059.63</v>
      </c>
      <c r="E2199" s="19" t="n">
        <v>82</v>
      </c>
      <c r="F2199" s="19" t="n">
        <v>11331.44</v>
      </c>
      <c r="G2199" s="8" t="n">
        <f aca="false">IFERROR(INDEX('TRANS'!$B:$B,MATCH($B2199,'TRANS'!$A:$A,0)),IFERROR(INDEX('TRANS'!$B:$B,MATCH(TRIM(SUBSTITUTE($B2199,CHAR(160)," ")),'TRANS'!$D:$D,0)),IFERROR(INDEX('Catalog'!$A:$A,MATCH($B2199,'Catalog'!$B:$B,0)),IFERROR(INDEX('Catalog'!$A:$A,MATCH(TRIM(SUBSTITUTE($B2199,CHAR(160)," ")),'Catalog'!$C:$C,0)),""))))</f>
        <v>4415158</v>
      </c>
      <c r="H2199" s="8" t="str">
        <f aca="false">IFERROR(INDEX('TRANS'!$C:$C,MATCH($B2199,'TRANS'!$A:$A,0)),IFERROR(INDEX('Catalog'!$B:$B,MATCH($G2199,'Catalog'!$A:$A,0)),$B2199))</f>
        <v>266 סד ליד דו צדדי</v>
      </c>
      <c r="I2199" s="8" t="str">
        <f aca="false">IF($G2199="","Unmatched","Matched")</f>
        <v>Matched</v>
      </c>
    </row>
    <row r="2200" customFormat="false" ht="15" hidden="false" customHeight="false" outlineLevel="0" collapsed="false">
      <c r="A2200" s="8" t="s">
        <v>918</v>
      </c>
      <c r="B2200" s="8" t="s">
        <v>109</v>
      </c>
      <c r="C2200" s="19" t="n">
        <v>1</v>
      </c>
      <c r="D2200" s="19" t="n">
        <v>196.53</v>
      </c>
      <c r="E2200" s="19" t="n">
        <v>2</v>
      </c>
      <c r="F2200" s="19" t="n">
        <v>323.56</v>
      </c>
      <c r="G2200" s="8" t="str">
        <f aca="false">IFERROR(INDEX('TRANS'!$B:$B,MATCH($B2200,'TRANS'!$A:$A,0)),IFERROR(INDEX('TRANS'!$B:$B,MATCH(TRIM(SUBSTITUTE($B2200,CHAR(160)," ")),'TRANS'!$D:$D,0)),IFERROR(INDEX('Catalog'!$A:$A,MATCH($B2200,'Catalog'!$B:$B,0)),IFERROR(INDEX('Catalog'!$A:$A,MATCH(TRIM(SUBSTITUTE($B2200,CHAR(160)," ")),'Catalog'!$C:$C,0)),""))))</f>
        <v/>
      </c>
      <c r="H2200" s="8" t="str">
        <f aca="false">IFERROR(INDEX('TRANS'!$C:$C,MATCH($B2200,'TRANS'!$A:$A,0)),IFERROR(INDEX('Catalog'!$B:$B,MATCH($G2200,'Catalog'!$A:$A,0)),$B2200))</f>
        <v>267LB-L-XL</v>
      </c>
      <c r="I2200" s="8" t="str">
        <f aca="false">IF($G2200="","Unmatched","Matched")</f>
        <v>Unmatched</v>
      </c>
    </row>
    <row r="2201" customFormat="false" ht="15" hidden="false" customHeight="false" outlineLevel="0" collapsed="false">
      <c r="A2201" s="8" t="s">
        <v>918</v>
      </c>
      <c r="B2201" s="8" t="s">
        <v>821</v>
      </c>
      <c r="C2201" s="19" t="n">
        <v>1</v>
      </c>
      <c r="D2201" s="19" t="n">
        <v>167.05</v>
      </c>
      <c r="E2201" s="19" t="n">
        <v>2</v>
      </c>
      <c r="F2201" s="19" t="n">
        <v>373.41</v>
      </c>
      <c r="G2201" s="8" t="str">
        <f aca="false">IFERROR(INDEX('TRANS'!$B:$B,MATCH($B2201,'TRANS'!$A:$A,0)),IFERROR(INDEX('TRANS'!$B:$B,MATCH(TRIM(SUBSTITUTE($B2201,CHAR(160)," ")),'TRANS'!$D:$D,0)),IFERROR(INDEX('Catalog'!$A:$A,MATCH($B2201,'Catalog'!$B:$B,0)),IFERROR(INDEX('Catalog'!$A:$A,MATCH(TRIM(SUBSTITUTE($B2201,CHAR(160)," ")),'Catalog'!$C:$C,0)),""))))</f>
        <v/>
      </c>
      <c r="H2201" s="8" t="str">
        <f aca="false">IFERROR(INDEX('TRANS'!$C:$C,MATCH($B2201,'TRANS'!$A:$A,0)),IFERROR(INDEX('Catalog'!$B:$B,MATCH($G2201,'Catalog'!$A:$A,0)),$B2201))</f>
        <v>267LB-S-M</v>
      </c>
      <c r="I2201" s="8" t="str">
        <f aca="false">IF($G2201="","Unmatched","Matched")</f>
        <v>Unmatched</v>
      </c>
    </row>
    <row r="2202" customFormat="false" ht="15" hidden="false" customHeight="false" outlineLevel="0" collapsed="false">
      <c r="A2202" s="8" t="s">
        <v>918</v>
      </c>
      <c r="B2202" s="8" t="s">
        <v>822</v>
      </c>
      <c r="C2202" s="19" t="n">
        <v>0</v>
      </c>
      <c r="D2202" s="19" t="n">
        <v>0</v>
      </c>
      <c r="E2202" s="19" t="n">
        <v>1</v>
      </c>
      <c r="F2202" s="19" t="n">
        <v>127.03</v>
      </c>
      <c r="G2202" s="8" t="str">
        <f aca="false">IFERROR(INDEX('TRANS'!$B:$B,MATCH($B2202,'TRANS'!$A:$A,0)),IFERROR(INDEX('TRANS'!$B:$B,MATCH(TRIM(SUBSTITUTE($B2202,CHAR(160)," ")),'TRANS'!$D:$D,0)),IFERROR(INDEX('Catalog'!$A:$A,MATCH($B2202,'Catalog'!$B:$B,0)),IFERROR(INDEX('Catalog'!$A:$A,MATCH(TRIM(SUBSTITUTE($B2202,CHAR(160)," ")),'Catalog'!$C:$C,0)),""))))</f>
        <v/>
      </c>
      <c r="H2202" s="8" t="str">
        <f aca="false">IFERROR(INDEX('TRANS'!$C:$C,MATCH($B2202,'TRANS'!$A:$A,0)),IFERROR(INDEX('Catalog'!$B:$B,MATCH($G2202,'Catalog'!$A:$A,0)),$B2202))</f>
        <v>267RB XXL</v>
      </c>
      <c r="I2202" s="8" t="str">
        <f aca="false">IF($G2202="","Unmatched","Matched")</f>
        <v>Unmatched</v>
      </c>
    </row>
    <row r="2203" customFormat="false" ht="15" hidden="false" customHeight="false" outlineLevel="0" collapsed="false">
      <c r="A2203" s="8" t="s">
        <v>918</v>
      </c>
      <c r="B2203" s="8" t="s">
        <v>823</v>
      </c>
      <c r="C2203" s="19" t="n">
        <v>3</v>
      </c>
      <c r="D2203" s="19" t="n">
        <v>501.15</v>
      </c>
      <c r="E2203" s="19" t="n">
        <v>0</v>
      </c>
      <c r="F2203" s="19" t="n">
        <v>0</v>
      </c>
      <c r="G2203" s="8" t="str">
        <f aca="false">IFERROR(INDEX('TRANS'!$B:$B,MATCH($B2203,'TRANS'!$A:$A,0)),IFERROR(INDEX('TRANS'!$B:$B,MATCH(TRIM(SUBSTITUTE($B2203,CHAR(160)," ")),'TRANS'!$D:$D,0)),IFERROR(INDEX('Catalog'!$A:$A,MATCH($B2203,'Catalog'!$B:$B,0)),IFERROR(INDEX('Catalog'!$A:$A,MATCH(TRIM(SUBSTITUTE($B2203,CHAR(160)," ")),'Catalog'!$C:$C,0)),""))))</f>
        <v/>
      </c>
      <c r="H2203" s="8" t="str">
        <f aca="false">IFERROR(INDEX('TRANS'!$C:$C,MATCH($B2203,'TRANS'!$A:$A,0)),IFERROR(INDEX('Catalog'!$B:$B,MATCH($G2203,'Catalog'!$A:$A,0)),$B2203))</f>
        <v>267RB-L-XL</v>
      </c>
      <c r="I2203" s="8" t="str">
        <f aca="false">IF($G2203="","Unmatched","Matched")</f>
        <v>Unmatched</v>
      </c>
    </row>
    <row r="2204" customFormat="false" ht="15" hidden="false" customHeight="false" outlineLevel="0" collapsed="false">
      <c r="A2204" s="8" t="s">
        <v>918</v>
      </c>
      <c r="B2204" s="8" t="s">
        <v>824</v>
      </c>
      <c r="C2204" s="19" t="n">
        <v>1</v>
      </c>
      <c r="D2204" s="19" t="n">
        <v>167.05</v>
      </c>
      <c r="E2204" s="19" t="n">
        <v>1</v>
      </c>
      <c r="F2204" s="19" t="n">
        <v>196.53</v>
      </c>
      <c r="G2204" s="8" t="str">
        <f aca="false">IFERROR(INDEX('TRANS'!$B:$B,MATCH($B2204,'TRANS'!$A:$A,0)),IFERROR(INDEX('TRANS'!$B:$B,MATCH(TRIM(SUBSTITUTE($B2204,CHAR(160)," ")),'TRANS'!$D:$D,0)),IFERROR(INDEX('Catalog'!$A:$A,MATCH($B2204,'Catalog'!$B:$B,0)),IFERROR(INDEX('Catalog'!$A:$A,MATCH(TRIM(SUBSTITUTE($B2204,CHAR(160)," ")),'Catalog'!$C:$C,0)),""))))</f>
        <v/>
      </c>
      <c r="H2204" s="8" t="str">
        <f aca="false">IFERROR(INDEX('TRANS'!$C:$C,MATCH($B2204,'TRANS'!$A:$A,0)),IFERROR(INDEX('Catalog'!$B:$B,MATCH($G2204,'Catalog'!$A:$A,0)),$B2204))</f>
        <v>267RB-S-M</v>
      </c>
      <c r="I2204" s="8" t="str">
        <f aca="false">IF($G2204="","Unmatched","Matched")</f>
        <v>Unmatched</v>
      </c>
    </row>
    <row r="2205" customFormat="false" ht="15" hidden="false" customHeight="false" outlineLevel="0" collapsed="false">
      <c r="A2205" s="8" t="s">
        <v>918</v>
      </c>
      <c r="B2205" s="8" t="s">
        <v>937</v>
      </c>
      <c r="C2205" s="19" t="n">
        <v>0</v>
      </c>
      <c r="D2205" s="19" t="n">
        <v>0</v>
      </c>
      <c r="E2205" s="19" t="n">
        <v>1</v>
      </c>
      <c r="F2205" s="19" t="n">
        <v>196.52</v>
      </c>
      <c r="G2205" s="8" t="str">
        <f aca="false">IFERROR(INDEX('TRANS'!$B:$B,MATCH($B2205,'TRANS'!$A:$A,0)),IFERROR(INDEX('TRANS'!$B:$B,MATCH(TRIM(SUBSTITUTE($B2205,CHAR(160)," ")),'TRANS'!$D:$D,0)),IFERROR(INDEX('Catalog'!$A:$A,MATCH($B2205,'Catalog'!$B:$B,0)),IFERROR(INDEX('Catalog'!$A:$A,MATCH(TRIM(SUBSTITUTE($B2205,CHAR(160)," ")),'Catalog'!$C:$C,0)),""))))</f>
        <v/>
      </c>
      <c r="H2205" s="8" t="str">
        <f aca="false">IFERROR(INDEX('TRANS'!$C:$C,MATCH($B2205,'TRANS'!$A:$A,0)),IFERROR(INDEX('Catalog'!$B:$B,MATCH($G2205,'Catalog'!$A:$A,0)),$B2205))</f>
        <v>267LC XXL</v>
      </c>
      <c r="I2205" s="8" t="str">
        <f aca="false">IF($G2205="","Unmatched","Matched")</f>
        <v>Unmatched</v>
      </c>
    </row>
    <row r="2206" customFormat="false" ht="15" hidden="false" customHeight="false" outlineLevel="0" collapsed="false">
      <c r="A2206" s="8" t="s">
        <v>918</v>
      </c>
      <c r="B2206" s="8" t="s">
        <v>938</v>
      </c>
      <c r="C2206" s="19" t="n">
        <v>0</v>
      </c>
      <c r="D2206" s="19" t="n">
        <v>0</v>
      </c>
      <c r="E2206" s="19" t="n">
        <v>2</v>
      </c>
      <c r="F2206" s="19" t="n">
        <v>303.9</v>
      </c>
      <c r="G2206" s="8" t="str">
        <f aca="false">IFERROR(INDEX('TRANS'!$B:$B,MATCH($B2206,'TRANS'!$A:$A,0)),IFERROR(INDEX('TRANS'!$B:$B,MATCH(TRIM(SUBSTITUTE($B2206,CHAR(160)," ")),'TRANS'!$D:$D,0)),IFERROR(INDEX('Catalog'!$A:$A,MATCH($B2206,'Catalog'!$B:$B,0)),IFERROR(INDEX('Catalog'!$A:$A,MATCH(TRIM(SUBSTITUTE($B2206,CHAR(160)," ")),'Catalog'!$C:$C,0)),""))))</f>
        <v/>
      </c>
      <c r="H2206" s="8" t="str">
        <f aca="false">IFERROR(INDEX('TRANS'!$C:$C,MATCH($B2206,'TRANS'!$A:$A,0)),IFERROR(INDEX('Catalog'!$B:$B,MATCH($G2206,'Catalog'!$A:$A,0)),$B2206))</f>
        <v>267LC-L-XL</v>
      </c>
      <c r="I2206" s="8" t="str">
        <f aca="false">IF($G2206="","Unmatched","Matched")</f>
        <v>Unmatched</v>
      </c>
    </row>
    <row r="2207" customFormat="false" ht="15" hidden="false" customHeight="false" outlineLevel="0" collapsed="false">
      <c r="A2207" s="8" t="s">
        <v>918</v>
      </c>
      <c r="B2207" s="8" t="s">
        <v>939</v>
      </c>
      <c r="C2207" s="19" t="n">
        <v>0</v>
      </c>
      <c r="D2207" s="19" t="n">
        <v>0</v>
      </c>
      <c r="E2207" s="19" t="n">
        <v>3</v>
      </c>
      <c r="F2207" s="19" t="n">
        <v>589.58</v>
      </c>
      <c r="G2207" s="8" t="str">
        <f aca="false">IFERROR(INDEX('TRANS'!$B:$B,MATCH($B2207,'TRANS'!$A:$A,0)),IFERROR(INDEX('TRANS'!$B:$B,MATCH(TRIM(SUBSTITUTE($B2207,CHAR(160)," ")),'TRANS'!$D:$D,0)),IFERROR(INDEX('Catalog'!$A:$A,MATCH($B2207,'Catalog'!$B:$B,0)),IFERROR(INDEX('Catalog'!$A:$A,MATCH(TRIM(SUBSTITUTE($B2207,CHAR(160)," ")),'Catalog'!$C:$C,0)),""))))</f>
        <v/>
      </c>
      <c r="H2207" s="8" t="str">
        <f aca="false">IFERROR(INDEX('TRANS'!$C:$C,MATCH($B2207,'TRANS'!$A:$A,0)),IFERROR(INDEX('Catalog'!$B:$B,MATCH($G2207,'Catalog'!$A:$A,0)),$B2207))</f>
        <v>267LC-S-M</v>
      </c>
      <c r="I2207" s="8" t="str">
        <f aca="false">IF($G2207="","Unmatched","Matched")</f>
        <v>Unmatched</v>
      </c>
    </row>
    <row r="2208" customFormat="false" ht="15" hidden="false" customHeight="false" outlineLevel="0" collapsed="false">
      <c r="A2208" s="8" t="s">
        <v>918</v>
      </c>
      <c r="B2208" s="8" t="s">
        <v>940</v>
      </c>
      <c r="C2208" s="19" t="n">
        <v>1</v>
      </c>
      <c r="D2208" s="19" t="n">
        <v>167.05</v>
      </c>
      <c r="E2208" s="19" t="n">
        <v>0</v>
      </c>
      <c r="F2208" s="19" t="n">
        <v>0</v>
      </c>
      <c r="G2208" s="8" t="str">
        <f aca="false">IFERROR(INDEX('TRANS'!$B:$B,MATCH($B2208,'TRANS'!$A:$A,0)),IFERROR(INDEX('TRANS'!$B:$B,MATCH(TRIM(SUBSTITUTE($B2208,CHAR(160)," ")),'TRANS'!$D:$D,0)),IFERROR(INDEX('Catalog'!$A:$A,MATCH($B2208,'Catalog'!$B:$B,0)),IFERROR(INDEX('Catalog'!$A:$A,MATCH(TRIM(SUBSTITUTE($B2208,CHAR(160)," ")),'Catalog'!$C:$C,0)),""))))</f>
        <v/>
      </c>
      <c r="H2208" s="8" t="str">
        <f aca="false">IFERROR(INDEX('TRANS'!$C:$C,MATCH($B2208,'TRANS'!$A:$A,0)),IFERROR(INDEX('Catalog'!$B:$B,MATCH($G2208,'Catalog'!$A:$A,0)),$B2208))</f>
        <v>267RC-L-XL</v>
      </c>
      <c r="I2208" s="8" t="str">
        <f aca="false">IF($G2208="","Unmatched","Matched")</f>
        <v>Unmatched</v>
      </c>
    </row>
    <row r="2209" customFormat="false" ht="15" hidden="false" customHeight="false" outlineLevel="0" collapsed="false">
      <c r="A2209" s="8" t="s">
        <v>918</v>
      </c>
      <c r="B2209" s="8" t="s">
        <v>941</v>
      </c>
      <c r="C2209" s="19" t="n">
        <v>1</v>
      </c>
      <c r="D2209" s="19" t="n">
        <v>167.05</v>
      </c>
      <c r="E2209" s="19" t="n">
        <v>2</v>
      </c>
      <c r="F2209" s="19" t="n">
        <v>303.91</v>
      </c>
      <c r="G2209" s="8" t="str">
        <f aca="false">IFERROR(INDEX('TRANS'!$B:$B,MATCH($B2209,'TRANS'!$A:$A,0)),IFERROR(INDEX('TRANS'!$B:$B,MATCH(TRIM(SUBSTITUTE($B2209,CHAR(160)," ")),'TRANS'!$D:$D,0)),IFERROR(INDEX('Catalog'!$A:$A,MATCH($B2209,'Catalog'!$B:$B,0)),IFERROR(INDEX('Catalog'!$A:$A,MATCH(TRIM(SUBSTITUTE($B2209,CHAR(160)," ")),'Catalog'!$C:$C,0)),""))))</f>
        <v/>
      </c>
      <c r="H2209" s="8" t="str">
        <f aca="false">IFERROR(INDEX('TRANS'!$C:$C,MATCH($B2209,'TRANS'!$A:$A,0)),IFERROR(INDEX('Catalog'!$B:$B,MATCH($G2209,'Catalog'!$A:$A,0)),$B2209))</f>
        <v>267RC-S-M</v>
      </c>
      <c r="I2209" s="8" t="str">
        <f aca="false">IF($G2209="","Unmatched","Matched")</f>
        <v>Unmatched</v>
      </c>
    </row>
    <row r="2210" customFormat="false" ht="15" hidden="false" customHeight="false" outlineLevel="0" collapsed="false">
      <c r="A2210" s="8" t="s">
        <v>918</v>
      </c>
      <c r="B2210" s="8" t="s">
        <v>110</v>
      </c>
      <c r="C2210" s="19" t="n">
        <v>37</v>
      </c>
      <c r="D2210" s="19" t="n">
        <v>7197.31</v>
      </c>
      <c r="E2210" s="19" t="n">
        <v>48</v>
      </c>
      <c r="F2210" s="19" t="n">
        <v>9990.82</v>
      </c>
      <c r="G2210" s="8" t="n">
        <f aca="false">IFERROR(INDEX('TRANS'!$B:$B,MATCH($B2210,'TRANS'!$A:$A,0)),IFERROR(INDEX('TRANS'!$B:$B,MATCH(TRIM(SUBSTITUTE($B2210,CHAR(160)," ")),'TRANS'!$D:$D,0)),IFERROR(INDEX('Catalog'!$A:$A,MATCH($B2210,'Catalog'!$B:$B,0)),IFERROR(INDEX('Catalog'!$A:$A,MATCH(TRIM(SUBSTITUTE($B2210,CHAR(160)," ")),'Catalog'!$C:$C,0)),""))))</f>
        <v>4415159</v>
      </c>
      <c r="H2210" s="8" t="str">
        <f aca="false">IFERROR(INDEX('TRANS'!$C:$C,MATCH($B2210,'TRANS'!$A:$A,0)),IFERROR(INDEX('Catalog'!$B:$B,MATCH($G2210,'Catalog'!$A:$A,0)),$B2210))</f>
        <v>268 סד לאגודל</v>
      </c>
      <c r="I2210" s="8" t="str">
        <f aca="false">IF($G2210="","Unmatched","Matched")</f>
        <v>Matched</v>
      </c>
    </row>
    <row r="2211" customFormat="false" ht="15" hidden="false" customHeight="false" outlineLevel="0" collapsed="false">
      <c r="A2211" s="8" t="s">
        <v>918</v>
      </c>
      <c r="B2211" s="8" t="s">
        <v>644</v>
      </c>
      <c r="C2211" s="19" t="n">
        <v>1</v>
      </c>
      <c r="D2211" s="19" t="n">
        <v>171.1</v>
      </c>
      <c r="E2211" s="19" t="n">
        <v>1</v>
      </c>
      <c r="F2211" s="19" t="n">
        <v>186.36</v>
      </c>
      <c r="G2211" s="8" t="n">
        <f aca="false">IFERROR(INDEX('TRANS'!$B:$B,MATCH($B2211,'TRANS'!$A:$A,0)),IFERROR(INDEX('TRANS'!$B:$B,MATCH(TRIM(SUBSTITUTE($B2211,CHAR(160)," ")),'TRANS'!$D:$D,0)),IFERROR(INDEX('Catalog'!$A:$A,MATCH($B2211,'Catalog'!$B:$B,0)),IFERROR(INDEX('Catalog'!$A:$A,MATCH(TRIM(SUBSTITUTE($B2211,CHAR(160)," ")),'Catalog'!$C:$C,0)),""))))</f>
        <v>4415005</v>
      </c>
      <c r="H2211" s="8" t="str">
        <f aca="false">IFERROR(INDEX('TRANS'!$C:$C,MATCH($B2211,'TRANS'!$A:$A,0)),IFERROR(INDEX('Catalog'!$B:$B,MATCH($G2211,'Catalog'!$A:$A,0)),$B2211))</f>
        <v>28 L סד לאגודל לאחר שבר</v>
      </c>
      <c r="I2211" s="8" t="str">
        <f aca="false">IF($G2211="","Unmatched","Matched")</f>
        <v>Matched</v>
      </c>
    </row>
    <row r="2212" customFormat="false" ht="15" hidden="false" customHeight="false" outlineLevel="0" collapsed="false">
      <c r="A2212" s="8" t="s">
        <v>918</v>
      </c>
      <c r="B2212" s="8" t="s">
        <v>111</v>
      </c>
      <c r="C2212" s="19" t="n">
        <v>7</v>
      </c>
      <c r="D2212" s="19" t="n">
        <v>1289.26</v>
      </c>
      <c r="E2212" s="19" t="n">
        <v>6</v>
      </c>
      <c r="F2212" s="19" t="n">
        <v>1099.51</v>
      </c>
      <c r="G2212" s="8" t="n">
        <f aca="false">IFERROR(INDEX('TRANS'!$B:$B,MATCH($B2212,'TRANS'!$A:$A,0)),IFERROR(INDEX('TRANS'!$B:$B,MATCH(TRIM(SUBSTITUTE($B2212,CHAR(160)," ")),'TRANS'!$D:$D,0)),IFERROR(INDEX('Catalog'!$A:$A,MATCH($B2212,'Catalog'!$B:$B,0)),IFERROR(INDEX('Catalog'!$A:$A,MATCH(TRIM(SUBSTITUTE($B2212,CHAR(160)," ")),'Catalog'!$C:$C,0)),""))))</f>
        <v>4415006</v>
      </c>
      <c r="H2212" s="8" t="str">
        <f aca="false">IFERROR(INDEX('TRANS'!$C:$C,MATCH($B2212,'TRANS'!$A:$A,0)),IFERROR(INDEX('Catalog'!$B:$B,MATCH($G2212,'Catalog'!$A:$A,0)),$B2212))</f>
        <v>28 M סד לאגודל לאחר שבר</v>
      </c>
      <c r="I2212" s="8" t="str">
        <f aca="false">IF($G2212="","Unmatched","Matched")</f>
        <v>Matched</v>
      </c>
    </row>
    <row r="2213" customFormat="false" ht="15" hidden="false" customHeight="false" outlineLevel="0" collapsed="false">
      <c r="A2213" s="8" t="s">
        <v>918</v>
      </c>
      <c r="B2213" s="8" t="s">
        <v>645</v>
      </c>
      <c r="C2213" s="19" t="n">
        <v>8</v>
      </c>
      <c r="D2213" s="19" t="n">
        <v>1404.45</v>
      </c>
      <c r="E2213" s="19" t="n">
        <v>5</v>
      </c>
      <c r="F2213" s="19" t="n">
        <v>931.78</v>
      </c>
      <c r="G2213" s="8" t="n">
        <f aca="false">IFERROR(INDEX('TRANS'!$B:$B,MATCH($B2213,'TRANS'!$A:$A,0)),IFERROR(INDEX('TRANS'!$B:$B,MATCH(TRIM(SUBSTITUTE($B2213,CHAR(160)," ")),'TRANS'!$D:$D,0)),IFERROR(INDEX('Catalog'!$A:$A,MATCH($B2213,'Catalog'!$B:$B,0)),IFERROR(INDEX('Catalog'!$A:$A,MATCH(TRIM(SUBSTITUTE($B2213,CHAR(160)," ")),'Catalog'!$C:$C,0)),""))))</f>
        <v>4415007</v>
      </c>
      <c r="H2213" s="8" t="str">
        <f aca="false">IFERROR(INDEX('TRANS'!$C:$C,MATCH($B2213,'TRANS'!$A:$A,0)),IFERROR(INDEX('Catalog'!$B:$B,MATCH($G2213,'Catalog'!$A:$A,0)),$B2213))</f>
        <v>28 S סד לאגודל לאחר שבר</v>
      </c>
      <c r="I2213" s="8" t="str">
        <f aca="false">IF($G2213="","Unmatched","Matched")</f>
        <v>Matched</v>
      </c>
    </row>
    <row r="2214" customFormat="false" ht="15" hidden="false" customHeight="false" outlineLevel="0" collapsed="false">
      <c r="A2214" s="8" t="s">
        <v>918</v>
      </c>
      <c r="B2214" s="8" t="s">
        <v>646</v>
      </c>
      <c r="C2214" s="19" t="n">
        <v>3</v>
      </c>
      <c r="D2214" s="19" t="n">
        <v>543.82</v>
      </c>
      <c r="E2214" s="19" t="n">
        <v>1</v>
      </c>
      <c r="F2214" s="19" t="n">
        <v>186.35</v>
      </c>
      <c r="G2214" s="8" t="n">
        <f aca="false">IFERROR(INDEX('TRANS'!$B:$B,MATCH($B2214,'TRANS'!$A:$A,0)),IFERROR(INDEX('TRANS'!$B:$B,MATCH(TRIM(SUBSTITUTE($B2214,CHAR(160)," ")),'TRANS'!$D:$D,0)),IFERROR(INDEX('Catalog'!$A:$A,MATCH($B2214,'Catalog'!$B:$B,0)),IFERROR(INDEX('Catalog'!$A:$A,MATCH(TRIM(SUBSTITUTE($B2214,CHAR(160)," ")),'Catalog'!$C:$C,0)),""))))</f>
        <v>4415008</v>
      </c>
      <c r="H2214" s="8" t="str">
        <f aca="false">IFERROR(INDEX('TRANS'!$C:$C,MATCH($B2214,'TRANS'!$A:$A,0)),IFERROR(INDEX('Catalog'!$B:$B,MATCH($G2214,'Catalog'!$A:$A,0)),$B2214))</f>
        <v>28 XL סד לאגודל לאחר שבר</v>
      </c>
      <c r="I2214" s="8" t="str">
        <f aca="false">IF($G2214="","Unmatched","Matched")</f>
        <v>Matched</v>
      </c>
    </row>
    <row r="2215" customFormat="false" ht="15" hidden="false" customHeight="false" outlineLevel="0" collapsed="false">
      <c r="A2215" s="8" t="s">
        <v>918</v>
      </c>
      <c r="B2215" s="8" t="s">
        <v>942</v>
      </c>
      <c r="C2215" s="19" t="n">
        <v>1</v>
      </c>
      <c r="D2215" s="19" t="n">
        <v>158.41</v>
      </c>
      <c r="E2215" s="19" t="n">
        <v>0</v>
      </c>
      <c r="F2215" s="19" t="n">
        <v>0</v>
      </c>
      <c r="G2215" s="8" t="n">
        <f aca="false">IFERROR(INDEX('TRANS'!$B:$B,MATCH($B2215,'TRANS'!$A:$A,0)),IFERROR(INDEX('TRANS'!$B:$B,MATCH(TRIM(SUBSTITUTE($B2215,CHAR(160)," ")),'TRANS'!$D:$D,0)),IFERROR(INDEX('Catalog'!$A:$A,MATCH($B2215,'Catalog'!$B:$B,0)),IFERROR(INDEX('Catalog'!$A:$A,MATCH(TRIM(SUBSTITUTE($B2215,CHAR(160)," ")),'Catalog'!$C:$C,0)),""))))</f>
        <v>4415025</v>
      </c>
      <c r="H2215" s="8" t="str">
        <f aca="false">IFERROR(INDEX('TRANS'!$C:$C,MATCH($B2215,'TRANS'!$A:$A,0)),IFERROR(INDEX('Catalog'!$B:$B,MATCH($G2215,'Catalog'!$A:$A,0)),$B2215))</f>
        <v>28-XS סד לאגודל לאחר שבר</v>
      </c>
      <c r="I2215" s="8" t="str">
        <f aca="false">IF($G2215="","Unmatched","Matched")</f>
        <v>Matched</v>
      </c>
    </row>
    <row r="2216" customFormat="false" ht="15" hidden="false" customHeight="false" outlineLevel="0" collapsed="false">
      <c r="A2216" s="8" t="s">
        <v>918</v>
      </c>
      <c r="B2216" s="8" t="s">
        <v>687</v>
      </c>
      <c r="C2216" s="19" t="n">
        <v>4</v>
      </c>
      <c r="D2216" s="19" t="n">
        <v>426.88</v>
      </c>
      <c r="E2216" s="19" t="n">
        <v>2</v>
      </c>
      <c r="F2216" s="19" t="n">
        <v>240.52</v>
      </c>
      <c r="G2216" s="8" t="str">
        <f aca="false">IFERROR(INDEX('TRANS'!$B:$B,MATCH($B2216,'TRANS'!$A:$A,0)),IFERROR(INDEX('TRANS'!$B:$B,MATCH(TRIM(SUBSTITUTE($B2216,CHAR(160)," ")),'TRANS'!$D:$D,0)),IFERROR(INDEX('Catalog'!$A:$A,MATCH($B2216,'Catalog'!$B:$B,0)),IFERROR(INDEX('Catalog'!$A:$A,MATCH(TRIM(SUBSTITUTE($B2216,CHAR(160)," ")),'Catalog'!$C:$C,0)),""))))</f>
        <v/>
      </c>
      <c r="H2216" s="8" t="str">
        <f aca="false">IFERROR(INDEX('TRANS'!$C:$C,MATCH($B2216,'TRANS'!$A:$A,0)),IFERROR(INDEX('Catalog'!$B:$B,MATCH($G2216,'Catalog'!$A:$A,0)),$B2216))</f>
        <v>30 L</v>
      </c>
      <c r="I2216" s="8" t="str">
        <f aca="false">IF($G2216="","Unmatched","Matched")</f>
        <v>Unmatched</v>
      </c>
    </row>
    <row r="2217" customFormat="false" ht="15" hidden="false" customHeight="false" outlineLevel="0" collapsed="false">
      <c r="A2217" s="8" t="s">
        <v>918</v>
      </c>
      <c r="B2217" s="8" t="s">
        <v>112</v>
      </c>
      <c r="C2217" s="19" t="n">
        <v>1</v>
      </c>
      <c r="D2217" s="19" t="n">
        <v>120.25</v>
      </c>
      <c r="E2217" s="19" t="n">
        <v>5</v>
      </c>
      <c r="F2217" s="19" t="n">
        <v>553.16</v>
      </c>
      <c r="G2217" s="8" t="str">
        <f aca="false">IFERROR(INDEX('TRANS'!$B:$B,MATCH($B2217,'TRANS'!$A:$A,0)),IFERROR(INDEX('TRANS'!$B:$B,MATCH(TRIM(SUBSTITUTE($B2217,CHAR(160)," ")),'TRANS'!$D:$D,0)),IFERROR(INDEX('Catalog'!$A:$A,MATCH($B2217,'Catalog'!$B:$B,0)),IFERROR(INDEX('Catalog'!$A:$A,MATCH(TRIM(SUBSTITUTE($B2217,CHAR(160)," ")),'Catalog'!$C:$C,0)),""))))</f>
        <v/>
      </c>
      <c r="H2217" s="8" t="str">
        <f aca="false">IFERROR(INDEX('TRANS'!$C:$C,MATCH($B2217,'TRANS'!$A:$A,0)),IFERROR(INDEX('Catalog'!$B:$B,MATCH($G2217,'Catalog'!$A:$A,0)),$B2217))</f>
        <v>30 M</v>
      </c>
      <c r="I2217" s="8" t="str">
        <f aca="false">IF($G2217="","Unmatched","Matched")</f>
        <v>Unmatched</v>
      </c>
    </row>
    <row r="2218" customFormat="false" ht="15" hidden="false" customHeight="false" outlineLevel="0" collapsed="false">
      <c r="A2218" s="8" t="s">
        <v>918</v>
      </c>
      <c r="B2218" s="8" t="s">
        <v>113</v>
      </c>
      <c r="C2218" s="19" t="n">
        <v>4</v>
      </c>
      <c r="D2218" s="19" t="n">
        <v>462.96</v>
      </c>
      <c r="E2218" s="19" t="n">
        <v>0</v>
      </c>
      <c r="F2218" s="19" t="n">
        <v>0</v>
      </c>
      <c r="G2218" s="8" t="str">
        <f aca="false">IFERROR(INDEX('TRANS'!$B:$B,MATCH($B2218,'TRANS'!$A:$A,0)),IFERROR(INDEX('TRANS'!$B:$B,MATCH(TRIM(SUBSTITUTE($B2218,CHAR(160)," ")),'TRANS'!$D:$D,0)),IFERROR(INDEX('Catalog'!$A:$A,MATCH($B2218,'Catalog'!$B:$B,0)),IFERROR(INDEX('Catalog'!$A:$A,MATCH(TRIM(SUBSTITUTE($B2218,CHAR(160)," ")),'Catalog'!$C:$C,0)),""))))</f>
        <v/>
      </c>
      <c r="H2218" s="8" t="str">
        <f aca="false">IFERROR(INDEX('TRANS'!$C:$C,MATCH($B2218,'TRANS'!$A:$A,0)),IFERROR(INDEX('Catalog'!$B:$B,MATCH($G2218,'Catalog'!$A:$A,0)),$B2218))</f>
        <v>30 XL</v>
      </c>
      <c r="I2218" s="8" t="str">
        <f aca="false">IF($G2218="","Unmatched","Matched")</f>
        <v>Unmatched</v>
      </c>
    </row>
    <row r="2219" customFormat="false" ht="15" hidden="false" customHeight="false" outlineLevel="0" collapsed="false">
      <c r="A2219" s="8" t="s">
        <v>918</v>
      </c>
      <c r="B2219" s="8" t="s">
        <v>791</v>
      </c>
      <c r="C2219" s="19" t="n">
        <v>0</v>
      </c>
      <c r="D2219" s="19" t="n">
        <v>0</v>
      </c>
      <c r="E2219" s="19" t="n">
        <v>3</v>
      </c>
      <c r="F2219" s="19" t="n">
        <v>336.7</v>
      </c>
      <c r="G2219" s="8" t="str">
        <f aca="false">IFERROR(INDEX('TRANS'!$B:$B,MATCH($B2219,'TRANS'!$A:$A,0)),IFERROR(INDEX('TRANS'!$B:$B,MATCH(TRIM(SUBSTITUTE($B2219,CHAR(160)," ")),'TRANS'!$D:$D,0)),IFERROR(INDEX('Catalog'!$A:$A,MATCH($B2219,'Catalog'!$B:$B,0)),IFERROR(INDEX('Catalog'!$A:$A,MATCH(TRIM(SUBSTITUTE($B2219,CHAR(160)," ")),'Catalog'!$C:$C,0)),""))))</f>
        <v/>
      </c>
      <c r="H2219" s="8" t="str">
        <f aca="false">IFERROR(INDEX('TRANS'!$C:$C,MATCH($B2219,'TRANS'!$A:$A,0)),IFERROR(INDEX('Catalog'!$B:$B,MATCH($G2219,'Catalog'!$A:$A,0)),$B2219))</f>
        <v>30 XXL</v>
      </c>
      <c r="I2219" s="8" t="str">
        <f aca="false">IF($G2219="","Unmatched","Matched")</f>
        <v>Unmatched</v>
      </c>
    </row>
    <row r="2220" customFormat="false" ht="15" hidden="false" customHeight="false" outlineLevel="0" collapsed="false">
      <c r="A2220" s="8" t="s">
        <v>918</v>
      </c>
      <c r="B2220" s="8" t="s">
        <v>943</v>
      </c>
      <c r="C2220" s="19" t="n">
        <v>0</v>
      </c>
      <c r="D2220" s="19" t="n">
        <v>0</v>
      </c>
      <c r="E2220" s="19" t="n">
        <v>20</v>
      </c>
      <c r="F2220" s="19" t="n">
        <v>0</v>
      </c>
      <c r="G2220" s="8" t="str">
        <f aca="false">IFERROR(INDEX('TRANS'!$B:$B,MATCH($B2220,'TRANS'!$A:$A,0)),IFERROR(INDEX('TRANS'!$B:$B,MATCH(TRIM(SUBSTITUTE($B2220,CHAR(160)," ")),'TRANS'!$D:$D,0)),IFERROR(INDEX('Catalog'!$A:$A,MATCH($B2220,'Catalog'!$B:$B,0)),IFERROR(INDEX('Catalog'!$A:$A,MATCH(TRIM(SUBSTITUTE($B2220,CHAR(160)," ")),'Catalog'!$C:$C,0)),""))))</f>
        <v/>
      </c>
      <c r="H2220" s="8" t="str">
        <f aca="false">IFERROR(INDEX('TRANS'!$C:$C,MATCH($B2220,'TRANS'!$A:$A,0)),IFERROR(INDEX('Catalog'!$B:$B,MATCH($G2220,'Catalog'!$A:$A,0)),$B2220))</f>
        <v>30 Days Trial</v>
      </c>
      <c r="I2220" s="8" t="str">
        <f aca="false">IF($G2220="","Unmatched","Matched")</f>
        <v>Unmatched</v>
      </c>
    </row>
    <row r="2221" customFormat="false" ht="15" hidden="false" customHeight="false" outlineLevel="0" collapsed="false">
      <c r="A2221" s="8" t="s">
        <v>918</v>
      </c>
      <c r="B2221" s="8" t="s">
        <v>944</v>
      </c>
      <c r="C2221" s="19" t="n">
        <v>0</v>
      </c>
      <c r="D2221" s="19" t="n">
        <v>0</v>
      </c>
      <c r="E2221" s="19" t="n">
        <v>1288</v>
      </c>
      <c r="F2221" s="19" t="n">
        <v>0</v>
      </c>
      <c r="G2221" s="8" t="str">
        <f aca="false">IFERROR(INDEX('TRANS'!$B:$B,MATCH($B2221,'TRANS'!$A:$A,0)),IFERROR(INDEX('TRANS'!$B:$B,MATCH(TRIM(SUBSTITUTE($B2221,CHAR(160)," ")),'TRANS'!$D:$D,0)),IFERROR(INDEX('Catalog'!$A:$A,MATCH($B2221,'Catalog'!$B:$B,0)),IFERROR(INDEX('Catalog'!$A:$A,MATCH(TRIM(SUBSTITUTE($B2221,CHAR(160)," ")),'Catalog'!$C:$C,0)),""))))</f>
        <v/>
      </c>
      <c r="H2221" s="8" t="str">
        <f aca="false">IFERROR(INDEX('TRANS'!$C:$C,MATCH($B2221,'TRANS'!$A:$A,0)),IFERROR(INDEX('Catalog'!$B:$B,MATCH($G2221,'Catalog'!$A:$A,0)),$B2221))</f>
        <v>30 Nights Trial</v>
      </c>
      <c r="I2221" s="8" t="str">
        <f aca="false">IF($G2221="","Unmatched","Matched")</f>
        <v>Unmatched</v>
      </c>
    </row>
    <row r="2222" customFormat="false" ht="15" hidden="false" customHeight="false" outlineLevel="0" collapsed="false">
      <c r="A2222" s="8" t="s">
        <v>918</v>
      </c>
      <c r="B2222" s="8" t="s">
        <v>353</v>
      </c>
      <c r="C2222" s="19" t="n">
        <v>14</v>
      </c>
      <c r="D2222" s="19" t="n">
        <v>1642.21</v>
      </c>
      <c r="E2222" s="19" t="n">
        <v>0</v>
      </c>
      <c r="F2222" s="19" t="n">
        <v>0</v>
      </c>
      <c r="G2222" s="8" t="n">
        <f aca="false">IFERROR(INDEX('TRANS'!$B:$B,MATCH($B2222,'TRANS'!$A:$A,0)),IFERROR(INDEX('TRANS'!$B:$B,MATCH(TRIM(SUBSTITUTE($B2222,CHAR(160)," ")),'TRANS'!$D:$D,0)),IFERROR(INDEX('Catalog'!$A:$A,MATCH($B2222,'Catalog'!$B:$B,0)),IFERROR(INDEX('Catalog'!$A:$A,MATCH(TRIM(SUBSTITUTE($B2222,CHAR(160)," ")),'Catalog'!$C:$C,0)),""))))</f>
        <v>4420036</v>
      </c>
      <c r="H2222" s="8" t="str">
        <f aca="false">IFERROR(INDEX('TRANS'!$C:$C,MATCH($B2222,'TRANS'!$A:$A,0)),IFERROR(INDEX('Catalog'!$B:$B,MATCH($G2222,'Catalog'!$A:$A,0)),$B2222))</f>
        <v>301CM 41-45 'רפידת ג'ל בז</v>
      </c>
      <c r="I2222" s="8" t="str">
        <f aca="false">IF($G2222="","Unmatched","Matched")</f>
        <v>Matched</v>
      </c>
    </row>
    <row r="2223" customFormat="false" ht="15" hidden="false" customHeight="false" outlineLevel="0" collapsed="false">
      <c r="A2223" s="8" t="s">
        <v>918</v>
      </c>
      <c r="B2223" s="8" t="s">
        <v>354</v>
      </c>
      <c r="C2223" s="19" t="n">
        <v>4</v>
      </c>
      <c r="D2223" s="19" t="n">
        <v>476.3</v>
      </c>
      <c r="E2223" s="19" t="n">
        <v>6</v>
      </c>
      <c r="F2223" s="19" t="n">
        <v>502.05</v>
      </c>
      <c r="G2223" s="8" t="n">
        <f aca="false">IFERROR(INDEX('TRANS'!$B:$B,MATCH($B2223,'TRANS'!$A:$A,0)),IFERROR(INDEX('TRANS'!$B:$B,MATCH(TRIM(SUBSTITUTE($B2223,CHAR(160)," ")),'TRANS'!$D:$D,0)),IFERROR(INDEX('Catalog'!$A:$A,MATCH($B2223,'Catalog'!$B:$B,0)),IFERROR(INDEX('Catalog'!$A:$A,MATCH(TRIM(SUBSTITUTE($B2223,CHAR(160)," ")),'Catalog'!$C:$C,0)),""))))</f>
        <v>4420035</v>
      </c>
      <c r="H2223" s="8" t="str">
        <f aca="false">IFERROR(INDEX('TRANS'!$C:$C,MATCH($B2223,'TRANS'!$A:$A,0)),IFERROR(INDEX('Catalog'!$B:$B,MATCH($G2223,'Catalog'!$A:$A,0)),$B2223))</f>
        <v>301CW 36-40 'רפידת ג'ל בז</v>
      </c>
      <c r="I2223" s="8" t="str">
        <f aca="false">IF($G2223="","Unmatched","Matched")</f>
        <v>Matched</v>
      </c>
    </row>
    <row r="2224" customFormat="false" ht="15" hidden="false" customHeight="false" outlineLevel="0" collapsed="false">
      <c r="A2224" s="8" t="s">
        <v>918</v>
      </c>
      <c r="B2224" s="8" t="s">
        <v>355</v>
      </c>
      <c r="C2224" s="19" t="n">
        <v>1</v>
      </c>
      <c r="D2224" s="19" t="n">
        <v>102.98</v>
      </c>
      <c r="E2224" s="19" t="n">
        <v>0</v>
      </c>
      <c r="F2224" s="19" t="n">
        <v>0</v>
      </c>
      <c r="G2224" s="8" t="str">
        <f aca="false">IFERROR(INDEX('TRANS'!$B:$B,MATCH($B2224,'TRANS'!$A:$A,0)),IFERROR(INDEX('TRANS'!$B:$B,MATCH(TRIM(SUBSTITUTE($B2224,CHAR(160)," ")),'TRANS'!$D:$D,0)),IFERROR(INDEX('Catalog'!$A:$A,MATCH($B2224,'Catalog'!$B:$B,0)),IFERROR(INDEX('Catalog'!$A:$A,MATCH(TRIM(SUBSTITUTE($B2224,CHAR(160)," ")),'Catalog'!$C:$C,0)),""))))</f>
        <v/>
      </c>
      <c r="H2224" s="8" t="str">
        <f aca="false">IFERROR(INDEX('TRANS'!$C:$C,MATCH($B2224,'TRANS'!$A:$A,0)),IFERROR(INDEX('Catalog'!$B:$B,MATCH($G2224,'Catalog'!$A:$A,0)),$B2224))</f>
        <v>301JM-41-45</v>
      </c>
      <c r="I2224" s="8" t="str">
        <f aca="false">IF($G2224="","Unmatched","Matched")</f>
        <v>Unmatched</v>
      </c>
    </row>
    <row r="2225" customFormat="false" ht="15" hidden="false" customHeight="false" outlineLevel="0" collapsed="false">
      <c r="A2225" s="8" t="s">
        <v>918</v>
      </c>
      <c r="B2225" s="8" t="s">
        <v>945</v>
      </c>
      <c r="C2225" s="19" t="n">
        <v>1</v>
      </c>
      <c r="D2225" s="19" t="n">
        <v>128.73</v>
      </c>
      <c r="E2225" s="19" t="n">
        <v>4</v>
      </c>
      <c r="F2225" s="19" t="n">
        <v>257.47</v>
      </c>
      <c r="G2225" s="8" t="n">
        <f aca="false">IFERROR(INDEX('TRANS'!$B:$B,MATCH($B2225,'TRANS'!$A:$A,0)),IFERROR(INDEX('TRANS'!$B:$B,MATCH(TRIM(SUBSTITUTE($B2225,CHAR(160)," ")),'TRANS'!$D:$D,0)),IFERROR(INDEX('Catalog'!$A:$A,MATCH($B2225,'Catalog'!$B:$B,0)),IFERROR(INDEX('Catalog'!$A:$A,MATCH(TRIM(SUBSTITUTE($B2225,CHAR(160)," ")),'Catalog'!$C:$C,0)),""))))</f>
        <v>4420037</v>
      </c>
      <c r="H2225" s="8" t="str">
        <f aca="false">IFERROR(INDEX('TRANS'!$C:$C,MATCH($B2225,'TRANS'!$A:$A,0)),IFERROR(INDEX('Catalog'!$B:$B,MATCH($G2225,'Catalog'!$A:$A,0)),$B2225))</f>
        <v>301JW רפידת ג'ל כחול36-40</v>
      </c>
      <c r="I2225" s="8" t="str">
        <f aca="false">IF($G2225="","Unmatched","Matched")</f>
        <v>Matched</v>
      </c>
    </row>
    <row r="2226" customFormat="false" ht="15" hidden="false" customHeight="false" outlineLevel="0" collapsed="false">
      <c r="A2226" s="8" t="s">
        <v>918</v>
      </c>
      <c r="B2226" s="8" t="s">
        <v>114</v>
      </c>
      <c r="C2226" s="19" t="n">
        <v>13</v>
      </c>
      <c r="D2226" s="19" t="n">
        <v>1570.5</v>
      </c>
      <c r="E2226" s="19" t="n">
        <v>16</v>
      </c>
      <c r="F2226" s="19" t="n">
        <v>1943.8</v>
      </c>
      <c r="G2226" s="8" t="n">
        <f aca="false">IFERROR(INDEX('TRANS'!$B:$B,MATCH($B2226,'TRANS'!$A:$A,0)),IFERROR(INDEX('TRANS'!$B:$B,MATCH(TRIM(SUBSTITUTE($B2226,CHAR(160)," ")),'TRANS'!$D:$D,0)),IFERROR(INDEX('Catalog'!$A:$A,MATCH($B2226,'Catalog'!$B:$B,0)),IFERROR(INDEX('Catalog'!$A:$A,MATCH(TRIM(SUBSTITUTE($B2226,CHAR(160)," ")),'Catalog'!$C:$C,0)),""))))</f>
        <v>4413348</v>
      </c>
      <c r="H2226" s="8" t="str">
        <f aca="false">IFERROR(INDEX('TRANS'!$C:$C,MATCH($B2226,'TRANS'!$A:$A,0)),IFERROR(INDEX('Catalog'!$B:$B,MATCH($G2226,'Catalog'!$A:$A,0)),$B2226))</f>
        <v>302 מדרס ג'ל לגבר</v>
      </c>
      <c r="I2226" s="8" t="str">
        <f aca="false">IF($G2226="","Unmatched","Matched")</f>
        <v>Matched</v>
      </c>
    </row>
    <row r="2227" customFormat="false" ht="15" hidden="false" customHeight="false" outlineLevel="0" collapsed="false">
      <c r="A2227" s="8" t="s">
        <v>918</v>
      </c>
      <c r="B2227" s="8" t="s">
        <v>115</v>
      </c>
      <c r="C2227" s="19" t="n">
        <v>3</v>
      </c>
      <c r="D2227" s="19" t="n">
        <v>367.11</v>
      </c>
      <c r="E2227" s="19" t="n">
        <v>9</v>
      </c>
      <c r="F2227" s="19" t="n">
        <v>1055.59</v>
      </c>
      <c r="G2227" s="8" t="n">
        <f aca="false">IFERROR(INDEX('TRANS'!$B:$B,MATCH($B2227,'TRANS'!$A:$A,0)),IFERROR(INDEX('TRANS'!$B:$B,MATCH(TRIM(SUBSTITUTE($B2227,CHAR(160)," ")),'TRANS'!$D:$D,0)),IFERROR(INDEX('Catalog'!$A:$A,MATCH($B2227,'Catalog'!$B:$B,0)),IFERROR(INDEX('Catalog'!$A:$A,MATCH(TRIM(SUBSTITUTE($B2227,CHAR(160)," ")),'Catalog'!$C:$C,0)),""))))</f>
        <v>4413372</v>
      </c>
      <c r="H2227" s="8" t="str">
        <f aca="false">IFERROR(INDEX('TRANS'!$C:$C,MATCH($B2227,'TRANS'!$A:$A,0)),IFERROR(INDEX('Catalog'!$B:$B,MATCH($G2227,'Catalog'!$A:$A,0)),$B2227))</f>
        <v>302 W מדרס לאישה</v>
      </c>
      <c r="I2227" s="8" t="str">
        <f aca="false">IF($G2227="","Unmatched","Matched")</f>
        <v>Matched</v>
      </c>
    </row>
    <row r="2228" customFormat="false" ht="15" hidden="false" customHeight="false" outlineLevel="0" collapsed="false">
      <c r="A2228" s="8" t="s">
        <v>918</v>
      </c>
      <c r="B2228" s="8" t="s">
        <v>581</v>
      </c>
      <c r="C2228" s="19" t="n">
        <v>1</v>
      </c>
      <c r="D2228" s="19" t="n">
        <v>182.17</v>
      </c>
      <c r="E2228" s="19" t="n">
        <v>0</v>
      </c>
      <c r="F2228" s="19" t="n">
        <v>0</v>
      </c>
      <c r="G2228" s="8" t="n">
        <f aca="false">IFERROR(INDEX('TRANS'!$B:$B,MATCH($B2228,'TRANS'!$A:$A,0)),IFERROR(INDEX('TRANS'!$B:$B,MATCH(TRIM(SUBSTITUTE($B2228,CHAR(160)," ")),'TRANS'!$D:$D,0)),IFERROR(INDEX('Catalog'!$A:$A,MATCH($B2228,'Catalog'!$B:$B,0)),IFERROR(INDEX('Catalog'!$A:$A,MATCH(TRIM(SUBSTITUTE($B2228,CHAR(160)," ")),'Catalog'!$C:$C,0)),""))))</f>
        <v>4413018</v>
      </c>
      <c r="H2228" s="8" t="str">
        <f aca="false">IFERROR(INDEX('TRANS'!$C:$C,MATCH($B2228,'TRANS'!$A:$A,0)),IFERROR(INDEX('Catalog'!$B:$B,MATCH($G2228,'Catalog'!$A:$A,0)),$B2228))</f>
        <v>303 37-38 מדרסי סיליק.לח.סכרת</v>
      </c>
      <c r="I2228" s="8" t="str">
        <f aca="false">IF($G2228="","Unmatched","Matched")</f>
        <v>Matched</v>
      </c>
    </row>
    <row r="2229" customFormat="false" ht="15" hidden="false" customHeight="false" outlineLevel="0" collapsed="false">
      <c r="A2229" s="8" t="s">
        <v>918</v>
      </c>
      <c r="B2229" s="8" t="s">
        <v>582</v>
      </c>
      <c r="C2229" s="19" t="n">
        <v>2</v>
      </c>
      <c r="D2229" s="19" t="n">
        <v>428.64</v>
      </c>
      <c r="E2229" s="19" t="n">
        <v>1</v>
      </c>
      <c r="F2229" s="19" t="n">
        <v>192.89</v>
      </c>
      <c r="G2229" s="8" t="str">
        <f aca="false">IFERROR(INDEX('TRANS'!$B:$B,MATCH($B2229,'TRANS'!$A:$A,0)),IFERROR(INDEX('TRANS'!$B:$B,MATCH(TRIM(SUBSTITUTE($B2229,CHAR(160)," ")),'TRANS'!$D:$D,0)),IFERROR(INDEX('Catalog'!$A:$A,MATCH($B2229,'Catalog'!$B:$B,0)),IFERROR(INDEX('Catalog'!$A:$A,MATCH(TRIM(SUBSTITUTE($B2229,CHAR(160)," ")),'Catalog'!$C:$C,0)),""))))</f>
        <v/>
      </c>
      <c r="H2229" s="8" t="str">
        <f aca="false">IFERROR(INDEX('TRANS'!$C:$C,MATCH($B2229,'TRANS'!$A:$A,0)),IFERROR(INDEX('Catalog'!$B:$B,MATCH($G2229,'Catalog'!$A:$A,0)),$B2229))</f>
        <v>303-39-40</v>
      </c>
      <c r="I2229" s="8" t="str">
        <f aca="false">IF($G2229="","Unmatched","Matched")</f>
        <v>Unmatched</v>
      </c>
    </row>
    <row r="2230" customFormat="false" ht="15" hidden="false" customHeight="false" outlineLevel="0" collapsed="false">
      <c r="A2230" s="8" t="s">
        <v>918</v>
      </c>
      <c r="B2230" s="8" t="s">
        <v>583</v>
      </c>
      <c r="C2230" s="19" t="n">
        <v>2</v>
      </c>
      <c r="D2230" s="19" t="n">
        <v>428.64</v>
      </c>
      <c r="E2230" s="19" t="n">
        <v>3</v>
      </c>
      <c r="F2230" s="19" t="n">
        <v>600.09</v>
      </c>
      <c r="G2230" s="8" t="n">
        <f aca="false">IFERROR(INDEX('TRANS'!$B:$B,MATCH($B2230,'TRANS'!$A:$A,0)),IFERROR(INDEX('TRANS'!$B:$B,MATCH(TRIM(SUBSTITUTE($B2230,CHAR(160)," ")),'TRANS'!$D:$D,0)),IFERROR(INDEX('Catalog'!$A:$A,MATCH($B2230,'Catalog'!$B:$B,0)),IFERROR(INDEX('Catalog'!$A:$A,MATCH(TRIM(SUBSTITUTE($B2230,CHAR(160)," ")),'Catalog'!$C:$C,0)),""))))</f>
        <v>4413020</v>
      </c>
      <c r="H2230" s="8" t="str">
        <f aca="false">IFERROR(INDEX('TRANS'!$C:$C,MATCH($B2230,'TRANS'!$A:$A,0)),IFERROR(INDEX('Catalog'!$B:$B,MATCH($G2230,'Catalog'!$A:$A,0)),$B2230))</f>
        <v>303 41-42 מדרסי סיליק.לח.סכרת</v>
      </c>
      <c r="I2230" s="8" t="str">
        <f aca="false">IF($G2230="","Unmatched","Matched")</f>
        <v>Matched</v>
      </c>
    </row>
    <row r="2231" customFormat="false" ht="15" hidden="false" customHeight="false" outlineLevel="0" collapsed="false">
      <c r="A2231" s="8" t="s">
        <v>918</v>
      </c>
      <c r="B2231" s="8" t="s">
        <v>584</v>
      </c>
      <c r="C2231" s="19" t="n">
        <v>4</v>
      </c>
      <c r="D2231" s="19" t="n">
        <v>782.27</v>
      </c>
      <c r="E2231" s="19" t="n">
        <v>3</v>
      </c>
      <c r="F2231" s="19" t="n">
        <v>447.32</v>
      </c>
      <c r="G2231" s="8" t="str">
        <f aca="false">IFERROR(INDEX('TRANS'!$B:$B,MATCH($B2231,'TRANS'!$A:$A,0)),IFERROR(INDEX('TRANS'!$B:$B,MATCH(TRIM(SUBSTITUTE($B2231,CHAR(160)," ")),'TRANS'!$D:$D,0)),IFERROR(INDEX('Catalog'!$A:$A,MATCH($B2231,'Catalog'!$B:$B,0)),IFERROR(INDEX('Catalog'!$A:$A,MATCH(TRIM(SUBSTITUTE($B2231,CHAR(160)," ")),'Catalog'!$C:$C,0)),""))))</f>
        <v/>
      </c>
      <c r="H2231" s="8" t="str">
        <f aca="false">IFERROR(INDEX('TRANS'!$C:$C,MATCH($B2231,'TRANS'!$A:$A,0)),IFERROR(INDEX('Catalog'!$B:$B,MATCH($G2231,'Catalog'!$A:$A,0)),$B2231))</f>
        <v>303-43-44</v>
      </c>
      <c r="I2231" s="8" t="str">
        <f aca="false">IF($G2231="","Unmatched","Matched")</f>
        <v>Unmatched</v>
      </c>
    </row>
    <row r="2232" customFormat="false" ht="15" hidden="false" customHeight="false" outlineLevel="0" collapsed="false">
      <c r="A2232" s="8" t="s">
        <v>918</v>
      </c>
      <c r="B2232" s="8" t="s">
        <v>585</v>
      </c>
      <c r="C2232" s="19" t="n">
        <v>4</v>
      </c>
      <c r="D2232" s="19" t="n">
        <v>814.42</v>
      </c>
      <c r="E2232" s="19" t="n">
        <v>7</v>
      </c>
      <c r="F2232" s="19" t="n">
        <v>1282.81</v>
      </c>
      <c r="G2232" s="8" t="n">
        <f aca="false">IFERROR(INDEX('TRANS'!$B:$B,MATCH($B2232,'TRANS'!$A:$A,0)),IFERROR(INDEX('TRANS'!$B:$B,MATCH(TRIM(SUBSTITUTE($B2232,CHAR(160)," ")),'TRANS'!$D:$D,0)),IFERROR(INDEX('Catalog'!$A:$A,MATCH($B2232,'Catalog'!$B:$B,0)),IFERROR(INDEX('Catalog'!$A:$A,MATCH(TRIM(SUBSTITUTE($B2232,CHAR(160)," ")),'Catalog'!$C:$C,0)),""))))</f>
        <v>4413022</v>
      </c>
      <c r="H2232" s="8" t="str">
        <f aca="false">IFERROR(INDEX('TRANS'!$C:$C,MATCH($B2232,'TRANS'!$A:$A,0)),IFERROR(INDEX('Catalog'!$B:$B,MATCH($G2232,'Catalog'!$A:$A,0)),$B2232))</f>
        <v>303 45-46 מדרסי סיליק.לח.סכרת</v>
      </c>
      <c r="I2232" s="8" t="str">
        <f aca="false">IF($G2232="","Unmatched","Matched")</f>
        <v>Matched</v>
      </c>
    </row>
    <row r="2233" customFormat="false" ht="15" hidden="false" customHeight="false" outlineLevel="0" collapsed="false">
      <c r="A2233" s="8" t="s">
        <v>918</v>
      </c>
      <c r="B2233" s="8" t="s">
        <v>356</v>
      </c>
      <c r="C2233" s="19" t="n">
        <v>0</v>
      </c>
      <c r="D2233" s="19" t="n">
        <v>0</v>
      </c>
      <c r="E2233" s="19" t="n">
        <v>4</v>
      </c>
      <c r="F2233" s="19" t="n">
        <v>618.33</v>
      </c>
      <c r="G2233" s="8" t="str">
        <f aca="false">IFERROR(INDEX('TRANS'!$B:$B,MATCH($B2233,'TRANS'!$A:$A,0)),IFERROR(INDEX('TRANS'!$B:$B,MATCH(TRIM(SUBSTITUTE($B2233,CHAR(160)," ")),'TRANS'!$D:$D,0)),IFERROR(INDEX('Catalog'!$A:$A,MATCH($B2233,'Catalog'!$B:$B,0)),IFERROR(INDEX('Catalog'!$A:$A,MATCH(TRIM(SUBSTITUTE($B2233,CHAR(160)," ")),'Catalog'!$C:$C,0)),""))))</f>
        <v/>
      </c>
      <c r="H2233" s="8" t="str">
        <f aca="false">IFERROR(INDEX('TRANS'!$C:$C,MATCH($B2233,'TRANS'!$A:$A,0)),IFERROR(INDEX('Catalog'!$B:$B,MATCH($G2233,'Catalog'!$A:$A,0)),$B2233))</f>
        <v>305-35-36</v>
      </c>
      <c r="I2233" s="8" t="str">
        <f aca="false">IF($G2233="","Unmatched","Matched")</f>
        <v>Unmatched</v>
      </c>
    </row>
    <row r="2234" customFormat="false" ht="15" hidden="false" customHeight="false" outlineLevel="0" collapsed="false">
      <c r="A2234" s="8" t="s">
        <v>918</v>
      </c>
      <c r="B2234" s="8" t="s">
        <v>946</v>
      </c>
      <c r="C2234" s="19" t="n">
        <v>0</v>
      </c>
      <c r="D2234" s="19" t="n">
        <v>0</v>
      </c>
      <c r="E2234" s="19" t="n">
        <v>5</v>
      </c>
      <c r="F2234" s="19" t="n">
        <v>796.21</v>
      </c>
      <c r="G2234" s="8" t="str">
        <f aca="false">IFERROR(INDEX('TRANS'!$B:$B,MATCH($B2234,'TRANS'!$A:$A,0)),IFERROR(INDEX('TRANS'!$B:$B,MATCH(TRIM(SUBSTITUTE($B2234,CHAR(160)," ")),'TRANS'!$D:$D,0)),IFERROR(INDEX('Catalog'!$A:$A,MATCH($B2234,'Catalog'!$B:$B,0)),IFERROR(INDEX('Catalog'!$A:$A,MATCH(TRIM(SUBSTITUTE($B2234,CHAR(160)," ")),'Catalog'!$C:$C,0)),""))))</f>
        <v/>
      </c>
      <c r="H2234" s="8" t="str">
        <f aca="false">IFERROR(INDEX('TRANS'!$C:$C,MATCH($B2234,'TRANS'!$A:$A,0)),IFERROR(INDEX('Catalog'!$B:$B,MATCH($G2234,'Catalog'!$A:$A,0)),$B2234))</f>
        <v>305-37-38</v>
      </c>
      <c r="I2234" s="8" t="str">
        <f aca="false">IF($G2234="","Unmatched","Matched")</f>
        <v>Unmatched</v>
      </c>
    </row>
    <row r="2235" customFormat="false" ht="15" hidden="false" customHeight="false" outlineLevel="0" collapsed="false">
      <c r="A2235" s="8" t="s">
        <v>918</v>
      </c>
      <c r="B2235" s="8" t="s">
        <v>947</v>
      </c>
      <c r="C2235" s="19" t="n">
        <v>0</v>
      </c>
      <c r="D2235" s="19" t="n">
        <v>0</v>
      </c>
      <c r="E2235" s="19" t="n">
        <v>10</v>
      </c>
      <c r="F2235" s="19" t="n">
        <v>1660.18</v>
      </c>
      <c r="G2235" s="8" t="str">
        <f aca="false">IFERROR(INDEX('TRANS'!$B:$B,MATCH($B2235,'TRANS'!$A:$A,0)),IFERROR(INDEX('TRANS'!$B:$B,MATCH(TRIM(SUBSTITUTE($B2235,CHAR(160)," ")),'TRANS'!$D:$D,0)),IFERROR(INDEX('Catalog'!$A:$A,MATCH($B2235,'Catalog'!$B:$B,0)),IFERROR(INDEX('Catalog'!$A:$A,MATCH(TRIM(SUBSTITUTE($B2235,CHAR(160)," ")),'Catalog'!$C:$C,0)),""))))</f>
        <v/>
      </c>
      <c r="H2235" s="8" t="str">
        <f aca="false">IFERROR(INDEX('TRANS'!$C:$C,MATCH($B2235,'TRANS'!$A:$A,0)),IFERROR(INDEX('Catalog'!$B:$B,MATCH($G2235,'Catalog'!$A:$A,0)),$B2235))</f>
        <v>305-39-40</v>
      </c>
      <c r="I2235" s="8" t="str">
        <f aca="false">IF($G2235="","Unmatched","Matched")</f>
        <v>Unmatched</v>
      </c>
    </row>
    <row r="2236" customFormat="false" ht="15" hidden="false" customHeight="false" outlineLevel="0" collapsed="false">
      <c r="A2236" s="8" t="s">
        <v>918</v>
      </c>
      <c r="B2236" s="8" t="s">
        <v>780</v>
      </c>
      <c r="C2236" s="19" t="n">
        <v>0</v>
      </c>
      <c r="D2236" s="19" t="n">
        <v>0</v>
      </c>
      <c r="E2236" s="19" t="n">
        <v>17</v>
      </c>
      <c r="F2236" s="19" t="n">
        <v>2752.89</v>
      </c>
      <c r="G2236" s="8" t="str">
        <f aca="false">IFERROR(INDEX('TRANS'!$B:$B,MATCH($B2236,'TRANS'!$A:$A,0)),IFERROR(INDEX('TRANS'!$B:$B,MATCH(TRIM(SUBSTITUTE($B2236,CHAR(160)," ")),'TRANS'!$D:$D,0)),IFERROR(INDEX('Catalog'!$A:$A,MATCH($B2236,'Catalog'!$B:$B,0)),IFERROR(INDEX('Catalog'!$A:$A,MATCH(TRIM(SUBSTITUTE($B2236,CHAR(160)," ")),'Catalog'!$C:$C,0)),""))))</f>
        <v/>
      </c>
      <c r="H2236" s="8" t="str">
        <f aca="false">IFERROR(INDEX('TRANS'!$C:$C,MATCH($B2236,'TRANS'!$A:$A,0)),IFERROR(INDEX('Catalog'!$B:$B,MATCH($G2236,'Catalog'!$A:$A,0)),$B2236))</f>
        <v>305-41-42</v>
      </c>
      <c r="I2236" s="8" t="str">
        <f aca="false">IF($G2236="","Unmatched","Matched")</f>
        <v>Unmatched</v>
      </c>
    </row>
    <row r="2237" customFormat="false" ht="15" hidden="false" customHeight="false" outlineLevel="0" collapsed="false">
      <c r="A2237" s="8" t="s">
        <v>918</v>
      </c>
      <c r="B2237" s="8" t="s">
        <v>948</v>
      </c>
      <c r="C2237" s="19" t="n">
        <v>0</v>
      </c>
      <c r="D2237" s="19" t="n">
        <v>0</v>
      </c>
      <c r="E2237" s="19" t="n">
        <v>16</v>
      </c>
      <c r="F2237" s="19" t="n">
        <v>2524.16</v>
      </c>
      <c r="G2237" s="8" t="str">
        <f aca="false">IFERROR(INDEX('TRANS'!$B:$B,MATCH($B2237,'TRANS'!$A:$A,0)),IFERROR(INDEX('TRANS'!$B:$B,MATCH(TRIM(SUBSTITUTE($B2237,CHAR(160)," ")),'TRANS'!$D:$D,0)),IFERROR(INDEX('Catalog'!$A:$A,MATCH($B2237,'Catalog'!$B:$B,0)),IFERROR(INDEX('Catalog'!$A:$A,MATCH(TRIM(SUBSTITUTE($B2237,CHAR(160)," ")),'Catalog'!$C:$C,0)),""))))</f>
        <v/>
      </c>
      <c r="H2237" s="8" t="str">
        <f aca="false">IFERROR(INDEX('TRANS'!$C:$C,MATCH($B2237,'TRANS'!$A:$A,0)),IFERROR(INDEX('Catalog'!$B:$B,MATCH($G2237,'Catalog'!$A:$A,0)),$B2237))</f>
        <v>305-43-44</v>
      </c>
      <c r="I2237" s="8" t="str">
        <f aca="false">IF($G2237="","Unmatched","Matched")</f>
        <v>Unmatched</v>
      </c>
    </row>
    <row r="2238" customFormat="false" ht="15" hidden="false" customHeight="false" outlineLevel="0" collapsed="false">
      <c r="A2238" s="8" t="s">
        <v>918</v>
      </c>
      <c r="B2238" s="8" t="s">
        <v>949</v>
      </c>
      <c r="C2238" s="19" t="n">
        <v>0</v>
      </c>
      <c r="D2238" s="19" t="n">
        <v>0</v>
      </c>
      <c r="E2238" s="19" t="n">
        <v>5</v>
      </c>
      <c r="F2238" s="19" t="n">
        <v>746.67</v>
      </c>
      <c r="G2238" s="8" t="str">
        <f aca="false">IFERROR(INDEX('TRANS'!$B:$B,MATCH($B2238,'TRANS'!$A:$A,0)),IFERROR(INDEX('TRANS'!$B:$B,MATCH(TRIM(SUBSTITUTE($B2238,CHAR(160)," ")),'TRANS'!$D:$D,0)),IFERROR(INDEX('Catalog'!$A:$A,MATCH($B2238,'Catalog'!$B:$B,0)),IFERROR(INDEX('Catalog'!$A:$A,MATCH(TRIM(SUBSTITUTE($B2238,CHAR(160)," ")),'Catalog'!$C:$C,0)),""))))</f>
        <v/>
      </c>
      <c r="H2238" s="8" t="str">
        <f aca="false">IFERROR(INDEX('TRANS'!$C:$C,MATCH($B2238,'TRANS'!$A:$A,0)),IFERROR(INDEX('Catalog'!$B:$B,MATCH($G2238,'Catalog'!$A:$A,0)),$B2238))</f>
        <v>305-45-46</v>
      </c>
      <c r="I2238" s="8" t="str">
        <f aca="false">IF($G2238="","Unmatched","Matched")</f>
        <v>Unmatched</v>
      </c>
    </row>
    <row r="2239" customFormat="false" ht="15" hidden="false" customHeight="false" outlineLevel="0" collapsed="false">
      <c r="A2239" s="8" t="s">
        <v>918</v>
      </c>
      <c r="B2239" s="8" t="s">
        <v>623</v>
      </c>
      <c r="C2239" s="19" t="n">
        <v>1</v>
      </c>
      <c r="D2239" s="19" t="n">
        <v>169.41</v>
      </c>
      <c r="E2239" s="19" t="n">
        <v>5</v>
      </c>
      <c r="F2239" s="19" t="n">
        <v>770.8</v>
      </c>
      <c r="G2239" s="8" t="str">
        <f aca="false">IFERROR(INDEX('TRANS'!$B:$B,MATCH($B2239,'TRANS'!$A:$A,0)),IFERROR(INDEX('TRANS'!$B:$B,MATCH(TRIM(SUBSTITUTE($B2239,CHAR(160)," ")),'TRANS'!$D:$D,0)),IFERROR(INDEX('Catalog'!$A:$A,MATCH($B2239,'Catalog'!$B:$B,0)),IFERROR(INDEX('Catalog'!$A:$A,MATCH(TRIM(SUBSTITUTE($B2239,CHAR(160)," ")),'Catalog'!$C:$C,0)),""))))</f>
        <v/>
      </c>
      <c r="H2239" s="8" t="str">
        <f aca="false">IFERROR(INDEX('TRANS'!$C:$C,MATCH($B2239,'TRANS'!$A:$A,0)),IFERROR(INDEX('Catalog'!$B:$B,MATCH($G2239,'Catalog'!$A:$A,0)),$B2239))</f>
        <v>305GA-35-36</v>
      </c>
      <c r="I2239" s="8" t="str">
        <f aca="false">IF($G2239="","Unmatched","Matched")</f>
        <v>Unmatched</v>
      </c>
    </row>
    <row r="2240" customFormat="false" ht="15" hidden="false" customHeight="false" outlineLevel="0" collapsed="false">
      <c r="A2240" s="8" t="s">
        <v>918</v>
      </c>
      <c r="B2240" s="8" t="s">
        <v>624</v>
      </c>
      <c r="C2240" s="19" t="n">
        <v>10</v>
      </c>
      <c r="D2240" s="19" t="n">
        <v>1558.57</v>
      </c>
      <c r="E2240" s="19" t="n">
        <v>4</v>
      </c>
      <c r="F2240" s="19" t="n">
        <v>660.7</v>
      </c>
      <c r="G2240" s="8" t="n">
        <f aca="false">IFERROR(INDEX('TRANS'!$B:$B,MATCH($B2240,'TRANS'!$A:$A,0)),IFERROR(INDEX('TRANS'!$B:$B,MATCH(TRIM(SUBSTITUTE($B2240,CHAR(160)," ")),'TRANS'!$D:$D,0)),IFERROR(INDEX('Catalog'!$A:$A,MATCH($B2240,'Catalog'!$B:$B,0)),IFERROR(INDEX('Catalog'!$A:$A,MATCH(TRIM(SUBSTITUTE($B2240,CHAR(160)," ")),'Catalog'!$C:$C,0)),""))))</f>
        <v>4413154</v>
      </c>
      <c r="H2240" s="8" t="str">
        <f aca="false">IFERROR(INDEX('TRANS'!$C:$C,MATCH($B2240,'TRANS'!$A:$A,0)),IFERROR(INDEX('Catalog'!$B:$B,MATCH($G2240,'Catalog'!$A:$A,0)),$B2240))</f>
        <v>305GA מדרס אורטופ.מתכוון37-38</v>
      </c>
      <c r="I2240" s="8" t="str">
        <f aca="false">IF($G2240="","Unmatched","Matched")</f>
        <v>Matched</v>
      </c>
    </row>
    <row r="2241" customFormat="false" ht="15" hidden="false" customHeight="false" outlineLevel="0" collapsed="false">
      <c r="A2241" s="8" t="s">
        <v>918</v>
      </c>
      <c r="B2241" s="8" t="s">
        <v>116</v>
      </c>
      <c r="C2241" s="19" t="n">
        <v>13</v>
      </c>
      <c r="D2241" s="19" t="n">
        <v>1939.76</v>
      </c>
      <c r="E2241" s="19" t="n">
        <v>9</v>
      </c>
      <c r="F2241" s="19" t="n">
        <v>1377.27</v>
      </c>
      <c r="G2241" s="8" t="n">
        <f aca="false">IFERROR(INDEX('TRANS'!$B:$B,MATCH($B2241,'TRANS'!$A:$A,0)),IFERROR(INDEX('TRANS'!$B:$B,MATCH(TRIM(SUBSTITUTE($B2241,CHAR(160)," ")),'TRANS'!$D:$D,0)),IFERROR(INDEX('Catalog'!$A:$A,MATCH($B2241,'Catalog'!$B:$B,0)),IFERROR(INDEX('Catalog'!$A:$A,MATCH(TRIM(SUBSTITUTE($B2241,CHAR(160)," ")),'Catalog'!$C:$C,0)),""))))</f>
        <v>4413155</v>
      </c>
      <c r="H2241" s="8" t="str">
        <f aca="false">IFERROR(INDEX('TRANS'!$C:$C,MATCH($B2241,'TRANS'!$A:$A,0)),IFERROR(INDEX('Catalog'!$B:$B,MATCH($G2241,'Catalog'!$A:$A,0)),$B2241))</f>
        <v>305GA מדרס אורטופ.מתכוון39-40</v>
      </c>
      <c r="I2241" s="8" t="str">
        <f aca="false">IF($G2241="","Unmatched","Matched")</f>
        <v>Matched</v>
      </c>
    </row>
    <row r="2242" customFormat="false" ht="15" hidden="false" customHeight="false" outlineLevel="0" collapsed="false">
      <c r="A2242" s="8" t="s">
        <v>918</v>
      </c>
      <c r="B2242" s="8" t="s">
        <v>117</v>
      </c>
      <c r="C2242" s="19" t="n">
        <v>23</v>
      </c>
      <c r="D2242" s="19" t="n">
        <v>3618.11</v>
      </c>
      <c r="E2242" s="19" t="n">
        <v>11</v>
      </c>
      <c r="F2242" s="19" t="n">
        <v>1753.37</v>
      </c>
      <c r="G2242" s="8" t="n">
        <f aca="false">IFERROR(INDEX('TRANS'!$B:$B,MATCH($B2242,'TRANS'!$A:$A,0)),IFERROR(INDEX('TRANS'!$B:$B,MATCH(TRIM(SUBSTITUTE($B2242,CHAR(160)," ")),'TRANS'!$D:$D,0)),IFERROR(INDEX('Catalog'!$A:$A,MATCH($B2242,'Catalog'!$B:$B,0)),IFERROR(INDEX('Catalog'!$A:$A,MATCH(TRIM(SUBSTITUTE($B2242,CHAR(160)," ")),'Catalog'!$C:$C,0)),""))))</f>
        <v>4413156</v>
      </c>
      <c r="H2242" s="8" t="str">
        <f aca="false">IFERROR(INDEX('TRANS'!$C:$C,MATCH($B2242,'TRANS'!$A:$A,0)),IFERROR(INDEX('Catalog'!$B:$B,MATCH($G2242,'Catalog'!$A:$A,0)),$B2242))</f>
        <v>305GA מדרס אורטופ.מתכוון41-42</v>
      </c>
      <c r="I2242" s="8" t="str">
        <f aca="false">IF($G2242="","Unmatched","Matched")</f>
        <v>Matched</v>
      </c>
    </row>
    <row r="2243" customFormat="false" ht="15" hidden="false" customHeight="false" outlineLevel="0" collapsed="false">
      <c r="A2243" s="8" t="s">
        <v>918</v>
      </c>
      <c r="B2243" s="8" t="s">
        <v>118</v>
      </c>
      <c r="C2243" s="19" t="n">
        <v>32</v>
      </c>
      <c r="D2243" s="19" t="n">
        <v>4917.04</v>
      </c>
      <c r="E2243" s="19" t="n">
        <v>15</v>
      </c>
      <c r="F2243" s="19" t="n">
        <v>2312.44</v>
      </c>
      <c r="G2243" s="8" t="n">
        <f aca="false">IFERROR(INDEX('TRANS'!$B:$B,MATCH($B2243,'TRANS'!$A:$A,0)),IFERROR(INDEX('TRANS'!$B:$B,MATCH(TRIM(SUBSTITUTE($B2243,CHAR(160)," ")),'TRANS'!$D:$D,0)),IFERROR(INDEX('Catalog'!$A:$A,MATCH($B2243,'Catalog'!$B:$B,0)),IFERROR(INDEX('Catalog'!$A:$A,MATCH(TRIM(SUBSTITUTE($B2243,CHAR(160)," ")),'Catalog'!$C:$C,0)),""))))</f>
        <v>4413157</v>
      </c>
      <c r="H2243" s="8" t="str">
        <f aca="false">IFERROR(INDEX('TRANS'!$C:$C,MATCH($B2243,'TRANS'!$A:$A,0)),IFERROR(INDEX('Catalog'!$B:$B,MATCH($G2243,'Catalog'!$A:$A,0)),$B2243))</f>
        <v>305GA מדרס אורטופ.מתכוון43-44</v>
      </c>
      <c r="I2243" s="8" t="str">
        <f aca="false">IF($G2243="","Unmatched","Matched")</f>
        <v>Matched</v>
      </c>
    </row>
    <row r="2244" customFormat="false" ht="15" hidden="false" customHeight="false" outlineLevel="0" collapsed="false">
      <c r="A2244" s="8" t="s">
        <v>918</v>
      </c>
      <c r="B2244" s="8" t="s">
        <v>119</v>
      </c>
      <c r="C2244" s="19" t="n">
        <v>24</v>
      </c>
      <c r="D2244" s="19" t="n">
        <v>3765.85</v>
      </c>
      <c r="E2244" s="19" t="n">
        <v>18</v>
      </c>
      <c r="F2244" s="19" t="n">
        <v>2854.56</v>
      </c>
      <c r="G2244" s="8" t="n">
        <f aca="false">IFERROR(INDEX('TRANS'!$B:$B,MATCH($B2244,'TRANS'!$A:$A,0)),IFERROR(INDEX('TRANS'!$B:$B,MATCH(TRIM(SUBSTITUTE($B2244,CHAR(160)," ")),'TRANS'!$D:$D,0)),IFERROR(INDEX('Catalog'!$A:$A,MATCH($B2244,'Catalog'!$B:$B,0)),IFERROR(INDEX('Catalog'!$A:$A,MATCH(TRIM(SUBSTITUTE($B2244,CHAR(160)," ")),'Catalog'!$C:$C,0)),""))))</f>
        <v>4413158</v>
      </c>
      <c r="H2244" s="8" t="str">
        <f aca="false">IFERROR(INDEX('TRANS'!$C:$C,MATCH($B2244,'TRANS'!$A:$A,0)),IFERROR(INDEX('Catalog'!$B:$B,MATCH($G2244,'Catalog'!$A:$A,0)),$B2244))</f>
        <v>305GA מדרס אורטופ.מתכוון45-46</v>
      </c>
      <c r="I2244" s="8" t="str">
        <f aca="false">IF($G2244="","Unmatched","Matched")</f>
        <v>Matched</v>
      </c>
    </row>
    <row r="2245" customFormat="false" ht="15" hidden="false" customHeight="false" outlineLevel="0" collapsed="false">
      <c r="A2245" s="8" t="s">
        <v>918</v>
      </c>
      <c r="B2245" s="8" t="s">
        <v>120</v>
      </c>
      <c r="C2245" s="19" t="n">
        <v>12</v>
      </c>
      <c r="D2245" s="19" t="n">
        <v>1927.23</v>
      </c>
      <c r="E2245" s="19" t="n">
        <v>14</v>
      </c>
      <c r="F2245" s="19" t="n">
        <v>2277.7</v>
      </c>
      <c r="G2245" s="8" t="n">
        <f aca="false">IFERROR(INDEX('TRANS'!$B:$B,MATCH($B2245,'TRANS'!$A:$A,0)),IFERROR(INDEX('TRANS'!$B:$B,MATCH(TRIM(SUBSTITUTE($B2245,CHAR(160)," ")),'TRANS'!$D:$D,0)),IFERROR(INDEX('Catalog'!$A:$A,MATCH($B2245,'Catalog'!$B:$B,0)),IFERROR(INDEX('Catalog'!$A:$A,MATCH(TRIM(SUBSTITUTE($B2245,CHAR(160)," ")),'Catalog'!$C:$C,0)),""))))</f>
        <v>4416000</v>
      </c>
      <c r="H2245" s="8" t="str">
        <f aca="false">IFERROR(INDEX('TRANS'!$C:$C,MATCH($B2245,'TRANS'!$A:$A,0)),IFERROR(INDEX('Catalog'!$B:$B,MATCH($G2245,'Catalog'!$A:$A,0)),$B2245))</f>
        <v>307 L עקבים לדורבן-זוג כריות</v>
      </c>
      <c r="I2245" s="8" t="str">
        <f aca="false">IF($G2245="","Unmatched","Matched")</f>
        <v>Matched</v>
      </c>
    </row>
    <row r="2246" customFormat="false" ht="15" hidden="false" customHeight="false" outlineLevel="0" collapsed="false">
      <c r="A2246" s="8" t="s">
        <v>918</v>
      </c>
      <c r="B2246" s="8" t="s">
        <v>121</v>
      </c>
      <c r="C2246" s="19" t="n">
        <v>17</v>
      </c>
      <c r="D2246" s="19" t="n">
        <v>2561.29</v>
      </c>
      <c r="E2246" s="19" t="n">
        <v>15</v>
      </c>
      <c r="F2246" s="19" t="n">
        <v>2411.17</v>
      </c>
      <c r="G2246" s="8" t="n">
        <f aca="false">IFERROR(INDEX('TRANS'!$B:$B,MATCH($B2246,'TRANS'!$A:$A,0)),IFERROR(INDEX('TRANS'!$B:$B,MATCH(TRIM(SUBSTITUTE($B2246,CHAR(160)," ")),'TRANS'!$D:$D,0)),IFERROR(INDEX('Catalog'!$A:$A,MATCH($B2246,'Catalog'!$B:$B,0)),IFERROR(INDEX('Catalog'!$A:$A,MATCH(TRIM(SUBSTITUTE($B2246,CHAR(160)," ")),'Catalog'!$C:$C,0)),""))))</f>
        <v>4416001</v>
      </c>
      <c r="H2246" s="8" t="str">
        <f aca="false">IFERROR(INDEX('TRANS'!$C:$C,MATCH($B2246,'TRANS'!$A:$A,0)),IFERROR(INDEX('Catalog'!$B:$B,MATCH($G2246,'Catalog'!$A:$A,0)),$B2246))</f>
        <v>307 M עקבים לדורבן-זוג כריות</v>
      </c>
      <c r="I2246" s="8" t="str">
        <f aca="false">IF($G2246="","Unmatched","Matched")</f>
        <v>Matched</v>
      </c>
    </row>
    <row r="2247" customFormat="false" ht="15" hidden="false" customHeight="false" outlineLevel="0" collapsed="false">
      <c r="A2247" s="8" t="s">
        <v>918</v>
      </c>
      <c r="B2247" s="8" t="s">
        <v>647</v>
      </c>
      <c r="C2247" s="19" t="n">
        <v>3</v>
      </c>
      <c r="D2247" s="19" t="n">
        <v>475.55</v>
      </c>
      <c r="E2247" s="19" t="n">
        <v>2</v>
      </c>
      <c r="F2247" s="19" t="n">
        <v>317.05</v>
      </c>
      <c r="G2247" s="8" t="n">
        <f aca="false">IFERROR(INDEX('TRANS'!$B:$B,MATCH($B2247,'TRANS'!$A:$A,0)),IFERROR(INDEX('TRANS'!$B:$B,MATCH(TRIM(SUBSTITUTE($B2247,CHAR(160)," ")),'TRANS'!$D:$D,0)),IFERROR(INDEX('Catalog'!$A:$A,MATCH($B2247,'Catalog'!$B:$B,0)),IFERROR(INDEX('Catalog'!$A:$A,MATCH(TRIM(SUBSTITUTE($B2247,CHAR(160)," ")),'Catalog'!$C:$C,0)),""))))</f>
        <v>4416002</v>
      </c>
      <c r="H2247" s="8" t="str">
        <f aca="false">IFERROR(INDEX('TRANS'!$C:$C,MATCH($B2247,'TRANS'!$A:$A,0)),IFERROR(INDEX('Catalog'!$B:$B,MATCH($G2247,'Catalog'!$A:$A,0)),$B2247))</f>
        <v>307 S עקבים לדורבן-זוג כריות</v>
      </c>
      <c r="I2247" s="8" t="str">
        <f aca="false">IF($G2247="","Unmatched","Matched")</f>
        <v>Matched</v>
      </c>
    </row>
    <row r="2248" customFormat="false" ht="15" hidden="false" customHeight="false" outlineLevel="0" collapsed="false">
      <c r="A2248" s="8" t="s">
        <v>918</v>
      </c>
      <c r="B2248" s="8" t="s">
        <v>122</v>
      </c>
      <c r="C2248" s="19" t="n">
        <v>9</v>
      </c>
      <c r="D2248" s="19" t="n">
        <v>1451.68</v>
      </c>
      <c r="E2248" s="19" t="n">
        <v>19</v>
      </c>
      <c r="F2248" s="19" t="n">
        <v>2978.53</v>
      </c>
      <c r="G2248" s="8" t="n">
        <f aca="false">IFERROR(INDEX('TRANS'!$B:$B,MATCH($B2248,'TRANS'!$A:$A,0)),IFERROR(INDEX('TRANS'!$B:$B,MATCH(TRIM(SUBSTITUTE($B2248,CHAR(160)," ")),'TRANS'!$D:$D,0)),IFERROR(INDEX('Catalog'!$A:$A,MATCH($B2248,'Catalog'!$B:$B,0)),IFERROR(INDEX('Catalog'!$A:$A,MATCH(TRIM(SUBSTITUTE($B2248,CHAR(160)," ")),'Catalog'!$C:$C,0)),""))))</f>
        <v>4411016</v>
      </c>
      <c r="H2248" s="8" t="str">
        <f aca="false">IFERROR(INDEX('TRANS'!$C:$C,MATCH($B2248,'TRANS'!$A:$A,0)),IFERROR(INDEX('Catalog'!$B:$B,MATCH($G2248,'Catalog'!$A:$A,0)),$B2248))</f>
        <v>307 XL כרית סיליקון לעקב</v>
      </c>
      <c r="I2248" s="8" t="str">
        <f aca="false">IF($G2248="","Unmatched","Matched")</f>
        <v>Matched</v>
      </c>
    </row>
    <row r="2249" customFormat="false" ht="15" hidden="false" customHeight="false" outlineLevel="0" collapsed="false">
      <c r="A2249" s="8" t="s">
        <v>918</v>
      </c>
      <c r="B2249" s="8" t="s">
        <v>563</v>
      </c>
      <c r="C2249" s="19" t="n">
        <v>11</v>
      </c>
      <c r="D2249" s="19" t="n">
        <v>1072.24</v>
      </c>
      <c r="E2249" s="19" t="n">
        <v>11</v>
      </c>
      <c r="F2249" s="19" t="n">
        <v>1177.89</v>
      </c>
      <c r="G2249" s="8" t="n">
        <f aca="false">IFERROR(INDEX('TRANS'!$B:$B,MATCH($B2249,'TRANS'!$A:$A,0)),IFERROR(INDEX('TRANS'!$B:$B,MATCH(TRIM(SUBSTITUTE($B2249,CHAR(160)," ")),'TRANS'!$D:$D,0)),IFERROR(INDEX('Catalog'!$A:$A,MATCH($B2249,'Catalog'!$B:$B,0)),IFERROR(INDEX('Catalog'!$A:$A,MATCH(TRIM(SUBSTITUTE($B2249,CHAR(160)," ")),'Catalog'!$C:$C,0)),""))))</f>
        <v>4416003</v>
      </c>
      <c r="H2249" s="8" t="str">
        <f aca="false">IFERROR(INDEX('TRANS'!$C:$C,MATCH($B2249,'TRANS'!$A:$A,0)),IFERROR(INDEX('Catalog'!$B:$B,MATCH($G2249,'Catalog'!$A:$A,0)),$B2249))</f>
        <v>308 Lעקבים סיליקון כחול לדורבן</v>
      </c>
      <c r="I2249" s="8" t="str">
        <f aca="false">IF($G2249="","Unmatched","Matched")</f>
        <v>Matched</v>
      </c>
    </row>
    <row r="2250" customFormat="false" ht="15" hidden="false" customHeight="false" outlineLevel="0" collapsed="false">
      <c r="A2250" s="8" t="s">
        <v>918</v>
      </c>
      <c r="B2250" s="8" t="s">
        <v>123</v>
      </c>
      <c r="C2250" s="19" t="n">
        <v>7</v>
      </c>
      <c r="D2250" s="19" t="n">
        <v>696.69</v>
      </c>
      <c r="E2250" s="19" t="n">
        <v>7</v>
      </c>
      <c r="F2250" s="19" t="n">
        <v>759.58</v>
      </c>
      <c r="G2250" s="8" t="n">
        <f aca="false">IFERROR(INDEX('TRANS'!$B:$B,MATCH($B2250,'TRANS'!$A:$A,0)),IFERROR(INDEX('TRANS'!$B:$B,MATCH(TRIM(SUBSTITUTE($B2250,CHAR(160)," ")),'TRANS'!$D:$D,0)),IFERROR(INDEX('Catalog'!$A:$A,MATCH($B2250,'Catalog'!$B:$B,0)),IFERROR(INDEX('Catalog'!$A:$A,MATCH(TRIM(SUBSTITUTE($B2250,CHAR(160)," ")),'Catalog'!$C:$C,0)),""))))</f>
        <v>4416005</v>
      </c>
      <c r="H2250" s="8" t="str">
        <f aca="false">IFERROR(INDEX('TRANS'!$C:$C,MATCH($B2250,'TRANS'!$A:$A,0)),IFERROR(INDEX('Catalog'!$B:$B,MATCH($G2250,'Catalog'!$A:$A,0)),$B2250))</f>
        <v>308 Mעקבים סיליק.כחול לדורבן</v>
      </c>
      <c r="I2250" s="8" t="str">
        <f aca="false">IF($G2250="","Unmatched","Matched")</f>
        <v>Matched</v>
      </c>
    </row>
    <row r="2251" customFormat="false" ht="15" hidden="false" customHeight="false" outlineLevel="0" collapsed="false">
      <c r="A2251" s="8" t="s">
        <v>918</v>
      </c>
      <c r="B2251" s="8" t="s">
        <v>124</v>
      </c>
      <c r="C2251" s="19" t="n">
        <v>16</v>
      </c>
      <c r="D2251" s="19" t="n">
        <v>464.23</v>
      </c>
      <c r="E2251" s="19" t="n">
        <v>14</v>
      </c>
      <c r="F2251" s="19" t="n">
        <v>473.39</v>
      </c>
      <c r="G2251" s="8" t="n">
        <f aca="false">IFERROR(INDEX('TRANS'!$B:$B,MATCH($B2251,'TRANS'!$A:$A,0)),IFERROR(INDEX('TRANS'!$B:$B,MATCH(TRIM(SUBSTITUTE($B2251,CHAR(160)," ")),'TRANS'!$D:$D,0)),IFERROR(INDEX('Catalog'!$A:$A,MATCH($B2251,'Catalog'!$B:$B,0)),IFERROR(INDEX('Catalog'!$A:$A,MATCH(TRIM(SUBSTITUTE($B2251,CHAR(160)," ")),'Catalog'!$C:$C,0)),""))))</f>
        <v>4413033</v>
      </c>
      <c r="H2251" s="8" t="str">
        <f aca="false">IFERROR(INDEX('TRANS'!$C:$C,MATCH($B2251,'TRANS'!$A:$A,0)),IFERROR(INDEX('Catalog'!$B:$B,MATCH($G2251,'Catalog'!$A:$A,0)),$B2251))</f>
        <v>311'מדב.ג'ל למניעת שפשוף 5 יח</v>
      </c>
      <c r="I2251" s="8" t="str">
        <f aca="false">IF($G2251="","Unmatched","Matched")</f>
        <v>Matched</v>
      </c>
    </row>
    <row r="2252" customFormat="false" ht="15" hidden="false" customHeight="false" outlineLevel="0" collapsed="false">
      <c r="A2252" s="8" t="s">
        <v>918</v>
      </c>
      <c r="B2252" s="8" t="s">
        <v>125</v>
      </c>
      <c r="C2252" s="19" t="n">
        <v>47</v>
      </c>
      <c r="D2252" s="19" t="n">
        <v>1772.16</v>
      </c>
      <c r="E2252" s="19" t="n">
        <v>36</v>
      </c>
      <c r="F2252" s="19" t="n">
        <v>1415.01</v>
      </c>
      <c r="G2252" s="8" t="n">
        <f aca="false">IFERROR(INDEX('TRANS'!$B:$B,MATCH($B2252,'TRANS'!$A:$A,0)),IFERROR(INDEX('TRANS'!$B:$B,MATCH(TRIM(SUBSTITUTE($B2252,CHAR(160)," ")),'TRANS'!$D:$D,0)),IFERROR(INDEX('Catalog'!$A:$A,MATCH($B2252,'Catalog'!$B:$B,0)),IFERROR(INDEX('Catalog'!$A:$A,MATCH(TRIM(SUBSTITUTE($B2252,CHAR(160)," ")),'Catalog'!$C:$C,0)),""))))</f>
        <v>4413034</v>
      </c>
      <c r="H2252" s="8" t="str">
        <f aca="false">IFERROR(INDEX('TRANS'!$C:$C,MATCH($B2252,'TRANS'!$A:$A,0)),IFERROR(INDEX('Catalog'!$B:$B,MATCH($G2252,'Catalog'!$A:$A,0)),$B2252))</f>
        <v>312 9 מ""""ס להתאמהX5 מדבקה גדולה</v>
      </c>
      <c r="I2252" s="8" t="str">
        <f aca="false">IF($G2252="","Unmatched","Matched")</f>
        <v>Matched</v>
      </c>
    </row>
    <row r="2253" customFormat="false" ht="15" hidden="false" customHeight="false" outlineLevel="0" collapsed="false">
      <c r="A2253" s="8" t="s">
        <v>918</v>
      </c>
      <c r="B2253" s="8" t="s">
        <v>126</v>
      </c>
      <c r="C2253" s="19" t="n">
        <v>20</v>
      </c>
      <c r="D2253" s="19" t="n">
        <v>791.62</v>
      </c>
      <c r="E2253" s="19" t="n">
        <v>31</v>
      </c>
      <c r="F2253" s="19" t="n">
        <v>1278.43</v>
      </c>
      <c r="G2253" s="8" t="n">
        <f aca="false">IFERROR(INDEX('TRANS'!$B:$B,MATCH($B2253,'TRANS'!$A:$A,0)),IFERROR(INDEX('TRANS'!$B:$B,MATCH(TRIM(SUBSTITUTE($B2253,CHAR(160)," ")),'TRANS'!$D:$D,0)),IFERROR(INDEX('Catalog'!$A:$A,MATCH($B2253,'Catalog'!$B:$B,0)),IFERROR(INDEX('Catalog'!$A:$A,MATCH(TRIM(SUBSTITUTE($B2253,CHAR(160)," ")),'Catalog'!$C:$C,0)),""))))</f>
        <v>4415297</v>
      </c>
      <c r="H2253" s="8" t="str">
        <f aca="false">IFERROR(INDEX('TRANS'!$C:$C,MATCH($B2253,'TRANS'!$A:$A,0)),IFERROR(INDEX('Catalog'!$B:$B,MATCH($G2253,'Catalog'!$A:$A,0)),$B2253))</f>
        <v>313 סט פלסטרים נגד שפשופים</v>
      </c>
      <c r="I2253" s="8" t="str">
        <f aca="false">IF($G2253="","Unmatched","Matched")</f>
        <v>Matched</v>
      </c>
    </row>
    <row r="2254" customFormat="false" ht="15" hidden="false" customHeight="false" outlineLevel="0" collapsed="false">
      <c r="A2254" s="8" t="s">
        <v>918</v>
      </c>
      <c r="B2254" s="8" t="s">
        <v>803</v>
      </c>
      <c r="C2254" s="19" t="n">
        <v>6</v>
      </c>
      <c r="D2254" s="19" t="n">
        <v>1884.83</v>
      </c>
      <c r="E2254" s="19" t="n">
        <v>4</v>
      </c>
      <c r="F2254" s="19" t="n">
        <v>1384.78</v>
      </c>
      <c r="G2254" s="8" t="str">
        <f aca="false">IFERROR(INDEX('TRANS'!$B:$B,MATCH($B2254,'TRANS'!$A:$A,0)),IFERROR(INDEX('TRANS'!$B:$B,MATCH(TRIM(SUBSTITUTE($B2254,CHAR(160)," ")),'TRANS'!$D:$D,0)),IFERROR(INDEX('Catalog'!$A:$A,MATCH($B2254,'Catalog'!$B:$B,0)),IFERROR(INDEX('Catalog'!$A:$A,MATCH(TRIM(SUBSTITUTE($B2254,CHAR(160)," ")),'Catalog'!$C:$C,0)),""))))</f>
        <v/>
      </c>
      <c r="H2254" s="8" t="str">
        <f aca="false">IFERROR(INDEX('TRANS'!$C:$C,MATCH($B2254,'TRANS'!$A:$A,0)),IFERROR(INDEX('Catalog'!$B:$B,MATCH($G2254,'Catalog'!$A:$A,0)),$B2254))</f>
        <v>32 L</v>
      </c>
      <c r="I2254" s="8" t="str">
        <f aca="false">IF($G2254="","Unmatched","Matched")</f>
        <v>Unmatched</v>
      </c>
    </row>
    <row r="2255" customFormat="false" ht="15" hidden="false" customHeight="false" outlineLevel="0" collapsed="false">
      <c r="A2255" s="8" t="s">
        <v>918</v>
      </c>
      <c r="B2255" s="8" t="s">
        <v>804</v>
      </c>
      <c r="C2255" s="19" t="n">
        <v>2</v>
      </c>
      <c r="D2255" s="19" t="n">
        <v>634.68</v>
      </c>
      <c r="E2255" s="19" t="n">
        <v>2</v>
      </c>
      <c r="F2255" s="19" t="n">
        <v>769.32</v>
      </c>
      <c r="G2255" s="8" t="str">
        <f aca="false">IFERROR(INDEX('TRANS'!$B:$B,MATCH($B2255,'TRANS'!$A:$A,0)),IFERROR(INDEX('TRANS'!$B:$B,MATCH(TRIM(SUBSTITUTE($B2255,CHAR(160)," ")),'TRANS'!$D:$D,0)),IFERROR(INDEX('Catalog'!$A:$A,MATCH($B2255,'Catalog'!$B:$B,0)),IFERROR(INDEX('Catalog'!$A:$A,MATCH(TRIM(SUBSTITUTE($B2255,CHAR(160)," ")),'Catalog'!$C:$C,0)),""))))</f>
        <v/>
      </c>
      <c r="H2255" s="8" t="str">
        <f aca="false">IFERROR(INDEX('TRANS'!$C:$C,MATCH($B2255,'TRANS'!$A:$A,0)),IFERROR(INDEX('Catalog'!$B:$B,MATCH($G2255,'Catalog'!$A:$A,0)),$B2255))</f>
        <v>32 M</v>
      </c>
      <c r="I2255" s="8" t="str">
        <f aca="false">IF($G2255="","Unmatched","Matched")</f>
        <v>Unmatched</v>
      </c>
    </row>
    <row r="2256" customFormat="false" ht="15" hidden="false" customHeight="false" outlineLevel="0" collapsed="false">
      <c r="A2256" s="8" t="s">
        <v>918</v>
      </c>
      <c r="B2256" s="8" t="s">
        <v>127</v>
      </c>
      <c r="C2256" s="19" t="n">
        <v>0</v>
      </c>
      <c r="D2256" s="19" t="n">
        <v>0</v>
      </c>
      <c r="E2256" s="19" t="n">
        <v>4</v>
      </c>
      <c r="F2256" s="19" t="n">
        <v>1538.64</v>
      </c>
      <c r="G2256" s="8" t="n">
        <f aca="false">IFERROR(INDEX('TRANS'!$B:$B,MATCH($B2256,'TRANS'!$A:$A,0)),IFERROR(INDEX('TRANS'!$B:$B,MATCH(TRIM(SUBSTITUTE($B2256,CHAR(160)," ")),'TRANS'!$D:$D,0)),IFERROR(INDEX('Catalog'!$A:$A,MATCH($B2256,'Catalog'!$B:$B,0)),IFERROR(INDEX('Catalog'!$A:$A,MATCH(TRIM(SUBSTITUTE($B2256,CHAR(160)," ")),'Catalog'!$C:$C,0)),""))))</f>
        <v>4415013</v>
      </c>
      <c r="H2256" s="8" t="str">
        <f aca="false">IFERROR(INDEX('TRANS'!$C:$C,MATCH($B2256,'TRANS'!$A:$A,0)),IFERROR(INDEX('Catalog'!$B:$B,MATCH($G2256,'Catalog'!$A:$A,0)),$B2256))</f>
        <v>32 XL סד קרסול+מוטות אלומיניום</v>
      </c>
      <c r="I2256" s="8" t="str">
        <f aca="false">IF($G2256="","Unmatched","Matched")</f>
        <v>Matched</v>
      </c>
    </row>
    <row r="2257" customFormat="false" ht="15" hidden="false" customHeight="false" outlineLevel="0" collapsed="false">
      <c r="A2257" s="8" t="s">
        <v>918</v>
      </c>
      <c r="B2257" s="8" t="s">
        <v>816</v>
      </c>
      <c r="C2257" s="19" t="n">
        <v>1</v>
      </c>
      <c r="D2257" s="19" t="n">
        <v>346.19</v>
      </c>
      <c r="E2257" s="19" t="n">
        <v>0</v>
      </c>
      <c r="F2257" s="19" t="n">
        <v>0</v>
      </c>
      <c r="G2257" s="8" t="str">
        <f aca="false">IFERROR(INDEX('TRANS'!$B:$B,MATCH($B2257,'TRANS'!$A:$A,0)),IFERROR(INDEX('TRANS'!$B:$B,MATCH(TRIM(SUBSTITUTE($B2257,CHAR(160)," ")),'TRANS'!$D:$D,0)),IFERROR(INDEX('Catalog'!$A:$A,MATCH($B2257,'Catalog'!$B:$B,0)),IFERROR(INDEX('Catalog'!$A:$A,MATCH(TRIM(SUBSTITUTE($B2257,CHAR(160)," ")),'Catalog'!$C:$C,0)),""))))</f>
        <v/>
      </c>
      <c r="H2257" s="8" t="str">
        <f aca="false">IFERROR(INDEX('TRANS'!$C:$C,MATCH($B2257,'TRANS'!$A:$A,0)),IFERROR(INDEX('Catalog'!$B:$B,MATCH($G2257,'Catalog'!$A:$A,0)),$B2257))</f>
        <v>32 XXL</v>
      </c>
      <c r="I2257" s="8" t="str">
        <f aca="false">IF($G2257="","Unmatched","Matched")</f>
        <v>Unmatched</v>
      </c>
    </row>
    <row r="2258" customFormat="false" ht="15" hidden="false" customHeight="false" outlineLevel="0" collapsed="false">
      <c r="A2258" s="8" t="s">
        <v>918</v>
      </c>
      <c r="B2258" s="8" t="s">
        <v>128</v>
      </c>
      <c r="C2258" s="19" t="n">
        <v>28</v>
      </c>
      <c r="D2258" s="19" t="n">
        <v>898.41</v>
      </c>
      <c r="E2258" s="19" t="n">
        <v>28</v>
      </c>
      <c r="F2258" s="19" t="n">
        <v>974.74</v>
      </c>
      <c r="G2258" s="8" t="n">
        <f aca="false">IFERROR(INDEX('TRANS'!$B:$B,MATCH($B2258,'TRANS'!$A:$A,0)),IFERROR(INDEX('TRANS'!$B:$B,MATCH(TRIM(SUBSTITUTE($B2258,CHAR(160)," ")),'TRANS'!$D:$D,0)),IFERROR(INDEX('Catalog'!$A:$A,MATCH($B2258,'Catalog'!$B:$B,0)),IFERROR(INDEX('Catalog'!$A:$A,MATCH(TRIM(SUBSTITUTE($B2258,CHAR(160)," ")),'Catalog'!$C:$C,0)),""))))</f>
        <v>4402007</v>
      </c>
      <c r="H2258" s="8" t="str">
        <f aca="false">IFERROR(INDEX('TRANS'!$C:$C,MATCH($B2258,'TRANS'!$A:$A,0)),IFERROR(INDEX('Catalog'!$B:$B,MATCH($G2258,'Catalog'!$A:$A,0)),$B2258))</f>
        <v>320 בליסטר פלסטר</v>
      </c>
      <c r="I2258" s="8" t="str">
        <f aca="false">IF($G2258="","Unmatched","Matched")</f>
        <v>Matched</v>
      </c>
    </row>
    <row r="2259" customFormat="false" ht="15" hidden="false" customHeight="false" outlineLevel="0" collapsed="false">
      <c r="A2259" s="8" t="s">
        <v>918</v>
      </c>
      <c r="B2259" s="8" t="s">
        <v>593</v>
      </c>
      <c r="C2259" s="19" t="n">
        <v>1</v>
      </c>
      <c r="D2259" s="19" t="n">
        <v>222.8</v>
      </c>
      <c r="E2259" s="19" t="n">
        <v>0</v>
      </c>
      <c r="F2259" s="19" t="n">
        <v>0</v>
      </c>
      <c r="G2259" s="8" t="str">
        <f aca="false">IFERROR(INDEX('TRANS'!$B:$B,MATCH($B2259,'TRANS'!$A:$A,0)),IFERROR(INDEX('TRANS'!$B:$B,MATCH(TRIM(SUBSTITUTE($B2259,CHAR(160)," ")),'TRANS'!$D:$D,0)),IFERROR(INDEX('Catalog'!$A:$A,MATCH($B2259,'Catalog'!$B:$B,0)),IFERROR(INDEX('Catalog'!$A:$A,MATCH(TRIM(SUBSTITUTE($B2259,CHAR(160)," ")),'Catalog'!$C:$C,0)),""))))</f>
        <v/>
      </c>
      <c r="H2259" s="8" t="str">
        <f aca="false">IFERROR(INDEX('TRANS'!$C:$C,MATCH($B2259,'TRANS'!$A:$A,0)),IFERROR(INDEX('Catalog'!$B:$B,MATCH($G2259,'Catalog'!$A:$A,0)),$B2259))</f>
        <v>332B M</v>
      </c>
      <c r="I2259" s="8" t="str">
        <f aca="false">IF($G2259="","Unmatched","Matched")</f>
        <v>Unmatched</v>
      </c>
    </row>
    <row r="2260" customFormat="false" ht="15" hidden="false" customHeight="false" outlineLevel="0" collapsed="false">
      <c r="A2260" s="8" t="s">
        <v>918</v>
      </c>
      <c r="B2260" s="8" t="s">
        <v>476</v>
      </c>
      <c r="C2260" s="19" t="n">
        <v>4</v>
      </c>
      <c r="D2260" s="19" t="n">
        <v>936.92</v>
      </c>
      <c r="E2260" s="19" t="n">
        <v>0</v>
      </c>
      <c r="F2260" s="19" t="n">
        <v>0</v>
      </c>
      <c r="G2260" s="8" t="n">
        <f aca="false">IFERROR(INDEX('TRANS'!$B:$B,MATCH($B2260,'TRANS'!$A:$A,0)),IFERROR(INDEX('TRANS'!$B:$B,MATCH(TRIM(SUBSTITUTE($B2260,CHAR(160)," ")),'TRANS'!$D:$D,0)),IFERROR(INDEX('Catalog'!$A:$A,MATCH($B2260,'Catalog'!$B:$B,0)),IFERROR(INDEX('Catalog'!$A:$A,MATCH(TRIM(SUBSTITUTE($B2260,CHAR(160)," ")),'Catalog'!$C:$C,0)),""))))</f>
        <v>4415019</v>
      </c>
      <c r="H2260" s="8" t="str">
        <f aca="false">IFERROR(INDEX('TRANS'!$C:$C,MATCH($B2260,'TRANS'!$A:$A,0)),IFERROR(INDEX('Catalog'!$B:$B,MATCH($G2260,'Catalog'!$A:$A,0)),$B2260))</f>
        <v>333 סד לקרסול עם כריות אויר</v>
      </c>
      <c r="I2260" s="8" t="str">
        <f aca="false">IF($G2260="","Unmatched","Matched")</f>
        <v>Matched</v>
      </c>
    </row>
    <row r="2261" customFormat="false" ht="15" hidden="false" customHeight="false" outlineLevel="0" collapsed="false">
      <c r="A2261" s="8" t="s">
        <v>918</v>
      </c>
      <c r="B2261" s="8" t="s">
        <v>564</v>
      </c>
      <c r="C2261" s="19" t="n">
        <v>18</v>
      </c>
      <c r="D2261" s="19" t="n">
        <v>1328.31</v>
      </c>
      <c r="E2261" s="19" t="n">
        <v>12</v>
      </c>
      <c r="F2261" s="19" t="n">
        <v>1007.48</v>
      </c>
      <c r="G2261" s="8" t="n">
        <f aca="false">IFERROR(INDEX('TRANS'!$B:$B,MATCH($B2261,'TRANS'!$A:$A,0)),IFERROR(INDEX('TRANS'!$B:$B,MATCH(TRIM(SUBSTITUTE($B2261,CHAR(160)," ")),'TRANS'!$D:$D,0)),IFERROR(INDEX('Catalog'!$A:$A,MATCH($B2261,'Catalog'!$B:$B,0)),IFERROR(INDEX('Catalog'!$A:$A,MATCH(TRIM(SUBSTITUTE($B2261,CHAR(160)," ")),'Catalog'!$C:$C,0)),""))))</f>
        <v>4413043</v>
      </c>
      <c r="H2261" s="8" t="str">
        <f aca="false">IFERROR(INDEX('TRANS'!$C:$C,MATCH($B2261,'TRANS'!$A:$A,0)),IFERROR(INDEX('Catalog'!$B:$B,MATCH($G2261,'Catalog'!$A:$A,0)),$B2261))</f>
        <v>34  L מגן קרסול עקב סגור</v>
      </c>
      <c r="I2261" s="8" t="str">
        <f aca="false">IF($G2261="","Unmatched","Matched")</f>
        <v>Matched</v>
      </c>
    </row>
    <row r="2262" customFormat="false" ht="15" hidden="false" customHeight="false" outlineLevel="0" collapsed="false">
      <c r="A2262" s="8" t="s">
        <v>918</v>
      </c>
      <c r="B2262" s="8" t="s">
        <v>575</v>
      </c>
      <c r="C2262" s="19" t="n">
        <v>7</v>
      </c>
      <c r="D2262" s="19" t="n">
        <v>518.41</v>
      </c>
      <c r="E2262" s="19" t="n">
        <v>4</v>
      </c>
      <c r="F2262" s="19" t="n">
        <v>317.48</v>
      </c>
      <c r="G2262" s="8" t="n">
        <f aca="false">IFERROR(INDEX('TRANS'!$B:$B,MATCH($B2262,'TRANS'!$A:$A,0)),IFERROR(INDEX('TRANS'!$B:$B,MATCH(TRIM(SUBSTITUTE($B2262,CHAR(160)," ")),'TRANS'!$D:$D,0)),IFERROR(INDEX('Catalog'!$A:$A,MATCH($B2262,'Catalog'!$B:$B,0)),IFERROR(INDEX('Catalog'!$A:$A,MATCH(TRIM(SUBSTITUTE($B2262,CHAR(160)," ")),'Catalog'!$C:$C,0)),""))))</f>
        <v>4413041</v>
      </c>
      <c r="H2262" s="8" t="str">
        <f aca="false">IFERROR(INDEX('TRANS'!$C:$C,MATCH($B2262,'TRANS'!$A:$A,0)),IFERROR(INDEX('Catalog'!$B:$B,MATCH($G2262,'Catalog'!$A:$A,0)),$B2262))</f>
        <v>34  M מגן קרסול עקב סגור</v>
      </c>
      <c r="I2262" s="8" t="str">
        <f aca="false">IF($G2262="","Unmatched","Matched")</f>
        <v>Matched</v>
      </c>
    </row>
    <row r="2263" customFormat="false" ht="15" hidden="false" customHeight="false" outlineLevel="0" collapsed="false">
      <c r="A2263" s="8" t="s">
        <v>918</v>
      </c>
      <c r="B2263" s="8" t="s">
        <v>743</v>
      </c>
      <c r="C2263" s="19" t="n">
        <v>5</v>
      </c>
      <c r="D2263" s="19" t="n">
        <v>359.81</v>
      </c>
      <c r="E2263" s="19" t="n">
        <v>1</v>
      </c>
      <c r="F2263" s="19" t="n">
        <v>84.66</v>
      </c>
      <c r="G2263" s="8" t="n">
        <f aca="false">IFERROR(INDEX('TRANS'!$B:$B,MATCH($B2263,'TRANS'!$A:$A,0)),IFERROR(INDEX('TRANS'!$B:$B,MATCH(TRIM(SUBSTITUTE($B2263,CHAR(160)," ")),'TRANS'!$D:$D,0)),IFERROR(INDEX('Catalog'!$A:$A,MATCH($B2263,'Catalog'!$B:$B,0)),IFERROR(INDEX('Catalog'!$A:$A,MATCH(TRIM(SUBSTITUTE($B2263,CHAR(160)," ")),'Catalog'!$C:$C,0)),""))))</f>
        <v>4413042</v>
      </c>
      <c r="H2263" s="8" t="str">
        <f aca="false">IFERROR(INDEX('TRANS'!$C:$C,MATCH($B2263,'TRANS'!$A:$A,0)),IFERROR(INDEX('Catalog'!$B:$B,MATCH($G2263,'Catalog'!$A:$A,0)),$B2263))</f>
        <v>34  S מגן קרסול עקב סגור</v>
      </c>
      <c r="I2263" s="8" t="str">
        <f aca="false">IF($G2263="","Unmatched","Matched")</f>
        <v>Matched</v>
      </c>
    </row>
    <row r="2264" customFormat="false" ht="15" hidden="false" customHeight="false" outlineLevel="0" collapsed="false">
      <c r="A2264" s="8" t="s">
        <v>918</v>
      </c>
      <c r="B2264" s="8" t="s">
        <v>576</v>
      </c>
      <c r="C2264" s="19" t="n">
        <v>6</v>
      </c>
      <c r="D2264" s="19" t="n">
        <v>469.86</v>
      </c>
      <c r="E2264" s="19" t="n">
        <v>8</v>
      </c>
      <c r="F2264" s="19" t="n">
        <v>656.11</v>
      </c>
      <c r="G2264" s="8" t="n">
        <f aca="false">IFERROR(INDEX('TRANS'!$B:$B,MATCH($B2264,'TRANS'!$A:$A,0)),IFERROR(INDEX('TRANS'!$B:$B,MATCH(TRIM(SUBSTITUTE($B2264,CHAR(160)," ")),'TRANS'!$D:$D,0)),IFERROR(INDEX('Catalog'!$A:$A,MATCH($B2264,'Catalog'!$B:$B,0)),IFERROR(INDEX('Catalog'!$A:$A,MATCH(TRIM(SUBSTITUTE($B2264,CHAR(160)," ")),'Catalog'!$C:$C,0)),""))))</f>
        <v>4413044</v>
      </c>
      <c r="H2264" s="8" t="str">
        <f aca="false">IFERROR(INDEX('TRANS'!$C:$C,MATCH($B2264,'TRANS'!$A:$A,0)),IFERROR(INDEX('Catalog'!$B:$B,MATCH($G2264,'Catalog'!$A:$A,0)),$B2264))</f>
        <v>34 XL מגן קרסול עקב סגור</v>
      </c>
      <c r="I2264" s="8" t="str">
        <f aca="false">IF($G2264="","Unmatched","Matched")</f>
        <v>Matched</v>
      </c>
    </row>
    <row r="2265" customFormat="false" ht="15" hidden="false" customHeight="false" outlineLevel="0" collapsed="false">
      <c r="A2265" s="8" t="s">
        <v>918</v>
      </c>
      <c r="B2265" s="8" t="s">
        <v>771</v>
      </c>
      <c r="C2265" s="19" t="n">
        <v>0</v>
      </c>
      <c r="D2265" s="19" t="n">
        <v>0</v>
      </c>
      <c r="E2265" s="19" t="n">
        <v>1</v>
      </c>
      <c r="F2265" s="19" t="n">
        <v>76.2</v>
      </c>
      <c r="G2265" s="8" t="str">
        <f aca="false">IFERROR(INDEX('TRANS'!$B:$B,MATCH($B2265,'TRANS'!$A:$A,0)),IFERROR(INDEX('TRANS'!$B:$B,MATCH(TRIM(SUBSTITUTE($B2265,CHAR(160)," ")),'TRANS'!$D:$D,0)),IFERROR(INDEX('Catalog'!$A:$A,MATCH($B2265,'Catalog'!$B:$B,0)),IFERROR(INDEX('Catalog'!$A:$A,MATCH(TRIM(SUBSTITUTE($B2265,CHAR(160)," ")),'Catalog'!$C:$C,0)),""))))</f>
        <v/>
      </c>
      <c r="H2265" s="8" t="str">
        <f aca="false">IFERROR(INDEX('TRANS'!$C:$C,MATCH($B2265,'TRANS'!$A:$A,0)),IFERROR(INDEX('Catalog'!$B:$B,MATCH($G2265,'Catalog'!$A:$A,0)),$B2265))</f>
        <v>34 XS</v>
      </c>
      <c r="I2265" s="8" t="str">
        <f aca="false">IF($G2265="","Unmatched","Matched")</f>
        <v>Unmatched</v>
      </c>
    </row>
    <row r="2266" customFormat="false" ht="15" hidden="false" customHeight="false" outlineLevel="0" collapsed="false">
      <c r="A2266" s="8" t="s">
        <v>918</v>
      </c>
      <c r="B2266" s="8" t="s">
        <v>744</v>
      </c>
      <c r="C2266" s="19" t="n">
        <v>11</v>
      </c>
      <c r="D2266" s="19" t="n">
        <v>863.53</v>
      </c>
      <c r="E2266" s="19" t="n">
        <v>19</v>
      </c>
      <c r="F2266" s="19" t="n">
        <v>1557.75</v>
      </c>
      <c r="G2266" s="8" t="n">
        <f aca="false">IFERROR(INDEX('TRANS'!$B:$B,MATCH($B2266,'TRANS'!$A:$A,0)),IFERROR(INDEX('TRANS'!$B:$B,MATCH(TRIM(SUBSTITUTE($B2266,CHAR(160)," ")),'TRANS'!$D:$D,0)),IFERROR(INDEX('Catalog'!$A:$A,MATCH($B2266,'Catalog'!$B:$B,0)),IFERROR(INDEX('Catalog'!$A:$A,MATCH(TRIM(SUBSTITUTE($B2266,CHAR(160)," ")),'Catalog'!$C:$C,0)),""))))</f>
        <v>4413046</v>
      </c>
      <c r="H2266" s="8" t="str">
        <f aca="false">IFERROR(INDEX('TRANS'!$C:$C,MATCH($B2266,'TRANS'!$A:$A,0)),IFERROR(INDEX('Catalog'!$B:$B,MATCH($G2266,'Catalog'!$A:$A,0)),$B2266))</f>
        <v>34 XXL מגן קרסול עקב סגור</v>
      </c>
      <c r="I2266" s="8" t="str">
        <f aca="false">IF($G2266="","Unmatched","Matched")</f>
        <v>Matched</v>
      </c>
    </row>
    <row r="2267" customFormat="false" ht="15" hidden="false" customHeight="false" outlineLevel="0" collapsed="false">
      <c r="A2267" s="8" t="s">
        <v>918</v>
      </c>
      <c r="B2267" s="8" t="s">
        <v>131</v>
      </c>
      <c r="C2267" s="19" t="n">
        <v>10</v>
      </c>
      <c r="D2267" s="19" t="n">
        <v>1165.88</v>
      </c>
      <c r="E2267" s="19" t="n">
        <v>28</v>
      </c>
      <c r="F2267" s="19" t="n">
        <v>3410.85</v>
      </c>
      <c r="G2267" s="8" t="n">
        <f aca="false">IFERROR(INDEX('TRANS'!$B:$B,MATCH($B2267,'TRANS'!$A:$A,0)),IFERROR(INDEX('TRANS'!$B:$B,MATCH(TRIM(SUBSTITUTE($B2267,CHAR(160)," ")),'TRANS'!$D:$D,0)),IFERROR(INDEX('Catalog'!$A:$A,MATCH($B2267,'Catalog'!$B:$B,0)),IFERROR(INDEX('Catalog'!$A:$A,MATCH(TRIM(SUBSTITUTE($B2267,CHAR(160)," ")),'Catalog'!$C:$C,0)),""))))</f>
        <v>4413161</v>
      </c>
      <c r="H2267" s="8" t="str">
        <f aca="false">IFERROR(INDEX('TRANS'!$C:$C,MATCH($B2267,'TRANS'!$A:$A,0)),IFERROR(INDEX('Catalog'!$B:$B,MATCH($G2267,'Catalog'!$A:$A,0)),$B2267))</f>
        <v>34+ L מגן קרסול עקב סגור+רצוע</v>
      </c>
      <c r="I2267" s="8" t="str">
        <f aca="false">IF($G2267="","Unmatched","Matched")</f>
        <v>Matched</v>
      </c>
    </row>
    <row r="2268" customFormat="false" ht="15" hidden="false" customHeight="false" outlineLevel="0" collapsed="false">
      <c r="A2268" s="8" t="s">
        <v>918</v>
      </c>
      <c r="B2268" s="8" t="s">
        <v>357</v>
      </c>
      <c r="C2268" s="19" t="n">
        <v>18</v>
      </c>
      <c r="D2268" s="19" t="n">
        <v>2013.67</v>
      </c>
      <c r="E2268" s="19" t="n">
        <v>12</v>
      </c>
      <c r="F2268" s="19" t="n">
        <v>1460.86</v>
      </c>
      <c r="G2268" s="8" t="n">
        <f aca="false">IFERROR(INDEX('TRANS'!$B:$B,MATCH($B2268,'TRANS'!$A:$A,0)),IFERROR(INDEX('TRANS'!$B:$B,MATCH(TRIM(SUBSTITUTE($B2268,CHAR(160)," ")),'TRANS'!$D:$D,0)),IFERROR(INDEX('Catalog'!$A:$A,MATCH($B2268,'Catalog'!$B:$B,0)),IFERROR(INDEX('Catalog'!$A:$A,MATCH(TRIM(SUBSTITUTE($B2268,CHAR(160)," ")),'Catalog'!$C:$C,0)),""))))</f>
        <v>4413160</v>
      </c>
      <c r="H2268" s="8" t="str">
        <f aca="false">IFERROR(INDEX('TRANS'!$C:$C,MATCH($B2268,'TRANS'!$A:$A,0)),IFERROR(INDEX('Catalog'!$B:$B,MATCH($G2268,'Catalog'!$A:$A,0)),$B2268))</f>
        <v>34+ M מגן קרסול עקב סגור+רצוע</v>
      </c>
      <c r="I2268" s="8" t="str">
        <f aca="false">IF($G2268="","Unmatched","Matched")</f>
        <v>Matched</v>
      </c>
    </row>
    <row r="2269" customFormat="false" ht="15" hidden="false" customHeight="false" outlineLevel="0" collapsed="false">
      <c r="A2269" s="8" t="s">
        <v>918</v>
      </c>
      <c r="B2269" s="8" t="s">
        <v>625</v>
      </c>
      <c r="C2269" s="19" t="n">
        <v>6</v>
      </c>
      <c r="D2269" s="19" t="n">
        <v>693.58</v>
      </c>
      <c r="E2269" s="19" t="n">
        <v>6</v>
      </c>
      <c r="F2269" s="19" t="n">
        <v>736.81</v>
      </c>
      <c r="G2269" s="8" t="n">
        <f aca="false">IFERROR(INDEX('TRANS'!$B:$B,MATCH($B2269,'TRANS'!$A:$A,0)),IFERROR(INDEX('TRANS'!$B:$B,MATCH(TRIM(SUBSTITUTE($B2269,CHAR(160)," ")),'TRANS'!$D:$D,0)),IFERROR(INDEX('Catalog'!$A:$A,MATCH($B2269,'Catalog'!$B:$B,0)),IFERROR(INDEX('Catalog'!$A:$A,MATCH(TRIM(SUBSTITUTE($B2269,CHAR(160)," ")),'Catalog'!$C:$C,0)),""))))</f>
        <v>4413159</v>
      </c>
      <c r="H2269" s="8" t="str">
        <f aca="false">IFERROR(INDEX('TRANS'!$C:$C,MATCH($B2269,'TRANS'!$A:$A,0)),IFERROR(INDEX('Catalog'!$B:$B,MATCH($G2269,'Catalog'!$A:$A,0)),$B2269))</f>
        <v>34+ S מגן קרסול עקב סגור+רצוע</v>
      </c>
      <c r="I2269" s="8" t="str">
        <f aca="false">IF($G2269="","Unmatched","Matched")</f>
        <v>Matched</v>
      </c>
    </row>
    <row r="2270" customFormat="false" ht="15" hidden="false" customHeight="false" outlineLevel="0" collapsed="false">
      <c r="A2270" s="8" t="s">
        <v>918</v>
      </c>
      <c r="B2270" s="8" t="s">
        <v>132</v>
      </c>
      <c r="C2270" s="19" t="n">
        <v>10</v>
      </c>
      <c r="D2270" s="19" t="n">
        <v>1181.38</v>
      </c>
      <c r="E2270" s="19" t="n">
        <v>5</v>
      </c>
      <c r="F2270" s="19" t="n">
        <v>609.74</v>
      </c>
      <c r="G2270" s="8" t="n">
        <f aca="false">IFERROR(INDEX('TRANS'!$B:$B,MATCH($B2270,'TRANS'!$A:$A,0)),IFERROR(INDEX('TRANS'!$B:$B,MATCH(TRIM(SUBSTITUTE($B2270,CHAR(160)," ")),'TRANS'!$D:$D,0)),IFERROR(INDEX('Catalog'!$A:$A,MATCH($B2270,'Catalog'!$B:$B,0)),IFERROR(INDEX('Catalog'!$A:$A,MATCH(TRIM(SUBSTITUTE($B2270,CHAR(160)," ")),'Catalog'!$C:$C,0)),""))))</f>
        <v>4413162</v>
      </c>
      <c r="H2270" s="8" t="str">
        <f aca="false">IFERROR(INDEX('TRANS'!$C:$C,MATCH($B2270,'TRANS'!$A:$A,0)),IFERROR(INDEX('Catalog'!$B:$B,MATCH($G2270,'Catalog'!$A:$A,0)),$B2270))</f>
        <v>34+XL מגן קרסול עקב סגור+רצוע</v>
      </c>
      <c r="I2270" s="8" t="str">
        <f aca="false">IF($G2270="","Unmatched","Matched")</f>
        <v>Matched</v>
      </c>
    </row>
    <row r="2271" customFormat="false" ht="15" hidden="false" customHeight="false" outlineLevel="0" collapsed="false">
      <c r="A2271" s="8" t="s">
        <v>918</v>
      </c>
      <c r="B2271" s="8" t="s">
        <v>772</v>
      </c>
      <c r="C2271" s="19" t="n">
        <v>2</v>
      </c>
      <c r="D2271" s="19" t="n">
        <v>222.04</v>
      </c>
      <c r="E2271" s="19" t="n">
        <v>5</v>
      </c>
      <c r="F2271" s="19" t="n">
        <v>622.46</v>
      </c>
      <c r="G2271" s="8" t="str">
        <f aca="false">IFERROR(INDEX('TRANS'!$B:$B,MATCH($B2271,'TRANS'!$A:$A,0)),IFERROR(INDEX('TRANS'!$B:$B,MATCH(TRIM(SUBSTITUTE($B2271,CHAR(160)," ")),'TRANS'!$D:$D,0)),IFERROR(INDEX('Catalog'!$A:$A,MATCH($B2271,'Catalog'!$B:$B,0)),IFERROR(INDEX('Catalog'!$A:$A,MATCH(TRIM(SUBSTITUTE($B2271,CHAR(160)," ")),'Catalog'!$C:$C,0)),""))))</f>
        <v/>
      </c>
      <c r="H2271" s="8" t="str">
        <f aca="false">IFERROR(INDEX('TRANS'!$C:$C,MATCH($B2271,'TRANS'!$A:$A,0)),IFERROR(INDEX('Catalog'!$B:$B,MATCH($G2271,'Catalog'!$A:$A,0)),$B2271))</f>
        <v>34+ XS</v>
      </c>
      <c r="I2271" s="8" t="str">
        <f aca="false">IF($G2271="","Unmatched","Matched")</f>
        <v>Unmatched</v>
      </c>
    </row>
    <row r="2272" customFormat="false" ht="15" hidden="false" customHeight="false" outlineLevel="0" collapsed="false">
      <c r="A2272" s="8" t="s">
        <v>918</v>
      </c>
      <c r="B2272" s="8" t="s">
        <v>626</v>
      </c>
      <c r="C2272" s="19" t="n">
        <v>7</v>
      </c>
      <c r="D2272" s="19" t="n">
        <v>813.77</v>
      </c>
      <c r="E2272" s="19" t="n">
        <v>9</v>
      </c>
      <c r="F2272" s="19" t="n">
        <v>1105.2</v>
      </c>
      <c r="G2272" s="8" t="n">
        <f aca="false">IFERROR(INDEX('TRANS'!$B:$B,MATCH($B2272,'TRANS'!$A:$A,0)),IFERROR(INDEX('TRANS'!$B:$B,MATCH(TRIM(SUBSTITUTE($B2272,CHAR(160)," ")),'TRANS'!$D:$D,0)),IFERROR(INDEX('Catalog'!$A:$A,MATCH($B2272,'Catalog'!$B:$B,0)),IFERROR(INDEX('Catalog'!$A:$A,MATCH(TRIM(SUBSTITUTE($B2272,CHAR(160)," ")),'Catalog'!$C:$C,0)),""))))</f>
        <v>4413303</v>
      </c>
      <c r="H2272" s="8" t="str">
        <f aca="false">IFERROR(INDEX('TRANS'!$C:$C,MATCH($B2272,'TRANS'!$A:$A,0)),IFERROR(INDEX('Catalog'!$B:$B,MATCH($G2272,'Catalog'!$A:$A,0)),$B2272))</f>
        <v>34+XXL מ.קרסול+עכב סגור+רצועות</v>
      </c>
      <c r="I2272" s="8" t="str">
        <f aca="false">IF($G2272="","Unmatched","Matched")</f>
        <v>Matched</v>
      </c>
    </row>
    <row r="2273" customFormat="false" ht="15" hidden="false" customHeight="false" outlineLevel="0" collapsed="false">
      <c r="A2273" s="8" t="s">
        <v>918</v>
      </c>
      <c r="B2273" s="8" t="s">
        <v>358</v>
      </c>
      <c r="C2273" s="19" t="n">
        <v>17</v>
      </c>
      <c r="D2273" s="19" t="n">
        <v>1083.19</v>
      </c>
      <c r="E2273" s="19" t="n">
        <v>35</v>
      </c>
      <c r="F2273" s="19" t="n">
        <v>2305.45</v>
      </c>
      <c r="G2273" s="8" t="n">
        <f aca="false">IFERROR(INDEX('TRANS'!$B:$B,MATCH($B2273,'TRANS'!$A:$A,0)),IFERROR(INDEX('TRANS'!$B:$B,MATCH(TRIM(SUBSTITUTE($B2273,CHAR(160)," ")),'TRANS'!$D:$D,0)),IFERROR(INDEX('Catalog'!$A:$A,MATCH($B2273,'Catalog'!$B:$B,0)),IFERROR(INDEX('Catalog'!$A:$A,MATCH(TRIM(SUBSTITUTE($B2273,CHAR(160)," ")),'Catalog'!$C:$C,0)),""))))</f>
        <v>4403040</v>
      </c>
      <c r="H2273" s="8" t="str">
        <f aca="false">IFERROR(INDEX('TRANS'!$C:$C,MATCH($B2273,'TRANS'!$A:$A,0)),IFERROR(INDEX('Catalog'!$B:$B,MATCH($G2273,'Catalog'!$A:$A,0)),$B2273))</f>
        <v>3444B גרבי ג'ל לריכוך עור העקב</v>
      </c>
      <c r="I2273" s="8" t="str">
        <f aca="false">IF($G2273="","Unmatched","Matched")</f>
        <v>Matched</v>
      </c>
    </row>
    <row r="2274" customFormat="false" ht="15" hidden="false" customHeight="false" outlineLevel="0" collapsed="false">
      <c r="A2274" s="8" t="s">
        <v>918</v>
      </c>
      <c r="B2274" s="8" t="s">
        <v>133</v>
      </c>
      <c r="C2274" s="19" t="n">
        <v>10</v>
      </c>
      <c r="D2274" s="19" t="n">
        <v>503.64</v>
      </c>
      <c r="E2274" s="19" t="n">
        <v>14</v>
      </c>
      <c r="F2274" s="19" t="n">
        <v>748.39</v>
      </c>
      <c r="G2274" s="8" t="n">
        <f aca="false">IFERROR(INDEX('TRANS'!$B:$B,MATCH($B2274,'TRANS'!$A:$A,0)),IFERROR(INDEX('TRANS'!$B:$B,MATCH(TRIM(SUBSTITUTE($B2274,CHAR(160)," ")),'TRANS'!$D:$D,0)),IFERROR(INDEX('Catalog'!$A:$A,MATCH($B2274,'Catalog'!$B:$B,0)),IFERROR(INDEX('Catalog'!$A:$A,MATCH(TRIM(SUBSTITUTE($B2274,CHAR(160)," ")),'Catalog'!$C:$C,0)),""))))</f>
        <v>4413048</v>
      </c>
      <c r="H2274" s="8" t="str">
        <f aca="false">IFERROR(INDEX('TRANS'!$C:$C,MATCH($B2274,'TRANS'!$A:$A,0)),IFERROR(INDEX('Catalog'!$B:$B,MATCH($G2274,'Catalog'!$A:$A,0)),$B2274))</f>
        <v>35 L מגן קרסול לבן</v>
      </c>
      <c r="I2274" s="8" t="str">
        <f aca="false">IF($G2274="","Unmatched","Matched")</f>
        <v>Matched</v>
      </c>
    </row>
    <row r="2275" customFormat="false" ht="15" hidden="false" customHeight="false" outlineLevel="0" collapsed="false">
      <c r="A2275" s="8" t="s">
        <v>918</v>
      </c>
      <c r="B2275" s="8" t="s">
        <v>134</v>
      </c>
      <c r="C2275" s="19" t="n">
        <v>7</v>
      </c>
      <c r="D2275" s="19" t="n">
        <v>349.06</v>
      </c>
      <c r="E2275" s="19" t="n">
        <v>12</v>
      </c>
      <c r="F2275" s="19" t="n">
        <v>653.42</v>
      </c>
      <c r="G2275" s="8" t="n">
        <f aca="false">IFERROR(INDEX('TRANS'!$B:$B,MATCH($B2275,'TRANS'!$A:$A,0)),IFERROR(INDEX('TRANS'!$B:$B,MATCH(TRIM(SUBSTITUTE($B2275,CHAR(160)," ")),'TRANS'!$D:$D,0)),IFERROR(INDEX('Catalog'!$A:$A,MATCH($B2275,'Catalog'!$B:$B,0)),IFERROR(INDEX('Catalog'!$A:$A,MATCH(TRIM(SUBSTITUTE($B2275,CHAR(160)," ")),'Catalog'!$C:$C,0)),""))))</f>
        <v>4413049</v>
      </c>
      <c r="H2275" s="8" t="str">
        <f aca="false">IFERROR(INDEX('TRANS'!$C:$C,MATCH($B2275,'TRANS'!$A:$A,0)),IFERROR(INDEX('Catalog'!$B:$B,MATCH($G2275,'Catalog'!$A:$A,0)),$B2275))</f>
        <v>35 M מגן קרסול לבן</v>
      </c>
      <c r="I2275" s="8" t="str">
        <f aca="false">IF($G2275="","Unmatched","Matched")</f>
        <v>Matched</v>
      </c>
    </row>
    <row r="2276" customFormat="false" ht="15" hidden="false" customHeight="false" outlineLevel="0" collapsed="false">
      <c r="A2276" s="8" t="s">
        <v>918</v>
      </c>
      <c r="B2276" s="8" t="s">
        <v>359</v>
      </c>
      <c r="C2276" s="19" t="n">
        <v>2</v>
      </c>
      <c r="D2276" s="19" t="n">
        <v>111.7</v>
      </c>
      <c r="E2276" s="19" t="n">
        <v>8</v>
      </c>
      <c r="F2276" s="19" t="n">
        <v>421.65</v>
      </c>
      <c r="G2276" s="8" t="n">
        <f aca="false">IFERROR(INDEX('TRANS'!$B:$B,MATCH($B2276,'TRANS'!$A:$A,0)),IFERROR(INDEX('TRANS'!$B:$B,MATCH(TRIM(SUBSTITUTE($B2276,CHAR(160)," ")),'TRANS'!$D:$D,0)),IFERROR(INDEX('Catalog'!$A:$A,MATCH($B2276,'Catalog'!$B:$B,0)),IFERROR(INDEX('Catalog'!$A:$A,MATCH(TRIM(SUBSTITUTE($B2276,CHAR(160)," ")),'Catalog'!$C:$C,0)),""))))</f>
        <v>4413047</v>
      </c>
      <c r="H2276" s="8" t="str">
        <f aca="false">IFERROR(INDEX('TRANS'!$C:$C,MATCH($B2276,'TRANS'!$A:$A,0)),IFERROR(INDEX('Catalog'!$B:$B,MATCH($G2276,'Catalog'!$A:$A,0)),$B2276))</f>
        <v>35 S מגן קרסול לבן</v>
      </c>
      <c r="I2276" s="8" t="str">
        <f aca="false">IF($G2276="","Unmatched","Matched")</f>
        <v>Matched</v>
      </c>
    </row>
    <row r="2277" customFormat="false" ht="15" hidden="false" customHeight="false" outlineLevel="0" collapsed="false">
      <c r="A2277" s="8" t="s">
        <v>918</v>
      </c>
      <c r="B2277" s="8" t="s">
        <v>360</v>
      </c>
      <c r="C2277" s="19" t="n">
        <v>1</v>
      </c>
      <c r="D2277" s="19" t="n">
        <v>47.47</v>
      </c>
      <c r="E2277" s="19" t="n">
        <v>11</v>
      </c>
      <c r="F2277" s="19" t="n">
        <v>591.63</v>
      </c>
      <c r="G2277" s="8" t="n">
        <f aca="false">IFERROR(INDEX('TRANS'!$B:$B,MATCH($B2277,'TRANS'!$A:$A,0)),IFERROR(INDEX('TRANS'!$B:$B,MATCH(TRIM(SUBSTITUTE($B2277,CHAR(160)," ")),'TRANS'!$D:$D,0)),IFERROR(INDEX('Catalog'!$A:$A,MATCH($B2277,'Catalog'!$B:$B,0)),IFERROR(INDEX('Catalog'!$A:$A,MATCH(TRIM(SUBSTITUTE($B2277,CHAR(160)," ")),'Catalog'!$C:$C,0)),""))))</f>
        <v>4413050</v>
      </c>
      <c r="H2277" s="8" t="str">
        <f aca="false">IFERROR(INDEX('TRANS'!$C:$C,MATCH($B2277,'TRANS'!$A:$A,0)),IFERROR(INDEX('Catalog'!$B:$B,MATCH($G2277,'Catalog'!$A:$A,0)),$B2277))</f>
        <v>35 XL מגן קרסול לבן</v>
      </c>
      <c r="I2277" s="8" t="str">
        <f aca="false">IF($G2277="","Unmatched","Matched")</f>
        <v>Matched</v>
      </c>
    </row>
    <row r="2278" customFormat="false" ht="15" hidden="false" customHeight="false" outlineLevel="0" collapsed="false">
      <c r="A2278" s="8" t="s">
        <v>918</v>
      </c>
      <c r="B2278" s="8" t="s">
        <v>361</v>
      </c>
      <c r="C2278" s="19" t="n">
        <v>2</v>
      </c>
      <c r="D2278" s="19" t="n">
        <v>110</v>
      </c>
      <c r="E2278" s="19" t="n">
        <v>4</v>
      </c>
      <c r="F2278" s="19" t="n">
        <v>212.23</v>
      </c>
      <c r="G2278" s="8" t="str">
        <f aca="false">IFERROR(INDEX('TRANS'!$B:$B,MATCH($B2278,'TRANS'!$A:$A,0)),IFERROR(INDEX('TRANS'!$B:$B,MATCH(TRIM(SUBSTITUTE($B2278,CHAR(160)," ")),'TRANS'!$D:$D,0)),IFERROR(INDEX('Catalog'!$A:$A,MATCH($B2278,'Catalog'!$B:$B,0)),IFERROR(INDEX('Catalog'!$A:$A,MATCH(TRIM(SUBSTITUTE($B2278,CHAR(160)," ")),'Catalog'!$C:$C,0)),""))))</f>
        <v/>
      </c>
      <c r="H2278" s="8" t="str">
        <f aca="false">IFERROR(INDEX('TRANS'!$C:$C,MATCH($B2278,'TRANS'!$A:$A,0)),IFERROR(INDEX('Catalog'!$B:$B,MATCH($G2278,'Catalog'!$A:$A,0)),$B2278))</f>
        <v>35 XS</v>
      </c>
      <c r="I2278" s="8" t="str">
        <f aca="false">IF($G2278="","Unmatched","Matched")</f>
        <v>Unmatched</v>
      </c>
    </row>
    <row r="2279" customFormat="false" ht="15" hidden="false" customHeight="false" outlineLevel="0" collapsed="false">
      <c r="A2279" s="8" t="s">
        <v>918</v>
      </c>
      <c r="B2279" s="8" t="s">
        <v>362</v>
      </c>
      <c r="C2279" s="19" t="n">
        <v>16</v>
      </c>
      <c r="D2279" s="19" t="n">
        <v>823.18</v>
      </c>
      <c r="E2279" s="19" t="n">
        <v>9</v>
      </c>
      <c r="F2279" s="19" t="n">
        <v>494.27</v>
      </c>
      <c r="G2279" s="8" t="n">
        <f aca="false">IFERROR(INDEX('TRANS'!$B:$B,MATCH($B2279,'TRANS'!$A:$A,0)),IFERROR(INDEX('TRANS'!$B:$B,MATCH(TRIM(SUBSTITUTE($B2279,CHAR(160)," ")),'TRANS'!$D:$D,0)),IFERROR(INDEX('Catalog'!$A:$A,MATCH($B2279,'Catalog'!$B:$B,0)),IFERROR(INDEX('Catalog'!$A:$A,MATCH(TRIM(SUBSTITUTE($B2279,CHAR(160)," ")),'Catalog'!$C:$C,0)),""))))</f>
        <v>4413051</v>
      </c>
      <c r="H2279" s="8" t="str">
        <f aca="false">IFERROR(INDEX('TRANS'!$C:$C,MATCH($B2279,'TRANS'!$A:$A,0)),IFERROR(INDEX('Catalog'!$B:$B,MATCH($G2279,'Catalog'!$A:$A,0)),$B2279))</f>
        <v>35 XXL מגן קרסול לבן</v>
      </c>
      <c r="I2279" s="8" t="str">
        <f aca="false">IF($G2279="","Unmatched","Matched")</f>
        <v>Matched</v>
      </c>
    </row>
    <row r="2280" customFormat="false" ht="15" hidden="false" customHeight="false" outlineLevel="0" collapsed="false">
      <c r="A2280" s="8" t="s">
        <v>918</v>
      </c>
      <c r="B2280" s="8" t="s">
        <v>135</v>
      </c>
      <c r="C2280" s="19" t="n">
        <v>5</v>
      </c>
      <c r="D2280" s="19" t="n">
        <v>240.15</v>
      </c>
      <c r="E2280" s="19" t="n">
        <v>17</v>
      </c>
      <c r="F2280" s="19" t="n">
        <v>924.29</v>
      </c>
      <c r="G2280" s="8" t="n">
        <f aca="false">IFERROR(INDEX('TRANS'!$B:$B,MATCH($B2280,'TRANS'!$A:$A,0)),IFERROR(INDEX('TRANS'!$B:$B,MATCH(TRIM(SUBSTITUTE($B2280,CHAR(160)," ")),'TRANS'!$D:$D,0)),IFERROR(INDEX('Catalog'!$A:$A,MATCH($B2280,'Catalog'!$B:$B,0)),IFERROR(INDEX('Catalog'!$A:$A,MATCH(TRIM(SUBSTITUTE($B2280,CHAR(160)," ")),'Catalog'!$C:$C,0)),""))))</f>
        <v>4413490</v>
      </c>
      <c r="H2280" s="8" t="str">
        <f aca="false">IFERROR(INDEX('TRANS'!$C:$C,MATCH($B2280,'TRANS'!$A:$A,0)),IFERROR(INDEX('Catalog'!$B:$B,MATCH($G2280,'Catalog'!$A:$A,0)),$B2280))</f>
        <v>35B L מגן קרסול שחור</v>
      </c>
      <c r="I2280" s="8" t="str">
        <f aca="false">IF($G2280="","Unmatched","Matched")</f>
        <v>Matched</v>
      </c>
    </row>
    <row r="2281" customFormat="false" ht="15" hidden="false" customHeight="false" outlineLevel="0" collapsed="false">
      <c r="A2281" s="8" t="s">
        <v>918</v>
      </c>
      <c r="B2281" s="8" t="s">
        <v>136</v>
      </c>
      <c r="C2281" s="19" t="n">
        <v>10</v>
      </c>
      <c r="D2281" s="19" t="n">
        <v>505.44</v>
      </c>
      <c r="E2281" s="19" t="n">
        <v>9</v>
      </c>
      <c r="F2281" s="19" t="n">
        <v>502.65</v>
      </c>
      <c r="G2281" s="8" t="n">
        <f aca="false">IFERROR(INDEX('TRANS'!$B:$B,MATCH($B2281,'TRANS'!$A:$A,0)),IFERROR(INDEX('TRANS'!$B:$B,MATCH(TRIM(SUBSTITUTE($B2281,CHAR(160)," ")),'TRANS'!$D:$D,0)),IFERROR(INDEX('Catalog'!$A:$A,MATCH($B2281,'Catalog'!$B:$B,0)),IFERROR(INDEX('Catalog'!$A:$A,MATCH(TRIM(SUBSTITUTE($B2281,CHAR(160)," ")),'Catalog'!$C:$C,0)),""))))</f>
        <v>4413492</v>
      </c>
      <c r="H2281" s="8" t="str">
        <f aca="false">IFERROR(INDEX('TRANS'!$C:$C,MATCH($B2281,'TRANS'!$A:$A,0)),IFERROR(INDEX('Catalog'!$B:$B,MATCH($G2281,'Catalog'!$A:$A,0)),$B2281))</f>
        <v>35B M מגן קרסול שחור</v>
      </c>
      <c r="I2281" s="8" t="str">
        <f aca="false">IF($G2281="","Unmatched","Matched")</f>
        <v>Matched</v>
      </c>
    </row>
    <row r="2282" customFormat="false" ht="15" hidden="false" customHeight="false" outlineLevel="0" collapsed="false">
      <c r="A2282" s="8" t="s">
        <v>918</v>
      </c>
      <c r="B2282" s="8" t="s">
        <v>137</v>
      </c>
      <c r="C2282" s="19" t="n">
        <v>6</v>
      </c>
      <c r="D2282" s="19" t="n">
        <v>312.76</v>
      </c>
      <c r="E2282" s="19" t="n">
        <v>4</v>
      </c>
      <c r="F2282" s="19" t="n">
        <v>223.4</v>
      </c>
      <c r="G2282" s="8" t="n">
        <f aca="false">IFERROR(INDEX('TRANS'!$B:$B,MATCH($B2282,'TRANS'!$A:$A,0)),IFERROR(INDEX('TRANS'!$B:$B,MATCH(TRIM(SUBSTITUTE($B2282,CHAR(160)," ")),'TRANS'!$D:$D,0)),IFERROR(INDEX('Catalog'!$A:$A,MATCH($B2282,'Catalog'!$B:$B,0)),IFERROR(INDEX('Catalog'!$A:$A,MATCH(TRIM(SUBSTITUTE($B2282,CHAR(160)," ")),'Catalog'!$C:$C,0)),""))))</f>
        <v>4413493</v>
      </c>
      <c r="H2282" s="8" t="str">
        <f aca="false">IFERROR(INDEX('TRANS'!$C:$C,MATCH($B2282,'TRANS'!$A:$A,0)),IFERROR(INDEX('Catalog'!$B:$B,MATCH($G2282,'Catalog'!$A:$A,0)),$B2282))</f>
        <v>35B S מגן קרסול שחור</v>
      </c>
      <c r="I2282" s="8" t="str">
        <f aca="false">IF($G2282="","Unmatched","Matched")</f>
        <v>Matched</v>
      </c>
    </row>
    <row r="2283" customFormat="false" ht="15" hidden="false" customHeight="false" outlineLevel="0" collapsed="false">
      <c r="A2283" s="8" t="s">
        <v>918</v>
      </c>
      <c r="B2283" s="8" t="s">
        <v>138</v>
      </c>
      <c r="C2283" s="19" t="n">
        <v>6</v>
      </c>
      <c r="D2283" s="19" t="n">
        <v>304.38</v>
      </c>
      <c r="E2283" s="19" t="n">
        <v>7</v>
      </c>
      <c r="F2283" s="19" t="n">
        <v>390.95</v>
      </c>
      <c r="G2283" s="8" t="n">
        <f aca="false">IFERROR(INDEX('TRANS'!$B:$B,MATCH($B2283,'TRANS'!$A:$A,0)),IFERROR(INDEX('TRANS'!$B:$B,MATCH(TRIM(SUBSTITUTE($B2283,CHAR(160)," ")),'TRANS'!$D:$D,0)),IFERROR(INDEX('Catalog'!$A:$A,MATCH($B2283,'Catalog'!$B:$B,0)),IFERROR(INDEX('Catalog'!$A:$A,MATCH(TRIM(SUBSTITUTE($B2283,CHAR(160)," ")),'Catalog'!$C:$C,0)),""))))</f>
        <v>4413491</v>
      </c>
      <c r="H2283" s="8" t="str">
        <f aca="false">IFERROR(INDEX('TRANS'!$C:$C,MATCH($B2283,'TRANS'!$A:$A,0)),IFERROR(INDEX('Catalog'!$B:$B,MATCH($G2283,'Catalog'!$A:$A,0)),$B2283))</f>
        <v>35B XL מגן קרסול שחור</v>
      </c>
      <c r="I2283" s="8" t="str">
        <f aca="false">IF($G2283="","Unmatched","Matched")</f>
        <v>Matched</v>
      </c>
    </row>
    <row r="2284" customFormat="false" ht="15" hidden="false" customHeight="false" outlineLevel="0" collapsed="false">
      <c r="A2284" s="8" t="s">
        <v>918</v>
      </c>
      <c r="B2284" s="8" t="s">
        <v>139</v>
      </c>
      <c r="C2284" s="19" t="n">
        <v>9</v>
      </c>
      <c r="D2284" s="19" t="n">
        <v>485.89</v>
      </c>
      <c r="E2284" s="19" t="n">
        <v>2</v>
      </c>
      <c r="F2284" s="19" t="n">
        <v>103.33</v>
      </c>
      <c r="G2284" s="8" t="n">
        <f aca="false">IFERROR(INDEX('TRANS'!$B:$B,MATCH($B2284,'TRANS'!$A:$A,0)),IFERROR(INDEX('TRANS'!$B:$B,MATCH(TRIM(SUBSTITUTE($B2284,CHAR(160)," ")),'TRANS'!$D:$D,0)),IFERROR(INDEX('Catalog'!$A:$A,MATCH($B2284,'Catalog'!$B:$B,0)),IFERROR(INDEX('Catalog'!$A:$A,MATCH(TRIM(SUBSTITUTE($B2284,CHAR(160)," ")),'Catalog'!$C:$C,0)),""))))</f>
        <v>4413494</v>
      </c>
      <c r="H2284" s="8" t="str">
        <f aca="false">IFERROR(INDEX('TRANS'!$C:$C,MATCH($B2284,'TRANS'!$A:$A,0)),IFERROR(INDEX('Catalog'!$B:$B,MATCH($G2284,'Catalog'!$A:$A,0)),$B2284))</f>
        <v>35B XXL מגן קרסול שחור</v>
      </c>
      <c r="I2284" s="8" t="str">
        <f aca="false">IF($G2284="","Unmatched","Matched")</f>
        <v>Matched</v>
      </c>
    </row>
    <row r="2285" customFormat="false" ht="15" hidden="false" customHeight="false" outlineLevel="0" collapsed="false">
      <c r="A2285" s="8" t="s">
        <v>918</v>
      </c>
      <c r="B2285" s="8" t="s">
        <v>140</v>
      </c>
      <c r="C2285" s="19" t="n">
        <v>13</v>
      </c>
      <c r="D2285" s="19" t="n">
        <v>636.69</v>
      </c>
      <c r="E2285" s="19" t="n">
        <v>9</v>
      </c>
      <c r="F2285" s="19" t="n">
        <v>441.22</v>
      </c>
      <c r="G2285" s="8" t="n">
        <f aca="false">IFERROR(INDEX('TRANS'!$B:$B,MATCH($B2285,'TRANS'!$A:$A,0)),IFERROR(INDEX('TRANS'!$B:$B,MATCH(TRIM(SUBSTITUTE($B2285,CHAR(160)," ")),'TRANS'!$D:$D,0)),IFERROR(INDEX('Catalog'!$A:$A,MATCH($B2285,'Catalog'!$B:$B,0)),IFERROR(INDEX('Catalog'!$A:$A,MATCH(TRIM(SUBSTITUTE($B2285,CHAR(160)," ")),'Catalog'!$C:$C,0)),""))))</f>
        <v>4413053</v>
      </c>
      <c r="H2285" s="8" t="str">
        <f aca="false">IFERROR(INDEX('TRANS'!$C:$C,MATCH($B2285,'TRANS'!$A:$A,0)),IFERROR(INDEX('Catalog'!$B:$B,MATCH($G2285,'Catalog'!$A:$A,0)),$B2285))</f>
        <v>35C L מגן קרסול חום</v>
      </c>
      <c r="I2285" s="8" t="str">
        <f aca="false">IF($G2285="","Unmatched","Matched")</f>
        <v>Matched</v>
      </c>
    </row>
    <row r="2286" customFormat="false" ht="15" hidden="false" customHeight="false" outlineLevel="0" collapsed="false">
      <c r="A2286" s="8" t="s">
        <v>918</v>
      </c>
      <c r="B2286" s="8" t="s">
        <v>141</v>
      </c>
      <c r="C2286" s="19" t="n">
        <v>5</v>
      </c>
      <c r="D2286" s="19" t="n">
        <v>240.15</v>
      </c>
      <c r="E2286" s="19" t="n">
        <v>1</v>
      </c>
      <c r="F2286" s="19" t="n">
        <v>55.84</v>
      </c>
      <c r="G2286" s="8" t="n">
        <f aca="false">IFERROR(INDEX('TRANS'!$B:$B,MATCH($B2286,'TRANS'!$A:$A,0)),IFERROR(INDEX('TRANS'!$B:$B,MATCH(TRIM(SUBSTITUTE($B2286,CHAR(160)," ")),'TRANS'!$D:$D,0)),IFERROR(INDEX('Catalog'!$A:$A,MATCH($B2286,'Catalog'!$B:$B,0)),IFERROR(INDEX('Catalog'!$A:$A,MATCH(TRIM(SUBSTITUTE($B2286,CHAR(160)," ")),'Catalog'!$C:$C,0)),""))))</f>
        <v>4413054</v>
      </c>
      <c r="H2286" s="8" t="str">
        <f aca="false">IFERROR(INDEX('TRANS'!$C:$C,MATCH($B2286,'TRANS'!$A:$A,0)),IFERROR(INDEX('Catalog'!$B:$B,MATCH($G2286,'Catalog'!$A:$A,0)),$B2286))</f>
        <v>35C M מגן קרסול חום</v>
      </c>
      <c r="I2286" s="8" t="str">
        <f aca="false">IF($G2286="","Unmatched","Matched")</f>
        <v>Matched</v>
      </c>
    </row>
    <row r="2287" customFormat="false" ht="15" hidden="false" customHeight="false" outlineLevel="0" collapsed="false">
      <c r="A2287" s="8" t="s">
        <v>918</v>
      </c>
      <c r="B2287" s="8" t="s">
        <v>142</v>
      </c>
      <c r="C2287" s="19" t="n">
        <v>11</v>
      </c>
      <c r="D2287" s="19" t="n">
        <v>565.17</v>
      </c>
      <c r="E2287" s="19" t="n">
        <v>9</v>
      </c>
      <c r="F2287" s="19" t="n">
        <v>474.71</v>
      </c>
      <c r="G2287" s="8" t="n">
        <f aca="false">IFERROR(INDEX('TRANS'!$B:$B,MATCH($B2287,'TRANS'!$A:$A,0)),IFERROR(INDEX('TRANS'!$B:$B,MATCH(TRIM(SUBSTITUTE($B2287,CHAR(160)," ")),'TRANS'!$D:$D,0)),IFERROR(INDEX('Catalog'!$A:$A,MATCH($B2287,'Catalog'!$B:$B,0)),IFERROR(INDEX('Catalog'!$A:$A,MATCH(TRIM(SUBSTITUTE($B2287,CHAR(160)," ")),'Catalog'!$C:$C,0)),""))))</f>
        <v>4413052</v>
      </c>
      <c r="H2287" s="8" t="str">
        <f aca="false">IFERROR(INDEX('TRANS'!$C:$C,MATCH($B2287,'TRANS'!$A:$A,0)),IFERROR(INDEX('Catalog'!$B:$B,MATCH($G2287,'Catalog'!$A:$A,0)),$B2287))</f>
        <v>35C S מגן קרסול חום</v>
      </c>
      <c r="I2287" s="8" t="str">
        <f aca="false">IF($G2287="","Unmatched","Matched")</f>
        <v>Matched</v>
      </c>
    </row>
    <row r="2288" customFormat="false" ht="15" hidden="false" customHeight="false" outlineLevel="0" collapsed="false">
      <c r="A2288" s="8" t="s">
        <v>918</v>
      </c>
      <c r="B2288" s="8" t="s">
        <v>363</v>
      </c>
      <c r="C2288" s="19" t="n">
        <v>1</v>
      </c>
      <c r="D2288" s="19" t="n">
        <v>55.85</v>
      </c>
      <c r="E2288" s="19" t="n">
        <v>4</v>
      </c>
      <c r="F2288" s="19" t="n">
        <v>223.4</v>
      </c>
      <c r="G2288" s="8" t="n">
        <f aca="false">IFERROR(INDEX('TRANS'!$B:$B,MATCH($B2288,'TRANS'!$A:$A,0)),IFERROR(INDEX('TRANS'!$B:$B,MATCH(TRIM(SUBSTITUTE($B2288,CHAR(160)," ")),'TRANS'!$D:$D,0)),IFERROR(INDEX('Catalog'!$A:$A,MATCH($B2288,'Catalog'!$B:$B,0)),IFERROR(INDEX('Catalog'!$A:$A,MATCH(TRIM(SUBSTITUTE($B2288,CHAR(160)," ")),'Catalog'!$C:$C,0)),""))))</f>
        <v>4413055</v>
      </c>
      <c r="H2288" s="8" t="str">
        <f aca="false">IFERROR(INDEX('TRANS'!$C:$C,MATCH($B2288,'TRANS'!$A:$A,0)),IFERROR(INDEX('Catalog'!$B:$B,MATCH($G2288,'Catalog'!$A:$A,0)),$B2288))</f>
        <v>35C XL מגן קרסול חום</v>
      </c>
      <c r="I2288" s="8" t="str">
        <f aca="false">IF($G2288="","Unmatched","Matched")</f>
        <v>Matched</v>
      </c>
    </row>
    <row r="2289" customFormat="false" ht="15" hidden="false" customHeight="false" outlineLevel="0" collapsed="false">
      <c r="A2289" s="8" t="s">
        <v>918</v>
      </c>
      <c r="B2289" s="8" t="s">
        <v>143</v>
      </c>
      <c r="C2289" s="19" t="n">
        <v>6</v>
      </c>
      <c r="D2289" s="19" t="n">
        <v>314.94</v>
      </c>
      <c r="E2289" s="19" t="n">
        <v>6</v>
      </c>
      <c r="F2289" s="19" t="n">
        <v>329.5</v>
      </c>
      <c r="G2289" s="8" t="str">
        <f aca="false">IFERROR(INDEX('TRANS'!$B:$B,MATCH($B2289,'TRANS'!$A:$A,0)),IFERROR(INDEX('TRANS'!$B:$B,MATCH(TRIM(SUBSTITUTE($B2289,CHAR(160)," ")),'TRANS'!$D:$D,0)),IFERROR(INDEX('Catalog'!$A:$A,MATCH($B2289,'Catalog'!$B:$B,0)),IFERROR(INDEX('Catalog'!$A:$A,MATCH(TRIM(SUBSTITUTE($B2289,CHAR(160)," ")),'Catalog'!$C:$C,0)),""))))</f>
        <v/>
      </c>
      <c r="H2289" s="8" t="str">
        <f aca="false">IFERROR(INDEX('TRANS'!$C:$C,MATCH($B2289,'TRANS'!$A:$A,0)),IFERROR(INDEX('Catalog'!$B:$B,MATCH($G2289,'Catalog'!$A:$A,0)),$B2289))</f>
        <v>35C XS</v>
      </c>
      <c r="I2289" s="8" t="str">
        <f aca="false">IF($G2289="","Unmatched","Matched")</f>
        <v>Unmatched</v>
      </c>
    </row>
    <row r="2290" customFormat="false" ht="15" hidden="false" customHeight="false" outlineLevel="0" collapsed="false">
      <c r="A2290" s="8" t="s">
        <v>918</v>
      </c>
      <c r="B2290" s="8" t="s">
        <v>144</v>
      </c>
      <c r="C2290" s="19" t="n">
        <v>8</v>
      </c>
      <c r="D2290" s="19" t="n">
        <v>413.49</v>
      </c>
      <c r="E2290" s="19" t="n">
        <v>4</v>
      </c>
      <c r="F2290" s="19" t="n">
        <v>223.4</v>
      </c>
      <c r="G2290" s="8" t="str">
        <f aca="false">IFERROR(INDEX('TRANS'!$B:$B,MATCH($B2290,'TRANS'!$A:$A,0)),IFERROR(INDEX('TRANS'!$B:$B,MATCH(TRIM(SUBSTITUTE($B2290,CHAR(160)," ")),'TRANS'!$D:$D,0)),IFERROR(INDEX('Catalog'!$A:$A,MATCH($B2290,'Catalog'!$B:$B,0)),IFERROR(INDEX('Catalog'!$A:$A,MATCH(TRIM(SUBSTITUTE($B2290,CHAR(160)," ")),'Catalog'!$C:$C,0)),""))))</f>
        <v/>
      </c>
      <c r="H2290" s="8" t="str">
        <f aca="false">IFERROR(INDEX('TRANS'!$C:$C,MATCH($B2290,'TRANS'!$A:$A,0)),IFERROR(INDEX('Catalog'!$B:$B,MATCH($G2290,'Catalog'!$A:$A,0)),$B2290))</f>
        <v>35C XXL</v>
      </c>
      <c r="I2290" s="8" t="str">
        <f aca="false">IF($G2290="","Unmatched","Matched")</f>
        <v>Unmatched</v>
      </c>
    </row>
    <row r="2291" customFormat="false" ht="15" hidden="false" customHeight="false" outlineLevel="0" collapsed="false">
      <c r="A2291" s="8" t="s">
        <v>918</v>
      </c>
      <c r="B2291" s="8" t="s">
        <v>145</v>
      </c>
      <c r="C2291" s="19" t="n">
        <v>59</v>
      </c>
      <c r="D2291" s="19" t="n">
        <v>4542.97</v>
      </c>
      <c r="E2291" s="19" t="n">
        <v>78</v>
      </c>
      <c r="F2291" s="19" t="n">
        <v>6127.87</v>
      </c>
      <c r="G2291" s="8" t="n">
        <f aca="false">IFERROR(INDEX('TRANS'!$B:$B,MATCH($B2291,'TRANS'!$A:$A,0)),IFERROR(INDEX('TRANS'!$B:$B,MATCH(TRIM(SUBSTITUTE($B2291,CHAR(160)," ")),'TRANS'!$D:$D,0)),IFERROR(INDEX('Catalog'!$A:$A,MATCH($B2291,'Catalog'!$B:$B,0)),IFERROR(INDEX('Catalog'!$A:$A,MATCH(TRIM(SUBSTITUTE($B2291,CHAR(160)," ")),'Catalog'!$C:$C,0)),""))))</f>
        <v>4421007</v>
      </c>
      <c r="H2291" s="8" t="str">
        <f aca="false">IFERROR(INDEX('TRANS'!$C:$C,MATCH($B2291,'TRANS'!$A:$A,0)),IFERROR(INDEX('Catalog'!$B:$B,MATCH($G2291,'Catalog'!$A:$A,0)),$B2291))</f>
        <v>שרוול לגבס קצר רגל</v>
      </c>
      <c r="I2291" s="8" t="str">
        <f aca="false">IF($G2291="","Unmatched","Matched")</f>
        <v>Matched</v>
      </c>
    </row>
    <row r="2292" customFormat="false" ht="15" hidden="false" customHeight="false" outlineLevel="0" collapsed="false">
      <c r="A2292" s="8" t="s">
        <v>918</v>
      </c>
      <c r="B2292" s="8" t="s">
        <v>146</v>
      </c>
      <c r="C2292" s="19" t="n">
        <v>29</v>
      </c>
      <c r="D2292" s="19" t="n">
        <v>2300.87</v>
      </c>
      <c r="E2292" s="19" t="n">
        <v>109</v>
      </c>
      <c r="F2292" s="19" t="n">
        <v>8986.70999999999</v>
      </c>
      <c r="G2292" s="8" t="n">
        <f aca="false">IFERROR(INDEX('TRANS'!$B:$B,MATCH($B2292,'TRANS'!$A:$A,0)),IFERROR(INDEX('TRANS'!$B:$B,MATCH(TRIM(SUBSTITUTE($B2292,CHAR(160)," ")),'TRANS'!$D:$D,0)),IFERROR(INDEX('Catalog'!$A:$A,MATCH($B2292,'Catalog'!$B:$B,0)),IFERROR(INDEX('Catalog'!$A:$A,MATCH(TRIM(SUBSTITUTE($B2292,CHAR(160)," ")),'Catalog'!$C:$C,0)),""))))</f>
        <v>4421008</v>
      </c>
      <c r="H2292" s="8" t="str">
        <f aca="false">IFERROR(INDEX('TRANS'!$C:$C,MATCH($B2292,'TRANS'!$A:$A,0)),IFERROR(INDEX('Catalog'!$B:$B,MATCH($G2292,'Catalog'!$A:$A,0)),$B2292))</f>
        <v>שרוול לגבס ארוך רגל</v>
      </c>
      <c r="I2292" s="8" t="str">
        <f aca="false">IF($G2292="","Unmatched","Matched")</f>
        <v>Matched</v>
      </c>
    </row>
    <row r="2293" customFormat="false" ht="15" hidden="false" customHeight="false" outlineLevel="0" collapsed="false">
      <c r="A2293" s="8" t="s">
        <v>918</v>
      </c>
      <c r="B2293" s="8" t="s">
        <v>147</v>
      </c>
      <c r="C2293" s="19" t="n">
        <v>23</v>
      </c>
      <c r="D2293" s="19" t="n">
        <v>2419.57</v>
      </c>
      <c r="E2293" s="19" t="n">
        <v>24</v>
      </c>
      <c r="F2293" s="19" t="n">
        <v>2581.44</v>
      </c>
      <c r="G2293" s="8" t="n">
        <f aca="false">IFERROR(INDEX('TRANS'!$B:$B,MATCH($B2293,'TRANS'!$A:$A,0)),IFERROR(INDEX('TRANS'!$B:$B,MATCH(TRIM(SUBSTITUTE($B2293,CHAR(160)," ")),'TRANS'!$D:$D,0)),IFERROR(INDEX('Catalog'!$A:$A,MATCH($B2293,'Catalog'!$B:$B,0)),IFERROR(INDEX('Catalog'!$A:$A,MATCH(TRIM(SUBSTITUTE($B2293,CHAR(160)," ")),'Catalog'!$C:$C,0)),""))))</f>
        <v>4421001</v>
      </c>
      <c r="H2293" s="8" t="str">
        <f aca="false">IFERROR(INDEX('TRANS'!$C:$C,MATCH($B2293,'TRANS'!$A:$A,0)),IFERROR(INDEX('Catalog'!$B:$B,MATCH($G2293,'Catalog'!$A:$A,0)),$B2293))</f>
        <v>3611 שרוול מטטרזלי מסיליקון</v>
      </c>
      <c r="I2293" s="8" t="str">
        <f aca="false">IF($G2293="","Unmatched","Matched")</f>
        <v>Matched</v>
      </c>
    </row>
    <row r="2294" customFormat="false" ht="15" hidden="false" customHeight="false" outlineLevel="0" collapsed="false">
      <c r="A2294" s="8" t="s">
        <v>918</v>
      </c>
      <c r="B2294" s="8" t="s">
        <v>148</v>
      </c>
      <c r="C2294" s="19" t="n">
        <v>53</v>
      </c>
      <c r="D2294" s="19" t="n">
        <v>2553.04</v>
      </c>
      <c r="E2294" s="19" t="n">
        <v>101</v>
      </c>
      <c r="F2294" s="19" t="n">
        <v>5373.49</v>
      </c>
      <c r="G2294" s="8" t="n">
        <f aca="false">IFERROR(INDEX('TRANS'!$B:$B,MATCH($B2294,'TRANS'!$A:$A,0)),IFERROR(INDEX('TRANS'!$B:$B,MATCH(TRIM(SUBSTITUTE($B2294,CHAR(160)," ")),'TRANS'!$D:$D,0)),IFERROR(INDEX('Catalog'!$A:$A,MATCH($B2294,'Catalog'!$B:$B,0)),IFERROR(INDEX('Catalog'!$A:$A,MATCH(TRIM(SUBSTITUTE($B2294,CHAR(160)," ")),'Catalog'!$C:$C,0)),""))))</f>
        <v>4411000</v>
      </c>
      <c r="H2294" s="8" t="str">
        <f aca="false">IFERROR(INDEX('TRANS'!$C:$C,MATCH($B2294,'TRANS'!$A:$A,0)),IFERROR(INDEX('Catalog'!$B:$B,MATCH($G2294,'Catalog'!$A:$A,0)),$B2294))</f>
        <v>כרית מטטרזלי סיליקון362</v>
      </c>
      <c r="I2294" s="8" t="str">
        <f aca="false">IF($G2294="","Unmatched","Matched")</f>
        <v>Matched</v>
      </c>
    </row>
    <row r="2295" customFormat="false" ht="15" hidden="false" customHeight="false" outlineLevel="0" collapsed="false">
      <c r="A2295" s="8" t="s">
        <v>918</v>
      </c>
      <c r="B2295" s="8" t="s">
        <v>149</v>
      </c>
      <c r="C2295" s="19" t="n">
        <v>21</v>
      </c>
      <c r="D2295" s="19" t="n">
        <v>1221.99</v>
      </c>
      <c r="E2295" s="19" t="n">
        <v>32</v>
      </c>
      <c r="F2295" s="19" t="n">
        <v>1800.87</v>
      </c>
      <c r="G2295" s="8" t="n">
        <f aca="false">IFERROR(INDEX('TRANS'!$B:$B,MATCH($B2295,'TRANS'!$A:$A,0)),IFERROR(INDEX('TRANS'!$B:$B,MATCH(TRIM(SUBSTITUTE($B2295,CHAR(160)," ")),'TRANS'!$D:$D,0)),IFERROR(INDEX('Catalog'!$A:$A,MATCH($B2295,'Catalog'!$B:$B,0)),IFERROR(INDEX('Catalog'!$A:$A,MATCH(TRIM(SUBSTITUTE($B2295,CHAR(160)," ")),'Catalog'!$C:$C,0)),""))))</f>
        <v>4413058</v>
      </c>
      <c r="H2295" s="8" t="str">
        <f aca="false">IFERROR(INDEX('TRANS'!$C:$C,MATCH($B2295,'TRANS'!$A:$A,0)),IFERROR(INDEX('Catalog'!$B:$B,MATCH($G2295,'Catalog'!$A:$A,0)),$B2295))</f>
        <v>3622S מדבקה לשחרור לחץ 2 יח</v>
      </c>
      <c r="I2295" s="8" t="str">
        <f aca="false">IF($G2295="","Unmatched","Matched")</f>
        <v>Matched</v>
      </c>
    </row>
    <row r="2296" customFormat="false" ht="15" hidden="false" customHeight="false" outlineLevel="0" collapsed="false">
      <c r="A2296" s="8" t="s">
        <v>918</v>
      </c>
      <c r="B2296" s="8" t="s">
        <v>150</v>
      </c>
      <c r="C2296" s="19" t="n">
        <v>52</v>
      </c>
      <c r="D2296" s="19" t="n">
        <v>2526.33</v>
      </c>
      <c r="E2296" s="19" t="n">
        <v>92</v>
      </c>
      <c r="F2296" s="19" t="n">
        <v>4567.53</v>
      </c>
      <c r="G2296" s="8" t="n">
        <f aca="false">IFERROR(INDEX('TRANS'!$B:$B,MATCH($B2296,'TRANS'!$A:$A,0)),IFERROR(INDEX('TRANS'!$B:$B,MATCH(TRIM(SUBSTITUTE($B2296,CHAR(160)," ")),'TRANS'!$D:$D,0)),IFERROR(INDEX('Catalog'!$A:$A,MATCH($B2296,'Catalog'!$B:$B,0)),IFERROR(INDEX('Catalog'!$A:$A,MATCH(TRIM(SUBSTITUTE($B2296,CHAR(160)," ")),'Catalog'!$C:$C,0)),""))))</f>
        <v>4411001</v>
      </c>
      <c r="H2296" s="8" t="str">
        <f aca="false">IFERROR(INDEX('TRANS'!$C:$C,MATCH($B2296,'TRANS'!$A:$A,0)),IFERROR(INDEX('Catalog'!$B:$B,MATCH($G2296,'Catalog'!$A:$A,0)),$B2296))</f>
        <v>3623 כרית ליישור אצבע פטיש</v>
      </c>
      <c r="I2296" s="8" t="str">
        <f aca="false">IF($G2296="","Unmatched","Matched")</f>
        <v>Matched</v>
      </c>
    </row>
    <row r="2297" customFormat="false" ht="15" hidden="false" customHeight="false" outlineLevel="0" collapsed="false">
      <c r="A2297" s="8" t="s">
        <v>918</v>
      </c>
      <c r="B2297" s="8" t="s">
        <v>151</v>
      </c>
      <c r="C2297" s="19" t="n">
        <v>27</v>
      </c>
      <c r="D2297" s="19" t="n">
        <v>1298.25</v>
      </c>
      <c r="E2297" s="19" t="n">
        <v>33</v>
      </c>
      <c r="F2297" s="19" t="n">
        <v>1632.01</v>
      </c>
      <c r="G2297" s="8" t="str">
        <f aca="false">IFERROR(INDEX('TRANS'!$B:$B,MATCH($B2297,'TRANS'!$A:$A,0)),IFERROR(INDEX('TRANS'!$B:$B,MATCH(TRIM(SUBSTITUTE($B2297,CHAR(160)," ")),'TRANS'!$D:$D,0)),IFERROR(INDEX('Catalog'!$A:$A,MATCH($B2297,'Catalog'!$B:$B,0)),IFERROR(INDEX('Catalog'!$A:$A,MATCH(TRIM(SUBSTITUTE($B2297,CHAR(160)," ")),'Catalog'!$C:$C,0)),""))))</f>
        <v/>
      </c>
      <c r="H2297" s="8" t="str">
        <f aca="false">IFERROR(INDEX('TRANS'!$C:$C,MATCH($B2297,'TRANS'!$A:$A,0)),IFERROR(INDEX('Catalog'!$B:$B,MATCH($G2297,'Catalog'!$A:$A,0)),$B2297))</f>
        <v>363 L/R</v>
      </c>
      <c r="I2297" s="8" t="str">
        <f aca="false">IF($G2297="","Unmatched","Matched")</f>
        <v>Unmatched</v>
      </c>
    </row>
    <row r="2298" customFormat="false" ht="15" hidden="false" customHeight="false" outlineLevel="0" collapsed="false">
      <c r="A2298" s="8" t="s">
        <v>918</v>
      </c>
      <c r="B2298" s="8" t="s">
        <v>950</v>
      </c>
      <c r="C2298" s="19" t="n">
        <v>0</v>
      </c>
      <c r="D2298" s="19" t="n">
        <v>0</v>
      </c>
      <c r="E2298" s="19" t="n">
        <v>9</v>
      </c>
      <c r="F2298" s="19" t="n">
        <v>230.47</v>
      </c>
      <c r="G2298" s="8" t="str">
        <f aca="false">IFERROR(INDEX('TRANS'!$B:$B,MATCH($B2298,'TRANS'!$A:$A,0)),IFERROR(INDEX('TRANS'!$B:$B,MATCH(TRIM(SUBSTITUTE($B2298,CHAR(160)," ")),'TRANS'!$D:$D,0)),IFERROR(INDEX('Catalog'!$A:$A,MATCH($B2298,'Catalog'!$B:$B,0)),IFERROR(INDEX('Catalog'!$A:$A,MATCH(TRIM(SUBSTITUTE($B2298,CHAR(160)," ")),'Catalog'!$C:$C,0)),""))))</f>
        <v/>
      </c>
      <c r="H2298" s="8" t="str">
        <f aca="false">IFERROR(INDEX('TRANS'!$C:$C,MATCH($B2298,'TRANS'!$A:$A,0)),IFERROR(INDEX('Catalog'!$B:$B,MATCH($G2298,'Catalog'!$A:$A,0)),$B2298))</f>
        <v>364 S-L</v>
      </c>
      <c r="I2298" s="8" t="str">
        <f aca="false">IF($G2298="","Unmatched","Matched")</f>
        <v>Unmatched</v>
      </c>
    </row>
    <row r="2299" customFormat="false" ht="15" hidden="false" customHeight="false" outlineLevel="0" collapsed="false">
      <c r="A2299" s="8" t="s">
        <v>918</v>
      </c>
      <c r="B2299" s="8" t="s">
        <v>152</v>
      </c>
      <c r="C2299" s="19" t="n">
        <v>47</v>
      </c>
      <c r="D2299" s="19" t="n">
        <v>1124.83</v>
      </c>
      <c r="E2299" s="19" t="n">
        <v>38</v>
      </c>
      <c r="F2299" s="19" t="n">
        <v>976.87</v>
      </c>
      <c r="G2299" s="8" t="n">
        <f aca="false">IFERROR(INDEX('TRANS'!$B:$B,MATCH($B2299,'TRANS'!$A:$A,0)),IFERROR(INDEX('TRANS'!$B:$B,MATCH(TRIM(SUBSTITUTE($B2299,CHAR(160)," ")),'TRANS'!$D:$D,0)),IFERROR(INDEX('Catalog'!$A:$A,MATCH($B2299,'Catalog'!$B:$B,0)),IFERROR(INDEX('Catalog'!$A:$A,MATCH(TRIM(SUBSTITUTE($B2299,CHAR(160)," ")),'Catalog'!$C:$C,0)),""))))</f>
        <v>4413059</v>
      </c>
      <c r="H2299" s="8" t="str">
        <f aca="false">IFERROR(INDEX('TRANS'!$C:$C,MATCH($B2299,'TRANS'!$A:$A,0)),IFERROR(INDEX('Catalog'!$B:$B,MATCH($G2299,'Catalog'!$A:$A,0)),$B2299))</f>
        <v>364S Lמפר.אצבע סיליק. ליבל.זוג</v>
      </c>
      <c r="I2299" s="8" t="str">
        <f aca="false">IF($G2299="","Unmatched","Matched")</f>
        <v>Matched</v>
      </c>
    </row>
    <row r="2300" customFormat="false" ht="15" hidden="false" customHeight="false" outlineLevel="0" collapsed="false">
      <c r="A2300" s="8" t="s">
        <v>918</v>
      </c>
      <c r="B2300" s="8" t="s">
        <v>153</v>
      </c>
      <c r="C2300" s="19" t="n">
        <v>20</v>
      </c>
      <c r="D2300" s="19" t="n">
        <v>501.53</v>
      </c>
      <c r="E2300" s="19" t="n">
        <v>21</v>
      </c>
      <c r="F2300" s="19" t="n">
        <v>525.08</v>
      </c>
      <c r="G2300" s="8" t="n">
        <f aca="false">IFERROR(INDEX('TRANS'!$B:$B,MATCH($B2300,'TRANS'!$A:$A,0)),IFERROR(INDEX('TRANS'!$B:$B,MATCH(TRIM(SUBSTITUTE($B2300,CHAR(160)," ")),'TRANS'!$D:$D,0)),IFERROR(INDEX('Catalog'!$A:$A,MATCH($B2300,'Catalog'!$B:$B,0)),IFERROR(INDEX('Catalog'!$A:$A,MATCH(TRIM(SUBSTITUTE($B2300,CHAR(160)," ")),'Catalog'!$C:$C,0)),""))))</f>
        <v>4413060</v>
      </c>
      <c r="H2300" s="8" t="str">
        <f aca="false">IFERROR(INDEX('TRANS'!$C:$C,MATCH($B2300,'TRANS'!$A:$A,0)),IFERROR(INDEX('Catalog'!$B:$B,MATCH($G2300,'Catalog'!$A:$A,0)),$B2300))</f>
        <v>364 XLמפריד אצבע סיליקון ליבלת</v>
      </c>
      <c r="I2300" s="8" t="str">
        <f aca="false">IF($G2300="","Unmatched","Matched")</f>
        <v>Matched</v>
      </c>
    </row>
    <row r="2301" customFormat="false" ht="15" hidden="false" customHeight="false" outlineLevel="0" collapsed="false">
      <c r="A2301" s="8" t="s">
        <v>918</v>
      </c>
      <c r="B2301" s="8" t="s">
        <v>154</v>
      </c>
      <c r="C2301" s="19" t="n">
        <v>9</v>
      </c>
      <c r="D2301" s="19" t="n">
        <v>321.52</v>
      </c>
      <c r="E2301" s="19" t="n">
        <v>0</v>
      </c>
      <c r="F2301" s="19" t="n">
        <v>0</v>
      </c>
      <c r="G2301" s="8" t="n">
        <f aca="false">IFERROR(INDEX('TRANS'!$B:$B,MATCH($B2301,'TRANS'!$A:$A,0)),IFERROR(INDEX('TRANS'!$B:$B,MATCH(TRIM(SUBSTITUTE($B2301,CHAR(160)," ")),'TRANS'!$D:$D,0)),IFERROR(INDEX('Catalog'!$A:$A,MATCH($B2301,'Catalog'!$B:$B,0)),IFERROR(INDEX('Catalog'!$A:$A,MATCH(TRIM(SUBSTITUTE($B2301,CHAR(160)," ")),'Catalog'!$C:$C,0)),""))))</f>
        <v>4413061</v>
      </c>
      <c r="H2301" s="8" t="str">
        <f aca="false">IFERROR(INDEX('TRANS'!$C:$C,MATCH($B2301,'TRANS'!$A:$A,0)),IFERROR(INDEX('Catalog'!$B:$B,MATCH($G2301,'Catalog'!$A:$A,0)),$B2301))</f>
        <v>3641-מיישר בוהן סיליקון קשיח</v>
      </c>
      <c r="I2301" s="8" t="str">
        <f aca="false">IF($G2301="","Unmatched","Matched")</f>
        <v>Matched</v>
      </c>
    </row>
    <row r="2302" customFormat="false" ht="15" hidden="false" customHeight="false" outlineLevel="0" collapsed="false">
      <c r="A2302" s="8" t="s">
        <v>918</v>
      </c>
      <c r="B2302" s="8" t="s">
        <v>951</v>
      </c>
      <c r="C2302" s="19" t="n">
        <v>0</v>
      </c>
      <c r="D2302" s="19" t="n">
        <v>0</v>
      </c>
      <c r="E2302" s="19" t="n">
        <v>40</v>
      </c>
      <c r="F2302" s="19" t="n">
        <v>992.54</v>
      </c>
      <c r="G2302" s="8" t="str">
        <f aca="false">IFERROR(INDEX('TRANS'!$B:$B,MATCH($B2302,'TRANS'!$A:$A,0)),IFERROR(INDEX('TRANS'!$B:$B,MATCH(TRIM(SUBSTITUTE($B2302,CHAR(160)," ")),'TRANS'!$D:$D,0)),IFERROR(INDEX('Catalog'!$A:$A,MATCH($B2302,'Catalog'!$B:$B,0)),IFERROR(INDEX('Catalog'!$A:$A,MATCH(TRIM(SUBSTITUTE($B2302,CHAR(160)," ")),'Catalog'!$C:$C,0)),""))))</f>
        <v/>
      </c>
      <c r="H2302" s="8" t="str">
        <f aca="false">IFERROR(INDEX('TRANS'!$C:$C,MATCH($B2302,'TRANS'!$A:$A,0)),IFERROR(INDEX('Catalog'!$B:$B,MATCH($G2302,'Catalog'!$A:$A,0)),$B2302))</f>
        <v>365 S-L</v>
      </c>
      <c r="I2302" s="8" t="str">
        <f aca="false">IF($G2302="","Unmatched","Matched")</f>
        <v>Unmatched</v>
      </c>
    </row>
    <row r="2303" customFormat="false" ht="15" hidden="false" customHeight="false" outlineLevel="0" collapsed="false">
      <c r="A2303" s="8" t="s">
        <v>918</v>
      </c>
      <c r="B2303" s="8" t="s">
        <v>155</v>
      </c>
      <c r="C2303" s="19" t="n">
        <v>33</v>
      </c>
      <c r="D2303" s="19" t="n">
        <v>791.32</v>
      </c>
      <c r="E2303" s="19" t="n">
        <v>19</v>
      </c>
      <c r="F2303" s="19" t="n">
        <v>484.5</v>
      </c>
      <c r="G2303" s="8" t="n">
        <f aca="false">IFERROR(INDEX('TRANS'!$B:$B,MATCH($B2303,'TRANS'!$A:$A,0)),IFERROR(INDEX('TRANS'!$B:$B,MATCH(TRIM(SUBSTITUTE($B2303,CHAR(160)," ")),'TRANS'!$D:$D,0)),IFERROR(INDEX('Catalog'!$A:$A,MATCH($B2303,'Catalog'!$B:$B,0)),IFERROR(INDEX('Catalog'!$A:$A,MATCH(TRIM(SUBSTITUTE($B2303,CHAR(160)," ")),'Catalog'!$C:$C,0)),""))))</f>
        <v>4409000</v>
      </c>
      <c r="H2303" s="8" t="str">
        <f aca="false">IFERROR(INDEX('TRANS'!$C:$C,MATCH($B2303,'TRANS'!$A:$A,0)),IFERROR(INDEX('Catalog'!$B:$B,MATCH($G2303,'Catalog'!$A:$A,0)),$B2303))</f>
        <v>365 S-Lטבעת אלסטית מסיליקון</v>
      </c>
      <c r="I2303" s="8" t="str">
        <f aca="false">IF($G2303="","Unmatched","Matched")</f>
        <v>Matched</v>
      </c>
    </row>
    <row r="2304" customFormat="false" ht="15" hidden="false" customHeight="false" outlineLevel="0" collapsed="false">
      <c r="A2304" s="8" t="s">
        <v>918</v>
      </c>
      <c r="B2304" s="8" t="s">
        <v>952</v>
      </c>
      <c r="C2304" s="19" t="n">
        <v>0</v>
      </c>
      <c r="D2304" s="19" t="n">
        <v>0</v>
      </c>
      <c r="E2304" s="19" t="n">
        <v>4</v>
      </c>
      <c r="F2304" s="19" t="n">
        <v>96.28</v>
      </c>
      <c r="G2304" s="8" t="str">
        <f aca="false">IFERROR(INDEX('TRANS'!$B:$B,MATCH($B2304,'TRANS'!$A:$A,0)),IFERROR(INDEX('TRANS'!$B:$B,MATCH(TRIM(SUBSTITUTE($B2304,CHAR(160)," ")),'TRANS'!$D:$D,0)),IFERROR(INDEX('Catalog'!$A:$A,MATCH($B2304,'Catalog'!$B:$B,0)),IFERROR(INDEX('Catalog'!$A:$A,MATCH(TRIM(SUBSTITUTE($B2304,CHAR(160)," ")),'Catalog'!$C:$C,0)),""))))</f>
        <v/>
      </c>
      <c r="H2304" s="8" t="str">
        <f aca="false">IFERROR(INDEX('TRANS'!$C:$C,MATCH($B2304,'TRANS'!$A:$A,0)),IFERROR(INDEX('Catalog'!$B:$B,MATCH($G2304,'Catalog'!$A:$A,0)),$B2304))</f>
        <v>365 XL</v>
      </c>
      <c r="I2304" s="8" t="str">
        <f aca="false">IF($G2304="","Unmatched","Matched")</f>
        <v>Unmatched</v>
      </c>
    </row>
    <row r="2305" customFormat="false" ht="15" hidden="false" customHeight="false" outlineLevel="0" collapsed="false">
      <c r="A2305" s="8" t="s">
        <v>918</v>
      </c>
      <c r="B2305" s="8" t="s">
        <v>478</v>
      </c>
      <c r="C2305" s="19" t="n">
        <v>19</v>
      </c>
      <c r="D2305" s="19" t="n">
        <v>477.66</v>
      </c>
      <c r="E2305" s="19" t="n">
        <v>7</v>
      </c>
      <c r="F2305" s="19" t="n">
        <v>169.78</v>
      </c>
      <c r="G2305" s="8" t="n">
        <f aca="false">IFERROR(INDEX('TRANS'!$B:$B,MATCH($B2305,'TRANS'!$A:$A,0)),IFERROR(INDEX('TRANS'!$B:$B,MATCH(TRIM(SUBSTITUTE($B2305,CHAR(160)," ")),'TRANS'!$D:$D,0)),IFERROR(INDEX('Catalog'!$A:$A,MATCH($B2305,'Catalog'!$B:$B,0)),IFERROR(INDEX('Catalog'!$A:$A,MATCH(TRIM(SUBSTITUTE($B2305,CHAR(160)," ")),'Catalog'!$C:$C,0)),""))))</f>
        <v>4409001</v>
      </c>
      <c r="H2305" s="8" t="str">
        <f aca="false">IFERROR(INDEX('TRANS'!$C:$C,MATCH($B2305,'TRANS'!$A:$A,0)),IFERROR(INDEX('Catalog'!$B:$B,MATCH($G2305,'Catalog'!$A:$A,0)),$B2305))</f>
        <v>365  X-Lטבעת אלסטית מסיליקון</v>
      </c>
      <c r="I2305" s="8" t="str">
        <f aca="false">IF($G2305="","Unmatched","Matched")</f>
        <v>Matched</v>
      </c>
    </row>
    <row r="2306" customFormat="false" ht="15" hidden="false" customHeight="false" outlineLevel="0" collapsed="false">
      <c r="A2306" s="8" t="s">
        <v>918</v>
      </c>
      <c r="B2306" s="8" t="s">
        <v>156</v>
      </c>
      <c r="C2306" s="19" t="n">
        <v>51</v>
      </c>
      <c r="D2306" s="19" t="n">
        <v>1617.89</v>
      </c>
      <c r="E2306" s="19" t="n">
        <v>98</v>
      </c>
      <c r="F2306" s="19" t="n">
        <v>3156.38</v>
      </c>
      <c r="G2306" s="8" t="n">
        <f aca="false">IFERROR(INDEX('TRANS'!$B:$B,MATCH($B2306,'TRANS'!$A:$A,0)),IFERROR(INDEX('TRANS'!$B:$B,MATCH(TRIM(SUBSTITUTE($B2306,CHAR(160)," ")),'TRANS'!$D:$D,0)),IFERROR(INDEX('Catalog'!$A:$A,MATCH($B2306,'Catalog'!$B:$B,0)),IFERROR(INDEX('Catalog'!$A:$A,MATCH(TRIM(SUBSTITUTE($B2306,CHAR(160)," ")),'Catalog'!$C:$C,0)),""))))</f>
        <v>4421000</v>
      </c>
      <c r="H2306" s="8" t="str">
        <f aca="false">IFERROR(INDEX('TRANS'!$C:$C,MATCH($B2306,'TRANS'!$A:$A,0)),IFERROR(INDEX('Catalog'!$B:$B,MATCH($G2306,'Catalog'!$A:$A,0)),$B2306))</f>
        <v>3655 שרוול מסיליקון לאצבע</v>
      </c>
      <c r="I2306" s="8" t="str">
        <f aca="false">IF($G2306="","Unmatched","Matched")</f>
        <v>Matched</v>
      </c>
    </row>
    <row r="2307" customFormat="false" ht="15" hidden="false" customHeight="false" outlineLevel="0" collapsed="false">
      <c r="A2307" s="8" t="s">
        <v>918</v>
      </c>
      <c r="B2307" s="8" t="s">
        <v>157</v>
      </c>
      <c r="C2307" s="19" t="n">
        <v>5</v>
      </c>
      <c r="D2307" s="19" t="n">
        <v>577.2</v>
      </c>
      <c r="E2307" s="19" t="n">
        <v>11</v>
      </c>
      <c r="F2307" s="19" t="n">
        <v>1280.67</v>
      </c>
      <c r="G2307" s="8" t="n">
        <f aca="false">IFERROR(INDEX('TRANS'!$B:$B,MATCH($B2307,'TRANS'!$A:$A,0)),IFERROR(INDEX('TRANS'!$B:$B,MATCH(TRIM(SUBSTITUTE($B2307,CHAR(160)," ")),'TRANS'!$D:$D,0)),IFERROR(INDEX('Catalog'!$A:$A,MATCH($B2307,'Catalog'!$B:$B,0)),IFERROR(INDEX('Catalog'!$A:$A,MATCH(TRIM(SUBSTITUTE($B2307,CHAR(160)," ")),'Catalog'!$C:$C,0)),""))))</f>
        <v>4413340</v>
      </c>
      <c r="H2307" s="8" t="str">
        <f aca="false">IFERROR(INDEX('TRANS'!$C:$C,MATCH($B2307,'TRANS'!$A:$A,0)),IFERROR(INDEX('Catalog'!$B:$B,MATCH($G2307,'Catalog'!$A:$A,0)),$B2307))</f>
        <v>3666 מפריד הלוקס</v>
      </c>
      <c r="I2307" s="8" t="str">
        <f aca="false">IF($G2307="","Unmatched","Matched")</f>
        <v>Matched</v>
      </c>
    </row>
    <row r="2308" customFormat="false" ht="15" hidden="false" customHeight="false" outlineLevel="0" collapsed="false">
      <c r="A2308" s="8" t="s">
        <v>918</v>
      </c>
      <c r="B2308" s="8" t="s">
        <v>158</v>
      </c>
      <c r="C2308" s="19" t="n">
        <v>21</v>
      </c>
      <c r="D2308" s="19" t="n">
        <v>1172.09</v>
      </c>
      <c r="E2308" s="19" t="n">
        <v>12</v>
      </c>
      <c r="F2308" s="19" t="n">
        <v>687.14</v>
      </c>
      <c r="G2308" s="8" t="n">
        <f aca="false">IFERROR(INDEX('TRANS'!$B:$B,MATCH($B2308,'TRANS'!$A:$A,0)),IFERROR(INDEX('TRANS'!$B:$B,MATCH(TRIM(SUBSTITUTE($B2308,CHAR(160)," ")),'TRANS'!$D:$D,0)),IFERROR(INDEX('Catalog'!$A:$A,MATCH($B2308,'Catalog'!$B:$B,0)),IFERROR(INDEX('Catalog'!$A:$A,MATCH(TRIM(SUBSTITUTE($B2308,CHAR(160)," ")),'Catalog'!$C:$C,0)),""))))</f>
        <v>4413307</v>
      </c>
      <c r="H2308" s="8" t="str">
        <f aca="false">IFERROR(INDEX('TRANS'!$C:$C,MATCH($B2308,'TRANS'!$A:$A,0)),IFERROR(INDEX('Catalog'!$B:$B,MATCH($G2308,'Catalog'!$A:$A,0)),$B2308))</f>
        <v>URI 3667 מגן בוניון</v>
      </c>
      <c r="I2308" s="8" t="str">
        <f aca="false">IF($G2308="","Unmatched","Matched")</f>
        <v>Matched</v>
      </c>
    </row>
    <row r="2309" customFormat="false" ht="15" hidden="false" customHeight="false" outlineLevel="0" collapsed="false">
      <c r="A2309" s="8" t="s">
        <v>918</v>
      </c>
      <c r="B2309" s="8" t="s">
        <v>159</v>
      </c>
      <c r="C2309" s="19" t="n">
        <v>5</v>
      </c>
      <c r="D2309" s="19" t="n">
        <v>152.1</v>
      </c>
      <c r="E2309" s="19" t="n">
        <v>16</v>
      </c>
      <c r="F2309" s="19" t="n">
        <v>470.02</v>
      </c>
      <c r="G2309" s="8" t="n">
        <f aca="false">IFERROR(INDEX('TRANS'!$B:$B,MATCH($B2309,'TRANS'!$A:$A,0)),IFERROR(INDEX('TRANS'!$B:$B,MATCH(TRIM(SUBSTITUTE($B2309,CHAR(160)," ")),'TRANS'!$D:$D,0)),IFERROR(INDEX('Catalog'!$A:$A,MATCH($B2309,'Catalog'!$B:$B,0)),IFERROR(INDEX('Catalog'!$A:$A,MATCH(TRIM(SUBSTITUTE($B2309,CHAR(160)," ")),'Catalog'!$C:$C,0)),""))))</f>
        <v>4413063</v>
      </c>
      <c r="H2309" s="8" t="str">
        <f aca="false">IFERROR(INDEX('TRANS'!$C:$C,MATCH($B2309,'TRANS'!$A:$A,0)),IFERROR(INDEX('Catalog'!$B:$B,MATCH($G2309,'Catalog'!$A:$A,0)),$B2309))</f>
        <v>366S-'מדבק.לשחרור לחץ מיבלת2יח</v>
      </c>
      <c r="I2309" s="8" t="str">
        <f aca="false">IF($G2309="","Unmatched","Matched")</f>
        <v>Matched</v>
      </c>
    </row>
    <row r="2310" customFormat="false" ht="15" hidden="false" customHeight="false" outlineLevel="0" collapsed="false">
      <c r="A2310" s="8" t="s">
        <v>918</v>
      </c>
      <c r="B2310" s="8" t="s">
        <v>160</v>
      </c>
      <c r="C2310" s="19" t="n">
        <v>29</v>
      </c>
      <c r="D2310" s="19" t="n">
        <v>1777.68</v>
      </c>
      <c r="E2310" s="19" t="n">
        <v>41</v>
      </c>
      <c r="F2310" s="19" t="n">
        <v>2749.04</v>
      </c>
      <c r="G2310" s="8" t="n">
        <f aca="false">IFERROR(INDEX('TRANS'!$B:$B,MATCH($B2310,'TRANS'!$A:$A,0)),IFERROR(INDEX('TRANS'!$B:$B,MATCH(TRIM(SUBSTITUTE($B2310,CHAR(160)," ")),'TRANS'!$D:$D,0)),IFERROR(INDEX('Catalog'!$A:$A,MATCH($B2310,'Catalog'!$B:$B,0)),IFERROR(INDEX('Catalog'!$A:$A,MATCH(TRIM(SUBSTITUTE($B2310,CHAR(160)," ")),'Catalog'!$C:$C,0)),""))))</f>
        <v>4421003</v>
      </c>
      <c r="H2310" s="8" t="str">
        <f aca="false">IFERROR(INDEX('TRANS'!$C:$C,MATCH($B2310,'TRANS'!$A:$A,0)),IFERROR(INDEX('Catalog'!$B:$B,MATCH($G2310,'Catalog'!$A:$A,0)),$B2310))</f>
        <v>3672 שרוול מגן לבוניון</v>
      </c>
      <c r="I2310" s="8" t="str">
        <f aca="false">IF($G2310="","Unmatched","Matched")</f>
        <v>Matched</v>
      </c>
    </row>
    <row r="2311" customFormat="false" ht="15" hidden="false" customHeight="false" outlineLevel="0" collapsed="false">
      <c r="A2311" s="8" t="s">
        <v>918</v>
      </c>
      <c r="B2311" s="8" t="s">
        <v>161</v>
      </c>
      <c r="C2311" s="19" t="n">
        <v>96</v>
      </c>
      <c r="D2311" s="19" t="n">
        <v>6399.12</v>
      </c>
      <c r="E2311" s="19" t="n">
        <v>157</v>
      </c>
      <c r="F2311" s="19" t="n">
        <v>10900.19</v>
      </c>
      <c r="G2311" s="8" t="n">
        <f aca="false">IFERROR(INDEX('TRANS'!$B:$B,MATCH($B2311,'TRANS'!$A:$A,0)),IFERROR(INDEX('TRANS'!$B:$B,MATCH(TRIM(SUBSTITUTE($B2311,CHAR(160)," ")),'TRANS'!$D:$D,0)),IFERROR(INDEX('Catalog'!$A:$A,MATCH($B2311,'Catalog'!$B:$B,0)),IFERROR(INDEX('Catalog'!$A:$A,MATCH(TRIM(SUBSTITUTE($B2311,CHAR(160)," ")),'Catalog'!$C:$C,0)),""))))</f>
        <v>4413370</v>
      </c>
      <c r="H2311" s="8" t="str">
        <f aca="false">IFERROR(INDEX('TRANS'!$C:$C,MATCH($B2311,'TRANS'!$A:$A,0)),IFERROR(INDEX('Catalog'!$B:$B,MATCH($G2311,'Catalog'!$A:$A,0)),$B2311))</f>
        <v>3674 0 מ.בוניון+מפריד אצבע</v>
      </c>
      <c r="I2311" s="8" t="str">
        <f aca="false">IF($G2311="","Unmatched","Matched")</f>
        <v>Matched</v>
      </c>
    </row>
    <row r="2312" customFormat="false" ht="15" hidden="false" customHeight="false" outlineLevel="0" collapsed="false">
      <c r="A2312" s="8" t="s">
        <v>918</v>
      </c>
      <c r="B2312" s="8" t="s">
        <v>162</v>
      </c>
      <c r="C2312" s="19" t="n">
        <v>21</v>
      </c>
      <c r="D2312" s="19" t="n">
        <v>1097.25</v>
      </c>
      <c r="E2312" s="19" t="n">
        <v>50</v>
      </c>
      <c r="F2312" s="19" t="n">
        <v>2679.34</v>
      </c>
      <c r="G2312" s="8" t="n">
        <f aca="false">IFERROR(INDEX('TRANS'!$B:$B,MATCH($B2312,'TRANS'!$A:$A,0)),IFERROR(INDEX('TRANS'!$B:$B,MATCH(TRIM(SUBSTITUTE($B2312,CHAR(160)," ")),'TRANS'!$D:$D,0)),IFERROR(INDEX('Catalog'!$A:$A,MATCH($B2312,'Catalog'!$B:$B,0)),IFERROR(INDEX('Catalog'!$A:$A,MATCH(TRIM(SUBSTITUTE($B2312,CHAR(160)," ")),'Catalog'!$C:$C,0)),""))))</f>
        <v>4413371</v>
      </c>
      <c r="H2312" s="8" t="str">
        <f aca="false">IFERROR(INDEX('TRANS'!$C:$C,MATCH($B2312,'TRANS'!$A:$A,0)),IFERROR(INDEX('Catalog'!$B:$B,MATCH($G2312,'Catalog'!$A:$A,0)),$B2312))</f>
        <v>3675    מגן זרת מסיליקון</v>
      </c>
      <c r="I2312" s="8" t="str">
        <f aca="false">IF($G2312="","Unmatched","Matched")</f>
        <v>Matched</v>
      </c>
    </row>
    <row r="2313" customFormat="false" ht="15" hidden="false" customHeight="false" outlineLevel="0" collapsed="false">
      <c r="A2313" s="8" t="s">
        <v>918</v>
      </c>
      <c r="B2313" s="8" t="s">
        <v>746</v>
      </c>
      <c r="C2313" s="19" t="n">
        <v>17</v>
      </c>
      <c r="D2313" s="19" t="n">
        <v>546.84</v>
      </c>
      <c r="E2313" s="19" t="n">
        <v>13</v>
      </c>
      <c r="F2313" s="19" t="n">
        <v>483.62</v>
      </c>
      <c r="G2313" s="8" t="n">
        <f aca="false">IFERROR(INDEX('TRANS'!$B:$B,MATCH($B2313,'TRANS'!$A:$A,0)),IFERROR(INDEX('TRANS'!$B:$B,MATCH(TRIM(SUBSTITUTE($B2313,CHAR(160)," ")),'TRANS'!$D:$D,0)),IFERROR(INDEX('Catalog'!$A:$A,MATCH($B2313,'Catalog'!$B:$B,0)),IFERROR(INDEX('Catalog'!$A:$A,MATCH(TRIM(SUBSTITUTE($B2313,CHAR(160)," ")),'Catalog'!$C:$C,0)),""))))</f>
        <v>4413066</v>
      </c>
      <c r="H2313" s="8" t="str">
        <f aca="false">IFERROR(INDEX('TRANS'!$C:$C,MATCH($B2313,'TRANS'!$A:$A,0)),IFERROR(INDEX('Catalog'!$B:$B,MATCH($G2313,'Catalog'!$A:$A,0)),$B2313))</f>
        <v>3677S-מד.לשחרור לחץ א.הבוניון</v>
      </c>
      <c r="I2313" s="8" t="str">
        <f aca="false">IF($G2313="","Unmatched","Matched")</f>
        <v>Matched</v>
      </c>
    </row>
    <row r="2314" customFormat="false" ht="15" hidden="false" customHeight="false" outlineLevel="0" collapsed="false">
      <c r="A2314" s="8" t="s">
        <v>918</v>
      </c>
      <c r="B2314" s="8" t="s">
        <v>953</v>
      </c>
      <c r="C2314" s="19" t="n">
        <v>0</v>
      </c>
      <c r="D2314" s="19" t="n">
        <v>0</v>
      </c>
      <c r="E2314" s="19" t="n">
        <v>9</v>
      </c>
      <c r="F2314" s="19" t="n">
        <v>358.07</v>
      </c>
      <c r="G2314" s="8" t="str">
        <f aca="false">IFERROR(INDEX('TRANS'!$B:$B,MATCH($B2314,'TRANS'!$A:$A,0)),IFERROR(INDEX('TRANS'!$B:$B,MATCH(TRIM(SUBSTITUTE($B2314,CHAR(160)," ")),'TRANS'!$D:$D,0)),IFERROR(INDEX('Catalog'!$A:$A,MATCH($B2314,'Catalog'!$B:$B,0)),IFERROR(INDEX('Catalog'!$A:$A,MATCH(TRIM(SUBSTITUTE($B2314,CHAR(160)," ")),'Catalog'!$C:$C,0)),""))))</f>
        <v/>
      </c>
      <c r="H2314" s="8" t="str">
        <f aca="false">IFERROR(INDEX('TRANS'!$C:$C,MATCH($B2314,'TRANS'!$A:$A,0)),IFERROR(INDEX('Catalog'!$B:$B,MATCH($G2314,'Catalog'!$A:$A,0)),$B2314))</f>
        <v>369 S-L</v>
      </c>
      <c r="I2314" s="8" t="str">
        <f aca="false">IF($G2314="","Unmatched","Matched")</f>
        <v>Unmatched</v>
      </c>
    </row>
    <row r="2315" customFormat="false" ht="15" hidden="false" customHeight="false" outlineLevel="0" collapsed="false">
      <c r="A2315" s="8" t="s">
        <v>918</v>
      </c>
      <c r="B2315" s="8" t="s">
        <v>163</v>
      </c>
      <c r="C2315" s="19" t="n">
        <v>22</v>
      </c>
      <c r="D2315" s="19" t="n">
        <v>884.38</v>
      </c>
      <c r="E2315" s="19" t="n">
        <v>8</v>
      </c>
      <c r="F2315" s="19" t="n">
        <v>319.24</v>
      </c>
      <c r="G2315" s="8" t="n">
        <f aca="false">IFERROR(INDEX('TRANS'!$B:$B,MATCH($B2315,'TRANS'!$A:$A,0)),IFERROR(INDEX('TRANS'!$B:$B,MATCH(TRIM(SUBSTITUTE($B2315,CHAR(160)," ")),'TRANS'!$D:$D,0)),IFERROR(INDEX('Catalog'!$A:$A,MATCH($B2315,'Catalog'!$B:$B,0)),IFERROR(INDEX('Catalog'!$A:$A,MATCH(TRIM(SUBSTITUTE($B2315,CHAR(160)," ")),'Catalog'!$C:$C,0)),""))))</f>
        <v>4401000</v>
      </c>
      <c r="H2315" s="8" t="str">
        <f aca="false">IFERROR(INDEX('TRANS'!$C:$C,MATCH($B2315,'TRANS'!$A:$A,0)),IFERROR(INDEX('Catalog'!$B:$B,MATCH($G2315,'Catalog'!$A:$A,0)),$B2315))</f>
        <v>369  S-L אצבעון מסיליקון יחידה</v>
      </c>
      <c r="I2315" s="8" t="str">
        <f aca="false">IF($G2315="","Unmatched","Matched")</f>
        <v>Matched</v>
      </c>
    </row>
    <row r="2316" customFormat="false" ht="15" hidden="false" customHeight="false" outlineLevel="0" collapsed="false">
      <c r="A2316" s="8" t="s">
        <v>918</v>
      </c>
      <c r="B2316" s="8" t="s">
        <v>954</v>
      </c>
      <c r="C2316" s="19" t="n">
        <v>0</v>
      </c>
      <c r="D2316" s="19" t="n">
        <v>0</v>
      </c>
      <c r="E2316" s="19" t="n">
        <v>15</v>
      </c>
      <c r="F2316" s="19" t="n">
        <v>667.98</v>
      </c>
      <c r="G2316" s="8" t="str">
        <f aca="false">IFERROR(INDEX('TRANS'!$B:$B,MATCH($B2316,'TRANS'!$A:$A,0)),IFERROR(INDEX('TRANS'!$B:$B,MATCH(TRIM(SUBSTITUTE($B2316,CHAR(160)," ")),'TRANS'!$D:$D,0)),IFERROR(INDEX('Catalog'!$A:$A,MATCH($B2316,'Catalog'!$B:$B,0)),IFERROR(INDEX('Catalog'!$A:$A,MATCH(TRIM(SUBSTITUTE($B2316,CHAR(160)," ")),'Catalog'!$C:$C,0)),""))))</f>
        <v/>
      </c>
      <c r="H2316" s="8" t="str">
        <f aca="false">IFERROR(INDEX('TRANS'!$C:$C,MATCH($B2316,'TRANS'!$A:$A,0)),IFERROR(INDEX('Catalog'!$B:$B,MATCH($G2316,'Catalog'!$A:$A,0)),$B2316))</f>
        <v>369 XL</v>
      </c>
      <c r="I2316" s="8" t="str">
        <f aca="false">IF($G2316="","Unmatched","Matched")</f>
        <v>Unmatched</v>
      </c>
    </row>
    <row r="2317" customFormat="false" ht="15" hidden="false" customHeight="false" outlineLevel="0" collapsed="false">
      <c r="A2317" s="8" t="s">
        <v>918</v>
      </c>
      <c r="B2317" s="8" t="s">
        <v>164</v>
      </c>
      <c r="C2317" s="19" t="n">
        <v>21</v>
      </c>
      <c r="D2317" s="19" t="n">
        <v>916.59</v>
      </c>
      <c r="E2317" s="19" t="n">
        <v>7</v>
      </c>
      <c r="F2317" s="19" t="n">
        <v>317.39</v>
      </c>
      <c r="G2317" s="8" t="n">
        <f aca="false">IFERROR(INDEX('TRANS'!$B:$B,MATCH($B2317,'TRANS'!$A:$A,0)),IFERROR(INDEX('TRANS'!$B:$B,MATCH(TRIM(SUBSTITUTE($B2317,CHAR(160)," ")),'TRANS'!$D:$D,0)),IFERROR(INDEX('Catalog'!$A:$A,MATCH($B2317,'Catalog'!$B:$B,0)),IFERROR(INDEX('Catalog'!$A:$A,MATCH(TRIM(SUBSTITUTE($B2317,CHAR(160)," ")),'Catalog'!$C:$C,0)),""))))</f>
        <v>4401001</v>
      </c>
      <c r="H2317" s="8" t="str">
        <f aca="false">IFERROR(INDEX('TRANS'!$C:$C,MATCH($B2317,'TRANS'!$A:$A,0)),IFERROR(INDEX('Catalog'!$B:$B,MATCH($G2317,'Catalog'!$A:$A,0)),$B2317))</f>
        <v>369   XL אצבעון מסיליקון יחידה</v>
      </c>
      <c r="I2317" s="8" t="str">
        <f aca="false">IF($G2317="","Unmatched","Matched")</f>
        <v>Matched</v>
      </c>
    </row>
    <row r="2318" customFormat="false" ht="15" hidden="false" customHeight="false" outlineLevel="0" collapsed="false">
      <c r="A2318" s="8" t="s">
        <v>918</v>
      </c>
      <c r="B2318" s="8" t="s">
        <v>165</v>
      </c>
      <c r="C2318" s="19" t="n">
        <v>21</v>
      </c>
      <c r="D2318" s="19" t="n">
        <v>486.98</v>
      </c>
      <c r="E2318" s="19" t="n">
        <v>15</v>
      </c>
      <c r="F2318" s="19" t="n">
        <v>351.12</v>
      </c>
      <c r="G2318" s="8" t="n">
        <f aca="false">IFERROR(INDEX('TRANS'!$B:$B,MATCH($B2318,'TRANS'!$A:$A,0)),IFERROR(INDEX('TRANS'!$B:$B,MATCH(TRIM(SUBSTITUTE($B2318,CHAR(160)," ")),'TRANS'!$D:$D,0)),IFERROR(INDEX('Catalog'!$A:$A,MATCH($B2318,'Catalog'!$B:$B,0)),IFERROR(INDEX('Catalog'!$A:$A,MATCH(TRIM(SUBSTITUTE($B2318,CHAR(160)," ")),'Catalog'!$C:$C,0)),""))))</f>
        <v>4420000</v>
      </c>
      <c r="H2318" s="8" t="str">
        <f aca="false">IFERROR(INDEX('TRANS'!$C:$C,MATCH($B2318,'TRANS'!$A:$A,0)),IFERROR(INDEX('Catalog'!$B:$B,MATCH($G2318,'Catalog'!$A:$A,0)),$B2318))</f>
        <v>370  רפידת נוחות-זוג</v>
      </c>
      <c r="I2318" s="8" t="str">
        <f aca="false">IF($G2318="","Unmatched","Matched")</f>
        <v>Matched</v>
      </c>
    </row>
    <row r="2319" customFormat="false" ht="15" hidden="false" customHeight="false" outlineLevel="0" collapsed="false">
      <c r="A2319" s="8" t="s">
        <v>918</v>
      </c>
      <c r="B2319" s="8" t="s">
        <v>166</v>
      </c>
      <c r="C2319" s="19" t="n">
        <v>15</v>
      </c>
      <c r="D2319" s="19" t="n">
        <v>339.76</v>
      </c>
      <c r="E2319" s="19" t="n">
        <v>26</v>
      </c>
      <c r="F2319" s="19" t="n">
        <v>433.97</v>
      </c>
      <c r="G2319" s="8" t="n">
        <f aca="false">IFERROR(INDEX('TRANS'!$B:$B,MATCH($B2319,'TRANS'!$A:$A,0)),IFERROR(INDEX('TRANS'!$B:$B,MATCH(TRIM(SUBSTITUTE($B2319,CHAR(160)," ")),'TRANS'!$D:$D,0)),IFERROR(INDEX('Catalog'!$A:$A,MATCH($B2319,'Catalog'!$B:$B,0)),IFERROR(INDEX('Catalog'!$A:$A,MATCH(TRIM(SUBSTITUTE($B2319,CHAR(160)," ")),'Catalog'!$C:$C,0)),""))))</f>
        <v>4420027</v>
      </c>
      <c r="H2319" s="8" t="str">
        <f aca="false">IFERROR(INDEX('TRANS'!$C:$C,MATCH($B2319,'TRANS'!$A:$A,0)),IFERROR(INDEX('Catalog'!$B:$B,MATCH($G2319,'Catalog'!$A:$A,0)),$B2319))</f>
        <v>370K 0 רפידת לילדים אנטי ריח</v>
      </c>
      <c r="I2319" s="8" t="str">
        <f aca="false">IF($G2319="","Unmatched","Matched")</f>
        <v>Matched</v>
      </c>
    </row>
    <row r="2320" customFormat="false" ht="15" hidden="false" customHeight="false" outlineLevel="0" collapsed="false">
      <c r="A2320" s="8" t="s">
        <v>918</v>
      </c>
      <c r="B2320" s="8" t="s">
        <v>167</v>
      </c>
      <c r="C2320" s="19" t="n">
        <v>27</v>
      </c>
      <c r="D2320" s="19" t="n">
        <v>602.49</v>
      </c>
      <c r="E2320" s="19" t="n">
        <v>23</v>
      </c>
      <c r="F2320" s="19" t="n">
        <v>320.88</v>
      </c>
      <c r="G2320" s="8" t="n">
        <f aca="false">IFERROR(INDEX('TRANS'!$B:$B,MATCH($B2320,'TRANS'!$A:$A,0)),IFERROR(INDEX('TRANS'!$B:$B,MATCH(TRIM(SUBSTITUTE($B2320,CHAR(160)," ")),'TRANS'!$D:$D,0)),IFERROR(INDEX('Catalog'!$A:$A,MATCH($B2320,'Catalog'!$B:$B,0)),IFERROR(INDEX('Catalog'!$A:$A,MATCH(TRIM(SUBSTITUTE($B2320,CHAR(160)," ")),'Catalog'!$C:$C,0)),""))))</f>
        <v>4420001</v>
      </c>
      <c r="H2320" s="8" t="str">
        <f aca="false">IFERROR(INDEX('TRANS'!$C:$C,MATCH($B2320,'TRANS'!$A:$A,0)),IFERROR(INDEX('Catalog'!$B:$B,MATCH($G2320,'Catalog'!$A:$A,0)),$B2320))</f>
        <v>371 רפידת מגבת כותנה-זוג</v>
      </c>
      <c r="I2320" s="8" t="str">
        <f aca="false">IF($G2320="","Unmatched","Matched")</f>
        <v>Matched</v>
      </c>
    </row>
    <row r="2321" customFormat="false" ht="15" hidden="false" customHeight="false" outlineLevel="0" collapsed="false">
      <c r="A2321" s="8" t="s">
        <v>918</v>
      </c>
      <c r="B2321" s="8" t="s">
        <v>168</v>
      </c>
      <c r="C2321" s="19" t="n">
        <v>18</v>
      </c>
      <c r="D2321" s="19" t="n">
        <v>468.71</v>
      </c>
      <c r="E2321" s="19" t="n">
        <v>25</v>
      </c>
      <c r="F2321" s="19" t="n">
        <v>676.12</v>
      </c>
      <c r="G2321" s="8" t="n">
        <f aca="false">IFERROR(INDEX('TRANS'!$B:$B,MATCH($B2321,'TRANS'!$A:$A,0)),IFERROR(INDEX('TRANS'!$B:$B,MATCH(TRIM(SUBSTITUTE($B2321,CHAR(160)," ")),'TRANS'!$D:$D,0)),IFERROR(INDEX('Catalog'!$A:$A,MATCH($B2321,'Catalog'!$B:$B,0)),IFERROR(INDEX('Catalog'!$A:$A,MATCH(TRIM(SUBSTITUTE($B2321,CHAR(160)," ")),'Catalog'!$C:$C,0)),""))))</f>
        <v>4420002</v>
      </c>
      <c r="H2321" s="8" t="str">
        <f aca="false">IFERROR(INDEX('TRANS'!$C:$C,MATCH($B2321,'TRANS'!$A:$A,0)),IFERROR(INDEX('Catalog'!$B:$B,MATCH($G2321,'Catalog'!$A:$A,0)),$B2321))</f>
        <v>372 רפידת אנטי ריח -זוג</v>
      </c>
      <c r="I2321" s="8" t="str">
        <f aca="false">IF($G2321="","Unmatched","Matched")</f>
        <v>Matched</v>
      </c>
    </row>
    <row r="2322" customFormat="false" ht="15" hidden="false" customHeight="false" outlineLevel="0" collapsed="false">
      <c r="A2322" s="8" t="s">
        <v>918</v>
      </c>
      <c r="B2322" s="8" t="s">
        <v>169</v>
      </c>
      <c r="C2322" s="19" t="n">
        <v>18</v>
      </c>
      <c r="D2322" s="19" t="n">
        <v>443.78</v>
      </c>
      <c r="E2322" s="19" t="n">
        <v>19</v>
      </c>
      <c r="F2322" s="19" t="n">
        <v>510.22</v>
      </c>
      <c r="G2322" s="8" t="n">
        <f aca="false">IFERROR(INDEX('TRANS'!$B:$B,MATCH($B2322,'TRANS'!$A:$A,0)),IFERROR(INDEX('TRANS'!$B:$B,MATCH(TRIM(SUBSTITUTE($B2322,CHAR(160)," ")),'TRANS'!$D:$D,0)),IFERROR(INDEX('Catalog'!$A:$A,MATCH($B2322,'Catalog'!$B:$B,0)),IFERROR(INDEX('Catalog'!$A:$A,MATCH(TRIM(SUBSTITUTE($B2322,CHAR(160)," ")),'Catalog'!$C:$C,0)),""))))</f>
        <v>4420003</v>
      </c>
      <c r="H2322" s="8" t="str">
        <f aca="false">IFERROR(INDEX('TRANS'!$C:$C,MATCH($B2322,'TRANS'!$A:$A,0)),IFERROR(INDEX('Catalog'!$B:$B,MATCH($G2322,'Catalog'!$A:$A,0)),$B2322))</f>
        <v>374 רפידת בולמת זעזועים -זוג</v>
      </c>
      <c r="I2322" s="8" t="str">
        <f aca="false">IF($G2322="","Unmatched","Matched")</f>
        <v>Matched</v>
      </c>
    </row>
    <row r="2323" customFormat="false" ht="15" hidden="false" customHeight="false" outlineLevel="0" collapsed="false">
      <c r="A2323" s="8" t="s">
        <v>918</v>
      </c>
      <c r="B2323" s="8" t="s">
        <v>170</v>
      </c>
      <c r="C2323" s="19" t="n">
        <v>5</v>
      </c>
      <c r="D2323" s="19" t="n">
        <v>279.35</v>
      </c>
      <c r="E2323" s="19" t="n">
        <v>2</v>
      </c>
      <c r="F2323" s="19" t="n">
        <v>120.6</v>
      </c>
      <c r="G2323" s="8" t="str">
        <f aca="false">IFERROR(INDEX('TRANS'!$B:$B,MATCH($B2323,'TRANS'!$A:$A,0)),IFERROR(INDEX('TRANS'!$B:$B,MATCH(TRIM(SUBSTITUTE($B2323,CHAR(160)," ")),'TRANS'!$D:$D,0)),IFERROR(INDEX('Catalog'!$A:$A,MATCH($B2323,'Catalog'!$B:$B,0)),IFERROR(INDEX('Catalog'!$A:$A,MATCH(TRIM(SUBSTITUTE($B2323,CHAR(160)," ")),'Catalog'!$C:$C,0)),""))))</f>
        <v/>
      </c>
      <c r="H2323" s="8" t="str">
        <f aca="false">IFERROR(INDEX('TRANS'!$C:$C,MATCH($B2323,'TRANS'!$A:$A,0)),IFERROR(INDEX('Catalog'!$B:$B,MATCH($G2323,'Catalog'!$A:$A,0)),$B2323))</f>
        <v>376-35-37</v>
      </c>
      <c r="I2323" s="8" t="str">
        <f aca="false">IF($G2323="","Unmatched","Matched")</f>
        <v>Unmatched</v>
      </c>
    </row>
    <row r="2324" customFormat="false" ht="15" hidden="false" customHeight="false" outlineLevel="0" collapsed="false">
      <c r="A2324" s="8" t="s">
        <v>918</v>
      </c>
      <c r="B2324" s="8" t="s">
        <v>171</v>
      </c>
      <c r="C2324" s="19" t="n">
        <v>9</v>
      </c>
      <c r="D2324" s="19" t="n">
        <v>495.74</v>
      </c>
      <c r="E2324" s="19" t="n">
        <v>12</v>
      </c>
      <c r="F2324" s="19" t="n">
        <v>729.94</v>
      </c>
      <c r="G2324" s="8" t="str">
        <f aca="false">IFERROR(INDEX('TRANS'!$B:$B,MATCH($B2324,'TRANS'!$A:$A,0)),IFERROR(INDEX('TRANS'!$B:$B,MATCH(TRIM(SUBSTITUTE($B2324,CHAR(160)," ")),'TRANS'!$D:$D,0)),IFERROR(INDEX('Catalog'!$A:$A,MATCH($B2324,'Catalog'!$B:$B,0)),IFERROR(INDEX('Catalog'!$A:$A,MATCH(TRIM(SUBSTITUTE($B2324,CHAR(160)," ")),'Catalog'!$C:$C,0)),""))))</f>
        <v/>
      </c>
      <c r="H2324" s="8" t="str">
        <f aca="false">IFERROR(INDEX('TRANS'!$C:$C,MATCH($B2324,'TRANS'!$A:$A,0)),IFERROR(INDEX('Catalog'!$B:$B,MATCH($G2324,'Catalog'!$A:$A,0)),$B2324))</f>
        <v>376-38-40</v>
      </c>
      <c r="I2324" s="8" t="str">
        <f aca="false">IF($G2324="","Unmatched","Matched")</f>
        <v>Unmatched</v>
      </c>
    </row>
    <row r="2325" customFormat="false" ht="15" hidden="false" customHeight="false" outlineLevel="0" collapsed="false">
      <c r="A2325" s="8" t="s">
        <v>918</v>
      </c>
      <c r="B2325" s="8" t="s">
        <v>172</v>
      </c>
      <c r="C2325" s="19" t="n">
        <v>12</v>
      </c>
      <c r="D2325" s="19" t="n">
        <v>717.21</v>
      </c>
      <c r="E2325" s="19" t="n">
        <v>25</v>
      </c>
      <c r="F2325" s="19" t="n">
        <v>1525.06</v>
      </c>
      <c r="G2325" s="8" t="str">
        <f aca="false">IFERROR(INDEX('TRANS'!$B:$B,MATCH($B2325,'TRANS'!$A:$A,0)),IFERROR(INDEX('TRANS'!$B:$B,MATCH(TRIM(SUBSTITUTE($B2325,CHAR(160)," ")),'TRANS'!$D:$D,0)),IFERROR(INDEX('Catalog'!$A:$A,MATCH($B2325,'Catalog'!$B:$B,0)),IFERROR(INDEX('Catalog'!$A:$A,MATCH(TRIM(SUBSTITUTE($B2325,CHAR(160)," ")),'Catalog'!$C:$C,0)),""))))</f>
        <v/>
      </c>
      <c r="H2325" s="8" t="str">
        <f aca="false">IFERROR(INDEX('TRANS'!$C:$C,MATCH($B2325,'TRANS'!$A:$A,0)),IFERROR(INDEX('Catalog'!$B:$B,MATCH($G2325,'Catalog'!$A:$A,0)),$B2325))</f>
        <v>376-41-43</v>
      </c>
      <c r="I2325" s="8" t="str">
        <f aca="false">IF($G2325="","Unmatched","Matched")</f>
        <v>Unmatched</v>
      </c>
    </row>
    <row r="2326" customFormat="false" ht="15" hidden="false" customHeight="false" outlineLevel="0" collapsed="false">
      <c r="A2326" s="8" t="s">
        <v>918</v>
      </c>
      <c r="B2326" s="8" t="s">
        <v>173</v>
      </c>
      <c r="C2326" s="19" t="n">
        <v>14</v>
      </c>
      <c r="D2326" s="19" t="n">
        <v>812.28</v>
      </c>
      <c r="E2326" s="19" t="n">
        <v>21</v>
      </c>
      <c r="F2326" s="19" t="n">
        <v>1313.88</v>
      </c>
      <c r="G2326" s="8" t="str">
        <f aca="false">IFERROR(INDEX('TRANS'!$B:$B,MATCH($B2326,'TRANS'!$A:$A,0)),IFERROR(INDEX('TRANS'!$B:$B,MATCH(TRIM(SUBSTITUTE($B2326,CHAR(160)," ")),'TRANS'!$D:$D,0)),IFERROR(INDEX('Catalog'!$A:$A,MATCH($B2326,'Catalog'!$B:$B,0)),IFERROR(INDEX('Catalog'!$A:$A,MATCH(TRIM(SUBSTITUTE($B2326,CHAR(160)," ")),'Catalog'!$C:$C,0)),""))))</f>
        <v/>
      </c>
      <c r="H2326" s="8" t="str">
        <f aca="false">IFERROR(INDEX('TRANS'!$C:$C,MATCH($B2326,'TRANS'!$A:$A,0)),IFERROR(INDEX('Catalog'!$B:$B,MATCH($G2326,'Catalog'!$A:$A,0)),$B2326))</f>
        <v>376-44-45</v>
      </c>
      <c r="I2326" s="8" t="str">
        <f aca="false">IF($G2326="","Unmatched","Matched")</f>
        <v>Unmatched</v>
      </c>
    </row>
    <row r="2327" customFormat="false" ht="15" hidden="false" customHeight="false" outlineLevel="0" collapsed="false">
      <c r="A2327" s="8" t="s">
        <v>918</v>
      </c>
      <c r="B2327" s="8" t="s">
        <v>174</v>
      </c>
      <c r="C2327" s="19" t="n">
        <v>5</v>
      </c>
      <c r="D2327" s="19" t="n">
        <v>298.31</v>
      </c>
      <c r="E2327" s="19" t="n">
        <v>7</v>
      </c>
      <c r="F2327" s="19" t="n">
        <v>434.79</v>
      </c>
      <c r="G2327" s="8" t="n">
        <f aca="false">IFERROR(INDEX('TRANS'!$B:$B,MATCH($B2327,'TRANS'!$A:$A,0)),IFERROR(INDEX('TRANS'!$B:$B,MATCH(TRIM(SUBSTITUTE($B2327,CHAR(160)," ")),'TRANS'!$D:$D,0)),IFERROR(INDEX('Catalog'!$A:$A,MATCH($B2327,'Catalog'!$B:$B,0)),IFERROR(INDEX('Catalog'!$A:$A,MATCH(TRIM(SUBSTITUTE($B2327,CHAR(160)," ")),'Catalog'!$C:$C,0)),""))))</f>
        <v>4420032</v>
      </c>
      <c r="H2327" s="8" t="str">
        <f aca="false">IFERROR(INDEX('TRANS'!$C:$C,MATCH($B2327,'TRANS'!$A:$A,0)),IFERROR(INDEX('Catalog'!$B:$B,MATCH($G2327,'Catalog'!$A:$A,0)),$B2327))</f>
        <v>46-47 רפידת ספורט 376 מידה</v>
      </c>
      <c r="I2327" s="8" t="str">
        <f aca="false">IF($G2327="","Unmatched","Matched")</f>
        <v>Matched</v>
      </c>
    </row>
    <row r="2328" customFormat="false" ht="15" hidden="false" customHeight="false" outlineLevel="0" collapsed="false">
      <c r="A2328" s="8" t="s">
        <v>918</v>
      </c>
      <c r="B2328" s="8" t="s">
        <v>479</v>
      </c>
      <c r="C2328" s="19" t="n">
        <v>19</v>
      </c>
      <c r="D2328" s="19" t="n">
        <v>3386.25</v>
      </c>
      <c r="E2328" s="19" t="n">
        <v>6</v>
      </c>
      <c r="F2328" s="19" t="n">
        <v>1157.33</v>
      </c>
      <c r="G2328" s="8" t="n">
        <f aca="false">IFERROR(INDEX('TRANS'!$B:$B,MATCH($B2328,'TRANS'!$A:$A,0)),IFERROR(INDEX('TRANS'!$B:$B,MATCH(TRIM(SUBSTITUTE($B2328,CHAR(160)," ")),'TRANS'!$D:$D,0)),IFERROR(INDEX('Catalog'!$A:$A,MATCH($B2328,'Catalog'!$B:$B,0)),IFERROR(INDEX('Catalog'!$A:$A,MATCH(TRIM(SUBSTITUTE($B2328,CHAR(160)," ")),'Catalog'!$C:$C,0)),""))))</f>
        <v>4413523</v>
      </c>
      <c r="H2328" s="8" t="str">
        <f aca="false">IFERROR(INDEX('TRANS'!$C:$C,MATCH($B2328,'TRANS'!$A:$A,0)),IFERROR(INDEX('Catalog'!$B:$B,MATCH($G2328,'Catalog'!$A:$A,0)),$B2328))</f>
        <v>35-38 מדרסי אפיק ג'ל נוחות</v>
      </c>
      <c r="I2328" s="8" t="str">
        <f aca="false">IF($G2328="","Unmatched","Matched")</f>
        <v>Matched</v>
      </c>
    </row>
    <row r="2329" customFormat="false" ht="15" hidden="false" customHeight="false" outlineLevel="0" collapsed="false">
      <c r="A2329" s="8" t="s">
        <v>918</v>
      </c>
      <c r="B2329" s="8" t="s">
        <v>480</v>
      </c>
      <c r="C2329" s="19" t="n">
        <v>15</v>
      </c>
      <c r="D2329" s="19" t="n">
        <v>2957.61</v>
      </c>
      <c r="E2329" s="19" t="n">
        <v>19</v>
      </c>
      <c r="F2329" s="19" t="n">
        <v>3825.63</v>
      </c>
      <c r="G2329" s="8" t="n">
        <f aca="false">IFERROR(INDEX('TRANS'!$B:$B,MATCH($B2329,'TRANS'!$A:$A,0)),IFERROR(INDEX('TRANS'!$B:$B,MATCH(TRIM(SUBSTITUTE($B2329,CHAR(160)," ")),'TRANS'!$D:$D,0)),IFERROR(INDEX('Catalog'!$A:$A,MATCH($B2329,'Catalog'!$B:$B,0)),IFERROR(INDEX('Catalog'!$A:$A,MATCH(TRIM(SUBSTITUTE($B2329,CHAR(160)," ")),'Catalog'!$C:$C,0)),""))))</f>
        <v>4413524</v>
      </c>
      <c r="H2329" s="8" t="str">
        <f aca="false">IFERROR(INDEX('TRANS'!$C:$C,MATCH($B2329,'TRANS'!$A:$A,0)),IFERROR(INDEX('Catalog'!$B:$B,MATCH($G2329,'Catalog'!$A:$A,0)),$B2329))</f>
        <v>39-42 מדרסי אפיק ג'ל נוחות</v>
      </c>
      <c r="I2329" s="8" t="str">
        <f aca="false">IF($G2329="","Unmatched","Matched")</f>
        <v>Matched</v>
      </c>
    </row>
    <row r="2330" customFormat="false" ht="15" hidden="false" customHeight="false" outlineLevel="0" collapsed="false">
      <c r="A2330" s="8" t="s">
        <v>918</v>
      </c>
      <c r="B2330" s="8" t="s">
        <v>481</v>
      </c>
      <c r="C2330" s="19" t="n">
        <v>21</v>
      </c>
      <c r="D2330" s="19" t="n">
        <v>3932.8</v>
      </c>
      <c r="E2330" s="19" t="n">
        <v>10</v>
      </c>
      <c r="F2330" s="19" t="n">
        <v>2023.27</v>
      </c>
      <c r="G2330" s="8" t="n">
        <f aca="false">IFERROR(INDEX('TRANS'!$B:$B,MATCH($B2330,'TRANS'!$A:$A,0)),IFERROR(INDEX('TRANS'!$B:$B,MATCH(TRIM(SUBSTITUTE($B2330,CHAR(160)," ")),'TRANS'!$D:$D,0)),IFERROR(INDEX('Catalog'!$A:$A,MATCH($B2330,'Catalog'!$B:$B,0)),IFERROR(INDEX('Catalog'!$A:$A,MATCH(TRIM(SUBSTITUTE($B2330,CHAR(160)," ")),'Catalog'!$C:$C,0)),""))))</f>
        <v>4413525</v>
      </c>
      <c r="H2330" s="8" t="str">
        <f aca="false">IFERROR(INDEX('TRANS'!$C:$C,MATCH($B2330,'TRANS'!$A:$A,0)),IFERROR(INDEX('Catalog'!$B:$B,MATCH($G2330,'Catalog'!$A:$A,0)),$B2330))</f>
        <v>43-47 מדרסי אפיק ג'ל נוחות</v>
      </c>
      <c r="I2330" s="8" t="str">
        <f aca="false">IF($G2330="","Unmatched","Matched")</f>
        <v>Matched</v>
      </c>
    </row>
    <row r="2331" customFormat="false" ht="15" hidden="false" customHeight="false" outlineLevel="0" collapsed="false">
      <c r="A2331" s="8" t="s">
        <v>918</v>
      </c>
      <c r="B2331" s="8" t="s">
        <v>482</v>
      </c>
      <c r="C2331" s="19" t="n">
        <v>2</v>
      </c>
      <c r="D2331" s="19" t="n">
        <v>385.77</v>
      </c>
      <c r="E2331" s="19" t="n">
        <v>0</v>
      </c>
      <c r="F2331" s="19" t="n">
        <v>0</v>
      </c>
      <c r="G2331" s="8" t="n">
        <f aca="false">IFERROR(INDEX('TRANS'!$B:$B,MATCH($B2331,'TRANS'!$A:$A,0)),IFERROR(INDEX('TRANS'!$B:$B,MATCH(TRIM(SUBSTITUTE($B2331,CHAR(160)," ")),'TRANS'!$D:$D,0)),IFERROR(INDEX('Catalog'!$A:$A,MATCH($B2331,'Catalog'!$B:$B,0)),IFERROR(INDEX('Catalog'!$A:$A,MATCH(TRIM(SUBSTITUTE($B2331,CHAR(160)," ")),'Catalog'!$C:$C,0)),""))))</f>
        <v>4413520</v>
      </c>
      <c r="H2331" s="8" t="str">
        <f aca="false">IFERROR(INDEX('TRANS'!$C:$C,MATCH($B2331,'TRANS'!$A:$A,0)),IFERROR(INDEX('Catalog'!$B:$B,MATCH($G2331,'Catalog'!$A:$A,0)),$B2331))</f>
        <v>מדרסי אפיק ג'ל מולט.ספורט35-38</v>
      </c>
      <c r="I2331" s="8" t="str">
        <f aca="false">IF($G2331="","Unmatched","Matched")</f>
        <v>Matched</v>
      </c>
    </row>
    <row r="2332" customFormat="false" ht="15" hidden="false" customHeight="false" outlineLevel="0" collapsed="false">
      <c r="A2332" s="8" t="s">
        <v>918</v>
      </c>
      <c r="B2332" s="8" t="s">
        <v>483</v>
      </c>
      <c r="C2332" s="19" t="n">
        <v>7</v>
      </c>
      <c r="D2332" s="19" t="n">
        <v>1382.35</v>
      </c>
      <c r="E2332" s="19" t="n">
        <v>14</v>
      </c>
      <c r="F2332" s="19" t="n">
        <v>2893.34</v>
      </c>
      <c r="G2332" s="8" t="n">
        <f aca="false">IFERROR(INDEX('TRANS'!$B:$B,MATCH($B2332,'TRANS'!$A:$A,0)),IFERROR(INDEX('TRANS'!$B:$B,MATCH(TRIM(SUBSTITUTE($B2332,CHAR(160)," ")),'TRANS'!$D:$D,0)),IFERROR(INDEX('Catalog'!$A:$A,MATCH($B2332,'Catalog'!$B:$B,0)),IFERROR(INDEX('Catalog'!$A:$A,MATCH(TRIM(SUBSTITUTE($B2332,CHAR(160)," ")),'Catalog'!$C:$C,0)),""))))</f>
        <v>4413521</v>
      </c>
      <c r="H2332" s="8" t="str">
        <f aca="false">IFERROR(INDEX('TRANS'!$C:$C,MATCH($B2332,'TRANS'!$A:$A,0)),IFERROR(INDEX('Catalog'!$B:$B,MATCH($G2332,'Catalog'!$A:$A,0)),$B2332))</f>
        <v>מדרסי אפיק ג'ל מולטי ספור39-42</v>
      </c>
      <c r="I2332" s="8" t="str">
        <f aca="false">IF($G2332="","Unmatched","Matched")</f>
        <v>Matched</v>
      </c>
    </row>
    <row r="2333" customFormat="false" ht="15" hidden="false" customHeight="false" outlineLevel="0" collapsed="false">
      <c r="A2333" s="8" t="s">
        <v>918</v>
      </c>
      <c r="B2333" s="8" t="s">
        <v>484</v>
      </c>
      <c r="C2333" s="19" t="n">
        <v>19</v>
      </c>
      <c r="D2333" s="19" t="n">
        <v>3707.74</v>
      </c>
      <c r="E2333" s="19" t="n">
        <v>15</v>
      </c>
      <c r="F2333" s="19" t="n">
        <v>2955.59</v>
      </c>
      <c r="G2333" s="8" t="n">
        <f aca="false">IFERROR(INDEX('TRANS'!$B:$B,MATCH($B2333,'TRANS'!$A:$A,0)),IFERROR(INDEX('TRANS'!$B:$B,MATCH(TRIM(SUBSTITUTE($B2333,CHAR(160)," ")),'TRANS'!$D:$D,0)),IFERROR(INDEX('Catalog'!$A:$A,MATCH($B2333,'Catalog'!$B:$B,0)),IFERROR(INDEX('Catalog'!$A:$A,MATCH(TRIM(SUBSTITUTE($B2333,CHAR(160)," ")),'Catalog'!$C:$C,0)),""))))</f>
        <v>4413522</v>
      </c>
      <c r="H2333" s="8" t="str">
        <f aca="false">IFERROR(INDEX('TRANS'!$C:$C,MATCH($B2333,'TRANS'!$A:$A,0)),IFERROR(INDEX('Catalog'!$B:$B,MATCH($G2333,'Catalog'!$A:$A,0)),$B2333))</f>
        <v>מדרסי אפיק ג'ל מולט.ספורט43-47</v>
      </c>
      <c r="I2333" s="8" t="str">
        <f aca="false">IF($G2333="","Unmatched","Matched")</f>
        <v>Matched</v>
      </c>
    </row>
    <row r="2334" customFormat="false" ht="15" hidden="false" customHeight="false" outlineLevel="0" collapsed="false">
      <c r="A2334" s="8" t="s">
        <v>918</v>
      </c>
      <c r="B2334" s="8" t="s">
        <v>485</v>
      </c>
      <c r="C2334" s="19" t="n">
        <v>5</v>
      </c>
      <c r="D2334" s="19" t="n">
        <v>953.72</v>
      </c>
      <c r="E2334" s="19" t="n">
        <v>3</v>
      </c>
      <c r="F2334" s="19" t="n">
        <v>621.54</v>
      </c>
      <c r="G2334" s="8" t="n">
        <f aca="false">IFERROR(INDEX('TRANS'!$B:$B,MATCH($B2334,'TRANS'!$A:$A,0)),IFERROR(INDEX('TRANS'!$B:$B,MATCH(TRIM(SUBSTITUTE($B2334,CHAR(160)," ")),'TRANS'!$D:$D,0)),IFERROR(INDEX('Catalog'!$A:$A,MATCH($B2334,'Catalog'!$B:$B,0)),IFERROR(INDEX('Catalog'!$A:$A,MATCH(TRIM(SUBSTITUTE($B2334,CHAR(160)," ")),'Catalog'!$C:$C,0)),""))))</f>
        <v>4413527</v>
      </c>
      <c r="H2334" s="8" t="str">
        <f aca="false">IFERROR(INDEX('TRANS'!$C:$C,MATCH($B2334,'TRANS'!$A:$A,0)),IFERROR(INDEX('Catalog'!$B:$B,MATCH($G2334,'Catalog'!$A:$A,0)),$B2334))</f>
        <v>35-38 מדרסי אפיק ג'ל עבודה</v>
      </c>
      <c r="I2334" s="8" t="str">
        <f aca="false">IF($G2334="","Unmatched","Matched")</f>
        <v>Matched</v>
      </c>
    </row>
    <row r="2335" customFormat="false" ht="15" hidden="false" customHeight="false" outlineLevel="0" collapsed="false">
      <c r="A2335" s="8" t="s">
        <v>918</v>
      </c>
      <c r="B2335" s="8" t="s">
        <v>486</v>
      </c>
      <c r="C2335" s="19" t="n">
        <v>17</v>
      </c>
      <c r="D2335" s="19" t="n">
        <v>3236.36</v>
      </c>
      <c r="E2335" s="19" t="n">
        <v>10</v>
      </c>
      <c r="F2335" s="19" t="n">
        <v>2003.92</v>
      </c>
      <c r="G2335" s="8" t="n">
        <f aca="false">IFERROR(INDEX('TRANS'!$B:$B,MATCH($B2335,'TRANS'!$A:$A,0)),IFERROR(INDEX('TRANS'!$B:$B,MATCH(TRIM(SUBSTITUTE($B2335,CHAR(160)," ")),'TRANS'!$D:$D,0)),IFERROR(INDEX('Catalog'!$A:$A,MATCH($B2335,'Catalog'!$B:$B,0)),IFERROR(INDEX('Catalog'!$A:$A,MATCH(TRIM(SUBSTITUTE($B2335,CHAR(160)," ")),'Catalog'!$C:$C,0)),""))))</f>
        <v>4413528</v>
      </c>
      <c r="H2335" s="8" t="str">
        <f aca="false">IFERROR(INDEX('TRANS'!$C:$C,MATCH($B2335,'TRANS'!$A:$A,0)),IFERROR(INDEX('Catalog'!$B:$B,MATCH($G2335,'Catalog'!$A:$A,0)),$B2335))</f>
        <v>39-42 מדרסי אפיק ג'ל עבודה</v>
      </c>
      <c r="I2335" s="8" t="str">
        <f aca="false">IF($G2335="","Unmatched","Matched")</f>
        <v>Matched</v>
      </c>
    </row>
    <row r="2336" customFormat="false" ht="15" hidden="false" customHeight="false" outlineLevel="0" collapsed="false">
      <c r="A2336" s="8" t="s">
        <v>918</v>
      </c>
      <c r="B2336" s="8" t="s">
        <v>487</v>
      </c>
      <c r="C2336" s="19" t="n">
        <v>38</v>
      </c>
      <c r="D2336" s="19" t="n">
        <v>7404.9</v>
      </c>
      <c r="E2336" s="19" t="n">
        <v>25</v>
      </c>
      <c r="F2336" s="19" t="n">
        <v>4931.83</v>
      </c>
      <c r="G2336" s="8" t="n">
        <f aca="false">IFERROR(INDEX('TRANS'!$B:$B,MATCH($B2336,'TRANS'!$A:$A,0)),IFERROR(INDEX('TRANS'!$B:$B,MATCH(TRIM(SUBSTITUTE($B2336,CHAR(160)," ")),'TRANS'!$D:$D,0)),IFERROR(INDEX('Catalog'!$A:$A,MATCH($B2336,'Catalog'!$B:$B,0)),IFERROR(INDEX('Catalog'!$A:$A,MATCH(TRIM(SUBSTITUTE($B2336,CHAR(160)," ")),'Catalog'!$C:$C,0)),""))))</f>
        <v>4413529</v>
      </c>
      <c r="H2336" s="8" t="str">
        <f aca="false">IFERROR(INDEX('TRANS'!$C:$C,MATCH($B2336,'TRANS'!$A:$A,0)),IFERROR(INDEX('Catalog'!$B:$B,MATCH($G2336,'Catalog'!$A:$A,0)),$B2336))</f>
        <v>43-47 מדרסי אפיק ג'ל עבודה</v>
      </c>
      <c r="I2336" s="8" t="str">
        <f aca="false">IF($G2336="","Unmatched","Matched")</f>
        <v>Matched</v>
      </c>
    </row>
    <row r="2337" customFormat="false" ht="15" hidden="false" customHeight="false" outlineLevel="0" collapsed="false">
      <c r="A2337" s="8" t="s">
        <v>918</v>
      </c>
      <c r="B2337" s="8" t="s">
        <v>175</v>
      </c>
      <c r="C2337" s="19" t="n">
        <v>14</v>
      </c>
      <c r="D2337" s="19" t="n">
        <v>2149.27</v>
      </c>
      <c r="E2337" s="19" t="n">
        <v>4</v>
      </c>
      <c r="F2337" s="19" t="n">
        <v>627.65</v>
      </c>
      <c r="G2337" s="8" t="n">
        <f aca="false">IFERROR(INDEX('TRANS'!$B:$B,MATCH($B2337,'TRANS'!$A:$A,0)),IFERROR(INDEX('TRANS'!$B:$B,MATCH(TRIM(SUBSTITUTE($B2337,CHAR(160)," ")),'TRANS'!$D:$D,0)),IFERROR(INDEX('Catalog'!$A:$A,MATCH($B2337,'Catalog'!$B:$B,0)),IFERROR(INDEX('Catalog'!$A:$A,MATCH(TRIM(SUBSTITUTE($B2337,CHAR(160)," ")),'Catalog'!$C:$C,0)),""))))</f>
        <v>4408069</v>
      </c>
      <c r="H2337" s="8" t="str">
        <f aca="false">IFERROR(INDEX('TRANS'!$C:$C,MATCH($B2337,'TRANS'!$A:$A,0)),IFERROR(INDEX('Catalog'!$B:$B,MATCH($G2337,'Catalog'!$A:$A,0)),$B2337))</f>
        <v>38 .חבישת""""הלוקס ולגוס""""לאחר נית</v>
      </c>
      <c r="I2337" s="8" t="str">
        <f aca="false">IF($G2337="","Unmatched","Matched")</f>
        <v>Matched</v>
      </c>
    </row>
    <row r="2338" customFormat="false" ht="15" hidden="false" customHeight="false" outlineLevel="0" collapsed="false">
      <c r="A2338" s="8" t="s">
        <v>918</v>
      </c>
      <c r="B2338" s="8" t="s">
        <v>176</v>
      </c>
      <c r="C2338" s="19" t="n">
        <v>58</v>
      </c>
      <c r="D2338" s="19" t="n">
        <v>4549.11</v>
      </c>
      <c r="E2338" s="19" t="n">
        <v>158</v>
      </c>
      <c r="F2338" s="19" t="n">
        <v>12859.93</v>
      </c>
      <c r="G2338" s="8" t="n">
        <f aca="false">IFERROR(INDEX('TRANS'!$B:$B,MATCH($B2338,'TRANS'!$A:$A,0)),IFERROR(INDEX('TRANS'!$B:$B,MATCH(TRIM(SUBSTITUTE($B2338,CHAR(160)," ")),'TRANS'!$D:$D,0)),IFERROR(INDEX('Catalog'!$A:$A,MATCH($B2338,'Catalog'!$B:$B,0)),IFERROR(INDEX('Catalog'!$A:$A,MATCH(TRIM(SUBSTITUTE($B2338,CHAR(160)," ")),'Catalog'!$C:$C,0)),""))))</f>
        <v>4413452</v>
      </c>
      <c r="H2338" s="8" t="str">
        <f aca="false">IFERROR(INDEX('TRANS'!$C:$C,MATCH($B2338,'TRANS'!$A:$A,0)),IFERROR(INDEX('Catalog'!$B:$B,MATCH($G2338,'Catalog'!$A:$A,0)),$B2338))</f>
        <v>386  מיישר בוניון-האלוקס ולגוס</v>
      </c>
      <c r="I2338" s="8" t="str">
        <f aca="false">IF($G2338="","Unmatched","Matched")</f>
        <v>Matched</v>
      </c>
    </row>
    <row r="2339" customFormat="false" ht="15" hidden="false" customHeight="false" outlineLevel="0" collapsed="false">
      <c r="A2339" s="8" t="s">
        <v>918</v>
      </c>
      <c r="B2339" s="8" t="s">
        <v>178</v>
      </c>
      <c r="C2339" s="19" t="n">
        <v>29</v>
      </c>
      <c r="D2339" s="19" t="n">
        <v>3537.02</v>
      </c>
      <c r="E2339" s="19" t="n">
        <v>26</v>
      </c>
      <c r="F2339" s="19" t="n">
        <v>3231.09</v>
      </c>
      <c r="G2339" s="8" t="n">
        <f aca="false">IFERROR(INDEX('TRANS'!$B:$B,MATCH($B2339,'TRANS'!$A:$A,0)),IFERROR(INDEX('TRANS'!$B:$B,MATCH(TRIM(SUBSTITUTE($B2339,CHAR(160)," ")),'TRANS'!$D:$D,0)),IFERROR(INDEX('Catalog'!$A:$A,MATCH($B2339,'Catalog'!$B:$B,0)),IFERROR(INDEX('Catalog'!$A:$A,MATCH(TRIM(SUBSTITUTE($B2339,CHAR(160)," ")),'Catalog'!$C:$C,0)),""))))</f>
        <v>4415298</v>
      </c>
      <c r="H2339" s="8" t="str">
        <f aca="false">IFERROR(INDEX('TRANS'!$C:$C,MATCH($B2339,'TRANS'!$A:$A,0)),IFERROR(INDEX('Catalog'!$B:$B,MATCH($G2339,'Catalog'!$A:$A,0)),$B2339))</f>
        <v>388B L סד לילה שחור לבוהן שמאל</v>
      </c>
      <c r="I2339" s="8" t="str">
        <f aca="false">IF($G2339="","Unmatched","Matched")</f>
        <v>Matched</v>
      </c>
    </row>
    <row r="2340" customFormat="false" ht="15" hidden="false" customHeight="false" outlineLevel="0" collapsed="false">
      <c r="A2340" s="8" t="s">
        <v>918</v>
      </c>
      <c r="B2340" s="8" t="s">
        <v>179</v>
      </c>
      <c r="C2340" s="19" t="n">
        <v>32</v>
      </c>
      <c r="D2340" s="19" t="n">
        <v>3896.02</v>
      </c>
      <c r="E2340" s="19" t="n">
        <v>25</v>
      </c>
      <c r="F2340" s="19" t="n">
        <v>3164.64</v>
      </c>
      <c r="G2340" s="8" t="n">
        <f aca="false">IFERROR(INDEX('TRANS'!$B:$B,MATCH($B2340,'TRANS'!$A:$A,0)),IFERROR(INDEX('TRANS'!$B:$B,MATCH(TRIM(SUBSTITUTE($B2340,CHAR(160)," ")),'TRANS'!$D:$D,0)),IFERROR(INDEX('Catalog'!$A:$A,MATCH($B2340,'Catalog'!$B:$B,0)),IFERROR(INDEX('Catalog'!$A:$A,MATCH(TRIM(SUBSTITUTE($B2340,CHAR(160)," ")),'Catalog'!$C:$C,0)),""))))</f>
        <v>4415299</v>
      </c>
      <c r="H2340" s="8" t="str">
        <f aca="false">IFERROR(INDEX('TRANS'!$C:$C,MATCH($B2340,'TRANS'!$A:$A,0)),IFERROR(INDEX('Catalog'!$B:$B,MATCH($G2340,'Catalog'!$A:$A,0)),$B2340))</f>
        <v>388B L סד לילה שחור לבוהן ימין</v>
      </c>
      <c r="I2340" s="8" t="str">
        <f aca="false">IF($G2340="","Unmatched","Matched")</f>
        <v>Matched</v>
      </c>
    </row>
    <row r="2341" customFormat="false" ht="15" hidden="false" customHeight="false" outlineLevel="0" collapsed="false">
      <c r="A2341" s="8" t="s">
        <v>918</v>
      </c>
      <c r="B2341" s="8" t="s">
        <v>180</v>
      </c>
      <c r="C2341" s="19" t="n">
        <v>6</v>
      </c>
      <c r="D2341" s="19" t="n">
        <v>297.69</v>
      </c>
      <c r="E2341" s="19" t="n">
        <v>0</v>
      </c>
      <c r="F2341" s="19" t="n">
        <v>0</v>
      </c>
      <c r="G2341" s="8" t="n">
        <f aca="false">IFERROR(INDEX('TRANS'!$B:$B,MATCH($B2341,'TRANS'!$A:$A,0)),IFERROR(INDEX('TRANS'!$B:$B,MATCH(TRIM(SUBSTITUTE($B2341,CHAR(160)," ")),'TRANS'!$D:$D,0)),IFERROR(INDEX('Catalog'!$A:$A,MATCH($B2341,'Catalog'!$B:$B,0)),IFERROR(INDEX('Catalog'!$A:$A,MATCH(TRIM(SUBSTITUTE($B2341,CHAR(160)," ")),'Catalog'!$C:$C,0)),""))))</f>
        <v>4403000</v>
      </c>
      <c r="H2341" s="8" t="str">
        <f aca="false">IFERROR(INDEX('TRANS'!$C:$C,MATCH($B2341,'TRANS'!$A:$A,0)),IFERROR(INDEX('Catalog'!$B:$B,MATCH($G2341,'Catalog'!$A:$A,0)),$B2341))</f>
        <v>390B גרב.כסף לסכרתים שחור35-38</v>
      </c>
      <c r="I2341" s="8" t="str">
        <f aca="false">IF($G2341="","Unmatched","Matched")</f>
        <v>Matched</v>
      </c>
    </row>
    <row r="2342" customFormat="false" ht="15" hidden="false" customHeight="false" outlineLevel="0" collapsed="false">
      <c r="A2342" s="8" t="s">
        <v>918</v>
      </c>
      <c r="B2342" s="8" t="s">
        <v>181</v>
      </c>
      <c r="C2342" s="19" t="n">
        <v>11</v>
      </c>
      <c r="D2342" s="19" t="n">
        <v>587.39</v>
      </c>
      <c r="E2342" s="19" t="n">
        <v>18</v>
      </c>
      <c r="F2342" s="19" t="n">
        <v>958.18</v>
      </c>
      <c r="G2342" s="8" t="n">
        <f aca="false">IFERROR(INDEX('TRANS'!$B:$B,MATCH($B2342,'TRANS'!$A:$A,0)),IFERROR(INDEX('TRANS'!$B:$B,MATCH(TRIM(SUBSTITUTE($B2342,CHAR(160)," ")),'TRANS'!$D:$D,0)),IFERROR(INDEX('Catalog'!$A:$A,MATCH($B2342,'Catalog'!$B:$B,0)),IFERROR(INDEX('Catalog'!$A:$A,MATCH(TRIM(SUBSTITUTE($B2342,CHAR(160)," ")),'Catalog'!$C:$C,0)),""))))</f>
        <v>4403001</v>
      </c>
      <c r="H2342" s="8" t="str">
        <f aca="false">IFERROR(INDEX('TRANS'!$C:$C,MATCH($B2342,'TRANS'!$A:$A,0)),IFERROR(INDEX('Catalog'!$B:$B,MATCH($G2342,'Catalog'!$A:$A,0)),$B2342))</f>
        <v>390B 39-42.גרב.כסף לסכרתיים שח</v>
      </c>
      <c r="I2342" s="8" t="str">
        <f aca="false">IF($G2342="","Unmatched","Matched")</f>
        <v>Matched</v>
      </c>
    </row>
    <row r="2343" customFormat="false" ht="15" hidden="false" customHeight="false" outlineLevel="0" collapsed="false">
      <c r="A2343" s="8" t="s">
        <v>918</v>
      </c>
      <c r="B2343" s="8" t="s">
        <v>182</v>
      </c>
      <c r="C2343" s="19" t="n">
        <v>49</v>
      </c>
      <c r="D2343" s="19" t="n">
        <v>2348.86</v>
      </c>
      <c r="E2343" s="19" t="n">
        <v>0</v>
      </c>
      <c r="F2343" s="19" t="n">
        <v>0</v>
      </c>
      <c r="G2343" s="8" t="n">
        <f aca="false">IFERROR(INDEX('TRANS'!$B:$B,MATCH($B2343,'TRANS'!$A:$A,0)),IFERROR(INDEX('TRANS'!$B:$B,MATCH(TRIM(SUBSTITUTE($B2343,CHAR(160)," ")),'TRANS'!$D:$D,0)),IFERROR(INDEX('Catalog'!$A:$A,MATCH($B2343,'Catalog'!$B:$B,0)),IFERROR(INDEX('Catalog'!$A:$A,MATCH(TRIM(SUBSTITUTE($B2343,CHAR(160)," ")),'Catalog'!$C:$C,0)),""))))</f>
        <v>4403002</v>
      </c>
      <c r="H2343" s="8" t="str">
        <f aca="false">IFERROR(INDEX('TRANS'!$C:$C,MATCH($B2343,'TRANS'!$A:$A,0)),IFERROR(INDEX('Catalog'!$B:$B,MATCH($G2343,'Catalog'!$A:$A,0)),$B2343))</f>
        <v>390B 43-46.גרב.כסף לסכרתיים שח</v>
      </c>
      <c r="I2343" s="8" t="str">
        <f aca="false">IF($G2343="","Unmatched","Matched")</f>
        <v>Matched</v>
      </c>
    </row>
    <row r="2344" customFormat="false" ht="15" hidden="false" customHeight="false" outlineLevel="0" collapsed="false">
      <c r="A2344" s="8" t="s">
        <v>918</v>
      </c>
      <c r="B2344" s="8" t="s">
        <v>183</v>
      </c>
      <c r="C2344" s="19" t="n">
        <v>6</v>
      </c>
      <c r="D2344" s="19" t="n">
        <v>327.33</v>
      </c>
      <c r="E2344" s="19" t="n">
        <v>0</v>
      </c>
      <c r="F2344" s="19" t="n">
        <v>0</v>
      </c>
      <c r="G2344" s="8" t="n">
        <f aca="false">IFERROR(INDEX('TRANS'!$B:$B,MATCH($B2344,'TRANS'!$A:$A,0)),IFERROR(INDEX('TRANS'!$B:$B,MATCH(TRIM(SUBSTITUTE($B2344,CHAR(160)," ")),'TRANS'!$D:$D,0)),IFERROR(INDEX('Catalog'!$A:$A,MATCH($B2344,'Catalog'!$B:$B,0)),IFERROR(INDEX('Catalog'!$A:$A,MATCH(TRIM(SUBSTITUTE($B2344,CHAR(160)," ")),'Catalog'!$C:$C,0)),""))))</f>
        <v>4403003</v>
      </c>
      <c r="H2344" s="8" t="str">
        <f aca="false">IFERROR(INDEX('TRANS'!$C:$C,MATCH($B2344,'TRANS'!$A:$A,0)),IFERROR(INDEX('Catalog'!$B:$B,MATCH($G2344,'Catalog'!$A:$A,0)),$B2344))</f>
        <v>390G ג.כסף לסכרתיים אפור35-38</v>
      </c>
      <c r="I2344" s="8" t="str">
        <f aca="false">IF($G2344="","Unmatched","Matched")</f>
        <v>Matched</v>
      </c>
    </row>
    <row r="2345" customFormat="false" ht="15" hidden="false" customHeight="false" outlineLevel="0" collapsed="false">
      <c r="A2345" s="8" t="s">
        <v>918</v>
      </c>
      <c r="B2345" s="8" t="s">
        <v>184</v>
      </c>
      <c r="C2345" s="19" t="n">
        <v>12</v>
      </c>
      <c r="D2345" s="19" t="n">
        <v>603.87</v>
      </c>
      <c r="E2345" s="19" t="n">
        <v>4</v>
      </c>
      <c r="F2345" s="19" t="n">
        <v>228.49</v>
      </c>
      <c r="G2345" s="8" t="str">
        <f aca="false">IFERROR(INDEX('TRANS'!$B:$B,MATCH($B2345,'TRANS'!$A:$A,0)),IFERROR(INDEX('TRANS'!$B:$B,MATCH(TRIM(SUBSTITUTE($B2345,CHAR(160)," ")),'TRANS'!$D:$D,0)),IFERROR(INDEX('Catalog'!$A:$A,MATCH($B2345,'Catalog'!$B:$B,0)),IFERROR(INDEX('Catalog'!$A:$A,MATCH(TRIM(SUBSTITUTE($B2345,CHAR(160)," ")),'Catalog'!$C:$C,0)),""))))</f>
        <v/>
      </c>
      <c r="H2345" s="8" t="str">
        <f aca="false">IFERROR(INDEX('TRANS'!$C:$C,MATCH($B2345,'TRANS'!$A:$A,0)),IFERROR(INDEX('Catalog'!$B:$B,MATCH($G2345,'Catalog'!$A:$A,0)),$B2345))</f>
        <v>390G-39-42</v>
      </c>
      <c r="I2345" s="8" t="str">
        <f aca="false">IF($G2345="","Unmatched","Matched")</f>
        <v>Unmatched</v>
      </c>
    </row>
    <row r="2346" customFormat="false" ht="15" hidden="false" customHeight="false" outlineLevel="0" collapsed="false">
      <c r="A2346" s="8" t="s">
        <v>918</v>
      </c>
      <c r="B2346" s="8" t="s">
        <v>185</v>
      </c>
      <c r="C2346" s="19" t="n">
        <v>43</v>
      </c>
      <c r="D2346" s="19" t="n">
        <v>2129.24</v>
      </c>
      <c r="E2346" s="19" t="n">
        <v>12</v>
      </c>
      <c r="F2346" s="19" t="n">
        <v>596.68</v>
      </c>
      <c r="G2346" s="8" t="n">
        <f aca="false">IFERROR(INDEX('TRANS'!$B:$B,MATCH($B2346,'TRANS'!$A:$A,0)),IFERROR(INDEX('TRANS'!$B:$B,MATCH(TRIM(SUBSTITUTE($B2346,CHAR(160)," ")),'TRANS'!$D:$D,0)),IFERROR(INDEX('Catalog'!$A:$A,MATCH($B2346,'Catalog'!$B:$B,0)),IFERROR(INDEX('Catalog'!$A:$A,MATCH(TRIM(SUBSTITUTE($B2346,CHAR(160)," ")),'Catalog'!$C:$C,0)),""))))</f>
        <v>4403005</v>
      </c>
      <c r="H2346" s="8" t="str">
        <f aca="false">IFERROR(INDEX('TRANS'!$C:$C,MATCH($B2346,'TRANS'!$A:$A,0)),IFERROR(INDEX('Catalog'!$B:$B,MATCH($G2346,'Catalog'!$A:$A,0)),$B2346))</f>
        <v>G390.43-46 גרבי כסף לסכרת מידה</v>
      </c>
      <c r="I2346" s="8" t="str">
        <f aca="false">IF($G2346="","Unmatched","Matched")</f>
        <v>Matched</v>
      </c>
    </row>
    <row r="2347" customFormat="false" ht="15" hidden="false" customHeight="false" outlineLevel="0" collapsed="false">
      <c r="A2347" s="8" t="s">
        <v>918</v>
      </c>
      <c r="B2347" s="8" t="s">
        <v>761</v>
      </c>
      <c r="C2347" s="19" t="n">
        <v>10</v>
      </c>
      <c r="D2347" s="19" t="n">
        <v>495.08</v>
      </c>
      <c r="E2347" s="19" t="n">
        <v>0</v>
      </c>
      <c r="F2347" s="19" t="n">
        <v>0</v>
      </c>
      <c r="G2347" s="8" t="n">
        <f aca="false">IFERROR(INDEX('TRANS'!$B:$B,MATCH($B2347,'TRANS'!$A:$A,0)),IFERROR(INDEX('TRANS'!$B:$B,MATCH(TRIM(SUBSTITUTE($B2347,CHAR(160)," ")),'TRANS'!$D:$D,0)),IFERROR(INDEX('Catalog'!$A:$A,MATCH($B2347,'Catalog'!$B:$B,0)),IFERROR(INDEX('Catalog'!$A:$A,MATCH(TRIM(SUBSTITUTE($B2347,CHAR(160)," ")),'Catalog'!$C:$C,0)),""))))</f>
        <v>4403006</v>
      </c>
      <c r="H2347" s="8" t="str">
        <f aca="false">IFERROR(INDEX('TRANS'!$C:$C,MATCH($B2347,'TRANS'!$A:$A,0)),IFERROR(INDEX('Catalog'!$B:$B,MATCH($G2347,'Catalog'!$A:$A,0)),$B2347))</f>
        <v>390W גרב כסף לסכרתיים לבן35-38</v>
      </c>
      <c r="I2347" s="8" t="str">
        <f aca="false">IF($G2347="","Unmatched","Matched")</f>
        <v>Matched</v>
      </c>
    </row>
    <row r="2348" customFormat="false" ht="15" hidden="false" customHeight="false" outlineLevel="0" collapsed="false">
      <c r="A2348" s="8" t="s">
        <v>918</v>
      </c>
      <c r="B2348" s="8" t="s">
        <v>186</v>
      </c>
      <c r="C2348" s="19" t="n">
        <v>14</v>
      </c>
      <c r="D2348" s="19" t="n">
        <v>725.3</v>
      </c>
      <c r="E2348" s="19" t="n">
        <v>4</v>
      </c>
      <c r="F2348" s="19" t="n">
        <v>203.12</v>
      </c>
      <c r="G2348" s="8" t="n">
        <f aca="false">IFERROR(INDEX('TRANS'!$B:$B,MATCH($B2348,'TRANS'!$A:$A,0)),IFERROR(INDEX('TRANS'!$B:$B,MATCH(TRIM(SUBSTITUTE($B2348,CHAR(160)," ")),'TRANS'!$D:$D,0)),IFERROR(INDEX('Catalog'!$A:$A,MATCH($B2348,'Catalog'!$B:$B,0)),IFERROR(INDEX('Catalog'!$A:$A,MATCH(TRIM(SUBSTITUTE($B2348,CHAR(160)," ")),'Catalog'!$C:$C,0)),""))))</f>
        <v>4403007</v>
      </c>
      <c r="H2348" s="8" t="str">
        <f aca="false">IFERROR(INDEX('TRANS'!$C:$C,MATCH($B2348,'TRANS'!$A:$A,0)),IFERROR(INDEX('Catalog'!$B:$B,MATCH($G2348,'Catalog'!$A:$A,0)),$B2348))</f>
        <v>390W גרב.כסף לסכרתיים לבן39-42</v>
      </c>
      <c r="I2348" s="8" t="str">
        <f aca="false">IF($G2348="","Unmatched","Matched")</f>
        <v>Matched</v>
      </c>
    </row>
    <row r="2349" customFormat="false" ht="15" hidden="false" customHeight="false" outlineLevel="0" collapsed="false">
      <c r="A2349" s="8" t="s">
        <v>918</v>
      </c>
      <c r="B2349" s="8" t="s">
        <v>366</v>
      </c>
      <c r="C2349" s="19" t="n">
        <v>60</v>
      </c>
      <c r="D2349" s="19" t="n">
        <v>2866.3</v>
      </c>
      <c r="E2349" s="19" t="n">
        <v>12</v>
      </c>
      <c r="F2349" s="19" t="n">
        <v>637.89</v>
      </c>
      <c r="G2349" s="8" t="n">
        <f aca="false">IFERROR(INDEX('TRANS'!$B:$B,MATCH($B2349,'TRANS'!$A:$A,0)),IFERROR(INDEX('TRANS'!$B:$B,MATCH(TRIM(SUBSTITUTE($B2349,CHAR(160)," ")),'TRANS'!$D:$D,0)),IFERROR(INDEX('Catalog'!$A:$A,MATCH($B2349,'Catalog'!$B:$B,0)),IFERROR(INDEX('Catalog'!$A:$A,MATCH(TRIM(SUBSTITUTE($B2349,CHAR(160)," ")),'Catalog'!$C:$C,0)),""))))</f>
        <v>4403008</v>
      </c>
      <c r="H2349" s="8" t="str">
        <f aca="false">IFERROR(INDEX('TRANS'!$C:$C,MATCH($B2349,'TRANS'!$A:$A,0)),IFERROR(INDEX('Catalog'!$B:$B,MATCH($G2349,'Catalog'!$A:$A,0)),$B2349))</f>
        <v>390W גרב.כסף לסכרתיים לבן43-46</v>
      </c>
      <c r="I2349" s="8" t="str">
        <f aca="false">IF($G2349="","Unmatched","Matched")</f>
        <v>Matched</v>
      </c>
    </row>
    <row r="2350" customFormat="false" ht="15" hidden="false" customHeight="false" outlineLevel="0" collapsed="false">
      <c r="A2350" s="8" t="s">
        <v>918</v>
      </c>
      <c r="B2350" s="8" t="s">
        <v>955</v>
      </c>
      <c r="C2350" s="19" t="n">
        <v>0</v>
      </c>
      <c r="D2350" s="19" t="n">
        <v>0</v>
      </c>
      <c r="E2350" s="19" t="n">
        <v>8</v>
      </c>
      <c r="F2350" s="19" t="n">
        <v>406.25</v>
      </c>
      <c r="G2350" s="8" t="str">
        <f aca="false">IFERROR(INDEX('TRANS'!$B:$B,MATCH($B2350,'TRANS'!$A:$A,0)),IFERROR(INDEX('TRANS'!$B:$B,MATCH(TRIM(SUBSTITUTE($B2350,CHAR(160)," ")),'TRANS'!$D:$D,0)),IFERROR(INDEX('Catalog'!$A:$A,MATCH($B2350,'Catalog'!$B:$B,0)),IFERROR(INDEX('Catalog'!$A:$A,MATCH(TRIM(SUBSTITUTE($B2350,CHAR(160)," ")),'Catalog'!$C:$C,0)),""))))</f>
        <v/>
      </c>
      <c r="H2350" s="8" t="str">
        <f aca="false">IFERROR(INDEX('TRANS'!$C:$C,MATCH($B2350,'TRANS'!$A:$A,0)),IFERROR(INDEX('Catalog'!$B:$B,MATCH($G2350,'Catalog'!$A:$A,0)),$B2350))</f>
        <v>391B-35-38</v>
      </c>
      <c r="I2350" s="8" t="str">
        <f aca="false">IF($G2350="","Unmatched","Matched")</f>
        <v>Unmatched</v>
      </c>
    </row>
    <row r="2351" customFormat="false" ht="15" hidden="false" customHeight="false" outlineLevel="0" collapsed="false">
      <c r="A2351" s="8" t="s">
        <v>918</v>
      </c>
      <c r="B2351" s="8" t="s">
        <v>956</v>
      </c>
      <c r="C2351" s="19" t="n">
        <v>0</v>
      </c>
      <c r="D2351" s="19" t="n">
        <v>0</v>
      </c>
      <c r="E2351" s="19" t="n">
        <v>22</v>
      </c>
      <c r="F2351" s="19" t="n">
        <v>1206.01</v>
      </c>
      <c r="G2351" s="8" t="str">
        <f aca="false">IFERROR(INDEX('TRANS'!$B:$B,MATCH($B2351,'TRANS'!$A:$A,0)),IFERROR(INDEX('TRANS'!$B:$B,MATCH(TRIM(SUBSTITUTE($B2351,CHAR(160)," ")),'TRANS'!$D:$D,0)),IFERROR(INDEX('Catalog'!$A:$A,MATCH($B2351,'Catalog'!$B:$B,0)),IFERROR(INDEX('Catalog'!$A:$A,MATCH(TRIM(SUBSTITUTE($B2351,CHAR(160)," ")),'Catalog'!$C:$C,0)),""))))</f>
        <v/>
      </c>
      <c r="H2351" s="8" t="str">
        <f aca="false">IFERROR(INDEX('TRANS'!$C:$C,MATCH($B2351,'TRANS'!$A:$A,0)),IFERROR(INDEX('Catalog'!$B:$B,MATCH($G2351,'Catalog'!$A:$A,0)),$B2351))</f>
        <v>391B-39-42</v>
      </c>
      <c r="I2351" s="8" t="str">
        <f aca="false">IF($G2351="","Unmatched","Matched")</f>
        <v>Unmatched</v>
      </c>
    </row>
    <row r="2352" customFormat="false" ht="15" hidden="false" customHeight="false" outlineLevel="0" collapsed="false">
      <c r="A2352" s="8" t="s">
        <v>918</v>
      </c>
      <c r="B2352" s="8" t="s">
        <v>957</v>
      </c>
      <c r="C2352" s="19" t="n">
        <v>0</v>
      </c>
      <c r="D2352" s="19" t="n">
        <v>0</v>
      </c>
      <c r="E2352" s="19" t="n">
        <v>75</v>
      </c>
      <c r="F2352" s="19" t="n">
        <v>3844.42</v>
      </c>
      <c r="G2352" s="8" t="str">
        <f aca="false">IFERROR(INDEX('TRANS'!$B:$B,MATCH($B2352,'TRANS'!$A:$A,0)),IFERROR(INDEX('TRANS'!$B:$B,MATCH(TRIM(SUBSTITUTE($B2352,CHAR(160)," ")),'TRANS'!$D:$D,0)),IFERROR(INDEX('Catalog'!$A:$A,MATCH($B2352,'Catalog'!$B:$B,0)),IFERROR(INDEX('Catalog'!$A:$A,MATCH(TRIM(SUBSTITUTE($B2352,CHAR(160)," ")),'Catalog'!$C:$C,0)),""))))</f>
        <v/>
      </c>
      <c r="H2352" s="8" t="str">
        <f aca="false">IFERROR(INDEX('TRANS'!$C:$C,MATCH($B2352,'TRANS'!$A:$A,0)),IFERROR(INDEX('Catalog'!$B:$B,MATCH($G2352,'Catalog'!$A:$A,0)),$B2352))</f>
        <v>391B-43-46</v>
      </c>
      <c r="I2352" s="8" t="str">
        <f aca="false">IF($G2352="","Unmatched","Matched")</f>
        <v>Unmatched</v>
      </c>
    </row>
    <row r="2353" customFormat="false" ht="15" hidden="false" customHeight="false" outlineLevel="0" collapsed="false">
      <c r="A2353" s="8" t="s">
        <v>918</v>
      </c>
      <c r="B2353" s="8" t="s">
        <v>488</v>
      </c>
      <c r="C2353" s="19" t="n">
        <v>0</v>
      </c>
      <c r="D2353" s="19" t="n">
        <v>0</v>
      </c>
      <c r="E2353" s="19" t="n">
        <v>4</v>
      </c>
      <c r="F2353" s="19" t="n">
        <v>218.97</v>
      </c>
      <c r="G2353" s="8" t="str">
        <f aca="false">IFERROR(INDEX('TRANS'!$B:$B,MATCH($B2353,'TRANS'!$A:$A,0)),IFERROR(INDEX('TRANS'!$B:$B,MATCH(TRIM(SUBSTITUTE($B2353,CHAR(160)," ")),'TRANS'!$D:$D,0)),IFERROR(INDEX('Catalog'!$A:$A,MATCH($B2353,'Catalog'!$B:$B,0)),IFERROR(INDEX('Catalog'!$A:$A,MATCH(TRIM(SUBSTITUTE($B2353,CHAR(160)," ")),'Catalog'!$C:$C,0)),""))))</f>
        <v/>
      </c>
      <c r="H2353" s="8" t="str">
        <f aca="false">IFERROR(INDEX('TRANS'!$C:$C,MATCH($B2353,'TRANS'!$A:$A,0)),IFERROR(INDEX('Catalog'!$B:$B,MATCH($G2353,'Catalog'!$A:$A,0)),$B2353))</f>
        <v>391W-35-38</v>
      </c>
      <c r="I2353" s="8" t="str">
        <f aca="false">IF($G2353="","Unmatched","Matched")</f>
        <v>Unmatched</v>
      </c>
    </row>
    <row r="2354" customFormat="false" ht="15" hidden="false" customHeight="false" outlineLevel="0" collapsed="false">
      <c r="A2354" s="8" t="s">
        <v>918</v>
      </c>
      <c r="B2354" s="8" t="s">
        <v>958</v>
      </c>
      <c r="C2354" s="19" t="n">
        <v>0</v>
      </c>
      <c r="D2354" s="19" t="n">
        <v>0</v>
      </c>
      <c r="E2354" s="19" t="n">
        <v>1</v>
      </c>
      <c r="F2354" s="19" t="n">
        <v>63.47</v>
      </c>
      <c r="G2354" s="8" t="str">
        <f aca="false">IFERROR(INDEX('TRANS'!$B:$B,MATCH($B2354,'TRANS'!$A:$A,0)),IFERROR(INDEX('TRANS'!$B:$B,MATCH(TRIM(SUBSTITUTE($B2354,CHAR(160)," ")),'TRANS'!$D:$D,0)),IFERROR(INDEX('Catalog'!$A:$A,MATCH($B2354,'Catalog'!$B:$B,0)),IFERROR(INDEX('Catalog'!$A:$A,MATCH(TRIM(SUBSTITUTE($B2354,CHAR(160)," ")),'Catalog'!$C:$C,0)),""))))</f>
        <v/>
      </c>
      <c r="H2354" s="8" t="str">
        <f aca="false">IFERROR(INDEX('TRANS'!$C:$C,MATCH($B2354,'TRANS'!$A:$A,0)),IFERROR(INDEX('Catalog'!$B:$B,MATCH($G2354,'Catalog'!$A:$A,0)),$B2354))</f>
        <v>391W-39-42</v>
      </c>
      <c r="I2354" s="8" t="str">
        <f aca="false">IF($G2354="","Unmatched","Matched")</f>
        <v>Unmatched</v>
      </c>
    </row>
    <row r="2355" customFormat="false" ht="15" hidden="false" customHeight="false" outlineLevel="0" collapsed="false">
      <c r="A2355" s="8" t="s">
        <v>918</v>
      </c>
      <c r="B2355" s="8" t="s">
        <v>959</v>
      </c>
      <c r="C2355" s="19" t="n">
        <v>0</v>
      </c>
      <c r="D2355" s="19" t="n">
        <v>0</v>
      </c>
      <c r="E2355" s="19" t="n">
        <v>23</v>
      </c>
      <c r="F2355" s="19" t="n">
        <v>1215.53</v>
      </c>
      <c r="G2355" s="8" t="str">
        <f aca="false">IFERROR(INDEX('TRANS'!$B:$B,MATCH($B2355,'TRANS'!$A:$A,0)),IFERROR(INDEX('TRANS'!$B:$B,MATCH(TRIM(SUBSTITUTE($B2355,CHAR(160)," ")),'TRANS'!$D:$D,0)),IFERROR(INDEX('Catalog'!$A:$A,MATCH($B2355,'Catalog'!$B:$B,0)),IFERROR(INDEX('Catalog'!$A:$A,MATCH(TRIM(SUBSTITUTE($B2355,CHAR(160)," ")),'Catalog'!$C:$C,0)),""))))</f>
        <v/>
      </c>
      <c r="H2355" s="8" t="str">
        <f aca="false">IFERROR(INDEX('TRANS'!$C:$C,MATCH($B2355,'TRANS'!$A:$A,0)),IFERROR(INDEX('Catalog'!$B:$B,MATCH($G2355,'Catalog'!$A:$A,0)),$B2355))</f>
        <v>391W-43-46</v>
      </c>
      <c r="I2355" s="8" t="str">
        <f aca="false">IF($G2355="","Unmatched","Matched")</f>
        <v>Unmatched</v>
      </c>
    </row>
    <row r="2356" customFormat="false" ht="15" hidden="false" customHeight="false" outlineLevel="0" collapsed="false">
      <c r="A2356" s="8" t="s">
        <v>918</v>
      </c>
      <c r="B2356" s="8" t="s">
        <v>187</v>
      </c>
      <c r="C2356" s="19" t="n">
        <v>10</v>
      </c>
      <c r="D2356" s="19" t="n">
        <v>477.98</v>
      </c>
      <c r="E2356" s="19" t="n">
        <v>4</v>
      </c>
      <c r="F2356" s="19" t="n">
        <v>164.97</v>
      </c>
      <c r="G2356" s="8" t="n">
        <f aca="false">IFERROR(INDEX('TRANS'!$B:$B,MATCH($B2356,'TRANS'!$A:$A,0)),IFERROR(INDEX('TRANS'!$B:$B,MATCH(TRIM(SUBSTITUTE($B2356,CHAR(160)," ")),'TRANS'!$D:$D,0)),IFERROR(INDEX('Catalog'!$A:$A,MATCH($B2356,'Catalog'!$B:$B,0)),IFERROR(INDEX('Catalog'!$A:$A,MATCH(TRIM(SUBSTITUTE($B2356,CHAR(160)," ")),'Catalog'!$C:$C,0)),""))))</f>
        <v>4403017</v>
      </c>
      <c r="H2356" s="8" t="str">
        <f aca="false">IFERROR(INDEX('TRANS'!$C:$C,MATCH($B2356,'TRANS'!$A:$A,0)),IFERROR(INDEX('Catalog'!$B:$B,MATCH($G2356,'Catalog'!$A:$A,0)),$B2356))</f>
        <v>394B גרב.כסף לסכרתים שחור35-38</v>
      </c>
      <c r="I2356" s="8" t="str">
        <f aca="false">IF($G2356="","Unmatched","Matched")</f>
        <v>Matched</v>
      </c>
    </row>
    <row r="2357" customFormat="false" ht="15" hidden="false" customHeight="false" outlineLevel="0" collapsed="false">
      <c r="A2357" s="8" t="s">
        <v>918</v>
      </c>
      <c r="B2357" s="8" t="s">
        <v>188</v>
      </c>
      <c r="C2357" s="19" t="n">
        <v>50</v>
      </c>
      <c r="D2357" s="19" t="n">
        <v>1968.05</v>
      </c>
      <c r="E2357" s="19" t="n">
        <v>0</v>
      </c>
      <c r="F2357" s="19" t="n">
        <v>0</v>
      </c>
      <c r="G2357" s="8" t="n">
        <f aca="false">IFERROR(INDEX('TRANS'!$B:$B,MATCH($B2357,'TRANS'!$A:$A,0)),IFERROR(INDEX('TRANS'!$B:$B,MATCH(TRIM(SUBSTITUTE($B2357,CHAR(160)," ")),'TRANS'!$D:$D,0)),IFERROR(INDEX('Catalog'!$A:$A,MATCH($B2357,'Catalog'!$B:$B,0)),IFERROR(INDEX('Catalog'!$A:$A,MATCH(TRIM(SUBSTITUTE($B2357,CHAR(160)," ")),'Catalog'!$C:$C,0)),""))))</f>
        <v>4403018</v>
      </c>
      <c r="H2357" s="8" t="str">
        <f aca="false">IFERROR(INDEX('TRANS'!$C:$C,MATCH($B2357,'TRANS'!$A:$A,0)),IFERROR(INDEX('Catalog'!$B:$B,MATCH($G2357,'Catalog'!$A:$A,0)),$B2357))</f>
        <v>394B גרב.כסף לסכרתים שחור39-42</v>
      </c>
      <c r="I2357" s="8" t="str">
        <f aca="false">IF($G2357="","Unmatched","Matched")</f>
        <v>Matched</v>
      </c>
    </row>
    <row r="2358" customFormat="false" ht="15" hidden="false" customHeight="false" outlineLevel="0" collapsed="false">
      <c r="A2358" s="8" t="s">
        <v>918</v>
      </c>
      <c r="B2358" s="8" t="s">
        <v>189</v>
      </c>
      <c r="C2358" s="19" t="n">
        <v>214</v>
      </c>
      <c r="D2358" s="19" t="n">
        <v>8505.31</v>
      </c>
      <c r="E2358" s="19" t="n">
        <v>21</v>
      </c>
      <c r="F2358" s="19" t="n">
        <v>827.7</v>
      </c>
      <c r="G2358" s="8" t="n">
        <f aca="false">IFERROR(INDEX('TRANS'!$B:$B,MATCH($B2358,'TRANS'!$A:$A,0)),IFERROR(INDEX('TRANS'!$B:$B,MATCH(TRIM(SUBSTITUTE($B2358,CHAR(160)," ")),'TRANS'!$D:$D,0)),IFERROR(INDEX('Catalog'!$A:$A,MATCH($B2358,'Catalog'!$B:$B,0)),IFERROR(INDEX('Catalog'!$A:$A,MATCH(TRIM(SUBSTITUTE($B2358,CHAR(160)," ")),'Catalog'!$C:$C,0)),""))))</f>
        <v>4403019</v>
      </c>
      <c r="H2358" s="8" t="str">
        <f aca="false">IFERROR(INDEX('TRANS'!$C:$C,MATCH($B2358,'TRANS'!$A:$A,0)),IFERROR(INDEX('Catalog'!$B:$B,MATCH($G2358,'Catalog'!$A:$A,0)),$B2358))</f>
        <v>394B גרב.כסף לסכרתים שחור43-46</v>
      </c>
      <c r="I2358" s="8" t="str">
        <f aca="false">IF($G2358="","Unmatched","Matched")</f>
        <v>Matched</v>
      </c>
    </row>
    <row r="2359" customFormat="false" ht="15" hidden="false" customHeight="false" outlineLevel="0" collapsed="false">
      <c r="A2359" s="8" t="s">
        <v>918</v>
      </c>
      <c r="B2359" s="8" t="s">
        <v>190</v>
      </c>
      <c r="C2359" s="19" t="n">
        <v>25</v>
      </c>
      <c r="D2359" s="19" t="n">
        <v>1017.05</v>
      </c>
      <c r="E2359" s="19" t="n">
        <v>2</v>
      </c>
      <c r="F2359" s="19" t="n">
        <v>76.14</v>
      </c>
      <c r="G2359" s="8" t="str">
        <f aca="false">IFERROR(INDEX('TRANS'!$B:$B,MATCH($B2359,'TRANS'!$A:$A,0)),IFERROR(INDEX('TRANS'!$B:$B,MATCH(TRIM(SUBSTITUTE($B2359,CHAR(160)," ")),'TRANS'!$D:$D,0)),IFERROR(INDEX('Catalog'!$A:$A,MATCH($B2359,'Catalog'!$B:$B,0)),IFERROR(INDEX('Catalog'!$A:$A,MATCH(TRIM(SUBSTITUTE($B2359,CHAR(160)," ")),'Catalog'!$C:$C,0)),""))))</f>
        <v/>
      </c>
      <c r="H2359" s="8" t="str">
        <f aca="false">IFERROR(INDEX('TRANS'!$C:$C,MATCH($B2359,'TRANS'!$A:$A,0)),IFERROR(INDEX('Catalog'!$B:$B,MATCH($G2359,'Catalog'!$A:$A,0)),$B2359))</f>
        <v>394G-35-38</v>
      </c>
      <c r="I2359" s="8" t="str">
        <f aca="false">IF($G2359="","Unmatched","Matched")</f>
        <v>Unmatched</v>
      </c>
    </row>
    <row r="2360" customFormat="false" ht="15" hidden="false" customHeight="false" outlineLevel="0" collapsed="false">
      <c r="A2360" s="8" t="s">
        <v>918</v>
      </c>
      <c r="B2360" s="8" t="s">
        <v>191</v>
      </c>
      <c r="C2360" s="19" t="n">
        <v>37</v>
      </c>
      <c r="D2360" s="19" t="n">
        <v>1542.56</v>
      </c>
      <c r="E2360" s="19" t="n">
        <v>17</v>
      </c>
      <c r="F2360" s="19" t="n">
        <v>713.2</v>
      </c>
      <c r="G2360" s="8" t="str">
        <f aca="false">IFERROR(INDEX('TRANS'!$B:$B,MATCH($B2360,'TRANS'!$A:$A,0)),IFERROR(INDEX('TRANS'!$B:$B,MATCH(TRIM(SUBSTITUTE($B2360,CHAR(160)," ")),'TRANS'!$D:$D,0)),IFERROR(INDEX('Catalog'!$A:$A,MATCH($B2360,'Catalog'!$B:$B,0)),IFERROR(INDEX('Catalog'!$A:$A,MATCH(TRIM(SUBSTITUTE($B2360,CHAR(160)," ")),'Catalog'!$C:$C,0)),""))))</f>
        <v/>
      </c>
      <c r="H2360" s="8" t="str">
        <f aca="false">IFERROR(INDEX('TRANS'!$C:$C,MATCH($B2360,'TRANS'!$A:$A,0)),IFERROR(INDEX('Catalog'!$B:$B,MATCH($G2360,'Catalog'!$A:$A,0)),$B2360))</f>
        <v>394G-39-42</v>
      </c>
      <c r="I2360" s="8" t="str">
        <f aca="false">IF($G2360="","Unmatched","Matched")</f>
        <v>Unmatched</v>
      </c>
    </row>
    <row r="2361" customFormat="false" ht="15" hidden="false" customHeight="false" outlineLevel="0" collapsed="false">
      <c r="A2361" s="8" t="s">
        <v>918</v>
      </c>
      <c r="B2361" s="8" t="s">
        <v>551</v>
      </c>
      <c r="C2361" s="19" t="n">
        <v>23</v>
      </c>
      <c r="D2361" s="19" t="n">
        <v>893.96</v>
      </c>
      <c r="E2361" s="19" t="n">
        <v>5</v>
      </c>
      <c r="F2361" s="19" t="n">
        <v>253.8</v>
      </c>
      <c r="G2361" s="8" t="str">
        <f aca="false">IFERROR(INDEX('TRANS'!$B:$B,MATCH($B2361,'TRANS'!$A:$A,0)),IFERROR(INDEX('TRANS'!$B:$B,MATCH(TRIM(SUBSTITUTE($B2361,CHAR(160)," ")),'TRANS'!$D:$D,0)),IFERROR(INDEX('Catalog'!$A:$A,MATCH($B2361,'Catalog'!$B:$B,0)),IFERROR(INDEX('Catalog'!$A:$A,MATCH(TRIM(SUBSTITUTE($B2361,CHAR(160)," ")),'Catalog'!$C:$C,0)),""))))</f>
        <v/>
      </c>
      <c r="H2361" s="8" t="str">
        <f aca="false">IFERROR(INDEX('TRANS'!$C:$C,MATCH($B2361,'TRANS'!$A:$A,0)),IFERROR(INDEX('Catalog'!$B:$B,MATCH($G2361,'Catalog'!$A:$A,0)),$B2361))</f>
        <v>394G-43-46</v>
      </c>
      <c r="I2361" s="8" t="str">
        <f aca="false">IF($G2361="","Unmatched","Matched")</f>
        <v>Unmatched</v>
      </c>
    </row>
    <row r="2362" customFormat="false" ht="15" hidden="false" customHeight="false" outlineLevel="0" collapsed="false">
      <c r="A2362" s="8" t="s">
        <v>918</v>
      </c>
      <c r="B2362" s="8" t="s">
        <v>192</v>
      </c>
      <c r="C2362" s="19" t="n">
        <v>8</v>
      </c>
      <c r="D2362" s="19" t="n">
        <v>301.67</v>
      </c>
      <c r="E2362" s="19" t="n">
        <v>0</v>
      </c>
      <c r="F2362" s="19" t="n">
        <v>0</v>
      </c>
      <c r="G2362" s="8" t="n">
        <f aca="false">IFERROR(INDEX('TRANS'!$B:$B,MATCH($B2362,'TRANS'!$A:$A,0)),IFERROR(INDEX('TRANS'!$B:$B,MATCH(TRIM(SUBSTITUTE($B2362,CHAR(160)," ")),'TRANS'!$D:$D,0)),IFERROR(INDEX('Catalog'!$A:$A,MATCH($B2362,'Catalog'!$B:$B,0)),IFERROR(INDEX('Catalog'!$A:$A,MATCH(TRIM(SUBSTITUTE($B2362,CHAR(160)," ")),'Catalog'!$C:$C,0)),""))))</f>
        <v>4403023</v>
      </c>
      <c r="H2362" s="8" t="str">
        <f aca="false">IFERROR(INDEX('TRANS'!$C:$C,MATCH($B2362,'TRANS'!$A:$A,0)),IFERROR(INDEX('Catalog'!$B:$B,MATCH($G2362,'Catalog'!$A:$A,0)),$B2362))</f>
        <v>394W 35-38 גרב.כסף לסכרתים לבן</v>
      </c>
      <c r="I2362" s="8" t="str">
        <f aca="false">IF($G2362="","Unmatched","Matched")</f>
        <v>Matched</v>
      </c>
    </row>
    <row r="2363" customFormat="false" ht="15" hidden="false" customHeight="false" outlineLevel="0" collapsed="false">
      <c r="A2363" s="8" t="s">
        <v>918</v>
      </c>
      <c r="B2363" s="8" t="s">
        <v>193</v>
      </c>
      <c r="C2363" s="19" t="n">
        <v>70</v>
      </c>
      <c r="D2363" s="19" t="n">
        <v>2796.69</v>
      </c>
      <c r="E2363" s="19" t="n">
        <v>11</v>
      </c>
      <c r="F2363" s="19" t="n">
        <v>525.39</v>
      </c>
      <c r="G2363" s="8" t="n">
        <f aca="false">IFERROR(INDEX('TRANS'!$B:$B,MATCH($B2363,'TRANS'!$A:$A,0)),IFERROR(INDEX('TRANS'!$B:$B,MATCH(TRIM(SUBSTITUTE($B2363,CHAR(160)," ")),'TRANS'!$D:$D,0)),IFERROR(INDEX('Catalog'!$A:$A,MATCH($B2363,'Catalog'!$B:$B,0)),IFERROR(INDEX('Catalog'!$A:$A,MATCH(TRIM(SUBSTITUTE($B2363,CHAR(160)," ")),'Catalog'!$C:$C,0)),""))))</f>
        <v>4403024</v>
      </c>
      <c r="H2363" s="8" t="str">
        <f aca="false">IFERROR(INDEX('TRANS'!$C:$C,MATCH($B2363,'TRANS'!$A:$A,0)),IFERROR(INDEX('Catalog'!$B:$B,MATCH($G2363,'Catalog'!$A:$A,0)),$B2363))</f>
        <v>394W 39-42 גרב.כסף לסכרתים לבן</v>
      </c>
      <c r="I2363" s="8" t="str">
        <f aca="false">IF($G2363="","Unmatched","Matched")</f>
        <v>Matched</v>
      </c>
    </row>
    <row r="2364" customFormat="false" ht="15" hidden="false" customHeight="false" outlineLevel="0" collapsed="false">
      <c r="A2364" s="8" t="s">
        <v>918</v>
      </c>
      <c r="B2364" s="8" t="s">
        <v>194</v>
      </c>
      <c r="C2364" s="19" t="n">
        <v>106</v>
      </c>
      <c r="D2364" s="19" t="n">
        <v>4288.69</v>
      </c>
      <c r="E2364" s="19" t="n">
        <v>41</v>
      </c>
      <c r="F2364" s="19" t="n">
        <v>1642.18</v>
      </c>
      <c r="G2364" s="8" t="n">
        <f aca="false">IFERROR(INDEX('TRANS'!$B:$B,MATCH($B2364,'TRANS'!$A:$A,0)),IFERROR(INDEX('TRANS'!$B:$B,MATCH(TRIM(SUBSTITUTE($B2364,CHAR(160)," ")),'TRANS'!$D:$D,0)),IFERROR(INDEX('Catalog'!$A:$A,MATCH($B2364,'Catalog'!$B:$B,0)),IFERROR(INDEX('Catalog'!$A:$A,MATCH(TRIM(SUBSTITUTE($B2364,CHAR(160)," ")),'Catalog'!$C:$C,0)),""))))</f>
        <v>4403025</v>
      </c>
      <c r="H2364" s="8" t="str">
        <f aca="false">IFERROR(INDEX('TRANS'!$C:$C,MATCH($B2364,'TRANS'!$A:$A,0)),IFERROR(INDEX('Catalog'!$B:$B,MATCH($G2364,'Catalog'!$A:$A,0)),$B2364))</f>
        <v>394W 43-46 גרב.כסף לסכרתים לבן</v>
      </c>
      <c r="I2364" s="8" t="str">
        <f aca="false">IF($G2364="","Unmatched","Matched")</f>
        <v>Matched</v>
      </c>
    </row>
    <row r="2365" customFormat="false" ht="15" hidden="false" customHeight="false" outlineLevel="0" collapsed="false">
      <c r="A2365" s="8" t="s">
        <v>918</v>
      </c>
      <c r="B2365" s="8" t="s">
        <v>715</v>
      </c>
      <c r="C2365" s="19" t="n">
        <v>0</v>
      </c>
      <c r="D2365" s="19" t="n">
        <v>0</v>
      </c>
      <c r="E2365" s="19" t="n">
        <v>19</v>
      </c>
      <c r="F2365" s="19" t="n">
        <v>910.28</v>
      </c>
      <c r="G2365" s="8" t="str">
        <f aca="false">IFERROR(INDEX('TRANS'!$B:$B,MATCH($B2365,'TRANS'!$A:$A,0)),IFERROR(INDEX('TRANS'!$B:$B,MATCH(TRIM(SUBSTITUTE($B2365,CHAR(160)," ")),'TRANS'!$D:$D,0)),IFERROR(INDEX('Catalog'!$A:$A,MATCH($B2365,'Catalog'!$B:$B,0)),IFERROR(INDEX('Catalog'!$A:$A,MATCH(TRIM(SUBSTITUTE($B2365,CHAR(160)," ")),'Catalog'!$C:$C,0)),""))))</f>
        <v/>
      </c>
      <c r="H2365" s="8" t="str">
        <f aca="false">IFERROR(INDEX('TRANS'!$C:$C,MATCH($B2365,'TRANS'!$A:$A,0)),IFERROR(INDEX('Catalog'!$B:$B,MATCH($G2365,'Catalog'!$A:$A,0)),$B2365))</f>
        <v>395B-35-38</v>
      </c>
      <c r="I2365" s="8" t="str">
        <f aca="false">IF($G2365="","Unmatched","Matched")</f>
        <v>Unmatched</v>
      </c>
    </row>
    <row r="2366" customFormat="false" ht="15" hidden="false" customHeight="false" outlineLevel="0" collapsed="false">
      <c r="A2366" s="8" t="s">
        <v>918</v>
      </c>
      <c r="B2366" s="8" t="s">
        <v>195</v>
      </c>
      <c r="C2366" s="19" t="n">
        <v>0</v>
      </c>
      <c r="D2366" s="19" t="n">
        <v>0</v>
      </c>
      <c r="E2366" s="19" t="n">
        <v>69</v>
      </c>
      <c r="F2366" s="19" t="n">
        <v>3268.57</v>
      </c>
      <c r="G2366" s="8" t="n">
        <f aca="false">IFERROR(INDEX('TRANS'!$B:$B,MATCH($B2366,'TRANS'!$A:$A,0)),IFERROR(INDEX('TRANS'!$B:$B,MATCH(TRIM(SUBSTITUTE($B2366,CHAR(160)," ")),'TRANS'!$D:$D,0)),IFERROR(INDEX('Catalog'!$A:$A,MATCH($B2366,'Catalog'!$B:$B,0)),IFERROR(INDEX('Catalog'!$A:$A,MATCH(TRIM(SUBSTITUTE($B2366,CHAR(160)," ")),'Catalog'!$C:$C,0)),""))))</f>
        <v>4403044</v>
      </c>
      <c r="H2366" s="8" t="str">
        <f aca="false">IFERROR(INDEX('TRANS'!$C:$C,MATCH($B2366,'TRANS'!$A:$A,0)),IFERROR(INDEX('Catalog'!$B:$B,MATCH($G2366,'Catalog'!$A:$A,0)),$B2366))</f>
        <v>395B גרבי קיץ אנטי בקטריא39-42</v>
      </c>
      <c r="I2366" s="8" t="str">
        <f aca="false">IF($G2366="","Unmatched","Matched")</f>
        <v>Matched</v>
      </c>
    </row>
    <row r="2367" customFormat="false" ht="15" hidden="false" customHeight="false" outlineLevel="0" collapsed="false">
      <c r="A2367" s="8" t="s">
        <v>918</v>
      </c>
      <c r="B2367" s="8" t="s">
        <v>196</v>
      </c>
      <c r="C2367" s="19" t="n">
        <v>0</v>
      </c>
      <c r="D2367" s="19" t="n">
        <v>0</v>
      </c>
      <c r="E2367" s="19" t="n">
        <v>185</v>
      </c>
      <c r="F2367" s="19" t="n">
        <v>8537.98</v>
      </c>
      <c r="G2367" s="8" t="n">
        <f aca="false">IFERROR(INDEX('TRANS'!$B:$B,MATCH($B2367,'TRANS'!$A:$A,0)),IFERROR(INDEX('TRANS'!$B:$B,MATCH(TRIM(SUBSTITUTE($B2367,CHAR(160)," ")),'TRANS'!$D:$D,0)),IFERROR(INDEX('Catalog'!$A:$A,MATCH($B2367,'Catalog'!$B:$B,0)),IFERROR(INDEX('Catalog'!$A:$A,MATCH(TRIM(SUBSTITUTE($B2367,CHAR(160)," ")),'Catalog'!$C:$C,0)),""))))</f>
        <v>4403045</v>
      </c>
      <c r="H2367" s="8" t="str">
        <f aca="false">IFERROR(INDEX('TRANS'!$C:$C,MATCH($B2367,'TRANS'!$A:$A,0)),IFERROR(INDEX('Catalog'!$B:$B,MATCH($G2367,'Catalog'!$A:$A,0)),$B2367))</f>
        <v>395B גרבי קיץ אנטי בקטריא43-46</v>
      </c>
      <c r="I2367" s="8" t="str">
        <f aca="false">IF($G2367="","Unmatched","Matched")</f>
        <v>Matched</v>
      </c>
    </row>
    <row r="2368" customFormat="false" ht="15" hidden="false" customHeight="false" outlineLevel="0" collapsed="false">
      <c r="A2368" s="8" t="s">
        <v>918</v>
      </c>
      <c r="B2368" s="8" t="s">
        <v>716</v>
      </c>
      <c r="C2368" s="19" t="n">
        <v>0</v>
      </c>
      <c r="D2368" s="19" t="n">
        <v>0</v>
      </c>
      <c r="E2368" s="19" t="n">
        <v>57</v>
      </c>
      <c r="F2368" s="19" t="n">
        <v>2646.58</v>
      </c>
      <c r="G2368" s="8" t="str">
        <f aca="false">IFERROR(INDEX('TRANS'!$B:$B,MATCH($B2368,'TRANS'!$A:$A,0)),IFERROR(INDEX('TRANS'!$B:$B,MATCH(TRIM(SUBSTITUTE($B2368,CHAR(160)," ")),'TRANS'!$D:$D,0)),IFERROR(INDEX('Catalog'!$A:$A,MATCH($B2368,'Catalog'!$B:$B,0)),IFERROR(INDEX('Catalog'!$A:$A,MATCH(TRIM(SUBSTITUTE($B2368,CHAR(160)," ")),'Catalog'!$C:$C,0)),""))))</f>
        <v/>
      </c>
      <c r="H2368" s="8" t="str">
        <f aca="false">IFERROR(INDEX('TRANS'!$C:$C,MATCH($B2368,'TRANS'!$A:$A,0)),IFERROR(INDEX('Catalog'!$B:$B,MATCH($G2368,'Catalog'!$A:$A,0)),$B2368))</f>
        <v>395W-35-38</v>
      </c>
      <c r="I2368" s="8" t="str">
        <f aca="false">IF($G2368="","Unmatched","Matched")</f>
        <v>Unmatched</v>
      </c>
    </row>
    <row r="2369" customFormat="false" ht="15" hidden="false" customHeight="false" outlineLevel="0" collapsed="false">
      <c r="A2369" s="8" t="s">
        <v>918</v>
      </c>
      <c r="B2369" s="8" t="s">
        <v>596</v>
      </c>
      <c r="C2369" s="19" t="n">
        <v>0</v>
      </c>
      <c r="D2369" s="19" t="n">
        <v>0</v>
      </c>
      <c r="E2369" s="19" t="n">
        <v>93</v>
      </c>
      <c r="F2369" s="19" t="n">
        <v>4332.58</v>
      </c>
      <c r="G2369" s="8" t="str">
        <f aca="false">IFERROR(INDEX('TRANS'!$B:$B,MATCH($B2369,'TRANS'!$A:$A,0)),IFERROR(INDEX('TRANS'!$B:$B,MATCH(TRIM(SUBSTITUTE($B2369,CHAR(160)," ")),'TRANS'!$D:$D,0)),IFERROR(INDEX('Catalog'!$A:$A,MATCH($B2369,'Catalog'!$B:$B,0)),IFERROR(INDEX('Catalog'!$A:$A,MATCH(TRIM(SUBSTITUTE($B2369,CHAR(160)," ")),'Catalog'!$C:$C,0)),""))))</f>
        <v/>
      </c>
      <c r="H2369" s="8" t="str">
        <f aca="false">IFERROR(INDEX('TRANS'!$C:$C,MATCH($B2369,'TRANS'!$A:$A,0)),IFERROR(INDEX('Catalog'!$B:$B,MATCH($G2369,'Catalog'!$A:$A,0)),$B2369))</f>
        <v>395W-39-42</v>
      </c>
      <c r="I2369" s="8" t="str">
        <f aca="false">IF($G2369="","Unmatched","Matched")</f>
        <v>Unmatched</v>
      </c>
    </row>
    <row r="2370" customFormat="false" ht="15" hidden="false" customHeight="false" outlineLevel="0" collapsed="false">
      <c r="A2370" s="8" t="s">
        <v>918</v>
      </c>
      <c r="B2370" s="8" t="s">
        <v>717</v>
      </c>
      <c r="C2370" s="19" t="n">
        <v>0</v>
      </c>
      <c r="D2370" s="19" t="n">
        <v>0</v>
      </c>
      <c r="E2370" s="19" t="n">
        <v>124</v>
      </c>
      <c r="F2370" s="19" t="n">
        <v>5835.45</v>
      </c>
      <c r="G2370" s="8" t="str">
        <f aca="false">IFERROR(INDEX('TRANS'!$B:$B,MATCH($B2370,'TRANS'!$A:$A,0)),IFERROR(INDEX('TRANS'!$B:$B,MATCH(TRIM(SUBSTITUTE($B2370,CHAR(160)," ")),'TRANS'!$D:$D,0)),IFERROR(INDEX('Catalog'!$A:$A,MATCH($B2370,'Catalog'!$B:$B,0)),IFERROR(INDEX('Catalog'!$A:$A,MATCH(TRIM(SUBSTITUTE($B2370,CHAR(160)," ")),'Catalog'!$C:$C,0)),""))))</f>
        <v/>
      </c>
      <c r="H2370" s="8" t="str">
        <f aca="false">IFERROR(INDEX('TRANS'!$C:$C,MATCH($B2370,'TRANS'!$A:$A,0)),IFERROR(INDEX('Catalog'!$B:$B,MATCH($G2370,'Catalog'!$A:$A,0)),$B2370))</f>
        <v>395W-43-46</v>
      </c>
      <c r="I2370" s="8" t="str">
        <f aca="false">IF($G2370="","Unmatched","Matched")</f>
        <v>Unmatched</v>
      </c>
    </row>
    <row r="2371" customFormat="false" ht="15" hidden="false" customHeight="false" outlineLevel="0" collapsed="false">
      <c r="A2371" s="8" t="s">
        <v>918</v>
      </c>
      <c r="B2371" s="8" t="s">
        <v>197</v>
      </c>
      <c r="C2371" s="19" t="n">
        <v>85</v>
      </c>
      <c r="D2371" s="19" t="n">
        <v>8777.86</v>
      </c>
      <c r="E2371" s="19" t="n">
        <v>0</v>
      </c>
      <c r="F2371" s="19" t="n">
        <v>0</v>
      </c>
      <c r="G2371" s="8" t="str">
        <f aca="false">IFERROR(INDEX('TRANS'!$B:$B,MATCH($B2371,'TRANS'!$A:$A,0)),IFERROR(INDEX('TRANS'!$B:$B,MATCH(TRIM(SUBSTITUTE($B2371,CHAR(160)," ")),'TRANS'!$D:$D,0)),IFERROR(INDEX('Catalog'!$A:$A,MATCH($B2371,'Catalog'!$B:$B,0)),IFERROR(INDEX('Catalog'!$A:$A,MATCH(TRIM(SUBSTITUTE($B2371,CHAR(160)," ")),'Catalog'!$C:$C,0)),""))))</f>
        <v/>
      </c>
      <c r="H2371" s="8" t="str">
        <f aca="false">IFERROR(INDEX('TRANS'!$C:$C,MATCH($B2371,'TRANS'!$A:$A,0)),IFERROR(INDEX('Catalog'!$B:$B,MATCH($G2371,'Catalog'!$A:$A,0)),$B2371))</f>
        <v>397-35-38</v>
      </c>
      <c r="I2371" s="8" t="str">
        <f aca="false">IF($G2371="","Unmatched","Matched")</f>
        <v>Unmatched</v>
      </c>
    </row>
    <row r="2372" customFormat="false" ht="15" hidden="false" customHeight="false" outlineLevel="0" collapsed="false">
      <c r="A2372" s="8" t="s">
        <v>918</v>
      </c>
      <c r="B2372" s="8" t="s">
        <v>198</v>
      </c>
      <c r="C2372" s="19" t="n">
        <v>174</v>
      </c>
      <c r="D2372" s="19" t="n">
        <v>17260.97</v>
      </c>
      <c r="E2372" s="19" t="n">
        <v>1</v>
      </c>
      <c r="F2372" s="19" t="n">
        <v>97.17</v>
      </c>
      <c r="G2372" s="8" t="n">
        <f aca="false">IFERROR(INDEX('TRANS'!$B:$B,MATCH($B2372,'TRANS'!$A:$A,0)),IFERROR(INDEX('TRANS'!$B:$B,MATCH(TRIM(SUBSTITUTE($B2372,CHAR(160)," ")),'TRANS'!$D:$D,0)),IFERROR(INDEX('Catalog'!$A:$A,MATCH($B2372,'Catalog'!$B:$B,0)),IFERROR(INDEX('Catalog'!$A:$A,MATCH(TRIM(SUBSTITUTE($B2372,CHAR(160)," ")),'Catalog'!$C:$C,0)),""))))</f>
        <v>4403029</v>
      </c>
      <c r="H2372" s="8" t="str">
        <f aca="false">IFERROR(INDEX('TRANS'!$C:$C,MATCH($B2372,'TRANS'!$A:$A,0)),IFERROR(INDEX('Catalog'!$B:$B,MATCH($G2372,'Catalog'!$A:$A,0)),$B2372))</f>
        <v>397 39-42 גרבי טיסה מידה</v>
      </c>
      <c r="I2372" s="8" t="str">
        <f aca="false">IF($G2372="","Unmatched","Matched")</f>
        <v>Matched</v>
      </c>
    </row>
    <row r="2373" customFormat="false" ht="15" hidden="false" customHeight="false" outlineLevel="0" collapsed="false">
      <c r="A2373" s="8" t="s">
        <v>918</v>
      </c>
      <c r="B2373" s="8" t="s">
        <v>199</v>
      </c>
      <c r="C2373" s="19" t="n">
        <v>172</v>
      </c>
      <c r="D2373" s="19" t="n">
        <v>16455.99</v>
      </c>
      <c r="E2373" s="19" t="n">
        <v>0</v>
      </c>
      <c r="F2373" s="19" t="n">
        <v>0</v>
      </c>
      <c r="G2373" s="8" t="str">
        <f aca="false">IFERROR(INDEX('TRANS'!$B:$B,MATCH($B2373,'TRANS'!$A:$A,0)),IFERROR(INDEX('TRANS'!$B:$B,MATCH(TRIM(SUBSTITUTE($B2373,CHAR(160)," ")),'TRANS'!$D:$D,0)),IFERROR(INDEX('Catalog'!$A:$A,MATCH($B2373,'Catalog'!$B:$B,0)),IFERROR(INDEX('Catalog'!$A:$A,MATCH(TRIM(SUBSTITUTE($B2373,CHAR(160)," ")),'Catalog'!$C:$C,0)),""))))</f>
        <v/>
      </c>
      <c r="H2373" s="8" t="str">
        <f aca="false">IFERROR(INDEX('TRANS'!$C:$C,MATCH($B2373,'TRANS'!$A:$A,0)),IFERROR(INDEX('Catalog'!$B:$B,MATCH($G2373,'Catalog'!$A:$A,0)),$B2373))</f>
        <v>397-43-46</v>
      </c>
      <c r="I2373" s="8" t="str">
        <f aca="false">IF($G2373="","Unmatched","Matched")</f>
        <v>Unmatched</v>
      </c>
    </row>
    <row r="2374" customFormat="false" ht="15" hidden="false" customHeight="false" outlineLevel="0" collapsed="false">
      <c r="A2374" s="8" t="s">
        <v>918</v>
      </c>
      <c r="B2374" s="8" t="s">
        <v>200</v>
      </c>
      <c r="C2374" s="19" t="n">
        <v>12</v>
      </c>
      <c r="D2374" s="19" t="n">
        <v>1234.64</v>
      </c>
      <c r="E2374" s="19" t="n">
        <v>216</v>
      </c>
      <c r="F2374" s="19" t="n">
        <v>22588</v>
      </c>
      <c r="G2374" s="8" t="n">
        <f aca="false">IFERROR(INDEX('TRANS'!$B:$B,MATCH($B2374,'TRANS'!$A:$A,0)),IFERROR(INDEX('TRANS'!$B:$B,MATCH(TRIM(SUBSTITUTE($B2374,CHAR(160)," ")),'TRANS'!$D:$D,0)),IFERROR(INDEX('Catalog'!$A:$A,MATCH($B2374,'Catalog'!$B:$B,0)),IFERROR(INDEX('Catalog'!$A:$A,MATCH(TRIM(SUBSTITUTE($B2374,CHAR(160)," ")),'Catalog'!$C:$C,0)),""))))</f>
        <v>4403041</v>
      </c>
      <c r="H2374" s="8" t="str">
        <f aca="false">IFERROR(INDEX('TRANS'!$C:$C,MATCH($B2374,'TRANS'!$A:$A,0)),IFERROR(INDEX('Catalog'!$B:$B,MATCH($G2374,'Catalog'!$A:$A,0)),$B2374))</f>
        <v>397A-גרבי טיסה אנטי בקטרי35-38</v>
      </c>
      <c r="I2374" s="8" t="str">
        <f aca="false">IF($G2374="","Unmatched","Matched")</f>
        <v>Matched</v>
      </c>
    </row>
    <row r="2375" customFormat="false" ht="15" hidden="false" customHeight="false" outlineLevel="0" collapsed="false">
      <c r="A2375" s="8" t="s">
        <v>918</v>
      </c>
      <c r="B2375" s="8" t="s">
        <v>201</v>
      </c>
      <c r="C2375" s="19" t="n">
        <v>21</v>
      </c>
      <c r="D2375" s="19" t="n">
        <v>2194.94</v>
      </c>
      <c r="E2375" s="19" t="n">
        <v>488</v>
      </c>
      <c r="F2375" s="19" t="n">
        <v>50859.04</v>
      </c>
      <c r="G2375" s="8" t="n">
        <f aca="false">IFERROR(INDEX('TRANS'!$B:$B,MATCH($B2375,'TRANS'!$A:$A,0)),IFERROR(INDEX('TRANS'!$B:$B,MATCH(TRIM(SUBSTITUTE($B2375,CHAR(160)," ")),'TRANS'!$D:$D,0)),IFERROR(INDEX('Catalog'!$A:$A,MATCH($B2375,'Catalog'!$B:$B,0)),IFERROR(INDEX('Catalog'!$A:$A,MATCH(TRIM(SUBSTITUTE($B2375,CHAR(160)," ")),'Catalog'!$C:$C,0)),""))))</f>
        <v>4403042</v>
      </c>
      <c r="H2375" s="8" t="str">
        <f aca="false">IFERROR(INDEX('TRANS'!$C:$C,MATCH($B2375,'TRANS'!$A:$A,0)),IFERROR(INDEX('Catalog'!$B:$B,MATCH($G2375,'Catalog'!$A:$A,0)),$B2375))</f>
        <v>397A-גרבי טיסה אנטי בקטרי39-42</v>
      </c>
      <c r="I2375" s="8" t="str">
        <f aca="false">IF($G2375="","Unmatched","Matched")</f>
        <v>Matched</v>
      </c>
    </row>
    <row r="2376" customFormat="false" ht="15" hidden="false" customHeight="false" outlineLevel="0" collapsed="false">
      <c r="A2376" s="8" t="s">
        <v>918</v>
      </c>
      <c r="B2376" s="8" t="s">
        <v>202</v>
      </c>
      <c r="C2376" s="19" t="n">
        <v>15</v>
      </c>
      <c r="D2376" s="19" t="n">
        <v>1497.59</v>
      </c>
      <c r="E2376" s="19" t="n">
        <v>348</v>
      </c>
      <c r="F2376" s="19" t="n">
        <v>35869.72</v>
      </c>
      <c r="G2376" s="8" t="n">
        <f aca="false">IFERROR(INDEX('TRANS'!$B:$B,MATCH($B2376,'TRANS'!$A:$A,0)),IFERROR(INDEX('TRANS'!$B:$B,MATCH(TRIM(SUBSTITUTE($B2376,CHAR(160)," ")),'TRANS'!$D:$D,0)),IFERROR(INDEX('Catalog'!$A:$A,MATCH($B2376,'Catalog'!$B:$B,0)),IFERROR(INDEX('Catalog'!$A:$A,MATCH(TRIM(SUBSTITUTE($B2376,CHAR(160)," ")),'Catalog'!$C:$C,0)),""))))</f>
        <v>4403043</v>
      </c>
      <c r="H2376" s="8" t="str">
        <f aca="false">IFERROR(INDEX('TRANS'!$C:$C,MATCH($B2376,'TRANS'!$A:$A,0)),IFERROR(INDEX('Catalog'!$B:$B,MATCH($G2376,'Catalog'!$A:$A,0)),$B2376))</f>
        <v>397A-גרבי טיסה אנטי בקטרי43-46</v>
      </c>
      <c r="I2376" s="8" t="str">
        <f aca="false">IF($G2376="","Unmatched","Matched")</f>
        <v>Matched</v>
      </c>
    </row>
    <row r="2377" customFormat="false" ht="15" hidden="false" customHeight="false" outlineLevel="0" collapsed="false">
      <c r="A2377" s="8" t="s">
        <v>918</v>
      </c>
      <c r="B2377" s="8" t="s">
        <v>203</v>
      </c>
      <c r="C2377" s="19" t="n">
        <v>20</v>
      </c>
      <c r="D2377" s="19" t="n">
        <v>1809.11</v>
      </c>
      <c r="E2377" s="19" t="n">
        <v>34</v>
      </c>
      <c r="F2377" s="19" t="n">
        <v>3139.12</v>
      </c>
      <c r="G2377" s="8" t="n">
        <f aca="false">IFERROR(INDEX('TRANS'!$B:$B,MATCH($B2377,'TRANS'!$A:$A,0)),IFERROR(INDEX('TRANS'!$B:$B,MATCH(TRIM(SUBSTITUTE($B2377,CHAR(160)," ")),'TRANS'!$D:$D,0)),IFERROR(INDEX('Catalog'!$A:$A,MATCH($B2377,'Catalog'!$B:$B,0)),IFERROR(INDEX('Catalog'!$A:$A,MATCH(TRIM(SUBSTITUTE($B2377,CHAR(160)," ")),'Catalog'!$C:$C,0)),""))))</f>
        <v>4420016</v>
      </c>
      <c r="H2377" s="8" t="str">
        <f aca="false">IFERROR(INDEX('TRANS'!$C:$C,MATCH($B2377,'TRANS'!$A:$A,0)),IFERROR(INDEX('Catalog'!$B:$B,MATCH($G2377,'Catalog'!$A:$A,0)),$B2377))</f>
        <v>40-רצועת פיקה לברך</v>
      </c>
      <c r="I2377" s="8" t="str">
        <f aca="false">IF($G2377="","Unmatched","Matched")</f>
        <v>Matched</v>
      </c>
    </row>
    <row r="2378" customFormat="false" ht="15" hidden="false" customHeight="false" outlineLevel="0" collapsed="false">
      <c r="A2378" s="8" t="s">
        <v>918</v>
      </c>
      <c r="B2378" s="8" t="s">
        <v>204</v>
      </c>
      <c r="C2378" s="19" t="n">
        <v>18</v>
      </c>
      <c r="D2378" s="19" t="n">
        <v>2925.79</v>
      </c>
      <c r="E2378" s="19" t="n">
        <v>49</v>
      </c>
      <c r="F2378" s="19" t="n">
        <v>8024.67</v>
      </c>
      <c r="G2378" s="8" t="n">
        <f aca="false">IFERROR(INDEX('TRANS'!$B:$B,MATCH($B2378,'TRANS'!$A:$A,0)),IFERROR(INDEX('TRANS'!$B:$B,MATCH(TRIM(SUBSTITUTE($B2378,CHAR(160)," ")),'TRANS'!$D:$D,0)),IFERROR(INDEX('Catalog'!$A:$A,MATCH($B2378,'Catalog'!$B:$B,0)),IFERROR(INDEX('Catalog'!$A:$A,MATCH(TRIM(SUBSTITUTE($B2378,CHAR(160)," ")),'Catalog'!$C:$C,0)),""))))</f>
        <v>4420017</v>
      </c>
      <c r="H2378" s="8" t="str">
        <f aca="false">IFERROR(INDEX('TRANS'!$C:$C,MATCH($B2378,'TRANS'!$A:$A,0)),IFERROR(INDEX('Catalog'!$B:$B,MATCH($G2378,'Catalog'!$A:$A,0)),$B2378))</f>
        <v>4022 רצועת """"פיקה""""+כרית</v>
      </c>
      <c r="I2378" s="8" t="str">
        <f aca="false">IF($G2378="","Unmatched","Matched")</f>
        <v>Matched</v>
      </c>
    </row>
    <row r="2379" customFormat="false" ht="15" hidden="false" customHeight="false" outlineLevel="0" collapsed="false">
      <c r="A2379" s="8" t="s">
        <v>918</v>
      </c>
      <c r="B2379" s="8" t="s">
        <v>367</v>
      </c>
      <c r="C2379" s="19" t="n">
        <v>5</v>
      </c>
      <c r="D2379" s="19" t="n">
        <v>1109.34</v>
      </c>
      <c r="E2379" s="19" t="n">
        <v>2</v>
      </c>
      <c r="F2379" s="19" t="n">
        <v>411.71</v>
      </c>
      <c r="G2379" s="8" t="n">
        <f aca="false">IFERROR(INDEX('TRANS'!$B:$B,MATCH($B2379,'TRANS'!$A:$A,0)),IFERROR(INDEX('TRANS'!$B:$B,MATCH(TRIM(SUBSTITUTE($B2379,CHAR(160)," ")),'TRANS'!$D:$D,0)),IFERROR(INDEX('Catalog'!$A:$A,MATCH($B2379,'Catalog'!$B:$B,0)),IFERROR(INDEX('Catalog'!$A:$A,MATCH(TRIM(SUBSTITUTE($B2379,CHAR(160)," ")),'Catalog'!$C:$C,0)),""))))</f>
        <v>4413072</v>
      </c>
      <c r="H2379" s="8" t="str">
        <f aca="false">IFERROR(INDEX('TRANS'!$C:$C,MATCH($B2379,'TRANS'!$A:$A,0)),IFERROR(INDEX('Catalog'!$B:$B,MATCH($G2379,'Catalog'!$A:$A,0)),$B2379))</f>
        <v>41 Lמ.ברך מוצלב+ספירלות בצדדים</v>
      </c>
      <c r="I2379" s="8" t="str">
        <f aca="false">IF($G2379="","Unmatched","Matched")</f>
        <v>Matched</v>
      </c>
    </row>
    <row r="2380" customFormat="false" ht="15" hidden="false" customHeight="false" outlineLevel="0" collapsed="false">
      <c r="A2380" s="8" t="s">
        <v>918</v>
      </c>
      <c r="B2380" s="8" t="s">
        <v>735</v>
      </c>
      <c r="C2380" s="19" t="n">
        <v>4</v>
      </c>
      <c r="D2380" s="19" t="n">
        <v>846.3</v>
      </c>
      <c r="E2380" s="19" t="n">
        <v>4</v>
      </c>
      <c r="F2380" s="19" t="n">
        <v>869.17</v>
      </c>
      <c r="G2380" s="8" t="n">
        <f aca="false">IFERROR(INDEX('TRANS'!$B:$B,MATCH($B2380,'TRANS'!$A:$A,0)),IFERROR(INDEX('TRANS'!$B:$B,MATCH(TRIM(SUBSTITUTE($B2380,CHAR(160)," ")),'TRANS'!$D:$D,0)),IFERROR(INDEX('Catalog'!$A:$A,MATCH($B2380,'Catalog'!$B:$B,0)),IFERROR(INDEX('Catalog'!$A:$A,MATCH(TRIM(SUBSTITUTE($B2380,CHAR(160)," ")),'Catalog'!$C:$C,0)),""))))</f>
        <v>4413073</v>
      </c>
      <c r="H2380" s="8" t="str">
        <f aca="false">IFERROR(INDEX('TRANS'!$C:$C,MATCH($B2380,'TRANS'!$A:$A,0)),IFERROR(INDEX('Catalog'!$B:$B,MATCH($G2380,'Catalog'!$A:$A,0)),$B2380))</f>
        <v>41 Mמ.ברך מוצלב+ספירלות בצדדים</v>
      </c>
      <c r="I2380" s="8" t="str">
        <f aca="false">IF($G2380="","Unmatched","Matched")</f>
        <v>Matched</v>
      </c>
    </row>
    <row r="2381" customFormat="false" ht="15" hidden="false" customHeight="false" outlineLevel="0" collapsed="false">
      <c r="A2381" s="8" t="s">
        <v>918</v>
      </c>
      <c r="B2381" s="8" t="s">
        <v>793</v>
      </c>
      <c r="C2381" s="19" t="n">
        <v>0</v>
      </c>
      <c r="D2381" s="19" t="n">
        <v>0</v>
      </c>
      <c r="E2381" s="19" t="n">
        <v>1</v>
      </c>
      <c r="F2381" s="19" t="n">
        <v>205.86</v>
      </c>
      <c r="G2381" s="8" t="n">
        <f aca="false">IFERROR(INDEX('TRANS'!$B:$B,MATCH($B2381,'TRANS'!$A:$A,0)),IFERROR(INDEX('TRANS'!$B:$B,MATCH(TRIM(SUBSTITUTE($B2381,CHAR(160)," ")),'TRANS'!$D:$D,0)),IFERROR(INDEX('Catalog'!$A:$A,MATCH($B2381,'Catalog'!$B:$B,0)),IFERROR(INDEX('Catalog'!$A:$A,MATCH(TRIM(SUBSTITUTE($B2381,CHAR(160)," ")),'Catalog'!$C:$C,0)),""))))</f>
        <v>4413071</v>
      </c>
      <c r="H2381" s="8" t="str">
        <f aca="false">IFERROR(INDEX('TRANS'!$C:$C,MATCH($B2381,'TRANS'!$A:$A,0)),IFERROR(INDEX('Catalog'!$B:$B,MATCH($G2381,'Catalog'!$A:$A,0)),$B2381))</f>
        <v>41 Sמ.ברך מוצלב+ספירלות בצדדים</v>
      </c>
      <c r="I2381" s="8" t="str">
        <f aca="false">IF($G2381="","Unmatched","Matched")</f>
        <v>Matched</v>
      </c>
    </row>
    <row r="2382" customFormat="false" ht="15" hidden="false" customHeight="false" outlineLevel="0" collapsed="false">
      <c r="A2382" s="8" t="s">
        <v>918</v>
      </c>
      <c r="B2382" s="8" t="s">
        <v>794</v>
      </c>
      <c r="C2382" s="19" t="n">
        <v>5</v>
      </c>
      <c r="D2382" s="19" t="n">
        <v>1052.16</v>
      </c>
      <c r="E2382" s="19" t="n">
        <v>0</v>
      </c>
      <c r="F2382" s="19" t="n">
        <v>0</v>
      </c>
      <c r="G2382" s="8" t="n">
        <f aca="false">IFERROR(INDEX('TRANS'!$B:$B,MATCH($B2382,'TRANS'!$A:$A,0)),IFERROR(INDEX('TRANS'!$B:$B,MATCH(TRIM(SUBSTITUTE($B2382,CHAR(160)," ")),'TRANS'!$D:$D,0)),IFERROR(INDEX('Catalog'!$A:$A,MATCH($B2382,'Catalog'!$B:$B,0)),IFERROR(INDEX('Catalog'!$A:$A,MATCH(TRIM(SUBSTITUTE($B2382,CHAR(160)," ")),'Catalog'!$C:$C,0)),""))))</f>
        <v>4413074</v>
      </c>
      <c r="H2382" s="8" t="str">
        <f aca="false">IFERROR(INDEX('TRANS'!$C:$C,MATCH($B2382,'TRANS'!$A:$A,0)),IFERROR(INDEX('Catalog'!$B:$B,MATCH($G2382,'Catalog'!$A:$A,0)),$B2382))</f>
        <v>41  XL.מ.ברך מוצלב+ספירלות בצד</v>
      </c>
      <c r="I2382" s="8" t="str">
        <f aca="false">IF($G2382="","Unmatched","Matched")</f>
        <v>Matched</v>
      </c>
    </row>
    <row r="2383" customFormat="false" ht="15" hidden="false" customHeight="false" outlineLevel="0" collapsed="false">
      <c r="A2383" s="8" t="s">
        <v>918</v>
      </c>
      <c r="B2383" s="8" t="s">
        <v>960</v>
      </c>
      <c r="C2383" s="19" t="n">
        <v>0</v>
      </c>
      <c r="D2383" s="19" t="n">
        <v>0</v>
      </c>
      <c r="E2383" s="19" t="n">
        <v>1</v>
      </c>
      <c r="F2383" s="19" t="n">
        <v>205.86</v>
      </c>
      <c r="G2383" s="8" t="str">
        <f aca="false">IFERROR(INDEX('TRANS'!$B:$B,MATCH($B2383,'TRANS'!$A:$A,0)),IFERROR(INDEX('TRANS'!$B:$B,MATCH(TRIM(SUBSTITUTE($B2383,CHAR(160)," ")),'TRANS'!$D:$D,0)),IFERROR(INDEX('Catalog'!$A:$A,MATCH($B2383,'Catalog'!$B:$B,0)),IFERROR(INDEX('Catalog'!$A:$A,MATCH(TRIM(SUBSTITUTE($B2383,CHAR(160)," ")),'Catalog'!$C:$C,0)),""))))</f>
        <v/>
      </c>
      <c r="H2383" s="8" t="str">
        <f aca="false">IFERROR(INDEX('TRANS'!$C:$C,MATCH($B2383,'TRANS'!$A:$A,0)),IFERROR(INDEX('Catalog'!$B:$B,MATCH($G2383,'Catalog'!$A:$A,0)),$B2383))</f>
        <v>41 XS</v>
      </c>
      <c r="I2383" s="8" t="str">
        <f aca="false">IF($G2383="","Unmatched","Matched")</f>
        <v>Unmatched</v>
      </c>
    </row>
    <row r="2384" customFormat="false" ht="15" hidden="false" customHeight="false" outlineLevel="0" collapsed="false">
      <c r="A2384" s="8" t="s">
        <v>918</v>
      </c>
      <c r="B2384" s="8" t="s">
        <v>961</v>
      </c>
      <c r="C2384" s="19" t="n">
        <v>5</v>
      </c>
      <c r="D2384" s="19" t="n">
        <v>961.9</v>
      </c>
      <c r="E2384" s="19" t="n">
        <v>0</v>
      </c>
      <c r="F2384" s="19" t="n">
        <v>0</v>
      </c>
      <c r="G2384" s="8" t="str">
        <f aca="false">IFERROR(INDEX('TRANS'!$B:$B,MATCH($B2384,'TRANS'!$A:$A,0)),IFERROR(INDEX('TRANS'!$B:$B,MATCH(TRIM(SUBSTITUTE($B2384,CHAR(160)," ")),'TRANS'!$D:$D,0)),IFERROR(INDEX('Catalog'!$A:$A,MATCH($B2384,'Catalog'!$B:$B,0)),IFERROR(INDEX('Catalog'!$A:$A,MATCH(TRIM(SUBSTITUTE($B2384,CHAR(160)," ")),'Catalog'!$C:$C,0)),""))))</f>
        <v/>
      </c>
      <c r="H2384" s="8" t="str">
        <f aca="false">IFERROR(INDEX('TRANS'!$C:$C,MATCH($B2384,'TRANS'!$A:$A,0)),IFERROR(INDEX('Catalog'!$B:$B,MATCH($G2384,'Catalog'!$A:$A,0)),$B2384))</f>
        <v>41 XXL</v>
      </c>
      <c r="I2384" s="8" t="str">
        <f aca="false">IF($G2384="","Unmatched","Matched")</f>
        <v>Unmatched</v>
      </c>
    </row>
    <row r="2385" customFormat="false" ht="15" hidden="false" customHeight="false" outlineLevel="0" collapsed="false">
      <c r="A2385" s="8" t="s">
        <v>918</v>
      </c>
      <c r="B2385" s="8" t="s">
        <v>205</v>
      </c>
      <c r="C2385" s="19" t="n">
        <v>1</v>
      </c>
      <c r="D2385" s="19" t="n">
        <v>245.68</v>
      </c>
      <c r="E2385" s="19" t="n">
        <v>5</v>
      </c>
      <c r="F2385" s="19" t="n">
        <v>1093.28</v>
      </c>
      <c r="G2385" s="8" t="n">
        <f aca="false">IFERROR(INDEX('TRANS'!$B:$B,MATCH($B2385,'TRANS'!$A:$A,0)),IFERROR(INDEX('TRANS'!$B:$B,MATCH(TRIM(SUBSTITUTE($B2385,CHAR(160)," ")),'TRANS'!$D:$D,0)),IFERROR(INDEX('Catalog'!$A:$A,MATCH($B2385,'Catalog'!$B:$B,0)),IFERROR(INDEX('Catalog'!$A:$A,MATCH(TRIM(SUBSTITUTE($B2385,CHAR(160)," ")),'Catalog'!$C:$C,0)),""))))</f>
        <v>4413076</v>
      </c>
      <c r="H2385" s="8" t="str">
        <f aca="false">IFERROR(INDEX('TRANS'!$C:$C,MATCH($B2385,'TRANS'!$A:$A,0)),IFERROR(INDEX('Catalog'!$B:$B,MATCH($G2385,'Catalog'!$A:$A,0)),$B2385))</f>
        <v>41X L מגן ברך מוצלב+מוט</v>
      </c>
      <c r="I2385" s="8" t="str">
        <f aca="false">IF($G2385="","Unmatched","Matched")</f>
        <v>Matched</v>
      </c>
    </row>
    <row r="2386" customFormat="false" ht="15" hidden="false" customHeight="false" outlineLevel="0" collapsed="false">
      <c r="A2386" s="8" t="s">
        <v>918</v>
      </c>
      <c r="B2386" s="8" t="s">
        <v>368</v>
      </c>
      <c r="C2386" s="19" t="n">
        <v>0</v>
      </c>
      <c r="D2386" s="19" t="n">
        <v>0</v>
      </c>
      <c r="E2386" s="19" t="n">
        <v>2</v>
      </c>
      <c r="F2386" s="19" t="n">
        <v>491.36</v>
      </c>
      <c r="G2386" s="8" t="str">
        <f aca="false">IFERROR(INDEX('TRANS'!$B:$B,MATCH($B2386,'TRANS'!$A:$A,0)),IFERROR(INDEX('TRANS'!$B:$B,MATCH(TRIM(SUBSTITUTE($B2386,CHAR(160)," ")),'TRANS'!$D:$D,0)),IFERROR(INDEX('Catalog'!$A:$A,MATCH($B2386,'Catalog'!$B:$B,0)),IFERROR(INDEX('Catalog'!$A:$A,MATCH(TRIM(SUBSTITUTE($B2386,CHAR(160)," ")),'Catalog'!$C:$C,0)),""))))</f>
        <v/>
      </c>
      <c r="H2386" s="8" t="str">
        <f aca="false">IFERROR(INDEX('TRANS'!$C:$C,MATCH($B2386,'TRANS'!$A:$A,0)),IFERROR(INDEX('Catalog'!$B:$B,MATCH($G2386,'Catalog'!$A:$A,0)),$B2386))</f>
        <v>41X M</v>
      </c>
      <c r="I2386" s="8" t="str">
        <f aca="false">IF($G2386="","Unmatched","Matched")</f>
        <v>Unmatched</v>
      </c>
    </row>
    <row r="2387" customFormat="false" ht="15" hidden="false" customHeight="false" outlineLevel="0" collapsed="false">
      <c r="A2387" s="8" t="s">
        <v>918</v>
      </c>
      <c r="B2387" s="8" t="s">
        <v>962</v>
      </c>
      <c r="C2387" s="19" t="n">
        <v>1</v>
      </c>
      <c r="D2387" s="19" t="n">
        <v>245.68</v>
      </c>
      <c r="E2387" s="19" t="n">
        <v>0</v>
      </c>
      <c r="F2387" s="19" t="n">
        <v>0</v>
      </c>
      <c r="G2387" s="8" t="str">
        <f aca="false">IFERROR(INDEX('TRANS'!$B:$B,MATCH($B2387,'TRANS'!$A:$A,0)),IFERROR(INDEX('TRANS'!$B:$B,MATCH(TRIM(SUBSTITUTE($B2387,CHAR(160)," ")),'TRANS'!$D:$D,0)),IFERROR(INDEX('Catalog'!$A:$A,MATCH($B2387,'Catalog'!$B:$B,0)),IFERROR(INDEX('Catalog'!$A:$A,MATCH(TRIM(SUBSTITUTE($B2387,CHAR(160)," ")),'Catalog'!$C:$C,0)),""))))</f>
        <v/>
      </c>
      <c r="H2387" s="8" t="str">
        <f aca="false">IFERROR(INDEX('TRANS'!$C:$C,MATCH($B2387,'TRANS'!$A:$A,0)),IFERROR(INDEX('Catalog'!$B:$B,MATCH($G2387,'Catalog'!$A:$A,0)),$B2387))</f>
        <v>41X S</v>
      </c>
      <c r="I2387" s="8" t="str">
        <f aca="false">IF($G2387="","Unmatched","Matched")</f>
        <v>Unmatched</v>
      </c>
    </row>
    <row r="2388" customFormat="false" ht="15" hidden="false" customHeight="false" outlineLevel="0" collapsed="false">
      <c r="A2388" s="8" t="s">
        <v>918</v>
      </c>
      <c r="B2388" s="8" t="s">
        <v>369</v>
      </c>
      <c r="C2388" s="19" t="n">
        <v>1</v>
      </c>
      <c r="D2388" s="19" t="n">
        <v>245.68</v>
      </c>
      <c r="E2388" s="19" t="n">
        <v>2</v>
      </c>
      <c r="F2388" s="19" t="n">
        <v>491.36</v>
      </c>
      <c r="G2388" s="8" t="str">
        <f aca="false">IFERROR(INDEX('TRANS'!$B:$B,MATCH($B2388,'TRANS'!$A:$A,0)),IFERROR(INDEX('TRANS'!$B:$B,MATCH(TRIM(SUBSTITUTE($B2388,CHAR(160)," ")),'TRANS'!$D:$D,0)),IFERROR(INDEX('Catalog'!$A:$A,MATCH($B2388,'Catalog'!$B:$B,0)),IFERROR(INDEX('Catalog'!$A:$A,MATCH(TRIM(SUBSTITUTE($B2388,CHAR(160)," ")),'Catalog'!$C:$C,0)),""))))</f>
        <v/>
      </c>
      <c r="H2388" s="8" t="str">
        <f aca="false">IFERROR(INDEX('TRANS'!$C:$C,MATCH($B2388,'TRANS'!$A:$A,0)),IFERROR(INDEX('Catalog'!$B:$B,MATCH($G2388,'Catalog'!$A:$A,0)),$B2388))</f>
        <v>41X XXL</v>
      </c>
      <c r="I2388" s="8" t="str">
        <f aca="false">IF($G2388="","Unmatched","Matched")</f>
        <v>Unmatched</v>
      </c>
    </row>
    <row r="2389" customFormat="false" ht="15" hidden="false" customHeight="false" outlineLevel="0" collapsed="false">
      <c r="A2389" s="8" t="s">
        <v>918</v>
      </c>
      <c r="B2389" s="8" t="s">
        <v>698</v>
      </c>
      <c r="C2389" s="19" t="n">
        <v>1</v>
      </c>
      <c r="D2389" s="19" t="n">
        <v>269.33</v>
      </c>
      <c r="E2389" s="19" t="n">
        <v>0</v>
      </c>
      <c r="F2389" s="19" t="n">
        <v>0</v>
      </c>
      <c r="G2389" s="8" t="str">
        <f aca="false">IFERROR(INDEX('TRANS'!$B:$B,MATCH($B2389,'TRANS'!$A:$A,0)),IFERROR(INDEX('TRANS'!$B:$B,MATCH(TRIM(SUBSTITUTE($B2389,CHAR(160)," ")),'TRANS'!$D:$D,0)),IFERROR(INDEX('Catalog'!$A:$A,MATCH($B2389,'Catalog'!$B:$B,0)),IFERROR(INDEX('Catalog'!$A:$A,MATCH(TRIM(SUBSTITUTE($B2389,CHAR(160)," ")),'Catalog'!$C:$C,0)),""))))</f>
        <v/>
      </c>
      <c r="H2389" s="8" t="str">
        <f aca="false">IFERROR(INDEX('TRANS'!$C:$C,MATCH($B2389,'TRANS'!$A:$A,0)),IFERROR(INDEX('Catalog'!$B:$B,MATCH($G2389,'Catalog'!$A:$A,0)),$B2389))</f>
        <v>422 XL</v>
      </c>
      <c r="I2389" s="8" t="str">
        <f aca="false">IF($G2389="","Unmatched","Matched")</f>
        <v>Unmatched</v>
      </c>
    </row>
    <row r="2390" customFormat="false" ht="15" hidden="false" customHeight="false" outlineLevel="0" collapsed="false">
      <c r="A2390" s="8" t="s">
        <v>918</v>
      </c>
      <c r="B2390" s="8" t="s">
        <v>553</v>
      </c>
      <c r="C2390" s="19" t="n">
        <v>0</v>
      </c>
      <c r="D2390" s="19" t="n">
        <v>0</v>
      </c>
      <c r="E2390" s="19" t="n">
        <v>1</v>
      </c>
      <c r="F2390" s="19" t="n">
        <v>190.6</v>
      </c>
      <c r="G2390" s="8" t="str">
        <f aca="false">IFERROR(INDEX('TRANS'!$B:$B,MATCH($B2390,'TRANS'!$A:$A,0)),IFERROR(INDEX('TRANS'!$B:$B,MATCH(TRIM(SUBSTITUTE($B2390,CHAR(160)," ")),'TRANS'!$D:$D,0)),IFERROR(INDEX('Catalog'!$A:$A,MATCH($B2390,'Catalog'!$B:$B,0)),IFERROR(INDEX('Catalog'!$A:$A,MATCH(TRIM(SUBSTITUTE($B2390,CHAR(160)," ")),'Catalog'!$C:$C,0)),""))))</f>
        <v/>
      </c>
      <c r="H2390" s="8" t="str">
        <f aca="false">IFERROR(INDEX('TRANS'!$C:$C,MATCH($B2390,'TRANS'!$A:$A,0)),IFERROR(INDEX('Catalog'!$B:$B,MATCH($G2390,'Catalog'!$A:$A,0)),$B2390))</f>
        <v>422E L</v>
      </c>
      <c r="I2390" s="8" t="str">
        <f aca="false">IF($G2390="","Unmatched","Matched")</f>
        <v>Unmatched</v>
      </c>
    </row>
    <row r="2391" customFormat="false" ht="15" hidden="false" customHeight="false" outlineLevel="0" collapsed="false">
      <c r="A2391" s="8" t="s">
        <v>918</v>
      </c>
      <c r="B2391" s="8" t="s">
        <v>370</v>
      </c>
      <c r="C2391" s="19" t="n">
        <v>0</v>
      </c>
      <c r="D2391" s="19" t="n">
        <v>0</v>
      </c>
      <c r="E2391" s="19" t="n">
        <v>1</v>
      </c>
      <c r="F2391" s="19" t="n">
        <v>211.78</v>
      </c>
      <c r="G2391" s="8" t="str">
        <f aca="false">IFERROR(INDEX('TRANS'!$B:$B,MATCH($B2391,'TRANS'!$A:$A,0)),IFERROR(INDEX('TRANS'!$B:$B,MATCH(TRIM(SUBSTITUTE($B2391,CHAR(160)," ")),'TRANS'!$D:$D,0)),IFERROR(INDEX('Catalog'!$A:$A,MATCH($B2391,'Catalog'!$B:$B,0)),IFERROR(INDEX('Catalog'!$A:$A,MATCH(TRIM(SUBSTITUTE($B2391,CHAR(160)," ")),'Catalog'!$C:$C,0)),""))))</f>
        <v/>
      </c>
      <c r="H2391" s="8" t="str">
        <f aca="false">IFERROR(INDEX('TRANS'!$C:$C,MATCH($B2391,'TRANS'!$A:$A,0)),IFERROR(INDEX('Catalog'!$B:$B,MATCH($G2391,'Catalog'!$A:$A,0)),$B2391))</f>
        <v>422E XL</v>
      </c>
      <c r="I2391" s="8" t="str">
        <f aca="false">IF($G2391="","Unmatched","Matched")</f>
        <v>Unmatched</v>
      </c>
    </row>
    <row r="2392" customFormat="false" ht="15" hidden="false" customHeight="false" outlineLevel="0" collapsed="false">
      <c r="A2392" s="8" t="s">
        <v>918</v>
      </c>
      <c r="B2392" s="8" t="s">
        <v>372</v>
      </c>
      <c r="C2392" s="19" t="n">
        <v>9</v>
      </c>
      <c r="D2392" s="19" t="n">
        <v>2960.06</v>
      </c>
      <c r="E2392" s="19" t="n">
        <v>7</v>
      </c>
      <c r="F2392" s="19" t="n">
        <v>1638.38</v>
      </c>
      <c r="G2392" s="8" t="str">
        <f aca="false">IFERROR(INDEX('TRANS'!$B:$B,MATCH($B2392,'TRANS'!$A:$A,0)),IFERROR(INDEX('TRANS'!$B:$B,MATCH(TRIM(SUBSTITUTE($B2392,CHAR(160)," ")),'TRANS'!$D:$D,0)),IFERROR(INDEX('Catalog'!$A:$A,MATCH($B2392,'Catalog'!$B:$B,0)),IFERROR(INDEX('Catalog'!$A:$A,MATCH(TRIM(SUBSTITUTE($B2392,CHAR(160)," ")),'Catalog'!$C:$C,0)),""))))</f>
        <v/>
      </c>
      <c r="H2392" s="8" t="str">
        <f aca="false">IFERROR(INDEX('TRANS'!$C:$C,MATCH($B2392,'TRANS'!$A:$A,0)),IFERROR(INDEX('Catalog'!$B:$B,MATCH($G2392,'Catalog'!$A:$A,0)),$B2392))</f>
        <v>422EB L</v>
      </c>
      <c r="I2392" s="8" t="str">
        <f aca="false">IF($G2392="","Unmatched","Matched")</f>
        <v>Unmatched</v>
      </c>
    </row>
    <row r="2393" customFormat="false" ht="15" hidden="false" customHeight="false" outlineLevel="0" collapsed="false">
      <c r="A2393" s="8" t="s">
        <v>918</v>
      </c>
      <c r="B2393" s="8" t="s">
        <v>963</v>
      </c>
      <c r="C2393" s="19" t="n">
        <v>3</v>
      </c>
      <c r="D2393" s="19" t="n">
        <v>992.81</v>
      </c>
      <c r="E2393" s="19" t="n">
        <v>7</v>
      </c>
      <c r="F2393" s="19" t="n">
        <v>1461.29</v>
      </c>
      <c r="G2393" s="8" t="str">
        <f aca="false">IFERROR(INDEX('TRANS'!$B:$B,MATCH($B2393,'TRANS'!$A:$A,0)),IFERROR(INDEX('TRANS'!$B:$B,MATCH(TRIM(SUBSTITUTE($B2393,CHAR(160)," ")),'TRANS'!$D:$D,0)),IFERROR(INDEX('Catalog'!$A:$A,MATCH($B2393,'Catalog'!$B:$B,0)),IFERROR(INDEX('Catalog'!$A:$A,MATCH(TRIM(SUBSTITUTE($B2393,CHAR(160)," ")),'Catalog'!$C:$C,0)),""))))</f>
        <v/>
      </c>
      <c r="H2393" s="8" t="str">
        <f aca="false">IFERROR(INDEX('TRANS'!$C:$C,MATCH($B2393,'TRANS'!$A:$A,0)),IFERROR(INDEX('Catalog'!$B:$B,MATCH($G2393,'Catalog'!$A:$A,0)),$B2393))</f>
        <v>422EB M</v>
      </c>
      <c r="I2393" s="8" t="str">
        <f aca="false">IF($G2393="","Unmatched","Matched")</f>
        <v>Unmatched</v>
      </c>
    </row>
    <row r="2394" customFormat="false" ht="15" hidden="false" customHeight="false" outlineLevel="0" collapsed="false">
      <c r="A2394" s="8" t="s">
        <v>918</v>
      </c>
      <c r="B2394" s="8" t="s">
        <v>373</v>
      </c>
      <c r="C2394" s="19" t="n">
        <v>1</v>
      </c>
      <c r="D2394" s="19" t="n">
        <v>367.71</v>
      </c>
      <c r="E2394" s="19" t="n">
        <v>1</v>
      </c>
      <c r="F2394" s="19" t="n">
        <v>367.71</v>
      </c>
      <c r="G2394" s="8" t="str">
        <f aca="false">IFERROR(INDEX('TRANS'!$B:$B,MATCH($B2394,'TRANS'!$A:$A,0)),IFERROR(INDEX('TRANS'!$B:$B,MATCH(TRIM(SUBSTITUTE($B2394,CHAR(160)," ")),'TRANS'!$D:$D,0)),IFERROR(INDEX('Catalog'!$A:$A,MATCH($B2394,'Catalog'!$B:$B,0)),IFERROR(INDEX('Catalog'!$A:$A,MATCH(TRIM(SUBSTITUTE($B2394,CHAR(160)," ")),'Catalog'!$C:$C,0)),""))))</f>
        <v/>
      </c>
      <c r="H2394" s="8" t="str">
        <f aca="false">IFERROR(INDEX('TRANS'!$C:$C,MATCH($B2394,'TRANS'!$A:$A,0)),IFERROR(INDEX('Catalog'!$B:$B,MATCH($G2394,'Catalog'!$A:$A,0)),$B2394))</f>
        <v>422EB XL</v>
      </c>
      <c r="I2394" s="8" t="str">
        <f aca="false">IF($G2394="","Unmatched","Matched")</f>
        <v>Unmatched</v>
      </c>
    </row>
    <row r="2395" customFormat="false" ht="15" hidden="false" customHeight="false" outlineLevel="0" collapsed="false">
      <c r="A2395" s="8" t="s">
        <v>918</v>
      </c>
      <c r="B2395" s="8" t="s">
        <v>374</v>
      </c>
      <c r="C2395" s="19" t="n">
        <v>1</v>
      </c>
      <c r="D2395" s="19" t="n">
        <v>312.55</v>
      </c>
      <c r="E2395" s="19" t="n">
        <v>0</v>
      </c>
      <c r="F2395" s="19" t="n">
        <v>0</v>
      </c>
      <c r="G2395" s="8" t="str">
        <f aca="false">IFERROR(INDEX('TRANS'!$B:$B,MATCH($B2395,'TRANS'!$A:$A,0)),IFERROR(INDEX('TRANS'!$B:$B,MATCH(TRIM(SUBSTITUTE($B2395,CHAR(160)," ")),'TRANS'!$D:$D,0)),IFERROR(INDEX('Catalog'!$A:$A,MATCH($B2395,'Catalog'!$B:$B,0)),IFERROR(INDEX('Catalog'!$A:$A,MATCH(TRIM(SUBSTITUTE($B2395,CHAR(160)," ")),'Catalog'!$C:$C,0)),""))))</f>
        <v/>
      </c>
      <c r="H2395" s="8" t="str">
        <f aca="false">IFERROR(INDEX('TRANS'!$C:$C,MATCH($B2395,'TRANS'!$A:$A,0)),IFERROR(INDEX('Catalog'!$B:$B,MATCH($G2395,'Catalog'!$A:$A,0)),$B2395))</f>
        <v>422EB XXL</v>
      </c>
      <c r="I2395" s="8" t="str">
        <f aca="false">IF($G2395="","Unmatched","Matched")</f>
        <v>Unmatched</v>
      </c>
    </row>
    <row r="2396" customFormat="false" ht="15" hidden="false" customHeight="false" outlineLevel="0" collapsed="false">
      <c r="A2396" s="8" t="s">
        <v>918</v>
      </c>
      <c r="B2396" s="8" t="s">
        <v>699</v>
      </c>
      <c r="C2396" s="19" t="n">
        <v>2</v>
      </c>
      <c r="D2396" s="19" t="n">
        <v>596.46</v>
      </c>
      <c r="E2396" s="19" t="n">
        <v>0</v>
      </c>
      <c r="F2396" s="19" t="n">
        <v>0</v>
      </c>
      <c r="G2396" s="8" t="str">
        <f aca="false">IFERROR(INDEX('TRANS'!$B:$B,MATCH($B2396,'TRANS'!$A:$A,0)),IFERROR(INDEX('TRANS'!$B:$B,MATCH(TRIM(SUBSTITUTE($B2396,CHAR(160)," ")),'TRANS'!$D:$D,0)),IFERROR(INDEX('Catalog'!$A:$A,MATCH($B2396,'Catalog'!$B:$B,0)),IFERROR(INDEX('Catalog'!$A:$A,MATCH(TRIM(SUBSTITUTE($B2396,CHAR(160)," ")),'Catalog'!$C:$C,0)),""))))</f>
        <v/>
      </c>
      <c r="H2396" s="8" t="str">
        <f aca="false">IFERROR(INDEX('TRANS'!$C:$C,MATCH($B2396,'TRANS'!$A:$A,0)),IFERROR(INDEX('Catalog'!$B:$B,MATCH($G2396,'Catalog'!$A:$A,0)),$B2396))</f>
        <v>422N XXL</v>
      </c>
      <c r="I2396" s="8" t="str">
        <f aca="false">IF($G2396="","Unmatched","Matched")</f>
        <v>Unmatched</v>
      </c>
    </row>
    <row r="2397" customFormat="false" ht="15" hidden="false" customHeight="false" outlineLevel="0" collapsed="false">
      <c r="A2397" s="8" t="s">
        <v>918</v>
      </c>
      <c r="B2397" s="8" t="s">
        <v>807</v>
      </c>
      <c r="C2397" s="19" t="n">
        <v>1</v>
      </c>
      <c r="D2397" s="19" t="n">
        <v>324.07</v>
      </c>
      <c r="E2397" s="19" t="n">
        <v>0</v>
      </c>
      <c r="F2397" s="19" t="n">
        <v>0</v>
      </c>
      <c r="G2397" s="8" t="str">
        <f aca="false">IFERROR(INDEX('TRANS'!$B:$B,MATCH($B2397,'TRANS'!$A:$A,0)),IFERROR(INDEX('TRANS'!$B:$B,MATCH(TRIM(SUBSTITUTE($B2397,CHAR(160)," ")),'TRANS'!$D:$D,0)),IFERROR(INDEX('Catalog'!$A:$A,MATCH($B2397,'Catalog'!$B:$B,0)),IFERROR(INDEX('Catalog'!$A:$A,MATCH(TRIM(SUBSTITUTE($B2397,CHAR(160)," ")),'Catalog'!$C:$C,0)),""))))</f>
        <v/>
      </c>
      <c r="H2397" s="8" t="str">
        <f aca="false">IFERROR(INDEX('TRANS'!$C:$C,MATCH($B2397,'TRANS'!$A:$A,0)),IFERROR(INDEX('Catalog'!$B:$B,MATCH($G2397,'Catalog'!$A:$A,0)),$B2397))</f>
        <v>422N+ L</v>
      </c>
      <c r="I2397" s="8" t="str">
        <f aca="false">IF($G2397="","Unmatched","Matched")</f>
        <v>Unmatched</v>
      </c>
    </row>
    <row r="2398" customFormat="false" ht="15" hidden="false" customHeight="false" outlineLevel="0" collapsed="false">
      <c r="A2398" s="8" t="s">
        <v>918</v>
      </c>
      <c r="B2398" s="8" t="s">
        <v>808</v>
      </c>
      <c r="C2398" s="19" t="n">
        <v>1</v>
      </c>
      <c r="D2398" s="19" t="n">
        <v>324.08</v>
      </c>
      <c r="E2398" s="19" t="n">
        <v>0</v>
      </c>
      <c r="F2398" s="19" t="n">
        <v>0</v>
      </c>
      <c r="G2398" s="8" t="str">
        <f aca="false">IFERROR(INDEX('TRANS'!$B:$B,MATCH($B2398,'TRANS'!$A:$A,0)),IFERROR(INDEX('TRANS'!$B:$B,MATCH(TRIM(SUBSTITUTE($B2398,CHAR(160)," ")),'TRANS'!$D:$D,0)),IFERROR(INDEX('Catalog'!$A:$A,MATCH($B2398,'Catalog'!$B:$B,0)),IFERROR(INDEX('Catalog'!$A:$A,MATCH(TRIM(SUBSTITUTE($B2398,CHAR(160)," ")),'Catalog'!$C:$C,0)),""))))</f>
        <v/>
      </c>
      <c r="H2398" s="8" t="str">
        <f aca="false">IFERROR(INDEX('TRANS'!$C:$C,MATCH($B2398,'TRANS'!$A:$A,0)),IFERROR(INDEX('Catalog'!$B:$B,MATCH($G2398,'Catalog'!$A:$A,0)),$B2398))</f>
        <v>422N+ M</v>
      </c>
      <c r="I2398" s="8" t="str">
        <f aca="false">IF($G2398="","Unmatched","Matched")</f>
        <v>Unmatched</v>
      </c>
    </row>
    <row r="2399" customFormat="false" ht="15" hidden="false" customHeight="false" outlineLevel="0" collapsed="false">
      <c r="A2399" s="8" t="s">
        <v>918</v>
      </c>
      <c r="B2399" s="8" t="s">
        <v>964</v>
      </c>
      <c r="C2399" s="19" t="n">
        <v>1</v>
      </c>
      <c r="D2399" s="19" t="n">
        <v>305.01</v>
      </c>
      <c r="E2399" s="19" t="n">
        <v>0</v>
      </c>
      <c r="F2399" s="19" t="n">
        <v>0</v>
      </c>
      <c r="G2399" s="8" t="str">
        <f aca="false">IFERROR(INDEX('TRANS'!$B:$B,MATCH($B2399,'TRANS'!$A:$A,0)),IFERROR(INDEX('TRANS'!$B:$B,MATCH(TRIM(SUBSTITUTE($B2399,CHAR(160)," ")),'TRANS'!$D:$D,0)),IFERROR(INDEX('Catalog'!$A:$A,MATCH($B2399,'Catalog'!$B:$B,0)),IFERROR(INDEX('Catalog'!$A:$A,MATCH(TRIM(SUBSTITUTE($B2399,CHAR(160)," ")),'Catalog'!$C:$C,0)),""))))</f>
        <v/>
      </c>
      <c r="H2399" s="8" t="str">
        <f aca="false">IFERROR(INDEX('TRANS'!$C:$C,MATCH($B2399,'TRANS'!$A:$A,0)),IFERROR(INDEX('Catalog'!$B:$B,MATCH($G2399,'Catalog'!$A:$A,0)),$B2399))</f>
        <v>422N+ XXL</v>
      </c>
      <c r="I2399" s="8" t="str">
        <f aca="false">IF($G2399="","Unmatched","Matched")</f>
        <v>Unmatched</v>
      </c>
    </row>
    <row r="2400" customFormat="false" ht="15" hidden="false" customHeight="false" outlineLevel="0" collapsed="false">
      <c r="A2400" s="8" t="s">
        <v>918</v>
      </c>
      <c r="B2400" s="8" t="s">
        <v>376</v>
      </c>
      <c r="C2400" s="19" t="n">
        <v>15</v>
      </c>
      <c r="D2400" s="19" t="n">
        <v>801.44</v>
      </c>
      <c r="E2400" s="19" t="n">
        <v>10</v>
      </c>
      <c r="F2400" s="19" t="n">
        <v>552.91</v>
      </c>
      <c r="G2400" s="8" t="n">
        <f aca="false">IFERROR(INDEX('TRANS'!$B:$B,MATCH($B2400,'TRANS'!$A:$A,0)),IFERROR(INDEX('TRANS'!$B:$B,MATCH(TRIM(SUBSTITUTE($B2400,CHAR(160)," ")),'TRANS'!$D:$D,0)),IFERROR(INDEX('Catalog'!$A:$A,MATCH($B2400,'Catalog'!$B:$B,0)),IFERROR(INDEX('Catalog'!$A:$A,MATCH(TRIM(SUBSTITUTE($B2400,CHAR(160)," ")),'Catalog'!$C:$C,0)),""))))</f>
        <v>4413092</v>
      </c>
      <c r="H2400" s="8" t="str">
        <f aca="false">IFERROR(INDEX('TRANS'!$C:$C,MATCH($B2400,'TRANS'!$A:$A,0)),IFERROR(INDEX('Catalog'!$B:$B,MATCH($G2400,'Catalog'!$A:$A,0)),$B2400))</f>
        <v>45 L מגן ברך לבן</v>
      </c>
      <c r="I2400" s="8" t="str">
        <f aca="false">IF($G2400="","Unmatched","Matched")</f>
        <v>Matched</v>
      </c>
    </row>
    <row r="2401" customFormat="false" ht="15" hidden="false" customHeight="false" outlineLevel="0" collapsed="false">
      <c r="A2401" s="8" t="s">
        <v>918</v>
      </c>
      <c r="B2401" s="8" t="s">
        <v>377</v>
      </c>
      <c r="C2401" s="19" t="n">
        <v>7</v>
      </c>
      <c r="D2401" s="19" t="n">
        <v>333.4</v>
      </c>
      <c r="E2401" s="19" t="n">
        <v>2</v>
      </c>
      <c r="F2401" s="19" t="n">
        <v>111.7</v>
      </c>
      <c r="G2401" s="8" t="n">
        <f aca="false">IFERROR(INDEX('TRANS'!$B:$B,MATCH($B2401,'TRANS'!$A:$A,0)),IFERROR(INDEX('TRANS'!$B:$B,MATCH(TRIM(SUBSTITUTE($B2401,CHAR(160)," ")),'TRANS'!$D:$D,0)),IFERROR(INDEX('Catalog'!$A:$A,MATCH($B2401,'Catalog'!$B:$B,0)),IFERROR(INDEX('Catalog'!$A:$A,MATCH(TRIM(SUBSTITUTE($B2401,CHAR(160)," ")),'Catalog'!$C:$C,0)),""))))</f>
        <v>4413093</v>
      </c>
      <c r="H2401" s="8" t="str">
        <f aca="false">IFERROR(INDEX('TRANS'!$C:$C,MATCH($B2401,'TRANS'!$A:$A,0)),IFERROR(INDEX('Catalog'!$B:$B,MATCH($G2401,'Catalog'!$A:$A,0)),$B2401))</f>
        <v>45 M מגן ברך לבן</v>
      </c>
      <c r="I2401" s="8" t="str">
        <f aca="false">IF($G2401="","Unmatched","Matched")</f>
        <v>Matched</v>
      </c>
    </row>
    <row r="2402" customFormat="false" ht="15" hidden="false" customHeight="false" outlineLevel="0" collapsed="false">
      <c r="A2402" s="8" t="s">
        <v>918</v>
      </c>
      <c r="B2402" s="8" t="s">
        <v>206</v>
      </c>
      <c r="C2402" s="19" t="n">
        <v>6</v>
      </c>
      <c r="D2402" s="19" t="n">
        <v>286.18</v>
      </c>
      <c r="E2402" s="19" t="n">
        <v>1</v>
      </c>
      <c r="F2402" s="19" t="n">
        <v>55.86</v>
      </c>
      <c r="G2402" s="8" t="n">
        <f aca="false">IFERROR(INDEX('TRANS'!$B:$B,MATCH($B2402,'TRANS'!$A:$A,0)),IFERROR(INDEX('TRANS'!$B:$B,MATCH(TRIM(SUBSTITUTE($B2402,CHAR(160)," ")),'TRANS'!$D:$D,0)),IFERROR(INDEX('Catalog'!$A:$A,MATCH($B2402,'Catalog'!$B:$B,0)),IFERROR(INDEX('Catalog'!$A:$A,MATCH(TRIM(SUBSTITUTE($B2402,CHAR(160)," ")),'Catalog'!$C:$C,0)),""))))</f>
        <v>4413094</v>
      </c>
      <c r="H2402" s="8" t="str">
        <f aca="false">IFERROR(INDEX('TRANS'!$C:$C,MATCH($B2402,'TRANS'!$A:$A,0)),IFERROR(INDEX('Catalog'!$B:$B,MATCH($G2402,'Catalog'!$A:$A,0)),$B2402))</f>
        <v>45 S מגן ברך לבן</v>
      </c>
      <c r="I2402" s="8" t="str">
        <f aca="false">IF($G2402="","Unmatched","Matched")</f>
        <v>Matched</v>
      </c>
    </row>
    <row r="2403" customFormat="false" ht="15" hidden="false" customHeight="false" outlineLevel="0" collapsed="false">
      <c r="A2403" s="8" t="s">
        <v>918</v>
      </c>
      <c r="B2403" s="8" t="s">
        <v>207</v>
      </c>
      <c r="C2403" s="19" t="n">
        <v>4</v>
      </c>
      <c r="D2403" s="19" t="n">
        <v>223.4</v>
      </c>
      <c r="E2403" s="19" t="n">
        <v>0</v>
      </c>
      <c r="F2403" s="19" t="n">
        <v>0</v>
      </c>
      <c r="G2403" s="8" t="n">
        <f aca="false">IFERROR(INDEX('TRANS'!$B:$B,MATCH($B2403,'TRANS'!$A:$A,0)),IFERROR(INDEX('TRANS'!$B:$B,MATCH(TRIM(SUBSTITUTE($B2403,CHAR(160)," ")),'TRANS'!$D:$D,0)),IFERROR(INDEX('Catalog'!$A:$A,MATCH($B2403,'Catalog'!$B:$B,0)),IFERROR(INDEX('Catalog'!$A:$A,MATCH(TRIM(SUBSTITUTE($B2403,CHAR(160)," ")),'Catalog'!$C:$C,0)),""))))</f>
        <v>4413095</v>
      </c>
      <c r="H2403" s="8" t="str">
        <f aca="false">IFERROR(INDEX('TRANS'!$C:$C,MATCH($B2403,'TRANS'!$A:$A,0)),IFERROR(INDEX('Catalog'!$B:$B,MATCH($G2403,'Catalog'!$A:$A,0)),$B2403))</f>
        <v>45 XL מגן ברך לבן</v>
      </c>
      <c r="I2403" s="8" t="str">
        <f aca="false">IF($G2403="","Unmatched","Matched")</f>
        <v>Matched</v>
      </c>
    </row>
    <row r="2404" customFormat="false" ht="15" hidden="false" customHeight="false" outlineLevel="0" collapsed="false">
      <c r="A2404" s="8" t="s">
        <v>918</v>
      </c>
      <c r="B2404" s="8" t="s">
        <v>792</v>
      </c>
      <c r="C2404" s="19" t="n">
        <v>3</v>
      </c>
      <c r="D2404" s="19" t="n">
        <v>140.97</v>
      </c>
      <c r="E2404" s="19" t="n">
        <v>4</v>
      </c>
      <c r="F2404" s="19" t="n">
        <v>223.4</v>
      </c>
      <c r="G2404" s="8" t="n">
        <f aca="false">IFERROR(INDEX('TRANS'!$B:$B,MATCH($B2404,'TRANS'!$A:$A,0)),IFERROR(INDEX('TRANS'!$B:$B,MATCH(TRIM(SUBSTITUTE($B2404,CHAR(160)," ")),'TRANS'!$D:$D,0)),IFERROR(INDEX('Catalog'!$A:$A,MATCH($B2404,'Catalog'!$B:$B,0)),IFERROR(INDEX('Catalog'!$A:$A,MATCH(TRIM(SUBSTITUTE($B2404,CHAR(160)," ")),'Catalog'!$C:$C,0)),""))))</f>
        <v>4413332</v>
      </c>
      <c r="H2404" s="8" t="str">
        <f aca="false">IFERROR(INDEX('TRANS'!$C:$C,MATCH($B2404,'TRANS'!$A:$A,0)),IFERROR(INDEX('Catalog'!$B:$B,MATCH($G2404,'Catalog'!$A:$A,0)),$B2404))</f>
        <v>45  XS מגן ברך רגיל לבן</v>
      </c>
      <c r="I2404" s="8" t="str">
        <f aca="false">IF($G2404="","Unmatched","Matched")</f>
        <v>Matched</v>
      </c>
    </row>
    <row r="2405" customFormat="false" ht="15" hidden="false" customHeight="false" outlineLevel="0" collapsed="false">
      <c r="A2405" s="8" t="s">
        <v>918</v>
      </c>
      <c r="B2405" s="8" t="s">
        <v>378</v>
      </c>
      <c r="C2405" s="19" t="n">
        <v>5</v>
      </c>
      <c r="D2405" s="19" t="n">
        <v>270.87</v>
      </c>
      <c r="E2405" s="19" t="n">
        <v>8</v>
      </c>
      <c r="F2405" s="19" t="n">
        <v>430.05</v>
      </c>
      <c r="G2405" s="8" t="n">
        <f aca="false">IFERROR(INDEX('TRANS'!$B:$B,MATCH($B2405,'TRANS'!$A:$A,0)),IFERROR(INDEX('TRANS'!$B:$B,MATCH(TRIM(SUBSTITUTE($B2405,CHAR(160)," ")),'TRANS'!$D:$D,0)),IFERROR(INDEX('Catalog'!$A:$A,MATCH($B2405,'Catalog'!$B:$B,0)),IFERROR(INDEX('Catalog'!$A:$A,MATCH(TRIM(SUBSTITUTE($B2405,CHAR(160)," ")),'Catalog'!$C:$C,0)),""))))</f>
        <v>4413096</v>
      </c>
      <c r="H2405" s="8" t="str">
        <f aca="false">IFERROR(INDEX('TRANS'!$C:$C,MATCH($B2405,'TRANS'!$A:$A,0)),IFERROR(INDEX('Catalog'!$B:$B,MATCH($G2405,'Catalog'!$A:$A,0)),$B2405))</f>
        <v>45 XXL מגן ברך לבן</v>
      </c>
      <c r="I2405" s="8" t="str">
        <f aca="false">IF($G2405="","Unmatched","Matched")</f>
        <v>Matched</v>
      </c>
    </row>
    <row r="2406" customFormat="false" ht="15" hidden="false" customHeight="false" outlineLevel="0" collapsed="false">
      <c r="A2406" s="8" t="s">
        <v>918</v>
      </c>
      <c r="B2406" s="8" t="s">
        <v>208</v>
      </c>
      <c r="C2406" s="19" t="n">
        <v>29</v>
      </c>
      <c r="D2406" s="19" t="n">
        <v>1567.57</v>
      </c>
      <c r="E2406" s="19" t="n">
        <v>18</v>
      </c>
      <c r="F2406" s="19" t="n">
        <v>971.77</v>
      </c>
      <c r="G2406" s="8" t="n">
        <f aca="false">IFERROR(INDEX('TRANS'!$B:$B,MATCH($B2406,'TRANS'!$A:$A,0)),IFERROR(INDEX('TRANS'!$B:$B,MATCH(TRIM(SUBSTITUTE($B2406,CHAR(160)," ")),'TRANS'!$D:$D,0)),IFERROR(INDEX('Catalog'!$A:$A,MATCH($B2406,'Catalog'!$B:$B,0)),IFERROR(INDEX('Catalog'!$A:$A,MATCH(TRIM(SUBSTITUTE($B2406,CHAR(160)," ")),'Catalog'!$C:$C,0)),""))))</f>
        <v>4413495</v>
      </c>
      <c r="H2406" s="8" t="str">
        <f aca="false">IFERROR(INDEX('TRANS'!$C:$C,MATCH($B2406,'TRANS'!$A:$A,0)),IFERROR(INDEX('Catalog'!$B:$B,MATCH($G2406,'Catalog'!$A:$A,0)),$B2406))</f>
        <v>45B L מגן ברך שחור</v>
      </c>
      <c r="I2406" s="8" t="str">
        <f aca="false">IF($G2406="","Unmatched","Matched")</f>
        <v>Matched</v>
      </c>
    </row>
    <row r="2407" customFormat="false" ht="15" hidden="false" customHeight="false" outlineLevel="0" collapsed="false">
      <c r="A2407" s="8" t="s">
        <v>918</v>
      </c>
      <c r="B2407" s="8" t="s">
        <v>209</v>
      </c>
      <c r="C2407" s="19" t="n">
        <v>17</v>
      </c>
      <c r="D2407" s="19" t="n">
        <v>875.61</v>
      </c>
      <c r="E2407" s="19" t="n">
        <v>24</v>
      </c>
      <c r="F2407" s="19" t="n">
        <v>1334.78</v>
      </c>
      <c r="G2407" s="8" t="n">
        <f aca="false">IFERROR(INDEX('TRANS'!$B:$B,MATCH($B2407,'TRANS'!$A:$A,0)),IFERROR(INDEX('TRANS'!$B:$B,MATCH(TRIM(SUBSTITUTE($B2407,CHAR(160)," ")),'TRANS'!$D:$D,0)),IFERROR(INDEX('Catalog'!$A:$A,MATCH($B2407,'Catalog'!$B:$B,0)),IFERROR(INDEX('Catalog'!$A:$A,MATCH(TRIM(SUBSTITUTE($B2407,CHAR(160)," ")),'Catalog'!$C:$C,0)),""))))</f>
        <v>4413497</v>
      </c>
      <c r="H2407" s="8" t="str">
        <f aca="false">IFERROR(INDEX('TRANS'!$C:$C,MATCH($B2407,'TRANS'!$A:$A,0)),IFERROR(INDEX('Catalog'!$B:$B,MATCH($G2407,'Catalog'!$A:$A,0)),$B2407))</f>
        <v>45B M מגן ברך שחור</v>
      </c>
      <c r="I2407" s="8" t="str">
        <f aca="false">IF($G2407="","Unmatched","Matched")</f>
        <v>Matched</v>
      </c>
    </row>
    <row r="2408" customFormat="false" ht="15" hidden="false" customHeight="false" outlineLevel="0" collapsed="false">
      <c r="A2408" s="8" t="s">
        <v>918</v>
      </c>
      <c r="B2408" s="8" t="s">
        <v>379</v>
      </c>
      <c r="C2408" s="19" t="n">
        <v>9</v>
      </c>
      <c r="D2408" s="19" t="n">
        <v>457.96</v>
      </c>
      <c r="E2408" s="19" t="n">
        <v>4</v>
      </c>
      <c r="F2408" s="19" t="n">
        <v>212.23</v>
      </c>
      <c r="G2408" s="8" t="n">
        <f aca="false">IFERROR(INDEX('TRANS'!$B:$B,MATCH($B2408,'TRANS'!$A:$A,0)),IFERROR(INDEX('TRANS'!$B:$B,MATCH(TRIM(SUBSTITUTE($B2408,CHAR(160)," ")),'TRANS'!$D:$D,0)),IFERROR(INDEX('Catalog'!$A:$A,MATCH($B2408,'Catalog'!$B:$B,0)),IFERROR(INDEX('Catalog'!$A:$A,MATCH(TRIM(SUBSTITUTE($B2408,CHAR(160)," ")),'Catalog'!$C:$C,0)),""))))</f>
        <v>4413498</v>
      </c>
      <c r="H2408" s="8" t="str">
        <f aca="false">IFERROR(INDEX('TRANS'!$C:$C,MATCH($B2408,'TRANS'!$A:$A,0)),IFERROR(INDEX('Catalog'!$B:$B,MATCH($G2408,'Catalog'!$A:$A,0)),$B2408))</f>
        <v>45B S מגן ברך שחור</v>
      </c>
      <c r="I2408" s="8" t="str">
        <f aca="false">IF($G2408="","Unmatched","Matched")</f>
        <v>Matched</v>
      </c>
    </row>
    <row r="2409" customFormat="false" ht="15" hidden="false" customHeight="false" outlineLevel="0" collapsed="false">
      <c r="A2409" s="8" t="s">
        <v>918</v>
      </c>
      <c r="B2409" s="8" t="s">
        <v>380</v>
      </c>
      <c r="C2409" s="19" t="n">
        <v>10</v>
      </c>
      <c r="D2409" s="19" t="n">
        <v>505.43</v>
      </c>
      <c r="E2409" s="19" t="n">
        <v>7</v>
      </c>
      <c r="F2409" s="19" t="n">
        <v>379.77</v>
      </c>
      <c r="G2409" s="8" t="n">
        <f aca="false">IFERROR(INDEX('TRANS'!$B:$B,MATCH($B2409,'TRANS'!$A:$A,0)),IFERROR(INDEX('TRANS'!$B:$B,MATCH(TRIM(SUBSTITUTE($B2409,CHAR(160)," ")),'TRANS'!$D:$D,0)),IFERROR(INDEX('Catalog'!$A:$A,MATCH($B2409,'Catalog'!$B:$B,0)),IFERROR(INDEX('Catalog'!$A:$A,MATCH(TRIM(SUBSTITUTE($B2409,CHAR(160)," ")),'Catalog'!$C:$C,0)),""))))</f>
        <v>4413496</v>
      </c>
      <c r="H2409" s="8" t="str">
        <f aca="false">IFERROR(INDEX('TRANS'!$C:$C,MATCH($B2409,'TRANS'!$A:$A,0)),IFERROR(INDEX('Catalog'!$B:$B,MATCH($G2409,'Catalog'!$A:$A,0)),$B2409))</f>
        <v>45B XL מגן ברך שחור</v>
      </c>
      <c r="I2409" s="8" t="str">
        <f aca="false">IF($G2409="","Unmatched","Matched")</f>
        <v>Matched</v>
      </c>
    </row>
    <row r="2410" customFormat="false" ht="15" hidden="false" customHeight="false" outlineLevel="0" collapsed="false">
      <c r="A2410" s="8" t="s">
        <v>918</v>
      </c>
      <c r="B2410" s="8" t="s">
        <v>381</v>
      </c>
      <c r="C2410" s="19" t="n">
        <v>12</v>
      </c>
      <c r="D2410" s="19" t="n">
        <v>608.76</v>
      </c>
      <c r="E2410" s="19" t="n">
        <v>11</v>
      </c>
      <c r="F2410" s="19" t="n">
        <v>586.42</v>
      </c>
      <c r="G2410" s="8" t="n">
        <f aca="false">IFERROR(INDEX('TRANS'!$B:$B,MATCH($B2410,'TRANS'!$A:$A,0)),IFERROR(INDEX('TRANS'!$B:$B,MATCH(TRIM(SUBSTITUTE($B2410,CHAR(160)," ")),'TRANS'!$D:$D,0)),IFERROR(INDEX('Catalog'!$A:$A,MATCH($B2410,'Catalog'!$B:$B,0)),IFERROR(INDEX('Catalog'!$A:$A,MATCH(TRIM(SUBSTITUTE($B2410,CHAR(160)," ")),'Catalog'!$C:$C,0)),""))))</f>
        <v>4413499</v>
      </c>
      <c r="H2410" s="8" t="str">
        <f aca="false">IFERROR(INDEX('TRANS'!$C:$C,MATCH($B2410,'TRANS'!$A:$A,0)),IFERROR(INDEX('Catalog'!$B:$B,MATCH($G2410,'Catalog'!$A:$A,0)),$B2410))</f>
        <v>45B XXLמגן ברך שחור</v>
      </c>
      <c r="I2410" s="8" t="str">
        <f aca="false">IF($G2410="","Unmatched","Matched")</f>
        <v>Matched</v>
      </c>
    </row>
    <row r="2411" customFormat="false" ht="15" hidden="false" customHeight="false" outlineLevel="0" collapsed="false">
      <c r="A2411" s="8" t="s">
        <v>918</v>
      </c>
      <c r="B2411" s="8" t="s">
        <v>210</v>
      </c>
      <c r="C2411" s="19" t="n">
        <v>10</v>
      </c>
      <c r="D2411" s="19" t="n">
        <v>531.92</v>
      </c>
      <c r="E2411" s="19" t="n">
        <v>8</v>
      </c>
      <c r="F2411" s="19" t="n">
        <v>435.62</v>
      </c>
      <c r="G2411" s="8" t="n">
        <f aca="false">IFERROR(INDEX('TRANS'!$B:$B,MATCH($B2411,'TRANS'!$A:$A,0)),IFERROR(INDEX('TRANS'!$B:$B,MATCH(TRIM(SUBSTITUTE($B2411,CHAR(160)," ")),'TRANS'!$D:$D,0)),IFERROR(INDEX('Catalog'!$A:$A,MATCH($B2411,'Catalog'!$B:$B,0)),IFERROR(INDEX('Catalog'!$A:$A,MATCH(TRIM(SUBSTITUTE($B2411,CHAR(160)," ")),'Catalog'!$C:$C,0)),""))))</f>
        <v>4413098</v>
      </c>
      <c r="H2411" s="8" t="str">
        <f aca="false">IFERROR(INDEX('TRANS'!$C:$C,MATCH($B2411,'TRANS'!$A:$A,0)),IFERROR(INDEX('Catalog'!$B:$B,MATCH($G2411,'Catalog'!$A:$A,0)),$B2411))</f>
        <v>45C L מגן ברך חום</v>
      </c>
      <c r="I2411" s="8" t="str">
        <f aca="false">IF($G2411="","Unmatched","Matched")</f>
        <v>Matched</v>
      </c>
    </row>
    <row r="2412" customFormat="false" ht="15" hidden="false" customHeight="false" outlineLevel="0" collapsed="false">
      <c r="A2412" s="8" t="s">
        <v>918</v>
      </c>
      <c r="B2412" s="8" t="s">
        <v>211</v>
      </c>
      <c r="C2412" s="19" t="n">
        <v>2</v>
      </c>
      <c r="D2412" s="19" t="n">
        <v>101.62</v>
      </c>
      <c r="E2412" s="19" t="n">
        <v>8</v>
      </c>
      <c r="F2412" s="19" t="n">
        <v>418.87</v>
      </c>
      <c r="G2412" s="8" t="n">
        <f aca="false">IFERROR(INDEX('TRANS'!$B:$B,MATCH($B2412,'TRANS'!$A:$A,0)),IFERROR(INDEX('TRANS'!$B:$B,MATCH(TRIM(SUBSTITUTE($B2412,CHAR(160)," ")),'TRANS'!$D:$D,0)),IFERROR(INDEX('Catalog'!$A:$A,MATCH($B2412,'Catalog'!$B:$B,0)),IFERROR(INDEX('Catalog'!$A:$A,MATCH(TRIM(SUBSTITUTE($B2412,CHAR(160)," ")),'Catalog'!$C:$C,0)),""))))</f>
        <v>4413099</v>
      </c>
      <c r="H2412" s="8" t="str">
        <f aca="false">IFERROR(INDEX('TRANS'!$C:$C,MATCH($B2412,'TRANS'!$A:$A,0)),IFERROR(INDEX('Catalog'!$B:$B,MATCH($G2412,'Catalog'!$A:$A,0)),$B2412))</f>
        <v>45C M מגן ברך חום</v>
      </c>
      <c r="I2412" s="8" t="str">
        <f aca="false">IF($G2412="","Unmatched","Matched")</f>
        <v>Matched</v>
      </c>
    </row>
    <row r="2413" customFormat="false" ht="15" hidden="false" customHeight="false" outlineLevel="0" collapsed="false">
      <c r="A2413" s="8" t="s">
        <v>918</v>
      </c>
      <c r="B2413" s="8" t="s">
        <v>212</v>
      </c>
      <c r="C2413" s="19" t="n">
        <v>4</v>
      </c>
      <c r="D2413" s="19" t="n">
        <v>192.68</v>
      </c>
      <c r="E2413" s="19" t="n">
        <v>4</v>
      </c>
      <c r="F2413" s="19" t="n">
        <v>217.81</v>
      </c>
      <c r="G2413" s="8" t="n">
        <f aca="false">IFERROR(INDEX('TRANS'!$B:$B,MATCH($B2413,'TRANS'!$A:$A,0)),IFERROR(INDEX('TRANS'!$B:$B,MATCH(TRIM(SUBSTITUTE($B2413,CHAR(160)," ")),'TRANS'!$D:$D,0)),IFERROR(INDEX('Catalog'!$A:$A,MATCH($B2413,'Catalog'!$B:$B,0)),IFERROR(INDEX('Catalog'!$A:$A,MATCH(TRIM(SUBSTITUTE($B2413,CHAR(160)," ")),'Catalog'!$C:$C,0)),""))))</f>
        <v>4413097</v>
      </c>
      <c r="H2413" s="8" t="str">
        <f aca="false">IFERROR(INDEX('TRANS'!$C:$C,MATCH($B2413,'TRANS'!$A:$A,0)),IFERROR(INDEX('Catalog'!$B:$B,MATCH($G2413,'Catalog'!$A:$A,0)),$B2413))</f>
        <v>45C S מגן ברך חום</v>
      </c>
      <c r="I2413" s="8" t="str">
        <f aca="false">IF($G2413="","Unmatched","Matched")</f>
        <v>Matched</v>
      </c>
    </row>
    <row r="2414" customFormat="false" ht="15" hidden="false" customHeight="false" outlineLevel="0" collapsed="false">
      <c r="A2414" s="8" t="s">
        <v>918</v>
      </c>
      <c r="B2414" s="8" t="s">
        <v>213</v>
      </c>
      <c r="C2414" s="19" t="n">
        <v>2</v>
      </c>
      <c r="D2414" s="19" t="n">
        <v>111.7</v>
      </c>
      <c r="E2414" s="19" t="n">
        <v>2</v>
      </c>
      <c r="F2414" s="19" t="n">
        <v>111.69</v>
      </c>
      <c r="G2414" s="8" t="n">
        <f aca="false">IFERROR(INDEX('TRANS'!$B:$B,MATCH($B2414,'TRANS'!$A:$A,0)),IFERROR(INDEX('TRANS'!$B:$B,MATCH(TRIM(SUBSTITUTE($B2414,CHAR(160)," ")),'TRANS'!$D:$D,0)),IFERROR(INDEX('Catalog'!$A:$A,MATCH($B2414,'Catalog'!$B:$B,0)),IFERROR(INDEX('Catalog'!$A:$A,MATCH(TRIM(SUBSTITUTE($B2414,CHAR(160)," ")),'Catalog'!$C:$C,0)),""))))</f>
        <v>4413100</v>
      </c>
      <c r="H2414" s="8" t="str">
        <f aca="false">IFERROR(INDEX('TRANS'!$C:$C,MATCH($B2414,'TRANS'!$A:$A,0)),IFERROR(INDEX('Catalog'!$B:$B,MATCH($G2414,'Catalog'!$A:$A,0)),$B2414))</f>
        <v>45C XL מגן ברך חום</v>
      </c>
      <c r="I2414" s="8" t="str">
        <f aca="false">IF($G2414="","Unmatched","Matched")</f>
        <v>Matched</v>
      </c>
    </row>
    <row r="2415" customFormat="false" ht="15" hidden="false" customHeight="false" outlineLevel="0" collapsed="false">
      <c r="A2415" s="8" t="s">
        <v>918</v>
      </c>
      <c r="B2415" s="8" t="s">
        <v>214</v>
      </c>
      <c r="C2415" s="19" t="n">
        <v>3</v>
      </c>
      <c r="D2415" s="19" t="n">
        <v>139.63</v>
      </c>
      <c r="E2415" s="19" t="n">
        <v>2</v>
      </c>
      <c r="F2415" s="19" t="n">
        <v>106.11</v>
      </c>
      <c r="G2415" s="8" t="str">
        <f aca="false">IFERROR(INDEX('TRANS'!$B:$B,MATCH($B2415,'TRANS'!$A:$A,0)),IFERROR(INDEX('TRANS'!$B:$B,MATCH(TRIM(SUBSTITUTE($B2415,CHAR(160)," ")),'TRANS'!$D:$D,0)),IFERROR(INDEX('Catalog'!$A:$A,MATCH($B2415,'Catalog'!$B:$B,0)),IFERROR(INDEX('Catalog'!$A:$A,MATCH(TRIM(SUBSTITUTE($B2415,CHAR(160)," ")),'Catalog'!$C:$C,0)),""))))</f>
        <v/>
      </c>
      <c r="H2415" s="8" t="str">
        <f aca="false">IFERROR(INDEX('TRANS'!$C:$C,MATCH($B2415,'TRANS'!$A:$A,0)),IFERROR(INDEX('Catalog'!$B:$B,MATCH($G2415,'Catalog'!$A:$A,0)),$B2415))</f>
        <v>45C XS</v>
      </c>
      <c r="I2415" s="8" t="str">
        <f aca="false">IF($G2415="","Unmatched","Matched")</f>
        <v>Unmatched</v>
      </c>
    </row>
    <row r="2416" customFormat="false" ht="15" hidden="false" customHeight="false" outlineLevel="0" collapsed="false">
      <c r="A2416" s="8" t="s">
        <v>918</v>
      </c>
      <c r="B2416" s="8" t="s">
        <v>215</v>
      </c>
      <c r="C2416" s="19" t="n">
        <v>14</v>
      </c>
      <c r="D2416" s="19" t="n">
        <v>693.62</v>
      </c>
      <c r="E2416" s="19" t="n">
        <v>15</v>
      </c>
      <c r="F2416" s="19" t="n">
        <v>832.15</v>
      </c>
      <c r="G2416" s="8" t="str">
        <f aca="false">IFERROR(INDEX('TRANS'!$B:$B,MATCH($B2416,'TRANS'!$A:$A,0)),IFERROR(INDEX('TRANS'!$B:$B,MATCH(TRIM(SUBSTITUTE($B2416,CHAR(160)," ")),'TRANS'!$D:$D,0)),IFERROR(INDEX('Catalog'!$A:$A,MATCH($B2416,'Catalog'!$B:$B,0)),IFERROR(INDEX('Catalog'!$A:$A,MATCH(TRIM(SUBSTITUTE($B2416,CHAR(160)," ")),'Catalog'!$C:$C,0)),""))))</f>
        <v/>
      </c>
      <c r="H2416" s="8" t="str">
        <f aca="false">IFERROR(INDEX('TRANS'!$C:$C,MATCH($B2416,'TRANS'!$A:$A,0)),IFERROR(INDEX('Catalog'!$B:$B,MATCH($G2416,'Catalog'!$A:$A,0)),$B2416))</f>
        <v>45C XXL</v>
      </c>
      <c r="I2416" s="8" t="str">
        <f aca="false">IF($G2416="","Unmatched","Matched")</f>
        <v>Unmatched</v>
      </c>
    </row>
    <row r="2417" customFormat="false" ht="15" hidden="false" customHeight="false" outlineLevel="0" collapsed="false">
      <c r="A2417" s="8" t="s">
        <v>918</v>
      </c>
      <c r="B2417" s="8" t="s">
        <v>382</v>
      </c>
      <c r="C2417" s="19" t="n">
        <v>8</v>
      </c>
      <c r="D2417" s="19" t="n">
        <v>521.37</v>
      </c>
      <c r="E2417" s="19" t="n">
        <v>6</v>
      </c>
      <c r="F2417" s="19" t="n">
        <v>396.12</v>
      </c>
      <c r="G2417" s="8" t="n">
        <f aca="false">IFERROR(INDEX('TRANS'!$B:$B,MATCH($B2417,'TRANS'!$A:$A,0)),IFERROR(INDEX('TRANS'!$B:$B,MATCH(TRIM(SUBSTITUTE($B2417,CHAR(160)," ")),'TRANS'!$D:$D,0)),IFERROR(INDEX('Catalog'!$A:$A,MATCH($B2417,'Catalog'!$B:$B,0)),IFERROR(INDEX('Catalog'!$A:$A,MATCH(TRIM(SUBSTITUTE($B2417,CHAR(160)," ")),'Catalog'!$C:$C,0)),""))))</f>
        <v>4413102</v>
      </c>
      <c r="H2417" s="8" t="str">
        <f aca="false">IFERROR(INDEX('TRANS'!$C:$C,MATCH($B2417,'TRANS'!$A:$A,0)),IFERROR(INDEX('Catalog'!$B:$B,MATCH($G2417,'Catalog'!$A:$A,0)),$B2417))</f>
        <v>45E  L        מגן ברך ארוך לבן</v>
      </c>
      <c r="I2417" s="8" t="str">
        <f aca="false">IF($G2417="","Unmatched","Matched")</f>
        <v>Matched</v>
      </c>
    </row>
    <row r="2418" customFormat="false" ht="15" hidden="false" customHeight="false" outlineLevel="0" collapsed="false">
      <c r="A2418" s="8" t="s">
        <v>918</v>
      </c>
      <c r="B2418" s="8" t="s">
        <v>383</v>
      </c>
      <c r="C2418" s="19" t="n">
        <v>3</v>
      </c>
      <c r="D2418" s="19" t="n">
        <v>166.69</v>
      </c>
      <c r="E2418" s="19" t="n">
        <v>1</v>
      </c>
      <c r="F2418" s="19" t="n">
        <v>60.95</v>
      </c>
      <c r="G2418" s="8" t="n">
        <f aca="false">IFERROR(INDEX('TRANS'!$B:$B,MATCH($B2418,'TRANS'!$A:$A,0)),IFERROR(INDEX('TRANS'!$B:$B,MATCH(TRIM(SUBSTITUTE($B2418,CHAR(160)," ")),'TRANS'!$D:$D,0)),IFERROR(INDEX('Catalog'!$A:$A,MATCH($B2418,'Catalog'!$B:$B,0)),IFERROR(INDEX('Catalog'!$A:$A,MATCH(TRIM(SUBSTITUTE($B2418,CHAR(160)," ")),'Catalog'!$C:$C,0)),""))))</f>
        <v>4413103</v>
      </c>
      <c r="H2418" s="8" t="str">
        <f aca="false">IFERROR(INDEX('TRANS'!$C:$C,MATCH($B2418,'TRANS'!$A:$A,0)),IFERROR(INDEX('Catalog'!$B:$B,MATCH($G2418,'Catalog'!$A:$A,0)),$B2418))</f>
        <v>45E Mמגן ברך ארוך לבן</v>
      </c>
      <c r="I2418" s="8" t="str">
        <f aca="false">IF($G2418="","Unmatched","Matched")</f>
        <v>Matched</v>
      </c>
    </row>
    <row r="2419" customFormat="false" ht="15" hidden="false" customHeight="false" outlineLevel="0" collapsed="false">
      <c r="A2419" s="8" t="s">
        <v>918</v>
      </c>
      <c r="B2419" s="8" t="s">
        <v>384</v>
      </c>
      <c r="C2419" s="19" t="n">
        <v>2</v>
      </c>
      <c r="D2419" s="19" t="n">
        <v>108.34</v>
      </c>
      <c r="E2419" s="19" t="n">
        <v>3</v>
      </c>
      <c r="F2419" s="19" t="n">
        <v>196.36</v>
      </c>
      <c r="G2419" s="8" t="n">
        <f aca="false">IFERROR(INDEX('TRANS'!$B:$B,MATCH($B2419,'TRANS'!$A:$A,0)),IFERROR(INDEX('TRANS'!$B:$B,MATCH(TRIM(SUBSTITUTE($B2419,CHAR(160)," ")),'TRANS'!$D:$D,0)),IFERROR(INDEX('Catalog'!$A:$A,MATCH($B2419,'Catalog'!$B:$B,0)),IFERROR(INDEX('Catalog'!$A:$A,MATCH(TRIM(SUBSTITUTE($B2419,CHAR(160)," ")),'Catalog'!$C:$C,0)),""))))</f>
        <v>4413101</v>
      </c>
      <c r="H2419" s="8" t="str">
        <f aca="false">IFERROR(INDEX('TRANS'!$C:$C,MATCH($B2419,'TRANS'!$A:$A,0)),IFERROR(INDEX('Catalog'!$B:$B,MATCH($G2419,'Catalog'!$A:$A,0)),$B2419))</f>
        <v>45E Sמגן ברך ארוך לבן</v>
      </c>
      <c r="I2419" s="8" t="str">
        <f aca="false">IF($G2419="","Unmatched","Matched")</f>
        <v>Matched</v>
      </c>
    </row>
    <row r="2420" customFormat="false" ht="15" hidden="false" customHeight="false" outlineLevel="0" collapsed="false">
      <c r="A2420" s="8" t="s">
        <v>918</v>
      </c>
      <c r="B2420" s="8" t="s">
        <v>216</v>
      </c>
      <c r="C2420" s="19" t="n">
        <v>6</v>
      </c>
      <c r="D2420" s="19" t="n">
        <v>363.1</v>
      </c>
      <c r="E2420" s="19" t="n">
        <v>5</v>
      </c>
      <c r="F2420" s="19" t="n">
        <v>331.78</v>
      </c>
      <c r="G2420" s="8" t="n">
        <f aca="false">IFERROR(INDEX('TRANS'!$B:$B,MATCH($B2420,'TRANS'!$A:$A,0)),IFERROR(INDEX('TRANS'!$B:$B,MATCH(TRIM(SUBSTITUTE($B2420,CHAR(160)," ")),'TRANS'!$D:$D,0)),IFERROR(INDEX('Catalog'!$A:$A,MATCH($B2420,'Catalog'!$B:$B,0)),IFERROR(INDEX('Catalog'!$A:$A,MATCH(TRIM(SUBSTITUTE($B2420,CHAR(160)," ")),'Catalog'!$C:$C,0)),""))))</f>
        <v>4413104</v>
      </c>
      <c r="H2420" s="8" t="str">
        <f aca="false">IFERROR(INDEX('TRANS'!$C:$C,MATCH($B2420,'TRANS'!$A:$A,0)),IFERROR(INDEX('Catalog'!$B:$B,MATCH($G2420,'Catalog'!$A:$A,0)),$B2420))</f>
        <v>45E XLמגן ברך ארוך לבן</v>
      </c>
      <c r="I2420" s="8" t="str">
        <f aca="false">IF($G2420="","Unmatched","Matched")</f>
        <v>Matched</v>
      </c>
    </row>
    <row r="2421" customFormat="false" ht="15" hidden="false" customHeight="false" outlineLevel="0" collapsed="false">
      <c r="A2421" s="8" t="s">
        <v>918</v>
      </c>
      <c r="B2421" s="8" t="s">
        <v>217</v>
      </c>
      <c r="C2421" s="19" t="n">
        <v>11</v>
      </c>
      <c r="D2421" s="19" t="n">
        <v>683.03</v>
      </c>
      <c r="E2421" s="19" t="n">
        <v>13</v>
      </c>
      <c r="F2421" s="19" t="n">
        <v>856.55</v>
      </c>
      <c r="G2421" s="8" t="n">
        <f aca="false">IFERROR(INDEX('TRANS'!$B:$B,MATCH($B2421,'TRANS'!$A:$A,0)),IFERROR(INDEX('TRANS'!$B:$B,MATCH(TRIM(SUBSTITUTE($B2421,CHAR(160)," ")),'TRANS'!$D:$D,0)),IFERROR(INDEX('Catalog'!$A:$A,MATCH($B2421,'Catalog'!$B:$B,0)),IFERROR(INDEX('Catalog'!$A:$A,MATCH(TRIM(SUBSTITUTE($B2421,CHAR(160)," ")),'Catalog'!$C:$C,0)),""))))</f>
        <v>4413105</v>
      </c>
      <c r="H2421" s="8" t="str">
        <f aca="false">IFERROR(INDEX('TRANS'!$C:$C,MATCH($B2421,'TRANS'!$A:$A,0)),IFERROR(INDEX('Catalog'!$B:$B,MATCH($G2421,'Catalog'!$A:$A,0)),$B2421))</f>
        <v>45E XXLמגן ברך ארוך לבן</v>
      </c>
      <c r="I2421" s="8" t="str">
        <f aca="false">IF($G2421="","Unmatched","Matched")</f>
        <v>Matched</v>
      </c>
    </row>
    <row r="2422" customFormat="false" ht="15" hidden="false" customHeight="false" outlineLevel="0" collapsed="false">
      <c r="A2422" s="8" t="s">
        <v>918</v>
      </c>
      <c r="B2422" s="8" t="s">
        <v>218</v>
      </c>
      <c r="C2422" s="19" t="n">
        <v>1</v>
      </c>
      <c r="D2422" s="19" t="n">
        <v>54.17</v>
      </c>
      <c r="E2422" s="19" t="n">
        <v>7</v>
      </c>
      <c r="F2422" s="19" t="n">
        <v>460.43</v>
      </c>
      <c r="G2422" s="8" t="n">
        <f aca="false">IFERROR(INDEX('TRANS'!$B:$B,MATCH($B2422,'TRANS'!$A:$A,0)),IFERROR(INDEX('TRANS'!$B:$B,MATCH(TRIM(SUBSTITUTE($B2422,CHAR(160)," ")),'TRANS'!$D:$D,0)),IFERROR(INDEX('Catalog'!$A:$A,MATCH($B2422,'Catalog'!$B:$B,0)),IFERROR(INDEX('Catalog'!$A:$A,MATCH(TRIM(SUBSTITUTE($B2422,CHAR(160)," ")),'Catalog'!$C:$C,0)),""))))</f>
        <v>4413396</v>
      </c>
      <c r="H2422" s="8" t="str">
        <f aca="false">IFERROR(INDEX('TRANS'!$C:$C,MATCH($B2422,'TRANS'!$A:$A,0)),IFERROR(INDEX('Catalog'!$B:$B,MATCH($G2422,'Catalog'!$A:$A,0)),$B2422))</f>
        <v>45EC L 'מגן ברך ארוך בז</v>
      </c>
      <c r="I2422" s="8" t="str">
        <f aca="false">IF($G2422="","Unmatched","Matched")</f>
        <v>Matched</v>
      </c>
    </row>
    <row r="2423" customFormat="false" ht="15" hidden="false" customHeight="false" outlineLevel="0" collapsed="false">
      <c r="A2423" s="8" t="s">
        <v>918</v>
      </c>
      <c r="B2423" s="8" t="s">
        <v>219</v>
      </c>
      <c r="C2423" s="19" t="n">
        <v>9</v>
      </c>
      <c r="D2423" s="19" t="n">
        <v>582.31</v>
      </c>
      <c r="E2423" s="19" t="n">
        <v>14</v>
      </c>
      <c r="F2423" s="19" t="n">
        <v>914.1</v>
      </c>
      <c r="G2423" s="8" t="n">
        <f aca="false">IFERROR(INDEX('TRANS'!$B:$B,MATCH($B2423,'TRANS'!$A:$A,0)),IFERROR(INDEX('TRANS'!$B:$B,MATCH(TRIM(SUBSTITUTE($B2423,CHAR(160)," ")),'TRANS'!$D:$D,0)),IFERROR(INDEX('Catalog'!$A:$A,MATCH($B2423,'Catalog'!$B:$B,0)),IFERROR(INDEX('Catalog'!$A:$A,MATCH(TRIM(SUBSTITUTE($B2423,CHAR(160)," ")),'Catalog'!$C:$C,0)),""))))</f>
        <v>4413395</v>
      </c>
      <c r="H2423" s="8" t="str">
        <f aca="false">IFERROR(INDEX('TRANS'!$C:$C,MATCH($B2423,'TRANS'!$A:$A,0)),IFERROR(INDEX('Catalog'!$B:$B,MATCH($G2423,'Catalog'!$A:$A,0)),$B2423))</f>
        <v>45EC M 'מגן ברך ארוך בז</v>
      </c>
      <c r="I2423" s="8" t="str">
        <f aca="false">IF($G2423="","Unmatched","Matched")</f>
        <v>Matched</v>
      </c>
    </row>
    <row r="2424" customFormat="false" ht="15" hidden="false" customHeight="false" outlineLevel="0" collapsed="false">
      <c r="A2424" s="8" t="s">
        <v>918</v>
      </c>
      <c r="B2424" s="8" t="s">
        <v>385</v>
      </c>
      <c r="C2424" s="19" t="n">
        <v>2</v>
      </c>
      <c r="D2424" s="19" t="n">
        <v>135.42</v>
      </c>
      <c r="E2424" s="19" t="n">
        <v>1</v>
      </c>
      <c r="F2424" s="19" t="n">
        <v>60.94</v>
      </c>
      <c r="G2424" s="8" t="n">
        <f aca="false">IFERROR(INDEX('TRANS'!$B:$B,MATCH($B2424,'TRANS'!$A:$A,0)),IFERROR(INDEX('TRANS'!$B:$B,MATCH(TRIM(SUBSTITUTE($B2424,CHAR(160)," ")),'TRANS'!$D:$D,0)),IFERROR(INDEX('Catalog'!$A:$A,MATCH($B2424,'Catalog'!$B:$B,0)),IFERROR(INDEX('Catalog'!$A:$A,MATCH(TRIM(SUBSTITUTE($B2424,CHAR(160)," ")),'Catalog'!$C:$C,0)),""))))</f>
        <v>4413394</v>
      </c>
      <c r="H2424" s="8" t="str">
        <f aca="false">IFERROR(INDEX('TRANS'!$C:$C,MATCH($B2424,'TRANS'!$A:$A,0)),IFERROR(INDEX('Catalog'!$B:$B,MATCH($G2424,'Catalog'!$A:$A,0)),$B2424))</f>
        <v>45EC S 'מגן ברך ארוך בז</v>
      </c>
      <c r="I2424" s="8" t="str">
        <f aca="false">IF($G2424="","Unmatched","Matched")</f>
        <v>Matched</v>
      </c>
    </row>
    <row r="2425" customFormat="false" ht="15" hidden="false" customHeight="false" outlineLevel="0" collapsed="false">
      <c r="A2425" s="8" t="s">
        <v>918</v>
      </c>
      <c r="B2425" s="8" t="s">
        <v>220</v>
      </c>
      <c r="C2425" s="19" t="n">
        <v>0</v>
      </c>
      <c r="D2425" s="19" t="n">
        <v>0</v>
      </c>
      <c r="E2425" s="19" t="n">
        <v>2</v>
      </c>
      <c r="F2425" s="19" t="n">
        <v>128.65</v>
      </c>
      <c r="G2425" s="8" t="n">
        <f aca="false">IFERROR(INDEX('TRANS'!$B:$B,MATCH($B2425,'TRANS'!$A:$A,0)),IFERROR(INDEX('TRANS'!$B:$B,MATCH(TRIM(SUBSTITUTE($B2425,CHAR(160)," ")),'TRANS'!$D:$D,0)),IFERROR(INDEX('Catalog'!$A:$A,MATCH($B2425,'Catalog'!$B:$B,0)),IFERROR(INDEX('Catalog'!$A:$A,MATCH(TRIM(SUBSTITUTE($B2425,CHAR(160)," ")),'Catalog'!$C:$C,0)),""))))</f>
        <v>4413397</v>
      </c>
      <c r="H2425" s="8" t="str">
        <f aca="false">IFERROR(INDEX('TRANS'!$C:$C,MATCH($B2425,'TRANS'!$A:$A,0)),IFERROR(INDEX('Catalog'!$B:$B,MATCH($G2425,'Catalog'!$A:$A,0)),$B2425))</f>
        <v>45EC XL'מגן ברך ארוך בז</v>
      </c>
      <c r="I2425" s="8" t="str">
        <f aca="false">IF($G2425="","Unmatched","Matched")</f>
        <v>Matched</v>
      </c>
    </row>
    <row r="2426" customFormat="false" ht="15" hidden="false" customHeight="false" outlineLevel="0" collapsed="false">
      <c r="A2426" s="8" t="s">
        <v>918</v>
      </c>
      <c r="B2426" s="8" t="s">
        <v>221</v>
      </c>
      <c r="C2426" s="19" t="n">
        <v>10</v>
      </c>
      <c r="D2426" s="19" t="n">
        <v>594.16</v>
      </c>
      <c r="E2426" s="19" t="n">
        <v>11</v>
      </c>
      <c r="F2426" s="19" t="n">
        <v>724.52</v>
      </c>
      <c r="G2426" s="8" t="n">
        <f aca="false">IFERROR(INDEX('TRANS'!$B:$B,MATCH($B2426,'TRANS'!$A:$A,0)),IFERROR(INDEX('TRANS'!$B:$B,MATCH(TRIM(SUBSTITUTE($B2426,CHAR(160)," ")),'TRANS'!$D:$D,0)),IFERROR(INDEX('Catalog'!$A:$A,MATCH($B2426,'Catalog'!$B:$B,0)),IFERROR(INDEX('Catalog'!$A:$A,MATCH(TRIM(SUBSTITUTE($B2426,CHAR(160)," ")),'Catalog'!$C:$C,0)),""))))</f>
        <v>4413398</v>
      </c>
      <c r="H2426" s="8" t="str">
        <f aca="false">IFERROR(INDEX('TRANS'!$C:$C,MATCH($B2426,'TRANS'!$A:$A,0)),IFERROR(INDEX('Catalog'!$B:$B,MATCH($G2426,'Catalog'!$A:$A,0)),$B2426))</f>
        <v>45EC XXL'מגן ברך ארוך בז</v>
      </c>
      <c r="I2426" s="8" t="str">
        <f aca="false">IF($G2426="","Unmatched","Matched")</f>
        <v>Matched</v>
      </c>
    </row>
    <row r="2427" customFormat="false" ht="15" hidden="false" customHeight="false" outlineLevel="0" collapsed="false">
      <c r="A2427" s="8" t="s">
        <v>918</v>
      </c>
      <c r="B2427" s="8" t="s">
        <v>386</v>
      </c>
      <c r="C2427" s="19" t="n">
        <v>2</v>
      </c>
      <c r="D2427" s="19" t="n">
        <v>189.55</v>
      </c>
      <c r="E2427" s="19" t="n">
        <v>0</v>
      </c>
      <c r="F2427" s="19" t="n">
        <v>-10.25</v>
      </c>
      <c r="G2427" s="8" t="n">
        <f aca="false">IFERROR(INDEX('TRANS'!$B:$B,MATCH($B2427,'TRANS'!$A:$A,0)),IFERROR(INDEX('TRANS'!$B:$B,MATCH(TRIM(SUBSTITUTE($B2427,CHAR(160)," ")),'TRANS'!$D:$D,0)),IFERROR(INDEX('Catalog'!$A:$A,MATCH($B2427,'Catalog'!$B:$B,0)),IFERROR(INDEX('Catalog'!$A:$A,MATCH(TRIM(SUBSTITUTE($B2427,CHAR(160)," ")),'Catalog'!$C:$C,0)),""))))</f>
        <v>4413107</v>
      </c>
      <c r="H2427" s="8" t="str">
        <f aca="false">IFERROR(INDEX('TRANS'!$C:$C,MATCH($B2427,'TRANS'!$A:$A,0)),IFERROR(INDEX('Catalog'!$B:$B,MATCH($G2427,'Catalog'!$A:$A,0)),$B2427))</f>
        <v>48 L מגן ברך מחמם</v>
      </c>
      <c r="I2427" s="8" t="str">
        <f aca="false">IF($G2427="","Unmatched","Matched")</f>
        <v>Matched</v>
      </c>
    </row>
    <row r="2428" customFormat="false" ht="15" hidden="false" customHeight="false" outlineLevel="0" collapsed="false">
      <c r="A2428" s="8" t="s">
        <v>918</v>
      </c>
      <c r="B2428" s="8" t="s">
        <v>567</v>
      </c>
      <c r="C2428" s="19" t="n">
        <v>0</v>
      </c>
      <c r="D2428" s="19" t="n">
        <v>0</v>
      </c>
      <c r="E2428" s="19" t="n">
        <v>2</v>
      </c>
      <c r="F2428" s="19" t="n">
        <v>204.92</v>
      </c>
      <c r="G2428" s="8" t="n">
        <f aca="false">IFERROR(INDEX('TRANS'!$B:$B,MATCH($B2428,'TRANS'!$A:$A,0)),IFERROR(INDEX('TRANS'!$B:$B,MATCH(TRIM(SUBSTITUTE($B2428,CHAR(160)," ")),'TRANS'!$D:$D,0)),IFERROR(INDEX('Catalog'!$A:$A,MATCH($B2428,'Catalog'!$B:$B,0)),IFERROR(INDEX('Catalog'!$A:$A,MATCH(TRIM(SUBSTITUTE($B2428,CHAR(160)," ")),'Catalog'!$C:$C,0)),""))))</f>
        <v>4413108</v>
      </c>
      <c r="H2428" s="8" t="str">
        <f aca="false">IFERROR(INDEX('TRANS'!$C:$C,MATCH($B2428,'TRANS'!$A:$A,0)),IFERROR(INDEX('Catalog'!$B:$B,MATCH($G2428,'Catalog'!$A:$A,0)),$B2428))</f>
        <v>48 M מגן ברך מחמם</v>
      </c>
      <c r="I2428" s="8" t="str">
        <f aca="false">IF($G2428="","Unmatched","Matched")</f>
        <v>Matched</v>
      </c>
    </row>
    <row r="2429" customFormat="false" ht="15" hidden="false" customHeight="false" outlineLevel="0" collapsed="false">
      <c r="A2429" s="8" t="s">
        <v>918</v>
      </c>
      <c r="B2429" s="8" t="s">
        <v>965</v>
      </c>
      <c r="C2429" s="19" t="n">
        <v>4</v>
      </c>
      <c r="D2429" s="19" t="n">
        <v>394.47</v>
      </c>
      <c r="E2429" s="19" t="n">
        <v>1</v>
      </c>
      <c r="F2429" s="19" t="n">
        <v>102.46</v>
      </c>
      <c r="G2429" s="8" t="str">
        <f aca="false">IFERROR(INDEX('TRANS'!$B:$B,MATCH($B2429,'TRANS'!$A:$A,0)),IFERROR(INDEX('TRANS'!$B:$B,MATCH(TRIM(SUBSTITUTE($B2429,CHAR(160)," ")),'TRANS'!$D:$D,0)),IFERROR(INDEX('Catalog'!$A:$A,MATCH($B2429,'Catalog'!$B:$B,0)),IFERROR(INDEX('Catalog'!$A:$A,MATCH(TRIM(SUBSTITUTE($B2429,CHAR(160)," ")),'Catalog'!$C:$C,0)),""))))</f>
        <v/>
      </c>
      <c r="H2429" s="8" t="str">
        <f aca="false">IFERROR(INDEX('TRANS'!$C:$C,MATCH($B2429,'TRANS'!$A:$A,0)),IFERROR(INDEX('Catalog'!$B:$B,MATCH($G2429,'Catalog'!$A:$A,0)),$B2429))</f>
        <v>48 XL</v>
      </c>
      <c r="I2429" s="8" t="str">
        <f aca="false">IF($G2429="","Unmatched","Matched")</f>
        <v>Unmatched</v>
      </c>
    </row>
    <row r="2430" customFormat="false" ht="15" hidden="false" customHeight="false" outlineLevel="0" collapsed="false">
      <c r="A2430" s="8" t="s">
        <v>918</v>
      </c>
      <c r="B2430" s="8" t="s">
        <v>966</v>
      </c>
      <c r="C2430" s="19" t="n">
        <v>1</v>
      </c>
      <c r="D2430" s="19" t="n">
        <v>87.09</v>
      </c>
      <c r="E2430" s="19" t="n">
        <v>0</v>
      </c>
      <c r="F2430" s="19" t="n">
        <v>0</v>
      </c>
      <c r="G2430" s="8" t="str">
        <f aca="false">IFERROR(INDEX('TRANS'!$B:$B,MATCH($B2430,'TRANS'!$A:$A,0)),IFERROR(INDEX('TRANS'!$B:$B,MATCH(TRIM(SUBSTITUTE($B2430,CHAR(160)," ")),'TRANS'!$D:$D,0)),IFERROR(INDEX('Catalog'!$A:$A,MATCH($B2430,'Catalog'!$B:$B,0)),IFERROR(INDEX('Catalog'!$A:$A,MATCH(TRIM(SUBSTITUTE($B2430,CHAR(160)," ")),'Catalog'!$C:$C,0)),""))))</f>
        <v/>
      </c>
      <c r="H2430" s="8" t="str">
        <f aca="false">IFERROR(INDEX('TRANS'!$C:$C,MATCH($B2430,'TRANS'!$A:$A,0)),IFERROR(INDEX('Catalog'!$B:$B,MATCH($G2430,'Catalog'!$A:$A,0)),$B2430))</f>
        <v>48 XS</v>
      </c>
      <c r="I2430" s="8" t="str">
        <f aca="false">IF($G2430="","Unmatched","Matched")</f>
        <v>Unmatched</v>
      </c>
    </row>
    <row r="2431" customFormat="false" ht="15" hidden="false" customHeight="false" outlineLevel="0" collapsed="false">
      <c r="A2431" s="8" t="s">
        <v>918</v>
      </c>
      <c r="B2431" s="8" t="s">
        <v>222</v>
      </c>
      <c r="C2431" s="19" t="n">
        <v>4</v>
      </c>
      <c r="D2431" s="19" t="n">
        <v>409.84</v>
      </c>
      <c r="E2431" s="19" t="n">
        <v>4</v>
      </c>
      <c r="F2431" s="19" t="n">
        <v>399.58</v>
      </c>
      <c r="G2431" s="8" t="str">
        <f aca="false">IFERROR(INDEX('TRANS'!$B:$B,MATCH($B2431,'TRANS'!$A:$A,0)),IFERROR(INDEX('TRANS'!$B:$B,MATCH(TRIM(SUBSTITUTE($B2431,CHAR(160)," ")),'TRANS'!$D:$D,0)),IFERROR(INDEX('Catalog'!$A:$A,MATCH($B2431,'Catalog'!$B:$B,0)),IFERROR(INDEX('Catalog'!$A:$A,MATCH(TRIM(SUBSTITUTE($B2431,CHAR(160)," ")),'Catalog'!$C:$C,0)),""))))</f>
        <v/>
      </c>
      <c r="H2431" s="8" t="str">
        <f aca="false">IFERROR(INDEX('TRANS'!$C:$C,MATCH($B2431,'TRANS'!$A:$A,0)),IFERROR(INDEX('Catalog'!$B:$B,MATCH($G2431,'Catalog'!$A:$A,0)),$B2431))</f>
        <v>48 XXL</v>
      </c>
      <c r="I2431" s="8" t="str">
        <f aca="false">IF($G2431="","Unmatched","Matched")</f>
        <v>Unmatched</v>
      </c>
    </row>
    <row r="2432" customFormat="false" ht="15" hidden="false" customHeight="false" outlineLevel="0" collapsed="false">
      <c r="A2432" s="8" t="s">
        <v>918</v>
      </c>
      <c r="B2432" s="8" t="s">
        <v>388</v>
      </c>
      <c r="C2432" s="19" t="n">
        <v>7</v>
      </c>
      <c r="D2432" s="19" t="n">
        <v>396.99</v>
      </c>
      <c r="E2432" s="19" t="n">
        <v>5</v>
      </c>
      <c r="F2432" s="19" t="n">
        <v>311.01</v>
      </c>
      <c r="G2432" s="8" t="n">
        <f aca="false">IFERROR(INDEX('TRANS'!$B:$B,MATCH($B2432,'TRANS'!$A:$A,0)),IFERROR(INDEX('TRANS'!$B:$B,MATCH(TRIM(SUBSTITUTE($B2432,CHAR(160)," ")),'TRANS'!$D:$D,0)),IFERROR(INDEX('Catalog'!$A:$A,MATCH($B2432,'Catalog'!$B:$B,0)),IFERROR(INDEX('Catalog'!$A:$A,MATCH(TRIM(SUBSTITUTE($B2432,CHAR(160)," ")),'Catalog'!$C:$C,0)),""))))</f>
        <v>4413112</v>
      </c>
      <c r="H2432" s="8" t="str">
        <f aca="false">IFERROR(INDEX('TRANS'!$C:$C,MATCH($B2432,'TRANS'!$A:$A,0)),IFERROR(INDEX('Catalog'!$B:$B,MATCH($G2432,'Catalog'!$A:$A,0)),$B2432))</f>
        <v>49  L מגן ירך</v>
      </c>
      <c r="I2432" s="8" t="str">
        <f aca="false">IF($G2432="","Unmatched","Matched")</f>
        <v>Matched</v>
      </c>
    </row>
    <row r="2433" customFormat="false" ht="15" hidden="false" customHeight="false" outlineLevel="0" collapsed="false">
      <c r="A2433" s="8" t="s">
        <v>918</v>
      </c>
      <c r="B2433" s="8" t="s">
        <v>389</v>
      </c>
      <c r="C2433" s="19" t="n">
        <v>11</v>
      </c>
      <c r="D2433" s="19" t="n">
        <v>675.74</v>
      </c>
      <c r="E2433" s="19" t="n">
        <v>4</v>
      </c>
      <c r="F2433" s="19" t="n">
        <v>238.03</v>
      </c>
      <c r="G2433" s="8" t="n">
        <f aca="false">IFERROR(INDEX('TRANS'!$B:$B,MATCH($B2433,'TRANS'!$A:$A,0)),IFERROR(INDEX('TRANS'!$B:$B,MATCH(TRIM(SUBSTITUTE($B2433,CHAR(160)," ")),'TRANS'!$D:$D,0)),IFERROR(INDEX('Catalog'!$A:$A,MATCH($B2433,'Catalog'!$B:$B,0)),IFERROR(INDEX('Catalog'!$A:$A,MATCH(TRIM(SUBSTITUTE($B2433,CHAR(160)," ")),'Catalog'!$C:$C,0)),""))))</f>
        <v>4413113</v>
      </c>
      <c r="H2433" s="8" t="str">
        <f aca="false">IFERROR(INDEX('TRANS'!$C:$C,MATCH($B2433,'TRANS'!$A:$A,0)),IFERROR(INDEX('Catalog'!$B:$B,MATCH($G2433,'Catalog'!$A:$A,0)),$B2433))</f>
        <v>49  M מגן ירך</v>
      </c>
      <c r="I2433" s="8" t="str">
        <f aca="false">IF($G2433="","Unmatched","Matched")</f>
        <v>Matched</v>
      </c>
    </row>
    <row r="2434" customFormat="false" ht="15" hidden="false" customHeight="false" outlineLevel="0" collapsed="false">
      <c r="A2434" s="8" t="s">
        <v>918</v>
      </c>
      <c r="B2434" s="8" t="s">
        <v>390</v>
      </c>
      <c r="C2434" s="19" t="n">
        <v>3</v>
      </c>
      <c r="D2434" s="19" t="n">
        <v>183.63</v>
      </c>
      <c r="E2434" s="19" t="n">
        <v>2</v>
      </c>
      <c r="F2434" s="19" t="n">
        <v>126.95</v>
      </c>
      <c r="G2434" s="8" t="n">
        <f aca="false">IFERROR(INDEX('TRANS'!$B:$B,MATCH($B2434,'TRANS'!$A:$A,0)),IFERROR(INDEX('TRANS'!$B:$B,MATCH(TRIM(SUBSTITUTE($B2434,CHAR(160)," ")),'TRANS'!$D:$D,0)),IFERROR(INDEX('Catalog'!$A:$A,MATCH($B2434,'Catalog'!$B:$B,0)),IFERROR(INDEX('Catalog'!$A:$A,MATCH(TRIM(SUBSTITUTE($B2434,CHAR(160)," ")),'Catalog'!$C:$C,0)),""))))</f>
        <v>4413111</v>
      </c>
      <c r="H2434" s="8" t="str">
        <f aca="false">IFERROR(INDEX('TRANS'!$C:$C,MATCH($B2434,'TRANS'!$A:$A,0)),IFERROR(INDEX('Catalog'!$B:$B,MATCH($G2434,'Catalog'!$A:$A,0)),$B2434))</f>
        <v>49  S מגן ירך</v>
      </c>
      <c r="I2434" s="8" t="str">
        <f aca="false">IF($G2434="","Unmatched","Matched")</f>
        <v>Matched</v>
      </c>
    </row>
    <row r="2435" customFormat="false" ht="15" hidden="false" customHeight="false" outlineLevel="0" collapsed="false">
      <c r="A2435" s="8" t="s">
        <v>918</v>
      </c>
      <c r="B2435" s="8" t="s">
        <v>391</v>
      </c>
      <c r="C2435" s="19" t="n">
        <v>6</v>
      </c>
      <c r="D2435" s="19" t="n">
        <v>367.91</v>
      </c>
      <c r="E2435" s="19" t="n">
        <v>4</v>
      </c>
      <c r="F2435" s="19" t="n">
        <v>253.88</v>
      </c>
      <c r="G2435" s="8" t="n">
        <f aca="false">IFERROR(INDEX('TRANS'!$B:$B,MATCH($B2435,'TRANS'!$A:$A,0)),IFERROR(INDEX('TRANS'!$B:$B,MATCH(TRIM(SUBSTITUTE($B2435,CHAR(160)," ")),'TRANS'!$D:$D,0)),IFERROR(INDEX('Catalog'!$A:$A,MATCH($B2435,'Catalog'!$B:$B,0)),IFERROR(INDEX('Catalog'!$A:$A,MATCH(TRIM(SUBSTITUTE($B2435,CHAR(160)," ")),'Catalog'!$C:$C,0)),""))))</f>
        <v>4413114</v>
      </c>
      <c r="H2435" s="8" t="str">
        <f aca="false">IFERROR(INDEX('TRANS'!$C:$C,MATCH($B2435,'TRANS'!$A:$A,0)),IFERROR(INDEX('Catalog'!$B:$B,MATCH($G2435,'Catalog'!$A:$A,0)),$B2435))</f>
        <v>49 XL מגן ירך</v>
      </c>
      <c r="I2435" s="8" t="str">
        <f aca="false">IF($G2435="","Unmatched","Matched")</f>
        <v>Matched</v>
      </c>
    </row>
    <row r="2436" customFormat="false" ht="15" hidden="false" customHeight="false" outlineLevel="0" collapsed="false">
      <c r="A2436" s="8" t="s">
        <v>918</v>
      </c>
      <c r="B2436" s="8" t="s">
        <v>597</v>
      </c>
      <c r="C2436" s="19" t="n">
        <v>6</v>
      </c>
      <c r="D2436" s="19" t="n">
        <v>358.61</v>
      </c>
      <c r="E2436" s="19" t="n">
        <v>4</v>
      </c>
      <c r="F2436" s="19" t="n">
        <v>253.89</v>
      </c>
      <c r="G2436" s="8" t="n">
        <f aca="false">IFERROR(INDEX('TRANS'!$B:$B,MATCH($B2436,'TRANS'!$A:$A,0)),IFERROR(INDEX('TRANS'!$B:$B,MATCH(TRIM(SUBSTITUTE($B2436,CHAR(160)," ")),'TRANS'!$D:$D,0)),IFERROR(INDEX('Catalog'!$A:$A,MATCH($B2436,'Catalog'!$B:$B,0)),IFERROR(INDEX('Catalog'!$A:$A,MATCH(TRIM(SUBSTITUTE($B2436,CHAR(160)," ")),'Catalog'!$C:$C,0)),""))))</f>
        <v>4413115</v>
      </c>
      <c r="H2436" s="8" t="str">
        <f aca="false">IFERROR(INDEX('TRANS'!$C:$C,MATCH($B2436,'TRANS'!$A:$A,0)),IFERROR(INDEX('Catalog'!$B:$B,MATCH($G2436,'Catalog'!$A:$A,0)),$B2436))</f>
        <v>49 XXL מגן ירך</v>
      </c>
      <c r="I2436" s="8" t="str">
        <f aca="false">IF($G2436="","Unmatched","Matched")</f>
        <v>Matched</v>
      </c>
    </row>
    <row r="2437" customFormat="false" ht="15" hidden="false" customHeight="false" outlineLevel="0" collapsed="false">
      <c r="A2437" s="8" t="s">
        <v>918</v>
      </c>
      <c r="B2437" s="8" t="s">
        <v>967</v>
      </c>
      <c r="C2437" s="19" t="n">
        <v>1</v>
      </c>
      <c r="D2437" s="19" t="n">
        <v>240</v>
      </c>
      <c r="E2437" s="19" t="n">
        <v>4</v>
      </c>
      <c r="F2437" s="19" t="n">
        <v>941.62</v>
      </c>
      <c r="G2437" s="8" t="str">
        <f aca="false">IFERROR(INDEX('TRANS'!$B:$B,MATCH($B2437,'TRANS'!$A:$A,0)),IFERROR(INDEX('TRANS'!$B:$B,MATCH(TRIM(SUBSTITUTE($B2437,CHAR(160)," ")),'TRANS'!$D:$D,0)),IFERROR(INDEX('Catalog'!$A:$A,MATCH($B2437,'Catalog'!$B:$B,0)),IFERROR(INDEX('Catalog'!$A:$A,MATCH(TRIM(SUBSTITUTE($B2437,CHAR(160)," ")),'Catalog'!$C:$C,0)),""))))</f>
        <v/>
      </c>
      <c r="H2437" s="8" t="str">
        <f aca="false">IFERROR(INDEX('TRANS'!$C:$C,MATCH($B2437,'TRANS'!$A:$A,0)),IFERROR(INDEX('Catalog'!$B:$B,MATCH($G2437,'Catalog'!$A:$A,0)),$B2437))</f>
        <v>49PS L</v>
      </c>
      <c r="I2437" s="8" t="str">
        <f aca="false">IF($G2437="","Unmatched","Matched")</f>
        <v>Unmatched</v>
      </c>
    </row>
    <row r="2438" customFormat="false" ht="15" hidden="false" customHeight="false" outlineLevel="0" collapsed="false">
      <c r="A2438" s="8" t="s">
        <v>918</v>
      </c>
      <c r="B2438" s="8" t="s">
        <v>568</v>
      </c>
      <c r="C2438" s="19" t="n">
        <v>1</v>
      </c>
      <c r="D2438" s="19" t="n">
        <v>241.44</v>
      </c>
      <c r="E2438" s="19" t="n">
        <v>3</v>
      </c>
      <c r="F2438" s="19" t="n">
        <v>724.32</v>
      </c>
      <c r="G2438" s="8" t="str">
        <f aca="false">IFERROR(INDEX('TRANS'!$B:$B,MATCH($B2438,'TRANS'!$A:$A,0)),IFERROR(INDEX('TRANS'!$B:$B,MATCH(TRIM(SUBSTITUTE($B2438,CHAR(160)," ")),'TRANS'!$D:$D,0)),IFERROR(INDEX('Catalog'!$A:$A,MATCH($B2438,'Catalog'!$B:$B,0)),IFERROR(INDEX('Catalog'!$A:$A,MATCH(TRIM(SUBSTITUTE($B2438,CHAR(160)," ")),'Catalog'!$C:$C,0)),""))))</f>
        <v/>
      </c>
      <c r="H2438" s="8" t="str">
        <f aca="false">IFERROR(INDEX('TRANS'!$C:$C,MATCH($B2438,'TRANS'!$A:$A,0)),IFERROR(INDEX('Catalog'!$B:$B,MATCH($G2438,'Catalog'!$A:$A,0)),$B2438))</f>
        <v>49PS M</v>
      </c>
      <c r="I2438" s="8" t="str">
        <f aca="false">IF($G2438="","Unmatched","Matched")</f>
        <v>Unmatched</v>
      </c>
    </row>
    <row r="2439" customFormat="false" ht="15" hidden="false" customHeight="false" outlineLevel="0" collapsed="false">
      <c r="A2439" s="8" t="s">
        <v>918</v>
      </c>
      <c r="B2439" s="8" t="s">
        <v>392</v>
      </c>
      <c r="C2439" s="19" t="n">
        <v>1</v>
      </c>
      <c r="D2439" s="19" t="n">
        <v>241.44</v>
      </c>
      <c r="E2439" s="19" t="n">
        <v>0</v>
      </c>
      <c r="F2439" s="19" t="n">
        <v>0</v>
      </c>
      <c r="G2439" s="8" t="str">
        <f aca="false">IFERROR(INDEX('TRANS'!$B:$B,MATCH($B2439,'TRANS'!$A:$A,0)),IFERROR(INDEX('TRANS'!$B:$B,MATCH(TRIM(SUBSTITUTE($B2439,CHAR(160)," ")),'TRANS'!$D:$D,0)),IFERROR(INDEX('Catalog'!$A:$A,MATCH($B2439,'Catalog'!$B:$B,0)),IFERROR(INDEX('Catalog'!$A:$A,MATCH(TRIM(SUBSTITUTE($B2439,CHAR(160)," ")),'Catalog'!$C:$C,0)),""))))</f>
        <v/>
      </c>
      <c r="H2439" s="8" t="str">
        <f aca="false">IFERROR(INDEX('TRANS'!$C:$C,MATCH($B2439,'TRANS'!$A:$A,0)),IFERROR(INDEX('Catalog'!$B:$B,MATCH($G2439,'Catalog'!$A:$A,0)),$B2439))</f>
        <v>49PS XL</v>
      </c>
      <c r="I2439" s="8" t="str">
        <f aca="false">IF($G2439="","Unmatched","Matched")</f>
        <v>Unmatched</v>
      </c>
    </row>
    <row r="2440" customFormat="false" ht="15" hidden="false" customHeight="false" outlineLevel="0" collapsed="false">
      <c r="A2440" s="8" t="s">
        <v>918</v>
      </c>
      <c r="B2440" s="8" t="s">
        <v>627</v>
      </c>
      <c r="C2440" s="19" t="n">
        <v>3</v>
      </c>
      <c r="D2440" s="19" t="n">
        <v>722.63</v>
      </c>
      <c r="E2440" s="19" t="n">
        <v>1</v>
      </c>
      <c r="F2440" s="19" t="n">
        <v>241.44</v>
      </c>
      <c r="G2440" s="8" t="str">
        <f aca="false">IFERROR(INDEX('TRANS'!$B:$B,MATCH($B2440,'TRANS'!$A:$A,0)),IFERROR(INDEX('TRANS'!$B:$B,MATCH(TRIM(SUBSTITUTE($B2440,CHAR(160)," ")),'TRANS'!$D:$D,0)),IFERROR(INDEX('Catalog'!$A:$A,MATCH($B2440,'Catalog'!$B:$B,0)),IFERROR(INDEX('Catalog'!$A:$A,MATCH(TRIM(SUBSTITUTE($B2440,CHAR(160)," ")),'Catalog'!$C:$C,0)),""))))</f>
        <v/>
      </c>
      <c r="H2440" s="8" t="str">
        <f aca="false">IFERROR(INDEX('TRANS'!$C:$C,MATCH($B2440,'TRANS'!$A:$A,0)),IFERROR(INDEX('Catalog'!$B:$B,MATCH($G2440,'Catalog'!$A:$A,0)),$B2440))</f>
        <v>49PS XXL</v>
      </c>
      <c r="I2440" s="8" t="str">
        <f aca="false">IF($G2440="","Unmatched","Matched")</f>
        <v>Unmatched</v>
      </c>
    </row>
    <row r="2441" customFormat="false" ht="15" hidden="false" customHeight="false" outlineLevel="0" collapsed="false">
      <c r="A2441" s="8" t="s">
        <v>918</v>
      </c>
      <c r="B2441" s="8" t="s">
        <v>709</v>
      </c>
      <c r="C2441" s="19" t="n">
        <v>6</v>
      </c>
      <c r="D2441" s="19" t="n">
        <v>1114.22</v>
      </c>
      <c r="E2441" s="19" t="n">
        <v>6</v>
      </c>
      <c r="F2441" s="19" t="n">
        <v>1134.31</v>
      </c>
      <c r="G2441" s="8" t="n">
        <f aca="false">IFERROR(INDEX('TRANS'!$B:$B,MATCH($B2441,'TRANS'!$A:$A,0)),IFERROR(INDEX('TRANS'!$B:$B,MATCH(TRIM(SUBSTITUTE($B2441,CHAR(160)," ")),'TRANS'!$D:$D,0)),IFERROR(INDEX('Catalog'!$A:$A,MATCH($B2441,'Catalog'!$B:$B,0)),IFERROR(INDEX('Catalog'!$A:$A,MATCH(TRIM(SUBSTITUTE($B2441,CHAR(160)," ")),'Catalog'!$C:$C,0)),""))))</f>
        <v>4413117</v>
      </c>
      <c r="H2441" s="8" t="str">
        <f aca="false">IFERROR(INDEX('TRANS'!$C:$C,MATCH($B2441,'TRANS'!$A:$A,0)),IFERROR(INDEX('Catalog'!$B:$B,MATCH($G2441,'Catalog'!$A:$A,0)),$B2441))</f>
        <v>50 L מתלה אשכים לאחר ניתוח</v>
      </c>
      <c r="I2441" s="8" t="str">
        <f aca="false">IF($G2441="","Unmatched","Matched")</f>
        <v>Matched</v>
      </c>
    </row>
    <row r="2442" customFormat="false" ht="15" hidden="false" customHeight="false" outlineLevel="0" collapsed="false">
      <c r="A2442" s="8" t="s">
        <v>918</v>
      </c>
      <c r="B2442" s="8" t="s">
        <v>679</v>
      </c>
      <c r="C2442" s="19" t="n">
        <v>8</v>
      </c>
      <c r="D2442" s="19" t="n">
        <v>1575.97</v>
      </c>
      <c r="E2442" s="19" t="n">
        <v>7</v>
      </c>
      <c r="F2442" s="19" t="n">
        <v>1355.15</v>
      </c>
      <c r="G2442" s="8" t="n">
        <f aca="false">IFERROR(INDEX('TRANS'!$B:$B,MATCH($B2442,'TRANS'!$A:$A,0)),IFERROR(INDEX('TRANS'!$B:$B,MATCH(TRIM(SUBSTITUTE($B2442,CHAR(160)," ")),'TRANS'!$D:$D,0)),IFERROR(INDEX('Catalog'!$A:$A,MATCH($B2442,'Catalog'!$B:$B,0)),IFERROR(INDEX('Catalog'!$A:$A,MATCH(TRIM(SUBSTITUTE($B2442,CHAR(160)," ")),'Catalog'!$C:$C,0)),""))))</f>
        <v>4413118</v>
      </c>
      <c r="H2442" s="8" t="str">
        <f aca="false">IFERROR(INDEX('TRANS'!$C:$C,MATCH($B2442,'TRANS'!$A:$A,0)),IFERROR(INDEX('Catalog'!$B:$B,MATCH($G2442,'Catalog'!$A:$A,0)),$B2442))</f>
        <v>50 M מתלה אשכים לאחר ניתוח</v>
      </c>
      <c r="I2442" s="8" t="str">
        <f aca="false">IF($G2442="","Unmatched","Matched")</f>
        <v>Matched</v>
      </c>
    </row>
    <row r="2443" customFormat="false" ht="15" hidden="false" customHeight="false" outlineLevel="0" collapsed="false">
      <c r="A2443" s="8" t="s">
        <v>918</v>
      </c>
      <c r="B2443" s="8" t="s">
        <v>393</v>
      </c>
      <c r="C2443" s="19" t="n">
        <v>2</v>
      </c>
      <c r="D2443" s="19" t="n">
        <v>371.41</v>
      </c>
      <c r="E2443" s="19" t="n">
        <v>1</v>
      </c>
      <c r="F2443" s="19" t="n">
        <v>180.68</v>
      </c>
      <c r="G2443" s="8" t="str">
        <f aca="false">IFERROR(INDEX('TRANS'!$B:$B,MATCH($B2443,'TRANS'!$A:$A,0)),IFERROR(INDEX('TRANS'!$B:$B,MATCH(TRIM(SUBSTITUTE($B2443,CHAR(160)," ")),'TRANS'!$D:$D,0)),IFERROR(INDEX('Catalog'!$A:$A,MATCH($B2443,'Catalog'!$B:$B,0)),IFERROR(INDEX('Catalog'!$A:$A,MATCH(TRIM(SUBSTITUTE($B2443,CHAR(160)," ")),'Catalog'!$C:$C,0)),""))))</f>
        <v/>
      </c>
      <c r="H2443" s="8" t="str">
        <f aca="false">IFERROR(INDEX('TRANS'!$C:$C,MATCH($B2443,'TRANS'!$A:$A,0)),IFERROR(INDEX('Catalog'!$B:$B,MATCH($G2443,'Catalog'!$A:$A,0)),$B2443))</f>
        <v>50 S</v>
      </c>
      <c r="I2443" s="8" t="str">
        <f aca="false">IF($G2443="","Unmatched","Matched")</f>
        <v>Unmatched</v>
      </c>
    </row>
    <row r="2444" customFormat="false" ht="15" hidden="false" customHeight="false" outlineLevel="0" collapsed="false">
      <c r="A2444" s="8" t="s">
        <v>918</v>
      </c>
      <c r="B2444" s="8" t="s">
        <v>628</v>
      </c>
      <c r="C2444" s="19" t="n">
        <v>7</v>
      </c>
      <c r="D2444" s="19" t="n">
        <v>1355.13</v>
      </c>
      <c r="E2444" s="19" t="n">
        <v>7</v>
      </c>
      <c r="F2444" s="19" t="n">
        <v>1375.24</v>
      </c>
      <c r="G2444" s="8" t="n">
        <f aca="false">IFERROR(INDEX('TRANS'!$B:$B,MATCH($B2444,'TRANS'!$A:$A,0)),IFERROR(INDEX('TRANS'!$B:$B,MATCH(TRIM(SUBSTITUTE($B2444,CHAR(160)," ")),'TRANS'!$D:$D,0)),IFERROR(INDEX('Catalog'!$A:$A,MATCH($B2444,'Catalog'!$B:$B,0)),IFERROR(INDEX('Catalog'!$A:$A,MATCH(TRIM(SUBSTITUTE($B2444,CHAR(160)," ")),'Catalog'!$C:$C,0)),""))))</f>
        <v>4413119</v>
      </c>
      <c r="H2444" s="8" t="str">
        <f aca="false">IFERROR(INDEX('TRANS'!$C:$C,MATCH($B2444,'TRANS'!$A:$A,0)),IFERROR(INDEX('Catalog'!$B:$B,MATCH($G2444,'Catalog'!$A:$A,0)),$B2444))</f>
        <v>50 XL מתלה אשכים לאחר ניתוח</v>
      </c>
      <c r="I2444" s="8" t="str">
        <f aca="false">IF($G2444="","Unmatched","Matched")</f>
        <v>Matched</v>
      </c>
    </row>
    <row r="2445" customFormat="false" ht="15" hidden="false" customHeight="false" outlineLevel="0" collapsed="false">
      <c r="A2445" s="8" t="s">
        <v>918</v>
      </c>
      <c r="B2445" s="8" t="s">
        <v>968</v>
      </c>
      <c r="C2445" s="19" t="n">
        <v>1</v>
      </c>
      <c r="D2445" s="19" t="n">
        <v>200.76</v>
      </c>
      <c r="E2445" s="19" t="n">
        <v>1</v>
      </c>
      <c r="F2445" s="19" t="n">
        <v>180.69</v>
      </c>
      <c r="G2445" s="8" t="str">
        <f aca="false">IFERROR(INDEX('TRANS'!$B:$B,MATCH($B2445,'TRANS'!$A:$A,0)),IFERROR(INDEX('TRANS'!$B:$B,MATCH(TRIM(SUBSTITUTE($B2445,CHAR(160)," ")),'TRANS'!$D:$D,0)),IFERROR(INDEX('Catalog'!$A:$A,MATCH($B2445,'Catalog'!$B:$B,0)),IFERROR(INDEX('Catalog'!$A:$A,MATCH(TRIM(SUBSTITUTE($B2445,CHAR(160)," ")),'Catalog'!$C:$C,0)),""))))</f>
        <v/>
      </c>
      <c r="H2445" s="8" t="str">
        <f aca="false">IFERROR(INDEX('TRANS'!$C:$C,MATCH($B2445,'TRANS'!$A:$A,0)),IFERROR(INDEX('Catalog'!$B:$B,MATCH($G2445,'Catalog'!$A:$A,0)),$B2445))</f>
        <v>50 XS</v>
      </c>
      <c r="I2445" s="8" t="str">
        <f aca="false">IF($G2445="","Unmatched","Matched")</f>
        <v>Unmatched</v>
      </c>
    </row>
    <row r="2446" customFormat="false" ht="15" hidden="false" customHeight="false" outlineLevel="0" collapsed="false">
      <c r="A2446" s="8" t="s">
        <v>918</v>
      </c>
      <c r="B2446" s="8" t="s">
        <v>748</v>
      </c>
      <c r="C2446" s="19" t="n">
        <v>2</v>
      </c>
      <c r="D2446" s="19" t="n">
        <v>401.52</v>
      </c>
      <c r="E2446" s="19" t="n">
        <v>2</v>
      </c>
      <c r="F2446" s="19" t="n">
        <v>381.44</v>
      </c>
      <c r="G2446" s="8" t="str">
        <f aca="false">IFERROR(INDEX('TRANS'!$B:$B,MATCH($B2446,'TRANS'!$A:$A,0)),IFERROR(INDEX('TRANS'!$B:$B,MATCH(TRIM(SUBSTITUTE($B2446,CHAR(160)," ")),'TRANS'!$D:$D,0)),IFERROR(INDEX('Catalog'!$A:$A,MATCH($B2446,'Catalog'!$B:$B,0)),IFERROR(INDEX('Catalog'!$A:$A,MATCH(TRIM(SUBSTITUTE($B2446,CHAR(160)," ")),'Catalog'!$C:$C,0)),""))))</f>
        <v/>
      </c>
      <c r="H2446" s="8" t="str">
        <f aca="false">IFERROR(INDEX('TRANS'!$C:$C,MATCH($B2446,'TRANS'!$A:$A,0)),IFERROR(INDEX('Catalog'!$B:$B,MATCH($G2446,'Catalog'!$A:$A,0)),$B2446))</f>
        <v>50 XXL</v>
      </c>
      <c r="I2446" s="8" t="str">
        <f aca="false">IF($G2446="","Unmatched","Matched")</f>
        <v>Unmatched</v>
      </c>
    </row>
    <row r="2447" customFormat="false" ht="15" hidden="false" customHeight="false" outlineLevel="0" collapsed="false">
      <c r="A2447" s="8" t="s">
        <v>918</v>
      </c>
      <c r="B2447" s="8" t="s">
        <v>599</v>
      </c>
      <c r="C2447" s="19" t="n">
        <v>4</v>
      </c>
      <c r="D2447" s="19" t="n">
        <v>594.59</v>
      </c>
      <c r="E2447" s="19" t="n">
        <v>2</v>
      </c>
      <c r="F2447" s="19" t="n">
        <v>304.92</v>
      </c>
      <c r="G2447" s="8" t="str">
        <f aca="false">IFERROR(INDEX('TRANS'!$B:$B,MATCH($B2447,'TRANS'!$A:$A,0)),IFERROR(INDEX('TRANS'!$B:$B,MATCH(TRIM(SUBSTITUTE($B2447,CHAR(160)," ")),'TRANS'!$D:$D,0)),IFERROR(INDEX('Catalog'!$A:$A,MATCH($B2447,'Catalog'!$B:$B,0)),IFERROR(INDEX('Catalog'!$A:$A,MATCH(TRIM(SUBSTITUTE($B2447,CHAR(160)," ")),'Catalog'!$C:$C,0)),""))))</f>
        <v/>
      </c>
      <c r="H2447" s="8" t="str">
        <f aca="false">IFERROR(INDEX('TRANS'!$C:$C,MATCH($B2447,'TRANS'!$A:$A,0)),IFERROR(INDEX('Catalog'!$B:$B,MATCH($G2447,'Catalog'!$A:$A,0)),$B2447))</f>
        <v>55 M</v>
      </c>
      <c r="I2447" s="8" t="str">
        <f aca="false">IF($G2447="","Unmatched","Matched")</f>
        <v>Unmatched</v>
      </c>
    </row>
    <row r="2448" customFormat="false" ht="15" hidden="false" customHeight="false" outlineLevel="0" collapsed="false">
      <c r="A2448" s="8" t="s">
        <v>918</v>
      </c>
      <c r="B2448" s="8" t="s">
        <v>223</v>
      </c>
      <c r="C2448" s="19" t="n">
        <v>0</v>
      </c>
      <c r="D2448" s="19" t="n">
        <v>0</v>
      </c>
      <c r="E2448" s="19" t="n">
        <v>3</v>
      </c>
      <c r="F2448" s="19" t="n">
        <v>442.13</v>
      </c>
      <c r="G2448" s="8" t="n">
        <f aca="false">IFERROR(INDEX('TRANS'!$B:$B,MATCH($B2448,'TRANS'!$A:$A,0)),IFERROR(INDEX('TRANS'!$B:$B,MATCH(TRIM(SUBSTITUTE($B2448,CHAR(160)," ")),'TRANS'!$D:$D,0)),IFERROR(INDEX('Catalog'!$A:$A,MATCH($B2448,'Catalog'!$B:$B,0)),IFERROR(INDEX('Catalog'!$A:$A,MATCH(TRIM(SUBSTITUTE($B2448,CHAR(160)," ")),'Catalog'!$C:$C,0)),""))))</f>
        <v>4413124</v>
      </c>
      <c r="H2448" s="8" t="str">
        <f aca="false">IFERROR(INDEX('TRANS'!$C:$C,MATCH($B2448,'TRANS'!$A:$A,0)),IFERROR(INDEX('Catalog'!$B:$B,MATCH($G2448,'Catalog'!$A:$A,0)),$B2448))</f>
        <v>55 XL מתלה אשכים לספורטאים</v>
      </c>
      <c r="I2448" s="8" t="str">
        <f aca="false">IF($G2448="","Unmatched","Matched")</f>
        <v>Matched</v>
      </c>
    </row>
    <row r="2449" customFormat="false" ht="15" hidden="false" customHeight="false" outlineLevel="0" collapsed="false">
      <c r="A2449" s="8" t="s">
        <v>918</v>
      </c>
      <c r="B2449" s="8" t="s">
        <v>726</v>
      </c>
      <c r="C2449" s="19" t="n">
        <v>4</v>
      </c>
      <c r="D2449" s="19" t="n">
        <v>762.31</v>
      </c>
      <c r="E2449" s="19" t="n">
        <v>3</v>
      </c>
      <c r="F2449" s="19" t="n">
        <v>457.38</v>
      </c>
      <c r="G2449" s="8" t="str">
        <f aca="false">IFERROR(INDEX('TRANS'!$B:$B,MATCH($B2449,'TRANS'!$A:$A,0)),IFERROR(INDEX('TRANS'!$B:$B,MATCH(TRIM(SUBSTITUTE($B2449,CHAR(160)," ")),'TRANS'!$D:$D,0)),IFERROR(INDEX('Catalog'!$A:$A,MATCH($B2449,'Catalog'!$B:$B,0)),IFERROR(INDEX('Catalog'!$A:$A,MATCH(TRIM(SUBSTITUTE($B2449,CHAR(160)," ")),'Catalog'!$C:$C,0)),""))))</f>
        <v/>
      </c>
      <c r="H2449" s="8" t="str">
        <f aca="false">IFERROR(INDEX('TRANS'!$C:$C,MATCH($B2449,'TRANS'!$A:$A,0)),IFERROR(INDEX('Catalog'!$B:$B,MATCH($G2449,'Catalog'!$A:$A,0)),$B2449))</f>
        <v>55 XXL</v>
      </c>
      <c r="I2449" s="8" t="str">
        <f aca="false">IF($G2449="","Unmatched","Matched")</f>
        <v>Unmatched</v>
      </c>
    </row>
    <row r="2450" customFormat="false" ht="15" hidden="false" customHeight="false" outlineLevel="0" collapsed="false">
      <c r="A2450" s="8" t="s">
        <v>918</v>
      </c>
      <c r="B2450" s="8" t="s">
        <v>600</v>
      </c>
      <c r="C2450" s="19" t="n">
        <v>0</v>
      </c>
      <c r="D2450" s="19" t="n">
        <v>0</v>
      </c>
      <c r="E2450" s="19" t="n">
        <v>1</v>
      </c>
      <c r="F2450" s="19" t="n">
        <v>129.59</v>
      </c>
      <c r="G2450" s="8" t="str">
        <f aca="false">IFERROR(INDEX('TRANS'!$B:$B,MATCH($B2450,'TRANS'!$A:$A,0)),IFERROR(INDEX('TRANS'!$B:$B,MATCH(TRIM(SUBSTITUTE($B2450,CHAR(160)," ")),'TRANS'!$D:$D,0)),IFERROR(INDEX('Catalog'!$A:$A,MATCH($B2450,'Catalog'!$B:$B,0)),IFERROR(INDEX('Catalog'!$A:$A,MATCH(TRIM(SUBSTITUTE($B2450,CHAR(160)," ")),'Catalog'!$C:$C,0)),""))))</f>
        <v/>
      </c>
      <c r="H2450" s="8" t="str">
        <f aca="false">IFERROR(INDEX('TRANS'!$C:$C,MATCH($B2450,'TRANS'!$A:$A,0)),IFERROR(INDEX('Catalog'!$B:$B,MATCH($G2450,'Catalog'!$A:$A,0)),$B2450))</f>
        <v>56B M</v>
      </c>
      <c r="I2450" s="8" t="str">
        <f aca="false">IF($G2450="","Unmatched","Matched")</f>
        <v>Unmatched</v>
      </c>
    </row>
    <row r="2451" customFormat="false" ht="15" hidden="false" customHeight="false" outlineLevel="0" collapsed="false">
      <c r="A2451" s="8" t="s">
        <v>918</v>
      </c>
      <c r="B2451" s="8" t="s">
        <v>394</v>
      </c>
      <c r="C2451" s="19" t="n">
        <v>3</v>
      </c>
      <c r="D2451" s="19" t="n">
        <v>1615.09</v>
      </c>
      <c r="E2451" s="19" t="n">
        <v>2</v>
      </c>
      <c r="F2451" s="19" t="n">
        <v>1078.65</v>
      </c>
      <c r="G2451" s="8" t="n">
        <f aca="false">IFERROR(INDEX('TRANS'!$B:$B,MATCH($B2451,'TRANS'!$A:$A,0)),IFERROR(INDEX('TRANS'!$B:$B,MATCH(TRIM(SUBSTITUTE($B2451,CHAR(160)," ")),'TRANS'!$D:$D,0)),IFERROR(INDEX('Catalog'!$A:$A,MATCH($B2451,'Catalog'!$B:$B,0)),IFERROR(INDEX('Catalog'!$A:$A,MATCH(TRIM(SUBSTITUTE($B2451,CHAR(160)," ")),'Catalog'!$C:$C,0)),""))))</f>
        <v>4408071</v>
      </c>
      <c r="H2451" s="8" t="str">
        <f aca="false">IFERROR(INDEX('TRANS'!$C:$C,MATCH($B2451,'TRANS'!$A:$A,0)),IFERROR(INDEX('Catalog'!$B:$B,MATCH($G2451,'Catalog'!$A:$A,0)),$B2451))</f>
        <v>59D L חגורת שבר דו צדדי</v>
      </c>
      <c r="I2451" s="8" t="str">
        <f aca="false">IF($G2451="","Unmatched","Matched")</f>
        <v>Matched</v>
      </c>
    </row>
    <row r="2452" customFormat="false" ht="15" hidden="false" customHeight="false" outlineLevel="0" collapsed="false">
      <c r="A2452" s="8" t="s">
        <v>918</v>
      </c>
      <c r="B2452" s="8" t="s">
        <v>490</v>
      </c>
      <c r="C2452" s="19" t="n">
        <v>10</v>
      </c>
      <c r="D2452" s="19" t="n">
        <v>5220.04</v>
      </c>
      <c r="E2452" s="19" t="n">
        <v>5</v>
      </c>
      <c r="F2452" s="19" t="n">
        <v>2668.24</v>
      </c>
      <c r="G2452" s="8" t="n">
        <f aca="false">IFERROR(INDEX('TRANS'!$B:$B,MATCH($B2452,'TRANS'!$A:$A,0)),IFERROR(INDEX('TRANS'!$B:$B,MATCH(TRIM(SUBSTITUTE($B2452,CHAR(160)," ")),'TRANS'!$D:$D,0)),IFERROR(INDEX('Catalog'!$A:$A,MATCH($B2452,'Catalog'!$B:$B,0)),IFERROR(INDEX('Catalog'!$A:$A,MATCH(TRIM(SUBSTITUTE($B2452,CHAR(160)," ")),'Catalog'!$C:$C,0)),""))))</f>
        <v>4408072</v>
      </c>
      <c r="H2452" s="8" t="str">
        <f aca="false">IFERROR(INDEX('TRANS'!$C:$C,MATCH($B2452,'TRANS'!$A:$A,0)),IFERROR(INDEX('Catalog'!$B:$B,MATCH($G2452,'Catalog'!$A:$A,0)),$B2452))</f>
        <v>59D M חגורת שבר דו צדדי</v>
      </c>
      <c r="I2452" s="8" t="str">
        <f aca="false">IF($G2452="","Unmatched","Matched")</f>
        <v>Matched</v>
      </c>
    </row>
    <row r="2453" customFormat="false" ht="15" hidden="false" customHeight="false" outlineLevel="0" collapsed="false">
      <c r="A2453" s="8" t="s">
        <v>918</v>
      </c>
      <c r="B2453" s="8" t="s">
        <v>491</v>
      </c>
      <c r="C2453" s="19" t="n">
        <v>1</v>
      </c>
      <c r="D2453" s="19" t="n">
        <v>567.71</v>
      </c>
      <c r="E2453" s="19" t="n">
        <v>0</v>
      </c>
      <c r="F2453" s="19" t="n">
        <v>0</v>
      </c>
      <c r="G2453" s="8" t="n">
        <f aca="false">IFERROR(INDEX('TRANS'!$B:$B,MATCH($B2453,'TRANS'!$A:$A,0)),IFERROR(INDEX('TRANS'!$B:$B,MATCH(TRIM(SUBSTITUTE($B2453,CHAR(160)," ")),'TRANS'!$D:$D,0)),IFERROR(INDEX('Catalog'!$A:$A,MATCH($B2453,'Catalog'!$B:$B,0)),IFERROR(INDEX('Catalog'!$A:$A,MATCH(TRIM(SUBSTITUTE($B2453,CHAR(160)," ")),'Catalog'!$C:$C,0)),""))))</f>
        <v>4408070</v>
      </c>
      <c r="H2453" s="8" t="str">
        <f aca="false">IFERROR(INDEX('TRANS'!$C:$C,MATCH($B2453,'TRANS'!$A:$A,0)),IFERROR(INDEX('Catalog'!$B:$B,MATCH($G2453,'Catalog'!$A:$A,0)),$B2453))</f>
        <v>59D S חגורת שבר דו צדדי</v>
      </c>
      <c r="I2453" s="8" t="str">
        <f aca="false">IF($G2453="","Unmatched","Matched")</f>
        <v>Matched</v>
      </c>
    </row>
    <row r="2454" customFormat="false" ht="15" hidden="false" customHeight="false" outlineLevel="0" collapsed="false">
      <c r="A2454" s="8" t="s">
        <v>918</v>
      </c>
      <c r="B2454" s="8" t="s">
        <v>718</v>
      </c>
      <c r="C2454" s="19" t="n">
        <v>1</v>
      </c>
      <c r="D2454" s="19" t="n">
        <v>567.71</v>
      </c>
      <c r="E2454" s="19" t="n">
        <v>2</v>
      </c>
      <c r="F2454" s="19" t="n">
        <v>1078.65</v>
      </c>
      <c r="G2454" s="8" t="n">
        <f aca="false">IFERROR(INDEX('TRANS'!$B:$B,MATCH($B2454,'TRANS'!$A:$A,0)),IFERROR(INDEX('TRANS'!$B:$B,MATCH(TRIM(SUBSTITUTE($B2454,CHAR(160)," ")),'TRANS'!$D:$D,0)),IFERROR(INDEX('Catalog'!$A:$A,MATCH($B2454,'Catalog'!$B:$B,0)),IFERROR(INDEX('Catalog'!$A:$A,MATCH(TRIM(SUBSTITUTE($B2454,CHAR(160)," ")),'Catalog'!$C:$C,0)),""))))</f>
        <v>4408073</v>
      </c>
      <c r="H2454" s="8" t="str">
        <f aca="false">IFERROR(INDEX('TRANS'!$C:$C,MATCH($B2454,'TRANS'!$A:$A,0)),IFERROR(INDEX('Catalog'!$B:$B,MATCH($G2454,'Catalog'!$A:$A,0)),$B2454))</f>
        <v>59D XL חגורת שבר דו צדדי</v>
      </c>
      <c r="I2454" s="8" t="str">
        <f aca="false">IF($G2454="","Unmatched","Matched")</f>
        <v>Matched</v>
      </c>
    </row>
    <row r="2455" customFormat="false" ht="15" hidden="false" customHeight="false" outlineLevel="0" collapsed="false">
      <c r="A2455" s="8" t="s">
        <v>918</v>
      </c>
      <c r="B2455" s="8" t="s">
        <v>224</v>
      </c>
      <c r="C2455" s="19" t="n">
        <v>7</v>
      </c>
      <c r="D2455" s="19" t="n">
        <v>2193.44</v>
      </c>
      <c r="E2455" s="19" t="n">
        <v>4</v>
      </c>
      <c r="F2455" s="19" t="n">
        <v>1355.6</v>
      </c>
      <c r="G2455" s="8" t="n">
        <f aca="false">IFERROR(INDEX('TRANS'!$B:$B,MATCH($B2455,'TRANS'!$A:$A,0)),IFERROR(INDEX('TRANS'!$B:$B,MATCH(TRIM(SUBSTITUTE($B2455,CHAR(160)," ")),'TRANS'!$D:$D,0)),IFERROR(INDEX('Catalog'!$A:$A,MATCH($B2455,'Catalog'!$B:$B,0)),IFERROR(INDEX('Catalog'!$A:$A,MATCH(TRIM(SUBSTITUTE($B2455,CHAR(160)," ")),'Catalog'!$C:$C,0)),""))))</f>
        <v>4408076</v>
      </c>
      <c r="H2455" s="8" t="str">
        <f aca="false">IFERROR(INDEX('TRANS'!$C:$C,MATCH($B2455,'TRANS'!$A:$A,0)),IFERROR(INDEX('Catalog'!$B:$B,MATCH($G2455,'Catalog'!$A:$A,0)),$B2455))</f>
        <v>59L L חגורת שבר לצד שמאל</v>
      </c>
      <c r="I2455" s="8" t="str">
        <f aca="false">IF($G2455="","Unmatched","Matched")</f>
        <v>Matched</v>
      </c>
    </row>
    <row r="2456" customFormat="false" ht="15" hidden="false" customHeight="false" outlineLevel="0" collapsed="false">
      <c r="A2456" s="8" t="s">
        <v>918</v>
      </c>
      <c r="B2456" s="8" t="s">
        <v>395</v>
      </c>
      <c r="C2456" s="19" t="n">
        <v>19</v>
      </c>
      <c r="D2456" s="19" t="n">
        <v>6160.04</v>
      </c>
      <c r="E2456" s="19" t="n">
        <v>8</v>
      </c>
      <c r="F2456" s="19" t="n">
        <v>2643.42</v>
      </c>
      <c r="G2456" s="8" t="n">
        <f aca="false">IFERROR(INDEX('TRANS'!$B:$B,MATCH($B2456,'TRANS'!$A:$A,0)),IFERROR(INDEX('TRANS'!$B:$B,MATCH(TRIM(SUBSTITUTE($B2456,CHAR(160)," ")),'TRANS'!$D:$D,0)),IFERROR(INDEX('Catalog'!$A:$A,MATCH($B2456,'Catalog'!$B:$B,0)),IFERROR(INDEX('Catalog'!$A:$A,MATCH(TRIM(SUBSTITUTE($B2456,CHAR(160)," ")),'Catalog'!$C:$C,0)),""))))</f>
        <v>4408077</v>
      </c>
      <c r="H2456" s="8" t="str">
        <f aca="false">IFERROR(INDEX('TRANS'!$C:$C,MATCH($B2456,'TRANS'!$A:$A,0)),IFERROR(INDEX('Catalog'!$B:$B,MATCH($G2456,'Catalog'!$A:$A,0)),$B2456))</f>
        <v>59L M חגורת שבר לצד שמאל</v>
      </c>
      <c r="I2456" s="8" t="str">
        <f aca="false">IF($G2456="","Unmatched","Matched")</f>
        <v>Matched</v>
      </c>
    </row>
    <row r="2457" customFormat="false" ht="15" hidden="false" customHeight="false" outlineLevel="0" collapsed="false">
      <c r="A2457" s="8" t="s">
        <v>918</v>
      </c>
      <c r="B2457" s="8" t="s">
        <v>396</v>
      </c>
      <c r="C2457" s="19" t="n">
        <v>5</v>
      </c>
      <c r="D2457" s="19" t="n">
        <v>1575.88</v>
      </c>
      <c r="E2457" s="19" t="n">
        <v>1</v>
      </c>
      <c r="F2457" s="19" t="n">
        <v>305.01</v>
      </c>
      <c r="G2457" s="8" t="n">
        <f aca="false">IFERROR(INDEX('TRANS'!$B:$B,MATCH($B2457,'TRANS'!$A:$A,0)),IFERROR(INDEX('TRANS'!$B:$B,MATCH(TRIM(SUBSTITUTE($B2457,CHAR(160)," ")),'TRANS'!$D:$D,0)),IFERROR(INDEX('Catalog'!$A:$A,MATCH($B2457,'Catalog'!$B:$B,0)),IFERROR(INDEX('Catalog'!$A:$A,MATCH(TRIM(SUBSTITUTE($B2457,CHAR(160)," ")),'Catalog'!$C:$C,0)),""))))</f>
        <v>4408075</v>
      </c>
      <c r="H2457" s="8" t="str">
        <f aca="false">IFERROR(INDEX('TRANS'!$C:$C,MATCH($B2457,'TRANS'!$A:$A,0)),IFERROR(INDEX('Catalog'!$B:$B,MATCH($G2457,'Catalog'!$A:$A,0)),$B2457))</f>
        <v>59L S חגורת שבר לצד שמאל</v>
      </c>
      <c r="I2457" s="8" t="str">
        <f aca="false">IF($G2457="","Unmatched","Matched")</f>
        <v>Matched</v>
      </c>
    </row>
    <row r="2458" customFormat="false" ht="15" hidden="false" customHeight="false" outlineLevel="0" collapsed="false">
      <c r="A2458" s="8" t="s">
        <v>918</v>
      </c>
      <c r="B2458" s="8" t="s">
        <v>397</v>
      </c>
      <c r="C2458" s="19" t="n">
        <v>1</v>
      </c>
      <c r="D2458" s="19" t="n">
        <v>288.06</v>
      </c>
      <c r="E2458" s="19" t="n">
        <v>3</v>
      </c>
      <c r="F2458" s="19" t="n">
        <v>915.03</v>
      </c>
      <c r="G2458" s="8" t="n">
        <f aca="false">IFERROR(INDEX('TRANS'!$B:$B,MATCH($B2458,'TRANS'!$A:$A,0)),IFERROR(INDEX('TRANS'!$B:$B,MATCH(TRIM(SUBSTITUTE($B2458,CHAR(160)," ")),'TRANS'!$D:$D,0)),IFERROR(INDEX('Catalog'!$A:$A,MATCH($B2458,'Catalog'!$B:$B,0)),IFERROR(INDEX('Catalog'!$A:$A,MATCH(TRIM(SUBSTITUTE($B2458,CHAR(160)," ")),'Catalog'!$C:$C,0)),""))))</f>
        <v>4408078</v>
      </c>
      <c r="H2458" s="8" t="str">
        <f aca="false">IFERROR(INDEX('TRANS'!$C:$C,MATCH($B2458,'TRANS'!$A:$A,0)),IFERROR(INDEX('Catalog'!$B:$B,MATCH($G2458,'Catalog'!$A:$A,0)),$B2458))</f>
        <v>59L XLחגורת שבר לצד שמאל</v>
      </c>
      <c r="I2458" s="8" t="str">
        <f aca="false">IF($G2458="","Unmatched","Matched")</f>
        <v>Matched</v>
      </c>
    </row>
    <row r="2459" customFormat="false" ht="15" hidden="false" customHeight="false" outlineLevel="0" collapsed="false">
      <c r="A2459" s="8" t="s">
        <v>918</v>
      </c>
      <c r="B2459" s="8" t="s">
        <v>398</v>
      </c>
      <c r="C2459" s="19" t="n">
        <v>12</v>
      </c>
      <c r="D2459" s="19" t="n">
        <v>3763.9</v>
      </c>
      <c r="E2459" s="19" t="n">
        <v>5</v>
      </c>
      <c r="F2459" s="19" t="n">
        <v>1609.78</v>
      </c>
      <c r="G2459" s="8" t="n">
        <f aca="false">IFERROR(INDEX('TRANS'!$B:$B,MATCH($B2459,'TRANS'!$A:$A,0)),IFERROR(INDEX('TRANS'!$B:$B,MATCH(TRIM(SUBSTITUTE($B2459,CHAR(160)," ")),'TRANS'!$D:$D,0)),IFERROR(INDEX('Catalog'!$A:$A,MATCH($B2459,'Catalog'!$B:$B,0)),IFERROR(INDEX('Catalog'!$A:$A,MATCH(TRIM(SUBSTITUTE($B2459,CHAR(160)," ")),'Catalog'!$C:$C,0)),""))))</f>
        <v>4408080</v>
      </c>
      <c r="H2459" s="8" t="str">
        <f aca="false">IFERROR(INDEX('TRANS'!$C:$C,MATCH($B2459,'TRANS'!$A:$A,0)),IFERROR(INDEX('Catalog'!$B:$B,MATCH($G2459,'Catalog'!$A:$A,0)),$B2459))</f>
        <v>59R L חגורת שבר לצד ימין</v>
      </c>
      <c r="I2459" s="8" t="str">
        <f aca="false">IF($G2459="","Unmatched","Matched")</f>
        <v>Matched</v>
      </c>
    </row>
    <row r="2460" customFormat="false" ht="15" hidden="false" customHeight="false" outlineLevel="0" collapsed="false">
      <c r="A2460" s="8" t="s">
        <v>918</v>
      </c>
      <c r="B2460" s="8" t="s">
        <v>226</v>
      </c>
      <c r="C2460" s="19" t="n">
        <v>22</v>
      </c>
      <c r="D2460" s="19" t="n">
        <v>6832</v>
      </c>
      <c r="E2460" s="19" t="n">
        <v>6</v>
      </c>
      <c r="F2460" s="19" t="n">
        <v>2033.4</v>
      </c>
      <c r="G2460" s="8" t="n">
        <f aca="false">IFERROR(INDEX('TRANS'!$B:$B,MATCH($B2460,'TRANS'!$A:$A,0)),IFERROR(INDEX('TRANS'!$B:$B,MATCH(TRIM(SUBSTITUTE($B2460,CHAR(160)," ")),'TRANS'!$D:$D,0)),IFERROR(INDEX('Catalog'!$A:$A,MATCH($B2460,'Catalog'!$B:$B,0)),IFERROR(INDEX('Catalog'!$A:$A,MATCH(TRIM(SUBSTITUTE($B2460,CHAR(160)," ")),'Catalog'!$C:$C,0)),""))))</f>
        <v>4408081</v>
      </c>
      <c r="H2460" s="8" t="str">
        <f aca="false">IFERROR(INDEX('TRANS'!$C:$C,MATCH($B2460,'TRANS'!$A:$A,0)),IFERROR(INDEX('Catalog'!$B:$B,MATCH($G2460,'Catalog'!$A:$A,0)),$B2460))</f>
        <v>59R M חגורת שבר לצד ימין</v>
      </c>
      <c r="I2460" s="8" t="str">
        <f aca="false">IF($G2460="","Unmatched","Matched")</f>
        <v>Matched</v>
      </c>
    </row>
    <row r="2461" customFormat="false" ht="15" hidden="false" customHeight="false" outlineLevel="0" collapsed="false">
      <c r="A2461" s="8" t="s">
        <v>918</v>
      </c>
      <c r="B2461" s="8" t="s">
        <v>227</v>
      </c>
      <c r="C2461" s="19" t="n">
        <v>7</v>
      </c>
      <c r="D2461" s="19" t="n">
        <v>2118.1</v>
      </c>
      <c r="E2461" s="19" t="n">
        <v>5</v>
      </c>
      <c r="F2461" s="19" t="n">
        <v>1660.61</v>
      </c>
      <c r="G2461" s="8" t="n">
        <f aca="false">IFERROR(INDEX('TRANS'!$B:$B,MATCH($B2461,'TRANS'!$A:$A,0)),IFERROR(INDEX('TRANS'!$B:$B,MATCH(TRIM(SUBSTITUTE($B2461,CHAR(160)," ")),'TRANS'!$D:$D,0)),IFERROR(INDEX('Catalog'!$A:$A,MATCH($B2461,'Catalog'!$B:$B,0)),IFERROR(INDEX('Catalog'!$A:$A,MATCH(TRIM(SUBSTITUTE($B2461,CHAR(160)," ")),'Catalog'!$C:$C,0)),""))))</f>
        <v>4408079</v>
      </c>
      <c r="H2461" s="8" t="str">
        <f aca="false">IFERROR(INDEX('TRANS'!$C:$C,MATCH($B2461,'TRANS'!$A:$A,0)),IFERROR(INDEX('Catalog'!$B:$B,MATCH($G2461,'Catalog'!$A:$A,0)),$B2461))</f>
        <v>59R S חגורת שבר לצד ימין</v>
      </c>
      <c r="I2461" s="8" t="str">
        <f aca="false">IF($G2461="","Unmatched","Matched")</f>
        <v>Matched</v>
      </c>
    </row>
    <row r="2462" customFormat="false" ht="15" hidden="false" customHeight="false" outlineLevel="0" collapsed="false">
      <c r="A2462" s="8" t="s">
        <v>918</v>
      </c>
      <c r="B2462" s="8" t="s">
        <v>399</v>
      </c>
      <c r="C2462" s="19" t="n">
        <v>5</v>
      </c>
      <c r="D2462" s="19" t="n">
        <v>1643.66</v>
      </c>
      <c r="E2462" s="19" t="n">
        <v>2</v>
      </c>
      <c r="F2462" s="19" t="n">
        <v>677.8</v>
      </c>
      <c r="G2462" s="8" t="n">
        <f aca="false">IFERROR(INDEX('TRANS'!$B:$B,MATCH($B2462,'TRANS'!$A:$A,0)),IFERROR(INDEX('TRANS'!$B:$B,MATCH(TRIM(SUBSTITUTE($B2462,CHAR(160)," ")),'TRANS'!$D:$D,0)),IFERROR(INDEX('Catalog'!$A:$A,MATCH($B2462,'Catalog'!$B:$B,0)),IFERROR(INDEX('Catalog'!$A:$A,MATCH(TRIM(SUBSTITUTE($B2462,CHAR(160)," ")),'Catalog'!$C:$C,0)),""))))</f>
        <v>4408082</v>
      </c>
      <c r="H2462" s="8" t="str">
        <f aca="false">IFERROR(INDEX('TRANS'!$C:$C,MATCH($B2462,'TRANS'!$A:$A,0)),IFERROR(INDEX('Catalog'!$B:$B,MATCH($G2462,'Catalog'!$A:$A,0)),$B2462))</f>
        <v>59R XL חגורת שבר לצד ימין</v>
      </c>
      <c r="I2462" s="8" t="str">
        <f aca="false">IF($G2462="","Unmatched","Matched")</f>
        <v>Matched</v>
      </c>
    </row>
    <row r="2463" customFormat="false" ht="15" hidden="false" customHeight="false" outlineLevel="0" collapsed="false">
      <c r="A2463" s="8" t="s">
        <v>918</v>
      </c>
      <c r="B2463" s="8" t="s">
        <v>749</v>
      </c>
      <c r="C2463" s="19" t="n">
        <v>0</v>
      </c>
      <c r="D2463" s="19" t="n">
        <v>0</v>
      </c>
      <c r="E2463" s="19" t="n">
        <v>2</v>
      </c>
      <c r="F2463" s="19" t="n">
        <v>1078.65</v>
      </c>
      <c r="G2463" s="8" t="str">
        <f aca="false">IFERROR(INDEX('TRANS'!$B:$B,MATCH($B2463,'TRANS'!$A:$A,0)),IFERROR(INDEX('TRANS'!$B:$B,MATCH(TRIM(SUBSTITUTE($B2463,CHAR(160)," ")),'TRANS'!$D:$D,0)),IFERROR(INDEX('Catalog'!$A:$A,MATCH($B2463,'Catalog'!$B:$B,0)),IFERROR(INDEX('Catalog'!$A:$A,MATCH(TRIM(SUBSTITUTE($B2463,CHAR(160)," ")),'Catalog'!$C:$C,0)),""))))</f>
        <v/>
      </c>
      <c r="H2463" s="8" t="str">
        <f aca="false">IFERROR(INDEX('TRANS'!$C:$C,MATCH($B2463,'TRANS'!$A:$A,0)),IFERROR(INDEX('Catalog'!$B:$B,MATCH($G2463,'Catalog'!$A:$A,0)),$B2463))</f>
        <v>59DB L</v>
      </c>
      <c r="I2463" s="8" t="str">
        <f aca="false">IF($G2463="","Unmatched","Matched")</f>
        <v>Unmatched</v>
      </c>
    </row>
    <row r="2464" customFormat="false" ht="15" hidden="false" customHeight="false" outlineLevel="0" collapsed="false">
      <c r="A2464" s="8" t="s">
        <v>918</v>
      </c>
      <c r="B2464" s="8" t="s">
        <v>750</v>
      </c>
      <c r="C2464" s="19" t="n">
        <v>0</v>
      </c>
      <c r="D2464" s="19" t="n">
        <v>0</v>
      </c>
      <c r="E2464" s="19" t="n">
        <v>2</v>
      </c>
      <c r="F2464" s="19" t="n">
        <v>993.5</v>
      </c>
      <c r="G2464" s="8" t="str">
        <f aca="false">IFERROR(INDEX('TRANS'!$B:$B,MATCH($B2464,'TRANS'!$A:$A,0)),IFERROR(INDEX('TRANS'!$B:$B,MATCH(TRIM(SUBSTITUTE($B2464,CHAR(160)," ")),'TRANS'!$D:$D,0)),IFERROR(INDEX('Catalog'!$A:$A,MATCH($B2464,'Catalog'!$B:$B,0)),IFERROR(INDEX('Catalog'!$A:$A,MATCH(TRIM(SUBSTITUTE($B2464,CHAR(160)," ")),'Catalog'!$C:$C,0)),""))))</f>
        <v/>
      </c>
      <c r="H2464" s="8" t="str">
        <f aca="false">IFERROR(INDEX('TRANS'!$C:$C,MATCH($B2464,'TRANS'!$A:$A,0)),IFERROR(INDEX('Catalog'!$B:$B,MATCH($G2464,'Catalog'!$A:$A,0)),$B2464))</f>
        <v>59DB M</v>
      </c>
      <c r="I2464" s="8" t="str">
        <f aca="false">IF($G2464="","Unmatched","Matched")</f>
        <v>Unmatched</v>
      </c>
    </row>
    <row r="2465" customFormat="false" ht="15" hidden="false" customHeight="false" outlineLevel="0" collapsed="false">
      <c r="A2465" s="8" t="s">
        <v>918</v>
      </c>
      <c r="B2465" s="8" t="s">
        <v>969</v>
      </c>
      <c r="C2465" s="19" t="n">
        <v>0</v>
      </c>
      <c r="D2465" s="19" t="n">
        <v>0</v>
      </c>
      <c r="E2465" s="19" t="n">
        <v>1</v>
      </c>
      <c r="F2465" s="19" t="n">
        <v>567.71</v>
      </c>
      <c r="G2465" s="8" t="str">
        <f aca="false">IFERROR(INDEX('TRANS'!$B:$B,MATCH($B2465,'TRANS'!$A:$A,0)),IFERROR(INDEX('TRANS'!$B:$B,MATCH(TRIM(SUBSTITUTE($B2465,CHAR(160)," ")),'TRANS'!$D:$D,0)),IFERROR(INDEX('Catalog'!$A:$A,MATCH($B2465,'Catalog'!$B:$B,0)),IFERROR(INDEX('Catalog'!$A:$A,MATCH(TRIM(SUBSTITUTE($B2465,CHAR(160)," ")),'Catalog'!$C:$C,0)),""))))</f>
        <v/>
      </c>
      <c r="H2465" s="8" t="str">
        <f aca="false">IFERROR(INDEX('TRANS'!$C:$C,MATCH($B2465,'TRANS'!$A:$A,0)),IFERROR(INDEX('Catalog'!$B:$B,MATCH($G2465,'Catalog'!$A:$A,0)),$B2465))</f>
        <v>59DB S</v>
      </c>
      <c r="I2465" s="8" t="str">
        <f aca="false">IF($G2465="","Unmatched","Matched")</f>
        <v>Unmatched</v>
      </c>
    </row>
    <row r="2466" customFormat="false" ht="15" hidden="false" customHeight="false" outlineLevel="0" collapsed="false">
      <c r="A2466" s="8" t="s">
        <v>918</v>
      </c>
      <c r="B2466" s="8" t="s">
        <v>970</v>
      </c>
      <c r="C2466" s="19" t="n">
        <v>1</v>
      </c>
      <c r="D2466" s="19" t="n">
        <v>482.55</v>
      </c>
      <c r="E2466" s="19" t="n">
        <v>0</v>
      </c>
      <c r="F2466" s="19" t="n">
        <v>0</v>
      </c>
      <c r="G2466" s="8" t="str">
        <f aca="false">IFERROR(INDEX('TRANS'!$B:$B,MATCH($B2466,'TRANS'!$A:$A,0)),IFERROR(INDEX('TRANS'!$B:$B,MATCH(TRIM(SUBSTITUTE($B2466,CHAR(160)," ")),'TRANS'!$D:$D,0)),IFERROR(INDEX('Catalog'!$A:$A,MATCH($B2466,'Catalog'!$B:$B,0)),IFERROR(INDEX('Catalog'!$A:$A,MATCH(TRIM(SUBSTITUTE($B2466,CHAR(160)," ")),'Catalog'!$C:$C,0)),""))))</f>
        <v/>
      </c>
      <c r="H2466" s="8" t="str">
        <f aca="false">IFERROR(INDEX('TRANS'!$C:$C,MATCH($B2466,'TRANS'!$A:$A,0)),IFERROR(INDEX('Catalog'!$B:$B,MATCH($G2466,'Catalog'!$A:$A,0)),$B2466))</f>
        <v>59DB XL</v>
      </c>
      <c r="I2466" s="8" t="str">
        <f aca="false">IF($G2466="","Unmatched","Matched")</f>
        <v>Unmatched</v>
      </c>
    </row>
    <row r="2467" customFormat="false" ht="15" hidden="false" customHeight="false" outlineLevel="0" collapsed="false">
      <c r="A2467" s="8" t="s">
        <v>918</v>
      </c>
      <c r="B2467" s="8" t="s">
        <v>492</v>
      </c>
      <c r="C2467" s="19" t="n">
        <v>4</v>
      </c>
      <c r="D2467" s="19" t="n">
        <v>1270.87</v>
      </c>
      <c r="E2467" s="19" t="n">
        <v>3</v>
      </c>
      <c r="F2467" s="19" t="n">
        <v>965.87</v>
      </c>
      <c r="G2467" s="8" t="str">
        <f aca="false">IFERROR(INDEX('TRANS'!$B:$B,MATCH($B2467,'TRANS'!$A:$A,0)),IFERROR(INDEX('TRANS'!$B:$B,MATCH(TRIM(SUBSTITUTE($B2467,CHAR(160)," ")),'TRANS'!$D:$D,0)),IFERROR(INDEX('Catalog'!$A:$A,MATCH($B2467,'Catalog'!$B:$B,0)),IFERROR(INDEX('Catalog'!$A:$A,MATCH(TRIM(SUBSTITUTE($B2467,CHAR(160)," ")),'Catalog'!$C:$C,0)),""))))</f>
        <v/>
      </c>
      <c r="H2467" s="8" t="str">
        <f aca="false">IFERROR(INDEX('TRANS'!$C:$C,MATCH($B2467,'TRANS'!$A:$A,0)),IFERROR(INDEX('Catalog'!$B:$B,MATCH($G2467,'Catalog'!$A:$A,0)),$B2467))</f>
        <v>59LB L</v>
      </c>
      <c r="I2467" s="8" t="str">
        <f aca="false">IF($G2467="","Unmatched","Matched")</f>
        <v>Unmatched</v>
      </c>
    </row>
    <row r="2468" customFormat="false" ht="15" hidden="false" customHeight="false" outlineLevel="0" collapsed="false">
      <c r="A2468" s="8" t="s">
        <v>918</v>
      </c>
      <c r="B2468" s="8" t="s">
        <v>971</v>
      </c>
      <c r="C2468" s="19" t="n">
        <v>0</v>
      </c>
      <c r="D2468" s="19" t="n">
        <v>0</v>
      </c>
      <c r="E2468" s="19" t="n">
        <v>5</v>
      </c>
      <c r="F2468" s="19" t="n">
        <v>1660.61</v>
      </c>
      <c r="G2468" s="8" t="str">
        <f aca="false">IFERROR(INDEX('TRANS'!$B:$B,MATCH($B2468,'TRANS'!$A:$A,0)),IFERROR(INDEX('TRANS'!$B:$B,MATCH(TRIM(SUBSTITUTE($B2468,CHAR(160)," ")),'TRANS'!$D:$D,0)),IFERROR(INDEX('Catalog'!$A:$A,MATCH($B2468,'Catalog'!$B:$B,0)),IFERROR(INDEX('Catalog'!$A:$A,MATCH(TRIM(SUBSTITUTE($B2468,CHAR(160)," ")),'Catalog'!$C:$C,0)),""))))</f>
        <v/>
      </c>
      <c r="H2468" s="8" t="str">
        <f aca="false">IFERROR(INDEX('TRANS'!$C:$C,MATCH($B2468,'TRANS'!$A:$A,0)),IFERROR(INDEX('Catalog'!$B:$B,MATCH($G2468,'Catalog'!$A:$A,0)),$B2468))</f>
        <v>59LB M</v>
      </c>
      <c r="I2468" s="8" t="str">
        <f aca="false">IF($G2468="","Unmatched","Matched")</f>
        <v>Unmatched</v>
      </c>
    </row>
    <row r="2469" customFormat="false" ht="15" hidden="false" customHeight="false" outlineLevel="0" collapsed="false">
      <c r="A2469" s="8" t="s">
        <v>918</v>
      </c>
      <c r="B2469" s="8" t="s">
        <v>972</v>
      </c>
      <c r="C2469" s="19" t="n">
        <v>3</v>
      </c>
      <c r="D2469" s="19" t="n">
        <v>915.03</v>
      </c>
      <c r="E2469" s="19" t="n">
        <v>5</v>
      </c>
      <c r="F2469" s="19" t="n">
        <v>1626.72</v>
      </c>
      <c r="G2469" s="8" t="str">
        <f aca="false">IFERROR(INDEX('TRANS'!$B:$B,MATCH($B2469,'TRANS'!$A:$A,0)),IFERROR(INDEX('TRANS'!$B:$B,MATCH(TRIM(SUBSTITUTE($B2469,CHAR(160)," ")),'TRANS'!$D:$D,0)),IFERROR(INDEX('Catalog'!$A:$A,MATCH($B2469,'Catalog'!$B:$B,0)),IFERROR(INDEX('Catalog'!$A:$A,MATCH(TRIM(SUBSTITUTE($B2469,CHAR(160)," ")),'Catalog'!$C:$C,0)),""))))</f>
        <v/>
      </c>
      <c r="H2469" s="8" t="str">
        <f aca="false">IFERROR(INDEX('TRANS'!$C:$C,MATCH($B2469,'TRANS'!$A:$A,0)),IFERROR(INDEX('Catalog'!$B:$B,MATCH($G2469,'Catalog'!$A:$A,0)),$B2469))</f>
        <v>59RB L</v>
      </c>
      <c r="I2469" s="8" t="str">
        <f aca="false">IF($G2469="","Unmatched","Matched")</f>
        <v>Unmatched</v>
      </c>
    </row>
    <row r="2470" customFormat="false" ht="15" hidden="false" customHeight="false" outlineLevel="0" collapsed="false">
      <c r="A2470" s="8" t="s">
        <v>918</v>
      </c>
      <c r="B2470" s="8" t="s">
        <v>973</v>
      </c>
      <c r="C2470" s="19" t="n">
        <v>0</v>
      </c>
      <c r="D2470" s="19" t="n">
        <v>0</v>
      </c>
      <c r="E2470" s="19" t="n">
        <v>5</v>
      </c>
      <c r="F2470" s="19" t="n">
        <v>1585.61</v>
      </c>
      <c r="G2470" s="8" t="str">
        <f aca="false">IFERROR(INDEX('TRANS'!$B:$B,MATCH($B2470,'TRANS'!$A:$A,0)),IFERROR(INDEX('TRANS'!$B:$B,MATCH(TRIM(SUBSTITUTE($B2470,CHAR(160)," ")),'TRANS'!$D:$D,0)),IFERROR(INDEX('Catalog'!$A:$A,MATCH($B2470,'Catalog'!$B:$B,0)),IFERROR(INDEX('Catalog'!$A:$A,MATCH(TRIM(SUBSTITUTE($B2470,CHAR(160)," ")),'Catalog'!$C:$C,0)),""))))</f>
        <v/>
      </c>
      <c r="H2470" s="8" t="str">
        <f aca="false">IFERROR(INDEX('TRANS'!$C:$C,MATCH($B2470,'TRANS'!$A:$A,0)),IFERROR(INDEX('Catalog'!$B:$B,MATCH($G2470,'Catalog'!$A:$A,0)),$B2470))</f>
        <v>59RB M</v>
      </c>
      <c r="I2470" s="8" t="str">
        <f aca="false">IF($G2470="","Unmatched","Matched")</f>
        <v>Unmatched</v>
      </c>
    </row>
    <row r="2471" customFormat="false" ht="15" hidden="false" customHeight="false" outlineLevel="0" collapsed="false">
      <c r="A2471" s="8" t="s">
        <v>918</v>
      </c>
      <c r="B2471" s="8" t="s">
        <v>974</v>
      </c>
      <c r="C2471" s="19" t="n">
        <v>0</v>
      </c>
      <c r="D2471" s="19" t="n">
        <v>0</v>
      </c>
      <c r="E2471" s="19" t="n">
        <v>1</v>
      </c>
      <c r="F2471" s="19" t="n">
        <v>338.9</v>
      </c>
      <c r="G2471" s="8" t="str">
        <f aca="false">IFERROR(INDEX('TRANS'!$B:$B,MATCH($B2471,'TRANS'!$A:$A,0)),IFERROR(INDEX('TRANS'!$B:$B,MATCH(TRIM(SUBSTITUTE($B2471,CHAR(160)," ")),'TRANS'!$D:$D,0)),IFERROR(INDEX('Catalog'!$A:$A,MATCH($B2471,'Catalog'!$B:$B,0)),IFERROR(INDEX('Catalog'!$A:$A,MATCH(TRIM(SUBSTITUTE($B2471,CHAR(160)," ")),'Catalog'!$C:$C,0)),""))))</f>
        <v/>
      </c>
      <c r="H2471" s="8" t="str">
        <f aca="false">IFERROR(INDEX('TRANS'!$C:$C,MATCH($B2471,'TRANS'!$A:$A,0)),IFERROR(INDEX('Catalog'!$B:$B,MATCH($G2471,'Catalog'!$A:$A,0)),$B2471))</f>
        <v>59RB XL</v>
      </c>
      <c r="I2471" s="8" t="str">
        <f aca="false">IF($G2471="","Unmatched","Matched")</f>
        <v>Unmatched</v>
      </c>
    </row>
    <row r="2472" customFormat="false" ht="15" hidden="false" customHeight="false" outlineLevel="0" collapsed="false">
      <c r="A2472" s="8" t="s">
        <v>918</v>
      </c>
      <c r="B2472" s="8" t="s">
        <v>975</v>
      </c>
      <c r="C2472" s="19" t="n">
        <v>0</v>
      </c>
      <c r="D2472" s="19" t="n">
        <v>0</v>
      </c>
      <c r="E2472" s="19" t="n">
        <v>1</v>
      </c>
      <c r="F2472" s="19" t="n">
        <v>288.07</v>
      </c>
      <c r="G2472" s="8" t="str">
        <f aca="false">IFERROR(INDEX('TRANS'!$B:$B,MATCH($B2472,'TRANS'!$A:$A,0)),IFERROR(INDEX('TRANS'!$B:$B,MATCH(TRIM(SUBSTITUTE($B2472,CHAR(160)," ")),'TRANS'!$D:$D,0)),IFERROR(INDEX('Catalog'!$A:$A,MATCH($B2472,'Catalog'!$B:$B,0)),IFERROR(INDEX('Catalog'!$A:$A,MATCH(TRIM(SUBSTITUTE($B2472,CHAR(160)," ")),'Catalog'!$C:$C,0)),""))))</f>
        <v/>
      </c>
      <c r="H2472" s="8" t="str">
        <f aca="false">IFERROR(INDEX('TRANS'!$C:$C,MATCH($B2472,'TRANS'!$A:$A,0)),IFERROR(INDEX('Catalog'!$B:$B,MATCH($G2472,'Catalog'!$A:$A,0)),$B2472))</f>
        <v>59RB XXL</v>
      </c>
      <c r="I2472" s="8" t="str">
        <f aca="false">IF($G2472="","Unmatched","Matched")</f>
        <v>Unmatched</v>
      </c>
    </row>
    <row r="2473" customFormat="false" ht="15" hidden="false" customHeight="false" outlineLevel="0" collapsed="false">
      <c r="A2473" s="8" t="s">
        <v>918</v>
      </c>
      <c r="B2473" s="8" t="s">
        <v>577</v>
      </c>
      <c r="C2473" s="19" t="n">
        <v>7</v>
      </c>
      <c r="D2473" s="19" t="n">
        <v>592.35</v>
      </c>
      <c r="E2473" s="19" t="n">
        <v>11</v>
      </c>
      <c r="F2473" s="19" t="n">
        <v>973.9</v>
      </c>
      <c r="G2473" s="8" t="n">
        <f aca="false">IFERROR(INDEX('TRANS'!$B:$B,MATCH($B2473,'TRANS'!$A:$A,0)),IFERROR(INDEX('TRANS'!$B:$B,MATCH(TRIM(SUBSTITUTE($B2473,CHAR(160)," ")),'TRANS'!$D:$D,0)),IFERROR(INDEX('Catalog'!$A:$A,MATCH($B2473,'Catalog'!$B:$B,0)),IFERROR(INDEX('Catalog'!$A:$A,MATCH(TRIM(SUBSTITUTE($B2473,CHAR(160)," ")),'Catalog'!$C:$C,0)),""))))</f>
        <v>4418000</v>
      </c>
      <c r="H2473" s="8" t="str">
        <f aca="false">IFERROR(INDEX('TRANS'!$C:$C,MATCH($B2473,'TRANS'!$A:$A,0)),IFERROR(INDEX('Catalog'!$B:$B,MATCH($G2473,'Catalog'!$A:$A,0)),$B2473))</f>
        <v>60 L צוארון ספוגי</v>
      </c>
      <c r="I2473" s="8" t="str">
        <f aca="false">IF($G2473="","Unmatched","Matched")</f>
        <v>Matched</v>
      </c>
    </row>
    <row r="2474" customFormat="false" ht="15" hidden="false" customHeight="false" outlineLevel="0" collapsed="false">
      <c r="A2474" s="8" t="s">
        <v>918</v>
      </c>
      <c r="B2474" s="8" t="s">
        <v>228</v>
      </c>
      <c r="C2474" s="19" t="n">
        <v>7</v>
      </c>
      <c r="D2474" s="19" t="n">
        <v>592.35</v>
      </c>
      <c r="E2474" s="19" t="n">
        <v>20</v>
      </c>
      <c r="F2474" s="19" t="n">
        <v>1732.1</v>
      </c>
      <c r="G2474" s="8" t="n">
        <f aca="false">IFERROR(INDEX('TRANS'!$B:$B,MATCH($B2474,'TRANS'!$A:$A,0)),IFERROR(INDEX('TRANS'!$B:$B,MATCH(TRIM(SUBSTITUTE($B2474,CHAR(160)," ")),'TRANS'!$D:$D,0)),IFERROR(INDEX('Catalog'!$A:$A,MATCH($B2474,'Catalog'!$B:$B,0)),IFERROR(INDEX('Catalog'!$A:$A,MATCH(TRIM(SUBSTITUTE($B2474,CHAR(160)," ")),'Catalog'!$C:$C,0)),""))))</f>
        <v>4418001</v>
      </c>
      <c r="H2474" s="8" t="str">
        <f aca="false">IFERROR(INDEX('TRANS'!$C:$C,MATCH($B2474,'TRANS'!$A:$A,0)),IFERROR(INDEX('Catalog'!$B:$B,MATCH($G2474,'Catalog'!$A:$A,0)),$B2474))</f>
        <v>60 M צוארון ספוגי</v>
      </c>
      <c r="I2474" s="8" t="str">
        <f aca="false">IF($G2474="","Unmatched","Matched")</f>
        <v>Matched</v>
      </c>
    </row>
    <row r="2475" customFormat="false" ht="15" hidden="false" customHeight="false" outlineLevel="0" collapsed="false">
      <c r="A2475" s="8" t="s">
        <v>918</v>
      </c>
      <c r="B2475" s="8" t="s">
        <v>229</v>
      </c>
      <c r="C2475" s="19" t="n">
        <v>8</v>
      </c>
      <c r="D2475" s="19" t="n">
        <v>686.59</v>
      </c>
      <c r="E2475" s="19" t="n">
        <v>10</v>
      </c>
      <c r="F2475" s="19" t="n">
        <v>888.51</v>
      </c>
      <c r="G2475" s="8" t="n">
        <f aca="false">IFERROR(INDEX('TRANS'!$B:$B,MATCH($B2475,'TRANS'!$A:$A,0)),IFERROR(INDEX('TRANS'!$B:$B,MATCH(TRIM(SUBSTITUTE($B2475,CHAR(160)," ")),'TRANS'!$D:$D,0)),IFERROR(INDEX('Catalog'!$A:$A,MATCH($B2475,'Catalog'!$B:$B,0)),IFERROR(INDEX('Catalog'!$A:$A,MATCH(TRIM(SUBSTITUTE($B2475,CHAR(160)," ")),'Catalog'!$C:$C,0)),""))))</f>
        <v>4418002</v>
      </c>
      <c r="H2475" s="8" t="str">
        <f aca="false">IFERROR(INDEX('TRANS'!$C:$C,MATCH($B2475,'TRANS'!$A:$A,0)),IFERROR(INDEX('Catalog'!$B:$B,MATCH($G2475,'Catalog'!$A:$A,0)),$B2475))</f>
        <v>60 S צוארון ספוגי</v>
      </c>
      <c r="I2475" s="8" t="str">
        <f aca="false">IF($G2475="","Unmatched","Matched")</f>
        <v>Matched</v>
      </c>
    </row>
    <row r="2476" customFormat="false" ht="15" hidden="false" customHeight="false" outlineLevel="0" collapsed="false">
      <c r="A2476" s="8" t="s">
        <v>918</v>
      </c>
      <c r="B2476" s="8" t="s">
        <v>400</v>
      </c>
      <c r="C2476" s="19" t="n">
        <v>2</v>
      </c>
      <c r="D2476" s="19" t="n">
        <v>166.04</v>
      </c>
      <c r="E2476" s="19" t="n">
        <v>5</v>
      </c>
      <c r="F2476" s="19" t="n">
        <v>426.3</v>
      </c>
      <c r="G2476" s="8" t="n">
        <f aca="false">IFERROR(INDEX('TRANS'!$B:$B,MATCH($B2476,'TRANS'!$A:$A,0)),IFERROR(INDEX('TRANS'!$B:$B,MATCH(TRIM(SUBSTITUTE($B2476,CHAR(160)," ")),'TRANS'!$D:$D,0)),IFERROR(INDEX('Catalog'!$A:$A,MATCH($B2476,'Catalog'!$B:$B,0)),IFERROR(INDEX('Catalog'!$A:$A,MATCH(TRIM(SUBSTITUTE($B2476,CHAR(160)," ")),'Catalog'!$C:$C,0)),""))))</f>
        <v>4418003</v>
      </c>
      <c r="H2476" s="8" t="str">
        <f aca="false">IFERROR(INDEX('TRANS'!$C:$C,MATCH($B2476,'TRANS'!$A:$A,0)),IFERROR(INDEX('Catalog'!$B:$B,MATCH($G2476,'Catalog'!$A:$A,0)),$B2476))</f>
        <v>60 XL צוארון ספוגי</v>
      </c>
      <c r="I2476" s="8" t="str">
        <f aca="false">IF($G2476="","Unmatched","Matched")</f>
        <v>Matched</v>
      </c>
    </row>
    <row r="2477" customFormat="false" ht="15" hidden="false" customHeight="false" outlineLevel="0" collapsed="false">
      <c r="A2477" s="8" t="s">
        <v>918</v>
      </c>
      <c r="B2477" s="8" t="s">
        <v>781</v>
      </c>
      <c r="C2477" s="19" t="n">
        <v>5</v>
      </c>
      <c r="D2477" s="19" t="n">
        <v>394.9</v>
      </c>
      <c r="E2477" s="19" t="n">
        <v>0</v>
      </c>
      <c r="F2477" s="19" t="n">
        <v>0</v>
      </c>
      <c r="G2477" s="8" t="str">
        <f aca="false">IFERROR(INDEX('TRANS'!$B:$B,MATCH($B2477,'TRANS'!$A:$A,0)),IFERROR(INDEX('TRANS'!$B:$B,MATCH(TRIM(SUBSTITUTE($B2477,CHAR(160)," ")),'TRANS'!$D:$D,0)),IFERROR(INDEX('Catalog'!$A:$A,MATCH($B2477,'Catalog'!$B:$B,0)),IFERROR(INDEX('Catalog'!$A:$A,MATCH(TRIM(SUBSTITUTE($B2477,CHAR(160)," ")),'Catalog'!$C:$C,0)),""))))</f>
        <v/>
      </c>
      <c r="H2477" s="8" t="str">
        <f aca="false">IFERROR(INDEX('TRANS'!$C:$C,MATCH($B2477,'TRANS'!$A:$A,0)),IFERROR(INDEX('Catalog'!$B:$B,MATCH($G2477,'Catalog'!$A:$A,0)),$B2477))</f>
        <v>60 XS</v>
      </c>
      <c r="I2477" s="8" t="str">
        <f aca="false">IF($G2477="","Unmatched","Matched")</f>
        <v>Unmatched</v>
      </c>
    </row>
    <row r="2478" customFormat="false" ht="15" hidden="false" customHeight="false" outlineLevel="0" collapsed="false">
      <c r="A2478" s="8" t="s">
        <v>918</v>
      </c>
      <c r="B2478" s="8" t="s">
        <v>700</v>
      </c>
      <c r="C2478" s="19" t="n">
        <v>1</v>
      </c>
      <c r="D2478" s="19" t="n">
        <v>89.75</v>
      </c>
      <c r="E2478" s="19" t="n">
        <v>2</v>
      </c>
      <c r="F2478" s="19" t="n">
        <v>170.52</v>
      </c>
      <c r="G2478" s="8" t="str">
        <f aca="false">IFERROR(INDEX('TRANS'!$B:$B,MATCH($B2478,'TRANS'!$A:$A,0)),IFERROR(INDEX('TRANS'!$B:$B,MATCH(TRIM(SUBSTITUTE($B2478,CHAR(160)," ")),'TRANS'!$D:$D,0)),IFERROR(INDEX('Catalog'!$A:$A,MATCH($B2478,'Catalog'!$B:$B,0)),IFERROR(INDEX('Catalog'!$A:$A,MATCH(TRIM(SUBSTITUTE($B2478,CHAR(160)," ")),'Catalog'!$C:$C,0)),""))))</f>
        <v/>
      </c>
      <c r="H2478" s="8" t="str">
        <f aca="false">IFERROR(INDEX('TRANS'!$C:$C,MATCH($B2478,'TRANS'!$A:$A,0)),IFERROR(INDEX('Catalog'!$B:$B,MATCH($G2478,'Catalog'!$A:$A,0)),$B2478))</f>
        <v>60 XXL</v>
      </c>
      <c r="I2478" s="8" t="str">
        <f aca="false">IF($G2478="","Unmatched","Matched")</f>
        <v>Unmatched</v>
      </c>
    </row>
    <row r="2479" customFormat="false" ht="15" hidden="false" customHeight="false" outlineLevel="0" collapsed="false">
      <c r="A2479" s="8" t="s">
        <v>918</v>
      </c>
      <c r="B2479" s="8" t="s">
        <v>843</v>
      </c>
      <c r="C2479" s="19" t="n">
        <v>3</v>
      </c>
      <c r="D2479" s="19" t="n">
        <v>255.79</v>
      </c>
      <c r="E2479" s="19" t="n">
        <v>6</v>
      </c>
      <c r="F2479" s="19" t="n">
        <v>538.49</v>
      </c>
      <c r="G2479" s="8" t="str">
        <f aca="false">IFERROR(INDEX('TRANS'!$B:$B,MATCH($B2479,'TRANS'!$A:$A,0)),IFERROR(INDEX('TRANS'!$B:$B,MATCH(TRIM(SUBSTITUTE($B2479,CHAR(160)," ")),'TRANS'!$D:$D,0)),IFERROR(INDEX('Catalog'!$A:$A,MATCH($B2479,'Catalog'!$B:$B,0)),IFERROR(INDEX('Catalog'!$A:$A,MATCH(TRIM(SUBSTITUTE($B2479,CHAR(160)," ")),'Catalog'!$C:$C,0)),""))))</f>
        <v/>
      </c>
      <c r="H2479" s="8" t="str">
        <f aca="false">IFERROR(INDEX('TRANS'!$C:$C,MATCH($B2479,'TRANS'!$A:$A,0)),IFERROR(INDEX('Catalog'!$B:$B,MATCH($G2479,'Catalog'!$A:$A,0)),$B2479))</f>
        <v>60B L</v>
      </c>
      <c r="I2479" s="8" t="str">
        <f aca="false">IF($G2479="","Unmatched","Matched")</f>
        <v>Unmatched</v>
      </c>
    </row>
    <row r="2480" customFormat="false" ht="15" hidden="false" customHeight="false" outlineLevel="0" collapsed="false">
      <c r="A2480" s="8" t="s">
        <v>918</v>
      </c>
      <c r="B2480" s="8" t="s">
        <v>844</v>
      </c>
      <c r="C2480" s="19" t="n">
        <v>7</v>
      </c>
      <c r="D2480" s="19" t="n">
        <v>569.92</v>
      </c>
      <c r="E2480" s="19" t="n">
        <v>16</v>
      </c>
      <c r="F2480" s="19" t="n">
        <v>1409</v>
      </c>
      <c r="G2480" s="8" t="str">
        <f aca="false">IFERROR(INDEX('TRANS'!$B:$B,MATCH($B2480,'TRANS'!$A:$A,0)),IFERROR(INDEX('TRANS'!$B:$B,MATCH(TRIM(SUBSTITUTE($B2480,CHAR(160)," ")),'TRANS'!$D:$D,0)),IFERROR(INDEX('Catalog'!$A:$A,MATCH($B2480,'Catalog'!$B:$B,0)),IFERROR(INDEX('Catalog'!$A:$A,MATCH(TRIM(SUBSTITUTE($B2480,CHAR(160)," ")),'Catalog'!$C:$C,0)),""))))</f>
        <v/>
      </c>
      <c r="H2480" s="8" t="str">
        <f aca="false">IFERROR(INDEX('TRANS'!$C:$C,MATCH($B2480,'TRANS'!$A:$A,0)),IFERROR(INDEX('Catalog'!$B:$B,MATCH($G2480,'Catalog'!$A:$A,0)),$B2480))</f>
        <v>60B M</v>
      </c>
      <c r="I2480" s="8" t="str">
        <f aca="false">IF($G2480="","Unmatched","Matched")</f>
        <v>Unmatched</v>
      </c>
    </row>
    <row r="2481" customFormat="false" ht="15" hidden="false" customHeight="false" outlineLevel="0" collapsed="false">
      <c r="A2481" s="8" t="s">
        <v>918</v>
      </c>
      <c r="B2481" s="8" t="s">
        <v>845</v>
      </c>
      <c r="C2481" s="19" t="n">
        <v>9</v>
      </c>
      <c r="D2481" s="19" t="n">
        <v>776.34</v>
      </c>
      <c r="E2481" s="19" t="n">
        <v>6</v>
      </c>
      <c r="F2481" s="19" t="n">
        <v>529.51</v>
      </c>
      <c r="G2481" s="8" t="str">
        <f aca="false">IFERROR(INDEX('TRANS'!$B:$B,MATCH($B2481,'TRANS'!$A:$A,0)),IFERROR(INDEX('TRANS'!$B:$B,MATCH(TRIM(SUBSTITUTE($B2481,CHAR(160)," ")),'TRANS'!$D:$D,0)),IFERROR(INDEX('Catalog'!$A:$A,MATCH($B2481,'Catalog'!$B:$B,0)),IFERROR(INDEX('Catalog'!$A:$A,MATCH(TRIM(SUBSTITUTE($B2481,CHAR(160)," ")),'Catalog'!$C:$C,0)),""))))</f>
        <v/>
      </c>
      <c r="H2481" s="8" t="str">
        <f aca="false">IFERROR(INDEX('TRANS'!$C:$C,MATCH($B2481,'TRANS'!$A:$A,0)),IFERROR(INDEX('Catalog'!$B:$B,MATCH($G2481,'Catalog'!$A:$A,0)),$B2481))</f>
        <v>60B S</v>
      </c>
      <c r="I2481" s="8" t="str">
        <f aca="false">IF($G2481="","Unmatched","Matched")</f>
        <v>Unmatched</v>
      </c>
    </row>
    <row r="2482" customFormat="false" ht="15" hidden="false" customHeight="false" outlineLevel="0" collapsed="false">
      <c r="A2482" s="8" t="s">
        <v>918</v>
      </c>
      <c r="B2482" s="8" t="s">
        <v>976</v>
      </c>
      <c r="C2482" s="19" t="n">
        <v>0</v>
      </c>
      <c r="D2482" s="19" t="n">
        <v>0</v>
      </c>
      <c r="E2482" s="19" t="n">
        <v>3</v>
      </c>
      <c r="F2482" s="19" t="n">
        <v>260.27</v>
      </c>
      <c r="G2482" s="8" t="str">
        <f aca="false">IFERROR(INDEX('TRANS'!$B:$B,MATCH($B2482,'TRANS'!$A:$A,0)),IFERROR(INDEX('TRANS'!$B:$B,MATCH(TRIM(SUBSTITUTE($B2482,CHAR(160)," ")),'TRANS'!$D:$D,0)),IFERROR(INDEX('Catalog'!$A:$A,MATCH($B2482,'Catalog'!$B:$B,0)),IFERROR(INDEX('Catalog'!$A:$A,MATCH(TRIM(SUBSTITUTE($B2482,CHAR(160)," ")),'Catalog'!$C:$C,0)),""))))</f>
        <v/>
      </c>
      <c r="H2482" s="8" t="str">
        <f aca="false">IFERROR(INDEX('TRANS'!$C:$C,MATCH($B2482,'TRANS'!$A:$A,0)),IFERROR(INDEX('Catalog'!$B:$B,MATCH($G2482,'Catalog'!$A:$A,0)),$B2482))</f>
        <v>60B XL</v>
      </c>
      <c r="I2482" s="8" t="str">
        <f aca="false">IF($G2482="","Unmatched","Matched")</f>
        <v>Unmatched</v>
      </c>
    </row>
    <row r="2483" customFormat="false" ht="15" hidden="false" customHeight="false" outlineLevel="0" collapsed="false">
      <c r="A2483" s="8" t="s">
        <v>918</v>
      </c>
      <c r="B2483" s="8" t="s">
        <v>846</v>
      </c>
      <c r="C2483" s="19" t="n">
        <v>3</v>
      </c>
      <c r="D2483" s="19" t="n">
        <v>269.25</v>
      </c>
      <c r="E2483" s="19" t="n">
        <v>1</v>
      </c>
      <c r="F2483" s="19" t="n">
        <v>89.75</v>
      </c>
      <c r="G2483" s="8" t="str">
        <f aca="false">IFERROR(INDEX('TRANS'!$B:$B,MATCH($B2483,'TRANS'!$A:$A,0)),IFERROR(INDEX('TRANS'!$B:$B,MATCH(TRIM(SUBSTITUTE($B2483,CHAR(160)," ")),'TRANS'!$D:$D,0)),IFERROR(INDEX('Catalog'!$A:$A,MATCH($B2483,'Catalog'!$B:$B,0)),IFERROR(INDEX('Catalog'!$A:$A,MATCH(TRIM(SUBSTITUTE($B2483,CHAR(160)," ")),'Catalog'!$C:$C,0)),""))))</f>
        <v/>
      </c>
      <c r="H2483" s="8" t="str">
        <f aca="false">IFERROR(INDEX('TRANS'!$C:$C,MATCH($B2483,'TRANS'!$A:$A,0)),IFERROR(INDEX('Catalog'!$B:$B,MATCH($G2483,'Catalog'!$A:$A,0)),$B2483))</f>
        <v>60B XS</v>
      </c>
      <c r="I2483" s="8" t="str">
        <f aca="false">IF($G2483="","Unmatched","Matched")</f>
        <v>Unmatched</v>
      </c>
    </row>
    <row r="2484" customFormat="false" ht="15" hidden="false" customHeight="false" outlineLevel="0" collapsed="false">
      <c r="A2484" s="8" t="s">
        <v>918</v>
      </c>
      <c r="B2484" s="8" t="s">
        <v>977</v>
      </c>
      <c r="C2484" s="19" t="n">
        <v>0</v>
      </c>
      <c r="D2484" s="19" t="n">
        <v>0</v>
      </c>
      <c r="E2484" s="19" t="n">
        <v>1</v>
      </c>
      <c r="F2484" s="19" t="n">
        <v>80.77</v>
      </c>
      <c r="G2484" s="8" t="str">
        <f aca="false">IFERROR(INDEX('TRANS'!$B:$B,MATCH($B2484,'TRANS'!$A:$A,0)),IFERROR(INDEX('TRANS'!$B:$B,MATCH(TRIM(SUBSTITUTE($B2484,CHAR(160)," ")),'TRANS'!$D:$D,0)),IFERROR(INDEX('Catalog'!$A:$A,MATCH($B2484,'Catalog'!$B:$B,0)),IFERROR(INDEX('Catalog'!$A:$A,MATCH(TRIM(SUBSTITUTE($B2484,CHAR(160)," ")),'Catalog'!$C:$C,0)),""))))</f>
        <v/>
      </c>
      <c r="H2484" s="8" t="str">
        <f aca="false">IFERROR(INDEX('TRANS'!$C:$C,MATCH($B2484,'TRANS'!$A:$A,0)),IFERROR(INDEX('Catalog'!$B:$B,MATCH($G2484,'Catalog'!$A:$A,0)),$B2484))</f>
        <v>60B XXL</v>
      </c>
      <c r="I2484" s="8" t="str">
        <f aca="false">IF($G2484="","Unmatched","Matched")</f>
        <v>Unmatched</v>
      </c>
    </row>
    <row r="2485" customFormat="false" ht="15" hidden="false" customHeight="false" outlineLevel="0" collapsed="false">
      <c r="A2485" s="8" t="s">
        <v>918</v>
      </c>
      <c r="B2485" s="8" t="s">
        <v>602</v>
      </c>
      <c r="C2485" s="19" t="n">
        <v>5</v>
      </c>
      <c r="D2485" s="19" t="n">
        <v>559.16</v>
      </c>
      <c r="E2485" s="19" t="n">
        <v>4</v>
      </c>
      <c r="F2485" s="19" t="n">
        <v>456.96</v>
      </c>
      <c r="G2485" s="8" t="str">
        <f aca="false">IFERROR(INDEX('TRANS'!$B:$B,MATCH($B2485,'TRANS'!$A:$A,0)),IFERROR(INDEX('TRANS'!$B:$B,MATCH(TRIM(SUBSTITUTE($B2485,CHAR(160)," ")),'TRANS'!$D:$D,0)),IFERROR(INDEX('Catalog'!$A:$A,MATCH($B2485,'Catalog'!$B:$B,0)),IFERROR(INDEX('Catalog'!$A:$A,MATCH(TRIM(SUBSTITUTE($B2485,CHAR(160)," ")),'Catalog'!$C:$C,0)),""))))</f>
        <v/>
      </c>
      <c r="H2485" s="8" t="str">
        <f aca="false">IFERROR(INDEX('TRANS'!$C:$C,MATCH($B2485,'TRANS'!$A:$A,0)),IFERROR(INDEX('Catalog'!$B:$B,MATCH($G2485,'Catalog'!$A:$A,0)),$B2485))</f>
        <v>63 L</v>
      </c>
      <c r="I2485" s="8" t="str">
        <f aca="false">IF($G2485="","Unmatched","Matched")</f>
        <v>Unmatched</v>
      </c>
    </row>
    <row r="2486" customFormat="false" ht="15" hidden="false" customHeight="false" outlineLevel="0" collapsed="false">
      <c r="A2486" s="8" t="s">
        <v>918</v>
      </c>
      <c r="B2486" s="8" t="s">
        <v>401</v>
      </c>
      <c r="C2486" s="19" t="n">
        <v>13</v>
      </c>
      <c r="D2486" s="19" t="n">
        <v>1521.16</v>
      </c>
      <c r="E2486" s="19" t="n">
        <v>5</v>
      </c>
      <c r="F2486" s="19" t="n">
        <v>565.17</v>
      </c>
      <c r="G2486" s="8" t="str">
        <f aca="false">IFERROR(INDEX('TRANS'!$B:$B,MATCH($B2486,'TRANS'!$A:$A,0)),IFERROR(INDEX('TRANS'!$B:$B,MATCH(TRIM(SUBSTITUTE($B2486,CHAR(160)," ")),'TRANS'!$D:$D,0)),IFERROR(INDEX('Catalog'!$A:$A,MATCH($B2486,'Catalog'!$B:$B,0)),IFERROR(INDEX('Catalog'!$A:$A,MATCH(TRIM(SUBSTITUTE($B2486,CHAR(160)," ")),'Catalog'!$C:$C,0)),""))))</f>
        <v/>
      </c>
      <c r="H2486" s="8" t="str">
        <f aca="false">IFERROR(INDEX('TRANS'!$C:$C,MATCH($B2486,'TRANS'!$A:$A,0)),IFERROR(INDEX('Catalog'!$B:$B,MATCH($G2486,'Catalog'!$A:$A,0)),$B2486))</f>
        <v>63 M</v>
      </c>
      <c r="I2486" s="8" t="str">
        <f aca="false">IF($G2486="","Unmatched","Matched")</f>
        <v>Unmatched</v>
      </c>
    </row>
    <row r="2487" customFormat="false" ht="15" hidden="false" customHeight="false" outlineLevel="0" collapsed="false">
      <c r="A2487" s="8" t="s">
        <v>918</v>
      </c>
      <c r="B2487" s="8" t="s">
        <v>402</v>
      </c>
      <c r="C2487" s="19" t="n">
        <v>7</v>
      </c>
      <c r="D2487" s="19" t="n">
        <v>805.67</v>
      </c>
      <c r="E2487" s="19" t="n">
        <v>4</v>
      </c>
      <c r="F2487" s="19" t="n">
        <v>438.93</v>
      </c>
      <c r="G2487" s="8" t="str">
        <f aca="false">IFERROR(INDEX('TRANS'!$B:$B,MATCH($B2487,'TRANS'!$A:$A,0)),IFERROR(INDEX('TRANS'!$B:$B,MATCH(TRIM(SUBSTITUTE($B2487,CHAR(160)," ")),'TRANS'!$D:$D,0)),IFERROR(INDEX('Catalog'!$A:$A,MATCH($B2487,'Catalog'!$B:$B,0)),IFERROR(INDEX('Catalog'!$A:$A,MATCH(TRIM(SUBSTITUTE($B2487,CHAR(160)," ")),'Catalog'!$C:$C,0)),""))))</f>
        <v/>
      </c>
      <c r="H2487" s="8" t="str">
        <f aca="false">IFERROR(INDEX('TRANS'!$C:$C,MATCH($B2487,'TRANS'!$A:$A,0)),IFERROR(INDEX('Catalog'!$B:$B,MATCH($G2487,'Catalog'!$A:$A,0)),$B2487))</f>
        <v>63 S</v>
      </c>
      <c r="I2487" s="8" t="str">
        <f aca="false">IF($G2487="","Unmatched","Matched")</f>
        <v>Unmatched</v>
      </c>
    </row>
    <row r="2488" customFormat="false" ht="15" hidden="false" customHeight="false" outlineLevel="0" collapsed="false">
      <c r="A2488" s="8" t="s">
        <v>918</v>
      </c>
      <c r="B2488" s="8" t="s">
        <v>231</v>
      </c>
      <c r="C2488" s="19" t="n">
        <v>236</v>
      </c>
      <c r="D2488" s="19" t="n">
        <v>60269.1</v>
      </c>
      <c r="E2488" s="19" t="n">
        <v>3486</v>
      </c>
      <c r="F2488" s="19" t="n">
        <v>946061.130000004</v>
      </c>
      <c r="G2488" s="8" t="str">
        <f aca="false">IFERROR(INDEX('TRANS'!$B:$B,MATCH($B2488,'TRANS'!$A:$A,0)),IFERROR(INDEX('TRANS'!$B:$B,MATCH(TRIM(SUBSTITUTE($B2488,CHAR(160)," ")),'TRANS'!$D:$D,0)),IFERROR(INDEX('Catalog'!$A:$A,MATCH($B2488,'Catalog'!$B:$B,0)),IFERROR(INDEX('Catalog'!$A:$A,MATCH(TRIM(SUBSTITUTE($B2488,CHAR(160)," ")),'Catalog'!$C:$C,0)),""))))</f>
        <v/>
      </c>
      <c r="H2488" s="8" t="str">
        <f aca="false">IFERROR(INDEX('TRANS'!$C:$C,MATCH($B2488,'TRANS'!$A:$A,0)),IFERROR(INDEX('Catalog'!$B:$B,MATCH($G2488,'Catalog'!$A:$A,0)),$B2488))</f>
        <v>67 0</v>
      </c>
      <c r="I2488" s="8" t="str">
        <f aca="false">IF($G2488="","Unmatched","Matched")</f>
        <v>Unmatched</v>
      </c>
    </row>
    <row r="2489" customFormat="false" ht="15" hidden="false" customHeight="false" outlineLevel="0" collapsed="false">
      <c r="A2489" s="8" t="s">
        <v>918</v>
      </c>
      <c r="B2489" s="8" t="s">
        <v>500</v>
      </c>
      <c r="C2489" s="19" t="n">
        <v>1</v>
      </c>
      <c r="D2489" s="19" t="n">
        <v>581.27</v>
      </c>
      <c r="E2489" s="19" t="n">
        <v>2</v>
      </c>
      <c r="F2489" s="19" t="n">
        <v>1169.32</v>
      </c>
      <c r="G2489" s="8" t="n">
        <f aca="false">IFERROR(INDEX('TRANS'!$B:$B,MATCH($B2489,'TRANS'!$A:$A,0)),IFERROR(INDEX('TRANS'!$B:$B,MATCH(TRIM(SUBSTITUTE($B2489,CHAR(160)," ")),'TRANS'!$D:$D,0)),IFERROR(INDEX('Catalog'!$A:$A,MATCH($B2489,'Catalog'!$B:$B,0)),IFERROR(INDEX('Catalog'!$A:$A,MATCH(TRIM(SUBSTITUTE($B2489,CHAR(160)," ")),'Catalog'!$C:$C,0)),""))))</f>
        <v>4408273</v>
      </c>
      <c r="H2489" s="8" t="str">
        <f aca="false">IFERROR(INDEX('TRANS'!$C:$C,MATCH($B2489,'TRANS'!$A:$A,0)),IFERROR(INDEX('Catalog'!$B:$B,MATCH($G2489,'Catalog'!$A:$A,0)),$B2489))</f>
        <v>70N M חגורת פאבליק</v>
      </c>
      <c r="I2489" s="8" t="str">
        <f aca="false">IF($G2489="","Unmatched","Matched")</f>
        <v>Matched</v>
      </c>
    </row>
    <row r="2490" customFormat="false" ht="15" hidden="false" customHeight="false" outlineLevel="0" collapsed="false">
      <c r="A2490" s="8" t="s">
        <v>918</v>
      </c>
      <c r="B2490" s="8" t="s">
        <v>501</v>
      </c>
      <c r="C2490" s="19" t="n">
        <v>1</v>
      </c>
      <c r="D2490" s="19" t="n">
        <v>467.73</v>
      </c>
      <c r="E2490" s="19" t="n">
        <v>8</v>
      </c>
      <c r="F2490" s="19" t="n">
        <v>4677.28</v>
      </c>
      <c r="G2490" s="8" t="n">
        <f aca="false">IFERROR(INDEX('TRANS'!$B:$B,MATCH($B2490,'TRANS'!$A:$A,0)),IFERROR(INDEX('TRANS'!$B:$B,MATCH(TRIM(SUBSTITUTE($B2490,CHAR(160)," ")),'TRANS'!$D:$D,0)),IFERROR(INDEX('Catalog'!$A:$A,MATCH($B2490,'Catalog'!$B:$B,0)),IFERROR(INDEX('Catalog'!$A:$A,MATCH(TRIM(SUBSTITUTE($B2490,CHAR(160)," ")),'Catalog'!$C:$C,0)),""))))</f>
        <v>4408272</v>
      </c>
      <c r="H2490" s="8" t="str">
        <f aca="false">IFERROR(INDEX('TRANS'!$C:$C,MATCH($B2490,'TRANS'!$A:$A,0)),IFERROR(INDEX('Catalog'!$B:$B,MATCH($G2490,'Catalog'!$A:$A,0)),$B2490))</f>
        <v>70N S חגורת פאבליק</v>
      </c>
      <c r="I2490" s="8" t="str">
        <f aca="false">IF($G2490="","Unmatched","Matched")</f>
        <v>Matched</v>
      </c>
    </row>
    <row r="2491" customFormat="false" ht="15" hidden="false" customHeight="false" outlineLevel="0" collapsed="false">
      <c r="A2491" s="8" t="s">
        <v>918</v>
      </c>
      <c r="B2491" s="8" t="s">
        <v>502</v>
      </c>
      <c r="C2491" s="19" t="n">
        <v>3</v>
      </c>
      <c r="D2491" s="19" t="n">
        <v>1520.1</v>
      </c>
      <c r="E2491" s="19" t="n">
        <v>6</v>
      </c>
      <c r="F2491" s="19" t="n">
        <v>3332.55</v>
      </c>
      <c r="G2491" s="8" t="n">
        <f aca="false">IFERROR(INDEX('TRANS'!$B:$B,MATCH($B2491,'TRANS'!$A:$A,0)),IFERROR(INDEX('TRANS'!$B:$B,MATCH(TRIM(SUBSTITUTE($B2491,CHAR(160)," ")),'TRANS'!$D:$D,0)),IFERROR(INDEX('Catalog'!$A:$A,MATCH($B2491,'Catalog'!$B:$B,0)),IFERROR(INDEX('Catalog'!$A:$A,MATCH(TRIM(SUBSTITUTE($B2491,CHAR(160)," ")),'Catalog'!$C:$C,0)),""))))</f>
        <v>4408271</v>
      </c>
      <c r="H2491" s="8" t="str">
        <f aca="false">IFERROR(INDEX('TRANS'!$C:$C,MATCH($B2491,'TRANS'!$A:$A,0)),IFERROR(INDEX('Catalog'!$B:$B,MATCH($G2491,'Catalog'!$A:$A,0)),$B2491))</f>
        <v>70N XS חגורת פאבליק</v>
      </c>
      <c r="I2491" s="8" t="str">
        <f aca="false">IF($G2491="","Unmatched","Matched")</f>
        <v>Matched</v>
      </c>
    </row>
    <row r="2492" customFormat="false" ht="15" hidden="false" customHeight="false" outlineLevel="0" collapsed="false">
      <c r="A2492" s="8" t="s">
        <v>918</v>
      </c>
      <c r="B2492" s="8" t="s">
        <v>978</v>
      </c>
      <c r="C2492" s="19" t="n">
        <v>0</v>
      </c>
      <c r="D2492" s="19" t="n">
        <v>0</v>
      </c>
      <c r="E2492" s="19" t="n">
        <v>1</v>
      </c>
      <c r="F2492" s="19" t="n">
        <v>316.45</v>
      </c>
      <c r="G2492" s="8" t="str">
        <f aca="false">IFERROR(INDEX('TRANS'!$B:$B,MATCH($B2492,'TRANS'!$A:$A,0)),IFERROR(INDEX('TRANS'!$B:$B,MATCH(TRIM(SUBSTITUTE($B2492,CHAR(160)," ")),'TRANS'!$D:$D,0)),IFERROR(INDEX('Catalog'!$A:$A,MATCH($B2492,'Catalog'!$B:$B,0)),IFERROR(INDEX('Catalog'!$A:$A,MATCH(TRIM(SUBSTITUTE($B2492,CHAR(160)," ")),'Catalog'!$C:$C,0)),""))))</f>
        <v/>
      </c>
      <c r="H2492" s="8" t="str">
        <f aca="false">IFERROR(INDEX('TRANS'!$C:$C,MATCH($B2492,'TRANS'!$A:$A,0)),IFERROR(INDEX('Catalog'!$B:$B,MATCH($G2492,'Catalog'!$A:$A,0)),$B2492))</f>
        <v>74 XXL</v>
      </c>
      <c r="I2492" s="8" t="str">
        <f aca="false">IF($G2492="","Unmatched","Matched")</f>
        <v>Unmatched</v>
      </c>
    </row>
    <row r="2493" customFormat="false" ht="15" hidden="false" customHeight="false" outlineLevel="0" collapsed="false">
      <c r="A2493" s="8" t="s">
        <v>918</v>
      </c>
      <c r="B2493" s="8" t="s">
        <v>403</v>
      </c>
      <c r="C2493" s="19" t="n">
        <v>3</v>
      </c>
      <c r="D2493" s="19" t="n">
        <v>1045.51</v>
      </c>
      <c r="E2493" s="19" t="n">
        <v>0</v>
      </c>
      <c r="F2493" s="19" t="n">
        <v>0</v>
      </c>
      <c r="G2493" s="8" t="n">
        <f aca="false">IFERROR(INDEX('TRANS'!$B:$B,MATCH($B2493,'TRANS'!$A:$A,0)),IFERROR(INDEX('TRANS'!$B:$B,MATCH(TRIM(SUBSTITUTE($B2493,CHAR(160)," ")),'TRANS'!$D:$D,0)),IFERROR(INDEX('Catalog'!$A:$A,MATCH($B2493,'Catalog'!$B:$B,0)),IFERROR(INDEX('Catalog'!$A:$A,MATCH(TRIM(SUBSTITUTE($B2493,CHAR(160)," ")),'Catalog'!$C:$C,0)),""))))</f>
        <v>4413165</v>
      </c>
      <c r="H2493" s="8" t="str">
        <f aca="false">IFERROR(INDEX('TRANS'!$C:$C,MATCH($B2493,'TRANS'!$A:$A,0)),IFERROR(INDEX('Catalog'!$B:$B,MATCH($G2493,'Catalog'!$A:$A,0)),$B2493))</f>
        <v>74 L-XL מיצב כתפיים</v>
      </c>
      <c r="I2493" s="8" t="str">
        <f aca="false">IF($G2493="","Unmatched","Matched")</f>
        <v>Matched</v>
      </c>
    </row>
    <row r="2494" customFormat="false" ht="15" hidden="false" customHeight="false" outlineLevel="0" collapsed="false">
      <c r="A2494" s="8" t="s">
        <v>918</v>
      </c>
      <c r="B2494" s="8" t="s">
        <v>629</v>
      </c>
      <c r="C2494" s="19" t="n">
        <v>3</v>
      </c>
      <c r="D2494" s="19" t="n">
        <v>931.76</v>
      </c>
      <c r="E2494" s="19" t="n">
        <v>3</v>
      </c>
      <c r="F2494" s="19" t="n">
        <v>1019.67</v>
      </c>
      <c r="G2494" s="8" t="str">
        <f aca="false">IFERROR(INDEX('TRANS'!$B:$B,MATCH($B2494,'TRANS'!$A:$A,0)),IFERROR(INDEX('TRANS'!$B:$B,MATCH(TRIM(SUBSTITUTE($B2494,CHAR(160)," ")),'TRANS'!$D:$D,0)),IFERROR(INDEX('Catalog'!$A:$A,MATCH($B2494,'Catalog'!$B:$B,0)),IFERROR(INDEX('Catalog'!$A:$A,MATCH(TRIM(SUBSTITUTE($B2494,CHAR(160)," ")),'Catalog'!$C:$C,0)),""))))</f>
        <v/>
      </c>
      <c r="H2494" s="8" t="str">
        <f aca="false">IFERROR(INDEX('TRANS'!$C:$C,MATCH($B2494,'TRANS'!$A:$A,0)),IFERROR(INDEX('Catalog'!$B:$B,MATCH($G2494,'Catalog'!$A:$A,0)),$B2494))</f>
        <v>74-S-M</v>
      </c>
      <c r="I2494" s="8" t="str">
        <f aca="false">IF($G2494="","Unmatched","Matched")</f>
        <v>Unmatched</v>
      </c>
    </row>
    <row r="2495" customFormat="false" ht="15" hidden="false" customHeight="false" outlineLevel="0" collapsed="false">
      <c r="A2495" s="8" t="s">
        <v>918</v>
      </c>
      <c r="B2495" s="8" t="s">
        <v>52</v>
      </c>
      <c r="C2495" s="19" t="n">
        <v>10</v>
      </c>
      <c r="D2495" s="19" t="n">
        <v>2446.37</v>
      </c>
      <c r="E2495" s="19" t="n">
        <v>8</v>
      </c>
      <c r="F2495" s="19" t="n">
        <v>2238.8</v>
      </c>
      <c r="G2495" s="8" t="n">
        <f aca="false">IFERROR(INDEX('TRANS'!$B:$B,MATCH($B2495,'TRANS'!$A:$A,0)),IFERROR(INDEX('TRANS'!$B:$B,MATCH(TRIM(SUBSTITUTE($B2495,CHAR(160)," ")),'TRANS'!$D:$D,0)),IFERROR(INDEX('Catalog'!$A:$A,MATCH($B2495,'Catalog'!$B:$B,0)),IFERROR(INDEX('Catalog'!$A:$A,MATCH(TRIM(SUBSTITUTE($B2495,CHAR(160)," ")),'Catalog'!$C:$C,0)),""))))</f>
        <v>4413127</v>
      </c>
      <c r="H2495" s="8" t="str">
        <f aca="false">IFERROR(INDEX('TRANS'!$C:$C,MATCH($B2495,'TRANS'!$A:$A,0)),IFERROR(INDEX('Catalog'!$B:$B,MATCH($G2495,'Catalog'!$A:$A,0)),$B2495))</f>
        <v>75 Lמיישר כתף יציב יישור גב צר</v>
      </c>
      <c r="I2495" s="8" t="str">
        <f aca="false">IF($G2495="","Unmatched","Matched")</f>
        <v>Matched</v>
      </c>
    </row>
    <row r="2496" customFormat="false" ht="15" hidden="false" customHeight="false" outlineLevel="0" collapsed="false">
      <c r="A2496" s="8" t="s">
        <v>918</v>
      </c>
      <c r="B2496" s="8" t="s">
        <v>603</v>
      </c>
      <c r="C2496" s="19" t="n">
        <v>6</v>
      </c>
      <c r="D2496" s="19" t="n">
        <v>1645.74</v>
      </c>
      <c r="E2496" s="19" t="n">
        <v>12</v>
      </c>
      <c r="F2496" s="19" t="n">
        <v>3380.44</v>
      </c>
      <c r="G2496" s="8" t="n">
        <f aca="false">IFERROR(INDEX('TRANS'!$B:$B,MATCH($B2496,'TRANS'!$A:$A,0)),IFERROR(INDEX('TRANS'!$B:$B,MATCH(TRIM(SUBSTITUTE($B2496,CHAR(160)," ")),'TRANS'!$D:$D,0)),IFERROR(INDEX('Catalog'!$A:$A,MATCH($B2496,'Catalog'!$B:$B,0)),IFERROR(INDEX('Catalog'!$A:$A,MATCH(TRIM(SUBSTITUTE($B2496,CHAR(160)," ")),'Catalog'!$C:$C,0)),""))))</f>
        <v>4413128</v>
      </c>
      <c r="H2496" s="8" t="str">
        <f aca="false">IFERROR(INDEX('TRANS'!$C:$C,MATCH($B2496,'TRANS'!$A:$A,0)),IFERROR(INDEX('Catalog'!$B:$B,MATCH($G2496,'Catalog'!$A:$A,0)),$B2496))</f>
        <v>75 Mמיישר כתף יציב יישור גב צר</v>
      </c>
      <c r="I2496" s="8" t="str">
        <f aca="false">IF($G2496="","Unmatched","Matched")</f>
        <v>Matched</v>
      </c>
    </row>
    <row r="2497" customFormat="false" ht="15" hidden="false" customHeight="false" outlineLevel="0" collapsed="false">
      <c r="A2497" s="8" t="s">
        <v>918</v>
      </c>
      <c r="B2497" s="8" t="s">
        <v>752</v>
      </c>
      <c r="C2497" s="19" t="n">
        <v>4</v>
      </c>
      <c r="D2497" s="19" t="n">
        <v>1126.81</v>
      </c>
      <c r="E2497" s="19" t="n">
        <v>3</v>
      </c>
      <c r="F2497" s="19" t="n">
        <v>845.1</v>
      </c>
      <c r="G2497" s="8" t="n">
        <f aca="false">IFERROR(INDEX('TRANS'!$B:$B,MATCH($B2497,'TRANS'!$A:$A,0)),IFERROR(INDEX('TRANS'!$B:$B,MATCH(TRIM(SUBSTITUTE($B2497,CHAR(160)," ")),'TRANS'!$D:$D,0)),IFERROR(INDEX('Catalog'!$A:$A,MATCH($B2497,'Catalog'!$B:$B,0)),IFERROR(INDEX('Catalog'!$A:$A,MATCH(TRIM(SUBSTITUTE($B2497,CHAR(160)," ")),'Catalog'!$C:$C,0)),""))))</f>
        <v>4413126</v>
      </c>
      <c r="H2497" s="8" t="str">
        <f aca="false">IFERROR(INDEX('TRANS'!$C:$C,MATCH($B2497,'TRANS'!$A:$A,0)),IFERROR(INDEX('Catalog'!$B:$B,MATCH($G2497,'Catalog'!$A:$A,0)),$B2497))</f>
        <v>75 Sמיישר כתף יציב יישור גב צר</v>
      </c>
      <c r="I2497" s="8" t="str">
        <f aca="false">IF($G2497="","Unmatched","Matched")</f>
        <v>Matched</v>
      </c>
    </row>
    <row r="2498" customFormat="false" ht="15" hidden="false" customHeight="false" outlineLevel="0" collapsed="false">
      <c r="A2498" s="8" t="s">
        <v>918</v>
      </c>
      <c r="B2498" s="8" t="s">
        <v>53</v>
      </c>
      <c r="C2498" s="19" t="n">
        <v>7</v>
      </c>
      <c r="D2498" s="19" t="n">
        <v>1912.61</v>
      </c>
      <c r="E2498" s="19" t="n">
        <v>5</v>
      </c>
      <c r="F2498" s="19" t="n">
        <v>1364.02</v>
      </c>
      <c r="G2498" s="8" t="n">
        <f aca="false">IFERROR(INDEX('TRANS'!$B:$B,MATCH($B2498,'TRANS'!$A:$A,0)),IFERROR(INDEX('TRANS'!$B:$B,MATCH(TRIM(SUBSTITUTE($B2498,CHAR(160)," ")),'TRANS'!$D:$D,0)),IFERROR(INDEX('Catalog'!$A:$A,MATCH($B2498,'Catalog'!$B:$B,0)),IFERROR(INDEX('Catalog'!$A:$A,MATCH(TRIM(SUBSTITUTE($B2498,CHAR(160)," ")),'Catalog'!$C:$C,0)),""))))</f>
        <v>4413129</v>
      </c>
      <c r="H2498" s="8" t="str">
        <f aca="false">IFERROR(INDEX('TRANS'!$C:$C,MATCH($B2498,'TRANS'!$A:$A,0)),IFERROR(INDEX('Catalog'!$B:$B,MATCH($G2498,'Catalog'!$A:$A,0)),$B2498))</f>
        <v>75 XLמיישר כתף יציב יישור ג.צר</v>
      </c>
      <c r="I2498" s="8" t="str">
        <f aca="false">IF($G2498="","Unmatched","Matched")</f>
        <v>Matched</v>
      </c>
    </row>
    <row r="2499" customFormat="false" ht="15" hidden="false" customHeight="false" outlineLevel="0" collapsed="false">
      <c r="A2499" s="8" t="s">
        <v>918</v>
      </c>
      <c r="B2499" s="8" t="s">
        <v>738</v>
      </c>
      <c r="C2499" s="19" t="n">
        <v>2</v>
      </c>
      <c r="D2499" s="19" t="n">
        <v>800.62</v>
      </c>
      <c r="E2499" s="19" t="n">
        <v>3</v>
      </c>
      <c r="F2499" s="19" t="n">
        <v>830.28</v>
      </c>
      <c r="G2499" s="8" t="str">
        <f aca="false">IFERROR(INDEX('TRANS'!$B:$B,MATCH($B2499,'TRANS'!$A:$A,0)),IFERROR(INDEX('TRANS'!$B:$B,MATCH(TRIM(SUBSTITUTE($B2499,CHAR(160)," ")),'TRANS'!$D:$D,0)),IFERROR(INDEX('Catalog'!$A:$A,MATCH($B2499,'Catalog'!$B:$B,0)),IFERROR(INDEX('Catalog'!$A:$A,MATCH(TRIM(SUBSTITUTE($B2499,CHAR(160)," ")),'Catalog'!$C:$C,0)),""))))</f>
        <v/>
      </c>
      <c r="H2499" s="8" t="str">
        <f aca="false">IFERROR(INDEX('TRANS'!$C:$C,MATCH($B2499,'TRANS'!$A:$A,0)),IFERROR(INDEX('Catalog'!$B:$B,MATCH($G2499,'Catalog'!$A:$A,0)),$B2499))</f>
        <v>75 XS</v>
      </c>
      <c r="I2499" s="8" t="str">
        <f aca="false">IF($G2499="","Unmatched","Matched")</f>
        <v>Unmatched</v>
      </c>
    </row>
    <row r="2500" customFormat="false" ht="15" hidden="false" customHeight="false" outlineLevel="0" collapsed="false">
      <c r="A2500" s="8" t="s">
        <v>918</v>
      </c>
      <c r="B2500" s="8" t="s">
        <v>232</v>
      </c>
      <c r="C2500" s="19" t="n">
        <v>4</v>
      </c>
      <c r="D2500" s="19" t="n">
        <v>1082.33</v>
      </c>
      <c r="E2500" s="19" t="n">
        <v>9</v>
      </c>
      <c r="F2500" s="19" t="n">
        <v>2535.29</v>
      </c>
      <c r="G2500" s="8" t="n">
        <f aca="false">IFERROR(INDEX('TRANS'!$B:$B,MATCH($B2500,'TRANS'!$A:$A,0)),IFERROR(INDEX('TRANS'!$B:$B,MATCH(TRIM(SUBSTITUTE($B2500,CHAR(160)," ")),'TRANS'!$D:$D,0)),IFERROR(INDEX('Catalog'!$A:$A,MATCH($B2500,'Catalog'!$B:$B,0)),IFERROR(INDEX('Catalog'!$A:$A,MATCH(TRIM(SUBSTITUTE($B2500,CHAR(160)," ")),'Catalog'!$C:$C,0)),""))))</f>
        <v>4413130</v>
      </c>
      <c r="H2500" s="8" t="str">
        <f aca="false">IFERROR(INDEX('TRANS'!$C:$C,MATCH($B2500,'TRANS'!$A:$A,0)),IFERROR(INDEX('Catalog'!$B:$B,MATCH($G2500,'Catalog'!$A:$A,0)),$B2500))</f>
        <v>75  XXL מיישר כתף יציב ישור צר</v>
      </c>
      <c r="I2500" s="8" t="str">
        <f aca="false">IF($G2500="","Unmatched","Matched")</f>
        <v>Matched</v>
      </c>
    </row>
    <row r="2501" customFormat="false" ht="15" hidden="false" customHeight="false" outlineLevel="0" collapsed="false">
      <c r="A2501" s="8" t="s">
        <v>918</v>
      </c>
      <c r="B2501" s="8" t="s">
        <v>233</v>
      </c>
      <c r="C2501" s="19" t="n">
        <v>18</v>
      </c>
      <c r="D2501" s="19" t="n">
        <v>6268.91</v>
      </c>
      <c r="E2501" s="19" t="n">
        <v>13</v>
      </c>
      <c r="F2501" s="19" t="n">
        <v>4727.73</v>
      </c>
      <c r="G2501" s="8" t="n">
        <f aca="false">IFERROR(INDEX('TRANS'!$B:$B,MATCH($B2501,'TRANS'!$A:$A,0)),IFERROR(INDEX('TRANS'!$B:$B,MATCH(TRIM(SUBSTITUTE($B2501,CHAR(160)," ")),'TRANS'!$D:$D,0)),IFERROR(INDEX('Catalog'!$A:$A,MATCH($B2501,'Catalog'!$B:$B,0)),IFERROR(INDEX('Catalog'!$A:$A,MATCH(TRIM(SUBSTITUTE($B2501,CHAR(160)," ")),'Catalog'!$C:$C,0)),""))))</f>
        <v>4413132</v>
      </c>
      <c r="H2501" s="8" t="str">
        <f aca="false">IFERROR(INDEX('TRANS'!$C:$C,MATCH($B2501,'TRANS'!$A:$A,0)),IFERROR(INDEX('Catalog'!$B:$B,MATCH($G2501,'Catalog'!$A:$A,0)),$B2501))</f>
        <v>76 Lמיישר כתף יציב יישור רחב</v>
      </c>
      <c r="I2501" s="8" t="str">
        <f aca="false">IF($G2501="","Unmatched","Matched")</f>
        <v>Matched</v>
      </c>
    </row>
    <row r="2502" customFormat="false" ht="15" hidden="false" customHeight="false" outlineLevel="0" collapsed="false">
      <c r="A2502" s="8" t="s">
        <v>918</v>
      </c>
      <c r="B2502" s="8" t="s">
        <v>662</v>
      </c>
      <c r="C2502" s="19" t="n">
        <v>23</v>
      </c>
      <c r="D2502" s="19" t="n">
        <v>7640.03</v>
      </c>
      <c r="E2502" s="19" t="n">
        <v>24</v>
      </c>
      <c r="F2502" s="19" t="n">
        <v>8788.27</v>
      </c>
      <c r="G2502" s="8" t="n">
        <f aca="false">IFERROR(INDEX('TRANS'!$B:$B,MATCH($B2502,'TRANS'!$A:$A,0)),IFERROR(INDEX('TRANS'!$B:$B,MATCH(TRIM(SUBSTITUTE($B2502,CHAR(160)," ")),'TRANS'!$D:$D,0)),IFERROR(INDEX('Catalog'!$A:$A,MATCH($B2502,'Catalog'!$B:$B,0)),IFERROR(INDEX('Catalog'!$A:$A,MATCH(TRIM(SUBSTITUTE($B2502,CHAR(160)," ")),'Catalog'!$C:$C,0)),""))))</f>
        <v>4413133</v>
      </c>
      <c r="H2502" s="8" t="str">
        <f aca="false">IFERROR(INDEX('TRANS'!$C:$C,MATCH($B2502,'TRANS'!$A:$A,0)),IFERROR(INDEX('Catalog'!$B:$B,MATCH($G2502,'Catalog'!$A:$A,0)),$B2502))</f>
        <v>76 Mמיישר כתף יציב,יישור רחב</v>
      </c>
      <c r="I2502" s="8" t="str">
        <f aca="false">IF($G2502="","Unmatched","Matched")</f>
        <v>Matched</v>
      </c>
    </row>
    <row r="2503" customFormat="false" ht="15" hidden="false" customHeight="false" outlineLevel="0" collapsed="false">
      <c r="A2503" s="8" t="s">
        <v>918</v>
      </c>
      <c r="B2503" s="8" t="s">
        <v>404</v>
      </c>
      <c r="C2503" s="19" t="n">
        <v>9</v>
      </c>
      <c r="D2503" s="19" t="n">
        <v>3108.02</v>
      </c>
      <c r="E2503" s="19" t="n">
        <v>11</v>
      </c>
      <c r="F2503" s="19" t="n">
        <v>4060.52</v>
      </c>
      <c r="G2503" s="8" t="n">
        <f aca="false">IFERROR(INDEX('TRANS'!$B:$B,MATCH($B2503,'TRANS'!$A:$A,0)),IFERROR(INDEX('TRANS'!$B:$B,MATCH(TRIM(SUBSTITUTE($B2503,CHAR(160)," ")),'TRANS'!$D:$D,0)),IFERROR(INDEX('Catalog'!$A:$A,MATCH($B2503,'Catalog'!$B:$B,0)),IFERROR(INDEX('Catalog'!$A:$A,MATCH(TRIM(SUBSTITUTE($B2503,CHAR(160)," ")),'Catalog'!$C:$C,0)),""))))</f>
        <v>4413131</v>
      </c>
      <c r="H2503" s="8" t="str">
        <f aca="false">IFERROR(INDEX('TRANS'!$C:$C,MATCH($B2503,'TRANS'!$A:$A,0)),IFERROR(INDEX('Catalog'!$B:$B,MATCH($G2503,'Catalog'!$A:$A,0)),$B2503))</f>
        <v>76 Sמיישר כתף יציב יישור ג.רחב</v>
      </c>
      <c r="I2503" s="8" t="str">
        <f aca="false">IF($G2503="","Unmatched","Matched")</f>
        <v>Matched</v>
      </c>
    </row>
    <row r="2504" customFormat="false" ht="15" hidden="false" customHeight="false" outlineLevel="0" collapsed="false">
      <c r="A2504" s="8" t="s">
        <v>918</v>
      </c>
      <c r="B2504" s="8" t="s">
        <v>234</v>
      </c>
      <c r="C2504" s="19" t="n">
        <v>16</v>
      </c>
      <c r="D2504" s="19" t="n">
        <v>5754.54</v>
      </c>
      <c r="E2504" s="19" t="n">
        <v>18</v>
      </c>
      <c r="F2504" s="19" t="n">
        <v>6424.39</v>
      </c>
      <c r="G2504" s="8" t="n">
        <f aca="false">IFERROR(INDEX('TRANS'!$B:$B,MATCH($B2504,'TRANS'!$A:$A,0)),IFERROR(INDEX('TRANS'!$B:$B,MATCH(TRIM(SUBSTITUTE($B2504,CHAR(160)," ")),'TRANS'!$D:$D,0)),IFERROR(INDEX('Catalog'!$A:$A,MATCH($B2504,'Catalog'!$B:$B,0)),IFERROR(INDEX('Catalog'!$A:$A,MATCH(TRIM(SUBSTITUTE($B2504,CHAR(160)," ")),'Catalog'!$C:$C,0)),""))))</f>
        <v>4413134</v>
      </c>
      <c r="H2504" s="8" t="str">
        <f aca="false">IFERROR(INDEX('TRANS'!$C:$C,MATCH($B2504,'TRANS'!$A:$A,0)),IFERROR(INDEX('Catalog'!$B:$B,MATCH($G2504,'Catalog'!$A:$A,0)),$B2504))</f>
        <v>76 XLמיישר כתף יציב יישור רחב</v>
      </c>
      <c r="I2504" s="8" t="str">
        <f aca="false">IF($G2504="","Unmatched","Matched")</f>
        <v>Matched</v>
      </c>
    </row>
    <row r="2505" customFormat="false" ht="15" hidden="false" customHeight="false" outlineLevel="0" collapsed="false">
      <c r="A2505" s="8" t="s">
        <v>918</v>
      </c>
      <c r="B2505" s="8" t="s">
        <v>235</v>
      </c>
      <c r="C2505" s="19" t="n">
        <v>4</v>
      </c>
      <c r="D2505" s="19" t="n">
        <v>1005.54</v>
      </c>
      <c r="E2505" s="19" t="n">
        <v>8</v>
      </c>
      <c r="F2505" s="19" t="n">
        <v>2859.54</v>
      </c>
      <c r="G2505" s="8" t="str">
        <f aca="false">IFERROR(INDEX('TRANS'!$B:$B,MATCH($B2505,'TRANS'!$A:$A,0)),IFERROR(INDEX('TRANS'!$B:$B,MATCH(TRIM(SUBSTITUTE($B2505,CHAR(160)," ")),'TRANS'!$D:$D,0)),IFERROR(INDEX('Catalog'!$A:$A,MATCH($B2505,'Catalog'!$B:$B,0)),IFERROR(INDEX('Catalog'!$A:$A,MATCH(TRIM(SUBSTITUTE($B2505,CHAR(160)," ")),'Catalog'!$C:$C,0)),""))))</f>
        <v/>
      </c>
      <c r="H2505" s="8" t="str">
        <f aca="false">IFERROR(INDEX('TRANS'!$C:$C,MATCH($B2505,'TRANS'!$A:$A,0)),IFERROR(INDEX('Catalog'!$B:$B,MATCH($G2505,'Catalog'!$A:$A,0)),$B2505))</f>
        <v>76 XS</v>
      </c>
      <c r="I2505" s="8" t="str">
        <f aca="false">IF($G2505="","Unmatched","Matched")</f>
        <v>Unmatched</v>
      </c>
    </row>
    <row r="2506" customFormat="false" ht="15" hidden="false" customHeight="false" outlineLevel="0" collapsed="false">
      <c r="A2506" s="8" t="s">
        <v>918</v>
      </c>
      <c r="B2506" s="8" t="s">
        <v>663</v>
      </c>
      <c r="C2506" s="19" t="n">
        <v>12</v>
      </c>
      <c r="D2506" s="19" t="n">
        <v>4210.4</v>
      </c>
      <c r="E2506" s="19" t="n">
        <v>10</v>
      </c>
      <c r="F2506" s="19" t="n">
        <v>3641.13</v>
      </c>
      <c r="G2506" s="8" t="str">
        <f aca="false">IFERROR(INDEX('TRANS'!$B:$B,MATCH($B2506,'TRANS'!$A:$A,0)),IFERROR(INDEX('TRANS'!$B:$B,MATCH(TRIM(SUBSTITUTE($B2506,CHAR(160)," ")),'TRANS'!$D:$D,0)),IFERROR(INDEX('Catalog'!$A:$A,MATCH($B2506,'Catalog'!$B:$B,0)),IFERROR(INDEX('Catalog'!$A:$A,MATCH(TRIM(SUBSTITUTE($B2506,CHAR(160)," ")),'Catalog'!$C:$C,0)),""))))</f>
        <v/>
      </c>
      <c r="H2506" s="8" t="str">
        <f aca="false">IFERROR(INDEX('TRANS'!$C:$C,MATCH($B2506,'TRANS'!$A:$A,0)),IFERROR(INDEX('Catalog'!$B:$B,MATCH($G2506,'Catalog'!$A:$A,0)),$B2506))</f>
        <v>76 XXL</v>
      </c>
      <c r="I2506" s="8" t="str">
        <f aca="false">IF($G2506="","Unmatched","Matched")</f>
        <v>Unmatched</v>
      </c>
    </row>
    <row r="2507" customFormat="false" ht="15" hidden="false" customHeight="false" outlineLevel="0" collapsed="false">
      <c r="A2507" s="8" t="s">
        <v>918</v>
      </c>
      <c r="B2507" s="8" t="s">
        <v>236</v>
      </c>
      <c r="C2507" s="19" t="n">
        <v>5</v>
      </c>
      <c r="D2507" s="19" t="n">
        <v>3676.5</v>
      </c>
      <c r="E2507" s="19" t="n">
        <v>0</v>
      </c>
      <c r="F2507" s="19" t="n">
        <v>0</v>
      </c>
      <c r="G2507" s="8" t="str">
        <f aca="false">IFERROR(INDEX('TRANS'!$B:$B,MATCH($B2507,'TRANS'!$A:$A,0)),IFERROR(INDEX('TRANS'!$B:$B,MATCH(TRIM(SUBSTITUTE($B2507,CHAR(160)," ")),'TRANS'!$D:$D,0)),IFERROR(INDEX('Catalog'!$A:$A,MATCH($B2507,'Catalog'!$B:$B,0)),IFERROR(INDEX('Catalog'!$A:$A,MATCH(TRIM(SUBSTITUTE($B2507,CHAR(160)," ")),'Catalog'!$C:$C,0)),""))))</f>
        <v/>
      </c>
      <c r="H2507" s="8" t="str">
        <f aca="false">IFERROR(INDEX('TRANS'!$C:$C,MATCH($B2507,'TRANS'!$A:$A,0)),IFERROR(INDEX('Catalog'!$B:$B,MATCH($G2507,'Catalog'!$A:$A,0)),$B2507))</f>
        <v>776 L</v>
      </c>
      <c r="I2507" s="8" t="str">
        <f aca="false">IF($G2507="","Unmatched","Matched")</f>
        <v>Unmatched</v>
      </c>
    </row>
    <row r="2508" customFormat="false" ht="15" hidden="false" customHeight="false" outlineLevel="0" collapsed="false">
      <c r="A2508" s="8" t="s">
        <v>918</v>
      </c>
      <c r="B2508" s="8" t="s">
        <v>604</v>
      </c>
      <c r="C2508" s="19" t="n">
        <v>2</v>
      </c>
      <c r="D2508" s="19" t="n">
        <v>1581.75</v>
      </c>
      <c r="E2508" s="19" t="n">
        <v>0</v>
      </c>
      <c r="F2508" s="19" t="n">
        <v>0</v>
      </c>
      <c r="G2508" s="8" t="str">
        <f aca="false">IFERROR(INDEX('TRANS'!$B:$B,MATCH($B2508,'TRANS'!$A:$A,0)),IFERROR(INDEX('TRANS'!$B:$B,MATCH(TRIM(SUBSTITUTE($B2508,CHAR(160)," ")),'TRANS'!$D:$D,0)),IFERROR(INDEX('Catalog'!$A:$A,MATCH($B2508,'Catalog'!$B:$B,0)),IFERROR(INDEX('Catalog'!$A:$A,MATCH(TRIM(SUBSTITUTE($B2508,CHAR(160)," ")),'Catalog'!$C:$C,0)),""))))</f>
        <v/>
      </c>
      <c r="H2508" s="8" t="str">
        <f aca="false">IFERROR(INDEX('TRANS'!$C:$C,MATCH($B2508,'TRANS'!$A:$A,0)),IFERROR(INDEX('Catalog'!$B:$B,MATCH($G2508,'Catalog'!$A:$A,0)),$B2508))</f>
        <v>776 M</v>
      </c>
      <c r="I2508" s="8" t="str">
        <f aca="false">IF($G2508="","Unmatched","Matched")</f>
        <v>Unmatched</v>
      </c>
    </row>
    <row r="2509" customFormat="false" ht="15" hidden="false" customHeight="false" outlineLevel="0" collapsed="false">
      <c r="A2509" s="8" t="s">
        <v>918</v>
      </c>
      <c r="B2509" s="8" t="s">
        <v>605</v>
      </c>
      <c r="C2509" s="19" t="n">
        <v>3</v>
      </c>
      <c r="D2509" s="19" t="n">
        <v>2265.75</v>
      </c>
      <c r="E2509" s="19" t="n">
        <v>0</v>
      </c>
      <c r="F2509" s="19" t="n">
        <v>0</v>
      </c>
      <c r="G2509" s="8" t="str">
        <f aca="false">IFERROR(INDEX('TRANS'!$B:$B,MATCH($B2509,'TRANS'!$A:$A,0)),IFERROR(INDEX('TRANS'!$B:$B,MATCH(TRIM(SUBSTITUTE($B2509,CHAR(160)," ")),'TRANS'!$D:$D,0)),IFERROR(INDEX('Catalog'!$A:$A,MATCH($B2509,'Catalog'!$B:$B,0)),IFERROR(INDEX('Catalog'!$A:$A,MATCH(TRIM(SUBSTITUTE($B2509,CHAR(160)," ")),'Catalog'!$C:$C,0)),""))))</f>
        <v/>
      </c>
      <c r="H2509" s="8" t="str">
        <f aca="false">IFERROR(INDEX('TRANS'!$C:$C,MATCH($B2509,'TRANS'!$A:$A,0)),IFERROR(INDEX('Catalog'!$B:$B,MATCH($G2509,'Catalog'!$A:$A,0)),$B2509))</f>
        <v>776 S</v>
      </c>
      <c r="I2509" s="8" t="str">
        <f aca="false">IF($G2509="","Unmatched","Matched")</f>
        <v>Unmatched</v>
      </c>
    </row>
    <row r="2510" customFormat="false" ht="15" hidden="false" customHeight="false" outlineLevel="0" collapsed="false">
      <c r="A2510" s="8" t="s">
        <v>918</v>
      </c>
      <c r="B2510" s="8" t="s">
        <v>405</v>
      </c>
      <c r="C2510" s="19" t="n">
        <v>3</v>
      </c>
      <c r="D2510" s="19" t="n">
        <v>2308.5</v>
      </c>
      <c r="E2510" s="19" t="n">
        <v>0</v>
      </c>
      <c r="F2510" s="19" t="n">
        <v>0</v>
      </c>
      <c r="G2510" s="8" t="str">
        <f aca="false">IFERROR(INDEX('TRANS'!$B:$B,MATCH($B2510,'TRANS'!$A:$A,0)),IFERROR(INDEX('TRANS'!$B:$B,MATCH(TRIM(SUBSTITUTE($B2510,CHAR(160)," ")),'TRANS'!$D:$D,0)),IFERROR(INDEX('Catalog'!$A:$A,MATCH($B2510,'Catalog'!$B:$B,0)),IFERROR(INDEX('Catalog'!$A:$A,MATCH(TRIM(SUBSTITUTE($B2510,CHAR(160)," ")),'Catalog'!$C:$C,0)),""))))</f>
        <v/>
      </c>
      <c r="H2510" s="8" t="str">
        <f aca="false">IFERROR(INDEX('TRANS'!$C:$C,MATCH($B2510,'TRANS'!$A:$A,0)),IFERROR(INDEX('Catalog'!$B:$B,MATCH($G2510,'Catalog'!$A:$A,0)),$B2510))</f>
        <v>776 XL</v>
      </c>
      <c r="I2510" s="8" t="str">
        <f aca="false">IF($G2510="","Unmatched","Matched")</f>
        <v>Unmatched</v>
      </c>
    </row>
    <row r="2511" customFormat="false" ht="15" hidden="false" customHeight="false" outlineLevel="0" collapsed="false">
      <c r="A2511" s="8" t="s">
        <v>918</v>
      </c>
      <c r="B2511" s="8" t="s">
        <v>238</v>
      </c>
      <c r="C2511" s="19" t="n">
        <v>28</v>
      </c>
      <c r="D2511" s="19" t="n">
        <v>1021.98</v>
      </c>
      <c r="E2511" s="19" t="n">
        <v>24</v>
      </c>
      <c r="F2511" s="19" t="n">
        <v>891.43</v>
      </c>
      <c r="G2511" s="8" t="n">
        <f aca="false">IFERROR(INDEX('TRANS'!$B:$B,MATCH($B2511,'TRANS'!$A:$A,0)),IFERROR(INDEX('TRANS'!$B:$B,MATCH(TRIM(SUBSTITUTE($B2511,CHAR(160)," ")),'TRANS'!$D:$D,0)),IFERROR(INDEX('Catalog'!$A:$A,MATCH($B2511,'Catalog'!$B:$B,0)),IFERROR(INDEX('Catalog'!$A:$A,MATCH(TRIM(SUBSTITUTE($B2511,CHAR(160)," ")),'Catalog'!$C:$C,0)),""))))</f>
        <v>4422000</v>
      </c>
      <c r="H2511" s="8" t="str">
        <f aca="false">IFERROR(INDEX('TRANS'!$C:$C,MATCH($B2511,'TRANS'!$A:$A,0)),IFERROR(INDEX('Catalog'!$B:$B,MATCH($G2511,'Catalog'!$A:$A,0)),$B2511))</f>
        <v>801  תחבושת אלסטית מקררת</v>
      </c>
      <c r="I2511" s="8" t="str">
        <f aca="false">IF($G2511="","Unmatched","Matched")</f>
        <v>Matched</v>
      </c>
    </row>
    <row r="2512" customFormat="false" ht="15" hidden="false" customHeight="false" outlineLevel="0" collapsed="false">
      <c r="A2512" s="8" t="s">
        <v>918</v>
      </c>
      <c r="B2512" s="8" t="s">
        <v>865</v>
      </c>
      <c r="C2512" s="19" t="n">
        <v>34</v>
      </c>
      <c r="D2512" s="19" t="n">
        <v>176.64</v>
      </c>
      <c r="E2512" s="19" t="n">
        <v>353</v>
      </c>
      <c r="F2512" s="19" t="n">
        <v>1994.13</v>
      </c>
      <c r="G2512" s="8" t="str">
        <f aca="false">IFERROR(INDEX('TRANS'!$B:$B,MATCH($B2512,'TRANS'!$A:$A,0)),IFERROR(INDEX('TRANS'!$B:$B,MATCH(TRIM(SUBSTITUTE($B2512,CHAR(160)," ")),'TRANS'!$D:$D,0)),IFERROR(INDEX('Catalog'!$A:$A,MATCH($B2512,'Catalog'!$B:$B,0)),IFERROR(INDEX('Catalog'!$A:$A,MATCH(TRIM(SUBSTITUTE($B2512,CHAR(160)," ")),'Catalog'!$C:$C,0)),""))))</f>
        <v/>
      </c>
      <c r="H2512" s="8" t="str">
        <f aca="false">IFERROR(INDEX('TRANS'!$C:$C,MATCH($B2512,'TRANS'!$A:$A,0)),IFERROR(INDEX('Catalog'!$B:$B,MATCH($G2512,'Catalog'!$A:$A,0)),$B2512))</f>
        <v>8011 0</v>
      </c>
      <c r="I2512" s="8" t="str">
        <f aca="false">IF($G2512="","Unmatched","Matched")</f>
        <v>Unmatched</v>
      </c>
    </row>
    <row r="2513" customFormat="false" ht="15" hidden="false" customHeight="false" outlineLevel="0" collapsed="false">
      <c r="A2513" s="8" t="s">
        <v>918</v>
      </c>
      <c r="B2513" s="8" t="s">
        <v>239</v>
      </c>
      <c r="C2513" s="19" t="n">
        <v>21</v>
      </c>
      <c r="D2513" s="19" t="n">
        <v>577.66</v>
      </c>
      <c r="E2513" s="19" t="n">
        <v>39</v>
      </c>
      <c r="F2513" s="19" t="n">
        <v>975.76</v>
      </c>
      <c r="G2513" s="8" t="n">
        <f aca="false">IFERROR(INDEX('TRANS'!$B:$B,MATCH($B2513,'TRANS'!$A:$A,0)),IFERROR(INDEX('TRANS'!$B:$B,MATCH(TRIM(SUBSTITUTE($B2513,CHAR(160)," ")),'TRANS'!$D:$D,0)),IFERROR(INDEX('Catalog'!$A:$A,MATCH($B2513,'Catalog'!$B:$B,0)),IFERROR(INDEX('Catalog'!$A:$A,MATCH(TRIM(SUBSTITUTE($B2513,CHAR(160)," ")),'Catalog'!$C:$C,0)),""))))</f>
        <v>4409011</v>
      </c>
      <c r="H2513" s="8" t="str">
        <f aca="false">IFERROR(INDEX('TRANS'!$C:$C,MATCH($B2513,'TRANS'!$A:$A,0)),IFERROR(INDEX('Catalog'!$B:$B,MATCH($G2513,'Catalog'!$A:$A,0)),$B2513))</f>
        <v>804AT-B      טייפ חבישה לספורט</v>
      </c>
      <c r="I2513" s="8" t="str">
        <f aca="false">IF($G2513="","Unmatched","Matched")</f>
        <v>Matched</v>
      </c>
    </row>
    <row r="2514" customFormat="false" ht="15" hidden="false" customHeight="false" outlineLevel="0" collapsed="false">
      <c r="A2514" s="8" t="s">
        <v>918</v>
      </c>
      <c r="B2514" s="8" t="s">
        <v>240</v>
      </c>
      <c r="C2514" s="19" t="n">
        <v>31</v>
      </c>
      <c r="D2514" s="19" t="n">
        <v>851.24</v>
      </c>
      <c r="E2514" s="19" t="n">
        <v>30</v>
      </c>
      <c r="F2514" s="19" t="n">
        <v>825.57</v>
      </c>
      <c r="G2514" s="8" t="n">
        <f aca="false">IFERROR(INDEX('TRANS'!$B:$B,MATCH($B2514,'TRANS'!$A:$A,0)),IFERROR(INDEX('TRANS'!$B:$B,MATCH(TRIM(SUBSTITUTE($B2514,CHAR(160)," ")),'TRANS'!$D:$D,0)),IFERROR(INDEX('Catalog'!$A:$A,MATCH($B2514,'Catalog'!$B:$B,0)),IFERROR(INDEX('Catalog'!$A:$A,MATCH(TRIM(SUBSTITUTE($B2514,CHAR(160)," ")),'Catalog'!$C:$C,0)),""))))</f>
        <v>4409013</v>
      </c>
      <c r="H2514" s="8" t="str">
        <f aca="false">IFERROR(INDEX('TRANS'!$C:$C,MATCH($B2514,'TRANS'!$A:$A,0)),IFERROR(INDEX('Catalog'!$B:$B,MATCH($G2514,'Catalog'!$A:$A,0)),$B2514))</f>
        <v>804AT-BL     טייפ חבישה לספורט</v>
      </c>
      <c r="I2514" s="8" t="str">
        <f aca="false">IF($G2514="","Unmatched","Matched")</f>
        <v>Matched</v>
      </c>
    </row>
    <row r="2515" customFormat="false" ht="15" hidden="false" customHeight="false" outlineLevel="0" collapsed="false">
      <c r="A2515" s="8" t="s">
        <v>918</v>
      </c>
      <c r="B2515" s="8" t="s">
        <v>241</v>
      </c>
      <c r="C2515" s="19" t="n">
        <v>29</v>
      </c>
      <c r="D2515" s="19" t="n">
        <v>742.52</v>
      </c>
      <c r="E2515" s="19" t="n">
        <v>46</v>
      </c>
      <c r="F2515" s="19" t="n">
        <v>1293.06</v>
      </c>
      <c r="G2515" s="8" t="n">
        <f aca="false">IFERROR(INDEX('TRANS'!$B:$B,MATCH($B2515,'TRANS'!$A:$A,0)),IFERROR(INDEX('TRANS'!$B:$B,MATCH(TRIM(SUBSTITUTE($B2515,CHAR(160)," ")),'TRANS'!$D:$D,0)),IFERROR(INDEX('Catalog'!$A:$A,MATCH($B2515,'Catalog'!$B:$B,0)),IFERROR(INDEX('Catalog'!$A:$A,MATCH(TRIM(SUBSTITUTE($B2515,CHAR(160)," ")),'Catalog'!$C:$C,0)),""))))</f>
        <v>4409012</v>
      </c>
      <c r="H2515" s="8" t="str">
        <f aca="false">IFERROR(INDEX('TRANS'!$C:$C,MATCH($B2515,'TRANS'!$A:$A,0)),IFERROR(INDEX('Catalog'!$B:$B,MATCH($G2515,'Catalog'!$A:$A,0)),$B2515))</f>
        <v>804AT-C      טייפ חבישה לספורט</v>
      </c>
      <c r="I2515" s="8" t="str">
        <f aca="false">IF($G2515="","Unmatched","Matched")</f>
        <v>Matched</v>
      </c>
    </row>
    <row r="2516" customFormat="false" ht="15" hidden="false" customHeight="false" outlineLevel="0" collapsed="false">
      <c r="A2516" s="8" t="s">
        <v>918</v>
      </c>
      <c r="B2516" s="8" t="s">
        <v>413</v>
      </c>
      <c r="C2516" s="19" t="n">
        <v>21</v>
      </c>
      <c r="D2516" s="19" t="n">
        <v>559.46</v>
      </c>
      <c r="E2516" s="19" t="n">
        <v>61</v>
      </c>
      <c r="F2516" s="19" t="n">
        <v>1618.4</v>
      </c>
      <c r="G2516" s="8" t="n">
        <f aca="false">IFERROR(INDEX('TRANS'!$B:$B,MATCH($B2516,'TRANS'!$A:$A,0)),IFERROR(INDEX('TRANS'!$B:$B,MATCH(TRIM(SUBSTITUTE($B2516,CHAR(160)," ")),'TRANS'!$D:$D,0)),IFERROR(INDEX('Catalog'!$A:$A,MATCH($B2516,'Catalog'!$B:$B,0)),IFERROR(INDEX('Catalog'!$A:$A,MATCH(TRIM(SUBSTITUTE($B2516,CHAR(160)," ")),'Catalog'!$C:$C,0)),""))))</f>
        <v>4409010</v>
      </c>
      <c r="H2516" s="8" t="str">
        <f aca="false">IFERROR(INDEX('TRANS'!$C:$C,MATCH($B2516,'TRANS'!$A:$A,0)),IFERROR(INDEX('Catalog'!$B:$B,MATCH($G2516,'Catalog'!$A:$A,0)),$B2516))</f>
        <v>804AT-W      טייפ חבישה לספורט</v>
      </c>
      <c r="I2516" s="8" t="str">
        <f aca="false">IF($G2516="","Unmatched","Matched")</f>
        <v>Matched</v>
      </c>
    </row>
    <row r="2517" customFormat="false" ht="15" hidden="false" customHeight="false" outlineLevel="0" collapsed="false">
      <c r="A2517" s="8" t="s">
        <v>918</v>
      </c>
      <c r="B2517" s="8" t="s">
        <v>242</v>
      </c>
      <c r="C2517" s="19" t="n">
        <v>22</v>
      </c>
      <c r="D2517" s="19" t="n">
        <v>577.89</v>
      </c>
      <c r="E2517" s="19" t="n">
        <v>41</v>
      </c>
      <c r="F2517" s="19" t="n">
        <v>1164.86</v>
      </c>
      <c r="G2517" s="8" t="n">
        <f aca="false">IFERROR(INDEX('TRANS'!$B:$B,MATCH($B2517,'TRANS'!$A:$A,0)),IFERROR(INDEX('TRANS'!$B:$B,MATCH(TRIM(SUBSTITUTE($B2517,CHAR(160)," ")),'TRANS'!$D:$D,0)),IFERROR(INDEX('Catalog'!$A:$A,MATCH($B2517,'Catalog'!$B:$B,0)),IFERROR(INDEX('Catalog'!$A:$A,MATCH(TRIM(SUBSTITUTE($B2517,CHAR(160)," ")),'Catalog'!$C:$C,0)),""))))</f>
        <v>4401012</v>
      </c>
      <c r="H2517" s="8" t="str">
        <f aca="false">IFERROR(INDEX('TRANS'!$C:$C,MATCH($B2517,'TRANS'!$A:$A,0)),IFERROR(INDEX('Catalog'!$B:$B,MATCH($G2517,'Catalog'!$A:$A,0)),$B2517))</f>
        <v>805AT-B אתלטיק טייפ שחור 20מ""""מ</v>
      </c>
      <c r="I2517" s="8" t="str">
        <f aca="false">IF($G2517="","Unmatched","Matched")</f>
        <v>Matched</v>
      </c>
    </row>
    <row r="2518" customFormat="false" ht="15" hidden="false" customHeight="false" outlineLevel="0" collapsed="false">
      <c r="A2518" s="8" t="s">
        <v>918</v>
      </c>
      <c r="B2518" s="8" t="s">
        <v>503</v>
      </c>
      <c r="C2518" s="19" t="n">
        <v>6</v>
      </c>
      <c r="D2518" s="19" t="n">
        <v>158.5</v>
      </c>
      <c r="E2518" s="19" t="n">
        <v>4</v>
      </c>
      <c r="F2518" s="19" t="n">
        <v>107.9</v>
      </c>
      <c r="G2518" s="8" t="n">
        <f aca="false">IFERROR(INDEX('TRANS'!$B:$B,MATCH($B2518,'TRANS'!$A:$A,0)),IFERROR(INDEX('TRANS'!$B:$B,MATCH(TRIM(SUBSTITUTE($B2518,CHAR(160)," ")),'TRANS'!$D:$D,0)),IFERROR(INDEX('Catalog'!$A:$A,MATCH($B2518,'Catalog'!$B:$B,0)),IFERROR(INDEX('Catalog'!$A:$A,MATCH(TRIM(SUBSTITUTE($B2518,CHAR(160)," ")),'Catalog'!$C:$C,0)),""))))</f>
        <v>4401013</v>
      </c>
      <c r="H2518" s="8" t="str">
        <f aca="false">IFERROR(INDEX('TRANS'!$C:$C,MATCH($B2518,'TRANS'!$A:$A,0)),IFERROR(INDEX('Catalog'!$B:$B,MATCH($G2518,'Catalog'!$A:$A,0)),$B2518))</f>
        <v>805AT-BLאתלטיק טייפ כחול 20מ""""מ</v>
      </c>
      <c r="I2518" s="8" t="str">
        <f aca="false">IF($G2518="","Unmatched","Matched")</f>
        <v>Matched</v>
      </c>
    </row>
    <row r="2519" customFormat="false" ht="15" hidden="false" customHeight="false" outlineLevel="0" collapsed="false">
      <c r="A2519" s="8" t="s">
        <v>918</v>
      </c>
      <c r="B2519" s="8" t="s">
        <v>243</v>
      </c>
      <c r="C2519" s="19" t="n">
        <v>14</v>
      </c>
      <c r="D2519" s="19" t="n">
        <v>378.95</v>
      </c>
      <c r="E2519" s="19" t="n">
        <v>10</v>
      </c>
      <c r="F2519" s="19" t="n">
        <v>289.25</v>
      </c>
      <c r="G2519" s="8" t="n">
        <f aca="false">IFERROR(INDEX('TRANS'!$B:$B,MATCH($B2519,'TRANS'!$A:$A,0)),IFERROR(INDEX('TRANS'!$B:$B,MATCH(TRIM(SUBSTITUTE($B2519,CHAR(160)," ")),'TRANS'!$D:$D,0)),IFERROR(INDEX('Catalog'!$A:$A,MATCH($B2519,'Catalog'!$B:$B,0)),IFERROR(INDEX('Catalog'!$A:$A,MATCH(TRIM(SUBSTITUTE($B2519,CHAR(160)," ")),'Catalog'!$C:$C,0)),""))))</f>
        <v>4401011</v>
      </c>
      <c r="H2519" s="8" t="str">
        <f aca="false">IFERROR(INDEX('TRANS'!$C:$C,MATCH($B2519,'TRANS'!$A:$A,0)),IFERROR(INDEX('Catalog'!$B:$B,MATCH($G2519,'Catalog'!$A:$A,0)),$B2519))</f>
        <v>805AT-Cאתלטיק טייפ בז' 20מ""""מ20</v>
      </c>
      <c r="I2519" s="8" t="str">
        <f aca="false">IF($G2519="","Unmatched","Matched")</f>
        <v>Matched</v>
      </c>
    </row>
    <row r="2520" customFormat="false" ht="15" hidden="false" customHeight="false" outlineLevel="0" collapsed="false">
      <c r="A2520" s="8" t="s">
        <v>918</v>
      </c>
      <c r="B2520" s="8" t="s">
        <v>817</v>
      </c>
      <c r="C2520" s="19" t="n">
        <v>12</v>
      </c>
      <c r="D2520" s="19" t="n">
        <v>318.56</v>
      </c>
      <c r="E2520" s="19" t="n">
        <v>13</v>
      </c>
      <c r="F2520" s="19" t="n">
        <v>345.56</v>
      </c>
      <c r="G2520" s="8" t="n">
        <f aca="false">IFERROR(INDEX('TRANS'!$B:$B,MATCH($B2520,'TRANS'!$A:$A,0)),IFERROR(INDEX('TRANS'!$B:$B,MATCH(TRIM(SUBSTITUTE($B2520,CHAR(160)," ")),'TRANS'!$D:$D,0)),IFERROR(INDEX('Catalog'!$A:$A,MATCH($B2520,'Catalog'!$B:$B,0)),IFERROR(INDEX('Catalog'!$A:$A,MATCH(TRIM(SUBSTITUTE($B2520,CHAR(160)," ")),'Catalog'!$C:$C,0)),""))))</f>
        <v>4401014</v>
      </c>
      <c r="H2520" s="8" t="str">
        <f aca="false">IFERROR(INDEX('TRANS'!$C:$C,MATCH($B2520,'TRANS'!$A:$A,0)),IFERROR(INDEX('Catalog'!$B:$B,MATCH($G2520,'Catalog'!$A:$A,0)),$B2520))</f>
        <v>805AT-W  אתלטיק טייפ לבן 20מ""""מ</v>
      </c>
      <c r="I2520" s="8" t="str">
        <f aca="false">IF($G2520="","Unmatched","Matched")</f>
        <v>Matched</v>
      </c>
    </row>
    <row r="2521" customFormat="false" ht="15" hidden="false" customHeight="false" outlineLevel="0" collapsed="false">
      <c r="A2521" s="8" t="s">
        <v>918</v>
      </c>
      <c r="B2521" s="8" t="s">
        <v>414</v>
      </c>
      <c r="C2521" s="19" t="n">
        <v>56</v>
      </c>
      <c r="D2521" s="19" t="n">
        <v>1127.78</v>
      </c>
      <c r="E2521" s="19" t="n">
        <v>69</v>
      </c>
      <c r="F2521" s="19" t="n">
        <v>1301.9</v>
      </c>
      <c r="G2521" s="8" t="n">
        <f aca="false">IFERROR(INDEX('TRANS'!$B:$B,MATCH($B2521,'TRANS'!$A:$A,0)),IFERROR(INDEX('TRANS'!$B:$B,MATCH(TRIM(SUBSTITUTE($B2521,CHAR(160)," ")),'TRANS'!$D:$D,0)),IFERROR(INDEX('Catalog'!$A:$A,MATCH($B2521,'Catalog'!$B:$B,0)),IFERROR(INDEX('Catalog'!$A:$A,MATCH(TRIM(SUBSTITUTE($B2521,CHAR(160)," ")),'Catalog'!$C:$C,0)),""))))</f>
        <v>4422024</v>
      </c>
      <c r="H2521" s="8" t="str">
        <f aca="false">IFERROR(INDEX('TRANS'!$C:$C,MATCH($B2521,'TRANS'!$A:$A,0)),IFERROR(INDEX('Catalog'!$B:$B,MATCH($G2521,'Catalog'!$A:$A,0)),$B2521))</f>
        <v>806CB-BLACK      תחבושת א.נצמ</v>
      </c>
      <c r="I2521" s="8" t="str">
        <f aca="false">IF($G2521="","Unmatched","Matched")</f>
        <v>Matched</v>
      </c>
    </row>
    <row r="2522" customFormat="false" ht="15" hidden="false" customHeight="false" outlineLevel="0" collapsed="false">
      <c r="A2522" s="8" t="s">
        <v>918</v>
      </c>
      <c r="B2522" s="8" t="s">
        <v>415</v>
      </c>
      <c r="C2522" s="19" t="n">
        <v>59</v>
      </c>
      <c r="D2522" s="19" t="n">
        <v>1141.76</v>
      </c>
      <c r="E2522" s="19" t="n">
        <v>49</v>
      </c>
      <c r="F2522" s="19" t="n">
        <v>955.59</v>
      </c>
      <c r="G2522" s="8" t="n">
        <f aca="false">IFERROR(INDEX('TRANS'!$B:$B,MATCH($B2522,'TRANS'!$A:$A,0)),IFERROR(INDEX('TRANS'!$B:$B,MATCH(TRIM(SUBSTITUTE($B2522,CHAR(160)," ")),'TRANS'!$D:$D,0)),IFERROR(INDEX('Catalog'!$A:$A,MATCH($B2522,'Catalog'!$B:$B,0)),IFERROR(INDEX('Catalog'!$A:$A,MATCH(TRIM(SUBSTITUTE($B2522,CHAR(160)," ")),'Catalog'!$C:$C,0)),""))))</f>
        <v>4422023</v>
      </c>
      <c r="H2522" s="8" t="str">
        <f aca="false">IFERROR(INDEX('TRANS'!$C:$C,MATCH($B2522,'TRANS'!$A:$A,0)),IFERROR(INDEX('Catalog'!$B:$B,MATCH($G2522,'Catalog'!$A:$A,0)),$B2522))</f>
        <v>806CB-BEIGE      תחבושת א.נצמ</v>
      </c>
      <c r="I2522" s="8" t="str">
        <f aca="false">IF($G2522="","Unmatched","Matched")</f>
        <v>Matched</v>
      </c>
    </row>
    <row r="2523" customFormat="false" ht="15" hidden="false" customHeight="false" outlineLevel="0" collapsed="false">
      <c r="A2523" s="8" t="s">
        <v>918</v>
      </c>
      <c r="B2523" s="8" t="s">
        <v>416</v>
      </c>
      <c r="C2523" s="19" t="n">
        <v>13</v>
      </c>
      <c r="D2523" s="19" t="n">
        <v>240.54</v>
      </c>
      <c r="E2523" s="19" t="n">
        <v>7</v>
      </c>
      <c r="F2523" s="19" t="n">
        <v>148.19</v>
      </c>
      <c r="G2523" s="8" t="n">
        <f aca="false">IFERROR(INDEX('TRANS'!$B:$B,MATCH($B2523,'TRANS'!$A:$A,0)),IFERROR(INDEX('TRANS'!$B:$B,MATCH(TRIM(SUBSTITUTE($B2523,CHAR(160)," ")),'TRANS'!$D:$D,0)),IFERROR(INDEX('Catalog'!$A:$A,MATCH($B2523,'Catalog'!$B:$B,0)),IFERROR(INDEX('Catalog'!$A:$A,MATCH(TRIM(SUBSTITUTE($B2523,CHAR(160)," ")),'Catalog'!$C:$C,0)),""))))</f>
        <v>4422025</v>
      </c>
      <c r="H2523" s="8" t="str">
        <f aca="false">IFERROR(INDEX('TRANS'!$C:$C,MATCH($B2523,'TRANS'!$A:$A,0)),IFERROR(INDEX('Catalog'!$B:$B,MATCH($G2523,'Catalog'!$A:$A,0)),$B2523))</f>
        <v>806CB-GREEN      תחבושת א.נצמ</v>
      </c>
      <c r="I2523" s="8" t="str">
        <f aca="false">IF($G2523="","Unmatched","Matched")</f>
        <v>Matched</v>
      </c>
    </row>
    <row r="2524" customFormat="false" ht="15" hidden="false" customHeight="false" outlineLevel="0" collapsed="false">
      <c r="A2524" s="8" t="s">
        <v>918</v>
      </c>
      <c r="B2524" s="8" t="s">
        <v>417</v>
      </c>
      <c r="C2524" s="19" t="n">
        <v>3</v>
      </c>
      <c r="D2524" s="19" t="n">
        <v>59.28</v>
      </c>
      <c r="E2524" s="19" t="n">
        <v>5</v>
      </c>
      <c r="F2524" s="19" t="n">
        <v>100.32</v>
      </c>
      <c r="G2524" s="8" t="n">
        <f aca="false">IFERROR(INDEX('TRANS'!$B:$B,MATCH($B2524,'TRANS'!$A:$A,0)),IFERROR(INDEX('TRANS'!$B:$B,MATCH(TRIM(SUBSTITUTE($B2524,CHAR(160)," ")),'TRANS'!$D:$D,0)),IFERROR(INDEX('Catalog'!$A:$A,MATCH($B2524,'Catalog'!$B:$B,0)),IFERROR(INDEX('Catalog'!$A:$A,MATCH(TRIM(SUBSTITUTE($B2524,CHAR(160)," ")),'Catalog'!$C:$C,0)),""))))</f>
        <v>4422026</v>
      </c>
      <c r="H2524" s="8" t="str">
        <f aca="false">IFERROR(INDEX('TRANS'!$C:$C,MATCH($B2524,'TRANS'!$A:$A,0)),IFERROR(INDEX('Catalog'!$B:$B,MATCH($G2524,'Catalog'!$A:$A,0)),$B2524))</f>
        <v>806CB-PINK       תחבושת א.נצמ</v>
      </c>
      <c r="I2524" s="8" t="str">
        <f aca="false">IF($G2524="","Unmatched","Matched")</f>
        <v>Matched</v>
      </c>
    </row>
    <row r="2525" customFormat="false" ht="15" hidden="false" customHeight="false" outlineLevel="0" collapsed="false">
      <c r="A2525" s="8" t="s">
        <v>918</v>
      </c>
      <c r="B2525" s="8" t="s">
        <v>244</v>
      </c>
      <c r="C2525" s="19" t="n">
        <v>7</v>
      </c>
      <c r="D2525" s="19" t="n">
        <v>140.22</v>
      </c>
      <c r="E2525" s="19" t="n">
        <v>38</v>
      </c>
      <c r="F2525" s="19" t="n">
        <v>726.2</v>
      </c>
      <c r="G2525" s="8" t="n">
        <f aca="false">IFERROR(INDEX('TRANS'!$B:$B,MATCH($B2525,'TRANS'!$A:$A,0)),IFERROR(INDEX('TRANS'!$B:$B,MATCH(TRIM(SUBSTITUTE($B2525,CHAR(160)," ")),'TRANS'!$D:$D,0)),IFERROR(INDEX('Catalog'!$A:$A,MATCH($B2525,'Catalog'!$B:$B,0)),IFERROR(INDEX('Catalog'!$A:$A,MATCH(TRIM(SUBSTITUTE($B2525,CHAR(160)," ")),'Catalog'!$C:$C,0)),""))))</f>
        <v>4422032</v>
      </c>
      <c r="H2525" s="8" t="str">
        <f aca="false">IFERROR(INDEX('TRANS'!$C:$C,MATCH($B2525,'TRANS'!$A:$A,0)),IFERROR(INDEX('Catalog'!$B:$B,MATCH($G2525,'Catalog'!$A:$A,0)),$B2525))</f>
        <v>807B-Bתחבושת נצמדת שחור 20 מ""""מ</v>
      </c>
      <c r="I2525" s="8" t="str">
        <f aca="false">IF($G2525="","Unmatched","Matched")</f>
        <v>Matched</v>
      </c>
    </row>
    <row r="2526" customFormat="false" ht="15" hidden="false" customHeight="false" outlineLevel="0" collapsed="false">
      <c r="A2526" s="8" t="s">
        <v>918</v>
      </c>
      <c r="B2526" s="8" t="s">
        <v>245</v>
      </c>
      <c r="C2526" s="19" t="n">
        <v>6</v>
      </c>
      <c r="D2526" s="19" t="n">
        <v>117.41</v>
      </c>
      <c r="E2526" s="19" t="n">
        <v>12</v>
      </c>
      <c r="F2526" s="19" t="n">
        <v>251.91</v>
      </c>
      <c r="G2526" s="8" t="n">
        <f aca="false">IFERROR(INDEX('TRANS'!$B:$B,MATCH($B2526,'TRANS'!$A:$A,0)),IFERROR(INDEX('TRANS'!$B:$B,MATCH(TRIM(SUBSTITUTE($B2526,CHAR(160)," ")),'TRANS'!$D:$D,0)),IFERROR(INDEX('Catalog'!$A:$A,MATCH($B2526,'Catalog'!$B:$B,0)),IFERROR(INDEX('Catalog'!$A:$A,MATCH(TRIM(SUBSTITUTE($B2526,CHAR(160)," ")),'Catalog'!$C:$C,0)),""))))</f>
        <v>4422033</v>
      </c>
      <c r="H2526" s="8" t="str">
        <f aca="false">IFERROR(INDEX('TRANS'!$C:$C,MATCH($B2526,'TRANS'!$A:$A,0)),IFERROR(INDEX('Catalog'!$B:$B,MATCH($G2526,'Catalog'!$A:$A,0)),$B2526))</f>
        <v>807CB-BLתחבושת נצמדת כחול20מ""""מ</v>
      </c>
      <c r="I2526" s="8" t="str">
        <f aca="false">IF($G2526="","Unmatched","Matched")</f>
        <v>Matched</v>
      </c>
    </row>
    <row r="2527" customFormat="false" ht="15" hidden="false" customHeight="false" outlineLevel="0" collapsed="false">
      <c r="A2527" s="8" t="s">
        <v>918</v>
      </c>
      <c r="B2527" s="8" t="s">
        <v>246</v>
      </c>
      <c r="C2527" s="19" t="n">
        <v>26</v>
      </c>
      <c r="D2527" s="19" t="n">
        <v>496.32</v>
      </c>
      <c r="E2527" s="19" t="n">
        <v>37</v>
      </c>
      <c r="F2527" s="19" t="n">
        <v>784.61</v>
      </c>
      <c r="G2527" s="8" t="n">
        <f aca="false">IFERROR(INDEX('TRANS'!$B:$B,MATCH($B2527,'TRANS'!$A:$A,0)),IFERROR(INDEX('TRANS'!$B:$B,MATCH(TRIM(SUBSTITUTE($B2527,CHAR(160)," ")),'TRANS'!$D:$D,0)),IFERROR(INDEX('Catalog'!$A:$A,MATCH($B2527,'Catalog'!$B:$B,0)),IFERROR(INDEX('Catalog'!$A:$A,MATCH(TRIM(SUBSTITUTE($B2527,CHAR(160)," ")),'Catalog'!$C:$C,0)),""))))</f>
        <v>4422031</v>
      </c>
      <c r="H2527" s="8" t="str">
        <f aca="false">IFERROR(INDEX('TRANS'!$C:$C,MATCH($B2527,'TRANS'!$A:$A,0)),IFERROR(INDEX('Catalog'!$B:$B,MATCH($G2527,'Catalog'!$A:$A,0)),$B2527))</f>
        <v>807CB-Cתחבושת נצמדת בז' 20 מ""""מ</v>
      </c>
      <c r="I2527" s="8" t="str">
        <f aca="false">IF($G2527="","Unmatched","Matched")</f>
        <v>Matched</v>
      </c>
    </row>
    <row r="2528" customFormat="false" ht="15" hidden="false" customHeight="false" outlineLevel="0" collapsed="false">
      <c r="A2528" s="8" t="s">
        <v>918</v>
      </c>
      <c r="B2528" s="8" t="s">
        <v>505</v>
      </c>
      <c r="C2528" s="19" t="n">
        <v>8</v>
      </c>
      <c r="D2528" s="19" t="n">
        <v>162.3</v>
      </c>
      <c r="E2528" s="19" t="n">
        <v>31</v>
      </c>
      <c r="F2528" s="19" t="n">
        <v>660.02</v>
      </c>
      <c r="G2528" s="8" t="n">
        <f aca="false">IFERROR(INDEX('TRANS'!$B:$B,MATCH($B2528,'TRANS'!$A:$A,0)),IFERROR(INDEX('TRANS'!$B:$B,MATCH(TRIM(SUBSTITUTE($B2528,CHAR(160)," ")),'TRANS'!$D:$D,0)),IFERROR(INDEX('Catalog'!$A:$A,MATCH($B2528,'Catalog'!$B:$B,0)),IFERROR(INDEX('Catalog'!$A:$A,MATCH(TRIM(SUBSTITUTE($B2528,CHAR(160)," ")),'Catalog'!$C:$C,0)),""))))</f>
        <v>4422034</v>
      </c>
      <c r="H2528" s="8" t="str">
        <f aca="false">IFERROR(INDEX('TRANS'!$C:$C,MATCH($B2528,'TRANS'!$A:$A,0)),IFERROR(INDEX('Catalog'!$B:$B,MATCH($G2528,'Catalog'!$A:$A,0)),$B2528))</f>
        <v>807CB-P תחבושת נצמדת ורוד 20ממ</v>
      </c>
      <c r="I2528" s="8" t="str">
        <f aca="false">IF($G2528="","Unmatched","Matched")</f>
        <v>Matched</v>
      </c>
    </row>
    <row r="2529" customFormat="false" ht="15" hidden="false" customHeight="false" outlineLevel="0" collapsed="false">
      <c r="A2529" s="8" t="s">
        <v>918</v>
      </c>
      <c r="B2529" s="8" t="s">
        <v>247</v>
      </c>
      <c r="C2529" s="19" t="n">
        <v>20</v>
      </c>
      <c r="D2529" s="19" t="n">
        <v>1479.33</v>
      </c>
      <c r="E2529" s="19" t="n">
        <v>18</v>
      </c>
      <c r="F2529" s="19" t="n">
        <v>1282.67</v>
      </c>
      <c r="G2529" s="8" t="n">
        <f aca="false">IFERROR(INDEX('TRANS'!$B:$B,MATCH($B2529,'TRANS'!$A:$A,0)),IFERROR(INDEX('TRANS'!$B:$B,MATCH(TRIM(SUBSTITUTE($B2529,CHAR(160)," ")),'TRANS'!$D:$D,0)),IFERROR(INDEX('Catalog'!$A:$A,MATCH($B2529,'Catalog'!$B:$B,0)),IFERROR(INDEX('Catalog'!$A:$A,MATCH(TRIM(SUBSTITUTE($B2529,CHAR(160)," ")),'Catalog'!$C:$C,0)),""))))</f>
        <v>4409017</v>
      </c>
      <c r="H2529" s="8" t="str">
        <f aca="false">IFERROR(INDEX('TRANS'!$C:$C,MATCH($B2529,'TRANS'!$A:$A,0)),IFERROR(INDEX('Catalog'!$B:$B,MATCH($G2529,'Catalog'!$A:$A,0)),$B2529))</f>
        <v>808KT-B        טייפ קינזיולוגי</v>
      </c>
      <c r="I2529" s="8" t="str">
        <f aca="false">IF($G2529="","Unmatched","Matched")</f>
        <v>Matched</v>
      </c>
    </row>
    <row r="2530" customFormat="false" ht="15" hidden="false" customHeight="false" outlineLevel="0" collapsed="false">
      <c r="A2530" s="8" t="s">
        <v>918</v>
      </c>
      <c r="B2530" s="8" t="s">
        <v>506</v>
      </c>
      <c r="C2530" s="19" t="n">
        <v>5</v>
      </c>
      <c r="D2530" s="19" t="n">
        <v>359.14</v>
      </c>
      <c r="E2530" s="19" t="n">
        <v>10</v>
      </c>
      <c r="F2530" s="19" t="n">
        <v>556.53</v>
      </c>
      <c r="G2530" s="8" t="n">
        <f aca="false">IFERROR(INDEX('TRANS'!$B:$B,MATCH($B2530,'TRANS'!$A:$A,0)),IFERROR(INDEX('TRANS'!$B:$B,MATCH(TRIM(SUBSTITUTE($B2530,CHAR(160)," ")),'TRANS'!$D:$D,0)),IFERROR(INDEX('Catalog'!$A:$A,MATCH($B2530,'Catalog'!$B:$B,0)),IFERROR(INDEX('Catalog'!$A:$A,MATCH(TRIM(SUBSTITUTE($B2530,CHAR(160)," ")),'Catalog'!$C:$C,0)),""))))</f>
        <v>4409015</v>
      </c>
      <c r="H2530" s="8" t="str">
        <f aca="false">IFERROR(INDEX('TRANS'!$C:$C,MATCH($B2530,'TRANS'!$A:$A,0)),IFERROR(INDEX('Catalog'!$B:$B,MATCH($G2530,'Catalog'!$A:$A,0)),$B2530))</f>
        <v>808KT-BL       טייפ קינזיולוגי</v>
      </c>
      <c r="I2530" s="8" t="str">
        <f aca="false">IF($G2530="","Unmatched","Matched")</f>
        <v>Matched</v>
      </c>
    </row>
    <row r="2531" customFormat="false" ht="15" hidden="false" customHeight="false" outlineLevel="0" collapsed="false">
      <c r="A2531" s="8" t="s">
        <v>918</v>
      </c>
      <c r="B2531" s="8" t="s">
        <v>248</v>
      </c>
      <c r="C2531" s="19" t="n">
        <v>39</v>
      </c>
      <c r="D2531" s="19" t="n">
        <v>2903.04</v>
      </c>
      <c r="E2531" s="19" t="n">
        <v>26</v>
      </c>
      <c r="F2531" s="19" t="n">
        <v>1967.09</v>
      </c>
      <c r="G2531" s="8" t="n">
        <f aca="false">IFERROR(INDEX('TRANS'!$B:$B,MATCH($B2531,'TRANS'!$A:$A,0)),IFERROR(INDEX('TRANS'!$B:$B,MATCH(TRIM(SUBSTITUTE($B2531,CHAR(160)," ")),'TRANS'!$D:$D,0)),IFERROR(INDEX('Catalog'!$A:$A,MATCH($B2531,'Catalog'!$B:$B,0)),IFERROR(INDEX('Catalog'!$A:$A,MATCH(TRIM(SUBSTITUTE($B2531,CHAR(160)," ")),'Catalog'!$C:$C,0)),""))))</f>
        <v>4409016</v>
      </c>
      <c r="H2531" s="8" t="str">
        <f aca="false">IFERROR(INDEX('TRANS'!$C:$C,MATCH($B2531,'TRANS'!$A:$A,0)),IFERROR(INDEX('Catalog'!$B:$B,MATCH($G2531,'Catalog'!$A:$A,0)),$B2531))</f>
        <v>808KT-C        טייפ קינזיולוגי</v>
      </c>
      <c r="I2531" s="8" t="str">
        <f aca="false">IF($G2531="","Unmatched","Matched")</f>
        <v>Matched</v>
      </c>
    </row>
    <row r="2532" customFormat="false" ht="15" hidden="false" customHeight="false" outlineLevel="0" collapsed="false">
      <c r="A2532" s="8" t="s">
        <v>918</v>
      </c>
      <c r="B2532" s="8" t="s">
        <v>507</v>
      </c>
      <c r="C2532" s="19" t="n">
        <v>10</v>
      </c>
      <c r="D2532" s="19" t="n">
        <v>705.46</v>
      </c>
      <c r="E2532" s="19" t="n">
        <v>18</v>
      </c>
      <c r="F2532" s="19" t="n">
        <v>1197.18</v>
      </c>
      <c r="G2532" s="8" t="n">
        <f aca="false">IFERROR(INDEX('TRANS'!$B:$B,MATCH($B2532,'TRANS'!$A:$A,0)),IFERROR(INDEX('TRANS'!$B:$B,MATCH(TRIM(SUBSTITUTE($B2532,CHAR(160)," ")),'TRANS'!$D:$D,0)),IFERROR(INDEX('Catalog'!$A:$A,MATCH($B2532,'Catalog'!$B:$B,0)),IFERROR(INDEX('Catalog'!$A:$A,MATCH(TRIM(SUBSTITUTE($B2532,CHAR(160)," ")),'Catalog'!$C:$C,0)),""))))</f>
        <v>4409014</v>
      </c>
      <c r="H2532" s="8" t="str">
        <f aca="false">IFERROR(INDEX('TRANS'!$C:$C,MATCH($B2532,'TRANS'!$A:$A,0)),IFERROR(INDEX('Catalog'!$B:$B,MATCH($G2532,'Catalog'!$A:$A,0)),$B2532))</f>
        <v>808KT-P        טייפ קינזיולוגי</v>
      </c>
      <c r="I2532" s="8" t="str">
        <f aca="false">IF($G2532="","Unmatched","Matched")</f>
        <v>Matched</v>
      </c>
    </row>
    <row r="2533" customFormat="false" ht="15" hidden="false" customHeight="false" outlineLevel="0" collapsed="false">
      <c r="A2533" s="8" t="s">
        <v>918</v>
      </c>
      <c r="B2533" s="8" t="s">
        <v>770</v>
      </c>
      <c r="C2533" s="19" t="n">
        <v>1</v>
      </c>
      <c r="D2533" s="19" t="n">
        <v>85.51</v>
      </c>
      <c r="E2533" s="19" t="n">
        <v>0</v>
      </c>
      <c r="F2533" s="19" t="n">
        <v>0</v>
      </c>
      <c r="G2533" s="8" t="str">
        <f aca="false">IFERROR(INDEX('TRANS'!$B:$B,MATCH($B2533,'TRANS'!$A:$A,0)),IFERROR(INDEX('TRANS'!$B:$B,MATCH(TRIM(SUBSTITUTE($B2533,CHAR(160)," ")),'TRANS'!$D:$D,0)),IFERROR(INDEX('Catalog'!$A:$A,MATCH($B2533,'Catalog'!$B:$B,0)),IFERROR(INDEX('Catalog'!$A:$A,MATCH(TRIM(SUBSTITUTE($B2533,CHAR(160)," ")),'Catalog'!$C:$C,0)),""))))</f>
        <v/>
      </c>
      <c r="H2533" s="8" t="str">
        <f aca="false">IFERROR(INDEX('TRANS'!$C:$C,MATCH($B2533,'TRANS'!$A:$A,0)),IFERROR(INDEX('Catalog'!$B:$B,MATCH($G2533,'Catalog'!$A:$A,0)),$B2533))</f>
        <v>808KTP-B</v>
      </c>
      <c r="I2533" s="8" t="str">
        <f aca="false">IF($G2533="","Unmatched","Matched")</f>
        <v>Unmatched</v>
      </c>
    </row>
    <row r="2534" customFormat="false" ht="15" hidden="false" customHeight="false" outlineLevel="0" collapsed="false">
      <c r="A2534" s="8" t="s">
        <v>918</v>
      </c>
      <c r="B2534" s="8" t="s">
        <v>508</v>
      </c>
      <c r="C2534" s="19" t="n">
        <v>3</v>
      </c>
      <c r="D2534" s="19" t="n">
        <v>243.7</v>
      </c>
      <c r="E2534" s="19" t="n">
        <v>1</v>
      </c>
      <c r="F2534" s="19" t="n">
        <v>72.68</v>
      </c>
      <c r="G2534" s="8" t="str">
        <f aca="false">IFERROR(INDEX('TRANS'!$B:$B,MATCH($B2534,'TRANS'!$A:$A,0)),IFERROR(INDEX('TRANS'!$B:$B,MATCH(TRIM(SUBSTITUTE($B2534,CHAR(160)," ")),'TRANS'!$D:$D,0)),IFERROR(INDEX('Catalog'!$A:$A,MATCH($B2534,'Catalog'!$B:$B,0)),IFERROR(INDEX('Catalog'!$A:$A,MATCH(TRIM(SUBSTITUTE($B2534,CHAR(160)," ")),'Catalog'!$C:$C,0)),""))))</f>
        <v/>
      </c>
      <c r="H2534" s="8" t="str">
        <f aca="false">IFERROR(INDEX('TRANS'!$C:$C,MATCH($B2534,'TRANS'!$A:$A,0)),IFERROR(INDEX('Catalog'!$B:$B,MATCH($G2534,'Catalog'!$A:$A,0)),$B2534))</f>
        <v>808KTP-BL</v>
      </c>
      <c r="I2534" s="8" t="str">
        <f aca="false">IF($G2534="","Unmatched","Matched")</f>
        <v>Unmatched</v>
      </c>
    </row>
    <row r="2535" customFormat="false" ht="15" hidden="false" customHeight="false" outlineLevel="0" collapsed="false">
      <c r="A2535" s="8" t="s">
        <v>918</v>
      </c>
      <c r="B2535" s="8" t="s">
        <v>630</v>
      </c>
      <c r="C2535" s="19" t="n">
        <v>2</v>
      </c>
      <c r="D2535" s="19" t="n">
        <v>141.09</v>
      </c>
      <c r="E2535" s="19" t="n">
        <v>0</v>
      </c>
      <c r="F2535" s="19" t="n">
        <v>0</v>
      </c>
      <c r="G2535" s="8" t="str">
        <f aca="false">IFERROR(INDEX('TRANS'!$B:$B,MATCH($B2535,'TRANS'!$A:$A,0)),IFERROR(INDEX('TRANS'!$B:$B,MATCH(TRIM(SUBSTITUTE($B2535,CHAR(160)," ")),'TRANS'!$D:$D,0)),IFERROR(INDEX('Catalog'!$A:$A,MATCH($B2535,'Catalog'!$B:$B,0)),IFERROR(INDEX('Catalog'!$A:$A,MATCH(TRIM(SUBSTITUTE($B2535,CHAR(160)," ")),'Catalog'!$C:$C,0)),""))))</f>
        <v/>
      </c>
      <c r="H2535" s="8" t="str">
        <f aca="false">IFERROR(INDEX('TRANS'!$C:$C,MATCH($B2535,'TRANS'!$A:$A,0)),IFERROR(INDEX('Catalog'!$B:$B,MATCH($G2535,'Catalog'!$A:$A,0)),$B2535))</f>
        <v>808KTP-C</v>
      </c>
      <c r="I2535" s="8" t="str">
        <f aca="false">IF($G2535="","Unmatched","Matched")</f>
        <v>Unmatched</v>
      </c>
    </row>
    <row r="2536" customFormat="false" ht="15" hidden="false" customHeight="false" outlineLevel="0" collapsed="false">
      <c r="A2536" s="8" t="s">
        <v>918</v>
      </c>
      <c r="B2536" s="8" t="s">
        <v>701</v>
      </c>
      <c r="C2536" s="19" t="n">
        <v>0</v>
      </c>
      <c r="D2536" s="19" t="n">
        <v>0</v>
      </c>
      <c r="E2536" s="19" t="n">
        <v>1</v>
      </c>
      <c r="F2536" s="19" t="n">
        <v>72.68</v>
      </c>
      <c r="G2536" s="8" t="str">
        <f aca="false">IFERROR(INDEX('TRANS'!$B:$B,MATCH($B2536,'TRANS'!$A:$A,0)),IFERROR(INDEX('TRANS'!$B:$B,MATCH(TRIM(SUBSTITUTE($B2536,CHAR(160)," ")),'TRANS'!$D:$D,0)),IFERROR(INDEX('Catalog'!$A:$A,MATCH($B2536,'Catalog'!$B:$B,0)),IFERROR(INDEX('Catalog'!$A:$A,MATCH(TRIM(SUBSTITUTE($B2536,CHAR(160)," ")),'Catalog'!$C:$C,0)),""))))</f>
        <v/>
      </c>
      <c r="H2536" s="8" t="str">
        <f aca="false">IFERROR(INDEX('TRANS'!$C:$C,MATCH($B2536,'TRANS'!$A:$A,0)),IFERROR(INDEX('Catalog'!$B:$B,MATCH($G2536,'Catalog'!$A:$A,0)),$B2536))</f>
        <v>808KTP-P</v>
      </c>
      <c r="I2536" s="8" t="str">
        <f aca="false">IF($G2536="","Unmatched","Matched")</f>
        <v>Unmatched</v>
      </c>
    </row>
    <row r="2537" customFormat="false" ht="15" hidden="false" customHeight="false" outlineLevel="0" collapsed="false">
      <c r="A2537" s="8" t="s">
        <v>918</v>
      </c>
      <c r="B2537" s="8" t="s">
        <v>249</v>
      </c>
      <c r="C2537" s="19" t="n">
        <v>19</v>
      </c>
      <c r="D2537" s="19" t="n">
        <v>1463.4</v>
      </c>
      <c r="E2537" s="19" t="n">
        <v>37</v>
      </c>
      <c r="F2537" s="19" t="n">
        <v>3044.13</v>
      </c>
      <c r="G2537" s="8" t="n">
        <f aca="false">IFERROR(INDEX('TRANS'!$B:$B,MATCH($B2537,'TRANS'!$A:$A,0)),IFERROR(INDEX('TRANS'!$B:$B,MATCH(TRIM(SUBSTITUTE($B2537,CHAR(160)," ")),'TRANS'!$D:$D,0)),IFERROR(INDEX('Catalog'!$A:$A,MATCH($B2537,'Catalog'!$B:$B,0)),IFERROR(INDEX('Catalog'!$A:$A,MATCH(TRIM(SUBSTITUTE($B2537,CHAR(160)," ")),'Catalog'!$C:$C,0)),""))))</f>
        <v>4411015</v>
      </c>
      <c r="H2537" s="8" t="str">
        <f aca="false">IFERROR(INDEX('TRANS'!$C:$C,MATCH($B2537,'TRANS'!$A:$A,0)),IFERROR(INDEX('Catalog'!$B:$B,MATCH($G2537,'Catalog'!$A:$A,0)),$B2537))</f>
        <v>820 0 כרית חום וקור</v>
      </c>
      <c r="I2537" s="8" t="str">
        <f aca="false">IF($G2537="","Unmatched","Matched")</f>
        <v>Matched</v>
      </c>
    </row>
    <row r="2538" customFormat="false" ht="15" hidden="false" customHeight="false" outlineLevel="0" collapsed="false">
      <c r="A2538" s="8" t="s">
        <v>918</v>
      </c>
      <c r="B2538" s="8" t="s">
        <v>250</v>
      </c>
      <c r="C2538" s="19" t="n">
        <v>37</v>
      </c>
      <c r="D2538" s="19" t="n">
        <v>8672.74</v>
      </c>
      <c r="E2538" s="19" t="n">
        <v>39</v>
      </c>
      <c r="F2538" s="19" t="n">
        <v>9467.11</v>
      </c>
      <c r="G2538" s="8" t="str">
        <f aca="false">IFERROR(INDEX('TRANS'!$B:$B,MATCH($B2538,'TRANS'!$A:$A,0)),IFERROR(INDEX('TRANS'!$B:$B,MATCH(TRIM(SUBSTITUTE($B2538,CHAR(160)," ")),'TRANS'!$D:$D,0)),IFERROR(INDEX('Catalog'!$A:$A,MATCH($B2538,'Catalog'!$B:$B,0)),IFERROR(INDEX('Catalog'!$A:$A,MATCH(TRIM(SUBSTITUTE($B2538,CHAR(160)," ")),'Catalog'!$C:$C,0)),""))))</f>
        <v/>
      </c>
      <c r="H2538" s="8" t="str">
        <f aca="false">IFERROR(INDEX('TRANS'!$C:$C,MATCH($B2538,'TRANS'!$A:$A,0)),IFERROR(INDEX('Catalog'!$B:$B,MATCH($G2538,'Catalog'!$A:$A,0)),$B2538))</f>
        <v>84-L-XXL</v>
      </c>
      <c r="I2538" s="8" t="str">
        <f aca="false">IF($G2538="","Unmatched","Matched")</f>
        <v>Unmatched</v>
      </c>
    </row>
    <row r="2539" customFormat="false" ht="15" hidden="false" customHeight="false" outlineLevel="0" collapsed="false">
      <c r="A2539" s="8" t="s">
        <v>918</v>
      </c>
      <c r="B2539" s="8" t="s">
        <v>251</v>
      </c>
      <c r="C2539" s="19" t="n">
        <v>71</v>
      </c>
      <c r="D2539" s="19" t="n">
        <v>17147.06</v>
      </c>
      <c r="E2539" s="19" t="n">
        <v>57</v>
      </c>
      <c r="F2539" s="19" t="n">
        <v>14092.68</v>
      </c>
      <c r="G2539" s="8" t="str">
        <f aca="false">IFERROR(INDEX('TRANS'!$B:$B,MATCH($B2539,'TRANS'!$A:$A,0)),IFERROR(INDEX('TRANS'!$B:$B,MATCH(TRIM(SUBSTITUTE($B2539,CHAR(160)," ")),'TRANS'!$D:$D,0)),IFERROR(INDEX('Catalog'!$A:$A,MATCH($B2539,'Catalog'!$B:$B,0)),IFERROR(INDEX('Catalog'!$A:$A,MATCH(TRIM(SUBSTITUTE($B2539,CHAR(160)," ")),'Catalog'!$C:$C,0)),""))))</f>
        <v/>
      </c>
      <c r="H2539" s="8" t="str">
        <f aca="false">IFERROR(INDEX('TRANS'!$C:$C,MATCH($B2539,'TRANS'!$A:$A,0)),IFERROR(INDEX('Catalog'!$B:$B,MATCH($G2539,'Catalog'!$A:$A,0)),$B2539))</f>
        <v>84-S-M</v>
      </c>
      <c r="I2539" s="8" t="str">
        <f aca="false">IF($G2539="","Unmatched","Matched")</f>
        <v>Unmatched</v>
      </c>
    </row>
    <row r="2540" customFormat="false" ht="15" hidden="false" customHeight="false" outlineLevel="0" collapsed="false">
      <c r="A2540" s="8" t="s">
        <v>918</v>
      </c>
      <c r="B2540" s="8" t="s">
        <v>418</v>
      </c>
      <c r="C2540" s="19" t="n">
        <v>23</v>
      </c>
      <c r="D2540" s="19" t="n">
        <v>3618.72</v>
      </c>
      <c r="E2540" s="19" t="n">
        <v>14</v>
      </c>
      <c r="F2540" s="19" t="n">
        <v>2309.85</v>
      </c>
      <c r="G2540" s="8" t="n">
        <f aca="false">IFERROR(INDEX('TRANS'!$B:$B,MATCH($B2540,'TRANS'!$A:$A,0)),IFERROR(INDEX('TRANS'!$B:$B,MATCH(TRIM(SUBSTITUTE($B2540,CHAR(160)," ")),'TRANS'!$D:$D,0)),IFERROR(INDEX('Catalog'!$A:$A,MATCH($B2540,'Catalog'!$B:$B,0)),IFERROR(INDEX('Catalog'!$A:$A,MATCH(TRIM(SUBSTITUTE($B2540,CHAR(160)," ")),'Catalog'!$C:$C,0)),""))))</f>
        <v>4413176</v>
      </c>
      <c r="H2540" s="8" t="str">
        <f aca="false">IFERROR(INDEX('TRANS'!$C:$C,MATCH($B2540,'TRANS'!$A:$A,0)),IFERROR(INDEX('Catalog'!$B:$B,MATCH($G2540,'Catalog'!$A:$A,0)),$B2540))</f>
        <v>85+ Lמתלה ליד)כיס(+רצועת חיזוק</v>
      </c>
      <c r="I2540" s="8" t="str">
        <f aca="false">IF($G2540="","Unmatched","Matched")</f>
        <v>Matched</v>
      </c>
    </row>
    <row r="2541" customFormat="false" ht="15" hidden="false" customHeight="false" outlineLevel="0" collapsed="false">
      <c r="A2541" s="8" t="s">
        <v>918</v>
      </c>
      <c r="B2541" s="8" t="s">
        <v>419</v>
      </c>
      <c r="C2541" s="19" t="n">
        <v>15</v>
      </c>
      <c r="D2541" s="19" t="n">
        <v>2455.27</v>
      </c>
      <c r="E2541" s="19" t="n">
        <v>3</v>
      </c>
      <c r="F2541" s="19" t="n">
        <v>496.2</v>
      </c>
      <c r="G2541" s="8" t="n">
        <f aca="false">IFERROR(INDEX('TRANS'!$B:$B,MATCH($B2541,'TRANS'!$A:$A,0)),IFERROR(INDEX('TRANS'!$B:$B,MATCH(TRIM(SUBSTITUTE($B2541,CHAR(160)," ")),'TRANS'!$D:$D,0)),IFERROR(INDEX('Catalog'!$A:$A,MATCH($B2541,'Catalog'!$B:$B,0)),IFERROR(INDEX('Catalog'!$A:$A,MATCH(TRIM(SUBSTITUTE($B2541,CHAR(160)," ")),'Catalog'!$C:$C,0)),""))))</f>
        <v>4413175</v>
      </c>
      <c r="H2541" s="8" t="str">
        <f aca="false">IFERROR(INDEX('TRANS'!$C:$C,MATCH($B2541,'TRANS'!$A:$A,0)),IFERROR(INDEX('Catalog'!$B:$B,MATCH($G2541,'Catalog'!$A:$A,0)),$B2541))</f>
        <v>85+ Mמתלה ליד)כיס(+רצועת חיזוק</v>
      </c>
      <c r="I2541" s="8" t="str">
        <f aca="false">IF($G2541="","Unmatched","Matched")</f>
        <v>Matched</v>
      </c>
    </row>
    <row r="2542" customFormat="false" ht="15" hidden="false" customHeight="false" outlineLevel="0" collapsed="false">
      <c r="A2542" s="8" t="s">
        <v>918</v>
      </c>
      <c r="B2542" s="8" t="s">
        <v>706</v>
      </c>
      <c r="C2542" s="19" t="n">
        <v>2</v>
      </c>
      <c r="D2542" s="19" t="n">
        <v>342.2</v>
      </c>
      <c r="E2542" s="19" t="n">
        <v>1</v>
      </c>
      <c r="F2542" s="19" t="n">
        <v>171.1</v>
      </c>
      <c r="G2542" s="8" t="str">
        <f aca="false">IFERROR(INDEX('TRANS'!$B:$B,MATCH($B2542,'TRANS'!$A:$A,0)),IFERROR(INDEX('TRANS'!$B:$B,MATCH(TRIM(SUBSTITUTE($B2542,CHAR(160)," ")),'TRANS'!$D:$D,0)),IFERROR(INDEX('Catalog'!$A:$A,MATCH($B2542,'Catalog'!$B:$B,0)),IFERROR(INDEX('Catalog'!$A:$A,MATCH(TRIM(SUBSTITUTE($B2542,CHAR(160)," ")),'Catalog'!$C:$C,0)),""))))</f>
        <v/>
      </c>
      <c r="H2542" s="8" t="str">
        <f aca="false">IFERROR(INDEX('TRANS'!$C:$C,MATCH($B2542,'TRANS'!$A:$A,0)),IFERROR(INDEX('Catalog'!$B:$B,MATCH($G2542,'Catalog'!$A:$A,0)),$B2542))</f>
        <v>85+ S</v>
      </c>
      <c r="I2542" s="8" t="str">
        <f aca="false">IF($G2542="","Unmatched","Matched")</f>
        <v>Unmatched</v>
      </c>
    </row>
    <row r="2543" customFormat="false" ht="15" hidden="false" customHeight="false" outlineLevel="0" collapsed="false">
      <c r="A2543" s="8" t="s">
        <v>918</v>
      </c>
      <c r="B2543" s="8" t="s">
        <v>420</v>
      </c>
      <c r="C2543" s="19" t="n">
        <v>9</v>
      </c>
      <c r="D2543" s="19" t="n">
        <v>1488.56</v>
      </c>
      <c r="E2543" s="19" t="n">
        <v>12</v>
      </c>
      <c r="F2543" s="19" t="n">
        <v>1984.78</v>
      </c>
      <c r="G2543" s="8" t="n">
        <f aca="false">IFERROR(INDEX('TRANS'!$B:$B,MATCH($B2543,'TRANS'!$A:$A,0)),IFERROR(INDEX('TRANS'!$B:$B,MATCH(TRIM(SUBSTITUTE($B2543,CHAR(160)," ")),'TRANS'!$D:$D,0)),IFERROR(INDEX('Catalog'!$A:$A,MATCH($B2543,'Catalog'!$B:$B,0)),IFERROR(INDEX('Catalog'!$A:$A,MATCH(TRIM(SUBSTITUTE($B2543,CHAR(160)," ")),'Catalog'!$C:$C,0)),""))))</f>
        <v>4413177</v>
      </c>
      <c r="H2543" s="8" t="str">
        <f aca="false">IFERROR(INDEX('TRANS'!$C:$C,MATCH($B2543,'TRANS'!$A:$A,0)),IFERROR(INDEX('Catalog'!$B:$B,MATCH($G2543,'Catalog'!$A:$A,0)),$B2543))</f>
        <v>85+ XLמתלה ליד)כיס(רצועת חיזוק</v>
      </c>
      <c r="I2543" s="8" t="str">
        <f aca="false">IF($G2543="","Unmatched","Matched")</f>
        <v>Matched</v>
      </c>
    </row>
    <row r="2544" customFormat="false" ht="15" hidden="false" customHeight="false" outlineLevel="0" collapsed="false">
      <c r="A2544" s="8" t="s">
        <v>918</v>
      </c>
      <c r="B2544" s="8" t="s">
        <v>252</v>
      </c>
      <c r="C2544" s="19" t="n">
        <v>7</v>
      </c>
      <c r="D2544" s="19" t="n">
        <v>701.97</v>
      </c>
      <c r="E2544" s="19" t="n">
        <v>9</v>
      </c>
      <c r="F2544" s="19" t="n">
        <v>906.76</v>
      </c>
      <c r="G2544" s="8" t="n">
        <f aca="false">IFERROR(INDEX('TRANS'!$B:$B,MATCH($B2544,'TRANS'!$A:$A,0)),IFERROR(INDEX('TRANS'!$B:$B,MATCH(TRIM(SUBSTITUTE($B2544,CHAR(160)," ")),'TRANS'!$D:$D,0)),IFERROR(INDEX('Catalog'!$A:$A,MATCH($B2544,'Catalog'!$B:$B,0)),IFERROR(INDEX('Catalog'!$A:$A,MATCH(TRIM(SUBSTITUTE($B2544,CHAR(160)," ")),'Catalog'!$C:$C,0)),""))))</f>
        <v>4413135</v>
      </c>
      <c r="H2544" s="8" t="str">
        <f aca="false">IFERROR(INDEX('TRANS'!$C:$C,MATCH($B2544,'TRANS'!$A:$A,0)),IFERROR(INDEX('Catalog'!$B:$B,MATCH($G2544,'Catalog'!$A:$A,0)),$B2544))</f>
        <v>85 L (מתלה ליד )כיס</v>
      </c>
      <c r="I2544" s="8" t="str">
        <f aca="false">IF($G2544="","Unmatched","Matched")</f>
        <v>Matched</v>
      </c>
    </row>
    <row r="2545" customFormat="false" ht="15" hidden="false" customHeight="false" outlineLevel="0" collapsed="false">
      <c r="A2545" s="8" t="s">
        <v>918</v>
      </c>
      <c r="B2545" s="8" t="s">
        <v>253</v>
      </c>
      <c r="C2545" s="19" t="n">
        <v>5</v>
      </c>
      <c r="D2545" s="19" t="n">
        <v>512.3</v>
      </c>
      <c r="E2545" s="19" t="n">
        <v>6</v>
      </c>
      <c r="F2545" s="19" t="n">
        <v>614.75</v>
      </c>
      <c r="G2545" s="8" t="n">
        <f aca="false">IFERROR(INDEX('TRANS'!$B:$B,MATCH($B2545,'TRANS'!$A:$A,0)),IFERROR(INDEX('TRANS'!$B:$B,MATCH(TRIM(SUBSTITUTE($B2545,CHAR(160)," ")),'TRANS'!$D:$D,0)),IFERROR(INDEX('Catalog'!$A:$A,MATCH($B2545,'Catalog'!$B:$B,0)),IFERROR(INDEX('Catalog'!$A:$A,MATCH(TRIM(SUBSTITUTE($B2545,CHAR(160)," ")),'Catalog'!$C:$C,0)),""))))</f>
        <v>4413136</v>
      </c>
      <c r="H2545" s="8" t="str">
        <f aca="false">IFERROR(INDEX('TRANS'!$C:$C,MATCH($B2545,'TRANS'!$A:$A,0)),IFERROR(INDEX('Catalog'!$B:$B,MATCH($G2545,'Catalog'!$A:$A,0)),$B2545))</f>
        <v>85 M (מתלה ליד )כיס</v>
      </c>
      <c r="I2545" s="8" t="str">
        <f aca="false">IF($G2545="","Unmatched","Matched")</f>
        <v>Matched</v>
      </c>
    </row>
    <row r="2546" customFormat="false" ht="15" hidden="false" customHeight="false" outlineLevel="0" collapsed="false">
      <c r="A2546" s="8" t="s">
        <v>918</v>
      </c>
      <c r="B2546" s="8" t="s">
        <v>664</v>
      </c>
      <c r="C2546" s="19" t="n">
        <v>1</v>
      </c>
      <c r="D2546" s="19" t="n">
        <v>102.46</v>
      </c>
      <c r="E2546" s="19" t="n">
        <v>2</v>
      </c>
      <c r="F2546" s="19" t="n">
        <v>204.92</v>
      </c>
      <c r="G2546" s="8" t="n">
        <f aca="false">IFERROR(INDEX('TRANS'!$B:$B,MATCH($B2546,'TRANS'!$A:$A,0)),IFERROR(INDEX('TRANS'!$B:$B,MATCH(TRIM(SUBSTITUTE($B2546,CHAR(160)," ")),'TRANS'!$D:$D,0)),IFERROR(INDEX('Catalog'!$A:$A,MATCH($B2546,'Catalog'!$B:$B,0)),IFERROR(INDEX('Catalog'!$A:$A,MATCH(TRIM(SUBSTITUTE($B2546,CHAR(160)," ")),'Catalog'!$C:$C,0)),""))))</f>
        <v>4413137</v>
      </c>
      <c r="H2546" s="8" t="str">
        <f aca="false">IFERROR(INDEX('TRANS'!$C:$C,MATCH($B2546,'TRANS'!$A:$A,0)),IFERROR(INDEX('Catalog'!$B:$B,MATCH($G2546,'Catalog'!$A:$A,0)),$B2546))</f>
        <v>85 S (מתלה ליד )כיס</v>
      </c>
      <c r="I2546" s="8" t="str">
        <f aca="false">IF($G2546="","Unmatched","Matched")</f>
        <v>Matched</v>
      </c>
    </row>
    <row r="2547" customFormat="false" ht="15" hidden="false" customHeight="false" outlineLevel="0" collapsed="false">
      <c r="A2547" s="8" t="s">
        <v>918</v>
      </c>
      <c r="B2547" s="8" t="s">
        <v>254</v>
      </c>
      <c r="C2547" s="19" t="n">
        <v>7</v>
      </c>
      <c r="D2547" s="19" t="n">
        <v>701.85</v>
      </c>
      <c r="E2547" s="19" t="n">
        <v>4</v>
      </c>
      <c r="F2547" s="19" t="n">
        <v>409.84</v>
      </c>
      <c r="G2547" s="8" t="n">
        <f aca="false">IFERROR(INDEX('TRANS'!$B:$B,MATCH($B2547,'TRANS'!$A:$A,0)),IFERROR(INDEX('TRANS'!$B:$B,MATCH(TRIM(SUBSTITUTE($B2547,CHAR(160)," ")),'TRANS'!$D:$D,0)),IFERROR(INDEX('Catalog'!$A:$A,MATCH($B2547,'Catalog'!$B:$B,0)),IFERROR(INDEX('Catalog'!$A:$A,MATCH(TRIM(SUBSTITUTE($B2547,CHAR(160)," ")),'Catalog'!$C:$C,0)),""))))</f>
        <v>4413138</v>
      </c>
      <c r="H2547" s="8" t="str">
        <f aca="false">IFERROR(INDEX('TRANS'!$C:$C,MATCH($B2547,'TRANS'!$A:$A,0)),IFERROR(INDEX('Catalog'!$B:$B,MATCH($G2547,'Catalog'!$A:$A,0)),$B2547))</f>
        <v>85 XL (מתלה ליד )כיס</v>
      </c>
      <c r="I2547" s="8" t="str">
        <f aca="false">IF($G2547="","Unmatched","Matched")</f>
        <v>Matched</v>
      </c>
    </row>
    <row r="2548" customFormat="false" ht="15" hidden="false" customHeight="false" outlineLevel="0" collapsed="false">
      <c r="A2548" s="8" t="s">
        <v>918</v>
      </c>
      <c r="B2548" s="8" t="s">
        <v>255</v>
      </c>
      <c r="C2548" s="19" t="n">
        <v>19</v>
      </c>
      <c r="D2548" s="19" t="n">
        <v>1900.63</v>
      </c>
      <c r="E2548" s="19" t="n">
        <v>29</v>
      </c>
      <c r="F2548" s="19" t="n">
        <v>2889.34</v>
      </c>
      <c r="G2548" s="8" t="n">
        <f aca="false">IFERROR(INDEX('TRANS'!$B:$B,MATCH($B2548,'TRANS'!$A:$A,0)),IFERROR(INDEX('TRANS'!$B:$B,MATCH(TRIM(SUBSTITUTE($B2548,CHAR(160)," ")),'TRANS'!$D:$D,0)),IFERROR(INDEX('Catalog'!$A:$A,MATCH($B2548,'Catalog'!$B:$B,0)),IFERROR(INDEX('Catalog'!$A:$A,MATCH(TRIM(SUBSTITUTE($B2548,CHAR(160)," ")),'Catalog'!$C:$C,0)),""))))</f>
        <v>4413516</v>
      </c>
      <c r="H2548" s="8" t="str">
        <f aca="false">IFERROR(INDEX('TRANS'!$C:$C,MATCH($B2548,'TRANS'!$A:$A,0)),IFERROR(INDEX('Catalog'!$B:$B,MATCH($G2548,'Catalog'!$A:$A,0)),$B2548))</f>
        <v>85B L מתלה רשת לזרוע שחור</v>
      </c>
      <c r="I2548" s="8" t="str">
        <f aca="false">IF($G2548="","Unmatched","Matched")</f>
        <v>Matched</v>
      </c>
    </row>
    <row r="2549" customFormat="false" ht="15" hidden="false" customHeight="false" outlineLevel="0" collapsed="false">
      <c r="A2549" s="8" t="s">
        <v>918</v>
      </c>
      <c r="B2549" s="8" t="s">
        <v>256</v>
      </c>
      <c r="C2549" s="19" t="n">
        <v>5</v>
      </c>
      <c r="D2549" s="19" t="n">
        <v>512.3</v>
      </c>
      <c r="E2549" s="19" t="n">
        <v>16</v>
      </c>
      <c r="F2549" s="19" t="n">
        <v>1618.86</v>
      </c>
      <c r="G2549" s="8" t="n">
        <f aca="false">IFERROR(INDEX('TRANS'!$B:$B,MATCH($B2549,'TRANS'!$A:$A,0)),IFERROR(INDEX('TRANS'!$B:$B,MATCH(TRIM(SUBSTITUTE($B2549,CHAR(160)," ")),'TRANS'!$D:$D,0)),IFERROR(INDEX('Catalog'!$A:$A,MATCH($B2549,'Catalog'!$B:$B,0)),IFERROR(INDEX('Catalog'!$A:$A,MATCH(TRIM(SUBSTITUTE($B2549,CHAR(160)," ")),'Catalog'!$C:$C,0)),""))))</f>
        <v>4413517</v>
      </c>
      <c r="H2549" s="8" t="str">
        <f aca="false">IFERROR(INDEX('TRANS'!$C:$C,MATCH($B2549,'TRANS'!$A:$A,0)),IFERROR(INDEX('Catalog'!$B:$B,MATCH($G2549,'Catalog'!$A:$A,0)),$B2549))</f>
        <v>85B M מתלה רשת לזרוע שחור</v>
      </c>
      <c r="I2549" s="8" t="str">
        <f aca="false">IF($G2549="","Unmatched","Matched")</f>
        <v>Matched</v>
      </c>
    </row>
    <row r="2550" customFormat="false" ht="15" hidden="false" customHeight="false" outlineLevel="0" collapsed="false">
      <c r="A2550" s="8" t="s">
        <v>918</v>
      </c>
      <c r="B2550" s="8" t="s">
        <v>257</v>
      </c>
      <c r="C2550" s="19" t="n">
        <v>2</v>
      </c>
      <c r="D2550" s="19" t="n">
        <v>204.92</v>
      </c>
      <c r="E2550" s="19" t="n">
        <v>6</v>
      </c>
      <c r="F2550" s="19" t="n">
        <v>604.51</v>
      </c>
      <c r="G2550" s="8" t="n">
        <f aca="false">IFERROR(INDEX('TRANS'!$B:$B,MATCH($B2550,'TRANS'!$A:$A,0)),IFERROR(INDEX('TRANS'!$B:$B,MATCH(TRIM(SUBSTITUTE($B2550,CHAR(160)," ")),'TRANS'!$D:$D,0)),IFERROR(INDEX('Catalog'!$A:$A,MATCH($B2550,'Catalog'!$B:$B,0)),IFERROR(INDEX('Catalog'!$A:$A,MATCH(TRIM(SUBSTITUTE($B2550,CHAR(160)," ")),'Catalog'!$C:$C,0)),""))))</f>
        <v>4413519</v>
      </c>
      <c r="H2550" s="8" t="str">
        <f aca="false">IFERROR(INDEX('TRANS'!$C:$C,MATCH($B2550,'TRANS'!$A:$A,0)),IFERROR(INDEX('Catalog'!$B:$B,MATCH($G2550,'Catalog'!$A:$A,0)),$B2550))</f>
        <v>85B S מתלה רשת לזרוע שחור</v>
      </c>
      <c r="I2550" s="8" t="str">
        <f aca="false">IF($G2550="","Unmatched","Matched")</f>
        <v>Matched</v>
      </c>
    </row>
    <row r="2551" customFormat="false" ht="15" hidden="false" customHeight="false" outlineLevel="0" collapsed="false">
      <c r="A2551" s="8" t="s">
        <v>918</v>
      </c>
      <c r="B2551" s="8" t="s">
        <v>258</v>
      </c>
      <c r="C2551" s="19" t="n">
        <v>9</v>
      </c>
      <c r="D2551" s="19" t="n">
        <v>891.4</v>
      </c>
      <c r="E2551" s="19" t="n">
        <v>20</v>
      </c>
      <c r="F2551" s="19" t="n">
        <v>2028.71</v>
      </c>
      <c r="G2551" s="8" t="n">
        <f aca="false">IFERROR(INDEX('TRANS'!$B:$B,MATCH($B2551,'TRANS'!$A:$A,0)),IFERROR(INDEX('TRANS'!$B:$B,MATCH(TRIM(SUBSTITUTE($B2551,CHAR(160)," ")),'TRANS'!$D:$D,0)),IFERROR(INDEX('Catalog'!$A:$A,MATCH($B2551,'Catalog'!$B:$B,0)),IFERROR(INDEX('Catalog'!$A:$A,MATCH(TRIM(SUBSTITUTE($B2551,CHAR(160)," ")),'Catalog'!$C:$C,0)),""))))</f>
        <v>4413518</v>
      </c>
      <c r="H2551" s="8" t="str">
        <f aca="false">IFERROR(INDEX('TRANS'!$C:$C,MATCH($B2551,'TRANS'!$A:$A,0)),IFERROR(INDEX('Catalog'!$B:$B,MATCH($G2551,'Catalog'!$A:$A,0)),$B2551))</f>
        <v>85B XL מתלה רשת לזרוע שחור</v>
      </c>
      <c r="I2551" s="8" t="str">
        <f aca="false">IF($G2551="","Unmatched","Matched")</f>
        <v>Matched</v>
      </c>
    </row>
    <row r="2552" customFormat="false" ht="15" hidden="false" customHeight="false" outlineLevel="0" collapsed="false">
      <c r="A2552" s="8" t="s">
        <v>918</v>
      </c>
      <c r="B2552" s="8" t="s">
        <v>259</v>
      </c>
      <c r="C2552" s="19" t="n">
        <v>63</v>
      </c>
      <c r="D2552" s="19" t="n">
        <v>5676.34</v>
      </c>
      <c r="E2552" s="19" t="n">
        <v>37</v>
      </c>
      <c r="F2552" s="19" t="n">
        <v>3406.84</v>
      </c>
      <c r="G2552" s="8" t="n">
        <f aca="false">IFERROR(INDEX('TRANS'!$B:$B,MATCH($B2552,'TRANS'!$A:$A,0)),IFERROR(INDEX('TRANS'!$B:$B,MATCH(TRIM(SUBSTITUTE($B2552,CHAR(160)," ")),'TRANS'!$D:$D,0)),IFERROR(INDEX('Catalog'!$A:$A,MATCH($B2552,'Catalog'!$B:$B,0)),IFERROR(INDEX('Catalog'!$A:$A,MATCH(TRIM(SUBSTITUTE($B2552,CHAR(160)," ")),'Catalog'!$C:$C,0)),""))))</f>
        <v>4413455</v>
      </c>
      <c r="H2552" s="8" t="str">
        <f aca="false">IFERROR(INDEX('TRANS'!$C:$C,MATCH($B2552,'TRANS'!$A:$A,0)),IFERROR(INDEX('Catalog'!$B:$B,MATCH($G2552,'Catalog'!$A:$A,0)),$B2552))</f>
        <v>85K מתלה ליד לילדים</v>
      </c>
      <c r="I2552" s="8" t="str">
        <f aca="false">IF($G2552="","Unmatched","Matched")</f>
        <v>Matched</v>
      </c>
    </row>
    <row r="2553" customFormat="false" ht="15" hidden="false" customHeight="false" outlineLevel="0" collapsed="false">
      <c r="A2553" s="8" t="s">
        <v>918</v>
      </c>
      <c r="B2553" s="8" t="s">
        <v>979</v>
      </c>
      <c r="C2553" s="19" t="n">
        <v>1</v>
      </c>
      <c r="D2553" s="19" t="n">
        <v>211.78</v>
      </c>
      <c r="E2553" s="19" t="n">
        <v>0</v>
      </c>
      <c r="F2553" s="19" t="n">
        <v>0</v>
      </c>
      <c r="G2553" s="8" t="str">
        <f aca="false">IFERROR(INDEX('TRANS'!$B:$B,MATCH($B2553,'TRANS'!$A:$A,0)),IFERROR(INDEX('TRANS'!$B:$B,MATCH(TRIM(SUBSTITUTE($B2553,CHAR(160)," ")),'TRANS'!$D:$D,0)),IFERROR(INDEX('Catalog'!$A:$A,MATCH($B2553,'Catalog'!$B:$B,0)),IFERROR(INDEX('Catalog'!$A:$A,MATCH(TRIM(SUBSTITUTE($B2553,CHAR(160)," ")),'Catalog'!$C:$C,0)),""))))</f>
        <v/>
      </c>
      <c r="H2553" s="8" t="str">
        <f aca="false">IFERROR(INDEX('TRANS'!$C:$C,MATCH($B2553,'TRANS'!$A:$A,0)),IFERROR(INDEX('Catalog'!$B:$B,MATCH($G2553,'Catalog'!$A:$A,0)),$B2553))</f>
        <v>86U XL</v>
      </c>
      <c r="I2553" s="8" t="str">
        <f aca="false">IF($G2553="","Unmatched","Matched")</f>
        <v>Unmatched</v>
      </c>
    </row>
    <row r="2554" customFormat="false" ht="15" hidden="false" customHeight="false" outlineLevel="0" collapsed="false">
      <c r="A2554" s="8" t="s">
        <v>918</v>
      </c>
      <c r="B2554" s="8" t="s">
        <v>980</v>
      </c>
      <c r="C2554" s="19" t="n">
        <v>2</v>
      </c>
      <c r="D2554" s="19" t="n">
        <v>334.11</v>
      </c>
      <c r="E2554" s="19" t="n">
        <v>0</v>
      </c>
      <c r="F2554" s="19" t="n">
        <v>0</v>
      </c>
      <c r="G2554" s="8" t="str">
        <f aca="false">IFERROR(INDEX('TRANS'!$B:$B,MATCH($B2554,'TRANS'!$A:$A,0)),IFERROR(INDEX('TRANS'!$B:$B,MATCH(TRIM(SUBSTITUTE($B2554,CHAR(160)," ")),'TRANS'!$D:$D,0)),IFERROR(INDEX('Catalog'!$A:$A,MATCH($B2554,'Catalog'!$B:$B,0)),IFERROR(INDEX('Catalog'!$A:$A,MATCH(TRIM(SUBSTITUTE($B2554,CHAR(160)," ")),'Catalog'!$C:$C,0)),""))))</f>
        <v/>
      </c>
      <c r="H2554" s="8" t="str">
        <f aca="false">IFERROR(INDEX('TRANS'!$C:$C,MATCH($B2554,'TRANS'!$A:$A,0)),IFERROR(INDEX('Catalog'!$B:$B,MATCH($G2554,'Catalog'!$A:$A,0)),$B2554))</f>
        <v>86U XXL</v>
      </c>
      <c r="I2554" s="8" t="str">
        <f aca="false">IF($G2554="","Unmatched","Matched")</f>
        <v>Unmatched</v>
      </c>
    </row>
    <row r="2555" customFormat="false" ht="15" hidden="false" customHeight="false" outlineLevel="0" collapsed="false">
      <c r="A2555" s="8" t="s">
        <v>918</v>
      </c>
      <c r="B2555" s="8" t="s">
        <v>421</v>
      </c>
      <c r="C2555" s="19" t="n">
        <v>6</v>
      </c>
      <c r="D2555" s="19" t="n">
        <v>2040.19</v>
      </c>
      <c r="E2555" s="19" t="n">
        <v>14</v>
      </c>
      <c r="F2555" s="19" t="n">
        <v>4863.68</v>
      </c>
      <c r="G2555" s="8" t="n">
        <f aca="false">IFERROR(INDEX('TRANS'!$B:$B,MATCH($B2555,'TRANS'!$A:$A,0)),IFERROR(INDEX('TRANS'!$B:$B,MATCH(TRIM(SUBSTITUTE($B2555,CHAR(160)," ")),'TRANS'!$D:$D,0)),IFERROR(INDEX('Catalog'!$A:$A,MATCH($B2555,'Catalog'!$B:$B,0)),IFERROR(INDEX('Catalog'!$A:$A,MATCH(TRIM(SUBSTITUTE($B2555,CHAR(160)," ")),'Catalog'!$C:$C,0)),""))))</f>
        <v>4413197</v>
      </c>
      <c r="H2555" s="8" t="str">
        <f aca="false">IFERROR(INDEX('TRANS'!$C:$C,MATCH($B2555,'TRANS'!$A:$A,0)),IFERROR(INDEX('Catalog'!$B:$B,MATCH($G2555,'Catalog'!$A:$A,0)),$B2555))</f>
        <v>87 L מקבע כתף ויד</v>
      </c>
      <c r="I2555" s="8" t="str">
        <f aca="false">IF($G2555="","Unmatched","Matched")</f>
        <v>Matched</v>
      </c>
    </row>
    <row r="2556" customFormat="false" ht="15" hidden="false" customHeight="false" outlineLevel="0" collapsed="false">
      <c r="A2556" s="8" t="s">
        <v>918</v>
      </c>
      <c r="B2556" s="8" t="s">
        <v>422</v>
      </c>
      <c r="C2556" s="19" t="n">
        <v>6</v>
      </c>
      <c r="D2556" s="19" t="n">
        <v>2054.59</v>
      </c>
      <c r="E2556" s="19" t="n">
        <v>4</v>
      </c>
      <c r="F2556" s="19" t="n">
        <v>1420.85</v>
      </c>
      <c r="G2556" s="8" t="n">
        <f aca="false">IFERROR(INDEX('TRANS'!$B:$B,MATCH($B2556,'TRANS'!$A:$A,0)),IFERROR(INDEX('TRANS'!$B:$B,MATCH(TRIM(SUBSTITUTE($B2556,CHAR(160)," ")),'TRANS'!$D:$D,0)),IFERROR(INDEX('Catalog'!$A:$A,MATCH($B2556,'Catalog'!$B:$B,0)),IFERROR(INDEX('Catalog'!$A:$A,MATCH(TRIM(SUBSTITUTE($B2556,CHAR(160)," ")),'Catalog'!$C:$C,0)),""))))</f>
        <v>4413196</v>
      </c>
      <c r="H2556" s="8" t="str">
        <f aca="false">IFERROR(INDEX('TRANS'!$C:$C,MATCH($B2556,'TRANS'!$A:$A,0)),IFERROR(INDEX('Catalog'!$B:$B,MATCH($G2556,'Catalog'!$A:$A,0)),$B2556))</f>
        <v>87 M מקבע כתף ויד</v>
      </c>
      <c r="I2556" s="8" t="str">
        <f aca="false">IF($G2556="","Unmatched","Matched")</f>
        <v>Matched</v>
      </c>
    </row>
    <row r="2557" customFormat="false" ht="15" hidden="false" customHeight="false" outlineLevel="0" collapsed="false">
      <c r="A2557" s="8" t="s">
        <v>918</v>
      </c>
      <c r="B2557" s="8" t="s">
        <v>578</v>
      </c>
      <c r="C2557" s="19" t="n">
        <v>4</v>
      </c>
      <c r="D2557" s="19" t="n">
        <v>1347.98</v>
      </c>
      <c r="E2557" s="19" t="n">
        <v>1</v>
      </c>
      <c r="F2557" s="19" t="n">
        <v>309.68</v>
      </c>
      <c r="G2557" s="8" t="n">
        <f aca="false">IFERROR(INDEX('TRANS'!$B:$B,MATCH($B2557,'TRANS'!$A:$A,0)),IFERROR(INDEX('TRANS'!$B:$B,MATCH(TRIM(SUBSTITUTE($B2557,CHAR(160)," ")),'TRANS'!$D:$D,0)),IFERROR(INDEX('Catalog'!$A:$A,MATCH($B2557,'Catalog'!$B:$B,0)),IFERROR(INDEX('Catalog'!$A:$A,MATCH(TRIM(SUBSTITUTE($B2557,CHAR(160)," ")),'Catalog'!$C:$C,0)),""))))</f>
        <v>4413195</v>
      </c>
      <c r="H2557" s="8" t="str">
        <f aca="false">IFERROR(INDEX('TRANS'!$C:$C,MATCH($B2557,'TRANS'!$A:$A,0)),IFERROR(INDEX('Catalog'!$B:$B,MATCH($G2557,'Catalog'!$A:$A,0)),$B2557))</f>
        <v>87 S מקבע כתף ויד</v>
      </c>
      <c r="I2557" s="8" t="str">
        <f aca="false">IF($G2557="","Unmatched","Matched")</f>
        <v>Matched</v>
      </c>
    </row>
    <row r="2558" customFormat="false" ht="15" hidden="false" customHeight="false" outlineLevel="0" collapsed="false">
      <c r="A2558" s="8" t="s">
        <v>918</v>
      </c>
      <c r="B2558" s="8" t="s">
        <v>423</v>
      </c>
      <c r="C2558" s="19" t="n">
        <v>8</v>
      </c>
      <c r="D2558" s="19" t="n">
        <v>2623.1</v>
      </c>
      <c r="E2558" s="19" t="n">
        <v>13</v>
      </c>
      <c r="F2558" s="19" t="n">
        <v>4486.14</v>
      </c>
      <c r="G2558" s="8" t="n">
        <f aca="false">IFERROR(INDEX('TRANS'!$B:$B,MATCH($B2558,'TRANS'!$A:$A,0)),IFERROR(INDEX('TRANS'!$B:$B,MATCH(TRIM(SUBSTITUTE($B2558,CHAR(160)," ")),'TRANS'!$D:$D,0)),IFERROR(INDEX('Catalog'!$A:$A,MATCH($B2558,'Catalog'!$B:$B,0)),IFERROR(INDEX('Catalog'!$A:$A,MATCH(TRIM(SUBSTITUTE($B2558,CHAR(160)," ")),'Catalog'!$C:$C,0)),""))))</f>
        <v>4413198</v>
      </c>
      <c r="H2558" s="8" t="str">
        <f aca="false">IFERROR(INDEX('TRANS'!$C:$C,MATCH($B2558,'TRANS'!$A:$A,0)),IFERROR(INDEX('Catalog'!$B:$B,MATCH($G2558,'Catalog'!$A:$A,0)),$B2558))</f>
        <v>87 XL מקבע כתף ויד</v>
      </c>
      <c r="I2558" s="8" t="str">
        <f aca="false">IF($G2558="","Unmatched","Matched")</f>
        <v>Matched</v>
      </c>
    </row>
    <row r="2559" customFormat="false" ht="15" hidden="false" customHeight="false" outlineLevel="0" collapsed="false">
      <c r="A2559" s="8" t="s">
        <v>918</v>
      </c>
      <c r="B2559" s="8" t="s">
        <v>586</v>
      </c>
      <c r="C2559" s="19" t="n">
        <v>13</v>
      </c>
      <c r="D2559" s="19" t="n">
        <v>4294.14</v>
      </c>
      <c r="E2559" s="19" t="n">
        <v>11</v>
      </c>
      <c r="F2559" s="19" t="n">
        <v>4043.96</v>
      </c>
      <c r="G2559" s="8" t="n">
        <f aca="false">IFERROR(INDEX('TRANS'!$B:$B,MATCH($B2559,'TRANS'!$A:$A,0)),IFERROR(INDEX('TRANS'!$B:$B,MATCH(TRIM(SUBSTITUTE($B2559,CHAR(160)," ")),'TRANS'!$D:$D,0)),IFERROR(INDEX('Catalog'!$A:$A,MATCH($B2559,'Catalog'!$B:$B,0)),IFERROR(INDEX('Catalog'!$A:$A,MATCH(TRIM(SUBSTITUTE($B2559,CHAR(160)," ")),'Catalog'!$C:$C,0)),""))))</f>
        <v>4413204</v>
      </c>
      <c r="H2559" s="8" t="str">
        <f aca="false">IFERROR(INDEX('TRANS'!$C:$C,MATCH($B2559,'TRANS'!$A:$A,0)),IFERROR(INDEX('Catalog'!$B:$B,MATCH($G2559,'Catalog'!$A:$A,0)),$B2559))</f>
        <v>87 XXL מקבע כתף ויד</v>
      </c>
      <c r="I2559" s="8" t="str">
        <f aca="false">IF($G2559="","Unmatched","Matched")</f>
        <v>Matched</v>
      </c>
    </row>
    <row r="2560" customFormat="false" ht="15" hidden="false" customHeight="false" outlineLevel="0" collapsed="false">
      <c r="A2560" s="8" t="s">
        <v>918</v>
      </c>
      <c r="B2560" s="8" t="s">
        <v>511</v>
      </c>
      <c r="C2560" s="19" t="n">
        <v>1</v>
      </c>
      <c r="D2560" s="19" t="n">
        <v>468.15</v>
      </c>
      <c r="E2560" s="19" t="n">
        <v>0</v>
      </c>
      <c r="F2560" s="19" t="n">
        <v>0</v>
      </c>
      <c r="G2560" s="8" t="str">
        <f aca="false">IFERROR(INDEX('TRANS'!$B:$B,MATCH($B2560,'TRANS'!$A:$A,0)),IFERROR(INDEX('TRANS'!$B:$B,MATCH(TRIM(SUBSTITUTE($B2560,CHAR(160)," ")),'TRANS'!$D:$D,0)),IFERROR(INDEX('Catalog'!$A:$A,MATCH($B2560,'Catalog'!$B:$B,0)),IFERROR(INDEX('Catalog'!$A:$A,MATCH(TRIM(SUBSTITUTE($B2560,CHAR(160)," ")),'Catalog'!$C:$C,0)),""))))</f>
        <v/>
      </c>
      <c r="H2560" s="8" t="str">
        <f aca="false">IFERROR(INDEX('TRANS'!$C:$C,MATCH($B2560,'TRANS'!$A:$A,0)),IFERROR(INDEX('Catalog'!$B:$B,MATCH($G2560,'Catalog'!$A:$A,0)),$B2560))</f>
        <v>88L XXL</v>
      </c>
      <c r="I2560" s="8" t="str">
        <f aca="false">IF($G2560="","Unmatched","Matched")</f>
        <v>Unmatched</v>
      </c>
    </row>
    <row r="2561" customFormat="false" ht="15" hidden="false" customHeight="false" outlineLevel="0" collapsed="false">
      <c r="A2561" s="8" t="s">
        <v>918</v>
      </c>
      <c r="B2561" s="8" t="s">
        <v>776</v>
      </c>
      <c r="C2561" s="19" t="n">
        <v>2</v>
      </c>
      <c r="D2561" s="19" t="n">
        <v>1101.52</v>
      </c>
      <c r="E2561" s="19" t="n">
        <v>1</v>
      </c>
      <c r="F2561" s="19" t="n">
        <v>495.69</v>
      </c>
      <c r="G2561" s="8" t="str">
        <f aca="false">IFERROR(INDEX('TRANS'!$B:$B,MATCH($B2561,'TRANS'!$A:$A,0)),IFERROR(INDEX('TRANS'!$B:$B,MATCH(TRIM(SUBSTITUTE($B2561,CHAR(160)," ")),'TRANS'!$D:$D,0)),IFERROR(INDEX('Catalog'!$A:$A,MATCH($B2561,'Catalog'!$B:$B,0)),IFERROR(INDEX('Catalog'!$A:$A,MATCH(TRIM(SUBSTITUTE($B2561,CHAR(160)," ")),'Catalog'!$C:$C,0)),""))))</f>
        <v/>
      </c>
      <c r="H2561" s="8" t="str">
        <f aca="false">IFERROR(INDEX('TRANS'!$C:$C,MATCH($B2561,'TRANS'!$A:$A,0)),IFERROR(INDEX('Catalog'!$B:$B,MATCH($G2561,'Catalog'!$A:$A,0)),$B2561))</f>
        <v>88L- L-XL</v>
      </c>
      <c r="I2561" s="8" t="str">
        <f aca="false">IF($G2561="","Unmatched","Matched")</f>
        <v>Unmatched</v>
      </c>
    </row>
    <row r="2562" customFormat="false" ht="15" hidden="false" customHeight="false" outlineLevel="0" collapsed="false">
      <c r="A2562" s="8" t="s">
        <v>918</v>
      </c>
      <c r="B2562" s="8" t="s">
        <v>512</v>
      </c>
      <c r="C2562" s="19" t="n">
        <v>1</v>
      </c>
      <c r="D2562" s="19" t="n">
        <v>550.76</v>
      </c>
      <c r="E2562" s="19" t="n">
        <v>0</v>
      </c>
      <c r="F2562" s="19" t="n">
        <v>0</v>
      </c>
      <c r="G2562" s="8" t="str">
        <f aca="false">IFERROR(INDEX('TRANS'!$B:$B,MATCH($B2562,'TRANS'!$A:$A,0)),IFERROR(INDEX('TRANS'!$B:$B,MATCH(TRIM(SUBSTITUTE($B2562,CHAR(160)," ")),'TRANS'!$D:$D,0)),IFERROR(INDEX('Catalog'!$A:$A,MATCH($B2562,'Catalog'!$B:$B,0)),IFERROR(INDEX('Catalog'!$A:$A,MATCH(TRIM(SUBSTITUTE($B2562,CHAR(160)," ")),'Catalog'!$C:$C,0)),""))))</f>
        <v/>
      </c>
      <c r="H2562" s="8" t="str">
        <f aca="false">IFERROR(INDEX('TRANS'!$C:$C,MATCH($B2562,'TRANS'!$A:$A,0)),IFERROR(INDEX('Catalog'!$B:$B,MATCH($G2562,'Catalog'!$A:$A,0)),$B2562))</f>
        <v>88L- S-M</v>
      </c>
      <c r="I2562" s="8" t="str">
        <f aca="false">IF($G2562="","Unmatched","Matched")</f>
        <v>Unmatched</v>
      </c>
    </row>
    <row r="2563" customFormat="false" ht="15" hidden="false" customHeight="false" outlineLevel="0" collapsed="false">
      <c r="A2563" s="8" t="s">
        <v>918</v>
      </c>
      <c r="B2563" s="8" t="s">
        <v>981</v>
      </c>
      <c r="C2563" s="19" t="n">
        <v>1</v>
      </c>
      <c r="D2563" s="19" t="n">
        <v>550.76</v>
      </c>
      <c r="E2563" s="19" t="n">
        <v>0</v>
      </c>
      <c r="F2563" s="19" t="n">
        <v>0</v>
      </c>
      <c r="G2563" s="8" t="str">
        <f aca="false">IFERROR(INDEX('TRANS'!$B:$B,MATCH($B2563,'TRANS'!$A:$A,0)),IFERROR(INDEX('TRANS'!$B:$B,MATCH(TRIM(SUBSTITUTE($B2563,CHAR(160)," ")),'TRANS'!$D:$D,0)),IFERROR(INDEX('Catalog'!$A:$A,MATCH($B2563,'Catalog'!$B:$B,0)),IFERROR(INDEX('Catalog'!$A:$A,MATCH(TRIM(SUBSTITUTE($B2563,CHAR(160)," ")),'Catalog'!$C:$C,0)),""))))</f>
        <v/>
      </c>
      <c r="H2563" s="8" t="str">
        <f aca="false">IFERROR(INDEX('TRANS'!$C:$C,MATCH($B2563,'TRANS'!$A:$A,0)),IFERROR(INDEX('Catalog'!$B:$B,MATCH($G2563,'Catalog'!$A:$A,0)),$B2563))</f>
        <v>88R XXL</v>
      </c>
      <c r="I2563" s="8" t="str">
        <f aca="false">IF($G2563="","Unmatched","Matched")</f>
        <v>Unmatched</v>
      </c>
    </row>
    <row r="2564" customFormat="false" ht="15" hidden="false" customHeight="false" outlineLevel="0" collapsed="false">
      <c r="A2564" s="8" t="s">
        <v>918</v>
      </c>
      <c r="B2564" s="8" t="s">
        <v>982</v>
      </c>
      <c r="C2564" s="19" t="n">
        <v>5</v>
      </c>
      <c r="D2564" s="19" t="n">
        <v>2557.65</v>
      </c>
      <c r="E2564" s="19" t="n">
        <v>3</v>
      </c>
      <c r="F2564" s="19" t="n">
        <v>1487.05</v>
      </c>
      <c r="G2564" s="8" t="str">
        <f aca="false">IFERROR(INDEX('TRANS'!$B:$B,MATCH($B2564,'TRANS'!$A:$A,0)),IFERROR(INDEX('TRANS'!$B:$B,MATCH(TRIM(SUBSTITUTE($B2564,CHAR(160)," ")),'TRANS'!$D:$D,0)),IFERROR(INDEX('Catalog'!$A:$A,MATCH($B2564,'Catalog'!$B:$B,0)),IFERROR(INDEX('Catalog'!$A:$A,MATCH(TRIM(SUBSTITUTE($B2564,CHAR(160)," ")),'Catalog'!$C:$C,0)),""))))</f>
        <v/>
      </c>
      <c r="H2564" s="8" t="str">
        <f aca="false">IFERROR(INDEX('TRANS'!$C:$C,MATCH($B2564,'TRANS'!$A:$A,0)),IFERROR(INDEX('Catalog'!$B:$B,MATCH($G2564,'Catalog'!$A:$A,0)),$B2564))</f>
        <v>88R- L-XL</v>
      </c>
      <c r="I2564" s="8" t="str">
        <f aca="false">IF($G2564="","Unmatched","Matched")</f>
        <v>Unmatched</v>
      </c>
    </row>
    <row r="2565" customFormat="false" ht="15" hidden="false" customHeight="false" outlineLevel="0" collapsed="false">
      <c r="A2565" s="8" t="s">
        <v>918</v>
      </c>
      <c r="B2565" s="8" t="s">
        <v>983</v>
      </c>
      <c r="C2565" s="19" t="n">
        <v>1</v>
      </c>
      <c r="D2565" s="19" t="n">
        <v>468.15</v>
      </c>
      <c r="E2565" s="19" t="n">
        <v>2</v>
      </c>
      <c r="F2565" s="19" t="n">
        <v>1046.45</v>
      </c>
      <c r="G2565" s="8" t="str">
        <f aca="false">IFERROR(INDEX('TRANS'!$B:$B,MATCH($B2565,'TRANS'!$A:$A,0)),IFERROR(INDEX('TRANS'!$B:$B,MATCH(TRIM(SUBSTITUTE($B2565,CHAR(160)," ")),'TRANS'!$D:$D,0)),IFERROR(INDEX('Catalog'!$A:$A,MATCH($B2565,'Catalog'!$B:$B,0)),IFERROR(INDEX('Catalog'!$A:$A,MATCH(TRIM(SUBSTITUTE($B2565,CHAR(160)," ")),'Catalog'!$C:$C,0)),""))))</f>
        <v/>
      </c>
      <c r="H2565" s="8" t="str">
        <f aca="false">IFERROR(INDEX('TRANS'!$C:$C,MATCH($B2565,'TRANS'!$A:$A,0)),IFERROR(INDEX('Catalog'!$B:$B,MATCH($G2565,'Catalog'!$A:$A,0)),$B2565))</f>
        <v>88R- S-M</v>
      </c>
      <c r="I2565" s="8" t="str">
        <f aca="false">IF($G2565="","Unmatched","Matched")</f>
        <v>Unmatched</v>
      </c>
    </row>
    <row r="2566" customFormat="false" ht="15" hidden="false" customHeight="false" outlineLevel="0" collapsed="false">
      <c r="A2566" s="8" t="s">
        <v>918</v>
      </c>
      <c r="B2566" s="8" t="s">
        <v>424</v>
      </c>
      <c r="C2566" s="19" t="n">
        <v>90</v>
      </c>
      <c r="D2566" s="19" t="n">
        <v>12488.58</v>
      </c>
      <c r="E2566" s="19" t="n">
        <v>108</v>
      </c>
      <c r="F2566" s="19" t="n">
        <v>15573.72</v>
      </c>
      <c r="G2566" s="8" t="n">
        <f aca="false">IFERROR(INDEX('TRANS'!$B:$B,MATCH($B2566,'TRANS'!$A:$A,0)),IFERROR(INDEX('TRANS'!$B:$B,MATCH(TRIM(SUBSTITUTE($B2566,CHAR(160)," ")),'TRANS'!$D:$D,0)),IFERROR(INDEX('Catalog'!$A:$A,MATCH($B2566,'Catalog'!$B:$B,0)),IFERROR(INDEX('Catalog'!$A:$A,MATCH(TRIM(SUBSTITUTE($B2566,CHAR(160)," ")),'Catalog'!$C:$C,0)),""))))</f>
        <v>4408266</v>
      </c>
      <c r="H2566" s="8" t="str">
        <f aca="false">IFERROR(INDEX('TRANS'!$C:$C,MATCH($B2566,'TRANS'!$A:$A,0)),IFERROR(INDEX('Catalog'!$B:$B,MATCH($G2566,'Catalog'!$A:$A,0)),$B2566))</f>
        <v>91B חבק טניס אלבו</v>
      </c>
      <c r="I2566" s="8" t="str">
        <f aca="false">IF($G2566="","Unmatched","Matched")</f>
        <v>Matched</v>
      </c>
    </row>
    <row r="2567" customFormat="false" ht="15" hidden="false" customHeight="false" outlineLevel="0" collapsed="false">
      <c r="A2567" s="8" t="s">
        <v>918</v>
      </c>
      <c r="B2567" s="8" t="s">
        <v>425</v>
      </c>
      <c r="C2567" s="19" t="n">
        <v>7</v>
      </c>
      <c r="D2567" s="19" t="n">
        <v>1719.83</v>
      </c>
      <c r="E2567" s="19" t="n">
        <v>10</v>
      </c>
      <c r="F2567" s="19" t="n">
        <v>1737.83</v>
      </c>
      <c r="G2567" s="8" t="n">
        <f aca="false">IFERROR(INDEX('TRANS'!$B:$B,MATCH($B2567,'TRANS'!$A:$A,0)),IFERROR(INDEX('TRANS'!$B:$B,MATCH(TRIM(SUBSTITUTE($B2567,CHAR(160)," ")),'TRANS'!$D:$D,0)),IFERROR(INDEX('Catalog'!$A:$A,MATCH($B2567,'Catalog'!$B:$B,0)),IFERROR(INDEX('Catalog'!$A:$A,MATCH(TRIM(SUBSTITUTE($B2567,CHAR(160)," ")),'Catalog'!$C:$C,0)),""))))</f>
        <v>4408084</v>
      </c>
      <c r="H2567" s="8" t="str">
        <f aca="false">IFERROR(INDEX('TRANS'!$C:$C,MATCH($B2567,'TRANS'!$A:$A,0)),IFERROR(INDEX('Catalog'!$B:$B,MATCH($G2567,'Catalog'!$A:$A,0)),$B2567))</f>
        <v>922L.חבק יד לטניס כרית סיליק</v>
      </c>
      <c r="I2567" s="8" t="str">
        <f aca="false">IF($G2567="","Unmatched","Matched")</f>
        <v>Matched</v>
      </c>
    </row>
    <row r="2568" customFormat="false" ht="15" hidden="false" customHeight="false" outlineLevel="0" collapsed="false">
      <c r="A2568" s="8" t="s">
        <v>918</v>
      </c>
      <c r="B2568" s="8" t="s">
        <v>665</v>
      </c>
      <c r="C2568" s="19" t="n">
        <v>3</v>
      </c>
      <c r="D2568" s="19" t="n">
        <v>718.73</v>
      </c>
      <c r="E2568" s="19" t="n">
        <v>5</v>
      </c>
      <c r="F2568" s="19" t="n">
        <v>1001.11</v>
      </c>
      <c r="G2568" s="8" t="str">
        <f aca="false">IFERROR(INDEX('TRANS'!$B:$B,MATCH($B2568,'TRANS'!$A:$A,0)),IFERROR(INDEX('TRANS'!$B:$B,MATCH(TRIM(SUBSTITUTE($B2568,CHAR(160)," ")),'TRANS'!$D:$D,0)),IFERROR(INDEX('Catalog'!$A:$A,MATCH($B2568,'Catalog'!$B:$B,0)),IFERROR(INDEX('Catalog'!$A:$A,MATCH(TRIM(SUBSTITUTE($B2568,CHAR(160)," ")),'Catalog'!$C:$C,0)),""))))</f>
        <v/>
      </c>
      <c r="H2568" s="8" t="str">
        <f aca="false">IFERROR(INDEX('TRANS'!$C:$C,MATCH($B2568,'TRANS'!$A:$A,0)),IFERROR(INDEX('Catalog'!$B:$B,MATCH($G2568,'Catalog'!$A:$A,0)),$B2568))</f>
        <v>922 M</v>
      </c>
      <c r="I2568" s="8" t="str">
        <f aca="false">IF($G2568="","Unmatched","Matched")</f>
        <v>Unmatched</v>
      </c>
    </row>
    <row r="2569" customFormat="false" ht="15" hidden="false" customHeight="false" outlineLevel="0" collapsed="false">
      <c r="A2569" s="8" t="s">
        <v>918</v>
      </c>
      <c r="B2569" s="8" t="s">
        <v>666</v>
      </c>
      <c r="C2569" s="19" t="n">
        <v>1</v>
      </c>
      <c r="D2569" s="19" t="n">
        <v>256.69</v>
      </c>
      <c r="E2569" s="19" t="n">
        <v>2</v>
      </c>
      <c r="F2569" s="19" t="n">
        <v>383.73</v>
      </c>
      <c r="G2569" s="8" t="str">
        <f aca="false">IFERROR(INDEX('TRANS'!$B:$B,MATCH($B2569,'TRANS'!$A:$A,0)),IFERROR(INDEX('TRANS'!$B:$B,MATCH(TRIM(SUBSTITUTE($B2569,CHAR(160)," ")),'TRANS'!$D:$D,0)),IFERROR(INDEX('Catalog'!$A:$A,MATCH($B2569,'Catalog'!$B:$B,0)),IFERROR(INDEX('Catalog'!$A:$A,MATCH(TRIM(SUBSTITUTE($B2569,CHAR(160)," ")),'Catalog'!$C:$C,0)),""))))</f>
        <v/>
      </c>
      <c r="H2569" s="8" t="str">
        <f aca="false">IFERROR(INDEX('TRANS'!$C:$C,MATCH($B2569,'TRANS'!$A:$A,0)),IFERROR(INDEX('Catalog'!$B:$B,MATCH($G2569,'Catalog'!$A:$A,0)),$B2569))</f>
        <v>922 S</v>
      </c>
      <c r="I2569" s="8" t="str">
        <f aca="false">IF($G2569="","Unmatched","Matched")</f>
        <v>Unmatched</v>
      </c>
    </row>
    <row r="2570" customFormat="false" ht="15" hidden="false" customHeight="false" outlineLevel="0" collapsed="false">
      <c r="A2570" s="8" t="s">
        <v>918</v>
      </c>
      <c r="B2570" s="8" t="s">
        <v>426</v>
      </c>
      <c r="C2570" s="19" t="n">
        <v>4</v>
      </c>
      <c r="D2570" s="19" t="n">
        <v>988.26</v>
      </c>
      <c r="E2570" s="19" t="n">
        <v>6</v>
      </c>
      <c r="F2570" s="19" t="n">
        <v>1203.6</v>
      </c>
      <c r="G2570" s="8" t="n">
        <f aca="false">IFERROR(INDEX('TRANS'!$B:$B,MATCH($B2570,'TRANS'!$A:$A,0)),IFERROR(INDEX('TRANS'!$B:$B,MATCH(TRIM(SUBSTITUTE($B2570,CHAR(160)," ")),'TRANS'!$D:$D,0)),IFERROR(INDEX('Catalog'!$A:$A,MATCH($B2570,'Catalog'!$B:$B,0)),IFERROR(INDEX('Catalog'!$A:$A,MATCH(TRIM(SUBSTITUTE($B2570,CHAR(160)," ")),'Catalog'!$C:$C,0)),""))))</f>
        <v>4408087</v>
      </c>
      <c r="H2570" s="8" t="str">
        <f aca="false">IFERROR(INDEX('TRANS'!$C:$C,MATCH($B2570,'TRANS'!$A:$A,0)),IFERROR(INDEX('Catalog'!$B:$B,MATCH($G2570,'Catalog'!$A:$A,0)),$B2570))</f>
        <v>922XLחבק יד לטניס כרית סיליק</v>
      </c>
      <c r="I2570" s="8" t="str">
        <f aca="false">IF($G2570="","Unmatched","Matched")</f>
        <v>Matched</v>
      </c>
    </row>
    <row r="2571" customFormat="false" ht="15" hidden="false" customHeight="false" outlineLevel="0" collapsed="false">
      <c r="A2571" s="8" t="s">
        <v>918</v>
      </c>
      <c r="B2571" s="8" t="s">
        <v>667</v>
      </c>
      <c r="C2571" s="19" t="n">
        <v>1</v>
      </c>
      <c r="D2571" s="19" t="n">
        <v>256.69</v>
      </c>
      <c r="E2571" s="19" t="n">
        <v>4</v>
      </c>
      <c r="F2571" s="19" t="n">
        <v>1001.94</v>
      </c>
      <c r="G2571" s="8" t="str">
        <f aca="false">IFERROR(INDEX('TRANS'!$B:$B,MATCH($B2571,'TRANS'!$A:$A,0)),IFERROR(INDEX('TRANS'!$B:$B,MATCH(TRIM(SUBSTITUTE($B2571,CHAR(160)," ")),'TRANS'!$D:$D,0)),IFERROR(INDEX('Catalog'!$A:$A,MATCH($B2571,'Catalog'!$B:$B,0)),IFERROR(INDEX('Catalog'!$A:$A,MATCH(TRIM(SUBSTITUTE($B2571,CHAR(160)," ")),'Catalog'!$C:$C,0)),""))))</f>
        <v/>
      </c>
      <c r="H2571" s="8" t="str">
        <f aca="false">IFERROR(INDEX('TRANS'!$C:$C,MATCH($B2571,'TRANS'!$A:$A,0)),IFERROR(INDEX('Catalog'!$B:$B,MATCH($G2571,'Catalog'!$A:$A,0)),$B2571))</f>
        <v>922 XXL</v>
      </c>
      <c r="I2571" s="8" t="str">
        <f aca="false">IF($G2571="","Unmatched","Matched")</f>
        <v>Unmatched</v>
      </c>
    </row>
    <row r="2572" customFormat="false" ht="15" hidden="false" customHeight="false" outlineLevel="0" collapsed="false">
      <c r="A2572" s="8" t="s">
        <v>918</v>
      </c>
      <c r="B2572" s="8" t="s">
        <v>427</v>
      </c>
      <c r="C2572" s="19" t="n">
        <v>4</v>
      </c>
      <c r="D2572" s="19" t="n">
        <v>201.05</v>
      </c>
      <c r="E2572" s="19" t="n">
        <v>6</v>
      </c>
      <c r="F2572" s="19" t="n">
        <v>204.8</v>
      </c>
      <c r="G2572" s="8" t="n">
        <f aca="false">IFERROR(INDEX('TRANS'!$B:$B,MATCH($B2572,'TRANS'!$A:$A,0)),IFERROR(INDEX('TRANS'!$B:$B,MATCH(TRIM(SUBSTITUTE($B2572,CHAR(160)," ")),'TRANS'!$D:$D,0)),IFERROR(INDEX('Catalog'!$A:$A,MATCH($B2572,'Catalog'!$B:$B,0)),IFERROR(INDEX('Catalog'!$A:$A,MATCH(TRIM(SUBSTITUTE($B2572,CHAR(160)," ")),'Catalog'!$C:$C,0)),""))))</f>
        <v>4413139</v>
      </c>
      <c r="H2572" s="8" t="str">
        <f aca="false">IFERROR(INDEX('TRANS'!$C:$C,MATCH($B2572,'TRANS'!$A:$A,0)),IFERROR(INDEX('Catalog'!$B:$B,MATCH($G2572,'Catalog'!$A:$A,0)),$B2572))</f>
        <v>95 L מגן מרפק רגיל לבן</v>
      </c>
      <c r="I2572" s="8" t="str">
        <f aca="false">IF($G2572="","Unmatched","Matched")</f>
        <v>Matched</v>
      </c>
    </row>
    <row r="2573" customFormat="false" ht="15" hidden="false" customHeight="false" outlineLevel="0" collapsed="false">
      <c r="A2573" s="8" t="s">
        <v>918</v>
      </c>
      <c r="B2573" s="8" t="s">
        <v>260</v>
      </c>
      <c r="C2573" s="19" t="n">
        <v>3</v>
      </c>
      <c r="D2573" s="19" t="n">
        <v>165.85</v>
      </c>
      <c r="E2573" s="19" t="n">
        <v>2</v>
      </c>
      <c r="F2573" s="19" t="n">
        <v>81.19</v>
      </c>
      <c r="G2573" s="8" t="n">
        <f aca="false">IFERROR(INDEX('TRANS'!$B:$B,MATCH($B2573,'TRANS'!$A:$A,0)),IFERROR(INDEX('TRANS'!$B:$B,MATCH(TRIM(SUBSTITUTE($B2573,CHAR(160)," ")),'TRANS'!$D:$D,0)),IFERROR(INDEX('Catalog'!$A:$A,MATCH($B2573,'Catalog'!$B:$B,0)),IFERROR(INDEX('Catalog'!$A:$A,MATCH(TRIM(SUBSTITUTE($B2573,CHAR(160)," ")),'Catalog'!$C:$C,0)),""))))</f>
        <v>4413140</v>
      </c>
      <c r="H2573" s="8" t="str">
        <f aca="false">IFERROR(INDEX('TRANS'!$C:$C,MATCH($B2573,'TRANS'!$A:$A,0)),IFERROR(INDEX('Catalog'!$B:$B,MATCH($G2573,'Catalog'!$A:$A,0)),$B2573))</f>
        <v>95 M מגן מרפק רגיל לבן</v>
      </c>
      <c r="I2573" s="8" t="str">
        <f aca="false">IF($G2573="","Unmatched","Matched")</f>
        <v>Matched</v>
      </c>
    </row>
    <row r="2574" customFormat="false" ht="15" hidden="false" customHeight="false" outlineLevel="0" collapsed="false">
      <c r="A2574" s="8" t="s">
        <v>918</v>
      </c>
      <c r="B2574" s="8" t="s">
        <v>428</v>
      </c>
      <c r="C2574" s="19" t="n">
        <v>1</v>
      </c>
      <c r="D2574" s="19" t="n">
        <v>55.85</v>
      </c>
      <c r="E2574" s="19" t="n">
        <v>1</v>
      </c>
      <c r="F2574" s="19" t="n">
        <v>47.47</v>
      </c>
      <c r="G2574" s="8" t="n">
        <f aca="false">IFERROR(INDEX('TRANS'!$B:$B,MATCH($B2574,'TRANS'!$A:$A,0)),IFERROR(INDEX('TRANS'!$B:$B,MATCH(TRIM(SUBSTITUTE($B2574,CHAR(160)," ")),'TRANS'!$D:$D,0)),IFERROR(INDEX('Catalog'!$A:$A,MATCH($B2574,'Catalog'!$B:$B,0)),IFERROR(INDEX('Catalog'!$A:$A,MATCH(TRIM(SUBSTITUTE($B2574,CHAR(160)," ")),'Catalog'!$C:$C,0)),""))))</f>
        <v>4413141</v>
      </c>
      <c r="H2574" s="8" t="str">
        <f aca="false">IFERROR(INDEX('TRANS'!$C:$C,MATCH($B2574,'TRANS'!$A:$A,0)),IFERROR(INDEX('Catalog'!$B:$B,MATCH($G2574,'Catalog'!$A:$A,0)),$B2574))</f>
        <v>95 S מגן מרפק רגיל לבן</v>
      </c>
      <c r="I2574" s="8" t="str">
        <f aca="false">IF($G2574="","Unmatched","Matched")</f>
        <v>Matched</v>
      </c>
    </row>
    <row r="2575" customFormat="false" ht="15" hidden="false" customHeight="false" outlineLevel="0" collapsed="false">
      <c r="A2575" s="8" t="s">
        <v>918</v>
      </c>
      <c r="B2575" s="8" t="s">
        <v>429</v>
      </c>
      <c r="C2575" s="19" t="n">
        <v>0</v>
      </c>
      <c r="D2575" s="19" t="n">
        <v>0</v>
      </c>
      <c r="E2575" s="19" t="n">
        <v>1</v>
      </c>
      <c r="F2575" s="19" t="n">
        <v>25.34</v>
      </c>
      <c r="G2575" s="8" t="n">
        <f aca="false">IFERROR(INDEX('TRANS'!$B:$B,MATCH($B2575,'TRANS'!$A:$A,0)),IFERROR(INDEX('TRANS'!$B:$B,MATCH(TRIM(SUBSTITUTE($B2575,CHAR(160)," ")),'TRANS'!$D:$D,0)),IFERROR(INDEX('Catalog'!$A:$A,MATCH($B2575,'Catalog'!$B:$B,0)),IFERROR(INDEX('Catalog'!$A:$A,MATCH(TRIM(SUBSTITUTE($B2575,CHAR(160)," ")),'Catalog'!$C:$C,0)),""))))</f>
        <v>4413142</v>
      </c>
      <c r="H2575" s="8" t="str">
        <f aca="false">IFERROR(INDEX('TRANS'!$C:$C,MATCH($B2575,'TRANS'!$A:$A,0)),IFERROR(INDEX('Catalog'!$B:$B,MATCH($G2575,'Catalog'!$A:$A,0)),$B2575))</f>
        <v>95 XL מגן מרפק רגיל לבן</v>
      </c>
      <c r="I2575" s="8" t="str">
        <f aca="false">IF($G2575="","Unmatched","Matched")</f>
        <v>Matched</v>
      </c>
    </row>
    <row r="2576" customFormat="false" ht="15" hidden="false" customHeight="false" outlineLevel="0" collapsed="false">
      <c r="A2576" s="8" t="s">
        <v>918</v>
      </c>
      <c r="B2576" s="8" t="s">
        <v>631</v>
      </c>
      <c r="C2576" s="19" t="n">
        <v>1</v>
      </c>
      <c r="D2576" s="19" t="n">
        <v>55.85</v>
      </c>
      <c r="E2576" s="19" t="n">
        <v>0</v>
      </c>
      <c r="F2576" s="19" t="n">
        <v>0</v>
      </c>
      <c r="G2576" s="8" t="n">
        <f aca="false">IFERROR(INDEX('TRANS'!$B:$B,MATCH($B2576,'TRANS'!$A:$A,0)),IFERROR(INDEX('TRANS'!$B:$B,MATCH(TRIM(SUBSTITUTE($B2576,CHAR(160)," ")),'TRANS'!$D:$D,0)),IFERROR(INDEX('Catalog'!$A:$A,MATCH($B2576,'Catalog'!$B:$B,0)),IFERROR(INDEX('Catalog'!$A:$A,MATCH(TRIM(SUBSTITUTE($B2576,CHAR(160)," ")),'Catalog'!$C:$C,0)),""))))</f>
        <v>4413143</v>
      </c>
      <c r="H2576" s="8" t="str">
        <f aca="false">IFERROR(INDEX('TRANS'!$C:$C,MATCH($B2576,'TRANS'!$A:$A,0)),IFERROR(INDEX('Catalog'!$B:$B,MATCH($G2576,'Catalog'!$A:$A,0)),$B2576))</f>
        <v>95 XS מגן מרפק רגיל לבן</v>
      </c>
      <c r="I2576" s="8" t="str">
        <f aca="false">IF($G2576="","Unmatched","Matched")</f>
        <v>Matched</v>
      </c>
    </row>
    <row r="2577" customFormat="false" ht="15" hidden="false" customHeight="false" outlineLevel="0" collapsed="false">
      <c r="A2577" s="8" t="s">
        <v>918</v>
      </c>
      <c r="B2577" s="8" t="s">
        <v>797</v>
      </c>
      <c r="C2577" s="19" t="n">
        <v>0</v>
      </c>
      <c r="D2577" s="19" t="n">
        <v>0</v>
      </c>
      <c r="E2577" s="19" t="n">
        <v>3</v>
      </c>
      <c r="F2577" s="19" t="n">
        <v>76.14</v>
      </c>
      <c r="G2577" s="8" t="n">
        <f aca="false">IFERROR(INDEX('TRANS'!$B:$B,MATCH($B2577,'TRANS'!$A:$A,0)),IFERROR(INDEX('TRANS'!$B:$B,MATCH(TRIM(SUBSTITUTE($B2577,CHAR(160)," ")),'TRANS'!$D:$D,0)),IFERROR(INDEX('Catalog'!$A:$A,MATCH($B2577,'Catalog'!$B:$B,0)),IFERROR(INDEX('Catalog'!$A:$A,MATCH(TRIM(SUBSTITUTE($B2577,CHAR(160)," ")),'Catalog'!$C:$C,0)),""))))</f>
        <v>4413144</v>
      </c>
      <c r="H2577" s="8" t="str">
        <f aca="false">IFERROR(INDEX('TRANS'!$C:$C,MATCH($B2577,'TRANS'!$A:$A,0)),IFERROR(INDEX('Catalog'!$B:$B,MATCH($G2577,'Catalog'!$A:$A,0)),$B2577))</f>
        <v>95 XXL מגן מרפק רגיל לבן</v>
      </c>
      <c r="I2577" s="8" t="str">
        <f aca="false">IF($G2577="","Unmatched","Matched")</f>
        <v>Matched</v>
      </c>
    </row>
    <row r="2578" customFormat="false" ht="15" hidden="false" customHeight="false" outlineLevel="0" collapsed="false">
      <c r="A2578" s="8" t="s">
        <v>918</v>
      </c>
      <c r="B2578" s="8" t="s">
        <v>261</v>
      </c>
      <c r="C2578" s="19" t="n">
        <v>14</v>
      </c>
      <c r="D2578" s="19" t="n">
        <v>730.67</v>
      </c>
      <c r="E2578" s="19" t="n">
        <v>11</v>
      </c>
      <c r="F2578" s="19" t="n">
        <v>364.69</v>
      </c>
      <c r="G2578" s="8" t="n">
        <f aca="false">IFERROR(INDEX('TRANS'!$B:$B,MATCH($B2578,'TRANS'!$A:$A,0)),IFERROR(INDEX('TRANS'!$B:$B,MATCH(TRIM(SUBSTITUTE($B2578,CHAR(160)," ")),'TRANS'!$D:$D,0)),IFERROR(INDEX('Catalog'!$A:$A,MATCH($B2578,'Catalog'!$B:$B,0)),IFERROR(INDEX('Catalog'!$A:$A,MATCH(TRIM(SUBSTITUTE($B2578,CHAR(160)," ")),'Catalog'!$C:$C,0)),""))))</f>
        <v>4413500</v>
      </c>
      <c r="H2578" s="8" t="str">
        <f aca="false">IFERROR(INDEX('TRANS'!$C:$C,MATCH($B2578,'TRANS'!$A:$A,0)),IFERROR(INDEX('Catalog'!$B:$B,MATCH($G2578,'Catalog'!$A:$A,0)),$B2578))</f>
        <v>95B L מגן מרפק שחור</v>
      </c>
      <c r="I2578" s="8" t="str">
        <f aca="false">IF($G2578="","Unmatched","Matched")</f>
        <v>Matched</v>
      </c>
    </row>
    <row r="2579" customFormat="false" ht="15" hidden="false" customHeight="false" outlineLevel="0" collapsed="false">
      <c r="A2579" s="8" t="s">
        <v>918</v>
      </c>
      <c r="B2579" s="8" t="s">
        <v>262</v>
      </c>
      <c r="C2579" s="19" t="n">
        <v>5</v>
      </c>
      <c r="D2579" s="19" t="n">
        <v>249.88</v>
      </c>
      <c r="E2579" s="19" t="n">
        <v>11</v>
      </c>
      <c r="F2579" s="19" t="n">
        <v>361.89</v>
      </c>
      <c r="G2579" s="8" t="n">
        <f aca="false">IFERROR(INDEX('TRANS'!$B:$B,MATCH($B2579,'TRANS'!$A:$A,0)),IFERROR(INDEX('TRANS'!$B:$B,MATCH(TRIM(SUBSTITUTE($B2579,CHAR(160)," ")),'TRANS'!$D:$D,0)),IFERROR(INDEX('Catalog'!$A:$A,MATCH($B2579,'Catalog'!$B:$B,0)),IFERROR(INDEX('Catalog'!$A:$A,MATCH(TRIM(SUBSTITUTE($B2579,CHAR(160)," ")),'Catalog'!$C:$C,0)),""))))</f>
        <v>4413501</v>
      </c>
      <c r="H2579" s="8" t="str">
        <f aca="false">IFERROR(INDEX('TRANS'!$C:$C,MATCH($B2579,'TRANS'!$A:$A,0)),IFERROR(INDEX('Catalog'!$B:$B,MATCH($G2579,'Catalog'!$A:$A,0)),$B2579))</f>
        <v>95B M מגן מרפק שחור</v>
      </c>
      <c r="I2579" s="8" t="str">
        <f aca="false">IF($G2579="","Unmatched","Matched")</f>
        <v>Matched</v>
      </c>
    </row>
    <row r="2580" customFormat="false" ht="15" hidden="false" customHeight="false" outlineLevel="0" collapsed="false">
      <c r="A2580" s="8" t="s">
        <v>918</v>
      </c>
      <c r="B2580" s="8" t="s">
        <v>263</v>
      </c>
      <c r="C2580" s="19" t="n">
        <v>1</v>
      </c>
      <c r="D2580" s="19" t="n">
        <v>55.85</v>
      </c>
      <c r="E2580" s="19" t="n">
        <v>3</v>
      </c>
      <c r="F2580" s="19" t="n">
        <v>167.54</v>
      </c>
      <c r="G2580" s="8" t="n">
        <f aca="false">IFERROR(INDEX('TRANS'!$B:$B,MATCH($B2580,'TRANS'!$A:$A,0)),IFERROR(INDEX('TRANS'!$B:$B,MATCH(TRIM(SUBSTITUTE($B2580,CHAR(160)," ")),'TRANS'!$D:$D,0)),IFERROR(INDEX('Catalog'!$A:$A,MATCH($B2580,'Catalog'!$B:$B,0)),IFERROR(INDEX('Catalog'!$A:$A,MATCH(TRIM(SUBSTITUTE($B2580,CHAR(160)," ")),'Catalog'!$C:$C,0)),""))))</f>
        <v>4413502</v>
      </c>
      <c r="H2580" s="8" t="str">
        <f aca="false">IFERROR(INDEX('TRANS'!$C:$C,MATCH($B2580,'TRANS'!$A:$A,0)),IFERROR(INDEX('Catalog'!$B:$B,MATCH($G2580,'Catalog'!$A:$A,0)),$B2580))</f>
        <v>95B S מגן מרפק שחור</v>
      </c>
      <c r="I2580" s="8" t="str">
        <f aca="false">IF($G2580="","Unmatched","Matched")</f>
        <v>Matched</v>
      </c>
    </row>
    <row r="2581" customFormat="false" ht="15" hidden="false" customHeight="false" outlineLevel="0" collapsed="false">
      <c r="A2581" s="8" t="s">
        <v>918</v>
      </c>
      <c r="B2581" s="8" t="s">
        <v>264</v>
      </c>
      <c r="C2581" s="19" t="n">
        <v>3</v>
      </c>
      <c r="D2581" s="19" t="n">
        <v>167.55</v>
      </c>
      <c r="E2581" s="19" t="n">
        <v>1</v>
      </c>
      <c r="F2581" s="19" t="n">
        <v>50.26</v>
      </c>
      <c r="G2581" s="8" t="n">
        <f aca="false">IFERROR(INDEX('TRANS'!$B:$B,MATCH($B2581,'TRANS'!$A:$A,0)),IFERROR(INDEX('TRANS'!$B:$B,MATCH(TRIM(SUBSTITUTE($B2581,CHAR(160)," ")),'TRANS'!$D:$D,0)),IFERROR(INDEX('Catalog'!$A:$A,MATCH($B2581,'Catalog'!$B:$B,0)),IFERROR(INDEX('Catalog'!$A:$A,MATCH(TRIM(SUBSTITUTE($B2581,CHAR(160)," ")),'Catalog'!$C:$C,0)),""))))</f>
        <v>4413503</v>
      </c>
      <c r="H2581" s="8" t="str">
        <f aca="false">IFERROR(INDEX('TRANS'!$C:$C,MATCH($B2581,'TRANS'!$A:$A,0)),IFERROR(INDEX('Catalog'!$B:$B,MATCH($G2581,'Catalog'!$A:$A,0)),$B2581))</f>
        <v>95B XL מגן מרפק שחור</v>
      </c>
      <c r="I2581" s="8" t="str">
        <f aca="false">IF($G2581="","Unmatched","Matched")</f>
        <v>Matched</v>
      </c>
    </row>
    <row r="2582" customFormat="false" ht="15" hidden="false" customHeight="false" outlineLevel="0" collapsed="false">
      <c r="A2582" s="8" t="s">
        <v>918</v>
      </c>
      <c r="B2582" s="8" t="s">
        <v>839</v>
      </c>
      <c r="C2582" s="19" t="n">
        <v>6</v>
      </c>
      <c r="D2582" s="19" t="n">
        <v>309.97</v>
      </c>
      <c r="E2582" s="19" t="n">
        <v>4</v>
      </c>
      <c r="F2582" s="19" t="n">
        <v>156.71</v>
      </c>
      <c r="G2582" s="8" t="str">
        <f aca="false">IFERROR(INDEX('TRANS'!$B:$B,MATCH($B2582,'TRANS'!$A:$A,0)),IFERROR(INDEX('TRANS'!$B:$B,MATCH(TRIM(SUBSTITUTE($B2582,CHAR(160)," ")),'TRANS'!$D:$D,0)),IFERROR(INDEX('Catalog'!$A:$A,MATCH($B2582,'Catalog'!$B:$B,0)),IFERROR(INDEX('Catalog'!$A:$A,MATCH(TRIM(SUBSTITUTE($B2582,CHAR(160)," ")),'Catalog'!$C:$C,0)),""))))</f>
        <v/>
      </c>
      <c r="H2582" s="8" t="str">
        <f aca="false">IFERROR(INDEX('TRANS'!$C:$C,MATCH($B2582,'TRANS'!$A:$A,0)),IFERROR(INDEX('Catalog'!$B:$B,MATCH($G2582,'Catalog'!$A:$A,0)),$B2582))</f>
        <v>95B XS</v>
      </c>
      <c r="I2582" s="8" t="str">
        <f aca="false">IF($G2582="","Unmatched","Matched")</f>
        <v>Unmatched</v>
      </c>
    </row>
    <row r="2583" customFormat="false" ht="15" hidden="false" customHeight="false" outlineLevel="0" collapsed="false">
      <c r="A2583" s="8" t="s">
        <v>918</v>
      </c>
      <c r="B2583" s="8" t="s">
        <v>840</v>
      </c>
      <c r="C2583" s="19" t="n">
        <v>1</v>
      </c>
      <c r="D2583" s="19" t="n">
        <v>55.85</v>
      </c>
      <c r="E2583" s="19" t="n">
        <v>1</v>
      </c>
      <c r="F2583" s="19" t="n">
        <v>55.85</v>
      </c>
      <c r="G2583" s="8" t="n">
        <f aca="false">IFERROR(INDEX('TRANS'!$B:$B,MATCH($B2583,'TRANS'!$A:$A,0)),IFERROR(INDEX('TRANS'!$B:$B,MATCH(TRIM(SUBSTITUTE($B2583,CHAR(160)," ")),'TRANS'!$D:$D,0)),IFERROR(INDEX('Catalog'!$A:$A,MATCH($B2583,'Catalog'!$B:$B,0)),IFERROR(INDEX('Catalog'!$A:$A,MATCH(TRIM(SUBSTITUTE($B2583,CHAR(160)," ")),'Catalog'!$C:$C,0)),""))))</f>
        <v>4413504</v>
      </c>
      <c r="H2583" s="8" t="str">
        <f aca="false">IFERROR(INDEX('TRANS'!$C:$C,MATCH($B2583,'TRANS'!$A:$A,0)),IFERROR(INDEX('Catalog'!$B:$B,MATCH($G2583,'Catalog'!$A:$A,0)),$B2583))</f>
        <v>95B XXLמגן מרפק שחור</v>
      </c>
      <c r="I2583" s="8" t="str">
        <f aca="false">IF($G2583="","Unmatched","Matched")</f>
        <v>Matched</v>
      </c>
    </row>
    <row r="2584" customFormat="false" ht="15" hidden="false" customHeight="false" outlineLevel="0" collapsed="false">
      <c r="A2584" s="8" t="s">
        <v>918</v>
      </c>
      <c r="B2584" s="8" t="s">
        <v>265</v>
      </c>
      <c r="C2584" s="19" t="n">
        <v>1</v>
      </c>
      <c r="D2584" s="19" t="n">
        <v>55.85</v>
      </c>
      <c r="E2584" s="19" t="n">
        <v>1</v>
      </c>
      <c r="F2584" s="19" t="n">
        <v>25.34</v>
      </c>
      <c r="G2584" s="8" t="n">
        <f aca="false">IFERROR(INDEX('TRANS'!$B:$B,MATCH($B2584,'TRANS'!$A:$A,0)),IFERROR(INDEX('TRANS'!$B:$B,MATCH(TRIM(SUBSTITUTE($B2584,CHAR(160)," ")),'TRANS'!$D:$D,0)),IFERROR(INDEX('Catalog'!$A:$A,MATCH($B2584,'Catalog'!$B:$B,0)),IFERROR(INDEX('Catalog'!$A:$A,MATCH(TRIM(SUBSTITUTE($B2584,CHAR(160)," ")),'Catalog'!$C:$C,0)),""))))</f>
        <v>4413365</v>
      </c>
      <c r="H2584" s="8" t="str">
        <f aca="false">IFERROR(INDEX('TRANS'!$C:$C,MATCH($B2584,'TRANS'!$A:$A,0)),IFERROR(INDEX('Catalog'!$B:$B,MATCH($G2584,'Catalog'!$A:$A,0)),$B2584))</f>
        <v>95C L 'מגן מרפק בז</v>
      </c>
      <c r="I2584" s="8" t="str">
        <f aca="false">IF($G2584="","Unmatched","Matched")</f>
        <v>Matched</v>
      </c>
    </row>
    <row r="2585" customFormat="false" ht="15" hidden="false" customHeight="false" outlineLevel="0" collapsed="false">
      <c r="A2585" s="8" t="s">
        <v>918</v>
      </c>
      <c r="B2585" s="8" t="s">
        <v>266</v>
      </c>
      <c r="C2585" s="19" t="n">
        <v>1</v>
      </c>
      <c r="D2585" s="19" t="n">
        <v>55.85</v>
      </c>
      <c r="E2585" s="19" t="n">
        <v>2</v>
      </c>
      <c r="F2585" s="19" t="n">
        <v>81.18</v>
      </c>
      <c r="G2585" s="8" t="n">
        <f aca="false">IFERROR(INDEX('TRANS'!$B:$B,MATCH($B2585,'TRANS'!$A:$A,0)),IFERROR(INDEX('TRANS'!$B:$B,MATCH(TRIM(SUBSTITUTE($B2585,CHAR(160)," ")),'TRANS'!$D:$D,0)),IFERROR(INDEX('Catalog'!$A:$A,MATCH($B2585,'Catalog'!$B:$B,0)),IFERROR(INDEX('Catalog'!$A:$A,MATCH(TRIM(SUBSTITUTE($B2585,CHAR(160)," ")),'Catalog'!$C:$C,0)),""))))</f>
        <v>4413364</v>
      </c>
      <c r="H2585" s="8" t="str">
        <f aca="false">IFERROR(INDEX('TRANS'!$C:$C,MATCH($B2585,'TRANS'!$A:$A,0)),IFERROR(INDEX('Catalog'!$B:$B,MATCH($G2585,'Catalog'!$A:$A,0)),$B2585))</f>
        <v>95C M 'מגן מרפק בז</v>
      </c>
      <c r="I2585" s="8" t="str">
        <f aca="false">IF($G2585="","Unmatched","Matched")</f>
        <v>Matched</v>
      </c>
    </row>
    <row r="2586" customFormat="false" ht="15" hidden="false" customHeight="false" outlineLevel="0" collapsed="false">
      <c r="A2586" s="8" t="s">
        <v>918</v>
      </c>
      <c r="B2586" s="8" t="s">
        <v>431</v>
      </c>
      <c r="C2586" s="19" t="n">
        <v>0</v>
      </c>
      <c r="D2586" s="19" t="n">
        <v>0</v>
      </c>
      <c r="E2586" s="19" t="n">
        <v>3</v>
      </c>
      <c r="F2586" s="19" t="n">
        <v>137.04</v>
      </c>
      <c r="G2586" s="8" t="n">
        <f aca="false">IFERROR(INDEX('TRANS'!$B:$B,MATCH($B2586,'TRANS'!$A:$A,0)),IFERROR(INDEX('TRANS'!$B:$B,MATCH(TRIM(SUBSTITUTE($B2586,CHAR(160)," ")),'TRANS'!$D:$D,0)),IFERROR(INDEX('Catalog'!$A:$A,MATCH($B2586,'Catalog'!$B:$B,0)),IFERROR(INDEX('Catalog'!$A:$A,MATCH(TRIM(SUBSTITUTE($B2586,CHAR(160)," ")),'Catalog'!$C:$C,0)),""))))</f>
        <v>4413367</v>
      </c>
      <c r="H2586" s="8" t="str">
        <f aca="false">IFERROR(INDEX('TRANS'!$C:$C,MATCH($B2586,'TRANS'!$A:$A,0)),IFERROR(INDEX('Catalog'!$B:$B,MATCH($G2586,'Catalog'!$A:$A,0)),$B2586))</f>
        <v>95C XL'מגן מרפק בז</v>
      </c>
      <c r="I2586" s="8" t="str">
        <f aca="false">IF($G2586="","Unmatched","Matched")</f>
        <v>Matched</v>
      </c>
    </row>
    <row r="2587" customFormat="false" ht="15" hidden="false" customHeight="false" outlineLevel="0" collapsed="false">
      <c r="A2587" s="8" t="s">
        <v>918</v>
      </c>
      <c r="B2587" s="8" t="s">
        <v>852</v>
      </c>
      <c r="C2587" s="19" t="n">
        <v>2</v>
      </c>
      <c r="D2587" s="19" t="n">
        <v>110</v>
      </c>
      <c r="E2587" s="19" t="n">
        <v>3</v>
      </c>
      <c r="F2587" s="19" t="n">
        <v>161.96</v>
      </c>
      <c r="G2587" s="8" t="n">
        <f aca="false">IFERROR(INDEX('TRANS'!$B:$B,MATCH($B2587,'TRANS'!$A:$A,0)),IFERROR(INDEX('TRANS'!$B:$B,MATCH(TRIM(SUBSTITUTE($B2587,CHAR(160)," ")),'TRANS'!$D:$D,0)),IFERROR(INDEX('Catalog'!$A:$A,MATCH($B2587,'Catalog'!$B:$B,0)),IFERROR(INDEX('Catalog'!$A:$A,MATCH(TRIM(SUBSTITUTE($B2587,CHAR(160)," ")),'Catalog'!$C:$C,0)),""))))</f>
        <v>4413368</v>
      </c>
      <c r="H2587" s="8" t="str">
        <f aca="false">IFERROR(INDEX('TRANS'!$C:$C,MATCH($B2587,'TRANS'!$A:$A,0)),IFERROR(INDEX('Catalog'!$B:$B,MATCH($G2587,'Catalog'!$A:$A,0)),$B2587))</f>
        <v>95C XS'מגן מרפק בז</v>
      </c>
      <c r="I2587" s="8" t="str">
        <f aca="false">IF($G2587="","Unmatched","Matched")</f>
        <v>Matched</v>
      </c>
    </row>
    <row r="2588" customFormat="false" ht="15" hidden="false" customHeight="false" outlineLevel="0" collapsed="false">
      <c r="A2588" s="8" t="s">
        <v>918</v>
      </c>
      <c r="B2588" s="8" t="s">
        <v>984</v>
      </c>
      <c r="C2588" s="19" t="n">
        <v>0</v>
      </c>
      <c r="D2588" s="19" t="n">
        <v>0</v>
      </c>
      <c r="E2588" s="19" t="n">
        <v>2</v>
      </c>
      <c r="F2588" s="19" t="n">
        <v>111.69</v>
      </c>
      <c r="G2588" s="8" t="n">
        <f aca="false">IFERROR(INDEX('TRANS'!$B:$B,MATCH($B2588,'TRANS'!$A:$A,0)),IFERROR(INDEX('TRANS'!$B:$B,MATCH(TRIM(SUBSTITUTE($B2588,CHAR(160)," ")),'TRANS'!$D:$D,0)),IFERROR(INDEX('Catalog'!$A:$A,MATCH($B2588,'Catalog'!$B:$B,0)),IFERROR(INDEX('Catalog'!$A:$A,MATCH(TRIM(SUBSTITUTE($B2588,CHAR(160)," ")),'Catalog'!$C:$C,0)),""))))</f>
        <v>4413369</v>
      </c>
      <c r="H2588" s="8" t="str">
        <f aca="false">IFERROR(INDEX('TRANS'!$C:$C,MATCH($B2588,'TRANS'!$A:$A,0)),IFERROR(INDEX('Catalog'!$B:$B,MATCH($G2588,'Catalog'!$A:$A,0)),$B2588))</f>
        <v>95C XXL'מגן מרפק בז</v>
      </c>
      <c r="I2588" s="8" t="str">
        <f aca="false">IF($G2588="","Unmatched","Matched")</f>
        <v>Matched</v>
      </c>
    </row>
    <row r="2589" customFormat="false" ht="15" hidden="false" customHeight="false" outlineLevel="0" collapsed="false">
      <c r="A2589" s="8" t="s">
        <v>918</v>
      </c>
      <c r="B2589" s="8" t="s">
        <v>985</v>
      </c>
      <c r="C2589" s="19" t="n">
        <v>4</v>
      </c>
      <c r="D2589" s="19" t="n">
        <v>223</v>
      </c>
      <c r="E2589" s="19" t="n">
        <v>5</v>
      </c>
      <c r="F2589" s="19" t="n">
        <v>177.06</v>
      </c>
      <c r="G2589" s="8" t="str">
        <f aca="false">IFERROR(INDEX('TRANS'!$B:$B,MATCH($B2589,'TRANS'!$A:$A,0)),IFERROR(INDEX('TRANS'!$B:$B,MATCH(TRIM(SUBSTITUTE($B2589,CHAR(160)," ")),'TRANS'!$D:$D,0)),IFERROR(INDEX('Catalog'!$A:$A,MATCH($B2589,'Catalog'!$B:$B,0)),IFERROR(INDEX('Catalog'!$A:$A,MATCH(TRIM(SUBSTITUTE($B2589,CHAR(160)," ")),'Catalog'!$C:$C,0)),""))))</f>
        <v/>
      </c>
      <c r="H2589" s="8" t="str">
        <f aca="false">IFERROR(INDEX('TRANS'!$C:$C,MATCH($B2589,'TRANS'!$A:$A,0)),IFERROR(INDEX('Catalog'!$B:$B,MATCH($G2589,'Catalog'!$A:$A,0)),$B2589))</f>
        <v>95G L</v>
      </c>
      <c r="I2589" s="8" t="str">
        <f aca="false">IF($G2589="","Unmatched","Matched")</f>
        <v>Unmatched</v>
      </c>
    </row>
    <row r="2590" customFormat="false" ht="15" hidden="false" customHeight="false" outlineLevel="0" collapsed="false">
      <c r="A2590" s="8" t="s">
        <v>918</v>
      </c>
      <c r="B2590" s="8" t="s">
        <v>986</v>
      </c>
      <c r="C2590" s="19" t="n">
        <v>5</v>
      </c>
      <c r="D2590" s="19" t="n">
        <v>251.32</v>
      </c>
      <c r="E2590" s="19" t="n">
        <v>6</v>
      </c>
      <c r="F2590" s="19" t="n">
        <v>271.53</v>
      </c>
      <c r="G2590" s="8" t="str">
        <f aca="false">IFERROR(INDEX('TRANS'!$B:$B,MATCH($B2590,'TRANS'!$A:$A,0)),IFERROR(INDEX('TRANS'!$B:$B,MATCH(TRIM(SUBSTITUTE($B2590,CHAR(160)," ")),'TRANS'!$D:$D,0)),IFERROR(INDEX('Catalog'!$A:$A,MATCH($B2590,'Catalog'!$B:$B,0)),IFERROR(INDEX('Catalog'!$A:$A,MATCH(TRIM(SUBSTITUTE($B2590,CHAR(160)," ")),'Catalog'!$C:$C,0)),""))))</f>
        <v/>
      </c>
      <c r="H2590" s="8" t="str">
        <f aca="false">IFERROR(INDEX('TRANS'!$C:$C,MATCH($B2590,'TRANS'!$A:$A,0)),IFERROR(INDEX('Catalog'!$B:$B,MATCH($G2590,'Catalog'!$A:$A,0)),$B2590))</f>
        <v>95G M</v>
      </c>
      <c r="I2590" s="8" t="str">
        <f aca="false">IF($G2590="","Unmatched","Matched")</f>
        <v>Unmatched</v>
      </c>
    </row>
    <row r="2591" customFormat="false" ht="15" hidden="false" customHeight="false" outlineLevel="0" collapsed="false">
      <c r="A2591" s="8" t="s">
        <v>918</v>
      </c>
      <c r="B2591" s="8" t="s">
        <v>987</v>
      </c>
      <c r="C2591" s="19" t="n">
        <v>3</v>
      </c>
      <c r="D2591" s="19" t="n">
        <v>159.17</v>
      </c>
      <c r="E2591" s="19" t="n">
        <v>6</v>
      </c>
      <c r="F2591" s="19" t="n">
        <v>241.36</v>
      </c>
      <c r="G2591" s="8" t="str">
        <f aca="false">IFERROR(INDEX('TRANS'!$B:$B,MATCH($B2591,'TRANS'!$A:$A,0)),IFERROR(INDEX('TRANS'!$B:$B,MATCH(TRIM(SUBSTITUTE($B2591,CHAR(160)," ")),'TRANS'!$D:$D,0)),IFERROR(INDEX('Catalog'!$A:$A,MATCH($B2591,'Catalog'!$B:$B,0)),IFERROR(INDEX('Catalog'!$A:$A,MATCH(TRIM(SUBSTITUTE($B2591,CHAR(160)," ")),'Catalog'!$C:$C,0)),""))))</f>
        <v/>
      </c>
      <c r="H2591" s="8" t="str">
        <f aca="false">IFERROR(INDEX('TRANS'!$C:$C,MATCH($B2591,'TRANS'!$A:$A,0)),IFERROR(INDEX('Catalog'!$B:$B,MATCH($G2591,'Catalog'!$A:$A,0)),$B2591))</f>
        <v>95G S</v>
      </c>
      <c r="I2591" s="8" t="str">
        <f aca="false">IF($G2591="","Unmatched","Matched")</f>
        <v>Unmatched</v>
      </c>
    </row>
    <row r="2592" customFormat="false" ht="15" hidden="false" customHeight="false" outlineLevel="0" collapsed="false">
      <c r="A2592" s="8" t="s">
        <v>918</v>
      </c>
      <c r="B2592" s="8" t="s">
        <v>988</v>
      </c>
      <c r="C2592" s="19" t="n">
        <v>1</v>
      </c>
      <c r="D2592" s="19" t="n">
        <v>47.47</v>
      </c>
      <c r="E2592" s="19" t="n">
        <v>4</v>
      </c>
      <c r="F2592" s="19" t="n">
        <v>126.27</v>
      </c>
      <c r="G2592" s="8" t="str">
        <f aca="false">IFERROR(INDEX('TRANS'!$B:$B,MATCH($B2592,'TRANS'!$A:$A,0)),IFERROR(INDEX('TRANS'!$B:$B,MATCH(TRIM(SUBSTITUTE($B2592,CHAR(160)," ")),'TRANS'!$D:$D,0)),IFERROR(INDEX('Catalog'!$A:$A,MATCH($B2592,'Catalog'!$B:$B,0)),IFERROR(INDEX('Catalog'!$A:$A,MATCH(TRIM(SUBSTITUTE($B2592,CHAR(160)," ")),'Catalog'!$C:$C,0)),""))))</f>
        <v/>
      </c>
      <c r="H2592" s="8" t="str">
        <f aca="false">IFERROR(INDEX('TRANS'!$C:$C,MATCH($B2592,'TRANS'!$A:$A,0)),IFERROR(INDEX('Catalog'!$B:$B,MATCH($G2592,'Catalog'!$A:$A,0)),$B2592))</f>
        <v>95G XL</v>
      </c>
      <c r="I2592" s="8" t="str">
        <f aca="false">IF($G2592="","Unmatched","Matched")</f>
        <v>Unmatched</v>
      </c>
    </row>
    <row r="2593" customFormat="false" ht="15" hidden="false" customHeight="false" outlineLevel="0" collapsed="false">
      <c r="A2593" s="8" t="s">
        <v>918</v>
      </c>
      <c r="B2593" s="8" t="s">
        <v>267</v>
      </c>
      <c r="C2593" s="19" t="n">
        <v>18</v>
      </c>
      <c r="D2593" s="19" t="n">
        <v>2871.51</v>
      </c>
      <c r="E2593" s="19" t="n">
        <v>15</v>
      </c>
      <c r="F2593" s="19" t="n">
        <v>2414.05</v>
      </c>
      <c r="G2593" s="8" t="n">
        <f aca="false">IFERROR(INDEX('TRANS'!$B:$B,MATCH($B2593,'TRANS'!$A:$A,0)),IFERROR(INDEX('TRANS'!$B:$B,MATCH(TRIM(SUBSTITUTE($B2593,CHAR(160)," ")),'TRANS'!$D:$D,0)),IFERROR(INDEX('Catalog'!$A:$A,MATCH($B2593,'Catalog'!$B:$B,0)),IFERROR(INDEX('Catalog'!$A:$A,MATCH(TRIM(SUBSTITUTE($B2593,CHAR(160)," ")),'Catalog'!$C:$C,0)),""))))</f>
        <v>4408205</v>
      </c>
      <c r="H2593" s="8" t="str">
        <f aca="false">IFERROR(INDEX('TRANS'!$C:$C,MATCH($B2593,'TRANS'!$A:$A,0)),IFERROR(INDEX('Catalog'!$B:$B,MATCH($G2593,'Catalog'!$A:$A,0)),$B2593))</f>
        <v>AC-07 חגורת גב עם תמיכות</v>
      </c>
      <c r="I2593" s="8" t="str">
        <f aca="false">IF($G2593="","Unmatched","Matched")</f>
        <v>Matched</v>
      </c>
    </row>
    <row r="2594" customFormat="false" ht="15" hidden="false" customHeight="false" outlineLevel="0" collapsed="false">
      <c r="A2594" s="8" t="s">
        <v>918</v>
      </c>
      <c r="B2594" s="8" t="s">
        <v>268</v>
      </c>
      <c r="C2594" s="19" t="n">
        <v>1</v>
      </c>
      <c r="D2594" s="19" t="n">
        <v>132.97</v>
      </c>
      <c r="E2594" s="19" t="n">
        <v>8</v>
      </c>
      <c r="F2594" s="19" t="n">
        <v>1037.14</v>
      </c>
      <c r="G2594" s="8" t="n">
        <f aca="false">IFERROR(INDEX('TRANS'!$B:$B,MATCH($B2594,'TRANS'!$A:$A,0)),IFERROR(INDEX('TRANS'!$B:$B,MATCH(TRIM(SUBSTITUTE($B2594,CHAR(160)," ")),'TRANS'!$D:$D,0)),IFERROR(INDEX('Catalog'!$A:$A,MATCH($B2594,'Catalog'!$B:$B,0)),IFERROR(INDEX('Catalog'!$A:$A,MATCH(TRIM(SUBSTITUTE($B2594,CHAR(160)," ")),'Catalog'!$C:$C,0)),""))))</f>
        <v>4408206</v>
      </c>
      <c r="H2594" s="8" t="str">
        <f aca="false">IFERROR(INDEX('TRANS'!$C:$C,MATCH($B2594,'TRANS'!$A:$A,0)),IFERROR(INDEX('Catalog'!$B:$B,MATCH($G2594,'Catalog'!$A:$A,0)),$B2594))</f>
        <v>AC-11 חגורת בטן קלה</v>
      </c>
      <c r="I2594" s="8" t="str">
        <f aca="false">IF($G2594="","Unmatched","Matched")</f>
        <v>Matched</v>
      </c>
    </row>
    <row r="2595" customFormat="false" ht="15" hidden="false" customHeight="false" outlineLevel="0" collapsed="false">
      <c r="A2595" s="8" t="s">
        <v>918</v>
      </c>
      <c r="B2595" s="8" t="s">
        <v>269</v>
      </c>
      <c r="C2595" s="19" t="n">
        <v>25</v>
      </c>
      <c r="D2595" s="19" t="n">
        <v>1540.71</v>
      </c>
      <c r="E2595" s="19" t="n">
        <v>20</v>
      </c>
      <c r="F2595" s="19" t="n">
        <v>1320.38</v>
      </c>
      <c r="G2595" s="8" t="n">
        <f aca="false">IFERROR(INDEX('TRANS'!$B:$B,MATCH($B2595,'TRANS'!$A:$A,0)),IFERROR(INDEX('TRANS'!$B:$B,MATCH(TRIM(SUBSTITUTE($B2595,CHAR(160)," ")),'TRANS'!$D:$D,0)),IFERROR(INDEX('Catalog'!$A:$A,MATCH($B2595,'Catalog'!$B:$B,0)),IFERROR(INDEX('Catalog'!$A:$A,MATCH(TRIM(SUBSTITUTE($B2595,CHAR(160)," ")),'Catalog'!$C:$C,0)),""))))</f>
        <v>4408207</v>
      </c>
      <c r="H2595" s="8" t="str">
        <f aca="false">IFERROR(INDEX('TRANS'!$C:$C,MATCH($B2595,'TRANS'!$A:$A,0)),IFERROR(INDEX('Catalog'!$B:$B,MATCH($G2595,'Catalog'!$A:$A,0)),$B2595))</f>
        <v>AC-25 חבק לשורש כף היד</v>
      </c>
      <c r="I2595" s="8" t="str">
        <f aca="false">IF($G2595="","Unmatched","Matched")</f>
        <v>Matched</v>
      </c>
    </row>
    <row r="2596" customFormat="false" ht="15" hidden="false" customHeight="false" outlineLevel="0" collapsed="false">
      <c r="A2596" s="8" t="s">
        <v>918</v>
      </c>
      <c r="B2596" s="8" t="s">
        <v>270</v>
      </c>
      <c r="C2596" s="19" t="n">
        <v>38</v>
      </c>
      <c r="D2596" s="19" t="n">
        <v>2834.69</v>
      </c>
      <c r="E2596" s="19" t="n">
        <v>63</v>
      </c>
      <c r="F2596" s="19" t="n">
        <v>5168.55</v>
      </c>
      <c r="G2596" s="8" t="n">
        <f aca="false">IFERROR(INDEX('TRANS'!$B:$B,MATCH($B2596,'TRANS'!$A:$A,0)),IFERROR(INDEX('TRANS'!$B:$B,MATCH(TRIM(SUBSTITUTE($B2596,CHAR(160)," ")),'TRANS'!$D:$D,0)),IFERROR(INDEX('Catalog'!$A:$A,MATCH($B2596,'Catalog'!$B:$B,0)),IFERROR(INDEX('Catalog'!$A:$A,MATCH(TRIM(SUBSTITUTE($B2596,CHAR(160)," ")),'Catalog'!$C:$C,0)),""))))</f>
        <v>4415026</v>
      </c>
      <c r="H2596" s="8" t="str">
        <f aca="false">IFERROR(INDEX('TRANS'!$C:$C,MATCH($B2596,'TRANS'!$A:$A,0)),IFERROR(INDEX('Catalog'!$B:$B,MATCH($G2596,'Catalog'!$A:$A,0)),$B2596))</f>
        <v>AC-27L סד לש.כף יד שמאל</v>
      </c>
      <c r="I2596" s="8" t="str">
        <f aca="false">IF($G2596="","Unmatched","Matched")</f>
        <v>Matched</v>
      </c>
    </row>
    <row r="2597" customFormat="false" ht="15" hidden="false" customHeight="false" outlineLevel="0" collapsed="false">
      <c r="A2597" s="8" t="s">
        <v>918</v>
      </c>
      <c r="B2597" s="8" t="s">
        <v>271</v>
      </c>
      <c r="C2597" s="19" t="n">
        <v>35</v>
      </c>
      <c r="D2597" s="19" t="n">
        <v>2758.36</v>
      </c>
      <c r="E2597" s="19" t="n">
        <v>71</v>
      </c>
      <c r="F2597" s="19" t="n">
        <v>5807.67</v>
      </c>
      <c r="G2597" s="8" t="n">
        <f aca="false">IFERROR(INDEX('TRANS'!$B:$B,MATCH($B2597,'TRANS'!$A:$A,0)),IFERROR(INDEX('TRANS'!$B:$B,MATCH(TRIM(SUBSTITUTE($B2597,CHAR(160)," ")),'TRANS'!$D:$D,0)),IFERROR(INDEX('Catalog'!$A:$A,MATCH($B2597,'Catalog'!$B:$B,0)),IFERROR(INDEX('Catalog'!$A:$A,MATCH(TRIM(SUBSTITUTE($B2597,CHAR(160)," ")),'Catalog'!$C:$C,0)),""))))</f>
        <v>4415027</v>
      </c>
      <c r="H2597" s="8" t="str">
        <f aca="false">IFERROR(INDEX('TRANS'!$C:$C,MATCH($B2597,'TRANS'!$A:$A,0)),IFERROR(INDEX('Catalog'!$B:$B,MATCH($G2597,'Catalog'!$A:$A,0)),$B2597))</f>
        <v>AC-27R סד לש.כף יד ימין</v>
      </c>
      <c r="I2597" s="8" t="str">
        <f aca="false">IF($G2597="","Unmatched","Matched")</f>
        <v>Matched</v>
      </c>
    </row>
    <row r="2598" customFormat="false" ht="15" hidden="false" customHeight="false" outlineLevel="0" collapsed="false">
      <c r="A2598" s="8" t="s">
        <v>918</v>
      </c>
      <c r="B2598" s="8" t="s">
        <v>272</v>
      </c>
      <c r="C2598" s="19" t="n">
        <v>78</v>
      </c>
      <c r="D2598" s="19" t="n">
        <v>5485.72</v>
      </c>
      <c r="E2598" s="19" t="n">
        <v>90</v>
      </c>
      <c r="F2598" s="19" t="n">
        <v>6704.59</v>
      </c>
      <c r="G2598" s="8" t="n">
        <f aca="false">IFERROR(INDEX('TRANS'!$B:$B,MATCH($B2598,'TRANS'!$A:$A,0)),IFERROR(INDEX('TRANS'!$B:$B,MATCH(TRIM(SUBSTITUTE($B2598,CHAR(160)," ")),'TRANS'!$D:$D,0)),IFERROR(INDEX('Catalog'!$A:$A,MATCH($B2598,'Catalog'!$B:$B,0)),IFERROR(INDEX('Catalog'!$A:$A,MATCH(TRIM(SUBSTITUTE($B2598,CHAR(160)," ")),'Catalog'!$C:$C,0)),""))))</f>
        <v>4415028</v>
      </c>
      <c r="H2598" s="8" t="str">
        <f aca="false">IFERROR(INDEX('TRANS'!$C:$C,MATCH($B2598,'TRANS'!$A:$A,0)),IFERROR(INDEX('Catalog'!$B:$B,MATCH($G2598,'Catalog'!$A:$A,0)),$B2598))</f>
        <v>AC-28 סד לאגודל</v>
      </c>
      <c r="I2598" s="8" t="str">
        <f aca="false">IF($G2598="","Unmatched","Matched")</f>
        <v>Matched</v>
      </c>
    </row>
    <row r="2599" customFormat="false" ht="15" hidden="false" customHeight="false" outlineLevel="0" collapsed="false">
      <c r="A2599" s="8" t="s">
        <v>918</v>
      </c>
      <c r="B2599" s="8" t="s">
        <v>273</v>
      </c>
      <c r="C2599" s="19" t="n">
        <v>17</v>
      </c>
      <c r="D2599" s="19" t="n">
        <v>1019.63</v>
      </c>
      <c r="E2599" s="19" t="n">
        <v>23</v>
      </c>
      <c r="F2599" s="19" t="n">
        <v>1469.35</v>
      </c>
      <c r="G2599" s="8" t="n">
        <f aca="false">IFERROR(INDEX('TRANS'!$B:$B,MATCH($B2599,'TRANS'!$A:$A,0)),IFERROR(INDEX('TRANS'!$B:$B,MATCH(TRIM(SUBSTITUTE($B2599,CHAR(160)," ")),'TRANS'!$D:$D,0)),IFERROR(INDEX('Catalog'!$A:$A,MATCH($B2599,'Catalog'!$B:$B,0)),IFERROR(INDEX('Catalog'!$A:$A,MATCH(TRIM(SUBSTITUTE($B2599,CHAR(160)," ")),'Catalog'!$C:$C,0)),""))))</f>
        <v>4413326</v>
      </c>
      <c r="H2599" s="8" t="str">
        <f aca="false">IFERROR(INDEX('TRANS'!$C:$C,MATCH($B2599,'TRANS'!$A:$A,0)),IFERROR(INDEX('Catalog'!$B:$B,MATCH($G2599,'Catalog'!$A:$A,0)),$B2599))</f>
        <v>AC37 מגן קרסול נושם</v>
      </c>
      <c r="I2599" s="8" t="str">
        <f aca="false">IF($G2599="","Unmatched","Matched")</f>
        <v>Matched</v>
      </c>
    </row>
    <row r="2600" customFormat="false" ht="15" hidden="false" customHeight="false" outlineLevel="0" collapsed="false">
      <c r="A2600" s="8" t="s">
        <v>918</v>
      </c>
      <c r="B2600" s="8" t="s">
        <v>274</v>
      </c>
      <c r="C2600" s="19" t="n">
        <v>27</v>
      </c>
      <c r="D2600" s="19" t="n">
        <v>3649.3</v>
      </c>
      <c r="E2600" s="19" t="n">
        <v>38</v>
      </c>
      <c r="F2600" s="19" t="n">
        <v>5302.73</v>
      </c>
      <c r="G2600" s="8" t="n">
        <f aca="false">IFERROR(INDEX('TRANS'!$B:$B,MATCH($B2600,'TRANS'!$A:$A,0)),IFERROR(INDEX('TRANS'!$B:$B,MATCH(TRIM(SUBSTITUTE($B2600,CHAR(160)," ")),'TRANS'!$D:$D,0)),IFERROR(INDEX('Catalog'!$A:$A,MATCH($B2600,'Catalog'!$B:$B,0)),IFERROR(INDEX('Catalog'!$A:$A,MATCH(TRIM(SUBSTITUTE($B2600,CHAR(160)," ")),'Catalog'!$C:$C,0)),""))))</f>
        <v>4420026</v>
      </c>
      <c r="H2600" s="8" t="str">
        <f aca="false">IFERROR(INDEX('TRANS'!$C:$C,MATCH($B2600,'TRANS'!$A:$A,0)),IFERROR(INDEX('Catalog'!$B:$B,MATCH($G2600,'Catalog'!$A:$A,0)),$B2600))</f>
        <v>AC40 רצועה לפיקת הברך</v>
      </c>
      <c r="I2600" s="8" t="str">
        <f aca="false">IF($G2600="","Unmatched","Matched")</f>
        <v>Matched</v>
      </c>
    </row>
    <row r="2601" customFormat="false" ht="15" hidden="false" customHeight="false" outlineLevel="0" collapsed="false">
      <c r="A2601" s="8" t="s">
        <v>918</v>
      </c>
      <c r="B2601" s="8" t="s">
        <v>56</v>
      </c>
      <c r="C2601" s="19" t="n">
        <v>75</v>
      </c>
      <c r="D2601" s="19" t="n">
        <v>12803.3</v>
      </c>
      <c r="E2601" s="19" t="n">
        <v>75</v>
      </c>
      <c r="F2601" s="19" t="n">
        <v>13650.72</v>
      </c>
      <c r="G2601" s="8" t="n">
        <f aca="false">IFERROR(INDEX('TRANS'!$B:$B,MATCH($B2601,'TRANS'!$A:$A,0)),IFERROR(INDEX('TRANS'!$B:$B,MATCH(TRIM(SUBSTITUTE($B2601,CHAR(160)," ")),'TRANS'!$D:$D,0)),IFERROR(INDEX('Catalog'!$A:$A,MATCH($B2601,'Catalog'!$B:$B,0)),IFERROR(INDEX('Catalog'!$A:$A,MATCH(TRIM(SUBSTITUTE($B2601,CHAR(160)," ")),'Catalog'!$C:$C,0)),""))))</f>
        <v>4413328</v>
      </c>
      <c r="H2601" s="8" t="str">
        <f aca="false">IFERROR(INDEX('TRANS'!$C:$C,MATCH($B2601,'TRANS'!$A:$A,0)),IFERROR(INDEX('Catalog'!$B:$B,MATCH($G2601,'Catalog'!$A:$A,0)),$B2601))</f>
        <v>AC43D מגן ברך + צירים</v>
      </c>
      <c r="I2601" s="8" t="str">
        <f aca="false">IF($G2601="","Unmatched","Matched")</f>
        <v>Matched</v>
      </c>
    </row>
    <row r="2602" customFormat="false" ht="15" hidden="false" customHeight="false" outlineLevel="0" collapsed="false">
      <c r="A2602" s="8" t="s">
        <v>918</v>
      </c>
      <c r="B2602" s="8" t="s">
        <v>275</v>
      </c>
      <c r="C2602" s="19" t="n">
        <v>107</v>
      </c>
      <c r="D2602" s="19" t="n">
        <v>13400.11</v>
      </c>
      <c r="E2602" s="19" t="n">
        <v>136</v>
      </c>
      <c r="F2602" s="19" t="n">
        <v>17867.04</v>
      </c>
      <c r="G2602" s="8" t="n">
        <f aca="false">IFERROR(INDEX('TRANS'!$B:$B,MATCH($B2602,'TRANS'!$A:$A,0)),IFERROR(INDEX('TRANS'!$B:$B,MATCH(TRIM(SUBSTITUTE($B2602,CHAR(160)," ")),'TRANS'!$D:$D,0)),IFERROR(INDEX('Catalog'!$A:$A,MATCH($B2602,'Catalog'!$B:$B,0)),IFERROR(INDEX('Catalog'!$A:$A,MATCH(TRIM(SUBSTITUTE($B2602,CHAR(160)," ")),'Catalog'!$C:$C,0)),""))))</f>
        <v>4413329</v>
      </c>
      <c r="H2602" s="8" t="str">
        <f aca="false">IFERROR(INDEX('TRANS'!$C:$C,MATCH($B2602,'TRANS'!$A:$A,0)),IFERROR(INDEX('Catalog'!$B:$B,MATCH($G2602,'Catalog'!$A:$A,0)),$B2602))</f>
        <v>AC45X מגן ברך עם תמיכות</v>
      </c>
      <c r="I2602" s="8" t="str">
        <f aca="false">IF($G2602="","Unmatched","Matched")</f>
        <v>Matched</v>
      </c>
    </row>
    <row r="2603" customFormat="false" ht="15" hidden="false" customHeight="false" outlineLevel="0" collapsed="false">
      <c r="A2603" s="8" t="s">
        <v>918</v>
      </c>
      <c r="B2603" s="8" t="s">
        <v>554</v>
      </c>
      <c r="C2603" s="19" t="n">
        <v>33</v>
      </c>
      <c r="D2603" s="19" t="n">
        <v>3431.61</v>
      </c>
      <c r="E2603" s="19" t="n">
        <v>37</v>
      </c>
      <c r="F2603" s="19" t="n">
        <v>3962.6</v>
      </c>
      <c r="G2603" s="8" t="n">
        <f aca="false">IFERROR(INDEX('TRANS'!$B:$B,MATCH($B2603,'TRANS'!$A:$A,0)),IFERROR(INDEX('TRANS'!$B:$B,MATCH(TRIM(SUBSTITUTE($B2603,CHAR(160)," ")),'TRANS'!$D:$D,0)),IFERROR(INDEX('Catalog'!$A:$A,MATCH($B2603,'Catalog'!$B:$B,0)),IFERROR(INDEX('Catalog'!$A:$A,MATCH(TRIM(SUBSTITUTE($B2603,CHAR(160)," ")),'Catalog'!$C:$C,0)),""))))</f>
        <v>4413330</v>
      </c>
      <c r="H2603" s="8" t="str">
        <f aca="false">IFERROR(INDEX('TRANS'!$C:$C,MATCH($B2603,'TRANS'!$A:$A,0)),IFERROR(INDEX('Catalog'!$B:$B,MATCH($G2603,'Catalog'!$A:$A,0)),$B2603))</f>
        <v>AC49 מגן ירך</v>
      </c>
      <c r="I2603" s="8" t="str">
        <f aca="false">IF($G2603="","Unmatched","Matched")</f>
        <v>Matched</v>
      </c>
    </row>
    <row r="2604" customFormat="false" ht="15" hidden="false" customHeight="false" outlineLevel="0" collapsed="false">
      <c r="A2604" s="8" t="s">
        <v>918</v>
      </c>
      <c r="B2604" s="8" t="s">
        <v>276</v>
      </c>
      <c r="C2604" s="19" t="n">
        <v>128</v>
      </c>
      <c r="D2604" s="19" t="n">
        <v>15662.12</v>
      </c>
      <c r="E2604" s="19" t="n">
        <v>903</v>
      </c>
      <c r="F2604" s="19" t="n">
        <v>121131.92</v>
      </c>
      <c r="G2604" s="8" t="n">
        <f aca="false">IFERROR(INDEX('TRANS'!$B:$B,MATCH($B2604,'TRANS'!$A:$A,0)),IFERROR(INDEX('TRANS'!$B:$B,MATCH(TRIM(SUBSTITUTE($B2604,CHAR(160)," ")),'TRANS'!$D:$D,0)),IFERROR(INDEX('Catalog'!$A:$A,MATCH($B2604,'Catalog'!$B:$B,0)),IFERROR(INDEX('Catalog'!$A:$A,MATCH(TRIM(SUBSTITUTE($B2604,CHAR(160)," ")),'Catalog'!$C:$C,0)),""))))</f>
        <v>4413456</v>
      </c>
      <c r="H2604" s="8" t="str">
        <f aca="false">IFERROR(INDEX('TRANS'!$C:$C,MATCH($B2604,'TRANS'!$A:$A,0)),IFERROR(INDEX('Catalog'!$B:$B,MATCH($G2604,'Catalog'!$A:$A,0)),$B2604))</f>
        <v>AC75 XXL  מיישר כתפיים אקטיב</v>
      </c>
      <c r="I2604" s="8" t="str">
        <f aca="false">IF($G2604="","Unmatched","Matched")</f>
        <v>Matched</v>
      </c>
    </row>
    <row r="2605" customFormat="false" ht="15" hidden="false" customHeight="false" outlineLevel="0" collapsed="false">
      <c r="A2605" s="8" t="s">
        <v>918</v>
      </c>
      <c r="B2605" s="8" t="s">
        <v>54</v>
      </c>
      <c r="C2605" s="19" t="n">
        <v>489</v>
      </c>
      <c r="D2605" s="19" t="n">
        <v>59910.55</v>
      </c>
      <c r="E2605" s="19" t="n">
        <v>5248</v>
      </c>
      <c r="F2605" s="19" t="n">
        <v>711931.409999993</v>
      </c>
      <c r="G2605" s="8" t="n">
        <f aca="false">IFERROR(INDEX('TRANS'!$B:$B,MATCH($B2605,'TRANS'!$A:$A,0)),IFERROR(INDEX('TRANS'!$B:$B,MATCH(TRIM(SUBSTITUTE($B2605,CHAR(160)," ")),'TRANS'!$D:$D,0)),IFERROR(INDEX('Catalog'!$A:$A,MATCH($B2605,'Catalog'!$B:$B,0)),IFERROR(INDEX('Catalog'!$A:$A,MATCH(TRIM(SUBSTITUTE($B2605,CHAR(160)," ")),'Catalog'!$C:$C,0)),""))))</f>
        <v>4413453</v>
      </c>
      <c r="H2605" s="8" t="str">
        <f aca="false">IFERROR(INDEX('TRANS'!$C:$C,MATCH($B2605,'TRANS'!$A:$A,0)),IFERROR(INDEX('Catalog'!$B:$B,MATCH($G2605,'Catalog'!$A:$A,0)),$B2605))</f>
        <v>AC75 מישר כתפיים אקטיב</v>
      </c>
      <c r="I2605" s="8" t="str">
        <f aca="false">IF($G2605="","Unmatched","Matched")</f>
        <v>Matched</v>
      </c>
    </row>
    <row r="2606" customFormat="false" ht="15" hidden="false" customHeight="false" outlineLevel="0" collapsed="false">
      <c r="A2606" s="8" t="s">
        <v>918</v>
      </c>
      <c r="B2606" s="8" t="s">
        <v>277</v>
      </c>
      <c r="C2606" s="19" t="n">
        <v>177</v>
      </c>
      <c r="D2606" s="19" t="n">
        <v>11579.94</v>
      </c>
      <c r="E2606" s="19" t="n">
        <v>151</v>
      </c>
      <c r="F2606" s="19" t="n">
        <v>10272.38</v>
      </c>
      <c r="G2606" s="8" t="n">
        <f aca="false">IFERROR(INDEX('TRANS'!$B:$B,MATCH($B2606,'TRANS'!$A:$A,0)),IFERROR(INDEX('TRANS'!$B:$B,MATCH(TRIM(SUBSTITUTE($B2606,CHAR(160)," ")),'TRANS'!$D:$D,0)),IFERROR(INDEX('Catalog'!$A:$A,MATCH($B2606,'Catalog'!$B:$B,0)),IFERROR(INDEX('Catalog'!$A:$A,MATCH(TRIM(SUBSTITUTE($B2606,CHAR(160)," ")),'Catalog'!$C:$C,0)),""))))</f>
        <v>4408208</v>
      </c>
      <c r="H2606" s="8" t="str">
        <f aca="false">IFERROR(INDEX('TRANS'!$C:$C,MATCH($B2606,'TRANS'!$A:$A,0)),IFERROR(INDEX('Catalog'!$B:$B,MATCH($G2606,'Catalog'!$A:$A,0)),$B2606))</f>
        <v>AC91 חבק טניס</v>
      </c>
      <c r="I2606" s="8" t="str">
        <f aca="false">IF($G2606="","Unmatched","Matched")</f>
        <v>Matched</v>
      </c>
    </row>
    <row r="2607" customFormat="false" ht="15" hidden="false" customHeight="false" outlineLevel="0" collapsed="false">
      <c r="A2607" s="8" t="s">
        <v>918</v>
      </c>
      <c r="B2607" s="8" t="s">
        <v>278</v>
      </c>
      <c r="C2607" s="19" t="n">
        <v>46</v>
      </c>
      <c r="D2607" s="19" t="n">
        <v>3244.73</v>
      </c>
      <c r="E2607" s="19" t="n">
        <v>25</v>
      </c>
      <c r="F2607" s="19" t="n">
        <v>1839.94</v>
      </c>
      <c r="G2607" s="8" t="n">
        <f aca="false">IFERROR(INDEX('TRANS'!$B:$B,MATCH($B2607,'TRANS'!$A:$A,0)),IFERROR(INDEX('TRANS'!$B:$B,MATCH(TRIM(SUBSTITUTE($B2607,CHAR(160)," ")),'TRANS'!$D:$D,0)),IFERROR(INDEX('Catalog'!$A:$A,MATCH($B2607,'Catalog'!$B:$B,0)),IFERROR(INDEX('Catalog'!$A:$A,MATCH(TRIM(SUBSTITUTE($B2607,CHAR(160)," ")),'Catalog'!$C:$C,0)),""))))</f>
        <v>4413331</v>
      </c>
      <c r="H2607" s="8" t="str">
        <f aca="false">IFERROR(INDEX('TRANS'!$C:$C,MATCH($B2607,'TRANS'!$A:$A,0)),IFERROR(INDEX('Catalog'!$B:$B,MATCH($G2607,'Catalog'!$A:$A,0)),$B2607))</f>
        <v>AC95 מגן מרפק</v>
      </c>
      <c r="I2607" s="8" t="str">
        <f aca="false">IF($G2607="","Unmatched","Matched")</f>
        <v>Matched</v>
      </c>
    </row>
    <row r="2608" customFormat="false" ht="15" hidden="false" customHeight="false" outlineLevel="0" collapsed="false">
      <c r="A2608" s="8" t="s">
        <v>918</v>
      </c>
      <c r="B2608" s="8" t="s">
        <v>279</v>
      </c>
      <c r="C2608" s="19" t="n">
        <v>22</v>
      </c>
      <c r="D2608" s="19" t="n">
        <v>521.57</v>
      </c>
      <c r="E2608" s="19" t="n">
        <v>33</v>
      </c>
      <c r="F2608" s="19" t="n">
        <v>813.42</v>
      </c>
      <c r="G2608" s="8" t="n">
        <f aca="false">IFERROR(INDEX('TRANS'!$B:$B,MATCH($B2608,'TRANS'!$A:$A,0)),IFERROR(INDEX('TRANS'!$B:$B,MATCH(TRIM(SUBSTITUTE($B2608,CHAR(160)," ")),'TRANS'!$D:$D,0)),IFERROR(INDEX('Catalog'!$A:$A,MATCH($B2608,'Catalog'!$B:$B,0)),IFERROR(INDEX('Catalog'!$A:$A,MATCH(TRIM(SUBSTITUTE($B2608,CHAR(160)," ")),'Catalog'!$C:$C,0)),""))))</f>
        <v>4413149</v>
      </c>
      <c r="H2608" s="8" t="str">
        <f aca="false">IFERROR(INDEX('TRANS'!$C:$C,MATCH($B2608,'TRANS'!$A:$A,0)),IFERROR(INDEX('Catalog'!$B:$B,MATCH($G2608,'Catalog'!$A:$A,0)),$B2608))</f>
        <v>FC321-מלח אמבט לכף הרגל</v>
      </c>
      <c r="I2608" s="8" t="str">
        <f aca="false">IF($G2608="","Unmatched","Matched")</f>
        <v>Matched</v>
      </c>
    </row>
    <row r="2609" customFormat="false" ht="15" hidden="false" customHeight="false" outlineLevel="0" collapsed="false">
      <c r="A2609" s="8" t="s">
        <v>918</v>
      </c>
      <c r="B2609" s="8" t="s">
        <v>280</v>
      </c>
      <c r="C2609" s="19" t="n">
        <v>95</v>
      </c>
      <c r="D2609" s="19" t="n">
        <v>3318.11</v>
      </c>
      <c r="E2609" s="19" t="n">
        <v>115</v>
      </c>
      <c r="F2609" s="19" t="n">
        <v>4112.59</v>
      </c>
      <c r="G2609" s="8" t="n">
        <f aca="false">IFERROR(INDEX('TRANS'!$B:$B,MATCH($B2609,'TRANS'!$A:$A,0)),IFERROR(INDEX('TRANS'!$B:$B,MATCH(TRIM(SUBSTITUTE($B2609,CHAR(160)," ")),'TRANS'!$D:$D,0)),IFERROR(INDEX('Catalog'!$A:$A,MATCH($B2609,'Catalog'!$B:$B,0)),IFERROR(INDEX('Catalog'!$A:$A,MATCH(TRIM(SUBSTITUTE($B2609,CHAR(160)," ")),'Catalog'!$C:$C,0)),""))))</f>
        <v>4422035</v>
      </c>
      <c r="H2609" s="8" t="str">
        <f aca="false">IFERROR(INDEX('TRANS'!$C:$C,MATCH($B2609,'TRANS'!$A:$A,0)),IFERROR(INDEX('Catalog'!$B:$B,MATCH($G2609,'Catalog'!$A:$A,0)),$B2609))</f>
        <v>FCתרסיס דאודורנט אנטיבק.נעל333</v>
      </c>
      <c r="I2609" s="8" t="str">
        <f aca="false">IF($G2609="","Unmatched","Matched")</f>
        <v>Matched</v>
      </c>
    </row>
    <row r="2610" customFormat="false" ht="15" hidden="false" customHeight="false" outlineLevel="0" collapsed="false">
      <c r="A2610" s="8" t="s">
        <v>918</v>
      </c>
      <c r="B2610" s="8" t="s">
        <v>514</v>
      </c>
      <c r="C2610" s="19" t="n">
        <v>37</v>
      </c>
      <c r="D2610" s="19" t="n">
        <v>1488.94</v>
      </c>
      <c r="E2610" s="19" t="n">
        <v>84</v>
      </c>
      <c r="F2610" s="19" t="n">
        <v>3401.31</v>
      </c>
      <c r="G2610" s="8" t="n">
        <f aca="false">IFERROR(INDEX('TRANS'!$B:$B,MATCH($B2610,'TRANS'!$A:$A,0)),IFERROR(INDEX('TRANS'!$B:$B,MATCH(TRIM(SUBSTITUTE($B2610,CHAR(160)," ")),'TRANS'!$D:$D,0)),IFERROR(INDEX('Catalog'!$A:$A,MATCH($B2610,'Catalog'!$B:$B,0)),IFERROR(INDEX('Catalog'!$A:$A,MATCH(TRIM(SUBSTITUTE($B2610,CHAR(160)," ")),'Catalog'!$C:$C,0)),""))))</f>
        <v>4422036</v>
      </c>
      <c r="H2610" s="8" t="str">
        <f aca="false">IFERROR(INDEX('TRANS'!$C:$C,MATCH($B2610,'TRANS'!$A:$A,0)),IFERROR(INDEX('Catalog'!$B:$B,MATCH($G2610,'Catalog'!$A:$A,0)),$B2610))</f>
        <v>FC334  תרסיס דאודורנט לכף הרגל</v>
      </c>
      <c r="I2610" s="8" t="str">
        <f aca="false">IF($G2610="","Unmatched","Matched")</f>
        <v>Matched</v>
      </c>
    </row>
    <row r="2611" customFormat="false" ht="15" hidden="false" customHeight="false" outlineLevel="0" collapsed="false">
      <c r="A2611" s="8" t="s">
        <v>918</v>
      </c>
      <c r="B2611" s="8" t="s">
        <v>281</v>
      </c>
      <c r="C2611" s="19" t="n">
        <v>9</v>
      </c>
      <c r="D2611" s="19" t="n">
        <v>330.54</v>
      </c>
      <c r="E2611" s="19" t="n">
        <v>11</v>
      </c>
      <c r="F2611" s="19" t="n">
        <v>456.73</v>
      </c>
      <c r="G2611" s="8" t="n">
        <f aca="false">IFERROR(INDEX('TRANS'!$B:$B,MATCH($B2611,'TRANS'!$A:$A,0)),IFERROR(INDEX('TRANS'!$B:$B,MATCH(TRIM(SUBSTITUTE($B2611,CHAR(160)," ")),'TRANS'!$D:$D,0)),IFERROR(INDEX('Catalog'!$A:$A,MATCH($B2611,'Catalog'!$B:$B,0)),IFERROR(INDEX('Catalog'!$A:$A,MATCH(TRIM(SUBSTITUTE($B2611,CHAR(160)," ")),'Catalog'!$C:$C,0)),""))))</f>
        <v>4409004</v>
      </c>
      <c r="H2611" s="8" t="str">
        <f aca="false">IFERROR(INDEX('TRANS'!$C:$C,MATCH($B2611,'TRANS'!$A:$A,0)),IFERROR(INDEX('Catalog'!$B:$B,MATCH($G2611,'Catalog'!$A:$A,0)),$B2611))</f>
        <v>FC335 טלק מעושר באלוורה</v>
      </c>
      <c r="I2611" s="8" t="str">
        <f aca="false">IF($G2611="","Unmatched","Matched")</f>
        <v>Matched</v>
      </c>
    </row>
    <row r="2612" customFormat="false" ht="15" hidden="false" customHeight="false" outlineLevel="0" collapsed="false">
      <c r="A2612" s="8" t="s">
        <v>918</v>
      </c>
      <c r="B2612" s="8" t="s">
        <v>283</v>
      </c>
      <c r="C2612" s="19" t="n">
        <v>41</v>
      </c>
      <c r="D2612" s="19" t="n">
        <v>2518.71</v>
      </c>
      <c r="E2612" s="19" t="n">
        <v>57</v>
      </c>
      <c r="F2612" s="19" t="n">
        <v>3604.73</v>
      </c>
      <c r="G2612" s="8" t="n">
        <f aca="false">IFERROR(INDEX('TRANS'!$B:$B,MATCH($B2612,'TRANS'!$A:$A,0)),IFERROR(INDEX('TRANS'!$B:$B,MATCH(TRIM(SUBSTITUTE($B2612,CHAR(160)," ")),'TRANS'!$D:$D,0)),IFERROR(INDEX('Catalog'!$A:$A,MATCH($B2612,'Catalog'!$B:$B,0)),IFERROR(INDEX('Catalog'!$A:$A,MATCH(TRIM(SUBSTITUTE($B2612,CHAR(160)," ")),'Catalog'!$C:$C,0)),""))))</f>
        <v>4414000</v>
      </c>
      <c r="H2612" s="8" t="str">
        <f aca="false">IFERROR(INDEX('TRANS'!$C:$C,MATCH($B2612,'TRANS'!$A:$A,0)),IFERROR(INDEX('Catalog'!$B:$B,MATCH($G2612,'Catalog'!$A:$A,0)),$B2612))</f>
        <v>FC342-נוזל לציפורן חודרנית</v>
      </c>
      <c r="I2612" s="8" t="str">
        <f aca="false">IF($G2612="","Unmatched","Matched")</f>
        <v>Matched</v>
      </c>
    </row>
    <row r="2613" customFormat="false" ht="15" hidden="false" customHeight="false" outlineLevel="0" collapsed="false">
      <c r="A2613" s="8" t="s">
        <v>918</v>
      </c>
      <c r="B2613" s="8" t="s">
        <v>989</v>
      </c>
      <c r="C2613" s="19" t="n">
        <v>22</v>
      </c>
      <c r="D2613" s="19" t="n">
        <v>2430.05</v>
      </c>
      <c r="E2613" s="19" t="n">
        <v>59</v>
      </c>
      <c r="F2613" s="19" t="n">
        <v>4725.26</v>
      </c>
      <c r="G2613" s="8" t="str">
        <f aca="false">IFERROR(INDEX('TRANS'!$B:$B,MATCH($B2613,'TRANS'!$A:$A,0)),IFERROR(INDEX('TRANS'!$B:$B,MATCH(TRIM(SUBSTITUTE($B2613,CHAR(160)," ")),'TRANS'!$D:$D,0)),IFERROR(INDEX('Catalog'!$A:$A,MATCH($B2613,'Catalog'!$B:$B,0)),IFERROR(INDEX('Catalog'!$A:$A,MATCH(TRIM(SUBSTITUTE($B2613,CHAR(160)," ")),'Catalog'!$C:$C,0)),""))))</f>
        <v/>
      </c>
      <c r="H2613" s="8" t="str">
        <f aca="false">IFERROR(INDEX('TRANS'!$C:$C,MATCH($B2613,'TRANS'!$A:$A,0)),IFERROR(INDEX('Catalog'!$B:$B,MATCH($G2613,'Catalog'!$A:$A,0)),$B2613))</f>
        <v>FC3422 0</v>
      </c>
      <c r="I2613" s="8" t="str">
        <f aca="false">IF($G2613="","Unmatched","Matched")</f>
        <v>Unmatched</v>
      </c>
    </row>
    <row r="2614" customFormat="false" ht="15" hidden="false" customHeight="false" outlineLevel="0" collapsed="false">
      <c r="A2614" s="8" t="s">
        <v>918</v>
      </c>
      <c r="B2614" s="8" t="s">
        <v>990</v>
      </c>
      <c r="C2614" s="19" t="n">
        <v>1349</v>
      </c>
      <c r="D2614" s="19" t="n">
        <v>13.45</v>
      </c>
      <c r="E2614" s="19" t="n">
        <v>1765</v>
      </c>
      <c r="F2614" s="19" t="n">
        <v>-4708.48</v>
      </c>
      <c r="G2614" s="8" t="str">
        <f aca="false">IFERROR(INDEX('TRANS'!$B:$B,MATCH($B2614,'TRANS'!$A:$A,0)),IFERROR(INDEX('TRANS'!$B:$B,MATCH(TRIM(SUBSTITUTE($B2614,CHAR(160)," ")),'TRANS'!$D:$D,0)),IFERROR(INDEX('Catalog'!$A:$A,MATCH($B2614,'Catalog'!$B:$B,0)),IFERROR(INDEX('Catalog'!$A:$A,MATCH(TRIM(SUBSTITUTE($B2614,CHAR(160)," ")),'Catalog'!$C:$C,0)),""))))</f>
        <v/>
      </c>
      <c r="H2614" s="8" t="str">
        <f aca="false">IFERROR(INDEX('TRANS'!$C:$C,MATCH($B2614,'TRANS'!$A:$A,0)),IFERROR(INDEX('Catalog'!$B:$B,MATCH($G2614,'Catalog'!$A:$A,0)),$B2614))</f>
        <v>M92</v>
      </c>
      <c r="I2614" s="8" t="str">
        <f aca="false">IF($G2614="","Unmatched","Matched")</f>
        <v>Unmatched</v>
      </c>
    </row>
    <row r="2615" customFormat="false" ht="15" hidden="false" customHeight="false" outlineLevel="0" collapsed="false">
      <c r="A2615" s="8" t="s">
        <v>918</v>
      </c>
      <c r="B2615" s="8" t="s">
        <v>57</v>
      </c>
      <c r="C2615" s="19" t="n">
        <v>6</v>
      </c>
      <c r="D2615" s="19" t="n">
        <v>152.52</v>
      </c>
      <c r="E2615" s="19" t="n">
        <v>-1</v>
      </c>
      <c r="F2615" s="19" t="n">
        <v>-25.42</v>
      </c>
      <c r="G2615" s="8" t="str">
        <f aca="false">IFERROR(INDEX('TRANS'!$B:$B,MATCH($B2615,'TRANS'!$A:$A,0)),IFERROR(INDEX('TRANS'!$B:$B,MATCH(TRIM(SUBSTITUTE($B2615,CHAR(160)," ")),'TRANS'!$D:$D,0)),IFERROR(INDEX('Catalog'!$A:$A,MATCH($B2615,'Catalog'!$B:$B,0)),IFERROR(INDEX('Catalog'!$A:$A,MATCH(TRIM(SUBSTITUTE($B2615,CHAR(160)," ")),'Catalog'!$C:$C,0)),""))))</f>
        <v/>
      </c>
      <c r="H2615" s="8" t="str">
        <f aca="false">IFERROR(INDEX('TRANS'!$C:$C,MATCH($B2615,'TRANS'!$A:$A,0)),IFERROR(INDEX('Catalog'!$B:$B,MATCH($G2615,'Catalog'!$A:$A,0)),$B2615))</f>
        <v>M93</v>
      </c>
      <c r="I2615" s="8" t="str">
        <f aca="false">IF($G2615="","Unmatched","Matched")</f>
        <v>Unmatched</v>
      </c>
    </row>
    <row r="2616" customFormat="false" ht="15" hidden="false" customHeight="false" outlineLevel="0" collapsed="false">
      <c r="A2616" s="8" t="s">
        <v>918</v>
      </c>
      <c r="B2616" s="8" t="s">
        <v>516</v>
      </c>
      <c r="C2616" s="19" t="n">
        <v>1942</v>
      </c>
      <c r="D2616" s="19" t="n">
        <v>82126.22</v>
      </c>
      <c r="E2616" s="19" t="n">
        <v>1329</v>
      </c>
      <c r="F2616" s="19" t="n">
        <v>54328.93</v>
      </c>
      <c r="G2616" s="8" t="str">
        <f aca="false">IFERROR(INDEX('TRANS'!$B:$B,MATCH($B2616,'TRANS'!$A:$A,0)),IFERROR(INDEX('TRANS'!$B:$B,MATCH(TRIM(SUBSTITUTE($B2616,CHAR(160)," ")),'TRANS'!$D:$D,0)),IFERROR(INDEX('Catalog'!$A:$A,MATCH($B2616,'Catalog'!$B:$B,0)),IFERROR(INDEX('Catalog'!$A:$A,MATCH(TRIM(SUBSTITUTE($B2616,CHAR(160)," ")),'Catalog'!$C:$C,0)),""))))</f>
        <v/>
      </c>
      <c r="H2616" s="8" t="str">
        <f aca="false">IFERROR(INDEX('TRANS'!$C:$C,MATCH($B2616,'TRANS'!$A:$A,0)),IFERROR(INDEX('Catalog'!$B:$B,MATCH($G2616,'Catalog'!$A:$A,0)),$B2616))</f>
        <v>M94</v>
      </c>
      <c r="I2616" s="8" t="str">
        <f aca="false">IF($G2616="","Unmatched","Matched")</f>
        <v>Unmatched</v>
      </c>
    </row>
    <row r="2617" customFormat="false" ht="15" hidden="false" customHeight="false" outlineLevel="0" collapsed="false">
      <c r="A2617" s="8" t="s">
        <v>918</v>
      </c>
      <c r="B2617" s="8" t="s">
        <v>555</v>
      </c>
      <c r="C2617" s="19" t="n">
        <v>4978</v>
      </c>
      <c r="D2617" s="19" t="n">
        <v>83925.83</v>
      </c>
      <c r="E2617" s="19" t="n">
        <v>3342</v>
      </c>
      <c r="F2617" s="19" t="n">
        <v>51232.76</v>
      </c>
      <c r="G2617" s="8" t="str">
        <f aca="false">IFERROR(INDEX('TRANS'!$B:$B,MATCH($B2617,'TRANS'!$A:$A,0)),IFERROR(INDEX('TRANS'!$B:$B,MATCH(TRIM(SUBSTITUTE($B2617,CHAR(160)," ")),'TRANS'!$D:$D,0)),IFERROR(INDEX('Catalog'!$A:$A,MATCH($B2617,'Catalog'!$B:$B,0)),IFERROR(INDEX('Catalog'!$A:$A,MATCH(TRIM(SUBSTITUTE($B2617,CHAR(160)," ")),'Catalog'!$C:$C,0)),""))))</f>
        <v/>
      </c>
      <c r="H2617" s="8" t="str">
        <f aca="false">IFERROR(INDEX('TRANS'!$C:$C,MATCH($B2617,'TRANS'!$A:$A,0)),IFERROR(INDEX('Catalog'!$B:$B,MATCH($G2617,'Catalog'!$A:$A,0)),$B2617))</f>
        <v>M95</v>
      </c>
      <c r="I2617" s="8" t="str">
        <f aca="false">IF($G2617="","Unmatched","Matched")</f>
        <v>Unmatched</v>
      </c>
    </row>
    <row r="2618" customFormat="false" ht="15" hidden="false" customHeight="false" outlineLevel="0" collapsed="false">
      <c r="A2618" s="8" t="s">
        <v>918</v>
      </c>
      <c r="B2618" s="8" t="s">
        <v>517</v>
      </c>
      <c r="C2618" s="19" t="n">
        <v>0</v>
      </c>
      <c r="D2618" s="19" t="n">
        <v>0</v>
      </c>
      <c r="E2618" s="19" t="n">
        <v>25</v>
      </c>
      <c r="F2618" s="19" t="n">
        <v>23150.68</v>
      </c>
      <c r="G2618" s="8" t="str">
        <f aca="false">IFERROR(INDEX('TRANS'!$B:$B,MATCH($B2618,'TRANS'!$A:$A,0)),IFERROR(INDEX('TRANS'!$B:$B,MATCH(TRIM(SUBSTITUTE($B2618,CHAR(160)," ")),'TRANS'!$D:$D,0)),IFERROR(INDEX('Catalog'!$A:$A,MATCH($B2618,'Catalog'!$B:$B,0)),IFERROR(INDEX('Catalog'!$A:$A,MATCH(TRIM(SUBSTITUTE($B2618,CHAR(160)," ")),'Catalog'!$C:$C,0)),""))))</f>
        <v/>
      </c>
      <c r="H2618" s="8" t="str">
        <f aca="false">IFERROR(INDEX('TRANS'!$C:$C,MATCH($B2618,'TRANS'!$A:$A,0)),IFERROR(INDEX('Catalog'!$B:$B,MATCH($G2618,'Catalog'!$A:$A,0)),$B2618))</f>
        <v>MSG001FB 0</v>
      </c>
      <c r="I2618" s="8" t="str">
        <f aca="false">IF($G2618="","Unmatched","Matched")</f>
        <v>Unmatched</v>
      </c>
    </row>
    <row r="2619" customFormat="false" ht="15" hidden="false" customHeight="false" outlineLevel="0" collapsed="false">
      <c r="A2619" s="8" t="s">
        <v>918</v>
      </c>
      <c r="B2619" s="8" t="s">
        <v>702</v>
      </c>
      <c r="C2619" s="19" t="n">
        <v>0</v>
      </c>
      <c r="D2619" s="19" t="n">
        <v>0</v>
      </c>
      <c r="E2619" s="19" t="n">
        <v>12</v>
      </c>
      <c r="F2619" s="19" t="n">
        <v>11151.68</v>
      </c>
      <c r="G2619" s="8" t="str">
        <f aca="false">IFERROR(INDEX('TRANS'!$B:$B,MATCH($B2619,'TRANS'!$A:$A,0)),IFERROR(INDEX('TRANS'!$B:$B,MATCH(TRIM(SUBSTITUTE($B2619,CHAR(160)," ")),'TRANS'!$D:$D,0)),IFERROR(INDEX('Catalog'!$A:$A,MATCH($B2619,'Catalog'!$B:$B,0)),IFERROR(INDEX('Catalog'!$A:$A,MATCH(TRIM(SUBSTITUTE($B2619,CHAR(160)," ")),'Catalog'!$C:$C,0)),""))))</f>
        <v/>
      </c>
      <c r="H2619" s="8" t="str">
        <f aca="false">IFERROR(INDEX('TRANS'!$C:$C,MATCH($B2619,'TRANS'!$A:$A,0)),IFERROR(INDEX('Catalog'!$B:$B,MATCH($G2619,'Catalog'!$A:$A,0)),$B2619))</f>
        <v>MSG001FC</v>
      </c>
      <c r="I2619" s="8" t="str">
        <f aca="false">IF($G2619="","Unmatched","Matched")</f>
        <v>Unmatched</v>
      </c>
    </row>
    <row r="2620" customFormat="false" ht="15" hidden="false" customHeight="false" outlineLevel="0" collapsed="false">
      <c r="A2620" s="8" t="s">
        <v>918</v>
      </c>
      <c r="B2620" s="8" t="s">
        <v>518</v>
      </c>
      <c r="C2620" s="19" t="n">
        <v>0</v>
      </c>
      <c r="D2620" s="19" t="n">
        <v>0</v>
      </c>
      <c r="E2620" s="19" t="n">
        <v>18</v>
      </c>
      <c r="F2620" s="19" t="n">
        <v>16626.44</v>
      </c>
      <c r="G2620" s="8" t="str">
        <f aca="false">IFERROR(INDEX('TRANS'!$B:$B,MATCH($B2620,'TRANS'!$A:$A,0)),IFERROR(INDEX('TRANS'!$B:$B,MATCH(TRIM(SUBSTITUTE($B2620,CHAR(160)," ")),'TRANS'!$D:$D,0)),IFERROR(INDEX('Catalog'!$A:$A,MATCH($B2620,'Catalog'!$B:$B,0)),IFERROR(INDEX('Catalog'!$A:$A,MATCH(TRIM(SUBSTITUTE($B2620,CHAR(160)," ")),'Catalog'!$C:$C,0)),""))))</f>
        <v/>
      </c>
      <c r="H2620" s="8" t="str">
        <f aca="false">IFERROR(INDEX('TRANS'!$C:$C,MATCH($B2620,'TRANS'!$A:$A,0)),IFERROR(INDEX('Catalog'!$B:$B,MATCH($G2620,'Catalog'!$A:$A,0)),$B2620))</f>
        <v>MSG002S 0</v>
      </c>
      <c r="I2620" s="8" t="str">
        <f aca="false">IF($G2620="","Unmatched","Matched")</f>
        <v>Unmatched</v>
      </c>
    </row>
    <row r="2621" customFormat="false" ht="15" hidden="false" customHeight="false" outlineLevel="0" collapsed="false">
      <c r="A2621" s="8" t="s">
        <v>918</v>
      </c>
      <c r="B2621" s="8" t="s">
        <v>991</v>
      </c>
      <c r="C2621" s="19" t="n">
        <v>0</v>
      </c>
      <c r="D2621" s="19" t="n">
        <v>0</v>
      </c>
      <c r="E2621" s="19" t="n">
        <v>18</v>
      </c>
      <c r="F2621" s="19" t="n">
        <v>193.02</v>
      </c>
      <c r="G2621" s="8" t="str">
        <f aca="false">IFERROR(INDEX('TRANS'!$B:$B,MATCH($B2621,'TRANS'!$A:$A,0)),IFERROR(INDEX('TRANS'!$B:$B,MATCH(TRIM(SUBSTITUTE($B2621,CHAR(160)," ")),'TRANS'!$D:$D,0)),IFERROR(INDEX('Catalog'!$A:$A,MATCH($B2621,'Catalog'!$B:$B,0)),IFERROR(INDEX('Catalog'!$A:$A,MATCH(TRIM(SUBSTITUTE($B2621,CHAR(160)," ")),'Catalog'!$C:$C,0)),""))))</f>
        <v/>
      </c>
      <c r="H2621" s="8" t="str">
        <f aca="false">IFERROR(INDEX('TRANS'!$C:$C,MATCH($B2621,'TRANS'!$A:$A,0)),IFERROR(INDEX('Catalog'!$B:$B,MATCH($G2621,'Catalog'!$A:$A,0)),$B2621))</f>
        <v>VMFPCB30 0</v>
      </c>
      <c r="I2621" s="8" t="str">
        <f aca="false">IF($G2621="","Unmatched","Matched")</f>
        <v>Unmatched</v>
      </c>
    </row>
    <row r="2622" customFormat="false" ht="15" hidden="false" customHeight="false" outlineLevel="0" collapsed="false">
      <c r="A2622" s="8" t="s">
        <v>918</v>
      </c>
      <c r="B2622" s="8" t="s">
        <v>992</v>
      </c>
      <c r="C2622" s="19" t="n">
        <v>0</v>
      </c>
      <c r="D2622" s="19" t="n">
        <v>0</v>
      </c>
      <c r="E2622" s="19" t="n">
        <v>2</v>
      </c>
      <c r="F2622" s="19" t="n">
        <v>60.94</v>
      </c>
      <c r="G2622" s="8" t="str">
        <f aca="false">IFERROR(INDEX('TRANS'!$B:$B,MATCH($B2622,'TRANS'!$A:$A,0)),IFERROR(INDEX('TRANS'!$B:$B,MATCH(TRIM(SUBSTITUTE($B2622,CHAR(160)," ")),'TRANS'!$D:$D,0)),IFERROR(INDEX('Catalog'!$A:$A,MATCH($B2622,'Catalog'!$B:$B,0)),IFERROR(INDEX('Catalog'!$A:$A,MATCH(TRIM(SUBSTITUTE($B2622,CHAR(160)," ")),'Catalog'!$C:$C,0)),""))))</f>
        <v/>
      </c>
      <c r="H2622" s="8" t="str">
        <f aca="false">IFERROR(INDEX('TRANS'!$C:$C,MATCH($B2622,'TRANS'!$A:$A,0)),IFERROR(INDEX('Catalog'!$B:$B,MATCH($G2622,'Catalog'!$A:$A,0)),$B2622))</f>
        <v>VMFPCB31 0</v>
      </c>
      <c r="I2622" s="8" t="str">
        <f aca="false">IF($G2622="","Unmatched","Matched")</f>
        <v>Unmatched</v>
      </c>
    </row>
    <row r="2623" customFormat="false" ht="15" hidden="false" customHeight="false" outlineLevel="0" collapsed="false">
      <c r="A2623" s="8" t="s">
        <v>918</v>
      </c>
      <c r="B2623" s="8" t="s">
        <v>993</v>
      </c>
      <c r="C2623" s="19" t="n">
        <v>0</v>
      </c>
      <c r="D2623" s="19" t="n">
        <v>0</v>
      </c>
      <c r="E2623" s="19" t="n">
        <v>2</v>
      </c>
      <c r="F2623" s="19" t="n">
        <v>57.56</v>
      </c>
      <c r="G2623" s="8" t="str">
        <f aca="false">IFERROR(INDEX('TRANS'!$B:$B,MATCH($B2623,'TRANS'!$A:$A,0)),IFERROR(INDEX('TRANS'!$B:$B,MATCH(TRIM(SUBSTITUTE($B2623,CHAR(160)," ")),'TRANS'!$D:$D,0)),IFERROR(INDEX('Catalog'!$A:$A,MATCH($B2623,'Catalog'!$B:$B,0)),IFERROR(INDEX('Catalog'!$A:$A,MATCH(TRIM(SUBSTITUTE($B2623,CHAR(160)," ")),'Catalog'!$C:$C,0)),""))))</f>
        <v/>
      </c>
      <c r="H2623" s="8" t="str">
        <f aca="false">IFERROR(INDEX('TRANS'!$C:$C,MATCH($B2623,'TRANS'!$A:$A,0)),IFERROR(INDEX('Catalog'!$B:$B,MATCH($G2623,'Catalog'!$A:$A,0)),$B2623))</f>
        <v>VMFPCG34 0</v>
      </c>
      <c r="I2623" s="8" t="str">
        <f aca="false">IF($G2623="","Unmatched","Matched")</f>
        <v>Unmatched</v>
      </c>
    </row>
    <row r="2624" customFormat="false" ht="15" hidden="false" customHeight="false" outlineLevel="0" collapsed="false">
      <c r="A2624" s="8" t="s">
        <v>918</v>
      </c>
      <c r="B2624" s="8" t="s">
        <v>994</v>
      </c>
      <c r="C2624" s="19" t="n">
        <v>0</v>
      </c>
      <c r="D2624" s="19" t="n">
        <v>0</v>
      </c>
      <c r="E2624" s="19" t="n">
        <v>3</v>
      </c>
      <c r="F2624" s="19" t="n">
        <v>182.84</v>
      </c>
      <c r="G2624" s="8" t="str">
        <f aca="false">IFERROR(INDEX('TRANS'!$B:$B,MATCH($B2624,'TRANS'!$A:$A,0)),IFERROR(INDEX('TRANS'!$B:$B,MATCH(TRIM(SUBSTITUTE($B2624,CHAR(160)," ")),'TRANS'!$D:$D,0)),IFERROR(INDEX('Catalog'!$A:$A,MATCH($B2624,'Catalog'!$B:$B,0)),IFERROR(INDEX('Catalog'!$A:$A,MATCH(TRIM(SUBSTITUTE($B2624,CHAR(160)," ")),'Catalog'!$C:$C,0)),""))))</f>
        <v/>
      </c>
      <c r="H2624" s="8" t="str">
        <f aca="false">IFERROR(INDEX('TRANS'!$C:$C,MATCH($B2624,'TRANS'!$A:$A,0)),IFERROR(INDEX('Catalog'!$B:$B,MATCH($G2624,'Catalog'!$A:$A,0)),$B2624))</f>
        <v>VMFPCN32 0</v>
      </c>
      <c r="I2624" s="8" t="str">
        <f aca="false">IF($G2624="","Unmatched","Matched")</f>
        <v>Unmatched</v>
      </c>
    </row>
    <row r="2625" customFormat="false" ht="15" hidden="false" customHeight="false" outlineLevel="0" collapsed="false">
      <c r="A2625" s="8" t="s">
        <v>918</v>
      </c>
      <c r="B2625" s="8" t="s">
        <v>995</v>
      </c>
      <c r="C2625" s="19" t="n">
        <v>0</v>
      </c>
      <c r="D2625" s="19" t="n">
        <v>0</v>
      </c>
      <c r="E2625" s="19" t="n">
        <v>1</v>
      </c>
      <c r="F2625" s="19" t="n">
        <v>67.72</v>
      </c>
      <c r="G2625" s="8" t="str">
        <f aca="false">IFERROR(INDEX('TRANS'!$B:$B,MATCH($B2625,'TRANS'!$A:$A,0)),IFERROR(INDEX('TRANS'!$B:$B,MATCH(TRIM(SUBSTITUTE($B2625,CHAR(160)," ")),'TRANS'!$D:$D,0)),IFERROR(INDEX('Catalog'!$A:$A,MATCH($B2625,'Catalog'!$B:$B,0)),IFERROR(INDEX('Catalog'!$A:$A,MATCH(TRIM(SUBSTITUTE($B2625,CHAR(160)," ")),'Catalog'!$C:$C,0)),""))))</f>
        <v/>
      </c>
      <c r="H2625" s="8" t="str">
        <f aca="false">IFERROR(INDEX('TRANS'!$C:$C,MATCH($B2625,'TRANS'!$A:$A,0)),IFERROR(INDEX('Catalog'!$B:$B,MATCH($G2625,'Catalog'!$A:$A,0)),$B2625))</f>
        <v>VMFPCW33 0</v>
      </c>
      <c r="I2625" s="8" t="str">
        <f aca="false">IF($G2625="","Unmatched","Matched")</f>
        <v>Unmatched</v>
      </c>
    </row>
    <row r="2626" customFormat="false" ht="15" hidden="false" customHeight="false" outlineLevel="0" collapsed="false">
      <c r="A2626" s="8" t="s">
        <v>918</v>
      </c>
      <c r="B2626" s="8" t="s">
        <v>996</v>
      </c>
      <c r="C2626" s="19" t="n">
        <v>0</v>
      </c>
      <c r="D2626" s="19" t="n">
        <v>0</v>
      </c>
      <c r="E2626" s="19" t="n">
        <v>6</v>
      </c>
      <c r="F2626" s="19" t="n">
        <v>121.91</v>
      </c>
      <c r="G2626" s="8" t="str">
        <f aca="false">IFERROR(INDEX('TRANS'!$B:$B,MATCH($B2626,'TRANS'!$A:$A,0)),IFERROR(INDEX('TRANS'!$B:$B,MATCH(TRIM(SUBSTITUTE($B2626,CHAR(160)," ")),'TRANS'!$D:$D,0)),IFERROR(INDEX('Catalog'!$A:$A,MATCH($B2626,'Catalog'!$B:$B,0)),IFERROR(INDEX('Catalog'!$A:$A,MATCH(TRIM(SUBSTITUTE($B2626,CHAR(160)," ")),'Catalog'!$C:$C,0)),""))))</f>
        <v/>
      </c>
      <c r="H2626" s="8" t="str">
        <f aca="false">IFERROR(INDEX('TRANS'!$C:$C,MATCH($B2626,'TRANS'!$A:$A,0)),IFERROR(INDEX('Catalog'!$B:$B,MATCH($G2626,'Catalog'!$A:$A,0)),$B2626))</f>
        <v>VMSPCC52 0</v>
      </c>
      <c r="I2626" s="8" t="str">
        <f aca="false">IF($G2626="","Unmatched","Matched")</f>
        <v>Unmatched</v>
      </c>
    </row>
    <row r="2627" customFormat="false" ht="15" hidden="false" customHeight="false" outlineLevel="0" collapsed="false">
      <c r="A2627" s="8" t="s">
        <v>918</v>
      </c>
      <c r="B2627" s="8" t="s">
        <v>997</v>
      </c>
      <c r="C2627" s="19" t="n">
        <v>0</v>
      </c>
      <c r="D2627" s="19" t="n">
        <v>0</v>
      </c>
      <c r="E2627" s="19" t="n">
        <v>1</v>
      </c>
      <c r="F2627" s="19" t="n">
        <v>0.01</v>
      </c>
      <c r="G2627" s="8" t="str">
        <f aca="false">IFERROR(INDEX('TRANS'!$B:$B,MATCH($B2627,'TRANS'!$A:$A,0)),IFERROR(INDEX('TRANS'!$B:$B,MATCH(TRIM(SUBSTITUTE($B2627,CHAR(160)," ")),'TRANS'!$D:$D,0)),IFERROR(INDEX('Catalog'!$A:$A,MATCH($B2627,'Catalog'!$B:$B,0)),IFERROR(INDEX('Catalog'!$A:$A,MATCH(TRIM(SUBSTITUTE($B2627,CHAR(160)," ")),'Catalog'!$C:$C,0)),""))))</f>
        <v/>
      </c>
      <c r="H2627" s="8" t="str">
        <f aca="false">IFERROR(INDEX('TRANS'!$C:$C,MATCH($B2627,'TRANS'!$A:$A,0)),IFERROR(INDEX('Catalog'!$B:$B,MATCH($G2627,'Catalog'!$A:$A,0)),$B2627))</f>
        <v>VMSPCL46 0</v>
      </c>
      <c r="I2627" s="8" t="str">
        <f aca="false">IF($G2627="","Unmatched","Matched")</f>
        <v>Unmatched</v>
      </c>
    </row>
    <row r="2628" customFormat="false" ht="15" hidden="false" customHeight="false" outlineLevel="0" collapsed="false">
      <c r="A2628" s="8" t="s">
        <v>918</v>
      </c>
      <c r="B2628" s="8" t="s">
        <v>998</v>
      </c>
      <c r="C2628" s="19" t="n">
        <v>0</v>
      </c>
      <c r="D2628" s="19" t="n">
        <v>0</v>
      </c>
      <c r="E2628" s="19" t="n">
        <v>2</v>
      </c>
      <c r="F2628" s="19" t="n">
        <v>60.96</v>
      </c>
      <c r="G2628" s="8" t="str">
        <f aca="false">IFERROR(INDEX('TRANS'!$B:$B,MATCH($B2628,'TRANS'!$A:$A,0)),IFERROR(INDEX('TRANS'!$B:$B,MATCH(TRIM(SUBSTITUTE($B2628,CHAR(160)," ")),'TRANS'!$D:$D,0)),IFERROR(INDEX('Catalog'!$A:$A,MATCH($B2628,'Catalog'!$B:$B,0)),IFERROR(INDEX('Catalog'!$A:$A,MATCH(TRIM(SUBSTITUTE($B2628,CHAR(160)," ")),'Catalog'!$C:$C,0)),""))))</f>
        <v/>
      </c>
      <c r="H2628" s="8" t="str">
        <f aca="false">IFERROR(INDEX('TRANS'!$C:$C,MATCH($B2628,'TRANS'!$A:$A,0)),IFERROR(INDEX('Catalog'!$B:$B,MATCH($G2628,'Catalog'!$A:$A,0)),$B2628))</f>
        <v>VMSPCL55 0</v>
      </c>
      <c r="I2628" s="8" t="str">
        <f aca="false">IF($G2628="","Unmatched","Matched")</f>
        <v>Unmatched</v>
      </c>
    </row>
    <row r="2629" customFormat="false" ht="15" hidden="false" customHeight="false" outlineLevel="0" collapsed="false">
      <c r="A2629" s="8" t="s">
        <v>918</v>
      </c>
      <c r="B2629" s="8" t="s">
        <v>999</v>
      </c>
      <c r="C2629" s="19" t="n">
        <v>0</v>
      </c>
      <c r="D2629" s="19" t="n">
        <v>0</v>
      </c>
      <c r="E2629" s="19" t="n">
        <v>1</v>
      </c>
      <c r="F2629" s="19" t="n">
        <v>0</v>
      </c>
      <c r="G2629" s="8" t="str">
        <f aca="false">IFERROR(INDEX('TRANS'!$B:$B,MATCH($B2629,'TRANS'!$A:$A,0)),IFERROR(INDEX('TRANS'!$B:$B,MATCH(TRIM(SUBSTITUTE($B2629,CHAR(160)," ")),'TRANS'!$D:$D,0)),IFERROR(INDEX('Catalog'!$A:$A,MATCH($B2629,'Catalog'!$B:$B,0)),IFERROR(INDEX('Catalog'!$A:$A,MATCH(TRIM(SUBSTITUTE($B2629,CHAR(160)," ")),'Catalog'!$C:$C,0)),""))))</f>
        <v/>
      </c>
      <c r="H2629" s="8" t="str">
        <f aca="false">IFERROR(INDEX('TRANS'!$C:$C,MATCH($B2629,'TRANS'!$A:$A,0)),IFERROR(INDEX('Catalog'!$B:$B,MATCH($G2629,'Catalog'!$A:$A,0)),$B2629))</f>
        <v>VMSPCN51 0</v>
      </c>
      <c r="I2629" s="8" t="str">
        <f aca="false">IF($G2629="","Unmatched","Matched")</f>
        <v>Unmatched</v>
      </c>
    </row>
    <row r="2630" customFormat="false" ht="15" hidden="false" customHeight="false" outlineLevel="0" collapsed="false">
      <c r="A2630" s="8" t="s">
        <v>918</v>
      </c>
      <c r="B2630" s="8" t="s">
        <v>1000</v>
      </c>
      <c r="C2630" s="19" t="n">
        <v>0</v>
      </c>
      <c r="D2630" s="19" t="n">
        <v>0</v>
      </c>
      <c r="E2630" s="19" t="n">
        <v>2</v>
      </c>
      <c r="F2630" s="19" t="n">
        <v>0.02</v>
      </c>
      <c r="G2630" s="8" t="str">
        <f aca="false">IFERROR(INDEX('TRANS'!$B:$B,MATCH($B2630,'TRANS'!$A:$A,0)),IFERROR(INDEX('TRANS'!$B:$B,MATCH(TRIM(SUBSTITUTE($B2630,CHAR(160)," ")),'TRANS'!$D:$D,0)),IFERROR(INDEX('Catalog'!$A:$A,MATCH($B2630,'Catalog'!$B:$B,0)),IFERROR(INDEX('Catalog'!$A:$A,MATCH(TRIM(SUBSTITUTE($B2630,CHAR(160)," ")),'Catalog'!$C:$C,0)),""))))</f>
        <v/>
      </c>
      <c r="H2630" s="8" t="str">
        <f aca="false">IFERROR(INDEX('TRANS'!$C:$C,MATCH($B2630,'TRANS'!$A:$A,0)),IFERROR(INDEX('Catalog'!$B:$B,MATCH($G2630,'Catalog'!$A:$A,0)),$B2630))</f>
        <v>VMSPCS48 0</v>
      </c>
      <c r="I2630" s="8" t="str">
        <f aca="false">IF($G2630="","Unmatched","Matched")</f>
        <v>Unmatched</v>
      </c>
    </row>
    <row r="2631" customFormat="false" ht="15" hidden="false" customHeight="false" outlineLevel="0" collapsed="false">
      <c r="A2631" s="8" t="s">
        <v>918</v>
      </c>
      <c r="B2631" s="8" t="s">
        <v>1001</v>
      </c>
      <c r="C2631" s="19" t="n">
        <v>0</v>
      </c>
      <c r="D2631" s="19" t="n">
        <v>0</v>
      </c>
      <c r="E2631" s="19" t="n">
        <v>1</v>
      </c>
      <c r="F2631" s="19" t="n">
        <v>0.01</v>
      </c>
      <c r="G2631" s="8" t="str">
        <f aca="false">IFERROR(INDEX('TRANS'!$B:$B,MATCH($B2631,'TRANS'!$A:$A,0)),IFERROR(INDEX('TRANS'!$B:$B,MATCH(TRIM(SUBSTITUTE($B2631,CHAR(160)," ")),'TRANS'!$D:$D,0)),IFERROR(INDEX('Catalog'!$A:$A,MATCH($B2631,'Catalog'!$B:$B,0)),IFERROR(INDEX('Catalog'!$A:$A,MATCH(TRIM(SUBSTITUTE($B2631,CHAR(160)," ")),'Catalog'!$C:$C,0)),""))))</f>
        <v/>
      </c>
      <c r="H2631" s="8" t="str">
        <f aca="false">IFERROR(INDEX('TRANS'!$C:$C,MATCH($B2631,'TRANS'!$A:$A,0)),IFERROR(INDEX('Catalog'!$B:$B,MATCH($G2631,'Catalog'!$A:$A,0)),$B2631))</f>
        <v>VMSPCT49 0</v>
      </c>
      <c r="I2631" s="8" t="str">
        <f aca="false">IF($G2631="","Unmatched","Matched")</f>
        <v>Unmatched</v>
      </c>
    </row>
    <row r="2632" customFormat="false" ht="15" hidden="false" customHeight="false" outlineLevel="0" collapsed="false">
      <c r="A2632" s="8" t="s">
        <v>918</v>
      </c>
      <c r="B2632" s="8" t="s">
        <v>556</v>
      </c>
      <c r="C2632" s="19" t="n">
        <v>13</v>
      </c>
      <c r="D2632" s="19" t="n">
        <v>6356.08</v>
      </c>
      <c r="E2632" s="19" t="n">
        <v>8</v>
      </c>
      <c r="F2632" s="19" t="n">
        <v>4448.54</v>
      </c>
      <c r="G2632" s="8" t="str">
        <f aca="false">IFERROR(INDEX('TRANS'!$B:$B,MATCH($B2632,'TRANS'!$A:$A,0)),IFERROR(INDEX('TRANS'!$B:$B,MATCH(TRIM(SUBSTITUTE($B2632,CHAR(160)," ")),'TRANS'!$D:$D,0)),IFERROR(INDEX('Catalog'!$A:$A,MATCH($B2632,'Catalog'!$B:$B,0)),IFERROR(INDEX('Catalog'!$A:$A,MATCH(TRIM(SUBSTITUTE($B2632,CHAR(160)," ")),'Catalog'!$C:$C,0)),""))))</f>
        <v/>
      </c>
      <c r="H2632" s="8" t="str">
        <f aca="false">IFERROR(INDEX('TRANS'!$C:$C,MATCH($B2632,'TRANS'!$A:$A,0)),IFERROR(INDEX('Catalog'!$B:$B,MATCH($G2632,'Catalog'!$A:$A,0)),$B2632))</f>
        <v>N433D L</v>
      </c>
      <c r="I2632" s="8" t="str">
        <f aca="false">IF($G2632="","Unmatched","Matched")</f>
        <v>Unmatched</v>
      </c>
    </row>
    <row r="2633" customFormat="false" ht="15" hidden="false" customHeight="false" outlineLevel="0" collapsed="false">
      <c r="A2633" s="8" t="s">
        <v>918</v>
      </c>
      <c r="B2633" s="8" t="s">
        <v>519</v>
      </c>
      <c r="C2633" s="19" t="n">
        <v>10</v>
      </c>
      <c r="D2633" s="19" t="n">
        <v>5369.65</v>
      </c>
      <c r="E2633" s="19" t="n">
        <v>5</v>
      </c>
      <c r="F2633" s="19" t="n">
        <v>2728.44</v>
      </c>
      <c r="G2633" s="8" t="str">
        <f aca="false">IFERROR(INDEX('TRANS'!$B:$B,MATCH($B2633,'TRANS'!$A:$A,0)),IFERROR(INDEX('TRANS'!$B:$B,MATCH(TRIM(SUBSTITUTE($B2633,CHAR(160)," ")),'TRANS'!$D:$D,0)),IFERROR(INDEX('Catalog'!$A:$A,MATCH($B2633,'Catalog'!$B:$B,0)),IFERROR(INDEX('Catalog'!$A:$A,MATCH(TRIM(SUBSTITUTE($B2633,CHAR(160)," ")),'Catalog'!$C:$C,0)),""))))</f>
        <v/>
      </c>
      <c r="H2633" s="8" t="str">
        <f aca="false">IFERROR(INDEX('TRANS'!$C:$C,MATCH($B2633,'TRANS'!$A:$A,0)),IFERROR(INDEX('Catalog'!$B:$B,MATCH($G2633,'Catalog'!$A:$A,0)),$B2633))</f>
        <v>N433D M</v>
      </c>
      <c r="I2633" s="8" t="str">
        <f aca="false">IF($G2633="","Unmatched","Matched")</f>
        <v>Unmatched</v>
      </c>
    </row>
    <row r="2634" customFormat="false" ht="15" hidden="false" customHeight="false" outlineLevel="0" collapsed="false">
      <c r="A2634" s="8" t="s">
        <v>918</v>
      </c>
      <c r="B2634" s="8" t="s">
        <v>557</v>
      </c>
      <c r="C2634" s="19" t="n">
        <v>1</v>
      </c>
      <c r="D2634" s="19" t="n">
        <v>593.14</v>
      </c>
      <c r="E2634" s="19" t="n">
        <v>1</v>
      </c>
      <c r="F2634" s="19" t="n">
        <v>593.14</v>
      </c>
      <c r="G2634" s="8" t="str">
        <f aca="false">IFERROR(INDEX('TRANS'!$B:$B,MATCH($B2634,'TRANS'!$A:$A,0)),IFERROR(INDEX('TRANS'!$B:$B,MATCH(TRIM(SUBSTITUTE($B2634,CHAR(160)," ")),'TRANS'!$D:$D,0)),IFERROR(INDEX('Catalog'!$A:$A,MATCH($B2634,'Catalog'!$B:$B,0)),IFERROR(INDEX('Catalog'!$A:$A,MATCH(TRIM(SUBSTITUTE($B2634,CHAR(160)," ")),'Catalog'!$C:$C,0)),""))))</f>
        <v/>
      </c>
      <c r="H2634" s="8" t="str">
        <f aca="false">IFERROR(INDEX('TRANS'!$C:$C,MATCH($B2634,'TRANS'!$A:$A,0)),IFERROR(INDEX('Catalog'!$B:$B,MATCH($G2634,'Catalog'!$A:$A,0)),$B2634))</f>
        <v>N433D S</v>
      </c>
      <c r="I2634" s="8" t="str">
        <f aca="false">IF($G2634="","Unmatched","Matched")</f>
        <v>Unmatched</v>
      </c>
    </row>
    <row r="2635" customFormat="false" ht="15" hidden="false" customHeight="false" outlineLevel="0" collapsed="false">
      <c r="A2635" s="8" t="s">
        <v>918</v>
      </c>
      <c r="B2635" s="8" t="s">
        <v>520</v>
      </c>
      <c r="C2635" s="19" t="n">
        <v>6</v>
      </c>
      <c r="D2635" s="19" t="n">
        <v>3347.07</v>
      </c>
      <c r="E2635" s="19" t="n">
        <v>4</v>
      </c>
      <c r="F2635" s="19" t="n">
        <v>2253.92</v>
      </c>
      <c r="G2635" s="8" t="str">
        <f aca="false">IFERROR(INDEX('TRANS'!$B:$B,MATCH($B2635,'TRANS'!$A:$A,0)),IFERROR(INDEX('TRANS'!$B:$B,MATCH(TRIM(SUBSTITUTE($B2635,CHAR(160)," ")),'TRANS'!$D:$D,0)),IFERROR(INDEX('Catalog'!$A:$A,MATCH($B2635,'Catalog'!$B:$B,0)),IFERROR(INDEX('Catalog'!$A:$A,MATCH(TRIM(SUBSTITUTE($B2635,CHAR(160)," ")),'Catalog'!$C:$C,0)),""))))</f>
        <v/>
      </c>
      <c r="H2635" s="8" t="str">
        <f aca="false">IFERROR(INDEX('TRANS'!$C:$C,MATCH($B2635,'TRANS'!$A:$A,0)),IFERROR(INDEX('Catalog'!$B:$B,MATCH($G2635,'Catalog'!$A:$A,0)),$B2635))</f>
        <v>N433D XL</v>
      </c>
      <c r="I2635" s="8" t="str">
        <f aca="false">IF($G2635="","Unmatched","Matched")</f>
        <v>Unmatched</v>
      </c>
    </row>
    <row r="2636" customFormat="false" ht="15" hidden="false" customHeight="false" outlineLevel="0" collapsed="false">
      <c r="A2636" s="8" t="s">
        <v>918</v>
      </c>
      <c r="B2636" s="8" t="s">
        <v>607</v>
      </c>
      <c r="C2636" s="19" t="n">
        <v>5</v>
      </c>
      <c r="D2636" s="19" t="n">
        <v>2698.79</v>
      </c>
      <c r="E2636" s="19" t="n">
        <v>1</v>
      </c>
      <c r="F2636" s="19" t="n">
        <v>682.11</v>
      </c>
      <c r="G2636" s="8" t="str">
        <f aca="false">IFERROR(INDEX('TRANS'!$B:$B,MATCH($B2636,'TRANS'!$A:$A,0)),IFERROR(INDEX('TRANS'!$B:$B,MATCH(TRIM(SUBSTITUTE($B2636,CHAR(160)," ")),'TRANS'!$D:$D,0)),IFERROR(INDEX('Catalog'!$A:$A,MATCH($B2636,'Catalog'!$B:$B,0)),IFERROR(INDEX('Catalog'!$A:$A,MATCH(TRIM(SUBSTITUTE($B2636,CHAR(160)," ")),'Catalog'!$C:$C,0)),""))))</f>
        <v/>
      </c>
      <c r="H2636" s="8" t="str">
        <f aca="false">IFERROR(INDEX('TRANS'!$C:$C,MATCH($B2636,'TRANS'!$A:$A,0)),IFERROR(INDEX('Catalog'!$B:$B,MATCH($G2636,'Catalog'!$A:$A,0)),$B2636))</f>
        <v>N433D XXL</v>
      </c>
      <c r="I2636" s="8" t="str">
        <f aca="false">IF($G2636="","Unmatched","Matched")</f>
        <v>Unmatched</v>
      </c>
    </row>
    <row r="2637" customFormat="false" ht="15" hidden="false" customHeight="false" outlineLevel="0" collapsed="false">
      <c r="A2637" s="8" t="s">
        <v>918</v>
      </c>
      <c r="B2637" s="8" t="s">
        <v>287</v>
      </c>
      <c r="C2637" s="19" t="n">
        <v>12</v>
      </c>
      <c r="D2637" s="19" t="n">
        <v>288.08</v>
      </c>
      <c r="E2637" s="19" t="n">
        <v>9</v>
      </c>
      <c r="F2637" s="19" t="n">
        <v>223.91</v>
      </c>
      <c r="G2637" s="8" t="n">
        <f aca="false">IFERROR(INDEX('TRANS'!$B:$B,MATCH($B2637,'TRANS'!$A:$A,0)),IFERROR(INDEX('TRANS'!$B:$B,MATCH(TRIM(SUBSTITUTE($B2637,CHAR(160)," ")),'TRANS'!$D:$D,0)),IFERROR(INDEX('Catalog'!$A:$A,MATCH($B2637,'Catalog'!$B:$B,0)),IFERROR(INDEX('Catalog'!$A:$A,MATCH(TRIM(SUBSTITUTE($B2637,CHAR(160)," ")),'Catalog'!$C:$C,0)),""))))</f>
        <v>4419006</v>
      </c>
      <c r="H2637" s="8" t="str">
        <f aca="false">IFERROR(INDEX('TRANS'!$C:$C,MATCH($B2637,'TRANS'!$A:$A,0)),IFERROR(INDEX('Catalog'!$B:$B,MATCH($G2637,'Catalog'!$A:$A,0)),$B2637))</f>
        <v>PD340-קוצץ ציפורניים</v>
      </c>
      <c r="I2637" s="8" t="str">
        <f aca="false">IF($G2637="","Unmatched","Matched")</f>
        <v>Matched</v>
      </c>
    </row>
    <row r="2638" customFormat="false" ht="15" hidden="false" customHeight="false" outlineLevel="0" collapsed="false">
      <c r="A2638" s="8" t="s">
        <v>918</v>
      </c>
      <c r="B2638" s="8" t="s">
        <v>288</v>
      </c>
      <c r="C2638" s="19" t="n">
        <v>3</v>
      </c>
      <c r="D2638" s="19" t="n">
        <v>149.27</v>
      </c>
      <c r="E2638" s="19" t="n">
        <v>8</v>
      </c>
      <c r="F2638" s="19" t="n">
        <v>410.46</v>
      </c>
      <c r="G2638" s="8" t="n">
        <f aca="false">IFERROR(INDEX('TRANS'!$B:$B,MATCH($B2638,'TRANS'!$A:$A,0)),IFERROR(INDEX('TRANS'!$B:$B,MATCH(TRIM(SUBSTITUTE($B2638,CHAR(160)," ")),'TRANS'!$D:$D,0)),IFERROR(INDEX('Catalog'!$A:$A,MATCH($B2638,'Catalog'!$B:$B,0)),IFERROR(INDEX('Catalog'!$A:$A,MATCH(TRIM(SUBSTITUTE($B2638,CHAR(160)," ")),'Catalog'!$C:$C,0)),""))))</f>
        <v>4413150</v>
      </c>
      <c r="H2638" s="8" t="str">
        <f aca="false">IFERROR(INDEX('TRANS'!$C:$C,MATCH($B2638,'TRANS'!$A:$A,0)),IFERROR(INDEX('Catalog'!$B:$B,MATCH($G2638,'Catalog'!$A:$A,0)),$B2638))</f>
        <v>PD341-מקצוע להסרת עור קשה</v>
      </c>
      <c r="I2638" s="8" t="str">
        <f aca="false">IF($G2638="","Unmatched","Matched")</f>
        <v>Matched</v>
      </c>
    </row>
    <row r="2639" customFormat="false" ht="15" hidden="false" customHeight="false" outlineLevel="0" collapsed="false">
      <c r="A2639" s="8" t="s">
        <v>918</v>
      </c>
      <c r="B2639" s="8" t="s">
        <v>289</v>
      </c>
      <c r="C2639" s="19" t="n">
        <v>3</v>
      </c>
      <c r="D2639" s="19" t="n">
        <v>109.62</v>
      </c>
      <c r="E2639" s="19" t="n">
        <v>2</v>
      </c>
      <c r="F2639" s="19" t="n">
        <v>86.79</v>
      </c>
      <c r="G2639" s="8" t="n">
        <f aca="false">IFERROR(INDEX('TRANS'!$B:$B,MATCH($B2639,'TRANS'!$A:$A,0)),IFERROR(INDEX('TRANS'!$B:$B,MATCH(TRIM(SUBSTITUTE($B2639,CHAR(160)," ")),'TRANS'!$D:$D,0)),IFERROR(INDEX('Catalog'!$A:$A,MATCH($B2639,'Catalog'!$B:$B,0)),IFERROR(INDEX('Catalog'!$A:$A,MATCH(TRIM(SUBSTITUTE($B2639,CHAR(160)," ")),'Catalog'!$C:$C,0)),""))))</f>
        <v>4417000</v>
      </c>
      <c r="H2639" s="8" t="str">
        <f aca="false">IFERROR(INDEX('TRANS'!$C:$C,MATCH($B2639,'TRANS'!$A:$A,0)),IFERROR(INDEX('Catalog'!$B:$B,MATCH($G2639,'Catalog'!$A:$A,0)),$B2639))</f>
        <v>PD342-פומפיה להסרת עור קשה</v>
      </c>
      <c r="I2639" s="8" t="str">
        <f aca="false">IF($G2639="","Unmatched","Matched")</f>
        <v>Matched</v>
      </c>
    </row>
    <row r="2640" customFormat="false" ht="15" hidden="false" customHeight="false" outlineLevel="0" collapsed="false">
      <c r="A2640" s="8" t="s">
        <v>918</v>
      </c>
      <c r="B2640" s="8" t="s">
        <v>290</v>
      </c>
      <c r="C2640" s="19" t="n">
        <v>8</v>
      </c>
      <c r="D2640" s="19" t="n">
        <v>110.56</v>
      </c>
      <c r="E2640" s="19" t="n">
        <v>16</v>
      </c>
      <c r="F2640" s="19" t="n">
        <v>243.52</v>
      </c>
      <c r="G2640" s="8" t="n">
        <f aca="false">IFERROR(INDEX('TRANS'!$B:$B,MATCH($B2640,'TRANS'!$A:$A,0)),IFERROR(INDEX('TRANS'!$B:$B,MATCH(TRIM(SUBSTITUTE($B2640,CHAR(160)," ")),'TRANS'!$D:$D,0)),IFERROR(INDEX('Catalog'!$A:$A,MATCH($B2640,'Catalog'!$B:$B,0)),IFERROR(INDEX('Catalog'!$A:$A,MATCH(TRIM(SUBSTITUTE($B2640,CHAR(160)," ")),'Catalog'!$C:$C,0)),""))))</f>
        <v>4401002</v>
      </c>
      <c r="H2640" s="8" t="str">
        <f aca="false">IFERROR(INDEX('TRANS'!$C:$C,MATCH($B2640,'TRANS'!$A:$A,0)),IFERROR(INDEX('Catalog'!$B:$B,MATCH($G2640,'Catalog'!$A:$A,0)),$B2640))</f>
        <v>PD 344-אבן טבעית להסרת עור קשה</v>
      </c>
      <c r="I2640" s="8" t="str">
        <f aca="false">IF($G2640="","Unmatched","Matched")</f>
        <v>Matched</v>
      </c>
    </row>
    <row r="2641" customFormat="false" ht="15" hidden="false" customHeight="false" outlineLevel="0" collapsed="false">
      <c r="A2641" s="8" t="s">
        <v>918</v>
      </c>
      <c r="B2641" s="8" t="s">
        <v>291</v>
      </c>
      <c r="C2641" s="19" t="n">
        <v>7</v>
      </c>
      <c r="D2641" s="19" t="n">
        <v>120.43</v>
      </c>
      <c r="E2641" s="19" t="n">
        <v>11</v>
      </c>
      <c r="F2641" s="19" t="n">
        <v>187.77</v>
      </c>
      <c r="G2641" s="8" t="n">
        <f aca="false">IFERROR(INDEX('TRANS'!$B:$B,MATCH($B2641,'TRANS'!$A:$A,0)),IFERROR(INDEX('TRANS'!$B:$B,MATCH(TRIM(SUBSTITUTE($B2641,CHAR(160)," ")),'TRANS'!$D:$D,0)),IFERROR(INDEX('Catalog'!$A:$A,MATCH($B2641,'Catalog'!$B:$B,0)),IFERROR(INDEX('Catalog'!$A:$A,MATCH(TRIM(SUBSTITUTE($B2641,CHAR(160)," ")),'Catalog'!$C:$C,0)),""))))</f>
        <v>4415080</v>
      </c>
      <c r="H2641" s="8" t="str">
        <f aca="false">IFERROR(INDEX('TRANS'!$C:$C,MATCH($B2641,'TRANS'!$A:$A,0)),IFERROR(INDEX('Catalog'!$B:$B,MATCH($G2641,'Catalog'!$A:$A,0)),$B2641))</f>
        <v>PD346-10 סכינים למקצוע</v>
      </c>
      <c r="I2641" s="8" t="str">
        <f aca="false">IF($G2641="","Unmatched","Matched")</f>
        <v>Matched</v>
      </c>
    </row>
    <row r="2642" customFormat="false" ht="15" hidden="false" customHeight="false" outlineLevel="0" collapsed="false">
      <c r="A2642" s="8" t="s">
        <v>918</v>
      </c>
      <c r="B2642" s="8" t="s">
        <v>292</v>
      </c>
      <c r="C2642" s="19" t="n">
        <v>232</v>
      </c>
      <c r="D2642" s="19" t="n">
        <v>31029.93</v>
      </c>
      <c r="E2642" s="19" t="n">
        <v>163</v>
      </c>
      <c r="F2642" s="19" t="n">
        <v>25188.4</v>
      </c>
      <c r="G2642" s="8" t="n">
        <f aca="false">IFERROR(INDEX('TRANS'!$B:$B,MATCH($B2642,'TRANS'!$A:$A,0)),IFERROR(INDEX('TRANS'!$B:$B,MATCH(TRIM(SUBSTITUTE($B2642,CHAR(160)," ")),'TRANS'!$D:$D,0)),IFERROR(INDEX('Catalog'!$A:$A,MATCH($B2642,'Catalog'!$B:$B,0)),IFERROR(INDEX('Catalog'!$A:$A,MATCH(TRIM(SUBSTITUTE($B2642,CHAR(160)," ")),'Catalog'!$C:$C,0)),""))))</f>
        <v>4408249</v>
      </c>
      <c r="H2642" s="8" t="str">
        <f aca="false">IFERROR(INDEX('TRANS'!$C:$C,MATCH($B2642,'TRANS'!$A:$A,0)),IFERROR(INDEX('Catalog'!$B:$B,MATCH($G2642,'Catalog'!$A:$A,0)),$B2642))</f>
        <v>SC25  L חבק יד</v>
      </c>
      <c r="I2642" s="8" t="str">
        <f aca="false">IF($G2642="","Unmatched","Matched")</f>
        <v>Matched</v>
      </c>
    </row>
    <row r="2643" customFormat="false" ht="15" hidden="false" customHeight="false" outlineLevel="0" collapsed="false">
      <c r="A2643" s="8" t="s">
        <v>918</v>
      </c>
      <c r="B2643" s="8" t="s">
        <v>293</v>
      </c>
      <c r="C2643" s="19" t="n">
        <v>175</v>
      </c>
      <c r="D2643" s="19" t="n">
        <v>23677.47</v>
      </c>
      <c r="E2643" s="19" t="n">
        <v>139</v>
      </c>
      <c r="F2643" s="19" t="n">
        <v>20844.09</v>
      </c>
      <c r="G2643" s="8" t="n">
        <f aca="false">IFERROR(INDEX('TRANS'!$B:$B,MATCH($B2643,'TRANS'!$A:$A,0)),IFERROR(INDEX('TRANS'!$B:$B,MATCH(TRIM(SUBSTITUTE($B2643,CHAR(160)," ")),'TRANS'!$D:$D,0)),IFERROR(INDEX('Catalog'!$A:$A,MATCH($B2643,'Catalog'!$B:$B,0)),IFERROR(INDEX('Catalog'!$A:$A,MATCH(TRIM(SUBSTITUTE($B2643,CHAR(160)," ")),'Catalog'!$C:$C,0)),""))))</f>
        <v>4408248</v>
      </c>
      <c r="H2643" s="8" t="str">
        <f aca="false">IFERROR(INDEX('TRANS'!$C:$C,MATCH($B2643,'TRANS'!$A:$A,0)),IFERROR(INDEX('Catalog'!$B:$B,MATCH($G2643,'Catalog'!$A:$A,0)),$B2643))</f>
        <v>SC25  M חבק יד</v>
      </c>
      <c r="I2643" s="8" t="str">
        <f aca="false">IF($G2643="","Unmatched","Matched")</f>
        <v>Matched</v>
      </c>
    </row>
    <row r="2644" customFormat="false" ht="15" hidden="false" customHeight="false" outlineLevel="0" collapsed="false">
      <c r="A2644" s="8" t="s">
        <v>918</v>
      </c>
      <c r="B2644" s="8" t="s">
        <v>294</v>
      </c>
      <c r="C2644" s="19" t="n">
        <v>78</v>
      </c>
      <c r="D2644" s="19" t="n">
        <v>10651.73</v>
      </c>
      <c r="E2644" s="19" t="n">
        <v>63</v>
      </c>
      <c r="F2644" s="19" t="n">
        <v>9662.92</v>
      </c>
      <c r="G2644" s="8" t="n">
        <f aca="false">IFERROR(INDEX('TRANS'!$B:$B,MATCH($B2644,'TRANS'!$A:$A,0)),IFERROR(INDEX('TRANS'!$B:$B,MATCH(TRIM(SUBSTITUTE($B2644,CHAR(160)," ")),'TRANS'!$D:$D,0)),IFERROR(INDEX('Catalog'!$A:$A,MATCH($B2644,'Catalog'!$B:$B,0)),IFERROR(INDEX('Catalog'!$A:$A,MATCH(TRIM(SUBSTITUTE($B2644,CHAR(160)," ")),'Catalog'!$C:$C,0)),""))))</f>
        <v>4408247</v>
      </c>
      <c r="H2644" s="8" t="str">
        <f aca="false">IFERROR(INDEX('TRANS'!$C:$C,MATCH($B2644,'TRANS'!$A:$A,0)),IFERROR(INDEX('Catalog'!$B:$B,MATCH($G2644,'Catalog'!$A:$A,0)),$B2644))</f>
        <v>SC25  S חבק יד</v>
      </c>
      <c r="I2644" s="8" t="str">
        <f aca="false">IF($G2644="","Unmatched","Matched")</f>
        <v>Matched</v>
      </c>
    </row>
    <row r="2645" customFormat="false" ht="15" hidden="false" customHeight="false" outlineLevel="0" collapsed="false">
      <c r="A2645" s="8" t="s">
        <v>918</v>
      </c>
      <c r="B2645" s="8" t="s">
        <v>295</v>
      </c>
      <c r="C2645" s="19" t="n">
        <v>117</v>
      </c>
      <c r="D2645" s="19" t="n">
        <v>14875.86</v>
      </c>
      <c r="E2645" s="19" t="n">
        <v>78</v>
      </c>
      <c r="F2645" s="19" t="n">
        <v>11585</v>
      </c>
      <c r="G2645" s="8" t="n">
        <f aca="false">IFERROR(INDEX('TRANS'!$B:$B,MATCH($B2645,'TRANS'!$A:$A,0)),IFERROR(INDEX('TRANS'!$B:$B,MATCH(TRIM(SUBSTITUTE($B2645,CHAR(160)," ")),'TRANS'!$D:$D,0)),IFERROR(INDEX('Catalog'!$A:$A,MATCH($B2645,'Catalog'!$B:$B,0)),IFERROR(INDEX('Catalog'!$A:$A,MATCH(TRIM(SUBSTITUTE($B2645,CHAR(160)," ")),'Catalog'!$C:$C,0)),""))))</f>
        <v>4408250</v>
      </c>
      <c r="H2645" s="8" t="str">
        <f aca="false">IFERROR(INDEX('TRANS'!$C:$C,MATCH($B2645,'TRANS'!$A:$A,0)),IFERROR(INDEX('Catalog'!$B:$B,MATCH($G2645,'Catalog'!$A:$A,0)),$B2645))</f>
        <v>SC25 XL חבק יד</v>
      </c>
      <c r="I2645" s="8" t="str">
        <f aca="false">IF($G2645="","Unmatched","Matched")</f>
        <v>Matched</v>
      </c>
    </row>
    <row r="2646" customFormat="false" ht="15" hidden="false" customHeight="false" outlineLevel="0" collapsed="false">
      <c r="A2646" s="8" t="s">
        <v>918</v>
      </c>
      <c r="B2646" s="8" t="s">
        <v>296</v>
      </c>
      <c r="C2646" s="19" t="n">
        <v>21</v>
      </c>
      <c r="D2646" s="19" t="n">
        <v>2759.77</v>
      </c>
      <c r="E2646" s="19" t="n">
        <v>13</v>
      </c>
      <c r="F2646" s="19" t="n">
        <v>1871.97</v>
      </c>
      <c r="G2646" s="8" t="n">
        <f aca="false">IFERROR(INDEX('TRANS'!$B:$B,MATCH($B2646,'TRANS'!$A:$A,0)),IFERROR(INDEX('TRANS'!$B:$B,MATCH(TRIM(SUBSTITUTE($B2646,CHAR(160)," ")),'TRANS'!$D:$D,0)),IFERROR(INDEX('Catalog'!$A:$A,MATCH($B2646,'Catalog'!$B:$B,0)),IFERROR(INDEX('Catalog'!$A:$A,MATCH(TRIM(SUBSTITUTE($B2646,CHAR(160)," ")),'Catalog'!$C:$C,0)),""))))</f>
        <v>4413422</v>
      </c>
      <c r="H2646" s="8" t="str">
        <f aca="false">IFERROR(INDEX('TRANS'!$C:$C,MATCH($B2646,'TRANS'!$A:$A,0)),IFERROR(INDEX('Catalog'!$B:$B,MATCH($G2646,'Catalog'!$A:$A,0)),$B2646))</f>
        <v>SC35L  L מגן קרסול שמאל</v>
      </c>
      <c r="I2646" s="8" t="str">
        <f aca="false">IF($G2646="","Unmatched","Matched")</f>
        <v>Matched</v>
      </c>
    </row>
    <row r="2647" customFormat="false" ht="15" hidden="false" customHeight="false" outlineLevel="0" collapsed="false">
      <c r="A2647" s="8" t="s">
        <v>918</v>
      </c>
      <c r="B2647" s="8" t="s">
        <v>433</v>
      </c>
      <c r="C2647" s="19" t="n">
        <v>29</v>
      </c>
      <c r="D2647" s="19" t="n">
        <v>3713.45</v>
      </c>
      <c r="E2647" s="19" t="n">
        <v>31</v>
      </c>
      <c r="F2647" s="19" t="n">
        <v>4649.76</v>
      </c>
      <c r="G2647" s="8" t="n">
        <f aca="false">IFERROR(INDEX('TRANS'!$B:$B,MATCH($B2647,'TRANS'!$A:$A,0)),IFERROR(INDEX('TRANS'!$B:$B,MATCH(TRIM(SUBSTITUTE($B2647,CHAR(160)," ")),'TRANS'!$D:$D,0)),IFERROR(INDEX('Catalog'!$A:$A,MATCH($B2647,'Catalog'!$B:$B,0)),IFERROR(INDEX('Catalog'!$A:$A,MATCH(TRIM(SUBSTITUTE($B2647,CHAR(160)," ")),'Catalog'!$C:$C,0)),""))))</f>
        <v>4413421</v>
      </c>
      <c r="H2647" s="8" t="str">
        <f aca="false">IFERROR(INDEX('TRANS'!$C:$C,MATCH($B2647,'TRANS'!$A:$A,0)),IFERROR(INDEX('Catalog'!$B:$B,MATCH($G2647,'Catalog'!$A:$A,0)),$B2647))</f>
        <v>SC35L  M מגן קרסול שמאל</v>
      </c>
      <c r="I2647" s="8" t="str">
        <f aca="false">IF($G2647="","Unmatched","Matched")</f>
        <v>Matched</v>
      </c>
    </row>
    <row r="2648" customFormat="false" ht="15" hidden="false" customHeight="false" outlineLevel="0" collapsed="false">
      <c r="A2648" s="8" t="s">
        <v>918</v>
      </c>
      <c r="B2648" s="8" t="s">
        <v>782</v>
      </c>
      <c r="C2648" s="19" t="n">
        <v>6</v>
      </c>
      <c r="D2648" s="19" t="n">
        <v>749.8</v>
      </c>
      <c r="E2648" s="19" t="n">
        <v>2</v>
      </c>
      <c r="F2648" s="19" t="n">
        <v>271.06</v>
      </c>
      <c r="G2648" s="8" t="n">
        <f aca="false">IFERROR(INDEX('TRANS'!$B:$B,MATCH($B2648,'TRANS'!$A:$A,0)),IFERROR(INDEX('TRANS'!$B:$B,MATCH(TRIM(SUBSTITUTE($B2648,CHAR(160)," ")),'TRANS'!$D:$D,0)),IFERROR(INDEX('Catalog'!$A:$A,MATCH($B2648,'Catalog'!$B:$B,0)),IFERROR(INDEX('Catalog'!$A:$A,MATCH(TRIM(SUBSTITUTE($B2648,CHAR(160)," ")),'Catalog'!$C:$C,0)),""))))</f>
        <v>4413420</v>
      </c>
      <c r="H2648" s="8" t="str">
        <f aca="false">IFERROR(INDEX('TRANS'!$C:$C,MATCH($B2648,'TRANS'!$A:$A,0)),IFERROR(INDEX('Catalog'!$B:$B,MATCH($G2648,'Catalog'!$A:$A,0)),$B2648))</f>
        <v>SC35L  S מגן קרסול שמאל</v>
      </c>
      <c r="I2648" s="8" t="str">
        <f aca="false">IF($G2648="","Unmatched","Matched")</f>
        <v>Matched</v>
      </c>
    </row>
    <row r="2649" customFormat="false" ht="15" hidden="false" customHeight="false" outlineLevel="0" collapsed="false">
      <c r="A2649" s="8" t="s">
        <v>918</v>
      </c>
      <c r="B2649" s="8" t="s">
        <v>297</v>
      </c>
      <c r="C2649" s="19" t="n">
        <v>2</v>
      </c>
      <c r="D2649" s="19" t="n">
        <v>198.94</v>
      </c>
      <c r="E2649" s="19" t="n">
        <v>1</v>
      </c>
      <c r="F2649" s="19" t="n">
        <v>135.53</v>
      </c>
      <c r="G2649" s="8" t="n">
        <f aca="false">IFERROR(INDEX('TRANS'!$B:$B,MATCH($B2649,'TRANS'!$A:$A,0)),IFERROR(INDEX('TRANS'!$B:$B,MATCH(TRIM(SUBSTITUTE($B2649,CHAR(160)," ")),'TRANS'!$D:$D,0)),IFERROR(INDEX('Catalog'!$A:$A,MATCH($B2649,'Catalog'!$B:$B,0)),IFERROR(INDEX('Catalog'!$A:$A,MATCH(TRIM(SUBSTITUTE($B2649,CHAR(160)," ")),'Catalog'!$C:$C,0)),""))))</f>
        <v>4413423</v>
      </c>
      <c r="H2649" s="8" t="str">
        <f aca="false">IFERROR(INDEX('TRANS'!$C:$C,MATCH($B2649,'TRANS'!$A:$A,0)),IFERROR(INDEX('Catalog'!$B:$B,MATCH($G2649,'Catalog'!$A:$A,0)),$B2649))</f>
        <v>SC35L XL מגן קרסול שמאל</v>
      </c>
      <c r="I2649" s="8" t="str">
        <f aca="false">IF($G2649="","Unmatched","Matched")</f>
        <v>Matched</v>
      </c>
    </row>
    <row r="2650" customFormat="false" ht="15" hidden="false" customHeight="false" outlineLevel="0" collapsed="false">
      <c r="A2650" s="8" t="s">
        <v>918</v>
      </c>
      <c r="B2650" s="8" t="s">
        <v>298</v>
      </c>
      <c r="C2650" s="19" t="n">
        <v>19</v>
      </c>
      <c r="D2650" s="19" t="n">
        <v>2558.22</v>
      </c>
      <c r="E2650" s="19" t="n">
        <v>8</v>
      </c>
      <c r="F2650" s="19" t="n">
        <v>1168.91</v>
      </c>
      <c r="G2650" s="8" t="n">
        <f aca="false">IFERROR(INDEX('TRANS'!$B:$B,MATCH($B2650,'TRANS'!$A:$A,0)),IFERROR(INDEX('TRANS'!$B:$B,MATCH(TRIM(SUBSTITUTE($B2650,CHAR(160)," ")),'TRANS'!$D:$D,0)),IFERROR(INDEX('Catalog'!$A:$A,MATCH($B2650,'Catalog'!$B:$B,0)),IFERROR(INDEX('Catalog'!$A:$A,MATCH(TRIM(SUBSTITUTE($B2650,CHAR(160)," ")),'Catalog'!$C:$C,0)),""))))</f>
        <v>4413426</v>
      </c>
      <c r="H2650" s="8" t="str">
        <f aca="false">IFERROR(INDEX('TRANS'!$C:$C,MATCH($B2650,'TRANS'!$A:$A,0)),IFERROR(INDEX('Catalog'!$B:$B,MATCH($G2650,'Catalog'!$A:$A,0)),$B2650))</f>
        <v>SC35R  L מגן קרסול ימין</v>
      </c>
      <c r="I2650" s="8" t="str">
        <f aca="false">IF($G2650="","Unmatched","Matched")</f>
        <v>Matched</v>
      </c>
    </row>
    <row r="2651" customFormat="false" ht="15" hidden="false" customHeight="false" outlineLevel="0" collapsed="false">
      <c r="A2651" s="8" t="s">
        <v>918</v>
      </c>
      <c r="B2651" s="8" t="s">
        <v>299</v>
      </c>
      <c r="C2651" s="19" t="n">
        <v>22</v>
      </c>
      <c r="D2651" s="19" t="n">
        <v>2807.29</v>
      </c>
      <c r="E2651" s="19" t="n">
        <v>33</v>
      </c>
      <c r="F2651" s="19" t="n">
        <v>4540.08</v>
      </c>
      <c r="G2651" s="8" t="n">
        <f aca="false">IFERROR(INDEX('TRANS'!$B:$B,MATCH($B2651,'TRANS'!$A:$A,0)),IFERROR(INDEX('TRANS'!$B:$B,MATCH(TRIM(SUBSTITUTE($B2651,CHAR(160)," ")),'TRANS'!$D:$D,0)),IFERROR(INDEX('Catalog'!$A:$A,MATCH($B2651,'Catalog'!$B:$B,0)),IFERROR(INDEX('Catalog'!$A:$A,MATCH(TRIM(SUBSTITUTE($B2651,CHAR(160)," ")),'Catalog'!$C:$C,0)),""))))</f>
        <v>4413425</v>
      </c>
      <c r="H2651" s="8" t="str">
        <f aca="false">IFERROR(INDEX('TRANS'!$C:$C,MATCH($B2651,'TRANS'!$A:$A,0)),IFERROR(INDEX('Catalog'!$B:$B,MATCH($G2651,'Catalog'!$A:$A,0)),$B2651))</f>
        <v>SC35R  M מגן קרסול ימין</v>
      </c>
      <c r="I2651" s="8" t="str">
        <f aca="false">IF($G2651="","Unmatched","Matched")</f>
        <v>Matched</v>
      </c>
    </row>
    <row r="2652" customFormat="false" ht="15" hidden="false" customHeight="false" outlineLevel="0" collapsed="false">
      <c r="A2652" s="8" t="s">
        <v>918</v>
      </c>
      <c r="B2652" s="8" t="s">
        <v>300</v>
      </c>
      <c r="C2652" s="19" t="n">
        <v>10</v>
      </c>
      <c r="D2652" s="19" t="n">
        <v>1235.1</v>
      </c>
      <c r="E2652" s="19" t="n">
        <v>8</v>
      </c>
      <c r="F2652" s="19" t="n">
        <v>1219.75</v>
      </c>
      <c r="G2652" s="8" t="n">
        <f aca="false">IFERROR(INDEX('TRANS'!$B:$B,MATCH($B2652,'TRANS'!$A:$A,0)),IFERROR(INDEX('TRANS'!$B:$B,MATCH(TRIM(SUBSTITUTE($B2652,CHAR(160)," ")),'TRANS'!$D:$D,0)),IFERROR(INDEX('Catalog'!$A:$A,MATCH($B2652,'Catalog'!$B:$B,0)),IFERROR(INDEX('Catalog'!$A:$A,MATCH(TRIM(SUBSTITUTE($B2652,CHAR(160)," ")),'Catalog'!$C:$C,0)),""))))</f>
        <v>4413424</v>
      </c>
      <c r="H2652" s="8" t="str">
        <f aca="false">IFERROR(INDEX('TRANS'!$C:$C,MATCH($B2652,'TRANS'!$A:$A,0)),IFERROR(INDEX('Catalog'!$B:$B,MATCH($G2652,'Catalog'!$A:$A,0)),$B2652))</f>
        <v>SC35R  S מגן קרסול ימין</v>
      </c>
      <c r="I2652" s="8" t="str">
        <f aca="false">IF($G2652="","Unmatched","Matched")</f>
        <v>Matched</v>
      </c>
    </row>
    <row r="2653" customFormat="false" ht="15" hidden="false" customHeight="false" outlineLevel="0" collapsed="false">
      <c r="A2653" s="8" t="s">
        <v>918</v>
      </c>
      <c r="B2653" s="8" t="s">
        <v>783</v>
      </c>
      <c r="C2653" s="19" t="n">
        <v>2</v>
      </c>
      <c r="D2653" s="19" t="n">
        <v>279.5</v>
      </c>
      <c r="E2653" s="19" t="n">
        <v>2</v>
      </c>
      <c r="F2653" s="19" t="n">
        <v>321.87</v>
      </c>
      <c r="G2653" s="8" t="n">
        <f aca="false">IFERROR(INDEX('TRANS'!$B:$B,MATCH($B2653,'TRANS'!$A:$A,0)),IFERROR(INDEX('TRANS'!$B:$B,MATCH(TRIM(SUBSTITUTE($B2653,CHAR(160)," ")),'TRANS'!$D:$D,0)),IFERROR(INDEX('Catalog'!$A:$A,MATCH($B2653,'Catalog'!$B:$B,0)),IFERROR(INDEX('Catalog'!$A:$A,MATCH(TRIM(SUBSTITUTE($B2653,CHAR(160)," ")),'Catalog'!$C:$C,0)),""))))</f>
        <v>4413427</v>
      </c>
      <c r="H2653" s="8" t="str">
        <f aca="false">IFERROR(INDEX('TRANS'!$C:$C,MATCH($B2653,'TRANS'!$A:$A,0)),IFERROR(INDEX('Catalog'!$B:$B,MATCH($G2653,'Catalog'!$A:$A,0)),$B2653))</f>
        <v>SC35R  XLמגן קרסול ימין</v>
      </c>
      <c r="I2653" s="8" t="str">
        <f aca="false">IF($G2653="","Unmatched","Matched")</f>
        <v>Matched</v>
      </c>
    </row>
    <row r="2654" customFormat="false" ht="15" hidden="false" customHeight="false" outlineLevel="0" collapsed="false">
      <c r="A2654" s="8" t="s">
        <v>918</v>
      </c>
      <c r="B2654" s="8" t="s">
        <v>434</v>
      </c>
      <c r="C2654" s="19" t="n">
        <v>32</v>
      </c>
      <c r="D2654" s="19" t="n">
        <v>7712.87</v>
      </c>
      <c r="E2654" s="19" t="n">
        <v>30</v>
      </c>
      <c r="F2654" s="19" t="n">
        <v>8480.59</v>
      </c>
      <c r="G2654" s="8" t="n">
        <f aca="false">IFERROR(INDEX('TRANS'!$B:$B,MATCH($B2654,'TRANS'!$A:$A,0)),IFERROR(INDEX('TRANS'!$B:$B,MATCH(TRIM(SUBSTITUTE($B2654,CHAR(160)," ")),'TRANS'!$D:$D,0)),IFERROR(INDEX('Catalog'!$A:$A,MATCH($B2654,'Catalog'!$B:$B,0)),IFERROR(INDEX('Catalog'!$A:$A,MATCH(TRIM(SUBSTITUTE($B2654,CHAR(160)," ")),'Catalog'!$C:$C,0)),""))))</f>
        <v>4413417</v>
      </c>
      <c r="H2654" s="8" t="str">
        <f aca="false">IFERROR(INDEX('TRANS'!$C:$C,MATCH($B2654,'TRANS'!$A:$A,0)),IFERROR(INDEX('Catalog'!$B:$B,MATCH($G2654,'Catalog'!$A:$A,0)),$B2654))</f>
        <v>SC39  L מגן שוק</v>
      </c>
      <c r="I2654" s="8" t="str">
        <f aca="false">IF($G2654="","Unmatched","Matched")</f>
        <v>Matched</v>
      </c>
    </row>
    <row r="2655" customFormat="false" ht="15" hidden="false" customHeight="false" outlineLevel="0" collapsed="false">
      <c r="A2655" s="8" t="s">
        <v>918</v>
      </c>
      <c r="B2655" s="8" t="s">
        <v>301</v>
      </c>
      <c r="C2655" s="19" t="n">
        <v>48</v>
      </c>
      <c r="D2655" s="19" t="n">
        <v>11668.72</v>
      </c>
      <c r="E2655" s="19" t="n">
        <v>43</v>
      </c>
      <c r="F2655" s="19" t="n">
        <v>11521.22</v>
      </c>
      <c r="G2655" s="8" t="n">
        <f aca="false">IFERROR(INDEX('TRANS'!$B:$B,MATCH($B2655,'TRANS'!$A:$A,0)),IFERROR(INDEX('TRANS'!$B:$B,MATCH(TRIM(SUBSTITUTE($B2655,CHAR(160)," ")),'TRANS'!$D:$D,0)),IFERROR(INDEX('Catalog'!$A:$A,MATCH($B2655,'Catalog'!$B:$B,0)),IFERROR(INDEX('Catalog'!$A:$A,MATCH(TRIM(SUBSTITUTE($B2655,CHAR(160)," ")),'Catalog'!$C:$C,0)),""))))</f>
        <v>4413416</v>
      </c>
      <c r="H2655" s="8" t="str">
        <f aca="false">IFERROR(INDEX('TRANS'!$C:$C,MATCH($B2655,'TRANS'!$A:$A,0)),IFERROR(INDEX('Catalog'!$B:$B,MATCH($G2655,'Catalog'!$A:$A,0)),$B2655))</f>
        <v>SC39  M מגן שוק</v>
      </c>
      <c r="I2655" s="8" t="str">
        <f aca="false">IF($G2655="","Unmatched","Matched")</f>
        <v>Matched</v>
      </c>
    </row>
    <row r="2656" customFormat="false" ht="15" hidden="false" customHeight="false" outlineLevel="0" collapsed="false">
      <c r="A2656" s="8" t="s">
        <v>918</v>
      </c>
      <c r="B2656" s="8" t="s">
        <v>435</v>
      </c>
      <c r="C2656" s="19" t="n">
        <v>8</v>
      </c>
      <c r="D2656" s="19" t="n">
        <v>1905.33</v>
      </c>
      <c r="E2656" s="19" t="n">
        <v>9</v>
      </c>
      <c r="F2656" s="19" t="n">
        <v>2550.14</v>
      </c>
      <c r="G2656" s="8" t="n">
        <f aca="false">IFERROR(INDEX('TRANS'!$B:$B,MATCH($B2656,'TRANS'!$A:$A,0)),IFERROR(INDEX('TRANS'!$B:$B,MATCH(TRIM(SUBSTITUTE($B2656,CHAR(160)," ")),'TRANS'!$D:$D,0)),IFERROR(INDEX('Catalog'!$A:$A,MATCH($B2656,'Catalog'!$B:$B,0)),IFERROR(INDEX('Catalog'!$A:$A,MATCH(TRIM(SUBSTITUTE($B2656,CHAR(160)," ")),'Catalog'!$C:$C,0)),""))))</f>
        <v>4413415</v>
      </c>
      <c r="H2656" s="8" t="str">
        <f aca="false">IFERROR(INDEX('TRANS'!$C:$C,MATCH($B2656,'TRANS'!$A:$A,0)),IFERROR(INDEX('Catalog'!$B:$B,MATCH($G2656,'Catalog'!$A:$A,0)),$B2656))</f>
        <v>SC39  S מגן שוק</v>
      </c>
      <c r="I2656" s="8" t="str">
        <f aca="false">IF($G2656="","Unmatched","Matched")</f>
        <v>Matched</v>
      </c>
    </row>
    <row r="2657" customFormat="false" ht="15" hidden="false" customHeight="false" outlineLevel="0" collapsed="false">
      <c r="A2657" s="8" t="s">
        <v>918</v>
      </c>
      <c r="B2657" s="8" t="s">
        <v>608</v>
      </c>
      <c r="C2657" s="19" t="n">
        <v>5</v>
      </c>
      <c r="D2657" s="19" t="n">
        <v>1239.44</v>
      </c>
      <c r="E2657" s="19" t="n">
        <v>8</v>
      </c>
      <c r="F2657" s="19" t="n">
        <v>2223.84</v>
      </c>
      <c r="G2657" s="8" t="n">
        <f aca="false">IFERROR(INDEX('TRANS'!$B:$B,MATCH($B2657,'TRANS'!$A:$A,0)),IFERROR(INDEX('TRANS'!$B:$B,MATCH(TRIM(SUBSTITUTE($B2657,CHAR(160)," ")),'TRANS'!$D:$D,0)),IFERROR(INDEX('Catalog'!$A:$A,MATCH($B2657,'Catalog'!$B:$B,0)),IFERROR(INDEX('Catalog'!$A:$A,MATCH(TRIM(SUBSTITUTE($B2657,CHAR(160)," ")),'Catalog'!$C:$C,0)),""))))</f>
        <v>4413418</v>
      </c>
      <c r="H2657" s="8" t="str">
        <f aca="false">IFERROR(INDEX('TRANS'!$C:$C,MATCH($B2657,'TRANS'!$A:$A,0)),IFERROR(INDEX('Catalog'!$B:$B,MATCH($G2657,'Catalog'!$A:$A,0)),$B2657))</f>
        <v>SC39 XL מגן שוק</v>
      </c>
      <c r="I2657" s="8" t="str">
        <f aca="false">IF($G2657="","Unmatched","Matched")</f>
        <v>Matched</v>
      </c>
    </row>
    <row r="2658" customFormat="false" ht="15" hidden="false" customHeight="false" outlineLevel="0" collapsed="false">
      <c r="A2658" s="8" t="s">
        <v>918</v>
      </c>
      <c r="B2658" s="8" t="s">
        <v>609</v>
      </c>
      <c r="C2658" s="19" t="n">
        <v>5</v>
      </c>
      <c r="D2658" s="19" t="n">
        <v>1131.82</v>
      </c>
      <c r="E2658" s="19" t="n">
        <v>3</v>
      </c>
      <c r="F2658" s="19" t="n">
        <v>830.28</v>
      </c>
      <c r="G2658" s="8" t="n">
        <f aca="false">IFERROR(INDEX('TRANS'!$B:$B,MATCH($B2658,'TRANS'!$A:$A,0)),IFERROR(INDEX('TRANS'!$B:$B,MATCH(TRIM(SUBSTITUTE($B2658,CHAR(160)," ")),'TRANS'!$D:$D,0)),IFERROR(INDEX('Catalog'!$A:$A,MATCH($B2658,'Catalog'!$B:$B,0)),IFERROR(INDEX('Catalog'!$A:$A,MATCH(TRIM(SUBSTITUTE($B2658,CHAR(160)," ")),'Catalog'!$C:$C,0)),""))))</f>
        <v>4413419</v>
      </c>
      <c r="H2658" s="8" t="str">
        <f aca="false">IFERROR(INDEX('TRANS'!$C:$C,MATCH($B2658,'TRANS'!$A:$A,0)),IFERROR(INDEX('Catalog'!$B:$B,MATCH($G2658,'Catalog'!$A:$A,0)),$B2658))</f>
        <v>SC39 XXLמגן שוק</v>
      </c>
      <c r="I2658" s="8" t="str">
        <f aca="false">IF($G2658="","Unmatched","Matched")</f>
        <v>Matched</v>
      </c>
    </row>
    <row r="2659" customFormat="false" ht="15" hidden="false" customHeight="false" outlineLevel="0" collapsed="false">
      <c r="A2659" s="8" t="s">
        <v>918</v>
      </c>
      <c r="B2659" s="8" t="s">
        <v>436</v>
      </c>
      <c r="C2659" s="19" t="n">
        <v>104</v>
      </c>
      <c r="D2659" s="19" t="n">
        <v>22533.16</v>
      </c>
      <c r="E2659" s="19" t="n">
        <v>98</v>
      </c>
      <c r="F2659" s="19" t="n">
        <v>21742.65</v>
      </c>
      <c r="G2659" s="8" t="n">
        <f aca="false">IFERROR(INDEX('TRANS'!$B:$B,MATCH($B2659,'TRANS'!$A:$A,0)),IFERROR(INDEX('TRANS'!$B:$B,MATCH(TRIM(SUBSTITUTE($B2659,CHAR(160)," ")),'TRANS'!$D:$D,0)),IFERROR(INDEX('Catalog'!$A:$A,MATCH($B2659,'Catalog'!$B:$B,0)),IFERROR(INDEX('Catalog'!$A:$A,MATCH(TRIM(SUBSTITUTE($B2659,CHAR(160)," ")),'Catalog'!$C:$C,0)),""))))</f>
        <v>4413440</v>
      </c>
      <c r="H2659" s="8" t="str">
        <f aca="false">IFERROR(INDEX('TRANS'!$C:$C,MATCH($B2659,'TRANS'!$A:$A,0)),IFERROR(INDEX('Catalog'!$B:$B,MATCH($G2659,'Catalog'!$A:$A,0)),$B2659))</f>
        <v>SC422  L מגן ברך</v>
      </c>
      <c r="I2659" s="8" t="str">
        <f aca="false">IF($G2659="","Unmatched","Matched")</f>
        <v>Matched</v>
      </c>
    </row>
    <row r="2660" customFormat="false" ht="15" hidden="false" customHeight="false" outlineLevel="0" collapsed="false">
      <c r="A2660" s="8" t="s">
        <v>918</v>
      </c>
      <c r="B2660" s="8" t="s">
        <v>302</v>
      </c>
      <c r="C2660" s="19" t="n">
        <v>110</v>
      </c>
      <c r="D2660" s="19" t="n">
        <v>23786.53</v>
      </c>
      <c r="E2660" s="19" t="n">
        <v>92</v>
      </c>
      <c r="F2660" s="19" t="n">
        <v>20424.09</v>
      </c>
      <c r="G2660" s="8" t="n">
        <f aca="false">IFERROR(INDEX('TRANS'!$B:$B,MATCH($B2660,'TRANS'!$A:$A,0)),IFERROR(INDEX('TRANS'!$B:$B,MATCH(TRIM(SUBSTITUTE($B2660,CHAR(160)," ")),'TRANS'!$D:$D,0)),IFERROR(INDEX('Catalog'!$A:$A,MATCH($B2660,'Catalog'!$B:$B,0)),IFERROR(INDEX('Catalog'!$A:$A,MATCH(TRIM(SUBSTITUTE($B2660,CHAR(160)," ")),'Catalog'!$C:$C,0)),""))))</f>
        <v>4413439</v>
      </c>
      <c r="H2660" s="8" t="str">
        <f aca="false">IFERROR(INDEX('TRANS'!$C:$C,MATCH($B2660,'TRANS'!$A:$A,0)),IFERROR(INDEX('Catalog'!$B:$B,MATCH($G2660,'Catalog'!$A:$A,0)),$B2660))</f>
        <v>SC422  M מגן ברך</v>
      </c>
      <c r="I2660" s="8" t="str">
        <f aca="false">IF($G2660="","Unmatched","Matched")</f>
        <v>Matched</v>
      </c>
    </row>
    <row r="2661" customFormat="false" ht="15" hidden="false" customHeight="false" outlineLevel="0" collapsed="false">
      <c r="A2661" s="8" t="s">
        <v>918</v>
      </c>
      <c r="B2661" s="8" t="s">
        <v>437</v>
      </c>
      <c r="C2661" s="19" t="n">
        <v>24</v>
      </c>
      <c r="D2661" s="19" t="n">
        <v>5398.22</v>
      </c>
      <c r="E2661" s="19" t="n">
        <v>32</v>
      </c>
      <c r="F2661" s="19" t="n">
        <v>6862.08</v>
      </c>
      <c r="G2661" s="8" t="n">
        <f aca="false">IFERROR(INDEX('TRANS'!$B:$B,MATCH($B2661,'TRANS'!$A:$A,0)),IFERROR(INDEX('TRANS'!$B:$B,MATCH(TRIM(SUBSTITUTE($B2661,CHAR(160)," ")),'TRANS'!$D:$D,0)),IFERROR(INDEX('Catalog'!$A:$A,MATCH($B2661,'Catalog'!$B:$B,0)),IFERROR(INDEX('Catalog'!$A:$A,MATCH(TRIM(SUBSTITUTE($B2661,CHAR(160)," ")),'Catalog'!$C:$C,0)),""))))</f>
        <v>4413438</v>
      </c>
      <c r="H2661" s="8" t="str">
        <f aca="false">IFERROR(INDEX('TRANS'!$C:$C,MATCH($B2661,'TRANS'!$A:$A,0)),IFERROR(INDEX('Catalog'!$B:$B,MATCH($G2661,'Catalog'!$A:$A,0)),$B2661))</f>
        <v>SC422  S מגן ברך</v>
      </c>
      <c r="I2661" s="8" t="str">
        <f aca="false">IF($G2661="","Unmatched","Matched")</f>
        <v>Matched</v>
      </c>
    </row>
    <row r="2662" customFormat="false" ht="15" hidden="false" customHeight="false" outlineLevel="0" collapsed="false">
      <c r="A2662" s="8" t="s">
        <v>918</v>
      </c>
      <c r="B2662" s="8" t="s">
        <v>438</v>
      </c>
      <c r="C2662" s="19" t="n">
        <v>30</v>
      </c>
      <c r="D2662" s="19" t="n">
        <v>6655.4</v>
      </c>
      <c r="E2662" s="19" t="n">
        <v>44</v>
      </c>
      <c r="F2662" s="19" t="n">
        <v>9975.14</v>
      </c>
      <c r="G2662" s="8" t="n">
        <f aca="false">IFERROR(INDEX('TRANS'!$B:$B,MATCH($B2662,'TRANS'!$A:$A,0)),IFERROR(INDEX('TRANS'!$B:$B,MATCH(TRIM(SUBSTITUTE($B2662,CHAR(160)," ")),'TRANS'!$D:$D,0)),IFERROR(INDEX('Catalog'!$A:$A,MATCH($B2662,'Catalog'!$B:$B,0)),IFERROR(INDEX('Catalog'!$A:$A,MATCH(TRIM(SUBSTITUTE($B2662,CHAR(160)," ")),'Catalog'!$C:$C,0)),""))))</f>
        <v>4413441</v>
      </c>
      <c r="H2662" s="8" t="str">
        <f aca="false">IFERROR(INDEX('TRANS'!$C:$C,MATCH($B2662,'TRANS'!$A:$A,0)),IFERROR(INDEX('Catalog'!$B:$B,MATCH($G2662,'Catalog'!$A:$A,0)),$B2662))</f>
        <v>SC422 XL מגן ברך</v>
      </c>
      <c r="I2662" s="8" t="str">
        <f aca="false">IF($G2662="","Unmatched","Matched")</f>
        <v>Matched</v>
      </c>
    </row>
    <row r="2663" customFormat="false" ht="15" hidden="false" customHeight="false" outlineLevel="0" collapsed="false">
      <c r="A2663" s="8" t="s">
        <v>918</v>
      </c>
      <c r="B2663" s="8" t="s">
        <v>303</v>
      </c>
      <c r="C2663" s="19" t="n">
        <v>19</v>
      </c>
      <c r="D2663" s="19" t="n">
        <v>4359.52</v>
      </c>
      <c r="E2663" s="19" t="n">
        <v>18</v>
      </c>
      <c r="F2663" s="19" t="n">
        <v>4002.89</v>
      </c>
      <c r="G2663" s="8" t="n">
        <f aca="false">IFERROR(INDEX('TRANS'!$B:$B,MATCH($B2663,'TRANS'!$A:$A,0)),IFERROR(INDEX('TRANS'!$B:$B,MATCH(TRIM(SUBSTITUTE($B2663,CHAR(160)," ")),'TRANS'!$D:$D,0)),IFERROR(INDEX('Catalog'!$A:$A,MATCH($B2663,'Catalog'!$B:$B,0)),IFERROR(INDEX('Catalog'!$A:$A,MATCH(TRIM(SUBSTITUTE($B2663,CHAR(160)," ")),'Catalog'!$C:$C,0)),""))))</f>
        <v>4413442</v>
      </c>
      <c r="H2663" s="8" t="str">
        <f aca="false">IFERROR(INDEX('TRANS'!$C:$C,MATCH($B2663,'TRANS'!$A:$A,0)),IFERROR(INDEX('Catalog'!$B:$B,MATCH($G2663,'Catalog'!$A:$A,0)),$B2663))</f>
        <v>SC422 XXLמגן ברך</v>
      </c>
      <c r="I2663" s="8" t="str">
        <f aca="false">IF($G2663="","Unmatched","Matched")</f>
        <v>Matched</v>
      </c>
    </row>
    <row r="2664" customFormat="false" ht="15" hidden="false" customHeight="false" outlineLevel="0" collapsed="false">
      <c r="A2664" s="8" t="s">
        <v>918</v>
      </c>
      <c r="B2664" s="8" t="s">
        <v>304</v>
      </c>
      <c r="C2664" s="19" t="n">
        <v>57</v>
      </c>
      <c r="D2664" s="19" t="n">
        <v>7428.9</v>
      </c>
      <c r="E2664" s="19" t="n">
        <v>49</v>
      </c>
      <c r="F2664" s="19" t="n">
        <v>7479.33</v>
      </c>
      <c r="G2664" s="8" t="n">
        <f aca="false">IFERROR(INDEX('TRANS'!$B:$B,MATCH($B2664,'TRANS'!$A:$A,0)),IFERROR(INDEX('TRANS'!$B:$B,MATCH(TRIM(SUBSTITUTE($B2664,CHAR(160)," ")),'TRANS'!$D:$D,0)),IFERROR(INDEX('Catalog'!$A:$A,MATCH($B2664,'Catalog'!$B:$B,0)),IFERROR(INDEX('Catalog'!$A:$A,MATCH(TRIM(SUBSTITUTE($B2664,CHAR(160)," ")),'Catalog'!$C:$C,0)),""))))</f>
        <v>4413407</v>
      </c>
      <c r="H2664" s="8" t="str">
        <f aca="false">IFERROR(INDEX('TRANS'!$C:$C,MATCH($B2664,'TRANS'!$A:$A,0)),IFERROR(INDEX('Catalog'!$B:$B,MATCH($G2664,'Catalog'!$A:$A,0)),$B2664))</f>
        <v>SC95 L מגן מרפק</v>
      </c>
      <c r="I2664" s="8" t="str">
        <f aca="false">IF($G2664="","Unmatched","Matched")</f>
        <v>Matched</v>
      </c>
    </row>
    <row r="2665" customFormat="false" ht="15" hidden="false" customHeight="false" outlineLevel="0" collapsed="false">
      <c r="A2665" s="8" t="s">
        <v>918</v>
      </c>
      <c r="B2665" s="8" t="s">
        <v>305</v>
      </c>
      <c r="C2665" s="19" t="n">
        <v>62</v>
      </c>
      <c r="D2665" s="19" t="n">
        <v>7912.97</v>
      </c>
      <c r="E2665" s="19" t="n">
        <v>24</v>
      </c>
      <c r="F2665" s="19" t="n">
        <v>3511.4</v>
      </c>
      <c r="G2665" s="8" t="n">
        <f aca="false">IFERROR(INDEX('TRANS'!$B:$B,MATCH($B2665,'TRANS'!$A:$A,0)),IFERROR(INDEX('TRANS'!$B:$B,MATCH(TRIM(SUBSTITUTE($B2665,CHAR(160)," ")),'TRANS'!$D:$D,0)),IFERROR(INDEX('Catalog'!$A:$A,MATCH($B2665,'Catalog'!$B:$B,0)),IFERROR(INDEX('Catalog'!$A:$A,MATCH(TRIM(SUBSTITUTE($B2665,CHAR(160)," ")),'Catalog'!$C:$C,0)),""))))</f>
        <v>4413406</v>
      </c>
      <c r="H2665" s="8" t="str">
        <f aca="false">IFERROR(INDEX('TRANS'!$C:$C,MATCH($B2665,'TRANS'!$A:$A,0)),IFERROR(INDEX('Catalog'!$B:$B,MATCH($G2665,'Catalog'!$A:$A,0)),$B2665))</f>
        <v>SC95 M מגן מרפק</v>
      </c>
      <c r="I2665" s="8" t="str">
        <f aca="false">IF($G2665="","Unmatched","Matched")</f>
        <v>Matched</v>
      </c>
    </row>
    <row r="2666" customFormat="false" ht="15" hidden="false" customHeight="false" outlineLevel="0" collapsed="false">
      <c r="A2666" s="8" t="s">
        <v>918</v>
      </c>
      <c r="B2666" s="8" t="s">
        <v>306</v>
      </c>
      <c r="C2666" s="19" t="n">
        <v>13</v>
      </c>
      <c r="D2666" s="19" t="n">
        <v>1727.35</v>
      </c>
      <c r="E2666" s="19" t="n">
        <v>19</v>
      </c>
      <c r="F2666" s="19" t="n">
        <v>2879.92</v>
      </c>
      <c r="G2666" s="8" t="n">
        <f aca="false">IFERROR(INDEX('TRANS'!$B:$B,MATCH($B2666,'TRANS'!$A:$A,0)),IFERROR(INDEX('TRANS'!$B:$B,MATCH(TRIM(SUBSTITUTE($B2666,CHAR(160)," ")),'TRANS'!$D:$D,0)),IFERROR(INDEX('Catalog'!$A:$A,MATCH($B2666,'Catalog'!$B:$B,0)),IFERROR(INDEX('Catalog'!$A:$A,MATCH(TRIM(SUBSTITUTE($B2666,CHAR(160)," ")),'Catalog'!$C:$C,0)),""))))</f>
        <v>4413405</v>
      </c>
      <c r="H2666" s="8" t="str">
        <f aca="false">IFERROR(INDEX('TRANS'!$C:$C,MATCH($B2666,'TRANS'!$A:$A,0)),IFERROR(INDEX('Catalog'!$B:$B,MATCH($G2666,'Catalog'!$A:$A,0)),$B2666))</f>
        <v>SC95 S מגן מרפק</v>
      </c>
      <c r="I2666" s="8" t="str">
        <f aca="false">IF($G2666="","Unmatched","Matched")</f>
        <v>Matched</v>
      </c>
    </row>
    <row r="2667" customFormat="false" ht="15" hidden="false" customHeight="false" outlineLevel="0" collapsed="false">
      <c r="A2667" s="8" t="s">
        <v>918</v>
      </c>
      <c r="B2667" s="8" t="s">
        <v>439</v>
      </c>
      <c r="C2667" s="19" t="n">
        <v>17</v>
      </c>
      <c r="D2667" s="19" t="n">
        <v>2215.35</v>
      </c>
      <c r="E2667" s="19" t="n">
        <v>22</v>
      </c>
      <c r="F2667" s="19" t="n">
        <v>3405.1</v>
      </c>
      <c r="G2667" s="8" t="n">
        <f aca="false">IFERROR(INDEX('TRANS'!$B:$B,MATCH($B2667,'TRANS'!$A:$A,0)),IFERROR(INDEX('TRANS'!$B:$B,MATCH(TRIM(SUBSTITUTE($B2667,CHAR(160)," ")),'TRANS'!$D:$D,0)),IFERROR(INDEX('Catalog'!$A:$A,MATCH($B2667,'Catalog'!$B:$B,0)),IFERROR(INDEX('Catalog'!$A:$A,MATCH(TRIM(SUBSTITUTE($B2667,CHAR(160)," ")),'Catalog'!$C:$C,0)),""))))</f>
        <v>4413408</v>
      </c>
      <c r="H2667" s="8" t="str">
        <f aca="false">IFERROR(INDEX('TRANS'!$C:$C,MATCH($B2667,'TRANS'!$A:$A,0)),IFERROR(INDEX('Catalog'!$B:$B,MATCH($G2667,'Catalog'!$A:$A,0)),$B2667))</f>
        <v>SC95 XLמגן מרפק</v>
      </c>
      <c r="I2667" s="8" t="str">
        <f aca="false">IF($G2667="","Unmatched","Matched")</f>
        <v>Matched</v>
      </c>
    </row>
    <row r="2668" customFormat="false" ht="15" hidden="false" customHeight="false" outlineLevel="0" collapsed="false">
      <c r="A2668" s="8" t="s">
        <v>918</v>
      </c>
      <c r="B2668" s="8" t="s">
        <v>307</v>
      </c>
      <c r="C2668" s="19" t="n">
        <v>0</v>
      </c>
      <c r="D2668" s="19" t="n">
        <v>0</v>
      </c>
      <c r="E2668" s="19" t="n">
        <v>7</v>
      </c>
      <c r="F2668" s="19" t="n">
        <v>1976.39</v>
      </c>
      <c r="G2668" s="8" t="n">
        <f aca="false">IFERROR(INDEX('TRANS'!$B:$B,MATCH($B2668,'TRANS'!$A:$A,0)),IFERROR(INDEX('TRANS'!$B:$B,MATCH(TRIM(SUBSTITUTE($B2668,CHAR(160)," ")),'TRANS'!$D:$D,0)),IFERROR(INDEX('Catalog'!$A:$A,MATCH($B2668,'Catalog'!$B:$B,0)),IFERROR(INDEX('Catalog'!$A:$A,MATCH(TRIM(SUBSTITUTE($B2668,CHAR(160)," ")),'Catalog'!$C:$C,0)),""))))</f>
        <v>4413534</v>
      </c>
      <c r="H2668" s="8" t="str">
        <f aca="false">IFERROR(INDEX('TRANS'!$C:$C,MATCH($B2668,'TRANS'!$A:$A,0)),IFERROR(INDEX('Catalog'!$B:$B,MATCH($G2668,'Catalog'!$A:$A,0)),$B2668))</f>
        <v>SH333 מקבע קרסול</v>
      </c>
      <c r="I2668" s="8" t="str">
        <f aca="false">IF($G2668="","Unmatched","Matched")</f>
        <v>Matched</v>
      </c>
    </row>
    <row r="2669" customFormat="false" ht="15" hidden="false" customHeight="false" outlineLevel="0" collapsed="false">
      <c r="A2669" s="8" t="s">
        <v>918</v>
      </c>
      <c r="B2669" s="8" t="s">
        <v>521</v>
      </c>
      <c r="C2669" s="19" t="n">
        <v>1</v>
      </c>
      <c r="D2669" s="19" t="n">
        <v>324.08</v>
      </c>
      <c r="E2669" s="19" t="n">
        <v>6</v>
      </c>
      <c r="F2669" s="19" t="n">
        <v>2116.04</v>
      </c>
      <c r="G2669" s="8" t="n">
        <f aca="false">IFERROR(INDEX('TRANS'!$B:$B,MATCH($B2669,'TRANS'!$A:$A,0)),IFERROR(INDEX('TRANS'!$B:$B,MATCH(TRIM(SUBSTITUTE($B2669,CHAR(160)," ")),'TRANS'!$D:$D,0)),IFERROR(INDEX('Catalog'!$A:$A,MATCH($B2669,'Catalog'!$B:$B,0)),IFERROR(INDEX('Catalog'!$A:$A,MATCH(TRIM(SUBSTITUTE($B2669,CHAR(160)," ")),'Catalog'!$C:$C,0)),""))))</f>
        <v>4422037</v>
      </c>
      <c r="H2669" s="8" t="str">
        <f aca="false">IFERROR(INDEX('TRANS'!$C:$C,MATCH($B2669,'TRANS'!$A:$A,0)),IFERROR(INDEX('Catalog'!$B:$B,MATCH($G2669,'Catalog'!$A:$A,0)),$B2669))</f>
        <v>SH422 1 תומך ברך גנושילד</v>
      </c>
      <c r="I2669" s="8" t="str">
        <f aca="false">IF($G2669="","Unmatched","Matched")</f>
        <v>Matched</v>
      </c>
    </row>
    <row r="2670" customFormat="false" ht="15" hidden="false" customHeight="false" outlineLevel="0" collapsed="false">
      <c r="A2670" s="8" t="s">
        <v>918</v>
      </c>
      <c r="B2670" s="8" t="s">
        <v>522</v>
      </c>
      <c r="C2670" s="19" t="n">
        <v>0</v>
      </c>
      <c r="D2670" s="19" t="n">
        <v>0</v>
      </c>
      <c r="E2670" s="19" t="n">
        <v>13</v>
      </c>
      <c r="F2670" s="19" t="n">
        <v>4594.31</v>
      </c>
      <c r="G2670" s="8" t="n">
        <f aca="false">IFERROR(INDEX('TRANS'!$B:$B,MATCH($B2670,'TRANS'!$A:$A,0)),IFERROR(INDEX('TRANS'!$B:$B,MATCH(TRIM(SUBSTITUTE($B2670,CHAR(160)," ")),'TRANS'!$D:$D,0)),IFERROR(INDEX('Catalog'!$A:$A,MATCH($B2670,'Catalog'!$B:$B,0)),IFERROR(INDEX('Catalog'!$A:$A,MATCH(TRIM(SUBSTITUTE($B2670,CHAR(160)," ")),'Catalog'!$C:$C,0)),""))))</f>
        <v>4422038</v>
      </c>
      <c r="H2670" s="8" t="str">
        <f aca="false">IFERROR(INDEX('TRANS'!$C:$C,MATCH($B2670,'TRANS'!$A:$A,0)),IFERROR(INDEX('Catalog'!$B:$B,MATCH($G2670,'Catalog'!$A:$A,0)),$B2670))</f>
        <v>SH422 2 תומך ברך גנושילד</v>
      </c>
      <c r="I2670" s="8" t="str">
        <f aca="false">IF($G2670="","Unmatched","Matched")</f>
        <v>Matched</v>
      </c>
    </row>
    <row r="2671" customFormat="false" ht="15" hidden="false" customHeight="false" outlineLevel="0" collapsed="false">
      <c r="A2671" s="8" t="s">
        <v>918</v>
      </c>
      <c r="B2671" s="8" t="s">
        <v>523</v>
      </c>
      <c r="C2671" s="19" t="n">
        <v>3</v>
      </c>
      <c r="D2671" s="19" t="n">
        <v>953.18</v>
      </c>
      <c r="E2671" s="19" t="n">
        <v>25</v>
      </c>
      <c r="F2671" s="19" t="n">
        <v>8864.49</v>
      </c>
      <c r="G2671" s="8" t="n">
        <f aca="false">IFERROR(INDEX('TRANS'!$B:$B,MATCH($B2671,'TRANS'!$A:$A,0)),IFERROR(INDEX('TRANS'!$B:$B,MATCH(TRIM(SUBSTITUTE($B2671,CHAR(160)," ")),'TRANS'!$D:$D,0)),IFERROR(INDEX('Catalog'!$A:$A,MATCH($B2671,'Catalog'!$B:$B,0)),IFERROR(INDEX('Catalog'!$A:$A,MATCH(TRIM(SUBSTITUTE($B2671,CHAR(160)," ")),'Catalog'!$C:$C,0)),""))))</f>
        <v>4422039</v>
      </c>
      <c r="H2671" s="8" t="str">
        <f aca="false">IFERROR(INDEX('TRANS'!$C:$C,MATCH($B2671,'TRANS'!$A:$A,0)),IFERROR(INDEX('Catalog'!$B:$B,MATCH($G2671,'Catalog'!$A:$A,0)),$B2671))</f>
        <v>SH422 3 תומך ברך גנושילד</v>
      </c>
      <c r="I2671" s="8" t="str">
        <f aca="false">IF($G2671="","Unmatched","Matched")</f>
        <v>Matched</v>
      </c>
    </row>
    <row r="2672" customFormat="false" ht="15" hidden="false" customHeight="false" outlineLevel="0" collapsed="false">
      <c r="A2672" s="8" t="s">
        <v>918</v>
      </c>
      <c r="B2672" s="8" t="s">
        <v>524</v>
      </c>
      <c r="C2672" s="19" t="n">
        <v>3</v>
      </c>
      <c r="D2672" s="19" t="n">
        <v>972.23</v>
      </c>
      <c r="E2672" s="19" t="n">
        <v>17</v>
      </c>
      <c r="F2672" s="19" t="n">
        <v>6115.75</v>
      </c>
      <c r="G2672" s="8" t="n">
        <f aca="false">IFERROR(INDEX('TRANS'!$B:$B,MATCH($B2672,'TRANS'!$A:$A,0)),IFERROR(INDEX('TRANS'!$B:$B,MATCH(TRIM(SUBSTITUTE($B2672,CHAR(160)," ")),'TRANS'!$D:$D,0)),IFERROR(INDEX('Catalog'!$A:$A,MATCH($B2672,'Catalog'!$B:$B,0)),IFERROR(INDEX('Catalog'!$A:$A,MATCH(TRIM(SUBSTITUTE($B2672,CHAR(160)," ")),'Catalog'!$C:$C,0)),""))))</f>
        <v>4422040</v>
      </c>
      <c r="H2672" s="8" t="str">
        <f aca="false">IFERROR(INDEX('TRANS'!$C:$C,MATCH($B2672,'TRANS'!$A:$A,0)),IFERROR(INDEX('Catalog'!$B:$B,MATCH($G2672,'Catalog'!$A:$A,0)),$B2672))</f>
        <v>SH422 4 תומך ברך גנושילד</v>
      </c>
      <c r="I2672" s="8" t="str">
        <f aca="false">IF($G2672="","Unmatched","Matched")</f>
        <v>Matched</v>
      </c>
    </row>
    <row r="2673" customFormat="false" ht="15" hidden="false" customHeight="false" outlineLevel="0" collapsed="false">
      <c r="A2673" s="8" t="s">
        <v>918</v>
      </c>
      <c r="B2673" s="8" t="s">
        <v>308</v>
      </c>
      <c r="C2673" s="19" t="n">
        <v>2</v>
      </c>
      <c r="D2673" s="19" t="n">
        <v>629.09</v>
      </c>
      <c r="E2673" s="19" t="n">
        <v>11</v>
      </c>
      <c r="F2673" s="19" t="n">
        <v>3899.34</v>
      </c>
      <c r="G2673" s="8" t="n">
        <f aca="false">IFERROR(INDEX('TRANS'!$B:$B,MATCH($B2673,'TRANS'!$A:$A,0)),IFERROR(INDEX('TRANS'!$B:$B,MATCH(TRIM(SUBSTITUTE($B2673,CHAR(160)," ")),'TRANS'!$D:$D,0)),IFERROR(INDEX('Catalog'!$A:$A,MATCH($B2673,'Catalog'!$B:$B,0)),IFERROR(INDEX('Catalog'!$A:$A,MATCH(TRIM(SUBSTITUTE($B2673,CHAR(160)," ")),'Catalog'!$C:$C,0)),""))))</f>
        <v>4422041</v>
      </c>
      <c r="H2673" s="8" t="str">
        <f aca="false">IFERROR(INDEX('TRANS'!$C:$C,MATCH($B2673,'TRANS'!$A:$A,0)),IFERROR(INDEX('Catalog'!$B:$B,MATCH($G2673,'Catalog'!$A:$A,0)),$B2673))</f>
        <v>SH422 5 תומך ברך גנושילד</v>
      </c>
      <c r="I2673" s="8" t="str">
        <f aca="false">IF($G2673="","Unmatched","Matched")</f>
        <v>Matched</v>
      </c>
    </row>
    <row r="2674" customFormat="false" ht="15" hidden="false" customHeight="false" outlineLevel="0" collapsed="false">
      <c r="A2674" s="8" t="s">
        <v>918</v>
      </c>
      <c r="B2674" s="8" t="s">
        <v>525</v>
      </c>
      <c r="C2674" s="19" t="n">
        <v>3</v>
      </c>
      <c r="D2674" s="19" t="n">
        <v>953.18</v>
      </c>
      <c r="E2674" s="19" t="n">
        <v>6</v>
      </c>
      <c r="F2674" s="19" t="n">
        <v>2173.24</v>
      </c>
      <c r="G2674" s="8" t="n">
        <f aca="false">IFERROR(INDEX('TRANS'!$B:$B,MATCH($B2674,'TRANS'!$A:$A,0)),IFERROR(INDEX('TRANS'!$B:$B,MATCH(TRIM(SUBSTITUTE($B2674,CHAR(160)," ")),'TRANS'!$D:$D,0)),IFERROR(INDEX('Catalog'!$A:$A,MATCH($B2674,'Catalog'!$B:$B,0)),IFERROR(INDEX('Catalog'!$A:$A,MATCH(TRIM(SUBSTITUTE($B2674,CHAR(160)," ")),'Catalog'!$C:$C,0)),""))))</f>
        <v>4422042</v>
      </c>
      <c r="H2674" s="8" t="str">
        <f aca="false">IFERROR(INDEX('TRANS'!$C:$C,MATCH($B2674,'TRANS'!$A:$A,0)),IFERROR(INDEX('Catalog'!$B:$B,MATCH($G2674,'Catalog'!$A:$A,0)),$B2674))</f>
        <v>SH422 6 תומך ברך גנושילד</v>
      </c>
      <c r="I2674" s="8" t="str">
        <f aca="false">IF($G2674="","Unmatched","Matched")</f>
        <v>Matched</v>
      </c>
    </row>
    <row r="2675" customFormat="false" ht="15" hidden="false" customHeight="false" outlineLevel="0" collapsed="false">
      <c r="A2675" s="8" t="s">
        <v>918</v>
      </c>
      <c r="B2675" s="8" t="s">
        <v>528</v>
      </c>
      <c r="C2675" s="19" t="n">
        <v>0</v>
      </c>
      <c r="D2675" s="19" t="n">
        <v>0</v>
      </c>
      <c r="E2675" s="19" t="n">
        <v>5</v>
      </c>
      <c r="F2675" s="19" t="n">
        <v>3770.84</v>
      </c>
      <c r="G2675" s="8" t="str">
        <f aca="false">IFERROR(INDEX('TRANS'!$B:$B,MATCH($B2675,'TRANS'!$A:$A,0)),IFERROR(INDEX('TRANS'!$B:$B,MATCH(TRIM(SUBSTITUTE($B2675,CHAR(160)," ")),'TRANS'!$D:$D,0)),IFERROR(INDEX('Catalog'!$A:$A,MATCH($B2675,'Catalog'!$B:$B,0)),IFERROR(INDEX('Catalog'!$A:$A,MATCH(TRIM(SUBSTITUTE($B2675,CHAR(160)," ")),'Catalog'!$C:$C,0)),""))))</f>
        <v/>
      </c>
      <c r="H2675" s="8" t="str">
        <f aca="false">IFERROR(INDEX('TRANS'!$C:$C,MATCH($B2675,'TRANS'!$A:$A,0)),IFERROR(INDEX('Catalog'!$B:$B,MATCH($G2675,'Catalog'!$A:$A,0)),$B2675))</f>
        <v>SH776 L</v>
      </c>
      <c r="I2675" s="8" t="str">
        <f aca="false">IF($G2675="","Unmatched","Matched")</f>
        <v>Unmatched</v>
      </c>
    </row>
    <row r="2676" customFormat="false" ht="15" hidden="false" customHeight="false" outlineLevel="0" collapsed="false">
      <c r="A2676" s="8" t="s">
        <v>918</v>
      </c>
      <c r="B2676" s="8" t="s">
        <v>610</v>
      </c>
      <c r="C2676" s="19" t="n">
        <v>0</v>
      </c>
      <c r="D2676" s="19" t="n">
        <v>0</v>
      </c>
      <c r="E2676" s="19" t="n">
        <v>1</v>
      </c>
      <c r="F2676" s="19" t="n">
        <v>847.37</v>
      </c>
      <c r="G2676" s="8" t="str">
        <f aca="false">IFERROR(INDEX('TRANS'!$B:$B,MATCH($B2676,'TRANS'!$A:$A,0)),IFERROR(INDEX('TRANS'!$B:$B,MATCH(TRIM(SUBSTITUTE($B2676,CHAR(160)," ")),'TRANS'!$D:$D,0)),IFERROR(INDEX('Catalog'!$A:$A,MATCH($B2676,'Catalog'!$B:$B,0)),IFERROR(INDEX('Catalog'!$A:$A,MATCH(TRIM(SUBSTITUTE($B2676,CHAR(160)," ")),'Catalog'!$C:$C,0)),""))))</f>
        <v/>
      </c>
      <c r="H2676" s="8" t="str">
        <f aca="false">IFERROR(INDEX('TRANS'!$C:$C,MATCH($B2676,'TRANS'!$A:$A,0)),IFERROR(INDEX('Catalog'!$B:$B,MATCH($G2676,'Catalog'!$A:$A,0)),$B2676))</f>
        <v>SH776 M</v>
      </c>
      <c r="I2676" s="8" t="str">
        <f aca="false">IF($G2676="","Unmatched","Matched")</f>
        <v>Unmatched</v>
      </c>
    </row>
    <row r="2677" customFormat="false" ht="15" hidden="false" customHeight="false" outlineLevel="0" collapsed="false">
      <c r="A2677" s="8" t="s">
        <v>918</v>
      </c>
      <c r="B2677" s="8" t="s">
        <v>682</v>
      </c>
      <c r="C2677" s="19" t="n">
        <v>0</v>
      </c>
      <c r="D2677" s="19" t="n">
        <v>0</v>
      </c>
      <c r="E2677" s="19" t="n">
        <v>5</v>
      </c>
      <c r="F2677" s="19" t="n">
        <v>4109.75</v>
      </c>
      <c r="G2677" s="8" t="str">
        <f aca="false">IFERROR(INDEX('TRANS'!$B:$B,MATCH($B2677,'TRANS'!$A:$A,0)),IFERROR(INDEX('TRANS'!$B:$B,MATCH(TRIM(SUBSTITUTE($B2677,CHAR(160)," ")),'TRANS'!$D:$D,0)),IFERROR(INDEX('Catalog'!$A:$A,MATCH($B2677,'Catalog'!$B:$B,0)),IFERROR(INDEX('Catalog'!$A:$A,MATCH(TRIM(SUBSTITUTE($B2677,CHAR(160)," ")),'Catalog'!$C:$C,0)),""))))</f>
        <v/>
      </c>
      <c r="H2677" s="8" t="str">
        <f aca="false">IFERROR(INDEX('TRANS'!$C:$C,MATCH($B2677,'TRANS'!$A:$A,0)),IFERROR(INDEX('Catalog'!$B:$B,MATCH($G2677,'Catalog'!$A:$A,0)),$B2677))</f>
        <v>SH776 S</v>
      </c>
      <c r="I2677" s="8" t="str">
        <f aca="false">IF($G2677="","Unmatched","Matched")</f>
        <v>Unmatched</v>
      </c>
    </row>
    <row r="2678" customFormat="false" ht="15" hidden="false" customHeight="false" outlineLevel="0" collapsed="false">
      <c r="A2678" s="8" t="s">
        <v>918</v>
      </c>
      <c r="B2678" s="8" t="s">
        <v>579</v>
      </c>
      <c r="C2678" s="19" t="n">
        <v>0</v>
      </c>
      <c r="D2678" s="19" t="n">
        <v>0</v>
      </c>
      <c r="E2678" s="19" t="n">
        <v>4</v>
      </c>
      <c r="F2678" s="19" t="n">
        <v>3347.11</v>
      </c>
      <c r="G2678" s="8" t="str">
        <f aca="false">IFERROR(INDEX('TRANS'!$B:$B,MATCH($B2678,'TRANS'!$A:$A,0)),IFERROR(INDEX('TRANS'!$B:$B,MATCH(TRIM(SUBSTITUTE($B2678,CHAR(160)," ")),'TRANS'!$D:$D,0)),IFERROR(INDEX('Catalog'!$A:$A,MATCH($B2678,'Catalog'!$B:$B,0)),IFERROR(INDEX('Catalog'!$A:$A,MATCH(TRIM(SUBSTITUTE($B2678,CHAR(160)," ")),'Catalog'!$C:$C,0)),""))))</f>
        <v/>
      </c>
      <c r="H2678" s="8" t="str">
        <f aca="false">IFERROR(INDEX('TRANS'!$C:$C,MATCH($B2678,'TRANS'!$A:$A,0)),IFERROR(INDEX('Catalog'!$B:$B,MATCH($G2678,'Catalog'!$A:$A,0)),$B2678))</f>
        <v>SH776 XL</v>
      </c>
      <c r="I2678" s="8" t="str">
        <f aca="false">IF($G2678="","Unmatched","Matched")</f>
        <v>Unmatched</v>
      </c>
    </row>
    <row r="2679" customFormat="false" ht="15" hidden="false" customHeight="false" outlineLevel="0" collapsed="false">
      <c r="A2679" s="8" t="s">
        <v>918</v>
      </c>
      <c r="B2679" s="8" t="s">
        <v>440</v>
      </c>
      <c r="C2679" s="19" t="n">
        <v>3</v>
      </c>
      <c r="D2679" s="19" t="n">
        <v>347.57</v>
      </c>
      <c r="E2679" s="19" t="n">
        <v>4</v>
      </c>
      <c r="F2679" s="19" t="n">
        <v>386.2</v>
      </c>
      <c r="G2679" s="8" t="str">
        <f aca="false">IFERROR(INDEX('TRANS'!$B:$B,MATCH($B2679,'TRANS'!$A:$A,0)),IFERROR(INDEX('TRANS'!$B:$B,MATCH(TRIM(SUBSTITUTE($B2679,CHAR(160)," ")),'TRANS'!$D:$D,0)),IFERROR(INDEX('Catalog'!$A:$A,MATCH($B2679,'Catalog'!$B:$B,0)),IFERROR(INDEX('Catalog'!$A:$A,MATCH(TRIM(SUBSTITUTE($B2679,CHAR(160)," ")),'Catalog'!$C:$C,0)),""))))</f>
        <v/>
      </c>
      <c r="H2679" s="8" t="str">
        <f aca="false">IFERROR(INDEX('TRANS'!$C:$C,MATCH($B2679,'TRANS'!$A:$A,0)),IFERROR(INDEX('Catalog'!$B:$B,MATCH($G2679,'Catalog'!$A:$A,0)),$B2679))</f>
        <v>SP302W 0</v>
      </c>
      <c r="I2679" s="8" t="str">
        <f aca="false">IF($G2679="","Unmatched","Matched")</f>
        <v>Unmatched</v>
      </c>
    </row>
    <row r="2680" customFormat="false" ht="15" hidden="false" customHeight="false" outlineLevel="0" collapsed="false">
      <c r="A2680" s="8" t="s">
        <v>918</v>
      </c>
      <c r="B2680" s="8" t="s">
        <v>529</v>
      </c>
      <c r="C2680" s="19" t="n">
        <v>17</v>
      </c>
      <c r="D2680" s="19" t="n">
        <v>1808.7</v>
      </c>
      <c r="E2680" s="19" t="n">
        <v>25</v>
      </c>
      <c r="F2680" s="19" t="n">
        <v>2680.53</v>
      </c>
      <c r="G2680" s="8" t="n">
        <f aca="false">IFERROR(INDEX('TRANS'!$B:$B,MATCH($B2680,'TRANS'!$A:$A,0)),IFERROR(INDEX('TRANS'!$B:$B,MATCH(TRIM(SUBSTITUTE($B2680,CHAR(160)," ")),'TRANS'!$D:$D,0)),IFERROR(INDEX('Catalog'!$A:$A,MATCH($B2680,'Catalog'!$B:$B,0)),IFERROR(INDEX('Catalog'!$A:$A,MATCH(TRIM(SUBSTITUTE($B2680,CHAR(160)," ")),'Catalog'!$C:$C,0)),""))))</f>
        <v>4408270</v>
      </c>
      <c r="H2680" s="8" t="str">
        <f aca="false">IFERROR(INDEX('TRANS'!$C:$C,MATCH($B2680,'TRANS'!$A:$A,0)),IFERROR(INDEX('Catalog'!$B:$B,MATCH($G2680,'Catalog'!$A:$A,0)),$B2680))</f>
        <v>ST11  חגורת בטן</v>
      </c>
      <c r="I2680" s="8" t="str">
        <f aca="false">IF($G2680="","Unmatched","Matched")</f>
        <v>Matched</v>
      </c>
    </row>
    <row r="2681" customFormat="false" ht="15" hidden="false" customHeight="false" outlineLevel="0" collapsed="false">
      <c r="A2681" s="8" t="s">
        <v>918</v>
      </c>
      <c r="B2681" s="8" t="s">
        <v>530</v>
      </c>
      <c r="C2681" s="19" t="n">
        <v>40</v>
      </c>
      <c r="D2681" s="19" t="n">
        <v>1979.25</v>
      </c>
      <c r="E2681" s="19" t="n">
        <v>37</v>
      </c>
      <c r="F2681" s="19" t="n">
        <v>1824.45</v>
      </c>
      <c r="G2681" s="8" t="n">
        <f aca="false">IFERROR(INDEX('TRANS'!$B:$B,MATCH($B2681,'TRANS'!$A:$A,0)),IFERROR(INDEX('TRANS'!$B:$B,MATCH(TRIM(SUBSTITUTE($B2681,CHAR(160)," ")),'TRANS'!$D:$D,0)),IFERROR(INDEX('Catalog'!$A:$A,MATCH($B2681,'Catalog'!$B:$B,0)),IFERROR(INDEX('Catalog'!$A:$A,MATCH(TRIM(SUBSTITUTE($B2681,CHAR(160)," ")),'Catalog'!$C:$C,0)),""))))</f>
        <v>4408268</v>
      </c>
      <c r="H2681" s="8" t="str">
        <f aca="false">IFERROR(INDEX('TRANS'!$C:$C,MATCH($B2681,'TRANS'!$A:$A,0)),IFERROR(INDEX('Catalog'!$B:$B,MATCH($G2681,'Catalog'!$A:$A,0)),$B2681))</f>
        <v>ST20 חבק יד</v>
      </c>
      <c r="I2681" s="8" t="str">
        <f aca="false">IF($G2681="","Unmatched","Matched")</f>
        <v>Matched</v>
      </c>
    </row>
    <row r="2682" customFormat="false" ht="15" hidden="false" customHeight="false" outlineLevel="0" collapsed="false">
      <c r="A2682" s="8" t="s">
        <v>918</v>
      </c>
      <c r="B2682" s="8" t="s">
        <v>531</v>
      </c>
      <c r="C2682" s="19" t="n">
        <v>119</v>
      </c>
      <c r="D2682" s="19" t="n">
        <v>6627.84</v>
      </c>
      <c r="E2682" s="19" t="n">
        <v>75</v>
      </c>
      <c r="F2682" s="19" t="n">
        <v>4330.42</v>
      </c>
      <c r="G2682" s="8" t="n">
        <f aca="false">IFERROR(INDEX('TRANS'!$B:$B,MATCH($B2682,'TRANS'!$A:$A,0)),IFERROR(INDEX('TRANS'!$B:$B,MATCH(TRIM(SUBSTITUTE($B2682,CHAR(160)," ")),'TRANS'!$D:$D,0)),IFERROR(INDEX('Catalog'!$A:$A,MATCH($B2682,'Catalog'!$B:$B,0)),IFERROR(INDEX('Catalog'!$A:$A,MATCH(TRIM(SUBSTITUTE($B2682,CHAR(160)," ")),'Catalog'!$C:$C,0)),""))))</f>
        <v>4408267</v>
      </c>
      <c r="H2682" s="8" t="str">
        <f aca="false">IFERROR(INDEX('TRANS'!$C:$C,MATCH($B2682,'TRANS'!$A:$A,0)),IFERROR(INDEX('Catalog'!$B:$B,MATCH($G2682,'Catalog'!$A:$A,0)),$B2682))</f>
        <v>ST25 חבק שורש לכף היד</v>
      </c>
      <c r="I2682" s="8" t="str">
        <f aca="false">IF($G2682="","Unmatched","Matched")</f>
        <v>Matched</v>
      </c>
    </row>
    <row r="2683" customFormat="false" ht="15" hidden="false" customHeight="false" outlineLevel="0" collapsed="false">
      <c r="A2683" s="8" t="s">
        <v>918</v>
      </c>
      <c r="B2683" s="8" t="s">
        <v>913</v>
      </c>
      <c r="C2683" s="19" t="n">
        <v>2</v>
      </c>
      <c r="D2683" s="19" t="n">
        <v>153.02</v>
      </c>
      <c r="E2683" s="19" t="n">
        <v>0</v>
      </c>
      <c r="F2683" s="19" t="n">
        <v>0</v>
      </c>
      <c r="G2683" s="8" t="str">
        <f aca="false">IFERROR(INDEX('TRANS'!$B:$B,MATCH($B2683,'TRANS'!$A:$A,0)),IFERROR(INDEX('TRANS'!$B:$B,MATCH(TRIM(SUBSTITUTE($B2683,CHAR(160)," ")),'TRANS'!$D:$D,0)),IFERROR(INDEX('Catalog'!$A:$A,MATCH($B2683,'Catalog'!$B:$B,0)),IFERROR(INDEX('Catalog'!$A:$A,MATCH(TRIM(SUBSTITUTE($B2683,CHAR(160)," ")),'Catalog'!$C:$C,0)),""))))</f>
        <v/>
      </c>
      <c r="H2683" s="8" t="str">
        <f aca="false">IFERROR(INDEX('TRANS'!$C:$C,MATCH($B2683,'TRANS'!$A:$A,0)),IFERROR(INDEX('Catalog'!$B:$B,MATCH($G2683,'Catalog'!$A:$A,0)),$B2683))</f>
        <v>KST27R 0</v>
      </c>
      <c r="I2683" s="8" t="str">
        <f aca="false">IF($G2683="","Unmatched","Matched")</f>
        <v>Unmatched</v>
      </c>
    </row>
    <row r="2684" customFormat="false" ht="15" hidden="false" customHeight="false" outlineLevel="0" collapsed="false">
      <c r="A2684" s="8" t="s">
        <v>918</v>
      </c>
      <c r="B2684" s="8" t="s">
        <v>532</v>
      </c>
      <c r="C2684" s="19" t="n">
        <v>27</v>
      </c>
      <c r="D2684" s="19" t="n">
        <v>2071.44</v>
      </c>
      <c r="E2684" s="19" t="n">
        <v>31</v>
      </c>
      <c r="F2684" s="19" t="n">
        <v>2565.21</v>
      </c>
      <c r="G2684" s="8" t="str">
        <f aca="false">IFERROR(INDEX('TRANS'!$B:$B,MATCH($B2684,'TRANS'!$A:$A,0)),IFERROR(INDEX('TRANS'!$B:$B,MATCH(TRIM(SUBSTITUTE($B2684,CHAR(160)," ")),'TRANS'!$D:$D,0)),IFERROR(INDEX('Catalog'!$A:$A,MATCH($B2684,'Catalog'!$B:$B,0)),IFERROR(INDEX('Catalog'!$A:$A,MATCH(TRIM(SUBSTITUTE($B2684,CHAR(160)," ")),'Catalog'!$C:$C,0)),""))))</f>
        <v/>
      </c>
      <c r="H2684" s="8" t="str">
        <f aca="false">IFERROR(INDEX('TRANS'!$C:$C,MATCH($B2684,'TRANS'!$A:$A,0)),IFERROR(INDEX('Catalog'!$B:$B,MATCH($G2684,'Catalog'!$A:$A,0)),$B2684))</f>
        <v>ST27L 0</v>
      </c>
      <c r="I2684" s="8" t="str">
        <f aca="false">IF($G2684="","Unmatched","Matched")</f>
        <v>Unmatched</v>
      </c>
    </row>
    <row r="2685" customFormat="false" ht="15" hidden="false" customHeight="false" outlineLevel="0" collapsed="false">
      <c r="A2685" s="8" t="s">
        <v>918</v>
      </c>
      <c r="B2685" s="8" t="s">
        <v>533</v>
      </c>
      <c r="C2685" s="19" t="n">
        <v>58</v>
      </c>
      <c r="D2685" s="19" t="n">
        <v>4518.28</v>
      </c>
      <c r="E2685" s="19" t="n">
        <v>35</v>
      </c>
      <c r="F2685" s="19" t="n">
        <v>2899.65</v>
      </c>
      <c r="G2685" s="8" t="str">
        <f aca="false">IFERROR(INDEX('TRANS'!$B:$B,MATCH($B2685,'TRANS'!$A:$A,0)),IFERROR(INDEX('TRANS'!$B:$B,MATCH(TRIM(SUBSTITUTE($B2685,CHAR(160)," ")),'TRANS'!$D:$D,0)),IFERROR(INDEX('Catalog'!$A:$A,MATCH($B2685,'Catalog'!$B:$B,0)),IFERROR(INDEX('Catalog'!$A:$A,MATCH(TRIM(SUBSTITUTE($B2685,CHAR(160)," ")),'Catalog'!$C:$C,0)),""))))</f>
        <v/>
      </c>
      <c r="H2685" s="8" t="str">
        <f aca="false">IFERROR(INDEX('TRANS'!$C:$C,MATCH($B2685,'TRANS'!$A:$A,0)),IFERROR(INDEX('Catalog'!$B:$B,MATCH($G2685,'Catalog'!$A:$A,0)),$B2685))</f>
        <v>ST27R 0</v>
      </c>
      <c r="I2685" s="8" t="str">
        <f aca="false">IF($G2685="","Unmatched","Matched")</f>
        <v>Unmatched</v>
      </c>
    </row>
    <row r="2686" customFormat="false" ht="15" hidden="false" customHeight="false" outlineLevel="0" collapsed="false">
      <c r="A2686" s="8" t="s">
        <v>918</v>
      </c>
      <c r="B2686" s="8" t="s">
        <v>534</v>
      </c>
      <c r="C2686" s="19" t="n">
        <v>139</v>
      </c>
      <c r="D2686" s="19" t="n">
        <v>9859.42</v>
      </c>
      <c r="E2686" s="19" t="n">
        <v>195</v>
      </c>
      <c r="F2686" s="19" t="n">
        <v>14388.34</v>
      </c>
      <c r="G2686" s="8" t="n">
        <f aca="false">IFERROR(INDEX('TRANS'!$B:$B,MATCH($B2686,'TRANS'!$A:$A,0)),IFERROR(INDEX('TRANS'!$B:$B,MATCH(TRIM(SUBSTITUTE($B2686,CHAR(160)," ")),'TRANS'!$D:$D,0)),IFERROR(INDEX('Catalog'!$A:$A,MATCH($B2686,'Catalog'!$B:$B,0)),IFERROR(INDEX('Catalog'!$A:$A,MATCH(TRIM(SUBSTITUTE($B2686,CHAR(160)," ")),'Catalog'!$C:$C,0)),""))))</f>
        <v>4415177</v>
      </c>
      <c r="H2686" s="8" t="str">
        <f aca="false">IFERROR(INDEX('TRANS'!$C:$C,MATCH($B2686,'TRANS'!$A:$A,0)),IFERROR(INDEX('Catalog'!$B:$B,MATCH($G2686,'Catalog'!$A:$A,0)),$B2686))</f>
        <v>ST28 סד אגודלי עם מוט תמיכה</v>
      </c>
      <c r="I2686" s="8" t="str">
        <f aca="false">IF($G2686="","Unmatched","Matched")</f>
        <v>Matched</v>
      </c>
    </row>
    <row r="2687" customFormat="false" ht="15" hidden="false" customHeight="false" outlineLevel="0" collapsed="false">
      <c r="A2687" s="8" t="s">
        <v>918</v>
      </c>
      <c r="B2687" s="8" t="s">
        <v>535</v>
      </c>
      <c r="C2687" s="19" t="n">
        <v>34</v>
      </c>
      <c r="D2687" s="19" t="n">
        <v>1954.84</v>
      </c>
      <c r="E2687" s="19" t="n">
        <v>28</v>
      </c>
      <c r="F2687" s="19" t="n">
        <v>1729.62</v>
      </c>
      <c r="G2687" s="8" t="n">
        <f aca="false">IFERROR(INDEX('TRANS'!$B:$B,MATCH($B2687,'TRANS'!$A:$A,0)),IFERROR(INDEX('TRANS'!$B:$B,MATCH(TRIM(SUBSTITUTE($B2687,CHAR(160)," ")),'TRANS'!$D:$D,0)),IFERROR(INDEX('Catalog'!$A:$A,MATCH($B2687,'Catalog'!$B:$B,0)),IFERROR(INDEX('Catalog'!$A:$A,MATCH(TRIM(SUBSTITUTE($B2687,CHAR(160)," ")),'Catalog'!$C:$C,0)),""))))</f>
        <v>4408269</v>
      </c>
      <c r="H2687" s="8" t="str">
        <f aca="false">IFERROR(INDEX('TRANS'!$C:$C,MATCH($B2687,'TRANS'!$A:$A,0)),IFERROR(INDEX('Catalog'!$B:$B,MATCH($G2687,'Catalog'!$A:$A,0)),$B2687))</f>
        <v>ST37 חבק לקרסול</v>
      </c>
      <c r="I2687" s="8" t="str">
        <f aca="false">IF($G2687="","Unmatched","Matched")</f>
        <v>Matched</v>
      </c>
    </row>
    <row r="2688" customFormat="false" ht="15" hidden="false" customHeight="false" outlineLevel="0" collapsed="false">
      <c r="A2688" s="8" t="s">
        <v>918</v>
      </c>
      <c r="B2688" s="8" t="s">
        <v>537</v>
      </c>
      <c r="C2688" s="19" t="n">
        <v>24</v>
      </c>
      <c r="D2688" s="19" t="n">
        <v>3685.84</v>
      </c>
      <c r="E2688" s="19" t="n">
        <v>23</v>
      </c>
      <c r="F2688" s="19" t="n">
        <v>3743.91</v>
      </c>
      <c r="G2688" s="8" t="n">
        <f aca="false">IFERROR(INDEX('TRANS'!$B:$B,MATCH($B2688,'TRANS'!$A:$A,0)),IFERROR(INDEX('TRANS'!$B:$B,MATCH(TRIM(SUBSTITUTE($B2688,CHAR(160)," ")),'TRANS'!$D:$D,0)),IFERROR(INDEX('Catalog'!$A:$A,MATCH($B2688,'Catalog'!$B:$B,0)),IFERROR(INDEX('Catalog'!$A:$A,MATCH(TRIM(SUBSTITUTE($B2688,CHAR(160)," ")),'Catalog'!$C:$C,0)),""))))</f>
        <v>4402011</v>
      </c>
      <c r="H2688" s="8" t="str">
        <f aca="false">IFERROR(INDEX('TRANS'!$C:$C,MATCH($B2688,'TRANS'!$A:$A,0)),IFERROR(INDEX('Catalog'!$B:$B,MATCH($G2688,'Catalog'!$A:$A,0)),$B2688))</f>
        <v>S-XLST422 מגן ברך+כרית ג'ל</v>
      </c>
      <c r="I2688" s="8" t="str">
        <f aca="false">IF($G2688="","Unmatched","Matched")</f>
        <v>Matched</v>
      </c>
    </row>
    <row r="2689" customFormat="false" ht="15" hidden="false" customHeight="false" outlineLevel="0" collapsed="false">
      <c r="A2689" s="8" t="s">
        <v>918</v>
      </c>
      <c r="B2689" s="8" t="s">
        <v>441</v>
      </c>
      <c r="C2689" s="19" t="n">
        <v>0</v>
      </c>
      <c r="D2689" s="19" t="n">
        <v>0</v>
      </c>
      <c r="E2689" s="19" t="n">
        <v>20</v>
      </c>
      <c r="F2689" s="19" t="n">
        <v>7780.4</v>
      </c>
      <c r="G2689" s="8" t="str">
        <f aca="false">IFERROR(INDEX('TRANS'!$B:$B,MATCH($B2689,'TRANS'!$A:$A,0)),IFERROR(INDEX('TRANS'!$B:$B,MATCH(TRIM(SUBSTITUTE($B2689,CHAR(160)," ")),'TRANS'!$D:$D,0)),IFERROR(INDEX('Catalog'!$A:$A,MATCH($B2689,'Catalog'!$B:$B,0)),IFERROR(INDEX('Catalog'!$A:$A,MATCH(TRIM(SUBSTITUTE($B2689,CHAR(160)," ")),'Catalog'!$C:$C,0)),""))))</f>
        <v/>
      </c>
      <c r="H2689" s="8" t="str">
        <f aca="false">IFERROR(INDEX('TRANS'!$C:$C,MATCH($B2689,'TRANS'!$A:$A,0)),IFERROR(INDEX('Catalog'!$B:$B,MATCH($G2689,'Catalog'!$A:$A,0)),$B2689))</f>
        <v>ST433D 0</v>
      </c>
      <c r="I2689" s="8" t="str">
        <f aca="false">IF($G2689="","Unmatched","Matched")</f>
        <v>Unmatched</v>
      </c>
    </row>
    <row r="2690" customFormat="false" ht="15" hidden="false" customHeight="false" outlineLevel="0" collapsed="false">
      <c r="A2690" s="8" t="s">
        <v>918</v>
      </c>
      <c r="B2690" s="8" t="s">
        <v>569</v>
      </c>
      <c r="C2690" s="19" t="n">
        <v>41</v>
      </c>
      <c r="D2690" s="19" t="n">
        <v>3157.24</v>
      </c>
      <c r="E2690" s="19" t="n">
        <v>27</v>
      </c>
      <c r="F2690" s="19" t="n">
        <v>2144.41</v>
      </c>
      <c r="G2690" s="8" t="str">
        <f aca="false">IFERROR(INDEX('TRANS'!$B:$B,MATCH($B2690,'TRANS'!$A:$A,0)),IFERROR(INDEX('TRANS'!$B:$B,MATCH(TRIM(SUBSTITUTE($B2690,CHAR(160)," ")),'TRANS'!$D:$D,0)),IFERROR(INDEX('Catalog'!$A:$A,MATCH($B2690,'Catalog'!$B:$B,0)),IFERROR(INDEX('Catalog'!$A:$A,MATCH(TRIM(SUBSTITUTE($B2690,CHAR(160)," ")),'Catalog'!$C:$C,0)),""))))</f>
        <v/>
      </c>
      <c r="H2690" s="8" t="str">
        <f aca="false">IFERROR(INDEX('TRANS'!$C:$C,MATCH($B2690,'TRANS'!$A:$A,0)),IFERROR(INDEX('Catalog'!$B:$B,MATCH($G2690,'Catalog'!$A:$A,0)),$B2690))</f>
        <v>ST45X 0</v>
      </c>
      <c r="I2690" s="8" t="str">
        <f aca="false">IF($G2690="","Unmatched","Matched")</f>
        <v>Unmatched</v>
      </c>
    </row>
    <row r="2691" customFormat="false" ht="15" hidden="false" customHeight="false" outlineLevel="0" collapsed="false">
      <c r="A2691" s="8" t="s">
        <v>918</v>
      </c>
      <c r="B2691" s="8" t="s">
        <v>539</v>
      </c>
      <c r="C2691" s="19" t="n">
        <v>1</v>
      </c>
      <c r="D2691" s="19" t="n">
        <v>68.56</v>
      </c>
      <c r="E2691" s="19" t="n">
        <v>0</v>
      </c>
      <c r="F2691" s="19" t="n">
        <v>0</v>
      </c>
      <c r="G2691" s="8" t="n">
        <f aca="false">IFERROR(INDEX('TRANS'!$B:$B,MATCH($B2691,'TRANS'!$A:$A,0)),IFERROR(INDEX('TRANS'!$B:$B,MATCH(TRIM(SUBSTITUTE($B2691,CHAR(160)," ")),'TRANS'!$D:$D,0)),IFERROR(INDEX('Catalog'!$A:$A,MATCH($B2691,'Catalog'!$B:$B,0)),IFERROR(INDEX('Catalog'!$A:$A,MATCH(TRIM(SUBSTITUTE($B2691,CHAR(160)," ")),'Catalog'!$C:$C,0)),""))))</f>
        <v>4413533</v>
      </c>
      <c r="H2691" s="8" t="str">
        <f aca="false">IFERROR(INDEX('TRANS'!$C:$C,MATCH($B2691,'TRANS'!$A:$A,0)),IFERROR(INDEX('Catalog'!$B:$B,MATCH($G2691,'Catalog'!$A:$A,0)),$B2691))</f>
        <v>ST49 מגן ירך</v>
      </c>
      <c r="I2691" s="8" t="str">
        <f aca="false">IF($G2691="","Unmatched","Matched")</f>
        <v>Matched</v>
      </c>
    </row>
    <row r="2692" customFormat="false" ht="15" hidden="false" customHeight="false" outlineLevel="0" collapsed="false">
      <c r="A2692" s="8" t="s">
        <v>918</v>
      </c>
      <c r="B2692" s="8" t="s">
        <v>311</v>
      </c>
      <c r="C2692" s="19" t="n">
        <v>5</v>
      </c>
      <c r="D2692" s="19" t="n">
        <v>893.39</v>
      </c>
      <c r="E2692" s="19" t="n">
        <v>13</v>
      </c>
      <c r="F2692" s="19" t="n">
        <v>2539.63</v>
      </c>
      <c r="G2692" s="8" t="str">
        <f aca="false">IFERROR(INDEX('TRANS'!$B:$B,MATCH($B2692,'TRANS'!$A:$A,0)),IFERROR(INDEX('TRANS'!$B:$B,MATCH(TRIM(SUBSTITUTE($B2692,CHAR(160)," ")),'TRANS'!$D:$D,0)),IFERROR(INDEX('Catalog'!$A:$A,MATCH($B2692,'Catalog'!$B:$B,0)),IFERROR(INDEX('Catalog'!$A:$A,MATCH(TRIM(SUBSTITUTE($B2692,CHAR(160)," ")),'Catalog'!$C:$C,0)),""))))</f>
        <v/>
      </c>
      <c r="H2692" s="8" t="str">
        <f aca="false">IFERROR(INDEX('TRANS'!$C:$C,MATCH($B2692,'TRANS'!$A:$A,0)),IFERROR(INDEX('Catalog'!$B:$B,MATCH($G2692,'Catalog'!$A:$A,0)),$B2692))</f>
        <v>T03 L</v>
      </c>
      <c r="I2692" s="8" t="str">
        <f aca="false">IF($G2692="","Unmatched","Matched")</f>
        <v>Unmatched</v>
      </c>
    </row>
    <row r="2693" customFormat="false" ht="15" hidden="false" customHeight="false" outlineLevel="0" collapsed="false">
      <c r="A2693" s="8" t="s">
        <v>918</v>
      </c>
      <c r="B2693" s="8" t="s">
        <v>312</v>
      </c>
      <c r="C2693" s="19" t="n">
        <v>7</v>
      </c>
      <c r="D2693" s="19" t="n">
        <v>1304.95</v>
      </c>
      <c r="E2693" s="19" t="n">
        <v>7</v>
      </c>
      <c r="F2693" s="19" t="n">
        <v>1365.18</v>
      </c>
      <c r="G2693" s="8" t="str">
        <f aca="false">IFERROR(INDEX('TRANS'!$B:$B,MATCH($B2693,'TRANS'!$A:$A,0)),IFERROR(INDEX('TRANS'!$B:$B,MATCH(TRIM(SUBSTITUTE($B2693,CHAR(160)," ")),'TRANS'!$D:$D,0)),IFERROR(INDEX('Catalog'!$A:$A,MATCH($B2693,'Catalog'!$B:$B,0)),IFERROR(INDEX('Catalog'!$A:$A,MATCH(TRIM(SUBSTITUTE($B2693,CHAR(160)," ")),'Catalog'!$C:$C,0)),""))))</f>
        <v/>
      </c>
      <c r="H2693" s="8" t="str">
        <f aca="false">IFERROR(INDEX('TRANS'!$C:$C,MATCH($B2693,'TRANS'!$A:$A,0)),IFERROR(INDEX('Catalog'!$B:$B,MATCH($G2693,'Catalog'!$A:$A,0)),$B2693))</f>
        <v>T03 M</v>
      </c>
      <c r="I2693" s="8" t="str">
        <f aca="false">IF($G2693="","Unmatched","Matched")</f>
        <v>Unmatched</v>
      </c>
    </row>
    <row r="2694" customFormat="false" ht="15" hidden="false" customHeight="false" outlineLevel="0" collapsed="false">
      <c r="A2694" s="8" t="s">
        <v>918</v>
      </c>
      <c r="B2694" s="8" t="s">
        <v>1002</v>
      </c>
      <c r="C2694" s="19" t="n">
        <v>1</v>
      </c>
      <c r="D2694" s="19" t="n">
        <v>200.76</v>
      </c>
      <c r="E2694" s="19" t="n">
        <v>4</v>
      </c>
      <c r="F2694" s="19" t="n">
        <v>803.05</v>
      </c>
      <c r="G2694" s="8" t="str">
        <f aca="false">IFERROR(INDEX('TRANS'!$B:$B,MATCH($B2694,'TRANS'!$A:$A,0)),IFERROR(INDEX('TRANS'!$B:$B,MATCH(TRIM(SUBSTITUTE($B2694,CHAR(160)," ")),'TRANS'!$D:$D,0)),IFERROR(INDEX('Catalog'!$A:$A,MATCH($B2694,'Catalog'!$B:$B,0)),IFERROR(INDEX('Catalog'!$A:$A,MATCH(TRIM(SUBSTITUTE($B2694,CHAR(160)," ")),'Catalog'!$C:$C,0)),""))))</f>
        <v/>
      </c>
      <c r="H2694" s="8" t="str">
        <f aca="false">IFERROR(INDEX('TRANS'!$C:$C,MATCH($B2694,'TRANS'!$A:$A,0)),IFERROR(INDEX('Catalog'!$B:$B,MATCH($G2694,'Catalog'!$A:$A,0)),$B2694))</f>
        <v>T03 S</v>
      </c>
      <c r="I2694" s="8" t="str">
        <f aca="false">IF($G2694="","Unmatched","Matched")</f>
        <v>Unmatched</v>
      </c>
    </row>
    <row r="2695" customFormat="false" ht="15" hidden="false" customHeight="false" outlineLevel="0" collapsed="false">
      <c r="A2695" s="8" t="s">
        <v>918</v>
      </c>
      <c r="B2695" s="8" t="s">
        <v>442</v>
      </c>
      <c r="C2695" s="19" t="n">
        <v>0</v>
      </c>
      <c r="D2695" s="19" t="n">
        <v>0</v>
      </c>
      <c r="E2695" s="19" t="n">
        <v>6</v>
      </c>
      <c r="F2695" s="19" t="n">
        <v>1204.57</v>
      </c>
      <c r="G2695" s="8" t="str">
        <f aca="false">IFERROR(INDEX('TRANS'!$B:$B,MATCH($B2695,'TRANS'!$A:$A,0)),IFERROR(INDEX('TRANS'!$B:$B,MATCH(TRIM(SUBSTITUTE($B2695,CHAR(160)," ")),'TRANS'!$D:$D,0)),IFERROR(INDEX('Catalog'!$A:$A,MATCH($B2695,'Catalog'!$B:$B,0)),IFERROR(INDEX('Catalog'!$A:$A,MATCH(TRIM(SUBSTITUTE($B2695,CHAR(160)," ")),'Catalog'!$C:$C,0)),""))))</f>
        <v/>
      </c>
      <c r="H2695" s="8" t="str">
        <f aca="false">IFERROR(INDEX('TRANS'!$C:$C,MATCH($B2695,'TRANS'!$A:$A,0)),IFERROR(INDEX('Catalog'!$B:$B,MATCH($G2695,'Catalog'!$A:$A,0)),$B2695))</f>
        <v>T03 XL</v>
      </c>
      <c r="I2695" s="8" t="str">
        <f aca="false">IF($G2695="","Unmatched","Matched")</f>
        <v>Unmatched</v>
      </c>
    </row>
    <row r="2696" customFormat="false" ht="15" hidden="false" customHeight="false" outlineLevel="0" collapsed="false">
      <c r="A2696" s="8" t="s">
        <v>918</v>
      </c>
      <c r="B2696" s="8" t="s">
        <v>313</v>
      </c>
      <c r="C2696" s="19" t="n">
        <v>6</v>
      </c>
      <c r="D2696" s="19" t="n">
        <v>1114.23</v>
      </c>
      <c r="E2696" s="19" t="n">
        <v>5</v>
      </c>
      <c r="F2696" s="19" t="n">
        <v>923.51</v>
      </c>
      <c r="G2696" s="8" t="str">
        <f aca="false">IFERROR(INDEX('TRANS'!$B:$B,MATCH($B2696,'TRANS'!$A:$A,0)),IFERROR(INDEX('TRANS'!$B:$B,MATCH(TRIM(SUBSTITUTE($B2696,CHAR(160)," ")),'TRANS'!$D:$D,0)),IFERROR(INDEX('Catalog'!$A:$A,MATCH($B2696,'Catalog'!$B:$B,0)),IFERROR(INDEX('Catalog'!$A:$A,MATCH(TRIM(SUBSTITUTE($B2696,CHAR(160)," ")),'Catalog'!$C:$C,0)),""))))</f>
        <v/>
      </c>
      <c r="H2696" s="8" t="str">
        <f aca="false">IFERROR(INDEX('TRANS'!$C:$C,MATCH($B2696,'TRANS'!$A:$A,0)),IFERROR(INDEX('Catalog'!$B:$B,MATCH($G2696,'Catalog'!$A:$A,0)),$B2696))</f>
        <v>T03 XXL</v>
      </c>
      <c r="I2696" s="8" t="str">
        <f aca="false">IF($G2696="","Unmatched","Matched")</f>
        <v>Unmatched</v>
      </c>
    </row>
    <row r="2697" customFormat="false" ht="15" hidden="false" customHeight="false" outlineLevel="0" collapsed="false">
      <c r="A2697" s="8" t="s">
        <v>918</v>
      </c>
      <c r="B2697" s="8" t="s">
        <v>753</v>
      </c>
      <c r="C2697" s="19" t="n">
        <v>4</v>
      </c>
      <c r="D2697" s="19" t="n">
        <v>633.06</v>
      </c>
      <c r="E2697" s="19" t="n">
        <v>0</v>
      </c>
      <c r="F2697" s="19" t="n">
        <v>0</v>
      </c>
      <c r="G2697" s="8" t="n">
        <f aca="false">IFERROR(INDEX('TRANS'!$B:$B,MATCH($B2697,'TRANS'!$A:$A,0)),IFERROR(INDEX('TRANS'!$B:$B,MATCH(TRIM(SUBSTITUTE($B2697,CHAR(160)," ")),'TRANS'!$D:$D,0)),IFERROR(INDEX('Catalog'!$A:$A,MATCH($B2697,'Catalog'!$B:$B,0)),IFERROR(INDEX('Catalog'!$A:$A,MATCH(TRIM(SUBSTITUTE($B2697,CHAR(160)," ")),'Catalog'!$C:$C,0)),""))))</f>
        <v>4408091</v>
      </c>
      <c r="H2697" s="8" t="str">
        <f aca="false">IFERROR(INDEX('TRANS'!$C:$C,MATCH($B2697,'TRANS'!$A:$A,0)),IFERROR(INDEX('Catalog'!$B:$B,MATCH($G2697,'Catalog'!$A:$A,0)),$B2697))</f>
        <v>T11C M  חגורת גב פוג'יאמה</v>
      </c>
      <c r="I2697" s="8" t="str">
        <f aca="false">IF($G2697="","Unmatched","Matched")</f>
        <v>Matched</v>
      </c>
    </row>
    <row r="2698" customFormat="false" ht="15" hidden="false" customHeight="false" outlineLevel="0" collapsed="false">
      <c r="A2698" s="8" t="s">
        <v>918</v>
      </c>
      <c r="B2698" s="8" t="s">
        <v>314</v>
      </c>
      <c r="C2698" s="19" t="n">
        <v>4</v>
      </c>
      <c r="D2698" s="19" t="n">
        <v>624.51</v>
      </c>
      <c r="E2698" s="19" t="n">
        <v>1</v>
      </c>
      <c r="F2698" s="19" t="n">
        <v>171.1</v>
      </c>
      <c r="G2698" s="8" t="n">
        <f aca="false">IFERROR(INDEX('TRANS'!$B:$B,MATCH($B2698,'TRANS'!$A:$A,0)),IFERROR(INDEX('TRANS'!$B:$B,MATCH(TRIM(SUBSTITUTE($B2698,CHAR(160)," ")),'TRANS'!$D:$D,0)),IFERROR(INDEX('Catalog'!$A:$A,MATCH($B2698,'Catalog'!$B:$B,0)),IFERROR(INDEX('Catalog'!$A:$A,MATCH(TRIM(SUBSTITUTE($B2698,CHAR(160)," ")),'Catalog'!$C:$C,0)),""))))</f>
        <v>4408092</v>
      </c>
      <c r="H2698" s="8" t="str">
        <f aca="false">IFERROR(INDEX('TRANS'!$C:$C,MATCH($B2698,'TRANS'!$A:$A,0)),IFERROR(INDEX('Catalog'!$B:$B,MATCH($G2698,'Catalog'!$A:$A,0)),$B2698))</f>
        <v>T11C XL חגורת גב פוג'יאמה</v>
      </c>
      <c r="I2698" s="8" t="str">
        <f aca="false">IF($G2698="","Unmatched","Matched")</f>
        <v>Matched</v>
      </c>
    </row>
    <row r="2699" customFormat="false" ht="15" hidden="false" customHeight="false" outlineLevel="0" collapsed="false">
      <c r="A2699" s="8" t="s">
        <v>918</v>
      </c>
      <c r="B2699" s="8" t="s">
        <v>55</v>
      </c>
      <c r="C2699" s="19" t="n">
        <v>5</v>
      </c>
      <c r="D2699" s="19" t="n">
        <v>855.5</v>
      </c>
      <c r="E2699" s="19" t="n">
        <v>2</v>
      </c>
      <c r="F2699" s="19" t="n">
        <v>422.65</v>
      </c>
      <c r="G2699" s="8" t="n">
        <f aca="false">IFERROR(INDEX('TRANS'!$B:$B,MATCH($B2699,'TRANS'!$A:$A,0)),IFERROR(INDEX('TRANS'!$B:$B,MATCH(TRIM(SUBSTITUTE($B2699,CHAR(160)," ")),'TRANS'!$D:$D,0)),IFERROR(INDEX('Catalog'!$A:$A,MATCH($B2699,'Catalog'!$B:$B,0)),IFERROR(INDEX('Catalog'!$A:$A,MATCH(TRIM(SUBSTITUTE($B2699,CHAR(160)," ")),'Catalog'!$C:$C,0)),""))))</f>
        <v>4408093</v>
      </c>
      <c r="H2699" s="8" t="str">
        <f aca="false">IFERROR(INDEX('TRANS'!$C:$C,MATCH($B2699,'TRANS'!$A:$A,0)),IFERROR(INDEX('Catalog'!$B:$B,MATCH($G2699,'Catalog'!$A:$A,0)),$B2699))</f>
        <v>T11C XXL חגורת גב פוג'יאמה</v>
      </c>
      <c r="I2699" s="8" t="str">
        <f aca="false">IF($G2699="","Unmatched","Matched")</f>
        <v>Matched</v>
      </c>
    </row>
    <row r="2700" customFormat="false" ht="15" hidden="false" customHeight="false" outlineLevel="0" collapsed="false">
      <c r="A2700" s="8" t="s">
        <v>918</v>
      </c>
      <c r="B2700" s="8" t="s">
        <v>315</v>
      </c>
      <c r="C2700" s="19" t="n">
        <v>5</v>
      </c>
      <c r="D2700" s="19" t="n">
        <v>295.88</v>
      </c>
      <c r="E2700" s="19" t="n">
        <v>10</v>
      </c>
      <c r="F2700" s="19" t="n">
        <v>591.78</v>
      </c>
      <c r="G2700" s="8" t="n">
        <f aca="false">IFERROR(INDEX('TRANS'!$B:$B,MATCH($B2700,'TRANS'!$A:$A,0)),IFERROR(INDEX('TRANS'!$B:$B,MATCH(TRIM(SUBSTITUTE($B2700,CHAR(160)," ")),'TRANS'!$D:$D,0)),IFERROR(INDEX('Catalog'!$A:$A,MATCH($B2700,'Catalog'!$B:$B,0)),IFERROR(INDEX('Catalog'!$A:$A,MATCH(TRIM(SUBSTITUTE($B2700,CHAR(160)," ")),'Catalog'!$C:$C,0)),""))))</f>
        <v>4408095</v>
      </c>
      <c r="H2700" s="8" t="str">
        <f aca="false">IFERROR(INDEX('TRANS'!$C:$C,MATCH($B2700,'TRANS'!$A:$A,0)),IFERROR(INDEX('Catalog'!$B:$B,MATCH($G2700,'Catalog'!$A:$A,0)),$B2700))</f>
        <v>T20 L-XL  חבק יד עם צמדן</v>
      </c>
      <c r="I2700" s="8" t="str">
        <f aca="false">IF($G2700="","Unmatched","Matched")</f>
        <v>Matched</v>
      </c>
    </row>
    <row r="2701" customFormat="false" ht="15" hidden="false" customHeight="false" outlineLevel="0" collapsed="false">
      <c r="A2701" s="8" t="s">
        <v>918</v>
      </c>
      <c r="B2701" s="8" t="s">
        <v>704</v>
      </c>
      <c r="C2701" s="19" t="n">
        <v>8</v>
      </c>
      <c r="D2701" s="19" t="n">
        <v>482.4</v>
      </c>
      <c r="E2701" s="19" t="n">
        <v>0</v>
      </c>
      <c r="F2701" s="19" t="n">
        <v>0</v>
      </c>
      <c r="G2701" s="8" t="n">
        <f aca="false">IFERROR(INDEX('TRANS'!$B:$B,MATCH($B2701,'TRANS'!$A:$A,0)),IFERROR(INDEX('TRANS'!$B:$B,MATCH(TRIM(SUBSTITUTE($B2701,CHAR(160)," ")),'TRANS'!$D:$D,0)),IFERROR(INDEX('Catalog'!$A:$A,MATCH($B2701,'Catalog'!$B:$B,0)),IFERROR(INDEX('Catalog'!$A:$A,MATCH(TRIM(SUBSTITUTE($B2701,CHAR(160)," ")),'Catalog'!$C:$C,0)),""))))</f>
        <v>4408094</v>
      </c>
      <c r="H2701" s="8" t="str">
        <f aca="false">IFERROR(INDEX('TRANS'!$C:$C,MATCH($B2701,'TRANS'!$A:$A,0)),IFERROR(INDEX('Catalog'!$B:$B,MATCH($G2701,'Catalog'!$A:$A,0)),$B2701))</f>
        <v>T20 S-M חבק יד עם צמדן</v>
      </c>
      <c r="I2701" s="8" t="str">
        <f aca="false">IF($G2701="","Unmatched","Matched")</f>
        <v>Matched</v>
      </c>
    </row>
    <row r="2702" customFormat="false" ht="15" hidden="false" customHeight="false" outlineLevel="0" collapsed="false">
      <c r="A2702" s="8" t="s">
        <v>918</v>
      </c>
      <c r="B2702" s="8" t="s">
        <v>1003</v>
      </c>
      <c r="C2702" s="19" t="n">
        <v>1</v>
      </c>
      <c r="D2702" s="19" t="n">
        <v>51.46</v>
      </c>
      <c r="E2702" s="19" t="n">
        <v>0</v>
      </c>
      <c r="F2702" s="19" t="n">
        <v>0</v>
      </c>
      <c r="G2702" s="8" t="str">
        <f aca="false">IFERROR(INDEX('TRANS'!$B:$B,MATCH($B2702,'TRANS'!$A:$A,0)),IFERROR(INDEX('TRANS'!$B:$B,MATCH(TRIM(SUBSTITUTE($B2702,CHAR(160)," ")),'TRANS'!$D:$D,0)),IFERROR(INDEX('Catalog'!$A:$A,MATCH($B2702,'Catalog'!$B:$B,0)),IFERROR(INDEX('Catalog'!$A:$A,MATCH(TRIM(SUBSTITUTE($B2702,CHAR(160)," ")),'Catalog'!$C:$C,0)),""))))</f>
        <v/>
      </c>
      <c r="H2702" s="8" t="str">
        <f aca="false">IFERROR(INDEX('TRANS'!$C:$C,MATCH($B2702,'TRANS'!$A:$A,0)),IFERROR(INDEX('Catalog'!$B:$B,MATCH($G2702,'Catalog'!$A:$A,0)),$B2702))</f>
        <v>T20C XS</v>
      </c>
      <c r="I2702" s="8" t="str">
        <f aca="false">IF($G2702="","Unmatched","Matched")</f>
        <v>Unmatched</v>
      </c>
    </row>
    <row r="2703" customFormat="false" ht="15" hidden="false" customHeight="false" outlineLevel="0" collapsed="false">
      <c r="A2703" s="8" t="s">
        <v>918</v>
      </c>
      <c r="B2703" s="8" t="s">
        <v>316</v>
      </c>
      <c r="C2703" s="19" t="n">
        <v>2</v>
      </c>
      <c r="D2703" s="19" t="n">
        <v>138.54</v>
      </c>
      <c r="E2703" s="19" t="n">
        <v>1</v>
      </c>
      <c r="F2703" s="19" t="n">
        <v>57.9</v>
      </c>
      <c r="G2703" s="8" t="n">
        <f aca="false">IFERROR(INDEX('TRANS'!$B:$B,MATCH($B2703,'TRANS'!$A:$A,0)),IFERROR(INDEX('TRANS'!$B:$B,MATCH(TRIM(SUBSTITUTE($B2703,CHAR(160)," ")),'TRANS'!$D:$D,0)),IFERROR(INDEX('Catalog'!$A:$A,MATCH($B2703,'Catalog'!$B:$B,0)),IFERROR(INDEX('Catalog'!$A:$A,MATCH(TRIM(SUBSTITUTE($B2703,CHAR(160)," ")),'Catalog'!$C:$C,0)),""))))</f>
        <v>4408097</v>
      </c>
      <c r="H2703" s="8" t="str">
        <f aca="false">IFERROR(INDEX('TRANS'!$C:$C,MATCH($B2703,'TRANS'!$A:$A,0)),IFERROR(INDEX('Catalog'!$B:$B,MATCH($G2703,'Catalog'!$A:$A,0)),$B2703))</f>
        <v>T20C L-XL חבק יד עם צמדן חום</v>
      </c>
      <c r="I2703" s="8" t="str">
        <f aca="false">IF($G2703="","Unmatched","Matched")</f>
        <v>Matched</v>
      </c>
    </row>
    <row r="2704" customFormat="false" ht="15" hidden="false" customHeight="false" outlineLevel="0" collapsed="false">
      <c r="A2704" s="8" t="s">
        <v>918</v>
      </c>
      <c r="B2704" s="8" t="s">
        <v>317</v>
      </c>
      <c r="C2704" s="19" t="n">
        <v>3</v>
      </c>
      <c r="D2704" s="19" t="n">
        <v>180.1</v>
      </c>
      <c r="E2704" s="19" t="n">
        <v>2</v>
      </c>
      <c r="F2704" s="19" t="n">
        <v>128.64</v>
      </c>
      <c r="G2704" s="8" t="n">
        <f aca="false">IFERROR(INDEX('TRANS'!$B:$B,MATCH($B2704,'TRANS'!$A:$A,0)),IFERROR(INDEX('TRANS'!$B:$B,MATCH(TRIM(SUBSTITUTE($B2704,CHAR(160)," ")),'TRANS'!$D:$D,0)),IFERROR(INDEX('Catalog'!$A:$A,MATCH($B2704,'Catalog'!$B:$B,0)),IFERROR(INDEX('Catalog'!$A:$A,MATCH(TRIM(SUBSTITUTE($B2704,CHAR(160)," ")),'Catalog'!$C:$C,0)),""))))</f>
        <v>4408096</v>
      </c>
      <c r="H2704" s="8" t="str">
        <f aca="false">IFERROR(INDEX('TRANS'!$C:$C,MATCH($B2704,'TRANS'!$A:$A,0)),IFERROR(INDEX('Catalog'!$B:$B,MATCH($G2704,'Catalog'!$A:$A,0)),$B2704))</f>
        <v>T20C S-M חבק יד עם צמדןחום</v>
      </c>
      <c r="I2704" s="8" t="str">
        <f aca="false">IF($G2704="","Unmatched","Matched")</f>
        <v>Matched</v>
      </c>
    </row>
    <row r="2705" customFormat="false" ht="15" hidden="false" customHeight="false" outlineLevel="0" collapsed="false">
      <c r="A2705" s="8" t="s">
        <v>918</v>
      </c>
      <c r="B2705" s="8" t="s">
        <v>318</v>
      </c>
      <c r="C2705" s="19" t="n">
        <v>15</v>
      </c>
      <c r="D2705" s="19" t="n">
        <v>1157.32</v>
      </c>
      <c r="E2705" s="19" t="n">
        <v>11</v>
      </c>
      <c r="F2705" s="19" t="n">
        <v>905.85</v>
      </c>
      <c r="G2705" s="8" t="n">
        <f aca="false">IFERROR(INDEX('TRANS'!$B:$B,MATCH($B2705,'TRANS'!$A:$A,0)),IFERROR(INDEX('TRANS'!$B:$B,MATCH(TRIM(SUBSTITUTE($B2705,CHAR(160)," ")),'TRANS'!$D:$D,0)),IFERROR(INDEX('Catalog'!$A:$A,MATCH($B2705,'Catalog'!$B:$B,0)),IFERROR(INDEX('Catalog'!$A:$A,MATCH(TRIM(SUBSTITUTE($B2705,CHAR(160)," ")),'Catalog'!$C:$C,0)),""))))</f>
        <v>4408098</v>
      </c>
      <c r="H2705" s="8" t="str">
        <f aca="false">IFERROR(INDEX('TRANS'!$C:$C,MATCH($B2705,'TRANS'!$A:$A,0)),IFERROR(INDEX('Catalog'!$B:$B,MATCH($G2705,'Catalog'!$A:$A,0)),$B2705))</f>
        <v>T25-חבק יד אגודלי</v>
      </c>
      <c r="I2705" s="8" t="str">
        <f aca="false">IF($G2705="","Unmatched","Matched")</f>
        <v>Matched</v>
      </c>
    </row>
    <row r="2706" customFormat="false" ht="15" hidden="false" customHeight="false" outlineLevel="0" collapsed="false">
      <c r="A2706" s="8" t="s">
        <v>918</v>
      </c>
      <c r="B2706" s="8" t="s">
        <v>443</v>
      </c>
      <c r="C2706" s="19" t="n">
        <v>29</v>
      </c>
      <c r="D2706" s="19" t="n">
        <v>2256.45</v>
      </c>
      <c r="E2706" s="19" t="n">
        <v>17</v>
      </c>
      <c r="F2706" s="19" t="n">
        <v>1392.68</v>
      </c>
      <c r="G2706" s="8" t="n">
        <f aca="false">IFERROR(INDEX('TRANS'!$B:$B,MATCH($B2706,'TRANS'!$A:$A,0)),IFERROR(INDEX('TRANS'!$B:$B,MATCH(TRIM(SUBSTITUTE($B2706,CHAR(160)," ")),'TRANS'!$D:$D,0)),IFERROR(INDEX('Catalog'!$A:$A,MATCH($B2706,'Catalog'!$B:$B,0)),IFERROR(INDEX('Catalog'!$A:$A,MATCH(TRIM(SUBSTITUTE($B2706,CHAR(160)," ")),'Catalog'!$C:$C,0)),""))))</f>
        <v>4408264</v>
      </c>
      <c r="H2706" s="8" t="str">
        <f aca="false">IFERROR(INDEX('TRANS'!$C:$C,MATCH($B2706,'TRANS'!$A:$A,0)),IFERROR(INDEX('Catalog'!$B:$B,MATCH($G2706,'Catalog'!$A:$A,0)),$B2706))</f>
        <v>T25B   חבק יד אגודלי</v>
      </c>
      <c r="I2706" s="8" t="str">
        <f aca="false">IF($G2706="","Unmatched","Matched")</f>
        <v>Matched</v>
      </c>
    </row>
    <row r="2707" customFormat="false" ht="15" hidden="false" customHeight="false" outlineLevel="0" collapsed="false">
      <c r="A2707" s="8" t="s">
        <v>918</v>
      </c>
      <c r="B2707" s="8" t="s">
        <v>542</v>
      </c>
      <c r="C2707" s="19" t="n">
        <v>16</v>
      </c>
      <c r="D2707" s="19" t="n">
        <v>1155.27</v>
      </c>
      <c r="E2707" s="19" t="n">
        <v>9</v>
      </c>
      <c r="F2707" s="19" t="n">
        <v>715.41</v>
      </c>
      <c r="G2707" s="8" t="n">
        <f aca="false">IFERROR(INDEX('TRANS'!$B:$B,MATCH($B2707,'TRANS'!$A:$A,0)),IFERROR(INDEX('TRANS'!$B:$B,MATCH(TRIM(SUBSTITUTE($B2707,CHAR(160)," ")),'TRANS'!$D:$D,0)),IFERROR(INDEX('Catalog'!$A:$A,MATCH($B2707,'Catalog'!$B:$B,0)),IFERROR(INDEX('Catalog'!$A:$A,MATCH(TRIM(SUBSTITUTE($B2707,CHAR(160)," ")),'Catalog'!$C:$C,0)),""))))</f>
        <v>4408099</v>
      </c>
      <c r="H2707" s="8" t="str">
        <f aca="false">IFERROR(INDEX('TRANS'!$C:$C,MATCH($B2707,'TRANS'!$A:$A,0)),IFERROR(INDEX('Catalog'!$B:$B,MATCH($G2707,'Catalog'!$A:$A,0)),$B2707))</f>
        <v>T25C-חבק יד אגודלי</v>
      </c>
      <c r="I2707" s="8" t="str">
        <f aca="false">IF($G2707="","Unmatched","Matched")</f>
        <v>Matched</v>
      </c>
    </row>
    <row r="2708" customFormat="false" ht="15" hidden="false" customHeight="false" outlineLevel="0" collapsed="false">
      <c r="A2708" s="8" t="s">
        <v>918</v>
      </c>
      <c r="B2708" s="8" t="s">
        <v>320</v>
      </c>
      <c r="C2708" s="19" t="n">
        <v>3</v>
      </c>
      <c r="D2708" s="19" t="n">
        <v>381.09</v>
      </c>
      <c r="E2708" s="19" t="n">
        <v>2</v>
      </c>
      <c r="F2708" s="19" t="n">
        <v>241.37</v>
      </c>
      <c r="G2708" s="8" t="str">
        <f aca="false">IFERROR(INDEX('TRANS'!$B:$B,MATCH($B2708,'TRANS'!$A:$A,0)),IFERROR(INDEX('TRANS'!$B:$B,MATCH(TRIM(SUBSTITUTE($B2708,CHAR(160)," ")),'TRANS'!$D:$D,0)),IFERROR(INDEX('Catalog'!$A:$A,MATCH($B2708,'Catalog'!$B:$B,0)),IFERROR(INDEX('Catalog'!$A:$A,MATCH(TRIM(SUBSTITUTE($B2708,CHAR(160)," ")),'Catalog'!$C:$C,0)),""))))</f>
        <v/>
      </c>
      <c r="H2708" s="8" t="str">
        <f aca="false">IFERROR(INDEX('TRANS'!$C:$C,MATCH($B2708,'TRANS'!$A:$A,0)),IFERROR(INDEX('Catalog'!$B:$B,MATCH($G2708,'Catalog'!$A:$A,0)),$B2708))</f>
        <v>T28A XS</v>
      </c>
      <c r="I2708" s="8" t="str">
        <f aca="false">IF($G2708="","Unmatched","Matched")</f>
        <v>Unmatched</v>
      </c>
    </row>
    <row r="2709" customFormat="false" ht="15" hidden="false" customHeight="false" outlineLevel="0" collapsed="false">
      <c r="A2709" s="8" t="s">
        <v>918</v>
      </c>
      <c r="B2709" s="8" t="s">
        <v>798</v>
      </c>
      <c r="C2709" s="19" t="n">
        <v>1</v>
      </c>
      <c r="D2709" s="19" t="n">
        <v>127.03</v>
      </c>
      <c r="E2709" s="19" t="n">
        <v>0</v>
      </c>
      <c r="F2709" s="19" t="n">
        <v>0</v>
      </c>
      <c r="G2709" s="8" t="str">
        <f aca="false">IFERROR(INDEX('TRANS'!$B:$B,MATCH($B2709,'TRANS'!$A:$A,0)),IFERROR(INDEX('TRANS'!$B:$B,MATCH(TRIM(SUBSTITUTE($B2709,CHAR(160)," ")),'TRANS'!$D:$D,0)),IFERROR(INDEX('Catalog'!$A:$A,MATCH($B2709,'Catalog'!$B:$B,0)),IFERROR(INDEX('Catalog'!$A:$A,MATCH(TRIM(SUBSTITUTE($B2709,CHAR(160)," ")),'Catalog'!$C:$C,0)),""))))</f>
        <v/>
      </c>
      <c r="H2709" s="8" t="str">
        <f aca="false">IFERROR(INDEX('TRANS'!$C:$C,MATCH($B2709,'TRANS'!$A:$A,0)),IFERROR(INDEX('Catalog'!$B:$B,MATCH($G2709,'Catalog'!$A:$A,0)),$B2709))</f>
        <v>T28A XXL</v>
      </c>
      <c r="I2709" s="8" t="str">
        <f aca="false">IF($G2709="","Unmatched","Matched")</f>
        <v>Unmatched</v>
      </c>
    </row>
    <row r="2710" customFormat="false" ht="15" hidden="false" customHeight="false" outlineLevel="0" collapsed="false">
      <c r="A2710" s="8" t="s">
        <v>918</v>
      </c>
      <c r="B2710" s="8" t="s">
        <v>668</v>
      </c>
      <c r="C2710" s="19" t="n">
        <v>5</v>
      </c>
      <c r="D2710" s="19" t="n">
        <v>571.64</v>
      </c>
      <c r="E2710" s="19" t="n">
        <v>11</v>
      </c>
      <c r="F2710" s="19" t="n">
        <v>1352.91</v>
      </c>
      <c r="G2710" s="8" t="n">
        <f aca="false">IFERROR(INDEX('TRANS'!$B:$B,MATCH($B2710,'TRANS'!$A:$A,0)),IFERROR(INDEX('TRANS'!$B:$B,MATCH(TRIM(SUBSTITUTE($B2710,CHAR(160)," ")),'TRANS'!$D:$D,0)),IFERROR(INDEX('Catalog'!$A:$A,MATCH($B2710,'Catalog'!$B:$B,0)),IFERROR(INDEX('Catalog'!$A:$A,MATCH(TRIM(SUBSTITUTE($B2710,CHAR(160)," ")),'Catalog'!$C:$C,0)),""))))</f>
        <v>4415073</v>
      </c>
      <c r="H2710" s="8" t="str">
        <f aca="false">IFERROR(INDEX('TRANS'!$C:$C,MATCH($B2710,'TRANS'!$A:$A,0)),IFERROR(INDEX('Catalog'!$B:$B,MATCH($G2710,'Catalog'!$A:$A,0)),$B2710))</f>
        <v>T28A L-XL סד לאגודל</v>
      </c>
      <c r="I2710" s="8" t="str">
        <f aca="false">IF($G2710="","Unmatched","Matched")</f>
        <v>Matched</v>
      </c>
    </row>
    <row r="2711" customFormat="false" ht="15" hidden="false" customHeight="false" outlineLevel="0" collapsed="false">
      <c r="A2711" s="8" t="s">
        <v>918</v>
      </c>
      <c r="B2711" s="8" t="s">
        <v>570</v>
      </c>
      <c r="C2711" s="19" t="n">
        <v>8</v>
      </c>
      <c r="D2711" s="19" t="n">
        <v>943.43</v>
      </c>
      <c r="E2711" s="19" t="n">
        <v>10</v>
      </c>
      <c r="F2711" s="19" t="n">
        <v>1244.93</v>
      </c>
      <c r="G2711" s="8" t="n">
        <f aca="false">IFERROR(INDEX('TRANS'!$B:$B,MATCH($B2711,'TRANS'!$A:$A,0)),IFERROR(INDEX('TRANS'!$B:$B,MATCH(TRIM(SUBSTITUTE($B2711,CHAR(160)," ")),'TRANS'!$D:$D,0)),IFERROR(INDEX('Catalog'!$A:$A,MATCH($B2711,'Catalog'!$B:$B,0)),IFERROR(INDEX('Catalog'!$A:$A,MATCH(TRIM(SUBSTITUTE($B2711,CHAR(160)," ")),'Catalog'!$C:$C,0)),""))))</f>
        <v>4415072</v>
      </c>
      <c r="H2711" s="8" t="str">
        <f aca="false">IFERROR(INDEX('TRANS'!$C:$C,MATCH($B2711,'TRANS'!$A:$A,0)),IFERROR(INDEX('Catalog'!$B:$B,MATCH($G2711,'Catalog'!$A:$A,0)),$B2711))</f>
        <v>T28A S-M סד לאגודל</v>
      </c>
      <c r="I2711" s="8" t="str">
        <f aca="false">IF($G2711="","Unmatched","Matched")</f>
        <v>Matched</v>
      </c>
    </row>
    <row r="2712" customFormat="false" ht="15" hidden="false" customHeight="false" outlineLevel="0" collapsed="false">
      <c r="A2712" s="8" t="s">
        <v>918</v>
      </c>
      <c r="B2712" s="8" t="s">
        <v>1004</v>
      </c>
      <c r="C2712" s="19" t="n">
        <v>3</v>
      </c>
      <c r="D2712" s="19" t="n">
        <v>336.63</v>
      </c>
      <c r="E2712" s="19" t="n">
        <v>0</v>
      </c>
      <c r="F2712" s="19" t="n">
        <v>0</v>
      </c>
      <c r="G2712" s="8" t="str">
        <f aca="false">IFERROR(INDEX('TRANS'!$B:$B,MATCH($B2712,'TRANS'!$A:$A,0)),IFERROR(INDEX('TRANS'!$B:$B,MATCH(TRIM(SUBSTITUTE($B2712,CHAR(160)," ")),'TRANS'!$D:$D,0)),IFERROR(INDEX('Catalog'!$A:$A,MATCH($B2712,'Catalog'!$B:$B,0)),IFERROR(INDEX('Catalog'!$A:$A,MATCH(TRIM(SUBSTITUTE($B2712,CHAR(160)," ")),'Catalog'!$C:$C,0)),""))))</f>
        <v/>
      </c>
      <c r="H2712" s="8" t="str">
        <f aca="false">IFERROR(INDEX('TRANS'!$C:$C,MATCH($B2712,'TRANS'!$A:$A,0)),IFERROR(INDEX('Catalog'!$B:$B,MATCH($G2712,'Catalog'!$A:$A,0)),$B2712))</f>
        <v>T28AC XS</v>
      </c>
      <c r="I2712" s="8" t="str">
        <f aca="false">IF($G2712="","Unmatched","Matched")</f>
        <v>Unmatched</v>
      </c>
    </row>
    <row r="2713" customFormat="false" ht="15" hidden="false" customHeight="false" outlineLevel="0" collapsed="false">
      <c r="A2713" s="8" t="s">
        <v>918</v>
      </c>
      <c r="B2713" s="8" t="s">
        <v>669</v>
      </c>
      <c r="C2713" s="19" t="n">
        <v>2</v>
      </c>
      <c r="D2713" s="19" t="n">
        <v>228.65</v>
      </c>
      <c r="E2713" s="19" t="n">
        <v>2</v>
      </c>
      <c r="F2713" s="19" t="n">
        <v>228.66</v>
      </c>
      <c r="G2713" s="8" t="str">
        <f aca="false">IFERROR(INDEX('TRANS'!$B:$B,MATCH($B2713,'TRANS'!$A:$A,0)),IFERROR(INDEX('TRANS'!$B:$B,MATCH(TRIM(SUBSTITUTE($B2713,CHAR(160)," ")),'TRANS'!$D:$D,0)),IFERROR(INDEX('Catalog'!$A:$A,MATCH($B2713,'Catalog'!$B:$B,0)),IFERROR(INDEX('Catalog'!$A:$A,MATCH(TRIM(SUBSTITUTE($B2713,CHAR(160)," ")),'Catalog'!$C:$C,0)),""))))</f>
        <v/>
      </c>
      <c r="H2713" s="8" t="str">
        <f aca="false">IFERROR(INDEX('TRANS'!$C:$C,MATCH($B2713,'TRANS'!$A:$A,0)),IFERROR(INDEX('Catalog'!$B:$B,MATCH($G2713,'Catalog'!$A:$A,0)),$B2713))</f>
        <v>T28AC XXL</v>
      </c>
      <c r="I2713" s="8" t="str">
        <f aca="false">IF($G2713="","Unmatched","Matched")</f>
        <v>Unmatched</v>
      </c>
    </row>
    <row r="2714" customFormat="false" ht="15" hidden="false" customHeight="false" outlineLevel="0" collapsed="false">
      <c r="A2714" s="8" t="s">
        <v>918</v>
      </c>
      <c r="B2714" s="8" t="s">
        <v>321</v>
      </c>
      <c r="C2714" s="19" t="n">
        <v>1</v>
      </c>
      <c r="D2714" s="19" t="n">
        <v>127.03</v>
      </c>
      <c r="E2714" s="19" t="n">
        <v>3</v>
      </c>
      <c r="F2714" s="19" t="n">
        <v>381.1</v>
      </c>
      <c r="G2714" s="8" t="n">
        <f aca="false">IFERROR(INDEX('TRANS'!$B:$B,MATCH($B2714,'TRANS'!$A:$A,0)),IFERROR(INDEX('TRANS'!$B:$B,MATCH(TRIM(SUBSTITUTE($B2714,CHAR(160)," ")),'TRANS'!$D:$D,0)),IFERROR(INDEX('Catalog'!$A:$A,MATCH($B2714,'Catalog'!$B:$B,0)),IFERROR(INDEX('Catalog'!$A:$A,MATCH(TRIM(SUBSTITUTE($B2714,CHAR(160)," ")),'Catalog'!$C:$C,0)),""))))</f>
        <v>4415075</v>
      </c>
      <c r="H2714" s="8" t="str">
        <f aca="false">IFERROR(INDEX('TRANS'!$C:$C,MATCH($B2714,'TRANS'!$A:$A,0)),IFERROR(INDEX('Catalog'!$B:$B,MATCH($G2714,'Catalog'!$A:$A,0)),$B2714))</f>
        <v>T28AC L-XL סד לאגודל</v>
      </c>
      <c r="I2714" s="8" t="str">
        <f aca="false">IF($G2714="","Unmatched","Matched")</f>
        <v>Matched</v>
      </c>
    </row>
    <row r="2715" customFormat="false" ht="15" hidden="false" customHeight="false" outlineLevel="0" collapsed="false">
      <c r="A2715" s="8" t="s">
        <v>918</v>
      </c>
      <c r="B2715" s="8" t="s">
        <v>322</v>
      </c>
      <c r="C2715" s="19" t="n">
        <v>7</v>
      </c>
      <c r="D2715" s="19" t="n">
        <v>836.92</v>
      </c>
      <c r="E2715" s="19" t="n">
        <v>14</v>
      </c>
      <c r="F2715" s="19" t="n">
        <v>1702.26</v>
      </c>
      <c r="G2715" s="8" t="n">
        <f aca="false">IFERROR(INDEX('TRANS'!$B:$B,MATCH($B2715,'TRANS'!$A:$A,0)),IFERROR(INDEX('TRANS'!$B:$B,MATCH(TRIM(SUBSTITUTE($B2715,CHAR(160)," ")),'TRANS'!$D:$D,0)),IFERROR(INDEX('Catalog'!$A:$A,MATCH($B2715,'Catalog'!$B:$B,0)),IFERROR(INDEX('Catalog'!$A:$A,MATCH(TRIM(SUBSTITUTE($B2715,CHAR(160)," ")),'Catalog'!$C:$C,0)),""))))</f>
        <v>4415074</v>
      </c>
      <c r="H2715" s="8" t="str">
        <f aca="false">IFERROR(INDEX('TRANS'!$C:$C,MATCH($B2715,'TRANS'!$A:$A,0)),IFERROR(INDEX('Catalog'!$B:$B,MATCH($G2715,'Catalog'!$A:$A,0)),$B2715))</f>
        <v>T28AC S-M סד לאגודל</v>
      </c>
      <c r="I2715" s="8" t="str">
        <f aca="false">IF($G2715="","Unmatched","Matched")</f>
        <v>Matched</v>
      </c>
    </row>
    <row r="2716" customFormat="false" ht="15" hidden="false" customHeight="false" outlineLevel="0" collapsed="false">
      <c r="A2716" s="8" t="s">
        <v>918</v>
      </c>
      <c r="B2716" s="8" t="s">
        <v>670</v>
      </c>
      <c r="C2716" s="19" t="n">
        <v>7</v>
      </c>
      <c r="D2716" s="19" t="n">
        <v>1735.88</v>
      </c>
      <c r="E2716" s="19" t="n">
        <v>18</v>
      </c>
      <c r="F2716" s="19" t="n">
        <v>4396.84</v>
      </c>
      <c r="G2716" s="8" t="str">
        <f aca="false">IFERROR(INDEX('TRANS'!$B:$B,MATCH($B2716,'TRANS'!$A:$A,0)),IFERROR(INDEX('TRANS'!$B:$B,MATCH(TRIM(SUBSTITUTE($B2716,CHAR(160)," ")),'TRANS'!$D:$D,0)),IFERROR(INDEX('Catalog'!$A:$A,MATCH($B2716,'Catalog'!$B:$B,0)),IFERROR(INDEX('Catalog'!$A:$A,MATCH(TRIM(SUBSTITUTE($B2716,CHAR(160)," ")),'Catalog'!$C:$C,0)),""))))</f>
        <v/>
      </c>
      <c r="H2716" s="8" t="str">
        <f aca="false">IFERROR(INDEX('TRANS'!$C:$C,MATCH($B2716,'TRANS'!$A:$A,0)),IFERROR(INDEX('Catalog'!$B:$B,MATCH($G2716,'Catalog'!$A:$A,0)),$B2716))</f>
        <v>T33 L</v>
      </c>
      <c r="I2716" s="8" t="str">
        <f aca="false">IF($G2716="","Unmatched","Matched")</f>
        <v>Unmatched</v>
      </c>
    </row>
    <row r="2717" customFormat="false" ht="15" hidden="false" customHeight="false" outlineLevel="0" collapsed="false">
      <c r="A2717" s="8" t="s">
        <v>918</v>
      </c>
      <c r="B2717" s="8" t="s">
        <v>784</v>
      </c>
      <c r="C2717" s="19" t="n">
        <v>2</v>
      </c>
      <c r="D2717" s="19" t="n">
        <v>508.3</v>
      </c>
      <c r="E2717" s="19" t="n">
        <v>9</v>
      </c>
      <c r="F2717" s="19" t="n">
        <v>2236.54</v>
      </c>
      <c r="G2717" s="8" t="str">
        <f aca="false">IFERROR(INDEX('TRANS'!$B:$B,MATCH($B2717,'TRANS'!$A:$A,0)),IFERROR(INDEX('TRANS'!$B:$B,MATCH(TRIM(SUBSTITUTE($B2717,CHAR(160)," ")),'TRANS'!$D:$D,0)),IFERROR(INDEX('Catalog'!$A:$A,MATCH($B2717,'Catalog'!$B:$B,0)),IFERROR(INDEX('Catalog'!$A:$A,MATCH(TRIM(SUBSTITUTE($B2717,CHAR(160)," ")),'Catalog'!$C:$C,0)),""))))</f>
        <v/>
      </c>
      <c r="H2717" s="8" t="str">
        <f aca="false">IFERROR(INDEX('TRANS'!$C:$C,MATCH($B2717,'TRANS'!$A:$A,0)),IFERROR(INDEX('Catalog'!$B:$B,MATCH($G2717,'Catalog'!$A:$A,0)),$B2717))</f>
        <v>T33 M</v>
      </c>
      <c r="I2717" s="8" t="str">
        <f aca="false">IF($G2717="","Unmatched","Matched")</f>
        <v>Unmatched</v>
      </c>
    </row>
    <row r="2718" customFormat="false" ht="15" hidden="false" customHeight="false" outlineLevel="0" collapsed="false">
      <c r="A2718" s="8" t="s">
        <v>918</v>
      </c>
      <c r="B2718" s="8" t="s">
        <v>785</v>
      </c>
      <c r="C2718" s="19" t="n">
        <v>2</v>
      </c>
      <c r="D2718" s="19" t="n">
        <v>508.3</v>
      </c>
      <c r="E2718" s="19" t="n">
        <v>5</v>
      </c>
      <c r="F2718" s="19" t="n">
        <v>1245.34</v>
      </c>
      <c r="G2718" s="8" t="str">
        <f aca="false">IFERROR(INDEX('TRANS'!$B:$B,MATCH($B2718,'TRANS'!$A:$A,0)),IFERROR(INDEX('TRANS'!$B:$B,MATCH(TRIM(SUBSTITUTE($B2718,CHAR(160)," ")),'TRANS'!$D:$D,0)),IFERROR(INDEX('Catalog'!$A:$A,MATCH($B2718,'Catalog'!$B:$B,0)),IFERROR(INDEX('Catalog'!$A:$A,MATCH(TRIM(SUBSTITUTE($B2718,CHAR(160)," ")),'Catalog'!$C:$C,0)),""))))</f>
        <v/>
      </c>
      <c r="H2718" s="8" t="str">
        <f aca="false">IFERROR(INDEX('TRANS'!$C:$C,MATCH($B2718,'TRANS'!$A:$A,0)),IFERROR(INDEX('Catalog'!$B:$B,MATCH($G2718,'Catalog'!$A:$A,0)),$B2718))</f>
        <v>T33 S</v>
      </c>
      <c r="I2718" s="8" t="str">
        <f aca="false">IF($G2718="","Unmatched","Matched")</f>
        <v>Unmatched</v>
      </c>
    </row>
    <row r="2719" customFormat="false" ht="15" hidden="false" customHeight="false" outlineLevel="0" collapsed="false">
      <c r="A2719" s="8" t="s">
        <v>918</v>
      </c>
      <c r="B2719" s="8" t="s">
        <v>323</v>
      </c>
      <c r="C2719" s="19" t="n">
        <v>4</v>
      </c>
      <c r="D2719" s="19" t="n">
        <v>927.65</v>
      </c>
      <c r="E2719" s="19" t="n">
        <v>4</v>
      </c>
      <c r="F2719" s="19" t="n">
        <v>1016.61</v>
      </c>
      <c r="G2719" s="8" t="str">
        <f aca="false">IFERROR(INDEX('TRANS'!$B:$B,MATCH($B2719,'TRANS'!$A:$A,0)),IFERROR(INDEX('TRANS'!$B:$B,MATCH(TRIM(SUBSTITUTE($B2719,CHAR(160)," ")),'TRANS'!$D:$D,0)),IFERROR(INDEX('Catalog'!$A:$A,MATCH($B2719,'Catalog'!$B:$B,0)),IFERROR(INDEX('Catalog'!$A:$A,MATCH(TRIM(SUBSTITUTE($B2719,CHAR(160)," ")),'Catalog'!$C:$C,0)),""))))</f>
        <v/>
      </c>
      <c r="H2719" s="8" t="str">
        <f aca="false">IFERROR(INDEX('TRANS'!$C:$C,MATCH($B2719,'TRANS'!$A:$A,0)),IFERROR(INDEX('Catalog'!$B:$B,MATCH($G2719,'Catalog'!$A:$A,0)),$B2719))</f>
        <v>T33 XL</v>
      </c>
      <c r="I2719" s="8" t="str">
        <f aca="false">IF($G2719="","Unmatched","Matched")</f>
        <v>Unmatched</v>
      </c>
    </row>
    <row r="2720" customFormat="false" ht="15" hidden="false" customHeight="false" outlineLevel="0" collapsed="false">
      <c r="A2720" s="8" t="s">
        <v>918</v>
      </c>
      <c r="B2720" s="8" t="s">
        <v>671</v>
      </c>
      <c r="C2720" s="19" t="n">
        <v>5</v>
      </c>
      <c r="D2720" s="19" t="n">
        <v>1138.64</v>
      </c>
      <c r="E2720" s="19" t="n">
        <v>3</v>
      </c>
      <c r="F2720" s="19" t="n">
        <v>762.45</v>
      </c>
      <c r="G2720" s="8" t="str">
        <f aca="false">IFERROR(INDEX('TRANS'!$B:$B,MATCH($B2720,'TRANS'!$A:$A,0)),IFERROR(INDEX('TRANS'!$B:$B,MATCH(TRIM(SUBSTITUTE($B2720,CHAR(160)," ")),'TRANS'!$D:$D,0)),IFERROR(INDEX('Catalog'!$A:$A,MATCH($B2720,'Catalog'!$B:$B,0)),IFERROR(INDEX('Catalog'!$A:$A,MATCH(TRIM(SUBSTITUTE($B2720,CHAR(160)," ")),'Catalog'!$C:$C,0)),""))))</f>
        <v/>
      </c>
      <c r="H2720" s="8" t="str">
        <f aca="false">IFERROR(INDEX('TRANS'!$C:$C,MATCH($B2720,'TRANS'!$A:$A,0)),IFERROR(INDEX('Catalog'!$B:$B,MATCH($G2720,'Catalog'!$A:$A,0)),$B2720))</f>
        <v>T33 XXL</v>
      </c>
      <c r="I2720" s="8" t="str">
        <f aca="false">IF($G2720="","Unmatched","Matched")</f>
        <v>Unmatched</v>
      </c>
    </row>
    <row r="2721" customFormat="false" ht="15" hidden="false" customHeight="false" outlineLevel="0" collapsed="false">
      <c r="A2721" s="8" t="s">
        <v>918</v>
      </c>
      <c r="B2721" s="8" t="s">
        <v>1005</v>
      </c>
      <c r="C2721" s="19" t="n">
        <v>6</v>
      </c>
      <c r="D2721" s="19" t="n">
        <v>817.69</v>
      </c>
      <c r="E2721" s="19" t="n">
        <v>1</v>
      </c>
      <c r="F2721" s="19" t="n">
        <v>120.26</v>
      </c>
      <c r="G2721" s="8" t="str">
        <f aca="false">IFERROR(INDEX('TRANS'!$B:$B,MATCH($B2721,'TRANS'!$A:$A,0)),IFERROR(INDEX('TRANS'!$B:$B,MATCH(TRIM(SUBSTITUTE($B2721,CHAR(160)," ")),'TRANS'!$D:$D,0)),IFERROR(INDEX('Catalog'!$A:$A,MATCH($B2721,'Catalog'!$B:$B,0)),IFERROR(INDEX('Catalog'!$A:$A,MATCH(TRIM(SUBSTITUTE($B2721,CHAR(160)," ")),'Catalog'!$C:$C,0)),""))))</f>
        <v/>
      </c>
      <c r="H2721" s="8" t="str">
        <f aca="false">IFERROR(INDEX('TRANS'!$C:$C,MATCH($B2721,'TRANS'!$A:$A,0)),IFERROR(INDEX('Catalog'!$B:$B,MATCH($G2721,'Catalog'!$A:$A,0)),$B2721))</f>
        <v>T35 L</v>
      </c>
      <c r="I2721" s="8" t="str">
        <f aca="false">IF($G2721="","Unmatched","Matched")</f>
        <v>Unmatched</v>
      </c>
    </row>
    <row r="2722" customFormat="false" ht="15" hidden="false" customHeight="false" outlineLevel="0" collapsed="false">
      <c r="A2722" s="8" t="s">
        <v>918</v>
      </c>
      <c r="B2722" s="8" t="s">
        <v>1006</v>
      </c>
      <c r="C2722" s="19" t="n">
        <v>5</v>
      </c>
      <c r="D2722" s="19" t="n">
        <v>577.2</v>
      </c>
      <c r="E2722" s="19" t="n">
        <v>0</v>
      </c>
      <c r="F2722" s="19" t="n">
        <v>0</v>
      </c>
      <c r="G2722" s="8" t="str">
        <f aca="false">IFERROR(INDEX('TRANS'!$B:$B,MATCH($B2722,'TRANS'!$A:$A,0)),IFERROR(INDEX('TRANS'!$B:$B,MATCH(TRIM(SUBSTITUTE($B2722,CHAR(160)," ")),'TRANS'!$D:$D,0)),IFERROR(INDEX('Catalog'!$A:$A,MATCH($B2722,'Catalog'!$B:$B,0)),IFERROR(INDEX('Catalog'!$A:$A,MATCH(TRIM(SUBSTITUTE($B2722,CHAR(160)," ")),'Catalog'!$C:$C,0)),""))))</f>
        <v/>
      </c>
      <c r="H2722" s="8" t="str">
        <f aca="false">IFERROR(INDEX('TRANS'!$C:$C,MATCH($B2722,'TRANS'!$A:$A,0)),IFERROR(INDEX('Catalog'!$B:$B,MATCH($G2722,'Catalog'!$A:$A,0)),$B2722))</f>
        <v>T35 M</v>
      </c>
      <c r="I2722" s="8" t="str">
        <f aca="false">IF($G2722="","Unmatched","Matched")</f>
        <v>Unmatched</v>
      </c>
    </row>
    <row r="2723" customFormat="false" ht="15" hidden="false" customHeight="false" outlineLevel="0" collapsed="false">
      <c r="A2723" s="8" t="s">
        <v>918</v>
      </c>
      <c r="B2723" s="8" t="s">
        <v>1007</v>
      </c>
      <c r="C2723" s="19" t="n">
        <v>2</v>
      </c>
      <c r="D2723" s="19" t="n">
        <v>204.42</v>
      </c>
      <c r="E2723" s="19" t="n">
        <v>1</v>
      </c>
      <c r="F2723" s="19" t="n">
        <v>120.25</v>
      </c>
      <c r="G2723" s="8" t="str">
        <f aca="false">IFERROR(INDEX('TRANS'!$B:$B,MATCH($B2723,'TRANS'!$A:$A,0)),IFERROR(INDEX('TRANS'!$B:$B,MATCH(TRIM(SUBSTITUTE($B2723,CHAR(160)," ")),'TRANS'!$D:$D,0)),IFERROR(INDEX('Catalog'!$A:$A,MATCH($B2723,'Catalog'!$B:$B,0)),IFERROR(INDEX('Catalog'!$A:$A,MATCH(TRIM(SUBSTITUTE($B2723,CHAR(160)," ")),'Catalog'!$C:$C,0)),""))))</f>
        <v/>
      </c>
      <c r="H2723" s="8" t="str">
        <f aca="false">IFERROR(INDEX('TRANS'!$C:$C,MATCH($B2723,'TRANS'!$A:$A,0)),IFERROR(INDEX('Catalog'!$B:$B,MATCH($G2723,'Catalog'!$A:$A,0)),$B2723))</f>
        <v>T35 XL</v>
      </c>
      <c r="I2723" s="8" t="str">
        <f aca="false">IF($G2723="","Unmatched","Matched")</f>
        <v>Unmatched</v>
      </c>
    </row>
    <row r="2724" customFormat="false" ht="15" hidden="false" customHeight="false" outlineLevel="0" collapsed="false">
      <c r="A2724" s="8" t="s">
        <v>918</v>
      </c>
      <c r="B2724" s="8" t="s">
        <v>1008</v>
      </c>
      <c r="C2724" s="19" t="n">
        <v>2</v>
      </c>
      <c r="D2724" s="19" t="n">
        <v>240.5</v>
      </c>
      <c r="E2724" s="19" t="n">
        <v>1</v>
      </c>
      <c r="F2724" s="19" t="n">
        <v>120.25</v>
      </c>
      <c r="G2724" s="8" t="str">
        <f aca="false">IFERROR(INDEX('TRANS'!$B:$B,MATCH($B2724,'TRANS'!$A:$A,0)),IFERROR(INDEX('TRANS'!$B:$B,MATCH(TRIM(SUBSTITUTE($B2724,CHAR(160)," ")),'TRANS'!$D:$D,0)),IFERROR(INDEX('Catalog'!$A:$A,MATCH($B2724,'Catalog'!$B:$B,0)),IFERROR(INDEX('Catalog'!$A:$A,MATCH(TRIM(SUBSTITUTE($B2724,CHAR(160)," ")),'Catalog'!$C:$C,0)),""))))</f>
        <v/>
      </c>
      <c r="H2724" s="8" t="str">
        <f aca="false">IFERROR(INDEX('TRANS'!$C:$C,MATCH($B2724,'TRANS'!$A:$A,0)),IFERROR(INDEX('Catalog'!$B:$B,MATCH($G2724,'Catalog'!$A:$A,0)),$B2724))</f>
        <v>T35 XXL</v>
      </c>
      <c r="I2724" s="8" t="str">
        <f aca="false">IF($G2724="","Unmatched","Matched")</f>
        <v>Unmatched</v>
      </c>
    </row>
    <row r="2725" customFormat="false" ht="15" hidden="false" customHeight="false" outlineLevel="0" collapsed="false">
      <c r="A2725" s="8" t="s">
        <v>918</v>
      </c>
      <c r="B2725" s="8" t="s">
        <v>672</v>
      </c>
      <c r="C2725" s="19" t="n">
        <v>2</v>
      </c>
      <c r="D2725" s="19" t="n">
        <v>331.21</v>
      </c>
      <c r="E2725" s="19" t="n">
        <v>8</v>
      </c>
      <c r="F2725" s="19" t="n">
        <v>1461.23</v>
      </c>
      <c r="G2725" s="8" t="str">
        <f aca="false">IFERROR(INDEX('TRANS'!$B:$B,MATCH($B2725,'TRANS'!$A:$A,0)),IFERROR(INDEX('TRANS'!$B:$B,MATCH(TRIM(SUBSTITUTE($B2725,CHAR(160)," ")),'TRANS'!$D:$D,0)),IFERROR(INDEX('Catalog'!$A:$A,MATCH($B2725,'Catalog'!$B:$B,0)),IFERROR(INDEX('Catalog'!$A:$A,MATCH(TRIM(SUBSTITUTE($B2725,CHAR(160)," ")),'Catalog'!$C:$C,0)),""))))</f>
        <v/>
      </c>
      <c r="H2725" s="8" t="str">
        <f aca="false">IFERROR(INDEX('TRANS'!$C:$C,MATCH($B2725,'TRANS'!$A:$A,0)),IFERROR(INDEX('Catalog'!$B:$B,MATCH($G2725,'Catalog'!$A:$A,0)),$B2725))</f>
        <v>T39 L</v>
      </c>
      <c r="I2725" s="8" t="str">
        <f aca="false">IF($G2725="","Unmatched","Matched")</f>
        <v>Unmatched</v>
      </c>
    </row>
    <row r="2726" customFormat="false" ht="15" hidden="false" customHeight="false" outlineLevel="0" collapsed="false">
      <c r="A2726" s="8" t="s">
        <v>918</v>
      </c>
      <c r="B2726" s="8" t="s">
        <v>444</v>
      </c>
      <c r="C2726" s="19" t="n">
        <v>0</v>
      </c>
      <c r="D2726" s="19" t="n">
        <v>0</v>
      </c>
      <c r="E2726" s="19" t="n">
        <v>3</v>
      </c>
      <c r="F2726" s="19" t="n">
        <v>565.01</v>
      </c>
      <c r="G2726" s="8" t="str">
        <f aca="false">IFERROR(INDEX('TRANS'!$B:$B,MATCH($B2726,'TRANS'!$A:$A,0)),IFERROR(INDEX('TRANS'!$B:$B,MATCH(TRIM(SUBSTITUTE($B2726,CHAR(160)," ")),'TRANS'!$D:$D,0)),IFERROR(INDEX('Catalog'!$A:$A,MATCH($B2726,'Catalog'!$B:$B,0)),IFERROR(INDEX('Catalog'!$A:$A,MATCH(TRIM(SUBSTITUTE($B2726,CHAR(160)," ")),'Catalog'!$C:$C,0)),""))))</f>
        <v/>
      </c>
      <c r="H2726" s="8" t="str">
        <f aca="false">IFERROR(INDEX('TRANS'!$C:$C,MATCH($B2726,'TRANS'!$A:$A,0)),IFERROR(INDEX('Catalog'!$B:$B,MATCH($G2726,'Catalog'!$A:$A,0)),$B2726))</f>
        <v>T39 M</v>
      </c>
      <c r="I2726" s="8" t="str">
        <f aca="false">IF($G2726="","Unmatched","Matched")</f>
        <v>Unmatched</v>
      </c>
    </row>
    <row r="2727" customFormat="false" ht="15" hidden="false" customHeight="false" outlineLevel="0" collapsed="false">
      <c r="A2727" s="8" t="s">
        <v>918</v>
      </c>
      <c r="B2727" s="8" t="s">
        <v>445</v>
      </c>
      <c r="C2727" s="19" t="n">
        <v>0</v>
      </c>
      <c r="D2727" s="19" t="n">
        <v>0</v>
      </c>
      <c r="E2727" s="19" t="n">
        <v>1</v>
      </c>
      <c r="F2727" s="19" t="n">
        <v>194.83</v>
      </c>
      <c r="G2727" s="8" t="n">
        <f aca="false">IFERROR(INDEX('TRANS'!$B:$B,MATCH($B2727,'TRANS'!$A:$A,0)),IFERROR(INDEX('TRANS'!$B:$B,MATCH(TRIM(SUBSTITUTE($B2727,CHAR(160)," ")),'TRANS'!$D:$D,0)),IFERROR(INDEX('Catalog'!$A:$A,MATCH($B2727,'Catalog'!$B:$B,0)),IFERROR(INDEX('Catalog'!$A:$A,MATCH(TRIM(SUBSTITUTE($B2727,CHAR(160)," ")),'Catalog'!$C:$C,0)),""))))</f>
        <v>4413180</v>
      </c>
      <c r="H2727" s="8" t="str">
        <f aca="false">IFERROR(INDEX('TRANS'!$C:$C,MATCH($B2727,'TRANS'!$A:$A,0)),IFERROR(INDEX('Catalog'!$B:$B,MATCH($G2727,'Catalog'!$A:$A,0)),$B2727))</f>
        <v>T39  S מגן שוק</v>
      </c>
      <c r="I2727" s="8" t="str">
        <f aca="false">IF($G2727="","Unmatched","Matched")</f>
        <v>Matched</v>
      </c>
    </row>
    <row r="2728" customFormat="false" ht="15" hidden="false" customHeight="false" outlineLevel="0" collapsed="false">
      <c r="A2728" s="8" t="s">
        <v>918</v>
      </c>
      <c r="B2728" s="8" t="s">
        <v>58</v>
      </c>
      <c r="C2728" s="19" t="n">
        <v>1</v>
      </c>
      <c r="D2728" s="19" t="n">
        <v>194.83</v>
      </c>
      <c r="E2728" s="19" t="n">
        <v>1</v>
      </c>
      <c r="F2728" s="19" t="n">
        <v>165.61</v>
      </c>
      <c r="G2728" s="8" t="str">
        <f aca="false">IFERROR(INDEX('TRANS'!$B:$B,MATCH($B2728,'TRANS'!$A:$A,0)),IFERROR(INDEX('TRANS'!$B:$B,MATCH(TRIM(SUBSTITUTE($B2728,CHAR(160)," ")),'TRANS'!$D:$D,0)),IFERROR(INDEX('Catalog'!$A:$A,MATCH($B2728,'Catalog'!$B:$B,0)),IFERROR(INDEX('Catalog'!$A:$A,MATCH(TRIM(SUBSTITUTE($B2728,CHAR(160)," ")),'Catalog'!$C:$C,0)),""))))</f>
        <v/>
      </c>
      <c r="H2728" s="8" t="str">
        <f aca="false">IFERROR(INDEX('TRANS'!$C:$C,MATCH($B2728,'TRANS'!$A:$A,0)),IFERROR(INDEX('Catalog'!$B:$B,MATCH($G2728,'Catalog'!$A:$A,0)),$B2728))</f>
        <v>T39 XL</v>
      </c>
      <c r="I2728" s="8" t="str">
        <f aca="false">IF($G2728="","Unmatched","Matched")</f>
        <v>Unmatched</v>
      </c>
    </row>
    <row r="2729" customFormat="false" ht="15" hidden="false" customHeight="false" outlineLevel="0" collapsed="false">
      <c r="A2729" s="8" t="s">
        <v>918</v>
      </c>
      <c r="B2729" s="8" t="s">
        <v>755</v>
      </c>
      <c r="C2729" s="19" t="n">
        <v>0</v>
      </c>
      <c r="D2729" s="19" t="n">
        <v>0</v>
      </c>
      <c r="E2729" s="19" t="n">
        <v>1</v>
      </c>
      <c r="F2729" s="19" t="n">
        <v>194.83</v>
      </c>
      <c r="G2729" s="8" t="str">
        <f aca="false">IFERROR(INDEX('TRANS'!$B:$B,MATCH($B2729,'TRANS'!$A:$A,0)),IFERROR(INDEX('TRANS'!$B:$B,MATCH(TRIM(SUBSTITUTE($B2729,CHAR(160)," ")),'TRANS'!$D:$D,0)),IFERROR(INDEX('Catalog'!$A:$A,MATCH($B2729,'Catalog'!$B:$B,0)),IFERROR(INDEX('Catalog'!$A:$A,MATCH(TRIM(SUBSTITUTE($B2729,CHAR(160)," ")),'Catalog'!$C:$C,0)),""))))</f>
        <v/>
      </c>
      <c r="H2729" s="8" t="str">
        <f aca="false">IFERROR(INDEX('TRANS'!$C:$C,MATCH($B2729,'TRANS'!$A:$A,0)),IFERROR(INDEX('Catalog'!$B:$B,MATCH($G2729,'Catalog'!$A:$A,0)),$B2729))</f>
        <v>T39 XS</v>
      </c>
      <c r="I2729" s="8" t="str">
        <f aca="false">IF($G2729="","Unmatched","Matched")</f>
        <v>Unmatched</v>
      </c>
    </row>
    <row r="2730" customFormat="false" ht="15" hidden="false" customHeight="false" outlineLevel="0" collapsed="false">
      <c r="A2730" s="8" t="s">
        <v>918</v>
      </c>
      <c r="B2730" s="8" t="s">
        <v>756</v>
      </c>
      <c r="C2730" s="19" t="n">
        <v>1</v>
      </c>
      <c r="D2730" s="19" t="n">
        <v>194.83</v>
      </c>
      <c r="E2730" s="19" t="n">
        <v>1</v>
      </c>
      <c r="F2730" s="19" t="n">
        <v>194.83</v>
      </c>
      <c r="G2730" s="8" t="str">
        <f aca="false">IFERROR(INDEX('TRANS'!$B:$B,MATCH($B2730,'TRANS'!$A:$A,0)),IFERROR(INDEX('TRANS'!$B:$B,MATCH(TRIM(SUBSTITUTE($B2730,CHAR(160)," ")),'TRANS'!$D:$D,0)),IFERROR(INDEX('Catalog'!$A:$A,MATCH($B2730,'Catalog'!$B:$B,0)),IFERROR(INDEX('Catalog'!$A:$A,MATCH(TRIM(SUBSTITUTE($B2730,CHAR(160)," ")),'Catalog'!$C:$C,0)),""))))</f>
        <v/>
      </c>
      <c r="H2730" s="8" t="str">
        <f aca="false">IFERROR(INDEX('TRANS'!$C:$C,MATCH($B2730,'TRANS'!$A:$A,0)),IFERROR(INDEX('Catalog'!$B:$B,MATCH($G2730,'Catalog'!$A:$A,0)),$B2730))</f>
        <v>T39 XXL</v>
      </c>
      <c r="I2730" s="8" t="str">
        <f aca="false">IF($G2730="","Unmatched","Matched")</f>
        <v>Unmatched</v>
      </c>
    </row>
    <row r="2731" customFormat="false" ht="15" hidden="false" customHeight="false" outlineLevel="0" collapsed="false">
      <c r="A2731" s="8" t="s">
        <v>918</v>
      </c>
      <c r="B2731" s="8" t="s">
        <v>325</v>
      </c>
      <c r="C2731" s="19" t="n">
        <v>5</v>
      </c>
      <c r="D2731" s="19" t="n">
        <v>778.5</v>
      </c>
      <c r="E2731" s="19" t="n">
        <v>6</v>
      </c>
      <c r="F2731" s="19" t="n">
        <v>975.27</v>
      </c>
      <c r="G2731" s="8" t="str">
        <f aca="false">IFERROR(INDEX('TRANS'!$B:$B,MATCH($B2731,'TRANS'!$A:$A,0)),IFERROR(INDEX('TRANS'!$B:$B,MATCH(TRIM(SUBSTITUTE($B2731,CHAR(160)," ")),'TRANS'!$D:$D,0)),IFERROR(INDEX('Catalog'!$A:$A,MATCH($B2731,'Catalog'!$B:$B,0)),IFERROR(INDEX('Catalog'!$A:$A,MATCH(TRIM(SUBSTITUTE($B2731,CHAR(160)," ")),'Catalog'!$C:$C,0)),""))))</f>
        <v/>
      </c>
      <c r="H2731" s="8" t="str">
        <f aca="false">IFERROR(INDEX('TRANS'!$C:$C,MATCH($B2731,'TRANS'!$A:$A,0)),IFERROR(INDEX('Catalog'!$B:$B,MATCH($G2731,'Catalog'!$A:$A,0)),$B2731))</f>
        <v>T402 L</v>
      </c>
      <c r="I2731" s="8" t="str">
        <f aca="false">IF($G2731="","Unmatched","Matched")</f>
        <v>Unmatched</v>
      </c>
    </row>
    <row r="2732" customFormat="false" ht="15" hidden="false" customHeight="false" outlineLevel="0" collapsed="false">
      <c r="A2732" s="8" t="s">
        <v>918</v>
      </c>
      <c r="B2732" s="8" t="s">
        <v>326</v>
      </c>
      <c r="C2732" s="19" t="n">
        <v>6</v>
      </c>
      <c r="D2732" s="19" t="n">
        <v>958.15</v>
      </c>
      <c r="E2732" s="19" t="n">
        <v>1</v>
      </c>
      <c r="F2732" s="19" t="n">
        <v>153.99</v>
      </c>
      <c r="G2732" s="8" t="str">
        <f aca="false">IFERROR(INDEX('TRANS'!$B:$B,MATCH($B2732,'TRANS'!$A:$A,0)),IFERROR(INDEX('TRANS'!$B:$B,MATCH(TRIM(SUBSTITUTE($B2732,CHAR(160)," ")),'TRANS'!$D:$D,0)),IFERROR(INDEX('Catalog'!$A:$A,MATCH($B2732,'Catalog'!$B:$B,0)),IFERROR(INDEX('Catalog'!$A:$A,MATCH(TRIM(SUBSTITUTE($B2732,CHAR(160)," ")),'Catalog'!$C:$C,0)),""))))</f>
        <v/>
      </c>
      <c r="H2732" s="8" t="str">
        <f aca="false">IFERROR(INDEX('TRANS'!$C:$C,MATCH($B2732,'TRANS'!$A:$A,0)),IFERROR(INDEX('Catalog'!$B:$B,MATCH($G2732,'Catalog'!$A:$A,0)),$B2732))</f>
        <v>T402 M</v>
      </c>
      <c r="I2732" s="8" t="str">
        <f aca="false">IF($G2732="","Unmatched","Matched")</f>
        <v>Unmatched</v>
      </c>
    </row>
    <row r="2733" customFormat="false" ht="15" hidden="false" customHeight="false" outlineLevel="0" collapsed="false">
      <c r="A2733" s="8" t="s">
        <v>918</v>
      </c>
      <c r="B2733" s="8" t="s">
        <v>327</v>
      </c>
      <c r="C2733" s="19" t="n">
        <v>1</v>
      </c>
      <c r="D2733" s="19" t="n">
        <v>153.99</v>
      </c>
      <c r="E2733" s="19" t="n">
        <v>0</v>
      </c>
      <c r="F2733" s="19" t="n">
        <v>0</v>
      </c>
      <c r="G2733" s="8" t="str">
        <f aca="false">IFERROR(INDEX('TRANS'!$B:$B,MATCH($B2733,'TRANS'!$A:$A,0)),IFERROR(INDEX('TRANS'!$B:$B,MATCH(TRIM(SUBSTITUTE($B2733,CHAR(160)," ")),'TRANS'!$D:$D,0)),IFERROR(INDEX('Catalog'!$A:$A,MATCH($B2733,'Catalog'!$B:$B,0)),IFERROR(INDEX('Catalog'!$A:$A,MATCH(TRIM(SUBSTITUTE($B2733,CHAR(160)," ")),'Catalog'!$C:$C,0)),""))))</f>
        <v/>
      </c>
      <c r="H2733" s="8" t="str">
        <f aca="false">IFERROR(INDEX('TRANS'!$C:$C,MATCH($B2733,'TRANS'!$A:$A,0)),IFERROR(INDEX('Catalog'!$B:$B,MATCH($G2733,'Catalog'!$A:$A,0)),$B2733))</f>
        <v>T402 S</v>
      </c>
      <c r="I2733" s="8" t="str">
        <f aca="false">IF($G2733="","Unmatched","Matched")</f>
        <v>Unmatched</v>
      </c>
    </row>
    <row r="2734" customFormat="false" ht="15" hidden="false" customHeight="false" outlineLevel="0" collapsed="false">
      <c r="A2734" s="8" t="s">
        <v>918</v>
      </c>
      <c r="B2734" s="8" t="s">
        <v>328</v>
      </c>
      <c r="C2734" s="19" t="n">
        <v>2</v>
      </c>
      <c r="D2734" s="19" t="n">
        <v>316.53</v>
      </c>
      <c r="E2734" s="19" t="n">
        <v>4</v>
      </c>
      <c r="F2734" s="19" t="n">
        <v>633.07</v>
      </c>
      <c r="G2734" s="8" t="str">
        <f aca="false">IFERROR(INDEX('TRANS'!$B:$B,MATCH($B2734,'TRANS'!$A:$A,0)),IFERROR(INDEX('TRANS'!$B:$B,MATCH(TRIM(SUBSTITUTE($B2734,CHAR(160)," ")),'TRANS'!$D:$D,0)),IFERROR(INDEX('Catalog'!$A:$A,MATCH($B2734,'Catalog'!$B:$B,0)),IFERROR(INDEX('Catalog'!$A:$A,MATCH(TRIM(SUBSTITUTE($B2734,CHAR(160)," ")),'Catalog'!$C:$C,0)),""))))</f>
        <v/>
      </c>
      <c r="H2734" s="8" t="str">
        <f aca="false">IFERROR(INDEX('TRANS'!$C:$C,MATCH($B2734,'TRANS'!$A:$A,0)),IFERROR(INDEX('Catalog'!$B:$B,MATCH($G2734,'Catalog'!$A:$A,0)),$B2734))</f>
        <v>T402 XL</v>
      </c>
      <c r="I2734" s="8" t="str">
        <f aca="false">IF($G2734="","Unmatched","Matched")</f>
        <v>Unmatched</v>
      </c>
    </row>
    <row r="2735" customFormat="false" ht="15" hidden="false" customHeight="false" outlineLevel="0" collapsed="false">
      <c r="A2735" s="8" t="s">
        <v>918</v>
      </c>
      <c r="B2735" s="8" t="s">
        <v>611</v>
      </c>
      <c r="C2735" s="19" t="n">
        <v>6</v>
      </c>
      <c r="D2735" s="19" t="n">
        <v>1000.93</v>
      </c>
      <c r="E2735" s="19" t="n">
        <v>2</v>
      </c>
      <c r="F2735" s="19" t="n">
        <v>325.09</v>
      </c>
      <c r="G2735" s="8" t="str">
        <f aca="false">IFERROR(INDEX('TRANS'!$B:$B,MATCH($B2735,'TRANS'!$A:$A,0)),IFERROR(INDEX('TRANS'!$B:$B,MATCH(TRIM(SUBSTITUTE($B2735,CHAR(160)," ")),'TRANS'!$D:$D,0)),IFERROR(INDEX('Catalog'!$A:$A,MATCH($B2735,'Catalog'!$B:$B,0)),IFERROR(INDEX('Catalog'!$A:$A,MATCH(TRIM(SUBSTITUTE($B2735,CHAR(160)," ")),'Catalog'!$C:$C,0)),""))))</f>
        <v/>
      </c>
      <c r="H2735" s="8" t="str">
        <f aca="false">IFERROR(INDEX('TRANS'!$C:$C,MATCH($B2735,'TRANS'!$A:$A,0)),IFERROR(INDEX('Catalog'!$B:$B,MATCH($G2735,'Catalog'!$A:$A,0)),$B2735))</f>
        <v>T402 XXL</v>
      </c>
      <c r="I2735" s="8" t="str">
        <f aca="false">IF($G2735="","Unmatched","Matched")</f>
        <v>Unmatched</v>
      </c>
    </row>
    <row r="2736" customFormat="false" ht="15" hidden="false" customHeight="false" outlineLevel="0" collapsed="false">
      <c r="A2736" s="8" t="s">
        <v>918</v>
      </c>
      <c r="B2736" s="8" t="s">
        <v>544</v>
      </c>
      <c r="C2736" s="19" t="n">
        <v>15</v>
      </c>
      <c r="D2736" s="19" t="n">
        <v>2057.92</v>
      </c>
      <c r="E2736" s="19" t="n">
        <v>22</v>
      </c>
      <c r="F2736" s="19" t="n">
        <v>3198.69</v>
      </c>
      <c r="G2736" s="8" t="str">
        <f aca="false">IFERROR(INDEX('TRANS'!$B:$B,MATCH($B2736,'TRANS'!$A:$A,0)),IFERROR(INDEX('TRANS'!$B:$B,MATCH(TRIM(SUBSTITUTE($B2736,CHAR(160)," ")),'TRANS'!$D:$D,0)),IFERROR(INDEX('Catalog'!$A:$A,MATCH($B2736,'Catalog'!$B:$B,0)),IFERROR(INDEX('Catalog'!$A:$A,MATCH(TRIM(SUBSTITUTE($B2736,CHAR(160)," ")),'Catalog'!$C:$C,0)),""))))</f>
        <v/>
      </c>
      <c r="H2736" s="8" t="str">
        <f aca="false">IFERROR(INDEX('TRANS'!$C:$C,MATCH($B2736,'TRANS'!$A:$A,0)),IFERROR(INDEX('Catalog'!$B:$B,MATCH($G2736,'Catalog'!$A:$A,0)),$B2736))</f>
        <v>T40B 0</v>
      </c>
      <c r="I2736" s="8" t="str">
        <f aca="false">IF($G2736="","Unmatched","Matched")</f>
        <v>Unmatched</v>
      </c>
    </row>
    <row r="2737" customFormat="false" ht="15" hidden="false" customHeight="false" outlineLevel="0" collapsed="false">
      <c r="A2737" s="8" t="s">
        <v>918</v>
      </c>
      <c r="B2737" s="8" t="s">
        <v>1009</v>
      </c>
      <c r="C2737" s="19" t="n">
        <v>3</v>
      </c>
      <c r="D2737" s="19" t="n">
        <v>877.71</v>
      </c>
      <c r="E2737" s="19" t="n">
        <v>1</v>
      </c>
      <c r="F2737" s="19" t="n">
        <v>266.87</v>
      </c>
      <c r="G2737" s="8" t="str">
        <f aca="false">IFERROR(INDEX('TRANS'!$B:$B,MATCH($B2737,'TRANS'!$A:$A,0)),IFERROR(INDEX('TRANS'!$B:$B,MATCH(TRIM(SUBSTITUTE($B2737,CHAR(160)," ")),'TRANS'!$D:$D,0)),IFERROR(INDEX('Catalog'!$A:$A,MATCH($B2737,'Catalog'!$B:$B,0)),IFERROR(INDEX('Catalog'!$A:$A,MATCH(TRIM(SUBSTITUTE($B2737,CHAR(160)," ")),'Catalog'!$C:$C,0)),""))))</f>
        <v/>
      </c>
      <c r="H2737" s="8" t="str">
        <f aca="false">IFERROR(INDEX('TRANS'!$C:$C,MATCH($B2737,'TRANS'!$A:$A,0)),IFERROR(INDEX('Catalog'!$B:$B,MATCH($G2737,'Catalog'!$A:$A,0)),$B2737))</f>
        <v>T42 L</v>
      </c>
      <c r="I2737" s="8" t="str">
        <f aca="false">IF($G2737="","Unmatched","Matched")</f>
        <v>Unmatched</v>
      </c>
    </row>
    <row r="2738" customFormat="false" ht="15" hidden="false" customHeight="false" outlineLevel="0" collapsed="false">
      <c r="A2738" s="8" t="s">
        <v>918</v>
      </c>
      <c r="B2738" s="8" t="s">
        <v>1010</v>
      </c>
      <c r="C2738" s="19" t="n">
        <v>0</v>
      </c>
      <c r="D2738" s="19" t="n">
        <v>0</v>
      </c>
      <c r="E2738" s="19" t="n">
        <v>1</v>
      </c>
      <c r="F2738" s="19" t="n">
        <v>296.53</v>
      </c>
      <c r="G2738" s="8" t="str">
        <f aca="false">IFERROR(INDEX('TRANS'!$B:$B,MATCH($B2738,'TRANS'!$A:$A,0)),IFERROR(INDEX('TRANS'!$B:$B,MATCH(TRIM(SUBSTITUTE($B2738,CHAR(160)," ")),'TRANS'!$D:$D,0)),IFERROR(INDEX('Catalog'!$A:$A,MATCH($B2738,'Catalog'!$B:$B,0)),IFERROR(INDEX('Catalog'!$A:$A,MATCH(TRIM(SUBSTITUTE($B2738,CHAR(160)," ")),'Catalog'!$C:$C,0)),""))))</f>
        <v/>
      </c>
      <c r="H2738" s="8" t="str">
        <f aca="false">IFERROR(INDEX('TRANS'!$C:$C,MATCH($B2738,'TRANS'!$A:$A,0)),IFERROR(INDEX('Catalog'!$B:$B,MATCH($G2738,'Catalog'!$A:$A,0)),$B2738))</f>
        <v>T42 M</v>
      </c>
      <c r="I2738" s="8" t="str">
        <f aca="false">IF($G2738="","Unmatched","Matched")</f>
        <v>Unmatched</v>
      </c>
    </row>
    <row r="2739" customFormat="false" ht="15" hidden="false" customHeight="false" outlineLevel="0" collapsed="false">
      <c r="A2739" s="8" t="s">
        <v>918</v>
      </c>
      <c r="B2739" s="8" t="s">
        <v>1011</v>
      </c>
      <c r="C2739" s="19" t="n">
        <v>1</v>
      </c>
      <c r="D2739" s="19" t="n">
        <v>296.53</v>
      </c>
      <c r="E2739" s="19" t="n">
        <v>0</v>
      </c>
      <c r="F2739" s="19" t="n">
        <v>0</v>
      </c>
      <c r="G2739" s="8" t="str">
        <f aca="false">IFERROR(INDEX('TRANS'!$B:$B,MATCH($B2739,'TRANS'!$A:$A,0)),IFERROR(INDEX('TRANS'!$B:$B,MATCH(TRIM(SUBSTITUTE($B2739,CHAR(160)," ")),'TRANS'!$D:$D,0)),IFERROR(INDEX('Catalog'!$A:$A,MATCH($B2739,'Catalog'!$B:$B,0)),IFERROR(INDEX('Catalog'!$A:$A,MATCH(TRIM(SUBSTITUTE($B2739,CHAR(160)," ")),'Catalog'!$C:$C,0)),""))))</f>
        <v/>
      </c>
      <c r="H2739" s="8" t="str">
        <f aca="false">IFERROR(INDEX('TRANS'!$C:$C,MATCH($B2739,'TRANS'!$A:$A,0)),IFERROR(INDEX('Catalog'!$B:$B,MATCH($G2739,'Catalog'!$A:$A,0)),$B2739))</f>
        <v>T42 XL</v>
      </c>
      <c r="I2739" s="8" t="str">
        <f aca="false">IF($G2739="","Unmatched","Matched")</f>
        <v>Unmatched</v>
      </c>
    </row>
    <row r="2740" customFormat="false" ht="15" hidden="false" customHeight="false" outlineLevel="0" collapsed="false">
      <c r="A2740" s="8" t="s">
        <v>918</v>
      </c>
      <c r="B2740" s="8" t="s">
        <v>1012</v>
      </c>
      <c r="C2740" s="19" t="n">
        <v>0</v>
      </c>
      <c r="D2740" s="19" t="n">
        <v>0</v>
      </c>
      <c r="E2740" s="19" t="n">
        <v>1</v>
      </c>
      <c r="F2740" s="19" t="n">
        <v>308.06</v>
      </c>
      <c r="G2740" s="8" t="str">
        <f aca="false">IFERROR(INDEX('TRANS'!$B:$B,MATCH($B2740,'TRANS'!$A:$A,0)),IFERROR(INDEX('TRANS'!$B:$B,MATCH(TRIM(SUBSTITUTE($B2740,CHAR(160)," ")),'TRANS'!$D:$D,0)),IFERROR(INDEX('Catalog'!$A:$A,MATCH($B2740,'Catalog'!$B:$B,0)),IFERROR(INDEX('Catalog'!$A:$A,MATCH(TRIM(SUBSTITUTE($B2740,CHAR(160)," ")),'Catalog'!$C:$C,0)),""))))</f>
        <v/>
      </c>
      <c r="H2740" s="8" t="str">
        <f aca="false">IFERROR(INDEX('TRANS'!$C:$C,MATCH($B2740,'TRANS'!$A:$A,0)),IFERROR(INDEX('Catalog'!$B:$B,MATCH($G2740,'Catalog'!$A:$A,0)),$B2740))</f>
        <v>T42X L</v>
      </c>
      <c r="I2740" s="8" t="str">
        <f aca="false">IF($G2740="","Unmatched","Matched")</f>
        <v>Unmatched</v>
      </c>
    </row>
    <row r="2741" customFormat="false" ht="15" hidden="false" customHeight="false" outlineLevel="0" collapsed="false">
      <c r="A2741" s="8" t="s">
        <v>918</v>
      </c>
      <c r="B2741" s="8" t="s">
        <v>1013</v>
      </c>
      <c r="C2741" s="19" t="n">
        <v>0</v>
      </c>
      <c r="D2741" s="19" t="n">
        <v>0</v>
      </c>
      <c r="E2741" s="19" t="n">
        <v>1</v>
      </c>
      <c r="F2741" s="19" t="n">
        <v>342.29</v>
      </c>
      <c r="G2741" s="8" t="str">
        <f aca="false">IFERROR(INDEX('TRANS'!$B:$B,MATCH($B2741,'TRANS'!$A:$A,0)),IFERROR(INDEX('TRANS'!$B:$B,MATCH(TRIM(SUBSTITUTE($B2741,CHAR(160)," ")),'TRANS'!$D:$D,0)),IFERROR(INDEX('Catalog'!$A:$A,MATCH($B2741,'Catalog'!$B:$B,0)),IFERROR(INDEX('Catalog'!$A:$A,MATCH(TRIM(SUBSTITUTE($B2741,CHAR(160)," ")),'Catalog'!$C:$C,0)),""))))</f>
        <v/>
      </c>
      <c r="H2741" s="8" t="str">
        <f aca="false">IFERROR(INDEX('TRANS'!$C:$C,MATCH($B2741,'TRANS'!$A:$A,0)),IFERROR(INDEX('Catalog'!$B:$B,MATCH($G2741,'Catalog'!$A:$A,0)),$B2741))</f>
        <v>T43 XL</v>
      </c>
      <c r="I2741" s="8" t="str">
        <f aca="false">IF($G2741="","Unmatched","Matched")</f>
        <v>Unmatched</v>
      </c>
    </row>
    <row r="2742" customFormat="false" ht="15" hidden="false" customHeight="false" outlineLevel="0" collapsed="false">
      <c r="A2742" s="8" t="s">
        <v>918</v>
      </c>
      <c r="B2742" s="8" t="s">
        <v>1014</v>
      </c>
      <c r="C2742" s="19" t="n">
        <v>1</v>
      </c>
      <c r="D2742" s="19" t="n">
        <v>342.29</v>
      </c>
      <c r="E2742" s="19" t="n">
        <v>0</v>
      </c>
      <c r="F2742" s="19" t="n">
        <v>0</v>
      </c>
      <c r="G2742" s="8" t="str">
        <f aca="false">IFERROR(INDEX('TRANS'!$B:$B,MATCH($B2742,'TRANS'!$A:$A,0)),IFERROR(INDEX('TRANS'!$B:$B,MATCH(TRIM(SUBSTITUTE($B2742,CHAR(160)," ")),'TRANS'!$D:$D,0)),IFERROR(INDEX('Catalog'!$A:$A,MATCH($B2742,'Catalog'!$B:$B,0)),IFERROR(INDEX('Catalog'!$A:$A,MATCH(TRIM(SUBSTITUTE($B2742,CHAR(160)," ")),'Catalog'!$C:$C,0)),""))))</f>
        <v/>
      </c>
      <c r="H2742" s="8" t="str">
        <f aca="false">IFERROR(INDEX('TRANS'!$C:$C,MATCH($B2742,'TRANS'!$A:$A,0)),IFERROR(INDEX('Catalog'!$B:$B,MATCH($G2742,'Catalog'!$A:$A,0)),$B2742))</f>
        <v>T43 XXL</v>
      </c>
      <c r="I2742" s="8" t="str">
        <f aca="false">IF($G2742="","Unmatched","Matched")</f>
        <v>Unmatched</v>
      </c>
    </row>
    <row r="2743" customFormat="false" ht="15" hidden="false" customHeight="false" outlineLevel="0" collapsed="false">
      <c r="A2743" s="8" t="s">
        <v>918</v>
      </c>
      <c r="B2743" s="8" t="s">
        <v>790</v>
      </c>
      <c r="C2743" s="19" t="n">
        <v>0</v>
      </c>
      <c r="D2743" s="19" t="n">
        <v>0</v>
      </c>
      <c r="E2743" s="19" t="n">
        <v>1</v>
      </c>
      <c r="F2743" s="19" t="n">
        <v>728.73</v>
      </c>
      <c r="G2743" s="8" t="str">
        <f aca="false">IFERROR(INDEX('TRANS'!$B:$B,MATCH($B2743,'TRANS'!$A:$A,0)),IFERROR(INDEX('TRANS'!$B:$B,MATCH(TRIM(SUBSTITUTE($B2743,CHAR(160)," ")),'TRANS'!$D:$D,0)),IFERROR(INDEX('Catalog'!$A:$A,MATCH($B2743,'Catalog'!$B:$B,0)),IFERROR(INDEX('Catalog'!$A:$A,MATCH(TRIM(SUBSTITUTE($B2743,CHAR(160)," ")),'Catalog'!$C:$C,0)),""))))</f>
        <v/>
      </c>
      <c r="H2743" s="8" t="str">
        <f aca="false">IFERROR(INDEX('TRANS'!$C:$C,MATCH($B2743,'TRANS'!$A:$A,0)),IFERROR(INDEX('Catalog'!$B:$B,MATCH($G2743,'Catalog'!$A:$A,0)),$B2743))</f>
        <v>T43V L</v>
      </c>
      <c r="I2743" s="8" t="str">
        <f aca="false">IF($G2743="","Unmatched","Matched")</f>
        <v>Unmatched</v>
      </c>
    </row>
    <row r="2744" customFormat="false" ht="15" hidden="false" customHeight="false" outlineLevel="0" collapsed="false">
      <c r="A2744" s="8" t="s">
        <v>918</v>
      </c>
      <c r="B2744" s="8" t="s">
        <v>1015</v>
      </c>
      <c r="C2744" s="19" t="n">
        <v>0</v>
      </c>
      <c r="D2744" s="19" t="n">
        <v>0</v>
      </c>
      <c r="E2744" s="19" t="n">
        <v>1</v>
      </c>
      <c r="F2744" s="19" t="n">
        <v>655.85</v>
      </c>
      <c r="G2744" s="8" t="str">
        <f aca="false">IFERROR(INDEX('TRANS'!$B:$B,MATCH($B2744,'TRANS'!$A:$A,0)),IFERROR(INDEX('TRANS'!$B:$B,MATCH(TRIM(SUBSTITUTE($B2744,CHAR(160)," ")),'TRANS'!$D:$D,0)),IFERROR(INDEX('Catalog'!$A:$A,MATCH($B2744,'Catalog'!$B:$B,0)),IFERROR(INDEX('Catalog'!$A:$A,MATCH(TRIM(SUBSTITUTE($B2744,CHAR(160)," ")),'Catalog'!$C:$C,0)),""))))</f>
        <v/>
      </c>
      <c r="H2744" s="8" t="str">
        <f aca="false">IFERROR(INDEX('TRANS'!$C:$C,MATCH($B2744,'TRANS'!$A:$A,0)),IFERROR(INDEX('Catalog'!$B:$B,MATCH($G2744,'Catalog'!$A:$A,0)),$B2744))</f>
        <v>T43V M</v>
      </c>
      <c r="I2744" s="8" t="str">
        <f aca="false">IF($G2744="","Unmatched","Matched")</f>
        <v>Unmatched</v>
      </c>
    </row>
    <row r="2745" customFormat="false" ht="15" hidden="false" customHeight="false" outlineLevel="0" collapsed="false">
      <c r="A2745" s="8" t="s">
        <v>918</v>
      </c>
      <c r="B2745" s="8" t="s">
        <v>1016</v>
      </c>
      <c r="C2745" s="19" t="n">
        <v>0</v>
      </c>
      <c r="D2745" s="19" t="n">
        <v>0</v>
      </c>
      <c r="E2745" s="19" t="n">
        <v>2</v>
      </c>
      <c r="F2745" s="19" t="n">
        <v>1384.59</v>
      </c>
      <c r="G2745" s="8" t="str">
        <f aca="false">IFERROR(INDEX('TRANS'!$B:$B,MATCH($B2745,'TRANS'!$A:$A,0)),IFERROR(INDEX('TRANS'!$B:$B,MATCH(TRIM(SUBSTITUTE($B2745,CHAR(160)," ")),'TRANS'!$D:$D,0)),IFERROR(INDEX('Catalog'!$A:$A,MATCH($B2745,'Catalog'!$B:$B,0)),IFERROR(INDEX('Catalog'!$A:$A,MATCH(TRIM(SUBSTITUTE($B2745,CHAR(160)," ")),'Catalog'!$C:$C,0)),""))))</f>
        <v/>
      </c>
      <c r="H2745" s="8" t="str">
        <f aca="false">IFERROR(INDEX('TRANS'!$C:$C,MATCH($B2745,'TRANS'!$A:$A,0)),IFERROR(INDEX('Catalog'!$B:$B,MATCH($G2745,'Catalog'!$A:$A,0)),$B2745))</f>
        <v>T43V XL</v>
      </c>
      <c r="I2745" s="8" t="str">
        <f aca="false">IF($G2745="","Unmatched","Matched")</f>
        <v>Unmatched</v>
      </c>
    </row>
    <row r="2746" customFormat="false" ht="15" hidden="false" customHeight="false" outlineLevel="0" collapsed="false">
      <c r="A2746" s="8" t="s">
        <v>918</v>
      </c>
      <c r="B2746" s="8" t="s">
        <v>739</v>
      </c>
      <c r="C2746" s="19" t="n">
        <v>1</v>
      </c>
      <c r="D2746" s="19" t="n">
        <v>727.03</v>
      </c>
      <c r="E2746" s="19" t="n">
        <v>1</v>
      </c>
      <c r="F2746" s="19" t="n">
        <v>728.72</v>
      </c>
      <c r="G2746" s="8" t="str">
        <f aca="false">IFERROR(INDEX('TRANS'!$B:$B,MATCH($B2746,'TRANS'!$A:$A,0)),IFERROR(INDEX('TRANS'!$B:$B,MATCH(TRIM(SUBSTITUTE($B2746,CHAR(160)," ")),'TRANS'!$D:$D,0)),IFERROR(INDEX('Catalog'!$A:$A,MATCH($B2746,'Catalog'!$B:$B,0)),IFERROR(INDEX('Catalog'!$A:$A,MATCH(TRIM(SUBSTITUTE($B2746,CHAR(160)," ")),'Catalog'!$C:$C,0)),""))))</f>
        <v/>
      </c>
      <c r="H2746" s="8" t="str">
        <f aca="false">IFERROR(INDEX('TRANS'!$C:$C,MATCH($B2746,'TRANS'!$A:$A,0)),IFERROR(INDEX('Catalog'!$B:$B,MATCH($G2746,'Catalog'!$A:$A,0)),$B2746))</f>
        <v>T43V XXL</v>
      </c>
      <c r="I2746" s="8" t="str">
        <f aca="false">IF($G2746="","Unmatched","Matched")</f>
        <v>Unmatched</v>
      </c>
    </row>
    <row r="2747" customFormat="false" ht="15" hidden="false" customHeight="false" outlineLevel="0" collapsed="false">
      <c r="A2747" s="8" t="s">
        <v>918</v>
      </c>
      <c r="B2747" s="8" t="s">
        <v>673</v>
      </c>
      <c r="C2747" s="19" t="n">
        <v>8</v>
      </c>
      <c r="D2747" s="19" t="n">
        <v>1446.32</v>
      </c>
      <c r="E2747" s="19" t="n">
        <v>8</v>
      </c>
      <c r="F2747" s="19" t="n">
        <v>1524.73</v>
      </c>
      <c r="G2747" s="8" t="n">
        <f aca="false">IFERROR(INDEX('TRANS'!$B:$B,MATCH($B2747,'TRANS'!$A:$A,0)),IFERROR(INDEX('TRANS'!$B:$B,MATCH(TRIM(SUBSTITUTE($B2747,CHAR(160)," ")),'TRANS'!$D:$D,0)),IFERROR(INDEX('Catalog'!$A:$A,MATCH($B2747,'Catalog'!$B:$B,0)),IFERROR(INDEX('Catalog'!$A:$A,MATCH(TRIM(SUBSTITUTE($B2747,CHAR(160)," ")),'Catalog'!$C:$C,0)),""))))</f>
        <v>4413184</v>
      </c>
      <c r="H2747" s="8" t="str">
        <f aca="false">IFERROR(INDEX('TRANS'!$C:$C,MATCH($B2747,'TRANS'!$A:$A,0)),IFERROR(INDEX('Catalog'!$B:$B,MATCH($G2747,'Catalog'!$A:$A,0)),$B2747))</f>
        <v>T 45 L מגן ברך רגיל</v>
      </c>
      <c r="I2747" s="8" t="str">
        <f aca="false">IF($G2747="","Unmatched","Matched")</f>
        <v>Matched</v>
      </c>
    </row>
    <row r="2748" customFormat="false" ht="15" hidden="false" customHeight="false" outlineLevel="0" collapsed="false">
      <c r="A2748" s="8" t="s">
        <v>918</v>
      </c>
      <c r="B2748" s="8" t="s">
        <v>329</v>
      </c>
      <c r="C2748" s="19" t="n">
        <v>2</v>
      </c>
      <c r="D2748" s="19" t="n">
        <v>381.18</v>
      </c>
      <c r="E2748" s="19" t="n">
        <v>2</v>
      </c>
      <c r="F2748" s="19" t="n">
        <v>381.18</v>
      </c>
      <c r="G2748" s="8" t="n">
        <f aca="false">IFERROR(INDEX('TRANS'!$B:$B,MATCH($B2748,'TRANS'!$A:$A,0)),IFERROR(INDEX('TRANS'!$B:$B,MATCH(TRIM(SUBSTITUTE($B2748,CHAR(160)," ")),'TRANS'!$D:$D,0)),IFERROR(INDEX('Catalog'!$A:$A,MATCH($B2748,'Catalog'!$B:$B,0)),IFERROR(INDEX('Catalog'!$A:$A,MATCH(TRIM(SUBSTITUTE($B2748,CHAR(160)," ")),'Catalog'!$C:$C,0)),""))))</f>
        <v>4413183</v>
      </c>
      <c r="H2748" s="8" t="str">
        <f aca="false">IFERROR(INDEX('TRANS'!$C:$C,MATCH($B2748,'TRANS'!$A:$A,0)),IFERROR(INDEX('Catalog'!$B:$B,MATCH($G2748,'Catalog'!$A:$A,0)),$B2748))</f>
        <v>T 45 M מגן ברך רגיל</v>
      </c>
      <c r="I2748" s="8" t="str">
        <f aca="false">IF($G2748="","Unmatched","Matched")</f>
        <v>Matched</v>
      </c>
    </row>
    <row r="2749" customFormat="false" ht="15" hidden="false" customHeight="false" outlineLevel="0" collapsed="false">
      <c r="A2749" s="8" t="s">
        <v>918</v>
      </c>
      <c r="B2749" s="8" t="s">
        <v>674</v>
      </c>
      <c r="C2749" s="19" t="n">
        <v>2</v>
      </c>
      <c r="D2749" s="19" t="n">
        <v>321.84</v>
      </c>
      <c r="E2749" s="19" t="n">
        <v>4</v>
      </c>
      <c r="F2749" s="19" t="n">
        <v>743.31</v>
      </c>
      <c r="G2749" s="8" t="n">
        <f aca="false">IFERROR(INDEX('TRANS'!$B:$B,MATCH($B2749,'TRANS'!$A:$A,0)),IFERROR(INDEX('TRANS'!$B:$B,MATCH(TRIM(SUBSTITUTE($B2749,CHAR(160)," ")),'TRANS'!$D:$D,0)),IFERROR(INDEX('Catalog'!$A:$A,MATCH($B2749,'Catalog'!$B:$B,0)),IFERROR(INDEX('Catalog'!$A:$A,MATCH(TRIM(SUBSTITUTE($B2749,CHAR(160)," ")),'Catalog'!$C:$C,0)),""))))</f>
        <v>4413185</v>
      </c>
      <c r="H2749" s="8" t="str">
        <f aca="false">IFERROR(INDEX('TRANS'!$C:$C,MATCH($B2749,'TRANS'!$A:$A,0)),IFERROR(INDEX('Catalog'!$B:$B,MATCH($G2749,'Catalog'!$A:$A,0)),$B2749))</f>
        <v>T 45XL מגן ברך רגיל</v>
      </c>
      <c r="I2749" s="8" t="str">
        <f aca="false">IF($G2749="","Unmatched","Matched")</f>
        <v>Matched</v>
      </c>
    </row>
    <row r="2750" customFormat="false" ht="15" hidden="false" customHeight="false" outlineLevel="0" collapsed="false">
      <c r="A2750" s="8" t="s">
        <v>918</v>
      </c>
      <c r="B2750" s="8" t="s">
        <v>571</v>
      </c>
      <c r="C2750" s="19" t="n">
        <v>0</v>
      </c>
      <c r="D2750" s="19" t="n">
        <v>0</v>
      </c>
      <c r="E2750" s="19" t="n">
        <v>1</v>
      </c>
      <c r="F2750" s="19" t="n">
        <v>171.53</v>
      </c>
      <c r="G2750" s="8" t="str">
        <f aca="false">IFERROR(INDEX('TRANS'!$B:$B,MATCH($B2750,'TRANS'!$A:$A,0)),IFERROR(INDEX('TRANS'!$B:$B,MATCH(TRIM(SUBSTITUTE($B2750,CHAR(160)," ")),'TRANS'!$D:$D,0)),IFERROR(INDEX('Catalog'!$A:$A,MATCH($B2750,'Catalog'!$B:$B,0)),IFERROR(INDEX('Catalog'!$A:$A,MATCH(TRIM(SUBSTITUTE($B2750,CHAR(160)," ")),'Catalog'!$C:$C,0)),""))))</f>
        <v/>
      </c>
      <c r="H2750" s="8" t="str">
        <f aca="false">IFERROR(INDEX('TRANS'!$C:$C,MATCH($B2750,'TRANS'!$A:$A,0)),IFERROR(INDEX('Catalog'!$B:$B,MATCH($G2750,'Catalog'!$A:$A,0)),$B2750))</f>
        <v>T45 XS</v>
      </c>
      <c r="I2750" s="8" t="str">
        <f aca="false">IF($G2750="","Unmatched","Matched")</f>
        <v>Unmatched</v>
      </c>
    </row>
    <row r="2751" customFormat="false" ht="15" hidden="false" customHeight="false" outlineLevel="0" collapsed="false">
      <c r="A2751" s="8" t="s">
        <v>918</v>
      </c>
      <c r="B2751" s="8" t="s">
        <v>853</v>
      </c>
      <c r="C2751" s="19" t="n">
        <v>2</v>
      </c>
      <c r="D2751" s="19" t="n">
        <v>381.18</v>
      </c>
      <c r="E2751" s="19" t="n">
        <v>2</v>
      </c>
      <c r="F2751" s="19" t="n">
        <v>362.13</v>
      </c>
      <c r="G2751" s="8" t="n">
        <f aca="false">IFERROR(INDEX('TRANS'!$B:$B,MATCH($B2751,'TRANS'!$A:$A,0)),IFERROR(INDEX('TRANS'!$B:$B,MATCH(TRIM(SUBSTITUTE($B2751,CHAR(160)," ")),'TRANS'!$D:$D,0)),IFERROR(INDEX('Catalog'!$A:$A,MATCH($B2751,'Catalog'!$B:$B,0)),IFERROR(INDEX('Catalog'!$A:$A,MATCH(TRIM(SUBSTITUTE($B2751,CHAR(160)," ")),'Catalog'!$C:$C,0)),""))))</f>
        <v>4413286</v>
      </c>
      <c r="H2751" s="8" t="str">
        <f aca="false">IFERROR(INDEX('TRANS'!$C:$C,MATCH($B2751,'TRANS'!$A:$A,0)),IFERROR(INDEX('Catalog'!$B:$B,MATCH($G2751,'Catalog'!$A:$A,0)),$B2751))</f>
        <v>T45 XXL מגן ברך רגיל</v>
      </c>
      <c r="I2751" s="8" t="str">
        <f aca="false">IF($G2751="","Unmatched","Matched")</f>
        <v>Matched</v>
      </c>
    </row>
    <row r="2752" customFormat="false" ht="15" hidden="false" customHeight="false" outlineLevel="0" collapsed="false">
      <c r="A2752" s="8" t="s">
        <v>918</v>
      </c>
      <c r="B2752" s="8" t="s">
        <v>447</v>
      </c>
      <c r="C2752" s="19" t="n">
        <v>5</v>
      </c>
      <c r="D2752" s="19" t="n">
        <v>964.44</v>
      </c>
      <c r="E2752" s="19" t="n">
        <v>2</v>
      </c>
      <c r="F2752" s="19" t="n">
        <v>407.21</v>
      </c>
      <c r="G2752" s="8" t="str">
        <f aca="false">IFERROR(INDEX('TRANS'!$B:$B,MATCH($B2752,'TRANS'!$A:$A,0)),IFERROR(INDEX('TRANS'!$B:$B,MATCH(TRIM(SUBSTITUTE($B2752,CHAR(160)," ")),'TRANS'!$D:$D,0)),IFERROR(INDEX('Catalog'!$A:$A,MATCH($B2752,'Catalog'!$B:$B,0)),IFERROR(INDEX('Catalog'!$A:$A,MATCH(TRIM(SUBSTITUTE($B2752,CHAR(160)," ")),'Catalog'!$C:$C,0)),""))))</f>
        <v/>
      </c>
      <c r="H2752" s="8" t="str">
        <f aca="false">IFERROR(INDEX('TRANS'!$C:$C,MATCH($B2752,'TRANS'!$A:$A,0)),IFERROR(INDEX('Catalog'!$B:$B,MATCH($G2752,'Catalog'!$A:$A,0)),$B2752))</f>
        <v>T45X L</v>
      </c>
      <c r="I2752" s="8" t="str">
        <f aca="false">IF($G2752="","Unmatched","Matched")</f>
        <v>Unmatched</v>
      </c>
    </row>
    <row r="2753" customFormat="false" ht="15" hidden="false" customHeight="false" outlineLevel="0" collapsed="false">
      <c r="A2753" s="8" t="s">
        <v>918</v>
      </c>
      <c r="B2753" s="8" t="s">
        <v>448</v>
      </c>
      <c r="C2753" s="19" t="n">
        <v>3</v>
      </c>
      <c r="D2753" s="19" t="n">
        <v>578.66</v>
      </c>
      <c r="E2753" s="19" t="n">
        <v>1</v>
      </c>
      <c r="F2753" s="19" t="n">
        <v>214.33</v>
      </c>
      <c r="G2753" s="8" t="str">
        <f aca="false">IFERROR(INDEX('TRANS'!$B:$B,MATCH($B2753,'TRANS'!$A:$A,0)),IFERROR(INDEX('TRANS'!$B:$B,MATCH(TRIM(SUBSTITUTE($B2753,CHAR(160)," ")),'TRANS'!$D:$D,0)),IFERROR(INDEX('Catalog'!$A:$A,MATCH($B2753,'Catalog'!$B:$B,0)),IFERROR(INDEX('Catalog'!$A:$A,MATCH(TRIM(SUBSTITUTE($B2753,CHAR(160)," ")),'Catalog'!$C:$C,0)),""))))</f>
        <v/>
      </c>
      <c r="H2753" s="8" t="str">
        <f aca="false">IFERROR(INDEX('TRANS'!$C:$C,MATCH($B2753,'TRANS'!$A:$A,0)),IFERROR(INDEX('Catalog'!$B:$B,MATCH($G2753,'Catalog'!$A:$A,0)),$B2753))</f>
        <v>T45X M</v>
      </c>
      <c r="I2753" s="8" t="str">
        <f aca="false">IF($G2753="","Unmatched","Matched")</f>
        <v>Unmatched</v>
      </c>
    </row>
    <row r="2754" customFormat="false" ht="15" hidden="false" customHeight="false" outlineLevel="0" collapsed="false">
      <c r="A2754" s="8" t="s">
        <v>918</v>
      </c>
      <c r="B2754" s="8" t="s">
        <v>559</v>
      </c>
      <c r="C2754" s="19" t="n">
        <v>3</v>
      </c>
      <c r="D2754" s="19" t="n">
        <v>610.81</v>
      </c>
      <c r="E2754" s="19" t="n">
        <v>2</v>
      </c>
      <c r="F2754" s="19" t="n">
        <v>428.64</v>
      </c>
      <c r="G2754" s="8" t="n">
        <f aca="false">IFERROR(INDEX('TRANS'!$B:$B,MATCH($B2754,'TRANS'!$A:$A,0)),IFERROR(INDEX('TRANS'!$B:$B,MATCH(TRIM(SUBSTITUTE($B2754,CHAR(160)," ")),'TRANS'!$D:$D,0)),IFERROR(INDEX('Catalog'!$A:$A,MATCH($B2754,'Catalog'!$B:$B,0)),IFERROR(INDEX('Catalog'!$A:$A,MATCH(TRIM(SUBSTITUTE($B2754,CHAR(160)," ")),'Catalog'!$C:$C,0)),""))))</f>
        <v>4413224</v>
      </c>
      <c r="H2754" s="8" t="str">
        <f aca="false">IFERROR(INDEX('TRANS'!$C:$C,MATCH($B2754,'TRANS'!$A:$A,0)),IFERROR(INDEX('Catalog'!$B:$B,MATCH($G2754,'Catalog'!$A:$A,0)),$B2754))</f>
        <v>T45X XL מגן ברך רגיל</v>
      </c>
      <c r="I2754" s="8" t="str">
        <f aca="false">IF($G2754="","Unmatched","Matched")</f>
        <v>Matched</v>
      </c>
    </row>
    <row r="2755" customFormat="false" ht="15" hidden="false" customHeight="false" outlineLevel="0" collapsed="false">
      <c r="A2755" s="8" t="s">
        <v>918</v>
      </c>
      <c r="B2755" s="8" t="s">
        <v>450</v>
      </c>
      <c r="C2755" s="19" t="n">
        <v>3</v>
      </c>
      <c r="D2755" s="19" t="n">
        <v>610.81</v>
      </c>
      <c r="E2755" s="19" t="n">
        <v>4</v>
      </c>
      <c r="F2755" s="19" t="n">
        <v>857.28</v>
      </c>
      <c r="G2755" s="8" t="n">
        <f aca="false">IFERROR(INDEX('TRANS'!$B:$B,MATCH($B2755,'TRANS'!$A:$A,0)),IFERROR(INDEX('TRANS'!$B:$B,MATCH(TRIM(SUBSTITUTE($B2755,CHAR(160)," ")),'TRANS'!$D:$D,0)),IFERROR(INDEX('Catalog'!$A:$A,MATCH($B2755,'Catalog'!$B:$B,0)),IFERROR(INDEX('Catalog'!$A:$A,MATCH(TRIM(SUBSTITUTE($B2755,CHAR(160)," ")),'Catalog'!$C:$C,0)),""))))</f>
        <v>4413260</v>
      </c>
      <c r="H2755" s="8" t="str">
        <f aca="false">IFERROR(INDEX('TRANS'!$C:$C,MATCH($B2755,'TRANS'!$A:$A,0)),IFERROR(INDEX('Catalog'!$B:$B,MATCH($G2755,'Catalog'!$A:$A,0)),$B2755))</f>
        <v>T45X-XXLמגן ברך רגיל</v>
      </c>
      <c r="I2755" s="8" t="str">
        <f aca="false">IF($G2755="","Unmatched","Matched")</f>
        <v>Matched</v>
      </c>
    </row>
    <row r="2756" customFormat="false" ht="15" hidden="false" customHeight="false" outlineLevel="0" collapsed="false">
      <c r="A2756" s="8" t="s">
        <v>918</v>
      </c>
      <c r="B2756" s="8" t="s">
        <v>332</v>
      </c>
      <c r="C2756" s="19" t="n">
        <v>13</v>
      </c>
      <c r="D2756" s="19" t="n">
        <v>4143.74</v>
      </c>
      <c r="E2756" s="19" t="n">
        <v>17</v>
      </c>
      <c r="F2756" s="19" t="n">
        <v>4795.46</v>
      </c>
      <c r="G2756" s="8" t="n">
        <f aca="false">IFERROR(INDEX('TRANS'!$B:$B,MATCH($B2756,'TRANS'!$A:$A,0)),IFERROR(INDEX('TRANS'!$B:$B,MATCH(TRIM(SUBSTITUTE($B2756,CHAR(160)," ")),'TRANS'!$D:$D,0)),IFERROR(INDEX('Catalog'!$A:$A,MATCH($B2756,'Catalog'!$B:$B,0)),IFERROR(INDEX('Catalog'!$A:$A,MATCH(TRIM(SUBSTITUTE($B2756,CHAR(160)," ")),'Catalog'!$C:$C,0)),""))))</f>
        <v>4422006</v>
      </c>
      <c r="H2756" s="8" t="str">
        <f aca="false">IFERROR(INDEX('TRANS'!$C:$C,MATCH($B2756,'TRANS'!$A:$A,0)),IFERROR(INDEX('Catalog'!$B:$B,MATCH($G2756,'Catalog'!$A:$A,0)),$B2756))</f>
        <v>T78 L תומך זרוע וכתף</v>
      </c>
      <c r="I2756" s="8" t="str">
        <f aca="false">IF($G2756="","Unmatched","Matched")</f>
        <v>Matched</v>
      </c>
    </row>
    <row r="2757" customFormat="false" ht="15" hidden="false" customHeight="false" outlineLevel="0" collapsed="false">
      <c r="A2757" s="8" t="s">
        <v>918</v>
      </c>
      <c r="B2757" s="8" t="s">
        <v>452</v>
      </c>
      <c r="C2757" s="19" t="n">
        <v>13</v>
      </c>
      <c r="D2757" s="19" t="n">
        <v>4112.05</v>
      </c>
      <c r="E2757" s="19" t="n">
        <v>17</v>
      </c>
      <c r="F2757" s="19" t="n">
        <v>5388.52</v>
      </c>
      <c r="G2757" s="8" t="n">
        <f aca="false">IFERROR(INDEX('TRANS'!$B:$B,MATCH($B2757,'TRANS'!$A:$A,0)),IFERROR(INDEX('TRANS'!$B:$B,MATCH(TRIM(SUBSTITUTE($B2757,CHAR(160)," ")),'TRANS'!$D:$D,0)),IFERROR(INDEX('Catalog'!$A:$A,MATCH($B2757,'Catalog'!$B:$B,0)),IFERROR(INDEX('Catalog'!$A:$A,MATCH(TRIM(SUBSTITUTE($B2757,CHAR(160)," ")),'Catalog'!$C:$C,0)),""))))</f>
        <v>4422005</v>
      </c>
      <c r="H2757" s="8" t="str">
        <f aca="false">IFERROR(INDEX('TRANS'!$C:$C,MATCH($B2757,'TRANS'!$A:$A,0)),IFERROR(INDEX('Catalog'!$B:$B,MATCH($G2757,'Catalog'!$A:$A,0)),$B2757))</f>
        <v>T78 M תומך זרוע וכתף</v>
      </c>
      <c r="I2757" s="8" t="str">
        <f aca="false">IF($G2757="","Unmatched","Matched")</f>
        <v>Matched</v>
      </c>
    </row>
    <row r="2758" customFormat="false" ht="15" hidden="false" customHeight="false" outlineLevel="0" collapsed="false">
      <c r="A2758" s="8" t="s">
        <v>918</v>
      </c>
      <c r="B2758" s="8" t="s">
        <v>580</v>
      </c>
      <c r="C2758" s="19" t="n">
        <v>9</v>
      </c>
      <c r="D2758" s="19" t="n">
        <v>2866.41</v>
      </c>
      <c r="E2758" s="19" t="n">
        <v>7</v>
      </c>
      <c r="F2758" s="19" t="n">
        <v>2287.57</v>
      </c>
      <c r="G2758" s="8" t="n">
        <f aca="false">IFERROR(INDEX('TRANS'!$B:$B,MATCH($B2758,'TRANS'!$A:$A,0)),IFERROR(INDEX('TRANS'!$B:$B,MATCH(TRIM(SUBSTITUTE($B2758,CHAR(160)," ")),'TRANS'!$D:$D,0)),IFERROR(INDEX('Catalog'!$A:$A,MATCH($B2758,'Catalog'!$B:$B,0)),IFERROR(INDEX('Catalog'!$A:$A,MATCH(TRIM(SUBSTITUTE($B2758,CHAR(160)," ")),'Catalog'!$C:$C,0)),""))))</f>
        <v>4422004</v>
      </c>
      <c r="H2758" s="8" t="str">
        <f aca="false">IFERROR(INDEX('TRANS'!$C:$C,MATCH($B2758,'TRANS'!$A:$A,0)),IFERROR(INDEX('Catalog'!$B:$B,MATCH($G2758,'Catalog'!$A:$A,0)),$B2758))</f>
        <v>T78 S תומך זרוע וכתף</v>
      </c>
      <c r="I2758" s="8" t="str">
        <f aca="false">IF($G2758="","Unmatched","Matched")</f>
        <v>Matched</v>
      </c>
    </row>
    <row r="2759" customFormat="false" ht="15" hidden="false" customHeight="false" outlineLevel="0" collapsed="false">
      <c r="A2759" s="8" t="s">
        <v>918</v>
      </c>
      <c r="B2759" s="8" t="s">
        <v>632</v>
      </c>
      <c r="C2759" s="19" t="n">
        <v>4</v>
      </c>
      <c r="D2759" s="19" t="n">
        <v>1266.48</v>
      </c>
      <c r="E2759" s="19" t="n">
        <v>3</v>
      </c>
      <c r="F2759" s="19" t="n">
        <v>881.15</v>
      </c>
      <c r="G2759" s="8" t="n">
        <f aca="false">IFERROR(INDEX('TRANS'!$B:$B,MATCH($B2759,'TRANS'!$A:$A,0)),IFERROR(INDEX('TRANS'!$B:$B,MATCH(TRIM(SUBSTITUTE($B2759,CHAR(160)," ")),'TRANS'!$D:$D,0)),IFERROR(INDEX('Catalog'!$A:$A,MATCH($B2759,'Catalog'!$B:$B,0)),IFERROR(INDEX('Catalog'!$A:$A,MATCH(TRIM(SUBSTITUTE($B2759,CHAR(160)," ")),'Catalog'!$C:$C,0)),""))))</f>
        <v>4422007</v>
      </c>
      <c r="H2759" s="8" t="str">
        <f aca="false">IFERROR(INDEX('TRANS'!$C:$C,MATCH($B2759,'TRANS'!$A:$A,0)),IFERROR(INDEX('Catalog'!$B:$B,MATCH($G2759,'Catalog'!$A:$A,0)),$B2759))</f>
        <v>T78 XLתומך זרוע וכתף</v>
      </c>
      <c r="I2759" s="8" t="str">
        <f aca="false">IF($G2759="","Unmatched","Matched")</f>
        <v>Matched</v>
      </c>
    </row>
    <row r="2760" customFormat="false" ht="15" hidden="false" customHeight="false" outlineLevel="0" collapsed="false">
      <c r="A2760" s="8" t="s">
        <v>918</v>
      </c>
      <c r="B2760" s="8" t="s">
        <v>675</v>
      </c>
      <c r="C2760" s="19" t="n">
        <v>7</v>
      </c>
      <c r="D2760" s="19" t="n">
        <v>2187.78</v>
      </c>
      <c r="E2760" s="19" t="n">
        <v>11</v>
      </c>
      <c r="F2760" s="19" t="n">
        <v>3592.34</v>
      </c>
      <c r="G2760" s="8" t="str">
        <f aca="false">IFERROR(INDEX('TRANS'!$B:$B,MATCH($B2760,'TRANS'!$A:$A,0)),IFERROR(INDEX('TRANS'!$B:$B,MATCH(TRIM(SUBSTITUTE($B2760,CHAR(160)," ")),'TRANS'!$D:$D,0)),IFERROR(INDEX('Catalog'!$A:$A,MATCH($B2760,'Catalog'!$B:$B,0)),IFERROR(INDEX('Catalog'!$A:$A,MATCH(TRIM(SUBSTITUTE($B2760,CHAR(160)," ")),'Catalog'!$C:$C,0)),""))))</f>
        <v/>
      </c>
      <c r="H2760" s="8" t="str">
        <f aca="false">IFERROR(INDEX('TRANS'!$C:$C,MATCH($B2760,'TRANS'!$A:$A,0)),IFERROR(INDEX('Catalog'!$B:$B,MATCH($G2760,'Catalog'!$A:$A,0)),$B2760))</f>
        <v>T78 XS</v>
      </c>
      <c r="I2760" s="8" t="str">
        <f aca="false">IF($G2760="","Unmatched","Matched")</f>
        <v>Unmatched</v>
      </c>
    </row>
    <row r="2761" customFormat="false" ht="15" hidden="false" customHeight="false" outlineLevel="0" collapsed="false">
      <c r="A2761" s="8" t="s">
        <v>918</v>
      </c>
      <c r="B2761" s="8" t="s">
        <v>612</v>
      </c>
      <c r="C2761" s="19" t="n">
        <v>5</v>
      </c>
      <c r="D2761" s="19" t="n">
        <v>1653.83</v>
      </c>
      <c r="E2761" s="19" t="n">
        <v>5</v>
      </c>
      <c r="F2761" s="19" t="n">
        <v>1609.78</v>
      </c>
      <c r="G2761" s="8" t="n">
        <f aca="false">IFERROR(INDEX('TRANS'!$B:$B,MATCH($B2761,'TRANS'!$A:$A,0)),IFERROR(INDEX('TRANS'!$B:$B,MATCH(TRIM(SUBSTITUTE($B2761,CHAR(160)," ")),'TRANS'!$D:$D,0)),IFERROR(INDEX('Catalog'!$A:$A,MATCH($B2761,'Catalog'!$B:$B,0)),IFERROR(INDEX('Catalog'!$A:$A,MATCH(TRIM(SUBSTITUTE($B2761,CHAR(160)," ")),'Catalog'!$C:$C,0)),""))))</f>
        <v>4422009</v>
      </c>
      <c r="H2761" s="8" t="str">
        <f aca="false">IFERROR(INDEX('TRANS'!$C:$C,MATCH($B2761,'TRANS'!$A:$A,0)),IFERROR(INDEX('Catalog'!$B:$B,MATCH($G2761,'Catalog'!$A:$A,0)),$B2761))</f>
        <v>T78 XXL תומך זרוע וכתף</v>
      </c>
      <c r="I2761" s="8" t="str">
        <f aca="false">IF($G2761="","Unmatched","Matched")</f>
        <v>Matched</v>
      </c>
    </row>
    <row r="2762" customFormat="false" ht="15" hidden="false" customHeight="false" outlineLevel="0" collapsed="false">
      <c r="A2762" s="8" t="s">
        <v>918</v>
      </c>
      <c r="B2762" s="8" t="s">
        <v>453</v>
      </c>
      <c r="C2762" s="19" t="n">
        <v>1</v>
      </c>
      <c r="D2762" s="19" t="n">
        <v>85.54</v>
      </c>
      <c r="E2762" s="19" t="n">
        <v>0</v>
      </c>
      <c r="F2762" s="19" t="n">
        <v>0</v>
      </c>
      <c r="G2762" s="8" t="str">
        <f aca="false">IFERROR(INDEX('TRANS'!$B:$B,MATCH($B2762,'TRANS'!$A:$A,0)),IFERROR(INDEX('TRANS'!$B:$B,MATCH(TRIM(SUBSTITUTE($B2762,CHAR(160)," ")),'TRANS'!$D:$D,0)),IFERROR(INDEX('Catalog'!$A:$A,MATCH($B2762,'Catalog'!$B:$B,0)),IFERROR(INDEX('Catalog'!$A:$A,MATCH(TRIM(SUBSTITUTE($B2762,CHAR(160)," ")),'Catalog'!$C:$C,0)),""))))</f>
        <v/>
      </c>
      <c r="H2762" s="8" t="str">
        <f aca="false">IFERROR(INDEX('TRANS'!$C:$C,MATCH($B2762,'TRANS'!$A:$A,0)),IFERROR(INDEX('Catalog'!$B:$B,MATCH($G2762,'Catalog'!$A:$A,0)),$B2762))</f>
        <v>T95 L</v>
      </c>
      <c r="I2762" s="8" t="str">
        <f aca="false">IF($G2762="","Unmatched","Matched")</f>
        <v>Unmatched</v>
      </c>
    </row>
    <row r="2763" customFormat="false" ht="15" hidden="false" customHeight="false" outlineLevel="0" collapsed="false">
      <c r="A2763" s="8" t="s">
        <v>918</v>
      </c>
      <c r="B2763" s="8" t="s">
        <v>560</v>
      </c>
      <c r="C2763" s="19" t="n">
        <v>3</v>
      </c>
      <c r="D2763" s="19" t="n">
        <v>427.74</v>
      </c>
      <c r="E2763" s="19" t="n">
        <v>0</v>
      </c>
      <c r="F2763" s="19" t="n">
        <v>0</v>
      </c>
      <c r="G2763" s="8" t="str">
        <f aca="false">IFERROR(INDEX('TRANS'!$B:$B,MATCH($B2763,'TRANS'!$A:$A,0)),IFERROR(INDEX('TRANS'!$B:$B,MATCH(TRIM(SUBSTITUTE($B2763,CHAR(160)," ")),'TRANS'!$D:$D,0)),IFERROR(INDEX('Catalog'!$A:$A,MATCH($B2763,'Catalog'!$B:$B,0)),IFERROR(INDEX('Catalog'!$A:$A,MATCH(TRIM(SUBSTITUTE($B2763,CHAR(160)," ")),'Catalog'!$C:$C,0)),""))))</f>
        <v/>
      </c>
      <c r="H2763" s="8" t="str">
        <f aca="false">IFERROR(INDEX('TRANS'!$C:$C,MATCH($B2763,'TRANS'!$A:$A,0)),IFERROR(INDEX('Catalog'!$B:$B,MATCH($G2763,'Catalog'!$A:$A,0)),$B2763))</f>
        <v>T95 M</v>
      </c>
      <c r="I2763" s="8" t="str">
        <f aca="false">IF($G2763="","Unmatched","Matched")</f>
        <v>Unmatched</v>
      </c>
    </row>
    <row r="2764" customFormat="false" ht="15" hidden="false" customHeight="false" outlineLevel="0" collapsed="false">
      <c r="A2764" s="8" t="s">
        <v>918</v>
      </c>
      <c r="B2764" s="8" t="s">
        <v>546</v>
      </c>
      <c r="C2764" s="19" t="n">
        <v>1</v>
      </c>
      <c r="D2764" s="19" t="n">
        <v>145.43</v>
      </c>
      <c r="E2764" s="19" t="n">
        <v>0</v>
      </c>
      <c r="F2764" s="19" t="n">
        <v>0</v>
      </c>
      <c r="G2764" s="8" t="n">
        <f aca="false">IFERROR(INDEX('TRANS'!$B:$B,MATCH($B2764,'TRANS'!$A:$A,0)),IFERROR(INDEX('TRANS'!$B:$B,MATCH(TRIM(SUBSTITUTE($B2764,CHAR(160)," ")),'TRANS'!$D:$D,0)),IFERROR(INDEX('Catalog'!$A:$A,MATCH($B2764,'Catalog'!$B:$B,0)),IFERROR(INDEX('Catalog'!$A:$A,MATCH(TRIM(SUBSTITUTE($B2764,CHAR(160)," ")),'Catalog'!$C:$C,0)),""))))</f>
        <v>4413210</v>
      </c>
      <c r="H2764" s="8" t="str">
        <f aca="false">IFERROR(INDEX('TRANS'!$C:$C,MATCH($B2764,'TRANS'!$A:$A,0)),IFERROR(INDEX('Catalog'!$B:$B,MATCH($G2764,'Catalog'!$A:$A,0)),$B2764))</f>
        <v>T95 S מגן מרפק רגיל</v>
      </c>
      <c r="I2764" s="8" t="str">
        <f aca="false">IF($G2764="","Unmatched","Matched")</f>
        <v>Matched</v>
      </c>
    </row>
    <row r="2765" customFormat="false" ht="15" hidden="false" customHeight="false" outlineLevel="0" collapsed="false">
      <c r="A2765" s="8" t="s">
        <v>918</v>
      </c>
      <c r="B2765" s="8" t="s">
        <v>1017</v>
      </c>
      <c r="C2765" s="19" t="n">
        <v>2</v>
      </c>
      <c r="D2765" s="19" t="n">
        <v>342.2</v>
      </c>
      <c r="E2765" s="19" t="n">
        <v>0</v>
      </c>
      <c r="F2765" s="19" t="n">
        <v>0</v>
      </c>
      <c r="G2765" s="8" t="str">
        <f aca="false">IFERROR(INDEX('TRANS'!$B:$B,MATCH($B2765,'TRANS'!$A:$A,0)),IFERROR(INDEX('TRANS'!$B:$B,MATCH(TRIM(SUBSTITUTE($B2765,CHAR(160)," ")),'TRANS'!$D:$D,0)),IFERROR(INDEX('Catalog'!$A:$A,MATCH($B2765,'Catalog'!$B:$B,0)),IFERROR(INDEX('Catalog'!$A:$A,MATCH(TRIM(SUBSTITUTE($B2765,CHAR(160)," ")),'Catalog'!$C:$C,0)),""))))</f>
        <v/>
      </c>
      <c r="H2765" s="8" t="str">
        <f aca="false">IFERROR(INDEX('TRANS'!$C:$C,MATCH($B2765,'TRANS'!$A:$A,0)),IFERROR(INDEX('Catalog'!$B:$B,MATCH($G2765,'Catalog'!$A:$A,0)),$B2765))</f>
        <v>T95 XS</v>
      </c>
      <c r="I2765" s="8" t="str">
        <f aca="false">IF($G2765="","Unmatched","Matched")</f>
        <v>Unmatched</v>
      </c>
    </row>
    <row r="2766" customFormat="false" ht="15" hidden="false" customHeight="false" outlineLevel="0" collapsed="false">
      <c r="A2766" s="8" t="s">
        <v>918</v>
      </c>
      <c r="B2766" s="8" t="s">
        <v>708</v>
      </c>
      <c r="C2766" s="19" t="n">
        <v>342</v>
      </c>
      <c r="D2766" s="19" t="n">
        <v>45417.98</v>
      </c>
      <c r="E2766" s="19" t="n">
        <v>4</v>
      </c>
      <c r="F2766" s="19" t="n">
        <v>532.72</v>
      </c>
      <c r="G2766" s="8" t="str">
        <f aca="false">IFERROR(INDEX('TRANS'!$B:$B,MATCH($B2766,'TRANS'!$A:$A,0)),IFERROR(INDEX('TRANS'!$B:$B,MATCH(TRIM(SUBSTITUTE($B2766,CHAR(160)," ")),'TRANS'!$D:$D,0)),IFERROR(INDEX('Catalog'!$A:$A,MATCH($B2766,'Catalog'!$B:$B,0)),IFERROR(INDEX('Catalog'!$A:$A,MATCH(TRIM(SUBSTITUTE($B2766,CHAR(160)," ")),'Catalog'!$C:$C,0)),""))))</f>
        <v/>
      </c>
      <c r="H2766" s="8" t="str">
        <f aca="false">IFERROR(INDEX('TRANS'!$C:$C,MATCH($B2766,'TRANS'!$A:$A,0)),IFERROR(INDEX('Catalog'!$B:$B,MATCH($G2766,'Catalog'!$A:$A,0)),$B2766))</f>
        <v>WEB-AC75 XXL</v>
      </c>
      <c r="I2766" s="8" t="str">
        <f aca="false">IF($G2766="","Unmatched","Matched")</f>
        <v>Unmatched</v>
      </c>
    </row>
    <row r="2767" customFormat="false" ht="15" hidden="false" customHeight="false" outlineLevel="0" collapsed="false">
      <c r="A2767" s="8" t="s">
        <v>918</v>
      </c>
      <c r="B2767" s="8" t="s">
        <v>1018</v>
      </c>
      <c r="C2767" s="19" t="n">
        <v>1815</v>
      </c>
      <c r="D2767" s="19" t="n">
        <v>240271.27</v>
      </c>
      <c r="E2767" s="19" t="n">
        <v>20</v>
      </c>
      <c r="F2767" s="19" t="n">
        <v>2706.8</v>
      </c>
      <c r="G2767" s="8" t="str">
        <f aca="false">IFERROR(INDEX('TRANS'!$B:$B,MATCH($B2767,'TRANS'!$A:$A,0)),IFERROR(INDEX('TRANS'!$B:$B,MATCH(TRIM(SUBSTITUTE($B2767,CHAR(160)," ")),'TRANS'!$D:$D,0)),IFERROR(INDEX('Catalog'!$A:$A,MATCH($B2767,'Catalog'!$B:$B,0)),IFERROR(INDEX('Catalog'!$A:$A,MATCH(TRIM(SUBSTITUTE($B2767,CHAR(160)," ")),'Catalog'!$C:$C,0)),""))))</f>
        <v/>
      </c>
      <c r="H2767" s="8" t="str">
        <f aca="false">IFERROR(INDEX('TRANS'!$C:$C,MATCH($B2767,'TRANS'!$A:$A,0)),IFERROR(INDEX('Catalog'!$B:$B,MATCH($G2767,'Catalog'!$A:$A,0)),$B2767))</f>
        <v>WEB-AC75-S-XL</v>
      </c>
      <c r="I2767" s="8" t="str">
        <f aca="false">IF($G2767="","Unmatched","Matched")</f>
        <v>Unmatched</v>
      </c>
    </row>
    <row r="2768" customFormat="false" ht="15" hidden="false" customHeight="false" outlineLevel="0" collapsed="false">
      <c r="A2768" s="8" t="s">
        <v>918</v>
      </c>
      <c r="B2768" s="8" t="s">
        <v>1019</v>
      </c>
      <c r="C2768" s="19" t="n">
        <v>0</v>
      </c>
      <c r="D2768" s="19" t="n">
        <v>0</v>
      </c>
      <c r="E2768" s="19" t="n">
        <v>0</v>
      </c>
      <c r="F2768" s="19" t="n">
        <v>-169.32</v>
      </c>
      <c r="G2768" s="8" t="str">
        <f aca="false">IFERROR(INDEX('TRANS'!$B:$B,MATCH($B2768,'TRANS'!$A:$A,0)),IFERROR(INDEX('TRANS'!$B:$B,MATCH(TRIM(SUBSTITUTE($B2768,CHAR(160)," ")),'TRANS'!$D:$D,0)),IFERROR(INDEX('Catalog'!$A:$A,MATCH($B2768,'Catalog'!$B:$B,0)),IFERROR(INDEX('Catalog'!$A:$A,MATCH(TRIM(SUBSTITUTE($B2768,CHAR(160)," ")),'Catalog'!$C:$C,0)),""))))</f>
        <v/>
      </c>
      <c r="H2768" s="8" t="str">
        <f aca="false">IFERROR(INDEX('TRANS'!$C:$C,MATCH($B2768,'TRANS'!$A:$A,0)),IFERROR(INDEX('Catalog'!$B:$B,MATCH($G2768,'Catalog'!$A:$A,0)),$B2768))</f>
        <v>הנחה 200 ש"ח</v>
      </c>
      <c r="I2768" s="8" t="str">
        <f aca="false">IF($G2768="","Unmatched","Matched")</f>
        <v>Unmatched</v>
      </c>
    </row>
    <row r="2769" customFormat="false" ht="15" hidden="false" customHeight="false" outlineLevel="0" collapsed="false">
      <c r="A2769" s="8" t="s">
        <v>918</v>
      </c>
      <c r="B2769" s="8" t="s">
        <v>1020</v>
      </c>
      <c r="C2769" s="19" t="n">
        <v>2</v>
      </c>
      <c r="D2769" s="19" t="n">
        <v>181.43</v>
      </c>
      <c r="E2769" s="19" t="n">
        <v>0</v>
      </c>
      <c r="F2769" s="19" t="n">
        <v>0</v>
      </c>
      <c r="G2769" s="8" t="str">
        <f aca="false">IFERROR(INDEX('TRANS'!$B:$B,MATCH($B2769,'TRANS'!$A:$A,0)),IFERROR(INDEX('TRANS'!$B:$B,MATCH(TRIM(SUBSTITUTE($B2769,CHAR(160)," ")),'TRANS'!$D:$D,0)),IFERROR(INDEX('Catalog'!$A:$A,MATCH($B2769,'Catalog'!$B:$B,0)),IFERROR(INDEX('Catalog'!$A:$A,MATCH(TRIM(SUBSTITUTE($B2769,CHAR(160)," ")),'Catalog'!$C:$C,0)),""))))</f>
        <v/>
      </c>
      <c r="H2769" s="8" t="str">
        <f aca="false">IFERROR(INDEX('TRANS'!$C:$C,MATCH($B2769,'TRANS'!$A:$A,0)),IFERROR(INDEX('Catalog'!$B:$B,MATCH($G2769,'Catalog'!$A:$A,0)),$B2769))</f>
        <v>הנחות לקוחות</v>
      </c>
      <c r="I2769" s="8" t="str">
        <f aca="false">IF($G2769="","Unmatched","Matched")</f>
        <v>Unmatched</v>
      </c>
    </row>
    <row r="2770" customFormat="false" ht="15" hidden="false" customHeight="false" outlineLevel="0" collapsed="false">
      <c r="A2770" s="8" t="s">
        <v>1021</v>
      </c>
      <c r="B2770" s="8" t="s">
        <v>637</v>
      </c>
      <c r="C2770" s="19" t="n">
        <v>1</v>
      </c>
      <c r="D2770" s="19" t="n">
        <v>282.12</v>
      </c>
      <c r="E2770" s="19" t="n">
        <v>0</v>
      </c>
      <c r="F2770" s="19" t="n">
        <v>0</v>
      </c>
      <c r="G2770" s="8" t="n">
        <f aca="false">IFERROR(INDEX('TRANS'!$B:$B,MATCH($B2770,'TRANS'!$A:$A,0)),IFERROR(INDEX('TRANS'!$B:$B,MATCH(TRIM(SUBSTITUTE($B2770,CHAR(160)," ")),'TRANS'!$D:$D,0)),IFERROR(INDEX('Catalog'!$A:$A,MATCH($B2770,'Catalog'!$B:$B,0)),IFERROR(INDEX('Catalog'!$A:$A,MATCH(TRIM(SUBSTITUTE($B2770,CHAR(160)," ")),'Catalog'!$C:$C,0)),""))))</f>
        <v>4408245</v>
      </c>
      <c r="H2770" s="8" t="str">
        <f aca="false">IFERROR(INDEX('TRANS'!$C:$C,MATCH($B2770,'TRANS'!$A:$A,0)),IFERROR(INDEX('Catalog'!$B:$B,MATCH($G2770,'Catalog'!$A:$A,0)),$B2770))</f>
        <v>077A   XXL חגורת גב עם חיזוקים</v>
      </c>
      <c r="I2770" s="8" t="str">
        <f aca="false">IF($G2770="","Unmatched","Matched")</f>
        <v>Matched</v>
      </c>
    </row>
    <row r="2771" customFormat="false" ht="15" hidden="false" customHeight="false" outlineLevel="0" collapsed="false">
      <c r="A2771" s="8" t="s">
        <v>1021</v>
      </c>
      <c r="B2771" s="8" t="s">
        <v>573</v>
      </c>
      <c r="C2771" s="19" t="n">
        <v>2</v>
      </c>
      <c r="D2771" s="19" t="n">
        <v>564.24</v>
      </c>
      <c r="E2771" s="19" t="n">
        <v>2</v>
      </c>
      <c r="F2771" s="19" t="n">
        <v>564.24</v>
      </c>
      <c r="G2771" s="8" t="n">
        <f aca="false">IFERROR(INDEX('TRANS'!$B:$B,MATCH($B2771,'TRANS'!$A:$A,0)),IFERROR(INDEX('TRANS'!$B:$B,MATCH(TRIM(SUBSTITUTE($B2771,CHAR(160)," ")),'TRANS'!$D:$D,0)),IFERROR(INDEX('Catalog'!$A:$A,MATCH($B2771,'Catalog'!$B:$B,0)),IFERROR(INDEX('Catalog'!$A:$A,MATCH(TRIM(SUBSTITUTE($B2771,CHAR(160)," ")),'Catalog'!$C:$C,0)),""))))</f>
        <v>4408135</v>
      </c>
      <c r="H2771" s="8" t="str">
        <f aca="false">IFERROR(INDEX('TRANS'!$C:$C,MATCH($B2771,'TRANS'!$A:$A,0)),IFERROR(INDEX('Catalog'!$B:$B,MATCH($G2771,'Catalog'!$A:$A,0)),$B2771))</f>
        <v>077A L-XLחגורת גב</v>
      </c>
      <c r="I2771" s="8" t="str">
        <f aca="false">IF($G2771="","Unmatched","Matched")</f>
        <v>Matched</v>
      </c>
    </row>
    <row r="2772" customFormat="false" ht="15" hidden="false" customHeight="false" outlineLevel="0" collapsed="false">
      <c r="A2772" s="8" t="s">
        <v>1021</v>
      </c>
      <c r="B2772" s="8" t="s">
        <v>60</v>
      </c>
      <c r="C2772" s="19" t="n">
        <v>6</v>
      </c>
      <c r="D2772" s="19" t="n">
        <v>1209.65</v>
      </c>
      <c r="E2772" s="19" t="n">
        <v>0</v>
      </c>
      <c r="F2772" s="19" t="n">
        <v>0</v>
      </c>
      <c r="G2772" s="8" t="n">
        <f aca="false">IFERROR(INDEX('TRANS'!$B:$B,MATCH($B2772,'TRANS'!$A:$A,0)),IFERROR(INDEX('TRANS'!$B:$B,MATCH(TRIM(SUBSTITUTE($B2772,CHAR(160)," ")),'TRANS'!$D:$D,0)),IFERROR(INDEX('Catalog'!$A:$A,MATCH($B2772,'Catalog'!$B:$B,0)),IFERROR(INDEX('Catalog'!$A:$A,MATCH(TRIM(SUBSTITUTE($B2772,CHAR(160)," ")),'Catalog'!$C:$C,0)),""))))</f>
        <v>4408192</v>
      </c>
      <c r="H2772" s="8" t="str">
        <f aca="false">IFERROR(INDEX('TRANS'!$C:$C,MATCH($B2772,'TRANS'!$A:$A,0)),IFERROR(INDEX('Catalog'!$B:$B,MATCH($G2772,'Catalog'!$A:$A,0)),$B2772))</f>
        <v>078 L חגורת גב +סגירה</v>
      </c>
      <c r="I2772" s="8" t="str">
        <f aca="false">IF($G2772="","Unmatched","Matched")</f>
        <v>Matched</v>
      </c>
    </row>
    <row r="2773" customFormat="false" ht="15" hidden="false" customHeight="false" outlineLevel="0" collapsed="false">
      <c r="A2773" s="8" t="s">
        <v>1021</v>
      </c>
      <c r="B2773" s="8" t="s">
        <v>454</v>
      </c>
      <c r="C2773" s="19" t="n">
        <v>2</v>
      </c>
      <c r="D2773" s="19" t="n">
        <v>423.56</v>
      </c>
      <c r="E2773" s="19" t="n">
        <v>0</v>
      </c>
      <c r="F2773" s="19" t="n">
        <v>0</v>
      </c>
      <c r="G2773" s="8" t="n">
        <f aca="false">IFERROR(INDEX('TRANS'!$B:$B,MATCH($B2773,'TRANS'!$A:$A,0)),IFERROR(INDEX('TRANS'!$B:$B,MATCH(TRIM(SUBSTITUTE($B2773,CHAR(160)," ")),'TRANS'!$D:$D,0)),IFERROR(INDEX('Catalog'!$A:$A,MATCH($B2773,'Catalog'!$B:$B,0)),IFERROR(INDEX('Catalog'!$A:$A,MATCH(TRIM(SUBSTITUTE($B2773,CHAR(160)," ")),'Catalog'!$C:$C,0)),""))))</f>
        <v>4408190</v>
      </c>
      <c r="H2773" s="8" t="str">
        <f aca="false">IFERROR(INDEX('TRANS'!$C:$C,MATCH($B2773,'TRANS'!$A:$A,0)),IFERROR(INDEX('Catalog'!$B:$B,MATCH($G2773,'Catalog'!$A:$A,0)),$B2773))</f>
        <v>M078 חגורת גב +סגירה כפולה</v>
      </c>
      <c r="I2773" s="8" t="str">
        <f aca="false">IF($G2773="","Unmatched","Matched")</f>
        <v>Matched</v>
      </c>
    </row>
    <row r="2774" customFormat="false" ht="15" hidden="false" customHeight="false" outlineLevel="0" collapsed="false">
      <c r="A2774" s="8" t="s">
        <v>1021</v>
      </c>
      <c r="B2774" s="8" t="s">
        <v>61</v>
      </c>
      <c r="C2774" s="19" t="n">
        <v>2</v>
      </c>
      <c r="D2774" s="19" t="n">
        <v>423.56</v>
      </c>
      <c r="E2774" s="19" t="n">
        <v>0</v>
      </c>
      <c r="F2774" s="19" t="n">
        <v>0</v>
      </c>
      <c r="G2774" s="8" t="n">
        <f aca="false">IFERROR(INDEX('TRANS'!$B:$B,MATCH($B2774,'TRANS'!$A:$A,0)),IFERROR(INDEX('TRANS'!$B:$B,MATCH(TRIM(SUBSTITUTE($B2774,CHAR(160)," ")),'TRANS'!$D:$D,0)),IFERROR(INDEX('Catalog'!$A:$A,MATCH($B2774,'Catalog'!$B:$B,0)),IFERROR(INDEX('Catalog'!$A:$A,MATCH(TRIM(SUBSTITUTE($B2774,CHAR(160)," ")),'Catalog'!$C:$C,0)),""))))</f>
        <v>4408218</v>
      </c>
      <c r="H2774" s="8" t="str">
        <f aca="false">IFERROR(INDEX('TRANS'!$C:$C,MATCH($B2774,'TRANS'!$A:$A,0)),IFERROR(INDEX('Catalog'!$B:$B,MATCH($G2774,'Catalog'!$A:$A,0)),$B2774))</f>
        <v>078XL חגורת גב +סגירה כפולה</v>
      </c>
      <c r="I2774" s="8" t="str">
        <f aca="false">IF($G2774="","Unmatched","Matched")</f>
        <v>Matched</v>
      </c>
    </row>
    <row r="2775" customFormat="false" ht="15" hidden="false" customHeight="false" outlineLevel="0" collapsed="false">
      <c r="A2775" s="8" t="s">
        <v>1021</v>
      </c>
      <c r="B2775" s="8" t="s">
        <v>456</v>
      </c>
      <c r="C2775" s="19" t="n">
        <v>2</v>
      </c>
      <c r="D2775" s="19" t="n">
        <v>423.56</v>
      </c>
      <c r="E2775" s="19" t="n">
        <v>0</v>
      </c>
      <c r="F2775" s="19" t="n">
        <v>0</v>
      </c>
      <c r="G2775" s="8" t="n">
        <f aca="false">IFERROR(INDEX('TRANS'!$B:$B,MATCH($B2775,'TRANS'!$A:$A,0)),IFERROR(INDEX('TRANS'!$B:$B,MATCH(TRIM(SUBSTITUTE($B2775,CHAR(160)," ")),'TRANS'!$D:$D,0)),IFERROR(INDEX('Catalog'!$A:$A,MATCH($B2775,'Catalog'!$B:$B,0)),IFERROR(INDEX('Catalog'!$A:$A,MATCH(TRIM(SUBSTITUTE($B2775,CHAR(160)," ")),'Catalog'!$C:$C,0)),""))))</f>
        <v>4408265</v>
      </c>
      <c r="H2775" s="8" t="str">
        <f aca="false">IFERROR(INDEX('TRANS'!$C:$C,MATCH($B2775,'TRANS'!$A:$A,0)),IFERROR(INDEX('Catalog'!$B:$B,MATCH($G2775,'Catalog'!$A:$A,0)),$B2775))</f>
        <v>078XXL חגורת גב +סגירה כפולה</v>
      </c>
      <c r="I2775" s="8" t="str">
        <f aca="false">IF($G2775="","Unmatched","Matched")</f>
        <v>Matched</v>
      </c>
    </row>
    <row r="2776" customFormat="false" ht="15" hidden="false" customHeight="false" outlineLevel="0" collapsed="false">
      <c r="A2776" s="8" t="s">
        <v>1021</v>
      </c>
      <c r="B2776" s="8" t="s">
        <v>820</v>
      </c>
      <c r="C2776" s="19" t="n">
        <v>1</v>
      </c>
      <c r="D2776" s="19" t="n">
        <v>196.53</v>
      </c>
      <c r="E2776" s="19" t="n">
        <v>0</v>
      </c>
      <c r="F2776" s="19" t="n">
        <v>0</v>
      </c>
      <c r="G2776" s="8" t="str">
        <f aca="false">IFERROR(INDEX('TRANS'!$B:$B,MATCH($B2776,'TRANS'!$A:$A,0)),IFERROR(INDEX('TRANS'!$B:$B,MATCH(TRIM(SUBSTITUTE($B2776,CHAR(160)," ")),'TRANS'!$D:$D,0)),IFERROR(INDEX('Catalog'!$A:$A,MATCH($B2776,'Catalog'!$B:$B,0)),IFERROR(INDEX('Catalog'!$A:$A,MATCH(TRIM(SUBSTITUTE($B2776,CHAR(160)," ")),'Catalog'!$C:$C,0)),""))))</f>
        <v/>
      </c>
      <c r="H2776" s="8" t="str">
        <f aca="false">IFERROR(INDEX('TRANS'!$C:$C,MATCH($B2776,'TRANS'!$A:$A,0)),IFERROR(INDEX('Catalog'!$B:$B,MATCH($G2776,'Catalog'!$A:$A,0)),$B2776))</f>
        <v>267LB XXL</v>
      </c>
      <c r="I2776" s="8" t="str">
        <f aca="false">IF($G2776="","Unmatched","Matched")</f>
        <v>Unmatched</v>
      </c>
    </row>
    <row r="2777" customFormat="false" ht="15" hidden="false" customHeight="false" outlineLevel="0" collapsed="false">
      <c r="A2777" s="8" t="s">
        <v>1021</v>
      </c>
      <c r="B2777" s="8" t="s">
        <v>824</v>
      </c>
      <c r="C2777" s="19" t="n">
        <v>1</v>
      </c>
      <c r="D2777" s="19" t="n">
        <v>196.53</v>
      </c>
      <c r="E2777" s="19" t="n">
        <v>0</v>
      </c>
      <c r="F2777" s="19" t="n">
        <v>0</v>
      </c>
      <c r="G2777" s="8" t="str">
        <f aca="false">IFERROR(INDEX('TRANS'!$B:$B,MATCH($B2777,'TRANS'!$A:$A,0)),IFERROR(INDEX('TRANS'!$B:$B,MATCH(TRIM(SUBSTITUTE($B2777,CHAR(160)," ")),'TRANS'!$D:$D,0)),IFERROR(INDEX('Catalog'!$A:$A,MATCH($B2777,'Catalog'!$B:$B,0)),IFERROR(INDEX('Catalog'!$A:$A,MATCH(TRIM(SUBSTITUTE($B2777,CHAR(160)," ")),'Catalog'!$C:$C,0)),""))))</f>
        <v/>
      </c>
      <c r="H2777" s="8" t="str">
        <f aca="false">IFERROR(INDEX('TRANS'!$C:$C,MATCH($B2777,'TRANS'!$A:$A,0)),IFERROR(INDEX('Catalog'!$B:$B,MATCH($G2777,'Catalog'!$A:$A,0)),$B2777))</f>
        <v>267RB-S-M</v>
      </c>
      <c r="I2777" s="8" t="str">
        <f aca="false">IF($G2777="","Unmatched","Matched")</f>
        <v>Unmatched</v>
      </c>
    </row>
    <row r="2778" customFormat="false" ht="15" hidden="false" customHeight="false" outlineLevel="0" collapsed="false">
      <c r="A2778" s="8" t="s">
        <v>1021</v>
      </c>
      <c r="B2778" s="8" t="s">
        <v>353</v>
      </c>
      <c r="C2778" s="19" t="n">
        <v>2</v>
      </c>
      <c r="D2778" s="19" t="n">
        <v>257.46</v>
      </c>
      <c r="E2778" s="19" t="n">
        <v>0</v>
      </c>
      <c r="F2778" s="19" t="n">
        <v>0</v>
      </c>
      <c r="G2778" s="8" t="n">
        <f aca="false">IFERROR(INDEX('TRANS'!$B:$B,MATCH($B2778,'TRANS'!$A:$A,0)),IFERROR(INDEX('TRANS'!$B:$B,MATCH(TRIM(SUBSTITUTE($B2778,CHAR(160)," ")),'TRANS'!$D:$D,0)),IFERROR(INDEX('Catalog'!$A:$A,MATCH($B2778,'Catalog'!$B:$B,0)),IFERROR(INDEX('Catalog'!$A:$A,MATCH(TRIM(SUBSTITUTE($B2778,CHAR(160)," ")),'Catalog'!$C:$C,0)),""))))</f>
        <v>4420036</v>
      </c>
      <c r="H2778" s="8" t="str">
        <f aca="false">IFERROR(INDEX('TRANS'!$C:$C,MATCH($B2778,'TRANS'!$A:$A,0)),IFERROR(INDEX('Catalog'!$B:$B,MATCH($G2778,'Catalog'!$A:$A,0)),$B2778))</f>
        <v>301CM 41-45 'רפידת ג'ל בז</v>
      </c>
      <c r="I2778" s="8" t="str">
        <f aca="false">IF($G2778="","Unmatched","Matched")</f>
        <v>Matched</v>
      </c>
    </row>
    <row r="2779" customFormat="false" ht="15" hidden="false" customHeight="false" outlineLevel="0" collapsed="false">
      <c r="A2779" s="8" t="s">
        <v>1021</v>
      </c>
      <c r="B2779" s="8" t="s">
        <v>354</v>
      </c>
      <c r="C2779" s="19" t="n">
        <v>1</v>
      </c>
      <c r="D2779" s="19" t="n">
        <v>128.73</v>
      </c>
      <c r="E2779" s="19" t="n">
        <v>0</v>
      </c>
      <c r="F2779" s="19" t="n">
        <v>0</v>
      </c>
      <c r="G2779" s="8" t="n">
        <f aca="false">IFERROR(INDEX('TRANS'!$B:$B,MATCH($B2779,'TRANS'!$A:$A,0)),IFERROR(INDEX('TRANS'!$B:$B,MATCH(TRIM(SUBSTITUTE($B2779,CHAR(160)," ")),'TRANS'!$D:$D,0)),IFERROR(INDEX('Catalog'!$A:$A,MATCH($B2779,'Catalog'!$B:$B,0)),IFERROR(INDEX('Catalog'!$A:$A,MATCH(TRIM(SUBSTITUTE($B2779,CHAR(160)," ")),'Catalog'!$C:$C,0)),""))))</f>
        <v>4420035</v>
      </c>
      <c r="H2779" s="8" t="str">
        <f aca="false">IFERROR(INDEX('TRANS'!$C:$C,MATCH($B2779,'TRANS'!$A:$A,0)),IFERROR(INDEX('Catalog'!$B:$B,MATCH($G2779,'Catalog'!$A:$A,0)),$B2779))</f>
        <v>301CW 36-40 'רפידת ג'ל בז</v>
      </c>
      <c r="I2779" s="8" t="str">
        <f aca="false">IF($G2779="","Unmatched","Matched")</f>
        <v>Matched</v>
      </c>
    </row>
    <row r="2780" customFormat="false" ht="15" hidden="false" customHeight="false" outlineLevel="0" collapsed="false">
      <c r="A2780" s="8" t="s">
        <v>1021</v>
      </c>
      <c r="B2780" s="8" t="s">
        <v>129</v>
      </c>
      <c r="C2780" s="19" t="n">
        <v>0</v>
      </c>
      <c r="D2780" s="19" t="n">
        <v>0</v>
      </c>
      <c r="E2780" s="19" t="n">
        <v>1</v>
      </c>
      <c r="F2780" s="19" t="n">
        <v>231.27</v>
      </c>
      <c r="G2780" s="8" t="n">
        <f aca="false">IFERROR(INDEX('TRANS'!$B:$B,MATCH($B2780,'TRANS'!$A:$A,0)),IFERROR(INDEX('TRANS'!$B:$B,MATCH(TRIM(SUBSTITUTE($B2780,CHAR(160)," ")),'TRANS'!$D:$D,0)),IFERROR(INDEX('Catalog'!$A:$A,MATCH($B2780,'Catalog'!$B:$B,0)),IFERROR(INDEX('Catalog'!$A:$A,MATCH(TRIM(SUBSTITUTE($B2780,CHAR(160)," ")),'Catalog'!$C:$C,0)),""))))</f>
        <v>4413347</v>
      </c>
      <c r="H2780" s="8" t="str">
        <f aca="false">IFERROR(INDEX('TRANS'!$C:$C,MATCH($B2780,'TRANS'!$A:$A,0)),IFERROR(INDEX('Catalog'!$B:$B,MATCH($G2780,'Catalog'!$A:$A,0)),$B2780))</f>
        <v>322-L מגן קרסול+כרית סילקון</v>
      </c>
      <c r="I2780" s="8" t="str">
        <f aca="false">IF($G2780="","Unmatched","Matched")</f>
        <v>Matched</v>
      </c>
    </row>
    <row r="2781" customFormat="false" ht="15" hidden="false" customHeight="false" outlineLevel="0" collapsed="false">
      <c r="A2781" s="8" t="s">
        <v>1021</v>
      </c>
      <c r="B2781" s="8" t="s">
        <v>592</v>
      </c>
      <c r="C2781" s="19" t="n">
        <v>1</v>
      </c>
      <c r="D2781" s="19" t="n">
        <v>231.27</v>
      </c>
      <c r="E2781" s="19" t="n">
        <v>0</v>
      </c>
      <c r="F2781" s="19" t="n">
        <v>0</v>
      </c>
      <c r="G2781" s="8" t="str">
        <f aca="false">IFERROR(INDEX('TRANS'!$B:$B,MATCH($B2781,'TRANS'!$A:$A,0)),IFERROR(INDEX('TRANS'!$B:$B,MATCH(TRIM(SUBSTITUTE($B2781,CHAR(160)," ")),'TRANS'!$D:$D,0)),IFERROR(INDEX('Catalog'!$A:$A,MATCH($B2781,'Catalog'!$B:$B,0)),IFERROR(INDEX('Catalog'!$A:$A,MATCH(TRIM(SUBSTITUTE($B2781,CHAR(160)," ")),'Catalog'!$C:$C,0)),""))))</f>
        <v/>
      </c>
      <c r="H2781" s="8" t="str">
        <f aca="false">IFERROR(INDEX('TRANS'!$C:$C,MATCH($B2781,'TRANS'!$A:$A,0)),IFERROR(INDEX('Catalog'!$B:$B,MATCH($G2781,'Catalog'!$A:$A,0)),$B2781))</f>
        <v>322B L</v>
      </c>
      <c r="I2781" s="8" t="str">
        <f aca="false">IF($G2781="","Unmatched","Matched")</f>
        <v>Unmatched</v>
      </c>
    </row>
    <row r="2782" customFormat="false" ht="15" hidden="false" customHeight="false" outlineLevel="0" collapsed="false">
      <c r="A2782" s="8" t="s">
        <v>1021</v>
      </c>
      <c r="B2782" s="8" t="s">
        <v>648</v>
      </c>
      <c r="C2782" s="19" t="n">
        <v>1</v>
      </c>
      <c r="D2782" s="19" t="n">
        <v>231.27</v>
      </c>
      <c r="E2782" s="19" t="n">
        <v>0</v>
      </c>
      <c r="F2782" s="19" t="n">
        <v>0</v>
      </c>
      <c r="G2782" s="8" t="str">
        <f aca="false">IFERROR(INDEX('TRANS'!$B:$B,MATCH($B2782,'TRANS'!$A:$A,0)),IFERROR(INDEX('TRANS'!$B:$B,MATCH(TRIM(SUBSTITUTE($B2782,CHAR(160)," ")),'TRANS'!$D:$D,0)),IFERROR(INDEX('Catalog'!$A:$A,MATCH($B2782,'Catalog'!$B:$B,0)),IFERROR(INDEX('Catalog'!$A:$A,MATCH(TRIM(SUBSTITUTE($B2782,CHAR(160)," ")),'Catalog'!$C:$C,0)),""))))</f>
        <v/>
      </c>
      <c r="H2782" s="8" t="str">
        <f aca="false">IFERROR(INDEX('TRANS'!$C:$C,MATCH($B2782,'TRANS'!$A:$A,0)),IFERROR(INDEX('Catalog'!$B:$B,MATCH($G2782,'Catalog'!$A:$A,0)),$B2782))</f>
        <v>322B M</v>
      </c>
      <c r="I2782" s="8" t="str">
        <f aca="false">IF($G2782="","Unmatched","Matched")</f>
        <v>Unmatched</v>
      </c>
    </row>
    <row r="2783" customFormat="false" ht="15" hidden="false" customHeight="false" outlineLevel="0" collapsed="false">
      <c r="A2783" s="8" t="s">
        <v>1021</v>
      </c>
      <c r="B2783" s="8" t="s">
        <v>1022</v>
      </c>
      <c r="C2783" s="19" t="n">
        <v>1</v>
      </c>
      <c r="D2783" s="19" t="n">
        <v>231.27</v>
      </c>
      <c r="E2783" s="19" t="n">
        <v>1</v>
      </c>
      <c r="F2783" s="19" t="n">
        <v>231.27</v>
      </c>
      <c r="G2783" s="8" t="str">
        <f aca="false">IFERROR(INDEX('TRANS'!$B:$B,MATCH($B2783,'TRANS'!$A:$A,0)),IFERROR(INDEX('TRANS'!$B:$B,MATCH(TRIM(SUBSTITUTE($B2783,CHAR(160)," ")),'TRANS'!$D:$D,0)),IFERROR(INDEX('Catalog'!$A:$A,MATCH($B2783,'Catalog'!$B:$B,0)),IFERROR(INDEX('Catalog'!$A:$A,MATCH(TRIM(SUBSTITUTE($B2783,CHAR(160)," ")),'Catalog'!$C:$C,0)),""))))</f>
        <v/>
      </c>
      <c r="H2783" s="8" t="str">
        <f aca="false">IFERROR(INDEX('TRANS'!$C:$C,MATCH($B2783,'TRANS'!$A:$A,0)),IFERROR(INDEX('Catalog'!$B:$B,MATCH($G2783,'Catalog'!$A:$A,0)),$B2783))</f>
        <v>322B S</v>
      </c>
      <c r="I2783" s="8" t="str">
        <f aca="false">IF($G2783="","Unmatched","Matched")</f>
        <v>Unmatched</v>
      </c>
    </row>
    <row r="2784" customFormat="false" ht="15" hidden="false" customHeight="false" outlineLevel="0" collapsed="false">
      <c r="A2784" s="8" t="s">
        <v>1021</v>
      </c>
      <c r="B2784" s="8" t="s">
        <v>1023</v>
      </c>
      <c r="C2784" s="19" t="n">
        <v>1</v>
      </c>
      <c r="D2784" s="19" t="n">
        <v>231.27</v>
      </c>
      <c r="E2784" s="19" t="n">
        <v>1</v>
      </c>
      <c r="F2784" s="19" t="n">
        <v>231.27</v>
      </c>
      <c r="G2784" s="8" t="str">
        <f aca="false">IFERROR(INDEX('TRANS'!$B:$B,MATCH($B2784,'TRANS'!$A:$A,0)),IFERROR(INDEX('TRANS'!$B:$B,MATCH(TRIM(SUBSTITUTE($B2784,CHAR(160)," ")),'TRANS'!$D:$D,0)),IFERROR(INDEX('Catalog'!$A:$A,MATCH($B2784,'Catalog'!$B:$B,0)),IFERROR(INDEX('Catalog'!$A:$A,MATCH(TRIM(SUBSTITUTE($B2784,CHAR(160)," ")),'Catalog'!$C:$C,0)),""))))</f>
        <v/>
      </c>
      <c r="H2784" s="8" t="str">
        <f aca="false">IFERROR(INDEX('TRANS'!$C:$C,MATCH($B2784,'TRANS'!$A:$A,0)),IFERROR(INDEX('Catalog'!$B:$B,MATCH($G2784,'Catalog'!$A:$A,0)),$B2784))</f>
        <v>322B XL</v>
      </c>
      <c r="I2784" s="8" t="str">
        <f aca="false">IF($G2784="","Unmatched","Matched")</f>
        <v>Unmatched</v>
      </c>
    </row>
    <row r="2785" customFormat="false" ht="15" hidden="false" customHeight="false" outlineLevel="0" collapsed="false">
      <c r="A2785" s="8" t="s">
        <v>1021</v>
      </c>
      <c r="B2785" s="8" t="s">
        <v>1024</v>
      </c>
      <c r="C2785" s="19" t="n">
        <v>0</v>
      </c>
      <c r="D2785" s="19" t="n">
        <v>0</v>
      </c>
      <c r="E2785" s="19" t="n">
        <v>1</v>
      </c>
      <c r="F2785" s="19" t="n">
        <v>231.27</v>
      </c>
      <c r="G2785" s="8" t="str">
        <f aca="false">IFERROR(INDEX('TRANS'!$B:$B,MATCH($B2785,'TRANS'!$A:$A,0)),IFERROR(INDEX('TRANS'!$B:$B,MATCH(TRIM(SUBSTITUTE($B2785,CHAR(160)," ")),'TRANS'!$D:$D,0)),IFERROR(INDEX('Catalog'!$A:$A,MATCH($B2785,'Catalog'!$B:$B,0)),IFERROR(INDEX('Catalog'!$A:$A,MATCH(TRIM(SUBSTITUTE($B2785,CHAR(160)," ")),'Catalog'!$C:$C,0)),""))))</f>
        <v/>
      </c>
      <c r="H2785" s="8" t="str">
        <f aca="false">IFERROR(INDEX('TRANS'!$C:$C,MATCH($B2785,'TRANS'!$A:$A,0)),IFERROR(INDEX('Catalog'!$B:$B,MATCH($G2785,'Catalog'!$A:$A,0)),$B2785))</f>
        <v>322B XXL</v>
      </c>
      <c r="I2785" s="8" t="str">
        <f aca="false">IF($G2785="","Unmatched","Matched")</f>
        <v>Unmatched</v>
      </c>
    </row>
    <row r="2786" customFormat="false" ht="15" hidden="false" customHeight="false" outlineLevel="0" collapsed="false">
      <c r="A2786" s="8" t="s">
        <v>1021</v>
      </c>
      <c r="B2786" s="8" t="s">
        <v>130</v>
      </c>
      <c r="C2786" s="19" t="n">
        <v>2</v>
      </c>
      <c r="D2786" s="19" t="n">
        <v>445.6</v>
      </c>
      <c r="E2786" s="19" t="n">
        <v>0</v>
      </c>
      <c r="F2786" s="19" t="n">
        <v>0</v>
      </c>
      <c r="G2786" s="8" t="str">
        <f aca="false">IFERROR(INDEX('TRANS'!$B:$B,MATCH($B2786,'TRANS'!$A:$A,0)),IFERROR(INDEX('TRANS'!$B:$B,MATCH(TRIM(SUBSTITUTE($B2786,CHAR(160)," ")),'TRANS'!$D:$D,0)),IFERROR(INDEX('Catalog'!$A:$A,MATCH($B2786,'Catalog'!$B:$B,0)),IFERROR(INDEX('Catalog'!$A:$A,MATCH(TRIM(SUBSTITUTE($B2786,CHAR(160)," ")),'Catalog'!$C:$C,0)),""))))</f>
        <v/>
      </c>
      <c r="H2786" s="8" t="str">
        <f aca="false">IFERROR(INDEX('TRANS'!$C:$C,MATCH($B2786,'TRANS'!$A:$A,0)),IFERROR(INDEX('Catalog'!$B:$B,MATCH($G2786,'Catalog'!$A:$A,0)),$B2786))</f>
        <v>332B L</v>
      </c>
      <c r="I2786" s="8" t="str">
        <f aca="false">IF($G2786="","Unmatched","Matched")</f>
        <v>Unmatched</v>
      </c>
    </row>
    <row r="2787" customFormat="false" ht="15" hidden="false" customHeight="false" outlineLevel="0" collapsed="false">
      <c r="A2787" s="8" t="s">
        <v>1021</v>
      </c>
      <c r="B2787" s="8" t="s">
        <v>593</v>
      </c>
      <c r="C2787" s="19" t="n">
        <v>5</v>
      </c>
      <c r="D2787" s="19" t="n">
        <v>1114</v>
      </c>
      <c r="E2787" s="19" t="n">
        <v>0</v>
      </c>
      <c r="F2787" s="19" t="n">
        <v>0</v>
      </c>
      <c r="G2787" s="8" t="str">
        <f aca="false">IFERROR(INDEX('TRANS'!$B:$B,MATCH($B2787,'TRANS'!$A:$A,0)),IFERROR(INDEX('TRANS'!$B:$B,MATCH(TRIM(SUBSTITUTE($B2787,CHAR(160)," ")),'TRANS'!$D:$D,0)),IFERROR(INDEX('Catalog'!$A:$A,MATCH($B2787,'Catalog'!$B:$B,0)),IFERROR(INDEX('Catalog'!$A:$A,MATCH(TRIM(SUBSTITUTE($B2787,CHAR(160)," ")),'Catalog'!$C:$C,0)),""))))</f>
        <v/>
      </c>
      <c r="H2787" s="8" t="str">
        <f aca="false">IFERROR(INDEX('TRANS'!$C:$C,MATCH($B2787,'TRANS'!$A:$A,0)),IFERROR(INDEX('Catalog'!$B:$B,MATCH($G2787,'Catalog'!$A:$A,0)),$B2787))</f>
        <v>332B M</v>
      </c>
      <c r="I2787" s="8" t="str">
        <f aca="false">IF($G2787="","Unmatched","Matched")</f>
        <v>Unmatched</v>
      </c>
    </row>
    <row r="2788" customFormat="false" ht="15" hidden="false" customHeight="false" outlineLevel="0" collapsed="false">
      <c r="A2788" s="8" t="s">
        <v>1021</v>
      </c>
      <c r="B2788" s="8" t="s">
        <v>825</v>
      </c>
      <c r="C2788" s="19" t="n">
        <v>1</v>
      </c>
      <c r="D2788" s="19" t="n">
        <v>231.2</v>
      </c>
      <c r="E2788" s="19" t="n">
        <v>1</v>
      </c>
      <c r="F2788" s="19" t="n">
        <v>222.8</v>
      </c>
      <c r="G2788" s="8" t="str">
        <f aca="false">IFERROR(INDEX('TRANS'!$B:$B,MATCH($B2788,'TRANS'!$A:$A,0)),IFERROR(INDEX('TRANS'!$B:$B,MATCH(TRIM(SUBSTITUTE($B2788,CHAR(160)," ")),'TRANS'!$D:$D,0)),IFERROR(INDEX('Catalog'!$A:$A,MATCH($B2788,'Catalog'!$B:$B,0)),IFERROR(INDEX('Catalog'!$A:$A,MATCH(TRIM(SUBSTITUTE($B2788,CHAR(160)," ")),'Catalog'!$C:$C,0)),""))))</f>
        <v/>
      </c>
      <c r="H2788" s="8" t="str">
        <f aca="false">IFERROR(INDEX('TRANS'!$C:$C,MATCH($B2788,'TRANS'!$A:$A,0)),IFERROR(INDEX('Catalog'!$B:$B,MATCH($G2788,'Catalog'!$A:$A,0)),$B2788))</f>
        <v>332B S</v>
      </c>
      <c r="I2788" s="8" t="str">
        <f aca="false">IF($G2788="","Unmatched","Matched")</f>
        <v>Unmatched</v>
      </c>
    </row>
    <row r="2789" customFormat="false" ht="15" hidden="false" customHeight="false" outlineLevel="0" collapsed="false">
      <c r="A2789" s="8" t="s">
        <v>1021</v>
      </c>
      <c r="B2789" s="8" t="s">
        <v>594</v>
      </c>
      <c r="C2789" s="19" t="n">
        <v>2</v>
      </c>
      <c r="D2789" s="19" t="n">
        <v>445.6</v>
      </c>
      <c r="E2789" s="19" t="n">
        <v>1</v>
      </c>
      <c r="F2789" s="19" t="n">
        <v>222.8</v>
      </c>
      <c r="G2789" s="8" t="str">
        <f aca="false">IFERROR(INDEX('TRANS'!$B:$B,MATCH($B2789,'TRANS'!$A:$A,0)),IFERROR(INDEX('TRANS'!$B:$B,MATCH(TRIM(SUBSTITUTE($B2789,CHAR(160)," ")),'TRANS'!$D:$D,0)),IFERROR(INDEX('Catalog'!$A:$A,MATCH($B2789,'Catalog'!$B:$B,0)),IFERROR(INDEX('Catalog'!$A:$A,MATCH(TRIM(SUBSTITUTE($B2789,CHAR(160)," ")),'Catalog'!$C:$C,0)),""))))</f>
        <v/>
      </c>
      <c r="H2789" s="8" t="str">
        <f aca="false">IFERROR(INDEX('TRANS'!$C:$C,MATCH($B2789,'TRANS'!$A:$A,0)),IFERROR(INDEX('Catalog'!$B:$B,MATCH($G2789,'Catalog'!$A:$A,0)),$B2789))</f>
        <v>332B XL</v>
      </c>
      <c r="I2789" s="8" t="str">
        <f aca="false">IF($G2789="","Unmatched","Matched")</f>
        <v>Unmatched</v>
      </c>
    </row>
    <row r="2790" customFormat="false" ht="15" hidden="false" customHeight="false" outlineLevel="0" collapsed="false">
      <c r="A2790" s="8" t="s">
        <v>1021</v>
      </c>
      <c r="B2790" s="8" t="s">
        <v>595</v>
      </c>
      <c r="C2790" s="19" t="n">
        <v>0</v>
      </c>
      <c r="D2790" s="19" t="n">
        <v>0</v>
      </c>
      <c r="E2790" s="19" t="n">
        <v>1</v>
      </c>
      <c r="F2790" s="19" t="n">
        <v>222.8</v>
      </c>
      <c r="G2790" s="8" t="str">
        <f aca="false">IFERROR(INDEX('TRANS'!$B:$B,MATCH($B2790,'TRANS'!$A:$A,0)),IFERROR(INDEX('TRANS'!$B:$B,MATCH(TRIM(SUBSTITUTE($B2790,CHAR(160)," ")),'TRANS'!$D:$D,0)),IFERROR(INDEX('Catalog'!$A:$A,MATCH($B2790,'Catalog'!$B:$B,0)),IFERROR(INDEX('Catalog'!$A:$A,MATCH(TRIM(SUBSTITUTE($B2790,CHAR(160)," ")),'Catalog'!$C:$C,0)),""))))</f>
        <v/>
      </c>
      <c r="H2790" s="8" t="str">
        <f aca="false">IFERROR(INDEX('TRANS'!$C:$C,MATCH($B2790,'TRANS'!$A:$A,0)),IFERROR(INDEX('Catalog'!$B:$B,MATCH($G2790,'Catalog'!$A:$A,0)),$B2790))</f>
        <v>332B XXL</v>
      </c>
      <c r="I2790" s="8" t="str">
        <f aca="false">IF($G2790="","Unmatched","Matched")</f>
        <v>Unmatched</v>
      </c>
    </row>
    <row r="2791" customFormat="false" ht="15" hidden="false" customHeight="false" outlineLevel="0" collapsed="false">
      <c r="A2791" s="8" t="s">
        <v>1021</v>
      </c>
      <c r="B2791" s="8" t="s">
        <v>135</v>
      </c>
      <c r="C2791" s="19" t="n">
        <v>1</v>
      </c>
      <c r="D2791" s="19" t="n">
        <v>55.85</v>
      </c>
      <c r="E2791" s="19" t="n">
        <v>0</v>
      </c>
      <c r="F2791" s="19" t="n">
        <v>0</v>
      </c>
      <c r="G2791" s="8" t="n">
        <f aca="false">IFERROR(INDEX('TRANS'!$B:$B,MATCH($B2791,'TRANS'!$A:$A,0)),IFERROR(INDEX('TRANS'!$B:$B,MATCH(TRIM(SUBSTITUTE($B2791,CHAR(160)," ")),'TRANS'!$D:$D,0)),IFERROR(INDEX('Catalog'!$A:$A,MATCH($B2791,'Catalog'!$B:$B,0)),IFERROR(INDEX('Catalog'!$A:$A,MATCH(TRIM(SUBSTITUTE($B2791,CHAR(160)," ")),'Catalog'!$C:$C,0)),""))))</f>
        <v>4413490</v>
      </c>
      <c r="H2791" s="8" t="str">
        <f aca="false">IFERROR(INDEX('TRANS'!$C:$C,MATCH($B2791,'TRANS'!$A:$A,0)),IFERROR(INDEX('Catalog'!$B:$B,MATCH($G2791,'Catalog'!$A:$A,0)),$B2791))</f>
        <v>35B L מגן קרסול שחור</v>
      </c>
      <c r="I2791" s="8" t="str">
        <f aca="false">IF($G2791="","Unmatched","Matched")</f>
        <v>Matched</v>
      </c>
    </row>
    <row r="2792" customFormat="false" ht="15" hidden="false" customHeight="false" outlineLevel="0" collapsed="false">
      <c r="A2792" s="8" t="s">
        <v>1021</v>
      </c>
      <c r="B2792" s="8" t="s">
        <v>136</v>
      </c>
      <c r="C2792" s="19" t="n">
        <v>5</v>
      </c>
      <c r="D2792" s="19" t="n">
        <v>277.55</v>
      </c>
      <c r="E2792" s="19" t="n">
        <v>0</v>
      </c>
      <c r="F2792" s="19" t="n">
        <v>0</v>
      </c>
      <c r="G2792" s="8" t="n">
        <f aca="false">IFERROR(INDEX('TRANS'!$B:$B,MATCH($B2792,'TRANS'!$A:$A,0)),IFERROR(INDEX('TRANS'!$B:$B,MATCH(TRIM(SUBSTITUTE($B2792,CHAR(160)," ")),'TRANS'!$D:$D,0)),IFERROR(INDEX('Catalog'!$A:$A,MATCH($B2792,'Catalog'!$B:$B,0)),IFERROR(INDEX('Catalog'!$A:$A,MATCH(TRIM(SUBSTITUTE($B2792,CHAR(160)," ")),'Catalog'!$C:$C,0)),""))))</f>
        <v>4413492</v>
      </c>
      <c r="H2792" s="8" t="str">
        <f aca="false">IFERROR(INDEX('TRANS'!$C:$C,MATCH($B2792,'TRANS'!$A:$A,0)),IFERROR(INDEX('Catalog'!$B:$B,MATCH($G2792,'Catalog'!$A:$A,0)),$B2792))</f>
        <v>35B M מגן קרסול שחור</v>
      </c>
      <c r="I2792" s="8" t="str">
        <f aca="false">IF($G2792="","Unmatched","Matched")</f>
        <v>Matched</v>
      </c>
    </row>
    <row r="2793" customFormat="false" ht="15" hidden="false" customHeight="false" outlineLevel="0" collapsed="false">
      <c r="A2793" s="8" t="s">
        <v>1021</v>
      </c>
      <c r="B2793" s="8" t="s">
        <v>137</v>
      </c>
      <c r="C2793" s="19" t="n">
        <v>1</v>
      </c>
      <c r="D2793" s="19" t="n">
        <v>55.85</v>
      </c>
      <c r="E2793" s="19" t="n">
        <v>0</v>
      </c>
      <c r="F2793" s="19" t="n">
        <v>0</v>
      </c>
      <c r="G2793" s="8" t="n">
        <f aca="false">IFERROR(INDEX('TRANS'!$B:$B,MATCH($B2793,'TRANS'!$A:$A,0)),IFERROR(INDEX('TRANS'!$B:$B,MATCH(TRIM(SUBSTITUTE($B2793,CHAR(160)," ")),'TRANS'!$D:$D,0)),IFERROR(INDEX('Catalog'!$A:$A,MATCH($B2793,'Catalog'!$B:$B,0)),IFERROR(INDEX('Catalog'!$A:$A,MATCH(TRIM(SUBSTITUTE($B2793,CHAR(160)," ")),'Catalog'!$C:$C,0)),""))))</f>
        <v>4413493</v>
      </c>
      <c r="H2793" s="8" t="str">
        <f aca="false">IFERROR(INDEX('TRANS'!$C:$C,MATCH($B2793,'TRANS'!$A:$A,0)),IFERROR(INDEX('Catalog'!$B:$B,MATCH($G2793,'Catalog'!$A:$A,0)),$B2793))</f>
        <v>35B S מגן קרסול שחור</v>
      </c>
      <c r="I2793" s="8" t="str">
        <f aca="false">IF($G2793="","Unmatched","Matched")</f>
        <v>Matched</v>
      </c>
    </row>
    <row r="2794" customFormat="false" ht="15" hidden="false" customHeight="false" outlineLevel="0" collapsed="false">
      <c r="A2794" s="8" t="s">
        <v>1021</v>
      </c>
      <c r="B2794" s="8" t="s">
        <v>138</v>
      </c>
      <c r="C2794" s="19" t="n">
        <v>4</v>
      </c>
      <c r="D2794" s="19" t="n">
        <v>223.4</v>
      </c>
      <c r="E2794" s="19" t="n">
        <v>1</v>
      </c>
      <c r="F2794" s="19" t="n">
        <v>55.85</v>
      </c>
      <c r="G2794" s="8" t="n">
        <f aca="false">IFERROR(INDEX('TRANS'!$B:$B,MATCH($B2794,'TRANS'!$A:$A,0)),IFERROR(INDEX('TRANS'!$B:$B,MATCH(TRIM(SUBSTITUTE($B2794,CHAR(160)," ")),'TRANS'!$D:$D,0)),IFERROR(INDEX('Catalog'!$A:$A,MATCH($B2794,'Catalog'!$B:$B,0)),IFERROR(INDEX('Catalog'!$A:$A,MATCH(TRIM(SUBSTITUTE($B2794,CHAR(160)," ")),'Catalog'!$C:$C,0)),""))))</f>
        <v>4413491</v>
      </c>
      <c r="H2794" s="8" t="str">
        <f aca="false">IFERROR(INDEX('TRANS'!$C:$C,MATCH($B2794,'TRANS'!$A:$A,0)),IFERROR(INDEX('Catalog'!$B:$B,MATCH($G2794,'Catalog'!$A:$A,0)),$B2794))</f>
        <v>35B XL מגן קרסול שחור</v>
      </c>
      <c r="I2794" s="8" t="str">
        <f aca="false">IF($G2794="","Unmatched","Matched")</f>
        <v>Matched</v>
      </c>
    </row>
    <row r="2795" customFormat="false" ht="15" hidden="false" customHeight="false" outlineLevel="0" collapsed="false">
      <c r="A2795" s="8" t="s">
        <v>1021</v>
      </c>
      <c r="B2795" s="8" t="s">
        <v>139</v>
      </c>
      <c r="C2795" s="19" t="n">
        <v>0</v>
      </c>
      <c r="D2795" s="19" t="n">
        <v>0</v>
      </c>
      <c r="E2795" s="19" t="n">
        <v>1</v>
      </c>
      <c r="F2795" s="19" t="n">
        <v>55.85</v>
      </c>
      <c r="G2795" s="8" t="n">
        <f aca="false">IFERROR(INDEX('TRANS'!$B:$B,MATCH($B2795,'TRANS'!$A:$A,0)),IFERROR(INDEX('TRANS'!$B:$B,MATCH(TRIM(SUBSTITUTE($B2795,CHAR(160)," ")),'TRANS'!$D:$D,0)),IFERROR(INDEX('Catalog'!$A:$A,MATCH($B2795,'Catalog'!$B:$B,0)),IFERROR(INDEX('Catalog'!$A:$A,MATCH(TRIM(SUBSTITUTE($B2795,CHAR(160)," ")),'Catalog'!$C:$C,0)),""))))</f>
        <v>4413494</v>
      </c>
      <c r="H2795" s="8" t="str">
        <f aca="false">IFERROR(INDEX('TRANS'!$C:$C,MATCH($B2795,'TRANS'!$A:$A,0)),IFERROR(INDEX('Catalog'!$B:$B,MATCH($G2795,'Catalog'!$A:$A,0)),$B2795))</f>
        <v>35B XXL מגן קרסול שחור</v>
      </c>
      <c r="I2795" s="8" t="str">
        <f aca="false">IF($G2795="","Unmatched","Matched")</f>
        <v>Matched</v>
      </c>
    </row>
    <row r="2796" customFormat="false" ht="15" hidden="false" customHeight="false" outlineLevel="0" collapsed="false">
      <c r="A2796" s="8" t="s">
        <v>1021</v>
      </c>
      <c r="B2796" s="8" t="s">
        <v>204</v>
      </c>
      <c r="C2796" s="19" t="n">
        <v>10</v>
      </c>
      <c r="D2796" s="19" t="n">
        <v>1711</v>
      </c>
      <c r="E2796" s="19" t="n">
        <v>9</v>
      </c>
      <c r="F2796" s="19" t="n">
        <v>1539.9</v>
      </c>
      <c r="G2796" s="8" t="n">
        <f aca="false">IFERROR(INDEX('TRANS'!$B:$B,MATCH($B2796,'TRANS'!$A:$A,0)),IFERROR(INDEX('TRANS'!$B:$B,MATCH(TRIM(SUBSTITUTE($B2796,CHAR(160)," ")),'TRANS'!$D:$D,0)),IFERROR(INDEX('Catalog'!$A:$A,MATCH($B2796,'Catalog'!$B:$B,0)),IFERROR(INDEX('Catalog'!$A:$A,MATCH(TRIM(SUBSTITUTE($B2796,CHAR(160)," ")),'Catalog'!$C:$C,0)),""))))</f>
        <v>4420017</v>
      </c>
      <c r="H2796" s="8" t="str">
        <f aca="false">IFERROR(INDEX('TRANS'!$C:$C,MATCH($B2796,'TRANS'!$A:$A,0)),IFERROR(INDEX('Catalog'!$B:$B,MATCH($G2796,'Catalog'!$A:$A,0)),$B2796))</f>
        <v>4022 רצועת """"פיקה""""+כרית</v>
      </c>
      <c r="I2796" s="8" t="str">
        <f aca="false">IF($G2796="","Unmatched","Matched")</f>
        <v>Matched</v>
      </c>
    </row>
    <row r="2797" customFormat="false" ht="15" hidden="false" customHeight="false" outlineLevel="0" collapsed="false">
      <c r="A2797" s="8" t="s">
        <v>1021</v>
      </c>
      <c r="B2797" s="8" t="s">
        <v>206</v>
      </c>
      <c r="C2797" s="19" t="n">
        <v>1</v>
      </c>
      <c r="D2797" s="19" t="n">
        <v>54.15</v>
      </c>
      <c r="E2797" s="19" t="n">
        <v>0</v>
      </c>
      <c r="F2797" s="19" t="n">
        <v>0</v>
      </c>
      <c r="G2797" s="8" t="n">
        <f aca="false">IFERROR(INDEX('TRANS'!$B:$B,MATCH($B2797,'TRANS'!$A:$A,0)),IFERROR(INDEX('TRANS'!$B:$B,MATCH(TRIM(SUBSTITUTE($B2797,CHAR(160)," ")),'TRANS'!$D:$D,0)),IFERROR(INDEX('Catalog'!$A:$A,MATCH($B2797,'Catalog'!$B:$B,0)),IFERROR(INDEX('Catalog'!$A:$A,MATCH(TRIM(SUBSTITUTE($B2797,CHAR(160)," ")),'Catalog'!$C:$C,0)),""))))</f>
        <v>4413094</v>
      </c>
      <c r="H2797" s="8" t="str">
        <f aca="false">IFERROR(INDEX('TRANS'!$C:$C,MATCH($B2797,'TRANS'!$A:$A,0)),IFERROR(INDEX('Catalog'!$B:$B,MATCH($G2797,'Catalog'!$A:$A,0)),$B2797))</f>
        <v>45 S מגן ברך לבן</v>
      </c>
      <c r="I2797" s="8" t="str">
        <f aca="false">IF($G2797="","Unmatched","Matched")</f>
        <v>Matched</v>
      </c>
    </row>
    <row r="2798" customFormat="false" ht="15" hidden="false" customHeight="false" outlineLevel="0" collapsed="false">
      <c r="A2798" s="8" t="s">
        <v>1021</v>
      </c>
      <c r="B2798" s="8" t="s">
        <v>208</v>
      </c>
      <c r="C2798" s="19" t="n">
        <v>6</v>
      </c>
      <c r="D2798" s="19" t="n">
        <v>335.1</v>
      </c>
      <c r="E2798" s="19" t="n">
        <v>3</v>
      </c>
      <c r="F2798" s="19" t="n">
        <v>167.55</v>
      </c>
      <c r="G2798" s="8" t="n">
        <f aca="false">IFERROR(INDEX('TRANS'!$B:$B,MATCH($B2798,'TRANS'!$A:$A,0)),IFERROR(INDEX('TRANS'!$B:$B,MATCH(TRIM(SUBSTITUTE($B2798,CHAR(160)," ")),'TRANS'!$D:$D,0)),IFERROR(INDEX('Catalog'!$A:$A,MATCH($B2798,'Catalog'!$B:$B,0)),IFERROR(INDEX('Catalog'!$A:$A,MATCH(TRIM(SUBSTITUTE($B2798,CHAR(160)," ")),'Catalog'!$C:$C,0)),""))))</f>
        <v>4413495</v>
      </c>
      <c r="H2798" s="8" t="str">
        <f aca="false">IFERROR(INDEX('TRANS'!$C:$C,MATCH($B2798,'TRANS'!$A:$A,0)),IFERROR(INDEX('Catalog'!$B:$B,MATCH($G2798,'Catalog'!$A:$A,0)),$B2798))</f>
        <v>45B L מגן ברך שחור</v>
      </c>
      <c r="I2798" s="8" t="str">
        <f aca="false">IF($G2798="","Unmatched","Matched")</f>
        <v>Matched</v>
      </c>
    </row>
    <row r="2799" customFormat="false" ht="15" hidden="false" customHeight="false" outlineLevel="0" collapsed="false">
      <c r="A2799" s="8" t="s">
        <v>1021</v>
      </c>
      <c r="B2799" s="8" t="s">
        <v>209</v>
      </c>
      <c r="C2799" s="19" t="n">
        <v>3</v>
      </c>
      <c r="D2799" s="19" t="n">
        <v>167.55</v>
      </c>
      <c r="E2799" s="19" t="n">
        <v>1</v>
      </c>
      <c r="F2799" s="19" t="n">
        <v>55.85</v>
      </c>
      <c r="G2799" s="8" t="n">
        <f aca="false">IFERROR(INDEX('TRANS'!$B:$B,MATCH($B2799,'TRANS'!$A:$A,0)),IFERROR(INDEX('TRANS'!$B:$B,MATCH(TRIM(SUBSTITUTE($B2799,CHAR(160)," ")),'TRANS'!$D:$D,0)),IFERROR(INDEX('Catalog'!$A:$A,MATCH($B2799,'Catalog'!$B:$B,0)),IFERROR(INDEX('Catalog'!$A:$A,MATCH(TRIM(SUBSTITUTE($B2799,CHAR(160)," ")),'Catalog'!$C:$C,0)),""))))</f>
        <v>4413497</v>
      </c>
      <c r="H2799" s="8" t="str">
        <f aca="false">IFERROR(INDEX('TRANS'!$C:$C,MATCH($B2799,'TRANS'!$A:$A,0)),IFERROR(INDEX('Catalog'!$B:$B,MATCH($G2799,'Catalog'!$A:$A,0)),$B2799))</f>
        <v>45B M מגן ברך שחור</v>
      </c>
      <c r="I2799" s="8" t="str">
        <f aca="false">IF($G2799="","Unmatched","Matched")</f>
        <v>Matched</v>
      </c>
    </row>
    <row r="2800" customFormat="false" ht="15" hidden="false" customHeight="false" outlineLevel="0" collapsed="false">
      <c r="A2800" s="8" t="s">
        <v>1021</v>
      </c>
      <c r="B2800" s="8" t="s">
        <v>379</v>
      </c>
      <c r="C2800" s="19" t="n">
        <v>2</v>
      </c>
      <c r="D2800" s="19" t="n">
        <v>111.7</v>
      </c>
      <c r="E2800" s="19" t="n">
        <v>0</v>
      </c>
      <c r="F2800" s="19" t="n">
        <v>0</v>
      </c>
      <c r="G2800" s="8" t="n">
        <f aca="false">IFERROR(INDEX('TRANS'!$B:$B,MATCH($B2800,'TRANS'!$A:$A,0)),IFERROR(INDEX('TRANS'!$B:$B,MATCH(TRIM(SUBSTITUTE($B2800,CHAR(160)," ")),'TRANS'!$D:$D,0)),IFERROR(INDEX('Catalog'!$A:$A,MATCH($B2800,'Catalog'!$B:$B,0)),IFERROR(INDEX('Catalog'!$A:$A,MATCH(TRIM(SUBSTITUTE($B2800,CHAR(160)," ")),'Catalog'!$C:$C,0)),""))))</f>
        <v>4413498</v>
      </c>
      <c r="H2800" s="8" t="str">
        <f aca="false">IFERROR(INDEX('TRANS'!$C:$C,MATCH($B2800,'TRANS'!$A:$A,0)),IFERROR(INDEX('Catalog'!$B:$B,MATCH($G2800,'Catalog'!$A:$A,0)),$B2800))</f>
        <v>45B S מגן ברך שחור</v>
      </c>
      <c r="I2800" s="8" t="str">
        <f aca="false">IF($G2800="","Unmatched","Matched")</f>
        <v>Matched</v>
      </c>
    </row>
    <row r="2801" customFormat="false" ht="15" hidden="false" customHeight="false" outlineLevel="0" collapsed="false">
      <c r="A2801" s="8" t="s">
        <v>1021</v>
      </c>
      <c r="B2801" s="8" t="s">
        <v>380</v>
      </c>
      <c r="C2801" s="19" t="n">
        <v>8</v>
      </c>
      <c r="D2801" s="19" t="n">
        <v>443.4</v>
      </c>
      <c r="E2801" s="19" t="n">
        <v>2</v>
      </c>
      <c r="F2801" s="19" t="n">
        <v>111.7</v>
      </c>
      <c r="G2801" s="8" t="n">
        <f aca="false">IFERROR(INDEX('TRANS'!$B:$B,MATCH($B2801,'TRANS'!$A:$A,0)),IFERROR(INDEX('TRANS'!$B:$B,MATCH(TRIM(SUBSTITUTE($B2801,CHAR(160)," ")),'TRANS'!$D:$D,0)),IFERROR(INDEX('Catalog'!$A:$A,MATCH($B2801,'Catalog'!$B:$B,0)),IFERROR(INDEX('Catalog'!$A:$A,MATCH(TRIM(SUBSTITUTE($B2801,CHAR(160)," ")),'Catalog'!$C:$C,0)),""))))</f>
        <v>4413496</v>
      </c>
      <c r="H2801" s="8" t="str">
        <f aca="false">IFERROR(INDEX('TRANS'!$C:$C,MATCH($B2801,'TRANS'!$A:$A,0)),IFERROR(INDEX('Catalog'!$B:$B,MATCH($G2801,'Catalog'!$A:$A,0)),$B2801))</f>
        <v>45B XL מגן ברך שחור</v>
      </c>
      <c r="I2801" s="8" t="str">
        <f aca="false">IF($G2801="","Unmatched","Matched")</f>
        <v>Matched</v>
      </c>
    </row>
    <row r="2802" customFormat="false" ht="15" hidden="false" customHeight="false" outlineLevel="0" collapsed="false">
      <c r="A2802" s="8" t="s">
        <v>1021</v>
      </c>
      <c r="B2802" s="8" t="s">
        <v>381</v>
      </c>
      <c r="C2802" s="19" t="n">
        <v>8</v>
      </c>
      <c r="D2802" s="19" t="n">
        <v>443.45</v>
      </c>
      <c r="E2802" s="19" t="n">
        <v>2</v>
      </c>
      <c r="F2802" s="19" t="n">
        <v>111.7</v>
      </c>
      <c r="G2802" s="8" t="n">
        <f aca="false">IFERROR(INDEX('TRANS'!$B:$B,MATCH($B2802,'TRANS'!$A:$A,0)),IFERROR(INDEX('TRANS'!$B:$B,MATCH(TRIM(SUBSTITUTE($B2802,CHAR(160)," ")),'TRANS'!$D:$D,0)),IFERROR(INDEX('Catalog'!$A:$A,MATCH($B2802,'Catalog'!$B:$B,0)),IFERROR(INDEX('Catalog'!$A:$A,MATCH(TRIM(SUBSTITUTE($B2802,CHAR(160)," ")),'Catalog'!$C:$C,0)),""))))</f>
        <v>4413499</v>
      </c>
      <c r="H2802" s="8" t="str">
        <f aca="false">IFERROR(INDEX('TRANS'!$C:$C,MATCH($B2802,'TRANS'!$A:$A,0)),IFERROR(INDEX('Catalog'!$B:$B,MATCH($G2802,'Catalog'!$A:$A,0)),$B2802))</f>
        <v>45B XXLמגן ברך שחור</v>
      </c>
      <c r="I2802" s="8" t="str">
        <f aca="false">IF($G2802="","Unmatched","Matched")</f>
        <v>Matched</v>
      </c>
    </row>
    <row r="2803" customFormat="false" ht="15" hidden="false" customHeight="false" outlineLevel="0" collapsed="false">
      <c r="A2803" s="8" t="s">
        <v>1021</v>
      </c>
      <c r="B2803" s="8" t="s">
        <v>239</v>
      </c>
      <c r="C2803" s="19" t="n">
        <v>12</v>
      </c>
      <c r="D2803" s="19" t="n">
        <v>373.55</v>
      </c>
      <c r="E2803" s="19" t="n">
        <v>8</v>
      </c>
      <c r="F2803" s="19" t="n">
        <v>250.16</v>
      </c>
      <c r="G2803" s="8" t="n">
        <f aca="false">IFERROR(INDEX('TRANS'!$B:$B,MATCH($B2803,'TRANS'!$A:$A,0)),IFERROR(INDEX('TRANS'!$B:$B,MATCH(TRIM(SUBSTITUTE($B2803,CHAR(160)," ")),'TRANS'!$D:$D,0)),IFERROR(INDEX('Catalog'!$A:$A,MATCH($B2803,'Catalog'!$B:$B,0)),IFERROR(INDEX('Catalog'!$A:$A,MATCH(TRIM(SUBSTITUTE($B2803,CHAR(160)," ")),'Catalog'!$C:$C,0)),""))))</f>
        <v>4409011</v>
      </c>
      <c r="H2803" s="8" t="str">
        <f aca="false">IFERROR(INDEX('TRANS'!$C:$C,MATCH($B2803,'TRANS'!$A:$A,0)),IFERROR(INDEX('Catalog'!$B:$B,MATCH($G2803,'Catalog'!$A:$A,0)),$B2803))</f>
        <v>804AT-B      טייפ חבישה לספורט</v>
      </c>
      <c r="I2803" s="8" t="str">
        <f aca="false">IF($G2803="","Unmatched","Matched")</f>
        <v>Matched</v>
      </c>
    </row>
    <row r="2804" customFormat="false" ht="15" hidden="false" customHeight="false" outlineLevel="0" collapsed="false">
      <c r="A2804" s="8" t="s">
        <v>1021</v>
      </c>
      <c r="B2804" s="8" t="s">
        <v>240</v>
      </c>
      <c r="C2804" s="19" t="n">
        <v>13</v>
      </c>
      <c r="D2804" s="19" t="n">
        <v>401.41</v>
      </c>
      <c r="E2804" s="19" t="n">
        <v>7</v>
      </c>
      <c r="F2804" s="19" t="n">
        <v>218.89</v>
      </c>
      <c r="G2804" s="8" t="n">
        <f aca="false">IFERROR(INDEX('TRANS'!$B:$B,MATCH($B2804,'TRANS'!$A:$A,0)),IFERROR(INDEX('TRANS'!$B:$B,MATCH(TRIM(SUBSTITUTE($B2804,CHAR(160)," ")),'TRANS'!$D:$D,0)),IFERROR(INDEX('Catalog'!$A:$A,MATCH($B2804,'Catalog'!$B:$B,0)),IFERROR(INDEX('Catalog'!$A:$A,MATCH(TRIM(SUBSTITUTE($B2804,CHAR(160)," ")),'Catalog'!$C:$C,0)),""))))</f>
        <v>4409013</v>
      </c>
      <c r="H2804" s="8" t="str">
        <f aca="false">IFERROR(INDEX('TRANS'!$C:$C,MATCH($B2804,'TRANS'!$A:$A,0)),IFERROR(INDEX('Catalog'!$B:$B,MATCH($G2804,'Catalog'!$A:$A,0)),$B2804))</f>
        <v>804AT-BL     טייפ חבישה לספורט</v>
      </c>
      <c r="I2804" s="8" t="str">
        <f aca="false">IF($G2804="","Unmatched","Matched")</f>
        <v>Matched</v>
      </c>
    </row>
    <row r="2805" customFormat="false" ht="15" hidden="false" customHeight="false" outlineLevel="0" collapsed="false">
      <c r="A2805" s="8" t="s">
        <v>1021</v>
      </c>
      <c r="B2805" s="8" t="s">
        <v>241</v>
      </c>
      <c r="C2805" s="19" t="n">
        <v>6</v>
      </c>
      <c r="D2805" s="19" t="n">
        <v>186.85</v>
      </c>
      <c r="E2805" s="19" t="n">
        <v>6</v>
      </c>
      <c r="F2805" s="19" t="n">
        <v>187.62</v>
      </c>
      <c r="G2805" s="8" t="n">
        <f aca="false">IFERROR(INDEX('TRANS'!$B:$B,MATCH($B2805,'TRANS'!$A:$A,0)),IFERROR(INDEX('TRANS'!$B:$B,MATCH(TRIM(SUBSTITUTE($B2805,CHAR(160)," ")),'TRANS'!$D:$D,0)),IFERROR(INDEX('Catalog'!$A:$A,MATCH($B2805,'Catalog'!$B:$B,0)),IFERROR(INDEX('Catalog'!$A:$A,MATCH(TRIM(SUBSTITUTE($B2805,CHAR(160)," ")),'Catalog'!$C:$C,0)),""))))</f>
        <v>4409012</v>
      </c>
      <c r="H2805" s="8" t="str">
        <f aca="false">IFERROR(INDEX('TRANS'!$C:$C,MATCH($B2805,'TRANS'!$A:$A,0)),IFERROR(INDEX('Catalog'!$B:$B,MATCH($G2805,'Catalog'!$A:$A,0)),$B2805))</f>
        <v>804AT-C      טייפ חבישה לספורט</v>
      </c>
      <c r="I2805" s="8" t="str">
        <f aca="false">IF($G2805="","Unmatched","Matched")</f>
        <v>Matched</v>
      </c>
    </row>
    <row r="2806" customFormat="false" ht="15" hidden="false" customHeight="false" outlineLevel="0" collapsed="false">
      <c r="A2806" s="8" t="s">
        <v>1021</v>
      </c>
      <c r="B2806" s="8" t="s">
        <v>413</v>
      </c>
      <c r="C2806" s="19" t="n">
        <v>15</v>
      </c>
      <c r="D2806" s="19" t="n">
        <v>468.2</v>
      </c>
      <c r="E2806" s="19" t="n">
        <v>19</v>
      </c>
      <c r="F2806" s="19" t="n">
        <v>594.13</v>
      </c>
      <c r="G2806" s="8" t="n">
        <f aca="false">IFERROR(INDEX('TRANS'!$B:$B,MATCH($B2806,'TRANS'!$A:$A,0)),IFERROR(INDEX('TRANS'!$B:$B,MATCH(TRIM(SUBSTITUTE($B2806,CHAR(160)," ")),'TRANS'!$D:$D,0)),IFERROR(INDEX('Catalog'!$A:$A,MATCH($B2806,'Catalog'!$B:$B,0)),IFERROR(INDEX('Catalog'!$A:$A,MATCH(TRIM(SUBSTITUTE($B2806,CHAR(160)," ")),'Catalog'!$C:$C,0)),""))))</f>
        <v>4409010</v>
      </c>
      <c r="H2806" s="8" t="str">
        <f aca="false">IFERROR(INDEX('TRANS'!$C:$C,MATCH($B2806,'TRANS'!$A:$A,0)),IFERROR(INDEX('Catalog'!$B:$B,MATCH($G2806,'Catalog'!$A:$A,0)),$B2806))</f>
        <v>804AT-W      טייפ חבישה לספורט</v>
      </c>
      <c r="I2806" s="8" t="str">
        <f aca="false">IF($G2806="","Unmatched","Matched")</f>
        <v>Matched</v>
      </c>
    </row>
    <row r="2807" customFormat="false" ht="15" hidden="false" customHeight="false" outlineLevel="0" collapsed="false">
      <c r="A2807" s="8" t="s">
        <v>1021</v>
      </c>
      <c r="B2807" s="8" t="s">
        <v>242</v>
      </c>
      <c r="C2807" s="19" t="n">
        <v>14</v>
      </c>
      <c r="D2807" s="19" t="n">
        <v>417.43</v>
      </c>
      <c r="E2807" s="19" t="n">
        <v>1</v>
      </c>
      <c r="F2807" s="19" t="n">
        <v>31.27</v>
      </c>
      <c r="G2807" s="8" t="n">
        <f aca="false">IFERROR(INDEX('TRANS'!$B:$B,MATCH($B2807,'TRANS'!$A:$A,0)),IFERROR(INDEX('TRANS'!$B:$B,MATCH(TRIM(SUBSTITUTE($B2807,CHAR(160)," ")),'TRANS'!$D:$D,0)),IFERROR(INDEX('Catalog'!$A:$A,MATCH($B2807,'Catalog'!$B:$B,0)),IFERROR(INDEX('Catalog'!$A:$A,MATCH(TRIM(SUBSTITUTE($B2807,CHAR(160)," ")),'Catalog'!$C:$C,0)),""))))</f>
        <v>4401012</v>
      </c>
      <c r="H2807" s="8" t="str">
        <f aca="false">IFERROR(INDEX('TRANS'!$C:$C,MATCH($B2807,'TRANS'!$A:$A,0)),IFERROR(INDEX('Catalog'!$B:$B,MATCH($G2807,'Catalog'!$A:$A,0)),$B2807))</f>
        <v>805AT-B אתלטיק טייפ שחור 20מ""""מ</v>
      </c>
      <c r="I2807" s="8" t="str">
        <f aca="false">IF($G2807="","Unmatched","Matched")</f>
        <v>Matched</v>
      </c>
    </row>
    <row r="2808" customFormat="false" ht="15" hidden="false" customHeight="false" outlineLevel="0" collapsed="false">
      <c r="A2808" s="8" t="s">
        <v>1021</v>
      </c>
      <c r="B2808" s="8" t="s">
        <v>503</v>
      </c>
      <c r="C2808" s="19" t="n">
        <v>1</v>
      </c>
      <c r="D2808" s="19" t="n">
        <v>28.73</v>
      </c>
      <c r="E2808" s="19" t="n">
        <v>4</v>
      </c>
      <c r="F2808" s="19" t="n">
        <v>125.08</v>
      </c>
      <c r="G2808" s="8" t="n">
        <f aca="false">IFERROR(INDEX('TRANS'!$B:$B,MATCH($B2808,'TRANS'!$A:$A,0)),IFERROR(INDEX('TRANS'!$B:$B,MATCH(TRIM(SUBSTITUTE($B2808,CHAR(160)," ")),'TRANS'!$D:$D,0)),IFERROR(INDEX('Catalog'!$A:$A,MATCH($B2808,'Catalog'!$B:$B,0)),IFERROR(INDEX('Catalog'!$A:$A,MATCH(TRIM(SUBSTITUTE($B2808,CHAR(160)," ")),'Catalog'!$C:$C,0)),""))))</f>
        <v>4401013</v>
      </c>
      <c r="H2808" s="8" t="str">
        <f aca="false">IFERROR(INDEX('TRANS'!$C:$C,MATCH($B2808,'TRANS'!$A:$A,0)),IFERROR(INDEX('Catalog'!$B:$B,MATCH($G2808,'Catalog'!$A:$A,0)),$B2808))</f>
        <v>805AT-BLאתלטיק טייפ כחול 20מ""""מ</v>
      </c>
      <c r="I2808" s="8" t="str">
        <f aca="false">IF($G2808="","Unmatched","Matched")</f>
        <v>Matched</v>
      </c>
    </row>
    <row r="2809" customFormat="false" ht="15" hidden="false" customHeight="false" outlineLevel="0" collapsed="false">
      <c r="A2809" s="8" t="s">
        <v>1021</v>
      </c>
      <c r="B2809" s="8" t="s">
        <v>243</v>
      </c>
      <c r="C2809" s="19" t="n">
        <v>9</v>
      </c>
      <c r="D2809" s="19" t="n">
        <v>276.35</v>
      </c>
      <c r="E2809" s="19" t="n">
        <v>1</v>
      </c>
      <c r="F2809" s="19" t="n">
        <v>31.27</v>
      </c>
      <c r="G2809" s="8" t="n">
        <f aca="false">IFERROR(INDEX('TRANS'!$B:$B,MATCH($B2809,'TRANS'!$A:$A,0)),IFERROR(INDEX('TRANS'!$B:$B,MATCH(TRIM(SUBSTITUTE($B2809,CHAR(160)," ")),'TRANS'!$D:$D,0)),IFERROR(INDEX('Catalog'!$A:$A,MATCH($B2809,'Catalog'!$B:$B,0)),IFERROR(INDEX('Catalog'!$A:$A,MATCH(TRIM(SUBSTITUTE($B2809,CHAR(160)," ")),'Catalog'!$C:$C,0)),""))))</f>
        <v>4401011</v>
      </c>
      <c r="H2809" s="8" t="str">
        <f aca="false">IFERROR(INDEX('TRANS'!$C:$C,MATCH($B2809,'TRANS'!$A:$A,0)),IFERROR(INDEX('Catalog'!$B:$B,MATCH($G2809,'Catalog'!$A:$A,0)),$B2809))</f>
        <v>805AT-Cאתלטיק טייפ בז' 20מ""""מ20</v>
      </c>
      <c r="I2809" s="8" t="str">
        <f aca="false">IF($G2809="","Unmatched","Matched")</f>
        <v>Matched</v>
      </c>
    </row>
    <row r="2810" customFormat="false" ht="15" hidden="false" customHeight="false" outlineLevel="0" collapsed="false">
      <c r="A2810" s="8" t="s">
        <v>1021</v>
      </c>
      <c r="B2810" s="8" t="s">
        <v>817</v>
      </c>
      <c r="C2810" s="19" t="n">
        <v>4</v>
      </c>
      <c r="D2810" s="19" t="n">
        <v>125.08</v>
      </c>
      <c r="E2810" s="19" t="n">
        <v>0</v>
      </c>
      <c r="F2810" s="19" t="n">
        <v>0</v>
      </c>
      <c r="G2810" s="8" t="n">
        <f aca="false">IFERROR(INDEX('TRANS'!$B:$B,MATCH($B2810,'TRANS'!$A:$A,0)),IFERROR(INDEX('TRANS'!$B:$B,MATCH(TRIM(SUBSTITUTE($B2810,CHAR(160)," ")),'TRANS'!$D:$D,0)),IFERROR(INDEX('Catalog'!$A:$A,MATCH($B2810,'Catalog'!$B:$B,0)),IFERROR(INDEX('Catalog'!$A:$A,MATCH(TRIM(SUBSTITUTE($B2810,CHAR(160)," ")),'Catalog'!$C:$C,0)),""))))</f>
        <v>4401014</v>
      </c>
      <c r="H2810" s="8" t="str">
        <f aca="false">IFERROR(INDEX('TRANS'!$C:$C,MATCH($B2810,'TRANS'!$A:$A,0)),IFERROR(INDEX('Catalog'!$B:$B,MATCH($G2810,'Catalog'!$A:$A,0)),$B2810))</f>
        <v>805AT-W  אתלטיק טייפ לבן 20מ""""מ</v>
      </c>
      <c r="I2810" s="8" t="str">
        <f aca="false">IF($G2810="","Unmatched","Matched")</f>
        <v>Matched</v>
      </c>
    </row>
    <row r="2811" customFormat="false" ht="15" hidden="false" customHeight="false" outlineLevel="0" collapsed="false">
      <c r="A2811" s="8" t="s">
        <v>1021</v>
      </c>
      <c r="B2811" s="8" t="s">
        <v>838</v>
      </c>
      <c r="C2811" s="19" t="n">
        <v>1</v>
      </c>
      <c r="D2811" s="19" t="n">
        <v>255.8</v>
      </c>
      <c r="E2811" s="19" t="n">
        <v>1</v>
      </c>
      <c r="F2811" s="19" t="n">
        <v>256.69</v>
      </c>
      <c r="G2811" s="8" t="str">
        <f aca="false">IFERROR(INDEX('TRANS'!$B:$B,MATCH($B2811,'TRANS'!$A:$A,0)),IFERROR(INDEX('TRANS'!$B:$B,MATCH(TRIM(SUBSTITUTE($B2811,CHAR(160)," ")),'TRANS'!$D:$D,0)),IFERROR(INDEX('Catalog'!$A:$A,MATCH($B2811,'Catalog'!$B:$B,0)),IFERROR(INDEX('Catalog'!$A:$A,MATCH(TRIM(SUBSTITUTE($B2811,CHAR(160)," ")),'Catalog'!$C:$C,0)),""))))</f>
        <v/>
      </c>
      <c r="H2811" s="8" t="str">
        <f aca="false">IFERROR(INDEX('TRANS'!$C:$C,MATCH($B2811,'TRANS'!$A:$A,0)),IFERROR(INDEX('Catalog'!$B:$B,MATCH($G2811,'Catalog'!$A:$A,0)),$B2811))</f>
        <v>922B L</v>
      </c>
      <c r="I2811" s="8" t="str">
        <f aca="false">IF($G2811="","Unmatched","Matched")</f>
        <v>Unmatched</v>
      </c>
    </row>
    <row r="2812" customFormat="false" ht="15" hidden="false" customHeight="false" outlineLevel="0" collapsed="false">
      <c r="A2812" s="8" t="s">
        <v>1021</v>
      </c>
      <c r="B2812" s="8" t="s">
        <v>813</v>
      </c>
      <c r="C2812" s="19" t="n">
        <v>1</v>
      </c>
      <c r="D2812" s="19" t="n">
        <v>256.69</v>
      </c>
      <c r="E2812" s="19" t="n">
        <v>0</v>
      </c>
      <c r="F2812" s="19" t="n">
        <v>0</v>
      </c>
      <c r="G2812" s="8" t="str">
        <f aca="false">IFERROR(INDEX('TRANS'!$B:$B,MATCH($B2812,'TRANS'!$A:$A,0)),IFERROR(INDEX('TRANS'!$B:$B,MATCH(TRIM(SUBSTITUTE($B2812,CHAR(160)," ")),'TRANS'!$D:$D,0)),IFERROR(INDEX('Catalog'!$A:$A,MATCH($B2812,'Catalog'!$B:$B,0)),IFERROR(INDEX('Catalog'!$A:$A,MATCH(TRIM(SUBSTITUTE($B2812,CHAR(160)," ")),'Catalog'!$C:$C,0)),""))))</f>
        <v/>
      </c>
      <c r="H2812" s="8" t="str">
        <f aca="false">IFERROR(INDEX('TRANS'!$C:$C,MATCH($B2812,'TRANS'!$A:$A,0)),IFERROR(INDEX('Catalog'!$B:$B,MATCH($G2812,'Catalog'!$A:$A,0)),$B2812))</f>
        <v>922B M</v>
      </c>
      <c r="I2812" s="8" t="str">
        <f aca="false">IF($G2812="","Unmatched","Matched")</f>
        <v>Unmatched</v>
      </c>
    </row>
    <row r="2813" customFormat="false" ht="15" hidden="false" customHeight="false" outlineLevel="0" collapsed="false">
      <c r="A2813" s="8" t="s">
        <v>1021</v>
      </c>
      <c r="B2813" s="8" t="s">
        <v>732</v>
      </c>
      <c r="C2813" s="19" t="n">
        <v>1</v>
      </c>
      <c r="D2813" s="19" t="n">
        <v>256.69</v>
      </c>
      <c r="E2813" s="19" t="n">
        <v>0</v>
      </c>
      <c r="F2813" s="19" t="n">
        <v>0</v>
      </c>
      <c r="G2813" s="8" t="str">
        <f aca="false">IFERROR(INDEX('TRANS'!$B:$B,MATCH($B2813,'TRANS'!$A:$A,0)),IFERROR(INDEX('TRANS'!$B:$B,MATCH(TRIM(SUBSTITUTE($B2813,CHAR(160)," ")),'TRANS'!$D:$D,0)),IFERROR(INDEX('Catalog'!$A:$A,MATCH($B2813,'Catalog'!$B:$B,0)),IFERROR(INDEX('Catalog'!$A:$A,MATCH(TRIM(SUBSTITUTE($B2813,CHAR(160)," ")),'Catalog'!$C:$C,0)),""))))</f>
        <v/>
      </c>
      <c r="H2813" s="8" t="str">
        <f aca="false">IFERROR(INDEX('TRANS'!$C:$C,MATCH($B2813,'TRANS'!$A:$A,0)),IFERROR(INDEX('Catalog'!$B:$B,MATCH($G2813,'Catalog'!$A:$A,0)),$B2813))</f>
        <v>922B XL</v>
      </c>
      <c r="I2813" s="8" t="str">
        <f aca="false">IF($G2813="","Unmatched","Matched")</f>
        <v>Unmatched</v>
      </c>
    </row>
    <row r="2814" customFormat="false" ht="15" hidden="false" customHeight="false" outlineLevel="0" collapsed="false">
      <c r="A2814" s="8" t="s">
        <v>1021</v>
      </c>
      <c r="B2814" s="8" t="s">
        <v>261</v>
      </c>
      <c r="C2814" s="19" t="n">
        <v>0</v>
      </c>
      <c r="D2814" s="19" t="n">
        <v>0</v>
      </c>
      <c r="E2814" s="19" t="n">
        <v>2</v>
      </c>
      <c r="F2814" s="19" t="n">
        <v>111.7</v>
      </c>
      <c r="G2814" s="8" t="n">
        <f aca="false">IFERROR(INDEX('TRANS'!$B:$B,MATCH($B2814,'TRANS'!$A:$A,0)),IFERROR(INDEX('TRANS'!$B:$B,MATCH(TRIM(SUBSTITUTE($B2814,CHAR(160)," ")),'TRANS'!$D:$D,0)),IFERROR(INDEX('Catalog'!$A:$A,MATCH($B2814,'Catalog'!$B:$B,0)),IFERROR(INDEX('Catalog'!$A:$A,MATCH(TRIM(SUBSTITUTE($B2814,CHAR(160)," ")),'Catalog'!$C:$C,0)),""))))</f>
        <v>4413500</v>
      </c>
      <c r="H2814" s="8" t="str">
        <f aca="false">IFERROR(INDEX('TRANS'!$C:$C,MATCH($B2814,'TRANS'!$A:$A,0)),IFERROR(INDEX('Catalog'!$B:$B,MATCH($G2814,'Catalog'!$A:$A,0)),$B2814))</f>
        <v>95B L מגן מרפק שחור</v>
      </c>
      <c r="I2814" s="8" t="str">
        <f aca="false">IF($G2814="","Unmatched","Matched")</f>
        <v>Matched</v>
      </c>
    </row>
    <row r="2815" customFormat="false" ht="15" hidden="false" customHeight="false" outlineLevel="0" collapsed="false">
      <c r="A2815" s="8" t="s">
        <v>1021</v>
      </c>
      <c r="B2815" s="8" t="s">
        <v>262</v>
      </c>
      <c r="C2815" s="19" t="n">
        <v>7</v>
      </c>
      <c r="D2815" s="19" t="n">
        <v>390.95</v>
      </c>
      <c r="E2815" s="19" t="n">
        <v>2</v>
      </c>
      <c r="F2815" s="19" t="n">
        <v>111.7</v>
      </c>
      <c r="G2815" s="8" t="n">
        <f aca="false">IFERROR(INDEX('TRANS'!$B:$B,MATCH($B2815,'TRANS'!$A:$A,0)),IFERROR(INDEX('TRANS'!$B:$B,MATCH(TRIM(SUBSTITUTE($B2815,CHAR(160)," ")),'TRANS'!$D:$D,0)),IFERROR(INDEX('Catalog'!$A:$A,MATCH($B2815,'Catalog'!$B:$B,0)),IFERROR(INDEX('Catalog'!$A:$A,MATCH(TRIM(SUBSTITUTE($B2815,CHAR(160)," ")),'Catalog'!$C:$C,0)),""))))</f>
        <v>4413501</v>
      </c>
      <c r="H2815" s="8" t="str">
        <f aca="false">IFERROR(INDEX('TRANS'!$C:$C,MATCH($B2815,'TRANS'!$A:$A,0)),IFERROR(INDEX('Catalog'!$B:$B,MATCH($G2815,'Catalog'!$A:$A,0)),$B2815))</f>
        <v>95B M מגן מרפק שחור</v>
      </c>
      <c r="I2815" s="8" t="str">
        <f aca="false">IF($G2815="","Unmatched","Matched")</f>
        <v>Matched</v>
      </c>
    </row>
    <row r="2816" customFormat="false" ht="15" hidden="false" customHeight="false" outlineLevel="0" collapsed="false">
      <c r="A2816" s="8" t="s">
        <v>1021</v>
      </c>
      <c r="B2816" s="8" t="s">
        <v>263</v>
      </c>
      <c r="C2816" s="19" t="n">
        <v>1</v>
      </c>
      <c r="D2816" s="19" t="n">
        <v>55.85</v>
      </c>
      <c r="E2816" s="19" t="n">
        <v>1</v>
      </c>
      <c r="F2816" s="19" t="n">
        <v>55.85</v>
      </c>
      <c r="G2816" s="8" t="n">
        <f aca="false">IFERROR(INDEX('TRANS'!$B:$B,MATCH($B2816,'TRANS'!$A:$A,0)),IFERROR(INDEX('TRANS'!$B:$B,MATCH(TRIM(SUBSTITUTE($B2816,CHAR(160)," ")),'TRANS'!$D:$D,0)),IFERROR(INDEX('Catalog'!$A:$A,MATCH($B2816,'Catalog'!$B:$B,0)),IFERROR(INDEX('Catalog'!$A:$A,MATCH(TRIM(SUBSTITUTE($B2816,CHAR(160)," ")),'Catalog'!$C:$C,0)),""))))</f>
        <v>4413502</v>
      </c>
      <c r="H2816" s="8" t="str">
        <f aca="false">IFERROR(INDEX('TRANS'!$C:$C,MATCH($B2816,'TRANS'!$A:$A,0)),IFERROR(INDEX('Catalog'!$B:$B,MATCH($G2816,'Catalog'!$A:$A,0)),$B2816))</f>
        <v>95B S מגן מרפק שחור</v>
      </c>
      <c r="I2816" s="8" t="str">
        <f aca="false">IF($G2816="","Unmatched","Matched")</f>
        <v>Matched</v>
      </c>
    </row>
    <row r="2817" customFormat="false" ht="15" hidden="false" customHeight="false" outlineLevel="0" collapsed="false">
      <c r="A2817" s="8" t="s">
        <v>1021</v>
      </c>
      <c r="B2817" s="8" t="s">
        <v>264</v>
      </c>
      <c r="C2817" s="19" t="n">
        <v>1</v>
      </c>
      <c r="D2817" s="19" t="n">
        <v>55.85</v>
      </c>
      <c r="E2817" s="19" t="n">
        <v>0</v>
      </c>
      <c r="F2817" s="19" t="n">
        <v>0</v>
      </c>
      <c r="G2817" s="8" t="n">
        <f aca="false">IFERROR(INDEX('TRANS'!$B:$B,MATCH($B2817,'TRANS'!$A:$A,0)),IFERROR(INDEX('TRANS'!$B:$B,MATCH(TRIM(SUBSTITUTE($B2817,CHAR(160)," ")),'TRANS'!$D:$D,0)),IFERROR(INDEX('Catalog'!$A:$A,MATCH($B2817,'Catalog'!$B:$B,0)),IFERROR(INDEX('Catalog'!$A:$A,MATCH(TRIM(SUBSTITUTE($B2817,CHAR(160)," ")),'Catalog'!$C:$C,0)),""))))</f>
        <v>4413503</v>
      </c>
      <c r="H2817" s="8" t="str">
        <f aca="false">IFERROR(INDEX('TRANS'!$C:$C,MATCH($B2817,'TRANS'!$A:$A,0)),IFERROR(INDEX('Catalog'!$B:$B,MATCH($G2817,'Catalog'!$A:$A,0)),$B2817))</f>
        <v>95B XL מגן מרפק שחור</v>
      </c>
      <c r="I2817" s="8" t="str">
        <f aca="false">IF($G2817="","Unmatched","Matched")</f>
        <v>Matched</v>
      </c>
    </row>
    <row r="2818" customFormat="false" ht="15" hidden="false" customHeight="false" outlineLevel="0" collapsed="false">
      <c r="A2818" s="8" t="s">
        <v>1021</v>
      </c>
      <c r="B2818" s="8" t="s">
        <v>839</v>
      </c>
      <c r="C2818" s="19" t="n">
        <v>1</v>
      </c>
      <c r="D2818" s="19" t="n">
        <v>55.85</v>
      </c>
      <c r="E2818" s="19" t="n">
        <v>5</v>
      </c>
      <c r="F2818" s="19" t="n">
        <v>279.25</v>
      </c>
      <c r="G2818" s="8" t="str">
        <f aca="false">IFERROR(INDEX('TRANS'!$B:$B,MATCH($B2818,'TRANS'!$A:$A,0)),IFERROR(INDEX('TRANS'!$B:$B,MATCH(TRIM(SUBSTITUTE($B2818,CHAR(160)," ")),'TRANS'!$D:$D,0)),IFERROR(INDEX('Catalog'!$A:$A,MATCH($B2818,'Catalog'!$B:$B,0)),IFERROR(INDEX('Catalog'!$A:$A,MATCH(TRIM(SUBSTITUTE($B2818,CHAR(160)," ")),'Catalog'!$C:$C,0)),""))))</f>
        <v/>
      </c>
      <c r="H2818" s="8" t="str">
        <f aca="false">IFERROR(INDEX('TRANS'!$C:$C,MATCH($B2818,'TRANS'!$A:$A,0)),IFERROR(INDEX('Catalog'!$B:$B,MATCH($G2818,'Catalog'!$A:$A,0)),$B2818))</f>
        <v>95B XS</v>
      </c>
      <c r="I2818" s="8" t="str">
        <f aca="false">IF($G2818="","Unmatched","Matched")</f>
        <v>Unmatched</v>
      </c>
    </row>
    <row r="2819" customFormat="false" ht="15" hidden="false" customHeight="false" outlineLevel="0" collapsed="false">
      <c r="A2819" s="8" t="s">
        <v>1021</v>
      </c>
      <c r="B2819" s="8" t="s">
        <v>985</v>
      </c>
      <c r="C2819" s="19" t="n">
        <v>1</v>
      </c>
      <c r="D2819" s="19" t="n">
        <v>55.85</v>
      </c>
      <c r="E2819" s="19" t="n">
        <v>0</v>
      </c>
      <c r="F2819" s="19" t="n">
        <v>0</v>
      </c>
      <c r="G2819" s="8" t="str">
        <f aca="false">IFERROR(INDEX('TRANS'!$B:$B,MATCH($B2819,'TRANS'!$A:$A,0)),IFERROR(INDEX('TRANS'!$B:$B,MATCH(TRIM(SUBSTITUTE($B2819,CHAR(160)," ")),'TRANS'!$D:$D,0)),IFERROR(INDEX('Catalog'!$A:$A,MATCH($B2819,'Catalog'!$B:$B,0)),IFERROR(INDEX('Catalog'!$A:$A,MATCH(TRIM(SUBSTITUTE($B2819,CHAR(160)," ")),'Catalog'!$C:$C,0)),""))))</f>
        <v/>
      </c>
      <c r="H2819" s="8" t="str">
        <f aca="false">IFERROR(INDEX('TRANS'!$C:$C,MATCH($B2819,'TRANS'!$A:$A,0)),IFERROR(INDEX('Catalog'!$B:$B,MATCH($G2819,'Catalog'!$A:$A,0)),$B2819))</f>
        <v>95G L</v>
      </c>
      <c r="I2819" s="8" t="str">
        <f aca="false">IF($G2819="","Unmatched","Matched")</f>
        <v>Unmatched</v>
      </c>
    </row>
    <row r="2820" customFormat="false" ht="15" hidden="false" customHeight="false" outlineLevel="0" collapsed="false">
      <c r="A2820" s="8" t="s">
        <v>1021</v>
      </c>
      <c r="B2820" s="8" t="s">
        <v>986</v>
      </c>
      <c r="C2820" s="19" t="n">
        <v>2</v>
      </c>
      <c r="D2820" s="19" t="n">
        <v>108.3</v>
      </c>
      <c r="E2820" s="19" t="n">
        <v>0</v>
      </c>
      <c r="F2820" s="19" t="n">
        <v>0</v>
      </c>
      <c r="G2820" s="8" t="str">
        <f aca="false">IFERROR(INDEX('TRANS'!$B:$B,MATCH($B2820,'TRANS'!$A:$A,0)),IFERROR(INDEX('TRANS'!$B:$B,MATCH(TRIM(SUBSTITUTE($B2820,CHAR(160)," ")),'TRANS'!$D:$D,0)),IFERROR(INDEX('Catalog'!$A:$A,MATCH($B2820,'Catalog'!$B:$B,0)),IFERROR(INDEX('Catalog'!$A:$A,MATCH(TRIM(SUBSTITUTE($B2820,CHAR(160)," ")),'Catalog'!$C:$C,0)),""))))</f>
        <v/>
      </c>
      <c r="H2820" s="8" t="str">
        <f aca="false">IFERROR(INDEX('TRANS'!$C:$C,MATCH($B2820,'TRANS'!$A:$A,0)),IFERROR(INDEX('Catalog'!$B:$B,MATCH($G2820,'Catalog'!$A:$A,0)),$B2820))</f>
        <v>95G M</v>
      </c>
      <c r="I2820" s="8" t="str">
        <f aca="false">IF($G2820="","Unmatched","Matched")</f>
        <v>Unmatched</v>
      </c>
    </row>
    <row r="2821" customFormat="false" ht="15" hidden="false" customHeight="false" outlineLevel="0" collapsed="false">
      <c r="A2821" s="8" t="s">
        <v>1021</v>
      </c>
      <c r="B2821" s="8" t="s">
        <v>1025</v>
      </c>
      <c r="C2821" s="19" t="n">
        <v>1</v>
      </c>
      <c r="D2821" s="19" t="n">
        <v>55.85</v>
      </c>
      <c r="E2821" s="19" t="n">
        <v>0</v>
      </c>
      <c r="F2821" s="19" t="n">
        <v>0</v>
      </c>
      <c r="G2821" s="8" t="str">
        <f aca="false">IFERROR(INDEX('TRANS'!$B:$B,MATCH($B2821,'TRANS'!$A:$A,0)),IFERROR(INDEX('TRANS'!$B:$B,MATCH(TRIM(SUBSTITUTE($B2821,CHAR(160)," ")),'TRANS'!$D:$D,0)),IFERROR(INDEX('Catalog'!$A:$A,MATCH($B2821,'Catalog'!$B:$B,0)),IFERROR(INDEX('Catalog'!$A:$A,MATCH(TRIM(SUBSTITUTE($B2821,CHAR(160)," ")),'Catalog'!$C:$C,0)),""))))</f>
        <v/>
      </c>
      <c r="H2821" s="8" t="str">
        <f aca="false">IFERROR(INDEX('TRANS'!$C:$C,MATCH($B2821,'TRANS'!$A:$A,0)),IFERROR(INDEX('Catalog'!$B:$B,MATCH($G2821,'Catalog'!$A:$A,0)),$B2821))</f>
        <v>95G XXL</v>
      </c>
      <c r="I2821" s="8" t="str">
        <f aca="false">IF($G2821="","Unmatched","Matched")</f>
        <v>Unmatched</v>
      </c>
    </row>
    <row r="2822" customFormat="false" ht="15" hidden="false" customHeight="false" outlineLevel="0" collapsed="false">
      <c r="A2822" s="8" t="s">
        <v>1021</v>
      </c>
      <c r="B2822" s="8" t="s">
        <v>267</v>
      </c>
      <c r="C2822" s="19" t="n">
        <v>8</v>
      </c>
      <c r="D2822" s="19" t="n">
        <v>1355.28</v>
      </c>
      <c r="E2822" s="19" t="n">
        <v>5</v>
      </c>
      <c r="F2822" s="19" t="n">
        <v>847.05</v>
      </c>
      <c r="G2822" s="8" t="n">
        <f aca="false">IFERROR(INDEX('TRANS'!$B:$B,MATCH($B2822,'TRANS'!$A:$A,0)),IFERROR(INDEX('TRANS'!$B:$B,MATCH(TRIM(SUBSTITUTE($B2822,CHAR(160)," ")),'TRANS'!$D:$D,0)),IFERROR(INDEX('Catalog'!$A:$A,MATCH($B2822,'Catalog'!$B:$B,0)),IFERROR(INDEX('Catalog'!$A:$A,MATCH(TRIM(SUBSTITUTE($B2822,CHAR(160)," ")),'Catalog'!$C:$C,0)),""))))</f>
        <v>4408205</v>
      </c>
      <c r="H2822" s="8" t="str">
        <f aca="false">IFERROR(INDEX('TRANS'!$C:$C,MATCH($B2822,'TRANS'!$A:$A,0)),IFERROR(INDEX('Catalog'!$B:$B,MATCH($G2822,'Catalog'!$A:$A,0)),$B2822))</f>
        <v>AC-07 חגורת גב עם תמיכות</v>
      </c>
      <c r="I2822" s="8" t="str">
        <f aca="false">IF($G2822="","Unmatched","Matched")</f>
        <v>Matched</v>
      </c>
    </row>
    <row r="2823" customFormat="false" ht="15" hidden="false" customHeight="false" outlineLevel="0" collapsed="false">
      <c r="A2823" s="8" t="s">
        <v>1021</v>
      </c>
      <c r="B2823" s="8" t="s">
        <v>269</v>
      </c>
      <c r="C2823" s="19" t="n">
        <v>37</v>
      </c>
      <c r="D2823" s="19" t="n">
        <v>2350.84</v>
      </c>
      <c r="E2823" s="19" t="n">
        <v>16</v>
      </c>
      <c r="F2823" s="19" t="n">
        <v>1083.36</v>
      </c>
      <c r="G2823" s="8" t="n">
        <f aca="false">IFERROR(INDEX('TRANS'!$B:$B,MATCH($B2823,'TRANS'!$A:$A,0)),IFERROR(INDEX('TRANS'!$B:$B,MATCH(TRIM(SUBSTITUTE($B2823,CHAR(160)," ")),'TRANS'!$D:$D,0)),IFERROR(INDEX('Catalog'!$A:$A,MATCH($B2823,'Catalog'!$B:$B,0)),IFERROR(INDEX('Catalog'!$A:$A,MATCH(TRIM(SUBSTITUTE($B2823,CHAR(160)," ")),'Catalog'!$C:$C,0)),""))))</f>
        <v>4408207</v>
      </c>
      <c r="H2823" s="8" t="str">
        <f aca="false">IFERROR(INDEX('TRANS'!$C:$C,MATCH($B2823,'TRANS'!$A:$A,0)),IFERROR(INDEX('Catalog'!$B:$B,MATCH($G2823,'Catalog'!$A:$A,0)),$B2823))</f>
        <v>AC-25 חבק לשורש כף היד</v>
      </c>
      <c r="I2823" s="8" t="str">
        <f aca="false">IF($G2823="","Unmatched","Matched")</f>
        <v>Matched</v>
      </c>
    </row>
    <row r="2824" customFormat="false" ht="15" hidden="false" customHeight="false" outlineLevel="0" collapsed="false">
      <c r="A2824" s="8" t="s">
        <v>1021</v>
      </c>
      <c r="B2824" s="8" t="s">
        <v>273</v>
      </c>
      <c r="C2824" s="19" t="n">
        <v>6</v>
      </c>
      <c r="D2824" s="19" t="n">
        <v>357.87</v>
      </c>
      <c r="E2824" s="19" t="n">
        <v>3</v>
      </c>
      <c r="F2824" s="19" t="n">
        <v>179.41</v>
      </c>
      <c r="G2824" s="8" t="n">
        <f aca="false">IFERROR(INDEX('TRANS'!$B:$B,MATCH($B2824,'TRANS'!$A:$A,0)),IFERROR(INDEX('TRANS'!$B:$B,MATCH(TRIM(SUBSTITUTE($B2824,CHAR(160)," ")),'TRANS'!$D:$D,0)),IFERROR(INDEX('Catalog'!$A:$A,MATCH($B2824,'Catalog'!$B:$B,0)),IFERROR(INDEX('Catalog'!$A:$A,MATCH(TRIM(SUBSTITUTE($B2824,CHAR(160)," ")),'Catalog'!$C:$C,0)),""))))</f>
        <v>4413326</v>
      </c>
      <c r="H2824" s="8" t="str">
        <f aca="false">IFERROR(INDEX('TRANS'!$C:$C,MATCH($B2824,'TRANS'!$A:$A,0)),IFERROR(INDEX('Catalog'!$B:$B,MATCH($G2824,'Catalog'!$A:$A,0)),$B2824))</f>
        <v>AC37 מגן קרסול נושם</v>
      </c>
      <c r="I2824" s="8" t="str">
        <f aca="false">IF($G2824="","Unmatched","Matched")</f>
        <v>Matched</v>
      </c>
    </row>
    <row r="2825" customFormat="false" ht="15" hidden="false" customHeight="false" outlineLevel="0" collapsed="false">
      <c r="A2825" s="8" t="s">
        <v>1021</v>
      </c>
      <c r="B2825" s="8" t="s">
        <v>274</v>
      </c>
      <c r="C2825" s="19" t="n">
        <v>10</v>
      </c>
      <c r="D2825" s="19" t="n">
        <v>1456.8</v>
      </c>
      <c r="E2825" s="19" t="n">
        <v>7</v>
      </c>
      <c r="F2825" s="19" t="n">
        <v>1019.76</v>
      </c>
      <c r="G2825" s="8" t="n">
        <f aca="false">IFERROR(INDEX('TRANS'!$B:$B,MATCH($B2825,'TRANS'!$A:$A,0)),IFERROR(INDEX('TRANS'!$B:$B,MATCH(TRIM(SUBSTITUTE($B2825,CHAR(160)," ")),'TRANS'!$D:$D,0)),IFERROR(INDEX('Catalog'!$A:$A,MATCH($B2825,'Catalog'!$B:$B,0)),IFERROR(INDEX('Catalog'!$A:$A,MATCH(TRIM(SUBSTITUTE($B2825,CHAR(160)," ")),'Catalog'!$C:$C,0)),""))))</f>
        <v>4420026</v>
      </c>
      <c r="H2825" s="8" t="str">
        <f aca="false">IFERROR(INDEX('TRANS'!$C:$C,MATCH($B2825,'TRANS'!$A:$A,0)),IFERROR(INDEX('Catalog'!$B:$B,MATCH($G2825,'Catalog'!$A:$A,0)),$B2825))</f>
        <v>AC40 רצועה לפיקת הברך</v>
      </c>
      <c r="I2825" s="8" t="str">
        <f aca="false">IF($G2825="","Unmatched","Matched")</f>
        <v>Matched</v>
      </c>
    </row>
    <row r="2826" customFormat="false" ht="15" hidden="false" customHeight="false" outlineLevel="0" collapsed="false">
      <c r="A2826" s="8" t="s">
        <v>1021</v>
      </c>
      <c r="B2826" s="8" t="s">
        <v>56</v>
      </c>
      <c r="C2826" s="19" t="n">
        <v>4</v>
      </c>
      <c r="D2826" s="19" t="n">
        <v>684.4</v>
      </c>
      <c r="E2826" s="19" t="n">
        <v>0</v>
      </c>
      <c r="F2826" s="19" t="n">
        <v>0</v>
      </c>
      <c r="G2826" s="8" t="n">
        <f aca="false">IFERROR(INDEX('TRANS'!$B:$B,MATCH($B2826,'TRANS'!$A:$A,0)),IFERROR(INDEX('TRANS'!$B:$B,MATCH(TRIM(SUBSTITUTE($B2826,CHAR(160)," ")),'TRANS'!$D:$D,0)),IFERROR(INDEX('Catalog'!$A:$A,MATCH($B2826,'Catalog'!$B:$B,0)),IFERROR(INDEX('Catalog'!$A:$A,MATCH(TRIM(SUBSTITUTE($B2826,CHAR(160)," ")),'Catalog'!$C:$C,0)),""))))</f>
        <v>4413328</v>
      </c>
      <c r="H2826" s="8" t="str">
        <f aca="false">IFERROR(INDEX('TRANS'!$C:$C,MATCH($B2826,'TRANS'!$A:$A,0)),IFERROR(INDEX('Catalog'!$B:$B,MATCH($G2826,'Catalog'!$A:$A,0)),$B2826))</f>
        <v>AC43D מגן ברך + צירים</v>
      </c>
      <c r="I2826" s="8" t="str">
        <f aca="false">IF($G2826="","Unmatched","Matched")</f>
        <v>Matched</v>
      </c>
    </row>
    <row r="2827" customFormat="false" ht="15" hidden="false" customHeight="false" outlineLevel="0" collapsed="false">
      <c r="A2827" s="8" t="s">
        <v>1021</v>
      </c>
      <c r="B2827" s="8" t="s">
        <v>805</v>
      </c>
      <c r="C2827" s="19" t="n">
        <v>0</v>
      </c>
      <c r="D2827" s="19" t="n">
        <v>0</v>
      </c>
      <c r="E2827" s="19" t="n">
        <v>1</v>
      </c>
      <c r="F2827" s="19" t="n">
        <v>132.97</v>
      </c>
      <c r="G2827" s="8" t="n">
        <f aca="false">IFERROR(INDEX('TRANS'!$B:$B,MATCH($B2827,'TRANS'!$A:$A,0)),IFERROR(INDEX('TRANS'!$B:$B,MATCH(TRIM(SUBSTITUTE($B2827,CHAR(160)," ")),'TRANS'!$D:$D,0)),IFERROR(INDEX('Catalog'!$A:$A,MATCH($B2827,'Catalog'!$B:$B,0)),IFERROR(INDEX('Catalog'!$A:$A,MATCH(TRIM(SUBSTITUTE($B2827,CHAR(160)," ")),'Catalog'!$C:$C,0)),""))))</f>
        <v>4413451</v>
      </c>
      <c r="H2827" s="8" t="str">
        <f aca="false">IFERROR(INDEX('TRANS'!$C:$C,MATCH($B2827,'TRANS'!$A:$A,0)),IFERROR(INDEX('Catalog'!$B:$B,MATCH($G2827,'Catalog'!$A:$A,0)),$B2827))</f>
        <v>LF378 L מדרס ג'ל לנעלי עקב</v>
      </c>
      <c r="I2827" s="8" t="str">
        <f aca="false">IF($G2827="","Unmatched","Matched")</f>
        <v>Matched</v>
      </c>
    </row>
    <row r="2828" customFormat="false" ht="15" hidden="false" customHeight="false" outlineLevel="0" collapsed="false">
      <c r="A2828" s="8" t="s">
        <v>1021</v>
      </c>
      <c r="B2828" s="8" t="s">
        <v>1026</v>
      </c>
      <c r="C2828" s="19" t="n">
        <v>1</v>
      </c>
      <c r="D2828" s="19" t="n">
        <v>132.97</v>
      </c>
      <c r="E2828" s="19" t="n">
        <v>0</v>
      </c>
      <c r="F2828" s="19" t="n">
        <v>0</v>
      </c>
      <c r="G2828" s="8" t="n">
        <f aca="false">IFERROR(INDEX('TRANS'!$B:$B,MATCH($B2828,'TRANS'!$A:$A,0)),IFERROR(INDEX('TRANS'!$B:$B,MATCH(TRIM(SUBSTITUTE($B2828,CHAR(160)," ")),'TRANS'!$D:$D,0)),IFERROR(INDEX('Catalog'!$A:$A,MATCH($B2828,'Catalog'!$B:$B,0)),IFERROR(INDEX('Catalog'!$A:$A,MATCH(TRIM(SUBSTITUTE($B2828,CHAR(160)," ")),'Catalog'!$C:$C,0)),""))))</f>
        <v>4413450</v>
      </c>
      <c r="H2828" s="8" t="str">
        <f aca="false">IFERROR(INDEX('TRANS'!$C:$C,MATCH($B2828,'TRANS'!$A:$A,0)),IFERROR(INDEX('Catalog'!$B:$B,MATCH($G2828,'Catalog'!$A:$A,0)),$B2828))</f>
        <v>LF378 M מדרס ג'ל לנעלי עקב</v>
      </c>
      <c r="I2828" s="8" t="str">
        <f aca="false">IF($G2828="","Unmatched","Matched")</f>
        <v>Matched</v>
      </c>
    </row>
    <row r="2829" customFormat="false" ht="15" hidden="false" customHeight="false" outlineLevel="0" collapsed="false">
      <c r="A2829" s="8" t="s">
        <v>1021</v>
      </c>
      <c r="B2829" s="8" t="s">
        <v>806</v>
      </c>
      <c r="C2829" s="19" t="n">
        <v>0</v>
      </c>
      <c r="D2829" s="19" t="n">
        <v>0</v>
      </c>
      <c r="E2829" s="19" t="n">
        <v>1</v>
      </c>
      <c r="F2829" s="19" t="n">
        <v>132.97</v>
      </c>
      <c r="G2829" s="8" t="n">
        <f aca="false">IFERROR(INDEX('TRANS'!$B:$B,MATCH($B2829,'TRANS'!$A:$A,0)),IFERROR(INDEX('TRANS'!$B:$B,MATCH(TRIM(SUBSTITUTE($B2829,CHAR(160)," ")),'TRANS'!$D:$D,0)),IFERROR(INDEX('Catalog'!$A:$A,MATCH($B2829,'Catalog'!$B:$B,0)),IFERROR(INDEX('Catalog'!$A:$A,MATCH(TRIM(SUBSTITUTE($B2829,CHAR(160)," ")),'Catalog'!$C:$C,0)),""))))</f>
        <v>4413449</v>
      </c>
      <c r="H2829" s="8" t="str">
        <f aca="false">IFERROR(INDEX('TRANS'!$C:$C,MATCH($B2829,'TRANS'!$A:$A,0)),IFERROR(INDEX('Catalog'!$B:$B,MATCH($G2829,'Catalog'!$A:$A,0)),$B2829))</f>
        <v>LF378 S מדרס ג'ל לנעלי עקב</v>
      </c>
      <c r="I2829" s="8" t="str">
        <f aca="false">IF($G2829="","Unmatched","Matched")</f>
        <v>Matched</v>
      </c>
    </row>
    <row r="2830" customFormat="false" ht="15" hidden="false" customHeight="false" outlineLevel="0" collapsed="false">
      <c r="A2830" s="8" t="s">
        <v>1021</v>
      </c>
      <c r="B2830" s="8" t="s">
        <v>990</v>
      </c>
      <c r="C2830" s="19" t="n">
        <v>0</v>
      </c>
      <c r="D2830" s="19" t="n">
        <v>0</v>
      </c>
      <c r="E2830" s="19" t="n">
        <v>2</v>
      </c>
      <c r="F2830" s="19" t="n">
        <v>0.01</v>
      </c>
      <c r="G2830" s="8" t="str">
        <f aca="false">IFERROR(INDEX('TRANS'!$B:$B,MATCH($B2830,'TRANS'!$A:$A,0)),IFERROR(INDEX('TRANS'!$B:$B,MATCH(TRIM(SUBSTITUTE($B2830,CHAR(160)," ")),'TRANS'!$D:$D,0)),IFERROR(INDEX('Catalog'!$A:$A,MATCH($B2830,'Catalog'!$B:$B,0)),IFERROR(INDEX('Catalog'!$A:$A,MATCH(TRIM(SUBSTITUTE($B2830,CHAR(160)," ")),'Catalog'!$C:$C,0)),""))))</f>
        <v/>
      </c>
      <c r="H2830" s="8" t="str">
        <f aca="false">IFERROR(INDEX('TRANS'!$C:$C,MATCH($B2830,'TRANS'!$A:$A,0)),IFERROR(INDEX('Catalog'!$B:$B,MATCH($G2830,'Catalog'!$A:$A,0)),$B2830))</f>
        <v>M92</v>
      </c>
      <c r="I2830" s="8" t="str">
        <f aca="false">IF($G2830="","Unmatched","Matched")</f>
        <v>Unmatched</v>
      </c>
    </row>
    <row r="2831" customFormat="false" ht="15" hidden="false" customHeight="false" outlineLevel="0" collapsed="false">
      <c r="A2831" s="8" t="s">
        <v>1021</v>
      </c>
      <c r="B2831" s="8" t="s">
        <v>57</v>
      </c>
      <c r="C2831" s="19" t="n">
        <v>167</v>
      </c>
      <c r="D2831" s="19" t="n">
        <v>4230.96</v>
      </c>
      <c r="E2831" s="19" t="n">
        <v>76</v>
      </c>
      <c r="F2831" s="19" t="n">
        <v>1931.92</v>
      </c>
      <c r="G2831" s="8" t="str">
        <f aca="false">IFERROR(INDEX('TRANS'!$B:$B,MATCH($B2831,'TRANS'!$A:$A,0)),IFERROR(INDEX('TRANS'!$B:$B,MATCH(TRIM(SUBSTITUTE($B2831,CHAR(160)," ")),'TRANS'!$D:$D,0)),IFERROR(INDEX('Catalog'!$A:$A,MATCH($B2831,'Catalog'!$B:$B,0)),IFERROR(INDEX('Catalog'!$A:$A,MATCH(TRIM(SUBSTITUTE($B2831,CHAR(160)," ")),'Catalog'!$C:$C,0)),""))))</f>
        <v/>
      </c>
      <c r="H2831" s="8" t="str">
        <f aca="false">IFERROR(INDEX('TRANS'!$C:$C,MATCH($B2831,'TRANS'!$A:$A,0)),IFERROR(INDEX('Catalog'!$B:$B,MATCH($G2831,'Catalog'!$A:$A,0)),$B2831))</f>
        <v>M93</v>
      </c>
      <c r="I2831" s="8" t="str">
        <f aca="false">IF($G2831="","Unmatched","Matched")</f>
        <v>Unmatched</v>
      </c>
    </row>
    <row r="2832" customFormat="false" ht="15" hidden="false" customHeight="false" outlineLevel="0" collapsed="false">
      <c r="A2832" s="8" t="s">
        <v>1021</v>
      </c>
      <c r="B2832" s="8" t="s">
        <v>555</v>
      </c>
      <c r="C2832" s="19" t="n">
        <v>1</v>
      </c>
      <c r="D2832" s="19" t="n">
        <v>16.86</v>
      </c>
      <c r="E2832" s="19" t="n">
        <v>0</v>
      </c>
      <c r="F2832" s="19" t="n">
        <v>0</v>
      </c>
      <c r="G2832" s="8" t="str">
        <f aca="false">IFERROR(INDEX('TRANS'!$B:$B,MATCH($B2832,'TRANS'!$A:$A,0)),IFERROR(INDEX('TRANS'!$B:$B,MATCH(TRIM(SUBSTITUTE($B2832,CHAR(160)," ")),'TRANS'!$D:$D,0)),IFERROR(INDEX('Catalog'!$A:$A,MATCH($B2832,'Catalog'!$B:$B,0)),IFERROR(INDEX('Catalog'!$A:$A,MATCH(TRIM(SUBSTITUTE($B2832,CHAR(160)," ")),'Catalog'!$C:$C,0)),""))))</f>
        <v/>
      </c>
      <c r="H2832" s="8" t="str">
        <f aca="false">IFERROR(INDEX('TRANS'!$C:$C,MATCH($B2832,'TRANS'!$A:$A,0)),IFERROR(INDEX('Catalog'!$B:$B,MATCH($G2832,'Catalog'!$A:$A,0)),$B2832))</f>
        <v>M95</v>
      </c>
      <c r="I2832" s="8" t="str">
        <f aca="false">IF($G2832="","Unmatched","Matched")</f>
        <v>Unmatched</v>
      </c>
    </row>
    <row r="2833" customFormat="false" ht="15" hidden="false" customHeight="false" outlineLevel="0" collapsed="false">
      <c r="A2833" s="8" t="s">
        <v>1021</v>
      </c>
      <c r="B2833" s="8" t="s">
        <v>440</v>
      </c>
      <c r="C2833" s="19" t="n">
        <v>1</v>
      </c>
      <c r="D2833" s="19" t="n">
        <v>128.73</v>
      </c>
      <c r="E2833" s="19" t="n">
        <v>0</v>
      </c>
      <c r="F2833" s="19" t="n">
        <v>0</v>
      </c>
      <c r="G2833" s="8" t="str">
        <f aca="false">IFERROR(INDEX('TRANS'!$B:$B,MATCH($B2833,'TRANS'!$A:$A,0)),IFERROR(INDEX('TRANS'!$B:$B,MATCH(TRIM(SUBSTITUTE($B2833,CHAR(160)," ")),'TRANS'!$D:$D,0)),IFERROR(INDEX('Catalog'!$A:$A,MATCH($B2833,'Catalog'!$B:$B,0)),IFERROR(INDEX('Catalog'!$A:$A,MATCH(TRIM(SUBSTITUTE($B2833,CHAR(160)," ")),'Catalog'!$C:$C,0)),""))))</f>
        <v/>
      </c>
      <c r="H2833" s="8" t="str">
        <f aca="false">IFERROR(INDEX('TRANS'!$C:$C,MATCH($B2833,'TRANS'!$A:$A,0)),IFERROR(INDEX('Catalog'!$B:$B,MATCH($G2833,'Catalog'!$A:$A,0)),$B2833))</f>
        <v>SP302W 0</v>
      </c>
      <c r="I2833" s="8" t="str">
        <f aca="false">IF($G2833="","Unmatched","Matched")</f>
        <v>Unmatched</v>
      </c>
    </row>
    <row r="2834" customFormat="false" ht="15" hidden="false" customHeight="false" outlineLevel="0" collapsed="false">
      <c r="A2834" s="8" t="s">
        <v>1021</v>
      </c>
      <c r="B2834" s="8" t="s">
        <v>1027</v>
      </c>
      <c r="C2834" s="19" t="n">
        <v>3</v>
      </c>
      <c r="D2834" s="19" t="n">
        <v>897.21</v>
      </c>
      <c r="E2834" s="19" t="n">
        <v>2</v>
      </c>
      <c r="F2834" s="19" t="n">
        <v>598.14</v>
      </c>
      <c r="G2834" s="8" t="str">
        <f aca="false">IFERROR(INDEX('TRANS'!$B:$B,MATCH($B2834,'TRANS'!$A:$A,0)),IFERROR(INDEX('TRANS'!$B:$B,MATCH(TRIM(SUBSTITUTE($B2834,CHAR(160)," ")),'TRANS'!$D:$D,0)),IFERROR(INDEX('Catalog'!$A:$A,MATCH($B2834,'Catalog'!$B:$B,0)),IFERROR(INDEX('Catalog'!$A:$A,MATCH(TRIM(SUBSTITUTE($B2834,CHAR(160)," ")),'Catalog'!$C:$C,0)),""))))</f>
        <v/>
      </c>
      <c r="H2834" s="8" t="str">
        <f aca="false">IFERROR(INDEX('TRANS'!$C:$C,MATCH($B2834,'TRANS'!$A:$A,0)),IFERROR(INDEX('Catalog'!$B:$B,MATCH($G2834,'Catalog'!$A:$A,0)),$B2834))</f>
        <v>T401 L</v>
      </c>
      <c r="I2834" s="8" t="str">
        <f aca="false">IF($G2834="","Unmatched","Matched")</f>
        <v>Unmatched</v>
      </c>
    </row>
    <row r="2835" customFormat="false" ht="15" hidden="false" customHeight="false" outlineLevel="0" collapsed="false">
      <c r="A2835" s="8" t="s">
        <v>1021</v>
      </c>
      <c r="B2835" s="8" t="s">
        <v>1028</v>
      </c>
      <c r="C2835" s="19" t="n">
        <v>2</v>
      </c>
      <c r="D2835" s="19" t="n">
        <v>598.14</v>
      </c>
      <c r="E2835" s="19" t="n">
        <v>0</v>
      </c>
      <c r="F2835" s="19" t="n">
        <v>0</v>
      </c>
      <c r="G2835" s="8" t="str">
        <f aca="false">IFERROR(INDEX('TRANS'!$B:$B,MATCH($B2835,'TRANS'!$A:$A,0)),IFERROR(INDEX('TRANS'!$B:$B,MATCH(TRIM(SUBSTITUTE($B2835,CHAR(160)," ")),'TRANS'!$D:$D,0)),IFERROR(INDEX('Catalog'!$A:$A,MATCH($B2835,'Catalog'!$B:$B,0)),IFERROR(INDEX('Catalog'!$A:$A,MATCH(TRIM(SUBSTITUTE($B2835,CHAR(160)," ")),'Catalog'!$C:$C,0)),""))))</f>
        <v/>
      </c>
      <c r="H2835" s="8" t="str">
        <f aca="false">IFERROR(INDEX('TRANS'!$C:$C,MATCH($B2835,'TRANS'!$A:$A,0)),IFERROR(INDEX('Catalog'!$B:$B,MATCH($G2835,'Catalog'!$A:$A,0)),$B2835))</f>
        <v>T401 M</v>
      </c>
      <c r="I2835" s="8" t="str">
        <f aca="false">IF($G2835="","Unmatched","Matched")</f>
        <v>Unmatched</v>
      </c>
    </row>
    <row r="2836" customFormat="false" ht="15" hidden="false" customHeight="false" outlineLevel="0" collapsed="false">
      <c r="A2836" s="8" t="s">
        <v>1021</v>
      </c>
      <c r="B2836" s="8" t="s">
        <v>1029</v>
      </c>
      <c r="C2836" s="19" t="n">
        <v>0</v>
      </c>
      <c r="D2836" s="19" t="n">
        <v>0</v>
      </c>
      <c r="E2836" s="19" t="n">
        <v>1</v>
      </c>
      <c r="F2836" s="19" t="n">
        <v>299.07</v>
      </c>
      <c r="G2836" s="8" t="str">
        <f aca="false">IFERROR(INDEX('TRANS'!$B:$B,MATCH($B2836,'TRANS'!$A:$A,0)),IFERROR(INDEX('TRANS'!$B:$B,MATCH(TRIM(SUBSTITUTE($B2836,CHAR(160)," ")),'TRANS'!$D:$D,0)),IFERROR(INDEX('Catalog'!$A:$A,MATCH($B2836,'Catalog'!$B:$B,0)),IFERROR(INDEX('Catalog'!$A:$A,MATCH(TRIM(SUBSTITUTE($B2836,CHAR(160)," ")),'Catalog'!$C:$C,0)),""))))</f>
        <v/>
      </c>
      <c r="H2836" s="8" t="str">
        <f aca="false">IFERROR(INDEX('TRANS'!$C:$C,MATCH($B2836,'TRANS'!$A:$A,0)),IFERROR(INDEX('Catalog'!$B:$B,MATCH($G2836,'Catalog'!$A:$A,0)),$B2836))</f>
        <v>T401 S</v>
      </c>
      <c r="I2836" s="8" t="str">
        <f aca="false">IF($G2836="","Unmatched","Matched")</f>
        <v>Unmatched</v>
      </c>
    </row>
    <row r="2837" customFormat="false" ht="15" hidden="false" customHeight="false" outlineLevel="0" collapsed="false">
      <c r="A2837" s="8" t="s">
        <v>1021</v>
      </c>
      <c r="B2837" s="8" t="s">
        <v>1030</v>
      </c>
      <c r="C2837" s="19" t="n">
        <v>0</v>
      </c>
      <c r="D2837" s="19" t="n">
        <v>0</v>
      </c>
      <c r="E2837" s="19" t="n">
        <v>1</v>
      </c>
      <c r="F2837" s="19" t="n">
        <v>299.07</v>
      </c>
      <c r="G2837" s="8" t="str">
        <f aca="false">IFERROR(INDEX('TRANS'!$B:$B,MATCH($B2837,'TRANS'!$A:$A,0)),IFERROR(INDEX('TRANS'!$B:$B,MATCH(TRIM(SUBSTITUTE($B2837,CHAR(160)," ")),'TRANS'!$D:$D,0)),IFERROR(INDEX('Catalog'!$A:$A,MATCH($B2837,'Catalog'!$B:$B,0)),IFERROR(INDEX('Catalog'!$A:$A,MATCH(TRIM(SUBSTITUTE($B2837,CHAR(160)," ")),'Catalog'!$C:$C,0)),""))))</f>
        <v/>
      </c>
      <c r="H2837" s="8" t="str">
        <f aca="false">IFERROR(INDEX('TRANS'!$C:$C,MATCH($B2837,'TRANS'!$A:$A,0)),IFERROR(INDEX('Catalog'!$B:$B,MATCH($G2837,'Catalog'!$A:$A,0)),$B2837))</f>
        <v>T401 XL</v>
      </c>
      <c r="I2837" s="8" t="str">
        <f aca="false">IF($G2837="","Unmatched","Matched")</f>
        <v>Unmatched</v>
      </c>
    </row>
    <row r="2838" customFormat="false" ht="15" hidden="false" customHeight="false" outlineLevel="0" collapsed="false">
      <c r="A2838" s="8" t="s">
        <v>1021</v>
      </c>
      <c r="B2838" s="8" t="s">
        <v>1018</v>
      </c>
      <c r="C2838" s="19" t="n">
        <v>1</v>
      </c>
      <c r="D2838" s="19" t="n">
        <v>143.98</v>
      </c>
      <c r="E2838" s="19" t="n">
        <v>0</v>
      </c>
      <c r="F2838" s="19" t="n">
        <v>0</v>
      </c>
      <c r="G2838" s="8" t="str">
        <f aca="false">IFERROR(INDEX('TRANS'!$B:$B,MATCH($B2838,'TRANS'!$A:$A,0)),IFERROR(INDEX('TRANS'!$B:$B,MATCH(TRIM(SUBSTITUTE($B2838,CHAR(160)," ")),'TRANS'!$D:$D,0)),IFERROR(INDEX('Catalog'!$A:$A,MATCH($B2838,'Catalog'!$B:$B,0)),IFERROR(INDEX('Catalog'!$A:$A,MATCH(TRIM(SUBSTITUTE($B2838,CHAR(160)," ")),'Catalog'!$C:$C,0)),""))))</f>
        <v/>
      </c>
      <c r="H2838" s="8" t="str">
        <f aca="false">IFERROR(INDEX('TRANS'!$C:$C,MATCH($B2838,'TRANS'!$A:$A,0)),IFERROR(INDEX('Catalog'!$B:$B,MATCH($G2838,'Catalog'!$A:$A,0)),$B2838))</f>
        <v>WEB-AC75-S-XL</v>
      </c>
      <c r="I2838" s="8" t="str">
        <f aca="false">IF($G2838="","Unmatched","Matched")</f>
        <v>Unmatched</v>
      </c>
    </row>
    <row r="2839" customFormat="false" ht="15" hidden="false" customHeight="false" outlineLevel="0" collapsed="false">
      <c r="A2839" s="8" t="s">
        <v>1031</v>
      </c>
      <c r="B2839" s="8" t="s">
        <v>140</v>
      </c>
      <c r="C2839" s="19" t="n">
        <v>20</v>
      </c>
      <c r="D2839" s="19" t="n">
        <v>248.43</v>
      </c>
      <c r="E2839" s="19" t="n">
        <v>0</v>
      </c>
      <c r="F2839" s="19" t="n">
        <v>0</v>
      </c>
      <c r="G2839" s="8" t="n">
        <f aca="false">IFERROR(INDEX('TRANS'!$B:$B,MATCH($B2839,'TRANS'!$A:$A,0)),IFERROR(INDEX('TRANS'!$B:$B,MATCH(TRIM(SUBSTITUTE($B2839,CHAR(160)," ")),'TRANS'!$D:$D,0)),IFERROR(INDEX('Catalog'!$A:$A,MATCH($B2839,'Catalog'!$B:$B,0)),IFERROR(INDEX('Catalog'!$A:$A,MATCH(TRIM(SUBSTITUTE($B2839,CHAR(160)," ")),'Catalog'!$C:$C,0)),""))))</f>
        <v>4413053</v>
      </c>
      <c r="H2839" s="8" t="str">
        <f aca="false">IFERROR(INDEX('TRANS'!$C:$C,MATCH($B2839,'TRANS'!$A:$A,0)),IFERROR(INDEX('Catalog'!$B:$B,MATCH($G2839,'Catalog'!$A:$A,0)),$B2839))</f>
        <v>35C L מגן קרסול חום</v>
      </c>
      <c r="I2839" s="8" t="str">
        <f aca="false">IF($G2839="","Unmatched","Matched")</f>
        <v>Matched</v>
      </c>
    </row>
    <row r="2840" customFormat="false" ht="15" hidden="false" customHeight="false" outlineLevel="0" collapsed="false">
      <c r="A2840" s="8" t="s">
        <v>1031</v>
      </c>
      <c r="B2840" s="8" t="s">
        <v>479</v>
      </c>
      <c r="C2840" s="19" t="n">
        <v>1</v>
      </c>
      <c r="D2840" s="19" t="n">
        <v>0.04</v>
      </c>
      <c r="E2840" s="19" t="n">
        <v>0</v>
      </c>
      <c r="F2840" s="19" t="n">
        <v>0</v>
      </c>
      <c r="G2840" s="8" t="n">
        <f aca="false">IFERROR(INDEX('TRANS'!$B:$B,MATCH($B2840,'TRANS'!$A:$A,0)),IFERROR(INDEX('TRANS'!$B:$B,MATCH(TRIM(SUBSTITUTE($B2840,CHAR(160)," ")),'TRANS'!$D:$D,0)),IFERROR(INDEX('Catalog'!$A:$A,MATCH($B2840,'Catalog'!$B:$B,0)),IFERROR(INDEX('Catalog'!$A:$A,MATCH(TRIM(SUBSTITUTE($B2840,CHAR(160)," ")),'Catalog'!$C:$C,0)),""))))</f>
        <v>4413523</v>
      </c>
      <c r="H2840" s="8" t="str">
        <f aca="false">IFERROR(INDEX('TRANS'!$C:$C,MATCH($B2840,'TRANS'!$A:$A,0)),IFERROR(INDEX('Catalog'!$B:$B,MATCH($G2840,'Catalog'!$A:$A,0)),$B2840))</f>
        <v>35-38 מדרסי אפיק ג'ל נוחות</v>
      </c>
      <c r="I2840" s="8" t="str">
        <f aca="false">IF($G2840="","Unmatched","Matched")</f>
        <v>Matched</v>
      </c>
    </row>
    <row r="2841" customFormat="false" ht="15" hidden="false" customHeight="false" outlineLevel="0" collapsed="false">
      <c r="A2841" s="8" t="s">
        <v>1031</v>
      </c>
      <c r="B2841" s="8" t="s">
        <v>482</v>
      </c>
      <c r="C2841" s="19" t="n">
        <v>1</v>
      </c>
      <c r="D2841" s="19" t="n">
        <v>0.04</v>
      </c>
      <c r="E2841" s="19" t="n">
        <v>0</v>
      </c>
      <c r="F2841" s="19" t="n">
        <v>0</v>
      </c>
      <c r="G2841" s="8" t="n">
        <f aca="false">IFERROR(INDEX('TRANS'!$B:$B,MATCH($B2841,'TRANS'!$A:$A,0)),IFERROR(INDEX('TRANS'!$B:$B,MATCH(TRIM(SUBSTITUTE($B2841,CHAR(160)," ")),'TRANS'!$D:$D,0)),IFERROR(INDEX('Catalog'!$A:$A,MATCH($B2841,'Catalog'!$B:$B,0)),IFERROR(INDEX('Catalog'!$A:$A,MATCH(TRIM(SUBSTITUTE($B2841,CHAR(160)," ")),'Catalog'!$C:$C,0)),""))))</f>
        <v>4413520</v>
      </c>
      <c r="H2841" s="8" t="str">
        <f aca="false">IFERROR(INDEX('TRANS'!$C:$C,MATCH($B2841,'TRANS'!$A:$A,0)),IFERROR(INDEX('Catalog'!$B:$B,MATCH($G2841,'Catalog'!$A:$A,0)),$B2841))</f>
        <v>מדרסי אפיק ג'ל מולט.ספורט35-38</v>
      </c>
      <c r="I2841" s="8" t="str">
        <f aca="false">IF($G2841="","Unmatched","Matched")</f>
        <v>Matched</v>
      </c>
    </row>
    <row r="2842" customFormat="false" ht="15" hidden="false" customHeight="false" outlineLevel="0" collapsed="false">
      <c r="A2842" s="8" t="s">
        <v>1031</v>
      </c>
      <c r="B2842" s="8" t="s">
        <v>485</v>
      </c>
      <c r="C2842" s="19" t="n">
        <v>1</v>
      </c>
      <c r="D2842" s="19" t="n">
        <v>0.04</v>
      </c>
      <c r="E2842" s="19" t="n">
        <v>0</v>
      </c>
      <c r="F2842" s="19" t="n">
        <v>0</v>
      </c>
      <c r="G2842" s="8" t="n">
        <f aca="false">IFERROR(INDEX('TRANS'!$B:$B,MATCH($B2842,'TRANS'!$A:$A,0)),IFERROR(INDEX('TRANS'!$B:$B,MATCH(TRIM(SUBSTITUTE($B2842,CHAR(160)," ")),'TRANS'!$D:$D,0)),IFERROR(INDEX('Catalog'!$A:$A,MATCH($B2842,'Catalog'!$B:$B,0)),IFERROR(INDEX('Catalog'!$A:$A,MATCH(TRIM(SUBSTITUTE($B2842,CHAR(160)," ")),'Catalog'!$C:$C,0)),""))))</f>
        <v>4413527</v>
      </c>
      <c r="H2842" s="8" t="str">
        <f aca="false">IFERROR(INDEX('TRANS'!$C:$C,MATCH($B2842,'TRANS'!$A:$A,0)),IFERROR(INDEX('Catalog'!$B:$B,MATCH($G2842,'Catalog'!$A:$A,0)),$B2842))</f>
        <v>35-38 מדרסי אפיק ג'ל עבודה</v>
      </c>
      <c r="I2842" s="8" t="str">
        <f aca="false">IF($G2842="","Unmatched","Matched")</f>
        <v>Matched</v>
      </c>
    </row>
    <row r="2843" customFormat="false" ht="15" hidden="false" customHeight="false" outlineLevel="0" collapsed="false">
      <c r="A2843" s="8" t="s">
        <v>1031</v>
      </c>
      <c r="B2843" s="8" t="s">
        <v>486</v>
      </c>
      <c r="C2843" s="19" t="n">
        <v>1</v>
      </c>
      <c r="D2843" s="19" t="n">
        <v>0.04</v>
      </c>
      <c r="E2843" s="19" t="n">
        <v>0</v>
      </c>
      <c r="F2843" s="19" t="n">
        <v>0</v>
      </c>
      <c r="G2843" s="8" t="n">
        <f aca="false">IFERROR(INDEX('TRANS'!$B:$B,MATCH($B2843,'TRANS'!$A:$A,0)),IFERROR(INDEX('TRANS'!$B:$B,MATCH(TRIM(SUBSTITUTE($B2843,CHAR(160)," ")),'TRANS'!$D:$D,0)),IFERROR(INDEX('Catalog'!$A:$A,MATCH($B2843,'Catalog'!$B:$B,0)),IFERROR(INDEX('Catalog'!$A:$A,MATCH(TRIM(SUBSTITUTE($B2843,CHAR(160)," ")),'Catalog'!$C:$C,0)),""))))</f>
        <v>4413528</v>
      </c>
      <c r="H2843" s="8" t="str">
        <f aca="false">IFERROR(INDEX('TRANS'!$C:$C,MATCH($B2843,'TRANS'!$A:$A,0)),IFERROR(INDEX('Catalog'!$B:$B,MATCH($G2843,'Catalog'!$A:$A,0)),$B2843))</f>
        <v>39-42 מדרסי אפיק ג'ל עבודה</v>
      </c>
      <c r="I2843" s="8" t="str">
        <f aca="false">IF($G2843="","Unmatched","Matched")</f>
        <v>Matched</v>
      </c>
    </row>
    <row r="2844" customFormat="false" ht="15" hidden="false" customHeight="false" outlineLevel="0" collapsed="false">
      <c r="A2844" s="8" t="s">
        <v>1032</v>
      </c>
      <c r="B2844" s="8" t="s">
        <v>108</v>
      </c>
      <c r="C2844" s="19" t="n">
        <v>110</v>
      </c>
      <c r="D2844" s="19" t="n">
        <v>2664.28</v>
      </c>
      <c r="E2844" s="19" t="n">
        <v>120</v>
      </c>
      <c r="F2844" s="19" t="n">
        <v>2683</v>
      </c>
      <c r="G2844" s="8" t="n">
        <f aca="false">IFERROR(INDEX('TRANS'!$B:$B,MATCH($B2844,'TRANS'!$A:$A,0)),IFERROR(INDEX('TRANS'!$B:$B,MATCH(TRIM(SUBSTITUTE($B2844,CHAR(160)," ")),'TRANS'!$D:$D,0)),IFERROR(INDEX('Catalog'!$A:$A,MATCH($B2844,'Catalog'!$B:$B,0)),IFERROR(INDEX('Catalog'!$A:$A,MATCH(TRIM(SUBSTITUTE($B2844,CHAR(160)," ")),'Catalog'!$C:$C,0)),""))))</f>
        <v>4415158</v>
      </c>
      <c r="H2844" s="8" t="str">
        <f aca="false">IFERROR(INDEX('TRANS'!$C:$C,MATCH($B2844,'TRANS'!$A:$A,0)),IFERROR(INDEX('Catalog'!$B:$B,MATCH($G2844,'Catalog'!$A:$A,0)),$B2844))</f>
        <v>266 סד ליד דו צדדי</v>
      </c>
      <c r="I2844" s="8" t="str">
        <f aca="false">IF($G2844="","Unmatched","Matched")</f>
        <v>Matched</v>
      </c>
    </row>
    <row r="2845" customFormat="false" ht="15" hidden="false" customHeight="false" outlineLevel="0" collapsed="false">
      <c r="A2845" s="8" t="s">
        <v>1032</v>
      </c>
      <c r="B2845" s="8" t="s">
        <v>120</v>
      </c>
      <c r="C2845" s="19" t="n">
        <v>20</v>
      </c>
      <c r="D2845" s="19" t="n">
        <v>771.24</v>
      </c>
      <c r="E2845" s="19" t="n">
        <v>20</v>
      </c>
      <c r="F2845" s="19" t="n">
        <v>720.44</v>
      </c>
      <c r="G2845" s="8" t="n">
        <f aca="false">IFERROR(INDEX('TRANS'!$B:$B,MATCH($B2845,'TRANS'!$A:$A,0)),IFERROR(INDEX('TRANS'!$B:$B,MATCH(TRIM(SUBSTITUTE($B2845,CHAR(160)," ")),'TRANS'!$D:$D,0)),IFERROR(INDEX('Catalog'!$A:$A,MATCH($B2845,'Catalog'!$B:$B,0)),IFERROR(INDEX('Catalog'!$A:$A,MATCH(TRIM(SUBSTITUTE($B2845,CHAR(160)," ")),'Catalog'!$C:$C,0)),""))))</f>
        <v>4416000</v>
      </c>
      <c r="H2845" s="8" t="str">
        <f aca="false">IFERROR(INDEX('TRANS'!$C:$C,MATCH($B2845,'TRANS'!$A:$A,0)),IFERROR(INDEX('Catalog'!$B:$B,MATCH($G2845,'Catalog'!$A:$A,0)),$B2845))</f>
        <v>307 L עקבים לדורבן-זוג כריות</v>
      </c>
      <c r="I2845" s="8" t="str">
        <f aca="false">IF($G2845="","Unmatched","Matched")</f>
        <v>Matched</v>
      </c>
    </row>
    <row r="2846" customFormat="false" ht="15" hidden="false" customHeight="false" outlineLevel="0" collapsed="false">
      <c r="A2846" s="8" t="s">
        <v>1032</v>
      </c>
      <c r="B2846" s="8" t="s">
        <v>121</v>
      </c>
      <c r="C2846" s="19" t="n">
        <v>40</v>
      </c>
      <c r="D2846" s="19" t="n">
        <v>1583.48</v>
      </c>
      <c r="E2846" s="19" t="n">
        <v>40</v>
      </c>
      <c r="F2846" s="19" t="n">
        <v>1440.87</v>
      </c>
      <c r="G2846" s="8" t="n">
        <f aca="false">IFERROR(INDEX('TRANS'!$B:$B,MATCH($B2846,'TRANS'!$A:$A,0)),IFERROR(INDEX('TRANS'!$B:$B,MATCH(TRIM(SUBSTITUTE($B2846,CHAR(160)," ")),'TRANS'!$D:$D,0)),IFERROR(INDEX('Catalog'!$A:$A,MATCH($B2846,'Catalog'!$B:$B,0)),IFERROR(INDEX('Catalog'!$A:$A,MATCH(TRIM(SUBSTITUTE($B2846,CHAR(160)," ")),'Catalog'!$C:$C,0)),""))))</f>
        <v>4416001</v>
      </c>
      <c r="H2846" s="8" t="str">
        <f aca="false">IFERROR(INDEX('TRANS'!$C:$C,MATCH($B2846,'TRANS'!$A:$A,0)),IFERROR(INDEX('Catalog'!$B:$B,MATCH($G2846,'Catalog'!$A:$A,0)),$B2846))</f>
        <v>307 M עקבים לדורבן-זוג כריות</v>
      </c>
      <c r="I2846" s="8" t="str">
        <f aca="false">IF($G2846="","Unmatched","Matched")</f>
        <v>Matched</v>
      </c>
    </row>
    <row r="2847" customFormat="false" ht="15" hidden="false" customHeight="false" outlineLevel="0" collapsed="false">
      <c r="A2847" s="8" t="s">
        <v>1032</v>
      </c>
      <c r="B2847" s="8" t="s">
        <v>122</v>
      </c>
      <c r="C2847" s="19" t="n">
        <v>10</v>
      </c>
      <c r="D2847" s="19" t="n">
        <v>385.62</v>
      </c>
      <c r="E2847" s="19" t="n">
        <v>0</v>
      </c>
      <c r="F2847" s="19" t="n">
        <v>0</v>
      </c>
      <c r="G2847" s="8" t="n">
        <f aca="false">IFERROR(INDEX('TRANS'!$B:$B,MATCH($B2847,'TRANS'!$A:$A,0)),IFERROR(INDEX('TRANS'!$B:$B,MATCH(TRIM(SUBSTITUTE($B2847,CHAR(160)," ")),'TRANS'!$D:$D,0)),IFERROR(INDEX('Catalog'!$A:$A,MATCH($B2847,'Catalog'!$B:$B,0)),IFERROR(INDEX('Catalog'!$A:$A,MATCH(TRIM(SUBSTITUTE($B2847,CHAR(160)," ")),'Catalog'!$C:$C,0)),""))))</f>
        <v>4411016</v>
      </c>
      <c r="H2847" s="8" t="str">
        <f aca="false">IFERROR(INDEX('TRANS'!$C:$C,MATCH($B2847,'TRANS'!$A:$A,0)),IFERROR(INDEX('Catalog'!$B:$B,MATCH($G2847,'Catalog'!$A:$A,0)),$B2847))</f>
        <v>307 XL כרית סיליקון לעקב</v>
      </c>
      <c r="I2847" s="8" t="str">
        <f aca="false">IF($G2847="","Unmatched","Matched")</f>
        <v>Matched</v>
      </c>
    </row>
    <row r="2848" customFormat="false" ht="15" hidden="false" customHeight="false" outlineLevel="0" collapsed="false">
      <c r="A2848" s="8" t="s">
        <v>1032</v>
      </c>
      <c r="B2848" s="8" t="s">
        <v>125</v>
      </c>
      <c r="C2848" s="19" t="n">
        <v>0</v>
      </c>
      <c r="D2848" s="19" t="n">
        <v>0</v>
      </c>
      <c r="E2848" s="19" t="n">
        <v>40</v>
      </c>
      <c r="F2848" s="19" t="n">
        <v>262.63</v>
      </c>
      <c r="G2848" s="8" t="n">
        <f aca="false">IFERROR(INDEX('TRANS'!$B:$B,MATCH($B2848,'TRANS'!$A:$A,0)),IFERROR(INDEX('TRANS'!$B:$B,MATCH(TRIM(SUBSTITUTE($B2848,CHAR(160)," ")),'TRANS'!$D:$D,0)),IFERROR(INDEX('Catalog'!$A:$A,MATCH($B2848,'Catalog'!$B:$B,0)),IFERROR(INDEX('Catalog'!$A:$A,MATCH(TRIM(SUBSTITUTE($B2848,CHAR(160)," ")),'Catalog'!$C:$C,0)),""))))</f>
        <v>4413034</v>
      </c>
      <c r="H2848" s="8" t="str">
        <f aca="false">IFERROR(INDEX('TRANS'!$C:$C,MATCH($B2848,'TRANS'!$A:$A,0)),IFERROR(INDEX('Catalog'!$B:$B,MATCH($G2848,'Catalog'!$A:$A,0)),$B2848))</f>
        <v>312 9 מ""""ס להתאמהX5 מדבקה גדולה</v>
      </c>
      <c r="I2848" s="8" t="str">
        <f aca="false">IF($G2848="","Unmatched","Matched")</f>
        <v>Matched</v>
      </c>
    </row>
    <row r="2849" customFormat="false" ht="15" hidden="false" customHeight="false" outlineLevel="0" collapsed="false">
      <c r="A2849" s="8" t="s">
        <v>1032</v>
      </c>
      <c r="B2849" s="8" t="s">
        <v>135</v>
      </c>
      <c r="C2849" s="19" t="n">
        <v>40</v>
      </c>
      <c r="D2849" s="19" t="n">
        <v>467.91</v>
      </c>
      <c r="E2849" s="19" t="n">
        <v>20</v>
      </c>
      <c r="F2849" s="19" t="n">
        <v>220.03</v>
      </c>
      <c r="G2849" s="8" t="n">
        <f aca="false">IFERROR(INDEX('TRANS'!$B:$B,MATCH($B2849,'TRANS'!$A:$A,0)),IFERROR(INDEX('TRANS'!$B:$B,MATCH(TRIM(SUBSTITUTE($B2849,CHAR(160)," ")),'TRANS'!$D:$D,0)),IFERROR(INDEX('Catalog'!$A:$A,MATCH($B2849,'Catalog'!$B:$B,0)),IFERROR(INDEX('Catalog'!$A:$A,MATCH(TRIM(SUBSTITUTE($B2849,CHAR(160)," ")),'Catalog'!$C:$C,0)),""))))</f>
        <v>4413490</v>
      </c>
      <c r="H2849" s="8" t="str">
        <f aca="false">IFERROR(INDEX('TRANS'!$C:$C,MATCH($B2849,'TRANS'!$A:$A,0)),IFERROR(INDEX('Catalog'!$B:$B,MATCH($G2849,'Catalog'!$A:$A,0)),$B2849))</f>
        <v>35B L מגן קרסול שחור</v>
      </c>
      <c r="I2849" s="8" t="str">
        <f aca="false">IF($G2849="","Unmatched","Matched")</f>
        <v>Matched</v>
      </c>
    </row>
    <row r="2850" customFormat="false" ht="15" hidden="false" customHeight="false" outlineLevel="0" collapsed="false">
      <c r="A2850" s="8" t="s">
        <v>1032</v>
      </c>
      <c r="B2850" s="8" t="s">
        <v>136</v>
      </c>
      <c r="C2850" s="19" t="n">
        <v>40</v>
      </c>
      <c r="D2850" s="19" t="n">
        <v>464.71</v>
      </c>
      <c r="E2850" s="19" t="n">
        <v>40</v>
      </c>
      <c r="F2850" s="19" t="n">
        <v>440.07</v>
      </c>
      <c r="G2850" s="8" t="n">
        <f aca="false">IFERROR(INDEX('TRANS'!$B:$B,MATCH($B2850,'TRANS'!$A:$A,0)),IFERROR(INDEX('TRANS'!$B:$B,MATCH(TRIM(SUBSTITUTE($B2850,CHAR(160)," ")),'TRANS'!$D:$D,0)),IFERROR(INDEX('Catalog'!$A:$A,MATCH($B2850,'Catalog'!$B:$B,0)),IFERROR(INDEX('Catalog'!$A:$A,MATCH(TRIM(SUBSTITUTE($B2850,CHAR(160)," ")),'Catalog'!$C:$C,0)),""))))</f>
        <v>4413492</v>
      </c>
      <c r="H2850" s="8" t="str">
        <f aca="false">IFERROR(INDEX('TRANS'!$C:$C,MATCH($B2850,'TRANS'!$A:$A,0)),IFERROR(INDEX('Catalog'!$B:$B,MATCH($G2850,'Catalog'!$A:$A,0)),$B2850))</f>
        <v>35B M מגן קרסול שחור</v>
      </c>
      <c r="I2850" s="8" t="str">
        <f aca="false">IF($G2850="","Unmatched","Matched")</f>
        <v>Matched</v>
      </c>
    </row>
    <row r="2851" customFormat="false" ht="15" hidden="false" customHeight="false" outlineLevel="0" collapsed="false">
      <c r="A2851" s="8" t="s">
        <v>1032</v>
      </c>
      <c r="B2851" s="8" t="s">
        <v>137</v>
      </c>
      <c r="C2851" s="19" t="n">
        <v>30</v>
      </c>
      <c r="D2851" s="19" t="n">
        <v>350.13</v>
      </c>
      <c r="E2851" s="19" t="n">
        <v>0</v>
      </c>
      <c r="F2851" s="19" t="n">
        <v>0</v>
      </c>
      <c r="G2851" s="8" t="n">
        <f aca="false">IFERROR(INDEX('TRANS'!$B:$B,MATCH($B2851,'TRANS'!$A:$A,0)),IFERROR(INDEX('TRANS'!$B:$B,MATCH(TRIM(SUBSTITUTE($B2851,CHAR(160)," ")),'TRANS'!$D:$D,0)),IFERROR(INDEX('Catalog'!$A:$A,MATCH($B2851,'Catalog'!$B:$B,0)),IFERROR(INDEX('Catalog'!$A:$A,MATCH(TRIM(SUBSTITUTE($B2851,CHAR(160)," ")),'Catalog'!$C:$C,0)),""))))</f>
        <v>4413493</v>
      </c>
      <c r="H2851" s="8" t="str">
        <f aca="false">IFERROR(INDEX('TRANS'!$C:$C,MATCH($B2851,'TRANS'!$A:$A,0)),IFERROR(INDEX('Catalog'!$B:$B,MATCH($G2851,'Catalog'!$A:$A,0)),$B2851))</f>
        <v>35B S מגן קרסול שחור</v>
      </c>
      <c r="I2851" s="8" t="str">
        <f aca="false">IF($G2851="","Unmatched","Matched")</f>
        <v>Matched</v>
      </c>
    </row>
    <row r="2852" customFormat="false" ht="15" hidden="false" customHeight="false" outlineLevel="0" collapsed="false">
      <c r="A2852" s="8" t="s">
        <v>1032</v>
      </c>
      <c r="B2852" s="8" t="s">
        <v>138</v>
      </c>
      <c r="C2852" s="19" t="n">
        <v>30</v>
      </c>
      <c r="D2852" s="19" t="n">
        <v>346.94</v>
      </c>
      <c r="E2852" s="19" t="n">
        <v>0</v>
      </c>
      <c r="F2852" s="19" t="n">
        <v>0</v>
      </c>
      <c r="G2852" s="8" t="n">
        <f aca="false">IFERROR(INDEX('TRANS'!$B:$B,MATCH($B2852,'TRANS'!$A:$A,0)),IFERROR(INDEX('TRANS'!$B:$B,MATCH(TRIM(SUBSTITUTE($B2852,CHAR(160)," ")),'TRANS'!$D:$D,0)),IFERROR(INDEX('Catalog'!$A:$A,MATCH($B2852,'Catalog'!$B:$B,0)),IFERROR(INDEX('Catalog'!$A:$A,MATCH(TRIM(SUBSTITUTE($B2852,CHAR(160)," ")),'Catalog'!$C:$C,0)),""))))</f>
        <v>4413491</v>
      </c>
      <c r="H2852" s="8" t="str">
        <f aca="false">IFERROR(INDEX('TRANS'!$C:$C,MATCH($B2852,'TRANS'!$A:$A,0)),IFERROR(INDEX('Catalog'!$B:$B,MATCH($G2852,'Catalog'!$A:$A,0)),$B2852))</f>
        <v>35B XL מגן קרסול שחור</v>
      </c>
      <c r="I2852" s="8" t="str">
        <f aca="false">IF($G2852="","Unmatched","Matched")</f>
        <v>Matched</v>
      </c>
    </row>
    <row r="2853" customFormat="false" ht="15" hidden="false" customHeight="false" outlineLevel="0" collapsed="false">
      <c r="A2853" s="8" t="s">
        <v>1032</v>
      </c>
      <c r="B2853" s="8" t="s">
        <v>139</v>
      </c>
      <c r="C2853" s="19" t="n">
        <v>15</v>
      </c>
      <c r="D2853" s="19" t="n">
        <v>181.33</v>
      </c>
      <c r="E2853" s="19" t="n">
        <v>0</v>
      </c>
      <c r="F2853" s="19" t="n">
        <v>0</v>
      </c>
      <c r="G2853" s="8" t="n">
        <f aca="false">IFERROR(INDEX('TRANS'!$B:$B,MATCH($B2853,'TRANS'!$A:$A,0)),IFERROR(INDEX('TRANS'!$B:$B,MATCH(TRIM(SUBSTITUTE($B2853,CHAR(160)," ")),'TRANS'!$D:$D,0)),IFERROR(INDEX('Catalog'!$A:$A,MATCH($B2853,'Catalog'!$B:$B,0)),IFERROR(INDEX('Catalog'!$A:$A,MATCH(TRIM(SUBSTITUTE($B2853,CHAR(160)," ")),'Catalog'!$C:$C,0)),""))))</f>
        <v>4413494</v>
      </c>
      <c r="H2853" s="8" t="str">
        <f aca="false">IFERROR(INDEX('TRANS'!$C:$C,MATCH($B2853,'TRANS'!$A:$A,0)),IFERROR(INDEX('Catalog'!$B:$B,MATCH($G2853,'Catalog'!$A:$A,0)),$B2853))</f>
        <v>35B XXL מגן קרסול שחור</v>
      </c>
      <c r="I2853" s="8" t="str">
        <f aca="false">IF($G2853="","Unmatched","Matched")</f>
        <v>Matched</v>
      </c>
    </row>
    <row r="2854" customFormat="false" ht="15" hidden="false" customHeight="false" outlineLevel="0" collapsed="false">
      <c r="A2854" s="8" t="s">
        <v>1032</v>
      </c>
      <c r="B2854" s="8" t="s">
        <v>154</v>
      </c>
      <c r="C2854" s="19" t="n">
        <v>20</v>
      </c>
      <c r="D2854" s="19" t="n">
        <v>110.89</v>
      </c>
      <c r="E2854" s="19" t="n">
        <v>0</v>
      </c>
      <c r="F2854" s="19" t="n">
        <v>0</v>
      </c>
      <c r="G2854" s="8" t="n">
        <f aca="false">IFERROR(INDEX('TRANS'!$B:$B,MATCH($B2854,'TRANS'!$A:$A,0)),IFERROR(INDEX('TRANS'!$B:$B,MATCH(TRIM(SUBSTITUTE($B2854,CHAR(160)," ")),'TRANS'!$D:$D,0)),IFERROR(INDEX('Catalog'!$A:$A,MATCH($B2854,'Catalog'!$B:$B,0)),IFERROR(INDEX('Catalog'!$A:$A,MATCH(TRIM(SUBSTITUTE($B2854,CHAR(160)," ")),'Catalog'!$C:$C,0)),""))))</f>
        <v>4413061</v>
      </c>
      <c r="H2854" s="8" t="str">
        <f aca="false">IFERROR(INDEX('TRANS'!$C:$C,MATCH($B2854,'TRANS'!$A:$A,0)),IFERROR(INDEX('Catalog'!$B:$B,MATCH($G2854,'Catalog'!$A:$A,0)),$B2854))</f>
        <v>3641-מיישר בוהן סיליקון קשיח</v>
      </c>
      <c r="I2854" s="8" t="str">
        <f aca="false">IF($G2854="","Unmatched","Matched")</f>
        <v>Matched</v>
      </c>
    </row>
    <row r="2855" customFormat="false" ht="15" hidden="false" customHeight="false" outlineLevel="0" collapsed="false">
      <c r="A2855" s="8" t="s">
        <v>1032</v>
      </c>
      <c r="B2855" s="8" t="s">
        <v>156</v>
      </c>
      <c r="C2855" s="19" t="n">
        <v>80</v>
      </c>
      <c r="D2855" s="19" t="n">
        <v>1154.65</v>
      </c>
      <c r="E2855" s="19" t="n">
        <v>40</v>
      </c>
      <c r="F2855" s="19" t="n">
        <v>539.44</v>
      </c>
      <c r="G2855" s="8" t="n">
        <f aca="false">IFERROR(INDEX('TRANS'!$B:$B,MATCH($B2855,'TRANS'!$A:$A,0)),IFERROR(INDEX('TRANS'!$B:$B,MATCH(TRIM(SUBSTITUTE($B2855,CHAR(160)," ")),'TRANS'!$D:$D,0)),IFERROR(INDEX('Catalog'!$A:$A,MATCH($B2855,'Catalog'!$B:$B,0)),IFERROR(INDEX('Catalog'!$A:$A,MATCH(TRIM(SUBSTITUTE($B2855,CHAR(160)," ")),'Catalog'!$C:$C,0)),""))))</f>
        <v>4421000</v>
      </c>
      <c r="H2855" s="8" t="str">
        <f aca="false">IFERROR(INDEX('TRANS'!$C:$C,MATCH($B2855,'TRANS'!$A:$A,0)),IFERROR(INDEX('Catalog'!$B:$B,MATCH($G2855,'Catalog'!$A:$A,0)),$B2855))</f>
        <v>3655 שרוול מסיליקון לאצבע</v>
      </c>
      <c r="I2855" s="8" t="str">
        <f aca="false">IF($G2855="","Unmatched","Matched")</f>
        <v>Matched</v>
      </c>
    </row>
    <row r="2856" customFormat="false" ht="15" hidden="false" customHeight="false" outlineLevel="0" collapsed="false">
      <c r="A2856" s="8" t="s">
        <v>1032</v>
      </c>
      <c r="B2856" s="8" t="s">
        <v>158</v>
      </c>
      <c r="C2856" s="19" t="n">
        <v>40</v>
      </c>
      <c r="D2856" s="19" t="n">
        <v>672.71</v>
      </c>
      <c r="E2856" s="19" t="n">
        <v>80</v>
      </c>
      <c r="F2856" s="19" t="n">
        <v>1291.82</v>
      </c>
      <c r="G2856" s="8" t="n">
        <f aca="false">IFERROR(INDEX('TRANS'!$B:$B,MATCH($B2856,'TRANS'!$A:$A,0)),IFERROR(INDEX('TRANS'!$B:$B,MATCH(TRIM(SUBSTITUTE($B2856,CHAR(160)," ")),'TRANS'!$D:$D,0)),IFERROR(INDEX('Catalog'!$A:$A,MATCH($B2856,'Catalog'!$B:$B,0)),IFERROR(INDEX('Catalog'!$A:$A,MATCH(TRIM(SUBSTITUTE($B2856,CHAR(160)," ")),'Catalog'!$C:$C,0)),""))))</f>
        <v>4413307</v>
      </c>
      <c r="H2856" s="8" t="str">
        <f aca="false">IFERROR(INDEX('TRANS'!$C:$C,MATCH($B2856,'TRANS'!$A:$A,0)),IFERROR(INDEX('Catalog'!$B:$B,MATCH($G2856,'Catalog'!$A:$A,0)),$B2856))</f>
        <v>URI 3667 מגן בוניון</v>
      </c>
      <c r="I2856" s="8" t="str">
        <f aca="false">IF($G2856="","Unmatched","Matched")</f>
        <v>Matched</v>
      </c>
    </row>
    <row r="2857" customFormat="false" ht="15" hidden="false" customHeight="false" outlineLevel="0" collapsed="false">
      <c r="A2857" s="8" t="s">
        <v>1032</v>
      </c>
      <c r="B2857" s="8" t="s">
        <v>161</v>
      </c>
      <c r="C2857" s="19" t="n">
        <v>140</v>
      </c>
      <c r="D2857" s="19" t="n">
        <v>2491.69</v>
      </c>
      <c r="E2857" s="19" t="n">
        <v>80</v>
      </c>
      <c r="F2857" s="19" t="n">
        <v>1320.21</v>
      </c>
      <c r="G2857" s="8" t="n">
        <f aca="false">IFERROR(INDEX('TRANS'!$B:$B,MATCH($B2857,'TRANS'!$A:$A,0)),IFERROR(INDEX('TRANS'!$B:$B,MATCH(TRIM(SUBSTITUTE($B2857,CHAR(160)," ")),'TRANS'!$D:$D,0)),IFERROR(INDEX('Catalog'!$A:$A,MATCH($B2857,'Catalog'!$B:$B,0)),IFERROR(INDEX('Catalog'!$A:$A,MATCH(TRIM(SUBSTITUTE($B2857,CHAR(160)," ")),'Catalog'!$C:$C,0)),""))))</f>
        <v>4413370</v>
      </c>
      <c r="H2857" s="8" t="str">
        <f aca="false">IFERROR(INDEX('TRANS'!$C:$C,MATCH($B2857,'TRANS'!$A:$A,0)),IFERROR(INDEX('Catalog'!$B:$B,MATCH($G2857,'Catalog'!$A:$A,0)),$B2857))</f>
        <v>3674 0 מ.בוניון+מפריד אצבע</v>
      </c>
      <c r="I2857" s="8" t="str">
        <f aca="false">IF($G2857="","Unmatched","Matched")</f>
        <v>Matched</v>
      </c>
    </row>
    <row r="2858" customFormat="false" ht="15" hidden="false" customHeight="false" outlineLevel="0" collapsed="false">
      <c r="A2858" s="8" t="s">
        <v>1032</v>
      </c>
      <c r="B2858" s="8" t="s">
        <v>162</v>
      </c>
      <c r="C2858" s="19" t="n">
        <v>80</v>
      </c>
      <c r="D2858" s="19" t="n">
        <v>1162.48</v>
      </c>
      <c r="E2858" s="19" t="n">
        <v>40</v>
      </c>
      <c r="F2858" s="19" t="n">
        <v>539.44</v>
      </c>
      <c r="G2858" s="8" t="n">
        <f aca="false">IFERROR(INDEX('TRANS'!$B:$B,MATCH($B2858,'TRANS'!$A:$A,0)),IFERROR(INDEX('TRANS'!$B:$B,MATCH(TRIM(SUBSTITUTE($B2858,CHAR(160)," ")),'TRANS'!$D:$D,0)),IFERROR(INDEX('Catalog'!$A:$A,MATCH($B2858,'Catalog'!$B:$B,0)),IFERROR(INDEX('Catalog'!$A:$A,MATCH(TRIM(SUBSTITUTE($B2858,CHAR(160)," ")),'Catalog'!$C:$C,0)),""))))</f>
        <v>4413371</v>
      </c>
      <c r="H2858" s="8" t="str">
        <f aca="false">IFERROR(INDEX('TRANS'!$C:$C,MATCH($B2858,'TRANS'!$A:$A,0)),IFERROR(INDEX('Catalog'!$B:$B,MATCH($G2858,'Catalog'!$A:$A,0)),$B2858))</f>
        <v>3675    מגן זרת מסיליקון</v>
      </c>
      <c r="I2858" s="8" t="str">
        <f aca="false">IF($G2858="","Unmatched","Matched")</f>
        <v>Matched</v>
      </c>
    </row>
    <row r="2859" customFormat="false" ht="15" hidden="false" customHeight="false" outlineLevel="0" collapsed="false">
      <c r="A2859" s="8" t="s">
        <v>1032</v>
      </c>
      <c r="B2859" s="8" t="s">
        <v>482</v>
      </c>
      <c r="C2859" s="19" t="n">
        <v>1</v>
      </c>
      <c r="D2859" s="19" t="n">
        <v>0.04</v>
      </c>
      <c r="E2859" s="19" t="n">
        <v>0</v>
      </c>
      <c r="F2859" s="19" t="n">
        <v>0</v>
      </c>
      <c r="G2859" s="8" t="n">
        <f aca="false">IFERROR(INDEX('TRANS'!$B:$B,MATCH($B2859,'TRANS'!$A:$A,0)),IFERROR(INDEX('TRANS'!$B:$B,MATCH(TRIM(SUBSTITUTE($B2859,CHAR(160)," ")),'TRANS'!$D:$D,0)),IFERROR(INDEX('Catalog'!$A:$A,MATCH($B2859,'Catalog'!$B:$B,0)),IFERROR(INDEX('Catalog'!$A:$A,MATCH(TRIM(SUBSTITUTE($B2859,CHAR(160)," ")),'Catalog'!$C:$C,0)),""))))</f>
        <v>4413520</v>
      </c>
      <c r="H2859" s="8" t="str">
        <f aca="false">IFERROR(INDEX('TRANS'!$C:$C,MATCH($B2859,'TRANS'!$A:$A,0)),IFERROR(INDEX('Catalog'!$B:$B,MATCH($G2859,'Catalog'!$A:$A,0)),$B2859))</f>
        <v>מדרסי אפיק ג'ל מולט.ספורט35-38</v>
      </c>
      <c r="I2859" s="8" t="str">
        <f aca="false">IF($G2859="","Unmatched","Matched")</f>
        <v>Matched</v>
      </c>
    </row>
    <row r="2860" customFormat="false" ht="15" hidden="false" customHeight="false" outlineLevel="0" collapsed="false">
      <c r="A2860" s="8" t="s">
        <v>1032</v>
      </c>
      <c r="B2860" s="8" t="s">
        <v>483</v>
      </c>
      <c r="C2860" s="19" t="n">
        <v>1</v>
      </c>
      <c r="D2860" s="19" t="n">
        <v>0.04</v>
      </c>
      <c r="E2860" s="19" t="n">
        <v>0</v>
      </c>
      <c r="F2860" s="19" t="n">
        <v>0</v>
      </c>
      <c r="G2860" s="8" t="n">
        <f aca="false">IFERROR(INDEX('TRANS'!$B:$B,MATCH($B2860,'TRANS'!$A:$A,0)),IFERROR(INDEX('TRANS'!$B:$B,MATCH(TRIM(SUBSTITUTE($B2860,CHAR(160)," ")),'TRANS'!$D:$D,0)),IFERROR(INDEX('Catalog'!$A:$A,MATCH($B2860,'Catalog'!$B:$B,0)),IFERROR(INDEX('Catalog'!$A:$A,MATCH(TRIM(SUBSTITUTE($B2860,CHAR(160)," ")),'Catalog'!$C:$C,0)),""))))</f>
        <v>4413521</v>
      </c>
      <c r="H2860" s="8" t="str">
        <f aca="false">IFERROR(INDEX('TRANS'!$C:$C,MATCH($B2860,'TRANS'!$A:$A,0)),IFERROR(INDEX('Catalog'!$B:$B,MATCH($G2860,'Catalog'!$A:$A,0)),$B2860))</f>
        <v>מדרסי אפיק ג'ל מולטי ספור39-42</v>
      </c>
      <c r="I2860" s="8" t="str">
        <f aca="false">IF($G2860="","Unmatched","Matched")</f>
        <v>Matched</v>
      </c>
    </row>
    <row r="2861" customFormat="false" ht="15" hidden="false" customHeight="false" outlineLevel="0" collapsed="false">
      <c r="A2861" s="8" t="s">
        <v>1032</v>
      </c>
      <c r="B2861" s="8" t="s">
        <v>958</v>
      </c>
      <c r="C2861" s="19" t="n">
        <v>1</v>
      </c>
      <c r="D2861" s="19" t="n">
        <v>0.04</v>
      </c>
      <c r="E2861" s="19" t="n">
        <v>0</v>
      </c>
      <c r="F2861" s="19" t="n">
        <v>0</v>
      </c>
      <c r="G2861" s="8" t="str">
        <f aca="false">IFERROR(INDEX('TRANS'!$B:$B,MATCH($B2861,'TRANS'!$A:$A,0)),IFERROR(INDEX('TRANS'!$B:$B,MATCH(TRIM(SUBSTITUTE($B2861,CHAR(160)," ")),'TRANS'!$D:$D,0)),IFERROR(INDEX('Catalog'!$A:$A,MATCH($B2861,'Catalog'!$B:$B,0)),IFERROR(INDEX('Catalog'!$A:$A,MATCH(TRIM(SUBSTITUTE($B2861,CHAR(160)," ")),'Catalog'!$C:$C,0)),""))))</f>
        <v/>
      </c>
      <c r="H2861" s="8" t="str">
        <f aca="false">IFERROR(INDEX('TRANS'!$C:$C,MATCH($B2861,'TRANS'!$A:$A,0)),IFERROR(INDEX('Catalog'!$B:$B,MATCH($G2861,'Catalog'!$A:$A,0)),$B2861))</f>
        <v>391W-39-42</v>
      </c>
      <c r="I2861" s="8" t="str">
        <f aca="false">IF($G2861="","Unmatched","Matched")</f>
        <v>Unmatched</v>
      </c>
    </row>
    <row r="2862" customFormat="false" ht="15" hidden="false" customHeight="false" outlineLevel="0" collapsed="false">
      <c r="A2862" s="8" t="s">
        <v>1032</v>
      </c>
      <c r="B2862" s="8" t="s">
        <v>197</v>
      </c>
      <c r="C2862" s="19" t="n">
        <v>100</v>
      </c>
      <c r="D2862" s="19" t="n">
        <v>3125.8</v>
      </c>
      <c r="E2862" s="19" t="n">
        <v>0</v>
      </c>
      <c r="F2862" s="19" t="n">
        <v>0</v>
      </c>
      <c r="G2862" s="8" t="str">
        <f aca="false">IFERROR(INDEX('TRANS'!$B:$B,MATCH($B2862,'TRANS'!$A:$A,0)),IFERROR(INDEX('TRANS'!$B:$B,MATCH(TRIM(SUBSTITUTE($B2862,CHAR(160)," ")),'TRANS'!$D:$D,0)),IFERROR(INDEX('Catalog'!$A:$A,MATCH($B2862,'Catalog'!$B:$B,0)),IFERROR(INDEX('Catalog'!$A:$A,MATCH(TRIM(SUBSTITUTE($B2862,CHAR(160)," ")),'Catalog'!$C:$C,0)),""))))</f>
        <v/>
      </c>
      <c r="H2862" s="8" t="str">
        <f aca="false">IFERROR(INDEX('TRANS'!$C:$C,MATCH($B2862,'TRANS'!$A:$A,0)),IFERROR(INDEX('Catalog'!$B:$B,MATCH($G2862,'Catalog'!$A:$A,0)),$B2862))</f>
        <v>397-35-38</v>
      </c>
      <c r="I2862" s="8" t="str">
        <f aca="false">IF($G2862="","Unmatched","Matched")</f>
        <v>Unmatched</v>
      </c>
    </row>
    <row r="2863" customFormat="false" ht="15" hidden="false" customHeight="false" outlineLevel="0" collapsed="false">
      <c r="A2863" s="8" t="s">
        <v>1032</v>
      </c>
      <c r="B2863" s="8" t="s">
        <v>198</v>
      </c>
      <c r="C2863" s="19" t="n">
        <v>170</v>
      </c>
      <c r="D2863" s="19" t="n">
        <v>5271.27</v>
      </c>
      <c r="E2863" s="19" t="n">
        <v>0</v>
      </c>
      <c r="F2863" s="19" t="n">
        <v>0</v>
      </c>
      <c r="G2863" s="8" t="n">
        <f aca="false">IFERROR(INDEX('TRANS'!$B:$B,MATCH($B2863,'TRANS'!$A:$A,0)),IFERROR(INDEX('TRANS'!$B:$B,MATCH(TRIM(SUBSTITUTE($B2863,CHAR(160)," ")),'TRANS'!$D:$D,0)),IFERROR(INDEX('Catalog'!$A:$A,MATCH($B2863,'Catalog'!$B:$B,0)),IFERROR(INDEX('Catalog'!$A:$A,MATCH(TRIM(SUBSTITUTE($B2863,CHAR(160)," ")),'Catalog'!$C:$C,0)),""))))</f>
        <v>4403029</v>
      </c>
      <c r="H2863" s="8" t="str">
        <f aca="false">IFERROR(INDEX('TRANS'!$C:$C,MATCH($B2863,'TRANS'!$A:$A,0)),IFERROR(INDEX('Catalog'!$B:$B,MATCH($G2863,'Catalog'!$A:$A,0)),$B2863))</f>
        <v>397 39-42 גרבי טיסה מידה</v>
      </c>
      <c r="I2863" s="8" t="str">
        <f aca="false">IF($G2863="","Unmatched","Matched")</f>
        <v>Matched</v>
      </c>
    </row>
    <row r="2864" customFormat="false" ht="15" hidden="false" customHeight="false" outlineLevel="0" collapsed="false">
      <c r="A2864" s="8" t="s">
        <v>1032</v>
      </c>
      <c r="B2864" s="8" t="s">
        <v>199</v>
      </c>
      <c r="C2864" s="19" t="n">
        <v>120</v>
      </c>
      <c r="D2864" s="19" t="n">
        <v>3741.27</v>
      </c>
      <c r="E2864" s="19" t="n">
        <v>0</v>
      </c>
      <c r="F2864" s="19" t="n">
        <v>0</v>
      </c>
      <c r="G2864" s="8" t="str">
        <f aca="false">IFERROR(INDEX('TRANS'!$B:$B,MATCH($B2864,'TRANS'!$A:$A,0)),IFERROR(INDEX('TRANS'!$B:$B,MATCH(TRIM(SUBSTITUTE($B2864,CHAR(160)," ")),'TRANS'!$D:$D,0)),IFERROR(INDEX('Catalog'!$A:$A,MATCH($B2864,'Catalog'!$B:$B,0)),IFERROR(INDEX('Catalog'!$A:$A,MATCH(TRIM(SUBSTITUTE($B2864,CHAR(160)," ")),'Catalog'!$C:$C,0)),""))))</f>
        <v/>
      </c>
      <c r="H2864" s="8" t="str">
        <f aca="false">IFERROR(INDEX('TRANS'!$C:$C,MATCH($B2864,'TRANS'!$A:$A,0)),IFERROR(INDEX('Catalog'!$B:$B,MATCH($G2864,'Catalog'!$A:$A,0)),$B2864))</f>
        <v>397-43-46</v>
      </c>
      <c r="I2864" s="8" t="str">
        <f aca="false">IF($G2864="","Unmatched","Matched")</f>
        <v>Unmatched</v>
      </c>
    </row>
    <row r="2865" customFormat="false" ht="15" hidden="false" customHeight="false" outlineLevel="0" collapsed="false">
      <c r="A2865" s="8" t="s">
        <v>1032</v>
      </c>
      <c r="B2865" s="8" t="s">
        <v>200</v>
      </c>
      <c r="C2865" s="19" t="n">
        <v>0</v>
      </c>
      <c r="D2865" s="19" t="n">
        <v>0</v>
      </c>
      <c r="E2865" s="19" t="n">
        <v>60</v>
      </c>
      <c r="F2865" s="19" t="n">
        <v>1716.4</v>
      </c>
      <c r="G2865" s="8" t="n">
        <f aca="false">IFERROR(INDEX('TRANS'!$B:$B,MATCH($B2865,'TRANS'!$A:$A,0)),IFERROR(INDEX('TRANS'!$B:$B,MATCH(TRIM(SUBSTITUTE($B2865,CHAR(160)," ")),'TRANS'!$D:$D,0)),IFERROR(INDEX('Catalog'!$A:$A,MATCH($B2865,'Catalog'!$B:$B,0)),IFERROR(INDEX('Catalog'!$A:$A,MATCH(TRIM(SUBSTITUTE($B2865,CHAR(160)," ")),'Catalog'!$C:$C,0)),""))))</f>
        <v>4403041</v>
      </c>
      <c r="H2865" s="8" t="str">
        <f aca="false">IFERROR(INDEX('TRANS'!$C:$C,MATCH($B2865,'TRANS'!$A:$A,0)),IFERROR(INDEX('Catalog'!$B:$B,MATCH($G2865,'Catalog'!$A:$A,0)),$B2865))</f>
        <v>397A-גרבי טיסה אנטי בקטרי35-38</v>
      </c>
      <c r="I2865" s="8" t="str">
        <f aca="false">IF($G2865="","Unmatched","Matched")</f>
        <v>Matched</v>
      </c>
    </row>
    <row r="2866" customFormat="false" ht="15" hidden="false" customHeight="false" outlineLevel="0" collapsed="false">
      <c r="A2866" s="8" t="s">
        <v>1032</v>
      </c>
      <c r="B2866" s="8" t="s">
        <v>201</v>
      </c>
      <c r="C2866" s="19" t="n">
        <v>1</v>
      </c>
      <c r="D2866" s="19" t="n">
        <v>0.04</v>
      </c>
      <c r="E2866" s="19" t="n">
        <v>190</v>
      </c>
      <c r="F2866" s="19" t="n">
        <v>5449.26</v>
      </c>
      <c r="G2866" s="8" t="n">
        <f aca="false">IFERROR(INDEX('TRANS'!$B:$B,MATCH($B2866,'TRANS'!$A:$A,0)),IFERROR(INDEX('TRANS'!$B:$B,MATCH(TRIM(SUBSTITUTE($B2866,CHAR(160)," ")),'TRANS'!$D:$D,0)),IFERROR(INDEX('Catalog'!$A:$A,MATCH($B2866,'Catalog'!$B:$B,0)),IFERROR(INDEX('Catalog'!$A:$A,MATCH(TRIM(SUBSTITUTE($B2866,CHAR(160)," ")),'Catalog'!$C:$C,0)),""))))</f>
        <v>4403042</v>
      </c>
      <c r="H2866" s="8" t="str">
        <f aca="false">IFERROR(INDEX('TRANS'!$C:$C,MATCH($B2866,'TRANS'!$A:$A,0)),IFERROR(INDEX('Catalog'!$B:$B,MATCH($G2866,'Catalog'!$A:$A,0)),$B2866))</f>
        <v>397A-גרבי טיסה אנטי בקטרי39-42</v>
      </c>
      <c r="I2866" s="8" t="str">
        <f aca="false">IF($G2866="","Unmatched","Matched")</f>
        <v>Matched</v>
      </c>
    </row>
    <row r="2867" customFormat="false" ht="15" hidden="false" customHeight="false" outlineLevel="0" collapsed="false">
      <c r="A2867" s="8" t="s">
        <v>1032</v>
      </c>
      <c r="B2867" s="8" t="s">
        <v>202</v>
      </c>
      <c r="C2867" s="19" t="n">
        <v>0</v>
      </c>
      <c r="D2867" s="19" t="n">
        <v>0</v>
      </c>
      <c r="E2867" s="19" t="n">
        <v>120</v>
      </c>
      <c r="F2867" s="19" t="n">
        <v>3441.19</v>
      </c>
      <c r="G2867" s="8" t="n">
        <f aca="false">IFERROR(INDEX('TRANS'!$B:$B,MATCH($B2867,'TRANS'!$A:$A,0)),IFERROR(INDEX('TRANS'!$B:$B,MATCH(TRIM(SUBSTITUTE($B2867,CHAR(160)," ")),'TRANS'!$D:$D,0)),IFERROR(INDEX('Catalog'!$A:$A,MATCH($B2867,'Catalog'!$B:$B,0)),IFERROR(INDEX('Catalog'!$A:$A,MATCH(TRIM(SUBSTITUTE($B2867,CHAR(160)," ")),'Catalog'!$C:$C,0)),""))))</f>
        <v>4403043</v>
      </c>
      <c r="H2867" s="8" t="str">
        <f aca="false">IFERROR(INDEX('TRANS'!$C:$C,MATCH($B2867,'TRANS'!$A:$A,0)),IFERROR(INDEX('Catalog'!$B:$B,MATCH($G2867,'Catalog'!$A:$A,0)),$B2867))</f>
        <v>397A-גרבי טיסה אנטי בקטרי43-46</v>
      </c>
      <c r="I2867" s="8" t="str">
        <f aca="false">IF($G2867="","Unmatched","Matched")</f>
        <v>Matched</v>
      </c>
    </row>
    <row r="2868" customFormat="false" ht="15" hidden="false" customHeight="false" outlineLevel="0" collapsed="false">
      <c r="A2868" s="8" t="s">
        <v>1032</v>
      </c>
      <c r="B2868" s="8" t="s">
        <v>208</v>
      </c>
      <c r="C2868" s="19" t="n">
        <v>80</v>
      </c>
      <c r="D2868" s="19" t="n">
        <v>947.66</v>
      </c>
      <c r="E2868" s="19" t="n">
        <v>0</v>
      </c>
      <c r="F2868" s="19" t="n">
        <v>0</v>
      </c>
      <c r="G2868" s="8" t="n">
        <f aca="false">IFERROR(INDEX('TRANS'!$B:$B,MATCH($B2868,'TRANS'!$A:$A,0)),IFERROR(INDEX('TRANS'!$B:$B,MATCH(TRIM(SUBSTITUTE($B2868,CHAR(160)," ")),'TRANS'!$D:$D,0)),IFERROR(INDEX('Catalog'!$A:$A,MATCH($B2868,'Catalog'!$B:$B,0)),IFERROR(INDEX('Catalog'!$A:$A,MATCH(TRIM(SUBSTITUTE($B2868,CHAR(160)," ")),'Catalog'!$C:$C,0)),""))))</f>
        <v>4413495</v>
      </c>
      <c r="H2868" s="8" t="str">
        <f aca="false">IFERROR(INDEX('TRANS'!$C:$C,MATCH($B2868,'TRANS'!$A:$A,0)),IFERROR(INDEX('Catalog'!$B:$B,MATCH($G2868,'Catalog'!$A:$A,0)),$B2868))</f>
        <v>45B L מגן ברך שחור</v>
      </c>
      <c r="I2868" s="8" t="str">
        <f aca="false">IF($G2868="","Unmatched","Matched")</f>
        <v>Matched</v>
      </c>
    </row>
    <row r="2869" customFormat="false" ht="15" hidden="false" customHeight="false" outlineLevel="0" collapsed="false">
      <c r="A2869" s="8" t="s">
        <v>1032</v>
      </c>
      <c r="B2869" s="8" t="s">
        <v>209</v>
      </c>
      <c r="C2869" s="19" t="n">
        <v>70</v>
      </c>
      <c r="D2869" s="19" t="n">
        <v>827.99</v>
      </c>
      <c r="E2869" s="19" t="n">
        <v>0</v>
      </c>
      <c r="F2869" s="19" t="n">
        <v>0</v>
      </c>
      <c r="G2869" s="8" t="n">
        <f aca="false">IFERROR(INDEX('TRANS'!$B:$B,MATCH($B2869,'TRANS'!$A:$A,0)),IFERROR(INDEX('TRANS'!$B:$B,MATCH(TRIM(SUBSTITUTE($B2869,CHAR(160)," ")),'TRANS'!$D:$D,0)),IFERROR(INDEX('Catalog'!$A:$A,MATCH($B2869,'Catalog'!$B:$B,0)),IFERROR(INDEX('Catalog'!$A:$A,MATCH(TRIM(SUBSTITUTE($B2869,CHAR(160)," ")),'Catalog'!$C:$C,0)),""))))</f>
        <v>4413497</v>
      </c>
      <c r="H2869" s="8" t="str">
        <f aca="false">IFERROR(INDEX('TRANS'!$C:$C,MATCH($B2869,'TRANS'!$A:$A,0)),IFERROR(INDEX('Catalog'!$B:$B,MATCH($G2869,'Catalog'!$A:$A,0)),$B2869))</f>
        <v>45B M מגן ברך שחור</v>
      </c>
      <c r="I2869" s="8" t="str">
        <f aca="false">IF($G2869="","Unmatched","Matched")</f>
        <v>Matched</v>
      </c>
    </row>
    <row r="2870" customFormat="false" ht="15" hidden="false" customHeight="false" outlineLevel="0" collapsed="false">
      <c r="A2870" s="8" t="s">
        <v>1032</v>
      </c>
      <c r="B2870" s="8" t="s">
        <v>379</v>
      </c>
      <c r="C2870" s="19" t="n">
        <v>20</v>
      </c>
      <c r="D2870" s="19" t="n">
        <v>239.35</v>
      </c>
      <c r="E2870" s="19" t="n">
        <v>0</v>
      </c>
      <c r="F2870" s="19" t="n">
        <v>0</v>
      </c>
      <c r="G2870" s="8" t="n">
        <f aca="false">IFERROR(INDEX('TRANS'!$B:$B,MATCH($B2870,'TRANS'!$A:$A,0)),IFERROR(INDEX('TRANS'!$B:$B,MATCH(TRIM(SUBSTITUTE($B2870,CHAR(160)," ")),'TRANS'!$D:$D,0)),IFERROR(INDEX('Catalog'!$A:$A,MATCH($B2870,'Catalog'!$B:$B,0)),IFERROR(INDEX('Catalog'!$A:$A,MATCH(TRIM(SUBSTITUTE($B2870,CHAR(160)," ")),'Catalog'!$C:$C,0)),""))))</f>
        <v>4413498</v>
      </c>
      <c r="H2870" s="8" t="str">
        <f aca="false">IFERROR(INDEX('TRANS'!$C:$C,MATCH($B2870,'TRANS'!$A:$A,0)),IFERROR(INDEX('Catalog'!$B:$B,MATCH($G2870,'Catalog'!$A:$A,0)),$B2870))</f>
        <v>45B S מגן ברך שחור</v>
      </c>
      <c r="I2870" s="8" t="str">
        <f aca="false">IF($G2870="","Unmatched","Matched")</f>
        <v>Matched</v>
      </c>
    </row>
    <row r="2871" customFormat="false" ht="15" hidden="false" customHeight="false" outlineLevel="0" collapsed="false">
      <c r="A2871" s="8" t="s">
        <v>1032</v>
      </c>
      <c r="B2871" s="8" t="s">
        <v>380</v>
      </c>
      <c r="C2871" s="19" t="n">
        <v>50</v>
      </c>
      <c r="D2871" s="19" t="n">
        <v>595.13</v>
      </c>
      <c r="E2871" s="19" t="n">
        <v>0</v>
      </c>
      <c r="F2871" s="19" t="n">
        <v>0</v>
      </c>
      <c r="G2871" s="8" t="n">
        <f aca="false">IFERROR(INDEX('TRANS'!$B:$B,MATCH($B2871,'TRANS'!$A:$A,0)),IFERROR(INDEX('TRANS'!$B:$B,MATCH(TRIM(SUBSTITUTE($B2871,CHAR(160)," ")),'TRANS'!$D:$D,0)),IFERROR(INDEX('Catalog'!$A:$A,MATCH($B2871,'Catalog'!$B:$B,0)),IFERROR(INDEX('Catalog'!$A:$A,MATCH(TRIM(SUBSTITUTE($B2871,CHAR(160)," ")),'Catalog'!$C:$C,0)),""))))</f>
        <v>4413496</v>
      </c>
      <c r="H2871" s="8" t="str">
        <f aca="false">IFERROR(INDEX('TRANS'!$C:$C,MATCH($B2871,'TRANS'!$A:$A,0)),IFERROR(INDEX('Catalog'!$B:$B,MATCH($G2871,'Catalog'!$A:$A,0)),$B2871))</f>
        <v>45B XL מגן ברך שחור</v>
      </c>
      <c r="I2871" s="8" t="str">
        <f aca="false">IF($G2871="","Unmatched","Matched")</f>
        <v>Matched</v>
      </c>
    </row>
    <row r="2872" customFormat="false" ht="15" hidden="false" customHeight="false" outlineLevel="0" collapsed="false">
      <c r="A2872" s="8" t="s">
        <v>1032</v>
      </c>
      <c r="B2872" s="8" t="s">
        <v>381</v>
      </c>
      <c r="C2872" s="19" t="n">
        <v>35</v>
      </c>
      <c r="D2872" s="19" t="n">
        <v>423.61</v>
      </c>
      <c r="E2872" s="19" t="n">
        <v>0</v>
      </c>
      <c r="F2872" s="19" t="n">
        <v>0</v>
      </c>
      <c r="G2872" s="8" t="n">
        <f aca="false">IFERROR(INDEX('TRANS'!$B:$B,MATCH($B2872,'TRANS'!$A:$A,0)),IFERROR(INDEX('TRANS'!$B:$B,MATCH(TRIM(SUBSTITUTE($B2872,CHAR(160)," ")),'TRANS'!$D:$D,0)),IFERROR(INDEX('Catalog'!$A:$A,MATCH($B2872,'Catalog'!$B:$B,0)),IFERROR(INDEX('Catalog'!$A:$A,MATCH(TRIM(SUBSTITUTE($B2872,CHAR(160)," ")),'Catalog'!$C:$C,0)),""))))</f>
        <v>4413499</v>
      </c>
      <c r="H2872" s="8" t="str">
        <f aca="false">IFERROR(INDEX('TRANS'!$C:$C,MATCH($B2872,'TRANS'!$A:$A,0)),IFERROR(INDEX('Catalog'!$B:$B,MATCH($G2872,'Catalog'!$A:$A,0)),$B2872))</f>
        <v>45B XXLמגן ברך שחור</v>
      </c>
      <c r="I2872" s="8" t="str">
        <f aca="false">IF($G2872="","Unmatched","Matched")</f>
        <v>Matched</v>
      </c>
    </row>
    <row r="2873" customFormat="false" ht="15" hidden="false" customHeight="false" outlineLevel="0" collapsed="false">
      <c r="A2873" s="8" t="s">
        <v>1032</v>
      </c>
      <c r="B2873" s="8" t="s">
        <v>723</v>
      </c>
      <c r="C2873" s="19" t="n">
        <v>1</v>
      </c>
      <c r="D2873" s="19" t="n">
        <v>65.35</v>
      </c>
      <c r="E2873" s="19" t="n">
        <v>0</v>
      </c>
      <c r="F2873" s="19" t="n">
        <v>0</v>
      </c>
      <c r="G2873" s="8" t="str">
        <f aca="false">IFERROR(INDEX('TRANS'!$B:$B,MATCH($B2873,'TRANS'!$A:$A,0)),IFERROR(INDEX('TRANS'!$B:$B,MATCH(TRIM(SUBSTITUTE($B2873,CHAR(160)," ")),'TRANS'!$D:$D,0)),IFERROR(INDEX('Catalog'!$A:$A,MATCH($B2873,'Catalog'!$B:$B,0)),IFERROR(INDEX('Catalog'!$A:$A,MATCH(TRIM(SUBSTITUTE($B2873,CHAR(160)," ")),'Catalog'!$C:$C,0)),""))))</f>
        <v/>
      </c>
      <c r="H2873" s="8" t="str">
        <f aca="false">IFERROR(INDEX('TRANS'!$C:$C,MATCH($B2873,'TRANS'!$A:$A,0)),IFERROR(INDEX('Catalog'!$B:$B,MATCH($G2873,'Catalog'!$A:$A,0)),$B2873))</f>
        <v>78A XXL</v>
      </c>
      <c r="I2873" s="8" t="str">
        <f aca="false">IF($G2873="","Unmatched","Matched")</f>
        <v>Unmatched</v>
      </c>
    </row>
    <row r="2874" customFormat="false" ht="15" hidden="false" customHeight="false" outlineLevel="0" collapsed="false">
      <c r="A2874" s="8" t="s">
        <v>1032</v>
      </c>
      <c r="B2874" s="8" t="s">
        <v>238</v>
      </c>
      <c r="C2874" s="19" t="n">
        <v>130</v>
      </c>
      <c r="D2874" s="19" t="n">
        <v>1382.91</v>
      </c>
      <c r="E2874" s="19" t="n">
        <v>0</v>
      </c>
      <c r="F2874" s="19" t="n">
        <v>0</v>
      </c>
      <c r="G2874" s="8" t="n">
        <f aca="false">IFERROR(INDEX('TRANS'!$B:$B,MATCH($B2874,'TRANS'!$A:$A,0)),IFERROR(INDEX('TRANS'!$B:$B,MATCH(TRIM(SUBSTITUTE($B2874,CHAR(160)," ")),'TRANS'!$D:$D,0)),IFERROR(INDEX('Catalog'!$A:$A,MATCH($B2874,'Catalog'!$B:$B,0)),IFERROR(INDEX('Catalog'!$A:$A,MATCH(TRIM(SUBSTITUTE($B2874,CHAR(160)," ")),'Catalog'!$C:$C,0)),""))))</f>
        <v>4422000</v>
      </c>
      <c r="H2874" s="8" t="str">
        <f aca="false">IFERROR(INDEX('TRANS'!$C:$C,MATCH($B2874,'TRANS'!$A:$A,0)),IFERROR(INDEX('Catalog'!$B:$B,MATCH($G2874,'Catalog'!$A:$A,0)),$B2874))</f>
        <v>801  תחבושת אלסטית מקררת</v>
      </c>
      <c r="I2874" s="8" t="str">
        <f aca="false">IF($G2874="","Unmatched","Matched")</f>
        <v>Matched</v>
      </c>
    </row>
    <row r="2875" customFormat="false" ht="15" hidden="false" customHeight="false" outlineLevel="0" collapsed="false">
      <c r="A2875" s="8" t="s">
        <v>1032</v>
      </c>
      <c r="B2875" s="8" t="s">
        <v>252</v>
      </c>
      <c r="C2875" s="19" t="n">
        <v>50</v>
      </c>
      <c r="D2875" s="19" t="n">
        <v>1050</v>
      </c>
      <c r="E2875" s="19" t="n">
        <v>0</v>
      </c>
      <c r="F2875" s="19" t="n">
        <v>0</v>
      </c>
      <c r="G2875" s="8" t="n">
        <f aca="false">IFERROR(INDEX('TRANS'!$B:$B,MATCH($B2875,'TRANS'!$A:$A,0)),IFERROR(INDEX('TRANS'!$B:$B,MATCH(TRIM(SUBSTITUTE($B2875,CHAR(160)," ")),'TRANS'!$D:$D,0)),IFERROR(INDEX('Catalog'!$A:$A,MATCH($B2875,'Catalog'!$B:$B,0)),IFERROR(INDEX('Catalog'!$A:$A,MATCH(TRIM(SUBSTITUTE($B2875,CHAR(160)," ")),'Catalog'!$C:$C,0)),""))))</f>
        <v>4413135</v>
      </c>
      <c r="H2875" s="8" t="str">
        <f aca="false">IFERROR(INDEX('TRANS'!$C:$C,MATCH($B2875,'TRANS'!$A:$A,0)),IFERROR(INDEX('Catalog'!$B:$B,MATCH($G2875,'Catalog'!$A:$A,0)),$B2875))</f>
        <v>85 L (מתלה ליד )כיס</v>
      </c>
      <c r="I2875" s="8" t="str">
        <f aca="false">IF($G2875="","Unmatched","Matched")</f>
        <v>Matched</v>
      </c>
    </row>
    <row r="2876" customFormat="false" ht="15" hidden="false" customHeight="false" outlineLevel="0" collapsed="false">
      <c r="A2876" s="8" t="s">
        <v>1032</v>
      </c>
      <c r="B2876" s="8" t="s">
        <v>253</v>
      </c>
      <c r="C2876" s="19" t="n">
        <v>50</v>
      </c>
      <c r="D2876" s="19" t="n">
        <v>1050</v>
      </c>
      <c r="E2876" s="19" t="n">
        <v>0</v>
      </c>
      <c r="F2876" s="19" t="n">
        <v>0</v>
      </c>
      <c r="G2876" s="8" t="n">
        <f aca="false">IFERROR(INDEX('TRANS'!$B:$B,MATCH($B2876,'TRANS'!$A:$A,0)),IFERROR(INDEX('TRANS'!$B:$B,MATCH(TRIM(SUBSTITUTE($B2876,CHAR(160)," ")),'TRANS'!$D:$D,0)),IFERROR(INDEX('Catalog'!$A:$A,MATCH($B2876,'Catalog'!$B:$B,0)),IFERROR(INDEX('Catalog'!$A:$A,MATCH(TRIM(SUBSTITUTE($B2876,CHAR(160)," ")),'Catalog'!$C:$C,0)),""))))</f>
        <v>4413136</v>
      </c>
      <c r="H2876" s="8" t="str">
        <f aca="false">IFERROR(INDEX('TRANS'!$C:$C,MATCH($B2876,'TRANS'!$A:$A,0)),IFERROR(INDEX('Catalog'!$B:$B,MATCH($G2876,'Catalog'!$A:$A,0)),$B2876))</f>
        <v>85 M (מתלה ליד )כיס</v>
      </c>
      <c r="I2876" s="8" t="str">
        <f aca="false">IF($G2876="","Unmatched","Matched")</f>
        <v>Matched</v>
      </c>
    </row>
    <row r="2877" customFormat="false" ht="15" hidden="false" customHeight="false" outlineLevel="0" collapsed="false">
      <c r="A2877" s="8" t="s">
        <v>1032</v>
      </c>
      <c r="B2877" s="8" t="s">
        <v>664</v>
      </c>
      <c r="C2877" s="19" t="n">
        <v>40</v>
      </c>
      <c r="D2877" s="19" t="n">
        <v>846.71</v>
      </c>
      <c r="E2877" s="19" t="n">
        <v>0</v>
      </c>
      <c r="F2877" s="19" t="n">
        <v>0</v>
      </c>
      <c r="G2877" s="8" t="n">
        <f aca="false">IFERROR(INDEX('TRANS'!$B:$B,MATCH($B2877,'TRANS'!$A:$A,0)),IFERROR(INDEX('TRANS'!$B:$B,MATCH(TRIM(SUBSTITUTE($B2877,CHAR(160)," ")),'TRANS'!$D:$D,0)),IFERROR(INDEX('Catalog'!$A:$A,MATCH($B2877,'Catalog'!$B:$B,0)),IFERROR(INDEX('Catalog'!$A:$A,MATCH(TRIM(SUBSTITUTE($B2877,CHAR(160)," ")),'Catalog'!$C:$C,0)),""))))</f>
        <v>4413137</v>
      </c>
      <c r="H2877" s="8" t="str">
        <f aca="false">IFERROR(INDEX('TRANS'!$C:$C,MATCH($B2877,'TRANS'!$A:$A,0)),IFERROR(INDEX('Catalog'!$B:$B,MATCH($G2877,'Catalog'!$A:$A,0)),$B2877))</f>
        <v>85 S (מתלה ליד )כיס</v>
      </c>
      <c r="I2877" s="8" t="str">
        <f aca="false">IF($G2877="","Unmatched","Matched")</f>
        <v>Matched</v>
      </c>
    </row>
    <row r="2878" customFormat="false" ht="15" hidden="false" customHeight="false" outlineLevel="0" collapsed="false">
      <c r="A2878" s="8" t="s">
        <v>1032</v>
      </c>
      <c r="B2878" s="8" t="s">
        <v>254</v>
      </c>
      <c r="C2878" s="19" t="n">
        <v>15</v>
      </c>
      <c r="D2878" s="19" t="n">
        <v>304.94</v>
      </c>
      <c r="E2878" s="19" t="n">
        <v>0</v>
      </c>
      <c r="F2878" s="19" t="n">
        <v>0</v>
      </c>
      <c r="G2878" s="8" t="n">
        <f aca="false">IFERROR(INDEX('TRANS'!$B:$B,MATCH($B2878,'TRANS'!$A:$A,0)),IFERROR(INDEX('TRANS'!$B:$B,MATCH(TRIM(SUBSTITUTE($B2878,CHAR(160)," ")),'TRANS'!$D:$D,0)),IFERROR(INDEX('Catalog'!$A:$A,MATCH($B2878,'Catalog'!$B:$B,0)),IFERROR(INDEX('Catalog'!$A:$A,MATCH(TRIM(SUBSTITUTE($B2878,CHAR(160)," ")),'Catalog'!$C:$C,0)),""))))</f>
        <v>4413138</v>
      </c>
      <c r="H2878" s="8" t="str">
        <f aca="false">IFERROR(INDEX('TRANS'!$C:$C,MATCH($B2878,'TRANS'!$A:$A,0)),IFERROR(INDEX('Catalog'!$B:$B,MATCH($G2878,'Catalog'!$A:$A,0)),$B2878))</f>
        <v>85 XL (מתלה ליד )כיס</v>
      </c>
      <c r="I2878" s="8" t="str">
        <f aca="false">IF($G2878="","Unmatched","Matched")</f>
        <v>Matched</v>
      </c>
    </row>
    <row r="2879" customFormat="false" ht="15" hidden="false" customHeight="false" outlineLevel="0" collapsed="false">
      <c r="A2879" s="8" t="s">
        <v>1032</v>
      </c>
      <c r="B2879" s="8" t="s">
        <v>261</v>
      </c>
      <c r="C2879" s="19" t="n">
        <v>10</v>
      </c>
      <c r="D2879" s="19" t="n">
        <v>114.58</v>
      </c>
      <c r="E2879" s="19" t="n">
        <v>20</v>
      </c>
      <c r="F2879" s="19" t="n">
        <v>220.03</v>
      </c>
      <c r="G2879" s="8" t="n">
        <f aca="false">IFERROR(INDEX('TRANS'!$B:$B,MATCH($B2879,'TRANS'!$A:$A,0)),IFERROR(INDEX('TRANS'!$B:$B,MATCH(TRIM(SUBSTITUTE($B2879,CHAR(160)," ")),'TRANS'!$D:$D,0)),IFERROR(INDEX('Catalog'!$A:$A,MATCH($B2879,'Catalog'!$B:$B,0)),IFERROR(INDEX('Catalog'!$A:$A,MATCH(TRIM(SUBSTITUTE($B2879,CHAR(160)," ")),'Catalog'!$C:$C,0)),""))))</f>
        <v>4413500</v>
      </c>
      <c r="H2879" s="8" t="str">
        <f aca="false">IFERROR(INDEX('TRANS'!$C:$C,MATCH($B2879,'TRANS'!$A:$A,0)),IFERROR(INDEX('Catalog'!$B:$B,MATCH($G2879,'Catalog'!$A:$A,0)),$B2879))</f>
        <v>95B L מגן מרפק שחור</v>
      </c>
      <c r="I2879" s="8" t="str">
        <f aca="false">IF($G2879="","Unmatched","Matched")</f>
        <v>Matched</v>
      </c>
    </row>
    <row r="2880" customFormat="false" ht="15" hidden="false" customHeight="false" outlineLevel="0" collapsed="false">
      <c r="A2880" s="8" t="s">
        <v>1032</v>
      </c>
      <c r="B2880" s="8" t="s">
        <v>262</v>
      </c>
      <c r="C2880" s="19" t="n">
        <v>0</v>
      </c>
      <c r="D2880" s="19" t="n">
        <v>0</v>
      </c>
      <c r="E2880" s="19" t="n">
        <v>40</v>
      </c>
      <c r="F2880" s="19" t="n">
        <v>440.07</v>
      </c>
      <c r="G2880" s="8" t="n">
        <f aca="false">IFERROR(INDEX('TRANS'!$B:$B,MATCH($B2880,'TRANS'!$A:$A,0)),IFERROR(INDEX('TRANS'!$B:$B,MATCH(TRIM(SUBSTITUTE($B2880,CHAR(160)," ")),'TRANS'!$D:$D,0)),IFERROR(INDEX('Catalog'!$A:$A,MATCH($B2880,'Catalog'!$B:$B,0)),IFERROR(INDEX('Catalog'!$A:$A,MATCH(TRIM(SUBSTITUTE($B2880,CHAR(160)," ")),'Catalog'!$C:$C,0)),""))))</f>
        <v>4413501</v>
      </c>
      <c r="H2880" s="8" t="str">
        <f aca="false">IFERROR(INDEX('TRANS'!$C:$C,MATCH($B2880,'TRANS'!$A:$A,0)),IFERROR(INDEX('Catalog'!$B:$B,MATCH($G2880,'Catalog'!$A:$A,0)),$B2880))</f>
        <v>95B M מגן מרפק שחור</v>
      </c>
      <c r="I2880" s="8" t="str">
        <f aca="false">IF($G2880="","Unmatched","Matched")</f>
        <v>Matched</v>
      </c>
    </row>
    <row r="2881" customFormat="false" ht="15" hidden="false" customHeight="false" outlineLevel="0" collapsed="false">
      <c r="A2881" s="8" t="s">
        <v>1032</v>
      </c>
      <c r="B2881" s="8" t="s">
        <v>264</v>
      </c>
      <c r="C2881" s="19" t="n">
        <v>10</v>
      </c>
      <c r="D2881" s="19" t="n">
        <v>117.78</v>
      </c>
      <c r="E2881" s="19" t="n">
        <v>20</v>
      </c>
      <c r="F2881" s="19" t="n">
        <v>220.03</v>
      </c>
      <c r="G2881" s="8" t="n">
        <f aca="false">IFERROR(INDEX('TRANS'!$B:$B,MATCH($B2881,'TRANS'!$A:$A,0)),IFERROR(INDEX('TRANS'!$B:$B,MATCH(TRIM(SUBSTITUTE($B2881,CHAR(160)," ")),'TRANS'!$D:$D,0)),IFERROR(INDEX('Catalog'!$A:$A,MATCH($B2881,'Catalog'!$B:$B,0)),IFERROR(INDEX('Catalog'!$A:$A,MATCH(TRIM(SUBSTITUTE($B2881,CHAR(160)," ")),'Catalog'!$C:$C,0)),""))))</f>
        <v>4413503</v>
      </c>
      <c r="H2881" s="8" t="str">
        <f aca="false">IFERROR(INDEX('TRANS'!$C:$C,MATCH($B2881,'TRANS'!$A:$A,0)),IFERROR(INDEX('Catalog'!$B:$B,MATCH($G2881,'Catalog'!$A:$A,0)),$B2881))</f>
        <v>95B XL מגן מרפק שחור</v>
      </c>
      <c r="I2881" s="8" t="str">
        <f aca="false">IF($G2881="","Unmatched","Matched")</f>
        <v>Matched</v>
      </c>
    </row>
    <row r="2882" customFormat="false" ht="15" hidden="false" customHeight="false" outlineLevel="0" collapsed="false">
      <c r="A2882" s="8" t="s">
        <v>1032</v>
      </c>
      <c r="B2882" s="8" t="s">
        <v>267</v>
      </c>
      <c r="C2882" s="19" t="n">
        <v>60</v>
      </c>
      <c r="D2882" s="19" t="n">
        <v>2564.02</v>
      </c>
      <c r="E2882" s="19" t="n">
        <v>0</v>
      </c>
      <c r="F2882" s="19" t="n">
        <v>0</v>
      </c>
      <c r="G2882" s="8" t="n">
        <f aca="false">IFERROR(INDEX('TRANS'!$B:$B,MATCH($B2882,'TRANS'!$A:$A,0)),IFERROR(INDEX('TRANS'!$B:$B,MATCH(TRIM(SUBSTITUTE($B2882,CHAR(160)," ")),'TRANS'!$D:$D,0)),IFERROR(INDEX('Catalog'!$A:$A,MATCH($B2882,'Catalog'!$B:$B,0)),IFERROR(INDEX('Catalog'!$A:$A,MATCH(TRIM(SUBSTITUTE($B2882,CHAR(160)," ")),'Catalog'!$C:$C,0)),""))))</f>
        <v>4408205</v>
      </c>
      <c r="H2882" s="8" t="str">
        <f aca="false">IFERROR(INDEX('TRANS'!$C:$C,MATCH($B2882,'TRANS'!$A:$A,0)),IFERROR(INDEX('Catalog'!$B:$B,MATCH($G2882,'Catalog'!$A:$A,0)),$B2882))</f>
        <v>AC-07 חגורת גב עם תמיכות</v>
      </c>
      <c r="I2882" s="8" t="str">
        <f aca="false">IF($G2882="","Unmatched","Matched")</f>
        <v>Matched</v>
      </c>
    </row>
    <row r="2883" customFormat="false" ht="15" hidden="false" customHeight="false" outlineLevel="0" collapsed="false">
      <c r="A2883" s="8" t="s">
        <v>1032</v>
      </c>
      <c r="B2883" s="8" t="s">
        <v>269</v>
      </c>
      <c r="C2883" s="19" t="n">
        <v>450</v>
      </c>
      <c r="D2883" s="19" t="n">
        <v>7393.9</v>
      </c>
      <c r="E2883" s="19" t="n">
        <v>260</v>
      </c>
      <c r="F2883" s="19" t="n">
        <v>3917.19</v>
      </c>
      <c r="G2883" s="8" t="n">
        <f aca="false">IFERROR(INDEX('TRANS'!$B:$B,MATCH($B2883,'TRANS'!$A:$A,0)),IFERROR(INDEX('TRANS'!$B:$B,MATCH(TRIM(SUBSTITUTE($B2883,CHAR(160)," ")),'TRANS'!$D:$D,0)),IFERROR(INDEX('Catalog'!$A:$A,MATCH($B2883,'Catalog'!$B:$B,0)),IFERROR(INDEX('Catalog'!$A:$A,MATCH(TRIM(SUBSTITUTE($B2883,CHAR(160)," ")),'Catalog'!$C:$C,0)),""))))</f>
        <v>4408207</v>
      </c>
      <c r="H2883" s="8" t="str">
        <f aca="false">IFERROR(INDEX('TRANS'!$C:$C,MATCH($B2883,'TRANS'!$A:$A,0)),IFERROR(INDEX('Catalog'!$B:$B,MATCH($G2883,'Catalog'!$A:$A,0)),$B2883))</f>
        <v>AC-25 חבק לשורש כף היד</v>
      </c>
      <c r="I2883" s="8" t="str">
        <f aca="false">IF($G2883="","Unmatched","Matched")</f>
        <v>Matched</v>
      </c>
    </row>
    <row r="2884" customFormat="false" ht="15" hidden="false" customHeight="false" outlineLevel="0" collapsed="false">
      <c r="A2884" s="8" t="s">
        <v>1032</v>
      </c>
      <c r="B2884" s="8" t="s">
        <v>270</v>
      </c>
      <c r="C2884" s="19" t="n">
        <v>30</v>
      </c>
      <c r="D2884" s="19" t="n">
        <v>934.5</v>
      </c>
      <c r="E2884" s="19" t="n">
        <v>0</v>
      </c>
      <c r="F2884" s="19" t="n">
        <v>0</v>
      </c>
      <c r="G2884" s="8" t="n">
        <f aca="false">IFERROR(INDEX('TRANS'!$B:$B,MATCH($B2884,'TRANS'!$A:$A,0)),IFERROR(INDEX('TRANS'!$B:$B,MATCH(TRIM(SUBSTITUTE($B2884,CHAR(160)," ")),'TRANS'!$D:$D,0)),IFERROR(INDEX('Catalog'!$A:$A,MATCH($B2884,'Catalog'!$B:$B,0)),IFERROR(INDEX('Catalog'!$A:$A,MATCH(TRIM(SUBSTITUTE($B2884,CHAR(160)," ")),'Catalog'!$C:$C,0)),""))))</f>
        <v>4415026</v>
      </c>
      <c r="H2884" s="8" t="str">
        <f aca="false">IFERROR(INDEX('TRANS'!$C:$C,MATCH($B2884,'TRANS'!$A:$A,0)),IFERROR(INDEX('Catalog'!$B:$B,MATCH($G2884,'Catalog'!$A:$A,0)),$B2884))</f>
        <v>AC-27L סד לש.כף יד שמאל</v>
      </c>
      <c r="I2884" s="8" t="str">
        <f aca="false">IF($G2884="","Unmatched","Matched")</f>
        <v>Matched</v>
      </c>
    </row>
    <row r="2885" customFormat="false" ht="15" hidden="false" customHeight="false" outlineLevel="0" collapsed="false">
      <c r="A2885" s="8" t="s">
        <v>1032</v>
      </c>
      <c r="B2885" s="8" t="s">
        <v>271</v>
      </c>
      <c r="C2885" s="19" t="n">
        <v>40</v>
      </c>
      <c r="D2885" s="19" t="n">
        <v>1251.74</v>
      </c>
      <c r="E2885" s="19" t="n">
        <v>0</v>
      </c>
      <c r="F2885" s="19" t="n">
        <v>0</v>
      </c>
      <c r="G2885" s="8" t="n">
        <f aca="false">IFERROR(INDEX('TRANS'!$B:$B,MATCH($B2885,'TRANS'!$A:$A,0)),IFERROR(INDEX('TRANS'!$B:$B,MATCH(TRIM(SUBSTITUTE($B2885,CHAR(160)," ")),'TRANS'!$D:$D,0)),IFERROR(INDEX('Catalog'!$A:$A,MATCH($B2885,'Catalog'!$B:$B,0)),IFERROR(INDEX('Catalog'!$A:$A,MATCH(TRIM(SUBSTITUTE($B2885,CHAR(160)," ")),'Catalog'!$C:$C,0)),""))))</f>
        <v>4415027</v>
      </c>
      <c r="H2885" s="8" t="str">
        <f aca="false">IFERROR(INDEX('TRANS'!$C:$C,MATCH($B2885,'TRANS'!$A:$A,0)),IFERROR(INDEX('Catalog'!$B:$B,MATCH($G2885,'Catalog'!$A:$A,0)),$B2885))</f>
        <v>AC-27R סד לש.כף יד ימין</v>
      </c>
      <c r="I2885" s="8" t="str">
        <f aca="false">IF($G2885="","Unmatched","Matched")</f>
        <v>Matched</v>
      </c>
    </row>
    <row r="2886" customFormat="false" ht="15" hidden="false" customHeight="false" outlineLevel="0" collapsed="false">
      <c r="A2886" s="8" t="s">
        <v>1032</v>
      </c>
      <c r="B2886" s="8" t="s">
        <v>272</v>
      </c>
      <c r="C2886" s="19" t="n">
        <v>470</v>
      </c>
      <c r="D2886" s="19" t="n">
        <v>7664.64</v>
      </c>
      <c r="E2886" s="19" t="n">
        <v>260</v>
      </c>
      <c r="F2886" s="19" t="n">
        <v>3917.19</v>
      </c>
      <c r="G2886" s="8" t="n">
        <f aca="false">IFERROR(INDEX('TRANS'!$B:$B,MATCH($B2886,'TRANS'!$A:$A,0)),IFERROR(INDEX('TRANS'!$B:$B,MATCH(TRIM(SUBSTITUTE($B2886,CHAR(160)," ")),'TRANS'!$D:$D,0)),IFERROR(INDEX('Catalog'!$A:$A,MATCH($B2886,'Catalog'!$B:$B,0)),IFERROR(INDEX('Catalog'!$A:$A,MATCH(TRIM(SUBSTITUTE($B2886,CHAR(160)," ")),'Catalog'!$C:$C,0)),""))))</f>
        <v>4415028</v>
      </c>
      <c r="H2886" s="8" t="str">
        <f aca="false">IFERROR(INDEX('TRANS'!$C:$C,MATCH($B2886,'TRANS'!$A:$A,0)),IFERROR(INDEX('Catalog'!$B:$B,MATCH($G2886,'Catalog'!$A:$A,0)),$B2886))</f>
        <v>AC-28 סד לאגודל</v>
      </c>
      <c r="I2886" s="8" t="str">
        <f aca="false">IF($G2886="","Unmatched","Matched")</f>
        <v>Matched</v>
      </c>
    </row>
    <row r="2887" customFormat="false" ht="15" hidden="false" customHeight="false" outlineLevel="0" collapsed="false">
      <c r="A2887" s="8" t="s">
        <v>1032</v>
      </c>
      <c r="B2887" s="8" t="s">
        <v>273</v>
      </c>
      <c r="C2887" s="19" t="n">
        <v>30</v>
      </c>
      <c r="D2887" s="19" t="n">
        <v>598.37</v>
      </c>
      <c r="E2887" s="19" t="n">
        <v>0</v>
      </c>
      <c r="F2887" s="19" t="n">
        <v>0</v>
      </c>
      <c r="G2887" s="8" t="n">
        <f aca="false">IFERROR(INDEX('TRANS'!$B:$B,MATCH($B2887,'TRANS'!$A:$A,0)),IFERROR(INDEX('TRANS'!$B:$B,MATCH(TRIM(SUBSTITUTE($B2887,CHAR(160)," ")),'TRANS'!$D:$D,0)),IFERROR(INDEX('Catalog'!$A:$A,MATCH($B2887,'Catalog'!$B:$B,0)),IFERROR(INDEX('Catalog'!$A:$A,MATCH(TRIM(SUBSTITUTE($B2887,CHAR(160)," ")),'Catalog'!$C:$C,0)),""))))</f>
        <v>4413326</v>
      </c>
      <c r="H2887" s="8" t="str">
        <f aca="false">IFERROR(INDEX('TRANS'!$C:$C,MATCH($B2887,'TRANS'!$A:$A,0)),IFERROR(INDEX('Catalog'!$B:$B,MATCH($G2887,'Catalog'!$A:$A,0)),$B2887))</f>
        <v>AC37 מגן קרסול נושם</v>
      </c>
      <c r="I2887" s="8" t="str">
        <f aca="false">IF($G2887="","Unmatched","Matched")</f>
        <v>Matched</v>
      </c>
    </row>
    <row r="2888" customFormat="false" ht="15" hidden="false" customHeight="false" outlineLevel="0" collapsed="false">
      <c r="A2888" s="8" t="s">
        <v>1032</v>
      </c>
      <c r="B2888" s="8" t="s">
        <v>56</v>
      </c>
      <c r="C2888" s="19" t="n">
        <v>20</v>
      </c>
      <c r="D2888" s="19" t="n">
        <v>959.45</v>
      </c>
      <c r="E2888" s="19" t="n">
        <v>0</v>
      </c>
      <c r="F2888" s="19" t="n">
        <v>0</v>
      </c>
      <c r="G2888" s="8" t="n">
        <f aca="false">IFERROR(INDEX('TRANS'!$B:$B,MATCH($B2888,'TRANS'!$A:$A,0)),IFERROR(INDEX('TRANS'!$B:$B,MATCH(TRIM(SUBSTITUTE($B2888,CHAR(160)," ")),'TRANS'!$D:$D,0)),IFERROR(INDEX('Catalog'!$A:$A,MATCH($B2888,'Catalog'!$B:$B,0)),IFERROR(INDEX('Catalog'!$A:$A,MATCH(TRIM(SUBSTITUTE($B2888,CHAR(160)," ")),'Catalog'!$C:$C,0)),""))))</f>
        <v>4413328</v>
      </c>
      <c r="H2888" s="8" t="str">
        <f aca="false">IFERROR(INDEX('TRANS'!$C:$C,MATCH($B2888,'TRANS'!$A:$A,0)),IFERROR(INDEX('Catalog'!$B:$B,MATCH($G2888,'Catalog'!$A:$A,0)),$B2888))</f>
        <v>AC43D מגן ברך + צירים</v>
      </c>
      <c r="I2888" s="8" t="str">
        <f aca="false">IF($G2888="","Unmatched","Matched")</f>
        <v>Matched</v>
      </c>
    </row>
    <row r="2889" customFormat="false" ht="15" hidden="false" customHeight="false" outlineLevel="0" collapsed="false">
      <c r="A2889" s="8" t="s">
        <v>1032</v>
      </c>
      <c r="B2889" s="8" t="s">
        <v>275</v>
      </c>
      <c r="C2889" s="19" t="n">
        <v>140</v>
      </c>
      <c r="D2889" s="19" t="n">
        <v>5088.22</v>
      </c>
      <c r="E2889" s="19" t="n">
        <v>100</v>
      </c>
      <c r="F2889" s="19" t="n">
        <v>3379.37</v>
      </c>
      <c r="G2889" s="8" t="n">
        <f aca="false">IFERROR(INDEX('TRANS'!$B:$B,MATCH($B2889,'TRANS'!$A:$A,0)),IFERROR(INDEX('TRANS'!$B:$B,MATCH(TRIM(SUBSTITUTE($B2889,CHAR(160)," ")),'TRANS'!$D:$D,0)),IFERROR(INDEX('Catalog'!$A:$A,MATCH($B2889,'Catalog'!$B:$B,0)),IFERROR(INDEX('Catalog'!$A:$A,MATCH(TRIM(SUBSTITUTE($B2889,CHAR(160)," ")),'Catalog'!$C:$C,0)),""))))</f>
        <v>4413329</v>
      </c>
      <c r="H2889" s="8" t="str">
        <f aca="false">IFERROR(INDEX('TRANS'!$C:$C,MATCH($B2889,'TRANS'!$A:$A,0)),IFERROR(INDEX('Catalog'!$B:$B,MATCH($G2889,'Catalog'!$A:$A,0)),$B2889))</f>
        <v>AC45X מגן ברך עם תמיכות</v>
      </c>
      <c r="I2889" s="8" t="str">
        <f aca="false">IF($G2889="","Unmatched","Matched")</f>
        <v>Matched</v>
      </c>
    </row>
    <row r="2890" customFormat="false" ht="15" hidden="false" customHeight="false" outlineLevel="0" collapsed="false">
      <c r="A2890" s="8" t="s">
        <v>1032</v>
      </c>
      <c r="B2890" s="8" t="s">
        <v>277</v>
      </c>
      <c r="C2890" s="19" t="n">
        <v>70</v>
      </c>
      <c r="D2890" s="19" t="n">
        <v>1192.26</v>
      </c>
      <c r="E2890" s="19" t="n">
        <v>20</v>
      </c>
      <c r="F2890" s="19" t="n">
        <v>315.86</v>
      </c>
      <c r="G2890" s="8" t="n">
        <f aca="false">IFERROR(INDEX('TRANS'!$B:$B,MATCH($B2890,'TRANS'!$A:$A,0)),IFERROR(INDEX('TRANS'!$B:$B,MATCH(TRIM(SUBSTITUTE($B2890,CHAR(160)," ")),'TRANS'!$D:$D,0)),IFERROR(INDEX('Catalog'!$A:$A,MATCH($B2890,'Catalog'!$B:$B,0)),IFERROR(INDEX('Catalog'!$A:$A,MATCH(TRIM(SUBSTITUTE($B2890,CHAR(160)," ")),'Catalog'!$C:$C,0)),""))))</f>
        <v>4408208</v>
      </c>
      <c r="H2890" s="8" t="str">
        <f aca="false">IFERROR(INDEX('TRANS'!$C:$C,MATCH($B2890,'TRANS'!$A:$A,0)),IFERROR(INDEX('Catalog'!$B:$B,MATCH($G2890,'Catalog'!$A:$A,0)),$B2890))</f>
        <v>AC91 חבק טניס</v>
      </c>
      <c r="I2890" s="8" t="str">
        <f aca="false">IF($G2890="","Unmatched","Matched")</f>
        <v>Matched</v>
      </c>
    </row>
    <row r="2891" customFormat="false" ht="15" hidden="false" customHeight="false" outlineLevel="0" collapsed="false">
      <c r="A2891" s="8" t="s">
        <v>1032</v>
      </c>
      <c r="B2891" s="8" t="s">
        <v>278</v>
      </c>
      <c r="C2891" s="19" t="n">
        <v>20</v>
      </c>
      <c r="D2891" s="19" t="n">
        <v>348.53</v>
      </c>
      <c r="E2891" s="19" t="n">
        <v>20</v>
      </c>
      <c r="F2891" s="19" t="n">
        <v>330.05</v>
      </c>
      <c r="G2891" s="8" t="n">
        <f aca="false">IFERROR(INDEX('TRANS'!$B:$B,MATCH($B2891,'TRANS'!$A:$A,0)),IFERROR(INDEX('TRANS'!$B:$B,MATCH(TRIM(SUBSTITUTE($B2891,CHAR(160)," ")),'TRANS'!$D:$D,0)),IFERROR(INDEX('Catalog'!$A:$A,MATCH($B2891,'Catalog'!$B:$B,0)),IFERROR(INDEX('Catalog'!$A:$A,MATCH(TRIM(SUBSTITUTE($B2891,CHAR(160)," ")),'Catalog'!$C:$C,0)),""))))</f>
        <v>4413331</v>
      </c>
      <c r="H2891" s="8" t="str">
        <f aca="false">IFERROR(INDEX('TRANS'!$C:$C,MATCH($B2891,'TRANS'!$A:$A,0)),IFERROR(INDEX('Catalog'!$B:$B,MATCH($G2891,'Catalog'!$A:$A,0)),$B2891))</f>
        <v>AC95 מגן מרפק</v>
      </c>
      <c r="I2891" s="8" t="str">
        <f aca="false">IF($G2891="","Unmatched","Matched")</f>
        <v>Matched</v>
      </c>
    </row>
    <row r="2892" customFormat="false" ht="15" hidden="false" customHeight="false" outlineLevel="0" collapsed="false">
      <c r="A2892" s="8" t="s">
        <v>1033</v>
      </c>
      <c r="B2892" s="8" t="s">
        <v>60</v>
      </c>
      <c r="C2892" s="19" t="n">
        <v>0</v>
      </c>
      <c r="D2892" s="19" t="n">
        <v>0</v>
      </c>
      <c r="E2892" s="19" t="n">
        <v>40</v>
      </c>
      <c r="F2892" s="19" t="n">
        <v>2484.42</v>
      </c>
      <c r="G2892" s="8" t="n">
        <f aca="false">IFERROR(INDEX('TRANS'!$B:$B,MATCH($B2892,'TRANS'!$A:$A,0)),IFERROR(INDEX('TRANS'!$B:$B,MATCH(TRIM(SUBSTITUTE($B2892,CHAR(160)," ")),'TRANS'!$D:$D,0)),IFERROR(INDEX('Catalog'!$A:$A,MATCH($B2892,'Catalog'!$B:$B,0)),IFERROR(INDEX('Catalog'!$A:$A,MATCH(TRIM(SUBSTITUTE($B2892,CHAR(160)," ")),'Catalog'!$C:$C,0)),""))))</f>
        <v>4408192</v>
      </c>
      <c r="H2892" s="8" t="str">
        <f aca="false">IFERROR(INDEX('TRANS'!$C:$C,MATCH($B2892,'TRANS'!$A:$A,0)),IFERROR(INDEX('Catalog'!$B:$B,MATCH($G2892,'Catalog'!$A:$A,0)),$B2892))</f>
        <v>078 L חגורת גב +סגירה</v>
      </c>
      <c r="I2892" s="8" t="str">
        <f aca="false">IF($G2892="","Unmatched","Matched")</f>
        <v>Matched</v>
      </c>
    </row>
    <row r="2893" customFormat="false" ht="15" hidden="false" customHeight="false" outlineLevel="0" collapsed="false">
      <c r="A2893" s="8" t="s">
        <v>1033</v>
      </c>
      <c r="B2893" s="8" t="s">
        <v>454</v>
      </c>
      <c r="C2893" s="19" t="n">
        <v>0</v>
      </c>
      <c r="D2893" s="19" t="n">
        <v>0</v>
      </c>
      <c r="E2893" s="19" t="n">
        <v>50</v>
      </c>
      <c r="F2893" s="19" t="n">
        <v>3105.52</v>
      </c>
      <c r="G2893" s="8" t="n">
        <f aca="false">IFERROR(INDEX('TRANS'!$B:$B,MATCH($B2893,'TRANS'!$A:$A,0)),IFERROR(INDEX('TRANS'!$B:$B,MATCH(TRIM(SUBSTITUTE($B2893,CHAR(160)," ")),'TRANS'!$D:$D,0)),IFERROR(INDEX('Catalog'!$A:$A,MATCH($B2893,'Catalog'!$B:$B,0)),IFERROR(INDEX('Catalog'!$A:$A,MATCH(TRIM(SUBSTITUTE($B2893,CHAR(160)," ")),'Catalog'!$C:$C,0)),""))))</f>
        <v>4408190</v>
      </c>
      <c r="H2893" s="8" t="str">
        <f aca="false">IFERROR(INDEX('TRANS'!$C:$C,MATCH($B2893,'TRANS'!$A:$A,0)),IFERROR(INDEX('Catalog'!$B:$B,MATCH($G2893,'Catalog'!$A:$A,0)),$B2893))</f>
        <v>M078 חגורת גב +סגירה כפולה</v>
      </c>
      <c r="I2893" s="8" t="str">
        <f aca="false">IF($G2893="","Unmatched","Matched")</f>
        <v>Matched</v>
      </c>
    </row>
    <row r="2894" customFormat="false" ht="15" hidden="false" customHeight="false" outlineLevel="0" collapsed="false">
      <c r="A2894" s="8" t="s">
        <v>1033</v>
      </c>
      <c r="B2894" s="8" t="s">
        <v>455</v>
      </c>
      <c r="C2894" s="19" t="n">
        <v>0</v>
      </c>
      <c r="D2894" s="19" t="n">
        <v>0</v>
      </c>
      <c r="E2894" s="19" t="n">
        <v>30</v>
      </c>
      <c r="F2894" s="19" t="n">
        <v>1882.66</v>
      </c>
      <c r="G2894" s="8" t="n">
        <f aca="false">IFERROR(INDEX('TRANS'!$B:$B,MATCH($B2894,'TRANS'!$A:$A,0)),IFERROR(INDEX('TRANS'!$B:$B,MATCH(TRIM(SUBSTITUTE($B2894,CHAR(160)," ")),'TRANS'!$D:$D,0)),IFERROR(INDEX('Catalog'!$A:$A,MATCH($B2894,'Catalog'!$B:$B,0)),IFERROR(INDEX('Catalog'!$A:$A,MATCH(TRIM(SUBSTITUTE($B2894,CHAR(160)," ")),'Catalog'!$C:$C,0)),""))))</f>
        <v>4408217</v>
      </c>
      <c r="H2894" s="8" t="str">
        <f aca="false">IFERROR(INDEX('TRANS'!$C:$C,MATCH($B2894,'TRANS'!$A:$A,0)),IFERROR(INDEX('Catalog'!$B:$B,MATCH($G2894,'Catalog'!$A:$A,0)),$B2894))</f>
        <v>S078 חגורת גב +סגירה כפולה</v>
      </c>
      <c r="I2894" s="8" t="str">
        <f aca="false">IF($G2894="","Unmatched","Matched")</f>
        <v>Matched</v>
      </c>
    </row>
    <row r="2895" customFormat="false" ht="15" hidden="false" customHeight="false" outlineLevel="0" collapsed="false">
      <c r="A2895" s="8" t="s">
        <v>1033</v>
      </c>
      <c r="B2895" s="8" t="s">
        <v>61</v>
      </c>
      <c r="C2895" s="19" t="n">
        <v>0</v>
      </c>
      <c r="D2895" s="19" t="n">
        <v>0</v>
      </c>
      <c r="E2895" s="19" t="n">
        <v>40</v>
      </c>
      <c r="F2895" s="19" t="n">
        <v>2484.42</v>
      </c>
      <c r="G2895" s="8" t="n">
        <f aca="false">IFERROR(INDEX('TRANS'!$B:$B,MATCH($B2895,'TRANS'!$A:$A,0)),IFERROR(INDEX('TRANS'!$B:$B,MATCH(TRIM(SUBSTITUTE($B2895,CHAR(160)," ")),'TRANS'!$D:$D,0)),IFERROR(INDEX('Catalog'!$A:$A,MATCH($B2895,'Catalog'!$B:$B,0)),IFERROR(INDEX('Catalog'!$A:$A,MATCH(TRIM(SUBSTITUTE($B2895,CHAR(160)," ")),'Catalog'!$C:$C,0)),""))))</f>
        <v>4408218</v>
      </c>
      <c r="H2895" s="8" t="str">
        <f aca="false">IFERROR(INDEX('TRANS'!$C:$C,MATCH($B2895,'TRANS'!$A:$A,0)),IFERROR(INDEX('Catalog'!$B:$B,MATCH($G2895,'Catalog'!$A:$A,0)),$B2895))</f>
        <v>078XL חגורת גב +סגירה כפולה</v>
      </c>
      <c r="I2895" s="8" t="str">
        <f aca="false">IF($G2895="","Unmatched","Matched")</f>
        <v>Matched</v>
      </c>
    </row>
    <row r="2896" customFormat="false" ht="15" hidden="false" customHeight="false" outlineLevel="0" collapsed="false">
      <c r="A2896" s="8" t="s">
        <v>1033</v>
      </c>
      <c r="B2896" s="8" t="s">
        <v>335</v>
      </c>
      <c r="C2896" s="19" t="n">
        <v>190</v>
      </c>
      <c r="D2896" s="19" t="n">
        <v>13475.39</v>
      </c>
      <c r="E2896" s="19" t="n">
        <v>80</v>
      </c>
      <c r="F2896" s="19" t="n">
        <v>4998.35</v>
      </c>
      <c r="G2896" s="8" t="n">
        <f aca="false">IFERROR(INDEX('TRANS'!$B:$B,MATCH($B2896,'TRANS'!$A:$A,0)),IFERROR(INDEX('TRANS'!$B:$B,MATCH(TRIM(SUBSTITUTE($B2896,CHAR(160)," ")),'TRANS'!$D:$D,0)),IFERROR(INDEX('Catalog'!$A:$A,MATCH($B2896,'Catalog'!$B:$B,0)),IFERROR(INDEX('Catalog'!$A:$A,MATCH(TRIM(SUBSTITUTE($B2896,CHAR(160)," ")),'Catalog'!$C:$C,0)),""))))</f>
        <v>4408221</v>
      </c>
      <c r="H2896" s="8" t="str">
        <f aca="false">IFERROR(INDEX('TRANS'!$C:$C,MATCH($B2896,'TRANS'!$A:$A,0)),IFERROR(INDEX('Catalog'!$B:$B,MATCH($G2896,'Catalog'!$A:$A,0)),$B2896))</f>
        <v>078G-L חגורת גב אפורה</v>
      </c>
      <c r="I2896" s="8" t="str">
        <f aca="false">IF($G2896="","Unmatched","Matched")</f>
        <v>Matched</v>
      </c>
    </row>
    <row r="2897" customFormat="false" ht="15" hidden="false" customHeight="false" outlineLevel="0" collapsed="false">
      <c r="A2897" s="8" t="s">
        <v>1033</v>
      </c>
      <c r="B2897" s="8" t="s">
        <v>62</v>
      </c>
      <c r="C2897" s="19" t="n">
        <v>140</v>
      </c>
      <c r="D2897" s="19" t="n">
        <v>9909.22</v>
      </c>
      <c r="E2897" s="19" t="n">
        <v>50</v>
      </c>
      <c r="F2897" s="19" t="n">
        <v>3127.11</v>
      </c>
      <c r="G2897" s="8" t="n">
        <f aca="false">IFERROR(INDEX('TRANS'!$B:$B,MATCH($B2897,'TRANS'!$A:$A,0)),IFERROR(INDEX('TRANS'!$B:$B,MATCH(TRIM(SUBSTITUTE($B2897,CHAR(160)," ")),'TRANS'!$D:$D,0)),IFERROR(INDEX('Catalog'!$A:$A,MATCH($B2897,'Catalog'!$B:$B,0)),IFERROR(INDEX('Catalog'!$A:$A,MATCH(TRIM(SUBSTITUTE($B2897,CHAR(160)," ")),'Catalog'!$C:$C,0)),""))))</f>
        <v>4408220</v>
      </c>
      <c r="H2897" s="8" t="str">
        <f aca="false">IFERROR(INDEX('TRANS'!$C:$C,MATCH($B2897,'TRANS'!$A:$A,0)),IFERROR(INDEX('Catalog'!$B:$B,MATCH($G2897,'Catalog'!$A:$A,0)),$B2897))</f>
        <v>078G-M חגורת גב אפורה</v>
      </c>
      <c r="I2897" s="8" t="str">
        <f aca="false">IF($G2897="","Unmatched","Matched")</f>
        <v>Matched</v>
      </c>
    </row>
    <row r="2898" customFormat="false" ht="15" hidden="false" customHeight="false" outlineLevel="0" collapsed="false">
      <c r="A2898" s="8" t="s">
        <v>1033</v>
      </c>
      <c r="B2898" s="8" t="s">
        <v>685</v>
      </c>
      <c r="C2898" s="19" t="n">
        <v>70</v>
      </c>
      <c r="D2898" s="19" t="n">
        <v>5033.1</v>
      </c>
      <c r="E2898" s="19" t="n">
        <v>12</v>
      </c>
      <c r="F2898" s="19" t="n">
        <v>738.48</v>
      </c>
      <c r="G2898" s="8" t="n">
        <f aca="false">IFERROR(INDEX('TRANS'!$B:$B,MATCH($B2898,'TRANS'!$A:$A,0)),IFERROR(INDEX('TRANS'!$B:$B,MATCH(TRIM(SUBSTITUTE($B2898,CHAR(160)," ")),'TRANS'!$D:$D,0)),IFERROR(INDEX('Catalog'!$A:$A,MATCH($B2898,'Catalog'!$B:$B,0)),IFERROR(INDEX('Catalog'!$A:$A,MATCH(TRIM(SUBSTITUTE($B2898,CHAR(160)," ")),'Catalog'!$C:$C,0)),""))))</f>
        <v>4408219</v>
      </c>
      <c r="H2898" s="8" t="str">
        <f aca="false">IFERROR(INDEX('TRANS'!$C:$C,MATCH($B2898,'TRANS'!$A:$A,0)),IFERROR(INDEX('Catalog'!$B:$B,MATCH($G2898,'Catalog'!$A:$A,0)),$B2898))</f>
        <v>078G-S חגורת גב אפורה</v>
      </c>
      <c r="I2898" s="8" t="str">
        <f aca="false">IF($G2898="","Unmatched","Matched")</f>
        <v>Matched</v>
      </c>
    </row>
    <row r="2899" customFormat="false" ht="15" hidden="false" customHeight="false" outlineLevel="0" collapsed="false">
      <c r="A2899" s="8" t="s">
        <v>1033</v>
      </c>
      <c r="B2899" s="8" t="s">
        <v>336</v>
      </c>
      <c r="C2899" s="19" t="n">
        <v>160</v>
      </c>
      <c r="D2899" s="19" t="n">
        <v>11350</v>
      </c>
      <c r="E2899" s="19" t="n">
        <v>70</v>
      </c>
      <c r="F2899" s="19" t="n">
        <v>4455.67</v>
      </c>
      <c r="G2899" s="8" t="n">
        <f aca="false">IFERROR(INDEX('TRANS'!$B:$B,MATCH($B2899,'TRANS'!$A:$A,0)),IFERROR(INDEX('TRANS'!$B:$B,MATCH(TRIM(SUBSTITUTE($B2899,CHAR(160)," ")),'TRANS'!$D:$D,0)),IFERROR(INDEX('Catalog'!$A:$A,MATCH($B2899,'Catalog'!$B:$B,0)),IFERROR(INDEX('Catalog'!$A:$A,MATCH(TRIM(SUBSTITUTE($B2899,CHAR(160)," ")),'Catalog'!$C:$C,0)),""))))</f>
        <v>4408222</v>
      </c>
      <c r="H2899" s="8" t="str">
        <f aca="false">IFERROR(INDEX('TRANS'!$C:$C,MATCH($B2899,'TRANS'!$A:$A,0)),IFERROR(INDEX('Catalog'!$B:$B,MATCH($G2899,'Catalog'!$A:$A,0)),$B2899))</f>
        <v>078G-XLחגורת גב אפורה</v>
      </c>
      <c r="I2899" s="8" t="str">
        <f aca="false">IF($G2899="","Unmatched","Matched")</f>
        <v>Matched</v>
      </c>
    </row>
    <row r="2900" customFormat="false" ht="15" hidden="false" customHeight="false" outlineLevel="0" collapsed="false">
      <c r="A2900" s="8" t="s">
        <v>1033</v>
      </c>
      <c r="B2900" s="8" t="s">
        <v>337</v>
      </c>
      <c r="C2900" s="19" t="n">
        <v>106</v>
      </c>
      <c r="D2900" s="19" t="n">
        <v>7580.06</v>
      </c>
      <c r="E2900" s="19" t="n">
        <v>30</v>
      </c>
      <c r="F2900" s="19" t="n">
        <v>1920.14</v>
      </c>
      <c r="G2900" s="8" t="n">
        <f aca="false">IFERROR(INDEX('TRANS'!$B:$B,MATCH($B2900,'TRANS'!$A:$A,0)),IFERROR(INDEX('TRANS'!$B:$B,MATCH(TRIM(SUBSTITUTE($B2900,CHAR(160)," ")),'TRANS'!$D:$D,0)),IFERROR(INDEX('Catalog'!$A:$A,MATCH($B2900,'Catalog'!$B:$B,0)),IFERROR(INDEX('Catalog'!$A:$A,MATCH(TRIM(SUBSTITUTE($B2900,CHAR(160)," ")),'Catalog'!$C:$C,0)),""))))</f>
        <v>4408223</v>
      </c>
      <c r="H2900" s="8" t="str">
        <f aca="false">IFERROR(INDEX('TRANS'!$C:$C,MATCH($B2900,'TRANS'!$A:$A,0)),IFERROR(INDEX('Catalog'!$B:$B,MATCH($G2900,'Catalog'!$A:$A,0)),$B2900))</f>
        <v>078G-XXLחגורת גב אפורה</v>
      </c>
      <c r="I2900" s="8" t="str">
        <f aca="false">IF($G2900="","Unmatched","Matched")</f>
        <v>Matched</v>
      </c>
    </row>
    <row r="2901" customFormat="false" ht="15" hidden="false" customHeight="false" outlineLevel="0" collapsed="false">
      <c r="A2901" s="8" t="s">
        <v>1033</v>
      </c>
      <c r="B2901" s="8" t="s">
        <v>458</v>
      </c>
      <c r="C2901" s="19" t="n">
        <v>86</v>
      </c>
      <c r="D2901" s="19" t="n">
        <v>6914.07</v>
      </c>
      <c r="E2901" s="19" t="n">
        <v>20</v>
      </c>
      <c r="F2901" s="19" t="n">
        <v>1489.16</v>
      </c>
      <c r="G2901" s="8" t="n">
        <f aca="false">IFERROR(INDEX('TRANS'!$B:$B,MATCH($B2901,'TRANS'!$A:$A,0)),IFERROR(INDEX('TRANS'!$B:$B,MATCH(TRIM(SUBSTITUTE($B2901,CHAR(160)," ")),'TRANS'!$D:$D,0)),IFERROR(INDEX('Catalog'!$A:$A,MATCH($B2901,'Catalog'!$B:$B,0)),IFERROR(INDEX('Catalog'!$A:$A,MATCH(TRIM(SUBSTITUTE($B2901,CHAR(160)," ")),'Catalog'!$C:$C,0)),""))))</f>
        <v>4408032</v>
      </c>
      <c r="H2901" s="8" t="str">
        <f aca="false">IFERROR(INDEX('TRANS'!$C:$C,MATCH($B2901,'TRANS'!$A:$A,0)),IFERROR(INDEX('Catalog'!$B:$B,MATCH($G2901,'Catalog'!$A:$A,0)),$B2901))</f>
        <v>11 L""""חגורת בטן""""אורירית</v>
      </c>
      <c r="I2901" s="8" t="str">
        <f aca="false">IF($G2901="","Unmatched","Matched")</f>
        <v>Matched</v>
      </c>
    </row>
    <row r="2902" customFormat="false" ht="15" hidden="false" customHeight="false" outlineLevel="0" collapsed="false">
      <c r="A2902" s="8" t="s">
        <v>1033</v>
      </c>
      <c r="B2902" s="8" t="s">
        <v>71</v>
      </c>
      <c r="C2902" s="19" t="n">
        <v>92</v>
      </c>
      <c r="D2902" s="19" t="n">
        <v>7427.56</v>
      </c>
      <c r="E2902" s="19" t="n">
        <v>30</v>
      </c>
      <c r="F2902" s="19" t="n">
        <v>2069.36</v>
      </c>
      <c r="G2902" s="8" t="n">
        <f aca="false">IFERROR(INDEX('TRANS'!$B:$B,MATCH($B2902,'TRANS'!$A:$A,0)),IFERROR(INDEX('TRANS'!$B:$B,MATCH(TRIM(SUBSTITUTE($B2902,CHAR(160)," ")),'TRANS'!$D:$D,0)),IFERROR(INDEX('Catalog'!$A:$A,MATCH($B2902,'Catalog'!$B:$B,0)),IFERROR(INDEX('Catalog'!$A:$A,MATCH(TRIM(SUBSTITUTE($B2902,CHAR(160)," ")),'Catalog'!$C:$C,0)),""))))</f>
        <v>4408033</v>
      </c>
      <c r="H2902" s="8" t="str">
        <f aca="false">IFERROR(INDEX('TRANS'!$C:$C,MATCH($B2902,'TRANS'!$A:$A,0)),IFERROR(INDEX('Catalog'!$B:$B,MATCH($G2902,'Catalog'!$A:$A,0)),$B2902))</f>
        <v>11 M""""חגורת בטן""""אורירית</v>
      </c>
      <c r="I2902" s="8" t="str">
        <f aca="false">IF($G2902="","Unmatched","Matched")</f>
        <v>Matched</v>
      </c>
    </row>
    <row r="2903" customFormat="false" ht="15" hidden="false" customHeight="false" outlineLevel="0" collapsed="false">
      <c r="A2903" s="8" t="s">
        <v>1033</v>
      </c>
      <c r="B2903" s="8" t="s">
        <v>695</v>
      </c>
      <c r="C2903" s="19" t="n">
        <v>44</v>
      </c>
      <c r="D2903" s="19" t="n">
        <v>3544.17</v>
      </c>
      <c r="E2903" s="19" t="n">
        <v>30</v>
      </c>
      <c r="F2903" s="19" t="n">
        <v>2125.54</v>
      </c>
      <c r="G2903" s="8" t="n">
        <f aca="false">IFERROR(INDEX('TRANS'!$B:$B,MATCH($B2903,'TRANS'!$A:$A,0)),IFERROR(INDEX('TRANS'!$B:$B,MATCH(TRIM(SUBSTITUTE($B2903,CHAR(160)," ")),'TRANS'!$D:$D,0)),IFERROR(INDEX('Catalog'!$A:$A,MATCH($B2903,'Catalog'!$B:$B,0)),IFERROR(INDEX('Catalog'!$A:$A,MATCH(TRIM(SUBSTITUTE($B2903,CHAR(160)," ")),'Catalog'!$C:$C,0)),""))))</f>
        <v>4408031</v>
      </c>
      <c r="H2903" s="8" t="str">
        <f aca="false">IFERROR(INDEX('TRANS'!$C:$C,MATCH($B2903,'TRANS'!$A:$A,0)),IFERROR(INDEX('Catalog'!$B:$B,MATCH($G2903,'Catalog'!$A:$A,0)),$B2903))</f>
        <v>11 S""""חגורת בטן""""אורירית</v>
      </c>
      <c r="I2903" s="8" t="str">
        <f aca="false">IF($G2903="","Unmatched","Matched")</f>
        <v>Matched</v>
      </c>
    </row>
    <row r="2904" customFormat="false" ht="15" hidden="false" customHeight="false" outlineLevel="0" collapsed="false">
      <c r="A2904" s="8" t="s">
        <v>1033</v>
      </c>
      <c r="B2904" s="8" t="s">
        <v>617</v>
      </c>
      <c r="C2904" s="19" t="n">
        <v>74</v>
      </c>
      <c r="D2904" s="19" t="n">
        <v>5973.41</v>
      </c>
      <c r="E2904" s="19" t="n">
        <v>40</v>
      </c>
      <c r="F2904" s="19" t="n">
        <v>2815.32</v>
      </c>
      <c r="G2904" s="8" t="n">
        <f aca="false">IFERROR(INDEX('TRANS'!$B:$B,MATCH($B2904,'TRANS'!$A:$A,0)),IFERROR(INDEX('TRANS'!$B:$B,MATCH(TRIM(SUBSTITUTE($B2904,CHAR(160)," ")),'TRANS'!$D:$D,0)),IFERROR(INDEX('Catalog'!$A:$A,MATCH($B2904,'Catalog'!$B:$B,0)),IFERROR(INDEX('Catalog'!$A:$A,MATCH(TRIM(SUBSTITUTE($B2904,CHAR(160)," ")),'Catalog'!$C:$C,0)),""))))</f>
        <v>4408034</v>
      </c>
      <c r="H2904" s="8" t="str">
        <f aca="false">IFERROR(INDEX('TRANS'!$C:$C,MATCH($B2904,'TRANS'!$A:$A,0)),IFERROR(INDEX('Catalog'!$B:$B,MATCH($G2904,'Catalog'!$A:$A,0)),$B2904))</f>
        <v>11 XL""""חגורת בטן""""אורירית</v>
      </c>
      <c r="I2904" s="8" t="str">
        <f aca="false">IF($G2904="","Unmatched","Matched")</f>
        <v>Matched</v>
      </c>
    </row>
    <row r="2905" customFormat="false" ht="15" hidden="false" customHeight="false" outlineLevel="0" collapsed="false">
      <c r="A2905" s="8" t="s">
        <v>1033</v>
      </c>
      <c r="B2905" s="8" t="s">
        <v>90</v>
      </c>
      <c r="C2905" s="19" t="n">
        <v>48</v>
      </c>
      <c r="D2905" s="19" t="n">
        <v>3774.69</v>
      </c>
      <c r="E2905" s="19" t="n">
        <v>0</v>
      </c>
      <c r="F2905" s="19" t="n">
        <v>0</v>
      </c>
      <c r="G2905" s="8" t="n">
        <f aca="false">IFERROR(INDEX('TRANS'!$B:$B,MATCH($B2905,'TRANS'!$A:$A,0)),IFERROR(INDEX('TRANS'!$B:$B,MATCH(TRIM(SUBSTITUTE($B2905,CHAR(160)," ")),'TRANS'!$D:$D,0)),IFERROR(INDEX('Catalog'!$A:$A,MATCH($B2905,'Catalog'!$B:$B,0)),IFERROR(INDEX('Catalog'!$A:$A,MATCH(TRIM(SUBSTITUTE($B2905,CHAR(160)," ")),'Catalog'!$C:$C,0)),""))))</f>
        <v>4408230</v>
      </c>
      <c r="H2905" s="8" t="str">
        <f aca="false">IFERROR(INDEX('TRANS'!$C:$C,MATCH($B2905,'TRANS'!$A:$A,0)),IFERROR(INDEX('Catalog'!$B:$B,MATCH($G2905,'Catalog'!$A:$A,0)),$B2905))</f>
        <v>16 L-XL חגורת הריון</v>
      </c>
      <c r="I2905" s="8" t="str">
        <f aca="false">IF($G2905="","Unmatched","Matched")</f>
        <v>Matched</v>
      </c>
    </row>
    <row r="2906" customFormat="false" ht="15" hidden="false" customHeight="false" outlineLevel="0" collapsed="false">
      <c r="A2906" s="8" t="s">
        <v>1033</v>
      </c>
      <c r="B2906" s="8" t="s">
        <v>91</v>
      </c>
      <c r="C2906" s="19" t="n">
        <v>36</v>
      </c>
      <c r="D2906" s="19" t="n">
        <v>2831.44</v>
      </c>
      <c r="E2906" s="19" t="n">
        <v>6</v>
      </c>
      <c r="F2906" s="19" t="n">
        <v>405.76</v>
      </c>
      <c r="G2906" s="8" t="n">
        <f aca="false">IFERROR(INDEX('TRANS'!$B:$B,MATCH($B2906,'TRANS'!$A:$A,0)),IFERROR(INDEX('TRANS'!$B:$B,MATCH(TRIM(SUBSTITUTE($B2906,CHAR(160)," ")),'TRANS'!$D:$D,0)),IFERROR(INDEX('Catalog'!$A:$A,MATCH($B2906,'Catalog'!$B:$B,0)),IFERROR(INDEX('Catalog'!$A:$A,MATCH(TRIM(SUBSTITUTE($B2906,CHAR(160)," ")),'Catalog'!$C:$C,0)),""))))</f>
        <v>4408231</v>
      </c>
      <c r="H2906" s="8" t="str">
        <f aca="false">IFERROR(INDEX('TRANS'!$C:$C,MATCH($B2906,'TRANS'!$A:$A,0)),IFERROR(INDEX('Catalog'!$B:$B,MATCH($G2906,'Catalog'!$A:$A,0)),$B2906))</f>
        <v>16 S-M חגורת הריון</v>
      </c>
      <c r="I2906" s="8" t="str">
        <f aca="false">IF($G2906="","Unmatched","Matched")</f>
        <v>Matched</v>
      </c>
    </row>
    <row r="2907" customFormat="false" ht="15" hidden="false" customHeight="false" outlineLevel="0" collapsed="false">
      <c r="A2907" s="8" t="s">
        <v>1033</v>
      </c>
      <c r="B2907" s="8" t="s">
        <v>686</v>
      </c>
      <c r="C2907" s="19" t="n">
        <v>130</v>
      </c>
      <c r="D2907" s="19" t="n">
        <v>2673.97</v>
      </c>
      <c r="E2907" s="19" t="n">
        <v>40</v>
      </c>
      <c r="F2907" s="19" t="n">
        <v>731.76</v>
      </c>
      <c r="G2907" s="8" t="n">
        <f aca="false">IFERROR(INDEX('TRANS'!$B:$B,MATCH($B2907,'TRANS'!$A:$A,0)),IFERROR(INDEX('TRANS'!$B:$B,MATCH(TRIM(SUBSTITUTE($B2907,CHAR(160)," ")),'TRANS'!$D:$D,0)),IFERROR(INDEX('Catalog'!$A:$A,MATCH($B2907,'Catalog'!$B:$B,0)),IFERROR(INDEX('Catalog'!$A:$A,MATCH(TRIM(SUBSTITUTE($B2907,CHAR(160)," ")),'Catalog'!$C:$C,0)),""))))</f>
        <v>4408046</v>
      </c>
      <c r="H2907" s="8" t="str">
        <f aca="false">IFERROR(INDEX('TRANS'!$C:$C,MATCH($B2907,'TRANS'!$A:$A,0)),IFERROR(INDEX('Catalog'!$B:$B,MATCH($G2907,'Catalog'!$A:$A,0)),$B2907))</f>
        <v>20 L חבק יד מתכוון עם צמדן</v>
      </c>
      <c r="I2907" s="8" t="str">
        <f aca="false">IF($G2907="","Unmatched","Matched")</f>
        <v>Matched</v>
      </c>
    </row>
    <row r="2908" customFormat="false" ht="15" hidden="false" customHeight="false" outlineLevel="0" collapsed="false">
      <c r="A2908" s="8" t="s">
        <v>1033</v>
      </c>
      <c r="B2908" s="8" t="s">
        <v>621</v>
      </c>
      <c r="C2908" s="19" t="n">
        <v>270</v>
      </c>
      <c r="D2908" s="19" t="n">
        <v>5482.9</v>
      </c>
      <c r="E2908" s="19" t="n">
        <v>160</v>
      </c>
      <c r="F2908" s="19" t="n">
        <v>2883.67</v>
      </c>
      <c r="G2908" s="8" t="n">
        <f aca="false">IFERROR(INDEX('TRANS'!$B:$B,MATCH($B2908,'TRANS'!$A:$A,0)),IFERROR(INDEX('TRANS'!$B:$B,MATCH(TRIM(SUBSTITUTE($B2908,CHAR(160)," ")),'TRANS'!$D:$D,0)),IFERROR(INDEX('Catalog'!$A:$A,MATCH($B2908,'Catalog'!$B:$B,0)),IFERROR(INDEX('Catalog'!$A:$A,MATCH(TRIM(SUBSTITUTE($B2908,CHAR(160)," ")),'Catalog'!$C:$C,0)),""))))</f>
        <v>4408047</v>
      </c>
      <c r="H2908" s="8" t="str">
        <f aca="false">IFERROR(INDEX('TRANS'!$C:$C,MATCH($B2908,'TRANS'!$A:$A,0)),IFERROR(INDEX('Catalog'!$B:$B,MATCH($G2908,'Catalog'!$A:$A,0)),$B2908))</f>
        <v>20 M חבק יד מתכוון עם צמדן</v>
      </c>
      <c r="I2908" s="8" t="str">
        <f aca="false">IF($G2908="","Unmatched","Matched")</f>
        <v>Matched</v>
      </c>
    </row>
    <row r="2909" customFormat="false" ht="15" hidden="false" customHeight="false" outlineLevel="0" collapsed="false">
      <c r="A2909" s="8" t="s">
        <v>1033</v>
      </c>
      <c r="B2909" s="8" t="s">
        <v>622</v>
      </c>
      <c r="C2909" s="19" t="n">
        <v>150</v>
      </c>
      <c r="D2909" s="19" t="n">
        <v>3032.25</v>
      </c>
      <c r="E2909" s="19" t="n">
        <v>60</v>
      </c>
      <c r="F2909" s="19" t="n">
        <v>1086.79</v>
      </c>
      <c r="G2909" s="8" t="n">
        <f aca="false">IFERROR(INDEX('TRANS'!$B:$B,MATCH($B2909,'TRANS'!$A:$A,0)),IFERROR(INDEX('TRANS'!$B:$B,MATCH(TRIM(SUBSTITUTE($B2909,CHAR(160)," ")),'TRANS'!$D:$D,0)),IFERROR(INDEX('Catalog'!$A:$A,MATCH($B2909,'Catalog'!$B:$B,0)),IFERROR(INDEX('Catalog'!$A:$A,MATCH(TRIM(SUBSTITUTE($B2909,CHAR(160)," ")),'Catalog'!$C:$C,0)),""))))</f>
        <v>4408048</v>
      </c>
      <c r="H2909" s="8" t="str">
        <f aca="false">IFERROR(INDEX('TRANS'!$C:$C,MATCH($B2909,'TRANS'!$A:$A,0)),IFERROR(INDEX('Catalog'!$B:$B,MATCH($G2909,'Catalog'!$A:$A,0)),$B2909))</f>
        <v>20 S חבק יד מתכוון עם צמדן</v>
      </c>
      <c r="I2909" s="8" t="str">
        <f aca="false">IF($G2909="","Unmatched","Matched")</f>
        <v>Matched</v>
      </c>
    </row>
    <row r="2910" customFormat="false" ht="15" hidden="false" customHeight="false" outlineLevel="0" collapsed="false">
      <c r="A2910" s="8" t="s">
        <v>1033</v>
      </c>
      <c r="B2910" s="8" t="s">
        <v>562</v>
      </c>
      <c r="C2910" s="19" t="n">
        <v>90</v>
      </c>
      <c r="D2910" s="19" t="n">
        <v>1847.12</v>
      </c>
      <c r="E2910" s="19" t="n">
        <v>0</v>
      </c>
      <c r="F2910" s="19" t="n">
        <v>0</v>
      </c>
      <c r="G2910" s="8" t="n">
        <f aca="false">IFERROR(INDEX('TRANS'!$B:$B,MATCH($B2910,'TRANS'!$A:$A,0)),IFERROR(INDEX('TRANS'!$B:$B,MATCH(TRIM(SUBSTITUTE($B2910,CHAR(160)," ")),'TRANS'!$D:$D,0)),IFERROR(INDEX('Catalog'!$A:$A,MATCH($B2910,'Catalog'!$B:$B,0)),IFERROR(INDEX('Catalog'!$A:$A,MATCH(TRIM(SUBSTITUTE($B2910,CHAR(160)," ")),'Catalog'!$C:$C,0)),""))))</f>
        <v>4408049</v>
      </c>
      <c r="H2910" s="8" t="str">
        <f aca="false">IFERROR(INDEX('TRANS'!$C:$C,MATCH($B2910,'TRANS'!$A:$A,0)),IFERROR(INDEX('Catalog'!$B:$B,MATCH($G2910,'Catalog'!$A:$A,0)),$B2910))</f>
        <v>20 XL חבק יד מתכוון עם צמדן</v>
      </c>
      <c r="I2910" s="8" t="str">
        <f aca="false">IF($G2910="","Unmatched","Matched")</f>
        <v>Matched</v>
      </c>
    </row>
    <row r="2911" customFormat="false" ht="15" hidden="false" customHeight="false" outlineLevel="0" collapsed="false">
      <c r="A2911" s="8" t="s">
        <v>1033</v>
      </c>
      <c r="B2911" s="8" t="s">
        <v>347</v>
      </c>
      <c r="C2911" s="19" t="n">
        <v>160</v>
      </c>
      <c r="D2911" s="19" t="n">
        <v>3452.22</v>
      </c>
      <c r="E2911" s="19" t="n">
        <v>90</v>
      </c>
      <c r="F2911" s="19" t="n">
        <v>1749.35</v>
      </c>
      <c r="G2911" s="8" t="n">
        <f aca="false">IFERROR(INDEX('TRANS'!$B:$B,MATCH($B2911,'TRANS'!$A:$A,0)),IFERROR(INDEX('TRANS'!$B:$B,MATCH(TRIM(SUBSTITUTE($B2911,CHAR(160)," ")),'TRANS'!$D:$D,0)),IFERROR(INDEX('Catalog'!$A:$A,MATCH($B2911,'Catalog'!$B:$B,0)),IFERROR(INDEX('Catalog'!$A:$A,MATCH(TRIM(SUBSTITUTE($B2911,CHAR(160)," ")),'Catalog'!$C:$C,0)),""))))</f>
        <v>4408052</v>
      </c>
      <c r="H2911" s="8" t="str">
        <f aca="false">IFERROR(INDEX('TRANS'!$C:$C,MATCH($B2911,'TRANS'!$A:$A,0)),IFERROR(INDEX('Catalog'!$B:$B,MATCH($G2911,'Catalog'!$A:$A,0)),$B2911))</f>
        <v>21 L  חבק יד ארוך</v>
      </c>
      <c r="I2911" s="8" t="str">
        <f aca="false">IF($G2911="","Unmatched","Matched")</f>
        <v>Matched</v>
      </c>
    </row>
    <row r="2912" customFormat="false" ht="15" hidden="false" customHeight="false" outlineLevel="0" collapsed="false">
      <c r="A2912" s="8" t="s">
        <v>1033</v>
      </c>
      <c r="B2912" s="8" t="s">
        <v>92</v>
      </c>
      <c r="C2912" s="19" t="n">
        <v>370</v>
      </c>
      <c r="D2912" s="19" t="n">
        <v>7952.17</v>
      </c>
      <c r="E2912" s="19" t="n">
        <v>220</v>
      </c>
      <c r="F2912" s="19" t="n">
        <v>4219.15</v>
      </c>
      <c r="G2912" s="8" t="n">
        <f aca="false">IFERROR(INDEX('TRANS'!$B:$B,MATCH($B2912,'TRANS'!$A:$A,0)),IFERROR(INDEX('TRANS'!$B:$B,MATCH(TRIM(SUBSTITUTE($B2912,CHAR(160)," ")),'TRANS'!$D:$D,0)),IFERROR(INDEX('Catalog'!$A:$A,MATCH($B2912,'Catalog'!$B:$B,0)),IFERROR(INDEX('Catalog'!$A:$A,MATCH(TRIM(SUBSTITUTE($B2912,CHAR(160)," ")),'Catalog'!$C:$C,0)),""))))</f>
        <v>4408053</v>
      </c>
      <c r="H2912" s="8" t="str">
        <f aca="false">IFERROR(INDEX('TRANS'!$C:$C,MATCH($B2912,'TRANS'!$A:$A,0)),IFERROR(INDEX('Catalog'!$B:$B,MATCH($G2912,'Catalog'!$A:$A,0)),$B2912))</f>
        <v>21 M  חבק יד ארוך</v>
      </c>
      <c r="I2912" s="8" t="str">
        <f aca="false">IF($G2912="","Unmatched","Matched")</f>
        <v>Matched</v>
      </c>
    </row>
    <row r="2913" customFormat="false" ht="15" hidden="false" customHeight="false" outlineLevel="0" collapsed="false">
      <c r="A2913" s="8" t="s">
        <v>1033</v>
      </c>
      <c r="B2913" s="8" t="s">
        <v>348</v>
      </c>
      <c r="C2913" s="19" t="n">
        <v>280</v>
      </c>
      <c r="D2913" s="19" t="n">
        <v>6063.38</v>
      </c>
      <c r="E2913" s="19" t="n">
        <v>170</v>
      </c>
      <c r="F2913" s="19" t="n">
        <v>3296.5</v>
      </c>
      <c r="G2913" s="8" t="n">
        <f aca="false">IFERROR(INDEX('TRANS'!$B:$B,MATCH($B2913,'TRANS'!$A:$A,0)),IFERROR(INDEX('TRANS'!$B:$B,MATCH(TRIM(SUBSTITUTE($B2913,CHAR(160)," ")),'TRANS'!$D:$D,0)),IFERROR(INDEX('Catalog'!$A:$A,MATCH($B2913,'Catalog'!$B:$B,0)),IFERROR(INDEX('Catalog'!$A:$A,MATCH(TRIM(SUBSTITUTE($B2913,CHAR(160)," ")),'Catalog'!$C:$C,0)),""))))</f>
        <v>4408051</v>
      </c>
      <c r="H2913" s="8" t="str">
        <f aca="false">IFERROR(INDEX('TRANS'!$C:$C,MATCH($B2913,'TRANS'!$A:$A,0)),IFERROR(INDEX('Catalog'!$B:$B,MATCH($G2913,'Catalog'!$A:$A,0)),$B2913))</f>
        <v>21 S  חבק יד ארוך</v>
      </c>
      <c r="I2913" s="8" t="str">
        <f aca="false">IF($G2913="","Unmatched","Matched")</f>
        <v>Matched</v>
      </c>
    </row>
    <row r="2914" customFormat="false" ht="15" hidden="false" customHeight="false" outlineLevel="0" collapsed="false">
      <c r="A2914" s="8" t="s">
        <v>1033</v>
      </c>
      <c r="B2914" s="8" t="s">
        <v>114</v>
      </c>
      <c r="C2914" s="19" t="n">
        <v>320</v>
      </c>
      <c r="D2914" s="19" t="n">
        <v>11612.6</v>
      </c>
      <c r="E2914" s="19" t="n">
        <v>320</v>
      </c>
      <c r="F2914" s="19" t="n">
        <v>10705</v>
      </c>
      <c r="G2914" s="8" t="n">
        <f aca="false">IFERROR(INDEX('TRANS'!$B:$B,MATCH($B2914,'TRANS'!$A:$A,0)),IFERROR(INDEX('TRANS'!$B:$B,MATCH(TRIM(SUBSTITUTE($B2914,CHAR(160)," ")),'TRANS'!$D:$D,0)),IFERROR(INDEX('Catalog'!$A:$A,MATCH($B2914,'Catalog'!$B:$B,0)),IFERROR(INDEX('Catalog'!$A:$A,MATCH(TRIM(SUBSTITUTE($B2914,CHAR(160)," ")),'Catalog'!$C:$C,0)),""))))</f>
        <v>4413348</v>
      </c>
      <c r="H2914" s="8" t="str">
        <f aca="false">IFERROR(INDEX('TRANS'!$C:$C,MATCH($B2914,'TRANS'!$A:$A,0)),IFERROR(INDEX('Catalog'!$B:$B,MATCH($G2914,'Catalog'!$A:$A,0)),$B2914))</f>
        <v>302 מדרס ג'ל לגבר</v>
      </c>
      <c r="I2914" s="8" t="str">
        <f aca="false">IF($G2914="","Unmatched","Matched")</f>
        <v>Matched</v>
      </c>
    </row>
    <row r="2915" customFormat="false" ht="15" hidden="false" customHeight="false" outlineLevel="0" collapsed="false">
      <c r="A2915" s="8" t="s">
        <v>1033</v>
      </c>
      <c r="B2915" s="8" t="s">
        <v>115</v>
      </c>
      <c r="C2915" s="19" t="n">
        <v>330</v>
      </c>
      <c r="D2915" s="19" t="n">
        <v>11377.74</v>
      </c>
      <c r="E2915" s="19" t="n">
        <v>180</v>
      </c>
      <c r="F2915" s="19" t="n">
        <v>5597.66</v>
      </c>
      <c r="G2915" s="8" t="n">
        <f aca="false">IFERROR(INDEX('TRANS'!$B:$B,MATCH($B2915,'TRANS'!$A:$A,0)),IFERROR(INDEX('TRANS'!$B:$B,MATCH(TRIM(SUBSTITUTE($B2915,CHAR(160)," ")),'TRANS'!$D:$D,0)),IFERROR(INDEX('Catalog'!$A:$A,MATCH($B2915,'Catalog'!$B:$B,0)),IFERROR(INDEX('Catalog'!$A:$A,MATCH(TRIM(SUBSTITUTE($B2915,CHAR(160)," ")),'Catalog'!$C:$C,0)),""))))</f>
        <v>4413372</v>
      </c>
      <c r="H2915" s="8" t="str">
        <f aca="false">IFERROR(INDEX('TRANS'!$C:$C,MATCH($B2915,'TRANS'!$A:$A,0)),IFERROR(INDEX('Catalog'!$B:$B,MATCH($G2915,'Catalog'!$A:$A,0)),$B2915))</f>
        <v>302 W מדרס לאישה</v>
      </c>
      <c r="I2915" s="8" t="str">
        <f aca="false">IF($G2915="","Unmatched","Matched")</f>
        <v>Matched</v>
      </c>
    </row>
    <row r="2916" customFormat="false" ht="15" hidden="false" customHeight="false" outlineLevel="0" collapsed="false">
      <c r="A2916" s="8" t="s">
        <v>1033</v>
      </c>
      <c r="B2916" s="8" t="s">
        <v>120</v>
      </c>
      <c r="C2916" s="19" t="n">
        <v>300</v>
      </c>
      <c r="D2916" s="19" t="n">
        <v>11829.76</v>
      </c>
      <c r="E2916" s="19" t="n">
        <v>160</v>
      </c>
      <c r="F2916" s="19" t="n">
        <v>5602.35</v>
      </c>
      <c r="G2916" s="8" t="n">
        <f aca="false">IFERROR(INDEX('TRANS'!$B:$B,MATCH($B2916,'TRANS'!$A:$A,0)),IFERROR(INDEX('TRANS'!$B:$B,MATCH(TRIM(SUBSTITUTE($B2916,CHAR(160)," ")),'TRANS'!$D:$D,0)),IFERROR(INDEX('Catalog'!$A:$A,MATCH($B2916,'Catalog'!$B:$B,0)),IFERROR(INDEX('Catalog'!$A:$A,MATCH(TRIM(SUBSTITUTE($B2916,CHAR(160)," ")),'Catalog'!$C:$C,0)),""))))</f>
        <v>4416000</v>
      </c>
      <c r="H2916" s="8" t="str">
        <f aca="false">IFERROR(INDEX('TRANS'!$C:$C,MATCH($B2916,'TRANS'!$A:$A,0)),IFERROR(INDEX('Catalog'!$B:$B,MATCH($G2916,'Catalog'!$A:$A,0)),$B2916))</f>
        <v>307 L עקבים לדורבן-זוג כריות</v>
      </c>
      <c r="I2916" s="8" t="str">
        <f aca="false">IF($G2916="","Unmatched","Matched")</f>
        <v>Matched</v>
      </c>
    </row>
    <row r="2917" customFormat="false" ht="15" hidden="false" customHeight="false" outlineLevel="0" collapsed="false">
      <c r="A2917" s="8" t="s">
        <v>1033</v>
      </c>
      <c r="B2917" s="8" t="s">
        <v>121</v>
      </c>
      <c r="C2917" s="19" t="n">
        <v>360</v>
      </c>
      <c r="D2917" s="19" t="n">
        <v>14231.89</v>
      </c>
      <c r="E2917" s="19" t="n">
        <v>140</v>
      </c>
      <c r="F2917" s="19" t="n">
        <v>4902.66</v>
      </c>
      <c r="G2917" s="8" t="n">
        <f aca="false">IFERROR(INDEX('TRANS'!$B:$B,MATCH($B2917,'TRANS'!$A:$A,0)),IFERROR(INDEX('TRANS'!$B:$B,MATCH(TRIM(SUBSTITUTE($B2917,CHAR(160)," ")),'TRANS'!$D:$D,0)),IFERROR(INDEX('Catalog'!$A:$A,MATCH($B2917,'Catalog'!$B:$B,0)),IFERROR(INDEX('Catalog'!$A:$A,MATCH(TRIM(SUBSTITUTE($B2917,CHAR(160)," ")),'Catalog'!$C:$C,0)),""))))</f>
        <v>4416001</v>
      </c>
      <c r="H2917" s="8" t="str">
        <f aca="false">IFERROR(INDEX('TRANS'!$C:$C,MATCH($B2917,'TRANS'!$A:$A,0)),IFERROR(INDEX('Catalog'!$B:$B,MATCH($G2917,'Catalog'!$A:$A,0)),$B2917))</f>
        <v>307 M עקבים לדורבן-זוג כריות</v>
      </c>
      <c r="I2917" s="8" t="str">
        <f aca="false">IF($G2917="","Unmatched","Matched")</f>
        <v>Matched</v>
      </c>
    </row>
    <row r="2918" customFormat="false" ht="15" hidden="false" customHeight="false" outlineLevel="0" collapsed="false">
      <c r="A2918" s="8" t="s">
        <v>1033</v>
      </c>
      <c r="B2918" s="8" t="s">
        <v>647</v>
      </c>
      <c r="C2918" s="19" t="n">
        <v>110</v>
      </c>
      <c r="D2918" s="19" t="n">
        <v>4372.45</v>
      </c>
      <c r="E2918" s="19" t="n">
        <v>60</v>
      </c>
      <c r="F2918" s="19" t="n">
        <v>2128.4</v>
      </c>
      <c r="G2918" s="8" t="n">
        <f aca="false">IFERROR(INDEX('TRANS'!$B:$B,MATCH($B2918,'TRANS'!$A:$A,0)),IFERROR(INDEX('TRANS'!$B:$B,MATCH(TRIM(SUBSTITUTE($B2918,CHAR(160)," ")),'TRANS'!$D:$D,0)),IFERROR(INDEX('Catalog'!$A:$A,MATCH($B2918,'Catalog'!$B:$B,0)),IFERROR(INDEX('Catalog'!$A:$A,MATCH(TRIM(SUBSTITUTE($B2918,CHAR(160)," ")),'Catalog'!$C:$C,0)),""))))</f>
        <v>4416002</v>
      </c>
      <c r="H2918" s="8" t="str">
        <f aca="false">IFERROR(INDEX('TRANS'!$C:$C,MATCH($B2918,'TRANS'!$A:$A,0)),IFERROR(INDEX('Catalog'!$B:$B,MATCH($G2918,'Catalog'!$A:$A,0)),$B2918))</f>
        <v>307 S עקבים לדורבן-זוג כריות</v>
      </c>
      <c r="I2918" s="8" t="str">
        <f aca="false">IF($G2918="","Unmatched","Matched")</f>
        <v>Matched</v>
      </c>
    </row>
    <row r="2919" customFormat="false" ht="15" hidden="false" customHeight="false" outlineLevel="0" collapsed="false">
      <c r="A2919" s="8" t="s">
        <v>1033</v>
      </c>
      <c r="B2919" s="8" t="s">
        <v>124</v>
      </c>
      <c r="C2919" s="19" t="n">
        <v>320</v>
      </c>
      <c r="D2919" s="19" t="n">
        <v>5566.27</v>
      </c>
      <c r="E2919" s="19" t="n">
        <v>150</v>
      </c>
      <c r="F2919" s="19" t="n">
        <v>2313.37</v>
      </c>
      <c r="G2919" s="8" t="n">
        <f aca="false">IFERROR(INDEX('TRANS'!$B:$B,MATCH($B2919,'TRANS'!$A:$A,0)),IFERROR(INDEX('TRANS'!$B:$B,MATCH(TRIM(SUBSTITUTE($B2919,CHAR(160)," ")),'TRANS'!$D:$D,0)),IFERROR(INDEX('Catalog'!$A:$A,MATCH($B2919,'Catalog'!$B:$B,0)),IFERROR(INDEX('Catalog'!$A:$A,MATCH(TRIM(SUBSTITUTE($B2919,CHAR(160)," ")),'Catalog'!$C:$C,0)),""))))</f>
        <v>4413033</v>
      </c>
      <c r="H2919" s="8" t="str">
        <f aca="false">IFERROR(INDEX('TRANS'!$C:$C,MATCH($B2919,'TRANS'!$A:$A,0)),IFERROR(INDEX('Catalog'!$B:$B,MATCH($G2919,'Catalog'!$A:$A,0)),$B2919))</f>
        <v>311'מדב.ג'ל למניעת שפשוף 5 יח</v>
      </c>
      <c r="I2919" s="8" t="str">
        <f aca="false">IF($G2919="","Unmatched","Matched")</f>
        <v>Matched</v>
      </c>
    </row>
    <row r="2920" customFormat="false" ht="15" hidden="false" customHeight="false" outlineLevel="0" collapsed="false">
      <c r="A2920" s="8" t="s">
        <v>1033</v>
      </c>
      <c r="B2920" s="8" t="s">
        <v>133</v>
      </c>
      <c r="C2920" s="19" t="n">
        <v>130</v>
      </c>
      <c r="D2920" s="19" t="n">
        <v>1732.73</v>
      </c>
      <c r="E2920" s="19" t="n">
        <v>40</v>
      </c>
      <c r="F2920" s="19" t="n">
        <v>475.88</v>
      </c>
      <c r="G2920" s="8" t="n">
        <f aca="false">IFERROR(INDEX('TRANS'!$B:$B,MATCH($B2920,'TRANS'!$A:$A,0)),IFERROR(INDEX('TRANS'!$B:$B,MATCH(TRIM(SUBSTITUTE($B2920,CHAR(160)," ")),'TRANS'!$D:$D,0)),IFERROR(INDEX('Catalog'!$A:$A,MATCH($B2920,'Catalog'!$B:$B,0)),IFERROR(INDEX('Catalog'!$A:$A,MATCH(TRIM(SUBSTITUTE($B2920,CHAR(160)," ")),'Catalog'!$C:$C,0)),""))))</f>
        <v>4413048</v>
      </c>
      <c r="H2920" s="8" t="str">
        <f aca="false">IFERROR(INDEX('TRANS'!$C:$C,MATCH($B2920,'TRANS'!$A:$A,0)),IFERROR(INDEX('Catalog'!$B:$B,MATCH($G2920,'Catalog'!$A:$A,0)),$B2920))</f>
        <v>35 L מגן קרסול לבן</v>
      </c>
      <c r="I2920" s="8" t="str">
        <f aca="false">IF($G2920="","Unmatched","Matched")</f>
        <v>Matched</v>
      </c>
    </row>
    <row r="2921" customFormat="false" ht="15" hidden="false" customHeight="false" outlineLevel="0" collapsed="false">
      <c r="A2921" s="8" t="s">
        <v>1033</v>
      </c>
      <c r="B2921" s="8" t="s">
        <v>134</v>
      </c>
      <c r="C2921" s="19" t="n">
        <v>130</v>
      </c>
      <c r="D2921" s="19" t="n">
        <v>1745.61</v>
      </c>
      <c r="E2921" s="19" t="n">
        <v>60</v>
      </c>
      <c r="F2921" s="19" t="n">
        <v>709.19</v>
      </c>
      <c r="G2921" s="8" t="n">
        <f aca="false">IFERROR(INDEX('TRANS'!$B:$B,MATCH($B2921,'TRANS'!$A:$A,0)),IFERROR(INDEX('TRANS'!$B:$B,MATCH(TRIM(SUBSTITUTE($B2921,CHAR(160)," ")),'TRANS'!$D:$D,0)),IFERROR(INDEX('Catalog'!$A:$A,MATCH($B2921,'Catalog'!$B:$B,0)),IFERROR(INDEX('Catalog'!$A:$A,MATCH(TRIM(SUBSTITUTE($B2921,CHAR(160)," ")),'Catalog'!$C:$C,0)),""))))</f>
        <v>4413049</v>
      </c>
      <c r="H2921" s="8" t="str">
        <f aca="false">IFERROR(INDEX('TRANS'!$C:$C,MATCH($B2921,'TRANS'!$A:$A,0)),IFERROR(INDEX('Catalog'!$B:$B,MATCH($G2921,'Catalog'!$A:$A,0)),$B2921))</f>
        <v>35 M מגן קרסול לבן</v>
      </c>
      <c r="I2921" s="8" t="str">
        <f aca="false">IF($G2921="","Unmatched","Matched")</f>
        <v>Matched</v>
      </c>
    </row>
    <row r="2922" customFormat="false" ht="15" hidden="false" customHeight="false" outlineLevel="0" collapsed="false">
      <c r="A2922" s="8" t="s">
        <v>1033</v>
      </c>
      <c r="B2922" s="8" t="s">
        <v>359</v>
      </c>
      <c r="C2922" s="19" t="n">
        <v>120</v>
      </c>
      <c r="D2922" s="19" t="n">
        <v>1625.19</v>
      </c>
      <c r="E2922" s="19" t="n">
        <v>40</v>
      </c>
      <c r="F2922" s="19" t="n">
        <v>475.88</v>
      </c>
      <c r="G2922" s="8" t="n">
        <f aca="false">IFERROR(INDEX('TRANS'!$B:$B,MATCH($B2922,'TRANS'!$A:$A,0)),IFERROR(INDEX('TRANS'!$B:$B,MATCH(TRIM(SUBSTITUTE($B2922,CHAR(160)," ")),'TRANS'!$D:$D,0)),IFERROR(INDEX('Catalog'!$A:$A,MATCH($B2922,'Catalog'!$B:$B,0)),IFERROR(INDEX('Catalog'!$A:$A,MATCH(TRIM(SUBSTITUTE($B2922,CHAR(160)," ")),'Catalog'!$C:$C,0)),""))))</f>
        <v>4413047</v>
      </c>
      <c r="H2922" s="8" t="str">
        <f aca="false">IFERROR(INDEX('TRANS'!$C:$C,MATCH($B2922,'TRANS'!$A:$A,0)),IFERROR(INDEX('Catalog'!$B:$B,MATCH($G2922,'Catalog'!$A:$A,0)),$B2922))</f>
        <v>35 S מגן קרסול לבן</v>
      </c>
      <c r="I2922" s="8" t="str">
        <f aca="false">IF($G2922="","Unmatched","Matched")</f>
        <v>Matched</v>
      </c>
    </row>
    <row r="2923" customFormat="false" ht="15" hidden="false" customHeight="false" outlineLevel="0" collapsed="false">
      <c r="A2923" s="8" t="s">
        <v>1033</v>
      </c>
      <c r="B2923" s="8" t="s">
        <v>360</v>
      </c>
      <c r="C2923" s="19" t="n">
        <v>90</v>
      </c>
      <c r="D2923" s="19" t="n">
        <v>1217</v>
      </c>
      <c r="E2923" s="19" t="n">
        <v>70</v>
      </c>
      <c r="F2923" s="19" t="n">
        <v>840.1</v>
      </c>
      <c r="G2923" s="8" t="n">
        <f aca="false">IFERROR(INDEX('TRANS'!$B:$B,MATCH($B2923,'TRANS'!$A:$A,0)),IFERROR(INDEX('TRANS'!$B:$B,MATCH(TRIM(SUBSTITUTE($B2923,CHAR(160)," ")),'TRANS'!$D:$D,0)),IFERROR(INDEX('Catalog'!$A:$A,MATCH($B2923,'Catalog'!$B:$B,0)),IFERROR(INDEX('Catalog'!$A:$A,MATCH(TRIM(SUBSTITUTE($B2923,CHAR(160)," ")),'Catalog'!$C:$C,0)),""))))</f>
        <v>4413050</v>
      </c>
      <c r="H2923" s="8" t="str">
        <f aca="false">IFERROR(INDEX('TRANS'!$C:$C,MATCH($B2923,'TRANS'!$A:$A,0)),IFERROR(INDEX('Catalog'!$B:$B,MATCH($G2923,'Catalog'!$A:$A,0)),$B2923))</f>
        <v>35 XL מגן קרסול לבן</v>
      </c>
      <c r="I2923" s="8" t="str">
        <f aca="false">IF($G2923="","Unmatched","Matched")</f>
        <v>Matched</v>
      </c>
    </row>
    <row r="2924" customFormat="false" ht="15" hidden="false" customHeight="false" outlineLevel="0" collapsed="false">
      <c r="A2924" s="8" t="s">
        <v>1033</v>
      </c>
      <c r="B2924" s="8" t="s">
        <v>135</v>
      </c>
      <c r="C2924" s="19" t="n">
        <v>330</v>
      </c>
      <c r="D2924" s="19" t="n">
        <v>4752.9</v>
      </c>
      <c r="E2924" s="19" t="n">
        <v>150</v>
      </c>
      <c r="F2924" s="19" t="n">
        <v>1926.31</v>
      </c>
      <c r="G2924" s="8" t="n">
        <f aca="false">IFERROR(INDEX('TRANS'!$B:$B,MATCH($B2924,'TRANS'!$A:$A,0)),IFERROR(INDEX('TRANS'!$B:$B,MATCH(TRIM(SUBSTITUTE($B2924,CHAR(160)," ")),'TRANS'!$D:$D,0)),IFERROR(INDEX('Catalog'!$A:$A,MATCH($B2924,'Catalog'!$B:$B,0)),IFERROR(INDEX('Catalog'!$A:$A,MATCH(TRIM(SUBSTITUTE($B2924,CHAR(160)," ")),'Catalog'!$C:$C,0)),""))))</f>
        <v>4413490</v>
      </c>
      <c r="H2924" s="8" t="str">
        <f aca="false">IFERROR(INDEX('TRANS'!$C:$C,MATCH($B2924,'TRANS'!$A:$A,0)),IFERROR(INDEX('Catalog'!$B:$B,MATCH($G2924,'Catalog'!$A:$A,0)),$B2924))</f>
        <v>35B L מגן קרסול שחור</v>
      </c>
      <c r="I2924" s="8" t="str">
        <f aca="false">IF($G2924="","Unmatched","Matched")</f>
        <v>Matched</v>
      </c>
    </row>
    <row r="2925" customFormat="false" ht="15" hidden="false" customHeight="false" outlineLevel="0" collapsed="false">
      <c r="A2925" s="8" t="s">
        <v>1033</v>
      </c>
      <c r="B2925" s="8" t="s">
        <v>136</v>
      </c>
      <c r="C2925" s="19" t="n">
        <v>410</v>
      </c>
      <c r="D2925" s="19" t="n">
        <v>5869.73</v>
      </c>
      <c r="E2925" s="19" t="n">
        <v>200</v>
      </c>
      <c r="F2925" s="19" t="n">
        <v>2581.67</v>
      </c>
      <c r="G2925" s="8" t="n">
        <f aca="false">IFERROR(INDEX('TRANS'!$B:$B,MATCH($B2925,'TRANS'!$A:$A,0)),IFERROR(INDEX('TRANS'!$B:$B,MATCH(TRIM(SUBSTITUTE($B2925,CHAR(160)," ")),'TRANS'!$D:$D,0)),IFERROR(INDEX('Catalog'!$A:$A,MATCH($B2925,'Catalog'!$B:$B,0)),IFERROR(INDEX('Catalog'!$A:$A,MATCH(TRIM(SUBSTITUTE($B2925,CHAR(160)," ")),'Catalog'!$C:$C,0)),""))))</f>
        <v>4413492</v>
      </c>
      <c r="H2925" s="8" t="str">
        <f aca="false">IFERROR(INDEX('TRANS'!$C:$C,MATCH($B2925,'TRANS'!$A:$A,0)),IFERROR(INDEX('Catalog'!$B:$B,MATCH($G2925,'Catalog'!$A:$A,0)),$B2925))</f>
        <v>35B M מגן קרסול שחור</v>
      </c>
      <c r="I2925" s="8" t="str">
        <f aca="false">IF($G2925="","Unmatched","Matched")</f>
        <v>Matched</v>
      </c>
    </row>
    <row r="2926" customFormat="false" ht="15" hidden="false" customHeight="false" outlineLevel="0" collapsed="false">
      <c r="A2926" s="8" t="s">
        <v>1033</v>
      </c>
      <c r="B2926" s="8" t="s">
        <v>137</v>
      </c>
      <c r="C2926" s="19" t="n">
        <v>290</v>
      </c>
      <c r="D2926" s="19" t="n">
        <v>4175.47</v>
      </c>
      <c r="E2926" s="19" t="n">
        <v>160</v>
      </c>
      <c r="F2926" s="19" t="n">
        <v>2051.92</v>
      </c>
      <c r="G2926" s="8" t="n">
        <f aca="false">IFERROR(INDEX('TRANS'!$B:$B,MATCH($B2926,'TRANS'!$A:$A,0)),IFERROR(INDEX('TRANS'!$B:$B,MATCH(TRIM(SUBSTITUTE($B2926,CHAR(160)," ")),'TRANS'!$D:$D,0)),IFERROR(INDEX('Catalog'!$A:$A,MATCH($B2926,'Catalog'!$B:$B,0)),IFERROR(INDEX('Catalog'!$A:$A,MATCH(TRIM(SUBSTITUTE($B2926,CHAR(160)," ")),'Catalog'!$C:$C,0)),""))))</f>
        <v>4413493</v>
      </c>
      <c r="H2926" s="8" t="str">
        <f aca="false">IFERROR(INDEX('TRANS'!$C:$C,MATCH($B2926,'TRANS'!$A:$A,0)),IFERROR(INDEX('Catalog'!$B:$B,MATCH($G2926,'Catalog'!$A:$A,0)),$B2926))</f>
        <v>35B S מגן קרסול שחור</v>
      </c>
      <c r="I2926" s="8" t="str">
        <f aca="false">IF($G2926="","Unmatched","Matched")</f>
        <v>Matched</v>
      </c>
    </row>
    <row r="2927" customFormat="false" ht="15" hidden="false" customHeight="false" outlineLevel="0" collapsed="false">
      <c r="A2927" s="8" t="s">
        <v>1033</v>
      </c>
      <c r="B2927" s="8" t="s">
        <v>138</v>
      </c>
      <c r="C2927" s="19" t="n">
        <v>260</v>
      </c>
      <c r="D2927" s="19" t="n">
        <v>3761.23</v>
      </c>
      <c r="E2927" s="19" t="n">
        <v>120</v>
      </c>
      <c r="F2927" s="19" t="n">
        <v>1531.11</v>
      </c>
      <c r="G2927" s="8" t="n">
        <f aca="false">IFERROR(INDEX('TRANS'!$B:$B,MATCH($B2927,'TRANS'!$A:$A,0)),IFERROR(INDEX('TRANS'!$B:$B,MATCH(TRIM(SUBSTITUTE($B2927,CHAR(160)," ")),'TRANS'!$D:$D,0)),IFERROR(INDEX('Catalog'!$A:$A,MATCH($B2927,'Catalog'!$B:$B,0)),IFERROR(INDEX('Catalog'!$A:$A,MATCH(TRIM(SUBSTITUTE($B2927,CHAR(160)," ")),'Catalog'!$C:$C,0)),""))))</f>
        <v>4413491</v>
      </c>
      <c r="H2927" s="8" t="str">
        <f aca="false">IFERROR(INDEX('TRANS'!$C:$C,MATCH($B2927,'TRANS'!$A:$A,0)),IFERROR(INDEX('Catalog'!$B:$B,MATCH($G2927,'Catalog'!$A:$A,0)),$B2927))</f>
        <v>35B XL מגן קרסול שחור</v>
      </c>
      <c r="I2927" s="8" t="str">
        <f aca="false">IF($G2927="","Unmatched","Matched")</f>
        <v>Matched</v>
      </c>
    </row>
    <row r="2928" customFormat="false" ht="15" hidden="false" customHeight="false" outlineLevel="0" collapsed="false">
      <c r="A2928" s="8" t="s">
        <v>1033</v>
      </c>
      <c r="B2928" s="8" t="s">
        <v>140</v>
      </c>
      <c r="C2928" s="19" t="n">
        <v>180</v>
      </c>
      <c r="D2928" s="19" t="n">
        <v>2442.63</v>
      </c>
      <c r="E2928" s="19" t="n">
        <v>120</v>
      </c>
      <c r="F2928" s="19" t="n">
        <v>1478.58</v>
      </c>
      <c r="G2928" s="8" t="n">
        <f aca="false">IFERROR(INDEX('TRANS'!$B:$B,MATCH($B2928,'TRANS'!$A:$A,0)),IFERROR(INDEX('TRANS'!$B:$B,MATCH(TRIM(SUBSTITUTE($B2928,CHAR(160)," ")),'TRANS'!$D:$D,0)),IFERROR(INDEX('Catalog'!$A:$A,MATCH($B2928,'Catalog'!$B:$B,0)),IFERROR(INDEX('Catalog'!$A:$A,MATCH(TRIM(SUBSTITUTE($B2928,CHAR(160)," ")),'Catalog'!$C:$C,0)),""))))</f>
        <v>4413053</v>
      </c>
      <c r="H2928" s="8" t="str">
        <f aca="false">IFERROR(INDEX('TRANS'!$C:$C,MATCH($B2928,'TRANS'!$A:$A,0)),IFERROR(INDEX('Catalog'!$B:$B,MATCH($G2928,'Catalog'!$A:$A,0)),$B2928))</f>
        <v>35C L מגן קרסול חום</v>
      </c>
      <c r="I2928" s="8" t="str">
        <f aca="false">IF($G2928="","Unmatched","Matched")</f>
        <v>Matched</v>
      </c>
    </row>
    <row r="2929" customFormat="false" ht="15" hidden="false" customHeight="false" outlineLevel="0" collapsed="false">
      <c r="A2929" s="8" t="s">
        <v>1033</v>
      </c>
      <c r="B2929" s="8" t="s">
        <v>141</v>
      </c>
      <c r="C2929" s="19" t="n">
        <v>300</v>
      </c>
      <c r="D2929" s="19" t="n">
        <v>4166.18</v>
      </c>
      <c r="E2929" s="19" t="n">
        <v>140</v>
      </c>
      <c r="F2929" s="19" t="n">
        <v>1758.23</v>
      </c>
      <c r="G2929" s="8" t="n">
        <f aca="false">IFERROR(INDEX('TRANS'!$B:$B,MATCH($B2929,'TRANS'!$A:$A,0)),IFERROR(INDEX('TRANS'!$B:$B,MATCH(TRIM(SUBSTITUTE($B2929,CHAR(160)," ")),'TRANS'!$D:$D,0)),IFERROR(INDEX('Catalog'!$A:$A,MATCH($B2929,'Catalog'!$B:$B,0)),IFERROR(INDEX('Catalog'!$A:$A,MATCH(TRIM(SUBSTITUTE($B2929,CHAR(160)," ")),'Catalog'!$C:$C,0)),""))))</f>
        <v>4413054</v>
      </c>
      <c r="H2929" s="8" t="str">
        <f aca="false">IFERROR(INDEX('TRANS'!$C:$C,MATCH($B2929,'TRANS'!$A:$A,0)),IFERROR(INDEX('Catalog'!$B:$B,MATCH($G2929,'Catalog'!$A:$A,0)),$B2929))</f>
        <v>35C M מגן קרסול חום</v>
      </c>
      <c r="I2929" s="8" t="str">
        <f aca="false">IF($G2929="","Unmatched","Matched")</f>
        <v>Matched</v>
      </c>
    </row>
    <row r="2930" customFormat="false" ht="15" hidden="false" customHeight="false" outlineLevel="0" collapsed="false">
      <c r="A2930" s="8" t="s">
        <v>1033</v>
      </c>
      <c r="B2930" s="8" t="s">
        <v>142</v>
      </c>
      <c r="C2930" s="19" t="n">
        <v>240</v>
      </c>
      <c r="D2930" s="19" t="n">
        <v>3314.99</v>
      </c>
      <c r="E2930" s="19" t="n">
        <v>140</v>
      </c>
      <c r="F2930" s="19" t="n">
        <v>1733.31</v>
      </c>
      <c r="G2930" s="8" t="n">
        <f aca="false">IFERROR(INDEX('TRANS'!$B:$B,MATCH($B2930,'TRANS'!$A:$A,0)),IFERROR(INDEX('TRANS'!$B:$B,MATCH(TRIM(SUBSTITUTE($B2930,CHAR(160)," ")),'TRANS'!$D:$D,0)),IFERROR(INDEX('Catalog'!$A:$A,MATCH($B2930,'Catalog'!$B:$B,0)),IFERROR(INDEX('Catalog'!$A:$A,MATCH(TRIM(SUBSTITUTE($B2930,CHAR(160)," ")),'Catalog'!$C:$C,0)),""))))</f>
        <v>4413052</v>
      </c>
      <c r="H2930" s="8" t="str">
        <f aca="false">IFERROR(INDEX('TRANS'!$C:$C,MATCH($B2930,'TRANS'!$A:$A,0)),IFERROR(INDEX('Catalog'!$B:$B,MATCH($G2930,'Catalog'!$A:$A,0)),$B2930))</f>
        <v>35C S מגן קרסול חום</v>
      </c>
      <c r="I2930" s="8" t="str">
        <f aca="false">IF($G2930="","Unmatched","Matched")</f>
        <v>Matched</v>
      </c>
    </row>
    <row r="2931" customFormat="false" ht="15" hidden="false" customHeight="false" outlineLevel="0" collapsed="false">
      <c r="A2931" s="8" t="s">
        <v>1033</v>
      </c>
      <c r="B2931" s="8" t="s">
        <v>363</v>
      </c>
      <c r="C2931" s="19" t="n">
        <v>110</v>
      </c>
      <c r="D2931" s="19" t="n">
        <v>1506.19</v>
      </c>
      <c r="E2931" s="19" t="n">
        <v>60</v>
      </c>
      <c r="F2931" s="19" t="n">
        <v>758.84</v>
      </c>
      <c r="G2931" s="8" t="n">
        <f aca="false">IFERROR(INDEX('TRANS'!$B:$B,MATCH($B2931,'TRANS'!$A:$A,0)),IFERROR(INDEX('TRANS'!$B:$B,MATCH(TRIM(SUBSTITUTE($B2931,CHAR(160)," ")),'TRANS'!$D:$D,0)),IFERROR(INDEX('Catalog'!$A:$A,MATCH($B2931,'Catalog'!$B:$B,0)),IFERROR(INDEX('Catalog'!$A:$A,MATCH(TRIM(SUBSTITUTE($B2931,CHAR(160)," ")),'Catalog'!$C:$C,0)),""))))</f>
        <v>4413055</v>
      </c>
      <c r="H2931" s="8" t="str">
        <f aca="false">IFERROR(INDEX('TRANS'!$C:$C,MATCH($B2931,'TRANS'!$A:$A,0)),IFERROR(INDEX('Catalog'!$B:$B,MATCH($G2931,'Catalog'!$A:$A,0)),$B2931))</f>
        <v>35C XL מגן קרסול חום</v>
      </c>
      <c r="I2931" s="8" t="str">
        <f aca="false">IF($G2931="","Unmatched","Matched")</f>
        <v>Matched</v>
      </c>
    </row>
    <row r="2932" customFormat="false" ht="15" hidden="false" customHeight="false" outlineLevel="0" collapsed="false">
      <c r="A2932" s="8" t="s">
        <v>1033</v>
      </c>
      <c r="B2932" s="8" t="s">
        <v>150</v>
      </c>
      <c r="C2932" s="19" t="n">
        <v>160</v>
      </c>
      <c r="D2932" s="19" t="n">
        <v>3432.56</v>
      </c>
      <c r="E2932" s="19" t="n">
        <v>30</v>
      </c>
      <c r="F2932" s="19" t="n">
        <v>580.64</v>
      </c>
      <c r="G2932" s="8" t="n">
        <f aca="false">IFERROR(INDEX('TRANS'!$B:$B,MATCH($B2932,'TRANS'!$A:$A,0)),IFERROR(INDEX('TRANS'!$B:$B,MATCH(TRIM(SUBSTITUTE($B2932,CHAR(160)," ")),'TRANS'!$D:$D,0)),IFERROR(INDEX('Catalog'!$A:$A,MATCH($B2932,'Catalog'!$B:$B,0)),IFERROR(INDEX('Catalog'!$A:$A,MATCH(TRIM(SUBSTITUTE($B2932,CHAR(160)," ")),'Catalog'!$C:$C,0)),""))))</f>
        <v>4411001</v>
      </c>
      <c r="H2932" s="8" t="str">
        <f aca="false">IFERROR(INDEX('TRANS'!$C:$C,MATCH($B2932,'TRANS'!$A:$A,0)),IFERROR(INDEX('Catalog'!$B:$B,MATCH($G2932,'Catalog'!$A:$A,0)),$B2932))</f>
        <v>3623 כרית ליישור אצבע פטיש</v>
      </c>
      <c r="I2932" s="8" t="str">
        <f aca="false">IF($G2932="","Unmatched","Matched")</f>
        <v>Matched</v>
      </c>
    </row>
    <row r="2933" customFormat="false" ht="15" hidden="false" customHeight="false" outlineLevel="0" collapsed="false">
      <c r="A2933" s="8" t="s">
        <v>1033</v>
      </c>
      <c r="B2933" s="8" t="s">
        <v>152</v>
      </c>
      <c r="C2933" s="19" t="n">
        <v>500</v>
      </c>
      <c r="D2933" s="19" t="n">
        <v>4125.12</v>
      </c>
      <c r="E2933" s="19" t="n">
        <v>240</v>
      </c>
      <c r="F2933" s="19" t="n">
        <v>1803.09</v>
      </c>
      <c r="G2933" s="8" t="n">
        <f aca="false">IFERROR(INDEX('TRANS'!$B:$B,MATCH($B2933,'TRANS'!$A:$A,0)),IFERROR(INDEX('TRANS'!$B:$B,MATCH(TRIM(SUBSTITUTE($B2933,CHAR(160)," ")),'TRANS'!$D:$D,0)),IFERROR(INDEX('Catalog'!$A:$A,MATCH($B2933,'Catalog'!$B:$B,0)),IFERROR(INDEX('Catalog'!$A:$A,MATCH(TRIM(SUBSTITUTE($B2933,CHAR(160)," ")),'Catalog'!$C:$C,0)),""))))</f>
        <v>4413059</v>
      </c>
      <c r="H2933" s="8" t="str">
        <f aca="false">IFERROR(INDEX('TRANS'!$C:$C,MATCH($B2933,'TRANS'!$A:$A,0)),IFERROR(INDEX('Catalog'!$B:$B,MATCH($G2933,'Catalog'!$A:$A,0)),$B2933))</f>
        <v>364S Lמפר.אצבע סיליק. ליבל.זוג</v>
      </c>
      <c r="I2933" s="8" t="str">
        <f aca="false">IF($G2933="","Unmatched","Matched")</f>
        <v>Matched</v>
      </c>
    </row>
    <row r="2934" customFormat="false" ht="15" hidden="false" customHeight="false" outlineLevel="0" collapsed="false">
      <c r="A2934" s="8" t="s">
        <v>1033</v>
      </c>
      <c r="B2934" s="8" t="s">
        <v>153</v>
      </c>
      <c r="C2934" s="19" t="n">
        <v>610</v>
      </c>
      <c r="D2934" s="19" t="n">
        <v>4367.02</v>
      </c>
      <c r="E2934" s="19" t="n">
        <v>260</v>
      </c>
      <c r="F2934" s="19" t="n">
        <v>1663.86</v>
      </c>
      <c r="G2934" s="8" t="n">
        <f aca="false">IFERROR(INDEX('TRANS'!$B:$B,MATCH($B2934,'TRANS'!$A:$A,0)),IFERROR(INDEX('TRANS'!$B:$B,MATCH(TRIM(SUBSTITUTE($B2934,CHAR(160)," ")),'TRANS'!$D:$D,0)),IFERROR(INDEX('Catalog'!$A:$A,MATCH($B2934,'Catalog'!$B:$B,0)),IFERROR(INDEX('Catalog'!$A:$A,MATCH(TRIM(SUBSTITUTE($B2934,CHAR(160)," ")),'Catalog'!$C:$C,0)),""))))</f>
        <v>4413060</v>
      </c>
      <c r="H2934" s="8" t="str">
        <f aca="false">IFERROR(INDEX('TRANS'!$C:$C,MATCH($B2934,'TRANS'!$A:$A,0)),IFERROR(INDEX('Catalog'!$B:$B,MATCH($G2934,'Catalog'!$A:$A,0)),$B2934))</f>
        <v>364 XLמפריד אצבע סיליקון ליבלת</v>
      </c>
      <c r="I2934" s="8" t="str">
        <f aca="false">IF($G2934="","Unmatched","Matched")</f>
        <v>Matched</v>
      </c>
    </row>
    <row r="2935" customFormat="false" ht="15" hidden="false" customHeight="false" outlineLevel="0" collapsed="false">
      <c r="A2935" s="8" t="s">
        <v>1033</v>
      </c>
      <c r="B2935" s="8" t="s">
        <v>155</v>
      </c>
      <c r="C2935" s="19" t="n">
        <v>620</v>
      </c>
      <c r="D2935" s="19" t="n">
        <v>5381.25</v>
      </c>
      <c r="E2935" s="19" t="n">
        <v>270</v>
      </c>
      <c r="F2935" s="19" t="n">
        <v>2115.34</v>
      </c>
      <c r="G2935" s="8" t="n">
        <f aca="false">IFERROR(INDEX('TRANS'!$B:$B,MATCH($B2935,'TRANS'!$A:$A,0)),IFERROR(INDEX('TRANS'!$B:$B,MATCH(TRIM(SUBSTITUTE($B2935,CHAR(160)," ")),'TRANS'!$D:$D,0)),IFERROR(INDEX('Catalog'!$A:$A,MATCH($B2935,'Catalog'!$B:$B,0)),IFERROR(INDEX('Catalog'!$A:$A,MATCH(TRIM(SUBSTITUTE($B2935,CHAR(160)," ")),'Catalog'!$C:$C,0)),""))))</f>
        <v>4409000</v>
      </c>
      <c r="H2935" s="8" t="str">
        <f aca="false">IFERROR(INDEX('TRANS'!$C:$C,MATCH($B2935,'TRANS'!$A:$A,0)),IFERROR(INDEX('Catalog'!$B:$B,MATCH($G2935,'Catalog'!$A:$A,0)),$B2935))</f>
        <v>365 S-Lטבעת אלסטית מסיליקון</v>
      </c>
      <c r="I2935" s="8" t="str">
        <f aca="false">IF($G2935="","Unmatched","Matched")</f>
        <v>Matched</v>
      </c>
    </row>
    <row r="2936" customFormat="false" ht="15" hidden="false" customHeight="false" outlineLevel="0" collapsed="false">
      <c r="A2936" s="8" t="s">
        <v>1033</v>
      </c>
      <c r="B2936" s="8" t="s">
        <v>478</v>
      </c>
      <c r="C2936" s="19" t="n">
        <v>240</v>
      </c>
      <c r="D2936" s="19" t="n">
        <v>1921.02</v>
      </c>
      <c r="E2936" s="19" t="n">
        <v>90</v>
      </c>
      <c r="F2936" s="19" t="n">
        <v>648.84</v>
      </c>
      <c r="G2936" s="8" t="n">
        <f aca="false">IFERROR(INDEX('TRANS'!$B:$B,MATCH($B2936,'TRANS'!$A:$A,0)),IFERROR(INDEX('TRANS'!$B:$B,MATCH(TRIM(SUBSTITUTE($B2936,CHAR(160)," ")),'TRANS'!$D:$D,0)),IFERROR(INDEX('Catalog'!$A:$A,MATCH($B2936,'Catalog'!$B:$B,0)),IFERROR(INDEX('Catalog'!$A:$A,MATCH(TRIM(SUBSTITUTE($B2936,CHAR(160)," ")),'Catalog'!$C:$C,0)),""))))</f>
        <v>4409001</v>
      </c>
      <c r="H2936" s="8" t="str">
        <f aca="false">IFERROR(INDEX('TRANS'!$C:$C,MATCH($B2936,'TRANS'!$A:$A,0)),IFERROR(INDEX('Catalog'!$B:$B,MATCH($G2936,'Catalog'!$A:$A,0)),$B2936))</f>
        <v>365  X-Lטבעת אלסטית מסיליקון</v>
      </c>
      <c r="I2936" s="8" t="str">
        <f aca="false">IF($G2936="","Unmatched","Matched")</f>
        <v>Matched</v>
      </c>
    </row>
    <row r="2937" customFormat="false" ht="15" hidden="false" customHeight="false" outlineLevel="0" collapsed="false">
      <c r="A2937" s="8" t="s">
        <v>1033</v>
      </c>
      <c r="B2937" s="8" t="s">
        <v>156</v>
      </c>
      <c r="C2937" s="19" t="n">
        <v>460</v>
      </c>
      <c r="D2937" s="19" t="n">
        <v>6713.26</v>
      </c>
      <c r="E2937" s="19" t="n">
        <v>280</v>
      </c>
      <c r="F2937" s="19" t="n">
        <v>3690.6</v>
      </c>
      <c r="G2937" s="8" t="n">
        <f aca="false">IFERROR(INDEX('TRANS'!$B:$B,MATCH($B2937,'TRANS'!$A:$A,0)),IFERROR(INDEX('TRANS'!$B:$B,MATCH(TRIM(SUBSTITUTE($B2937,CHAR(160)," ")),'TRANS'!$D:$D,0)),IFERROR(INDEX('Catalog'!$A:$A,MATCH($B2937,'Catalog'!$B:$B,0)),IFERROR(INDEX('Catalog'!$A:$A,MATCH(TRIM(SUBSTITUTE($B2937,CHAR(160)," ")),'Catalog'!$C:$C,0)),""))))</f>
        <v>4421000</v>
      </c>
      <c r="H2937" s="8" t="str">
        <f aca="false">IFERROR(INDEX('TRANS'!$C:$C,MATCH($B2937,'TRANS'!$A:$A,0)),IFERROR(INDEX('Catalog'!$B:$B,MATCH($G2937,'Catalog'!$A:$A,0)),$B2937))</f>
        <v>3655 שרוול מסיליקון לאצבע</v>
      </c>
      <c r="I2937" s="8" t="str">
        <f aca="false">IF($G2937="","Unmatched","Matched")</f>
        <v>Matched</v>
      </c>
    </row>
    <row r="2938" customFormat="false" ht="15" hidden="false" customHeight="false" outlineLevel="0" collapsed="false">
      <c r="A2938" s="8" t="s">
        <v>1033</v>
      </c>
      <c r="B2938" s="8" t="s">
        <v>159</v>
      </c>
      <c r="C2938" s="19" t="n">
        <v>300</v>
      </c>
      <c r="D2938" s="19" t="n">
        <v>3400.92</v>
      </c>
      <c r="E2938" s="19" t="n">
        <v>100</v>
      </c>
      <c r="F2938" s="19" t="n">
        <v>1023.71</v>
      </c>
      <c r="G2938" s="8" t="n">
        <f aca="false">IFERROR(INDEX('TRANS'!$B:$B,MATCH($B2938,'TRANS'!$A:$A,0)),IFERROR(INDEX('TRANS'!$B:$B,MATCH(TRIM(SUBSTITUTE($B2938,CHAR(160)," ")),'TRANS'!$D:$D,0)),IFERROR(INDEX('Catalog'!$A:$A,MATCH($B2938,'Catalog'!$B:$B,0)),IFERROR(INDEX('Catalog'!$A:$A,MATCH(TRIM(SUBSTITUTE($B2938,CHAR(160)," ")),'Catalog'!$C:$C,0)),""))))</f>
        <v>4413063</v>
      </c>
      <c r="H2938" s="8" t="str">
        <f aca="false">IFERROR(INDEX('TRANS'!$C:$C,MATCH($B2938,'TRANS'!$A:$A,0)),IFERROR(INDEX('Catalog'!$B:$B,MATCH($G2938,'Catalog'!$A:$A,0)),$B2938))</f>
        <v>366S-'מדבק.לשחרור לחץ מיבלת2יח</v>
      </c>
      <c r="I2938" s="8" t="str">
        <f aca="false">IF($G2938="","Unmatched","Matched")</f>
        <v>Matched</v>
      </c>
    </row>
    <row r="2939" customFormat="false" ht="15" hidden="false" customHeight="false" outlineLevel="0" collapsed="false">
      <c r="A2939" s="8" t="s">
        <v>1033</v>
      </c>
      <c r="B2939" s="8" t="s">
        <v>746</v>
      </c>
      <c r="C2939" s="19" t="n">
        <v>280</v>
      </c>
      <c r="D2939" s="19" t="n">
        <v>4506.2</v>
      </c>
      <c r="E2939" s="19" t="n">
        <v>100</v>
      </c>
      <c r="F2939" s="19" t="n">
        <v>1403.27</v>
      </c>
      <c r="G2939" s="8" t="n">
        <f aca="false">IFERROR(INDEX('TRANS'!$B:$B,MATCH($B2939,'TRANS'!$A:$A,0)),IFERROR(INDEX('TRANS'!$B:$B,MATCH(TRIM(SUBSTITUTE($B2939,CHAR(160)," ")),'TRANS'!$D:$D,0)),IFERROR(INDEX('Catalog'!$A:$A,MATCH($B2939,'Catalog'!$B:$B,0)),IFERROR(INDEX('Catalog'!$A:$A,MATCH(TRIM(SUBSTITUTE($B2939,CHAR(160)," ")),'Catalog'!$C:$C,0)),""))))</f>
        <v>4413066</v>
      </c>
      <c r="H2939" s="8" t="str">
        <f aca="false">IFERROR(INDEX('TRANS'!$C:$C,MATCH($B2939,'TRANS'!$A:$A,0)),IFERROR(INDEX('Catalog'!$B:$B,MATCH($G2939,'Catalog'!$A:$A,0)),$B2939))</f>
        <v>3677S-מד.לשחרור לחץ א.הבוניון</v>
      </c>
      <c r="I2939" s="8" t="str">
        <f aca="false">IF($G2939="","Unmatched","Matched")</f>
        <v>Matched</v>
      </c>
    </row>
    <row r="2940" customFormat="false" ht="15" hidden="false" customHeight="false" outlineLevel="0" collapsed="false">
      <c r="A2940" s="8" t="s">
        <v>1033</v>
      </c>
      <c r="B2940" s="8" t="s">
        <v>163</v>
      </c>
      <c r="C2940" s="19" t="n">
        <v>220</v>
      </c>
      <c r="D2940" s="19" t="n">
        <v>2677.59</v>
      </c>
      <c r="E2940" s="19" t="n">
        <v>130</v>
      </c>
      <c r="F2940" s="19" t="n">
        <v>1408.78</v>
      </c>
      <c r="G2940" s="8" t="n">
        <f aca="false">IFERROR(INDEX('TRANS'!$B:$B,MATCH($B2940,'TRANS'!$A:$A,0)),IFERROR(INDEX('TRANS'!$B:$B,MATCH(TRIM(SUBSTITUTE($B2940,CHAR(160)," ")),'TRANS'!$D:$D,0)),IFERROR(INDEX('Catalog'!$A:$A,MATCH($B2940,'Catalog'!$B:$B,0)),IFERROR(INDEX('Catalog'!$A:$A,MATCH(TRIM(SUBSTITUTE($B2940,CHAR(160)," ")),'Catalog'!$C:$C,0)),""))))</f>
        <v>4401000</v>
      </c>
      <c r="H2940" s="8" t="str">
        <f aca="false">IFERROR(INDEX('TRANS'!$C:$C,MATCH($B2940,'TRANS'!$A:$A,0)),IFERROR(INDEX('Catalog'!$B:$B,MATCH($G2940,'Catalog'!$A:$A,0)),$B2940))</f>
        <v>369  S-L אצבעון מסיליקון יחידה</v>
      </c>
      <c r="I2940" s="8" t="str">
        <f aca="false">IF($G2940="","Unmatched","Matched")</f>
        <v>Matched</v>
      </c>
    </row>
    <row r="2941" customFormat="false" ht="15" hidden="false" customHeight="false" outlineLevel="0" collapsed="false">
      <c r="A2941" s="8" t="s">
        <v>1033</v>
      </c>
      <c r="B2941" s="8" t="s">
        <v>164</v>
      </c>
      <c r="C2941" s="19" t="n">
        <v>410</v>
      </c>
      <c r="D2941" s="19" t="n">
        <v>5839.77</v>
      </c>
      <c r="E2941" s="19" t="n">
        <v>240</v>
      </c>
      <c r="F2941" s="19" t="n">
        <v>3061.05</v>
      </c>
      <c r="G2941" s="8" t="n">
        <f aca="false">IFERROR(INDEX('TRANS'!$B:$B,MATCH($B2941,'TRANS'!$A:$A,0)),IFERROR(INDEX('TRANS'!$B:$B,MATCH(TRIM(SUBSTITUTE($B2941,CHAR(160)," ")),'TRANS'!$D:$D,0)),IFERROR(INDEX('Catalog'!$A:$A,MATCH($B2941,'Catalog'!$B:$B,0)),IFERROR(INDEX('Catalog'!$A:$A,MATCH(TRIM(SUBSTITUTE($B2941,CHAR(160)," ")),'Catalog'!$C:$C,0)),""))))</f>
        <v>4401001</v>
      </c>
      <c r="H2941" s="8" t="str">
        <f aca="false">IFERROR(INDEX('TRANS'!$C:$C,MATCH($B2941,'TRANS'!$A:$A,0)),IFERROR(INDEX('Catalog'!$B:$B,MATCH($G2941,'Catalog'!$A:$A,0)),$B2941))</f>
        <v>369   XL אצבעון מסיליקון יחידה</v>
      </c>
      <c r="I2941" s="8" t="str">
        <f aca="false">IF($G2941="","Unmatched","Matched")</f>
        <v>Matched</v>
      </c>
    </row>
    <row r="2942" customFormat="false" ht="15" hidden="false" customHeight="false" outlineLevel="0" collapsed="false">
      <c r="A2942" s="8" t="s">
        <v>1033</v>
      </c>
      <c r="B2942" s="8" t="s">
        <v>165</v>
      </c>
      <c r="C2942" s="19" t="n">
        <v>1400</v>
      </c>
      <c r="D2942" s="19" t="n">
        <v>9220.98</v>
      </c>
      <c r="E2942" s="19" t="n">
        <v>900</v>
      </c>
      <c r="F2942" s="19" t="n">
        <v>5311.54</v>
      </c>
      <c r="G2942" s="8" t="n">
        <f aca="false">IFERROR(INDEX('TRANS'!$B:$B,MATCH($B2942,'TRANS'!$A:$A,0)),IFERROR(INDEX('TRANS'!$B:$B,MATCH(TRIM(SUBSTITUTE($B2942,CHAR(160)," ")),'TRANS'!$D:$D,0)),IFERROR(INDEX('Catalog'!$A:$A,MATCH($B2942,'Catalog'!$B:$B,0)),IFERROR(INDEX('Catalog'!$A:$A,MATCH(TRIM(SUBSTITUTE($B2942,CHAR(160)," ")),'Catalog'!$C:$C,0)),""))))</f>
        <v>4420000</v>
      </c>
      <c r="H2942" s="8" t="str">
        <f aca="false">IFERROR(INDEX('TRANS'!$C:$C,MATCH($B2942,'TRANS'!$A:$A,0)),IFERROR(INDEX('Catalog'!$B:$B,MATCH($G2942,'Catalog'!$A:$A,0)),$B2942))</f>
        <v>370  רפידת נוחות-זוג</v>
      </c>
      <c r="I2942" s="8" t="str">
        <f aca="false">IF($G2942="","Unmatched","Matched")</f>
        <v>Matched</v>
      </c>
    </row>
    <row r="2943" customFormat="false" ht="15" hidden="false" customHeight="false" outlineLevel="0" collapsed="false">
      <c r="A2943" s="8" t="s">
        <v>1033</v>
      </c>
      <c r="B2943" s="8" t="s">
        <v>167</v>
      </c>
      <c r="C2943" s="19" t="n">
        <v>700</v>
      </c>
      <c r="D2943" s="19" t="n">
        <v>4321.16</v>
      </c>
      <c r="E2943" s="19" t="n">
        <v>300</v>
      </c>
      <c r="F2943" s="19" t="n">
        <v>1708.98</v>
      </c>
      <c r="G2943" s="8" t="n">
        <f aca="false">IFERROR(INDEX('TRANS'!$B:$B,MATCH($B2943,'TRANS'!$A:$A,0)),IFERROR(INDEX('TRANS'!$B:$B,MATCH(TRIM(SUBSTITUTE($B2943,CHAR(160)," ")),'TRANS'!$D:$D,0)),IFERROR(INDEX('Catalog'!$A:$A,MATCH($B2943,'Catalog'!$B:$B,0)),IFERROR(INDEX('Catalog'!$A:$A,MATCH(TRIM(SUBSTITUTE($B2943,CHAR(160)," ")),'Catalog'!$C:$C,0)),""))))</f>
        <v>4420001</v>
      </c>
      <c r="H2943" s="8" t="str">
        <f aca="false">IFERROR(INDEX('TRANS'!$C:$C,MATCH($B2943,'TRANS'!$A:$A,0)),IFERROR(INDEX('Catalog'!$B:$B,MATCH($G2943,'Catalog'!$A:$A,0)),$B2943))</f>
        <v>371 רפידת מגבת כותנה-זוג</v>
      </c>
      <c r="I2943" s="8" t="str">
        <f aca="false">IF($G2943="","Unmatched","Matched")</f>
        <v>Matched</v>
      </c>
    </row>
    <row r="2944" customFormat="false" ht="15" hidden="false" customHeight="false" outlineLevel="0" collapsed="false">
      <c r="A2944" s="8" t="s">
        <v>1033</v>
      </c>
      <c r="B2944" s="8" t="s">
        <v>168</v>
      </c>
      <c r="C2944" s="19" t="n">
        <v>1100</v>
      </c>
      <c r="D2944" s="19" t="n">
        <v>9165.26</v>
      </c>
      <c r="E2944" s="19" t="n">
        <v>500</v>
      </c>
      <c r="F2944" s="19" t="n">
        <v>3809.61</v>
      </c>
      <c r="G2944" s="8" t="n">
        <f aca="false">IFERROR(INDEX('TRANS'!$B:$B,MATCH($B2944,'TRANS'!$A:$A,0)),IFERROR(INDEX('TRANS'!$B:$B,MATCH(TRIM(SUBSTITUTE($B2944,CHAR(160)," ")),'TRANS'!$D:$D,0)),IFERROR(INDEX('Catalog'!$A:$A,MATCH($B2944,'Catalog'!$B:$B,0)),IFERROR(INDEX('Catalog'!$A:$A,MATCH(TRIM(SUBSTITUTE($B2944,CHAR(160)," ")),'Catalog'!$C:$C,0)),""))))</f>
        <v>4420002</v>
      </c>
      <c r="H2944" s="8" t="str">
        <f aca="false">IFERROR(INDEX('TRANS'!$C:$C,MATCH($B2944,'TRANS'!$A:$A,0)),IFERROR(INDEX('Catalog'!$B:$B,MATCH($G2944,'Catalog'!$A:$A,0)),$B2944))</f>
        <v>372 רפידת אנטי ריח -זוג</v>
      </c>
      <c r="I2944" s="8" t="str">
        <f aca="false">IF($G2944="","Unmatched","Matched")</f>
        <v>Matched</v>
      </c>
    </row>
    <row r="2945" customFormat="false" ht="15" hidden="false" customHeight="false" outlineLevel="0" collapsed="false">
      <c r="A2945" s="8" t="s">
        <v>1033</v>
      </c>
      <c r="B2945" s="8" t="s">
        <v>169</v>
      </c>
      <c r="C2945" s="19" t="n">
        <v>650</v>
      </c>
      <c r="D2945" s="19" t="n">
        <v>5869.12</v>
      </c>
      <c r="E2945" s="19" t="n">
        <v>500</v>
      </c>
      <c r="F2945" s="19" t="n">
        <v>4163.99</v>
      </c>
      <c r="G2945" s="8" t="n">
        <f aca="false">IFERROR(INDEX('TRANS'!$B:$B,MATCH($B2945,'TRANS'!$A:$A,0)),IFERROR(INDEX('TRANS'!$B:$B,MATCH(TRIM(SUBSTITUTE($B2945,CHAR(160)," ")),'TRANS'!$D:$D,0)),IFERROR(INDEX('Catalog'!$A:$A,MATCH($B2945,'Catalog'!$B:$B,0)),IFERROR(INDEX('Catalog'!$A:$A,MATCH(TRIM(SUBSTITUTE($B2945,CHAR(160)," ")),'Catalog'!$C:$C,0)),""))))</f>
        <v>4420003</v>
      </c>
      <c r="H2945" s="8" t="str">
        <f aca="false">IFERROR(INDEX('TRANS'!$C:$C,MATCH($B2945,'TRANS'!$A:$A,0)),IFERROR(INDEX('Catalog'!$B:$B,MATCH($G2945,'Catalog'!$A:$A,0)),$B2945))</f>
        <v>374 רפידת בולמת זעזועים -זוג</v>
      </c>
      <c r="I2945" s="8" t="str">
        <f aca="false">IF($G2945="","Unmatched","Matched")</f>
        <v>Matched</v>
      </c>
    </row>
    <row r="2946" customFormat="false" ht="15" hidden="false" customHeight="false" outlineLevel="0" collapsed="false">
      <c r="A2946" s="8" t="s">
        <v>1033</v>
      </c>
      <c r="B2946" s="8" t="s">
        <v>170</v>
      </c>
      <c r="C2946" s="19" t="n">
        <v>310</v>
      </c>
      <c r="D2946" s="19" t="n">
        <v>5975.18</v>
      </c>
      <c r="E2946" s="19" t="n">
        <v>140</v>
      </c>
      <c r="F2946" s="19" t="n">
        <v>2441.63</v>
      </c>
      <c r="G2946" s="8" t="str">
        <f aca="false">IFERROR(INDEX('TRANS'!$B:$B,MATCH($B2946,'TRANS'!$A:$A,0)),IFERROR(INDEX('TRANS'!$B:$B,MATCH(TRIM(SUBSTITUTE($B2946,CHAR(160)," ")),'TRANS'!$D:$D,0)),IFERROR(INDEX('Catalog'!$A:$A,MATCH($B2946,'Catalog'!$B:$B,0)),IFERROR(INDEX('Catalog'!$A:$A,MATCH(TRIM(SUBSTITUTE($B2946,CHAR(160)," ")),'Catalog'!$C:$C,0)),""))))</f>
        <v/>
      </c>
      <c r="H2946" s="8" t="str">
        <f aca="false">IFERROR(INDEX('TRANS'!$C:$C,MATCH($B2946,'TRANS'!$A:$A,0)),IFERROR(INDEX('Catalog'!$B:$B,MATCH($G2946,'Catalog'!$A:$A,0)),$B2946))</f>
        <v>376-35-37</v>
      </c>
      <c r="I2946" s="8" t="str">
        <f aca="false">IF($G2946="","Unmatched","Matched")</f>
        <v>Unmatched</v>
      </c>
    </row>
    <row r="2947" customFormat="false" ht="15" hidden="false" customHeight="false" outlineLevel="0" collapsed="false">
      <c r="A2947" s="8" t="s">
        <v>1033</v>
      </c>
      <c r="B2947" s="8" t="s">
        <v>171</v>
      </c>
      <c r="C2947" s="19" t="n">
        <v>470</v>
      </c>
      <c r="D2947" s="19" t="n">
        <v>9031.95</v>
      </c>
      <c r="E2947" s="19" t="n">
        <v>320</v>
      </c>
      <c r="F2947" s="19" t="n">
        <v>5572.95</v>
      </c>
      <c r="G2947" s="8" t="str">
        <f aca="false">IFERROR(INDEX('TRANS'!$B:$B,MATCH($B2947,'TRANS'!$A:$A,0)),IFERROR(INDEX('TRANS'!$B:$B,MATCH(TRIM(SUBSTITUTE($B2947,CHAR(160)," ")),'TRANS'!$D:$D,0)),IFERROR(INDEX('Catalog'!$A:$A,MATCH($B2947,'Catalog'!$B:$B,0)),IFERROR(INDEX('Catalog'!$A:$A,MATCH(TRIM(SUBSTITUTE($B2947,CHAR(160)," ")),'Catalog'!$C:$C,0)),""))))</f>
        <v/>
      </c>
      <c r="H2947" s="8" t="str">
        <f aca="false">IFERROR(INDEX('TRANS'!$C:$C,MATCH($B2947,'TRANS'!$A:$A,0)),IFERROR(INDEX('Catalog'!$B:$B,MATCH($G2947,'Catalog'!$A:$A,0)),$B2947))</f>
        <v>376-38-40</v>
      </c>
      <c r="I2947" s="8" t="str">
        <f aca="false">IF($G2947="","Unmatched","Matched")</f>
        <v>Unmatched</v>
      </c>
    </row>
    <row r="2948" customFormat="false" ht="15" hidden="false" customHeight="false" outlineLevel="0" collapsed="false">
      <c r="A2948" s="8" t="s">
        <v>1033</v>
      </c>
      <c r="B2948" s="8" t="s">
        <v>172</v>
      </c>
      <c r="C2948" s="19" t="n">
        <v>410</v>
      </c>
      <c r="D2948" s="19" t="n">
        <v>7871.82</v>
      </c>
      <c r="E2948" s="19" t="n">
        <v>310</v>
      </c>
      <c r="F2948" s="19" t="n">
        <v>5390.45</v>
      </c>
      <c r="G2948" s="8" t="str">
        <f aca="false">IFERROR(INDEX('TRANS'!$B:$B,MATCH($B2948,'TRANS'!$A:$A,0)),IFERROR(INDEX('TRANS'!$B:$B,MATCH(TRIM(SUBSTITUTE($B2948,CHAR(160)," ")),'TRANS'!$D:$D,0)),IFERROR(INDEX('Catalog'!$A:$A,MATCH($B2948,'Catalog'!$B:$B,0)),IFERROR(INDEX('Catalog'!$A:$A,MATCH(TRIM(SUBSTITUTE($B2948,CHAR(160)," ")),'Catalog'!$C:$C,0)),""))))</f>
        <v/>
      </c>
      <c r="H2948" s="8" t="str">
        <f aca="false">IFERROR(INDEX('TRANS'!$C:$C,MATCH($B2948,'TRANS'!$A:$A,0)),IFERROR(INDEX('Catalog'!$B:$B,MATCH($G2948,'Catalog'!$A:$A,0)),$B2948))</f>
        <v>376-41-43</v>
      </c>
      <c r="I2948" s="8" t="str">
        <f aca="false">IF($G2948="","Unmatched","Matched")</f>
        <v>Unmatched</v>
      </c>
    </row>
    <row r="2949" customFormat="false" ht="15" hidden="false" customHeight="false" outlineLevel="0" collapsed="false">
      <c r="A2949" s="8" t="s">
        <v>1033</v>
      </c>
      <c r="B2949" s="8" t="s">
        <v>173</v>
      </c>
      <c r="C2949" s="19" t="n">
        <v>400</v>
      </c>
      <c r="D2949" s="19" t="n">
        <v>7739.06</v>
      </c>
      <c r="E2949" s="19" t="n">
        <v>180</v>
      </c>
      <c r="F2949" s="19" t="n">
        <v>3083.47</v>
      </c>
      <c r="G2949" s="8" t="str">
        <f aca="false">IFERROR(INDEX('TRANS'!$B:$B,MATCH($B2949,'TRANS'!$A:$A,0)),IFERROR(INDEX('TRANS'!$B:$B,MATCH(TRIM(SUBSTITUTE($B2949,CHAR(160)," ")),'TRANS'!$D:$D,0)),IFERROR(INDEX('Catalog'!$A:$A,MATCH($B2949,'Catalog'!$B:$B,0)),IFERROR(INDEX('Catalog'!$A:$A,MATCH(TRIM(SUBSTITUTE($B2949,CHAR(160)," ")),'Catalog'!$C:$C,0)),""))))</f>
        <v/>
      </c>
      <c r="H2949" s="8" t="str">
        <f aca="false">IFERROR(INDEX('TRANS'!$C:$C,MATCH($B2949,'TRANS'!$A:$A,0)),IFERROR(INDEX('Catalog'!$B:$B,MATCH($G2949,'Catalog'!$A:$A,0)),$B2949))</f>
        <v>376-44-45</v>
      </c>
      <c r="I2949" s="8" t="str">
        <f aca="false">IF($G2949="","Unmatched","Matched")</f>
        <v>Unmatched</v>
      </c>
    </row>
    <row r="2950" customFormat="false" ht="15" hidden="false" customHeight="false" outlineLevel="0" collapsed="false">
      <c r="A2950" s="8" t="s">
        <v>1033</v>
      </c>
      <c r="B2950" s="8" t="s">
        <v>864</v>
      </c>
      <c r="C2950" s="19" t="n">
        <v>0</v>
      </c>
      <c r="D2950" s="19" t="n">
        <v>0</v>
      </c>
      <c r="E2950" s="19" t="n">
        <v>90</v>
      </c>
      <c r="F2950" s="19" t="n">
        <v>1583.55</v>
      </c>
      <c r="G2950" s="8" t="str">
        <f aca="false">IFERROR(INDEX('TRANS'!$B:$B,MATCH($B2950,'TRANS'!$A:$A,0)),IFERROR(INDEX('TRANS'!$B:$B,MATCH(TRIM(SUBSTITUTE($B2950,CHAR(160)," ")),'TRANS'!$D:$D,0)),IFERROR(INDEX('Catalog'!$A:$A,MATCH($B2950,'Catalog'!$B:$B,0)),IFERROR(INDEX('Catalog'!$A:$A,MATCH(TRIM(SUBSTITUTE($B2950,CHAR(160)," ")),'Catalog'!$C:$C,0)),""))))</f>
        <v/>
      </c>
      <c r="H2950" s="8" t="str">
        <f aca="false">IFERROR(INDEX('TRANS'!$C:$C,MATCH($B2950,'TRANS'!$A:$A,0)),IFERROR(INDEX('Catalog'!$B:$B,MATCH($G2950,'Catalog'!$A:$A,0)),$B2950))</f>
        <v>376-44-46</v>
      </c>
      <c r="I2950" s="8" t="str">
        <f aca="false">IF($G2950="","Unmatched","Matched")</f>
        <v>Unmatched</v>
      </c>
    </row>
    <row r="2951" customFormat="false" ht="15" hidden="false" customHeight="false" outlineLevel="0" collapsed="false">
      <c r="A2951" s="8" t="s">
        <v>1033</v>
      </c>
      <c r="B2951" s="8" t="s">
        <v>174</v>
      </c>
      <c r="C2951" s="19" t="n">
        <v>210</v>
      </c>
      <c r="D2951" s="19" t="n">
        <v>4085.1</v>
      </c>
      <c r="E2951" s="19" t="n">
        <v>60</v>
      </c>
      <c r="F2951" s="19" t="n">
        <v>1054.69</v>
      </c>
      <c r="G2951" s="8" t="n">
        <f aca="false">IFERROR(INDEX('TRANS'!$B:$B,MATCH($B2951,'TRANS'!$A:$A,0)),IFERROR(INDEX('TRANS'!$B:$B,MATCH(TRIM(SUBSTITUTE($B2951,CHAR(160)," ")),'TRANS'!$D:$D,0)),IFERROR(INDEX('Catalog'!$A:$A,MATCH($B2951,'Catalog'!$B:$B,0)),IFERROR(INDEX('Catalog'!$A:$A,MATCH(TRIM(SUBSTITUTE($B2951,CHAR(160)," ")),'Catalog'!$C:$C,0)),""))))</f>
        <v>4420032</v>
      </c>
      <c r="H2951" s="8" t="str">
        <f aca="false">IFERROR(INDEX('TRANS'!$C:$C,MATCH($B2951,'TRANS'!$A:$A,0)),IFERROR(INDEX('Catalog'!$B:$B,MATCH($G2951,'Catalog'!$A:$A,0)),$B2951))</f>
        <v>46-47 רפידת ספורט 376 מידה</v>
      </c>
      <c r="I2951" s="8" t="str">
        <f aca="false">IF($G2951="","Unmatched","Matched")</f>
        <v>Matched</v>
      </c>
    </row>
    <row r="2952" customFormat="false" ht="15" hidden="false" customHeight="false" outlineLevel="0" collapsed="false">
      <c r="A2952" s="8" t="s">
        <v>1033</v>
      </c>
      <c r="B2952" s="8" t="s">
        <v>176</v>
      </c>
      <c r="C2952" s="19" t="n">
        <v>470</v>
      </c>
      <c r="D2952" s="19" t="n">
        <v>10616.87</v>
      </c>
      <c r="E2952" s="19" t="n">
        <v>300</v>
      </c>
      <c r="F2952" s="19" t="n">
        <v>6040.43</v>
      </c>
      <c r="G2952" s="8" t="n">
        <f aca="false">IFERROR(INDEX('TRANS'!$B:$B,MATCH($B2952,'TRANS'!$A:$A,0)),IFERROR(INDEX('TRANS'!$B:$B,MATCH(TRIM(SUBSTITUTE($B2952,CHAR(160)," ")),'TRANS'!$D:$D,0)),IFERROR(INDEX('Catalog'!$A:$A,MATCH($B2952,'Catalog'!$B:$B,0)),IFERROR(INDEX('Catalog'!$A:$A,MATCH(TRIM(SUBSTITUTE($B2952,CHAR(160)," ")),'Catalog'!$C:$C,0)),""))))</f>
        <v>4413452</v>
      </c>
      <c r="H2952" s="8" t="str">
        <f aca="false">IFERROR(INDEX('TRANS'!$C:$C,MATCH($B2952,'TRANS'!$A:$A,0)),IFERROR(INDEX('Catalog'!$B:$B,MATCH($G2952,'Catalog'!$A:$A,0)),$B2952))</f>
        <v>386  מיישר בוניון-האלוקס ולגוס</v>
      </c>
      <c r="I2952" s="8" t="str">
        <f aca="false">IF($G2952="","Unmatched","Matched")</f>
        <v>Matched</v>
      </c>
    </row>
    <row r="2953" customFormat="false" ht="15" hidden="false" customHeight="false" outlineLevel="0" collapsed="false">
      <c r="A2953" s="8" t="s">
        <v>1033</v>
      </c>
      <c r="B2953" s="8" t="s">
        <v>958</v>
      </c>
      <c r="C2953" s="19" t="n">
        <v>1</v>
      </c>
      <c r="D2953" s="19" t="n">
        <v>0.04</v>
      </c>
      <c r="E2953" s="19" t="n">
        <v>0</v>
      </c>
      <c r="F2953" s="19" t="n">
        <v>0</v>
      </c>
      <c r="G2953" s="8" t="str">
        <f aca="false">IFERROR(INDEX('TRANS'!$B:$B,MATCH($B2953,'TRANS'!$A:$A,0)),IFERROR(INDEX('TRANS'!$B:$B,MATCH(TRIM(SUBSTITUTE($B2953,CHAR(160)," ")),'TRANS'!$D:$D,0)),IFERROR(INDEX('Catalog'!$A:$A,MATCH($B2953,'Catalog'!$B:$B,0)),IFERROR(INDEX('Catalog'!$A:$A,MATCH(TRIM(SUBSTITUTE($B2953,CHAR(160)," ")),'Catalog'!$C:$C,0)),""))))</f>
        <v/>
      </c>
      <c r="H2953" s="8" t="str">
        <f aca="false">IFERROR(INDEX('TRANS'!$C:$C,MATCH($B2953,'TRANS'!$A:$A,0)),IFERROR(INDEX('Catalog'!$B:$B,MATCH($G2953,'Catalog'!$A:$A,0)),$B2953))</f>
        <v>391W-39-42</v>
      </c>
      <c r="I2953" s="8" t="str">
        <f aca="false">IF($G2953="","Unmatched","Matched")</f>
        <v>Unmatched</v>
      </c>
    </row>
    <row r="2954" customFormat="false" ht="15" hidden="false" customHeight="false" outlineLevel="0" collapsed="false">
      <c r="A2954" s="8" t="s">
        <v>1033</v>
      </c>
      <c r="B2954" s="8" t="s">
        <v>195</v>
      </c>
      <c r="C2954" s="19" t="n">
        <v>1</v>
      </c>
      <c r="D2954" s="19" t="n">
        <v>0.04</v>
      </c>
      <c r="E2954" s="19" t="n">
        <v>0</v>
      </c>
      <c r="F2954" s="19" t="n">
        <v>0</v>
      </c>
      <c r="G2954" s="8" t="n">
        <f aca="false">IFERROR(INDEX('TRANS'!$B:$B,MATCH($B2954,'TRANS'!$A:$A,0)),IFERROR(INDEX('TRANS'!$B:$B,MATCH(TRIM(SUBSTITUTE($B2954,CHAR(160)," ")),'TRANS'!$D:$D,0)),IFERROR(INDEX('Catalog'!$A:$A,MATCH($B2954,'Catalog'!$B:$B,0)),IFERROR(INDEX('Catalog'!$A:$A,MATCH(TRIM(SUBSTITUTE($B2954,CHAR(160)," ")),'Catalog'!$C:$C,0)),""))))</f>
        <v>4403044</v>
      </c>
      <c r="H2954" s="8" t="str">
        <f aca="false">IFERROR(INDEX('TRANS'!$C:$C,MATCH($B2954,'TRANS'!$A:$A,0)),IFERROR(INDEX('Catalog'!$B:$B,MATCH($G2954,'Catalog'!$A:$A,0)),$B2954))</f>
        <v>395B גרבי קיץ אנטי בקטריא39-42</v>
      </c>
      <c r="I2954" s="8" t="str">
        <f aca="false">IF($G2954="","Unmatched","Matched")</f>
        <v>Matched</v>
      </c>
    </row>
    <row r="2955" customFormat="false" ht="15" hidden="false" customHeight="false" outlineLevel="0" collapsed="false">
      <c r="A2955" s="8" t="s">
        <v>1033</v>
      </c>
      <c r="B2955" s="8" t="s">
        <v>197</v>
      </c>
      <c r="C2955" s="19" t="n">
        <v>440</v>
      </c>
      <c r="D2955" s="19" t="n">
        <v>15215.67</v>
      </c>
      <c r="E2955" s="19" t="n">
        <v>0</v>
      </c>
      <c r="F2955" s="19" t="n">
        <v>0</v>
      </c>
      <c r="G2955" s="8" t="str">
        <f aca="false">IFERROR(INDEX('TRANS'!$B:$B,MATCH($B2955,'TRANS'!$A:$A,0)),IFERROR(INDEX('TRANS'!$B:$B,MATCH(TRIM(SUBSTITUTE($B2955,CHAR(160)," ")),'TRANS'!$D:$D,0)),IFERROR(INDEX('Catalog'!$A:$A,MATCH($B2955,'Catalog'!$B:$B,0)),IFERROR(INDEX('Catalog'!$A:$A,MATCH(TRIM(SUBSTITUTE($B2955,CHAR(160)," ")),'Catalog'!$C:$C,0)),""))))</f>
        <v/>
      </c>
      <c r="H2955" s="8" t="str">
        <f aca="false">IFERROR(INDEX('TRANS'!$C:$C,MATCH($B2955,'TRANS'!$A:$A,0)),IFERROR(INDEX('Catalog'!$B:$B,MATCH($G2955,'Catalog'!$A:$A,0)),$B2955))</f>
        <v>397-35-38</v>
      </c>
      <c r="I2955" s="8" t="str">
        <f aca="false">IF($G2955="","Unmatched","Matched")</f>
        <v>Unmatched</v>
      </c>
    </row>
    <row r="2956" customFormat="false" ht="15" hidden="false" customHeight="false" outlineLevel="0" collapsed="false">
      <c r="A2956" s="8" t="s">
        <v>1033</v>
      </c>
      <c r="B2956" s="8" t="s">
        <v>198</v>
      </c>
      <c r="C2956" s="19" t="n">
        <v>510</v>
      </c>
      <c r="D2956" s="19" t="n">
        <v>17600.36</v>
      </c>
      <c r="E2956" s="19" t="n">
        <v>0</v>
      </c>
      <c r="F2956" s="19" t="n">
        <v>0</v>
      </c>
      <c r="G2956" s="8" t="n">
        <f aca="false">IFERROR(INDEX('TRANS'!$B:$B,MATCH($B2956,'TRANS'!$A:$A,0)),IFERROR(INDEX('TRANS'!$B:$B,MATCH(TRIM(SUBSTITUTE($B2956,CHAR(160)," ")),'TRANS'!$D:$D,0)),IFERROR(INDEX('Catalog'!$A:$A,MATCH($B2956,'Catalog'!$B:$B,0)),IFERROR(INDEX('Catalog'!$A:$A,MATCH(TRIM(SUBSTITUTE($B2956,CHAR(160)," ")),'Catalog'!$C:$C,0)),""))))</f>
        <v>4403029</v>
      </c>
      <c r="H2956" s="8" t="str">
        <f aca="false">IFERROR(INDEX('TRANS'!$C:$C,MATCH($B2956,'TRANS'!$A:$A,0)),IFERROR(INDEX('Catalog'!$B:$B,MATCH($G2956,'Catalog'!$A:$A,0)),$B2956))</f>
        <v>397 39-42 גרבי טיסה מידה</v>
      </c>
      <c r="I2956" s="8" t="str">
        <f aca="false">IF($G2956="","Unmatched","Matched")</f>
        <v>Matched</v>
      </c>
    </row>
    <row r="2957" customFormat="false" ht="15" hidden="false" customHeight="false" outlineLevel="0" collapsed="false">
      <c r="A2957" s="8" t="s">
        <v>1033</v>
      </c>
      <c r="B2957" s="8" t="s">
        <v>199</v>
      </c>
      <c r="C2957" s="19" t="n">
        <v>430</v>
      </c>
      <c r="D2957" s="19" t="n">
        <v>14809.75</v>
      </c>
      <c r="E2957" s="19" t="n">
        <v>0</v>
      </c>
      <c r="F2957" s="19" t="n">
        <v>0</v>
      </c>
      <c r="G2957" s="8" t="str">
        <f aca="false">IFERROR(INDEX('TRANS'!$B:$B,MATCH($B2957,'TRANS'!$A:$A,0)),IFERROR(INDEX('TRANS'!$B:$B,MATCH(TRIM(SUBSTITUTE($B2957,CHAR(160)," ")),'TRANS'!$D:$D,0)),IFERROR(INDEX('Catalog'!$A:$A,MATCH($B2957,'Catalog'!$B:$B,0)),IFERROR(INDEX('Catalog'!$A:$A,MATCH(TRIM(SUBSTITUTE($B2957,CHAR(160)," ")),'Catalog'!$C:$C,0)),""))))</f>
        <v/>
      </c>
      <c r="H2957" s="8" t="str">
        <f aca="false">IFERROR(INDEX('TRANS'!$C:$C,MATCH($B2957,'TRANS'!$A:$A,0)),IFERROR(INDEX('Catalog'!$B:$B,MATCH($G2957,'Catalog'!$A:$A,0)),$B2957))</f>
        <v>397-43-46</v>
      </c>
      <c r="I2957" s="8" t="str">
        <f aca="false">IF($G2957="","Unmatched","Matched")</f>
        <v>Unmatched</v>
      </c>
    </row>
    <row r="2958" customFormat="false" ht="15" hidden="false" customHeight="false" outlineLevel="0" collapsed="false">
      <c r="A2958" s="8" t="s">
        <v>1033</v>
      </c>
      <c r="B2958" s="8" t="s">
        <v>200</v>
      </c>
      <c r="C2958" s="19" t="n">
        <v>100</v>
      </c>
      <c r="D2958" s="19" t="n">
        <v>3325.21</v>
      </c>
      <c r="E2958" s="19" t="n">
        <v>450</v>
      </c>
      <c r="F2958" s="19" t="n">
        <v>14361.95</v>
      </c>
      <c r="G2958" s="8" t="n">
        <f aca="false">IFERROR(INDEX('TRANS'!$B:$B,MATCH($B2958,'TRANS'!$A:$A,0)),IFERROR(INDEX('TRANS'!$B:$B,MATCH(TRIM(SUBSTITUTE($B2958,CHAR(160)," ")),'TRANS'!$D:$D,0)),IFERROR(INDEX('Catalog'!$A:$A,MATCH($B2958,'Catalog'!$B:$B,0)),IFERROR(INDEX('Catalog'!$A:$A,MATCH(TRIM(SUBSTITUTE($B2958,CHAR(160)," ")),'Catalog'!$C:$C,0)),""))))</f>
        <v>4403041</v>
      </c>
      <c r="H2958" s="8" t="str">
        <f aca="false">IFERROR(INDEX('TRANS'!$C:$C,MATCH($B2958,'TRANS'!$A:$A,0)),IFERROR(INDEX('Catalog'!$B:$B,MATCH($G2958,'Catalog'!$A:$A,0)),$B2958))</f>
        <v>397A-גרבי טיסה אנטי בקטרי35-38</v>
      </c>
      <c r="I2958" s="8" t="str">
        <f aca="false">IF($G2958="","Unmatched","Matched")</f>
        <v>Matched</v>
      </c>
    </row>
    <row r="2959" customFormat="false" ht="15" hidden="false" customHeight="false" outlineLevel="0" collapsed="false">
      <c r="A2959" s="8" t="s">
        <v>1033</v>
      </c>
      <c r="B2959" s="8" t="s">
        <v>201</v>
      </c>
      <c r="C2959" s="19" t="n">
        <v>151</v>
      </c>
      <c r="D2959" s="19" t="n">
        <v>4987.86</v>
      </c>
      <c r="E2959" s="19" t="n">
        <v>520</v>
      </c>
      <c r="F2959" s="19" t="n">
        <v>15042.79</v>
      </c>
      <c r="G2959" s="8" t="n">
        <f aca="false">IFERROR(INDEX('TRANS'!$B:$B,MATCH($B2959,'TRANS'!$A:$A,0)),IFERROR(INDEX('TRANS'!$B:$B,MATCH(TRIM(SUBSTITUTE($B2959,CHAR(160)," ")),'TRANS'!$D:$D,0)),IFERROR(INDEX('Catalog'!$A:$A,MATCH($B2959,'Catalog'!$B:$B,0)),IFERROR(INDEX('Catalog'!$A:$A,MATCH(TRIM(SUBSTITUTE($B2959,CHAR(160)," ")),'Catalog'!$C:$C,0)),""))))</f>
        <v>4403042</v>
      </c>
      <c r="H2959" s="8" t="str">
        <f aca="false">IFERROR(INDEX('TRANS'!$C:$C,MATCH($B2959,'TRANS'!$A:$A,0)),IFERROR(INDEX('Catalog'!$B:$B,MATCH($G2959,'Catalog'!$A:$A,0)),$B2959))</f>
        <v>397A-גרבי טיסה אנטי בקטרי39-42</v>
      </c>
      <c r="I2959" s="8" t="str">
        <f aca="false">IF($G2959="","Unmatched","Matched")</f>
        <v>Matched</v>
      </c>
    </row>
    <row r="2960" customFormat="false" ht="15" hidden="false" customHeight="false" outlineLevel="0" collapsed="false">
      <c r="A2960" s="8" t="s">
        <v>1033</v>
      </c>
      <c r="B2960" s="8" t="s">
        <v>202</v>
      </c>
      <c r="C2960" s="19" t="n">
        <v>100</v>
      </c>
      <c r="D2960" s="19" t="n">
        <v>3325.21</v>
      </c>
      <c r="E2960" s="19" t="n">
        <v>600</v>
      </c>
      <c r="F2960" s="19" t="n">
        <v>17534.24</v>
      </c>
      <c r="G2960" s="8" t="n">
        <f aca="false">IFERROR(INDEX('TRANS'!$B:$B,MATCH($B2960,'TRANS'!$A:$A,0)),IFERROR(INDEX('TRANS'!$B:$B,MATCH(TRIM(SUBSTITUTE($B2960,CHAR(160)," ")),'TRANS'!$D:$D,0)),IFERROR(INDEX('Catalog'!$A:$A,MATCH($B2960,'Catalog'!$B:$B,0)),IFERROR(INDEX('Catalog'!$A:$A,MATCH(TRIM(SUBSTITUTE($B2960,CHAR(160)," ")),'Catalog'!$C:$C,0)),""))))</f>
        <v>4403043</v>
      </c>
      <c r="H2960" s="8" t="str">
        <f aca="false">IFERROR(INDEX('TRANS'!$C:$C,MATCH($B2960,'TRANS'!$A:$A,0)),IFERROR(INDEX('Catalog'!$B:$B,MATCH($G2960,'Catalog'!$A:$A,0)),$B2960))</f>
        <v>397A-גרבי טיסה אנטי בקטרי43-46</v>
      </c>
      <c r="I2960" s="8" t="str">
        <f aca="false">IF($G2960="","Unmatched","Matched")</f>
        <v>Matched</v>
      </c>
    </row>
    <row r="2961" customFormat="false" ht="15" hidden="false" customHeight="false" outlineLevel="0" collapsed="false">
      <c r="A2961" s="8" t="s">
        <v>1033</v>
      </c>
      <c r="B2961" s="8" t="s">
        <v>204</v>
      </c>
      <c r="C2961" s="19" t="n">
        <v>92</v>
      </c>
      <c r="D2961" s="19" t="n">
        <v>6336.99</v>
      </c>
      <c r="E2961" s="19" t="n">
        <v>50</v>
      </c>
      <c r="F2961" s="19" t="n">
        <v>3045.11</v>
      </c>
      <c r="G2961" s="8" t="n">
        <f aca="false">IFERROR(INDEX('TRANS'!$B:$B,MATCH($B2961,'TRANS'!$A:$A,0)),IFERROR(INDEX('TRANS'!$B:$B,MATCH(TRIM(SUBSTITUTE($B2961,CHAR(160)," ")),'TRANS'!$D:$D,0)),IFERROR(INDEX('Catalog'!$A:$A,MATCH($B2961,'Catalog'!$B:$B,0)),IFERROR(INDEX('Catalog'!$A:$A,MATCH(TRIM(SUBSTITUTE($B2961,CHAR(160)," ")),'Catalog'!$C:$C,0)),""))))</f>
        <v>4420017</v>
      </c>
      <c r="H2961" s="8" t="str">
        <f aca="false">IFERROR(INDEX('TRANS'!$C:$C,MATCH($B2961,'TRANS'!$A:$A,0)),IFERROR(INDEX('Catalog'!$B:$B,MATCH($G2961,'Catalog'!$A:$A,0)),$B2961))</f>
        <v>4022 רצועת """"פיקה""""+כרית</v>
      </c>
      <c r="I2961" s="8" t="str">
        <f aca="false">IF($G2961="","Unmatched","Matched")</f>
        <v>Matched</v>
      </c>
    </row>
    <row r="2962" customFormat="false" ht="15" hidden="false" customHeight="false" outlineLevel="0" collapsed="false">
      <c r="A2962" s="8" t="s">
        <v>1033</v>
      </c>
      <c r="B2962" s="8" t="s">
        <v>376</v>
      </c>
      <c r="C2962" s="19" t="n">
        <v>210</v>
      </c>
      <c r="D2962" s="19" t="n">
        <v>2891.34</v>
      </c>
      <c r="E2962" s="19" t="n">
        <v>120</v>
      </c>
      <c r="F2962" s="19" t="n">
        <v>1479.06</v>
      </c>
      <c r="G2962" s="8" t="n">
        <f aca="false">IFERROR(INDEX('TRANS'!$B:$B,MATCH($B2962,'TRANS'!$A:$A,0)),IFERROR(INDEX('TRANS'!$B:$B,MATCH(TRIM(SUBSTITUTE($B2962,CHAR(160)," ")),'TRANS'!$D:$D,0)),IFERROR(INDEX('Catalog'!$A:$A,MATCH($B2962,'Catalog'!$B:$B,0)),IFERROR(INDEX('Catalog'!$A:$A,MATCH(TRIM(SUBSTITUTE($B2962,CHAR(160)," ")),'Catalog'!$C:$C,0)),""))))</f>
        <v>4413092</v>
      </c>
      <c r="H2962" s="8" t="str">
        <f aca="false">IFERROR(INDEX('TRANS'!$C:$C,MATCH($B2962,'TRANS'!$A:$A,0)),IFERROR(INDEX('Catalog'!$B:$B,MATCH($G2962,'Catalog'!$A:$A,0)),$B2962))</f>
        <v>45 L מגן ברך לבן</v>
      </c>
      <c r="I2962" s="8" t="str">
        <f aca="false">IF($G2962="","Unmatched","Matched")</f>
        <v>Matched</v>
      </c>
    </row>
    <row r="2963" customFormat="false" ht="15" hidden="false" customHeight="false" outlineLevel="0" collapsed="false">
      <c r="A2963" s="8" t="s">
        <v>1033</v>
      </c>
      <c r="B2963" s="8" t="s">
        <v>377</v>
      </c>
      <c r="C2963" s="19" t="n">
        <v>230</v>
      </c>
      <c r="D2963" s="19" t="n">
        <v>3190.16</v>
      </c>
      <c r="E2963" s="19" t="n">
        <v>170</v>
      </c>
      <c r="F2963" s="19" t="n">
        <v>2112.98</v>
      </c>
      <c r="G2963" s="8" t="n">
        <f aca="false">IFERROR(INDEX('TRANS'!$B:$B,MATCH($B2963,'TRANS'!$A:$A,0)),IFERROR(INDEX('TRANS'!$B:$B,MATCH(TRIM(SUBSTITUTE($B2963,CHAR(160)," ")),'TRANS'!$D:$D,0)),IFERROR(INDEX('Catalog'!$A:$A,MATCH($B2963,'Catalog'!$B:$B,0)),IFERROR(INDEX('Catalog'!$A:$A,MATCH(TRIM(SUBSTITUTE($B2963,CHAR(160)," ")),'Catalog'!$C:$C,0)),""))))</f>
        <v>4413093</v>
      </c>
      <c r="H2963" s="8" t="str">
        <f aca="false">IFERROR(INDEX('TRANS'!$C:$C,MATCH($B2963,'TRANS'!$A:$A,0)),IFERROR(INDEX('Catalog'!$B:$B,MATCH($G2963,'Catalog'!$A:$A,0)),$B2963))</f>
        <v>45 M מגן ברך לבן</v>
      </c>
      <c r="I2963" s="8" t="str">
        <f aca="false">IF($G2963="","Unmatched","Matched")</f>
        <v>Matched</v>
      </c>
    </row>
    <row r="2964" customFormat="false" ht="15" hidden="false" customHeight="false" outlineLevel="0" collapsed="false">
      <c r="A2964" s="8" t="s">
        <v>1033</v>
      </c>
      <c r="B2964" s="8" t="s">
        <v>206</v>
      </c>
      <c r="C2964" s="19" t="n">
        <v>120</v>
      </c>
      <c r="D2964" s="19" t="n">
        <v>1690.84</v>
      </c>
      <c r="E2964" s="19" t="n">
        <v>50</v>
      </c>
      <c r="F2964" s="19" t="n">
        <v>619.49</v>
      </c>
      <c r="G2964" s="8" t="n">
        <f aca="false">IFERROR(INDEX('TRANS'!$B:$B,MATCH($B2964,'TRANS'!$A:$A,0)),IFERROR(INDEX('TRANS'!$B:$B,MATCH(TRIM(SUBSTITUTE($B2964,CHAR(160)," ")),'TRANS'!$D:$D,0)),IFERROR(INDEX('Catalog'!$A:$A,MATCH($B2964,'Catalog'!$B:$B,0)),IFERROR(INDEX('Catalog'!$A:$A,MATCH(TRIM(SUBSTITUTE($B2964,CHAR(160)," ")),'Catalog'!$C:$C,0)),""))))</f>
        <v>4413094</v>
      </c>
      <c r="H2964" s="8" t="str">
        <f aca="false">IFERROR(INDEX('TRANS'!$C:$C,MATCH($B2964,'TRANS'!$A:$A,0)),IFERROR(INDEX('Catalog'!$B:$B,MATCH($G2964,'Catalog'!$A:$A,0)),$B2964))</f>
        <v>45 S מגן ברך לבן</v>
      </c>
      <c r="I2964" s="8" t="str">
        <f aca="false">IF($G2964="","Unmatched","Matched")</f>
        <v>Matched</v>
      </c>
    </row>
    <row r="2965" customFormat="false" ht="15" hidden="false" customHeight="false" outlineLevel="0" collapsed="false">
      <c r="A2965" s="8" t="s">
        <v>1033</v>
      </c>
      <c r="B2965" s="8" t="s">
        <v>207</v>
      </c>
      <c r="C2965" s="19" t="n">
        <v>120</v>
      </c>
      <c r="D2965" s="19" t="n">
        <v>1685.88</v>
      </c>
      <c r="E2965" s="19" t="n">
        <v>40</v>
      </c>
      <c r="F2965" s="19" t="n">
        <v>508.99</v>
      </c>
      <c r="G2965" s="8" t="n">
        <f aca="false">IFERROR(INDEX('TRANS'!$B:$B,MATCH($B2965,'TRANS'!$A:$A,0)),IFERROR(INDEX('TRANS'!$B:$B,MATCH(TRIM(SUBSTITUTE($B2965,CHAR(160)," ")),'TRANS'!$D:$D,0)),IFERROR(INDEX('Catalog'!$A:$A,MATCH($B2965,'Catalog'!$B:$B,0)),IFERROR(INDEX('Catalog'!$A:$A,MATCH(TRIM(SUBSTITUTE($B2965,CHAR(160)," ")),'Catalog'!$C:$C,0)),""))))</f>
        <v>4413095</v>
      </c>
      <c r="H2965" s="8" t="str">
        <f aca="false">IFERROR(INDEX('TRANS'!$C:$C,MATCH($B2965,'TRANS'!$A:$A,0)),IFERROR(INDEX('Catalog'!$B:$B,MATCH($G2965,'Catalog'!$A:$A,0)),$B2965))</f>
        <v>45 XL מגן ברך לבן</v>
      </c>
      <c r="I2965" s="8" t="str">
        <f aca="false">IF($G2965="","Unmatched","Matched")</f>
        <v>Matched</v>
      </c>
    </row>
    <row r="2966" customFormat="false" ht="15" hidden="false" customHeight="false" outlineLevel="0" collapsed="false">
      <c r="A2966" s="8" t="s">
        <v>1033</v>
      </c>
      <c r="B2966" s="8" t="s">
        <v>208</v>
      </c>
      <c r="C2966" s="19" t="n">
        <v>530</v>
      </c>
      <c r="D2966" s="19" t="n">
        <v>7591.95</v>
      </c>
      <c r="E2966" s="19" t="n">
        <v>280</v>
      </c>
      <c r="F2966" s="19" t="n">
        <v>3734.22</v>
      </c>
      <c r="G2966" s="8" t="n">
        <f aca="false">IFERROR(INDEX('TRANS'!$B:$B,MATCH($B2966,'TRANS'!$A:$A,0)),IFERROR(INDEX('TRANS'!$B:$B,MATCH(TRIM(SUBSTITUTE($B2966,CHAR(160)," ")),'TRANS'!$D:$D,0)),IFERROR(INDEX('Catalog'!$A:$A,MATCH($B2966,'Catalog'!$B:$B,0)),IFERROR(INDEX('Catalog'!$A:$A,MATCH(TRIM(SUBSTITUTE($B2966,CHAR(160)," ")),'Catalog'!$C:$C,0)),""))))</f>
        <v>4413495</v>
      </c>
      <c r="H2966" s="8" t="str">
        <f aca="false">IFERROR(INDEX('TRANS'!$C:$C,MATCH($B2966,'TRANS'!$A:$A,0)),IFERROR(INDEX('Catalog'!$B:$B,MATCH($G2966,'Catalog'!$A:$A,0)),$B2966))</f>
        <v>45B L מגן ברך שחור</v>
      </c>
      <c r="I2966" s="8" t="str">
        <f aca="false">IF($G2966="","Unmatched","Matched")</f>
        <v>Matched</v>
      </c>
    </row>
    <row r="2967" customFormat="false" ht="15" hidden="false" customHeight="false" outlineLevel="0" collapsed="false">
      <c r="A2967" s="8" t="s">
        <v>1033</v>
      </c>
      <c r="B2967" s="8" t="s">
        <v>209</v>
      </c>
      <c r="C2967" s="19" t="n">
        <v>450</v>
      </c>
      <c r="D2967" s="19" t="n">
        <v>6527.88</v>
      </c>
      <c r="E2967" s="19" t="n">
        <v>220</v>
      </c>
      <c r="F2967" s="19" t="n">
        <v>2865.76</v>
      </c>
      <c r="G2967" s="8" t="n">
        <f aca="false">IFERROR(INDEX('TRANS'!$B:$B,MATCH($B2967,'TRANS'!$A:$A,0)),IFERROR(INDEX('TRANS'!$B:$B,MATCH(TRIM(SUBSTITUTE($B2967,CHAR(160)," ")),'TRANS'!$D:$D,0)),IFERROR(INDEX('Catalog'!$A:$A,MATCH($B2967,'Catalog'!$B:$B,0)),IFERROR(INDEX('Catalog'!$A:$A,MATCH(TRIM(SUBSTITUTE($B2967,CHAR(160)," ")),'Catalog'!$C:$C,0)),""))))</f>
        <v>4413497</v>
      </c>
      <c r="H2967" s="8" t="str">
        <f aca="false">IFERROR(INDEX('TRANS'!$C:$C,MATCH($B2967,'TRANS'!$A:$A,0)),IFERROR(INDEX('Catalog'!$B:$B,MATCH($G2967,'Catalog'!$A:$A,0)),$B2967))</f>
        <v>45B M מגן ברך שחור</v>
      </c>
      <c r="I2967" s="8" t="str">
        <f aca="false">IF($G2967="","Unmatched","Matched")</f>
        <v>Matched</v>
      </c>
    </row>
    <row r="2968" customFormat="false" ht="15" hidden="false" customHeight="false" outlineLevel="0" collapsed="false">
      <c r="A2968" s="8" t="s">
        <v>1033</v>
      </c>
      <c r="B2968" s="8" t="s">
        <v>379</v>
      </c>
      <c r="C2968" s="19" t="n">
        <v>280</v>
      </c>
      <c r="D2968" s="19" t="n">
        <v>4075.52</v>
      </c>
      <c r="E2968" s="19" t="n">
        <v>110</v>
      </c>
      <c r="F2968" s="19" t="n">
        <v>1440.49</v>
      </c>
      <c r="G2968" s="8" t="n">
        <f aca="false">IFERROR(INDEX('TRANS'!$B:$B,MATCH($B2968,'TRANS'!$A:$A,0)),IFERROR(INDEX('TRANS'!$B:$B,MATCH(TRIM(SUBSTITUTE($B2968,CHAR(160)," ")),'TRANS'!$D:$D,0)),IFERROR(INDEX('Catalog'!$A:$A,MATCH($B2968,'Catalog'!$B:$B,0)),IFERROR(INDEX('Catalog'!$A:$A,MATCH(TRIM(SUBSTITUTE($B2968,CHAR(160)," ")),'Catalog'!$C:$C,0)),""))))</f>
        <v>4413498</v>
      </c>
      <c r="H2968" s="8" t="str">
        <f aca="false">IFERROR(INDEX('TRANS'!$C:$C,MATCH($B2968,'TRANS'!$A:$A,0)),IFERROR(INDEX('Catalog'!$B:$B,MATCH($G2968,'Catalog'!$A:$A,0)),$B2968))</f>
        <v>45B S מגן ברך שחור</v>
      </c>
      <c r="I2968" s="8" t="str">
        <f aca="false">IF($G2968="","Unmatched","Matched")</f>
        <v>Matched</v>
      </c>
    </row>
    <row r="2969" customFormat="false" ht="15" hidden="false" customHeight="false" outlineLevel="0" collapsed="false">
      <c r="A2969" s="8" t="s">
        <v>1033</v>
      </c>
      <c r="B2969" s="8" t="s">
        <v>380</v>
      </c>
      <c r="C2969" s="19" t="n">
        <v>460</v>
      </c>
      <c r="D2969" s="19" t="n">
        <v>6699.09</v>
      </c>
      <c r="E2969" s="19" t="n">
        <v>230</v>
      </c>
      <c r="F2969" s="19" t="n">
        <v>2987.39</v>
      </c>
      <c r="G2969" s="8" t="n">
        <f aca="false">IFERROR(INDEX('TRANS'!$B:$B,MATCH($B2969,'TRANS'!$A:$A,0)),IFERROR(INDEX('TRANS'!$B:$B,MATCH(TRIM(SUBSTITUTE($B2969,CHAR(160)," ")),'TRANS'!$D:$D,0)),IFERROR(INDEX('Catalog'!$A:$A,MATCH($B2969,'Catalog'!$B:$B,0)),IFERROR(INDEX('Catalog'!$A:$A,MATCH(TRIM(SUBSTITUTE($B2969,CHAR(160)," ")),'Catalog'!$C:$C,0)),""))))</f>
        <v>4413496</v>
      </c>
      <c r="H2969" s="8" t="str">
        <f aca="false">IFERROR(INDEX('TRANS'!$C:$C,MATCH($B2969,'TRANS'!$A:$A,0)),IFERROR(INDEX('Catalog'!$B:$B,MATCH($G2969,'Catalog'!$A:$A,0)),$B2969))</f>
        <v>45B XL מגן ברך שחור</v>
      </c>
      <c r="I2969" s="8" t="str">
        <f aca="false">IF($G2969="","Unmatched","Matched")</f>
        <v>Matched</v>
      </c>
    </row>
    <row r="2970" customFormat="false" ht="15" hidden="false" customHeight="false" outlineLevel="0" collapsed="false">
      <c r="A2970" s="8" t="s">
        <v>1033</v>
      </c>
      <c r="B2970" s="8" t="s">
        <v>210</v>
      </c>
      <c r="C2970" s="19" t="n">
        <v>480</v>
      </c>
      <c r="D2970" s="19" t="n">
        <v>6509.97</v>
      </c>
      <c r="E2970" s="19" t="n">
        <v>230</v>
      </c>
      <c r="F2970" s="19" t="n">
        <v>2768.95</v>
      </c>
      <c r="G2970" s="8" t="n">
        <f aca="false">IFERROR(INDEX('TRANS'!$B:$B,MATCH($B2970,'TRANS'!$A:$A,0)),IFERROR(INDEX('TRANS'!$B:$B,MATCH(TRIM(SUBSTITUTE($B2970,CHAR(160)," ")),'TRANS'!$D:$D,0)),IFERROR(INDEX('Catalog'!$A:$A,MATCH($B2970,'Catalog'!$B:$B,0)),IFERROR(INDEX('Catalog'!$A:$A,MATCH(TRIM(SUBSTITUTE($B2970,CHAR(160)," ")),'Catalog'!$C:$C,0)),""))))</f>
        <v>4413098</v>
      </c>
      <c r="H2970" s="8" t="str">
        <f aca="false">IFERROR(INDEX('TRANS'!$C:$C,MATCH($B2970,'TRANS'!$A:$A,0)),IFERROR(INDEX('Catalog'!$B:$B,MATCH($G2970,'Catalog'!$A:$A,0)),$B2970))</f>
        <v>45C L מגן ברך חום</v>
      </c>
      <c r="I2970" s="8" t="str">
        <f aca="false">IF($G2970="","Unmatched","Matched")</f>
        <v>Matched</v>
      </c>
    </row>
    <row r="2971" customFormat="false" ht="15" hidden="false" customHeight="false" outlineLevel="0" collapsed="false">
      <c r="A2971" s="8" t="s">
        <v>1033</v>
      </c>
      <c r="B2971" s="8" t="s">
        <v>211</v>
      </c>
      <c r="C2971" s="19" t="n">
        <v>460</v>
      </c>
      <c r="D2971" s="19" t="n">
        <v>6185.43</v>
      </c>
      <c r="E2971" s="19" t="n">
        <v>290</v>
      </c>
      <c r="F2971" s="19" t="n">
        <v>3507.94</v>
      </c>
      <c r="G2971" s="8" t="n">
        <f aca="false">IFERROR(INDEX('TRANS'!$B:$B,MATCH($B2971,'TRANS'!$A:$A,0)),IFERROR(INDEX('TRANS'!$B:$B,MATCH(TRIM(SUBSTITUTE($B2971,CHAR(160)," ")),'TRANS'!$D:$D,0)),IFERROR(INDEX('Catalog'!$A:$A,MATCH($B2971,'Catalog'!$B:$B,0)),IFERROR(INDEX('Catalog'!$A:$A,MATCH(TRIM(SUBSTITUTE($B2971,CHAR(160)," ")),'Catalog'!$C:$C,0)),""))))</f>
        <v>4413099</v>
      </c>
      <c r="H2971" s="8" t="str">
        <f aca="false">IFERROR(INDEX('TRANS'!$C:$C,MATCH($B2971,'TRANS'!$A:$A,0)),IFERROR(INDEX('Catalog'!$B:$B,MATCH($G2971,'Catalog'!$A:$A,0)),$B2971))</f>
        <v>45C M מגן ברך חום</v>
      </c>
      <c r="I2971" s="8" t="str">
        <f aca="false">IF($G2971="","Unmatched","Matched")</f>
        <v>Matched</v>
      </c>
    </row>
    <row r="2972" customFormat="false" ht="15" hidden="false" customHeight="false" outlineLevel="0" collapsed="false">
      <c r="A2972" s="8" t="s">
        <v>1033</v>
      </c>
      <c r="B2972" s="8" t="s">
        <v>212</v>
      </c>
      <c r="C2972" s="19" t="n">
        <v>220</v>
      </c>
      <c r="D2972" s="19" t="n">
        <v>3020</v>
      </c>
      <c r="E2972" s="19" t="n">
        <v>170</v>
      </c>
      <c r="F2972" s="19" t="n">
        <v>2078.4</v>
      </c>
      <c r="G2972" s="8" t="n">
        <f aca="false">IFERROR(INDEX('TRANS'!$B:$B,MATCH($B2972,'TRANS'!$A:$A,0)),IFERROR(INDEX('TRANS'!$B:$B,MATCH(TRIM(SUBSTITUTE($B2972,CHAR(160)," ")),'TRANS'!$D:$D,0)),IFERROR(INDEX('Catalog'!$A:$A,MATCH($B2972,'Catalog'!$B:$B,0)),IFERROR(INDEX('Catalog'!$A:$A,MATCH(TRIM(SUBSTITUTE($B2972,CHAR(160)," ")),'Catalog'!$C:$C,0)),""))))</f>
        <v>4413097</v>
      </c>
      <c r="H2972" s="8" t="str">
        <f aca="false">IFERROR(INDEX('TRANS'!$C:$C,MATCH($B2972,'TRANS'!$A:$A,0)),IFERROR(INDEX('Catalog'!$B:$B,MATCH($G2972,'Catalog'!$A:$A,0)),$B2972))</f>
        <v>45C S מגן ברך חום</v>
      </c>
      <c r="I2972" s="8" t="str">
        <f aca="false">IF($G2972="","Unmatched","Matched")</f>
        <v>Matched</v>
      </c>
    </row>
    <row r="2973" customFormat="false" ht="15" hidden="false" customHeight="false" outlineLevel="0" collapsed="false">
      <c r="A2973" s="8" t="s">
        <v>1033</v>
      </c>
      <c r="B2973" s="8" t="s">
        <v>213</v>
      </c>
      <c r="C2973" s="19" t="n">
        <v>300</v>
      </c>
      <c r="D2973" s="19" t="n">
        <v>4073.24</v>
      </c>
      <c r="E2973" s="19" t="n">
        <v>230</v>
      </c>
      <c r="F2973" s="19" t="n">
        <v>2821.26</v>
      </c>
      <c r="G2973" s="8" t="n">
        <f aca="false">IFERROR(INDEX('TRANS'!$B:$B,MATCH($B2973,'TRANS'!$A:$A,0)),IFERROR(INDEX('TRANS'!$B:$B,MATCH(TRIM(SUBSTITUTE($B2973,CHAR(160)," ")),'TRANS'!$D:$D,0)),IFERROR(INDEX('Catalog'!$A:$A,MATCH($B2973,'Catalog'!$B:$B,0)),IFERROR(INDEX('Catalog'!$A:$A,MATCH(TRIM(SUBSTITUTE($B2973,CHAR(160)," ")),'Catalog'!$C:$C,0)),""))))</f>
        <v>4413100</v>
      </c>
      <c r="H2973" s="8" t="str">
        <f aca="false">IFERROR(INDEX('TRANS'!$C:$C,MATCH($B2973,'TRANS'!$A:$A,0)),IFERROR(INDEX('Catalog'!$B:$B,MATCH($G2973,'Catalog'!$A:$A,0)),$B2973))</f>
        <v>45C XL מגן ברך חום</v>
      </c>
      <c r="I2973" s="8" t="str">
        <f aca="false">IF($G2973="","Unmatched","Matched")</f>
        <v>Matched</v>
      </c>
    </row>
    <row r="2974" customFormat="false" ht="15" hidden="false" customHeight="false" outlineLevel="0" collapsed="false">
      <c r="A2974" s="8" t="s">
        <v>1033</v>
      </c>
      <c r="B2974" s="8" t="s">
        <v>238</v>
      </c>
      <c r="C2974" s="19" t="n">
        <v>430</v>
      </c>
      <c r="D2974" s="19" t="n">
        <v>5449.62</v>
      </c>
      <c r="E2974" s="19" t="n">
        <v>270</v>
      </c>
      <c r="F2974" s="19" t="n">
        <v>3124.1</v>
      </c>
      <c r="G2974" s="8" t="n">
        <f aca="false">IFERROR(INDEX('TRANS'!$B:$B,MATCH($B2974,'TRANS'!$A:$A,0)),IFERROR(INDEX('TRANS'!$B:$B,MATCH(TRIM(SUBSTITUTE($B2974,CHAR(160)," ")),'TRANS'!$D:$D,0)),IFERROR(INDEX('Catalog'!$A:$A,MATCH($B2974,'Catalog'!$B:$B,0)),IFERROR(INDEX('Catalog'!$A:$A,MATCH(TRIM(SUBSTITUTE($B2974,CHAR(160)," ")),'Catalog'!$C:$C,0)),""))))</f>
        <v>4422000</v>
      </c>
      <c r="H2974" s="8" t="str">
        <f aca="false">IFERROR(INDEX('TRANS'!$C:$C,MATCH($B2974,'TRANS'!$A:$A,0)),IFERROR(INDEX('Catalog'!$B:$B,MATCH($G2974,'Catalog'!$A:$A,0)),$B2974))</f>
        <v>801  תחבושת אלסטית מקררת</v>
      </c>
      <c r="I2974" s="8" t="str">
        <f aca="false">IF($G2974="","Unmatched","Matched")</f>
        <v>Matched</v>
      </c>
    </row>
    <row r="2975" customFormat="false" ht="15" hidden="false" customHeight="false" outlineLevel="0" collapsed="false">
      <c r="A2975" s="8" t="s">
        <v>1033</v>
      </c>
      <c r="B2975" s="8" t="s">
        <v>414</v>
      </c>
      <c r="C2975" s="19" t="n">
        <v>2700</v>
      </c>
      <c r="D2975" s="19" t="n">
        <v>20880.68</v>
      </c>
      <c r="E2975" s="19" t="n">
        <v>1500</v>
      </c>
      <c r="F2975" s="19" t="n">
        <v>10415.22</v>
      </c>
      <c r="G2975" s="8" t="n">
        <f aca="false">IFERROR(INDEX('TRANS'!$B:$B,MATCH($B2975,'TRANS'!$A:$A,0)),IFERROR(INDEX('TRANS'!$B:$B,MATCH(TRIM(SUBSTITUTE($B2975,CHAR(160)," ")),'TRANS'!$D:$D,0)),IFERROR(INDEX('Catalog'!$A:$A,MATCH($B2975,'Catalog'!$B:$B,0)),IFERROR(INDEX('Catalog'!$A:$A,MATCH(TRIM(SUBSTITUTE($B2975,CHAR(160)," ")),'Catalog'!$C:$C,0)),""))))</f>
        <v>4422024</v>
      </c>
      <c r="H2975" s="8" t="str">
        <f aca="false">IFERROR(INDEX('TRANS'!$C:$C,MATCH($B2975,'TRANS'!$A:$A,0)),IFERROR(INDEX('Catalog'!$B:$B,MATCH($G2975,'Catalog'!$A:$A,0)),$B2975))</f>
        <v>806CB-BLACK      תחבושת א.נצמ</v>
      </c>
      <c r="I2975" s="8" t="str">
        <f aca="false">IF($G2975="","Unmatched","Matched")</f>
        <v>Matched</v>
      </c>
    </row>
    <row r="2976" customFormat="false" ht="15" hidden="false" customHeight="false" outlineLevel="0" collapsed="false">
      <c r="A2976" s="8" t="s">
        <v>1033</v>
      </c>
      <c r="B2976" s="8" t="s">
        <v>415</v>
      </c>
      <c r="C2976" s="19" t="n">
        <v>2200</v>
      </c>
      <c r="D2976" s="19" t="n">
        <v>17111.62</v>
      </c>
      <c r="E2976" s="19" t="n">
        <v>1300</v>
      </c>
      <c r="F2976" s="19" t="n">
        <v>9059.98</v>
      </c>
      <c r="G2976" s="8" t="n">
        <f aca="false">IFERROR(INDEX('TRANS'!$B:$B,MATCH($B2976,'TRANS'!$A:$A,0)),IFERROR(INDEX('TRANS'!$B:$B,MATCH(TRIM(SUBSTITUTE($B2976,CHAR(160)," ")),'TRANS'!$D:$D,0)),IFERROR(INDEX('Catalog'!$A:$A,MATCH($B2976,'Catalog'!$B:$B,0)),IFERROR(INDEX('Catalog'!$A:$A,MATCH(TRIM(SUBSTITUTE($B2976,CHAR(160)," ")),'Catalog'!$C:$C,0)),""))))</f>
        <v>4422023</v>
      </c>
      <c r="H2976" s="8" t="str">
        <f aca="false">IFERROR(INDEX('TRANS'!$C:$C,MATCH($B2976,'TRANS'!$A:$A,0)),IFERROR(INDEX('Catalog'!$B:$B,MATCH($G2976,'Catalog'!$A:$A,0)),$B2976))</f>
        <v>806CB-BEIGE      תחבושת א.נצמ</v>
      </c>
      <c r="I2976" s="8" t="str">
        <f aca="false">IF($G2976="","Unmatched","Matched")</f>
        <v>Matched</v>
      </c>
    </row>
    <row r="2977" customFormat="false" ht="15" hidden="false" customHeight="false" outlineLevel="0" collapsed="false">
      <c r="A2977" s="8" t="s">
        <v>1033</v>
      </c>
      <c r="B2977" s="8" t="s">
        <v>416</v>
      </c>
      <c r="C2977" s="19" t="n">
        <v>1050</v>
      </c>
      <c r="D2977" s="19" t="n">
        <v>8166.17</v>
      </c>
      <c r="E2977" s="19" t="n">
        <v>800</v>
      </c>
      <c r="F2977" s="19" t="n">
        <v>5600.14</v>
      </c>
      <c r="G2977" s="8" t="n">
        <f aca="false">IFERROR(INDEX('TRANS'!$B:$B,MATCH($B2977,'TRANS'!$A:$A,0)),IFERROR(INDEX('TRANS'!$B:$B,MATCH(TRIM(SUBSTITUTE($B2977,CHAR(160)," ")),'TRANS'!$D:$D,0)),IFERROR(INDEX('Catalog'!$A:$A,MATCH($B2977,'Catalog'!$B:$B,0)),IFERROR(INDEX('Catalog'!$A:$A,MATCH(TRIM(SUBSTITUTE($B2977,CHAR(160)," ")),'Catalog'!$C:$C,0)),""))))</f>
        <v>4422025</v>
      </c>
      <c r="H2977" s="8" t="str">
        <f aca="false">IFERROR(INDEX('TRANS'!$C:$C,MATCH($B2977,'TRANS'!$A:$A,0)),IFERROR(INDEX('Catalog'!$B:$B,MATCH($G2977,'Catalog'!$A:$A,0)),$B2977))</f>
        <v>806CB-GREEN      תחבושת א.נצמ</v>
      </c>
      <c r="I2977" s="8" t="str">
        <f aca="false">IF($G2977="","Unmatched","Matched")</f>
        <v>Matched</v>
      </c>
    </row>
    <row r="2978" customFormat="false" ht="15" hidden="false" customHeight="false" outlineLevel="0" collapsed="false">
      <c r="A2978" s="8" t="s">
        <v>1033</v>
      </c>
      <c r="B2978" s="8" t="s">
        <v>417</v>
      </c>
      <c r="C2978" s="19" t="n">
        <v>1700</v>
      </c>
      <c r="D2978" s="19" t="n">
        <v>13176.93</v>
      </c>
      <c r="E2978" s="19" t="n">
        <v>1200</v>
      </c>
      <c r="F2978" s="19" t="n">
        <v>8358.9</v>
      </c>
      <c r="G2978" s="8" t="n">
        <f aca="false">IFERROR(INDEX('TRANS'!$B:$B,MATCH($B2978,'TRANS'!$A:$A,0)),IFERROR(INDEX('TRANS'!$B:$B,MATCH(TRIM(SUBSTITUTE($B2978,CHAR(160)," ")),'TRANS'!$D:$D,0)),IFERROR(INDEX('Catalog'!$A:$A,MATCH($B2978,'Catalog'!$B:$B,0)),IFERROR(INDEX('Catalog'!$A:$A,MATCH(TRIM(SUBSTITUTE($B2978,CHAR(160)," ")),'Catalog'!$C:$C,0)),""))))</f>
        <v>4422026</v>
      </c>
      <c r="H2978" s="8" t="str">
        <f aca="false">IFERROR(INDEX('TRANS'!$C:$C,MATCH($B2978,'TRANS'!$A:$A,0)),IFERROR(INDEX('Catalog'!$B:$B,MATCH($G2978,'Catalog'!$A:$A,0)),$B2978))</f>
        <v>806CB-PINK       תחבושת א.נצמ</v>
      </c>
      <c r="I2978" s="8" t="str">
        <f aca="false">IF($G2978="","Unmatched","Matched")</f>
        <v>Matched</v>
      </c>
    </row>
    <row r="2979" customFormat="false" ht="15" hidden="false" customHeight="false" outlineLevel="0" collapsed="false">
      <c r="A2979" s="8" t="s">
        <v>1033</v>
      </c>
      <c r="B2979" s="8" t="s">
        <v>247</v>
      </c>
      <c r="C2979" s="19" t="n">
        <v>500</v>
      </c>
      <c r="D2979" s="19" t="n">
        <v>9000.24</v>
      </c>
      <c r="E2979" s="19" t="n">
        <v>0</v>
      </c>
      <c r="F2979" s="19" t="n">
        <v>0</v>
      </c>
      <c r="G2979" s="8" t="n">
        <f aca="false">IFERROR(INDEX('TRANS'!$B:$B,MATCH($B2979,'TRANS'!$A:$A,0)),IFERROR(INDEX('TRANS'!$B:$B,MATCH(TRIM(SUBSTITUTE($B2979,CHAR(160)," ")),'TRANS'!$D:$D,0)),IFERROR(INDEX('Catalog'!$A:$A,MATCH($B2979,'Catalog'!$B:$B,0)),IFERROR(INDEX('Catalog'!$A:$A,MATCH(TRIM(SUBSTITUTE($B2979,CHAR(160)," ")),'Catalog'!$C:$C,0)),""))))</f>
        <v>4409017</v>
      </c>
      <c r="H2979" s="8" t="str">
        <f aca="false">IFERROR(INDEX('TRANS'!$C:$C,MATCH($B2979,'TRANS'!$A:$A,0)),IFERROR(INDEX('Catalog'!$B:$B,MATCH($G2979,'Catalog'!$A:$A,0)),$B2979))</f>
        <v>808KT-B        טייפ קינזיולוגי</v>
      </c>
      <c r="I2979" s="8" t="str">
        <f aca="false">IF($G2979="","Unmatched","Matched")</f>
        <v>Matched</v>
      </c>
    </row>
    <row r="2980" customFormat="false" ht="15" hidden="false" customHeight="false" outlineLevel="0" collapsed="false">
      <c r="A2980" s="8" t="s">
        <v>1033</v>
      </c>
      <c r="B2980" s="8" t="s">
        <v>506</v>
      </c>
      <c r="C2980" s="19" t="n">
        <v>400</v>
      </c>
      <c r="D2980" s="19" t="n">
        <v>7200.19</v>
      </c>
      <c r="E2980" s="19" t="n">
        <v>0</v>
      </c>
      <c r="F2980" s="19" t="n">
        <v>0</v>
      </c>
      <c r="G2980" s="8" t="n">
        <f aca="false">IFERROR(INDEX('TRANS'!$B:$B,MATCH($B2980,'TRANS'!$A:$A,0)),IFERROR(INDEX('TRANS'!$B:$B,MATCH(TRIM(SUBSTITUTE($B2980,CHAR(160)," ")),'TRANS'!$D:$D,0)),IFERROR(INDEX('Catalog'!$A:$A,MATCH($B2980,'Catalog'!$B:$B,0)),IFERROR(INDEX('Catalog'!$A:$A,MATCH(TRIM(SUBSTITUTE($B2980,CHAR(160)," ")),'Catalog'!$C:$C,0)),""))))</f>
        <v>4409015</v>
      </c>
      <c r="H2980" s="8" t="str">
        <f aca="false">IFERROR(INDEX('TRANS'!$C:$C,MATCH($B2980,'TRANS'!$A:$A,0)),IFERROR(INDEX('Catalog'!$B:$B,MATCH($G2980,'Catalog'!$A:$A,0)),$B2980))</f>
        <v>808KT-BL       טייפ קינזיולוגי</v>
      </c>
      <c r="I2980" s="8" t="str">
        <f aca="false">IF($G2980="","Unmatched","Matched")</f>
        <v>Matched</v>
      </c>
    </row>
    <row r="2981" customFormat="false" ht="15" hidden="false" customHeight="false" outlineLevel="0" collapsed="false">
      <c r="A2981" s="8" t="s">
        <v>1033</v>
      </c>
      <c r="B2981" s="8" t="s">
        <v>248</v>
      </c>
      <c r="C2981" s="19" t="n">
        <v>600</v>
      </c>
      <c r="D2981" s="19" t="n">
        <v>10800.29</v>
      </c>
      <c r="E2981" s="19" t="n">
        <v>0</v>
      </c>
      <c r="F2981" s="19" t="n">
        <v>0</v>
      </c>
      <c r="G2981" s="8" t="n">
        <f aca="false">IFERROR(INDEX('TRANS'!$B:$B,MATCH($B2981,'TRANS'!$A:$A,0)),IFERROR(INDEX('TRANS'!$B:$B,MATCH(TRIM(SUBSTITUTE($B2981,CHAR(160)," ")),'TRANS'!$D:$D,0)),IFERROR(INDEX('Catalog'!$A:$A,MATCH($B2981,'Catalog'!$B:$B,0)),IFERROR(INDEX('Catalog'!$A:$A,MATCH(TRIM(SUBSTITUTE($B2981,CHAR(160)," ")),'Catalog'!$C:$C,0)),""))))</f>
        <v>4409016</v>
      </c>
      <c r="H2981" s="8" t="str">
        <f aca="false">IFERROR(INDEX('TRANS'!$C:$C,MATCH($B2981,'TRANS'!$A:$A,0)),IFERROR(INDEX('Catalog'!$B:$B,MATCH($G2981,'Catalog'!$A:$A,0)),$B2981))</f>
        <v>808KT-C        טייפ קינזיולוגי</v>
      </c>
      <c r="I2981" s="8" t="str">
        <f aca="false">IF($G2981="","Unmatched","Matched")</f>
        <v>Matched</v>
      </c>
    </row>
    <row r="2982" customFormat="false" ht="15" hidden="false" customHeight="false" outlineLevel="0" collapsed="false">
      <c r="A2982" s="8" t="s">
        <v>1033</v>
      </c>
      <c r="B2982" s="8" t="s">
        <v>507</v>
      </c>
      <c r="C2982" s="19" t="n">
        <v>400</v>
      </c>
      <c r="D2982" s="19" t="n">
        <v>7200.19</v>
      </c>
      <c r="E2982" s="19" t="n">
        <v>0</v>
      </c>
      <c r="F2982" s="19" t="n">
        <v>0</v>
      </c>
      <c r="G2982" s="8" t="n">
        <f aca="false">IFERROR(INDEX('TRANS'!$B:$B,MATCH($B2982,'TRANS'!$A:$A,0)),IFERROR(INDEX('TRANS'!$B:$B,MATCH(TRIM(SUBSTITUTE($B2982,CHAR(160)," ")),'TRANS'!$D:$D,0)),IFERROR(INDEX('Catalog'!$A:$A,MATCH($B2982,'Catalog'!$B:$B,0)),IFERROR(INDEX('Catalog'!$A:$A,MATCH(TRIM(SUBSTITUTE($B2982,CHAR(160)," ")),'Catalog'!$C:$C,0)),""))))</f>
        <v>4409014</v>
      </c>
      <c r="H2982" s="8" t="str">
        <f aca="false">IFERROR(INDEX('TRANS'!$C:$C,MATCH($B2982,'TRANS'!$A:$A,0)),IFERROR(INDEX('Catalog'!$B:$B,MATCH($G2982,'Catalog'!$A:$A,0)),$B2982))</f>
        <v>808KT-P        טייפ קינזיולוגי</v>
      </c>
      <c r="I2982" s="8" t="str">
        <f aca="false">IF($G2982="","Unmatched","Matched")</f>
        <v>Matched</v>
      </c>
    </row>
    <row r="2983" customFormat="false" ht="15" hidden="false" customHeight="false" outlineLevel="0" collapsed="false">
      <c r="A2983" s="8" t="s">
        <v>1033</v>
      </c>
      <c r="B2983" s="8" t="s">
        <v>770</v>
      </c>
      <c r="C2983" s="19" t="n">
        <v>1800</v>
      </c>
      <c r="D2983" s="19" t="n">
        <v>33646.56</v>
      </c>
      <c r="E2983" s="19" t="n">
        <v>1300</v>
      </c>
      <c r="F2983" s="19" t="n">
        <v>21555.45</v>
      </c>
      <c r="G2983" s="8" t="str">
        <f aca="false">IFERROR(INDEX('TRANS'!$B:$B,MATCH($B2983,'TRANS'!$A:$A,0)),IFERROR(INDEX('TRANS'!$B:$B,MATCH(TRIM(SUBSTITUTE($B2983,CHAR(160)," ")),'TRANS'!$D:$D,0)),IFERROR(INDEX('Catalog'!$A:$A,MATCH($B2983,'Catalog'!$B:$B,0)),IFERROR(INDEX('Catalog'!$A:$A,MATCH(TRIM(SUBSTITUTE($B2983,CHAR(160)," ")),'Catalog'!$C:$C,0)),""))))</f>
        <v/>
      </c>
      <c r="H2983" s="8" t="str">
        <f aca="false">IFERROR(INDEX('TRANS'!$C:$C,MATCH($B2983,'TRANS'!$A:$A,0)),IFERROR(INDEX('Catalog'!$B:$B,MATCH($G2983,'Catalog'!$A:$A,0)),$B2983))</f>
        <v>808KTP-B</v>
      </c>
      <c r="I2983" s="8" t="str">
        <f aca="false">IF($G2983="","Unmatched","Matched")</f>
        <v>Unmatched</v>
      </c>
    </row>
    <row r="2984" customFormat="false" ht="15" hidden="false" customHeight="false" outlineLevel="0" collapsed="false">
      <c r="A2984" s="8" t="s">
        <v>1033</v>
      </c>
      <c r="B2984" s="8" t="s">
        <v>508</v>
      </c>
      <c r="C2984" s="19" t="n">
        <v>1450</v>
      </c>
      <c r="D2984" s="19" t="n">
        <v>27344.66</v>
      </c>
      <c r="E2984" s="19" t="n">
        <v>1200</v>
      </c>
      <c r="F2984" s="19" t="n">
        <v>20061.36</v>
      </c>
      <c r="G2984" s="8" t="str">
        <f aca="false">IFERROR(INDEX('TRANS'!$B:$B,MATCH($B2984,'TRANS'!$A:$A,0)),IFERROR(INDEX('TRANS'!$B:$B,MATCH(TRIM(SUBSTITUTE($B2984,CHAR(160)," ")),'TRANS'!$D:$D,0)),IFERROR(INDEX('Catalog'!$A:$A,MATCH($B2984,'Catalog'!$B:$B,0)),IFERROR(INDEX('Catalog'!$A:$A,MATCH(TRIM(SUBSTITUTE($B2984,CHAR(160)," ")),'Catalog'!$C:$C,0)),""))))</f>
        <v/>
      </c>
      <c r="H2984" s="8" t="str">
        <f aca="false">IFERROR(INDEX('TRANS'!$C:$C,MATCH($B2984,'TRANS'!$A:$A,0)),IFERROR(INDEX('Catalog'!$B:$B,MATCH($G2984,'Catalog'!$A:$A,0)),$B2984))</f>
        <v>808KTP-BL</v>
      </c>
      <c r="I2984" s="8" t="str">
        <f aca="false">IF($G2984="","Unmatched","Matched")</f>
        <v>Unmatched</v>
      </c>
    </row>
    <row r="2985" customFormat="false" ht="15" hidden="false" customHeight="false" outlineLevel="0" collapsed="false">
      <c r="A2985" s="8" t="s">
        <v>1033</v>
      </c>
      <c r="B2985" s="8" t="s">
        <v>630</v>
      </c>
      <c r="C2985" s="19" t="n">
        <v>1700</v>
      </c>
      <c r="D2985" s="19" t="n">
        <v>32023.54</v>
      </c>
      <c r="E2985" s="19" t="n">
        <v>1400</v>
      </c>
      <c r="F2985" s="19" t="n">
        <v>22980.19</v>
      </c>
      <c r="G2985" s="8" t="str">
        <f aca="false">IFERROR(INDEX('TRANS'!$B:$B,MATCH($B2985,'TRANS'!$A:$A,0)),IFERROR(INDEX('TRANS'!$B:$B,MATCH(TRIM(SUBSTITUTE($B2985,CHAR(160)," ")),'TRANS'!$D:$D,0)),IFERROR(INDEX('Catalog'!$A:$A,MATCH($B2985,'Catalog'!$B:$B,0)),IFERROR(INDEX('Catalog'!$A:$A,MATCH(TRIM(SUBSTITUTE($B2985,CHAR(160)," ")),'Catalog'!$C:$C,0)),""))))</f>
        <v/>
      </c>
      <c r="H2985" s="8" t="str">
        <f aca="false">IFERROR(INDEX('TRANS'!$C:$C,MATCH($B2985,'TRANS'!$A:$A,0)),IFERROR(INDEX('Catalog'!$B:$B,MATCH($G2985,'Catalog'!$A:$A,0)),$B2985))</f>
        <v>808KTP-C</v>
      </c>
      <c r="I2985" s="8" t="str">
        <f aca="false">IF($G2985="","Unmatched","Matched")</f>
        <v>Unmatched</v>
      </c>
    </row>
    <row r="2986" customFormat="false" ht="15" hidden="false" customHeight="false" outlineLevel="0" collapsed="false">
      <c r="A2986" s="8" t="s">
        <v>1033</v>
      </c>
      <c r="B2986" s="8" t="s">
        <v>701</v>
      </c>
      <c r="C2986" s="19" t="n">
        <v>1600</v>
      </c>
      <c r="D2986" s="19" t="n">
        <v>30065.76</v>
      </c>
      <c r="E2986" s="19" t="n">
        <v>1300</v>
      </c>
      <c r="F2986" s="19" t="n">
        <v>21555.45</v>
      </c>
      <c r="G2986" s="8" t="str">
        <f aca="false">IFERROR(INDEX('TRANS'!$B:$B,MATCH($B2986,'TRANS'!$A:$A,0)),IFERROR(INDEX('TRANS'!$B:$B,MATCH(TRIM(SUBSTITUTE($B2986,CHAR(160)," ")),'TRANS'!$D:$D,0)),IFERROR(INDEX('Catalog'!$A:$A,MATCH($B2986,'Catalog'!$B:$B,0)),IFERROR(INDEX('Catalog'!$A:$A,MATCH(TRIM(SUBSTITUTE($B2986,CHAR(160)," ")),'Catalog'!$C:$C,0)),""))))</f>
        <v/>
      </c>
      <c r="H2986" s="8" t="str">
        <f aca="false">IFERROR(INDEX('TRANS'!$C:$C,MATCH($B2986,'TRANS'!$A:$A,0)),IFERROR(INDEX('Catalog'!$B:$B,MATCH($G2986,'Catalog'!$A:$A,0)),$B2986))</f>
        <v>808KTP-P</v>
      </c>
      <c r="I2986" s="8" t="str">
        <f aca="false">IF($G2986="","Unmatched","Matched")</f>
        <v>Unmatched</v>
      </c>
    </row>
    <row r="2987" customFormat="false" ht="15" hidden="false" customHeight="false" outlineLevel="0" collapsed="false">
      <c r="A2987" s="8" t="s">
        <v>1033</v>
      </c>
      <c r="B2987" s="8" t="s">
        <v>252</v>
      </c>
      <c r="C2987" s="19" t="n">
        <v>360</v>
      </c>
      <c r="D2987" s="19" t="n">
        <v>11222.39</v>
      </c>
      <c r="E2987" s="19" t="n">
        <v>230</v>
      </c>
      <c r="F2987" s="19" t="n">
        <v>6417.16</v>
      </c>
      <c r="G2987" s="8" t="n">
        <f aca="false">IFERROR(INDEX('TRANS'!$B:$B,MATCH($B2987,'TRANS'!$A:$A,0)),IFERROR(INDEX('TRANS'!$B:$B,MATCH(TRIM(SUBSTITUTE($B2987,CHAR(160)," ")),'TRANS'!$D:$D,0)),IFERROR(INDEX('Catalog'!$A:$A,MATCH($B2987,'Catalog'!$B:$B,0)),IFERROR(INDEX('Catalog'!$A:$A,MATCH(TRIM(SUBSTITUTE($B2987,CHAR(160)," ")),'Catalog'!$C:$C,0)),""))))</f>
        <v>4413135</v>
      </c>
      <c r="H2987" s="8" t="str">
        <f aca="false">IFERROR(INDEX('TRANS'!$C:$C,MATCH($B2987,'TRANS'!$A:$A,0)),IFERROR(INDEX('Catalog'!$B:$B,MATCH($G2987,'Catalog'!$A:$A,0)),$B2987))</f>
        <v>85 L (מתלה ליד )כיס</v>
      </c>
      <c r="I2987" s="8" t="str">
        <f aca="false">IF($G2987="","Unmatched","Matched")</f>
        <v>Matched</v>
      </c>
    </row>
    <row r="2988" customFormat="false" ht="15" hidden="false" customHeight="false" outlineLevel="0" collapsed="false">
      <c r="A2988" s="8" t="s">
        <v>1033</v>
      </c>
      <c r="B2988" s="8" t="s">
        <v>253</v>
      </c>
      <c r="C2988" s="19" t="n">
        <v>320</v>
      </c>
      <c r="D2988" s="19" t="n">
        <v>9921.33</v>
      </c>
      <c r="E2988" s="19" t="n">
        <v>190</v>
      </c>
      <c r="F2988" s="19" t="n">
        <v>5248.11</v>
      </c>
      <c r="G2988" s="8" t="n">
        <f aca="false">IFERROR(INDEX('TRANS'!$B:$B,MATCH($B2988,'TRANS'!$A:$A,0)),IFERROR(INDEX('TRANS'!$B:$B,MATCH(TRIM(SUBSTITUTE($B2988,CHAR(160)," ")),'TRANS'!$D:$D,0)),IFERROR(INDEX('Catalog'!$A:$A,MATCH($B2988,'Catalog'!$B:$B,0)),IFERROR(INDEX('Catalog'!$A:$A,MATCH(TRIM(SUBSTITUTE($B2988,CHAR(160)," ")),'Catalog'!$C:$C,0)),""))))</f>
        <v>4413136</v>
      </c>
      <c r="H2988" s="8" t="str">
        <f aca="false">IFERROR(INDEX('TRANS'!$C:$C,MATCH($B2988,'TRANS'!$A:$A,0)),IFERROR(INDEX('Catalog'!$B:$B,MATCH($G2988,'Catalog'!$A:$A,0)),$B2988))</f>
        <v>85 M (מתלה ליד )כיס</v>
      </c>
      <c r="I2988" s="8" t="str">
        <f aca="false">IF($G2988="","Unmatched","Matched")</f>
        <v>Matched</v>
      </c>
    </row>
    <row r="2989" customFormat="false" ht="15" hidden="false" customHeight="false" outlineLevel="0" collapsed="false">
      <c r="A2989" s="8" t="s">
        <v>1033</v>
      </c>
      <c r="B2989" s="8" t="s">
        <v>664</v>
      </c>
      <c r="C2989" s="19" t="n">
        <v>110</v>
      </c>
      <c r="D2989" s="19" t="n">
        <v>3432.26</v>
      </c>
      <c r="E2989" s="19" t="n">
        <v>20</v>
      </c>
      <c r="F2989" s="19" t="n">
        <v>583.98</v>
      </c>
      <c r="G2989" s="8" t="n">
        <f aca="false">IFERROR(INDEX('TRANS'!$B:$B,MATCH($B2989,'TRANS'!$A:$A,0)),IFERROR(INDEX('TRANS'!$B:$B,MATCH(TRIM(SUBSTITUTE($B2989,CHAR(160)," ")),'TRANS'!$D:$D,0)),IFERROR(INDEX('Catalog'!$A:$A,MATCH($B2989,'Catalog'!$B:$B,0)),IFERROR(INDEX('Catalog'!$A:$A,MATCH(TRIM(SUBSTITUTE($B2989,CHAR(160)," ")),'Catalog'!$C:$C,0)),""))))</f>
        <v>4413137</v>
      </c>
      <c r="H2989" s="8" t="str">
        <f aca="false">IFERROR(INDEX('TRANS'!$C:$C,MATCH($B2989,'TRANS'!$A:$A,0)),IFERROR(INDEX('Catalog'!$B:$B,MATCH($G2989,'Catalog'!$A:$A,0)),$B2989))</f>
        <v>85 S (מתלה ליד )כיס</v>
      </c>
      <c r="I2989" s="8" t="str">
        <f aca="false">IF($G2989="","Unmatched","Matched")</f>
        <v>Matched</v>
      </c>
    </row>
    <row r="2990" customFormat="false" ht="15" hidden="false" customHeight="false" outlineLevel="0" collapsed="false">
      <c r="A2990" s="8" t="s">
        <v>1033</v>
      </c>
      <c r="B2990" s="8" t="s">
        <v>254</v>
      </c>
      <c r="C2990" s="19" t="n">
        <v>170</v>
      </c>
      <c r="D2990" s="19" t="n">
        <v>5328.74</v>
      </c>
      <c r="E2990" s="19" t="n">
        <v>80</v>
      </c>
      <c r="F2990" s="19" t="n">
        <v>2208.1</v>
      </c>
      <c r="G2990" s="8" t="n">
        <f aca="false">IFERROR(INDEX('TRANS'!$B:$B,MATCH($B2990,'TRANS'!$A:$A,0)),IFERROR(INDEX('TRANS'!$B:$B,MATCH(TRIM(SUBSTITUTE($B2990,CHAR(160)," ")),'TRANS'!$D:$D,0)),IFERROR(INDEX('Catalog'!$A:$A,MATCH($B2990,'Catalog'!$B:$B,0)),IFERROR(INDEX('Catalog'!$A:$A,MATCH(TRIM(SUBSTITUTE($B2990,CHAR(160)," ")),'Catalog'!$C:$C,0)),""))))</f>
        <v>4413138</v>
      </c>
      <c r="H2990" s="8" t="str">
        <f aca="false">IFERROR(INDEX('TRANS'!$C:$C,MATCH($B2990,'TRANS'!$A:$A,0)),IFERROR(INDEX('Catalog'!$B:$B,MATCH($G2990,'Catalog'!$A:$A,0)),$B2990))</f>
        <v>85 XL (מתלה ליד )כיס</v>
      </c>
      <c r="I2990" s="8" t="str">
        <f aca="false">IF($G2990="","Unmatched","Matched")</f>
        <v>Matched</v>
      </c>
    </row>
    <row r="2991" customFormat="false" ht="15" hidden="false" customHeight="false" outlineLevel="0" collapsed="false">
      <c r="A2991" s="8" t="s">
        <v>1033</v>
      </c>
      <c r="B2991" s="8" t="s">
        <v>259</v>
      </c>
      <c r="C2991" s="19" t="n">
        <v>230</v>
      </c>
      <c r="D2991" s="19" t="n">
        <v>8815.84</v>
      </c>
      <c r="E2991" s="19" t="n">
        <v>120</v>
      </c>
      <c r="F2991" s="19" t="n">
        <v>4074.97</v>
      </c>
      <c r="G2991" s="8" t="n">
        <f aca="false">IFERROR(INDEX('TRANS'!$B:$B,MATCH($B2991,'TRANS'!$A:$A,0)),IFERROR(INDEX('TRANS'!$B:$B,MATCH(TRIM(SUBSTITUTE($B2991,CHAR(160)," ")),'TRANS'!$D:$D,0)),IFERROR(INDEX('Catalog'!$A:$A,MATCH($B2991,'Catalog'!$B:$B,0)),IFERROR(INDEX('Catalog'!$A:$A,MATCH(TRIM(SUBSTITUTE($B2991,CHAR(160)," ")),'Catalog'!$C:$C,0)),""))))</f>
        <v>4413455</v>
      </c>
      <c r="H2991" s="8" t="str">
        <f aca="false">IFERROR(INDEX('TRANS'!$C:$C,MATCH($B2991,'TRANS'!$A:$A,0)),IFERROR(INDEX('Catalog'!$B:$B,MATCH($G2991,'Catalog'!$A:$A,0)),$B2991))</f>
        <v>85K מתלה ליד לילדים</v>
      </c>
      <c r="I2991" s="8" t="str">
        <f aca="false">IF($G2991="","Unmatched","Matched")</f>
        <v>Matched</v>
      </c>
    </row>
    <row r="2992" customFormat="false" ht="15" hidden="false" customHeight="false" outlineLevel="0" collapsed="false">
      <c r="A2992" s="8" t="s">
        <v>1033</v>
      </c>
      <c r="B2992" s="8" t="s">
        <v>427</v>
      </c>
      <c r="C2992" s="19" t="n">
        <v>90</v>
      </c>
      <c r="D2992" s="19" t="n">
        <v>1296.79</v>
      </c>
      <c r="E2992" s="19" t="n">
        <v>40</v>
      </c>
      <c r="F2992" s="19" t="n">
        <v>520.31</v>
      </c>
      <c r="G2992" s="8" t="n">
        <f aca="false">IFERROR(INDEX('TRANS'!$B:$B,MATCH($B2992,'TRANS'!$A:$A,0)),IFERROR(INDEX('TRANS'!$B:$B,MATCH(TRIM(SUBSTITUTE($B2992,CHAR(160)," ")),'TRANS'!$D:$D,0)),IFERROR(INDEX('Catalog'!$A:$A,MATCH($B2992,'Catalog'!$B:$B,0)),IFERROR(INDEX('Catalog'!$A:$A,MATCH(TRIM(SUBSTITUTE($B2992,CHAR(160)," ")),'Catalog'!$C:$C,0)),""))))</f>
        <v>4413139</v>
      </c>
      <c r="H2992" s="8" t="str">
        <f aca="false">IFERROR(INDEX('TRANS'!$C:$C,MATCH($B2992,'TRANS'!$A:$A,0)),IFERROR(INDEX('Catalog'!$B:$B,MATCH($G2992,'Catalog'!$A:$A,0)),$B2992))</f>
        <v>95 L מגן מרפק רגיל לבן</v>
      </c>
      <c r="I2992" s="8" t="str">
        <f aca="false">IF($G2992="","Unmatched","Matched")</f>
        <v>Matched</v>
      </c>
    </row>
    <row r="2993" customFormat="false" ht="15" hidden="false" customHeight="false" outlineLevel="0" collapsed="false">
      <c r="A2993" s="8" t="s">
        <v>1033</v>
      </c>
      <c r="B2993" s="8" t="s">
        <v>260</v>
      </c>
      <c r="C2993" s="19" t="n">
        <v>120</v>
      </c>
      <c r="D2993" s="19" t="n">
        <v>1725.64</v>
      </c>
      <c r="E2993" s="19" t="n">
        <v>40</v>
      </c>
      <c r="F2993" s="19" t="n">
        <v>525.4</v>
      </c>
      <c r="G2993" s="8" t="n">
        <f aca="false">IFERROR(INDEX('TRANS'!$B:$B,MATCH($B2993,'TRANS'!$A:$A,0)),IFERROR(INDEX('TRANS'!$B:$B,MATCH(TRIM(SUBSTITUTE($B2993,CHAR(160)," ")),'TRANS'!$D:$D,0)),IFERROR(INDEX('Catalog'!$A:$A,MATCH($B2993,'Catalog'!$B:$B,0)),IFERROR(INDEX('Catalog'!$A:$A,MATCH(TRIM(SUBSTITUTE($B2993,CHAR(160)," ")),'Catalog'!$C:$C,0)),""))))</f>
        <v>4413140</v>
      </c>
      <c r="H2993" s="8" t="str">
        <f aca="false">IFERROR(INDEX('TRANS'!$C:$C,MATCH($B2993,'TRANS'!$A:$A,0)),IFERROR(INDEX('Catalog'!$B:$B,MATCH($G2993,'Catalog'!$A:$A,0)),$B2993))</f>
        <v>95 M מגן מרפק רגיל לבן</v>
      </c>
      <c r="I2993" s="8" t="str">
        <f aca="false">IF($G2993="","Unmatched","Matched")</f>
        <v>Matched</v>
      </c>
    </row>
    <row r="2994" customFormat="false" ht="15" hidden="false" customHeight="false" outlineLevel="0" collapsed="false">
      <c r="A2994" s="8" t="s">
        <v>1033</v>
      </c>
      <c r="B2994" s="8" t="s">
        <v>428</v>
      </c>
      <c r="C2994" s="19" t="n">
        <v>90</v>
      </c>
      <c r="D2994" s="19" t="n">
        <v>1304.22</v>
      </c>
      <c r="E2994" s="19" t="n">
        <v>20</v>
      </c>
      <c r="F2994" s="19" t="n">
        <v>270.09</v>
      </c>
      <c r="G2994" s="8" t="n">
        <f aca="false">IFERROR(INDEX('TRANS'!$B:$B,MATCH($B2994,'TRANS'!$A:$A,0)),IFERROR(INDEX('TRANS'!$B:$B,MATCH(TRIM(SUBSTITUTE($B2994,CHAR(160)," ")),'TRANS'!$D:$D,0)),IFERROR(INDEX('Catalog'!$A:$A,MATCH($B2994,'Catalog'!$B:$B,0)),IFERROR(INDEX('Catalog'!$A:$A,MATCH(TRIM(SUBSTITUTE($B2994,CHAR(160)," ")),'Catalog'!$C:$C,0)),""))))</f>
        <v>4413141</v>
      </c>
      <c r="H2994" s="8" t="str">
        <f aca="false">IFERROR(INDEX('TRANS'!$C:$C,MATCH($B2994,'TRANS'!$A:$A,0)),IFERROR(INDEX('Catalog'!$B:$B,MATCH($G2994,'Catalog'!$A:$A,0)),$B2994))</f>
        <v>95 S מגן מרפק רגיל לבן</v>
      </c>
      <c r="I2994" s="8" t="str">
        <f aca="false">IF($G2994="","Unmatched","Matched")</f>
        <v>Matched</v>
      </c>
    </row>
    <row r="2995" customFormat="false" ht="15" hidden="false" customHeight="false" outlineLevel="0" collapsed="false">
      <c r="A2995" s="8" t="s">
        <v>1033</v>
      </c>
      <c r="B2995" s="8" t="s">
        <v>261</v>
      </c>
      <c r="C2995" s="19" t="n">
        <v>320</v>
      </c>
      <c r="D2995" s="19" t="n">
        <v>4543.74</v>
      </c>
      <c r="E2995" s="19" t="n">
        <v>190</v>
      </c>
      <c r="F2995" s="19" t="n">
        <v>2462.67</v>
      </c>
      <c r="G2995" s="8" t="n">
        <f aca="false">IFERROR(INDEX('TRANS'!$B:$B,MATCH($B2995,'TRANS'!$A:$A,0)),IFERROR(INDEX('TRANS'!$B:$B,MATCH(TRIM(SUBSTITUTE($B2995,CHAR(160)," ")),'TRANS'!$D:$D,0)),IFERROR(INDEX('Catalog'!$A:$A,MATCH($B2995,'Catalog'!$B:$B,0)),IFERROR(INDEX('Catalog'!$A:$A,MATCH(TRIM(SUBSTITUTE($B2995,CHAR(160)," ")),'Catalog'!$C:$C,0)),""))))</f>
        <v>4413500</v>
      </c>
      <c r="H2995" s="8" t="str">
        <f aca="false">IFERROR(INDEX('TRANS'!$C:$C,MATCH($B2995,'TRANS'!$A:$A,0)),IFERROR(INDEX('Catalog'!$B:$B,MATCH($G2995,'Catalog'!$A:$A,0)),$B2995))</f>
        <v>95B L מגן מרפק שחור</v>
      </c>
      <c r="I2995" s="8" t="str">
        <f aca="false">IF($G2995="","Unmatched","Matched")</f>
        <v>Matched</v>
      </c>
    </row>
    <row r="2996" customFormat="false" ht="15" hidden="false" customHeight="false" outlineLevel="0" collapsed="false">
      <c r="A2996" s="8" t="s">
        <v>1033</v>
      </c>
      <c r="B2996" s="8" t="s">
        <v>262</v>
      </c>
      <c r="C2996" s="19" t="n">
        <v>300</v>
      </c>
      <c r="D2996" s="19" t="n">
        <v>4263.53</v>
      </c>
      <c r="E2996" s="19" t="n">
        <v>100</v>
      </c>
      <c r="F2996" s="19" t="n">
        <v>1280.9</v>
      </c>
      <c r="G2996" s="8" t="n">
        <f aca="false">IFERROR(INDEX('TRANS'!$B:$B,MATCH($B2996,'TRANS'!$A:$A,0)),IFERROR(INDEX('TRANS'!$B:$B,MATCH(TRIM(SUBSTITUTE($B2996,CHAR(160)," ")),'TRANS'!$D:$D,0)),IFERROR(INDEX('Catalog'!$A:$A,MATCH($B2996,'Catalog'!$B:$B,0)),IFERROR(INDEX('Catalog'!$A:$A,MATCH(TRIM(SUBSTITUTE($B2996,CHAR(160)," ")),'Catalog'!$C:$C,0)),""))))</f>
        <v>4413501</v>
      </c>
      <c r="H2996" s="8" t="str">
        <f aca="false">IFERROR(INDEX('TRANS'!$C:$C,MATCH($B2996,'TRANS'!$A:$A,0)),IFERROR(INDEX('Catalog'!$B:$B,MATCH($G2996,'Catalog'!$A:$A,0)),$B2996))</f>
        <v>95B M מגן מרפק שחור</v>
      </c>
      <c r="I2996" s="8" t="str">
        <f aca="false">IF($G2996="","Unmatched","Matched")</f>
        <v>Matched</v>
      </c>
    </row>
    <row r="2997" customFormat="false" ht="15" hidden="false" customHeight="false" outlineLevel="0" collapsed="false">
      <c r="A2997" s="8" t="s">
        <v>1033</v>
      </c>
      <c r="B2997" s="8" t="s">
        <v>263</v>
      </c>
      <c r="C2997" s="19" t="n">
        <v>220</v>
      </c>
      <c r="D2997" s="19" t="n">
        <v>3151.31</v>
      </c>
      <c r="E2997" s="19" t="n">
        <v>60</v>
      </c>
      <c r="F2997" s="19" t="n">
        <v>765.93</v>
      </c>
      <c r="G2997" s="8" t="n">
        <f aca="false">IFERROR(INDEX('TRANS'!$B:$B,MATCH($B2997,'TRANS'!$A:$A,0)),IFERROR(INDEX('TRANS'!$B:$B,MATCH(TRIM(SUBSTITUTE($B2997,CHAR(160)," ")),'TRANS'!$D:$D,0)),IFERROR(INDEX('Catalog'!$A:$A,MATCH($B2997,'Catalog'!$B:$B,0)),IFERROR(INDEX('Catalog'!$A:$A,MATCH(TRIM(SUBSTITUTE($B2997,CHAR(160)," ")),'Catalog'!$C:$C,0)),""))))</f>
        <v>4413502</v>
      </c>
      <c r="H2997" s="8" t="str">
        <f aca="false">IFERROR(INDEX('TRANS'!$C:$C,MATCH($B2997,'TRANS'!$A:$A,0)),IFERROR(INDEX('Catalog'!$B:$B,MATCH($G2997,'Catalog'!$A:$A,0)),$B2997))</f>
        <v>95B S מגן מרפק שחור</v>
      </c>
      <c r="I2997" s="8" t="str">
        <f aca="false">IF($G2997="","Unmatched","Matched")</f>
        <v>Matched</v>
      </c>
    </row>
    <row r="2998" customFormat="false" ht="15" hidden="false" customHeight="false" outlineLevel="0" collapsed="false">
      <c r="A2998" s="8" t="s">
        <v>1033</v>
      </c>
      <c r="B2998" s="8" t="s">
        <v>264</v>
      </c>
      <c r="C2998" s="19" t="n">
        <v>170</v>
      </c>
      <c r="D2998" s="19" t="n">
        <v>2444.95</v>
      </c>
      <c r="E2998" s="19" t="n">
        <v>50</v>
      </c>
      <c r="F2998" s="19" t="n">
        <v>635.73</v>
      </c>
      <c r="G2998" s="8" t="n">
        <f aca="false">IFERROR(INDEX('TRANS'!$B:$B,MATCH($B2998,'TRANS'!$A:$A,0)),IFERROR(INDEX('TRANS'!$B:$B,MATCH(TRIM(SUBSTITUTE($B2998,CHAR(160)," ")),'TRANS'!$D:$D,0)),IFERROR(INDEX('Catalog'!$A:$A,MATCH($B2998,'Catalog'!$B:$B,0)),IFERROR(INDEX('Catalog'!$A:$A,MATCH(TRIM(SUBSTITUTE($B2998,CHAR(160)," ")),'Catalog'!$C:$C,0)),""))))</f>
        <v>4413503</v>
      </c>
      <c r="H2998" s="8" t="str">
        <f aca="false">IFERROR(INDEX('TRANS'!$C:$C,MATCH($B2998,'TRANS'!$A:$A,0)),IFERROR(INDEX('Catalog'!$B:$B,MATCH($G2998,'Catalog'!$A:$A,0)),$B2998))</f>
        <v>95B XL מגן מרפק שחור</v>
      </c>
      <c r="I2998" s="8" t="str">
        <f aca="false">IF($G2998="","Unmatched","Matched")</f>
        <v>Matched</v>
      </c>
    </row>
    <row r="2999" customFormat="false" ht="15" hidden="false" customHeight="false" outlineLevel="0" collapsed="false">
      <c r="A2999" s="8" t="s">
        <v>1033</v>
      </c>
      <c r="B2999" s="8" t="s">
        <v>265</v>
      </c>
      <c r="C2999" s="19" t="n">
        <v>140</v>
      </c>
      <c r="D2999" s="19" t="n">
        <v>2022.47</v>
      </c>
      <c r="E2999" s="19" t="n">
        <v>20</v>
      </c>
      <c r="F2999" s="19" t="n">
        <v>250.22</v>
      </c>
      <c r="G2999" s="8" t="n">
        <f aca="false">IFERROR(INDEX('TRANS'!$B:$B,MATCH($B2999,'TRANS'!$A:$A,0)),IFERROR(INDEX('TRANS'!$B:$B,MATCH(TRIM(SUBSTITUTE($B2999,CHAR(160)," ")),'TRANS'!$D:$D,0)),IFERROR(INDEX('Catalog'!$A:$A,MATCH($B2999,'Catalog'!$B:$B,0)),IFERROR(INDEX('Catalog'!$A:$A,MATCH(TRIM(SUBSTITUTE($B2999,CHAR(160)," ")),'Catalog'!$C:$C,0)),""))))</f>
        <v>4413365</v>
      </c>
      <c r="H2999" s="8" t="str">
        <f aca="false">IFERROR(INDEX('TRANS'!$C:$C,MATCH($B2999,'TRANS'!$A:$A,0)),IFERROR(INDEX('Catalog'!$B:$B,MATCH($G2999,'Catalog'!$A:$A,0)),$B2999))</f>
        <v>95C L 'מגן מרפק בז</v>
      </c>
      <c r="I2999" s="8" t="str">
        <f aca="false">IF($G2999="","Unmatched","Matched")</f>
        <v>Matched</v>
      </c>
    </row>
    <row r="3000" customFormat="false" ht="15" hidden="false" customHeight="false" outlineLevel="0" collapsed="false">
      <c r="A3000" s="8" t="s">
        <v>1033</v>
      </c>
      <c r="B3000" s="8" t="s">
        <v>266</v>
      </c>
      <c r="C3000" s="19" t="n">
        <v>170</v>
      </c>
      <c r="D3000" s="19" t="n">
        <v>2469.69</v>
      </c>
      <c r="E3000" s="19" t="n">
        <v>80</v>
      </c>
      <c r="F3000" s="19" t="n">
        <v>1045.97</v>
      </c>
      <c r="G3000" s="8" t="n">
        <f aca="false">IFERROR(INDEX('TRANS'!$B:$B,MATCH($B3000,'TRANS'!$A:$A,0)),IFERROR(INDEX('TRANS'!$B:$B,MATCH(TRIM(SUBSTITUTE($B3000,CHAR(160)," ")),'TRANS'!$D:$D,0)),IFERROR(INDEX('Catalog'!$A:$A,MATCH($B3000,'Catalog'!$B:$B,0)),IFERROR(INDEX('Catalog'!$A:$A,MATCH(TRIM(SUBSTITUTE($B3000,CHAR(160)," ")),'Catalog'!$C:$C,0)),""))))</f>
        <v>4413364</v>
      </c>
      <c r="H3000" s="8" t="str">
        <f aca="false">IFERROR(INDEX('TRANS'!$C:$C,MATCH($B3000,'TRANS'!$A:$A,0)),IFERROR(INDEX('Catalog'!$B:$B,MATCH($G3000,'Catalog'!$A:$A,0)),$B3000))</f>
        <v>95C M 'מגן מרפק בז</v>
      </c>
      <c r="I3000" s="8" t="str">
        <f aca="false">IF($G3000="","Unmatched","Matched")</f>
        <v>Matched</v>
      </c>
    </row>
    <row r="3001" customFormat="false" ht="15" hidden="false" customHeight="false" outlineLevel="0" collapsed="false">
      <c r="A3001" s="8" t="s">
        <v>1033</v>
      </c>
      <c r="B3001" s="8" t="s">
        <v>430</v>
      </c>
      <c r="C3001" s="19" t="n">
        <v>132</v>
      </c>
      <c r="D3001" s="19" t="n">
        <v>1887.79</v>
      </c>
      <c r="E3001" s="19" t="n">
        <v>40</v>
      </c>
      <c r="F3001" s="19" t="n">
        <v>520.31</v>
      </c>
      <c r="G3001" s="8" t="n">
        <f aca="false">IFERROR(INDEX('TRANS'!$B:$B,MATCH($B3001,'TRANS'!$A:$A,0)),IFERROR(INDEX('TRANS'!$B:$B,MATCH(TRIM(SUBSTITUTE($B3001,CHAR(160)," ")),'TRANS'!$D:$D,0)),IFERROR(INDEX('Catalog'!$A:$A,MATCH($B3001,'Catalog'!$B:$B,0)),IFERROR(INDEX('Catalog'!$A:$A,MATCH(TRIM(SUBSTITUTE($B3001,CHAR(160)," ")),'Catalog'!$C:$C,0)),""))))</f>
        <v>4413366</v>
      </c>
      <c r="H3001" s="8" t="str">
        <f aca="false">IFERROR(INDEX('TRANS'!$C:$C,MATCH($B3001,'TRANS'!$A:$A,0)),IFERROR(INDEX('Catalog'!$B:$B,MATCH($G3001,'Catalog'!$A:$A,0)),$B3001))</f>
        <v>95C S 'מגן מרפק בז</v>
      </c>
      <c r="I3001" s="8" t="str">
        <f aca="false">IF($G3001="","Unmatched","Matched")</f>
        <v>Matched</v>
      </c>
    </row>
    <row r="3002" customFormat="false" ht="15" hidden="false" customHeight="false" outlineLevel="0" collapsed="false">
      <c r="A3002" s="8" t="s">
        <v>1033</v>
      </c>
      <c r="B3002" s="8" t="s">
        <v>431</v>
      </c>
      <c r="C3002" s="19" t="n">
        <v>90</v>
      </c>
      <c r="D3002" s="19" t="n">
        <v>1302.74</v>
      </c>
      <c r="E3002" s="19" t="n">
        <v>30</v>
      </c>
      <c r="F3002" s="19" t="n">
        <v>385.52</v>
      </c>
      <c r="G3002" s="8" t="n">
        <f aca="false">IFERROR(INDEX('TRANS'!$B:$B,MATCH($B3002,'TRANS'!$A:$A,0)),IFERROR(INDEX('TRANS'!$B:$B,MATCH(TRIM(SUBSTITUTE($B3002,CHAR(160)," ")),'TRANS'!$D:$D,0)),IFERROR(INDEX('Catalog'!$A:$A,MATCH($B3002,'Catalog'!$B:$B,0)),IFERROR(INDEX('Catalog'!$A:$A,MATCH(TRIM(SUBSTITUTE($B3002,CHAR(160)," ")),'Catalog'!$C:$C,0)),""))))</f>
        <v>4413367</v>
      </c>
      <c r="H3002" s="8" t="str">
        <f aca="false">IFERROR(INDEX('TRANS'!$C:$C,MATCH($B3002,'TRANS'!$A:$A,0)),IFERROR(INDEX('Catalog'!$B:$B,MATCH($G3002,'Catalog'!$A:$A,0)),$B3002))</f>
        <v>95C XL'מגן מרפק בז</v>
      </c>
      <c r="I3002" s="8" t="str">
        <f aca="false">IF($G3002="","Unmatched","Matched")</f>
        <v>Matched</v>
      </c>
    </row>
    <row r="3003" customFormat="false" ht="15" hidden="false" customHeight="false" outlineLevel="0" collapsed="false">
      <c r="A3003" s="8" t="s">
        <v>1033</v>
      </c>
      <c r="B3003" s="8" t="s">
        <v>269</v>
      </c>
      <c r="C3003" s="19" t="n">
        <v>690</v>
      </c>
      <c r="D3003" s="19" t="n">
        <v>13751.05</v>
      </c>
      <c r="E3003" s="19" t="n">
        <v>400</v>
      </c>
      <c r="F3003" s="19" t="n">
        <v>7161.24</v>
      </c>
      <c r="G3003" s="8" t="n">
        <f aca="false">IFERROR(INDEX('TRANS'!$B:$B,MATCH($B3003,'TRANS'!$A:$A,0)),IFERROR(INDEX('TRANS'!$B:$B,MATCH(TRIM(SUBSTITUTE($B3003,CHAR(160)," ")),'TRANS'!$D:$D,0)),IFERROR(INDEX('Catalog'!$A:$A,MATCH($B3003,'Catalog'!$B:$B,0)),IFERROR(INDEX('Catalog'!$A:$A,MATCH(TRIM(SUBSTITUTE($B3003,CHAR(160)," ")),'Catalog'!$C:$C,0)),""))))</f>
        <v>4408207</v>
      </c>
      <c r="H3003" s="8" t="str">
        <f aca="false">IFERROR(INDEX('TRANS'!$C:$C,MATCH($B3003,'TRANS'!$A:$A,0)),IFERROR(INDEX('Catalog'!$B:$B,MATCH($G3003,'Catalog'!$A:$A,0)),$B3003))</f>
        <v>AC-25 חבק לשורש כף היד</v>
      </c>
      <c r="I3003" s="8" t="str">
        <f aca="false">IF($G3003="","Unmatched","Matched")</f>
        <v>Matched</v>
      </c>
    </row>
    <row r="3004" customFormat="false" ht="15" hidden="false" customHeight="false" outlineLevel="0" collapsed="false">
      <c r="A3004" s="8" t="s">
        <v>1033</v>
      </c>
      <c r="B3004" s="8" t="s">
        <v>270</v>
      </c>
      <c r="C3004" s="19" t="n">
        <v>130</v>
      </c>
      <c r="D3004" s="19" t="n">
        <v>3257.15</v>
      </c>
      <c r="E3004" s="19" t="n">
        <v>50</v>
      </c>
      <c r="F3004" s="19" t="n">
        <v>1125.42</v>
      </c>
      <c r="G3004" s="8" t="n">
        <f aca="false">IFERROR(INDEX('TRANS'!$B:$B,MATCH($B3004,'TRANS'!$A:$A,0)),IFERROR(INDEX('TRANS'!$B:$B,MATCH(TRIM(SUBSTITUTE($B3004,CHAR(160)," ")),'TRANS'!$D:$D,0)),IFERROR(INDEX('Catalog'!$A:$A,MATCH($B3004,'Catalog'!$B:$B,0)),IFERROR(INDEX('Catalog'!$A:$A,MATCH(TRIM(SUBSTITUTE($B3004,CHAR(160)," ")),'Catalog'!$C:$C,0)),""))))</f>
        <v>4415026</v>
      </c>
      <c r="H3004" s="8" t="str">
        <f aca="false">IFERROR(INDEX('TRANS'!$C:$C,MATCH($B3004,'TRANS'!$A:$A,0)),IFERROR(INDEX('Catalog'!$B:$B,MATCH($G3004,'Catalog'!$A:$A,0)),$B3004))</f>
        <v>AC-27L סד לש.כף יד שמאל</v>
      </c>
      <c r="I3004" s="8" t="str">
        <f aca="false">IF($G3004="","Unmatched","Matched")</f>
        <v>Matched</v>
      </c>
    </row>
    <row r="3005" customFormat="false" ht="15" hidden="false" customHeight="false" outlineLevel="0" collapsed="false">
      <c r="A3005" s="8" t="s">
        <v>1033</v>
      </c>
      <c r="B3005" s="8" t="s">
        <v>271</v>
      </c>
      <c r="C3005" s="19" t="n">
        <v>280</v>
      </c>
      <c r="D3005" s="19" t="n">
        <v>7157.1</v>
      </c>
      <c r="E3005" s="19" t="n">
        <v>240</v>
      </c>
      <c r="F3005" s="19" t="n">
        <v>5493.57</v>
      </c>
      <c r="G3005" s="8" t="n">
        <f aca="false">IFERROR(INDEX('TRANS'!$B:$B,MATCH($B3005,'TRANS'!$A:$A,0)),IFERROR(INDEX('TRANS'!$B:$B,MATCH(TRIM(SUBSTITUTE($B3005,CHAR(160)," ")),'TRANS'!$D:$D,0)),IFERROR(INDEX('Catalog'!$A:$A,MATCH($B3005,'Catalog'!$B:$B,0)),IFERROR(INDEX('Catalog'!$A:$A,MATCH(TRIM(SUBSTITUTE($B3005,CHAR(160)," ")),'Catalog'!$C:$C,0)),""))))</f>
        <v>4415027</v>
      </c>
      <c r="H3005" s="8" t="str">
        <f aca="false">IFERROR(INDEX('TRANS'!$C:$C,MATCH($B3005,'TRANS'!$A:$A,0)),IFERROR(INDEX('Catalog'!$B:$B,MATCH($G3005,'Catalog'!$A:$A,0)),$B3005))</f>
        <v>AC-27R סד לש.כף יד ימין</v>
      </c>
      <c r="I3005" s="8" t="str">
        <f aca="false">IF($G3005="","Unmatched","Matched")</f>
        <v>Matched</v>
      </c>
    </row>
    <row r="3006" customFormat="false" ht="15" hidden="false" customHeight="false" outlineLevel="0" collapsed="false">
      <c r="A3006" s="8" t="s">
        <v>1033</v>
      </c>
      <c r="B3006" s="8" t="s">
        <v>272</v>
      </c>
      <c r="C3006" s="19" t="n">
        <v>410</v>
      </c>
      <c r="D3006" s="19" t="n">
        <v>8186.61</v>
      </c>
      <c r="E3006" s="19" t="n">
        <v>310</v>
      </c>
      <c r="F3006" s="19" t="n">
        <v>5600.4</v>
      </c>
      <c r="G3006" s="8" t="n">
        <f aca="false">IFERROR(INDEX('TRANS'!$B:$B,MATCH($B3006,'TRANS'!$A:$A,0)),IFERROR(INDEX('TRANS'!$B:$B,MATCH(TRIM(SUBSTITUTE($B3006,CHAR(160)," ")),'TRANS'!$D:$D,0)),IFERROR(INDEX('Catalog'!$A:$A,MATCH($B3006,'Catalog'!$B:$B,0)),IFERROR(INDEX('Catalog'!$A:$A,MATCH(TRIM(SUBSTITUTE($B3006,CHAR(160)," ")),'Catalog'!$C:$C,0)),""))))</f>
        <v>4415028</v>
      </c>
      <c r="H3006" s="8" t="str">
        <f aca="false">IFERROR(INDEX('TRANS'!$C:$C,MATCH($B3006,'TRANS'!$A:$A,0)),IFERROR(INDEX('Catalog'!$B:$B,MATCH($G3006,'Catalog'!$A:$A,0)),$B3006))</f>
        <v>AC-28 סד לאגודל</v>
      </c>
      <c r="I3006" s="8" t="str">
        <f aca="false">IF($G3006="","Unmatched","Matched")</f>
        <v>Matched</v>
      </c>
    </row>
    <row r="3007" customFormat="false" ht="15" hidden="false" customHeight="false" outlineLevel="0" collapsed="false">
      <c r="A3007" s="8" t="s">
        <v>1033</v>
      </c>
      <c r="B3007" s="8" t="s">
        <v>273</v>
      </c>
      <c r="C3007" s="19" t="n">
        <v>570</v>
      </c>
      <c r="D3007" s="19" t="n">
        <v>13974.56</v>
      </c>
      <c r="E3007" s="19" t="n">
        <v>310</v>
      </c>
      <c r="F3007" s="19" t="n">
        <v>6836.26</v>
      </c>
      <c r="G3007" s="8" t="n">
        <f aca="false">IFERROR(INDEX('TRANS'!$B:$B,MATCH($B3007,'TRANS'!$A:$A,0)),IFERROR(INDEX('TRANS'!$B:$B,MATCH(TRIM(SUBSTITUTE($B3007,CHAR(160)," ")),'TRANS'!$D:$D,0)),IFERROR(INDEX('Catalog'!$A:$A,MATCH($B3007,'Catalog'!$B:$B,0)),IFERROR(INDEX('Catalog'!$A:$A,MATCH(TRIM(SUBSTITUTE($B3007,CHAR(160)," ")),'Catalog'!$C:$C,0)),""))))</f>
        <v>4413326</v>
      </c>
      <c r="H3007" s="8" t="str">
        <f aca="false">IFERROR(INDEX('TRANS'!$C:$C,MATCH($B3007,'TRANS'!$A:$A,0)),IFERROR(INDEX('Catalog'!$B:$B,MATCH($G3007,'Catalog'!$A:$A,0)),$B3007))</f>
        <v>AC37 מגן קרסול נושם</v>
      </c>
      <c r="I3007" s="8" t="str">
        <f aca="false">IF($G3007="","Unmatched","Matched")</f>
        <v>Matched</v>
      </c>
    </row>
    <row r="3008" customFormat="false" ht="15" hidden="false" customHeight="false" outlineLevel="0" collapsed="false">
      <c r="A3008" s="8" t="s">
        <v>1033</v>
      </c>
      <c r="B3008" s="8" t="s">
        <v>56</v>
      </c>
      <c r="C3008" s="19" t="n">
        <v>360</v>
      </c>
      <c r="D3008" s="19" t="n">
        <v>20957.82</v>
      </c>
      <c r="E3008" s="19" t="n">
        <v>220</v>
      </c>
      <c r="F3008" s="19" t="n">
        <v>11484.69</v>
      </c>
      <c r="G3008" s="8" t="n">
        <f aca="false">IFERROR(INDEX('TRANS'!$B:$B,MATCH($B3008,'TRANS'!$A:$A,0)),IFERROR(INDEX('TRANS'!$B:$B,MATCH(TRIM(SUBSTITUTE($B3008,CHAR(160)," ")),'TRANS'!$D:$D,0)),IFERROR(INDEX('Catalog'!$A:$A,MATCH($B3008,'Catalog'!$B:$B,0)),IFERROR(INDEX('Catalog'!$A:$A,MATCH(TRIM(SUBSTITUTE($B3008,CHAR(160)," ")),'Catalog'!$C:$C,0)),""))))</f>
        <v>4413328</v>
      </c>
      <c r="H3008" s="8" t="str">
        <f aca="false">IFERROR(INDEX('TRANS'!$C:$C,MATCH($B3008,'TRANS'!$A:$A,0)),IFERROR(INDEX('Catalog'!$B:$B,MATCH($G3008,'Catalog'!$A:$A,0)),$B3008))</f>
        <v>AC43D מגן ברך + צירים</v>
      </c>
      <c r="I3008" s="8" t="str">
        <f aca="false">IF($G3008="","Unmatched","Matched")</f>
        <v>Matched</v>
      </c>
    </row>
    <row r="3009" customFormat="false" ht="15" hidden="false" customHeight="false" outlineLevel="0" collapsed="false">
      <c r="A3009" s="8" t="s">
        <v>1033</v>
      </c>
      <c r="B3009" s="8" t="s">
        <v>275</v>
      </c>
      <c r="C3009" s="19" t="n">
        <v>320</v>
      </c>
      <c r="D3009" s="19" t="n">
        <v>14546.37</v>
      </c>
      <c r="E3009" s="19" t="n">
        <v>210</v>
      </c>
      <c r="F3009" s="19" t="n">
        <v>8492.98</v>
      </c>
      <c r="G3009" s="8" t="n">
        <f aca="false">IFERROR(INDEX('TRANS'!$B:$B,MATCH($B3009,'TRANS'!$A:$A,0)),IFERROR(INDEX('TRANS'!$B:$B,MATCH(TRIM(SUBSTITUTE($B3009,CHAR(160)," ")),'TRANS'!$D:$D,0)),IFERROR(INDEX('Catalog'!$A:$A,MATCH($B3009,'Catalog'!$B:$B,0)),IFERROR(INDEX('Catalog'!$A:$A,MATCH(TRIM(SUBSTITUTE($B3009,CHAR(160)," ")),'Catalog'!$C:$C,0)),""))))</f>
        <v>4413329</v>
      </c>
      <c r="H3009" s="8" t="str">
        <f aca="false">IFERROR(INDEX('TRANS'!$C:$C,MATCH($B3009,'TRANS'!$A:$A,0)),IFERROR(INDEX('Catalog'!$B:$B,MATCH($G3009,'Catalog'!$A:$A,0)),$B3009))</f>
        <v>AC45X מגן ברך עם תמיכות</v>
      </c>
      <c r="I3009" s="8" t="str">
        <f aca="false">IF($G3009="","Unmatched","Matched")</f>
        <v>Matched</v>
      </c>
    </row>
    <row r="3010" customFormat="false" ht="15" hidden="false" customHeight="false" outlineLevel="0" collapsed="false">
      <c r="A3010" s="8" t="s">
        <v>1033</v>
      </c>
      <c r="B3010" s="8" t="s">
        <v>276</v>
      </c>
      <c r="C3010" s="19" t="n">
        <v>70</v>
      </c>
      <c r="D3010" s="19" t="n">
        <v>3583.91</v>
      </c>
      <c r="E3010" s="19" t="n">
        <v>30</v>
      </c>
      <c r="F3010" s="19" t="n">
        <v>1395.62</v>
      </c>
      <c r="G3010" s="8" t="n">
        <f aca="false">IFERROR(INDEX('TRANS'!$B:$B,MATCH($B3010,'TRANS'!$A:$A,0)),IFERROR(INDEX('TRANS'!$B:$B,MATCH(TRIM(SUBSTITUTE($B3010,CHAR(160)," ")),'TRANS'!$D:$D,0)),IFERROR(INDEX('Catalog'!$A:$A,MATCH($B3010,'Catalog'!$B:$B,0)),IFERROR(INDEX('Catalog'!$A:$A,MATCH(TRIM(SUBSTITUTE($B3010,CHAR(160)," ")),'Catalog'!$C:$C,0)),""))))</f>
        <v>4413456</v>
      </c>
      <c r="H3010" s="8" t="str">
        <f aca="false">IFERROR(INDEX('TRANS'!$C:$C,MATCH($B3010,'TRANS'!$A:$A,0)),IFERROR(INDEX('Catalog'!$B:$B,MATCH($G3010,'Catalog'!$A:$A,0)),$B3010))</f>
        <v>AC75 XXL  מיישר כתפיים אקטיב</v>
      </c>
      <c r="I3010" s="8" t="str">
        <f aca="false">IF($G3010="","Unmatched","Matched")</f>
        <v>Matched</v>
      </c>
    </row>
    <row r="3011" customFormat="false" ht="15" hidden="false" customHeight="false" outlineLevel="0" collapsed="false">
      <c r="A3011" s="8" t="s">
        <v>1033</v>
      </c>
      <c r="B3011" s="8" t="s">
        <v>54</v>
      </c>
      <c r="C3011" s="19" t="n">
        <v>280</v>
      </c>
      <c r="D3011" s="19" t="n">
        <v>14059.75</v>
      </c>
      <c r="E3011" s="19" t="n">
        <v>180</v>
      </c>
      <c r="F3011" s="19" t="n">
        <v>8098.31</v>
      </c>
      <c r="G3011" s="8" t="n">
        <f aca="false">IFERROR(INDEX('TRANS'!$B:$B,MATCH($B3011,'TRANS'!$A:$A,0)),IFERROR(INDEX('TRANS'!$B:$B,MATCH(TRIM(SUBSTITUTE($B3011,CHAR(160)," ")),'TRANS'!$D:$D,0)),IFERROR(INDEX('Catalog'!$A:$A,MATCH($B3011,'Catalog'!$B:$B,0)),IFERROR(INDEX('Catalog'!$A:$A,MATCH(TRIM(SUBSTITUTE($B3011,CHAR(160)," ")),'Catalog'!$C:$C,0)),""))))</f>
        <v>4413453</v>
      </c>
      <c r="H3011" s="8" t="str">
        <f aca="false">IFERROR(INDEX('TRANS'!$C:$C,MATCH($B3011,'TRANS'!$A:$A,0)),IFERROR(INDEX('Catalog'!$B:$B,MATCH($G3011,'Catalog'!$A:$A,0)),$B3011))</f>
        <v>AC75 מישר כתפיים אקטיב</v>
      </c>
      <c r="I3011" s="8" t="str">
        <f aca="false">IF($G3011="","Unmatched","Matched")</f>
        <v>Matched</v>
      </c>
    </row>
    <row r="3012" customFormat="false" ht="15" hidden="false" customHeight="false" outlineLevel="0" collapsed="false">
      <c r="A3012" s="8" t="s">
        <v>1033</v>
      </c>
      <c r="B3012" s="8" t="s">
        <v>277</v>
      </c>
      <c r="C3012" s="19" t="n">
        <v>150</v>
      </c>
      <c r="D3012" s="19" t="n">
        <v>3190.01</v>
      </c>
      <c r="E3012" s="19" t="n">
        <v>90</v>
      </c>
      <c r="F3012" s="19" t="n">
        <v>1724.96</v>
      </c>
      <c r="G3012" s="8" t="n">
        <f aca="false">IFERROR(INDEX('TRANS'!$B:$B,MATCH($B3012,'TRANS'!$A:$A,0)),IFERROR(INDEX('TRANS'!$B:$B,MATCH(TRIM(SUBSTITUTE($B3012,CHAR(160)," ")),'TRANS'!$D:$D,0)),IFERROR(INDEX('Catalog'!$A:$A,MATCH($B3012,'Catalog'!$B:$B,0)),IFERROR(INDEX('Catalog'!$A:$A,MATCH(TRIM(SUBSTITUTE($B3012,CHAR(160)," ")),'Catalog'!$C:$C,0)),""))))</f>
        <v>4408208</v>
      </c>
      <c r="H3012" s="8" t="str">
        <f aca="false">IFERROR(INDEX('TRANS'!$C:$C,MATCH($B3012,'TRANS'!$A:$A,0)),IFERROR(INDEX('Catalog'!$B:$B,MATCH($G3012,'Catalog'!$A:$A,0)),$B3012))</f>
        <v>AC91 חבק טניס</v>
      </c>
      <c r="I3012" s="8" t="str">
        <f aca="false">IF($G3012="","Unmatched","Matched")</f>
        <v>Matched</v>
      </c>
    </row>
    <row r="3013" customFormat="false" ht="15" hidden="false" customHeight="false" outlineLevel="0" collapsed="false">
      <c r="A3013" s="8" t="s">
        <v>1033</v>
      </c>
      <c r="B3013" s="8" t="s">
        <v>284</v>
      </c>
      <c r="C3013" s="19" t="n">
        <v>390</v>
      </c>
      <c r="D3013" s="19" t="n">
        <v>5070.67</v>
      </c>
      <c r="E3013" s="19" t="n">
        <v>290</v>
      </c>
      <c r="F3013" s="19" t="n">
        <v>3375.82</v>
      </c>
      <c r="G3013" s="8" t="n">
        <f aca="false">IFERROR(INDEX('TRANS'!$B:$B,MATCH($B3013,'TRANS'!$A:$A,0)),IFERROR(INDEX('TRANS'!$B:$B,MATCH(TRIM(SUBSTITUTE($B3013,CHAR(160)," ")),'TRANS'!$D:$D,0)),IFERROR(INDEX('Catalog'!$A:$A,MATCH($B3013,'Catalog'!$B:$B,0)),IFERROR(INDEX('Catalog'!$A:$A,MATCH(TRIM(SUBSTITUTE($B3013,CHAR(160)," ")),'Catalog'!$C:$C,0)),""))))</f>
        <v>4413056</v>
      </c>
      <c r="H3013" s="8" t="str">
        <f aca="false">IFERROR(INDEX('TRANS'!$C:$C,MATCH($B3013,'TRANS'!$A:$A,0)),IFERROR(INDEX('Catalog'!$B:$B,MATCH($G3013,'Catalog'!$A:$A,0)),$B3013))</f>
        <v>LF360 מדרס מטטרזלי לנעלי עקב</v>
      </c>
      <c r="I3013" s="8" t="str">
        <f aca="false">IF($G3013="","Unmatched","Matched")</f>
        <v>Matched</v>
      </c>
    </row>
    <row r="3014" customFormat="false" ht="15" hidden="false" customHeight="false" outlineLevel="0" collapsed="false">
      <c r="A3014" s="8" t="s">
        <v>1033</v>
      </c>
      <c r="B3014" s="8" t="s">
        <v>515</v>
      </c>
      <c r="C3014" s="19" t="n">
        <v>350</v>
      </c>
      <c r="D3014" s="19" t="n">
        <v>2971.65</v>
      </c>
      <c r="E3014" s="19" t="n">
        <v>220</v>
      </c>
      <c r="F3014" s="19" t="n">
        <v>1698.97</v>
      </c>
      <c r="G3014" s="8" t="n">
        <f aca="false">IFERROR(INDEX('TRANS'!$B:$B,MATCH($B3014,'TRANS'!$A:$A,0)),IFERROR(INDEX('TRANS'!$B:$B,MATCH(TRIM(SUBSTITUTE($B3014,CHAR(160)," ")),'TRANS'!$D:$D,0)),IFERROR(INDEX('Catalog'!$A:$A,MATCH($B3014,'Catalog'!$B:$B,0)),IFERROR(INDEX('Catalog'!$A:$A,MATCH(TRIM(SUBSTITUTE($B3014,CHAR(160)," ")),'Catalog'!$C:$C,0)),""))))</f>
        <v>4420022</v>
      </c>
      <c r="H3014" s="8" t="str">
        <f aca="false">IFERROR(INDEX('TRANS'!$C:$C,MATCH($B3014,'TRANS'!$A:$A,0)),IFERROR(INDEX('Catalog'!$B:$B,MATCH($G3014,'Catalog'!$A:$A,0)),$B3014))</f>
        <v>LF370 ריפוד סיליקון לעקב אחורי</v>
      </c>
      <c r="I3014" s="8" t="str">
        <f aca="false">IF($G3014="","Unmatched","Matched")</f>
        <v>Matched</v>
      </c>
    </row>
    <row r="3015" customFormat="false" ht="15" hidden="false" customHeight="false" outlineLevel="0" collapsed="false">
      <c r="A3015" s="8" t="s">
        <v>1033</v>
      </c>
      <c r="B3015" s="8" t="s">
        <v>861</v>
      </c>
      <c r="C3015" s="19" t="n">
        <v>100</v>
      </c>
      <c r="D3015" s="19" t="n">
        <v>1421.76</v>
      </c>
      <c r="E3015" s="19" t="n">
        <v>80</v>
      </c>
      <c r="F3015" s="19" t="n">
        <v>1031.82</v>
      </c>
      <c r="G3015" s="8" t="n">
        <f aca="false">IFERROR(INDEX('TRANS'!$B:$B,MATCH($B3015,'TRANS'!$A:$A,0)),IFERROR(INDEX('TRANS'!$B:$B,MATCH(TRIM(SUBSTITUTE($B3015,CHAR(160)," ")),'TRANS'!$D:$D,0)),IFERROR(INDEX('Catalog'!$A:$A,MATCH($B3015,'Catalog'!$B:$B,0)),IFERROR(INDEX('Catalog'!$A:$A,MATCH(TRIM(SUBSTITUTE($B3015,CHAR(160)," ")),'Catalog'!$C:$C,0)),""))))</f>
        <v>4420023</v>
      </c>
      <c r="H3015" s="8" t="str">
        <f aca="false">IFERROR(INDEX('TRANS'!$C:$C,MATCH($B3015,'TRANS'!$A:$A,0)),IFERROR(INDEX('Catalog'!$B:$B,MATCH($G3015,'Catalog'!$A:$A,0)),$B3015))</f>
        <v>LF371 ריפוד סיליקון לנעלי אצבע</v>
      </c>
      <c r="I3015" s="8" t="str">
        <f aca="false">IF($G3015="","Unmatched","Matched")</f>
        <v>Matched</v>
      </c>
    </row>
    <row r="3016" customFormat="false" ht="15" hidden="false" customHeight="false" outlineLevel="0" collapsed="false">
      <c r="A3016" s="8" t="s">
        <v>1033</v>
      </c>
      <c r="B3016" s="8" t="s">
        <v>285</v>
      </c>
      <c r="C3016" s="19" t="n">
        <v>380</v>
      </c>
      <c r="D3016" s="19" t="n">
        <v>4708.46</v>
      </c>
      <c r="E3016" s="19" t="n">
        <v>260</v>
      </c>
      <c r="F3016" s="19" t="n">
        <v>2828.73</v>
      </c>
      <c r="G3016" s="8" t="n">
        <f aca="false">IFERROR(INDEX('TRANS'!$B:$B,MATCH($B3016,'TRANS'!$A:$A,0)),IFERROR(INDEX('TRANS'!$B:$B,MATCH(TRIM(SUBSTITUTE($B3016,CHAR(160)," ")),'TRANS'!$D:$D,0)),IFERROR(INDEX('Catalog'!$A:$A,MATCH($B3016,'Catalog'!$B:$B,0)),IFERROR(INDEX('Catalog'!$A:$A,MATCH(TRIM(SUBSTITUTE($B3016,CHAR(160)," ")),'Catalog'!$C:$C,0)),""))))</f>
        <v>4420024</v>
      </c>
      <c r="H3016" s="8" t="str">
        <f aca="false">IFERROR(INDEX('TRANS'!$C:$C,MATCH($B3016,'TRANS'!$A:$A,0)),IFERROR(INDEX('Catalog'!$B:$B,MATCH($G3016,'Catalog'!$A:$A,0)),$B3016))</f>
        <v>LFריפוד סיליק.לכרית כף הרגל373</v>
      </c>
      <c r="I3016" s="8" t="str">
        <f aca="false">IF($G3016="","Unmatched","Matched")</f>
        <v>Matched</v>
      </c>
    </row>
    <row r="3017" customFormat="false" ht="15" hidden="false" customHeight="false" outlineLevel="0" collapsed="false">
      <c r="A3017" s="8" t="s">
        <v>1033</v>
      </c>
      <c r="B3017" s="8" t="s">
        <v>286</v>
      </c>
      <c r="C3017" s="19" t="n">
        <v>280</v>
      </c>
      <c r="D3017" s="19" t="n">
        <v>3514.51</v>
      </c>
      <c r="E3017" s="19" t="n">
        <v>190</v>
      </c>
      <c r="F3017" s="19" t="n">
        <v>2146.62</v>
      </c>
      <c r="G3017" s="8" t="n">
        <f aca="false">IFERROR(INDEX('TRANS'!$B:$B,MATCH($B3017,'TRANS'!$A:$A,0)),IFERROR(INDEX('TRANS'!$B:$B,MATCH(TRIM(SUBSTITUTE($B3017,CHAR(160)," ")),'TRANS'!$D:$D,0)),IFERROR(INDEX('Catalog'!$A:$A,MATCH($B3017,'Catalog'!$B:$B,0)),IFERROR(INDEX('Catalog'!$A:$A,MATCH(TRIM(SUBSTITUTE($B3017,CHAR(160)," ")),'Catalog'!$C:$C,0)),""))))</f>
        <v>4420025</v>
      </c>
      <c r="H3017" s="8" t="str">
        <f aca="false">IFERROR(INDEX('TRANS'!$C:$C,MATCH($B3017,'TRANS'!$A:$A,0)),IFERROR(INDEX('Catalog'!$B:$B,MATCH($G3017,'Catalog'!$A:$A,0)),$B3017))</f>
        <v>LF374 ריפוד סיליק.לעקב תחתון</v>
      </c>
      <c r="I3017" s="8" t="str">
        <f aca="false">IF($G3017="","Unmatched","Matched")</f>
        <v>Matched</v>
      </c>
    </row>
    <row r="3018" customFormat="false" ht="15" hidden="false" customHeight="false" outlineLevel="0" collapsed="false">
      <c r="A3018" s="8" t="s">
        <v>1033</v>
      </c>
      <c r="B3018" s="8" t="s">
        <v>1034</v>
      </c>
      <c r="C3018" s="19" t="n">
        <v>80</v>
      </c>
      <c r="D3018" s="19" t="n">
        <v>2003.56</v>
      </c>
      <c r="E3018" s="19" t="n">
        <v>50</v>
      </c>
      <c r="F3018" s="19" t="n">
        <v>1108.46</v>
      </c>
      <c r="G3018" s="8" t="n">
        <f aca="false">IFERROR(INDEX('TRANS'!$B:$B,MATCH($B3018,'TRANS'!$A:$A,0)),IFERROR(INDEX('TRANS'!$B:$B,MATCH(TRIM(SUBSTITUTE($B3018,CHAR(160)," ")),'TRANS'!$D:$D,0)),IFERROR(INDEX('Catalog'!$A:$A,MATCH($B3018,'Catalog'!$B:$B,0)),IFERROR(INDEX('Catalog'!$A:$A,MATCH(TRIM(SUBSTITUTE($B3018,CHAR(160)," ")),'Catalog'!$C:$C,0)),""))))</f>
        <v>4413276</v>
      </c>
      <c r="H3018" s="8" t="str">
        <f aca="false">IFERROR(INDEX('TRANS'!$C:$C,MATCH($B3018,'TRANS'!$A:$A,0)),IFERROR(INDEX('Catalog'!$B:$B,MATCH($G3018,'Catalog'!$A:$A,0)),$B3018))</f>
        <v>LF377 L-מדרס סיליקון לנעלי עקב</v>
      </c>
      <c r="I3018" s="8" t="str">
        <f aca="false">IF($G3018="","Unmatched","Matched")</f>
        <v>Matched</v>
      </c>
    </row>
    <row r="3019" customFormat="false" ht="15" hidden="false" customHeight="false" outlineLevel="0" collapsed="false">
      <c r="A3019" s="8" t="s">
        <v>1033</v>
      </c>
      <c r="B3019" s="8" t="s">
        <v>1035</v>
      </c>
      <c r="C3019" s="19" t="n">
        <v>150</v>
      </c>
      <c r="D3019" s="19" t="n">
        <v>3742.11</v>
      </c>
      <c r="E3019" s="19" t="n">
        <v>110</v>
      </c>
      <c r="F3019" s="19" t="n">
        <v>2476.07</v>
      </c>
      <c r="G3019" s="8" t="n">
        <f aca="false">IFERROR(INDEX('TRANS'!$B:$B,MATCH($B3019,'TRANS'!$A:$A,0)),IFERROR(INDEX('TRANS'!$B:$B,MATCH(TRIM(SUBSTITUTE($B3019,CHAR(160)," ")),'TRANS'!$D:$D,0)),IFERROR(INDEX('Catalog'!$A:$A,MATCH($B3019,'Catalog'!$B:$B,0)),IFERROR(INDEX('Catalog'!$A:$A,MATCH(TRIM(SUBSTITUTE($B3019,CHAR(160)," ")),'Catalog'!$C:$C,0)),""))))</f>
        <v>4413277</v>
      </c>
      <c r="H3019" s="8" t="str">
        <f aca="false">IFERROR(INDEX('TRANS'!$C:$C,MATCH($B3019,'TRANS'!$A:$A,0)),IFERROR(INDEX('Catalog'!$B:$B,MATCH($G3019,'Catalog'!$A:$A,0)),$B3019))</f>
        <v>LF377 M-מדרס סיליקון לנעלי עקב</v>
      </c>
      <c r="I3019" s="8" t="str">
        <f aca="false">IF($G3019="","Unmatched","Matched")</f>
        <v>Matched</v>
      </c>
    </row>
    <row r="3020" customFormat="false" ht="15" hidden="false" customHeight="false" outlineLevel="0" collapsed="false">
      <c r="A3020" s="8" t="s">
        <v>1033</v>
      </c>
      <c r="B3020" s="8" t="s">
        <v>1036</v>
      </c>
      <c r="C3020" s="19" t="n">
        <v>120</v>
      </c>
      <c r="D3020" s="19" t="n">
        <v>2954.02</v>
      </c>
      <c r="E3020" s="19" t="n">
        <v>80</v>
      </c>
      <c r="F3020" s="19" t="n">
        <v>1809.24</v>
      </c>
      <c r="G3020" s="8" t="n">
        <f aca="false">IFERROR(INDEX('TRANS'!$B:$B,MATCH($B3020,'TRANS'!$A:$A,0)),IFERROR(INDEX('TRANS'!$B:$B,MATCH(TRIM(SUBSTITUTE($B3020,CHAR(160)," ")),'TRANS'!$D:$D,0)),IFERROR(INDEX('Catalog'!$A:$A,MATCH($B3020,'Catalog'!$B:$B,0)),IFERROR(INDEX('Catalog'!$A:$A,MATCH(TRIM(SUBSTITUTE($B3020,CHAR(160)," ")),'Catalog'!$C:$C,0)),""))))</f>
        <v>4413278</v>
      </c>
      <c r="H3020" s="8" t="str">
        <f aca="false">IFERROR(INDEX('TRANS'!$C:$C,MATCH($B3020,'TRANS'!$A:$A,0)),IFERROR(INDEX('Catalog'!$B:$B,MATCH($G3020,'Catalog'!$A:$A,0)),$B3020))</f>
        <v>LF377 S-מדרס סיליקון לנעלי עקב</v>
      </c>
      <c r="I3020" s="8" t="str">
        <f aca="false">IF($G3020="","Unmatched","Matched")</f>
        <v>Matched</v>
      </c>
    </row>
    <row r="3021" customFormat="false" ht="15" hidden="false" customHeight="false" outlineLevel="0" collapsed="false">
      <c r="A3021" s="8" t="s">
        <v>1033</v>
      </c>
      <c r="B3021" s="8" t="s">
        <v>532</v>
      </c>
      <c r="C3021" s="19" t="n">
        <v>210</v>
      </c>
      <c r="D3021" s="19" t="n">
        <v>6824.86</v>
      </c>
      <c r="E3021" s="19" t="n">
        <v>80</v>
      </c>
      <c r="F3021" s="19" t="n">
        <v>2337.49</v>
      </c>
      <c r="G3021" s="8" t="str">
        <f aca="false">IFERROR(INDEX('TRANS'!$B:$B,MATCH($B3021,'TRANS'!$A:$A,0)),IFERROR(INDEX('TRANS'!$B:$B,MATCH(TRIM(SUBSTITUTE($B3021,CHAR(160)," ")),'TRANS'!$D:$D,0)),IFERROR(INDEX('Catalog'!$A:$A,MATCH($B3021,'Catalog'!$B:$B,0)),IFERROR(INDEX('Catalog'!$A:$A,MATCH(TRIM(SUBSTITUTE($B3021,CHAR(160)," ")),'Catalog'!$C:$C,0)),""))))</f>
        <v/>
      </c>
      <c r="H3021" s="8" t="str">
        <f aca="false">IFERROR(INDEX('TRANS'!$C:$C,MATCH($B3021,'TRANS'!$A:$A,0)),IFERROR(INDEX('Catalog'!$B:$B,MATCH($G3021,'Catalog'!$A:$A,0)),$B3021))</f>
        <v>ST27L 0</v>
      </c>
      <c r="I3021" s="8" t="str">
        <f aca="false">IF($G3021="","Unmatched","Matched")</f>
        <v>Unmatched</v>
      </c>
    </row>
    <row r="3022" customFormat="false" ht="15" hidden="false" customHeight="false" outlineLevel="0" collapsed="false">
      <c r="A3022" s="8" t="s">
        <v>1033</v>
      </c>
      <c r="B3022" s="8" t="s">
        <v>533</v>
      </c>
      <c r="C3022" s="19" t="n">
        <v>160</v>
      </c>
      <c r="D3022" s="19" t="n">
        <v>5147.48</v>
      </c>
      <c r="E3022" s="19" t="n">
        <v>90</v>
      </c>
      <c r="F3022" s="19" t="n">
        <v>2619.83</v>
      </c>
      <c r="G3022" s="8" t="str">
        <f aca="false">IFERROR(INDEX('TRANS'!$B:$B,MATCH($B3022,'TRANS'!$A:$A,0)),IFERROR(INDEX('TRANS'!$B:$B,MATCH(TRIM(SUBSTITUTE($B3022,CHAR(160)," ")),'TRANS'!$D:$D,0)),IFERROR(INDEX('Catalog'!$A:$A,MATCH($B3022,'Catalog'!$B:$B,0)),IFERROR(INDEX('Catalog'!$A:$A,MATCH(TRIM(SUBSTITUTE($B3022,CHAR(160)," ")),'Catalog'!$C:$C,0)),""))))</f>
        <v/>
      </c>
      <c r="H3022" s="8" t="str">
        <f aca="false">IFERROR(INDEX('TRANS'!$C:$C,MATCH($B3022,'TRANS'!$A:$A,0)),IFERROR(INDEX('Catalog'!$B:$B,MATCH($G3022,'Catalog'!$A:$A,0)),$B3022))</f>
        <v>ST27R 0</v>
      </c>
      <c r="I3022" s="8" t="str">
        <f aca="false">IF($G3022="","Unmatched","Matched")</f>
        <v>Unmatched</v>
      </c>
    </row>
    <row r="3023" customFormat="false" ht="15" hidden="false" customHeight="false" outlineLevel="0" collapsed="false">
      <c r="A3023" s="8" t="s">
        <v>1033</v>
      </c>
      <c r="B3023" s="8" t="s">
        <v>537</v>
      </c>
      <c r="C3023" s="19" t="n">
        <v>240</v>
      </c>
      <c r="D3023" s="19" t="n">
        <v>14000.19</v>
      </c>
      <c r="E3023" s="19" t="n">
        <v>140</v>
      </c>
      <c r="F3023" s="19" t="n">
        <v>7279.87</v>
      </c>
      <c r="G3023" s="8" t="n">
        <f aca="false">IFERROR(INDEX('TRANS'!$B:$B,MATCH($B3023,'TRANS'!$A:$A,0)),IFERROR(INDEX('TRANS'!$B:$B,MATCH(TRIM(SUBSTITUTE($B3023,CHAR(160)," ")),'TRANS'!$D:$D,0)),IFERROR(INDEX('Catalog'!$A:$A,MATCH($B3023,'Catalog'!$B:$B,0)),IFERROR(INDEX('Catalog'!$A:$A,MATCH(TRIM(SUBSTITUTE($B3023,CHAR(160)," ")),'Catalog'!$C:$C,0)),""))))</f>
        <v>4402011</v>
      </c>
      <c r="H3023" s="8" t="str">
        <f aca="false">IFERROR(INDEX('TRANS'!$C:$C,MATCH($B3023,'TRANS'!$A:$A,0)),IFERROR(INDEX('Catalog'!$B:$B,MATCH($G3023,'Catalog'!$A:$A,0)),$B3023))</f>
        <v>S-XLST422 מגן ברך+כרית ג'ל</v>
      </c>
      <c r="I3023" s="8" t="str">
        <f aca="false">IF($G3023="","Unmatched","Matched")</f>
        <v>Matched</v>
      </c>
    </row>
    <row r="3024" customFormat="false" ht="15" hidden="false" customHeight="false" outlineLevel="0" collapsed="false">
      <c r="A3024" s="8" t="s">
        <v>1033</v>
      </c>
      <c r="B3024" s="8" t="s">
        <v>318</v>
      </c>
      <c r="C3024" s="19" t="n">
        <v>420</v>
      </c>
      <c r="D3024" s="19" t="n">
        <v>11942.24</v>
      </c>
      <c r="E3024" s="19" t="n">
        <v>260</v>
      </c>
      <c r="F3024" s="19" t="n">
        <v>6661.09</v>
      </c>
      <c r="G3024" s="8" t="n">
        <f aca="false">IFERROR(INDEX('TRANS'!$B:$B,MATCH($B3024,'TRANS'!$A:$A,0)),IFERROR(INDEX('TRANS'!$B:$B,MATCH(TRIM(SUBSTITUTE($B3024,CHAR(160)," ")),'TRANS'!$D:$D,0)),IFERROR(INDEX('Catalog'!$A:$A,MATCH($B3024,'Catalog'!$B:$B,0)),IFERROR(INDEX('Catalog'!$A:$A,MATCH(TRIM(SUBSTITUTE($B3024,CHAR(160)," ")),'Catalog'!$C:$C,0)),""))))</f>
        <v>4408098</v>
      </c>
      <c r="H3024" s="8" t="str">
        <f aca="false">IFERROR(INDEX('TRANS'!$C:$C,MATCH($B3024,'TRANS'!$A:$A,0)),IFERROR(INDEX('Catalog'!$B:$B,MATCH($G3024,'Catalog'!$A:$A,0)),$B3024))</f>
        <v>T25-חבק יד אגודלי</v>
      </c>
      <c r="I3024" s="8" t="str">
        <f aca="false">IF($G3024="","Unmatched","Matched")</f>
        <v>Matched</v>
      </c>
    </row>
    <row r="3025" customFormat="false" ht="15" hidden="false" customHeight="false" outlineLevel="0" collapsed="false">
      <c r="A3025" s="8" t="s">
        <v>1033</v>
      </c>
      <c r="B3025" s="8" t="s">
        <v>668</v>
      </c>
      <c r="C3025" s="19" t="n">
        <v>130</v>
      </c>
      <c r="D3025" s="19" t="n">
        <v>4871.88</v>
      </c>
      <c r="E3025" s="19" t="n">
        <v>0</v>
      </c>
      <c r="F3025" s="19" t="n">
        <v>0</v>
      </c>
      <c r="G3025" s="8" t="n">
        <f aca="false">IFERROR(INDEX('TRANS'!$B:$B,MATCH($B3025,'TRANS'!$A:$A,0)),IFERROR(INDEX('TRANS'!$B:$B,MATCH(TRIM(SUBSTITUTE($B3025,CHAR(160)," ")),'TRANS'!$D:$D,0)),IFERROR(INDEX('Catalog'!$A:$A,MATCH($B3025,'Catalog'!$B:$B,0)),IFERROR(INDEX('Catalog'!$A:$A,MATCH(TRIM(SUBSTITUTE($B3025,CHAR(160)," ")),'Catalog'!$C:$C,0)),""))))</f>
        <v>4415073</v>
      </c>
      <c r="H3025" s="8" t="str">
        <f aca="false">IFERROR(INDEX('TRANS'!$C:$C,MATCH($B3025,'TRANS'!$A:$A,0)),IFERROR(INDEX('Catalog'!$B:$B,MATCH($G3025,'Catalog'!$A:$A,0)),$B3025))</f>
        <v>T28A L-XL סד לאגודל</v>
      </c>
      <c r="I3025" s="8" t="str">
        <f aca="false">IF($G3025="","Unmatched","Matched")</f>
        <v>Matched</v>
      </c>
    </row>
    <row r="3026" customFormat="false" ht="15" hidden="false" customHeight="false" outlineLevel="0" collapsed="false">
      <c r="A3026" s="8" t="s">
        <v>1033</v>
      </c>
      <c r="B3026" s="8" t="s">
        <v>570</v>
      </c>
      <c r="C3026" s="19" t="n">
        <v>100</v>
      </c>
      <c r="D3026" s="19" t="n">
        <v>3878.72</v>
      </c>
      <c r="E3026" s="19" t="n">
        <v>40</v>
      </c>
      <c r="F3026" s="19" t="n">
        <v>1379.89</v>
      </c>
      <c r="G3026" s="8" t="n">
        <f aca="false">IFERROR(INDEX('TRANS'!$B:$B,MATCH($B3026,'TRANS'!$A:$A,0)),IFERROR(INDEX('TRANS'!$B:$B,MATCH(TRIM(SUBSTITUTE($B3026,CHAR(160)," ")),'TRANS'!$D:$D,0)),IFERROR(INDEX('Catalog'!$A:$A,MATCH($B3026,'Catalog'!$B:$B,0)),IFERROR(INDEX('Catalog'!$A:$A,MATCH(TRIM(SUBSTITUTE($B3026,CHAR(160)," ")),'Catalog'!$C:$C,0)),""))))</f>
        <v>4415072</v>
      </c>
      <c r="H3026" s="8" t="str">
        <f aca="false">IFERROR(INDEX('TRANS'!$C:$C,MATCH($B3026,'TRANS'!$A:$A,0)),IFERROR(INDEX('Catalog'!$B:$B,MATCH($G3026,'Catalog'!$A:$A,0)),$B3026))</f>
        <v>T28A S-M סד לאגודל</v>
      </c>
      <c r="I3026" s="8" t="str">
        <f aca="false">IF($G3026="","Unmatched","Matched")</f>
        <v>Matched</v>
      </c>
    </row>
    <row r="3027" customFormat="false" ht="15" hidden="false" customHeight="false" outlineLevel="0" collapsed="false">
      <c r="A3027" s="8" t="s">
        <v>1037</v>
      </c>
      <c r="B3027" s="8" t="s">
        <v>60</v>
      </c>
      <c r="C3027" s="19" t="n">
        <v>21</v>
      </c>
      <c r="D3027" s="19" t="n">
        <v>1149.45</v>
      </c>
      <c r="E3027" s="19" t="n">
        <v>41</v>
      </c>
      <c r="F3027" s="19" t="n">
        <v>1904.32</v>
      </c>
      <c r="G3027" s="8" t="n">
        <f aca="false">IFERROR(INDEX('TRANS'!$B:$B,MATCH($B3027,'TRANS'!$A:$A,0)),IFERROR(INDEX('TRANS'!$B:$B,MATCH(TRIM(SUBSTITUTE($B3027,CHAR(160)," ")),'TRANS'!$D:$D,0)),IFERROR(INDEX('Catalog'!$A:$A,MATCH($B3027,'Catalog'!$B:$B,0)),IFERROR(INDEX('Catalog'!$A:$A,MATCH(TRIM(SUBSTITUTE($B3027,CHAR(160)," ")),'Catalog'!$C:$C,0)),""))))</f>
        <v>4408192</v>
      </c>
      <c r="H3027" s="8" t="str">
        <f aca="false">IFERROR(INDEX('TRANS'!$C:$C,MATCH($B3027,'TRANS'!$A:$A,0)),IFERROR(INDEX('Catalog'!$B:$B,MATCH($G3027,'Catalog'!$A:$A,0)),$B3027))</f>
        <v>078 L חגורת גב +סגירה</v>
      </c>
      <c r="I3027" s="8" t="str">
        <f aca="false">IF($G3027="","Unmatched","Matched")</f>
        <v>Matched</v>
      </c>
    </row>
    <row r="3028" customFormat="false" ht="15" hidden="false" customHeight="false" outlineLevel="0" collapsed="false">
      <c r="A3028" s="8" t="s">
        <v>1037</v>
      </c>
      <c r="B3028" s="8" t="s">
        <v>454</v>
      </c>
      <c r="C3028" s="19" t="n">
        <v>10</v>
      </c>
      <c r="D3028" s="19" t="n">
        <v>574.7</v>
      </c>
      <c r="E3028" s="19" t="n">
        <v>20</v>
      </c>
      <c r="F3028" s="19" t="n">
        <v>960.49</v>
      </c>
      <c r="G3028" s="8" t="n">
        <f aca="false">IFERROR(INDEX('TRANS'!$B:$B,MATCH($B3028,'TRANS'!$A:$A,0)),IFERROR(INDEX('TRANS'!$B:$B,MATCH(TRIM(SUBSTITUTE($B3028,CHAR(160)," ")),'TRANS'!$D:$D,0)),IFERROR(INDEX('Catalog'!$A:$A,MATCH($B3028,'Catalog'!$B:$B,0)),IFERROR(INDEX('Catalog'!$A:$A,MATCH(TRIM(SUBSTITUTE($B3028,CHAR(160)," ")),'Catalog'!$C:$C,0)),""))))</f>
        <v>4408190</v>
      </c>
      <c r="H3028" s="8" t="str">
        <f aca="false">IFERROR(INDEX('TRANS'!$C:$C,MATCH($B3028,'TRANS'!$A:$A,0)),IFERROR(INDEX('Catalog'!$B:$B,MATCH($G3028,'Catalog'!$A:$A,0)),$B3028))</f>
        <v>M078 חגורת גב +סגירה כפולה</v>
      </c>
      <c r="I3028" s="8" t="str">
        <f aca="false">IF($G3028="","Unmatched","Matched")</f>
        <v>Matched</v>
      </c>
    </row>
    <row r="3029" customFormat="false" ht="15" hidden="false" customHeight="false" outlineLevel="0" collapsed="false">
      <c r="A3029" s="8" t="s">
        <v>1037</v>
      </c>
      <c r="B3029" s="8" t="s">
        <v>455</v>
      </c>
      <c r="C3029" s="19" t="n">
        <v>10</v>
      </c>
      <c r="D3029" s="19" t="n">
        <v>574.7</v>
      </c>
      <c r="E3029" s="19" t="n">
        <v>0</v>
      </c>
      <c r="F3029" s="19" t="n">
        <v>0</v>
      </c>
      <c r="G3029" s="8" t="n">
        <f aca="false">IFERROR(INDEX('TRANS'!$B:$B,MATCH($B3029,'TRANS'!$A:$A,0)),IFERROR(INDEX('TRANS'!$B:$B,MATCH(TRIM(SUBSTITUTE($B3029,CHAR(160)," ")),'TRANS'!$D:$D,0)),IFERROR(INDEX('Catalog'!$A:$A,MATCH($B3029,'Catalog'!$B:$B,0)),IFERROR(INDEX('Catalog'!$A:$A,MATCH(TRIM(SUBSTITUTE($B3029,CHAR(160)," ")),'Catalog'!$C:$C,0)),""))))</f>
        <v>4408217</v>
      </c>
      <c r="H3029" s="8" t="str">
        <f aca="false">IFERROR(INDEX('TRANS'!$C:$C,MATCH($B3029,'TRANS'!$A:$A,0)),IFERROR(INDEX('Catalog'!$B:$B,MATCH($G3029,'Catalog'!$A:$A,0)),$B3029))</f>
        <v>S078 חגורת גב +סגירה כפולה</v>
      </c>
      <c r="I3029" s="8" t="str">
        <f aca="false">IF($G3029="","Unmatched","Matched")</f>
        <v>Matched</v>
      </c>
    </row>
    <row r="3030" customFormat="false" ht="15" hidden="false" customHeight="false" outlineLevel="0" collapsed="false">
      <c r="A3030" s="8" t="s">
        <v>1037</v>
      </c>
      <c r="B3030" s="8" t="s">
        <v>61</v>
      </c>
      <c r="C3030" s="19" t="n">
        <v>20</v>
      </c>
      <c r="D3030" s="19" t="n">
        <v>1149.41</v>
      </c>
      <c r="E3030" s="19" t="n">
        <v>20</v>
      </c>
      <c r="F3030" s="19" t="n">
        <v>960.49</v>
      </c>
      <c r="G3030" s="8" t="n">
        <f aca="false">IFERROR(INDEX('TRANS'!$B:$B,MATCH($B3030,'TRANS'!$A:$A,0)),IFERROR(INDEX('TRANS'!$B:$B,MATCH(TRIM(SUBSTITUTE($B3030,CHAR(160)," ")),'TRANS'!$D:$D,0)),IFERROR(INDEX('Catalog'!$A:$A,MATCH($B3030,'Catalog'!$B:$B,0)),IFERROR(INDEX('Catalog'!$A:$A,MATCH(TRIM(SUBSTITUTE($B3030,CHAR(160)," ")),'Catalog'!$C:$C,0)),""))))</f>
        <v>4408218</v>
      </c>
      <c r="H3030" s="8" t="str">
        <f aca="false">IFERROR(INDEX('TRANS'!$C:$C,MATCH($B3030,'TRANS'!$A:$A,0)),IFERROR(INDEX('Catalog'!$B:$B,MATCH($G3030,'Catalog'!$A:$A,0)),$B3030))</f>
        <v>078XL חגורת גב +סגירה כפולה</v>
      </c>
      <c r="I3030" s="8" t="str">
        <f aca="false">IF($G3030="","Unmatched","Matched")</f>
        <v>Matched</v>
      </c>
    </row>
    <row r="3031" customFormat="false" ht="15" hidden="false" customHeight="false" outlineLevel="0" collapsed="false">
      <c r="A3031" s="8" t="s">
        <v>1037</v>
      </c>
      <c r="B3031" s="8" t="s">
        <v>456</v>
      </c>
      <c r="C3031" s="19" t="n">
        <v>10</v>
      </c>
      <c r="D3031" s="19" t="n">
        <v>574.7</v>
      </c>
      <c r="E3031" s="19" t="n">
        <v>0</v>
      </c>
      <c r="F3031" s="19" t="n">
        <v>0</v>
      </c>
      <c r="G3031" s="8" t="n">
        <f aca="false">IFERROR(INDEX('TRANS'!$B:$B,MATCH($B3031,'TRANS'!$A:$A,0)),IFERROR(INDEX('TRANS'!$B:$B,MATCH(TRIM(SUBSTITUTE($B3031,CHAR(160)," ")),'TRANS'!$D:$D,0)),IFERROR(INDEX('Catalog'!$A:$A,MATCH($B3031,'Catalog'!$B:$B,0)),IFERROR(INDEX('Catalog'!$A:$A,MATCH(TRIM(SUBSTITUTE($B3031,CHAR(160)," ")),'Catalog'!$C:$C,0)),""))))</f>
        <v>4408265</v>
      </c>
      <c r="H3031" s="8" t="str">
        <f aca="false">IFERROR(INDEX('TRANS'!$C:$C,MATCH($B3031,'TRANS'!$A:$A,0)),IFERROR(INDEX('Catalog'!$B:$B,MATCH($G3031,'Catalog'!$A:$A,0)),$B3031))</f>
        <v>078XXL חגורת גב +סגירה כפולה</v>
      </c>
      <c r="I3031" s="8" t="str">
        <f aca="false">IF($G3031="","Unmatched","Matched")</f>
        <v>Matched</v>
      </c>
    </row>
    <row r="3032" customFormat="false" ht="15" hidden="false" customHeight="false" outlineLevel="0" collapsed="false">
      <c r="A3032" s="8" t="s">
        <v>1037</v>
      </c>
      <c r="B3032" s="8" t="s">
        <v>458</v>
      </c>
      <c r="C3032" s="19" t="n">
        <v>48</v>
      </c>
      <c r="D3032" s="19" t="n">
        <v>2083.24</v>
      </c>
      <c r="E3032" s="19" t="n">
        <v>190</v>
      </c>
      <c r="F3032" s="19" t="n">
        <v>8127.63</v>
      </c>
      <c r="G3032" s="8" t="n">
        <f aca="false">IFERROR(INDEX('TRANS'!$B:$B,MATCH($B3032,'TRANS'!$A:$A,0)),IFERROR(INDEX('TRANS'!$B:$B,MATCH(TRIM(SUBSTITUTE($B3032,CHAR(160)," ")),'TRANS'!$D:$D,0)),IFERROR(INDEX('Catalog'!$A:$A,MATCH($B3032,'Catalog'!$B:$B,0)),IFERROR(INDEX('Catalog'!$A:$A,MATCH(TRIM(SUBSTITUTE($B3032,CHAR(160)," ")),'Catalog'!$C:$C,0)),""))))</f>
        <v>4408032</v>
      </c>
      <c r="H3032" s="8" t="str">
        <f aca="false">IFERROR(INDEX('TRANS'!$C:$C,MATCH($B3032,'TRANS'!$A:$A,0)),IFERROR(INDEX('Catalog'!$B:$B,MATCH($G3032,'Catalog'!$A:$A,0)),$B3032))</f>
        <v>11 L""""חגורת בטן""""אורירית</v>
      </c>
      <c r="I3032" s="8" t="str">
        <f aca="false">IF($G3032="","Unmatched","Matched")</f>
        <v>Matched</v>
      </c>
    </row>
    <row r="3033" customFormat="false" ht="15" hidden="false" customHeight="false" outlineLevel="0" collapsed="false">
      <c r="A3033" s="8" t="s">
        <v>1037</v>
      </c>
      <c r="B3033" s="8" t="s">
        <v>71</v>
      </c>
      <c r="C3033" s="19" t="n">
        <v>24</v>
      </c>
      <c r="D3033" s="19" t="n">
        <v>1046.86</v>
      </c>
      <c r="E3033" s="19" t="n">
        <v>134</v>
      </c>
      <c r="F3033" s="19" t="n">
        <v>5745.53</v>
      </c>
      <c r="G3033" s="8" t="n">
        <f aca="false">IFERROR(INDEX('TRANS'!$B:$B,MATCH($B3033,'TRANS'!$A:$A,0)),IFERROR(INDEX('TRANS'!$B:$B,MATCH(TRIM(SUBSTITUTE($B3033,CHAR(160)," ")),'TRANS'!$D:$D,0)),IFERROR(INDEX('Catalog'!$A:$A,MATCH($B3033,'Catalog'!$B:$B,0)),IFERROR(INDEX('Catalog'!$A:$A,MATCH(TRIM(SUBSTITUTE($B3033,CHAR(160)," ")),'Catalog'!$C:$C,0)),""))))</f>
        <v>4408033</v>
      </c>
      <c r="H3033" s="8" t="str">
        <f aca="false">IFERROR(INDEX('TRANS'!$C:$C,MATCH($B3033,'TRANS'!$A:$A,0)),IFERROR(INDEX('Catalog'!$B:$B,MATCH($G3033,'Catalog'!$A:$A,0)),$B3033))</f>
        <v>11 M""""חגורת בטן""""אורירית</v>
      </c>
      <c r="I3033" s="8" t="str">
        <f aca="false">IF($G3033="","Unmatched","Matched")</f>
        <v>Matched</v>
      </c>
    </row>
    <row r="3034" customFormat="false" ht="15" hidden="false" customHeight="false" outlineLevel="0" collapsed="false">
      <c r="A3034" s="8" t="s">
        <v>1037</v>
      </c>
      <c r="B3034" s="8" t="s">
        <v>695</v>
      </c>
      <c r="C3034" s="19" t="n">
        <v>0</v>
      </c>
      <c r="D3034" s="19" t="n">
        <v>0</v>
      </c>
      <c r="E3034" s="19" t="n">
        <v>55</v>
      </c>
      <c r="F3034" s="19" t="n">
        <v>2376.88</v>
      </c>
      <c r="G3034" s="8" t="n">
        <f aca="false">IFERROR(INDEX('TRANS'!$B:$B,MATCH($B3034,'TRANS'!$A:$A,0)),IFERROR(INDEX('TRANS'!$B:$B,MATCH(TRIM(SUBSTITUTE($B3034,CHAR(160)," ")),'TRANS'!$D:$D,0)),IFERROR(INDEX('Catalog'!$A:$A,MATCH($B3034,'Catalog'!$B:$B,0)),IFERROR(INDEX('Catalog'!$A:$A,MATCH(TRIM(SUBSTITUTE($B3034,CHAR(160)," ")),'Catalog'!$C:$C,0)),""))))</f>
        <v>4408031</v>
      </c>
      <c r="H3034" s="8" t="str">
        <f aca="false">IFERROR(INDEX('TRANS'!$C:$C,MATCH($B3034,'TRANS'!$A:$A,0)),IFERROR(INDEX('Catalog'!$B:$B,MATCH($G3034,'Catalog'!$A:$A,0)),$B3034))</f>
        <v>11 S""""חגורת בטן""""אורירית</v>
      </c>
      <c r="I3034" s="8" t="str">
        <f aca="false">IF($G3034="","Unmatched","Matched")</f>
        <v>Matched</v>
      </c>
    </row>
    <row r="3035" customFormat="false" ht="15" hidden="false" customHeight="false" outlineLevel="0" collapsed="false">
      <c r="A3035" s="8" t="s">
        <v>1037</v>
      </c>
      <c r="B3035" s="8" t="s">
        <v>617</v>
      </c>
      <c r="C3035" s="19" t="n">
        <v>96</v>
      </c>
      <c r="D3035" s="19" t="n">
        <v>4293.24</v>
      </c>
      <c r="E3035" s="19" t="n">
        <v>165</v>
      </c>
      <c r="F3035" s="19" t="n">
        <v>7168.64</v>
      </c>
      <c r="G3035" s="8" t="n">
        <f aca="false">IFERROR(INDEX('TRANS'!$B:$B,MATCH($B3035,'TRANS'!$A:$A,0)),IFERROR(INDEX('TRANS'!$B:$B,MATCH(TRIM(SUBSTITUTE($B3035,CHAR(160)," ")),'TRANS'!$D:$D,0)),IFERROR(INDEX('Catalog'!$A:$A,MATCH($B3035,'Catalog'!$B:$B,0)),IFERROR(INDEX('Catalog'!$A:$A,MATCH(TRIM(SUBSTITUTE($B3035,CHAR(160)," ")),'Catalog'!$C:$C,0)),""))))</f>
        <v>4408034</v>
      </c>
      <c r="H3035" s="8" t="str">
        <f aca="false">IFERROR(INDEX('TRANS'!$C:$C,MATCH($B3035,'TRANS'!$A:$A,0)),IFERROR(INDEX('Catalog'!$B:$B,MATCH($G3035,'Catalog'!$A:$A,0)),$B3035))</f>
        <v>11 XL""""חגורת בטן""""אורירית</v>
      </c>
      <c r="I3035" s="8" t="str">
        <f aca="false">IF($G3035="","Unmatched","Matched")</f>
        <v>Matched</v>
      </c>
    </row>
    <row r="3036" customFormat="false" ht="15" hidden="false" customHeight="false" outlineLevel="0" collapsed="false">
      <c r="A3036" s="8" t="s">
        <v>1037</v>
      </c>
      <c r="B3036" s="8" t="s">
        <v>618</v>
      </c>
      <c r="C3036" s="19" t="n">
        <v>60</v>
      </c>
      <c r="D3036" s="19" t="n">
        <v>2679.46</v>
      </c>
      <c r="E3036" s="19" t="n">
        <v>77</v>
      </c>
      <c r="F3036" s="19" t="n">
        <v>3327.6</v>
      </c>
      <c r="G3036" s="8" t="n">
        <f aca="false">IFERROR(INDEX('TRANS'!$B:$B,MATCH($B3036,'TRANS'!$A:$A,0)),IFERROR(INDEX('TRANS'!$B:$B,MATCH(TRIM(SUBSTITUTE($B3036,CHAR(160)," ")),'TRANS'!$D:$D,0)),IFERROR(INDEX('Catalog'!$A:$A,MATCH($B3036,'Catalog'!$B:$B,0)),IFERROR(INDEX('Catalog'!$A:$A,MATCH(TRIM(SUBSTITUTE($B3036,CHAR(160)," ")),'Catalog'!$C:$C,0)),""))))</f>
        <v>4408035</v>
      </c>
      <c r="H3036" s="8" t="str">
        <f aca="false">IFERROR(INDEX('TRANS'!$C:$C,MATCH($B3036,'TRANS'!$A:$A,0)),IFERROR(INDEX('Catalog'!$B:$B,MATCH($G3036,'Catalog'!$A:$A,0)),$B3036))</f>
        <v>11 XXL""""חגורת בטן""""אורירית</v>
      </c>
      <c r="I3036" s="8" t="str">
        <f aca="false">IF($G3036="","Unmatched","Matched")</f>
        <v>Matched</v>
      </c>
    </row>
    <row r="3037" customFormat="false" ht="15" hidden="false" customHeight="false" outlineLevel="0" collapsed="false">
      <c r="A3037" s="8" t="s">
        <v>1037</v>
      </c>
      <c r="B3037" s="8" t="s">
        <v>642</v>
      </c>
      <c r="C3037" s="19" t="n">
        <v>60</v>
      </c>
      <c r="D3037" s="19" t="n">
        <v>3158.62</v>
      </c>
      <c r="E3037" s="19" t="n">
        <v>58</v>
      </c>
      <c r="F3037" s="19" t="n">
        <v>2923.56</v>
      </c>
      <c r="G3037" s="8" t="n">
        <f aca="false">IFERROR(INDEX('TRANS'!$B:$B,MATCH($B3037,'TRANS'!$A:$A,0)),IFERROR(INDEX('TRANS'!$B:$B,MATCH(TRIM(SUBSTITUTE($B3037,CHAR(160)," ")),'TRANS'!$D:$D,0)),IFERROR(INDEX('Catalog'!$A:$A,MATCH($B3037,'Catalog'!$B:$B,0)),IFERROR(INDEX('Catalog'!$A:$A,MATCH(TRIM(SUBSTITUTE($B3037,CHAR(160)," ")),'Catalog'!$C:$C,0)),""))))</f>
        <v>4408147</v>
      </c>
      <c r="H3037" s="8" t="str">
        <f aca="false">IFERROR(INDEX('TRANS'!$C:$C,MATCH($B3037,'TRANS'!$A:$A,0)),IFERROR(INDEX('Catalog'!$B:$B,MATCH($G3037,'Catalog'!$A:$A,0)),$B3037))</f>
        <v>11PS Lחגורה למנותחי בטן</v>
      </c>
      <c r="I3037" s="8" t="str">
        <f aca="false">IF($G3037="","Unmatched","Matched")</f>
        <v>Matched</v>
      </c>
    </row>
    <row r="3038" customFormat="false" ht="15" hidden="false" customHeight="false" outlineLevel="0" collapsed="false">
      <c r="A3038" s="8" t="s">
        <v>1037</v>
      </c>
      <c r="B3038" s="8" t="s">
        <v>788</v>
      </c>
      <c r="C3038" s="19" t="n">
        <v>60</v>
      </c>
      <c r="D3038" s="19" t="n">
        <v>3197.73</v>
      </c>
      <c r="E3038" s="19" t="n">
        <v>46</v>
      </c>
      <c r="F3038" s="19" t="n">
        <v>2277.78</v>
      </c>
      <c r="G3038" s="8" t="str">
        <f aca="false">IFERROR(INDEX('TRANS'!$B:$B,MATCH($B3038,'TRANS'!$A:$A,0)),IFERROR(INDEX('TRANS'!$B:$B,MATCH(TRIM(SUBSTITUTE($B3038,CHAR(160)," ")),'TRANS'!$D:$D,0)),IFERROR(INDEX('Catalog'!$A:$A,MATCH($B3038,'Catalog'!$B:$B,0)),IFERROR(INDEX('Catalog'!$A:$A,MATCH(TRIM(SUBSTITUTE($B3038,CHAR(160)," ")),'Catalog'!$C:$C,0)),""))))</f>
        <v/>
      </c>
      <c r="H3038" s="8" t="str">
        <f aca="false">IFERROR(INDEX('TRANS'!$C:$C,MATCH($B3038,'TRANS'!$A:$A,0)),IFERROR(INDEX('Catalog'!$B:$B,MATCH($G3038,'Catalog'!$A:$A,0)),$B3038))</f>
        <v>11PS M</v>
      </c>
      <c r="I3038" s="8" t="str">
        <f aca="false">IF($G3038="","Unmatched","Matched")</f>
        <v>Unmatched</v>
      </c>
    </row>
    <row r="3039" customFormat="false" ht="15" hidden="false" customHeight="false" outlineLevel="0" collapsed="false">
      <c r="A3039" s="8" t="s">
        <v>1037</v>
      </c>
      <c r="B3039" s="8" t="s">
        <v>929</v>
      </c>
      <c r="C3039" s="19" t="n">
        <v>24</v>
      </c>
      <c r="D3039" s="19" t="n">
        <v>1279.11</v>
      </c>
      <c r="E3039" s="19" t="n">
        <v>23</v>
      </c>
      <c r="F3039" s="19" t="n">
        <v>1138.92</v>
      </c>
      <c r="G3039" s="8" t="n">
        <f aca="false">IFERROR(INDEX('TRANS'!$B:$B,MATCH($B3039,'TRANS'!$A:$A,0)),IFERROR(INDEX('TRANS'!$B:$B,MATCH(TRIM(SUBSTITUTE($B3039,CHAR(160)," ")),'TRANS'!$D:$D,0)),IFERROR(INDEX('Catalog'!$A:$A,MATCH($B3039,'Catalog'!$B:$B,0)),IFERROR(INDEX('Catalog'!$A:$A,MATCH(TRIM(SUBSTITUTE($B3039,CHAR(160)," ")),'Catalog'!$C:$C,0)),""))))</f>
        <v>4408145</v>
      </c>
      <c r="H3039" s="8" t="str">
        <f aca="false">IFERROR(INDEX('TRANS'!$C:$C,MATCH($B3039,'TRANS'!$A:$A,0)),IFERROR(INDEX('Catalog'!$B:$B,MATCH($G3039,'Catalog'!$A:$A,0)),$B3039))</f>
        <v>11PS Sחגורה למנותחי בטן</v>
      </c>
      <c r="I3039" s="8" t="str">
        <f aca="false">IF($G3039="","Unmatched","Matched")</f>
        <v>Matched</v>
      </c>
    </row>
    <row r="3040" customFormat="false" ht="15" hidden="false" customHeight="false" outlineLevel="0" collapsed="false">
      <c r="A3040" s="8" t="s">
        <v>1037</v>
      </c>
      <c r="B3040" s="8" t="s">
        <v>766</v>
      </c>
      <c r="C3040" s="19" t="n">
        <v>84</v>
      </c>
      <c r="D3040" s="19" t="n">
        <v>4705.74</v>
      </c>
      <c r="E3040" s="19" t="n">
        <v>44</v>
      </c>
      <c r="F3040" s="19" t="n">
        <v>2323.35</v>
      </c>
      <c r="G3040" s="8" t="n">
        <f aca="false">IFERROR(INDEX('TRANS'!$B:$B,MATCH($B3040,'TRANS'!$A:$A,0)),IFERROR(INDEX('TRANS'!$B:$B,MATCH(TRIM(SUBSTITUTE($B3040,CHAR(160)," ")),'TRANS'!$D:$D,0)),IFERROR(INDEX('Catalog'!$A:$A,MATCH($B3040,'Catalog'!$B:$B,0)),IFERROR(INDEX('Catalog'!$A:$A,MATCH(TRIM(SUBSTITUTE($B3040,CHAR(160)," ")),'Catalog'!$C:$C,0)),""))))</f>
        <v>4408148</v>
      </c>
      <c r="H3040" s="8" t="str">
        <f aca="false">IFERROR(INDEX('TRANS'!$C:$C,MATCH($B3040,'TRANS'!$A:$A,0)),IFERROR(INDEX('Catalog'!$B:$B,MATCH($G3040,'Catalog'!$A:$A,0)),$B3040))</f>
        <v>11PS XLחגורה למנותחי בטן</v>
      </c>
      <c r="I3040" s="8" t="str">
        <f aca="false">IF($G3040="","Unmatched","Matched")</f>
        <v>Matched</v>
      </c>
    </row>
    <row r="3041" customFormat="false" ht="15" hidden="false" customHeight="false" outlineLevel="0" collapsed="false">
      <c r="A3041" s="8" t="s">
        <v>1037</v>
      </c>
      <c r="B3041" s="8" t="s">
        <v>342</v>
      </c>
      <c r="C3041" s="19" t="n">
        <v>12</v>
      </c>
      <c r="D3041" s="19" t="n">
        <v>633.15</v>
      </c>
      <c r="E3041" s="19" t="n">
        <v>0</v>
      </c>
      <c r="F3041" s="19" t="n">
        <v>0</v>
      </c>
      <c r="G3041" s="8" t="n">
        <f aca="false">IFERROR(INDEX('TRANS'!$B:$B,MATCH($B3041,'TRANS'!$A:$A,0)),IFERROR(INDEX('TRANS'!$B:$B,MATCH(TRIM(SUBSTITUTE($B3041,CHAR(160)," ")),'TRANS'!$D:$D,0)),IFERROR(INDEX('Catalog'!$A:$A,MATCH($B3041,'Catalog'!$B:$B,0)),IFERROR(INDEX('Catalog'!$A:$A,MATCH(TRIM(SUBSTITUTE($B3041,CHAR(160)," ")),'Catalog'!$C:$C,0)),""))))</f>
        <v>4408149</v>
      </c>
      <c r="H3041" s="8" t="str">
        <f aca="false">IFERROR(INDEX('TRANS'!$C:$C,MATCH($B3041,'TRANS'!$A:$A,0)),IFERROR(INDEX('Catalog'!$B:$B,MATCH($G3041,'Catalog'!$A:$A,0)),$B3041))</f>
        <v>11PS XXLחגורה למנותחי בטן</v>
      </c>
      <c r="I3041" s="8" t="str">
        <f aca="false">IF($G3041="","Unmatched","Matched")</f>
        <v>Matched</v>
      </c>
    </row>
    <row r="3042" customFormat="false" ht="15" hidden="false" customHeight="false" outlineLevel="0" collapsed="false">
      <c r="A3042" s="8" t="s">
        <v>1037</v>
      </c>
      <c r="B3042" s="8" t="s">
        <v>83</v>
      </c>
      <c r="C3042" s="19" t="n">
        <v>36</v>
      </c>
      <c r="D3042" s="19" t="n">
        <v>1954.64</v>
      </c>
      <c r="E3042" s="19" t="n">
        <v>12</v>
      </c>
      <c r="F3042" s="19" t="n">
        <v>574.96</v>
      </c>
      <c r="G3042" s="8" t="str">
        <f aca="false">IFERROR(INDEX('TRANS'!$B:$B,MATCH($B3042,'TRANS'!$A:$A,0)),IFERROR(INDEX('TRANS'!$B:$B,MATCH(TRIM(SUBSTITUTE($B3042,CHAR(160)," ")),'TRANS'!$D:$D,0)),IFERROR(INDEX('Catalog'!$A:$A,MATCH($B3042,'Catalog'!$B:$B,0)),IFERROR(INDEX('Catalog'!$A:$A,MATCH(TRIM(SUBSTITUTE($B3042,CHAR(160)," ")),'Catalog'!$C:$C,0)),""))))</f>
        <v/>
      </c>
      <c r="H3042" s="8" t="str">
        <f aca="false">IFERROR(INDEX('TRANS'!$C:$C,MATCH($B3042,'TRANS'!$A:$A,0)),IFERROR(INDEX('Catalog'!$B:$B,MATCH($G3042,'Catalog'!$A:$A,0)),$B3042))</f>
        <v>15M L</v>
      </c>
      <c r="I3042" s="8" t="str">
        <f aca="false">IF($G3042="","Unmatched","Matched")</f>
        <v>Unmatched</v>
      </c>
    </row>
    <row r="3043" customFormat="false" ht="15" hidden="false" customHeight="false" outlineLevel="0" collapsed="false">
      <c r="A3043" s="8" t="s">
        <v>1037</v>
      </c>
      <c r="B3043" s="8" t="s">
        <v>84</v>
      </c>
      <c r="C3043" s="19" t="n">
        <v>12</v>
      </c>
      <c r="D3043" s="19" t="n">
        <v>669.64</v>
      </c>
      <c r="E3043" s="19" t="n">
        <v>0</v>
      </c>
      <c r="F3043" s="19" t="n">
        <v>0</v>
      </c>
      <c r="G3043" s="8" t="str">
        <f aca="false">IFERROR(INDEX('TRANS'!$B:$B,MATCH($B3043,'TRANS'!$A:$A,0)),IFERROR(INDEX('TRANS'!$B:$B,MATCH(TRIM(SUBSTITUTE($B3043,CHAR(160)," ")),'TRANS'!$D:$D,0)),IFERROR(INDEX('Catalog'!$A:$A,MATCH($B3043,'Catalog'!$B:$B,0)),IFERROR(INDEX('Catalog'!$A:$A,MATCH(TRIM(SUBSTITUTE($B3043,CHAR(160)," ")),'Catalog'!$C:$C,0)),""))))</f>
        <v/>
      </c>
      <c r="H3043" s="8" t="str">
        <f aca="false">IFERROR(INDEX('TRANS'!$C:$C,MATCH($B3043,'TRANS'!$A:$A,0)),IFERROR(INDEX('Catalog'!$B:$B,MATCH($G3043,'Catalog'!$A:$A,0)),$B3043))</f>
        <v>15M M</v>
      </c>
      <c r="I3043" s="8" t="str">
        <f aca="false">IF($G3043="","Unmatched","Matched")</f>
        <v>Unmatched</v>
      </c>
    </row>
    <row r="3044" customFormat="false" ht="15" hidden="false" customHeight="false" outlineLevel="0" collapsed="false">
      <c r="A3044" s="8" t="s">
        <v>1037</v>
      </c>
      <c r="B3044" s="8" t="s">
        <v>742</v>
      </c>
      <c r="C3044" s="19" t="n">
        <v>12</v>
      </c>
      <c r="D3044" s="19" t="n">
        <v>626.11</v>
      </c>
      <c r="E3044" s="19" t="n">
        <v>11</v>
      </c>
      <c r="F3044" s="19" t="n">
        <v>540.73</v>
      </c>
      <c r="G3044" s="8" t="str">
        <f aca="false">IFERROR(INDEX('TRANS'!$B:$B,MATCH($B3044,'TRANS'!$A:$A,0)),IFERROR(INDEX('TRANS'!$B:$B,MATCH(TRIM(SUBSTITUTE($B3044,CHAR(160)," ")),'TRANS'!$D:$D,0)),IFERROR(INDEX('Catalog'!$A:$A,MATCH($B3044,'Catalog'!$B:$B,0)),IFERROR(INDEX('Catalog'!$A:$A,MATCH(TRIM(SUBSTITUTE($B3044,CHAR(160)," ")),'Catalog'!$C:$C,0)),""))))</f>
        <v/>
      </c>
      <c r="H3044" s="8" t="str">
        <f aca="false">IFERROR(INDEX('TRANS'!$C:$C,MATCH($B3044,'TRANS'!$A:$A,0)),IFERROR(INDEX('Catalog'!$B:$B,MATCH($G3044,'Catalog'!$A:$A,0)),$B3044))</f>
        <v>15M XL</v>
      </c>
      <c r="I3044" s="8" t="str">
        <f aca="false">IF($G3044="","Unmatched","Matched")</f>
        <v>Unmatched</v>
      </c>
    </row>
    <row r="3045" customFormat="false" ht="15" hidden="false" customHeight="false" outlineLevel="0" collapsed="false">
      <c r="A3045" s="8" t="s">
        <v>1037</v>
      </c>
      <c r="B3045" s="8" t="s">
        <v>85</v>
      </c>
      <c r="C3045" s="19" t="n">
        <v>12</v>
      </c>
      <c r="D3045" s="19" t="n">
        <v>551.69</v>
      </c>
      <c r="E3045" s="19" t="n">
        <v>0</v>
      </c>
      <c r="F3045" s="19" t="n">
        <v>0</v>
      </c>
      <c r="G3045" s="8" t="n">
        <f aca="false">IFERROR(INDEX('TRANS'!$B:$B,MATCH($B3045,'TRANS'!$A:$A,0)),IFERROR(INDEX('TRANS'!$B:$B,MATCH(TRIM(SUBSTITUTE($B3045,CHAR(160)," ")),'TRANS'!$D:$D,0)),IFERROR(INDEX('Catalog'!$A:$A,MATCH($B3045,'Catalog'!$B:$B,0)),IFERROR(INDEX('Catalog'!$A:$A,MATCH(TRIM(SUBSTITUTE($B3045,CHAR(160)," ")),'Catalog'!$C:$C,0)),""))))</f>
        <v>4408131</v>
      </c>
      <c r="H3045" s="8" t="str">
        <f aca="false">IFERROR(INDEX('TRANS'!$C:$C,MATCH($B3045,'TRANS'!$A:$A,0)),IFERROR(INDEX('Catalog'!$B:$B,MATCH($G3045,'Catalog'!$A:$A,0)),$B3045))</f>
        <v>15W L חגורת צלעות לאשה</v>
      </c>
      <c r="I3045" s="8" t="str">
        <f aca="false">IF($G3045="","Unmatched","Matched")</f>
        <v>Matched</v>
      </c>
    </row>
    <row r="3046" customFormat="false" ht="15" hidden="false" customHeight="false" outlineLevel="0" collapsed="false">
      <c r="A3046" s="8" t="s">
        <v>1037</v>
      </c>
      <c r="B3046" s="8" t="s">
        <v>86</v>
      </c>
      <c r="C3046" s="19" t="n">
        <v>12</v>
      </c>
      <c r="D3046" s="19" t="n">
        <v>593.66</v>
      </c>
      <c r="E3046" s="19" t="n">
        <v>12</v>
      </c>
      <c r="F3046" s="19" t="n">
        <v>513.14</v>
      </c>
      <c r="G3046" s="8" t="str">
        <f aca="false">IFERROR(INDEX('TRANS'!$B:$B,MATCH($B3046,'TRANS'!$A:$A,0)),IFERROR(INDEX('TRANS'!$B:$B,MATCH(TRIM(SUBSTITUTE($B3046,CHAR(160)," ")),'TRANS'!$D:$D,0)),IFERROR(INDEX('Catalog'!$A:$A,MATCH($B3046,'Catalog'!$B:$B,0)),IFERROR(INDEX('Catalog'!$A:$A,MATCH(TRIM(SUBSTITUTE($B3046,CHAR(160)," ")),'Catalog'!$C:$C,0)),""))))</f>
        <v/>
      </c>
      <c r="H3046" s="8" t="str">
        <f aca="false">IFERROR(INDEX('TRANS'!$C:$C,MATCH($B3046,'TRANS'!$A:$A,0)),IFERROR(INDEX('Catalog'!$B:$B,MATCH($G3046,'Catalog'!$A:$A,0)),$B3046))</f>
        <v>15W M</v>
      </c>
      <c r="I3046" s="8" t="str">
        <f aca="false">IF($G3046="","Unmatched","Matched")</f>
        <v>Unmatched</v>
      </c>
    </row>
    <row r="3047" customFormat="false" ht="15" hidden="false" customHeight="false" outlineLevel="0" collapsed="false">
      <c r="A3047" s="8" t="s">
        <v>1037</v>
      </c>
      <c r="B3047" s="8" t="s">
        <v>87</v>
      </c>
      <c r="C3047" s="19" t="n">
        <v>6</v>
      </c>
      <c r="D3047" s="19" t="n">
        <v>276.59</v>
      </c>
      <c r="E3047" s="19" t="n">
        <v>11</v>
      </c>
      <c r="F3047" s="19" t="n">
        <v>514.63</v>
      </c>
      <c r="G3047" s="8" t="str">
        <f aca="false">IFERROR(INDEX('TRANS'!$B:$B,MATCH($B3047,'TRANS'!$A:$A,0)),IFERROR(INDEX('TRANS'!$B:$B,MATCH(TRIM(SUBSTITUTE($B3047,CHAR(160)," ")),'TRANS'!$D:$D,0)),IFERROR(INDEX('Catalog'!$A:$A,MATCH($B3047,'Catalog'!$B:$B,0)),IFERROR(INDEX('Catalog'!$A:$A,MATCH(TRIM(SUBSTITUTE($B3047,CHAR(160)," ")),'Catalog'!$C:$C,0)),""))))</f>
        <v/>
      </c>
      <c r="H3047" s="8" t="str">
        <f aca="false">IFERROR(INDEX('TRANS'!$C:$C,MATCH($B3047,'TRANS'!$A:$A,0)),IFERROR(INDEX('Catalog'!$B:$B,MATCH($G3047,'Catalog'!$A:$A,0)),$B3047))</f>
        <v>15W S</v>
      </c>
      <c r="I3047" s="8" t="str">
        <f aca="false">IF($G3047="","Unmatched","Matched")</f>
        <v>Unmatched</v>
      </c>
    </row>
    <row r="3048" customFormat="false" ht="15" hidden="false" customHeight="false" outlineLevel="0" collapsed="false">
      <c r="A3048" s="8" t="s">
        <v>1037</v>
      </c>
      <c r="B3048" s="8" t="s">
        <v>88</v>
      </c>
      <c r="C3048" s="19" t="n">
        <v>12</v>
      </c>
      <c r="D3048" s="19" t="n">
        <v>593.66</v>
      </c>
      <c r="E3048" s="19" t="n">
        <v>0</v>
      </c>
      <c r="F3048" s="19" t="n">
        <v>0</v>
      </c>
      <c r="G3048" s="8" t="str">
        <f aca="false">IFERROR(INDEX('TRANS'!$B:$B,MATCH($B3048,'TRANS'!$A:$A,0)),IFERROR(INDEX('TRANS'!$B:$B,MATCH(TRIM(SUBSTITUTE($B3048,CHAR(160)," ")),'TRANS'!$D:$D,0)),IFERROR(INDEX('Catalog'!$A:$A,MATCH($B3048,'Catalog'!$B:$B,0)),IFERROR(INDEX('Catalog'!$A:$A,MATCH(TRIM(SUBSTITUTE($B3048,CHAR(160)," ")),'Catalog'!$C:$C,0)),""))))</f>
        <v/>
      </c>
      <c r="H3048" s="8" t="str">
        <f aca="false">IFERROR(INDEX('TRANS'!$C:$C,MATCH($B3048,'TRANS'!$A:$A,0)),IFERROR(INDEX('Catalog'!$B:$B,MATCH($G3048,'Catalog'!$A:$A,0)),$B3048))</f>
        <v>15W XL</v>
      </c>
      <c r="I3048" s="8" t="str">
        <f aca="false">IF($G3048="","Unmatched","Matched")</f>
        <v>Unmatched</v>
      </c>
    </row>
    <row r="3049" customFormat="false" ht="15" hidden="false" customHeight="false" outlineLevel="0" collapsed="false">
      <c r="A3049" s="8" t="s">
        <v>1037</v>
      </c>
      <c r="B3049" s="8" t="s">
        <v>1038</v>
      </c>
      <c r="C3049" s="19" t="n">
        <v>6</v>
      </c>
      <c r="D3049" s="19" t="n">
        <v>276.59</v>
      </c>
      <c r="E3049" s="19" t="n">
        <v>0</v>
      </c>
      <c r="F3049" s="19" t="n">
        <v>0</v>
      </c>
      <c r="G3049" s="8" t="str">
        <f aca="false">IFERROR(INDEX('TRANS'!$B:$B,MATCH($B3049,'TRANS'!$A:$A,0)),IFERROR(INDEX('TRANS'!$B:$B,MATCH(TRIM(SUBSTITUTE($B3049,CHAR(160)," ")),'TRANS'!$D:$D,0)),IFERROR(INDEX('Catalog'!$A:$A,MATCH($B3049,'Catalog'!$B:$B,0)),IFERROR(INDEX('Catalog'!$A:$A,MATCH(TRIM(SUBSTITUTE($B3049,CHAR(160)," ")),'Catalog'!$C:$C,0)),""))))</f>
        <v/>
      </c>
      <c r="H3049" s="8" t="str">
        <f aca="false">IFERROR(INDEX('TRANS'!$C:$C,MATCH($B3049,'TRANS'!$A:$A,0)),IFERROR(INDEX('Catalog'!$B:$B,MATCH($G3049,'Catalog'!$A:$A,0)),$B3049))</f>
        <v>15W XS</v>
      </c>
      <c r="I3049" s="8" t="str">
        <f aca="false">IF($G3049="","Unmatched","Matched")</f>
        <v>Unmatched</v>
      </c>
    </row>
    <row r="3050" customFormat="false" ht="15" hidden="false" customHeight="false" outlineLevel="0" collapsed="false">
      <c r="A3050" s="8" t="s">
        <v>1037</v>
      </c>
      <c r="B3050" s="8" t="s">
        <v>89</v>
      </c>
      <c r="C3050" s="19" t="n">
        <v>12</v>
      </c>
      <c r="D3050" s="19" t="n">
        <v>611.58</v>
      </c>
      <c r="E3050" s="19" t="n">
        <v>0</v>
      </c>
      <c r="F3050" s="19" t="n">
        <v>0</v>
      </c>
      <c r="G3050" s="8" t="str">
        <f aca="false">IFERROR(INDEX('TRANS'!$B:$B,MATCH($B3050,'TRANS'!$A:$A,0)),IFERROR(INDEX('TRANS'!$B:$B,MATCH(TRIM(SUBSTITUTE($B3050,CHAR(160)," ")),'TRANS'!$D:$D,0)),IFERROR(INDEX('Catalog'!$A:$A,MATCH($B3050,'Catalog'!$B:$B,0)),IFERROR(INDEX('Catalog'!$A:$A,MATCH(TRIM(SUBSTITUTE($B3050,CHAR(160)," ")),'Catalog'!$C:$C,0)),""))))</f>
        <v/>
      </c>
      <c r="H3050" s="8" t="str">
        <f aca="false">IFERROR(INDEX('TRANS'!$C:$C,MATCH($B3050,'TRANS'!$A:$A,0)),IFERROR(INDEX('Catalog'!$B:$B,MATCH($G3050,'Catalog'!$A:$A,0)),$B3050))</f>
        <v>15W XXL</v>
      </c>
      <c r="I3050" s="8" t="str">
        <f aca="false">IF($G3050="","Unmatched","Matched")</f>
        <v>Unmatched</v>
      </c>
    </row>
    <row r="3051" customFormat="false" ht="15" hidden="false" customHeight="false" outlineLevel="0" collapsed="false">
      <c r="A3051" s="8" t="s">
        <v>1037</v>
      </c>
      <c r="B3051" s="8" t="s">
        <v>686</v>
      </c>
      <c r="C3051" s="19" t="n">
        <v>12</v>
      </c>
      <c r="D3051" s="19" t="n">
        <v>161.52</v>
      </c>
      <c r="E3051" s="19" t="n">
        <v>0</v>
      </c>
      <c r="F3051" s="19" t="n">
        <v>0</v>
      </c>
      <c r="G3051" s="8" t="n">
        <f aca="false">IFERROR(INDEX('TRANS'!$B:$B,MATCH($B3051,'TRANS'!$A:$A,0)),IFERROR(INDEX('TRANS'!$B:$B,MATCH(TRIM(SUBSTITUTE($B3051,CHAR(160)," ")),'TRANS'!$D:$D,0)),IFERROR(INDEX('Catalog'!$A:$A,MATCH($B3051,'Catalog'!$B:$B,0)),IFERROR(INDEX('Catalog'!$A:$A,MATCH(TRIM(SUBSTITUTE($B3051,CHAR(160)," ")),'Catalog'!$C:$C,0)),""))))</f>
        <v>4408046</v>
      </c>
      <c r="H3051" s="8" t="str">
        <f aca="false">IFERROR(INDEX('TRANS'!$C:$C,MATCH($B3051,'TRANS'!$A:$A,0)),IFERROR(INDEX('Catalog'!$B:$B,MATCH($G3051,'Catalog'!$A:$A,0)),$B3051))</f>
        <v>20 L חבק יד מתכוון עם צמדן</v>
      </c>
      <c r="I3051" s="8" t="str">
        <f aca="false">IF($G3051="","Unmatched","Matched")</f>
        <v>Matched</v>
      </c>
    </row>
    <row r="3052" customFormat="false" ht="15" hidden="false" customHeight="false" outlineLevel="0" collapsed="false">
      <c r="A3052" s="8" t="s">
        <v>1037</v>
      </c>
      <c r="B3052" s="8" t="s">
        <v>621</v>
      </c>
      <c r="C3052" s="19" t="n">
        <v>12</v>
      </c>
      <c r="D3052" s="19" t="n">
        <v>165</v>
      </c>
      <c r="E3052" s="19" t="n">
        <v>23</v>
      </c>
      <c r="F3052" s="19" t="n">
        <v>296.96</v>
      </c>
      <c r="G3052" s="8" t="n">
        <f aca="false">IFERROR(INDEX('TRANS'!$B:$B,MATCH($B3052,'TRANS'!$A:$A,0)),IFERROR(INDEX('TRANS'!$B:$B,MATCH(TRIM(SUBSTITUTE($B3052,CHAR(160)," ")),'TRANS'!$D:$D,0)),IFERROR(INDEX('Catalog'!$A:$A,MATCH($B3052,'Catalog'!$B:$B,0)),IFERROR(INDEX('Catalog'!$A:$A,MATCH(TRIM(SUBSTITUTE($B3052,CHAR(160)," ")),'Catalog'!$C:$C,0)),""))))</f>
        <v>4408047</v>
      </c>
      <c r="H3052" s="8" t="str">
        <f aca="false">IFERROR(INDEX('TRANS'!$C:$C,MATCH($B3052,'TRANS'!$A:$A,0)),IFERROR(INDEX('Catalog'!$B:$B,MATCH($G3052,'Catalog'!$A:$A,0)),$B3052))</f>
        <v>20 M חבק יד מתכוון עם צמדן</v>
      </c>
      <c r="I3052" s="8" t="str">
        <f aca="false">IF($G3052="","Unmatched","Matched")</f>
        <v>Matched</v>
      </c>
    </row>
    <row r="3053" customFormat="false" ht="15" hidden="false" customHeight="false" outlineLevel="0" collapsed="false">
      <c r="A3053" s="8" t="s">
        <v>1037</v>
      </c>
      <c r="B3053" s="8" t="s">
        <v>622</v>
      </c>
      <c r="C3053" s="19" t="n">
        <v>12</v>
      </c>
      <c r="D3053" s="19" t="n">
        <v>161.52</v>
      </c>
      <c r="E3053" s="19" t="n">
        <v>0</v>
      </c>
      <c r="F3053" s="19" t="n">
        <v>0</v>
      </c>
      <c r="G3053" s="8" t="n">
        <f aca="false">IFERROR(INDEX('TRANS'!$B:$B,MATCH($B3053,'TRANS'!$A:$A,0)),IFERROR(INDEX('TRANS'!$B:$B,MATCH(TRIM(SUBSTITUTE($B3053,CHAR(160)," ")),'TRANS'!$D:$D,0)),IFERROR(INDEX('Catalog'!$A:$A,MATCH($B3053,'Catalog'!$B:$B,0)),IFERROR(INDEX('Catalog'!$A:$A,MATCH(TRIM(SUBSTITUTE($B3053,CHAR(160)," ")),'Catalog'!$C:$C,0)),""))))</f>
        <v>4408048</v>
      </c>
      <c r="H3053" s="8" t="str">
        <f aca="false">IFERROR(INDEX('TRANS'!$C:$C,MATCH($B3053,'TRANS'!$A:$A,0)),IFERROR(INDEX('Catalog'!$B:$B,MATCH($G3053,'Catalog'!$A:$A,0)),$B3053))</f>
        <v>20 S חבק יד מתכוון עם צמדן</v>
      </c>
      <c r="I3053" s="8" t="str">
        <f aca="false">IF($G3053="","Unmatched","Matched")</f>
        <v>Matched</v>
      </c>
    </row>
    <row r="3054" customFormat="false" ht="15" hidden="false" customHeight="false" outlineLevel="0" collapsed="false">
      <c r="A3054" s="8" t="s">
        <v>1037</v>
      </c>
      <c r="B3054" s="8" t="s">
        <v>465</v>
      </c>
      <c r="C3054" s="19" t="n">
        <v>15</v>
      </c>
      <c r="D3054" s="19" t="n">
        <v>575.1</v>
      </c>
      <c r="E3054" s="19" t="n">
        <v>10</v>
      </c>
      <c r="F3054" s="19" t="n">
        <v>364.25</v>
      </c>
      <c r="G3054" s="8" t="n">
        <f aca="false">IFERROR(INDEX('TRANS'!$B:$B,MATCH($B3054,'TRANS'!$A:$A,0)),IFERROR(INDEX('TRANS'!$B:$B,MATCH(TRIM(SUBSTITUTE($B3054,CHAR(160)," ")),'TRANS'!$D:$D,0)),IFERROR(INDEX('Catalog'!$A:$A,MATCH($B3054,'Catalog'!$B:$B,0)),IFERROR(INDEX('Catalog'!$A:$A,MATCH(TRIM(SUBSTITUTE($B3054,CHAR(160)," ")),'Catalog'!$C:$C,0)),""))))</f>
        <v>4411026</v>
      </c>
      <c r="H3054" s="8" t="str">
        <f aca="false">IFERROR(INDEX('TRANS'!$C:$C,MATCH($B3054,'TRANS'!$A:$A,0)),IFERROR(INDEX('Catalog'!$B:$B,MATCH($G3054,'Catalog'!$A:$A,0)),$B3054))</f>
        <v>213CTSL L שמאל CTS כפפות</v>
      </c>
      <c r="I3054" s="8" t="str">
        <f aca="false">IF($G3054="","Unmatched","Matched")</f>
        <v>Matched</v>
      </c>
    </row>
    <row r="3055" customFormat="false" ht="15" hidden="false" customHeight="false" outlineLevel="0" collapsed="false">
      <c r="A3055" s="8" t="s">
        <v>1037</v>
      </c>
      <c r="B3055" s="8" t="s">
        <v>466</v>
      </c>
      <c r="C3055" s="19" t="n">
        <v>15</v>
      </c>
      <c r="D3055" s="19" t="n">
        <v>575.1</v>
      </c>
      <c r="E3055" s="19" t="n">
        <v>50</v>
      </c>
      <c r="F3055" s="19" t="n">
        <v>1811.15</v>
      </c>
      <c r="G3055" s="8" t="n">
        <f aca="false">IFERROR(INDEX('TRANS'!$B:$B,MATCH($B3055,'TRANS'!$A:$A,0)),IFERROR(INDEX('TRANS'!$B:$B,MATCH(TRIM(SUBSTITUTE($B3055,CHAR(160)," ")),'TRANS'!$D:$D,0)),IFERROR(INDEX('Catalog'!$A:$A,MATCH($B3055,'Catalog'!$B:$B,0)),IFERROR(INDEX('Catalog'!$A:$A,MATCH(TRIM(SUBSTITUTE($B3055,CHAR(160)," ")),'Catalog'!$C:$C,0)),""))))</f>
        <v>4411027</v>
      </c>
      <c r="H3055" s="8" t="str">
        <f aca="false">IFERROR(INDEX('TRANS'!$C:$C,MATCH($B3055,'TRANS'!$A:$A,0)),IFERROR(INDEX('Catalog'!$B:$B,MATCH($G3055,'Catalog'!$A:$A,0)),$B3055))</f>
        <v>213CTSL M שמאל CTS כפפות</v>
      </c>
      <c r="I3055" s="8" t="str">
        <f aca="false">IF($G3055="","Unmatched","Matched")</f>
        <v>Matched</v>
      </c>
    </row>
    <row r="3056" customFormat="false" ht="15" hidden="false" customHeight="false" outlineLevel="0" collapsed="false">
      <c r="A3056" s="8" t="s">
        <v>1037</v>
      </c>
      <c r="B3056" s="8" t="s">
        <v>467</v>
      </c>
      <c r="C3056" s="19" t="n">
        <v>15</v>
      </c>
      <c r="D3056" s="19" t="n">
        <v>575.1</v>
      </c>
      <c r="E3056" s="19" t="n">
        <v>40</v>
      </c>
      <c r="F3056" s="19" t="n">
        <v>1446.9</v>
      </c>
      <c r="G3056" s="8" t="n">
        <f aca="false">IFERROR(INDEX('TRANS'!$B:$B,MATCH($B3056,'TRANS'!$A:$A,0)),IFERROR(INDEX('TRANS'!$B:$B,MATCH(TRIM(SUBSTITUTE($B3056,CHAR(160)," ")),'TRANS'!$D:$D,0)),IFERROR(INDEX('Catalog'!$A:$A,MATCH($B3056,'Catalog'!$B:$B,0)),IFERROR(INDEX('Catalog'!$A:$A,MATCH(TRIM(SUBSTITUTE($B3056,CHAR(160)," ")),'Catalog'!$C:$C,0)),""))))</f>
        <v>4411028</v>
      </c>
      <c r="H3056" s="8" t="str">
        <f aca="false">IFERROR(INDEX('TRANS'!$C:$C,MATCH($B3056,'TRANS'!$A:$A,0)),IFERROR(INDEX('Catalog'!$B:$B,MATCH($G3056,'Catalog'!$A:$A,0)),$B3056))</f>
        <v>213CTSL S שמאל CTS כפפות</v>
      </c>
      <c r="I3056" s="8" t="str">
        <f aca="false">IF($G3056="","Unmatched","Matched")</f>
        <v>Matched</v>
      </c>
    </row>
    <row r="3057" customFormat="false" ht="15" hidden="false" customHeight="false" outlineLevel="0" collapsed="false">
      <c r="A3057" s="8" t="s">
        <v>1037</v>
      </c>
      <c r="B3057" s="8" t="s">
        <v>468</v>
      </c>
      <c r="C3057" s="19" t="n">
        <v>15</v>
      </c>
      <c r="D3057" s="19" t="n">
        <v>575.1</v>
      </c>
      <c r="E3057" s="19" t="n">
        <v>20</v>
      </c>
      <c r="F3057" s="19" t="n">
        <v>723.45</v>
      </c>
      <c r="G3057" s="8" t="n">
        <f aca="false">IFERROR(INDEX('TRANS'!$B:$B,MATCH($B3057,'TRANS'!$A:$A,0)),IFERROR(INDEX('TRANS'!$B:$B,MATCH(TRIM(SUBSTITUTE($B3057,CHAR(160)," ")),'TRANS'!$D:$D,0)),IFERROR(INDEX('Catalog'!$A:$A,MATCH($B3057,'Catalog'!$B:$B,0)),IFERROR(INDEX('Catalog'!$A:$A,MATCH(TRIM(SUBSTITUTE($B3057,CHAR(160)," ")),'Catalog'!$C:$C,0)),""))))</f>
        <v>4411029</v>
      </c>
      <c r="H3057" s="8" t="str">
        <f aca="false">IFERROR(INDEX('TRANS'!$C:$C,MATCH($B3057,'TRANS'!$A:$A,0)),IFERROR(INDEX('Catalog'!$B:$B,MATCH($G3057,'Catalog'!$A:$A,0)),$B3057))</f>
        <v>213CTSR L ימין CTS כפפות</v>
      </c>
      <c r="I3057" s="8" t="str">
        <f aca="false">IF($G3057="","Unmatched","Matched")</f>
        <v>Matched</v>
      </c>
    </row>
    <row r="3058" customFormat="false" ht="15" hidden="false" customHeight="false" outlineLevel="0" collapsed="false">
      <c r="A3058" s="8" t="s">
        <v>1037</v>
      </c>
      <c r="B3058" s="8" t="s">
        <v>469</v>
      </c>
      <c r="C3058" s="19" t="n">
        <v>15</v>
      </c>
      <c r="D3058" s="19" t="n">
        <v>575.1</v>
      </c>
      <c r="E3058" s="19" t="n">
        <v>50</v>
      </c>
      <c r="F3058" s="19" t="n">
        <v>1788.47</v>
      </c>
      <c r="G3058" s="8" t="n">
        <f aca="false">IFERROR(INDEX('TRANS'!$B:$B,MATCH($B3058,'TRANS'!$A:$A,0)),IFERROR(INDEX('TRANS'!$B:$B,MATCH(TRIM(SUBSTITUTE($B3058,CHAR(160)," ")),'TRANS'!$D:$D,0)),IFERROR(INDEX('Catalog'!$A:$A,MATCH($B3058,'Catalog'!$B:$B,0)),IFERROR(INDEX('Catalog'!$A:$A,MATCH(TRIM(SUBSTITUTE($B3058,CHAR(160)," ")),'Catalog'!$C:$C,0)),""))))</f>
        <v>4411030</v>
      </c>
      <c r="H3058" s="8" t="str">
        <f aca="false">IFERROR(INDEX('TRANS'!$C:$C,MATCH($B3058,'TRANS'!$A:$A,0)),IFERROR(INDEX('Catalog'!$B:$B,MATCH($G3058,'Catalog'!$A:$A,0)),$B3058))</f>
        <v>213CTSR M ימין CTS כפפות</v>
      </c>
      <c r="I3058" s="8" t="str">
        <f aca="false">IF($G3058="","Unmatched","Matched")</f>
        <v>Matched</v>
      </c>
    </row>
    <row r="3059" customFormat="false" ht="15" hidden="false" customHeight="false" outlineLevel="0" collapsed="false">
      <c r="A3059" s="8" t="s">
        <v>1037</v>
      </c>
      <c r="B3059" s="8" t="s">
        <v>470</v>
      </c>
      <c r="C3059" s="19" t="n">
        <v>15</v>
      </c>
      <c r="D3059" s="19" t="n">
        <v>575.1</v>
      </c>
      <c r="E3059" s="19" t="n">
        <v>30</v>
      </c>
      <c r="F3059" s="19" t="n">
        <v>1082.65</v>
      </c>
      <c r="G3059" s="8" t="n">
        <f aca="false">IFERROR(INDEX('TRANS'!$B:$B,MATCH($B3059,'TRANS'!$A:$A,0)),IFERROR(INDEX('TRANS'!$B:$B,MATCH(TRIM(SUBSTITUTE($B3059,CHAR(160)," ")),'TRANS'!$D:$D,0)),IFERROR(INDEX('Catalog'!$A:$A,MATCH($B3059,'Catalog'!$B:$B,0)),IFERROR(INDEX('Catalog'!$A:$A,MATCH(TRIM(SUBSTITUTE($B3059,CHAR(160)," ")),'Catalog'!$C:$C,0)),""))))</f>
        <v>4411031</v>
      </c>
      <c r="H3059" s="8" t="str">
        <f aca="false">IFERROR(INDEX('TRANS'!$C:$C,MATCH($B3059,'TRANS'!$A:$A,0)),IFERROR(INDEX('Catalog'!$B:$B,MATCH($G3059,'Catalog'!$A:$A,0)),$B3059))</f>
        <v>213CTS  S ימין CTS כפפות</v>
      </c>
      <c r="I3059" s="8" t="str">
        <f aca="false">IF($G3059="","Unmatched","Matched")</f>
        <v>Matched</v>
      </c>
    </row>
    <row r="3060" customFormat="false" ht="15" hidden="false" customHeight="false" outlineLevel="0" collapsed="false">
      <c r="A3060" s="8" t="s">
        <v>1037</v>
      </c>
      <c r="B3060" s="8" t="s">
        <v>100</v>
      </c>
      <c r="C3060" s="19" t="n">
        <v>180</v>
      </c>
      <c r="D3060" s="19" t="n">
        <v>1479.51</v>
      </c>
      <c r="E3060" s="19" t="n">
        <v>93</v>
      </c>
      <c r="F3060" s="19" t="n">
        <v>713.31</v>
      </c>
      <c r="G3060" s="8" t="n">
        <f aca="false">IFERROR(INDEX('TRANS'!$B:$B,MATCH($B3060,'TRANS'!$A:$A,0)),IFERROR(INDEX('TRANS'!$B:$B,MATCH(TRIM(SUBSTITUTE($B3060,CHAR(160)," ")),'TRANS'!$D:$D,0)),IFERROR(INDEX('Catalog'!$A:$A,MATCH($B3060,'Catalog'!$B:$B,0)),IFERROR(INDEX('Catalog'!$A:$A,MATCH(TRIM(SUBSTITUTE($B3060,CHAR(160)," ")),'Catalog'!$C:$C,0)),""))))</f>
        <v>4415162</v>
      </c>
      <c r="H3060" s="8" t="str">
        <f aca="false">IFERROR(INDEX('TRANS'!$C:$C,MATCH($B3060,'TRANS'!$A:$A,0)),IFERROR(INDEX('Catalog'!$B:$B,MATCH($G3060,'Catalog'!$A:$A,0)),$B3060))</f>
        <v>238L סד ליישור אצבע</v>
      </c>
      <c r="I3060" s="8" t="str">
        <f aca="false">IF($G3060="","Unmatched","Matched")</f>
        <v>Matched</v>
      </c>
    </row>
    <row r="3061" customFormat="false" ht="15" hidden="false" customHeight="false" outlineLevel="0" collapsed="false">
      <c r="A3061" s="8" t="s">
        <v>1037</v>
      </c>
      <c r="B3061" s="8" t="s">
        <v>589</v>
      </c>
      <c r="C3061" s="19" t="n">
        <v>132</v>
      </c>
      <c r="D3061" s="19" t="n">
        <v>1082.3</v>
      </c>
      <c r="E3061" s="19" t="n">
        <v>104</v>
      </c>
      <c r="F3061" s="19" t="n">
        <v>799.1</v>
      </c>
      <c r="G3061" s="8" t="n">
        <f aca="false">IFERROR(INDEX('TRANS'!$B:$B,MATCH($B3061,'TRANS'!$A:$A,0)),IFERROR(INDEX('TRANS'!$B:$B,MATCH(TRIM(SUBSTITUTE($B3061,CHAR(160)," ")),'TRANS'!$D:$D,0)),IFERROR(INDEX('Catalog'!$A:$A,MATCH($B3061,'Catalog'!$B:$B,0)),IFERROR(INDEX('Catalog'!$A:$A,MATCH(TRIM(SUBSTITUTE($B3061,CHAR(160)," ")),'Catalog'!$C:$C,0)),""))))</f>
        <v>4415161</v>
      </c>
      <c r="H3061" s="8" t="str">
        <f aca="false">IFERROR(INDEX('TRANS'!$C:$C,MATCH($B3061,'TRANS'!$A:$A,0)),IFERROR(INDEX('Catalog'!$B:$B,MATCH($G3061,'Catalog'!$A:$A,0)),$B3061))</f>
        <v>238M סד ליישור אצבע</v>
      </c>
      <c r="I3061" s="8" t="str">
        <f aca="false">IF($G3061="","Unmatched","Matched")</f>
        <v>Matched</v>
      </c>
    </row>
    <row r="3062" customFormat="false" ht="15" hidden="false" customHeight="false" outlineLevel="0" collapsed="false">
      <c r="A3062" s="8" t="s">
        <v>1037</v>
      </c>
      <c r="B3062" s="8" t="s">
        <v>101</v>
      </c>
      <c r="C3062" s="19" t="n">
        <v>120</v>
      </c>
      <c r="D3062" s="19" t="n">
        <v>998.44</v>
      </c>
      <c r="E3062" s="19" t="n">
        <v>82</v>
      </c>
      <c r="F3062" s="19" t="n">
        <v>627.49</v>
      </c>
      <c r="G3062" s="8" t="n">
        <f aca="false">IFERROR(INDEX('TRANS'!$B:$B,MATCH($B3062,'TRANS'!$A:$A,0)),IFERROR(INDEX('TRANS'!$B:$B,MATCH(TRIM(SUBSTITUTE($B3062,CHAR(160)," ")),'TRANS'!$D:$D,0)),IFERROR(INDEX('Catalog'!$A:$A,MATCH($B3062,'Catalog'!$B:$B,0)),IFERROR(INDEX('Catalog'!$A:$A,MATCH(TRIM(SUBSTITUTE($B3062,CHAR(160)," ")),'Catalog'!$C:$C,0)),""))))</f>
        <v>4415160</v>
      </c>
      <c r="H3062" s="8" t="str">
        <f aca="false">IFERROR(INDEX('TRANS'!$C:$C,MATCH($B3062,'TRANS'!$A:$A,0)),IFERROR(INDEX('Catalog'!$B:$B,MATCH($G3062,'Catalog'!$A:$A,0)),$B3062))</f>
        <v>238S סד ליישור אצבע</v>
      </c>
      <c r="I3062" s="8" t="str">
        <f aca="false">IF($G3062="","Unmatched","Matched")</f>
        <v>Matched</v>
      </c>
    </row>
    <row r="3063" customFormat="false" ht="15" hidden="false" customHeight="false" outlineLevel="0" collapsed="false">
      <c r="A3063" s="8" t="s">
        <v>1037</v>
      </c>
      <c r="B3063" s="8" t="s">
        <v>590</v>
      </c>
      <c r="C3063" s="19" t="n">
        <v>60</v>
      </c>
      <c r="D3063" s="19" t="n">
        <v>491.5</v>
      </c>
      <c r="E3063" s="19" t="n">
        <v>48</v>
      </c>
      <c r="F3063" s="19" t="n">
        <v>364.77</v>
      </c>
      <c r="G3063" s="8" t="n">
        <f aca="false">IFERROR(INDEX('TRANS'!$B:$B,MATCH($B3063,'TRANS'!$A:$A,0)),IFERROR(INDEX('TRANS'!$B:$B,MATCH(TRIM(SUBSTITUTE($B3063,CHAR(160)," ")),'TRANS'!$D:$D,0)),IFERROR(INDEX('Catalog'!$A:$A,MATCH($B3063,'Catalog'!$B:$B,0)),IFERROR(INDEX('Catalog'!$A:$A,MATCH(TRIM(SUBSTITUTE($B3063,CHAR(160)," ")),'Catalog'!$C:$C,0)),""))))</f>
        <v>4415163</v>
      </c>
      <c r="H3063" s="8" t="str">
        <f aca="false">IFERROR(INDEX('TRANS'!$C:$C,MATCH($B3063,'TRANS'!$A:$A,0)),IFERROR(INDEX('Catalog'!$B:$B,MATCH($G3063,'Catalog'!$A:$A,0)),$B3063))</f>
        <v>238XL סד ליישור אצבע</v>
      </c>
      <c r="I3063" s="8" t="str">
        <f aca="false">IF($G3063="","Unmatched","Matched")</f>
        <v>Matched</v>
      </c>
    </row>
    <row r="3064" customFormat="false" ht="15" hidden="false" customHeight="false" outlineLevel="0" collapsed="false">
      <c r="A3064" s="8" t="s">
        <v>1037</v>
      </c>
      <c r="B3064" s="8" t="s">
        <v>635</v>
      </c>
      <c r="C3064" s="19" t="n">
        <v>12</v>
      </c>
      <c r="D3064" s="19" t="n">
        <v>499.83</v>
      </c>
      <c r="E3064" s="19" t="n">
        <v>11</v>
      </c>
      <c r="F3064" s="19" t="n">
        <v>436.08</v>
      </c>
      <c r="G3064" s="8" t="n">
        <f aca="false">IFERROR(INDEX('TRANS'!$B:$B,MATCH($B3064,'TRANS'!$A:$A,0)),IFERROR(INDEX('TRANS'!$B:$B,MATCH(TRIM(SUBSTITUTE($B3064,CHAR(160)," ")),'TRANS'!$D:$D,0)),IFERROR(INDEX('Catalog'!$A:$A,MATCH($B3064,'Catalog'!$B:$B,0)),IFERROR(INDEX('Catalog'!$A:$A,MATCH(TRIM(SUBSTITUTE($B3064,CHAR(160)," ")),'Catalog'!$C:$C,0)),""))))</f>
        <v>4415000</v>
      </c>
      <c r="H3064" s="8" t="str">
        <f aca="false">IFERROR(INDEX('TRANS'!$C:$C,MATCH($B3064,'TRANS'!$A:$A,0)),IFERROR(INDEX('Catalog'!$B:$B,MATCH($G3064,'Catalog'!$A:$A,0)),$B3064))</f>
        <v>26 L סד ליד דו צדדי לאחר שבר</v>
      </c>
      <c r="I3064" s="8" t="str">
        <f aca="false">IF($G3064="","Unmatched","Matched")</f>
        <v>Matched</v>
      </c>
    </row>
    <row r="3065" customFormat="false" ht="15" hidden="false" customHeight="false" outlineLevel="0" collapsed="false">
      <c r="A3065" s="8" t="s">
        <v>1037</v>
      </c>
      <c r="B3065" s="8" t="s">
        <v>643</v>
      </c>
      <c r="C3065" s="19" t="n">
        <v>12</v>
      </c>
      <c r="D3065" s="19" t="n">
        <v>499.83</v>
      </c>
      <c r="E3065" s="19" t="n">
        <v>11</v>
      </c>
      <c r="F3065" s="19" t="n">
        <v>436.08</v>
      </c>
      <c r="G3065" s="8" t="n">
        <f aca="false">IFERROR(INDEX('TRANS'!$B:$B,MATCH($B3065,'TRANS'!$A:$A,0)),IFERROR(INDEX('TRANS'!$B:$B,MATCH(TRIM(SUBSTITUTE($B3065,CHAR(160)," ")),'TRANS'!$D:$D,0)),IFERROR(INDEX('Catalog'!$A:$A,MATCH($B3065,'Catalog'!$B:$B,0)),IFERROR(INDEX('Catalog'!$A:$A,MATCH(TRIM(SUBSTITUTE($B3065,CHAR(160)," ")),'Catalog'!$C:$C,0)),""))))</f>
        <v>4415001</v>
      </c>
      <c r="H3065" s="8" t="str">
        <f aca="false">IFERROR(INDEX('TRANS'!$C:$C,MATCH($B3065,'TRANS'!$A:$A,0)),IFERROR(INDEX('Catalog'!$B:$B,MATCH($G3065,'Catalog'!$A:$A,0)),$B3065))</f>
        <v>26 M סד ליד דו צדדי לאחר שבר</v>
      </c>
      <c r="I3065" s="8" t="str">
        <f aca="false">IF($G3065="","Unmatched","Matched")</f>
        <v>Matched</v>
      </c>
    </row>
    <row r="3066" customFormat="false" ht="15" hidden="false" customHeight="false" outlineLevel="0" collapsed="false">
      <c r="A3066" s="8" t="s">
        <v>1037</v>
      </c>
      <c r="B3066" s="8" t="s">
        <v>352</v>
      </c>
      <c r="C3066" s="19" t="n">
        <v>17</v>
      </c>
      <c r="D3066" s="19" t="n">
        <v>765.75</v>
      </c>
      <c r="E3066" s="19" t="n">
        <v>0</v>
      </c>
      <c r="F3066" s="19" t="n">
        <v>0</v>
      </c>
      <c r="G3066" s="8" t="n">
        <f aca="false">IFERROR(INDEX('TRANS'!$B:$B,MATCH($B3066,'TRANS'!$A:$A,0)),IFERROR(INDEX('TRANS'!$B:$B,MATCH(TRIM(SUBSTITUTE($B3066,CHAR(160)," ")),'TRANS'!$D:$D,0)),IFERROR(INDEX('Catalog'!$A:$A,MATCH($B3066,'Catalog'!$B:$B,0)),IFERROR(INDEX('Catalog'!$A:$A,MATCH(TRIM(SUBSTITUTE($B3066,CHAR(160)," ")),'Catalog'!$C:$C,0)),""))))</f>
        <v>4415002</v>
      </c>
      <c r="H3066" s="8" t="str">
        <f aca="false">IFERROR(INDEX('TRANS'!$C:$C,MATCH($B3066,'TRANS'!$A:$A,0)),IFERROR(INDEX('Catalog'!$B:$B,MATCH($G3066,'Catalog'!$A:$A,0)),$B3066))</f>
        <v>26 S סד ליד דו צדדי לאחר שבר</v>
      </c>
      <c r="I3066" s="8" t="str">
        <f aca="false">IF($G3066="","Unmatched","Matched")</f>
        <v>Matched</v>
      </c>
    </row>
    <row r="3067" customFormat="false" ht="15" hidden="false" customHeight="false" outlineLevel="0" collapsed="false">
      <c r="A3067" s="8" t="s">
        <v>1037</v>
      </c>
      <c r="B3067" s="8" t="s">
        <v>636</v>
      </c>
      <c r="C3067" s="19" t="n">
        <v>12</v>
      </c>
      <c r="D3067" s="19" t="n">
        <v>499.83</v>
      </c>
      <c r="E3067" s="19" t="n">
        <v>6</v>
      </c>
      <c r="F3067" s="19" t="n">
        <v>218.06</v>
      </c>
      <c r="G3067" s="8" t="n">
        <f aca="false">IFERROR(INDEX('TRANS'!$B:$B,MATCH($B3067,'TRANS'!$A:$A,0)),IFERROR(INDEX('TRANS'!$B:$B,MATCH(TRIM(SUBSTITUTE($B3067,CHAR(160)," ")),'TRANS'!$D:$D,0)),IFERROR(INDEX('Catalog'!$A:$A,MATCH($B3067,'Catalog'!$B:$B,0)),IFERROR(INDEX('Catalog'!$A:$A,MATCH(TRIM(SUBSTITUTE($B3067,CHAR(160)," ")),'Catalog'!$C:$C,0)),""))))</f>
        <v>4415003</v>
      </c>
      <c r="H3067" s="8" t="str">
        <f aca="false">IFERROR(INDEX('TRANS'!$C:$C,MATCH($B3067,'TRANS'!$A:$A,0)),IFERROR(INDEX('Catalog'!$B:$B,MATCH($G3067,'Catalog'!$A:$A,0)),$B3067))</f>
        <v>26 XL סד ליד דו צדדי לאחר שבר</v>
      </c>
      <c r="I3067" s="8" t="str">
        <f aca="false">IF($G3067="","Unmatched","Matched")</f>
        <v>Matched</v>
      </c>
    </row>
    <row r="3068" customFormat="false" ht="15" hidden="false" customHeight="false" outlineLevel="0" collapsed="false">
      <c r="A3068" s="8" t="s">
        <v>1037</v>
      </c>
      <c r="B3068" s="8" t="s">
        <v>107</v>
      </c>
      <c r="C3068" s="19" t="n">
        <v>5</v>
      </c>
      <c r="D3068" s="19" t="n">
        <v>270</v>
      </c>
      <c r="E3068" s="19" t="n">
        <v>5</v>
      </c>
      <c r="F3068" s="19" t="n">
        <v>218.03</v>
      </c>
      <c r="G3068" s="8" t="n">
        <f aca="false">IFERROR(INDEX('TRANS'!$B:$B,MATCH($B3068,'TRANS'!$A:$A,0)),IFERROR(INDEX('TRANS'!$B:$B,MATCH(TRIM(SUBSTITUTE($B3068,CHAR(160)," ")),'TRANS'!$D:$D,0)),IFERROR(INDEX('Catalog'!$A:$A,MATCH($B3068,'Catalog'!$B:$B,0)),IFERROR(INDEX('Catalog'!$A:$A,MATCH(TRIM(SUBSTITUTE($B3068,CHAR(160)," ")),'Catalog'!$C:$C,0)),""))))</f>
        <v>4415004</v>
      </c>
      <c r="H3068" s="8" t="str">
        <f aca="false">IFERROR(INDEX('TRANS'!$C:$C,MATCH($B3068,'TRANS'!$A:$A,0)),IFERROR(INDEX('Catalog'!$B:$B,MATCH($G3068,'Catalog'!$A:$A,0)),$B3068))</f>
        <v>26 XXL סד ליד דו צדדי לאחר שבר</v>
      </c>
      <c r="I3068" s="8" t="str">
        <f aca="false">IF($G3068="","Unmatched","Matched")</f>
        <v>Matched</v>
      </c>
    </row>
    <row r="3069" customFormat="false" ht="15" hidden="false" customHeight="false" outlineLevel="0" collapsed="false">
      <c r="A3069" s="8" t="s">
        <v>1037</v>
      </c>
      <c r="B3069" s="8" t="s">
        <v>108</v>
      </c>
      <c r="C3069" s="19" t="n">
        <v>24</v>
      </c>
      <c r="D3069" s="19" t="n">
        <v>691.24</v>
      </c>
      <c r="E3069" s="19" t="n">
        <v>33</v>
      </c>
      <c r="F3069" s="19" t="n">
        <v>880.45</v>
      </c>
      <c r="G3069" s="8" t="n">
        <f aca="false">IFERROR(INDEX('TRANS'!$B:$B,MATCH($B3069,'TRANS'!$A:$A,0)),IFERROR(INDEX('TRANS'!$B:$B,MATCH(TRIM(SUBSTITUTE($B3069,CHAR(160)," ")),'TRANS'!$D:$D,0)),IFERROR(INDEX('Catalog'!$A:$A,MATCH($B3069,'Catalog'!$B:$B,0)),IFERROR(INDEX('Catalog'!$A:$A,MATCH(TRIM(SUBSTITUTE($B3069,CHAR(160)," ")),'Catalog'!$C:$C,0)),""))))</f>
        <v>4415158</v>
      </c>
      <c r="H3069" s="8" t="str">
        <f aca="false">IFERROR(INDEX('TRANS'!$C:$C,MATCH($B3069,'TRANS'!$A:$A,0)),IFERROR(INDEX('Catalog'!$B:$B,MATCH($G3069,'Catalog'!$A:$A,0)),$B3069))</f>
        <v>266 סד ליד דו צדדי</v>
      </c>
      <c r="I3069" s="8" t="str">
        <f aca="false">IF($G3069="","Unmatched","Matched")</f>
        <v>Matched</v>
      </c>
    </row>
    <row r="3070" customFormat="false" ht="15" hidden="false" customHeight="false" outlineLevel="0" collapsed="false">
      <c r="A3070" s="8" t="s">
        <v>1037</v>
      </c>
      <c r="B3070" s="8" t="s">
        <v>946</v>
      </c>
      <c r="C3070" s="19" t="n">
        <v>0</v>
      </c>
      <c r="D3070" s="19" t="n">
        <v>0</v>
      </c>
      <c r="E3070" s="19" t="n">
        <v>1</v>
      </c>
      <c r="F3070" s="19" t="n">
        <v>34.26</v>
      </c>
      <c r="G3070" s="8" t="str">
        <f aca="false">IFERROR(INDEX('TRANS'!$B:$B,MATCH($B3070,'TRANS'!$A:$A,0)),IFERROR(INDEX('TRANS'!$B:$B,MATCH(TRIM(SUBSTITUTE($B3070,CHAR(160)," ")),'TRANS'!$D:$D,0)),IFERROR(INDEX('Catalog'!$A:$A,MATCH($B3070,'Catalog'!$B:$B,0)),IFERROR(INDEX('Catalog'!$A:$A,MATCH(TRIM(SUBSTITUTE($B3070,CHAR(160)," ")),'Catalog'!$C:$C,0)),""))))</f>
        <v/>
      </c>
      <c r="H3070" s="8" t="str">
        <f aca="false">IFERROR(INDEX('TRANS'!$C:$C,MATCH($B3070,'TRANS'!$A:$A,0)),IFERROR(INDEX('Catalog'!$B:$B,MATCH($G3070,'Catalog'!$A:$A,0)),$B3070))</f>
        <v>305-37-38</v>
      </c>
      <c r="I3070" s="8" t="str">
        <f aca="false">IF($G3070="","Unmatched","Matched")</f>
        <v>Unmatched</v>
      </c>
    </row>
    <row r="3071" customFormat="false" ht="15" hidden="false" customHeight="false" outlineLevel="0" collapsed="false">
      <c r="A3071" s="8" t="s">
        <v>1037</v>
      </c>
      <c r="B3071" s="8" t="s">
        <v>947</v>
      </c>
      <c r="C3071" s="19" t="n">
        <v>0</v>
      </c>
      <c r="D3071" s="19" t="n">
        <v>0</v>
      </c>
      <c r="E3071" s="19" t="n">
        <v>4</v>
      </c>
      <c r="F3071" s="19" t="n">
        <v>137.05</v>
      </c>
      <c r="G3071" s="8" t="str">
        <f aca="false">IFERROR(INDEX('TRANS'!$B:$B,MATCH($B3071,'TRANS'!$A:$A,0)),IFERROR(INDEX('TRANS'!$B:$B,MATCH(TRIM(SUBSTITUTE($B3071,CHAR(160)," ")),'TRANS'!$D:$D,0)),IFERROR(INDEX('Catalog'!$A:$A,MATCH($B3071,'Catalog'!$B:$B,0)),IFERROR(INDEX('Catalog'!$A:$A,MATCH(TRIM(SUBSTITUTE($B3071,CHAR(160)," ")),'Catalog'!$C:$C,0)),""))))</f>
        <v/>
      </c>
      <c r="H3071" s="8" t="str">
        <f aca="false">IFERROR(INDEX('TRANS'!$C:$C,MATCH($B3071,'TRANS'!$A:$A,0)),IFERROR(INDEX('Catalog'!$B:$B,MATCH($G3071,'Catalog'!$A:$A,0)),$B3071))</f>
        <v>305-39-40</v>
      </c>
      <c r="I3071" s="8" t="str">
        <f aca="false">IF($G3071="","Unmatched","Matched")</f>
        <v>Unmatched</v>
      </c>
    </row>
    <row r="3072" customFormat="false" ht="15" hidden="false" customHeight="false" outlineLevel="0" collapsed="false">
      <c r="A3072" s="8" t="s">
        <v>1037</v>
      </c>
      <c r="B3072" s="8" t="s">
        <v>133</v>
      </c>
      <c r="C3072" s="19" t="n">
        <v>0</v>
      </c>
      <c r="D3072" s="19" t="n">
        <v>0</v>
      </c>
      <c r="E3072" s="19" t="n">
        <v>11</v>
      </c>
      <c r="F3072" s="19" t="n">
        <v>114.67</v>
      </c>
      <c r="G3072" s="8" t="n">
        <f aca="false">IFERROR(INDEX('TRANS'!$B:$B,MATCH($B3072,'TRANS'!$A:$A,0)),IFERROR(INDEX('TRANS'!$B:$B,MATCH(TRIM(SUBSTITUTE($B3072,CHAR(160)," ")),'TRANS'!$D:$D,0)),IFERROR(INDEX('Catalog'!$A:$A,MATCH($B3072,'Catalog'!$B:$B,0)),IFERROR(INDEX('Catalog'!$A:$A,MATCH(TRIM(SUBSTITUTE($B3072,CHAR(160)," ")),'Catalog'!$C:$C,0)),""))))</f>
        <v>4413048</v>
      </c>
      <c r="H3072" s="8" t="str">
        <f aca="false">IFERROR(INDEX('TRANS'!$C:$C,MATCH($B3072,'TRANS'!$A:$A,0)),IFERROR(INDEX('Catalog'!$B:$B,MATCH($G3072,'Catalog'!$A:$A,0)),$B3072))</f>
        <v>35 L מגן קרסול לבן</v>
      </c>
      <c r="I3072" s="8" t="str">
        <f aca="false">IF($G3072="","Unmatched","Matched")</f>
        <v>Matched</v>
      </c>
    </row>
    <row r="3073" customFormat="false" ht="15" hidden="false" customHeight="false" outlineLevel="0" collapsed="false">
      <c r="A3073" s="8" t="s">
        <v>1037</v>
      </c>
      <c r="B3073" s="8" t="s">
        <v>134</v>
      </c>
      <c r="C3073" s="19" t="n">
        <v>0</v>
      </c>
      <c r="D3073" s="19" t="n">
        <v>0</v>
      </c>
      <c r="E3073" s="19" t="n">
        <v>11</v>
      </c>
      <c r="F3073" s="19" t="n">
        <v>116.28</v>
      </c>
      <c r="G3073" s="8" t="n">
        <f aca="false">IFERROR(INDEX('TRANS'!$B:$B,MATCH($B3073,'TRANS'!$A:$A,0)),IFERROR(INDEX('TRANS'!$B:$B,MATCH(TRIM(SUBSTITUTE($B3073,CHAR(160)," ")),'TRANS'!$D:$D,0)),IFERROR(INDEX('Catalog'!$A:$A,MATCH($B3073,'Catalog'!$B:$B,0)),IFERROR(INDEX('Catalog'!$A:$A,MATCH(TRIM(SUBSTITUTE($B3073,CHAR(160)," ")),'Catalog'!$C:$C,0)),""))))</f>
        <v>4413049</v>
      </c>
      <c r="H3073" s="8" t="str">
        <f aca="false">IFERROR(INDEX('TRANS'!$C:$C,MATCH($B3073,'TRANS'!$A:$A,0)),IFERROR(INDEX('Catalog'!$B:$B,MATCH($G3073,'Catalog'!$A:$A,0)),$B3073))</f>
        <v>35 M מגן קרסול לבן</v>
      </c>
      <c r="I3073" s="8" t="str">
        <f aca="false">IF($G3073="","Unmatched","Matched")</f>
        <v>Matched</v>
      </c>
    </row>
    <row r="3074" customFormat="false" ht="15" hidden="false" customHeight="false" outlineLevel="0" collapsed="false">
      <c r="A3074" s="8" t="s">
        <v>1037</v>
      </c>
      <c r="B3074" s="8" t="s">
        <v>360</v>
      </c>
      <c r="C3074" s="19" t="n">
        <v>0</v>
      </c>
      <c r="D3074" s="19" t="n">
        <v>0</v>
      </c>
      <c r="E3074" s="19" t="n">
        <v>5</v>
      </c>
      <c r="F3074" s="19" t="n">
        <v>58.13</v>
      </c>
      <c r="G3074" s="8" t="n">
        <f aca="false">IFERROR(INDEX('TRANS'!$B:$B,MATCH($B3074,'TRANS'!$A:$A,0)),IFERROR(INDEX('TRANS'!$B:$B,MATCH(TRIM(SUBSTITUTE($B3074,CHAR(160)," ")),'TRANS'!$D:$D,0)),IFERROR(INDEX('Catalog'!$A:$A,MATCH($B3074,'Catalog'!$B:$B,0)),IFERROR(INDEX('Catalog'!$A:$A,MATCH(TRIM(SUBSTITUTE($B3074,CHAR(160)," ")),'Catalog'!$C:$C,0)),""))))</f>
        <v>4413050</v>
      </c>
      <c r="H3074" s="8" t="str">
        <f aca="false">IFERROR(INDEX('TRANS'!$C:$C,MATCH($B3074,'TRANS'!$A:$A,0)),IFERROR(INDEX('Catalog'!$B:$B,MATCH($G3074,'Catalog'!$A:$A,0)),$B3074))</f>
        <v>35 XL מגן קרסול לבן</v>
      </c>
      <c r="I3074" s="8" t="str">
        <f aca="false">IF($G3074="","Unmatched","Matched")</f>
        <v>Matched</v>
      </c>
    </row>
    <row r="3075" customFormat="false" ht="15" hidden="false" customHeight="false" outlineLevel="0" collapsed="false">
      <c r="A3075" s="8" t="s">
        <v>1037</v>
      </c>
      <c r="B3075" s="8" t="s">
        <v>1039</v>
      </c>
      <c r="C3075" s="19" t="n">
        <v>60</v>
      </c>
      <c r="D3075" s="19" t="n">
        <v>1931.87</v>
      </c>
      <c r="E3075" s="19" t="n">
        <v>79</v>
      </c>
      <c r="F3075" s="19" t="n">
        <v>2388.95</v>
      </c>
      <c r="G3075" s="8" t="str">
        <f aca="false">IFERROR(INDEX('TRANS'!$B:$B,MATCH($B3075,'TRANS'!$A:$A,0)),IFERROR(INDEX('TRANS'!$B:$B,MATCH(TRIM(SUBSTITUTE($B3075,CHAR(160)," ")),'TRANS'!$D:$D,0)),IFERROR(INDEX('Catalog'!$A:$A,MATCH($B3075,'Catalog'!$B:$B,0)),IFERROR(INDEX('Catalog'!$A:$A,MATCH(TRIM(SUBSTITUTE($B3075,CHAR(160)," ")),'Catalog'!$C:$C,0)),""))))</f>
        <v/>
      </c>
      <c r="H3075" s="8" t="str">
        <f aca="false">IFERROR(INDEX('TRANS'!$C:$C,MATCH($B3075,'TRANS'!$A:$A,0)),IFERROR(INDEX('Catalog'!$B:$B,MATCH($G3075,'Catalog'!$A:$A,0)),$B3075))</f>
        <v>38L 0</v>
      </c>
      <c r="I3075" s="8" t="str">
        <f aca="false">IF($G3075="","Unmatched","Matched")</f>
        <v>Unmatched</v>
      </c>
    </row>
    <row r="3076" customFormat="false" ht="15" hidden="false" customHeight="false" outlineLevel="0" collapsed="false">
      <c r="A3076" s="8" t="s">
        <v>1037</v>
      </c>
      <c r="B3076" s="8" t="s">
        <v>1040</v>
      </c>
      <c r="C3076" s="19" t="n">
        <v>48</v>
      </c>
      <c r="D3076" s="19" t="n">
        <v>1587.63</v>
      </c>
      <c r="E3076" s="19" t="n">
        <v>123</v>
      </c>
      <c r="F3076" s="19" t="n">
        <v>3755.85</v>
      </c>
      <c r="G3076" s="8" t="str">
        <f aca="false">IFERROR(INDEX('TRANS'!$B:$B,MATCH($B3076,'TRANS'!$A:$A,0)),IFERROR(INDEX('TRANS'!$B:$B,MATCH(TRIM(SUBSTITUTE($B3076,CHAR(160)," ")),'TRANS'!$D:$D,0)),IFERROR(INDEX('Catalog'!$A:$A,MATCH($B3076,'Catalog'!$B:$B,0)),IFERROR(INDEX('Catalog'!$A:$A,MATCH(TRIM(SUBSTITUTE($B3076,CHAR(160)," ")),'Catalog'!$C:$C,0)),""))))</f>
        <v/>
      </c>
      <c r="H3076" s="8" t="str">
        <f aca="false">IFERROR(INDEX('TRANS'!$C:$C,MATCH($B3076,'TRANS'!$A:$A,0)),IFERROR(INDEX('Catalog'!$B:$B,MATCH($G3076,'Catalog'!$A:$A,0)),$B3076))</f>
        <v>38R 0</v>
      </c>
      <c r="I3076" s="8" t="str">
        <f aca="false">IF($G3076="","Unmatched","Matched")</f>
        <v>Unmatched</v>
      </c>
    </row>
    <row r="3077" customFormat="false" ht="15" hidden="false" customHeight="false" outlineLevel="0" collapsed="false">
      <c r="A3077" s="8" t="s">
        <v>1037</v>
      </c>
      <c r="B3077" s="8" t="s">
        <v>176</v>
      </c>
      <c r="C3077" s="19" t="n">
        <v>1</v>
      </c>
      <c r="D3077" s="19" t="n">
        <v>0.03</v>
      </c>
      <c r="E3077" s="19" t="n">
        <v>0</v>
      </c>
      <c r="F3077" s="19" t="n">
        <v>0</v>
      </c>
      <c r="G3077" s="8" t="n">
        <f aca="false">IFERROR(INDEX('TRANS'!$B:$B,MATCH($B3077,'TRANS'!$A:$A,0)),IFERROR(INDEX('TRANS'!$B:$B,MATCH(TRIM(SUBSTITUTE($B3077,CHAR(160)," ")),'TRANS'!$D:$D,0)),IFERROR(INDEX('Catalog'!$A:$A,MATCH($B3077,'Catalog'!$B:$B,0)),IFERROR(INDEX('Catalog'!$A:$A,MATCH(TRIM(SUBSTITUTE($B3077,CHAR(160)," ")),'Catalog'!$C:$C,0)),""))))</f>
        <v>4413452</v>
      </c>
      <c r="H3077" s="8" t="str">
        <f aca="false">IFERROR(INDEX('TRANS'!$C:$C,MATCH($B3077,'TRANS'!$A:$A,0)),IFERROR(INDEX('Catalog'!$B:$B,MATCH($G3077,'Catalog'!$A:$A,0)),$B3077))</f>
        <v>386  מיישר בוניון-האלוקס ולגוס</v>
      </c>
      <c r="I3077" s="8" t="str">
        <f aca="false">IF($G3077="","Unmatched","Matched")</f>
        <v>Matched</v>
      </c>
    </row>
    <row r="3078" customFormat="false" ht="15" hidden="false" customHeight="false" outlineLevel="0" collapsed="false">
      <c r="A3078" s="8" t="s">
        <v>1037</v>
      </c>
      <c r="B3078" s="8" t="s">
        <v>178</v>
      </c>
      <c r="C3078" s="19" t="n">
        <v>1</v>
      </c>
      <c r="D3078" s="19" t="n">
        <v>0.03</v>
      </c>
      <c r="E3078" s="19" t="n">
        <v>0</v>
      </c>
      <c r="F3078" s="19" t="n">
        <v>0</v>
      </c>
      <c r="G3078" s="8" t="n">
        <f aca="false">IFERROR(INDEX('TRANS'!$B:$B,MATCH($B3078,'TRANS'!$A:$A,0)),IFERROR(INDEX('TRANS'!$B:$B,MATCH(TRIM(SUBSTITUTE($B3078,CHAR(160)," ")),'TRANS'!$D:$D,0)),IFERROR(INDEX('Catalog'!$A:$A,MATCH($B3078,'Catalog'!$B:$B,0)),IFERROR(INDEX('Catalog'!$A:$A,MATCH(TRIM(SUBSTITUTE($B3078,CHAR(160)," ")),'Catalog'!$C:$C,0)),""))))</f>
        <v>4415298</v>
      </c>
      <c r="H3078" s="8" t="str">
        <f aca="false">IFERROR(INDEX('TRANS'!$C:$C,MATCH($B3078,'TRANS'!$A:$A,0)),IFERROR(INDEX('Catalog'!$B:$B,MATCH($G3078,'Catalog'!$A:$A,0)),$B3078))</f>
        <v>388B L סד לילה שחור לבוהן שמאל</v>
      </c>
      <c r="I3078" s="8" t="str">
        <f aca="false">IF($G3078="","Unmatched","Matched")</f>
        <v>Matched</v>
      </c>
    </row>
    <row r="3079" customFormat="false" ht="15" hidden="false" customHeight="false" outlineLevel="0" collapsed="false">
      <c r="A3079" s="8" t="s">
        <v>1037</v>
      </c>
      <c r="B3079" s="8" t="s">
        <v>179</v>
      </c>
      <c r="C3079" s="19" t="n">
        <v>1</v>
      </c>
      <c r="D3079" s="19" t="n">
        <v>0.03</v>
      </c>
      <c r="E3079" s="19" t="n">
        <v>0</v>
      </c>
      <c r="F3079" s="19" t="n">
        <v>0</v>
      </c>
      <c r="G3079" s="8" t="n">
        <f aca="false">IFERROR(INDEX('TRANS'!$B:$B,MATCH($B3079,'TRANS'!$A:$A,0)),IFERROR(INDEX('TRANS'!$B:$B,MATCH(TRIM(SUBSTITUTE($B3079,CHAR(160)," ")),'TRANS'!$D:$D,0)),IFERROR(INDEX('Catalog'!$A:$A,MATCH($B3079,'Catalog'!$B:$B,0)),IFERROR(INDEX('Catalog'!$A:$A,MATCH(TRIM(SUBSTITUTE($B3079,CHAR(160)," ")),'Catalog'!$C:$C,0)),""))))</f>
        <v>4415299</v>
      </c>
      <c r="H3079" s="8" t="str">
        <f aca="false">IFERROR(INDEX('TRANS'!$C:$C,MATCH($B3079,'TRANS'!$A:$A,0)),IFERROR(INDEX('Catalog'!$B:$B,MATCH($G3079,'Catalog'!$A:$A,0)),$B3079))</f>
        <v>388B L סד לילה שחור לבוהן ימין</v>
      </c>
      <c r="I3079" s="8" t="str">
        <f aca="false">IF($G3079="","Unmatched","Matched")</f>
        <v>Matched</v>
      </c>
    </row>
    <row r="3080" customFormat="false" ht="15" hidden="false" customHeight="false" outlineLevel="0" collapsed="false">
      <c r="A3080" s="8" t="s">
        <v>1037</v>
      </c>
      <c r="B3080" s="8" t="s">
        <v>659</v>
      </c>
      <c r="C3080" s="19" t="n">
        <v>24</v>
      </c>
      <c r="D3080" s="19" t="n">
        <v>1767.01</v>
      </c>
      <c r="E3080" s="19" t="n">
        <v>0</v>
      </c>
      <c r="F3080" s="19" t="n">
        <v>0</v>
      </c>
      <c r="G3080" s="8" t="str">
        <f aca="false">IFERROR(INDEX('TRANS'!$B:$B,MATCH($B3080,'TRANS'!$A:$A,0)),IFERROR(INDEX('TRANS'!$B:$B,MATCH(TRIM(SUBSTITUTE($B3080,CHAR(160)," ")),'TRANS'!$D:$D,0)),IFERROR(INDEX('Catalog'!$A:$A,MATCH($B3080,'Catalog'!$B:$B,0)),IFERROR(INDEX('Catalog'!$A:$A,MATCH(TRIM(SUBSTITUTE($B3080,CHAR(160)," ")),'Catalog'!$C:$C,0)),""))))</f>
        <v/>
      </c>
      <c r="H3080" s="8" t="str">
        <f aca="false">IFERROR(INDEX('TRANS'!$C:$C,MATCH($B3080,'TRANS'!$A:$A,0)),IFERROR(INDEX('Catalog'!$B:$B,MATCH($G3080,'Catalog'!$A:$A,0)),$B3080))</f>
        <v>422N L</v>
      </c>
      <c r="I3080" s="8" t="str">
        <f aca="false">IF($G3080="","Unmatched","Matched")</f>
        <v>Unmatched</v>
      </c>
    </row>
    <row r="3081" customFormat="false" ht="15" hidden="false" customHeight="false" outlineLevel="0" collapsed="false">
      <c r="A3081" s="8" t="s">
        <v>1037</v>
      </c>
      <c r="B3081" s="8" t="s">
        <v>1041</v>
      </c>
      <c r="C3081" s="19" t="n">
        <v>24</v>
      </c>
      <c r="D3081" s="19" t="n">
        <v>1840.52</v>
      </c>
      <c r="E3081" s="19" t="n">
        <v>0</v>
      </c>
      <c r="F3081" s="19" t="n">
        <v>0</v>
      </c>
      <c r="G3081" s="8" t="str">
        <f aca="false">IFERROR(INDEX('TRANS'!$B:$B,MATCH($B3081,'TRANS'!$A:$A,0)),IFERROR(INDEX('TRANS'!$B:$B,MATCH(TRIM(SUBSTITUTE($B3081,CHAR(160)," ")),'TRANS'!$D:$D,0)),IFERROR(INDEX('Catalog'!$A:$A,MATCH($B3081,'Catalog'!$B:$B,0)),IFERROR(INDEX('Catalog'!$A:$A,MATCH(TRIM(SUBSTITUTE($B3081,CHAR(160)," ")),'Catalog'!$C:$C,0)),""))))</f>
        <v/>
      </c>
      <c r="H3081" s="8" t="str">
        <f aca="false">IFERROR(INDEX('TRANS'!$C:$C,MATCH($B3081,'TRANS'!$A:$A,0)),IFERROR(INDEX('Catalog'!$B:$B,MATCH($G3081,'Catalog'!$A:$A,0)),$B3081))</f>
        <v>422N M</v>
      </c>
      <c r="I3081" s="8" t="str">
        <f aca="false">IF($G3081="","Unmatched","Matched")</f>
        <v>Unmatched</v>
      </c>
    </row>
    <row r="3082" customFormat="false" ht="15" hidden="false" customHeight="false" outlineLevel="0" collapsed="false">
      <c r="A3082" s="8" t="s">
        <v>1037</v>
      </c>
      <c r="B3082" s="8" t="s">
        <v>661</v>
      </c>
      <c r="C3082" s="19" t="n">
        <v>24</v>
      </c>
      <c r="D3082" s="19" t="n">
        <v>1767.01</v>
      </c>
      <c r="E3082" s="19" t="n">
        <v>0</v>
      </c>
      <c r="F3082" s="19" t="n">
        <v>0</v>
      </c>
      <c r="G3082" s="8" t="str">
        <f aca="false">IFERROR(INDEX('TRANS'!$B:$B,MATCH($B3082,'TRANS'!$A:$A,0)),IFERROR(INDEX('TRANS'!$B:$B,MATCH(TRIM(SUBSTITUTE($B3082,CHAR(160)," ")),'TRANS'!$D:$D,0)),IFERROR(INDEX('Catalog'!$A:$A,MATCH($B3082,'Catalog'!$B:$B,0)),IFERROR(INDEX('Catalog'!$A:$A,MATCH(TRIM(SUBSTITUTE($B3082,CHAR(160)," ")),'Catalog'!$C:$C,0)),""))))</f>
        <v/>
      </c>
      <c r="H3082" s="8" t="str">
        <f aca="false">IFERROR(INDEX('TRANS'!$C:$C,MATCH($B3082,'TRANS'!$A:$A,0)),IFERROR(INDEX('Catalog'!$B:$B,MATCH($G3082,'Catalog'!$A:$A,0)),$B3082))</f>
        <v>422N XL</v>
      </c>
      <c r="I3082" s="8" t="str">
        <f aca="false">IF($G3082="","Unmatched","Matched")</f>
        <v>Unmatched</v>
      </c>
    </row>
    <row r="3083" customFormat="false" ht="15" hidden="false" customHeight="false" outlineLevel="0" collapsed="false">
      <c r="A3083" s="8" t="s">
        <v>1037</v>
      </c>
      <c r="B3083" s="8" t="s">
        <v>810</v>
      </c>
      <c r="C3083" s="19" t="n">
        <v>24</v>
      </c>
      <c r="D3083" s="19" t="n">
        <v>2317.29</v>
      </c>
      <c r="E3083" s="19" t="n">
        <v>0</v>
      </c>
      <c r="F3083" s="19" t="n">
        <v>0</v>
      </c>
      <c r="G3083" s="8" t="str">
        <f aca="false">IFERROR(INDEX('TRANS'!$B:$B,MATCH($B3083,'TRANS'!$A:$A,0)),IFERROR(INDEX('TRANS'!$B:$B,MATCH(TRIM(SUBSTITUTE($B3083,CHAR(160)," ")),'TRANS'!$D:$D,0)),IFERROR(INDEX('Catalog'!$A:$A,MATCH($B3083,'Catalog'!$B:$B,0)),IFERROR(INDEX('Catalog'!$A:$A,MATCH(TRIM(SUBSTITUTE($B3083,CHAR(160)," ")),'Catalog'!$C:$C,0)),""))))</f>
        <v/>
      </c>
      <c r="H3083" s="8" t="str">
        <f aca="false">IFERROR(INDEX('TRANS'!$C:$C,MATCH($B3083,'TRANS'!$A:$A,0)),IFERROR(INDEX('Catalog'!$B:$B,MATCH($G3083,'Catalog'!$A:$A,0)),$B3083))</f>
        <v>422N+ XL</v>
      </c>
      <c r="I3083" s="8" t="str">
        <f aca="false">IF($G3083="","Unmatched","Matched")</f>
        <v>Unmatched</v>
      </c>
    </row>
    <row r="3084" customFormat="false" ht="15" hidden="false" customHeight="false" outlineLevel="0" collapsed="false">
      <c r="A3084" s="8" t="s">
        <v>1037</v>
      </c>
      <c r="B3084" s="8" t="s">
        <v>376</v>
      </c>
      <c r="C3084" s="19" t="n">
        <v>12</v>
      </c>
      <c r="D3084" s="19" t="n">
        <v>134.14</v>
      </c>
      <c r="E3084" s="19" t="n">
        <v>11</v>
      </c>
      <c r="F3084" s="19" t="n">
        <v>114.67</v>
      </c>
      <c r="G3084" s="8" t="n">
        <f aca="false">IFERROR(INDEX('TRANS'!$B:$B,MATCH($B3084,'TRANS'!$A:$A,0)),IFERROR(INDEX('TRANS'!$B:$B,MATCH(TRIM(SUBSTITUTE($B3084,CHAR(160)," ")),'TRANS'!$D:$D,0)),IFERROR(INDEX('Catalog'!$A:$A,MATCH($B3084,'Catalog'!$B:$B,0)),IFERROR(INDEX('Catalog'!$A:$A,MATCH(TRIM(SUBSTITUTE($B3084,CHAR(160)," ")),'Catalog'!$C:$C,0)),""))))</f>
        <v>4413092</v>
      </c>
      <c r="H3084" s="8" t="str">
        <f aca="false">IFERROR(INDEX('TRANS'!$C:$C,MATCH($B3084,'TRANS'!$A:$A,0)),IFERROR(INDEX('Catalog'!$B:$B,MATCH($G3084,'Catalog'!$A:$A,0)),$B3084))</f>
        <v>45 L מגן ברך לבן</v>
      </c>
      <c r="I3084" s="8" t="str">
        <f aca="false">IF($G3084="","Unmatched","Matched")</f>
        <v>Matched</v>
      </c>
    </row>
    <row r="3085" customFormat="false" ht="15" hidden="false" customHeight="false" outlineLevel="0" collapsed="false">
      <c r="A3085" s="8" t="s">
        <v>1037</v>
      </c>
      <c r="B3085" s="8" t="s">
        <v>377</v>
      </c>
      <c r="C3085" s="19" t="n">
        <v>42</v>
      </c>
      <c r="D3085" s="19" t="n">
        <v>467.55</v>
      </c>
      <c r="E3085" s="19" t="n">
        <v>0</v>
      </c>
      <c r="F3085" s="19" t="n">
        <v>0</v>
      </c>
      <c r="G3085" s="8" t="n">
        <f aca="false">IFERROR(INDEX('TRANS'!$B:$B,MATCH($B3085,'TRANS'!$A:$A,0)),IFERROR(INDEX('TRANS'!$B:$B,MATCH(TRIM(SUBSTITUTE($B3085,CHAR(160)," ")),'TRANS'!$D:$D,0)),IFERROR(INDEX('Catalog'!$A:$A,MATCH($B3085,'Catalog'!$B:$B,0)),IFERROR(INDEX('Catalog'!$A:$A,MATCH(TRIM(SUBSTITUTE($B3085,CHAR(160)," ")),'Catalog'!$C:$C,0)),""))))</f>
        <v>4413093</v>
      </c>
      <c r="H3085" s="8" t="str">
        <f aca="false">IFERROR(INDEX('TRANS'!$C:$C,MATCH($B3085,'TRANS'!$A:$A,0)),IFERROR(INDEX('Catalog'!$B:$B,MATCH($G3085,'Catalog'!$A:$A,0)),$B3085))</f>
        <v>45 M מגן ברך לבן</v>
      </c>
      <c r="I3085" s="8" t="str">
        <f aca="false">IF($G3085="","Unmatched","Matched")</f>
        <v>Matched</v>
      </c>
    </row>
    <row r="3086" customFormat="false" ht="15" hidden="false" customHeight="false" outlineLevel="0" collapsed="false">
      <c r="A3086" s="8" t="s">
        <v>1037</v>
      </c>
      <c r="B3086" s="8" t="s">
        <v>206</v>
      </c>
      <c r="C3086" s="19" t="n">
        <v>6</v>
      </c>
      <c r="D3086" s="19" t="n">
        <v>62.51</v>
      </c>
      <c r="E3086" s="19" t="n">
        <v>0</v>
      </c>
      <c r="F3086" s="19" t="n">
        <v>0</v>
      </c>
      <c r="G3086" s="8" t="n">
        <f aca="false">IFERROR(INDEX('TRANS'!$B:$B,MATCH($B3086,'TRANS'!$A:$A,0)),IFERROR(INDEX('TRANS'!$B:$B,MATCH(TRIM(SUBSTITUTE($B3086,CHAR(160)," ")),'TRANS'!$D:$D,0)),IFERROR(INDEX('Catalog'!$A:$A,MATCH($B3086,'Catalog'!$B:$B,0)),IFERROR(INDEX('Catalog'!$A:$A,MATCH(TRIM(SUBSTITUTE($B3086,CHAR(160)," ")),'Catalog'!$C:$C,0)),""))))</f>
        <v>4413094</v>
      </c>
      <c r="H3086" s="8" t="str">
        <f aca="false">IFERROR(INDEX('TRANS'!$C:$C,MATCH($B3086,'TRANS'!$A:$A,0)),IFERROR(INDEX('Catalog'!$B:$B,MATCH($G3086,'Catalog'!$A:$A,0)),$B3086))</f>
        <v>45 S מגן ברך לבן</v>
      </c>
      <c r="I3086" s="8" t="str">
        <f aca="false">IF($G3086="","Unmatched","Matched")</f>
        <v>Matched</v>
      </c>
    </row>
    <row r="3087" customFormat="false" ht="15" hidden="false" customHeight="false" outlineLevel="0" collapsed="false">
      <c r="A3087" s="8" t="s">
        <v>1037</v>
      </c>
      <c r="B3087" s="8" t="s">
        <v>207</v>
      </c>
      <c r="C3087" s="19" t="n">
        <v>24</v>
      </c>
      <c r="D3087" s="19" t="n">
        <v>256.16</v>
      </c>
      <c r="E3087" s="19" t="n">
        <v>0</v>
      </c>
      <c r="F3087" s="19" t="n">
        <v>0</v>
      </c>
      <c r="G3087" s="8" t="n">
        <f aca="false">IFERROR(INDEX('TRANS'!$B:$B,MATCH($B3087,'TRANS'!$A:$A,0)),IFERROR(INDEX('TRANS'!$B:$B,MATCH(TRIM(SUBSTITUTE($B3087,CHAR(160)," ")),'TRANS'!$D:$D,0)),IFERROR(INDEX('Catalog'!$A:$A,MATCH($B3087,'Catalog'!$B:$B,0)),IFERROR(INDEX('Catalog'!$A:$A,MATCH(TRIM(SUBSTITUTE($B3087,CHAR(160)," ")),'Catalog'!$C:$C,0)),""))))</f>
        <v>4413095</v>
      </c>
      <c r="H3087" s="8" t="str">
        <f aca="false">IFERROR(INDEX('TRANS'!$C:$C,MATCH($B3087,'TRANS'!$A:$A,0)),IFERROR(INDEX('Catalog'!$B:$B,MATCH($G3087,'Catalog'!$A:$A,0)),$B3087))</f>
        <v>45 XL מגן ברך לבן</v>
      </c>
      <c r="I3087" s="8" t="str">
        <f aca="false">IF($G3087="","Unmatched","Matched")</f>
        <v>Matched</v>
      </c>
    </row>
    <row r="3088" customFormat="false" ht="15" hidden="false" customHeight="false" outlineLevel="0" collapsed="false">
      <c r="A3088" s="8" t="s">
        <v>1037</v>
      </c>
      <c r="B3088" s="8" t="s">
        <v>378</v>
      </c>
      <c r="C3088" s="19" t="n">
        <v>12</v>
      </c>
      <c r="D3088" s="19" t="n">
        <v>124.68</v>
      </c>
      <c r="E3088" s="19" t="n">
        <v>0</v>
      </c>
      <c r="F3088" s="19" t="n">
        <v>0</v>
      </c>
      <c r="G3088" s="8" t="n">
        <f aca="false">IFERROR(INDEX('TRANS'!$B:$B,MATCH($B3088,'TRANS'!$A:$A,0)),IFERROR(INDEX('TRANS'!$B:$B,MATCH(TRIM(SUBSTITUTE($B3088,CHAR(160)," ")),'TRANS'!$D:$D,0)),IFERROR(INDEX('Catalog'!$A:$A,MATCH($B3088,'Catalog'!$B:$B,0)),IFERROR(INDEX('Catalog'!$A:$A,MATCH(TRIM(SUBSTITUTE($B3088,CHAR(160)," ")),'Catalog'!$C:$C,0)),""))))</f>
        <v>4413096</v>
      </c>
      <c r="H3088" s="8" t="str">
        <f aca="false">IFERROR(INDEX('TRANS'!$C:$C,MATCH($B3088,'TRANS'!$A:$A,0)),IFERROR(INDEX('Catalog'!$B:$B,MATCH($G3088,'Catalog'!$A:$A,0)),$B3088))</f>
        <v>45 XXL מגן ברך לבן</v>
      </c>
      <c r="I3088" s="8" t="str">
        <f aca="false">IF($G3088="","Unmatched","Matched")</f>
        <v>Matched</v>
      </c>
    </row>
    <row r="3089" customFormat="false" ht="15" hidden="false" customHeight="false" outlineLevel="0" collapsed="false">
      <c r="A3089" s="8" t="s">
        <v>1037</v>
      </c>
      <c r="B3089" s="8" t="s">
        <v>967</v>
      </c>
      <c r="C3089" s="19" t="n">
        <v>961</v>
      </c>
      <c r="D3089" s="19" t="n">
        <v>56565.47</v>
      </c>
      <c r="E3089" s="19" t="n">
        <v>1595</v>
      </c>
      <c r="F3089" s="19" t="n">
        <v>88667.91</v>
      </c>
      <c r="G3089" s="8" t="str">
        <f aca="false">IFERROR(INDEX('TRANS'!$B:$B,MATCH($B3089,'TRANS'!$A:$A,0)),IFERROR(INDEX('TRANS'!$B:$B,MATCH(TRIM(SUBSTITUTE($B3089,CHAR(160)," ")),'TRANS'!$D:$D,0)),IFERROR(INDEX('Catalog'!$A:$A,MATCH($B3089,'Catalog'!$B:$B,0)),IFERROR(INDEX('Catalog'!$A:$A,MATCH(TRIM(SUBSTITUTE($B3089,CHAR(160)," ")),'Catalog'!$C:$C,0)),""))))</f>
        <v/>
      </c>
      <c r="H3089" s="8" t="str">
        <f aca="false">IFERROR(INDEX('TRANS'!$C:$C,MATCH($B3089,'TRANS'!$A:$A,0)),IFERROR(INDEX('Catalog'!$B:$B,MATCH($G3089,'Catalog'!$A:$A,0)),$B3089))</f>
        <v>49PS L</v>
      </c>
      <c r="I3089" s="8" t="str">
        <f aca="false">IF($G3089="","Unmatched","Matched")</f>
        <v>Unmatched</v>
      </c>
    </row>
    <row r="3090" customFormat="false" ht="15" hidden="false" customHeight="false" outlineLevel="0" collapsed="false">
      <c r="A3090" s="8" t="s">
        <v>1037</v>
      </c>
      <c r="B3090" s="8" t="s">
        <v>568</v>
      </c>
      <c r="C3090" s="19" t="n">
        <v>1201</v>
      </c>
      <c r="D3090" s="19" t="n">
        <v>71527.56</v>
      </c>
      <c r="E3090" s="19" t="n">
        <v>936</v>
      </c>
      <c r="F3090" s="19" t="n">
        <v>51233.33</v>
      </c>
      <c r="G3090" s="8" t="str">
        <f aca="false">IFERROR(INDEX('TRANS'!$B:$B,MATCH($B3090,'TRANS'!$A:$A,0)),IFERROR(INDEX('TRANS'!$B:$B,MATCH(TRIM(SUBSTITUTE($B3090,CHAR(160)," ")),'TRANS'!$D:$D,0)),IFERROR(INDEX('Catalog'!$A:$A,MATCH($B3090,'Catalog'!$B:$B,0)),IFERROR(INDEX('Catalog'!$A:$A,MATCH(TRIM(SUBSTITUTE($B3090,CHAR(160)," ")),'Catalog'!$C:$C,0)),""))))</f>
        <v/>
      </c>
      <c r="H3090" s="8" t="str">
        <f aca="false">IFERROR(INDEX('TRANS'!$C:$C,MATCH($B3090,'TRANS'!$A:$A,0)),IFERROR(INDEX('Catalog'!$B:$B,MATCH($G3090,'Catalog'!$A:$A,0)),$B3090))</f>
        <v>49PS M</v>
      </c>
      <c r="I3090" s="8" t="str">
        <f aca="false">IF($G3090="","Unmatched","Matched")</f>
        <v>Unmatched</v>
      </c>
    </row>
    <row r="3091" customFormat="false" ht="15" hidden="false" customHeight="false" outlineLevel="0" collapsed="false">
      <c r="A3091" s="8" t="s">
        <v>1037</v>
      </c>
      <c r="B3091" s="8" t="s">
        <v>811</v>
      </c>
      <c r="C3091" s="19" t="n">
        <v>97</v>
      </c>
      <c r="D3091" s="19" t="n">
        <v>5547.16</v>
      </c>
      <c r="E3091" s="19" t="n">
        <v>22</v>
      </c>
      <c r="F3091" s="19" t="n">
        <v>1299.26</v>
      </c>
      <c r="G3091" s="8" t="str">
        <f aca="false">IFERROR(INDEX('TRANS'!$B:$B,MATCH($B3091,'TRANS'!$A:$A,0)),IFERROR(INDEX('TRANS'!$B:$B,MATCH(TRIM(SUBSTITUTE($B3091,CHAR(160)," ")),'TRANS'!$D:$D,0)),IFERROR(INDEX('Catalog'!$A:$A,MATCH($B3091,'Catalog'!$B:$B,0)),IFERROR(INDEX('Catalog'!$A:$A,MATCH(TRIM(SUBSTITUTE($B3091,CHAR(160)," ")),'Catalog'!$C:$C,0)),""))))</f>
        <v/>
      </c>
      <c r="H3091" s="8" t="str">
        <f aca="false">IFERROR(INDEX('TRANS'!$C:$C,MATCH($B3091,'TRANS'!$A:$A,0)),IFERROR(INDEX('Catalog'!$B:$B,MATCH($G3091,'Catalog'!$A:$A,0)),$B3091))</f>
        <v>49PS S</v>
      </c>
      <c r="I3091" s="8" t="str">
        <f aca="false">IF($G3091="","Unmatched","Matched")</f>
        <v>Unmatched</v>
      </c>
    </row>
    <row r="3092" customFormat="false" ht="15" hidden="false" customHeight="false" outlineLevel="0" collapsed="false">
      <c r="A3092" s="8" t="s">
        <v>1037</v>
      </c>
      <c r="B3092" s="8" t="s">
        <v>392</v>
      </c>
      <c r="C3092" s="19" t="n">
        <v>457</v>
      </c>
      <c r="D3092" s="19" t="n">
        <v>26963.79</v>
      </c>
      <c r="E3092" s="19" t="n">
        <v>550</v>
      </c>
      <c r="F3092" s="19" t="n">
        <v>31868.69</v>
      </c>
      <c r="G3092" s="8" t="str">
        <f aca="false">IFERROR(INDEX('TRANS'!$B:$B,MATCH($B3092,'TRANS'!$A:$A,0)),IFERROR(INDEX('TRANS'!$B:$B,MATCH(TRIM(SUBSTITUTE($B3092,CHAR(160)," ")),'TRANS'!$D:$D,0)),IFERROR(INDEX('Catalog'!$A:$A,MATCH($B3092,'Catalog'!$B:$B,0)),IFERROR(INDEX('Catalog'!$A:$A,MATCH(TRIM(SUBSTITUTE($B3092,CHAR(160)," ")),'Catalog'!$C:$C,0)),""))))</f>
        <v/>
      </c>
      <c r="H3092" s="8" t="str">
        <f aca="false">IFERROR(INDEX('TRANS'!$C:$C,MATCH($B3092,'TRANS'!$A:$A,0)),IFERROR(INDEX('Catalog'!$B:$B,MATCH($G3092,'Catalog'!$A:$A,0)),$B3092))</f>
        <v>49PS XL</v>
      </c>
      <c r="I3092" s="8" t="str">
        <f aca="false">IF($G3092="","Unmatched","Matched")</f>
        <v>Unmatched</v>
      </c>
    </row>
    <row r="3093" customFormat="false" ht="15" hidden="false" customHeight="false" outlineLevel="0" collapsed="false">
      <c r="A3093" s="8" t="s">
        <v>1037</v>
      </c>
      <c r="B3093" s="8" t="s">
        <v>627</v>
      </c>
      <c r="C3093" s="19" t="n">
        <v>61</v>
      </c>
      <c r="D3093" s="19" t="n">
        <v>3467</v>
      </c>
      <c r="E3093" s="19" t="n">
        <v>44</v>
      </c>
      <c r="F3093" s="19" t="n">
        <v>2598.48</v>
      </c>
      <c r="G3093" s="8" t="str">
        <f aca="false">IFERROR(INDEX('TRANS'!$B:$B,MATCH($B3093,'TRANS'!$A:$A,0)),IFERROR(INDEX('TRANS'!$B:$B,MATCH(TRIM(SUBSTITUTE($B3093,CHAR(160)," ")),'TRANS'!$D:$D,0)),IFERROR(INDEX('Catalog'!$A:$A,MATCH($B3093,'Catalog'!$B:$B,0)),IFERROR(INDEX('Catalog'!$A:$A,MATCH(TRIM(SUBSTITUTE($B3093,CHAR(160)," ")),'Catalog'!$C:$C,0)),""))))</f>
        <v/>
      </c>
      <c r="H3093" s="8" t="str">
        <f aca="false">IFERROR(INDEX('TRANS'!$C:$C,MATCH($B3093,'TRANS'!$A:$A,0)),IFERROR(INDEX('Catalog'!$B:$B,MATCH($G3093,'Catalog'!$A:$A,0)),$B3093))</f>
        <v>49PS XXL</v>
      </c>
      <c r="I3093" s="8" t="str">
        <f aca="false">IF($G3093="","Unmatched","Matched")</f>
        <v>Unmatched</v>
      </c>
    </row>
    <row r="3094" customFormat="false" ht="15" hidden="false" customHeight="false" outlineLevel="0" collapsed="false">
      <c r="A3094" s="8" t="s">
        <v>1037</v>
      </c>
      <c r="B3094" s="8" t="s">
        <v>577</v>
      </c>
      <c r="C3094" s="19" t="n">
        <v>60</v>
      </c>
      <c r="D3094" s="19" t="n">
        <v>1353.58</v>
      </c>
      <c r="E3094" s="19" t="n">
        <v>11</v>
      </c>
      <c r="F3094" s="19" t="n">
        <v>232.59</v>
      </c>
      <c r="G3094" s="8" t="n">
        <f aca="false">IFERROR(INDEX('TRANS'!$B:$B,MATCH($B3094,'TRANS'!$A:$A,0)),IFERROR(INDEX('TRANS'!$B:$B,MATCH(TRIM(SUBSTITUTE($B3094,CHAR(160)," ")),'TRANS'!$D:$D,0)),IFERROR(INDEX('Catalog'!$A:$A,MATCH($B3094,'Catalog'!$B:$B,0)),IFERROR(INDEX('Catalog'!$A:$A,MATCH(TRIM(SUBSTITUTE($B3094,CHAR(160)," ")),'Catalog'!$C:$C,0)),""))))</f>
        <v>4418000</v>
      </c>
      <c r="H3094" s="8" t="str">
        <f aca="false">IFERROR(INDEX('TRANS'!$C:$C,MATCH($B3094,'TRANS'!$A:$A,0)),IFERROR(INDEX('Catalog'!$B:$B,MATCH($G3094,'Catalog'!$A:$A,0)),$B3094))</f>
        <v>60 L צוארון ספוגי</v>
      </c>
      <c r="I3094" s="8" t="str">
        <f aca="false">IF($G3094="","Unmatched","Matched")</f>
        <v>Matched</v>
      </c>
    </row>
    <row r="3095" customFormat="false" ht="15" hidden="false" customHeight="false" outlineLevel="0" collapsed="false">
      <c r="A3095" s="8" t="s">
        <v>1037</v>
      </c>
      <c r="B3095" s="8" t="s">
        <v>228</v>
      </c>
      <c r="C3095" s="19" t="n">
        <v>108</v>
      </c>
      <c r="D3095" s="19" t="n">
        <v>2454.28</v>
      </c>
      <c r="E3095" s="19" t="n">
        <v>69</v>
      </c>
      <c r="F3095" s="19" t="n">
        <v>1439.64</v>
      </c>
      <c r="G3095" s="8" t="n">
        <f aca="false">IFERROR(INDEX('TRANS'!$B:$B,MATCH($B3095,'TRANS'!$A:$A,0)),IFERROR(INDEX('TRANS'!$B:$B,MATCH(TRIM(SUBSTITUTE($B3095,CHAR(160)," ")),'TRANS'!$D:$D,0)),IFERROR(INDEX('Catalog'!$A:$A,MATCH($B3095,'Catalog'!$B:$B,0)),IFERROR(INDEX('Catalog'!$A:$A,MATCH(TRIM(SUBSTITUTE($B3095,CHAR(160)," ")),'Catalog'!$C:$C,0)),""))))</f>
        <v>4418001</v>
      </c>
      <c r="H3095" s="8" t="str">
        <f aca="false">IFERROR(INDEX('TRANS'!$C:$C,MATCH($B3095,'TRANS'!$A:$A,0)),IFERROR(INDEX('Catalog'!$B:$B,MATCH($G3095,'Catalog'!$A:$A,0)),$B3095))</f>
        <v>60 M צוארון ספוגי</v>
      </c>
      <c r="I3095" s="8" t="str">
        <f aca="false">IF($G3095="","Unmatched","Matched")</f>
        <v>Matched</v>
      </c>
    </row>
    <row r="3096" customFormat="false" ht="15" hidden="false" customHeight="false" outlineLevel="0" collapsed="false">
      <c r="A3096" s="8" t="s">
        <v>1037</v>
      </c>
      <c r="B3096" s="8" t="s">
        <v>229</v>
      </c>
      <c r="C3096" s="19" t="n">
        <v>60</v>
      </c>
      <c r="D3096" s="19" t="n">
        <v>1374.44</v>
      </c>
      <c r="E3096" s="19" t="n">
        <v>44</v>
      </c>
      <c r="F3096" s="19" t="n">
        <v>961.21</v>
      </c>
      <c r="G3096" s="8" t="n">
        <f aca="false">IFERROR(INDEX('TRANS'!$B:$B,MATCH($B3096,'TRANS'!$A:$A,0)),IFERROR(INDEX('TRANS'!$B:$B,MATCH(TRIM(SUBSTITUTE($B3096,CHAR(160)," ")),'TRANS'!$D:$D,0)),IFERROR(INDEX('Catalog'!$A:$A,MATCH($B3096,'Catalog'!$B:$B,0)),IFERROR(INDEX('Catalog'!$A:$A,MATCH(TRIM(SUBSTITUTE($B3096,CHAR(160)," ")),'Catalog'!$C:$C,0)),""))))</f>
        <v>4418002</v>
      </c>
      <c r="H3096" s="8" t="str">
        <f aca="false">IFERROR(INDEX('TRANS'!$C:$C,MATCH($B3096,'TRANS'!$A:$A,0)),IFERROR(INDEX('Catalog'!$B:$B,MATCH($G3096,'Catalog'!$A:$A,0)),$B3096))</f>
        <v>60 S צוארון ספוגי</v>
      </c>
      <c r="I3096" s="8" t="str">
        <f aca="false">IF($G3096="","Unmatched","Matched")</f>
        <v>Matched</v>
      </c>
    </row>
    <row r="3097" customFormat="false" ht="15" hidden="false" customHeight="false" outlineLevel="0" collapsed="false">
      <c r="A3097" s="8" t="s">
        <v>1037</v>
      </c>
      <c r="B3097" s="8" t="s">
        <v>781</v>
      </c>
      <c r="C3097" s="19" t="n">
        <v>12</v>
      </c>
      <c r="D3097" s="19" t="n">
        <v>286.12</v>
      </c>
      <c r="E3097" s="19" t="n">
        <v>0</v>
      </c>
      <c r="F3097" s="19" t="n">
        <v>0</v>
      </c>
      <c r="G3097" s="8" t="str">
        <f aca="false">IFERROR(INDEX('TRANS'!$B:$B,MATCH($B3097,'TRANS'!$A:$A,0)),IFERROR(INDEX('TRANS'!$B:$B,MATCH(TRIM(SUBSTITUTE($B3097,CHAR(160)," ")),'TRANS'!$D:$D,0)),IFERROR(INDEX('Catalog'!$A:$A,MATCH($B3097,'Catalog'!$B:$B,0)),IFERROR(INDEX('Catalog'!$A:$A,MATCH(TRIM(SUBSTITUTE($B3097,CHAR(160)," ")),'Catalog'!$C:$C,0)),""))))</f>
        <v/>
      </c>
      <c r="H3097" s="8" t="str">
        <f aca="false">IFERROR(INDEX('TRANS'!$C:$C,MATCH($B3097,'TRANS'!$A:$A,0)),IFERROR(INDEX('Catalog'!$B:$B,MATCH($G3097,'Catalog'!$A:$A,0)),$B3097))</f>
        <v>60 XS</v>
      </c>
      <c r="I3097" s="8" t="str">
        <f aca="false">IF($G3097="","Unmatched","Matched")</f>
        <v>Unmatched</v>
      </c>
    </row>
    <row r="3098" customFormat="false" ht="15" hidden="false" customHeight="false" outlineLevel="0" collapsed="false">
      <c r="A3098" s="8" t="s">
        <v>1037</v>
      </c>
      <c r="B3098" s="8" t="s">
        <v>1042</v>
      </c>
      <c r="C3098" s="19" t="n">
        <v>60</v>
      </c>
      <c r="D3098" s="19" t="n">
        <v>1477.77</v>
      </c>
      <c r="E3098" s="19" t="n">
        <v>0</v>
      </c>
      <c r="F3098" s="19" t="n">
        <v>0</v>
      </c>
      <c r="G3098" s="8" t="str">
        <f aca="false">IFERROR(INDEX('TRANS'!$B:$B,MATCH($B3098,'TRANS'!$A:$A,0)),IFERROR(INDEX('TRANS'!$B:$B,MATCH(TRIM(SUBSTITUTE($B3098,CHAR(160)," ")),'TRANS'!$D:$D,0)),IFERROR(INDEX('Catalog'!$A:$A,MATCH($B3098,'Catalog'!$B:$B,0)),IFERROR(INDEX('Catalog'!$A:$A,MATCH(TRIM(SUBSTITUTE($B3098,CHAR(160)," ")),'Catalog'!$C:$C,0)),""))))</f>
        <v/>
      </c>
      <c r="H3098" s="8" t="str">
        <f aca="false">IFERROR(INDEX('TRANS'!$C:$C,MATCH($B3098,'TRANS'!$A:$A,0)),IFERROR(INDEX('Catalog'!$B:$B,MATCH($G3098,'Catalog'!$A:$A,0)),$B3098))</f>
        <v>62FC L</v>
      </c>
      <c r="I3098" s="8" t="str">
        <f aca="false">IF($G3098="","Unmatched","Matched")</f>
        <v>Unmatched</v>
      </c>
    </row>
    <row r="3099" customFormat="false" ht="15" hidden="false" customHeight="false" outlineLevel="0" collapsed="false">
      <c r="A3099" s="8" t="s">
        <v>1037</v>
      </c>
      <c r="B3099" s="8" t="s">
        <v>1043</v>
      </c>
      <c r="C3099" s="19" t="n">
        <v>96</v>
      </c>
      <c r="D3099" s="19" t="n">
        <v>2423.08</v>
      </c>
      <c r="E3099" s="19" t="n">
        <v>0</v>
      </c>
      <c r="F3099" s="19" t="n">
        <v>0</v>
      </c>
      <c r="G3099" s="8" t="str">
        <f aca="false">IFERROR(INDEX('TRANS'!$B:$B,MATCH($B3099,'TRANS'!$A:$A,0)),IFERROR(INDEX('TRANS'!$B:$B,MATCH(TRIM(SUBSTITUTE($B3099,CHAR(160)," ")),'TRANS'!$D:$D,0)),IFERROR(INDEX('Catalog'!$A:$A,MATCH($B3099,'Catalog'!$B:$B,0)),IFERROR(INDEX('Catalog'!$A:$A,MATCH(TRIM(SUBSTITUTE($B3099,CHAR(160)," ")),'Catalog'!$C:$C,0)),""))))</f>
        <v/>
      </c>
      <c r="H3099" s="8" t="str">
        <f aca="false">IFERROR(INDEX('TRANS'!$C:$C,MATCH($B3099,'TRANS'!$A:$A,0)),IFERROR(INDEX('Catalog'!$B:$B,MATCH($G3099,'Catalog'!$A:$A,0)),$B3099))</f>
        <v>62FC M</v>
      </c>
      <c r="I3099" s="8" t="str">
        <f aca="false">IF($G3099="","Unmatched","Matched")</f>
        <v>Unmatched</v>
      </c>
    </row>
    <row r="3100" customFormat="false" ht="15" hidden="false" customHeight="false" outlineLevel="0" collapsed="false">
      <c r="A3100" s="8" t="s">
        <v>1037</v>
      </c>
      <c r="B3100" s="8" t="s">
        <v>1044</v>
      </c>
      <c r="C3100" s="19" t="n">
        <v>36</v>
      </c>
      <c r="D3100" s="19" t="n">
        <v>887.28</v>
      </c>
      <c r="E3100" s="19" t="n">
        <v>5</v>
      </c>
      <c r="F3100" s="19" t="n">
        <v>130.82</v>
      </c>
      <c r="G3100" s="8" t="str">
        <f aca="false">IFERROR(INDEX('TRANS'!$B:$B,MATCH($B3100,'TRANS'!$A:$A,0)),IFERROR(INDEX('TRANS'!$B:$B,MATCH(TRIM(SUBSTITUTE($B3100,CHAR(160)," ")),'TRANS'!$D:$D,0)),IFERROR(INDEX('Catalog'!$A:$A,MATCH($B3100,'Catalog'!$B:$B,0)),IFERROR(INDEX('Catalog'!$A:$A,MATCH(TRIM(SUBSTITUTE($B3100,CHAR(160)," ")),'Catalog'!$C:$C,0)),""))))</f>
        <v/>
      </c>
      <c r="H3100" s="8" t="str">
        <f aca="false">IFERROR(INDEX('TRANS'!$C:$C,MATCH($B3100,'TRANS'!$A:$A,0)),IFERROR(INDEX('Catalog'!$B:$B,MATCH($G3100,'Catalog'!$A:$A,0)),$B3100))</f>
        <v>62FC S</v>
      </c>
      <c r="I3100" s="8" t="str">
        <f aca="false">IF($G3100="","Unmatched","Matched")</f>
        <v>Unmatched</v>
      </c>
    </row>
    <row r="3101" customFormat="false" ht="15" hidden="false" customHeight="false" outlineLevel="0" collapsed="false">
      <c r="A3101" s="8" t="s">
        <v>1037</v>
      </c>
      <c r="B3101" s="8" t="s">
        <v>1045</v>
      </c>
      <c r="C3101" s="19" t="n">
        <v>12</v>
      </c>
      <c r="D3101" s="19" t="n">
        <v>293.7</v>
      </c>
      <c r="E3101" s="19" t="n">
        <v>0</v>
      </c>
      <c r="F3101" s="19" t="n">
        <v>0</v>
      </c>
      <c r="G3101" s="8" t="str">
        <f aca="false">IFERROR(INDEX('TRANS'!$B:$B,MATCH($B3101,'TRANS'!$A:$A,0)),IFERROR(INDEX('TRANS'!$B:$B,MATCH(TRIM(SUBSTITUTE($B3101,CHAR(160)," ")),'TRANS'!$D:$D,0)),IFERROR(INDEX('Catalog'!$A:$A,MATCH($B3101,'Catalog'!$B:$B,0)),IFERROR(INDEX('Catalog'!$A:$A,MATCH(TRIM(SUBSTITUTE($B3101,CHAR(160)," ")),'Catalog'!$C:$C,0)),""))))</f>
        <v/>
      </c>
      <c r="H3101" s="8" t="str">
        <f aca="false">IFERROR(INDEX('TRANS'!$C:$C,MATCH($B3101,'TRANS'!$A:$A,0)),IFERROR(INDEX('Catalog'!$B:$B,MATCH($G3101,'Catalog'!$A:$A,0)),$B3101))</f>
        <v>62FC XL</v>
      </c>
      <c r="I3101" s="8" t="str">
        <f aca="false">IF($G3101="","Unmatched","Matched")</f>
        <v>Unmatched</v>
      </c>
    </row>
    <row r="3102" customFormat="false" ht="15" hidden="false" customHeight="false" outlineLevel="0" collapsed="false">
      <c r="A3102" s="8" t="s">
        <v>1037</v>
      </c>
      <c r="B3102" s="8" t="s">
        <v>1046</v>
      </c>
      <c r="C3102" s="19" t="n">
        <v>0</v>
      </c>
      <c r="D3102" s="19" t="n">
        <v>0</v>
      </c>
      <c r="E3102" s="19" t="n">
        <v>16</v>
      </c>
      <c r="F3102" s="19" t="n">
        <v>401.07</v>
      </c>
      <c r="G3102" s="8" t="str">
        <f aca="false">IFERROR(INDEX('TRANS'!$B:$B,MATCH($B3102,'TRANS'!$A:$A,0)),IFERROR(INDEX('TRANS'!$B:$B,MATCH(TRIM(SUBSTITUTE($B3102,CHAR(160)," ")),'TRANS'!$D:$D,0)),IFERROR(INDEX('Catalog'!$A:$A,MATCH($B3102,'Catalog'!$B:$B,0)),IFERROR(INDEX('Catalog'!$A:$A,MATCH(TRIM(SUBSTITUTE($B3102,CHAR(160)," ")),'Catalog'!$C:$C,0)),""))))</f>
        <v/>
      </c>
      <c r="H3102" s="8" t="str">
        <f aca="false">IFERROR(INDEX('TRANS'!$C:$C,MATCH($B3102,'TRANS'!$A:$A,0)),IFERROR(INDEX('Catalog'!$B:$B,MATCH($G3102,'Catalog'!$A:$A,0)),$B3102))</f>
        <v>62FC XS</v>
      </c>
      <c r="I3102" s="8" t="str">
        <f aca="false">IF($G3102="","Unmatched","Matched")</f>
        <v>Unmatched</v>
      </c>
    </row>
    <row r="3103" customFormat="false" ht="15" hidden="false" customHeight="false" outlineLevel="0" collapsed="false">
      <c r="A3103" s="8" t="s">
        <v>1037</v>
      </c>
      <c r="B3103" s="8" t="s">
        <v>403</v>
      </c>
      <c r="C3103" s="19" t="n">
        <v>24</v>
      </c>
      <c r="D3103" s="19" t="n">
        <v>1954.03</v>
      </c>
      <c r="E3103" s="19" t="n">
        <v>27</v>
      </c>
      <c r="F3103" s="19" t="n">
        <v>2155.84</v>
      </c>
      <c r="G3103" s="8" t="n">
        <f aca="false">IFERROR(INDEX('TRANS'!$B:$B,MATCH($B3103,'TRANS'!$A:$A,0)),IFERROR(INDEX('TRANS'!$B:$B,MATCH(TRIM(SUBSTITUTE($B3103,CHAR(160)," ")),'TRANS'!$D:$D,0)),IFERROR(INDEX('Catalog'!$A:$A,MATCH($B3103,'Catalog'!$B:$B,0)),IFERROR(INDEX('Catalog'!$A:$A,MATCH(TRIM(SUBSTITUTE($B3103,CHAR(160)," ")),'Catalog'!$C:$C,0)),""))))</f>
        <v>4413165</v>
      </c>
      <c r="H3103" s="8" t="str">
        <f aca="false">IFERROR(INDEX('TRANS'!$C:$C,MATCH($B3103,'TRANS'!$A:$A,0)),IFERROR(INDEX('Catalog'!$B:$B,MATCH($G3103,'Catalog'!$A:$A,0)),$B3103))</f>
        <v>74 L-XL מיצב כתפיים</v>
      </c>
      <c r="I3103" s="8" t="str">
        <f aca="false">IF($G3103="","Unmatched","Matched")</f>
        <v>Matched</v>
      </c>
    </row>
    <row r="3104" customFormat="false" ht="15" hidden="false" customHeight="false" outlineLevel="0" collapsed="false">
      <c r="A3104" s="8" t="s">
        <v>1037</v>
      </c>
      <c r="B3104" s="8" t="s">
        <v>629</v>
      </c>
      <c r="C3104" s="19" t="n">
        <v>12</v>
      </c>
      <c r="D3104" s="19" t="n">
        <v>934.66</v>
      </c>
      <c r="E3104" s="19" t="n">
        <v>5</v>
      </c>
      <c r="F3104" s="19" t="n">
        <v>407.71</v>
      </c>
      <c r="G3104" s="8" t="str">
        <f aca="false">IFERROR(INDEX('TRANS'!$B:$B,MATCH($B3104,'TRANS'!$A:$A,0)),IFERROR(INDEX('TRANS'!$B:$B,MATCH(TRIM(SUBSTITUTE($B3104,CHAR(160)," ")),'TRANS'!$D:$D,0)),IFERROR(INDEX('Catalog'!$A:$A,MATCH($B3104,'Catalog'!$B:$B,0)),IFERROR(INDEX('Catalog'!$A:$A,MATCH(TRIM(SUBSTITUTE($B3104,CHAR(160)," ")),'Catalog'!$C:$C,0)),""))))</f>
        <v/>
      </c>
      <c r="H3104" s="8" t="str">
        <f aca="false">IFERROR(INDEX('TRANS'!$C:$C,MATCH($B3104,'TRANS'!$A:$A,0)),IFERROR(INDEX('Catalog'!$B:$B,MATCH($G3104,'Catalog'!$A:$A,0)),$B3104))</f>
        <v>74-S-M</v>
      </c>
      <c r="I3104" s="8" t="str">
        <f aca="false">IF($G3104="","Unmatched","Matched")</f>
        <v>Unmatched</v>
      </c>
    </row>
    <row r="3105" customFormat="false" ht="15" hidden="false" customHeight="false" outlineLevel="0" collapsed="false">
      <c r="A3105" s="8" t="s">
        <v>1037</v>
      </c>
      <c r="B3105" s="8" t="s">
        <v>1047</v>
      </c>
      <c r="C3105" s="19" t="n">
        <v>192</v>
      </c>
      <c r="D3105" s="19" t="n">
        <v>17774.47</v>
      </c>
      <c r="E3105" s="19" t="n">
        <v>140</v>
      </c>
      <c r="F3105" s="19" t="n">
        <v>12019.86</v>
      </c>
      <c r="G3105" s="8" t="str">
        <f aca="false">IFERROR(INDEX('TRANS'!$B:$B,MATCH($B3105,'TRANS'!$A:$A,0)),IFERROR(INDEX('TRANS'!$B:$B,MATCH(TRIM(SUBSTITUTE($B3105,CHAR(160)," ")),'TRANS'!$D:$D,0)),IFERROR(INDEX('Catalog'!$A:$A,MATCH($B3105,'Catalog'!$B:$B,0)),IFERROR(INDEX('Catalog'!$A:$A,MATCH(TRIM(SUBSTITUTE($B3105,CHAR(160)," ")),'Catalog'!$C:$C,0)),""))))</f>
        <v/>
      </c>
      <c r="H3105" s="8" t="str">
        <f aca="false">IFERROR(INDEX('TRANS'!$C:$C,MATCH($B3105,'TRANS'!$A:$A,0)),IFERROR(INDEX('Catalog'!$B:$B,MATCH($G3105,'Catalog'!$A:$A,0)),$B3105))</f>
        <v>86U L</v>
      </c>
      <c r="I3105" s="8" t="str">
        <f aca="false">IF($G3105="","Unmatched","Matched")</f>
        <v>Unmatched</v>
      </c>
    </row>
    <row r="3106" customFormat="false" ht="15" hidden="false" customHeight="false" outlineLevel="0" collapsed="false">
      <c r="A3106" s="8" t="s">
        <v>1037</v>
      </c>
      <c r="B3106" s="8" t="s">
        <v>1048</v>
      </c>
      <c r="C3106" s="19" t="n">
        <v>144</v>
      </c>
      <c r="D3106" s="19" t="n">
        <v>13547.77</v>
      </c>
      <c r="E3106" s="19" t="n">
        <v>115</v>
      </c>
      <c r="F3106" s="19" t="n">
        <v>10036.64</v>
      </c>
      <c r="G3106" s="8" t="str">
        <f aca="false">IFERROR(INDEX('TRANS'!$B:$B,MATCH($B3106,'TRANS'!$A:$A,0)),IFERROR(INDEX('TRANS'!$B:$B,MATCH(TRIM(SUBSTITUTE($B3106,CHAR(160)," ")),'TRANS'!$D:$D,0)),IFERROR(INDEX('Catalog'!$A:$A,MATCH($B3106,'Catalog'!$B:$B,0)),IFERROR(INDEX('Catalog'!$A:$A,MATCH(TRIM(SUBSTITUTE($B3106,CHAR(160)," ")),'Catalog'!$C:$C,0)),""))))</f>
        <v/>
      </c>
      <c r="H3106" s="8" t="str">
        <f aca="false">IFERROR(INDEX('TRANS'!$C:$C,MATCH($B3106,'TRANS'!$A:$A,0)),IFERROR(INDEX('Catalog'!$B:$B,MATCH($G3106,'Catalog'!$A:$A,0)),$B3106))</f>
        <v>86U M</v>
      </c>
      <c r="I3106" s="8" t="str">
        <f aca="false">IF($G3106="","Unmatched","Matched")</f>
        <v>Unmatched</v>
      </c>
    </row>
    <row r="3107" customFormat="false" ht="15" hidden="false" customHeight="false" outlineLevel="0" collapsed="false">
      <c r="A3107" s="8" t="s">
        <v>1037</v>
      </c>
      <c r="B3107" s="8" t="s">
        <v>979</v>
      </c>
      <c r="C3107" s="19" t="n">
        <v>120</v>
      </c>
      <c r="D3107" s="19" t="n">
        <v>10937.03</v>
      </c>
      <c r="E3107" s="19" t="n">
        <v>115</v>
      </c>
      <c r="F3107" s="19" t="n">
        <v>9990.34</v>
      </c>
      <c r="G3107" s="8" t="str">
        <f aca="false">IFERROR(INDEX('TRANS'!$B:$B,MATCH($B3107,'TRANS'!$A:$A,0)),IFERROR(INDEX('TRANS'!$B:$B,MATCH(TRIM(SUBSTITUTE($B3107,CHAR(160)," ")),'TRANS'!$D:$D,0)),IFERROR(INDEX('Catalog'!$A:$A,MATCH($B3107,'Catalog'!$B:$B,0)),IFERROR(INDEX('Catalog'!$A:$A,MATCH(TRIM(SUBSTITUTE($B3107,CHAR(160)," ")),'Catalog'!$C:$C,0)),""))))</f>
        <v/>
      </c>
      <c r="H3107" s="8" t="str">
        <f aca="false">IFERROR(INDEX('TRANS'!$C:$C,MATCH($B3107,'TRANS'!$A:$A,0)),IFERROR(INDEX('Catalog'!$B:$B,MATCH($G3107,'Catalog'!$A:$A,0)),$B3107))</f>
        <v>86U XL</v>
      </c>
      <c r="I3107" s="8" t="str">
        <f aca="false">IF($G3107="","Unmatched","Matched")</f>
        <v>Unmatched</v>
      </c>
    </row>
    <row r="3108" customFormat="false" ht="15" hidden="false" customHeight="false" outlineLevel="0" collapsed="false">
      <c r="A3108" s="8" t="s">
        <v>1037</v>
      </c>
      <c r="B3108" s="8" t="s">
        <v>980</v>
      </c>
      <c r="C3108" s="19" t="n">
        <v>0</v>
      </c>
      <c r="D3108" s="19" t="n">
        <v>0</v>
      </c>
      <c r="E3108" s="19" t="n">
        <v>5</v>
      </c>
      <c r="F3108" s="19" t="n">
        <v>487.46</v>
      </c>
      <c r="G3108" s="8" t="str">
        <f aca="false">IFERROR(INDEX('TRANS'!$B:$B,MATCH($B3108,'TRANS'!$A:$A,0)),IFERROR(INDEX('TRANS'!$B:$B,MATCH(TRIM(SUBSTITUTE($B3108,CHAR(160)," ")),'TRANS'!$D:$D,0)),IFERROR(INDEX('Catalog'!$A:$A,MATCH($B3108,'Catalog'!$B:$B,0)),IFERROR(INDEX('Catalog'!$A:$A,MATCH(TRIM(SUBSTITUTE($B3108,CHAR(160)," ")),'Catalog'!$C:$C,0)),""))))</f>
        <v/>
      </c>
      <c r="H3108" s="8" t="str">
        <f aca="false">IFERROR(INDEX('TRANS'!$C:$C,MATCH($B3108,'TRANS'!$A:$A,0)),IFERROR(INDEX('Catalog'!$B:$B,MATCH($G3108,'Catalog'!$A:$A,0)),$B3108))</f>
        <v>86U XXL</v>
      </c>
      <c r="I3108" s="8" t="str">
        <f aca="false">IF($G3108="","Unmatched","Matched")</f>
        <v>Unmatched</v>
      </c>
    </row>
    <row r="3109" customFormat="false" ht="15" hidden="false" customHeight="false" outlineLevel="0" collapsed="false">
      <c r="A3109" s="8" t="s">
        <v>1037</v>
      </c>
      <c r="B3109" s="8" t="s">
        <v>424</v>
      </c>
      <c r="C3109" s="19" t="n">
        <v>100</v>
      </c>
      <c r="D3109" s="19" t="n">
        <v>4071.36</v>
      </c>
      <c r="E3109" s="19" t="n">
        <v>130</v>
      </c>
      <c r="F3109" s="19" t="n">
        <v>4715.64</v>
      </c>
      <c r="G3109" s="8" t="n">
        <f aca="false">IFERROR(INDEX('TRANS'!$B:$B,MATCH($B3109,'TRANS'!$A:$A,0)),IFERROR(INDEX('TRANS'!$B:$B,MATCH(TRIM(SUBSTITUTE($B3109,CHAR(160)," ")),'TRANS'!$D:$D,0)),IFERROR(INDEX('Catalog'!$A:$A,MATCH($B3109,'Catalog'!$B:$B,0)),IFERROR(INDEX('Catalog'!$A:$A,MATCH(TRIM(SUBSTITUTE($B3109,CHAR(160)," ")),'Catalog'!$C:$C,0)),""))))</f>
        <v>4408266</v>
      </c>
      <c r="H3109" s="8" t="str">
        <f aca="false">IFERROR(INDEX('TRANS'!$C:$C,MATCH($B3109,'TRANS'!$A:$A,0)),IFERROR(INDEX('Catalog'!$B:$B,MATCH($G3109,'Catalog'!$A:$A,0)),$B3109))</f>
        <v>91B חבק טניס אלבו</v>
      </c>
      <c r="I3109" s="8" t="str">
        <f aca="false">IF($G3109="","Unmatched","Matched")</f>
        <v>Matched</v>
      </c>
    </row>
    <row r="3110" customFormat="false" ht="15" hidden="false" customHeight="false" outlineLevel="0" collapsed="false">
      <c r="A3110" s="8" t="s">
        <v>1037</v>
      </c>
      <c r="B3110" s="8" t="s">
        <v>261</v>
      </c>
      <c r="C3110" s="19" t="n">
        <v>0</v>
      </c>
      <c r="D3110" s="19" t="n">
        <v>0</v>
      </c>
      <c r="E3110" s="19" t="n">
        <v>0</v>
      </c>
      <c r="F3110" s="19" t="n">
        <v>0.03</v>
      </c>
      <c r="G3110" s="8" t="n">
        <f aca="false">IFERROR(INDEX('TRANS'!$B:$B,MATCH($B3110,'TRANS'!$A:$A,0)),IFERROR(INDEX('TRANS'!$B:$B,MATCH(TRIM(SUBSTITUTE($B3110,CHAR(160)," ")),'TRANS'!$D:$D,0)),IFERROR(INDEX('Catalog'!$A:$A,MATCH($B3110,'Catalog'!$B:$B,0)),IFERROR(INDEX('Catalog'!$A:$A,MATCH(TRIM(SUBSTITUTE($B3110,CHAR(160)," ")),'Catalog'!$C:$C,0)),""))))</f>
        <v>4413500</v>
      </c>
      <c r="H3110" s="8" t="str">
        <f aca="false">IFERROR(INDEX('TRANS'!$C:$C,MATCH($B3110,'TRANS'!$A:$A,0)),IFERROR(INDEX('Catalog'!$B:$B,MATCH($G3110,'Catalog'!$A:$A,0)),$B3110))</f>
        <v>95B L מגן מרפק שחור</v>
      </c>
      <c r="I3110" s="8" t="str">
        <f aca="false">IF($G3110="","Unmatched","Matched")</f>
        <v>Matched</v>
      </c>
    </row>
    <row r="3111" customFormat="false" ht="15" hidden="false" customHeight="false" outlineLevel="0" collapsed="false">
      <c r="A3111" s="8" t="s">
        <v>1037</v>
      </c>
      <c r="B3111" s="8" t="s">
        <v>269</v>
      </c>
      <c r="C3111" s="19" t="n">
        <v>0</v>
      </c>
      <c r="D3111" s="19" t="n">
        <v>0</v>
      </c>
      <c r="E3111" s="19" t="n">
        <v>11</v>
      </c>
      <c r="F3111" s="19" t="n">
        <v>161.27</v>
      </c>
      <c r="G3111" s="8" t="n">
        <f aca="false">IFERROR(INDEX('TRANS'!$B:$B,MATCH($B3111,'TRANS'!$A:$A,0)),IFERROR(INDEX('TRANS'!$B:$B,MATCH(TRIM(SUBSTITUTE($B3111,CHAR(160)," ")),'TRANS'!$D:$D,0)),IFERROR(INDEX('Catalog'!$A:$A,MATCH($B3111,'Catalog'!$B:$B,0)),IFERROR(INDEX('Catalog'!$A:$A,MATCH(TRIM(SUBSTITUTE($B3111,CHAR(160)," ")),'Catalog'!$C:$C,0)),""))))</f>
        <v>4408207</v>
      </c>
      <c r="H3111" s="8" t="str">
        <f aca="false">IFERROR(INDEX('TRANS'!$C:$C,MATCH($B3111,'TRANS'!$A:$A,0)),IFERROR(INDEX('Catalog'!$B:$B,MATCH($G3111,'Catalog'!$A:$A,0)),$B3111))</f>
        <v>AC-25 חבק לשורש כף היד</v>
      </c>
      <c r="I3111" s="8" t="str">
        <f aca="false">IF($G3111="","Unmatched","Matched")</f>
        <v>Matched</v>
      </c>
    </row>
    <row r="3112" customFormat="false" ht="15" hidden="false" customHeight="false" outlineLevel="0" collapsed="false">
      <c r="A3112" s="8" t="s">
        <v>1037</v>
      </c>
      <c r="B3112" s="8" t="s">
        <v>273</v>
      </c>
      <c r="C3112" s="19" t="n">
        <v>36</v>
      </c>
      <c r="D3112" s="19" t="n">
        <v>739.08</v>
      </c>
      <c r="E3112" s="19" t="n">
        <v>46</v>
      </c>
      <c r="F3112" s="19" t="n">
        <v>885.37</v>
      </c>
      <c r="G3112" s="8" t="n">
        <f aca="false">IFERROR(INDEX('TRANS'!$B:$B,MATCH($B3112,'TRANS'!$A:$A,0)),IFERROR(INDEX('TRANS'!$B:$B,MATCH(TRIM(SUBSTITUTE($B3112,CHAR(160)," ")),'TRANS'!$D:$D,0)),IFERROR(INDEX('Catalog'!$A:$A,MATCH($B3112,'Catalog'!$B:$B,0)),IFERROR(INDEX('Catalog'!$A:$A,MATCH(TRIM(SUBSTITUTE($B3112,CHAR(160)," ")),'Catalog'!$C:$C,0)),""))))</f>
        <v>4413326</v>
      </c>
      <c r="H3112" s="8" t="str">
        <f aca="false">IFERROR(INDEX('TRANS'!$C:$C,MATCH($B3112,'TRANS'!$A:$A,0)),IFERROR(INDEX('Catalog'!$B:$B,MATCH($G3112,'Catalog'!$A:$A,0)),$B3112))</f>
        <v>AC37 מגן קרסול נושם</v>
      </c>
      <c r="I3112" s="8" t="str">
        <f aca="false">IF($G3112="","Unmatched","Matched")</f>
        <v>Matched</v>
      </c>
    </row>
    <row r="3113" customFormat="false" ht="15" hidden="false" customHeight="false" outlineLevel="0" collapsed="false">
      <c r="A3113" s="8" t="s">
        <v>1037</v>
      </c>
      <c r="B3113" s="8" t="s">
        <v>56</v>
      </c>
      <c r="C3113" s="19" t="n">
        <v>24</v>
      </c>
      <c r="D3113" s="19" t="n">
        <v>1177.97</v>
      </c>
      <c r="E3113" s="19" t="n">
        <v>117</v>
      </c>
      <c r="F3113" s="19" t="n">
        <v>5965.53</v>
      </c>
      <c r="G3113" s="8" t="n">
        <f aca="false">IFERROR(INDEX('TRANS'!$B:$B,MATCH($B3113,'TRANS'!$A:$A,0)),IFERROR(INDEX('TRANS'!$B:$B,MATCH(TRIM(SUBSTITUTE($B3113,CHAR(160)," ")),'TRANS'!$D:$D,0)),IFERROR(INDEX('Catalog'!$A:$A,MATCH($B3113,'Catalog'!$B:$B,0)),IFERROR(INDEX('Catalog'!$A:$A,MATCH(TRIM(SUBSTITUTE($B3113,CHAR(160)," ")),'Catalog'!$C:$C,0)),""))))</f>
        <v>4413328</v>
      </c>
      <c r="H3113" s="8" t="str">
        <f aca="false">IFERROR(INDEX('TRANS'!$C:$C,MATCH($B3113,'TRANS'!$A:$A,0)),IFERROR(INDEX('Catalog'!$B:$B,MATCH($G3113,'Catalog'!$A:$A,0)),$B3113))</f>
        <v>AC43D מגן ברך + צירים</v>
      </c>
      <c r="I3113" s="8" t="str">
        <f aca="false">IF($G3113="","Unmatched","Matched")</f>
        <v>Matched</v>
      </c>
    </row>
    <row r="3114" customFormat="false" ht="15" hidden="false" customHeight="false" outlineLevel="0" collapsed="false">
      <c r="A3114" s="8" t="s">
        <v>1037</v>
      </c>
      <c r="B3114" s="8" t="s">
        <v>304</v>
      </c>
      <c r="C3114" s="19" t="n">
        <v>0</v>
      </c>
      <c r="D3114" s="19" t="n">
        <v>0</v>
      </c>
      <c r="E3114" s="19" t="n">
        <v>1</v>
      </c>
      <c r="F3114" s="19" t="n">
        <v>0.03</v>
      </c>
      <c r="G3114" s="8" t="n">
        <f aca="false">IFERROR(INDEX('TRANS'!$B:$B,MATCH($B3114,'TRANS'!$A:$A,0)),IFERROR(INDEX('TRANS'!$B:$B,MATCH(TRIM(SUBSTITUTE($B3114,CHAR(160)," ")),'TRANS'!$D:$D,0)),IFERROR(INDEX('Catalog'!$A:$A,MATCH($B3114,'Catalog'!$B:$B,0)),IFERROR(INDEX('Catalog'!$A:$A,MATCH(TRIM(SUBSTITUTE($B3114,CHAR(160)," ")),'Catalog'!$C:$C,0)),""))))</f>
        <v>4413407</v>
      </c>
      <c r="H3114" s="8" t="str">
        <f aca="false">IFERROR(INDEX('TRANS'!$C:$C,MATCH($B3114,'TRANS'!$A:$A,0)),IFERROR(INDEX('Catalog'!$B:$B,MATCH($G3114,'Catalog'!$A:$A,0)),$B3114))</f>
        <v>SC95 L מגן מרפק</v>
      </c>
      <c r="I3114" s="8" t="str">
        <f aca="false">IF($G3114="","Unmatched","Matched")</f>
        <v>Matched</v>
      </c>
    </row>
    <row r="3115" customFormat="false" ht="15" hidden="false" customHeight="false" outlineLevel="0" collapsed="false">
      <c r="A3115" s="8" t="s">
        <v>1037</v>
      </c>
      <c r="B3115" s="8" t="s">
        <v>307</v>
      </c>
      <c r="C3115" s="19" t="n">
        <v>1</v>
      </c>
      <c r="D3115" s="19" t="n">
        <v>0.03</v>
      </c>
      <c r="E3115" s="19" t="n">
        <v>0</v>
      </c>
      <c r="F3115" s="19" t="n">
        <v>0</v>
      </c>
      <c r="G3115" s="8" t="n">
        <f aca="false">IFERROR(INDEX('TRANS'!$B:$B,MATCH($B3115,'TRANS'!$A:$A,0)),IFERROR(INDEX('TRANS'!$B:$B,MATCH(TRIM(SUBSTITUTE($B3115,CHAR(160)," ")),'TRANS'!$D:$D,0)),IFERROR(INDEX('Catalog'!$A:$A,MATCH($B3115,'Catalog'!$B:$B,0)),IFERROR(INDEX('Catalog'!$A:$A,MATCH(TRIM(SUBSTITUTE($B3115,CHAR(160)," ")),'Catalog'!$C:$C,0)),""))))</f>
        <v>4413534</v>
      </c>
      <c r="H3115" s="8" t="str">
        <f aca="false">IFERROR(INDEX('TRANS'!$C:$C,MATCH($B3115,'TRANS'!$A:$A,0)),IFERROR(INDEX('Catalog'!$B:$B,MATCH($G3115,'Catalog'!$A:$A,0)),$B3115))</f>
        <v>SH333 מקבע קרסול</v>
      </c>
      <c r="I3115" s="8" t="str">
        <f aca="false">IF($G3115="","Unmatched","Matched")</f>
        <v>Matched</v>
      </c>
    </row>
    <row r="3116" customFormat="false" ht="15" hidden="false" customHeight="false" outlineLevel="0" collapsed="false">
      <c r="A3116" s="8" t="s">
        <v>1037</v>
      </c>
      <c r="B3116" s="8" t="s">
        <v>521</v>
      </c>
      <c r="C3116" s="19" t="n">
        <v>3</v>
      </c>
      <c r="D3116" s="19" t="n">
        <v>262.35</v>
      </c>
      <c r="E3116" s="19" t="n">
        <v>2</v>
      </c>
      <c r="F3116" s="19" t="n">
        <v>163.86</v>
      </c>
      <c r="G3116" s="8" t="n">
        <f aca="false">IFERROR(INDEX('TRANS'!$B:$B,MATCH($B3116,'TRANS'!$A:$A,0)),IFERROR(INDEX('TRANS'!$B:$B,MATCH(TRIM(SUBSTITUTE($B3116,CHAR(160)," ")),'TRANS'!$D:$D,0)),IFERROR(INDEX('Catalog'!$A:$A,MATCH($B3116,'Catalog'!$B:$B,0)),IFERROR(INDEX('Catalog'!$A:$A,MATCH(TRIM(SUBSTITUTE($B3116,CHAR(160)," ")),'Catalog'!$C:$C,0)),""))))</f>
        <v>4422037</v>
      </c>
      <c r="H3116" s="8" t="str">
        <f aca="false">IFERROR(INDEX('TRANS'!$C:$C,MATCH($B3116,'TRANS'!$A:$A,0)),IFERROR(INDEX('Catalog'!$B:$B,MATCH($G3116,'Catalog'!$A:$A,0)),$B3116))</f>
        <v>SH422 1 תומך ברך גנושילד</v>
      </c>
      <c r="I3116" s="8" t="str">
        <f aca="false">IF($G3116="","Unmatched","Matched")</f>
        <v>Matched</v>
      </c>
    </row>
    <row r="3117" customFormat="false" ht="15" hidden="false" customHeight="false" outlineLevel="0" collapsed="false">
      <c r="A3117" s="8" t="s">
        <v>1037</v>
      </c>
      <c r="B3117" s="8" t="s">
        <v>522</v>
      </c>
      <c r="C3117" s="19" t="n">
        <v>5</v>
      </c>
      <c r="D3117" s="19" t="n">
        <v>437.24</v>
      </c>
      <c r="E3117" s="19" t="n">
        <v>15</v>
      </c>
      <c r="F3117" s="19" t="n">
        <v>1234.68</v>
      </c>
      <c r="G3117" s="8" t="n">
        <f aca="false">IFERROR(INDEX('TRANS'!$B:$B,MATCH($B3117,'TRANS'!$A:$A,0)),IFERROR(INDEX('TRANS'!$B:$B,MATCH(TRIM(SUBSTITUTE($B3117,CHAR(160)," ")),'TRANS'!$D:$D,0)),IFERROR(INDEX('Catalog'!$A:$A,MATCH($B3117,'Catalog'!$B:$B,0)),IFERROR(INDEX('Catalog'!$A:$A,MATCH(TRIM(SUBSTITUTE($B3117,CHAR(160)," ")),'Catalog'!$C:$C,0)),""))))</f>
        <v>4422038</v>
      </c>
      <c r="H3117" s="8" t="str">
        <f aca="false">IFERROR(INDEX('TRANS'!$C:$C,MATCH($B3117,'TRANS'!$A:$A,0)),IFERROR(INDEX('Catalog'!$B:$B,MATCH($G3117,'Catalog'!$A:$A,0)),$B3117))</f>
        <v>SH422 2 תומך ברך גנושילד</v>
      </c>
      <c r="I3117" s="8" t="str">
        <f aca="false">IF($G3117="","Unmatched","Matched")</f>
        <v>Matched</v>
      </c>
    </row>
    <row r="3118" customFormat="false" ht="15" hidden="false" customHeight="false" outlineLevel="0" collapsed="false">
      <c r="A3118" s="8" t="s">
        <v>1037</v>
      </c>
      <c r="B3118" s="8" t="s">
        <v>523</v>
      </c>
      <c r="C3118" s="19" t="n">
        <v>7</v>
      </c>
      <c r="D3118" s="19" t="n">
        <v>524.72</v>
      </c>
      <c r="E3118" s="19" t="n">
        <v>20</v>
      </c>
      <c r="F3118" s="19" t="n">
        <v>1609.88</v>
      </c>
      <c r="G3118" s="8" t="n">
        <f aca="false">IFERROR(INDEX('TRANS'!$B:$B,MATCH($B3118,'TRANS'!$A:$A,0)),IFERROR(INDEX('TRANS'!$B:$B,MATCH(TRIM(SUBSTITUTE($B3118,CHAR(160)," ")),'TRANS'!$D:$D,0)),IFERROR(INDEX('Catalog'!$A:$A,MATCH($B3118,'Catalog'!$B:$B,0)),IFERROR(INDEX('Catalog'!$A:$A,MATCH(TRIM(SUBSTITUTE($B3118,CHAR(160)," ")),'Catalog'!$C:$C,0)),""))))</f>
        <v>4422039</v>
      </c>
      <c r="H3118" s="8" t="str">
        <f aca="false">IFERROR(INDEX('TRANS'!$C:$C,MATCH($B3118,'TRANS'!$A:$A,0)),IFERROR(INDEX('Catalog'!$B:$B,MATCH($G3118,'Catalog'!$A:$A,0)),$B3118))</f>
        <v>SH422 3 תומך ברך גנושילד</v>
      </c>
      <c r="I3118" s="8" t="str">
        <f aca="false">IF($G3118="","Unmatched","Matched")</f>
        <v>Matched</v>
      </c>
    </row>
    <row r="3119" customFormat="false" ht="15" hidden="false" customHeight="false" outlineLevel="0" collapsed="false">
      <c r="A3119" s="8" t="s">
        <v>1037</v>
      </c>
      <c r="B3119" s="8" t="s">
        <v>524</v>
      </c>
      <c r="C3119" s="19" t="n">
        <v>6</v>
      </c>
      <c r="D3119" s="19" t="n">
        <v>524.69</v>
      </c>
      <c r="E3119" s="19" t="n">
        <v>30</v>
      </c>
      <c r="F3119" s="19" t="n">
        <v>2429.16</v>
      </c>
      <c r="G3119" s="8" t="n">
        <f aca="false">IFERROR(INDEX('TRANS'!$B:$B,MATCH($B3119,'TRANS'!$A:$A,0)),IFERROR(INDEX('TRANS'!$B:$B,MATCH(TRIM(SUBSTITUTE($B3119,CHAR(160)," ")),'TRANS'!$D:$D,0)),IFERROR(INDEX('Catalog'!$A:$A,MATCH($B3119,'Catalog'!$B:$B,0)),IFERROR(INDEX('Catalog'!$A:$A,MATCH(TRIM(SUBSTITUTE($B3119,CHAR(160)," ")),'Catalog'!$C:$C,0)),""))))</f>
        <v>4422040</v>
      </c>
      <c r="H3119" s="8" t="str">
        <f aca="false">IFERROR(INDEX('TRANS'!$C:$C,MATCH($B3119,'TRANS'!$A:$A,0)),IFERROR(INDEX('Catalog'!$B:$B,MATCH($G3119,'Catalog'!$A:$A,0)),$B3119))</f>
        <v>SH422 4 תומך ברך גנושילד</v>
      </c>
      <c r="I3119" s="8" t="str">
        <f aca="false">IF($G3119="","Unmatched","Matched")</f>
        <v>Matched</v>
      </c>
    </row>
    <row r="3120" customFormat="false" ht="15" hidden="false" customHeight="false" outlineLevel="0" collapsed="false">
      <c r="A3120" s="8" t="s">
        <v>1037</v>
      </c>
      <c r="B3120" s="8" t="s">
        <v>308</v>
      </c>
      <c r="C3120" s="19" t="n">
        <v>5</v>
      </c>
      <c r="D3120" s="19" t="n">
        <v>437.24</v>
      </c>
      <c r="E3120" s="19" t="n">
        <v>25</v>
      </c>
      <c r="F3120" s="19" t="n">
        <v>2059.71</v>
      </c>
      <c r="G3120" s="8" t="n">
        <f aca="false">IFERROR(INDEX('TRANS'!$B:$B,MATCH($B3120,'TRANS'!$A:$A,0)),IFERROR(INDEX('TRANS'!$B:$B,MATCH(TRIM(SUBSTITUTE($B3120,CHAR(160)," ")),'TRANS'!$D:$D,0)),IFERROR(INDEX('Catalog'!$A:$A,MATCH($B3120,'Catalog'!$B:$B,0)),IFERROR(INDEX('Catalog'!$A:$A,MATCH(TRIM(SUBSTITUTE($B3120,CHAR(160)," ")),'Catalog'!$C:$C,0)),""))))</f>
        <v>4422041</v>
      </c>
      <c r="H3120" s="8" t="str">
        <f aca="false">IFERROR(INDEX('TRANS'!$C:$C,MATCH($B3120,'TRANS'!$A:$A,0)),IFERROR(INDEX('Catalog'!$B:$B,MATCH($G3120,'Catalog'!$A:$A,0)),$B3120))</f>
        <v>SH422 5 תומך ברך גנושילד</v>
      </c>
      <c r="I3120" s="8" t="str">
        <f aca="false">IF($G3120="","Unmatched","Matched")</f>
        <v>Matched</v>
      </c>
    </row>
    <row r="3121" customFormat="false" ht="15" hidden="false" customHeight="false" outlineLevel="0" collapsed="false">
      <c r="A3121" s="8" t="s">
        <v>1037</v>
      </c>
      <c r="B3121" s="8" t="s">
        <v>525</v>
      </c>
      <c r="C3121" s="19" t="n">
        <v>5</v>
      </c>
      <c r="D3121" s="19" t="n">
        <v>437.24</v>
      </c>
      <c r="E3121" s="19" t="n">
        <v>30</v>
      </c>
      <c r="F3121" s="19" t="n">
        <v>2335.09</v>
      </c>
      <c r="G3121" s="8" t="n">
        <f aca="false">IFERROR(INDEX('TRANS'!$B:$B,MATCH($B3121,'TRANS'!$A:$A,0)),IFERROR(INDEX('TRANS'!$B:$B,MATCH(TRIM(SUBSTITUTE($B3121,CHAR(160)," ")),'TRANS'!$D:$D,0)),IFERROR(INDEX('Catalog'!$A:$A,MATCH($B3121,'Catalog'!$B:$B,0)),IFERROR(INDEX('Catalog'!$A:$A,MATCH(TRIM(SUBSTITUTE($B3121,CHAR(160)," ")),'Catalog'!$C:$C,0)),""))))</f>
        <v>4422042</v>
      </c>
      <c r="H3121" s="8" t="str">
        <f aca="false">IFERROR(INDEX('TRANS'!$C:$C,MATCH($B3121,'TRANS'!$A:$A,0)),IFERROR(INDEX('Catalog'!$B:$B,MATCH($G3121,'Catalog'!$A:$A,0)),$B3121))</f>
        <v>SH422 6 תומך ברך גנושילד</v>
      </c>
      <c r="I3121" s="8" t="str">
        <f aca="false">IF($G3121="","Unmatched","Matched")</f>
        <v>Matched</v>
      </c>
    </row>
    <row r="3122" customFormat="false" ht="15" hidden="false" customHeight="false" outlineLevel="0" collapsed="false">
      <c r="A3122" s="8" t="s">
        <v>1037</v>
      </c>
      <c r="B3122" s="8" t="s">
        <v>530</v>
      </c>
      <c r="C3122" s="19" t="n">
        <v>96</v>
      </c>
      <c r="D3122" s="19" t="n">
        <v>1016.86</v>
      </c>
      <c r="E3122" s="19" t="n">
        <v>171</v>
      </c>
      <c r="F3122" s="19" t="n">
        <v>1727.62</v>
      </c>
      <c r="G3122" s="8" t="n">
        <f aca="false">IFERROR(INDEX('TRANS'!$B:$B,MATCH($B3122,'TRANS'!$A:$A,0)),IFERROR(INDEX('TRANS'!$B:$B,MATCH(TRIM(SUBSTITUTE($B3122,CHAR(160)," ")),'TRANS'!$D:$D,0)),IFERROR(INDEX('Catalog'!$A:$A,MATCH($B3122,'Catalog'!$B:$B,0)),IFERROR(INDEX('Catalog'!$A:$A,MATCH(TRIM(SUBSTITUTE($B3122,CHAR(160)," ")),'Catalog'!$C:$C,0)),""))))</f>
        <v>4408268</v>
      </c>
      <c r="H3122" s="8" t="str">
        <f aca="false">IFERROR(INDEX('TRANS'!$C:$C,MATCH($B3122,'TRANS'!$A:$A,0)),IFERROR(INDEX('Catalog'!$B:$B,MATCH($G3122,'Catalog'!$A:$A,0)),$B3122))</f>
        <v>ST20 חבק יד</v>
      </c>
      <c r="I3122" s="8" t="str">
        <f aca="false">IF($G3122="","Unmatched","Matched")</f>
        <v>Matched</v>
      </c>
    </row>
    <row r="3123" customFormat="false" ht="15" hidden="false" customHeight="false" outlineLevel="0" collapsed="false">
      <c r="A3123" s="8" t="s">
        <v>1037</v>
      </c>
      <c r="B3123" s="8" t="s">
        <v>531</v>
      </c>
      <c r="C3123" s="19" t="n">
        <v>216</v>
      </c>
      <c r="D3123" s="19" t="n">
        <v>2892</v>
      </c>
      <c r="E3123" s="19" t="n">
        <v>143</v>
      </c>
      <c r="F3123" s="19" t="n">
        <v>1850.23</v>
      </c>
      <c r="G3123" s="8" t="n">
        <f aca="false">IFERROR(INDEX('TRANS'!$B:$B,MATCH($B3123,'TRANS'!$A:$A,0)),IFERROR(INDEX('TRANS'!$B:$B,MATCH(TRIM(SUBSTITUTE($B3123,CHAR(160)," ")),'TRANS'!$D:$D,0)),IFERROR(INDEX('Catalog'!$A:$A,MATCH($B3123,'Catalog'!$B:$B,0)),IFERROR(INDEX('Catalog'!$A:$A,MATCH(TRIM(SUBSTITUTE($B3123,CHAR(160)," ")),'Catalog'!$C:$C,0)),""))))</f>
        <v>4408267</v>
      </c>
      <c r="H3123" s="8" t="str">
        <f aca="false">IFERROR(INDEX('TRANS'!$C:$C,MATCH($B3123,'TRANS'!$A:$A,0)),IFERROR(INDEX('Catalog'!$B:$B,MATCH($G3123,'Catalog'!$A:$A,0)),$B3123))</f>
        <v>ST25 חבק שורש לכף היד</v>
      </c>
      <c r="I3123" s="8" t="str">
        <f aca="false">IF($G3123="","Unmatched","Matched")</f>
        <v>Matched</v>
      </c>
    </row>
    <row r="3124" customFormat="false" ht="15" hidden="false" customHeight="false" outlineLevel="0" collapsed="false">
      <c r="A3124" s="8" t="s">
        <v>1037</v>
      </c>
      <c r="B3124" s="8" t="s">
        <v>532</v>
      </c>
      <c r="C3124" s="19" t="n">
        <v>24</v>
      </c>
      <c r="D3124" s="19" t="n">
        <v>383.88</v>
      </c>
      <c r="E3124" s="19" t="n">
        <v>0</v>
      </c>
      <c r="F3124" s="19" t="n">
        <v>0</v>
      </c>
      <c r="G3124" s="8" t="str">
        <f aca="false">IFERROR(INDEX('TRANS'!$B:$B,MATCH($B3124,'TRANS'!$A:$A,0)),IFERROR(INDEX('TRANS'!$B:$B,MATCH(TRIM(SUBSTITUTE($B3124,CHAR(160)," ")),'TRANS'!$D:$D,0)),IFERROR(INDEX('Catalog'!$A:$A,MATCH($B3124,'Catalog'!$B:$B,0)),IFERROR(INDEX('Catalog'!$A:$A,MATCH(TRIM(SUBSTITUTE($B3124,CHAR(160)," ")),'Catalog'!$C:$C,0)),""))))</f>
        <v/>
      </c>
      <c r="H3124" s="8" t="str">
        <f aca="false">IFERROR(INDEX('TRANS'!$C:$C,MATCH($B3124,'TRANS'!$A:$A,0)),IFERROR(INDEX('Catalog'!$B:$B,MATCH($G3124,'Catalog'!$A:$A,0)),$B3124))</f>
        <v>ST27L 0</v>
      </c>
      <c r="I3124" s="8" t="str">
        <f aca="false">IF($G3124="","Unmatched","Matched")</f>
        <v>Unmatched</v>
      </c>
    </row>
    <row r="3125" customFormat="false" ht="15" hidden="false" customHeight="false" outlineLevel="0" collapsed="false">
      <c r="A3125" s="8" t="s">
        <v>1037</v>
      </c>
      <c r="B3125" s="8" t="s">
        <v>533</v>
      </c>
      <c r="C3125" s="19" t="n">
        <v>24</v>
      </c>
      <c r="D3125" s="19" t="n">
        <v>383.88</v>
      </c>
      <c r="E3125" s="19" t="n">
        <v>0</v>
      </c>
      <c r="F3125" s="19" t="n">
        <v>0</v>
      </c>
      <c r="G3125" s="8" t="str">
        <f aca="false">IFERROR(INDEX('TRANS'!$B:$B,MATCH($B3125,'TRANS'!$A:$A,0)),IFERROR(INDEX('TRANS'!$B:$B,MATCH(TRIM(SUBSTITUTE($B3125,CHAR(160)," ")),'TRANS'!$D:$D,0)),IFERROR(INDEX('Catalog'!$A:$A,MATCH($B3125,'Catalog'!$B:$B,0)),IFERROR(INDEX('Catalog'!$A:$A,MATCH(TRIM(SUBSTITUTE($B3125,CHAR(160)," ")),'Catalog'!$C:$C,0)),""))))</f>
        <v/>
      </c>
      <c r="H3125" s="8" t="str">
        <f aca="false">IFERROR(INDEX('TRANS'!$C:$C,MATCH($B3125,'TRANS'!$A:$A,0)),IFERROR(INDEX('Catalog'!$B:$B,MATCH($G3125,'Catalog'!$A:$A,0)),$B3125))</f>
        <v>ST27R 0</v>
      </c>
      <c r="I3125" s="8" t="str">
        <f aca="false">IF($G3125="","Unmatched","Matched")</f>
        <v>Unmatched</v>
      </c>
    </row>
    <row r="3126" customFormat="false" ht="15" hidden="false" customHeight="false" outlineLevel="0" collapsed="false">
      <c r="A3126" s="8" t="s">
        <v>1037</v>
      </c>
      <c r="B3126" s="8" t="s">
        <v>534</v>
      </c>
      <c r="C3126" s="19" t="n">
        <v>0</v>
      </c>
      <c r="D3126" s="19" t="n">
        <v>0</v>
      </c>
      <c r="E3126" s="19" t="n">
        <v>11</v>
      </c>
      <c r="F3126" s="19" t="n">
        <v>167.25</v>
      </c>
      <c r="G3126" s="8" t="n">
        <f aca="false">IFERROR(INDEX('TRANS'!$B:$B,MATCH($B3126,'TRANS'!$A:$A,0)),IFERROR(INDEX('TRANS'!$B:$B,MATCH(TRIM(SUBSTITUTE($B3126,CHAR(160)," ")),'TRANS'!$D:$D,0)),IFERROR(INDEX('Catalog'!$A:$A,MATCH($B3126,'Catalog'!$B:$B,0)),IFERROR(INDEX('Catalog'!$A:$A,MATCH(TRIM(SUBSTITUTE($B3126,CHAR(160)," ")),'Catalog'!$C:$C,0)),""))))</f>
        <v>4415177</v>
      </c>
      <c r="H3126" s="8" t="str">
        <f aca="false">IFERROR(INDEX('TRANS'!$C:$C,MATCH($B3126,'TRANS'!$A:$A,0)),IFERROR(INDEX('Catalog'!$B:$B,MATCH($G3126,'Catalog'!$A:$A,0)),$B3126))</f>
        <v>ST28 סד אגודלי עם מוט תמיכה</v>
      </c>
      <c r="I3126" s="8" t="str">
        <f aca="false">IF($G3126="","Unmatched","Matched")</f>
        <v>Matched</v>
      </c>
    </row>
    <row r="3127" customFormat="false" ht="15" hidden="false" customHeight="false" outlineLevel="0" collapsed="false">
      <c r="A3127" s="8" t="s">
        <v>1037</v>
      </c>
      <c r="B3127" s="8" t="s">
        <v>318</v>
      </c>
      <c r="C3127" s="19" t="n">
        <v>72</v>
      </c>
      <c r="D3127" s="19" t="n">
        <v>1312.77</v>
      </c>
      <c r="E3127" s="19" t="n">
        <v>139</v>
      </c>
      <c r="F3127" s="19" t="n">
        <v>2400</v>
      </c>
      <c r="G3127" s="8" t="n">
        <f aca="false">IFERROR(INDEX('TRANS'!$B:$B,MATCH($B3127,'TRANS'!$A:$A,0)),IFERROR(INDEX('TRANS'!$B:$B,MATCH(TRIM(SUBSTITUTE($B3127,CHAR(160)," ")),'TRANS'!$D:$D,0)),IFERROR(INDEX('Catalog'!$A:$A,MATCH($B3127,'Catalog'!$B:$B,0)),IFERROR(INDEX('Catalog'!$A:$A,MATCH(TRIM(SUBSTITUTE($B3127,CHAR(160)," ")),'Catalog'!$C:$C,0)),""))))</f>
        <v>4408098</v>
      </c>
      <c r="H3127" s="8" t="str">
        <f aca="false">IFERROR(INDEX('TRANS'!$C:$C,MATCH($B3127,'TRANS'!$A:$A,0)),IFERROR(INDEX('Catalog'!$B:$B,MATCH($G3127,'Catalog'!$A:$A,0)),$B3127))</f>
        <v>T25-חבק יד אגודלי</v>
      </c>
      <c r="I3127" s="8" t="str">
        <f aca="false">IF($G3127="","Unmatched","Matched")</f>
        <v>Matched</v>
      </c>
    </row>
    <row r="3128" customFormat="false" ht="15" hidden="false" customHeight="false" outlineLevel="0" collapsed="false">
      <c r="A3128" s="8" t="s">
        <v>1037</v>
      </c>
      <c r="B3128" s="8" t="s">
        <v>790</v>
      </c>
      <c r="C3128" s="19" t="n">
        <v>264</v>
      </c>
      <c r="D3128" s="19" t="n">
        <v>31736.14</v>
      </c>
      <c r="E3128" s="19" t="n">
        <v>115</v>
      </c>
      <c r="F3128" s="19" t="n">
        <v>12910.86</v>
      </c>
      <c r="G3128" s="8" t="str">
        <f aca="false">IFERROR(INDEX('TRANS'!$B:$B,MATCH($B3128,'TRANS'!$A:$A,0)),IFERROR(INDEX('TRANS'!$B:$B,MATCH(TRIM(SUBSTITUTE($B3128,CHAR(160)," ")),'TRANS'!$D:$D,0)),IFERROR(INDEX('Catalog'!$A:$A,MATCH($B3128,'Catalog'!$B:$B,0)),IFERROR(INDEX('Catalog'!$A:$A,MATCH(TRIM(SUBSTITUTE($B3128,CHAR(160)," ")),'Catalog'!$C:$C,0)),""))))</f>
        <v/>
      </c>
      <c r="H3128" s="8" t="str">
        <f aca="false">IFERROR(INDEX('TRANS'!$C:$C,MATCH($B3128,'TRANS'!$A:$A,0)),IFERROR(INDEX('Catalog'!$B:$B,MATCH($G3128,'Catalog'!$A:$A,0)),$B3128))</f>
        <v>T43V L</v>
      </c>
      <c r="I3128" s="8" t="str">
        <f aca="false">IF($G3128="","Unmatched","Matched")</f>
        <v>Unmatched</v>
      </c>
    </row>
    <row r="3129" customFormat="false" ht="15" hidden="false" customHeight="false" outlineLevel="0" collapsed="false">
      <c r="A3129" s="8" t="s">
        <v>1037</v>
      </c>
      <c r="B3129" s="8" t="s">
        <v>1015</v>
      </c>
      <c r="C3129" s="19" t="n">
        <v>252</v>
      </c>
      <c r="D3129" s="19" t="n">
        <v>29952.79</v>
      </c>
      <c r="E3129" s="19" t="n">
        <v>55</v>
      </c>
      <c r="F3129" s="19" t="n">
        <v>6419.73</v>
      </c>
      <c r="G3129" s="8" t="str">
        <f aca="false">IFERROR(INDEX('TRANS'!$B:$B,MATCH($B3129,'TRANS'!$A:$A,0)),IFERROR(INDEX('TRANS'!$B:$B,MATCH(TRIM(SUBSTITUTE($B3129,CHAR(160)," ")),'TRANS'!$D:$D,0)),IFERROR(INDEX('Catalog'!$A:$A,MATCH($B3129,'Catalog'!$B:$B,0)),IFERROR(INDEX('Catalog'!$A:$A,MATCH(TRIM(SUBSTITUTE($B3129,CHAR(160)," ")),'Catalog'!$C:$C,0)),""))))</f>
        <v/>
      </c>
      <c r="H3129" s="8" t="str">
        <f aca="false">IFERROR(INDEX('TRANS'!$C:$C,MATCH($B3129,'TRANS'!$A:$A,0)),IFERROR(INDEX('Catalog'!$B:$B,MATCH($G3129,'Catalog'!$A:$A,0)),$B3129))</f>
        <v>T43V M</v>
      </c>
      <c r="I3129" s="8" t="str">
        <f aca="false">IF($G3129="","Unmatched","Matched")</f>
        <v>Unmatched</v>
      </c>
    </row>
    <row r="3130" customFormat="false" ht="15" hidden="false" customHeight="false" outlineLevel="0" collapsed="false">
      <c r="A3130" s="8" t="s">
        <v>1037</v>
      </c>
      <c r="B3130" s="8" t="s">
        <v>1049</v>
      </c>
      <c r="C3130" s="19" t="n">
        <v>96</v>
      </c>
      <c r="D3130" s="19" t="n">
        <v>11266.98</v>
      </c>
      <c r="E3130" s="19" t="n">
        <v>22</v>
      </c>
      <c r="F3130" s="19" t="n">
        <v>2508.3</v>
      </c>
      <c r="G3130" s="8" t="str">
        <f aca="false">IFERROR(INDEX('TRANS'!$B:$B,MATCH($B3130,'TRANS'!$A:$A,0)),IFERROR(INDEX('TRANS'!$B:$B,MATCH(TRIM(SUBSTITUTE($B3130,CHAR(160)," ")),'TRANS'!$D:$D,0)),IFERROR(INDEX('Catalog'!$A:$A,MATCH($B3130,'Catalog'!$B:$B,0)),IFERROR(INDEX('Catalog'!$A:$A,MATCH(TRIM(SUBSTITUTE($B3130,CHAR(160)," ")),'Catalog'!$C:$C,0)),""))))</f>
        <v/>
      </c>
      <c r="H3130" s="8" t="str">
        <f aca="false">IFERROR(INDEX('TRANS'!$C:$C,MATCH($B3130,'TRANS'!$A:$A,0)),IFERROR(INDEX('Catalog'!$B:$B,MATCH($G3130,'Catalog'!$A:$A,0)),$B3130))</f>
        <v>T43V S</v>
      </c>
      <c r="I3130" s="8" t="str">
        <f aca="false">IF($G3130="","Unmatched","Matched")</f>
        <v>Unmatched</v>
      </c>
    </row>
    <row r="3131" customFormat="false" ht="15" hidden="false" customHeight="false" outlineLevel="0" collapsed="false">
      <c r="A3131" s="8" t="s">
        <v>1037</v>
      </c>
      <c r="B3131" s="8" t="s">
        <v>1016</v>
      </c>
      <c r="C3131" s="19" t="n">
        <v>156</v>
      </c>
      <c r="D3131" s="19" t="n">
        <v>19580.51</v>
      </c>
      <c r="E3131" s="19" t="n">
        <v>66</v>
      </c>
      <c r="F3131" s="19" t="n">
        <v>7703.67</v>
      </c>
      <c r="G3131" s="8" t="str">
        <f aca="false">IFERROR(INDEX('TRANS'!$B:$B,MATCH($B3131,'TRANS'!$A:$A,0)),IFERROR(INDEX('TRANS'!$B:$B,MATCH(TRIM(SUBSTITUTE($B3131,CHAR(160)," ")),'TRANS'!$D:$D,0)),IFERROR(INDEX('Catalog'!$A:$A,MATCH($B3131,'Catalog'!$B:$B,0)),IFERROR(INDEX('Catalog'!$A:$A,MATCH(TRIM(SUBSTITUTE($B3131,CHAR(160)," ")),'Catalog'!$C:$C,0)),""))))</f>
        <v/>
      </c>
      <c r="H3131" s="8" t="str">
        <f aca="false">IFERROR(INDEX('TRANS'!$C:$C,MATCH($B3131,'TRANS'!$A:$A,0)),IFERROR(INDEX('Catalog'!$B:$B,MATCH($G3131,'Catalog'!$A:$A,0)),$B3131))</f>
        <v>T43V XL</v>
      </c>
      <c r="I3131" s="8" t="str">
        <f aca="false">IF($G3131="","Unmatched","Matched")</f>
        <v>Unmatched</v>
      </c>
    </row>
    <row r="3132" customFormat="false" ht="15" hidden="false" customHeight="false" outlineLevel="0" collapsed="false">
      <c r="A3132" s="8" t="s">
        <v>1037</v>
      </c>
      <c r="B3132" s="8" t="s">
        <v>1050</v>
      </c>
      <c r="C3132" s="19" t="n">
        <v>12</v>
      </c>
      <c r="D3132" s="19" t="n">
        <v>1547.32</v>
      </c>
      <c r="E3132" s="19" t="n">
        <v>0</v>
      </c>
      <c r="F3132" s="19" t="n">
        <v>0</v>
      </c>
      <c r="G3132" s="8" t="str">
        <f aca="false">IFERROR(INDEX('TRANS'!$B:$B,MATCH($B3132,'TRANS'!$A:$A,0)),IFERROR(INDEX('TRANS'!$B:$B,MATCH(TRIM(SUBSTITUTE($B3132,CHAR(160)," ")),'TRANS'!$D:$D,0)),IFERROR(INDEX('Catalog'!$A:$A,MATCH($B3132,'Catalog'!$B:$B,0)),IFERROR(INDEX('Catalog'!$A:$A,MATCH(TRIM(SUBSTITUTE($B3132,CHAR(160)," ")),'Catalog'!$C:$C,0)),""))))</f>
        <v/>
      </c>
      <c r="H3132" s="8" t="str">
        <f aca="false">IFERROR(INDEX('TRANS'!$C:$C,MATCH($B3132,'TRANS'!$A:$A,0)),IFERROR(INDEX('Catalog'!$B:$B,MATCH($G3132,'Catalog'!$A:$A,0)),$B3132))</f>
        <v>T43V XS</v>
      </c>
      <c r="I3132" s="8" t="str">
        <f aca="false">IF($G3132="","Unmatched","Matched")</f>
        <v>Unmatched</v>
      </c>
    </row>
    <row r="3133" customFormat="false" ht="15" hidden="false" customHeight="false" outlineLevel="0" collapsed="false">
      <c r="A3133" s="8" t="s">
        <v>1037</v>
      </c>
      <c r="B3133" s="8" t="s">
        <v>739</v>
      </c>
      <c r="C3133" s="19" t="n">
        <v>132</v>
      </c>
      <c r="D3133" s="19" t="n">
        <v>16148.34</v>
      </c>
      <c r="E3133" s="19" t="n">
        <v>66</v>
      </c>
      <c r="F3133" s="19" t="n">
        <v>7673.88</v>
      </c>
      <c r="G3133" s="8" t="str">
        <f aca="false">IFERROR(INDEX('TRANS'!$B:$B,MATCH($B3133,'TRANS'!$A:$A,0)),IFERROR(INDEX('TRANS'!$B:$B,MATCH(TRIM(SUBSTITUTE($B3133,CHAR(160)," ")),'TRANS'!$D:$D,0)),IFERROR(INDEX('Catalog'!$A:$A,MATCH($B3133,'Catalog'!$B:$B,0)),IFERROR(INDEX('Catalog'!$A:$A,MATCH(TRIM(SUBSTITUTE($B3133,CHAR(160)," ")),'Catalog'!$C:$C,0)),""))))</f>
        <v/>
      </c>
      <c r="H3133" s="8" t="str">
        <f aca="false">IFERROR(INDEX('TRANS'!$C:$C,MATCH($B3133,'TRANS'!$A:$A,0)),IFERROR(INDEX('Catalog'!$B:$B,MATCH($G3133,'Catalog'!$A:$A,0)),$B3133))</f>
        <v>T43V XXL</v>
      </c>
      <c r="I3133" s="8" t="str">
        <f aca="false">IF($G3133="","Unmatched","Matched")</f>
        <v>Unmatched</v>
      </c>
    </row>
    <row r="3134" customFormat="false" ht="15" hidden="false" customHeight="false" outlineLevel="0" collapsed="false">
      <c r="A3134" s="8" t="s">
        <v>1037</v>
      </c>
      <c r="B3134" s="8" t="s">
        <v>1051</v>
      </c>
      <c r="C3134" s="19" t="n">
        <v>36</v>
      </c>
      <c r="D3134" s="19" t="n">
        <v>4111.41</v>
      </c>
      <c r="E3134" s="19" t="n">
        <v>46</v>
      </c>
      <c r="F3134" s="19" t="n">
        <v>5104.74</v>
      </c>
      <c r="G3134" s="8" t="str">
        <f aca="false">IFERROR(INDEX('TRANS'!$B:$B,MATCH($B3134,'TRANS'!$A:$A,0)),IFERROR(INDEX('TRANS'!$B:$B,MATCH(TRIM(SUBSTITUTE($B3134,CHAR(160)," ")),'TRANS'!$D:$D,0)),IFERROR(INDEX('Catalog'!$A:$A,MATCH($B3134,'Catalog'!$B:$B,0)),IFERROR(INDEX('Catalog'!$A:$A,MATCH(TRIM(SUBSTITUTE($B3134,CHAR(160)," ")),'Catalog'!$C:$C,0)),""))))</f>
        <v/>
      </c>
      <c r="H3134" s="8" t="str">
        <f aca="false">IFERROR(INDEX('TRANS'!$C:$C,MATCH($B3134,'TRANS'!$A:$A,0)),IFERROR(INDEX('Catalog'!$B:$B,MATCH($G3134,'Catalog'!$A:$A,0)),$B3134))</f>
        <v>T43V XXXL</v>
      </c>
      <c r="I3134" s="8" t="str">
        <f aca="false">IF($G3134="","Unmatched","Matched")</f>
        <v>Unmatched</v>
      </c>
    </row>
    <row r="3135" customFormat="false" ht="15" hidden="false" customHeight="false" outlineLevel="0" collapsed="false">
      <c r="A3135" s="8" t="s">
        <v>1037</v>
      </c>
      <c r="B3135" s="8" t="s">
        <v>453</v>
      </c>
      <c r="C3135" s="19" t="n">
        <v>1</v>
      </c>
      <c r="D3135" s="19" t="n">
        <v>0.04</v>
      </c>
      <c r="E3135" s="19" t="n">
        <v>0</v>
      </c>
      <c r="F3135" s="19" t="n">
        <v>0</v>
      </c>
      <c r="G3135" s="8" t="str">
        <f aca="false">IFERROR(INDEX('TRANS'!$B:$B,MATCH($B3135,'TRANS'!$A:$A,0)),IFERROR(INDEX('TRANS'!$B:$B,MATCH(TRIM(SUBSTITUTE($B3135,CHAR(160)," ")),'TRANS'!$D:$D,0)),IFERROR(INDEX('Catalog'!$A:$A,MATCH($B3135,'Catalog'!$B:$B,0)),IFERROR(INDEX('Catalog'!$A:$A,MATCH(TRIM(SUBSTITUTE($B3135,CHAR(160)," ")),'Catalog'!$C:$C,0)),""))))</f>
        <v/>
      </c>
      <c r="H3135" s="8" t="str">
        <f aca="false">IFERROR(INDEX('TRANS'!$C:$C,MATCH($B3135,'TRANS'!$A:$A,0)),IFERROR(INDEX('Catalog'!$B:$B,MATCH($G3135,'Catalog'!$A:$A,0)),$B3135))</f>
        <v>T95 L</v>
      </c>
      <c r="I3135" s="8" t="str">
        <f aca="false">IF($G3135="","Unmatched","Matched")</f>
        <v>Unmatched</v>
      </c>
    </row>
    <row r="3136" customFormat="false" ht="15" hidden="false" customHeight="false" outlineLevel="0" collapsed="false">
      <c r="A3136" s="8" t="s">
        <v>1037</v>
      </c>
      <c r="B3136" s="8" t="s">
        <v>560</v>
      </c>
      <c r="C3136" s="19" t="n">
        <v>6</v>
      </c>
      <c r="D3136" s="19" t="n">
        <v>239.63</v>
      </c>
      <c r="E3136" s="19" t="n">
        <v>0</v>
      </c>
      <c r="F3136" s="19" t="n">
        <v>0</v>
      </c>
      <c r="G3136" s="8" t="str">
        <f aca="false">IFERROR(INDEX('TRANS'!$B:$B,MATCH($B3136,'TRANS'!$A:$A,0)),IFERROR(INDEX('TRANS'!$B:$B,MATCH(TRIM(SUBSTITUTE($B3136,CHAR(160)," ")),'TRANS'!$D:$D,0)),IFERROR(INDEX('Catalog'!$A:$A,MATCH($B3136,'Catalog'!$B:$B,0)),IFERROR(INDEX('Catalog'!$A:$A,MATCH(TRIM(SUBSTITUTE($B3136,CHAR(160)," ")),'Catalog'!$C:$C,0)),""))))</f>
        <v/>
      </c>
      <c r="H3136" s="8" t="str">
        <f aca="false">IFERROR(INDEX('TRANS'!$C:$C,MATCH($B3136,'TRANS'!$A:$A,0)),IFERROR(INDEX('Catalog'!$B:$B,MATCH($G3136,'Catalog'!$A:$A,0)),$B3136))</f>
        <v>T95 M</v>
      </c>
      <c r="I3136" s="8" t="str">
        <f aca="false">IF($G3136="","Unmatched","Matched")</f>
        <v>Unmatched</v>
      </c>
    </row>
    <row r="3137" customFormat="false" ht="15" hidden="false" customHeight="false" outlineLevel="0" collapsed="false">
      <c r="A3137" s="8" t="s">
        <v>1037</v>
      </c>
      <c r="B3137" s="8" t="s">
        <v>546</v>
      </c>
      <c r="C3137" s="19" t="n">
        <v>5</v>
      </c>
      <c r="D3137" s="19" t="n">
        <v>239.59</v>
      </c>
      <c r="E3137" s="19" t="n">
        <v>0</v>
      </c>
      <c r="F3137" s="19" t="n">
        <v>0</v>
      </c>
      <c r="G3137" s="8" t="n">
        <f aca="false">IFERROR(INDEX('TRANS'!$B:$B,MATCH($B3137,'TRANS'!$A:$A,0)),IFERROR(INDEX('TRANS'!$B:$B,MATCH(TRIM(SUBSTITUTE($B3137,CHAR(160)," ")),'TRANS'!$D:$D,0)),IFERROR(INDEX('Catalog'!$A:$A,MATCH($B3137,'Catalog'!$B:$B,0)),IFERROR(INDEX('Catalog'!$A:$A,MATCH(TRIM(SUBSTITUTE($B3137,CHAR(160)," ")),'Catalog'!$C:$C,0)),""))))</f>
        <v>4413210</v>
      </c>
      <c r="H3137" s="8" t="str">
        <f aca="false">IFERROR(INDEX('TRANS'!$C:$C,MATCH($B3137,'TRANS'!$A:$A,0)),IFERROR(INDEX('Catalog'!$B:$B,MATCH($G3137,'Catalog'!$A:$A,0)),$B3137))</f>
        <v>T95 S מגן מרפק רגיל</v>
      </c>
      <c r="I3137" s="8" t="str">
        <f aca="false">IF($G3137="","Unmatched","Matched")</f>
        <v>Matched</v>
      </c>
    </row>
    <row r="3138" customFormat="false" ht="15" hidden="false" customHeight="false" outlineLevel="0" collapsed="false">
      <c r="A3138" s="8" t="s">
        <v>1052</v>
      </c>
      <c r="B3138" s="8" t="s">
        <v>60</v>
      </c>
      <c r="C3138" s="19" t="n">
        <v>180</v>
      </c>
      <c r="D3138" s="19" t="n">
        <v>9339.88</v>
      </c>
      <c r="E3138" s="19" t="n">
        <v>116</v>
      </c>
      <c r="F3138" s="19" t="n">
        <v>5474</v>
      </c>
      <c r="G3138" s="8" t="n">
        <f aca="false">IFERROR(INDEX('TRANS'!$B:$B,MATCH($B3138,'TRANS'!$A:$A,0)),IFERROR(INDEX('TRANS'!$B:$B,MATCH(TRIM(SUBSTITUTE($B3138,CHAR(160)," ")),'TRANS'!$D:$D,0)),IFERROR(INDEX('Catalog'!$A:$A,MATCH($B3138,'Catalog'!$B:$B,0)),IFERROR(INDEX('Catalog'!$A:$A,MATCH(TRIM(SUBSTITUTE($B3138,CHAR(160)," ")),'Catalog'!$C:$C,0)),""))))</f>
        <v>4408192</v>
      </c>
      <c r="H3138" s="8" t="str">
        <f aca="false">IFERROR(INDEX('TRANS'!$C:$C,MATCH($B3138,'TRANS'!$A:$A,0)),IFERROR(INDEX('Catalog'!$B:$B,MATCH($G3138,'Catalog'!$A:$A,0)),$B3138))</f>
        <v>078 L חגורת גב +סגירה</v>
      </c>
      <c r="I3138" s="8" t="str">
        <f aca="false">IF($G3138="","Unmatched","Matched")</f>
        <v>Matched</v>
      </c>
    </row>
    <row r="3139" customFormat="false" ht="15" hidden="false" customHeight="false" outlineLevel="0" collapsed="false">
      <c r="A3139" s="8" t="s">
        <v>1052</v>
      </c>
      <c r="B3139" s="8" t="s">
        <v>454</v>
      </c>
      <c r="C3139" s="19" t="n">
        <v>76</v>
      </c>
      <c r="D3139" s="19" t="n">
        <v>3931.49</v>
      </c>
      <c r="E3139" s="19" t="n">
        <v>46</v>
      </c>
      <c r="F3139" s="19" t="n">
        <v>2225.87</v>
      </c>
      <c r="G3139" s="8" t="n">
        <f aca="false">IFERROR(INDEX('TRANS'!$B:$B,MATCH($B3139,'TRANS'!$A:$A,0)),IFERROR(INDEX('TRANS'!$B:$B,MATCH(TRIM(SUBSTITUTE($B3139,CHAR(160)," ")),'TRANS'!$D:$D,0)),IFERROR(INDEX('Catalog'!$A:$A,MATCH($B3139,'Catalog'!$B:$B,0)),IFERROR(INDEX('Catalog'!$A:$A,MATCH(TRIM(SUBSTITUTE($B3139,CHAR(160)," ")),'Catalog'!$C:$C,0)),""))))</f>
        <v>4408190</v>
      </c>
      <c r="H3139" s="8" t="str">
        <f aca="false">IFERROR(INDEX('TRANS'!$C:$C,MATCH($B3139,'TRANS'!$A:$A,0)),IFERROR(INDEX('Catalog'!$B:$B,MATCH($G3139,'Catalog'!$A:$A,0)),$B3139))</f>
        <v>M078 חגורת גב +סגירה כפולה</v>
      </c>
      <c r="I3139" s="8" t="str">
        <f aca="false">IF($G3139="","Unmatched","Matched")</f>
        <v>Matched</v>
      </c>
    </row>
    <row r="3140" customFormat="false" ht="15" hidden="false" customHeight="false" outlineLevel="0" collapsed="false">
      <c r="A3140" s="8" t="s">
        <v>1052</v>
      </c>
      <c r="B3140" s="8" t="s">
        <v>455</v>
      </c>
      <c r="C3140" s="19" t="n">
        <v>21</v>
      </c>
      <c r="D3140" s="19" t="n">
        <v>1091.73</v>
      </c>
      <c r="E3140" s="19" t="n">
        <v>21</v>
      </c>
      <c r="F3140" s="19" t="n">
        <v>1020.85</v>
      </c>
      <c r="G3140" s="8" t="n">
        <f aca="false">IFERROR(INDEX('TRANS'!$B:$B,MATCH($B3140,'TRANS'!$A:$A,0)),IFERROR(INDEX('TRANS'!$B:$B,MATCH(TRIM(SUBSTITUTE($B3140,CHAR(160)," ")),'TRANS'!$D:$D,0)),IFERROR(INDEX('Catalog'!$A:$A,MATCH($B3140,'Catalog'!$B:$B,0)),IFERROR(INDEX('Catalog'!$A:$A,MATCH(TRIM(SUBSTITUTE($B3140,CHAR(160)," ")),'Catalog'!$C:$C,0)),""))))</f>
        <v>4408217</v>
      </c>
      <c r="H3140" s="8" t="str">
        <f aca="false">IFERROR(INDEX('TRANS'!$C:$C,MATCH($B3140,'TRANS'!$A:$A,0)),IFERROR(INDEX('Catalog'!$B:$B,MATCH($G3140,'Catalog'!$A:$A,0)),$B3140))</f>
        <v>S078 חגורת גב +סגירה כפולה</v>
      </c>
      <c r="I3140" s="8" t="str">
        <f aca="false">IF($G3140="","Unmatched","Matched")</f>
        <v>Matched</v>
      </c>
    </row>
    <row r="3141" customFormat="false" ht="15" hidden="false" customHeight="false" outlineLevel="0" collapsed="false">
      <c r="A3141" s="8" t="s">
        <v>1052</v>
      </c>
      <c r="B3141" s="8" t="s">
        <v>61</v>
      </c>
      <c r="C3141" s="19" t="n">
        <v>170</v>
      </c>
      <c r="D3141" s="19" t="n">
        <v>8877.12</v>
      </c>
      <c r="E3141" s="19" t="n">
        <v>95</v>
      </c>
      <c r="F3141" s="19" t="n">
        <v>4491.57</v>
      </c>
      <c r="G3141" s="8" t="n">
        <f aca="false">IFERROR(INDEX('TRANS'!$B:$B,MATCH($B3141,'TRANS'!$A:$A,0)),IFERROR(INDEX('TRANS'!$B:$B,MATCH(TRIM(SUBSTITUTE($B3141,CHAR(160)," ")),'TRANS'!$D:$D,0)),IFERROR(INDEX('Catalog'!$A:$A,MATCH($B3141,'Catalog'!$B:$B,0)),IFERROR(INDEX('Catalog'!$A:$A,MATCH(TRIM(SUBSTITUTE($B3141,CHAR(160)," ")),'Catalog'!$C:$C,0)),""))))</f>
        <v>4408218</v>
      </c>
      <c r="H3141" s="8" t="str">
        <f aca="false">IFERROR(INDEX('TRANS'!$C:$C,MATCH($B3141,'TRANS'!$A:$A,0)),IFERROR(INDEX('Catalog'!$B:$B,MATCH($G3141,'Catalog'!$A:$A,0)),$B3141))</f>
        <v>078XL חגורת גב +סגירה כפולה</v>
      </c>
      <c r="I3141" s="8" t="str">
        <f aca="false">IF($G3141="","Unmatched","Matched")</f>
        <v>Matched</v>
      </c>
    </row>
    <row r="3142" customFormat="false" ht="15" hidden="false" customHeight="false" outlineLevel="0" collapsed="false">
      <c r="A3142" s="8" t="s">
        <v>1052</v>
      </c>
      <c r="B3142" s="8" t="s">
        <v>456</v>
      </c>
      <c r="C3142" s="19" t="n">
        <v>135</v>
      </c>
      <c r="D3142" s="19" t="n">
        <v>7059.17</v>
      </c>
      <c r="E3142" s="19" t="n">
        <v>50</v>
      </c>
      <c r="F3142" s="19" t="n">
        <v>2377.24</v>
      </c>
      <c r="G3142" s="8" t="n">
        <f aca="false">IFERROR(INDEX('TRANS'!$B:$B,MATCH($B3142,'TRANS'!$A:$A,0)),IFERROR(INDEX('TRANS'!$B:$B,MATCH(TRIM(SUBSTITUTE($B3142,CHAR(160)," ")),'TRANS'!$D:$D,0)),IFERROR(INDEX('Catalog'!$A:$A,MATCH($B3142,'Catalog'!$B:$B,0)),IFERROR(INDEX('Catalog'!$A:$A,MATCH(TRIM(SUBSTITUTE($B3142,CHAR(160)," ")),'Catalog'!$C:$C,0)),""))))</f>
        <v>4408265</v>
      </c>
      <c r="H3142" s="8" t="str">
        <f aca="false">IFERROR(INDEX('TRANS'!$C:$C,MATCH($B3142,'TRANS'!$A:$A,0)),IFERROR(INDEX('Catalog'!$B:$B,MATCH($G3142,'Catalog'!$A:$A,0)),$B3142))</f>
        <v>078XXL חגורת גב +סגירה כפולה</v>
      </c>
      <c r="I3142" s="8" t="str">
        <f aca="false">IF($G3142="","Unmatched","Matched")</f>
        <v>Matched</v>
      </c>
    </row>
    <row r="3143" customFormat="false" ht="15" hidden="false" customHeight="false" outlineLevel="0" collapsed="false">
      <c r="A3143" s="8" t="s">
        <v>1052</v>
      </c>
      <c r="B3143" s="8" t="s">
        <v>267</v>
      </c>
      <c r="C3143" s="19" t="n">
        <v>750</v>
      </c>
      <c r="D3143" s="19" t="n">
        <v>29252.74</v>
      </c>
      <c r="E3143" s="19" t="n">
        <v>640</v>
      </c>
      <c r="F3143" s="19" t="n">
        <v>22807.96</v>
      </c>
      <c r="G3143" s="8" t="n">
        <f aca="false">IFERROR(INDEX('TRANS'!$B:$B,MATCH($B3143,'TRANS'!$A:$A,0)),IFERROR(INDEX('TRANS'!$B:$B,MATCH(TRIM(SUBSTITUTE($B3143,CHAR(160)," ")),'TRANS'!$D:$D,0)),IFERROR(INDEX('Catalog'!$A:$A,MATCH($B3143,'Catalog'!$B:$B,0)),IFERROR(INDEX('Catalog'!$A:$A,MATCH(TRIM(SUBSTITUTE($B3143,CHAR(160)," ")),'Catalog'!$C:$C,0)),""))))</f>
        <v>4408205</v>
      </c>
      <c r="H3143" s="8" t="str">
        <f aca="false">IFERROR(INDEX('TRANS'!$C:$C,MATCH($B3143,'TRANS'!$A:$A,0)),IFERROR(INDEX('Catalog'!$B:$B,MATCH($G3143,'Catalog'!$A:$A,0)),$B3143))</f>
        <v>AC-07 חגורת גב עם תמיכות</v>
      </c>
      <c r="I3143" s="8" t="str">
        <f aca="false">IF($G3143="","Unmatched","Matched")</f>
        <v>Matched</v>
      </c>
    </row>
    <row r="3144" customFormat="false" ht="15" hidden="false" customHeight="false" outlineLevel="0" collapsed="false">
      <c r="A3144" s="8" t="s">
        <v>1052</v>
      </c>
      <c r="B3144" s="8" t="s">
        <v>68</v>
      </c>
      <c r="C3144" s="19" t="n">
        <v>5</v>
      </c>
      <c r="D3144" s="19" t="n">
        <v>329.27</v>
      </c>
      <c r="E3144" s="19" t="n">
        <v>0</v>
      </c>
      <c r="F3144" s="19" t="n">
        <v>0</v>
      </c>
      <c r="G3144" s="8" t="n">
        <f aca="false">IFERROR(INDEX('TRANS'!$B:$B,MATCH($B3144,'TRANS'!$A:$A,0)),IFERROR(INDEX('TRANS'!$B:$B,MATCH(TRIM(SUBSTITUTE($B3144,CHAR(160)," ")),'TRANS'!$D:$D,0)),IFERROR(INDEX('Catalog'!$A:$A,MATCH($B3144,'Catalog'!$B:$B,0)),IFERROR(INDEX('Catalog'!$A:$A,MATCH(TRIM(SUBSTITUTE($B3144,CHAR(160)," ")),'Catalog'!$C:$C,0)),""))))</f>
        <v>4408027</v>
      </c>
      <c r="H3144" s="8" t="str">
        <f aca="false">IFERROR(INDEX('TRANS'!$C:$C,MATCH($B3144,'TRANS'!$A:$A,0)),IFERROR(INDEX('Catalog'!$B:$B,MATCH($G3144,'Catalog'!$A:$A,0)),$B3144))</f>
        <v>10 L """"חגורת גב """"לומבו</v>
      </c>
      <c r="I3144" s="8" t="str">
        <f aca="false">IF($G3144="","Unmatched","Matched")</f>
        <v>Matched</v>
      </c>
    </row>
    <row r="3145" customFormat="false" ht="15" hidden="false" customHeight="false" outlineLevel="0" collapsed="false">
      <c r="A3145" s="8" t="s">
        <v>1052</v>
      </c>
      <c r="B3145" s="8" t="s">
        <v>925</v>
      </c>
      <c r="C3145" s="19" t="n">
        <v>2</v>
      </c>
      <c r="D3145" s="19" t="n">
        <v>131.71</v>
      </c>
      <c r="E3145" s="19" t="n">
        <v>0</v>
      </c>
      <c r="F3145" s="19" t="n">
        <v>0</v>
      </c>
      <c r="G3145" s="8" t="str">
        <f aca="false">IFERROR(INDEX('TRANS'!$B:$B,MATCH($B3145,'TRANS'!$A:$A,0)),IFERROR(INDEX('TRANS'!$B:$B,MATCH(TRIM(SUBSTITUTE($B3145,CHAR(160)," ")),'TRANS'!$D:$D,0)),IFERROR(INDEX('Catalog'!$A:$A,MATCH($B3145,'Catalog'!$B:$B,0)),IFERROR(INDEX('Catalog'!$A:$A,MATCH(TRIM(SUBSTITUTE($B3145,CHAR(160)," ")),'Catalog'!$C:$C,0)),""))))</f>
        <v/>
      </c>
      <c r="H3145" s="8" t="str">
        <f aca="false">IFERROR(INDEX('TRANS'!$C:$C,MATCH($B3145,'TRANS'!$A:$A,0)),IFERROR(INDEX('Catalog'!$B:$B,MATCH($G3145,'Catalog'!$A:$A,0)),$B3145))</f>
        <v>10 S</v>
      </c>
      <c r="I3145" s="8" t="str">
        <f aca="false">IF($G3145="","Unmatched","Matched")</f>
        <v>Unmatched</v>
      </c>
    </row>
    <row r="3146" customFormat="false" ht="15" hidden="false" customHeight="false" outlineLevel="0" collapsed="false">
      <c r="A3146" s="8" t="s">
        <v>1052</v>
      </c>
      <c r="B3146" s="8" t="s">
        <v>457</v>
      </c>
      <c r="C3146" s="19" t="n">
        <v>2</v>
      </c>
      <c r="D3146" s="19" t="n">
        <v>131.71</v>
      </c>
      <c r="E3146" s="19" t="n">
        <v>0</v>
      </c>
      <c r="F3146" s="19" t="n">
        <v>0</v>
      </c>
      <c r="G3146" s="8" t="str">
        <f aca="false">IFERROR(INDEX('TRANS'!$B:$B,MATCH($B3146,'TRANS'!$A:$A,0)),IFERROR(INDEX('TRANS'!$B:$B,MATCH(TRIM(SUBSTITUTE($B3146,CHAR(160)," ")),'TRANS'!$D:$D,0)),IFERROR(INDEX('Catalog'!$A:$A,MATCH($B3146,'Catalog'!$B:$B,0)),IFERROR(INDEX('Catalog'!$A:$A,MATCH(TRIM(SUBSTITUTE($B3146,CHAR(160)," ")),'Catalog'!$C:$C,0)),""))))</f>
        <v/>
      </c>
      <c r="H3146" s="8" t="str">
        <f aca="false">IFERROR(INDEX('TRANS'!$C:$C,MATCH($B3146,'TRANS'!$A:$A,0)),IFERROR(INDEX('Catalog'!$B:$B,MATCH($G3146,'Catalog'!$A:$A,0)),$B3146))</f>
        <v>10 XXL</v>
      </c>
      <c r="I3146" s="8" t="str">
        <f aca="false">IF($G3146="","Unmatched","Matched")</f>
        <v>Unmatched</v>
      </c>
    </row>
    <row r="3147" customFormat="false" ht="15" hidden="false" customHeight="false" outlineLevel="0" collapsed="false">
      <c r="A3147" s="8" t="s">
        <v>1052</v>
      </c>
      <c r="B3147" s="8" t="s">
        <v>72</v>
      </c>
      <c r="C3147" s="19" t="n">
        <v>40</v>
      </c>
      <c r="D3147" s="19" t="n">
        <v>1764.75</v>
      </c>
      <c r="E3147" s="19" t="n">
        <v>0</v>
      </c>
      <c r="F3147" s="19" t="n">
        <v>0</v>
      </c>
      <c r="G3147" s="8" t="n">
        <f aca="false">IFERROR(INDEX('TRANS'!$B:$B,MATCH($B3147,'TRANS'!$A:$A,0)),IFERROR(INDEX('TRANS'!$B:$B,MATCH(TRIM(SUBSTITUTE($B3147,CHAR(160)," ")),'TRANS'!$D:$D,0)),IFERROR(INDEX('Catalog'!$A:$A,MATCH($B3147,'Catalog'!$B:$B,0)),IFERROR(INDEX('Catalog'!$A:$A,MATCH(TRIM(SUBSTITUTE($B3147,CHAR(160)," ")),'Catalog'!$C:$C,0)),""))))</f>
        <v>4408115</v>
      </c>
      <c r="H3147" s="8" t="str">
        <f aca="false">IFERROR(INDEX('TRANS'!$C:$C,MATCH($B3147,'TRANS'!$A:$A,0)),IFERROR(INDEX('Catalog'!$B:$B,MATCH($G3147,'Catalog'!$A:$A,0)),$B3147))</f>
        <v>11EU L ח.בטן לאחר ניתוח</v>
      </c>
      <c r="I3147" s="8" t="str">
        <f aca="false">IF($G3147="","Unmatched","Matched")</f>
        <v>Matched</v>
      </c>
    </row>
    <row r="3148" customFormat="false" ht="15" hidden="false" customHeight="false" outlineLevel="0" collapsed="false">
      <c r="A3148" s="8" t="s">
        <v>1052</v>
      </c>
      <c r="B3148" s="8" t="s">
        <v>73</v>
      </c>
      <c r="C3148" s="19" t="n">
        <v>26</v>
      </c>
      <c r="D3148" s="19" t="n">
        <v>1145.86</v>
      </c>
      <c r="E3148" s="19" t="n">
        <v>18</v>
      </c>
      <c r="F3148" s="19" t="n">
        <v>705.43</v>
      </c>
      <c r="G3148" s="8" t="n">
        <f aca="false">IFERROR(INDEX('TRANS'!$B:$B,MATCH($B3148,'TRANS'!$A:$A,0)),IFERROR(INDEX('TRANS'!$B:$B,MATCH(TRIM(SUBSTITUTE($B3148,CHAR(160)," ")),'TRANS'!$D:$D,0)),IFERROR(INDEX('Catalog'!$A:$A,MATCH($B3148,'Catalog'!$B:$B,0)),IFERROR(INDEX('Catalog'!$A:$A,MATCH(TRIM(SUBSTITUTE($B3148,CHAR(160)," ")),'Catalog'!$C:$C,0)),""))))</f>
        <v>4408114</v>
      </c>
      <c r="H3148" s="8" t="str">
        <f aca="false">IFERROR(INDEX('TRANS'!$C:$C,MATCH($B3148,'TRANS'!$A:$A,0)),IFERROR(INDEX('Catalog'!$B:$B,MATCH($G3148,'Catalog'!$A:$A,0)),$B3148))</f>
        <v>11EU M ח.בטן לאחר ניתוח</v>
      </c>
      <c r="I3148" s="8" t="str">
        <f aca="false">IF($G3148="","Unmatched","Matched")</f>
        <v>Matched</v>
      </c>
    </row>
    <row r="3149" customFormat="false" ht="15" hidden="false" customHeight="false" outlineLevel="0" collapsed="false">
      <c r="A3149" s="8" t="s">
        <v>1052</v>
      </c>
      <c r="B3149" s="8" t="s">
        <v>74</v>
      </c>
      <c r="C3149" s="19" t="n">
        <v>12</v>
      </c>
      <c r="D3149" s="19" t="n">
        <v>524.8</v>
      </c>
      <c r="E3149" s="19" t="n">
        <v>6</v>
      </c>
      <c r="F3149" s="19" t="n">
        <v>238.5</v>
      </c>
      <c r="G3149" s="8" t="str">
        <f aca="false">IFERROR(INDEX('TRANS'!$B:$B,MATCH($B3149,'TRANS'!$A:$A,0)),IFERROR(INDEX('TRANS'!$B:$B,MATCH(TRIM(SUBSTITUTE($B3149,CHAR(160)," ")),'TRANS'!$D:$D,0)),IFERROR(INDEX('Catalog'!$A:$A,MATCH($B3149,'Catalog'!$B:$B,0)),IFERROR(INDEX('Catalog'!$A:$A,MATCH(TRIM(SUBSTITUTE($B3149,CHAR(160)," ")),'Catalog'!$C:$C,0)),""))))</f>
        <v/>
      </c>
      <c r="H3149" s="8" t="str">
        <f aca="false">IFERROR(INDEX('TRANS'!$C:$C,MATCH($B3149,'TRANS'!$A:$A,0)),IFERROR(INDEX('Catalog'!$B:$B,MATCH($G3149,'Catalog'!$A:$A,0)),$B3149))</f>
        <v>11EU S</v>
      </c>
      <c r="I3149" s="8" t="str">
        <f aca="false">IF($G3149="","Unmatched","Matched")</f>
        <v>Unmatched</v>
      </c>
    </row>
    <row r="3150" customFormat="false" ht="15" hidden="false" customHeight="false" outlineLevel="0" collapsed="false">
      <c r="A3150" s="8" t="s">
        <v>1052</v>
      </c>
      <c r="B3150" s="8" t="s">
        <v>341</v>
      </c>
      <c r="C3150" s="19" t="n">
        <v>40</v>
      </c>
      <c r="D3150" s="19" t="n">
        <v>1764.75</v>
      </c>
      <c r="E3150" s="19" t="n">
        <v>5</v>
      </c>
      <c r="F3150" s="19" t="n">
        <v>198.75</v>
      </c>
      <c r="G3150" s="8" t="n">
        <f aca="false">IFERROR(INDEX('TRANS'!$B:$B,MATCH($B3150,'TRANS'!$A:$A,0)),IFERROR(INDEX('TRANS'!$B:$B,MATCH(TRIM(SUBSTITUTE($B3150,CHAR(160)," ")),'TRANS'!$D:$D,0)),IFERROR(INDEX('Catalog'!$A:$A,MATCH($B3150,'Catalog'!$B:$B,0)),IFERROR(INDEX('Catalog'!$A:$A,MATCH(TRIM(SUBSTITUTE($B3150,CHAR(160)," ")),'Catalog'!$C:$C,0)),""))))</f>
        <v>4408116</v>
      </c>
      <c r="H3150" s="8" t="str">
        <f aca="false">IFERROR(INDEX('TRANS'!$C:$C,MATCH($B3150,'TRANS'!$A:$A,0)),IFERROR(INDEX('Catalog'!$B:$B,MATCH($G3150,'Catalog'!$A:$A,0)),$B3150))</f>
        <v>11EU XLח.בטן לאחר ניתוח</v>
      </c>
      <c r="I3150" s="8" t="str">
        <f aca="false">IF($G3150="","Unmatched","Matched")</f>
        <v>Matched</v>
      </c>
    </row>
    <row r="3151" customFormat="false" ht="15" hidden="false" customHeight="false" outlineLevel="0" collapsed="false">
      <c r="A3151" s="8" t="s">
        <v>1052</v>
      </c>
      <c r="B3151" s="8" t="s">
        <v>459</v>
      </c>
      <c r="C3151" s="19" t="n">
        <v>26</v>
      </c>
      <c r="D3151" s="19" t="n">
        <v>1145.86</v>
      </c>
      <c r="E3151" s="19" t="n">
        <v>5</v>
      </c>
      <c r="F3151" s="19" t="n">
        <v>198.75</v>
      </c>
      <c r="G3151" s="8" t="n">
        <f aca="false">IFERROR(INDEX('TRANS'!$B:$B,MATCH($B3151,'TRANS'!$A:$A,0)),IFERROR(INDEX('TRANS'!$B:$B,MATCH(TRIM(SUBSTITUTE($B3151,CHAR(160)," ")),'TRANS'!$D:$D,0)),IFERROR(INDEX('Catalog'!$A:$A,MATCH($B3151,'Catalog'!$B:$B,0)),IFERROR(INDEX('Catalog'!$A:$A,MATCH(TRIM(SUBSTITUTE($B3151,CHAR(160)," ")),'Catalog'!$C:$C,0)),""))))</f>
        <v>4408132</v>
      </c>
      <c r="H3151" s="8" t="str">
        <f aca="false">IFERROR(INDEX('TRANS'!$C:$C,MATCH($B3151,'TRANS'!$A:$A,0)),IFERROR(INDEX('Catalog'!$B:$B,MATCH($G3151,'Catalog'!$A:$A,0)),$B3151))</f>
        <v>11EU XXL חגורת בטןלאחר ניתוח</v>
      </c>
      <c r="I3151" s="8" t="str">
        <f aca="false">IF($G3151="","Unmatched","Matched")</f>
        <v>Matched</v>
      </c>
    </row>
    <row r="3152" customFormat="false" ht="15" hidden="false" customHeight="false" outlineLevel="0" collapsed="false">
      <c r="A3152" s="8" t="s">
        <v>1052</v>
      </c>
      <c r="B3152" s="8" t="s">
        <v>686</v>
      </c>
      <c r="C3152" s="19" t="n">
        <v>60</v>
      </c>
      <c r="D3152" s="19" t="n">
        <v>925.58</v>
      </c>
      <c r="E3152" s="19" t="n">
        <v>80</v>
      </c>
      <c r="F3152" s="19" t="n">
        <v>1088.06</v>
      </c>
      <c r="G3152" s="8" t="n">
        <f aca="false">IFERROR(INDEX('TRANS'!$B:$B,MATCH($B3152,'TRANS'!$A:$A,0)),IFERROR(INDEX('TRANS'!$B:$B,MATCH(TRIM(SUBSTITUTE($B3152,CHAR(160)," ")),'TRANS'!$D:$D,0)),IFERROR(INDEX('Catalog'!$A:$A,MATCH($B3152,'Catalog'!$B:$B,0)),IFERROR(INDEX('Catalog'!$A:$A,MATCH(TRIM(SUBSTITUTE($B3152,CHAR(160)," ")),'Catalog'!$C:$C,0)),""))))</f>
        <v>4408046</v>
      </c>
      <c r="H3152" s="8" t="str">
        <f aca="false">IFERROR(INDEX('TRANS'!$C:$C,MATCH($B3152,'TRANS'!$A:$A,0)),IFERROR(INDEX('Catalog'!$B:$B,MATCH($G3152,'Catalog'!$A:$A,0)),$B3152))</f>
        <v>20 L חבק יד מתכוון עם צמדן</v>
      </c>
      <c r="I3152" s="8" t="str">
        <f aca="false">IF($G3152="","Unmatched","Matched")</f>
        <v>Matched</v>
      </c>
    </row>
    <row r="3153" customFormat="false" ht="15" hidden="false" customHeight="false" outlineLevel="0" collapsed="false">
      <c r="A3153" s="8" t="s">
        <v>1052</v>
      </c>
      <c r="B3153" s="8" t="s">
        <v>621</v>
      </c>
      <c r="C3153" s="19" t="n">
        <v>70</v>
      </c>
      <c r="D3153" s="19" t="n">
        <v>1087.06</v>
      </c>
      <c r="E3153" s="19" t="n">
        <v>110</v>
      </c>
      <c r="F3153" s="19" t="n">
        <v>1512.81</v>
      </c>
      <c r="G3153" s="8" t="n">
        <f aca="false">IFERROR(INDEX('TRANS'!$B:$B,MATCH($B3153,'TRANS'!$A:$A,0)),IFERROR(INDEX('TRANS'!$B:$B,MATCH(TRIM(SUBSTITUTE($B3153,CHAR(160)," ")),'TRANS'!$D:$D,0)),IFERROR(INDEX('Catalog'!$A:$A,MATCH($B3153,'Catalog'!$B:$B,0)),IFERROR(INDEX('Catalog'!$A:$A,MATCH(TRIM(SUBSTITUTE($B3153,CHAR(160)," ")),'Catalog'!$C:$C,0)),""))))</f>
        <v>4408047</v>
      </c>
      <c r="H3153" s="8" t="str">
        <f aca="false">IFERROR(INDEX('TRANS'!$C:$C,MATCH($B3153,'TRANS'!$A:$A,0)),IFERROR(INDEX('Catalog'!$B:$B,MATCH($G3153,'Catalog'!$A:$A,0)),$B3153))</f>
        <v>20 M חבק יד מתכוון עם צמדן</v>
      </c>
      <c r="I3153" s="8" t="str">
        <f aca="false">IF($G3153="","Unmatched","Matched")</f>
        <v>Matched</v>
      </c>
    </row>
    <row r="3154" customFormat="false" ht="15" hidden="false" customHeight="false" outlineLevel="0" collapsed="false">
      <c r="A3154" s="8" t="s">
        <v>1052</v>
      </c>
      <c r="B3154" s="8" t="s">
        <v>622</v>
      </c>
      <c r="C3154" s="19" t="n">
        <v>36</v>
      </c>
      <c r="D3154" s="19" t="n">
        <v>569.47</v>
      </c>
      <c r="E3154" s="19" t="n">
        <v>72</v>
      </c>
      <c r="F3154" s="19" t="n">
        <v>987.74</v>
      </c>
      <c r="G3154" s="8" t="n">
        <f aca="false">IFERROR(INDEX('TRANS'!$B:$B,MATCH($B3154,'TRANS'!$A:$A,0)),IFERROR(INDEX('TRANS'!$B:$B,MATCH(TRIM(SUBSTITUTE($B3154,CHAR(160)," ")),'TRANS'!$D:$D,0)),IFERROR(INDEX('Catalog'!$A:$A,MATCH($B3154,'Catalog'!$B:$B,0)),IFERROR(INDEX('Catalog'!$A:$A,MATCH(TRIM(SUBSTITUTE($B3154,CHAR(160)," ")),'Catalog'!$C:$C,0)),""))))</f>
        <v>4408048</v>
      </c>
      <c r="H3154" s="8" t="str">
        <f aca="false">IFERROR(INDEX('TRANS'!$C:$C,MATCH($B3154,'TRANS'!$A:$A,0)),IFERROR(INDEX('Catalog'!$B:$B,MATCH($G3154,'Catalog'!$A:$A,0)),$B3154))</f>
        <v>20 S חבק יד מתכוון עם צמדן</v>
      </c>
      <c r="I3154" s="8" t="str">
        <f aca="false">IF($G3154="","Unmatched","Matched")</f>
        <v>Matched</v>
      </c>
    </row>
    <row r="3155" customFormat="false" ht="15" hidden="false" customHeight="false" outlineLevel="0" collapsed="false">
      <c r="A3155" s="8" t="s">
        <v>1052</v>
      </c>
      <c r="B3155" s="8" t="s">
        <v>562</v>
      </c>
      <c r="C3155" s="19" t="n">
        <v>20</v>
      </c>
      <c r="D3155" s="19" t="n">
        <v>302.18</v>
      </c>
      <c r="E3155" s="19" t="n">
        <v>6</v>
      </c>
      <c r="F3155" s="19" t="n">
        <v>86.56</v>
      </c>
      <c r="G3155" s="8" t="n">
        <f aca="false">IFERROR(INDEX('TRANS'!$B:$B,MATCH($B3155,'TRANS'!$A:$A,0)),IFERROR(INDEX('TRANS'!$B:$B,MATCH(TRIM(SUBSTITUTE($B3155,CHAR(160)," ")),'TRANS'!$D:$D,0)),IFERROR(INDEX('Catalog'!$A:$A,MATCH($B3155,'Catalog'!$B:$B,0)),IFERROR(INDEX('Catalog'!$A:$A,MATCH(TRIM(SUBSTITUTE($B3155,CHAR(160)," ")),'Catalog'!$C:$C,0)),""))))</f>
        <v>4408049</v>
      </c>
      <c r="H3155" s="8" t="str">
        <f aca="false">IFERROR(INDEX('TRANS'!$C:$C,MATCH($B3155,'TRANS'!$A:$A,0)),IFERROR(INDEX('Catalog'!$B:$B,MATCH($G3155,'Catalog'!$A:$A,0)),$B3155))</f>
        <v>20 XL חבק יד מתכוון עם צמדן</v>
      </c>
      <c r="I3155" s="8" t="str">
        <f aca="false">IF($G3155="","Unmatched","Matched")</f>
        <v>Matched</v>
      </c>
    </row>
    <row r="3156" customFormat="false" ht="15" hidden="false" customHeight="false" outlineLevel="0" collapsed="false">
      <c r="A3156" s="8" t="s">
        <v>1052</v>
      </c>
      <c r="B3156" s="8" t="s">
        <v>463</v>
      </c>
      <c r="C3156" s="19" t="n">
        <v>0</v>
      </c>
      <c r="D3156" s="19" t="n">
        <v>0</v>
      </c>
      <c r="E3156" s="19" t="n">
        <v>1</v>
      </c>
      <c r="F3156" s="19" t="n">
        <v>0.03</v>
      </c>
      <c r="G3156" s="8" t="n">
        <f aca="false">IFERROR(INDEX('TRANS'!$B:$B,MATCH($B3156,'TRANS'!$A:$A,0)),IFERROR(INDEX('TRANS'!$B:$B,MATCH(TRIM(SUBSTITUTE($B3156,CHAR(160)," ")),'TRANS'!$D:$D,0)),IFERROR(INDEX('Catalog'!$A:$A,MATCH($B3156,'Catalog'!$B:$B,0)),IFERROR(INDEX('Catalog'!$A:$A,MATCH(TRIM(SUBSTITUTE($B3156,CHAR(160)," ")),'Catalog'!$C:$C,0)),""))))</f>
        <v>4408275</v>
      </c>
      <c r="H3156" s="8" t="str">
        <f aca="false">IFERROR(INDEX('TRANS'!$C:$C,MATCH($B3156,'TRANS'!$A:$A,0)),IFERROR(INDEX('Catalog'!$B:$B,MATCH($G3156,'Catalog'!$A:$A,0)),$B3156))</f>
        <v>202  ONE SIZE חבק יד</v>
      </c>
      <c r="I3156" s="8" t="str">
        <f aca="false">IF($G3156="","Unmatched","Matched")</f>
        <v>Matched</v>
      </c>
    </row>
    <row r="3157" customFormat="false" ht="15" hidden="false" customHeight="false" outlineLevel="0" collapsed="false">
      <c r="A3157" s="8" t="s">
        <v>1052</v>
      </c>
      <c r="B3157" s="8" t="s">
        <v>347</v>
      </c>
      <c r="C3157" s="19" t="n">
        <v>160</v>
      </c>
      <c r="D3157" s="19" t="n">
        <v>2583.89</v>
      </c>
      <c r="E3157" s="19" t="n">
        <v>150</v>
      </c>
      <c r="F3157" s="19" t="n">
        <v>2150.27</v>
      </c>
      <c r="G3157" s="8" t="n">
        <f aca="false">IFERROR(INDEX('TRANS'!$B:$B,MATCH($B3157,'TRANS'!$A:$A,0)),IFERROR(INDEX('TRANS'!$B:$B,MATCH(TRIM(SUBSTITUTE($B3157,CHAR(160)," ")),'TRANS'!$D:$D,0)),IFERROR(INDEX('Catalog'!$A:$A,MATCH($B3157,'Catalog'!$B:$B,0)),IFERROR(INDEX('Catalog'!$A:$A,MATCH(TRIM(SUBSTITUTE($B3157,CHAR(160)," ")),'Catalog'!$C:$C,0)),""))))</f>
        <v>4408052</v>
      </c>
      <c r="H3157" s="8" t="str">
        <f aca="false">IFERROR(INDEX('TRANS'!$C:$C,MATCH($B3157,'TRANS'!$A:$A,0)),IFERROR(INDEX('Catalog'!$B:$B,MATCH($G3157,'Catalog'!$A:$A,0)),$B3157))</f>
        <v>21 L  חבק יד ארוך</v>
      </c>
      <c r="I3157" s="8" t="str">
        <f aca="false">IF($G3157="","Unmatched","Matched")</f>
        <v>Matched</v>
      </c>
    </row>
    <row r="3158" customFormat="false" ht="15" hidden="false" customHeight="false" outlineLevel="0" collapsed="false">
      <c r="A3158" s="8" t="s">
        <v>1052</v>
      </c>
      <c r="B3158" s="8" t="s">
        <v>92</v>
      </c>
      <c r="C3158" s="19" t="n">
        <v>210</v>
      </c>
      <c r="D3158" s="19" t="n">
        <v>3379.54</v>
      </c>
      <c r="E3158" s="19" t="n">
        <v>240</v>
      </c>
      <c r="F3158" s="19" t="n">
        <v>3470.39</v>
      </c>
      <c r="G3158" s="8" t="n">
        <f aca="false">IFERROR(INDEX('TRANS'!$B:$B,MATCH($B3158,'TRANS'!$A:$A,0)),IFERROR(INDEX('TRANS'!$B:$B,MATCH(TRIM(SUBSTITUTE($B3158,CHAR(160)," ")),'TRANS'!$D:$D,0)),IFERROR(INDEX('Catalog'!$A:$A,MATCH($B3158,'Catalog'!$B:$B,0)),IFERROR(INDEX('Catalog'!$A:$A,MATCH(TRIM(SUBSTITUTE($B3158,CHAR(160)," ")),'Catalog'!$C:$C,0)),""))))</f>
        <v>4408053</v>
      </c>
      <c r="H3158" s="8" t="str">
        <f aca="false">IFERROR(INDEX('TRANS'!$C:$C,MATCH($B3158,'TRANS'!$A:$A,0)),IFERROR(INDEX('Catalog'!$B:$B,MATCH($G3158,'Catalog'!$A:$A,0)),$B3158))</f>
        <v>21 M  חבק יד ארוך</v>
      </c>
      <c r="I3158" s="8" t="str">
        <f aca="false">IF($G3158="","Unmatched","Matched")</f>
        <v>Matched</v>
      </c>
    </row>
    <row r="3159" customFormat="false" ht="15" hidden="false" customHeight="false" outlineLevel="0" collapsed="false">
      <c r="A3159" s="8" t="s">
        <v>1052</v>
      </c>
      <c r="B3159" s="8" t="s">
        <v>348</v>
      </c>
      <c r="C3159" s="19" t="n">
        <v>95</v>
      </c>
      <c r="D3159" s="19" t="n">
        <v>1530.75</v>
      </c>
      <c r="E3159" s="19" t="n">
        <v>100</v>
      </c>
      <c r="F3159" s="19" t="n">
        <v>1428.92</v>
      </c>
      <c r="G3159" s="8" t="n">
        <f aca="false">IFERROR(INDEX('TRANS'!$B:$B,MATCH($B3159,'TRANS'!$A:$A,0)),IFERROR(INDEX('TRANS'!$B:$B,MATCH(TRIM(SUBSTITUTE($B3159,CHAR(160)," ")),'TRANS'!$D:$D,0)),IFERROR(INDEX('Catalog'!$A:$A,MATCH($B3159,'Catalog'!$B:$B,0)),IFERROR(INDEX('Catalog'!$A:$A,MATCH(TRIM(SUBSTITUTE($B3159,CHAR(160)," ")),'Catalog'!$C:$C,0)),""))))</f>
        <v>4408051</v>
      </c>
      <c r="H3159" s="8" t="str">
        <f aca="false">IFERROR(INDEX('TRANS'!$C:$C,MATCH($B3159,'TRANS'!$A:$A,0)),IFERROR(INDEX('Catalog'!$B:$B,MATCH($G3159,'Catalog'!$A:$A,0)),$B3159))</f>
        <v>21 S  חבק יד ארוך</v>
      </c>
      <c r="I3159" s="8" t="str">
        <f aca="false">IF($G3159="","Unmatched","Matched")</f>
        <v>Matched</v>
      </c>
    </row>
    <row r="3160" customFormat="false" ht="15" hidden="false" customHeight="false" outlineLevel="0" collapsed="false">
      <c r="A3160" s="8" t="s">
        <v>1052</v>
      </c>
      <c r="B3160" s="8" t="s">
        <v>349</v>
      </c>
      <c r="C3160" s="19" t="n">
        <v>30</v>
      </c>
      <c r="D3160" s="19" t="n">
        <v>478.33</v>
      </c>
      <c r="E3160" s="19" t="n">
        <v>16</v>
      </c>
      <c r="F3160" s="19" t="n">
        <v>239.31</v>
      </c>
      <c r="G3160" s="8" t="n">
        <f aca="false">IFERROR(INDEX('TRANS'!$B:$B,MATCH($B3160,'TRANS'!$A:$A,0)),IFERROR(INDEX('TRANS'!$B:$B,MATCH(TRIM(SUBSTITUTE($B3160,CHAR(160)," ")),'TRANS'!$D:$D,0)),IFERROR(INDEX('Catalog'!$A:$A,MATCH($B3160,'Catalog'!$B:$B,0)),IFERROR(INDEX('Catalog'!$A:$A,MATCH(TRIM(SUBSTITUTE($B3160,CHAR(160)," ")),'Catalog'!$C:$C,0)),""))))</f>
        <v>4408054</v>
      </c>
      <c r="H3160" s="8" t="str">
        <f aca="false">IFERROR(INDEX('TRANS'!$C:$C,MATCH($B3160,'TRANS'!$A:$A,0)),IFERROR(INDEX('Catalog'!$B:$B,MATCH($G3160,'Catalog'!$A:$A,0)),$B3160))</f>
        <v>21 XL חבק יד ארוך</v>
      </c>
      <c r="I3160" s="8" t="str">
        <f aca="false">IF($G3160="","Unmatched","Matched")</f>
        <v>Matched</v>
      </c>
    </row>
    <row r="3161" customFormat="false" ht="15" hidden="false" customHeight="false" outlineLevel="0" collapsed="false">
      <c r="A3161" s="8" t="s">
        <v>1052</v>
      </c>
      <c r="B3161" s="8" t="s">
        <v>466</v>
      </c>
      <c r="C3161" s="19" t="n">
        <v>0</v>
      </c>
      <c r="D3161" s="19" t="n">
        <v>0</v>
      </c>
      <c r="E3161" s="19" t="n">
        <v>1</v>
      </c>
      <c r="F3161" s="19" t="n">
        <v>0.03</v>
      </c>
      <c r="G3161" s="8" t="n">
        <f aca="false">IFERROR(INDEX('TRANS'!$B:$B,MATCH($B3161,'TRANS'!$A:$A,0)),IFERROR(INDEX('TRANS'!$B:$B,MATCH(TRIM(SUBSTITUTE($B3161,CHAR(160)," ")),'TRANS'!$D:$D,0)),IFERROR(INDEX('Catalog'!$A:$A,MATCH($B3161,'Catalog'!$B:$B,0)),IFERROR(INDEX('Catalog'!$A:$A,MATCH(TRIM(SUBSTITUTE($B3161,CHAR(160)," ")),'Catalog'!$C:$C,0)),""))))</f>
        <v>4411027</v>
      </c>
      <c r="H3161" s="8" t="str">
        <f aca="false">IFERROR(INDEX('TRANS'!$C:$C,MATCH($B3161,'TRANS'!$A:$A,0)),IFERROR(INDEX('Catalog'!$B:$B,MATCH($G3161,'Catalog'!$A:$A,0)),$B3161))</f>
        <v>213CTSL M שמאל CTS כפפות</v>
      </c>
      <c r="I3161" s="8" t="str">
        <f aca="false">IF($G3161="","Unmatched","Matched")</f>
        <v>Matched</v>
      </c>
    </row>
    <row r="3162" customFormat="false" ht="15" hidden="false" customHeight="false" outlineLevel="0" collapsed="false">
      <c r="A3162" s="8" t="s">
        <v>1052</v>
      </c>
      <c r="B3162" s="8" t="s">
        <v>469</v>
      </c>
      <c r="C3162" s="19" t="n">
        <v>0</v>
      </c>
      <c r="D3162" s="19" t="n">
        <v>0</v>
      </c>
      <c r="E3162" s="19" t="n">
        <v>1</v>
      </c>
      <c r="F3162" s="19" t="n">
        <v>0.03</v>
      </c>
      <c r="G3162" s="8" t="n">
        <f aca="false">IFERROR(INDEX('TRANS'!$B:$B,MATCH($B3162,'TRANS'!$A:$A,0)),IFERROR(INDEX('TRANS'!$B:$B,MATCH(TRIM(SUBSTITUTE($B3162,CHAR(160)," ")),'TRANS'!$D:$D,0)),IFERROR(INDEX('Catalog'!$A:$A,MATCH($B3162,'Catalog'!$B:$B,0)),IFERROR(INDEX('Catalog'!$A:$A,MATCH(TRIM(SUBSTITUTE($B3162,CHAR(160)," ")),'Catalog'!$C:$C,0)),""))))</f>
        <v>4411030</v>
      </c>
      <c r="H3162" s="8" t="str">
        <f aca="false">IFERROR(INDEX('TRANS'!$C:$C,MATCH($B3162,'TRANS'!$A:$A,0)),IFERROR(INDEX('Catalog'!$B:$B,MATCH($G3162,'Catalog'!$A:$A,0)),$B3162))</f>
        <v>213CTSR M ימין CTS כפפות</v>
      </c>
      <c r="I3162" s="8" t="str">
        <f aca="false">IF($G3162="","Unmatched","Matched")</f>
        <v>Matched</v>
      </c>
    </row>
    <row r="3163" customFormat="false" ht="15" hidden="false" customHeight="false" outlineLevel="0" collapsed="false">
      <c r="A3163" s="8" t="s">
        <v>1052</v>
      </c>
      <c r="B3163" s="8" t="s">
        <v>99</v>
      </c>
      <c r="C3163" s="19" t="n">
        <v>150</v>
      </c>
      <c r="D3163" s="19" t="n">
        <v>2045.29</v>
      </c>
      <c r="E3163" s="19" t="n">
        <v>75</v>
      </c>
      <c r="F3163" s="19" t="n">
        <v>923.02</v>
      </c>
      <c r="G3163" s="8" t="n">
        <f aca="false">IFERROR(INDEX('TRANS'!$B:$B,MATCH($B3163,'TRANS'!$A:$A,0)),IFERROR(INDEX('TRANS'!$B:$B,MATCH(TRIM(SUBSTITUTE($B3163,CHAR(160)," ")),'TRANS'!$D:$D,0)),IFERROR(INDEX('Catalog'!$A:$A,MATCH($B3163,'Catalog'!$B:$B,0)),IFERROR(INDEX('Catalog'!$A:$A,MATCH(TRIM(SUBSTITUTE($B3163,CHAR(160)," ")),'Catalog'!$C:$C,0)),""))))</f>
        <v>4415029</v>
      </c>
      <c r="H3163" s="8" t="str">
        <f aca="false">IFERROR(INDEX('TRANS'!$C:$C,MATCH($B3163,'TRANS'!$A:$A,0)),IFERROR(INDEX('Catalog'!$B:$B,MATCH($G3163,'Catalog'!$A:$A,0)),$B3163))</f>
        <v>סד קיבוע לאצבע הדק</v>
      </c>
      <c r="I3163" s="8" t="str">
        <f aca="false">IF($G3163="","Unmatched","Matched")</f>
        <v>Matched</v>
      </c>
    </row>
    <row r="3164" customFormat="false" ht="15" hidden="false" customHeight="false" outlineLevel="0" collapsed="false">
      <c r="A3164" s="8" t="s">
        <v>1052</v>
      </c>
      <c r="B3164" s="8" t="s">
        <v>100</v>
      </c>
      <c r="C3164" s="19" t="n">
        <v>440</v>
      </c>
      <c r="D3164" s="19" t="n">
        <v>3720.57</v>
      </c>
      <c r="E3164" s="19" t="n">
        <v>400</v>
      </c>
      <c r="F3164" s="19" t="n">
        <v>3036.38</v>
      </c>
      <c r="G3164" s="8" t="n">
        <f aca="false">IFERROR(INDEX('TRANS'!$B:$B,MATCH($B3164,'TRANS'!$A:$A,0)),IFERROR(INDEX('TRANS'!$B:$B,MATCH(TRIM(SUBSTITUTE($B3164,CHAR(160)," ")),'TRANS'!$D:$D,0)),IFERROR(INDEX('Catalog'!$A:$A,MATCH($B3164,'Catalog'!$B:$B,0)),IFERROR(INDEX('Catalog'!$A:$A,MATCH(TRIM(SUBSTITUTE($B3164,CHAR(160)," ")),'Catalog'!$C:$C,0)),""))))</f>
        <v>4415162</v>
      </c>
      <c r="H3164" s="8" t="str">
        <f aca="false">IFERROR(INDEX('TRANS'!$C:$C,MATCH($B3164,'TRANS'!$A:$A,0)),IFERROR(INDEX('Catalog'!$B:$B,MATCH($G3164,'Catalog'!$A:$A,0)),$B3164))</f>
        <v>238L סד ליישור אצבע</v>
      </c>
      <c r="I3164" s="8" t="str">
        <f aca="false">IF($G3164="","Unmatched","Matched")</f>
        <v>Matched</v>
      </c>
    </row>
    <row r="3165" customFormat="false" ht="15" hidden="false" customHeight="false" outlineLevel="0" collapsed="false">
      <c r="A3165" s="8" t="s">
        <v>1052</v>
      </c>
      <c r="B3165" s="8" t="s">
        <v>589</v>
      </c>
      <c r="C3165" s="19" t="n">
        <v>550</v>
      </c>
      <c r="D3165" s="19" t="n">
        <v>4642.59</v>
      </c>
      <c r="E3165" s="19" t="n">
        <v>430</v>
      </c>
      <c r="F3165" s="19" t="n">
        <v>3256.42</v>
      </c>
      <c r="G3165" s="8" t="n">
        <f aca="false">IFERROR(INDEX('TRANS'!$B:$B,MATCH($B3165,'TRANS'!$A:$A,0)),IFERROR(INDEX('TRANS'!$B:$B,MATCH(TRIM(SUBSTITUTE($B3165,CHAR(160)," ")),'TRANS'!$D:$D,0)),IFERROR(INDEX('Catalog'!$A:$A,MATCH($B3165,'Catalog'!$B:$B,0)),IFERROR(INDEX('Catalog'!$A:$A,MATCH(TRIM(SUBSTITUTE($B3165,CHAR(160)," ")),'Catalog'!$C:$C,0)),""))))</f>
        <v>4415161</v>
      </c>
      <c r="H3165" s="8" t="str">
        <f aca="false">IFERROR(INDEX('TRANS'!$C:$C,MATCH($B3165,'TRANS'!$A:$A,0)),IFERROR(INDEX('Catalog'!$B:$B,MATCH($G3165,'Catalog'!$A:$A,0)),$B3165))</f>
        <v>238M סד ליישור אצבע</v>
      </c>
      <c r="I3165" s="8" t="str">
        <f aca="false">IF($G3165="","Unmatched","Matched")</f>
        <v>Matched</v>
      </c>
    </row>
    <row r="3166" customFormat="false" ht="15" hidden="false" customHeight="false" outlineLevel="0" collapsed="false">
      <c r="A3166" s="8" t="s">
        <v>1052</v>
      </c>
      <c r="B3166" s="8" t="s">
        <v>101</v>
      </c>
      <c r="C3166" s="19" t="n">
        <v>380</v>
      </c>
      <c r="D3166" s="19" t="n">
        <v>3214.37</v>
      </c>
      <c r="E3166" s="19" t="n">
        <v>260</v>
      </c>
      <c r="F3166" s="19" t="n">
        <v>1967.67</v>
      </c>
      <c r="G3166" s="8" t="n">
        <f aca="false">IFERROR(INDEX('TRANS'!$B:$B,MATCH($B3166,'TRANS'!$A:$A,0)),IFERROR(INDEX('TRANS'!$B:$B,MATCH(TRIM(SUBSTITUTE($B3166,CHAR(160)," ")),'TRANS'!$D:$D,0)),IFERROR(INDEX('Catalog'!$A:$A,MATCH($B3166,'Catalog'!$B:$B,0)),IFERROR(INDEX('Catalog'!$A:$A,MATCH(TRIM(SUBSTITUTE($B3166,CHAR(160)," ")),'Catalog'!$C:$C,0)),""))))</f>
        <v>4415160</v>
      </c>
      <c r="H3166" s="8" t="str">
        <f aca="false">IFERROR(INDEX('TRANS'!$C:$C,MATCH($B3166,'TRANS'!$A:$A,0)),IFERROR(INDEX('Catalog'!$B:$B,MATCH($G3166,'Catalog'!$A:$A,0)),$B3166))</f>
        <v>238S סד ליישור אצבע</v>
      </c>
      <c r="I3166" s="8" t="str">
        <f aca="false">IF($G3166="","Unmatched","Matched")</f>
        <v>Matched</v>
      </c>
    </row>
    <row r="3167" customFormat="false" ht="15" hidden="false" customHeight="false" outlineLevel="0" collapsed="false">
      <c r="A3167" s="8" t="s">
        <v>1052</v>
      </c>
      <c r="B3167" s="8" t="s">
        <v>590</v>
      </c>
      <c r="C3167" s="19" t="n">
        <v>135</v>
      </c>
      <c r="D3167" s="19" t="n">
        <v>1140.49</v>
      </c>
      <c r="E3167" s="19" t="n">
        <v>100</v>
      </c>
      <c r="F3167" s="19" t="n">
        <v>757.71</v>
      </c>
      <c r="G3167" s="8" t="n">
        <f aca="false">IFERROR(INDEX('TRANS'!$B:$B,MATCH($B3167,'TRANS'!$A:$A,0)),IFERROR(INDEX('TRANS'!$B:$B,MATCH(TRIM(SUBSTITUTE($B3167,CHAR(160)," ")),'TRANS'!$D:$D,0)),IFERROR(INDEX('Catalog'!$A:$A,MATCH($B3167,'Catalog'!$B:$B,0)),IFERROR(INDEX('Catalog'!$A:$A,MATCH(TRIM(SUBSTITUTE($B3167,CHAR(160)," ")),'Catalog'!$C:$C,0)),""))))</f>
        <v>4415163</v>
      </c>
      <c r="H3167" s="8" t="str">
        <f aca="false">IFERROR(INDEX('TRANS'!$C:$C,MATCH($B3167,'TRANS'!$A:$A,0)),IFERROR(INDEX('Catalog'!$B:$B,MATCH($G3167,'Catalog'!$A:$A,0)),$B3167))</f>
        <v>238XL סד ליישור אצבע</v>
      </c>
      <c r="I3167" s="8" t="str">
        <f aca="false">IF($G3167="","Unmatched","Matched")</f>
        <v>Matched</v>
      </c>
    </row>
    <row r="3168" customFormat="false" ht="15" hidden="false" customHeight="false" outlineLevel="0" collapsed="false">
      <c r="A3168" s="8" t="s">
        <v>1052</v>
      </c>
      <c r="B3168" s="8" t="s">
        <v>471</v>
      </c>
      <c r="C3168" s="19" t="n">
        <v>1</v>
      </c>
      <c r="D3168" s="19" t="n">
        <v>0.04</v>
      </c>
      <c r="E3168" s="19" t="n">
        <v>0</v>
      </c>
      <c r="F3168" s="19" t="n">
        <v>0</v>
      </c>
      <c r="G3168" s="8" t="str">
        <f aca="false">IFERROR(INDEX('TRANS'!$B:$B,MATCH($B3168,'TRANS'!$A:$A,0)),IFERROR(INDEX('TRANS'!$B:$B,MATCH(TRIM(SUBSTITUTE($B3168,CHAR(160)," ")),'TRANS'!$D:$D,0)),IFERROR(INDEX('Catalog'!$A:$A,MATCH($B3168,'Catalog'!$B:$B,0)),IFERROR(INDEX('Catalog'!$A:$A,MATCH(TRIM(SUBSTITUTE($B3168,CHAR(160)," ")),'Catalog'!$C:$C,0)),""))))</f>
        <v/>
      </c>
      <c r="H3168" s="8" t="str">
        <f aca="false">IFERROR(INDEX('TRANS'!$C:$C,MATCH($B3168,'TRANS'!$A:$A,0)),IFERROR(INDEX('Catalog'!$B:$B,MATCH($G3168,'Catalog'!$A:$A,0)),$B3168))</f>
        <v>239P-S-M</v>
      </c>
      <c r="I3168" s="8" t="str">
        <f aca="false">IF($G3168="","Unmatched","Matched")</f>
        <v>Unmatched</v>
      </c>
    </row>
    <row r="3169" customFormat="false" ht="15" hidden="false" customHeight="false" outlineLevel="0" collapsed="false">
      <c r="A3169" s="8" t="s">
        <v>1052</v>
      </c>
      <c r="B3169" s="8" t="s">
        <v>104</v>
      </c>
      <c r="C3169" s="19" t="n">
        <v>1</v>
      </c>
      <c r="D3169" s="19" t="n">
        <v>0.04</v>
      </c>
      <c r="E3169" s="19" t="n">
        <v>0</v>
      </c>
      <c r="F3169" s="19" t="n">
        <v>0</v>
      </c>
      <c r="G3169" s="8" t="n">
        <f aca="false">IFERROR(INDEX('TRANS'!$B:$B,MATCH($B3169,'TRANS'!$A:$A,0)),IFERROR(INDEX('TRANS'!$B:$B,MATCH(TRIM(SUBSTITUTE($B3169,CHAR(160)," ")),'TRANS'!$D:$D,0)),IFERROR(INDEX('Catalog'!$A:$A,MATCH($B3169,'Catalog'!$B:$B,0)),IFERROR(INDEX('Catalog'!$A:$A,MATCH(TRIM(SUBSTITUTE($B3169,CHAR(160)," ")),'Catalog'!$C:$C,0)),""))))</f>
        <v>4419014</v>
      </c>
      <c r="H3169" s="8" t="str">
        <f aca="false">IFERROR(INDEX('TRANS'!$C:$C,MATCH($B3169,'TRANS'!$A:$A,0)),IFERROR(INDEX('Catalog'!$B:$B,MATCH($G3169,'Catalog'!$A:$A,0)),$B3169))</f>
        <v>239TR L-XL STRAP4U</v>
      </c>
      <c r="I3169" s="8" t="str">
        <f aca="false">IF($G3169="","Unmatched","Matched")</f>
        <v>Matched</v>
      </c>
    </row>
    <row r="3170" customFormat="false" ht="15" hidden="false" customHeight="false" outlineLevel="0" collapsed="false">
      <c r="A3170" s="8" t="s">
        <v>1052</v>
      </c>
      <c r="B3170" s="8" t="s">
        <v>105</v>
      </c>
      <c r="C3170" s="19" t="n">
        <v>176</v>
      </c>
      <c r="D3170" s="19" t="n">
        <v>3255.37</v>
      </c>
      <c r="E3170" s="19" t="n">
        <v>145</v>
      </c>
      <c r="F3170" s="19" t="n">
        <v>2420.38</v>
      </c>
      <c r="G3170" s="8" t="n">
        <f aca="false">IFERROR(INDEX('TRANS'!$B:$B,MATCH($B3170,'TRANS'!$A:$A,0)),IFERROR(INDEX('TRANS'!$B:$B,MATCH(TRIM(SUBSTITUTE($B3170,CHAR(160)," ")),'TRANS'!$D:$D,0)),IFERROR(INDEX('Catalog'!$A:$A,MATCH($B3170,'Catalog'!$B:$B,0)),IFERROR(INDEX('Catalog'!$A:$A,MATCH(TRIM(SUBSTITUTE($B3170,CHAR(160)," ")),'Catalog'!$C:$C,0)),""))))</f>
        <v>4421005</v>
      </c>
      <c r="H3170" s="8" t="str">
        <f aca="false">IFERROR(INDEX('TRANS'!$C:$C,MATCH($B3170,'TRANS'!$A:$A,0)),IFERROR(INDEX('Catalog'!$B:$B,MATCH($G3170,'Catalog'!$A:$A,0)),$B3170))</f>
        <v>שרוול לגבס קצר יד</v>
      </c>
      <c r="I3170" s="8" t="str">
        <f aca="false">IF($G3170="","Unmatched","Matched")</f>
        <v>Matched</v>
      </c>
    </row>
    <row r="3171" customFormat="false" ht="15" hidden="false" customHeight="false" outlineLevel="0" collapsed="false">
      <c r="A3171" s="8" t="s">
        <v>1052</v>
      </c>
      <c r="B3171" s="8" t="s">
        <v>106</v>
      </c>
      <c r="C3171" s="19" t="n">
        <v>325</v>
      </c>
      <c r="D3171" s="19" t="n">
        <v>6622.52</v>
      </c>
      <c r="E3171" s="19" t="n">
        <v>220</v>
      </c>
      <c r="F3171" s="19" t="n">
        <v>4021.87</v>
      </c>
      <c r="G3171" s="8" t="n">
        <f aca="false">IFERROR(INDEX('TRANS'!$B:$B,MATCH($B3171,'TRANS'!$A:$A,0)),IFERROR(INDEX('TRANS'!$B:$B,MATCH(TRIM(SUBSTITUTE($B3171,CHAR(160)," ")),'TRANS'!$D:$D,0)),IFERROR(INDEX('Catalog'!$A:$A,MATCH($B3171,'Catalog'!$B:$B,0)),IFERROR(INDEX('Catalog'!$A:$A,MATCH(TRIM(SUBSTITUTE($B3171,CHAR(160)," ")),'Catalog'!$C:$C,0)),""))))</f>
        <v>4421006</v>
      </c>
      <c r="H3171" s="8" t="str">
        <f aca="false">IFERROR(INDEX('TRANS'!$C:$C,MATCH($B3171,'TRANS'!$A:$A,0)),IFERROR(INDEX('Catalog'!$B:$B,MATCH($G3171,'Catalog'!$A:$A,0)),$B3171))</f>
        <v>שרוול לגבס ארוך יד</v>
      </c>
      <c r="I3171" s="8" t="str">
        <f aca="false">IF($G3171="","Unmatched","Matched")</f>
        <v>Matched</v>
      </c>
    </row>
    <row r="3172" customFormat="false" ht="15" hidden="false" customHeight="false" outlineLevel="0" collapsed="false">
      <c r="A3172" s="8" t="s">
        <v>1052</v>
      </c>
      <c r="B3172" s="8" t="s">
        <v>635</v>
      </c>
      <c r="C3172" s="19" t="n">
        <v>78</v>
      </c>
      <c r="D3172" s="19" t="n">
        <v>3401.19</v>
      </c>
      <c r="E3172" s="19" t="n">
        <v>20</v>
      </c>
      <c r="F3172" s="19" t="n">
        <v>780.96</v>
      </c>
      <c r="G3172" s="8" t="n">
        <f aca="false">IFERROR(INDEX('TRANS'!$B:$B,MATCH($B3172,'TRANS'!$A:$A,0)),IFERROR(INDEX('TRANS'!$B:$B,MATCH(TRIM(SUBSTITUTE($B3172,CHAR(160)," ")),'TRANS'!$D:$D,0)),IFERROR(INDEX('Catalog'!$A:$A,MATCH($B3172,'Catalog'!$B:$B,0)),IFERROR(INDEX('Catalog'!$A:$A,MATCH(TRIM(SUBSTITUTE($B3172,CHAR(160)," ")),'Catalog'!$C:$C,0)),""))))</f>
        <v>4415000</v>
      </c>
      <c r="H3172" s="8" t="str">
        <f aca="false">IFERROR(INDEX('TRANS'!$C:$C,MATCH($B3172,'TRANS'!$A:$A,0)),IFERROR(INDEX('Catalog'!$B:$B,MATCH($G3172,'Catalog'!$A:$A,0)),$B3172))</f>
        <v>26 L סד ליד דו צדדי לאחר שבר</v>
      </c>
      <c r="I3172" s="8" t="str">
        <f aca="false">IF($G3172="","Unmatched","Matched")</f>
        <v>Matched</v>
      </c>
    </row>
    <row r="3173" customFormat="false" ht="15" hidden="false" customHeight="false" outlineLevel="0" collapsed="false">
      <c r="A3173" s="8" t="s">
        <v>1052</v>
      </c>
      <c r="B3173" s="8" t="s">
        <v>643</v>
      </c>
      <c r="C3173" s="19" t="n">
        <v>73</v>
      </c>
      <c r="D3173" s="19" t="n">
        <v>3190.5</v>
      </c>
      <c r="E3173" s="19" t="n">
        <v>35</v>
      </c>
      <c r="F3173" s="19" t="n">
        <v>1372.39</v>
      </c>
      <c r="G3173" s="8" t="n">
        <f aca="false">IFERROR(INDEX('TRANS'!$B:$B,MATCH($B3173,'TRANS'!$A:$A,0)),IFERROR(INDEX('TRANS'!$B:$B,MATCH(TRIM(SUBSTITUTE($B3173,CHAR(160)," ")),'TRANS'!$D:$D,0)),IFERROR(INDEX('Catalog'!$A:$A,MATCH($B3173,'Catalog'!$B:$B,0)),IFERROR(INDEX('Catalog'!$A:$A,MATCH(TRIM(SUBSTITUTE($B3173,CHAR(160)," ")),'Catalog'!$C:$C,0)),""))))</f>
        <v>4415001</v>
      </c>
      <c r="H3173" s="8" t="str">
        <f aca="false">IFERROR(INDEX('TRANS'!$C:$C,MATCH($B3173,'TRANS'!$A:$A,0)),IFERROR(INDEX('Catalog'!$B:$B,MATCH($G3173,'Catalog'!$A:$A,0)),$B3173))</f>
        <v>26 M סד ליד דו צדדי לאחר שבר</v>
      </c>
      <c r="I3173" s="8" t="str">
        <f aca="false">IF($G3173="","Unmatched","Matched")</f>
        <v>Matched</v>
      </c>
    </row>
    <row r="3174" customFormat="false" ht="15" hidden="false" customHeight="false" outlineLevel="0" collapsed="false">
      <c r="A3174" s="8" t="s">
        <v>1052</v>
      </c>
      <c r="B3174" s="8" t="s">
        <v>352</v>
      </c>
      <c r="C3174" s="19" t="n">
        <v>34</v>
      </c>
      <c r="D3174" s="19" t="n">
        <v>1463.36</v>
      </c>
      <c r="E3174" s="19" t="n">
        <v>16</v>
      </c>
      <c r="F3174" s="19" t="n">
        <v>636.28</v>
      </c>
      <c r="G3174" s="8" t="n">
        <f aca="false">IFERROR(INDEX('TRANS'!$B:$B,MATCH($B3174,'TRANS'!$A:$A,0)),IFERROR(INDEX('TRANS'!$B:$B,MATCH(TRIM(SUBSTITUTE($B3174,CHAR(160)," ")),'TRANS'!$D:$D,0)),IFERROR(INDEX('Catalog'!$A:$A,MATCH($B3174,'Catalog'!$B:$B,0)),IFERROR(INDEX('Catalog'!$A:$A,MATCH(TRIM(SUBSTITUTE($B3174,CHAR(160)," ")),'Catalog'!$C:$C,0)),""))))</f>
        <v>4415002</v>
      </c>
      <c r="H3174" s="8" t="str">
        <f aca="false">IFERROR(INDEX('TRANS'!$C:$C,MATCH($B3174,'TRANS'!$A:$A,0)),IFERROR(INDEX('Catalog'!$B:$B,MATCH($G3174,'Catalog'!$A:$A,0)),$B3174))</f>
        <v>26 S סד ליד דו צדדי לאחר שבר</v>
      </c>
      <c r="I3174" s="8" t="str">
        <f aca="false">IF($G3174="","Unmatched","Matched")</f>
        <v>Matched</v>
      </c>
    </row>
    <row r="3175" customFormat="false" ht="15" hidden="false" customHeight="false" outlineLevel="0" collapsed="false">
      <c r="A3175" s="8" t="s">
        <v>1052</v>
      </c>
      <c r="B3175" s="8" t="s">
        <v>636</v>
      </c>
      <c r="C3175" s="19" t="n">
        <v>21</v>
      </c>
      <c r="D3175" s="19" t="n">
        <v>932.1</v>
      </c>
      <c r="E3175" s="19" t="n">
        <v>6</v>
      </c>
      <c r="F3175" s="19" t="n">
        <v>236.57</v>
      </c>
      <c r="G3175" s="8" t="n">
        <f aca="false">IFERROR(INDEX('TRANS'!$B:$B,MATCH($B3175,'TRANS'!$A:$A,0)),IFERROR(INDEX('TRANS'!$B:$B,MATCH(TRIM(SUBSTITUTE($B3175,CHAR(160)," ")),'TRANS'!$D:$D,0)),IFERROR(INDEX('Catalog'!$A:$A,MATCH($B3175,'Catalog'!$B:$B,0)),IFERROR(INDEX('Catalog'!$A:$A,MATCH(TRIM(SUBSTITUTE($B3175,CHAR(160)," ")),'Catalog'!$C:$C,0)),""))))</f>
        <v>4415003</v>
      </c>
      <c r="H3175" s="8" t="str">
        <f aca="false">IFERROR(INDEX('TRANS'!$C:$C,MATCH($B3175,'TRANS'!$A:$A,0)),IFERROR(INDEX('Catalog'!$B:$B,MATCH($G3175,'Catalog'!$A:$A,0)),$B3175))</f>
        <v>26 XL סד ליד דו צדדי לאחר שבר</v>
      </c>
      <c r="I3175" s="8" t="str">
        <f aca="false">IF($G3175="","Unmatched","Matched")</f>
        <v>Matched</v>
      </c>
    </row>
    <row r="3176" customFormat="false" ht="15" hidden="false" customHeight="false" outlineLevel="0" collapsed="false">
      <c r="A3176" s="8" t="s">
        <v>1052</v>
      </c>
      <c r="B3176" s="8" t="s">
        <v>108</v>
      </c>
      <c r="C3176" s="19" t="n">
        <v>630</v>
      </c>
      <c r="D3176" s="19" t="n">
        <v>13891.34</v>
      </c>
      <c r="E3176" s="19" t="n">
        <v>540</v>
      </c>
      <c r="F3176" s="19" t="n">
        <v>10651.8</v>
      </c>
      <c r="G3176" s="8" t="n">
        <f aca="false">IFERROR(INDEX('TRANS'!$B:$B,MATCH($B3176,'TRANS'!$A:$A,0)),IFERROR(INDEX('TRANS'!$B:$B,MATCH(TRIM(SUBSTITUTE($B3176,CHAR(160)," ")),'TRANS'!$D:$D,0)),IFERROR(INDEX('Catalog'!$A:$A,MATCH($B3176,'Catalog'!$B:$B,0)),IFERROR(INDEX('Catalog'!$A:$A,MATCH(TRIM(SUBSTITUTE($B3176,CHAR(160)," ")),'Catalog'!$C:$C,0)),""))))</f>
        <v>4415158</v>
      </c>
      <c r="H3176" s="8" t="str">
        <f aca="false">IFERROR(INDEX('TRANS'!$C:$C,MATCH($B3176,'TRANS'!$A:$A,0)),IFERROR(INDEX('Catalog'!$B:$B,MATCH($G3176,'Catalog'!$A:$A,0)),$B3176))</f>
        <v>266 סד ליד דו צדדי</v>
      </c>
      <c r="I3176" s="8" t="str">
        <f aca="false">IF($G3176="","Unmatched","Matched")</f>
        <v>Matched</v>
      </c>
    </row>
    <row r="3177" customFormat="false" ht="15" hidden="false" customHeight="false" outlineLevel="0" collapsed="false">
      <c r="A3177" s="8" t="s">
        <v>1052</v>
      </c>
      <c r="B3177" s="8" t="s">
        <v>110</v>
      </c>
      <c r="C3177" s="19" t="n">
        <v>400</v>
      </c>
      <c r="D3177" s="19" t="n">
        <v>13613.37</v>
      </c>
      <c r="E3177" s="19" t="n">
        <v>280</v>
      </c>
      <c r="F3177" s="19" t="n">
        <v>8584.17</v>
      </c>
      <c r="G3177" s="8" t="n">
        <f aca="false">IFERROR(INDEX('TRANS'!$B:$B,MATCH($B3177,'TRANS'!$A:$A,0)),IFERROR(INDEX('TRANS'!$B:$B,MATCH(TRIM(SUBSTITUTE($B3177,CHAR(160)," ")),'TRANS'!$D:$D,0)),IFERROR(INDEX('Catalog'!$A:$A,MATCH($B3177,'Catalog'!$B:$B,0)),IFERROR(INDEX('Catalog'!$A:$A,MATCH(TRIM(SUBSTITUTE($B3177,CHAR(160)," ")),'Catalog'!$C:$C,0)),""))))</f>
        <v>4415159</v>
      </c>
      <c r="H3177" s="8" t="str">
        <f aca="false">IFERROR(INDEX('TRANS'!$C:$C,MATCH($B3177,'TRANS'!$A:$A,0)),IFERROR(INDEX('Catalog'!$B:$B,MATCH($G3177,'Catalog'!$A:$A,0)),$B3177))</f>
        <v>268 סד לאגודל</v>
      </c>
      <c r="I3177" s="8" t="str">
        <f aca="false">IF($G3177="","Unmatched","Matched")</f>
        <v>Matched</v>
      </c>
    </row>
    <row r="3178" customFormat="false" ht="15" hidden="false" customHeight="false" outlineLevel="0" collapsed="false">
      <c r="A3178" s="8" t="s">
        <v>1052</v>
      </c>
      <c r="B3178" s="8" t="s">
        <v>644</v>
      </c>
      <c r="C3178" s="19" t="n">
        <v>16</v>
      </c>
      <c r="D3178" s="19" t="n">
        <v>555.17</v>
      </c>
      <c r="E3178" s="19" t="n">
        <v>31</v>
      </c>
      <c r="F3178" s="19" t="n">
        <v>1011.7</v>
      </c>
      <c r="G3178" s="8" t="n">
        <f aca="false">IFERROR(INDEX('TRANS'!$B:$B,MATCH($B3178,'TRANS'!$A:$A,0)),IFERROR(INDEX('TRANS'!$B:$B,MATCH(TRIM(SUBSTITUTE($B3178,CHAR(160)," ")),'TRANS'!$D:$D,0)),IFERROR(INDEX('Catalog'!$A:$A,MATCH($B3178,'Catalog'!$B:$B,0)),IFERROR(INDEX('Catalog'!$A:$A,MATCH(TRIM(SUBSTITUTE($B3178,CHAR(160)," ")),'Catalog'!$C:$C,0)),""))))</f>
        <v>4415005</v>
      </c>
      <c r="H3178" s="8" t="str">
        <f aca="false">IFERROR(INDEX('TRANS'!$C:$C,MATCH($B3178,'TRANS'!$A:$A,0)),IFERROR(INDEX('Catalog'!$B:$B,MATCH($G3178,'Catalog'!$A:$A,0)),$B3178))</f>
        <v>28 L סד לאגודל לאחר שבר</v>
      </c>
      <c r="I3178" s="8" t="str">
        <f aca="false">IF($G3178="","Unmatched","Matched")</f>
        <v>Matched</v>
      </c>
    </row>
    <row r="3179" customFormat="false" ht="15" hidden="false" customHeight="false" outlineLevel="0" collapsed="false">
      <c r="A3179" s="8" t="s">
        <v>1052</v>
      </c>
      <c r="B3179" s="8" t="s">
        <v>111</v>
      </c>
      <c r="C3179" s="19" t="n">
        <v>61</v>
      </c>
      <c r="D3179" s="19" t="n">
        <v>2217.04</v>
      </c>
      <c r="E3179" s="19" t="n">
        <v>45</v>
      </c>
      <c r="F3179" s="19" t="n">
        <v>1453.13</v>
      </c>
      <c r="G3179" s="8" t="n">
        <f aca="false">IFERROR(INDEX('TRANS'!$B:$B,MATCH($B3179,'TRANS'!$A:$A,0)),IFERROR(INDEX('TRANS'!$B:$B,MATCH(TRIM(SUBSTITUTE($B3179,CHAR(160)," ")),'TRANS'!$D:$D,0)),IFERROR(INDEX('Catalog'!$A:$A,MATCH($B3179,'Catalog'!$B:$B,0)),IFERROR(INDEX('Catalog'!$A:$A,MATCH(TRIM(SUBSTITUTE($B3179,CHAR(160)," ")),'Catalog'!$C:$C,0)),""))))</f>
        <v>4415006</v>
      </c>
      <c r="H3179" s="8" t="str">
        <f aca="false">IFERROR(INDEX('TRANS'!$C:$C,MATCH($B3179,'TRANS'!$A:$A,0)),IFERROR(INDEX('Catalog'!$B:$B,MATCH($G3179,'Catalog'!$A:$A,0)),$B3179))</f>
        <v>28 M סד לאגודל לאחר שבר</v>
      </c>
      <c r="I3179" s="8" t="str">
        <f aca="false">IF($G3179="","Unmatched","Matched")</f>
        <v>Matched</v>
      </c>
    </row>
    <row r="3180" customFormat="false" ht="15" hidden="false" customHeight="false" outlineLevel="0" collapsed="false">
      <c r="A3180" s="8" t="s">
        <v>1052</v>
      </c>
      <c r="B3180" s="8" t="s">
        <v>645</v>
      </c>
      <c r="C3180" s="19" t="n">
        <v>27</v>
      </c>
      <c r="D3180" s="19" t="n">
        <v>967.81</v>
      </c>
      <c r="E3180" s="19" t="n">
        <v>60</v>
      </c>
      <c r="F3180" s="19" t="n">
        <v>1951.58</v>
      </c>
      <c r="G3180" s="8" t="n">
        <f aca="false">IFERROR(INDEX('TRANS'!$B:$B,MATCH($B3180,'TRANS'!$A:$A,0)),IFERROR(INDEX('TRANS'!$B:$B,MATCH(TRIM(SUBSTITUTE($B3180,CHAR(160)," ")),'TRANS'!$D:$D,0)),IFERROR(INDEX('Catalog'!$A:$A,MATCH($B3180,'Catalog'!$B:$B,0)),IFERROR(INDEX('Catalog'!$A:$A,MATCH(TRIM(SUBSTITUTE($B3180,CHAR(160)," ")),'Catalog'!$C:$C,0)),""))))</f>
        <v>4415007</v>
      </c>
      <c r="H3180" s="8" t="str">
        <f aca="false">IFERROR(INDEX('TRANS'!$C:$C,MATCH($B3180,'TRANS'!$A:$A,0)),IFERROR(INDEX('Catalog'!$B:$B,MATCH($G3180,'Catalog'!$A:$A,0)),$B3180))</f>
        <v>28 S סד לאגודל לאחר שבר</v>
      </c>
      <c r="I3180" s="8" t="str">
        <f aca="false">IF($G3180="","Unmatched","Matched")</f>
        <v>Matched</v>
      </c>
    </row>
    <row r="3181" customFormat="false" ht="15" hidden="false" customHeight="false" outlineLevel="0" collapsed="false">
      <c r="A3181" s="8" t="s">
        <v>1052</v>
      </c>
      <c r="B3181" s="8" t="s">
        <v>646</v>
      </c>
      <c r="C3181" s="19" t="n">
        <v>0</v>
      </c>
      <c r="D3181" s="19" t="n">
        <v>0</v>
      </c>
      <c r="E3181" s="19" t="n">
        <v>12</v>
      </c>
      <c r="F3181" s="19" t="n">
        <v>392.38</v>
      </c>
      <c r="G3181" s="8" t="n">
        <f aca="false">IFERROR(INDEX('TRANS'!$B:$B,MATCH($B3181,'TRANS'!$A:$A,0)),IFERROR(INDEX('TRANS'!$B:$B,MATCH(TRIM(SUBSTITUTE($B3181,CHAR(160)," ")),'TRANS'!$D:$D,0)),IFERROR(INDEX('Catalog'!$A:$A,MATCH($B3181,'Catalog'!$B:$B,0)),IFERROR(INDEX('Catalog'!$A:$A,MATCH(TRIM(SUBSTITUTE($B3181,CHAR(160)," ")),'Catalog'!$C:$C,0)),""))))</f>
        <v>4415008</v>
      </c>
      <c r="H3181" s="8" t="str">
        <f aca="false">IFERROR(INDEX('TRANS'!$C:$C,MATCH($B3181,'TRANS'!$A:$A,0)),IFERROR(INDEX('Catalog'!$B:$B,MATCH($G3181,'Catalog'!$A:$A,0)),$B3181))</f>
        <v>28 XL סד לאגודל לאחר שבר</v>
      </c>
      <c r="I3181" s="8" t="str">
        <f aca="false">IF($G3181="","Unmatched","Matched")</f>
        <v>Matched</v>
      </c>
    </row>
    <row r="3182" customFormat="false" ht="15" hidden="false" customHeight="false" outlineLevel="0" collapsed="false">
      <c r="A3182" s="8" t="s">
        <v>1052</v>
      </c>
      <c r="B3182" s="8" t="s">
        <v>687</v>
      </c>
      <c r="C3182" s="19" t="n">
        <v>10</v>
      </c>
      <c r="D3182" s="19" t="n">
        <v>296.42</v>
      </c>
      <c r="E3182" s="19" t="n">
        <v>0</v>
      </c>
      <c r="F3182" s="19" t="n">
        <v>0</v>
      </c>
      <c r="G3182" s="8" t="str">
        <f aca="false">IFERROR(INDEX('TRANS'!$B:$B,MATCH($B3182,'TRANS'!$A:$A,0)),IFERROR(INDEX('TRANS'!$B:$B,MATCH(TRIM(SUBSTITUTE($B3182,CHAR(160)," ")),'TRANS'!$D:$D,0)),IFERROR(INDEX('Catalog'!$A:$A,MATCH($B3182,'Catalog'!$B:$B,0)),IFERROR(INDEX('Catalog'!$A:$A,MATCH(TRIM(SUBSTITUTE($B3182,CHAR(160)," ")),'Catalog'!$C:$C,0)),""))))</f>
        <v/>
      </c>
      <c r="H3182" s="8" t="str">
        <f aca="false">IFERROR(INDEX('TRANS'!$C:$C,MATCH($B3182,'TRANS'!$A:$A,0)),IFERROR(INDEX('Catalog'!$B:$B,MATCH($G3182,'Catalog'!$A:$A,0)),$B3182))</f>
        <v>30 L</v>
      </c>
      <c r="I3182" s="8" t="str">
        <f aca="false">IF($G3182="","Unmatched","Matched")</f>
        <v>Unmatched</v>
      </c>
    </row>
    <row r="3183" customFormat="false" ht="15" hidden="false" customHeight="false" outlineLevel="0" collapsed="false">
      <c r="A3183" s="8" t="s">
        <v>1052</v>
      </c>
      <c r="B3183" s="8" t="s">
        <v>112</v>
      </c>
      <c r="C3183" s="19" t="n">
        <v>10</v>
      </c>
      <c r="D3183" s="19" t="n">
        <v>296.42</v>
      </c>
      <c r="E3183" s="19" t="n">
        <v>0</v>
      </c>
      <c r="F3183" s="19" t="n">
        <v>0</v>
      </c>
      <c r="G3183" s="8" t="str">
        <f aca="false">IFERROR(INDEX('TRANS'!$B:$B,MATCH($B3183,'TRANS'!$A:$A,0)),IFERROR(INDEX('TRANS'!$B:$B,MATCH(TRIM(SUBSTITUTE($B3183,CHAR(160)," ")),'TRANS'!$D:$D,0)),IFERROR(INDEX('Catalog'!$A:$A,MATCH($B3183,'Catalog'!$B:$B,0)),IFERROR(INDEX('Catalog'!$A:$A,MATCH(TRIM(SUBSTITUTE($B3183,CHAR(160)," ")),'Catalog'!$C:$C,0)),""))))</f>
        <v/>
      </c>
      <c r="H3183" s="8" t="str">
        <f aca="false">IFERROR(INDEX('TRANS'!$C:$C,MATCH($B3183,'TRANS'!$A:$A,0)),IFERROR(INDEX('Catalog'!$B:$B,MATCH($G3183,'Catalog'!$A:$A,0)),$B3183))</f>
        <v>30 M</v>
      </c>
      <c r="I3183" s="8" t="str">
        <f aca="false">IF($G3183="","Unmatched","Matched")</f>
        <v>Unmatched</v>
      </c>
    </row>
    <row r="3184" customFormat="false" ht="15" hidden="false" customHeight="false" outlineLevel="0" collapsed="false">
      <c r="A3184" s="8" t="s">
        <v>1052</v>
      </c>
      <c r="B3184" s="8" t="s">
        <v>1053</v>
      </c>
      <c r="C3184" s="19" t="n">
        <v>6</v>
      </c>
      <c r="D3184" s="19" t="n">
        <v>177.85</v>
      </c>
      <c r="E3184" s="19" t="n">
        <v>0</v>
      </c>
      <c r="F3184" s="19" t="n">
        <v>0</v>
      </c>
      <c r="G3184" s="8" t="str">
        <f aca="false">IFERROR(INDEX('TRANS'!$B:$B,MATCH($B3184,'TRANS'!$A:$A,0)),IFERROR(INDEX('TRANS'!$B:$B,MATCH(TRIM(SUBSTITUTE($B3184,CHAR(160)," ")),'TRANS'!$D:$D,0)),IFERROR(INDEX('Catalog'!$A:$A,MATCH($B3184,'Catalog'!$B:$B,0)),IFERROR(INDEX('Catalog'!$A:$A,MATCH(TRIM(SUBSTITUTE($B3184,CHAR(160)," ")),'Catalog'!$C:$C,0)),""))))</f>
        <v/>
      </c>
      <c r="H3184" s="8" t="str">
        <f aca="false">IFERROR(INDEX('TRANS'!$C:$C,MATCH($B3184,'TRANS'!$A:$A,0)),IFERROR(INDEX('Catalog'!$B:$B,MATCH($G3184,'Catalog'!$A:$A,0)),$B3184))</f>
        <v>30 S</v>
      </c>
      <c r="I3184" s="8" t="str">
        <f aca="false">IF($G3184="","Unmatched","Matched")</f>
        <v>Unmatched</v>
      </c>
    </row>
    <row r="3185" customFormat="false" ht="15" hidden="false" customHeight="false" outlineLevel="0" collapsed="false">
      <c r="A3185" s="8" t="s">
        <v>1052</v>
      </c>
      <c r="B3185" s="8" t="s">
        <v>114</v>
      </c>
      <c r="C3185" s="19" t="n">
        <v>120</v>
      </c>
      <c r="D3185" s="19" t="n">
        <v>3276.11</v>
      </c>
      <c r="E3185" s="19" t="n">
        <v>170</v>
      </c>
      <c r="F3185" s="19" t="n">
        <v>4142.63</v>
      </c>
      <c r="G3185" s="8" t="n">
        <f aca="false">IFERROR(INDEX('TRANS'!$B:$B,MATCH($B3185,'TRANS'!$A:$A,0)),IFERROR(INDEX('TRANS'!$B:$B,MATCH(TRIM(SUBSTITUTE($B3185,CHAR(160)," ")),'TRANS'!$D:$D,0)),IFERROR(INDEX('Catalog'!$A:$A,MATCH($B3185,'Catalog'!$B:$B,0)),IFERROR(INDEX('Catalog'!$A:$A,MATCH(TRIM(SUBSTITUTE($B3185,CHAR(160)," ")),'Catalog'!$C:$C,0)),""))))</f>
        <v>4413348</v>
      </c>
      <c r="H3185" s="8" t="str">
        <f aca="false">IFERROR(INDEX('TRANS'!$C:$C,MATCH($B3185,'TRANS'!$A:$A,0)),IFERROR(INDEX('Catalog'!$B:$B,MATCH($G3185,'Catalog'!$A:$A,0)),$B3185))</f>
        <v>302 מדרס ג'ל לגבר</v>
      </c>
      <c r="I3185" s="8" t="str">
        <f aca="false">IF($G3185="","Unmatched","Matched")</f>
        <v>Matched</v>
      </c>
    </row>
    <row r="3186" customFormat="false" ht="15" hidden="false" customHeight="false" outlineLevel="0" collapsed="false">
      <c r="A3186" s="8" t="s">
        <v>1052</v>
      </c>
      <c r="B3186" s="8" t="s">
        <v>115</v>
      </c>
      <c r="C3186" s="19" t="n">
        <v>90</v>
      </c>
      <c r="D3186" s="19" t="n">
        <v>2320.98</v>
      </c>
      <c r="E3186" s="19" t="n">
        <v>100</v>
      </c>
      <c r="F3186" s="19" t="n">
        <v>2361.52</v>
      </c>
      <c r="G3186" s="8" t="n">
        <f aca="false">IFERROR(INDEX('TRANS'!$B:$B,MATCH($B3186,'TRANS'!$A:$A,0)),IFERROR(INDEX('TRANS'!$B:$B,MATCH(TRIM(SUBSTITUTE($B3186,CHAR(160)," ")),'TRANS'!$D:$D,0)),IFERROR(INDEX('Catalog'!$A:$A,MATCH($B3186,'Catalog'!$B:$B,0)),IFERROR(INDEX('Catalog'!$A:$A,MATCH(TRIM(SUBSTITUTE($B3186,CHAR(160)," ")),'Catalog'!$C:$C,0)),""))))</f>
        <v>4413372</v>
      </c>
      <c r="H3186" s="8" t="str">
        <f aca="false">IFERROR(INDEX('TRANS'!$C:$C,MATCH($B3186,'TRANS'!$A:$A,0)),IFERROR(INDEX('Catalog'!$B:$B,MATCH($G3186,'Catalog'!$A:$A,0)),$B3186))</f>
        <v>302 W מדרס לאישה</v>
      </c>
      <c r="I3186" s="8" t="str">
        <f aca="false">IF($G3186="","Unmatched","Matched")</f>
        <v>Matched</v>
      </c>
    </row>
    <row r="3187" customFormat="false" ht="15" hidden="false" customHeight="false" outlineLevel="0" collapsed="false">
      <c r="A3187" s="8" t="s">
        <v>1052</v>
      </c>
      <c r="B3187" s="8" t="s">
        <v>356</v>
      </c>
      <c r="C3187" s="19" t="n">
        <v>6</v>
      </c>
      <c r="D3187" s="19" t="n">
        <v>200.98</v>
      </c>
      <c r="E3187" s="19" t="n">
        <v>27</v>
      </c>
      <c r="F3187" s="19" t="n">
        <v>841.11</v>
      </c>
      <c r="G3187" s="8" t="str">
        <f aca="false">IFERROR(INDEX('TRANS'!$B:$B,MATCH($B3187,'TRANS'!$A:$A,0)),IFERROR(INDEX('TRANS'!$B:$B,MATCH(TRIM(SUBSTITUTE($B3187,CHAR(160)," ")),'TRANS'!$D:$D,0)),IFERROR(INDEX('Catalog'!$A:$A,MATCH($B3187,'Catalog'!$B:$B,0)),IFERROR(INDEX('Catalog'!$A:$A,MATCH(TRIM(SUBSTITUTE($B3187,CHAR(160)," ")),'Catalog'!$C:$C,0)),""))))</f>
        <v/>
      </c>
      <c r="H3187" s="8" t="str">
        <f aca="false">IFERROR(INDEX('TRANS'!$C:$C,MATCH($B3187,'TRANS'!$A:$A,0)),IFERROR(INDEX('Catalog'!$B:$B,MATCH($G3187,'Catalog'!$A:$A,0)),$B3187))</f>
        <v>305-35-36</v>
      </c>
      <c r="I3187" s="8" t="str">
        <f aca="false">IF($G3187="","Unmatched","Matched")</f>
        <v>Unmatched</v>
      </c>
    </row>
    <row r="3188" customFormat="false" ht="15" hidden="false" customHeight="false" outlineLevel="0" collapsed="false">
      <c r="A3188" s="8" t="s">
        <v>1052</v>
      </c>
      <c r="B3188" s="8" t="s">
        <v>946</v>
      </c>
      <c r="C3188" s="19" t="n">
        <v>75</v>
      </c>
      <c r="D3188" s="19" t="n">
        <v>2630.01</v>
      </c>
      <c r="E3188" s="19" t="n">
        <v>95</v>
      </c>
      <c r="F3188" s="19" t="n">
        <v>2994.23</v>
      </c>
      <c r="G3188" s="8" t="str">
        <f aca="false">IFERROR(INDEX('TRANS'!$B:$B,MATCH($B3188,'TRANS'!$A:$A,0)),IFERROR(INDEX('TRANS'!$B:$B,MATCH(TRIM(SUBSTITUTE($B3188,CHAR(160)," ")),'TRANS'!$D:$D,0)),IFERROR(INDEX('Catalog'!$A:$A,MATCH($B3188,'Catalog'!$B:$B,0)),IFERROR(INDEX('Catalog'!$A:$A,MATCH(TRIM(SUBSTITUTE($B3188,CHAR(160)," ")),'Catalog'!$C:$C,0)),""))))</f>
        <v/>
      </c>
      <c r="H3188" s="8" t="str">
        <f aca="false">IFERROR(INDEX('TRANS'!$C:$C,MATCH($B3188,'TRANS'!$A:$A,0)),IFERROR(INDEX('Catalog'!$B:$B,MATCH($G3188,'Catalog'!$A:$A,0)),$B3188))</f>
        <v>305-37-38</v>
      </c>
      <c r="I3188" s="8" t="str">
        <f aca="false">IF($G3188="","Unmatched","Matched")</f>
        <v>Unmatched</v>
      </c>
    </row>
    <row r="3189" customFormat="false" ht="15" hidden="false" customHeight="false" outlineLevel="0" collapsed="false">
      <c r="A3189" s="8" t="s">
        <v>1052</v>
      </c>
      <c r="B3189" s="8" t="s">
        <v>947</v>
      </c>
      <c r="C3189" s="19" t="n">
        <v>140</v>
      </c>
      <c r="D3189" s="19" t="n">
        <v>4983.37</v>
      </c>
      <c r="E3189" s="19" t="n">
        <v>180</v>
      </c>
      <c r="F3189" s="19" t="n">
        <v>5639.97</v>
      </c>
      <c r="G3189" s="8" t="str">
        <f aca="false">IFERROR(INDEX('TRANS'!$B:$B,MATCH($B3189,'TRANS'!$A:$A,0)),IFERROR(INDEX('TRANS'!$B:$B,MATCH(TRIM(SUBSTITUTE($B3189,CHAR(160)," ")),'TRANS'!$D:$D,0)),IFERROR(INDEX('Catalog'!$A:$A,MATCH($B3189,'Catalog'!$B:$B,0)),IFERROR(INDEX('Catalog'!$A:$A,MATCH(TRIM(SUBSTITUTE($B3189,CHAR(160)," ")),'Catalog'!$C:$C,0)),""))))</f>
        <v/>
      </c>
      <c r="H3189" s="8" t="str">
        <f aca="false">IFERROR(INDEX('TRANS'!$C:$C,MATCH($B3189,'TRANS'!$A:$A,0)),IFERROR(INDEX('Catalog'!$B:$B,MATCH($G3189,'Catalog'!$A:$A,0)),$B3189))</f>
        <v>305-39-40</v>
      </c>
      <c r="I3189" s="8" t="str">
        <f aca="false">IF($G3189="","Unmatched","Matched")</f>
        <v>Unmatched</v>
      </c>
    </row>
    <row r="3190" customFormat="false" ht="15" hidden="false" customHeight="false" outlineLevel="0" collapsed="false">
      <c r="A3190" s="8" t="s">
        <v>1052</v>
      </c>
      <c r="B3190" s="8" t="s">
        <v>780</v>
      </c>
      <c r="C3190" s="19" t="n">
        <v>145</v>
      </c>
      <c r="D3190" s="19" t="n">
        <v>5142.41</v>
      </c>
      <c r="E3190" s="19" t="n">
        <v>135</v>
      </c>
      <c r="F3190" s="19" t="n">
        <v>4215.49</v>
      </c>
      <c r="G3190" s="8" t="str">
        <f aca="false">IFERROR(INDEX('TRANS'!$B:$B,MATCH($B3190,'TRANS'!$A:$A,0)),IFERROR(INDEX('TRANS'!$B:$B,MATCH(TRIM(SUBSTITUTE($B3190,CHAR(160)," ")),'TRANS'!$D:$D,0)),IFERROR(INDEX('Catalog'!$A:$A,MATCH($B3190,'Catalog'!$B:$B,0)),IFERROR(INDEX('Catalog'!$A:$A,MATCH(TRIM(SUBSTITUTE($B3190,CHAR(160)," ")),'Catalog'!$C:$C,0)),""))))</f>
        <v/>
      </c>
      <c r="H3190" s="8" t="str">
        <f aca="false">IFERROR(INDEX('TRANS'!$C:$C,MATCH($B3190,'TRANS'!$A:$A,0)),IFERROR(INDEX('Catalog'!$B:$B,MATCH($G3190,'Catalog'!$A:$A,0)),$B3190))</f>
        <v>305-41-42</v>
      </c>
      <c r="I3190" s="8" t="str">
        <f aca="false">IF($G3190="","Unmatched","Matched")</f>
        <v>Unmatched</v>
      </c>
    </row>
    <row r="3191" customFormat="false" ht="15" hidden="false" customHeight="false" outlineLevel="0" collapsed="false">
      <c r="A3191" s="8" t="s">
        <v>1052</v>
      </c>
      <c r="B3191" s="8" t="s">
        <v>948</v>
      </c>
      <c r="C3191" s="19" t="n">
        <v>165</v>
      </c>
      <c r="D3191" s="19" t="n">
        <v>5798.64</v>
      </c>
      <c r="E3191" s="19" t="n">
        <v>180</v>
      </c>
      <c r="F3191" s="19" t="n">
        <v>5658.26</v>
      </c>
      <c r="G3191" s="8" t="str">
        <f aca="false">IFERROR(INDEX('TRANS'!$B:$B,MATCH($B3191,'TRANS'!$A:$A,0)),IFERROR(INDEX('TRANS'!$B:$B,MATCH(TRIM(SUBSTITUTE($B3191,CHAR(160)," ")),'TRANS'!$D:$D,0)),IFERROR(INDEX('Catalog'!$A:$A,MATCH($B3191,'Catalog'!$B:$B,0)),IFERROR(INDEX('Catalog'!$A:$A,MATCH(TRIM(SUBSTITUTE($B3191,CHAR(160)," ")),'Catalog'!$C:$C,0)),""))))</f>
        <v/>
      </c>
      <c r="H3191" s="8" t="str">
        <f aca="false">IFERROR(INDEX('TRANS'!$C:$C,MATCH($B3191,'TRANS'!$A:$A,0)),IFERROR(INDEX('Catalog'!$B:$B,MATCH($G3191,'Catalog'!$A:$A,0)),$B3191))</f>
        <v>305-43-44</v>
      </c>
      <c r="I3191" s="8" t="str">
        <f aca="false">IF($G3191="","Unmatched","Matched")</f>
        <v>Unmatched</v>
      </c>
    </row>
    <row r="3192" customFormat="false" ht="15" hidden="false" customHeight="false" outlineLevel="0" collapsed="false">
      <c r="A3192" s="8" t="s">
        <v>1052</v>
      </c>
      <c r="B3192" s="8" t="s">
        <v>949</v>
      </c>
      <c r="C3192" s="19" t="n">
        <v>140</v>
      </c>
      <c r="D3192" s="19" t="n">
        <v>4903.29</v>
      </c>
      <c r="E3192" s="19" t="n">
        <v>145</v>
      </c>
      <c r="F3192" s="19" t="n">
        <v>4520.43</v>
      </c>
      <c r="G3192" s="8" t="str">
        <f aca="false">IFERROR(INDEX('TRANS'!$B:$B,MATCH($B3192,'TRANS'!$A:$A,0)),IFERROR(INDEX('TRANS'!$B:$B,MATCH(TRIM(SUBSTITUTE($B3192,CHAR(160)," ")),'TRANS'!$D:$D,0)),IFERROR(INDEX('Catalog'!$A:$A,MATCH($B3192,'Catalog'!$B:$B,0)),IFERROR(INDEX('Catalog'!$A:$A,MATCH(TRIM(SUBSTITUTE($B3192,CHAR(160)," ")),'Catalog'!$C:$C,0)),""))))</f>
        <v/>
      </c>
      <c r="H3192" s="8" t="str">
        <f aca="false">IFERROR(INDEX('TRANS'!$C:$C,MATCH($B3192,'TRANS'!$A:$A,0)),IFERROR(INDEX('Catalog'!$B:$B,MATCH($G3192,'Catalog'!$A:$A,0)),$B3192))</f>
        <v>305-45-46</v>
      </c>
      <c r="I3192" s="8" t="str">
        <f aca="false">IF($G3192="","Unmatched","Matched")</f>
        <v>Unmatched</v>
      </c>
    </row>
    <row r="3193" customFormat="false" ht="15" hidden="false" customHeight="false" outlineLevel="0" collapsed="false">
      <c r="A3193" s="8" t="s">
        <v>1052</v>
      </c>
      <c r="B3193" s="8" t="s">
        <v>126</v>
      </c>
      <c r="C3193" s="19" t="n">
        <v>35</v>
      </c>
      <c r="D3193" s="19" t="n">
        <v>424.79</v>
      </c>
      <c r="E3193" s="19" t="n">
        <v>0</v>
      </c>
      <c r="F3193" s="19" t="n">
        <v>0</v>
      </c>
      <c r="G3193" s="8" t="n">
        <f aca="false">IFERROR(INDEX('TRANS'!$B:$B,MATCH($B3193,'TRANS'!$A:$A,0)),IFERROR(INDEX('TRANS'!$B:$B,MATCH(TRIM(SUBSTITUTE($B3193,CHAR(160)," ")),'TRANS'!$D:$D,0)),IFERROR(INDEX('Catalog'!$A:$A,MATCH($B3193,'Catalog'!$B:$B,0)),IFERROR(INDEX('Catalog'!$A:$A,MATCH(TRIM(SUBSTITUTE($B3193,CHAR(160)," ")),'Catalog'!$C:$C,0)),""))))</f>
        <v>4415297</v>
      </c>
      <c r="H3193" s="8" t="str">
        <f aca="false">IFERROR(INDEX('TRANS'!$C:$C,MATCH($B3193,'TRANS'!$A:$A,0)),IFERROR(INDEX('Catalog'!$B:$B,MATCH($G3193,'Catalog'!$A:$A,0)),$B3193))</f>
        <v>313 סט פלסטרים נגד שפשופים</v>
      </c>
      <c r="I3193" s="8" t="str">
        <f aca="false">IF($G3193="","Unmatched","Matched")</f>
        <v>Matched</v>
      </c>
    </row>
    <row r="3194" customFormat="false" ht="15" hidden="false" customHeight="false" outlineLevel="0" collapsed="false">
      <c r="A3194" s="8" t="s">
        <v>1052</v>
      </c>
      <c r="B3194" s="8" t="s">
        <v>128</v>
      </c>
      <c r="C3194" s="19" t="n">
        <v>30</v>
      </c>
      <c r="D3194" s="19" t="n">
        <v>181.54</v>
      </c>
      <c r="E3194" s="19" t="n">
        <v>10</v>
      </c>
      <c r="F3194" s="19" t="n">
        <v>57.38</v>
      </c>
      <c r="G3194" s="8" t="n">
        <f aca="false">IFERROR(INDEX('TRANS'!$B:$B,MATCH($B3194,'TRANS'!$A:$A,0)),IFERROR(INDEX('TRANS'!$B:$B,MATCH(TRIM(SUBSTITUTE($B3194,CHAR(160)," ")),'TRANS'!$D:$D,0)),IFERROR(INDEX('Catalog'!$A:$A,MATCH($B3194,'Catalog'!$B:$B,0)),IFERROR(INDEX('Catalog'!$A:$A,MATCH(TRIM(SUBSTITUTE($B3194,CHAR(160)," ")),'Catalog'!$C:$C,0)),""))))</f>
        <v>4402007</v>
      </c>
      <c r="H3194" s="8" t="str">
        <f aca="false">IFERROR(INDEX('TRANS'!$C:$C,MATCH($B3194,'TRANS'!$A:$A,0)),IFERROR(INDEX('Catalog'!$B:$B,MATCH($G3194,'Catalog'!$A:$A,0)),$B3194))</f>
        <v>320 בליסטר פלסטר</v>
      </c>
      <c r="I3194" s="8" t="str">
        <f aca="false">IF($G3194="","Unmatched","Matched")</f>
        <v>Matched</v>
      </c>
    </row>
    <row r="3195" customFormat="false" ht="15" hidden="false" customHeight="false" outlineLevel="0" collapsed="false">
      <c r="A3195" s="8" t="s">
        <v>1052</v>
      </c>
      <c r="B3195" s="8" t="s">
        <v>130</v>
      </c>
      <c r="C3195" s="19" t="n">
        <v>13</v>
      </c>
      <c r="D3195" s="19" t="n">
        <v>811.55</v>
      </c>
      <c r="E3195" s="19" t="n">
        <v>0</v>
      </c>
      <c r="F3195" s="19" t="n">
        <v>0</v>
      </c>
      <c r="G3195" s="8" t="str">
        <f aca="false">IFERROR(INDEX('TRANS'!$B:$B,MATCH($B3195,'TRANS'!$A:$A,0)),IFERROR(INDEX('TRANS'!$B:$B,MATCH(TRIM(SUBSTITUTE($B3195,CHAR(160)," ")),'TRANS'!$D:$D,0)),IFERROR(INDEX('Catalog'!$A:$A,MATCH($B3195,'Catalog'!$B:$B,0)),IFERROR(INDEX('Catalog'!$A:$A,MATCH(TRIM(SUBSTITUTE($B3195,CHAR(160)," ")),'Catalog'!$C:$C,0)),""))))</f>
        <v/>
      </c>
      <c r="H3195" s="8" t="str">
        <f aca="false">IFERROR(INDEX('TRANS'!$C:$C,MATCH($B3195,'TRANS'!$A:$A,0)),IFERROR(INDEX('Catalog'!$B:$B,MATCH($G3195,'Catalog'!$A:$A,0)),$B3195))</f>
        <v>332B L</v>
      </c>
      <c r="I3195" s="8" t="str">
        <f aca="false">IF($G3195="","Unmatched","Matched")</f>
        <v>Unmatched</v>
      </c>
    </row>
    <row r="3196" customFormat="false" ht="15" hidden="false" customHeight="false" outlineLevel="0" collapsed="false">
      <c r="A3196" s="8" t="s">
        <v>1052</v>
      </c>
      <c r="B3196" s="8" t="s">
        <v>593</v>
      </c>
      <c r="C3196" s="19" t="n">
        <v>10</v>
      </c>
      <c r="D3196" s="19" t="n">
        <v>623.26</v>
      </c>
      <c r="E3196" s="19" t="n">
        <v>0</v>
      </c>
      <c r="F3196" s="19" t="n">
        <v>0</v>
      </c>
      <c r="G3196" s="8" t="str">
        <f aca="false">IFERROR(INDEX('TRANS'!$B:$B,MATCH($B3196,'TRANS'!$A:$A,0)),IFERROR(INDEX('TRANS'!$B:$B,MATCH(TRIM(SUBSTITUTE($B3196,CHAR(160)," ")),'TRANS'!$D:$D,0)),IFERROR(INDEX('Catalog'!$A:$A,MATCH($B3196,'Catalog'!$B:$B,0)),IFERROR(INDEX('Catalog'!$A:$A,MATCH(TRIM(SUBSTITUTE($B3196,CHAR(160)," ")),'Catalog'!$C:$C,0)),""))))</f>
        <v/>
      </c>
      <c r="H3196" s="8" t="str">
        <f aca="false">IFERROR(INDEX('TRANS'!$C:$C,MATCH($B3196,'TRANS'!$A:$A,0)),IFERROR(INDEX('Catalog'!$B:$B,MATCH($G3196,'Catalog'!$A:$A,0)),$B3196))</f>
        <v>332B M</v>
      </c>
      <c r="I3196" s="8" t="str">
        <f aca="false">IF($G3196="","Unmatched","Matched")</f>
        <v>Unmatched</v>
      </c>
    </row>
    <row r="3197" customFormat="false" ht="15" hidden="false" customHeight="false" outlineLevel="0" collapsed="false">
      <c r="A3197" s="8" t="s">
        <v>1052</v>
      </c>
      <c r="B3197" s="8" t="s">
        <v>594</v>
      </c>
      <c r="C3197" s="19" t="n">
        <v>0</v>
      </c>
      <c r="D3197" s="19" t="n">
        <v>0</v>
      </c>
      <c r="E3197" s="19" t="n">
        <v>3</v>
      </c>
      <c r="F3197" s="19" t="n">
        <v>178.39</v>
      </c>
      <c r="G3197" s="8" t="str">
        <f aca="false">IFERROR(INDEX('TRANS'!$B:$B,MATCH($B3197,'TRANS'!$A:$A,0)),IFERROR(INDEX('TRANS'!$B:$B,MATCH(TRIM(SUBSTITUTE($B3197,CHAR(160)," ")),'TRANS'!$D:$D,0)),IFERROR(INDEX('Catalog'!$A:$A,MATCH($B3197,'Catalog'!$B:$B,0)),IFERROR(INDEX('Catalog'!$A:$A,MATCH(TRIM(SUBSTITUTE($B3197,CHAR(160)," ")),'Catalog'!$C:$C,0)),""))))</f>
        <v/>
      </c>
      <c r="H3197" s="8" t="str">
        <f aca="false">IFERROR(INDEX('TRANS'!$C:$C,MATCH($B3197,'TRANS'!$A:$A,0)),IFERROR(INDEX('Catalog'!$B:$B,MATCH($G3197,'Catalog'!$A:$A,0)),$B3197))</f>
        <v>332B XL</v>
      </c>
      <c r="I3197" s="8" t="str">
        <f aca="false">IF($G3197="","Unmatched","Matched")</f>
        <v>Unmatched</v>
      </c>
    </row>
    <row r="3198" customFormat="false" ht="15" hidden="false" customHeight="false" outlineLevel="0" collapsed="false">
      <c r="A3198" s="8" t="s">
        <v>1052</v>
      </c>
      <c r="B3198" s="8" t="s">
        <v>564</v>
      </c>
      <c r="C3198" s="19" t="n">
        <v>45</v>
      </c>
      <c r="D3198" s="19" t="n">
        <v>928.42</v>
      </c>
      <c r="E3198" s="19" t="n">
        <v>90</v>
      </c>
      <c r="F3198" s="19" t="n">
        <v>1692.29</v>
      </c>
      <c r="G3198" s="8" t="n">
        <f aca="false">IFERROR(INDEX('TRANS'!$B:$B,MATCH($B3198,'TRANS'!$A:$A,0)),IFERROR(INDEX('TRANS'!$B:$B,MATCH(TRIM(SUBSTITUTE($B3198,CHAR(160)," ")),'TRANS'!$D:$D,0)),IFERROR(INDEX('Catalog'!$A:$A,MATCH($B3198,'Catalog'!$B:$B,0)),IFERROR(INDEX('Catalog'!$A:$A,MATCH(TRIM(SUBSTITUTE($B3198,CHAR(160)," ")),'Catalog'!$C:$C,0)),""))))</f>
        <v>4413043</v>
      </c>
      <c r="H3198" s="8" t="str">
        <f aca="false">IFERROR(INDEX('TRANS'!$C:$C,MATCH($B3198,'TRANS'!$A:$A,0)),IFERROR(INDEX('Catalog'!$B:$B,MATCH($G3198,'Catalog'!$A:$A,0)),$B3198))</f>
        <v>34  L מגן קרסול עקב סגור</v>
      </c>
      <c r="I3198" s="8" t="str">
        <f aca="false">IF($G3198="","Unmatched","Matched")</f>
        <v>Matched</v>
      </c>
    </row>
    <row r="3199" customFormat="false" ht="15" hidden="false" customHeight="false" outlineLevel="0" collapsed="false">
      <c r="A3199" s="8" t="s">
        <v>1052</v>
      </c>
      <c r="B3199" s="8" t="s">
        <v>575</v>
      </c>
      <c r="C3199" s="19" t="n">
        <v>65</v>
      </c>
      <c r="D3199" s="19" t="n">
        <v>1357.65</v>
      </c>
      <c r="E3199" s="19" t="n">
        <v>76</v>
      </c>
      <c r="F3199" s="19" t="n">
        <v>1434.7</v>
      </c>
      <c r="G3199" s="8" t="n">
        <f aca="false">IFERROR(INDEX('TRANS'!$B:$B,MATCH($B3199,'TRANS'!$A:$A,0)),IFERROR(INDEX('TRANS'!$B:$B,MATCH(TRIM(SUBSTITUTE($B3199,CHAR(160)," ")),'TRANS'!$D:$D,0)),IFERROR(INDEX('Catalog'!$A:$A,MATCH($B3199,'Catalog'!$B:$B,0)),IFERROR(INDEX('Catalog'!$A:$A,MATCH(TRIM(SUBSTITUTE($B3199,CHAR(160)," ")),'Catalog'!$C:$C,0)),""))))</f>
        <v>4413041</v>
      </c>
      <c r="H3199" s="8" t="str">
        <f aca="false">IFERROR(INDEX('TRANS'!$C:$C,MATCH($B3199,'TRANS'!$A:$A,0)),IFERROR(INDEX('Catalog'!$B:$B,MATCH($G3199,'Catalog'!$A:$A,0)),$B3199))</f>
        <v>34  M מגן קרסול עקב סגור</v>
      </c>
      <c r="I3199" s="8" t="str">
        <f aca="false">IF($G3199="","Unmatched","Matched")</f>
        <v>Matched</v>
      </c>
    </row>
    <row r="3200" customFormat="false" ht="15" hidden="false" customHeight="false" outlineLevel="0" collapsed="false">
      <c r="A3200" s="8" t="s">
        <v>1052</v>
      </c>
      <c r="B3200" s="8" t="s">
        <v>743</v>
      </c>
      <c r="C3200" s="19" t="n">
        <v>16</v>
      </c>
      <c r="D3200" s="19" t="n">
        <v>323.96</v>
      </c>
      <c r="E3200" s="19" t="n">
        <v>53</v>
      </c>
      <c r="F3200" s="19" t="n">
        <v>992.32</v>
      </c>
      <c r="G3200" s="8" t="n">
        <f aca="false">IFERROR(INDEX('TRANS'!$B:$B,MATCH($B3200,'TRANS'!$A:$A,0)),IFERROR(INDEX('TRANS'!$B:$B,MATCH(TRIM(SUBSTITUTE($B3200,CHAR(160)," ")),'TRANS'!$D:$D,0)),IFERROR(INDEX('Catalog'!$A:$A,MATCH($B3200,'Catalog'!$B:$B,0)),IFERROR(INDEX('Catalog'!$A:$A,MATCH(TRIM(SUBSTITUTE($B3200,CHAR(160)," ")),'Catalog'!$C:$C,0)),""))))</f>
        <v>4413042</v>
      </c>
      <c r="H3200" s="8" t="str">
        <f aca="false">IFERROR(INDEX('TRANS'!$C:$C,MATCH($B3200,'TRANS'!$A:$A,0)),IFERROR(INDEX('Catalog'!$B:$B,MATCH($G3200,'Catalog'!$A:$A,0)),$B3200))</f>
        <v>34  S מגן קרסול עקב סגור</v>
      </c>
      <c r="I3200" s="8" t="str">
        <f aca="false">IF($G3200="","Unmatched","Matched")</f>
        <v>Matched</v>
      </c>
    </row>
    <row r="3201" customFormat="false" ht="15" hidden="false" customHeight="false" outlineLevel="0" collapsed="false">
      <c r="A3201" s="8" t="s">
        <v>1052</v>
      </c>
      <c r="B3201" s="8" t="s">
        <v>576</v>
      </c>
      <c r="C3201" s="19" t="n">
        <v>16</v>
      </c>
      <c r="D3201" s="19" t="n">
        <v>330.11</v>
      </c>
      <c r="E3201" s="19" t="n">
        <v>22</v>
      </c>
      <c r="F3201" s="19" t="n">
        <v>412.9</v>
      </c>
      <c r="G3201" s="8" t="n">
        <f aca="false">IFERROR(INDEX('TRANS'!$B:$B,MATCH($B3201,'TRANS'!$A:$A,0)),IFERROR(INDEX('TRANS'!$B:$B,MATCH(TRIM(SUBSTITUTE($B3201,CHAR(160)," ")),'TRANS'!$D:$D,0)),IFERROR(INDEX('Catalog'!$A:$A,MATCH($B3201,'Catalog'!$B:$B,0)),IFERROR(INDEX('Catalog'!$A:$A,MATCH(TRIM(SUBSTITUTE($B3201,CHAR(160)," ")),'Catalog'!$C:$C,0)),""))))</f>
        <v>4413044</v>
      </c>
      <c r="H3201" s="8" t="str">
        <f aca="false">IFERROR(INDEX('TRANS'!$C:$C,MATCH($B3201,'TRANS'!$A:$A,0)),IFERROR(INDEX('Catalog'!$B:$B,MATCH($G3201,'Catalog'!$A:$A,0)),$B3201))</f>
        <v>34 XL מגן קרסול עקב סגור</v>
      </c>
      <c r="I3201" s="8" t="str">
        <f aca="false">IF($G3201="","Unmatched","Matched")</f>
        <v>Matched</v>
      </c>
    </row>
    <row r="3202" customFormat="false" ht="15" hidden="false" customHeight="false" outlineLevel="0" collapsed="false">
      <c r="A3202" s="8" t="s">
        <v>1052</v>
      </c>
      <c r="B3202" s="8" t="s">
        <v>744</v>
      </c>
      <c r="C3202" s="19" t="n">
        <v>6</v>
      </c>
      <c r="D3202" s="19" t="n">
        <v>133.49</v>
      </c>
      <c r="E3202" s="19" t="n">
        <v>6</v>
      </c>
      <c r="F3202" s="19" t="n">
        <v>115.4</v>
      </c>
      <c r="G3202" s="8" t="n">
        <f aca="false">IFERROR(INDEX('TRANS'!$B:$B,MATCH($B3202,'TRANS'!$A:$A,0)),IFERROR(INDEX('TRANS'!$B:$B,MATCH(TRIM(SUBSTITUTE($B3202,CHAR(160)," ")),'TRANS'!$D:$D,0)),IFERROR(INDEX('Catalog'!$A:$A,MATCH($B3202,'Catalog'!$B:$B,0)),IFERROR(INDEX('Catalog'!$A:$A,MATCH(TRIM(SUBSTITUTE($B3202,CHAR(160)," ")),'Catalog'!$C:$C,0)),""))))</f>
        <v>4413046</v>
      </c>
      <c r="H3202" s="8" t="str">
        <f aca="false">IFERROR(INDEX('TRANS'!$C:$C,MATCH($B3202,'TRANS'!$A:$A,0)),IFERROR(INDEX('Catalog'!$B:$B,MATCH($G3202,'Catalog'!$A:$A,0)),$B3202))</f>
        <v>34 XXL מגן קרסול עקב סגור</v>
      </c>
      <c r="I3202" s="8" t="str">
        <f aca="false">IF($G3202="","Unmatched","Matched")</f>
        <v>Matched</v>
      </c>
    </row>
    <row r="3203" customFormat="false" ht="15" hidden="false" customHeight="false" outlineLevel="0" collapsed="false">
      <c r="A3203" s="8" t="s">
        <v>1052</v>
      </c>
      <c r="B3203" s="8" t="s">
        <v>358</v>
      </c>
      <c r="C3203" s="19" t="n">
        <v>1</v>
      </c>
      <c r="D3203" s="19" t="n">
        <v>0.04</v>
      </c>
      <c r="E3203" s="19" t="n">
        <v>26</v>
      </c>
      <c r="F3203" s="19" t="n">
        <v>448.72</v>
      </c>
      <c r="G3203" s="8" t="n">
        <f aca="false">IFERROR(INDEX('TRANS'!$B:$B,MATCH($B3203,'TRANS'!$A:$A,0)),IFERROR(INDEX('TRANS'!$B:$B,MATCH(TRIM(SUBSTITUTE($B3203,CHAR(160)," ")),'TRANS'!$D:$D,0)),IFERROR(INDEX('Catalog'!$A:$A,MATCH($B3203,'Catalog'!$B:$B,0)),IFERROR(INDEX('Catalog'!$A:$A,MATCH(TRIM(SUBSTITUTE($B3203,CHAR(160)," ")),'Catalog'!$C:$C,0)),""))))</f>
        <v>4403040</v>
      </c>
      <c r="H3203" s="8" t="str">
        <f aca="false">IFERROR(INDEX('TRANS'!$C:$C,MATCH($B3203,'TRANS'!$A:$A,0)),IFERROR(INDEX('Catalog'!$B:$B,MATCH($G3203,'Catalog'!$A:$A,0)),$B3203))</f>
        <v>3444B גרבי ג'ל לריכוך עור העקב</v>
      </c>
      <c r="I3203" s="8" t="str">
        <f aca="false">IF($G3203="","Unmatched","Matched")</f>
        <v>Matched</v>
      </c>
    </row>
    <row r="3204" customFormat="false" ht="15" hidden="false" customHeight="false" outlineLevel="0" collapsed="false">
      <c r="A3204" s="8" t="s">
        <v>1052</v>
      </c>
      <c r="B3204" s="8" t="s">
        <v>133</v>
      </c>
      <c r="C3204" s="19" t="n">
        <v>20</v>
      </c>
      <c r="D3204" s="19" t="n">
        <v>199.82</v>
      </c>
      <c r="E3204" s="19" t="n">
        <v>0</v>
      </c>
      <c r="F3204" s="19" t="n">
        <v>0</v>
      </c>
      <c r="G3204" s="8" t="n">
        <f aca="false">IFERROR(INDEX('TRANS'!$B:$B,MATCH($B3204,'TRANS'!$A:$A,0)),IFERROR(INDEX('TRANS'!$B:$B,MATCH(TRIM(SUBSTITUTE($B3204,CHAR(160)," ")),'TRANS'!$D:$D,0)),IFERROR(INDEX('Catalog'!$A:$A,MATCH($B3204,'Catalog'!$B:$B,0)),IFERROR(INDEX('Catalog'!$A:$A,MATCH(TRIM(SUBSTITUTE($B3204,CHAR(160)," ")),'Catalog'!$C:$C,0)),""))))</f>
        <v>4413048</v>
      </c>
      <c r="H3204" s="8" t="str">
        <f aca="false">IFERROR(INDEX('TRANS'!$C:$C,MATCH($B3204,'TRANS'!$A:$A,0)),IFERROR(INDEX('Catalog'!$B:$B,MATCH($G3204,'Catalog'!$A:$A,0)),$B3204))</f>
        <v>35 L מגן קרסול לבן</v>
      </c>
      <c r="I3204" s="8" t="str">
        <f aca="false">IF($G3204="","Unmatched","Matched")</f>
        <v>Matched</v>
      </c>
    </row>
    <row r="3205" customFormat="false" ht="15" hidden="false" customHeight="false" outlineLevel="0" collapsed="false">
      <c r="A3205" s="8" t="s">
        <v>1052</v>
      </c>
      <c r="B3205" s="8" t="s">
        <v>134</v>
      </c>
      <c r="C3205" s="19" t="n">
        <v>20</v>
      </c>
      <c r="D3205" s="19" t="n">
        <v>199.82</v>
      </c>
      <c r="E3205" s="19" t="n">
        <v>6</v>
      </c>
      <c r="F3205" s="19" t="n">
        <v>53.18</v>
      </c>
      <c r="G3205" s="8" t="n">
        <f aca="false">IFERROR(INDEX('TRANS'!$B:$B,MATCH($B3205,'TRANS'!$A:$A,0)),IFERROR(INDEX('TRANS'!$B:$B,MATCH(TRIM(SUBSTITUTE($B3205,CHAR(160)," ")),'TRANS'!$D:$D,0)),IFERROR(INDEX('Catalog'!$A:$A,MATCH($B3205,'Catalog'!$B:$B,0)),IFERROR(INDEX('Catalog'!$A:$A,MATCH(TRIM(SUBSTITUTE($B3205,CHAR(160)," ")),'Catalog'!$C:$C,0)),""))))</f>
        <v>4413049</v>
      </c>
      <c r="H3205" s="8" t="str">
        <f aca="false">IFERROR(INDEX('TRANS'!$C:$C,MATCH($B3205,'TRANS'!$A:$A,0)),IFERROR(INDEX('Catalog'!$B:$B,MATCH($G3205,'Catalog'!$A:$A,0)),$B3205))</f>
        <v>35 M מגן קרסול לבן</v>
      </c>
      <c r="I3205" s="8" t="str">
        <f aca="false">IF($G3205="","Unmatched","Matched")</f>
        <v>Matched</v>
      </c>
    </row>
    <row r="3206" customFormat="false" ht="15" hidden="false" customHeight="false" outlineLevel="0" collapsed="false">
      <c r="A3206" s="8" t="s">
        <v>1052</v>
      </c>
      <c r="B3206" s="8" t="s">
        <v>360</v>
      </c>
      <c r="C3206" s="19" t="n">
        <v>10</v>
      </c>
      <c r="D3206" s="19" t="n">
        <v>97.43</v>
      </c>
      <c r="E3206" s="19" t="n">
        <v>0</v>
      </c>
      <c r="F3206" s="19" t="n">
        <v>0</v>
      </c>
      <c r="G3206" s="8" t="n">
        <f aca="false">IFERROR(INDEX('TRANS'!$B:$B,MATCH($B3206,'TRANS'!$A:$A,0)),IFERROR(INDEX('TRANS'!$B:$B,MATCH(TRIM(SUBSTITUTE($B3206,CHAR(160)," ")),'TRANS'!$D:$D,0)),IFERROR(INDEX('Catalog'!$A:$A,MATCH($B3206,'Catalog'!$B:$B,0)),IFERROR(INDEX('Catalog'!$A:$A,MATCH(TRIM(SUBSTITUTE($B3206,CHAR(160)," ")),'Catalog'!$C:$C,0)),""))))</f>
        <v>4413050</v>
      </c>
      <c r="H3206" s="8" t="str">
        <f aca="false">IFERROR(INDEX('TRANS'!$C:$C,MATCH($B3206,'TRANS'!$A:$A,0)),IFERROR(INDEX('Catalog'!$B:$B,MATCH($G3206,'Catalog'!$A:$A,0)),$B3206))</f>
        <v>35 XL מגן קרסול לבן</v>
      </c>
      <c r="I3206" s="8" t="str">
        <f aca="false">IF($G3206="","Unmatched","Matched")</f>
        <v>Matched</v>
      </c>
    </row>
    <row r="3207" customFormat="false" ht="15" hidden="false" customHeight="false" outlineLevel="0" collapsed="false">
      <c r="A3207" s="8" t="s">
        <v>1052</v>
      </c>
      <c r="B3207" s="8" t="s">
        <v>135</v>
      </c>
      <c r="C3207" s="19" t="n">
        <v>230</v>
      </c>
      <c r="D3207" s="19" t="n">
        <v>2506.49</v>
      </c>
      <c r="E3207" s="19" t="n">
        <v>180</v>
      </c>
      <c r="F3207" s="19" t="n">
        <v>1755.51</v>
      </c>
      <c r="G3207" s="8" t="n">
        <f aca="false">IFERROR(INDEX('TRANS'!$B:$B,MATCH($B3207,'TRANS'!$A:$A,0)),IFERROR(INDEX('TRANS'!$B:$B,MATCH(TRIM(SUBSTITUTE($B3207,CHAR(160)," ")),'TRANS'!$D:$D,0)),IFERROR(INDEX('Catalog'!$A:$A,MATCH($B3207,'Catalog'!$B:$B,0)),IFERROR(INDEX('Catalog'!$A:$A,MATCH(TRIM(SUBSTITUTE($B3207,CHAR(160)," ")),'Catalog'!$C:$C,0)),""))))</f>
        <v>4413490</v>
      </c>
      <c r="H3207" s="8" t="str">
        <f aca="false">IFERROR(INDEX('TRANS'!$C:$C,MATCH($B3207,'TRANS'!$A:$A,0)),IFERROR(INDEX('Catalog'!$B:$B,MATCH($G3207,'Catalog'!$A:$A,0)),$B3207))</f>
        <v>35B L מגן קרסול שחור</v>
      </c>
      <c r="I3207" s="8" t="str">
        <f aca="false">IF($G3207="","Unmatched","Matched")</f>
        <v>Matched</v>
      </c>
    </row>
    <row r="3208" customFormat="false" ht="15" hidden="false" customHeight="false" outlineLevel="0" collapsed="false">
      <c r="A3208" s="8" t="s">
        <v>1052</v>
      </c>
      <c r="B3208" s="8" t="s">
        <v>136</v>
      </c>
      <c r="C3208" s="19" t="n">
        <v>200</v>
      </c>
      <c r="D3208" s="19" t="n">
        <v>2169.33</v>
      </c>
      <c r="E3208" s="19" t="n">
        <v>180</v>
      </c>
      <c r="F3208" s="19" t="n">
        <v>1767.66</v>
      </c>
      <c r="G3208" s="8" t="n">
        <f aca="false">IFERROR(INDEX('TRANS'!$B:$B,MATCH($B3208,'TRANS'!$A:$A,0)),IFERROR(INDEX('TRANS'!$B:$B,MATCH(TRIM(SUBSTITUTE($B3208,CHAR(160)," ")),'TRANS'!$D:$D,0)),IFERROR(INDEX('Catalog'!$A:$A,MATCH($B3208,'Catalog'!$B:$B,0)),IFERROR(INDEX('Catalog'!$A:$A,MATCH(TRIM(SUBSTITUTE($B3208,CHAR(160)," ")),'Catalog'!$C:$C,0)),""))))</f>
        <v>4413492</v>
      </c>
      <c r="H3208" s="8" t="str">
        <f aca="false">IFERROR(INDEX('TRANS'!$C:$C,MATCH($B3208,'TRANS'!$A:$A,0)),IFERROR(INDEX('Catalog'!$B:$B,MATCH($G3208,'Catalog'!$A:$A,0)),$B3208))</f>
        <v>35B M מגן קרסול שחור</v>
      </c>
      <c r="I3208" s="8" t="str">
        <f aca="false">IF($G3208="","Unmatched","Matched")</f>
        <v>Matched</v>
      </c>
    </row>
    <row r="3209" customFormat="false" ht="15" hidden="false" customHeight="false" outlineLevel="0" collapsed="false">
      <c r="A3209" s="8" t="s">
        <v>1052</v>
      </c>
      <c r="B3209" s="8" t="s">
        <v>137</v>
      </c>
      <c r="C3209" s="19" t="n">
        <v>70</v>
      </c>
      <c r="D3209" s="19" t="n">
        <v>760.4</v>
      </c>
      <c r="E3209" s="19" t="n">
        <v>120</v>
      </c>
      <c r="F3209" s="19" t="n">
        <v>1161.27</v>
      </c>
      <c r="G3209" s="8" t="n">
        <f aca="false">IFERROR(INDEX('TRANS'!$B:$B,MATCH($B3209,'TRANS'!$A:$A,0)),IFERROR(INDEX('TRANS'!$B:$B,MATCH(TRIM(SUBSTITUTE($B3209,CHAR(160)," ")),'TRANS'!$D:$D,0)),IFERROR(INDEX('Catalog'!$A:$A,MATCH($B3209,'Catalog'!$B:$B,0)),IFERROR(INDEX('Catalog'!$A:$A,MATCH(TRIM(SUBSTITUTE($B3209,CHAR(160)," ")),'Catalog'!$C:$C,0)),""))))</f>
        <v>4413493</v>
      </c>
      <c r="H3209" s="8" t="str">
        <f aca="false">IFERROR(INDEX('TRANS'!$C:$C,MATCH($B3209,'TRANS'!$A:$A,0)),IFERROR(INDEX('Catalog'!$B:$B,MATCH($G3209,'Catalog'!$A:$A,0)),$B3209))</f>
        <v>35B S מגן קרסול שחור</v>
      </c>
      <c r="I3209" s="8" t="str">
        <f aca="false">IF($G3209="","Unmatched","Matched")</f>
        <v>Matched</v>
      </c>
    </row>
    <row r="3210" customFormat="false" ht="15" hidden="false" customHeight="false" outlineLevel="0" collapsed="false">
      <c r="A3210" s="8" t="s">
        <v>1052</v>
      </c>
      <c r="B3210" s="8" t="s">
        <v>138</v>
      </c>
      <c r="C3210" s="19" t="n">
        <v>155</v>
      </c>
      <c r="D3210" s="19" t="n">
        <v>1691.59</v>
      </c>
      <c r="E3210" s="19" t="n">
        <v>95</v>
      </c>
      <c r="F3210" s="19" t="n">
        <v>922.1</v>
      </c>
      <c r="G3210" s="8" t="n">
        <f aca="false">IFERROR(INDEX('TRANS'!$B:$B,MATCH($B3210,'TRANS'!$A:$A,0)),IFERROR(INDEX('TRANS'!$B:$B,MATCH(TRIM(SUBSTITUTE($B3210,CHAR(160)," ")),'TRANS'!$D:$D,0)),IFERROR(INDEX('Catalog'!$A:$A,MATCH($B3210,'Catalog'!$B:$B,0)),IFERROR(INDEX('Catalog'!$A:$A,MATCH(TRIM(SUBSTITUTE($B3210,CHAR(160)," ")),'Catalog'!$C:$C,0)),""))))</f>
        <v>4413491</v>
      </c>
      <c r="H3210" s="8" t="str">
        <f aca="false">IFERROR(INDEX('TRANS'!$C:$C,MATCH($B3210,'TRANS'!$A:$A,0)),IFERROR(INDEX('Catalog'!$B:$B,MATCH($G3210,'Catalog'!$A:$A,0)),$B3210))</f>
        <v>35B XL מגן קרסול שחור</v>
      </c>
      <c r="I3210" s="8" t="str">
        <f aca="false">IF($G3210="","Unmatched","Matched")</f>
        <v>Matched</v>
      </c>
    </row>
    <row r="3211" customFormat="false" ht="15" hidden="false" customHeight="false" outlineLevel="0" collapsed="false">
      <c r="A3211" s="8" t="s">
        <v>1052</v>
      </c>
      <c r="B3211" s="8" t="s">
        <v>139</v>
      </c>
      <c r="C3211" s="19" t="n">
        <v>35</v>
      </c>
      <c r="D3211" s="19" t="n">
        <v>385.93</v>
      </c>
      <c r="E3211" s="19" t="n">
        <v>31</v>
      </c>
      <c r="F3211" s="19" t="n">
        <v>308.96</v>
      </c>
      <c r="G3211" s="8" t="n">
        <f aca="false">IFERROR(INDEX('TRANS'!$B:$B,MATCH($B3211,'TRANS'!$A:$A,0)),IFERROR(INDEX('TRANS'!$B:$B,MATCH(TRIM(SUBSTITUTE($B3211,CHAR(160)," ")),'TRANS'!$D:$D,0)),IFERROR(INDEX('Catalog'!$A:$A,MATCH($B3211,'Catalog'!$B:$B,0)),IFERROR(INDEX('Catalog'!$A:$A,MATCH(TRIM(SUBSTITUTE($B3211,CHAR(160)," ")),'Catalog'!$C:$C,0)),""))))</f>
        <v>4413494</v>
      </c>
      <c r="H3211" s="8" t="str">
        <f aca="false">IFERROR(INDEX('TRANS'!$C:$C,MATCH($B3211,'TRANS'!$A:$A,0)),IFERROR(INDEX('Catalog'!$B:$B,MATCH($G3211,'Catalog'!$A:$A,0)),$B3211))</f>
        <v>35B XXL מגן קרסול שחור</v>
      </c>
      <c r="I3211" s="8" t="str">
        <f aca="false">IF($G3211="","Unmatched","Matched")</f>
        <v>Matched</v>
      </c>
    </row>
    <row r="3212" customFormat="false" ht="15" hidden="false" customHeight="false" outlineLevel="0" collapsed="false">
      <c r="A3212" s="8" t="s">
        <v>1052</v>
      </c>
      <c r="B3212" s="8" t="s">
        <v>140</v>
      </c>
      <c r="C3212" s="19" t="n">
        <v>100</v>
      </c>
      <c r="D3212" s="19" t="n">
        <v>1024.84</v>
      </c>
      <c r="E3212" s="19" t="n">
        <v>120</v>
      </c>
      <c r="F3212" s="19" t="n">
        <v>1120.49</v>
      </c>
      <c r="G3212" s="8" t="n">
        <f aca="false">IFERROR(INDEX('TRANS'!$B:$B,MATCH($B3212,'TRANS'!$A:$A,0)),IFERROR(INDEX('TRANS'!$B:$B,MATCH(TRIM(SUBSTITUTE($B3212,CHAR(160)," ")),'TRANS'!$D:$D,0)),IFERROR(INDEX('Catalog'!$A:$A,MATCH($B3212,'Catalog'!$B:$B,0)),IFERROR(INDEX('Catalog'!$A:$A,MATCH(TRIM(SUBSTITUTE($B3212,CHAR(160)," ")),'Catalog'!$C:$C,0)),""))))</f>
        <v>4413053</v>
      </c>
      <c r="H3212" s="8" t="str">
        <f aca="false">IFERROR(INDEX('TRANS'!$C:$C,MATCH($B3212,'TRANS'!$A:$A,0)),IFERROR(INDEX('Catalog'!$B:$B,MATCH($G3212,'Catalog'!$A:$A,0)),$B3212))</f>
        <v>35C L מגן קרסול חום</v>
      </c>
      <c r="I3212" s="8" t="str">
        <f aca="false">IF($G3212="","Unmatched","Matched")</f>
        <v>Matched</v>
      </c>
    </row>
    <row r="3213" customFormat="false" ht="15" hidden="false" customHeight="false" outlineLevel="0" collapsed="false">
      <c r="A3213" s="8" t="s">
        <v>1052</v>
      </c>
      <c r="B3213" s="8" t="s">
        <v>141</v>
      </c>
      <c r="C3213" s="19" t="n">
        <v>135</v>
      </c>
      <c r="D3213" s="19" t="n">
        <v>1378.31</v>
      </c>
      <c r="E3213" s="19" t="n">
        <v>150</v>
      </c>
      <c r="F3213" s="19" t="n">
        <v>1404.19</v>
      </c>
      <c r="G3213" s="8" t="n">
        <f aca="false">IFERROR(INDEX('TRANS'!$B:$B,MATCH($B3213,'TRANS'!$A:$A,0)),IFERROR(INDEX('TRANS'!$B:$B,MATCH(TRIM(SUBSTITUTE($B3213,CHAR(160)," ")),'TRANS'!$D:$D,0)),IFERROR(INDEX('Catalog'!$A:$A,MATCH($B3213,'Catalog'!$B:$B,0)),IFERROR(INDEX('Catalog'!$A:$A,MATCH(TRIM(SUBSTITUTE($B3213,CHAR(160)," ")),'Catalog'!$C:$C,0)),""))))</f>
        <v>4413054</v>
      </c>
      <c r="H3213" s="8" t="str">
        <f aca="false">IFERROR(INDEX('TRANS'!$C:$C,MATCH($B3213,'TRANS'!$A:$A,0)),IFERROR(INDEX('Catalog'!$B:$B,MATCH($G3213,'Catalog'!$A:$A,0)),$B3213))</f>
        <v>35C M מגן קרסול חום</v>
      </c>
      <c r="I3213" s="8" t="str">
        <f aca="false">IF($G3213="","Unmatched","Matched")</f>
        <v>Matched</v>
      </c>
    </row>
    <row r="3214" customFormat="false" ht="15" hidden="false" customHeight="false" outlineLevel="0" collapsed="false">
      <c r="A3214" s="8" t="s">
        <v>1052</v>
      </c>
      <c r="B3214" s="8" t="s">
        <v>142</v>
      </c>
      <c r="C3214" s="19" t="n">
        <v>35</v>
      </c>
      <c r="D3214" s="19" t="n">
        <v>352.64</v>
      </c>
      <c r="E3214" s="19" t="n">
        <v>60</v>
      </c>
      <c r="F3214" s="19" t="n">
        <v>557.42</v>
      </c>
      <c r="G3214" s="8" t="n">
        <f aca="false">IFERROR(INDEX('TRANS'!$B:$B,MATCH($B3214,'TRANS'!$A:$A,0)),IFERROR(INDEX('TRANS'!$B:$B,MATCH(TRIM(SUBSTITUTE($B3214,CHAR(160)," ")),'TRANS'!$D:$D,0)),IFERROR(INDEX('Catalog'!$A:$A,MATCH($B3214,'Catalog'!$B:$B,0)),IFERROR(INDEX('Catalog'!$A:$A,MATCH(TRIM(SUBSTITUTE($B3214,CHAR(160)," ")),'Catalog'!$C:$C,0)),""))))</f>
        <v>4413052</v>
      </c>
      <c r="H3214" s="8" t="str">
        <f aca="false">IFERROR(INDEX('TRANS'!$C:$C,MATCH($B3214,'TRANS'!$A:$A,0)),IFERROR(INDEX('Catalog'!$B:$B,MATCH($G3214,'Catalog'!$A:$A,0)),$B3214))</f>
        <v>35C S מגן קרסול חום</v>
      </c>
      <c r="I3214" s="8" t="str">
        <f aca="false">IF($G3214="","Unmatched","Matched")</f>
        <v>Matched</v>
      </c>
    </row>
    <row r="3215" customFormat="false" ht="15" hidden="false" customHeight="false" outlineLevel="0" collapsed="false">
      <c r="A3215" s="8" t="s">
        <v>1052</v>
      </c>
      <c r="B3215" s="8" t="s">
        <v>363</v>
      </c>
      <c r="C3215" s="19" t="n">
        <v>60</v>
      </c>
      <c r="D3215" s="19" t="n">
        <v>616.44</v>
      </c>
      <c r="E3215" s="19" t="n">
        <v>51</v>
      </c>
      <c r="F3215" s="19" t="n">
        <v>469.84</v>
      </c>
      <c r="G3215" s="8" t="n">
        <f aca="false">IFERROR(INDEX('TRANS'!$B:$B,MATCH($B3215,'TRANS'!$A:$A,0)),IFERROR(INDEX('TRANS'!$B:$B,MATCH(TRIM(SUBSTITUTE($B3215,CHAR(160)," ")),'TRANS'!$D:$D,0)),IFERROR(INDEX('Catalog'!$A:$A,MATCH($B3215,'Catalog'!$B:$B,0)),IFERROR(INDEX('Catalog'!$A:$A,MATCH(TRIM(SUBSTITUTE($B3215,CHAR(160)," ")),'Catalog'!$C:$C,0)),""))))</f>
        <v>4413055</v>
      </c>
      <c r="H3215" s="8" t="str">
        <f aca="false">IFERROR(INDEX('TRANS'!$C:$C,MATCH($B3215,'TRANS'!$A:$A,0)),IFERROR(INDEX('Catalog'!$B:$B,MATCH($G3215,'Catalog'!$A:$A,0)),$B3215))</f>
        <v>35C XL מגן קרסול חום</v>
      </c>
      <c r="I3215" s="8" t="str">
        <f aca="false">IF($G3215="","Unmatched","Matched")</f>
        <v>Matched</v>
      </c>
    </row>
    <row r="3216" customFormat="false" ht="15" hidden="false" customHeight="false" outlineLevel="0" collapsed="false">
      <c r="A3216" s="8" t="s">
        <v>1052</v>
      </c>
      <c r="B3216" s="8" t="s">
        <v>144</v>
      </c>
      <c r="C3216" s="19" t="n">
        <v>6</v>
      </c>
      <c r="D3216" s="19" t="n">
        <v>59.89</v>
      </c>
      <c r="E3216" s="19" t="n">
        <v>24</v>
      </c>
      <c r="F3216" s="19" t="n">
        <v>223.21</v>
      </c>
      <c r="G3216" s="8" t="str">
        <f aca="false">IFERROR(INDEX('TRANS'!$B:$B,MATCH($B3216,'TRANS'!$A:$A,0)),IFERROR(INDEX('TRANS'!$B:$B,MATCH(TRIM(SUBSTITUTE($B3216,CHAR(160)," ")),'TRANS'!$D:$D,0)),IFERROR(INDEX('Catalog'!$A:$A,MATCH($B3216,'Catalog'!$B:$B,0)),IFERROR(INDEX('Catalog'!$A:$A,MATCH(TRIM(SUBSTITUTE($B3216,CHAR(160)," ")),'Catalog'!$C:$C,0)),""))))</f>
        <v/>
      </c>
      <c r="H3216" s="8" t="str">
        <f aca="false">IFERROR(INDEX('TRANS'!$C:$C,MATCH($B3216,'TRANS'!$A:$A,0)),IFERROR(INDEX('Catalog'!$B:$B,MATCH($G3216,'Catalog'!$A:$A,0)),$B3216))</f>
        <v>35C XXL</v>
      </c>
      <c r="I3216" s="8" t="str">
        <f aca="false">IF($G3216="","Unmatched","Matched")</f>
        <v>Unmatched</v>
      </c>
    </row>
    <row r="3217" customFormat="false" ht="15" hidden="false" customHeight="false" outlineLevel="0" collapsed="false">
      <c r="A3217" s="8" t="s">
        <v>1052</v>
      </c>
      <c r="B3217" s="8" t="s">
        <v>145</v>
      </c>
      <c r="C3217" s="19" t="n">
        <v>220</v>
      </c>
      <c r="D3217" s="19" t="n">
        <v>5456.05</v>
      </c>
      <c r="E3217" s="19" t="n">
        <v>160</v>
      </c>
      <c r="F3217" s="19" t="n">
        <v>3525.24</v>
      </c>
      <c r="G3217" s="8" t="n">
        <f aca="false">IFERROR(INDEX('TRANS'!$B:$B,MATCH($B3217,'TRANS'!$A:$A,0)),IFERROR(INDEX('TRANS'!$B:$B,MATCH(TRIM(SUBSTITUTE($B3217,CHAR(160)," ")),'TRANS'!$D:$D,0)),IFERROR(INDEX('Catalog'!$A:$A,MATCH($B3217,'Catalog'!$B:$B,0)),IFERROR(INDEX('Catalog'!$A:$A,MATCH(TRIM(SUBSTITUTE($B3217,CHAR(160)," ")),'Catalog'!$C:$C,0)),""))))</f>
        <v>4421007</v>
      </c>
      <c r="H3217" s="8" t="str">
        <f aca="false">IFERROR(INDEX('TRANS'!$C:$C,MATCH($B3217,'TRANS'!$A:$A,0)),IFERROR(INDEX('Catalog'!$B:$B,MATCH($G3217,'Catalog'!$A:$A,0)),$B3217))</f>
        <v>שרוול לגבס קצר רגל</v>
      </c>
      <c r="I3217" s="8" t="str">
        <f aca="false">IF($G3217="","Unmatched","Matched")</f>
        <v>Matched</v>
      </c>
    </row>
    <row r="3218" customFormat="false" ht="15" hidden="false" customHeight="false" outlineLevel="0" collapsed="false">
      <c r="A3218" s="8" t="s">
        <v>1052</v>
      </c>
      <c r="B3218" s="8" t="s">
        <v>146</v>
      </c>
      <c r="C3218" s="19" t="n">
        <v>240</v>
      </c>
      <c r="D3218" s="19" t="n">
        <v>6330.7</v>
      </c>
      <c r="E3218" s="19" t="n">
        <v>170</v>
      </c>
      <c r="F3218" s="19" t="n">
        <v>4025.84</v>
      </c>
      <c r="G3218" s="8" t="n">
        <f aca="false">IFERROR(INDEX('TRANS'!$B:$B,MATCH($B3218,'TRANS'!$A:$A,0)),IFERROR(INDEX('TRANS'!$B:$B,MATCH(TRIM(SUBSTITUTE($B3218,CHAR(160)," ")),'TRANS'!$D:$D,0)),IFERROR(INDEX('Catalog'!$A:$A,MATCH($B3218,'Catalog'!$B:$B,0)),IFERROR(INDEX('Catalog'!$A:$A,MATCH(TRIM(SUBSTITUTE($B3218,CHAR(160)," ")),'Catalog'!$C:$C,0)),""))))</f>
        <v>4421008</v>
      </c>
      <c r="H3218" s="8" t="str">
        <f aca="false">IFERROR(INDEX('TRANS'!$C:$C,MATCH($B3218,'TRANS'!$A:$A,0)),IFERROR(INDEX('Catalog'!$B:$B,MATCH($G3218,'Catalog'!$A:$A,0)),$B3218))</f>
        <v>שרוול לגבס ארוך רגל</v>
      </c>
      <c r="I3218" s="8" t="str">
        <f aca="false">IF($G3218="","Unmatched","Matched")</f>
        <v>Matched</v>
      </c>
    </row>
    <row r="3219" customFormat="false" ht="15" hidden="false" customHeight="false" outlineLevel="0" collapsed="false">
      <c r="A3219" s="8" t="s">
        <v>1052</v>
      </c>
      <c r="B3219" s="8" t="s">
        <v>147</v>
      </c>
      <c r="C3219" s="19" t="n">
        <v>0</v>
      </c>
      <c r="D3219" s="19" t="n">
        <v>0</v>
      </c>
      <c r="E3219" s="19" t="n">
        <v>21</v>
      </c>
      <c r="F3219" s="19" t="n">
        <v>587.6</v>
      </c>
      <c r="G3219" s="8" t="n">
        <f aca="false">IFERROR(INDEX('TRANS'!$B:$B,MATCH($B3219,'TRANS'!$A:$A,0)),IFERROR(INDEX('TRANS'!$B:$B,MATCH(TRIM(SUBSTITUTE($B3219,CHAR(160)," ")),'TRANS'!$D:$D,0)),IFERROR(INDEX('Catalog'!$A:$A,MATCH($B3219,'Catalog'!$B:$B,0)),IFERROR(INDEX('Catalog'!$A:$A,MATCH(TRIM(SUBSTITUTE($B3219,CHAR(160)," ")),'Catalog'!$C:$C,0)),""))))</f>
        <v>4421001</v>
      </c>
      <c r="H3219" s="8" t="str">
        <f aca="false">IFERROR(INDEX('TRANS'!$C:$C,MATCH($B3219,'TRANS'!$A:$A,0)),IFERROR(INDEX('Catalog'!$B:$B,MATCH($G3219,'Catalog'!$A:$A,0)),$B3219))</f>
        <v>3611 שרוול מטטרזלי מסיליקון</v>
      </c>
      <c r="I3219" s="8" t="str">
        <f aca="false">IF($G3219="","Unmatched","Matched")</f>
        <v>Matched</v>
      </c>
    </row>
    <row r="3220" customFormat="false" ht="15" hidden="false" customHeight="false" outlineLevel="0" collapsed="false">
      <c r="A3220" s="8" t="s">
        <v>1052</v>
      </c>
      <c r="B3220" s="8" t="s">
        <v>148</v>
      </c>
      <c r="C3220" s="19" t="n">
        <v>6</v>
      </c>
      <c r="D3220" s="19" t="n">
        <v>84.19</v>
      </c>
      <c r="E3220" s="19" t="n">
        <v>18</v>
      </c>
      <c r="F3220" s="19" t="n">
        <v>225.73</v>
      </c>
      <c r="G3220" s="8" t="n">
        <f aca="false">IFERROR(INDEX('TRANS'!$B:$B,MATCH($B3220,'TRANS'!$A:$A,0)),IFERROR(INDEX('TRANS'!$B:$B,MATCH(TRIM(SUBSTITUTE($B3220,CHAR(160)," ")),'TRANS'!$D:$D,0)),IFERROR(INDEX('Catalog'!$A:$A,MATCH($B3220,'Catalog'!$B:$B,0)),IFERROR(INDEX('Catalog'!$A:$A,MATCH(TRIM(SUBSTITUTE($B3220,CHAR(160)," ")),'Catalog'!$C:$C,0)),""))))</f>
        <v>4411000</v>
      </c>
      <c r="H3220" s="8" t="str">
        <f aca="false">IFERROR(INDEX('TRANS'!$C:$C,MATCH($B3220,'TRANS'!$A:$A,0)),IFERROR(INDEX('Catalog'!$B:$B,MATCH($G3220,'Catalog'!$A:$A,0)),$B3220))</f>
        <v>כרית מטטרזלי סיליקון362</v>
      </c>
      <c r="I3220" s="8" t="str">
        <f aca="false">IF($G3220="","Unmatched","Matched")</f>
        <v>Matched</v>
      </c>
    </row>
    <row r="3221" customFormat="false" ht="15" hidden="false" customHeight="false" outlineLevel="0" collapsed="false">
      <c r="A3221" s="8" t="s">
        <v>1052</v>
      </c>
      <c r="B3221" s="8" t="s">
        <v>150</v>
      </c>
      <c r="C3221" s="19" t="n">
        <v>136</v>
      </c>
      <c r="D3221" s="19" t="n">
        <v>2135.79</v>
      </c>
      <c r="E3221" s="19" t="n">
        <v>170</v>
      </c>
      <c r="F3221" s="19" t="n">
        <v>2362.38</v>
      </c>
      <c r="G3221" s="8" t="n">
        <f aca="false">IFERROR(INDEX('TRANS'!$B:$B,MATCH($B3221,'TRANS'!$A:$A,0)),IFERROR(INDEX('TRANS'!$B:$B,MATCH(TRIM(SUBSTITUTE($B3221,CHAR(160)," ")),'TRANS'!$D:$D,0)),IFERROR(INDEX('Catalog'!$A:$A,MATCH($B3221,'Catalog'!$B:$B,0)),IFERROR(INDEX('Catalog'!$A:$A,MATCH(TRIM(SUBSTITUTE($B3221,CHAR(160)," ")),'Catalog'!$C:$C,0)),""))))</f>
        <v>4411001</v>
      </c>
      <c r="H3221" s="8" t="str">
        <f aca="false">IFERROR(INDEX('TRANS'!$C:$C,MATCH($B3221,'TRANS'!$A:$A,0)),IFERROR(INDEX('Catalog'!$B:$B,MATCH($G3221,'Catalog'!$A:$A,0)),$B3221))</f>
        <v>3623 כרית ליישור אצבע פטיש</v>
      </c>
      <c r="I3221" s="8" t="str">
        <f aca="false">IF($G3221="","Unmatched","Matched")</f>
        <v>Matched</v>
      </c>
    </row>
    <row r="3222" customFormat="false" ht="15" hidden="false" customHeight="false" outlineLevel="0" collapsed="false">
      <c r="A3222" s="8" t="s">
        <v>1052</v>
      </c>
      <c r="B3222" s="8" t="s">
        <v>477</v>
      </c>
      <c r="C3222" s="19" t="n">
        <v>0</v>
      </c>
      <c r="D3222" s="19" t="n">
        <v>0</v>
      </c>
      <c r="E3222" s="19" t="n">
        <v>1</v>
      </c>
      <c r="F3222" s="19" t="n">
        <v>0.03</v>
      </c>
      <c r="G3222" s="8" t="str">
        <f aca="false">IFERROR(INDEX('TRANS'!$B:$B,MATCH($B3222,'TRANS'!$A:$A,0)),IFERROR(INDEX('TRANS'!$B:$B,MATCH(TRIM(SUBSTITUTE($B3222,CHAR(160)," ")),'TRANS'!$D:$D,0)),IFERROR(INDEX('Catalog'!$A:$A,MATCH($B3222,'Catalog'!$B:$B,0)),IFERROR(INDEX('Catalog'!$A:$A,MATCH(TRIM(SUBSTITUTE($B3222,CHAR(160)," ")),'Catalog'!$C:$C,0)),""))))</f>
        <v/>
      </c>
      <c r="H3222" s="8" t="str">
        <f aca="false">IFERROR(INDEX('TRANS'!$C:$C,MATCH($B3222,'TRANS'!$A:$A,0)),IFERROR(INDEX('Catalog'!$B:$B,MATCH($G3222,'Catalog'!$A:$A,0)),$B3222))</f>
        <v>364XL+ 0</v>
      </c>
      <c r="I3222" s="8" t="str">
        <f aca="false">IF($G3222="","Unmatched","Matched")</f>
        <v>Unmatched</v>
      </c>
    </row>
    <row r="3223" customFormat="false" ht="15" hidden="false" customHeight="false" outlineLevel="0" collapsed="false">
      <c r="A3223" s="8" t="s">
        <v>1052</v>
      </c>
      <c r="B3223" s="8" t="s">
        <v>154</v>
      </c>
      <c r="C3223" s="19" t="n">
        <v>300</v>
      </c>
      <c r="D3223" s="19" t="n">
        <v>1576.45</v>
      </c>
      <c r="E3223" s="19" t="n">
        <v>40</v>
      </c>
      <c r="F3223" s="19" t="n">
        <v>196.74</v>
      </c>
      <c r="G3223" s="8" t="n">
        <f aca="false">IFERROR(INDEX('TRANS'!$B:$B,MATCH($B3223,'TRANS'!$A:$A,0)),IFERROR(INDEX('TRANS'!$B:$B,MATCH(TRIM(SUBSTITUTE($B3223,CHAR(160)," ")),'TRANS'!$D:$D,0)),IFERROR(INDEX('Catalog'!$A:$A,MATCH($B3223,'Catalog'!$B:$B,0)),IFERROR(INDEX('Catalog'!$A:$A,MATCH(TRIM(SUBSTITUTE($B3223,CHAR(160)," ")),'Catalog'!$C:$C,0)),""))))</f>
        <v>4413061</v>
      </c>
      <c r="H3223" s="8" t="str">
        <f aca="false">IFERROR(INDEX('TRANS'!$C:$C,MATCH($B3223,'TRANS'!$A:$A,0)),IFERROR(INDEX('Catalog'!$B:$B,MATCH($G3223,'Catalog'!$A:$A,0)),$B3223))</f>
        <v>3641-מיישר בוהן סיליקון קשיח</v>
      </c>
      <c r="I3223" s="8" t="str">
        <f aca="false">IF($G3223="","Unmatched","Matched")</f>
        <v>Matched</v>
      </c>
    </row>
    <row r="3224" customFormat="false" ht="15" hidden="false" customHeight="false" outlineLevel="0" collapsed="false">
      <c r="A3224" s="8" t="s">
        <v>1052</v>
      </c>
      <c r="B3224" s="8" t="s">
        <v>156</v>
      </c>
      <c r="C3224" s="19" t="n">
        <v>290</v>
      </c>
      <c r="D3224" s="19" t="n">
        <v>2483.87</v>
      </c>
      <c r="E3224" s="19" t="n">
        <v>370</v>
      </c>
      <c r="F3224" s="19" t="n">
        <v>2824.71</v>
      </c>
      <c r="G3224" s="8" t="n">
        <f aca="false">IFERROR(INDEX('TRANS'!$B:$B,MATCH($B3224,'TRANS'!$A:$A,0)),IFERROR(INDEX('TRANS'!$B:$B,MATCH(TRIM(SUBSTITUTE($B3224,CHAR(160)," ")),'TRANS'!$D:$D,0)),IFERROR(INDEX('Catalog'!$A:$A,MATCH($B3224,'Catalog'!$B:$B,0)),IFERROR(INDEX('Catalog'!$A:$A,MATCH(TRIM(SUBSTITUTE($B3224,CHAR(160)," ")),'Catalog'!$C:$C,0)),""))))</f>
        <v>4421000</v>
      </c>
      <c r="H3224" s="8" t="str">
        <f aca="false">IFERROR(INDEX('TRANS'!$C:$C,MATCH($B3224,'TRANS'!$A:$A,0)),IFERROR(INDEX('Catalog'!$B:$B,MATCH($G3224,'Catalog'!$A:$A,0)),$B3224))</f>
        <v>3655 שרוול מסיליקון לאצבע</v>
      </c>
      <c r="I3224" s="8" t="str">
        <f aca="false">IF($G3224="","Unmatched","Matched")</f>
        <v>Matched</v>
      </c>
    </row>
    <row r="3225" customFormat="false" ht="15" hidden="false" customHeight="false" outlineLevel="0" collapsed="false">
      <c r="A3225" s="8" t="s">
        <v>1052</v>
      </c>
      <c r="B3225" s="8" t="s">
        <v>158</v>
      </c>
      <c r="C3225" s="19" t="n">
        <v>16</v>
      </c>
      <c r="D3225" s="19" t="n">
        <v>245.68</v>
      </c>
      <c r="E3225" s="19" t="n">
        <v>38</v>
      </c>
      <c r="F3225" s="19" t="n">
        <v>547.34</v>
      </c>
      <c r="G3225" s="8" t="n">
        <f aca="false">IFERROR(INDEX('TRANS'!$B:$B,MATCH($B3225,'TRANS'!$A:$A,0)),IFERROR(INDEX('TRANS'!$B:$B,MATCH(TRIM(SUBSTITUTE($B3225,CHAR(160)," ")),'TRANS'!$D:$D,0)),IFERROR(INDEX('Catalog'!$A:$A,MATCH($B3225,'Catalog'!$B:$B,0)),IFERROR(INDEX('Catalog'!$A:$A,MATCH(TRIM(SUBSTITUTE($B3225,CHAR(160)," ")),'Catalog'!$C:$C,0)),""))))</f>
        <v>4413307</v>
      </c>
      <c r="H3225" s="8" t="str">
        <f aca="false">IFERROR(INDEX('TRANS'!$C:$C,MATCH($B3225,'TRANS'!$A:$A,0)),IFERROR(INDEX('Catalog'!$B:$B,MATCH($G3225,'Catalog'!$A:$A,0)),$B3225))</f>
        <v>URI 3667 מגן בוניון</v>
      </c>
      <c r="I3225" s="8" t="str">
        <f aca="false">IF($G3225="","Unmatched","Matched")</f>
        <v>Matched</v>
      </c>
    </row>
    <row r="3226" customFormat="false" ht="15" hidden="false" customHeight="false" outlineLevel="0" collapsed="false">
      <c r="A3226" s="8" t="s">
        <v>1052</v>
      </c>
      <c r="B3226" s="8" t="s">
        <v>160</v>
      </c>
      <c r="C3226" s="19" t="n">
        <v>16</v>
      </c>
      <c r="D3226" s="19" t="n">
        <v>277.58</v>
      </c>
      <c r="E3226" s="19" t="n">
        <v>46</v>
      </c>
      <c r="F3226" s="19" t="n">
        <v>762.78</v>
      </c>
      <c r="G3226" s="8" t="n">
        <f aca="false">IFERROR(INDEX('TRANS'!$B:$B,MATCH($B3226,'TRANS'!$A:$A,0)),IFERROR(INDEX('TRANS'!$B:$B,MATCH(TRIM(SUBSTITUTE($B3226,CHAR(160)," ")),'TRANS'!$D:$D,0)),IFERROR(INDEX('Catalog'!$A:$A,MATCH($B3226,'Catalog'!$B:$B,0)),IFERROR(INDEX('Catalog'!$A:$A,MATCH(TRIM(SUBSTITUTE($B3226,CHAR(160)," ")),'Catalog'!$C:$C,0)),""))))</f>
        <v>4421003</v>
      </c>
      <c r="H3226" s="8" t="str">
        <f aca="false">IFERROR(INDEX('TRANS'!$C:$C,MATCH($B3226,'TRANS'!$A:$A,0)),IFERROR(INDEX('Catalog'!$B:$B,MATCH($G3226,'Catalog'!$A:$A,0)),$B3226))</f>
        <v>3672 שרוול מגן לבוניון</v>
      </c>
      <c r="I3226" s="8" t="str">
        <f aca="false">IF($G3226="","Unmatched","Matched")</f>
        <v>Matched</v>
      </c>
    </row>
    <row r="3227" customFormat="false" ht="15" hidden="false" customHeight="false" outlineLevel="0" collapsed="false">
      <c r="A3227" s="8" t="s">
        <v>1052</v>
      </c>
      <c r="B3227" s="8" t="s">
        <v>161</v>
      </c>
      <c r="C3227" s="19" t="n">
        <v>38</v>
      </c>
      <c r="D3227" s="19" t="n">
        <v>608.77</v>
      </c>
      <c r="E3227" s="19" t="n">
        <v>56</v>
      </c>
      <c r="F3227" s="19" t="n">
        <v>820.4</v>
      </c>
      <c r="G3227" s="8" t="n">
        <f aca="false">IFERROR(INDEX('TRANS'!$B:$B,MATCH($B3227,'TRANS'!$A:$A,0)),IFERROR(INDEX('TRANS'!$B:$B,MATCH(TRIM(SUBSTITUTE($B3227,CHAR(160)," ")),'TRANS'!$D:$D,0)),IFERROR(INDEX('Catalog'!$A:$A,MATCH($B3227,'Catalog'!$B:$B,0)),IFERROR(INDEX('Catalog'!$A:$A,MATCH(TRIM(SUBSTITUTE($B3227,CHAR(160)," ")),'Catalog'!$C:$C,0)),""))))</f>
        <v>4413370</v>
      </c>
      <c r="H3227" s="8" t="str">
        <f aca="false">IFERROR(INDEX('TRANS'!$C:$C,MATCH($B3227,'TRANS'!$A:$A,0)),IFERROR(INDEX('Catalog'!$B:$B,MATCH($G3227,'Catalog'!$A:$A,0)),$B3227))</f>
        <v>3674 0 מ.בוניון+מפריד אצבע</v>
      </c>
      <c r="I3227" s="8" t="str">
        <f aca="false">IF($G3227="","Unmatched","Matched")</f>
        <v>Matched</v>
      </c>
    </row>
    <row r="3228" customFormat="false" ht="15" hidden="false" customHeight="false" outlineLevel="0" collapsed="false">
      <c r="A3228" s="8" t="s">
        <v>1052</v>
      </c>
      <c r="B3228" s="8" t="s">
        <v>162</v>
      </c>
      <c r="C3228" s="19" t="n">
        <v>0</v>
      </c>
      <c r="D3228" s="19" t="n">
        <v>0</v>
      </c>
      <c r="E3228" s="19" t="n">
        <v>38</v>
      </c>
      <c r="F3228" s="19" t="n">
        <v>462.83</v>
      </c>
      <c r="G3228" s="8" t="n">
        <f aca="false">IFERROR(INDEX('TRANS'!$B:$B,MATCH($B3228,'TRANS'!$A:$A,0)),IFERROR(INDEX('TRANS'!$B:$B,MATCH(TRIM(SUBSTITUTE($B3228,CHAR(160)," ")),'TRANS'!$D:$D,0)),IFERROR(INDEX('Catalog'!$A:$A,MATCH($B3228,'Catalog'!$B:$B,0)),IFERROR(INDEX('Catalog'!$A:$A,MATCH(TRIM(SUBSTITUTE($B3228,CHAR(160)," ")),'Catalog'!$C:$C,0)),""))))</f>
        <v>4413371</v>
      </c>
      <c r="H3228" s="8" t="str">
        <f aca="false">IFERROR(INDEX('TRANS'!$C:$C,MATCH($B3228,'TRANS'!$A:$A,0)),IFERROR(INDEX('Catalog'!$B:$B,MATCH($G3228,'Catalog'!$A:$A,0)),$B3228))</f>
        <v>3675    מגן זרת מסיליקון</v>
      </c>
      <c r="I3228" s="8" t="str">
        <f aca="false">IF($G3228="","Unmatched","Matched")</f>
        <v>Matched</v>
      </c>
    </row>
    <row r="3229" customFormat="false" ht="15" hidden="false" customHeight="false" outlineLevel="0" collapsed="false">
      <c r="A3229" s="8" t="s">
        <v>1052</v>
      </c>
      <c r="B3229" s="8" t="s">
        <v>165</v>
      </c>
      <c r="C3229" s="19" t="n">
        <v>110</v>
      </c>
      <c r="D3229" s="19" t="n">
        <v>682.52</v>
      </c>
      <c r="E3229" s="19" t="n">
        <v>120</v>
      </c>
      <c r="F3229" s="19" t="n">
        <v>675.87</v>
      </c>
      <c r="G3229" s="8" t="n">
        <f aca="false">IFERROR(INDEX('TRANS'!$B:$B,MATCH($B3229,'TRANS'!$A:$A,0)),IFERROR(INDEX('TRANS'!$B:$B,MATCH(TRIM(SUBSTITUTE($B3229,CHAR(160)," ")),'TRANS'!$D:$D,0)),IFERROR(INDEX('Catalog'!$A:$A,MATCH($B3229,'Catalog'!$B:$B,0)),IFERROR(INDEX('Catalog'!$A:$A,MATCH(TRIM(SUBSTITUTE($B3229,CHAR(160)," ")),'Catalog'!$C:$C,0)),""))))</f>
        <v>4420000</v>
      </c>
      <c r="H3229" s="8" t="str">
        <f aca="false">IFERROR(INDEX('TRANS'!$C:$C,MATCH($B3229,'TRANS'!$A:$A,0)),IFERROR(INDEX('Catalog'!$B:$B,MATCH($G3229,'Catalog'!$A:$A,0)),$B3229))</f>
        <v>370  רפידת נוחות-זוג</v>
      </c>
      <c r="I3229" s="8" t="str">
        <f aca="false">IF($G3229="","Unmatched","Matched")</f>
        <v>Matched</v>
      </c>
    </row>
    <row r="3230" customFormat="false" ht="15" hidden="false" customHeight="false" outlineLevel="0" collapsed="false">
      <c r="A3230" s="8" t="s">
        <v>1052</v>
      </c>
      <c r="B3230" s="8" t="s">
        <v>166</v>
      </c>
      <c r="C3230" s="19" t="n">
        <v>45</v>
      </c>
      <c r="D3230" s="19" t="n">
        <v>291.19</v>
      </c>
      <c r="E3230" s="19" t="n">
        <v>80</v>
      </c>
      <c r="F3230" s="19" t="n">
        <v>475.96</v>
      </c>
      <c r="G3230" s="8" t="n">
        <f aca="false">IFERROR(INDEX('TRANS'!$B:$B,MATCH($B3230,'TRANS'!$A:$A,0)),IFERROR(INDEX('TRANS'!$B:$B,MATCH(TRIM(SUBSTITUTE($B3230,CHAR(160)," ")),'TRANS'!$D:$D,0)),IFERROR(INDEX('Catalog'!$A:$A,MATCH($B3230,'Catalog'!$B:$B,0)),IFERROR(INDEX('Catalog'!$A:$A,MATCH(TRIM(SUBSTITUTE($B3230,CHAR(160)," ")),'Catalog'!$C:$C,0)),""))))</f>
        <v>4420027</v>
      </c>
      <c r="H3230" s="8" t="str">
        <f aca="false">IFERROR(INDEX('TRANS'!$C:$C,MATCH($B3230,'TRANS'!$A:$A,0)),IFERROR(INDEX('Catalog'!$B:$B,MATCH($G3230,'Catalog'!$A:$A,0)),$B3230))</f>
        <v>370K 0 רפידת לילדים אנטי ריח</v>
      </c>
      <c r="I3230" s="8" t="str">
        <f aca="false">IF($G3230="","Unmatched","Matched")</f>
        <v>Matched</v>
      </c>
    </row>
    <row r="3231" customFormat="false" ht="15" hidden="false" customHeight="false" outlineLevel="0" collapsed="false">
      <c r="A3231" s="8" t="s">
        <v>1052</v>
      </c>
      <c r="B3231" s="8" t="s">
        <v>167</v>
      </c>
      <c r="C3231" s="19" t="n">
        <v>100</v>
      </c>
      <c r="D3231" s="19" t="n">
        <v>613.89</v>
      </c>
      <c r="E3231" s="19" t="n">
        <v>110</v>
      </c>
      <c r="F3231" s="19" t="n">
        <v>588.8</v>
      </c>
      <c r="G3231" s="8" t="n">
        <f aca="false">IFERROR(INDEX('TRANS'!$B:$B,MATCH($B3231,'TRANS'!$A:$A,0)),IFERROR(INDEX('TRANS'!$B:$B,MATCH(TRIM(SUBSTITUTE($B3231,CHAR(160)," ")),'TRANS'!$D:$D,0)),IFERROR(INDEX('Catalog'!$A:$A,MATCH($B3231,'Catalog'!$B:$B,0)),IFERROR(INDEX('Catalog'!$A:$A,MATCH(TRIM(SUBSTITUTE($B3231,CHAR(160)," ")),'Catalog'!$C:$C,0)),""))))</f>
        <v>4420001</v>
      </c>
      <c r="H3231" s="8" t="str">
        <f aca="false">IFERROR(INDEX('TRANS'!$C:$C,MATCH($B3231,'TRANS'!$A:$A,0)),IFERROR(INDEX('Catalog'!$B:$B,MATCH($G3231,'Catalog'!$A:$A,0)),$B3231))</f>
        <v>371 רפידת מגבת כותנה-זוג</v>
      </c>
      <c r="I3231" s="8" t="str">
        <f aca="false">IF($G3231="","Unmatched","Matched")</f>
        <v>Matched</v>
      </c>
    </row>
    <row r="3232" customFormat="false" ht="15" hidden="false" customHeight="false" outlineLevel="0" collapsed="false">
      <c r="A3232" s="8" t="s">
        <v>1052</v>
      </c>
      <c r="B3232" s="8" t="s">
        <v>168</v>
      </c>
      <c r="C3232" s="19" t="n">
        <v>155</v>
      </c>
      <c r="D3232" s="19" t="n">
        <v>1090.36</v>
      </c>
      <c r="E3232" s="19" t="n">
        <v>185</v>
      </c>
      <c r="F3232" s="19" t="n">
        <v>1182.72</v>
      </c>
      <c r="G3232" s="8" t="n">
        <f aca="false">IFERROR(INDEX('TRANS'!$B:$B,MATCH($B3232,'TRANS'!$A:$A,0)),IFERROR(INDEX('TRANS'!$B:$B,MATCH(TRIM(SUBSTITUTE($B3232,CHAR(160)," ")),'TRANS'!$D:$D,0)),IFERROR(INDEX('Catalog'!$A:$A,MATCH($B3232,'Catalog'!$B:$B,0)),IFERROR(INDEX('Catalog'!$A:$A,MATCH(TRIM(SUBSTITUTE($B3232,CHAR(160)," ")),'Catalog'!$C:$C,0)),""))))</f>
        <v>4420002</v>
      </c>
      <c r="H3232" s="8" t="str">
        <f aca="false">IFERROR(INDEX('TRANS'!$C:$C,MATCH($B3232,'TRANS'!$A:$A,0)),IFERROR(INDEX('Catalog'!$B:$B,MATCH($G3232,'Catalog'!$A:$A,0)),$B3232))</f>
        <v>372 רפידת אנטי ריח -זוג</v>
      </c>
      <c r="I3232" s="8" t="str">
        <f aca="false">IF($G3232="","Unmatched","Matched")</f>
        <v>Matched</v>
      </c>
    </row>
    <row r="3233" customFormat="false" ht="15" hidden="false" customHeight="false" outlineLevel="0" collapsed="false">
      <c r="A3233" s="8" t="s">
        <v>1052</v>
      </c>
      <c r="B3233" s="8" t="s">
        <v>169</v>
      </c>
      <c r="C3233" s="19" t="n">
        <v>65</v>
      </c>
      <c r="D3233" s="19" t="n">
        <v>552.9</v>
      </c>
      <c r="E3233" s="19" t="n">
        <v>70</v>
      </c>
      <c r="F3233" s="19" t="n">
        <v>539.09</v>
      </c>
      <c r="G3233" s="8" t="n">
        <f aca="false">IFERROR(INDEX('TRANS'!$B:$B,MATCH($B3233,'TRANS'!$A:$A,0)),IFERROR(INDEX('TRANS'!$B:$B,MATCH(TRIM(SUBSTITUTE($B3233,CHAR(160)," ")),'TRANS'!$D:$D,0)),IFERROR(INDEX('Catalog'!$A:$A,MATCH($B3233,'Catalog'!$B:$B,0)),IFERROR(INDEX('Catalog'!$A:$A,MATCH(TRIM(SUBSTITUTE($B3233,CHAR(160)," ")),'Catalog'!$C:$C,0)),""))))</f>
        <v>4420003</v>
      </c>
      <c r="H3233" s="8" t="str">
        <f aca="false">IFERROR(INDEX('TRANS'!$C:$C,MATCH($B3233,'TRANS'!$A:$A,0)),IFERROR(INDEX('Catalog'!$B:$B,MATCH($G3233,'Catalog'!$A:$A,0)),$B3233))</f>
        <v>374 רפידת בולמת זעזועים -זוג</v>
      </c>
      <c r="I3233" s="8" t="str">
        <f aca="false">IF($G3233="","Unmatched","Matched")</f>
        <v>Matched</v>
      </c>
    </row>
    <row r="3234" customFormat="false" ht="15" hidden="false" customHeight="false" outlineLevel="0" collapsed="false">
      <c r="A3234" s="8" t="s">
        <v>1052</v>
      </c>
      <c r="B3234" s="8" t="s">
        <v>170</v>
      </c>
      <c r="C3234" s="19" t="n">
        <v>72</v>
      </c>
      <c r="D3234" s="19" t="n">
        <v>1049.25</v>
      </c>
      <c r="E3234" s="19" t="n">
        <v>60</v>
      </c>
      <c r="F3234" s="19" t="n">
        <v>795.85</v>
      </c>
      <c r="G3234" s="8" t="str">
        <f aca="false">IFERROR(INDEX('TRANS'!$B:$B,MATCH($B3234,'TRANS'!$A:$A,0)),IFERROR(INDEX('TRANS'!$B:$B,MATCH(TRIM(SUBSTITUTE($B3234,CHAR(160)," ")),'TRANS'!$D:$D,0)),IFERROR(INDEX('Catalog'!$A:$A,MATCH($B3234,'Catalog'!$B:$B,0)),IFERROR(INDEX('Catalog'!$A:$A,MATCH(TRIM(SUBSTITUTE($B3234,CHAR(160)," ")),'Catalog'!$C:$C,0)),""))))</f>
        <v/>
      </c>
      <c r="H3234" s="8" t="str">
        <f aca="false">IFERROR(INDEX('TRANS'!$C:$C,MATCH($B3234,'TRANS'!$A:$A,0)),IFERROR(INDEX('Catalog'!$B:$B,MATCH($G3234,'Catalog'!$A:$A,0)),$B3234))</f>
        <v>376-35-37</v>
      </c>
      <c r="I3234" s="8" t="str">
        <f aca="false">IF($G3234="","Unmatched","Matched")</f>
        <v>Unmatched</v>
      </c>
    </row>
    <row r="3235" customFormat="false" ht="15" hidden="false" customHeight="false" outlineLevel="0" collapsed="false">
      <c r="A3235" s="8" t="s">
        <v>1052</v>
      </c>
      <c r="B3235" s="8" t="s">
        <v>171</v>
      </c>
      <c r="C3235" s="19" t="n">
        <v>170</v>
      </c>
      <c r="D3235" s="19" t="n">
        <v>2479.51</v>
      </c>
      <c r="E3235" s="19" t="n">
        <v>80</v>
      </c>
      <c r="F3235" s="19" t="n">
        <v>1092.49</v>
      </c>
      <c r="G3235" s="8" t="str">
        <f aca="false">IFERROR(INDEX('TRANS'!$B:$B,MATCH($B3235,'TRANS'!$A:$A,0)),IFERROR(INDEX('TRANS'!$B:$B,MATCH(TRIM(SUBSTITUTE($B3235,CHAR(160)," ")),'TRANS'!$D:$D,0)),IFERROR(INDEX('Catalog'!$A:$A,MATCH($B3235,'Catalog'!$B:$B,0)),IFERROR(INDEX('Catalog'!$A:$A,MATCH(TRIM(SUBSTITUTE($B3235,CHAR(160)," ")),'Catalog'!$C:$C,0)),""))))</f>
        <v/>
      </c>
      <c r="H3235" s="8" t="str">
        <f aca="false">IFERROR(INDEX('TRANS'!$C:$C,MATCH($B3235,'TRANS'!$A:$A,0)),IFERROR(INDEX('Catalog'!$B:$B,MATCH($G3235,'Catalog'!$A:$A,0)),$B3235))</f>
        <v>376-38-40</v>
      </c>
      <c r="I3235" s="8" t="str">
        <f aca="false">IF($G3235="","Unmatched","Matched")</f>
        <v>Unmatched</v>
      </c>
    </row>
    <row r="3236" customFormat="false" ht="15" hidden="false" customHeight="false" outlineLevel="0" collapsed="false">
      <c r="A3236" s="8" t="s">
        <v>1052</v>
      </c>
      <c r="B3236" s="8" t="s">
        <v>172</v>
      </c>
      <c r="C3236" s="19" t="n">
        <v>410</v>
      </c>
      <c r="D3236" s="19" t="n">
        <v>5992.02</v>
      </c>
      <c r="E3236" s="19" t="n">
        <v>190</v>
      </c>
      <c r="F3236" s="19" t="n">
        <v>2504.54</v>
      </c>
      <c r="G3236" s="8" t="str">
        <f aca="false">IFERROR(INDEX('TRANS'!$B:$B,MATCH($B3236,'TRANS'!$A:$A,0)),IFERROR(INDEX('TRANS'!$B:$B,MATCH(TRIM(SUBSTITUTE($B3236,CHAR(160)," ")),'TRANS'!$D:$D,0)),IFERROR(INDEX('Catalog'!$A:$A,MATCH($B3236,'Catalog'!$B:$B,0)),IFERROR(INDEX('Catalog'!$A:$A,MATCH(TRIM(SUBSTITUTE($B3236,CHAR(160)," ")),'Catalog'!$C:$C,0)),""))))</f>
        <v/>
      </c>
      <c r="H3236" s="8" t="str">
        <f aca="false">IFERROR(INDEX('TRANS'!$C:$C,MATCH($B3236,'TRANS'!$A:$A,0)),IFERROR(INDEX('Catalog'!$B:$B,MATCH($G3236,'Catalog'!$A:$A,0)),$B3236))</f>
        <v>376-41-43</v>
      </c>
      <c r="I3236" s="8" t="str">
        <f aca="false">IF($G3236="","Unmatched","Matched")</f>
        <v>Unmatched</v>
      </c>
    </row>
    <row r="3237" customFormat="false" ht="15" hidden="false" customHeight="false" outlineLevel="0" collapsed="false">
      <c r="A3237" s="8" t="s">
        <v>1052</v>
      </c>
      <c r="B3237" s="8" t="s">
        <v>173</v>
      </c>
      <c r="C3237" s="19" t="n">
        <v>180</v>
      </c>
      <c r="D3237" s="19" t="n">
        <v>2649.87</v>
      </c>
      <c r="E3237" s="19" t="n">
        <v>170</v>
      </c>
      <c r="F3237" s="19" t="n">
        <v>2259.45</v>
      </c>
      <c r="G3237" s="8" t="str">
        <f aca="false">IFERROR(INDEX('TRANS'!$B:$B,MATCH($B3237,'TRANS'!$A:$A,0)),IFERROR(INDEX('TRANS'!$B:$B,MATCH(TRIM(SUBSTITUTE($B3237,CHAR(160)," ")),'TRANS'!$D:$D,0)),IFERROR(INDEX('Catalog'!$A:$A,MATCH($B3237,'Catalog'!$B:$B,0)),IFERROR(INDEX('Catalog'!$A:$A,MATCH(TRIM(SUBSTITUTE($B3237,CHAR(160)," ")),'Catalog'!$C:$C,0)),""))))</f>
        <v/>
      </c>
      <c r="H3237" s="8" t="str">
        <f aca="false">IFERROR(INDEX('TRANS'!$C:$C,MATCH($B3237,'TRANS'!$A:$A,0)),IFERROR(INDEX('Catalog'!$B:$B,MATCH($G3237,'Catalog'!$A:$A,0)),$B3237))</f>
        <v>376-44-45</v>
      </c>
      <c r="I3237" s="8" t="str">
        <f aca="false">IF($G3237="","Unmatched","Matched")</f>
        <v>Unmatched</v>
      </c>
    </row>
    <row r="3238" customFormat="false" ht="15" hidden="false" customHeight="false" outlineLevel="0" collapsed="false">
      <c r="A3238" s="8" t="s">
        <v>1052</v>
      </c>
      <c r="B3238" s="8" t="s">
        <v>174</v>
      </c>
      <c r="C3238" s="19" t="n">
        <v>80</v>
      </c>
      <c r="D3238" s="19" t="n">
        <v>1160.89</v>
      </c>
      <c r="E3238" s="19" t="n">
        <v>30</v>
      </c>
      <c r="F3238" s="19" t="n">
        <v>385.97</v>
      </c>
      <c r="G3238" s="8" t="n">
        <f aca="false">IFERROR(INDEX('TRANS'!$B:$B,MATCH($B3238,'TRANS'!$A:$A,0)),IFERROR(INDEX('TRANS'!$B:$B,MATCH(TRIM(SUBSTITUTE($B3238,CHAR(160)," ")),'TRANS'!$D:$D,0)),IFERROR(INDEX('Catalog'!$A:$A,MATCH($B3238,'Catalog'!$B:$B,0)),IFERROR(INDEX('Catalog'!$A:$A,MATCH(TRIM(SUBSTITUTE($B3238,CHAR(160)," ")),'Catalog'!$C:$C,0)),""))))</f>
        <v>4420032</v>
      </c>
      <c r="H3238" s="8" t="str">
        <f aca="false">IFERROR(INDEX('TRANS'!$C:$C,MATCH($B3238,'TRANS'!$A:$A,0)),IFERROR(INDEX('Catalog'!$B:$B,MATCH($G3238,'Catalog'!$A:$A,0)),$B3238))</f>
        <v>46-47 רפידת ספורט 376 מידה</v>
      </c>
      <c r="I3238" s="8" t="str">
        <f aca="false">IF($G3238="","Unmatched","Matched")</f>
        <v>Matched</v>
      </c>
    </row>
    <row r="3239" customFormat="false" ht="15" hidden="false" customHeight="false" outlineLevel="0" collapsed="false">
      <c r="A3239" s="8" t="s">
        <v>1052</v>
      </c>
      <c r="B3239" s="8" t="s">
        <v>175</v>
      </c>
      <c r="C3239" s="19" t="n">
        <v>0</v>
      </c>
      <c r="D3239" s="19" t="n">
        <v>0</v>
      </c>
      <c r="E3239" s="19" t="n">
        <v>15</v>
      </c>
      <c r="F3239" s="19" t="n">
        <v>442.38</v>
      </c>
      <c r="G3239" s="8" t="n">
        <f aca="false">IFERROR(INDEX('TRANS'!$B:$B,MATCH($B3239,'TRANS'!$A:$A,0)),IFERROR(INDEX('TRANS'!$B:$B,MATCH(TRIM(SUBSTITUTE($B3239,CHAR(160)," ")),'TRANS'!$D:$D,0)),IFERROR(INDEX('Catalog'!$A:$A,MATCH($B3239,'Catalog'!$B:$B,0)),IFERROR(INDEX('Catalog'!$A:$A,MATCH(TRIM(SUBSTITUTE($B3239,CHAR(160)," ")),'Catalog'!$C:$C,0)),""))))</f>
        <v>4408069</v>
      </c>
      <c r="H3239" s="8" t="str">
        <f aca="false">IFERROR(INDEX('TRANS'!$C:$C,MATCH($B3239,'TRANS'!$A:$A,0)),IFERROR(INDEX('Catalog'!$B:$B,MATCH($G3239,'Catalog'!$A:$A,0)),$B3239))</f>
        <v>38 .חבישת""""הלוקס ולגוס""""לאחר נית</v>
      </c>
      <c r="I3239" s="8" t="str">
        <f aca="false">IF($G3239="","Unmatched","Matched")</f>
        <v>Matched</v>
      </c>
    </row>
    <row r="3240" customFormat="false" ht="15" hidden="false" customHeight="false" outlineLevel="0" collapsed="false">
      <c r="A3240" s="8" t="s">
        <v>1052</v>
      </c>
      <c r="B3240" s="8" t="s">
        <v>176</v>
      </c>
      <c r="C3240" s="19" t="n">
        <v>230</v>
      </c>
      <c r="D3240" s="19" t="n">
        <v>3782.49</v>
      </c>
      <c r="E3240" s="19" t="n">
        <v>140</v>
      </c>
      <c r="F3240" s="19" t="n">
        <v>2106.92</v>
      </c>
      <c r="G3240" s="8" t="n">
        <f aca="false">IFERROR(INDEX('TRANS'!$B:$B,MATCH($B3240,'TRANS'!$A:$A,0)),IFERROR(INDEX('TRANS'!$B:$B,MATCH(TRIM(SUBSTITUTE($B3240,CHAR(160)," ")),'TRANS'!$D:$D,0)),IFERROR(INDEX('Catalog'!$A:$A,MATCH($B3240,'Catalog'!$B:$B,0)),IFERROR(INDEX('Catalog'!$A:$A,MATCH(TRIM(SUBSTITUTE($B3240,CHAR(160)," ")),'Catalog'!$C:$C,0)),""))))</f>
        <v>4413452</v>
      </c>
      <c r="H3240" s="8" t="str">
        <f aca="false">IFERROR(INDEX('TRANS'!$C:$C,MATCH($B3240,'TRANS'!$A:$A,0)),IFERROR(INDEX('Catalog'!$B:$B,MATCH($G3240,'Catalog'!$A:$A,0)),$B3240))</f>
        <v>386  מיישר בוניון-האלוקס ולגוס</v>
      </c>
      <c r="I3240" s="8" t="str">
        <f aca="false">IF($G3240="","Unmatched","Matched")</f>
        <v>Matched</v>
      </c>
    </row>
    <row r="3241" customFormat="false" ht="15" hidden="false" customHeight="false" outlineLevel="0" collapsed="false">
      <c r="A3241" s="8" t="s">
        <v>1052</v>
      </c>
      <c r="B3241" s="8" t="s">
        <v>178</v>
      </c>
      <c r="C3241" s="19" t="n">
        <v>50</v>
      </c>
      <c r="D3241" s="19" t="n">
        <v>1735.54</v>
      </c>
      <c r="E3241" s="19" t="n">
        <v>42</v>
      </c>
      <c r="F3241" s="19" t="n">
        <v>1329.32</v>
      </c>
      <c r="G3241" s="8" t="n">
        <f aca="false">IFERROR(INDEX('TRANS'!$B:$B,MATCH($B3241,'TRANS'!$A:$A,0)),IFERROR(INDEX('TRANS'!$B:$B,MATCH(TRIM(SUBSTITUTE($B3241,CHAR(160)," ")),'TRANS'!$D:$D,0)),IFERROR(INDEX('Catalog'!$A:$A,MATCH($B3241,'Catalog'!$B:$B,0)),IFERROR(INDEX('Catalog'!$A:$A,MATCH(TRIM(SUBSTITUTE($B3241,CHAR(160)," ")),'Catalog'!$C:$C,0)),""))))</f>
        <v>4415298</v>
      </c>
      <c r="H3241" s="8" t="str">
        <f aca="false">IFERROR(INDEX('TRANS'!$C:$C,MATCH($B3241,'TRANS'!$A:$A,0)),IFERROR(INDEX('Catalog'!$B:$B,MATCH($G3241,'Catalog'!$A:$A,0)),$B3241))</f>
        <v>388B L סד לילה שחור לבוהן שמאל</v>
      </c>
      <c r="I3241" s="8" t="str">
        <f aca="false">IF($G3241="","Unmatched","Matched")</f>
        <v>Matched</v>
      </c>
    </row>
    <row r="3242" customFormat="false" ht="15" hidden="false" customHeight="false" outlineLevel="0" collapsed="false">
      <c r="A3242" s="8" t="s">
        <v>1052</v>
      </c>
      <c r="B3242" s="8" t="s">
        <v>179</v>
      </c>
      <c r="C3242" s="19" t="n">
        <v>60</v>
      </c>
      <c r="D3242" s="19" t="n">
        <v>2060.36</v>
      </c>
      <c r="E3242" s="19" t="n">
        <v>56</v>
      </c>
      <c r="F3242" s="19" t="n">
        <v>1777.05</v>
      </c>
      <c r="G3242" s="8" t="n">
        <f aca="false">IFERROR(INDEX('TRANS'!$B:$B,MATCH($B3242,'TRANS'!$A:$A,0)),IFERROR(INDEX('TRANS'!$B:$B,MATCH(TRIM(SUBSTITUTE($B3242,CHAR(160)," ")),'TRANS'!$D:$D,0)),IFERROR(INDEX('Catalog'!$A:$A,MATCH($B3242,'Catalog'!$B:$B,0)),IFERROR(INDEX('Catalog'!$A:$A,MATCH(TRIM(SUBSTITUTE($B3242,CHAR(160)," ")),'Catalog'!$C:$C,0)),""))))</f>
        <v>4415299</v>
      </c>
      <c r="H3242" s="8" t="str">
        <f aca="false">IFERROR(INDEX('TRANS'!$C:$C,MATCH($B3242,'TRANS'!$A:$A,0)),IFERROR(INDEX('Catalog'!$B:$B,MATCH($G3242,'Catalog'!$A:$A,0)),$B3242))</f>
        <v>388B L סד לילה שחור לבוהן ימין</v>
      </c>
      <c r="I3242" s="8" t="str">
        <f aca="false">IF($G3242="","Unmatched","Matched")</f>
        <v>Matched</v>
      </c>
    </row>
    <row r="3243" customFormat="false" ht="15" hidden="false" customHeight="false" outlineLevel="0" collapsed="false">
      <c r="A3243" s="8" t="s">
        <v>1052</v>
      </c>
      <c r="B3243" s="8" t="s">
        <v>181</v>
      </c>
      <c r="C3243" s="19" t="n">
        <v>10</v>
      </c>
      <c r="D3243" s="19" t="n">
        <v>213.16</v>
      </c>
      <c r="E3243" s="19" t="n">
        <v>16</v>
      </c>
      <c r="F3243" s="19" t="n">
        <v>314.61</v>
      </c>
      <c r="G3243" s="8" t="n">
        <f aca="false">IFERROR(INDEX('TRANS'!$B:$B,MATCH($B3243,'TRANS'!$A:$A,0)),IFERROR(INDEX('TRANS'!$B:$B,MATCH(TRIM(SUBSTITUTE($B3243,CHAR(160)," ")),'TRANS'!$D:$D,0)),IFERROR(INDEX('Catalog'!$A:$A,MATCH($B3243,'Catalog'!$B:$B,0)),IFERROR(INDEX('Catalog'!$A:$A,MATCH(TRIM(SUBSTITUTE($B3243,CHAR(160)," ")),'Catalog'!$C:$C,0)),""))))</f>
        <v>4403001</v>
      </c>
      <c r="H3243" s="8" t="str">
        <f aca="false">IFERROR(INDEX('TRANS'!$C:$C,MATCH($B3243,'TRANS'!$A:$A,0)),IFERROR(INDEX('Catalog'!$B:$B,MATCH($G3243,'Catalog'!$A:$A,0)),$B3243))</f>
        <v>390B 39-42.גרב.כסף לסכרתיים שח</v>
      </c>
      <c r="I3243" s="8" t="str">
        <f aca="false">IF($G3243="","Unmatched","Matched")</f>
        <v>Matched</v>
      </c>
    </row>
    <row r="3244" customFormat="false" ht="15" hidden="false" customHeight="false" outlineLevel="0" collapsed="false">
      <c r="A3244" s="8" t="s">
        <v>1052</v>
      </c>
      <c r="B3244" s="8" t="s">
        <v>182</v>
      </c>
      <c r="C3244" s="19" t="n">
        <v>45</v>
      </c>
      <c r="D3244" s="19" t="n">
        <v>982.73</v>
      </c>
      <c r="E3244" s="19" t="n">
        <v>16</v>
      </c>
      <c r="F3244" s="19" t="n">
        <v>327.76</v>
      </c>
      <c r="G3244" s="8" t="n">
        <f aca="false">IFERROR(INDEX('TRANS'!$B:$B,MATCH($B3244,'TRANS'!$A:$A,0)),IFERROR(INDEX('TRANS'!$B:$B,MATCH(TRIM(SUBSTITUTE($B3244,CHAR(160)," ")),'TRANS'!$D:$D,0)),IFERROR(INDEX('Catalog'!$A:$A,MATCH($B3244,'Catalog'!$B:$B,0)),IFERROR(INDEX('Catalog'!$A:$A,MATCH(TRIM(SUBSTITUTE($B3244,CHAR(160)," ")),'Catalog'!$C:$C,0)),""))))</f>
        <v>4403002</v>
      </c>
      <c r="H3244" s="8" t="str">
        <f aca="false">IFERROR(INDEX('TRANS'!$C:$C,MATCH($B3244,'TRANS'!$A:$A,0)),IFERROR(INDEX('Catalog'!$B:$B,MATCH($G3244,'Catalog'!$A:$A,0)),$B3244))</f>
        <v>390B 43-46.גרב.כסף לסכרתיים שח</v>
      </c>
      <c r="I3244" s="8" t="str">
        <f aca="false">IF($G3244="","Unmatched","Matched")</f>
        <v>Matched</v>
      </c>
    </row>
    <row r="3245" customFormat="false" ht="15" hidden="false" customHeight="false" outlineLevel="0" collapsed="false">
      <c r="A3245" s="8" t="s">
        <v>1052</v>
      </c>
      <c r="B3245" s="8" t="s">
        <v>184</v>
      </c>
      <c r="C3245" s="19" t="n">
        <v>12</v>
      </c>
      <c r="D3245" s="19" t="n">
        <v>251.12</v>
      </c>
      <c r="E3245" s="19" t="n">
        <v>10</v>
      </c>
      <c r="F3245" s="19" t="n">
        <v>178.07</v>
      </c>
      <c r="G3245" s="8" t="str">
        <f aca="false">IFERROR(INDEX('TRANS'!$B:$B,MATCH($B3245,'TRANS'!$A:$A,0)),IFERROR(INDEX('TRANS'!$B:$B,MATCH(TRIM(SUBSTITUTE($B3245,CHAR(160)," ")),'TRANS'!$D:$D,0)),IFERROR(INDEX('Catalog'!$A:$A,MATCH($B3245,'Catalog'!$B:$B,0)),IFERROR(INDEX('Catalog'!$A:$A,MATCH(TRIM(SUBSTITUTE($B3245,CHAR(160)," ")),'Catalog'!$C:$C,0)),""))))</f>
        <v/>
      </c>
      <c r="H3245" s="8" t="str">
        <f aca="false">IFERROR(INDEX('TRANS'!$C:$C,MATCH($B3245,'TRANS'!$A:$A,0)),IFERROR(INDEX('Catalog'!$B:$B,MATCH($G3245,'Catalog'!$A:$A,0)),$B3245))</f>
        <v>390G-39-42</v>
      </c>
      <c r="I3245" s="8" t="str">
        <f aca="false">IF($G3245="","Unmatched","Matched")</f>
        <v>Unmatched</v>
      </c>
    </row>
    <row r="3246" customFormat="false" ht="15" hidden="false" customHeight="false" outlineLevel="0" collapsed="false">
      <c r="A3246" s="8" t="s">
        <v>1052</v>
      </c>
      <c r="B3246" s="8" t="s">
        <v>185</v>
      </c>
      <c r="C3246" s="19" t="n">
        <v>0</v>
      </c>
      <c r="D3246" s="19" t="n">
        <v>0</v>
      </c>
      <c r="E3246" s="19" t="n">
        <v>6</v>
      </c>
      <c r="F3246" s="19" t="n">
        <v>111.55</v>
      </c>
      <c r="G3246" s="8" t="n">
        <f aca="false">IFERROR(INDEX('TRANS'!$B:$B,MATCH($B3246,'TRANS'!$A:$A,0)),IFERROR(INDEX('TRANS'!$B:$B,MATCH(TRIM(SUBSTITUTE($B3246,CHAR(160)," ")),'TRANS'!$D:$D,0)),IFERROR(INDEX('Catalog'!$A:$A,MATCH($B3246,'Catalog'!$B:$B,0)),IFERROR(INDEX('Catalog'!$A:$A,MATCH(TRIM(SUBSTITUTE($B3246,CHAR(160)," ")),'Catalog'!$C:$C,0)),""))))</f>
        <v>4403005</v>
      </c>
      <c r="H3246" s="8" t="str">
        <f aca="false">IFERROR(INDEX('TRANS'!$C:$C,MATCH($B3246,'TRANS'!$A:$A,0)),IFERROR(INDEX('Catalog'!$B:$B,MATCH($G3246,'Catalog'!$A:$A,0)),$B3246))</f>
        <v>G390.43-46 גרבי כסף לסכרת מידה</v>
      </c>
      <c r="I3246" s="8" t="str">
        <f aca="false">IF($G3246="","Unmatched","Matched")</f>
        <v>Matched</v>
      </c>
    </row>
    <row r="3247" customFormat="false" ht="15" hidden="false" customHeight="false" outlineLevel="0" collapsed="false">
      <c r="A3247" s="8" t="s">
        <v>1052</v>
      </c>
      <c r="B3247" s="8" t="s">
        <v>488</v>
      </c>
      <c r="C3247" s="19" t="n">
        <v>1</v>
      </c>
      <c r="D3247" s="19" t="n">
        <v>0.04</v>
      </c>
      <c r="E3247" s="19" t="n">
        <v>0</v>
      </c>
      <c r="F3247" s="19" t="n">
        <v>0</v>
      </c>
      <c r="G3247" s="8" t="str">
        <f aca="false">IFERROR(INDEX('TRANS'!$B:$B,MATCH($B3247,'TRANS'!$A:$A,0)),IFERROR(INDEX('TRANS'!$B:$B,MATCH(TRIM(SUBSTITUTE($B3247,CHAR(160)," ")),'TRANS'!$D:$D,0)),IFERROR(INDEX('Catalog'!$A:$A,MATCH($B3247,'Catalog'!$B:$B,0)),IFERROR(INDEX('Catalog'!$A:$A,MATCH(TRIM(SUBSTITUTE($B3247,CHAR(160)," ")),'Catalog'!$C:$C,0)),""))))</f>
        <v/>
      </c>
      <c r="H3247" s="8" t="str">
        <f aca="false">IFERROR(INDEX('TRANS'!$C:$C,MATCH($B3247,'TRANS'!$A:$A,0)),IFERROR(INDEX('Catalog'!$B:$B,MATCH($G3247,'Catalog'!$A:$A,0)),$B3247))</f>
        <v>391W-35-38</v>
      </c>
      <c r="I3247" s="8" t="str">
        <f aca="false">IF($G3247="","Unmatched","Matched")</f>
        <v>Unmatched</v>
      </c>
    </row>
    <row r="3248" customFormat="false" ht="15" hidden="false" customHeight="false" outlineLevel="0" collapsed="false">
      <c r="A3248" s="8" t="s">
        <v>1052</v>
      </c>
      <c r="B3248" s="8" t="s">
        <v>681</v>
      </c>
      <c r="C3248" s="19" t="n">
        <v>10</v>
      </c>
      <c r="D3248" s="19" t="n">
        <v>194.88</v>
      </c>
      <c r="E3248" s="19" t="n">
        <v>0</v>
      </c>
      <c r="F3248" s="19" t="n">
        <v>0</v>
      </c>
      <c r="G3248" s="8" t="str">
        <f aca="false">IFERROR(INDEX('TRANS'!$B:$B,MATCH($B3248,'TRANS'!$A:$A,0)),IFERROR(INDEX('TRANS'!$B:$B,MATCH(TRIM(SUBSTITUTE($B3248,CHAR(160)," ")),'TRANS'!$D:$D,0)),IFERROR(INDEX('Catalog'!$A:$A,MATCH($B3248,'Catalog'!$B:$B,0)),IFERROR(INDEX('Catalog'!$A:$A,MATCH(TRIM(SUBSTITUTE($B3248,CHAR(160)," ")),'Catalog'!$C:$C,0)),""))))</f>
        <v/>
      </c>
      <c r="H3248" s="8" t="str">
        <f aca="false">IFERROR(INDEX('TRANS'!$C:$C,MATCH($B3248,'TRANS'!$A:$A,0)),IFERROR(INDEX('Catalog'!$B:$B,MATCH($G3248,'Catalog'!$A:$A,0)),$B3248))</f>
        <v>392B-39-42</v>
      </c>
      <c r="I3248" s="8" t="str">
        <f aca="false">IF($G3248="","Unmatched","Matched")</f>
        <v>Unmatched</v>
      </c>
    </row>
    <row r="3249" customFormat="false" ht="15" hidden="false" customHeight="false" outlineLevel="0" collapsed="false">
      <c r="A3249" s="8" t="s">
        <v>1052</v>
      </c>
      <c r="B3249" s="8" t="s">
        <v>858</v>
      </c>
      <c r="C3249" s="19" t="n">
        <v>20</v>
      </c>
      <c r="D3249" s="19" t="n">
        <v>389.75</v>
      </c>
      <c r="E3249" s="19" t="n">
        <v>0</v>
      </c>
      <c r="F3249" s="19" t="n">
        <v>0</v>
      </c>
      <c r="G3249" s="8" t="str">
        <f aca="false">IFERROR(INDEX('TRANS'!$B:$B,MATCH($B3249,'TRANS'!$A:$A,0)),IFERROR(INDEX('TRANS'!$B:$B,MATCH(TRIM(SUBSTITUTE($B3249,CHAR(160)," ")),'TRANS'!$D:$D,0)),IFERROR(INDEX('Catalog'!$A:$A,MATCH($B3249,'Catalog'!$B:$B,0)),IFERROR(INDEX('Catalog'!$A:$A,MATCH(TRIM(SUBSTITUTE($B3249,CHAR(160)," ")),'Catalog'!$C:$C,0)),""))))</f>
        <v/>
      </c>
      <c r="H3249" s="8" t="str">
        <f aca="false">IFERROR(INDEX('TRANS'!$C:$C,MATCH($B3249,'TRANS'!$A:$A,0)),IFERROR(INDEX('Catalog'!$B:$B,MATCH($G3249,'Catalog'!$A:$A,0)),$B3249))</f>
        <v>392B-43-46</v>
      </c>
      <c r="I3249" s="8" t="str">
        <f aca="false">IF($G3249="","Unmatched","Matched")</f>
        <v>Unmatched</v>
      </c>
    </row>
    <row r="3250" customFormat="false" ht="15" hidden="false" customHeight="false" outlineLevel="0" collapsed="false">
      <c r="A3250" s="8" t="s">
        <v>1052</v>
      </c>
      <c r="B3250" s="8" t="s">
        <v>715</v>
      </c>
      <c r="C3250" s="19" t="n">
        <v>0</v>
      </c>
      <c r="D3250" s="19" t="n">
        <v>0</v>
      </c>
      <c r="E3250" s="19" t="n">
        <v>6</v>
      </c>
      <c r="F3250" s="19" t="n">
        <v>123.95</v>
      </c>
      <c r="G3250" s="8" t="str">
        <f aca="false">IFERROR(INDEX('TRANS'!$B:$B,MATCH($B3250,'TRANS'!$A:$A,0)),IFERROR(INDEX('TRANS'!$B:$B,MATCH(TRIM(SUBSTITUTE($B3250,CHAR(160)," ")),'TRANS'!$D:$D,0)),IFERROR(INDEX('Catalog'!$A:$A,MATCH($B3250,'Catalog'!$B:$B,0)),IFERROR(INDEX('Catalog'!$A:$A,MATCH(TRIM(SUBSTITUTE($B3250,CHAR(160)," ")),'Catalog'!$C:$C,0)),""))))</f>
        <v/>
      </c>
      <c r="H3250" s="8" t="str">
        <f aca="false">IFERROR(INDEX('TRANS'!$C:$C,MATCH($B3250,'TRANS'!$A:$A,0)),IFERROR(INDEX('Catalog'!$B:$B,MATCH($G3250,'Catalog'!$A:$A,0)),$B3250))</f>
        <v>395B-35-38</v>
      </c>
      <c r="I3250" s="8" t="str">
        <f aca="false">IF($G3250="","Unmatched","Matched")</f>
        <v>Unmatched</v>
      </c>
    </row>
    <row r="3251" customFormat="false" ht="15" hidden="false" customHeight="false" outlineLevel="0" collapsed="false">
      <c r="A3251" s="8" t="s">
        <v>1052</v>
      </c>
      <c r="B3251" s="8" t="s">
        <v>195</v>
      </c>
      <c r="C3251" s="19" t="n">
        <v>0</v>
      </c>
      <c r="D3251" s="19" t="n">
        <v>0</v>
      </c>
      <c r="E3251" s="19" t="n">
        <v>30</v>
      </c>
      <c r="F3251" s="19" t="n">
        <v>600.48</v>
      </c>
      <c r="G3251" s="8" t="n">
        <f aca="false">IFERROR(INDEX('TRANS'!$B:$B,MATCH($B3251,'TRANS'!$A:$A,0)),IFERROR(INDEX('TRANS'!$B:$B,MATCH(TRIM(SUBSTITUTE($B3251,CHAR(160)," ")),'TRANS'!$D:$D,0)),IFERROR(INDEX('Catalog'!$A:$A,MATCH($B3251,'Catalog'!$B:$B,0)),IFERROR(INDEX('Catalog'!$A:$A,MATCH(TRIM(SUBSTITUTE($B3251,CHAR(160)," ")),'Catalog'!$C:$C,0)),""))))</f>
        <v>4403044</v>
      </c>
      <c r="H3251" s="8" t="str">
        <f aca="false">IFERROR(INDEX('TRANS'!$C:$C,MATCH($B3251,'TRANS'!$A:$A,0)),IFERROR(INDEX('Catalog'!$B:$B,MATCH($G3251,'Catalog'!$A:$A,0)),$B3251))</f>
        <v>395B גרבי קיץ אנטי בקטריא39-42</v>
      </c>
      <c r="I3251" s="8" t="str">
        <f aca="false">IF($G3251="","Unmatched","Matched")</f>
        <v>Matched</v>
      </c>
    </row>
    <row r="3252" customFormat="false" ht="15" hidden="false" customHeight="false" outlineLevel="0" collapsed="false">
      <c r="A3252" s="8" t="s">
        <v>1052</v>
      </c>
      <c r="B3252" s="8" t="s">
        <v>196</v>
      </c>
      <c r="C3252" s="19" t="n">
        <v>1</v>
      </c>
      <c r="D3252" s="19" t="n">
        <v>0.04</v>
      </c>
      <c r="E3252" s="19" t="n">
        <v>60</v>
      </c>
      <c r="F3252" s="19" t="n">
        <v>1191.33</v>
      </c>
      <c r="G3252" s="8" t="n">
        <f aca="false">IFERROR(INDEX('TRANS'!$B:$B,MATCH($B3252,'TRANS'!$A:$A,0)),IFERROR(INDEX('TRANS'!$B:$B,MATCH(TRIM(SUBSTITUTE($B3252,CHAR(160)," ")),'TRANS'!$D:$D,0)),IFERROR(INDEX('Catalog'!$A:$A,MATCH($B3252,'Catalog'!$B:$B,0)),IFERROR(INDEX('Catalog'!$A:$A,MATCH(TRIM(SUBSTITUTE($B3252,CHAR(160)," ")),'Catalog'!$C:$C,0)),""))))</f>
        <v>4403045</v>
      </c>
      <c r="H3252" s="8" t="str">
        <f aca="false">IFERROR(INDEX('TRANS'!$C:$C,MATCH($B3252,'TRANS'!$A:$A,0)),IFERROR(INDEX('Catalog'!$B:$B,MATCH($G3252,'Catalog'!$A:$A,0)),$B3252))</f>
        <v>395B גרבי קיץ אנטי בקטריא43-46</v>
      </c>
      <c r="I3252" s="8" t="str">
        <f aca="false">IF($G3252="","Unmatched","Matched")</f>
        <v>Matched</v>
      </c>
    </row>
    <row r="3253" customFormat="false" ht="15" hidden="false" customHeight="false" outlineLevel="0" collapsed="false">
      <c r="A3253" s="8" t="s">
        <v>1052</v>
      </c>
      <c r="B3253" s="8" t="s">
        <v>202</v>
      </c>
      <c r="C3253" s="19" t="n">
        <v>1</v>
      </c>
      <c r="D3253" s="19" t="n">
        <v>0.04</v>
      </c>
      <c r="E3253" s="19" t="n">
        <v>0</v>
      </c>
      <c r="F3253" s="19" t="n">
        <v>0</v>
      </c>
      <c r="G3253" s="8" t="n">
        <f aca="false">IFERROR(INDEX('TRANS'!$B:$B,MATCH($B3253,'TRANS'!$A:$A,0)),IFERROR(INDEX('TRANS'!$B:$B,MATCH(TRIM(SUBSTITUTE($B3253,CHAR(160)," ")),'TRANS'!$D:$D,0)),IFERROR(INDEX('Catalog'!$A:$A,MATCH($B3253,'Catalog'!$B:$B,0)),IFERROR(INDEX('Catalog'!$A:$A,MATCH(TRIM(SUBSTITUTE($B3253,CHAR(160)," ")),'Catalog'!$C:$C,0)),""))))</f>
        <v>4403043</v>
      </c>
      <c r="H3253" s="8" t="str">
        <f aca="false">IFERROR(INDEX('TRANS'!$C:$C,MATCH($B3253,'TRANS'!$A:$A,0)),IFERROR(INDEX('Catalog'!$B:$B,MATCH($G3253,'Catalog'!$A:$A,0)),$B3253))</f>
        <v>397A-גרבי טיסה אנטי בקטרי43-46</v>
      </c>
      <c r="I3253" s="8" t="str">
        <f aca="false">IF($G3253="","Unmatched","Matched")</f>
        <v>Matched</v>
      </c>
    </row>
    <row r="3254" customFormat="false" ht="15" hidden="false" customHeight="false" outlineLevel="0" collapsed="false">
      <c r="A3254" s="8" t="s">
        <v>1052</v>
      </c>
      <c r="B3254" s="8" t="s">
        <v>376</v>
      </c>
      <c r="C3254" s="19" t="n">
        <v>26</v>
      </c>
      <c r="D3254" s="19" t="n">
        <v>268.92</v>
      </c>
      <c r="E3254" s="19" t="n">
        <v>16</v>
      </c>
      <c r="F3254" s="19" t="n">
        <v>151.3</v>
      </c>
      <c r="G3254" s="8" t="n">
        <f aca="false">IFERROR(INDEX('TRANS'!$B:$B,MATCH($B3254,'TRANS'!$A:$A,0)),IFERROR(INDEX('TRANS'!$B:$B,MATCH(TRIM(SUBSTITUTE($B3254,CHAR(160)," ")),'TRANS'!$D:$D,0)),IFERROR(INDEX('Catalog'!$A:$A,MATCH($B3254,'Catalog'!$B:$B,0)),IFERROR(INDEX('Catalog'!$A:$A,MATCH(TRIM(SUBSTITUTE($B3254,CHAR(160)," ")),'Catalog'!$C:$C,0)),""))))</f>
        <v>4413092</v>
      </c>
      <c r="H3254" s="8" t="str">
        <f aca="false">IFERROR(INDEX('TRANS'!$C:$C,MATCH($B3254,'TRANS'!$A:$A,0)),IFERROR(INDEX('Catalog'!$B:$B,MATCH($G3254,'Catalog'!$A:$A,0)),$B3254))</f>
        <v>45 L מגן ברך לבן</v>
      </c>
      <c r="I3254" s="8" t="str">
        <f aca="false">IF($G3254="","Unmatched","Matched")</f>
        <v>Matched</v>
      </c>
    </row>
    <row r="3255" customFormat="false" ht="15" hidden="false" customHeight="false" outlineLevel="0" collapsed="false">
      <c r="A3255" s="8" t="s">
        <v>1052</v>
      </c>
      <c r="B3255" s="8" t="s">
        <v>377</v>
      </c>
      <c r="C3255" s="19" t="n">
        <v>22</v>
      </c>
      <c r="D3255" s="19" t="n">
        <v>221.1</v>
      </c>
      <c r="E3255" s="19" t="n">
        <v>50</v>
      </c>
      <c r="F3255" s="19" t="n">
        <v>472.83</v>
      </c>
      <c r="G3255" s="8" t="n">
        <f aca="false">IFERROR(INDEX('TRANS'!$B:$B,MATCH($B3255,'TRANS'!$A:$A,0)),IFERROR(INDEX('TRANS'!$B:$B,MATCH(TRIM(SUBSTITUTE($B3255,CHAR(160)," ")),'TRANS'!$D:$D,0)),IFERROR(INDEX('Catalog'!$A:$A,MATCH($B3255,'Catalog'!$B:$B,0)),IFERROR(INDEX('Catalog'!$A:$A,MATCH(TRIM(SUBSTITUTE($B3255,CHAR(160)," ")),'Catalog'!$C:$C,0)),""))))</f>
        <v>4413093</v>
      </c>
      <c r="H3255" s="8" t="str">
        <f aca="false">IFERROR(INDEX('TRANS'!$C:$C,MATCH($B3255,'TRANS'!$A:$A,0)),IFERROR(INDEX('Catalog'!$B:$B,MATCH($G3255,'Catalog'!$A:$A,0)),$B3255))</f>
        <v>45 M מגן ברך לבן</v>
      </c>
      <c r="I3255" s="8" t="str">
        <f aca="false">IF($G3255="","Unmatched","Matched")</f>
        <v>Matched</v>
      </c>
    </row>
    <row r="3256" customFormat="false" ht="15" hidden="false" customHeight="false" outlineLevel="0" collapsed="false">
      <c r="A3256" s="8" t="s">
        <v>1052</v>
      </c>
      <c r="B3256" s="8" t="s">
        <v>206</v>
      </c>
      <c r="C3256" s="19" t="n">
        <v>6</v>
      </c>
      <c r="D3256" s="19" t="n">
        <v>59.89</v>
      </c>
      <c r="E3256" s="19" t="n">
        <v>20</v>
      </c>
      <c r="F3256" s="19" t="n">
        <v>189.13</v>
      </c>
      <c r="G3256" s="8" t="n">
        <f aca="false">IFERROR(INDEX('TRANS'!$B:$B,MATCH($B3256,'TRANS'!$A:$A,0)),IFERROR(INDEX('TRANS'!$B:$B,MATCH(TRIM(SUBSTITUTE($B3256,CHAR(160)," ")),'TRANS'!$D:$D,0)),IFERROR(INDEX('Catalog'!$A:$A,MATCH($B3256,'Catalog'!$B:$B,0)),IFERROR(INDEX('Catalog'!$A:$A,MATCH(TRIM(SUBSTITUTE($B3256,CHAR(160)," ")),'Catalog'!$C:$C,0)),""))))</f>
        <v>4413094</v>
      </c>
      <c r="H3256" s="8" t="str">
        <f aca="false">IFERROR(INDEX('TRANS'!$C:$C,MATCH($B3256,'TRANS'!$A:$A,0)),IFERROR(INDEX('Catalog'!$B:$B,MATCH($G3256,'Catalog'!$A:$A,0)),$B3256))</f>
        <v>45 S מגן ברך לבן</v>
      </c>
      <c r="I3256" s="8" t="str">
        <f aca="false">IF($G3256="","Unmatched","Matched")</f>
        <v>Matched</v>
      </c>
    </row>
    <row r="3257" customFormat="false" ht="15" hidden="false" customHeight="false" outlineLevel="0" collapsed="false">
      <c r="A3257" s="8" t="s">
        <v>1052</v>
      </c>
      <c r="B3257" s="8" t="s">
        <v>207</v>
      </c>
      <c r="C3257" s="19" t="n">
        <v>22</v>
      </c>
      <c r="D3257" s="19" t="n">
        <v>226.85</v>
      </c>
      <c r="E3257" s="19" t="n">
        <v>0</v>
      </c>
      <c r="F3257" s="19" t="n">
        <v>0</v>
      </c>
      <c r="G3257" s="8" t="n">
        <f aca="false">IFERROR(INDEX('TRANS'!$B:$B,MATCH($B3257,'TRANS'!$A:$A,0)),IFERROR(INDEX('TRANS'!$B:$B,MATCH(TRIM(SUBSTITUTE($B3257,CHAR(160)," ")),'TRANS'!$D:$D,0)),IFERROR(INDEX('Catalog'!$A:$A,MATCH($B3257,'Catalog'!$B:$B,0)),IFERROR(INDEX('Catalog'!$A:$A,MATCH(TRIM(SUBSTITUTE($B3257,CHAR(160)," ")),'Catalog'!$C:$C,0)),""))))</f>
        <v>4413095</v>
      </c>
      <c r="H3257" s="8" t="str">
        <f aca="false">IFERROR(INDEX('TRANS'!$C:$C,MATCH($B3257,'TRANS'!$A:$A,0)),IFERROR(INDEX('Catalog'!$B:$B,MATCH($G3257,'Catalog'!$A:$A,0)),$B3257))</f>
        <v>45 XL מגן ברך לבן</v>
      </c>
      <c r="I3257" s="8" t="str">
        <f aca="false">IF($G3257="","Unmatched","Matched")</f>
        <v>Matched</v>
      </c>
    </row>
    <row r="3258" customFormat="false" ht="15" hidden="false" customHeight="false" outlineLevel="0" collapsed="false">
      <c r="A3258" s="8" t="s">
        <v>1052</v>
      </c>
      <c r="B3258" s="8" t="s">
        <v>208</v>
      </c>
      <c r="C3258" s="19" t="n">
        <v>270</v>
      </c>
      <c r="D3258" s="19" t="n">
        <v>2944.57</v>
      </c>
      <c r="E3258" s="19" t="n">
        <v>140</v>
      </c>
      <c r="F3258" s="19" t="n">
        <v>1425.23</v>
      </c>
      <c r="G3258" s="8" t="n">
        <f aca="false">IFERROR(INDEX('TRANS'!$B:$B,MATCH($B3258,'TRANS'!$A:$A,0)),IFERROR(INDEX('TRANS'!$B:$B,MATCH(TRIM(SUBSTITUTE($B3258,CHAR(160)," ")),'TRANS'!$D:$D,0)),IFERROR(INDEX('Catalog'!$A:$A,MATCH($B3258,'Catalog'!$B:$B,0)),IFERROR(INDEX('Catalog'!$A:$A,MATCH(TRIM(SUBSTITUTE($B3258,CHAR(160)," ")),'Catalog'!$C:$C,0)),""))))</f>
        <v>4413495</v>
      </c>
      <c r="H3258" s="8" t="str">
        <f aca="false">IFERROR(INDEX('TRANS'!$C:$C,MATCH($B3258,'TRANS'!$A:$A,0)),IFERROR(INDEX('Catalog'!$B:$B,MATCH($G3258,'Catalog'!$A:$A,0)),$B3258))</f>
        <v>45B L מגן ברך שחור</v>
      </c>
      <c r="I3258" s="8" t="str">
        <f aca="false">IF($G3258="","Unmatched","Matched")</f>
        <v>Matched</v>
      </c>
    </row>
    <row r="3259" customFormat="false" ht="15" hidden="false" customHeight="false" outlineLevel="0" collapsed="false">
      <c r="A3259" s="8" t="s">
        <v>1052</v>
      </c>
      <c r="B3259" s="8" t="s">
        <v>209</v>
      </c>
      <c r="C3259" s="19" t="n">
        <v>290</v>
      </c>
      <c r="D3259" s="19" t="n">
        <v>3236.39</v>
      </c>
      <c r="E3259" s="19" t="n">
        <v>200</v>
      </c>
      <c r="F3259" s="19" t="n">
        <v>1988.63</v>
      </c>
      <c r="G3259" s="8" t="n">
        <f aca="false">IFERROR(INDEX('TRANS'!$B:$B,MATCH($B3259,'TRANS'!$A:$A,0)),IFERROR(INDEX('TRANS'!$B:$B,MATCH(TRIM(SUBSTITUTE($B3259,CHAR(160)," ")),'TRANS'!$D:$D,0)),IFERROR(INDEX('Catalog'!$A:$A,MATCH($B3259,'Catalog'!$B:$B,0)),IFERROR(INDEX('Catalog'!$A:$A,MATCH(TRIM(SUBSTITUTE($B3259,CHAR(160)," ")),'Catalog'!$C:$C,0)),""))))</f>
        <v>4413497</v>
      </c>
      <c r="H3259" s="8" t="str">
        <f aca="false">IFERROR(INDEX('TRANS'!$C:$C,MATCH($B3259,'TRANS'!$A:$A,0)),IFERROR(INDEX('Catalog'!$B:$B,MATCH($G3259,'Catalog'!$A:$A,0)),$B3259))</f>
        <v>45B M מגן ברך שחור</v>
      </c>
      <c r="I3259" s="8" t="str">
        <f aca="false">IF($G3259="","Unmatched","Matched")</f>
        <v>Matched</v>
      </c>
    </row>
    <row r="3260" customFormat="false" ht="15" hidden="false" customHeight="false" outlineLevel="0" collapsed="false">
      <c r="A3260" s="8" t="s">
        <v>1052</v>
      </c>
      <c r="B3260" s="8" t="s">
        <v>379</v>
      </c>
      <c r="C3260" s="19" t="n">
        <v>90</v>
      </c>
      <c r="D3260" s="19" t="n">
        <v>992.83</v>
      </c>
      <c r="E3260" s="19" t="n">
        <v>90</v>
      </c>
      <c r="F3260" s="19" t="n">
        <v>879.47</v>
      </c>
      <c r="G3260" s="8" t="n">
        <f aca="false">IFERROR(INDEX('TRANS'!$B:$B,MATCH($B3260,'TRANS'!$A:$A,0)),IFERROR(INDEX('TRANS'!$B:$B,MATCH(TRIM(SUBSTITUTE($B3260,CHAR(160)," ")),'TRANS'!$D:$D,0)),IFERROR(INDEX('Catalog'!$A:$A,MATCH($B3260,'Catalog'!$B:$B,0)),IFERROR(INDEX('Catalog'!$A:$A,MATCH(TRIM(SUBSTITUTE($B3260,CHAR(160)," ")),'Catalog'!$C:$C,0)),""))))</f>
        <v>4413498</v>
      </c>
      <c r="H3260" s="8" t="str">
        <f aca="false">IFERROR(INDEX('TRANS'!$C:$C,MATCH($B3260,'TRANS'!$A:$A,0)),IFERROR(INDEX('Catalog'!$B:$B,MATCH($G3260,'Catalog'!$A:$A,0)),$B3260))</f>
        <v>45B S מגן ברך שחור</v>
      </c>
      <c r="I3260" s="8" t="str">
        <f aca="false">IF($G3260="","Unmatched","Matched")</f>
        <v>Matched</v>
      </c>
    </row>
    <row r="3261" customFormat="false" ht="15" hidden="false" customHeight="false" outlineLevel="0" collapsed="false">
      <c r="A3261" s="8" t="s">
        <v>1052</v>
      </c>
      <c r="B3261" s="8" t="s">
        <v>380</v>
      </c>
      <c r="C3261" s="19" t="n">
        <v>200</v>
      </c>
      <c r="D3261" s="19" t="n">
        <v>2210.76</v>
      </c>
      <c r="E3261" s="19" t="n">
        <v>105</v>
      </c>
      <c r="F3261" s="19" t="n">
        <v>1041.07</v>
      </c>
      <c r="G3261" s="8" t="n">
        <f aca="false">IFERROR(INDEX('TRANS'!$B:$B,MATCH($B3261,'TRANS'!$A:$A,0)),IFERROR(INDEX('TRANS'!$B:$B,MATCH(TRIM(SUBSTITUTE($B3261,CHAR(160)," ")),'TRANS'!$D:$D,0)),IFERROR(INDEX('Catalog'!$A:$A,MATCH($B3261,'Catalog'!$B:$B,0)),IFERROR(INDEX('Catalog'!$A:$A,MATCH(TRIM(SUBSTITUTE($B3261,CHAR(160)," ")),'Catalog'!$C:$C,0)),""))))</f>
        <v>4413496</v>
      </c>
      <c r="H3261" s="8" t="str">
        <f aca="false">IFERROR(INDEX('TRANS'!$C:$C,MATCH($B3261,'TRANS'!$A:$A,0)),IFERROR(INDEX('Catalog'!$B:$B,MATCH($G3261,'Catalog'!$A:$A,0)),$B3261))</f>
        <v>45B XL מגן ברך שחור</v>
      </c>
      <c r="I3261" s="8" t="str">
        <f aca="false">IF($G3261="","Unmatched","Matched")</f>
        <v>Matched</v>
      </c>
    </row>
    <row r="3262" customFormat="false" ht="15" hidden="false" customHeight="false" outlineLevel="0" collapsed="false">
      <c r="A3262" s="8" t="s">
        <v>1052</v>
      </c>
      <c r="B3262" s="8" t="s">
        <v>381</v>
      </c>
      <c r="C3262" s="19" t="n">
        <v>80</v>
      </c>
      <c r="D3262" s="19" t="n">
        <v>907.45</v>
      </c>
      <c r="E3262" s="19" t="n">
        <v>73</v>
      </c>
      <c r="F3262" s="19" t="n">
        <v>722.65</v>
      </c>
      <c r="G3262" s="8" t="n">
        <f aca="false">IFERROR(INDEX('TRANS'!$B:$B,MATCH($B3262,'TRANS'!$A:$A,0)),IFERROR(INDEX('TRANS'!$B:$B,MATCH(TRIM(SUBSTITUTE($B3262,CHAR(160)," ")),'TRANS'!$D:$D,0)),IFERROR(INDEX('Catalog'!$A:$A,MATCH($B3262,'Catalog'!$B:$B,0)),IFERROR(INDEX('Catalog'!$A:$A,MATCH(TRIM(SUBSTITUTE($B3262,CHAR(160)," ")),'Catalog'!$C:$C,0)),""))))</f>
        <v>4413499</v>
      </c>
      <c r="H3262" s="8" t="str">
        <f aca="false">IFERROR(INDEX('TRANS'!$C:$C,MATCH($B3262,'TRANS'!$A:$A,0)),IFERROR(INDEX('Catalog'!$B:$B,MATCH($G3262,'Catalog'!$A:$A,0)),$B3262))</f>
        <v>45B XXLמגן ברך שחור</v>
      </c>
      <c r="I3262" s="8" t="str">
        <f aca="false">IF($G3262="","Unmatched","Matched")</f>
        <v>Matched</v>
      </c>
    </row>
    <row r="3263" customFormat="false" ht="15" hidden="false" customHeight="false" outlineLevel="0" collapsed="false">
      <c r="A3263" s="8" t="s">
        <v>1052</v>
      </c>
      <c r="B3263" s="8" t="s">
        <v>210</v>
      </c>
      <c r="C3263" s="19" t="n">
        <v>220</v>
      </c>
      <c r="D3263" s="19" t="n">
        <v>2259.62</v>
      </c>
      <c r="E3263" s="19" t="n">
        <v>116</v>
      </c>
      <c r="F3263" s="19" t="n">
        <v>1063.27</v>
      </c>
      <c r="G3263" s="8" t="n">
        <f aca="false">IFERROR(INDEX('TRANS'!$B:$B,MATCH($B3263,'TRANS'!$A:$A,0)),IFERROR(INDEX('TRANS'!$B:$B,MATCH(TRIM(SUBSTITUTE($B3263,CHAR(160)," ")),'TRANS'!$D:$D,0)),IFERROR(INDEX('Catalog'!$A:$A,MATCH($B3263,'Catalog'!$B:$B,0)),IFERROR(INDEX('Catalog'!$A:$A,MATCH(TRIM(SUBSTITUTE($B3263,CHAR(160)," ")),'Catalog'!$C:$C,0)),""))))</f>
        <v>4413098</v>
      </c>
      <c r="H3263" s="8" t="str">
        <f aca="false">IFERROR(INDEX('TRANS'!$C:$C,MATCH($B3263,'TRANS'!$A:$A,0)),IFERROR(INDEX('Catalog'!$B:$B,MATCH($G3263,'Catalog'!$A:$A,0)),$B3263))</f>
        <v>45C L מגן ברך חום</v>
      </c>
      <c r="I3263" s="8" t="str">
        <f aca="false">IF($G3263="","Unmatched","Matched")</f>
        <v>Matched</v>
      </c>
    </row>
    <row r="3264" customFormat="false" ht="15" hidden="false" customHeight="false" outlineLevel="0" collapsed="false">
      <c r="A3264" s="8" t="s">
        <v>1052</v>
      </c>
      <c r="B3264" s="8" t="s">
        <v>211</v>
      </c>
      <c r="C3264" s="19" t="n">
        <v>150</v>
      </c>
      <c r="D3264" s="19" t="n">
        <v>1555.13</v>
      </c>
      <c r="E3264" s="19" t="n">
        <v>136</v>
      </c>
      <c r="F3264" s="19" t="n">
        <v>1237.42</v>
      </c>
      <c r="G3264" s="8" t="n">
        <f aca="false">IFERROR(INDEX('TRANS'!$B:$B,MATCH($B3264,'TRANS'!$A:$A,0)),IFERROR(INDEX('TRANS'!$B:$B,MATCH(TRIM(SUBSTITUTE($B3264,CHAR(160)," ")),'TRANS'!$D:$D,0)),IFERROR(INDEX('Catalog'!$A:$A,MATCH($B3264,'Catalog'!$B:$B,0)),IFERROR(INDEX('Catalog'!$A:$A,MATCH(TRIM(SUBSTITUTE($B3264,CHAR(160)," ")),'Catalog'!$C:$C,0)),""))))</f>
        <v>4413099</v>
      </c>
      <c r="H3264" s="8" t="str">
        <f aca="false">IFERROR(INDEX('TRANS'!$C:$C,MATCH($B3264,'TRANS'!$A:$A,0)),IFERROR(INDEX('Catalog'!$B:$B,MATCH($G3264,'Catalog'!$A:$A,0)),$B3264))</f>
        <v>45C M מגן ברך חום</v>
      </c>
      <c r="I3264" s="8" t="str">
        <f aca="false">IF($G3264="","Unmatched","Matched")</f>
        <v>Matched</v>
      </c>
    </row>
    <row r="3265" customFormat="false" ht="15" hidden="false" customHeight="false" outlineLevel="0" collapsed="false">
      <c r="A3265" s="8" t="s">
        <v>1052</v>
      </c>
      <c r="B3265" s="8" t="s">
        <v>212</v>
      </c>
      <c r="C3265" s="19" t="n">
        <v>42</v>
      </c>
      <c r="D3265" s="19" t="n">
        <v>431.24</v>
      </c>
      <c r="E3265" s="19" t="n">
        <v>33</v>
      </c>
      <c r="F3265" s="19" t="n">
        <v>305.83</v>
      </c>
      <c r="G3265" s="8" t="n">
        <f aca="false">IFERROR(INDEX('TRANS'!$B:$B,MATCH($B3265,'TRANS'!$A:$A,0)),IFERROR(INDEX('TRANS'!$B:$B,MATCH(TRIM(SUBSTITUTE($B3265,CHAR(160)," ")),'TRANS'!$D:$D,0)),IFERROR(INDEX('Catalog'!$A:$A,MATCH($B3265,'Catalog'!$B:$B,0)),IFERROR(INDEX('Catalog'!$A:$A,MATCH(TRIM(SUBSTITUTE($B3265,CHAR(160)," ")),'Catalog'!$C:$C,0)),""))))</f>
        <v>4413097</v>
      </c>
      <c r="H3265" s="8" t="str">
        <f aca="false">IFERROR(INDEX('TRANS'!$C:$C,MATCH($B3265,'TRANS'!$A:$A,0)),IFERROR(INDEX('Catalog'!$B:$B,MATCH($G3265,'Catalog'!$A:$A,0)),$B3265))</f>
        <v>45C S מגן ברך חום</v>
      </c>
      <c r="I3265" s="8" t="str">
        <f aca="false">IF($G3265="","Unmatched","Matched")</f>
        <v>Matched</v>
      </c>
    </row>
    <row r="3266" customFormat="false" ht="15" hidden="false" customHeight="false" outlineLevel="0" collapsed="false">
      <c r="A3266" s="8" t="s">
        <v>1052</v>
      </c>
      <c r="B3266" s="8" t="s">
        <v>213</v>
      </c>
      <c r="C3266" s="19" t="n">
        <v>150</v>
      </c>
      <c r="D3266" s="19" t="n">
        <v>1559.48</v>
      </c>
      <c r="E3266" s="19" t="n">
        <v>81</v>
      </c>
      <c r="F3266" s="19" t="n">
        <v>744.03</v>
      </c>
      <c r="G3266" s="8" t="n">
        <f aca="false">IFERROR(INDEX('TRANS'!$B:$B,MATCH($B3266,'TRANS'!$A:$A,0)),IFERROR(INDEX('TRANS'!$B:$B,MATCH(TRIM(SUBSTITUTE($B3266,CHAR(160)," ")),'TRANS'!$D:$D,0)),IFERROR(INDEX('Catalog'!$A:$A,MATCH($B3266,'Catalog'!$B:$B,0)),IFERROR(INDEX('Catalog'!$A:$A,MATCH(TRIM(SUBSTITUTE($B3266,CHAR(160)," ")),'Catalog'!$C:$C,0)),""))))</f>
        <v>4413100</v>
      </c>
      <c r="H3266" s="8" t="str">
        <f aca="false">IFERROR(INDEX('TRANS'!$C:$C,MATCH($B3266,'TRANS'!$A:$A,0)),IFERROR(INDEX('Catalog'!$B:$B,MATCH($G3266,'Catalog'!$A:$A,0)),$B3266))</f>
        <v>45C XL מגן ברך חום</v>
      </c>
      <c r="I3266" s="8" t="str">
        <f aca="false">IF($G3266="","Unmatched","Matched")</f>
        <v>Matched</v>
      </c>
    </row>
    <row r="3267" customFormat="false" ht="15" hidden="false" customHeight="false" outlineLevel="0" collapsed="false">
      <c r="A3267" s="8" t="s">
        <v>1052</v>
      </c>
      <c r="B3267" s="8" t="s">
        <v>215</v>
      </c>
      <c r="C3267" s="19" t="n">
        <v>65</v>
      </c>
      <c r="D3267" s="19" t="n">
        <v>681.17</v>
      </c>
      <c r="E3267" s="19" t="n">
        <v>21</v>
      </c>
      <c r="F3267" s="19" t="n">
        <v>199.44</v>
      </c>
      <c r="G3267" s="8" t="str">
        <f aca="false">IFERROR(INDEX('TRANS'!$B:$B,MATCH($B3267,'TRANS'!$A:$A,0)),IFERROR(INDEX('TRANS'!$B:$B,MATCH(TRIM(SUBSTITUTE($B3267,CHAR(160)," ")),'TRANS'!$D:$D,0)),IFERROR(INDEX('Catalog'!$A:$A,MATCH($B3267,'Catalog'!$B:$B,0)),IFERROR(INDEX('Catalog'!$A:$A,MATCH(TRIM(SUBSTITUTE($B3267,CHAR(160)," ")),'Catalog'!$C:$C,0)),""))))</f>
        <v/>
      </c>
      <c r="H3267" s="8" t="str">
        <f aca="false">IFERROR(INDEX('TRANS'!$C:$C,MATCH($B3267,'TRANS'!$A:$A,0)),IFERROR(INDEX('Catalog'!$B:$B,MATCH($G3267,'Catalog'!$A:$A,0)),$B3267))</f>
        <v>45C XXL</v>
      </c>
      <c r="I3267" s="8" t="str">
        <f aca="false">IF($G3267="","Unmatched","Matched")</f>
        <v>Unmatched</v>
      </c>
    </row>
    <row r="3268" customFormat="false" ht="15" hidden="false" customHeight="false" outlineLevel="0" collapsed="false">
      <c r="A3268" s="8" t="s">
        <v>1052</v>
      </c>
      <c r="B3268" s="8" t="s">
        <v>382</v>
      </c>
      <c r="C3268" s="19" t="n">
        <v>6</v>
      </c>
      <c r="D3268" s="19" t="n">
        <v>69.91</v>
      </c>
      <c r="E3268" s="19" t="n">
        <v>0</v>
      </c>
      <c r="F3268" s="19" t="n">
        <v>0</v>
      </c>
      <c r="G3268" s="8" t="n">
        <f aca="false">IFERROR(INDEX('TRANS'!$B:$B,MATCH($B3268,'TRANS'!$A:$A,0)),IFERROR(INDEX('TRANS'!$B:$B,MATCH(TRIM(SUBSTITUTE($B3268,CHAR(160)," ")),'TRANS'!$D:$D,0)),IFERROR(INDEX('Catalog'!$A:$A,MATCH($B3268,'Catalog'!$B:$B,0)),IFERROR(INDEX('Catalog'!$A:$A,MATCH(TRIM(SUBSTITUTE($B3268,CHAR(160)," ")),'Catalog'!$C:$C,0)),""))))</f>
        <v>4413102</v>
      </c>
      <c r="H3268" s="8" t="str">
        <f aca="false">IFERROR(INDEX('TRANS'!$C:$C,MATCH($B3268,'TRANS'!$A:$A,0)),IFERROR(INDEX('Catalog'!$B:$B,MATCH($G3268,'Catalog'!$A:$A,0)),$B3268))</f>
        <v>45E  L        מגן ברך ארוך לבן</v>
      </c>
      <c r="I3268" s="8" t="str">
        <f aca="false">IF($G3268="","Unmatched","Matched")</f>
        <v>Matched</v>
      </c>
    </row>
    <row r="3269" customFormat="false" ht="15" hidden="false" customHeight="false" outlineLevel="0" collapsed="false">
      <c r="A3269" s="8" t="s">
        <v>1052</v>
      </c>
      <c r="B3269" s="8" t="s">
        <v>383</v>
      </c>
      <c r="C3269" s="19" t="n">
        <v>6</v>
      </c>
      <c r="D3269" s="19" t="n">
        <v>69.91</v>
      </c>
      <c r="E3269" s="19" t="n">
        <v>0</v>
      </c>
      <c r="F3269" s="19" t="n">
        <v>0</v>
      </c>
      <c r="G3269" s="8" t="n">
        <f aca="false">IFERROR(INDEX('TRANS'!$B:$B,MATCH($B3269,'TRANS'!$A:$A,0)),IFERROR(INDEX('TRANS'!$B:$B,MATCH(TRIM(SUBSTITUTE($B3269,CHAR(160)," ")),'TRANS'!$D:$D,0)),IFERROR(INDEX('Catalog'!$A:$A,MATCH($B3269,'Catalog'!$B:$B,0)),IFERROR(INDEX('Catalog'!$A:$A,MATCH(TRIM(SUBSTITUTE($B3269,CHAR(160)," ")),'Catalog'!$C:$C,0)),""))))</f>
        <v>4413103</v>
      </c>
      <c r="H3269" s="8" t="str">
        <f aca="false">IFERROR(INDEX('TRANS'!$C:$C,MATCH($B3269,'TRANS'!$A:$A,0)),IFERROR(INDEX('Catalog'!$B:$B,MATCH($G3269,'Catalog'!$A:$A,0)),$B3269))</f>
        <v>45E Mמגן ברך ארוך לבן</v>
      </c>
      <c r="I3269" s="8" t="str">
        <f aca="false">IF($G3269="","Unmatched","Matched")</f>
        <v>Matched</v>
      </c>
    </row>
    <row r="3270" customFormat="false" ht="15" hidden="false" customHeight="false" outlineLevel="0" collapsed="false">
      <c r="A3270" s="8" t="s">
        <v>1052</v>
      </c>
      <c r="B3270" s="8" t="s">
        <v>216</v>
      </c>
      <c r="C3270" s="19" t="n">
        <v>10</v>
      </c>
      <c r="D3270" s="19" t="n">
        <v>116.51</v>
      </c>
      <c r="E3270" s="19" t="n">
        <v>0</v>
      </c>
      <c r="F3270" s="19" t="n">
        <v>0</v>
      </c>
      <c r="G3270" s="8" t="n">
        <f aca="false">IFERROR(INDEX('TRANS'!$B:$B,MATCH($B3270,'TRANS'!$A:$A,0)),IFERROR(INDEX('TRANS'!$B:$B,MATCH(TRIM(SUBSTITUTE($B3270,CHAR(160)," ")),'TRANS'!$D:$D,0)),IFERROR(INDEX('Catalog'!$A:$A,MATCH($B3270,'Catalog'!$B:$B,0)),IFERROR(INDEX('Catalog'!$A:$A,MATCH(TRIM(SUBSTITUTE($B3270,CHAR(160)," ")),'Catalog'!$C:$C,0)),""))))</f>
        <v>4413104</v>
      </c>
      <c r="H3270" s="8" t="str">
        <f aca="false">IFERROR(INDEX('TRANS'!$C:$C,MATCH($B3270,'TRANS'!$A:$A,0)),IFERROR(INDEX('Catalog'!$B:$B,MATCH($G3270,'Catalog'!$A:$A,0)),$B3270))</f>
        <v>45E XLמגן ברך ארוך לבן</v>
      </c>
      <c r="I3270" s="8" t="str">
        <f aca="false">IF($G3270="","Unmatched","Matched")</f>
        <v>Matched</v>
      </c>
    </row>
    <row r="3271" customFormat="false" ht="15" hidden="false" customHeight="false" outlineLevel="0" collapsed="false">
      <c r="A3271" s="8" t="s">
        <v>1052</v>
      </c>
      <c r="B3271" s="8" t="s">
        <v>598</v>
      </c>
      <c r="C3271" s="19" t="n">
        <v>100</v>
      </c>
      <c r="D3271" s="19" t="n">
        <v>3135.24</v>
      </c>
      <c r="E3271" s="19" t="n">
        <v>18</v>
      </c>
      <c r="F3271" s="19" t="n">
        <v>522.81</v>
      </c>
      <c r="G3271" s="8" t="n">
        <f aca="false">IFERROR(INDEX('TRANS'!$B:$B,MATCH($B3271,'TRANS'!$A:$A,0)),IFERROR(INDEX('TRANS'!$B:$B,MATCH(TRIM(SUBSTITUTE($B3271,CHAR(160)," ")),'TRANS'!$D:$D,0)),IFERROR(INDEX('Catalog'!$A:$A,MATCH($B3271,'Catalog'!$B:$B,0)),IFERROR(INDEX('Catalog'!$A:$A,MATCH(TRIM(SUBSTITUTE($B3271,CHAR(160)," ")),'Catalog'!$C:$C,0)),""))))</f>
        <v>4413122</v>
      </c>
      <c r="H3271" s="8" t="str">
        <f aca="false">IFERROR(INDEX('TRANS'!$C:$C,MATCH($B3271,'TRANS'!$A:$A,0)),IFERROR(INDEX('Catalog'!$B:$B,MATCH($G3271,'Catalog'!$A:$A,0)),$B3271))</f>
        <v>55 L מתלה אשכים לספורטאים</v>
      </c>
      <c r="I3271" s="8" t="str">
        <f aca="false">IF($G3271="","Unmatched","Matched")</f>
        <v>Matched</v>
      </c>
    </row>
    <row r="3272" customFormat="false" ht="15" hidden="false" customHeight="false" outlineLevel="0" collapsed="false">
      <c r="A3272" s="8" t="s">
        <v>1052</v>
      </c>
      <c r="B3272" s="8" t="s">
        <v>599</v>
      </c>
      <c r="C3272" s="19" t="n">
        <v>50</v>
      </c>
      <c r="D3272" s="19" t="n">
        <v>1584.91</v>
      </c>
      <c r="E3272" s="19" t="n">
        <v>26</v>
      </c>
      <c r="F3272" s="19" t="n">
        <v>738.56</v>
      </c>
      <c r="G3272" s="8" t="str">
        <f aca="false">IFERROR(INDEX('TRANS'!$B:$B,MATCH($B3272,'TRANS'!$A:$A,0)),IFERROR(INDEX('TRANS'!$B:$B,MATCH(TRIM(SUBSTITUTE($B3272,CHAR(160)," ")),'TRANS'!$D:$D,0)),IFERROR(INDEX('Catalog'!$A:$A,MATCH($B3272,'Catalog'!$B:$B,0)),IFERROR(INDEX('Catalog'!$A:$A,MATCH(TRIM(SUBSTITUTE($B3272,CHAR(160)," ")),'Catalog'!$C:$C,0)),""))))</f>
        <v/>
      </c>
      <c r="H3272" s="8" t="str">
        <f aca="false">IFERROR(INDEX('TRANS'!$C:$C,MATCH($B3272,'TRANS'!$A:$A,0)),IFERROR(INDEX('Catalog'!$B:$B,MATCH($G3272,'Catalog'!$A:$A,0)),$B3272))</f>
        <v>55 M</v>
      </c>
      <c r="I3272" s="8" t="str">
        <f aca="false">IF($G3272="","Unmatched","Matched")</f>
        <v>Unmatched</v>
      </c>
    </row>
    <row r="3273" customFormat="false" ht="15" hidden="false" customHeight="false" outlineLevel="0" collapsed="false">
      <c r="A3273" s="8" t="s">
        <v>1052</v>
      </c>
      <c r="B3273" s="8" t="s">
        <v>725</v>
      </c>
      <c r="C3273" s="19" t="n">
        <v>6</v>
      </c>
      <c r="D3273" s="19" t="n">
        <v>183.73</v>
      </c>
      <c r="E3273" s="19" t="n">
        <v>0</v>
      </c>
      <c r="F3273" s="19" t="n">
        <v>0</v>
      </c>
      <c r="G3273" s="8" t="str">
        <f aca="false">IFERROR(INDEX('TRANS'!$B:$B,MATCH($B3273,'TRANS'!$A:$A,0)),IFERROR(INDEX('TRANS'!$B:$B,MATCH(TRIM(SUBSTITUTE($B3273,CHAR(160)," ")),'TRANS'!$D:$D,0)),IFERROR(INDEX('Catalog'!$A:$A,MATCH($B3273,'Catalog'!$B:$B,0)),IFERROR(INDEX('Catalog'!$A:$A,MATCH(TRIM(SUBSTITUTE($B3273,CHAR(160)," ")),'Catalog'!$C:$C,0)),""))))</f>
        <v/>
      </c>
      <c r="H3273" s="8" t="str">
        <f aca="false">IFERROR(INDEX('TRANS'!$C:$C,MATCH($B3273,'TRANS'!$A:$A,0)),IFERROR(INDEX('Catalog'!$B:$B,MATCH($G3273,'Catalog'!$A:$A,0)),$B3273))</f>
        <v>55 S</v>
      </c>
      <c r="I3273" s="8" t="str">
        <f aca="false">IF($G3273="","Unmatched","Matched")</f>
        <v>Unmatched</v>
      </c>
    </row>
    <row r="3274" customFormat="false" ht="15" hidden="false" customHeight="false" outlineLevel="0" collapsed="false">
      <c r="A3274" s="8" t="s">
        <v>1052</v>
      </c>
      <c r="B3274" s="8" t="s">
        <v>223</v>
      </c>
      <c r="C3274" s="19" t="n">
        <v>31</v>
      </c>
      <c r="D3274" s="19" t="n">
        <v>991.17</v>
      </c>
      <c r="E3274" s="19" t="n">
        <v>22</v>
      </c>
      <c r="F3274" s="19" t="n">
        <v>637.54</v>
      </c>
      <c r="G3274" s="8" t="n">
        <f aca="false">IFERROR(INDEX('TRANS'!$B:$B,MATCH($B3274,'TRANS'!$A:$A,0)),IFERROR(INDEX('TRANS'!$B:$B,MATCH(TRIM(SUBSTITUTE($B3274,CHAR(160)," ")),'TRANS'!$D:$D,0)),IFERROR(INDEX('Catalog'!$A:$A,MATCH($B3274,'Catalog'!$B:$B,0)),IFERROR(INDEX('Catalog'!$A:$A,MATCH(TRIM(SUBSTITUTE($B3274,CHAR(160)," ")),'Catalog'!$C:$C,0)),""))))</f>
        <v>4413124</v>
      </c>
      <c r="H3274" s="8" t="str">
        <f aca="false">IFERROR(INDEX('TRANS'!$C:$C,MATCH($B3274,'TRANS'!$A:$A,0)),IFERROR(INDEX('Catalog'!$B:$B,MATCH($G3274,'Catalog'!$A:$A,0)),$B3274))</f>
        <v>55 XL מתלה אשכים לספורטאים</v>
      </c>
      <c r="I3274" s="8" t="str">
        <f aca="false">IF($G3274="","Unmatched","Matched")</f>
        <v>Matched</v>
      </c>
    </row>
    <row r="3275" customFormat="false" ht="15" hidden="false" customHeight="false" outlineLevel="0" collapsed="false">
      <c r="A3275" s="8" t="s">
        <v>1052</v>
      </c>
      <c r="B3275" s="8" t="s">
        <v>726</v>
      </c>
      <c r="C3275" s="19" t="n">
        <v>26</v>
      </c>
      <c r="D3275" s="19" t="n">
        <v>823.38</v>
      </c>
      <c r="E3275" s="19" t="n">
        <v>6</v>
      </c>
      <c r="F3275" s="19" t="n">
        <v>178.05</v>
      </c>
      <c r="G3275" s="8" t="str">
        <f aca="false">IFERROR(INDEX('TRANS'!$B:$B,MATCH($B3275,'TRANS'!$A:$A,0)),IFERROR(INDEX('TRANS'!$B:$B,MATCH(TRIM(SUBSTITUTE($B3275,CHAR(160)," ")),'TRANS'!$D:$D,0)),IFERROR(INDEX('Catalog'!$A:$A,MATCH($B3275,'Catalog'!$B:$B,0)),IFERROR(INDEX('Catalog'!$A:$A,MATCH(TRIM(SUBSTITUTE($B3275,CHAR(160)," ")),'Catalog'!$C:$C,0)),""))))</f>
        <v/>
      </c>
      <c r="H3275" s="8" t="str">
        <f aca="false">IFERROR(INDEX('TRANS'!$C:$C,MATCH($B3275,'TRANS'!$A:$A,0)),IFERROR(INDEX('Catalog'!$B:$B,MATCH($G3275,'Catalog'!$A:$A,0)),$B3275))</f>
        <v>55 XXL</v>
      </c>
      <c r="I3275" s="8" t="str">
        <f aca="false">IF($G3275="","Unmatched","Matched")</f>
        <v>Unmatched</v>
      </c>
    </row>
    <row r="3276" customFormat="false" ht="15" hidden="false" customHeight="false" outlineLevel="0" collapsed="false">
      <c r="A3276" s="8" t="s">
        <v>1052</v>
      </c>
      <c r="B3276" s="8" t="s">
        <v>577</v>
      </c>
      <c r="C3276" s="19" t="n">
        <v>37</v>
      </c>
      <c r="D3276" s="19" t="n">
        <v>844.36</v>
      </c>
      <c r="E3276" s="19" t="n">
        <v>16</v>
      </c>
      <c r="F3276" s="19" t="n">
        <v>321.22</v>
      </c>
      <c r="G3276" s="8" t="n">
        <f aca="false">IFERROR(INDEX('TRANS'!$B:$B,MATCH($B3276,'TRANS'!$A:$A,0)),IFERROR(INDEX('TRANS'!$B:$B,MATCH(TRIM(SUBSTITUTE($B3276,CHAR(160)," ")),'TRANS'!$D:$D,0)),IFERROR(INDEX('Catalog'!$A:$A,MATCH($B3276,'Catalog'!$B:$B,0)),IFERROR(INDEX('Catalog'!$A:$A,MATCH(TRIM(SUBSTITUTE($B3276,CHAR(160)," ")),'Catalog'!$C:$C,0)),""))))</f>
        <v>4418000</v>
      </c>
      <c r="H3276" s="8" t="str">
        <f aca="false">IFERROR(INDEX('TRANS'!$C:$C,MATCH($B3276,'TRANS'!$A:$A,0)),IFERROR(INDEX('Catalog'!$B:$B,MATCH($G3276,'Catalog'!$A:$A,0)),$B3276))</f>
        <v>60 L צוארון ספוגי</v>
      </c>
      <c r="I3276" s="8" t="str">
        <f aca="false">IF($G3276="","Unmatched","Matched")</f>
        <v>Matched</v>
      </c>
    </row>
    <row r="3277" customFormat="false" ht="15" hidden="false" customHeight="false" outlineLevel="0" collapsed="false">
      <c r="A3277" s="8" t="s">
        <v>1052</v>
      </c>
      <c r="B3277" s="8" t="s">
        <v>228</v>
      </c>
      <c r="C3277" s="19" t="n">
        <v>50</v>
      </c>
      <c r="D3277" s="19" t="n">
        <v>1127.64</v>
      </c>
      <c r="E3277" s="19" t="n">
        <v>28</v>
      </c>
      <c r="F3277" s="19" t="n">
        <v>576.06</v>
      </c>
      <c r="G3277" s="8" t="n">
        <f aca="false">IFERROR(INDEX('TRANS'!$B:$B,MATCH($B3277,'TRANS'!$A:$A,0)),IFERROR(INDEX('TRANS'!$B:$B,MATCH(TRIM(SUBSTITUTE($B3277,CHAR(160)," ")),'TRANS'!$D:$D,0)),IFERROR(INDEX('Catalog'!$A:$A,MATCH($B3277,'Catalog'!$B:$B,0)),IFERROR(INDEX('Catalog'!$A:$A,MATCH(TRIM(SUBSTITUTE($B3277,CHAR(160)," ")),'Catalog'!$C:$C,0)),""))))</f>
        <v>4418001</v>
      </c>
      <c r="H3277" s="8" t="str">
        <f aca="false">IFERROR(INDEX('TRANS'!$C:$C,MATCH($B3277,'TRANS'!$A:$A,0)),IFERROR(INDEX('Catalog'!$B:$B,MATCH($G3277,'Catalog'!$A:$A,0)),$B3277))</f>
        <v>60 M צוארון ספוגי</v>
      </c>
      <c r="I3277" s="8" t="str">
        <f aca="false">IF($G3277="","Unmatched","Matched")</f>
        <v>Matched</v>
      </c>
    </row>
    <row r="3278" customFormat="false" ht="15" hidden="false" customHeight="false" outlineLevel="0" collapsed="false">
      <c r="A3278" s="8" t="s">
        <v>1052</v>
      </c>
      <c r="B3278" s="8" t="s">
        <v>229</v>
      </c>
      <c r="C3278" s="19" t="n">
        <v>26</v>
      </c>
      <c r="D3278" s="19" t="n">
        <v>595.57</v>
      </c>
      <c r="E3278" s="19" t="n">
        <v>12</v>
      </c>
      <c r="F3278" s="19" t="n">
        <v>246.64</v>
      </c>
      <c r="G3278" s="8" t="n">
        <f aca="false">IFERROR(INDEX('TRANS'!$B:$B,MATCH($B3278,'TRANS'!$A:$A,0)),IFERROR(INDEX('TRANS'!$B:$B,MATCH(TRIM(SUBSTITUTE($B3278,CHAR(160)," ")),'TRANS'!$D:$D,0)),IFERROR(INDEX('Catalog'!$A:$A,MATCH($B3278,'Catalog'!$B:$B,0)),IFERROR(INDEX('Catalog'!$A:$A,MATCH(TRIM(SUBSTITUTE($B3278,CHAR(160)," ")),'Catalog'!$C:$C,0)),""))))</f>
        <v>4418002</v>
      </c>
      <c r="H3278" s="8" t="str">
        <f aca="false">IFERROR(INDEX('TRANS'!$C:$C,MATCH($B3278,'TRANS'!$A:$A,0)),IFERROR(INDEX('Catalog'!$B:$B,MATCH($G3278,'Catalog'!$A:$A,0)),$B3278))</f>
        <v>60 S צוארון ספוגי</v>
      </c>
      <c r="I3278" s="8" t="str">
        <f aca="false">IF($G3278="","Unmatched","Matched")</f>
        <v>Matched</v>
      </c>
    </row>
    <row r="3279" customFormat="false" ht="15" hidden="false" customHeight="false" outlineLevel="0" collapsed="false">
      <c r="A3279" s="8" t="s">
        <v>1052</v>
      </c>
      <c r="B3279" s="8" t="s">
        <v>689</v>
      </c>
      <c r="C3279" s="19" t="n">
        <v>160</v>
      </c>
      <c r="D3279" s="19" t="n">
        <v>2814.71</v>
      </c>
      <c r="E3279" s="19" t="n">
        <v>20</v>
      </c>
      <c r="F3279" s="19" t="n">
        <v>316.93</v>
      </c>
      <c r="G3279" s="8" t="str">
        <f aca="false">IFERROR(INDEX('TRANS'!$B:$B,MATCH($B3279,'TRANS'!$A:$A,0)),IFERROR(INDEX('TRANS'!$B:$B,MATCH(TRIM(SUBSTITUTE($B3279,CHAR(160)," ")),'TRANS'!$D:$D,0)),IFERROR(INDEX('Catalog'!$A:$A,MATCH($B3279,'Catalog'!$B:$B,0)),IFERROR(INDEX('Catalog'!$A:$A,MATCH(TRIM(SUBSTITUTE($B3279,CHAR(160)," ")),'Catalog'!$C:$C,0)),""))))</f>
        <v/>
      </c>
      <c r="H3279" s="8" t="str">
        <f aca="false">IFERROR(INDEX('TRANS'!$C:$C,MATCH($B3279,'TRANS'!$A:$A,0)),IFERROR(INDEX('Catalog'!$B:$B,MATCH($G3279,'Catalog'!$A:$A,0)),$B3279))</f>
        <v>61 L</v>
      </c>
      <c r="I3279" s="8" t="str">
        <f aca="false">IF($G3279="","Unmatched","Matched")</f>
        <v>Unmatched</v>
      </c>
    </row>
    <row r="3280" customFormat="false" ht="15" hidden="false" customHeight="false" outlineLevel="0" collapsed="false">
      <c r="A3280" s="8" t="s">
        <v>1052</v>
      </c>
      <c r="B3280" s="8" t="s">
        <v>719</v>
      </c>
      <c r="C3280" s="19" t="n">
        <v>216</v>
      </c>
      <c r="D3280" s="19" t="n">
        <v>3814.23</v>
      </c>
      <c r="E3280" s="19" t="n">
        <v>150</v>
      </c>
      <c r="F3280" s="19" t="n">
        <v>2377.4</v>
      </c>
      <c r="G3280" s="8" t="str">
        <f aca="false">IFERROR(INDEX('TRANS'!$B:$B,MATCH($B3280,'TRANS'!$A:$A,0)),IFERROR(INDEX('TRANS'!$B:$B,MATCH(TRIM(SUBSTITUTE($B3280,CHAR(160)," ")),'TRANS'!$D:$D,0)),IFERROR(INDEX('Catalog'!$A:$A,MATCH($B3280,'Catalog'!$B:$B,0)),IFERROR(INDEX('Catalog'!$A:$A,MATCH(TRIM(SUBSTITUTE($B3280,CHAR(160)," ")),'Catalog'!$C:$C,0)),""))))</f>
        <v/>
      </c>
      <c r="H3280" s="8" t="str">
        <f aca="false">IFERROR(INDEX('TRANS'!$C:$C,MATCH($B3280,'TRANS'!$A:$A,0)),IFERROR(INDEX('Catalog'!$B:$B,MATCH($G3280,'Catalog'!$A:$A,0)),$B3280))</f>
        <v>61 M</v>
      </c>
      <c r="I3280" s="8" t="str">
        <f aca="false">IF($G3280="","Unmatched","Matched")</f>
        <v>Unmatched</v>
      </c>
    </row>
    <row r="3281" customFormat="false" ht="15" hidden="false" customHeight="false" outlineLevel="0" collapsed="false">
      <c r="A3281" s="8" t="s">
        <v>1052</v>
      </c>
      <c r="B3281" s="8" t="s">
        <v>230</v>
      </c>
      <c r="C3281" s="19" t="n">
        <v>95</v>
      </c>
      <c r="D3281" s="19" t="n">
        <v>1682.44</v>
      </c>
      <c r="E3281" s="19" t="n">
        <v>85</v>
      </c>
      <c r="F3281" s="19" t="n">
        <v>1348.67</v>
      </c>
      <c r="G3281" s="8" t="str">
        <f aca="false">IFERROR(INDEX('TRANS'!$B:$B,MATCH($B3281,'TRANS'!$A:$A,0)),IFERROR(INDEX('TRANS'!$B:$B,MATCH(TRIM(SUBSTITUTE($B3281,CHAR(160)," ")),'TRANS'!$D:$D,0)),IFERROR(INDEX('Catalog'!$A:$A,MATCH($B3281,'Catalog'!$B:$B,0)),IFERROR(INDEX('Catalog'!$A:$A,MATCH(TRIM(SUBSTITUTE($B3281,CHAR(160)," ")),'Catalog'!$C:$C,0)),""))))</f>
        <v/>
      </c>
      <c r="H3281" s="8" t="str">
        <f aca="false">IFERROR(INDEX('TRANS'!$C:$C,MATCH($B3281,'TRANS'!$A:$A,0)),IFERROR(INDEX('Catalog'!$B:$B,MATCH($G3281,'Catalog'!$A:$A,0)),$B3281))</f>
        <v>61 S</v>
      </c>
      <c r="I3281" s="8" t="str">
        <f aca="false">IF($G3281="","Unmatched","Matched")</f>
        <v>Unmatched</v>
      </c>
    </row>
    <row r="3282" customFormat="false" ht="15" hidden="false" customHeight="false" outlineLevel="0" collapsed="false">
      <c r="A3282" s="8" t="s">
        <v>1052</v>
      </c>
      <c r="B3282" s="8" t="s">
        <v>720</v>
      </c>
      <c r="C3282" s="19" t="n">
        <v>20</v>
      </c>
      <c r="D3282" s="19" t="n">
        <v>346.83</v>
      </c>
      <c r="E3282" s="19" t="n">
        <v>0</v>
      </c>
      <c r="F3282" s="19" t="n">
        <v>0</v>
      </c>
      <c r="G3282" s="8" t="str">
        <f aca="false">IFERROR(INDEX('TRANS'!$B:$B,MATCH($B3282,'TRANS'!$A:$A,0)),IFERROR(INDEX('TRANS'!$B:$B,MATCH(TRIM(SUBSTITUTE($B3282,CHAR(160)," ")),'TRANS'!$D:$D,0)),IFERROR(INDEX('Catalog'!$A:$A,MATCH($B3282,'Catalog'!$B:$B,0)),IFERROR(INDEX('Catalog'!$A:$A,MATCH(TRIM(SUBSTITUTE($B3282,CHAR(160)," ")),'Catalog'!$C:$C,0)),""))))</f>
        <v/>
      </c>
      <c r="H3282" s="8" t="str">
        <f aca="false">IFERROR(INDEX('TRANS'!$C:$C,MATCH($B3282,'TRANS'!$A:$A,0)),IFERROR(INDEX('Catalog'!$B:$B,MATCH($G3282,'Catalog'!$A:$A,0)),$B3282))</f>
        <v>61 XL</v>
      </c>
      <c r="I3282" s="8" t="str">
        <f aca="false">IF($G3282="","Unmatched","Matched")</f>
        <v>Unmatched</v>
      </c>
    </row>
    <row r="3283" customFormat="false" ht="15" hidden="false" customHeight="false" outlineLevel="0" collapsed="false">
      <c r="A3283" s="8" t="s">
        <v>1052</v>
      </c>
      <c r="B3283" s="8" t="s">
        <v>231</v>
      </c>
      <c r="C3283" s="19" t="n">
        <v>31</v>
      </c>
      <c r="D3283" s="19" t="n">
        <v>3006.36</v>
      </c>
      <c r="E3283" s="19" t="n">
        <v>0</v>
      </c>
      <c r="F3283" s="19" t="n">
        <v>0</v>
      </c>
      <c r="G3283" s="8" t="str">
        <f aca="false">IFERROR(INDEX('TRANS'!$B:$B,MATCH($B3283,'TRANS'!$A:$A,0)),IFERROR(INDEX('TRANS'!$B:$B,MATCH(TRIM(SUBSTITUTE($B3283,CHAR(160)," ")),'TRANS'!$D:$D,0)),IFERROR(INDEX('Catalog'!$A:$A,MATCH($B3283,'Catalog'!$B:$B,0)),IFERROR(INDEX('Catalog'!$A:$A,MATCH(TRIM(SUBSTITUTE($B3283,CHAR(160)," ")),'Catalog'!$C:$C,0)),""))))</f>
        <v/>
      </c>
      <c r="H3283" s="8" t="str">
        <f aca="false">IFERROR(INDEX('TRANS'!$C:$C,MATCH($B3283,'TRANS'!$A:$A,0)),IFERROR(INDEX('Catalog'!$B:$B,MATCH($G3283,'Catalog'!$A:$A,0)),$B3283))</f>
        <v>67 0</v>
      </c>
      <c r="I3283" s="8" t="str">
        <f aca="false">IF($G3283="","Unmatched","Matched")</f>
        <v>Unmatched</v>
      </c>
    </row>
    <row r="3284" customFormat="false" ht="15" hidden="false" customHeight="false" outlineLevel="0" collapsed="false">
      <c r="A3284" s="8" t="s">
        <v>1052</v>
      </c>
      <c r="B3284" s="8" t="s">
        <v>497</v>
      </c>
      <c r="C3284" s="19" t="n">
        <v>16</v>
      </c>
      <c r="D3284" s="19" t="n">
        <v>0.57</v>
      </c>
      <c r="E3284" s="19" t="n">
        <v>0</v>
      </c>
      <c r="F3284" s="19" t="n">
        <v>0</v>
      </c>
      <c r="G3284" s="8" t="str">
        <f aca="false">IFERROR(INDEX('TRANS'!$B:$B,MATCH($B3284,'TRANS'!$A:$A,0)),IFERROR(INDEX('TRANS'!$B:$B,MATCH(TRIM(SUBSTITUTE($B3284,CHAR(160)," ")),'TRANS'!$D:$D,0)),IFERROR(INDEX('Catalog'!$A:$A,MATCH($B3284,'Catalog'!$B:$B,0)),IFERROR(INDEX('Catalog'!$A:$A,MATCH(TRIM(SUBSTITUTE($B3284,CHAR(160)," ")),'Catalog'!$C:$C,0)),""))))</f>
        <v/>
      </c>
      <c r="H3284" s="8" t="str">
        <f aca="false">IFERROR(INDEX('TRANS'!$C:$C,MATCH($B3284,'TRANS'!$A:$A,0)),IFERROR(INDEX('Catalog'!$B:$B,MATCH($G3284,'Catalog'!$A:$A,0)),$B3284))</f>
        <v>67800020</v>
      </c>
      <c r="I3284" s="8" t="str">
        <f aca="false">IF($G3284="","Unmatched","Matched")</f>
        <v>Unmatched</v>
      </c>
    </row>
    <row r="3285" customFormat="false" ht="15" hidden="false" customHeight="false" outlineLevel="0" collapsed="false">
      <c r="A3285" s="8" t="s">
        <v>1052</v>
      </c>
      <c r="B3285" s="8" t="s">
        <v>52</v>
      </c>
      <c r="C3285" s="19" t="n">
        <v>3</v>
      </c>
      <c r="D3285" s="19" t="n">
        <v>189.5</v>
      </c>
      <c r="E3285" s="19" t="n">
        <v>0</v>
      </c>
      <c r="F3285" s="19" t="n">
        <v>0</v>
      </c>
      <c r="G3285" s="8" t="n">
        <f aca="false">IFERROR(INDEX('TRANS'!$B:$B,MATCH($B3285,'TRANS'!$A:$A,0)),IFERROR(INDEX('TRANS'!$B:$B,MATCH(TRIM(SUBSTITUTE($B3285,CHAR(160)," ")),'TRANS'!$D:$D,0)),IFERROR(INDEX('Catalog'!$A:$A,MATCH($B3285,'Catalog'!$B:$B,0)),IFERROR(INDEX('Catalog'!$A:$A,MATCH(TRIM(SUBSTITUTE($B3285,CHAR(160)," ")),'Catalog'!$C:$C,0)),""))))</f>
        <v>4413127</v>
      </c>
      <c r="H3285" s="8" t="str">
        <f aca="false">IFERROR(INDEX('TRANS'!$C:$C,MATCH($B3285,'TRANS'!$A:$A,0)),IFERROR(INDEX('Catalog'!$B:$B,MATCH($G3285,'Catalog'!$A:$A,0)),$B3285))</f>
        <v>75 Lמיישר כתף יציב יישור גב צר</v>
      </c>
      <c r="I3285" s="8" t="str">
        <f aca="false">IF($G3285="","Unmatched","Matched")</f>
        <v>Matched</v>
      </c>
    </row>
    <row r="3286" customFormat="false" ht="15" hidden="false" customHeight="false" outlineLevel="0" collapsed="false">
      <c r="A3286" s="8" t="s">
        <v>1052</v>
      </c>
      <c r="B3286" s="8" t="s">
        <v>238</v>
      </c>
      <c r="C3286" s="19" t="n">
        <v>50</v>
      </c>
      <c r="D3286" s="19" t="n">
        <v>498.16</v>
      </c>
      <c r="E3286" s="19" t="n">
        <v>25</v>
      </c>
      <c r="F3286" s="19" t="n">
        <v>220.61</v>
      </c>
      <c r="G3286" s="8" t="n">
        <f aca="false">IFERROR(INDEX('TRANS'!$B:$B,MATCH($B3286,'TRANS'!$A:$A,0)),IFERROR(INDEX('TRANS'!$B:$B,MATCH(TRIM(SUBSTITUTE($B3286,CHAR(160)," ")),'TRANS'!$D:$D,0)),IFERROR(INDEX('Catalog'!$A:$A,MATCH($B3286,'Catalog'!$B:$B,0)),IFERROR(INDEX('Catalog'!$A:$A,MATCH(TRIM(SUBSTITUTE($B3286,CHAR(160)," ")),'Catalog'!$C:$C,0)),""))))</f>
        <v>4422000</v>
      </c>
      <c r="H3286" s="8" t="str">
        <f aca="false">IFERROR(INDEX('TRANS'!$C:$C,MATCH($B3286,'TRANS'!$A:$A,0)),IFERROR(INDEX('Catalog'!$B:$B,MATCH($G3286,'Catalog'!$A:$A,0)),$B3286))</f>
        <v>801  תחבושת אלסטית מקררת</v>
      </c>
      <c r="I3286" s="8" t="str">
        <f aca="false">IF($G3286="","Unmatched","Matched")</f>
        <v>Matched</v>
      </c>
    </row>
    <row r="3287" customFormat="false" ht="15" hidden="false" customHeight="false" outlineLevel="0" collapsed="false">
      <c r="A3287" s="8" t="s">
        <v>1052</v>
      </c>
      <c r="B3287" s="8" t="s">
        <v>242</v>
      </c>
      <c r="C3287" s="19" t="n">
        <v>56</v>
      </c>
      <c r="D3287" s="19" t="n">
        <v>501.97</v>
      </c>
      <c r="E3287" s="19" t="n">
        <v>70</v>
      </c>
      <c r="F3287" s="19" t="n">
        <v>557.96</v>
      </c>
      <c r="G3287" s="8" t="n">
        <f aca="false">IFERROR(INDEX('TRANS'!$B:$B,MATCH($B3287,'TRANS'!$A:$A,0)),IFERROR(INDEX('TRANS'!$B:$B,MATCH(TRIM(SUBSTITUTE($B3287,CHAR(160)," ")),'TRANS'!$D:$D,0)),IFERROR(INDEX('Catalog'!$A:$A,MATCH($B3287,'Catalog'!$B:$B,0)),IFERROR(INDEX('Catalog'!$A:$A,MATCH(TRIM(SUBSTITUTE($B3287,CHAR(160)," ")),'Catalog'!$C:$C,0)),""))))</f>
        <v>4401012</v>
      </c>
      <c r="H3287" s="8" t="str">
        <f aca="false">IFERROR(INDEX('TRANS'!$C:$C,MATCH($B3287,'TRANS'!$A:$A,0)),IFERROR(INDEX('Catalog'!$B:$B,MATCH($G3287,'Catalog'!$A:$A,0)),$B3287))</f>
        <v>805AT-B אתלטיק טייפ שחור 20מ""""מ</v>
      </c>
      <c r="I3287" s="8" t="str">
        <f aca="false">IF($G3287="","Unmatched","Matched")</f>
        <v>Matched</v>
      </c>
    </row>
    <row r="3288" customFormat="false" ht="15" hidden="false" customHeight="false" outlineLevel="0" collapsed="false">
      <c r="A3288" s="8" t="s">
        <v>1052</v>
      </c>
      <c r="B3288" s="8" t="s">
        <v>503</v>
      </c>
      <c r="C3288" s="19" t="n">
        <v>62</v>
      </c>
      <c r="D3288" s="19" t="n">
        <v>537.87</v>
      </c>
      <c r="E3288" s="19" t="n">
        <v>90</v>
      </c>
      <c r="F3288" s="19" t="n">
        <v>717.64</v>
      </c>
      <c r="G3288" s="8" t="n">
        <f aca="false">IFERROR(INDEX('TRANS'!$B:$B,MATCH($B3288,'TRANS'!$A:$A,0)),IFERROR(INDEX('TRANS'!$B:$B,MATCH(TRIM(SUBSTITUTE($B3288,CHAR(160)," ")),'TRANS'!$D:$D,0)),IFERROR(INDEX('Catalog'!$A:$A,MATCH($B3288,'Catalog'!$B:$B,0)),IFERROR(INDEX('Catalog'!$A:$A,MATCH(TRIM(SUBSTITUTE($B3288,CHAR(160)," ")),'Catalog'!$C:$C,0)),""))))</f>
        <v>4401013</v>
      </c>
      <c r="H3288" s="8" t="str">
        <f aca="false">IFERROR(INDEX('TRANS'!$C:$C,MATCH($B3288,'TRANS'!$A:$A,0)),IFERROR(INDEX('Catalog'!$B:$B,MATCH($G3288,'Catalog'!$A:$A,0)),$B3288))</f>
        <v>805AT-BLאתלטיק טייפ כחול 20מ""""מ</v>
      </c>
      <c r="I3288" s="8" t="str">
        <f aca="false">IF($G3288="","Unmatched","Matched")</f>
        <v>Matched</v>
      </c>
    </row>
    <row r="3289" customFormat="false" ht="15" hidden="false" customHeight="false" outlineLevel="0" collapsed="false">
      <c r="A3289" s="8" t="s">
        <v>1052</v>
      </c>
      <c r="B3289" s="8" t="s">
        <v>243</v>
      </c>
      <c r="C3289" s="19" t="n">
        <v>95</v>
      </c>
      <c r="D3289" s="19" t="n">
        <v>840.36</v>
      </c>
      <c r="E3289" s="19" t="n">
        <v>130</v>
      </c>
      <c r="F3289" s="19" t="n">
        <v>1036.92</v>
      </c>
      <c r="G3289" s="8" t="n">
        <f aca="false">IFERROR(INDEX('TRANS'!$B:$B,MATCH($B3289,'TRANS'!$A:$A,0)),IFERROR(INDEX('TRANS'!$B:$B,MATCH(TRIM(SUBSTITUTE($B3289,CHAR(160)," ")),'TRANS'!$D:$D,0)),IFERROR(INDEX('Catalog'!$A:$A,MATCH($B3289,'Catalog'!$B:$B,0)),IFERROR(INDEX('Catalog'!$A:$A,MATCH(TRIM(SUBSTITUTE($B3289,CHAR(160)," ")),'Catalog'!$C:$C,0)),""))))</f>
        <v>4401011</v>
      </c>
      <c r="H3289" s="8" t="str">
        <f aca="false">IFERROR(INDEX('TRANS'!$C:$C,MATCH($B3289,'TRANS'!$A:$A,0)),IFERROR(INDEX('Catalog'!$B:$B,MATCH($G3289,'Catalog'!$A:$A,0)),$B3289))</f>
        <v>805AT-Cאתלטיק טייפ בז' 20מ""""מ20</v>
      </c>
      <c r="I3289" s="8" t="str">
        <f aca="false">IF($G3289="","Unmatched","Matched")</f>
        <v>Matched</v>
      </c>
    </row>
    <row r="3290" customFormat="false" ht="15" hidden="false" customHeight="false" outlineLevel="0" collapsed="false">
      <c r="A3290" s="8" t="s">
        <v>1052</v>
      </c>
      <c r="B3290" s="8" t="s">
        <v>817</v>
      </c>
      <c r="C3290" s="19" t="n">
        <v>55</v>
      </c>
      <c r="D3290" s="19" t="n">
        <v>490.11</v>
      </c>
      <c r="E3290" s="19" t="n">
        <v>97</v>
      </c>
      <c r="F3290" s="19" t="n">
        <v>778.63</v>
      </c>
      <c r="G3290" s="8" t="n">
        <f aca="false">IFERROR(INDEX('TRANS'!$B:$B,MATCH($B3290,'TRANS'!$A:$A,0)),IFERROR(INDEX('TRANS'!$B:$B,MATCH(TRIM(SUBSTITUTE($B3290,CHAR(160)," ")),'TRANS'!$D:$D,0)),IFERROR(INDEX('Catalog'!$A:$A,MATCH($B3290,'Catalog'!$B:$B,0)),IFERROR(INDEX('Catalog'!$A:$A,MATCH(TRIM(SUBSTITUTE($B3290,CHAR(160)," ")),'Catalog'!$C:$C,0)),""))))</f>
        <v>4401014</v>
      </c>
      <c r="H3290" s="8" t="str">
        <f aca="false">IFERROR(INDEX('TRANS'!$C:$C,MATCH($B3290,'TRANS'!$A:$A,0)),IFERROR(INDEX('Catalog'!$B:$B,MATCH($G3290,'Catalog'!$A:$A,0)),$B3290))</f>
        <v>805AT-W  אתלטיק טייפ לבן 20מ""""מ</v>
      </c>
      <c r="I3290" s="8" t="str">
        <f aca="false">IF($G3290="","Unmatched","Matched")</f>
        <v>Matched</v>
      </c>
    </row>
    <row r="3291" customFormat="false" ht="15" hidden="false" customHeight="false" outlineLevel="0" collapsed="false">
      <c r="A3291" s="8" t="s">
        <v>1052</v>
      </c>
      <c r="B3291" s="8" t="s">
        <v>414</v>
      </c>
      <c r="C3291" s="19" t="n">
        <v>90</v>
      </c>
      <c r="D3291" s="19" t="n">
        <v>561.79</v>
      </c>
      <c r="E3291" s="19" t="n">
        <v>90</v>
      </c>
      <c r="F3291" s="19" t="n">
        <v>506.31</v>
      </c>
      <c r="G3291" s="8" t="n">
        <f aca="false">IFERROR(INDEX('TRANS'!$B:$B,MATCH($B3291,'TRANS'!$A:$A,0)),IFERROR(INDEX('TRANS'!$B:$B,MATCH(TRIM(SUBSTITUTE($B3291,CHAR(160)," ")),'TRANS'!$D:$D,0)),IFERROR(INDEX('Catalog'!$A:$A,MATCH($B3291,'Catalog'!$B:$B,0)),IFERROR(INDEX('Catalog'!$A:$A,MATCH(TRIM(SUBSTITUTE($B3291,CHAR(160)," ")),'Catalog'!$C:$C,0)),""))))</f>
        <v>4422024</v>
      </c>
      <c r="H3291" s="8" t="str">
        <f aca="false">IFERROR(INDEX('TRANS'!$C:$C,MATCH($B3291,'TRANS'!$A:$A,0)),IFERROR(INDEX('Catalog'!$B:$B,MATCH($G3291,'Catalog'!$A:$A,0)),$B3291))</f>
        <v>806CB-BLACK      תחבושת א.נצמ</v>
      </c>
      <c r="I3291" s="8" t="str">
        <f aca="false">IF($G3291="","Unmatched","Matched")</f>
        <v>Matched</v>
      </c>
    </row>
    <row r="3292" customFormat="false" ht="15" hidden="false" customHeight="false" outlineLevel="0" collapsed="false">
      <c r="A3292" s="8" t="s">
        <v>1052</v>
      </c>
      <c r="B3292" s="8" t="s">
        <v>415</v>
      </c>
      <c r="C3292" s="19" t="n">
        <v>110</v>
      </c>
      <c r="D3292" s="19" t="n">
        <v>688.33</v>
      </c>
      <c r="E3292" s="19" t="n">
        <v>100</v>
      </c>
      <c r="F3292" s="19" t="n">
        <v>564.01</v>
      </c>
      <c r="G3292" s="8" t="n">
        <f aca="false">IFERROR(INDEX('TRANS'!$B:$B,MATCH($B3292,'TRANS'!$A:$A,0)),IFERROR(INDEX('TRANS'!$B:$B,MATCH(TRIM(SUBSTITUTE($B3292,CHAR(160)," ")),'TRANS'!$D:$D,0)),IFERROR(INDEX('Catalog'!$A:$A,MATCH($B3292,'Catalog'!$B:$B,0)),IFERROR(INDEX('Catalog'!$A:$A,MATCH(TRIM(SUBSTITUTE($B3292,CHAR(160)," ")),'Catalog'!$C:$C,0)),""))))</f>
        <v>4422023</v>
      </c>
      <c r="H3292" s="8" t="str">
        <f aca="false">IFERROR(INDEX('TRANS'!$C:$C,MATCH($B3292,'TRANS'!$A:$A,0)),IFERROR(INDEX('Catalog'!$B:$B,MATCH($G3292,'Catalog'!$A:$A,0)),$B3292))</f>
        <v>806CB-BEIGE      תחבושת א.נצמ</v>
      </c>
      <c r="I3292" s="8" t="str">
        <f aca="false">IF($G3292="","Unmatched","Matched")</f>
        <v>Matched</v>
      </c>
    </row>
    <row r="3293" customFormat="false" ht="15" hidden="false" customHeight="false" outlineLevel="0" collapsed="false">
      <c r="A3293" s="8" t="s">
        <v>1052</v>
      </c>
      <c r="B3293" s="8" t="s">
        <v>416</v>
      </c>
      <c r="C3293" s="19" t="n">
        <v>50</v>
      </c>
      <c r="D3293" s="19" t="n">
        <v>318.44</v>
      </c>
      <c r="E3293" s="19" t="n">
        <v>30</v>
      </c>
      <c r="F3293" s="19" t="n">
        <v>169.3</v>
      </c>
      <c r="G3293" s="8" t="n">
        <f aca="false">IFERROR(INDEX('TRANS'!$B:$B,MATCH($B3293,'TRANS'!$A:$A,0)),IFERROR(INDEX('TRANS'!$B:$B,MATCH(TRIM(SUBSTITUTE($B3293,CHAR(160)," ")),'TRANS'!$D:$D,0)),IFERROR(INDEX('Catalog'!$A:$A,MATCH($B3293,'Catalog'!$B:$B,0)),IFERROR(INDEX('Catalog'!$A:$A,MATCH(TRIM(SUBSTITUTE($B3293,CHAR(160)," ")),'Catalog'!$C:$C,0)),""))))</f>
        <v>4422025</v>
      </c>
      <c r="H3293" s="8" t="str">
        <f aca="false">IFERROR(INDEX('TRANS'!$C:$C,MATCH($B3293,'TRANS'!$A:$A,0)),IFERROR(INDEX('Catalog'!$B:$B,MATCH($G3293,'Catalog'!$A:$A,0)),$B3293))</f>
        <v>806CB-GREEN      תחבושת א.נצמ</v>
      </c>
      <c r="I3293" s="8" t="str">
        <f aca="false">IF($G3293="","Unmatched","Matched")</f>
        <v>Matched</v>
      </c>
    </row>
    <row r="3294" customFormat="false" ht="15" hidden="false" customHeight="false" outlineLevel="0" collapsed="false">
      <c r="A3294" s="8" t="s">
        <v>1052</v>
      </c>
      <c r="B3294" s="8" t="s">
        <v>417</v>
      </c>
      <c r="C3294" s="19" t="n">
        <v>41</v>
      </c>
      <c r="D3294" s="19" t="n">
        <v>255.66</v>
      </c>
      <c r="E3294" s="19" t="n">
        <v>30</v>
      </c>
      <c r="F3294" s="19" t="n">
        <v>169.3</v>
      </c>
      <c r="G3294" s="8" t="n">
        <f aca="false">IFERROR(INDEX('TRANS'!$B:$B,MATCH($B3294,'TRANS'!$A:$A,0)),IFERROR(INDEX('TRANS'!$B:$B,MATCH(TRIM(SUBSTITUTE($B3294,CHAR(160)," ")),'TRANS'!$D:$D,0)),IFERROR(INDEX('Catalog'!$A:$A,MATCH($B3294,'Catalog'!$B:$B,0)),IFERROR(INDEX('Catalog'!$A:$A,MATCH(TRIM(SUBSTITUTE($B3294,CHAR(160)," ")),'Catalog'!$C:$C,0)),""))))</f>
        <v>4422026</v>
      </c>
      <c r="H3294" s="8" t="str">
        <f aca="false">IFERROR(INDEX('TRANS'!$C:$C,MATCH($B3294,'TRANS'!$A:$A,0)),IFERROR(INDEX('Catalog'!$B:$B,MATCH($G3294,'Catalog'!$A:$A,0)),$B3294))</f>
        <v>806CB-PINK       תחבושת א.נצמ</v>
      </c>
      <c r="I3294" s="8" t="str">
        <f aca="false">IF($G3294="","Unmatched","Matched")</f>
        <v>Matched</v>
      </c>
    </row>
    <row r="3295" customFormat="false" ht="15" hidden="false" customHeight="false" outlineLevel="0" collapsed="false">
      <c r="A3295" s="8" t="s">
        <v>1052</v>
      </c>
      <c r="B3295" s="8" t="s">
        <v>247</v>
      </c>
      <c r="C3295" s="19" t="n">
        <v>20</v>
      </c>
      <c r="D3295" s="19" t="n">
        <v>239.39</v>
      </c>
      <c r="E3295" s="19" t="n">
        <v>50</v>
      </c>
      <c r="F3295" s="19" t="n">
        <v>561.5</v>
      </c>
      <c r="G3295" s="8" t="n">
        <f aca="false">IFERROR(INDEX('TRANS'!$B:$B,MATCH($B3295,'TRANS'!$A:$A,0)),IFERROR(INDEX('TRANS'!$B:$B,MATCH(TRIM(SUBSTITUTE($B3295,CHAR(160)," ")),'TRANS'!$D:$D,0)),IFERROR(INDEX('Catalog'!$A:$A,MATCH($B3295,'Catalog'!$B:$B,0)),IFERROR(INDEX('Catalog'!$A:$A,MATCH(TRIM(SUBSTITUTE($B3295,CHAR(160)," ")),'Catalog'!$C:$C,0)),""))))</f>
        <v>4409017</v>
      </c>
      <c r="H3295" s="8" t="str">
        <f aca="false">IFERROR(INDEX('TRANS'!$C:$C,MATCH($B3295,'TRANS'!$A:$A,0)),IFERROR(INDEX('Catalog'!$B:$B,MATCH($G3295,'Catalog'!$A:$A,0)),$B3295))</f>
        <v>808KT-B        טייפ קינזיולוגי</v>
      </c>
      <c r="I3295" s="8" t="str">
        <f aca="false">IF($G3295="","Unmatched","Matched")</f>
        <v>Matched</v>
      </c>
    </row>
    <row r="3296" customFormat="false" ht="15" hidden="false" customHeight="false" outlineLevel="0" collapsed="false">
      <c r="A3296" s="8" t="s">
        <v>1052</v>
      </c>
      <c r="B3296" s="8" t="s">
        <v>506</v>
      </c>
      <c r="C3296" s="19" t="n">
        <v>26</v>
      </c>
      <c r="D3296" s="19" t="n">
        <v>322.75</v>
      </c>
      <c r="E3296" s="19" t="n">
        <v>50</v>
      </c>
      <c r="F3296" s="19" t="n">
        <v>564.09</v>
      </c>
      <c r="G3296" s="8" t="n">
        <f aca="false">IFERROR(INDEX('TRANS'!$B:$B,MATCH($B3296,'TRANS'!$A:$A,0)),IFERROR(INDEX('TRANS'!$B:$B,MATCH(TRIM(SUBSTITUTE($B3296,CHAR(160)," ")),'TRANS'!$D:$D,0)),IFERROR(INDEX('Catalog'!$A:$A,MATCH($B3296,'Catalog'!$B:$B,0)),IFERROR(INDEX('Catalog'!$A:$A,MATCH(TRIM(SUBSTITUTE($B3296,CHAR(160)," ")),'Catalog'!$C:$C,0)),""))))</f>
        <v>4409015</v>
      </c>
      <c r="H3296" s="8" t="str">
        <f aca="false">IFERROR(INDEX('TRANS'!$C:$C,MATCH($B3296,'TRANS'!$A:$A,0)),IFERROR(INDEX('Catalog'!$B:$B,MATCH($G3296,'Catalog'!$A:$A,0)),$B3296))</f>
        <v>808KT-BL       טייפ קינזיולוגי</v>
      </c>
      <c r="I3296" s="8" t="str">
        <f aca="false">IF($G3296="","Unmatched","Matched")</f>
        <v>Matched</v>
      </c>
    </row>
    <row r="3297" customFormat="false" ht="15" hidden="false" customHeight="false" outlineLevel="0" collapsed="false">
      <c r="A3297" s="8" t="s">
        <v>1052</v>
      </c>
      <c r="B3297" s="8" t="s">
        <v>248</v>
      </c>
      <c r="C3297" s="19" t="n">
        <v>30</v>
      </c>
      <c r="D3297" s="19" t="n">
        <v>359.51</v>
      </c>
      <c r="E3297" s="19" t="n">
        <v>40</v>
      </c>
      <c r="F3297" s="19" t="n">
        <v>445.09</v>
      </c>
      <c r="G3297" s="8" t="n">
        <f aca="false">IFERROR(INDEX('TRANS'!$B:$B,MATCH($B3297,'TRANS'!$A:$A,0)),IFERROR(INDEX('TRANS'!$B:$B,MATCH(TRIM(SUBSTITUTE($B3297,CHAR(160)," ")),'TRANS'!$D:$D,0)),IFERROR(INDEX('Catalog'!$A:$A,MATCH($B3297,'Catalog'!$B:$B,0)),IFERROR(INDEX('Catalog'!$A:$A,MATCH(TRIM(SUBSTITUTE($B3297,CHAR(160)," ")),'Catalog'!$C:$C,0)),""))))</f>
        <v>4409016</v>
      </c>
      <c r="H3297" s="8" t="str">
        <f aca="false">IFERROR(INDEX('TRANS'!$C:$C,MATCH($B3297,'TRANS'!$A:$A,0)),IFERROR(INDEX('Catalog'!$B:$B,MATCH($G3297,'Catalog'!$A:$A,0)),$B3297))</f>
        <v>808KT-C        טייפ קינזיולוגי</v>
      </c>
      <c r="I3297" s="8" t="str">
        <f aca="false">IF($G3297="","Unmatched","Matched")</f>
        <v>Matched</v>
      </c>
    </row>
    <row r="3298" customFormat="false" ht="15" hidden="false" customHeight="false" outlineLevel="0" collapsed="false">
      <c r="A3298" s="8" t="s">
        <v>1052</v>
      </c>
      <c r="B3298" s="8" t="s">
        <v>507</v>
      </c>
      <c r="C3298" s="19" t="n">
        <v>20</v>
      </c>
      <c r="D3298" s="19" t="n">
        <v>250.68</v>
      </c>
      <c r="E3298" s="19" t="n">
        <v>30</v>
      </c>
      <c r="F3298" s="19" t="n">
        <v>339.2</v>
      </c>
      <c r="G3298" s="8" t="n">
        <f aca="false">IFERROR(INDEX('TRANS'!$B:$B,MATCH($B3298,'TRANS'!$A:$A,0)),IFERROR(INDEX('TRANS'!$B:$B,MATCH(TRIM(SUBSTITUTE($B3298,CHAR(160)," ")),'TRANS'!$D:$D,0)),IFERROR(INDEX('Catalog'!$A:$A,MATCH($B3298,'Catalog'!$B:$B,0)),IFERROR(INDEX('Catalog'!$A:$A,MATCH(TRIM(SUBSTITUTE($B3298,CHAR(160)," ")),'Catalog'!$C:$C,0)),""))))</f>
        <v>4409014</v>
      </c>
      <c r="H3298" s="8" t="str">
        <f aca="false">IFERROR(INDEX('TRANS'!$C:$C,MATCH($B3298,'TRANS'!$A:$A,0)),IFERROR(INDEX('Catalog'!$B:$B,MATCH($G3298,'Catalog'!$A:$A,0)),$B3298))</f>
        <v>808KT-P        טייפ קינזיולוגי</v>
      </c>
      <c r="I3298" s="8" t="str">
        <f aca="false">IF($G3298="","Unmatched","Matched")</f>
        <v>Matched</v>
      </c>
    </row>
    <row r="3299" customFormat="false" ht="15" hidden="false" customHeight="false" outlineLevel="0" collapsed="false">
      <c r="A3299" s="8" t="s">
        <v>1052</v>
      </c>
      <c r="B3299" s="8" t="s">
        <v>510</v>
      </c>
      <c r="C3299" s="19" t="n">
        <v>0</v>
      </c>
      <c r="D3299" s="19" t="n">
        <v>0</v>
      </c>
      <c r="E3299" s="19" t="n">
        <v>1</v>
      </c>
      <c r="F3299" s="19" t="n">
        <v>0.03</v>
      </c>
      <c r="G3299" s="8" t="str">
        <f aca="false">IFERROR(INDEX('TRANS'!$B:$B,MATCH($B3299,'TRANS'!$A:$A,0)),IFERROR(INDEX('TRANS'!$B:$B,MATCH(TRIM(SUBSTITUTE($B3299,CHAR(160)," ")),'TRANS'!$D:$D,0)),IFERROR(INDEX('Catalog'!$A:$A,MATCH($B3299,'Catalog'!$B:$B,0)),IFERROR(INDEX('Catalog'!$A:$A,MATCH(TRIM(SUBSTITUTE($B3299,CHAR(160)," ")),'Catalog'!$C:$C,0)),""))))</f>
        <v/>
      </c>
      <c r="H3299" s="8" t="str">
        <f aca="false">IFERROR(INDEX('TRANS'!$C:$C,MATCH($B3299,'TRANS'!$A:$A,0)),IFERROR(INDEX('Catalog'!$B:$B,MATCH($G3299,'Catalog'!$A:$A,0)),$B3299))</f>
        <v>809PW-C</v>
      </c>
      <c r="I3299" s="8" t="str">
        <f aca="false">IF($G3299="","Unmatched","Matched")</f>
        <v>Unmatched</v>
      </c>
    </row>
    <row r="3300" customFormat="false" ht="15" hidden="false" customHeight="false" outlineLevel="0" collapsed="false">
      <c r="A3300" s="8" t="s">
        <v>1052</v>
      </c>
      <c r="B3300" s="8" t="s">
        <v>1054</v>
      </c>
      <c r="C3300" s="19" t="n">
        <v>170</v>
      </c>
      <c r="D3300" s="19" t="n">
        <v>4725.51</v>
      </c>
      <c r="E3300" s="19" t="n">
        <v>110</v>
      </c>
      <c r="F3300" s="19" t="n">
        <v>2678.71</v>
      </c>
      <c r="G3300" s="8" t="str">
        <f aca="false">IFERROR(INDEX('TRANS'!$B:$B,MATCH($B3300,'TRANS'!$A:$A,0)),IFERROR(INDEX('TRANS'!$B:$B,MATCH(TRIM(SUBSTITUTE($B3300,CHAR(160)," ")),'TRANS'!$D:$D,0)),IFERROR(INDEX('Catalog'!$A:$A,MATCH($B3300,'Catalog'!$B:$B,0)),IFERROR(INDEX('Catalog'!$A:$A,MATCH(TRIM(SUBSTITUTE($B3300,CHAR(160)," ")),'Catalog'!$C:$C,0)),""))))</f>
        <v/>
      </c>
      <c r="H3300" s="8" t="str">
        <f aca="false">IFERROR(INDEX('TRANS'!$C:$C,MATCH($B3300,'TRANS'!$A:$A,0)),IFERROR(INDEX('Catalog'!$B:$B,MATCH($G3300,'Catalog'!$A:$A,0)),$B3300))</f>
        <v>82 0</v>
      </c>
      <c r="I3300" s="8" t="str">
        <f aca="false">IF($G3300="","Unmatched","Matched")</f>
        <v>Unmatched</v>
      </c>
    </row>
    <row r="3301" customFormat="false" ht="15" hidden="false" customHeight="false" outlineLevel="0" collapsed="false">
      <c r="A3301" s="8" t="s">
        <v>1052</v>
      </c>
      <c r="B3301" s="8" t="s">
        <v>249</v>
      </c>
      <c r="C3301" s="19" t="n">
        <v>51</v>
      </c>
      <c r="D3301" s="19" t="n">
        <v>1198.79</v>
      </c>
      <c r="E3301" s="19" t="n">
        <v>31</v>
      </c>
      <c r="F3301" s="19" t="n">
        <v>645</v>
      </c>
      <c r="G3301" s="8" t="n">
        <f aca="false">IFERROR(INDEX('TRANS'!$B:$B,MATCH($B3301,'TRANS'!$A:$A,0)),IFERROR(INDEX('TRANS'!$B:$B,MATCH(TRIM(SUBSTITUTE($B3301,CHAR(160)," ")),'TRANS'!$D:$D,0)),IFERROR(INDEX('Catalog'!$A:$A,MATCH($B3301,'Catalog'!$B:$B,0)),IFERROR(INDEX('Catalog'!$A:$A,MATCH(TRIM(SUBSTITUTE($B3301,CHAR(160)," ")),'Catalog'!$C:$C,0)),""))))</f>
        <v>4411015</v>
      </c>
      <c r="H3301" s="8" t="str">
        <f aca="false">IFERROR(INDEX('TRANS'!$C:$C,MATCH($B3301,'TRANS'!$A:$A,0)),IFERROR(INDEX('Catalog'!$B:$B,MATCH($G3301,'Catalog'!$A:$A,0)),$B3301))</f>
        <v>820 0 כרית חום וקור</v>
      </c>
      <c r="I3301" s="8" t="str">
        <f aca="false">IF($G3301="","Unmatched","Matched")</f>
        <v>Matched</v>
      </c>
    </row>
    <row r="3302" customFormat="false" ht="15" hidden="false" customHeight="false" outlineLevel="0" collapsed="false">
      <c r="A3302" s="8" t="s">
        <v>1052</v>
      </c>
      <c r="B3302" s="8" t="s">
        <v>252</v>
      </c>
      <c r="C3302" s="19" t="n">
        <v>280</v>
      </c>
      <c r="D3302" s="19" t="n">
        <v>5355.16</v>
      </c>
      <c r="E3302" s="19" t="n">
        <v>190</v>
      </c>
      <c r="F3302" s="19" t="n">
        <v>3223.61</v>
      </c>
      <c r="G3302" s="8" t="n">
        <f aca="false">IFERROR(INDEX('TRANS'!$B:$B,MATCH($B3302,'TRANS'!$A:$A,0)),IFERROR(INDEX('TRANS'!$B:$B,MATCH(TRIM(SUBSTITUTE($B3302,CHAR(160)," ")),'TRANS'!$D:$D,0)),IFERROR(INDEX('Catalog'!$A:$A,MATCH($B3302,'Catalog'!$B:$B,0)),IFERROR(INDEX('Catalog'!$A:$A,MATCH(TRIM(SUBSTITUTE($B3302,CHAR(160)," ")),'Catalog'!$C:$C,0)),""))))</f>
        <v>4413135</v>
      </c>
      <c r="H3302" s="8" t="str">
        <f aca="false">IFERROR(INDEX('TRANS'!$C:$C,MATCH($B3302,'TRANS'!$A:$A,0)),IFERROR(INDEX('Catalog'!$B:$B,MATCH($G3302,'Catalog'!$A:$A,0)),$B3302))</f>
        <v>85 L (מתלה ליד )כיס</v>
      </c>
      <c r="I3302" s="8" t="str">
        <f aca="false">IF($G3302="","Unmatched","Matched")</f>
        <v>Matched</v>
      </c>
    </row>
    <row r="3303" customFormat="false" ht="15" hidden="false" customHeight="false" outlineLevel="0" collapsed="false">
      <c r="A3303" s="8" t="s">
        <v>1052</v>
      </c>
      <c r="B3303" s="8" t="s">
        <v>253</v>
      </c>
      <c r="C3303" s="19" t="n">
        <v>220</v>
      </c>
      <c r="D3303" s="19" t="n">
        <v>4207.96</v>
      </c>
      <c r="E3303" s="19" t="n">
        <v>210</v>
      </c>
      <c r="F3303" s="19" t="n">
        <v>3580.27</v>
      </c>
      <c r="G3303" s="8" t="n">
        <f aca="false">IFERROR(INDEX('TRANS'!$B:$B,MATCH($B3303,'TRANS'!$A:$A,0)),IFERROR(INDEX('TRANS'!$B:$B,MATCH(TRIM(SUBSTITUTE($B3303,CHAR(160)," ")),'TRANS'!$D:$D,0)),IFERROR(INDEX('Catalog'!$A:$A,MATCH($B3303,'Catalog'!$B:$B,0)),IFERROR(INDEX('Catalog'!$A:$A,MATCH(TRIM(SUBSTITUTE($B3303,CHAR(160)," ")),'Catalog'!$C:$C,0)),""))))</f>
        <v>4413136</v>
      </c>
      <c r="H3303" s="8" t="str">
        <f aca="false">IFERROR(INDEX('TRANS'!$C:$C,MATCH($B3303,'TRANS'!$A:$A,0)),IFERROR(INDEX('Catalog'!$B:$B,MATCH($G3303,'Catalog'!$A:$A,0)),$B3303))</f>
        <v>85 M (מתלה ליד )כיס</v>
      </c>
      <c r="I3303" s="8" t="str">
        <f aca="false">IF($G3303="","Unmatched","Matched")</f>
        <v>Matched</v>
      </c>
    </row>
    <row r="3304" customFormat="false" ht="15" hidden="false" customHeight="false" outlineLevel="0" collapsed="false">
      <c r="A3304" s="8" t="s">
        <v>1052</v>
      </c>
      <c r="B3304" s="8" t="s">
        <v>664</v>
      </c>
      <c r="C3304" s="19" t="n">
        <v>56</v>
      </c>
      <c r="D3304" s="19" t="n">
        <v>1065.21</v>
      </c>
      <c r="E3304" s="19" t="n">
        <v>40</v>
      </c>
      <c r="F3304" s="19" t="n">
        <v>686.15</v>
      </c>
      <c r="G3304" s="8" t="n">
        <f aca="false">IFERROR(INDEX('TRANS'!$B:$B,MATCH($B3304,'TRANS'!$A:$A,0)),IFERROR(INDEX('TRANS'!$B:$B,MATCH(TRIM(SUBSTITUTE($B3304,CHAR(160)," ")),'TRANS'!$D:$D,0)),IFERROR(INDEX('Catalog'!$A:$A,MATCH($B3304,'Catalog'!$B:$B,0)),IFERROR(INDEX('Catalog'!$A:$A,MATCH(TRIM(SUBSTITUTE($B3304,CHAR(160)," ")),'Catalog'!$C:$C,0)),""))))</f>
        <v>4413137</v>
      </c>
      <c r="H3304" s="8" t="str">
        <f aca="false">IFERROR(INDEX('TRANS'!$C:$C,MATCH($B3304,'TRANS'!$A:$A,0)),IFERROR(INDEX('Catalog'!$B:$B,MATCH($G3304,'Catalog'!$A:$A,0)),$B3304))</f>
        <v>85 S (מתלה ליד )כיס</v>
      </c>
      <c r="I3304" s="8" t="str">
        <f aca="false">IF($G3304="","Unmatched","Matched")</f>
        <v>Matched</v>
      </c>
    </row>
    <row r="3305" customFormat="false" ht="15" hidden="false" customHeight="false" outlineLevel="0" collapsed="false">
      <c r="A3305" s="8" t="s">
        <v>1052</v>
      </c>
      <c r="B3305" s="8" t="s">
        <v>254</v>
      </c>
      <c r="C3305" s="19" t="n">
        <v>50</v>
      </c>
      <c r="D3305" s="19" t="n">
        <v>949.7</v>
      </c>
      <c r="E3305" s="19" t="n">
        <v>32</v>
      </c>
      <c r="F3305" s="19" t="n">
        <v>554.24</v>
      </c>
      <c r="G3305" s="8" t="n">
        <f aca="false">IFERROR(INDEX('TRANS'!$B:$B,MATCH($B3305,'TRANS'!$A:$A,0)),IFERROR(INDEX('TRANS'!$B:$B,MATCH(TRIM(SUBSTITUTE($B3305,CHAR(160)," ")),'TRANS'!$D:$D,0)),IFERROR(INDEX('Catalog'!$A:$A,MATCH($B3305,'Catalog'!$B:$B,0)),IFERROR(INDEX('Catalog'!$A:$A,MATCH(TRIM(SUBSTITUTE($B3305,CHAR(160)," ")),'Catalog'!$C:$C,0)),""))))</f>
        <v>4413138</v>
      </c>
      <c r="H3305" s="8" t="str">
        <f aca="false">IFERROR(INDEX('TRANS'!$C:$C,MATCH($B3305,'TRANS'!$A:$A,0)),IFERROR(INDEX('Catalog'!$B:$B,MATCH($G3305,'Catalog'!$A:$A,0)),$B3305))</f>
        <v>85 XL (מתלה ליד )כיס</v>
      </c>
      <c r="I3305" s="8" t="str">
        <f aca="false">IF($G3305="","Unmatched","Matched")</f>
        <v>Matched</v>
      </c>
    </row>
    <row r="3306" customFormat="false" ht="15" hidden="false" customHeight="false" outlineLevel="0" collapsed="false">
      <c r="A3306" s="8" t="s">
        <v>1052</v>
      </c>
      <c r="B3306" s="8" t="s">
        <v>513</v>
      </c>
      <c r="C3306" s="19" t="n">
        <v>0</v>
      </c>
      <c r="D3306" s="19" t="n">
        <v>0</v>
      </c>
      <c r="E3306" s="19" t="n">
        <v>8</v>
      </c>
      <c r="F3306" s="19" t="n">
        <v>247.59</v>
      </c>
      <c r="G3306" s="8" t="str">
        <f aca="false">IFERROR(INDEX('TRANS'!$B:$B,MATCH($B3306,'TRANS'!$A:$A,0)),IFERROR(INDEX('TRANS'!$B:$B,MATCH(TRIM(SUBSTITUTE($B3306,CHAR(160)," ")),'TRANS'!$D:$D,0)),IFERROR(INDEX('Catalog'!$A:$A,MATCH($B3306,'Catalog'!$B:$B,0)),IFERROR(INDEX('Catalog'!$A:$A,MATCH(TRIM(SUBSTITUTE($B3306,CHAR(160)," ")),'Catalog'!$C:$C,0)),""))))</f>
        <v/>
      </c>
      <c r="H3306" s="8" t="str">
        <f aca="false">IFERROR(INDEX('TRANS'!$C:$C,MATCH($B3306,'TRANS'!$A:$A,0)),IFERROR(INDEX('Catalog'!$B:$B,MATCH($G3306,'Catalog'!$A:$A,0)),$B3306))</f>
        <v>91 0</v>
      </c>
      <c r="I3306" s="8" t="str">
        <f aca="false">IF($G3306="","Unmatched","Matched")</f>
        <v>Unmatched</v>
      </c>
    </row>
    <row r="3307" customFormat="false" ht="15" hidden="false" customHeight="false" outlineLevel="0" collapsed="false">
      <c r="A3307" s="8" t="s">
        <v>1052</v>
      </c>
      <c r="B3307" s="8" t="s">
        <v>424</v>
      </c>
      <c r="C3307" s="19" t="n">
        <v>0</v>
      </c>
      <c r="D3307" s="19" t="n">
        <v>0</v>
      </c>
      <c r="E3307" s="19" t="n">
        <v>1</v>
      </c>
      <c r="F3307" s="19" t="n">
        <v>0.03</v>
      </c>
      <c r="G3307" s="8" t="n">
        <f aca="false">IFERROR(INDEX('TRANS'!$B:$B,MATCH($B3307,'TRANS'!$A:$A,0)),IFERROR(INDEX('TRANS'!$B:$B,MATCH(TRIM(SUBSTITUTE($B3307,CHAR(160)," ")),'TRANS'!$D:$D,0)),IFERROR(INDEX('Catalog'!$A:$A,MATCH($B3307,'Catalog'!$B:$B,0)),IFERROR(INDEX('Catalog'!$A:$A,MATCH(TRIM(SUBSTITUTE($B3307,CHAR(160)," ")),'Catalog'!$C:$C,0)),""))))</f>
        <v>4408266</v>
      </c>
      <c r="H3307" s="8" t="str">
        <f aca="false">IFERROR(INDEX('TRANS'!$C:$C,MATCH($B3307,'TRANS'!$A:$A,0)),IFERROR(INDEX('Catalog'!$B:$B,MATCH($G3307,'Catalog'!$A:$A,0)),$B3307))</f>
        <v>91B חבק טניס אלבו</v>
      </c>
      <c r="I3307" s="8" t="str">
        <f aca="false">IF($G3307="","Unmatched","Matched")</f>
        <v>Matched</v>
      </c>
    </row>
    <row r="3308" customFormat="false" ht="15" hidden="false" customHeight="false" outlineLevel="0" collapsed="false">
      <c r="A3308" s="8" t="s">
        <v>1052</v>
      </c>
      <c r="B3308" s="8" t="s">
        <v>261</v>
      </c>
      <c r="C3308" s="19" t="n">
        <v>90</v>
      </c>
      <c r="D3308" s="19" t="n">
        <v>967.11</v>
      </c>
      <c r="E3308" s="19" t="n">
        <v>75</v>
      </c>
      <c r="F3308" s="19" t="n">
        <v>726.86</v>
      </c>
      <c r="G3308" s="8" t="n">
        <f aca="false">IFERROR(INDEX('TRANS'!$B:$B,MATCH($B3308,'TRANS'!$A:$A,0)),IFERROR(INDEX('TRANS'!$B:$B,MATCH(TRIM(SUBSTITUTE($B3308,CHAR(160)," ")),'TRANS'!$D:$D,0)),IFERROR(INDEX('Catalog'!$A:$A,MATCH($B3308,'Catalog'!$B:$B,0)),IFERROR(INDEX('Catalog'!$A:$A,MATCH(TRIM(SUBSTITUTE($B3308,CHAR(160)," ")),'Catalog'!$C:$C,0)),""))))</f>
        <v>4413500</v>
      </c>
      <c r="H3308" s="8" t="str">
        <f aca="false">IFERROR(INDEX('TRANS'!$C:$C,MATCH($B3308,'TRANS'!$A:$A,0)),IFERROR(INDEX('Catalog'!$B:$B,MATCH($G3308,'Catalog'!$A:$A,0)),$B3308))</f>
        <v>95B L מגן מרפק שחור</v>
      </c>
      <c r="I3308" s="8" t="str">
        <f aca="false">IF($G3308="","Unmatched","Matched")</f>
        <v>Matched</v>
      </c>
    </row>
    <row r="3309" customFormat="false" ht="15" hidden="false" customHeight="false" outlineLevel="0" collapsed="false">
      <c r="A3309" s="8" t="s">
        <v>1052</v>
      </c>
      <c r="B3309" s="8" t="s">
        <v>262</v>
      </c>
      <c r="C3309" s="19" t="n">
        <v>145</v>
      </c>
      <c r="D3309" s="19" t="n">
        <v>1571.6</v>
      </c>
      <c r="E3309" s="19" t="n">
        <v>85</v>
      </c>
      <c r="F3309" s="19" t="n">
        <v>816.96</v>
      </c>
      <c r="G3309" s="8" t="n">
        <f aca="false">IFERROR(INDEX('TRANS'!$B:$B,MATCH($B3309,'TRANS'!$A:$A,0)),IFERROR(INDEX('TRANS'!$B:$B,MATCH(TRIM(SUBSTITUTE($B3309,CHAR(160)," ")),'TRANS'!$D:$D,0)),IFERROR(INDEX('Catalog'!$A:$A,MATCH($B3309,'Catalog'!$B:$B,0)),IFERROR(INDEX('Catalog'!$A:$A,MATCH(TRIM(SUBSTITUTE($B3309,CHAR(160)," ")),'Catalog'!$C:$C,0)),""))))</f>
        <v>4413501</v>
      </c>
      <c r="H3309" s="8" t="str">
        <f aca="false">IFERROR(INDEX('TRANS'!$C:$C,MATCH($B3309,'TRANS'!$A:$A,0)),IFERROR(INDEX('Catalog'!$B:$B,MATCH($G3309,'Catalog'!$A:$A,0)),$B3309))</f>
        <v>95B M מגן מרפק שחור</v>
      </c>
      <c r="I3309" s="8" t="str">
        <f aca="false">IF($G3309="","Unmatched","Matched")</f>
        <v>Matched</v>
      </c>
    </row>
    <row r="3310" customFormat="false" ht="15" hidden="false" customHeight="false" outlineLevel="0" collapsed="false">
      <c r="A3310" s="8" t="s">
        <v>1052</v>
      </c>
      <c r="B3310" s="8" t="s">
        <v>263</v>
      </c>
      <c r="C3310" s="19" t="n">
        <v>35</v>
      </c>
      <c r="D3310" s="19" t="n">
        <v>372.89</v>
      </c>
      <c r="E3310" s="19" t="n">
        <v>60</v>
      </c>
      <c r="F3310" s="19" t="n">
        <v>580.87</v>
      </c>
      <c r="G3310" s="8" t="n">
        <f aca="false">IFERROR(INDEX('TRANS'!$B:$B,MATCH($B3310,'TRANS'!$A:$A,0)),IFERROR(INDEX('TRANS'!$B:$B,MATCH(TRIM(SUBSTITUTE($B3310,CHAR(160)," ")),'TRANS'!$D:$D,0)),IFERROR(INDEX('Catalog'!$A:$A,MATCH($B3310,'Catalog'!$B:$B,0)),IFERROR(INDEX('Catalog'!$A:$A,MATCH(TRIM(SUBSTITUTE($B3310,CHAR(160)," ")),'Catalog'!$C:$C,0)),""))))</f>
        <v>4413502</v>
      </c>
      <c r="H3310" s="8" t="str">
        <f aca="false">IFERROR(INDEX('TRANS'!$C:$C,MATCH($B3310,'TRANS'!$A:$A,0)),IFERROR(INDEX('Catalog'!$B:$B,MATCH($G3310,'Catalog'!$A:$A,0)),$B3310))</f>
        <v>95B S מגן מרפק שחור</v>
      </c>
      <c r="I3310" s="8" t="str">
        <f aca="false">IF($G3310="","Unmatched","Matched")</f>
        <v>Matched</v>
      </c>
    </row>
    <row r="3311" customFormat="false" ht="15" hidden="false" customHeight="false" outlineLevel="0" collapsed="false">
      <c r="A3311" s="8" t="s">
        <v>1052</v>
      </c>
      <c r="B3311" s="8" t="s">
        <v>264</v>
      </c>
      <c r="C3311" s="19" t="n">
        <v>56</v>
      </c>
      <c r="D3311" s="19" t="n">
        <v>616.21</v>
      </c>
      <c r="E3311" s="19" t="n">
        <v>16</v>
      </c>
      <c r="F3311" s="19" t="n">
        <v>158.76</v>
      </c>
      <c r="G3311" s="8" t="n">
        <f aca="false">IFERROR(INDEX('TRANS'!$B:$B,MATCH($B3311,'TRANS'!$A:$A,0)),IFERROR(INDEX('TRANS'!$B:$B,MATCH(TRIM(SUBSTITUTE($B3311,CHAR(160)," ")),'TRANS'!$D:$D,0)),IFERROR(INDEX('Catalog'!$A:$A,MATCH($B3311,'Catalog'!$B:$B,0)),IFERROR(INDEX('Catalog'!$A:$A,MATCH(TRIM(SUBSTITUTE($B3311,CHAR(160)," ")),'Catalog'!$C:$C,0)),""))))</f>
        <v>4413503</v>
      </c>
      <c r="H3311" s="8" t="str">
        <f aca="false">IFERROR(INDEX('TRANS'!$C:$C,MATCH($B3311,'TRANS'!$A:$A,0)),IFERROR(INDEX('Catalog'!$B:$B,MATCH($G3311,'Catalog'!$A:$A,0)),$B3311))</f>
        <v>95B XL מגן מרפק שחור</v>
      </c>
      <c r="I3311" s="8" t="str">
        <f aca="false">IF($G3311="","Unmatched","Matched")</f>
        <v>Matched</v>
      </c>
    </row>
    <row r="3312" customFormat="false" ht="15" hidden="false" customHeight="false" outlineLevel="0" collapsed="false">
      <c r="A3312" s="8" t="s">
        <v>1052</v>
      </c>
      <c r="B3312" s="8" t="s">
        <v>840</v>
      </c>
      <c r="C3312" s="19" t="n">
        <v>6</v>
      </c>
      <c r="D3312" s="19" t="n">
        <v>68.97</v>
      </c>
      <c r="E3312" s="19" t="n">
        <v>12</v>
      </c>
      <c r="F3312" s="19" t="n">
        <v>113.95</v>
      </c>
      <c r="G3312" s="8" t="n">
        <f aca="false">IFERROR(INDEX('TRANS'!$B:$B,MATCH($B3312,'TRANS'!$A:$A,0)),IFERROR(INDEX('TRANS'!$B:$B,MATCH(TRIM(SUBSTITUTE($B3312,CHAR(160)," ")),'TRANS'!$D:$D,0)),IFERROR(INDEX('Catalog'!$A:$A,MATCH($B3312,'Catalog'!$B:$B,0)),IFERROR(INDEX('Catalog'!$A:$A,MATCH(TRIM(SUBSTITUTE($B3312,CHAR(160)," ")),'Catalog'!$C:$C,0)),""))))</f>
        <v>4413504</v>
      </c>
      <c r="H3312" s="8" t="str">
        <f aca="false">IFERROR(INDEX('TRANS'!$C:$C,MATCH($B3312,'TRANS'!$A:$A,0)),IFERROR(INDEX('Catalog'!$B:$B,MATCH($G3312,'Catalog'!$A:$A,0)),$B3312))</f>
        <v>95B XXLמגן מרפק שחור</v>
      </c>
      <c r="I3312" s="8" t="str">
        <f aca="false">IF($G3312="","Unmatched","Matched")</f>
        <v>Matched</v>
      </c>
    </row>
    <row r="3313" customFormat="false" ht="15" hidden="false" customHeight="false" outlineLevel="0" collapsed="false">
      <c r="A3313" s="8" t="s">
        <v>1052</v>
      </c>
      <c r="B3313" s="8" t="s">
        <v>268</v>
      </c>
      <c r="C3313" s="19" t="n">
        <v>390</v>
      </c>
      <c r="D3313" s="19" t="n">
        <v>13356.8</v>
      </c>
      <c r="E3313" s="19" t="n">
        <v>210</v>
      </c>
      <c r="F3313" s="19" t="n">
        <v>6522.55</v>
      </c>
      <c r="G3313" s="8" t="n">
        <f aca="false">IFERROR(INDEX('TRANS'!$B:$B,MATCH($B3313,'TRANS'!$A:$A,0)),IFERROR(INDEX('TRANS'!$B:$B,MATCH(TRIM(SUBSTITUTE($B3313,CHAR(160)," ")),'TRANS'!$D:$D,0)),IFERROR(INDEX('Catalog'!$A:$A,MATCH($B3313,'Catalog'!$B:$B,0)),IFERROR(INDEX('Catalog'!$A:$A,MATCH(TRIM(SUBSTITUTE($B3313,CHAR(160)," ")),'Catalog'!$C:$C,0)),""))))</f>
        <v>4408206</v>
      </c>
      <c r="H3313" s="8" t="str">
        <f aca="false">IFERROR(INDEX('TRANS'!$C:$C,MATCH($B3313,'TRANS'!$A:$A,0)),IFERROR(INDEX('Catalog'!$B:$B,MATCH($G3313,'Catalog'!$A:$A,0)),$B3313))</f>
        <v>AC-11 חגורת בטן קלה</v>
      </c>
      <c r="I3313" s="8" t="str">
        <f aca="false">IF($G3313="","Unmatched","Matched")</f>
        <v>Matched</v>
      </c>
    </row>
    <row r="3314" customFormat="false" ht="15" hidden="false" customHeight="false" outlineLevel="0" collapsed="false">
      <c r="A3314" s="8" t="s">
        <v>1052</v>
      </c>
      <c r="B3314" s="8" t="s">
        <v>269</v>
      </c>
      <c r="C3314" s="19" t="n">
        <v>1080</v>
      </c>
      <c r="D3314" s="19" t="n">
        <v>16006.91</v>
      </c>
      <c r="E3314" s="19" t="n">
        <v>990</v>
      </c>
      <c r="F3314" s="19" t="n">
        <v>13225.04</v>
      </c>
      <c r="G3314" s="8" t="n">
        <f aca="false">IFERROR(INDEX('TRANS'!$B:$B,MATCH($B3314,'TRANS'!$A:$A,0)),IFERROR(INDEX('TRANS'!$B:$B,MATCH(TRIM(SUBSTITUTE($B3314,CHAR(160)," ")),'TRANS'!$D:$D,0)),IFERROR(INDEX('Catalog'!$A:$A,MATCH($B3314,'Catalog'!$B:$B,0)),IFERROR(INDEX('Catalog'!$A:$A,MATCH(TRIM(SUBSTITUTE($B3314,CHAR(160)," ")),'Catalog'!$C:$C,0)),""))))</f>
        <v>4408207</v>
      </c>
      <c r="H3314" s="8" t="str">
        <f aca="false">IFERROR(INDEX('TRANS'!$C:$C,MATCH($B3314,'TRANS'!$A:$A,0)),IFERROR(INDEX('Catalog'!$B:$B,MATCH($G3314,'Catalog'!$A:$A,0)),$B3314))</f>
        <v>AC-25 חבק לשורש כף היד</v>
      </c>
      <c r="I3314" s="8" t="str">
        <f aca="false">IF($G3314="","Unmatched","Matched")</f>
        <v>Matched</v>
      </c>
    </row>
    <row r="3315" customFormat="false" ht="15" hidden="false" customHeight="false" outlineLevel="0" collapsed="false">
      <c r="A3315" s="8" t="s">
        <v>1052</v>
      </c>
      <c r="B3315" s="8" t="s">
        <v>270</v>
      </c>
      <c r="C3315" s="19" t="n">
        <v>370</v>
      </c>
      <c r="D3315" s="19" t="n">
        <v>6604.34</v>
      </c>
      <c r="E3315" s="19" t="n">
        <v>270</v>
      </c>
      <c r="F3315" s="19" t="n">
        <v>4382.22</v>
      </c>
      <c r="G3315" s="8" t="n">
        <f aca="false">IFERROR(INDEX('TRANS'!$B:$B,MATCH($B3315,'TRANS'!$A:$A,0)),IFERROR(INDEX('TRANS'!$B:$B,MATCH(TRIM(SUBSTITUTE($B3315,CHAR(160)," ")),'TRANS'!$D:$D,0)),IFERROR(INDEX('Catalog'!$A:$A,MATCH($B3315,'Catalog'!$B:$B,0)),IFERROR(INDEX('Catalog'!$A:$A,MATCH(TRIM(SUBSTITUTE($B3315,CHAR(160)," ")),'Catalog'!$C:$C,0)),""))))</f>
        <v>4415026</v>
      </c>
      <c r="H3315" s="8" t="str">
        <f aca="false">IFERROR(INDEX('TRANS'!$C:$C,MATCH($B3315,'TRANS'!$A:$A,0)),IFERROR(INDEX('Catalog'!$B:$B,MATCH($G3315,'Catalog'!$A:$A,0)),$B3315))</f>
        <v>AC-27L סד לש.כף יד שמאל</v>
      </c>
      <c r="I3315" s="8" t="str">
        <f aca="false">IF($G3315="","Unmatched","Matched")</f>
        <v>Matched</v>
      </c>
    </row>
    <row r="3316" customFormat="false" ht="15" hidden="false" customHeight="false" outlineLevel="0" collapsed="false">
      <c r="A3316" s="8" t="s">
        <v>1052</v>
      </c>
      <c r="B3316" s="8" t="s">
        <v>271</v>
      </c>
      <c r="C3316" s="19" t="n">
        <v>400</v>
      </c>
      <c r="D3316" s="19" t="n">
        <v>7141.27</v>
      </c>
      <c r="E3316" s="19" t="n">
        <v>350</v>
      </c>
      <c r="F3316" s="19" t="n">
        <v>5680.04</v>
      </c>
      <c r="G3316" s="8" t="n">
        <f aca="false">IFERROR(INDEX('TRANS'!$B:$B,MATCH($B3316,'TRANS'!$A:$A,0)),IFERROR(INDEX('TRANS'!$B:$B,MATCH(TRIM(SUBSTITUTE($B3316,CHAR(160)," ")),'TRANS'!$D:$D,0)),IFERROR(INDEX('Catalog'!$A:$A,MATCH($B3316,'Catalog'!$B:$B,0)),IFERROR(INDEX('Catalog'!$A:$A,MATCH(TRIM(SUBSTITUTE($B3316,CHAR(160)," ")),'Catalog'!$C:$C,0)),""))))</f>
        <v>4415027</v>
      </c>
      <c r="H3316" s="8" t="str">
        <f aca="false">IFERROR(INDEX('TRANS'!$C:$C,MATCH($B3316,'TRANS'!$A:$A,0)),IFERROR(INDEX('Catalog'!$B:$B,MATCH($G3316,'Catalog'!$A:$A,0)),$B3316))</f>
        <v>AC-27R סד לש.כף יד ימין</v>
      </c>
      <c r="I3316" s="8" t="str">
        <f aca="false">IF($G3316="","Unmatched","Matched")</f>
        <v>Matched</v>
      </c>
    </row>
    <row r="3317" customFormat="false" ht="15" hidden="false" customHeight="false" outlineLevel="0" collapsed="false">
      <c r="A3317" s="8" t="s">
        <v>1052</v>
      </c>
      <c r="B3317" s="8" t="s">
        <v>272</v>
      </c>
      <c r="C3317" s="19" t="n">
        <v>700</v>
      </c>
      <c r="D3317" s="19" t="n">
        <v>10389.8</v>
      </c>
      <c r="E3317" s="19" t="n">
        <v>870</v>
      </c>
      <c r="F3317" s="19" t="n">
        <v>11685.59</v>
      </c>
      <c r="G3317" s="8" t="n">
        <f aca="false">IFERROR(INDEX('TRANS'!$B:$B,MATCH($B3317,'TRANS'!$A:$A,0)),IFERROR(INDEX('TRANS'!$B:$B,MATCH(TRIM(SUBSTITUTE($B3317,CHAR(160)," ")),'TRANS'!$D:$D,0)),IFERROR(INDEX('Catalog'!$A:$A,MATCH($B3317,'Catalog'!$B:$B,0)),IFERROR(INDEX('Catalog'!$A:$A,MATCH(TRIM(SUBSTITUTE($B3317,CHAR(160)," ")),'Catalog'!$C:$C,0)),""))))</f>
        <v>4415028</v>
      </c>
      <c r="H3317" s="8" t="str">
        <f aca="false">IFERROR(INDEX('TRANS'!$C:$C,MATCH($B3317,'TRANS'!$A:$A,0)),IFERROR(INDEX('Catalog'!$B:$B,MATCH($G3317,'Catalog'!$A:$A,0)),$B3317))</f>
        <v>AC-28 סד לאגודל</v>
      </c>
      <c r="I3317" s="8" t="str">
        <f aca="false">IF($G3317="","Unmatched","Matched")</f>
        <v>Matched</v>
      </c>
    </row>
    <row r="3318" customFormat="false" ht="15" hidden="false" customHeight="false" outlineLevel="0" collapsed="false">
      <c r="A3318" s="8" t="s">
        <v>1052</v>
      </c>
      <c r="B3318" s="8" t="s">
        <v>273</v>
      </c>
      <c r="C3318" s="19" t="n">
        <v>380</v>
      </c>
      <c r="D3318" s="19" t="n">
        <v>7011.67</v>
      </c>
      <c r="E3318" s="19" t="n">
        <v>530</v>
      </c>
      <c r="F3318" s="19" t="n">
        <v>8633.34</v>
      </c>
      <c r="G3318" s="8" t="n">
        <f aca="false">IFERROR(INDEX('TRANS'!$B:$B,MATCH($B3318,'TRANS'!$A:$A,0)),IFERROR(INDEX('TRANS'!$B:$B,MATCH(TRIM(SUBSTITUTE($B3318,CHAR(160)," ")),'TRANS'!$D:$D,0)),IFERROR(INDEX('Catalog'!$A:$A,MATCH($B3318,'Catalog'!$B:$B,0)),IFERROR(INDEX('Catalog'!$A:$A,MATCH(TRIM(SUBSTITUTE($B3318,CHAR(160)," ")),'Catalog'!$C:$C,0)),""))))</f>
        <v>4413326</v>
      </c>
      <c r="H3318" s="8" t="str">
        <f aca="false">IFERROR(INDEX('TRANS'!$C:$C,MATCH($B3318,'TRANS'!$A:$A,0)),IFERROR(INDEX('Catalog'!$B:$B,MATCH($G3318,'Catalog'!$A:$A,0)),$B3318))</f>
        <v>AC37 מגן קרסול נושם</v>
      </c>
      <c r="I3318" s="8" t="str">
        <f aca="false">IF($G3318="","Unmatched","Matched")</f>
        <v>Matched</v>
      </c>
    </row>
    <row r="3319" customFormat="false" ht="15" hidden="false" customHeight="false" outlineLevel="0" collapsed="false">
      <c r="A3319" s="8" t="s">
        <v>1052</v>
      </c>
      <c r="B3319" s="8" t="s">
        <v>56</v>
      </c>
      <c r="C3319" s="19" t="n">
        <v>310</v>
      </c>
      <c r="D3319" s="19" t="n">
        <v>13299.71</v>
      </c>
      <c r="E3319" s="19" t="n">
        <v>250</v>
      </c>
      <c r="F3319" s="19" t="n">
        <v>9809.78</v>
      </c>
      <c r="G3319" s="8" t="n">
        <f aca="false">IFERROR(INDEX('TRANS'!$B:$B,MATCH($B3319,'TRANS'!$A:$A,0)),IFERROR(INDEX('TRANS'!$B:$B,MATCH(TRIM(SUBSTITUTE($B3319,CHAR(160)," ")),'TRANS'!$D:$D,0)),IFERROR(INDEX('Catalog'!$A:$A,MATCH($B3319,'Catalog'!$B:$B,0)),IFERROR(INDEX('Catalog'!$A:$A,MATCH(TRIM(SUBSTITUTE($B3319,CHAR(160)," ")),'Catalog'!$C:$C,0)),""))))</f>
        <v>4413328</v>
      </c>
      <c r="H3319" s="8" t="str">
        <f aca="false">IFERROR(INDEX('TRANS'!$C:$C,MATCH($B3319,'TRANS'!$A:$A,0)),IFERROR(INDEX('Catalog'!$B:$B,MATCH($G3319,'Catalog'!$A:$A,0)),$B3319))</f>
        <v>AC43D מגן ברך + צירים</v>
      </c>
      <c r="I3319" s="8" t="str">
        <f aca="false">IF($G3319="","Unmatched","Matched")</f>
        <v>Matched</v>
      </c>
    </row>
    <row r="3320" customFormat="false" ht="15" hidden="false" customHeight="false" outlineLevel="0" collapsed="false">
      <c r="A3320" s="8" t="s">
        <v>1052</v>
      </c>
      <c r="B3320" s="8" t="s">
        <v>275</v>
      </c>
      <c r="C3320" s="19" t="n">
        <v>480</v>
      </c>
      <c r="D3320" s="19" t="n">
        <v>16012.02</v>
      </c>
      <c r="E3320" s="19" t="n">
        <v>480</v>
      </c>
      <c r="F3320" s="19" t="n">
        <v>14459.98</v>
      </c>
      <c r="G3320" s="8" t="n">
        <f aca="false">IFERROR(INDEX('TRANS'!$B:$B,MATCH($B3320,'TRANS'!$A:$A,0)),IFERROR(INDEX('TRANS'!$B:$B,MATCH(TRIM(SUBSTITUTE($B3320,CHAR(160)," ")),'TRANS'!$D:$D,0)),IFERROR(INDEX('Catalog'!$A:$A,MATCH($B3320,'Catalog'!$B:$B,0)),IFERROR(INDEX('Catalog'!$A:$A,MATCH(TRIM(SUBSTITUTE($B3320,CHAR(160)," ")),'Catalog'!$C:$C,0)),""))))</f>
        <v>4413329</v>
      </c>
      <c r="H3320" s="8" t="str">
        <f aca="false">IFERROR(INDEX('TRANS'!$C:$C,MATCH($B3320,'TRANS'!$A:$A,0)),IFERROR(INDEX('Catalog'!$B:$B,MATCH($G3320,'Catalog'!$A:$A,0)),$B3320))</f>
        <v>AC45X מגן ברך עם תמיכות</v>
      </c>
      <c r="I3320" s="8" t="str">
        <f aca="false">IF($G3320="","Unmatched","Matched")</f>
        <v>Matched</v>
      </c>
    </row>
    <row r="3321" customFormat="false" ht="15" hidden="false" customHeight="false" outlineLevel="0" collapsed="false">
      <c r="A3321" s="8" t="s">
        <v>1052</v>
      </c>
      <c r="B3321" s="8" t="s">
        <v>54</v>
      </c>
      <c r="C3321" s="19" t="n">
        <v>115</v>
      </c>
      <c r="D3321" s="19" t="n">
        <v>3675.09</v>
      </c>
      <c r="E3321" s="19" t="n">
        <v>75</v>
      </c>
      <c r="F3321" s="19" t="n">
        <v>2150.11</v>
      </c>
      <c r="G3321" s="8" t="n">
        <f aca="false">IFERROR(INDEX('TRANS'!$B:$B,MATCH($B3321,'TRANS'!$A:$A,0)),IFERROR(INDEX('TRANS'!$B:$B,MATCH(TRIM(SUBSTITUTE($B3321,CHAR(160)," ")),'TRANS'!$D:$D,0)),IFERROR(INDEX('Catalog'!$A:$A,MATCH($B3321,'Catalog'!$B:$B,0)),IFERROR(INDEX('Catalog'!$A:$A,MATCH(TRIM(SUBSTITUTE($B3321,CHAR(160)," ")),'Catalog'!$C:$C,0)),""))))</f>
        <v>4413453</v>
      </c>
      <c r="H3321" s="8" t="str">
        <f aca="false">IFERROR(INDEX('TRANS'!$C:$C,MATCH($B3321,'TRANS'!$A:$A,0)),IFERROR(INDEX('Catalog'!$B:$B,MATCH($G3321,'Catalog'!$A:$A,0)),$B3321))</f>
        <v>AC75 מישר כתפיים אקטיב</v>
      </c>
      <c r="I3321" s="8" t="str">
        <f aca="false">IF($G3321="","Unmatched","Matched")</f>
        <v>Matched</v>
      </c>
    </row>
    <row r="3322" customFormat="false" ht="15" hidden="false" customHeight="false" outlineLevel="0" collapsed="false">
      <c r="A3322" s="8" t="s">
        <v>1052</v>
      </c>
      <c r="B3322" s="8" t="s">
        <v>277</v>
      </c>
      <c r="C3322" s="19" t="n">
        <v>430</v>
      </c>
      <c r="D3322" s="19" t="n">
        <v>6711.58</v>
      </c>
      <c r="E3322" s="19" t="n">
        <v>380</v>
      </c>
      <c r="F3322" s="19" t="n">
        <v>5341.4</v>
      </c>
      <c r="G3322" s="8" t="n">
        <f aca="false">IFERROR(INDEX('TRANS'!$B:$B,MATCH($B3322,'TRANS'!$A:$A,0)),IFERROR(INDEX('TRANS'!$B:$B,MATCH(TRIM(SUBSTITUTE($B3322,CHAR(160)," ")),'TRANS'!$D:$D,0)),IFERROR(INDEX('Catalog'!$A:$A,MATCH($B3322,'Catalog'!$B:$B,0)),IFERROR(INDEX('Catalog'!$A:$A,MATCH(TRIM(SUBSTITUTE($B3322,CHAR(160)," ")),'Catalog'!$C:$C,0)),""))))</f>
        <v>4408208</v>
      </c>
      <c r="H3322" s="8" t="str">
        <f aca="false">IFERROR(INDEX('TRANS'!$C:$C,MATCH($B3322,'TRANS'!$A:$A,0)),IFERROR(INDEX('Catalog'!$B:$B,MATCH($G3322,'Catalog'!$A:$A,0)),$B3322))</f>
        <v>AC91 חבק טניס</v>
      </c>
      <c r="I3322" s="8" t="str">
        <f aca="false">IF($G3322="","Unmatched","Matched")</f>
        <v>Matched</v>
      </c>
    </row>
    <row r="3323" customFormat="false" ht="15" hidden="false" customHeight="false" outlineLevel="0" collapsed="false">
      <c r="A3323" s="8" t="s">
        <v>1052</v>
      </c>
      <c r="B3323" s="8" t="s">
        <v>278</v>
      </c>
      <c r="C3323" s="19" t="n">
        <v>185</v>
      </c>
      <c r="D3323" s="19" t="n">
        <v>2958.23</v>
      </c>
      <c r="E3323" s="19" t="n">
        <v>130</v>
      </c>
      <c r="F3323" s="19" t="n">
        <v>1884.69</v>
      </c>
      <c r="G3323" s="8" t="n">
        <f aca="false">IFERROR(INDEX('TRANS'!$B:$B,MATCH($B3323,'TRANS'!$A:$A,0)),IFERROR(INDEX('TRANS'!$B:$B,MATCH(TRIM(SUBSTITUTE($B3323,CHAR(160)," ")),'TRANS'!$D:$D,0)),IFERROR(INDEX('Catalog'!$A:$A,MATCH($B3323,'Catalog'!$B:$B,0)),IFERROR(INDEX('Catalog'!$A:$A,MATCH(TRIM(SUBSTITUTE($B3323,CHAR(160)," ")),'Catalog'!$C:$C,0)),""))))</f>
        <v>4413331</v>
      </c>
      <c r="H3323" s="8" t="str">
        <f aca="false">IFERROR(INDEX('TRANS'!$C:$C,MATCH($B3323,'TRANS'!$A:$A,0)),IFERROR(INDEX('Catalog'!$B:$B,MATCH($G3323,'Catalog'!$A:$A,0)),$B3323))</f>
        <v>AC95 מגן מרפק</v>
      </c>
      <c r="I3323" s="8" t="str">
        <f aca="false">IF($G3323="","Unmatched","Matched")</f>
        <v>Matched</v>
      </c>
    </row>
    <row r="3324" customFormat="false" ht="15" hidden="false" customHeight="false" outlineLevel="0" collapsed="false">
      <c r="A3324" s="8" t="s">
        <v>1052</v>
      </c>
      <c r="B3324" s="8" t="s">
        <v>284</v>
      </c>
      <c r="C3324" s="19" t="n">
        <v>190</v>
      </c>
      <c r="D3324" s="19" t="n">
        <v>2052.19</v>
      </c>
      <c r="E3324" s="19" t="n">
        <v>180</v>
      </c>
      <c r="F3324" s="19" t="n">
        <v>1767.58</v>
      </c>
      <c r="G3324" s="8" t="n">
        <f aca="false">IFERROR(INDEX('TRANS'!$B:$B,MATCH($B3324,'TRANS'!$A:$A,0)),IFERROR(INDEX('TRANS'!$B:$B,MATCH(TRIM(SUBSTITUTE($B3324,CHAR(160)," ")),'TRANS'!$D:$D,0)),IFERROR(INDEX('Catalog'!$A:$A,MATCH($B3324,'Catalog'!$B:$B,0)),IFERROR(INDEX('Catalog'!$A:$A,MATCH(TRIM(SUBSTITUTE($B3324,CHAR(160)," ")),'Catalog'!$C:$C,0)),""))))</f>
        <v>4413056</v>
      </c>
      <c r="H3324" s="8" t="str">
        <f aca="false">IFERROR(INDEX('TRANS'!$C:$C,MATCH($B3324,'TRANS'!$A:$A,0)),IFERROR(INDEX('Catalog'!$B:$B,MATCH($G3324,'Catalog'!$A:$A,0)),$B3324))</f>
        <v>LF360 מדרס מטטרזלי לנעלי עקב</v>
      </c>
      <c r="I3324" s="8" t="str">
        <f aca="false">IF($G3324="","Unmatched","Matched")</f>
        <v>Matched</v>
      </c>
    </row>
    <row r="3325" customFormat="false" ht="15" hidden="false" customHeight="false" outlineLevel="0" collapsed="false">
      <c r="A3325" s="8" t="s">
        <v>1052</v>
      </c>
      <c r="B3325" s="8" t="s">
        <v>515</v>
      </c>
      <c r="C3325" s="19" t="n">
        <v>40</v>
      </c>
      <c r="D3325" s="19" t="n">
        <v>245.41</v>
      </c>
      <c r="E3325" s="19" t="n">
        <v>90</v>
      </c>
      <c r="F3325" s="19" t="n">
        <v>519.51</v>
      </c>
      <c r="G3325" s="8" t="n">
        <f aca="false">IFERROR(INDEX('TRANS'!$B:$B,MATCH($B3325,'TRANS'!$A:$A,0)),IFERROR(INDEX('TRANS'!$B:$B,MATCH(TRIM(SUBSTITUTE($B3325,CHAR(160)," ")),'TRANS'!$D:$D,0)),IFERROR(INDEX('Catalog'!$A:$A,MATCH($B3325,'Catalog'!$B:$B,0)),IFERROR(INDEX('Catalog'!$A:$A,MATCH(TRIM(SUBSTITUTE($B3325,CHAR(160)," ")),'Catalog'!$C:$C,0)),""))))</f>
        <v>4420022</v>
      </c>
      <c r="H3325" s="8" t="str">
        <f aca="false">IFERROR(INDEX('TRANS'!$C:$C,MATCH($B3325,'TRANS'!$A:$A,0)),IFERROR(INDEX('Catalog'!$B:$B,MATCH($G3325,'Catalog'!$A:$A,0)),$B3325))</f>
        <v>LF370 ריפוד סיליקון לעקב אחורי</v>
      </c>
      <c r="I3325" s="8" t="str">
        <f aca="false">IF($G3325="","Unmatched","Matched")</f>
        <v>Matched</v>
      </c>
    </row>
    <row r="3326" customFormat="false" ht="15" hidden="false" customHeight="false" outlineLevel="0" collapsed="false">
      <c r="A3326" s="8" t="s">
        <v>1052</v>
      </c>
      <c r="B3326" s="8" t="s">
        <v>861</v>
      </c>
      <c r="C3326" s="19" t="n">
        <v>6</v>
      </c>
      <c r="D3326" s="19" t="n">
        <v>74.14</v>
      </c>
      <c r="E3326" s="19" t="n">
        <v>10</v>
      </c>
      <c r="F3326" s="19" t="n">
        <v>107.46</v>
      </c>
      <c r="G3326" s="8" t="n">
        <f aca="false">IFERROR(INDEX('TRANS'!$B:$B,MATCH($B3326,'TRANS'!$A:$A,0)),IFERROR(INDEX('TRANS'!$B:$B,MATCH(TRIM(SUBSTITUTE($B3326,CHAR(160)," ")),'TRANS'!$D:$D,0)),IFERROR(INDEX('Catalog'!$A:$A,MATCH($B3326,'Catalog'!$B:$B,0)),IFERROR(INDEX('Catalog'!$A:$A,MATCH(TRIM(SUBSTITUTE($B3326,CHAR(160)," ")),'Catalog'!$C:$C,0)),""))))</f>
        <v>4420023</v>
      </c>
      <c r="H3326" s="8" t="str">
        <f aca="false">IFERROR(INDEX('TRANS'!$C:$C,MATCH($B3326,'TRANS'!$A:$A,0)),IFERROR(INDEX('Catalog'!$B:$B,MATCH($G3326,'Catalog'!$A:$A,0)),$B3326))</f>
        <v>LF371 ריפוד סיליקון לנעלי אצבע</v>
      </c>
      <c r="I3326" s="8" t="str">
        <f aca="false">IF($G3326="","Unmatched","Matched")</f>
        <v>Matched</v>
      </c>
    </row>
    <row r="3327" customFormat="false" ht="15" hidden="false" customHeight="false" outlineLevel="0" collapsed="false">
      <c r="A3327" s="8" t="s">
        <v>1052</v>
      </c>
      <c r="B3327" s="8" t="s">
        <v>285</v>
      </c>
      <c r="C3327" s="19" t="n">
        <v>180</v>
      </c>
      <c r="D3327" s="19" t="n">
        <v>1646.79</v>
      </c>
      <c r="E3327" s="19" t="n">
        <v>145</v>
      </c>
      <c r="F3327" s="19" t="n">
        <v>1213.98</v>
      </c>
      <c r="G3327" s="8" t="n">
        <f aca="false">IFERROR(INDEX('TRANS'!$B:$B,MATCH($B3327,'TRANS'!$A:$A,0)),IFERROR(INDEX('TRANS'!$B:$B,MATCH(TRIM(SUBSTITUTE($B3327,CHAR(160)," ")),'TRANS'!$D:$D,0)),IFERROR(INDEX('Catalog'!$A:$A,MATCH($B3327,'Catalog'!$B:$B,0)),IFERROR(INDEX('Catalog'!$A:$A,MATCH(TRIM(SUBSTITUTE($B3327,CHAR(160)," ")),'Catalog'!$C:$C,0)),""))))</f>
        <v>4420024</v>
      </c>
      <c r="H3327" s="8" t="str">
        <f aca="false">IFERROR(INDEX('TRANS'!$C:$C,MATCH($B3327,'TRANS'!$A:$A,0)),IFERROR(INDEX('Catalog'!$B:$B,MATCH($G3327,'Catalog'!$A:$A,0)),$B3327))</f>
        <v>LFריפוד סיליק.לכרית כף הרגל373</v>
      </c>
      <c r="I3327" s="8" t="str">
        <f aca="false">IF($G3327="","Unmatched","Matched")</f>
        <v>Matched</v>
      </c>
    </row>
    <row r="3328" customFormat="false" ht="15" hidden="false" customHeight="false" outlineLevel="0" collapsed="false">
      <c r="A3328" s="8" t="s">
        <v>1052</v>
      </c>
      <c r="B3328" s="8" t="s">
        <v>286</v>
      </c>
      <c r="C3328" s="19" t="n">
        <v>41</v>
      </c>
      <c r="D3328" s="19" t="n">
        <v>430.3</v>
      </c>
      <c r="E3328" s="19" t="n">
        <v>30</v>
      </c>
      <c r="F3328" s="19" t="n">
        <v>289.19</v>
      </c>
      <c r="G3328" s="8" t="n">
        <f aca="false">IFERROR(INDEX('TRANS'!$B:$B,MATCH($B3328,'TRANS'!$A:$A,0)),IFERROR(INDEX('TRANS'!$B:$B,MATCH(TRIM(SUBSTITUTE($B3328,CHAR(160)," ")),'TRANS'!$D:$D,0)),IFERROR(INDEX('Catalog'!$A:$A,MATCH($B3328,'Catalog'!$B:$B,0)),IFERROR(INDEX('Catalog'!$A:$A,MATCH(TRIM(SUBSTITUTE($B3328,CHAR(160)," ")),'Catalog'!$C:$C,0)),""))))</f>
        <v>4420025</v>
      </c>
      <c r="H3328" s="8" t="str">
        <f aca="false">IFERROR(INDEX('TRANS'!$C:$C,MATCH($B3328,'TRANS'!$A:$A,0)),IFERROR(INDEX('Catalog'!$B:$B,MATCH($G3328,'Catalog'!$A:$A,0)),$B3328))</f>
        <v>LF374 ריפוד סיליק.לעקב תחתון</v>
      </c>
      <c r="I3328" s="8" t="str">
        <f aca="false">IF($G3328="","Unmatched","Matched")</f>
        <v>Matched</v>
      </c>
    </row>
    <row r="3329" customFormat="false" ht="15" hidden="false" customHeight="false" outlineLevel="0" collapsed="false">
      <c r="A3329" s="8" t="s">
        <v>1052</v>
      </c>
      <c r="B3329" s="8" t="s">
        <v>1034</v>
      </c>
      <c r="C3329" s="19" t="n">
        <v>12</v>
      </c>
      <c r="D3329" s="19" t="n">
        <v>233.8</v>
      </c>
      <c r="E3329" s="19" t="n">
        <v>0</v>
      </c>
      <c r="F3329" s="19" t="n">
        <v>0</v>
      </c>
      <c r="G3329" s="8" t="n">
        <f aca="false">IFERROR(INDEX('TRANS'!$B:$B,MATCH($B3329,'TRANS'!$A:$A,0)),IFERROR(INDEX('TRANS'!$B:$B,MATCH(TRIM(SUBSTITUTE($B3329,CHAR(160)," ")),'TRANS'!$D:$D,0)),IFERROR(INDEX('Catalog'!$A:$A,MATCH($B3329,'Catalog'!$B:$B,0)),IFERROR(INDEX('Catalog'!$A:$A,MATCH(TRIM(SUBSTITUTE($B3329,CHAR(160)," ")),'Catalog'!$C:$C,0)),""))))</f>
        <v>4413276</v>
      </c>
      <c r="H3329" s="8" t="str">
        <f aca="false">IFERROR(INDEX('TRANS'!$C:$C,MATCH($B3329,'TRANS'!$A:$A,0)),IFERROR(INDEX('Catalog'!$B:$B,MATCH($G3329,'Catalog'!$A:$A,0)),$B3329))</f>
        <v>LF377 L-מדרס סיליקון לנעלי עקב</v>
      </c>
      <c r="I3329" s="8" t="str">
        <f aca="false">IF($G3329="","Unmatched","Matched")</f>
        <v>Matched</v>
      </c>
    </row>
    <row r="3330" customFormat="false" ht="15" hidden="false" customHeight="false" outlineLevel="0" collapsed="false">
      <c r="A3330" s="8" t="s">
        <v>1052</v>
      </c>
      <c r="B3330" s="8" t="s">
        <v>1035</v>
      </c>
      <c r="C3330" s="19" t="n">
        <v>6</v>
      </c>
      <c r="D3330" s="19" t="n">
        <v>108.86</v>
      </c>
      <c r="E3330" s="19" t="n">
        <v>26</v>
      </c>
      <c r="F3330" s="19" t="n">
        <v>437.93</v>
      </c>
      <c r="G3330" s="8" t="n">
        <f aca="false">IFERROR(INDEX('TRANS'!$B:$B,MATCH($B3330,'TRANS'!$A:$A,0)),IFERROR(INDEX('TRANS'!$B:$B,MATCH(TRIM(SUBSTITUTE($B3330,CHAR(160)," ")),'TRANS'!$D:$D,0)),IFERROR(INDEX('Catalog'!$A:$A,MATCH($B3330,'Catalog'!$B:$B,0)),IFERROR(INDEX('Catalog'!$A:$A,MATCH(TRIM(SUBSTITUTE($B3330,CHAR(160)," ")),'Catalog'!$C:$C,0)),""))))</f>
        <v>4413277</v>
      </c>
      <c r="H3330" s="8" t="str">
        <f aca="false">IFERROR(INDEX('TRANS'!$C:$C,MATCH($B3330,'TRANS'!$A:$A,0)),IFERROR(INDEX('Catalog'!$B:$B,MATCH($G3330,'Catalog'!$A:$A,0)),$B3330))</f>
        <v>LF377 M-מדרס סיליקון לנעלי עקב</v>
      </c>
      <c r="I3330" s="8" t="str">
        <f aca="false">IF($G3330="","Unmatched","Matched")</f>
        <v>Matched</v>
      </c>
    </row>
    <row r="3331" customFormat="false" ht="15" hidden="false" customHeight="false" outlineLevel="0" collapsed="false">
      <c r="A3331" s="8" t="s">
        <v>1052</v>
      </c>
      <c r="B3331" s="8" t="s">
        <v>1036</v>
      </c>
      <c r="C3331" s="19" t="n">
        <v>0</v>
      </c>
      <c r="D3331" s="19" t="n">
        <v>0</v>
      </c>
      <c r="E3331" s="19" t="n">
        <v>6</v>
      </c>
      <c r="F3331" s="19" t="n">
        <v>99.48</v>
      </c>
      <c r="G3331" s="8" t="n">
        <f aca="false">IFERROR(INDEX('TRANS'!$B:$B,MATCH($B3331,'TRANS'!$A:$A,0)),IFERROR(INDEX('TRANS'!$B:$B,MATCH(TRIM(SUBSTITUTE($B3331,CHAR(160)," ")),'TRANS'!$D:$D,0)),IFERROR(INDEX('Catalog'!$A:$A,MATCH($B3331,'Catalog'!$B:$B,0)),IFERROR(INDEX('Catalog'!$A:$A,MATCH(TRIM(SUBSTITUTE($B3331,CHAR(160)," ")),'Catalog'!$C:$C,0)),""))))</f>
        <v>4413278</v>
      </c>
      <c r="H3331" s="8" t="str">
        <f aca="false">IFERROR(INDEX('TRANS'!$C:$C,MATCH($B3331,'TRANS'!$A:$A,0)),IFERROR(INDEX('Catalog'!$B:$B,MATCH($G3331,'Catalog'!$A:$A,0)),$B3331))</f>
        <v>LF377 S-מדרס סיליקון לנעלי עקב</v>
      </c>
      <c r="I3331" s="8" t="str">
        <f aca="false">IF($G3331="","Unmatched","Matched")</f>
        <v>Matched</v>
      </c>
    </row>
    <row r="3332" customFormat="false" ht="15" hidden="false" customHeight="false" outlineLevel="0" collapsed="false">
      <c r="A3332" s="8" t="s">
        <v>1052</v>
      </c>
      <c r="B3332" s="8" t="s">
        <v>307</v>
      </c>
      <c r="C3332" s="19" t="n">
        <v>0</v>
      </c>
      <c r="D3332" s="19" t="n">
        <v>0</v>
      </c>
      <c r="E3332" s="19" t="n">
        <v>1</v>
      </c>
      <c r="F3332" s="19" t="n">
        <v>0.03</v>
      </c>
      <c r="G3332" s="8" t="n">
        <f aca="false">IFERROR(INDEX('TRANS'!$B:$B,MATCH($B3332,'TRANS'!$A:$A,0)),IFERROR(INDEX('TRANS'!$B:$B,MATCH(TRIM(SUBSTITUTE($B3332,CHAR(160)," ")),'TRANS'!$D:$D,0)),IFERROR(INDEX('Catalog'!$A:$A,MATCH($B3332,'Catalog'!$B:$B,0)),IFERROR(INDEX('Catalog'!$A:$A,MATCH(TRIM(SUBSTITUTE($B3332,CHAR(160)," ")),'Catalog'!$C:$C,0)),""))))</f>
        <v>4413534</v>
      </c>
      <c r="H3332" s="8" t="str">
        <f aca="false">IFERROR(INDEX('TRANS'!$C:$C,MATCH($B3332,'TRANS'!$A:$A,0)),IFERROR(INDEX('Catalog'!$B:$B,MATCH($G3332,'Catalog'!$A:$A,0)),$B3332))</f>
        <v>SH333 מקבע קרסול</v>
      </c>
      <c r="I3332" s="8" t="str">
        <f aca="false">IF($G3332="","Unmatched","Matched")</f>
        <v>Matched</v>
      </c>
    </row>
    <row r="3333" customFormat="false" ht="15" hidden="false" customHeight="false" outlineLevel="0" collapsed="false">
      <c r="A3333" s="8" t="s">
        <v>1052</v>
      </c>
      <c r="B3333" s="8" t="s">
        <v>523</v>
      </c>
      <c r="C3333" s="19" t="n">
        <v>0</v>
      </c>
      <c r="D3333" s="19" t="n">
        <v>0</v>
      </c>
      <c r="E3333" s="19" t="n">
        <v>1</v>
      </c>
      <c r="F3333" s="19" t="n">
        <v>0.03</v>
      </c>
      <c r="G3333" s="8" t="n">
        <f aca="false">IFERROR(INDEX('TRANS'!$B:$B,MATCH($B3333,'TRANS'!$A:$A,0)),IFERROR(INDEX('TRANS'!$B:$B,MATCH(TRIM(SUBSTITUTE($B3333,CHAR(160)," ")),'TRANS'!$D:$D,0)),IFERROR(INDEX('Catalog'!$A:$A,MATCH($B3333,'Catalog'!$B:$B,0)),IFERROR(INDEX('Catalog'!$A:$A,MATCH(TRIM(SUBSTITUTE($B3333,CHAR(160)," ")),'Catalog'!$C:$C,0)),""))))</f>
        <v>4422039</v>
      </c>
      <c r="H3333" s="8" t="str">
        <f aca="false">IFERROR(INDEX('TRANS'!$C:$C,MATCH($B3333,'TRANS'!$A:$A,0)),IFERROR(INDEX('Catalog'!$B:$B,MATCH($G3333,'Catalog'!$A:$A,0)),$B3333))</f>
        <v>SH422 3 תומך ברך גנושילד</v>
      </c>
      <c r="I3333" s="8" t="str">
        <f aca="false">IF($G3333="","Unmatched","Matched")</f>
        <v>Matched</v>
      </c>
    </row>
    <row r="3334" customFormat="false" ht="15" hidden="false" customHeight="false" outlineLevel="0" collapsed="false">
      <c r="A3334" s="8" t="s">
        <v>1052</v>
      </c>
      <c r="B3334" s="8" t="s">
        <v>529</v>
      </c>
      <c r="C3334" s="19" t="n">
        <v>13</v>
      </c>
      <c r="D3334" s="19" t="n">
        <v>335.39</v>
      </c>
      <c r="E3334" s="19" t="n">
        <v>0</v>
      </c>
      <c r="F3334" s="19" t="n">
        <v>0</v>
      </c>
      <c r="G3334" s="8" t="n">
        <f aca="false">IFERROR(INDEX('TRANS'!$B:$B,MATCH($B3334,'TRANS'!$A:$A,0)),IFERROR(INDEX('TRANS'!$B:$B,MATCH(TRIM(SUBSTITUTE($B3334,CHAR(160)," ")),'TRANS'!$D:$D,0)),IFERROR(INDEX('Catalog'!$A:$A,MATCH($B3334,'Catalog'!$B:$B,0)),IFERROR(INDEX('Catalog'!$A:$A,MATCH(TRIM(SUBSTITUTE($B3334,CHAR(160)," ")),'Catalog'!$C:$C,0)),""))))</f>
        <v>4408270</v>
      </c>
      <c r="H3334" s="8" t="str">
        <f aca="false">IFERROR(INDEX('TRANS'!$C:$C,MATCH($B3334,'TRANS'!$A:$A,0)),IFERROR(INDEX('Catalog'!$B:$B,MATCH($G3334,'Catalog'!$A:$A,0)),$B3334))</f>
        <v>ST11  חגורת בטן</v>
      </c>
      <c r="I3334" s="8" t="str">
        <f aca="false">IF($G3334="","Unmatched","Matched")</f>
        <v>Matched</v>
      </c>
    </row>
    <row r="3335" customFormat="false" ht="15" hidden="false" customHeight="false" outlineLevel="0" collapsed="false">
      <c r="A3335" s="8" t="s">
        <v>1052</v>
      </c>
      <c r="B3335" s="8" t="s">
        <v>530</v>
      </c>
      <c r="C3335" s="19" t="n">
        <v>390</v>
      </c>
      <c r="D3335" s="19" t="n">
        <v>4106.96</v>
      </c>
      <c r="E3335" s="19" t="n">
        <v>410</v>
      </c>
      <c r="F3335" s="19" t="n">
        <v>3846.71</v>
      </c>
      <c r="G3335" s="8" t="n">
        <f aca="false">IFERROR(INDEX('TRANS'!$B:$B,MATCH($B3335,'TRANS'!$A:$A,0)),IFERROR(INDEX('TRANS'!$B:$B,MATCH(TRIM(SUBSTITUTE($B3335,CHAR(160)," ")),'TRANS'!$D:$D,0)),IFERROR(INDEX('Catalog'!$A:$A,MATCH($B3335,'Catalog'!$B:$B,0)),IFERROR(INDEX('Catalog'!$A:$A,MATCH(TRIM(SUBSTITUTE($B3335,CHAR(160)," ")),'Catalog'!$C:$C,0)),""))))</f>
        <v>4408268</v>
      </c>
      <c r="H3335" s="8" t="str">
        <f aca="false">IFERROR(INDEX('TRANS'!$C:$C,MATCH($B3335,'TRANS'!$A:$A,0)),IFERROR(INDEX('Catalog'!$B:$B,MATCH($G3335,'Catalog'!$A:$A,0)),$B3335))</f>
        <v>ST20 חבק יד</v>
      </c>
      <c r="I3335" s="8" t="str">
        <f aca="false">IF($G3335="","Unmatched","Matched")</f>
        <v>Matched</v>
      </c>
    </row>
    <row r="3336" customFormat="false" ht="15" hidden="false" customHeight="false" outlineLevel="0" collapsed="false">
      <c r="A3336" s="8" t="s">
        <v>1052</v>
      </c>
      <c r="B3336" s="8" t="s">
        <v>531</v>
      </c>
      <c r="C3336" s="19" t="n">
        <v>27</v>
      </c>
      <c r="D3336" s="19" t="n">
        <v>359.77</v>
      </c>
      <c r="E3336" s="19" t="n">
        <v>15</v>
      </c>
      <c r="F3336" s="19" t="n">
        <v>180.31</v>
      </c>
      <c r="G3336" s="8" t="n">
        <f aca="false">IFERROR(INDEX('TRANS'!$B:$B,MATCH($B3336,'TRANS'!$A:$A,0)),IFERROR(INDEX('TRANS'!$B:$B,MATCH(TRIM(SUBSTITUTE($B3336,CHAR(160)," ")),'TRANS'!$D:$D,0)),IFERROR(INDEX('Catalog'!$A:$A,MATCH($B3336,'Catalog'!$B:$B,0)),IFERROR(INDEX('Catalog'!$A:$A,MATCH(TRIM(SUBSTITUTE($B3336,CHAR(160)," ")),'Catalog'!$C:$C,0)),""))))</f>
        <v>4408267</v>
      </c>
      <c r="H3336" s="8" t="str">
        <f aca="false">IFERROR(INDEX('TRANS'!$C:$C,MATCH($B3336,'TRANS'!$A:$A,0)),IFERROR(INDEX('Catalog'!$B:$B,MATCH($G3336,'Catalog'!$A:$A,0)),$B3336))</f>
        <v>ST25 חבק שורש לכף היד</v>
      </c>
      <c r="I3336" s="8" t="str">
        <f aca="false">IF($G3336="","Unmatched","Matched")</f>
        <v>Matched</v>
      </c>
    </row>
    <row r="3337" customFormat="false" ht="15" hidden="false" customHeight="false" outlineLevel="0" collapsed="false">
      <c r="A3337" s="8" t="s">
        <v>1052</v>
      </c>
      <c r="B3337" s="8" t="s">
        <v>569</v>
      </c>
      <c r="C3337" s="19" t="n">
        <v>3</v>
      </c>
      <c r="D3337" s="19" t="n">
        <v>51.57</v>
      </c>
      <c r="E3337" s="19" t="n">
        <v>0</v>
      </c>
      <c r="F3337" s="19" t="n">
        <v>0</v>
      </c>
      <c r="G3337" s="8" t="str">
        <f aca="false">IFERROR(INDEX('TRANS'!$B:$B,MATCH($B3337,'TRANS'!$A:$A,0)),IFERROR(INDEX('TRANS'!$B:$B,MATCH(TRIM(SUBSTITUTE($B3337,CHAR(160)," ")),'TRANS'!$D:$D,0)),IFERROR(INDEX('Catalog'!$A:$A,MATCH($B3337,'Catalog'!$B:$B,0)),IFERROR(INDEX('Catalog'!$A:$A,MATCH(TRIM(SUBSTITUTE($B3337,CHAR(160)," ")),'Catalog'!$C:$C,0)),""))))</f>
        <v/>
      </c>
      <c r="H3337" s="8" t="str">
        <f aca="false">IFERROR(INDEX('TRANS'!$C:$C,MATCH($B3337,'TRANS'!$A:$A,0)),IFERROR(INDEX('Catalog'!$B:$B,MATCH($G3337,'Catalog'!$A:$A,0)),$B3337))</f>
        <v>ST45X 0</v>
      </c>
      <c r="I3337" s="8" t="str">
        <f aca="false">IF($G3337="","Unmatched","Matched")</f>
        <v>Unmatched</v>
      </c>
    </row>
    <row r="3338" customFormat="false" ht="15" hidden="false" customHeight="false" outlineLevel="0" collapsed="false">
      <c r="A3338" s="8" t="s">
        <v>1052</v>
      </c>
      <c r="B3338" s="8" t="s">
        <v>539</v>
      </c>
      <c r="C3338" s="19" t="n">
        <v>28</v>
      </c>
      <c r="D3338" s="19" t="n">
        <v>454.61</v>
      </c>
      <c r="E3338" s="19" t="n">
        <v>22</v>
      </c>
      <c r="F3338" s="19" t="n">
        <v>322.96</v>
      </c>
      <c r="G3338" s="8" t="n">
        <f aca="false">IFERROR(INDEX('TRANS'!$B:$B,MATCH($B3338,'TRANS'!$A:$A,0)),IFERROR(INDEX('TRANS'!$B:$B,MATCH(TRIM(SUBSTITUTE($B3338,CHAR(160)," ")),'TRANS'!$D:$D,0)),IFERROR(INDEX('Catalog'!$A:$A,MATCH($B3338,'Catalog'!$B:$B,0)),IFERROR(INDEX('Catalog'!$A:$A,MATCH(TRIM(SUBSTITUTE($B3338,CHAR(160)," ")),'Catalog'!$C:$C,0)),""))))</f>
        <v>4413533</v>
      </c>
      <c r="H3338" s="8" t="str">
        <f aca="false">IFERROR(INDEX('TRANS'!$C:$C,MATCH($B3338,'TRANS'!$A:$A,0)),IFERROR(INDEX('Catalog'!$B:$B,MATCH($G3338,'Catalog'!$A:$A,0)),$B3338))</f>
        <v>ST49 מגן ירך</v>
      </c>
      <c r="I3338" s="8" t="str">
        <f aca="false">IF($G3338="","Unmatched","Matched")</f>
        <v>Matched</v>
      </c>
    </row>
    <row r="3339" customFormat="false" ht="15" hidden="false" customHeight="false" outlineLevel="0" collapsed="false">
      <c r="A3339" s="8" t="s">
        <v>1052</v>
      </c>
      <c r="B3339" s="8" t="s">
        <v>1055</v>
      </c>
      <c r="C3339" s="19" t="n">
        <v>2</v>
      </c>
      <c r="D3339" s="19" t="n">
        <v>35.61</v>
      </c>
      <c r="E3339" s="19" t="n">
        <v>0</v>
      </c>
      <c r="F3339" s="19" t="n">
        <v>0</v>
      </c>
      <c r="G3339" s="8" t="str">
        <f aca="false">IFERROR(INDEX('TRANS'!$B:$B,MATCH($B3339,'TRANS'!$A:$A,0)),IFERROR(INDEX('TRANS'!$B:$B,MATCH(TRIM(SUBSTITUTE($B3339,CHAR(160)," ")),'TRANS'!$D:$D,0)),IFERROR(INDEX('Catalog'!$A:$A,MATCH($B3339,'Catalog'!$B:$B,0)),IFERROR(INDEX('Catalog'!$A:$A,MATCH(TRIM(SUBSTITUTE($B3339,CHAR(160)," ")),'Catalog'!$C:$C,0)),""))))</f>
        <v/>
      </c>
      <c r="H3339" s="8" t="str">
        <f aca="false">IFERROR(INDEX('TRANS'!$C:$C,MATCH($B3339,'TRANS'!$A:$A,0)),IFERROR(INDEX('Catalog'!$B:$B,MATCH($G3339,'Catalog'!$A:$A,0)),$B3339))</f>
        <v>ST95 0</v>
      </c>
      <c r="I3339" s="8" t="str">
        <f aca="false">IF($G3339="","Unmatched","Matched")</f>
        <v>Unmatched</v>
      </c>
    </row>
    <row r="3340" customFormat="false" ht="15" hidden="false" customHeight="false" outlineLevel="0" collapsed="false">
      <c r="A3340" s="8" t="s">
        <v>1052</v>
      </c>
      <c r="B3340" s="8" t="s">
        <v>318</v>
      </c>
      <c r="C3340" s="19" t="n">
        <v>40</v>
      </c>
      <c r="D3340" s="19" t="n">
        <v>676.67</v>
      </c>
      <c r="E3340" s="19" t="n">
        <v>80</v>
      </c>
      <c r="F3340" s="19" t="n">
        <v>1214.63</v>
      </c>
      <c r="G3340" s="8" t="n">
        <f aca="false">IFERROR(INDEX('TRANS'!$B:$B,MATCH($B3340,'TRANS'!$A:$A,0)),IFERROR(INDEX('TRANS'!$B:$B,MATCH(TRIM(SUBSTITUTE($B3340,CHAR(160)," ")),'TRANS'!$D:$D,0)),IFERROR(INDEX('Catalog'!$A:$A,MATCH($B3340,'Catalog'!$B:$B,0)),IFERROR(INDEX('Catalog'!$A:$A,MATCH(TRIM(SUBSTITUTE($B3340,CHAR(160)," ")),'Catalog'!$C:$C,0)),""))))</f>
        <v>4408098</v>
      </c>
      <c r="H3340" s="8" t="str">
        <f aca="false">IFERROR(INDEX('TRANS'!$C:$C,MATCH($B3340,'TRANS'!$A:$A,0)),IFERROR(INDEX('Catalog'!$B:$B,MATCH($G3340,'Catalog'!$A:$A,0)),$B3340))</f>
        <v>T25-חבק יד אגודלי</v>
      </c>
      <c r="I3340" s="8" t="str">
        <f aca="false">IF($G3340="","Unmatched","Matched")</f>
        <v>Matched</v>
      </c>
    </row>
    <row r="3341" customFormat="false" ht="15" hidden="false" customHeight="false" outlineLevel="0" collapsed="false">
      <c r="A3341" s="8" t="s">
        <v>1052</v>
      </c>
      <c r="B3341" s="8" t="s">
        <v>544</v>
      </c>
      <c r="C3341" s="19" t="n">
        <v>0</v>
      </c>
      <c r="D3341" s="19" t="n">
        <v>0</v>
      </c>
      <c r="E3341" s="19" t="n">
        <v>1</v>
      </c>
      <c r="F3341" s="19" t="n">
        <v>0.03</v>
      </c>
      <c r="G3341" s="8" t="str">
        <f aca="false">IFERROR(INDEX('TRANS'!$B:$B,MATCH($B3341,'TRANS'!$A:$A,0)),IFERROR(INDEX('TRANS'!$B:$B,MATCH(TRIM(SUBSTITUTE($B3341,CHAR(160)," ")),'TRANS'!$D:$D,0)),IFERROR(INDEX('Catalog'!$A:$A,MATCH($B3341,'Catalog'!$B:$B,0)),IFERROR(INDEX('Catalog'!$A:$A,MATCH(TRIM(SUBSTITUTE($B3341,CHAR(160)," ")),'Catalog'!$C:$C,0)),""))))</f>
        <v/>
      </c>
      <c r="H3341" s="8" t="str">
        <f aca="false">IFERROR(INDEX('TRANS'!$C:$C,MATCH($B3341,'TRANS'!$A:$A,0)),IFERROR(INDEX('Catalog'!$B:$B,MATCH($G3341,'Catalog'!$A:$A,0)),$B3341))</f>
        <v>T40B 0</v>
      </c>
      <c r="I3341" s="8" t="str">
        <f aca="false">IF($G3341="","Unmatched","Matched")</f>
        <v>Unmatched</v>
      </c>
    </row>
    <row r="3342" customFormat="false" ht="15" hidden="false" customHeight="false" outlineLevel="0" collapsed="false">
      <c r="A3342" s="8" t="s">
        <v>1056</v>
      </c>
      <c r="B3342" s="8" t="s">
        <v>563</v>
      </c>
      <c r="C3342" s="19" t="n">
        <v>70</v>
      </c>
      <c r="D3342" s="19" t="n">
        <v>1792.62</v>
      </c>
      <c r="E3342" s="19" t="n">
        <v>30</v>
      </c>
      <c r="F3342" s="19" t="n">
        <v>738.93</v>
      </c>
      <c r="G3342" s="8" t="n">
        <f aca="false">IFERROR(INDEX('TRANS'!$B:$B,MATCH($B3342,'TRANS'!$A:$A,0)),IFERROR(INDEX('TRANS'!$B:$B,MATCH(TRIM(SUBSTITUTE($B3342,CHAR(160)," ")),'TRANS'!$D:$D,0)),IFERROR(INDEX('Catalog'!$A:$A,MATCH($B3342,'Catalog'!$B:$B,0)),IFERROR(INDEX('Catalog'!$A:$A,MATCH(TRIM(SUBSTITUTE($B3342,CHAR(160)," ")),'Catalog'!$C:$C,0)),""))))</f>
        <v>4416003</v>
      </c>
      <c r="H3342" s="8" t="str">
        <f aca="false">IFERROR(INDEX('TRANS'!$C:$C,MATCH($B3342,'TRANS'!$A:$A,0)),IFERROR(INDEX('Catalog'!$B:$B,MATCH($G3342,'Catalog'!$A:$A,0)),$B3342))</f>
        <v>308 Lעקבים סיליקון כחול לדורבן</v>
      </c>
      <c r="I3342" s="8" t="str">
        <f aca="false">IF($G3342="","Unmatched","Matched")</f>
        <v>Matched</v>
      </c>
    </row>
    <row r="3343" customFormat="false" ht="15" hidden="false" customHeight="false" outlineLevel="0" collapsed="false">
      <c r="A3343" s="8" t="s">
        <v>1056</v>
      </c>
      <c r="B3343" s="8" t="s">
        <v>123</v>
      </c>
      <c r="C3343" s="19" t="n">
        <v>100</v>
      </c>
      <c r="D3343" s="19" t="n">
        <v>2618.74</v>
      </c>
      <c r="E3343" s="19" t="n">
        <v>80</v>
      </c>
      <c r="F3343" s="19" t="n">
        <v>1899.5</v>
      </c>
      <c r="G3343" s="8" t="n">
        <f aca="false">IFERROR(INDEX('TRANS'!$B:$B,MATCH($B3343,'TRANS'!$A:$A,0)),IFERROR(INDEX('TRANS'!$B:$B,MATCH(TRIM(SUBSTITUTE($B3343,CHAR(160)," ")),'TRANS'!$D:$D,0)),IFERROR(INDEX('Catalog'!$A:$A,MATCH($B3343,'Catalog'!$B:$B,0)),IFERROR(INDEX('Catalog'!$A:$A,MATCH(TRIM(SUBSTITUTE($B3343,CHAR(160)," ")),'Catalog'!$C:$C,0)),""))))</f>
        <v>4416005</v>
      </c>
      <c r="H3343" s="8" t="str">
        <f aca="false">IFERROR(INDEX('TRANS'!$C:$C,MATCH($B3343,'TRANS'!$A:$A,0)),IFERROR(INDEX('Catalog'!$B:$B,MATCH($G3343,'Catalog'!$A:$A,0)),$B3343))</f>
        <v>308 Mעקבים סיליק.כחול לדורבן</v>
      </c>
      <c r="I3343" s="8" t="str">
        <f aca="false">IF($G3343="","Unmatched","Matched")</f>
        <v>Matched</v>
      </c>
    </row>
    <row r="3344" customFormat="false" ht="15" hidden="false" customHeight="false" outlineLevel="0" collapsed="false">
      <c r="A3344" s="8" t="s">
        <v>1056</v>
      </c>
      <c r="B3344" s="8" t="s">
        <v>125</v>
      </c>
      <c r="C3344" s="19" t="n">
        <v>196</v>
      </c>
      <c r="D3344" s="19" t="n">
        <v>1570.61</v>
      </c>
      <c r="E3344" s="19" t="n">
        <v>28</v>
      </c>
      <c r="F3344" s="19" t="n">
        <v>217.79</v>
      </c>
      <c r="G3344" s="8" t="n">
        <f aca="false">IFERROR(INDEX('TRANS'!$B:$B,MATCH($B3344,'TRANS'!$A:$A,0)),IFERROR(INDEX('TRANS'!$B:$B,MATCH(TRIM(SUBSTITUTE($B3344,CHAR(160)," ")),'TRANS'!$D:$D,0)),IFERROR(INDEX('Catalog'!$A:$A,MATCH($B3344,'Catalog'!$B:$B,0)),IFERROR(INDEX('Catalog'!$A:$A,MATCH(TRIM(SUBSTITUTE($B3344,CHAR(160)," ")),'Catalog'!$C:$C,0)),""))))</f>
        <v>4413034</v>
      </c>
      <c r="H3344" s="8" t="str">
        <f aca="false">IFERROR(INDEX('TRANS'!$C:$C,MATCH($B3344,'TRANS'!$A:$A,0)),IFERROR(INDEX('Catalog'!$B:$B,MATCH($G3344,'Catalog'!$A:$A,0)),$B3344))</f>
        <v>312 9 מ""""ס להתאמהX5 מדבקה גדולה</v>
      </c>
      <c r="I3344" s="8" t="str">
        <f aca="false">IF($G3344="","Unmatched","Matched")</f>
        <v>Matched</v>
      </c>
    </row>
    <row r="3345" customFormat="false" ht="15" hidden="false" customHeight="false" outlineLevel="0" collapsed="false">
      <c r="A3345" s="8" t="s">
        <v>1056</v>
      </c>
      <c r="B3345" s="8" t="s">
        <v>358</v>
      </c>
      <c r="C3345" s="19" t="n">
        <v>20</v>
      </c>
      <c r="D3345" s="19" t="n">
        <v>381.46</v>
      </c>
      <c r="E3345" s="19" t="n">
        <v>0</v>
      </c>
      <c r="F3345" s="19" t="n">
        <v>0</v>
      </c>
      <c r="G3345" s="8" t="n">
        <f aca="false">IFERROR(INDEX('TRANS'!$B:$B,MATCH($B3345,'TRANS'!$A:$A,0)),IFERROR(INDEX('TRANS'!$B:$B,MATCH(TRIM(SUBSTITUTE($B3345,CHAR(160)," ")),'TRANS'!$D:$D,0)),IFERROR(INDEX('Catalog'!$A:$A,MATCH($B3345,'Catalog'!$B:$B,0)),IFERROR(INDEX('Catalog'!$A:$A,MATCH(TRIM(SUBSTITUTE($B3345,CHAR(160)," ")),'Catalog'!$C:$C,0)),""))))</f>
        <v>4403040</v>
      </c>
      <c r="H3345" s="8" t="str">
        <f aca="false">IFERROR(INDEX('TRANS'!$C:$C,MATCH($B3345,'TRANS'!$A:$A,0)),IFERROR(INDEX('Catalog'!$B:$B,MATCH($G3345,'Catalog'!$A:$A,0)),$B3345))</f>
        <v>3444B גרבי ג'ל לריכוך עור העקב</v>
      </c>
      <c r="I3345" s="8" t="str">
        <f aca="false">IF($G3345="","Unmatched","Matched")</f>
        <v>Matched</v>
      </c>
    </row>
    <row r="3346" customFormat="false" ht="15" hidden="false" customHeight="false" outlineLevel="0" collapsed="false">
      <c r="A3346" s="8" t="s">
        <v>1056</v>
      </c>
      <c r="B3346" s="8" t="s">
        <v>148</v>
      </c>
      <c r="C3346" s="19" t="n">
        <v>90</v>
      </c>
      <c r="D3346" s="19" t="n">
        <v>1435.63</v>
      </c>
      <c r="E3346" s="19" t="n">
        <v>100</v>
      </c>
      <c r="F3346" s="19" t="n">
        <v>1365.6</v>
      </c>
      <c r="G3346" s="8" t="n">
        <f aca="false">IFERROR(INDEX('TRANS'!$B:$B,MATCH($B3346,'TRANS'!$A:$A,0)),IFERROR(INDEX('TRANS'!$B:$B,MATCH(TRIM(SUBSTITUTE($B3346,CHAR(160)," ")),'TRANS'!$D:$D,0)),IFERROR(INDEX('Catalog'!$A:$A,MATCH($B3346,'Catalog'!$B:$B,0)),IFERROR(INDEX('Catalog'!$A:$A,MATCH(TRIM(SUBSTITUTE($B3346,CHAR(160)," ")),'Catalog'!$C:$C,0)),""))))</f>
        <v>4411000</v>
      </c>
      <c r="H3346" s="8" t="str">
        <f aca="false">IFERROR(INDEX('TRANS'!$C:$C,MATCH($B3346,'TRANS'!$A:$A,0)),IFERROR(INDEX('Catalog'!$B:$B,MATCH($G3346,'Catalog'!$A:$A,0)),$B3346))</f>
        <v>כרית מטטרזלי סיליקון362</v>
      </c>
      <c r="I3346" s="8" t="str">
        <f aca="false">IF($G3346="","Unmatched","Matched")</f>
        <v>Matched</v>
      </c>
    </row>
    <row r="3347" customFormat="false" ht="15" hidden="false" customHeight="false" outlineLevel="0" collapsed="false">
      <c r="A3347" s="8" t="s">
        <v>1056</v>
      </c>
      <c r="B3347" s="8" t="s">
        <v>149</v>
      </c>
      <c r="C3347" s="19" t="n">
        <v>30</v>
      </c>
      <c r="D3347" s="19" t="n">
        <v>583.99</v>
      </c>
      <c r="E3347" s="19" t="n">
        <v>0</v>
      </c>
      <c r="F3347" s="19" t="n">
        <v>0</v>
      </c>
      <c r="G3347" s="8" t="n">
        <f aca="false">IFERROR(INDEX('TRANS'!$B:$B,MATCH($B3347,'TRANS'!$A:$A,0)),IFERROR(INDEX('TRANS'!$B:$B,MATCH(TRIM(SUBSTITUTE($B3347,CHAR(160)," ")),'TRANS'!$D:$D,0)),IFERROR(INDEX('Catalog'!$A:$A,MATCH($B3347,'Catalog'!$B:$B,0)),IFERROR(INDEX('Catalog'!$A:$A,MATCH(TRIM(SUBSTITUTE($B3347,CHAR(160)," ")),'Catalog'!$C:$C,0)),""))))</f>
        <v>4413058</v>
      </c>
      <c r="H3347" s="8" t="str">
        <f aca="false">IFERROR(INDEX('TRANS'!$C:$C,MATCH($B3347,'TRANS'!$A:$A,0)),IFERROR(INDEX('Catalog'!$B:$B,MATCH($G3347,'Catalog'!$A:$A,0)),$B3347))</f>
        <v>3622S מדבקה לשחרור לחץ 2 יח</v>
      </c>
      <c r="I3347" s="8" t="str">
        <f aca="false">IF($G3347="","Unmatched","Matched")</f>
        <v>Matched</v>
      </c>
    </row>
    <row r="3348" customFormat="false" ht="15" hidden="false" customHeight="false" outlineLevel="0" collapsed="false">
      <c r="A3348" s="8" t="s">
        <v>1056</v>
      </c>
      <c r="B3348" s="8" t="s">
        <v>151</v>
      </c>
      <c r="C3348" s="19" t="n">
        <v>80</v>
      </c>
      <c r="D3348" s="19" t="n">
        <v>1038.21</v>
      </c>
      <c r="E3348" s="19" t="n">
        <v>0</v>
      </c>
      <c r="F3348" s="19" t="n">
        <v>0</v>
      </c>
      <c r="G3348" s="8" t="str">
        <f aca="false">IFERROR(INDEX('TRANS'!$B:$B,MATCH($B3348,'TRANS'!$A:$A,0)),IFERROR(INDEX('TRANS'!$B:$B,MATCH(TRIM(SUBSTITUTE($B3348,CHAR(160)," ")),'TRANS'!$D:$D,0)),IFERROR(INDEX('Catalog'!$A:$A,MATCH($B3348,'Catalog'!$B:$B,0)),IFERROR(INDEX('Catalog'!$A:$A,MATCH(TRIM(SUBSTITUTE($B3348,CHAR(160)," ")),'Catalog'!$C:$C,0)),""))))</f>
        <v/>
      </c>
      <c r="H3348" s="8" t="str">
        <f aca="false">IFERROR(INDEX('TRANS'!$C:$C,MATCH($B3348,'TRANS'!$A:$A,0)),IFERROR(INDEX('Catalog'!$B:$B,MATCH($G3348,'Catalog'!$A:$A,0)),$B3348))</f>
        <v>363 L/R</v>
      </c>
      <c r="I3348" s="8" t="str">
        <f aca="false">IF($G3348="","Unmatched","Matched")</f>
        <v>Unmatched</v>
      </c>
    </row>
    <row r="3349" customFormat="false" ht="15" hidden="false" customHeight="false" outlineLevel="0" collapsed="false">
      <c r="A3349" s="8" t="s">
        <v>1056</v>
      </c>
      <c r="B3349" s="8" t="s">
        <v>152</v>
      </c>
      <c r="C3349" s="19" t="n">
        <v>240</v>
      </c>
      <c r="D3349" s="19" t="n">
        <v>1556.89</v>
      </c>
      <c r="E3349" s="19" t="n">
        <v>316</v>
      </c>
      <c r="F3349" s="19" t="n">
        <v>1907.3</v>
      </c>
      <c r="G3349" s="8" t="n">
        <f aca="false">IFERROR(INDEX('TRANS'!$B:$B,MATCH($B3349,'TRANS'!$A:$A,0)),IFERROR(INDEX('TRANS'!$B:$B,MATCH(TRIM(SUBSTITUTE($B3349,CHAR(160)," ")),'TRANS'!$D:$D,0)),IFERROR(INDEX('Catalog'!$A:$A,MATCH($B3349,'Catalog'!$B:$B,0)),IFERROR(INDEX('Catalog'!$A:$A,MATCH(TRIM(SUBSTITUTE($B3349,CHAR(160)," ")),'Catalog'!$C:$C,0)),""))))</f>
        <v>4413059</v>
      </c>
      <c r="H3349" s="8" t="str">
        <f aca="false">IFERROR(INDEX('TRANS'!$C:$C,MATCH($B3349,'TRANS'!$A:$A,0)),IFERROR(INDEX('Catalog'!$B:$B,MATCH($G3349,'Catalog'!$A:$A,0)),$B3349))</f>
        <v>364S Lמפר.אצבע סיליק. ליבל.זוג</v>
      </c>
      <c r="I3349" s="8" t="str">
        <f aca="false">IF($G3349="","Unmatched","Matched")</f>
        <v>Matched</v>
      </c>
    </row>
    <row r="3350" customFormat="false" ht="15" hidden="false" customHeight="false" outlineLevel="0" collapsed="false">
      <c r="A3350" s="8" t="s">
        <v>1056</v>
      </c>
      <c r="B3350" s="8" t="s">
        <v>155</v>
      </c>
      <c r="C3350" s="19" t="n">
        <v>240</v>
      </c>
      <c r="D3350" s="19" t="n">
        <v>1721.44</v>
      </c>
      <c r="E3350" s="19" t="n">
        <v>230</v>
      </c>
      <c r="F3350" s="19" t="n">
        <v>1474.91</v>
      </c>
      <c r="G3350" s="8" t="n">
        <f aca="false">IFERROR(INDEX('TRANS'!$B:$B,MATCH($B3350,'TRANS'!$A:$A,0)),IFERROR(INDEX('TRANS'!$B:$B,MATCH(TRIM(SUBSTITUTE($B3350,CHAR(160)," ")),'TRANS'!$D:$D,0)),IFERROR(INDEX('Catalog'!$A:$A,MATCH($B3350,'Catalog'!$B:$B,0)),IFERROR(INDEX('Catalog'!$A:$A,MATCH(TRIM(SUBSTITUTE($B3350,CHAR(160)," ")),'Catalog'!$C:$C,0)),""))))</f>
        <v>4409000</v>
      </c>
      <c r="H3350" s="8" t="str">
        <f aca="false">IFERROR(INDEX('TRANS'!$C:$C,MATCH($B3350,'TRANS'!$A:$A,0)),IFERROR(INDEX('Catalog'!$B:$B,MATCH($G3350,'Catalog'!$A:$A,0)),$B3350))</f>
        <v>365 S-Lטבעת אלסטית מסיליקון</v>
      </c>
      <c r="I3350" s="8" t="str">
        <f aca="false">IF($G3350="","Unmatched","Matched")</f>
        <v>Matched</v>
      </c>
    </row>
    <row r="3351" customFormat="false" ht="15" hidden="false" customHeight="false" outlineLevel="0" collapsed="false">
      <c r="A3351" s="8" t="s">
        <v>1056</v>
      </c>
      <c r="B3351" s="8" t="s">
        <v>478</v>
      </c>
      <c r="C3351" s="19" t="n">
        <v>40</v>
      </c>
      <c r="D3351" s="19" t="n">
        <v>321.82</v>
      </c>
      <c r="E3351" s="19" t="n">
        <v>0</v>
      </c>
      <c r="F3351" s="19" t="n">
        <v>0</v>
      </c>
      <c r="G3351" s="8" t="n">
        <f aca="false">IFERROR(INDEX('TRANS'!$B:$B,MATCH($B3351,'TRANS'!$A:$A,0)),IFERROR(INDEX('TRANS'!$B:$B,MATCH(TRIM(SUBSTITUTE($B3351,CHAR(160)," ")),'TRANS'!$D:$D,0)),IFERROR(INDEX('Catalog'!$A:$A,MATCH($B3351,'Catalog'!$B:$B,0)),IFERROR(INDEX('Catalog'!$A:$A,MATCH(TRIM(SUBSTITUTE($B3351,CHAR(160)," ")),'Catalog'!$C:$C,0)),""))))</f>
        <v>4409001</v>
      </c>
      <c r="H3351" s="8" t="str">
        <f aca="false">IFERROR(INDEX('TRANS'!$C:$C,MATCH($B3351,'TRANS'!$A:$A,0)),IFERROR(INDEX('Catalog'!$B:$B,MATCH($G3351,'Catalog'!$A:$A,0)),$B3351))</f>
        <v>365  X-Lטבעת אלסטית מסיליקון</v>
      </c>
      <c r="I3351" s="8" t="str">
        <f aca="false">IF($G3351="","Unmatched","Matched")</f>
        <v>Matched</v>
      </c>
    </row>
    <row r="3352" customFormat="false" ht="15" hidden="false" customHeight="false" outlineLevel="0" collapsed="false">
      <c r="A3352" s="8" t="s">
        <v>1056</v>
      </c>
      <c r="B3352" s="8" t="s">
        <v>156</v>
      </c>
      <c r="C3352" s="19" t="n">
        <v>1800</v>
      </c>
      <c r="D3352" s="19" t="n">
        <v>16729.1</v>
      </c>
      <c r="E3352" s="19" t="n">
        <v>1700</v>
      </c>
      <c r="F3352" s="19" t="n">
        <v>14391.49</v>
      </c>
      <c r="G3352" s="8" t="n">
        <f aca="false">IFERROR(INDEX('TRANS'!$B:$B,MATCH($B3352,'TRANS'!$A:$A,0)),IFERROR(INDEX('TRANS'!$B:$B,MATCH(TRIM(SUBSTITUTE($B3352,CHAR(160)," ")),'TRANS'!$D:$D,0)),IFERROR(INDEX('Catalog'!$A:$A,MATCH($B3352,'Catalog'!$B:$B,0)),IFERROR(INDEX('Catalog'!$A:$A,MATCH(TRIM(SUBSTITUTE($B3352,CHAR(160)," ")),'Catalog'!$C:$C,0)),""))))</f>
        <v>4421000</v>
      </c>
      <c r="H3352" s="8" t="str">
        <f aca="false">IFERROR(INDEX('TRANS'!$C:$C,MATCH($B3352,'TRANS'!$A:$A,0)),IFERROR(INDEX('Catalog'!$B:$B,MATCH($G3352,'Catalog'!$A:$A,0)),$B3352))</f>
        <v>3655 שרוול מסיליקון לאצבע</v>
      </c>
      <c r="I3352" s="8" t="str">
        <f aca="false">IF($G3352="","Unmatched","Matched")</f>
        <v>Matched</v>
      </c>
    </row>
    <row r="3353" customFormat="false" ht="15" hidden="false" customHeight="false" outlineLevel="0" collapsed="false">
      <c r="A3353" s="8" t="s">
        <v>1056</v>
      </c>
      <c r="B3353" s="8" t="s">
        <v>159</v>
      </c>
      <c r="C3353" s="19" t="n">
        <v>250</v>
      </c>
      <c r="D3353" s="19" t="n">
        <v>1998.81</v>
      </c>
      <c r="E3353" s="19" t="n">
        <v>130</v>
      </c>
      <c r="F3353" s="19" t="n">
        <v>992.9</v>
      </c>
      <c r="G3353" s="8" t="n">
        <f aca="false">IFERROR(INDEX('TRANS'!$B:$B,MATCH($B3353,'TRANS'!$A:$A,0)),IFERROR(INDEX('TRANS'!$B:$B,MATCH(TRIM(SUBSTITUTE($B3353,CHAR(160)," ")),'TRANS'!$D:$D,0)),IFERROR(INDEX('Catalog'!$A:$A,MATCH($B3353,'Catalog'!$B:$B,0)),IFERROR(INDEX('Catalog'!$A:$A,MATCH(TRIM(SUBSTITUTE($B3353,CHAR(160)," ")),'Catalog'!$C:$C,0)),""))))</f>
        <v>4413063</v>
      </c>
      <c r="H3353" s="8" t="str">
        <f aca="false">IFERROR(INDEX('TRANS'!$C:$C,MATCH($B3353,'TRANS'!$A:$A,0)),IFERROR(INDEX('Catalog'!$B:$B,MATCH($G3353,'Catalog'!$A:$A,0)),$B3353))</f>
        <v>366S-'מדבק.לשחרור לחץ מיבלת2יח</v>
      </c>
      <c r="I3353" s="8" t="str">
        <f aca="false">IF($G3353="","Unmatched","Matched")</f>
        <v>Matched</v>
      </c>
    </row>
    <row r="3354" customFormat="false" ht="15" hidden="false" customHeight="false" outlineLevel="0" collapsed="false">
      <c r="A3354" s="8" t="s">
        <v>1056</v>
      </c>
      <c r="B3354" s="8" t="s">
        <v>163</v>
      </c>
      <c r="C3354" s="19" t="n">
        <v>980</v>
      </c>
      <c r="D3354" s="19" t="n">
        <v>10238.3</v>
      </c>
      <c r="E3354" s="19" t="n">
        <v>576</v>
      </c>
      <c r="F3354" s="19" t="n">
        <v>5431.17</v>
      </c>
      <c r="G3354" s="8" t="n">
        <f aca="false">IFERROR(INDEX('TRANS'!$B:$B,MATCH($B3354,'TRANS'!$A:$A,0)),IFERROR(INDEX('TRANS'!$B:$B,MATCH(TRIM(SUBSTITUTE($B3354,CHAR(160)," ")),'TRANS'!$D:$D,0)),IFERROR(INDEX('Catalog'!$A:$A,MATCH($B3354,'Catalog'!$B:$B,0)),IFERROR(INDEX('Catalog'!$A:$A,MATCH(TRIM(SUBSTITUTE($B3354,CHAR(160)," ")),'Catalog'!$C:$C,0)),""))))</f>
        <v>4401000</v>
      </c>
      <c r="H3354" s="8" t="str">
        <f aca="false">IFERROR(INDEX('TRANS'!$C:$C,MATCH($B3354,'TRANS'!$A:$A,0)),IFERROR(INDEX('Catalog'!$B:$B,MATCH($G3354,'Catalog'!$A:$A,0)),$B3354))</f>
        <v>369  S-L אצבעון מסיליקון יחידה</v>
      </c>
      <c r="I3354" s="8" t="str">
        <f aca="false">IF($G3354="","Unmatched","Matched")</f>
        <v>Matched</v>
      </c>
    </row>
    <row r="3355" customFormat="false" ht="15" hidden="false" customHeight="false" outlineLevel="0" collapsed="false">
      <c r="A3355" s="8" t="s">
        <v>1056</v>
      </c>
      <c r="B3355" s="8" t="s">
        <v>164</v>
      </c>
      <c r="C3355" s="19" t="n">
        <v>850</v>
      </c>
      <c r="D3355" s="19" t="n">
        <v>9860.71</v>
      </c>
      <c r="E3355" s="19" t="n">
        <v>770</v>
      </c>
      <c r="F3355" s="19" t="n">
        <v>8160.66</v>
      </c>
      <c r="G3355" s="8" t="n">
        <f aca="false">IFERROR(INDEX('TRANS'!$B:$B,MATCH($B3355,'TRANS'!$A:$A,0)),IFERROR(INDEX('TRANS'!$B:$B,MATCH(TRIM(SUBSTITUTE($B3355,CHAR(160)," ")),'TRANS'!$D:$D,0)),IFERROR(INDEX('Catalog'!$A:$A,MATCH($B3355,'Catalog'!$B:$B,0)),IFERROR(INDEX('Catalog'!$A:$A,MATCH(TRIM(SUBSTITUTE($B3355,CHAR(160)," ")),'Catalog'!$C:$C,0)),""))))</f>
        <v>4401001</v>
      </c>
      <c r="H3355" s="8" t="str">
        <f aca="false">IFERROR(INDEX('TRANS'!$C:$C,MATCH($B3355,'TRANS'!$A:$A,0)),IFERROR(INDEX('Catalog'!$B:$B,MATCH($G3355,'Catalog'!$A:$A,0)),$B3355))</f>
        <v>369   XL אצבעון מסיליקון יחידה</v>
      </c>
      <c r="I3355" s="8" t="str">
        <f aca="false">IF($G3355="","Unmatched","Matched")</f>
        <v>Matched</v>
      </c>
    </row>
    <row r="3356" customFormat="false" ht="15" hidden="false" customHeight="false" outlineLevel="0" collapsed="false">
      <c r="A3356" s="8" t="s">
        <v>1056</v>
      </c>
      <c r="B3356" s="8" t="s">
        <v>169</v>
      </c>
      <c r="C3356" s="19" t="n">
        <v>100</v>
      </c>
      <c r="D3356" s="19" t="n">
        <v>947.31</v>
      </c>
      <c r="E3356" s="19" t="n">
        <v>50</v>
      </c>
      <c r="F3356" s="19" t="n">
        <v>409.87</v>
      </c>
      <c r="G3356" s="8" t="n">
        <f aca="false">IFERROR(INDEX('TRANS'!$B:$B,MATCH($B3356,'TRANS'!$A:$A,0)),IFERROR(INDEX('TRANS'!$B:$B,MATCH(TRIM(SUBSTITUTE($B3356,CHAR(160)," ")),'TRANS'!$D:$D,0)),IFERROR(INDEX('Catalog'!$A:$A,MATCH($B3356,'Catalog'!$B:$B,0)),IFERROR(INDEX('Catalog'!$A:$A,MATCH(TRIM(SUBSTITUTE($B3356,CHAR(160)," ")),'Catalog'!$C:$C,0)),""))))</f>
        <v>4420003</v>
      </c>
      <c r="H3356" s="8" t="str">
        <f aca="false">IFERROR(INDEX('TRANS'!$C:$C,MATCH($B3356,'TRANS'!$A:$A,0)),IFERROR(INDEX('Catalog'!$B:$B,MATCH($G3356,'Catalog'!$A:$A,0)),$B3356))</f>
        <v>374 רפידת בולמת זעזועים -זוג</v>
      </c>
      <c r="I3356" s="8" t="str">
        <f aca="false">IF($G3356="","Unmatched","Matched")</f>
        <v>Matched</v>
      </c>
    </row>
    <row r="3357" customFormat="false" ht="15" hidden="false" customHeight="false" outlineLevel="0" collapsed="false">
      <c r="A3357" s="8" t="s">
        <v>1056</v>
      </c>
      <c r="B3357" s="8" t="s">
        <v>175</v>
      </c>
      <c r="C3357" s="19" t="n">
        <v>30</v>
      </c>
      <c r="D3357" s="19" t="n">
        <v>1057.05</v>
      </c>
      <c r="E3357" s="19" t="n">
        <v>0</v>
      </c>
      <c r="F3357" s="19" t="n">
        <v>0</v>
      </c>
      <c r="G3357" s="8" t="n">
        <f aca="false">IFERROR(INDEX('TRANS'!$B:$B,MATCH($B3357,'TRANS'!$A:$A,0)),IFERROR(INDEX('TRANS'!$B:$B,MATCH(TRIM(SUBSTITUTE($B3357,CHAR(160)," ")),'TRANS'!$D:$D,0)),IFERROR(INDEX('Catalog'!$A:$A,MATCH($B3357,'Catalog'!$B:$B,0)),IFERROR(INDEX('Catalog'!$A:$A,MATCH(TRIM(SUBSTITUTE($B3357,CHAR(160)," ")),'Catalog'!$C:$C,0)),""))))</f>
        <v>4408069</v>
      </c>
      <c r="H3357" s="8" t="str">
        <f aca="false">IFERROR(INDEX('TRANS'!$C:$C,MATCH($B3357,'TRANS'!$A:$A,0)),IFERROR(INDEX('Catalog'!$B:$B,MATCH($G3357,'Catalog'!$A:$A,0)),$B3357))</f>
        <v>38 .חבישת""""הלוקס ולגוס""""לאחר נית</v>
      </c>
      <c r="I3357" s="8" t="str">
        <f aca="false">IF($G3357="","Unmatched","Matched")</f>
        <v>Matched</v>
      </c>
    </row>
    <row r="3358" customFormat="false" ht="15" hidden="false" customHeight="false" outlineLevel="0" collapsed="false">
      <c r="A3358" s="8" t="s">
        <v>1056</v>
      </c>
      <c r="B3358" s="8" t="s">
        <v>178</v>
      </c>
      <c r="C3358" s="19" t="n">
        <v>30</v>
      </c>
      <c r="D3358" s="19" t="n">
        <v>1059.18</v>
      </c>
      <c r="E3358" s="19" t="n">
        <v>30</v>
      </c>
      <c r="F3358" s="19" t="n">
        <v>1002.17</v>
      </c>
      <c r="G3358" s="8" t="n">
        <f aca="false">IFERROR(INDEX('TRANS'!$B:$B,MATCH($B3358,'TRANS'!$A:$A,0)),IFERROR(INDEX('TRANS'!$B:$B,MATCH(TRIM(SUBSTITUTE($B3358,CHAR(160)," ")),'TRANS'!$D:$D,0)),IFERROR(INDEX('Catalog'!$A:$A,MATCH($B3358,'Catalog'!$B:$B,0)),IFERROR(INDEX('Catalog'!$A:$A,MATCH(TRIM(SUBSTITUTE($B3358,CHAR(160)," ")),'Catalog'!$C:$C,0)),""))))</f>
        <v>4415298</v>
      </c>
      <c r="H3358" s="8" t="str">
        <f aca="false">IFERROR(INDEX('TRANS'!$C:$C,MATCH($B3358,'TRANS'!$A:$A,0)),IFERROR(INDEX('Catalog'!$B:$B,MATCH($G3358,'Catalog'!$A:$A,0)),$B3358))</f>
        <v>388B L סד לילה שחור לבוהן שמאל</v>
      </c>
      <c r="I3358" s="8" t="str">
        <f aca="false">IF($G3358="","Unmatched","Matched")</f>
        <v>Matched</v>
      </c>
    </row>
    <row r="3359" customFormat="false" ht="15" hidden="false" customHeight="false" outlineLevel="0" collapsed="false">
      <c r="A3359" s="8" t="s">
        <v>1056</v>
      </c>
      <c r="B3359" s="8" t="s">
        <v>179</v>
      </c>
      <c r="C3359" s="19" t="n">
        <v>50</v>
      </c>
      <c r="D3359" s="19" t="n">
        <v>1742.86</v>
      </c>
      <c r="E3359" s="19" t="n">
        <v>30</v>
      </c>
      <c r="F3359" s="19" t="n">
        <v>1002.17</v>
      </c>
      <c r="G3359" s="8" t="n">
        <f aca="false">IFERROR(INDEX('TRANS'!$B:$B,MATCH($B3359,'TRANS'!$A:$A,0)),IFERROR(INDEX('TRANS'!$B:$B,MATCH(TRIM(SUBSTITUTE($B3359,CHAR(160)," ")),'TRANS'!$D:$D,0)),IFERROR(INDEX('Catalog'!$A:$A,MATCH($B3359,'Catalog'!$B:$B,0)),IFERROR(INDEX('Catalog'!$A:$A,MATCH(TRIM(SUBSTITUTE($B3359,CHAR(160)," ")),'Catalog'!$C:$C,0)),""))))</f>
        <v>4415299</v>
      </c>
      <c r="H3359" s="8" t="str">
        <f aca="false">IFERROR(INDEX('TRANS'!$C:$C,MATCH($B3359,'TRANS'!$A:$A,0)),IFERROR(INDEX('Catalog'!$B:$B,MATCH($G3359,'Catalog'!$A:$A,0)),$B3359))</f>
        <v>388B L סד לילה שחור לבוהן ימין</v>
      </c>
      <c r="I3359" s="8" t="str">
        <f aca="false">IF($G3359="","Unmatched","Matched")</f>
        <v>Matched</v>
      </c>
    </row>
    <row r="3360" customFormat="false" ht="15" hidden="false" customHeight="false" outlineLevel="0" collapsed="false">
      <c r="A3360" s="8" t="s">
        <v>1056</v>
      </c>
      <c r="B3360" s="8" t="s">
        <v>181</v>
      </c>
      <c r="C3360" s="19" t="n">
        <v>150</v>
      </c>
      <c r="D3360" s="19" t="n">
        <v>3564.8</v>
      </c>
      <c r="E3360" s="19" t="n">
        <v>0</v>
      </c>
      <c r="F3360" s="19" t="n">
        <v>0</v>
      </c>
      <c r="G3360" s="8" t="n">
        <f aca="false">IFERROR(INDEX('TRANS'!$B:$B,MATCH($B3360,'TRANS'!$A:$A,0)),IFERROR(INDEX('TRANS'!$B:$B,MATCH(TRIM(SUBSTITUTE($B3360,CHAR(160)," ")),'TRANS'!$D:$D,0)),IFERROR(INDEX('Catalog'!$A:$A,MATCH($B3360,'Catalog'!$B:$B,0)),IFERROR(INDEX('Catalog'!$A:$A,MATCH(TRIM(SUBSTITUTE($B3360,CHAR(160)," ")),'Catalog'!$C:$C,0)),""))))</f>
        <v>4403001</v>
      </c>
      <c r="H3360" s="8" t="str">
        <f aca="false">IFERROR(INDEX('TRANS'!$C:$C,MATCH($B3360,'TRANS'!$A:$A,0)),IFERROR(INDEX('Catalog'!$B:$B,MATCH($G3360,'Catalog'!$A:$A,0)),$B3360))</f>
        <v>390B 39-42.גרב.כסף לסכרתיים שח</v>
      </c>
      <c r="I3360" s="8" t="str">
        <f aca="false">IF($G3360="","Unmatched","Matched")</f>
        <v>Matched</v>
      </c>
    </row>
    <row r="3361" customFormat="false" ht="15" hidden="false" customHeight="false" outlineLevel="0" collapsed="false">
      <c r="A3361" s="8" t="s">
        <v>1056</v>
      </c>
      <c r="B3361" s="8" t="s">
        <v>182</v>
      </c>
      <c r="C3361" s="19" t="n">
        <v>150</v>
      </c>
      <c r="D3361" s="19" t="n">
        <v>3539.25</v>
      </c>
      <c r="E3361" s="19" t="n">
        <v>0</v>
      </c>
      <c r="F3361" s="19" t="n">
        <v>0</v>
      </c>
      <c r="G3361" s="8" t="n">
        <f aca="false">IFERROR(INDEX('TRANS'!$B:$B,MATCH($B3361,'TRANS'!$A:$A,0)),IFERROR(INDEX('TRANS'!$B:$B,MATCH(TRIM(SUBSTITUTE($B3361,CHAR(160)," ")),'TRANS'!$D:$D,0)),IFERROR(INDEX('Catalog'!$A:$A,MATCH($B3361,'Catalog'!$B:$B,0)),IFERROR(INDEX('Catalog'!$A:$A,MATCH(TRIM(SUBSTITUTE($B3361,CHAR(160)," ")),'Catalog'!$C:$C,0)),""))))</f>
        <v>4403002</v>
      </c>
      <c r="H3361" s="8" t="str">
        <f aca="false">IFERROR(INDEX('TRANS'!$C:$C,MATCH($B3361,'TRANS'!$A:$A,0)),IFERROR(INDEX('Catalog'!$B:$B,MATCH($G3361,'Catalog'!$A:$A,0)),$B3361))</f>
        <v>390B 43-46.גרב.כסף לסכרתיים שח</v>
      </c>
      <c r="I3361" s="8" t="str">
        <f aca="false">IF($G3361="","Unmatched","Matched")</f>
        <v>Matched</v>
      </c>
    </row>
    <row r="3362" customFormat="false" ht="15" hidden="false" customHeight="false" outlineLevel="0" collapsed="false">
      <c r="A3362" s="8" t="s">
        <v>1056</v>
      </c>
      <c r="B3362" s="8" t="s">
        <v>184</v>
      </c>
      <c r="C3362" s="19" t="n">
        <v>50</v>
      </c>
      <c r="D3362" s="19" t="n">
        <v>1317.39</v>
      </c>
      <c r="E3362" s="19" t="n">
        <v>0</v>
      </c>
      <c r="F3362" s="19" t="n">
        <v>0</v>
      </c>
      <c r="G3362" s="8" t="str">
        <f aca="false">IFERROR(INDEX('TRANS'!$B:$B,MATCH($B3362,'TRANS'!$A:$A,0)),IFERROR(INDEX('TRANS'!$B:$B,MATCH(TRIM(SUBSTITUTE($B3362,CHAR(160)," ")),'TRANS'!$D:$D,0)),IFERROR(INDEX('Catalog'!$A:$A,MATCH($B3362,'Catalog'!$B:$B,0)),IFERROR(INDEX('Catalog'!$A:$A,MATCH(TRIM(SUBSTITUTE($B3362,CHAR(160)," ")),'Catalog'!$C:$C,0)),""))))</f>
        <v/>
      </c>
      <c r="H3362" s="8" t="str">
        <f aca="false">IFERROR(INDEX('TRANS'!$C:$C,MATCH($B3362,'TRANS'!$A:$A,0)),IFERROR(INDEX('Catalog'!$B:$B,MATCH($G3362,'Catalog'!$A:$A,0)),$B3362))</f>
        <v>390G-39-42</v>
      </c>
      <c r="I3362" s="8" t="str">
        <f aca="false">IF($G3362="","Unmatched","Matched")</f>
        <v>Unmatched</v>
      </c>
    </row>
    <row r="3363" customFormat="false" ht="15" hidden="false" customHeight="false" outlineLevel="0" collapsed="false">
      <c r="A3363" s="8" t="s">
        <v>1056</v>
      </c>
      <c r="B3363" s="8" t="s">
        <v>185</v>
      </c>
      <c r="C3363" s="19" t="n">
        <v>30</v>
      </c>
      <c r="D3363" s="19" t="n">
        <v>1403.58</v>
      </c>
      <c r="E3363" s="19" t="n">
        <v>0</v>
      </c>
      <c r="F3363" s="19" t="n">
        <v>0</v>
      </c>
      <c r="G3363" s="8" t="n">
        <f aca="false">IFERROR(INDEX('TRANS'!$B:$B,MATCH($B3363,'TRANS'!$A:$A,0)),IFERROR(INDEX('TRANS'!$B:$B,MATCH(TRIM(SUBSTITUTE($B3363,CHAR(160)," ")),'TRANS'!$D:$D,0)),IFERROR(INDEX('Catalog'!$A:$A,MATCH($B3363,'Catalog'!$B:$B,0)),IFERROR(INDEX('Catalog'!$A:$A,MATCH(TRIM(SUBSTITUTE($B3363,CHAR(160)," ")),'Catalog'!$C:$C,0)),""))))</f>
        <v>4403005</v>
      </c>
      <c r="H3363" s="8" t="str">
        <f aca="false">IFERROR(INDEX('TRANS'!$C:$C,MATCH($B3363,'TRANS'!$A:$A,0)),IFERROR(INDEX('Catalog'!$B:$B,MATCH($G3363,'Catalog'!$A:$A,0)),$B3363))</f>
        <v>G390.43-46 גרבי כסף לסכרת מידה</v>
      </c>
      <c r="I3363" s="8" t="str">
        <f aca="false">IF($G3363="","Unmatched","Matched")</f>
        <v>Matched</v>
      </c>
    </row>
    <row r="3364" customFormat="false" ht="15" hidden="false" customHeight="false" outlineLevel="0" collapsed="false">
      <c r="A3364" s="8" t="s">
        <v>1056</v>
      </c>
      <c r="B3364" s="8" t="s">
        <v>761</v>
      </c>
      <c r="C3364" s="19" t="n">
        <v>10</v>
      </c>
      <c r="D3364" s="19" t="n">
        <v>232.34</v>
      </c>
      <c r="E3364" s="19" t="n">
        <v>0</v>
      </c>
      <c r="F3364" s="19" t="n">
        <v>0</v>
      </c>
      <c r="G3364" s="8" t="n">
        <f aca="false">IFERROR(INDEX('TRANS'!$B:$B,MATCH($B3364,'TRANS'!$A:$A,0)),IFERROR(INDEX('TRANS'!$B:$B,MATCH(TRIM(SUBSTITUTE($B3364,CHAR(160)," ")),'TRANS'!$D:$D,0)),IFERROR(INDEX('Catalog'!$A:$A,MATCH($B3364,'Catalog'!$B:$B,0)),IFERROR(INDEX('Catalog'!$A:$A,MATCH(TRIM(SUBSTITUTE($B3364,CHAR(160)," ")),'Catalog'!$C:$C,0)),""))))</f>
        <v>4403006</v>
      </c>
      <c r="H3364" s="8" t="str">
        <f aca="false">IFERROR(INDEX('TRANS'!$C:$C,MATCH($B3364,'TRANS'!$A:$A,0)),IFERROR(INDEX('Catalog'!$B:$B,MATCH($G3364,'Catalog'!$A:$A,0)),$B3364))</f>
        <v>390W גרב כסף לסכרתיים לבן35-38</v>
      </c>
      <c r="I3364" s="8" t="str">
        <f aca="false">IF($G3364="","Unmatched","Matched")</f>
        <v>Matched</v>
      </c>
    </row>
    <row r="3365" customFormat="false" ht="15" hidden="false" customHeight="false" outlineLevel="0" collapsed="false">
      <c r="A3365" s="8" t="s">
        <v>1056</v>
      </c>
      <c r="B3365" s="8" t="s">
        <v>488</v>
      </c>
      <c r="C3365" s="19" t="n">
        <v>1</v>
      </c>
      <c r="D3365" s="19" t="n">
        <v>0.04</v>
      </c>
      <c r="E3365" s="19" t="n">
        <v>0</v>
      </c>
      <c r="F3365" s="19" t="n">
        <v>0</v>
      </c>
      <c r="G3365" s="8" t="str">
        <f aca="false">IFERROR(INDEX('TRANS'!$B:$B,MATCH($B3365,'TRANS'!$A:$A,0)),IFERROR(INDEX('TRANS'!$B:$B,MATCH(TRIM(SUBSTITUTE($B3365,CHAR(160)," ")),'TRANS'!$D:$D,0)),IFERROR(INDEX('Catalog'!$A:$A,MATCH($B3365,'Catalog'!$B:$B,0)),IFERROR(INDEX('Catalog'!$A:$A,MATCH(TRIM(SUBSTITUTE($B3365,CHAR(160)," ")),'Catalog'!$C:$C,0)),""))))</f>
        <v/>
      </c>
      <c r="H3365" s="8" t="str">
        <f aca="false">IFERROR(INDEX('TRANS'!$C:$C,MATCH($B3365,'TRANS'!$A:$A,0)),IFERROR(INDEX('Catalog'!$B:$B,MATCH($G3365,'Catalog'!$A:$A,0)),$B3365))</f>
        <v>391W-35-38</v>
      </c>
      <c r="I3365" s="8" t="str">
        <f aca="false">IF($G3365="","Unmatched","Matched")</f>
        <v>Unmatched</v>
      </c>
    </row>
    <row r="3366" customFormat="false" ht="15" hidden="false" customHeight="false" outlineLevel="0" collapsed="false">
      <c r="A3366" s="8" t="s">
        <v>1056</v>
      </c>
      <c r="B3366" s="8" t="s">
        <v>715</v>
      </c>
      <c r="C3366" s="19" t="n">
        <v>1</v>
      </c>
      <c r="D3366" s="19" t="n">
        <v>0.04</v>
      </c>
      <c r="E3366" s="19" t="n">
        <v>0</v>
      </c>
      <c r="F3366" s="19" t="n">
        <v>0</v>
      </c>
      <c r="G3366" s="8" t="str">
        <f aca="false">IFERROR(INDEX('TRANS'!$B:$B,MATCH($B3366,'TRANS'!$A:$A,0)),IFERROR(INDEX('TRANS'!$B:$B,MATCH(TRIM(SUBSTITUTE($B3366,CHAR(160)," ")),'TRANS'!$D:$D,0)),IFERROR(INDEX('Catalog'!$A:$A,MATCH($B3366,'Catalog'!$B:$B,0)),IFERROR(INDEX('Catalog'!$A:$A,MATCH(TRIM(SUBSTITUTE($B3366,CHAR(160)," ")),'Catalog'!$C:$C,0)),""))))</f>
        <v/>
      </c>
      <c r="H3366" s="8" t="str">
        <f aca="false">IFERROR(INDEX('TRANS'!$C:$C,MATCH($B3366,'TRANS'!$A:$A,0)),IFERROR(INDEX('Catalog'!$B:$B,MATCH($G3366,'Catalog'!$A:$A,0)),$B3366))</f>
        <v>395B-35-38</v>
      </c>
      <c r="I3366" s="8" t="str">
        <f aca="false">IF($G3366="","Unmatched","Matched")</f>
        <v>Unmatched</v>
      </c>
    </row>
    <row r="3367" customFormat="false" ht="15" hidden="false" customHeight="false" outlineLevel="0" collapsed="false">
      <c r="A3367" s="8" t="s">
        <v>1056</v>
      </c>
      <c r="B3367" s="8" t="s">
        <v>202</v>
      </c>
      <c r="C3367" s="19" t="n">
        <v>1</v>
      </c>
      <c r="D3367" s="19" t="n">
        <v>0.04</v>
      </c>
      <c r="E3367" s="19" t="n">
        <v>0</v>
      </c>
      <c r="F3367" s="19" t="n">
        <v>0</v>
      </c>
      <c r="G3367" s="8" t="n">
        <f aca="false">IFERROR(INDEX('TRANS'!$B:$B,MATCH($B3367,'TRANS'!$A:$A,0)),IFERROR(INDEX('TRANS'!$B:$B,MATCH(TRIM(SUBSTITUTE($B3367,CHAR(160)," ")),'TRANS'!$D:$D,0)),IFERROR(INDEX('Catalog'!$A:$A,MATCH($B3367,'Catalog'!$B:$B,0)),IFERROR(INDEX('Catalog'!$A:$A,MATCH(TRIM(SUBSTITUTE($B3367,CHAR(160)," ")),'Catalog'!$C:$C,0)),""))))</f>
        <v>4403043</v>
      </c>
      <c r="H3367" s="8" t="str">
        <f aca="false">IFERROR(INDEX('TRANS'!$C:$C,MATCH($B3367,'TRANS'!$A:$A,0)),IFERROR(INDEX('Catalog'!$B:$B,MATCH($G3367,'Catalog'!$A:$A,0)),$B3367))</f>
        <v>397A-גרבי טיסה אנטי בקטרי43-46</v>
      </c>
      <c r="I3367" s="8" t="str">
        <f aca="false">IF($G3367="","Unmatched","Matched")</f>
        <v>Matched</v>
      </c>
    </row>
    <row r="3368" customFormat="false" ht="15" hidden="false" customHeight="false" outlineLevel="0" collapsed="false">
      <c r="A3368" s="8" t="s">
        <v>1056</v>
      </c>
      <c r="B3368" s="8" t="s">
        <v>238</v>
      </c>
      <c r="C3368" s="19" t="n">
        <v>2200</v>
      </c>
      <c r="D3368" s="19" t="n">
        <v>24114.82</v>
      </c>
      <c r="E3368" s="19" t="n">
        <v>2500</v>
      </c>
      <c r="F3368" s="19" t="n">
        <v>24534.97</v>
      </c>
      <c r="G3368" s="8" t="n">
        <f aca="false">IFERROR(INDEX('TRANS'!$B:$B,MATCH($B3368,'TRANS'!$A:$A,0)),IFERROR(INDEX('TRANS'!$B:$B,MATCH(TRIM(SUBSTITUTE($B3368,CHAR(160)," ")),'TRANS'!$D:$D,0)),IFERROR(INDEX('Catalog'!$A:$A,MATCH($B3368,'Catalog'!$B:$B,0)),IFERROR(INDEX('Catalog'!$A:$A,MATCH(TRIM(SUBSTITUTE($B3368,CHAR(160)," ")),'Catalog'!$C:$C,0)),""))))</f>
        <v>4422000</v>
      </c>
      <c r="H3368" s="8" t="str">
        <f aca="false">IFERROR(INDEX('TRANS'!$C:$C,MATCH($B3368,'TRANS'!$A:$A,0)),IFERROR(INDEX('Catalog'!$B:$B,MATCH($G3368,'Catalog'!$A:$A,0)),$B3368))</f>
        <v>801  תחבושת אלסטית מקררת</v>
      </c>
      <c r="I3368" s="8" t="str">
        <f aca="false">IF($G3368="","Unmatched","Matched")</f>
        <v>Matched</v>
      </c>
    </row>
    <row r="3369" customFormat="false" ht="15" hidden="false" customHeight="false" outlineLevel="0" collapsed="false">
      <c r="A3369" s="8" t="s">
        <v>1056</v>
      </c>
      <c r="B3369" s="8" t="s">
        <v>287</v>
      </c>
      <c r="C3369" s="19" t="n">
        <v>300</v>
      </c>
      <c r="D3369" s="19" t="n">
        <v>2677</v>
      </c>
      <c r="E3369" s="19" t="n">
        <v>190</v>
      </c>
      <c r="F3369" s="19" t="n">
        <v>1509.87</v>
      </c>
      <c r="G3369" s="8" t="n">
        <f aca="false">IFERROR(INDEX('TRANS'!$B:$B,MATCH($B3369,'TRANS'!$A:$A,0)),IFERROR(INDEX('TRANS'!$B:$B,MATCH(TRIM(SUBSTITUTE($B3369,CHAR(160)," ")),'TRANS'!$D:$D,0)),IFERROR(INDEX('Catalog'!$A:$A,MATCH($B3369,'Catalog'!$B:$B,0)),IFERROR(INDEX('Catalog'!$A:$A,MATCH(TRIM(SUBSTITUTE($B3369,CHAR(160)," ")),'Catalog'!$C:$C,0)),""))))</f>
        <v>4419006</v>
      </c>
      <c r="H3369" s="8" t="str">
        <f aca="false">IFERROR(INDEX('TRANS'!$C:$C,MATCH($B3369,'TRANS'!$A:$A,0)),IFERROR(INDEX('Catalog'!$B:$B,MATCH($G3369,'Catalog'!$A:$A,0)),$B3369))</f>
        <v>PD340-קוצץ ציפורניים</v>
      </c>
      <c r="I3369" s="8" t="str">
        <f aca="false">IF($G3369="","Unmatched","Matched")</f>
        <v>Matched</v>
      </c>
    </row>
    <row r="3370" customFormat="false" ht="15" hidden="false" customHeight="false" outlineLevel="0" collapsed="false">
      <c r="A3370" s="8" t="s">
        <v>1056</v>
      </c>
      <c r="B3370" s="8" t="s">
        <v>289</v>
      </c>
      <c r="C3370" s="19" t="n">
        <v>90</v>
      </c>
      <c r="D3370" s="19" t="n">
        <v>1369.04</v>
      </c>
      <c r="E3370" s="19" t="n">
        <v>120</v>
      </c>
      <c r="F3370" s="19" t="n">
        <v>1612.97</v>
      </c>
      <c r="G3370" s="8" t="n">
        <f aca="false">IFERROR(INDEX('TRANS'!$B:$B,MATCH($B3370,'TRANS'!$A:$A,0)),IFERROR(INDEX('TRANS'!$B:$B,MATCH(TRIM(SUBSTITUTE($B3370,CHAR(160)," ")),'TRANS'!$D:$D,0)),IFERROR(INDEX('Catalog'!$A:$A,MATCH($B3370,'Catalog'!$B:$B,0)),IFERROR(INDEX('Catalog'!$A:$A,MATCH(TRIM(SUBSTITUTE($B3370,CHAR(160)," ")),'Catalog'!$C:$C,0)),""))))</f>
        <v>4417000</v>
      </c>
      <c r="H3370" s="8" t="str">
        <f aca="false">IFERROR(INDEX('TRANS'!$C:$C,MATCH($B3370,'TRANS'!$A:$A,0)),IFERROR(INDEX('Catalog'!$B:$B,MATCH($G3370,'Catalog'!$A:$A,0)),$B3370))</f>
        <v>PD342-פומפיה להסרת עור קשה</v>
      </c>
      <c r="I3370" s="8" t="str">
        <f aca="false">IF($G3370="","Unmatched","Matched")</f>
        <v>Matched</v>
      </c>
    </row>
    <row r="3371" customFormat="false" ht="15" hidden="false" customHeight="false" outlineLevel="0" collapsed="false">
      <c r="A3371" s="8" t="s">
        <v>1056</v>
      </c>
      <c r="B3371" s="8" t="s">
        <v>290</v>
      </c>
      <c r="C3371" s="19" t="n">
        <v>4400</v>
      </c>
      <c r="D3371" s="19" t="n">
        <v>20662.34</v>
      </c>
      <c r="E3371" s="19" t="n">
        <v>5700</v>
      </c>
      <c r="F3371" s="19" t="n">
        <v>24290.34</v>
      </c>
      <c r="G3371" s="8" t="n">
        <f aca="false">IFERROR(INDEX('TRANS'!$B:$B,MATCH($B3371,'TRANS'!$A:$A,0)),IFERROR(INDEX('TRANS'!$B:$B,MATCH(TRIM(SUBSTITUTE($B3371,CHAR(160)," ")),'TRANS'!$D:$D,0)),IFERROR(INDEX('Catalog'!$A:$A,MATCH($B3371,'Catalog'!$B:$B,0)),IFERROR(INDEX('Catalog'!$A:$A,MATCH(TRIM(SUBSTITUTE($B3371,CHAR(160)," ")),'Catalog'!$C:$C,0)),""))))</f>
        <v>4401002</v>
      </c>
      <c r="H3371" s="8" t="str">
        <f aca="false">IFERROR(INDEX('TRANS'!$C:$C,MATCH($B3371,'TRANS'!$A:$A,0)),IFERROR(INDEX('Catalog'!$B:$B,MATCH($G3371,'Catalog'!$A:$A,0)),$B3371))</f>
        <v>PD 344-אבן טבעית להסרת עור קשה</v>
      </c>
      <c r="I3371" s="8" t="str">
        <f aca="false">IF($G3371="","Unmatched","Matched")</f>
        <v>Matched</v>
      </c>
    </row>
    <row r="3372" customFormat="false" ht="15" hidden="false" customHeight="false" outlineLevel="0" collapsed="false">
      <c r="A3372" s="8" t="s">
        <v>1056</v>
      </c>
      <c r="B3372" s="8" t="s">
        <v>529</v>
      </c>
      <c r="C3372" s="19" t="n">
        <v>7</v>
      </c>
      <c r="D3372" s="19" t="n">
        <v>186.01</v>
      </c>
      <c r="E3372" s="19" t="n">
        <v>6</v>
      </c>
      <c r="F3372" s="19" t="n">
        <v>154.54</v>
      </c>
      <c r="G3372" s="8" t="n">
        <f aca="false">IFERROR(INDEX('TRANS'!$B:$B,MATCH($B3372,'TRANS'!$A:$A,0)),IFERROR(INDEX('TRANS'!$B:$B,MATCH(TRIM(SUBSTITUTE($B3372,CHAR(160)," ")),'TRANS'!$D:$D,0)),IFERROR(INDEX('Catalog'!$A:$A,MATCH($B3372,'Catalog'!$B:$B,0)),IFERROR(INDEX('Catalog'!$A:$A,MATCH(TRIM(SUBSTITUTE($B3372,CHAR(160)," ")),'Catalog'!$C:$C,0)),""))))</f>
        <v>4408270</v>
      </c>
      <c r="H3372" s="8" t="str">
        <f aca="false">IFERROR(INDEX('TRANS'!$C:$C,MATCH($B3372,'TRANS'!$A:$A,0)),IFERROR(INDEX('Catalog'!$B:$B,MATCH($G3372,'Catalog'!$A:$A,0)),$B3372))</f>
        <v>ST11  חגורת בטן</v>
      </c>
      <c r="I3372" s="8" t="str">
        <f aca="false">IF($G3372="","Unmatched","Matched")</f>
        <v>Matched</v>
      </c>
    </row>
    <row r="3373" customFormat="false" ht="15" hidden="false" customHeight="false" outlineLevel="0" collapsed="false">
      <c r="A3373" s="8" t="s">
        <v>1056</v>
      </c>
      <c r="B3373" s="8" t="s">
        <v>531</v>
      </c>
      <c r="C3373" s="19" t="n">
        <v>190</v>
      </c>
      <c r="D3373" s="19" t="n">
        <v>2727.88</v>
      </c>
      <c r="E3373" s="19" t="n">
        <v>150</v>
      </c>
      <c r="F3373" s="19" t="n">
        <v>1935.43</v>
      </c>
      <c r="G3373" s="8" t="n">
        <f aca="false">IFERROR(INDEX('TRANS'!$B:$B,MATCH($B3373,'TRANS'!$A:$A,0)),IFERROR(INDEX('TRANS'!$B:$B,MATCH(TRIM(SUBSTITUTE($B3373,CHAR(160)," ")),'TRANS'!$D:$D,0)),IFERROR(INDEX('Catalog'!$A:$A,MATCH($B3373,'Catalog'!$B:$B,0)),IFERROR(INDEX('Catalog'!$A:$A,MATCH(TRIM(SUBSTITUTE($B3373,CHAR(160)," ")),'Catalog'!$C:$C,0)),""))))</f>
        <v>4408267</v>
      </c>
      <c r="H3373" s="8" t="str">
        <f aca="false">IFERROR(INDEX('TRANS'!$C:$C,MATCH($B3373,'TRANS'!$A:$A,0)),IFERROR(INDEX('Catalog'!$B:$B,MATCH($G3373,'Catalog'!$A:$A,0)),$B3373))</f>
        <v>ST25 חבק שורש לכף היד</v>
      </c>
      <c r="I3373" s="8" t="str">
        <f aca="false">IF($G3373="","Unmatched","Matched")</f>
        <v>Matched</v>
      </c>
    </row>
    <row r="3374" customFormat="false" ht="15" hidden="false" customHeight="false" outlineLevel="0" collapsed="false">
      <c r="A3374" s="8" t="s">
        <v>1056</v>
      </c>
      <c r="B3374" s="8" t="s">
        <v>532</v>
      </c>
      <c r="C3374" s="19" t="n">
        <v>10</v>
      </c>
      <c r="D3374" s="19" t="n">
        <v>183.25</v>
      </c>
      <c r="E3374" s="19" t="n">
        <v>20</v>
      </c>
      <c r="F3374" s="19" t="n">
        <v>342.22</v>
      </c>
      <c r="G3374" s="8" t="str">
        <f aca="false">IFERROR(INDEX('TRANS'!$B:$B,MATCH($B3374,'TRANS'!$A:$A,0)),IFERROR(INDEX('TRANS'!$B:$B,MATCH(TRIM(SUBSTITUTE($B3374,CHAR(160)," ")),'TRANS'!$D:$D,0)),IFERROR(INDEX('Catalog'!$A:$A,MATCH($B3374,'Catalog'!$B:$B,0)),IFERROR(INDEX('Catalog'!$A:$A,MATCH(TRIM(SUBSTITUTE($B3374,CHAR(160)," ")),'Catalog'!$C:$C,0)),""))))</f>
        <v/>
      </c>
      <c r="H3374" s="8" t="str">
        <f aca="false">IFERROR(INDEX('TRANS'!$C:$C,MATCH($B3374,'TRANS'!$A:$A,0)),IFERROR(INDEX('Catalog'!$B:$B,MATCH($G3374,'Catalog'!$A:$A,0)),$B3374))</f>
        <v>ST27L 0</v>
      </c>
      <c r="I3374" s="8" t="str">
        <f aca="false">IF($G3374="","Unmatched","Matched")</f>
        <v>Unmatched</v>
      </c>
    </row>
    <row r="3375" customFormat="false" ht="15" hidden="false" customHeight="false" outlineLevel="0" collapsed="false">
      <c r="A3375" s="8" t="s">
        <v>1056</v>
      </c>
      <c r="B3375" s="8" t="s">
        <v>533</v>
      </c>
      <c r="C3375" s="19" t="n">
        <v>10</v>
      </c>
      <c r="D3375" s="19" t="n">
        <v>183.25</v>
      </c>
      <c r="E3375" s="19" t="n">
        <v>20</v>
      </c>
      <c r="F3375" s="19" t="n">
        <v>342.22</v>
      </c>
      <c r="G3375" s="8" t="str">
        <f aca="false">IFERROR(INDEX('TRANS'!$B:$B,MATCH($B3375,'TRANS'!$A:$A,0)),IFERROR(INDEX('TRANS'!$B:$B,MATCH(TRIM(SUBSTITUTE($B3375,CHAR(160)," ")),'TRANS'!$D:$D,0)),IFERROR(INDEX('Catalog'!$A:$A,MATCH($B3375,'Catalog'!$B:$B,0)),IFERROR(INDEX('Catalog'!$A:$A,MATCH(TRIM(SUBSTITUTE($B3375,CHAR(160)," ")),'Catalog'!$C:$C,0)),""))))</f>
        <v/>
      </c>
      <c r="H3375" s="8" t="str">
        <f aca="false">IFERROR(INDEX('TRANS'!$C:$C,MATCH($B3375,'TRANS'!$A:$A,0)),IFERROR(INDEX('Catalog'!$B:$B,MATCH($G3375,'Catalog'!$A:$A,0)),$B3375))</f>
        <v>ST27R 0</v>
      </c>
      <c r="I3375" s="8" t="str">
        <f aca="false">IF($G3375="","Unmatched","Matched")</f>
        <v>Unmatched</v>
      </c>
    </row>
    <row r="3376" customFormat="false" ht="15" hidden="false" customHeight="false" outlineLevel="0" collapsed="false">
      <c r="A3376" s="8" t="s">
        <v>1056</v>
      </c>
      <c r="B3376" s="8" t="s">
        <v>535</v>
      </c>
      <c r="C3376" s="19" t="n">
        <v>60</v>
      </c>
      <c r="D3376" s="19" t="n">
        <v>1061.29</v>
      </c>
      <c r="E3376" s="19" t="n">
        <v>0</v>
      </c>
      <c r="F3376" s="19" t="n">
        <v>0</v>
      </c>
      <c r="G3376" s="8" t="n">
        <f aca="false">IFERROR(INDEX('TRANS'!$B:$B,MATCH($B3376,'TRANS'!$A:$A,0)),IFERROR(INDEX('TRANS'!$B:$B,MATCH(TRIM(SUBSTITUTE($B3376,CHAR(160)," ")),'TRANS'!$D:$D,0)),IFERROR(INDEX('Catalog'!$A:$A,MATCH($B3376,'Catalog'!$B:$B,0)),IFERROR(INDEX('Catalog'!$A:$A,MATCH(TRIM(SUBSTITUTE($B3376,CHAR(160)," ")),'Catalog'!$C:$C,0)),""))))</f>
        <v>4408269</v>
      </c>
      <c r="H3376" s="8" t="str">
        <f aca="false">IFERROR(INDEX('TRANS'!$C:$C,MATCH($B3376,'TRANS'!$A:$A,0)),IFERROR(INDEX('Catalog'!$B:$B,MATCH($G3376,'Catalog'!$A:$A,0)),$B3376))</f>
        <v>ST37 חבק לקרסול</v>
      </c>
      <c r="I3376" s="8" t="str">
        <f aca="false">IF($G3376="","Unmatched","Matched")</f>
        <v>Matched</v>
      </c>
    </row>
    <row r="3377" customFormat="false" ht="15" hidden="false" customHeight="false" outlineLevel="0" collapsed="false">
      <c r="A3377" s="8" t="s">
        <v>1056</v>
      </c>
      <c r="B3377" s="8" t="s">
        <v>569</v>
      </c>
      <c r="C3377" s="19" t="n">
        <v>110</v>
      </c>
      <c r="D3377" s="19" t="n">
        <v>2049.75</v>
      </c>
      <c r="E3377" s="19" t="n">
        <v>80</v>
      </c>
      <c r="F3377" s="19" t="n">
        <v>1431.27</v>
      </c>
      <c r="G3377" s="8" t="str">
        <f aca="false">IFERROR(INDEX('TRANS'!$B:$B,MATCH($B3377,'TRANS'!$A:$A,0)),IFERROR(INDEX('TRANS'!$B:$B,MATCH(TRIM(SUBSTITUTE($B3377,CHAR(160)," ")),'TRANS'!$D:$D,0)),IFERROR(INDEX('Catalog'!$A:$A,MATCH($B3377,'Catalog'!$B:$B,0)),IFERROR(INDEX('Catalog'!$A:$A,MATCH(TRIM(SUBSTITUTE($B3377,CHAR(160)," ")),'Catalog'!$C:$C,0)),""))))</f>
        <v/>
      </c>
      <c r="H3377" s="8" t="str">
        <f aca="false">IFERROR(INDEX('TRANS'!$C:$C,MATCH($B3377,'TRANS'!$A:$A,0)),IFERROR(INDEX('Catalog'!$B:$B,MATCH($G3377,'Catalog'!$A:$A,0)),$B3377))</f>
        <v>ST45X 0</v>
      </c>
      <c r="I3377" s="8" t="str">
        <f aca="false">IF($G3377="","Unmatched","Matched")</f>
        <v>Unmatched</v>
      </c>
    </row>
    <row r="3378" customFormat="false" ht="15" hidden="false" customHeight="false" outlineLevel="0" collapsed="false">
      <c r="A3378" s="8" t="s">
        <v>1056</v>
      </c>
      <c r="B3378" s="8" t="s">
        <v>1055</v>
      </c>
      <c r="C3378" s="19" t="n">
        <v>20</v>
      </c>
      <c r="D3378" s="19" t="n">
        <v>412.16</v>
      </c>
      <c r="E3378" s="19" t="n">
        <v>50</v>
      </c>
      <c r="F3378" s="19" t="n">
        <v>981.53</v>
      </c>
      <c r="G3378" s="8" t="str">
        <f aca="false">IFERROR(INDEX('TRANS'!$B:$B,MATCH($B3378,'TRANS'!$A:$A,0)),IFERROR(INDEX('TRANS'!$B:$B,MATCH(TRIM(SUBSTITUTE($B3378,CHAR(160)," ")),'TRANS'!$D:$D,0)),IFERROR(INDEX('Catalog'!$A:$A,MATCH($B3378,'Catalog'!$B:$B,0)),IFERROR(INDEX('Catalog'!$A:$A,MATCH(TRIM(SUBSTITUTE($B3378,CHAR(160)," ")),'Catalog'!$C:$C,0)),""))))</f>
        <v/>
      </c>
      <c r="H3378" s="8" t="str">
        <f aca="false">IFERROR(INDEX('TRANS'!$C:$C,MATCH($B3378,'TRANS'!$A:$A,0)),IFERROR(INDEX('Catalog'!$B:$B,MATCH($G3378,'Catalog'!$A:$A,0)),$B3378))</f>
        <v>ST95 0</v>
      </c>
      <c r="I3378" s="8" t="str">
        <f aca="false">IF($G3378="","Unmatched","Matched")</f>
        <v>Unmatched</v>
      </c>
    </row>
    <row r="3379" customFormat="false" ht="15" hidden="false" customHeight="false" outlineLevel="0" collapsed="false">
      <c r="A3379" s="8" t="s">
        <v>1057</v>
      </c>
      <c r="B3379" s="8" t="s">
        <v>637</v>
      </c>
      <c r="C3379" s="19" t="n">
        <v>10</v>
      </c>
      <c r="D3379" s="19" t="n">
        <v>700.18</v>
      </c>
      <c r="E3379" s="19" t="n">
        <v>0</v>
      </c>
      <c r="F3379" s="19" t="n">
        <v>0</v>
      </c>
      <c r="G3379" s="8" t="n">
        <f aca="false">IFERROR(INDEX('TRANS'!$B:$B,MATCH($B3379,'TRANS'!$A:$A,0)),IFERROR(INDEX('TRANS'!$B:$B,MATCH(TRIM(SUBSTITUTE($B3379,CHAR(160)," ")),'TRANS'!$D:$D,0)),IFERROR(INDEX('Catalog'!$A:$A,MATCH($B3379,'Catalog'!$B:$B,0)),IFERROR(INDEX('Catalog'!$A:$A,MATCH(TRIM(SUBSTITUTE($B3379,CHAR(160)," ")),'Catalog'!$C:$C,0)),""))))</f>
        <v>4408245</v>
      </c>
      <c r="H3379" s="8" t="str">
        <f aca="false">IFERROR(INDEX('TRANS'!$C:$C,MATCH($B3379,'TRANS'!$A:$A,0)),IFERROR(INDEX('Catalog'!$B:$B,MATCH($G3379,'Catalog'!$A:$A,0)),$B3379))</f>
        <v>077A   XXL חגורת גב עם חיזוקים</v>
      </c>
      <c r="I3379" s="8" t="str">
        <f aca="false">IF($G3379="","Unmatched","Matched")</f>
        <v>Matched</v>
      </c>
    </row>
    <row r="3380" customFormat="false" ht="15" hidden="false" customHeight="false" outlineLevel="0" collapsed="false">
      <c r="A3380" s="8" t="s">
        <v>1057</v>
      </c>
      <c r="B3380" s="8" t="s">
        <v>573</v>
      </c>
      <c r="C3380" s="19" t="n">
        <v>30</v>
      </c>
      <c r="D3380" s="19" t="n">
        <v>2100.53</v>
      </c>
      <c r="E3380" s="19" t="n">
        <v>0</v>
      </c>
      <c r="F3380" s="19" t="n">
        <v>0</v>
      </c>
      <c r="G3380" s="8" t="n">
        <f aca="false">IFERROR(INDEX('TRANS'!$B:$B,MATCH($B3380,'TRANS'!$A:$A,0)),IFERROR(INDEX('TRANS'!$B:$B,MATCH(TRIM(SUBSTITUTE($B3380,CHAR(160)," ")),'TRANS'!$D:$D,0)),IFERROR(INDEX('Catalog'!$A:$A,MATCH($B3380,'Catalog'!$B:$B,0)),IFERROR(INDEX('Catalog'!$A:$A,MATCH(TRIM(SUBSTITUTE($B3380,CHAR(160)," ")),'Catalog'!$C:$C,0)),""))))</f>
        <v>4408135</v>
      </c>
      <c r="H3380" s="8" t="str">
        <f aca="false">IFERROR(INDEX('TRANS'!$C:$C,MATCH($B3380,'TRANS'!$A:$A,0)),IFERROR(INDEX('Catalog'!$B:$B,MATCH($G3380,'Catalog'!$A:$A,0)),$B3380))</f>
        <v>077A L-XLחגורת גב</v>
      </c>
      <c r="I3380" s="8" t="str">
        <f aca="false">IF($G3380="","Unmatched","Matched")</f>
        <v>Matched</v>
      </c>
    </row>
    <row r="3381" customFormat="false" ht="15" hidden="false" customHeight="false" outlineLevel="0" collapsed="false">
      <c r="A3381" s="8" t="s">
        <v>1057</v>
      </c>
      <c r="B3381" s="8" t="s">
        <v>574</v>
      </c>
      <c r="C3381" s="19" t="n">
        <v>20</v>
      </c>
      <c r="D3381" s="19" t="n">
        <v>1400.36</v>
      </c>
      <c r="E3381" s="19" t="n">
        <v>0</v>
      </c>
      <c r="F3381" s="19" t="n">
        <v>0</v>
      </c>
      <c r="G3381" s="8" t="n">
        <f aca="false">IFERROR(INDEX('TRANS'!$B:$B,MATCH($B3381,'TRANS'!$A:$A,0)),IFERROR(INDEX('TRANS'!$B:$B,MATCH(TRIM(SUBSTITUTE($B3381,CHAR(160)," ")),'TRANS'!$D:$D,0)),IFERROR(INDEX('Catalog'!$A:$A,MATCH($B3381,'Catalog'!$B:$B,0)),IFERROR(INDEX('Catalog'!$A:$A,MATCH(TRIM(SUBSTITUTE($B3381,CHAR(160)," ")),'Catalog'!$C:$C,0)),""))))</f>
        <v>4408134</v>
      </c>
      <c r="H3381" s="8" t="str">
        <f aca="false">IFERROR(INDEX('TRANS'!$C:$C,MATCH($B3381,'TRANS'!$A:$A,0)),IFERROR(INDEX('Catalog'!$B:$B,MATCH($G3381,'Catalog'!$A:$A,0)),$B3381))</f>
        <v>077A S-M חגורת גב</v>
      </c>
      <c r="I3381" s="8" t="str">
        <f aca="false">IF($G3381="","Unmatched","Matched")</f>
        <v>Matched</v>
      </c>
    </row>
    <row r="3382" customFormat="false" ht="15" hidden="false" customHeight="false" outlineLevel="0" collapsed="false">
      <c r="A3382" s="8" t="s">
        <v>1057</v>
      </c>
      <c r="B3382" s="8" t="s">
        <v>335</v>
      </c>
      <c r="C3382" s="19" t="n">
        <v>20</v>
      </c>
      <c r="D3382" s="19" t="n">
        <v>1149.21</v>
      </c>
      <c r="E3382" s="19" t="n">
        <v>0</v>
      </c>
      <c r="F3382" s="19" t="n">
        <v>0</v>
      </c>
      <c r="G3382" s="8" t="n">
        <f aca="false">IFERROR(INDEX('TRANS'!$B:$B,MATCH($B3382,'TRANS'!$A:$A,0)),IFERROR(INDEX('TRANS'!$B:$B,MATCH(TRIM(SUBSTITUTE($B3382,CHAR(160)," ")),'TRANS'!$D:$D,0)),IFERROR(INDEX('Catalog'!$A:$A,MATCH($B3382,'Catalog'!$B:$B,0)),IFERROR(INDEX('Catalog'!$A:$A,MATCH(TRIM(SUBSTITUTE($B3382,CHAR(160)," ")),'Catalog'!$C:$C,0)),""))))</f>
        <v>4408221</v>
      </c>
      <c r="H3382" s="8" t="str">
        <f aca="false">IFERROR(INDEX('TRANS'!$C:$C,MATCH($B3382,'TRANS'!$A:$A,0)),IFERROR(INDEX('Catalog'!$B:$B,MATCH($G3382,'Catalog'!$A:$A,0)),$B3382))</f>
        <v>078G-L חגורת גב אפורה</v>
      </c>
      <c r="I3382" s="8" t="str">
        <f aca="false">IF($G3382="","Unmatched","Matched")</f>
        <v>Matched</v>
      </c>
    </row>
    <row r="3383" customFormat="false" ht="15" hidden="false" customHeight="false" outlineLevel="0" collapsed="false">
      <c r="A3383" s="8" t="s">
        <v>1057</v>
      </c>
      <c r="B3383" s="8" t="s">
        <v>62</v>
      </c>
      <c r="C3383" s="19" t="n">
        <v>15</v>
      </c>
      <c r="D3383" s="19" t="n">
        <v>861.91</v>
      </c>
      <c r="E3383" s="19" t="n">
        <v>0</v>
      </c>
      <c r="F3383" s="19" t="n">
        <v>0</v>
      </c>
      <c r="G3383" s="8" t="n">
        <f aca="false">IFERROR(INDEX('TRANS'!$B:$B,MATCH($B3383,'TRANS'!$A:$A,0)),IFERROR(INDEX('TRANS'!$B:$B,MATCH(TRIM(SUBSTITUTE($B3383,CHAR(160)," ")),'TRANS'!$D:$D,0)),IFERROR(INDEX('Catalog'!$A:$A,MATCH($B3383,'Catalog'!$B:$B,0)),IFERROR(INDEX('Catalog'!$A:$A,MATCH(TRIM(SUBSTITUTE($B3383,CHAR(160)," ")),'Catalog'!$C:$C,0)),""))))</f>
        <v>4408220</v>
      </c>
      <c r="H3383" s="8" t="str">
        <f aca="false">IFERROR(INDEX('TRANS'!$C:$C,MATCH($B3383,'TRANS'!$A:$A,0)),IFERROR(INDEX('Catalog'!$B:$B,MATCH($G3383,'Catalog'!$A:$A,0)),$B3383))</f>
        <v>078G-M חגורת גב אפורה</v>
      </c>
      <c r="I3383" s="8" t="str">
        <f aca="false">IF($G3383="","Unmatched","Matched")</f>
        <v>Matched</v>
      </c>
    </row>
    <row r="3384" customFormat="false" ht="15" hidden="false" customHeight="false" outlineLevel="0" collapsed="false">
      <c r="A3384" s="8" t="s">
        <v>1057</v>
      </c>
      <c r="B3384" s="8" t="s">
        <v>685</v>
      </c>
      <c r="C3384" s="19" t="n">
        <v>10</v>
      </c>
      <c r="D3384" s="19" t="n">
        <v>574.61</v>
      </c>
      <c r="E3384" s="19" t="n">
        <v>0</v>
      </c>
      <c r="F3384" s="19" t="n">
        <v>0</v>
      </c>
      <c r="G3384" s="8" t="n">
        <f aca="false">IFERROR(INDEX('TRANS'!$B:$B,MATCH($B3384,'TRANS'!$A:$A,0)),IFERROR(INDEX('TRANS'!$B:$B,MATCH(TRIM(SUBSTITUTE($B3384,CHAR(160)," ")),'TRANS'!$D:$D,0)),IFERROR(INDEX('Catalog'!$A:$A,MATCH($B3384,'Catalog'!$B:$B,0)),IFERROR(INDEX('Catalog'!$A:$A,MATCH(TRIM(SUBSTITUTE($B3384,CHAR(160)," ")),'Catalog'!$C:$C,0)),""))))</f>
        <v>4408219</v>
      </c>
      <c r="H3384" s="8" t="str">
        <f aca="false">IFERROR(INDEX('TRANS'!$C:$C,MATCH($B3384,'TRANS'!$A:$A,0)),IFERROR(INDEX('Catalog'!$B:$B,MATCH($G3384,'Catalog'!$A:$A,0)),$B3384))</f>
        <v>078G-S חגורת גב אפורה</v>
      </c>
      <c r="I3384" s="8" t="str">
        <f aca="false">IF($G3384="","Unmatched","Matched")</f>
        <v>Matched</v>
      </c>
    </row>
    <row r="3385" customFormat="false" ht="15" hidden="false" customHeight="false" outlineLevel="0" collapsed="false">
      <c r="A3385" s="8" t="s">
        <v>1057</v>
      </c>
      <c r="B3385" s="8" t="s">
        <v>336</v>
      </c>
      <c r="C3385" s="19" t="n">
        <v>20</v>
      </c>
      <c r="D3385" s="19" t="n">
        <v>1149.21</v>
      </c>
      <c r="E3385" s="19" t="n">
        <v>0</v>
      </c>
      <c r="F3385" s="19" t="n">
        <v>0</v>
      </c>
      <c r="G3385" s="8" t="n">
        <f aca="false">IFERROR(INDEX('TRANS'!$B:$B,MATCH($B3385,'TRANS'!$A:$A,0)),IFERROR(INDEX('TRANS'!$B:$B,MATCH(TRIM(SUBSTITUTE($B3385,CHAR(160)," ")),'TRANS'!$D:$D,0)),IFERROR(INDEX('Catalog'!$A:$A,MATCH($B3385,'Catalog'!$B:$B,0)),IFERROR(INDEX('Catalog'!$A:$A,MATCH(TRIM(SUBSTITUTE($B3385,CHAR(160)," ")),'Catalog'!$C:$C,0)),""))))</f>
        <v>4408222</v>
      </c>
      <c r="H3385" s="8" t="str">
        <f aca="false">IFERROR(INDEX('TRANS'!$C:$C,MATCH($B3385,'TRANS'!$A:$A,0)),IFERROR(INDEX('Catalog'!$B:$B,MATCH($G3385,'Catalog'!$A:$A,0)),$B3385))</f>
        <v>078G-XLחגורת גב אפורה</v>
      </c>
      <c r="I3385" s="8" t="str">
        <f aca="false">IF($G3385="","Unmatched","Matched")</f>
        <v>Matched</v>
      </c>
    </row>
    <row r="3386" customFormat="false" ht="15" hidden="false" customHeight="false" outlineLevel="0" collapsed="false">
      <c r="A3386" s="8" t="s">
        <v>1057</v>
      </c>
      <c r="B3386" s="8" t="s">
        <v>337</v>
      </c>
      <c r="C3386" s="19" t="n">
        <v>10</v>
      </c>
      <c r="D3386" s="19" t="n">
        <v>574.61</v>
      </c>
      <c r="E3386" s="19" t="n">
        <v>0</v>
      </c>
      <c r="F3386" s="19" t="n">
        <v>0</v>
      </c>
      <c r="G3386" s="8" t="n">
        <f aca="false">IFERROR(INDEX('TRANS'!$B:$B,MATCH($B3386,'TRANS'!$A:$A,0)),IFERROR(INDEX('TRANS'!$B:$B,MATCH(TRIM(SUBSTITUTE($B3386,CHAR(160)," ")),'TRANS'!$D:$D,0)),IFERROR(INDEX('Catalog'!$A:$A,MATCH($B3386,'Catalog'!$B:$B,0)),IFERROR(INDEX('Catalog'!$A:$A,MATCH(TRIM(SUBSTITUTE($B3386,CHAR(160)," ")),'Catalog'!$C:$C,0)),""))))</f>
        <v>4408223</v>
      </c>
      <c r="H3386" s="8" t="str">
        <f aca="false">IFERROR(INDEX('TRANS'!$C:$C,MATCH($B3386,'TRANS'!$A:$A,0)),IFERROR(INDEX('Catalog'!$B:$B,MATCH($G3386,'Catalog'!$A:$A,0)),$B3386))</f>
        <v>078G-XXLחגורת גב אפורה</v>
      </c>
      <c r="I3386" s="8" t="str">
        <f aca="false">IF($G3386="","Unmatched","Matched")</f>
        <v>Matched</v>
      </c>
    </row>
    <row r="3387" customFormat="false" ht="15" hidden="false" customHeight="false" outlineLevel="0" collapsed="false">
      <c r="A3387" s="8" t="s">
        <v>1057</v>
      </c>
      <c r="B3387" s="8" t="s">
        <v>866</v>
      </c>
      <c r="C3387" s="19" t="n">
        <v>10</v>
      </c>
      <c r="D3387" s="19" t="n">
        <v>974.16</v>
      </c>
      <c r="E3387" s="19" t="n">
        <v>0</v>
      </c>
      <c r="F3387" s="19" t="n">
        <v>0</v>
      </c>
      <c r="G3387" s="8" t="str">
        <f aca="false">IFERROR(INDEX('TRANS'!$B:$B,MATCH($B3387,'TRANS'!$A:$A,0)),IFERROR(INDEX('TRANS'!$B:$B,MATCH(TRIM(SUBSTITUTE($B3387,CHAR(160)," ")),'TRANS'!$D:$D,0)),IFERROR(INDEX('Catalog'!$A:$A,MATCH($B3387,'Catalog'!$B:$B,0)),IFERROR(INDEX('Catalog'!$A:$A,MATCH(TRIM(SUBSTITUTE($B3387,CHAR(160)," ")),'Catalog'!$C:$C,0)),""))))</f>
        <v/>
      </c>
      <c r="H3387" s="8" t="str">
        <f aca="false">IFERROR(INDEX('TRANS'!$C:$C,MATCH($B3387,'TRANS'!$A:$A,0)),IFERROR(INDEX('Catalog'!$B:$B,MATCH($G3387,'Catalog'!$A:$A,0)),$B3387))</f>
        <v>07UB XXL</v>
      </c>
      <c r="I3387" s="8" t="str">
        <f aca="false">IF($G3387="","Unmatched","Matched")</f>
        <v>Unmatched</v>
      </c>
    </row>
    <row r="3388" customFormat="false" ht="15" hidden="false" customHeight="false" outlineLevel="0" collapsed="false">
      <c r="A3388" s="8" t="s">
        <v>1057</v>
      </c>
      <c r="B3388" s="8" t="s">
        <v>867</v>
      </c>
      <c r="C3388" s="19" t="n">
        <v>20</v>
      </c>
      <c r="D3388" s="19" t="n">
        <v>1948.33</v>
      </c>
      <c r="E3388" s="19" t="n">
        <v>0</v>
      </c>
      <c r="F3388" s="19" t="n">
        <v>0</v>
      </c>
      <c r="G3388" s="8" t="str">
        <f aca="false">IFERROR(INDEX('TRANS'!$B:$B,MATCH($B3388,'TRANS'!$A:$A,0)),IFERROR(INDEX('TRANS'!$B:$B,MATCH(TRIM(SUBSTITUTE($B3388,CHAR(160)," ")),'TRANS'!$D:$D,0)),IFERROR(INDEX('Catalog'!$A:$A,MATCH($B3388,'Catalog'!$B:$B,0)),IFERROR(INDEX('Catalog'!$A:$A,MATCH(TRIM(SUBSTITUTE($B3388,CHAR(160)," ")),'Catalog'!$C:$C,0)),""))))</f>
        <v/>
      </c>
      <c r="H3388" s="8" t="str">
        <f aca="false">IFERROR(INDEX('TRANS'!$C:$C,MATCH($B3388,'TRANS'!$A:$A,0)),IFERROR(INDEX('Catalog'!$B:$B,MATCH($G3388,'Catalog'!$A:$A,0)),$B3388))</f>
        <v>07UB-L-XL</v>
      </c>
      <c r="I3388" s="8" t="str">
        <f aca="false">IF($G3388="","Unmatched","Matched")</f>
        <v>Unmatched</v>
      </c>
    </row>
    <row r="3389" customFormat="false" ht="15" hidden="false" customHeight="false" outlineLevel="0" collapsed="false">
      <c r="A3389" s="8" t="s">
        <v>1057</v>
      </c>
      <c r="B3389" s="8" t="s">
        <v>548</v>
      </c>
      <c r="C3389" s="19" t="n">
        <v>15</v>
      </c>
      <c r="D3389" s="19" t="n">
        <v>1461.22</v>
      </c>
      <c r="E3389" s="19" t="n">
        <v>0</v>
      </c>
      <c r="F3389" s="19" t="n">
        <v>0</v>
      </c>
      <c r="G3389" s="8" t="str">
        <f aca="false">IFERROR(INDEX('TRANS'!$B:$B,MATCH($B3389,'TRANS'!$A:$A,0)),IFERROR(INDEX('TRANS'!$B:$B,MATCH(TRIM(SUBSTITUTE($B3389,CHAR(160)," ")),'TRANS'!$D:$D,0)),IFERROR(INDEX('Catalog'!$A:$A,MATCH($B3389,'Catalog'!$B:$B,0)),IFERROR(INDEX('Catalog'!$A:$A,MATCH(TRIM(SUBSTITUTE($B3389,CHAR(160)," ")),'Catalog'!$C:$C,0)),""))))</f>
        <v/>
      </c>
      <c r="H3389" s="8" t="str">
        <f aca="false">IFERROR(INDEX('TRANS'!$C:$C,MATCH($B3389,'TRANS'!$A:$A,0)),IFERROR(INDEX('Catalog'!$B:$B,MATCH($G3389,'Catalog'!$A:$A,0)),$B3389))</f>
        <v>07UB-S-M</v>
      </c>
      <c r="I3389" s="8" t="str">
        <f aca="false">IF($G3389="","Unmatched","Matched")</f>
        <v>Unmatched</v>
      </c>
    </row>
    <row r="3390" customFormat="false" ht="15" hidden="false" customHeight="false" outlineLevel="0" collapsed="false">
      <c r="A3390" s="8" t="s">
        <v>1057</v>
      </c>
      <c r="B3390" s="8" t="s">
        <v>72</v>
      </c>
      <c r="C3390" s="19" t="n">
        <v>20</v>
      </c>
      <c r="D3390" s="19" t="n">
        <v>943.72</v>
      </c>
      <c r="E3390" s="19" t="n">
        <v>0</v>
      </c>
      <c r="F3390" s="19" t="n">
        <v>0</v>
      </c>
      <c r="G3390" s="8" t="n">
        <f aca="false">IFERROR(INDEX('TRANS'!$B:$B,MATCH($B3390,'TRANS'!$A:$A,0)),IFERROR(INDEX('TRANS'!$B:$B,MATCH(TRIM(SUBSTITUTE($B3390,CHAR(160)," ")),'TRANS'!$D:$D,0)),IFERROR(INDEX('Catalog'!$A:$A,MATCH($B3390,'Catalog'!$B:$B,0)),IFERROR(INDEX('Catalog'!$A:$A,MATCH(TRIM(SUBSTITUTE($B3390,CHAR(160)," ")),'Catalog'!$C:$C,0)),""))))</f>
        <v>4408115</v>
      </c>
      <c r="H3390" s="8" t="str">
        <f aca="false">IFERROR(INDEX('TRANS'!$C:$C,MATCH($B3390,'TRANS'!$A:$A,0)),IFERROR(INDEX('Catalog'!$B:$B,MATCH($G3390,'Catalog'!$A:$A,0)),$B3390))</f>
        <v>11EU L ח.בטן לאחר ניתוח</v>
      </c>
      <c r="I3390" s="8" t="str">
        <f aca="false">IF($G3390="","Unmatched","Matched")</f>
        <v>Matched</v>
      </c>
    </row>
    <row r="3391" customFormat="false" ht="15" hidden="false" customHeight="false" outlineLevel="0" collapsed="false">
      <c r="A3391" s="8" t="s">
        <v>1057</v>
      </c>
      <c r="B3391" s="8" t="s">
        <v>73</v>
      </c>
      <c r="C3391" s="19" t="n">
        <v>10</v>
      </c>
      <c r="D3391" s="19" t="n">
        <v>471.86</v>
      </c>
      <c r="E3391" s="19" t="n">
        <v>0</v>
      </c>
      <c r="F3391" s="19" t="n">
        <v>0</v>
      </c>
      <c r="G3391" s="8" t="n">
        <f aca="false">IFERROR(INDEX('TRANS'!$B:$B,MATCH($B3391,'TRANS'!$A:$A,0)),IFERROR(INDEX('TRANS'!$B:$B,MATCH(TRIM(SUBSTITUTE($B3391,CHAR(160)," ")),'TRANS'!$D:$D,0)),IFERROR(INDEX('Catalog'!$A:$A,MATCH($B3391,'Catalog'!$B:$B,0)),IFERROR(INDEX('Catalog'!$A:$A,MATCH(TRIM(SUBSTITUTE($B3391,CHAR(160)," ")),'Catalog'!$C:$C,0)),""))))</f>
        <v>4408114</v>
      </c>
      <c r="H3391" s="8" t="str">
        <f aca="false">IFERROR(INDEX('TRANS'!$C:$C,MATCH($B3391,'TRANS'!$A:$A,0)),IFERROR(INDEX('Catalog'!$B:$B,MATCH($G3391,'Catalog'!$A:$A,0)),$B3391))</f>
        <v>11EU M ח.בטן לאחר ניתוח</v>
      </c>
      <c r="I3391" s="8" t="str">
        <f aca="false">IF($G3391="","Unmatched","Matched")</f>
        <v>Matched</v>
      </c>
    </row>
    <row r="3392" customFormat="false" ht="15" hidden="false" customHeight="false" outlineLevel="0" collapsed="false">
      <c r="A3392" s="8" t="s">
        <v>1057</v>
      </c>
      <c r="B3392" s="8" t="s">
        <v>74</v>
      </c>
      <c r="C3392" s="19" t="n">
        <v>5</v>
      </c>
      <c r="D3392" s="19" t="n">
        <v>235.93</v>
      </c>
      <c r="E3392" s="19" t="n">
        <v>0</v>
      </c>
      <c r="F3392" s="19" t="n">
        <v>0</v>
      </c>
      <c r="G3392" s="8" t="str">
        <f aca="false">IFERROR(INDEX('TRANS'!$B:$B,MATCH($B3392,'TRANS'!$A:$A,0)),IFERROR(INDEX('TRANS'!$B:$B,MATCH(TRIM(SUBSTITUTE($B3392,CHAR(160)," ")),'TRANS'!$D:$D,0)),IFERROR(INDEX('Catalog'!$A:$A,MATCH($B3392,'Catalog'!$B:$B,0)),IFERROR(INDEX('Catalog'!$A:$A,MATCH(TRIM(SUBSTITUTE($B3392,CHAR(160)," ")),'Catalog'!$C:$C,0)),""))))</f>
        <v/>
      </c>
      <c r="H3392" s="8" t="str">
        <f aca="false">IFERROR(INDEX('TRANS'!$C:$C,MATCH($B3392,'TRANS'!$A:$A,0)),IFERROR(INDEX('Catalog'!$B:$B,MATCH($G3392,'Catalog'!$A:$A,0)),$B3392))</f>
        <v>11EU S</v>
      </c>
      <c r="I3392" s="8" t="str">
        <f aca="false">IF($G3392="","Unmatched","Matched")</f>
        <v>Unmatched</v>
      </c>
    </row>
    <row r="3393" customFormat="false" ht="15" hidden="false" customHeight="false" outlineLevel="0" collapsed="false">
      <c r="A3393" s="8" t="s">
        <v>1057</v>
      </c>
      <c r="B3393" s="8" t="s">
        <v>341</v>
      </c>
      <c r="C3393" s="19" t="n">
        <v>20</v>
      </c>
      <c r="D3393" s="19" t="n">
        <v>943.72</v>
      </c>
      <c r="E3393" s="19" t="n">
        <v>0</v>
      </c>
      <c r="F3393" s="19" t="n">
        <v>0</v>
      </c>
      <c r="G3393" s="8" t="n">
        <f aca="false">IFERROR(INDEX('TRANS'!$B:$B,MATCH($B3393,'TRANS'!$A:$A,0)),IFERROR(INDEX('TRANS'!$B:$B,MATCH(TRIM(SUBSTITUTE($B3393,CHAR(160)," ")),'TRANS'!$D:$D,0)),IFERROR(INDEX('Catalog'!$A:$A,MATCH($B3393,'Catalog'!$B:$B,0)),IFERROR(INDEX('Catalog'!$A:$A,MATCH(TRIM(SUBSTITUTE($B3393,CHAR(160)," ")),'Catalog'!$C:$C,0)),""))))</f>
        <v>4408116</v>
      </c>
      <c r="H3393" s="8" t="str">
        <f aca="false">IFERROR(INDEX('TRANS'!$C:$C,MATCH($B3393,'TRANS'!$A:$A,0)),IFERROR(INDEX('Catalog'!$B:$B,MATCH($G3393,'Catalog'!$A:$A,0)),$B3393))</f>
        <v>11EU XLח.בטן לאחר ניתוח</v>
      </c>
      <c r="I3393" s="8" t="str">
        <f aca="false">IF($G3393="","Unmatched","Matched")</f>
        <v>Matched</v>
      </c>
    </row>
    <row r="3394" customFormat="false" ht="15" hidden="false" customHeight="false" outlineLevel="0" collapsed="false">
      <c r="A3394" s="8" t="s">
        <v>1057</v>
      </c>
      <c r="B3394" s="8" t="s">
        <v>459</v>
      </c>
      <c r="C3394" s="19" t="n">
        <v>15</v>
      </c>
      <c r="D3394" s="19" t="n">
        <v>707.79</v>
      </c>
      <c r="E3394" s="19" t="n">
        <v>0</v>
      </c>
      <c r="F3394" s="19" t="n">
        <v>0</v>
      </c>
      <c r="G3394" s="8" t="n">
        <f aca="false">IFERROR(INDEX('TRANS'!$B:$B,MATCH($B3394,'TRANS'!$A:$A,0)),IFERROR(INDEX('TRANS'!$B:$B,MATCH(TRIM(SUBSTITUTE($B3394,CHAR(160)," ")),'TRANS'!$D:$D,0)),IFERROR(INDEX('Catalog'!$A:$A,MATCH($B3394,'Catalog'!$B:$B,0)),IFERROR(INDEX('Catalog'!$A:$A,MATCH(TRIM(SUBSTITUTE($B3394,CHAR(160)," ")),'Catalog'!$C:$C,0)),""))))</f>
        <v>4408132</v>
      </c>
      <c r="H3394" s="8" t="str">
        <f aca="false">IFERROR(INDEX('TRANS'!$C:$C,MATCH($B3394,'TRANS'!$A:$A,0)),IFERROR(INDEX('Catalog'!$B:$B,MATCH($G3394,'Catalog'!$A:$A,0)),$B3394))</f>
        <v>11EU XXL חגורת בטןלאחר ניתוח</v>
      </c>
      <c r="I3394" s="8" t="str">
        <f aca="false">IF($G3394="","Unmatched","Matched")</f>
        <v>Matched</v>
      </c>
    </row>
    <row r="3395" customFormat="false" ht="15" hidden="false" customHeight="false" outlineLevel="0" collapsed="false">
      <c r="A3395" s="8" t="s">
        <v>1057</v>
      </c>
      <c r="B3395" s="8" t="s">
        <v>460</v>
      </c>
      <c r="C3395" s="19" t="n">
        <v>10</v>
      </c>
      <c r="D3395" s="19" t="n">
        <v>671.64</v>
      </c>
      <c r="E3395" s="19" t="n">
        <v>0</v>
      </c>
      <c r="F3395" s="19" t="n">
        <v>0</v>
      </c>
      <c r="G3395" s="8" t="n">
        <f aca="false">IFERROR(INDEX('TRANS'!$B:$B,MATCH($B3395,'TRANS'!$A:$A,0)),IFERROR(INDEX('TRANS'!$B:$B,MATCH(TRIM(SUBSTITUTE($B3395,CHAR(160)," ")),'TRANS'!$D:$D,0)),IFERROR(INDEX('Catalog'!$A:$A,MATCH($B3395,'Catalog'!$B:$B,0)),IFERROR(INDEX('Catalog'!$A:$A,MATCH(TRIM(SUBSTITUTE($B3395,CHAR(160)," ")),'Catalog'!$C:$C,0)),""))))</f>
        <v>4408261</v>
      </c>
      <c r="H3395" s="8" t="str">
        <f aca="false">IFERROR(INDEX('TRANS'!$C:$C,MATCH($B3395,'TRANS'!$A:$A,0)),IFERROR(INDEX('Catalog'!$B:$B,MATCH($G3395,'Catalog'!$A:$A,0)),$B3395))</f>
        <v>11STO L חגורה אחרי ניתוח</v>
      </c>
      <c r="I3395" s="8" t="str">
        <f aca="false">IF($G3395="","Unmatched","Matched")</f>
        <v>Matched</v>
      </c>
    </row>
    <row r="3396" customFormat="false" ht="15" hidden="false" customHeight="false" outlineLevel="0" collapsed="false">
      <c r="A3396" s="8" t="s">
        <v>1057</v>
      </c>
      <c r="B3396" s="8" t="s">
        <v>587</v>
      </c>
      <c r="C3396" s="19" t="n">
        <v>8</v>
      </c>
      <c r="D3396" s="19" t="n">
        <v>537.31</v>
      </c>
      <c r="E3396" s="19" t="n">
        <v>0</v>
      </c>
      <c r="F3396" s="19" t="n">
        <v>0</v>
      </c>
      <c r="G3396" s="8" t="n">
        <f aca="false">IFERROR(INDEX('TRANS'!$B:$B,MATCH($B3396,'TRANS'!$A:$A,0)),IFERROR(INDEX('TRANS'!$B:$B,MATCH(TRIM(SUBSTITUTE($B3396,CHAR(160)," ")),'TRANS'!$D:$D,0)),IFERROR(INDEX('Catalog'!$A:$A,MATCH($B3396,'Catalog'!$B:$B,0)),IFERROR(INDEX('Catalog'!$A:$A,MATCH(TRIM(SUBSTITUTE($B3396,CHAR(160)," ")),'Catalog'!$C:$C,0)),""))))</f>
        <v>4408260</v>
      </c>
      <c r="H3396" s="8" t="str">
        <f aca="false">IFERROR(INDEX('TRANS'!$C:$C,MATCH($B3396,'TRANS'!$A:$A,0)),IFERROR(INDEX('Catalog'!$B:$B,MATCH($G3396,'Catalog'!$A:$A,0)),$B3396))</f>
        <v>11STO M חגורה אחרי ניתוח</v>
      </c>
      <c r="I3396" s="8" t="str">
        <f aca="false">IF($G3396="","Unmatched","Matched")</f>
        <v>Matched</v>
      </c>
    </row>
    <row r="3397" customFormat="false" ht="15" hidden="false" customHeight="false" outlineLevel="0" collapsed="false">
      <c r="A3397" s="8" t="s">
        <v>1057</v>
      </c>
      <c r="B3397" s="8" t="s">
        <v>343</v>
      </c>
      <c r="C3397" s="19" t="n">
        <v>7</v>
      </c>
      <c r="D3397" s="19" t="n">
        <v>470.15</v>
      </c>
      <c r="E3397" s="19" t="n">
        <v>0</v>
      </c>
      <c r="F3397" s="19" t="n">
        <v>0</v>
      </c>
      <c r="G3397" s="8" t="n">
        <f aca="false">IFERROR(INDEX('TRANS'!$B:$B,MATCH($B3397,'TRANS'!$A:$A,0)),IFERROR(INDEX('TRANS'!$B:$B,MATCH(TRIM(SUBSTITUTE($B3397,CHAR(160)," ")),'TRANS'!$D:$D,0)),IFERROR(INDEX('Catalog'!$A:$A,MATCH($B3397,'Catalog'!$B:$B,0)),IFERROR(INDEX('Catalog'!$A:$A,MATCH(TRIM(SUBSTITUTE($B3397,CHAR(160)," ")),'Catalog'!$C:$C,0)),""))))</f>
        <v>4408262</v>
      </c>
      <c r="H3397" s="8" t="str">
        <f aca="false">IFERROR(INDEX('TRANS'!$C:$C,MATCH($B3397,'TRANS'!$A:$A,0)),IFERROR(INDEX('Catalog'!$B:$B,MATCH($G3397,'Catalog'!$A:$A,0)),$B3397))</f>
        <v>11STO XL  חגורה אחרי ניתוח</v>
      </c>
      <c r="I3397" s="8" t="str">
        <f aca="false">IF($G3397="","Unmatched","Matched")</f>
        <v>Matched</v>
      </c>
    </row>
    <row r="3398" customFormat="false" ht="15" hidden="false" customHeight="false" outlineLevel="0" collapsed="false">
      <c r="A3398" s="8" t="s">
        <v>1057</v>
      </c>
      <c r="B3398" s="8" t="s">
        <v>75</v>
      </c>
      <c r="C3398" s="19" t="n">
        <v>5</v>
      </c>
      <c r="D3398" s="19" t="n">
        <v>335.82</v>
      </c>
      <c r="E3398" s="19" t="n">
        <v>0</v>
      </c>
      <c r="F3398" s="19" t="n">
        <v>0</v>
      </c>
      <c r="G3398" s="8" t="n">
        <f aca="false">IFERROR(INDEX('TRANS'!$B:$B,MATCH($B3398,'TRANS'!$A:$A,0)),IFERROR(INDEX('TRANS'!$B:$B,MATCH(TRIM(SUBSTITUTE($B3398,CHAR(160)," ")),'TRANS'!$D:$D,0)),IFERROR(INDEX('Catalog'!$A:$A,MATCH($B3398,'Catalog'!$B:$B,0)),IFERROR(INDEX('Catalog'!$A:$A,MATCH(TRIM(SUBSTITUTE($B3398,CHAR(160)," ")),'Catalog'!$C:$C,0)),""))))</f>
        <v>4408263</v>
      </c>
      <c r="H3398" s="8" t="str">
        <f aca="false">IFERROR(INDEX('TRANS'!$C:$C,MATCH($B3398,'TRANS'!$A:$A,0)),IFERROR(INDEX('Catalog'!$B:$B,MATCH($G3398,'Catalog'!$A:$A,0)),$B3398))</f>
        <v>11STO XXL חגורה אחרי ניתוח</v>
      </c>
      <c r="I3398" s="8" t="str">
        <f aca="false">IF($G3398="","Unmatched","Matched")</f>
        <v>Matched</v>
      </c>
    </row>
    <row r="3399" customFormat="false" ht="15" hidden="false" customHeight="false" outlineLevel="0" collapsed="false">
      <c r="A3399" s="8" t="s">
        <v>1057</v>
      </c>
      <c r="B3399" s="8" t="s">
        <v>633</v>
      </c>
      <c r="C3399" s="19" t="n">
        <v>15</v>
      </c>
      <c r="D3399" s="19" t="n">
        <v>781.09</v>
      </c>
      <c r="E3399" s="19" t="n">
        <v>0</v>
      </c>
      <c r="F3399" s="19" t="n">
        <v>0</v>
      </c>
      <c r="G3399" s="8" t="n">
        <f aca="false">IFERROR(INDEX('TRANS'!$B:$B,MATCH($B3399,'TRANS'!$A:$A,0)),IFERROR(INDEX('TRANS'!$B:$B,MATCH(TRIM(SUBSTITUTE($B3399,CHAR(160)," ")),'TRANS'!$D:$D,0)),IFERROR(INDEX('Catalog'!$A:$A,MATCH($B3399,'Catalog'!$B:$B,0)),IFERROR(INDEX('Catalog'!$A:$A,MATCH(TRIM(SUBSTITUTE($B3399,CHAR(160)," ")),'Catalog'!$C:$C,0)),""))))</f>
        <v>4408226</v>
      </c>
      <c r="H3399" s="8" t="str">
        <f aca="false">IFERROR(INDEX('TRANS'!$C:$C,MATCH($B3399,'TRANS'!$A:$A,0)),IFERROR(INDEX('Catalog'!$B:$B,MATCH($G3399,'Catalog'!$A:$A,0)),$B3399))</f>
        <v>L 11 אפורUG חגורת בטן</v>
      </c>
      <c r="I3399" s="8" t="str">
        <f aca="false">IF($G3399="","Unmatched","Matched")</f>
        <v>Matched</v>
      </c>
    </row>
    <row r="3400" customFormat="false" ht="15" hidden="false" customHeight="false" outlineLevel="0" collapsed="false">
      <c r="A3400" s="8" t="s">
        <v>1057</v>
      </c>
      <c r="B3400" s="8" t="s">
        <v>78</v>
      </c>
      <c r="C3400" s="19" t="n">
        <v>15</v>
      </c>
      <c r="D3400" s="19" t="n">
        <v>781.09</v>
      </c>
      <c r="E3400" s="19" t="n">
        <v>0</v>
      </c>
      <c r="F3400" s="19" t="n">
        <v>0</v>
      </c>
      <c r="G3400" s="8" t="str">
        <f aca="false">IFERROR(INDEX('TRANS'!$B:$B,MATCH($B3400,'TRANS'!$A:$A,0)),IFERROR(INDEX('TRANS'!$B:$B,MATCH(TRIM(SUBSTITUTE($B3400,CHAR(160)," ")),'TRANS'!$D:$D,0)),IFERROR(INDEX('Catalog'!$A:$A,MATCH($B3400,'Catalog'!$B:$B,0)),IFERROR(INDEX('Catalog'!$A:$A,MATCH(TRIM(SUBSTITUTE($B3400,CHAR(160)," ")),'Catalog'!$C:$C,0)),""))))</f>
        <v/>
      </c>
      <c r="H3400" s="8" t="str">
        <f aca="false">IFERROR(INDEX('TRANS'!$C:$C,MATCH($B3400,'TRANS'!$A:$A,0)),IFERROR(INDEX('Catalog'!$B:$B,MATCH($G3400,'Catalog'!$A:$A,0)),$B3400))</f>
        <v>11UG XL</v>
      </c>
      <c r="I3400" s="8" t="str">
        <f aca="false">IF($G3400="","Unmatched","Matched")</f>
        <v>Unmatched</v>
      </c>
    </row>
    <row r="3401" customFormat="false" ht="15" hidden="false" customHeight="false" outlineLevel="0" collapsed="false">
      <c r="A3401" s="8" t="s">
        <v>1057</v>
      </c>
      <c r="B3401" s="8" t="s">
        <v>347</v>
      </c>
      <c r="C3401" s="19" t="n">
        <v>10</v>
      </c>
      <c r="D3401" s="19" t="n">
        <v>175.05</v>
      </c>
      <c r="E3401" s="19" t="n">
        <v>0</v>
      </c>
      <c r="F3401" s="19" t="n">
        <v>0</v>
      </c>
      <c r="G3401" s="8" t="n">
        <f aca="false">IFERROR(INDEX('TRANS'!$B:$B,MATCH($B3401,'TRANS'!$A:$A,0)),IFERROR(INDEX('TRANS'!$B:$B,MATCH(TRIM(SUBSTITUTE($B3401,CHAR(160)," ")),'TRANS'!$D:$D,0)),IFERROR(INDEX('Catalog'!$A:$A,MATCH($B3401,'Catalog'!$B:$B,0)),IFERROR(INDEX('Catalog'!$A:$A,MATCH(TRIM(SUBSTITUTE($B3401,CHAR(160)," ")),'Catalog'!$C:$C,0)),""))))</f>
        <v>4408052</v>
      </c>
      <c r="H3401" s="8" t="str">
        <f aca="false">IFERROR(INDEX('TRANS'!$C:$C,MATCH($B3401,'TRANS'!$A:$A,0)),IFERROR(INDEX('Catalog'!$B:$B,MATCH($G3401,'Catalog'!$A:$A,0)),$B3401))</f>
        <v>21 L  חבק יד ארוך</v>
      </c>
      <c r="I3401" s="8" t="str">
        <f aca="false">IF($G3401="","Unmatched","Matched")</f>
        <v>Matched</v>
      </c>
    </row>
    <row r="3402" customFormat="false" ht="15" hidden="false" customHeight="false" outlineLevel="0" collapsed="false">
      <c r="A3402" s="8" t="s">
        <v>1057</v>
      </c>
      <c r="B3402" s="8" t="s">
        <v>92</v>
      </c>
      <c r="C3402" s="19" t="n">
        <v>10</v>
      </c>
      <c r="D3402" s="19" t="n">
        <v>175.05</v>
      </c>
      <c r="E3402" s="19" t="n">
        <v>0</v>
      </c>
      <c r="F3402" s="19" t="n">
        <v>0</v>
      </c>
      <c r="G3402" s="8" t="n">
        <f aca="false">IFERROR(INDEX('TRANS'!$B:$B,MATCH($B3402,'TRANS'!$A:$A,0)),IFERROR(INDEX('TRANS'!$B:$B,MATCH(TRIM(SUBSTITUTE($B3402,CHAR(160)," ")),'TRANS'!$D:$D,0)),IFERROR(INDEX('Catalog'!$A:$A,MATCH($B3402,'Catalog'!$B:$B,0)),IFERROR(INDEX('Catalog'!$A:$A,MATCH(TRIM(SUBSTITUTE($B3402,CHAR(160)," ")),'Catalog'!$C:$C,0)),""))))</f>
        <v>4408053</v>
      </c>
      <c r="H3402" s="8" t="str">
        <f aca="false">IFERROR(INDEX('TRANS'!$C:$C,MATCH($B3402,'TRANS'!$A:$A,0)),IFERROR(INDEX('Catalog'!$B:$B,MATCH($G3402,'Catalog'!$A:$A,0)),$B3402))</f>
        <v>21 M  חבק יד ארוך</v>
      </c>
      <c r="I3402" s="8" t="str">
        <f aca="false">IF($G3402="","Unmatched","Matched")</f>
        <v>Matched</v>
      </c>
    </row>
    <row r="3403" customFormat="false" ht="15" hidden="false" customHeight="false" outlineLevel="0" collapsed="false">
      <c r="A3403" s="8" t="s">
        <v>1057</v>
      </c>
      <c r="B3403" s="8" t="s">
        <v>349</v>
      </c>
      <c r="C3403" s="19" t="n">
        <v>10</v>
      </c>
      <c r="D3403" s="19" t="n">
        <v>175.05</v>
      </c>
      <c r="E3403" s="19" t="n">
        <v>0</v>
      </c>
      <c r="F3403" s="19" t="n">
        <v>0</v>
      </c>
      <c r="G3403" s="8" t="n">
        <f aca="false">IFERROR(INDEX('TRANS'!$B:$B,MATCH($B3403,'TRANS'!$A:$A,0)),IFERROR(INDEX('TRANS'!$B:$B,MATCH(TRIM(SUBSTITUTE($B3403,CHAR(160)," ")),'TRANS'!$D:$D,0)),IFERROR(INDEX('Catalog'!$A:$A,MATCH($B3403,'Catalog'!$B:$B,0)),IFERROR(INDEX('Catalog'!$A:$A,MATCH(TRIM(SUBSTITUTE($B3403,CHAR(160)," ")),'Catalog'!$C:$C,0)),""))))</f>
        <v>4408054</v>
      </c>
      <c r="H3403" s="8" t="str">
        <f aca="false">IFERROR(INDEX('TRANS'!$C:$C,MATCH($B3403,'TRANS'!$A:$A,0)),IFERROR(INDEX('Catalog'!$B:$B,MATCH($G3403,'Catalog'!$A:$A,0)),$B3403))</f>
        <v>21 XL חבק יד ארוך</v>
      </c>
      <c r="I3403" s="8" t="str">
        <f aca="false">IF($G3403="","Unmatched","Matched")</f>
        <v>Matched</v>
      </c>
    </row>
    <row r="3404" customFormat="false" ht="15" hidden="false" customHeight="false" outlineLevel="0" collapsed="false">
      <c r="A3404" s="8" t="s">
        <v>1057</v>
      </c>
      <c r="B3404" s="8" t="s">
        <v>100</v>
      </c>
      <c r="C3404" s="19" t="n">
        <v>60</v>
      </c>
      <c r="D3404" s="19" t="n">
        <v>548.92</v>
      </c>
      <c r="E3404" s="19" t="n">
        <v>0</v>
      </c>
      <c r="F3404" s="19" t="n">
        <v>0</v>
      </c>
      <c r="G3404" s="8" t="n">
        <f aca="false">IFERROR(INDEX('TRANS'!$B:$B,MATCH($B3404,'TRANS'!$A:$A,0)),IFERROR(INDEX('TRANS'!$B:$B,MATCH(TRIM(SUBSTITUTE($B3404,CHAR(160)," ")),'TRANS'!$D:$D,0)),IFERROR(INDEX('Catalog'!$A:$A,MATCH($B3404,'Catalog'!$B:$B,0)),IFERROR(INDEX('Catalog'!$A:$A,MATCH(TRIM(SUBSTITUTE($B3404,CHAR(160)," ")),'Catalog'!$C:$C,0)),""))))</f>
        <v>4415162</v>
      </c>
      <c r="H3404" s="8" t="str">
        <f aca="false">IFERROR(INDEX('TRANS'!$C:$C,MATCH($B3404,'TRANS'!$A:$A,0)),IFERROR(INDEX('Catalog'!$B:$B,MATCH($G3404,'Catalog'!$A:$A,0)),$B3404))</f>
        <v>238L סד ליישור אצבע</v>
      </c>
      <c r="I3404" s="8" t="str">
        <f aca="false">IF($G3404="","Unmatched","Matched")</f>
        <v>Matched</v>
      </c>
    </row>
    <row r="3405" customFormat="false" ht="15" hidden="false" customHeight="false" outlineLevel="0" collapsed="false">
      <c r="A3405" s="8" t="s">
        <v>1057</v>
      </c>
      <c r="B3405" s="8" t="s">
        <v>589</v>
      </c>
      <c r="C3405" s="19" t="n">
        <v>60</v>
      </c>
      <c r="D3405" s="19" t="n">
        <v>548.92</v>
      </c>
      <c r="E3405" s="19" t="n">
        <v>0</v>
      </c>
      <c r="F3405" s="19" t="n">
        <v>0</v>
      </c>
      <c r="G3405" s="8" t="n">
        <f aca="false">IFERROR(INDEX('TRANS'!$B:$B,MATCH($B3405,'TRANS'!$A:$A,0)),IFERROR(INDEX('TRANS'!$B:$B,MATCH(TRIM(SUBSTITUTE($B3405,CHAR(160)," ")),'TRANS'!$D:$D,0)),IFERROR(INDEX('Catalog'!$A:$A,MATCH($B3405,'Catalog'!$B:$B,0)),IFERROR(INDEX('Catalog'!$A:$A,MATCH(TRIM(SUBSTITUTE($B3405,CHAR(160)," ")),'Catalog'!$C:$C,0)),""))))</f>
        <v>4415161</v>
      </c>
      <c r="H3405" s="8" t="str">
        <f aca="false">IFERROR(INDEX('TRANS'!$C:$C,MATCH($B3405,'TRANS'!$A:$A,0)),IFERROR(INDEX('Catalog'!$B:$B,MATCH($G3405,'Catalog'!$A:$A,0)),$B3405))</f>
        <v>238M סד ליישור אצבע</v>
      </c>
      <c r="I3405" s="8" t="str">
        <f aca="false">IF($G3405="","Unmatched","Matched")</f>
        <v>Matched</v>
      </c>
    </row>
    <row r="3406" customFormat="false" ht="15" hidden="false" customHeight="false" outlineLevel="0" collapsed="false">
      <c r="A3406" s="8" t="s">
        <v>1057</v>
      </c>
      <c r="B3406" s="8" t="s">
        <v>101</v>
      </c>
      <c r="C3406" s="19" t="n">
        <v>30</v>
      </c>
      <c r="D3406" s="19" t="n">
        <v>274.46</v>
      </c>
      <c r="E3406" s="19" t="n">
        <v>0</v>
      </c>
      <c r="F3406" s="19" t="n">
        <v>0</v>
      </c>
      <c r="G3406" s="8" t="n">
        <f aca="false">IFERROR(INDEX('TRANS'!$B:$B,MATCH($B3406,'TRANS'!$A:$A,0)),IFERROR(INDEX('TRANS'!$B:$B,MATCH(TRIM(SUBSTITUTE($B3406,CHAR(160)," ")),'TRANS'!$D:$D,0)),IFERROR(INDEX('Catalog'!$A:$A,MATCH($B3406,'Catalog'!$B:$B,0)),IFERROR(INDEX('Catalog'!$A:$A,MATCH(TRIM(SUBSTITUTE($B3406,CHAR(160)," ")),'Catalog'!$C:$C,0)),""))))</f>
        <v>4415160</v>
      </c>
      <c r="H3406" s="8" t="str">
        <f aca="false">IFERROR(INDEX('TRANS'!$C:$C,MATCH($B3406,'TRANS'!$A:$A,0)),IFERROR(INDEX('Catalog'!$B:$B,MATCH($G3406,'Catalog'!$A:$A,0)),$B3406))</f>
        <v>238S סד ליישור אצבע</v>
      </c>
      <c r="I3406" s="8" t="str">
        <f aca="false">IF($G3406="","Unmatched","Matched")</f>
        <v>Matched</v>
      </c>
    </row>
    <row r="3407" customFormat="false" ht="15" hidden="false" customHeight="false" outlineLevel="0" collapsed="false">
      <c r="A3407" s="8" t="s">
        <v>1057</v>
      </c>
      <c r="B3407" s="8" t="s">
        <v>590</v>
      </c>
      <c r="C3407" s="19" t="n">
        <v>50</v>
      </c>
      <c r="D3407" s="19" t="n">
        <v>457.43</v>
      </c>
      <c r="E3407" s="19" t="n">
        <v>0</v>
      </c>
      <c r="F3407" s="19" t="n">
        <v>0</v>
      </c>
      <c r="G3407" s="8" t="n">
        <f aca="false">IFERROR(INDEX('TRANS'!$B:$B,MATCH($B3407,'TRANS'!$A:$A,0)),IFERROR(INDEX('TRANS'!$B:$B,MATCH(TRIM(SUBSTITUTE($B3407,CHAR(160)," ")),'TRANS'!$D:$D,0)),IFERROR(INDEX('Catalog'!$A:$A,MATCH($B3407,'Catalog'!$B:$B,0)),IFERROR(INDEX('Catalog'!$A:$A,MATCH(TRIM(SUBSTITUTE($B3407,CHAR(160)," ")),'Catalog'!$C:$C,0)),""))))</f>
        <v>4415163</v>
      </c>
      <c r="H3407" s="8" t="str">
        <f aca="false">IFERROR(INDEX('TRANS'!$C:$C,MATCH($B3407,'TRANS'!$A:$A,0)),IFERROR(INDEX('Catalog'!$B:$B,MATCH($G3407,'Catalog'!$A:$A,0)),$B3407))</f>
        <v>238XL סד ליישור אצבע</v>
      </c>
      <c r="I3407" s="8" t="str">
        <f aca="false">IF($G3407="","Unmatched","Matched")</f>
        <v>Matched</v>
      </c>
    </row>
    <row r="3408" customFormat="false" ht="15" hidden="false" customHeight="false" outlineLevel="0" collapsed="false">
      <c r="A3408" s="8" t="s">
        <v>1057</v>
      </c>
      <c r="B3408" s="8" t="s">
        <v>102</v>
      </c>
      <c r="C3408" s="19" t="n">
        <v>24</v>
      </c>
      <c r="D3408" s="19" t="n">
        <v>389.34</v>
      </c>
      <c r="E3408" s="19" t="n">
        <v>0</v>
      </c>
      <c r="F3408" s="19" t="n">
        <v>0</v>
      </c>
      <c r="G3408" s="8" t="n">
        <f aca="false">IFERROR(INDEX('TRANS'!$B:$B,MATCH($B3408,'TRANS'!$A:$A,0)),IFERROR(INDEX('TRANS'!$B:$B,MATCH(TRIM(SUBSTITUTE($B3408,CHAR(160)," ")),'TRANS'!$D:$D,0)),IFERROR(INDEX('Catalog'!$A:$A,MATCH($B3408,'Catalog'!$B:$B,0)),IFERROR(INDEX('Catalog'!$A:$A,MATCH(TRIM(SUBSTITUTE($B3408,CHAR(160)," ")),'Catalog'!$C:$C,0)),""))))</f>
        <v>4419013</v>
      </c>
      <c r="H3408" s="8" t="str">
        <f aca="false">IFERROR(INDEX('TRANS'!$C:$C,MATCH($B3408,'TRANS'!$A:$A,0)),IFERROR(INDEX('Catalog'!$B:$B,MATCH($G3408,'Catalog'!$A:$A,0)),$B3408))</f>
        <v>239B L-XL STRAP4U</v>
      </c>
      <c r="I3408" s="8" t="str">
        <f aca="false">IF($G3408="","Unmatched","Matched")</f>
        <v>Matched</v>
      </c>
    </row>
    <row r="3409" customFormat="false" ht="15" hidden="false" customHeight="false" outlineLevel="0" collapsed="false">
      <c r="A3409" s="8" t="s">
        <v>1057</v>
      </c>
      <c r="B3409" s="8" t="s">
        <v>103</v>
      </c>
      <c r="C3409" s="19" t="n">
        <v>24</v>
      </c>
      <c r="D3409" s="19" t="n">
        <v>389.34</v>
      </c>
      <c r="E3409" s="19" t="n">
        <v>0</v>
      </c>
      <c r="F3409" s="19" t="n">
        <v>0</v>
      </c>
      <c r="G3409" s="8" t="n">
        <f aca="false">IFERROR(INDEX('TRANS'!$B:$B,MATCH($B3409,'TRANS'!$A:$A,0)),IFERROR(INDEX('TRANS'!$B:$B,MATCH(TRIM(SUBSTITUTE($B3409,CHAR(160)," ")),'TRANS'!$D:$D,0)),IFERROR(INDEX('Catalog'!$A:$A,MATCH($B3409,'Catalog'!$B:$B,0)),IFERROR(INDEX('Catalog'!$A:$A,MATCH(TRIM(SUBSTITUTE($B3409,CHAR(160)," ")),'Catalog'!$C:$C,0)),""))))</f>
        <v>4419011</v>
      </c>
      <c r="H3409" s="8" t="str">
        <f aca="false">IFERROR(INDEX('TRANS'!$C:$C,MATCH($B3409,'TRANS'!$A:$A,0)),IFERROR(INDEX('Catalog'!$B:$B,MATCH($G3409,'Catalog'!$A:$A,0)),$B3409))</f>
        <v>239B S-M STRAP4U</v>
      </c>
      <c r="I3409" s="8" t="str">
        <f aca="false">IF($G3409="","Unmatched","Matched")</f>
        <v>Matched</v>
      </c>
    </row>
    <row r="3410" customFormat="false" ht="15" hidden="false" customHeight="false" outlineLevel="0" collapsed="false">
      <c r="A3410" s="8" t="s">
        <v>1057</v>
      </c>
      <c r="B3410" s="8" t="s">
        <v>471</v>
      </c>
      <c r="C3410" s="19" t="n">
        <v>24</v>
      </c>
      <c r="D3410" s="19" t="n">
        <v>389.34</v>
      </c>
      <c r="E3410" s="19" t="n">
        <v>0</v>
      </c>
      <c r="F3410" s="19" t="n">
        <v>0</v>
      </c>
      <c r="G3410" s="8" t="str">
        <f aca="false">IFERROR(INDEX('TRANS'!$B:$B,MATCH($B3410,'TRANS'!$A:$A,0)),IFERROR(INDEX('TRANS'!$B:$B,MATCH(TRIM(SUBSTITUTE($B3410,CHAR(160)," ")),'TRANS'!$D:$D,0)),IFERROR(INDEX('Catalog'!$A:$A,MATCH($B3410,'Catalog'!$B:$B,0)),IFERROR(INDEX('Catalog'!$A:$A,MATCH(TRIM(SUBSTITUTE($B3410,CHAR(160)," ")),'Catalog'!$C:$C,0)),""))))</f>
        <v/>
      </c>
      <c r="H3410" s="8" t="str">
        <f aca="false">IFERROR(INDEX('TRANS'!$C:$C,MATCH($B3410,'TRANS'!$A:$A,0)),IFERROR(INDEX('Catalog'!$B:$B,MATCH($G3410,'Catalog'!$A:$A,0)),$B3410))</f>
        <v>239P-S-M</v>
      </c>
      <c r="I3410" s="8" t="str">
        <f aca="false">IF($G3410="","Unmatched","Matched")</f>
        <v>Unmatched</v>
      </c>
    </row>
    <row r="3411" customFormat="false" ht="15" hidden="false" customHeight="false" outlineLevel="0" collapsed="false">
      <c r="A3411" s="8" t="s">
        <v>1057</v>
      </c>
      <c r="B3411" s="8" t="s">
        <v>104</v>
      </c>
      <c r="C3411" s="19" t="n">
        <v>24</v>
      </c>
      <c r="D3411" s="19" t="n">
        <v>389.34</v>
      </c>
      <c r="E3411" s="19" t="n">
        <v>0</v>
      </c>
      <c r="F3411" s="19" t="n">
        <v>0</v>
      </c>
      <c r="G3411" s="8" t="n">
        <f aca="false">IFERROR(INDEX('TRANS'!$B:$B,MATCH($B3411,'TRANS'!$A:$A,0)),IFERROR(INDEX('TRANS'!$B:$B,MATCH(TRIM(SUBSTITUTE($B3411,CHAR(160)," ")),'TRANS'!$D:$D,0)),IFERROR(INDEX('Catalog'!$A:$A,MATCH($B3411,'Catalog'!$B:$B,0)),IFERROR(INDEX('Catalog'!$A:$A,MATCH(TRIM(SUBSTITUTE($B3411,CHAR(160)," ")),'Catalog'!$C:$C,0)),""))))</f>
        <v>4419014</v>
      </c>
      <c r="H3411" s="8" t="str">
        <f aca="false">IFERROR(INDEX('TRANS'!$C:$C,MATCH($B3411,'TRANS'!$A:$A,0)),IFERROR(INDEX('Catalog'!$B:$B,MATCH($G3411,'Catalog'!$A:$A,0)),$B3411))</f>
        <v>239TR L-XL STRAP4U</v>
      </c>
      <c r="I3411" s="8" t="str">
        <f aca="false">IF($G3411="","Unmatched","Matched")</f>
        <v>Matched</v>
      </c>
    </row>
    <row r="3412" customFormat="false" ht="15" hidden="false" customHeight="false" outlineLevel="0" collapsed="false">
      <c r="A3412" s="8" t="s">
        <v>1057</v>
      </c>
      <c r="B3412" s="8" t="s">
        <v>105</v>
      </c>
      <c r="C3412" s="19" t="n">
        <v>30</v>
      </c>
      <c r="D3412" s="19" t="n">
        <v>611.46</v>
      </c>
      <c r="E3412" s="19" t="n">
        <v>0</v>
      </c>
      <c r="F3412" s="19" t="n">
        <v>0</v>
      </c>
      <c r="G3412" s="8" t="n">
        <f aca="false">IFERROR(INDEX('TRANS'!$B:$B,MATCH($B3412,'TRANS'!$A:$A,0)),IFERROR(INDEX('TRANS'!$B:$B,MATCH(TRIM(SUBSTITUTE($B3412,CHAR(160)," ")),'TRANS'!$D:$D,0)),IFERROR(INDEX('Catalog'!$A:$A,MATCH($B3412,'Catalog'!$B:$B,0)),IFERROR(INDEX('Catalog'!$A:$A,MATCH(TRIM(SUBSTITUTE($B3412,CHAR(160)," ")),'Catalog'!$C:$C,0)),""))))</f>
        <v>4421005</v>
      </c>
      <c r="H3412" s="8" t="str">
        <f aca="false">IFERROR(INDEX('TRANS'!$C:$C,MATCH($B3412,'TRANS'!$A:$A,0)),IFERROR(INDEX('Catalog'!$B:$B,MATCH($G3412,'Catalog'!$A:$A,0)),$B3412))</f>
        <v>שרוול לגבס קצר יד</v>
      </c>
      <c r="I3412" s="8" t="str">
        <f aca="false">IF($G3412="","Unmatched","Matched")</f>
        <v>Matched</v>
      </c>
    </row>
    <row r="3413" customFormat="false" ht="15" hidden="false" customHeight="false" outlineLevel="0" collapsed="false">
      <c r="A3413" s="8" t="s">
        <v>1057</v>
      </c>
      <c r="B3413" s="8" t="s">
        <v>106</v>
      </c>
      <c r="C3413" s="19" t="n">
        <v>60</v>
      </c>
      <c r="D3413" s="19" t="n">
        <v>1336.83</v>
      </c>
      <c r="E3413" s="19" t="n">
        <v>0</v>
      </c>
      <c r="F3413" s="19" t="n">
        <v>0</v>
      </c>
      <c r="G3413" s="8" t="n">
        <f aca="false">IFERROR(INDEX('TRANS'!$B:$B,MATCH($B3413,'TRANS'!$A:$A,0)),IFERROR(INDEX('TRANS'!$B:$B,MATCH(TRIM(SUBSTITUTE($B3413,CHAR(160)," ")),'TRANS'!$D:$D,0)),IFERROR(INDEX('Catalog'!$A:$A,MATCH($B3413,'Catalog'!$B:$B,0)),IFERROR(INDEX('Catalog'!$A:$A,MATCH(TRIM(SUBSTITUTE($B3413,CHAR(160)," ")),'Catalog'!$C:$C,0)),""))))</f>
        <v>4421006</v>
      </c>
      <c r="H3413" s="8" t="str">
        <f aca="false">IFERROR(INDEX('TRANS'!$C:$C,MATCH($B3413,'TRANS'!$A:$A,0)),IFERROR(INDEX('Catalog'!$B:$B,MATCH($G3413,'Catalog'!$A:$A,0)),$B3413))</f>
        <v>שרוול לגבס ארוך יד</v>
      </c>
      <c r="I3413" s="8" t="str">
        <f aca="false">IF($G3413="","Unmatched","Matched")</f>
        <v>Matched</v>
      </c>
    </row>
    <row r="3414" customFormat="false" ht="15" hidden="false" customHeight="false" outlineLevel="0" collapsed="false">
      <c r="A3414" s="8" t="s">
        <v>1057</v>
      </c>
      <c r="B3414" s="8" t="s">
        <v>114</v>
      </c>
      <c r="C3414" s="19" t="n">
        <v>10</v>
      </c>
      <c r="D3414" s="19" t="n">
        <v>298.72</v>
      </c>
      <c r="E3414" s="19" t="n">
        <v>0</v>
      </c>
      <c r="F3414" s="19" t="n">
        <v>0</v>
      </c>
      <c r="G3414" s="8" t="n">
        <f aca="false">IFERROR(INDEX('TRANS'!$B:$B,MATCH($B3414,'TRANS'!$A:$A,0)),IFERROR(INDEX('TRANS'!$B:$B,MATCH(TRIM(SUBSTITUTE($B3414,CHAR(160)," ")),'TRANS'!$D:$D,0)),IFERROR(INDEX('Catalog'!$A:$A,MATCH($B3414,'Catalog'!$B:$B,0)),IFERROR(INDEX('Catalog'!$A:$A,MATCH(TRIM(SUBSTITUTE($B3414,CHAR(160)," ")),'Catalog'!$C:$C,0)),""))))</f>
        <v>4413348</v>
      </c>
      <c r="H3414" s="8" t="str">
        <f aca="false">IFERROR(INDEX('TRANS'!$C:$C,MATCH($B3414,'TRANS'!$A:$A,0)),IFERROR(INDEX('Catalog'!$B:$B,MATCH($G3414,'Catalog'!$A:$A,0)),$B3414))</f>
        <v>302 מדרס ג'ל לגבר</v>
      </c>
      <c r="I3414" s="8" t="str">
        <f aca="false">IF($G3414="","Unmatched","Matched")</f>
        <v>Matched</v>
      </c>
    </row>
    <row r="3415" customFormat="false" ht="15" hidden="false" customHeight="false" outlineLevel="0" collapsed="false">
      <c r="A3415" s="8" t="s">
        <v>1057</v>
      </c>
      <c r="B3415" s="8" t="s">
        <v>120</v>
      </c>
      <c r="C3415" s="19" t="n">
        <v>20</v>
      </c>
      <c r="D3415" s="19" t="n">
        <v>597.44</v>
      </c>
      <c r="E3415" s="19" t="n">
        <v>0</v>
      </c>
      <c r="F3415" s="19" t="n">
        <v>0</v>
      </c>
      <c r="G3415" s="8" t="n">
        <f aca="false">IFERROR(INDEX('TRANS'!$B:$B,MATCH($B3415,'TRANS'!$A:$A,0)),IFERROR(INDEX('TRANS'!$B:$B,MATCH(TRIM(SUBSTITUTE($B3415,CHAR(160)," ")),'TRANS'!$D:$D,0)),IFERROR(INDEX('Catalog'!$A:$A,MATCH($B3415,'Catalog'!$B:$B,0)),IFERROR(INDEX('Catalog'!$A:$A,MATCH(TRIM(SUBSTITUTE($B3415,CHAR(160)," ")),'Catalog'!$C:$C,0)),""))))</f>
        <v>4416000</v>
      </c>
      <c r="H3415" s="8" t="str">
        <f aca="false">IFERROR(INDEX('TRANS'!$C:$C,MATCH($B3415,'TRANS'!$A:$A,0)),IFERROR(INDEX('Catalog'!$B:$B,MATCH($G3415,'Catalog'!$A:$A,0)),$B3415))</f>
        <v>307 L עקבים לדורבן-זוג כריות</v>
      </c>
      <c r="I3415" s="8" t="str">
        <f aca="false">IF($G3415="","Unmatched","Matched")</f>
        <v>Matched</v>
      </c>
    </row>
    <row r="3416" customFormat="false" ht="15" hidden="false" customHeight="false" outlineLevel="0" collapsed="false">
      <c r="A3416" s="8" t="s">
        <v>1057</v>
      </c>
      <c r="B3416" s="8" t="s">
        <v>121</v>
      </c>
      <c r="C3416" s="19" t="n">
        <v>15</v>
      </c>
      <c r="D3416" s="19" t="n">
        <v>448.08</v>
      </c>
      <c r="E3416" s="19" t="n">
        <v>0</v>
      </c>
      <c r="F3416" s="19" t="n">
        <v>0</v>
      </c>
      <c r="G3416" s="8" t="n">
        <f aca="false">IFERROR(INDEX('TRANS'!$B:$B,MATCH($B3416,'TRANS'!$A:$A,0)),IFERROR(INDEX('TRANS'!$B:$B,MATCH(TRIM(SUBSTITUTE($B3416,CHAR(160)," ")),'TRANS'!$D:$D,0)),IFERROR(INDEX('Catalog'!$A:$A,MATCH($B3416,'Catalog'!$B:$B,0)),IFERROR(INDEX('Catalog'!$A:$A,MATCH(TRIM(SUBSTITUTE($B3416,CHAR(160)," ")),'Catalog'!$C:$C,0)),""))))</f>
        <v>4416001</v>
      </c>
      <c r="H3416" s="8" t="str">
        <f aca="false">IFERROR(INDEX('TRANS'!$C:$C,MATCH($B3416,'TRANS'!$A:$A,0)),IFERROR(INDEX('Catalog'!$B:$B,MATCH($G3416,'Catalog'!$A:$A,0)),$B3416))</f>
        <v>307 M עקבים לדורבן-זוג כריות</v>
      </c>
      <c r="I3416" s="8" t="str">
        <f aca="false">IF($G3416="","Unmatched","Matched")</f>
        <v>Matched</v>
      </c>
    </row>
    <row r="3417" customFormat="false" ht="15" hidden="false" customHeight="false" outlineLevel="0" collapsed="false">
      <c r="A3417" s="8" t="s">
        <v>1057</v>
      </c>
      <c r="B3417" s="8" t="s">
        <v>647</v>
      </c>
      <c r="C3417" s="19" t="n">
        <v>10</v>
      </c>
      <c r="D3417" s="19" t="n">
        <v>298.72</v>
      </c>
      <c r="E3417" s="19" t="n">
        <v>0</v>
      </c>
      <c r="F3417" s="19" t="n">
        <v>0</v>
      </c>
      <c r="G3417" s="8" t="n">
        <f aca="false">IFERROR(INDEX('TRANS'!$B:$B,MATCH($B3417,'TRANS'!$A:$A,0)),IFERROR(INDEX('TRANS'!$B:$B,MATCH(TRIM(SUBSTITUTE($B3417,CHAR(160)," ")),'TRANS'!$D:$D,0)),IFERROR(INDEX('Catalog'!$A:$A,MATCH($B3417,'Catalog'!$B:$B,0)),IFERROR(INDEX('Catalog'!$A:$A,MATCH(TRIM(SUBSTITUTE($B3417,CHAR(160)," ")),'Catalog'!$C:$C,0)),""))))</f>
        <v>4416002</v>
      </c>
      <c r="H3417" s="8" t="str">
        <f aca="false">IFERROR(INDEX('TRANS'!$C:$C,MATCH($B3417,'TRANS'!$A:$A,0)),IFERROR(INDEX('Catalog'!$B:$B,MATCH($G3417,'Catalog'!$A:$A,0)),$B3417))</f>
        <v>307 S עקבים לדורבן-זוג כריות</v>
      </c>
      <c r="I3417" s="8" t="str">
        <f aca="false">IF($G3417="","Unmatched","Matched")</f>
        <v>Matched</v>
      </c>
    </row>
    <row r="3418" customFormat="false" ht="15" hidden="false" customHeight="false" outlineLevel="0" collapsed="false">
      <c r="A3418" s="8" t="s">
        <v>1057</v>
      </c>
      <c r="B3418" s="8" t="s">
        <v>122</v>
      </c>
      <c r="C3418" s="19" t="n">
        <v>15</v>
      </c>
      <c r="D3418" s="19" t="n">
        <v>448.08</v>
      </c>
      <c r="E3418" s="19" t="n">
        <v>0</v>
      </c>
      <c r="F3418" s="19" t="n">
        <v>0</v>
      </c>
      <c r="G3418" s="8" t="n">
        <f aca="false">IFERROR(INDEX('TRANS'!$B:$B,MATCH($B3418,'TRANS'!$A:$A,0)),IFERROR(INDEX('TRANS'!$B:$B,MATCH(TRIM(SUBSTITUTE($B3418,CHAR(160)," ")),'TRANS'!$D:$D,0)),IFERROR(INDEX('Catalog'!$A:$A,MATCH($B3418,'Catalog'!$B:$B,0)),IFERROR(INDEX('Catalog'!$A:$A,MATCH(TRIM(SUBSTITUTE($B3418,CHAR(160)," ")),'Catalog'!$C:$C,0)),""))))</f>
        <v>4411016</v>
      </c>
      <c r="H3418" s="8" t="str">
        <f aca="false">IFERROR(INDEX('TRANS'!$C:$C,MATCH($B3418,'TRANS'!$A:$A,0)),IFERROR(INDEX('Catalog'!$B:$B,MATCH($G3418,'Catalog'!$A:$A,0)),$B3418))</f>
        <v>307 XL כרית סיליקון לעקב</v>
      </c>
      <c r="I3418" s="8" t="str">
        <f aca="false">IF($G3418="","Unmatched","Matched")</f>
        <v>Matched</v>
      </c>
    </row>
    <row r="3419" customFormat="false" ht="15" hidden="false" customHeight="false" outlineLevel="0" collapsed="false">
      <c r="A3419" s="8" t="s">
        <v>1057</v>
      </c>
      <c r="B3419" s="8" t="s">
        <v>476</v>
      </c>
      <c r="C3419" s="19" t="n">
        <v>30</v>
      </c>
      <c r="D3419" s="19" t="n">
        <v>1746.64</v>
      </c>
      <c r="E3419" s="19" t="n">
        <v>0</v>
      </c>
      <c r="F3419" s="19" t="n">
        <v>0</v>
      </c>
      <c r="G3419" s="8" t="n">
        <f aca="false">IFERROR(INDEX('TRANS'!$B:$B,MATCH($B3419,'TRANS'!$A:$A,0)),IFERROR(INDEX('TRANS'!$B:$B,MATCH(TRIM(SUBSTITUTE($B3419,CHAR(160)," ")),'TRANS'!$D:$D,0)),IFERROR(INDEX('Catalog'!$A:$A,MATCH($B3419,'Catalog'!$B:$B,0)),IFERROR(INDEX('Catalog'!$A:$A,MATCH(TRIM(SUBSTITUTE($B3419,CHAR(160)," ")),'Catalog'!$C:$C,0)),""))))</f>
        <v>4415019</v>
      </c>
      <c r="H3419" s="8" t="str">
        <f aca="false">IFERROR(INDEX('TRANS'!$C:$C,MATCH($B3419,'TRANS'!$A:$A,0)),IFERROR(INDEX('Catalog'!$B:$B,MATCH($G3419,'Catalog'!$A:$A,0)),$B3419))</f>
        <v>333 סד לקרסול עם כריות אויר</v>
      </c>
      <c r="I3419" s="8" t="str">
        <f aca="false">IF($G3419="","Unmatched","Matched")</f>
        <v>Matched</v>
      </c>
    </row>
    <row r="3420" customFormat="false" ht="15" hidden="false" customHeight="false" outlineLevel="0" collapsed="false">
      <c r="A3420" s="8" t="s">
        <v>1057</v>
      </c>
      <c r="B3420" s="8" t="s">
        <v>145</v>
      </c>
      <c r="C3420" s="19" t="n">
        <v>40</v>
      </c>
      <c r="D3420" s="19" t="n">
        <v>1081.66</v>
      </c>
      <c r="E3420" s="19" t="n">
        <v>0</v>
      </c>
      <c r="F3420" s="19" t="n">
        <v>0</v>
      </c>
      <c r="G3420" s="8" t="n">
        <f aca="false">IFERROR(INDEX('TRANS'!$B:$B,MATCH($B3420,'TRANS'!$A:$A,0)),IFERROR(INDEX('TRANS'!$B:$B,MATCH(TRIM(SUBSTITUTE($B3420,CHAR(160)," ")),'TRANS'!$D:$D,0)),IFERROR(INDEX('Catalog'!$A:$A,MATCH($B3420,'Catalog'!$B:$B,0)),IFERROR(INDEX('Catalog'!$A:$A,MATCH(TRIM(SUBSTITUTE($B3420,CHAR(160)," ")),'Catalog'!$C:$C,0)),""))))</f>
        <v>4421007</v>
      </c>
      <c r="H3420" s="8" t="str">
        <f aca="false">IFERROR(INDEX('TRANS'!$C:$C,MATCH($B3420,'TRANS'!$A:$A,0)),IFERROR(INDEX('Catalog'!$B:$B,MATCH($G3420,'Catalog'!$A:$A,0)),$B3420))</f>
        <v>שרוול לגבס קצר רגל</v>
      </c>
      <c r="I3420" s="8" t="str">
        <f aca="false">IF($G3420="","Unmatched","Matched")</f>
        <v>Matched</v>
      </c>
    </row>
    <row r="3421" customFormat="false" ht="15" hidden="false" customHeight="false" outlineLevel="0" collapsed="false">
      <c r="A3421" s="8" t="s">
        <v>1057</v>
      </c>
      <c r="B3421" s="8" t="s">
        <v>146</v>
      </c>
      <c r="C3421" s="19" t="n">
        <v>50</v>
      </c>
      <c r="D3421" s="19" t="n">
        <v>1428.5</v>
      </c>
      <c r="E3421" s="19" t="n">
        <v>0</v>
      </c>
      <c r="F3421" s="19" t="n">
        <v>0</v>
      </c>
      <c r="G3421" s="8" t="n">
        <f aca="false">IFERROR(INDEX('TRANS'!$B:$B,MATCH($B3421,'TRANS'!$A:$A,0)),IFERROR(INDEX('TRANS'!$B:$B,MATCH(TRIM(SUBSTITUTE($B3421,CHAR(160)," ")),'TRANS'!$D:$D,0)),IFERROR(INDEX('Catalog'!$A:$A,MATCH($B3421,'Catalog'!$B:$B,0)),IFERROR(INDEX('Catalog'!$A:$A,MATCH(TRIM(SUBSTITUTE($B3421,CHAR(160)," ")),'Catalog'!$C:$C,0)),""))))</f>
        <v>4421008</v>
      </c>
      <c r="H3421" s="8" t="str">
        <f aca="false">IFERROR(INDEX('TRANS'!$C:$C,MATCH($B3421,'TRANS'!$A:$A,0)),IFERROR(INDEX('Catalog'!$B:$B,MATCH($G3421,'Catalog'!$A:$A,0)),$B3421))</f>
        <v>שרוול לגבס ארוך רגל</v>
      </c>
      <c r="I3421" s="8" t="str">
        <f aca="false">IF($G3421="","Unmatched","Matched")</f>
        <v>Matched</v>
      </c>
    </row>
    <row r="3422" customFormat="false" ht="15" hidden="false" customHeight="false" outlineLevel="0" collapsed="false">
      <c r="A3422" s="8" t="s">
        <v>1057</v>
      </c>
      <c r="B3422" s="8" t="s">
        <v>147</v>
      </c>
      <c r="C3422" s="19" t="n">
        <v>10</v>
      </c>
      <c r="D3422" s="19" t="n">
        <v>342.47</v>
      </c>
      <c r="E3422" s="19" t="n">
        <v>0</v>
      </c>
      <c r="F3422" s="19" t="n">
        <v>0</v>
      </c>
      <c r="G3422" s="8" t="n">
        <f aca="false">IFERROR(INDEX('TRANS'!$B:$B,MATCH($B3422,'TRANS'!$A:$A,0)),IFERROR(INDEX('TRANS'!$B:$B,MATCH(TRIM(SUBSTITUTE($B3422,CHAR(160)," ")),'TRANS'!$D:$D,0)),IFERROR(INDEX('Catalog'!$A:$A,MATCH($B3422,'Catalog'!$B:$B,0)),IFERROR(INDEX('Catalog'!$A:$A,MATCH(TRIM(SUBSTITUTE($B3422,CHAR(160)," ")),'Catalog'!$C:$C,0)),""))))</f>
        <v>4421001</v>
      </c>
      <c r="H3422" s="8" t="str">
        <f aca="false">IFERROR(INDEX('TRANS'!$C:$C,MATCH($B3422,'TRANS'!$A:$A,0)),IFERROR(INDEX('Catalog'!$B:$B,MATCH($G3422,'Catalog'!$A:$A,0)),$B3422))</f>
        <v>3611 שרוול מטטרזלי מסיליקון</v>
      </c>
      <c r="I3422" s="8" t="str">
        <f aca="false">IF($G3422="","Unmatched","Matched")</f>
        <v>Matched</v>
      </c>
    </row>
    <row r="3423" customFormat="false" ht="15" hidden="false" customHeight="false" outlineLevel="0" collapsed="false">
      <c r="A3423" s="8" t="s">
        <v>1057</v>
      </c>
      <c r="B3423" s="8" t="s">
        <v>150</v>
      </c>
      <c r="C3423" s="19" t="n">
        <v>20</v>
      </c>
      <c r="D3423" s="19" t="n">
        <v>334.87</v>
      </c>
      <c r="E3423" s="19" t="n">
        <v>0</v>
      </c>
      <c r="F3423" s="19" t="n">
        <v>0</v>
      </c>
      <c r="G3423" s="8" t="n">
        <f aca="false">IFERROR(INDEX('TRANS'!$B:$B,MATCH($B3423,'TRANS'!$A:$A,0)),IFERROR(INDEX('TRANS'!$B:$B,MATCH(TRIM(SUBSTITUTE($B3423,CHAR(160)," ")),'TRANS'!$D:$D,0)),IFERROR(INDEX('Catalog'!$A:$A,MATCH($B3423,'Catalog'!$B:$B,0)),IFERROR(INDEX('Catalog'!$A:$A,MATCH(TRIM(SUBSTITUTE($B3423,CHAR(160)," ")),'Catalog'!$C:$C,0)),""))))</f>
        <v>4411001</v>
      </c>
      <c r="H3423" s="8" t="str">
        <f aca="false">IFERROR(INDEX('TRANS'!$C:$C,MATCH($B3423,'TRANS'!$A:$A,0)),IFERROR(INDEX('Catalog'!$B:$B,MATCH($G3423,'Catalog'!$A:$A,0)),$B3423))</f>
        <v>3623 כרית ליישור אצבע פטיש</v>
      </c>
      <c r="I3423" s="8" t="str">
        <f aca="false">IF($G3423="","Unmatched","Matched")</f>
        <v>Matched</v>
      </c>
    </row>
    <row r="3424" customFormat="false" ht="15" hidden="false" customHeight="false" outlineLevel="0" collapsed="false">
      <c r="A3424" s="8" t="s">
        <v>1057</v>
      </c>
      <c r="B3424" s="8" t="s">
        <v>151</v>
      </c>
      <c r="C3424" s="19" t="n">
        <v>10</v>
      </c>
      <c r="D3424" s="19" t="n">
        <v>97.41</v>
      </c>
      <c r="E3424" s="19" t="n">
        <v>0</v>
      </c>
      <c r="F3424" s="19" t="n">
        <v>0</v>
      </c>
      <c r="G3424" s="8" t="str">
        <f aca="false">IFERROR(INDEX('TRANS'!$B:$B,MATCH($B3424,'TRANS'!$A:$A,0)),IFERROR(INDEX('TRANS'!$B:$B,MATCH(TRIM(SUBSTITUTE($B3424,CHAR(160)," ")),'TRANS'!$D:$D,0)),IFERROR(INDEX('Catalog'!$A:$A,MATCH($B3424,'Catalog'!$B:$B,0)),IFERROR(INDEX('Catalog'!$A:$A,MATCH(TRIM(SUBSTITUTE($B3424,CHAR(160)," ")),'Catalog'!$C:$C,0)),""))))</f>
        <v/>
      </c>
      <c r="H3424" s="8" t="str">
        <f aca="false">IFERROR(INDEX('TRANS'!$C:$C,MATCH($B3424,'TRANS'!$A:$A,0)),IFERROR(INDEX('Catalog'!$B:$B,MATCH($G3424,'Catalog'!$A:$A,0)),$B3424))</f>
        <v>363 L/R</v>
      </c>
      <c r="I3424" s="8" t="str">
        <f aca="false">IF($G3424="","Unmatched","Matched")</f>
        <v>Unmatched</v>
      </c>
    </row>
    <row r="3425" customFormat="false" ht="15" hidden="false" customHeight="false" outlineLevel="0" collapsed="false">
      <c r="A3425" s="8" t="s">
        <v>1057</v>
      </c>
      <c r="B3425" s="8" t="s">
        <v>154</v>
      </c>
      <c r="C3425" s="19" t="n">
        <v>40</v>
      </c>
      <c r="D3425" s="19" t="n">
        <v>228.32</v>
      </c>
      <c r="E3425" s="19" t="n">
        <v>0</v>
      </c>
      <c r="F3425" s="19" t="n">
        <v>0</v>
      </c>
      <c r="G3425" s="8" t="n">
        <f aca="false">IFERROR(INDEX('TRANS'!$B:$B,MATCH($B3425,'TRANS'!$A:$A,0)),IFERROR(INDEX('TRANS'!$B:$B,MATCH(TRIM(SUBSTITUTE($B3425,CHAR(160)," ")),'TRANS'!$D:$D,0)),IFERROR(INDEX('Catalog'!$A:$A,MATCH($B3425,'Catalog'!$B:$B,0)),IFERROR(INDEX('Catalog'!$A:$A,MATCH(TRIM(SUBSTITUTE($B3425,CHAR(160)," ")),'Catalog'!$C:$C,0)),""))))</f>
        <v>4413061</v>
      </c>
      <c r="H3425" s="8" t="str">
        <f aca="false">IFERROR(INDEX('TRANS'!$C:$C,MATCH($B3425,'TRANS'!$A:$A,0)),IFERROR(INDEX('Catalog'!$B:$B,MATCH($G3425,'Catalog'!$A:$A,0)),$B3425))</f>
        <v>3641-מיישר בוהן סיליקון קשיח</v>
      </c>
      <c r="I3425" s="8" t="str">
        <f aca="false">IF($G3425="","Unmatched","Matched")</f>
        <v>Matched</v>
      </c>
    </row>
    <row r="3426" customFormat="false" ht="15" hidden="false" customHeight="false" outlineLevel="0" collapsed="false">
      <c r="A3426" s="8" t="s">
        <v>1057</v>
      </c>
      <c r="B3426" s="8" t="s">
        <v>155</v>
      </c>
      <c r="C3426" s="19" t="n">
        <v>15</v>
      </c>
      <c r="D3426" s="19" t="n">
        <v>102.74</v>
      </c>
      <c r="E3426" s="19" t="n">
        <v>0</v>
      </c>
      <c r="F3426" s="19" t="n">
        <v>0</v>
      </c>
      <c r="G3426" s="8" t="n">
        <f aca="false">IFERROR(INDEX('TRANS'!$B:$B,MATCH($B3426,'TRANS'!$A:$A,0)),IFERROR(INDEX('TRANS'!$B:$B,MATCH(TRIM(SUBSTITUTE($B3426,CHAR(160)," ")),'TRANS'!$D:$D,0)),IFERROR(INDEX('Catalog'!$A:$A,MATCH($B3426,'Catalog'!$B:$B,0)),IFERROR(INDEX('Catalog'!$A:$A,MATCH(TRIM(SUBSTITUTE($B3426,CHAR(160)," ")),'Catalog'!$C:$C,0)),""))))</f>
        <v>4409000</v>
      </c>
      <c r="H3426" s="8" t="str">
        <f aca="false">IFERROR(INDEX('TRANS'!$C:$C,MATCH($B3426,'TRANS'!$A:$A,0)),IFERROR(INDEX('Catalog'!$B:$B,MATCH($G3426,'Catalog'!$A:$A,0)),$B3426))</f>
        <v>365 S-Lטבעת אלסטית מסיליקון</v>
      </c>
      <c r="I3426" s="8" t="str">
        <f aca="false">IF($G3426="","Unmatched","Matched")</f>
        <v>Matched</v>
      </c>
    </row>
    <row r="3427" customFormat="false" ht="15" hidden="false" customHeight="false" outlineLevel="0" collapsed="false">
      <c r="A3427" s="8" t="s">
        <v>1057</v>
      </c>
      <c r="B3427" s="8" t="s">
        <v>156</v>
      </c>
      <c r="C3427" s="19" t="n">
        <v>20</v>
      </c>
      <c r="D3427" s="19" t="n">
        <v>182.66</v>
      </c>
      <c r="E3427" s="19" t="n">
        <v>0</v>
      </c>
      <c r="F3427" s="19" t="n">
        <v>0</v>
      </c>
      <c r="G3427" s="8" t="n">
        <f aca="false">IFERROR(INDEX('TRANS'!$B:$B,MATCH($B3427,'TRANS'!$A:$A,0)),IFERROR(INDEX('TRANS'!$B:$B,MATCH(TRIM(SUBSTITUTE($B3427,CHAR(160)," ")),'TRANS'!$D:$D,0)),IFERROR(INDEX('Catalog'!$A:$A,MATCH($B3427,'Catalog'!$B:$B,0)),IFERROR(INDEX('Catalog'!$A:$A,MATCH(TRIM(SUBSTITUTE($B3427,CHAR(160)," ")),'Catalog'!$C:$C,0)),""))))</f>
        <v>4421000</v>
      </c>
      <c r="H3427" s="8" t="str">
        <f aca="false">IFERROR(INDEX('TRANS'!$C:$C,MATCH($B3427,'TRANS'!$A:$A,0)),IFERROR(INDEX('Catalog'!$B:$B,MATCH($G3427,'Catalog'!$A:$A,0)),$B3427))</f>
        <v>3655 שרוול מסיליקון לאצבע</v>
      </c>
      <c r="I3427" s="8" t="str">
        <f aca="false">IF($G3427="","Unmatched","Matched")</f>
        <v>Matched</v>
      </c>
    </row>
    <row r="3428" customFormat="false" ht="15" hidden="false" customHeight="false" outlineLevel="0" collapsed="false">
      <c r="A3428" s="8" t="s">
        <v>1057</v>
      </c>
      <c r="B3428" s="8" t="s">
        <v>161</v>
      </c>
      <c r="C3428" s="19" t="n">
        <v>40</v>
      </c>
      <c r="D3428" s="19" t="n">
        <v>707.79</v>
      </c>
      <c r="E3428" s="19" t="n">
        <v>0</v>
      </c>
      <c r="F3428" s="19" t="n">
        <v>0</v>
      </c>
      <c r="G3428" s="8" t="n">
        <f aca="false">IFERROR(INDEX('TRANS'!$B:$B,MATCH($B3428,'TRANS'!$A:$A,0)),IFERROR(INDEX('TRANS'!$B:$B,MATCH(TRIM(SUBSTITUTE($B3428,CHAR(160)," ")),'TRANS'!$D:$D,0)),IFERROR(INDEX('Catalog'!$A:$A,MATCH($B3428,'Catalog'!$B:$B,0)),IFERROR(INDEX('Catalog'!$A:$A,MATCH(TRIM(SUBSTITUTE($B3428,CHAR(160)," ")),'Catalog'!$C:$C,0)),""))))</f>
        <v>4413370</v>
      </c>
      <c r="H3428" s="8" t="str">
        <f aca="false">IFERROR(INDEX('TRANS'!$C:$C,MATCH($B3428,'TRANS'!$A:$A,0)),IFERROR(INDEX('Catalog'!$B:$B,MATCH($G3428,'Catalog'!$A:$A,0)),$B3428))</f>
        <v>3674 0 מ.בוניון+מפריד אצבע</v>
      </c>
      <c r="I3428" s="8" t="str">
        <f aca="false">IF($G3428="","Unmatched","Matched")</f>
        <v>Matched</v>
      </c>
    </row>
    <row r="3429" customFormat="false" ht="15" hidden="false" customHeight="false" outlineLevel="0" collapsed="false">
      <c r="A3429" s="8" t="s">
        <v>1057</v>
      </c>
      <c r="B3429" s="8" t="s">
        <v>162</v>
      </c>
      <c r="C3429" s="19" t="n">
        <v>15</v>
      </c>
      <c r="D3429" s="19" t="n">
        <v>216.9</v>
      </c>
      <c r="E3429" s="19" t="n">
        <v>0</v>
      </c>
      <c r="F3429" s="19" t="n">
        <v>0</v>
      </c>
      <c r="G3429" s="8" t="n">
        <f aca="false">IFERROR(INDEX('TRANS'!$B:$B,MATCH($B3429,'TRANS'!$A:$A,0)),IFERROR(INDEX('TRANS'!$B:$B,MATCH(TRIM(SUBSTITUTE($B3429,CHAR(160)," ")),'TRANS'!$D:$D,0)),IFERROR(INDEX('Catalog'!$A:$A,MATCH($B3429,'Catalog'!$B:$B,0)),IFERROR(INDEX('Catalog'!$A:$A,MATCH(TRIM(SUBSTITUTE($B3429,CHAR(160)," ")),'Catalog'!$C:$C,0)),""))))</f>
        <v>4413371</v>
      </c>
      <c r="H3429" s="8" t="str">
        <f aca="false">IFERROR(INDEX('TRANS'!$C:$C,MATCH($B3429,'TRANS'!$A:$A,0)),IFERROR(INDEX('Catalog'!$B:$B,MATCH($G3429,'Catalog'!$A:$A,0)),$B3429))</f>
        <v>3675    מגן זרת מסיליקון</v>
      </c>
      <c r="I3429" s="8" t="str">
        <f aca="false">IF($G3429="","Unmatched","Matched")</f>
        <v>Matched</v>
      </c>
    </row>
    <row r="3430" customFormat="false" ht="15" hidden="false" customHeight="false" outlineLevel="0" collapsed="false">
      <c r="A3430" s="8" t="s">
        <v>1057</v>
      </c>
      <c r="B3430" s="8" t="s">
        <v>175</v>
      </c>
      <c r="C3430" s="19" t="n">
        <v>10</v>
      </c>
      <c r="D3430" s="19" t="n">
        <v>350.09</v>
      </c>
      <c r="E3430" s="19" t="n">
        <v>0</v>
      </c>
      <c r="F3430" s="19" t="n">
        <v>0</v>
      </c>
      <c r="G3430" s="8" t="n">
        <f aca="false">IFERROR(INDEX('TRANS'!$B:$B,MATCH($B3430,'TRANS'!$A:$A,0)),IFERROR(INDEX('TRANS'!$B:$B,MATCH(TRIM(SUBSTITUTE($B3430,CHAR(160)," ")),'TRANS'!$D:$D,0)),IFERROR(INDEX('Catalog'!$A:$A,MATCH($B3430,'Catalog'!$B:$B,0)),IFERROR(INDEX('Catalog'!$A:$A,MATCH(TRIM(SUBSTITUTE($B3430,CHAR(160)," ")),'Catalog'!$C:$C,0)),""))))</f>
        <v>4408069</v>
      </c>
      <c r="H3430" s="8" t="str">
        <f aca="false">IFERROR(INDEX('TRANS'!$C:$C,MATCH($B3430,'TRANS'!$A:$A,0)),IFERROR(INDEX('Catalog'!$B:$B,MATCH($G3430,'Catalog'!$A:$A,0)),$B3430))</f>
        <v>38 .חבישת""""הלוקס ולגוס""""לאחר נית</v>
      </c>
      <c r="I3430" s="8" t="str">
        <f aca="false">IF($G3430="","Unmatched","Matched")</f>
        <v>Matched</v>
      </c>
    </row>
    <row r="3431" customFormat="false" ht="15" hidden="false" customHeight="false" outlineLevel="0" collapsed="false">
      <c r="A3431" s="8" t="s">
        <v>1057</v>
      </c>
      <c r="B3431" s="8" t="s">
        <v>176</v>
      </c>
      <c r="C3431" s="19" t="n">
        <v>40</v>
      </c>
      <c r="D3431" s="19" t="n">
        <v>715.4</v>
      </c>
      <c r="E3431" s="19" t="n">
        <v>0</v>
      </c>
      <c r="F3431" s="19" t="n">
        <v>0</v>
      </c>
      <c r="G3431" s="8" t="n">
        <f aca="false">IFERROR(INDEX('TRANS'!$B:$B,MATCH($B3431,'TRANS'!$A:$A,0)),IFERROR(INDEX('TRANS'!$B:$B,MATCH(TRIM(SUBSTITUTE($B3431,CHAR(160)," ")),'TRANS'!$D:$D,0)),IFERROR(INDEX('Catalog'!$A:$A,MATCH($B3431,'Catalog'!$B:$B,0)),IFERROR(INDEX('Catalog'!$A:$A,MATCH(TRIM(SUBSTITUTE($B3431,CHAR(160)," ")),'Catalog'!$C:$C,0)),""))))</f>
        <v>4413452</v>
      </c>
      <c r="H3431" s="8" t="str">
        <f aca="false">IFERROR(INDEX('TRANS'!$C:$C,MATCH($B3431,'TRANS'!$A:$A,0)),IFERROR(INDEX('Catalog'!$B:$B,MATCH($G3431,'Catalog'!$A:$A,0)),$B3431))</f>
        <v>386  מיישר בוניון-האלוקס ולגוס</v>
      </c>
      <c r="I3431" s="8" t="str">
        <f aca="false">IF($G3431="","Unmatched","Matched")</f>
        <v>Matched</v>
      </c>
    </row>
    <row r="3432" customFormat="false" ht="15" hidden="false" customHeight="false" outlineLevel="0" collapsed="false">
      <c r="A3432" s="8" t="s">
        <v>1057</v>
      </c>
      <c r="B3432" s="8" t="s">
        <v>178</v>
      </c>
      <c r="C3432" s="19" t="n">
        <v>10</v>
      </c>
      <c r="D3432" s="19" t="n">
        <v>364.51</v>
      </c>
      <c r="E3432" s="19" t="n">
        <v>0</v>
      </c>
      <c r="F3432" s="19" t="n">
        <v>0</v>
      </c>
      <c r="G3432" s="8" t="n">
        <f aca="false">IFERROR(INDEX('TRANS'!$B:$B,MATCH($B3432,'TRANS'!$A:$A,0)),IFERROR(INDEX('TRANS'!$B:$B,MATCH(TRIM(SUBSTITUTE($B3432,CHAR(160)," ")),'TRANS'!$D:$D,0)),IFERROR(INDEX('Catalog'!$A:$A,MATCH($B3432,'Catalog'!$B:$B,0)),IFERROR(INDEX('Catalog'!$A:$A,MATCH(TRIM(SUBSTITUTE($B3432,CHAR(160)," ")),'Catalog'!$C:$C,0)),""))))</f>
        <v>4415298</v>
      </c>
      <c r="H3432" s="8" t="str">
        <f aca="false">IFERROR(INDEX('TRANS'!$C:$C,MATCH($B3432,'TRANS'!$A:$A,0)),IFERROR(INDEX('Catalog'!$B:$B,MATCH($G3432,'Catalog'!$A:$A,0)),$B3432))</f>
        <v>388B L סד לילה שחור לבוהן שמאל</v>
      </c>
      <c r="I3432" s="8" t="str">
        <f aca="false">IF($G3432="","Unmatched","Matched")</f>
        <v>Matched</v>
      </c>
    </row>
    <row r="3433" customFormat="false" ht="15" hidden="false" customHeight="false" outlineLevel="0" collapsed="false">
      <c r="A3433" s="8" t="s">
        <v>1057</v>
      </c>
      <c r="B3433" s="8" t="s">
        <v>179</v>
      </c>
      <c r="C3433" s="19" t="n">
        <v>10</v>
      </c>
      <c r="D3433" s="19" t="n">
        <v>364.51</v>
      </c>
      <c r="E3433" s="19" t="n">
        <v>0</v>
      </c>
      <c r="F3433" s="19" t="n">
        <v>0</v>
      </c>
      <c r="G3433" s="8" t="n">
        <f aca="false">IFERROR(INDEX('TRANS'!$B:$B,MATCH($B3433,'TRANS'!$A:$A,0)),IFERROR(INDEX('TRANS'!$B:$B,MATCH(TRIM(SUBSTITUTE($B3433,CHAR(160)," ")),'TRANS'!$D:$D,0)),IFERROR(INDEX('Catalog'!$A:$A,MATCH($B3433,'Catalog'!$B:$B,0)),IFERROR(INDEX('Catalog'!$A:$A,MATCH(TRIM(SUBSTITUTE($B3433,CHAR(160)," ")),'Catalog'!$C:$C,0)),""))))</f>
        <v>4415299</v>
      </c>
      <c r="H3433" s="8" t="str">
        <f aca="false">IFERROR(INDEX('TRANS'!$C:$C,MATCH($B3433,'TRANS'!$A:$A,0)),IFERROR(INDEX('Catalog'!$B:$B,MATCH($G3433,'Catalog'!$A:$A,0)),$B3433))</f>
        <v>388B L סד לילה שחור לבוהן ימין</v>
      </c>
      <c r="I3433" s="8" t="str">
        <f aca="false">IF($G3433="","Unmatched","Matched")</f>
        <v>Matched</v>
      </c>
    </row>
    <row r="3434" customFormat="false" ht="15" hidden="false" customHeight="false" outlineLevel="0" collapsed="false">
      <c r="A3434" s="8" t="s">
        <v>1057</v>
      </c>
      <c r="B3434" s="8" t="s">
        <v>210</v>
      </c>
      <c r="C3434" s="19" t="n">
        <v>25</v>
      </c>
      <c r="D3434" s="19" t="n">
        <v>280.64</v>
      </c>
      <c r="E3434" s="19" t="n">
        <v>0</v>
      </c>
      <c r="F3434" s="19" t="n">
        <v>0</v>
      </c>
      <c r="G3434" s="8" t="n">
        <f aca="false">IFERROR(INDEX('TRANS'!$B:$B,MATCH($B3434,'TRANS'!$A:$A,0)),IFERROR(INDEX('TRANS'!$B:$B,MATCH(TRIM(SUBSTITUTE($B3434,CHAR(160)," ")),'TRANS'!$D:$D,0)),IFERROR(INDEX('Catalog'!$A:$A,MATCH($B3434,'Catalog'!$B:$B,0)),IFERROR(INDEX('Catalog'!$A:$A,MATCH(TRIM(SUBSTITUTE($B3434,CHAR(160)," ")),'Catalog'!$C:$C,0)),""))))</f>
        <v>4413098</v>
      </c>
      <c r="H3434" s="8" t="str">
        <f aca="false">IFERROR(INDEX('TRANS'!$C:$C,MATCH($B3434,'TRANS'!$A:$A,0)),IFERROR(INDEX('Catalog'!$B:$B,MATCH($G3434,'Catalog'!$A:$A,0)),$B3434))</f>
        <v>45C L מגן ברך חום</v>
      </c>
      <c r="I3434" s="8" t="str">
        <f aca="false">IF($G3434="","Unmatched","Matched")</f>
        <v>Matched</v>
      </c>
    </row>
    <row r="3435" customFormat="false" ht="15" hidden="false" customHeight="false" outlineLevel="0" collapsed="false">
      <c r="A3435" s="8" t="s">
        <v>1057</v>
      </c>
      <c r="B3435" s="8" t="s">
        <v>211</v>
      </c>
      <c r="C3435" s="19" t="n">
        <v>20</v>
      </c>
      <c r="D3435" s="19" t="n">
        <v>224.51</v>
      </c>
      <c r="E3435" s="19" t="n">
        <v>0</v>
      </c>
      <c r="F3435" s="19" t="n">
        <v>0</v>
      </c>
      <c r="G3435" s="8" t="n">
        <f aca="false">IFERROR(INDEX('TRANS'!$B:$B,MATCH($B3435,'TRANS'!$A:$A,0)),IFERROR(INDEX('TRANS'!$B:$B,MATCH(TRIM(SUBSTITUTE($B3435,CHAR(160)," ")),'TRANS'!$D:$D,0)),IFERROR(INDEX('Catalog'!$A:$A,MATCH($B3435,'Catalog'!$B:$B,0)),IFERROR(INDEX('Catalog'!$A:$A,MATCH(TRIM(SUBSTITUTE($B3435,CHAR(160)," ")),'Catalog'!$C:$C,0)),""))))</f>
        <v>4413099</v>
      </c>
      <c r="H3435" s="8" t="str">
        <f aca="false">IFERROR(INDEX('TRANS'!$C:$C,MATCH($B3435,'TRANS'!$A:$A,0)),IFERROR(INDEX('Catalog'!$B:$B,MATCH($G3435,'Catalog'!$A:$A,0)),$B3435))</f>
        <v>45C M מגן ברך חום</v>
      </c>
      <c r="I3435" s="8" t="str">
        <f aca="false">IF($G3435="","Unmatched","Matched")</f>
        <v>Matched</v>
      </c>
    </row>
    <row r="3436" customFormat="false" ht="15" hidden="false" customHeight="false" outlineLevel="0" collapsed="false">
      <c r="A3436" s="8" t="s">
        <v>1057</v>
      </c>
      <c r="B3436" s="8" t="s">
        <v>213</v>
      </c>
      <c r="C3436" s="19" t="n">
        <v>25</v>
      </c>
      <c r="D3436" s="19" t="n">
        <v>280.64</v>
      </c>
      <c r="E3436" s="19" t="n">
        <v>0</v>
      </c>
      <c r="F3436" s="19" t="n">
        <v>0</v>
      </c>
      <c r="G3436" s="8" t="n">
        <f aca="false">IFERROR(INDEX('TRANS'!$B:$B,MATCH($B3436,'TRANS'!$A:$A,0)),IFERROR(INDEX('TRANS'!$B:$B,MATCH(TRIM(SUBSTITUTE($B3436,CHAR(160)," ")),'TRANS'!$D:$D,0)),IFERROR(INDEX('Catalog'!$A:$A,MATCH($B3436,'Catalog'!$B:$B,0)),IFERROR(INDEX('Catalog'!$A:$A,MATCH(TRIM(SUBSTITUTE($B3436,CHAR(160)," ")),'Catalog'!$C:$C,0)),""))))</f>
        <v>4413100</v>
      </c>
      <c r="H3436" s="8" t="str">
        <f aca="false">IFERROR(INDEX('TRANS'!$C:$C,MATCH($B3436,'TRANS'!$A:$A,0)),IFERROR(INDEX('Catalog'!$B:$B,MATCH($G3436,'Catalog'!$A:$A,0)),$B3436))</f>
        <v>45C XL מגן ברך חום</v>
      </c>
      <c r="I3436" s="8" t="str">
        <f aca="false">IF($G3436="","Unmatched","Matched")</f>
        <v>Matched</v>
      </c>
    </row>
    <row r="3437" customFormat="false" ht="15" hidden="false" customHeight="false" outlineLevel="0" collapsed="false">
      <c r="A3437" s="8" t="s">
        <v>1057</v>
      </c>
      <c r="B3437" s="8" t="s">
        <v>215</v>
      </c>
      <c r="C3437" s="19" t="n">
        <v>20</v>
      </c>
      <c r="D3437" s="19" t="n">
        <v>224.51</v>
      </c>
      <c r="E3437" s="19" t="n">
        <v>0</v>
      </c>
      <c r="F3437" s="19" t="n">
        <v>0</v>
      </c>
      <c r="G3437" s="8" t="str">
        <f aca="false">IFERROR(INDEX('TRANS'!$B:$B,MATCH($B3437,'TRANS'!$A:$A,0)),IFERROR(INDEX('TRANS'!$B:$B,MATCH(TRIM(SUBSTITUTE($B3437,CHAR(160)," ")),'TRANS'!$D:$D,0)),IFERROR(INDEX('Catalog'!$A:$A,MATCH($B3437,'Catalog'!$B:$B,0)),IFERROR(INDEX('Catalog'!$A:$A,MATCH(TRIM(SUBSTITUTE($B3437,CHAR(160)," ")),'Catalog'!$C:$C,0)),""))))</f>
        <v/>
      </c>
      <c r="H3437" s="8" t="str">
        <f aca="false">IFERROR(INDEX('TRANS'!$C:$C,MATCH($B3437,'TRANS'!$A:$A,0)),IFERROR(INDEX('Catalog'!$B:$B,MATCH($G3437,'Catalog'!$A:$A,0)),$B3437))</f>
        <v>45C XXL</v>
      </c>
      <c r="I3437" s="8" t="str">
        <f aca="false">IF($G3437="","Unmatched","Matched")</f>
        <v>Unmatched</v>
      </c>
    </row>
    <row r="3438" customFormat="false" ht="15" hidden="false" customHeight="false" outlineLevel="0" collapsed="false">
      <c r="A3438" s="8" t="s">
        <v>1057</v>
      </c>
      <c r="B3438" s="8" t="s">
        <v>382</v>
      </c>
      <c r="C3438" s="19" t="n">
        <v>20</v>
      </c>
      <c r="D3438" s="19" t="n">
        <v>251.15</v>
      </c>
      <c r="E3438" s="19" t="n">
        <v>0</v>
      </c>
      <c r="F3438" s="19" t="n">
        <v>0</v>
      </c>
      <c r="G3438" s="8" t="n">
        <f aca="false">IFERROR(INDEX('TRANS'!$B:$B,MATCH($B3438,'TRANS'!$A:$A,0)),IFERROR(INDEX('TRANS'!$B:$B,MATCH(TRIM(SUBSTITUTE($B3438,CHAR(160)," ")),'TRANS'!$D:$D,0)),IFERROR(INDEX('Catalog'!$A:$A,MATCH($B3438,'Catalog'!$B:$B,0)),IFERROR(INDEX('Catalog'!$A:$A,MATCH(TRIM(SUBSTITUTE($B3438,CHAR(160)," ")),'Catalog'!$C:$C,0)),""))))</f>
        <v>4413102</v>
      </c>
      <c r="H3438" s="8" t="str">
        <f aca="false">IFERROR(INDEX('TRANS'!$C:$C,MATCH($B3438,'TRANS'!$A:$A,0)),IFERROR(INDEX('Catalog'!$B:$B,MATCH($G3438,'Catalog'!$A:$A,0)),$B3438))</f>
        <v>45E  L        מגן ברך ארוך לבן</v>
      </c>
      <c r="I3438" s="8" t="str">
        <f aca="false">IF($G3438="","Unmatched","Matched")</f>
        <v>Matched</v>
      </c>
    </row>
    <row r="3439" customFormat="false" ht="15" hidden="false" customHeight="false" outlineLevel="0" collapsed="false">
      <c r="A3439" s="8" t="s">
        <v>1057</v>
      </c>
      <c r="B3439" s="8" t="s">
        <v>383</v>
      </c>
      <c r="C3439" s="19" t="n">
        <v>20</v>
      </c>
      <c r="D3439" s="19" t="n">
        <v>251.15</v>
      </c>
      <c r="E3439" s="19" t="n">
        <v>0</v>
      </c>
      <c r="F3439" s="19" t="n">
        <v>0</v>
      </c>
      <c r="G3439" s="8" t="n">
        <f aca="false">IFERROR(INDEX('TRANS'!$B:$B,MATCH($B3439,'TRANS'!$A:$A,0)),IFERROR(INDEX('TRANS'!$B:$B,MATCH(TRIM(SUBSTITUTE($B3439,CHAR(160)," ")),'TRANS'!$D:$D,0)),IFERROR(INDEX('Catalog'!$A:$A,MATCH($B3439,'Catalog'!$B:$B,0)),IFERROR(INDEX('Catalog'!$A:$A,MATCH(TRIM(SUBSTITUTE($B3439,CHAR(160)," ")),'Catalog'!$C:$C,0)),""))))</f>
        <v>4413103</v>
      </c>
      <c r="H3439" s="8" t="str">
        <f aca="false">IFERROR(INDEX('TRANS'!$C:$C,MATCH($B3439,'TRANS'!$A:$A,0)),IFERROR(INDEX('Catalog'!$B:$B,MATCH($G3439,'Catalog'!$A:$A,0)),$B3439))</f>
        <v>45E Mמגן ברך ארוך לבן</v>
      </c>
      <c r="I3439" s="8" t="str">
        <f aca="false">IF($G3439="","Unmatched","Matched")</f>
        <v>Matched</v>
      </c>
    </row>
    <row r="3440" customFormat="false" ht="15" hidden="false" customHeight="false" outlineLevel="0" collapsed="false">
      <c r="A3440" s="8" t="s">
        <v>1057</v>
      </c>
      <c r="B3440" s="8" t="s">
        <v>384</v>
      </c>
      <c r="C3440" s="19" t="n">
        <v>5</v>
      </c>
      <c r="D3440" s="19" t="n">
        <v>62.79</v>
      </c>
      <c r="E3440" s="19" t="n">
        <v>0</v>
      </c>
      <c r="F3440" s="19" t="n">
        <v>0</v>
      </c>
      <c r="G3440" s="8" t="n">
        <f aca="false">IFERROR(INDEX('TRANS'!$B:$B,MATCH($B3440,'TRANS'!$A:$A,0)),IFERROR(INDEX('TRANS'!$B:$B,MATCH(TRIM(SUBSTITUTE($B3440,CHAR(160)," ")),'TRANS'!$D:$D,0)),IFERROR(INDEX('Catalog'!$A:$A,MATCH($B3440,'Catalog'!$B:$B,0)),IFERROR(INDEX('Catalog'!$A:$A,MATCH(TRIM(SUBSTITUTE($B3440,CHAR(160)," ")),'Catalog'!$C:$C,0)),""))))</f>
        <v>4413101</v>
      </c>
      <c r="H3440" s="8" t="str">
        <f aca="false">IFERROR(INDEX('TRANS'!$C:$C,MATCH($B3440,'TRANS'!$A:$A,0)),IFERROR(INDEX('Catalog'!$B:$B,MATCH($G3440,'Catalog'!$A:$A,0)),$B3440))</f>
        <v>45E Sמגן ברך ארוך לבן</v>
      </c>
      <c r="I3440" s="8" t="str">
        <f aca="false">IF($G3440="","Unmatched","Matched")</f>
        <v>Matched</v>
      </c>
    </row>
    <row r="3441" customFormat="false" ht="15" hidden="false" customHeight="false" outlineLevel="0" collapsed="false">
      <c r="A3441" s="8" t="s">
        <v>1057</v>
      </c>
      <c r="B3441" s="8" t="s">
        <v>216</v>
      </c>
      <c r="C3441" s="19" t="n">
        <v>20</v>
      </c>
      <c r="D3441" s="19" t="n">
        <v>251.15</v>
      </c>
      <c r="E3441" s="19" t="n">
        <v>0</v>
      </c>
      <c r="F3441" s="19" t="n">
        <v>0</v>
      </c>
      <c r="G3441" s="8" t="n">
        <f aca="false">IFERROR(INDEX('TRANS'!$B:$B,MATCH($B3441,'TRANS'!$A:$A,0)),IFERROR(INDEX('TRANS'!$B:$B,MATCH(TRIM(SUBSTITUTE($B3441,CHAR(160)," ")),'TRANS'!$D:$D,0)),IFERROR(INDEX('Catalog'!$A:$A,MATCH($B3441,'Catalog'!$B:$B,0)),IFERROR(INDEX('Catalog'!$A:$A,MATCH(TRIM(SUBSTITUTE($B3441,CHAR(160)," ")),'Catalog'!$C:$C,0)),""))))</f>
        <v>4413104</v>
      </c>
      <c r="H3441" s="8" t="str">
        <f aca="false">IFERROR(INDEX('TRANS'!$C:$C,MATCH($B3441,'TRANS'!$A:$A,0)),IFERROR(INDEX('Catalog'!$B:$B,MATCH($G3441,'Catalog'!$A:$A,0)),$B3441))</f>
        <v>45E XLמגן ברך ארוך לבן</v>
      </c>
      <c r="I3441" s="8" t="str">
        <f aca="false">IF($G3441="","Unmatched","Matched")</f>
        <v>Matched</v>
      </c>
    </row>
    <row r="3442" customFormat="false" ht="15" hidden="false" customHeight="false" outlineLevel="0" collapsed="false">
      <c r="A3442" s="8" t="s">
        <v>1057</v>
      </c>
      <c r="B3442" s="8" t="s">
        <v>217</v>
      </c>
      <c r="C3442" s="19" t="n">
        <v>20</v>
      </c>
      <c r="D3442" s="19" t="n">
        <v>251.15</v>
      </c>
      <c r="E3442" s="19" t="n">
        <v>0</v>
      </c>
      <c r="F3442" s="19" t="n">
        <v>0</v>
      </c>
      <c r="G3442" s="8" t="n">
        <f aca="false">IFERROR(INDEX('TRANS'!$B:$B,MATCH($B3442,'TRANS'!$A:$A,0)),IFERROR(INDEX('TRANS'!$B:$B,MATCH(TRIM(SUBSTITUTE($B3442,CHAR(160)," ")),'TRANS'!$D:$D,0)),IFERROR(INDEX('Catalog'!$A:$A,MATCH($B3442,'Catalog'!$B:$B,0)),IFERROR(INDEX('Catalog'!$A:$A,MATCH(TRIM(SUBSTITUTE($B3442,CHAR(160)," ")),'Catalog'!$C:$C,0)),""))))</f>
        <v>4413105</v>
      </c>
      <c r="H3442" s="8" t="str">
        <f aca="false">IFERROR(INDEX('TRANS'!$C:$C,MATCH($B3442,'TRANS'!$A:$A,0)),IFERROR(INDEX('Catalog'!$B:$B,MATCH($G3442,'Catalog'!$A:$A,0)),$B3442))</f>
        <v>45E XXLמגן ברך ארוך לבן</v>
      </c>
      <c r="I3442" s="8" t="str">
        <f aca="false">IF($G3442="","Unmatched","Matched")</f>
        <v>Matched</v>
      </c>
    </row>
    <row r="3443" customFormat="false" ht="15" hidden="false" customHeight="false" outlineLevel="0" collapsed="false">
      <c r="A3443" s="8" t="s">
        <v>1057</v>
      </c>
      <c r="B3443" s="8" t="s">
        <v>577</v>
      </c>
      <c r="C3443" s="19" t="n">
        <v>20</v>
      </c>
      <c r="D3443" s="19" t="n">
        <v>498.49</v>
      </c>
      <c r="E3443" s="19" t="n">
        <v>0</v>
      </c>
      <c r="F3443" s="19" t="n">
        <v>0</v>
      </c>
      <c r="G3443" s="8" t="n">
        <f aca="false">IFERROR(INDEX('TRANS'!$B:$B,MATCH($B3443,'TRANS'!$A:$A,0)),IFERROR(INDEX('TRANS'!$B:$B,MATCH(TRIM(SUBSTITUTE($B3443,CHAR(160)," ")),'TRANS'!$D:$D,0)),IFERROR(INDEX('Catalog'!$A:$A,MATCH($B3443,'Catalog'!$B:$B,0)),IFERROR(INDEX('Catalog'!$A:$A,MATCH(TRIM(SUBSTITUTE($B3443,CHAR(160)," ")),'Catalog'!$C:$C,0)),""))))</f>
        <v>4418000</v>
      </c>
      <c r="H3443" s="8" t="str">
        <f aca="false">IFERROR(INDEX('TRANS'!$C:$C,MATCH($B3443,'TRANS'!$A:$A,0)),IFERROR(INDEX('Catalog'!$B:$B,MATCH($G3443,'Catalog'!$A:$A,0)),$B3443))</f>
        <v>60 L צוארון ספוגי</v>
      </c>
      <c r="I3443" s="8" t="str">
        <f aca="false">IF($G3443="","Unmatched","Matched")</f>
        <v>Matched</v>
      </c>
    </row>
    <row r="3444" customFormat="false" ht="15" hidden="false" customHeight="false" outlineLevel="0" collapsed="false">
      <c r="A3444" s="8" t="s">
        <v>1057</v>
      </c>
      <c r="B3444" s="8" t="s">
        <v>228</v>
      </c>
      <c r="C3444" s="19" t="n">
        <v>20</v>
      </c>
      <c r="D3444" s="19" t="n">
        <v>498.49</v>
      </c>
      <c r="E3444" s="19" t="n">
        <v>0</v>
      </c>
      <c r="F3444" s="19" t="n">
        <v>0</v>
      </c>
      <c r="G3444" s="8" t="n">
        <f aca="false">IFERROR(INDEX('TRANS'!$B:$B,MATCH($B3444,'TRANS'!$A:$A,0)),IFERROR(INDEX('TRANS'!$B:$B,MATCH(TRIM(SUBSTITUTE($B3444,CHAR(160)," ")),'TRANS'!$D:$D,0)),IFERROR(INDEX('Catalog'!$A:$A,MATCH($B3444,'Catalog'!$B:$B,0)),IFERROR(INDEX('Catalog'!$A:$A,MATCH(TRIM(SUBSTITUTE($B3444,CHAR(160)," ")),'Catalog'!$C:$C,0)),""))))</f>
        <v>4418001</v>
      </c>
      <c r="H3444" s="8" t="str">
        <f aca="false">IFERROR(INDEX('TRANS'!$C:$C,MATCH($B3444,'TRANS'!$A:$A,0)),IFERROR(INDEX('Catalog'!$B:$B,MATCH($G3444,'Catalog'!$A:$A,0)),$B3444))</f>
        <v>60 M צוארון ספוגי</v>
      </c>
      <c r="I3444" s="8" t="str">
        <f aca="false">IF($G3444="","Unmatched","Matched")</f>
        <v>Matched</v>
      </c>
    </row>
    <row r="3445" customFormat="false" ht="15" hidden="false" customHeight="false" outlineLevel="0" collapsed="false">
      <c r="A3445" s="8" t="s">
        <v>1057</v>
      </c>
      <c r="B3445" s="8" t="s">
        <v>1058</v>
      </c>
      <c r="C3445" s="19" t="n">
        <v>7</v>
      </c>
      <c r="D3445" s="19" t="n">
        <v>175.81</v>
      </c>
      <c r="E3445" s="19" t="n">
        <v>0</v>
      </c>
      <c r="F3445" s="19" t="n">
        <v>0</v>
      </c>
      <c r="G3445" s="8" t="str">
        <f aca="false">IFERROR(INDEX('TRANS'!$B:$B,MATCH($B3445,'TRANS'!$A:$A,0)),IFERROR(INDEX('TRANS'!$B:$B,MATCH(TRIM(SUBSTITUTE($B3445,CHAR(160)," ")),'TRANS'!$D:$D,0)),IFERROR(INDEX('Catalog'!$A:$A,MATCH($B3445,'Catalog'!$B:$B,0)),IFERROR(INDEX('Catalog'!$A:$A,MATCH(TRIM(SUBSTITUTE($B3445,CHAR(160)," ")),'Catalog'!$C:$C,0)),""))))</f>
        <v/>
      </c>
      <c r="H3445" s="8" t="str">
        <f aca="false">IFERROR(INDEX('TRANS'!$C:$C,MATCH($B3445,'TRANS'!$A:$A,0)),IFERROR(INDEX('Catalog'!$B:$B,MATCH($G3445,'Catalog'!$A:$A,0)),$B3445))</f>
        <v>62 L</v>
      </c>
      <c r="I3445" s="8" t="str">
        <f aca="false">IF($G3445="","Unmatched","Matched")</f>
        <v>Unmatched</v>
      </c>
    </row>
    <row r="3446" customFormat="false" ht="15" hidden="false" customHeight="false" outlineLevel="0" collapsed="false">
      <c r="A3446" s="8" t="s">
        <v>1057</v>
      </c>
      <c r="B3446" s="8" t="s">
        <v>247</v>
      </c>
      <c r="C3446" s="19" t="n">
        <v>36</v>
      </c>
      <c r="D3446" s="19" t="n">
        <v>486.32</v>
      </c>
      <c r="E3446" s="19" t="n">
        <v>0</v>
      </c>
      <c r="F3446" s="19" t="n">
        <v>0</v>
      </c>
      <c r="G3446" s="8" t="n">
        <f aca="false">IFERROR(INDEX('TRANS'!$B:$B,MATCH($B3446,'TRANS'!$A:$A,0)),IFERROR(INDEX('TRANS'!$B:$B,MATCH(TRIM(SUBSTITUTE($B3446,CHAR(160)," ")),'TRANS'!$D:$D,0)),IFERROR(INDEX('Catalog'!$A:$A,MATCH($B3446,'Catalog'!$B:$B,0)),IFERROR(INDEX('Catalog'!$A:$A,MATCH(TRIM(SUBSTITUTE($B3446,CHAR(160)," ")),'Catalog'!$C:$C,0)),""))))</f>
        <v>4409017</v>
      </c>
      <c r="H3446" s="8" t="str">
        <f aca="false">IFERROR(INDEX('TRANS'!$C:$C,MATCH($B3446,'TRANS'!$A:$A,0)),IFERROR(INDEX('Catalog'!$B:$B,MATCH($G3446,'Catalog'!$A:$A,0)),$B3446))</f>
        <v>808KT-B        טייפ קינזיולוגי</v>
      </c>
      <c r="I3446" s="8" t="str">
        <f aca="false">IF($G3446="","Unmatched","Matched")</f>
        <v>Matched</v>
      </c>
    </row>
    <row r="3447" customFormat="false" ht="15" hidden="false" customHeight="false" outlineLevel="0" collapsed="false">
      <c r="A3447" s="8" t="s">
        <v>1057</v>
      </c>
      <c r="B3447" s="8" t="s">
        <v>506</v>
      </c>
      <c r="C3447" s="19" t="n">
        <v>36</v>
      </c>
      <c r="D3447" s="19" t="n">
        <v>486.32</v>
      </c>
      <c r="E3447" s="19" t="n">
        <v>0</v>
      </c>
      <c r="F3447" s="19" t="n">
        <v>0</v>
      </c>
      <c r="G3447" s="8" t="n">
        <f aca="false">IFERROR(INDEX('TRANS'!$B:$B,MATCH($B3447,'TRANS'!$A:$A,0)),IFERROR(INDEX('TRANS'!$B:$B,MATCH(TRIM(SUBSTITUTE($B3447,CHAR(160)," ")),'TRANS'!$D:$D,0)),IFERROR(INDEX('Catalog'!$A:$A,MATCH($B3447,'Catalog'!$B:$B,0)),IFERROR(INDEX('Catalog'!$A:$A,MATCH(TRIM(SUBSTITUTE($B3447,CHAR(160)," ")),'Catalog'!$C:$C,0)),""))))</f>
        <v>4409015</v>
      </c>
      <c r="H3447" s="8" t="str">
        <f aca="false">IFERROR(INDEX('TRANS'!$C:$C,MATCH($B3447,'TRANS'!$A:$A,0)),IFERROR(INDEX('Catalog'!$B:$B,MATCH($G3447,'Catalog'!$A:$A,0)),$B3447))</f>
        <v>808KT-BL       טייפ קינזיולוגי</v>
      </c>
      <c r="I3447" s="8" t="str">
        <f aca="false">IF($G3447="","Unmatched","Matched")</f>
        <v>Matched</v>
      </c>
    </row>
    <row r="3448" customFormat="false" ht="15" hidden="false" customHeight="false" outlineLevel="0" collapsed="false">
      <c r="A3448" s="8" t="s">
        <v>1057</v>
      </c>
      <c r="B3448" s="8" t="s">
        <v>248</v>
      </c>
      <c r="C3448" s="19" t="n">
        <v>36</v>
      </c>
      <c r="D3448" s="19" t="n">
        <v>486.32</v>
      </c>
      <c r="E3448" s="19" t="n">
        <v>0</v>
      </c>
      <c r="F3448" s="19" t="n">
        <v>0</v>
      </c>
      <c r="G3448" s="8" t="n">
        <f aca="false">IFERROR(INDEX('TRANS'!$B:$B,MATCH($B3448,'TRANS'!$A:$A,0)),IFERROR(INDEX('TRANS'!$B:$B,MATCH(TRIM(SUBSTITUTE($B3448,CHAR(160)," ")),'TRANS'!$D:$D,0)),IFERROR(INDEX('Catalog'!$A:$A,MATCH($B3448,'Catalog'!$B:$B,0)),IFERROR(INDEX('Catalog'!$A:$A,MATCH(TRIM(SUBSTITUTE($B3448,CHAR(160)," ")),'Catalog'!$C:$C,0)),""))))</f>
        <v>4409016</v>
      </c>
      <c r="H3448" s="8" t="str">
        <f aca="false">IFERROR(INDEX('TRANS'!$C:$C,MATCH($B3448,'TRANS'!$A:$A,0)),IFERROR(INDEX('Catalog'!$B:$B,MATCH($G3448,'Catalog'!$A:$A,0)),$B3448))</f>
        <v>808KT-C        טייפ קינזיולוגי</v>
      </c>
      <c r="I3448" s="8" t="str">
        <f aca="false">IF($G3448="","Unmatched","Matched")</f>
        <v>Matched</v>
      </c>
    </row>
    <row r="3449" customFormat="false" ht="15" hidden="false" customHeight="false" outlineLevel="0" collapsed="false">
      <c r="A3449" s="8" t="s">
        <v>1057</v>
      </c>
      <c r="B3449" s="8" t="s">
        <v>507</v>
      </c>
      <c r="C3449" s="19" t="n">
        <v>36</v>
      </c>
      <c r="D3449" s="19" t="n">
        <v>486.32</v>
      </c>
      <c r="E3449" s="19" t="n">
        <v>0</v>
      </c>
      <c r="F3449" s="19" t="n">
        <v>0</v>
      </c>
      <c r="G3449" s="8" t="n">
        <f aca="false">IFERROR(INDEX('TRANS'!$B:$B,MATCH($B3449,'TRANS'!$A:$A,0)),IFERROR(INDEX('TRANS'!$B:$B,MATCH(TRIM(SUBSTITUTE($B3449,CHAR(160)," ")),'TRANS'!$D:$D,0)),IFERROR(INDEX('Catalog'!$A:$A,MATCH($B3449,'Catalog'!$B:$B,0)),IFERROR(INDEX('Catalog'!$A:$A,MATCH(TRIM(SUBSTITUTE($B3449,CHAR(160)," ")),'Catalog'!$C:$C,0)),""))))</f>
        <v>4409014</v>
      </c>
      <c r="H3449" s="8" t="str">
        <f aca="false">IFERROR(INDEX('TRANS'!$C:$C,MATCH($B3449,'TRANS'!$A:$A,0)),IFERROR(INDEX('Catalog'!$B:$B,MATCH($G3449,'Catalog'!$A:$A,0)),$B3449))</f>
        <v>808KT-P        טייפ קינזיולוגי</v>
      </c>
      <c r="I3449" s="8" t="str">
        <f aca="false">IF($G3449="","Unmatched","Matched")</f>
        <v>Matched</v>
      </c>
    </row>
    <row r="3450" customFormat="false" ht="15" hidden="false" customHeight="false" outlineLevel="0" collapsed="false">
      <c r="A3450" s="8" t="s">
        <v>1057</v>
      </c>
      <c r="B3450" s="8" t="s">
        <v>249</v>
      </c>
      <c r="C3450" s="19" t="n">
        <v>10</v>
      </c>
      <c r="D3450" s="19" t="n">
        <v>249.25</v>
      </c>
      <c r="E3450" s="19" t="n">
        <v>0</v>
      </c>
      <c r="F3450" s="19" t="n">
        <v>0</v>
      </c>
      <c r="G3450" s="8" t="n">
        <f aca="false">IFERROR(INDEX('TRANS'!$B:$B,MATCH($B3450,'TRANS'!$A:$A,0)),IFERROR(INDEX('TRANS'!$B:$B,MATCH(TRIM(SUBSTITUTE($B3450,CHAR(160)," ")),'TRANS'!$D:$D,0)),IFERROR(INDEX('Catalog'!$A:$A,MATCH($B3450,'Catalog'!$B:$B,0)),IFERROR(INDEX('Catalog'!$A:$A,MATCH(TRIM(SUBSTITUTE($B3450,CHAR(160)," ")),'Catalog'!$C:$C,0)),""))))</f>
        <v>4411015</v>
      </c>
      <c r="H3450" s="8" t="str">
        <f aca="false">IFERROR(INDEX('TRANS'!$C:$C,MATCH($B3450,'TRANS'!$A:$A,0)),IFERROR(INDEX('Catalog'!$B:$B,MATCH($G3450,'Catalog'!$A:$A,0)),$B3450))</f>
        <v>820 0 כרית חום וקור</v>
      </c>
      <c r="I3450" s="8" t="str">
        <f aca="false">IF($G3450="","Unmatched","Matched")</f>
        <v>Matched</v>
      </c>
    </row>
    <row r="3451" customFormat="false" ht="15" hidden="false" customHeight="false" outlineLevel="0" collapsed="false">
      <c r="A3451" s="8" t="s">
        <v>1057</v>
      </c>
      <c r="B3451" s="8" t="s">
        <v>418</v>
      </c>
      <c r="C3451" s="19" t="n">
        <v>15</v>
      </c>
      <c r="D3451" s="19" t="n">
        <v>647.85</v>
      </c>
      <c r="E3451" s="19" t="n">
        <v>0</v>
      </c>
      <c r="F3451" s="19" t="n">
        <v>0</v>
      </c>
      <c r="G3451" s="8" t="n">
        <f aca="false">IFERROR(INDEX('TRANS'!$B:$B,MATCH($B3451,'TRANS'!$A:$A,0)),IFERROR(INDEX('TRANS'!$B:$B,MATCH(TRIM(SUBSTITUTE($B3451,CHAR(160)," ")),'TRANS'!$D:$D,0)),IFERROR(INDEX('Catalog'!$A:$A,MATCH($B3451,'Catalog'!$B:$B,0)),IFERROR(INDEX('Catalog'!$A:$A,MATCH(TRIM(SUBSTITUTE($B3451,CHAR(160)," ")),'Catalog'!$C:$C,0)),""))))</f>
        <v>4413176</v>
      </c>
      <c r="H3451" s="8" t="str">
        <f aca="false">IFERROR(INDEX('TRANS'!$C:$C,MATCH($B3451,'TRANS'!$A:$A,0)),IFERROR(INDEX('Catalog'!$B:$B,MATCH($G3451,'Catalog'!$A:$A,0)),$B3451))</f>
        <v>85+ Lמתלה ליד)כיס(+רצועת חיזוק</v>
      </c>
      <c r="I3451" s="8" t="str">
        <f aca="false">IF($G3451="","Unmatched","Matched")</f>
        <v>Matched</v>
      </c>
    </row>
    <row r="3452" customFormat="false" ht="15" hidden="false" customHeight="false" outlineLevel="0" collapsed="false">
      <c r="A3452" s="8" t="s">
        <v>1057</v>
      </c>
      <c r="B3452" s="8" t="s">
        <v>419</v>
      </c>
      <c r="C3452" s="19" t="n">
        <v>15</v>
      </c>
      <c r="D3452" s="19" t="n">
        <v>647.85</v>
      </c>
      <c r="E3452" s="19" t="n">
        <v>0</v>
      </c>
      <c r="F3452" s="19" t="n">
        <v>0</v>
      </c>
      <c r="G3452" s="8" t="n">
        <f aca="false">IFERROR(INDEX('TRANS'!$B:$B,MATCH($B3452,'TRANS'!$A:$A,0)),IFERROR(INDEX('TRANS'!$B:$B,MATCH(TRIM(SUBSTITUTE($B3452,CHAR(160)," ")),'TRANS'!$D:$D,0)),IFERROR(INDEX('Catalog'!$A:$A,MATCH($B3452,'Catalog'!$B:$B,0)),IFERROR(INDEX('Catalog'!$A:$A,MATCH(TRIM(SUBSTITUTE($B3452,CHAR(160)," ")),'Catalog'!$C:$C,0)),""))))</f>
        <v>4413175</v>
      </c>
      <c r="H3452" s="8" t="str">
        <f aca="false">IFERROR(INDEX('TRANS'!$C:$C,MATCH($B3452,'TRANS'!$A:$A,0)),IFERROR(INDEX('Catalog'!$B:$B,MATCH($G3452,'Catalog'!$A:$A,0)),$B3452))</f>
        <v>85+ Mמתלה ליד)כיס(+רצועת חיזוק</v>
      </c>
      <c r="I3452" s="8" t="str">
        <f aca="false">IF($G3452="","Unmatched","Matched")</f>
        <v>Matched</v>
      </c>
    </row>
    <row r="3453" customFormat="false" ht="15" hidden="false" customHeight="false" outlineLevel="0" collapsed="false">
      <c r="A3453" s="8" t="s">
        <v>1057</v>
      </c>
      <c r="B3453" s="8" t="s">
        <v>420</v>
      </c>
      <c r="C3453" s="19" t="n">
        <v>10</v>
      </c>
      <c r="D3453" s="19" t="n">
        <v>431.91</v>
      </c>
      <c r="E3453" s="19" t="n">
        <v>0</v>
      </c>
      <c r="F3453" s="19" t="n">
        <v>0</v>
      </c>
      <c r="G3453" s="8" t="n">
        <f aca="false">IFERROR(INDEX('TRANS'!$B:$B,MATCH($B3453,'TRANS'!$A:$A,0)),IFERROR(INDEX('TRANS'!$B:$B,MATCH(TRIM(SUBSTITUTE($B3453,CHAR(160)," ")),'TRANS'!$D:$D,0)),IFERROR(INDEX('Catalog'!$A:$A,MATCH($B3453,'Catalog'!$B:$B,0)),IFERROR(INDEX('Catalog'!$A:$A,MATCH(TRIM(SUBSTITUTE($B3453,CHAR(160)," ")),'Catalog'!$C:$C,0)),""))))</f>
        <v>4413177</v>
      </c>
      <c r="H3453" s="8" t="str">
        <f aca="false">IFERROR(INDEX('TRANS'!$C:$C,MATCH($B3453,'TRANS'!$A:$A,0)),IFERROR(INDEX('Catalog'!$B:$B,MATCH($G3453,'Catalog'!$A:$A,0)),$B3453))</f>
        <v>85+ XLמתלה ליד)כיס(רצועת חיזוק</v>
      </c>
      <c r="I3453" s="8" t="str">
        <f aca="false">IF($G3453="","Unmatched","Matched")</f>
        <v>Matched</v>
      </c>
    </row>
    <row r="3454" customFormat="false" ht="15" hidden="false" customHeight="false" outlineLevel="0" collapsed="false">
      <c r="A3454" s="8" t="s">
        <v>1057</v>
      </c>
      <c r="B3454" s="8" t="s">
        <v>427</v>
      </c>
      <c r="C3454" s="19" t="n">
        <v>20</v>
      </c>
      <c r="D3454" s="19" t="n">
        <v>224.51</v>
      </c>
      <c r="E3454" s="19" t="n">
        <v>0</v>
      </c>
      <c r="F3454" s="19" t="n">
        <v>0</v>
      </c>
      <c r="G3454" s="8" t="n">
        <f aca="false">IFERROR(INDEX('TRANS'!$B:$B,MATCH($B3454,'TRANS'!$A:$A,0)),IFERROR(INDEX('TRANS'!$B:$B,MATCH(TRIM(SUBSTITUTE($B3454,CHAR(160)," ")),'TRANS'!$D:$D,0)),IFERROR(INDEX('Catalog'!$A:$A,MATCH($B3454,'Catalog'!$B:$B,0)),IFERROR(INDEX('Catalog'!$A:$A,MATCH(TRIM(SUBSTITUTE($B3454,CHAR(160)," ")),'Catalog'!$C:$C,0)),""))))</f>
        <v>4413139</v>
      </c>
      <c r="H3454" s="8" t="str">
        <f aca="false">IFERROR(INDEX('TRANS'!$C:$C,MATCH($B3454,'TRANS'!$A:$A,0)),IFERROR(INDEX('Catalog'!$B:$B,MATCH($G3454,'Catalog'!$A:$A,0)),$B3454))</f>
        <v>95 L מגן מרפק רגיל לבן</v>
      </c>
      <c r="I3454" s="8" t="str">
        <f aca="false">IF($G3454="","Unmatched","Matched")</f>
        <v>Matched</v>
      </c>
    </row>
    <row r="3455" customFormat="false" ht="15" hidden="false" customHeight="false" outlineLevel="0" collapsed="false">
      <c r="A3455" s="8" t="s">
        <v>1057</v>
      </c>
      <c r="B3455" s="8" t="s">
        <v>260</v>
      </c>
      <c r="C3455" s="19" t="n">
        <v>20</v>
      </c>
      <c r="D3455" s="19" t="n">
        <v>224.51</v>
      </c>
      <c r="E3455" s="19" t="n">
        <v>0</v>
      </c>
      <c r="F3455" s="19" t="n">
        <v>0</v>
      </c>
      <c r="G3455" s="8" t="n">
        <f aca="false">IFERROR(INDEX('TRANS'!$B:$B,MATCH($B3455,'TRANS'!$A:$A,0)),IFERROR(INDEX('TRANS'!$B:$B,MATCH(TRIM(SUBSTITUTE($B3455,CHAR(160)," ")),'TRANS'!$D:$D,0)),IFERROR(INDEX('Catalog'!$A:$A,MATCH($B3455,'Catalog'!$B:$B,0)),IFERROR(INDEX('Catalog'!$A:$A,MATCH(TRIM(SUBSTITUTE($B3455,CHAR(160)," ")),'Catalog'!$C:$C,0)),""))))</f>
        <v>4413140</v>
      </c>
      <c r="H3455" s="8" t="str">
        <f aca="false">IFERROR(INDEX('TRANS'!$C:$C,MATCH($B3455,'TRANS'!$A:$A,0)),IFERROR(INDEX('Catalog'!$B:$B,MATCH($G3455,'Catalog'!$A:$A,0)),$B3455))</f>
        <v>95 M מגן מרפק רגיל לבן</v>
      </c>
      <c r="I3455" s="8" t="str">
        <f aca="false">IF($G3455="","Unmatched","Matched")</f>
        <v>Matched</v>
      </c>
    </row>
    <row r="3456" customFormat="false" ht="15" hidden="false" customHeight="false" outlineLevel="0" collapsed="false">
      <c r="A3456" s="8" t="s">
        <v>1057</v>
      </c>
      <c r="B3456" s="8" t="s">
        <v>428</v>
      </c>
      <c r="C3456" s="19" t="n">
        <v>10</v>
      </c>
      <c r="D3456" s="19" t="n">
        <v>112.26</v>
      </c>
      <c r="E3456" s="19" t="n">
        <v>0</v>
      </c>
      <c r="F3456" s="19" t="n">
        <v>0</v>
      </c>
      <c r="G3456" s="8" t="n">
        <f aca="false">IFERROR(INDEX('TRANS'!$B:$B,MATCH($B3456,'TRANS'!$A:$A,0)),IFERROR(INDEX('TRANS'!$B:$B,MATCH(TRIM(SUBSTITUTE($B3456,CHAR(160)," ")),'TRANS'!$D:$D,0)),IFERROR(INDEX('Catalog'!$A:$A,MATCH($B3456,'Catalog'!$B:$B,0)),IFERROR(INDEX('Catalog'!$A:$A,MATCH(TRIM(SUBSTITUTE($B3456,CHAR(160)," ")),'Catalog'!$C:$C,0)),""))))</f>
        <v>4413141</v>
      </c>
      <c r="H3456" s="8" t="str">
        <f aca="false">IFERROR(INDEX('TRANS'!$C:$C,MATCH($B3456,'TRANS'!$A:$A,0)),IFERROR(INDEX('Catalog'!$B:$B,MATCH($G3456,'Catalog'!$A:$A,0)),$B3456))</f>
        <v>95 S מגן מרפק רגיל לבן</v>
      </c>
      <c r="I3456" s="8" t="str">
        <f aca="false">IF($G3456="","Unmatched","Matched")</f>
        <v>Matched</v>
      </c>
    </row>
    <row r="3457" customFormat="false" ht="15" hidden="false" customHeight="false" outlineLevel="0" collapsed="false">
      <c r="A3457" s="8" t="s">
        <v>1057</v>
      </c>
      <c r="B3457" s="8" t="s">
        <v>429</v>
      </c>
      <c r="C3457" s="19" t="n">
        <v>15</v>
      </c>
      <c r="D3457" s="19" t="n">
        <v>168.39</v>
      </c>
      <c r="E3457" s="19" t="n">
        <v>0</v>
      </c>
      <c r="F3457" s="19" t="n">
        <v>0</v>
      </c>
      <c r="G3457" s="8" t="n">
        <f aca="false">IFERROR(INDEX('TRANS'!$B:$B,MATCH($B3457,'TRANS'!$A:$A,0)),IFERROR(INDEX('TRANS'!$B:$B,MATCH(TRIM(SUBSTITUTE($B3457,CHAR(160)," ")),'TRANS'!$D:$D,0)),IFERROR(INDEX('Catalog'!$A:$A,MATCH($B3457,'Catalog'!$B:$B,0)),IFERROR(INDEX('Catalog'!$A:$A,MATCH(TRIM(SUBSTITUTE($B3457,CHAR(160)," ")),'Catalog'!$C:$C,0)),""))))</f>
        <v>4413142</v>
      </c>
      <c r="H3457" s="8" t="str">
        <f aca="false">IFERROR(INDEX('TRANS'!$C:$C,MATCH($B3457,'TRANS'!$A:$A,0)),IFERROR(INDEX('Catalog'!$B:$B,MATCH($G3457,'Catalog'!$A:$A,0)),$B3457))</f>
        <v>95 XL מגן מרפק רגיל לבן</v>
      </c>
      <c r="I3457" s="8" t="str">
        <f aca="false">IF($G3457="","Unmatched","Matched")</f>
        <v>Matched</v>
      </c>
    </row>
    <row r="3458" customFormat="false" ht="15" hidden="false" customHeight="false" outlineLevel="0" collapsed="false">
      <c r="A3458" s="8" t="s">
        <v>1057</v>
      </c>
      <c r="B3458" s="8" t="s">
        <v>54</v>
      </c>
      <c r="C3458" s="19" t="n">
        <v>50</v>
      </c>
      <c r="D3458" s="19" t="n">
        <v>1734.44</v>
      </c>
      <c r="E3458" s="19" t="n">
        <v>0</v>
      </c>
      <c r="F3458" s="19" t="n">
        <v>0</v>
      </c>
      <c r="G3458" s="8" t="n">
        <f aca="false">IFERROR(INDEX('TRANS'!$B:$B,MATCH($B3458,'TRANS'!$A:$A,0)),IFERROR(INDEX('TRANS'!$B:$B,MATCH(TRIM(SUBSTITUTE($B3458,CHAR(160)," ")),'TRANS'!$D:$D,0)),IFERROR(INDEX('Catalog'!$A:$A,MATCH($B3458,'Catalog'!$B:$B,0)),IFERROR(INDEX('Catalog'!$A:$A,MATCH(TRIM(SUBSTITUTE($B3458,CHAR(160)," ")),'Catalog'!$C:$C,0)),""))))</f>
        <v>4413453</v>
      </c>
      <c r="H3458" s="8" t="str">
        <f aca="false">IFERROR(INDEX('TRANS'!$C:$C,MATCH($B3458,'TRANS'!$A:$A,0)),IFERROR(INDEX('Catalog'!$B:$B,MATCH($G3458,'Catalog'!$A:$A,0)),$B3458))</f>
        <v>AC75 מישר כתפיים אקטיב</v>
      </c>
      <c r="I3458" s="8" t="str">
        <f aca="false">IF($G3458="","Unmatched","Matched")</f>
        <v>Matched</v>
      </c>
    </row>
    <row r="3459" customFormat="false" ht="15" hidden="false" customHeight="false" outlineLevel="0" collapsed="false">
      <c r="A3459" s="8" t="s">
        <v>1057</v>
      </c>
      <c r="B3459" s="8" t="s">
        <v>318</v>
      </c>
      <c r="C3459" s="19" t="n">
        <v>10</v>
      </c>
      <c r="D3459" s="19" t="n">
        <v>186.46</v>
      </c>
      <c r="E3459" s="19" t="n">
        <v>0</v>
      </c>
      <c r="F3459" s="19" t="n">
        <v>0</v>
      </c>
      <c r="G3459" s="8" t="n">
        <f aca="false">IFERROR(INDEX('TRANS'!$B:$B,MATCH($B3459,'TRANS'!$A:$A,0)),IFERROR(INDEX('TRANS'!$B:$B,MATCH(TRIM(SUBSTITUTE($B3459,CHAR(160)," ")),'TRANS'!$D:$D,0)),IFERROR(INDEX('Catalog'!$A:$A,MATCH($B3459,'Catalog'!$B:$B,0)),IFERROR(INDEX('Catalog'!$A:$A,MATCH(TRIM(SUBSTITUTE($B3459,CHAR(160)," ")),'Catalog'!$C:$C,0)),""))))</f>
        <v>4408098</v>
      </c>
      <c r="H3459" s="8" t="str">
        <f aca="false">IFERROR(INDEX('TRANS'!$C:$C,MATCH($B3459,'TRANS'!$A:$A,0)),IFERROR(INDEX('Catalog'!$B:$B,MATCH($G3459,'Catalog'!$A:$A,0)),$B3459))</f>
        <v>T25-חבק יד אגודלי</v>
      </c>
      <c r="I3459" s="8" t="str">
        <f aca="false">IF($G3459="","Unmatched","Matched")</f>
        <v>Matched</v>
      </c>
    </row>
    <row r="3460" customFormat="false" ht="15" hidden="false" customHeight="false" outlineLevel="0" collapsed="false">
      <c r="A3460" s="8" t="s">
        <v>1057</v>
      </c>
      <c r="B3460" s="8" t="s">
        <v>670</v>
      </c>
      <c r="C3460" s="19" t="n">
        <v>30</v>
      </c>
      <c r="D3460" s="19" t="n">
        <v>1771.01</v>
      </c>
      <c r="E3460" s="19" t="n">
        <v>0</v>
      </c>
      <c r="F3460" s="19" t="n">
        <v>0</v>
      </c>
      <c r="G3460" s="8" t="str">
        <f aca="false">IFERROR(INDEX('TRANS'!$B:$B,MATCH($B3460,'TRANS'!$A:$A,0)),IFERROR(INDEX('TRANS'!$B:$B,MATCH(TRIM(SUBSTITUTE($B3460,CHAR(160)," ")),'TRANS'!$D:$D,0)),IFERROR(INDEX('Catalog'!$A:$A,MATCH($B3460,'Catalog'!$B:$B,0)),IFERROR(INDEX('Catalog'!$A:$A,MATCH(TRIM(SUBSTITUTE($B3460,CHAR(160)," ")),'Catalog'!$C:$C,0)),""))))</f>
        <v/>
      </c>
      <c r="H3460" s="8" t="str">
        <f aca="false">IFERROR(INDEX('TRANS'!$C:$C,MATCH($B3460,'TRANS'!$A:$A,0)),IFERROR(INDEX('Catalog'!$B:$B,MATCH($G3460,'Catalog'!$A:$A,0)),$B3460))</f>
        <v>T33 L</v>
      </c>
      <c r="I3460" s="8" t="str">
        <f aca="false">IF($G3460="","Unmatched","Matched")</f>
        <v>Unmatched</v>
      </c>
    </row>
    <row r="3461" customFormat="false" ht="15" hidden="false" customHeight="false" outlineLevel="0" collapsed="false">
      <c r="A3461" s="8" t="s">
        <v>1057</v>
      </c>
      <c r="B3461" s="8" t="s">
        <v>784</v>
      </c>
      <c r="C3461" s="19" t="n">
        <v>20</v>
      </c>
      <c r="D3461" s="19" t="n">
        <v>1180.68</v>
      </c>
      <c r="E3461" s="19" t="n">
        <v>0</v>
      </c>
      <c r="F3461" s="19" t="n">
        <v>0</v>
      </c>
      <c r="G3461" s="8" t="str">
        <f aca="false">IFERROR(INDEX('TRANS'!$B:$B,MATCH($B3461,'TRANS'!$A:$A,0)),IFERROR(INDEX('TRANS'!$B:$B,MATCH(TRIM(SUBSTITUTE($B3461,CHAR(160)," ")),'TRANS'!$D:$D,0)),IFERROR(INDEX('Catalog'!$A:$A,MATCH($B3461,'Catalog'!$B:$B,0)),IFERROR(INDEX('Catalog'!$A:$A,MATCH(TRIM(SUBSTITUTE($B3461,CHAR(160)," ")),'Catalog'!$C:$C,0)),""))))</f>
        <v/>
      </c>
      <c r="H3461" s="8" t="str">
        <f aca="false">IFERROR(INDEX('TRANS'!$C:$C,MATCH($B3461,'TRANS'!$A:$A,0)),IFERROR(INDEX('Catalog'!$B:$B,MATCH($G3461,'Catalog'!$A:$A,0)),$B3461))</f>
        <v>T33 M</v>
      </c>
      <c r="I3461" s="8" t="str">
        <f aca="false">IF($G3461="","Unmatched","Matched")</f>
        <v>Unmatched</v>
      </c>
    </row>
    <row r="3462" customFormat="false" ht="15" hidden="false" customHeight="false" outlineLevel="0" collapsed="false">
      <c r="A3462" s="8" t="s">
        <v>1057</v>
      </c>
      <c r="B3462" s="8" t="s">
        <v>785</v>
      </c>
      <c r="C3462" s="19" t="n">
        <v>10</v>
      </c>
      <c r="D3462" s="19" t="n">
        <v>590.35</v>
      </c>
      <c r="E3462" s="19" t="n">
        <v>0</v>
      </c>
      <c r="F3462" s="19" t="n">
        <v>0</v>
      </c>
      <c r="G3462" s="8" t="str">
        <f aca="false">IFERROR(INDEX('TRANS'!$B:$B,MATCH($B3462,'TRANS'!$A:$A,0)),IFERROR(INDEX('TRANS'!$B:$B,MATCH(TRIM(SUBSTITUTE($B3462,CHAR(160)," ")),'TRANS'!$D:$D,0)),IFERROR(INDEX('Catalog'!$A:$A,MATCH($B3462,'Catalog'!$B:$B,0)),IFERROR(INDEX('Catalog'!$A:$A,MATCH(TRIM(SUBSTITUTE($B3462,CHAR(160)," ")),'Catalog'!$C:$C,0)),""))))</f>
        <v/>
      </c>
      <c r="H3462" s="8" t="str">
        <f aca="false">IFERROR(INDEX('TRANS'!$C:$C,MATCH($B3462,'TRANS'!$A:$A,0)),IFERROR(INDEX('Catalog'!$B:$B,MATCH($G3462,'Catalog'!$A:$A,0)),$B3462))</f>
        <v>T33 S</v>
      </c>
      <c r="I3462" s="8" t="str">
        <f aca="false">IF($G3462="","Unmatched","Matched")</f>
        <v>Unmatched</v>
      </c>
    </row>
    <row r="3463" customFormat="false" ht="15" hidden="false" customHeight="false" outlineLevel="0" collapsed="false">
      <c r="A3463" s="8" t="s">
        <v>1057</v>
      </c>
      <c r="B3463" s="8" t="s">
        <v>323</v>
      </c>
      <c r="C3463" s="19" t="n">
        <v>30</v>
      </c>
      <c r="D3463" s="19" t="n">
        <v>1771.54</v>
      </c>
      <c r="E3463" s="19" t="n">
        <v>0</v>
      </c>
      <c r="F3463" s="19" t="n">
        <v>0</v>
      </c>
      <c r="G3463" s="8" t="str">
        <f aca="false">IFERROR(INDEX('TRANS'!$B:$B,MATCH($B3463,'TRANS'!$A:$A,0)),IFERROR(INDEX('TRANS'!$B:$B,MATCH(TRIM(SUBSTITUTE($B3463,CHAR(160)," ")),'TRANS'!$D:$D,0)),IFERROR(INDEX('Catalog'!$A:$A,MATCH($B3463,'Catalog'!$B:$B,0)),IFERROR(INDEX('Catalog'!$A:$A,MATCH(TRIM(SUBSTITUTE($B3463,CHAR(160)," ")),'Catalog'!$C:$C,0)),""))))</f>
        <v/>
      </c>
      <c r="H3463" s="8" t="str">
        <f aca="false">IFERROR(INDEX('TRANS'!$C:$C,MATCH($B3463,'TRANS'!$A:$A,0)),IFERROR(INDEX('Catalog'!$B:$B,MATCH($G3463,'Catalog'!$A:$A,0)),$B3463))</f>
        <v>T33 XL</v>
      </c>
      <c r="I3463" s="8" t="str">
        <f aca="false">IF($G3463="","Unmatched","Matched")</f>
        <v>Unmatched</v>
      </c>
    </row>
    <row r="3464" customFormat="false" ht="15" hidden="false" customHeight="false" outlineLevel="0" collapsed="false">
      <c r="A3464" s="8" t="s">
        <v>1057</v>
      </c>
      <c r="B3464" s="8" t="s">
        <v>671</v>
      </c>
      <c r="C3464" s="19" t="n">
        <v>30</v>
      </c>
      <c r="D3464" s="19" t="n">
        <v>1772.56</v>
      </c>
      <c r="E3464" s="19" t="n">
        <v>0</v>
      </c>
      <c r="F3464" s="19" t="n">
        <v>0</v>
      </c>
      <c r="G3464" s="8" t="str">
        <f aca="false">IFERROR(INDEX('TRANS'!$B:$B,MATCH($B3464,'TRANS'!$A:$A,0)),IFERROR(INDEX('TRANS'!$B:$B,MATCH(TRIM(SUBSTITUTE($B3464,CHAR(160)," ")),'TRANS'!$D:$D,0)),IFERROR(INDEX('Catalog'!$A:$A,MATCH($B3464,'Catalog'!$B:$B,0)),IFERROR(INDEX('Catalog'!$A:$A,MATCH(TRIM(SUBSTITUTE($B3464,CHAR(160)," ")),'Catalog'!$C:$C,0)),""))))</f>
        <v/>
      </c>
      <c r="H3464" s="8" t="str">
        <f aca="false">IFERROR(INDEX('TRANS'!$C:$C,MATCH($B3464,'TRANS'!$A:$A,0)),IFERROR(INDEX('Catalog'!$B:$B,MATCH($G3464,'Catalog'!$A:$A,0)),$B3464))</f>
        <v>T33 XXL</v>
      </c>
      <c r="I3464" s="8" t="str">
        <f aca="false">IF($G3464="","Unmatched","Matched")</f>
        <v>Unmatched</v>
      </c>
    </row>
    <row r="3465" customFormat="false" ht="15" hidden="false" customHeight="false" outlineLevel="0" collapsed="false">
      <c r="A3465" s="8" t="s">
        <v>1059</v>
      </c>
      <c r="B3465" s="8" t="s">
        <v>60</v>
      </c>
      <c r="C3465" s="19" t="n">
        <v>5</v>
      </c>
      <c r="D3465" s="19" t="n">
        <v>262.52</v>
      </c>
      <c r="E3465" s="19" t="n">
        <v>5</v>
      </c>
      <c r="F3465" s="19" t="n">
        <v>251.63</v>
      </c>
      <c r="G3465" s="8" t="n">
        <f aca="false">IFERROR(INDEX('TRANS'!$B:$B,MATCH($B3465,'TRANS'!$A:$A,0)),IFERROR(INDEX('TRANS'!$B:$B,MATCH(TRIM(SUBSTITUTE($B3465,CHAR(160)," ")),'TRANS'!$D:$D,0)),IFERROR(INDEX('Catalog'!$A:$A,MATCH($B3465,'Catalog'!$B:$B,0)),IFERROR(INDEX('Catalog'!$A:$A,MATCH(TRIM(SUBSTITUTE($B3465,CHAR(160)," ")),'Catalog'!$C:$C,0)),""))))</f>
        <v>4408192</v>
      </c>
      <c r="H3465" s="8" t="str">
        <f aca="false">IFERROR(INDEX('TRANS'!$C:$C,MATCH($B3465,'TRANS'!$A:$A,0)),IFERROR(INDEX('Catalog'!$B:$B,MATCH($G3465,'Catalog'!$A:$A,0)),$B3465))</f>
        <v>078 L חגורת גב +סגירה</v>
      </c>
      <c r="I3465" s="8" t="str">
        <f aca="false">IF($G3465="","Unmatched","Matched")</f>
        <v>Matched</v>
      </c>
    </row>
    <row r="3466" customFormat="false" ht="15" hidden="false" customHeight="false" outlineLevel="0" collapsed="false">
      <c r="A3466" s="8" t="s">
        <v>1059</v>
      </c>
      <c r="B3466" s="8" t="s">
        <v>454</v>
      </c>
      <c r="C3466" s="19" t="n">
        <v>5</v>
      </c>
      <c r="D3466" s="19" t="n">
        <v>262.52</v>
      </c>
      <c r="E3466" s="19" t="n">
        <v>0</v>
      </c>
      <c r="F3466" s="19" t="n">
        <v>0</v>
      </c>
      <c r="G3466" s="8" t="n">
        <f aca="false">IFERROR(INDEX('TRANS'!$B:$B,MATCH($B3466,'TRANS'!$A:$A,0)),IFERROR(INDEX('TRANS'!$B:$B,MATCH(TRIM(SUBSTITUTE($B3466,CHAR(160)," ")),'TRANS'!$D:$D,0)),IFERROR(INDEX('Catalog'!$A:$A,MATCH($B3466,'Catalog'!$B:$B,0)),IFERROR(INDEX('Catalog'!$A:$A,MATCH(TRIM(SUBSTITUTE($B3466,CHAR(160)," ")),'Catalog'!$C:$C,0)),""))))</f>
        <v>4408190</v>
      </c>
      <c r="H3466" s="8" t="str">
        <f aca="false">IFERROR(INDEX('TRANS'!$C:$C,MATCH($B3466,'TRANS'!$A:$A,0)),IFERROR(INDEX('Catalog'!$B:$B,MATCH($G3466,'Catalog'!$A:$A,0)),$B3466))</f>
        <v>M078 חגורת גב +סגירה כפולה</v>
      </c>
      <c r="I3466" s="8" t="str">
        <f aca="false">IF($G3466="","Unmatched","Matched")</f>
        <v>Matched</v>
      </c>
    </row>
    <row r="3467" customFormat="false" ht="15" hidden="false" customHeight="false" outlineLevel="0" collapsed="false">
      <c r="A3467" s="8" t="s">
        <v>1059</v>
      </c>
      <c r="B3467" s="8" t="s">
        <v>61</v>
      </c>
      <c r="C3467" s="19" t="n">
        <v>5</v>
      </c>
      <c r="D3467" s="19" t="n">
        <v>262.52</v>
      </c>
      <c r="E3467" s="19" t="n">
        <v>0</v>
      </c>
      <c r="F3467" s="19" t="n">
        <v>0</v>
      </c>
      <c r="G3467" s="8" t="n">
        <f aca="false">IFERROR(INDEX('TRANS'!$B:$B,MATCH($B3467,'TRANS'!$A:$A,0)),IFERROR(INDEX('TRANS'!$B:$B,MATCH(TRIM(SUBSTITUTE($B3467,CHAR(160)," ")),'TRANS'!$D:$D,0)),IFERROR(INDEX('Catalog'!$A:$A,MATCH($B3467,'Catalog'!$B:$B,0)),IFERROR(INDEX('Catalog'!$A:$A,MATCH(TRIM(SUBSTITUTE($B3467,CHAR(160)," ")),'Catalog'!$C:$C,0)),""))))</f>
        <v>4408218</v>
      </c>
      <c r="H3467" s="8" t="str">
        <f aca="false">IFERROR(INDEX('TRANS'!$C:$C,MATCH($B3467,'TRANS'!$A:$A,0)),IFERROR(INDEX('Catalog'!$B:$B,MATCH($G3467,'Catalog'!$A:$A,0)),$B3467))</f>
        <v>078XL חגורת גב +סגירה כפולה</v>
      </c>
      <c r="I3467" s="8" t="str">
        <f aca="false">IF($G3467="","Unmatched","Matched")</f>
        <v>Matched</v>
      </c>
    </row>
    <row r="3468" customFormat="false" ht="15" hidden="false" customHeight="false" outlineLevel="0" collapsed="false">
      <c r="A3468" s="8" t="s">
        <v>1059</v>
      </c>
      <c r="B3468" s="8" t="s">
        <v>456</v>
      </c>
      <c r="C3468" s="19" t="n">
        <v>5</v>
      </c>
      <c r="D3468" s="19" t="n">
        <v>262.52</v>
      </c>
      <c r="E3468" s="19" t="n">
        <v>0</v>
      </c>
      <c r="F3468" s="19" t="n">
        <v>0</v>
      </c>
      <c r="G3468" s="8" t="n">
        <f aca="false">IFERROR(INDEX('TRANS'!$B:$B,MATCH($B3468,'TRANS'!$A:$A,0)),IFERROR(INDEX('TRANS'!$B:$B,MATCH(TRIM(SUBSTITUTE($B3468,CHAR(160)," ")),'TRANS'!$D:$D,0)),IFERROR(INDEX('Catalog'!$A:$A,MATCH($B3468,'Catalog'!$B:$B,0)),IFERROR(INDEX('Catalog'!$A:$A,MATCH(TRIM(SUBSTITUTE($B3468,CHAR(160)," ")),'Catalog'!$C:$C,0)),""))))</f>
        <v>4408265</v>
      </c>
      <c r="H3468" s="8" t="str">
        <f aca="false">IFERROR(INDEX('TRANS'!$C:$C,MATCH($B3468,'TRANS'!$A:$A,0)),IFERROR(INDEX('Catalog'!$B:$B,MATCH($G3468,'Catalog'!$A:$A,0)),$B3468))</f>
        <v>078XXL חגורת גב +סגירה כפולה</v>
      </c>
      <c r="I3468" s="8" t="str">
        <f aca="false">IF($G3468="","Unmatched","Matched")</f>
        <v>Matched</v>
      </c>
    </row>
    <row r="3469" customFormat="false" ht="15" hidden="false" customHeight="false" outlineLevel="0" collapsed="false">
      <c r="A3469" s="8" t="s">
        <v>1059</v>
      </c>
      <c r="B3469" s="8" t="s">
        <v>72</v>
      </c>
      <c r="C3469" s="19" t="n">
        <v>10</v>
      </c>
      <c r="D3469" s="19" t="n">
        <v>494.8</v>
      </c>
      <c r="E3469" s="19" t="n">
        <v>0</v>
      </c>
      <c r="F3469" s="19" t="n">
        <v>0</v>
      </c>
      <c r="G3469" s="8" t="n">
        <f aca="false">IFERROR(INDEX('TRANS'!$B:$B,MATCH($B3469,'TRANS'!$A:$A,0)),IFERROR(INDEX('TRANS'!$B:$B,MATCH(TRIM(SUBSTITUTE($B3469,CHAR(160)," ")),'TRANS'!$D:$D,0)),IFERROR(INDEX('Catalog'!$A:$A,MATCH($B3469,'Catalog'!$B:$B,0)),IFERROR(INDEX('Catalog'!$A:$A,MATCH(TRIM(SUBSTITUTE($B3469,CHAR(160)," ")),'Catalog'!$C:$C,0)),""))))</f>
        <v>4408115</v>
      </c>
      <c r="H3469" s="8" t="str">
        <f aca="false">IFERROR(INDEX('TRANS'!$C:$C,MATCH($B3469,'TRANS'!$A:$A,0)),IFERROR(INDEX('Catalog'!$B:$B,MATCH($G3469,'Catalog'!$A:$A,0)),$B3469))</f>
        <v>11EU L ח.בטן לאחר ניתוח</v>
      </c>
      <c r="I3469" s="8" t="str">
        <f aca="false">IF($G3469="","Unmatched","Matched")</f>
        <v>Matched</v>
      </c>
    </row>
    <row r="3470" customFormat="false" ht="15" hidden="false" customHeight="false" outlineLevel="0" collapsed="false">
      <c r="A3470" s="8" t="s">
        <v>1059</v>
      </c>
      <c r="B3470" s="8" t="s">
        <v>73</v>
      </c>
      <c r="C3470" s="19" t="n">
        <v>10</v>
      </c>
      <c r="D3470" s="19" t="n">
        <v>494.8</v>
      </c>
      <c r="E3470" s="19" t="n">
        <v>0</v>
      </c>
      <c r="F3470" s="19" t="n">
        <v>0</v>
      </c>
      <c r="G3470" s="8" t="n">
        <f aca="false">IFERROR(INDEX('TRANS'!$B:$B,MATCH($B3470,'TRANS'!$A:$A,0)),IFERROR(INDEX('TRANS'!$B:$B,MATCH(TRIM(SUBSTITUTE($B3470,CHAR(160)," ")),'TRANS'!$D:$D,0)),IFERROR(INDEX('Catalog'!$A:$A,MATCH($B3470,'Catalog'!$B:$B,0)),IFERROR(INDEX('Catalog'!$A:$A,MATCH(TRIM(SUBSTITUTE($B3470,CHAR(160)," ")),'Catalog'!$C:$C,0)),""))))</f>
        <v>4408114</v>
      </c>
      <c r="H3470" s="8" t="str">
        <f aca="false">IFERROR(INDEX('TRANS'!$C:$C,MATCH($B3470,'TRANS'!$A:$A,0)),IFERROR(INDEX('Catalog'!$B:$B,MATCH($G3470,'Catalog'!$A:$A,0)),$B3470))</f>
        <v>11EU M ח.בטן לאחר ניתוח</v>
      </c>
      <c r="I3470" s="8" t="str">
        <f aca="false">IF($G3470="","Unmatched","Matched")</f>
        <v>Matched</v>
      </c>
    </row>
    <row r="3471" customFormat="false" ht="15" hidden="false" customHeight="false" outlineLevel="0" collapsed="false">
      <c r="A3471" s="8" t="s">
        <v>1059</v>
      </c>
      <c r="B3471" s="8" t="s">
        <v>74</v>
      </c>
      <c r="C3471" s="19" t="n">
        <v>5</v>
      </c>
      <c r="D3471" s="19" t="n">
        <v>247.4</v>
      </c>
      <c r="E3471" s="19" t="n">
        <v>0</v>
      </c>
      <c r="F3471" s="19" t="n">
        <v>0</v>
      </c>
      <c r="G3471" s="8" t="str">
        <f aca="false">IFERROR(INDEX('TRANS'!$B:$B,MATCH($B3471,'TRANS'!$A:$A,0)),IFERROR(INDEX('TRANS'!$B:$B,MATCH(TRIM(SUBSTITUTE($B3471,CHAR(160)," ")),'TRANS'!$D:$D,0)),IFERROR(INDEX('Catalog'!$A:$A,MATCH($B3471,'Catalog'!$B:$B,0)),IFERROR(INDEX('Catalog'!$A:$A,MATCH(TRIM(SUBSTITUTE($B3471,CHAR(160)," ")),'Catalog'!$C:$C,0)),""))))</f>
        <v/>
      </c>
      <c r="H3471" s="8" t="str">
        <f aca="false">IFERROR(INDEX('TRANS'!$C:$C,MATCH($B3471,'TRANS'!$A:$A,0)),IFERROR(INDEX('Catalog'!$B:$B,MATCH($G3471,'Catalog'!$A:$A,0)),$B3471))</f>
        <v>11EU S</v>
      </c>
      <c r="I3471" s="8" t="str">
        <f aca="false">IF($G3471="","Unmatched","Matched")</f>
        <v>Unmatched</v>
      </c>
    </row>
    <row r="3472" customFormat="false" ht="15" hidden="false" customHeight="false" outlineLevel="0" collapsed="false">
      <c r="A3472" s="8" t="s">
        <v>1059</v>
      </c>
      <c r="B3472" s="8" t="s">
        <v>341</v>
      </c>
      <c r="C3472" s="19" t="n">
        <v>10</v>
      </c>
      <c r="D3472" s="19" t="n">
        <v>494.8</v>
      </c>
      <c r="E3472" s="19" t="n">
        <v>0</v>
      </c>
      <c r="F3472" s="19" t="n">
        <v>0</v>
      </c>
      <c r="G3472" s="8" t="n">
        <f aca="false">IFERROR(INDEX('TRANS'!$B:$B,MATCH($B3472,'TRANS'!$A:$A,0)),IFERROR(INDEX('TRANS'!$B:$B,MATCH(TRIM(SUBSTITUTE($B3472,CHAR(160)," ")),'TRANS'!$D:$D,0)),IFERROR(INDEX('Catalog'!$A:$A,MATCH($B3472,'Catalog'!$B:$B,0)),IFERROR(INDEX('Catalog'!$A:$A,MATCH(TRIM(SUBSTITUTE($B3472,CHAR(160)," ")),'Catalog'!$C:$C,0)),""))))</f>
        <v>4408116</v>
      </c>
      <c r="H3472" s="8" t="str">
        <f aca="false">IFERROR(INDEX('TRANS'!$C:$C,MATCH($B3472,'TRANS'!$A:$A,0)),IFERROR(INDEX('Catalog'!$B:$B,MATCH($G3472,'Catalog'!$A:$A,0)),$B3472))</f>
        <v>11EU XLח.בטן לאחר ניתוח</v>
      </c>
      <c r="I3472" s="8" t="str">
        <f aca="false">IF($G3472="","Unmatched","Matched")</f>
        <v>Matched</v>
      </c>
    </row>
    <row r="3473" customFormat="false" ht="15" hidden="false" customHeight="false" outlineLevel="0" collapsed="false">
      <c r="A3473" s="8" t="s">
        <v>1059</v>
      </c>
      <c r="B3473" s="8" t="s">
        <v>459</v>
      </c>
      <c r="C3473" s="19" t="n">
        <v>10</v>
      </c>
      <c r="D3473" s="19" t="n">
        <v>494.8</v>
      </c>
      <c r="E3473" s="19" t="n">
        <v>0</v>
      </c>
      <c r="F3473" s="19" t="n">
        <v>0</v>
      </c>
      <c r="G3473" s="8" t="n">
        <f aca="false">IFERROR(INDEX('TRANS'!$B:$B,MATCH($B3473,'TRANS'!$A:$A,0)),IFERROR(INDEX('TRANS'!$B:$B,MATCH(TRIM(SUBSTITUTE($B3473,CHAR(160)," ")),'TRANS'!$D:$D,0)),IFERROR(INDEX('Catalog'!$A:$A,MATCH($B3473,'Catalog'!$B:$B,0)),IFERROR(INDEX('Catalog'!$A:$A,MATCH(TRIM(SUBSTITUTE($B3473,CHAR(160)," ")),'Catalog'!$C:$C,0)),""))))</f>
        <v>4408132</v>
      </c>
      <c r="H3473" s="8" t="str">
        <f aca="false">IFERROR(INDEX('TRANS'!$C:$C,MATCH($B3473,'TRANS'!$A:$A,0)),IFERROR(INDEX('Catalog'!$B:$B,MATCH($G3473,'Catalog'!$A:$A,0)),$B3473))</f>
        <v>11EU XXL חגורת בטןלאחר ניתוח</v>
      </c>
      <c r="I3473" s="8" t="str">
        <f aca="false">IF($G3473="","Unmatched","Matched")</f>
        <v>Matched</v>
      </c>
    </row>
    <row r="3474" customFormat="false" ht="15" hidden="false" customHeight="false" outlineLevel="0" collapsed="false">
      <c r="A3474" s="8" t="s">
        <v>1059</v>
      </c>
      <c r="B3474" s="8" t="s">
        <v>82</v>
      </c>
      <c r="C3474" s="19" t="n">
        <v>185</v>
      </c>
      <c r="D3474" s="19" t="n">
        <v>14791.19</v>
      </c>
      <c r="E3474" s="19" t="n">
        <v>280</v>
      </c>
      <c r="F3474" s="19" t="n">
        <v>21022.31</v>
      </c>
      <c r="G3474" s="8" t="n">
        <f aca="false">IFERROR(INDEX('TRANS'!$B:$B,MATCH($B3474,'TRANS'!$A:$A,0)),IFERROR(INDEX('TRANS'!$B:$B,MATCH(TRIM(SUBSTITUTE($B3474,CHAR(160)," ")),'TRANS'!$D:$D,0)),IFERROR(INDEX('Catalog'!$A:$A,MATCH($B3474,'Catalog'!$B:$B,0)),IFERROR(INDEX('Catalog'!$A:$A,MATCH(TRIM(SUBSTITUTE($B3474,CHAR(160)," ")),'Catalog'!$C:$C,0)),""))))</f>
        <v>4408203</v>
      </c>
      <c r="H3474" s="8" t="str">
        <f aca="false">IFERROR(INDEX('TRANS'!$C:$C,MATCH($B3474,'TRANS'!$A:$A,0)),IFERROR(INDEX('Catalog'!$B:$B,MATCH($G3474,'Catalog'!$A:$A,0)),$B3474))</f>
        <v>14 0 חגורה למנותחי בית חזה</v>
      </c>
      <c r="I3474" s="8" t="str">
        <f aca="false">IF($G3474="","Unmatched","Matched")</f>
        <v>Matched</v>
      </c>
    </row>
    <row r="3475" customFormat="false" ht="15" hidden="false" customHeight="false" outlineLevel="0" collapsed="false">
      <c r="A3475" s="8" t="s">
        <v>1059</v>
      </c>
      <c r="B3475" s="8" t="s">
        <v>686</v>
      </c>
      <c r="C3475" s="19" t="n">
        <v>5</v>
      </c>
      <c r="D3475" s="19" t="n">
        <v>71.67</v>
      </c>
      <c r="E3475" s="19" t="n">
        <v>25</v>
      </c>
      <c r="F3475" s="19" t="n">
        <v>368.13</v>
      </c>
      <c r="G3475" s="8" t="n">
        <f aca="false">IFERROR(INDEX('TRANS'!$B:$B,MATCH($B3475,'TRANS'!$A:$A,0)),IFERROR(INDEX('TRANS'!$B:$B,MATCH(TRIM(SUBSTITUTE($B3475,CHAR(160)," ")),'TRANS'!$D:$D,0)),IFERROR(INDEX('Catalog'!$A:$A,MATCH($B3475,'Catalog'!$B:$B,0)),IFERROR(INDEX('Catalog'!$A:$A,MATCH(TRIM(SUBSTITUTE($B3475,CHAR(160)," ")),'Catalog'!$C:$C,0)),""))))</f>
        <v>4408046</v>
      </c>
      <c r="H3475" s="8" t="str">
        <f aca="false">IFERROR(INDEX('TRANS'!$C:$C,MATCH($B3475,'TRANS'!$A:$A,0)),IFERROR(INDEX('Catalog'!$B:$B,MATCH($G3475,'Catalog'!$A:$A,0)),$B3475))</f>
        <v>20 L חבק יד מתכוון עם צמדן</v>
      </c>
      <c r="I3475" s="8" t="str">
        <f aca="false">IF($G3475="","Unmatched","Matched")</f>
        <v>Matched</v>
      </c>
    </row>
    <row r="3476" customFormat="false" ht="15" hidden="false" customHeight="false" outlineLevel="0" collapsed="false">
      <c r="A3476" s="8" t="s">
        <v>1059</v>
      </c>
      <c r="B3476" s="8" t="s">
        <v>621</v>
      </c>
      <c r="C3476" s="19" t="n">
        <v>15</v>
      </c>
      <c r="D3476" s="19" t="n">
        <v>215.02</v>
      </c>
      <c r="E3476" s="19" t="n">
        <v>35</v>
      </c>
      <c r="F3476" s="19" t="n">
        <v>493.22</v>
      </c>
      <c r="G3476" s="8" t="n">
        <f aca="false">IFERROR(INDEX('TRANS'!$B:$B,MATCH($B3476,'TRANS'!$A:$A,0)),IFERROR(INDEX('TRANS'!$B:$B,MATCH(TRIM(SUBSTITUTE($B3476,CHAR(160)," ")),'TRANS'!$D:$D,0)),IFERROR(INDEX('Catalog'!$A:$A,MATCH($B3476,'Catalog'!$B:$B,0)),IFERROR(INDEX('Catalog'!$A:$A,MATCH(TRIM(SUBSTITUTE($B3476,CHAR(160)," ")),'Catalog'!$C:$C,0)),""))))</f>
        <v>4408047</v>
      </c>
      <c r="H3476" s="8" t="str">
        <f aca="false">IFERROR(INDEX('TRANS'!$C:$C,MATCH($B3476,'TRANS'!$A:$A,0)),IFERROR(INDEX('Catalog'!$B:$B,MATCH($G3476,'Catalog'!$A:$A,0)),$B3476))</f>
        <v>20 M חבק יד מתכוון עם צמדן</v>
      </c>
      <c r="I3476" s="8" t="str">
        <f aca="false">IF($G3476="","Unmatched","Matched")</f>
        <v>Matched</v>
      </c>
    </row>
    <row r="3477" customFormat="false" ht="15" hidden="false" customHeight="false" outlineLevel="0" collapsed="false">
      <c r="A3477" s="8" t="s">
        <v>1059</v>
      </c>
      <c r="B3477" s="8" t="s">
        <v>622</v>
      </c>
      <c r="C3477" s="19" t="n">
        <v>12</v>
      </c>
      <c r="D3477" s="19" t="n">
        <v>191.37</v>
      </c>
      <c r="E3477" s="19" t="n">
        <v>15</v>
      </c>
      <c r="F3477" s="19" t="n">
        <v>206.11</v>
      </c>
      <c r="G3477" s="8" t="n">
        <f aca="false">IFERROR(INDEX('TRANS'!$B:$B,MATCH($B3477,'TRANS'!$A:$A,0)),IFERROR(INDEX('TRANS'!$B:$B,MATCH(TRIM(SUBSTITUTE($B3477,CHAR(160)," ")),'TRANS'!$D:$D,0)),IFERROR(INDEX('Catalog'!$A:$A,MATCH($B3477,'Catalog'!$B:$B,0)),IFERROR(INDEX('Catalog'!$A:$A,MATCH(TRIM(SUBSTITUTE($B3477,CHAR(160)," ")),'Catalog'!$C:$C,0)),""))))</f>
        <v>4408048</v>
      </c>
      <c r="H3477" s="8" t="str">
        <f aca="false">IFERROR(INDEX('TRANS'!$C:$C,MATCH($B3477,'TRANS'!$A:$A,0)),IFERROR(INDEX('Catalog'!$B:$B,MATCH($G3477,'Catalog'!$A:$A,0)),$B3477))</f>
        <v>20 S חבק יד מתכוון עם צמדן</v>
      </c>
      <c r="I3477" s="8" t="str">
        <f aca="false">IF($G3477="","Unmatched","Matched")</f>
        <v>Matched</v>
      </c>
    </row>
    <row r="3478" customFormat="false" ht="15" hidden="false" customHeight="false" outlineLevel="0" collapsed="false">
      <c r="A3478" s="8" t="s">
        <v>1059</v>
      </c>
      <c r="B3478" s="8" t="s">
        <v>562</v>
      </c>
      <c r="C3478" s="19" t="n">
        <v>5</v>
      </c>
      <c r="D3478" s="19" t="n">
        <v>71.67</v>
      </c>
      <c r="E3478" s="19" t="n">
        <v>5</v>
      </c>
      <c r="F3478" s="19" t="n">
        <v>81.01</v>
      </c>
      <c r="G3478" s="8" t="n">
        <f aca="false">IFERROR(INDEX('TRANS'!$B:$B,MATCH($B3478,'TRANS'!$A:$A,0)),IFERROR(INDEX('TRANS'!$B:$B,MATCH(TRIM(SUBSTITUTE($B3478,CHAR(160)," ")),'TRANS'!$D:$D,0)),IFERROR(INDEX('Catalog'!$A:$A,MATCH($B3478,'Catalog'!$B:$B,0)),IFERROR(INDEX('Catalog'!$A:$A,MATCH(TRIM(SUBSTITUTE($B3478,CHAR(160)," ")),'Catalog'!$C:$C,0)),""))))</f>
        <v>4408049</v>
      </c>
      <c r="H3478" s="8" t="str">
        <f aca="false">IFERROR(INDEX('TRANS'!$C:$C,MATCH($B3478,'TRANS'!$A:$A,0)),IFERROR(INDEX('Catalog'!$B:$B,MATCH($G3478,'Catalog'!$A:$A,0)),$B3478))</f>
        <v>20 XL חבק יד מתכוון עם צמדן</v>
      </c>
      <c r="I3478" s="8" t="str">
        <f aca="false">IF($G3478="","Unmatched","Matched")</f>
        <v>Matched</v>
      </c>
    </row>
    <row r="3479" customFormat="false" ht="15" hidden="false" customHeight="false" outlineLevel="0" collapsed="false">
      <c r="A3479" s="8" t="s">
        <v>1059</v>
      </c>
      <c r="B3479" s="8" t="s">
        <v>463</v>
      </c>
      <c r="C3479" s="19" t="n">
        <v>0</v>
      </c>
      <c r="D3479" s="19" t="n">
        <v>0</v>
      </c>
      <c r="E3479" s="19" t="n">
        <v>1</v>
      </c>
      <c r="F3479" s="19" t="n">
        <v>0.03</v>
      </c>
      <c r="G3479" s="8" t="n">
        <f aca="false">IFERROR(INDEX('TRANS'!$B:$B,MATCH($B3479,'TRANS'!$A:$A,0)),IFERROR(INDEX('TRANS'!$B:$B,MATCH(TRIM(SUBSTITUTE($B3479,CHAR(160)," ")),'TRANS'!$D:$D,0)),IFERROR(INDEX('Catalog'!$A:$A,MATCH($B3479,'Catalog'!$B:$B,0)),IFERROR(INDEX('Catalog'!$A:$A,MATCH(TRIM(SUBSTITUTE($B3479,CHAR(160)," ")),'Catalog'!$C:$C,0)),""))))</f>
        <v>4408275</v>
      </c>
      <c r="H3479" s="8" t="str">
        <f aca="false">IFERROR(INDEX('TRANS'!$C:$C,MATCH($B3479,'TRANS'!$A:$A,0)),IFERROR(INDEX('Catalog'!$B:$B,MATCH($G3479,'Catalog'!$A:$A,0)),$B3479))</f>
        <v>202  ONE SIZE חבק יד</v>
      </c>
      <c r="I3479" s="8" t="str">
        <f aca="false">IF($G3479="","Unmatched","Matched")</f>
        <v>Matched</v>
      </c>
    </row>
    <row r="3480" customFormat="false" ht="15" hidden="false" customHeight="false" outlineLevel="0" collapsed="false">
      <c r="A3480" s="8" t="s">
        <v>1059</v>
      </c>
      <c r="B3480" s="8" t="s">
        <v>465</v>
      </c>
      <c r="C3480" s="19" t="n">
        <v>5</v>
      </c>
      <c r="D3480" s="19" t="n">
        <v>186.94</v>
      </c>
      <c r="E3480" s="19" t="n">
        <v>0</v>
      </c>
      <c r="F3480" s="19" t="n">
        <v>0</v>
      </c>
      <c r="G3480" s="8" t="n">
        <f aca="false">IFERROR(INDEX('TRANS'!$B:$B,MATCH($B3480,'TRANS'!$A:$A,0)),IFERROR(INDEX('TRANS'!$B:$B,MATCH(TRIM(SUBSTITUTE($B3480,CHAR(160)," ")),'TRANS'!$D:$D,0)),IFERROR(INDEX('Catalog'!$A:$A,MATCH($B3480,'Catalog'!$B:$B,0)),IFERROR(INDEX('Catalog'!$A:$A,MATCH(TRIM(SUBSTITUTE($B3480,CHAR(160)," ")),'Catalog'!$C:$C,0)),""))))</f>
        <v>4411026</v>
      </c>
      <c r="H3480" s="8" t="str">
        <f aca="false">IFERROR(INDEX('TRANS'!$C:$C,MATCH($B3480,'TRANS'!$A:$A,0)),IFERROR(INDEX('Catalog'!$B:$B,MATCH($G3480,'Catalog'!$A:$A,0)),$B3480))</f>
        <v>213CTSL L שמאל CTS כפפות</v>
      </c>
      <c r="I3480" s="8" t="str">
        <f aca="false">IF($G3480="","Unmatched","Matched")</f>
        <v>Matched</v>
      </c>
    </row>
    <row r="3481" customFormat="false" ht="15" hidden="false" customHeight="false" outlineLevel="0" collapsed="false">
      <c r="A3481" s="8" t="s">
        <v>1059</v>
      </c>
      <c r="B3481" s="8" t="s">
        <v>466</v>
      </c>
      <c r="C3481" s="19" t="n">
        <v>10</v>
      </c>
      <c r="D3481" s="19" t="n">
        <v>373.89</v>
      </c>
      <c r="E3481" s="19" t="n">
        <v>0</v>
      </c>
      <c r="F3481" s="19" t="n">
        <v>0</v>
      </c>
      <c r="G3481" s="8" t="n">
        <f aca="false">IFERROR(INDEX('TRANS'!$B:$B,MATCH($B3481,'TRANS'!$A:$A,0)),IFERROR(INDEX('TRANS'!$B:$B,MATCH(TRIM(SUBSTITUTE($B3481,CHAR(160)," ")),'TRANS'!$D:$D,0)),IFERROR(INDEX('Catalog'!$A:$A,MATCH($B3481,'Catalog'!$B:$B,0)),IFERROR(INDEX('Catalog'!$A:$A,MATCH(TRIM(SUBSTITUTE($B3481,CHAR(160)," ")),'Catalog'!$C:$C,0)),""))))</f>
        <v>4411027</v>
      </c>
      <c r="H3481" s="8" t="str">
        <f aca="false">IFERROR(INDEX('TRANS'!$C:$C,MATCH($B3481,'TRANS'!$A:$A,0)),IFERROR(INDEX('Catalog'!$B:$B,MATCH($G3481,'Catalog'!$A:$A,0)),$B3481))</f>
        <v>213CTSL M שמאל CTS כפפות</v>
      </c>
      <c r="I3481" s="8" t="str">
        <f aca="false">IF($G3481="","Unmatched","Matched")</f>
        <v>Matched</v>
      </c>
    </row>
    <row r="3482" customFormat="false" ht="15" hidden="false" customHeight="false" outlineLevel="0" collapsed="false">
      <c r="A3482" s="8" t="s">
        <v>1059</v>
      </c>
      <c r="B3482" s="8" t="s">
        <v>467</v>
      </c>
      <c r="C3482" s="19" t="n">
        <v>10</v>
      </c>
      <c r="D3482" s="19" t="n">
        <v>373.89</v>
      </c>
      <c r="E3482" s="19" t="n">
        <v>0</v>
      </c>
      <c r="F3482" s="19" t="n">
        <v>0</v>
      </c>
      <c r="G3482" s="8" t="n">
        <f aca="false">IFERROR(INDEX('TRANS'!$B:$B,MATCH($B3482,'TRANS'!$A:$A,0)),IFERROR(INDEX('TRANS'!$B:$B,MATCH(TRIM(SUBSTITUTE($B3482,CHAR(160)," ")),'TRANS'!$D:$D,0)),IFERROR(INDEX('Catalog'!$A:$A,MATCH($B3482,'Catalog'!$B:$B,0)),IFERROR(INDEX('Catalog'!$A:$A,MATCH(TRIM(SUBSTITUTE($B3482,CHAR(160)," ")),'Catalog'!$C:$C,0)),""))))</f>
        <v>4411028</v>
      </c>
      <c r="H3482" s="8" t="str">
        <f aca="false">IFERROR(INDEX('TRANS'!$C:$C,MATCH($B3482,'TRANS'!$A:$A,0)),IFERROR(INDEX('Catalog'!$B:$B,MATCH($G3482,'Catalog'!$A:$A,0)),$B3482))</f>
        <v>213CTSL S שמאל CTS כפפות</v>
      </c>
      <c r="I3482" s="8" t="str">
        <f aca="false">IF($G3482="","Unmatched","Matched")</f>
        <v>Matched</v>
      </c>
    </row>
    <row r="3483" customFormat="false" ht="15" hidden="false" customHeight="false" outlineLevel="0" collapsed="false">
      <c r="A3483" s="8" t="s">
        <v>1059</v>
      </c>
      <c r="B3483" s="8" t="s">
        <v>468</v>
      </c>
      <c r="C3483" s="19" t="n">
        <v>5</v>
      </c>
      <c r="D3483" s="19" t="n">
        <v>186.94</v>
      </c>
      <c r="E3483" s="19" t="n">
        <v>0</v>
      </c>
      <c r="F3483" s="19" t="n">
        <v>0</v>
      </c>
      <c r="G3483" s="8" t="n">
        <f aca="false">IFERROR(INDEX('TRANS'!$B:$B,MATCH($B3483,'TRANS'!$A:$A,0)),IFERROR(INDEX('TRANS'!$B:$B,MATCH(TRIM(SUBSTITUTE($B3483,CHAR(160)," ")),'TRANS'!$D:$D,0)),IFERROR(INDEX('Catalog'!$A:$A,MATCH($B3483,'Catalog'!$B:$B,0)),IFERROR(INDEX('Catalog'!$A:$A,MATCH(TRIM(SUBSTITUTE($B3483,CHAR(160)," ")),'Catalog'!$C:$C,0)),""))))</f>
        <v>4411029</v>
      </c>
      <c r="H3483" s="8" t="str">
        <f aca="false">IFERROR(INDEX('TRANS'!$C:$C,MATCH($B3483,'TRANS'!$A:$A,0)),IFERROR(INDEX('Catalog'!$B:$B,MATCH($G3483,'Catalog'!$A:$A,0)),$B3483))</f>
        <v>213CTSR L ימין CTS כפפות</v>
      </c>
      <c r="I3483" s="8" t="str">
        <f aca="false">IF($G3483="","Unmatched","Matched")</f>
        <v>Matched</v>
      </c>
    </row>
    <row r="3484" customFormat="false" ht="15" hidden="false" customHeight="false" outlineLevel="0" collapsed="false">
      <c r="A3484" s="8" t="s">
        <v>1059</v>
      </c>
      <c r="B3484" s="8" t="s">
        <v>469</v>
      </c>
      <c r="C3484" s="19" t="n">
        <v>10</v>
      </c>
      <c r="D3484" s="19" t="n">
        <v>373.89</v>
      </c>
      <c r="E3484" s="19" t="n">
        <v>0</v>
      </c>
      <c r="F3484" s="19" t="n">
        <v>0</v>
      </c>
      <c r="G3484" s="8" t="n">
        <f aca="false">IFERROR(INDEX('TRANS'!$B:$B,MATCH($B3484,'TRANS'!$A:$A,0)),IFERROR(INDEX('TRANS'!$B:$B,MATCH(TRIM(SUBSTITUTE($B3484,CHAR(160)," ")),'TRANS'!$D:$D,0)),IFERROR(INDEX('Catalog'!$A:$A,MATCH($B3484,'Catalog'!$B:$B,0)),IFERROR(INDEX('Catalog'!$A:$A,MATCH(TRIM(SUBSTITUTE($B3484,CHAR(160)," ")),'Catalog'!$C:$C,0)),""))))</f>
        <v>4411030</v>
      </c>
      <c r="H3484" s="8" t="str">
        <f aca="false">IFERROR(INDEX('TRANS'!$C:$C,MATCH($B3484,'TRANS'!$A:$A,0)),IFERROR(INDEX('Catalog'!$B:$B,MATCH($G3484,'Catalog'!$A:$A,0)),$B3484))</f>
        <v>213CTSR M ימין CTS כפפות</v>
      </c>
      <c r="I3484" s="8" t="str">
        <f aca="false">IF($G3484="","Unmatched","Matched")</f>
        <v>Matched</v>
      </c>
    </row>
    <row r="3485" customFormat="false" ht="15" hidden="false" customHeight="false" outlineLevel="0" collapsed="false">
      <c r="A3485" s="8" t="s">
        <v>1059</v>
      </c>
      <c r="B3485" s="8" t="s">
        <v>470</v>
      </c>
      <c r="C3485" s="19" t="n">
        <v>10</v>
      </c>
      <c r="D3485" s="19" t="n">
        <v>373.89</v>
      </c>
      <c r="E3485" s="19" t="n">
        <v>0</v>
      </c>
      <c r="F3485" s="19" t="n">
        <v>0</v>
      </c>
      <c r="G3485" s="8" t="n">
        <f aca="false">IFERROR(INDEX('TRANS'!$B:$B,MATCH($B3485,'TRANS'!$A:$A,0)),IFERROR(INDEX('TRANS'!$B:$B,MATCH(TRIM(SUBSTITUTE($B3485,CHAR(160)," ")),'TRANS'!$D:$D,0)),IFERROR(INDEX('Catalog'!$A:$A,MATCH($B3485,'Catalog'!$B:$B,0)),IFERROR(INDEX('Catalog'!$A:$A,MATCH(TRIM(SUBSTITUTE($B3485,CHAR(160)," ")),'Catalog'!$C:$C,0)),""))))</f>
        <v>4411031</v>
      </c>
      <c r="H3485" s="8" t="str">
        <f aca="false">IFERROR(INDEX('TRANS'!$C:$C,MATCH($B3485,'TRANS'!$A:$A,0)),IFERROR(INDEX('Catalog'!$B:$B,MATCH($G3485,'Catalog'!$A:$A,0)),$B3485))</f>
        <v>213CTS  S ימין CTS כפפות</v>
      </c>
      <c r="I3485" s="8" t="str">
        <f aca="false">IF($G3485="","Unmatched","Matched")</f>
        <v>Matched</v>
      </c>
    </row>
    <row r="3486" customFormat="false" ht="15" hidden="false" customHeight="false" outlineLevel="0" collapsed="false">
      <c r="A3486" s="8" t="s">
        <v>1059</v>
      </c>
      <c r="B3486" s="8" t="s">
        <v>99</v>
      </c>
      <c r="C3486" s="19" t="n">
        <v>10</v>
      </c>
      <c r="D3486" s="19" t="n">
        <v>147.96</v>
      </c>
      <c r="E3486" s="19" t="n">
        <v>50</v>
      </c>
      <c r="F3486" s="19" t="n">
        <v>709.13</v>
      </c>
      <c r="G3486" s="8" t="n">
        <f aca="false">IFERROR(INDEX('TRANS'!$B:$B,MATCH($B3486,'TRANS'!$A:$A,0)),IFERROR(INDEX('TRANS'!$B:$B,MATCH(TRIM(SUBSTITUTE($B3486,CHAR(160)," ")),'TRANS'!$D:$D,0)),IFERROR(INDEX('Catalog'!$A:$A,MATCH($B3486,'Catalog'!$B:$B,0)),IFERROR(INDEX('Catalog'!$A:$A,MATCH(TRIM(SUBSTITUTE($B3486,CHAR(160)," ")),'Catalog'!$C:$C,0)),""))))</f>
        <v>4415029</v>
      </c>
      <c r="H3486" s="8" t="str">
        <f aca="false">IFERROR(INDEX('TRANS'!$C:$C,MATCH($B3486,'TRANS'!$A:$A,0)),IFERROR(INDEX('Catalog'!$B:$B,MATCH($G3486,'Catalog'!$A:$A,0)),$B3486))</f>
        <v>סד קיבוע לאצבע הדק</v>
      </c>
      <c r="I3486" s="8" t="str">
        <f aca="false">IF($G3486="","Unmatched","Matched")</f>
        <v>Matched</v>
      </c>
    </row>
    <row r="3487" customFormat="false" ht="15" hidden="false" customHeight="false" outlineLevel="0" collapsed="false">
      <c r="A3487" s="8" t="s">
        <v>1059</v>
      </c>
      <c r="B3487" s="8" t="s">
        <v>100</v>
      </c>
      <c r="C3487" s="19" t="n">
        <v>320</v>
      </c>
      <c r="D3487" s="19" t="n">
        <v>2768.68</v>
      </c>
      <c r="E3487" s="19" t="n">
        <v>320</v>
      </c>
      <c r="F3487" s="19" t="n">
        <v>2652.86</v>
      </c>
      <c r="G3487" s="8" t="n">
        <f aca="false">IFERROR(INDEX('TRANS'!$B:$B,MATCH($B3487,'TRANS'!$A:$A,0)),IFERROR(INDEX('TRANS'!$B:$B,MATCH(TRIM(SUBSTITUTE($B3487,CHAR(160)," ")),'TRANS'!$D:$D,0)),IFERROR(INDEX('Catalog'!$A:$A,MATCH($B3487,'Catalog'!$B:$B,0)),IFERROR(INDEX('Catalog'!$A:$A,MATCH(TRIM(SUBSTITUTE($B3487,CHAR(160)," ")),'Catalog'!$C:$C,0)),""))))</f>
        <v>4415162</v>
      </c>
      <c r="H3487" s="8" t="str">
        <f aca="false">IFERROR(INDEX('TRANS'!$C:$C,MATCH($B3487,'TRANS'!$A:$A,0)),IFERROR(INDEX('Catalog'!$B:$B,MATCH($G3487,'Catalog'!$A:$A,0)),$B3487))</f>
        <v>238L סד ליישור אצבע</v>
      </c>
      <c r="I3487" s="8" t="str">
        <f aca="false">IF($G3487="","Unmatched","Matched")</f>
        <v>Matched</v>
      </c>
    </row>
    <row r="3488" customFormat="false" ht="15" hidden="false" customHeight="false" outlineLevel="0" collapsed="false">
      <c r="A3488" s="8" t="s">
        <v>1059</v>
      </c>
      <c r="B3488" s="8" t="s">
        <v>589</v>
      </c>
      <c r="C3488" s="19" t="n">
        <v>390</v>
      </c>
      <c r="D3488" s="19" t="n">
        <v>3327.2</v>
      </c>
      <c r="E3488" s="19" t="n">
        <v>400</v>
      </c>
      <c r="F3488" s="19" t="n">
        <v>3305.8</v>
      </c>
      <c r="G3488" s="8" t="n">
        <f aca="false">IFERROR(INDEX('TRANS'!$B:$B,MATCH($B3488,'TRANS'!$A:$A,0)),IFERROR(INDEX('TRANS'!$B:$B,MATCH(TRIM(SUBSTITUTE($B3488,CHAR(160)," ")),'TRANS'!$D:$D,0)),IFERROR(INDEX('Catalog'!$A:$A,MATCH($B3488,'Catalog'!$B:$B,0)),IFERROR(INDEX('Catalog'!$A:$A,MATCH(TRIM(SUBSTITUTE($B3488,CHAR(160)," ")),'Catalog'!$C:$C,0)),""))))</f>
        <v>4415161</v>
      </c>
      <c r="H3488" s="8" t="str">
        <f aca="false">IFERROR(INDEX('TRANS'!$C:$C,MATCH($B3488,'TRANS'!$A:$A,0)),IFERROR(INDEX('Catalog'!$B:$B,MATCH($G3488,'Catalog'!$A:$A,0)),$B3488))</f>
        <v>238M סד ליישור אצבע</v>
      </c>
      <c r="I3488" s="8" t="str">
        <f aca="false">IF($G3488="","Unmatched","Matched")</f>
        <v>Matched</v>
      </c>
    </row>
    <row r="3489" customFormat="false" ht="15" hidden="false" customHeight="false" outlineLevel="0" collapsed="false">
      <c r="A3489" s="8" t="s">
        <v>1059</v>
      </c>
      <c r="B3489" s="8" t="s">
        <v>101</v>
      </c>
      <c r="C3489" s="19" t="n">
        <v>220</v>
      </c>
      <c r="D3489" s="19" t="n">
        <v>1863.08</v>
      </c>
      <c r="E3489" s="19" t="n">
        <v>280</v>
      </c>
      <c r="F3489" s="19" t="n">
        <v>2305.84</v>
      </c>
      <c r="G3489" s="8" t="n">
        <f aca="false">IFERROR(INDEX('TRANS'!$B:$B,MATCH($B3489,'TRANS'!$A:$A,0)),IFERROR(INDEX('TRANS'!$B:$B,MATCH(TRIM(SUBSTITUTE($B3489,CHAR(160)," ")),'TRANS'!$D:$D,0)),IFERROR(INDEX('Catalog'!$A:$A,MATCH($B3489,'Catalog'!$B:$B,0)),IFERROR(INDEX('Catalog'!$A:$A,MATCH(TRIM(SUBSTITUTE($B3489,CHAR(160)," ")),'Catalog'!$C:$C,0)),""))))</f>
        <v>4415160</v>
      </c>
      <c r="H3489" s="8" t="str">
        <f aca="false">IFERROR(INDEX('TRANS'!$C:$C,MATCH($B3489,'TRANS'!$A:$A,0)),IFERROR(INDEX('Catalog'!$B:$B,MATCH($G3489,'Catalog'!$A:$A,0)),$B3489))</f>
        <v>238S סד ליישור אצבע</v>
      </c>
      <c r="I3489" s="8" t="str">
        <f aca="false">IF($G3489="","Unmatched","Matched")</f>
        <v>Matched</v>
      </c>
    </row>
    <row r="3490" customFormat="false" ht="15" hidden="false" customHeight="false" outlineLevel="0" collapsed="false">
      <c r="A3490" s="8" t="s">
        <v>1059</v>
      </c>
      <c r="B3490" s="8" t="s">
        <v>590</v>
      </c>
      <c r="C3490" s="19" t="n">
        <v>200</v>
      </c>
      <c r="D3490" s="19" t="n">
        <v>1703.5</v>
      </c>
      <c r="E3490" s="19" t="n">
        <v>210</v>
      </c>
      <c r="F3490" s="19" t="n">
        <v>1729.38</v>
      </c>
      <c r="G3490" s="8" t="n">
        <f aca="false">IFERROR(INDEX('TRANS'!$B:$B,MATCH($B3490,'TRANS'!$A:$A,0)),IFERROR(INDEX('TRANS'!$B:$B,MATCH(TRIM(SUBSTITUTE($B3490,CHAR(160)," ")),'TRANS'!$D:$D,0)),IFERROR(INDEX('Catalog'!$A:$A,MATCH($B3490,'Catalog'!$B:$B,0)),IFERROR(INDEX('Catalog'!$A:$A,MATCH(TRIM(SUBSTITUTE($B3490,CHAR(160)," ")),'Catalog'!$C:$C,0)),""))))</f>
        <v>4415163</v>
      </c>
      <c r="H3490" s="8" t="str">
        <f aca="false">IFERROR(INDEX('TRANS'!$C:$C,MATCH($B3490,'TRANS'!$A:$A,0)),IFERROR(INDEX('Catalog'!$B:$B,MATCH($G3490,'Catalog'!$A:$A,0)),$B3490))</f>
        <v>238XL סד ליישור אצבע</v>
      </c>
      <c r="I3490" s="8" t="str">
        <f aca="false">IF($G3490="","Unmatched","Matched")</f>
        <v>Matched</v>
      </c>
    </row>
    <row r="3491" customFormat="false" ht="15" hidden="false" customHeight="false" outlineLevel="0" collapsed="false">
      <c r="A3491" s="8" t="s">
        <v>1059</v>
      </c>
      <c r="B3491" s="8" t="s">
        <v>471</v>
      </c>
      <c r="C3491" s="19" t="n">
        <v>0</v>
      </c>
      <c r="D3491" s="19" t="n">
        <v>0</v>
      </c>
      <c r="E3491" s="19" t="n">
        <v>70</v>
      </c>
      <c r="F3491" s="19" t="n">
        <v>734.98</v>
      </c>
      <c r="G3491" s="8" t="str">
        <f aca="false">IFERROR(INDEX('TRANS'!$B:$B,MATCH($B3491,'TRANS'!$A:$A,0)),IFERROR(INDEX('TRANS'!$B:$B,MATCH(TRIM(SUBSTITUTE($B3491,CHAR(160)," ")),'TRANS'!$D:$D,0)),IFERROR(INDEX('Catalog'!$A:$A,MATCH($B3491,'Catalog'!$B:$B,0)),IFERROR(INDEX('Catalog'!$A:$A,MATCH(TRIM(SUBSTITUTE($B3491,CHAR(160)," ")),'Catalog'!$C:$C,0)),""))))</f>
        <v/>
      </c>
      <c r="H3491" s="8" t="str">
        <f aca="false">IFERROR(INDEX('TRANS'!$C:$C,MATCH($B3491,'TRANS'!$A:$A,0)),IFERROR(INDEX('Catalog'!$B:$B,MATCH($G3491,'Catalog'!$A:$A,0)),$B3491))</f>
        <v>239P-S-M</v>
      </c>
      <c r="I3491" s="8" t="str">
        <f aca="false">IF($G3491="","Unmatched","Matched")</f>
        <v>Unmatched</v>
      </c>
    </row>
    <row r="3492" customFormat="false" ht="15" hidden="false" customHeight="false" outlineLevel="0" collapsed="false">
      <c r="A3492" s="8" t="s">
        <v>1059</v>
      </c>
      <c r="B3492" s="8" t="s">
        <v>105</v>
      </c>
      <c r="C3492" s="19" t="n">
        <v>10</v>
      </c>
      <c r="D3492" s="19" t="n">
        <v>210.01</v>
      </c>
      <c r="E3492" s="19" t="n">
        <v>10</v>
      </c>
      <c r="F3492" s="19" t="n">
        <v>201.3</v>
      </c>
      <c r="G3492" s="8" t="n">
        <f aca="false">IFERROR(INDEX('TRANS'!$B:$B,MATCH($B3492,'TRANS'!$A:$A,0)),IFERROR(INDEX('TRANS'!$B:$B,MATCH(TRIM(SUBSTITUTE($B3492,CHAR(160)," ")),'TRANS'!$D:$D,0)),IFERROR(INDEX('Catalog'!$A:$A,MATCH($B3492,'Catalog'!$B:$B,0)),IFERROR(INDEX('Catalog'!$A:$A,MATCH(TRIM(SUBSTITUTE($B3492,CHAR(160)," ")),'Catalog'!$C:$C,0)),""))))</f>
        <v>4421005</v>
      </c>
      <c r="H3492" s="8" t="str">
        <f aca="false">IFERROR(INDEX('TRANS'!$C:$C,MATCH($B3492,'TRANS'!$A:$A,0)),IFERROR(INDEX('Catalog'!$B:$B,MATCH($G3492,'Catalog'!$A:$A,0)),$B3492))</f>
        <v>שרוול לגבס קצר יד</v>
      </c>
      <c r="I3492" s="8" t="str">
        <f aca="false">IF($G3492="","Unmatched","Matched")</f>
        <v>Matched</v>
      </c>
    </row>
    <row r="3493" customFormat="false" ht="15" hidden="false" customHeight="false" outlineLevel="0" collapsed="false">
      <c r="A3493" s="8" t="s">
        <v>1059</v>
      </c>
      <c r="B3493" s="8" t="s">
        <v>106</v>
      </c>
      <c r="C3493" s="19" t="n">
        <v>10</v>
      </c>
      <c r="D3493" s="19" t="n">
        <v>238.65</v>
      </c>
      <c r="E3493" s="19" t="n">
        <v>10</v>
      </c>
      <c r="F3493" s="19" t="n">
        <v>228.75</v>
      </c>
      <c r="G3493" s="8" t="n">
        <f aca="false">IFERROR(INDEX('TRANS'!$B:$B,MATCH($B3493,'TRANS'!$A:$A,0)),IFERROR(INDEX('TRANS'!$B:$B,MATCH(TRIM(SUBSTITUTE($B3493,CHAR(160)," ")),'TRANS'!$D:$D,0)),IFERROR(INDEX('Catalog'!$A:$A,MATCH($B3493,'Catalog'!$B:$B,0)),IFERROR(INDEX('Catalog'!$A:$A,MATCH(TRIM(SUBSTITUTE($B3493,CHAR(160)," ")),'Catalog'!$C:$C,0)),""))))</f>
        <v>4421006</v>
      </c>
      <c r="H3493" s="8" t="str">
        <f aca="false">IFERROR(INDEX('TRANS'!$C:$C,MATCH($B3493,'TRANS'!$A:$A,0)),IFERROR(INDEX('Catalog'!$B:$B,MATCH($G3493,'Catalog'!$A:$A,0)),$B3493))</f>
        <v>שרוול לגבס ארוך יד</v>
      </c>
      <c r="I3493" s="8" t="str">
        <f aca="false">IF($G3493="","Unmatched","Matched")</f>
        <v>Matched</v>
      </c>
    </row>
    <row r="3494" customFormat="false" ht="15" hidden="false" customHeight="false" outlineLevel="0" collapsed="false">
      <c r="A3494" s="8" t="s">
        <v>1059</v>
      </c>
      <c r="B3494" s="8" t="s">
        <v>108</v>
      </c>
      <c r="C3494" s="19" t="n">
        <v>310</v>
      </c>
      <c r="D3494" s="19" t="n">
        <v>6833.21</v>
      </c>
      <c r="E3494" s="19" t="n">
        <v>250</v>
      </c>
      <c r="F3494" s="19" t="n">
        <v>5491.17</v>
      </c>
      <c r="G3494" s="8" t="n">
        <f aca="false">IFERROR(INDEX('TRANS'!$B:$B,MATCH($B3494,'TRANS'!$A:$A,0)),IFERROR(INDEX('TRANS'!$B:$B,MATCH(TRIM(SUBSTITUTE($B3494,CHAR(160)," ")),'TRANS'!$D:$D,0)),IFERROR(INDEX('Catalog'!$A:$A,MATCH($B3494,'Catalog'!$B:$B,0)),IFERROR(INDEX('Catalog'!$A:$A,MATCH(TRIM(SUBSTITUTE($B3494,CHAR(160)," ")),'Catalog'!$C:$C,0)),""))))</f>
        <v>4415158</v>
      </c>
      <c r="H3494" s="8" t="str">
        <f aca="false">IFERROR(INDEX('TRANS'!$C:$C,MATCH($B3494,'TRANS'!$A:$A,0)),IFERROR(INDEX('Catalog'!$B:$B,MATCH($G3494,'Catalog'!$A:$A,0)),$B3494))</f>
        <v>266 סד ליד דו צדדי</v>
      </c>
      <c r="I3494" s="8" t="str">
        <f aca="false">IF($G3494="","Unmatched","Matched")</f>
        <v>Matched</v>
      </c>
    </row>
    <row r="3495" customFormat="false" ht="15" hidden="false" customHeight="false" outlineLevel="0" collapsed="false">
      <c r="A3495" s="8" t="s">
        <v>1059</v>
      </c>
      <c r="B3495" s="8" t="s">
        <v>644</v>
      </c>
      <c r="C3495" s="19" t="n">
        <v>6</v>
      </c>
      <c r="D3495" s="19" t="n">
        <v>225.67</v>
      </c>
      <c r="E3495" s="19" t="n">
        <v>0</v>
      </c>
      <c r="F3495" s="19" t="n">
        <v>0</v>
      </c>
      <c r="G3495" s="8" t="n">
        <f aca="false">IFERROR(INDEX('TRANS'!$B:$B,MATCH($B3495,'TRANS'!$A:$A,0)),IFERROR(INDEX('TRANS'!$B:$B,MATCH(TRIM(SUBSTITUTE($B3495,CHAR(160)," ")),'TRANS'!$D:$D,0)),IFERROR(INDEX('Catalog'!$A:$A,MATCH($B3495,'Catalog'!$B:$B,0)),IFERROR(INDEX('Catalog'!$A:$A,MATCH(TRIM(SUBSTITUTE($B3495,CHAR(160)," ")),'Catalog'!$C:$C,0)),""))))</f>
        <v>4415005</v>
      </c>
      <c r="H3495" s="8" t="str">
        <f aca="false">IFERROR(INDEX('TRANS'!$C:$C,MATCH($B3495,'TRANS'!$A:$A,0)),IFERROR(INDEX('Catalog'!$B:$B,MATCH($G3495,'Catalog'!$A:$A,0)),$B3495))</f>
        <v>28 L סד לאגודל לאחר שבר</v>
      </c>
      <c r="I3495" s="8" t="str">
        <f aca="false">IF($G3495="","Unmatched","Matched")</f>
        <v>Matched</v>
      </c>
    </row>
    <row r="3496" customFormat="false" ht="15" hidden="false" customHeight="false" outlineLevel="0" collapsed="false">
      <c r="A3496" s="8" t="s">
        <v>1059</v>
      </c>
      <c r="B3496" s="8" t="s">
        <v>111</v>
      </c>
      <c r="C3496" s="19" t="n">
        <v>11</v>
      </c>
      <c r="D3496" s="19" t="n">
        <v>394.72</v>
      </c>
      <c r="E3496" s="19" t="n">
        <v>5</v>
      </c>
      <c r="F3496" s="19" t="n">
        <v>191.06</v>
      </c>
      <c r="G3496" s="8" t="n">
        <f aca="false">IFERROR(INDEX('TRANS'!$B:$B,MATCH($B3496,'TRANS'!$A:$A,0)),IFERROR(INDEX('TRANS'!$B:$B,MATCH(TRIM(SUBSTITUTE($B3496,CHAR(160)," ")),'TRANS'!$D:$D,0)),IFERROR(INDEX('Catalog'!$A:$A,MATCH($B3496,'Catalog'!$B:$B,0)),IFERROR(INDEX('Catalog'!$A:$A,MATCH(TRIM(SUBSTITUTE($B3496,CHAR(160)," ")),'Catalog'!$C:$C,0)),""))))</f>
        <v>4415006</v>
      </c>
      <c r="H3496" s="8" t="str">
        <f aca="false">IFERROR(INDEX('TRANS'!$C:$C,MATCH($B3496,'TRANS'!$A:$A,0)),IFERROR(INDEX('Catalog'!$B:$B,MATCH($G3496,'Catalog'!$A:$A,0)),$B3496))</f>
        <v>28 M סד לאגודל לאחר שבר</v>
      </c>
      <c r="I3496" s="8" t="str">
        <f aca="false">IF($G3496="","Unmatched","Matched")</f>
        <v>Matched</v>
      </c>
    </row>
    <row r="3497" customFormat="false" ht="15" hidden="false" customHeight="false" outlineLevel="0" collapsed="false">
      <c r="A3497" s="8" t="s">
        <v>1059</v>
      </c>
      <c r="B3497" s="8" t="s">
        <v>645</v>
      </c>
      <c r="C3497" s="19" t="n">
        <v>10</v>
      </c>
      <c r="D3497" s="19" t="n">
        <v>357.11</v>
      </c>
      <c r="E3497" s="19" t="n">
        <v>0</v>
      </c>
      <c r="F3497" s="19" t="n">
        <v>0</v>
      </c>
      <c r="G3497" s="8" t="n">
        <f aca="false">IFERROR(INDEX('TRANS'!$B:$B,MATCH($B3497,'TRANS'!$A:$A,0)),IFERROR(INDEX('TRANS'!$B:$B,MATCH(TRIM(SUBSTITUTE($B3497,CHAR(160)," ")),'TRANS'!$D:$D,0)),IFERROR(INDEX('Catalog'!$A:$A,MATCH($B3497,'Catalog'!$B:$B,0)),IFERROR(INDEX('Catalog'!$A:$A,MATCH(TRIM(SUBSTITUTE($B3497,CHAR(160)," ")),'Catalog'!$C:$C,0)),""))))</f>
        <v>4415007</v>
      </c>
      <c r="H3497" s="8" t="str">
        <f aca="false">IFERROR(INDEX('TRANS'!$C:$C,MATCH($B3497,'TRANS'!$A:$A,0)),IFERROR(INDEX('Catalog'!$B:$B,MATCH($G3497,'Catalog'!$A:$A,0)),$B3497))</f>
        <v>28 S סד לאגודל לאחר שבר</v>
      </c>
      <c r="I3497" s="8" t="str">
        <f aca="false">IF($G3497="","Unmatched","Matched")</f>
        <v>Matched</v>
      </c>
    </row>
    <row r="3498" customFormat="false" ht="15" hidden="false" customHeight="false" outlineLevel="0" collapsed="false">
      <c r="A3498" s="8" t="s">
        <v>1059</v>
      </c>
      <c r="B3498" s="8" t="s">
        <v>353</v>
      </c>
      <c r="C3498" s="19" t="n">
        <v>36</v>
      </c>
      <c r="D3498" s="19" t="n">
        <v>1061.57</v>
      </c>
      <c r="E3498" s="19" t="n">
        <v>0</v>
      </c>
      <c r="F3498" s="19" t="n">
        <v>0</v>
      </c>
      <c r="G3498" s="8" t="n">
        <f aca="false">IFERROR(INDEX('TRANS'!$B:$B,MATCH($B3498,'TRANS'!$A:$A,0)),IFERROR(INDEX('TRANS'!$B:$B,MATCH(TRIM(SUBSTITUTE($B3498,CHAR(160)," ")),'TRANS'!$D:$D,0)),IFERROR(INDEX('Catalog'!$A:$A,MATCH($B3498,'Catalog'!$B:$B,0)),IFERROR(INDEX('Catalog'!$A:$A,MATCH(TRIM(SUBSTITUTE($B3498,CHAR(160)," ")),'Catalog'!$C:$C,0)),""))))</f>
        <v>4420036</v>
      </c>
      <c r="H3498" s="8" t="str">
        <f aca="false">IFERROR(INDEX('TRANS'!$C:$C,MATCH($B3498,'TRANS'!$A:$A,0)),IFERROR(INDEX('Catalog'!$B:$B,MATCH($G3498,'Catalog'!$A:$A,0)),$B3498))</f>
        <v>301CM 41-45 'רפידת ג'ל בז</v>
      </c>
      <c r="I3498" s="8" t="str">
        <f aca="false">IF($G3498="","Unmatched","Matched")</f>
        <v>Matched</v>
      </c>
    </row>
    <row r="3499" customFormat="false" ht="15" hidden="false" customHeight="false" outlineLevel="0" collapsed="false">
      <c r="A3499" s="8" t="s">
        <v>1059</v>
      </c>
      <c r="B3499" s="8" t="s">
        <v>114</v>
      </c>
      <c r="C3499" s="19" t="n">
        <v>24</v>
      </c>
      <c r="D3499" s="19" t="n">
        <v>689.66</v>
      </c>
      <c r="E3499" s="19" t="n">
        <v>73</v>
      </c>
      <c r="F3499" s="19" t="n">
        <v>1953.75</v>
      </c>
      <c r="G3499" s="8" t="n">
        <f aca="false">IFERROR(INDEX('TRANS'!$B:$B,MATCH($B3499,'TRANS'!$A:$A,0)),IFERROR(INDEX('TRANS'!$B:$B,MATCH(TRIM(SUBSTITUTE($B3499,CHAR(160)," ")),'TRANS'!$D:$D,0)),IFERROR(INDEX('Catalog'!$A:$A,MATCH($B3499,'Catalog'!$B:$B,0)),IFERROR(INDEX('Catalog'!$A:$A,MATCH(TRIM(SUBSTITUTE($B3499,CHAR(160)," ")),'Catalog'!$C:$C,0)),""))))</f>
        <v>4413348</v>
      </c>
      <c r="H3499" s="8" t="str">
        <f aca="false">IFERROR(INDEX('TRANS'!$C:$C,MATCH($B3499,'TRANS'!$A:$A,0)),IFERROR(INDEX('Catalog'!$B:$B,MATCH($G3499,'Catalog'!$A:$A,0)),$B3499))</f>
        <v>302 מדרס ג'ל לגבר</v>
      </c>
      <c r="I3499" s="8" t="str">
        <f aca="false">IF($G3499="","Unmatched","Matched")</f>
        <v>Matched</v>
      </c>
    </row>
    <row r="3500" customFormat="false" ht="15" hidden="false" customHeight="false" outlineLevel="0" collapsed="false">
      <c r="A3500" s="8" t="s">
        <v>1059</v>
      </c>
      <c r="B3500" s="8" t="s">
        <v>115</v>
      </c>
      <c r="C3500" s="19" t="n">
        <v>10</v>
      </c>
      <c r="D3500" s="19" t="n">
        <v>242.07</v>
      </c>
      <c r="E3500" s="19" t="n">
        <v>29</v>
      </c>
      <c r="F3500" s="19" t="n">
        <v>710.3</v>
      </c>
      <c r="G3500" s="8" t="n">
        <f aca="false">IFERROR(INDEX('TRANS'!$B:$B,MATCH($B3500,'TRANS'!$A:$A,0)),IFERROR(INDEX('TRANS'!$B:$B,MATCH(TRIM(SUBSTITUTE($B3500,CHAR(160)," ")),'TRANS'!$D:$D,0)),IFERROR(INDEX('Catalog'!$A:$A,MATCH($B3500,'Catalog'!$B:$B,0)),IFERROR(INDEX('Catalog'!$A:$A,MATCH(TRIM(SUBSTITUTE($B3500,CHAR(160)," ")),'Catalog'!$C:$C,0)),""))))</f>
        <v>4413372</v>
      </c>
      <c r="H3500" s="8" t="str">
        <f aca="false">IFERROR(INDEX('TRANS'!$C:$C,MATCH($B3500,'TRANS'!$A:$A,0)),IFERROR(INDEX('Catalog'!$B:$B,MATCH($G3500,'Catalog'!$A:$A,0)),$B3500))</f>
        <v>302 W מדרס לאישה</v>
      </c>
      <c r="I3500" s="8" t="str">
        <f aca="false">IF($G3500="","Unmatched","Matched")</f>
        <v>Matched</v>
      </c>
    </row>
    <row r="3501" customFormat="false" ht="15" hidden="false" customHeight="false" outlineLevel="0" collapsed="false">
      <c r="A3501" s="8" t="s">
        <v>1059</v>
      </c>
      <c r="B3501" s="8" t="s">
        <v>780</v>
      </c>
      <c r="C3501" s="19" t="n">
        <v>10</v>
      </c>
      <c r="D3501" s="19" t="n">
        <v>325.92</v>
      </c>
      <c r="E3501" s="19" t="n">
        <v>15</v>
      </c>
      <c r="F3501" s="19" t="n">
        <v>496.58</v>
      </c>
      <c r="G3501" s="8" t="str">
        <f aca="false">IFERROR(INDEX('TRANS'!$B:$B,MATCH($B3501,'TRANS'!$A:$A,0)),IFERROR(INDEX('TRANS'!$B:$B,MATCH(TRIM(SUBSTITUTE($B3501,CHAR(160)," ")),'TRANS'!$D:$D,0)),IFERROR(INDEX('Catalog'!$A:$A,MATCH($B3501,'Catalog'!$B:$B,0)),IFERROR(INDEX('Catalog'!$A:$A,MATCH(TRIM(SUBSTITUTE($B3501,CHAR(160)," ")),'Catalog'!$C:$C,0)),""))))</f>
        <v/>
      </c>
      <c r="H3501" s="8" t="str">
        <f aca="false">IFERROR(INDEX('TRANS'!$C:$C,MATCH($B3501,'TRANS'!$A:$A,0)),IFERROR(INDEX('Catalog'!$B:$B,MATCH($G3501,'Catalog'!$A:$A,0)),$B3501))</f>
        <v>305-41-42</v>
      </c>
      <c r="I3501" s="8" t="str">
        <f aca="false">IF($G3501="","Unmatched","Matched")</f>
        <v>Unmatched</v>
      </c>
    </row>
    <row r="3502" customFormat="false" ht="15" hidden="false" customHeight="false" outlineLevel="0" collapsed="false">
      <c r="A3502" s="8" t="s">
        <v>1059</v>
      </c>
      <c r="B3502" s="8" t="s">
        <v>948</v>
      </c>
      <c r="C3502" s="19" t="n">
        <v>0</v>
      </c>
      <c r="D3502" s="19" t="n">
        <v>0</v>
      </c>
      <c r="E3502" s="19" t="n">
        <v>24</v>
      </c>
      <c r="F3502" s="19" t="n">
        <v>828.12</v>
      </c>
      <c r="G3502" s="8" t="str">
        <f aca="false">IFERROR(INDEX('TRANS'!$B:$B,MATCH($B3502,'TRANS'!$A:$A,0)),IFERROR(INDEX('TRANS'!$B:$B,MATCH(TRIM(SUBSTITUTE($B3502,CHAR(160)," ")),'TRANS'!$D:$D,0)),IFERROR(INDEX('Catalog'!$A:$A,MATCH($B3502,'Catalog'!$B:$B,0)),IFERROR(INDEX('Catalog'!$A:$A,MATCH(TRIM(SUBSTITUTE($B3502,CHAR(160)," ")),'Catalog'!$C:$C,0)),""))))</f>
        <v/>
      </c>
      <c r="H3502" s="8" t="str">
        <f aca="false">IFERROR(INDEX('TRANS'!$C:$C,MATCH($B3502,'TRANS'!$A:$A,0)),IFERROR(INDEX('Catalog'!$B:$B,MATCH($G3502,'Catalog'!$A:$A,0)),$B3502))</f>
        <v>305-43-44</v>
      </c>
      <c r="I3502" s="8" t="str">
        <f aca="false">IF($G3502="","Unmatched","Matched")</f>
        <v>Unmatched</v>
      </c>
    </row>
    <row r="3503" customFormat="false" ht="15" hidden="false" customHeight="false" outlineLevel="0" collapsed="false">
      <c r="A3503" s="8" t="s">
        <v>1059</v>
      </c>
      <c r="B3503" s="8" t="s">
        <v>949</v>
      </c>
      <c r="C3503" s="19" t="n">
        <v>5</v>
      </c>
      <c r="D3503" s="19" t="n">
        <v>162.96</v>
      </c>
      <c r="E3503" s="19" t="n">
        <v>9</v>
      </c>
      <c r="F3503" s="19" t="n">
        <v>303.55</v>
      </c>
      <c r="G3503" s="8" t="str">
        <f aca="false">IFERROR(INDEX('TRANS'!$B:$B,MATCH($B3503,'TRANS'!$A:$A,0)),IFERROR(INDEX('TRANS'!$B:$B,MATCH(TRIM(SUBSTITUTE($B3503,CHAR(160)," ")),'TRANS'!$D:$D,0)),IFERROR(INDEX('Catalog'!$A:$A,MATCH($B3503,'Catalog'!$B:$B,0)),IFERROR(INDEX('Catalog'!$A:$A,MATCH(TRIM(SUBSTITUTE($B3503,CHAR(160)," ")),'Catalog'!$C:$C,0)),""))))</f>
        <v/>
      </c>
      <c r="H3503" s="8" t="str">
        <f aca="false">IFERROR(INDEX('TRANS'!$C:$C,MATCH($B3503,'TRANS'!$A:$A,0)),IFERROR(INDEX('Catalog'!$B:$B,MATCH($G3503,'Catalog'!$A:$A,0)),$B3503))</f>
        <v>305-45-46</v>
      </c>
      <c r="I3503" s="8" t="str">
        <f aca="false">IF($G3503="","Unmatched","Matched")</f>
        <v>Unmatched</v>
      </c>
    </row>
    <row r="3504" customFormat="false" ht="15" hidden="false" customHeight="false" outlineLevel="0" collapsed="false">
      <c r="A3504" s="8" t="s">
        <v>1059</v>
      </c>
      <c r="B3504" s="8" t="s">
        <v>120</v>
      </c>
      <c r="C3504" s="19" t="n">
        <v>55</v>
      </c>
      <c r="D3504" s="19" t="n">
        <v>1420.65</v>
      </c>
      <c r="E3504" s="19" t="n">
        <v>138</v>
      </c>
      <c r="F3504" s="19" t="n">
        <v>3807.02</v>
      </c>
      <c r="G3504" s="8" t="n">
        <f aca="false">IFERROR(INDEX('TRANS'!$B:$B,MATCH($B3504,'TRANS'!$A:$A,0)),IFERROR(INDEX('TRANS'!$B:$B,MATCH(TRIM(SUBSTITUTE($B3504,CHAR(160)," ")),'TRANS'!$D:$D,0)),IFERROR(INDEX('Catalog'!$A:$A,MATCH($B3504,'Catalog'!$B:$B,0)),IFERROR(INDEX('Catalog'!$A:$A,MATCH(TRIM(SUBSTITUTE($B3504,CHAR(160)," ")),'Catalog'!$C:$C,0)),""))))</f>
        <v>4416000</v>
      </c>
      <c r="H3504" s="8" t="str">
        <f aca="false">IFERROR(INDEX('TRANS'!$C:$C,MATCH($B3504,'TRANS'!$A:$A,0)),IFERROR(INDEX('Catalog'!$B:$B,MATCH($G3504,'Catalog'!$A:$A,0)),$B3504))</f>
        <v>307 L עקבים לדורבן-זוג כריות</v>
      </c>
      <c r="I3504" s="8" t="str">
        <f aca="false">IF($G3504="","Unmatched","Matched")</f>
        <v>Matched</v>
      </c>
    </row>
    <row r="3505" customFormat="false" ht="15" hidden="false" customHeight="false" outlineLevel="0" collapsed="false">
      <c r="A3505" s="8" t="s">
        <v>1059</v>
      </c>
      <c r="B3505" s="8" t="s">
        <v>121</v>
      </c>
      <c r="C3505" s="19" t="n">
        <v>105</v>
      </c>
      <c r="D3505" s="19" t="n">
        <v>2712.14</v>
      </c>
      <c r="E3505" s="19" t="n">
        <v>100</v>
      </c>
      <c r="F3505" s="19" t="n">
        <v>2830.72</v>
      </c>
      <c r="G3505" s="8" t="n">
        <f aca="false">IFERROR(INDEX('TRANS'!$B:$B,MATCH($B3505,'TRANS'!$A:$A,0)),IFERROR(INDEX('TRANS'!$B:$B,MATCH(TRIM(SUBSTITUTE($B3505,CHAR(160)," ")),'TRANS'!$D:$D,0)),IFERROR(INDEX('Catalog'!$A:$A,MATCH($B3505,'Catalog'!$B:$B,0)),IFERROR(INDEX('Catalog'!$A:$A,MATCH(TRIM(SUBSTITUTE($B3505,CHAR(160)," ")),'Catalog'!$C:$C,0)),""))))</f>
        <v>4416001</v>
      </c>
      <c r="H3505" s="8" t="str">
        <f aca="false">IFERROR(INDEX('TRANS'!$C:$C,MATCH($B3505,'TRANS'!$A:$A,0)),IFERROR(INDEX('Catalog'!$B:$B,MATCH($G3505,'Catalog'!$A:$A,0)),$B3505))</f>
        <v>307 M עקבים לדורבן-זוג כריות</v>
      </c>
      <c r="I3505" s="8" t="str">
        <f aca="false">IF($G3505="","Unmatched","Matched")</f>
        <v>Matched</v>
      </c>
    </row>
    <row r="3506" customFormat="false" ht="15" hidden="false" customHeight="false" outlineLevel="0" collapsed="false">
      <c r="A3506" s="8" t="s">
        <v>1059</v>
      </c>
      <c r="B3506" s="8" t="s">
        <v>647</v>
      </c>
      <c r="C3506" s="19" t="n">
        <v>25</v>
      </c>
      <c r="D3506" s="19" t="n">
        <v>645.74</v>
      </c>
      <c r="E3506" s="19" t="n">
        <v>20</v>
      </c>
      <c r="F3506" s="19" t="n">
        <v>583.89</v>
      </c>
      <c r="G3506" s="8" t="n">
        <f aca="false">IFERROR(INDEX('TRANS'!$B:$B,MATCH($B3506,'TRANS'!$A:$A,0)),IFERROR(INDEX('TRANS'!$B:$B,MATCH(TRIM(SUBSTITUTE($B3506,CHAR(160)," ")),'TRANS'!$D:$D,0)),IFERROR(INDEX('Catalog'!$A:$A,MATCH($B3506,'Catalog'!$B:$B,0)),IFERROR(INDEX('Catalog'!$A:$A,MATCH(TRIM(SUBSTITUTE($B3506,CHAR(160)," ")),'Catalog'!$C:$C,0)),""))))</f>
        <v>4416002</v>
      </c>
      <c r="H3506" s="8" t="str">
        <f aca="false">IFERROR(INDEX('TRANS'!$C:$C,MATCH($B3506,'TRANS'!$A:$A,0)),IFERROR(INDEX('Catalog'!$B:$B,MATCH($G3506,'Catalog'!$A:$A,0)),$B3506))</f>
        <v>307 S עקבים לדורבן-זוג כריות</v>
      </c>
      <c r="I3506" s="8" t="str">
        <f aca="false">IF($G3506="","Unmatched","Matched")</f>
        <v>Matched</v>
      </c>
    </row>
    <row r="3507" customFormat="false" ht="15" hidden="false" customHeight="false" outlineLevel="0" collapsed="false">
      <c r="A3507" s="8" t="s">
        <v>1059</v>
      </c>
      <c r="B3507" s="8" t="s">
        <v>122</v>
      </c>
      <c r="C3507" s="19" t="n">
        <v>25</v>
      </c>
      <c r="D3507" s="19" t="n">
        <v>645.74</v>
      </c>
      <c r="E3507" s="19" t="n">
        <v>59</v>
      </c>
      <c r="F3507" s="19" t="n">
        <v>1611.57</v>
      </c>
      <c r="G3507" s="8" t="n">
        <f aca="false">IFERROR(INDEX('TRANS'!$B:$B,MATCH($B3507,'TRANS'!$A:$A,0)),IFERROR(INDEX('TRANS'!$B:$B,MATCH(TRIM(SUBSTITUTE($B3507,CHAR(160)," ")),'TRANS'!$D:$D,0)),IFERROR(INDEX('Catalog'!$A:$A,MATCH($B3507,'Catalog'!$B:$B,0)),IFERROR(INDEX('Catalog'!$A:$A,MATCH(TRIM(SUBSTITUTE($B3507,CHAR(160)," ")),'Catalog'!$C:$C,0)),""))))</f>
        <v>4411016</v>
      </c>
      <c r="H3507" s="8" t="str">
        <f aca="false">IFERROR(INDEX('TRANS'!$C:$C,MATCH($B3507,'TRANS'!$A:$A,0)),IFERROR(INDEX('Catalog'!$B:$B,MATCH($G3507,'Catalog'!$A:$A,0)),$B3507))</f>
        <v>307 XL כרית סיליקון לעקב</v>
      </c>
      <c r="I3507" s="8" t="str">
        <f aca="false">IF($G3507="","Unmatched","Matched")</f>
        <v>Matched</v>
      </c>
    </row>
    <row r="3508" customFormat="false" ht="15" hidden="false" customHeight="false" outlineLevel="0" collapsed="false">
      <c r="A3508" s="8" t="s">
        <v>1059</v>
      </c>
      <c r="B3508" s="8" t="s">
        <v>563</v>
      </c>
      <c r="C3508" s="19" t="n">
        <v>12</v>
      </c>
      <c r="D3508" s="19" t="n">
        <v>288.86</v>
      </c>
      <c r="E3508" s="19" t="n">
        <v>20</v>
      </c>
      <c r="F3508" s="19" t="n">
        <v>414.8</v>
      </c>
      <c r="G3508" s="8" t="n">
        <f aca="false">IFERROR(INDEX('TRANS'!$B:$B,MATCH($B3508,'TRANS'!$A:$A,0)),IFERROR(INDEX('TRANS'!$B:$B,MATCH(TRIM(SUBSTITUTE($B3508,CHAR(160)," ")),'TRANS'!$D:$D,0)),IFERROR(INDEX('Catalog'!$A:$A,MATCH($B3508,'Catalog'!$B:$B,0)),IFERROR(INDEX('Catalog'!$A:$A,MATCH(TRIM(SUBSTITUTE($B3508,CHAR(160)," ")),'Catalog'!$C:$C,0)),""))))</f>
        <v>4416003</v>
      </c>
      <c r="H3508" s="8" t="str">
        <f aca="false">IFERROR(INDEX('TRANS'!$C:$C,MATCH($B3508,'TRANS'!$A:$A,0)),IFERROR(INDEX('Catalog'!$B:$B,MATCH($G3508,'Catalog'!$A:$A,0)),$B3508))</f>
        <v>308 Lעקבים סיליקון כחול לדורבן</v>
      </c>
      <c r="I3508" s="8" t="str">
        <f aca="false">IF($G3508="","Unmatched","Matched")</f>
        <v>Matched</v>
      </c>
    </row>
    <row r="3509" customFormat="false" ht="15" hidden="false" customHeight="false" outlineLevel="0" collapsed="false">
      <c r="A3509" s="8" t="s">
        <v>1059</v>
      </c>
      <c r="B3509" s="8" t="s">
        <v>123</v>
      </c>
      <c r="C3509" s="19" t="n">
        <v>39</v>
      </c>
      <c r="D3509" s="19" t="n">
        <v>902.29</v>
      </c>
      <c r="E3509" s="19" t="n">
        <v>20</v>
      </c>
      <c r="F3509" s="19" t="n">
        <v>414.8</v>
      </c>
      <c r="G3509" s="8" t="n">
        <f aca="false">IFERROR(INDEX('TRANS'!$B:$B,MATCH($B3509,'TRANS'!$A:$A,0)),IFERROR(INDEX('TRANS'!$B:$B,MATCH(TRIM(SUBSTITUTE($B3509,CHAR(160)," ")),'TRANS'!$D:$D,0)),IFERROR(INDEX('Catalog'!$A:$A,MATCH($B3509,'Catalog'!$B:$B,0)),IFERROR(INDEX('Catalog'!$A:$A,MATCH(TRIM(SUBSTITUTE($B3509,CHAR(160)," ")),'Catalog'!$C:$C,0)),""))))</f>
        <v>4416005</v>
      </c>
      <c r="H3509" s="8" t="str">
        <f aca="false">IFERROR(INDEX('TRANS'!$C:$C,MATCH($B3509,'TRANS'!$A:$A,0)),IFERROR(INDEX('Catalog'!$B:$B,MATCH($G3509,'Catalog'!$A:$A,0)),$B3509))</f>
        <v>308 Mעקבים סיליק.כחול לדורבן</v>
      </c>
      <c r="I3509" s="8" t="str">
        <f aca="false">IF($G3509="","Unmatched","Matched")</f>
        <v>Matched</v>
      </c>
    </row>
    <row r="3510" customFormat="false" ht="15" hidden="false" customHeight="false" outlineLevel="0" collapsed="false">
      <c r="A3510" s="8" t="s">
        <v>1059</v>
      </c>
      <c r="B3510" s="8" t="s">
        <v>126</v>
      </c>
      <c r="C3510" s="19" t="n">
        <v>10</v>
      </c>
      <c r="D3510" s="19" t="n">
        <v>135.24</v>
      </c>
      <c r="E3510" s="19" t="n">
        <v>0</v>
      </c>
      <c r="F3510" s="19" t="n">
        <v>0</v>
      </c>
      <c r="G3510" s="8" t="n">
        <f aca="false">IFERROR(INDEX('TRANS'!$B:$B,MATCH($B3510,'TRANS'!$A:$A,0)),IFERROR(INDEX('TRANS'!$B:$B,MATCH(TRIM(SUBSTITUTE($B3510,CHAR(160)," ")),'TRANS'!$D:$D,0)),IFERROR(INDEX('Catalog'!$A:$A,MATCH($B3510,'Catalog'!$B:$B,0)),IFERROR(INDEX('Catalog'!$A:$A,MATCH(TRIM(SUBSTITUTE($B3510,CHAR(160)," ")),'Catalog'!$C:$C,0)),""))))</f>
        <v>4415297</v>
      </c>
      <c r="H3510" s="8" t="str">
        <f aca="false">IFERROR(INDEX('TRANS'!$C:$C,MATCH($B3510,'TRANS'!$A:$A,0)),IFERROR(INDEX('Catalog'!$B:$B,MATCH($G3510,'Catalog'!$A:$A,0)),$B3510))</f>
        <v>313 סט פלסטרים נגד שפשופים</v>
      </c>
      <c r="I3510" s="8" t="str">
        <f aca="false">IF($G3510="","Unmatched","Matched")</f>
        <v>Matched</v>
      </c>
    </row>
    <row r="3511" customFormat="false" ht="15" hidden="false" customHeight="false" outlineLevel="0" collapsed="false">
      <c r="A3511" s="8" t="s">
        <v>1059</v>
      </c>
      <c r="B3511" s="8" t="s">
        <v>803</v>
      </c>
      <c r="C3511" s="19" t="n">
        <v>10</v>
      </c>
      <c r="D3511" s="19" t="n">
        <v>720.8</v>
      </c>
      <c r="E3511" s="19" t="n">
        <v>5</v>
      </c>
      <c r="F3511" s="19" t="n">
        <v>345.45</v>
      </c>
      <c r="G3511" s="8" t="str">
        <f aca="false">IFERROR(INDEX('TRANS'!$B:$B,MATCH($B3511,'TRANS'!$A:$A,0)),IFERROR(INDEX('TRANS'!$B:$B,MATCH(TRIM(SUBSTITUTE($B3511,CHAR(160)," ")),'TRANS'!$D:$D,0)),IFERROR(INDEX('Catalog'!$A:$A,MATCH($B3511,'Catalog'!$B:$B,0)),IFERROR(INDEX('Catalog'!$A:$A,MATCH(TRIM(SUBSTITUTE($B3511,CHAR(160)," ")),'Catalog'!$C:$C,0)),""))))</f>
        <v/>
      </c>
      <c r="H3511" s="8" t="str">
        <f aca="false">IFERROR(INDEX('TRANS'!$C:$C,MATCH($B3511,'TRANS'!$A:$A,0)),IFERROR(INDEX('Catalog'!$B:$B,MATCH($G3511,'Catalog'!$A:$A,0)),$B3511))</f>
        <v>32 L</v>
      </c>
      <c r="I3511" s="8" t="str">
        <f aca="false">IF($G3511="","Unmatched","Matched")</f>
        <v>Unmatched</v>
      </c>
    </row>
    <row r="3512" customFormat="false" ht="15" hidden="false" customHeight="false" outlineLevel="0" collapsed="false">
      <c r="A3512" s="8" t="s">
        <v>1059</v>
      </c>
      <c r="B3512" s="8" t="s">
        <v>804</v>
      </c>
      <c r="C3512" s="19" t="n">
        <v>20</v>
      </c>
      <c r="D3512" s="19" t="n">
        <v>1441.61</v>
      </c>
      <c r="E3512" s="19" t="n">
        <v>15</v>
      </c>
      <c r="F3512" s="19" t="n">
        <v>1160.14</v>
      </c>
      <c r="G3512" s="8" t="str">
        <f aca="false">IFERROR(INDEX('TRANS'!$B:$B,MATCH($B3512,'TRANS'!$A:$A,0)),IFERROR(INDEX('TRANS'!$B:$B,MATCH(TRIM(SUBSTITUTE($B3512,CHAR(160)," ")),'TRANS'!$D:$D,0)),IFERROR(INDEX('Catalog'!$A:$A,MATCH($B3512,'Catalog'!$B:$B,0)),IFERROR(INDEX('Catalog'!$A:$A,MATCH(TRIM(SUBSTITUTE($B3512,CHAR(160)," ")),'Catalog'!$C:$C,0)),""))))</f>
        <v/>
      </c>
      <c r="H3512" s="8" t="str">
        <f aca="false">IFERROR(INDEX('TRANS'!$C:$C,MATCH($B3512,'TRANS'!$A:$A,0)),IFERROR(INDEX('Catalog'!$B:$B,MATCH($G3512,'Catalog'!$A:$A,0)),$B3512))</f>
        <v>32 M</v>
      </c>
      <c r="I3512" s="8" t="str">
        <f aca="false">IF($G3512="","Unmatched","Matched")</f>
        <v>Unmatched</v>
      </c>
    </row>
    <row r="3513" customFormat="false" ht="15" hidden="false" customHeight="false" outlineLevel="0" collapsed="false">
      <c r="A3513" s="8" t="s">
        <v>1059</v>
      </c>
      <c r="B3513" s="8" t="s">
        <v>127</v>
      </c>
      <c r="C3513" s="19" t="n">
        <v>25</v>
      </c>
      <c r="D3513" s="19" t="n">
        <v>1802.01</v>
      </c>
      <c r="E3513" s="19" t="n">
        <v>0</v>
      </c>
      <c r="F3513" s="19" t="n">
        <v>0</v>
      </c>
      <c r="G3513" s="8" t="n">
        <f aca="false">IFERROR(INDEX('TRANS'!$B:$B,MATCH($B3513,'TRANS'!$A:$A,0)),IFERROR(INDEX('TRANS'!$B:$B,MATCH(TRIM(SUBSTITUTE($B3513,CHAR(160)," ")),'TRANS'!$D:$D,0)),IFERROR(INDEX('Catalog'!$A:$A,MATCH($B3513,'Catalog'!$B:$B,0)),IFERROR(INDEX('Catalog'!$A:$A,MATCH(TRIM(SUBSTITUTE($B3513,CHAR(160)," ")),'Catalog'!$C:$C,0)),""))))</f>
        <v>4415013</v>
      </c>
      <c r="H3513" s="8" t="str">
        <f aca="false">IFERROR(INDEX('TRANS'!$C:$C,MATCH($B3513,'TRANS'!$A:$A,0)),IFERROR(INDEX('Catalog'!$B:$B,MATCH($G3513,'Catalog'!$A:$A,0)),$B3513))</f>
        <v>32 XL סד קרסול+מוטות אלומיניום</v>
      </c>
      <c r="I3513" s="8" t="str">
        <f aca="false">IF($G3513="","Unmatched","Matched")</f>
        <v>Matched</v>
      </c>
    </row>
    <row r="3514" customFormat="false" ht="15" hidden="false" customHeight="false" outlineLevel="0" collapsed="false">
      <c r="A3514" s="8" t="s">
        <v>1059</v>
      </c>
      <c r="B3514" s="8" t="s">
        <v>816</v>
      </c>
      <c r="C3514" s="19" t="n">
        <v>22</v>
      </c>
      <c r="D3514" s="19" t="n">
        <v>1683.08</v>
      </c>
      <c r="E3514" s="19" t="n">
        <v>0</v>
      </c>
      <c r="F3514" s="19" t="n">
        <v>0</v>
      </c>
      <c r="G3514" s="8" t="str">
        <f aca="false">IFERROR(INDEX('TRANS'!$B:$B,MATCH($B3514,'TRANS'!$A:$A,0)),IFERROR(INDEX('TRANS'!$B:$B,MATCH(TRIM(SUBSTITUTE($B3514,CHAR(160)," ")),'TRANS'!$D:$D,0)),IFERROR(INDEX('Catalog'!$A:$A,MATCH($B3514,'Catalog'!$B:$B,0)),IFERROR(INDEX('Catalog'!$A:$A,MATCH(TRIM(SUBSTITUTE($B3514,CHAR(160)," ")),'Catalog'!$C:$C,0)),""))))</f>
        <v/>
      </c>
      <c r="H3514" s="8" t="str">
        <f aca="false">IFERROR(INDEX('TRANS'!$C:$C,MATCH($B3514,'TRANS'!$A:$A,0)),IFERROR(INDEX('Catalog'!$B:$B,MATCH($G3514,'Catalog'!$A:$A,0)),$B3514))</f>
        <v>32 XXL</v>
      </c>
      <c r="I3514" s="8" t="str">
        <f aca="false">IF($G3514="","Unmatched","Matched")</f>
        <v>Unmatched</v>
      </c>
    </row>
    <row r="3515" customFormat="false" ht="15" hidden="false" customHeight="false" outlineLevel="0" collapsed="false">
      <c r="A3515" s="8" t="s">
        <v>1059</v>
      </c>
      <c r="B3515" s="8" t="s">
        <v>128</v>
      </c>
      <c r="C3515" s="19" t="n">
        <v>24</v>
      </c>
      <c r="D3515" s="19" t="n">
        <v>155.32</v>
      </c>
      <c r="E3515" s="19" t="n">
        <v>0</v>
      </c>
      <c r="F3515" s="19" t="n">
        <v>0</v>
      </c>
      <c r="G3515" s="8" t="n">
        <f aca="false">IFERROR(INDEX('TRANS'!$B:$B,MATCH($B3515,'TRANS'!$A:$A,0)),IFERROR(INDEX('TRANS'!$B:$B,MATCH(TRIM(SUBSTITUTE($B3515,CHAR(160)," ")),'TRANS'!$D:$D,0)),IFERROR(INDEX('Catalog'!$A:$A,MATCH($B3515,'Catalog'!$B:$B,0)),IFERROR(INDEX('Catalog'!$A:$A,MATCH(TRIM(SUBSTITUTE($B3515,CHAR(160)," ")),'Catalog'!$C:$C,0)),""))))</f>
        <v>4402007</v>
      </c>
      <c r="H3515" s="8" t="str">
        <f aca="false">IFERROR(INDEX('TRANS'!$C:$C,MATCH($B3515,'TRANS'!$A:$A,0)),IFERROR(INDEX('Catalog'!$B:$B,MATCH($G3515,'Catalog'!$A:$A,0)),$B3515))</f>
        <v>320 בליסטר פלסטר</v>
      </c>
      <c r="I3515" s="8" t="str">
        <f aca="false">IF($G3515="","Unmatched","Matched")</f>
        <v>Matched</v>
      </c>
    </row>
    <row r="3516" customFormat="false" ht="15" hidden="false" customHeight="false" outlineLevel="0" collapsed="false">
      <c r="A3516" s="8" t="s">
        <v>1059</v>
      </c>
      <c r="B3516" s="8" t="s">
        <v>594</v>
      </c>
      <c r="C3516" s="19" t="n">
        <v>1</v>
      </c>
      <c r="D3516" s="19" t="n">
        <v>60.86</v>
      </c>
      <c r="E3516" s="19" t="n">
        <v>0</v>
      </c>
      <c r="F3516" s="19" t="n">
        <v>0</v>
      </c>
      <c r="G3516" s="8" t="str">
        <f aca="false">IFERROR(INDEX('TRANS'!$B:$B,MATCH($B3516,'TRANS'!$A:$A,0)),IFERROR(INDEX('TRANS'!$B:$B,MATCH(TRIM(SUBSTITUTE($B3516,CHAR(160)," ")),'TRANS'!$D:$D,0)),IFERROR(INDEX('Catalog'!$A:$A,MATCH($B3516,'Catalog'!$B:$B,0)),IFERROR(INDEX('Catalog'!$A:$A,MATCH(TRIM(SUBSTITUTE($B3516,CHAR(160)," ")),'Catalog'!$C:$C,0)),""))))</f>
        <v/>
      </c>
      <c r="H3516" s="8" t="str">
        <f aca="false">IFERROR(INDEX('TRANS'!$C:$C,MATCH($B3516,'TRANS'!$A:$A,0)),IFERROR(INDEX('Catalog'!$B:$B,MATCH($G3516,'Catalog'!$A:$A,0)),$B3516))</f>
        <v>332B XL</v>
      </c>
      <c r="I3516" s="8" t="str">
        <f aca="false">IF($G3516="","Unmatched","Matched")</f>
        <v>Unmatched</v>
      </c>
    </row>
    <row r="3517" customFormat="false" ht="15" hidden="false" customHeight="false" outlineLevel="0" collapsed="false">
      <c r="A3517" s="8" t="s">
        <v>1059</v>
      </c>
      <c r="B3517" s="8" t="s">
        <v>564</v>
      </c>
      <c r="C3517" s="19" t="n">
        <v>34</v>
      </c>
      <c r="D3517" s="19" t="n">
        <v>719.66</v>
      </c>
      <c r="E3517" s="19" t="n">
        <v>26</v>
      </c>
      <c r="F3517" s="19" t="n">
        <v>542.57</v>
      </c>
      <c r="G3517" s="8" t="n">
        <f aca="false">IFERROR(INDEX('TRANS'!$B:$B,MATCH($B3517,'TRANS'!$A:$A,0)),IFERROR(INDEX('TRANS'!$B:$B,MATCH(TRIM(SUBSTITUTE($B3517,CHAR(160)," ")),'TRANS'!$D:$D,0)),IFERROR(INDEX('Catalog'!$A:$A,MATCH($B3517,'Catalog'!$B:$B,0)),IFERROR(INDEX('Catalog'!$A:$A,MATCH(TRIM(SUBSTITUTE($B3517,CHAR(160)," ")),'Catalog'!$C:$C,0)),""))))</f>
        <v>4413043</v>
      </c>
      <c r="H3517" s="8" t="str">
        <f aca="false">IFERROR(INDEX('TRANS'!$C:$C,MATCH($B3517,'TRANS'!$A:$A,0)),IFERROR(INDEX('Catalog'!$B:$B,MATCH($G3517,'Catalog'!$A:$A,0)),$B3517))</f>
        <v>34  L מגן קרסול עקב סגור</v>
      </c>
      <c r="I3517" s="8" t="str">
        <f aca="false">IF($G3517="","Unmatched","Matched")</f>
        <v>Matched</v>
      </c>
    </row>
    <row r="3518" customFormat="false" ht="15" hidden="false" customHeight="false" outlineLevel="0" collapsed="false">
      <c r="A3518" s="8" t="s">
        <v>1059</v>
      </c>
      <c r="B3518" s="8" t="s">
        <v>575</v>
      </c>
      <c r="C3518" s="19" t="n">
        <v>44</v>
      </c>
      <c r="D3518" s="19" t="n">
        <v>915.75</v>
      </c>
      <c r="E3518" s="19" t="n">
        <v>25</v>
      </c>
      <c r="F3518" s="19" t="n">
        <v>503.57</v>
      </c>
      <c r="G3518" s="8" t="n">
        <f aca="false">IFERROR(INDEX('TRANS'!$B:$B,MATCH($B3518,'TRANS'!$A:$A,0)),IFERROR(INDEX('TRANS'!$B:$B,MATCH(TRIM(SUBSTITUTE($B3518,CHAR(160)," ")),'TRANS'!$D:$D,0)),IFERROR(INDEX('Catalog'!$A:$A,MATCH($B3518,'Catalog'!$B:$B,0)),IFERROR(INDEX('Catalog'!$A:$A,MATCH(TRIM(SUBSTITUTE($B3518,CHAR(160)," ")),'Catalog'!$C:$C,0)),""))))</f>
        <v>4413041</v>
      </c>
      <c r="H3518" s="8" t="str">
        <f aca="false">IFERROR(INDEX('TRANS'!$C:$C,MATCH($B3518,'TRANS'!$A:$A,0)),IFERROR(INDEX('Catalog'!$B:$B,MATCH($G3518,'Catalog'!$A:$A,0)),$B3518))</f>
        <v>34  M מגן קרסול עקב סגור</v>
      </c>
      <c r="I3518" s="8" t="str">
        <f aca="false">IF($G3518="","Unmatched","Matched")</f>
        <v>Matched</v>
      </c>
    </row>
    <row r="3519" customFormat="false" ht="15" hidden="false" customHeight="false" outlineLevel="0" collapsed="false">
      <c r="A3519" s="8" t="s">
        <v>1059</v>
      </c>
      <c r="B3519" s="8" t="s">
        <v>743</v>
      </c>
      <c r="C3519" s="19" t="n">
        <v>15</v>
      </c>
      <c r="D3519" s="19" t="n">
        <v>294.13</v>
      </c>
      <c r="E3519" s="19" t="n">
        <v>5</v>
      </c>
      <c r="F3519" s="19" t="n">
        <v>93.98</v>
      </c>
      <c r="G3519" s="8" t="n">
        <f aca="false">IFERROR(INDEX('TRANS'!$B:$B,MATCH($B3519,'TRANS'!$A:$A,0)),IFERROR(INDEX('TRANS'!$B:$B,MATCH(TRIM(SUBSTITUTE($B3519,CHAR(160)," ")),'TRANS'!$D:$D,0)),IFERROR(INDEX('Catalog'!$A:$A,MATCH($B3519,'Catalog'!$B:$B,0)),IFERROR(INDEX('Catalog'!$A:$A,MATCH(TRIM(SUBSTITUTE($B3519,CHAR(160)," ")),'Catalog'!$C:$C,0)),""))))</f>
        <v>4413042</v>
      </c>
      <c r="H3519" s="8" t="str">
        <f aca="false">IFERROR(INDEX('TRANS'!$C:$C,MATCH($B3519,'TRANS'!$A:$A,0)),IFERROR(INDEX('Catalog'!$B:$B,MATCH($G3519,'Catalog'!$A:$A,0)),$B3519))</f>
        <v>34  S מגן קרסול עקב סגור</v>
      </c>
      <c r="I3519" s="8" t="str">
        <f aca="false">IF($G3519="","Unmatched","Matched")</f>
        <v>Matched</v>
      </c>
    </row>
    <row r="3520" customFormat="false" ht="15" hidden="false" customHeight="false" outlineLevel="0" collapsed="false">
      <c r="A3520" s="8" t="s">
        <v>1059</v>
      </c>
      <c r="B3520" s="8" t="s">
        <v>576</v>
      </c>
      <c r="C3520" s="19" t="n">
        <v>60</v>
      </c>
      <c r="D3520" s="19" t="n">
        <v>1308.91</v>
      </c>
      <c r="E3520" s="19" t="n">
        <v>0</v>
      </c>
      <c r="F3520" s="19" t="n">
        <v>0</v>
      </c>
      <c r="G3520" s="8" t="n">
        <f aca="false">IFERROR(INDEX('TRANS'!$B:$B,MATCH($B3520,'TRANS'!$A:$A,0)),IFERROR(INDEX('TRANS'!$B:$B,MATCH(TRIM(SUBSTITUTE($B3520,CHAR(160)," ")),'TRANS'!$D:$D,0)),IFERROR(INDEX('Catalog'!$A:$A,MATCH($B3520,'Catalog'!$B:$B,0)),IFERROR(INDEX('Catalog'!$A:$A,MATCH(TRIM(SUBSTITUTE($B3520,CHAR(160)," ")),'Catalog'!$C:$C,0)),""))))</f>
        <v>4413044</v>
      </c>
      <c r="H3520" s="8" t="str">
        <f aca="false">IFERROR(INDEX('TRANS'!$C:$C,MATCH($B3520,'TRANS'!$A:$A,0)),IFERROR(INDEX('Catalog'!$B:$B,MATCH($G3520,'Catalog'!$A:$A,0)),$B3520))</f>
        <v>34 XL מגן קרסול עקב סגור</v>
      </c>
      <c r="I3520" s="8" t="str">
        <f aca="false">IF($G3520="","Unmatched","Matched")</f>
        <v>Matched</v>
      </c>
    </row>
    <row r="3521" customFormat="false" ht="15" hidden="false" customHeight="false" outlineLevel="0" collapsed="false">
      <c r="A3521" s="8" t="s">
        <v>1059</v>
      </c>
      <c r="B3521" s="8" t="s">
        <v>771</v>
      </c>
      <c r="C3521" s="19" t="n">
        <v>6</v>
      </c>
      <c r="D3521" s="19" t="n">
        <v>117.66</v>
      </c>
      <c r="E3521" s="19" t="n">
        <v>5</v>
      </c>
      <c r="F3521" s="19" t="n">
        <v>110.82</v>
      </c>
      <c r="G3521" s="8" t="str">
        <f aca="false">IFERROR(INDEX('TRANS'!$B:$B,MATCH($B3521,'TRANS'!$A:$A,0)),IFERROR(INDEX('TRANS'!$B:$B,MATCH(TRIM(SUBSTITUTE($B3521,CHAR(160)," ")),'TRANS'!$D:$D,0)),IFERROR(INDEX('Catalog'!$A:$A,MATCH($B3521,'Catalog'!$B:$B,0)),IFERROR(INDEX('Catalog'!$A:$A,MATCH(TRIM(SUBSTITUTE($B3521,CHAR(160)," ")),'Catalog'!$C:$C,0)),""))))</f>
        <v/>
      </c>
      <c r="H3521" s="8" t="str">
        <f aca="false">IFERROR(INDEX('TRANS'!$C:$C,MATCH($B3521,'TRANS'!$A:$A,0)),IFERROR(INDEX('Catalog'!$B:$B,MATCH($G3521,'Catalog'!$A:$A,0)),$B3521))</f>
        <v>34 XS</v>
      </c>
      <c r="I3521" s="8" t="str">
        <f aca="false">IF($G3521="","Unmatched","Matched")</f>
        <v>Unmatched</v>
      </c>
    </row>
    <row r="3522" customFormat="false" ht="15" hidden="false" customHeight="false" outlineLevel="0" collapsed="false">
      <c r="A3522" s="8" t="s">
        <v>1059</v>
      </c>
      <c r="B3522" s="8" t="s">
        <v>131</v>
      </c>
      <c r="C3522" s="19" t="n">
        <v>25</v>
      </c>
      <c r="D3522" s="19" t="n">
        <v>709.99</v>
      </c>
      <c r="E3522" s="19" t="n">
        <v>20</v>
      </c>
      <c r="F3522" s="19" t="n">
        <v>544.43</v>
      </c>
      <c r="G3522" s="8" t="n">
        <f aca="false">IFERROR(INDEX('TRANS'!$B:$B,MATCH($B3522,'TRANS'!$A:$A,0)),IFERROR(INDEX('TRANS'!$B:$B,MATCH(TRIM(SUBSTITUTE($B3522,CHAR(160)," ")),'TRANS'!$D:$D,0)),IFERROR(INDEX('Catalog'!$A:$A,MATCH($B3522,'Catalog'!$B:$B,0)),IFERROR(INDEX('Catalog'!$A:$A,MATCH(TRIM(SUBSTITUTE($B3522,CHAR(160)," ")),'Catalog'!$C:$C,0)),""))))</f>
        <v>4413161</v>
      </c>
      <c r="H3522" s="8" t="str">
        <f aca="false">IFERROR(INDEX('TRANS'!$C:$C,MATCH($B3522,'TRANS'!$A:$A,0)),IFERROR(INDEX('Catalog'!$B:$B,MATCH($G3522,'Catalog'!$A:$A,0)),$B3522))</f>
        <v>34+ L מגן קרסול עקב סגור+רצוע</v>
      </c>
      <c r="I3522" s="8" t="str">
        <f aca="false">IF($G3522="","Unmatched","Matched")</f>
        <v>Matched</v>
      </c>
    </row>
    <row r="3523" customFormat="false" ht="15" hidden="false" customHeight="false" outlineLevel="0" collapsed="false">
      <c r="A3523" s="8" t="s">
        <v>1059</v>
      </c>
      <c r="B3523" s="8" t="s">
        <v>357</v>
      </c>
      <c r="C3523" s="19" t="n">
        <v>39</v>
      </c>
      <c r="D3523" s="19" t="n">
        <v>1184.26</v>
      </c>
      <c r="E3523" s="19" t="n">
        <v>40</v>
      </c>
      <c r="F3523" s="19" t="n">
        <v>1088.85</v>
      </c>
      <c r="G3523" s="8" t="n">
        <f aca="false">IFERROR(INDEX('TRANS'!$B:$B,MATCH($B3523,'TRANS'!$A:$A,0)),IFERROR(INDEX('TRANS'!$B:$B,MATCH(TRIM(SUBSTITUTE($B3523,CHAR(160)," ")),'TRANS'!$D:$D,0)),IFERROR(INDEX('Catalog'!$A:$A,MATCH($B3523,'Catalog'!$B:$B,0)),IFERROR(INDEX('Catalog'!$A:$A,MATCH(TRIM(SUBSTITUTE($B3523,CHAR(160)," ")),'Catalog'!$C:$C,0)),""))))</f>
        <v>4413160</v>
      </c>
      <c r="H3523" s="8" t="str">
        <f aca="false">IFERROR(INDEX('TRANS'!$C:$C,MATCH($B3523,'TRANS'!$A:$A,0)),IFERROR(INDEX('Catalog'!$B:$B,MATCH($G3523,'Catalog'!$A:$A,0)),$B3523))</f>
        <v>34+ M מגן קרסול עקב סגור+רצוע</v>
      </c>
      <c r="I3523" s="8" t="str">
        <f aca="false">IF($G3523="","Unmatched","Matched")</f>
        <v>Matched</v>
      </c>
    </row>
    <row r="3524" customFormat="false" ht="15" hidden="false" customHeight="false" outlineLevel="0" collapsed="false">
      <c r="A3524" s="8" t="s">
        <v>1059</v>
      </c>
      <c r="B3524" s="8" t="s">
        <v>625</v>
      </c>
      <c r="C3524" s="19" t="n">
        <v>8</v>
      </c>
      <c r="D3524" s="19" t="n">
        <v>227.2</v>
      </c>
      <c r="E3524" s="19" t="n">
        <v>20</v>
      </c>
      <c r="F3524" s="19" t="n">
        <v>593.2</v>
      </c>
      <c r="G3524" s="8" t="n">
        <f aca="false">IFERROR(INDEX('TRANS'!$B:$B,MATCH($B3524,'TRANS'!$A:$A,0)),IFERROR(INDEX('TRANS'!$B:$B,MATCH(TRIM(SUBSTITUTE($B3524,CHAR(160)," ")),'TRANS'!$D:$D,0)),IFERROR(INDEX('Catalog'!$A:$A,MATCH($B3524,'Catalog'!$B:$B,0)),IFERROR(INDEX('Catalog'!$A:$A,MATCH(TRIM(SUBSTITUTE($B3524,CHAR(160)," ")),'Catalog'!$C:$C,0)),""))))</f>
        <v>4413159</v>
      </c>
      <c r="H3524" s="8" t="str">
        <f aca="false">IFERROR(INDEX('TRANS'!$C:$C,MATCH($B3524,'TRANS'!$A:$A,0)),IFERROR(INDEX('Catalog'!$B:$B,MATCH($G3524,'Catalog'!$A:$A,0)),$B3524))</f>
        <v>34+ S מגן קרסול עקב סגור+רצוע</v>
      </c>
      <c r="I3524" s="8" t="str">
        <f aca="false">IF($G3524="","Unmatched","Matched")</f>
        <v>Matched</v>
      </c>
    </row>
    <row r="3525" customFormat="false" ht="15" hidden="false" customHeight="false" outlineLevel="0" collapsed="false">
      <c r="A3525" s="8" t="s">
        <v>1059</v>
      </c>
      <c r="B3525" s="8" t="s">
        <v>132</v>
      </c>
      <c r="C3525" s="19" t="n">
        <v>5</v>
      </c>
      <c r="D3525" s="19" t="n">
        <v>142</v>
      </c>
      <c r="E3525" s="19" t="n">
        <v>10</v>
      </c>
      <c r="F3525" s="19" t="n">
        <v>272.21</v>
      </c>
      <c r="G3525" s="8" t="n">
        <f aca="false">IFERROR(INDEX('TRANS'!$B:$B,MATCH($B3525,'TRANS'!$A:$A,0)),IFERROR(INDEX('TRANS'!$B:$B,MATCH(TRIM(SUBSTITUTE($B3525,CHAR(160)," ")),'TRANS'!$D:$D,0)),IFERROR(INDEX('Catalog'!$A:$A,MATCH($B3525,'Catalog'!$B:$B,0)),IFERROR(INDEX('Catalog'!$A:$A,MATCH(TRIM(SUBSTITUTE($B3525,CHAR(160)," ")),'Catalog'!$C:$C,0)),""))))</f>
        <v>4413162</v>
      </c>
      <c r="H3525" s="8" t="str">
        <f aca="false">IFERROR(INDEX('TRANS'!$C:$C,MATCH($B3525,'TRANS'!$A:$A,0)),IFERROR(INDEX('Catalog'!$B:$B,MATCH($G3525,'Catalog'!$A:$A,0)),$B3525))</f>
        <v>34+XL מגן קרסול עקב סגור+רצוע</v>
      </c>
      <c r="I3525" s="8" t="str">
        <f aca="false">IF($G3525="","Unmatched","Matched")</f>
        <v>Matched</v>
      </c>
    </row>
    <row r="3526" customFormat="false" ht="15" hidden="false" customHeight="false" outlineLevel="0" collapsed="false">
      <c r="A3526" s="8" t="s">
        <v>1059</v>
      </c>
      <c r="B3526" s="8" t="s">
        <v>772</v>
      </c>
      <c r="C3526" s="19" t="n">
        <v>5</v>
      </c>
      <c r="D3526" s="19" t="n">
        <v>142</v>
      </c>
      <c r="E3526" s="19" t="n">
        <v>10</v>
      </c>
      <c r="F3526" s="19" t="n">
        <v>272.21</v>
      </c>
      <c r="G3526" s="8" t="str">
        <f aca="false">IFERROR(INDEX('TRANS'!$B:$B,MATCH($B3526,'TRANS'!$A:$A,0)),IFERROR(INDEX('TRANS'!$B:$B,MATCH(TRIM(SUBSTITUTE($B3526,CHAR(160)," ")),'TRANS'!$D:$D,0)),IFERROR(INDEX('Catalog'!$A:$A,MATCH($B3526,'Catalog'!$B:$B,0)),IFERROR(INDEX('Catalog'!$A:$A,MATCH(TRIM(SUBSTITUTE($B3526,CHAR(160)," ")),'Catalog'!$C:$C,0)),""))))</f>
        <v/>
      </c>
      <c r="H3526" s="8" t="str">
        <f aca="false">IFERROR(INDEX('TRANS'!$C:$C,MATCH($B3526,'TRANS'!$A:$A,0)),IFERROR(INDEX('Catalog'!$B:$B,MATCH($G3526,'Catalog'!$A:$A,0)),$B3526))</f>
        <v>34+ XS</v>
      </c>
      <c r="I3526" s="8" t="str">
        <f aca="false">IF($G3526="","Unmatched","Matched")</f>
        <v>Unmatched</v>
      </c>
    </row>
    <row r="3527" customFormat="false" ht="15" hidden="false" customHeight="false" outlineLevel="0" collapsed="false">
      <c r="A3527" s="8" t="s">
        <v>1059</v>
      </c>
      <c r="B3527" s="8" t="s">
        <v>358</v>
      </c>
      <c r="C3527" s="19" t="n">
        <v>11</v>
      </c>
      <c r="D3527" s="19" t="n">
        <v>171.72</v>
      </c>
      <c r="E3527" s="19" t="n">
        <v>10</v>
      </c>
      <c r="F3527" s="19" t="n">
        <v>148.26</v>
      </c>
      <c r="G3527" s="8" t="n">
        <f aca="false">IFERROR(INDEX('TRANS'!$B:$B,MATCH($B3527,'TRANS'!$A:$A,0)),IFERROR(INDEX('TRANS'!$B:$B,MATCH(TRIM(SUBSTITUTE($B3527,CHAR(160)," ")),'TRANS'!$D:$D,0)),IFERROR(INDEX('Catalog'!$A:$A,MATCH($B3527,'Catalog'!$B:$B,0)),IFERROR(INDEX('Catalog'!$A:$A,MATCH(TRIM(SUBSTITUTE($B3527,CHAR(160)," ")),'Catalog'!$C:$C,0)),""))))</f>
        <v>4403040</v>
      </c>
      <c r="H3527" s="8" t="str">
        <f aca="false">IFERROR(INDEX('TRANS'!$C:$C,MATCH($B3527,'TRANS'!$A:$A,0)),IFERROR(INDEX('Catalog'!$B:$B,MATCH($G3527,'Catalog'!$A:$A,0)),$B3527))</f>
        <v>3444B גרבי ג'ל לריכוך עור העקב</v>
      </c>
      <c r="I3527" s="8" t="str">
        <f aca="false">IF($G3527="","Unmatched","Matched")</f>
        <v>Matched</v>
      </c>
    </row>
    <row r="3528" customFormat="false" ht="15" hidden="false" customHeight="false" outlineLevel="0" collapsed="false">
      <c r="A3528" s="8" t="s">
        <v>1059</v>
      </c>
      <c r="B3528" s="8" t="s">
        <v>133</v>
      </c>
      <c r="C3528" s="19" t="n">
        <v>180</v>
      </c>
      <c r="D3528" s="19" t="n">
        <v>1962.61</v>
      </c>
      <c r="E3528" s="19" t="n">
        <v>79</v>
      </c>
      <c r="F3528" s="19" t="n">
        <v>870.8</v>
      </c>
      <c r="G3528" s="8" t="n">
        <f aca="false">IFERROR(INDEX('TRANS'!$B:$B,MATCH($B3528,'TRANS'!$A:$A,0)),IFERROR(INDEX('TRANS'!$B:$B,MATCH(TRIM(SUBSTITUTE($B3528,CHAR(160)," ")),'TRANS'!$D:$D,0)),IFERROR(INDEX('Catalog'!$A:$A,MATCH($B3528,'Catalog'!$B:$B,0)),IFERROR(INDEX('Catalog'!$A:$A,MATCH(TRIM(SUBSTITUTE($B3528,CHAR(160)," ")),'Catalog'!$C:$C,0)),""))))</f>
        <v>4413048</v>
      </c>
      <c r="H3528" s="8" t="str">
        <f aca="false">IFERROR(INDEX('TRANS'!$C:$C,MATCH($B3528,'TRANS'!$A:$A,0)),IFERROR(INDEX('Catalog'!$B:$B,MATCH($G3528,'Catalog'!$A:$A,0)),$B3528))</f>
        <v>35 L מגן קרסול לבן</v>
      </c>
      <c r="I3528" s="8" t="str">
        <f aca="false">IF($G3528="","Unmatched","Matched")</f>
        <v>Matched</v>
      </c>
    </row>
    <row r="3529" customFormat="false" ht="15" hidden="false" customHeight="false" outlineLevel="0" collapsed="false">
      <c r="A3529" s="8" t="s">
        <v>1059</v>
      </c>
      <c r="B3529" s="8" t="s">
        <v>134</v>
      </c>
      <c r="C3529" s="19" t="n">
        <v>150</v>
      </c>
      <c r="D3529" s="19" t="n">
        <v>1589.86</v>
      </c>
      <c r="E3529" s="19" t="n">
        <v>107</v>
      </c>
      <c r="F3529" s="19" t="n">
        <v>1087.27</v>
      </c>
      <c r="G3529" s="8" t="n">
        <f aca="false">IFERROR(INDEX('TRANS'!$B:$B,MATCH($B3529,'TRANS'!$A:$A,0)),IFERROR(INDEX('TRANS'!$B:$B,MATCH(TRIM(SUBSTITUTE($B3529,CHAR(160)," ")),'TRANS'!$D:$D,0)),IFERROR(INDEX('Catalog'!$A:$A,MATCH($B3529,'Catalog'!$B:$B,0)),IFERROR(INDEX('Catalog'!$A:$A,MATCH(TRIM(SUBSTITUTE($B3529,CHAR(160)," ")),'Catalog'!$C:$C,0)),""))))</f>
        <v>4413049</v>
      </c>
      <c r="H3529" s="8" t="str">
        <f aca="false">IFERROR(INDEX('TRANS'!$C:$C,MATCH($B3529,'TRANS'!$A:$A,0)),IFERROR(INDEX('Catalog'!$B:$B,MATCH($G3529,'Catalog'!$A:$A,0)),$B3529))</f>
        <v>35 M מגן קרסול לבן</v>
      </c>
      <c r="I3529" s="8" t="str">
        <f aca="false">IF($G3529="","Unmatched","Matched")</f>
        <v>Matched</v>
      </c>
    </row>
    <row r="3530" customFormat="false" ht="15" hidden="false" customHeight="false" outlineLevel="0" collapsed="false">
      <c r="A3530" s="8" t="s">
        <v>1059</v>
      </c>
      <c r="B3530" s="8" t="s">
        <v>359</v>
      </c>
      <c r="C3530" s="19" t="n">
        <v>79</v>
      </c>
      <c r="D3530" s="19" t="n">
        <v>828.66</v>
      </c>
      <c r="E3530" s="19" t="n">
        <v>50</v>
      </c>
      <c r="F3530" s="19" t="n">
        <v>503.52</v>
      </c>
      <c r="G3530" s="8" t="n">
        <f aca="false">IFERROR(INDEX('TRANS'!$B:$B,MATCH($B3530,'TRANS'!$A:$A,0)),IFERROR(INDEX('TRANS'!$B:$B,MATCH(TRIM(SUBSTITUTE($B3530,CHAR(160)," ")),'TRANS'!$D:$D,0)),IFERROR(INDEX('Catalog'!$A:$A,MATCH($B3530,'Catalog'!$B:$B,0)),IFERROR(INDEX('Catalog'!$A:$A,MATCH(TRIM(SUBSTITUTE($B3530,CHAR(160)," ")),'Catalog'!$C:$C,0)),""))))</f>
        <v>4413047</v>
      </c>
      <c r="H3530" s="8" t="str">
        <f aca="false">IFERROR(INDEX('TRANS'!$C:$C,MATCH($B3530,'TRANS'!$A:$A,0)),IFERROR(INDEX('Catalog'!$B:$B,MATCH($G3530,'Catalog'!$A:$A,0)),$B3530))</f>
        <v>35 S מגן קרסול לבן</v>
      </c>
      <c r="I3530" s="8" t="str">
        <f aca="false">IF($G3530="","Unmatched","Matched")</f>
        <v>Matched</v>
      </c>
    </row>
    <row r="3531" customFormat="false" ht="15" hidden="false" customHeight="false" outlineLevel="0" collapsed="false">
      <c r="A3531" s="8" t="s">
        <v>1059</v>
      </c>
      <c r="B3531" s="8" t="s">
        <v>360</v>
      </c>
      <c r="C3531" s="19" t="n">
        <v>105</v>
      </c>
      <c r="D3531" s="19" t="n">
        <v>1133.44</v>
      </c>
      <c r="E3531" s="19" t="n">
        <v>85</v>
      </c>
      <c r="F3531" s="19" t="n">
        <v>869.9</v>
      </c>
      <c r="G3531" s="8" t="n">
        <f aca="false">IFERROR(INDEX('TRANS'!$B:$B,MATCH($B3531,'TRANS'!$A:$A,0)),IFERROR(INDEX('TRANS'!$B:$B,MATCH(TRIM(SUBSTITUTE($B3531,CHAR(160)," ")),'TRANS'!$D:$D,0)),IFERROR(INDEX('Catalog'!$A:$A,MATCH($B3531,'Catalog'!$B:$B,0)),IFERROR(INDEX('Catalog'!$A:$A,MATCH(TRIM(SUBSTITUTE($B3531,CHAR(160)," ")),'Catalog'!$C:$C,0)),""))))</f>
        <v>4413050</v>
      </c>
      <c r="H3531" s="8" t="str">
        <f aca="false">IFERROR(INDEX('TRANS'!$C:$C,MATCH($B3531,'TRANS'!$A:$A,0)),IFERROR(INDEX('Catalog'!$B:$B,MATCH($G3531,'Catalog'!$A:$A,0)),$B3531))</f>
        <v>35 XL מגן קרסול לבן</v>
      </c>
      <c r="I3531" s="8" t="str">
        <f aca="false">IF($G3531="","Unmatched","Matched")</f>
        <v>Matched</v>
      </c>
    </row>
    <row r="3532" customFormat="false" ht="15" hidden="false" customHeight="false" outlineLevel="0" collapsed="false">
      <c r="A3532" s="8" t="s">
        <v>1059</v>
      </c>
      <c r="B3532" s="8" t="s">
        <v>362</v>
      </c>
      <c r="C3532" s="19" t="n">
        <v>54</v>
      </c>
      <c r="D3532" s="19" t="n">
        <v>575.09</v>
      </c>
      <c r="E3532" s="19" t="n">
        <v>50</v>
      </c>
      <c r="F3532" s="19" t="n">
        <v>503.52</v>
      </c>
      <c r="G3532" s="8" t="n">
        <f aca="false">IFERROR(INDEX('TRANS'!$B:$B,MATCH($B3532,'TRANS'!$A:$A,0)),IFERROR(INDEX('TRANS'!$B:$B,MATCH(TRIM(SUBSTITUTE($B3532,CHAR(160)," ")),'TRANS'!$D:$D,0)),IFERROR(INDEX('Catalog'!$A:$A,MATCH($B3532,'Catalog'!$B:$B,0)),IFERROR(INDEX('Catalog'!$A:$A,MATCH(TRIM(SUBSTITUTE($B3532,CHAR(160)," ")),'Catalog'!$C:$C,0)),""))))</f>
        <v>4413051</v>
      </c>
      <c r="H3532" s="8" t="str">
        <f aca="false">IFERROR(INDEX('TRANS'!$C:$C,MATCH($B3532,'TRANS'!$A:$A,0)),IFERROR(INDEX('Catalog'!$B:$B,MATCH($G3532,'Catalog'!$A:$A,0)),$B3532))</f>
        <v>35 XXL מגן קרסול לבן</v>
      </c>
      <c r="I3532" s="8" t="str">
        <f aca="false">IF($G3532="","Unmatched","Matched")</f>
        <v>Matched</v>
      </c>
    </row>
    <row r="3533" customFormat="false" ht="15" hidden="false" customHeight="false" outlineLevel="0" collapsed="false">
      <c r="A3533" s="8" t="s">
        <v>1059</v>
      </c>
      <c r="B3533" s="8" t="s">
        <v>145</v>
      </c>
      <c r="C3533" s="19" t="n">
        <v>10</v>
      </c>
      <c r="D3533" s="19" t="n">
        <v>275.24</v>
      </c>
      <c r="E3533" s="19" t="n">
        <v>10</v>
      </c>
      <c r="F3533" s="19" t="n">
        <v>263.83</v>
      </c>
      <c r="G3533" s="8" t="n">
        <f aca="false">IFERROR(INDEX('TRANS'!$B:$B,MATCH($B3533,'TRANS'!$A:$A,0)),IFERROR(INDEX('TRANS'!$B:$B,MATCH(TRIM(SUBSTITUTE($B3533,CHAR(160)," ")),'TRANS'!$D:$D,0)),IFERROR(INDEX('Catalog'!$A:$A,MATCH($B3533,'Catalog'!$B:$B,0)),IFERROR(INDEX('Catalog'!$A:$A,MATCH(TRIM(SUBSTITUTE($B3533,CHAR(160)," ")),'Catalog'!$C:$C,0)),""))))</f>
        <v>4421007</v>
      </c>
      <c r="H3533" s="8" t="str">
        <f aca="false">IFERROR(INDEX('TRANS'!$C:$C,MATCH($B3533,'TRANS'!$A:$A,0)),IFERROR(INDEX('Catalog'!$B:$B,MATCH($G3533,'Catalog'!$A:$A,0)),$B3533))</f>
        <v>שרוול לגבס קצר רגל</v>
      </c>
      <c r="I3533" s="8" t="str">
        <f aca="false">IF($G3533="","Unmatched","Matched")</f>
        <v>Matched</v>
      </c>
    </row>
    <row r="3534" customFormat="false" ht="15" hidden="false" customHeight="false" outlineLevel="0" collapsed="false">
      <c r="A3534" s="8" t="s">
        <v>1059</v>
      </c>
      <c r="B3534" s="8" t="s">
        <v>146</v>
      </c>
      <c r="C3534" s="19" t="n">
        <v>10</v>
      </c>
      <c r="D3534" s="19" t="n">
        <v>291.15</v>
      </c>
      <c r="E3534" s="19" t="n">
        <v>10</v>
      </c>
      <c r="F3534" s="19" t="n">
        <v>279.08</v>
      </c>
      <c r="G3534" s="8" t="n">
        <f aca="false">IFERROR(INDEX('TRANS'!$B:$B,MATCH($B3534,'TRANS'!$A:$A,0)),IFERROR(INDEX('TRANS'!$B:$B,MATCH(TRIM(SUBSTITUTE($B3534,CHAR(160)," ")),'TRANS'!$D:$D,0)),IFERROR(INDEX('Catalog'!$A:$A,MATCH($B3534,'Catalog'!$B:$B,0)),IFERROR(INDEX('Catalog'!$A:$A,MATCH(TRIM(SUBSTITUTE($B3534,CHAR(160)," ")),'Catalog'!$C:$C,0)),""))))</f>
        <v>4421008</v>
      </c>
      <c r="H3534" s="8" t="str">
        <f aca="false">IFERROR(INDEX('TRANS'!$C:$C,MATCH($B3534,'TRANS'!$A:$A,0)),IFERROR(INDEX('Catalog'!$B:$B,MATCH($G3534,'Catalog'!$A:$A,0)),$B3534))</f>
        <v>שרוול לגבס ארוך רגל</v>
      </c>
      <c r="I3534" s="8" t="str">
        <f aca="false">IF($G3534="","Unmatched","Matched")</f>
        <v>Matched</v>
      </c>
    </row>
    <row r="3535" customFormat="false" ht="15" hidden="false" customHeight="false" outlineLevel="0" collapsed="false">
      <c r="A3535" s="8" t="s">
        <v>1059</v>
      </c>
      <c r="B3535" s="8" t="s">
        <v>147</v>
      </c>
      <c r="C3535" s="19" t="n">
        <v>10</v>
      </c>
      <c r="D3535" s="19" t="n">
        <v>297.52</v>
      </c>
      <c r="E3535" s="19" t="n">
        <v>0</v>
      </c>
      <c r="F3535" s="19" t="n">
        <v>0</v>
      </c>
      <c r="G3535" s="8" t="n">
        <f aca="false">IFERROR(INDEX('TRANS'!$B:$B,MATCH($B3535,'TRANS'!$A:$A,0)),IFERROR(INDEX('TRANS'!$B:$B,MATCH(TRIM(SUBSTITUTE($B3535,CHAR(160)," ")),'TRANS'!$D:$D,0)),IFERROR(INDEX('Catalog'!$A:$A,MATCH($B3535,'Catalog'!$B:$B,0)),IFERROR(INDEX('Catalog'!$A:$A,MATCH(TRIM(SUBSTITUTE($B3535,CHAR(160)," ")),'Catalog'!$C:$C,0)),""))))</f>
        <v>4421001</v>
      </c>
      <c r="H3535" s="8" t="str">
        <f aca="false">IFERROR(INDEX('TRANS'!$C:$C,MATCH($B3535,'TRANS'!$A:$A,0)),IFERROR(INDEX('Catalog'!$B:$B,MATCH($G3535,'Catalog'!$A:$A,0)),$B3535))</f>
        <v>3611 שרוול מטטרזלי מסיליקון</v>
      </c>
      <c r="I3535" s="8" t="str">
        <f aca="false">IF($G3535="","Unmatched","Matched")</f>
        <v>Matched</v>
      </c>
    </row>
    <row r="3536" customFormat="false" ht="15" hidden="false" customHeight="false" outlineLevel="0" collapsed="false">
      <c r="A3536" s="8" t="s">
        <v>1059</v>
      </c>
      <c r="B3536" s="8" t="s">
        <v>150</v>
      </c>
      <c r="C3536" s="19" t="n">
        <v>245</v>
      </c>
      <c r="D3536" s="19" t="n">
        <v>3935.91</v>
      </c>
      <c r="E3536" s="19" t="n">
        <v>120</v>
      </c>
      <c r="F3536" s="19" t="n">
        <v>1863.2</v>
      </c>
      <c r="G3536" s="8" t="n">
        <f aca="false">IFERROR(INDEX('TRANS'!$B:$B,MATCH($B3536,'TRANS'!$A:$A,0)),IFERROR(INDEX('TRANS'!$B:$B,MATCH(TRIM(SUBSTITUTE($B3536,CHAR(160)," ")),'TRANS'!$D:$D,0)),IFERROR(INDEX('Catalog'!$A:$A,MATCH($B3536,'Catalog'!$B:$B,0)),IFERROR(INDEX('Catalog'!$A:$A,MATCH(TRIM(SUBSTITUTE($B3536,CHAR(160)," ")),'Catalog'!$C:$C,0)),""))))</f>
        <v>4411001</v>
      </c>
      <c r="H3536" s="8" t="str">
        <f aca="false">IFERROR(INDEX('TRANS'!$C:$C,MATCH($B3536,'TRANS'!$A:$A,0)),IFERROR(INDEX('Catalog'!$B:$B,MATCH($G3536,'Catalog'!$A:$A,0)),$B3536))</f>
        <v>3623 כרית ליישור אצבע פטיש</v>
      </c>
      <c r="I3536" s="8" t="str">
        <f aca="false">IF($G3536="","Unmatched","Matched")</f>
        <v>Matched</v>
      </c>
    </row>
    <row r="3537" customFormat="false" ht="15" hidden="false" customHeight="false" outlineLevel="0" collapsed="false">
      <c r="A3537" s="8" t="s">
        <v>1059</v>
      </c>
      <c r="B3537" s="8" t="s">
        <v>151</v>
      </c>
      <c r="C3537" s="19" t="n">
        <v>70</v>
      </c>
      <c r="D3537" s="19" t="n">
        <v>830.35</v>
      </c>
      <c r="E3537" s="19" t="n">
        <v>70</v>
      </c>
      <c r="F3537" s="19" t="n">
        <v>763.06</v>
      </c>
      <c r="G3537" s="8" t="str">
        <f aca="false">IFERROR(INDEX('TRANS'!$B:$B,MATCH($B3537,'TRANS'!$A:$A,0)),IFERROR(INDEX('TRANS'!$B:$B,MATCH(TRIM(SUBSTITUTE($B3537,CHAR(160)," ")),'TRANS'!$D:$D,0)),IFERROR(INDEX('Catalog'!$A:$A,MATCH($B3537,'Catalog'!$B:$B,0)),IFERROR(INDEX('Catalog'!$A:$A,MATCH(TRIM(SUBSTITUTE($B3537,CHAR(160)," ")),'Catalog'!$C:$C,0)),""))))</f>
        <v/>
      </c>
      <c r="H3537" s="8" t="str">
        <f aca="false">IFERROR(INDEX('TRANS'!$C:$C,MATCH($B3537,'TRANS'!$A:$A,0)),IFERROR(INDEX('Catalog'!$B:$B,MATCH($G3537,'Catalog'!$A:$A,0)),$B3537))</f>
        <v>363 L/R</v>
      </c>
      <c r="I3537" s="8" t="str">
        <f aca="false">IF($G3537="","Unmatched","Matched")</f>
        <v>Unmatched</v>
      </c>
    </row>
    <row r="3538" customFormat="false" ht="15" hidden="false" customHeight="false" outlineLevel="0" collapsed="false">
      <c r="A3538" s="8" t="s">
        <v>1059</v>
      </c>
      <c r="B3538" s="8" t="s">
        <v>152</v>
      </c>
      <c r="C3538" s="19" t="n">
        <v>48</v>
      </c>
      <c r="D3538" s="19" t="n">
        <v>296.09</v>
      </c>
      <c r="E3538" s="19" t="n">
        <v>0</v>
      </c>
      <c r="F3538" s="19" t="n">
        <v>0</v>
      </c>
      <c r="G3538" s="8" t="n">
        <f aca="false">IFERROR(INDEX('TRANS'!$B:$B,MATCH($B3538,'TRANS'!$A:$A,0)),IFERROR(INDEX('TRANS'!$B:$B,MATCH(TRIM(SUBSTITUTE($B3538,CHAR(160)," ")),'TRANS'!$D:$D,0)),IFERROR(INDEX('Catalog'!$A:$A,MATCH($B3538,'Catalog'!$B:$B,0)),IFERROR(INDEX('Catalog'!$A:$A,MATCH(TRIM(SUBSTITUTE($B3538,CHAR(160)," ")),'Catalog'!$C:$C,0)),""))))</f>
        <v>4413059</v>
      </c>
      <c r="H3538" s="8" t="str">
        <f aca="false">IFERROR(INDEX('TRANS'!$C:$C,MATCH($B3538,'TRANS'!$A:$A,0)),IFERROR(INDEX('Catalog'!$B:$B,MATCH($G3538,'Catalog'!$A:$A,0)),$B3538))</f>
        <v>364S Lמפר.אצבע סיליק. ליבל.זוג</v>
      </c>
      <c r="I3538" s="8" t="str">
        <f aca="false">IF($G3538="","Unmatched","Matched")</f>
        <v>Matched</v>
      </c>
    </row>
    <row r="3539" customFormat="false" ht="15" hidden="false" customHeight="false" outlineLevel="0" collapsed="false">
      <c r="A3539" s="8" t="s">
        <v>1059</v>
      </c>
      <c r="B3539" s="8" t="s">
        <v>153</v>
      </c>
      <c r="C3539" s="19" t="n">
        <v>12</v>
      </c>
      <c r="D3539" s="19" t="n">
        <v>57.77</v>
      </c>
      <c r="E3539" s="19" t="n">
        <v>6</v>
      </c>
      <c r="F3539" s="19" t="n">
        <v>24.49</v>
      </c>
      <c r="G3539" s="8" t="n">
        <f aca="false">IFERROR(INDEX('TRANS'!$B:$B,MATCH($B3539,'TRANS'!$A:$A,0)),IFERROR(INDEX('TRANS'!$B:$B,MATCH(TRIM(SUBSTITUTE($B3539,CHAR(160)," ")),'TRANS'!$D:$D,0)),IFERROR(INDEX('Catalog'!$A:$A,MATCH($B3539,'Catalog'!$B:$B,0)),IFERROR(INDEX('Catalog'!$A:$A,MATCH(TRIM(SUBSTITUTE($B3539,CHAR(160)," ")),'Catalog'!$C:$C,0)),""))))</f>
        <v>4413060</v>
      </c>
      <c r="H3539" s="8" t="str">
        <f aca="false">IFERROR(INDEX('TRANS'!$C:$C,MATCH($B3539,'TRANS'!$A:$A,0)),IFERROR(INDEX('Catalog'!$B:$B,MATCH($G3539,'Catalog'!$A:$A,0)),$B3539))</f>
        <v>364 XLמפריד אצבע סיליקון ליבלת</v>
      </c>
      <c r="I3539" s="8" t="str">
        <f aca="false">IF($G3539="","Unmatched","Matched")</f>
        <v>Matched</v>
      </c>
    </row>
    <row r="3540" customFormat="false" ht="15" hidden="false" customHeight="false" outlineLevel="0" collapsed="false">
      <c r="A3540" s="8" t="s">
        <v>1059</v>
      </c>
      <c r="B3540" s="8" t="s">
        <v>154</v>
      </c>
      <c r="C3540" s="19" t="n">
        <v>15</v>
      </c>
      <c r="D3540" s="19" t="n">
        <v>119.33</v>
      </c>
      <c r="E3540" s="19" t="n">
        <v>0</v>
      </c>
      <c r="F3540" s="19" t="n">
        <v>0</v>
      </c>
      <c r="G3540" s="8" t="n">
        <f aca="false">IFERROR(INDEX('TRANS'!$B:$B,MATCH($B3540,'TRANS'!$A:$A,0)),IFERROR(INDEX('TRANS'!$B:$B,MATCH(TRIM(SUBSTITUTE($B3540,CHAR(160)," ")),'TRANS'!$D:$D,0)),IFERROR(INDEX('Catalog'!$A:$A,MATCH($B3540,'Catalog'!$B:$B,0)),IFERROR(INDEX('Catalog'!$A:$A,MATCH(TRIM(SUBSTITUTE($B3540,CHAR(160)," ")),'Catalog'!$C:$C,0)),""))))</f>
        <v>4413061</v>
      </c>
      <c r="H3540" s="8" t="str">
        <f aca="false">IFERROR(INDEX('TRANS'!$C:$C,MATCH($B3540,'TRANS'!$A:$A,0)),IFERROR(INDEX('Catalog'!$B:$B,MATCH($G3540,'Catalog'!$A:$A,0)),$B3540))</f>
        <v>3641-מיישר בוהן סיליקון קשיח</v>
      </c>
      <c r="I3540" s="8" t="str">
        <f aca="false">IF($G3540="","Unmatched","Matched")</f>
        <v>Matched</v>
      </c>
    </row>
    <row r="3541" customFormat="false" ht="15" hidden="false" customHeight="false" outlineLevel="0" collapsed="false">
      <c r="A3541" s="8" t="s">
        <v>1059</v>
      </c>
      <c r="B3541" s="8" t="s">
        <v>155</v>
      </c>
      <c r="C3541" s="19" t="n">
        <v>60</v>
      </c>
      <c r="D3541" s="19" t="n">
        <v>388.16</v>
      </c>
      <c r="E3541" s="19" t="n">
        <v>75</v>
      </c>
      <c r="F3541" s="19" t="n">
        <v>417.96</v>
      </c>
      <c r="G3541" s="8" t="n">
        <f aca="false">IFERROR(INDEX('TRANS'!$B:$B,MATCH($B3541,'TRANS'!$A:$A,0)),IFERROR(INDEX('TRANS'!$B:$B,MATCH(TRIM(SUBSTITUTE($B3541,CHAR(160)," ")),'TRANS'!$D:$D,0)),IFERROR(INDEX('Catalog'!$A:$A,MATCH($B3541,'Catalog'!$B:$B,0)),IFERROR(INDEX('Catalog'!$A:$A,MATCH(TRIM(SUBSTITUTE($B3541,CHAR(160)," ")),'Catalog'!$C:$C,0)),""))))</f>
        <v>4409000</v>
      </c>
      <c r="H3541" s="8" t="str">
        <f aca="false">IFERROR(INDEX('TRANS'!$C:$C,MATCH($B3541,'TRANS'!$A:$A,0)),IFERROR(INDEX('Catalog'!$B:$B,MATCH($G3541,'Catalog'!$A:$A,0)),$B3541))</f>
        <v>365 S-Lטבעת אלסטית מסיליקון</v>
      </c>
      <c r="I3541" s="8" t="str">
        <f aca="false">IF($G3541="","Unmatched","Matched")</f>
        <v>Matched</v>
      </c>
    </row>
    <row r="3542" customFormat="false" ht="15" hidden="false" customHeight="false" outlineLevel="0" collapsed="false">
      <c r="A3542" s="8" t="s">
        <v>1059</v>
      </c>
      <c r="B3542" s="8" t="s">
        <v>478</v>
      </c>
      <c r="C3542" s="19" t="n">
        <v>0</v>
      </c>
      <c r="D3542" s="19" t="n">
        <v>0</v>
      </c>
      <c r="E3542" s="19" t="n">
        <v>15</v>
      </c>
      <c r="F3542" s="19" t="n">
        <v>96.3</v>
      </c>
      <c r="G3542" s="8" t="n">
        <f aca="false">IFERROR(INDEX('TRANS'!$B:$B,MATCH($B3542,'TRANS'!$A:$A,0)),IFERROR(INDEX('TRANS'!$B:$B,MATCH(TRIM(SUBSTITUTE($B3542,CHAR(160)," ")),'TRANS'!$D:$D,0)),IFERROR(INDEX('Catalog'!$A:$A,MATCH($B3542,'Catalog'!$B:$B,0)),IFERROR(INDEX('Catalog'!$A:$A,MATCH(TRIM(SUBSTITUTE($B3542,CHAR(160)," ")),'Catalog'!$C:$C,0)),""))))</f>
        <v>4409001</v>
      </c>
      <c r="H3542" s="8" t="str">
        <f aca="false">IFERROR(INDEX('TRANS'!$C:$C,MATCH($B3542,'TRANS'!$A:$A,0)),IFERROR(INDEX('Catalog'!$B:$B,MATCH($G3542,'Catalog'!$A:$A,0)),$B3542))</f>
        <v>365  X-Lטבעת אלסטית מסיליקון</v>
      </c>
      <c r="I3542" s="8" t="str">
        <f aca="false">IF($G3542="","Unmatched","Matched")</f>
        <v>Matched</v>
      </c>
    </row>
    <row r="3543" customFormat="false" ht="15" hidden="false" customHeight="false" outlineLevel="0" collapsed="false">
      <c r="A3543" s="8" t="s">
        <v>1059</v>
      </c>
      <c r="B3543" s="8" t="s">
        <v>156</v>
      </c>
      <c r="C3543" s="19" t="n">
        <v>420</v>
      </c>
      <c r="D3543" s="19" t="n">
        <v>3674.31</v>
      </c>
      <c r="E3543" s="19" t="n">
        <v>410</v>
      </c>
      <c r="F3543" s="19" t="n">
        <v>3258.95</v>
      </c>
      <c r="G3543" s="8" t="n">
        <f aca="false">IFERROR(INDEX('TRANS'!$B:$B,MATCH($B3543,'TRANS'!$A:$A,0)),IFERROR(INDEX('TRANS'!$B:$B,MATCH(TRIM(SUBSTITUTE($B3543,CHAR(160)," ")),'TRANS'!$D:$D,0)),IFERROR(INDEX('Catalog'!$A:$A,MATCH($B3543,'Catalog'!$B:$B,0)),IFERROR(INDEX('Catalog'!$A:$A,MATCH(TRIM(SUBSTITUTE($B3543,CHAR(160)," ")),'Catalog'!$C:$C,0)),""))))</f>
        <v>4421000</v>
      </c>
      <c r="H3543" s="8" t="str">
        <f aca="false">IFERROR(INDEX('TRANS'!$C:$C,MATCH($B3543,'TRANS'!$A:$A,0)),IFERROR(INDEX('Catalog'!$B:$B,MATCH($G3543,'Catalog'!$A:$A,0)),$B3543))</f>
        <v>3655 שרוול מסיליקון לאצבע</v>
      </c>
      <c r="I3543" s="8" t="str">
        <f aca="false">IF($G3543="","Unmatched","Matched")</f>
        <v>Matched</v>
      </c>
    </row>
    <row r="3544" customFormat="false" ht="15" hidden="false" customHeight="false" outlineLevel="0" collapsed="false">
      <c r="A3544" s="8" t="s">
        <v>1059</v>
      </c>
      <c r="B3544" s="8" t="s">
        <v>159</v>
      </c>
      <c r="C3544" s="19" t="n">
        <v>10</v>
      </c>
      <c r="D3544" s="19" t="n">
        <v>68.97</v>
      </c>
      <c r="E3544" s="19" t="n">
        <v>15</v>
      </c>
      <c r="F3544" s="19" t="n">
        <v>99.16</v>
      </c>
      <c r="G3544" s="8" t="n">
        <f aca="false">IFERROR(INDEX('TRANS'!$B:$B,MATCH($B3544,'TRANS'!$A:$A,0)),IFERROR(INDEX('TRANS'!$B:$B,MATCH(TRIM(SUBSTITUTE($B3544,CHAR(160)," ")),'TRANS'!$D:$D,0)),IFERROR(INDEX('Catalog'!$A:$A,MATCH($B3544,'Catalog'!$B:$B,0)),IFERROR(INDEX('Catalog'!$A:$A,MATCH(TRIM(SUBSTITUTE($B3544,CHAR(160)," ")),'Catalog'!$C:$C,0)),""))))</f>
        <v>4413063</v>
      </c>
      <c r="H3544" s="8" t="str">
        <f aca="false">IFERROR(INDEX('TRANS'!$C:$C,MATCH($B3544,'TRANS'!$A:$A,0)),IFERROR(INDEX('Catalog'!$B:$B,MATCH($G3544,'Catalog'!$A:$A,0)),$B3544))</f>
        <v>366S-'מדבק.לשחרור לחץ מיבלת2יח</v>
      </c>
      <c r="I3544" s="8" t="str">
        <f aca="false">IF($G3544="","Unmatched","Matched")</f>
        <v>Matched</v>
      </c>
    </row>
    <row r="3545" customFormat="false" ht="15" hidden="false" customHeight="false" outlineLevel="0" collapsed="false">
      <c r="A3545" s="8" t="s">
        <v>1059</v>
      </c>
      <c r="B3545" s="8" t="s">
        <v>161</v>
      </c>
      <c r="C3545" s="19" t="n">
        <v>40</v>
      </c>
      <c r="D3545" s="19" t="n">
        <v>611.26</v>
      </c>
      <c r="E3545" s="19" t="n">
        <v>35</v>
      </c>
      <c r="F3545" s="19" t="n">
        <v>538.91</v>
      </c>
      <c r="G3545" s="8" t="n">
        <f aca="false">IFERROR(INDEX('TRANS'!$B:$B,MATCH($B3545,'TRANS'!$A:$A,0)),IFERROR(INDEX('TRANS'!$B:$B,MATCH(TRIM(SUBSTITUTE($B3545,CHAR(160)," ")),'TRANS'!$D:$D,0)),IFERROR(INDEX('Catalog'!$A:$A,MATCH($B3545,'Catalog'!$B:$B,0)),IFERROR(INDEX('Catalog'!$A:$A,MATCH(TRIM(SUBSTITUTE($B3545,CHAR(160)," ")),'Catalog'!$C:$C,0)),""))))</f>
        <v>4413370</v>
      </c>
      <c r="H3545" s="8" t="str">
        <f aca="false">IFERROR(INDEX('TRANS'!$C:$C,MATCH($B3545,'TRANS'!$A:$A,0)),IFERROR(INDEX('Catalog'!$B:$B,MATCH($G3545,'Catalog'!$A:$A,0)),$B3545))</f>
        <v>3674 0 מ.בוניון+מפריד אצבע</v>
      </c>
      <c r="I3545" s="8" t="str">
        <f aca="false">IF($G3545="","Unmatched","Matched")</f>
        <v>Matched</v>
      </c>
    </row>
    <row r="3546" customFormat="false" ht="15" hidden="false" customHeight="false" outlineLevel="0" collapsed="false">
      <c r="A3546" s="8" t="s">
        <v>1059</v>
      </c>
      <c r="B3546" s="8" t="s">
        <v>162</v>
      </c>
      <c r="C3546" s="19" t="n">
        <v>25</v>
      </c>
      <c r="D3546" s="19" t="n">
        <v>314.42</v>
      </c>
      <c r="E3546" s="19" t="n">
        <v>20</v>
      </c>
      <c r="F3546" s="19" t="n">
        <v>251.91</v>
      </c>
      <c r="G3546" s="8" t="n">
        <f aca="false">IFERROR(INDEX('TRANS'!$B:$B,MATCH($B3546,'TRANS'!$A:$A,0)),IFERROR(INDEX('TRANS'!$B:$B,MATCH(TRIM(SUBSTITUTE($B3546,CHAR(160)," ")),'TRANS'!$D:$D,0)),IFERROR(INDEX('Catalog'!$A:$A,MATCH($B3546,'Catalog'!$B:$B,0)),IFERROR(INDEX('Catalog'!$A:$A,MATCH(TRIM(SUBSTITUTE($B3546,CHAR(160)," ")),'Catalog'!$C:$C,0)),""))))</f>
        <v>4413371</v>
      </c>
      <c r="H3546" s="8" t="str">
        <f aca="false">IFERROR(INDEX('TRANS'!$C:$C,MATCH($B3546,'TRANS'!$A:$A,0)),IFERROR(INDEX('Catalog'!$B:$B,MATCH($G3546,'Catalog'!$A:$A,0)),$B3546))</f>
        <v>3675    מגן זרת מסיליקון</v>
      </c>
      <c r="I3546" s="8" t="str">
        <f aca="false">IF($G3546="","Unmatched","Matched")</f>
        <v>Matched</v>
      </c>
    </row>
    <row r="3547" customFormat="false" ht="15" hidden="false" customHeight="false" outlineLevel="0" collapsed="false">
      <c r="A3547" s="8" t="s">
        <v>1059</v>
      </c>
      <c r="B3547" s="8" t="s">
        <v>746</v>
      </c>
      <c r="C3547" s="19" t="n">
        <v>17</v>
      </c>
      <c r="D3547" s="19" t="n">
        <v>168.8</v>
      </c>
      <c r="E3547" s="19" t="n">
        <v>20</v>
      </c>
      <c r="F3547" s="19" t="n">
        <v>178.77</v>
      </c>
      <c r="G3547" s="8" t="n">
        <f aca="false">IFERROR(INDEX('TRANS'!$B:$B,MATCH($B3547,'TRANS'!$A:$A,0)),IFERROR(INDEX('TRANS'!$B:$B,MATCH(TRIM(SUBSTITUTE($B3547,CHAR(160)," ")),'TRANS'!$D:$D,0)),IFERROR(INDEX('Catalog'!$A:$A,MATCH($B3547,'Catalog'!$B:$B,0)),IFERROR(INDEX('Catalog'!$A:$A,MATCH(TRIM(SUBSTITUTE($B3547,CHAR(160)," ")),'Catalog'!$C:$C,0)),""))))</f>
        <v>4413066</v>
      </c>
      <c r="H3547" s="8" t="str">
        <f aca="false">IFERROR(INDEX('TRANS'!$C:$C,MATCH($B3547,'TRANS'!$A:$A,0)),IFERROR(INDEX('Catalog'!$B:$B,MATCH($G3547,'Catalog'!$A:$A,0)),$B3547))</f>
        <v>3677S-מד.לשחרור לחץ א.הבוניון</v>
      </c>
      <c r="I3547" s="8" t="str">
        <f aca="false">IF($G3547="","Unmatched","Matched")</f>
        <v>Matched</v>
      </c>
    </row>
    <row r="3548" customFormat="false" ht="15" hidden="false" customHeight="false" outlineLevel="0" collapsed="false">
      <c r="A3548" s="8" t="s">
        <v>1059</v>
      </c>
      <c r="B3548" s="8" t="s">
        <v>163</v>
      </c>
      <c r="C3548" s="19" t="n">
        <v>54</v>
      </c>
      <c r="D3548" s="19" t="n">
        <v>498.41</v>
      </c>
      <c r="E3548" s="19" t="n">
        <v>30</v>
      </c>
      <c r="F3548" s="19" t="n">
        <v>267.86</v>
      </c>
      <c r="G3548" s="8" t="n">
        <f aca="false">IFERROR(INDEX('TRANS'!$B:$B,MATCH($B3548,'TRANS'!$A:$A,0)),IFERROR(INDEX('TRANS'!$B:$B,MATCH(TRIM(SUBSTITUTE($B3548,CHAR(160)," ")),'TRANS'!$D:$D,0)),IFERROR(INDEX('Catalog'!$A:$A,MATCH($B3548,'Catalog'!$B:$B,0)),IFERROR(INDEX('Catalog'!$A:$A,MATCH(TRIM(SUBSTITUTE($B3548,CHAR(160)," ")),'Catalog'!$C:$C,0)),""))))</f>
        <v>4401000</v>
      </c>
      <c r="H3548" s="8" t="str">
        <f aca="false">IFERROR(INDEX('TRANS'!$C:$C,MATCH($B3548,'TRANS'!$A:$A,0)),IFERROR(INDEX('Catalog'!$B:$B,MATCH($G3548,'Catalog'!$A:$A,0)),$B3548))</f>
        <v>369  S-L אצבעון מסיליקון יחידה</v>
      </c>
      <c r="I3548" s="8" t="str">
        <f aca="false">IF($G3548="","Unmatched","Matched")</f>
        <v>Matched</v>
      </c>
    </row>
    <row r="3549" customFormat="false" ht="15" hidden="false" customHeight="false" outlineLevel="0" collapsed="false">
      <c r="A3549" s="8" t="s">
        <v>1059</v>
      </c>
      <c r="B3549" s="8" t="s">
        <v>164</v>
      </c>
      <c r="C3549" s="19" t="n">
        <v>36</v>
      </c>
      <c r="D3549" s="19" t="n">
        <v>395.39</v>
      </c>
      <c r="E3549" s="19" t="n">
        <v>35</v>
      </c>
      <c r="F3549" s="19" t="n">
        <v>373.58</v>
      </c>
      <c r="G3549" s="8" t="n">
        <f aca="false">IFERROR(INDEX('TRANS'!$B:$B,MATCH($B3549,'TRANS'!$A:$A,0)),IFERROR(INDEX('TRANS'!$B:$B,MATCH(TRIM(SUBSTITUTE($B3549,CHAR(160)," ")),'TRANS'!$D:$D,0)),IFERROR(INDEX('Catalog'!$A:$A,MATCH($B3549,'Catalog'!$B:$B,0)),IFERROR(INDEX('Catalog'!$A:$A,MATCH(TRIM(SUBSTITUTE($B3549,CHAR(160)," ")),'Catalog'!$C:$C,0)),""))))</f>
        <v>4401001</v>
      </c>
      <c r="H3549" s="8" t="str">
        <f aca="false">IFERROR(INDEX('TRANS'!$C:$C,MATCH($B3549,'TRANS'!$A:$A,0)),IFERROR(INDEX('Catalog'!$B:$B,MATCH($G3549,'Catalog'!$A:$A,0)),$B3549))</f>
        <v>369   XL אצבעון מסיליקון יחידה</v>
      </c>
      <c r="I3549" s="8" t="str">
        <f aca="false">IF($G3549="","Unmatched","Matched")</f>
        <v>Matched</v>
      </c>
    </row>
    <row r="3550" customFormat="false" ht="15" hidden="false" customHeight="false" outlineLevel="0" collapsed="false">
      <c r="A3550" s="8" t="s">
        <v>1059</v>
      </c>
      <c r="B3550" s="8" t="s">
        <v>165</v>
      </c>
      <c r="C3550" s="19" t="n">
        <v>10</v>
      </c>
      <c r="D3550" s="19" t="n">
        <v>82.73</v>
      </c>
      <c r="E3550" s="19" t="n">
        <v>0</v>
      </c>
      <c r="F3550" s="19" t="n">
        <v>0</v>
      </c>
      <c r="G3550" s="8" t="n">
        <f aca="false">IFERROR(INDEX('TRANS'!$B:$B,MATCH($B3550,'TRANS'!$A:$A,0)),IFERROR(INDEX('TRANS'!$B:$B,MATCH(TRIM(SUBSTITUTE($B3550,CHAR(160)," ")),'TRANS'!$D:$D,0)),IFERROR(INDEX('Catalog'!$A:$A,MATCH($B3550,'Catalog'!$B:$B,0)),IFERROR(INDEX('Catalog'!$A:$A,MATCH(TRIM(SUBSTITUTE($B3550,CHAR(160)," ")),'Catalog'!$C:$C,0)),""))))</f>
        <v>4420000</v>
      </c>
      <c r="H3550" s="8" t="str">
        <f aca="false">IFERROR(INDEX('TRANS'!$C:$C,MATCH($B3550,'TRANS'!$A:$A,0)),IFERROR(INDEX('Catalog'!$B:$B,MATCH($G3550,'Catalog'!$A:$A,0)),$B3550))</f>
        <v>370  רפידת נוחות-זוג</v>
      </c>
      <c r="I3550" s="8" t="str">
        <f aca="false">IF($G3550="","Unmatched","Matched")</f>
        <v>Matched</v>
      </c>
    </row>
    <row r="3551" customFormat="false" ht="15" hidden="false" customHeight="false" outlineLevel="0" collapsed="false">
      <c r="A3551" s="8" t="s">
        <v>1059</v>
      </c>
      <c r="B3551" s="8" t="s">
        <v>167</v>
      </c>
      <c r="C3551" s="19" t="n">
        <v>10</v>
      </c>
      <c r="D3551" s="19" t="n">
        <v>82.73</v>
      </c>
      <c r="E3551" s="19" t="n">
        <v>0</v>
      </c>
      <c r="F3551" s="19" t="n">
        <v>0</v>
      </c>
      <c r="G3551" s="8" t="n">
        <f aca="false">IFERROR(INDEX('TRANS'!$B:$B,MATCH($B3551,'TRANS'!$A:$A,0)),IFERROR(INDEX('TRANS'!$B:$B,MATCH(TRIM(SUBSTITUTE($B3551,CHAR(160)," ")),'TRANS'!$D:$D,0)),IFERROR(INDEX('Catalog'!$A:$A,MATCH($B3551,'Catalog'!$B:$B,0)),IFERROR(INDEX('Catalog'!$A:$A,MATCH(TRIM(SUBSTITUTE($B3551,CHAR(160)," ")),'Catalog'!$C:$C,0)),""))))</f>
        <v>4420001</v>
      </c>
      <c r="H3551" s="8" t="str">
        <f aca="false">IFERROR(INDEX('TRANS'!$C:$C,MATCH($B3551,'TRANS'!$A:$A,0)),IFERROR(INDEX('Catalog'!$B:$B,MATCH($G3551,'Catalog'!$A:$A,0)),$B3551))</f>
        <v>371 רפידת מגבת כותנה-זוג</v>
      </c>
      <c r="I3551" s="8" t="str">
        <f aca="false">IF($G3551="","Unmatched","Matched")</f>
        <v>Matched</v>
      </c>
    </row>
    <row r="3552" customFormat="false" ht="15" hidden="false" customHeight="false" outlineLevel="0" collapsed="false">
      <c r="A3552" s="8" t="s">
        <v>1059</v>
      </c>
      <c r="B3552" s="8" t="s">
        <v>168</v>
      </c>
      <c r="C3552" s="19" t="n">
        <v>10</v>
      </c>
      <c r="D3552" s="19" t="n">
        <v>98.64</v>
      </c>
      <c r="E3552" s="19" t="n">
        <v>0</v>
      </c>
      <c r="F3552" s="19" t="n">
        <v>0</v>
      </c>
      <c r="G3552" s="8" t="n">
        <f aca="false">IFERROR(INDEX('TRANS'!$B:$B,MATCH($B3552,'TRANS'!$A:$A,0)),IFERROR(INDEX('TRANS'!$B:$B,MATCH(TRIM(SUBSTITUTE($B3552,CHAR(160)," ")),'TRANS'!$D:$D,0)),IFERROR(INDEX('Catalog'!$A:$A,MATCH($B3552,'Catalog'!$B:$B,0)),IFERROR(INDEX('Catalog'!$A:$A,MATCH(TRIM(SUBSTITUTE($B3552,CHAR(160)," ")),'Catalog'!$C:$C,0)),""))))</f>
        <v>4420002</v>
      </c>
      <c r="H3552" s="8" t="str">
        <f aca="false">IFERROR(INDEX('TRANS'!$C:$C,MATCH($B3552,'TRANS'!$A:$A,0)),IFERROR(INDEX('Catalog'!$B:$B,MATCH($G3552,'Catalog'!$A:$A,0)),$B3552))</f>
        <v>372 רפידת אנטי ריח -זוג</v>
      </c>
      <c r="I3552" s="8" t="str">
        <f aca="false">IF($G3552="","Unmatched","Matched")</f>
        <v>Matched</v>
      </c>
    </row>
    <row r="3553" customFormat="false" ht="15" hidden="false" customHeight="false" outlineLevel="0" collapsed="false">
      <c r="A3553" s="8" t="s">
        <v>1059</v>
      </c>
      <c r="B3553" s="8" t="s">
        <v>169</v>
      </c>
      <c r="C3553" s="19" t="n">
        <v>10</v>
      </c>
      <c r="D3553" s="19" t="n">
        <v>98.64</v>
      </c>
      <c r="E3553" s="19" t="n">
        <v>0</v>
      </c>
      <c r="F3553" s="19" t="n">
        <v>0</v>
      </c>
      <c r="G3553" s="8" t="n">
        <f aca="false">IFERROR(INDEX('TRANS'!$B:$B,MATCH($B3553,'TRANS'!$A:$A,0)),IFERROR(INDEX('TRANS'!$B:$B,MATCH(TRIM(SUBSTITUTE($B3553,CHAR(160)," ")),'TRANS'!$D:$D,0)),IFERROR(INDEX('Catalog'!$A:$A,MATCH($B3553,'Catalog'!$B:$B,0)),IFERROR(INDEX('Catalog'!$A:$A,MATCH(TRIM(SUBSTITUTE($B3553,CHAR(160)," ")),'Catalog'!$C:$C,0)),""))))</f>
        <v>4420003</v>
      </c>
      <c r="H3553" s="8" t="str">
        <f aca="false">IFERROR(INDEX('TRANS'!$C:$C,MATCH($B3553,'TRANS'!$A:$A,0)),IFERROR(INDEX('Catalog'!$B:$B,MATCH($G3553,'Catalog'!$A:$A,0)),$B3553))</f>
        <v>374 רפידת בולמת זעזועים -זוג</v>
      </c>
      <c r="I3553" s="8" t="str">
        <f aca="false">IF($G3553="","Unmatched","Matched")</f>
        <v>Matched</v>
      </c>
    </row>
    <row r="3554" customFormat="false" ht="15" hidden="false" customHeight="false" outlineLevel="0" collapsed="false">
      <c r="A3554" s="8" t="s">
        <v>1059</v>
      </c>
      <c r="B3554" s="8" t="s">
        <v>170</v>
      </c>
      <c r="C3554" s="19" t="n">
        <v>0</v>
      </c>
      <c r="D3554" s="19" t="n">
        <v>0</v>
      </c>
      <c r="E3554" s="19" t="n">
        <v>20</v>
      </c>
      <c r="F3554" s="19" t="n">
        <v>264.44</v>
      </c>
      <c r="G3554" s="8" t="str">
        <f aca="false">IFERROR(INDEX('TRANS'!$B:$B,MATCH($B3554,'TRANS'!$A:$A,0)),IFERROR(INDEX('TRANS'!$B:$B,MATCH(TRIM(SUBSTITUTE($B3554,CHAR(160)," ")),'TRANS'!$D:$D,0)),IFERROR(INDEX('Catalog'!$A:$A,MATCH($B3554,'Catalog'!$B:$B,0)),IFERROR(INDEX('Catalog'!$A:$A,MATCH(TRIM(SUBSTITUTE($B3554,CHAR(160)," ")),'Catalog'!$C:$C,0)),""))))</f>
        <v/>
      </c>
      <c r="H3554" s="8" t="str">
        <f aca="false">IFERROR(INDEX('TRANS'!$C:$C,MATCH($B3554,'TRANS'!$A:$A,0)),IFERROR(INDEX('Catalog'!$B:$B,MATCH($G3554,'Catalog'!$A:$A,0)),$B3554))</f>
        <v>376-35-37</v>
      </c>
      <c r="I3554" s="8" t="str">
        <f aca="false">IF($G3554="","Unmatched","Matched")</f>
        <v>Unmatched</v>
      </c>
    </row>
    <row r="3555" customFormat="false" ht="15" hidden="false" customHeight="false" outlineLevel="0" collapsed="false">
      <c r="A3555" s="8" t="s">
        <v>1059</v>
      </c>
      <c r="B3555" s="8" t="s">
        <v>171</v>
      </c>
      <c r="C3555" s="19" t="n">
        <v>40</v>
      </c>
      <c r="D3555" s="19" t="n">
        <v>551.76</v>
      </c>
      <c r="E3555" s="19" t="n">
        <v>0</v>
      </c>
      <c r="F3555" s="19" t="n">
        <v>0</v>
      </c>
      <c r="G3555" s="8" t="str">
        <f aca="false">IFERROR(INDEX('TRANS'!$B:$B,MATCH($B3555,'TRANS'!$A:$A,0)),IFERROR(INDEX('TRANS'!$B:$B,MATCH(TRIM(SUBSTITUTE($B3555,CHAR(160)," ")),'TRANS'!$D:$D,0)),IFERROR(INDEX('Catalog'!$A:$A,MATCH($B3555,'Catalog'!$B:$B,0)),IFERROR(INDEX('Catalog'!$A:$A,MATCH(TRIM(SUBSTITUTE($B3555,CHAR(160)," ")),'Catalog'!$C:$C,0)),""))))</f>
        <v/>
      </c>
      <c r="H3555" s="8" t="str">
        <f aca="false">IFERROR(INDEX('TRANS'!$C:$C,MATCH($B3555,'TRANS'!$A:$A,0)),IFERROR(INDEX('Catalog'!$B:$B,MATCH($G3555,'Catalog'!$A:$A,0)),$B3555))</f>
        <v>376-38-40</v>
      </c>
      <c r="I3555" s="8" t="str">
        <f aca="false">IF($G3555="","Unmatched","Matched")</f>
        <v>Unmatched</v>
      </c>
    </row>
    <row r="3556" customFormat="false" ht="15" hidden="false" customHeight="false" outlineLevel="0" collapsed="false">
      <c r="A3556" s="8" t="s">
        <v>1059</v>
      </c>
      <c r="B3556" s="8" t="s">
        <v>172</v>
      </c>
      <c r="C3556" s="19" t="n">
        <v>50</v>
      </c>
      <c r="D3556" s="19" t="n">
        <v>689.7</v>
      </c>
      <c r="E3556" s="19" t="n">
        <v>30</v>
      </c>
      <c r="F3556" s="19" t="n">
        <v>398.45</v>
      </c>
      <c r="G3556" s="8" t="str">
        <f aca="false">IFERROR(INDEX('TRANS'!$B:$B,MATCH($B3556,'TRANS'!$A:$A,0)),IFERROR(INDEX('TRANS'!$B:$B,MATCH(TRIM(SUBSTITUTE($B3556,CHAR(160)," ")),'TRANS'!$D:$D,0)),IFERROR(INDEX('Catalog'!$A:$A,MATCH($B3556,'Catalog'!$B:$B,0)),IFERROR(INDEX('Catalog'!$A:$A,MATCH(TRIM(SUBSTITUTE($B3556,CHAR(160)," ")),'Catalog'!$C:$C,0)),""))))</f>
        <v/>
      </c>
      <c r="H3556" s="8" t="str">
        <f aca="false">IFERROR(INDEX('TRANS'!$C:$C,MATCH($B3556,'TRANS'!$A:$A,0)),IFERROR(INDEX('Catalog'!$B:$B,MATCH($G3556,'Catalog'!$A:$A,0)),$B3556))</f>
        <v>376-41-43</v>
      </c>
      <c r="I3556" s="8" t="str">
        <f aca="false">IF($G3556="","Unmatched","Matched")</f>
        <v>Unmatched</v>
      </c>
    </row>
    <row r="3557" customFormat="false" ht="15" hidden="false" customHeight="false" outlineLevel="0" collapsed="false">
      <c r="A3557" s="8" t="s">
        <v>1059</v>
      </c>
      <c r="B3557" s="8" t="s">
        <v>173</v>
      </c>
      <c r="C3557" s="19" t="n">
        <v>5</v>
      </c>
      <c r="D3557" s="19" t="n">
        <v>68.97</v>
      </c>
      <c r="E3557" s="19" t="n">
        <v>35</v>
      </c>
      <c r="F3557" s="19" t="n">
        <v>486.46</v>
      </c>
      <c r="G3557" s="8" t="str">
        <f aca="false">IFERROR(INDEX('TRANS'!$B:$B,MATCH($B3557,'TRANS'!$A:$A,0)),IFERROR(INDEX('TRANS'!$B:$B,MATCH(TRIM(SUBSTITUTE($B3557,CHAR(160)," ")),'TRANS'!$D:$D,0)),IFERROR(INDEX('Catalog'!$A:$A,MATCH($B3557,'Catalog'!$B:$B,0)),IFERROR(INDEX('Catalog'!$A:$A,MATCH(TRIM(SUBSTITUTE($B3557,CHAR(160)," ")),'Catalog'!$C:$C,0)),""))))</f>
        <v/>
      </c>
      <c r="H3557" s="8" t="str">
        <f aca="false">IFERROR(INDEX('TRANS'!$C:$C,MATCH($B3557,'TRANS'!$A:$A,0)),IFERROR(INDEX('Catalog'!$B:$B,MATCH($G3557,'Catalog'!$A:$A,0)),$B3557))</f>
        <v>376-44-45</v>
      </c>
      <c r="I3557" s="8" t="str">
        <f aca="false">IF($G3557="","Unmatched","Matched")</f>
        <v>Unmatched</v>
      </c>
    </row>
    <row r="3558" customFormat="false" ht="15" hidden="false" customHeight="false" outlineLevel="0" collapsed="false">
      <c r="A3558" s="8" t="s">
        <v>1059</v>
      </c>
      <c r="B3558" s="8" t="s">
        <v>479</v>
      </c>
      <c r="C3558" s="19" t="n">
        <v>6</v>
      </c>
      <c r="D3558" s="19" t="n">
        <v>249.57</v>
      </c>
      <c r="E3558" s="19" t="n">
        <v>0</v>
      </c>
      <c r="F3558" s="19" t="n">
        <v>0</v>
      </c>
      <c r="G3558" s="8" t="n">
        <f aca="false">IFERROR(INDEX('TRANS'!$B:$B,MATCH($B3558,'TRANS'!$A:$A,0)),IFERROR(INDEX('TRANS'!$B:$B,MATCH(TRIM(SUBSTITUTE($B3558,CHAR(160)," ")),'TRANS'!$D:$D,0)),IFERROR(INDEX('Catalog'!$A:$A,MATCH($B3558,'Catalog'!$B:$B,0)),IFERROR(INDEX('Catalog'!$A:$A,MATCH(TRIM(SUBSTITUTE($B3558,CHAR(160)," ")),'Catalog'!$C:$C,0)),""))))</f>
        <v>4413523</v>
      </c>
      <c r="H3558" s="8" t="str">
        <f aca="false">IFERROR(INDEX('TRANS'!$C:$C,MATCH($B3558,'TRANS'!$A:$A,0)),IFERROR(INDEX('Catalog'!$B:$B,MATCH($G3558,'Catalog'!$A:$A,0)),$B3558))</f>
        <v>35-38 מדרסי אפיק ג'ל נוחות</v>
      </c>
      <c r="I3558" s="8" t="str">
        <f aca="false">IF($G3558="","Unmatched","Matched")</f>
        <v>Matched</v>
      </c>
    </row>
    <row r="3559" customFormat="false" ht="15" hidden="false" customHeight="false" outlineLevel="0" collapsed="false">
      <c r="A3559" s="8" t="s">
        <v>1059</v>
      </c>
      <c r="B3559" s="8" t="s">
        <v>480</v>
      </c>
      <c r="C3559" s="19" t="n">
        <v>7</v>
      </c>
      <c r="D3559" s="19" t="n">
        <v>249.6</v>
      </c>
      <c r="E3559" s="19" t="n">
        <v>5</v>
      </c>
      <c r="F3559" s="19" t="n">
        <v>179.19</v>
      </c>
      <c r="G3559" s="8" t="n">
        <f aca="false">IFERROR(INDEX('TRANS'!$B:$B,MATCH($B3559,'TRANS'!$A:$A,0)),IFERROR(INDEX('TRANS'!$B:$B,MATCH(TRIM(SUBSTITUTE($B3559,CHAR(160)," ")),'TRANS'!$D:$D,0)),IFERROR(INDEX('Catalog'!$A:$A,MATCH($B3559,'Catalog'!$B:$B,0)),IFERROR(INDEX('Catalog'!$A:$A,MATCH(TRIM(SUBSTITUTE($B3559,CHAR(160)," ")),'Catalog'!$C:$C,0)),""))))</f>
        <v>4413524</v>
      </c>
      <c r="H3559" s="8" t="str">
        <f aca="false">IFERROR(INDEX('TRANS'!$C:$C,MATCH($B3559,'TRANS'!$A:$A,0)),IFERROR(INDEX('Catalog'!$B:$B,MATCH($G3559,'Catalog'!$A:$A,0)),$B3559))</f>
        <v>39-42 מדרסי אפיק ג'ל נוחות</v>
      </c>
      <c r="I3559" s="8" t="str">
        <f aca="false">IF($G3559="","Unmatched","Matched")</f>
        <v>Matched</v>
      </c>
    </row>
    <row r="3560" customFormat="false" ht="15" hidden="false" customHeight="false" outlineLevel="0" collapsed="false">
      <c r="A3560" s="8" t="s">
        <v>1059</v>
      </c>
      <c r="B3560" s="8" t="s">
        <v>481</v>
      </c>
      <c r="C3560" s="19" t="n">
        <v>3</v>
      </c>
      <c r="D3560" s="19" t="n">
        <v>124.79</v>
      </c>
      <c r="E3560" s="19" t="n">
        <v>10</v>
      </c>
      <c r="F3560" s="19" t="n">
        <v>358.38</v>
      </c>
      <c r="G3560" s="8" t="n">
        <f aca="false">IFERROR(INDEX('TRANS'!$B:$B,MATCH($B3560,'TRANS'!$A:$A,0)),IFERROR(INDEX('TRANS'!$B:$B,MATCH(TRIM(SUBSTITUTE($B3560,CHAR(160)," ")),'TRANS'!$D:$D,0)),IFERROR(INDEX('Catalog'!$A:$A,MATCH($B3560,'Catalog'!$B:$B,0)),IFERROR(INDEX('Catalog'!$A:$A,MATCH(TRIM(SUBSTITUTE($B3560,CHAR(160)," ")),'Catalog'!$C:$C,0)),""))))</f>
        <v>4413525</v>
      </c>
      <c r="H3560" s="8" t="str">
        <f aca="false">IFERROR(INDEX('TRANS'!$C:$C,MATCH($B3560,'TRANS'!$A:$A,0)),IFERROR(INDEX('Catalog'!$B:$B,MATCH($G3560,'Catalog'!$A:$A,0)),$B3560))</f>
        <v>43-47 מדרסי אפיק ג'ל נוחות</v>
      </c>
      <c r="I3560" s="8" t="str">
        <f aca="false">IF($G3560="","Unmatched","Matched")</f>
        <v>Matched</v>
      </c>
    </row>
    <row r="3561" customFormat="false" ht="15" hidden="false" customHeight="false" outlineLevel="0" collapsed="false">
      <c r="A3561" s="8" t="s">
        <v>1059</v>
      </c>
      <c r="B3561" s="8" t="s">
        <v>482</v>
      </c>
      <c r="C3561" s="19" t="n">
        <v>6</v>
      </c>
      <c r="D3561" s="19" t="n">
        <v>249.57</v>
      </c>
      <c r="E3561" s="19" t="n">
        <v>0</v>
      </c>
      <c r="F3561" s="19" t="n">
        <v>0</v>
      </c>
      <c r="G3561" s="8" t="n">
        <f aca="false">IFERROR(INDEX('TRANS'!$B:$B,MATCH($B3561,'TRANS'!$A:$A,0)),IFERROR(INDEX('TRANS'!$B:$B,MATCH(TRIM(SUBSTITUTE($B3561,CHAR(160)," ")),'TRANS'!$D:$D,0)),IFERROR(INDEX('Catalog'!$A:$A,MATCH($B3561,'Catalog'!$B:$B,0)),IFERROR(INDEX('Catalog'!$A:$A,MATCH(TRIM(SUBSTITUTE($B3561,CHAR(160)," ")),'Catalog'!$C:$C,0)),""))))</f>
        <v>4413520</v>
      </c>
      <c r="H3561" s="8" t="str">
        <f aca="false">IFERROR(INDEX('TRANS'!$C:$C,MATCH($B3561,'TRANS'!$A:$A,0)),IFERROR(INDEX('Catalog'!$B:$B,MATCH($G3561,'Catalog'!$A:$A,0)),$B3561))</f>
        <v>מדרסי אפיק ג'ל מולט.ספורט35-38</v>
      </c>
      <c r="I3561" s="8" t="str">
        <f aca="false">IF($G3561="","Unmatched","Matched")</f>
        <v>Matched</v>
      </c>
    </row>
    <row r="3562" customFormat="false" ht="15" hidden="false" customHeight="false" outlineLevel="0" collapsed="false">
      <c r="A3562" s="8" t="s">
        <v>1059</v>
      </c>
      <c r="B3562" s="8" t="s">
        <v>483</v>
      </c>
      <c r="C3562" s="19" t="n">
        <v>6</v>
      </c>
      <c r="D3562" s="19" t="n">
        <v>249.57</v>
      </c>
      <c r="E3562" s="19" t="n">
        <v>3</v>
      </c>
      <c r="F3562" s="19" t="n">
        <v>107.51</v>
      </c>
      <c r="G3562" s="8" t="n">
        <f aca="false">IFERROR(INDEX('TRANS'!$B:$B,MATCH($B3562,'TRANS'!$A:$A,0)),IFERROR(INDEX('TRANS'!$B:$B,MATCH(TRIM(SUBSTITUTE($B3562,CHAR(160)," ")),'TRANS'!$D:$D,0)),IFERROR(INDEX('Catalog'!$A:$A,MATCH($B3562,'Catalog'!$B:$B,0)),IFERROR(INDEX('Catalog'!$A:$A,MATCH(TRIM(SUBSTITUTE($B3562,CHAR(160)," ")),'Catalog'!$C:$C,0)),""))))</f>
        <v>4413521</v>
      </c>
      <c r="H3562" s="8" t="str">
        <f aca="false">IFERROR(INDEX('TRANS'!$C:$C,MATCH($B3562,'TRANS'!$A:$A,0)),IFERROR(INDEX('Catalog'!$B:$B,MATCH($G3562,'Catalog'!$A:$A,0)),$B3562))</f>
        <v>מדרסי אפיק ג'ל מולטי ספור39-42</v>
      </c>
      <c r="I3562" s="8" t="str">
        <f aca="false">IF($G3562="","Unmatched","Matched")</f>
        <v>Matched</v>
      </c>
    </row>
    <row r="3563" customFormat="false" ht="15" hidden="false" customHeight="false" outlineLevel="0" collapsed="false">
      <c r="A3563" s="8" t="s">
        <v>1059</v>
      </c>
      <c r="B3563" s="8" t="s">
        <v>484</v>
      </c>
      <c r="C3563" s="19" t="n">
        <v>4</v>
      </c>
      <c r="D3563" s="19" t="n">
        <v>124.82</v>
      </c>
      <c r="E3563" s="19" t="n">
        <v>3</v>
      </c>
      <c r="F3563" s="19" t="n">
        <v>107.51</v>
      </c>
      <c r="G3563" s="8" t="n">
        <f aca="false">IFERROR(INDEX('TRANS'!$B:$B,MATCH($B3563,'TRANS'!$A:$A,0)),IFERROR(INDEX('TRANS'!$B:$B,MATCH(TRIM(SUBSTITUTE($B3563,CHAR(160)," ")),'TRANS'!$D:$D,0)),IFERROR(INDEX('Catalog'!$A:$A,MATCH($B3563,'Catalog'!$B:$B,0)),IFERROR(INDEX('Catalog'!$A:$A,MATCH(TRIM(SUBSTITUTE($B3563,CHAR(160)," ")),'Catalog'!$C:$C,0)),""))))</f>
        <v>4413522</v>
      </c>
      <c r="H3563" s="8" t="str">
        <f aca="false">IFERROR(INDEX('TRANS'!$C:$C,MATCH($B3563,'TRANS'!$A:$A,0)),IFERROR(INDEX('Catalog'!$B:$B,MATCH($G3563,'Catalog'!$A:$A,0)),$B3563))</f>
        <v>מדרסי אפיק ג'ל מולט.ספורט43-47</v>
      </c>
      <c r="I3563" s="8" t="str">
        <f aca="false">IF($G3563="","Unmatched","Matched")</f>
        <v>Matched</v>
      </c>
    </row>
    <row r="3564" customFormat="false" ht="15" hidden="false" customHeight="false" outlineLevel="0" collapsed="false">
      <c r="A3564" s="8" t="s">
        <v>1059</v>
      </c>
      <c r="B3564" s="8" t="s">
        <v>485</v>
      </c>
      <c r="C3564" s="19" t="n">
        <v>6</v>
      </c>
      <c r="D3564" s="19" t="n">
        <v>249.57</v>
      </c>
      <c r="E3564" s="19" t="n">
        <v>5</v>
      </c>
      <c r="F3564" s="19" t="n">
        <v>179.19</v>
      </c>
      <c r="G3564" s="8" t="n">
        <f aca="false">IFERROR(INDEX('TRANS'!$B:$B,MATCH($B3564,'TRANS'!$A:$A,0)),IFERROR(INDEX('TRANS'!$B:$B,MATCH(TRIM(SUBSTITUTE($B3564,CHAR(160)," ")),'TRANS'!$D:$D,0)),IFERROR(INDEX('Catalog'!$A:$A,MATCH($B3564,'Catalog'!$B:$B,0)),IFERROR(INDEX('Catalog'!$A:$A,MATCH(TRIM(SUBSTITUTE($B3564,CHAR(160)," ")),'Catalog'!$C:$C,0)),""))))</f>
        <v>4413527</v>
      </c>
      <c r="H3564" s="8" t="str">
        <f aca="false">IFERROR(INDEX('TRANS'!$C:$C,MATCH($B3564,'TRANS'!$A:$A,0)),IFERROR(INDEX('Catalog'!$B:$B,MATCH($G3564,'Catalog'!$A:$A,0)),$B3564))</f>
        <v>35-38 מדרסי אפיק ג'ל עבודה</v>
      </c>
      <c r="I3564" s="8" t="str">
        <f aca="false">IF($G3564="","Unmatched","Matched")</f>
        <v>Matched</v>
      </c>
    </row>
    <row r="3565" customFormat="false" ht="15" hidden="false" customHeight="false" outlineLevel="0" collapsed="false">
      <c r="A3565" s="8" t="s">
        <v>1059</v>
      </c>
      <c r="B3565" s="8" t="s">
        <v>486</v>
      </c>
      <c r="C3565" s="19" t="n">
        <v>7</v>
      </c>
      <c r="D3565" s="19" t="n">
        <v>249.6</v>
      </c>
      <c r="E3565" s="19" t="n">
        <v>10</v>
      </c>
      <c r="F3565" s="19" t="n">
        <v>358.38</v>
      </c>
      <c r="G3565" s="8" t="n">
        <f aca="false">IFERROR(INDEX('TRANS'!$B:$B,MATCH($B3565,'TRANS'!$A:$A,0)),IFERROR(INDEX('TRANS'!$B:$B,MATCH(TRIM(SUBSTITUTE($B3565,CHAR(160)," ")),'TRANS'!$D:$D,0)),IFERROR(INDEX('Catalog'!$A:$A,MATCH($B3565,'Catalog'!$B:$B,0)),IFERROR(INDEX('Catalog'!$A:$A,MATCH(TRIM(SUBSTITUTE($B3565,CHAR(160)," ")),'Catalog'!$C:$C,0)),""))))</f>
        <v>4413528</v>
      </c>
      <c r="H3565" s="8" t="str">
        <f aca="false">IFERROR(INDEX('TRANS'!$C:$C,MATCH($B3565,'TRANS'!$A:$A,0)),IFERROR(INDEX('Catalog'!$B:$B,MATCH($G3565,'Catalog'!$A:$A,0)),$B3565))</f>
        <v>39-42 מדרסי אפיק ג'ל עבודה</v>
      </c>
      <c r="I3565" s="8" t="str">
        <f aca="false">IF($G3565="","Unmatched","Matched")</f>
        <v>Matched</v>
      </c>
    </row>
    <row r="3566" customFormat="false" ht="15" hidden="false" customHeight="false" outlineLevel="0" collapsed="false">
      <c r="A3566" s="8" t="s">
        <v>1059</v>
      </c>
      <c r="B3566" s="8" t="s">
        <v>487</v>
      </c>
      <c r="C3566" s="19" t="n">
        <v>3</v>
      </c>
      <c r="D3566" s="19" t="n">
        <v>124.79</v>
      </c>
      <c r="E3566" s="19" t="n">
        <v>10</v>
      </c>
      <c r="F3566" s="19" t="n">
        <v>358.38</v>
      </c>
      <c r="G3566" s="8" t="n">
        <f aca="false">IFERROR(INDEX('TRANS'!$B:$B,MATCH($B3566,'TRANS'!$A:$A,0)),IFERROR(INDEX('TRANS'!$B:$B,MATCH(TRIM(SUBSTITUTE($B3566,CHAR(160)," ")),'TRANS'!$D:$D,0)),IFERROR(INDEX('Catalog'!$A:$A,MATCH($B3566,'Catalog'!$B:$B,0)),IFERROR(INDEX('Catalog'!$A:$A,MATCH(TRIM(SUBSTITUTE($B3566,CHAR(160)," ")),'Catalog'!$C:$C,0)),""))))</f>
        <v>4413529</v>
      </c>
      <c r="H3566" s="8" t="str">
        <f aca="false">IFERROR(INDEX('TRANS'!$C:$C,MATCH($B3566,'TRANS'!$A:$A,0)),IFERROR(INDEX('Catalog'!$B:$B,MATCH($G3566,'Catalog'!$A:$A,0)),$B3566))</f>
        <v>43-47 מדרסי אפיק ג'ל עבודה</v>
      </c>
      <c r="I3566" s="8" t="str">
        <f aca="false">IF($G3566="","Unmatched","Matched")</f>
        <v>Matched</v>
      </c>
    </row>
    <row r="3567" customFormat="false" ht="15" hidden="false" customHeight="false" outlineLevel="0" collapsed="false">
      <c r="A3567" s="8" t="s">
        <v>1059</v>
      </c>
      <c r="B3567" s="8" t="s">
        <v>175</v>
      </c>
      <c r="C3567" s="19" t="n">
        <v>20</v>
      </c>
      <c r="D3567" s="19" t="n">
        <v>605.85</v>
      </c>
      <c r="E3567" s="19" t="n">
        <v>75</v>
      </c>
      <c r="F3567" s="19" t="n">
        <v>2281.75</v>
      </c>
      <c r="G3567" s="8" t="n">
        <f aca="false">IFERROR(INDEX('TRANS'!$B:$B,MATCH($B3567,'TRANS'!$A:$A,0)),IFERROR(INDEX('TRANS'!$B:$B,MATCH(TRIM(SUBSTITUTE($B3567,CHAR(160)," ")),'TRANS'!$D:$D,0)),IFERROR(INDEX('Catalog'!$A:$A,MATCH($B3567,'Catalog'!$B:$B,0)),IFERROR(INDEX('Catalog'!$A:$A,MATCH(TRIM(SUBSTITUTE($B3567,CHAR(160)," ")),'Catalog'!$C:$C,0)),""))))</f>
        <v>4408069</v>
      </c>
      <c r="H3567" s="8" t="str">
        <f aca="false">IFERROR(INDEX('TRANS'!$C:$C,MATCH($B3567,'TRANS'!$A:$A,0)),IFERROR(INDEX('Catalog'!$B:$B,MATCH($G3567,'Catalog'!$A:$A,0)),$B3567))</f>
        <v>38 .חבישת""""הלוקס ולגוס""""לאחר נית</v>
      </c>
      <c r="I3567" s="8" t="str">
        <f aca="false">IF($G3567="","Unmatched","Matched")</f>
        <v>Matched</v>
      </c>
    </row>
    <row r="3568" customFormat="false" ht="15" hidden="false" customHeight="false" outlineLevel="0" collapsed="false">
      <c r="A3568" s="8" t="s">
        <v>1059</v>
      </c>
      <c r="B3568" s="8" t="s">
        <v>176</v>
      </c>
      <c r="C3568" s="19" t="n">
        <v>54</v>
      </c>
      <c r="D3568" s="19" t="n">
        <v>874.13</v>
      </c>
      <c r="E3568" s="19" t="n">
        <v>46</v>
      </c>
      <c r="F3568" s="19" t="n">
        <v>722.12</v>
      </c>
      <c r="G3568" s="8" t="n">
        <f aca="false">IFERROR(INDEX('TRANS'!$B:$B,MATCH($B3568,'TRANS'!$A:$A,0)),IFERROR(INDEX('TRANS'!$B:$B,MATCH(TRIM(SUBSTITUTE($B3568,CHAR(160)," ")),'TRANS'!$D:$D,0)),IFERROR(INDEX('Catalog'!$A:$A,MATCH($B3568,'Catalog'!$B:$B,0)),IFERROR(INDEX('Catalog'!$A:$A,MATCH(TRIM(SUBSTITUTE($B3568,CHAR(160)," ")),'Catalog'!$C:$C,0)),""))))</f>
        <v>4413452</v>
      </c>
      <c r="H3568" s="8" t="str">
        <f aca="false">IFERROR(INDEX('TRANS'!$C:$C,MATCH($B3568,'TRANS'!$A:$A,0)),IFERROR(INDEX('Catalog'!$B:$B,MATCH($G3568,'Catalog'!$A:$A,0)),$B3568))</f>
        <v>386  מיישר בוניון-האלוקס ולגוס</v>
      </c>
      <c r="I3568" s="8" t="str">
        <f aca="false">IF($G3568="","Unmatched","Matched")</f>
        <v>Matched</v>
      </c>
    </row>
    <row r="3569" customFormat="false" ht="15" hidden="false" customHeight="false" outlineLevel="0" collapsed="false">
      <c r="A3569" s="8" t="s">
        <v>1059</v>
      </c>
      <c r="B3569" s="8" t="s">
        <v>178</v>
      </c>
      <c r="C3569" s="19" t="n">
        <v>1</v>
      </c>
      <c r="D3569" s="19" t="n">
        <v>0.03</v>
      </c>
      <c r="E3569" s="19" t="n">
        <v>0</v>
      </c>
      <c r="F3569" s="19" t="n">
        <v>0</v>
      </c>
      <c r="G3569" s="8" t="n">
        <f aca="false">IFERROR(INDEX('TRANS'!$B:$B,MATCH($B3569,'TRANS'!$A:$A,0)),IFERROR(INDEX('TRANS'!$B:$B,MATCH(TRIM(SUBSTITUTE($B3569,CHAR(160)," ")),'TRANS'!$D:$D,0)),IFERROR(INDEX('Catalog'!$A:$A,MATCH($B3569,'Catalog'!$B:$B,0)),IFERROR(INDEX('Catalog'!$A:$A,MATCH(TRIM(SUBSTITUTE($B3569,CHAR(160)," ")),'Catalog'!$C:$C,0)),""))))</f>
        <v>4415298</v>
      </c>
      <c r="H3569" s="8" t="str">
        <f aca="false">IFERROR(INDEX('TRANS'!$C:$C,MATCH($B3569,'TRANS'!$A:$A,0)),IFERROR(INDEX('Catalog'!$B:$B,MATCH($G3569,'Catalog'!$A:$A,0)),$B3569))</f>
        <v>388B L סד לילה שחור לבוהן שמאל</v>
      </c>
      <c r="I3569" s="8" t="str">
        <f aca="false">IF($G3569="","Unmatched","Matched")</f>
        <v>Matched</v>
      </c>
    </row>
    <row r="3570" customFormat="false" ht="15" hidden="false" customHeight="false" outlineLevel="0" collapsed="false">
      <c r="A3570" s="8" t="s">
        <v>1059</v>
      </c>
      <c r="B3570" s="8" t="s">
        <v>179</v>
      </c>
      <c r="C3570" s="19" t="n">
        <v>1</v>
      </c>
      <c r="D3570" s="19" t="n">
        <v>0.03</v>
      </c>
      <c r="E3570" s="19" t="n">
        <v>0</v>
      </c>
      <c r="F3570" s="19" t="n">
        <v>0</v>
      </c>
      <c r="G3570" s="8" t="n">
        <f aca="false">IFERROR(INDEX('TRANS'!$B:$B,MATCH($B3570,'TRANS'!$A:$A,0)),IFERROR(INDEX('TRANS'!$B:$B,MATCH(TRIM(SUBSTITUTE($B3570,CHAR(160)," ")),'TRANS'!$D:$D,0)),IFERROR(INDEX('Catalog'!$A:$A,MATCH($B3570,'Catalog'!$B:$B,0)),IFERROR(INDEX('Catalog'!$A:$A,MATCH(TRIM(SUBSTITUTE($B3570,CHAR(160)," ")),'Catalog'!$C:$C,0)),""))))</f>
        <v>4415299</v>
      </c>
      <c r="H3570" s="8" t="str">
        <f aca="false">IFERROR(INDEX('TRANS'!$C:$C,MATCH($B3570,'TRANS'!$A:$A,0)),IFERROR(INDEX('Catalog'!$B:$B,MATCH($G3570,'Catalog'!$A:$A,0)),$B3570))</f>
        <v>388B L סד לילה שחור לבוהן ימין</v>
      </c>
      <c r="I3570" s="8" t="str">
        <f aca="false">IF($G3570="","Unmatched","Matched")</f>
        <v>Matched</v>
      </c>
    </row>
    <row r="3571" customFormat="false" ht="15" hidden="false" customHeight="false" outlineLevel="0" collapsed="false">
      <c r="A3571" s="8" t="s">
        <v>1059</v>
      </c>
      <c r="B3571" s="8" t="s">
        <v>958</v>
      </c>
      <c r="C3571" s="19" t="n">
        <v>1</v>
      </c>
      <c r="D3571" s="19" t="n">
        <v>0.03</v>
      </c>
      <c r="E3571" s="19" t="n">
        <v>0</v>
      </c>
      <c r="F3571" s="19" t="n">
        <v>0</v>
      </c>
      <c r="G3571" s="8" t="str">
        <f aca="false">IFERROR(INDEX('TRANS'!$B:$B,MATCH($B3571,'TRANS'!$A:$A,0)),IFERROR(INDEX('TRANS'!$B:$B,MATCH(TRIM(SUBSTITUTE($B3571,CHAR(160)," ")),'TRANS'!$D:$D,0)),IFERROR(INDEX('Catalog'!$A:$A,MATCH($B3571,'Catalog'!$B:$B,0)),IFERROR(INDEX('Catalog'!$A:$A,MATCH(TRIM(SUBSTITUTE($B3571,CHAR(160)," ")),'Catalog'!$C:$C,0)),""))))</f>
        <v/>
      </c>
      <c r="H3571" s="8" t="str">
        <f aca="false">IFERROR(INDEX('TRANS'!$C:$C,MATCH($B3571,'TRANS'!$A:$A,0)),IFERROR(INDEX('Catalog'!$B:$B,MATCH($G3571,'Catalog'!$A:$A,0)),$B3571))</f>
        <v>391W-39-42</v>
      </c>
      <c r="I3571" s="8" t="str">
        <f aca="false">IF($G3571="","Unmatched","Matched")</f>
        <v>Unmatched</v>
      </c>
    </row>
    <row r="3572" customFormat="false" ht="15" hidden="false" customHeight="false" outlineLevel="0" collapsed="false">
      <c r="A3572" s="8" t="s">
        <v>1059</v>
      </c>
      <c r="B3572" s="8" t="s">
        <v>196</v>
      </c>
      <c r="C3572" s="19" t="n">
        <v>1</v>
      </c>
      <c r="D3572" s="19" t="n">
        <v>0.03</v>
      </c>
      <c r="E3572" s="19" t="n">
        <v>0</v>
      </c>
      <c r="F3572" s="19" t="n">
        <v>0</v>
      </c>
      <c r="G3572" s="8" t="n">
        <f aca="false">IFERROR(INDEX('TRANS'!$B:$B,MATCH($B3572,'TRANS'!$A:$A,0)),IFERROR(INDEX('TRANS'!$B:$B,MATCH(TRIM(SUBSTITUTE($B3572,CHAR(160)," ")),'TRANS'!$D:$D,0)),IFERROR(INDEX('Catalog'!$A:$A,MATCH($B3572,'Catalog'!$B:$B,0)),IFERROR(INDEX('Catalog'!$A:$A,MATCH(TRIM(SUBSTITUTE($B3572,CHAR(160)," ")),'Catalog'!$C:$C,0)),""))))</f>
        <v>4403045</v>
      </c>
      <c r="H3572" s="8" t="str">
        <f aca="false">IFERROR(INDEX('TRANS'!$C:$C,MATCH($B3572,'TRANS'!$A:$A,0)),IFERROR(INDEX('Catalog'!$B:$B,MATCH($G3572,'Catalog'!$A:$A,0)),$B3572))</f>
        <v>395B גרבי קיץ אנטי בקטריא43-46</v>
      </c>
      <c r="I3572" s="8" t="str">
        <f aca="false">IF($G3572="","Unmatched","Matched")</f>
        <v>Matched</v>
      </c>
    </row>
    <row r="3573" customFormat="false" ht="15" hidden="false" customHeight="false" outlineLevel="0" collapsed="false">
      <c r="A3573" s="8" t="s">
        <v>1059</v>
      </c>
      <c r="B3573" s="8" t="s">
        <v>200</v>
      </c>
      <c r="C3573" s="19" t="n">
        <v>1</v>
      </c>
      <c r="D3573" s="19" t="n">
        <v>0.03</v>
      </c>
      <c r="E3573" s="19" t="n">
        <v>0</v>
      </c>
      <c r="F3573" s="19" t="n">
        <v>0</v>
      </c>
      <c r="G3573" s="8" t="n">
        <f aca="false">IFERROR(INDEX('TRANS'!$B:$B,MATCH($B3573,'TRANS'!$A:$A,0)),IFERROR(INDEX('TRANS'!$B:$B,MATCH(TRIM(SUBSTITUTE($B3573,CHAR(160)," ")),'TRANS'!$D:$D,0)),IFERROR(INDEX('Catalog'!$A:$A,MATCH($B3573,'Catalog'!$B:$B,0)),IFERROR(INDEX('Catalog'!$A:$A,MATCH(TRIM(SUBSTITUTE($B3573,CHAR(160)," ")),'Catalog'!$C:$C,0)),""))))</f>
        <v>4403041</v>
      </c>
      <c r="H3573" s="8" t="str">
        <f aca="false">IFERROR(INDEX('TRANS'!$C:$C,MATCH($B3573,'TRANS'!$A:$A,0)),IFERROR(INDEX('Catalog'!$B:$B,MATCH($G3573,'Catalog'!$A:$A,0)),$B3573))</f>
        <v>397A-גרבי טיסה אנטי בקטרי35-38</v>
      </c>
      <c r="I3573" s="8" t="str">
        <f aca="false">IF($G3573="","Unmatched","Matched")</f>
        <v>Matched</v>
      </c>
    </row>
    <row r="3574" customFormat="false" ht="15" hidden="false" customHeight="false" outlineLevel="0" collapsed="false">
      <c r="A3574" s="8" t="s">
        <v>1059</v>
      </c>
      <c r="B3574" s="8" t="s">
        <v>203</v>
      </c>
      <c r="C3574" s="19" t="n">
        <v>60</v>
      </c>
      <c r="D3574" s="19" t="n">
        <v>1363.08</v>
      </c>
      <c r="E3574" s="19" t="n">
        <v>40</v>
      </c>
      <c r="F3574" s="19" t="n">
        <v>818.01</v>
      </c>
      <c r="G3574" s="8" t="n">
        <f aca="false">IFERROR(INDEX('TRANS'!$B:$B,MATCH($B3574,'TRANS'!$A:$A,0)),IFERROR(INDEX('TRANS'!$B:$B,MATCH(TRIM(SUBSTITUTE($B3574,CHAR(160)," ")),'TRANS'!$D:$D,0)),IFERROR(INDEX('Catalog'!$A:$A,MATCH($B3574,'Catalog'!$B:$B,0)),IFERROR(INDEX('Catalog'!$A:$A,MATCH(TRIM(SUBSTITUTE($B3574,CHAR(160)," ")),'Catalog'!$C:$C,0)),""))))</f>
        <v>4420016</v>
      </c>
      <c r="H3574" s="8" t="str">
        <f aca="false">IFERROR(INDEX('TRANS'!$C:$C,MATCH($B3574,'TRANS'!$A:$A,0)),IFERROR(INDEX('Catalog'!$B:$B,MATCH($G3574,'Catalog'!$A:$A,0)),$B3574))</f>
        <v>40-רצועת פיקה לברך</v>
      </c>
      <c r="I3574" s="8" t="str">
        <f aca="false">IF($G3574="","Unmatched","Matched")</f>
        <v>Matched</v>
      </c>
    </row>
    <row r="3575" customFormat="false" ht="15" hidden="false" customHeight="false" outlineLevel="0" collapsed="false">
      <c r="A3575" s="8" t="s">
        <v>1059</v>
      </c>
      <c r="B3575" s="8" t="s">
        <v>367</v>
      </c>
      <c r="C3575" s="19" t="n">
        <v>6</v>
      </c>
      <c r="D3575" s="19" t="n">
        <v>305.12</v>
      </c>
      <c r="E3575" s="19" t="n">
        <v>0</v>
      </c>
      <c r="F3575" s="19" t="n">
        <v>0</v>
      </c>
      <c r="G3575" s="8" t="n">
        <f aca="false">IFERROR(INDEX('TRANS'!$B:$B,MATCH($B3575,'TRANS'!$A:$A,0)),IFERROR(INDEX('TRANS'!$B:$B,MATCH(TRIM(SUBSTITUTE($B3575,CHAR(160)," ")),'TRANS'!$D:$D,0)),IFERROR(INDEX('Catalog'!$A:$A,MATCH($B3575,'Catalog'!$B:$B,0)),IFERROR(INDEX('Catalog'!$A:$A,MATCH(TRIM(SUBSTITUTE($B3575,CHAR(160)," ")),'Catalog'!$C:$C,0)),""))))</f>
        <v>4413072</v>
      </c>
      <c r="H3575" s="8" t="str">
        <f aca="false">IFERROR(INDEX('TRANS'!$C:$C,MATCH($B3575,'TRANS'!$A:$A,0)),IFERROR(INDEX('Catalog'!$B:$B,MATCH($G3575,'Catalog'!$A:$A,0)),$B3575))</f>
        <v>41 Lמ.ברך מוצלב+ספירלות בצדדים</v>
      </c>
      <c r="I3575" s="8" t="str">
        <f aca="false">IF($G3575="","Unmatched","Matched")</f>
        <v>Matched</v>
      </c>
    </row>
    <row r="3576" customFormat="false" ht="15" hidden="false" customHeight="false" outlineLevel="0" collapsed="false">
      <c r="A3576" s="8" t="s">
        <v>1059</v>
      </c>
      <c r="B3576" s="8" t="s">
        <v>794</v>
      </c>
      <c r="C3576" s="19" t="n">
        <v>6</v>
      </c>
      <c r="D3576" s="19" t="n">
        <v>305.12</v>
      </c>
      <c r="E3576" s="19" t="n">
        <v>0</v>
      </c>
      <c r="F3576" s="19" t="n">
        <v>0</v>
      </c>
      <c r="G3576" s="8" t="n">
        <f aca="false">IFERROR(INDEX('TRANS'!$B:$B,MATCH($B3576,'TRANS'!$A:$A,0)),IFERROR(INDEX('TRANS'!$B:$B,MATCH(TRIM(SUBSTITUTE($B3576,CHAR(160)," ")),'TRANS'!$D:$D,0)),IFERROR(INDEX('Catalog'!$A:$A,MATCH($B3576,'Catalog'!$B:$B,0)),IFERROR(INDEX('Catalog'!$A:$A,MATCH(TRIM(SUBSTITUTE($B3576,CHAR(160)," ")),'Catalog'!$C:$C,0)),""))))</f>
        <v>4413074</v>
      </c>
      <c r="H3576" s="8" t="str">
        <f aca="false">IFERROR(INDEX('TRANS'!$C:$C,MATCH($B3576,'TRANS'!$A:$A,0)),IFERROR(INDEX('Catalog'!$B:$B,MATCH($G3576,'Catalog'!$A:$A,0)),$B3576))</f>
        <v>41  XL.מ.ברך מוצלב+ספירלות בצד</v>
      </c>
      <c r="I3576" s="8" t="str">
        <f aca="false">IF($G3576="","Unmatched","Matched")</f>
        <v>Matched</v>
      </c>
    </row>
    <row r="3577" customFormat="false" ht="15" hidden="false" customHeight="false" outlineLevel="0" collapsed="false">
      <c r="A3577" s="8" t="s">
        <v>1059</v>
      </c>
      <c r="B3577" s="8" t="s">
        <v>1060</v>
      </c>
      <c r="C3577" s="19" t="n">
        <v>15</v>
      </c>
      <c r="D3577" s="19" t="n">
        <v>1269.86</v>
      </c>
      <c r="E3577" s="19" t="n">
        <v>90</v>
      </c>
      <c r="F3577" s="19" t="n">
        <v>8030.02</v>
      </c>
      <c r="G3577" s="8" t="str">
        <f aca="false">IFERROR(INDEX('TRANS'!$B:$B,MATCH($B3577,'TRANS'!$A:$A,0)),IFERROR(INDEX('TRANS'!$B:$B,MATCH(TRIM(SUBSTITUTE($B3577,CHAR(160)," ")),'TRANS'!$D:$D,0)),IFERROR(INDEX('Catalog'!$A:$A,MATCH($B3577,'Catalog'!$B:$B,0)),IFERROR(INDEX('Catalog'!$A:$A,MATCH(TRIM(SUBSTITUTE($B3577,CHAR(160)," ")),'Catalog'!$C:$C,0)),""))))</f>
        <v/>
      </c>
      <c r="H3577" s="8" t="str">
        <f aca="false">IFERROR(INDEX('TRANS'!$C:$C,MATCH($B3577,'TRANS'!$A:$A,0)),IFERROR(INDEX('Catalog'!$B:$B,MATCH($G3577,'Catalog'!$A:$A,0)),$B3577))</f>
        <v>43BD L</v>
      </c>
      <c r="I3577" s="8" t="str">
        <f aca="false">IF($G3577="","Unmatched","Matched")</f>
        <v>Unmatched</v>
      </c>
    </row>
    <row r="3578" customFormat="false" ht="15" hidden="false" customHeight="false" outlineLevel="0" collapsed="false">
      <c r="A3578" s="8" t="s">
        <v>1059</v>
      </c>
      <c r="B3578" s="8" t="s">
        <v>1061</v>
      </c>
      <c r="C3578" s="19" t="n">
        <v>20</v>
      </c>
      <c r="D3578" s="19" t="n">
        <v>1693.14</v>
      </c>
      <c r="E3578" s="19" t="n">
        <v>75</v>
      </c>
      <c r="F3578" s="19" t="n">
        <v>6740.14</v>
      </c>
      <c r="G3578" s="8" t="str">
        <f aca="false">IFERROR(INDEX('TRANS'!$B:$B,MATCH($B3578,'TRANS'!$A:$A,0)),IFERROR(INDEX('TRANS'!$B:$B,MATCH(TRIM(SUBSTITUTE($B3578,CHAR(160)," ")),'TRANS'!$D:$D,0)),IFERROR(INDEX('Catalog'!$A:$A,MATCH($B3578,'Catalog'!$B:$B,0)),IFERROR(INDEX('Catalog'!$A:$A,MATCH(TRIM(SUBSTITUTE($B3578,CHAR(160)," ")),'Catalog'!$C:$C,0)),""))))</f>
        <v/>
      </c>
      <c r="H3578" s="8" t="str">
        <f aca="false">IFERROR(INDEX('TRANS'!$C:$C,MATCH($B3578,'TRANS'!$A:$A,0)),IFERROR(INDEX('Catalog'!$B:$B,MATCH($G3578,'Catalog'!$A:$A,0)),$B3578))</f>
        <v>43BD M</v>
      </c>
      <c r="I3578" s="8" t="str">
        <f aca="false">IF($G3578="","Unmatched","Matched")</f>
        <v>Unmatched</v>
      </c>
    </row>
    <row r="3579" customFormat="false" ht="15" hidden="false" customHeight="false" outlineLevel="0" collapsed="false">
      <c r="A3579" s="8" t="s">
        <v>1059</v>
      </c>
      <c r="B3579" s="8" t="s">
        <v>1062</v>
      </c>
      <c r="C3579" s="19" t="n">
        <v>0</v>
      </c>
      <c r="D3579" s="19" t="n">
        <v>0</v>
      </c>
      <c r="E3579" s="19" t="n">
        <v>15</v>
      </c>
      <c r="F3579" s="19" t="n">
        <v>1289.87</v>
      </c>
      <c r="G3579" s="8" t="str">
        <f aca="false">IFERROR(INDEX('TRANS'!$B:$B,MATCH($B3579,'TRANS'!$A:$A,0)),IFERROR(INDEX('TRANS'!$B:$B,MATCH(TRIM(SUBSTITUTE($B3579,CHAR(160)," ")),'TRANS'!$D:$D,0)),IFERROR(INDEX('Catalog'!$A:$A,MATCH($B3579,'Catalog'!$B:$B,0)),IFERROR(INDEX('Catalog'!$A:$A,MATCH(TRIM(SUBSTITUTE($B3579,CHAR(160)," ")),'Catalog'!$C:$C,0)),""))))</f>
        <v/>
      </c>
      <c r="H3579" s="8" t="str">
        <f aca="false">IFERROR(INDEX('TRANS'!$C:$C,MATCH($B3579,'TRANS'!$A:$A,0)),IFERROR(INDEX('Catalog'!$B:$B,MATCH($G3579,'Catalog'!$A:$A,0)),$B3579))</f>
        <v>43BD S</v>
      </c>
      <c r="I3579" s="8" t="str">
        <f aca="false">IF($G3579="","Unmatched","Matched")</f>
        <v>Unmatched</v>
      </c>
    </row>
    <row r="3580" customFormat="false" ht="15" hidden="false" customHeight="false" outlineLevel="0" collapsed="false">
      <c r="A3580" s="8" t="s">
        <v>1059</v>
      </c>
      <c r="B3580" s="8" t="s">
        <v>1063</v>
      </c>
      <c r="C3580" s="19" t="n">
        <v>35</v>
      </c>
      <c r="D3580" s="19" t="n">
        <v>2963</v>
      </c>
      <c r="E3580" s="19" t="n">
        <v>100</v>
      </c>
      <c r="F3580" s="19" t="n">
        <v>8841.47</v>
      </c>
      <c r="G3580" s="8" t="str">
        <f aca="false">IFERROR(INDEX('TRANS'!$B:$B,MATCH($B3580,'TRANS'!$A:$A,0)),IFERROR(INDEX('TRANS'!$B:$B,MATCH(TRIM(SUBSTITUTE($B3580,CHAR(160)," ")),'TRANS'!$D:$D,0)),IFERROR(INDEX('Catalog'!$A:$A,MATCH($B3580,'Catalog'!$B:$B,0)),IFERROR(INDEX('Catalog'!$A:$A,MATCH(TRIM(SUBSTITUTE($B3580,CHAR(160)," ")),'Catalog'!$C:$C,0)),""))))</f>
        <v/>
      </c>
      <c r="H3580" s="8" t="str">
        <f aca="false">IFERROR(INDEX('TRANS'!$C:$C,MATCH($B3580,'TRANS'!$A:$A,0)),IFERROR(INDEX('Catalog'!$B:$B,MATCH($G3580,'Catalog'!$A:$A,0)),$B3580))</f>
        <v>43BD XL</v>
      </c>
      <c r="I3580" s="8" t="str">
        <f aca="false">IF($G3580="","Unmatched","Matched")</f>
        <v>Unmatched</v>
      </c>
    </row>
    <row r="3581" customFormat="false" ht="15" hidden="false" customHeight="false" outlineLevel="0" collapsed="false">
      <c r="A3581" s="8" t="s">
        <v>1059</v>
      </c>
      <c r="B3581" s="8" t="s">
        <v>1064</v>
      </c>
      <c r="C3581" s="19" t="n">
        <v>25</v>
      </c>
      <c r="D3581" s="19" t="n">
        <v>2116.43</v>
      </c>
      <c r="E3581" s="19" t="n">
        <v>30</v>
      </c>
      <c r="F3581" s="19" t="n">
        <v>2725.13</v>
      </c>
      <c r="G3581" s="8" t="str">
        <f aca="false">IFERROR(INDEX('TRANS'!$B:$B,MATCH($B3581,'TRANS'!$A:$A,0)),IFERROR(INDEX('TRANS'!$B:$B,MATCH(TRIM(SUBSTITUTE($B3581,CHAR(160)," ")),'TRANS'!$D:$D,0)),IFERROR(INDEX('Catalog'!$A:$A,MATCH($B3581,'Catalog'!$B:$B,0)),IFERROR(INDEX('Catalog'!$A:$A,MATCH(TRIM(SUBSTITUTE($B3581,CHAR(160)," ")),'Catalog'!$C:$C,0)),""))))</f>
        <v/>
      </c>
      <c r="H3581" s="8" t="str">
        <f aca="false">IFERROR(INDEX('TRANS'!$C:$C,MATCH($B3581,'TRANS'!$A:$A,0)),IFERROR(INDEX('Catalog'!$B:$B,MATCH($G3581,'Catalog'!$A:$A,0)),$B3581))</f>
        <v>43BD XXL</v>
      </c>
      <c r="I3581" s="8" t="str">
        <f aca="false">IF($G3581="","Unmatched","Matched")</f>
        <v>Unmatched</v>
      </c>
    </row>
    <row r="3582" customFormat="false" ht="15" hidden="false" customHeight="false" outlineLevel="0" collapsed="false">
      <c r="A3582" s="8" t="s">
        <v>1059</v>
      </c>
      <c r="B3582" s="8" t="s">
        <v>376</v>
      </c>
      <c r="C3582" s="19" t="n">
        <v>200</v>
      </c>
      <c r="D3582" s="19" t="n">
        <v>2096.99</v>
      </c>
      <c r="E3582" s="19" t="n">
        <v>160</v>
      </c>
      <c r="F3582" s="19" t="n">
        <v>1625.18</v>
      </c>
      <c r="G3582" s="8" t="n">
        <f aca="false">IFERROR(INDEX('TRANS'!$B:$B,MATCH($B3582,'TRANS'!$A:$A,0)),IFERROR(INDEX('TRANS'!$B:$B,MATCH(TRIM(SUBSTITUTE($B3582,CHAR(160)," ")),'TRANS'!$D:$D,0)),IFERROR(INDEX('Catalog'!$A:$A,MATCH($B3582,'Catalog'!$B:$B,0)),IFERROR(INDEX('Catalog'!$A:$A,MATCH(TRIM(SUBSTITUTE($B3582,CHAR(160)," ")),'Catalog'!$C:$C,0)),""))))</f>
        <v>4413092</v>
      </c>
      <c r="H3582" s="8" t="str">
        <f aca="false">IFERROR(INDEX('TRANS'!$C:$C,MATCH($B3582,'TRANS'!$A:$A,0)),IFERROR(INDEX('Catalog'!$B:$B,MATCH($G3582,'Catalog'!$A:$A,0)),$B3582))</f>
        <v>45 L מגן ברך לבן</v>
      </c>
      <c r="I3582" s="8" t="str">
        <f aca="false">IF($G3582="","Unmatched","Matched")</f>
        <v>Matched</v>
      </c>
    </row>
    <row r="3583" customFormat="false" ht="15" hidden="false" customHeight="false" outlineLevel="0" collapsed="false">
      <c r="A3583" s="8" t="s">
        <v>1059</v>
      </c>
      <c r="B3583" s="8" t="s">
        <v>377</v>
      </c>
      <c r="C3583" s="19" t="n">
        <v>126</v>
      </c>
      <c r="D3583" s="19" t="n">
        <v>1319.05</v>
      </c>
      <c r="E3583" s="19" t="n">
        <v>137</v>
      </c>
      <c r="F3583" s="19" t="n">
        <v>1413.77</v>
      </c>
      <c r="G3583" s="8" t="n">
        <f aca="false">IFERROR(INDEX('TRANS'!$B:$B,MATCH($B3583,'TRANS'!$A:$A,0)),IFERROR(INDEX('TRANS'!$B:$B,MATCH(TRIM(SUBSTITUTE($B3583,CHAR(160)," ")),'TRANS'!$D:$D,0)),IFERROR(INDEX('Catalog'!$A:$A,MATCH($B3583,'Catalog'!$B:$B,0)),IFERROR(INDEX('Catalog'!$A:$A,MATCH(TRIM(SUBSTITUTE($B3583,CHAR(160)," ")),'Catalog'!$C:$C,0)),""))))</f>
        <v>4413093</v>
      </c>
      <c r="H3583" s="8" t="str">
        <f aca="false">IFERROR(INDEX('TRANS'!$C:$C,MATCH($B3583,'TRANS'!$A:$A,0)),IFERROR(INDEX('Catalog'!$B:$B,MATCH($G3583,'Catalog'!$A:$A,0)),$B3583))</f>
        <v>45 M מגן ברך לבן</v>
      </c>
      <c r="I3583" s="8" t="str">
        <f aca="false">IF($G3583="","Unmatched","Matched")</f>
        <v>Matched</v>
      </c>
    </row>
    <row r="3584" customFormat="false" ht="15" hidden="false" customHeight="false" outlineLevel="0" collapsed="false">
      <c r="A3584" s="8" t="s">
        <v>1059</v>
      </c>
      <c r="B3584" s="8" t="s">
        <v>206</v>
      </c>
      <c r="C3584" s="19" t="n">
        <v>60</v>
      </c>
      <c r="D3584" s="19" t="n">
        <v>677.02</v>
      </c>
      <c r="E3584" s="19" t="n">
        <v>30</v>
      </c>
      <c r="F3584" s="19" t="n">
        <v>326.5</v>
      </c>
      <c r="G3584" s="8" t="n">
        <f aca="false">IFERROR(INDEX('TRANS'!$B:$B,MATCH($B3584,'TRANS'!$A:$A,0)),IFERROR(INDEX('TRANS'!$B:$B,MATCH(TRIM(SUBSTITUTE($B3584,CHAR(160)," ")),'TRANS'!$D:$D,0)),IFERROR(INDEX('Catalog'!$A:$A,MATCH($B3584,'Catalog'!$B:$B,0)),IFERROR(INDEX('Catalog'!$A:$A,MATCH(TRIM(SUBSTITUTE($B3584,CHAR(160)," ")),'Catalog'!$C:$C,0)),""))))</f>
        <v>4413094</v>
      </c>
      <c r="H3584" s="8" t="str">
        <f aca="false">IFERROR(INDEX('TRANS'!$C:$C,MATCH($B3584,'TRANS'!$A:$A,0)),IFERROR(INDEX('Catalog'!$B:$B,MATCH($G3584,'Catalog'!$A:$A,0)),$B3584))</f>
        <v>45 S מגן ברך לבן</v>
      </c>
      <c r="I3584" s="8" t="str">
        <f aca="false">IF($G3584="","Unmatched","Matched")</f>
        <v>Matched</v>
      </c>
    </row>
    <row r="3585" customFormat="false" ht="15" hidden="false" customHeight="false" outlineLevel="0" collapsed="false">
      <c r="A3585" s="8" t="s">
        <v>1059</v>
      </c>
      <c r="B3585" s="8" t="s">
        <v>207</v>
      </c>
      <c r="C3585" s="19" t="n">
        <v>110</v>
      </c>
      <c r="D3585" s="19" t="n">
        <v>1115.69</v>
      </c>
      <c r="E3585" s="19" t="n">
        <v>80</v>
      </c>
      <c r="F3585" s="19" t="n">
        <v>812.59</v>
      </c>
      <c r="G3585" s="8" t="n">
        <f aca="false">IFERROR(INDEX('TRANS'!$B:$B,MATCH($B3585,'TRANS'!$A:$A,0)),IFERROR(INDEX('TRANS'!$B:$B,MATCH(TRIM(SUBSTITUTE($B3585,CHAR(160)," ")),'TRANS'!$D:$D,0)),IFERROR(INDEX('Catalog'!$A:$A,MATCH($B3585,'Catalog'!$B:$B,0)),IFERROR(INDEX('Catalog'!$A:$A,MATCH(TRIM(SUBSTITUTE($B3585,CHAR(160)," ")),'Catalog'!$C:$C,0)),""))))</f>
        <v>4413095</v>
      </c>
      <c r="H3585" s="8" t="str">
        <f aca="false">IFERROR(INDEX('TRANS'!$C:$C,MATCH($B3585,'TRANS'!$A:$A,0)),IFERROR(INDEX('Catalog'!$B:$B,MATCH($G3585,'Catalog'!$A:$A,0)),$B3585))</f>
        <v>45 XL מגן ברך לבן</v>
      </c>
      <c r="I3585" s="8" t="str">
        <f aca="false">IF($G3585="","Unmatched","Matched")</f>
        <v>Matched</v>
      </c>
    </row>
    <row r="3586" customFormat="false" ht="15" hidden="false" customHeight="false" outlineLevel="0" collapsed="false">
      <c r="A3586" s="8" t="s">
        <v>1059</v>
      </c>
      <c r="B3586" s="8" t="s">
        <v>792</v>
      </c>
      <c r="C3586" s="19" t="n">
        <v>10</v>
      </c>
      <c r="D3586" s="19" t="n">
        <v>101.43</v>
      </c>
      <c r="E3586" s="19" t="n">
        <v>5</v>
      </c>
      <c r="F3586" s="19" t="n">
        <v>48.61</v>
      </c>
      <c r="G3586" s="8" t="n">
        <f aca="false">IFERROR(INDEX('TRANS'!$B:$B,MATCH($B3586,'TRANS'!$A:$A,0)),IFERROR(INDEX('TRANS'!$B:$B,MATCH(TRIM(SUBSTITUTE($B3586,CHAR(160)," ")),'TRANS'!$D:$D,0)),IFERROR(INDEX('Catalog'!$A:$A,MATCH($B3586,'Catalog'!$B:$B,0)),IFERROR(INDEX('Catalog'!$A:$A,MATCH(TRIM(SUBSTITUTE($B3586,CHAR(160)," ")),'Catalog'!$C:$C,0)),""))))</f>
        <v>4413332</v>
      </c>
      <c r="H3586" s="8" t="str">
        <f aca="false">IFERROR(INDEX('TRANS'!$C:$C,MATCH($B3586,'TRANS'!$A:$A,0)),IFERROR(INDEX('Catalog'!$B:$B,MATCH($G3586,'Catalog'!$A:$A,0)),$B3586))</f>
        <v>45  XS מגן ברך רגיל לבן</v>
      </c>
      <c r="I3586" s="8" t="str">
        <f aca="false">IF($G3586="","Unmatched","Matched")</f>
        <v>Matched</v>
      </c>
    </row>
    <row r="3587" customFormat="false" ht="15" hidden="false" customHeight="false" outlineLevel="0" collapsed="false">
      <c r="A3587" s="8" t="s">
        <v>1059</v>
      </c>
      <c r="B3587" s="8" t="s">
        <v>382</v>
      </c>
      <c r="C3587" s="19" t="n">
        <v>75</v>
      </c>
      <c r="D3587" s="19" t="n">
        <v>821.55</v>
      </c>
      <c r="E3587" s="19" t="n">
        <v>100</v>
      </c>
      <c r="F3587" s="19" t="n">
        <v>1106.41</v>
      </c>
      <c r="G3587" s="8" t="n">
        <f aca="false">IFERROR(INDEX('TRANS'!$B:$B,MATCH($B3587,'TRANS'!$A:$A,0)),IFERROR(INDEX('TRANS'!$B:$B,MATCH(TRIM(SUBSTITUTE($B3587,CHAR(160)," ")),'TRANS'!$D:$D,0)),IFERROR(INDEX('Catalog'!$A:$A,MATCH($B3587,'Catalog'!$B:$B,0)),IFERROR(INDEX('Catalog'!$A:$A,MATCH(TRIM(SUBSTITUTE($B3587,CHAR(160)," ")),'Catalog'!$C:$C,0)),""))))</f>
        <v>4413102</v>
      </c>
      <c r="H3587" s="8" t="str">
        <f aca="false">IFERROR(INDEX('TRANS'!$C:$C,MATCH($B3587,'TRANS'!$A:$A,0)),IFERROR(INDEX('Catalog'!$B:$B,MATCH($G3587,'Catalog'!$A:$A,0)),$B3587))</f>
        <v>45E  L        מגן ברך ארוך לבן</v>
      </c>
      <c r="I3587" s="8" t="str">
        <f aca="false">IF($G3587="","Unmatched","Matched")</f>
        <v>Matched</v>
      </c>
    </row>
    <row r="3588" customFormat="false" ht="15" hidden="false" customHeight="false" outlineLevel="0" collapsed="false">
      <c r="A3588" s="8" t="s">
        <v>1059</v>
      </c>
      <c r="B3588" s="8" t="s">
        <v>383</v>
      </c>
      <c r="C3588" s="19" t="n">
        <v>50</v>
      </c>
      <c r="D3588" s="19" t="n">
        <v>547.71</v>
      </c>
      <c r="E3588" s="19" t="n">
        <v>65</v>
      </c>
      <c r="F3588" s="19" t="n">
        <v>729.51</v>
      </c>
      <c r="G3588" s="8" t="n">
        <f aca="false">IFERROR(INDEX('TRANS'!$B:$B,MATCH($B3588,'TRANS'!$A:$A,0)),IFERROR(INDEX('TRANS'!$B:$B,MATCH(TRIM(SUBSTITUTE($B3588,CHAR(160)," ")),'TRANS'!$D:$D,0)),IFERROR(INDEX('Catalog'!$A:$A,MATCH($B3588,'Catalog'!$B:$B,0)),IFERROR(INDEX('Catalog'!$A:$A,MATCH(TRIM(SUBSTITUTE($B3588,CHAR(160)," ")),'Catalog'!$C:$C,0)),""))))</f>
        <v>4413103</v>
      </c>
      <c r="H3588" s="8" t="str">
        <f aca="false">IFERROR(INDEX('TRANS'!$C:$C,MATCH($B3588,'TRANS'!$A:$A,0)),IFERROR(INDEX('Catalog'!$B:$B,MATCH($G3588,'Catalog'!$A:$A,0)),$B3588))</f>
        <v>45E Mמגן ברך ארוך לבן</v>
      </c>
      <c r="I3588" s="8" t="str">
        <f aca="false">IF($G3588="","Unmatched","Matched")</f>
        <v>Matched</v>
      </c>
    </row>
    <row r="3589" customFormat="false" ht="15" hidden="false" customHeight="false" outlineLevel="0" collapsed="false">
      <c r="A3589" s="8" t="s">
        <v>1059</v>
      </c>
      <c r="B3589" s="8" t="s">
        <v>384</v>
      </c>
      <c r="C3589" s="19" t="n">
        <v>20</v>
      </c>
      <c r="D3589" s="19" t="n">
        <v>219.08</v>
      </c>
      <c r="E3589" s="19" t="n">
        <v>25</v>
      </c>
      <c r="F3589" s="19" t="n">
        <v>281.31</v>
      </c>
      <c r="G3589" s="8" t="n">
        <f aca="false">IFERROR(INDEX('TRANS'!$B:$B,MATCH($B3589,'TRANS'!$A:$A,0)),IFERROR(INDEX('TRANS'!$B:$B,MATCH(TRIM(SUBSTITUTE($B3589,CHAR(160)," ")),'TRANS'!$D:$D,0)),IFERROR(INDEX('Catalog'!$A:$A,MATCH($B3589,'Catalog'!$B:$B,0)),IFERROR(INDEX('Catalog'!$A:$A,MATCH(TRIM(SUBSTITUTE($B3589,CHAR(160)," ")),'Catalog'!$C:$C,0)),""))))</f>
        <v>4413101</v>
      </c>
      <c r="H3589" s="8" t="str">
        <f aca="false">IFERROR(INDEX('TRANS'!$C:$C,MATCH($B3589,'TRANS'!$A:$A,0)),IFERROR(INDEX('Catalog'!$B:$B,MATCH($G3589,'Catalog'!$A:$A,0)),$B3589))</f>
        <v>45E Sמגן ברך ארוך לבן</v>
      </c>
      <c r="I3589" s="8" t="str">
        <f aca="false">IF($G3589="","Unmatched","Matched")</f>
        <v>Matched</v>
      </c>
    </row>
    <row r="3590" customFormat="false" ht="15" hidden="false" customHeight="false" outlineLevel="0" collapsed="false">
      <c r="A3590" s="8" t="s">
        <v>1059</v>
      </c>
      <c r="B3590" s="8" t="s">
        <v>216</v>
      </c>
      <c r="C3590" s="19" t="n">
        <v>0</v>
      </c>
      <c r="D3590" s="19" t="n">
        <v>0</v>
      </c>
      <c r="E3590" s="19" t="n">
        <v>130</v>
      </c>
      <c r="F3590" s="19" t="n">
        <v>1364.96</v>
      </c>
      <c r="G3590" s="8" t="n">
        <f aca="false">IFERROR(INDEX('TRANS'!$B:$B,MATCH($B3590,'TRANS'!$A:$A,0)),IFERROR(INDEX('TRANS'!$B:$B,MATCH(TRIM(SUBSTITUTE($B3590,CHAR(160)," ")),'TRANS'!$D:$D,0)),IFERROR(INDEX('Catalog'!$A:$A,MATCH($B3590,'Catalog'!$B:$B,0)),IFERROR(INDEX('Catalog'!$A:$A,MATCH(TRIM(SUBSTITUTE($B3590,CHAR(160)," ")),'Catalog'!$C:$C,0)),""))))</f>
        <v>4413104</v>
      </c>
      <c r="H3590" s="8" t="str">
        <f aca="false">IFERROR(INDEX('TRANS'!$C:$C,MATCH($B3590,'TRANS'!$A:$A,0)),IFERROR(INDEX('Catalog'!$B:$B,MATCH($G3590,'Catalog'!$A:$A,0)),$B3590))</f>
        <v>45E XLמגן ברך ארוך לבן</v>
      </c>
      <c r="I3590" s="8" t="str">
        <f aca="false">IF($G3590="","Unmatched","Matched")</f>
        <v>Matched</v>
      </c>
    </row>
    <row r="3591" customFormat="false" ht="15" hidden="false" customHeight="false" outlineLevel="0" collapsed="false">
      <c r="A3591" s="8" t="s">
        <v>1059</v>
      </c>
      <c r="B3591" s="8" t="s">
        <v>217</v>
      </c>
      <c r="C3591" s="19" t="n">
        <v>140</v>
      </c>
      <c r="D3591" s="19" t="n">
        <v>1681.45</v>
      </c>
      <c r="E3591" s="19" t="n">
        <v>100</v>
      </c>
      <c r="F3591" s="19" t="n">
        <v>1106.41</v>
      </c>
      <c r="G3591" s="8" t="n">
        <f aca="false">IFERROR(INDEX('TRANS'!$B:$B,MATCH($B3591,'TRANS'!$A:$A,0)),IFERROR(INDEX('TRANS'!$B:$B,MATCH(TRIM(SUBSTITUTE($B3591,CHAR(160)," ")),'TRANS'!$D:$D,0)),IFERROR(INDEX('Catalog'!$A:$A,MATCH($B3591,'Catalog'!$B:$B,0)),IFERROR(INDEX('Catalog'!$A:$A,MATCH(TRIM(SUBSTITUTE($B3591,CHAR(160)," ")),'Catalog'!$C:$C,0)),""))))</f>
        <v>4413105</v>
      </c>
      <c r="H3591" s="8" t="str">
        <f aca="false">IFERROR(INDEX('TRANS'!$C:$C,MATCH($B3591,'TRANS'!$A:$A,0)),IFERROR(INDEX('Catalog'!$B:$B,MATCH($G3591,'Catalog'!$A:$A,0)),$B3591))</f>
        <v>45E XXLמגן ברך ארוך לבן</v>
      </c>
      <c r="I3591" s="8" t="str">
        <f aca="false">IF($G3591="","Unmatched","Matched")</f>
        <v>Matched</v>
      </c>
    </row>
    <row r="3592" customFormat="false" ht="15" hidden="false" customHeight="false" outlineLevel="0" collapsed="false">
      <c r="A3592" s="8" t="s">
        <v>1059</v>
      </c>
      <c r="B3592" s="8" t="s">
        <v>388</v>
      </c>
      <c r="C3592" s="19" t="n">
        <v>44</v>
      </c>
      <c r="D3592" s="19" t="n">
        <v>486.29</v>
      </c>
      <c r="E3592" s="19" t="n">
        <v>30</v>
      </c>
      <c r="F3592" s="19" t="n">
        <v>317.31</v>
      </c>
      <c r="G3592" s="8" t="n">
        <f aca="false">IFERROR(INDEX('TRANS'!$B:$B,MATCH($B3592,'TRANS'!$A:$A,0)),IFERROR(INDEX('TRANS'!$B:$B,MATCH(TRIM(SUBSTITUTE($B3592,CHAR(160)," ")),'TRANS'!$D:$D,0)),IFERROR(INDEX('Catalog'!$A:$A,MATCH($B3592,'Catalog'!$B:$B,0)),IFERROR(INDEX('Catalog'!$A:$A,MATCH(TRIM(SUBSTITUTE($B3592,CHAR(160)," ")),'Catalog'!$C:$C,0)),""))))</f>
        <v>4413112</v>
      </c>
      <c r="H3592" s="8" t="str">
        <f aca="false">IFERROR(INDEX('TRANS'!$C:$C,MATCH($B3592,'TRANS'!$A:$A,0)),IFERROR(INDEX('Catalog'!$B:$B,MATCH($G3592,'Catalog'!$A:$A,0)),$B3592))</f>
        <v>49  L מגן ירך</v>
      </c>
      <c r="I3592" s="8" t="str">
        <f aca="false">IF($G3592="","Unmatched","Matched")</f>
        <v>Matched</v>
      </c>
    </row>
    <row r="3593" customFormat="false" ht="15" hidden="false" customHeight="false" outlineLevel="0" collapsed="false">
      <c r="A3593" s="8" t="s">
        <v>1059</v>
      </c>
      <c r="B3593" s="8" t="s">
        <v>389</v>
      </c>
      <c r="C3593" s="19" t="n">
        <v>24</v>
      </c>
      <c r="D3593" s="19" t="n">
        <v>278.03</v>
      </c>
      <c r="E3593" s="19" t="n">
        <v>10</v>
      </c>
      <c r="F3593" s="19" t="n">
        <v>99.82</v>
      </c>
      <c r="G3593" s="8" t="n">
        <f aca="false">IFERROR(INDEX('TRANS'!$B:$B,MATCH($B3593,'TRANS'!$A:$A,0)),IFERROR(INDEX('TRANS'!$B:$B,MATCH(TRIM(SUBSTITUTE($B3593,CHAR(160)," ")),'TRANS'!$D:$D,0)),IFERROR(INDEX('Catalog'!$A:$A,MATCH($B3593,'Catalog'!$B:$B,0)),IFERROR(INDEX('Catalog'!$A:$A,MATCH(TRIM(SUBSTITUTE($B3593,CHAR(160)," ")),'Catalog'!$C:$C,0)),""))))</f>
        <v>4413113</v>
      </c>
      <c r="H3593" s="8" t="str">
        <f aca="false">IFERROR(INDEX('TRANS'!$C:$C,MATCH($B3593,'TRANS'!$A:$A,0)),IFERROR(INDEX('Catalog'!$B:$B,MATCH($G3593,'Catalog'!$A:$A,0)),$B3593))</f>
        <v>49  M מגן ירך</v>
      </c>
      <c r="I3593" s="8" t="str">
        <f aca="false">IF($G3593="","Unmatched","Matched")</f>
        <v>Matched</v>
      </c>
    </row>
    <row r="3594" customFormat="false" ht="15" hidden="false" customHeight="false" outlineLevel="0" collapsed="false">
      <c r="A3594" s="8" t="s">
        <v>1059</v>
      </c>
      <c r="B3594" s="8" t="s">
        <v>390</v>
      </c>
      <c r="C3594" s="19" t="n">
        <v>5</v>
      </c>
      <c r="D3594" s="19" t="n">
        <v>52.06</v>
      </c>
      <c r="E3594" s="19" t="n">
        <v>5</v>
      </c>
      <c r="F3594" s="19" t="n">
        <v>49.9</v>
      </c>
      <c r="G3594" s="8" t="n">
        <f aca="false">IFERROR(INDEX('TRANS'!$B:$B,MATCH($B3594,'TRANS'!$A:$A,0)),IFERROR(INDEX('TRANS'!$B:$B,MATCH(TRIM(SUBSTITUTE($B3594,CHAR(160)," ")),'TRANS'!$D:$D,0)),IFERROR(INDEX('Catalog'!$A:$A,MATCH($B3594,'Catalog'!$B:$B,0)),IFERROR(INDEX('Catalog'!$A:$A,MATCH(TRIM(SUBSTITUTE($B3594,CHAR(160)," ")),'Catalog'!$C:$C,0)),""))))</f>
        <v>4413111</v>
      </c>
      <c r="H3594" s="8" t="str">
        <f aca="false">IFERROR(INDEX('TRANS'!$C:$C,MATCH($B3594,'TRANS'!$A:$A,0)),IFERROR(INDEX('Catalog'!$B:$B,MATCH($G3594,'Catalog'!$A:$A,0)),$B3594))</f>
        <v>49  S מגן ירך</v>
      </c>
      <c r="I3594" s="8" t="str">
        <f aca="false">IF($G3594="","Unmatched","Matched")</f>
        <v>Matched</v>
      </c>
    </row>
    <row r="3595" customFormat="false" ht="15" hidden="false" customHeight="false" outlineLevel="0" collapsed="false">
      <c r="A3595" s="8" t="s">
        <v>1059</v>
      </c>
      <c r="B3595" s="8" t="s">
        <v>391</v>
      </c>
      <c r="C3595" s="19" t="n">
        <v>34</v>
      </c>
      <c r="D3595" s="19" t="n">
        <v>382.16</v>
      </c>
      <c r="E3595" s="19" t="n">
        <v>25</v>
      </c>
      <c r="F3595" s="19" t="n">
        <v>285.29</v>
      </c>
      <c r="G3595" s="8" t="n">
        <f aca="false">IFERROR(INDEX('TRANS'!$B:$B,MATCH($B3595,'TRANS'!$A:$A,0)),IFERROR(INDEX('TRANS'!$B:$B,MATCH(TRIM(SUBSTITUTE($B3595,CHAR(160)," ")),'TRANS'!$D:$D,0)),IFERROR(INDEX('Catalog'!$A:$A,MATCH($B3595,'Catalog'!$B:$B,0)),IFERROR(INDEX('Catalog'!$A:$A,MATCH(TRIM(SUBSTITUTE($B3595,CHAR(160)," ")),'Catalog'!$C:$C,0)),""))))</f>
        <v>4413114</v>
      </c>
      <c r="H3595" s="8" t="str">
        <f aca="false">IFERROR(INDEX('TRANS'!$C:$C,MATCH($B3595,'TRANS'!$A:$A,0)),IFERROR(INDEX('Catalog'!$B:$B,MATCH($G3595,'Catalog'!$A:$A,0)),$B3595))</f>
        <v>49 XL מגן ירך</v>
      </c>
      <c r="I3595" s="8" t="str">
        <f aca="false">IF($G3595="","Unmatched","Matched")</f>
        <v>Matched</v>
      </c>
    </row>
    <row r="3596" customFormat="false" ht="15" hidden="false" customHeight="false" outlineLevel="0" collapsed="false">
      <c r="A3596" s="8" t="s">
        <v>1059</v>
      </c>
      <c r="B3596" s="8" t="s">
        <v>597</v>
      </c>
      <c r="C3596" s="19" t="n">
        <v>27</v>
      </c>
      <c r="D3596" s="19" t="n">
        <v>295.22</v>
      </c>
      <c r="E3596" s="19" t="n">
        <v>20</v>
      </c>
      <c r="F3596" s="19" t="n">
        <v>235.39</v>
      </c>
      <c r="G3596" s="8" t="n">
        <f aca="false">IFERROR(INDEX('TRANS'!$B:$B,MATCH($B3596,'TRANS'!$A:$A,0)),IFERROR(INDEX('TRANS'!$B:$B,MATCH(TRIM(SUBSTITUTE($B3596,CHAR(160)," ")),'TRANS'!$D:$D,0)),IFERROR(INDEX('Catalog'!$A:$A,MATCH($B3596,'Catalog'!$B:$B,0)),IFERROR(INDEX('Catalog'!$A:$A,MATCH(TRIM(SUBSTITUTE($B3596,CHAR(160)," ")),'Catalog'!$C:$C,0)),""))))</f>
        <v>4413115</v>
      </c>
      <c r="H3596" s="8" t="str">
        <f aca="false">IFERROR(INDEX('TRANS'!$C:$C,MATCH($B3596,'TRANS'!$A:$A,0)),IFERROR(INDEX('Catalog'!$B:$B,MATCH($G3596,'Catalog'!$A:$A,0)),$B3596))</f>
        <v>49 XXL מגן ירך</v>
      </c>
      <c r="I3596" s="8" t="str">
        <f aca="false">IF($G3596="","Unmatched","Matched")</f>
        <v>Matched</v>
      </c>
    </row>
    <row r="3597" customFormat="false" ht="15" hidden="false" customHeight="false" outlineLevel="0" collapsed="false">
      <c r="A3597" s="8" t="s">
        <v>1059</v>
      </c>
      <c r="B3597" s="8" t="s">
        <v>749</v>
      </c>
      <c r="C3597" s="19" t="n">
        <v>5</v>
      </c>
      <c r="D3597" s="19" t="n">
        <v>445.48</v>
      </c>
      <c r="E3597" s="19" t="n">
        <v>0</v>
      </c>
      <c r="F3597" s="19" t="n">
        <v>0</v>
      </c>
      <c r="G3597" s="8" t="str">
        <f aca="false">IFERROR(INDEX('TRANS'!$B:$B,MATCH($B3597,'TRANS'!$A:$A,0)),IFERROR(INDEX('TRANS'!$B:$B,MATCH(TRIM(SUBSTITUTE($B3597,CHAR(160)," ")),'TRANS'!$D:$D,0)),IFERROR(INDEX('Catalog'!$A:$A,MATCH($B3597,'Catalog'!$B:$B,0)),IFERROR(INDEX('Catalog'!$A:$A,MATCH(TRIM(SUBSTITUTE($B3597,CHAR(160)," ")),'Catalog'!$C:$C,0)),""))))</f>
        <v/>
      </c>
      <c r="H3597" s="8" t="str">
        <f aca="false">IFERROR(INDEX('TRANS'!$C:$C,MATCH($B3597,'TRANS'!$A:$A,0)),IFERROR(INDEX('Catalog'!$B:$B,MATCH($G3597,'Catalog'!$A:$A,0)),$B3597))</f>
        <v>59DB L</v>
      </c>
      <c r="I3597" s="8" t="str">
        <f aca="false">IF($G3597="","Unmatched","Matched")</f>
        <v>Unmatched</v>
      </c>
    </row>
    <row r="3598" customFormat="false" ht="15" hidden="false" customHeight="false" outlineLevel="0" collapsed="false">
      <c r="A3598" s="8" t="s">
        <v>1059</v>
      </c>
      <c r="B3598" s="8" t="s">
        <v>750</v>
      </c>
      <c r="C3598" s="19" t="n">
        <v>5</v>
      </c>
      <c r="D3598" s="19" t="n">
        <v>445.48</v>
      </c>
      <c r="E3598" s="19" t="n">
        <v>0</v>
      </c>
      <c r="F3598" s="19" t="n">
        <v>0</v>
      </c>
      <c r="G3598" s="8" t="str">
        <f aca="false">IFERROR(INDEX('TRANS'!$B:$B,MATCH($B3598,'TRANS'!$A:$A,0)),IFERROR(INDEX('TRANS'!$B:$B,MATCH(TRIM(SUBSTITUTE($B3598,CHAR(160)," ")),'TRANS'!$D:$D,0)),IFERROR(INDEX('Catalog'!$A:$A,MATCH($B3598,'Catalog'!$B:$B,0)),IFERROR(INDEX('Catalog'!$A:$A,MATCH(TRIM(SUBSTITUTE($B3598,CHAR(160)," ")),'Catalog'!$C:$C,0)),""))))</f>
        <v/>
      </c>
      <c r="H3598" s="8" t="str">
        <f aca="false">IFERROR(INDEX('TRANS'!$C:$C,MATCH($B3598,'TRANS'!$A:$A,0)),IFERROR(INDEX('Catalog'!$B:$B,MATCH($G3598,'Catalog'!$A:$A,0)),$B3598))</f>
        <v>59DB M</v>
      </c>
      <c r="I3598" s="8" t="str">
        <f aca="false">IF($G3598="","Unmatched","Matched")</f>
        <v>Unmatched</v>
      </c>
    </row>
    <row r="3599" customFormat="false" ht="15" hidden="false" customHeight="false" outlineLevel="0" collapsed="false">
      <c r="A3599" s="8" t="s">
        <v>1059</v>
      </c>
      <c r="B3599" s="8" t="s">
        <v>969</v>
      </c>
      <c r="C3599" s="19" t="n">
        <v>5</v>
      </c>
      <c r="D3599" s="19" t="n">
        <v>445.48</v>
      </c>
      <c r="E3599" s="19" t="n">
        <v>0</v>
      </c>
      <c r="F3599" s="19" t="n">
        <v>0</v>
      </c>
      <c r="G3599" s="8" t="str">
        <f aca="false">IFERROR(INDEX('TRANS'!$B:$B,MATCH($B3599,'TRANS'!$A:$A,0)),IFERROR(INDEX('TRANS'!$B:$B,MATCH(TRIM(SUBSTITUTE($B3599,CHAR(160)," ")),'TRANS'!$D:$D,0)),IFERROR(INDEX('Catalog'!$A:$A,MATCH($B3599,'Catalog'!$B:$B,0)),IFERROR(INDEX('Catalog'!$A:$A,MATCH(TRIM(SUBSTITUTE($B3599,CHAR(160)," ")),'Catalog'!$C:$C,0)),""))))</f>
        <v/>
      </c>
      <c r="H3599" s="8" t="str">
        <f aca="false">IFERROR(INDEX('TRANS'!$C:$C,MATCH($B3599,'TRANS'!$A:$A,0)),IFERROR(INDEX('Catalog'!$B:$B,MATCH($G3599,'Catalog'!$A:$A,0)),$B3599))</f>
        <v>59DB S</v>
      </c>
      <c r="I3599" s="8" t="str">
        <f aca="false">IF($G3599="","Unmatched","Matched")</f>
        <v>Unmatched</v>
      </c>
    </row>
    <row r="3600" customFormat="false" ht="15" hidden="false" customHeight="false" outlineLevel="0" collapsed="false">
      <c r="A3600" s="8" t="s">
        <v>1059</v>
      </c>
      <c r="B3600" s="8" t="s">
        <v>970</v>
      </c>
      <c r="C3600" s="19" t="n">
        <v>5</v>
      </c>
      <c r="D3600" s="19" t="n">
        <v>445.48</v>
      </c>
      <c r="E3600" s="19" t="n">
        <v>0</v>
      </c>
      <c r="F3600" s="19" t="n">
        <v>0</v>
      </c>
      <c r="G3600" s="8" t="str">
        <f aca="false">IFERROR(INDEX('TRANS'!$B:$B,MATCH($B3600,'TRANS'!$A:$A,0)),IFERROR(INDEX('TRANS'!$B:$B,MATCH(TRIM(SUBSTITUTE($B3600,CHAR(160)," ")),'TRANS'!$D:$D,0)),IFERROR(INDEX('Catalog'!$A:$A,MATCH($B3600,'Catalog'!$B:$B,0)),IFERROR(INDEX('Catalog'!$A:$A,MATCH(TRIM(SUBSTITUTE($B3600,CHAR(160)," ")),'Catalog'!$C:$C,0)),""))))</f>
        <v/>
      </c>
      <c r="H3600" s="8" t="str">
        <f aca="false">IFERROR(INDEX('TRANS'!$C:$C,MATCH($B3600,'TRANS'!$A:$A,0)),IFERROR(INDEX('Catalog'!$B:$B,MATCH($G3600,'Catalog'!$A:$A,0)),$B3600))</f>
        <v>59DB XL</v>
      </c>
      <c r="I3600" s="8" t="str">
        <f aca="false">IF($G3600="","Unmatched","Matched")</f>
        <v>Unmatched</v>
      </c>
    </row>
    <row r="3601" customFormat="false" ht="15" hidden="false" customHeight="false" outlineLevel="0" collapsed="false">
      <c r="A3601" s="8" t="s">
        <v>1059</v>
      </c>
      <c r="B3601" s="8" t="s">
        <v>1065</v>
      </c>
      <c r="C3601" s="19" t="n">
        <v>5</v>
      </c>
      <c r="D3601" s="19" t="n">
        <v>445.48</v>
      </c>
      <c r="E3601" s="19" t="n">
        <v>0</v>
      </c>
      <c r="F3601" s="19" t="n">
        <v>0</v>
      </c>
      <c r="G3601" s="8" t="str">
        <f aca="false">IFERROR(INDEX('TRANS'!$B:$B,MATCH($B3601,'TRANS'!$A:$A,0)),IFERROR(INDEX('TRANS'!$B:$B,MATCH(TRIM(SUBSTITUTE($B3601,CHAR(160)," ")),'TRANS'!$D:$D,0)),IFERROR(INDEX('Catalog'!$A:$A,MATCH($B3601,'Catalog'!$B:$B,0)),IFERROR(INDEX('Catalog'!$A:$A,MATCH(TRIM(SUBSTITUTE($B3601,CHAR(160)," ")),'Catalog'!$C:$C,0)),""))))</f>
        <v/>
      </c>
      <c r="H3601" s="8" t="str">
        <f aca="false">IFERROR(INDEX('TRANS'!$C:$C,MATCH($B3601,'TRANS'!$A:$A,0)),IFERROR(INDEX('Catalog'!$B:$B,MATCH($G3601,'Catalog'!$A:$A,0)),$B3601))</f>
        <v>59DB XXL</v>
      </c>
      <c r="I3601" s="8" t="str">
        <f aca="false">IF($G3601="","Unmatched","Matched")</f>
        <v>Unmatched</v>
      </c>
    </row>
    <row r="3602" customFormat="false" ht="15" hidden="false" customHeight="false" outlineLevel="0" collapsed="false">
      <c r="A3602" s="8" t="s">
        <v>1059</v>
      </c>
      <c r="B3602" s="8" t="s">
        <v>492</v>
      </c>
      <c r="C3602" s="19" t="n">
        <v>5</v>
      </c>
      <c r="D3602" s="19" t="n">
        <v>405.71</v>
      </c>
      <c r="E3602" s="19" t="n">
        <v>3</v>
      </c>
      <c r="F3602" s="19" t="n">
        <v>233.33</v>
      </c>
      <c r="G3602" s="8" t="str">
        <f aca="false">IFERROR(INDEX('TRANS'!$B:$B,MATCH($B3602,'TRANS'!$A:$A,0)),IFERROR(INDEX('TRANS'!$B:$B,MATCH(TRIM(SUBSTITUTE($B3602,CHAR(160)," ")),'TRANS'!$D:$D,0)),IFERROR(INDEX('Catalog'!$A:$A,MATCH($B3602,'Catalog'!$B:$B,0)),IFERROR(INDEX('Catalog'!$A:$A,MATCH(TRIM(SUBSTITUTE($B3602,CHAR(160)," ")),'Catalog'!$C:$C,0)),""))))</f>
        <v/>
      </c>
      <c r="H3602" s="8" t="str">
        <f aca="false">IFERROR(INDEX('TRANS'!$C:$C,MATCH($B3602,'TRANS'!$A:$A,0)),IFERROR(INDEX('Catalog'!$B:$B,MATCH($G3602,'Catalog'!$A:$A,0)),$B3602))</f>
        <v>59LB L</v>
      </c>
      <c r="I3602" s="8" t="str">
        <f aca="false">IF($G3602="","Unmatched","Matched")</f>
        <v>Unmatched</v>
      </c>
    </row>
    <row r="3603" customFormat="false" ht="15" hidden="false" customHeight="false" outlineLevel="0" collapsed="false">
      <c r="A3603" s="8" t="s">
        <v>1059</v>
      </c>
      <c r="B3603" s="8" t="s">
        <v>971</v>
      </c>
      <c r="C3603" s="19" t="n">
        <v>5</v>
      </c>
      <c r="D3603" s="19" t="n">
        <v>405.71</v>
      </c>
      <c r="E3603" s="19" t="n">
        <v>3</v>
      </c>
      <c r="F3603" s="19" t="n">
        <v>233.33</v>
      </c>
      <c r="G3603" s="8" t="str">
        <f aca="false">IFERROR(INDEX('TRANS'!$B:$B,MATCH($B3603,'TRANS'!$A:$A,0)),IFERROR(INDEX('TRANS'!$B:$B,MATCH(TRIM(SUBSTITUTE($B3603,CHAR(160)," ")),'TRANS'!$D:$D,0)),IFERROR(INDEX('Catalog'!$A:$A,MATCH($B3603,'Catalog'!$B:$B,0)),IFERROR(INDEX('Catalog'!$A:$A,MATCH(TRIM(SUBSTITUTE($B3603,CHAR(160)," ")),'Catalog'!$C:$C,0)),""))))</f>
        <v/>
      </c>
      <c r="H3603" s="8" t="str">
        <f aca="false">IFERROR(INDEX('TRANS'!$C:$C,MATCH($B3603,'TRANS'!$A:$A,0)),IFERROR(INDEX('Catalog'!$B:$B,MATCH($G3603,'Catalog'!$A:$A,0)),$B3603))</f>
        <v>59LB M</v>
      </c>
      <c r="I3603" s="8" t="str">
        <f aca="false">IF($G3603="","Unmatched","Matched")</f>
        <v>Unmatched</v>
      </c>
    </row>
    <row r="3604" customFormat="false" ht="15" hidden="false" customHeight="false" outlineLevel="0" collapsed="false">
      <c r="A3604" s="8" t="s">
        <v>1059</v>
      </c>
      <c r="B3604" s="8" t="s">
        <v>1066</v>
      </c>
      <c r="C3604" s="19" t="n">
        <v>5</v>
      </c>
      <c r="D3604" s="19" t="n">
        <v>405.71</v>
      </c>
      <c r="E3604" s="19" t="n">
        <v>0</v>
      </c>
      <c r="F3604" s="19" t="n">
        <v>0</v>
      </c>
      <c r="G3604" s="8" t="str">
        <f aca="false">IFERROR(INDEX('TRANS'!$B:$B,MATCH($B3604,'TRANS'!$A:$A,0)),IFERROR(INDEX('TRANS'!$B:$B,MATCH(TRIM(SUBSTITUTE($B3604,CHAR(160)," ")),'TRANS'!$D:$D,0)),IFERROR(INDEX('Catalog'!$A:$A,MATCH($B3604,'Catalog'!$B:$B,0)),IFERROR(INDEX('Catalog'!$A:$A,MATCH(TRIM(SUBSTITUTE($B3604,CHAR(160)," ")),'Catalog'!$C:$C,0)),""))))</f>
        <v/>
      </c>
      <c r="H3604" s="8" t="str">
        <f aca="false">IFERROR(INDEX('TRANS'!$C:$C,MATCH($B3604,'TRANS'!$A:$A,0)),IFERROR(INDEX('Catalog'!$B:$B,MATCH($G3604,'Catalog'!$A:$A,0)),$B3604))</f>
        <v>59LB S</v>
      </c>
      <c r="I3604" s="8" t="str">
        <f aca="false">IF($G3604="","Unmatched","Matched")</f>
        <v>Unmatched</v>
      </c>
    </row>
    <row r="3605" customFormat="false" ht="15" hidden="false" customHeight="false" outlineLevel="0" collapsed="false">
      <c r="A3605" s="8" t="s">
        <v>1059</v>
      </c>
      <c r="B3605" s="8" t="s">
        <v>1067</v>
      </c>
      <c r="C3605" s="19" t="n">
        <v>5</v>
      </c>
      <c r="D3605" s="19" t="n">
        <v>405.71</v>
      </c>
      <c r="E3605" s="19" t="n">
        <v>0</v>
      </c>
      <c r="F3605" s="19" t="n">
        <v>0</v>
      </c>
      <c r="G3605" s="8" t="str">
        <f aca="false">IFERROR(INDEX('TRANS'!$B:$B,MATCH($B3605,'TRANS'!$A:$A,0)),IFERROR(INDEX('TRANS'!$B:$B,MATCH(TRIM(SUBSTITUTE($B3605,CHAR(160)," ")),'TRANS'!$D:$D,0)),IFERROR(INDEX('Catalog'!$A:$A,MATCH($B3605,'Catalog'!$B:$B,0)),IFERROR(INDEX('Catalog'!$A:$A,MATCH(TRIM(SUBSTITUTE($B3605,CHAR(160)," ")),'Catalog'!$C:$C,0)),""))))</f>
        <v/>
      </c>
      <c r="H3605" s="8" t="str">
        <f aca="false">IFERROR(INDEX('TRANS'!$C:$C,MATCH($B3605,'TRANS'!$A:$A,0)),IFERROR(INDEX('Catalog'!$B:$B,MATCH($G3605,'Catalog'!$A:$A,0)),$B3605))</f>
        <v>59LB XL</v>
      </c>
      <c r="I3605" s="8" t="str">
        <f aca="false">IF($G3605="","Unmatched","Matched")</f>
        <v>Unmatched</v>
      </c>
    </row>
    <row r="3606" customFormat="false" ht="15" hidden="false" customHeight="false" outlineLevel="0" collapsed="false">
      <c r="A3606" s="8" t="s">
        <v>1059</v>
      </c>
      <c r="B3606" s="8" t="s">
        <v>1068</v>
      </c>
      <c r="C3606" s="19" t="n">
        <v>5</v>
      </c>
      <c r="D3606" s="19" t="n">
        <v>405.71</v>
      </c>
      <c r="E3606" s="19" t="n">
        <v>0</v>
      </c>
      <c r="F3606" s="19" t="n">
        <v>0</v>
      </c>
      <c r="G3606" s="8" t="str">
        <f aca="false">IFERROR(INDEX('TRANS'!$B:$B,MATCH($B3606,'TRANS'!$A:$A,0)),IFERROR(INDEX('TRANS'!$B:$B,MATCH(TRIM(SUBSTITUTE($B3606,CHAR(160)," ")),'TRANS'!$D:$D,0)),IFERROR(INDEX('Catalog'!$A:$A,MATCH($B3606,'Catalog'!$B:$B,0)),IFERROR(INDEX('Catalog'!$A:$A,MATCH(TRIM(SUBSTITUTE($B3606,CHAR(160)," ")),'Catalog'!$C:$C,0)),""))))</f>
        <v/>
      </c>
      <c r="H3606" s="8" t="str">
        <f aca="false">IFERROR(INDEX('TRANS'!$C:$C,MATCH($B3606,'TRANS'!$A:$A,0)),IFERROR(INDEX('Catalog'!$B:$B,MATCH($G3606,'Catalog'!$A:$A,0)),$B3606))</f>
        <v>59LB XXL</v>
      </c>
      <c r="I3606" s="8" t="str">
        <f aca="false">IF($G3606="","Unmatched","Matched")</f>
        <v>Unmatched</v>
      </c>
    </row>
    <row r="3607" customFormat="false" ht="15" hidden="false" customHeight="false" outlineLevel="0" collapsed="false">
      <c r="A3607" s="8" t="s">
        <v>1059</v>
      </c>
      <c r="B3607" s="8" t="s">
        <v>972</v>
      </c>
      <c r="C3607" s="19" t="n">
        <v>5</v>
      </c>
      <c r="D3607" s="19" t="n">
        <v>405.71</v>
      </c>
      <c r="E3607" s="19" t="n">
        <v>3</v>
      </c>
      <c r="F3607" s="19" t="n">
        <v>233.33</v>
      </c>
      <c r="G3607" s="8" t="str">
        <f aca="false">IFERROR(INDEX('TRANS'!$B:$B,MATCH($B3607,'TRANS'!$A:$A,0)),IFERROR(INDEX('TRANS'!$B:$B,MATCH(TRIM(SUBSTITUTE($B3607,CHAR(160)," ")),'TRANS'!$D:$D,0)),IFERROR(INDEX('Catalog'!$A:$A,MATCH($B3607,'Catalog'!$B:$B,0)),IFERROR(INDEX('Catalog'!$A:$A,MATCH(TRIM(SUBSTITUTE($B3607,CHAR(160)," ")),'Catalog'!$C:$C,0)),""))))</f>
        <v/>
      </c>
      <c r="H3607" s="8" t="str">
        <f aca="false">IFERROR(INDEX('TRANS'!$C:$C,MATCH($B3607,'TRANS'!$A:$A,0)),IFERROR(INDEX('Catalog'!$B:$B,MATCH($G3607,'Catalog'!$A:$A,0)),$B3607))</f>
        <v>59RB L</v>
      </c>
      <c r="I3607" s="8" t="str">
        <f aca="false">IF($G3607="","Unmatched","Matched")</f>
        <v>Unmatched</v>
      </c>
    </row>
    <row r="3608" customFormat="false" ht="15" hidden="false" customHeight="false" outlineLevel="0" collapsed="false">
      <c r="A3608" s="8" t="s">
        <v>1059</v>
      </c>
      <c r="B3608" s="8" t="s">
        <v>973</v>
      </c>
      <c r="C3608" s="19" t="n">
        <v>5</v>
      </c>
      <c r="D3608" s="19" t="n">
        <v>405.71</v>
      </c>
      <c r="E3608" s="19" t="n">
        <v>3</v>
      </c>
      <c r="F3608" s="19" t="n">
        <v>233.33</v>
      </c>
      <c r="G3608" s="8" t="str">
        <f aca="false">IFERROR(INDEX('TRANS'!$B:$B,MATCH($B3608,'TRANS'!$A:$A,0)),IFERROR(INDEX('TRANS'!$B:$B,MATCH(TRIM(SUBSTITUTE($B3608,CHAR(160)," ")),'TRANS'!$D:$D,0)),IFERROR(INDEX('Catalog'!$A:$A,MATCH($B3608,'Catalog'!$B:$B,0)),IFERROR(INDEX('Catalog'!$A:$A,MATCH(TRIM(SUBSTITUTE($B3608,CHAR(160)," ")),'Catalog'!$C:$C,0)),""))))</f>
        <v/>
      </c>
      <c r="H3608" s="8" t="str">
        <f aca="false">IFERROR(INDEX('TRANS'!$C:$C,MATCH($B3608,'TRANS'!$A:$A,0)),IFERROR(INDEX('Catalog'!$B:$B,MATCH($G3608,'Catalog'!$A:$A,0)),$B3608))</f>
        <v>59RB M</v>
      </c>
      <c r="I3608" s="8" t="str">
        <f aca="false">IF($G3608="","Unmatched","Matched")</f>
        <v>Unmatched</v>
      </c>
    </row>
    <row r="3609" customFormat="false" ht="15" hidden="false" customHeight="false" outlineLevel="0" collapsed="false">
      <c r="A3609" s="8" t="s">
        <v>1059</v>
      </c>
      <c r="B3609" s="8" t="s">
        <v>1069</v>
      </c>
      <c r="C3609" s="19" t="n">
        <v>5</v>
      </c>
      <c r="D3609" s="19" t="n">
        <v>405.71</v>
      </c>
      <c r="E3609" s="19" t="n">
        <v>0</v>
      </c>
      <c r="F3609" s="19" t="n">
        <v>0</v>
      </c>
      <c r="G3609" s="8" t="str">
        <f aca="false">IFERROR(INDEX('TRANS'!$B:$B,MATCH($B3609,'TRANS'!$A:$A,0)),IFERROR(INDEX('TRANS'!$B:$B,MATCH(TRIM(SUBSTITUTE($B3609,CHAR(160)," ")),'TRANS'!$D:$D,0)),IFERROR(INDEX('Catalog'!$A:$A,MATCH($B3609,'Catalog'!$B:$B,0)),IFERROR(INDEX('Catalog'!$A:$A,MATCH(TRIM(SUBSTITUTE($B3609,CHAR(160)," ")),'Catalog'!$C:$C,0)),""))))</f>
        <v/>
      </c>
      <c r="H3609" s="8" t="str">
        <f aca="false">IFERROR(INDEX('TRANS'!$C:$C,MATCH($B3609,'TRANS'!$A:$A,0)),IFERROR(INDEX('Catalog'!$B:$B,MATCH($G3609,'Catalog'!$A:$A,0)),$B3609))</f>
        <v>59RB S</v>
      </c>
      <c r="I3609" s="8" t="str">
        <f aca="false">IF($G3609="","Unmatched","Matched")</f>
        <v>Unmatched</v>
      </c>
    </row>
    <row r="3610" customFormat="false" ht="15" hidden="false" customHeight="false" outlineLevel="0" collapsed="false">
      <c r="A3610" s="8" t="s">
        <v>1059</v>
      </c>
      <c r="B3610" s="8" t="s">
        <v>974</v>
      </c>
      <c r="C3610" s="19" t="n">
        <v>5</v>
      </c>
      <c r="D3610" s="19" t="n">
        <v>405.71</v>
      </c>
      <c r="E3610" s="19" t="n">
        <v>0</v>
      </c>
      <c r="F3610" s="19" t="n">
        <v>0</v>
      </c>
      <c r="G3610" s="8" t="str">
        <f aca="false">IFERROR(INDEX('TRANS'!$B:$B,MATCH($B3610,'TRANS'!$A:$A,0)),IFERROR(INDEX('TRANS'!$B:$B,MATCH(TRIM(SUBSTITUTE($B3610,CHAR(160)," ")),'TRANS'!$D:$D,0)),IFERROR(INDEX('Catalog'!$A:$A,MATCH($B3610,'Catalog'!$B:$B,0)),IFERROR(INDEX('Catalog'!$A:$A,MATCH(TRIM(SUBSTITUTE($B3610,CHAR(160)," ")),'Catalog'!$C:$C,0)),""))))</f>
        <v/>
      </c>
      <c r="H3610" s="8" t="str">
        <f aca="false">IFERROR(INDEX('TRANS'!$C:$C,MATCH($B3610,'TRANS'!$A:$A,0)),IFERROR(INDEX('Catalog'!$B:$B,MATCH($G3610,'Catalog'!$A:$A,0)),$B3610))</f>
        <v>59RB XL</v>
      </c>
      <c r="I3610" s="8" t="str">
        <f aca="false">IF($G3610="","Unmatched","Matched")</f>
        <v>Unmatched</v>
      </c>
    </row>
    <row r="3611" customFormat="false" ht="15" hidden="false" customHeight="false" outlineLevel="0" collapsed="false">
      <c r="A3611" s="8" t="s">
        <v>1059</v>
      </c>
      <c r="B3611" s="8" t="s">
        <v>975</v>
      </c>
      <c r="C3611" s="19" t="n">
        <v>5</v>
      </c>
      <c r="D3611" s="19" t="n">
        <v>405.71</v>
      </c>
      <c r="E3611" s="19" t="n">
        <v>0</v>
      </c>
      <c r="F3611" s="19" t="n">
        <v>0</v>
      </c>
      <c r="G3611" s="8" t="str">
        <f aca="false">IFERROR(INDEX('TRANS'!$B:$B,MATCH($B3611,'TRANS'!$A:$A,0)),IFERROR(INDEX('TRANS'!$B:$B,MATCH(TRIM(SUBSTITUTE($B3611,CHAR(160)," ")),'TRANS'!$D:$D,0)),IFERROR(INDEX('Catalog'!$A:$A,MATCH($B3611,'Catalog'!$B:$B,0)),IFERROR(INDEX('Catalog'!$A:$A,MATCH(TRIM(SUBSTITUTE($B3611,CHAR(160)," ")),'Catalog'!$C:$C,0)),""))))</f>
        <v/>
      </c>
      <c r="H3611" s="8" t="str">
        <f aca="false">IFERROR(INDEX('TRANS'!$C:$C,MATCH($B3611,'TRANS'!$A:$A,0)),IFERROR(INDEX('Catalog'!$B:$B,MATCH($G3611,'Catalog'!$A:$A,0)),$B3611))</f>
        <v>59RB XXL</v>
      </c>
      <c r="I3611" s="8" t="str">
        <f aca="false">IF($G3611="","Unmatched","Matched")</f>
        <v>Unmatched</v>
      </c>
    </row>
    <row r="3612" customFormat="false" ht="15" hidden="false" customHeight="false" outlineLevel="0" collapsed="false">
      <c r="A3612" s="8" t="s">
        <v>1059</v>
      </c>
      <c r="B3612" s="8" t="s">
        <v>719</v>
      </c>
      <c r="C3612" s="19" t="n">
        <v>0</v>
      </c>
      <c r="D3612" s="19" t="n">
        <v>0</v>
      </c>
      <c r="E3612" s="19" t="n">
        <v>1</v>
      </c>
      <c r="F3612" s="19" t="n">
        <v>0.03</v>
      </c>
      <c r="G3612" s="8" t="str">
        <f aca="false">IFERROR(INDEX('TRANS'!$B:$B,MATCH($B3612,'TRANS'!$A:$A,0)),IFERROR(INDEX('TRANS'!$B:$B,MATCH(TRIM(SUBSTITUTE($B3612,CHAR(160)," ")),'TRANS'!$D:$D,0)),IFERROR(INDEX('Catalog'!$A:$A,MATCH($B3612,'Catalog'!$B:$B,0)),IFERROR(INDEX('Catalog'!$A:$A,MATCH(TRIM(SUBSTITUTE($B3612,CHAR(160)," ")),'Catalog'!$C:$C,0)),""))))</f>
        <v/>
      </c>
      <c r="H3612" s="8" t="str">
        <f aca="false">IFERROR(INDEX('TRANS'!$C:$C,MATCH($B3612,'TRANS'!$A:$A,0)),IFERROR(INDEX('Catalog'!$B:$B,MATCH($G3612,'Catalog'!$A:$A,0)),$B3612))</f>
        <v>61 M</v>
      </c>
      <c r="I3612" s="8" t="str">
        <f aca="false">IF($G3612="","Unmatched","Matched")</f>
        <v>Unmatched</v>
      </c>
    </row>
    <row r="3613" customFormat="false" ht="15" hidden="false" customHeight="false" outlineLevel="0" collapsed="false">
      <c r="A3613" s="8" t="s">
        <v>1059</v>
      </c>
      <c r="B3613" s="8" t="s">
        <v>52</v>
      </c>
      <c r="C3613" s="19" t="n">
        <v>6</v>
      </c>
      <c r="D3613" s="19" t="n">
        <v>412.53</v>
      </c>
      <c r="E3613" s="19" t="n">
        <v>7</v>
      </c>
      <c r="F3613" s="19" t="n">
        <v>488.97</v>
      </c>
      <c r="G3613" s="8" t="n">
        <f aca="false">IFERROR(INDEX('TRANS'!$B:$B,MATCH($B3613,'TRANS'!$A:$A,0)),IFERROR(INDEX('TRANS'!$B:$B,MATCH(TRIM(SUBSTITUTE($B3613,CHAR(160)," ")),'TRANS'!$D:$D,0)),IFERROR(INDEX('Catalog'!$A:$A,MATCH($B3613,'Catalog'!$B:$B,0)),IFERROR(INDEX('Catalog'!$A:$A,MATCH(TRIM(SUBSTITUTE($B3613,CHAR(160)," ")),'Catalog'!$C:$C,0)),""))))</f>
        <v>4413127</v>
      </c>
      <c r="H3613" s="8" t="str">
        <f aca="false">IFERROR(INDEX('TRANS'!$C:$C,MATCH($B3613,'TRANS'!$A:$A,0)),IFERROR(INDEX('Catalog'!$B:$B,MATCH($G3613,'Catalog'!$A:$A,0)),$B3613))</f>
        <v>75 Lמיישר כתף יציב יישור גב צר</v>
      </c>
      <c r="I3613" s="8" t="str">
        <f aca="false">IF($G3613="","Unmatched","Matched")</f>
        <v>Matched</v>
      </c>
    </row>
    <row r="3614" customFormat="false" ht="15" hidden="false" customHeight="false" outlineLevel="0" collapsed="false">
      <c r="A3614" s="8" t="s">
        <v>1059</v>
      </c>
      <c r="B3614" s="8" t="s">
        <v>603</v>
      </c>
      <c r="C3614" s="19" t="n">
        <v>5</v>
      </c>
      <c r="D3614" s="19" t="n">
        <v>343.78</v>
      </c>
      <c r="E3614" s="19" t="n">
        <v>5</v>
      </c>
      <c r="F3614" s="19" t="n">
        <v>349.26</v>
      </c>
      <c r="G3614" s="8" t="n">
        <f aca="false">IFERROR(INDEX('TRANS'!$B:$B,MATCH($B3614,'TRANS'!$A:$A,0)),IFERROR(INDEX('TRANS'!$B:$B,MATCH(TRIM(SUBSTITUTE($B3614,CHAR(160)," ")),'TRANS'!$D:$D,0)),IFERROR(INDEX('Catalog'!$A:$A,MATCH($B3614,'Catalog'!$B:$B,0)),IFERROR(INDEX('Catalog'!$A:$A,MATCH(TRIM(SUBSTITUTE($B3614,CHAR(160)," ")),'Catalog'!$C:$C,0)),""))))</f>
        <v>4413128</v>
      </c>
      <c r="H3614" s="8" t="str">
        <f aca="false">IFERROR(INDEX('TRANS'!$C:$C,MATCH($B3614,'TRANS'!$A:$A,0)),IFERROR(INDEX('Catalog'!$B:$B,MATCH($G3614,'Catalog'!$A:$A,0)),$B3614))</f>
        <v>75 Mמיישר כתף יציב יישור גב צר</v>
      </c>
      <c r="I3614" s="8" t="str">
        <f aca="false">IF($G3614="","Unmatched","Matched")</f>
        <v>Matched</v>
      </c>
    </row>
    <row r="3615" customFormat="false" ht="15" hidden="false" customHeight="false" outlineLevel="0" collapsed="false">
      <c r="A3615" s="8" t="s">
        <v>1059</v>
      </c>
      <c r="B3615" s="8" t="s">
        <v>752</v>
      </c>
      <c r="C3615" s="19" t="n">
        <v>2</v>
      </c>
      <c r="D3615" s="19" t="n">
        <v>123.61</v>
      </c>
      <c r="E3615" s="19" t="n">
        <v>3</v>
      </c>
      <c r="F3615" s="19" t="n">
        <v>209.56</v>
      </c>
      <c r="G3615" s="8" t="n">
        <f aca="false">IFERROR(INDEX('TRANS'!$B:$B,MATCH($B3615,'TRANS'!$A:$A,0)),IFERROR(INDEX('TRANS'!$B:$B,MATCH(TRIM(SUBSTITUTE($B3615,CHAR(160)," ")),'TRANS'!$D:$D,0)),IFERROR(INDEX('Catalog'!$A:$A,MATCH($B3615,'Catalog'!$B:$B,0)),IFERROR(INDEX('Catalog'!$A:$A,MATCH(TRIM(SUBSTITUTE($B3615,CHAR(160)," ")),'Catalog'!$C:$C,0)),""))))</f>
        <v>4413126</v>
      </c>
      <c r="H3615" s="8" t="str">
        <f aca="false">IFERROR(INDEX('TRANS'!$C:$C,MATCH($B3615,'TRANS'!$A:$A,0)),IFERROR(INDEX('Catalog'!$B:$B,MATCH($G3615,'Catalog'!$A:$A,0)),$B3615))</f>
        <v>75 Sמיישר כתף יציב יישור גב צר</v>
      </c>
      <c r="I3615" s="8" t="str">
        <f aca="false">IF($G3615="","Unmatched","Matched")</f>
        <v>Matched</v>
      </c>
    </row>
    <row r="3616" customFormat="false" ht="15" hidden="false" customHeight="false" outlineLevel="0" collapsed="false">
      <c r="A3616" s="8" t="s">
        <v>1059</v>
      </c>
      <c r="B3616" s="8" t="s">
        <v>53</v>
      </c>
      <c r="C3616" s="19" t="n">
        <v>6</v>
      </c>
      <c r="D3616" s="19" t="n">
        <v>412.53</v>
      </c>
      <c r="E3616" s="19" t="n">
        <v>0</v>
      </c>
      <c r="F3616" s="19" t="n">
        <v>0</v>
      </c>
      <c r="G3616" s="8" t="n">
        <f aca="false">IFERROR(INDEX('TRANS'!$B:$B,MATCH($B3616,'TRANS'!$A:$A,0)),IFERROR(INDEX('TRANS'!$B:$B,MATCH(TRIM(SUBSTITUTE($B3616,CHAR(160)," ")),'TRANS'!$D:$D,0)),IFERROR(INDEX('Catalog'!$A:$A,MATCH($B3616,'Catalog'!$B:$B,0)),IFERROR(INDEX('Catalog'!$A:$A,MATCH(TRIM(SUBSTITUTE($B3616,CHAR(160)," ")),'Catalog'!$C:$C,0)),""))))</f>
        <v>4413129</v>
      </c>
      <c r="H3616" s="8" t="str">
        <f aca="false">IFERROR(INDEX('TRANS'!$C:$C,MATCH($B3616,'TRANS'!$A:$A,0)),IFERROR(INDEX('Catalog'!$B:$B,MATCH($G3616,'Catalog'!$A:$A,0)),$B3616))</f>
        <v>75 XLמיישר כתף יציב יישור ג.צר</v>
      </c>
      <c r="I3616" s="8" t="str">
        <f aca="false">IF($G3616="","Unmatched","Matched")</f>
        <v>Matched</v>
      </c>
    </row>
    <row r="3617" customFormat="false" ht="15" hidden="false" customHeight="false" outlineLevel="0" collapsed="false">
      <c r="A3617" s="8" t="s">
        <v>1059</v>
      </c>
      <c r="B3617" s="8" t="s">
        <v>238</v>
      </c>
      <c r="C3617" s="19" t="n">
        <v>230</v>
      </c>
      <c r="D3617" s="19" t="n">
        <v>2114.55</v>
      </c>
      <c r="E3617" s="19" t="n">
        <v>130</v>
      </c>
      <c r="F3617" s="19" t="n">
        <v>1206.84</v>
      </c>
      <c r="G3617" s="8" t="n">
        <f aca="false">IFERROR(INDEX('TRANS'!$B:$B,MATCH($B3617,'TRANS'!$A:$A,0)),IFERROR(INDEX('TRANS'!$B:$B,MATCH(TRIM(SUBSTITUTE($B3617,CHAR(160)," ")),'TRANS'!$D:$D,0)),IFERROR(INDEX('Catalog'!$A:$A,MATCH($B3617,'Catalog'!$B:$B,0)),IFERROR(INDEX('Catalog'!$A:$A,MATCH(TRIM(SUBSTITUTE($B3617,CHAR(160)," ")),'Catalog'!$C:$C,0)),""))))</f>
        <v>4422000</v>
      </c>
      <c r="H3617" s="8" t="str">
        <f aca="false">IFERROR(INDEX('TRANS'!$C:$C,MATCH($B3617,'TRANS'!$A:$A,0)),IFERROR(INDEX('Catalog'!$B:$B,MATCH($G3617,'Catalog'!$A:$A,0)),$B3617))</f>
        <v>801  תחבושת אלסטית מקררת</v>
      </c>
      <c r="I3617" s="8" t="str">
        <f aca="false">IF($G3617="","Unmatched","Matched")</f>
        <v>Matched</v>
      </c>
    </row>
    <row r="3618" customFormat="false" ht="15" hidden="false" customHeight="false" outlineLevel="0" collapsed="false">
      <c r="A3618" s="8" t="s">
        <v>1059</v>
      </c>
      <c r="B3618" s="8" t="s">
        <v>414</v>
      </c>
      <c r="C3618" s="19" t="n">
        <v>250</v>
      </c>
      <c r="D3618" s="19" t="n">
        <v>1487.58</v>
      </c>
      <c r="E3618" s="19" t="n">
        <v>100</v>
      </c>
      <c r="F3618" s="19" t="n">
        <v>570.35</v>
      </c>
      <c r="G3618" s="8" t="n">
        <f aca="false">IFERROR(INDEX('TRANS'!$B:$B,MATCH($B3618,'TRANS'!$A:$A,0)),IFERROR(INDEX('TRANS'!$B:$B,MATCH(TRIM(SUBSTITUTE($B3618,CHAR(160)," ")),'TRANS'!$D:$D,0)),IFERROR(INDEX('Catalog'!$A:$A,MATCH($B3618,'Catalog'!$B:$B,0)),IFERROR(INDEX('Catalog'!$A:$A,MATCH(TRIM(SUBSTITUTE($B3618,CHAR(160)," ")),'Catalog'!$C:$C,0)),""))))</f>
        <v>4422024</v>
      </c>
      <c r="H3618" s="8" t="str">
        <f aca="false">IFERROR(INDEX('TRANS'!$C:$C,MATCH($B3618,'TRANS'!$A:$A,0)),IFERROR(INDEX('Catalog'!$B:$B,MATCH($G3618,'Catalog'!$A:$A,0)),$B3618))</f>
        <v>806CB-BLACK      תחבושת א.נצמ</v>
      </c>
      <c r="I3618" s="8" t="str">
        <f aca="false">IF($G3618="","Unmatched","Matched")</f>
        <v>Matched</v>
      </c>
    </row>
    <row r="3619" customFormat="false" ht="15" hidden="false" customHeight="false" outlineLevel="0" collapsed="false">
      <c r="A3619" s="8" t="s">
        <v>1059</v>
      </c>
      <c r="B3619" s="8" t="s">
        <v>415</v>
      </c>
      <c r="C3619" s="19" t="n">
        <v>240</v>
      </c>
      <c r="D3619" s="19" t="n">
        <v>1588.75</v>
      </c>
      <c r="E3619" s="19" t="n">
        <v>220</v>
      </c>
      <c r="F3619" s="19" t="n">
        <v>1377.4</v>
      </c>
      <c r="G3619" s="8" t="n">
        <f aca="false">IFERROR(INDEX('TRANS'!$B:$B,MATCH($B3619,'TRANS'!$A:$A,0)),IFERROR(INDEX('TRANS'!$B:$B,MATCH(TRIM(SUBSTITUTE($B3619,CHAR(160)," ")),'TRANS'!$D:$D,0)),IFERROR(INDEX('Catalog'!$A:$A,MATCH($B3619,'Catalog'!$B:$B,0)),IFERROR(INDEX('Catalog'!$A:$A,MATCH(TRIM(SUBSTITUTE($B3619,CHAR(160)," ")),'Catalog'!$C:$C,0)),""))))</f>
        <v>4422023</v>
      </c>
      <c r="H3619" s="8" t="str">
        <f aca="false">IFERROR(INDEX('TRANS'!$C:$C,MATCH($B3619,'TRANS'!$A:$A,0)),IFERROR(INDEX('Catalog'!$B:$B,MATCH($G3619,'Catalog'!$A:$A,0)),$B3619))</f>
        <v>806CB-BEIGE      תחבושת א.נצמ</v>
      </c>
      <c r="I3619" s="8" t="str">
        <f aca="false">IF($G3619="","Unmatched","Matched")</f>
        <v>Matched</v>
      </c>
    </row>
    <row r="3620" customFormat="false" ht="15" hidden="false" customHeight="false" outlineLevel="0" collapsed="false">
      <c r="A3620" s="8" t="s">
        <v>1059</v>
      </c>
      <c r="B3620" s="8" t="s">
        <v>416</v>
      </c>
      <c r="C3620" s="19" t="n">
        <v>220</v>
      </c>
      <c r="D3620" s="19" t="n">
        <v>1389.41</v>
      </c>
      <c r="E3620" s="19" t="n">
        <v>150</v>
      </c>
      <c r="F3620" s="19" t="n">
        <v>906.62</v>
      </c>
      <c r="G3620" s="8" t="n">
        <f aca="false">IFERROR(INDEX('TRANS'!$B:$B,MATCH($B3620,'TRANS'!$A:$A,0)),IFERROR(INDEX('TRANS'!$B:$B,MATCH(TRIM(SUBSTITUTE($B3620,CHAR(160)," ")),'TRANS'!$D:$D,0)),IFERROR(INDEX('Catalog'!$A:$A,MATCH($B3620,'Catalog'!$B:$B,0)),IFERROR(INDEX('Catalog'!$A:$A,MATCH(TRIM(SUBSTITUTE($B3620,CHAR(160)," ")),'Catalog'!$C:$C,0)),""))))</f>
        <v>4422025</v>
      </c>
      <c r="H3620" s="8" t="str">
        <f aca="false">IFERROR(INDEX('TRANS'!$C:$C,MATCH($B3620,'TRANS'!$A:$A,0)),IFERROR(INDEX('Catalog'!$B:$B,MATCH($G3620,'Catalog'!$A:$A,0)),$B3620))</f>
        <v>806CB-GREEN      תחבושת א.נצמ</v>
      </c>
      <c r="I3620" s="8" t="str">
        <f aca="false">IF($G3620="","Unmatched","Matched")</f>
        <v>Matched</v>
      </c>
    </row>
    <row r="3621" customFormat="false" ht="15" hidden="false" customHeight="false" outlineLevel="0" collapsed="false">
      <c r="A3621" s="8" t="s">
        <v>1059</v>
      </c>
      <c r="B3621" s="8" t="s">
        <v>417</v>
      </c>
      <c r="C3621" s="19" t="n">
        <v>150</v>
      </c>
      <c r="D3621" s="19" t="n">
        <v>892.55</v>
      </c>
      <c r="E3621" s="19" t="n">
        <v>100</v>
      </c>
      <c r="F3621" s="19" t="n">
        <v>570.35</v>
      </c>
      <c r="G3621" s="8" t="n">
        <f aca="false">IFERROR(INDEX('TRANS'!$B:$B,MATCH($B3621,'TRANS'!$A:$A,0)),IFERROR(INDEX('TRANS'!$B:$B,MATCH(TRIM(SUBSTITUTE($B3621,CHAR(160)," ")),'TRANS'!$D:$D,0)),IFERROR(INDEX('Catalog'!$A:$A,MATCH($B3621,'Catalog'!$B:$B,0)),IFERROR(INDEX('Catalog'!$A:$A,MATCH(TRIM(SUBSTITUTE($B3621,CHAR(160)," ")),'Catalog'!$C:$C,0)),""))))</f>
        <v>4422026</v>
      </c>
      <c r="H3621" s="8" t="str">
        <f aca="false">IFERROR(INDEX('TRANS'!$C:$C,MATCH($B3621,'TRANS'!$A:$A,0)),IFERROR(INDEX('Catalog'!$B:$B,MATCH($G3621,'Catalog'!$A:$A,0)),$B3621))</f>
        <v>806CB-PINK       תחבושת א.נצמ</v>
      </c>
      <c r="I3621" s="8" t="str">
        <f aca="false">IF($G3621="","Unmatched","Matched")</f>
        <v>Matched</v>
      </c>
    </row>
    <row r="3622" customFormat="false" ht="15" hidden="false" customHeight="false" outlineLevel="0" collapsed="false">
      <c r="A3622" s="8" t="s">
        <v>1059</v>
      </c>
      <c r="B3622" s="8" t="s">
        <v>510</v>
      </c>
      <c r="C3622" s="19" t="n">
        <v>0</v>
      </c>
      <c r="D3622" s="19" t="n">
        <v>0</v>
      </c>
      <c r="E3622" s="19" t="n">
        <v>1</v>
      </c>
      <c r="F3622" s="19" t="n">
        <v>0.03</v>
      </c>
      <c r="G3622" s="8" t="str">
        <f aca="false">IFERROR(INDEX('TRANS'!$B:$B,MATCH($B3622,'TRANS'!$A:$A,0)),IFERROR(INDEX('TRANS'!$B:$B,MATCH(TRIM(SUBSTITUTE($B3622,CHAR(160)," ")),'TRANS'!$D:$D,0)),IFERROR(INDEX('Catalog'!$A:$A,MATCH($B3622,'Catalog'!$B:$B,0)),IFERROR(INDEX('Catalog'!$A:$A,MATCH(TRIM(SUBSTITUTE($B3622,CHAR(160)," ")),'Catalog'!$C:$C,0)),""))))</f>
        <v/>
      </c>
      <c r="H3622" s="8" t="str">
        <f aca="false">IFERROR(INDEX('TRANS'!$C:$C,MATCH($B3622,'TRANS'!$A:$A,0)),IFERROR(INDEX('Catalog'!$B:$B,MATCH($G3622,'Catalog'!$A:$A,0)),$B3622))</f>
        <v>809PW-C</v>
      </c>
      <c r="I3622" s="8" t="str">
        <f aca="false">IF($G3622="","Unmatched","Matched")</f>
        <v>Unmatched</v>
      </c>
    </row>
    <row r="3623" customFormat="false" ht="15" hidden="false" customHeight="false" outlineLevel="0" collapsed="false">
      <c r="A3623" s="8" t="s">
        <v>1059</v>
      </c>
      <c r="B3623" s="8" t="s">
        <v>252</v>
      </c>
      <c r="C3623" s="19" t="n">
        <v>240</v>
      </c>
      <c r="D3623" s="19" t="n">
        <v>4471.49</v>
      </c>
      <c r="E3623" s="19" t="n">
        <v>300</v>
      </c>
      <c r="F3623" s="19" t="n">
        <v>5428.77</v>
      </c>
      <c r="G3623" s="8" t="n">
        <f aca="false">IFERROR(INDEX('TRANS'!$B:$B,MATCH($B3623,'TRANS'!$A:$A,0)),IFERROR(INDEX('TRANS'!$B:$B,MATCH(TRIM(SUBSTITUTE($B3623,CHAR(160)," ")),'TRANS'!$D:$D,0)),IFERROR(INDEX('Catalog'!$A:$A,MATCH($B3623,'Catalog'!$B:$B,0)),IFERROR(INDEX('Catalog'!$A:$A,MATCH(TRIM(SUBSTITUTE($B3623,CHAR(160)," ")),'Catalog'!$C:$C,0)),""))))</f>
        <v>4413135</v>
      </c>
      <c r="H3623" s="8" t="str">
        <f aca="false">IFERROR(INDEX('TRANS'!$C:$C,MATCH($B3623,'TRANS'!$A:$A,0)),IFERROR(INDEX('Catalog'!$B:$B,MATCH($G3623,'Catalog'!$A:$A,0)),$B3623))</f>
        <v>85 L (מתלה ליד )כיס</v>
      </c>
      <c r="I3623" s="8" t="str">
        <f aca="false">IF($G3623="","Unmatched","Matched")</f>
        <v>Matched</v>
      </c>
    </row>
    <row r="3624" customFormat="false" ht="15" hidden="false" customHeight="false" outlineLevel="0" collapsed="false">
      <c r="A3624" s="8" t="s">
        <v>1059</v>
      </c>
      <c r="B3624" s="8" t="s">
        <v>253</v>
      </c>
      <c r="C3624" s="19" t="n">
        <v>240</v>
      </c>
      <c r="D3624" s="19" t="n">
        <v>4471.49</v>
      </c>
      <c r="E3624" s="19" t="n">
        <v>210</v>
      </c>
      <c r="F3624" s="19" t="n">
        <v>3741.02</v>
      </c>
      <c r="G3624" s="8" t="n">
        <f aca="false">IFERROR(INDEX('TRANS'!$B:$B,MATCH($B3624,'TRANS'!$A:$A,0)),IFERROR(INDEX('TRANS'!$B:$B,MATCH(TRIM(SUBSTITUTE($B3624,CHAR(160)," ")),'TRANS'!$D:$D,0)),IFERROR(INDEX('Catalog'!$A:$A,MATCH($B3624,'Catalog'!$B:$B,0)),IFERROR(INDEX('Catalog'!$A:$A,MATCH(TRIM(SUBSTITUTE($B3624,CHAR(160)," ")),'Catalog'!$C:$C,0)),""))))</f>
        <v>4413136</v>
      </c>
      <c r="H3624" s="8" t="str">
        <f aca="false">IFERROR(INDEX('TRANS'!$C:$C,MATCH($B3624,'TRANS'!$A:$A,0)),IFERROR(INDEX('Catalog'!$B:$B,MATCH($G3624,'Catalog'!$A:$A,0)),$B3624))</f>
        <v>85 M (מתלה ליד )כיס</v>
      </c>
      <c r="I3624" s="8" t="str">
        <f aca="false">IF($G3624="","Unmatched","Matched")</f>
        <v>Matched</v>
      </c>
    </row>
    <row r="3625" customFormat="false" ht="15" hidden="false" customHeight="false" outlineLevel="0" collapsed="false">
      <c r="A3625" s="8" t="s">
        <v>1059</v>
      </c>
      <c r="B3625" s="8" t="s">
        <v>664</v>
      </c>
      <c r="C3625" s="19" t="n">
        <v>116</v>
      </c>
      <c r="D3625" s="19" t="n">
        <v>2175.49</v>
      </c>
      <c r="E3625" s="19" t="n">
        <v>90</v>
      </c>
      <c r="F3625" s="19" t="n">
        <v>1656.65</v>
      </c>
      <c r="G3625" s="8" t="n">
        <f aca="false">IFERROR(INDEX('TRANS'!$B:$B,MATCH($B3625,'TRANS'!$A:$A,0)),IFERROR(INDEX('TRANS'!$B:$B,MATCH(TRIM(SUBSTITUTE($B3625,CHAR(160)," ")),'TRANS'!$D:$D,0)),IFERROR(INDEX('Catalog'!$A:$A,MATCH($B3625,'Catalog'!$B:$B,0)),IFERROR(INDEX('Catalog'!$A:$A,MATCH(TRIM(SUBSTITUTE($B3625,CHAR(160)," ")),'Catalog'!$C:$C,0)),""))))</f>
        <v>4413137</v>
      </c>
      <c r="H3625" s="8" t="str">
        <f aca="false">IFERROR(INDEX('TRANS'!$C:$C,MATCH($B3625,'TRANS'!$A:$A,0)),IFERROR(INDEX('Catalog'!$B:$B,MATCH($G3625,'Catalog'!$A:$A,0)),$B3625))</f>
        <v>85 S (מתלה ליד )כיס</v>
      </c>
      <c r="I3625" s="8" t="str">
        <f aca="false">IF($G3625="","Unmatched","Matched")</f>
        <v>Matched</v>
      </c>
    </row>
    <row r="3626" customFormat="false" ht="15" hidden="false" customHeight="false" outlineLevel="0" collapsed="false">
      <c r="A3626" s="8" t="s">
        <v>1059</v>
      </c>
      <c r="B3626" s="8" t="s">
        <v>254</v>
      </c>
      <c r="C3626" s="19" t="n">
        <v>136</v>
      </c>
      <c r="D3626" s="19" t="n">
        <v>2537.92</v>
      </c>
      <c r="E3626" s="19" t="n">
        <v>130</v>
      </c>
      <c r="F3626" s="19" t="n">
        <v>2351.44</v>
      </c>
      <c r="G3626" s="8" t="n">
        <f aca="false">IFERROR(INDEX('TRANS'!$B:$B,MATCH($B3626,'TRANS'!$A:$A,0)),IFERROR(INDEX('TRANS'!$B:$B,MATCH(TRIM(SUBSTITUTE($B3626,CHAR(160)," ")),'TRANS'!$D:$D,0)),IFERROR(INDEX('Catalog'!$A:$A,MATCH($B3626,'Catalog'!$B:$B,0)),IFERROR(INDEX('Catalog'!$A:$A,MATCH(TRIM(SUBSTITUTE($B3626,CHAR(160)," ")),'Catalog'!$C:$C,0)),""))))</f>
        <v>4413138</v>
      </c>
      <c r="H3626" s="8" t="str">
        <f aca="false">IFERROR(INDEX('TRANS'!$C:$C,MATCH($B3626,'TRANS'!$A:$A,0)),IFERROR(INDEX('Catalog'!$B:$B,MATCH($G3626,'Catalog'!$A:$A,0)),$B3626))</f>
        <v>85 XL (מתלה ליד )כיס</v>
      </c>
      <c r="I3626" s="8" t="str">
        <f aca="false">IF($G3626="","Unmatched","Matched")</f>
        <v>Matched</v>
      </c>
    </row>
    <row r="3627" customFormat="false" ht="15" hidden="false" customHeight="false" outlineLevel="0" collapsed="false">
      <c r="A3627" s="8" t="s">
        <v>1059</v>
      </c>
      <c r="B3627" s="8" t="s">
        <v>259</v>
      </c>
      <c r="C3627" s="19" t="n">
        <v>150</v>
      </c>
      <c r="D3627" s="19" t="n">
        <v>3994.45</v>
      </c>
      <c r="E3627" s="19" t="n">
        <v>0</v>
      </c>
      <c r="F3627" s="19" t="n">
        <v>0</v>
      </c>
      <c r="G3627" s="8" t="n">
        <f aca="false">IFERROR(INDEX('TRANS'!$B:$B,MATCH($B3627,'TRANS'!$A:$A,0)),IFERROR(INDEX('TRANS'!$B:$B,MATCH(TRIM(SUBSTITUTE($B3627,CHAR(160)," ")),'TRANS'!$D:$D,0)),IFERROR(INDEX('Catalog'!$A:$A,MATCH($B3627,'Catalog'!$B:$B,0)),IFERROR(INDEX('Catalog'!$A:$A,MATCH(TRIM(SUBSTITUTE($B3627,CHAR(160)," ")),'Catalog'!$C:$C,0)),""))))</f>
        <v>4413455</v>
      </c>
      <c r="H3627" s="8" t="str">
        <f aca="false">IFERROR(INDEX('TRANS'!$C:$C,MATCH($B3627,'TRANS'!$A:$A,0)),IFERROR(INDEX('Catalog'!$B:$B,MATCH($G3627,'Catalog'!$A:$A,0)),$B3627))</f>
        <v>85K מתלה ליד לילדים</v>
      </c>
      <c r="I3627" s="8" t="str">
        <f aca="false">IF($G3627="","Unmatched","Matched")</f>
        <v>Matched</v>
      </c>
    </row>
    <row r="3628" customFormat="false" ht="15" hidden="false" customHeight="false" outlineLevel="0" collapsed="false">
      <c r="A3628" s="8" t="s">
        <v>1059</v>
      </c>
      <c r="B3628" s="8" t="s">
        <v>424</v>
      </c>
      <c r="C3628" s="19" t="n">
        <v>1</v>
      </c>
      <c r="D3628" s="19" t="n">
        <v>0.03</v>
      </c>
      <c r="E3628" s="19" t="n">
        <v>20</v>
      </c>
      <c r="F3628" s="19" t="n">
        <v>732</v>
      </c>
      <c r="G3628" s="8" t="n">
        <f aca="false">IFERROR(INDEX('TRANS'!$B:$B,MATCH($B3628,'TRANS'!$A:$A,0)),IFERROR(INDEX('TRANS'!$B:$B,MATCH(TRIM(SUBSTITUTE($B3628,CHAR(160)," ")),'TRANS'!$D:$D,0)),IFERROR(INDEX('Catalog'!$A:$A,MATCH($B3628,'Catalog'!$B:$B,0)),IFERROR(INDEX('Catalog'!$A:$A,MATCH(TRIM(SUBSTITUTE($B3628,CHAR(160)," ")),'Catalog'!$C:$C,0)),""))))</f>
        <v>4408266</v>
      </c>
      <c r="H3628" s="8" t="str">
        <f aca="false">IFERROR(INDEX('TRANS'!$C:$C,MATCH($B3628,'TRANS'!$A:$A,0)),IFERROR(INDEX('Catalog'!$B:$B,MATCH($G3628,'Catalog'!$A:$A,0)),$B3628))</f>
        <v>91B חבק טניס אלבו</v>
      </c>
      <c r="I3628" s="8" t="str">
        <f aca="false">IF($G3628="","Unmatched","Matched")</f>
        <v>Matched</v>
      </c>
    </row>
    <row r="3629" customFormat="false" ht="15" hidden="false" customHeight="false" outlineLevel="0" collapsed="false">
      <c r="A3629" s="8" t="s">
        <v>1059</v>
      </c>
      <c r="B3629" s="8" t="s">
        <v>427</v>
      </c>
      <c r="C3629" s="19" t="n">
        <v>5</v>
      </c>
      <c r="D3629" s="19" t="n">
        <v>50.71</v>
      </c>
      <c r="E3629" s="19" t="n">
        <v>15</v>
      </c>
      <c r="F3629" s="19" t="n">
        <v>145.83</v>
      </c>
      <c r="G3629" s="8" t="n">
        <f aca="false">IFERROR(INDEX('TRANS'!$B:$B,MATCH($B3629,'TRANS'!$A:$A,0)),IFERROR(INDEX('TRANS'!$B:$B,MATCH(TRIM(SUBSTITUTE($B3629,CHAR(160)," ")),'TRANS'!$D:$D,0)),IFERROR(INDEX('Catalog'!$A:$A,MATCH($B3629,'Catalog'!$B:$B,0)),IFERROR(INDEX('Catalog'!$A:$A,MATCH(TRIM(SUBSTITUTE($B3629,CHAR(160)," ")),'Catalog'!$C:$C,0)),""))))</f>
        <v>4413139</v>
      </c>
      <c r="H3629" s="8" t="str">
        <f aca="false">IFERROR(INDEX('TRANS'!$C:$C,MATCH($B3629,'TRANS'!$A:$A,0)),IFERROR(INDEX('Catalog'!$B:$B,MATCH($G3629,'Catalog'!$A:$A,0)),$B3629))</f>
        <v>95 L מגן מרפק רגיל לבן</v>
      </c>
      <c r="I3629" s="8" t="str">
        <f aca="false">IF($G3629="","Unmatched","Matched")</f>
        <v>Matched</v>
      </c>
    </row>
    <row r="3630" customFormat="false" ht="15" hidden="false" customHeight="false" outlineLevel="0" collapsed="false">
      <c r="A3630" s="8" t="s">
        <v>1059</v>
      </c>
      <c r="B3630" s="8" t="s">
        <v>260</v>
      </c>
      <c r="C3630" s="19" t="n">
        <v>36</v>
      </c>
      <c r="D3630" s="19" t="n">
        <v>406.21</v>
      </c>
      <c r="E3630" s="19" t="n">
        <v>40</v>
      </c>
      <c r="F3630" s="19" t="n">
        <v>406.3</v>
      </c>
      <c r="G3630" s="8" t="n">
        <f aca="false">IFERROR(INDEX('TRANS'!$B:$B,MATCH($B3630,'TRANS'!$A:$A,0)),IFERROR(INDEX('TRANS'!$B:$B,MATCH(TRIM(SUBSTITUTE($B3630,CHAR(160)," ")),'TRANS'!$D:$D,0)),IFERROR(INDEX('Catalog'!$A:$A,MATCH($B3630,'Catalog'!$B:$B,0)),IFERROR(INDEX('Catalog'!$A:$A,MATCH(TRIM(SUBSTITUTE($B3630,CHAR(160)," ")),'Catalog'!$C:$C,0)),""))))</f>
        <v>4413140</v>
      </c>
      <c r="H3630" s="8" t="str">
        <f aca="false">IFERROR(INDEX('TRANS'!$C:$C,MATCH($B3630,'TRANS'!$A:$A,0)),IFERROR(INDEX('Catalog'!$B:$B,MATCH($G3630,'Catalog'!$A:$A,0)),$B3630))</f>
        <v>95 M מגן מרפק רגיל לבן</v>
      </c>
      <c r="I3630" s="8" t="str">
        <f aca="false">IF($G3630="","Unmatched","Matched")</f>
        <v>Matched</v>
      </c>
    </row>
    <row r="3631" customFormat="false" ht="15" hidden="false" customHeight="false" outlineLevel="0" collapsed="false">
      <c r="A3631" s="8" t="s">
        <v>1059</v>
      </c>
      <c r="B3631" s="8" t="s">
        <v>428</v>
      </c>
      <c r="C3631" s="19" t="n">
        <v>34</v>
      </c>
      <c r="D3631" s="19" t="n">
        <v>372.24</v>
      </c>
      <c r="E3631" s="19" t="n">
        <v>10</v>
      </c>
      <c r="F3631" s="19" t="n">
        <v>97.22</v>
      </c>
      <c r="G3631" s="8" t="n">
        <f aca="false">IFERROR(INDEX('TRANS'!$B:$B,MATCH($B3631,'TRANS'!$A:$A,0)),IFERROR(INDEX('TRANS'!$B:$B,MATCH(TRIM(SUBSTITUTE($B3631,CHAR(160)," ")),'TRANS'!$D:$D,0)),IFERROR(INDEX('Catalog'!$A:$A,MATCH($B3631,'Catalog'!$B:$B,0)),IFERROR(INDEX('Catalog'!$A:$A,MATCH(TRIM(SUBSTITUTE($B3631,CHAR(160)," ")),'Catalog'!$C:$C,0)),""))))</f>
        <v>4413141</v>
      </c>
      <c r="H3631" s="8" t="str">
        <f aca="false">IFERROR(INDEX('TRANS'!$C:$C,MATCH($B3631,'TRANS'!$A:$A,0)),IFERROR(INDEX('Catalog'!$B:$B,MATCH($G3631,'Catalog'!$A:$A,0)),$B3631))</f>
        <v>95 S מגן מרפק רגיל לבן</v>
      </c>
      <c r="I3631" s="8" t="str">
        <f aca="false">IF($G3631="","Unmatched","Matched")</f>
        <v>Matched</v>
      </c>
    </row>
    <row r="3632" customFormat="false" ht="15" hidden="false" customHeight="false" outlineLevel="0" collapsed="false">
      <c r="A3632" s="8" t="s">
        <v>1059</v>
      </c>
      <c r="B3632" s="8" t="s">
        <v>429</v>
      </c>
      <c r="C3632" s="19" t="n">
        <v>24</v>
      </c>
      <c r="D3632" s="19" t="n">
        <v>270.81</v>
      </c>
      <c r="E3632" s="19" t="n">
        <v>5</v>
      </c>
      <c r="F3632" s="19" t="n">
        <v>48.61</v>
      </c>
      <c r="G3632" s="8" t="n">
        <f aca="false">IFERROR(INDEX('TRANS'!$B:$B,MATCH($B3632,'TRANS'!$A:$A,0)),IFERROR(INDEX('TRANS'!$B:$B,MATCH(TRIM(SUBSTITUTE($B3632,CHAR(160)," ")),'TRANS'!$D:$D,0)),IFERROR(INDEX('Catalog'!$A:$A,MATCH($B3632,'Catalog'!$B:$B,0)),IFERROR(INDEX('Catalog'!$A:$A,MATCH(TRIM(SUBSTITUTE($B3632,CHAR(160)," ")),'Catalog'!$C:$C,0)),""))))</f>
        <v>4413142</v>
      </c>
      <c r="H3632" s="8" t="str">
        <f aca="false">IFERROR(INDEX('TRANS'!$C:$C,MATCH($B3632,'TRANS'!$A:$A,0)),IFERROR(INDEX('Catalog'!$B:$B,MATCH($G3632,'Catalog'!$A:$A,0)),$B3632))</f>
        <v>95 XL מגן מרפק רגיל לבן</v>
      </c>
      <c r="I3632" s="8" t="str">
        <f aca="false">IF($G3632="","Unmatched","Matched")</f>
        <v>Matched</v>
      </c>
    </row>
    <row r="3633" customFormat="false" ht="15" hidden="false" customHeight="false" outlineLevel="0" collapsed="false">
      <c r="A3633" s="8" t="s">
        <v>1059</v>
      </c>
      <c r="B3633" s="8" t="s">
        <v>267</v>
      </c>
      <c r="C3633" s="19" t="n">
        <v>63</v>
      </c>
      <c r="D3633" s="19" t="n">
        <v>2525.28</v>
      </c>
      <c r="E3633" s="19" t="n">
        <v>130</v>
      </c>
      <c r="F3633" s="19" t="n">
        <v>4854.01</v>
      </c>
      <c r="G3633" s="8" t="n">
        <f aca="false">IFERROR(INDEX('TRANS'!$B:$B,MATCH($B3633,'TRANS'!$A:$A,0)),IFERROR(INDEX('TRANS'!$B:$B,MATCH(TRIM(SUBSTITUTE($B3633,CHAR(160)," ")),'TRANS'!$D:$D,0)),IFERROR(INDEX('Catalog'!$A:$A,MATCH($B3633,'Catalog'!$B:$B,0)),IFERROR(INDEX('Catalog'!$A:$A,MATCH(TRIM(SUBSTITUTE($B3633,CHAR(160)," ")),'Catalog'!$C:$C,0)),""))))</f>
        <v>4408205</v>
      </c>
      <c r="H3633" s="8" t="str">
        <f aca="false">IFERROR(INDEX('TRANS'!$C:$C,MATCH($B3633,'TRANS'!$A:$A,0)),IFERROR(INDEX('Catalog'!$B:$B,MATCH($G3633,'Catalog'!$A:$A,0)),$B3633))</f>
        <v>AC-07 חגורת גב עם תמיכות</v>
      </c>
      <c r="I3633" s="8" t="str">
        <f aca="false">IF($G3633="","Unmatched","Matched")</f>
        <v>Matched</v>
      </c>
    </row>
    <row r="3634" customFormat="false" ht="15" hidden="false" customHeight="false" outlineLevel="0" collapsed="false">
      <c r="A3634" s="8" t="s">
        <v>1059</v>
      </c>
      <c r="B3634" s="8" t="s">
        <v>268</v>
      </c>
      <c r="C3634" s="19" t="n">
        <v>50</v>
      </c>
      <c r="D3634" s="19" t="n">
        <v>1609.3</v>
      </c>
      <c r="E3634" s="19" t="n">
        <v>35</v>
      </c>
      <c r="F3634" s="19" t="n">
        <v>1107.41</v>
      </c>
      <c r="G3634" s="8" t="n">
        <f aca="false">IFERROR(INDEX('TRANS'!$B:$B,MATCH($B3634,'TRANS'!$A:$A,0)),IFERROR(INDEX('TRANS'!$B:$B,MATCH(TRIM(SUBSTITUTE($B3634,CHAR(160)," ")),'TRANS'!$D:$D,0)),IFERROR(INDEX('Catalog'!$A:$A,MATCH($B3634,'Catalog'!$B:$B,0)),IFERROR(INDEX('Catalog'!$A:$A,MATCH(TRIM(SUBSTITUTE($B3634,CHAR(160)," ")),'Catalog'!$C:$C,0)),""))))</f>
        <v>4408206</v>
      </c>
      <c r="H3634" s="8" t="str">
        <f aca="false">IFERROR(INDEX('TRANS'!$C:$C,MATCH($B3634,'TRANS'!$A:$A,0)),IFERROR(INDEX('Catalog'!$B:$B,MATCH($G3634,'Catalog'!$A:$A,0)),$B3634))</f>
        <v>AC-11 חגורת בטן קלה</v>
      </c>
      <c r="I3634" s="8" t="str">
        <f aca="false">IF($G3634="","Unmatched","Matched")</f>
        <v>Matched</v>
      </c>
    </row>
    <row r="3635" customFormat="false" ht="15" hidden="false" customHeight="false" outlineLevel="0" collapsed="false">
      <c r="A3635" s="8" t="s">
        <v>1059</v>
      </c>
      <c r="B3635" s="8" t="s">
        <v>269</v>
      </c>
      <c r="C3635" s="19" t="n">
        <v>1090</v>
      </c>
      <c r="D3635" s="19" t="n">
        <v>16499.24</v>
      </c>
      <c r="E3635" s="19" t="n">
        <v>1000</v>
      </c>
      <c r="F3635" s="19" t="n">
        <v>14547.47</v>
      </c>
      <c r="G3635" s="8" t="n">
        <f aca="false">IFERROR(INDEX('TRANS'!$B:$B,MATCH($B3635,'TRANS'!$A:$A,0)),IFERROR(INDEX('TRANS'!$B:$B,MATCH(TRIM(SUBSTITUTE($B3635,CHAR(160)," ")),'TRANS'!$D:$D,0)),IFERROR(INDEX('Catalog'!$A:$A,MATCH($B3635,'Catalog'!$B:$B,0)),IFERROR(INDEX('Catalog'!$A:$A,MATCH(TRIM(SUBSTITUTE($B3635,CHAR(160)," ")),'Catalog'!$C:$C,0)),""))))</f>
        <v>4408207</v>
      </c>
      <c r="H3635" s="8" t="str">
        <f aca="false">IFERROR(INDEX('TRANS'!$C:$C,MATCH($B3635,'TRANS'!$A:$A,0)),IFERROR(INDEX('Catalog'!$B:$B,MATCH($G3635,'Catalog'!$A:$A,0)),$B3635))</f>
        <v>AC-25 חבק לשורש כף היד</v>
      </c>
      <c r="I3635" s="8" t="str">
        <f aca="false">IF($G3635="","Unmatched","Matched")</f>
        <v>Matched</v>
      </c>
    </row>
    <row r="3636" customFormat="false" ht="15" hidden="false" customHeight="false" outlineLevel="0" collapsed="false">
      <c r="A3636" s="8" t="s">
        <v>1059</v>
      </c>
      <c r="B3636" s="8" t="s">
        <v>271</v>
      </c>
      <c r="C3636" s="19" t="n">
        <v>10</v>
      </c>
      <c r="D3636" s="19" t="n">
        <v>167.69</v>
      </c>
      <c r="E3636" s="19" t="n">
        <v>0</v>
      </c>
      <c r="F3636" s="19" t="n">
        <v>0</v>
      </c>
      <c r="G3636" s="8" t="n">
        <f aca="false">IFERROR(INDEX('TRANS'!$B:$B,MATCH($B3636,'TRANS'!$A:$A,0)),IFERROR(INDEX('TRANS'!$B:$B,MATCH(TRIM(SUBSTITUTE($B3636,CHAR(160)," ")),'TRANS'!$D:$D,0)),IFERROR(INDEX('Catalog'!$A:$A,MATCH($B3636,'Catalog'!$B:$B,0)),IFERROR(INDEX('Catalog'!$A:$A,MATCH(TRIM(SUBSTITUTE($B3636,CHAR(160)," ")),'Catalog'!$C:$C,0)),""))))</f>
        <v>4415027</v>
      </c>
      <c r="H3636" s="8" t="str">
        <f aca="false">IFERROR(INDEX('TRANS'!$C:$C,MATCH($B3636,'TRANS'!$A:$A,0)),IFERROR(INDEX('Catalog'!$B:$B,MATCH($G3636,'Catalog'!$A:$A,0)),$B3636))</f>
        <v>AC-27R סד לש.כף יד ימין</v>
      </c>
      <c r="I3636" s="8" t="str">
        <f aca="false">IF($G3636="","Unmatched","Matched")</f>
        <v>Matched</v>
      </c>
    </row>
    <row r="3637" customFormat="false" ht="15" hidden="false" customHeight="false" outlineLevel="0" collapsed="false">
      <c r="A3637" s="8" t="s">
        <v>1059</v>
      </c>
      <c r="B3637" s="8" t="s">
        <v>272</v>
      </c>
      <c r="C3637" s="19" t="n">
        <v>180</v>
      </c>
      <c r="D3637" s="19" t="n">
        <v>2502.39</v>
      </c>
      <c r="E3637" s="19" t="n">
        <v>250</v>
      </c>
      <c r="F3637" s="19" t="n">
        <v>3617.87</v>
      </c>
      <c r="G3637" s="8" t="n">
        <f aca="false">IFERROR(INDEX('TRANS'!$B:$B,MATCH($B3637,'TRANS'!$A:$A,0)),IFERROR(INDEX('TRANS'!$B:$B,MATCH(TRIM(SUBSTITUTE($B3637,CHAR(160)," ")),'TRANS'!$D:$D,0)),IFERROR(INDEX('Catalog'!$A:$A,MATCH($B3637,'Catalog'!$B:$B,0)),IFERROR(INDEX('Catalog'!$A:$A,MATCH(TRIM(SUBSTITUTE($B3637,CHAR(160)," ")),'Catalog'!$C:$C,0)),""))))</f>
        <v>4415028</v>
      </c>
      <c r="H3637" s="8" t="str">
        <f aca="false">IFERROR(INDEX('TRANS'!$C:$C,MATCH($B3637,'TRANS'!$A:$A,0)),IFERROR(INDEX('Catalog'!$B:$B,MATCH($G3637,'Catalog'!$A:$A,0)),$B3637))</f>
        <v>AC-28 סד לאגודל</v>
      </c>
      <c r="I3637" s="8" t="str">
        <f aca="false">IF($G3637="","Unmatched","Matched")</f>
        <v>Matched</v>
      </c>
    </row>
    <row r="3638" customFormat="false" ht="15" hidden="false" customHeight="false" outlineLevel="0" collapsed="false">
      <c r="A3638" s="8" t="s">
        <v>1059</v>
      </c>
      <c r="B3638" s="8" t="s">
        <v>273</v>
      </c>
      <c r="C3638" s="19" t="n">
        <v>144</v>
      </c>
      <c r="D3638" s="19" t="n">
        <v>2751.43</v>
      </c>
      <c r="E3638" s="19" t="n">
        <v>50</v>
      </c>
      <c r="F3638" s="19" t="n">
        <v>823.12</v>
      </c>
      <c r="G3638" s="8" t="n">
        <f aca="false">IFERROR(INDEX('TRANS'!$B:$B,MATCH($B3638,'TRANS'!$A:$A,0)),IFERROR(INDEX('TRANS'!$B:$B,MATCH(TRIM(SUBSTITUTE($B3638,CHAR(160)," ")),'TRANS'!$D:$D,0)),IFERROR(INDEX('Catalog'!$A:$A,MATCH($B3638,'Catalog'!$B:$B,0)),IFERROR(INDEX('Catalog'!$A:$A,MATCH(TRIM(SUBSTITUTE($B3638,CHAR(160)," ")),'Catalog'!$C:$C,0)),""))))</f>
        <v>4413326</v>
      </c>
      <c r="H3638" s="8" t="str">
        <f aca="false">IFERROR(INDEX('TRANS'!$C:$C,MATCH($B3638,'TRANS'!$A:$A,0)),IFERROR(INDEX('Catalog'!$B:$B,MATCH($G3638,'Catalog'!$A:$A,0)),$B3638))</f>
        <v>AC37 מגן קרסול נושם</v>
      </c>
      <c r="I3638" s="8" t="str">
        <f aca="false">IF($G3638="","Unmatched","Matched")</f>
        <v>Matched</v>
      </c>
    </row>
    <row r="3639" customFormat="false" ht="15" hidden="false" customHeight="false" outlineLevel="0" collapsed="false">
      <c r="A3639" s="8" t="s">
        <v>1059</v>
      </c>
      <c r="B3639" s="8" t="s">
        <v>56</v>
      </c>
      <c r="C3639" s="19" t="n">
        <v>480</v>
      </c>
      <c r="D3639" s="19" t="n">
        <v>20704.23</v>
      </c>
      <c r="E3639" s="19" t="n">
        <v>650</v>
      </c>
      <c r="F3639" s="19" t="n">
        <v>26769.41</v>
      </c>
      <c r="G3639" s="8" t="n">
        <f aca="false">IFERROR(INDEX('TRANS'!$B:$B,MATCH($B3639,'TRANS'!$A:$A,0)),IFERROR(INDEX('TRANS'!$B:$B,MATCH(TRIM(SUBSTITUTE($B3639,CHAR(160)," ")),'TRANS'!$D:$D,0)),IFERROR(INDEX('Catalog'!$A:$A,MATCH($B3639,'Catalog'!$B:$B,0)),IFERROR(INDEX('Catalog'!$A:$A,MATCH(TRIM(SUBSTITUTE($B3639,CHAR(160)," ")),'Catalog'!$C:$C,0)),""))))</f>
        <v>4413328</v>
      </c>
      <c r="H3639" s="8" t="str">
        <f aca="false">IFERROR(INDEX('TRANS'!$C:$C,MATCH($B3639,'TRANS'!$A:$A,0)),IFERROR(INDEX('Catalog'!$B:$B,MATCH($G3639,'Catalog'!$A:$A,0)),$B3639))</f>
        <v>AC43D מגן ברך + צירים</v>
      </c>
      <c r="I3639" s="8" t="str">
        <f aca="false">IF($G3639="","Unmatched","Matched")</f>
        <v>Matched</v>
      </c>
    </row>
    <row r="3640" customFormat="false" ht="15" hidden="false" customHeight="false" outlineLevel="0" collapsed="false">
      <c r="A3640" s="8" t="s">
        <v>1059</v>
      </c>
      <c r="B3640" s="8" t="s">
        <v>275</v>
      </c>
      <c r="C3640" s="19" t="n">
        <v>55</v>
      </c>
      <c r="D3640" s="19" t="n">
        <v>1725.6</v>
      </c>
      <c r="E3640" s="19" t="n">
        <v>55</v>
      </c>
      <c r="F3640" s="19" t="n">
        <v>1815.67</v>
      </c>
      <c r="G3640" s="8" t="n">
        <f aca="false">IFERROR(INDEX('TRANS'!$B:$B,MATCH($B3640,'TRANS'!$A:$A,0)),IFERROR(INDEX('TRANS'!$B:$B,MATCH(TRIM(SUBSTITUTE($B3640,CHAR(160)," ")),'TRANS'!$D:$D,0)),IFERROR(INDEX('Catalog'!$A:$A,MATCH($B3640,'Catalog'!$B:$B,0)),IFERROR(INDEX('Catalog'!$A:$A,MATCH(TRIM(SUBSTITUTE($B3640,CHAR(160)," ")),'Catalog'!$C:$C,0)),""))))</f>
        <v>4413329</v>
      </c>
      <c r="H3640" s="8" t="str">
        <f aca="false">IFERROR(INDEX('TRANS'!$C:$C,MATCH($B3640,'TRANS'!$A:$A,0)),IFERROR(INDEX('Catalog'!$B:$B,MATCH($G3640,'Catalog'!$A:$A,0)),$B3640))</f>
        <v>AC45X מגן ברך עם תמיכות</v>
      </c>
      <c r="I3640" s="8" t="str">
        <f aca="false">IF($G3640="","Unmatched","Matched")</f>
        <v>Matched</v>
      </c>
    </row>
    <row r="3641" customFormat="false" ht="15" hidden="false" customHeight="false" outlineLevel="0" collapsed="false">
      <c r="A3641" s="8" t="s">
        <v>1059</v>
      </c>
      <c r="B3641" s="8" t="s">
        <v>554</v>
      </c>
      <c r="C3641" s="19" t="n">
        <v>12</v>
      </c>
      <c r="D3641" s="19" t="n">
        <v>391.77</v>
      </c>
      <c r="E3641" s="19" t="n">
        <v>0</v>
      </c>
      <c r="F3641" s="19" t="n">
        <v>0</v>
      </c>
      <c r="G3641" s="8" t="n">
        <f aca="false">IFERROR(INDEX('TRANS'!$B:$B,MATCH($B3641,'TRANS'!$A:$A,0)),IFERROR(INDEX('TRANS'!$B:$B,MATCH(TRIM(SUBSTITUTE($B3641,CHAR(160)," ")),'TRANS'!$D:$D,0)),IFERROR(INDEX('Catalog'!$A:$A,MATCH($B3641,'Catalog'!$B:$B,0)),IFERROR(INDEX('Catalog'!$A:$A,MATCH(TRIM(SUBSTITUTE($B3641,CHAR(160)," ")),'Catalog'!$C:$C,0)),""))))</f>
        <v>4413330</v>
      </c>
      <c r="H3641" s="8" t="str">
        <f aca="false">IFERROR(INDEX('TRANS'!$C:$C,MATCH($B3641,'TRANS'!$A:$A,0)),IFERROR(INDEX('Catalog'!$B:$B,MATCH($G3641,'Catalog'!$A:$A,0)),$B3641))</f>
        <v>AC49 מגן ירך</v>
      </c>
      <c r="I3641" s="8" t="str">
        <f aca="false">IF($G3641="","Unmatched","Matched")</f>
        <v>Matched</v>
      </c>
    </row>
    <row r="3642" customFormat="false" ht="15" hidden="false" customHeight="false" outlineLevel="0" collapsed="false">
      <c r="A3642" s="8" t="s">
        <v>1059</v>
      </c>
      <c r="B3642" s="8" t="s">
        <v>277</v>
      </c>
      <c r="C3642" s="19" t="n">
        <v>180</v>
      </c>
      <c r="D3642" s="19" t="n">
        <v>2628.96</v>
      </c>
      <c r="E3642" s="19" t="n">
        <v>180</v>
      </c>
      <c r="F3642" s="19" t="n">
        <v>2595.16</v>
      </c>
      <c r="G3642" s="8" t="n">
        <f aca="false">IFERROR(INDEX('TRANS'!$B:$B,MATCH($B3642,'TRANS'!$A:$A,0)),IFERROR(INDEX('TRANS'!$B:$B,MATCH(TRIM(SUBSTITUTE($B3642,CHAR(160)," ")),'TRANS'!$D:$D,0)),IFERROR(INDEX('Catalog'!$A:$A,MATCH($B3642,'Catalog'!$B:$B,0)),IFERROR(INDEX('Catalog'!$A:$A,MATCH(TRIM(SUBSTITUTE($B3642,CHAR(160)," ")),'Catalog'!$C:$C,0)),""))))</f>
        <v>4408208</v>
      </c>
      <c r="H3642" s="8" t="str">
        <f aca="false">IFERROR(INDEX('TRANS'!$C:$C,MATCH($B3642,'TRANS'!$A:$A,0)),IFERROR(INDEX('Catalog'!$B:$B,MATCH($G3642,'Catalog'!$A:$A,0)),$B3642))</f>
        <v>AC91 חבק טניס</v>
      </c>
      <c r="I3642" s="8" t="str">
        <f aca="false">IF($G3642="","Unmatched","Matched")</f>
        <v>Matched</v>
      </c>
    </row>
    <row r="3643" customFormat="false" ht="15" hidden="false" customHeight="false" outlineLevel="0" collapsed="false">
      <c r="A3643" s="8" t="s">
        <v>1059</v>
      </c>
      <c r="B3643" s="8" t="s">
        <v>278</v>
      </c>
      <c r="C3643" s="19" t="n">
        <v>160</v>
      </c>
      <c r="D3643" s="19" t="n">
        <v>2674.83</v>
      </c>
      <c r="E3643" s="19" t="n">
        <v>160</v>
      </c>
      <c r="F3643" s="19" t="n">
        <v>2496.75</v>
      </c>
      <c r="G3643" s="8" t="n">
        <f aca="false">IFERROR(INDEX('TRANS'!$B:$B,MATCH($B3643,'TRANS'!$A:$A,0)),IFERROR(INDEX('TRANS'!$B:$B,MATCH(TRIM(SUBSTITUTE($B3643,CHAR(160)," ")),'TRANS'!$D:$D,0)),IFERROR(INDEX('Catalog'!$A:$A,MATCH($B3643,'Catalog'!$B:$B,0)),IFERROR(INDEX('Catalog'!$A:$A,MATCH(TRIM(SUBSTITUTE($B3643,CHAR(160)," ")),'Catalog'!$C:$C,0)),""))))</f>
        <v>4413331</v>
      </c>
      <c r="H3643" s="8" t="str">
        <f aca="false">IFERROR(INDEX('TRANS'!$C:$C,MATCH($B3643,'TRANS'!$A:$A,0)),IFERROR(INDEX('Catalog'!$B:$B,MATCH($G3643,'Catalog'!$A:$A,0)),$B3643))</f>
        <v>AC95 מגן מרפק</v>
      </c>
      <c r="I3643" s="8" t="str">
        <f aca="false">IF($G3643="","Unmatched","Matched")</f>
        <v>Matched</v>
      </c>
    </row>
    <row r="3644" customFormat="false" ht="15" hidden="false" customHeight="false" outlineLevel="0" collapsed="false">
      <c r="A3644" s="8" t="s">
        <v>1059</v>
      </c>
      <c r="B3644" s="8" t="s">
        <v>280</v>
      </c>
      <c r="C3644" s="19" t="n">
        <v>31</v>
      </c>
      <c r="D3644" s="19" t="n">
        <v>281.64</v>
      </c>
      <c r="E3644" s="19" t="n">
        <v>-30</v>
      </c>
      <c r="F3644" s="19" t="n">
        <v>-278.86</v>
      </c>
      <c r="G3644" s="8" t="n">
        <f aca="false">IFERROR(INDEX('TRANS'!$B:$B,MATCH($B3644,'TRANS'!$A:$A,0)),IFERROR(INDEX('TRANS'!$B:$B,MATCH(TRIM(SUBSTITUTE($B3644,CHAR(160)," ")),'TRANS'!$D:$D,0)),IFERROR(INDEX('Catalog'!$A:$A,MATCH($B3644,'Catalog'!$B:$B,0)),IFERROR(INDEX('Catalog'!$A:$A,MATCH(TRIM(SUBSTITUTE($B3644,CHAR(160)," ")),'Catalog'!$C:$C,0)),""))))</f>
        <v>4422035</v>
      </c>
      <c r="H3644" s="8" t="str">
        <f aca="false">IFERROR(INDEX('TRANS'!$C:$C,MATCH($B3644,'TRANS'!$A:$A,0)),IFERROR(INDEX('Catalog'!$B:$B,MATCH($G3644,'Catalog'!$A:$A,0)),$B3644))</f>
        <v>FCתרסיס דאודורנט אנטיבק.נעל333</v>
      </c>
      <c r="I3644" s="8" t="str">
        <f aca="false">IF($G3644="","Unmatched","Matched")</f>
        <v>Matched</v>
      </c>
    </row>
    <row r="3645" customFormat="false" ht="15" hidden="false" customHeight="false" outlineLevel="0" collapsed="false">
      <c r="A3645" s="8" t="s">
        <v>1059</v>
      </c>
      <c r="B3645" s="8" t="s">
        <v>514</v>
      </c>
      <c r="C3645" s="19" t="n">
        <v>30</v>
      </c>
      <c r="D3645" s="19" t="n">
        <v>310.25</v>
      </c>
      <c r="E3645" s="19" t="n">
        <v>-30</v>
      </c>
      <c r="F3645" s="19" t="n">
        <v>-307.22</v>
      </c>
      <c r="G3645" s="8" t="n">
        <f aca="false">IFERROR(INDEX('TRANS'!$B:$B,MATCH($B3645,'TRANS'!$A:$A,0)),IFERROR(INDEX('TRANS'!$B:$B,MATCH(TRIM(SUBSTITUTE($B3645,CHAR(160)," ")),'TRANS'!$D:$D,0)),IFERROR(INDEX('Catalog'!$A:$A,MATCH($B3645,'Catalog'!$B:$B,0)),IFERROR(INDEX('Catalog'!$A:$A,MATCH(TRIM(SUBSTITUTE($B3645,CHAR(160)," ")),'Catalog'!$C:$C,0)),""))))</f>
        <v>4422036</v>
      </c>
      <c r="H3645" s="8" t="str">
        <f aca="false">IFERROR(INDEX('TRANS'!$C:$C,MATCH($B3645,'TRANS'!$A:$A,0)),IFERROR(INDEX('Catalog'!$B:$B,MATCH($G3645,'Catalog'!$A:$A,0)),$B3645))</f>
        <v>FC334  תרסיס דאודורנט לכף הרגל</v>
      </c>
      <c r="I3645" s="8" t="str">
        <f aca="false">IF($G3645="","Unmatched","Matched")</f>
        <v>Matched</v>
      </c>
    </row>
    <row r="3646" customFormat="false" ht="15" hidden="false" customHeight="false" outlineLevel="0" collapsed="false">
      <c r="A3646" s="8" t="s">
        <v>1059</v>
      </c>
      <c r="B3646" s="8" t="s">
        <v>1070</v>
      </c>
      <c r="C3646" s="19" t="n">
        <v>0</v>
      </c>
      <c r="D3646" s="19" t="n">
        <v>0</v>
      </c>
      <c r="E3646" s="19" t="n">
        <v>1</v>
      </c>
      <c r="F3646" s="19" t="n">
        <v>0.03</v>
      </c>
      <c r="G3646" s="8" t="str">
        <f aca="false">IFERROR(INDEX('TRANS'!$B:$B,MATCH($B3646,'TRANS'!$A:$A,0)),IFERROR(INDEX('TRANS'!$B:$B,MATCH(TRIM(SUBSTITUTE($B3646,CHAR(160)," ")),'TRANS'!$D:$D,0)),IFERROR(INDEX('Catalog'!$A:$A,MATCH($B3646,'Catalog'!$B:$B,0)),IFERROR(INDEX('Catalog'!$A:$A,MATCH(TRIM(SUBSTITUTE($B3646,CHAR(160)," ")),'Catalog'!$C:$C,0)),""))))</f>
        <v/>
      </c>
      <c r="H3646" s="8" t="str">
        <f aca="false">IFERROR(INDEX('TRANS'!$C:$C,MATCH($B3646,'TRANS'!$A:$A,0)),IFERROR(INDEX('Catalog'!$B:$B,MATCH($G3646,'Catalog'!$A:$A,0)),$B3646))</f>
        <v>SH322-6</v>
      </c>
      <c r="I3646" s="8" t="str">
        <f aca="false">IF($G3646="","Unmatched","Matched")</f>
        <v>Unmatched</v>
      </c>
    </row>
    <row r="3647" customFormat="false" ht="15" hidden="false" customHeight="false" outlineLevel="0" collapsed="false">
      <c r="A3647" s="8" t="s">
        <v>1059</v>
      </c>
      <c r="B3647" s="8" t="s">
        <v>522</v>
      </c>
      <c r="C3647" s="19" t="n">
        <v>3</v>
      </c>
      <c r="D3647" s="19" t="n">
        <v>255.83</v>
      </c>
      <c r="E3647" s="19" t="n">
        <v>0</v>
      </c>
      <c r="F3647" s="19" t="n">
        <v>0</v>
      </c>
      <c r="G3647" s="8" t="n">
        <f aca="false">IFERROR(INDEX('TRANS'!$B:$B,MATCH($B3647,'TRANS'!$A:$A,0)),IFERROR(INDEX('TRANS'!$B:$B,MATCH(TRIM(SUBSTITUTE($B3647,CHAR(160)," ")),'TRANS'!$D:$D,0)),IFERROR(INDEX('Catalog'!$A:$A,MATCH($B3647,'Catalog'!$B:$B,0)),IFERROR(INDEX('Catalog'!$A:$A,MATCH(TRIM(SUBSTITUTE($B3647,CHAR(160)," ")),'Catalog'!$C:$C,0)),""))))</f>
        <v>4422038</v>
      </c>
      <c r="H3647" s="8" t="str">
        <f aca="false">IFERROR(INDEX('TRANS'!$C:$C,MATCH($B3647,'TRANS'!$A:$A,0)),IFERROR(INDEX('Catalog'!$B:$B,MATCH($G3647,'Catalog'!$A:$A,0)),$B3647))</f>
        <v>SH422 2 תומך ברך גנושילד</v>
      </c>
      <c r="I3647" s="8" t="str">
        <f aca="false">IF($G3647="","Unmatched","Matched")</f>
        <v>Matched</v>
      </c>
    </row>
    <row r="3648" customFormat="false" ht="15" hidden="false" customHeight="false" outlineLevel="0" collapsed="false">
      <c r="A3648" s="8" t="s">
        <v>1059</v>
      </c>
      <c r="B3648" s="8" t="s">
        <v>523</v>
      </c>
      <c r="C3648" s="19" t="n">
        <v>5</v>
      </c>
      <c r="D3648" s="19" t="n">
        <v>426.39</v>
      </c>
      <c r="E3648" s="19" t="n">
        <v>0</v>
      </c>
      <c r="F3648" s="19" t="n">
        <v>0</v>
      </c>
      <c r="G3648" s="8" t="n">
        <f aca="false">IFERROR(INDEX('TRANS'!$B:$B,MATCH($B3648,'TRANS'!$A:$A,0)),IFERROR(INDEX('TRANS'!$B:$B,MATCH(TRIM(SUBSTITUTE($B3648,CHAR(160)," ")),'TRANS'!$D:$D,0)),IFERROR(INDEX('Catalog'!$A:$A,MATCH($B3648,'Catalog'!$B:$B,0)),IFERROR(INDEX('Catalog'!$A:$A,MATCH(TRIM(SUBSTITUTE($B3648,CHAR(160)," ")),'Catalog'!$C:$C,0)),""))))</f>
        <v>4422039</v>
      </c>
      <c r="H3648" s="8" t="str">
        <f aca="false">IFERROR(INDEX('TRANS'!$C:$C,MATCH($B3648,'TRANS'!$A:$A,0)),IFERROR(INDEX('Catalog'!$B:$B,MATCH($G3648,'Catalog'!$A:$A,0)),$B3648))</f>
        <v>SH422 3 תומך ברך גנושילד</v>
      </c>
      <c r="I3648" s="8" t="str">
        <f aca="false">IF($G3648="","Unmatched","Matched")</f>
        <v>Matched</v>
      </c>
    </row>
    <row r="3649" customFormat="false" ht="15" hidden="false" customHeight="false" outlineLevel="0" collapsed="false">
      <c r="A3649" s="8" t="s">
        <v>1059</v>
      </c>
      <c r="B3649" s="8" t="s">
        <v>524</v>
      </c>
      <c r="C3649" s="19" t="n">
        <v>5</v>
      </c>
      <c r="D3649" s="19" t="n">
        <v>426.39</v>
      </c>
      <c r="E3649" s="19" t="n">
        <v>0</v>
      </c>
      <c r="F3649" s="19" t="n">
        <v>0</v>
      </c>
      <c r="G3649" s="8" t="n">
        <f aca="false">IFERROR(INDEX('TRANS'!$B:$B,MATCH($B3649,'TRANS'!$A:$A,0)),IFERROR(INDEX('TRANS'!$B:$B,MATCH(TRIM(SUBSTITUTE($B3649,CHAR(160)," ")),'TRANS'!$D:$D,0)),IFERROR(INDEX('Catalog'!$A:$A,MATCH($B3649,'Catalog'!$B:$B,0)),IFERROR(INDEX('Catalog'!$A:$A,MATCH(TRIM(SUBSTITUTE($B3649,CHAR(160)," ")),'Catalog'!$C:$C,0)),""))))</f>
        <v>4422040</v>
      </c>
      <c r="H3649" s="8" t="str">
        <f aca="false">IFERROR(INDEX('TRANS'!$C:$C,MATCH($B3649,'TRANS'!$A:$A,0)),IFERROR(INDEX('Catalog'!$B:$B,MATCH($G3649,'Catalog'!$A:$A,0)),$B3649))</f>
        <v>SH422 4 תומך ברך גנושילד</v>
      </c>
      <c r="I3649" s="8" t="str">
        <f aca="false">IF($G3649="","Unmatched","Matched")</f>
        <v>Matched</v>
      </c>
    </row>
    <row r="3650" customFormat="false" ht="15" hidden="false" customHeight="false" outlineLevel="0" collapsed="false">
      <c r="A3650" s="8" t="s">
        <v>1059</v>
      </c>
      <c r="B3650" s="8" t="s">
        <v>308</v>
      </c>
      <c r="C3650" s="19" t="n">
        <v>5</v>
      </c>
      <c r="D3650" s="19" t="n">
        <v>426.39</v>
      </c>
      <c r="E3650" s="19" t="n">
        <v>0</v>
      </c>
      <c r="F3650" s="19" t="n">
        <v>0</v>
      </c>
      <c r="G3650" s="8" t="n">
        <f aca="false">IFERROR(INDEX('TRANS'!$B:$B,MATCH($B3650,'TRANS'!$A:$A,0)),IFERROR(INDEX('TRANS'!$B:$B,MATCH(TRIM(SUBSTITUTE($B3650,CHAR(160)," ")),'TRANS'!$D:$D,0)),IFERROR(INDEX('Catalog'!$A:$A,MATCH($B3650,'Catalog'!$B:$B,0)),IFERROR(INDEX('Catalog'!$A:$A,MATCH(TRIM(SUBSTITUTE($B3650,CHAR(160)," ")),'Catalog'!$C:$C,0)),""))))</f>
        <v>4422041</v>
      </c>
      <c r="H3650" s="8" t="str">
        <f aca="false">IFERROR(INDEX('TRANS'!$C:$C,MATCH($B3650,'TRANS'!$A:$A,0)),IFERROR(INDEX('Catalog'!$B:$B,MATCH($G3650,'Catalog'!$A:$A,0)),$B3650))</f>
        <v>SH422 5 תומך ברך גנושילד</v>
      </c>
      <c r="I3650" s="8" t="str">
        <f aca="false">IF($G3650="","Unmatched","Matched")</f>
        <v>Matched</v>
      </c>
    </row>
    <row r="3651" customFormat="false" ht="15" hidden="false" customHeight="false" outlineLevel="0" collapsed="false">
      <c r="A3651" s="8" t="s">
        <v>1059</v>
      </c>
      <c r="B3651" s="8" t="s">
        <v>525</v>
      </c>
      <c r="C3651" s="19" t="n">
        <v>5</v>
      </c>
      <c r="D3651" s="19" t="n">
        <v>426.39</v>
      </c>
      <c r="E3651" s="19" t="n">
        <v>0</v>
      </c>
      <c r="F3651" s="19" t="n">
        <v>0</v>
      </c>
      <c r="G3651" s="8" t="n">
        <f aca="false">IFERROR(INDEX('TRANS'!$B:$B,MATCH($B3651,'TRANS'!$A:$A,0)),IFERROR(INDEX('TRANS'!$B:$B,MATCH(TRIM(SUBSTITUTE($B3651,CHAR(160)," ")),'TRANS'!$D:$D,0)),IFERROR(INDEX('Catalog'!$A:$A,MATCH($B3651,'Catalog'!$B:$B,0)),IFERROR(INDEX('Catalog'!$A:$A,MATCH(TRIM(SUBSTITUTE($B3651,CHAR(160)," ")),'Catalog'!$C:$C,0)),""))))</f>
        <v>4422042</v>
      </c>
      <c r="H3651" s="8" t="str">
        <f aca="false">IFERROR(INDEX('TRANS'!$C:$C,MATCH($B3651,'TRANS'!$A:$A,0)),IFERROR(INDEX('Catalog'!$B:$B,MATCH($G3651,'Catalog'!$A:$A,0)),$B3651))</f>
        <v>SH422 6 תומך ברך גנושילד</v>
      </c>
      <c r="I3651" s="8" t="str">
        <f aca="false">IF($G3651="","Unmatched","Matched")</f>
        <v>Matched</v>
      </c>
    </row>
    <row r="3652" customFormat="false" ht="15" hidden="false" customHeight="false" outlineLevel="0" collapsed="false">
      <c r="A3652" s="8" t="s">
        <v>1059</v>
      </c>
      <c r="B3652" s="8" t="s">
        <v>1071</v>
      </c>
      <c r="C3652" s="19" t="n">
        <v>0</v>
      </c>
      <c r="D3652" s="19" t="n">
        <v>0</v>
      </c>
      <c r="E3652" s="19" t="n">
        <v>1</v>
      </c>
      <c r="F3652" s="19" t="n">
        <v>0.03</v>
      </c>
      <c r="G3652" s="8" t="str">
        <f aca="false">IFERROR(INDEX('TRANS'!$B:$B,MATCH($B3652,'TRANS'!$A:$A,0)),IFERROR(INDEX('TRANS'!$B:$B,MATCH(TRIM(SUBSTITUTE($B3652,CHAR(160)," ")),'TRANS'!$D:$D,0)),IFERROR(INDEX('Catalog'!$A:$A,MATCH($B3652,'Catalog'!$B:$B,0)),IFERROR(INDEX('Catalog'!$A:$A,MATCH(TRIM(SUBSTITUTE($B3652,CHAR(160)," ")),'Catalog'!$C:$C,0)),""))))</f>
        <v/>
      </c>
      <c r="H3652" s="8" t="str">
        <f aca="false">IFERROR(INDEX('TRANS'!$C:$C,MATCH($B3652,'TRANS'!$A:$A,0)),IFERROR(INDEX('Catalog'!$B:$B,MATCH($G3652,'Catalog'!$A:$A,0)),$B3652))</f>
        <v>SH423L 6</v>
      </c>
      <c r="I3652" s="8" t="str">
        <f aca="false">IF($G3652="","Unmatched","Matched")</f>
        <v>Unmatched</v>
      </c>
    </row>
    <row r="3653" customFormat="false" ht="15" hidden="false" customHeight="false" outlineLevel="0" collapsed="false">
      <c r="A3653" s="8" t="s">
        <v>1059</v>
      </c>
      <c r="B3653" s="8" t="s">
        <v>1072</v>
      </c>
      <c r="C3653" s="19" t="n">
        <v>30</v>
      </c>
      <c r="D3653" s="19" t="n">
        <v>1557.91</v>
      </c>
      <c r="E3653" s="19" t="n">
        <v>0</v>
      </c>
      <c r="F3653" s="19" t="n">
        <v>0</v>
      </c>
      <c r="G3653" s="8" t="str">
        <f aca="false">IFERROR(INDEX('TRANS'!$B:$B,MATCH($B3653,'TRANS'!$A:$A,0)),IFERROR(INDEX('TRANS'!$B:$B,MATCH(TRIM(SUBSTITUTE($B3653,CHAR(160)," ")),'TRANS'!$D:$D,0)),IFERROR(INDEX('Catalog'!$A:$A,MATCH($B3653,'Catalog'!$B:$B,0)),IFERROR(INDEX('Catalog'!$A:$A,MATCH(TRIM(SUBSTITUTE($B3653,CHAR(160)," ")),'Catalog'!$C:$C,0)),""))))</f>
        <v/>
      </c>
      <c r="H3653" s="8" t="str">
        <f aca="false">IFERROR(INDEX('TRANS'!$C:$C,MATCH($B3653,'TRANS'!$A:$A,0)),IFERROR(INDEX('Catalog'!$B:$B,MATCH($G3653,'Catalog'!$A:$A,0)),$B3653))</f>
        <v>ST10 0</v>
      </c>
      <c r="I3653" s="8" t="str">
        <f aca="false">IF($G3653="","Unmatched","Matched")</f>
        <v>Unmatched</v>
      </c>
    </row>
    <row r="3654" customFormat="false" ht="15" hidden="false" customHeight="false" outlineLevel="0" collapsed="false">
      <c r="A3654" s="8" t="s">
        <v>1059</v>
      </c>
      <c r="B3654" s="8" t="s">
        <v>529</v>
      </c>
      <c r="C3654" s="19" t="n">
        <v>0</v>
      </c>
      <c r="D3654" s="19" t="n">
        <v>0</v>
      </c>
      <c r="E3654" s="19" t="n">
        <v>630</v>
      </c>
      <c r="F3654" s="19" t="n">
        <v>28285.4</v>
      </c>
      <c r="G3654" s="8" t="n">
        <f aca="false">IFERROR(INDEX('TRANS'!$B:$B,MATCH($B3654,'TRANS'!$A:$A,0)),IFERROR(INDEX('TRANS'!$B:$B,MATCH(TRIM(SUBSTITUTE($B3654,CHAR(160)," ")),'TRANS'!$D:$D,0)),IFERROR(INDEX('Catalog'!$A:$A,MATCH($B3654,'Catalog'!$B:$B,0)),IFERROR(INDEX('Catalog'!$A:$A,MATCH(TRIM(SUBSTITUTE($B3654,CHAR(160)," ")),'Catalog'!$C:$C,0)),""))))</f>
        <v>4408270</v>
      </c>
      <c r="H3654" s="8" t="str">
        <f aca="false">IFERROR(INDEX('TRANS'!$C:$C,MATCH($B3654,'TRANS'!$A:$A,0)),IFERROR(INDEX('Catalog'!$B:$B,MATCH($G3654,'Catalog'!$A:$A,0)),$B3654))</f>
        <v>ST11  חגורת בטן</v>
      </c>
      <c r="I3654" s="8" t="str">
        <f aca="false">IF($G3654="","Unmatched","Matched")</f>
        <v>Matched</v>
      </c>
    </row>
    <row r="3655" customFormat="false" ht="15" hidden="false" customHeight="false" outlineLevel="0" collapsed="false">
      <c r="A3655" s="8" t="s">
        <v>1059</v>
      </c>
      <c r="B3655" s="8" t="s">
        <v>531</v>
      </c>
      <c r="C3655" s="19" t="n">
        <v>4800</v>
      </c>
      <c r="D3655" s="19" t="n">
        <v>66726.56</v>
      </c>
      <c r="E3655" s="19" t="n">
        <v>5500</v>
      </c>
      <c r="F3655" s="19" t="n">
        <v>77415.73</v>
      </c>
      <c r="G3655" s="8" t="n">
        <f aca="false">IFERROR(INDEX('TRANS'!$B:$B,MATCH($B3655,'TRANS'!$A:$A,0)),IFERROR(INDEX('TRANS'!$B:$B,MATCH(TRIM(SUBSTITUTE($B3655,CHAR(160)," ")),'TRANS'!$D:$D,0)),IFERROR(INDEX('Catalog'!$A:$A,MATCH($B3655,'Catalog'!$B:$B,0)),IFERROR(INDEX('Catalog'!$A:$A,MATCH(TRIM(SUBSTITUTE($B3655,CHAR(160)," ")),'Catalog'!$C:$C,0)),""))))</f>
        <v>4408267</v>
      </c>
      <c r="H3655" s="8" t="str">
        <f aca="false">IFERROR(INDEX('TRANS'!$C:$C,MATCH($B3655,'TRANS'!$A:$A,0)),IFERROR(INDEX('Catalog'!$B:$B,MATCH($G3655,'Catalog'!$A:$A,0)),$B3655))</f>
        <v>ST25 חבק שורש לכף היד</v>
      </c>
      <c r="I3655" s="8" t="str">
        <f aca="false">IF($G3655="","Unmatched","Matched")</f>
        <v>Matched</v>
      </c>
    </row>
    <row r="3656" customFormat="false" ht="15" hidden="false" customHeight="false" outlineLevel="0" collapsed="false">
      <c r="A3656" s="8" t="s">
        <v>1059</v>
      </c>
      <c r="B3656" s="8" t="s">
        <v>532</v>
      </c>
      <c r="C3656" s="19" t="n">
        <v>5</v>
      </c>
      <c r="D3656" s="19" t="n">
        <v>78.44</v>
      </c>
      <c r="E3656" s="19" t="n">
        <v>135</v>
      </c>
      <c r="F3656" s="19" t="n">
        <v>2205.05</v>
      </c>
      <c r="G3656" s="8" t="str">
        <f aca="false">IFERROR(INDEX('TRANS'!$B:$B,MATCH($B3656,'TRANS'!$A:$A,0)),IFERROR(INDEX('TRANS'!$B:$B,MATCH(TRIM(SUBSTITUTE($B3656,CHAR(160)," ")),'TRANS'!$D:$D,0)),IFERROR(INDEX('Catalog'!$A:$A,MATCH($B3656,'Catalog'!$B:$B,0)),IFERROR(INDEX('Catalog'!$A:$A,MATCH(TRIM(SUBSTITUTE($B3656,CHAR(160)," ")),'Catalog'!$C:$C,0)),""))))</f>
        <v/>
      </c>
      <c r="H3656" s="8" t="str">
        <f aca="false">IFERROR(INDEX('TRANS'!$C:$C,MATCH($B3656,'TRANS'!$A:$A,0)),IFERROR(INDEX('Catalog'!$B:$B,MATCH($G3656,'Catalog'!$A:$A,0)),$B3656))</f>
        <v>ST27L 0</v>
      </c>
      <c r="I3656" s="8" t="str">
        <f aca="false">IF($G3656="","Unmatched","Matched")</f>
        <v>Unmatched</v>
      </c>
    </row>
    <row r="3657" customFormat="false" ht="15" hidden="false" customHeight="false" outlineLevel="0" collapsed="false">
      <c r="A3657" s="8" t="s">
        <v>1059</v>
      </c>
      <c r="B3657" s="8" t="s">
        <v>533</v>
      </c>
      <c r="C3657" s="19" t="n">
        <v>159</v>
      </c>
      <c r="D3657" s="19" t="n">
        <v>2642.53</v>
      </c>
      <c r="E3657" s="19" t="n">
        <v>155</v>
      </c>
      <c r="F3657" s="19" t="n">
        <v>2532.72</v>
      </c>
      <c r="G3657" s="8" t="str">
        <f aca="false">IFERROR(INDEX('TRANS'!$B:$B,MATCH($B3657,'TRANS'!$A:$A,0)),IFERROR(INDEX('TRANS'!$B:$B,MATCH(TRIM(SUBSTITUTE($B3657,CHAR(160)," ")),'TRANS'!$D:$D,0)),IFERROR(INDEX('Catalog'!$A:$A,MATCH($B3657,'Catalog'!$B:$B,0)),IFERROR(INDEX('Catalog'!$A:$A,MATCH(TRIM(SUBSTITUTE($B3657,CHAR(160)," ")),'Catalog'!$C:$C,0)),""))))</f>
        <v/>
      </c>
      <c r="H3657" s="8" t="str">
        <f aca="false">IFERROR(INDEX('TRANS'!$C:$C,MATCH($B3657,'TRANS'!$A:$A,0)),IFERROR(INDEX('Catalog'!$B:$B,MATCH($G3657,'Catalog'!$A:$A,0)),$B3657))</f>
        <v>ST27R 0</v>
      </c>
      <c r="I3657" s="8" t="str">
        <f aca="false">IF($G3657="","Unmatched","Matched")</f>
        <v>Unmatched</v>
      </c>
    </row>
    <row r="3658" customFormat="false" ht="15" hidden="false" customHeight="false" outlineLevel="0" collapsed="false">
      <c r="A3658" s="8" t="s">
        <v>1059</v>
      </c>
      <c r="B3658" s="8" t="s">
        <v>534</v>
      </c>
      <c r="C3658" s="19" t="n">
        <v>250</v>
      </c>
      <c r="D3658" s="19" t="n">
        <v>3848.53</v>
      </c>
      <c r="E3658" s="19" t="n">
        <v>300</v>
      </c>
      <c r="F3658" s="19" t="n">
        <v>4576.1</v>
      </c>
      <c r="G3658" s="8" t="n">
        <f aca="false">IFERROR(INDEX('TRANS'!$B:$B,MATCH($B3658,'TRANS'!$A:$A,0)),IFERROR(INDEX('TRANS'!$B:$B,MATCH(TRIM(SUBSTITUTE($B3658,CHAR(160)," ")),'TRANS'!$D:$D,0)),IFERROR(INDEX('Catalog'!$A:$A,MATCH($B3658,'Catalog'!$B:$B,0)),IFERROR(INDEX('Catalog'!$A:$A,MATCH(TRIM(SUBSTITUTE($B3658,CHAR(160)," ")),'Catalog'!$C:$C,0)),""))))</f>
        <v>4415177</v>
      </c>
      <c r="H3658" s="8" t="str">
        <f aca="false">IFERROR(INDEX('TRANS'!$C:$C,MATCH($B3658,'TRANS'!$A:$A,0)),IFERROR(INDEX('Catalog'!$B:$B,MATCH($G3658,'Catalog'!$A:$A,0)),$B3658))</f>
        <v>ST28 סד אגודלי עם מוט תמיכה</v>
      </c>
      <c r="I3658" s="8" t="str">
        <f aca="false">IF($G3658="","Unmatched","Matched")</f>
        <v>Matched</v>
      </c>
    </row>
    <row r="3659" customFormat="false" ht="15" hidden="false" customHeight="false" outlineLevel="0" collapsed="false">
      <c r="A3659" s="8" t="s">
        <v>1059</v>
      </c>
      <c r="B3659" s="8" t="s">
        <v>535</v>
      </c>
      <c r="C3659" s="19" t="n">
        <v>550</v>
      </c>
      <c r="D3659" s="19" t="n">
        <v>8740.02</v>
      </c>
      <c r="E3659" s="19" t="n">
        <v>490</v>
      </c>
      <c r="F3659" s="19" t="n">
        <v>6920.5</v>
      </c>
      <c r="G3659" s="8" t="n">
        <f aca="false">IFERROR(INDEX('TRANS'!$B:$B,MATCH($B3659,'TRANS'!$A:$A,0)),IFERROR(INDEX('TRANS'!$B:$B,MATCH(TRIM(SUBSTITUTE($B3659,CHAR(160)," ")),'TRANS'!$D:$D,0)),IFERROR(INDEX('Catalog'!$A:$A,MATCH($B3659,'Catalog'!$B:$B,0)),IFERROR(INDEX('Catalog'!$A:$A,MATCH(TRIM(SUBSTITUTE($B3659,CHAR(160)," ")),'Catalog'!$C:$C,0)),""))))</f>
        <v>4408269</v>
      </c>
      <c r="H3659" s="8" t="str">
        <f aca="false">IFERROR(INDEX('TRANS'!$C:$C,MATCH($B3659,'TRANS'!$A:$A,0)),IFERROR(INDEX('Catalog'!$B:$B,MATCH($G3659,'Catalog'!$A:$A,0)),$B3659))</f>
        <v>ST37 חבק לקרסול</v>
      </c>
      <c r="I3659" s="8" t="str">
        <f aca="false">IF($G3659="","Unmatched","Matched")</f>
        <v>Matched</v>
      </c>
    </row>
    <row r="3660" customFormat="false" ht="15" hidden="false" customHeight="false" outlineLevel="0" collapsed="false">
      <c r="A3660" s="8" t="s">
        <v>1059</v>
      </c>
      <c r="B3660" s="8" t="s">
        <v>537</v>
      </c>
      <c r="C3660" s="19" t="n">
        <v>20</v>
      </c>
      <c r="D3660" s="19" t="n">
        <v>586.92</v>
      </c>
      <c r="E3660" s="19" t="n">
        <v>25</v>
      </c>
      <c r="F3660" s="19" t="n">
        <v>778.82</v>
      </c>
      <c r="G3660" s="8" t="n">
        <f aca="false">IFERROR(INDEX('TRANS'!$B:$B,MATCH($B3660,'TRANS'!$A:$A,0)),IFERROR(INDEX('TRANS'!$B:$B,MATCH(TRIM(SUBSTITUTE($B3660,CHAR(160)," ")),'TRANS'!$D:$D,0)),IFERROR(INDEX('Catalog'!$A:$A,MATCH($B3660,'Catalog'!$B:$B,0)),IFERROR(INDEX('Catalog'!$A:$A,MATCH(TRIM(SUBSTITUTE($B3660,CHAR(160)," ")),'Catalog'!$C:$C,0)),""))))</f>
        <v>4402011</v>
      </c>
      <c r="H3660" s="8" t="str">
        <f aca="false">IFERROR(INDEX('TRANS'!$C:$C,MATCH($B3660,'TRANS'!$A:$A,0)),IFERROR(INDEX('Catalog'!$B:$B,MATCH($G3660,'Catalog'!$A:$A,0)),$B3660))</f>
        <v>S-XLST422 מגן ברך+כרית ג'ל</v>
      </c>
      <c r="I3660" s="8" t="str">
        <f aca="false">IF($G3660="","Unmatched","Matched")</f>
        <v>Matched</v>
      </c>
    </row>
    <row r="3661" customFormat="false" ht="15" hidden="false" customHeight="false" outlineLevel="0" collapsed="false">
      <c r="A3661" s="8" t="s">
        <v>1059</v>
      </c>
      <c r="B3661" s="8" t="s">
        <v>538</v>
      </c>
      <c r="C3661" s="19" t="n">
        <v>60</v>
      </c>
      <c r="D3661" s="19" t="n">
        <v>4107.28</v>
      </c>
      <c r="E3661" s="19" t="n">
        <v>50</v>
      </c>
      <c r="F3661" s="19" t="n">
        <v>3265.99</v>
      </c>
      <c r="G3661" s="8" t="n">
        <f aca="false">IFERROR(INDEX('TRANS'!$B:$B,MATCH($B3661,'TRANS'!$A:$A,0)),IFERROR(INDEX('TRANS'!$B:$B,MATCH(TRIM(SUBSTITUTE($B3661,CHAR(160)," ")),'TRANS'!$D:$D,0)),IFERROR(INDEX('Catalog'!$A:$A,MATCH($B3661,'Catalog'!$B:$B,0)),IFERROR(INDEX('Catalog'!$A:$A,MATCH(TRIM(SUBSTITUTE($B3661,CHAR(160)," ")),'Catalog'!$C:$C,0)),""))))</f>
        <v>4413532</v>
      </c>
      <c r="H3661" s="8" t="str">
        <f aca="false">IFERROR(INDEX('TRANS'!$C:$C,MATCH($B3661,'TRANS'!$A:$A,0)),IFERROR(INDEX('Catalog'!$B:$B,MATCH($G3661,'Catalog'!$A:$A,0)),$B3661))</f>
        <v>ST433 H מגן ברך עם ציר</v>
      </c>
      <c r="I3661" s="8" t="str">
        <f aca="false">IF($G3661="","Unmatched","Matched")</f>
        <v>Matched</v>
      </c>
    </row>
    <row r="3662" customFormat="false" ht="15" hidden="false" customHeight="false" outlineLevel="0" collapsed="false">
      <c r="A3662" s="8" t="s">
        <v>1059</v>
      </c>
      <c r="B3662" s="8" t="s">
        <v>569</v>
      </c>
      <c r="C3662" s="19" t="n">
        <v>1550</v>
      </c>
      <c r="D3662" s="19" t="n">
        <v>27116.8</v>
      </c>
      <c r="E3662" s="19" t="n">
        <v>2928</v>
      </c>
      <c r="F3662" s="19" t="n">
        <v>48283.04</v>
      </c>
      <c r="G3662" s="8" t="str">
        <f aca="false">IFERROR(INDEX('TRANS'!$B:$B,MATCH($B3662,'TRANS'!$A:$A,0)),IFERROR(INDEX('TRANS'!$B:$B,MATCH(TRIM(SUBSTITUTE($B3662,CHAR(160)," ")),'TRANS'!$D:$D,0)),IFERROR(INDEX('Catalog'!$A:$A,MATCH($B3662,'Catalog'!$B:$B,0)),IFERROR(INDEX('Catalog'!$A:$A,MATCH(TRIM(SUBSTITUTE($B3662,CHAR(160)," ")),'Catalog'!$C:$C,0)),""))))</f>
        <v/>
      </c>
      <c r="H3662" s="8" t="str">
        <f aca="false">IFERROR(INDEX('TRANS'!$C:$C,MATCH($B3662,'TRANS'!$A:$A,0)),IFERROR(INDEX('Catalog'!$B:$B,MATCH($G3662,'Catalog'!$A:$A,0)),$B3662))</f>
        <v>ST45X 0</v>
      </c>
      <c r="I3662" s="8" t="str">
        <f aca="false">IF($G3662="","Unmatched","Matched")</f>
        <v>Unmatched</v>
      </c>
    </row>
    <row r="3663" customFormat="false" ht="15" hidden="false" customHeight="false" outlineLevel="0" collapsed="false">
      <c r="A3663" s="8" t="s">
        <v>1059</v>
      </c>
      <c r="B3663" s="8" t="s">
        <v>539</v>
      </c>
      <c r="C3663" s="19" t="n">
        <v>75</v>
      </c>
      <c r="D3663" s="19" t="n">
        <v>1271.38</v>
      </c>
      <c r="E3663" s="19" t="n">
        <v>115</v>
      </c>
      <c r="F3663" s="19" t="n">
        <v>1821.12</v>
      </c>
      <c r="G3663" s="8" t="n">
        <f aca="false">IFERROR(INDEX('TRANS'!$B:$B,MATCH($B3663,'TRANS'!$A:$A,0)),IFERROR(INDEX('TRANS'!$B:$B,MATCH(TRIM(SUBSTITUTE($B3663,CHAR(160)," ")),'TRANS'!$D:$D,0)),IFERROR(INDEX('Catalog'!$A:$A,MATCH($B3663,'Catalog'!$B:$B,0)),IFERROR(INDEX('Catalog'!$A:$A,MATCH(TRIM(SUBSTITUTE($B3663,CHAR(160)," ")),'Catalog'!$C:$C,0)),""))))</f>
        <v>4413533</v>
      </c>
      <c r="H3663" s="8" t="str">
        <f aca="false">IFERROR(INDEX('TRANS'!$C:$C,MATCH($B3663,'TRANS'!$A:$A,0)),IFERROR(INDEX('Catalog'!$B:$B,MATCH($G3663,'Catalog'!$A:$A,0)),$B3663))</f>
        <v>ST49 מגן ירך</v>
      </c>
      <c r="I3663" s="8" t="str">
        <f aca="false">IF($G3663="","Unmatched","Matched")</f>
        <v>Matched</v>
      </c>
    </row>
    <row r="3664" customFormat="false" ht="15" hidden="false" customHeight="false" outlineLevel="0" collapsed="false">
      <c r="A3664" s="8" t="s">
        <v>1059</v>
      </c>
      <c r="B3664" s="8" t="s">
        <v>540</v>
      </c>
      <c r="C3664" s="19" t="n">
        <v>340</v>
      </c>
      <c r="D3664" s="19" t="n">
        <v>4904.87</v>
      </c>
      <c r="E3664" s="19" t="n">
        <v>360</v>
      </c>
      <c r="F3664" s="19" t="n">
        <v>5216.74</v>
      </c>
      <c r="G3664" s="8" t="n">
        <f aca="false">IFERROR(INDEX('TRANS'!$B:$B,MATCH($B3664,'TRANS'!$A:$A,0)),IFERROR(INDEX('TRANS'!$B:$B,MATCH(TRIM(SUBSTITUTE($B3664,CHAR(160)," ")),'TRANS'!$D:$D,0)),IFERROR(INDEX('Catalog'!$A:$A,MATCH($B3664,'Catalog'!$B:$B,0)),IFERROR(INDEX('Catalog'!$A:$A,MATCH(TRIM(SUBSTITUTE($B3664,CHAR(160)," ")),'Catalog'!$C:$C,0)),""))))</f>
        <v>4413531</v>
      </c>
      <c r="H3664" s="8" t="str">
        <f aca="false">IFERROR(INDEX('TRANS'!$C:$C,MATCH($B3664,'TRANS'!$A:$A,0)),IFERROR(INDEX('Catalog'!$B:$B,MATCH($G3664,'Catalog'!$A:$A,0)),$B3664))</f>
        <v>ST91 מגן מרפק לטניס</v>
      </c>
      <c r="I3664" s="8" t="str">
        <f aca="false">IF($G3664="","Unmatched","Matched")</f>
        <v>Matched</v>
      </c>
    </row>
    <row r="3665" customFormat="false" ht="15" hidden="false" customHeight="false" outlineLevel="0" collapsed="false">
      <c r="A3665" s="8" t="s">
        <v>1059</v>
      </c>
      <c r="B3665" s="8" t="s">
        <v>1055</v>
      </c>
      <c r="C3665" s="19" t="n">
        <v>160</v>
      </c>
      <c r="D3665" s="19" t="n">
        <v>2769.61</v>
      </c>
      <c r="E3665" s="19" t="n">
        <v>370</v>
      </c>
      <c r="F3665" s="19" t="n">
        <v>6466.05</v>
      </c>
      <c r="G3665" s="8" t="str">
        <f aca="false">IFERROR(INDEX('TRANS'!$B:$B,MATCH($B3665,'TRANS'!$A:$A,0)),IFERROR(INDEX('TRANS'!$B:$B,MATCH(TRIM(SUBSTITUTE($B3665,CHAR(160)," ")),'TRANS'!$D:$D,0)),IFERROR(INDEX('Catalog'!$A:$A,MATCH($B3665,'Catalog'!$B:$B,0)),IFERROR(INDEX('Catalog'!$A:$A,MATCH(TRIM(SUBSTITUTE($B3665,CHAR(160)," ")),'Catalog'!$C:$C,0)),""))))</f>
        <v/>
      </c>
      <c r="H3665" s="8" t="str">
        <f aca="false">IFERROR(INDEX('TRANS'!$C:$C,MATCH($B3665,'TRANS'!$A:$A,0)),IFERROR(INDEX('Catalog'!$B:$B,MATCH($G3665,'Catalog'!$A:$A,0)),$B3665))</f>
        <v>ST95 0</v>
      </c>
      <c r="I3665" s="8" t="str">
        <f aca="false">IF($G3665="","Unmatched","Matched")</f>
        <v>Unmatched</v>
      </c>
    </row>
    <row r="3666" customFormat="false" ht="15" hidden="false" customHeight="false" outlineLevel="0" collapsed="false">
      <c r="A3666" s="8" t="s">
        <v>1059</v>
      </c>
      <c r="B3666" s="8" t="s">
        <v>831</v>
      </c>
      <c r="C3666" s="19" t="n">
        <v>0</v>
      </c>
      <c r="D3666" s="19" t="n">
        <v>0</v>
      </c>
      <c r="E3666" s="19" t="n">
        <v>1</v>
      </c>
      <c r="F3666" s="19" t="n">
        <v>0.03</v>
      </c>
      <c r="G3666" s="8" t="str">
        <f aca="false">IFERROR(INDEX('TRANS'!$B:$B,MATCH($B3666,'TRANS'!$A:$A,0)),IFERROR(INDEX('TRANS'!$B:$B,MATCH(TRIM(SUBSTITUTE($B3666,CHAR(160)," ")),'TRANS'!$D:$D,0)),IFERROR(INDEX('Catalog'!$A:$A,MATCH($B3666,'Catalog'!$B:$B,0)),IFERROR(INDEX('Catalog'!$A:$A,MATCH(TRIM(SUBSTITUTE($B3666,CHAR(160)," ")),'Catalog'!$C:$C,0)),""))))</f>
        <v/>
      </c>
      <c r="H3666" s="8" t="str">
        <f aca="false">IFERROR(INDEX('TRANS'!$C:$C,MATCH($B3666,'TRANS'!$A:$A,0)),IFERROR(INDEX('Catalog'!$B:$B,MATCH($G3666,'Catalog'!$A:$A,0)),$B3666))</f>
        <v>T066B-L-XL</v>
      </c>
      <c r="I3666" s="8" t="str">
        <f aca="false">IF($G3666="","Unmatched","Matched")</f>
        <v>Unmatched</v>
      </c>
    </row>
    <row r="3667" customFormat="false" ht="15" hidden="false" customHeight="false" outlineLevel="0" collapsed="false">
      <c r="A3667" s="8" t="s">
        <v>1059</v>
      </c>
      <c r="B3667" s="8" t="s">
        <v>668</v>
      </c>
      <c r="C3667" s="19" t="n">
        <v>0</v>
      </c>
      <c r="D3667" s="19" t="n">
        <v>0</v>
      </c>
      <c r="E3667" s="19" t="n">
        <v>20</v>
      </c>
      <c r="F3667" s="19" t="n">
        <v>505.63</v>
      </c>
      <c r="G3667" s="8" t="n">
        <f aca="false">IFERROR(INDEX('TRANS'!$B:$B,MATCH($B3667,'TRANS'!$A:$A,0)),IFERROR(INDEX('TRANS'!$B:$B,MATCH(TRIM(SUBSTITUTE($B3667,CHAR(160)," ")),'TRANS'!$D:$D,0)),IFERROR(INDEX('Catalog'!$A:$A,MATCH($B3667,'Catalog'!$B:$B,0)),IFERROR(INDEX('Catalog'!$A:$A,MATCH(TRIM(SUBSTITUTE($B3667,CHAR(160)," ")),'Catalog'!$C:$C,0)),""))))</f>
        <v>4415073</v>
      </c>
      <c r="H3667" s="8" t="str">
        <f aca="false">IFERROR(INDEX('TRANS'!$C:$C,MATCH($B3667,'TRANS'!$A:$A,0)),IFERROR(INDEX('Catalog'!$B:$B,MATCH($G3667,'Catalog'!$A:$A,0)),$B3667))</f>
        <v>T28A L-XL סד לאגודל</v>
      </c>
      <c r="I3667" s="8" t="str">
        <f aca="false">IF($G3667="","Unmatched","Matched")</f>
        <v>Matched</v>
      </c>
    </row>
    <row r="3668" customFormat="false" ht="15" hidden="false" customHeight="false" outlineLevel="0" collapsed="false">
      <c r="A3668" s="8" t="s">
        <v>1059</v>
      </c>
      <c r="B3668" s="8" t="s">
        <v>570</v>
      </c>
      <c r="C3668" s="19" t="n">
        <v>22</v>
      </c>
      <c r="D3668" s="19" t="n">
        <v>565.24</v>
      </c>
      <c r="E3668" s="19" t="n">
        <v>25</v>
      </c>
      <c r="F3668" s="19" t="n">
        <v>600.86</v>
      </c>
      <c r="G3668" s="8" t="n">
        <f aca="false">IFERROR(INDEX('TRANS'!$B:$B,MATCH($B3668,'TRANS'!$A:$A,0)),IFERROR(INDEX('TRANS'!$B:$B,MATCH(TRIM(SUBSTITUTE($B3668,CHAR(160)," ")),'TRANS'!$D:$D,0)),IFERROR(INDEX('Catalog'!$A:$A,MATCH($B3668,'Catalog'!$B:$B,0)),IFERROR(INDEX('Catalog'!$A:$A,MATCH(TRIM(SUBSTITUTE($B3668,CHAR(160)," ")),'Catalog'!$C:$C,0)),""))))</f>
        <v>4415072</v>
      </c>
      <c r="H3668" s="8" t="str">
        <f aca="false">IFERROR(INDEX('TRANS'!$C:$C,MATCH($B3668,'TRANS'!$A:$A,0)),IFERROR(INDEX('Catalog'!$B:$B,MATCH($G3668,'Catalog'!$A:$A,0)),$B3668))</f>
        <v>T28A S-M סד לאגודל</v>
      </c>
      <c r="I3668" s="8" t="str">
        <f aca="false">IF($G3668="","Unmatched","Matched")</f>
        <v>Matched</v>
      </c>
    </row>
    <row r="3669" customFormat="false" ht="15" hidden="false" customHeight="false" outlineLevel="0" collapsed="false">
      <c r="A3669" s="8" t="s">
        <v>1059</v>
      </c>
      <c r="B3669" s="8" t="s">
        <v>543</v>
      </c>
      <c r="C3669" s="19" t="n">
        <v>0</v>
      </c>
      <c r="D3669" s="19" t="n">
        <v>0</v>
      </c>
      <c r="E3669" s="19" t="n">
        <v>1</v>
      </c>
      <c r="F3669" s="19" t="n">
        <v>0.03</v>
      </c>
      <c r="G3669" s="8" t="str">
        <f aca="false">IFERROR(INDEX('TRANS'!$B:$B,MATCH($B3669,'TRANS'!$A:$A,0)),IFERROR(INDEX('TRANS'!$B:$B,MATCH(TRIM(SUBSTITUTE($B3669,CHAR(160)," ")),'TRANS'!$D:$D,0)),IFERROR(INDEX('Catalog'!$A:$A,MATCH($B3669,'Catalog'!$B:$B,0)),IFERROR(INDEX('Catalog'!$A:$A,MATCH(TRIM(SUBSTITUTE($B3669,CHAR(160)," ")),'Catalog'!$C:$C,0)),""))))</f>
        <v/>
      </c>
      <c r="H3669" s="8" t="str">
        <f aca="false">IFERROR(INDEX('TRANS'!$C:$C,MATCH($B3669,'TRANS'!$A:$A,0)),IFERROR(INDEX('Catalog'!$B:$B,MATCH($G3669,'Catalog'!$A:$A,0)),$B3669))</f>
        <v>T36B L</v>
      </c>
      <c r="I3669" s="8" t="str">
        <f aca="false">IF($G3669="","Unmatched","Matched")</f>
        <v>Unmatched</v>
      </c>
    </row>
    <row r="3670" customFormat="false" ht="15" hidden="false" customHeight="false" outlineLevel="0" collapsed="false">
      <c r="A3670" s="8" t="s">
        <v>1059</v>
      </c>
      <c r="B3670" s="8" t="s">
        <v>325</v>
      </c>
      <c r="C3670" s="19" t="n">
        <v>5</v>
      </c>
      <c r="D3670" s="19" t="n">
        <v>218.76</v>
      </c>
      <c r="E3670" s="19" t="n">
        <v>0</v>
      </c>
      <c r="F3670" s="19" t="n">
        <v>0</v>
      </c>
      <c r="G3670" s="8" t="str">
        <f aca="false">IFERROR(INDEX('TRANS'!$B:$B,MATCH($B3670,'TRANS'!$A:$A,0)),IFERROR(INDEX('TRANS'!$B:$B,MATCH(TRIM(SUBSTITUTE($B3670,CHAR(160)," ")),'TRANS'!$D:$D,0)),IFERROR(INDEX('Catalog'!$A:$A,MATCH($B3670,'Catalog'!$B:$B,0)),IFERROR(INDEX('Catalog'!$A:$A,MATCH(TRIM(SUBSTITUTE($B3670,CHAR(160)," ")),'Catalog'!$C:$C,0)),""))))</f>
        <v/>
      </c>
      <c r="H3670" s="8" t="str">
        <f aca="false">IFERROR(INDEX('TRANS'!$C:$C,MATCH($B3670,'TRANS'!$A:$A,0)),IFERROR(INDEX('Catalog'!$B:$B,MATCH($G3670,'Catalog'!$A:$A,0)),$B3670))</f>
        <v>T402 L</v>
      </c>
      <c r="I3670" s="8" t="str">
        <f aca="false">IF($G3670="","Unmatched","Matched")</f>
        <v>Unmatched</v>
      </c>
    </row>
    <row r="3671" customFormat="false" ht="15" hidden="false" customHeight="false" outlineLevel="0" collapsed="false">
      <c r="A3671" s="8" t="s">
        <v>1059</v>
      </c>
      <c r="B3671" s="8" t="s">
        <v>326</v>
      </c>
      <c r="C3671" s="19" t="n">
        <v>5</v>
      </c>
      <c r="D3671" s="19" t="n">
        <v>218.76</v>
      </c>
      <c r="E3671" s="19" t="n">
        <v>0</v>
      </c>
      <c r="F3671" s="19" t="n">
        <v>0</v>
      </c>
      <c r="G3671" s="8" t="str">
        <f aca="false">IFERROR(INDEX('TRANS'!$B:$B,MATCH($B3671,'TRANS'!$A:$A,0)),IFERROR(INDEX('TRANS'!$B:$B,MATCH(TRIM(SUBSTITUTE($B3671,CHAR(160)," ")),'TRANS'!$D:$D,0)),IFERROR(INDEX('Catalog'!$A:$A,MATCH($B3671,'Catalog'!$B:$B,0)),IFERROR(INDEX('Catalog'!$A:$A,MATCH(TRIM(SUBSTITUTE($B3671,CHAR(160)," ")),'Catalog'!$C:$C,0)),""))))</f>
        <v/>
      </c>
      <c r="H3671" s="8" t="str">
        <f aca="false">IFERROR(INDEX('TRANS'!$C:$C,MATCH($B3671,'TRANS'!$A:$A,0)),IFERROR(INDEX('Catalog'!$B:$B,MATCH($G3671,'Catalog'!$A:$A,0)),$B3671))</f>
        <v>T402 M</v>
      </c>
      <c r="I3671" s="8" t="str">
        <f aca="false">IF($G3671="","Unmatched","Matched")</f>
        <v>Unmatched</v>
      </c>
    </row>
    <row r="3672" customFormat="false" ht="15" hidden="false" customHeight="false" outlineLevel="0" collapsed="false">
      <c r="A3672" s="8" t="s">
        <v>1059</v>
      </c>
      <c r="B3672" s="8" t="s">
        <v>327</v>
      </c>
      <c r="C3672" s="19" t="n">
        <v>5</v>
      </c>
      <c r="D3672" s="19" t="n">
        <v>218.76</v>
      </c>
      <c r="E3672" s="19" t="n">
        <v>0</v>
      </c>
      <c r="F3672" s="19" t="n">
        <v>0</v>
      </c>
      <c r="G3672" s="8" t="str">
        <f aca="false">IFERROR(INDEX('TRANS'!$B:$B,MATCH($B3672,'TRANS'!$A:$A,0)),IFERROR(INDEX('TRANS'!$B:$B,MATCH(TRIM(SUBSTITUTE($B3672,CHAR(160)," ")),'TRANS'!$D:$D,0)),IFERROR(INDEX('Catalog'!$A:$A,MATCH($B3672,'Catalog'!$B:$B,0)),IFERROR(INDEX('Catalog'!$A:$A,MATCH(TRIM(SUBSTITUTE($B3672,CHAR(160)," ")),'Catalog'!$C:$C,0)),""))))</f>
        <v/>
      </c>
      <c r="H3672" s="8" t="str">
        <f aca="false">IFERROR(INDEX('TRANS'!$C:$C,MATCH($B3672,'TRANS'!$A:$A,0)),IFERROR(INDEX('Catalog'!$B:$B,MATCH($G3672,'Catalog'!$A:$A,0)),$B3672))</f>
        <v>T402 S</v>
      </c>
      <c r="I3672" s="8" t="str">
        <f aca="false">IF($G3672="","Unmatched","Matched")</f>
        <v>Unmatched</v>
      </c>
    </row>
    <row r="3673" customFormat="false" ht="15" hidden="false" customHeight="false" outlineLevel="0" collapsed="false">
      <c r="A3673" s="8" t="s">
        <v>1059</v>
      </c>
      <c r="B3673" s="8" t="s">
        <v>328</v>
      </c>
      <c r="C3673" s="19" t="n">
        <v>5</v>
      </c>
      <c r="D3673" s="19" t="n">
        <v>218.76</v>
      </c>
      <c r="E3673" s="19" t="n">
        <v>0</v>
      </c>
      <c r="F3673" s="19" t="n">
        <v>0</v>
      </c>
      <c r="G3673" s="8" t="str">
        <f aca="false">IFERROR(INDEX('TRANS'!$B:$B,MATCH($B3673,'TRANS'!$A:$A,0)),IFERROR(INDEX('TRANS'!$B:$B,MATCH(TRIM(SUBSTITUTE($B3673,CHAR(160)," ")),'TRANS'!$D:$D,0)),IFERROR(INDEX('Catalog'!$A:$A,MATCH($B3673,'Catalog'!$B:$B,0)),IFERROR(INDEX('Catalog'!$A:$A,MATCH(TRIM(SUBSTITUTE($B3673,CHAR(160)," ")),'Catalog'!$C:$C,0)),""))))</f>
        <v/>
      </c>
      <c r="H3673" s="8" t="str">
        <f aca="false">IFERROR(INDEX('TRANS'!$C:$C,MATCH($B3673,'TRANS'!$A:$A,0)),IFERROR(INDEX('Catalog'!$B:$B,MATCH($G3673,'Catalog'!$A:$A,0)),$B3673))</f>
        <v>T402 XL</v>
      </c>
      <c r="I3673" s="8" t="str">
        <f aca="false">IF($G3673="","Unmatched","Matched")</f>
        <v>Unmatched</v>
      </c>
    </row>
    <row r="3674" customFormat="false" ht="15" hidden="false" customHeight="false" outlineLevel="0" collapsed="false">
      <c r="A3674" s="8" t="s">
        <v>1059</v>
      </c>
      <c r="B3674" s="8" t="s">
        <v>611</v>
      </c>
      <c r="C3674" s="19" t="n">
        <v>5</v>
      </c>
      <c r="D3674" s="19" t="n">
        <v>218.76</v>
      </c>
      <c r="E3674" s="19" t="n">
        <v>0</v>
      </c>
      <c r="F3674" s="19" t="n">
        <v>0</v>
      </c>
      <c r="G3674" s="8" t="str">
        <f aca="false">IFERROR(INDEX('TRANS'!$B:$B,MATCH($B3674,'TRANS'!$A:$A,0)),IFERROR(INDEX('TRANS'!$B:$B,MATCH(TRIM(SUBSTITUTE($B3674,CHAR(160)," ")),'TRANS'!$D:$D,0)),IFERROR(INDEX('Catalog'!$A:$A,MATCH($B3674,'Catalog'!$B:$B,0)),IFERROR(INDEX('Catalog'!$A:$A,MATCH(TRIM(SUBSTITUTE($B3674,CHAR(160)," ")),'Catalog'!$C:$C,0)),""))))</f>
        <v/>
      </c>
      <c r="H3674" s="8" t="str">
        <f aca="false">IFERROR(INDEX('TRANS'!$C:$C,MATCH($B3674,'TRANS'!$A:$A,0)),IFERROR(INDEX('Catalog'!$B:$B,MATCH($G3674,'Catalog'!$A:$A,0)),$B3674))</f>
        <v>T402 XXL</v>
      </c>
      <c r="I3674" s="8" t="str">
        <f aca="false">IF($G3674="","Unmatched","Matched")</f>
        <v>Unmatched</v>
      </c>
    </row>
    <row r="3675" customFormat="false" ht="15" hidden="false" customHeight="false" outlineLevel="0" collapsed="false">
      <c r="A3675" s="8" t="s">
        <v>1059</v>
      </c>
      <c r="B3675" s="8" t="s">
        <v>544</v>
      </c>
      <c r="C3675" s="19" t="n">
        <v>0</v>
      </c>
      <c r="D3675" s="19" t="n">
        <v>0</v>
      </c>
      <c r="E3675" s="19" t="n">
        <v>10</v>
      </c>
      <c r="F3675" s="19" t="n">
        <v>333.98</v>
      </c>
      <c r="G3675" s="8" t="str">
        <f aca="false">IFERROR(INDEX('TRANS'!$B:$B,MATCH($B3675,'TRANS'!$A:$A,0)),IFERROR(INDEX('TRANS'!$B:$B,MATCH(TRIM(SUBSTITUTE($B3675,CHAR(160)," ")),'TRANS'!$D:$D,0)),IFERROR(INDEX('Catalog'!$A:$A,MATCH($B3675,'Catalog'!$B:$B,0)),IFERROR(INDEX('Catalog'!$A:$A,MATCH(TRIM(SUBSTITUTE($B3675,CHAR(160)," ")),'Catalog'!$C:$C,0)),""))))</f>
        <v/>
      </c>
      <c r="H3675" s="8" t="str">
        <f aca="false">IFERROR(INDEX('TRANS'!$C:$C,MATCH($B3675,'TRANS'!$A:$A,0)),IFERROR(INDEX('Catalog'!$B:$B,MATCH($G3675,'Catalog'!$A:$A,0)),$B3675))</f>
        <v>T40B 0</v>
      </c>
      <c r="I3675" s="8" t="str">
        <f aca="false">IF($G3675="","Unmatched","Matched")</f>
        <v>Unmatched</v>
      </c>
    </row>
    <row r="3676" customFormat="false" ht="15" hidden="false" customHeight="false" outlineLevel="0" collapsed="false">
      <c r="A3676" s="8" t="s">
        <v>1059</v>
      </c>
      <c r="B3676" s="8" t="s">
        <v>832</v>
      </c>
      <c r="C3676" s="19" t="n">
        <v>0</v>
      </c>
      <c r="D3676" s="19" t="n">
        <v>0</v>
      </c>
      <c r="E3676" s="19" t="n">
        <v>1</v>
      </c>
      <c r="F3676" s="19" t="n">
        <v>0.03</v>
      </c>
      <c r="G3676" s="8" t="str">
        <f aca="false">IFERROR(INDEX('TRANS'!$B:$B,MATCH($B3676,'TRANS'!$A:$A,0)),IFERROR(INDEX('TRANS'!$B:$B,MATCH(TRIM(SUBSTITUTE($B3676,CHAR(160)," ")),'TRANS'!$D:$D,0)),IFERROR(INDEX('Catalog'!$A:$A,MATCH($B3676,'Catalog'!$B:$B,0)),IFERROR(INDEX('Catalog'!$A:$A,MATCH(TRIM(SUBSTITUTE($B3676,CHAR(160)," ")),'Catalog'!$C:$C,0)),""))))</f>
        <v/>
      </c>
      <c r="H3676" s="8" t="str">
        <f aca="false">IFERROR(INDEX('TRANS'!$C:$C,MATCH($B3676,'TRANS'!$A:$A,0)),IFERROR(INDEX('Catalog'!$B:$B,MATCH($G3676,'Catalog'!$A:$A,0)),$B3676))</f>
        <v>T46B L</v>
      </c>
      <c r="I3676" s="8" t="str">
        <f aca="false">IF($G3676="","Unmatched","Matched")</f>
        <v>Unmatched</v>
      </c>
    </row>
    <row r="3677" customFormat="false" ht="15" hidden="false" customHeight="false" outlineLevel="0" collapsed="false">
      <c r="A3677" s="8" t="s">
        <v>1059</v>
      </c>
      <c r="B3677" s="8" t="s">
        <v>332</v>
      </c>
      <c r="C3677" s="19" t="n">
        <v>0</v>
      </c>
      <c r="D3677" s="19" t="n">
        <v>0</v>
      </c>
      <c r="E3677" s="19" t="n">
        <v>20</v>
      </c>
      <c r="F3677" s="19" t="n">
        <v>1491.45</v>
      </c>
      <c r="G3677" s="8" t="n">
        <f aca="false">IFERROR(INDEX('TRANS'!$B:$B,MATCH($B3677,'TRANS'!$A:$A,0)),IFERROR(INDEX('TRANS'!$B:$B,MATCH(TRIM(SUBSTITUTE($B3677,CHAR(160)," ")),'TRANS'!$D:$D,0)),IFERROR(INDEX('Catalog'!$A:$A,MATCH($B3677,'Catalog'!$B:$B,0)),IFERROR(INDEX('Catalog'!$A:$A,MATCH(TRIM(SUBSTITUTE($B3677,CHAR(160)," ")),'Catalog'!$C:$C,0)),""))))</f>
        <v>4422006</v>
      </c>
      <c r="H3677" s="8" t="str">
        <f aca="false">IFERROR(INDEX('TRANS'!$C:$C,MATCH($B3677,'TRANS'!$A:$A,0)),IFERROR(INDEX('Catalog'!$B:$B,MATCH($G3677,'Catalog'!$A:$A,0)),$B3677))</f>
        <v>T78 L תומך זרוע וכתף</v>
      </c>
      <c r="I3677" s="8" t="str">
        <f aca="false">IF($G3677="","Unmatched","Matched")</f>
        <v>Matched</v>
      </c>
    </row>
    <row r="3678" customFormat="false" ht="15" hidden="false" customHeight="false" outlineLevel="0" collapsed="false">
      <c r="A3678" s="8" t="s">
        <v>1059</v>
      </c>
      <c r="B3678" s="8" t="s">
        <v>452</v>
      </c>
      <c r="C3678" s="19" t="n">
        <v>0</v>
      </c>
      <c r="D3678" s="19" t="n">
        <v>0</v>
      </c>
      <c r="E3678" s="19" t="n">
        <v>15</v>
      </c>
      <c r="F3678" s="19" t="n">
        <v>1118.59</v>
      </c>
      <c r="G3678" s="8" t="n">
        <f aca="false">IFERROR(INDEX('TRANS'!$B:$B,MATCH($B3678,'TRANS'!$A:$A,0)),IFERROR(INDEX('TRANS'!$B:$B,MATCH(TRIM(SUBSTITUTE($B3678,CHAR(160)," ")),'TRANS'!$D:$D,0)),IFERROR(INDEX('Catalog'!$A:$A,MATCH($B3678,'Catalog'!$B:$B,0)),IFERROR(INDEX('Catalog'!$A:$A,MATCH(TRIM(SUBSTITUTE($B3678,CHAR(160)," ")),'Catalog'!$C:$C,0)),""))))</f>
        <v>4422005</v>
      </c>
      <c r="H3678" s="8" t="str">
        <f aca="false">IFERROR(INDEX('TRANS'!$C:$C,MATCH($B3678,'TRANS'!$A:$A,0)),IFERROR(INDEX('Catalog'!$B:$B,MATCH($G3678,'Catalog'!$A:$A,0)),$B3678))</f>
        <v>T78 M תומך זרוע וכתף</v>
      </c>
      <c r="I3678" s="8" t="str">
        <f aca="false">IF($G3678="","Unmatched","Matched")</f>
        <v>Matched</v>
      </c>
    </row>
    <row r="3679" customFormat="false" ht="15" hidden="false" customHeight="false" outlineLevel="0" collapsed="false">
      <c r="A3679" s="8" t="s">
        <v>1059</v>
      </c>
      <c r="B3679" s="8" t="s">
        <v>632</v>
      </c>
      <c r="C3679" s="19" t="n">
        <v>0</v>
      </c>
      <c r="D3679" s="19" t="n">
        <v>0</v>
      </c>
      <c r="E3679" s="19" t="n">
        <v>10</v>
      </c>
      <c r="F3679" s="19" t="n">
        <v>745.73</v>
      </c>
      <c r="G3679" s="8" t="n">
        <f aca="false">IFERROR(INDEX('TRANS'!$B:$B,MATCH($B3679,'TRANS'!$A:$A,0)),IFERROR(INDEX('TRANS'!$B:$B,MATCH(TRIM(SUBSTITUTE($B3679,CHAR(160)," ")),'TRANS'!$D:$D,0)),IFERROR(INDEX('Catalog'!$A:$A,MATCH($B3679,'Catalog'!$B:$B,0)),IFERROR(INDEX('Catalog'!$A:$A,MATCH(TRIM(SUBSTITUTE($B3679,CHAR(160)," ")),'Catalog'!$C:$C,0)),""))))</f>
        <v>4422007</v>
      </c>
      <c r="H3679" s="8" t="str">
        <f aca="false">IFERROR(INDEX('TRANS'!$C:$C,MATCH($B3679,'TRANS'!$A:$A,0)),IFERROR(INDEX('Catalog'!$B:$B,MATCH($G3679,'Catalog'!$A:$A,0)),$B3679))</f>
        <v>T78 XLתומך זרוע וכתף</v>
      </c>
      <c r="I3679" s="8" t="str">
        <f aca="false">IF($G3679="","Unmatched","Matched")</f>
        <v>Matched</v>
      </c>
    </row>
    <row r="3680" customFormat="false" ht="15" hidden="false" customHeight="false" outlineLevel="0" collapsed="false">
      <c r="A3680" s="8" t="s">
        <v>1059</v>
      </c>
      <c r="B3680" s="8" t="s">
        <v>612</v>
      </c>
      <c r="C3680" s="19" t="n">
        <v>0</v>
      </c>
      <c r="D3680" s="19" t="n">
        <v>0</v>
      </c>
      <c r="E3680" s="19" t="n">
        <v>5</v>
      </c>
      <c r="F3680" s="19" t="n">
        <v>372.86</v>
      </c>
      <c r="G3680" s="8" t="n">
        <f aca="false">IFERROR(INDEX('TRANS'!$B:$B,MATCH($B3680,'TRANS'!$A:$A,0)),IFERROR(INDEX('TRANS'!$B:$B,MATCH(TRIM(SUBSTITUTE($B3680,CHAR(160)," ")),'TRANS'!$D:$D,0)),IFERROR(INDEX('Catalog'!$A:$A,MATCH($B3680,'Catalog'!$B:$B,0)),IFERROR(INDEX('Catalog'!$A:$A,MATCH(TRIM(SUBSTITUTE($B3680,CHAR(160)," ")),'Catalog'!$C:$C,0)),""))))</f>
        <v>4422009</v>
      </c>
      <c r="H3680" s="8" t="str">
        <f aca="false">IFERROR(INDEX('TRANS'!$C:$C,MATCH($B3680,'TRANS'!$A:$A,0)),IFERROR(INDEX('Catalog'!$B:$B,MATCH($G3680,'Catalog'!$A:$A,0)),$B3680))</f>
        <v>T78 XXL תומך זרוע וכתף</v>
      </c>
      <c r="I3680" s="8" t="str">
        <f aca="false">IF($G3680="","Unmatched","Matched")</f>
        <v>Matched</v>
      </c>
    </row>
    <row r="3681" customFormat="false" ht="15" hidden="false" customHeight="false" outlineLevel="0" collapsed="false">
      <c r="A3681" s="8" t="s">
        <v>1059</v>
      </c>
      <c r="B3681" s="8" t="s">
        <v>1020</v>
      </c>
      <c r="C3681" s="19" t="n">
        <v>0</v>
      </c>
      <c r="D3681" s="19" t="n">
        <v>0</v>
      </c>
      <c r="E3681" s="19" t="n">
        <v>-1</v>
      </c>
      <c r="F3681" s="19" t="n">
        <v>-22807.55</v>
      </c>
      <c r="G3681" s="8" t="str">
        <f aca="false">IFERROR(INDEX('TRANS'!$B:$B,MATCH($B3681,'TRANS'!$A:$A,0)),IFERROR(INDEX('TRANS'!$B:$B,MATCH(TRIM(SUBSTITUTE($B3681,CHAR(160)," ")),'TRANS'!$D:$D,0)),IFERROR(INDEX('Catalog'!$A:$A,MATCH($B3681,'Catalog'!$B:$B,0)),IFERROR(INDEX('Catalog'!$A:$A,MATCH(TRIM(SUBSTITUTE($B3681,CHAR(160)," ")),'Catalog'!$C:$C,0)),""))))</f>
        <v/>
      </c>
      <c r="H3681" s="8" t="str">
        <f aca="false">IFERROR(INDEX('TRANS'!$C:$C,MATCH($B3681,'TRANS'!$A:$A,0)),IFERROR(INDEX('Catalog'!$B:$B,MATCH($G3681,'Catalog'!$A:$A,0)),$B3681))</f>
        <v>הנחות לקוחות</v>
      </c>
      <c r="I3681" s="8" t="str">
        <f aca="false">IF($G3681="","Unmatched","Matched")</f>
        <v>Unmatched</v>
      </c>
    </row>
    <row r="3682" customFormat="false" ht="15" hidden="false" customHeight="false" outlineLevel="0" collapsed="false">
      <c r="A3682" s="8" t="s">
        <v>1073</v>
      </c>
      <c r="B3682" s="8" t="s">
        <v>1074</v>
      </c>
      <c r="C3682" s="19" t="n">
        <v>10</v>
      </c>
      <c r="D3682" s="19" t="n">
        <v>1756.68</v>
      </c>
      <c r="E3682" s="19" t="n">
        <v>0</v>
      </c>
      <c r="F3682" s="19" t="n">
        <v>0</v>
      </c>
      <c r="G3682" s="8" t="str">
        <f aca="false">IFERROR(INDEX('TRANS'!$B:$B,MATCH($B3682,'TRANS'!$A:$A,0)),IFERROR(INDEX('TRANS'!$B:$B,MATCH(TRIM(SUBSTITUTE($B3682,CHAR(160)," ")),'TRANS'!$D:$D,0)),IFERROR(INDEX('Catalog'!$A:$A,MATCH($B3682,'Catalog'!$B:$B,0)),IFERROR(INDEX('Catalog'!$A:$A,MATCH(TRIM(SUBSTITUTE($B3682,CHAR(160)," ")),'Catalog'!$C:$C,0)),""))))</f>
        <v/>
      </c>
      <c r="H3682" s="8" t="str">
        <f aca="false">IFERROR(INDEX('TRANS'!$C:$C,MATCH($B3682,'TRANS'!$A:$A,0)),IFERROR(INDEX('Catalog'!$B:$B,MATCH($G3682,'Catalog'!$A:$A,0)),$B3682))</f>
        <v>07AE L</v>
      </c>
      <c r="I3682" s="8" t="str">
        <f aca="false">IF($G3682="","Unmatched","Matched")</f>
        <v>Unmatched</v>
      </c>
    </row>
    <row r="3683" customFormat="false" ht="15" hidden="false" customHeight="false" outlineLevel="0" collapsed="false">
      <c r="A3683" s="8" t="s">
        <v>1073</v>
      </c>
      <c r="B3683" s="8" t="s">
        <v>1075</v>
      </c>
      <c r="C3683" s="19" t="n">
        <v>20</v>
      </c>
      <c r="D3683" s="19" t="n">
        <v>3513.36</v>
      </c>
      <c r="E3683" s="19" t="n">
        <v>0</v>
      </c>
      <c r="F3683" s="19" t="n">
        <v>0</v>
      </c>
      <c r="G3683" s="8" t="str">
        <f aca="false">IFERROR(INDEX('TRANS'!$B:$B,MATCH($B3683,'TRANS'!$A:$A,0)),IFERROR(INDEX('TRANS'!$B:$B,MATCH(TRIM(SUBSTITUTE($B3683,CHAR(160)," ")),'TRANS'!$D:$D,0)),IFERROR(INDEX('Catalog'!$A:$A,MATCH($B3683,'Catalog'!$B:$B,0)),IFERROR(INDEX('Catalog'!$A:$A,MATCH(TRIM(SUBSTITUTE($B3683,CHAR(160)," ")),'Catalog'!$C:$C,0)),""))))</f>
        <v/>
      </c>
      <c r="H3683" s="8" t="str">
        <f aca="false">IFERROR(INDEX('TRANS'!$C:$C,MATCH($B3683,'TRANS'!$A:$A,0)),IFERROR(INDEX('Catalog'!$B:$B,MATCH($G3683,'Catalog'!$A:$A,0)),$B3683))</f>
        <v>07AE M</v>
      </c>
      <c r="I3683" s="8" t="str">
        <f aca="false">IF($G3683="","Unmatched","Matched")</f>
        <v>Unmatched</v>
      </c>
    </row>
    <row r="3684" customFormat="false" ht="15" hidden="false" customHeight="false" outlineLevel="0" collapsed="false">
      <c r="A3684" s="8" t="s">
        <v>1073</v>
      </c>
      <c r="B3684" s="8" t="s">
        <v>1076</v>
      </c>
      <c r="C3684" s="19" t="n">
        <v>5</v>
      </c>
      <c r="D3684" s="19" t="n">
        <v>878.34</v>
      </c>
      <c r="E3684" s="19" t="n">
        <v>0</v>
      </c>
      <c r="F3684" s="19" t="n">
        <v>0</v>
      </c>
      <c r="G3684" s="8" t="str">
        <f aca="false">IFERROR(INDEX('TRANS'!$B:$B,MATCH($B3684,'TRANS'!$A:$A,0)),IFERROR(INDEX('TRANS'!$B:$B,MATCH(TRIM(SUBSTITUTE($B3684,CHAR(160)," ")),'TRANS'!$D:$D,0)),IFERROR(INDEX('Catalog'!$A:$A,MATCH($B3684,'Catalog'!$B:$B,0)),IFERROR(INDEX('Catalog'!$A:$A,MATCH(TRIM(SUBSTITUTE($B3684,CHAR(160)," ")),'Catalog'!$C:$C,0)),""))))</f>
        <v/>
      </c>
      <c r="H3684" s="8" t="str">
        <f aca="false">IFERROR(INDEX('TRANS'!$C:$C,MATCH($B3684,'TRANS'!$A:$A,0)),IFERROR(INDEX('Catalog'!$B:$B,MATCH($G3684,'Catalog'!$A:$A,0)),$B3684))</f>
        <v>07AE S</v>
      </c>
      <c r="I3684" s="8" t="str">
        <f aca="false">IF($G3684="","Unmatched","Matched")</f>
        <v>Unmatched</v>
      </c>
    </row>
    <row r="3685" customFormat="false" ht="15" hidden="false" customHeight="false" outlineLevel="0" collapsed="false">
      <c r="A3685" s="8" t="s">
        <v>1073</v>
      </c>
      <c r="B3685" s="8" t="s">
        <v>338</v>
      </c>
      <c r="C3685" s="19" t="n">
        <v>5</v>
      </c>
      <c r="D3685" s="19" t="n">
        <v>0.03</v>
      </c>
      <c r="E3685" s="19" t="n">
        <v>0</v>
      </c>
      <c r="F3685" s="19" t="n">
        <v>0</v>
      </c>
      <c r="G3685" s="8" t="str">
        <f aca="false">IFERROR(INDEX('TRANS'!$B:$B,MATCH($B3685,'TRANS'!$A:$A,0)),IFERROR(INDEX('TRANS'!$B:$B,MATCH(TRIM(SUBSTITUTE($B3685,CHAR(160)," ")),'TRANS'!$D:$D,0)),IFERROR(INDEX('Catalog'!$A:$A,MATCH($B3685,'Catalog'!$B:$B,0)),IFERROR(INDEX('Catalog'!$A:$A,MATCH(TRIM(SUBSTITUTE($B3685,CHAR(160)," ")),'Catalog'!$C:$C,0)),""))))</f>
        <v/>
      </c>
      <c r="H3685" s="8" t="str">
        <f aca="false">IFERROR(INDEX('TRANS'!$C:$C,MATCH($B3685,'TRANS'!$A:$A,0)),IFERROR(INDEX('Catalog'!$B:$B,MATCH($G3685,'Catalog'!$A:$A,0)),$B3685))</f>
        <v>07AE XL</v>
      </c>
      <c r="I3685" s="8" t="str">
        <f aca="false">IF($G3685="","Unmatched","Matched")</f>
        <v>Unmatched</v>
      </c>
    </row>
    <row r="3686" customFormat="false" ht="15" hidden="false" customHeight="false" outlineLevel="0" collapsed="false">
      <c r="A3686" s="8" t="s">
        <v>1073</v>
      </c>
      <c r="B3686" s="8" t="s">
        <v>1077</v>
      </c>
      <c r="C3686" s="19" t="n">
        <v>10</v>
      </c>
      <c r="D3686" s="19" t="n">
        <v>1756.68</v>
      </c>
      <c r="E3686" s="19" t="n">
        <v>0</v>
      </c>
      <c r="F3686" s="19" t="n">
        <v>0</v>
      </c>
      <c r="G3686" s="8" t="str">
        <f aca="false">IFERROR(INDEX('TRANS'!$B:$B,MATCH($B3686,'TRANS'!$A:$A,0)),IFERROR(INDEX('TRANS'!$B:$B,MATCH(TRIM(SUBSTITUTE($B3686,CHAR(160)," ")),'TRANS'!$D:$D,0)),IFERROR(INDEX('Catalog'!$A:$A,MATCH($B3686,'Catalog'!$B:$B,0)),IFERROR(INDEX('Catalog'!$A:$A,MATCH(TRIM(SUBSTITUTE($B3686,CHAR(160)," ")),'Catalog'!$C:$C,0)),""))))</f>
        <v/>
      </c>
      <c r="H3686" s="8" t="str">
        <f aca="false">IFERROR(INDEX('TRANS'!$C:$C,MATCH($B3686,'TRANS'!$A:$A,0)),IFERROR(INDEX('Catalog'!$B:$B,MATCH($G3686,'Catalog'!$A:$A,0)),$B3686))</f>
        <v>07AE XXL</v>
      </c>
      <c r="I3686" s="8" t="str">
        <f aca="false">IF($G3686="","Unmatched","Matched")</f>
        <v>Unmatched</v>
      </c>
    </row>
    <row r="3687" customFormat="false" ht="15" hidden="false" customHeight="false" outlineLevel="0" collapsed="false">
      <c r="A3687" s="8" t="s">
        <v>1073</v>
      </c>
      <c r="B3687" s="8" t="s">
        <v>68</v>
      </c>
      <c r="C3687" s="19" t="n">
        <v>5</v>
      </c>
      <c r="D3687" s="19" t="n">
        <v>399.72</v>
      </c>
      <c r="E3687" s="19" t="n">
        <v>0</v>
      </c>
      <c r="F3687" s="19" t="n">
        <v>0</v>
      </c>
      <c r="G3687" s="8" t="n">
        <f aca="false">IFERROR(INDEX('TRANS'!$B:$B,MATCH($B3687,'TRANS'!$A:$A,0)),IFERROR(INDEX('TRANS'!$B:$B,MATCH(TRIM(SUBSTITUTE($B3687,CHAR(160)," ")),'TRANS'!$D:$D,0)),IFERROR(INDEX('Catalog'!$A:$A,MATCH($B3687,'Catalog'!$B:$B,0)),IFERROR(INDEX('Catalog'!$A:$A,MATCH(TRIM(SUBSTITUTE($B3687,CHAR(160)," ")),'Catalog'!$C:$C,0)),""))))</f>
        <v>4408027</v>
      </c>
      <c r="H3687" s="8" t="str">
        <f aca="false">IFERROR(INDEX('TRANS'!$C:$C,MATCH($B3687,'TRANS'!$A:$A,0)),IFERROR(INDEX('Catalog'!$B:$B,MATCH($G3687,'Catalog'!$A:$A,0)),$B3687))</f>
        <v>10 L """"חגורת גב """"לומבו</v>
      </c>
      <c r="I3687" s="8" t="str">
        <f aca="false">IF($G3687="","Unmatched","Matched")</f>
        <v>Matched</v>
      </c>
    </row>
    <row r="3688" customFormat="false" ht="15" hidden="false" customHeight="false" outlineLevel="0" collapsed="false">
      <c r="A3688" s="8" t="s">
        <v>1073</v>
      </c>
      <c r="B3688" s="8" t="s">
        <v>69</v>
      </c>
      <c r="C3688" s="19" t="n">
        <v>10</v>
      </c>
      <c r="D3688" s="19" t="n">
        <v>799.45</v>
      </c>
      <c r="E3688" s="19" t="n">
        <v>0</v>
      </c>
      <c r="F3688" s="19" t="n">
        <v>0</v>
      </c>
      <c r="G3688" s="8" t="n">
        <f aca="false">IFERROR(INDEX('TRANS'!$B:$B,MATCH($B3688,'TRANS'!$A:$A,0)),IFERROR(INDEX('TRANS'!$B:$B,MATCH(TRIM(SUBSTITUTE($B3688,CHAR(160)," ")),'TRANS'!$D:$D,0)),IFERROR(INDEX('Catalog'!$A:$A,MATCH($B3688,'Catalog'!$B:$B,0)),IFERROR(INDEX('Catalog'!$A:$A,MATCH(TRIM(SUBSTITUTE($B3688,CHAR(160)," ")),'Catalog'!$C:$C,0)),""))))</f>
        <v>4408028</v>
      </c>
      <c r="H3688" s="8" t="str">
        <f aca="false">IFERROR(INDEX('TRANS'!$C:$C,MATCH($B3688,'TRANS'!$A:$A,0)),IFERROR(INDEX('Catalog'!$B:$B,MATCH($G3688,'Catalog'!$A:$A,0)),$B3688))</f>
        <v>10 M """"חגורת גב """"לומבו</v>
      </c>
      <c r="I3688" s="8" t="str">
        <f aca="false">IF($G3688="","Unmatched","Matched")</f>
        <v>Matched</v>
      </c>
    </row>
    <row r="3689" customFormat="false" ht="15" hidden="false" customHeight="false" outlineLevel="0" collapsed="false">
      <c r="A3689" s="8" t="s">
        <v>1073</v>
      </c>
      <c r="B3689" s="8" t="s">
        <v>925</v>
      </c>
      <c r="C3689" s="19" t="n">
        <v>5</v>
      </c>
      <c r="D3689" s="19" t="n">
        <v>399.72</v>
      </c>
      <c r="E3689" s="19" t="n">
        <v>0</v>
      </c>
      <c r="F3689" s="19" t="n">
        <v>0</v>
      </c>
      <c r="G3689" s="8" t="str">
        <f aca="false">IFERROR(INDEX('TRANS'!$B:$B,MATCH($B3689,'TRANS'!$A:$A,0)),IFERROR(INDEX('TRANS'!$B:$B,MATCH(TRIM(SUBSTITUTE($B3689,CHAR(160)," ")),'TRANS'!$D:$D,0)),IFERROR(INDEX('Catalog'!$A:$A,MATCH($B3689,'Catalog'!$B:$B,0)),IFERROR(INDEX('Catalog'!$A:$A,MATCH(TRIM(SUBSTITUTE($B3689,CHAR(160)," ")),'Catalog'!$C:$C,0)),""))))</f>
        <v/>
      </c>
      <c r="H3689" s="8" t="str">
        <f aca="false">IFERROR(INDEX('TRANS'!$C:$C,MATCH($B3689,'TRANS'!$A:$A,0)),IFERROR(INDEX('Catalog'!$B:$B,MATCH($G3689,'Catalog'!$A:$A,0)),$B3689))</f>
        <v>10 S</v>
      </c>
      <c r="I3689" s="8" t="str">
        <f aca="false">IF($G3689="","Unmatched","Matched")</f>
        <v>Unmatched</v>
      </c>
    </row>
    <row r="3690" customFormat="false" ht="15" hidden="false" customHeight="false" outlineLevel="0" collapsed="false">
      <c r="A3690" s="8" t="s">
        <v>1073</v>
      </c>
      <c r="B3690" s="8" t="s">
        <v>70</v>
      </c>
      <c r="C3690" s="19" t="n">
        <v>5</v>
      </c>
      <c r="D3690" s="19" t="n">
        <v>0.03</v>
      </c>
      <c r="E3690" s="19" t="n">
        <v>0</v>
      </c>
      <c r="F3690" s="19" t="n">
        <v>0</v>
      </c>
      <c r="G3690" s="8" t="n">
        <f aca="false">IFERROR(INDEX('TRANS'!$B:$B,MATCH($B3690,'TRANS'!$A:$A,0)),IFERROR(INDEX('TRANS'!$B:$B,MATCH(TRIM(SUBSTITUTE($B3690,CHAR(160)," ")),'TRANS'!$D:$D,0)),IFERROR(INDEX('Catalog'!$A:$A,MATCH($B3690,'Catalog'!$B:$B,0)),IFERROR(INDEX('Catalog'!$A:$A,MATCH(TRIM(SUBSTITUTE($B3690,CHAR(160)," ")),'Catalog'!$C:$C,0)),""))))</f>
        <v>4408029</v>
      </c>
      <c r="H3690" s="8" t="str">
        <f aca="false">IFERROR(INDEX('TRANS'!$C:$C,MATCH($B3690,'TRANS'!$A:$A,0)),IFERROR(INDEX('Catalog'!$B:$B,MATCH($G3690,'Catalog'!$A:$A,0)),$B3690))</f>
        <v>10 XL """"חגורת גב """"לומבו</v>
      </c>
      <c r="I3690" s="8" t="str">
        <f aca="false">IF($G3690="","Unmatched","Matched")</f>
        <v>Matched</v>
      </c>
    </row>
    <row r="3691" customFormat="false" ht="15" hidden="false" customHeight="false" outlineLevel="0" collapsed="false">
      <c r="A3691" s="8" t="s">
        <v>1073</v>
      </c>
      <c r="B3691" s="8" t="s">
        <v>1078</v>
      </c>
      <c r="C3691" s="19" t="n">
        <v>5</v>
      </c>
      <c r="D3691" s="19" t="n">
        <v>399.72</v>
      </c>
      <c r="E3691" s="19" t="n">
        <v>0</v>
      </c>
      <c r="F3691" s="19" t="n">
        <v>0</v>
      </c>
      <c r="G3691" s="8" t="str">
        <f aca="false">IFERROR(INDEX('TRANS'!$B:$B,MATCH($B3691,'TRANS'!$A:$A,0)),IFERROR(INDEX('TRANS'!$B:$B,MATCH(TRIM(SUBSTITUTE($B3691,CHAR(160)," ")),'TRANS'!$D:$D,0)),IFERROR(INDEX('Catalog'!$A:$A,MATCH($B3691,'Catalog'!$B:$B,0)),IFERROR(INDEX('Catalog'!$A:$A,MATCH(TRIM(SUBSTITUTE($B3691,CHAR(160)," ")),'Catalog'!$C:$C,0)),""))))</f>
        <v/>
      </c>
      <c r="H3691" s="8" t="str">
        <f aca="false">IFERROR(INDEX('TRANS'!$C:$C,MATCH($B3691,'TRANS'!$A:$A,0)),IFERROR(INDEX('Catalog'!$B:$B,MATCH($G3691,'Catalog'!$A:$A,0)),$B3691))</f>
        <v>10 XS</v>
      </c>
      <c r="I3691" s="8" t="str">
        <f aca="false">IF($G3691="","Unmatched","Matched")</f>
        <v>Unmatched</v>
      </c>
    </row>
    <row r="3692" customFormat="false" ht="15" hidden="false" customHeight="false" outlineLevel="0" collapsed="false">
      <c r="A3692" s="8" t="s">
        <v>1073</v>
      </c>
      <c r="B3692" s="8" t="s">
        <v>457</v>
      </c>
      <c r="C3692" s="19" t="n">
        <v>20</v>
      </c>
      <c r="D3692" s="19" t="n">
        <v>1598.91</v>
      </c>
      <c r="E3692" s="19" t="n">
        <v>0</v>
      </c>
      <c r="F3692" s="19" t="n">
        <v>0</v>
      </c>
      <c r="G3692" s="8" t="str">
        <f aca="false">IFERROR(INDEX('TRANS'!$B:$B,MATCH($B3692,'TRANS'!$A:$A,0)),IFERROR(INDEX('TRANS'!$B:$B,MATCH(TRIM(SUBSTITUTE($B3692,CHAR(160)," ")),'TRANS'!$D:$D,0)),IFERROR(INDEX('Catalog'!$A:$A,MATCH($B3692,'Catalog'!$B:$B,0)),IFERROR(INDEX('Catalog'!$A:$A,MATCH(TRIM(SUBSTITUTE($B3692,CHAR(160)," ")),'Catalog'!$C:$C,0)),""))))</f>
        <v/>
      </c>
      <c r="H3692" s="8" t="str">
        <f aca="false">IFERROR(INDEX('TRANS'!$C:$C,MATCH($B3692,'TRANS'!$A:$A,0)),IFERROR(INDEX('Catalog'!$B:$B,MATCH($G3692,'Catalog'!$A:$A,0)),$B3692))</f>
        <v>10 XXL</v>
      </c>
      <c r="I3692" s="8" t="str">
        <f aca="false">IF($G3692="","Unmatched","Matched")</f>
        <v>Unmatched</v>
      </c>
    </row>
    <row r="3693" customFormat="false" ht="15" hidden="false" customHeight="false" outlineLevel="0" collapsed="false">
      <c r="A3693" s="8" t="s">
        <v>1073</v>
      </c>
      <c r="B3693" s="8" t="s">
        <v>1079</v>
      </c>
      <c r="C3693" s="19" t="n">
        <v>5</v>
      </c>
      <c r="D3693" s="19" t="n">
        <v>0.18</v>
      </c>
      <c r="E3693" s="19" t="n">
        <v>0</v>
      </c>
      <c r="F3693" s="19" t="n">
        <v>0</v>
      </c>
      <c r="G3693" s="8" t="str">
        <f aca="false">IFERROR(INDEX('TRANS'!$B:$B,MATCH($B3693,'TRANS'!$A:$A,0)),IFERROR(INDEX('TRANS'!$B:$B,MATCH(TRIM(SUBSTITUTE($B3693,CHAR(160)," ")),'TRANS'!$D:$D,0)),IFERROR(INDEX('Catalog'!$A:$A,MATCH($B3693,'Catalog'!$B:$B,0)),IFERROR(INDEX('Catalog'!$A:$A,MATCH(TRIM(SUBSTITUTE($B3693,CHAR(160)," ")),'Catalog'!$C:$C,0)),""))))</f>
        <v/>
      </c>
      <c r="H3693" s="8" t="str">
        <f aca="false">IFERROR(INDEX('TRANS'!$C:$C,MATCH($B3693,'TRANS'!$A:$A,0)),IFERROR(INDEX('Catalog'!$B:$B,MATCH($G3693,'Catalog'!$A:$A,0)),$B3693))</f>
        <v>1000FC</v>
      </c>
      <c r="I3693" s="8" t="str">
        <f aca="false">IF($G3693="","Unmatched","Matched")</f>
        <v>Unmatched</v>
      </c>
    </row>
    <row r="3694" customFormat="false" ht="15" hidden="false" customHeight="false" outlineLevel="0" collapsed="false">
      <c r="A3694" s="8" t="s">
        <v>1073</v>
      </c>
      <c r="B3694" s="8" t="s">
        <v>82</v>
      </c>
      <c r="C3694" s="19" t="n">
        <v>55</v>
      </c>
      <c r="D3694" s="19" t="n">
        <v>3595.85</v>
      </c>
      <c r="E3694" s="19" t="n">
        <v>0</v>
      </c>
      <c r="F3694" s="19" t="n">
        <v>0</v>
      </c>
      <c r="G3694" s="8" t="n">
        <f aca="false">IFERROR(INDEX('TRANS'!$B:$B,MATCH($B3694,'TRANS'!$A:$A,0)),IFERROR(INDEX('TRANS'!$B:$B,MATCH(TRIM(SUBSTITUTE($B3694,CHAR(160)," ")),'TRANS'!$D:$D,0)),IFERROR(INDEX('Catalog'!$A:$A,MATCH($B3694,'Catalog'!$B:$B,0)),IFERROR(INDEX('Catalog'!$A:$A,MATCH(TRIM(SUBSTITUTE($B3694,CHAR(160)," ")),'Catalog'!$C:$C,0)),""))))</f>
        <v>4408203</v>
      </c>
      <c r="H3694" s="8" t="str">
        <f aca="false">IFERROR(INDEX('TRANS'!$C:$C,MATCH($B3694,'TRANS'!$A:$A,0)),IFERROR(INDEX('Catalog'!$B:$B,MATCH($G3694,'Catalog'!$A:$A,0)),$B3694))</f>
        <v>14 0 חגורה למנותחי בית חזה</v>
      </c>
      <c r="I3694" s="8" t="str">
        <f aca="false">IF($G3694="","Unmatched","Matched")</f>
        <v>Matched</v>
      </c>
    </row>
    <row r="3695" customFormat="false" ht="15" hidden="false" customHeight="false" outlineLevel="0" collapsed="false">
      <c r="A3695" s="8" t="s">
        <v>1073</v>
      </c>
      <c r="B3695" s="8" t="s">
        <v>83</v>
      </c>
      <c r="C3695" s="19" t="n">
        <v>22</v>
      </c>
      <c r="D3695" s="19" t="n">
        <v>1060.18</v>
      </c>
      <c r="E3695" s="19" t="n">
        <v>0</v>
      </c>
      <c r="F3695" s="19" t="n">
        <v>0</v>
      </c>
      <c r="G3695" s="8" t="str">
        <f aca="false">IFERROR(INDEX('TRANS'!$B:$B,MATCH($B3695,'TRANS'!$A:$A,0)),IFERROR(INDEX('TRANS'!$B:$B,MATCH(TRIM(SUBSTITUTE($B3695,CHAR(160)," ")),'TRANS'!$D:$D,0)),IFERROR(INDEX('Catalog'!$A:$A,MATCH($B3695,'Catalog'!$B:$B,0)),IFERROR(INDEX('Catalog'!$A:$A,MATCH(TRIM(SUBSTITUTE($B3695,CHAR(160)," ")),'Catalog'!$C:$C,0)),""))))</f>
        <v/>
      </c>
      <c r="H3695" s="8" t="str">
        <f aca="false">IFERROR(INDEX('TRANS'!$C:$C,MATCH($B3695,'TRANS'!$A:$A,0)),IFERROR(INDEX('Catalog'!$B:$B,MATCH($G3695,'Catalog'!$A:$A,0)),$B3695))</f>
        <v>15M L</v>
      </c>
      <c r="I3695" s="8" t="str">
        <f aca="false">IF($G3695="","Unmatched","Matched")</f>
        <v>Unmatched</v>
      </c>
    </row>
    <row r="3696" customFormat="false" ht="15" hidden="false" customHeight="false" outlineLevel="0" collapsed="false">
      <c r="A3696" s="8" t="s">
        <v>1073</v>
      </c>
      <c r="B3696" s="8" t="s">
        <v>84</v>
      </c>
      <c r="C3696" s="19" t="n">
        <v>6</v>
      </c>
      <c r="D3696" s="19" t="n">
        <v>318.04</v>
      </c>
      <c r="E3696" s="19" t="n">
        <v>0</v>
      </c>
      <c r="F3696" s="19" t="n">
        <v>0</v>
      </c>
      <c r="G3696" s="8" t="str">
        <f aca="false">IFERROR(INDEX('TRANS'!$B:$B,MATCH($B3696,'TRANS'!$A:$A,0)),IFERROR(INDEX('TRANS'!$B:$B,MATCH(TRIM(SUBSTITUTE($B3696,CHAR(160)," ")),'TRANS'!$D:$D,0)),IFERROR(INDEX('Catalog'!$A:$A,MATCH($B3696,'Catalog'!$B:$B,0)),IFERROR(INDEX('Catalog'!$A:$A,MATCH(TRIM(SUBSTITUTE($B3696,CHAR(160)," ")),'Catalog'!$C:$C,0)),""))))</f>
        <v/>
      </c>
      <c r="H3696" s="8" t="str">
        <f aca="false">IFERROR(INDEX('TRANS'!$C:$C,MATCH($B3696,'TRANS'!$A:$A,0)),IFERROR(INDEX('Catalog'!$B:$B,MATCH($G3696,'Catalog'!$A:$A,0)),$B3696))</f>
        <v>15M M</v>
      </c>
      <c r="I3696" s="8" t="str">
        <f aca="false">IF($G3696="","Unmatched","Matched")</f>
        <v>Unmatched</v>
      </c>
    </row>
    <row r="3697" customFormat="false" ht="15" hidden="false" customHeight="false" outlineLevel="0" collapsed="false">
      <c r="A3697" s="8" t="s">
        <v>1073</v>
      </c>
      <c r="B3697" s="8" t="s">
        <v>741</v>
      </c>
      <c r="C3697" s="19" t="n">
        <v>5</v>
      </c>
      <c r="D3697" s="19" t="n">
        <v>212.06</v>
      </c>
      <c r="E3697" s="19" t="n">
        <v>0</v>
      </c>
      <c r="F3697" s="19" t="n">
        <v>0</v>
      </c>
      <c r="G3697" s="8" t="str">
        <f aca="false">IFERROR(INDEX('TRANS'!$B:$B,MATCH($B3697,'TRANS'!$A:$A,0)),IFERROR(INDEX('TRANS'!$B:$B,MATCH(TRIM(SUBSTITUTE($B3697,CHAR(160)," ")),'TRANS'!$D:$D,0)),IFERROR(INDEX('Catalog'!$A:$A,MATCH($B3697,'Catalog'!$B:$B,0)),IFERROR(INDEX('Catalog'!$A:$A,MATCH(TRIM(SUBSTITUTE($B3697,CHAR(160)," ")),'Catalog'!$C:$C,0)),""))))</f>
        <v/>
      </c>
      <c r="H3697" s="8" t="str">
        <f aca="false">IFERROR(INDEX('TRANS'!$C:$C,MATCH($B3697,'TRANS'!$A:$A,0)),IFERROR(INDEX('Catalog'!$B:$B,MATCH($G3697,'Catalog'!$A:$A,0)),$B3697))</f>
        <v>15M S</v>
      </c>
      <c r="I3697" s="8" t="str">
        <f aca="false">IF($G3697="","Unmatched","Matched")</f>
        <v>Unmatched</v>
      </c>
    </row>
    <row r="3698" customFormat="false" ht="15" hidden="false" customHeight="false" outlineLevel="0" collapsed="false">
      <c r="A3698" s="8" t="s">
        <v>1073</v>
      </c>
      <c r="B3698" s="8" t="s">
        <v>742</v>
      </c>
      <c r="C3698" s="19" t="n">
        <v>12</v>
      </c>
      <c r="D3698" s="19" t="n">
        <v>530.1</v>
      </c>
      <c r="E3698" s="19" t="n">
        <v>0</v>
      </c>
      <c r="F3698" s="19" t="n">
        <v>0</v>
      </c>
      <c r="G3698" s="8" t="str">
        <f aca="false">IFERROR(INDEX('TRANS'!$B:$B,MATCH($B3698,'TRANS'!$A:$A,0)),IFERROR(INDEX('TRANS'!$B:$B,MATCH(TRIM(SUBSTITUTE($B3698,CHAR(160)," ")),'TRANS'!$D:$D,0)),IFERROR(INDEX('Catalog'!$A:$A,MATCH($B3698,'Catalog'!$B:$B,0)),IFERROR(INDEX('Catalog'!$A:$A,MATCH(TRIM(SUBSTITUTE($B3698,CHAR(160)," ")),'Catalog'!$C:$C,0)),""))))</f>
        <v/>
      </c>
      <c r="H3698" s="8" t="str">
        <f aca="false">IFERROR(INDEX('TRANS'!$C:$C,MATCH($B3698,'TRANS'!$A:$A,0)),IFERROR(INDEX('Catalog'!$B:$B,MATCH($G3698,'Catalog'!$A:$A,0)),$B3698))</f>
        <v>15M XL</v>
      </c>
      <c r="I3698" s="8" t="str">
        <f aca="false">IF($G3698="","Unmatched","Matched")</f>
        <v>Unmatched</v>
      </c>
    </row>
    <row r="3699" customFormat="false" ht="15" hidden="false" customHeight="false" outlineLevel="0" collapsed="false">
      <c r="A3699" s="8" t="s">
        <v>1073</v>
      </c>
      <c r="B3699" s="8" t="s">
        <v>561</v>
      </c>
      <c r="C3699" s="19" t="n">
        <v>12</v>
      </c>
      <c r="D3699" s="19" t="n">
        <v>530.1</v>
      </c>
      <c r="E3699" s="19" t="n">
        <v>0</v>
      </c>
      <c r="F3699" s="19" t="n">
        <v>0</v>
      </c>
      <c r="G3699" s="8" t="str">
        <f aca="false">IFERROR(INDEX('TRANS'!$B:$B,MATCH($B3699,'TRANS'!$A:$A,0)),IFERROR(INDEX('TRANS'!$B:$B,MATCH(TRIM(SUBSTITUTE($B3699,CHAR(160)," ")),'TRANS'!$D:$D,0)),IFERROR(INDEX('Catalog'!$A:$A,MATCH($B3699,'Catalog'!$B:$B,0)),IFERROR(INDEX('Catalog'!$A:$A,MATCH(TRIM(SUBSTITUTE($B3699,CHAR(160)," ")),'Catalog'!$C:$C,0)),""))))</f>
        <v/>
      </c>
      <c r="H3699" s="8" t="str">
        <f aca="false">IFERROR(INDEX('TRANS'!$C:$C,MATCH($B3699,'TRANS'!$A:$A,0)),IFERROR(INDEX('Catalog'!$B:$B,MATCH($G3699,'Catalog'!$A:$A,0)),$B3699))</f>
        <v>15M XXL</v>
      </c>
      <c r="I3699" s="8" t="str">
        <f aca="false">IF($G3699="","Unmatched","Matched")</f>
        <v>Unmatched</v>
      </c>
    </row>
    <row r="3700" customFormat="false" ht="15" hidden="false" customHeight="false" outlineLevel="0" collapsed="false">
      <c r="A3700" s="8" t="s">
        <v>1073</v>
      </c>
      <c r="B3700" s="8" t="s">
        <v>85</v>
      </c>
      <c r="C3700" s="19" t="n">
        <v>22</v>
      </c>
      <c r="D3700" s="19" t="n">
        <v>976.49</v>
      </c>
      <c r="E3700" s="19" t="n">
        <v>0</v>
      </c>
      <c r="F3700" s="19" t="n">
        <v>0</v>
      </c>
      <c r="G3700" s="8" t="n">
        <f aca="false">IFERROR(INDEX('TRANS'!$B:$B,MATCH($B3700,'TRANS'!$A:$A,0)),IFERROR(INDEX('TRANS'!$B:$B,MATCH(TRIM(SUBSTITUTE($B3700,CHAR(160)," ")),'TRANS'!$D:$D,0)),IFERROR(INDEX('Catalog'!$A:$A,MATCH($B3700,'Catalog'!$B:$B,0)),IFERROR(INDEX('Catalog'!$A:$A,MATCH(TRIM(SUBSTITUTE($B3700,CHAR(160)," ")),'Catalog'!$C:$C,0)),""))))</f>
        <v>4408131</v>
      </c>
      <c r="H3700" s="8" t="str">
        <f aca="false">IFERROR(INDEX('TRANS'!$C:$C,MATCH($B3700,'TRANS'!$A:$A,0)),IFERROR(INDEX('Catalog'!$B:$B,MATCH($G3700,'Catalog'!$A:$A,0)),$B3700))</f>
        <v>15W L חגורת צלעות לאשה</v>
      </c>
      <c r="I3700" s="8" t="str">
        <f aca="false">IF($G3700="","Unmatched","Matched")</f>
        <v>Matched</v>
      </c>
    </row>
    <row r="3701" customFormat="false" ht="15" hidden="false" customHeight="false" outlineLevel="0" collapsed="false">
      <c r="A3701" s="8" t="s">
        <v>1073</v>
      </c>
      <c r="B3701" s="8" t="s">
        <v>86</v>
      </c>
      <c r="C3701" s="19" t="n">
        <v>7</v>
      </c>
      <c r="D3701" s="19" t="n">
        <v>244.14</v>
      </c>
      <c r="E3701" s="19" t="n">
        <v>0</v>
      </c>
      <c r="F3701" s="19" t="n">
        <v>0</v>
      </c>
      <c r="G3701" s="8" t="str">
        <f aca="false">IFERROR(INDEX('TRANS'!$B:$B,MATCH($B3701,'TRANS'!$A:$A,0)),IFERROR(INDEX('TRANS'!$B:$B,MATCH(TRIM(SUBSTITUTE($B3701,CHAR(160)," ")),'TRANS'!$D:$D,0)),IFERROR(INDEX('Catalog'!$A:$A,MATCH($B3701,'Catalog'!$B:$B,0)),IFERROR(INDEX('Catalog'!$A:$A,MATCH(TRIM(SUBSTITUTE($B3701,CHAR(160)," ")),'Catalog'!$C:$C,0)),""))))</f>
        <v/>
      </c>
      <c r="H3701" s="8" t="str">
        <f aca="false">IFERROR(INDEX('TRANS'!$C:$C,MATCH($B3701,'TRANS'!$A:$A,0)),IFERROR(INDEX('Catalog'!$B:$B,MATCH($G3701,'Catalog'!$A:$A,0)),$B3701))</f>
        <v>15W M</v>
      </c>
      <c r="I3701" s="8" t="str">
        <f aca="false">IF($G3701="","Unmatched","Matched")</f>
        <v>Unmatched</v>
      </c>
    </row>
    <row r="3702" customFormat="false" ht="15" hidden="false" customHeight="false" outlineLevel="0" collapsed="false">
      <c r="A3702" s="8" t="s">
        <v>1073</v>
      </c>
      <c r="B3702" s="8" t="s">
        <v>87</v>
      </c>
      <c r="C3702" s="19" t="n">
        <v>5</v>
      </c>
      <c r="D3702" s="19" t="n">
        <v>244.11</v>
      </c>
      <c r="E3702" s="19" t="n">
        <v>0</v>
      </c>
      <c r="F3702" s="19" t="n">
        <v>0</v>
      </c>
      <c r="G3702" s="8" t="str">
        <f aca="false">IFERROR(INDEX('TRANS'!$B:$B,MATCH($B3702,'TRANS'!$A:$A,0)),IFERROR(INDEX('TRANS'!$B:$B,MATCH(TRIM(SUBSTITUTE($B3702,CHAR(160)," ")),'TRANS'!$D:$D,0)),IFERROR(INDEX('Catalog'!$A:$A,MATCH($B3702,'Catalog'!$B:$B,0)),IFERROR(INDEX('Catalog'!$A:$A,MATCH(TRIM(SUBSTITUTE($B3702,CHAR(160)," ")),'Catalog'!$C:$C,0)),""))))</f>
        <v/>
      </c>
      <c r="H3702" s="8" t="str">
        <f aca="false">IFERROR(INDEX('TRANS'!$C:$C,MATCH($B3702,'TRANS'!$A:$A,0)),IFERROR(INDEX('Catalog'!$B:$B,MATCH($G3702,'Catalog'!$A:$A,0)),$B3702))</f>
        <v>15W S</v>
      </c>
      <c r="I3702" s="8" t="str">
        <f aca="false">IF($G3702="","Unmatched","Matched")</f>
        <v>Unmatched</v>
      </c>
    </row>
    <row r="3703" customFormat="false" ht="15" hidden="false" customHeight="false" outlineLevel="0" collapsed="false">
      <c r="A3703" s="8" t="s">
        <v>1073</v>
      </c>
      <c r="B3703" s="8" t="s">
        <v>88</v>
      </c>
      <c r="C3703" s="19" t="n">
        <v>11</v>
      </c>
      <c r="D3703" s="19" t="n">
        <v>488.22</v>
      </c>
      <c r="E3703" s="19" t="n">
        <v>0</v>
      </c>
      <c r="F3703" s="19" t="n">
        <v>0</v>
      </c>
      <c r="G3703" s="8" t="str">
        <f aca="false">IFERROR(INDEX('TRANS'!$B:$B,MATCH($B3703,'TRANS'!$A:$A,0)),IFERROR(INDEX('TRANS'!$B:$B,MATCH(TRIM(SUBSTITUTE($B3703,CHAR(160)," ")),'TRANS'!$D:$D,0)),IFERROR(INDEX('Catalog'!$A:$A,MATCH($B3703,'Catalog'!$B:$B,0)),IFERROR(INDEX('Catalog'!$A:$A,MATCH(TRIM(SUBSTITUTE($B3703,CHAR(160)," ")),'Catalog'!$C:$C,0)),""))))</f>
        <v/>
      </c>
      <c r="H3703" s="8" t="str">
        <f aca="false">IFERROR(INDEX('TRANS'!$C:$C,MATCH($B3703,'TRANS'!$A:$A,0)),IFERROR(INDEX('Catalog'!$B:$B,MATCH($G3703,'Catalog'!$A:$A,0)),$B3703))</f>
        <v>15W XL</v>
      </c>
      <c r="I3703" s="8" t="str">
        <f aca="false">IF($G3703="","Unmatched","Matched")</f>
        <v>Unmatched</v>
      </c>
    </row>
    <row r="3704" customFormat="false" ht="15" hidden="false" customHeight="false" outlineLevel="0" collapsed="false">
      <c r="A3704" s="8" t="s">
        <v>1073</v>
      </c>
      <c r="B3704" s="8" t="s">
        <v>89</v>
      </c>
      <c r="C3704" s="19" t="n">
        <v>10</v>
      </c>
      <c r="D3704" s="19" t="n">
        <v>488.22</v>
      </c>
      <c r="E3704" s="19" t="n">
        <v>0</v>
      </c>
      <c r="F3704" s="19" t="n">
        <v>0</v>
      </c>
      <c r="G3704" s="8" t="str">
        <f aca="false">IFERROR(INDEX('TRANS'!$B:$B,MATCH($B3704,'TRANS'!$A:$A,0)),IFERROR(INDEX('TRANS'!$B:$B,MATCH(TRIM(SUBSTITUTE($B3704,CHAR(160)," ")),'TRANS'!$D:$D,0)),IFERROR(INDEX('Catalog'!$A:$A,MATCH($B3704,'Catalog'!$B:$B,0)),IFERROR(INDEX('Catalog'!$A:$A,MATCH(TRIM(SUBSTITUTE($B3704,CHAR(160)," ")),'Catalog'!$C:$C,0)),""))))</f>
        <v/>
      </c>
      <c r="H3704" s="8" t="str">
        <f aca="false">IFERROR(INDEX('TRANS'!$C:$C,MATCH($B3704,'TRANS'!$A:$A,0)),IFERROR(INDEX('Catalog'!$B:$B,MATCH($G3704,'Catalog'!$A:$A,0)),$B3704))</f>
        <v>15W XXL</v>
      </c>
      <c r="I3704" s="8" t="str">
        <f aca="false">IF($G3704="","Unmatched","Matched")</f>
        <v>Unmatched</v>
      </c>
    </row>
    <row r="3705" customFormat="false" ht="15" hidden="false" customHeight="false" outlineLevel="0" collapsed="false">
      <c r="A3705" s="8" t="s">
        <v>1073</v>
      </c>
      <c r="B3705" s="8" t="s">
        <v>686</v>
      </c>
      <c r="C3705" s="19" t="n">
        <v>10</v>
      </c>
      <c r="D3705" s="19" t="n">
        <v>139.5</v>
      </c>
      <c r="E3705" s="19" t="n">
        <v>0</v>
      </c>
      <c r="F3705" s="19" t="n">
        <v>0</v>
      </c>
      <c r="G3705" s="8" t="n">
        <f aca="false">IFERROR(INDEX('TRANS'!$B:$B,MATCH($B3705,'TRANS'!$A:$A,0)),IFERROR(INDEX('TRANS'!$B:$B,MATCH(TRIM(SUBSTITUTE($B3705,CHAR(160)," ")),'TRANS'!$D:$D,0)),IFERROR(INDEX('Catalog'!$A:$A,MATCH($B3705,'Catalog'!$B:$B,0)),IFERROR(INDEX('Catalog'!$A:$A,MATCH(TRIM(SUBSTITUTE($B3705,CHAR(160)," ")),'Catalog'!$C:$C,0)),""))))</f>
        <v>4408046</v>
      </c>
      <c r="H3705" s="8" t="str">
        <f aca="false">IFERROR(INDEX('TRANS'!$C:$C,MATCH($B3705,'TRANS'!$A:$A,0)),IFERROR(INDEX('Catalog'!$B:$B,MATCH($G3705,'Catalog'!$A:$A,0)),$B3705))</f>
        <v>20 L חבק יד מתכוון עם צמדן</v>
      </c>
      <c r="I3705" s="8" t="str">
        <f aca="false">IF($G3705="","Unmatched","Matched")</f>
        <v>Matched</v>
      </c>
    </row>
    <row r="3706" customFormat="false" ht="15" hidden="false" customHeight="false" outlineLevel="0" collapsed="false">
      <c r="A3706" s="8" t="s">
        <v>1073</v>
      </c>
      <c r="B3706" s="8" t="s">
        <v>562</v>
      </c>
      <c r="C3706" s="19" t="n">
        <v>10</v>
      </c>
      <c r="D3706" s="19" t="n">
        <v>139.5</v>
      </c>
      <c r="E3706" s="19" t="n">
        <v>0</v>
      </c>
      <c r="F3706" s="19" t="n">
        <v>0</v>
      </c>
      <c r="G3706" s="8" t="n">
        <f aca="false">IFERROR(INDEX('TRANS'!$B:$B,MATCH($B3706,'TRANS'!$A:$A,0)),IFERROR(INDEX('TRANS'!$B:$B,MATCH(TRIM(SUBSTITUTE($B3706,CHAR(160)," ")),'TRANS'!$D:$D,0)),IFERROR(INDEX('Catalog'!$A:$A,MATCH($B3706,'Catalog'!$B:$B,0)),IFERROR(INDEX('Catalog'!$A:$A,MATCH(TRIM(SUBSTITUTE($B3706,CHAR(160)," ")),'Catalog'!$C:$C,0)),""))))</f>
        <v>4408049</v>
      </c>
      <c r="H3706" s="8" t="str">
        <f aca="false">IFERROR(INDEX('TRANS'!$C:$C,MATCH($B3706,'TRANS'!$A:$A,0)),IFERROR(INDEX('Catalog'!$B:$B,MATCH($G3706,'Catalog'!$A:$A,0)),$B3706))</f>
        <v>20 XL חבק יד מתכוון עם צמדן</v>
      </c>
      <c r="I3706" s="8" t="str">
        <f aca="false">IF($G3706="","Unmatched","Matched")</f>
        <v>Matched</v>
      </c>
    </row>
    <row r="3707" customFormat="false" ht="15" hidden="false" customHeight="false" outlineLevel="0" collapsed="false">
      <c r="A3707" s="8" t="s">
        <v>1073</v>
      </c>
      <c r="B3707" s="8" t="s">
        <v>714</v>
      </c>
      <c r="C3707" s="19" t="n">
        <v>10</v>
      </c>
      <c r="D3707" s="19" t="n">
        <v>139.5</v>
      </c>
      <c r="E3707" s="19" t="n">
        <v>0</v>
      </c>
      <c r="F3707" s="19" t="n">
        <v>0</v>
      </c>
      <c r="G3707" s="8" t="n">
        <f aca="false">IFERROR(INDEX('TRANS'!$B:$B,MATCH($B3707,'TRANS'!$A:$A,0)),IFERROR(INDEX('TRANS'!$B:$B,MATCH(TRIM(SUBSTITUTE($B3707,CHAR(160)," ")),'TRANS'!$D:$D,0)),IFERROR(INDEX('Catalog'!$A:$A,MATCH($B3707,'Catalog'!$B:$B,0)),IFERROR(INDEX('Catalog'!$A:$A,MATCH(TRIM(SUBSTITUTE($B3707,CHAR(160)," ")),'Catalog'!$C:$C,0)),""))))</f>
        <v>4408050</v>
      </c>
      <c r="H3707" s="8" t="str">
        <f aca="false">IFERROR(INDEX('TRANS'!$C:$C,MATCH($B3707,'TRANS'!$A:$A,0)),IFERROR(INDEX('Catalog'!$B:$B,MATCH($G3707,'Catalog'!$A:$A,0)),$B3707))</f>
        <v>20 XXL חבק יד מתכוון עם צמדן</v>
      </c>
      <c r="I3707" s="8" t="str">
        <f aca="false">IF($G3707="","Unmatched","Matched")</f>
        <v>Matched</v>
      </c>
    </row>
    <row r="3708" customFormat="false" ht="15" hidden="false" customHeight="false" outlineLevel="0" collapsed="false">
      <c r="A3708" s="8" t="s">
        <v>1073</v>
      </c>
      <c r="B3708" s="8" t="s">
        <v>347</v>
      </c>
      <c r="C3708" s="19" t="n">
        <v>10</v>
      </c>
      <c r="D3708" s="19" t="n">
        <v>177.62</v>
      </c>
      <c r="E3708" s="19" t="n">
        <v>0</v>
      </c>
      <c r="F3708" s="19" t="n">
        <v>0</v>
      </c>
      <c r="G3708" s="8" t="n">
        <f aca="false">IFERROR(INDEX('TRANS'!$B:$B,MATCH($B3708,'TRANS'!$A:$A,0)),IFERROR(INDEX('TRANS'!$B:$B,MATCH(TRIM(SUBSTITUTE($B3708,CHAR(160)," ")),'TRANS'!$D:$D,0)),IFERROR(INDEX('Catalog'!$A:$A,MATCH($B3708,'Catalog'!$B:$B,0)),IFERROR(INDEX('Catalog'!$A:$A,MATCH(TRIM(SUBSTITUTE($B3708,CHAR(160)," ")),'Catalog'!$C:$C,0)),""))))</f>
        <v>4408052</v>
      </c>
      <c r="H3708" s="8" t="str">
        <f aca="false">IFERROR(INDEX('TRANS'!$C:$C,MATCH($B3708,'TRANS'!$A:$A,0)),IFERROR(INDEX('Catalog'!$B:$B,MATCH($G3708,'Catalog'!$A:$A,0)),$B3708))</f>
        <v>21 L  חבק יד ארוך</v>
      </c>
      <c r="I3708" s="8" t="str">
        <f aca="false">IF($G3708="","Unmatched","Matched")</f>
        <v>Matched</v>
      </c>
    </row>
    <row r="3709" customFormat="false" ht="15" hidden="false" customHeight="false" outlineLevel="0" collapsed="false">
      <c r="A3709" s="8" t="s">
        <v>1073</v>
      </c>
      <c r="B3709" s="8" t="s">
        <v>100</v>
      </c>
      <c r="C3709" s="19" t="n">
        <v>33</v>
      </c>
      <c r="D3709" s="19" t="n">
        <v>241.81</v>
      </c>
      <c r="E3709" s="19" t="n">
        <v>0</v>
      </c>
      <c r="F3709" s="19" t="n">
        <v>0</v>
      </c>
      <c r="G3709" s="8" t="n">
        <f aca="false">IFERROR(INDEX('TRANS'!$B:$B,MATCH($B3709,'TRANS'!$A:$A,0)),IFERROR(INDEX('TRANS'!$B:$B,MATCH(TRIM(SUBSTITUTE($B3709,CHAR(160)," ")),'TRANS'!$D:$D,0)),IFERROR(INDEX('Catalog'!$A:$A,MATCH($B3709,'Catalog'!$B:$B,0)),IFERROR(INDEX('Catalog'!$A:$A,MATCH(TRIM(SUBSTITUTE($B3709,CHAR(160)," ")),'Catalog'!$C:$C,0)),""))))</f>
        <v>4415162</v>
      </c>
      <c r="H3709" s="8" t="str">
        <f aca="false">IFERROR(INDEX('TRANS'!$C:$C,MATCH($B3709,'TRANS'!$A:$A,0)),IFERROR(INDEX('Catalog'!$B:$B,MATCH($G3709,'Catalog'!$A:$A,0)),$B3709))</f>
        <v>238L סד ליישור אצבע</v>
      </c>
      <c r="I3709" s="8" t="str">
        <f aca="false">IF($G3709="","Unmatched","Matched")</f>
        <v>Matched</v>
      </c>
    </row>
    <row r="3710" customFormat="false" ht="15" hidden="false" customHeight="false" outlineLevel="0" collapsed="false">
      <c r="A3710" s="8" t="s">
        <v>1073</v>
      </c>
      <c r="B3710" s="8" t="s">
        <v>589</v>
      </c>
      <c r="C3710" s="19" t="n">
        <v>22</v>
      </c>
      <c r="D3710" s="19" t="n">
        <v>161.23</v>
      </c>
      <c r="E3710" s="19" t="n">
        <v>0</v>
      </c>
      <c r="F3710" s="19" t="n">
        <v>0</v>
      </c>
      <c r="G3710" s="8" t="n">
        <f aca="false">IFERROR(INDEX('TRANS'!$B:$B,MATCH($B3710,'TRANS'!$A:$A,0)),IFERROR(INDEX('TRANS'!$B:$B,MATCH(TRIM(SUBSTITUTE($B3710,CHAR(160)," ")),'TRANS'!$D:$D,0)),IFERROR(INDEX('Catalog'!$A:$A,MATCH($B3710,'Catalog'!$B:$B,0)),IFERROR(INDEX('Catalog'!$A:$A,MATCH(TRIM(SUBSTITUTE($B3710,CHAR(160)," ")),'Catalog'!$C:$C,0)),""))))</f>
        <v>4415161</v>
      </c>
      <c r="H3710" s="8" t="str">
        <f aca="false">IFERROR(INDEX('TRANS'!$C:$C,MATCH($B3710,'TRANS'!$A:$A,0)),IFERROR(INDEX('Catalog'!$B:$B,MATCH($G3710,'Catalog'!$A:$A,0)),$B3710))</f>
        <v>238M סד ליישור אצבע</v>
      </c>
      <c r="I3710" s="8" t="str">
        <f aca="false">IF($G3710="","Unmatched","Matched")</f>
        <v>Matched</v>
      </c>
    </row>
    <row r="3711" customFormat="false" ht="15" hidden="false" customHeight="false" outlineLevel="0" collapsed="false">
      <c r="A3711" s="8" t="s">
        <v>1073</v>
      </c>
      <c r="B3711" s="8" t="s">
        <v>101</v>
      </c>
      <c r="C3711" s="19" t="n">
        <v>33</v>
      </c>
      <c r="D3711" s="19" t="n">
        <v>241.8</v>
      </c>
      <c r="E3711" s="19" t="n">
        <v>0</v>
      </c>
      <c r="F3711" s="19" t="n">
        <v>0</v>
      </c>
      <c r="G3711" s="8" t="n">
        <f aca="false">IFERROR(INDEX('TRANS'!$B:$B,MATCH($B3711,'TRANS'!$A:$A,0)),IFERROR(INDEX('TRANS'!$B:$B,MATCH(TRIM(SUBSTITUTE($B3711,CHAR(160)," ")),'TRANS'!$D:$D,0)),IFERROR(INDEX('Catalog'!$A:$A,MATCH($B3711,'Catalog'!$B:$B,0)),IFERROR(INDEX('Catalog'!$A:$A,MATCH(TRIM(SUBSTITUTE($B3711,CHAR(160)," ")),'Catalog'!$C:$C,0)),""))))</f>
        <v>4415160</v>
      </c>
      <c r="H3711" s="8" t="str">
        <f aca="false">IFERROR(INDEX('TRANS'!$C:$C,MATCH($B3711,'TRANS'!$A:$A,0)),IFERROR(INDEX('Catalog'!$B:$B,MATCH($G3711,'Catalog'!$A:$A,0)),$B3711))</f>
        <v>238S סד ליישור אצבע</v>
      </c>
      <c r="I3711" s="8" t="str">
        <f aca="false">IF($G3711="","Unmatched","Matched")</f>
        <v>Matched</v>
      </c>
    </row>
    <row r="3712" customFormat="false" ht="15" hidden="false" customHeight="false" outlineLevel="0" collapsed="false">
      <c r="A3712" s="8" t="s">
        <v>1073</v>
      </c>
      <c r="B3712" s="8" t="s">
        <v>590</v>
      </c>
      <c r="C3712" s="19" t="n">
        <v>22</v>
      </c>
      <c r="D3712" s="19" t="n">
        <v>161.23</v>
      </c>
      <c r="E3712" s="19" t="n">
        <v>0</v>
      </c>
      <c r="F3712" s="19" t="n">
        <v>0</v>
      </c>
      <c r="G3712" s="8" t="n">
        <f aca="false">IFERROR(INDEX('TRANS'!$B:$B,MATCH($B3712,'TRANS'!$A:$A,0)),IFERROR(INDEX('TRANS'!$B:$B,MATCH(TRIM(SUBSTITUTE($B3712,CHAR(160)," ")),'TRANS'!$D:$D,0)),IFERROR(INDEX('Catalog'!$A:$A,MATCH($B3712,'Catalog'!$B:$B,0)),IFERROR(INDEX('Catalog'!$A:$A,MATCH(TRIM(SUBSTITUTE($B3712,CHAR(160)," ")),'Catalog'!$C:$C,0)),""))))</f>
        <v>4415163</v>
      </c>
      <c r="H3712" s="8" t="str">
        <f aca="false">IFERROR(INDEX('TRANS'!$C:$C,MATCH($B3712,'TRANS'!$A:$A,0)),IFERROR(INDEX('Catalog'!$B:$B,MATCH($G3712,'Catalog'!$A:$A,0)),$B3712))</f>
        <v>238XL סד ליישור אצבע</v>
      </c>
      <c r="I3712" s="8" t="str">
        <f aca="false">IF($G3712="","Unmatched","Matched")</f>
        <v>Matched</v>
      </c>
    </row>
    <row r="3713" customFormat="false" ht="15" hidden="false" customHeight="false" outlineLevel="0" collapsed="false">
      <c r="A3713" s="8" t="s">
        <v>1073</v>
      </c>
      <c r="B3713" s="8" t="s">
        <v>115</v>
      </c>
      <c r="C3713" s="19" t="n">
        <v>55</v>
      </c>
      <c r="D3713" s="19" t="n">
        <v>1317.47</v>
      </c>
      <c r="E3713" s="19" t="n">
        <v>0</v>
      </c>
      <c r="F3713" s="19" t="n">
        <v>0</v>
      </c>
      <c r="G3713" s="8" t="n">
        <f aca="false">IFERROR(INDEX('TRANS'!$B:$B,MATCH($B3713,'TRANS'!$A:$A,0)),IFERROR(INDEX('TRANS'!$B:$B,MATCH(TRIM(SUBSTITUTE($B3713,CHAR(160)," ")),'TRANS'!$D:$D,0)),IFERROR(INDEX('Catalog'!$A:$A,MATCH($B3713,'Catalog'!$B:$B,0)),IFERROR(INDEX('Catalog'!$A:$A,MATCH(TRIM(SUBSTITUTE($B3713,CHAR(160)," ")),'Catalog'!$C:$C,0)),""))))</f>
        <v>4413372</v>
      </c>
      <c r="H3713" s="8" t="str">
        <f aca="false">IFERROR(INDEX('TRANS'!$C:$C,MATCH($B3713,'TRANS'!$A:$A,0)),IFERROR(INDEX('Catalog'!$B:$B,MATCH($G3713,'Catalog'!$A:$A,0)),$B3713))</f>
        <v>302 W מדרס לאישה</v>
      </c>
      <c r="I3713" s="8" t="str">
        <f aca="false">IF($G3713="","Unmatched","Matched")</f>
        <v>Matched</v>
      </c>
    </row>
    <row r="3714" customFormat="false" ht="15" hidden="false" customHeight="false" outlineLevel="0" collapsed="false">
      <c r="A3714" s="8" t="s">
        <v>1073</v>
      </c>
      <c r="B3714" s="8" t="s">
        <v>356</v>
      </c>
      <c r="C3714" s="19" t="n">
        <v>100</v>
      </c>
      <c r="D3714" s="19" t="n">
        <v>3208.35</v>
      </c>
      <c r="E3714" s="19" t="n">
        <v>0</v>
      </c>
      <c r="F3714" s="19" t="n">
        <v>0</v>
      </c>
      <c r="G3714" s="8" t="str">
        <f aca="false">IFERROR(INDEX('TRANS'!$B:$B,MATCH($B3714,'TRANS'!$A:$A,0)),IFERROR(INDEX('TRANS'!$B:$B,MATCH(TRIM(SUBSTITUTE($B3714,CHAR(160)," ")),'TRANS'!$D:$D,0)),IFERROR(INDEX('Catalog'!$A:$A,MATCH($B3714,'Catalog'!$B:$B,0)),IFERROR(INDEX('Catalog'!$A:$A,MATCH(TRIM(SUBSTITUTE($B3714,CHAR(160)," ")),'Catalog'!$C:$C,0)),""))))</f>
        <v/>
      </c>
      <c r="H3714" s="8" t="str">
        <f aca="false">IFERROR(INDEX('TRANS'!$C:$C,MATCH($B3714,'TRANS'!$A:$A,0)),IFERROR(INDEX('Catalog'!$B:$B,MATCH($G3714,'Catalog'!$A:$A,0)),$B3714))</f>
        <v>305-35-36</v>
      </c>
      <c r="I3714" s="8" t="str">
        <f aca="false">IF($G3714="","Unmatched","Matched")</f>
        <v>Unmatched</v>
      </c>
    </row>
    <row r="3715" customFormat="false" ht="15" hidden="false" customHeight="false" outlineLevel="0" collapsed="false">
      <c r="A3715" s="8" t="s">
        <v>1073</v>
      </c>
      <c r="B3715" s="8" t="s">
        <v>946</v>
      </c>
      <c r="C3715" s="19" t="n">
        <v>100</v>
      </c>
      <c r="D3715" s="19" t="n">
        <v>3208.35</v>
      </c>
      <c r="E3715" s="19" t="n">
        <v>0</v>
      </c>
      <c r="F3715" s="19" t="n">
        <v>0</v>
      </c>
      <c r="G3715" s="8" t="str">
        <f aca="false">IFERROR(INDEX('TRANS'!$B:$B,MATCH($B3715,'TRANS'!$A:$A,0)),IFERROR(INDEX('TRANS'!$B:$B,MATCH(TRIM(SUBSTITUTE($B3715,CHAR(160)," ")),'TRANS'!$D:$D,0)),IFERROR(INDEX('Catalog'!$A:$A,MATCH($B3715,'Catalog'!$B:$B,0)),IFERROR(INDEX('Catalog'!$A:$A,MATCH(TRIM(SUBSTITUTE($B3715,CHAR(160)," ")),'Catalog'!$C:$C,0)),""))))</f>
        <v/>
      </c>
      <c r="H3715" s="8" t="str">
        <f aca="false">IFERROR(INDEX('TRANS'!$C:$C,MATCH($B3715,'TRANS'!$A:$A,0)),IFERROR(INDEX('Catalog'!$B:$B,MATCH($G3715,'Catalog'!$A:$A,0)),$B3715))</f>
        <v>305-37-38</v>
      </c>
      <c r="I3715" s="8" t="str">
        <f aca="false">IF($G3715="","Unmatched","Matched")</f>
        <v>Unmatched</v>
      </c>
    </row>
    <row r="3716" customFormat="false" ht="15" hidden="false" customHeight="false" outlineLevel="0" collapsed="false">
      <c r="A3716" s="8" t="s">
        <v>1073</v>
      </c>
      <c r="B3716" s="8" t="s">
        <v>947</v>
      </c>
      <c r="C3716" s="19" t="n">
        <v>200</v>
      </c>
      <c r="D3716" s="19" t="n">
        <v>6416.69</v>
      </c>
      <c r="E3716" s="19" t="n">
        <v>0</v>
      </c>
      <c r="F3716" s="19" t="n">
        <v>0</v>
      </c>
      <c r="G3716" s="8" t="str">
        <f aca="false">IFERROR(INDEX('TRANS'!$B:$B,MATCH($B3716,'TRANS'!$A:$A,0)),IFERROR(INDEX('TRANS'!$B:$B,MATCH(TRIM(SUBSTITUTE($B3716,CHAR(160)," ")),'TRANS'!$D:$D,0)),IFERROR(INDEX('Catalog'!$A:$A,MATCH($B3716,'Catalog'!$B:$B,0)),IFERROR(INDEX('Catalog'!$A:$A,MATCH(TRIM(SUBSTITUTE($B3716,CHAR(160)," ")),'Catalog'!$C:$C,0)),""))))</f>
        <v/>
      </c>
      <c r="H3716" s="8" t="str">
        <f aca="false">IFERROR(INDEX('TRANS'!$C:$C,MATCH($B3716,'TRANS'!$A:$A,0)),IFERROR(INDEX('Catalog'!$B:$B,MATCH($G3716,'Catalog'!$A:$A,0)),$B3716))</f>
        <v>305-39-40</v>
      </c>
      <c r="I3716" s="8" t="str">
        <f aca="false">IF($G3716="","Unmatched","Matched")</f>
        <v>Unmatched</v>
      </c>
    </row>
    <row r="3717" customFormat="false" ht="15" hidden="false" customHeight="false" outlineLevel="0" collapsed="false">
      <c r="A3717" s="8" t="s">
        <v>1073</v>
      </c>
      <c r="B3717" s="8" t="s">
        <v>780</v>
      </c>
      <c r="C3717" s="19" t="n">
        <v>300</v>
      </c>
      <c r="D3717" s="19" t="n">
        <v>9625.04</v>
      </c>
      <c r="E3717" s="19" t="n">
        <v>0</v>
      </c>
      <c r="F3717" s="19" t="n">
        <v>0</v>
      </c>
      <c r="G3717" s="8" t="str">
        <f aca="false">IFERROR(INDEX('TRANS'!$B:$B,MATCH($B3717,'TRANS'!$A:$A,0)),IFERROR(INDEX('TRANS'!$B:$B,MATCH(TRIM(SUBSTITUTE($B3717,CHAR(160)," ")),'TRANS'!$D:$D,0)),IFERROR(INDEX('Catalog'!$A:$A,MATCH($B3717,'Catalog'!$B:$B,0)),IFERROR(INDEX('Catalog'!$A:$A,MATCH(TRIM(SUBSTITUTE($B3717,CHAR(160)," ")),'Catalog'!$C:$C,0)),""))))</f>
        <v/>
      </c>
      <c r="H3717" s="8" t="str">
        <f aca="false">IFERROR(INDEX('TRANS'!$C:$C,MATCH($B3717,'TRANS'!$A:$A,0)),IFERROR(INDEX('Catalog'!$B:$B,MATCH($G3717,'Catalog'!$A:$A,0)),$B3717))</f>
        <v>305-41-42</v>
      </c>
      <c r="I3717" s="8" t="str">
        <f aca="false">IF($G3717="","Unmatched","Matched")</f>
        <v>Unmatched</v>
      </c>
    </row>
    <row r="3718" customFormat="false" ht="15" hidden="false" customHeight="false" outlineLevel="0" collapsed="false">
      <c r="A3718" s="8" t="s">
        <v>1073</v>
      </c>
      <c r="B3718" s="8" t="s">
        <v>948</v>
      </c>
      <c r="C3718" s="19" t="n">
        <v>300</v>
      </c>
      <c r="D3718" s="19" t="n">
        <v>9625.03</v>
      </c>
      <c r="E3718" s="19" t="n">
        <v>0</v>
      </c>
      <c r="F3718" s="19" t="n">
        <v>0</v>
      </c>
      <c r="G3718" s="8" t="str">
        <f aca="false">IFERROR(INDEX('TRANS'!$B:$B,MATCH($B3718,'TRANS'!$A:$A,0)),IFERROR(INDEX('TRANS'!$B:$B,MATCH(TRIM(SUBSTITUTE($B3718,CHAR(160)," ")),'TRANS'!$D:$D,0)),IFERROR(INDEX('Catalog'!$A:$A,MATCH($B3718,'Catalog'!$B:$B,0)),IFERROR(INDEX('Catalog'!$A:$A,MATCH(TRIM(SUBSTITUTE($B3718,CHAR(160)," ")),'Catalog'!$C:$C,0)),""))))</f>
        <v/>
      </c>
      <c r="H3718" s="8" t="str">
        <f aca="false">IFERROR(INDEX('TRANS'!$C:$C,MATCH($B3718,'TRANS'!$A:$A,0)),IFERROR(INDEX('Catalog'!$B:$B,MATCH($G3718,'Catalog'!$A:$A,0)),$B3718))</f>
        <v>305-43-44</v>
      </c>
      <c r="I3718" s="8" t="str">
        <f aca="false">IF($G3718="","Unmatched","Matched")</f>
        <v>Unmatched</v>
      </c>
    </row>
    <row r="3719" customFormat="false" ht="15" hidden="false" customHeight="false" outlineLevel="0" collapsed="false">
      <c r="A3719" s="8" t="s">
        <v>1073</v>
      </c>
      <c r="B3719" s="8" t="s">
        <v>949</v>
      </c>
      <c r="C3719" s="19" t="n">
        <v>100</v>
      </c>
      <c r="D3719" s="19" t="n">
        <v>0.03</v>
      </c>
      <c r="E3719" s="19" t="n">
        <v>0</v>
      </c>
      <c r="F3719" s="19" t="n">
        <v>0</v>
      </c>
      <c r="G3719" s="8" t="str">
        <f aca="false">IFERROR(INDEX('TRANS'!$B:$B,MATCH($B3719,'TRANS'!$A:$A,0)),IFERROR(INDEX('TRANS'!$B:$B,MATCH(TRIM(SUBSTITUTE($B3719,CHAR(160)," ")),'TRANS'!$D:$D,0)),IFERROR(INDEX('Catalog'!$A:$A,MATCH($B3719,'Catalog'!$B:$B,0)),IFERROR(INDEX('Catalog'!$A:$A,MATCH(TRIM(SUBSTITUTE($B3719,CHAR(160)," ")),'Catalog'!$C:$C,0)),""))))</f>
        <v/>
      </c>
      <c r="H3719" s="8" t="str">
        <f aca="false">IFERROR(INDEX('TRANS'!$C:$C,MATCH($B3719,'TRANS'!$A:$A,0)),IFERROR(INDEX('Catalog'!$B:$B,MATCH($G3719,'Catalog'!$A:$A,0)),$B3719))</f>
        <v>305-45-46</v>
      </c>
      <c r="I3719" s="8" t="str">
        <f aca="false">IF($G3719="","Unmatched","Matched")</f>
        <v>Unmatched</v>
      </c>
    </row>
    <row r="3720" customFormat="false" ht="15" hidden="false" customHeight="false" outlineLevel="0" collapsed="false">
      <c r="A3720" s="8" t="s">
        <v>1073</v>
      </c>
      <c r="B3720" s="8" t="s">
        <v>120</v>
      </c>
      <c r="C3720" s="19" t="n">
        <v>10</v>
      </c>
      <c r="D3720" s="19" t="n">
        <v>244.89</v>
      </c>
      <c r="E3720" s="19" t="n">
        <v>0</v>
      </c>
      <c r="F3720" s="19" t="n">
        <v>0</v>
      </c>
      <c r="G3720" s="8" t="n">
        <f aca="false">IFERROR(INDEX('TRANS'!$B:$B,MATCH($B3720,'TRANS'!$A:$A,0)),IFERROR(INDEX('TRANS'!$B:$B,MATCH(TRIM(SUBSTITUTE($B3720,CHAR(160)," ")),'TRANS'!$D:$D,0)),IFERROR(INDEX('Catalog'!$A:$A,MATCH($B3720,'Catalog'!$B:$B,0)),IFERROR(INDEX('Catalog'!$A:$A,MATCH(TRIM(SUBSTITUTE($B3720,CHAR(160)," ")),'Catalog'!$C:$C,0)),""))))</f>
        <v>4416000</v>
      </c>
      <c r="H3720" s="8" t="str">
        <f aca="false">IFERROR(INDEX('TRANS'!$C:$C,MATCH($B3720,'TRANS'!$A:$A,0)),IFERROR(INDEX('Catalog'!$B:$B,MATCH($G3720,'Catalog'!$A:$A,0)),$B3720))</f>
        <v>307 L עקבים לדורבן-זוג כריות</v>
      </c>
      <c r="I3720" s="8" t="str">
        <f aca="false">IF($G3720="","Unmatched","Matched")</f>
        <v>Matched</v>
      </c>
    </row>
    <row r="3721" customFormat="false" ht="15" hidden="false" customHeight="false" outlineLevel="0" collapsed="false">
      <c r="A3721" s="8" t="s">
        <v>1073</v>
      </c>
      <c r="B3721" s="8" t="s">
        <v>121</v>
      </c>
      <c r="C3721" s="19" t="n">
        <v>20</v>
      </c>
      <c r="D3721" s="19" t="n">
        <v>489.77</v>
      </c>
      <c r="E3721" s="19" t="n">
        <v>0</v>
      </c>
      <c r="F3721" s="19" t="n">
        <v>0</v>
      </c>
      <c r="G3721" s="8" t="n">
        <f aca="false">IFERROR(INDEX('TRANS'!$B:$B,MATCH($B3721,'TRANS'!$A:$A,0)),IFERROR(INDEX('TRANS'!$B:$B,MATCH(TRIM(SUBSTITUTE($B3721,CHAR(160)," ")),'TRANS'!$D:$D,0)),IFERROR(INDEX('Catalog'!$A:$A,MATCH($B3721,'Catalog'!$B:$B,0)),IFERROR(INDEX('Catalog'!$A:$A,MATCH(TRIM(SUBSTITUTE($B3721,CHAR(160)," ")),'Catalog'!$C:$C,0)),""))))</f>
        <v>4416001</v>
      </c>
      <c r="H3721" s="8" t="str">
        <f aca="false">IFERROR(INDEX('TRANS'!$C:$C,MATCH($B3721,'TRANS'!$A:$A,0)),IFERROR(INDEX('Catalog'!$B:$B,MATCH($G3721,'Catalog'!$A:$A,0)),$B3721))</f>
        <v>307 M עקבים לדורבן-זוג כריות</v>
      </c>
      <c r="I3721" s="8" t="str">
        <f aca="false">IF($G3721="","Unmatched","Matched")</f>
        <v>Matched</v>
      </c>
    </row>
    <row r="3722" customFormat="false" ht="15" hidden="false" customHeight="false" outlineLevel="0" collapsed="false">
      <c r="A3722" s="8" t="s">
        <v>1073</v>
      </c>
      <c r="B3722" s="8" t="s">
        <v>647</v>
      </c>
      <c r="C3722" s="19" t="n">
        <v>20</v>
      </c>
      <c r="D3722" s="19" t="n">
        <v>489.77</v>
      </c>
      <c r="E3722" s="19" t="n">
        <v>0</v>
      </c>
      <c r="F3722" s="19" t="n">
        <v>0</v>
      </c>
      <c r="G3722" s="8" t="n">
        <f aca="false">IFERROR(INDEX('TRANS'!$B:$B,MATCH($B3722,'TRANS'!$A:$A,0)),IFERROR(INDEX('TRANS'!$B:$B,MATCH(TRIM(SUBSTITUTE($B3722,CHAR(160)," ")),'TRANS'!$D:$D,0)),IFERROR(INDEX('Catalog'!$A:$A,MATCH($B3722,'Catalog'!$B:$B,0)),IFERROR(INDEX('Catalog'!$A:$A,MATCH(TRIM(SUBSTITUTE($B3722,CHAR(160)," ")),'Catalog'!$C:$C,0)),""))))</f>
        <v>4416002</v>
      </c>
      <c r="H3722" s="8" t="str">
        <f aca="false">IFERROR(INDEX('TRANS'!$C:$C,MATCH($B3722,'TRANS'!$A:$A,0)),IFERROR(INDEX('Catalog'!$B:$B,MATCH($G3722,'Catalog'!$A:$A,0)),$B3722))</f>
        <v>307 S עקבים לדורבן-זוג כריות</v>
      </c>
      <c r="I3722" s="8" t="str">
        <f aca="false">IF($G3722="","Unmatched","Matched")</f>
        <v>Matched</v>
      </c>
    </row>
    <row r="3723" customFormat="false" ht="15" hidden="false" customHeight="false" outlineLevel="0" collapsed="false">
      <c r="A3723" s="8" t="s">
        <v>1073</v>
      </c>
      <c r="B3723" s="8" t="s">
        <v>122</v>
      </c>
      <c r="C3723" s="19" t="n">
        <v>5</v>
      </c>
      <c r="D3723" s="19" t="n">
        <v>0.03</v>
      </c>
      <c r="E3723" s="19" t="n">
        <v>0</v>
      </c>
      <c r="F3723" s="19" t="n">
        <v>0</v>
      </c>
      <c r="G3723" s="8" t="n">
        <f aca="false">IFERROR(INDEX('TRANS'!$B:$B,MATCH($B3723,'TRANS'!$A:$A,0)),IFERROR(INDEX('TRANS'!$B:$B,MATCH(TRIM(SUBSTITUTE($B3723,CHAR(160)," ")),'TRANS'!$D:$D,0)),IFERROR(INDEX('Catalog'!$A:$A,MATCH($B3723,'Catalog'!$B:$B,0)),IFERROR(INDEX('Catalog'!$A:$A,MATCH(TRIM(SUBSTITUTE($B3723,CHAR(160)," ")),'Catalog'!$C:$C,0)),""))))</f>
        <v>4411016</v>
      </c>
      <c r="H3723" s="8" t="str">
        <f aca="false">IFERROR(INDEX('TRANS'!$C:$C,MATCH($B3723,'TRANS'!$A:$A,0)),IFERROR(INDEX('Catalog'!$B:$B,MATCH($G3723,'Catalog'!$A:$A,0)),$B3723))</f>
        <v>307 XL כרית סיליקון לעקב</v>
      </c>
      <c r="I3723" s="8" t="str">
        <f aca="false">IF($G3723="","Unmatched","Matched")</f>
        <v>Matched</v>
      </c>
    </row>
    <row r="3724" customFormat="false" ht="15" hidden="false" customHeight="false" outlineLevel="0" collapsed="false">
      <c r="A3724" s="8" t="s">
        <v>1073</v>
      </c>
      <c r="B3724" s="8" t="s">
        <v>125</v>
      </c>
      <c r="C3724" s="19" t="n">
        <v>55</v>
      </c>
      <c r="D3724" s="19" t="n">
        <v>387.52</v>
      </c>
      <c r="E3724" s="19" t="n">
        <v>0</v>
      </c>
      <c r="F3724" s="19" t="n">
        <v>0</v>
      </c>
      <c r="G3724" s="8" t="n">
        <f aca="false">IFERROR(INDEX('TRANS'!$B:$B,MATCH($B3724,'TRANS'!$A:$A,0)),IFERROR(INDEX('TRANS'!$B:$B,MATCH(TRIM(SUBSTITUTE($B3724,CHAR(160)," ")),'TRANS'!$D:$D,0)),IFERROR(INDEX('Catalog'!$A:$A,MATCH($B3724,'Catalog'!$B:$B,0)),IFERROR(INDEX('Catalog'!$A:$A,MATCH(TRIM(SUBSTITUTE($B3724,CHAR(160)," ")),'Catalog'!$C:$C,0)),""))))</f>
        <v>4413034</v>
      </c>
      <c r="H3724" s="8" t="str">
        <f aca="false">IFERROR(INDEX('TRANS'!$C:$C,MATCH($B3724,'TRANS'!$A:$A,0)),IFERROR(INDEX('Catalog'!$B:$B,MATCH($G3724,'Catalog'!$A:$A,0)),$B3724))</f>
        <v>312 9 מ""""ס להתאמהX5 מדבקה גדולה</v>
      </c>
      <c r="I3724" s="8" t="str">
        <f aca="false">IF($G3724="","Unmatched","Matched")</f>
        <v>Matched</v>
      </c>
    </row>
    <row r="3725" customFormat="false" ht="15" hidden="false" customHeight="false" outlineLevel="0" collapsed="false">
      <c r="A3725" s="8" t="s">
        <v>1073</v>
      </c>
      <c r="B3725" s="8" t="s">
        <v>564</v>
      </c>
      <c r="C3725" s="19" t="n">
        <v>10</v>
      </c>
      <c r="D3725" s="19" t="n">
        <v>241.78</v>
      </c>
      <c r="E3725" s="19" t="n">
        <v>0</v>
      </c>
      <c r="F3725" s="19" t="n">
        <v>0</v>
      </c>
      <c r="G3725" s="8" t="n">
        <f aca="false">IFERROR(INDEX('TRANS'!$B:$B,MATCH($B3725,'TRANS'!$A:$A,0)),IFERROR(INDEX('TRANS'!$B:$B,MATCH(TRIM(SUBSTITUTE($B3725,CHAR(160)," ")),'TRANS'!$D:$D,0)),IFERROR(INDEX('Catalog'!$A:$A,MATCH($B3725,'Catalog'!$B:$B,0)),IFERROR(INDEX('Catalog'!$A:$A,MATCH(TRIM(SUBSTITUTE($B3725,CHAR(160)," ")),'Catalog'!$C:$C,0)),""))))</f>
        <v>4413043</v>
      </c>
      <c r="H3725" s="8" t="str">
        <f aca="false">IFERROR(INDEX('TRANS'!$C:$C,MATCH($B3725,'TRANS'!$A:$A,0)),IFERROR(INDEX('Catalog'!$B:$B,MATCH($G3725,'Catalog'!$A:$A,0)),$B3725))</f>
        <v>34  L מגן קרסול עקב סגור</v>
      </c>
      <c r="I3725" s="8" t="str">
        <f aca="false">IF($G3725="","Unmatched","Matched")</f>
        <v>Matched</v>
      </c>
    </row>
    <row r="3726" customFormat="false" ht="15" hidden="false" customHeight="false" outlineLevel="0" collapsed="false">
      <c r="A3726" s="8" t="s">
        <v>1073</v>
      </c>
      <c r="B3726" s="8" t="s">
        <v>575</v>
      </c>
      <c r="C3726" s="19" t="n">
        <v>20</v>
      </c>
      <c r="D3726" s="19" t="n">
        <v>483.58</v>
      </c>
      <c r="E3726" s="19" t="n">
        <v>0</v>
      </c>
      <c r="F3726" s="19" t="n">
        <v>0</v>
      </c>
      <c r="G3726" s="8" t="n">
        <f aca="false">IFERROR(INDEX('TRANS'!$B:$B,MATCH($B3726,'TRANS'!$A:$A,0)),IFERROR(INDEX('TRANS'!$B:$B,MATCH(TRIM(SUBSTITUTE($B3726,CHAR(160)," ")),'TRANS'!$D:$D,0)),IFERROR(INDEX('Catalog'!$A:$A,MATCH($B3726,'Catalog'!$B:$B,0)),IFERROR(INDEX('Catalog'!$A:$A,MATCH(TRIM(SUBSTITUTE($B3726,CHAR(160)," ")),'Catalog'!$C:$C,0)),""))))</f>
        <v>4413041</v>
      </c>
      <c r="H3726" s="8" t="str">
        <f aca="false">IFERROR(INDEX('TRANS'!$C:$C,MATCH($B3726,'TRANS'!$A:$A,0)),IFERROR(INDEX('Catalog'!$B:$B,MATCH($G3726,'Catalog'!$A:$A,0)),$B3726))</f>
        <v>34  M מגן קרסול עקב סגור</v>
      </c>
      <c r="I3726" s="8" t="str">
        <f aca="false">IF($G3726="","Unmatched","Matched")</f>
        <v>Matched</v>
      </c>
    </row>
    <row r="3727" customFormat="false" ht="15" hidden="false" customHeight="false" outlineLevel="0" collapsed="false">
      <c r="A3727" s="8" t="s">
        <v>1073</v>
      </c>
      <c r="B3727" s="8" t="s">
        <v>743</v>
      </c>
      <c r="C3727" s="19" t="n">
        <v>10</v>
      </c>
      <c r="D3727" s="19" t="n">
        <v>241.78</v>
      </c>
      <c r="E3727" s="19" t="n">
        <v>0</v>
      </c>
      <c r="F3727" s="19" t="n">
        <v>0</v>
      </c>
      <c r="G3727" s="8" t="n">
        <f aca="false">IFERROR(INDEX('TRANS'!$B:$B,MATCH($B3727,'TRANS'!$A:$A,0)),IFERROR(INDEX('TRANS'!$B:$B,MATCH(TRIM(SUBSTITUTE($B3727,CHAR(160)," ")),'TRANS'!$D:$D,0)),IFERROR(INDEX('Catalog'!$A:$A,MATCH($B3727,'Catalog'!$B:$B,0)),IFERROR(INDEX('Catalog'!$A:$A,MATCH(TRIM(SUBSTITUTE($B3727,CHAR(160)," ")),'Catalog'!$C:$C,0)),""))))</f>
        <v>4413042</v>
      </c>
      <c r="H3727" s="8" t="str">
        <f aca="false">IFERROR(INDEX('TRANS'!$C:$C,MATCH($B3727,'TRANS'!$A:$A,0)),IFERROR(INDEX('Catalog'!$B:$B,MATCH($G3727,'Catalog'!$A:$A,0)),$B3727))</f>
        <v>34  S מגן קרסול עקב סגור</v>
      </c>
      <c r="I3727" s="8" t="str">
        <f aca="false">IF($G3727="","Unmatched","Matched")</f>
        <v>Matched</v>
      </c>
    </row>
    <row r="3728" customFormat="false" ht="15" hidden="false" customHeight="false" outlineLevel="0" collapsed="false">
      <c r="A3728" s="8" t="s">
        <v>1073</v>
      </c>
      <c r="B3728" s="8" t="s">
        <v>576</v>
      </c>
      <c r="C3728" s="19" t="n">
        <v>10</v>
      </c>
      <c r="D3728" s="19" t="n">
        <v>241.78</v>
      </c>
      <c r="E3728" s="19" t="n">
        <v>0</v>
      </c>
      <c r="F3728" s="19" t="n">
        <v>0</v>
      </c>
      <c r="G3728" s="8" t="n">
        <f aca="false">IFERROR(INDEX('TRANS'!$B:$B,MATCH($B3728,'TRANS'!$A:$A,0)),IFERROR(INDEX('TRANS'!$B:$B,MATCH(TRIM(SUBSTITUTE($B3728,CHAR(160)," ")),'TRANS'!$D:$D,0)),IFERROR(INDEX('Catalog'!$A:$A,MATCH($B3728,'Catalog'!$B:$B,0)),IFERROR(INDEX('Catalog'!$A:$A,MATCH(TRIM(SUBSTITUTE($B3728,CHAR(160)," ")),'Catalog'!$C:$C,0)),""))))</f>
        <v>4413044</v>
      </c>
      <c r="H3728" s="8" t="str">
        <f aca="false">IFERROR(INDEX('TRANS'!$C:$C,MATCH($B3728,'TRANS'!$A:$A,0)),IFERROR(INDEX('Catalog'!$B:$B,MATCH($G3728,'Catalog'!$A:$A,0)),$B3728))</f>
        <v>34 XL מגן קרסול עקב סגור</v>
      </c>
      <c r="I3728" s="8" t="str">
        <f aca="false">IF($G3728="","Unmatched","Matched")</f>
        <v>Matched</v>
      </c>
    </row>
    <row r="3729" customFormat="false" ht="15" hidden="false" customHeight="false" outlineLevel="0" collapsed="false">
      <c r="A3729" s="8" t="s">
        <v>1073</v>
      </c>
      <c r="B3729" s="8" t="s">
        <v>744</v>
      </c>
      <c r="C3729" s="19" t="n">
        <v>5</v>
      </c>
      <c r="D3729" s="19" t="n">
        <v>0.03</v>
      </c>
      <c r="E3729" s="19" t="n">
        <v>0</v>
      </c>
      <c r="F3729" s="19" t="n">
        <v>0</v>
      </c>
      <c r="G3729" s="8" t="n">
        <f aca="false">IFERROR(INDEX('TRANS'!$B:$B,MATCH($B3729,'TRANS'!$A:$A,0)),IFERROR(INDEX('TRANS'!$B:$B,MATCH(TRIM(SUBSTITUTE($B3729,CHAR(160)," ")),'TRANS'!$D:$D,0)),IFERROR(INDEX('Catalog'!$A:$A,MATCH($B3729,'Catalog'!$B:$B,0)),IFERROR(INDEX('Catalog'!$A:$A,MATCH(TRIM(SUBSTITUTE($B3729,CHAR(160)," ")),'Catalog'!$C:$C,0)),""))))</f>
        <v>4413046</v>
      </c>
      <c r="H3729" s="8" t="str">
        <f aca="false">IFERROR(INDEX('TRANS'!$C:$C,MATCH($B3729,'TRANS'!$A:$A,0)),IFERROR(INDEX('Catalog'!$B:$B,MATCH($G3729,'Catalog'!$A:$A,0)),$B3729))</f>
        <v>34 XXL מגן קרסול עקב סגור</v>
      </c>
      <c r="I3729" s="8" t="str">
        <f aca="false">IF($G3729="","Unmatched","Matched")</f>
        <v>Matched</v>
      </c>
    </row>
    <row r="3730" customFormat="false" ht="15" hidden="false" customHeight="false" outlineLevel="0" collapsed="false">
      <c r="A3730" s="8" t="s">
        <v>1073</v>
      </c>
      <c r="B3730" s="8" t="s">
        <v>131</v>
      </c>
      <c r="C3730" s="19" t="n">
        <v>20</v>
      </c>
      <c r="D3730" s="19" t="n">
        <v>647.87</v>
      </c>
      <c r="E3730" s="19" t="n">
        <v>0</v>
      </c>
      <c r="F3730" s="19" t="n">
        <v>0</v>
      </c>
      <c r="G3730" s="8" t="n">
        <f aca="false">IFERROR(INDEX('TRANS'!$B:$B,MATCH($B3730,'TRANS'!$A:$A,0)),IFERROR(INDEX('TRANS'!$B:$B,MATCH(TRIM(SUBSTITUTE($B3730,CHAR(160)," ")),'TRANS'!$D:$D,0)),IFERROR(INDEX('Catalog'!$A:$A,MATCH($B3730,'Catalog'!$B:$B,0)),IFERROR(INDEX('Catalog'!$A:$A,MATCH(TRIM(SUBSTITUTE($B3730,CHAR(160)," ")),'Catalog'!$C:$C,0)),""))))</f>
        <v>4413161</v>
      </c>
      <c r="H3730" s="8" t="str">
        <f aca="false">IFERROR(INDEX('TRANS'!$C:$C,MATCH($B3730,'TRANS'!$A:$A,0)),IFERROR(INDEX('Catalog'!$B:$B,MATCH($G3730,'Catalog'!$A:$A,0)),$B3730))</f>
        <v>34+ L מגן קרסול עקב סגור+רצוע</v>
      </c>
      <c r="I3730" s="8" t="str">
        <f aca="false">IF($G3730="","Unmatched","Matched")</f>
        <v>Matched</v>
      </c>
    </row>
    <row r="3731" customFormat="false" ht="15" hidden="false" customHeight="false" outlineLevel="0" collapsed="false">
      <c r="A3731" s="8" t="s">
        <v>1073</v>
      </c>
      <c r="B3731" s="8" t="s">
        <v>357</v>
      </c>
      <c r="C3731" s="19" t="n">
        <v>20</v>
      </c>
      <c r="D3731" s="19" t="n">
        <v>647.87</v>
      </c>
      <c r="E3731" s="19" t="n">
        <v>0</v>
      </c>
      <c r="F3731" s="19" t="n">
        <v>0</v>
      </c>
      <c r="G3731" s="8" t="n">
        <f aca="false">IFERROR(INDEX('TRANS'!$B:$B,MATCH($B3731,'TRANS'!$A:$A,0)),IFERROR(INDEX('TRANS'!$B:$B,MATCH(TRIM(SUBSTITUTE($B3731,CHAR(160)," ")),'TRANS'!$D:$D,0)),IFERROR(INDEX('Catalog'!$A:$A,MATCH($B3731,'Catalog'!$B:$B,0)),IFERROR(INDEX('Catalog'!$A:$A,MATCH(TRIM(SUBSTITUTE($B3731,CHAR(160)," ")),'Catalog'!$C:$C,0)),""))))</f>
        <v>4413160</v>
      </c>
      <c r="H3731" s="8" t="str">
        <f aca="false">IFERROR(INDEX('TRANS'!$C:$C,MATCH($B3731,'TRANS'!$A:$A,0)),IFERROR(INDEX('Catalog'!$B:$B,MATCH($G3731,'Catalog'!$A:$A,0)),$B3731))</f>
        <v>34+ M מגן קרסול עקב סגור+רצוע</v>
      </c>
      <c r="I3731" s="8" t="str">
        <f aca="false">IF($G3731="","Unmatched","Matched")</f>
        <v>Matched</v>
      </c>
    </row>
    <row r="3732" customFormat="false" ht="15" hidden="false" customHeight="false" outlineLevel="0" collapsed="false">
      <c r="A3732" s="8" t="s">
        <v>1073</v>
      </c>
      <c r="B3732" s="8" t="s">
        <v>625</v>
      </c>
      <c r="C3732" s="19" t="n">
        <v>5</v>
      </c>
      <c r="D3732" s="19" t="n">
        <v>0.03</v>
      </c>
      <c r="E3732" s="19" t="n">
        <v>0</v>
      </c>
      <c r="F3732" s="19" t="n">
        <v>0</v>
      </c>
      <c r="G3732" s="8" t="n">
        <f aca="false">IFERROR(INDEX('TRANS'!$B:$B,MATCH($B3732,'TRANS'!$A:$A,0)),IFERROR(INDEX('TRANS'!$B:$B,MATCH(TRIM(SUBSTITUTE($B3732,CHAR(160)," ")),'TRANS'!$D:$D,0)),IFERROR(INDEX('Catalog'!$A:$A,MATCH($B3732,'Catalog'!$B:$B,0)),IFERROR(INDEX('Catalog'!$A:$A,MATCH(TRIM(SUBSTITUTE($B3732,CHAR(160)," ")),'Catalog'!$C:$C,0)),""))))</f>
        <v>4413159</v>
      </c>
      <c r="H3732" s="8" t="str">
        <f aca="false">IFERROR(INDEX('TRANS'!$C:$C,MATCH($B3732,'TRANS'!$A:$A,0)),IFERROR(INDEX('Catalog'!$B:$B,MATCH($G3732,'Catalog'!$A:$A,0)),$B3732))</f>
        <v>34+ S מגן קרסול עקב סגור+רצוע</v>
      </c>
      <c r="I3732" s="8" t="str">
        <f aca="false">IF($G3732="","Unmatched","Matched")</f>
        <v>Matched</v>
      </c>
    </row>
    <row r="3733" customFormat="false" ht="15" hidden="false" customHeight="false" outlineLevel="0" collapsed="false">
      <c r="A3733" s="8" t="s">
        <v>1073</v>
      </c>
      <c r="B3733" s="8" t="s">
        <v>132</v>
      </c>
      <c r="C3733" s="19" t="n">
        <v>5</v>
      </c>
      <c r="D3733" s="19" t="n">
        <v>161.97</v>
      </c>
      <c r="E3733" s="19" t="n">
        <v>0</v>
      </c>
      <c r="F3733" s="19" t="n">
        <v>0</v>
      </c>
      <c r="G3733" s="8" t="n">
        <f aca="false">IFERROR(INDEX('TRANS'!$B:$B,MATCH($B3733,'TRANS'!$A:$A,0)),IFERROR(INDEX('TRANS'!$B:$B,MATCH(TRIM(SUBSTITUTE($B3733,CHAR(160)," ")),'TRANS'!$D:$D,0)),IFERROR(INDEX('Catalog'!$A:$A,MATCH($B3733,'Catalog'!$B:$B,0)),IFERROR(INDEX('Catalog'!$A:$A,MATCH(TRIM(SUBSTITUTE($B3733,CHAR(160)," ")),'Catalog'!$C:$C,0)),""))))</f>
        <v>4413162</v>
      </c>
      <c r="H3733" s="8" t="str">
        <f aca="false">IFERROR(INDEX('TRANS'!$C:$C,MATCH($B3733,'TRANS'!$A:$A,0)),IFERROR(INDEX('Catalog'!$B:$B,MATCH($G3733,'Catalog'!$A:$A,0)),$B3733))</f>
        <v>34+XL מגן קרסול עקב סגור+רצוע</v>
      </c>
      <c r="I3733" s="8" t="str">
        <f aca="false">IF($G3733="","Unmatched","Matched")</f>
        <v>Matched</v>
      </c>
    </row>
    <row r="3734" customFormat="false" ht="15" hidden="false" customHeight="false" outlineLevel="0" collapsed="false">
      <c r="A3734" s="8" t="s">
        <v>1073</v>
      </c>
      <c r="B3734" s="8" t="s">
        <v>626</v>
      </c>
      <c r="C3734" s="19" t="n">
        <v>5</v>
      </c>
      <c r="D3734" s="19" t="n">
        <v>161.97</v>
      </c>
      <c r="E3734" s="19" t="n">
        <v>0</v>
      </c>
      <c r="F3734" s="19" t="n">
        <v>0</v>
      </c>
      <c r="G3734" s="8" t="n">
        <f aca="false">IFERROR(INDEX('TRANS'!$B:$B,MATCH($B3734,'TRANS'!$A:$A,0)),IFERROR(INDEX('TRANS'!$B:$B,MATCH(TRIM(SUBSTITUTE($B3734,CHAR(160)," ")),'TRANS'!$D:$D,0)),IFERROR(INDEX('Catalog'!$A:$A,MATCH($B3734,'Catalog'!$B:$B,0)),IFERROR(INDEX('Catalog'!$A:$A,MATCH(TRIM(SUBSTITUTE($B3734,CHAR(160)," ")),'Catalog'!$C:$C,0)),""))))</f>
        <v>4413303</v>
      </c>
      <c r="H3734" s="8" t="str">
        <f aca="false">IFERROR(INDEX('TRANS'!$C:$C,MATCH($B3734,'TRANS'!$A:$A,0)),IFERROR(INDEX('Catalog'!$B:$B,MATCH($G3734,'Catalog'!$A:$A,0)),$B3734))</f>
        <v>34+XXL מ.קרסול+עכב סגור+רצועות</v>
      </c>
      <c r="I3734" s="8" t="str">
        <f aca="false">IF($G3734="","Unmatched","Matched")</f>
        <v>Matched</v>
      </c>
    </row>
    <row r="3735" customFormat="false" ht="15" hidden="false" customHeight="false" outlineLevel="0" collapsed="false">
      <c r="A3735" s="8" t="s">
        <v>1073</v>
      </c>
      <c r="B3735" s="8" t="s">
        <v>147</v>
      </c>
      <c r="C3735" s="19" t="n">
        <v>55</v>
      </c>
      <c r="D3735" s="19" t="n">
        <v>1450.76</v>
      </c>
      <c r="E3735" s="19" t="n">
        <v>0</v>
      </c>
      <c r="F3735" s="19" t="n">
        <v>0</v>
      </c>
      <c r="G3735" s="8" t="n">
        <f aca="false">IFERROR(INDEX('TRANS'!$B:$B,MATCH($B3735,'TRANS'!$A:$A,0)),IFERROR(INDEX('TRANS'!$B:$B,MATCH(TRIM(SUBSTITUTE($B3735,CHAR(160)," ")),'TRANS'!$D:$D,0)),IFERROR(INDEX('Catalog'!$A:$A,MATCH($B3735,'Catalog'!$B:$B,0)),IFERROR(INDEX('Catalog'!$A:$A,MATCH(TRIM(SUBSTITUTE($B3735,CHAR(160)," ")),'Catalog'!$C:$C,0)),""))))</f>
        <v>4421001</v>
      </c>
      <c r="H3735" s="8" t="str">
        <f aca="false">IFERROR(INDEX('TRANS'!$C:$C,MATCH($B3735,'TRANS'!$A:$A,0)),IFERROR(INDEX('Catalog'!$B:$B,MATCH($G3735,'Catalog'!$A:$A,0)),$B3735))</f>
        <v>3611 שרוול מטטרזלי מסיליקון</v>
      </c>
      <c r="I3735" s="8" t="str">
        <f aca="false">IF($G3735="","Unmatched","Matched")</f>
        <v>Matched</v>
      </c>
    </row>
    <row r="3736" customFormat="false" ht="15" hidden="false" customHeight="false" outlineLevel="0" collapsed="false">
      <c r="A3736" s="8" t="s">
        <v>1073</v>
      </c>
      <c r="B3736" s="8" t="s">
        <v>154</v>
      </c>
      <c r="C3736" s="19" t="n">
        <v>55</v>
      </c>
      <c r="D3736" s="19" t="n">
        <v>248.02</v>
      </c>
      <c r="E3736" s="19" t="n">
        <v>0</v>
      </c>
      <c r="F3736" s="19" t="n">
        <v>0</v>
      </c>
      <c r="G3736" s="8" t="n">
        <f aca="false">IFERROR(INDEX('TRANS'!$B:$B,MATCH($B3736,'TRANS'!$A:$A,0)),IFERROR(INDEX('TRANS'!$B:$B,MATCH(TRIM(SUBSTITUTE($B3736,CHAR(160)," ")),'TRANS'!$D:$D,0)),IFERROR(INDEX('Catalog'!$A:$A,MATCH($B3736,'Catalog'!$B:$B,0)),IFERROR(INDEX('Catalog'!$A:$A,MATCH(TRIM(SUBSTITUTE($B3736,CHAR(160)," ")),'Catalog'!$C:$C,0)),""))))</f>
        <v>4413061</v>
      </c>
      <c r="H3736" s="8" t="str">
        <f aca="false">IFERROR(INDEX('TRANS'!$C:$C,MATCH($B3736,'TRANS'!$A:$A,0)),IFERROR(INDEX('Catalog'!$B:$B,MATCH($G3736,'Catalog'!$A:$A,0)),$B3736))</f>
        <v>3641-מיישר בוהן סיליקון קשיח</v>
      </c>
      <c r="I3736" s="8" t="str">
        <f aca="false">IF($G3736="","Unmatched","Matched")</f>
        <v>Matched</v>
      </c>
    </row>
    <row r="3737" customFormat="false" ht="15" hidden="false" customHeight="false" outlineLevel="0" collapsed="false">
      <c r="A3737" s="8" t="s">
        <v>1073</v>
      </c>
      <c r="B3737" s="8" t="s">
        <v>156</v>
      </c>
      <c r="C3737" s="19" t="n">
        <v>55</v>
      </c>
      <c r="D3737" s="19" t="n">
        <v>403.01</v>
      </c>
      <c r="E3737" s="19" t="n">
        <v>0</v>
      </c>
      <c r="F3737" s="19" t="n">
        <v>0</v>
      </c>
      <c r="G3737" s="8" t="n">
        <f aca="false">IFERROR(INDEX('TRANS'!$B:$B,MATCH($B3737,'TRANS'!$A:$A,0)),IFERROR(INDEX('TRANS'!$B:$B,MATCH(TRIM(SUBSTITUTE($B3737,CHAR(160)," ")),'TRANS'!$D:$D,0)),IFERROR(INDEX('Catalog'!$A:$A,MATCH($B3737,'Catalog'!$B:$B,0)),IFERROR(INDEX('Catalog'!$A:$A,MATCH(TRIM(SUBSTITUTE($B3737,CHAR(160)," ")),'Catalog'!$C:$C,0)),""))))</f>
        <v>4421000</v>
      </c>
      <c r="H3737" s="8" t="str">
        <f aca="false">IFERROR(INDEX('TRANS'!$C:$C,MATCH($B3737,'TRANS'!$A:$A,0)),IFERROR(INDEX('Catalog'!$B:$B,MATCH($G3737,'Catalog'!$A:$A,0)),$B3737))</f>
        <v>3655 שרוול מסיליקון לאצבע</v>
      </c>
      <c r="I3737" s="8" t="str">
        <f aca="false">IF($G3737="","Unmatched","Matched")</f>
        <v>Matched</v>
      </c>
    </row>
    <row r="3738" customFormat="false" ht="15" hidden="false" customHeight="false" outlineLevel="0" collapsed="false">
      <c r="A3738" s="8" t="s">
        <v>1073</v>
      </c>
      <c r="B3738" s="8" t="s">
        <v>161</v>
      </c>
      <c r="C3738" s="19" t="n">
        <v>55</v>
      </c>
      <c r="D3738" s="19" t="n">
        <v>805.99</v>
      </c>
      <c r="E3738" s="19" t="n">
        <v>0</v>
      </c>
      <c r="F3738" s="19" t="n">
        <v>0</v>
      </c>
      <c r="G3738" s="8" t="n">
        <f aca="false">IFERROR(INDEX('TRANS'!$B:$B,MATCH($B3738,'TRANS'!$A:$A,0)),IFERROR(INDEX('TRANS'!$B:$B,MATCH(TRIM(SUBSTITUTE($B3738,CHAR(160)," ")),'TRANS'!$D:$D,0)),IFERROR(INDEX('Catalog'!$A:$A,MATCH($B3738,'Catalog'!$B:$B,0)),IFERROR(INDEX('Catalog'!$A:$A,MATCH(TRIM(SUBSTITUTE($B3738,CHAR(160)," ")),'Catalog'!$C:$C,0)),""))))</f>
        <v>4413370</v>
      </c>
      <c r="H3738" s="8" t="str">
        <f aca="false">IFERROR(INDEX('TRANS'!$C:$C,MATCH($B3738,'TRANS'!$A:$A,0)),IFERROR(INDEX('Catalog'!$B:$B,MATCH($G3738,'Catalog'!$A:$A,0)),$B3738))</f>
        <v>3674 0 מ.בוניון+מפריד אצבע</v>
      </c>
      <c r="I3738" s="8" t="str">
        <f aca="false">IF($G3738="","Unmatched","Matched")</f>
        <v>Matched</v>
      </c>
    </row>
    <row r="3739" customFormat="false" ht="15" hidden="false" customHeight="false" outlineLevel="0" collapsed="false">
      <c r="A3739" s="8" t="s">
        <v>1073</v>
      </c>
      <c r="B3739" s="8" t="s">
        <v>165</v>
      </c>
      <c r="C3739" s="19" t="n">
        <v>55</v>
      </c>
      <c r="D3739" s="19" t="n">
        <v>279.02</v>
      </c>
      <c r="E3739" s="19" t="n">
        <v>0</v>
      </c>
      <c r="F3739" s="19" t="n">
        <v>0</v>
      </c>
      <c r="G3739" s="8" t="n">
        <f aca="false">IFERROR(INDEX('TRANS'!$B:$B,MATCH($B3739,'TRANS'!$A:$A,0)),IFERROR(INDEX('TRANS'!$B:$B,MATCH(TRIM(SUBSTITUTE($B3739,CHAR(160)," ")),'TRANS'!$D:$D,0)),IFERROR(INDEX('Catalog'!$A:$A,MATCH($B3739,'Catalog'!$B:$B,0)),IFERROR(INDEX('Catalog'!$A:$A,MATCH(TRIM(SUBSTITUTE($B3739,CHAR(160)," ")),'Catalog'!$C:$C,0)),""))))</f>
        <v>4420000</v>
      </c>
      <c r="H3739" s="8" t="str">
        <f aca="false">IFERROR(INDEX('TRANS'!$C:$C,MATCH($B3739,'TRANS'!$A:$A,0)),IFERROR(INDEX('Catalog'!$B:$B,MATCH($G3739,'Catalog'!$A:$A,0)),$B3739))</f>
        <v>370  רפידת נוחות-זוג</v>
      </c>
      <c r="I3739" s="8" t="str">
        <f aca="false">IF($G3739="","Unmatched","Matched")</f>
        <v>Matched</v>
      </c>
    </row>
    <row r="3740" customFormat="false" ht="15" hidden="false" customHeight="false" outlineLevel="0" collapsed="false">
      <c r="A3740" s="8" t="s">
        <v>1073</v>
      </c>
      <c r="B3740" s="8" t="s">
        <v>169</v>
      </c>
      <c r="C3740" s="19" t="n">
        <v>55</v>
      </c>
      <c r="D3740" s="19" t="n">
        <v>379.76</v>
      </c>
      <c r="E3740" s="19" t="n">
        <v>0</v>
      </c>
      <c r="F3740" s="19" t="n">
        <v>0</v>
      </c>
      <c r="G3740" s="8" t="n">
        <f aca="false">IFERROR(INDEX('TRANS'!$B:$B,MATCH($B3740,'TRANS'!$A:$A,0)),IFERROR(INDEX('TRANS'!$B:$B,MATCH(TRIM(SUBSTITUTE($B3740,CHAR(160)," ")),'TRANS'!$D:$D,0)),IFERROR(INDEX('Catalog'!$A:$A,MATCH($B3740,'Catalog'!$B:$B,0)),IFERROR(INDEX('Catalog'!$A:$A,MATCH(TRIM(SUBSTITUTE($B3740,CHAR(160)," ")),'Catalog'!$C:$C,0)),""))))</f>
        <v>4420003</v>
      </c>
      <c r="H3740" s="8" t="str">
        <f aca="false">IFERROR(INDEX('TRANS'!$C:$C,MATCH($B3740,'TRANS'!$A:$A,0)),IFERROR(INDEX('Catalog'!$B:$B,MATCH($G3740,'Catalog'!$A:$A,0)),$B3740))</f>
        <v>374 רפידת בולמת זעזועים -זוג</v>
      </c>
      <c r="I3740" s="8" t="str">
        <f aca="false">IF($G3740="","Unmatched","Matched")</f>
        <v>Matched</v>
      </c>
    </row>
    <row r="3741" customFormat="false" ht="15" hidden="false" customHeight="false" outlineLevel="0" collapsed="false">
      <c r="A3741" s="8" t="s">
        <v>1073</v>
      </c>
      <c r="B3741" s="8" t="s">
        <v>382</v>
      </c>
      <c r="C3741" s="19" t="n">
        <v>20</v>
      </c>
      <c r="D3741" s="19" t="n">
        <v>270.93</v>
      </c>
      <c r="E3741" s="19" t="n">
        <v>0</v>
      </c>
      <c r="F3741" s="19" t="n">
        <v>0</v>
      </c>
      <c r="G3741" s="8" t="n">
        <f aca="false">IFERROR(INDEX('TRANS'!$B:$B,MATCH($B3741,'TRANS'!$A:$A,0)),IFERROR(INDEX('TRANS'!$B:$B,MATCH(TRIM(SUBSTITUTE($B3741,CHAR(160)," ")),'TRANS'!$D:$D,0)),IFERROR(INDEX('Catalog'!$A:$A,MATCH($B3741,'Catalog'!$B:$B,0)),IFERROR(INDEX('Catalog'!$A:$A,MATCH(TRIM(SUBSTITUTE($B3741,CHAR(160)," ")),'Catalog'!$C:$C,0)),""))))</f>
        <v>4413102</v>
      </c>
      <c r="H3741" s="8" t="str">
        <f aca="false">IFERROR(INDEX('TRANS'!$C:$C,MATCH($B3741,'TRANS'!$A:$A,0)),IFERROR(INDEX('Catalog'!$B:$B,MATCH($G3741,'Catalog'!$A:$A,0)),$B3741))</f>
        <v>45E  L        מגן ברך ארוך לבן</v>
      </c>
      <c r="I3741" s="8" t="str">
        <f aca="false">IF($G3741="","Unmatched","Matched")</f>
        <v>Matched</v>
      </c>
    </row>
    <row r="3742" customFormat="false" ht="15" hidden="false" customHeight="false" outlineLevel="0" collapsed="false">
      <c r="A3742" s="8" t="s">
        <v>1073</v>
      </c>
      <c r="B3742" s="8" t="s">
        <v>383</v>
      </c>
      <c r="C3742" s="19" t="n">
        <v>20</v>
      </c>
      <c r="D3742" s="19" t="n">
        <v>270.93</v>
      </c>
      <c r="E3742" s="19" t="n">
        <v>0</v>
      </c>
      <c r="F3742" s="19" t="n">
        <v>0</v>
      </c>
      <c r="G3742" s="8" t="n">
        <f aca="false">IFERROR(INDEX('TRANS'!$B:$B,MATCH($B3742,'TRANS'!$A:$A,0)),IFERROR(INDEX('TRANS'!$B:$B,MATCH(TRIM(SUBSTITUTE($B3742,CHAR(160)," ")),'TRANS'!$D:$D,0)),IFERROR(INDEX('Catalog'!$A:$A,MATCH($B3742,'Catalog'!$B:$B,0)),IFERROR(INDEX('Catalog'!$A:$A,MATCH(TRIM(SUBSTITUTE($B3742,CHAR(160)," ")),'Catalog'!$C:$C,0)),""))))</f>
        <v>4413103</v>
      </c>
      <c r="H3742" s="8" t="str">
        <f aca="false">IFERROR(INDEX('TRANS'!$C:$C,MATCH($B3742,'TRANS'!$A:$A,0)),IFERROR(INDEX('Catalog'!$B:$B,MATCH($G3742,'Catalog'!$A:$A,0)),$B3742))</f>
        <v>45E Mמגן ברך ארוך לבן</v>
      </c>
      <c r="I3742" s="8" t="str">
        <f aca="false">IF($G3742="","Unmatched","Matched")</f>
        <v>Matched</v>
      </c>
    </row>
    <row r="3743" customFormat="false" ht="15" hidden="false" customHeight="false" outlineLevel="0" collapsed="false">
      <c r="A3743" s="8" t="s">
        <v>1073</v>
      </c>
      <c r="B3743" s="8" t="s">
        <v>216</v>
      </c>
      <c r="C3743" s="19" t="n">
        <v>15</v>
      </c>
      <c r="D3743" s="19" t="n">
        <v>135.49</v>
      </c>
      <c r="E3743" s="19" t="n">
        <v>0</v>
      </c>
      <c r="F3743" s="19" t="n">
        <v>0</v>
      </c>
      <c r="G3743" s="8" t="n">
        <f aca="false">IFERROR(INDEX('TRANS'!$B:$B,MATCH($B3743,'TRANS'!$A:$A,0)),IFERROR(INDEX('TRANS'!$B:$B,MATCH(TRIM(SUBSTITUTE($B3743,CHAR(160)," ")),'TRANS'!$D:$D,0)),IFERROR(INDEX('Catalog'!$A:$A,MATCH($B3743,'Catalog'!$B:$B,0)),IFERROR(INDEX('Catalog'!$A:$A,MATCH(TRIM(SUBSTITUTE($B3743,CHAR(160)," ")),'Catalog'!$C:$C,0)),""))))</f>
        <v>4413104</v>
      </c>
      <c r="H3743" s="8" t="str">
        <f aca="false">IFERROR(INDEX('TRANS'!$C:$C,MATCH($B3743,'TRANS'!$A:$A,0)),IFERROR(INDEX('Catalog'!$B:$B,MATCH($G3743,'Catalog'!$A:$A,0)),$B3743))</f>
        <v>45E XLמגן ברך ארוך לבן</v>
      </c>
      <c r="I3743" s="8" t="str">
        <f aca="false">IF($G3743="","Unmatched","Matched")</f>
        <v>Matched</v>
      </c>
    </row>
    <row r="3744" customFormat="false" ht="15" hidden="false" customHeight="false" outlineLevel="0" collapsed="false">
      <c r="A3744" s="8" t="s">
        <v>1073</v>
      </c>
      <c r="B3744" s="8" t="s">
        <v>709</v>
      </c>
      <c r="C3744" s="19" t="n">
        <v>10</v>
      </c>
      <c r="D3744" s="19" t="n">
        <v>452.58</v>
      </c>
      <c r="E3744" s="19" t="n">
        <v>0</v>
      </c>
      <c r="F3744" s="19" t="n">
        <v>0</v>
      </c>
      <c r="G3744" s="8" t="n">
        <f aca="false">IFERROR(INDEX('TRANS'!$B:$B,MATCH($B3744,'TRANS'!$A:$A,0)),IFERROR(INDEX('TRANS'!$B:$B,MATCH(TRIM(SUBSTITUTE($B3744,CHAR(160)," ")),'TRANS'!$D:$D,0)),IFERROR(INDEX('Catalog'!$A:$A,MATCH($B3744,'Catalog'!$B:$B,0)),IFERROR(INDEX('Catalog'!$A:$A,MATCH(TRIM(SUBSTITUTE($B3744,CHAR(160)," ")),'Catalog'!$C:$C,0)),""))))</f>
        <v>4413117</v>
      </c>
      <c r="H3744" s="8" t="str">
        <f aca="false">IFERROR(INDEX('TRANS'!$C:$C,MATCH($B3744,'TRANS'!$A:$A,0)),IFERROR(INDEX('Catalog'!$B:$B,MATCH($G3744,'Catalog'!$A:$A,0)),$B3744))</f>
        <v>50 L מתלה אשכים לאחר ניתוח</v>
      </c>
      <c r="I3744" s="8" t="str">
        <f aca="false">IF($G3744="","Unmatched","Matched")</f>
        <v>Matched</v>
      </c>
    </row>
    <row r="3745" customFormat="false" ht="15" hidden="false" customHeight="false" outlineLevel="0" collapsed="false">
      <c r="A3745" s="8" t="s">
        <v>1073</v>
      </c>
      <c r="B3745" s="8" t="s">
        <v>679</v>
      </c>
      <c r="C3745" s="19" t="n">
        <v>20</v>
      </c>
      <c r="D3745" s="19" t="n">
        <v>905.16</v>
      </c>
      <c r="E3745" s="19" t="n">
        <v>0</v>
      </c>
      <c r="F3745" s="19" t="n">
        <v>0</v>
      </c>
      <c r="G3745" s="8" t="n">
        <f aca="false">IFERROR(INDEX('TRANS'!$B:$B,MATCH($B3745,'TRANS'!$A:$A,0)),IFERROR(INDEX('TRANS'!$B:$B,MATCH(TRIM(SUBSTITUTE($B3745,CHAR(160)," ")),'TRANS'!$D:$D,0)),IFERROR(INDEX('Catalog'!$A:$A,MATCH($B3745,'Catalog'!$B:$B,0)),IFERROR(INDEX('Catalog'!$A:$A,MATCH(TRIM(SUBSTITUTE($B3745,CHAR(160)," ")),'Catalog'!$C:$C,0)),""))))</f>
        <v>4413118</v>
      </c>
      <c r="H3745" s="8" t="str">
        <f aca="false">IFERROR(INDEX('TRANS'!$C:$C,MATCH($B3745,'TRANS'!$A:$A,0)),IFERROR(INDEX('Catalog'!$B:$B,MATCH($G3745,'Catalog'!$A:$A,0)),$B3745))</f>
        <v>50 M מתלה אשכים לאחר ניתוח</v>
      </c>
      <c r="I3745" s="8" t="str">
        <f aca="false">IF($G3745="","Unmatched","Matched")</f>
        <v>Matched</v>
      </c>
    </row>
    <row r="3746" customFormat="false" ht="15" hidden="false" customHeight="false" outlineLevel="0" collapsed="false">
      <c r="A3746" s="8" t="s">
        <v>1073</v>
      </c>
      <c r="B3746" s="8" t="s">
        <v>393</v>
      </c>
      <c r="C3746" s="19" t="n">
        <v>5</v>
      </c>
      <c r="D3746" s="19" t="n">
        <v>226.29</v>
      </c>
      <c r="E3746" s="19" t="n">
        <v>0</v>
      </c>
      <c r="F3746" s="19" t="n">
        <v>0</v>
      </c>
      <c r="G3746" s="8" t="str">
        <f aca="false">IFERROR(INDEX('TRANS'!$B:$B,MATCH($B3746,'TRANS'!$A:$A,0)),IFERROR(INDEX('TRANS'!$B:$B,MATCH(TRIM(SUBSTITUTE($B3746,CHAR(160)," ")),'TRANS'!$D:$D,0)),IFERROR(INDEX('Catalog'!$A:$A,MATCH($B3746,'Catalog'!$B:$B,0)),IFERROR(INDEX('Catalog'!$A:$A,MATCH(TRIM(SUBSTITUTE($B3746,CHAR(160)," ")),'Catalog'!$C:$C,0)),""))))</f>
        <v/>
      </c>
      <c r="H3746" s="8" t="str">
        <f aca="false">IFERROR(INDEX('TRANS'!$C:$C,MATCH($B3746,'TRANS'!$A:$A,0)),IFERROR(INDEX('Catalog'!$B:$B,MATCH($G3746,'Catalog'!$A:$A,0)),$B3746))</f>
        <v>50 S</v>
      </c>
      <c r="I3746" s="8" t="str">
        <f aca="false">IF($G3746="","Unmatched","Matched")</f>
        <v>Unmatched</v>
      </c>
    </row>
    <row r="3747" customFormat="false" ht="15" hidden="false" customHeight="false" outlineLevel="0" collapsed="false">
      <c r="A3747" s="8" t="s">
        <v>1073</v>
      </c>
      <c r="B3747" s="8" t="s">
        <v>628</v>
      </c>
      <c r="C3747" s="19" t="n">
        <v>10</v>
      </c>
      <c r="D3747" s="19" t="n">
        <v>452.58</v>
      </c>
      <c r="E3747" s="19" t="n">
        <v>0</v>
      </c>
      <c r="F3747" s="19" t="n">
        <v>0</v>
      </c>
      <c r="G3747" s="8" t="n">
        <f aca="false">IFERROR(INDEX('TRANS'!$B:$B,MATCH($B3747,'TRANS'!$A:$A,0)),IFERROR(INDEX('TRANS'!$B:$B,MATCH(TRIM(SUBSTITUTE($B3747,CHAR(160)," ")),'TRANS'!$D:$D,0)),IFERROR(INDEX('Catalog'!$A:$A,MATCH($B3747,'Catalog'!$B:$B,0)),IFERROR(INDEX('Catalog'!$A:$A,MATCH(TRIM(SUBSTITUTE($B3747,CHAR(160)," ")),'Catalog'!$C:$C,0)),""))))</f>
        <v>4413119</v>
      </c>
      <c r="H3747" s="8" t="str">
        <f aca="false">IFERROR(INDEX('TRANS'!$C:$C,MATCH($B3747,'TRANS'!$A:$A,0)),IFERROR(INDEX('Catalog'!$B:$B,MATCH($G3747,'Catalog'!$A:$A,0)),$B3747))</f>
        <v>50 XL מתלה אשכים לאחר ניתוח</v>
      </c>
      <c r="I3747" s="8" t="str">
        <f aca="false">IF($G3747="","Unmatched","Matched")</f>
        <v>Matched</v>
      </c>
    </row>
    <row r="3748" customFormat="false" ht="15" hidden="false" customHeight="false" outlineLevel="0" collapsed="false">
      <c r="A3748" s="8" t="s">
        <v>1073</v>
      </c>
      <c r="B3748" s="8" t="s">
        <v>748</v>
      </c>
      <c r="C3748" s="19" t="n">
        <v>5</v>
      </c>
      <c r="D3748" s="19" t="n">
        <v>0.03</v>
      </c>
      <c r="E3748" s="19" t="n">
        <v>0</v>
      </c>
      <c r="F3748" s="19" t="n">
        <v>0</v>
      </c>
      <c r="G3748" s="8" t="str">
        <f aca="false">IFERROR(INDEX('TRANS'!$B:$B,MATCH($B3748,'TRANS'!$A:$A,0)),IFERROR(INDEX('TRANS'!$B:$B,MATCH(TRIM(SUBSTITUTE($B3748,CHAR(160)," ")),'TRANS'!$D:$D,0)),IFERROR(INDEX('Catalog'!$A:$A,MATCH($B3748,'Catalog'!$B:$B,0)),IFERROR(INDEX('Catalog'!$A:$A,MATCH(TRIM(SUBSTITUTE($B3748,CHAR(160)," ")),'Catalog'!$C:$C,0)),""))))</f>
        <v/>
      </c>
      <c r="H3748" s="8" t="str">
        <f aca="false">IFERROR(INDEX('TRANS'!$C:$C,MATCH($B3748,'TRANS'!$A:$A,0)),IFERROR(INDEX('Catalog'!$B:$B,MATCH($G3748,'Catalog'!$A:$A,0)),$B3748))</f>
        <v>50 XXL</v>
      </c>
      <c r="I3748" s="8" t="str">
        <f aca="false">IF($G3748="","Unmatched","Matched")</f>
        <v>Unmatched</v>
      </c>
    </row>
    <row r="3749" customFormat="false" ht="15" hidden="false" customHeight="false" outlineLevel="0" collapsed="false">
      <c r="A3749" s="8" t="s">
        <v>1073</v>
      </c>
      <c r="B3749" s="8" t="s">
        <v>577</v>
      </c>
      <c r="C3749" s="19" t="n">
        <v>20</v>
      </c>
      <c r="D3749" s="19" t="n">
        <v>554.25</v>
      </c>
      <c r="E3749" s="19" t="n">
        <v>0</v>
      </c>
      <c r="F3749" s="19" t="n">
        <v>0</v>
      </c>
      <c r="G3749" s="8" t="n">
        <f aca="false">IFERROR(INDEX('TRANS'!$B:$B,MATCH($B3749,'TRANS'!$A:$A,0)),IFERROR(INDEX('TRANS'!$B:$B,MATCH(TRIM(SUBSTITUTE($B3749,CHAR(160)," ")),'TRANS'!$D:$D,0)),IFERROR(INDEX('Catalog'!$A:$A,MATCH($B3749,'Catalog'!$B:$B,0)),IFERROR(INDEX('Catalog'!$A:$A,MATCH(TRIM(SUBSTITUTE($B3749,CHAR(160)," ")),'Catalog'!$C:$C,0)),""))))</f>
        <v>4418000</v>
      </c>
      <c r="H3749" s="8" t="str">
        <f aca="false">IFERROR(INDEX('TRANS'!$C:$C,MATCH($B3749,'TRANS'!$A:$A,0)),IFERROR(INDEX('Catalog'!$B:$B,MATCH($G3749,'Catalog'!$A:$A,0)),$B3749))</f>
        <v>60 L צוארון ספוגי</v>
      </c>
      <c r="I3749" s="8" t="str">
        <f aca="false">IF($G3749="","Unmatched","Matched")</f>
        <v>Matched</v>
      </c>
    </row>
    <row r="3750" customFormat="false" ht="15" hidden="false" customHeight="false" outlineLevel="0" collapsed="false">
      <c r="A3750" s="8" t="s">
        <v>1073</v>
      </c>
      <c r="B3750" s="8" t="s">
        <v>228</v>
      </c>
      <c r="C3750" s="19" t="n">
        <v>10</v>
      </c>
      <c r="D3750" s="19" t="n">
        <v>277.12</v>
      </c>
      <c r="E3750" s="19" t="n">
        <v>0</v>
      </c>
      <c r="F3750" s="19" t="n">
        <v>0</v>
      </c>
      <c r="G3750" s="8" t="n">
        <f aca="false">IFERROR(INDEX('TRANS'!$B:$B,MATCH($B3750,'TRANS'!$A:$A,0)),IFERROR(INDEX('TRANS'!$B:$B,MATCH(TRIM(SUBSTITUTE($B3750,CHAR(160)," ")),'TRANS'!$D:$D,0)),IFERROR(INDEX('Catalog'!$A:$A,MATCH($B3750,'Catalog'!$B:$B,0)),IFERROR(INDEX('Catalog'!$A:$A,MATCH(TRIM(SUBSTITUTE($B3750,CHAR(160)," ")),'Catalog'!$C:$C,0)),""))))</f>
        <v>4418001</v>
      </c>
      <c r="H3750" s="8" t="str">
        <f aca="false">IFERROR(INDEX('TRANS'!$C:$C,MATCH($B3750,'TRANS'!$A:$A,0)),IFERROR(INDEX('Catalog'!$B:$B,MATCH($G3750,'Catalog'!$A:$A,0)),$B3750))</f>
        <v>60 M צוארון ספוגי</v>
      </c>
      <c r="I3750" s="8" t="str">
        <f aca="false">IF($G3750="","Unmatched","Matched")</f>
        <v>Matched</v>
      </c>
    </row>
    <row r="3751" customFormat="false" ht="15" hidden="false" customHeight="false" outlineLevel="0" collapsed="false">
      <c r="A3751" s="8" t="s">
        <v>1073</v>
      </c>
      <c r="B3751" s="8" t="s">
        <v>229</v>
      </c>
      <c r="C3751" s="19" t="n">
        <v>5</v>
      </c>
      <c r="D3751" s="19" t="n">
        <v>138.57</v>
      </c>
      <c r="E3751" s="19" t="n">
        <v>0</v>
      </c>
      <c r="F3751" s="19" t="n">
        <v>0</v>
      </c>
      <c r="G3751" s="8" t="n">
        <f aca="false">IFERROR(INDEX('TRANS'!$B:$B,MATCH($B3751,'TRANS'!$A:$A,0)),IFERROR(INDEX('TRANS'!$B:$B,MATCH(TRIM(SUBSTITUTE($B3751,CHAR(160)," ")),'TRANS'!$D:$D,0)),IFERROR(INDEX('Catalog'!$A:$A,MATCH($B3751,'Catalog'!$B:$B,0)),IFERROR(INDEX('Catalog'!$A:$A,MATCH(TRIM(SUBSTITUTE($B3751,CHAR(160)," ")),'Catalog'!$C:$C,0)),""))))</f>
        <v>4418002</v>
      </c>
      <c r="H3751" s="8" t="str">
        <f aca="false">IFERROR(INDEX('TRANS'!$C:$C,MATCH($B3751,'TRANS'!$A:$A,0)),IFERROR(INDEX('Catalog'!$B:$B,MATCH($G3751,'Catalog'!$A:$A,0)),$B3751))</f>
        <v>60 S צוארון ספוגי</v>
      </c>
      <c r="I3751" s="8" t="str">
        <f aca="false">IF($G3751="","Unmatched","Matched")</f>
        <v>Matched</v>
      </c>
    </row>
    <row r="3752" customFormat="false" ht="15" hidden="false" customHeight="false" outlineLevel="0" collapsed="false">
      <c r="A3752" s="8" t="s">
        <v>1073</v>
      </c>
      <c r="B3752" s="8" t="s">
        <v>400</v>
      </c>
      <c r="C3752" s="19" t="n">
        <v>10</v>
      </c>
      <c r="D3752" s="19" t="n">
        <v>277.12</v>
      </c>
      <c r="E3752" s="19" t="n">
        <v>0</v>
      </c>
      <c r="F3752" s="19" t="n">
        <v>0</v>
      </c>
      <c r="G3752" s="8" t="n">
        <f aca="false">IFERROR(INDEX('TRANS'!$B:$B,MATCH($B3752,'TRANS'!$A:$A,0)),IFERROR(INDEX('TRANS'!$B:$B,MATCH(TRIM(SUBSTITUTE($B3752,CHAR(160)," ")),'TRANS'!$D:$D,0)),IFERROR(INDEX('Catalog'!$A:$A,MATCH($B3752,'Catalog'!$B:$B,0)),IFERROR(INDEX('Catalog'!$A:$A,MATCH(TRIM(SUBSTITUTE($B3752,CHAR(160)," ")),'Catalog'!$C:$C,0)),""))))</f>
        <v>4418003</v>
      </c>
      <c r="H3752" s="8" t="str">
        <f aca="false">IFERROR(INDEX('TRANS'!$C:$C,MATCH($B3752,'TRANS'!$A:$A,0)),IFERROR(INDEX('Catalog'!$B:$B,MATCH($G3752,'Catalog'!$A:$A,0)),$B3752))</f>
        <v>60 XL צוארון ספוגי</v>
      </c>
      <c r="I3752" s="8" t="str">
        <f aca="false">IF($G3752="","Unmatched","Matched")</f>
        <v>Matched</v>
      </c>
    </row>
    <row r="3753" customFormat="false" ht="15" hidden="false" customHeight="false" outlineLevel="0" collapsed="false">
      <c r="A3753" s="8" t="s">
        <v>1073</v>
      </c>
      <c r="B3753" s="8" t="s">
        <v>781</v>
      </c>
      <c r="C3753" s="19" t="n">
        <v>5</v>
      </c>
      <c r="D3753" s="19" t="n">
        <v>0.03</v>
      </c>
      <c r="E3753" s="19" t="n">
        <v>0</v>
      </c>
      <c r="F3753" s="19" t="n">
        <v>0</v>
      </c>
      <c r="G3753" s="8" t="str">
        <f aca="false">IFERROR(INDEX('TRANS'!$B:$B,MATCH($B3753,'TRANS'!$A:$A,0)),IFERROR(INDEX('TRANS'!$B:$B,MATCH(TRIM(SUBSTITUTE($B3753,CHAR(160)," ")),'TRANS'!$D:$D,0)),IFERROR(INDEX('Catalog'!$A:$A,MATCH($B3753,'Catalog'!$B:$B,0)),IFERROR(INDEX('Catalog'!$A:$A,MATCH(TRIM(SUBSTITUTE($B3753,CHAR(160)," ")),'Catalog'!$C:$C,0)),""))))</f>
        <v/>
      </c>
      <c r="H3753" s="8" t="str">
        <f aca="false">IFERROR(INDEX('TRANS'!$C:$C,MATCH($B3753,'TRANS'!$A:$A,0)),IFERROR(INDEX('Catalog'!$B:$B,MATCH($G3753,'Catalog'!$A:$A,0)),$B3753))</f>
        <v>60 XS</v>
      </c>
      <c r="I3753" s="8" t="str">
        <f aca="false">IF($G3753="","Unmatched","Matched")</f>
        <v>Unmatched</v>
      </c>
    </row>
    <row r="3754" customFormat="false" ht="15" hidden="false" customHeight="false" outlineLevel="0" collapsed="false">
      <c r="A3754" s="8" t="s">
        <v>1073</v>
      </c>
      <c r="B3754" s="8" t="s">
        <v>700</v>
      </c>
      <c r="C3754" s="19" t="n">
        <v>5</v>
      </c>
      <c r="D3754" s="19" t="n">
        <v>138.57</v>
      </c>
      <c r="E3754" s="19" t="n">
        <v>0</v>
      </c>
      <c r="F3754" s="19" t="n">
        <v>0</v>
      </c>
      <c r="G3754" s="8" t="str">
        <f aca="false">IFERROR(INDEX('TRANS'!$B:$B,MATCH($B3754,'TRANS'!$A:$A,0)),IFERROR(INDEX('TRANS'!$B:$B,MATCH(TRIM(SUBSTITUTE($B3754,CHAR(160)," ")),'TRANS'!$D:$D,0)),IFERROR(INDEX('Catalog'!$A:$A,MATCH($B3754,'Catalog'!$B:$B,0)),IFERROR(INDEX('Catalog'!$A:$A,MATCH(TRIM(SUBSTITUTE($B3754,CHAR(160)," ")),'Catalog'!$C:$C,0)),""))))</f>
        <v/>
      </c>
      <c r="H3754" s="8" t="str">
        <f aca="false">IFERROR(INDEX('TRANS'!$C:$C,MATCH($B3754,'TRANS'!$A:$A,0)),IFERROR(INDEX('Catalog'!$B:$B,MATCH($G3754,'Catalog'!$A:$A,0)),$B3754))</f>
        <v>60 XXL</v>
      </c>
      <c r="I3754" s="8" t="str">
        <f aca="false">IF($G3754="","Unmatched","Matched")</f>
        <v>Unmatched</v>
      </c>
    </row>
    <row r="3755" customFormat="false" ht="15" hidden="false" customHeight="false" outlineLevel="0" collapsed="false">
      <c r="A3755" s="8" t="s">
        <v>1073</v>
      </c>
      <c r="B3755" s="8" t="s">
        <v>231</v>
      </c>
      <c r="C3755" s="19" t="n">
        <v>142</v>
      </c>
      <c r="D3755" s="19" t="n">
        <v>14683.56</v>
      </c>
      <c r="E3755" s="19" t="n">
        <v>0</v>
      </c>
      <c r="F3755" s="19" t="n">
        <v>0</v>
      </c>
      <c r="G3755" s="8" t="str">
        <f aca="false">IFERROR(INDEX('TRANS'!$B:$B,MATCH($B3755,'TRANS'!$A:$A,0)),IFERROR(INDEX('TRANS'!$B:$B,MATCH(TRIM(SUBSTITUTE($B3755,CHAR(160)," ")),'TRANS'!$D:$D,0)),IFERROR(INDEX('Catalog'!$A:$A,MATCH($B3755,'Catalog'!$B:$B,0)),IFERROR(INDEX('Catalog'!$A:$A,MATCH(TRIM(SUBSTITUTE($B3755,CHAR(160)," ")),'Catalog'!$C:$C,0)),""))))</f>
        <v/>
      </c>
      <c r="H3755" s="8" t="str">
        <f aca="false">IFERROR(INDEX('TRANS'!$C:$C,MATCH($B3755,'TRANS'!$A:$A,0)),IFERROR(INDEX('Catalog'!$B:$B,MATCH($G3755,'Catalog'!$A:$A,0)),$B3755))</f>
        <v>67 0</v>
      </c>
      <c r="I3755" s="8" t="str">
        <f aca="false">IF($G3755="","Unmatched","Matched")</f>
        <v>Unmatched</v>
      </c>
    </row>
    <row r="3756" customFormat="false" ht="15" hidden="false" customHeight="false" outlineLevel="0" collapsed="false">
      <c r="A3756" s="8" t="s">
        <v>1073</v>
      </c>
      <c r="B3756" s="8" t="s">
        <v>764</v>
      </c>
      <c r="C3756" s="19" t="n">
        <v>1</v>
      </c>
      <c r="D3756" s="19" t="n">
        <v>0.04</v>
      </c>
      <c r="E3756" s="19" t="n">
        <v>0</v>
      </c>
      <c r="F3756" s="19" t="n">
        <v>0</v>
      </c>
      <c r="G3756" s="8" t="str">
        <f aca="false">IFERROR(INDEX('TRANS'!$B:$B,MATCH($B3756,'TRANS'!$A:$A,0)),IFERROR(INDEX('TRANS'!$B:$B,MATCH(TRIM(SUBSTITUTE($B3756,CHAR(160)," ")),'TRANS'!$D:$D,0)),IFERROR(INDEX('Catalog'!$A:$A,MATCH($B3756,'Catalog'!$B:$B,0)),IFERROR(INDEX('Catalog'!$A:$A,MATCH(TRIM(SUBSTITUTE($B3756,CHAR(160)," ")),'Catalog'!$C:$C,0)),""))))</f>
        <v/>
      </c>
      <c r="H3756" s="8" t="str">
        <f aca="false">IFERROR(INDEX('TRANS'!$C:$C,MATCH($B3756,'TRANS'!$A:$A,0)),IFERROR(INDEX('Catalog'!$B:$B,MATCH($G3756,'Catalog'!$A:$A,0)),$B3756))</f>
        <v>70 XS</v>
      </c>
      <c r="I3756" s="8" t="str">
        <f aca="false">IF($G3756="","Unmatched","Matched")</f>
        <v>Unmatched</v>
      </c>
    </row>
    <row r="3757" customFormat="false" ht="15" hidden="false" customHeight="false" outlineLevel="0" collapsed="false">
      <c r="A3757" s="8" t="s">
        <v>1073</v>
      </c>
      <c r="B3757" s="8" t="s">
        <v>499</v>
      </c>
      <c r="C3757" s="19" t="n">
        <v>50</v>
      </c>
      <c r="D3757" s="19" t="n">
        <v>0.03</v>
      </c>
      <c r="E3757" s="19" t="n">
        <v>0</v>
      </c>
      <c r="F3757" s="19" t="n">
        <v>0</v>
      </c>
      <c r="G3757" s="8" t="n">
        <f aca="false">IFERROR(INDEX('TRANS'!$B:$B,MATCH($B3757,'TRANS'!$A:$A,0)),IFERROR(INDEX('TRANS'!$B:$B,MATCH(TRIM(SUBSTITUTE($B3757,CHAR(160)," ")),'TRANS'!$D:$D,0)),IFERROR(INDEX('Catalog'!$A:$A,MATCH($B3757,'Catalog'!$B:$B,0)),IFERROR(INDEX('Catalog'!$A:$A,MATCH(TRIM(SUBSTITUTE($B3757,CHAR(160)," ")),'Catalog'!$C:$C,0)),""))))</f>
        <v>4408274</v>
      </c>
      <c r="H3757" s="8" t="str">
        <f aca="false">IFERROR(INDEX('TRANS'!$C:$C,MATCH($B3757,'TRANS'!$A:$A,0)),IFERROR(INDEX('Catalog'!$B:$B,MATCH($G3757,'Catalog'!$A:$A,0)),$B3757))</f>
        <v>70N L חגורת פאבליק</v>
      </c>
      <c r="I3757" s="8" t="str">
        <f aca="false">IF($G3757="","Unmatched","Matched")</f>
        <v>Matched</v>
      </c>
    </row>
    <row r="3758" customFormat="false" ht="15" hidden="false" customHeight="false" outlineLevel="0" collapsed="false">
      <c r="A3758" s="8" t="s">
        <v>1073</v>
      </c>
      <c r="B3758" s="8" t="s">
        <v>500</v>
      </c>
      <c r="C3758" s="19" t="n">
        <v>100</v>
      </c>
      <c r="D3758" s="19" t="n">
        <v>16212.21</v>
      </c>
      <c r="E3758" s="19" t="n">
        <v>0</v>
      </c>
      <c r="F3758" s="19" t="n">
        <v>0</v>
      </c>
      <c r="G3758" s="8" t="n">
        <f aca="false">IFERROR(INDEX('TRANS'!$B:$B,MATCH($B3758,'TRANS'!$A:$A,0)),IFERROR(INDEX('TRANS'!$B:$B,MATCH(TRIM(SUBSTITUTE($B3758,CHAR(160)," ")),'TRANS'!$D:$D,0)),IFERROR(INDEX('Catalog'!$A:$A,MATCH($B3758,'Catalog'!$B:$B,0)),IFERROR(INDEX('Catalog'!$A:$A,MATCH(TRIM(SUBSTITUTE($B3758,CHAR(160)," ")),'Catalog'!$C:$C,0)),""))))</f>
        <v>4408273</v>
      </c>
      <c r="H3758" s="8" t="str">
        <f aca="false">IFERROR(INDEX('TRANS'!$C:$C,MATCH($B3758,'TRANS'!$A:$A,0)),IFERROR(INDEX('Catalog'!$B:$B,MATCH($G3758,'Catalog'!$A:$A,0)),$B3758))</f>
        <v>70N M חגורת פאבליק</v>
      </c>
      <c r="I3758" s="8" t="str">
        <f aca="false">IF($G3758="","Unmatched","Matched")</f>
        <v>Matched</v>
      </c>
    </row>
    <row r="3759" customFormat="false" ht="15" hidden="false" customHeight="false" outlineLevel="0" collapsed="false">
      <c r="A3759" s="8" t="s">
        <v>1073</v>
      </c>
      <c r="B3759" s="8" t="s">
        <v>501</v>
      </c>
      <c r="C3759" s="19" t="n">
        <v>200</v>
      </c>
      <c r="D3759" s="19" t="n">
        <v>32424.43</v>
      </c>
      <c r="E3759" s="19" t="n">
        <v>0</v>
      </c>
      <c r="F3759" s="19" t="n">
        <v>0</v>
      </c>
      <c r="G3759" s="8" t="n">
        <f aca="false">IFERROR(INDEX('TRANS'!$B:$B,MATCH($B3759,'TRANS'!$A:$A,0)),IFERROR(INDEX('TRANS'!$B:$B,MATCH(TRIM(SUBSTITUTE($B3759,CHAR(160)," ")),'TRANS'!$D:$D,0)),IFERROR(INDEX('Catalog'!$A:$A,MATCH($B3759,'Catalog'!$B:$B,0)),IFERROR(INDEX('Catalog'!$A:$A,MATCH(TRIM(SUBSTITUTE($B3759,CHAR(160)," ")),'Catalog'!$C:$C,0)),""))))</f>
        <v>4408272</v>
      </c>
      <c r="H3759" s="8" t="str">
        <f aca="false">IFERROR(INDEX('TRANS'!$C:$C,MATCH($B3759,'TRANS'!$A:$A,0)),IFERROR(INDEX('Catalog'!$B:$B,MATCH($G3759,'Catalog'!$A:$A,0)),$B3759))</f>
        <v>70N S חגורת פאבליק</v>
      </c>
      <c r="I3759" s="8" t="str">
        <f aca="false">IF($G3759="","Unmatched","Matched")</f>
        <v>Matched</v>
      </c>
    </row>
    <row r="3760" customFormat="false" ht="15" hidden="false" customHeight="false" outlineLevel="0" collapsed="false">
      <c r="A3760" s="8" t="s">
        <v>1073</v>
      </c>
      <c r="B3760" s="8" t="s">
        <v>502</v>
      </c>
      <c r="C3760" s="19" t="n">
        <v>200</v>
      </c>
      <c r="D3760" s="19" t="n">
        <v>32424.43</v>
      </c>
      <c r="E3760" s="19" t="n">
        <v>0</v>
      </c>
      <c r="F3760" s="19" t="n">
        <v>0</v>
      </c>
      <c r="G3760" s="8" t="n">
        <f aca="false">IFERROR(INDEX('TRANS'!$B:$B,MATCH($B3760,'TRANS'!$A:$A,0)),IFERROR(INDEX('TRANS'!$B:$B,MATCH(TRIM(SUBSTITUTE($B3760,CHAR(160)," ")),'TRANS'!$D:$D,0)),IFERROR(INDEX('Catalog'!$A:$A,MATCH($B3760,'Catalog'!$B:$B,0)),IFERROR(INDEX('Catalog'!$A:$A,MATCH(TRIM(SUBSTITUTE($B3760,CHAR(160)," ")),'Catalog'!$C:$C,0)),""))))</f>
        <v>4408271</v>
      </c>
      <c r="H3760" s="8" t="str">
        <f aca="false">IFERROR(INDEX('TRANS'!$C:$C,MATCH($B3760,'TRANS'!$A:$A,0)),IFERROR(INDEX('Catalog'!$B:$B,MATCH($G3760,'Catalog'!$A:$A,0)),$B3760))</f>
        <v>70N XS חגורת פאבליק</v>
      </c>
      <c r="I3760" s="8" t="str">
        <f aca="false">IF($G3760="","Unmatched","Matched")</f>
        <v>Matched</v>
      </c>
    </row>
    <row r="3761" customFormat="false" ht="15" hidden="false" customHeight="false" outlineLevel="0" collapsed="false">
      <c r="A3761" s="8" t="s">
        <v>1073</v>
      </c>
      <c r="B3761" s="8" t="s">
        <v>267</v>
      </c>
      <c r="C3761" s="19" t="n">
        <v>550</v>
      </c>
      <c r="D3761" s="19" t="n">
        <v>25232.79</v>
      </c>
      <c r="E3761" s="19" t="n">
        <v>0</v>
      </c>
      <c r="F3761" s="19" t="n">
        <v>0</v>
      </c>
      <c r="G3761" s="8" t="n">
        <f aca="false">IFERROR(INDEX('TRANS'!$B:$B,MATCH($B3761,'TRANS'!$A:$A,0)),IFERROR(INDEX('TRANS'!$B:$B,MATCH(TRIM(SUBSTITUTE($B3761,CHAR(160)," ")),'TRANS'!$D:$D,0)),IFERROR(INDEX('Catalog'!$A:$A,MATCH($B3761,'Catalog'!$B:$B,0)),IFERROR(INDEX('Catalog'!$A:$A,MATCH(TRIM(SUBSTITUTE($B3761,CHAR(160)," ")),'Catalog'!$C:$C,0)),""))))</f>
        <v>4408205</v>
      </c>
      <c r="H3761" s="8" t="str">
        <f aca="false">IFERROR(INDEX('TRANS'!$C:$C,MATCH($B3761,'TRANS'!$A:$A,0)),IFERROR(INDEX('Catalog'!$B:$B,MATCH($G3761,'Catalog'!$A:$A,0)),$B3761))</f>
        <v>AC-07 חגורת גב עם תמיכות</v>
      </c>
      <c r="I3761" s="8" t="str">
        <f aca="false">IF($G3761="","Unmatched","Matched")</f>
        <v>Matched</v>
      </c>
    </row>
    <row r="3762" customFormat="false" ht="15" hidden="false" customHeight="false" outlineLevel="0" collapsed="false">
      <c r="A3762" s="8" t="s">
        <v>1073</v>
      </c>
      <c r="B3762" s="8" t="s">
        <v>269</v>
      </c>
      <c r="C3762" s="19" t="n">
        <v>220</v>
      </c>
      <c r="D3762" s="19" t="n">
        <v>3254.87</v>
      </c>
      <c r="E3762" s="19" t="n">
        <v>0</v>
      </c>
      <c r="F3762" s="19" t="n">
        <v>0</v>
      </c>
      <c r="G3762" s="8" t="n">
        <f aca="false">IFERROR(INDEX('TRANS'!$B:$B,MATCH($B3762,'TRANS'!$A:$A,0)),IFERROR(INDEX('TRANS'!$B:$B,MATCH(TRIM(SUBSTITUTE($B3762,CHAR(160)," ")),'TRANS'!$D:$D,0)),IFERROR(INDEX('Catalog'!$A:$A,MATCH($B3762,'Catalog'!$B:$B,0)),IFERROR(INDEX('Catalog'!$A:$A,MATCH(TRIM(SUBSTITUTE($B3762,CHAR(160)," ")),'Catalog'!$C:$C,0)),""))))</f>
        <v>4408207</v>
      </c>
      <c r="H3762" s="8" t="str">
        <f aca="false">IFERROR(INDEX('TRANS'!$C:$C,MATCH($B3762,'TRANS'!$A:$A,0)),IFERROR(INDEX('Catalog'!$B:$B,MATCH($G3762,'Catalog'!$A:$A,0)),$B3762))</f>
        <v>AC-25 חבק לשורש כף היד</v>
      </c>
      <c r="I3762" s="8" t="str">
        <f aca="false">IF($G3762="","Unmatched","Matched")</f>
        <v>Matched</v>
      </c>
    </row>
    <row r="3763" customFormat="false" ht="15" hidden="false" customHeight="false" outlineLevel="0" collapsed="false">
      <c r="A3763" s="8" t="s">
        <v>1073</v>
      </c>
      <c r="B3763" s="8" t="s">
        <v>270</v>
      </c>
      <c r="C3763" s="19" t="n">
        <v>330</v>
      </c>
      <c r="D3763" s="19" t="n">
        <v>6453.92</v>
      </c>
      <c r="E3763" s="19" t="n">
        <v>0</v>
      </c>
      <c r="F3763" s="19" t="n">
        <v>0</v>
      </c>
      <c r="G3763" s="8" t="n">
        <f aca="false">IFERROR(INDEX('TRANS'!$B:$B,MATCH($B3763,'TRANS'!$A:$A,0)),IFERROR(INDEX('TRANS'!$B:$B,MATCH(TRIM(SUBSTITUTE($B3763,CHAR(160)," ")),'TRANS'!$D:$D,0)),IFERROR(INDEX('Catalog'!$A:$A,MATCH($B3763,'Catalog'!$B:$B,0)),IFERROR(INDEX('Catalog'!$A:$A,MATCH(TRIM(SUBSTITUTE($B3763,CHAR(160)," ")),'Catalog'!$C:$C,0)),""))))</f>
        <v>4415026</v>
      </c>
      <c r="H3763" s="8" t="str">
        <f aca="false">IFERROR(INDEX('TRANS'!$C:$C,MATCH($B3763,'TRANS'!$A:$A,0)),IFERROR(INDEX('Catalog'!$B:$B,MATCH($G3763,'Catalog'!$A:$A,0)),$B3763))</f>
        <v>AC-27L סד לש.כף יד שמאל</v>
      </c>
      <c r="I3763" s="8" t="str">
        <f aca="false">IF($G3763="","Unmatched","Matched")</f>
        <v>Matched</v>
      </c>
    </row>
    <row r="3764" customFormat="false" ht="15" hidden="false" customHeight="false" outlineLevel="0" collapsed="false">
      <c r="A3764" s="8" t="s">
        <v>1073</v>
      </c>
      <c r="B3764" s="8" t="s">
        <v>271</v>
      </c>
      <c r="C3764" s="19" t="n">
        <v>330</v>
      </c>
      <c r="D3764" s="19" t="n">
        <v>6453.92</v>
      </c>
      <c r="E3764" s="19" t="n">
        <v>0</v>
      </c>
      <c r="F3764" s="19" t="n">
        <v>0</v>
      </c>
      <c r="G3764" s="8" t="n">
        <f aca="false">IFERROR(INDEX('TRANS'!$B:$B,MATCH($B3764,'TRANS'!$A:$A,0)),IFERROR(INDEX('TRANS'!$B:$B,MATCH(TRIM(SUBSTITUTE($B3764,CHAR(160)," ")),'TRANS'!$D:$D,0)),IFERROR(INDEX('Catalog'!$A:$A,MATCH($B3764,'Catalog'!$B:$B,0)),IFERROR(INDEX('Catalog'!$A:$A,MATCH(TRIM(SUBSTITUTE($B3764,CHAR(160)," ")),'Catalog'!$C:$C,0)),""))))</f>
        <v>4415027</v>
      </c>
      <c r="H3764" s="8" t="str">
        <f aca="false">IFERROR(INDEX('TRANS'!$C:$C,MATCH($B3764,'TRANS'!$A:$A,0)),IFERROR(INDEX('Catalog'!$B:$B,MATCH($G3764,'Catalog'!$A:$A,0)),$B3764))</f>
        <v>AC-27R סד לש.כף יד ימין</v>
      </c>
      <c r="I3764" s="8" t="str">
        <f aca="false">IF($G3764="","Unmatched","Matched")</f>
        <v>Matched</v>
      </c>
    </row>
    <row r="3765" customFormat="false" ht="15" hidden="false" customHeight="false" outlineLevel="0" collapsed="false">
      <c r="A3765" s="8" t="s">
        <v>1073</v>
      </c>
      <c r="B3765" s="8" t="s">
        <v>272</v>
      </c>
      <c r="C3765" s="19" t="n">
        <v>550</v>
      </c>
      <c r="D3765" s="19" t="n">
        <v>7501.67</v>
      </c>
      <c r="E3765" s="19" t="n">
        <v>0</v>
      </c>
      <c r="F3765" s="19" t="n">
        <v>0</v>
      </c>
      <c r="G3765" s="8" t="n">
        <f aca="false">IFERROR(INDEX('TRANS'!$B:$B,MATCH($B3765,'TRANS'!$A:$A,0)),IFERROR(INDEX('TRANS'!$B:$B,MATCH(TRIM(SUBSTITUTE($B3765,CHAR(160)," ")),'TRANS'!$D:$D,0)),IFERROR(INDEX('Catalog'!$A:$A,MATCH($B3765,'Catalog'!$B:$B,0)),IFERROR(INDEX('Catalog'!$A:$A,MATCH(TRIM(SUBSTITUTE($B3765,CHAR(160)," ")),'Catalog'!$C:$C,0)),""))))</f>
        <v>4415028</v>
      </c>
      <c r="H3765" s="8" t="str">
        <f aca="false">IFERROR(INDEX('TRANS'!$C:$C,MATCH($B3765,'TRANS'!$A:$A,0)),IFERROR(INDEX('Catalog'!$B:$B,MATCH($G3765,'Catalog'!$A:$A,0)),$B3765))</f>
        <v>AC-28 סד לאגודל</v>
      </c>
      <c r="I3765" s="8" t="str">
        <f aca="false">IF($G3765="","Unmatched","Matched")</f>
        <v>Matched</v>
      </c>
    </row>
    <row r="3766" customFormat="false" ht="15" hidden="false" customHeight="false" outlineLevel="0" collapsed="false">
      <c r="A3766" s="8" t="s">
        <v>1073</v>
      </c>
      <c r="B3766" s="8" t="s">
        <v>273</v>
      </c>
      <c r="C3766" s="19" t="n">
        <v>220</v>
      </c>
      <c r="D3766" s="19" t="n">
        <v>3409.86</v>
      </c>
      <c r="E3766" s="19" t="n">
        <v>0</v>
      </c>
      <c r="F3766" s="19" t="n">
        <v>0</v>
      </c>
      <c r="G3766" s="8" t="n">
        <f aca="false">IFERROR(INDEX('TRANS'!$B:$B,MATCH($B3766,'TRANS'!$A:$A,0)),IFERROR(INDEX('TRANS'!$B:$B,MATCH(TRIM(SUBSTITUTE($B3766,CHAR(160)," ")),'TRANS'!$D:$D,0)),IFERROR(INDEX('Catalog'!$A:$A,MATCH($B3766,'Catalog'!$B:$B,0)),IFERROR(INDEX('Catalog'!$A:$A,MATCH(TRIM(SUBSTITUTE($B3766,CHAR(160)," ")),'Catalog'!$C:$C,0)),""))))</f>
        <v>4413326</v>
      </c>
      <c r="H3766" s="8" t="str">
        <f aca="false">IFERROR(INDEX('TRANS'!$C:$C,MATCH($B3766,'TRANS'!$A:$A,0)),IFERROR(INDEX('Catalog'!$B:$B,MATCH($G3766,'Catalog'!$A:$A,0)),$B3766))</f>
        <v>AC37 מגן קרסול נושם</v>
      </c>
      <c r="I3766" s="8" t="str">
        <f aca="false">IF($G3766="","Unmatched","Matched")</f>
        <v>Matched</v>
      </c>
    </row>
    <row r="3767" customFormat="false" ht="15" hidden="false" customHeight="false" outlineLevel="0" collapsed="false">
      <c r="A3767" s="8" t="s">
        <v>1073</v>
      </c>
      <c r="B3767" s="8" t="s">
        <v>56</v>
      </c>
      <c r="C3767" s="19" t="n">
        <v>330</v>
      </c>
      <c r="D3767" s="19" t="n">
        <v>15083.9</v>
      </c>
      <c r="E3767" s="19" t="n">
        <v>0</v>
      </c>
      <c r="F3767" s="19" t="n">
        <v>0</v>
      </c>
      <c r="G3767" s="8" t="n">
        <f aca="false">IFERROR(INDEX('TRANS'!$B:$B,MATCH($B3767,'TRANS'!$A:$A,0)),IFERROR(INDEX('TRANS'!$B:$B,MATCH(TRIM(SUBSTITUTE($B3767,CHAR(160)," ")),'TRANS'!$D:$D,0)),IFERROR(INDEX('Catalog'!$A:$A,MATCH($B3767,'Catalog'!$B:$B,0)),IFERROR(INDEX('Catalog'!$A:$A,MATCH(TRIM(SUBSTITUTE($B3767,CHAR(160)," ")),'Catalog'!$C:$C,0)),""))))</f>
        <v>4413328</v>
      </c>
      <c r="H3767" s="8" t="str">
        <f aca="false">IFERROR(INDEX('TRANS'!$C:$C,MATCH($B3767,'TRANS'!$A:$A,0)),IFERROR(INDEX('Catalog'!$B:$B,MATCH($G3767,'Catalog'!$A:$A,0)),$B3767))</f>
        <v>AC43D מגן ברך + צירים</v>
      </c>
      <c r="I3767" s="8" t="str">
        <f aca="false">IF($G3767="","Unmatched","Matched")</f>
        <v>Matched</v>
      </c>
    </row>
    <row r="3768" customFormat="false" ht="15" hidden="false" customHeight="false" outlineLevel="0" collapsed="false">
      <c r="A3768" s="8" t="s">
        <v>1073</v>
      </c>
      <c r="B3768" s="8" t="s">
        <v>275</v>
      </c>
      <c r="C3768" s="19" t="n">
        <v>330</v>
      </c>
      <c r="D3768" s="19" t="n">
        <v>10155.14</v>
      </c>
      <c r="E3768" s="19" t="n">
        <v>0</v>
      </c>
      <c r="F3768" s="19" t="n">
        <v>0</v>
      </c>
      <c r="G3768" s="8" t="n">
        <f aca="false">IFERROR(INDEX('TRANS'!$B:$B,MATCH($B3768,'TRANS'!$A:$A,0)),IFERROR(INDEX('TRANS'!$B:$B,MATCH(TRIM(SUBSTITUTE($B3768,CHAR(160)," ")),'TRANS'!$D:$D,0)),IFERROR(INDEX('Catalog'!$A:$A,MATCH($B3768,'Catalog'!$B:$B,0)),IFERROR(INDEX('Catalog'!$A:$A,MATCH(TRIM(SUBSTITUTE($B3768,CHAR(160)," ")),'Catalog'!$C:$C,0)),""))))</f>
        <v>4413329</v>
      </c>
      <c r="H3768" s="8" t="str">
        <f aca="false">IFERROR(INDEX('TRANS'!$C:$C,MATCH($B3768,'TRANS'!$A:$A,0)),IFERROR(INDEX('Catalog'!$B:$B,MATCH($G3768,'Catalog'!$A:$A,0)),$B3768))</f>
        <v>AC45X מגן ברך עם תמיכות</v>
      </c>
      <c r="I3768" s="8" t="str">
        <f aca="false">IF($G3768="","Unmatched","Matched")</f>
        <v>Matched</v>
      </c>
    </row>
    <row r="3769" customFormat="false" ht="15" hidden="false" customHeight="false" outlineLevel="0" collapsed="false">
      <c r="A3769" s="8" t="s">
        <v>1073</v>
      </c>
      <c r="B3769" s="8" t="s">
        <v>54</v>
      </c>
      <c r="C3769" s="19" t="n">
        <v>330</v>
      </c>
      <c r="D3769" s="19" t="n">
        <v>8648.61</v>
      </c>
      <c r="E3769" s="19" t="n">
        <v>0</v>
      </c>
      <c r="F3769" s="19" t="n">
        <v>0</v>
      </c>
      <c r="G3769" s="8" t="n">
        <f aca="false">IFERROR(INDEX('TRANS'!$B:$B,MATCH($B3769,'TRANS'!$A:$A,0)),IFERROR(INDEX('TRANS'!$B:$B,MATCH(TRIM(SUBSTITUTE($B3769,CHAR(160)," ")),'TRANS'!$D:$D,0)),IFERROR(INDEX('Catalog'!$A:$A,MATCH($B3769,'Catalog'!$B:$B,0)),IFERROR(INDEX('Catalog'!$A:$A,MATCH(TRIM(SUBSTITUTE($B3769,CHAR(160)," ")),'Catalog'!$C:$C,0)),""))))</f>
        <v>4413453</v>
      </c>
      <c r="H3769" s="8" t="str">
        <f aca="false">IFERROR(INDEX('TRANS'!$C:$C,MATCH($B3769,'TRANS'!$A:$A,0)),IFERROR(INDEX('Catalog'!$B:$B,MATCH($G3769,'Catalog'!$A:$A,0)),$B3769))</f>
        <v>AC75 מישר כתפיים אקטיב</v>
      </c>
      <c r="I3769" s="8" t="str">
        <f aca="false">IF($G3769="","Unmatched","Matched")</f>
        <v>Matched</v>
      </c>
    </row>
    <row r="3770" customFormat="false" ht="15" hidden="false" customHeight="false" outlineLevel="0" collapsed="false">
      <c r="A3770" s="8" t="s">
        <v>1073</v>
      </c>
      <c r="B3770" s="8" t="s">
        <v>277</v>
      </c>
      <c r="C3770" s="19" t="n">
        <v>341</v>
      </c>
      <c r="D3770" s="19" t="n">
        <v>4612.63</v>
      </c>
      <c r="E3770" s="19" t="n">
        <v>0</v>
      </c>
      <c r="F3770" s="19" t="n">
        <v>0</v>
      </c>
      <c r="G3770" s="8" t="n">
        <f aca="false">IFERROR(INDEX('TRANS'!$B:$B,MATCH($B3770,'TRANS'!$A:$A,0)),IFERROR(INDEX('TRANS'!$B:$B,MATCH(TRIM(SUBSTITUTE($B3770,CHAR(160)," ")),'TRANS'!$D:$D,0)),IFERROR(INDEX('Catalog'!$A:$A,MATCH($B3770,'Catalog'!$B:$B,0)),IFERROR(INDEX('Catalog'!$A:$A,MATCH(TRIM(SUBSTITUTE($B3770,CHAR(160)," ")),'Catalog'!$C:$C,0)),""))))</f>
        <v>4408208</v>
      </c>
      <c r="H3770" s="8" t="str">
        <f aca="false">IFERROR(INDEX('TRANS'!$C:$C,MATCH($B3770,'TRANS'!$A:$A,0)),IFERROR(INDEX('Catalog'!$B:$B,MATCH($G3770,'Catalog'!$A:$A,0)),$B3770))</f>
        <v>AC91 חבק טניס</v>
      </c>
      <c r="I3770" s="8" t="str">
        <f aca="false">IF($G3770="","Unmatched","Matched")</f>
        <v>Matched</v>
      </c>
    </row>
    <row r="3771" customFormat="false" ht="15" hidden="false" customHeight="false" outlineLevel="0" collapsed="false">
      <c r="A3771" s="8" t="s">
        <v>1073</v>
      </c>
      <c r="B3771" s="8" t="s">
        <v>278</v>
      </c>
      <c r="C3771" s="19" t="n">
        <v>176</v>
      </c>
      <c r="D3771" s="19" t="n">
        <v>3119.76</v>
      </c>
      <c r="E3771" s="19" t="n">
        <v>0</v>
      </c>
      <c r="F3771" s="19" t="n">
        <v>0</v>
      </c>
      <c r="G3771" s="8" t="n">
        <f aca="false">IFERROR(INDEX('TRANS'!$B:$B,MATCH($B3771,'TRANS'!$A:$A,0)),IFERROR(INDEX('TRANS'!$B:$B,MATCH(TRIM(SUBSTITUTE($B3771,CHAR(160)," ")),'TRANS'!$D:$D,0)),IFERROR(INDEX('Catalog'!$A:$A,MATCH($B3771,'Catalog'!$B:$B,0)),IFERROR(INDEX('Catalog'!$A:$A,MATCH(TRIM(SUBSTITUTE($B3771,CHAR(160)," ")),'Catalog'!$C:$C,0)),""))))</f>
        <v>4413331</v>
      </c>
      <c r="H3771" s="8" t="str">
        <f aca="false">IFERROR(INDEX('TRANS'!$C:$C,MATCH($B3771,'TRANS'!$A:$A,0)),IFERROR(INDEX('Catalog'!$B:$B,MATCH($G3771,'Catalog'!$A:$A,0)),$B3771))</f>
        <v>AC95 מגן מרפק</v>
      </c>
      <c r="I3771" s="8" t="str">
        <f aca="false">IF($G3771="","Unmatched","Matched")</f>
        <v>Matched</v>
      </c>
    </row>
    <row r="3772" customFormat="false" ht="15" hidden="false" customHeight="false" outlineLevel="0" collapsed="false">
      <c r="A3772" s="8" t="s">
        <v>1080</v>
      </c>
      <c r="B3772" s="8" t="s">
        <v>454</v>
      </c>
      <c r="C3772" s="19" t="n">
        <v>1</v>
      </c>
      <c r="D3772" s="19" t="n">
        <v>0.04</v>
      </c>
      <c r="E3772" s="19" t="n">
        <v>0</v>
      </c>
      <c r="F3772" s="19" t="n">
        <v>0</v>
      </c>
      <c r="G3772" s="8" t="n">
        <f aca="false">IFERROR(INDEX('TRANS'!$B:$B,MATCH($B3772,'TRANS'!$A:$A,0)),IFERROR(INDEX('TRANS'!$B:$B,MATCH(TRIM(SUBSTITUTE($B3772,CHAR(160)," ")),'TRANS'!$D:$D,0)),IFERROR(INDEX('Catalog'!$A:$A,MATCH($B3772,'Catalog'!$B:$B,0)),IFERROR(INDEX('Catalog'!$A:$A,MATCH(TRIM(SUBSTITUTE($B3772,CHAR(160)," ")),'Catalog'!$C:$C,0)),""))))</f>
        <v>4408190</v>
      </c>
      <c r="H3772" s="8" t="str">
        <f aca="false">IFERROR(INDEX('TRANS'!$C:$C,MATCH($B3772,'TRANS'!$A:$A,0)),IFERROR(INDEX('Catalog'!$B:$B,MATCH($G3772,'Catalog'!$A:$A,0)),$B3772))</f>
        <v>M078 חגורת גב +סגירה כפולה</v>
      </c>
      <c r="I3772" s="8" t="str">
        <f aca="false">IF($G3772="","Unmatched","Matched")</f>
        <v>Matched</v>
      </c>
    </row>
    <row r="3773" customFormat="false" ht="15" hidden="false" customHeight="false" outlineLevel="0" collapsed="false">
      <c r="A3773" s="8" t="s">
        <v>1080</v>
      </c>
      <c r="B3773" s="8" t="s">
        <v>456</v>
      </c>
      <c r="C3773" s="19" t="n">
        <v>1</v>
      </c>
      <c r="D3773" s="19" t="n">
        <v>53.62</v>
      </c>
      <c r="E3773" s="19" t="n">
        <v>0</v>
      </c>
      <c r="F3773" s="19" t="n">
        <v>0</v>
      </c>
      <c r="G3773" s="8" t="n">
        <f aca="false">IFERROR(INDEX('TRANS'!$B:$B,MATCH($B3773,'TRANS'!$A:$A,0)),IFERROR(INDEX('TRANS'!$B:$B,MATCH(TRIM(SUBSTITUTE($B3773,CHAR(160)," ")),'TRANS'!$D:$D,0)),IFERROR(INDEX('Catalog'!$A:$A,MATCH($B3773,'Catalog'!$B:$B,0)),IFERROR(INDEX('Catalog'!$A:$A,MATCH(TRIM(SUBSTITUTE($B3773,CHAR(160)," ")),'Catalog'!$C:$C,0)),""))))</f>
        <v>4408265</v>
      </c>
      <c r="H3773" s="8" t="str">
        <f aca="false">IFERROR(INDEX('TRANS'!$C:$C,MATCH($B3773,'TRANS'!$A:$A,0)),IFERROR(INDEX('Catalog'!$B:$B,MATCH($G3773,'Catalog'!$A:$A,0)),$B3773))</f>
        <v>078XXL חגורת גב +סגירה כפולה</v>
      </c>
      <c r="I3773" s="8" t="str">
        <f aca="false">IF($G3773="","Unmatched","Matched")</f>
        <v>Matched</v>
      </c>
    </row>
    <row r="3774" customFormat="false" ht="15" hidden="false" customHeight="false" outlineLevel="0" collapsed="false">
      <c r="A3774" s="8" t="s">
        <v>1080</v>
      </c>
      <c r="B3774" s="8" t="s">
        <v>460</v>
      </c>
      <c r="C3774" s="19" t="n">
        <v>495</v>
      </c>
      <c r="D3774" s="19" t="n">
        <v>30513.16</v>
      </c>
      <c r="E3774" s="19" t="n">
        <v>397</v>
      </c>
      <c r="F3774" s="19" t="n">
        <v>24523.1</v>
      </c>
      <c r="G3774" s="8" t="n">
        <f aca="false">IFERROR(INDEX('TRANS'!$B:$B,MATCH($B3774,'TRANS'!$A:$A,0)),IFERROR(INDEX('TRANS'!$B:$B,MATCH(TRIM(SUBSTITUTE($B3774,CHAR(160)," ")),'TRANS'!$D:$D,0)),IFERROR(INDEX('Catalog'!$A:$A,MATCH($B3774,'Catalog'!$B:$B,0)),IFERROR(INDEX('Catalog'!$A:$A,MATCH(TRIM(SUBSTITUTE($B3774,CHAR(160)," ")),'Catalog'!$C:$C,0)),""))))</f>
        <v>4408261</v>
      </c>
      <c r="H3774" s="8" t="str">
        <f aca="false">IFERROR(INDEX('TRANS'!$C:$C,MATCH($B3774,'TRANS'!$A:$A,0)),IFERROR(INDEX('Catalog'!$B:$B,MATCH($G3774,'Catalog'!$A:$A,0)),$B3774))</f>
        <v>11STO L חגורה אחרי ניתוח</v>
      </c>
      <c r="I3774" s="8" t="str">
        <f aca="false">IF($G3774="","Unmatched","Matched")</f>
        <v>Matched</v>
      </c>
    </row>
    <row r="3775" customFormat="false" ht="15" hidden="false" customHeight="false" outlineLevel="0" collapsed="false">
      <c r="A3775" s="8" t="s">
        <v>1080</v>
      </c>
      <c r="B3775" s="8" t="s">
        <v>587</v>
      </c>
      <c r="C3775" s="19" t="n">
        <v>373</v>
      </c>
      <c r="D3775" s="19" t="n">
        <v>22938.97</v>
      </c>
      <c r="E3775" s="19" t="n">
        <v>250</v>
      </c>
      <c r="F3775" s="19" t="n">
        <v>15564.33</v>
      </c>
      <c r="G3775" s="8" t="n">
        <f aca="false">IFERROR(INDEX('TRANS'!$B:$B,MATCH($B3775,'TRANS'!$A:$A,0)),IFERROR(INDEX('TRANS'!$B:$B,MATCH(TRIM(SUBSTITUTE($B3775,CHAR(160)," ")),'TRANS'!$D:$D,0)),IFERROR(INDEX('Catalog'!$A:$A,MATCH($B3775,'Catalog'!$B:$B,0)),IFERROR(INDEX('Catalog'!$A:$A,MATCH(TRIM(SUBSTITUTE($B3775,CHAR(160)," ")),'Catalog'!$C:$C,0)),""))))</f>
        <v>4408260</v>
      </c>
      <c r="H3775" s="8" t="str">
        <f aca="false">IFERROR(INDEX('TRANS'!$C:$C,MATCH($B3775,'TRANS'!$A:$A,0)),IFERROR(INDEX('Catalog'!$B:$B,MATCH($G3775,'Catalog'!$A:$A,0)),$B3775))</f>
        <v>11STO M חגורה אחרי ניתוח</v>
      </c>
      <c r="I3775" s="8" t="str">
        <f aca="false">IF($G3775="","Unmatched","Matched")</f>
        <v>Matched</v>
      </c>
    </row>
    <row r="3776" customFormat="false" ht="15" hidden="false" customHeight="false" outlineLevel="0" collapsed="false">
      <c r="A3776" s="8" t="s">
        <v>1080</v>
      </c>
      <c r="B3776" s="8" t="s">
        <v>730</v>
      </c>
      <c r="C3776" s="19" t="n">
        <v>82</v>
      </c>
      <c r="D3776" s="19" t="n">
        <v>5125.13</v>
      </c>
      <c r="E3776" s="19" t="n">
        <v>37</v>
      </c>
      <c r="F3776" s="19" t="n">
        <v>2282.87</v>
      </c>
      <c r="G3776" s="8" t="n">
        <f aca="false">IFERROR(INDEX('TRANS'!$B:$B,MATCH($B3776,'TRANS'!$A:$A,0)),IFERROR(INDEX('TRANS'!$B:$B,MATCH(TRIM(SUBSTITUTE($B3776,CHAR(160)," ")),'TRANS'!$D:$D,0)),IFERROR(INDEX('Catalog'!$A:$A,MATCH($B3776,'Catalog'!$B:$B,0)),IFERROR(INDEX('Catalog'!$A:$A,MATCH(TRIM(SUBSTITUTE($B3776,CHAR(160)," ")),'Catalog'!$C:$C,0)),""))))</f>
        <v>4408259</v>
      </c>
      <c r="H3776" s="8" t="str">
        <f aca="false">IFERROR(INDEX('TRANS'!$C:$C,MATCH($B3776,'TRANS'!$A:$A,0)),IFERROR(INDEX('Catalog'!$B:$B,MATCH($G3776,'Catalog'!$A:$A,0)),$B3776))</f>
        <v>11STO S חגורה אחרי ניתוח</v>
      </c>
      <c r="I3776" s="8" t="str">
        <f aca="false">IF($G3776="","Unmatched","Matched")</f>
        <v>Matched</v>
      </c>
    </row>
    <row r="3777" customFormat="false" ht="15" hidden="false" customHeight="false" outlineLevel="0" collapsed="false">
      <c r="A3777" s="8" t="s">
        <v>1080</v>
      </c>
      <c r="B3777" s="8" t="s">
        <v>343</v>
      </c>
      <c r="C3777" s="19" t="n">
        <v>350</v>
      </c>
      <c r="D3777" s="19" t="n">
        <v>21625.17</v>
      </c>
      <c r="E3777" s="19" t="n">
        <v>255</v>
      </c>
      <c r="F3777" s="19" t="n">
        <v>15856.84</v>
      </c>
      <c r="G3777" s="8" t="n">
        <f aca="false">IFERROR(INDEX('TRANS'!$B:$B,MATCH($B3777,'TRANS'!$A:$A,0)),IFERROR(INDEX('TRANS'!$B:$B,MATCH(TRIM(SUBSTITUTE($B3777,CHAR(160)," ")),'TRANS'!$D:$D,0)),IFERROR(INDEX('Catalog'!$A:$A,MATCH($B3777,'Catalog'!$B:$B,0)),IFERROR(INDEX('Catalog'!$A:$A,MATCH(TRIM(SUBSTITUTE($B3777,CHAR(160)," ")),'Catalog'!$C:$C,0)),""))))</f>
        <v>4408262</v>
      </c>
      <c r="H3777" s="8" t="str">
        <f aca="false">IFERROR(INDEX('TRANS'!$C:$C,MATCH($B3777,'TRANS'!$A:$A,0)),IFERROR(INDEX('Catalog'!$B:$B,MATCH($G3777,'Catalog'!$A:$A,0)),$B3777))</f>
        <v>11STO XL  חגורה אחרי ניתוח</v>
      </c>
      <c r="I3777" s="8" t="str">
        <f aca="false">IF($G3777="","Unmatched","Matched")</f>
        <v>Matched</v>
      </c>
    </row>
    <row r="3778" customFormat="false" ht="15" hidden="false" customHeight="false" outlineLevel="0" collapsed="false">
      <c r="A3778" s="8" t="s">
        <v>1080</v>
      </c>
      <c r="B3778" s="8" t="s">
        <v>75</v>
      </c>
      <c r="C3778" s="19" t="n">
        <v>227</v>
      </c>
      <c r="D3778" s="19" t="n">
        <v>13992.86</v>
      </c>
      <c r="E3778" s="19" t="n">
        <v>107</v>
      </c>
      <c r="F3778" s="19" t="n">
        <v>6670.85</v>
      </c>
      <c r="G3778" s="8" t="n">
        <f aca="false">IFERROR(INDEX('TRANS'!$B:$B,MATCH($B3778,'TRANS'!$A:$A,0)),IFERROR(INDEX('TRANS'!$B:$B,MATCH(TRIM(SUBSTITUTE($B3778,CHAR(160)," ")),'TRANS'!$D:$D,0)),IFERROR(INDEX('Catalog'!$A:$A,MATCH($B3778,'Catalog'!$B:$B,0)),IFERROR(INDEX('Catalog'!$A:$A,MATCH(TRIM(SUBSTITUTE($B3778,CHAR(160)," ")),'Catalog'!$C:$C,0)),""))))</f>
        <v>4408263</v>
      </c>
      <c r="H3778" s="8" t="str">
        <f aca="false">IFERROR(INDEX('TRANS'!$C:$C,MATCH($B3778,'TRANS'!$A:$A,0)),IFERROR(INDEX('Catalog'!$B:$B,MATCH($G3778,'Catalog'!$A:$A,0)),$B3778))</f>
        <v>11STO XXL חגורה אחרי ניתוח</v>
      </c>
      <c r="I3778" s="8" t="str">
        <f aca="false">IF($G3778="","Unmatched","Matched")</f>
        <v>Matched</v>
      </c>
    </row>
    <row r="3779" customFormat="false" ht="15" hidden="false" customHeight="false" outlineLevel="0" collapsed="false">
      <c r="A3779" s="8" t="s">
        <v>1080</v>
      </c>
      <c r="B3779" s="8" t="s">
        <v>82</v>
      </c>
      <c r="C3779" s="19" t="n">
        <v>1215</v>
      </c>
      <c r="D3779" s="19" t="n">
        <v>97417.62</v>
      </c>
      <c r="E3779" s="19" t="n">
        <v>915</v>
      </c>
      <c r="F3779" s="19" t="n">
        <v>73196.96</v>
      </c>
      <c r="G3779" s="8" t="n">
        <f aca="false">IFERROR(INDEX('TRANS'!$B:$B,MATCH($B3779,'TRANS'!$A:$A,0)),IFERROR(INDEX('TRANS'!$B:$B,MATCH(TRIM(SUBSTITUTE($B3779,CHAR(160)," ")),'TRANS'!$D:$D,0)),IFERROR(INDEX('Catalog'!$A:$A,MATCH($B3779,'Catalog'!$B:$B,0)),IFERROR(INDEX('Catalog'!$A:$A,MATCH(TRIM(SUBSTITUTE($B3779,CHAR(160)," ")),'Catalog'!$C:$C,0)),""))))</f>
        <v>4408203</v>
      </c>
      <c r="H3779" s="8" t="str">
        <f aca="false">IFERROR(INDEX('TRANS'!$C:$C,MATCH($B3779,'TRANS'!$A:$A,0)),IFERROR(INDEX('Catalog'!$B:$B,MATCH($G3779,'Catalog'!$A:$A,0)),$B3779))</f>
        <v>14 0 חגורה למנותחי בית חזה</v>
      </c>
      <c r="I3779" s="8" t="str">
        <f aca="false">IF($G3779="","Unmatched","Matched")</f>
        <v>Matched</v>
      </c>
    </row>
    <row r="3780" customFormat="false" ht="15" hidden="false" customHeight="false" outlineLevel="0" collapsed="false">
      <c r="A3780" s="8" t="s">
        <v>1080</v>
      </c>
      <c r="B3780" s="8" t="s">
        <v>347</v>
      </c>
      <c r="C3780" s="19" t="n">
        <v>150</v>
      </c>
      <c r="D3780" s="19" t="n">
        <v>2408.67</v>
      </c>
      <c r="E3780" s="19" t="n">
        <v>115</v>
      </c>
      <c r="F3780" s="19" t="n">
        <v>1865.16</v>
      </c>
      <c r="G3780" s="8" t="n">
        <f aca="false">IFERROR(INDEX('TRANS'!$B:$B,MATCH($B3780,'TRANS'!$A:$A,0)),IFERROR(INDEX('TRANS'!$B:$B,MATCH(TRIM(SUBSTITUTE($B3780,CHAR(160)," ")),'TRANS'!$D:$D,0)),IFERROR(INDEX('Catalog'!$A:$A,MATCH($B3780,'Catalog'!$B:$B,0)),IFERROR(INDEX('Catalog'!$A:$A,MATCH(TRIM(SUBSTITUTE($B3780,CHAR(160)," ")),'Catalog'!$C:$C,0)),""))))</f>
        <v>4408052</v>
      </c>
      <c r="H3780" s="8" t="str">
        <f aca="false">IFERROR(INDEX('TRANS'!$C:$C,MATCH($B3780,'TRANS'!$A:$A,0)),IFERROR(INDEX('Catalog'!$B:$B,MATCH($G3780,'Catalog'!$A:$A,0)),$B3780))</f>
        <v>21 L  חבק יד ארוך</v>
      </c>
      <c r="I3780" s="8" t="str">
        <f aca="false">IF($G3780="","Unmatched","Matched")</f>
        <v>Matched</v>
      </c>
    </row>
    <row r="3781" customFormat="false" ht="15" hidden="false" customHeight="false" outlineLevel="0" collapsed="false">
      <c r="A3781" s="8" t="s">
        <v>1080</v>
      </c>
      <c r="B3781" s="8" t="s">
        <v>92</v>
      </c>
      <c r="C3781" s="19" t="n">
        <v>150</v>
      </c>
      <c r="D3781" s="19" t="n">
        <v>2420.36</v>
      </c>
      <c r="E3781" s="19" t="n">
        <v>124</v>
      </c>
      <c r="F3781" s="19" t="n">
        <v>2023.08</v>
      </c>
      <c r="G3781" s="8" t="n">
        <f aca="false">IFERROR(INDEX('TRANS'!$B:$B,MATCH($B3781,'TRANS'!$A:$A,0)),IFERROR(INDEX('TRANS'!$B:$B,MATCH(TRIM(SUBSTITUTE($B3781,CHAR(160)," ")),'TRANS'!$D:$D,0)),IFERROR(INDEX('Catalog'!$A:$A,MATCH($B3781,'Catalog'!$B:$B,0)),IFERROR(INDEX('Catalog'!$A:$A,MATCH(TRIM(SUBSTITUTE($B3781,CHAR(160)," ")),'Catalog'!$C:$C,0)),""))))</f>
        <v>4408053</v>
      </c>
      <c r="H3781" s="8" t="str">
        <f aca="false">IFERROR(INDEX('TRANS'!$C:$C,MATCH($B3781,'TRANS'!$A:$A,0)),IFERROR(INDEX('Catalog'!$B:$B,MATCH($G3781,'Catalog'!$A:$A,0)),$B3781))</f>
        <v>21 M  חבק יד ארוך</v>
      </c>
      <c r="I3781" s="8" t="str">
        <f aca="false">IF($G3781="","Unmatched","Matched")</f>
        <v>Matched</v>
      </c>
    </row>
    <row r="3782" customFormat="false" ht="15" hidden="false" customHeight="false" outlineLevel="0" collapsed="false">
      <c r="A3782" s="8" t="s">
        <v>1080</v>
      </c>
      <c r="B3782" s="8" t="s">
        <v>348</v>
      </c>
      <c r="C3782" s="19" t="n">
        <v>83</v>
      </c>
      <c r="D3782" s="19" t="n">
        <v>1334.38</v>
      </c>
      <c r="E3782" s="19" t="n">
        <v>34</v>
      </c>
      <c r="F3782" s="19" t="n">
        <v>555.62</v>
      </c>
      <c r="G3782" s="8" t="n">
        <f aca="false">IFERROR(INDEX('TRANS'!$B:$B,MATCH($B3782,'TRANS'!$A:$A,0)),IFERROR(INDEX('TRANS'!$B:$B,MATCH(TRIM(SUBSTITUTE($B3782,CHAR(160)," ")),'TRANS'!$D:$D,0)),IFERROR(INDEX('Catalog'!$A:$A,MATCH($B3782,'Catalog'!$B:$B,0)),IFERROR(INDEX('Catalog'!$A:$A,MATCH(TRIM(SUBSTITUTE($B3782,CHAR(160)," ")),'Catalog'!$C:$C,0)),""))))</f>
        <v>4408051</v>
      </c>
      <c r="H3782" s="8" t="str">
        <f aca="false">IFERROR(INDEX('TRANS'!$C:$C,MATCH($B3782,'TRANS'!$A:$A,0)),IFERROR(INDEX('Catalog'!$B:$B,MATCH($G3782,'Catalog'!$A:$A,0)),$B3782))</f>
        <v>21 S  חבק יד ארוך</v>
      </c>
      <c r="I3782" s="8" t="str">
        <f aca="false">IF($G3782="","Unmatched","Matched")</f>
        <v>Matched</v>
      </c>
    </row>
    <row r="3783" customFormat="false" ht="15" hidden="false" customHeight="false" outlineLevel="0" collapsed="false">
      <c r="A3783" s="8" t="s">
        <v>1080</v>
      </c>
      <c r="B3783" s="8" t="s">
        <v>349</v>
      </c>
      <c r="C3783" s="19" t="n">
        <v>95</v>
      </c>
      <c r="D3783" s="19" t="n">
        <v>1530.29</v>
      </c>
      <c r="E3783" s="19" t="n">
        <v>45</v>
      </c>
      <c r="F3783" s="19" t="n">
        <v>730.21</v>
      </c>
      <c r="G3783" s="8" t="n">
        <f aca="false">IFERROR(INDEX('TRANS'!$B:$B,MATCH($B3783,'TRANS'!$A:$A,0)),IFERROR(INDEX('TRANS'!$B:$B,MATCH(TRIM(SUBSTITUTE($B3783,CHAR(160)," ")),'TRANS'!$D:$D,0)),IFERROR(INDEX('Catalog'!$A:$A,MATCH($B3783,'Catalog'!$B:$B,0)),IFERROR(INDEX('Catalog'!$A:$A,MATCH(TRIM(SUBSTITUTE($B3783,CHAR(160)," ")),'Catalog'!$C:$C,0)),""))))</f>
        <v>4408054</v>
      </c>
      <c r="H3783" s="8" t="str">
        <f aca="false">IFERROR(INDEX('TRANS'!$C:$C,MATCH($B3783,'TRANS'!$A:$A,0)),IFERROR(INDEX('Catalog'!$B:$B,MATCH($G3783,'Catalog'!$A:$A,0)),$B3783))</f>
        <v>21 XL חבק יד ארוך</v>
      </c>
      <c r="I3783" s="8" t="str">
        <f aca="false">IF($G3783="","Unmatched","Matched")</f>
        <v>Matched</v>
      </c>
    </row>
    <row r="3784" customFormat="false" ht="15" hidden="false" customHeight="false" outlineLevel="0" collapsed="false">
      <c r="A3784" s="8" t="s">
        <v>1080</v>
      </c>
      <c r="B3784" s="8" t="s">
        <v>465</v>
      </c>
      <c r="C3784" s="19" t="n">
        <v>0</v>
      </c>
      <c r="D3784" s="19" t="n">
        <v>0</v>
      </c>
      <c r="E3784" s="19" t="n">
        <v>20</v>
      </c>
      <c r="F3784" s="19" t="n">
        <v>873.03</v>
      </c>
      <c r="G3784" s="8" t="n">
        <f aca="false">IFERROR(INDEX('TRANS'!$B:$B,MATCH($B3784,'TRANS'!$A:$A,0)),IFERROR(INDEX('TRANS'!$B:$B,MATCH(TRIM(SUBSTITUTE($B3784,CHAR(160)," ")),'TRANS'!$D:$D,0)),IFERROR(INDEX('Catalog'!$A:$A,MATCH($B3784,'Catalog'!$B:$B,0)),IFERROR(INDEX('Catalog'!$A:$A,MATCH(TRIM(SUBSTITUTE($B3784,CHAR(160)," ")),'Catalog'!$C:$C,0)),""))))</f>
        <v>4411026</v>
      </c>
      <c r="H3784" s="8" t="str">
        <f aca="false">IFERROR(INDEX('TRANS'!$C:$C,MATCH($B3784,'TRANS'!$A:$A,0)),IFERROR(INDEX('Catalog'!$B:$B,MATCH($G3784,'Catalog'!$A:$A,0)),$B3784))</f>
        <v>213CTSL L שמאל CTS כפפות</v>
      </c>
      <c r="I3784" s="8" t="str">
        <f aca="false">IF($G3784="","Unmatched","Matched")</f>
        <v>Matched</v>
      </c>
    </row>
    <row r="3785" customFormat="false" ht="15" hidden="false" customHeight="false" outlineLevel="0" collapsed="false">
      <c r="A3785" s="8" t="s">
        <v>1080</v>
      </c>
      <c r="B3785" s="8" t="s">
        <v>466</v>
      </c>
      <c r="C3785" s="19" t="n">
        <v>0</v>
      </c>
      <c r="D3785" s="19" t="n">
        <v>0</v>
      </c>
      <c r="E3785" s="19" t="n">
        <v>44</v>
      </c>
      <c r="F3785" s="19" t="n">
        <v>1909.32</v>
      </c>
      <c r="G3785" s="8" t="n">
        <f aca="false">IFERROR(INDEX('TRANS'!$B:$B,MATCH($B3785,'TRANS'!$A:$A,0)),IFERROR(INDEX('TRANS'!$B:$B,MATCH(TRIM(SUBSTITUTE($B3785,CHAR(160)," ")),'TRANS'!$D:$D,0)),IFERROR(INDEX('Catalog'!$A:$A,MATCH($B3785,'Catalog'!$B:$B,0)),IFERROR(INDEX('Catalog'!$A:$A,MATCH(TRIM(SUBSTITUTE($B3785,CHAR(160)," ")),'Catalog'!$C:$C,0)),""))))</f>
        <v>4411027</v>
      </c>
      <c r="H3785" s="8" t="str">
        <f aca="false">IFERROR(INDEX('TRANS'!$C:$C,MATCH($B3785,'TRANS'!$A:$A,0)),IFERROR(INDEX('Catalog'!$B:$B,MATCH($G3785,'Catalog'!$A:$A,0)),$B3785))</f>
        <v>213CTSL M שמאל CTS כפפות</v>
      </c>
      <c r="I3785" s="8" t="str">
        <f aca="false">IF($G3785="","Unmatched","Matched")</f>
        <v>Matched</v>
      </c>
    </row>
    <row r="3786" customFormat="false" ht="15" hidden="false" customHeight="false" outlineLevel="0" collapsed="false">
      <c r="A3786" s="8" t="s">
        <v>1080</v>
      </c>
      <c r="B3786" s="8" t="s">
        <v>467</v>
      </c>
      <c r="C3786" s="19" t="n">
        <v>0</v>
      </c>
      <c r="D3786" s="19" t="n">
        <v>0</v>
      </c>
      <c r="E3786" s="19" t="n">
        <v>27</v>
      </c>
      <c r="F3786" s="19" t="n">
        <v>1171.62</v>
      </c>
      <c r="G3786" s="8" t="n">
        <f aca="false">IFERROR(INDEX('TRANS'!$B:$B,MATCH($B3786,'TRANS'!$A:$A,0)),IFERROR(INDEX('TRANS'!$B:$B,MATCH(TRIM(SUBSTITUTE($B3786,CHAR(160)," ")),'TRANS'!$D:$D,0)),IFERROR(INDEX('Catalog'!$A:$A,MATCH($B3786,'Catalog'!$B:$B,0)),IFERROR(INDEX('Catalog'!$A:$A,MATCH(TRIM(SUBSTITUTE($B3786,CHAR(160)," ")),'Catalog'!$C:$C,0)),""))))</f>
        <v>4411028</v>
      </c>
      <c r="H3786" s="8" t="str">
        <f aca="false">IFERROR(INDEX('TRANS'!$C:$C,MATCH($B3786,'TRANS'!$A:$A,0)),IFERROR(INDEX('Catalog'!$B:$B,MATCH($G3786,'Catalog'!$A:$A,0)),$B3786))</f>
        <v>213CTSL S שמאל CTS כפפות</v>
      </c>
      <c r="I3786" s="8" t="str">
        <f aca="false">IF($G3786="","Unmatched","Matched")</f>
        <v>Matched</v>
      </c>
    </row>
    <row r="3787" customFormat="false" ht="15" hidden="false" customHeight="false" outlineLevel="0" collapsed="false">
      <c r="A3787" s="8" t="s">
        <v>1080</v>
      </c>
      <c r="B3787" s="8" t="s">
        <v>468</v>
      </c>
      <c r="C3787" s="19" t="n">
        <v>0</v>
      </c>
      <c r="D3787" s="19" t="n">
        <v>0</v>
      </c>
      <c r="E3787" s="19" t="n">
        <v>22</v>
      </c>
      <c r="F3787" s="19" t="n">
        <v>954.85</v>
      </c>
      <c r="G3787" s="8" t="n">
        <f aca="false">IFERROR(INDEX('TRANS'!$B:$B,MATCH($B3787,'TRANS'!$A:$A,0)),IFERROR(INDEX('TRANS'!$B:$B,MATCH(TRIM(SUBSTITUTE($B3787,CHAR(160)," ")),'TRANS'!$D:$D,0)),IFERROR(INDEX('Catalog'!$A:$A,MATCH($B3787,'Catalog'!$B:$B,0)),IFERROR(INDEX('Catalog'!$A:$A,MATCH(TRIM(SUBSTITUTE($B3787,CHAR(160)," ")),'Catalog'!$C:$C,0)),""))))</f>
        <v>4411029</v>
      </c>
      <c r="H3787" s="8" t="str">
        <f aca="false">IFERROR(INDEX('TRANS'!$C:$C,MATCH($B3787,'TRANS'!$A:$A,0)),IFERROR(INDEX('Catalog'!$B:$B,MATCH($G3787,'Catalog'!$A:$A,0)),$B3787))</f>
        <v>213CTSR L ימין CTS כפפות</v>
      </c>
      <c r="I3787" s="8" t="str">
        <f aca="false">IF($G3787="","Unmatched","Matched")</f>
        <v>Matched</v>
      </c>
    </row>
    <row r="3788" customFormat="false" ht="15" hidden="false" customHeight="false" outlineLevel="0" collapsed="false">
      <c r="A3788" s="8" t="s">
        <v>1080</v>
      </c>
      <c r="B3788" s="8" t="s">
        <v>469</v>
      </c>
      <c r="C3788" s="19" t="n">
        <v>1</v>
      </c>
      <c r="D3788" s="19" t="n">
        <v>0.04</v>
      </c>
      <c r="E3788" s="19" t="n">
        <v>40</v>
      </c>
      <c r="F3788" s="19" t="n">
        <v>1746.05</v>
      </c>
      <c r="G3788" s="8" t="n">
        <f aca="false">IFERROR(INDEX('TRANS'!$B:$B,MATCH($B3788,'TRANS'!$A:$A,0)),IFERROR(INDEX('TRANS'!$B:$B,MATCH(TRIM(SUBSTITUTE($B3788,CHAR(160)," ")),'TRANS'!$D:$D,0)),IFERROR(INDEX('Catalog'!$A:$A,MATCH($B3788,'Catalog'!$B:$B,0)),IFERROR(INDEX('Catalog'!$A:$A,MATCH(TRIM(SUBSTITUTE($B3788,CHAR(160)," ")),'Catalog'!$C:$C,0)),""))))</f>
        <v>4411030</v>
      </c>
      <c r="H3788" s="8" t="str">
        <f aca="false">IFERROR(INDEX('TRANS'!$C:$C,MATCH($B3788,'TRANS'!$A:$A,0)),IFERROR(INDEX('Catalog'!$B:$B,MATCH($G3788,'Catalog'!$A:$A,0)),$B3788))</f>
        <v>213CTSR M ימין CTS כפפות</v>
      </c>
      <c r="I3788" s="8" t="str">
        <f aca="false">IF($G3788="","Unmatched","Matched")</f>
        <v>Matched</v>
      </c>
    </row>
    <row r="3789" customFormat="false" ht="15" hidden="false" customHeight="false" outlineLevel="0" collapsed="false">
      <c r="A3789" s="8" t="s">
        <v>1080</v>
      </c>
      <c r="B3789" s="8" t="s">
        <v>470</v>
      </c>
      <c r="C3789" s="19" t="n">
        <v>0</v>
      </c>
      <c r="D3789" s="19" t="n">
        <v>0</v>
      </c>
      <c r="E3789" s="19" t="n">
        <v>25</v>
      </c>
      <c r="F3789" s="19" t="n">
        <v>1091.28</v>
      </c>
      <c r="G3789" s="8" t="n">
        <f aca="false">IFERROR(INDEX('TRANS'!$B:$B,MATCH($B3789,'TRANS'!$A:$A,0)),IFERROR(INDEX('TRANS'!$B:$B,MATCH(TRIM(SUBSTITUTE($B3789,CHAR(160)," ")),'TRANS'!$D:$D,0)),IFERROR(INDEX('Catalog'!$A:$A,MATCH($B3789,'Catalog'!$B:$B,0)),IFERROR(INDEX('Catalog'!$A:$A,MATCH(TRIM(SUBSTITUTE($B3789,CHAR(160)," ")),'Catalog'!$C:$C,0)),""))))</f>
        <v>4411031</v>
      </c>
      <c r="H3789" s="8" t="str">
        <f aca="false">IFERROR(INDEX('TRANS'!$C:$C,MATCH($B3789,'TRANS'!$A:$A,0)),IFERROR(INDEX('Catalog'!$B:$B,MATCH($G3789,'Catalog'!$A:$A,0)),$B3789))</f>
        <v>213CTS  S ימין CTS כפפות</v>
      </c>
      <c r="I3789" s="8" t="str">
        <f aca="false">IF($G3789="","Unmatched","Matched")</f>
        <v>Matched</v>
      </c>
    </row>
    <row r="3790" customFormat="false" ht="15" hidden="false" customHeight="false" outlineLevel="0" collapsed="false">
      <c r="A3790" s="8" t="s">
        <v>1080</v>
      </c>
      <c r="B3790" s="8" t="s">
        <v>99</v>
      </c>
      <c r="C3790" s="19" t="n">
        <v>111</v>
      </c>
      <c r="D3790" s="19" t="n">
        <v>1511.29</v>
      </c>
      <c r="E3790" s="19" t="n">
        <v>120</v>
      </c>
      <c r="F3790" s="19" t="n">
        <v>1638.91</v>
      </c>
      <c r="G3790" s="8" t="n">
        <f aca="false">IFERROR(INDEX('TRANS'!$B:$B,MATCH($B3790,'TRANS'!$A:$A,0)),IFERROR(INDEX('TRANS'!$B:$B,MATCH(TRIM(SUBSTITUTE($B3790,CHAR(160)," ")),'TRANS'!$D:$D,0)),IFERROR(INDEX('Catalog'!$A:$A,MATCH($B3790,'Catalog'!$B:$B,0)),IFERROR(INDEX('Catalog'!$A:$A,MATCH(TRIM(SUBSTITUTE($B3790,CHAR(160)," ")),'Catalog'!$C:$C,0)),""))))</f>
        <v>4415029</v>
      </c>
      <c r="H3790" s="8" t="str">
        <f aca="false">IFERROR(INDEX('TRANS'!$C:$C,MATCH($B3790,'TRANS'!$A:$A,0)),IFERROR(INDEX('Catalog'!$B:$B,MATCH($G3790,'Catalog'!$A:$A,0)),$B3790))</f>
        <v>סד קיבוע לאצבע הדק</v>
      </c>
      <c r="I3790" s="8" t="str">
        <f aca="false">IF($G3790="","Unmatched","Matched")</f>
        <v>Matched</v>
      </c>
    </row>
    <row r="3791" customFormat="false" ht="15" hidden="false" customHeight="false" outlineLevel="0" collapsed="false">
      <c r="A3791" s="8" t="s">
        <v>1080</v>
      </c>
      <c r="B3791" s="8" t="s">
        <v>100</v>
      </c>
      <c r="C3791" s="19" t="n">
        <v>320</v>
      </c>
      <c r="D3791" s="19" t="n">
        <v>2685.05</v>
      </c>
      <c r="E3791" s="19" t="n">
        <v>285</v>
      </c>
      <c r="F3791" s="19" t="n">
        <v>2402.49</v>
      </c>
      <c r="G3791" s="8" t="n">
        <f aca="false">IFERROR(INDEX('TRANS'!$B:$B,MATCH($B3791,'TRANS'!$A:$A,0)),IFERROR(INDEX('TRANS'!$B:$B,MATCH(TRIM(SUBSTITUTE($B3791,CHAR(160)," ")),'TRANS'!$D:$D,0)),IFERROR(INDEX('Catalog'!$A:$A,MATCH($B3791,'Catalog'!$B:$B,0)),IFERROR(INDEX('Catalog'!$A:$A,MATCH(TRIM(SUBSTITUTE($B3791,CHAR(160)," ")),'Catalog'!$C:$C,0)),""))))</f>
        <v>4415162</v>
      </c>
      <c r="H3791" s="8" t="str">
        <f aca="false">IFERROR(INDEX('TRANS'!$C:$C,MATCH($B3791,'TRANS'!$A:$A,0)),IFERROR(INDEX('Catalog'!$B:$B,MATCH($G3791,'Catalog'!$A:$A,0)),$B3791))</f>
        <v>238L סד ליישור אצבע</v>
      </c>
      <c r="I3791" s="8" t="str">
        <f aca="false">IF($G3791="","Unmatched","Matched")</f>
        <v>Matched</v>
      </c>
    </row>
    <row r="3792" customFormat="false" ht="15" hidden="false" customHeight="false" outlineLevel="0" collapsed="false">
      <c r="A3792" s="8" t="s">
        <v>1080</v>
      </c>
      <c r="B3792" s="8" t="s">
        <v>589</v>
      </c>
      <c r="C3792" s="19" t="n">
        <v>277</v>
      </c>
      <c r="D3792" s="19" t="n">
        <v>2322.18</v>
      </c>
      <c r="E3792" s="19" t="n">
        <v>260</v>
      </c>
      <c r="F3792" s="19" t="n">
        <v>2193.63</v>
      </c>
      <c r="G3792" s="8" t="n">
        <f aca="false">IFERROR(INDEX('TRANS'!$B:$B,MATCH($B3792,'TRANS'!$A:$A,0)),IFERROR(INDEX('TRANS'!$B:$B,MATCH(TRIM(SUBSTITUTE($B3792,CHAR(160)," ")),'TRANS'!$D:$D,0)),IFERROR(INDEX('Catalog'!$A:$A,MATCH($B3792,'Catalog'!$B:$B,0)),IFERROR(INDEX('Catalog'!$A:$A,MATCH(TRIM(SUBSTITUTE($B3792,CHAR(160)," ")),'Catalog'!$C:$C,0)),""))))</f>
        <v>4415161</v>
      </c>
      <c r="H3792" s="8" t="str">
        <f aca="false">IFERROR(INDEX('TRANS'!$C:$C,MATCH($B3792,'TRANS'!$A:$A,0)),IFERROR(INDEX('Catalog'!$B:$B,MATCH($G3792,'Catalog'!$A:$A,0)),$B3792))</f>
        <v>238M סד ליישור אצבע</v>
      </c>
      <c r="I3792" s="8" t="str">
        <f aca="false">IF($G3792="","Unmatched","Matched")</f>
        <v>Matched</v>
      </c>
    </row>
    <row r="3793" customFormat="false" ht="15" hidden="false" customHeight="false" outlineLevel="0" collapsed="false">
      <c r="A3793" s="8" t="s">
        <v>1080</v>
      </c>
      <c r="B3793" s="8" t="s">
        <v>101</v>
      </c>
      <c r="C3793" s="19" t="n">
        <v>200</v>
      </c>
      <c r="D3793" s="19" t="n">
        <v>1676.51</v>
      </c>
      <c r="E3793" s="19" t="n">
        <v>205</v>
      </c>
      <c r="F3793" s="19" t="n">
        <v>1720.27</v>
      </c>
      <c r="G3793" s="8" t="n">
        <f aca="false">IFERROR(INDEX('TRANS'!$B:$B,MATCH($B3793,'TRANS'!$A:$A,0)),IFERROR(INDEX('TRANS'!$B:$B,MATCH(TRIM(SUBSTITUTE($B3793,CHAR(160)," ")),'TRANS'!$D:$D,0)),IFERROR(INDEX('Catalog'!$A:$A,MATCH($B3793,'Catalog'!$B:$B,0)),IFERROR(INDEX('Catalog'!$A:$A,MATCH(TRIM(SUBSTITUTE($B3793,CHAR(160)," ")),'Catalog'!$C:$C,0)),""))))</f>
        <v>4415160</v>
      </c>
      <c r="H3793" s="8" t="str">
        <f aca="false">IFERROR(INDEX('TRANS'!$C:$C,MATCH($B3793,'TRANS'!$A:$A,0)),IFERROR(INDEX('Catalog'!$B:$B,MATCH($G3793,'Catalog'!$A:$A,0)),$B3793))</f>
        <v>238S סד ליישור אצבע</v>
      </c>
      <c r="I3793" s="8" t="str">
        <f aca="false">IF($G3793="","Unmatched","Matched")</f>
        <v>Matched</v>
      </c>
    </row>
    <row r="3794" customFormat="false" ht="15" hidden="false" customHeight="false" outlineLevel="0" collapsed="false">
      <c r="A3794" s="8" t="s">
        <v>1080</v>
      </c>
      <c r="B3794" s="8" t="s">
        <v>590</v>
      </c>
      <c r="C3794" s="19" t="n">
        <v>177</v>
      </c>
      <c r="D3794" s="19" t="n">
        <v>1496.47</v>
      </c>
      <c r="E3794" s="19" t="n">
        <v>180</v>
      </c>
      <c r="F3794" s="19" t="n">
        <v>1520.43</v>
      </c>
      <c r="G3794" s="8" t="n">
        <f aca="false">IFERROR(INDEX('TRANS'!$B:$B,MATCH($B3794,'TRANS'!$A:$A,0)),IFERROR(INDEX('TRANS'!$B:$B,MATCH(TRIM(SUBSTITUTE($B3794,CHAR(160)," ")),'TRANS'!$D:$D,0)),IFERROR(INDEX('Catalog'!$A:$A,MATCH($B3794,'Catalog'!$B:$B,0)),IFERROR(INDEX('Catalog'!$A:$A,MATCH(TRIM(SUBSTITUTE($B3794,CHAR(160)," ")),'Catalog'!$C:$C,0)),""))))</f>
        <v>4415163</v>
      </c>
      <c r="H3794" s="8" t="str">
        <f aca="false">IFERROR(INDEX('TRANS'!$C:$C,MATCH($B3794,'TRANS'!$A:$A,0)),IFERROR(INDEX('Catalog'!$B:$B,MATCH($G3794,'Catalog'!$A:$A,0)),$B3794))</f>
        <v>238XL סד ליישור אצבע</v>
      </c>
      <c r="I3794" s="8" t="str">
        <f aca="false">IF($G3794="","Unmatched","Matched")</f>
        <v>Matched</v>
      </c>
    </row>
    <row r="3795" customFormat="false" ht="15" hidden="false" customHeight="false" outlineLevel="0" collapsed="false">
      <c r="A3795" s="8" t="s">
        <v>1080</v>
      </c>
      <c r="B3795" s="8" t="s">
        <v>102</v>
      </c>
      <c r="C3795" s="19" t="n">
        <v>0</v>
      </c>
      <c r="D3795" s="19" t="n">
        <v>0</v>
      </c>
      <c r="E3795" s="19" t="n">
        <v>2</v>
      </c>
      <c r="F3795" s="19" t="n">
        <v>104.57</v>
      </c>
      <c r="G3795" s="8" t="n">
        <f aca="false">IFERROR(INDEX('TRANS'!$B:$B,MATCH($B3795,'TRANS'!$A:$A,0)),IFERROR(INDEX('TRANS'!$B:$B,MATCH(TRIM(SUBSTITUTE($B3795,CHAR(160)," ")),'TRANS'!$D:$D,0)),IFERROR(INDEX('Catalog'!$A:$A,MATCH($B3795,'Catalog'!$B:$B,0)),IFERROR(INDEX('Catalog'!$A:$A,MATCH(TRIM(SUBSTITUTE($B3795,CHAR(160)," ")),'Catalog'!$C:$C,0)),""))))</f>
        <v>4419013</v>
      </c>
      <c r="H3795" s="8" t="str">
        <f aca="false">IFERROR(INDEX('TRANS'!$C:$C,MATCH($B3795,'TRANS'!$A:$A,0)),IFERROR(INDEX('Catalog'!$B:$B,MATCH($G3795,'Catalog'!$A:$A,0)),$B3795))</f>
        <v>239B L-XL STRAP4U</v>
      </c>
      <c r="I3795" s="8" t="str">
        <f aca="false">IF($G3795="","Unmatched","Matched")</f>
        <v>Matched</v>
      </c>
    </row>
    <row r="3796" customFormat="false" ht="15" hidden="false" customHeight="false" outlineLevel="0" collapsed="false">
      <c r="A3796" s="8" t="s">
        <v>1080</v>
      </c>
      <c r="B3796" s="8" t="s">
        <v>103</v>
      </c>
      <c r="C3796" s="19" t="n">
        <v>27</v>
      </c>
      <c r="D3796" s="19" t="n">
        <v>413.35</v>
      </c>
      <c r="E3796" s="19" t="n">
        <v>5</v>
      </c>
      <c r="F3796" s="19" t="n">
        <v>70.5</v>
      </c>
      <c r="G3796" s="8" t="n">
        <f aca="false">IFERROR(INDEX('TRANS'!$B:$B,MATCH($B3796,'TRANS'!$A:$A,0)),IFERROR(INDEX('TRANS'!$B:$B,MATCH(TRIM(SUBSTITUTE($B3796,CHAR(160)," ")),'TRANS'!$D:$D,0)),IFERROR(INDEX('Catalog'!$A:$A,MATCH($B3796,'Catalog'!$B:$B,0)),IFERROR(INDEX('Catalog'!$A:$A,MATCH(TRIM(SUBSTITUTE($B3796,CHAR(160)," ")),'Catalog'!$C:$C,0)),""))))</f>
        <v>4419011</v>
      </c>
      <c r="H3796" s="8" t="str">
        <f aca="false">IFERROR(INDEX('TRANS'!$C:$C,MATCH($B3796,'TRANS'!$A:$A,0)),IFERROR(INDEX('Catalog'!$B:$B,MATCH($G3796,'Catalog'!$A:$A,0)),$B3796))</f>
        <v>239B S-M STRAP4U</v>
      </c>
      <c r="I3796" s="8" t="str">
        <f aca="false">IF($G3796="","Unmatched","Matched")</f>
        <v>Matched</v>
      </c>
    </row>
    <row r="3797" customFormat="false" ht="15" hidden="false" customHeight="false" outlineLevel="0" collapsed="false">
      <c r="A3797" s="8" t="s">
        <v>1080</v>
      </c>
      <c r="B3797" s="8" t="s">
        <v>471</v>
      </c>
      <c r="C3797" s="19" t="n">
        <v>0</v>
      </c>
      <c r="D3797" s="19" t="n">
        <v>0</v>
      </c>
      <c r="E3797" s="19" t="n">
        <v>1</v>
      </c>
      <c r="F3797" s="19" t="n">
        <v>0.03</v>
      </c>
      <c r="G3797" s="8" t="str">
        <f aca="false">IFERROR(INDEX('TRANS'!$B:$B,MATCH($B3797,'TRANS'!$A:$A,0)),IFERROR(INDEX('TRANS'!$B:$B,MATCH(TRIM(SUBSTITUTE($B3797,CHAR(160)," ")),'TRANS'!$D:$D,0)),IFERROR(INDEX('Catalog'!$A:$A,MATCH($B3797,'Catalog'!$B:$B,0)),IFERROR(INDEX('Catalog'!$A:$A,MATCH(TRIM(SUBSTITUTE($B3797,CHAR(160)," ")),'Catalog'!$C:$C,0)),""))))</f>
        <v/>
      </c>
      <c r="H3797" s="8" t="str">
        <f aca="false">IFERROR(INDEX('TRANS'!$C:$C,MATCH($B3797,'TRANS'!$A:$A,0)),IFERROR(INDEX('Catalog'!$B:$B,MATCH($G3797,'Catalog'!$A:$A,0)),$B3797))</f>
        <v>239P-S-M</v>
      </c>
      <c r="I3797" s="8" t="str">
        <f aca="false">IF($G3797="","Unmatched","Matched")</f>
        <v>Unmatched</v>
      </c>
    </row>
    <row r="3798" customFormat="false" ht="15" hidden="false" customHeight="false" outlineLevel="0" collapsed="false">
      <c r="A3798" s="8" t="s">
        <v>1080</v>
      </c>
      <c r="B3798" s="8" t="s">
        <v>356</v>
      </c>
      <c r="C3798" s="19" t="n">
        <v>86</v>
      </c>
      <c r="D3798" s="19" t="n">
        <v>3010.82</v>
      </c>
      <c r="E3798" s="19" t="n">
        <v>54</v>
      </c>
      <c r="F3798" s="19" t="n">
        <v>1881.45</v>
      </c>
      <c r="G3798" s="8" t="str">
        <f aca="false">IFERROR(INDEX('TRANS'!$B:$B,MATCH($B3798,'TRANS'!$A:$A,0)),IFERROR(INDEX('TRANS'!$B:$B,MATCH(TRIM(SUBSTITUTE($B3798,CHAR(160)," ")),'TRANS'!$D:$D,0)),IFERROR(INDEX('Catalog'!$A:$A,MATCH($B3798,'Catalog'!$B:$B,0)),IFERROR(INDEX('Catalog'!$A:$A,MATCH(TRIM(SUBSTITUTE($B3798,CHAR(160)," ")),'Catalog'!$C:$C,0)),""))))</f>
        <v/>
      </c>
      <c r="H3798" s="8" t="str">
        <f aca="false">IFERROR(INDEX('TRANS'!$C:$C,MATCH($B3798,'TRANS'!$A:$A,0)),IFERROR(INDEX('Catalog'!$B:$B,MATCH($G3798,'Catalog'!$A:$A,0)),$B3798))</f>
        <v>305-35-36</v>
      </c>
      <c r="I3798" s="8" t="str">
        <f aca="false">IF($G3798="","Unmatched","Matched")</f>
        <v>Unmatched</v>
      </c>
    </row>
    <row r="3799" customFormat="false" ht="15" hidden="false" customHeight="false" outlineLevel="0" collapsed="false">
      <c r="A3799" s="8" t="s">
        <v>1080</v>
      </c>
      <c r="B3799" s="8" t="s">
        <v>946</v>
      </c>
      <c r="C3799" s="19" t="n">
        <v>382</v>
      </c>
      <c r="D3799" s="19" t="n">
        <v>13310.26</v>
      </c>
      <c r="E3799" s="19" t="n">
        <v>238</v>
      </c>
      <c r="F3799" s="19" t="n">
        <v>8295.91</v>
      </c>
      <c r="G3799" s="8" t="str">
        <f aca="false">IFERROR(INDEX('TRANS'!$B:$B,MATCH($B3799,'TRANS'!$A:$A,0)),IFERROR(INDEX('TRANS'!$B:$B,MATCH(TRIM(SUBSTITUTE($B3799,CHAR(160)," ")),'TRANS'!$D:$D,0)),IFERROR(INDEX('Catalog'!$A:$A,MATCH($B3799,'Catalog'!$B:$B,0)),IFERROR(INDEX('Catalog'!$A:$A,MATCH(TRIM(SUBSTITUTE($B3799,CHAR(160)," ")),'Catalog'!$C:$C,0)),""))))</f>
        <v/>
      </c>
      <c r="H3799" s="8" t="str">
        <f aca="false">IFERROR(INDEX('TRANS'!$C:$C,MATCH($B3799,'TRANS'!$A:$A,0)),IFERROR(INDEX('Catalog'!$B:$B,MATCH($G3799,'Catalog'!$A:$A,0)),$B3799))</f>
        <v>305-37-38</v>
      </c>
      <c r="I3799" s="8" t="str">
        <f aca="false">IF($G3799="","Unmatched","Matched")</f>
        <v>Unmatched</v>
      </c>
    </row>
    <row r="3800" customFormat="false" ht="15" hidden="false" customHeight="false" outlineLevel="0" collapsed="false">
      <c r="A3800" s="8" t="s">
        <v>1080</v>
      </c>
      <c r="B3800" s="8" t="s">
        <v>947</v>
      </c>
      <c r="C3800" s="19" t="n">
        <v>455</v>
      </c>
      <c r="D3800" s="19" t="n">
        <v>15741.91</v>
      </c>
      <c r="E3800" s="19" t="n">
        <v>422</v>
      </c>
      <c r="F3800" s="19" t="n">
        <v>14665.96</v>
      </c>
      <c r="G3800" s="8" t="str">
        <f aca="false">IFERROR(INDEX('TRANS'!$B:$B,MATCH($B3800,'TRANS'!$A:$A,0)),IFERROR(INDEX('TRANS'!$B:$B,MATCH(TRIM(SUBSTITUTE($B3800,CHAR(160)," ")),'TRANS'!$D:$D,0)),IFERROR(INDEX('Catalog'!$A:$A,MATCH($B3800,'Catalog'!$B:$B,0)),IFERROR(INDEX('Catalog'!$A:$A,MATCH(TRIM(SUBSTITUTE($B3800,CHAR(160)," ")),'Catalog'!$C:$C,0)),""))))</f>
        <v/>
      </c>
      <c r="H3800" s="8" t="str">
        <f aca="false">IFERROR(INDEX('TRANS'!$C:$C,MATCH($B3800,'TRANS'!$A:$A,0)),IFERROR(INDEX('Catalog'!$B:$B,MATCH($G3800,'Catalog'!$A:$A,0)),$B3800))</f>
        <v>305-39-40</v>
      </c>
      <c r="I3800" s="8" t="str">
        <f aca="false">IF($G3800="","Unmatched","Matched")</f>
        <v>Unmatched</v>
      </c>
    </row>
    <row r="3801" customFormat="false" ht="15" hidden="false" customHeight="false" outlineLevel="0" collapsed="false">
      <c r="A3801" s="8" t="s">
        <v>1080</v>
      </c>
      <c r="B3801" s="8" t="s">
        <v>780</v>
      </c>
      <c r="C3801" s="19" t="n">
        <v>415</v>
      </c>
      <c r="D3801" s="19" t="n">
        <v>14378.42</v>
      </c>
      <c r="E3801" s="19" t="n">
        <v>403</v>
      </c>
      <c r="F3801" s="19" t="n">
        <v>14031.05</v>
      </c>
      <c r="G3801" s="8" t="str">
        <f aca="false">IFERROR(INDEX('TRANS'!$B:$B,MATCH($B3801,'TRANS'!$A:$A,0)),IFERROR(INDEX('TRANS'!$B:$B,MATCH(TRIM(SUBSTITUTE($B3801,CHAR(160)," ")),'TRANS'!$D:$D,0)),IFERROR(INDEX('Catalog'!$A:$A,MATCH($B3801,'Catalog'!$B:$B,0)),IFERROR(INDEX('Catalog'!$A:$A,MATCH(TRIM(SUBSTITUTE($B3801,CHAR(160)," ")),'Catalog'!$C:$C,0)),""))))</f>
        <v/>
      </c>
      <c r="H3801" s="8" t="str">
        <f aca="false">IFERROR(INDEX('TRANS'!$C:$C,MATCH($B3801,'TRANS'!$A:$A,0)),IFERROR(INDEX('Catalog'!$B:$B,MATCH($G3801,'Catalog'!$A:$A,0)),$B3801))</f>
        <v>305-41-42</v>
      </c>
      <c r="I3801" s="8" t="str">
        <f aca="false">IF($G3801="","Unmatched","Matched")</f>
        <v>Unmatched</v>
      </c>
    </row>
    <row r="3802" customFormat="false" ht="15" hidden="false" customHeight="false" outlineLevel="0" collapsed="false">
      <c r="A3802" s="8" t="s">
        <v>1080</v>
      </c>
      <c r="B3802" s="8" t="s">
        <v>948</v>
      </c>
      <c r="C3802" s="19" t="n">
        <v>429</v>
      </c>
      <c r="D3802" s="19" t="n">
        <v>14899.33</v>
      </c>
      <c r="E3802" s="19" t="n">
        <v>400</v>
      </c>
      <c r="F3802" s="19" t="n">
        <v>13866.48</v>
      </c>
      <c r="G3802" s="8" t="str">
        <f aca="false">IFERROR(INDEX('TRANS'!$B:$B,MATCH($B3802,'TRANS'!$A:$A,0)),IFERROR(INDEX('TRANS'!$B:$B,MATCH(TRIM(SUBSTITUTE($B3802,CHAR(160)," ")),'TRANS'!$D:$D,0)),IFERROR(INDEX('Catalog'!$A:$A,MATCH($B3802,'Catalog'!$B:$B,0)),IFERROR(INDEX('Catalog'!$A:$A,MATCH(TRIM(SUBSTITUTE($B3802,CHAR(160)," ")),'Catalog'!$C:$C,0)),""))))</f>
        <v/>
      </c>
      <c r="H3802" s="8" t="str">
        <f aca="false">IFERROR(INDEX('TRANS'!$C:$C,MATCH($B3802,'TRANS'!$A:$A,0)),IFERROR(INDEX('Catalog'!$B:$B,MATCH($G3802,'Catalog'!$A:$A,0)),$B3802))</f>
        <v>305-43-44</v>
      </c>
      <c r="I3802" s="8" t="str">
        <f aca="false">IF($G3802="","Unmatched","Matched")</f>
        <v>Unmatched</v>
      </c>
    </row>
    <row r="3803" customFormat="false" ht="15" hidden="false" customHeight="false" outlineLevel="0" collapsed="false">
      <c r="A3803" s="8" t="s">
        <v>1080</v>
      </c>
      <c r="B3803" s="8" t="s">
        <v>949</v>
      </c>
      <c r="C3803" s="19" t="n">
        <v>259</v>
      </c>
      <c r="D3803" s="19" t="n">
        <v>9007.37</v>
      </c>
      <c r="E3803" s="19" t="n">
        <v>178</v>
      </c>
      <c r="F3803" s="19" t="n">
        <v>6187.91</v>
      </c>
      <c r="G3803" s="8" t="str">
        <f aca="false">IFERROR(INDEX('TRANS'!$B:$B,MATCH($B3803,'TRANS'!$A:$A,0)),IFERROR(INDEX('TRANS'!$B:$B,MATCH(TRIM(SUBSTITUTE($B3803,CHAR(160)," ")),'TRANS'!$D:$D,0)),IFERROR(INDEX('Catalog'!$A:$A,MATCH($B3803,'Catalog'!$B:$B,0)),IFERROR(INDEX('Catalog'!$A:$A,MATCH(TRIM(SUBSTITUTE($B3803,CHAR(160)," ")),'Catalog'!$C:$C,0)),""))))</f>
        <v/>
      </c>
      <c r="H3803" s="8" t="str">
        <f aca="false">IFERROR(INDEX('TRANS'!$C:$C,MATCH($B3803,'TRANS'!$A:$A,0)),IFERROR(INDEX('Catalog'!$B:$B,MATCH($G3803,'Catalog'!$A:$A,0)),$B3803))</f>
        <v>305-45-46</v>
      </c>
      <c r="I3803" s="8" t="str">
        <f aca="false">IF($G3803="","Unmatched","Matched")</f>
        <v>Unmatched</v>
      </c>
    </row>
    <row r="3804" customFormat="false" ht="15" hidden="false" customHeight="false" outlineLevel="0" collapsed="false">
      <c r="A3804" s="8" t="s">
        <v>1080</v>
      </c>
      <c r="B3804" s="8" t="s">
        <v>120</v>
      </c>
      <c r="C3804" s="19" t="n">
        <v>496</v>
      </c>
      <c r="D3804" s="19" t="n">
        <v>13689.07</v>
      </c>
      <c r="E3804" s="19" t="n">
        <v>465</v>
      </c>
      <c r="F3804" s="19" t="n">
        <v>12809.29</v>
      </c>
      <c r="G3804" s="8" t="n">
        <f aca="false">IFERROR(INDEX('TRANS'!$B:$B,MATCH($B3804,'TRANS'!$A:$A,0)),IFERROR(INDEX('TRANS'!$B:$B,MATCH(TRIM(SUBSTITUTE($B3804,CHAR(160)," ")),'TRANS'!$D:$D,0)),IFERROR(INDEX('Catalog'!$A:$A,MATCH($B3804,'Catalog'!$B:$B,0)),IFERROR(INDEX('Catalog'!$A:$A,MATCH(TRIM(SUBSTITUTE($B3804,CHAR(160)," ")),'Catalog'!$C:$C,0)),""))))</f>
        <v>4416000</v>
      </c>
      <c r="H3804" s="8" t="str">
        <f aca="false">IFERROR(INDEX('TRANS'!$C:$C,MATCH($B3804,'TRANS'!$A:$A,0)),IFERROR(INDEX('Catalog'!$B:$B,MATCH($G3804,'Catalog'!$A:$A,0)),$B3804))</f>
        <v>307 L עקבים לדורבן-זוג כריות</v>
      </c>
      <c r="I3804" s="8" t="str">
        <f aca="false">IF($G3804="","Unmatched","Matched")</f>
        <v>Matched</v>
      </c>
    </row>
    <row r="3805" customFormat="false" ht="15" hidden="false" customHeight="false" outlineLevel="0" collapsed="false">
      <c r="A3805" s="8" t="s">
        <v>1080</v>
      </c>
      <c r="B3805" s="8" t="s">
        <v>121</v>
      </c>
      <c r="C3805" s="19" t="n">
        <v>530</v>
      </c>
      <c r="D3805" s="19" t="n">
        <v>14586.27</v>
      </c>
      <c r="E3805" s="19" t="n">
        <v>440</v>
      </c>
      <c r="F3805" s="19" t="n">
        <v>12128.46</v>
      </c>
      <c r="G3805" s="8" t="n">
        <f aca="false">IFERROR(INDEX('TRANS'!$B:$B,MATCH($B3805,'TRANS'!$A:$A,0)),IFERROR(INDEX('TRANS'!$B:$B,MATCH(TRIM(SUBSTITUTE($B3805,CHAR(160)," ")),'TRANS'!$D:$D,0)),IFERROR(INDEX('Catalog'!$A:$A,MATCH($B3805,'Catalog'!$B:$B,0)),IFERROR(INDEX('Catalog'!$A:$A,MATCH(TRIM(SUBSTITUTE($B3805,CHAR(160)," ")),'Catalog'!$C:$C,0)),""))))</f>
        <v>4416001</v>
      </c>
      <c r="H3805" s="8" t="str">
        <f aca="false">IFERROR(INDEX('TRANS'!$C:$C,MATCH($B3805,'TRANS'!$A:$A,0)),IFERROR(INDEX('Catalog'!$B:$B,MATCH($G3805,'Catalog'!$A:$A,0)),$B3805))</f>
        <v>307 M עקבים לדורבן-זוג כריות</v>
      </c>
      <c r="I3805" s="8" t="str">
        <f aca="false">IF($G3805="","Unmatched","Matched")</f>
        <v>Matched</v>
      </c>
    </row>
    <row r="3806" customFormat="false" ht="15" hidden="false" customHeight="false" outlineLevel="0" collapsed="false">
      <c r="A3806" s="8" t="s">
        <v>1080</v>
      </c>
      <c r="B3806" s="8" t="s">
        <v>647</v>
      </c>
      <c r="C3806" s="19" t="n">
        <v>146</v>
      </c>
      <c r="D3806" s="19" t="n">
        <v>4033.74</v>
      </c>
      <c r="E3806" s="19" t="n">
        <v>116</v>
      </c>
      <c r="F3806" s="19" t="n">
        <v>3193.09</v>
      </c>
      <c r="G3806" s="8" t="n">
        <f aca="false">IFERROR(INDEX('TRANS'!$B:$B,MATCH($B3806,'TRANS'!$A:$A,0)),IFERROR(INDEX('TRANS'!$B:$B,MATCH(TRIM(SUBSTITUTE($B3806,CHAR(160)," ")),'TRANS'!$D:$D,0)),IFERROR(INDEX('Catalog'!$A:$A,MATCH($B3806,'Catalog'!$B:$B,0)),IFERROR(INDEX('Catalog'!$A:$A,MATCH(TRIM(SUBSTITUTE($B3806,CHAR(160)," ")),'Catalog'!$C:$C,0)),""))))</f>
        <v>4416002</v>
      </c>
      <c r="H3806" s="8" t="str">
        <f aca="false">IFERROR(INDEX('TRANS'!$C:$C,MATCH($B3806,'TRANS'!$A:$A,0)),IFERROR(INDEX('Catalog'!$B:$B,MATCH($G3806,'Catalog'!$A:$A,0)),$B3806))</f>
        <v>307 S עקבים לדורבן-זוג כריות</v>
      </c>
      <c r="I3806" s="8" t="str">
        <f aca="false">IF($G3806="","Unmatched","Matched")</f>
        <v>Matched</v>
      </c>
    </row>
    <row r="3807" customFormat="false" ht="15" hidden="false" customHeight="false" outlineLevel="0" collapsed="false">
      <c r="A3807" s="8" t="s">
        <v>1080</v>
      </c>
      <c r="B3807" s="8" t="s">
        <v>122</v>
      </c>
      <c r="C3807" s="19" t="n">
        <v>187</v>
      </c>
      <c r="D3807" s="19" t="n">
        <v>5139.16</v>
      </c>
      <c r="E3807" s="19" t="n">
        <v>136</v>
      </c>
      <c r="F3807" s="19" t="n">
        <v>3715.9</v>
      </c>
      <c r="G3807" s="8" t="n">
        <f aca="false">IFERROR(INDEX('TRANS'!$B:$B,MATCH($B3807,'TRANS'!$A:$A,0)),IFERROR(INDEX('TRANS'!$B:$B,MATCH(TRIM(SUBSTITUTE($B3807,CHAR(160)," ")),'TRANS'!$D:$D,0)),IFERROR(INDEX('Catalog'!$A:$A,MATCH($B3807,'Catalog'!$B:$B,0)),IFERROR(INDEX('Catalog'!$A:$A,MATCH(TRIM(SUBSTITUTE($B3807,CHAR(160)," ")),'Catalog'!$C:$C,0)),""))))</f>
        <v>4411016</v>
      </c>
      <c r="H3807" s="8" t="str">
        <f aca="false">IFERROR(INDEX('TRANS'!$C:$C,MATCH($B3807,'TRANS'!$A:$A,0)),IFERROR(INDEX('Catalog'!$B:$B,MATCH($G3807,'Catalog'!$A:$A,0)),$B3807))</f>
        <v>307 XL כרית סיליקון לעקב</v>
      </c>
      <c r="I3807" s="8" t="str">
        <f aca="false">IF($G3807="","Unmatched","Matched")</f>
        <v>Matched</v>
      </c>
    </row>
    <row r="3808" customFormat="false" ht="15" hidden="false" customHeight="false" outlineLevel="0" collapsed="false">
      <c r="A3808" s="8" t="s">
        <v>1080</v>
      </c>
      <c r="B3808" s="8" t="s">
        <v>124</v>
      </c>
      <c r="C3808" s="19" t="n">
        <v>2</v>
      </c>
      <c r="D3808" s="19" t="n">
        <v>20.05</v>
      </c>
      <c r="E3808" s="19" t="n">
        <v>3</v>
      </c>
      <c r="F3808" s="19" t="n">
        <v>29.23</v>
      </c>
      <c r="G3808" s="8" t="n">
        <f aca="false">IFERROR(INDEX('TRANS'!$B:$B,MATCH($B3808,'TRANS'!$A:$A,0)),IFERROR(INDEX('TRANS'!$B:$B,MATCH(TRIM(SUBSTITUTE($B3808,CHAR(160)," ")),'TRANS'!$D:$D,0)),IFERROR(INDEX('Catalog'!$A:$A,MATCH($B3808,'Catalog'!$B:$B,0)),IFERROR(INDEX('Catalog'!$A:$A,MATCH(TRIM(SUBSTITUTE($B3808,CHAR(160)," ")),'Catalog'!$C:$C,0)),""))))</f>
        <v>4413033</v>
      </c>
      <c r="H3808" s="8" t="str">
        <f aca="false">IFERROR(INDEX('TRANS'!$C:$C,MATCH($B3808,'TRANS'!$A:$A,0)),IFERROR(INDEX('Catalog'!$B:$B,MATCH($G3808,'Catalog'!$A:$A,0)),$B3808))</f>
        <v>311'מדב.ג'ל למניעת שפשוף 5 יח</v>
      </c>
      <c r="I3808" s="8" t="str">
        <f aca="false">IF($G3808="","Unmatched","Matched")</f>
        <v>Matched</v>
      </c>
    </row>
    <row r="3809" customFormat="false" ht="15" hidden="false" customHeight="false" outlineLevel="0" collapsed="false">
      <c r="A3809" s="8" t="s">
        <v>1080</v>
      </c>
      <c r="B3809" s="8" t="s">
        <v>133</v>
      </c>
      <c r="C3809" s="19" t="n">
        <v>93</v>
      </c>
      <c r="D3809" s="19" t="n">
        <v>948.26</v>
      </c>
      <c r="E3809" s="19" t="n">
        <v>34</v>
      </c>
      <c r="F3809" s="19" t="n">
        <v>337.87</v>
      </c>
      <c r="G3809" s="8" t="n">
        <f aca="false">IFERROR(INDEX('TRANS'!$B:$B,MATCH($B3809,'TRANS'!$A:$A,0)),IFERROR(INDEX('TRANS'!$B:$B,MATCH(TRIM(SUBSTITUTE($B3809,CHAR(160)," ")),'TRANS'!$D:$D,0)),IFERROR(INDEX('Catalog'!$A:$A,MATCH($B3809,'Catalog'!$B:$B,0)),IFERROR(INDEX('Catalog'!$A:$A,MATCH(TRIM(SUBSTITUTE($B3809,CHAR(160)," ")),'Catalog'!$C:$C,0)),""))))</f>
        <v>4413048</v>
      </c>
      <c r="H3809" s="8" t="str">
        <f aca="false">IFERROR(INDEX('TRANS'!$C:$C,MATCH($B3809,'TRANS'!$A:$A,0)),IFERROR(INDEX('Catalog'!$B:$B,MATCH($G3809,'Catalog'!$A:$A,0)),$B3809))</f>
        <v>35 L מגן קרסול לבן</v>
      </c>
      <c r="I3809" s="8" t="str">
        <f aca="false">IF($G3809="","Unmatched","Matched")</f>
        <v>Matched</v>
      </c>
    </row>
    <row r="3810" customFormat="false" ht="15" hidden="false" customHeight="false" outlineLevel="0" collapsed="false">
      <c r="A3810" s="8" t="s">
        <v>1080</v>
      </c>
      <c r="B3810" s="8" t="s">
        <v>134</v>
      </c>
      <c r="C3810" s="19" t="n">
        <v>96</v>
      </c>
      <c r="D3810" s="19" t="n">
        <v>960.18</v>
      </c>
      <c r="E3810" s="19" t="n">
        <v>0</v>
      </c>
      <c r="F3810" s="19" t="n">
        <v>0</v>
      </c>
      <c r="G3810" s="8" t="n">
        <f aca="false">IFERROR(INDEX('TRANS'!$B:$B,MATCH($B3810,'TRANS'!$A:$A,0)),IFERROR(INDEX('TRANS'!$B:$B,MATCH(TRIM(SUBSTITUTE($B3810,CHAR(160)," ")),'TRANS'!$D:$D,0)),IFERROR(INDEX('Catalog'!$A:$A,MATCH($B3810,'Catalog'!$B:$B,0)),IFERROR(INDEX('Catalog'!$A:$A,MATCH(TRIM(SUBSTITUTE($B3810,CHAR(160)," ")),'Catalog'!$C:$C,0)),""))))</f>
        <v>4413049</v>
      </c>
      <c r="H3810" s="8" t="str">
        <f aca="false">IFERROR(INDEX('TRANS'!$C:$C,MATCH($B3810,'TRANS'!$A:$A,0)),IFERROR(INDEX('Catalog'!$B:$B,MATCH($G3810,'Catalog'!$A:$A,0)),$B3810))</f>
        <v>35 M מגן קרסול לבן</v>
      </c>
      <c r="I3810" s="8" t="str">
        <f aca="false">IF($G3810="","Unmatched","Matched")</f>
        <v>Matched</v>
      </c>
    </row>
    <row r="3811" customFormat="false" ht="15" hidden="false" customHeight="false" outlineLevel="0" collapsed="false">
      <c r="A3811" s="8" t="s">
        <v>1080</v>
      </c>
      <c r="B3811" s="8" t="s">
        <v>359</v>
      </c>
      <c r="C3811" s="19" t="n">
        <v>31</v>
      </c>
      <c r="D3811" s="19" t="n">
        <v>318.6</v>
      </c>
      <c r="E3811" s="19" t="n">
        <v>6</v>
      </c>
      <c r="F3811" s="19" t="n">
        <v>59.09</v>
      </c>
      <c r="G3811" s="8" t="n">
        <f aca="false">IFERROR(INDEX('TRANS'!$B:$B,MATCH($B3811,'TRANS'!$A:$A,0)),IFERROR(INDEX('TRANS'!$B:$B,MATCH(TRIM(SUBSTITUTE($B3811,CHAR(160)," ")),'TRANS'!$D:$D,0)),IFERROR(INDEX('Catalog'!$A:$A,MATCH($B3811,'Catalog'!$B:$B,0)),IFERROR(INDEX('Catalog'!$A:$A,MATCH(TRIM(SUBSTITUTE($B3811,CHAR(160)," ")),'Catalog'!$C:$C,0)),""))))</f>
        <v>4413047</v>
      </c>
      <c r="H3811" s="8" t="str">
        <f aca="false">IFERROR(INDEX('TRANS'!$C:$C,MATCH($B3811,'TRANS'!$A:$A,0)),IFERROR(INDEX('Catalog'!$B:$B,MATCH($G3811,'Catalog'!$A:$A,0)),$B3811))</f>
        <v>35 S מגן קרסול לבן</v>
      </c>
      <c r="I3811" s="8" t="str">
        <f aca="false">IF($G3811="","Unmatched","Matched")</f>
        <v>Matched</v>
      </c>
    </row>
    <row r="3812" customFormat="false" ht="15" hidden="false" customHeight="false" outlineLevel="0" collapsed="false">
      <c r="A3812" s="8" t="s">
        <v>1080</v>
      </c>
      <c r="B3812" s="8" t="s">
        <v>360</v>
      </c>
      <c r="C3812" s="19" t="n">
        <v>91</v>
      </c>
      <c r="D3812" s="19" t="n">
        <v>929.22</v>
      </c>
      <c r="E3812" s="19" t="n">
        <v>20</v>
      </c>
      <c r="F3812" s="19" t="n">
        <v>200.33</v>
      </c>
      <c r="G3812" s="8" t="n">
        <f aca="false">IFERROR(INDEX('TRANS'!$B:$B,MATCH($B3812,'TRANS'!$A:$A,0)),IFERROR(INDEX('TRANS'!$B:$B,MATCH(TRIM(SUBSTITUTE($B3812,CHAR(160)," ")),'TRANS'!$D:$D,0)),IFERROR(INDEX('Catalog'!$A:$A,MATCH($B3812,'Catalog'!$B:$B,0)),IFERROR(INDEX('Catalog'!$A:$A,MATCH(TRIM(SUBSTITUTE($B3812,CHAR(160)," ")),'Catalog'!$C:$C,0)),""))))</f>
        <v>4413050</v>
      </c>
      <c r="H3812" s="8" t="str">
        <f aca="false">IFERROR(INDEX('TRANS'!$C:$C,MATCH($B3812,'TRANS'!$A:$A,0)),IFERROR(INDEX('Catalog'!$B:$B,MATCH($G3812,'Catalog'!$A:$A,0)),$B3812))</f>
        <v>35 XL מגן קרסול לבן</v>
      </c>
      <c r="I3812" s="8" t="str">
        <f aca="false">IF($G3812="","Unmatched","Matched")</f>
        <v>Matched</v>
      </c>
    </row>
    <row r="3813" customFormat="false" ht="15" hidden="false" customHeight="false" outlineLevel="0" collapsed="false">
      <c r="A3813" s="8" t="s">
        <v>1080</v>
      </c>
      <c r="B3813" s="8" t="s">
        <v>147</v>
      </c>
      <c r="C3813" s="19" t="n">
        <v>11</v>
      </c>
      <c r="D3813" s="19" t="n">
        <v>357.72</v>
      </c>
      <c r="E3813" s="19" t="n">
        <v>0</v>
      </c>
      <c r="F3813" s="19" t="n">
        <v>0</v>
      </c>
      <c r="G3813" s="8" t="n">
        <f aca="false">IFERROR(INDEX('TRANS'!$B:$B,MATCH($B3813,'TRANS'!$A:$A,0)),IFERROR(INDEX('TRANS'!$B:$B,MATCH(TRIM(SUBSTITUTE($B3813,CHAR(160)," ")),'TRANS'!$D:$D,0)),IFERROR(INDEX('Catalog'!$A:$A,MATCH($B3813,'Catalog'!$B:$B,0)),IFERROR(INDEX('Catalog'!$A:$A,MATCH(TRIM(SUBSTITUTE($B3813,CHAR(160)," ")),'Catalog'!$C:$C,0)),""))))</f>
        <v>4421001</v>
      </c>
      <c r="H3813" s="8" t="str">
        <f aca="false">IFERROR(INDEX('TRANS'!$C:$C,MATCH($B3813,'TRANS'!$A:$A,0)),IFERROR(INDEX('Catalog'!$B:$B,MATCH($G3813,'Catalog'!$A:$A,0)),$B3813))</f>
        <v>3611 שרוול מטטרזלי מסיליקון</v>
      </c>
      <c r="I3813" s="8" t="str">
        <f aca="false">IF($G3813="","Unmatched","Matched")</f>
        <v>Matched</v>
      </c>
    </row>
    <row r="3814" customFormat="false" ht="15" hidden="false" customHeight="false" outlineLevel="0" collapsed="false">
      <c r="A3814" s="8" t="s">
        <v>1080</v>
      </c>
      <c r="B3814" s="8" t="s">
        <v>148</v>
      </c>
      <c r="C3814" s="19" t="n">
        <v>137</v>
      </c>
      <c r="D3814" s="19" t="n">
        <v>1950.54</v>
      </c>
      <c r="E3814" s="19" t="n">
        <v>85</v>
      </c>
      <c r="F3814" s="19" t="n">
        <v>1188.7</v>
      </c>
      <c r="G3814" s="8" t="n">
        <f aca="false">IFERROR(INDEX('TRANS'!$B:$B,MATCH($B3814,'TRANS'!$A:$A,0)),IFERROR(INDEX('TRANS'!$B:$B,MATCH(TRIM(SUBSTITUTE($B3814,CHAR(160)," ")),'TRANS'!$D:$D,0)),IFERROR(INDEX('Catalog'!$A:$A,MATCH($B3814,'Catalog'!$B:$B,0)),IFERROR(INDEX('Catalog'!$A:$A,MATCH(TRIM(SUBSTITUTE($B3814,CHAR(160)," ")),'Catalog'!$C:$C,0)),""))))</f>
        <v>4411000</v>
      </c>
      <c r="H3814" s="8" t="str">
        <f aca="false">IFERROR(INDEX('TRANS'!$C:$C,MATCH($B3814,'TRANS'!$A:$A,0)),IFERROR(INDEX('Catalog'!$B:$B,MATCH($G3814,'Catalog'!$A:$A,0)),$B3814))</f>
        <v>כרית מטטרזלי סיליקון362</v>
      </c>
      <c r="I3814" s="8" t="str">
        <f aca="false">IF($G3814="","Unmatched","Matched")</f>
        <v>Matched</v>
      </c>
    </row>
    <row r="3815" customFormat="false" ht="15" hidden="false" customHeight="false" outlineLevel="0" collapsed="false">
      <c r="A3815" s="8" t="s">
        <v>1080</v>
      </c>
      <c r="B3815" s="8" t="s">
        <v>150</v>
      </c>
      <c r="C3815" s="19" t="n">
        <v>49</v>
      </c>
      <c r="D3815" s="19" t="n">
        <v>775.84</v>
      </c>
      <c r="E3815" s="19" t="n">
        <v>50</v>
      </c>
      <c r="F3815" s="19" t="n">
        <v>768.58</v>
      </c>
      <c r="G3815" s="8" t="n">
        <f aca="false">IFERROR(INDEX('TRANS'!$B:$B,MATCH($B3815,'TRANS'!$A:$A,0)),IFERROR(INDEX('TRANS'!$B:$B,MATCH(TRIM(SUBSTITUTE($B3815,CHAR(160)," ")),'TRANS'!$D:$D,0)),IFERROR(INDEX('Catalog'!$A:$A,MATCH($B3815,'Catalog'!$B:$B,0)),IFERROR(INDEX('Catalog'!$A:$A,MATCH(TRIM(SUBSTITUTE($B3815,CHAR(160)," ")),'Catalog'!$C:$C,0)),""))))</f>
        <v>4411001</v>
      </c>
      <c r="H3815" s="8" t="str">
        <f aca="false">IFERROR(INDEX('TRANS'!$C:$C,MATCH($B3815,'TRANS'!$A:$A,0)),IFERROR(INDEX('Catalog'!$B:$B,MATCH($G3815,'Catalog'!$A:$A,0)),$B3815))</f>
        <v>3623 כרית ליישור אצבע פטיש</v>
      </c>
      <c r="I3815" s="8" t="str">
        <f aca="false">IF($G3815="","Unmatched","Matched")</f>
        <v>Matched</v>
      </c>
    </row>
    <row r="3816" customFormat="false" ht="15" hidden="false" customHeight="false" outlineLevel="0" collapsed="false">
      <c r="A3816" s="8" t="s">
        <v>1080</v>
      </c>
      <c r="B3816" s="8" t="s">
        <v>151</v>
      </c>
      <c r="C3816" s="19" t="n">
        <v>73</v>
      </c>
      <c r="D3816" s="19" t="n">
        <v>851.85</v>
      </c>
      <c r="E3816" s="19" t="n">
        <v>50</v>
      </c>
      <c r="F3816" s="19" t="n">
        <v>584.03</v>
      </c>
      <c r="G3816" s="8" t="str">
        <f aca="false">IFERROR(INDEX('TRANS'!$B:$B,MATCH($B3816,'TRANS'!$A:$A,0)),IFERROR(INDEX('TRANS'!$B:$B,MATCH(TRIM(SUBSTITUTE($B3816,CHAR(160)," ")),'TRANS'!$D:$D,0)),IFERROR(INDEX('Catalog'!$A:$A,MATCH($B3816,'Catalog'!$B:$B,0)),IFERROR(INDEX('Catalog'!$A:$A,MATCH(TRIM(SUBSTITUTE($B3816,CHAR(160)," ")),'Catalog'!$C:$C,0)),""))))</f>
        <v/>
      </c>
      <c r="H3816" s="8" t="str">
        <f aca="false">IFERROR(INDEX('TRANS'!$C:$C,MATCH($B3816,'TRANS'!$A:$A,0)),IFERROR(INDEX('Catalog'!$B:$B,MATCH($G3816,'Catalog'!$A:$A,0)),$B3816))</f>
        <v>363 L/R</v>
      </c>
      <c r="I3816" s="8" t="str">
        <f aca="false">IF($G3816="","Unmatched","Matched")</f>
        <v>Unmatched</v>
      </c>
    </row>
    <row r="3817" customFormat="false" ht="15" hidden="false" customHeight="false" outlineLevel="0" collapsed="false">
      <c r="A3817" s="8" t="s">
        <v>1080</v>
      </c>
      <c r="B3817" s="8" t="s">
        <v>152</v>
      </c>
      <c r="C3817" s="19" t="n">
        <v>335</v>
      </c>
      <c r="D3817" s="19" t="n">
        <v>2009.52</v>
      </c>
      <c r="E3817" s="19" t="n">
        <v>95</v>
      </c>
      <c r="F3817" s="19" t="n">
        <v>577.79</v>
      </c>
      <c r="G3817" s="8" t="n">
        <f aca="false">IFERROR(INDEX('TRANS'!$B:$B,MATCH($B3817,'TRANS'!$A:$A,0)),IFERROR(INDEX('TRANS'!$B:$B,MATCH(TRIM(SUBSTITUTE($B3817,CHAR(160)," ")),'TRANS'!$D:$D,0)),IFERROR(INDEX('Catalog'!$A:$A,MATCH($B3817,'Catalog'!$B:$B,0)),IFERROR(INDEX('Catalog'!$A:$A,MATCH(TRIM(SUBSTITUTE($B3817,CHAR(160)," ")),'Catalog'!$C:$C,0)),""))))</f>
        <v>4413059</v>
      </c>
      <c r="H3817" s="8" t="str">
        <f aca="false">IFERROR(INDEX('TRANS'!$C:$C,MATCH($B3817,'TRANS'!$A:$A,0)),IFERROR(INDEX('Catalog'!$B:$B,MATCH($G3817,'Catalog'!$A:$A,0)),$B3817))</f>
        <v>364S Lמפר.אצבע סיליק. ליבל.זוג</v>
      </c>
      <c r="I3817" s="8" t="str">
        <f aca="false">IF($G3817="","Unmatched","Matched")</f>
        <v>Matched</v>
      </c>
    </row>
    <row r="3818" customFormat="false" ht="15" hidden="false" customHeight="false" outlineLevel="0" collapsed="false">
      <c r="A3818" s="8" t="s">
        <v>1080</v>
      </c>
      <c r="B3818" s="8" t="s">
        <v>153</v>
      </c>
      <c r="C3818" s="19" t="n">
        <v>970</v>
      </c>
      <c r="D3818" s="19" t="n">
        <v>4429.69</v>
      </c>
      <c r="E3818" s="19" t="n">
        <v>620</v>
      </c>
      <c r="F3818" s="19" t="n">
        <v>2815.93</v>
      </c>
      <c r="G3818" s="8" t="n">
        <f aca="false">IFERROR(INDEX('TRANS'!$B:$B,MATCH($B3818,'TRANS'!$A:$A,0)),IFERROR(INDEX('TRANS'!$B:$B,MATCH(TRIM(SUBSTITUTE($B3818,CHAR(160)," ")),'TRANS'!$D:$D,0)),IFERROR(INDEX('Catalog'!$A:$A,MATCH($B3818,'Catalog'!$B:$B,0)),IFERROR(INDEX('Catalog'!$A:$A,MATCH(TRIM(SUBSTITUTE($B3818,CHAR(160)," ")),'Catalog'!$C:$C,0)),""))))</f>
        <v>4413060</v>
      </c>
      <c r="H3818" s="8" t="str">
        <f aca="false">IFERROR(INDEX('TRANS'!$C:$C,MATCH($B3818,'TRANS'!$A:$A,0)),IFERROR(INDEX('Catalog'!$B:$B,MATCH($G3818,'Catalog'!$A:$A,0)),$B3818))</f>
        <v>364 XLמפריד אצבע סיליקון ליבלת</v>
      </c>
      <c r="I3818" s="8" t="str">
        <f aca="false">IF($G3818="","Unmatched","Matched")</f>
        <v>Matched</v>
      </c>
    </row>
    <row r="3819" customFormat="false" ht="15" hidden="false" customHeight="false" outlineLevel="0" collapsed="false">
      <c r="A3819" s="8" t="s">
        <v>1080</v>
      </c>
      <c r="B3819" s="8" t="s">
        <v>154</v>
      </c>
      <c r="C3819" s="19" t="n">
        <v>4</v>
      </c>
      <c r="D3819" s="19" t="n">
        <v>26.48</v>
      </c>
      <c r="E3819" s="19" t="n">
        <v>0</v>
      </c>
      <c r="F3819" s="19" t="n">
        <v>0</v>
      </c>
      <c r="G3819" s="8" t="n">
        <f aca="false">IFERROR(INDEX('TRANS'!$B:$B,MATCH($B3819,'TRANS'!$A:$A,0)),IFERROR(INDEX('TRANS'!$B:$B,MATCH(TRIM(SUBSTITUTE($B3819,CHAR(160)," ")),'TRANS'!$D:$D,0)),IFERROR(INDEX('Catalog'!$A:$A,MATCH($B3819,'Catalog'!$B:$B,0)),IFERROR(INDEX('Catalog'!$A:$A,MATCH(TRIM(SUBSTITUTE($B3819,CHAR(160)," ")),'Catalog'!$C:$C,0)),""))))</f>
        <v>4413061</v>
      </c>
      <c r="H3819" s="8" t="str">
        <f aca="false">IFERROR(INDEX('TRANS'!$C:$C,MATCH($B3819,'TRANS'!$A:$A,0)),IFERROR(INDEX('Catalog'!$B:$B,MATCH($G3819,'Catalog'!$A:$A,0)),$B3819))</f>
        <v>3641-מיישר בוהן סיליקון קשיח</v>
      </c>
      <c r="I3819" s="8" t="str">
        <f aca="false">IF($G3819="","Unmatched","Matched")</f>
        <v>Matched</v>
      </c>
    </row>
    <row r="3820" customFormat="false" ht="15" hidden="false" customHeight="false" outlineLevel="0" collapsed="false">
      <c r="A3820" s="8" t="s">
        <v>1080</v>
      </c>
      <c r="B3820" s="8" t="s">
        <v>155</v>
      </c>
      <c r="C3820" s="19" t="n">
        <v>4</v>
      </c>
      <c r="D3820" s="19" t="n">
        <v>26.48</v>
      </c>
      <c r="E3820" s="19" t="n">
        <v>0</v>
      </c>
      <c r="F3820" s="19" t="n">
        <v>0</v>
      </c>
      <c r="G3820" s="8" t="n">
        <f aca="false">IFERROR(INDEX('TRANS'!$B:$B,MATCH($B3820,'TRANS'!$A:$A,0)),IFERROR(INDEX('TRANS'!$B:$B,MATCH(TRIM(SUBSTITUTE($B3820,CHAR(160)," ")),'TRANS'!$D:$D,0)),IFERROR(INDEX('Catalog'!$A:$A,MATCH($B3820,'Catalog'!$B:$B,0)),IFERROR(INDEX('Catalog'!$A:$A,MATCH(TRIM(SUBSTITUTE($B3820,CHAR(160)," ")),'Catalog'!$C:$C,0)),""))))</f>
        <v>4409000</v>
      </c>
      <c r="H3820" s="8" t="str">
        <f aca="false">IFERROR(INDEX('TRANS'!$C:$C,MATCH($B3820,'TRANS'!$A:$A,0)),IFERROR(INDEX('Catalog'!$B:$B,MATCH($G3820,'Catalog'!$A:$A,0)),$B3820))</f>
        <v>365 S-Lטבעת אלסטית מסיליקון</v>
      </c>
      <c r="I3820" s="8" t="str">
        <f aca="false">IF($G3820="","Unmatched","Matched")</f>
        <v>Matched</v>
      </c>
    </row>
    <row r="3821" customFormat="false" ht="15" hidden="false" customHeight="false" outlineLevel="0" collapsed="false">
      <c r="A3821" s="8" t="s">
        <v>1080</v>
      </c>
      <c r="B3821" s="8" t="s">
        <v>478</v>
      </c>
      <c r="C3821" s="19" t="n">
        <v>19</v>
      </c>
      <c r="D3821" s="19" t="n">
        <v>99.8</v>
      </c>
      <c r="E3821" s="19" t="n">
        <v>0</v>
      </c>
      <c r="F3821" s="19" t="n">
        <v>0</v>
      </c>
      <c r="G3821" s="8" t="n">
        <f aca="false">IFERROR(INDEX('TRANS'!$B:$B,MATCH($B3821,'TRANS'!$A:$A,0)),IFERROR(INDEX('TRANS'!$B:$B,MATCH(TRIM(SUBSTITUTE($B3821,CHAR(160)," ")),'TRANS'!$D:$D,0)),IFERROR(INDEX('Catalog'!$A:$A,MATCH($B3821,'Catalog'!$B:$B,0)),IFERROR(INDEX('Catalog'!$A:$A,MATCH(TRIM(SUBSTITUTE($B3821,CHAR(160)," ")),'Catalog'!$C:$C,0)),""))))</f>
        <v>4409001</v>
      </c>
      <c r="H3821" s="8" t="str">
        <f aca="false">IFERROR(INDEX('TRANS'!$C:$C,MATCH($B3821,'TRANS'!$A:$A,0)),IFERROR(INDEX('Catalog'!$B:$B,MATCH($G3821,'Catalog'!$A:$A,0)),$B3821))</f>
        <v>365  X-Lטבעת אלסטית מסיליקון</v>
      </c>
      <c r="I3821" s="8" t="str">
        <f aca="false">IF($G3821="","Unmatched","Matched")</f>
        <v>Matched</v>
      </c>
    </row>
    <row r="3822" customFormat="false" ht="15" hidden="false" customHeight="false" outlineLevel="0" collapsed="false">
      <c r="A3822" s="8" t="s">
        <v>1080</v>
      </c>
      <c r="B3822" s="8" t="s">
        <v>156</v>
      </c>
      <c r="C3822" s="19" t="n">
        <v>180</v>
      </c>
      <c r="D3822" s="19" t="n">
        <v>1530.52</v>
      </c>
      <c r="E3822" s="19" t="n">
        <v>168</v>
      </c>
      <c r="F3822" s="19" t="n">
        <v>1416.58</v>
      </c>
      <c r="G3822" s="8" t="n">
        <f aca="false">IFERROR(INDEX('TRANS'!$B:$B,MATCH($B3822,'TRANS'!$A:$A,0)),IFERROR(INDEX('TRANS'!$B:$B,MATCH(TRIM(SUBSTITUTE($B3822,CHAR(160)," ")),'TRANS'!$D:$D,0)),IFERROR(INDEX('Catalog'!$A:$A,MATCH($B3822,'Catalog'!$B:$B,0)),IFERROR(INDEX('Catalog'!$A:$A,MATCH(TRIM(SUBSTITUTE($B3822,CHAR(160)," ")),'Catalog'!$C:$C,0)),""))))</f>
        <v>4421000</v>
      </c>
      <c r="H3822" s="8" t="str">
        <f aca="false">IFERROR(INDEX('TRANS'!$C:$C,MATCH($B3822,'TRANS'!$A:$A,0)),IFERROR(INDEX('Catalog'!$B:$B,MATCH($G3822,'Catalog'!$A:$A,0)),$B3822))</f>
        <v>3655 שרוול מסיליקון לאצבע</v>
      </c>
      <c r="I3822" s="8" t="str">
        <f aca="false">IF($G3822="","Unmatched","Matched")</f>
        <v>Matched</v>
      </c>
    </row>
    <row r="3823" customFormat="false" ht="15" hidden="false" customHeight="false" outlineLevel="0" collapsed="false">
      <c r="A3823" s="8" t="s">
        <v>1080</v>
      </c>
      <c r="B3823" s="8" t="s">
        <v>157</v>
      </c>
      <c r="C3823" s="19" t="n">
        <v>111</v>
      </c>
      <c r="D3823" s="19" t="n">
        <v>2082.05</v>
      </c>
      <c r="E3823" s="19" t="n">
        <v>58</v>
      </c>
      <c r="F3823" s="19" t="n">
        <v>1083.2</v>
      </c>
      <c r="G3823" s="8" t="n">
        <f aca="false">IFERROR(INDEX('TRANS'!$B:$B,MATCH($B3823,'TRANS'!$A:$A,0)),IFERROR(INDEX('TRANS'!$B:$B,MATCH(TRIM(SUBSTITUTE($B3823,CHAR(160)," ")),'TRANS'!$D:$D,0)),IFERROR(INDEX('Catalog'!$A:$A,MATCH($B3823,'Catalog'!$B:$B,0)),IFERROR(INDEX('Catalog'!$A:$A,MATCH(TRIM(SUBSTITUTE($B3823,CHAR(160)," ")),'Catalog'!$C:$C,0)),""))))</f>
        <v>4413340</v>
      </c>
      <c r="H3823" s="8" t="str">
        <f aca="false">IFERROR(INDEX('TRANS'!$C:$C,MATCH($B3823,'TRANS'!$A:$A,0)),IFERROR(INDEX('Catalog'!$B:$B,MATCH($G3823,'Catalog'!$A:$A,0)),$B3823))</f>
        <v>3666 מפריד הלוקס</v>
      </c>
      <c r="I3823" s="8" t="str">
        <f aca="false">IF($G3823="","Unmatched","Matched")</f>
        <v>Matched</v>
      </c>
    </row>
    <row r="3824" customFormat="false" ht="15" hidden="false" customHeight="false" outlineLevel="0" collapsed="false">
      <c r="A3824" s="8" t="s">
        <v>1080</v>
      </c>
      <c r="B3824" s="8" t="s">
        <v>158</v>
      </c>
      <c r="C3824" s="19" t="n">
        <v>64</v>
      </c>
      <c r="D3824" s="19" t="n">
        <v>991.77</v>
      </c>
      <c r="E3824" s="19" t="n">
        <v>47</v>
      </c>
      <c r="F3824" s="19" t="n">
        <v>736.27</v>
      </c>
      <c r="G3824" s="8" t="n">
        <f aca="false">IFERROR(INDEX('TRANS'!$B:$B,MATCH($B3824,'TRANS'!$A:$A,0)),IFERROR(INDEX('TRANS'!$B:$B,MATCH(TRIM(SUBSTITUTE($B3824,CHAR(160)," ")),'TRANS'!$D:$D,0)),IFERROR(INDEX('Catalog'!$A:$A,MATCH($B3824,'Catalog'!$B:$B,0)),IFERROR(INDEX('Catalog'!$A:$A,MATCH(TRIM(SUBSTITUTE($B3824,CHAR(160)," ")),'Catalog'!$C:$C,0)),""))))</f>
        <v>4413307</v>
      </c>
      <c r="H3824" s="8" t="str">
        <f aca="false">IFERROR(INDEX('TRANS'!$C:$C,MATCH($B3824,'TRANS'!$A:$A,0)),IFERROR(INDEX('Catalog'!$B:$B,MATCH($G3824,'Catalog'!$A:$A,0)),$B3824))</f>
        <v>URI 3667 מגן בוניון</v>
      </c>
      <c r="I3824" s="8" t="str">
        <f aca="false">IF($G3824="","Unmatched","Matched")</f>
        <v>Matched</v>
      </c>
    </row>
    <row r="3825" customFormat="false" ht="15" hidden="false" customHeight="false" outlineLevel="0" collapsed="false">
      <c r="A3825" s="8" t="s">
        <v>1080</v>
      </c>
      <c r="B3825" s="8" t="s">
        <v>159</v>
      </c>
      <c r="C3825" s="19" t="n">
        <v>9</v>
      </c>
      <c r="D3825" s="19" t="n">
        <v>65.79</v>
      </c>
      <c r="E3825" s="19" t="n">
        <v>12</v>
      </c>
      <c r="F3825" s="19" t="n">
        <v>90.98</v>
      </c>
      <c r="G3825" s="8" t="n">
        <f aca="false">IFERROR(INDEX('TRANS'!$B:$B,MATCH($B3825,'TRANS'!$A:$A,0)),IFERROR(INDEX('TRANS'!$B:$B,MATCH(TRIM(SUBSTITUTE($B3825,CHAR(160)," ")),'TRANS'!$D:$D,0)),IFERROR(INDEX('Catalog'!$A:$A,MATCH($B3825,'Catalog'!$B:$B,0)),IFERROR(INDEX('Catalog'!$A:$A,MATCH(TRIM(SUBSTITUTE($B3825,CHAR(160)," ")),'Catalog'!$C:$C,0)),""))))</f>
        <v>4413063</v>
      </c>
      <c r="H3825" s="8" t="str">
        <f aca="false">IFERROR(INDEX('TRANS'!$C:$C,MATCH($B3825,'TRANS'!$A:$A,0)),IFERROR(INDEX('Catalog'!$B:$B,MATCH($G3825,'Catalog'!$A:$A,0)),$B3825))</f>
        <v>366S-'מדבק.לשחרור לחץ מיבלת2יח</v>
      </c>
      <c r="I3825" s="8" t="str">
        <f aca="false">IF($G3825="","Unmatched","Matched")</f>
        <v>Matched</v>
      </c>
    </row>
    <row r="3826" customFormat="false" ht="15" hidden="false" customHeight="false" outlineLevel="0" collapsed="false">
      <c r="A3826" s="8" t="s">
        <v>1080</v>
      </c>
      <c r="B3826" s="8" t="s">
        <v>160</v>
      </c>
      <c r="C3826" s="19" t="n">
        <v>8</v>
      </c>
      <c r="D3826" s="19" t="n">
        <v>149.96</v>
      </c>
      <c r="E3826" s="19" t="n">
        <v>0</v>
      </c>
      <c r="F3826" s="19" t="n">
        <v>0</v>
      </c>
      <c r="G3826" s="8" t="n">
        <f aca="false">IFERROR(INDEX('TRANS'!$B:$B,MATCH($B3826,'TRANS'!$A:$A,0)),IFERROR(INDEX('TRANS'!$B:$B,MATCH(TRIM(SUBSTITUTE($B3826,CHAR(160)," ")),'TRANS'!$D:$D,0)),IFERROR(INDEX('Catalog'!$A:$A,MATCH($B3826,'Catalog'!$B:$B,0)),IFERROR(INDEX('Catalog'!$A:$A,MATCH(TRIM(SUBSTITUTE($B3826,CHAR(160)," ")),'Catalog'!$C:$C,0)),""))))</f>
        <v>4421003</v>
      </c>
      <c r="H3826" s="8" t="str">
        <f aca="false">IFERROR(INDEX('TRANS'!$C:$C,MATCH($B3826,'TRANS'!$A:$A,0)),IFERROR(INDEX('Catalog'!$B:$B,MATCH($G3826,'Catalog'!$A:$A,0)),$B3826))</f>
        <v>3672 שרוול מגן לבוניון</v>
      </c>
      <c r="I3826" s="8" t="str">
        <f aca="false">IF($G3826="","Unmatched","Matched")</f>
        <v>Matched</v>
      </c>
    </row>
    <row r="3827" customFormat="false" ht="15" hidden="false" customHeight="false" outlineLevel="0" collapsed="false">
      <c r="A3827" s="8" t="s">
        <v>1080</v>
      </c>
      <c r="B3827" s="8" t="s">
        <v>161</v>
      </c>
      <c r="C3827" s="19" t="n">
        <v>490</v>
      </c>
      <c r="D3827" s="19" t="n">
        <v>8035.34</v>
      </c>
      <c r="E3827" s="19" t="n">
        <v>397</v>
      </c>
      <c r="F3827" s="19" t="n">
        <v>6398.51</v>
      </c>
      <c r="G3827" s="8" t="n">
        <f aca="false">IFERROR(INDEX('TRANS'!$B:$B,MATCH($B3827,'TRANS'!$A:$A,0)),IFERROR(INDEX('TRANS'!$B:$B,MATCH(TRIM(SUBSTITUTE($B3827,CHAR(160)," ")),'TRANS'!$D:$D,0)),IFERROR(INDEX('Catalog'!$A:$A,MATCH($B3827,'Catalog'!$B:$B,0)),IFERROR(INDEX('Catalog'!$A:$A,MATCH(TRIM(SUBSTITUTE($B3827,CHAR(160)," ")),'Catalog'!$C:$C,0)),""))))</f>
        <v>4413370</v>
      </c>
      <c r="H3827" s="8" t="str">
        <f aca="false">IFERROR(INDEX('TRANS'!$C:$C,MATCH($B3827,'TRANS'!$A:$A,0)),IFERROR(INDEX('Catalog'!$B:$B,MATCH($G3827,'Catalog'!$A:$A,0)),$B3827))</f>
        <v>3674 0 מ.בוניון+מפריד אצבע</v>
      </c>
      <c r="I3827" s="8" t="str">
        <f aca="false">IF($G3827="","Unmatched","Matched")</f>
        <v>Matched</v>
      </c>
    </row>
    <row r="3828" customFormat="false" ht="15" hidden="false" customHeight="false" outlineLevel="0" collapsed="false">
      <c r="A3828" s="8" t="s">
        <v>1080</v>
      </c>
      <c r="B3828" s="8" t="s">
        <v>162</v>
      </c>
      <c r="C3828" s="19" t="n">
        <v>4</v>
      </c>
      <c r="D3828" s="19" t="n">
        <v>55.9</v>
      </c>
      <c r="E3828" s="19" t="n">
        <v>0</v>
      </c>
      <c r="F3828" s="19" t="n">
        <v>0</v>
      </c>
      <c r="G3828" s="8" t="n">
        <f aca="false">IFERROR(INDEX('TRANS'!$B:$B,MATCH($B3828,'TRANS'!$A:$A,0)),IFERROR(INDEX('TRANS'!$B:$B,MATCH(TRIM(SUBSTITUTE($B3828,CHAR(160)," ")),'TRANS'!$D:$D,0)),IFERROR(INDEX('Catalog'!$A:$A,MATCH($B3828,'Catalog'!$B:$B,0)),IFERROR(INDEX('Catalog'!$A:$A,MATCH(TRIM(SUBSTITUTE($B3828,CHAR(160)," ")),'Catalog'!$C:$C,0)),""))))</f>
        <v>4413371</v>
      </c>
      <c r="H3828" s="8" t="str">
        <f aca="false">IFERROR(INDEX('TRANS'!$C:$C,MATCH($B3828,'TRANS'!$A:$A,0)),IFERROR(INDEX('Catalog'!$B:$B,MATCH($G3828,'Catalog'!$A:$A,0)),$B3828))</f>
        <v>3675    מגן זרת מסיליקון</v>
      </c>
      <c r="I3828" s="8" t="str">
        <f aca="false">IF($G3828="","Unmatched","Matched")</f>
        <v>Matched</v>
      </c>
    </row>
    <row r="3829" customFormat="false" ht="15" hidden="false" customHeight="false" outlineLevel="0" collapsed="false">
      <c r="A3829" s="8" t="s">
        <v>1080</v>
      </c>
      <c r="B3829" s="8" t="s">
        <v>746</v>
      </c>
      <c r="C3829" s="19" t="n">
        <v>11</v>
      </c>
      <c r="D3829" s="19" t="n">
        <v>107.18</v>
      </c>
      <c r="E3829" s="19" t="n">
        <v>17</v>
      </c>
      <c r="F3829" s="19" t="n">
        <v>160.42</v>
      </c>
      <c r="G3829" s="8" t="n">
        <f aca="false">IFERROR(INDEX('TRANS'!$B:$B,MATCH($B3829,'TRANS'!$A:$A,0)),IFERROR(INDEX('TRANS'!$B:$B,MATCH(TRIM(SUBSTITUTE($B3829,CHAR(160)," ")),'TRANS'!$D:$D,0)),IFERROR(INDEX('Catalog'!$A:$A,MATCH($B3829,'Catalog'!$B:$B,0)),IFERROR(INDEX('Catalog'!$A:$A,MATCH(TRIM(SUBSTITUTE($B3829,CHAR(160)," ")),'Catalog'!$C:$C,0)),""))))</f>
        <v>4413066</v>
      </c>
      <c r="H3829" s="8" t="str">
        <f aca="false">IFERROR(INDEX('TRANS'!$C:$C,MATCH($B3829,'TRANS'!$A:$A,0)),IFERROR(INDEX('Catalog'!$B:$B,MATCH($G3829,'Catalog'!$A:$A,0)),$B3829))</f>
        <v>3677S-מד.לשחרור לחץ א.הבוניון</v>
      </c>
      <c r="I3829" s="8" t="str">
        <f aca="false">IF($G3829="","Unmatched","Matched")</f>
        <v>Matched</v>
      </c>
    </row>
    <row r="3830" customFormat="false" ht="15" hidden="false" customHeight="false" outlineLevel="0" collapsed="false">
      <c r="A3830" s="8" t="s">
        <v>1080</v>
      </c>
      <c r="B3830" s="8" t="s">
        <v>163</v>
      </c>
      <c r="C3830" s="19" t="n">
        <v>255</v>
      </c>
      <c r="D3830" s="19" t="n">
        <v>2425.57</v>
      </c>
      <c r="E3830" s="19" t="n">
        <v>147</v>
      </c>
      <c r="F3830" s="19" t="n">
        <v>1384.07</v>
      </c>
      <c r="G3830" s="8" t="n">
        <f aca="false">IFERROR(INDEX('TRANS'!$B:$B,MATCH($B3830,'TRANS'!$A:$A,0)),IFERROR(INDEX('TRANS'!$B:$B,MATCH(TRIM(SUBSTITUTE($B3830,CHAR(160)," ")),'TRANS'!$D:$D,0)),IFERROR(INDEX('Catalog'!$A:$A,MATCH($B3830,'Catalog'!$B:$B,0)),IFERROR(INDEX('Catalog'!$A:$A,MATCH(TRIM(SUBSTITUTE($B3830,CHAR(160)," ")),'Catalog'!$C:$C,0)),""))))</f>
        <v>4401000</v>
      </c>
      <c r="H3830" s="8" t="str">
        <f aca="false">IFERROR(INDEX('TRANS'!$C:$C,MATCH($B3830,'TRANS'!$A:$A,0)),IFERROR(INDEX('Catalog'!$B:$B,MATCH($G3830,'Catalog'!$A:$A,0)),$B3830))</f>
        <v>369  S-L אצבעון מסיליקון יחידה</v>
      </c>
      <c r="I3830" s="8" t="str">
        <f aca="false">IF($G3830="","Unmatched","Matched")</f>
        <v>Matched</v>
      </c>
    </row>
    <row r="3831" customFormat="false" ht="15" hidden="false" customHeight="false" outlineLevel="0" collapsed="false">
      <c r="A3831" s="8" t="s">
        <v>1080</v>
      </c>
      <c r="B3831" s="8" t="s">
        <v>164</v>
      </c>
      <c r="C3831" s="19" t="n">
        <v>225</v>
      </c>
      <c r="D3831" s="19" t="n">
        <v>2338.67</v>
      </c>
      <c r="E3831" s="19" t="n">
        <v>121</v>
      </c>
      <c r="F3831" s="19" t="n">
        <v>1257.76</v>
      </c>
      <c r="G3831" s="8" t="n">
        <f aca="false">IFERROR(INDEX('TRANS'!$B:$B,MATCH($B3831,'TRANS'!$A:$A,0)),IFERROR(INDEX('TRANS'!$B:$B,MATCH(TRIM(SUBSTITUTE($B3831,CHAR(160)," ")),'TRANS'!$D:$D,0)),IFERROR(INDEX('Catalog'!$A:$A,MATCH($B3831,'Catalog'!$B:$B,0)),IFERROR(INDEX('Catalog'!$A:$A,MATCH(TRIM(SUBSTITUTE($B3831,CHAR(160)," ")),'Catalog'!$C:$C,0)),""))))</f>
        <v>4401001</v>
      </c>
      <c r="H3831" s="8" t="str">
        <f aca="false">IFERROR(INDEX('TRANS'!$C:$C,MATCH($B3831,'TRANS'!$A:$A,0)),IFERROR(INDEX('Catalog'!$B:$B,MATCH($G3831,'Catalog'!$A:$A,0)),$B3831))</f>
        <v>369   XL אצבעון מסיליקון יחידה</v>
      </c>
      <c r="I3831" s="8" t="str">
        <f aca="false">IF($G3831="","Unmatched","Matched")</f>
        <v>Matched</v>
      </c>
    </row>
    <row r="3832" customFormat="false" ht="15" hidden="false" customHeight="false" outlineLevel="0" collapsed="false">
      <c r="A3832" s="8" t="s">
        <v>1080</v>
      </c>
      <c r="B3832" s="8" t="s">
        <v>479</v>
      </c>
      <c r="C3832" s="19" t="n">
        <v>105</v>
      </c>
      <c r="D3832" s="19" t="n">
        <v>4839.78</v>
      </c>
      <c r="E3832" s="19" t="n">
        <v>46</v>
      </c>
      <c r="F3832" s="19" t="n">
        <v>1854.41</v>
      </c>
      <c r="G3832" s="8" t="n">
        <f aca="false">IFERROR(INDEX('TRANS'!$B:$B,MATCH($B3832,'TRANS'!$A:$A,0)),IFERROR(INDEX('TRANS'!$B:$B,MATCH(TRIM(SUBSTITUTE($B3832,CHAR(160)," ")),'TRANS'!$D:$D,0)),IFERROR(INDEX('Catalog'!$A:$A,MATCH($B3832,'Catalog'!$B:$B,0)),IFERROR(INDEX('Catalog'!$A:$A,MATCH(TRIM(SUBSTITUTE($B3832,CHAR(160)," ")),'Catalog'!$C:$C,0)),""))))</f>
        <v>4413523</v>
      </c>
      <c r="H3832" s="8" t="str">
        <f aca="false">IFERROR(INDEX('TRANS'!$C:$C,MATCH($B3832,'TRANS'!$A:$A,0)),IFERROR(INDEX('Catalog'!$B:$B,MATCH($G3832,'Catalog'!$A:$A,0)),$B3832))</f>
        <v>35-38 מדרסי אפיק ג'ל נוחות</v>
      </c>
      <c r="I3832" s="8" t="str">
        <f aca="false">IF($G3832="","Unmatched","Matched")</f>
        <v>Matched</v>
      </c>
    </row>
    <row r="3833" customFormat="false" ht="15" hidden="false" customHeight="false" outlineLevel="0" collapsed="false">
      <c r="A3833" s="8" t="s">
        <v>1080</v>
      </c>
      <c r="B3833" s="8" t="s">
        <v>480</v>
      </c>
      <c r="C3833" s="19" t="n">
        <v>125</v>
      </c>
      <c r="D3833" s="19" t="n">
        <v>5731.88</v>
      </c>
      <c r="E3833" s="19" t="n">
        <v>37</v>
      </c>
      <c r="F3833" s="19" t="n">
        <v>1497.79</v>
      </c>
      <c r="G3833" s="8" t="n">
        <f aca="false">IFERROR(INDEX('TRANS'!$B:$B,MATCH($B3833,'TRANS'!$A:$A,0)),IFERROR(INDEX('TRANS'!$B:$B,MATCH(TRIM(SUBSTITUTE($B3833,CHAR(160)," ")),'TRANS'!$D:$D,0)),IFERROR(INDEX('Catalog'!$A:$A,MATCH($B3833,'Catalog'!$B:$B,0)),IFERROR(INDEX('Catalog'!$A:$A,MATCH(TRIM(SUBSTITUTE($B3833,CHAR(160)," ")),'Catalog'!$C:$C,0)),""))))</f>
        <v>4413524</v>
      </c>
      <c r="H3833" s="8" t="str">
        <f aca="false">IFERROR(INDEX('TRANS'!$C:$C,MATCH($B3833,'TRANS'!$A:$A,0)),IFERROR(INDEX('Catalog'!$B:$B,MATCH($G3833,'Catalog'!$A:$A,0)),$B3833))</f>
        <v>39-42 מדרסי אפיק ג'ל נוחות</v>
      </c>
      <c r="I3833" s="8" t="str">
        <f aca="false">IF($G3833="","Unmatched","Matched")</f>
        <v>Matched</v>
      </c>
    </row>
    <row r="3834" customFormat="false" ht="15" hidden="false" customHeight="false" outlineLevel="0" collapsed="false">
      <c r="A3834" s="8" t="s">
        <v>1080</v>
      </c>
      <c r="B3834" s="8" t="s">
        <v>481</v>
      </c>
      <c r="C3834" s="19" t="n">
        <v>101</v>
      </c>
      <c r="D3834" s="19" t="n">
        <v>4660.82</v>
      </c>
      <c r="E3834" s="19" t="n">
        <v>11</v>
      </c>
      <c r="F3834" s="19" t="n">
        <v>445.19</v>
      </c>
      <c r="G3834" s="8" t="n">
        <f aca="false">IFERROR(INDEX('TRANS'!$B:$B,MATCH($B3834,'TRANS'!$A:$A,0)),IFERROR(INDEX('TRANS'!$B:$B,MATCH(TRIM(SUBSTITUTE($B3834,CHAR(160)," ")),'TRANS'!$D:$D,0)),IFERROR(INDEX('Catalog'!$A:$A,MATCH($B3834,'Catalog'!$B:$B,0)),IFERROR(INDEX('Catalog'!$A:$A,MATCH(TRIM(SUBSTITUTE($B3834,CHAR(160)," ")),'Catalog'!$C:$C,0)),""))))</f>
        <v>4413525</v>
      </c>
      <c r="H3834" s="8" t="str">
        <f aca="false">IFERROR(INDEX('TRANS'!$C:$C,MATCH($B3834,'TRANS'!$A:$A,0)),IFERROR(INDEX('Catalog'!$B:$B,MATCH($G3834,'Catalog'!$A:$A,0)),$B3834))</f>
        <v>43-47 מדרסי אפיק ג'ל נוחות</v>
      </c>
      <c r="I3834" s="8" t="str">
        <f aca="false">IF($G3834="","Unmatched","Matched")</f>
        <v>Matched</v>
      </c>
    </row>
    <row r="3835" customFormat="false" ht="15" hidden="false" customHeight="false" outlineLevel="0" collapsed="false">
      <c r="A3835" s="8" t="s">
        <v>1080</v>
      </c>
      <c r="B3835" s="8" t="s">
        <v>483</v>
      </c>
      <c r="C3835" s="19" t="n">
        <v>1</v>
      </c>
      <c r="D3835" s="19" t="n">
        <v>0.04</v>
      </c>
      <c r="E3835" s="19" t="n">
        <v>0</v>
      </c>
      <c r="F3835" s="19" t="n">
        <v>0</v>
      </c>
      <c r="G3835" s="8" t="n">
        <f aca="false">IFERROR(INDEX('TRANS'!$B:$B,MATCH($B3835,'TRANS'!$A:$A,0)),IFERROR(INDEX('TRANS'!$B:$B,MATCH(TRIM(SUBSTITUTE($B3835,CHAR(160)," ")),'TRANS'!$D:$D,0)),IFERROR(INDEX('Catalog'!$A:$A,MATCH($B3835,'Catalog'!$B:$B,0)),IFERROR(INDEX('Catalog'!$A:$A,MATCH(TRIM(SUBSTITUTE($B3835,CHAR(160)," ")),'Catalog'!$C:$C,0)),""))))</f>
        <v>4413521</v>
      </c>
      <c r="H3835" s="8" t="str">
        <f aca="false">IFERROR(INDEX('TRANS'!$C:$C,MATCH($B3835,'TRANS'!$A:$A,0)),IFERROR(INDEX('Catalog'!$B:$B,MATCH($G3835,'Catalog'!$A:$A,0)),$B3835))</f>
        <v>מדרסי אפיק ג'ל מולטי ספור39-42</v>
      </c>
      <c r="I3835" s="8" t="str">
        <f aca="false">IF($G3835="","Unmatched","Matched")</f>
        <v>Matched</v>
      </c>
    </row>
    <row r="3836" customFormat="false" ht="15" hidden="false" customHeight="false" outlineLevel="0" collapsed="false">
      <c r="A3836" s="8" t="s">
        <v>1080</v>
      </c>
      <c r="B3836" s="8" t="s">
        <v>178</v>
      </c>
      <c r="C3836" s="19" t="n">
        <v>337</v>
      </c>
      <c r="D3836" s="19" t="n">
        <v>11873.87</v>
      </c>
      <c r="E3836" s="19" t="n">
        <v>239</v>
      </c>
      <c r="F3836" s="19" t="n">
        <v>7470.49</v>
      </c>
      <c r="G3836" s="8" t="n">
        <f aca="false">IFERROR(INDEX('TRANS'!$B:$B,MATCH($B3836,'TRANS'!$A:$A,0)),IFERROR(INDEX('TRANS'!$B:$B,MATCH(TRIM(SUBSTITUTE($B3836,CHAR(160)," ")),'TRANS'!$D:$D,0)),IFERROR(INDEX('Catalog'!$A:$A,MATCH($B3836,'Catalog'!$B:$B,0)),IFERROR(INDEX('Catalog'!$A:$A,MATCH(TRIM(SUBSTITUTE($B3836,CHAR(160)," ")),'Catalog'!$C:$C,0)),""))))</f>
        <v>4415298</v>
      </c>
      <c r="H3836" s="8" t="str">
        <f aca="false">IFERROR(INDEX('TRANS'!$C:$C,MATCH($B3836,'TRANS'!$A:$A,0)),IFERROR(INDEX('Catalog'!$B:$B,MATCH($G3836,'Catalog'!$A:$A,0)),$B3836))</f>
        <v>388B L סד לילה שחור לבוהן שמאל</v>
      </c>
      <c r="I3836" s="8" t="str">
        <f aca="false">IF($G3836="","Unmatched","Matched")</f>
        <v>Matched</v>
      </c>
    </row>
    <row r="3837" customFormat="false" ht="15" hidden="false" customHeight="false" outlineLevel="0" collapsed="false">
      <c r="A3837" s="8" t="s">
        <v>1080</v>
      </c>
      <c r="B3837" s="8" t="s">
        <v>179</v>
      </c>
      <c r="C3837" s="19" t="n">
        <v>336</v>
      </c>
      <c r="D3837" s="19" t="n">
        <v>11888.73</v>
      </c>
      <c r="E3837" s="19" t="n">
        <v>259</v>
      </c>
      <c r="F3837" s="19" t="n">
        <v>8116.07</v>
      </c>
      <c r="G3837" s="8" t="n">
        <f aca="false">IFERROR(INDEX('TRANS'!$B:$B,MATCH($B3837,'TRANS'!$A:$A,0)),IFERROR(INDEX('TRANS'!$B:$B,MATCH(TRIM(SUBSTITUTE($B3837,CHAR(160)," ")),'TRANS'!$D:$D,0)),IFERROR(INDEX('Catalog'!$A:$A,MATCH($B3837,'Catalog'!$B:$B,0)),IFERROR(INDEX('Catalog'!$A:$A,MATCH(TRIM(SUBSTITUTE($B3837,CHAR(160)," ")),'Catalog'!$C:$C,0)),""))))</f>
        <v>4415299</v>
      </c>
      <c r="H3837" s="8" t="str">
        <f aca="false">IFERROR(INDEX('TRANS'!$C:$C,MATCH($B3837,'TRANS'!$A:$A,0)),IFERROR(INDEX('Catalog'!$B:$B,MATCH($G3837,'Catalog'!$A:$A,0)),$B3837))</f>
        <v>388B L סד לילה שחור לבוהן ימין</v>
      </c>
      <c r="I3837" s="8" t="str">
        <f aca="false">IF($G3837="","Unmatched","Matched")</f>
        <v>Matched</v>
      </c>
    </row>
    <row r="3838" customFormat="false" ht="15" hidden="false" customHeight="false" outlineLevel="0" collapsed="false">
      <c r="A3838" s="8" t="s">
        <v>1080</v>
      </c>
      <c r="B3838" s="8" t="s">
        <v>488</v>
      </c>
      <c r="C3838" s="19" t="n">
        <v>1</v>
      </c>
      <c r="D3838" s="19" t="n">
        <v>0.04</v>
      </c>
      <c r="E3838" s="19" t="n">
        <v>0</v>
      </c>
      <c r="F3838" s="19" t="n">
        <v>0</v>
      </c>
      <c r="G3838" s="8" t="str">
        <f aca="false">IFERROR(INDEX('TRANS'!$B:$B,MATCH($B3838,'TRANS'!$A:$A,0)),IFERROR(INDEX('TRANS'!$B:$B,MATCH(TRIM(SUBSTITUTE($B3838,CHAR(160)," ")),'TRANS'!$D:$D,0)),IFERROR(INDEX('Catalog'!$A:$A,MATCH($B3838,'Catalog'!$B:$B,0)),IFERROR(INDEX('Catalog'!$A:$A,MATCH(TRIM(SUBSTITUTE($B3838,CHAR(160)," ")),'Catalog'!$C:$C,0)),""))))</f>
        <v/>
      </c>
      <c r="H3838" s="8" t="str">
        <f aca="false">IFERROR(INDEX('TRANS'!$C:$C,MATCH($B3838,'TRANS'!$A:$A,0)),IFERROR(INDEX('Catalog'!$B:$B,MATCH($G3838,'Catalog'!$A:$A,0)),$B3838))</f>
        <v>391W-35-38</v>
      </c>
      <c r="I3838" s="8" t="str">
        <f aca="false">IF($G3838="","Unmatched","Matched")</f>
        <v>Unmatched</v>
      </c>
    </row>
    <row r="3839" customFormat="false" ht="15" hidden="false" customHeight="false" outlineLevel="0" collapsed="false">
      <c r="A3839" s="8" t="s">
        <v>1080</v>
      </c>
      <c r="B3839" s="8" t="s">
        <v>196</v>
      </c>
      <c r="C3839" s="19" t="n">
        <v>1</v>
      </c>
      <c r="D3839" s="19" t="n">
        <v>0.04</v>
      </c>
      <c r="E3839" s="19" t="n">
        <v>0</v>
      </c>
      <c r="F3839" s="19" t="n">
        <v>0</v>
      </c>
      <c r="G3839" s="8" t="n">
        <f aca="false">IFERROR(INDEX('TRANS'!$B:$B,MATCH($B3839,'TRANS'!$A:$A,0)),IFERROR(INDEX('TRANS'!$B:$B,MATCH(TRIM(SUBSTITUTE($B3839,CHAR(160)," ")),'TRANS'!$D:$D,0)),IFERROR(INDEX('Catalog'!$A:$A,MATCH($B3839,'Catalog'!$B:$B,0)),IFERROR(INDEX('Catalog'!$A:$A,MATCH(TRIM(SUBSTITUTE($B3839,CHAR(160)," ")),'Catalog'!$C:$C,0)),""))))</f>
        <v>4403045</v>
      </c>
      <c r="H3839" s="8" t="str">
        <f aca="false">IFERROR(INDEX('TRANS'!$C:$C,MATCH($B3839,'TRANS'!$A:$A,0)),IFERROR(INDEX('Catalog'!$B:$B,MATCH($G3839,'Catalog'!$A:$A,0)),$B3839))</f>
        <v>395B גרבי קיץ אנטי בקטריא43-46</v>
      </c>
      <c r="I3839" s="8" t="str">
        <f aca="false">IF($G3839="","Unmatched","Matched")</f>
        <v>Matched</v>
      </c>
    </row>
    <row r="3840" customFormat="false" ht="15" hidden="false" customHeight="false" outlineLevel="0" collapsed="false">
      <c r="A3840" s="8" t="s">
        <v>1080</v>
      </c>
      <c r="B3840" s="8" t="s">
        <v>202</v>
      </c>
      <c r="C3840" s="19" t="n">
        <v>1</v>
      </c>
      <c r="D3840" s="19" t="n">
        <v>0.04</v>
      </c>
      <c r="E3840" s="19" t="n">
        <v>0</v>
      </c>
      <c r="F3840" s="19" t="n">
        <v>0</v>
      </c>
      <c r="G3840" s="8" t="n">
        <f aca="false">IFERROR(INDEX('TRANS'!$B:$B,MATCH($B3840,'TRANS'!$A:$A,0)),IFERROR(INDEX('TRANS'!$B:$B,MATCH(TRIM(SUBSTITUTE($B3840,CHAR(160)," ")),'TRANS'!$D:$D,0)),IFERROR(INDEX('Catalog'!$A:$A,MATCH($B3840,'Catalog'!$B:$B,0)),IFERROR(INDEX('Catalog'!$A:$A,MATCH(TRIM(SUBSTITUTE($B3840,CHAR(160)," ")),'Catalog'!$C:$C,0)),""))))</f>
        <v>4403043</v>
      </c>
      <c r="H3840" s="8" t="str">
        <f aca="false">IFERROR(INDEX('TRANS'!$C:$C,MATCH($B3840,'TRANS'!$A:$A,0)),IFERROR(INDEX('Catalog'!$B:$B,MATCH($G3840,'Catalog'!$A:$A,0)),$B3840))</f>
        <v>397A-גרבי טיסה אנטי בקטרי43-46</v>
      </c>
      <c r="I3840" s="8" t="str">
        <f aca="false">IF($G3840="","Unmatched","Matched")</f>
        <v>Matched</v>
      </c>
    </row>
    <row r="3841" customFormat="false" ht="15" hidden="false" customHeight="false" outlineLevel="0" collapsed="false">
      <c r="A3841" s="8" t="s">
        <v>1080</v>
      </c>
      <c r="B3841" s="8" t="s">
        <v>376</v>
      </c>
      <c r="C3841" s="19" t="n">
        <v>130</v>
      </c>
      <c r="D3841" s="19" t="n">
        <v>1341.97</v>
      </c>
      <c r="E3841" s="19" t="n">
        <v>29</v>
      </c>
      <c r="F3841" s="19" t="n">
        <v>294.18</v>
      </c>
      <c r="G3841" s="8" t="n">
        <f aca="false">IFERROR(INDEX('TRANS'!$B:$B,MATCH($B3841,'TRANS'!$A:$A,0)),IFERROR(INDEX('TRANS'!$B:$B,MATCH(TRIM(SUBSTITUTE($B3841,CHAR(160)," ")),'TRANS'!$D:$D,0)),IFERROR(INDEX('Catalog'!$A:$A,MATCH($B3841,'Catalog'!$B:$B,0)),IFERROR(INDEX('Catalog'!$A:$A,MATCH(TRIM(SUBSTITUTE($B3841,CHAR(160)," ")),'Catalog'!$C:$C,0)),""))))</f>
        <v>4413092</v>
      </c>
      <c r="H3841" s="8" t="str">
        <f aca="false">IFERROR(INDEX('TRANS'!$C:$C,MATCH($B3841,'TRANS'!$A:$A,0)),IFERROR(INDEX('Catalog'!$B:$B,MATCH($G3841,'Catalog'!$A:$A,0)),$B3841))</f>
        <v>45 L מגן ברך לבן</v>
      </c>
      <c r="I3841" s="8" t="str">
        <f aca="false">IF($G3841="","Unmatched","Matched")</f>
        <v>Matched</v>
      </c>
    </row>
    <row r="3842" customFormat="false" ht="15" hidden="false" customHeight="false" outlineLevel="0" collapsed="false">
      <c r="A3842" s="8" t="s">
        <v>1080</v>
      </c>
      <c r="B3842" s="8" t="s">
        <v>377</v>
      </c>
      <c r="C3842" s="19" t="n">
        <v>82</v>
      </c>
      <c r="D3842" s="19" t="n">
        <v>856.66</v>
      </c>
      <c r="E3842" s="19" t="n">
        <v>33</v>
      </c>
      <c r="F3842" s="19" t="n">
        <v>338.39</v>
      </c>
      <c r="G3842" s="8" t="n">
        <f aca="false">IFERROR(INDEX('TRANS'!$B:$B,MATCH($B3842,'TRANS'!$A:$A,0)),IFERROR(INDEX('TRANS'!$B:$B,MATCH(TRIM(SUBSTITUTE($B3842,CHAR(160)," ")),'TRANS'!$D:$D,0)),IFERROR(INDEX('Catalog'!$A:$A,MATCH($B3842,'Catalog'!$B:$B,0)),IFERROR(INDEX('Catalog'!$A:$A,MATCH(TRIM(SUBSTITUTE($B3842,CHAR(160)," ")),'Catalog'!$C:$C,0)),""))))</f>
        <v>4413093</v>
      </c>
      <c r="H3842" s="8" t="str">
        <f aca="false">IFERROR(INDEX('TRANS'!$C:$C,MATCH($B3842,'TRANS'!$A:$A,0)),IFERROR(INDEX('Catalog'!$B:$B,MATCH($G3842,'Catalog'!$A:$A,0)),$B3842))</f>
        <v>45 M מגן ברך לבן</v>
      </c>
      <c r="I3842" s="8" t="str">
        <f aca="false">IF($G3842="","Unmatched","Matched")</f>
        <v>Matched</v>
      </c>
    </row>
    <row r="3843" customFormat="false" ht="15" hidden="false" customHeight="false" outlineLevel="0" collapsed="false">
      <c r="A3843" s="8" t="s">
        <v>1080</v>
      </c>
      <c r="B3843" s="8" t="s">
        <v>206</v>
      </c>
      <c r="C3843" s="19" t="n">
        <v>26</v>
      </c>
      <c r="D3843" s="19" t="n">
        <v>269.78</v>
      </c>
      <c r="E3843" s="19" t="n">
        <v>36</v>
      </c>
      <c r="F3843" s="19" t="n">
        <v>370.51</v>
      </c>
      <c r="G3843" s="8" t="n">
        <f aca="false">IFERROR(INDEX('TRANS'!$B:$B,MATCH($B3843,'TRANS'!$A:$A,0)),IFERROR(INDEX('TRANS'!$B:$B,MATCH(TRIM(SUBSTITUTE($B3843,CHAR(160)," ")),'TRANS'!$D:$D,0)),IFERROR(INDEX('Catalog'!$A:$A,MATCH($B3843,'Catalog'!$B:$B,0)),IFERROR(INDEX('Catalog'!$A:$A,MATCH(TRIM(SUBSTITUTE($B3843,CHAR(160)," ")),'Catalog'!$C:$C,0)),""))))</f>
        <v>4413094</v>
      </c>
      <c r="H3843" s="8" t="str">
        <f aca="false">IFERROR(INDEX('TRANS'!$C:$C,MATCH($B3843,'TRANS'!$A:$A,0)),IFERROR(INDEX('Catalog'!$B:$B,MATCH($G3843,'Catalog'!$A:$A,0)),$B3843))</f>
        <v>45 S מגן ברך לבן</v>
      </c>
      <c r="I3843" s="8" t="str">
        <f aca="false">IF($G3843="","Unmatched","Matched")</f>
        <v>Matched</v>
      </c>
    </row>
    <row r="3844" customFormat="false" ht="15" hidden="false" customHeight="false" outlineLevel="0" collapsed="false">
      <c r="A3844" s="8" t="s">
        <v>1080</v>
      </c>
      <c r="B3844" s="8" t="s">
        <v>207</v>
      </c>
      <c r="C3844" s="19" t="n">
        <v>148</v>
      </c>
      <c r="D3844" s="19" t="n">
        <v>1528.86</v>
      </c>
      <c r="E3844" s="19" t="n">
        <v>59</v>
      </c>
      <c r="F3844" s="19" t="n">
        <v>610.1</v>
      </c>
      <c r="G3844" s="8" t="n">
        <f aca="false">IFERROR(INDEX('TRANS'!$B:$B,MATCH($B3844,'TRANS'!$A:$A,0)),IFERROR(INDEX('TRANS'!$B:$B,MATCH(TRIM(SUBSTITUTE($B3844,CHAR(160)," ")),'TRANS'!$D:$D,0)),IFERROR(INDEX('Catalog'!$A:$A,MATCH($B3844,'Catalog'!$B:$B,0)),IFERROR(INDEX('Catalog'!$A:$A,MATCH(TRIM(SUBSTITUTE($B3844,CHAR(160)," ")),'Catalog'!$C:$C,0)),""))))</f>
        <v>4413095</v>
      </c>
      <c r="H3844" s="8" t="str">
        <f aca="false">IFERROR(INDEX('TRANS'!$C:$C,MATCH($B3844,'TRANS'!$A:$A,0)),IFERROR(INDEX('Catalog'!$B:$B,MATCH($G3844,'Catalog'!$A:$A,0)),$B3844))</f>
        <v>45 XL מגן ברך לבן</v>
      </c>
      <c r="I3844" s="8" t="str">
        <f aca="false">IF($G3844="","Unmatched","Matched")</f>
        <v>Matched</v>
      </c>
    </row>
    <row r="3845" customFormat="false" ht="15" hidden="false" customHeight="false" outlineLevel="0" collapsed="false">
      <c r="A3845" s="8" t="s">
        <v>1080</v>
      </c>
      <c r="B3845" s="8" t="s">
        <v>792</v>
      </c>
      <c r="C3845" s="19" t="n">
        <v>0</v>
      </c>
      <c r="D3845" s="19" t="n">
        <v>0</v>
      </c>
      <c r="E3845" s="19" t="n">
        <v>6</v>
      </c>
      <c r="F3845" s="19" t="n">
        <v>62.44</v>
      </c>
      <c r="G3845" s="8" t="n">
        <f aca="false">IFERROR(INDEX('TRANS'!$B:$B,MATCH($B3845,'TRANS'!$A:$A,0)),IFERROR(INDEX('TRANS'!$B:$B,MATCH(TRIM(SUBSTITUTE($B3845,CHAR(160)," ")),'TRANS'!$D:$D,0)),IFERROR(INDEX('Catalog'!$A:$A,MATCH($B3845,'Catalog'!$B:$B,0)),IFERROR(INDEX('Catalog'!$A:$A,MATCH(TRIM(SUBSTITUTE($B3845,CHAR(160)," ")),'Catalog'!$C:$C,0)),""))))</f>
        <v>4413332</v>
      </c>
      <c r="H3845" s="8" t="str">
        <f aca="false">IFERROR(INDEX('TRANS'!$C:$C,MATCH($B3845,'TRANS'!$A:$A,0)),IFERROR(INDEX('Catalog'!$B:$B,MATCH($G3845,'Catalog'!$A:$A,0)),$B3845))</f>
        <v>45  XS מגן ברך רגיל לבן</v>
      </c>
      <c r="I3845" s="8" t="str">
        <f aca="false">IF($G3845="","Unmatched","Matched")</f>
        <v>Matched</v>
      </c>
    </row>
    <row r="3846" customFormat="false" ht="15" hidden="false" customHeight="false" outlineLevel="0" collapsed="false">
      <c r="A3846" s="8" t="s">
        <v>1080</v>
      </c>
      <c r="B3846" s="8" t="s">
        <v>378</v>
      </c>
      <c r="C3846" s="19" t="n">
        <v>145</v>
      </c>
      <c r="D3846" s="19" t="n">
        <v>1506.46</v>
      </c>
      <c r="E3846" s="19" t="n">
        <v>36</v>
      </c>
      <c r="F3846" s="19" t="n">
        <v>369.87</v>
      </c>
      <c r="G3846" s="8" t="n">
        <f aca="false">IFERROR(INDEX('TRANS'!$B:$B,MATCH($B3846,'TRANS'!$A:$A,0)),IFERROR(INDEX('TRANS'!$B:$B,MATCH(TRIM(SUBSTITUTE($B3846,CHAR(160)," ")),'TRANS'!$D:$D,0)),IFERROR(INDEX('Catalog'!$A:$A,MATCH($B3846,'Catalog'!$B:$B,0)),IFERROR(INDEX('Catalog'!$A:$A,MATCH(TRIM(SUBSTITUTE($B3846,CHAR(160)," ")),'Catalog'!$C:$C,0)),""))))</f>
        <v>4413096</v>
      </c>
      <c r="H3846" s="8" t="str">
        <f aca="false">IFERROR(INDEX('TRANS'!$C:$C,MATCH($B3846,'TRANS'!$A:$A,0)),IFERROR(INDEX('Catalog'!$B:$B,MATCH($G3846,'Catalog'!$A:$A,0)),$B3846))</f>
        <v>45 XXL מגן ברך לבן</v>
      </c>
      <c r="I3846" s="8" t="str">
        <f aca="false">IF($G3846="","Unmatched","Matched")</f>
        <v>Matched</v>
      </c>
    </row>
    <row r="3847" customFormat="false" ht="15" hidden="false" customHeight="false" outlineLevel="0" collapsed="false">
      <c r="A3847" s="8" t="s">
        <v>1080</v>
      </c>
      <c r="B3847" s="8" t="s">
        <v>502</v>
      </c>
      <c r="C3847" s="19" t="n">
        <v>1</v>
      </c>
      <c r="D3847" s="19" t="n">
        <v>0.04</v>
      </c>
      <c r="E3847" s="19" t="n">
        <v>0</v>
      </c>
      <c r="F3847" s="19" t="n">
        <v>0</v>
      </c>
      <c r="G3847" s="8" t="n">
        <f aca="false">IFERROR(INDEX('TRANS'!$B:$B,MATCH($B3847,'TRANS'!$A:$A,0)),IFERROR(INDEX('TRANS'!$B:$B,MATCH(TRIM(SUBSTITUTE($B3847,CHAR(160)," ")),'TRANS'!$D:$D,0)),IFERROR(INDEX('Catalog'!$A:$A,MATCH($B3847,'Catalog'!$B:$B,0)),IFERROR(INDEX('Catalog'!$A:$A,MATCH(TRIM(SUBSTITUTE($B3847,CHAR(160)," ")),'Catalog'!$C:$C,0)),""))))</f>
        <v>4408271</v>
      </c>
      <c r="H3847" s="8" t="str">
        <f aca="false">IFERROR(INDEX('TRANS'!$C:$C,MATCH($B3847,'TRANS'!$A:$A,0)),IFERROR(INDEX('Catalog'!$B:$B,MATCH($G3847,'Catalog'!$A:$A,0)),$B3847))</f>
        <v>70N XS חגורת פאבליק</v>
      </c>
      <c r="I3847" s="8" t="str">
        <f aca="false">IF($G3847="","Unmatched","Matched")</f>
        <v>Matched</v>
      </c>
    </row>
    <row r="3848" customFormat="false" ht="15" hidden="false" customHeight="false" outlineLevel="0" collapsed="false">
      <c r="A3848" s="8" t="s">
        <v>1080</v>
      </c>
      <c r="B3848" s="8" t="s">
        <v>238</v>
      </c>
      <c r="C3848" s="19" t="n">
        <v>40</v>
      </c>
      <c r="D3848" s="19" t="n">
        <v>389.19</v>
      </c>
      <c r="E3848" s="19" t="n">
        <v>55</v>
      </c>
      <c r="F3848" s="19" t="n">
        <v>532.29</v>
      </c>
      <c r="G3848" s="8" t="n">
        <f aca="false">IFERROR(INDEX('TRANS'!$B:$B,MATCH($B3848,'TRANS'!$A:$A,0)),IFERROR(INDEX('TRANS'!$B:$B,MATCH(TRIM(SUBSTITUTE($B3848,CHAR(160)," ")),'TRANS'!$D:$D,0)),IFERROR(INDEX('Catalog'!$A:$A,MATCH($B3848,'Catalog'!$B:$B,0)),IFERROR(INDEX('Catalog'!$A:$A,MATCH(TRIM(SUBSTITUTE($B3848,CHAR(160)," ")),'Catalog'!$C:$C,0)),""))))</f>
        <v>4422000</v>
      </c>
      <c r="H3848" s="8" t="str">
        <f aca="false">IFERROR(INDEX('TRANS'!$C:$C,MATCH($B3848,'TRANS'!$A:$A,0)),IFERROR(INDEX('Catalog'!$B:$B,MATCH($G3848,'Catalog'!$A:$A,0)),$B3848))</f>
        <v>801  תחבושת אלסטית מקררת</v>
      </c>
      <c r="I3848" s="8" t="str">
        <f aca="false">IF($G3848="","Unmatched","Matched")</f>
        <v>Matched</v>
      </c>
    </row>
    <row r="3849" customFormat="false" ht="15" hidden="false" customHeight="false" outlineLevel="0" collapsed="false">
      <c r="A3849" s="8" t="s">
        <v>1080</v>
      </c>
      <c r="B3849" s="8" t="s">
        <v>247</v>
      </c>
      <c r="C3849" s="19" t="n">
        <v>120</v>
      </c>
      <c r="D3849" s="19" t="n">
        <v>1473.88</v>
      </c>
      <c r="E3849" s="19" t="n">
        <v>72</v>
      </c>
      <c r="F3849" s="19" t="n">
        <v>886.11</v>
      </c>
      <c r="G3849" s="8" t="n">
        <f aca="false">IFERROR(INDEX('TRANS'!$B:$B,MATCH($B3849,'TRANS'!$A:$A,0)),IFERROR(INDEX('TRANS'!$B:$B,MATCH(TRIM(SUBSTITUTE($B3849,CHAR(160)," ")),'TRANS'!$D:$D,0)),IFERROR(INDEX('Catalog'!$A:$A,MATCH($B3849,'Catalog'!$B:$B,0)),IFERROR(INDEX('Catalog'!$A:$A,MATCH(TRIM(SUBSTITUTE($B3849,CHAR(160)," ")),'Catalog'!$C:$C,0)),""))))</f>
        <v>4409017</v>
      </c>
      <c r="H3849" s="8" t="str">
        <f aca="false">IFERROR(INDEX('TRANS'!$C:$C,MATCH($B3849,'TRANS'!$A:$A,0)),IFERROR(INDEX('Catalog'!$B:$B,MATCH($G3849,'Catalog'!$A:$A,0)),$B3849))</f>
        <v>808KT-B        טייפ קינזיולוגי</v>
      </c>
      <c r="I3849" s="8" t="str">
        <f aca="false">IF($G3849="","Unmatched","Matched")</f>
        <v>Matched</v>
      </c>
    </row>
    <row r="3850" customFormat="false" ht="15" hidden="false" customHeight="false" outlineLevel="0" collapsed="false">
      <c r="A3850" s="8" t="s">
        <v>1080</v>
      </c>
      <c r="B3850" s="8" t="s">
        <v>506</v>
      </c>
      <c r="C3850" s="19" t="n">
        <v>84</v>
      </c>
      <c r="D3850" s="19" t="n">
        <v>1050.43</v>
      </c>
      <c r="E3850" s="19" t="n">
        <v>72</v>
      </c>
      <c r="F3850" s="19" t="n">
        <v>896.35</v>
      </c>
      <c r="G3850" s="8" t="n">
        <f aca="false">IFERROR(INDEX('TRANS'!$B:$B,MATCH($B3850,'TRANS'!$A:$A,0)),IFERROR(INDEX('TRANS'!$B:$B,MATCH(TRIM(SUBSTITUTE($B3850,CHAR(160)," ")),'TRANS'!$D:$D,0)),IFERROR(INDEX('Catalog'!$A:$A,MATCH($B3850,'Catalog'!$B:$B,0)),IFERROR(INDEX('Catalog'!$A:$A,MATCH(TRIM(SUBSTITUTE($B3850,CHAR(160)," ")),'Catalog'!$C:$C,0)),""))))</f>
        <v>4409015</v>
      </c>
      <c r="H3850" s="8" t="str">
        <f aca="false">IFERROR(INDEX('TRANS'!$C:$C,MATCH($B3850,'TRANS'!$A:$A,0)),IFERROR(INDEX('Catalog'!$B:$B,MATCH($G3850,'Catalog'!$A:$A,0)),$B3850))</f>
        <v>808KT-BL       טייפ קינזיולוגי</v>
      </c>
      <c r="I3850" s="8" t="str">
        <f aca="false">IF($G3850="","Unmatched","Matched")</f>
        <v>Matched</v>
      </c>
    </row>
    <row r="3851" customFormat="false" ht="15" hidden="false" customHeight="false" outlineLevel="0" collapsed="false">
      <c r="A3851" s="8" t="s">
        <v>1080</v>
      </c>
      <c r="B3851" s="8" t="s">
        <v>248</v>
      </c>
      <c r="C3851" s="19" t="n">
        <v>132</v>
      </c>
      <c r="D3851" s="19" t="n">
        <v>1652.51</v>
      </c>
      <c r="E3851" s="19" t="n">
        <v>111</v>
      </c>
      <c r="F3851" s="19" t="n">
        <v>1379.88</v>
      </c>
      <c r="G3851" s="8" t="n">
        <f aca="false">IFERROR(INDEX('TRANS'!$B:$B,MATCH($B3851,'TRANS'!$A:$A,0)),IFERROR(INDEX('TRANS'!$B:$B,MATCH(TRIM(SUBSTITUTE($B3851,CHAR(160)," ")),'TRANS'!$D:$D,0)),IFERROR(INDEX('Catalog'!$A:$A,MATCH($B3851,'Catalog'!$B:$B,0)),IFERROR(INDEX('Catalog'!$A:$A,MATCH(TRIM(SUBSTITUTE($B3851,CHAR(160)," ")),'Catalog'!$C:$C,0)),""))))</f>
        <v>4409016</v>
      </c>
      <c r="H3851" s="8" t="str">
        <f aca="false">IFERROR(INDEX('TRANS'!$C:$C,MATCH($B3851,'TRANS'!$A:$A,0)),IFERROR(INDEX('Catalog'!$B:$B,MATCH($G3851,'Catalog'!$A:$A,0)),$B3851))</f>
        <v>808KT-C        טייפ קינזיולוגי</v>
      </c>
      <c r="I3851" s="8" t="str">
        <f aca="false">IF($G3851="","Unmatched","Matched")</f>
        <v>Matched</v>
      </c>
    </row>
    <row r="3852" customFormat="false" ht="15" hidden="false" customHeight="false" outlineLevel="0" collapsed="false">
      <c r="A3852" s="8" t="s">
        <v>1080</v>
      </c>
      <c r="B3852" s="8" t="s">
        <v>507</v>
      </c>
      <c r="C3852" s="19" t="n">
        <v>96</v>
      </c>
      <c r="D3852" s="19" t="n">
        <v>1190.84</v>
      </c>
      <c r="E3852" s="19" t="n">
        <v>48</v>
      </c>
      <c r="F3852" s="19" t="n">
        <v>588.26</v>
      </c>
      <c r="G3852" s="8" t="n">
        <f aca="false">IFERROR(INDEX('TRANS'!$B:$B,MATCH($B3852,'TRANS'!$A:$A,0)),IFERROR(INDEX('TRANS'!$B:$B,MATCH(TRIM(SUBSTITUTE($B3852,CHAR(160)," ")),'TRANS'!$D:$D,0)),IFERROR(INDEX('Catalog'!$A:$A,MATCH($B3852,'Catalog'!$B:$B,0)),IFERROR(INDEX('Catalog'!$A:$A,MATCH(TRIM(SUBSTITUTE($B3852,CHAR(160)," ")),'Catalog'!$C:$C,0)),""))))</f>
        <v>4409014</v>
      </c>
      <c r="H3852" s="8" t="str">
        <f aca="false">IFERROR(INDEX('TRANS'!$C:$C,MATCH($B3852,'TRANS'!$A:$A,0)),IFERROR(INDEX('Catalog'!$B:$B,MATCH($G3852,'Catalog'!$A:$A,0)),$B3852))</f>
        <v>808KT-P        טייפ קינזיולוגי</v>
      </c>
      <c r="I3852" s="8" t="str">
        <f aca="false">IF($G3852="","Unmatched","Matched")</f>
        <v>Matched</v>
      </c>
    </row>
    <row r="3853" customFormat="false" ht="15" hidden="false" customHeight="false" outlineLevel="0" collapsed="false">
      <c r="A3853" s="8" t="s">
        <v>1080</v>
      </c>
      <c r="B3853" s="8" t="s">
        <v>427</v>
      </c>
      <c r="C3853" s="19" t="n">
        <v>40</v>
      </c>
      <c r="D3853" s="19" t="n">
        <v>417.89</v>
      </c>
      <c r="E3853" s="19" t="n">
        <v>27</v>
      </c>
      <c r="F3853" s="19" t="n">
        <v>279.78</v>
      </c>
      <c r="G3853" s="8" t="n">
        <f aca="false">IFERROR(INDEX('TRANS'!$B:$B,MATCH($B3853,'TRANS'!$A:$A,0)),IFERROR(INDEX('TRANS'!$B:$B,MATCH(TRIM(SUBSTITUTE($B3853,CHAR(160)," ")),'TRANS'!$D:$D,0)),IFERROR(INDEX('Catalog'!$A:$A,MATCH($B3853,'Catalog'!$B:$B,0)),IFERROR(INDEX('Catalog'!$A:$A,MATCH(TRIM(SUBSTITUTE($B3853,CHAR(160)," ")),'Catalog'!$C:$C,0)),""))))</f>
        <v>4413139</v>
      </c>
      <c r="H3853" s="8" t="str">
        <f aca="false">IFERROR(INDEX('TRANS'!$C:$C,MATCH($B3853,'TRANS'!$A:$A,0)),IFERROR(INDEX('Catalog'!$B:$B,MATCH($G3853,'Catalog'!$A:$A,0)),$B3853))</f>
        <v>95 L מגן מרפק רגיל לבן</v>
      </c>
      <c r="I3853" s="8" t="str">
        <f aca="false">IF($G3853="","Unmatched","Matched")</f>
        <v>Matched</v>
      </c>
    </row>
    <row r="3854" customFormat="false" ht="15" hidden="false" customHeight="false" outlineLevel="0" collapsed="false">
      <c r="A3854" s="8" t="s">
        <v>1080</v>
      </c>
      <c r="B3854" s="8" t="s">
        <v>260</v>
      </c>
      <c r="C3854" s="19" t="n">
        <v>65</v>
      </c>
      <c r="D3854" s="19" t="n">
        <v>667.38</v>
      </c>
      <c r="E3854" s="19" t="n">
        <v>35</v>
      </c>
      <c r="F3854" s="19" t="n">
        <v>354.62</v>
      </c>
      <c r="G3854" s="8" t="n">
        <f aca="false">IFERROR(INDEX('TRANS'!$B:$B,MATCH($B3854,'TRANS'!$A:$A,0)),IFERROR(INDEX('TRANS'!$B:$B,MATCH(TRIM(SUBSTITUTE($B3854,CHAR(160)," ")),'TRANS'!$D:$D,0)),IFERROR(INDEX('Catalog'!$A:$A,MATCH($B3854,'Catalog'!$B:$B,0)),IFERROR(INDEX('Catalog'!$A:$A,MATCH(TRIM(SUBSTITUTE($B3854,CHAR(160)," ")),'Catalog'!$C:$C,0)),""))))</f>
        <v>4413140</v>
      </c>
      <c r="H3854" s="8" t="str">
        <f aca="false">IFERROR(INDEX('TRANS'!$C:$C,MATCH($B3854,'TRANS'!$A:$A,0)),IFERROR(INDEX('Catalog'!$B:$B,MATCH($G3854,'Catalog'!$A:$A,0)),$B3854))</f>
        <v>95 M מגן מרפק רגיל לבן</v>
      </c>
      <c r="I3854" s="8" t="str">
        <f aca="false">IF($G3854="","Unmatched","Matched")</f>
        <v>Matched</v>
      </c>
    </row>
    <row r="3855" customFormat="false" ht="15" hidden="false" customHeight="false" outlineLevel="0" collapsed="false">
      <c r="A3855" s="8" t="s">
        <v>1080</v>
      </c>
      <c r="B3855" s="8" t="s">
        <v>428</v>
      </c>
      <c r="C3855" s="19" t="n">
        <v>59</v>
      </c>
      <c r="D3855" s="19" t="n">
        <v>613.19</v>
      </c>
      <c r="E3855" s="19" t="n">
        <v>37</v>
      </c>
      <c r="F3855" s="19" t="n">
        <v>378.12</v>
      </c>
      <c r="G3855" s="8" t="n">
        <f aca="false">IFERROR(INDEX('TRANS'!$B:$B,MATCH($B3855,'TRANS'!$A:$A,0)),IFERROR(INDEX('TRANS'!$B:$B,MATCH(TRIM(SUBSTITUTE($B3855,CHAR(160)," ")),'TRANS'!$D:$D,0)),IFERROR(INDEX('Catalog'!$A:$A,MATCH($B3855,'Catalog'!$B:$B,0)),IFERROR(INDEX('Catalog'!$A:$A,MATCH(TRIM(SUBSTITUTE($B3855,CHAR(160)," ")),'Catalog'!$C:$C,0)),""))))</f>
        <v>4413141</v>
      </c>
      <c r="H3855" s="8" t="str">
        <f aca="false">IFERROR(INDEX('TRANS'!$C:$C,MATCH($B3855,'TRANS'!$A:$A,0)),IFERROR(INDEX('Catalog'!$B:$B,MATCH($G3855,'Catalog'!$A:$A,0)),$B3855))</f>
        <v>95 S מגן מרפק רגיל לבן</v>
      </c>
      <c r="I3855" s="8" t="str">
        <f aca="false">IF($G3855="","Unmatched","Matched")</f>
        <v>Matched</v>
      </c>
    </row>
    <row r="3856" customFormat="false" ht="15" hidden="false" customHeight="false" outlineLevel="0" collapsed="false">
      <c r="A3856" s="8" t="s">
        <v>1080</v>
      </c>
      <c r="B3856" s="8" t="s">
        <v>429</v>
      </c>
      <c r="C3856" s="19" t="n">
        <v>22</v>
      </c>
      <c r="D3856" s="19" t="n">
        <v>226.6</v>
      </c>
      <c r="E3856" s="19" t="n">
        <v>17</v>
      </c>
      <c r="F3856" s="19" t="n">
        <v>173.34</v>
      </c>
      <c r="G3856" s="8" t="n">
        <f aca="false">IFERROR(INDEX('TRANS'!$B:$B,MATCH($B3856,'TRANS'!$A:$A,0)),IFERROR(INDEX('TRANS'!$B:$B,MATCH(TRIM(SUBSTITUTE($B3856,CHAR(160)," ")),'TRANS'!$D:$D,0)),IFERROR(INDEX('Catalog'!$A:$A,MATCH($B3856,'Catalog'!$B:$B,0)),IFERROR(INDEX('Catalog'!$A:$A,MATCH(TRIM(SUBSTITUTE($B3856,CHAR(160)," ")),'Catalog'!$C:$C,0)),""))))</f>
        <v>4413142</v>
      </c>
      <c r="H3856" s="8" t="str">
        <f aca="false">IFERROR(INDEX('TRANS'!$C:$C,MATCH($B3856,'TRANS'!$A:$A,0)),IFERROR(INDEX('Catalog'!$B:$B,MATCH($G3856,'Catalog'!$A:$A,0)),$B3856))</f>
        <v>95 XL מגן מרפק רגיל לבן</v>
      </c>
      <c r="I3856" s="8" t="str">
        <f aca="false">IF($G3856="","Unmatched","Matched")</f>
        <v>Matched</v>
      </c>
    </row>
    <row r="3857" customFormat="false" ht="15" hidden="false" customHeight="false" outlineLevel="0" collapsed="false">
      <c r="A3857" s="8" t="s">
        <v>1080</v>
      </c>
      <c r="B3857" s="8" t="s">
        <v>631</v>
      </c>
      <c r="C3857" s="19" t="n">
        <v>20</v>
      </c>
      <c r="D3857" s="19" t="n">
        <v>205.48</v>
      </c>
      <c r="E3857" s="19" t="n">
        <v>0</v>
      </c>
      <c r="F3857" s="19" t="n">
        <v>0</v>
      </c>
      <c r="G3857" s="8" t="n">
        <f aca="false">IFERROR(INDEX('TRANS'!$B:$B,MATCH($B3857,'TRANS'!$A:$A,0)),IFERROR(INDEX('TRANS'!$B:$B,MATCH(TRIM(SUBSTITUTE($B3857,CHAR(160)," ")),'TRANS'!$D:$D,0)),IFERROR(INDEX('Catalog'!$A:$A,MATCH($B3857,'Catalog'!$B:$B,0)),IFERROR(INDEX('Catalog'!$A:$A,MATCH(TRIM(SUBSTITUTE($B3857,CHAR(160)," ")),'Catalog'!$C:$C,0)),""))))</f>
        <v>4413143</v>
      </c>
      <c r="H3857" s="8" t="str">
        <f aca="false">IFERROR(INDEX('TRANS'!$C:$C,MATCH($B3857,'TRANS'!$A:$A,0)),IFERROR(INDEX('Catalog'!$B:$B,MATCH($G3857,'Catalog'!$A:$A,0)),$B3857))</f>
        <v>95 XS מגן מרפק רגיל לבן</v>
      </c>
      <c r="I3857" s="8" t="str">
        <f aca="false">IF($G3857="","Unmatched","Matched")</f>
        <v>Matched</v>
      </c>
    </row>
    <row r="3858" customFormat="false" ht="15" hidden="false" customHeight="false" outlineLevel="0" collapsed="false">
      <c r="A3858" s="8" t="s">
        <v>1080</v>
      </c>
      <c r="B3858" s="8" t="s">
        <v>797</v>
      </c>
      <c r="C3858" s="19" t="n">
        <v>12</v>
      </c>
      <c r="D3858" s="19" t="n">
        <v>123.47</v>
      </c>
      <c r="E3858" s="19" t="n">
        <v>4</v>
      </c>
      <c r="F3858" s="19" t="n">
        <v>41.9</v>
      </c>
      <c r="G3858" s="8" t="n">
        <f aca="false">IFERROR(INDEX('TRANS'!$B:$B,MATCH($B3858,'TRANS'!$A:$A,0)),IFERROR(INDEX('TRANS'!$B:$B,MATCH(TRIM(SUBSTITUTE($B3858,CHAR(160)," ")),'TRANS'!$D:$D,0)),IFERROR(INDEX('Catalog'!$A:$A,MATCH($B3858,'Catalog'!$B:$B,0)),IFERROR(INDEX('Catalog'!$A:$A,MATCH(TRIM(SUBSTITUTE($B3858,CHAR(160)," ")),'Catalog'!$C:$C,0)),""))))</f>
        <v>4413144</v>
      </c>
      <c r="H3858" s="8" t="str">
        <f aca="false">IFERROR(INDEX('TRANS'!$C:$C,MATCH($B3858,'TRANS'!$A:$A,0)),IFERROR(INDEX('Catalog'!$B:$B,MATCH($G3858,'Catalog'!$A:$A,0)),$B3858))</f>
        <v>95 XXL מגן מרפק רגיל לבן</v>
      </c>
      <c r="I3858" s="8" t="str">
        <f aca="false">IF($G3858="","Unmatched","Matched")</f>
        <v>Matched</v>
      </c>
    </row>
    <row r="3859" customFormat="false" ht="15" hidden="false" customHeight="false" outlineLevel="0" collapsed="false">
      <c r="A3859" s="8" t="s">
        <v>1080</v>
      </c>
      <c r="B3859" s="8" t="s">
        <v>54</v>
      </c>
      <c r="C3859" s="19" t="n">
        <v>148</v>
      </c>
      <c r="D3859" s="19" t="n">
        <v>4740.72</v>
      </c>
      <c r="E3859" s="19" t="n">
        <v>89</v>
      </c>
      <c r="F3859" s="19" t="n">
        <v>2850.39</v>
      </c>
      <c r="G3859" s="8" t="n">
        <f aca="false">IFERROR(INDEX('TRANS'!$B:$B,MATCH($B3859,'TRANS'!$A:$A,0)),IFERROR(INDEX('TRANS'!$B:$B,MATCH(TRIM(SUBSTITUTE($B3859,CHAR(160)," ")),'TRANS'!$D:$D,0)),IFERROR(INDEX('Catalog'!$A:$A,MATCH($B3859,'Catalog'!$B:$B,0)),IFERROR(INDEX('Catalog'!$A:$A,MATCH(TRIM(SUBSTITUTE($B3859,CHAR(160)," ")),'Catalog'!$C:$C,0)),""))))</f>
        <v>4413453</v>
      </c>
      <c r="H3859" s="8" t="str">
        <f aca="false">IFERROR(INDEX('TRANS'!$C:$C,MATCH($B3859,'TRANS'!$A:$A,0)),IFERROR(INDEX('Catalog'!$B:$B,MATCH($G3859,'Catalog'!$A:$A,0)),$B3859))</f>
        <v>AC75 מישר כתפיים אקטיב</v>
      </c>
      <c r="I3859" s="8" t="str">
        <f aca="false">IF($G3859="","Unmatched","Matched")</f>
        <v>Matched</v>
      </c>
    </row>
    <row r="3860" customFormat="false" ht="15" hidden="false" customHeight="false" outlineLevel="0" collapsed="false">
      <c r="A3860" s="8" t="s">
        <v>1080</v>
      </c>
      <c r="B3860" s="8" t="s">
        <v>284</v>
      </c>
      <c r="C3860" s="19" t="n">
        <v>98</v>
      </c>
      <c r="D3860" s="19" t="n">
        <v>1072.66</v>
      </c>
      <c r="E3860" s="19" t="n">
        <v>48</v>
      </c>
      <c r="F3860" s="19" t="n">
        <v>513.87</v>
      </c>
      <c r="G3860" s="8" t="n">
        <f aca="false">IFERROR(INDEX('TRANS'!$B:$B,MATCH($B3860,'TRANS'!$A:$A,0)),IFERROR(INDEX('TRANS'!$B:$B,MATCH(TRIM(SUBSTITUTE($B3860,CHAR(160)," ")),'TRANS'!$D:$D,0)),IFERROR(INDEX('Catalog'!$A:$A,MATCH($B3860,'Catalog'!$B:$B,0)),IFERROR(INDEX('Catalog'!$A:$A,MATCH(TRIM(SUBSTITUTE($B3860,CHAR(160)," ")),'Catalog'!$C:$C,0)),""))))</f>
        <v>4413056</v>
      </c>
      <c r="H3860" s="8" t="str">
        <f aca="false">IFERROR(INDEX('TRANS'!$C:$C,MATCH($B3860,'TRANS'!$A:$A,0)),IFERROR(INDEX('Catalog'!$B:$B,MATCH($G3860,'Catalog'!$A:$A,0)),$B3860))</f>
        <v>LF360 מדרס מטטרזלי לנעלי עקב</v>
      </c>
      <c r="I3860" s="8" t="str">
        <f aca="false">IF($G3860="","Unmatched","Matched")</f>
        <v>Matched</v>
      </c>
    </row>
    <row r="3861" customFormat="false" ht="15" hidden="false" customHeight="false" outlineLevel="0" collapsed="false">
      <c r="A3861" s="8" t="s">
        <v>1080</v>
      </c>
      <c r="B3861" s="8" t="s">
        <v>524</v>
      </c>
      <c r="C3861" s="19" t="n">
        <v>1</v>
      </c>
      <c r="D3861" s="19" t="n">
        <v>0.04</v>
      </c>
      <c r="E3861" s="19" t="n">
        <v>0</v>
      </c>
      <c r="F3861" s="19" t="n">
        <v>0</v>
      </c>
      <c r="G3861" s="8" t="n">
        <f aca="false">IFERROR(INDEX('TRANS'!$B:$B,MATCH($B3861,'TRANS'!$A:$A,0)),IFERROR(INDEX('TRANS'!$B:$B,MATCH(TRIM(SUBSTITUTE($B3861,CHAR(160)," ")),'TRANS'!$D:$D,0)),IFERROR(INDEX('Catalog'!$A:$A,MATCH($B3861,'Catalog'!$B:$B,0)),IFERROR(INDEX('Catalog'!$A:$A,MATCH(TRIM(SUBSTITUTE($B3861,CHAR(160)," ")),'Catalog'!$C:$C,0)),""))))</f>
        <v>4422040</v>
      </c>
      <c r="H3861" s="8" t="str">
        <f aca="false">IFERROR(INDEX('TRANS'!$C:$C,MATCH($B3861,'TRANS'!$A:$A,0)),IFERROR(INDEX('Catalog'!$B:$B,MATCH($G3861,'Catalog'!$A:$A,0)),$B3861))</f>
        <v>SH422 4 תומך ברך גנושילד</v>
      </c>
      <c r="I3861" s="8" t="str">
        <f aca="false">IF($G3861="","Unmatched","Matched")</f>
        <v>Matched</v>
      </c>
    </row>
    <row r="3862" customFormat="false" ht="15" hidden="false" customHeight="false" outlineLevel="0" collapsed="false">
      <c r="A3862" s="8" t="s">
        <v>1080</v>
      </c>
      <c r="B3862" s="8" t="s">
        <v>535</v>
      </c>
      <c r="C3862" s="19" t="n">
        <v>10</v>
      </c>
      <c r="D3862" s="19" t="n">
        <v>162.83</v>
      </c>
      <c r="E3862" s="19" t="n">
        <v>0</v>
      </c>
      <c r="F3862" s="19" t="n">
        <v>0</v>
      </c>
      <c r="G3862" s="8" t="n">
        <f aca="false">IFERROR(INDEX('TRANS'!$B:$B,MATCH($B3862,'TRANS'!$A:$A,0)),IFERROR(INDEX('TRANS'!$B:$B,MATCH(TRIM(SUBSTITUTE($B3862,CHAR(160)," ")),'TRANS'!$D:$D,0)),IFERROR(INDEX('Catalog'!$A:$A,MATCH($B3862,'Catalog'!$B:$B,0)),IFERROR(INDEX('Catalog'!$A:$A,MATCH(TRIM(SUBSTITUTE($B3862,CHAR(160)," ")),'Catalog'!$C:$C,0)),""))))</f>
        <v>4408269</v>
      </c>
      <c r="H3862" s="8" t="str">
        <f aca="false">IFERROR(INDEX('TRANS'!$C:$C,MATCH($B3862,'TRANS'!$A:$A,0)),IFERROR(INDEX('Catalog'!$B:$B,MATCH($G3862,'Catalog'!$A:$A,0)),$B3862))</f>
        <v>ST37 חבק לקרסול</v>
      </c>
      <c r="I3862" s="8" t="str">
        <f aca="false">IF($G3862="","Unmatched","Matched")</f>
        <v>Matched</v>
      </c>
    </row>
    <row r="3863" customFormat="false" ht="15" hidden="false" customHeight="false" outlineLevel="0" collapsed="false">
      <c r="A3863" s="8" t="s">
        <v>1081</v>
      </c>
      <c r="B3863" s="8" t="s">
        <v>335</v>
      </c>
      <c r="C3863" s="19" t="n">
        <v>0</v>
      </c>
      <c r="D3863" s="19" t="n">
        <v>0</v>
      </c>
      <c r="E3863" s="19" t="n">
        <v>10</v>
      </c>
      <c r="F3863" s="19" t="n">
        <v>439.07</v>
      </c>
      <c r="G3863" s="8" t="n">
        <f aca="false">IFERROR(INDEX('TRANS'!$B:$B,MATCH($B3863,'TRANS'!$A:$A,0)),IFERROR(INDEX('TRANS'!$B:$B,MATCH(TRIM(SUBSTITUTE($B3863,CHAR(160)," ")),'TRANS'!$D:$D,0)),IFERROR(INDEX('Catalog'!$A:$A,MATCH($B3863,'Catalog'!$B:$B,0)),IFERROR(INDEX('Catalog'!$A:$A,MATCH(TRIM(SUBSTITUTE($B3863,CHAR(160)," ")),'Catalog'!$C:$C,0)),""))))</f>
        <v>4408221</v>
      </c>
      <c r="H3863" s="8" t="str">
        <f aca="false">IFERROR(INDEX('TRANS'!$C:$C,MATCH($B3863,'TRANS'!$A:$A,0)),IFERROR(INDEX('Catalog'!$B:$B,MATCH($G3863,'Catalog'!$A:$A,0)),$B3863))</f>
        <v>078G-L חגורת גב אפורה</v>
      </c>
      <c r="I3863" s="8" t="str">
        <f aca="false">IF($G3863="","Unmatched","Matched")</f>
        <v>Matched</v>
      </c>
    </row>
    <row r="3864" customFormat="false" ht="15" hidden="false" customHeight="false" outlineLevel="0" collapsed="false">
      <c r="A3864" s="8" t="s">
        <v>1081</v>
      </c>
      <c r="B3864" s="8" t="s">
        <v>62</v>
      </c>
      <c r="C3864" s="19" t="n">
        <v>0</v>
      </c>
      <c r="D3864" s="19" t="n">
        <v>0</v>
      </c>
      <c r="E3864" s="19" t="n">
        <v>3</v>
      </c>
      <c r="F3864" s="19" t="n">
        <v>131.72</v>
      </c>
      <c r="G3864" s="8" t="n">
        <f aca="false">IFERROR(INDEX('TRANS'!$B:$B,MATCH($B3864,'TRANS'!$A:$A,0)),IFERROR(INDEX('TRANS'!$B:$B,MATCH(TRIM(SUBSTITUTE($B3864,CHAR(160)," ")),'TRANS'!$D:$D,0)),IFERROR(INDEX('Catalog'!$A:$A,MATCH($B3864,'Catalog'!$B:$B,0)),IFERROR(INDEX('Catalog'!$A:$A,MATCH(TRIM(SUBSTITUTE($B3864,CHAR(160)," ")),'Catalog'!$C:$C,0)),""))))</f>
        <v>4408220</v>
      </c>
      <c r="H3864" s="8" t="str">
        <f aca="false">IFERROR(INDEX('TRANS'!$C:$C,MATCH($B3864,'TRANS'!$A:$A,0)),IFERROR(INDEX('Catalog'!$B:$B,MATCH($G3864,'Catalog'!$A:$A,0)),$B3864))</f>
        <v>078G-M חגורת גב אפורה</v>
      </c>
      <c r="I3864" s="8" t="str">
        <f aca="false">IF($G3864="","Unmatched","Matched")</f>
        <v>Matched</v>
      </c>
    </row>
    <row r="3865" customFormat="false" ht="15" hidden="false" customHeight="false" outlineLevel="0" collapsed="false">
      <c r="A3865" s="8" t="s">
        <v>1081</v>
      </c>
      <c r="B3865" s="8" t="s">
        <v>685</v>
      </c>
      <c r="C3865" s="19" t="n">
        <v>0</v>
      </c>
      <c r="D3865" s="19" t="n">
        <v>0</v>
      </c>
      <c r="E3865" s="19" t="n">
        <v>3</v>
      </c>
      <c r="F3865" s="19" t="n">
        <v>131.72</v>
      </c>
      <c r="G3865" s="8" t="n">
        <f aca="false">IFERROR(INDEX('TRANS'!$B:$B,MATCH($B3865,'TRANS'!$A:$A,0)),IFERROR(INDEX('TRANS'!$B:$B,MATCH(TRIM(SUBSTITUTE($B3865,CHAR(160)," ")),'TRANS'!$D:$D,0)),IFERROR(INDEX('Catalog'!$A:$A,MATCH($B3865,'Catalog'!$B:$B,0)),IFERROR(INDEX('Catalog'!$A:$A,MATCH(TRIM(SUBSTITUTE($B3865,CHAR(160)," ")),'Catalog'!$C:$C,0)),""))))</f>
        <v>4408219</v>
      </c>
      <c r="H3865" s="8" t="str">
        <f aca="false">IFERROR(INDEX('TRANS'!$C:$C,MATCH($B3865,'TRANS'!$A:$A,0)),IFERROR(INDEX('Catalog'!$B:$B,MATCH($G3865,'Catalog'!$A:$A,0)),$B3865))</f>
        <v>078G-S חגורת גב אפורה</v>
      </c>
      <c r="I3865" s="8" t="str">
        <f aca="false">IF($G3865="","Unmatched","Matched")</f>
        <v>Matched</v>
      </c>
    </row>
    <row r="3866" customFormat="false" ht="15" hidden="false" customHeight="false" outlineLevel="0" collapsed="false">
      <c r="A3866" s="8" t="s">
        <v>1081</v>
      </c>
      <c r="B3866" s="8" t="s">
        <v>336</v>
      </c>
      <c r="C3866" s="19" t="n">
        <v>0</v>
      </c>
      <c r="D3866" s="19" t="n">
        <v>0</v>
      </c>
      <c r="E3866" s="19" t="n">
        <v>6</v>
      </c>
      <c r="F3866" s="19" t="n">
        <v>263.44</v>
      </c>
      <c r="G3866" s="8" t="n">
        <f aca="false">IFERROR(INDEX('TRANS'!$B:$B,MATCH($B3866,'TRANS'!$A:$A,0)),IFERROR(INDEX('TRANS'!$B:$B,MATCH(TRIM(SUBSTITUTE($B3866,CHAR(160)," ")),'TRANS'!$D:$D,0)),IFERROR(INDEX('Catalog'!$A:$A,MATCH($B3866,'Catalog'!$B:$B,0)),IFERROR(INDEX('Catalog'!$A:$A,MATCH(TRIM(SUBSTITUTE($B3866,CHAR(160)," ")),'Catalog'!$C:$C,0)),""))))</f>
        <v>4408222</v>
      </c>
      <c r="H3866" s="8" t="str">
        <f aca="false">IFERROR(INDEX('TRANS'!$C:$C,MATCH($B3866,'TRANS'!$A:$A,0)),IFERROR(INDEX('Catalog'!$B:$B,MATCH($G3866,'Catalog'!$A:$A,0)),$B3866))</f>
        <v>078G-XLחגורת גב אפורה</v>
      </c>
      <c r="I3866" s="8" t="str">
        <f aca="false">IF($G3866="","Unmatched","Matched")</f>
        <v>Matched</v>
      </c>
    </row>
    <row r="3867" customFormat="false" ht="15" hidden="false" customHeight="false" outlineLevel="0" collapsed="false">
      <c r="A3867" s="8" t="s">
        <v>1081</v>
      </c>
      <c r="B3867" s="8" t="s">
        <v>337</v>
      </c>
      <c r="C3867" s="19" t="n">
        <v>0</v>
      </c>
      <c r="D3867" s="19" t="n">
        <v>0</v>
      </c>
      <c r="E3867" s="19" t="n">
        <v>10</v>
      </c>
      <c r="F3867" s="19" t="n">
        <v>439.07</v>
      </c>
      <c r="G3867" s="8" t="n">
        <f aca="false">IFERROR(INDEX('TRANS'!$B:$B,MATCH($B3867,'TRANS'!$A:$A,0)),IFERROR(INDEX('TRANS'!$B:$B,MATCH(TRIM(SUBSTITUTE($B3867,CHAR(160)," ")),'TRANS'!$D:$D,0)),IFERROR(INDEX('Catalog'!$A:$A,MATCH($B3867,'Catalog'!$B:$B,0)),IFERROR(INDEX('Catalog'!$A:$A,MATCH(TRIM(SUBSTITUTE($B3867,CHAR(160)," ")),'Catalog'!$C:$C,0)),""))))</f>
        <v>4408223</v>
      </c>
      <c r="H3867" s="8" t="str">
        <f aca="false">IFERROR(INDEX('TRANS'!$C:$C,MATCH($B3867,'TRANS'!$A:$A,0)),IFERROR(INDEX('Catalog'!$B:$B,MATCH($G3867,'Catalog'!$A:$A,0)),$B3867))</f>
        <v>078G-XXLחגורת גב אפורה</v>
      </c>
      <c r="I3867" s="8" t="str">
        <f aca="false">IF($G3867="","Unmatched","Matched")</f>
        <v>Matched</v>
      </c>
    </row>
    <row r="3868" customFormat="false" ht="15" hidden="false" customHeight="false" outlineLevel="0" collapsed="false">
      <c r="A3868" s="8" t="s">
        <v>1081</v>
      </c>
      <c r="B3868" s="8" t="s">
        <v>638</v>
      </c>
      <c r="C3868" s="19" t="n">
        <v>3</v>
      </c>
      <c r="D3868" s="19" t="n">
        <v>395.81</v>
      </c>
      <c r="E3868" s="19" t="n">
        <v>4</v>
      </c>
      <c r="F3868" s="19" t="n">
        <v>441.73</v>
      </c>
      <c r="G3868" s="8" t="n">
        <f aca="false">IFERROR(INDEX('TRANS'!$B:$B,MATCH($B3868,'TRANS'!$A:$A,0)),IFERROR(INDEX('TRANS'!$B:$B,MATCH(TRIM(SUBSTITUTE($B3868,CHAR(160)," ")),'TRANS'!$D:$D,0)),IFERROR(INDEX('Catalog'!$A:$A,MATCH($B3868,'Catalog'!$B:$B,0)),IFERROR(INDEX('Catalog'!$A:$A,MATCH(TRIM(SUBSTITUTE($B3868,CHAR(160)," ")),'Catalog'!$C:$C,0)),""))))</f>
        <v>4408015</v>
      </c>
      <c r="H3868" s="8" t="str">
        <f aca="false">IFERROR(INDEX('TRANS'!$C:$C,MATCH($B3868,'TRANS'!$A:$A,0)),IFERROR(INDEX('Catalog'!$B:$B,MATCH($G3868,'Catalog'!$A:$A,0)),$B3868))</f>
        <v>07AU L ח.גב """"איטלקית"""" אורירית</v>
      </c>
      <c r="I3868" s="8" t="str">
        <f aca="false">IF($G3868="","Unmatched","Matched")</f>
        <v>Matched</v>
      </c>
    </row>
    <row r="3869" customFormat="false" ht="15" hidden="false" customHeight="false" outlineLevel="0" collapsed="false">
      <c r="A3869" s="8" t="s">
        <v>1081</v>
      </c>
      <c r="B3869" s="8" t="s">
        <v>639</v>
      </c>
      <c r="C3869" s="19" t="n">
        <v>3</v>
      </c>
      <c r="D3869" s="19" t="n">
        <v>395.81</v>
      </c>
      <c r="E3869" s="19" t="n">
        <v>2</v>
      </c>
      <c r="F3869" s="19" t="n">
        <v>220.87</v>
      </c>
      <c r="G3869" s="8" t="n">
        <f aca="false">IFERROR(INDEX('TRANS'!$B:$B,MATCH($B3869,'TRANS'!$A:$A,0)),IFERROR(INDEX('TRANS'!$B:$B,MATCH(TRIM(SUBSTITUTE($B3869,CHAR(160)," ")),'TRANS'!$D:$D,0)),IFERROR(INDEX('Catalog'!$A:$A,MATCH($B3869,'Catalog'!$B:$B,0)),IFERROR(INDEX('Catalog'!$A:$A,MATCH(TRIM(SUBSTITUTE($B3869,CHAR(160)," ")),'Catalog'!$C:$C,0)),""))))</f>
        <v>4408016</v>
      </c>
      <c r="H3869" s="8" t="str">
        <f aca="false">IFERROR(INDEX('TRANS'!$C:$C,MATCH($B3869,'TRANS'!$A:$A,0)),IFERROR(INDEX('Catalog'!$B:$B,MATCH($G3869,'Catalog'!$A:$A,0)),$B3869))</f>
        <v>07AU M ח.גב """"איטלקית"""" אורירית</v>
      </c>
      <c r="I3869" s="8" t="str">
        <f aca="false">IF($G3869="","Unmatched","Matched")</f>
        <v>Matched</v>
      </c>
    </row>
    <row r="3870" customFormat="false" ht="15" hidden="false" customHeight="false" outlineLevel="0" collapsed="false">
      <c r="A3870" s="8" t="s">
        <v>1081</v>
      </c>
      <c r="B3870" s="8" t="s">
        <v>694</v>
      </c>
      <c r="C3870" s="19" t="n">
        <v>2</v>
      </c>
      <c r="D3870" s="19" t="n">
        <v>263.87</v>
      </c>
      <c r="E3870" s="19" t="n">
        <v>0</v>
      </c>
      <c r="F3870" s="19" t="n">
        <v>0</v>
      </c>
      <c r="G3870" s="8" t="n">
        <f aca="false">IFERROR(INDEX('TRANS'!$B:$B,MATCH($B3870,'TRANS'!$A:$A,0)),IFERROR(INDEX('TRANS'!$B:$B,MATCH(TRIM(SUBSTITUTE($B3870,CHAR(160)," ")),'TRANS'!$D:$D,0)),IFERROR(INDEX('Catalog'!$A:$A,MATCH($B3870,'Catalog'!$B:$B,0)),IFERROR(INDEX('Catalog'!$A:$A,MATCH(TRIM(SUBSTITUTE($B3870,CHAR(160)," ")),'Catalog'!$C:$C,0)),""))))</f>
        <v>4408014</v>
      </c>
      <c r="H3870" s="8" t="str">
        <f aca="false">IFERROR(INDEX('TRANS'!$C:$C,MATCH($B3870,'TRANS'!$A:$A,0)),IFERROR(INDEX('Catalog'!$B:$B,MATCH($G3870,'Catalog'!$A:$A,0)),$B3870))</f>
        <v>07AU S ח.גב """"איטלקית"""" אורירית</v>
      </c>
      <c r="I3870" s="8" t="str">
        <f aca="false">IF($G3870="","Unmatched","Matched")</f>
        <v>Matched</v>
      </c>
    </row>
    <row r="3871" customFormat="false" ht="15" hidden="false" customHeight="false" outlineLevel="0" collapsed="false">
      <c r="A3871" s="8" t="s">
        <v>1081</v>
      </c>
      <c r="B3871" s="8" t="s">
        <v>640</v>
      </c>
      <c r="C3871" s="19" t="n">
        <v>6</v>
      </c>
      <c r="D3871" s="19" t="n">
        <v>751.76</v>
      </c>
      <c r="E3871" s="19" t="n">
        <v>6</v>
      </c>
      <c r="F3871" s="19" t="n">
        <v>662.6</v>
      </c>
      <c r="G3871" s="8" t="n">
        <f aca="false">IFERROR(INDEX('TRANS'!$B:$B,MATCH($B3871,'TRANS'!$A:$A,0)),IFERROR(INDEX('TRANS'!$B:$B,MATCH(TRIM(SUBSTITUTE($B3871,CHAR(160)," ")),'TRANS'!$D:$D,0)),IFERROR(INDEX('Catalog'!$A:$A,MATCH($B3871,'Catalog'!$B:$B,0)),IFERROR(INDEX('Catalog'!$A:$A,MATCH(TRIM(SUBSTITUTE($B3871,CHAR(160)," ")),'Catalog'!$C:$C,0)),""))))</f>
        <v>4408017</v>
      </c>
      <c r="H3871" s="8" t="str">
        <f aca="false">IFERROR(INDEX('TRANS'!$C:$C,MATCH($B3871,'TRANS'!$A:$A,0)),IFERROR(INDEX('Catalog'!$B:$B,MATCH($G3871,'Catalog'!$A:$A,0)),$B3871))</f>
        <v>07AU XL ח.גב """"איטלקית"""" אורירית</v>
      </c>
      <c r="I3871" s="8" t="str">
        <f aca="false">IF($G3871="","Unmatched","Matched")</f>
        <v>Matched</v>
      </c>
    </row>
    <row r="3872" customFormat="false" ht="15" hidden="false" customHeight="false" outlineLevel="0" collapsed="false">
      <c r="A3872" s="8" t="s">
        <v>1081</v>
      </c>
      <c r="B3872" s="8" t="s">
        <v>641</v>
      </c>
      <c r="C3872" s="19" t="n">
        <v>3</v>
      </c>
      <c r="D3872" s="19" t="n">
        <v>375.88</v>
      </c>
      <c r="E3872" s="19" t="n">
        <v>6</v>
      </c>
      <c r="F3872" s="19" t="n">
        <v>662.6</v>
      </c>
      <c r="G3872" s="8" t="n">
        <f aca="false">IFERROR(INDEX('TRANS'!$B:$B,MATCH($B3872,'TRANS'!$A:$A,0)),IFERROR(INDEX('TRANS'!$B:$B,MATCH(TRIM(SUBSTITUTE($B3872,CHAR(160)," ")),'TRANS'!$D:$D,0)),IFERROR(INDEX('Catalog'!$A:$A,MATCH($B3872,'Catalog'!$B:$B,0)),IFERROR(INDEX('Catalog'!$A:$A,MATCH(TRIM(SUBSTITUTE($B3872,CHAR(160)," ")),'Catalog'!$C:$C,0)),""))))</f>
        <v>4408018</v>
      </c>
      <c r="H3872" s="8" t="str">
        <f aca="false">IFERROR(INDEX('TRANS'!$C:$C,MATCH($B3872,'TRANS'!$A:$A,0)),IFERROR(INDEX('Catalog'!$B:$B,MATCH($G3872,'Catalog'!$A:$A,0)),$B3872))</f>
        <v>07AU XXL.ח.גב """"איטלקית"""" אוריר</v>
      </c>
      <c r="I3872" s="8" t="str">
        <f aca="false">IF($G3872="","Unmatched","Matched")</f>
        <v>Matched</v>
      </c>
    </row>
    <row r="3873" customFormat="false" ht="15" hidden="false" customHeight="false" outlineLevel="0" collapsed="false">
      <c r="A3873" s="8" t="s">
        <v>1081</v>
      </c>
      <c r="B3873" s="8" t="s">
        <v>68</v>
      </c>
      <c r="C3873" s="19" t="n">
        <v>6</v>
      </c>
      <c r="D3873" s="19" t="n">
        <v>467.34</v>
      </c>
      <c r="E3873" s="19" t="n">
        <v>0</v>
      </c>
      <c r="F3873" s="19" t="n">
        <v>0</v>
      </c>
      <c r="G3873" s="8" t="n">
        <f aca="false">IFERROR(INDEX('TRANS'!$B:$B,MATCH($B3873,'TRANS'!$A:$A,0)),IFERROR(INDEX('TRANS'!$B:$B,MATCH(TRIM(SUBSTITUTE($B3873,CHAR(160)," ")),'TRANS'!$D:$D,0)),IFERROR(INDEX('Catalog'!$A:$A,MATCH($B3873,'Catalog'!$B:$B,0)),IFERROR(INDEX('Catalog'!$A:$A,MATCH(TRIM(SUBSTITUTE($B3873,CHAR(160)," ")),'Catalog'!$C:$C,0)),""))))</f>
        <v>4408027</v>
      </c>
      <c r="H3873" s="8" t="str">
        <f aca="false">IFERROR(INDEX('TRANS'!$C:$C,MATCH($B3873,'TRANS'!$A:$A,0)),IFERROR(INDEX('Catalog'!$B:$B,MATCH($G3873,'Catalog'!$A:$A,0)),$B3873))</f>
        <v>10 L """"חגורת גב """"לומבו</v>
      </c>
      <c r="I3873" s="8" t="str">
        <f aca="false">IF($G3873="","Unmatched","Matched")</f>
        <v>Matched</v>
      </c>
    </row>
    <row r="3874" customFormat="false" ht="15" hidden="false" customHeight="false" outlineLevel="0" collapsed="false">
      <c r="A3874" s="8" t="s">
        <v>1081</v>
      </c>
      <c r="B3874" s="8" t="s">
        <v>69</v>
      </c>
      <c r="C3874" s="19" t="n">
        <v>2</v>
      </c>
      <c r="D3874" s="19" t="n">
        <v>155.78</v>
      </c>
      <c r="E3874" s="19" t="n">
        <v>2</v>
      </c>
      <c r="F3874" s="19" t="n">
        <v>130.39</v>
      </c>
      <c r="G3874" s="8" t="n">
        <f aca="false">IFERROR(INDEX('TRANS'!$B:$B,MATCH($B3874,'TRANS'!$A:$A,0)),IFERROR(INDEX('TRANS'!$B:$B,MATCH(TRIM(SUBSTITUTE($B3874,CHAR(160)," ")),'TRANS'!$D:$D,0)),IFERROR(INDEX('Catalog'!$A:$A,MATCH($B3874,'Catalog'!$B:$B,0)),IFERROR(INDEX('Catalog'!$A:$A,MATCH(TRIM(SUBSTITUTE($B3874,CHAR(160)," ")),'Catalog'!$C:$C,0)),""))))</f>
        <v>4408028</v>
      </c>
      <c r="H3874" s="8" t="str">
        <f aca="false">IFERROR(INDEX('TRANS'!$C:$C,MATCH($B3874,'TRANS'!$A:$A,0)),IFERROR(INDEX('Catalog'!$B:$B,MATCH($G3874,'Catalog'!$A:$A,0)),$B3874))</f>
        <v>10 M """"חגורת גב """"לומבו</v>
      </c>
      <c r="I3874" s="8" t="str">
        <f aca="false">IF($G3874="","Unmatched","Matched")</f>
        <v>Matched</v>
      </c>
    </row>
    <row r="3875" customFormat="false" ht="15" hidden="false" customHeight="false" outlineLevel="0" collapsed="false">
      <c r="A3875" s="8" t="s">
        <v>1081</v>
      </c>
      <c r="B3875" s="8" t="s">
        <v>70</v>
      </c>
      <c r="C3875" s="19" t="n">
        <v>6</v>
      </c>
      <c r="D3875" s="19" t="n">
        <v>467.34</v>
      </c>
      <c r="E3875" s="19" t="n">
        <v>4</v>
      </c>
      <c r="F3875" s="19" t="n">
        <v>260.78</v>
      </c>
      <c r="G3875" s="8" t="n">
        <f aca="false">IFERROR(INDEX('TRANS'!$B:$B,MATCH($B3875,'TRANS'!$A:$A,0)),IFERROR(INDEX('TRANS'!$B:$B,MATCH(TRIM(SUBSTITUTE($B3875,CHAR(160)," ")),'TRANS'!$D:$D,0)),IFERROR(INDEX('Catalog'!$A:$A,MATCH($B3875,'Catalog'!$B:$B,0)),IFERROR(INDEX('Catalog'!$A:$A,MATCH(TRIM(SUBSTITUTE($B3875,CHAR(160)," ")),'Catalog'!$C:$C,0)),""))))</f>
        <v>4408029</v>
      </c>
      <c r="H3875" s="8" t="str">
        <f aca="false">IFERROR(INDEX('TRANS'!$C:$C,MATCH($B3875,'TRANS'!$A:$A,0)),IFERROR(INDEX('Catalog'!$B:$B,MATCH($G3875,'Catalog'!$A:$A,0)),$B3875))</f>
        <v>10 XL """"חגורת גב """"לומבו</v>
      </c>
      <c r="I3875" s="8" t="str">
        <f aca="false">IF($G3875="","Unmatched","Matched")</f>
        <v>Matched</v>
      </c>
    </row>
    <row r="3876" customFormat="false" ht="15" hidden="false" customHeight="false" outlineLevel="0" collapsed="false">
      <c r="A3876" s="8" t="s">
        <v>1081</v>
      </c>
      <c r="B3876" s="8" t="s">
        <v>457</v>
      </c>
      <c r="C3876" s="19" t="n">
        <v>2</v>
      </c>
      <c r="D3876" s="19" t="n">
        <v>155.78</v>
      </c>
      <c r="E3876" s="19" t="n">
        <v>4</v>
      </c>
      <c r="F3876" s="19" t="n">
        <v>260.78</v>
      </c>
      <c r="G3876" s="8" t="str">
        <f aca="false">IFERROR(INDEX('TRANS'!$B:$B,MATCH($B3876,'TRANS'!$A:$A,0)),IFERROR(INDEX('TRANS'!$B:$B,MATCH(TRIM(SUBSTITUTE($B3876,CHAR(160)," ")),'TRANS'!$D:$D,0)),IFERROR(INDEX('Catalog'!$A:$A,MATCH($B3876,'Catalog'!$B:$B,0)),IFERROR(INDEX('Catalog'!$A:$A,MATCH(TRIM(SUBSTITUTE($B3876,CHAR(160)," ")),'Catalog'!$C:$C,0)),""))))</f>
        <v/>
      </c>
      <c r="H3876" s="8" t="str">
        <f aca="false">IFERROR(INDEX('TRANS'!$C:$C,MATCH($B3876,'TRANS'!$A:$A,0)),IFERROR(INDEX('Catalog'!$B:$B,MATCH($G3876,'Catalog'!$A:$A,0)),$B3876))</f>
        <v>10 XXL</v>
      </c>
      <c r="I3876" s="8" t="str">
        <f aca="false">IF($G3876="","Unmatched","Matched")</f>
        <v>Unmatched</v>
      </c>
    </row>
    <row r="3877" customFormat="false" ht="15" hidden="false" customHeight="false" outlineLevel="0" collapsed="false">
      <c r="A3877" s="8" t="s">
        <v>1081</v>
      </c>
      <c r="B3877" s="8" t="s">
        <v>74</v>
      </c>
      <c r="C3877" s="19" t="n">
        <v>5</v>
      </c>
      <c r="D3877" s="19" t="n">
        <v>238.95</v>
      </c>
      <c r="E3877" s="19" t="n">
        <v>0</v>
      </c>
      <c r="F3877" s="19" t="n">
        <v>0</v>
      </c>
      <c r="G3877" s="8" t="str">
        <f aca="false">IFERROR(INDEX('TRANS'!$B:$B,MATCH($B3877,'TRANS'!$A:$A,0)),IFERROR(INDEX('TRANS'!$B:$B,MATCH(TRIM(SUBSTITUTE($B3877,CHAR(160)," ")),'TRANS'!$D:$D,0)),IFERROR(INDEX('Catalog'!$A:$A,MATCH($B3877,'Catalog'!$B:$B,0)),IFERROR(INDEX('Catalog'!$A:$A,MATCH(TRIM(SUBSTITUTE($B3877,CHAR(160)," ")),'Catalog'!$C:$C,0)),""))))</f>
        <v/>
      </c>
      <c r="H3877" s="8" t="str">
        <f aca="false">IFERROR(INDEX('TRANS'!$C:$C,MATCH($B3877,'TRANS'!$A:$A,0)),IFERROR(INDEX('Catalog'!$B:$B,MATCH($G3877,'Catalog'!$A:$A,0)),$B3877))</f>
        <v>11EU S</v>
      </c>
      <c r="I3877" s="8" t="str">
        <f aca="false">IF($G3877="","Unmatched","Matched")</f>
        <v>Unmatched</v>
      </c>
    </row>
    <row r="3878" customFormat="false" ht="15" hidden="false" customHeight="false" outlineLevel="0" collapsed="false">
      <c r="A3878" s="8" t="s">
        <v>1081</v>
      </c>
      <c r="B3878" s="8" t="s">
        <v>341</v>
      </c>
      <c r="C3878" s="19" t="n">
        <v>0</v>
      </c>
      <c r="D3878" s="19" t="n">
        <v>0</v>
      </c>
      <c r="E3878" s="19" t="n">
        <v>2</v>
      </c>
      <c r="F3878" s="19" t="n">
        <v>82.49</v>
      </c>
      <c r="G3878" s="8" t="n">
        <f aca="false">IFERROR(INDEX('TRANS'!$B:$B,MATCH($B3878,'TRANS'!$A:$A,0)),IFERROR(INDEX('TRANS'!$B:$B,MATCH(TRIM(SUBSTITUTE($B3878,CHAR(160)," ")),'TRANS'!$D:$D,0)),IFERROR(INDEX('Catalog'!$A:$A,MATCH($B3878,'Catalog'!$B:$B,0)),IFERROR(INDEX('Catalog'!$A:$A,MATCH(TRIM(SUBSTITUTE($B3878,CHAR(160)," ")),'Catalog'!$C:$C,0)),""))))</f>
        <v>4408116</v>
      </c>
      <c r="H3878" s="8" t="str">
        <f aca="false">IFERROR(INDEX('TRANS'!$C:$C,MATCH($B3878,'TRANS'!$A:$A,0)),IFERROR(INDEX('Catalog'!$B:$B,MATCH($G3878,'Catalog'!$A:$A,0)),$B3878))</f>
        <v>11EU XLח.בטן לאחר ניתוח</v>
      </c>
      <c r="I3878" s="8" t="str">
        <f aca="false">IF($G3878="","Unmatched","Matched")</f>
        <v>Matched</v>
      </c>
    </row>
    <row r="3879" customFormat="false" ht="15" hidden="false" customHeight="false" outlineLevel="0" collapsed="false">
      <c r="A3879" s="8" t="s">
        <v>1081</v>
      </c>
      <c r="B3879" s="8" t="s">
        <v>459</v>
      </c>
      <c r="C3879" s="19" t="n">
        <v>0</v>
      </c>
      <c r="D3879" s="19" t="n">
        <v>0</v>
      </c>
      <c r="E3879" s="19" t="n">
        <v>4</v>
      </c>
      <c r="F3879" s="19" t="n">
        <v>164.98</v>
      </c>
      <c r="G3879" s="8" t="n">
        <f aca="false">IFERROR(INDEX('TRANS'!$B:$B,MATCH($B3879,'TRANS'!$A:$A,0)),IFERROR(INDEX('TRANS'!$B:$B,MATCH(TRIM(SUBSTITUTE($B3879,CHAR(160)," ")),'TRANS'!$D:$D,0)),IFERROR(INDEX('Catalog'!$A:$A,MATCH($B3879,'Catalog'!$B:$B,0)),IFERROR(INDEX('Catalog'!$A:$A,MATCH(TRIM(SUBSTITUTE($B3879,CHAR(160)," ")),'Catalog'!$C:$C,0)),""))))</f>
        <v>4408132</v>
      </c>
      <c r="H3879" s="8" t="str">
        <f aca="false">IFERROR(INDEX('TRANS'!$C:$C,MATCH($B3879,'TRANS'!$A:$A,0)),IFERROR(INDEX('Catalog'!$B:$B,MATCH($G3879,'Catalog'!$A:$A,0)),$B3879))</f>
        <v>11EU XXL חגורת בטןלאחר ניתוח</v>
      </c>
      <c r="I3879" s="8" t="str">
        <f aca="false">IF($G3879="","Unmatched","Matched")</f>
        <v>Matched</v>
      </c>
    </row>
    <row r="3880" customFormat="false" ht="15" hidden="false" customHeight="false" outlineLevel="0" collapsed="false">
      <c r="A3880" s="8" t="s">
        <v>1081</v>
      </c>
      <c r="B3880" s="8" t="s">
        <v>80</v>
      </c>
      <c r="C3880" s="19" t="n">
        <v>10</v>
      </c>
      <c r="D3880" s="19" t="n">
        <v>626.27</v>
      </c>
      <c r="E3880" s="19" t="n">
        <v>6</v>
      </c>
      <c r="F3880" s="19" t="n">
        <v>324.31</v>
      </c>
      <c r="G3880" s="8" t="str">
        <f aca="false">IFERROR(INDEX('TRANS'!$B:$B,MATCH($B3880,'TRANS'!$A:$A,0)),IFERROR(INDEX('TRANS'!$B:$B,MATCH(TRIM(SUBSTITUTE($B3880,CHAR(160)," ")),'TRANS'!$D:$D,0)),IFERROR(INDEX('Catalog'!$A:$A,MATCH($B3880,'Catalog'!$B:$B,0)),IFERROR(INDEX('Catalog'!$A:$A,MATCH(TRIM(SUBSTITUTE($B3880,CHAR(160)," ")),'Catalog'!$C:$C,0)),""))))</f>
        <v/>
      </c>
      <c r="H3880" s="8" t="str">
        <f aca="false">IFERROR(INDEX('TRANS'!$C:$C,MATCH($B3880,'TRANS'!$A:$A,0)),IFERROR(INDEX('Catalog'!$B:$B,MATCH($G3880,'Catalog'!$A:$A,0)),$B3880))</f>
        <v>13 L</v>
      </c>
      <c r="I3880" s="8" t="str">
        <f aca="false">IF($G3880="","Unmatched","Matched")</f>
        <v>Unmatched</v>
      </c>
    </row>
    <row r="3881" customFormat="false" ht="15" hidden="false" customHeight="false" outlineLevel="0" collapsed="false">
      <c r="A3881" s="8" t="s">
        <v>1081</v>
      </c>
      <c r="B3881" s="8" t="s">
        <v>345</v>
      </c>
      <c r="C3881" s="19" t="n">
        <v>2</v>
      </c>
      <c r="D3881" s="19" t="n">
        <v>122.65</v>
      </c>
      <c r="E3881" s="19" t="n">
        <v>3</v>
      </c>
      <c r="F3881" s="19" t="n">
        <v>162.16</v>
      </c>
      <c r="G3881" s="8" t="str">
        <f aca="false">IFERROR(INDEX('TRANS'!$B:$B,MATCH($B3881,'TRANS'!$A:$A,0)),IFERROR(INDEX('TRANS'!$B:$B,MATCH(TRIM(SUBSTITUTE($B3881,CHAR(160)," ")),'TRANS'!$D:$D,0)),IFERROR(INDEX('Catalog'!$A:$A,MATCH($B3881,'Catalog'!$B:$B,0)),IFERROR(INDEX('Catalog'!$A:$A,MATCH(TRIM(SUBSTITUTE($B3881,CHAR(160)," ")),'Catalog'!$C:$C,0)),""))))</f>
        <v/>
      </c>
      <c r="H3881" s="8" t="str">
        <f aca="false">IFERROR(INDEX('TRANS'!$C:$C,MATCH($B3881,'TRANS'!$A:$A,0)),IFERROR(INDEX('Catalog'!$B:$B,MATCH($G3881,'Catalog'!$A:$A,0)),$B3881))</f>
        <v>13 M</v>
      </c>
      <c r="I3881" s="8" t="str">
        <f aca="false">IF($G3881="","Unmatched","Matched")</f>
        <v>Unmatched</v>
      </c>
    </row>
    <row r="3882" customFormat="false" ht="15" hidden="false" customHeight="false" outlineLevel="0" collapsed="false">
      <c r="A3882" s="8" t="s">
        <v>1081</v>
      </c>
      <c r="B3882" s="8" t="s">
        <v>620</v>
      </c>
      <c r="C3882" s="19" t="n">
        <v>10</v>
      </c>
      <c r="D3882" s="19" t="n">
        <v>639.27</v>
      </c>
      <c r="E3882" s="19" t="n">
        <v>6</v>
      </c>
      <c r="F3882" s="19" t="n">
        <v>324.31</v>
      </c>
      <c r="G3882" s="8" t="n">
        <f aca="false">IFERROR(INDEX('TRANS'!$B:$B,MATCH($B3882,'TRANS'!$A:$A,0)),IFERROR(INDEX('TRANS'!$B:$B,MATCH(TRIM(SUBSTITUTE($B3882,CHAR(160)," ")),'TRANS'!$D:$D,0)),IFERROR(INDEX('Catalog'!$A:$A,MATCH($B3882,'Catalog'!$B:$B,0)),IFERROR(INDEX('Catalog'!$A:$A,MATCH(TRIM(SUBSTITUTE($B3882,CHAR(160)," ")),'Catalog'!$C:$C,0)),""))))</f>
        <v>4408179</v>
      </c>
      <c r="H3882" s="8" t="str">
        <f aca="false">IFERROR(INDEX('TRANS'!$C:$C,MATCH($B3882,'TRANS'!$A:$A,0)),IFERROR(INDEX('Catalog'!$B:$B,MATCH($G3882,'Catalog'!$A:$A,0)),$B3882))</f>
        <v>13 XL חגורה לשבר טבור</v>
      </c>
      <c r="I3882" s="8" t="str">
        <f aca="false">IF($G3882="","Unmatched","Matched")</f>
        <v>Matched</v>
      </c>
    </row>
    <row r="3883" customFormat="false" ht="15" hidden="false" customHeight="false" outlineLevel="0" collapsed="false">
      <c r="A3883" s="8" t="s">
        <v>1081</v>
      </c>
      <c r="B3883" s="8" t="s">
        <v>346</v>
      </c>
      <c r="C3883" s="19" t="n">
        <v>8</v>
      </c>
      <c r="D3883" s="19" t="n">
        <v>516.62</v>
      </c>
      <c r="E3883" s="19" t="n">
        <v>4</v>
      </c>
      <c r="F3883" s="19" t="n">
        <v>216.21</v>
      </c>
      <c r="G3883" s="8" t="n">
        <f aca="false">IFERROR(INDEX('TRANS'!$B:$B,MATCH($B3883,'TRANS'!$A:$A,0)),IFERROR(INDEX('TRANS'!$B:$B,MATCH(TRIM(SUBSTITUTE($B3883,CHAR(160)," ")),'TRANS'!$D:$D,0)),IFERROR(INDEX('Catalog'!$A:$A,MATCH($B3883,'Catalog'!$B:$B,0)),IFERROR(INDEX('Catalog'!$A:$A,MATCH(TRIM(SUBSTITUTE($B3883,CHAR(160)," ")),'Catalog'!$C:$C,0)),""))))</f>
        <v>4408180</v>
      </c>
      <c r="H3883" s="8" t="str">
        <f aca="false">IFERROR(INDEX('TRANS'!$C:$C,MATCH($B3883,'TRANS'!$A:$A,0)),IFERROR(INDEX('Catalog'!$B:$B,MATCH($G3883,'Catalog'!$A:$A,0)),$B3883))</f>
        <v>13 XXL חגורה לשבר טבור</v>
      </c>
      <c r="I3883" s="8" t="str">
        <f aca="false">IF($G3883="","Unmatched","Matched")</f>
        <v>Matched</v>
      </c>
    </row>
    <row r="3884" customFormat="false" ht="15" hidden="false" customHeight="false" outlineLevel="0" collapsed="false">
      <c r="A3884" s="8" t="s">
        <v>1081</v>
      </c>
      <c r="B3884" s="8" t="s">
        <v>85</v>
      </c>
      <c r="C3884" s="19" t="n">
        <v>0</v>
      </c>
      <c r="D3884" s="19" t="n">
        <v>0</v>
      </c>
      <c r="E3884" s="19" t="n">
        <v>3</v>
      </c>
      <c r="F3884" s="19" t="n">
        <v>136.21</v>
      </c>
      <c r="G3884" s="8" t="n">
        <f aca="false">IFERROR(INDEX('TRANS'!$B:$B,MATCH($B3884,'TRANS'!$A:$A,0)),IFERROR(INDEX('TRANS'!$B:$B,MATCH(TRIM(SUBSTITUTE($B3884,CHAR(160)," ")),'TRANS'!$D:$D,0)),IFERROR(INDEX('Catalog'!$A:$A,MATCH($B3884,'Catalog'!$B:$B,0)),IFERROR(INDEX('Catalog'!$A:$A,MATCH(TRIM(SUBSTITUTE($B3884,CHAR(160)," ")),'Catalog'!$C:$C,0)),""))))</f>
        <v>4408131</v>
      </c>
      <c r="H3884" s="8" t="str">
        <f aca="false">IFERROR(INDEX('TRANS'!$C:$C,MATCH($B3884,'TRANS'!$A:$A,0)),IFERROR(INDEX('Catalog'!$B:$B,MATCH($G3884,'Catalog'!$A:$A,0)),$B3884))</f>
        <v>15W L חגורת צלעות לאשה</v>
      </c>
      <c r="I3884" s="8" t="str">
        <f aca="false">IF($G3884="","Unmatched","Matched")</f>
        <v>Matched</v>
      </c>
    </row>
    <row r="3885" customFormat="false" ht="15" hidden="false" customHeight="false" outlineLevel="0" collapsed="false">
      <c r="A3885" s="8" t="s">
        <v>1081</v>
      </c>
      <c r="B3885" s="8" t="s">
        <v>87</v>
      </c>
      <c r="C3885" s="19" t="n">
        <v>0</v>
      </c>
      <c r="D3885" s="19" t="n">
        <v>0</v>
      </c>
      <c r="E3885" s="19" t="n">
        <v>2</v>
      </c>
      <c r="F3885" s="19" t="n">
        <v>90.81</v>
      </c>
      <c r="G3885" s="8" t="str">
        <f aca="false">IFERROR(INDEX('TRANS'!$B:$B,MATCH($B3885,'TRANS'!$A:$A,0)),IFERROR(INDEX('TRANS'!$B:$B,MATCH(TRIM(SUBSTITUTE($B3885,CHAR(160)," ")),'TRANS'!$D:$D,0)),IFERROR(INDEX('Catalog'!$A:$A,MATCH($B3885,'Catalog'!$B:$B,0)),IFERROR(INDEX('Catalog'!$A:$A,MATCH(TRIM(SUBSTITUTE($B3885,CHAR(160)," ")),'Catalog'!$C:$C,0)),""))))</f>
        <v/>
      </c>
      <c r="H3885" s="8" t="str">
        <f aca="false">IFERROR(INDEX('TRANS'!$C:$C,MATCH($B3885,'TRANS'!$A:$A,0)),IFERROR(INDEX('Catalog'!$B:$B,MATCH($G3885,'Catalog'!$A:$A,0)),$B3885))</f>
        <v>15W S</v>
      </c>
      <c r="I3885" s="8" t="str">
        <f aca="false">IF($G3885="","Unmatched","Matched")</f>
        <v>Unmatched</v>
      </c>
    </row>
    <row r="3886" customFormat="false" ht="15" hidden="false" customHeight="false" outlineLevel="0" collapsed="false">
      <c r="A3886" s="8" t="s">
        <v>1081</v>
      </c>
      <c r="B3886" s="8" t="s">
        <v>710</v>
      </c>
      <c r="C3886" s="19" t="n">
        <v>2</v>
      </c>
      <c r="D3886" s="19" t="n">
        <v>102.13</v>
      </c>
      <c r="E3886" s="19" t="n">
        <v>4</v>
      </c>
      <c r="F3886" s="19" t="n">
        <v>170.97</v>
      </c>
      <c r="G3886" s="8" t="n">
        <f aca="false">IFERROR(INDEX('TRANS'!$B:$B,MATCH($B3886,'TRANS'!$A:$A,0)),IFERROR(INDEX('TRANS'!$B:$B,MATCH(TRIM(SUBSTITUTE($B3886,CHAR(160)," ")),'TRANS'!$D:$D,0)),IFERROR(INDEX('Catalog'!$A:$A,MATCH($B3886,'Catalog'!$B:$B,0)),IFERROR(INDEX('Catalog'!$A:$A,MATCH(TRIM(SUBSTITUTE($B3886,CHAR(160)," ")),'Catalog'!$C:$C,0)),""))))</f>
        <v>4408232</v>
      </c>
      <c r="H3886" s="8" t="str">
        <f aca="false">IFERROR(INDEX('TRANS'!$C:$C,MATCH($B3886,'TRANS'!$A:$A,0)),IFERROR(INDEX('Catalog'!$B:$B,MATCH($G3886,'Catalog'!$A:$A,0)),$B3886))</f>
        <v>16 XXL חגורת הריון</v>
      </c>
      <c r="I3886" s="8" t="str">
        <f aca="false">IF($G3886="","Unmatched","Matched")</f>
        <v>Matched</v>
      </c>
    </row>
    <row r="3887" customFormat="false" ht="15" hidden="false" customHeight="false" outlineLevel="0" collapsed="false">
      <c r="A3887" s="8" t="s">
        <v>1081</v>
      </c>
      <c r="B3887" s="8" t="s">
        <v>90</v>
      </c>
      <c r="C3887" s="19" t="n">
        <v>0</v>
      </c>
      <c r="D3887" s="19" t="n">
        <v>0</v>
      </c>
      <c r="E3887" s="19" t="n">
        <v>4</v>
      </c>
      <c r="F3887" s="19" t="n">
        <v>170.97</v>
      </c>
      <c r="G3887" s="8" t="n">
        <f aca="false">IFERROR(INDEX('TRANS'!$B:$B,MATCH($B3887,'TRANS'!$A:$A,0)),IFERROR(INDEX('TRANS'!$B:$B,MATCH(TRIM(SUBSTITUTE($B3887,CHAR(160)," ")),'TRANS'!$D:$D,0)),IFERROR(INDEX('Catalog'!$A:$A,MATCH($B3887,'Catalog'!$B:$B,0)),IFERROR(INDEX('Catalog'!$A:$A,MATCH(TRIM(SUBSTITUTE($B3887,CHAR(160)," ")),'Catalog'!$C:$C,0)),""))))</f>
        <v>4408230</v>
      </c>
      <c r="H3887" s="8" t="str">
        <f aca="false">IFERROR(INDEX('TRANS'!$C:$C,MATCH($B3887,'TRANS'!$A:$A,0)),IFERROR(INDEX('Catalog'!$B:$B,MATCH($G3887,'Catalog'!$A:$A,0)),$B3887))</f>
        <v>16 L-XL חגורת הריון</v>
      </c>
      <c r="I3887" s="8" t="str">
        <f aca="false">IF($G3887="","Unmatched","Matched")</f>
        <v>Matched</v>
      </c>
    </row>
    <row r="3888" customFormat="false" ht="15" hidden="false" customHeight="false" outlineLevel="0" collapsed="false">
      <c r="A3888" s="8" t="s">
        <v>1081</v>
      </c>
      <c r="B3888" s="8" t="s">
        <v>91</v>
      </c>
      <c r="C3888" s="19" t="n">
        <v>5</v>
      </c>
      <c r="D3888" s="19" t="n">
        <v>247.61</v>
      </c>
      <c r="E3888" s="19" t="n">
        <v>4</v>
      </c>
      <c r="F3888" s="19" t="n">
        <v>170.97</v>
      </c>
      <c r="G3888" s="8" t="n">
        <f aca="false">IFERROR(INDEX('TRANS'!$B:$B,MATCH($B3888,'TRANS'!$A:$A,0)),IFERROR(INDEX('TRANS'!$B:$B,MATCH(TRIM(SUBSTITUTE($B3888,CHAR(160)," ")),'TRANS'!$D:$D,0)),IFERROR(INDEX('Catalog'!$A:$A,MATCH($B3888,'Catalog'!$B:$B,0)),IFERROR(INDEX('Catalog'!$A:$A,MATCH(TRIM(SUBSTITUTE($B3888,CHAR(160)," ")),'Catalog'!$C:$C,0)),""))))</f>
        <v>4408231</v>
      </c>
      <c r="H3888" s="8" t="str">
        <f aca="false">IFERROR(INDEX('TRANS'!$C:$C,MATCH($B3888,'TRANS'!$A:$A,0)),IFERROR(INDEX('Catalog'!$B:$B,MATCH($G3888,'Catalog'!$A:$A,0)),$B3888))</f>
        <v>16 S-M חגורת הריון</v>
      </c>
      <c r="I3888" s="8" t="str">
        <f aca="false">IF($G3888="","Unmatched","Matched")</f>
        <v>Matched</v>
      </c>
    </row>
    <row r="3889" customFormat="false" ht="15" hidden="false" customHeight="false" outlineLevel="0" collapsed="false">
      <c r="A3889" s="8" t="s">
        <v>1081</v>
      </c>
      <c r="B3889" s="8" t="s">
        <v>99</v>
      </c>
      <c r="C3889" s="19" t="n">
        <v>20</v>
      </c>
      <c r="D3889" s="19" t="n">
        <v>302.17</v>
      </c>
      <c r="E3889" s="19" t="n">
        <v>15</v>
      </c>
      <c r="F3889" s="19" t="n">
        <v>194.59</v>
      </c>
      <c r="G3889" s="8" t="n">
        <f aca="false">IFERROR(INDEX('TRANS'!$B:$B,MATCH($B3889,'TRANS'!$A:$A,0)),IFERROR(INDEX('TRANS'!$B:$B,MATCH(TRIM(SUBSTITUTE($B3889,CHAR(160)," ")),'TRANS'!$D:$D,0)),IFERROR(INDEX('Catalog'!$A:$A,MATCH($B3889,'Catalog'!$B:$B,0)),IFERROR(INDEX('Catalog'!$A:$A,MATCH(TRIM(SUBSTITUTE($B3889,CHAR(160)," ")),'Catalog'!$C:$C,0)),""))))</f>
        <v>4415029</v>
      </c>
      <c r="H3889" s="8" t="str">
        <f aca="false">IFERROR(INDEX('TRANS'!$C:$C,MATCH($B3889,'TRANS'!$A:$A,0)),IFERROR(INDEX('Catalog'!$B:$B,MATCH($G3889,'Catalog'!$A:$A,0)),$B3889))</f>
        <v>סד קיבוע לאצבע הדק</v>
      </c>
      <c r="I3889" s="8" t="str">
        <f aca="false">IF($G3889="","Unmatched","Matched")</f>
        <v>Matched</v>
      </c>
    </row>
    <row r="3890" customFormat="false" ht="15" hidden="false" customHeight="false" outlineLevel="0" collapsed="false">
      <c r="A3890" s="8" t="s">
        <v>1081</v>
      </c>
      <c r="B3890" s="8" t="s">
        <v>100</v>
      </c>
      <c r="C3890" s="19" t="n">
        <v>8</v>
      </c>
      <c r="D3890" s="19" t="n">
        <v>76.3</v>
      </c>
      <c r="E3890" s="19" t="n">
        <v>5</v>
      </c>
      <c r="F3890" s="19" t="n">
        <v>39.92</v>
      </c>
      <c r="G3890" s="8" t="n">
        <f aca="false">IFERROR(INDEX('TRANS'!$B:$B,MATCH($B3890,'TRANS'!$A:$A,0)),IFERROR(INDEX('TRANS'!$B:$B,MATCH(TRIM(SUBSTITUTE($B3890,CHAR(160)," ")),'TRANS'!$D:$D,0)),IFERROR(INDEX('Catalog'!$A:$A,MATCH($B3890,'Catalog'!$B:$B,0)),IFERROR(INDEX('Catalog'!$A:$A,MATCH(TRIM(SUBSTITUTE($B3890,CHAR(160)," ")),'Catalog'!$C:$C,0)),""))))</f>
        <v>4415162</v>
      </c>
      <c r="H3890" s="8" t="str">
        <f aca="false">IFERROR(INDEX('TRANS'!$C:$C,MATCH($B3890,'TRANS'!$A:$A,0)),IFERROR(INDEX('Catalog'!$B:$B,MATCH($G3890,'Catalog'!$A:$A,0)),$B3890))</f>
        <v>238L סד ליישור אצבע</v>
      </c>
      <c r="I3890" s="8" t="str">
        <f aca="false">IF($G3890="","Unmatched","Matched")</f>
        <v>Matched</v>
      </c>
    </row>
    <row r="3891" customFormat="false" ht="15" hidden="false" customHeight="false" outlineLevel="0" collapsed="false">
      <c r="A3891" s="8" t="s">
        <v>1081</v>
      </c>
      <c r="B3891" s="8" t="s">
        <v>589</v>
      </c>
      <c r="C3891" s="19" t="n">
        <v>15</v>
      </c>
      <c r="D3891" s="19" t="n">
        <v>140.67</v>
      </c>
      <c r="E3891" s="19" t="n">
        <v>5</v>
      </c>
      <c r="F3891" s="19" t="n">
        <v>39.92</v>
      </c>
      <c r="G3891" s="8" t="n">
        <f aca="false">IFERROR(INDEX('TRANS'!$B:$B,MATCH($B3891,'TRANS'!$A:$A,0)),IFERROR(INDEX('TRANS'!$B:$B,MATCH(TRIM(SUBSTITUTE($B3891,CHAR(160)," ")),'TRANS'!$D:$D,0)),IFERROR(INDEX('Catalog'!$A:$A,MATCH($B3891,'Catalog'!$B:$B,0)),IFERROR(INDEX('Catalog'!$A:$A,MATCH(TRIM(SUBSTITUTE($B3891,CHAR(160)," ")),'Catalog'!$C:$C,0)),""))))</f>
        <v>4415161</v>
      </c>
      <c r="H3891" s="8" t="str">
        <f aca="false">IFERROR(INDEX('TRANS'!$C:$C,MATCH($B3891,'TRANS'!$A:$A,0)),IFERROR(INDEX('Catalog'!$B:$B,MATCH($G3891,'Catalog'!$A:$A,0)),$B3891))</f>
        <v>238M סד ליישור אצבע</v>
      </c>
      <c r="I3891" s="8" t="str">
        <f aca="false">IF($G3891="","Unmatched","Matched")</f>
        <v>Matched</v>
      </c>
    </row>
    <row r="3892" customFormat="false" ht="15" hidden="false" customHeight="false" outlineLevel="0" collapsed="false">
      <c r="A3892" s="8" t="s">
        <v>1081</v>
      </c>
      <c r="B3892" s="8" t="s">
        <v>101</v>
      </c>
      <c r="C3892" s="19" t="n">
        <v>23</v>
      </c>
      <c r="D3892" s="19" t="n">
        <v>212.16</v>
      </c>
      <c r="E3892" s="19" t="n">
        <v>10</v>
      </c>
      <c r="F3892" s="19" t="n">
        <v>79.83</v>
      </c>
      <c r="G3892" s="8" t="n">
        <f aca="false">IFERROR(INDEX('TRANS'!$B:$B,MATCH($B3892,'TRANS'!$A:$A,0)),IFERROR(INDEX('TRANS'!$B:$B,MATCH(TRIM(SUBSTITUTE($B3892,CHAR(160)," ")),'TRANS'!$D:$D,0)),IFERROR(INDEX('Catalog'!$A:$A,MATCH($B3892,'Catalog'!$B:$B,0)),IFERROR(INDEX('Catalog'!$A:$A,MATCH(TRIM(SUBSTITUTE($B3892,CHAR(160)," ")),'Catalog'!$C:$C,0)),""))))</f>
        <v>4415160</v>
      </c>
      <c r="H3892" s="8" t="str">
        <f aca="false">IFERROR(INDEX('TRANS'!$C:$C,MATCH($B3892,'TRANS'!$A:$A,0)),IFERROR(INDEX('Catalog'!$B:$B,MATCH($G3892,'Catalog'!$A:$A,0)),$B3892))</f>
        <v>238S סד ליישור אצבע</v>
      </c>
      <c r="I3892" s="8" t="str">
        <f aca="false">IF($G3892="","Unmatched","Matched")</f>
        <v>Matched</v>
      </c>
    </row>
    <row r="3893" customFormat="false" ht="15" hidden="false" customHeight="false" outlineLevel="0" collapsed="false">
      <c r="A3893" s="8" t="s">
        <v>1081</v>
      </c>
      <c r="B3893" s="8" t="s">
        <v>635</v>
      </c>
      <c r="C3893" s="19" t="n">
        <v>0</v>
      </c>
      <c r="D3893" s="19" t="n">
        <v>0</v>
      </c>
      <c r="E3893" s="19" t="n">
        <v>2</v>
      </c>
      <c r="F3893" s="19" t="n">
        <v>81.83</v>
      </c>
      <c r="G3893" s="8" t="n">
        <f aca="false">IFERROR(INDEX('TRANS'!$B:$B,MATCH($B3893,'TRANS'!$A:$A,0)),IFERROR(INDEX('TRANS'!$B:$B,MATCH(TRIM(SUBSTITUTE($B3893,CHAR(160)," ")),'TRANS'!$D:$D,0)),IFERROR(INDEX('Catalog'!$A:$A,MATCH($B3893,'Catalog'!$B:$B,0)),IFERROR(INDEX('Catalog'!$A:$A,MATCH(TRIM(SUBSTITUTE($B3893,CHAR(160)," ")),'Catalog'!$C:$C,0)),""))))</f>
        <v>4415000</v>
      </c>
      <c r="H3893" s="8" t="str">
        <f aca="false">IFERROR(INDEX('TRANS'!$C:$C,MATCH($B3893,'TRANS'!$A:$A,0)),IFERROR(INDEX('Catalog'!$B:$B,MATCH($G3893,'Catalog'!$A:$A,0)),$B3893))</f>
        <v>26 L סד ליד דו צדדי לאחר שבר</v>
      </c>
      <c r="I3893" s="8" t="str">
        <f aca="false">IF($G3893="","Unmatched","Matched")</f>
        <v>Matched</v>
      </c>
    </row>
    <row r="3894" customFormat="false" ht="15" hidden="false" customHeight="false" outlineLevel="0" collapsed="false">
      <c r="A3894" s="8" t="s">
        <v>1081</v>
      </c>
      <c r="B3894" s="8" t="s">
        <v>643</v>
      </c>
      <c r="C3894" s="19" t="n">
        <v>4</v>
      </c>
      <c r="D3894" s="19" t="n">
        <v>185.68</v>
      </c>
      <c r="E3894" s="19" t="n">
        <v>4</v>
      </c>
      <c r="F3894" s="19" t="n">
        <v>163.65</v>
      </c>
      <c r="G3894" s="8" t="n">
        <f aca="false">IFERROR(INDEX('TRANS'!$B:$B,MATCH($B3894,'TRANS'!$A:$A,0)),IFERROR(INDEX('TRANS'!$B:$B,MATCH(TRIM(SUBSTITUTE($B3894,CHAR(160)," ")),'TRANS'!$D:$D,0)),IFERROR(INDEX('Catalog'!$A:$A,MATCH($B3894,'Catalog'!$B:$B,0)),IFERROR(INDEX('Catalog'!$A:$A,MATCH(TRIM(SUBSTITUTE($B3894,CHAR(160)," ")),'Catalog'!$C:$C,0)),""))))</f>
        <v>4415001</v>
      </c>
      <c r="H3894" s="8" t="str">
        <f aca="false">IFERROR(INDEX('TRANS'!$C:$C,MATCH($B3894,'TRANS'!$A:$A,0)),IFERROR(INDEX('Catalog'!$B:$B,MATCH($G3894,'Catalog'!$A:$A,0)),$B3894))</f>
        <v>26 M סד ליד דו צדדי לאחר שבר</v>
      </c>
      <c r="I3894" s="8" t="str">
        <f aca="false">IF($G3894="","Unmatched","Matched")</f>
        <v>Matched</v>
      </c>
    </row>
    <row r="3895" customFormat="false" ht="15" hidden="false" customHeight="false" outlineLevel="0" collapsed="false">
      <c r="A3895" s="8" t="s">
        <v>1081</v>
      </c>
      <c r="B3895" s="8" t="s">
        <v>352</v>
      </c>
      <c r="C3895" s="19" t="n">
        <v>2</v>
      </c>
      <c r="D3895" s="19" t="n">
        <v>92.84</v>
      </c>
      <c r="E3895" s="19" t="n">
        <v>0</v>
      </c>
      <c r="F3895" s="19" t="n">
        <v>0</v>
      </c>
      <c r="G3895" s="8" t="n">
        <f aca="false">IFERROR(INDEX('TRANS'!$B:$B,MATCH($B3895,'TRANS'!$A:$A,0)),IFERROR(INDEX('TRANS'!$B:$B,MATCH(TRIM(SUBSTITUTE($B3895,CHAR(160)," ")),'TRANS'!$D:$D,0)),IFERROR(INDEX('Catalog'!$A:$A,MATCH($B3895,'Catalog'!$B:$B,0)),IFERROR(INDEX('Catalog'!$A:$A,MATCH(TRIM(SUBSTITUTE($B3895,CHAR(160)," ")),'Catalog'!$C:$C,0)),""))))</f>
        <v>4415002</v>
      </c>
      <c r="H3895" s="8" t="str">
        <f aca="false">IFERROR(INDEX('TRANS'!$C:$C,MATCH($B3895,'TRANS'!$A:$A,0)),IFERROR(INDEX('Catalog'!$B:$B,MATCH($G3895,'Catalog'!$A:$A,0)),$B3895))</f>
        <v>26 S סד ליד דו צדדי לאחר שבר</v>
      </c>
      <c r="I3895" s="8" t="str">
        <f aca="false">IF($G3895="","Unmatched","Matched")</f>
        <v>Matched</v>
      </c>
    </row>
    <row r="3896" customFormat="false" ht="15" hidden="false" customHeight="false" outlineLevel="0" collapsed="false">
      <c r="A3896" s="8" t="s">
        <v>1081</v>
      </c>
      <c r="B3896" s="8" t="s">
        <v>108</v>
      </c>
      <c r="C3896" s="19" t="n">
        <v>30</v>
      </c>
      <c r="D3896" s="19" t="n">
        <v>751.09</v>
      </c>
      <c r="E3896" s="19" t="n">
        <v>10</v>
      </c>
      <c r="F3896" s="19" t="n">
        <v>209.56</v>
      </c>
      <c r="G3896" s="8" t="n">
        <f aca="false">IFERROR(INDEX('TRANS'!$B:$B,MATCH($B3896,'TRANS'!$A:$A,0)),IFERROR(INDEX('TRANS'!$B:$B,MATCH(TRIM(SUBSTITUTE($B3896,CHAR(160)," ")),'TRANS'!$D:$D,0)),IFERROR(INDEX('Catalog'!$A:$A,MATCH($B3896,'Catalog'!$B:$B,0)),IFERROR(INDEX('Catalog'!$A:$A,MATCH(TRIM(SUBSTITUTE($B3896,CHAR(160)," ")),'Catalog'!$C:$C,0)),""))))</f>
        <v>4415158</v>
      </c>
      <c r="H3896" s="8" t="str">
        <f aca="false">IFERROR(INDEX('TRANS'!$C:$C,MATCH($B3896,'TRANS'!$A:$A,0)),IFERROR(INDEX('Catalog'!$B:$B,MATCH($G3896,'Catalog'!$A:$A,0)),$B3896))</f>
        <v>266 סד ליד דו צדדי</v>
      </c>
      <c r="I3896" s="8" t="str">
        <f aca="false">IF($G3896="","Unmatched","Matched")</f>
        <v>Matched</v>
      </c>
    </row>
    <row r="3897" customFormat="false" ht="15" hidden="false" customHeight="false" outlineLevel="0" collapsed="false">
      <c r="A3897" s="8" t="s">
        <v>1081</v>
      </c>
      <c r="B3897" s="8" t="s">
        <v>110</v>
      </c>
      <c r="C3897" s="19" t="n">
        <v>10</v>
      </c>
      <c r="D3897" s="19" t="n">
        <v>367.96</v>
      </c>
      <c r="E3897" s="19" t="n">
        <v>10</v>
      </c>
      <c r="F3897" s="19" t="n">
        <v>324.31</v>
      </c>
      <c r="G3897" s="8" t="n">
        <f aca="false">IFERROR(INDEX('TRANS'!$B:$B,MATCH($B3897,'TRANS'!$A:$A,0)),IFERROR(INDEX('TRANS'!$B:$B,MATCH(TRIM(SUBSTITUTE($B3897,CHAR(160)," ")),'TRANS'!$D:$D,0)),IFERROR(INDEX('Catalog'!$A:$A,MATCH($B3897,'Catalog'!$B:$B,0)),IFERROR(INDEX('Catalog'!$A:$A,MATCH(TRIM(SUBSTITUTE($B3897,CHAR(160)," ")),'Catalog'!$C:$C,0)),""))))</f>
        <v>4415159</v>
      </c>
      <c r="H3897" s="8" t="str">
        <f aca="false">IFERROR(INDEX('TRANS'!$C:$C,MATCH($B3897,'TRANS'!$A:$A,0)),IFERROR(INDEX('Catalog'!$B:$B,MATCH($G3897,'Catalog'!$A:$A,0)),$B3897))</f>
        <v>268 סד לאגודל</v>
      </c>
      <c r="I3897" s="8" t="str">
        <f aca="false">IF($G3897="","Unmatched","Matched")</f>
        <v>Matched</v>
      </c>
    </row>
    <row r="3898" customFormat="false" ht="15" hidden="false" customHeight="false" outlineLevel="0" collapsed="false">
      <c r="A3898" s="8" t="s">
        <v>1081</v>
      </c>
      <c r="B3898" s="8" t="s">
        <v>111</v>
      </c>
      <c r="C3898" s="19" t="n">
        <v>10</v>
      </c>
      <c r="D3898" s="19" t="n">
        <v>396.96</v>
      </c>
      <c r="E3898" s="19" t="n">
        <v>4</v>
      </c>
      <c r="F3898" s="19" t="n">
        <v>137.04</v>
      </c>
      <c r="G3898" s="8" t="n">
        <f aca="false">IFERROR(INDEX('TRANS'!$B:$B,MATCH($B3898,'TRANS'!$A:$A,0)),IFERROR(INDEX('TRANS'!$B:$B,MATCH(TRIM(SUBSTITUTE($B3898,CHAR(160)," ")),'TRANS'!$D:$D,0)),IFERROR(INDEX('Catalog'!$A:$A,MATCH($B3898,'Catalog'!$B:$B,0)),IFERROR(INDEX('Catalog'!$A:$A,MATCH(TRIM(SUBSTITUTE($B3898,CHAR(160)," ")),'Catalog'!$C:$C,0)),""))))</f>
        <v>4415006</v>
      </c>
      <c r="H3898" s="8" t="str">
        <f aca="false">IFERROR(INDEX('TRANS'!$C:$C,MATCH($B3898,'TRANS'!$A:$A,0)),IFERROR(INDEX('Catalog'!$B:$B,MATCH($G3898,'Catalog'!$A:$A,0)),$B3898))</f>
        <v>28 M סד לאגודל לאחר שבר</v>
      </c>
      <c r="I3898" s="8" t="str">
        <f aca="false">IF($G3898="","Unmatched","Matched")</f>
        <v>Matched</v>
      </c>
    </row>
    <row r="3899" customFormat="false" ht="15" hidden="false" customHeight="false" outlineLevel="0" collapsed="false">
      <c r="A3899" s="8" t="s">
        <v>1081</v>
      </c>
      <c r="B3899" s="8" t="s">
        <v>645</v>
      </c>
      <c r="C3899" s="19" t="n">
        <v>2</v>
      </c>
      <c r="D3899" s="19" t="n">
        <v>77.74</v>
      </c>
      <c r="E3899" s="19" t="n">
        <v>2</v>
      </c>
      <c r="F3899" s="19" t="n">
        <v>68.52</v>
      </c>
      <c r="G3899" s="8" t="n">
        <f aca="false">IFERROR(INDEX('TRANS'!$B:$B,MATCH($B3899,'TRANS'!$A:$A,0)),IFERROR(INDEX('TRANS'!$B:$B,MATCH(TRIM(SUBSTITUTE($B3899,CHAR(160)," ")),'TRANS'!$D:$D,0)),IFERROR(INDEX('Catalog'!$A:$A,MATCH($B3899,'Catalog'!$B:$B,0)),IFERROR(INDEX('Catalog'!$A:$A,MATCH(TRIM(SUBSTITUTE($B3899,CHAR(160)," ")),'Catalog'!$C:$C,0)),""))))</f>
        <v>4415007</v>
      </c>
      <c r="H3899" s="8" t="str">
        <f aca="false">IFERROR(INDEX('TRANS'!$C:$C,MATCH($B3899,'TRANS'!$A:$A,0)),IFERROR(INDEX('Catalog'!$B:$B,MATCH($G3899,'Catalog'!$A:$A,0)),$B3899))</f>
        <v>28 S סד לאגודל לאחר שבר</v>
      </c>
      <c r="I3899" s="8" t="str">
        <f aca="false">IF($G3899="","Unmatched","Matched")</f>
        <v>Matched</v>
      </c>
    </row>
    <row r="3900" customFormat="false" ht="15" hidden="false" customHeight="false" outlineLevel="0" collapsed="false">
      <c r="A3900" s="8" t="s">
        <v>1081</v>
      </c>
      <c r="B3900" s="8" t="s">
        <v>687</v>
      </c>
      <c r="C3900" s="19" t="n">
        <v>15</v>
      </c>
      <c r="D3900" s="19" t="n">
        <v>503.7</v>
      </c>
      <c r="E3900" s="19" t="n">
        <v>0</v>
      </c>
      <c r="F3900" s="19" t="n">
        <v>0</v>
      </c>
      <c r="G3900" s="8" t="str">
        <f aca="false">IFERROR(INDEX('TRANS'!$B:$B,MATCH($B3900,'TRANS'!$A:$A,0)),IFERROR(INDEX('TRANS'!$B:$B,MATCH(TRIM(SUBSTITUTE($B3900,CHAR(160)," ")),'TRANS'!$D:$D,0)),IFERROR(INDEX('Catalog'!$A:$A,MATCH($B3900,'Catalog'!$B:$B,0)),IFERROR(INDEX('Catalog'!$A:$A,MATCH(TRIM(SUBSTITUTE($B3900,CHAR(160)," ")),'Catalog'!$C:$C,0)),""))))</f>
        <v/>
      </c>
      <c r="H3900" s="8" t="str">
        <f aca="false">IFERROR(INDEX('TRANS'!$C:$C,MATCH($B3900,'TRANS'!$A:$A,0)),IFERROR(INDEX('Catalog'!$B:$B,MATCH($G3900,'Catalog'!$A:$A,0)),$B3900))</f>
        <v>30 L</v>
      </c>
      <c r="I3900" s="8" t="str">
        <f aca="false">IF($G3900="","Unmatched","Matched")</f>
        <v>Unmatched</v>
      </c>
    </row>
    <row r="3901" customFormat="false" ht="15" hidden="false" customHeight="false" outlineLevel="0" collapsed="false">
      <c r="A3901" s="8" t="s">
        <v>1081</v>
      </c>
      <c r="B3901" s="8" t="s">
        <v>112</v>
      </c>
      <c r="C3901" s="19" t="n">
        <v>15</v>
      </c>
      <c r="D3901" s="19" t="n">
        <v>503.7</v>
      </c>
      <c r="E3901" s="19" t="n">
        <v>0</v>
      </c>
      <c r="F3901" s="19" t="n">
        <v>0</v>
      </c>
      <c r="G3901" s="8" t="str">
        <f aca="false">IFERROR(INDEX('TRANS'!$B:$B,MATCH($B3901,'TRANS'!$A:$A,0)),IFERROR(INDEX('TRANS'!$B:$B,MATCH(TRIM(SUBSTITUTE($B3901,CHAR(160)," ")),'TRANS'!$D:$D,0)),IFERROR(INDEX('Catalog'!$A:$A,MATCH($B3901,'Catalog'!$B:$B,0)),IFERROR(INDEX('Catalog'!$A:$A,MATCH(TRIM(SUBSTITUTE($B3901,CHAR(160)," ")),'Catalog'!$C:$C,0)),""))))</f>
        <v/>
      </c>
      <c r="H3901" s="8" t="str">
        <f aca="false">IFERROR(INDEX('TRANS'!$C:$C,MATCH($B3901,'TRANS'!$A:$A,0)),IFERROR(INDEX('Catalog'!$B:$B,MATCH($G3901,'Catalog'!$A:$A,0)),$B3901))</f>
        <v>30 M</v>
      </c>
      <c r="I3901" s="8" t="str">
        <f aca="false">IF($G3901="","Unmatched","Matched")</f>
        <v>Unmatched</v>
      </c>
    </row>
    <row r="3902" customFormat="false" ht="15" hidden="false" customHeight="false" outlineLevel="0" collapsed="false">
      <c r="A3902" s="8" t="s">
        <v>1081</v>
      </c>
      <c r="B3902" s="8" t="s">
        <v>1053</v>
      </c>
      <c r="C3902" s="19" t="n">
        <v>0</v>
      </c>
      <c r="D3902" s="19" t="n">
        <v>0</v>
      </c>
      <c r="E3902" s="19" t="n">
        <v>4</v>
      </c>
      <c r="F3902" s="19" t="n">
        <v>112.43</v>
      </c>
      <c r="G3902" s="8" t="str">
        <f aca="false">IFERROR(INDEX('TRANS'!$B:$B,MATCH($B3902,'TRANS'!$A:$A,0)),IFERROR(INDEX('TRANS'!$B:$B,MATCH(TRIM(SUBSTITUTE($B3902,CHAR(160)," ")),'TRANS'!$D:$D,0)),IFERROR(INDEX('Catalog'!$A:$A,MATCH($B3902,'Catalog'!$B:$B,0)),IFERROR(INDEX('Catalog'!$A:$A,MATCH(TRIM(SUBSTITUTE($B3902,CHAR(160)," ")),'Catalog'!$C:$C,0)),""))))</f>
        <v/>
      </c>
      <c r="H3902" s="8" t="str">
        <f aca="false">IFERROR(INDEX('TRANS'!$C:$C,MATCH($B3902,'TRANS'!$A:$A,0)),IFERROR(INDEX('Catalog'!$B:$B,MATCH($G3902,'Catalog'!$A:$A,0)),$B3902))</f>
        <v>30 S</v>
      </c>
      <c r="I3902" s="8" t="str">
        <f aca="false">IF($G3902="","Unmatched","Matched")</f>
        <v>Unmatched</v>
      </c>
    </row>
    <row r="3903" customFormat="false" ht="15" hidden="false" customHeight="false" outlineLevel="0" collapsed="false">
      <c r="A3903" s="8" t="s">
        <v>1081</v>
      </c>
      <c r="B3903" s="8" t="s">
        <v>113</v>
      </c>
      <c r="C3903" s="19" t="n">
        <v>6</v>
      </c>
      <c r="D3903" s="19" t="n">
        <v>201.48</v>
      </c>
      <c r="E3903" s="19" t="n">
        <v>6</v>
      </c>
      <c r="F3903" s="19" t="n">
        <v>168.64</v>
      </c>
      <c r="G3903" s="8" t="str">
        <f aca="false">IFERROR(INDEX('TRANS'!$B:$B,MATCH($B3903,'TRANS'!$A:$A,0)),IFERROR(INDEX('TRANS'!$B:$B,MATCH(TRIM(SUBSTITUTE($B3903,CHAR(160)," ")),'TRANS'!$D:$D,0)),IFERROR(INDEX('Catalog'!$A:$A,MATCH($B3903,'Catalog'!$B:$B,0)),IFERROR(INDEX('Catalog'!$A:$A,MATCH(TRIM(SUBSTITUTE($B3903,CHAR(160)," ")),'Catalog'!$C:$C,0)),""))))</f>
        <v/>
      </c>
      <c r="H3903" s="8" t="str">
        <f aca="false">IFERROR(INDEX('TRANS'!$C:$C,MATCH($B3903,'TRANS'!$A:$A,0)),IFERROR(INDEX('Catalog'!$B:$B,MATCH($G3903,'Catalog'!$A:$A,0)),$B3903))</f>
        <v>30 XL</v>
      </c>
      <c r="I3903" s="8" t="str">
        <f aca="false">IF($G3903="","Unmatched","Matched")</f>
        <v>Unmatched</v>
      </c>
    </row>
    <row r="3904" customFormat="false" ht="15" hidden="false" customHeight="false" outlineLevel="0" collapsed="false">
      <c r="A3904" s="8" t="s">
        <v>1081</v>
      </c>
      <c r="B3904" s="8" t="s">
        <v>353</v>
      </c>
      <c r="C3904" s="19" t="n">
        <v>10</v>
      </c>
      <c r="D3904" s="19" t="n">
        <v>320.78</v>
      </c>
      <c r="E3904" s="19" t="n">
        <v>0</v>
      </c>
      <c r="F3904" s="19" t="n">
        <v>0</v>
      </c>
      <c r="G3904" s="8" t="n">
        <f aca="false">IFERROR(INDEX('TRANS'!$B:$B,MATCH($B3904,'TRANS'!$A:$A,0)),IFERROR(INDEX('TRANS'!$B:$B,MATCH(TRIM(SUBSTITUTE($B3904,CHAR(160)," ")),'TRANS'!$D:$D,0)),IFERROR(INDEX('Catalog'!$A:$A,MATCH($B3904,'Catalog'!$B:$B,0)),IFERROR(INDEX('Catalog'!$A:$A,MATCH(TRIM(SUBSTITUTE($B3904,CHAR(160)," ")),'Catalog'!$C:$C,0)),""))))</f>
        <v>4420036</v>
      </c>
      <c r="H3904" s="8" t="str">
        <f aca="false">IFERROR(INDEX('TRANS'!$C:$C,MATCH($B3904,'TRANS'!$A:$A,0)),IFERROR(INDEX('Catalog'!$B:$B,MATCH($G3904,'Catalog'!$A:$A,0)),$B3904))</f>
        <v>301CM 41-45 'רפידת ג'ל בז</v>
      </c>
      <c r="I3904" s="8" t="str">
        <f aca="false">IF($G3904="","Unmatched","Matched")</f>
        <v>Matched</v>
      </c>
    </row>
    <row r="3905" customFormat="false" ht="15" hidden="false" customHeight="false" outlineLevel="0" collapsed="false">
      <c r="A3905" s="8" t="s">
        <v>1081</v>
      </c>
      <c r="B3905" s="8" t="s">
        <v>354</v>
      </c>
      <c r="C3905" s="19" t="n">
        <v>0</v>
      </c>
      <c r="D3905" s="19" t="n">
        <v>0</v>
      </c>
      <c r="E3905" s="19" t="n">
        <v>30</v>
      </c>
      <c r="F3905" s="19" t="n">
        <v>808.29</v>
      </c>
      <c r="G3905" s="8" t="n">
        <f aca="false">IFERROR(INDEX('TRANS'!$B:$B,MATCH($B3905,'TRANS'!$A:$A,0)),IFERROR(INDEX('TRANS'!$B:$B,MATCH(TRIM(SUBSTITUTE($B3905,CHAR(160)," ")),'TRANS'!$D:$D,0)),IFERROR(INDEX('Catalog'!$A:$A,MATCH($B3905,'Catalog'!$B:$B,0)),IFERROR(INDEX('Catalog'!$A:$A,MATCH(TRIM(SUBSTITUTE($B3905,CHAR(160)," ")),'Catalog'!$C:$C,0)),""))))</f>
        <v>4420035</v>
      </c>
      <c r="H3905" s="8" t="str">
        <f aca="false">IFERROR(INDEX('TRANS'!$C:$C,MATCH($B3905,'TRANS'!$A:$A,0)),IFERROR(INDEX('Catalog'!$B:$B,MATCH($G3905,'Catalog'!$A:$A,0)),$B3905))</f>
        <v>301CW 36-40 'רפידת ג'ל בז</v>
      </c>
      <c r="I3905" s="8" t="str">
        <f aca="false">IF($G3905="","Unmatched","Matched")</f>
        <v>Matched</v>
      </c>
    </row>
    <row r="3906" customFormat="false" ht="15" hidden="false" customHeight="false" outlineLevel="0" collapsed="false">
      <c r="A3906" s="8" t="s">
        <v>1081</v>
      </c>
      <c r="B3906" s="8" t="s">
        <v>945</v>
      </c>
      <c r="C3906" s="19" t="n">
        <v>30</v>
      </c>
      <c r="D3906" s="19" t="n">
        <v>917.06</v>
      </c>
      <c r="E3906" s="19" t="n">
        <v>0</v>
      </c>
      <c r="F3906" s="19" t="n">
        <v>0</v>
      </c>
      <c r="G3906" s="8" t="n">
        <f aca="false">IFERROR(INDEX('TRANS'!$B:$B,MATCH($B3906,'TRANS'!$A:$A,0)),IFERROR(INDEX('TRANS'!$B:$B,MATCH(TRIM(SUBSTITUTE($B3906,CHAR(160)," ")),'TRANS'!$D:$D,0)),IFERROR(INDEX('Catalog'!$A:$A,MATCH($B3906,'Catalog'!$B:$B,0)),IFERROR(INDEX('Catalog'!$A:$A,MATCH(TRIM(SUBSTITUTE($B3906,CHAR(160)," ")),'Catalog'!$C:$C,0)),""))))</f>
        <v>4420037</v>
      </c>
      <c r="H3906" s="8" t="str">
        <f aca="false">IFERROR(INDEX('TRANS'!$C:$C,MATCH($B3906,'TRANS'!$A:$A,0)),IFERROR(INDEX('Catalog'!$B:$B,MATCH($G3906,'Catalog'!$A:$A,0)),$B3906))</f>
        <v>301JW רפידת ג'ל כחול36-40</v>
      </c>
      <c r="I3906" s="8" t="str">
        <f aca="false">IF($G3906="","Unmatched","Matched")</f>
        <v>Matched</v>
      </c>
    </row>
    <row r="3907" customFormat="false" ht="15" hidden="false" customHeight="false" outlineLevel="0" collapsed="false">
      <c r="A3907" s="8" t="s">
        <v>1081</v>
      </c>
      <c r="B3907" s="8" t="s">
        <v>114</v>
      </c>
      <c r="C3907" s="19" t="n">
        <v>0</v>
      </c>
      <c r="D3907" s="19" t="n">
        <v>0</v>
      </c>
      <c r="E3907" s="19" t="n">
        <v>10</v>
      </c>
      <c r="F3907" s="19" t="n">
        <v>261.11</v>
      </c>
      <c r="G3907" s="8" t="n">
        <f aca="false">IFERROR(INDEX('TRANS'!$B:$B,MATCH($B3907,'TRANS'!$A:$A,0)),IFERROR(INDEX('TRANS'!$B:$B,MATCH(TRIM(SUBSTITUTE($B3907,CHAR(160)," ")),'TRANS'!$D:$D,0)),IFERROR(INDEX('Catalog'!$A:$A,MATCH($B3907,'Catalog'!$B:$B,0)),IFERROR(INDEX('Catalog'!$A:$A,MATCH(TRIM(SUBSTITUTE($B3907,CHAR(160)," ")),'Catalog'!$C:$C,0)),""))))</f>
        <v>4413348</v>
      </c>
      <c r="H3907" s="8" t="str">
        <f aca="false">IFERROR(INDEX('TRANS'!$C:$C,MATCH($B3907,'TRANS'!$A:$A,0)),IFERROR(INDEX('Catalog'!$B:$B,MATCH($G3907,'Catalog'!$A:$A,0)),$B3907))</f>
        <v>302 מדרס ג'ל לגבר</v>
      </c>
      <c r="I3907" s="8" t="str">
        <f aca="false">IF($G3907="","Unmatched","Matched")</f>
        <v>Matched</v>
      </c>
    </row>
    <row r="3908" customFormat="false" ht="15" hidden="false" customHeight="false" outlineLevel="0" collapsed="false">
      <c r="A3908" s="8" t="s">
        <v>1081</v>
      </c>
      <c r="B3908" s="8" t="s">
        <v>115</v>
      </c>
      <c r="C3908" s="19" t="n">
        <v>10</v>
      </c>
      <c r="D3908" s="19" t="n">
        <v>277.38</v>
      </c>
      <c r="E3908" s="19" t="n">
        <v>10</v>
      </c>
      <c r="F3908" s="19" t="n">
        <v>244.48</v>
      </c>
      <c r="G3908" s="8" t="n">
        <f aca="false">IFERROR(INDEX('TRANS'!$B:$B,MATCH($B3908,'TRANS'!$A:$A,0)),IFERROR(INDEX('TRANS'!$B:$B,MATCH(TRIM(SUBSTITUTE($B3908,CHAR(160)," ")),'TRANS'!$D:$D,0)),IFERROR(INDEX('Catalog'!$A:$A,MATCH($B3908,'Catalog'!$B:$B,0)),IFERROR(INDEX('Catalog'!$A:$A,MATCH(TRIM(SUBSTITUTE($B3908,CHAR(160)," ")),'Catalog'!$C:$C,0)),""))))</f>
        <v>4413372</v>
      </c>
      <c r="H3908" s="8" t="str">
        <f aca="false">IFERROR(INDEX('TRANS'!$C:$C,MATCH($B3908,'TRANS'!$A:$A,0)),IFERROR(INDEX('Catalog'!$B:$B,MATCH($G3908,'Catalog'!$A:$A,0)),$B3908))</f>
        <v>302 W מדרס לאישה</v>
      </c>
      <c r="I3908" s="8" t="str">
        <f aca="false">IF($G3908="","Unmatched","Matched")</f>
        <v>Matched</v>
      </c>
    </row>
    <row r="3909" customFormat="false" ht="15" hidden="false" customHeight="false" outlineLevel="0" collapsed="false">
      <c r="A3909" s="8" t="s">
        <v>1081</v>
      </c>
      <c r="B3909" s="8" t="s">
        <v>120</v>
      </c>
      <c r="C3909" s="19" t="n">
        <v>25</v>
      </c>
      <c r="D3909" s="19" t="n">
        <v>764.19</v>
      </c>
      <c r="E3909" s="19" t="n">
        <v>25</v>
      </c>
      <c r="F3909" s="19" t="n">
        <v>652.79</v>
      </c>
      <c r="G3909" s="8" t="n">
        <f aca="false">IFERROR(INDEX('TRANS'!$B:$B,MATCH($B3909,'TRANS'!$A:$A,0)),IFERROR(INDEX('TRANS'!$B:$B,MATCH(TRIM(SUBSTITUTE($B3909,CHAR(160)," ")),'TRANS'!$D:$D,0)),IFERROR(INDEX('Catalog'!$A:$A,MATCH($B3909,'Catalog'!$B:$B,0)),IFERROR(INDEX('Catalog'!$A:$A,MATCH(TRIM(SUBSTITUTE($B3909,CHAR(160)," ")),'Catalog'!$C:$C,0)),""))))</f>
        <v>4416000</v>
      </c>
      <c r="H3909" s="8" t="str">
        <f aca="false">IFERROR(INDEX('TRANS'!$C:$C,MATCH($B3909,'TRANS'!$A:$A,0)),IFERROR(INDEX('Catalog'!$B:$B,MATCH($G3909,'Catalog'!$A:$A,0)),$B3909))</f>
        <v>307 L עקבים לדורבן-זוג כריות</v>
      </c>
      <c r="I3909" s="8" t="str">
        <f aca="false">IF($G3909="","Unmatched","Matched")</f>
        <v>Matched</v>
      </c>
    </row>
    <row r="3910" customFormat="false" ht="15" hidden="false" customHeight="false" outlineLevel="0" collapsed="false">
      <c r="A3910" s="8" t="s">
        <v>1081</v>
      </c>
      <c r="B3910" s="8" t="s">
        <v>121</v>
      </c>
      <c r="C3910" s="19" t="n">
        <v>45</v>
      </c>
      <c r="D3910" s="19" t="n">
        <v>1380.26</v>
      </c>
      <c r="E3910" s="19" t="n">
        <v>40</v>
      </c>
      <c r="F3910" s="19" t="n">
        <v>1044.46</v>
      </c>
      <c r="G3910" s="8" t="n">
        <f aca="false">IFERROR(INDEX('TRANS'!$B:$B,MATCH($B3910,'TRANS'!$A:$A,0)),IFERROR(INDEX('TRANS'!$B:$B,MATCH(TRIM(SUBSTITUTE($B3910,CHAR(160)," ")),'TRANS'!$D:$D,0)),IFERROR(INDEX('Catalog'!$A:$A,MATCH($B3910,'Catalog'!$B:$B,0)),IFERROR(INDEX('Catalog'!$A:$A,MATCH(TRIM(SUBSTITUTE($B3910,CHAR(160)," ")),'Catalog'!$C:$C,0)),""))))</f>
        <v>4416001</v>
      </c>
      <c r="H3910" s="8" t="str">
        <f aca="false">IFERROR(INDEX('TRANS'!$C:$C,MATCH($B3910,'TRANS'!$A:$A,0)),IFERROR(INDEX('Catalog'!$B:$B,MATCH($G3910,'Catalog'!$A:$A,0)),$B3910))</f>
        <v>307 M עקבים לדורבן-זוג כריות</v>
      </c>
      <c r="I3910" s="8" t="str">
        <f aca="false">IF($G3910="","Unmatched","Matched")</f>
        <v>Matched</v>
      </c>
    </row>
    <row r="3911" customFormat="false" ht="15" hidden="false" customHeight="false" outlineLevel="0" collapsed="false">
      <c r="A3911" s="8" t="s">
        <v>1081</v>
      </c>
      <c r="B3911" s="8" t="s">
        <v>647</v>
      </c>
      <c r="C3911" s="19" t="n">
        <v>20</v>
      </c>
      <c r="D3911" s="19" t="n">
        <v>592.5</v>
      </c>
      <c r="E3911" s="19" t="n">
        <v>10</v>
      </c>
      <c r="F3911" s="19" t="n">
        <v>261.11</v>
      </c>
      <c r="G3911" s="8" t="n">
        <f aca="false">IFERROR(INDEX('TRANS'!$B:$B,MATCH($B3911,'TRANS'!$A:$A,0)),IFERROR(INDEX('TRANS'!$B:$B,MATCH(TRIM(SUBSTITUTE($B3911,CHAR(160)," ")),'TRANS'!$D:$D,0)),IFERROR(INDEX('Catalog'!$A:$A,MATCH($B3911,'Catalog'!$B:$B,0)),IFERROR(INDEX('Catalog'!$A:$A,MATCH(TRIM(SUBSTITUTE($B3911,CHAR(160)," ")),'Catalog'!$C:$C,0)),""))))</f>
        <v>4416002</v>
      </c>
      <c r="H3911" s="8" t="str">
        <f aca="false">IFERROR(INDEX('TRANS'!$C:$C,MATCH($B3911,'TRANS'!$A:$A,0)),IFERROR(INDEX('Catalog'!$B:$B,MATCH($G3911,'Catalog'!$A:$A,0)),$B3911))</f>
        <v>307 S עקבים לדורבן-זוג כריות</v>
      </c>
      <c r="I3911" s="8" t="str">
        <f aca="false">IF($G3911="","Unmatched","Matched")</f>
        <v>Matched</v>
      </c>
    </row>
    <row r="3912" customFormat="false" ht="15" hidden="false" customHeight="false" outlineLevel="0" collapsed="false">
      <c r="A3912" s="8" t="s">
        <v>1081</v>
      </c>
      <c r="B3912" s="8" t="s">
        <v>563</v>
      </c>
      <c r="C3912" s="19" t="n">
        <v>20</v>
      </c>
      <c r="D3912" s="19" t="n">
        <v>515.23</v>
      </c>
      <c r="E3912" s="19" t="n">
        <v>0</v>
      </c>
      <c r="F3912" s="19" t="n">
        <v>0</v>
      </c>
      <c r="G3912" s="8" t="n">
        <f aca="false">IFERROR(INDEX('TRANS'!$B:$B,MATCH($B3912,'TRANS'!$A:$A,0)),IFERROR(INDEX('TRANS'!$B:$B,MATCH(TRIM(SUBSTITUTE($B3912,CHAR(160)," ")),'TRANS'!$D:$D,0)),IFERROR(INDEX('Catalog'!$A:$A,MATCH($B3912,'Catalog'!$B:$B,0)),IFERROR(INDEX('Catalog'!$A:$A,MATCH(TRIM(SUBSTITUTE($B3912,CHAR(160)," ")),'Catalog'!$C:$C,0)),""))))</f>
        <v>4416003</v>
      </c>
      <c r="H3912" s="8" t="str">
        <f aca="false">IFERROR(INDEX('TRANS'!$C:$C,MATCH($B3912,'TRANS'!$A:$A,0)),IFERROR(INDEX('Catalog'!$B:$B,MATCH($G3912,'Catalog'!$A:$A,0)),$B3912))</f>
        <v>308 Lעקבים סיליקון כחול לדורבן</v>
      </c>
      <c r="I3912" s="8" t="str">
        <f aca="false">IF($G3912="","Unmatched","Matched")</f>
        <v>Matched</v>
      </c>
    </row>
    <row r="3913" customFormat="false" ht="15" hidden="false" customHeight="false" outlineLevel="0" collapsed="false">
      <c r="A3913" s="8" t="s">
        <v>1081</v>
      </c>
      <c r="B3913" s="8" t="s">
        <v>123</v>
      </c>
      <c r="C3913" s="19" t="n">
        <v>25</v>
      </c>
      <c r="D3913" s="19" t="n">
        <v>647.37</v>
      </c>
      <c r="E3913" s="19" t="n">
        <v>15</v>
      </c>
      <c r="F3913" s="19" t="n">
        <v>331.8</v>
      </c>
      <c r="G3913" s="8" t="n">
        <f aca="false">IFERROR(INDEX('TRANS'!$B:$B,MATCH($B3913,'TRANS'!$A:$A,0)),IFERROR(INDEX('TRANS'!$B:$B,MATCH(TRIM(SUBSTITUTE($B3913,CHAR(160)," ")),'TRANS'!$D:$D,0)),IFERROR(INDEX('Catalog'!$A:$A,MATCH($B3913,'Catalog'!$B:$B,0)),IFERROR(INDEX('Catalog'!$A:$A,MATCH(TRIM(SUBSTITUTE($B3913,CHAR(160)," ")),'Catalog'!$C:$C,0)),""))))</f>
        <v>4416005</v>
      </c>
      <c r="H3913" s="8" t="str">
        <f aca="false">IFERROR(INDEX('TRANS'!$C:$C,MATCH($B3913,'TRANS'!$A:$A,0)),IFERROR(INDEX('Catalog'!$B:$B,MATCH($G3913,'Catalog'!$A:$A,0)),$B3913))</f>
        <v>308 Mעקבים סיליק.כחול לדורבן</v>
      </c>
      <c r="I3913" s="8" t="str">
        <f aca="false">IF($G3913="","Unmatched","Matched")</f>
        <v>Matched</v>
      </c>
    </row>
    <row r="3914" customFormat="false" ht="15" hidden="false" customHeight="false" outlineLevel="0" collapsed="false">
      <c r="A3914" s="8" t="s">
        <v>1081</v>
      </c>
      <c r="B3914" s="8" t="s">
        <v>125</v>
      </c>
      <c r="C3914" s="19" t="n">
        <v>10</v>
      </c>
      <c r="D3914" s="19" t="n">
        <v>79.25</v>
      </c>
      <c r="E3914" s="19" t="n">
        <v>10</v>
      </c>
      <c r="F3914" s="19" t="n">
        <v>69.85</v>
      </c>
      <c r="G3914" s="8" t="n">
        <f aca="false">IFERROR(INDEX('TRANS'!$B:$B,MATCH($B3914,'TRANS'!$A:$A,0)),IFERROR(INDEX('TRANS'!$B:$B,MATCH(TRIM(SUBSTITUTE($B3914,CHAR(160)," ")),'TRANS'!$D:$D,0)),IFERROR(INDEX('Catalog'!$A:$A,MATCH($B3914,'Catalog'!$B:$B,0)),IFERROR(INDEX('Catalog'!$A:$A,MATCH(TRIM(SUBSTITUTE($B3914,CHAR(160)," ")),'Catalog'!$C:$C,0)),""))))</f>
        <v>4413034</v>
      </c>
      <c r="H3914" s="8" t="str">
        <f aca="false">IFERROR(INDEX('TRANS'!$C:$C,MATCH($B3914,'TRANS'!$A:$A,0)),IFERROR(INDEX('Catalog'!$B:$B,MATCH($G3914,'Catalog'!$A:$A,0)),$B3914))</f>
        <v>312 9 מ""""ס להתאמהX5 מדבקה גדולה</v>
      </c>
      <c r="I3914" s="8" t="str">
        <f aca="false">IF($G3914="","Unmatched","Matched")</f>
        <v>Matched</v>
      </c>
    </row>
    <row r="3915" customFormat="false" ht="15" hidden="false" customHeight="false" outlineLevel="0" collapsed="false">
      <c r="A3915" s="8" t="s">
        <v>1081</v>
      </c>
      <c r="B3915" s="8" t="s">
        <v>130</v>
      </c>
      <c r="C3915" s="19" t="n">
        <v>0</v>
      </c>
      <c r="D3915" s="19" t="n">
        <v>0</v>
      </c>
      <c r="E3915" s="19" t="n">
        <v>8</v>
      </c>
      <c r="F3915" s="19" t="n">
        <v>493.62</v>
      </c>
      <c r="G3915" s="8" t="str">
        <f aca="false">IFERROR(INDEX('TRANS'!$B:$B,MATCH($B3915,'TRANS'!$A:$A,0)),IFERROR(INDEX('TRANS'!$B:$B,MATCH(TRIM(SUBSTITUTE($B3915,CHAR(160)," ")),'TRANS'!$D:$D,0)),IFERROR(INDEX('Catalog'!$A:$A,MATCH($B3915,'Catalog'!$B:$B,0)),IFERROR(INDEX('Catalog'!$A:$A,MATCH(TRIM(SUBSTITUTE($B3915,CHAR(160)," ")),'Catalog'!$C:$C,0)),""))))</f>
        <v/>
      </c>
      <c r="H3915" s="8" t="str">
        <f aca="false">IFERROR(INDEX('TRANS'!$C:$C,MATCH($B3915,'TRANS'!$A:$A,0)),IFERROR(INDEX('Catalog'!$B:$B,MATCH($G3915,'Catalog'!$A:$A,0)),$B3915))</f>
        <v>332B L</v>
      </c>
      <c r="I3915" s="8" t="str">
        <f aca="false">IF($G3915="","Unmatched","Matched")</f>
        <v>Unmatched</v>
      </c>
    </row>
    <row r="3916" customFormat="false" ht="15" hidden="false" customHeight="false" outlineLevel="0" collapsed="false">
      <c r="A3916" s="8" t="s">
        <v>1081</v>
      </c>
      <c r="B3916" s="8" t="s">
        <v>593</v>
      </c>
      <c r="C3916" s="19" t="n">
        <v>0</v>
      </c>
      <c r="D3916" s="19" t="n">
        <v>0</v>
      </c>
      <c r="E3916" s="19" t="n">
        <v>8</v>
      </c>
      <c r="F3916" s="19" t="n">
        <v>493.62</v>
      </c>
      <c r="G3916" s="8" t="str">
        <f aca="false">IFERROR(INDEX('TRANS'!$B:$B,MATCH($B3916,'TRANS'!$A:$A,0)),IFERROR(INDEX('TRANS'!$B:$B,MATCH(TRIM(SUBSTITUTE($B3916,CHAR(160)," ")),'TRANS'!$D:$D,0)),IFERROR(INDEX('Catalog'!$A:$A,MATCH($B3916,'Catalog'!$B:$B,0)),IFERROR(INDEX('Catalog'!$A:$A,MATCH(TRIM(SUBSTITUTE($B3916,CHAR(160)," ")),'Catalog'!$C:$C,0)),""))))</f>
        <v/>
      </c>
      <c r="H3916" s="8" t="str">
        <f aca="false">IFERROR(INDEX('TRANS'!$C:$C,MATCH($B3916,'TRANS'!$A:$A,0)),IFERROR(INDEX('Catalog'!$B:$B,MATCH($G3916,'Catalog'!$A:$A,0)),$B3916))</f>
        <v>332B M</v>
      </c>
      <c r="I3916" s="8" t="str">
        <f aca="false">IF($G3916="","Unmatched","Matched")</f>
        <v>Unmatched</v>
      </c>
    </row>
    <row r="3917" customFormat="false" ht="15" hidden="false" customHeight="false" outlineLevel="0" collapsed="false">
      <c r="A3917" s="8" t="s">
        <v>1081</v>
      </c>
      <c r="B3917" s="8" t="s">
        <v>825</v>
      </c>
      <c r="C3917" s="19" t="n">
        <v>0</v>
      </c>
      <c r="D3917" s="19" t="n">
        <v>0</v>
      </c>
      <c r="E3917" s="19" t="n">
        <v>4</v>
      </c>
      <c r="F3917" s="19" t="n">
        <v>246.81</v>
      </c>
      <c r="G3917" s="8" t="str">
        <f aca="false">IFERROR(INDEX('TRANS'!$B:$B,MATCH($B3917,'TRANS'!$A:$A,0)),IFERROR(INDEX('TRANS'!$B:$B,MATCH(TRIM(SUBSTITUTE($B3917,CHAR(160)," ")),'TRANS'!$D:$D,0)),IFERROR(INDEX('Catalog'!$A:$A,MATCH($B3917,'Catalog'!$B:$B,0)),IFERROR(INDEX('Catalog'!$A:$A,MATCH(TRIM(SUBSTITUTE($B3917,CHAR(160)," ")),'Catalog'!$C:$C,0)),""))))</f>
        <v/>
      </c>
      <c r="H3917" s="8" t="str">
        <f aca="false">IFERROR(INDEX('TRANS'!$C:$C,MATCH($B3917,'TRANS'!$A:$A,0)),IFERROR(INDEX('Catalog'!$B:$B,MATCH($G3917,'Catalog'!$A:$A,0)),$B3917))</f>
        <v>332B S</v>
      </c>
      <c r="I3917" s="8" t="str">
        <f aca="false">IF($G3917="","Unmatched","Matched")</f>
        <v>Unmatched</v>
      </c>
    </row>
    <row r="3918" customFormat="false" ht="15" hidden="false" customHeight="false" outlineLevel="0" collapsed="false">
      <c r="A3918" s="8" t="s">
        <v>1081</v>
      </c>
      <c r="B3918" s="8" t="s">
        <v>594</v>
      </c>
      <c r="C3918" s="19" t="n">
        <v>0</v>
      </c>
      <c r="D3918" s="19" t="n">
        <v>0</v>
      </c>
      <c r="E3918" s="19" t="n">
        <v>2</v>
      </c>
      <c r="F3918" s="19" t="n">
        <v>123.41</v>
      </c>
      <c r="G3918" s="8" t="str">
        <f aca="false">IFERROR(INDEX('TRANS'!$B:$B,MATCH($B3918,'TRANS'!$A:$A,0)),IFERROR(INDEX('TRANS'!$B:$B,MATCH(TRIM(SUBSTITUTE($B3918,CHAR(160)," ")),'TRANS'!$D:$D,0)),IFERROR(INDEX('Catalog'!$A:$A,MATCH($B3918,'Catalog'!$B:$B,0)),IFERROR(INDEX('Catalog'!$A:$A,MATCH(TRIM(SUBSTITUTE($B3918,CHAR(160)," ")),'Catalog'!$C:$C,0)),""))))</f>
        <v/>
      </c>
      <c r="H3918" s="8" t="str">
        <f aca="false">IFERROR(INDEX('TRANS'!$C:$C,MATCH($B3918,'TRANS'!$A:$A,0)),IFERROR(INDEX('Catalog'!$B:$B,MATCH($G3918,'Catalog'!$A:$A,0)),$B3918))</f>
        <v>332B XL</v>
      </c>
      <c r="I3918" s="8" t="str">
        <f aca="false">IF($G3918="","Unmatched","Matched")</f>
        <v>Unmatched</v>
      </c>
    </row>
    <row r="3919" customFormat="false" ht="15" hidden="false" customHeight="false" outlineLevel="0" collapsed="false">
      <c r="A3919" s="8" t="s">
        <v>1081</v>
      </c>
      <c r="B3919" s="8" t="s">
        <v>595</v>
      </c>
      <c r="C3919" s="19" t="n">
        <v>0</v>
      </c>
      <c r="D3919" s="19" t="n">
        <v>0</v>
      </c>
      <c r="E3919" s="19" t="n">
        <v>4</v>
      </c>
      <c r="F3919" s="19" t="n">
        <v>246.81</v>
      </c>
      <c r="G3919" s="8" t="str">
        <f aca="false">IFERROR(INDEX('TRANS'!$B:$B,MATCH($B3919,'TRANS'!$A:$A,0)),IFERROR(INDEX('TRANS'!$B:$B,MATCH(TRIM(SUBSTITUTE($B3919,CHAR(160)," ")),'TRANS'!$D:$D,0)),IFERROR(INDEX('Catalog'!$A:$A,MATCH($B3919,'Catalog'!$B:$B,0)),IFERROR(INDEX('Catalog'!$A:$A,MATCH(TRIM(SUBSTITUTE($B3919,CHAR(160)," ")),'Catalog'!$C:$C,0)),""))))</f>
        <v/>
      </c>
      <c r="H3919" s="8" t="str">
        <f aca="false">IFERROR(INDEX('TRANS'!$C:$C,MATCH($B3919,'TRANS'!$A:$A,0)),IFERROR(INDEX('Catalog'!$B:$B,MATCH($G3919,'Catalog'!$A:$A,0)),$B3919))</f>
        <v>332B XXL</v>
      </c>
      <c r="I3919" s="8" t="str">
        <f aca="false">IF($G3919="","Unmatched","Matched")</f>
        <v>Unmatched</v>
      </c>
    </row>
    <row r="3920" customFormat="false" ht="15" hidden="false" customHeight="false" outlineLevel="0" collapsed="false">
      <c r="A3920" s="8" t="s">
        <v>1081</v>
      </c>
      <c r="B3920" s="8" t="s">
        <v>135</v>
      </c>
      <c r="C3920" s="19" t="n">
        <v>25</v>
      </c>
      <c r="D3920" s="19" t="n">
        <v>298.68</v>
      </c>
      <c r="E3920" s="19" t="n">
        <v>0</v>
      </c>
      <c r="F3920" s="19" t="n">
        <v>0</v>
      </c>
      <c r="G3920" s="8" t="n">
        <f aca="false">IFERROR(INDEX('TRANS'!$B:$B,MATCH($B3920,'TRANS'!$A:$A,0)),IFERROR(INDEX('TRANS'!$B:$B,MATCH(TRIM(SUBSTITUTE($B3920,CHAR(160)," ")),'TRANS'!$D:$D,0)),IFERROR(INDEX('Catalog'!$A:$A,MATCH($B3920,'Catalog'!$B:$B,0)),IFERROR(INDEX('Catalog'!$A:$A,MATCH(TRIM(SUBSTITUTE($B3920,CHAR(160)," ")),'Catalog'!$C:$C,0)),""))))</f>
        <v>4413490</v>
      </c>
      <c r="H3920" s="8" t="str">
        <f aca="false">IFERROR(INDEX('TRANS'!$C:$C,MATCH($B3920,'TRANS'!$A:$A,0)),IFERROR(INDEX('Catalog'!$B:$B,MATCH($G3920,'Catalog'!$A:$A,0)),$B3920))</f>
        <v>35B L מגן קרסול שחור</v>
      </c>
      <c r="I3920" s="8" t="str">
        <f aca="false">IF($G3920="","Unmatched","Matched")</f>
        <v>Matched</v>
      </c>
    </row>
    <row r="3921" customFormat="false" ht="15" hidden="false" customHeight="false" outlineLevel="0" collapsed="false">
      <c r="A3921" s="8" t="s">
        <v>1081</v>
      </c>
      <c r="B3921" s="8" t="s">
        <v>136</v>
      </c>
      <c r="C3921" s="19" t="n">
        <v>20</v>
      </c>
      <c r="D3921" s="19" t="n">
        <v>240.18</v>
      </c>
      <c r="E3921" s="19" t="n">
        <v>10</v>
      </c>
      <c r="F3921" s="19" t="n">
        <v>103.12</v>
      </c>
      <c r="G3921" s="8" t="n">
        <f aca="false">IFERROR(INDEX('TRANS'!$B:$B,MATCH($B3921,'TRANS'!$A:$A,0)),IFERROR(INDEX('TRANS'!$B:$B,MATCH(TRIM(SUBSTITUTE($B3921,CHAR(160)," ")),'TRANS'!$D:$D,0)),IFERROR(INDEX('Catalog'!$A:$A,MATCH($B3921,'Catalog'!$B:$B,0)),IFERROR(INDEX('Catalog'!$A:$A,MATCH(TRIM(SUBSTITUTE($B3921,CHAR(160)," ")),'Catalog'!$C:$C,0)),""))))</f>
        <v>4413492</v>
      </c>
      <c r="H3921" s="8" t="str">
        <f aca="false">IFERROR(INDEX('TRANS'!$C:$C,MATCH($B3921,'TRANS'!$A:$A,0)),IFERROR(INDEX('Catalog'!$B:$B,MATCH($G3921,'Catalog'!$A:$A,0)),$B3921))</f>
        <v>35B M מגן קרסול שחור</v>
      </c>
      <c r="I3921" s="8" t="str">
        <f aca="false">IF($G3921="","Unmatched","Matched")</f>
        <v>Matched</v>
      </c>
    </row>
    <row r="3922" customFormat="false" ht="15" hidden="false" customHeight="false" outlineLevel="0" collapsed="false">
      <c r="A3922" s="8" t="s">
        <v>1081</v>
      </c>
      <c r="B3922" s="8" t="s">
        <v>137</v>
      </c>
      <c r="C3922" s="19" t="n">
        <v>17</v>
      </c>
      <c r="D3922" s="19" t="n">
        <v>205.08</v>
      </c>
      <c r="E3922" s="19" t="n">
        <v>4</v>
      </c>
      <c r="F3922" s="19" t="n">
        <v>41.25</v>
      </c>
      <c r="G3922" s="8" t="n">
        <f aca="false">IFERROR(INDEX('TRANS'!$B:$B,MATCH($B3922,'TRANS'!$A:$A,0)),IFERROR(INDEX('TRANS'!$B:$B,MATCH(TRIM(SUBSTITUTE($B3922,CHAR(160)," ")),'TRANS'!$D:$D,0)),IFERROR(INDEX('Catalog'!$A:$A,MATCH($B3922,'Catalog'!$B:$B,0)),IFERROR(INDEX('Catalog'!$A:$A,MATCH(TRIM(SUBSTITUTE($B3922,CHAR(160)," ")),'Catalog'!$C:$C,0)),""))))</f>
        <v>4413493</v>
      </c>
      <c r="H3922" s="8" t="str">
        <f aca="false">IFERROR(INDEX('TRANS'!$C:$C,MATCH($B3922,'TRANS'!$A:$A,0)),IFERROR(INDEX('Catalog'!$B:$B,MATCH($G3922,'Catalog'!$A:$A,0)),$B3922))</f>
        <v>35B S מגן קרסול שחור</v>
      </c>
      <c r="I3922" s="8" t="str">
        <f aca="false">IF($G3922="","Unmatched","Matched")</f>
        <v>Matched</v>
      </c>
    </row>
    <row r="3923" customFormat="false" ht="15" hidden="false" customHeight="false" outlineLevel="0" collapsed="false">
      <c r="A3923" s="8" t="s">
        <v>1081</v>
      </c>
      <c r="B3923" s="8" t="s">
        <v>138</v>
      </c>
      <c r="C3923" s="19" t="n">
        <v>20</v>
      </c>
      <c r="D3923" s="19" t="n">
        <v>240.18</v>
      </c>
      <c r="E3923" s="19" t="n">
        <v>0</v>
      </c>
      <c r="F3923" s="19" t="n">
        <v>0</v>
      </c>
      <c r="G3923" s="8" t="n">
        <f aca="false">IFERROR(INDEX('TRANS'!$B:$B,MATCH($B3923,'TRANS'!$A:$A,0)),IFERROR(INDEX('TRANS'!$B:$B,MATCH(TRIM(SUBSTITUTE($B3923,CHAR(160)," ")),'TRANS'!$D:$D,0)),IFERROR(INDEX('Catalog'!$A:$A,MATCH($B3923,'Catalog'!$B:$B,0)),IFERROR(INDEX('Catalog'!$A:$A,MATCH(TRIM(SUBSTITUTE($B3923,CHAR(160)," ")),'Catalog'!$C:$C,0)),""))))</f>
        <v>4413491</v>
      </c>
      <c r="H3923" s="8" t="str">
        <f aca="false">IFERROR(INDEX('TRANS'!$C:$C,MATCH($B3923,'TRANS'!$A:$A,0)),IFERROR(INDEX('Catalog'!$B:$B,MATCH($G3923,'Catalog'!$A:$A,0)),$B3923))</f>
        <v>35B XL מגן קרסול שחור</v>
      </c>
      <c r="I3923" s="8" t="str">
        <f aca="false">IF($G3923="","Unmatched","Matched")</f>
        <v>Matched</v>
      </c>
    </row>
    <row r="3924" customFormat="false" ht="15" hidden="false" customHeight="false" outlineLevel="0" collapsed="false">
      <c r="A3924" s="8" t="s">
        <v>1081</v>
      </c>
      <c r="B3924" s="8" t="s">
        <v>139</v>
      </c>
      <c r="C3924" s="19" t="n">
        <v>0</v>
      </c>
      <c r="D3924" s="19" t="n">
        <v>0</v>
      </c>
      <c r="E3924" s="19" t="n">
        <v>9</v>
      </c>
      <c r="F3924" s="19" t="n">
        <v>92.8</v>
      </c>
      <c r="G3924" s="8" t="n">
        <f aca="false">IFERROR(INDEX('TRANS'!$B:$B,MATCH($B3924,'TRANS'!$A:$A,0)),IFERROR(INDEX('TRANS'!$B:$B,MATCH(TRIM(SUBSTITUTE($B3924,CHAR(160)," ")),'TRANS'!$D:$D,0)),IFERROR(INDEX('Catalog'!$A:$A,MATCH($B3924,'Catalog'!$B:$B,0)),IFERROR(INDEX('Catalog'!$A:$A,MATCH(TRIM(SUBSTITUTE($B3924,CHAR(160)," ")),'Catalog'!$C:$C,0)),""))))</f>
        <v>4413494</v>
      </c>
      <c r="H3924" s="8" t="str">
        <f aca="false">IFERROR(INDEX('TRANS'!$C:$C,MATCH($B3924,'TRANS'!$A:$A,0)),IFERROR(INDEX('Catalog'!$B:$B,MATCH($G3924,'Catalog'!$A:$A,0)),$B3924))</f>
        <v>35B XXL מגן קרסול שחור</v>
      </c>
      <c r="I3924" s="8" t="str">
        <f aca="false">IF($G3924="","Unmatched","Matched")</f>
        <v>Matched</v>
      </c>
    </row>
    <row r="3925" customFormat="false" ht="15" hidden="false" customHeight="false" outlineLevel="0" collapsed="false">
      <c r="A3925" s="8" t="s">
        <v>1081</v>
      </c>
      <c r="B3925" s="8" t="s">
        <v>140</v>
      </c>
      <c r="C3925" s="19" t="n">
        <v>10</v>
      </c>
      <c r="D3925" s="19" t="n">
        <v>117.23</v>
      </c>
      <c r="E3925" s="19" t="n">
        <v>0</v>
      </c>
      <c r="F3925" s="19" t="n">
        <v>0</v>
      </c>
      <c r="G3925" s="8" t="n">
        <f aca="false">IFERROR(INDEX('TRANS'!$B:$B,MATCH($B3925,'TRANS'!$A:$A,0)),IFERROR(INDEX('TRANS'!$B:$B,MATCH(TRIM(SUBSTITUTE($B3925,CHAR(160)," ")),'TRANS'!$D:$D,0)),IFERROR(INDEX('Catalog'!$A:$A,MATCH($B3925,'Catalog'!$B:$B,0)),IFERROR(INDEX('Catalog'!$A:$A,MATCH(TRIM(SUBSTITUTE($B3925,CHAR(160)," ")),'Catalog'!$C:$C,0)),""))))</f>
        <v>4413053</v>
      </c>
      <c r="H3925" s="8" t="str">
        <f aca="false">IFERROR(INDEX('TRANS'!$C:$C,MATCH($B3925,'TRANS'!$A:$A,0)),IFERROR(INDEX('Catalog'!$B:$B,MATCH($G3925,'Catalog'!$A:$A,0)),$B3925))</f>
        <v>35C L מגן קרסול חום</v>
      </c>
      <c r="I3925" s="8" t="str">
        <f aca="false">IF($G3925="","Unmatched","Matched")</f>
        <v>Matched</v>
      </c>
    </row>
    <row r="3926" customFormat="false" ht="15" hidden="false" customHeight="false" outlineLevel="0" collapsed="false">
      <c r="A3926" s="8" t="s">
        <v>1081</v>
      </c>
      <c r="B3926" s="8" t="s">
        <v>141</v>
      </c>
      <c r="C3926" s="19" t="n">
        <v>19</v>
      </c>
      <c r="D3926" s="19" t="n">
        <v>220.38</v>
      </c>
      <c r="E3926" s="19" t="n">
        <v>0</v>
      </c>
      <c r="F3926" s="19" t="n">
        <v>0</v>
      </c>
      <c r="G3926" s="8" t="n">
        <f aca="false">IFERROR(INDEX('TRANS'!$B:$B,MATCH($B3926,'TRANS'!$A:$A,0)),IFERROR(INDEX('TRANS'!$B:$B,MATCH(TRIM(SUBSTITUTE($B3926,CHAR(160)," ")),'TRANS'!$D:$D,0)),IFERROR(INDEX('Catalog'!$A:$A,MATCH($B3926,'Catalog'!$B:$B,0)),IFERROR(INDEX('Catalog'!$A:$A,MATCH(TRIM(SUBSTITUTE($B3926,CHAR(160)," ")),'Catalog'!$C:$C,0)),""))))</f>
        <v>4413054</v>
      </c>
      <c r="H3926" s="8" t="str">
        <f aca="false">IFERROR(INDEX('TRANS'!$C:$C,MATCH($B3926,'TRANS'!$A:$A,0)),IFERROR(INDEX('Catalog'!$B:$B,MATCH($G3926,'Catalog'!$A:$A,0)),$B3926))</f>
        <v>35C M מגן קרסול חום</v>
      </c>
      <c r="I3926" s="8" t="str">
        <f aca="false">IF($G3926="","Unmatched","Matched")</f>
        <v>Matched</v>
      </c>
    </row>
    <row r="3927" customFormat="false" ht="15" hidden="false" customHeight="false" outlineLevel="0" collapsed="false">
      <c r="A3927" s="8" t="s">
        <v>1081</v>
      </c>
      <c r="B3927" s="8" t="s">
        <v>142</v>
      </c>
      <c r="C3927" s="19" t="n">
        <v>8</v>
      </c>
      <c r="D3927" s="19" t="n">
        <v>92.61</v>
      </c>
      <c r="E3927" s="19" t="n">
        <v>6</v>
      </c>
      <c r="F3927" s="19" t="n">
        <v>58.88</v>
      </c>
      <c r="G3927" s="8" t="n">
        <f aca="false">IFERROR(INDEX('TRANS'!$B:$B,MATCH($B3927,'TRANS'!$A:$A,0)),IFERROR(INDEX('TRANS'!$B:$B,MATCH(TRIM(SUBSTITUTE($B3927,CHAR(160)," ")),'TRANS'!$D:$D,0)),IFERROR(INDEX('Catalog'!$A:$A,MATCH($B3927,'Catalog'!$B:$B,0)),IFERROR(INDEX('Catalog'!$A:$A,MATCH(TRIM(SUBSTITUTE($B3927,CHAR(160)," ")),'Catalog'!$C:$C,0)),""))))</f>
        <v>4413052</v>
      </c>
      <c r="H3927" s="8" t="str">
        <f aca="false">IFERROR(INDEX('TRANS'!$C:$C,MATCH($B3927,'TRANS'!$A:$A,0)),IFERROR(INDEX('Catalog'!$B:$B,MATCH($G3927,'Catalog'!$A:$A,0)),$B3927))</f>
        <v>35C S מגן קרסול חום</v>
      </c>
      <c r="I3927" s="8" t="str">
        <f aca="false">IF($G3927="","Unmatched","Matched")</f>
        <v>Matched</v>
      </c>
    </row>
    <row r="3928" customFormat="false" ht="15" hidden="false" customHeight="false" outlineLevel="0" collapsed="false">
      <c r="A3928" s="8" t="s">
        <v>1081</v>
      </c>
      <c r="B3928" s="8" t="s">
        <v>363</v>
      </c>
      <c r="C3928" s="19" t="n">
        <v>10</v>
      </c>
      <c r="D3928" s="19" t="n">
        <v>117.23</v>
      </c>
      <c r="E3928" s="19" t="n">
        <v>0</v>
      </c>
      <c r="F3928" s="19" t="n">
        <v>0</v>
      </c>
      <c r="G3928" s="8" t="n">
        <f aca="false">IFERROR(INDEX('TRANS'!$B:$B,MATCH($B3928,'TRANS'!$A:$A,0)),IFERROR(INDEX('TRANS'!$B:$B,MATCH(TRIM(SUBSTITUTE($B3928,CHAR(160)," ")),'TRANS'!$D:$D,0)),IFERROR(INDEX('Catalog'!$A:$A,MATCH($B3928,'Catalog'!$B:$B,0)),IFERROR(INDEX('Catalog'!$A:$A,MATCH(TRIM(SUBSTITUTE($B3928,CHAR(160)," ")),'Catalog'!$C:$C,0)),""))))</f>
        <v>4413055</v>
      </c>
      <c r="H3928" s="8" t="str">
        <f aca="false">IFERROR(INDEX('TRANS'!$C:$C,MATCH($B3928,'TRANS'!$A:$A,0)),IFERROR(INDEX('Catalog'!$B:$B,MATCH($G3928,'Catalog'!$A:$A,0)),$B3928))</f>
        <v>35C XL מגן קרסול חום</v>
      </c>
      <c r="I3928" s="8" t="str">
        <f aca="false">IF($G3928="","Unmatched","Matched")</f>
        <v>Matched</v>
      </c>
    </row>
    <row r="3929" customFormat="false" ht="15" hidden="false" customHeight="false" outlineLevel="0" collapsed="false">
      <c r="A3929" s="8" t="s">
        <v>1081</v>
      </c>
      <c r="B3929" s="8" t="s">
        <v>144</v>
      </c>
      <c r="C3929" s="19" t="n">
        <v>4</v>
      </c>
      <c r="D3929" s="19" t="n">
        <v>46.89</v>
      </c>
      <c r="E3929" s="19" t="n">
        <v>0</v>
      </c>
      <c r="F3929" s="19" t="n">
        <v>0</v>
      </c>
      <c r="G3929" s="8" t="str">
        <f aca="false">IFERROR(INDEX('TRANS'!$B:$B,MATCH($B3929,'TRANS'!$A:$A,0)),IFERROR(INDEX('TRANS'!$B:$B,MATCH(TRIM(SUBSTITUTE($B3929,CHAR(160)," ")),'TRANS'!$D:$D,0)),IFERROR(INDEX('Catalog'!$A:$A,MATCH($B3929,'Catalog'!$B:$B,0)),IFERROR(INDEX('Catalog'!$A:$A,MATCH(TRIM(SUBSTITUTE($B3929,CHAR(160)," ")),'Catalog'!$C:$C,0)),""))))</f>
        <v/>
      </c>
      <c r="H3929" s="8" t="str">
        <f aca="false">IFERROR(INDEX('TRANS'!$C:$C,MATCH($B3929,'TRANS'!$A:$A,0)),IFERROR(INDEX('Catalog'!$B:$B,MATCH($G3929,'Catalog'!$A:$A,0)),$B3929))</f>
        <v>35C XXL</v>
      </c>
      <c r="I3929" s="8" t="str">
        <f aca="false">IF($G3929="","Unmatched","Matched")</f>
        <v>Unmatched</v>
      </c>
    </row>
    <row r="3930" customFormat="false" ht="15" hidden="false" customHeight="false" outlineLevel="0" collapsed="false">
      <c r="A3930" s="8" t="s">
        <v>1081</v>
      </c>
      <c r="B3930" s="8" t="s">
        <v>145</v>
      </c>
      <c r="C3930" s="19" t="n">
        <v>10</v>
      </c>
      <c r="D3930" s="19" t="n">
        <v>282.15</v>
      </c>
      <c r="E3930" s="19" t="n">
        <v>5</v>
      </c>
      <c r="F3930" s="19" t="n">
        <v>118.08</v>
      </c>
      <c r="G3930" s="8" t="n">
        <f aca="false">IFERROR(INDEX('TRANS'!$B:$B,MATCH($B3930,'TRANS'!$A:$A,0)),IFERROR(INDEX('TRANS'!$B:$B,MATCH(TRIM(SUBSTITUTE($B3930,CHAR(160)," ")),'TRANS'!$D:$D,0)),IFERROR(INDEX('Catalog'!$A:$A,MATCH($B3930,'Catalog'!$B:$B,0)),IFERROR(INDEX('Catalog'!$A:$A,MATCH(TRIM(SUBSTITUTE($B3930,CHAR(160)," ")),'Catalog'!$C:$C,0)),""))))</f>
        <v>4421007</v>
      </c>
      <c r="H3930" s="8" t="str">
        <f aca="false">IFERROR(INDEX('TRANS'!$C:$C,MATCH($B3930,'TRANS'!$A:$A,0)),IFERROR(INDEX('Catalog'!$B:$B,MATCH($G3930,'Catalog'!$A:$A,0)),$B3930))</f>
        <v>שרוול לגבס קצר רגל</v>
      </c>
      <c r="I3930" s="8" t="str">
        <f aca="false">IF($G3930="","Unmatched","Matched")</f>
        <v>Matched</v>
      </c>
    </row>
    <row r="3931" customFormat="false" ht="15" hidden="false" customHeight="false" outlineLevel="0" collapsed="false">
      <c r="A3931" s="8" t="s">
        <v>1081</v>
      </c>
      <c r="B3931" s="8" t="s">
        <v>146</v>
      </c>
      <c r="C3931" s="19" t="n">
        <v>10</v>
      </c>
      <c r="D3931" s="19" t="n">
        <v>290.55</v>
      </c>
      <c r="E3931" s="19" t="n">
        <v>0</v>
      </c>
      <c r="F3931" s="19" t="n">
        <v>0</v>
      </c>
      <c r="G3931" s="8" t="n">
        <f aca="false">IFERROR(INDEX('TRANS'!$B:$B,MATCH($B3931,'TRANS'!$A:$A,0)),IFERROR(INDEX('TRANS'!$B:$B,MATCH(TRIM(SUBSTITUTE($B3931,CHAR(160)," ")),'TRANS'!$D:$D,0)),IFERROR(INDEX('Catalog'!$A:$A,MATCH($B3931,'Catalog'!$B:$B,0)),IFERROR(INDEX('Catalog'!$A:$A,MATCH(TRIM(SUBSTITUTE($B3931,CHAR(160)," ")),'Catalog'!$C:$C,0)),""))))</f>
        <v>4421008</v>
      </c>
      <c r="H3931" s="8" t="str">
        <f aca="false">IFERROR(INDEX('TRANS'!$C:$C,MATCH($B3931,'TRANS'!$A:$A,0)),IFERROR(INDEX('Catalog'!$B:$B,MATCH($G3931,'Catalog'!$A:$A,0)),$B3931))</f>
        <v>שרוול לגבס ארוך רגל</v>
      </c>
      <c r="I3931" s="8" t="str">
        <f aca="false">IF($G3931="","Unmatched","Matched")</f>
        <v>Matched</v>
      </c>
    </row>
    <row r="3932" customFormat="false" ht="15" hidden="false" customHeight="false" outlineLevel="0" collapsed="false">
      <c r="A3932" s="8" t="s">
        <v>1081</v>
      </c>
      <c r="B3932" s="8" t="s">
        <v>148</v>
      </c>
      <c r="C3932" s="19" t="n">
        <v>60</v>
      </c>
      <c r="D3932" s="19" t="n">
        <v>921.74</v>
      </c>
      <c r="E3932" s="19" t="n">
        <v>40</v>
      </c>
      <c r="F3932" s="19" t="n">
        <v>532.21</v>
      </c>
      <c r="G3932" s="8" t="n">
        <f aca="false">IFERROR(INDEX('TRANS'!$B:$B,MATCH($B3932,'TRANS'!$A:$A,0)),IFERROR(INDEX('TRANS'!$B:$B,MATCH(TRIM(SUBSTITUTE($B3932,CHAR(160)," ")),'TRANS'!$D:$D,0)),IFERROR(INDEX('Catalog'!$A:$A,MATCH($B3932,'Catalog'!$B:$B,0)),IFERROR(INDEX('Catalog'!$A:$A,MATCH(TRIM(SUBSTITUTE($B3932,CHAR(160)," ")),'Catalog'!$C:$C,0)),""))))</f>
        <v>4411000</v>
      </c>
      <c r="H3932" s="8" t="str">
        <f aca="false">IFERROR(INDEX('TRANS'!$C:$C,MATCH($B3932,'TRANS'!$A:$A,0)),IFERROR(INDEX('Catalog'!$B:$B,MATCH($G3932,'Catalog'!$A:$A,0)),$B3932))</f>
        <v>כרית מטטרזלי סיליקון362</v>
      </c>
      <c r="I3932" s="8" t="str">
        <f aca="false">IF($G3932="","Unmatched","Matched")</f>
        <v>Matched</v>
      </c>
    </row>
    <row r="3933" customFormat="false" ht="15" hidden="false" customHeight="false" outlineLevel="0" collapsed="false">
      <c r="A3933" s="8" t="s">
        <v>1081</v>
      </c>
      <c r="B3933" s="8" t="s">
        <v>150</v>
      </c>
      <c r="C3933" s="19" t="n">
        <v>140</v>
      </c>
      <c r="D3933" s="19" t="n">
        <v>2377.55</v>
      </c>
      <c r="E3933" s="19" t="n">
        <v>30</v>
      </c>
      <c r="F3933" s="19" t="n">
        <v>439.07</v>
      </c>
      <c r="G3933" s="8" t="n">
        <f aca="false">IFERROR(INDEX('TRANS'!$B:$B,MATCH($B3933,'TRANS'!$A:$A,0)),IFERROR(INDEX('TRANS'!$B:$B,MATCH(TRIM(SUBSTITUTE($B3933,CHAR(160)," ")),'TRANS'!$D:$D,0)),IFERROR(INDEX('Catalog'!$A:$A,MATCH($B3933,'Catalog'!$B:$B,0)),IFERROR(INDEX('Catalog'!$A:$A,MATCH(TRIM(SUBSTITUTE($B3933,CHAR(160)," ")),'Catalog'!$C:$C,0)),""))))</f>
        <v>4411001</v>
      </c>
      <c r="H3933" s="8" t="str">
        <f aca="false">IFERROR(INDEX('TRANS'!$C:$C,MATCH($B3933,'TRANS'!$A:$A,0)),IFERROR(INDEX('Catalog'!$B:$B,MATCH($G3933,'Catalog'!$A:$A,0)),$B3933))</f>
        <v>3623 כרית ליישור אצבע פטיש</v>
      </c>
      <c r="I3933" s="8" t="str">
        <f aca="false">IF($G3933="","Unmatched","Matched")</f>
        <v>Matched</v>
      </c>
    </row>
    <row r="3934" customFormat="false" ht="15" hidden="false" customHeight="false" outlineLevel="0" collapsed="false">
      <c r="A3934" s="8" t="s">
        <v>1081</v>
      </c>
      <c r="B3934" s="8" t="s">
        <v>151</v>
      </c>
      <c r="C3934" s="19" t="n">
        <v>75</v>
      </c>
      <c r="D3934" s="19" t="n">
        <v>960.46</v>
      </c>
      <c r="E3934" s="19" t="n">
        <v>35</v>
      </c>
      <c r="F3934" s="19" t="n">
        <v>384.19</v>
      </c>
      <c r="G3934" s="8" t="str">
        <f aca="false">IFERROR(INDEX('TRANS'!$B:$B,MATCH($B3934,'TRANS'!$A:$A,0)),IFERROR(INDEX('TRANS'!$B:$B,MATCH(TRIM(SUBSTITUTE($B3934,CHAR(160)," ")),'TRANS'!$D:$D,0)),IFERROR(INDEX('Catalog'!$A:$A,MATCH($B3934,'Catalog'!$B:$B,0)),IFERROR(INDEX('Catalog'!$A:$A,MATCH(TRIM(SUBSTITUTE($B3934,CHAR(160)," ")),'Catalog'!$C:$C,0)),""))))</f>
        <v/>
      </c>
      <c r="H3934" s="8" t="str">
        <f aca="false">IFERROR(INDEX('TRANS'!$C:$C,MATCH($B3934,'TRANS'!$A:$A,0)),IFERROR(INDEX('Catalog'!$B:$B,MATCH($G3934,'Catalog'!$A:$A,0)),$B3934))</f>
        <v>363 L/R</v>
      </c>
      <c r="I3934" s="8" t="str">
        <f aca="false">IF($G3934="","Unmatched","Matched")</f>
        <v>Unmatched</v>
      </c>
    </row>
    <row r="3935" customFormat="false" ht="15" hidden="false" customHeight="false" outlineLevel="0" collapsed="false">
      <c r="A3935" s="8" t="s">
        <v>1081</v>
      </c>
      <c r="B3935" s="8" t="s">
        <v>152</v>
      </c>
      <c r="C3935" s="19" t="n">
        <v>10</v>
      </c>
      <c r="D3935" s="19" t="n">
        <v>64.16</v>
      </c>
      <c r="E3935" s="19" t="n">
        <v>10</v>
      </c>
      <c r="F3935" s="19" t="n">
        <v>56.55</v>
      </c>
      <c r="G3935" s="8" t="n">
        <f aca="false">IFERROR(INDEX('TRANS'!$B:$B,MATCH($B3935,'TRANS'!$A:$A,0)),IFERROR(INDEX('TRANS'!$B:$B,MATCH(TRIM(SUBSTITUTE($B3935,CHAR(160)," ")),'TRANS'!$D:$D,0)),IFERROR(INDEX('Catalog'!$A:$A,MATCH($B3935,'Catalog'!$B:$B,0)),IFERROR(INDEX('Catalog'!$A:$A,MATCH(TRIM(SUBSTITUTE($B3935,CHAR(160)," ")),'Catalog'!$C:$C,0)),""))))</f>
        <v>4413059</v>
      </c>
      <c r="H3935" s="8" t="str">
        <f aca="false">IFERROR(INDEX('TRANS'!$C:$C,MATCH($B3935,'TRANS'!$A:$A,0)),IFERROR(INDEX('Catalog'!$B:$B,MATCH($G3935,'Catalog'!$A:$A,0)),$B3935))</f>
        <v>364S Lמפר.אצבע סיליק. ליבל.זוג</v>
      </c>
      <c r="I3935" s="8" t="str">
        <f aca="false">IF($G3935="","Unmatched","Matched")</f>
        <v>Matched</v>
      </c>
    </row>
    <row r="3936" customFormat="false" ht="15" hidden="false" customHeight="false" outlineLevel="0" collapsed="false">
      <c r="A3936" s="8" t="s">
        <v>1081</v>
      </c>
      <c r="B3936" s="8" t="s">
        <v>154</v>
      </c>
      <c r="C3936" s="19" t="n">
        <v>20</v>
      </c>
      <c r="D3936" s="19" t="n">
        <v>131.72</v>
      </c>
      <c r="E3936" s="19" t="n">
        <v>0</v>
      </c>
      <c r="F3936" s="19" t="n">
        <v>0</v>
      </c>
      <c r="G3936" s="8" t="n">
        <f aca="false">IFERROR(INDEX('TRANS'!$B:$B,MATCH($B3936,'TRANS'!$A:$A,0)),IFERROR(INDEX('TRANS'!$B:$B,MATCH(TRIM(SUBSTITUTE($B3936,CHAR(160)," ")),'TRANS'!$D:$D,0)),IFERROR(INDEX('Catalog'!$A:$A,MATCH($B3936,'Catalog'!$B:$B,0)),IFERROR(INDEX('Catalog'!$A:$A,MATCH(TRIM(SUBSTITUTE($B3936,CHAR(160)," ")),'Catalog'!$C:$C,0)),""))))</f>
        <v>4413061</v>
      </c>
      <c r="H3936" s="8" t="str">
        <f aca="false">IFERROR(INDEX('TRANS'!$C:$C,MATCH($B3936,'TRANS'!$A:$A,0)),IFERROR(INDEX('Catalog'!$B:$B,MATCH($G3936,'Catalog'!$A:$A,0)),$B3936))</f>
        <v>3641-מיישר בוהן סיליקון קשיח</v>
      </c>
      <c r="I3936" s="8" t="str">
        <f aca="false">IF($G3936="","Unmatched","Matched")</f>
        <v>Matched</v>
      </c>
    </row>
    <row r="3937" customFormat="false" ht="15" hidden="false" customHeight="false" outlineLevel="0" collapsed="false">
      <c r="A3937" s="8" t="s">
        <v>1081</v>
      </c>
      <c r="B3937" s="8" t="s">
        <v>155</v>
      </c>
      <c r="C3937" s="19" t="n">
        <v>25</v>
      </c>
      <c r="D3937" s="19" t="n">
        <v>175.23</v>
      </c>
      <c r="E3937" s="19" t="n">
        <v>0</v>
      </c>
      <c r="F3937" s="19" t="n">
        <v>0</v>
      </c>
      <c r="G3937" s="8" t="n">
        <f aca="false">IFERROR(INDEX('TRANS'!$B:$B,MATCH($B3937,'TRANS'!$A:$A,0)),IFERROR(INDEX('TRANS'!$B:$B,MATCH(TRIM(SUBSTITUTE($B3937,CHAR(160)," ")),'TRANS'!$D:$D,0)),IFERROR(INDEX('Catalog'!$A:$A,MATCH($B3937,'Catalog'!$B:$B,0)),IFERROR(INDEX('Catalog'!$A:$A,MATCH(TRIM(SUBSTITUTE($B3937,CHAR(160)," ")),'Catalog'!$C:$C,0)),""))))</f>
        <v>4409000</v>
      </c>
      <c r="H3937" s="8" t="str">
        <f aca="false">IFERROR(INDEX('TRANS'!$C:$C,MATCH($B3937,'TRANS'!$A:$A,0)),IFERROR(INDEX('Catalog'!$B:$B,MATCH($G3937,'Catalog'!$A:$A,0)),$B3937))</f>
        <v>365 S-Lטבעת אלסטית מסיליקון</v>
      </c>
      <c r="I3937" s="8" t="str">
        <f aca="false">IF($G3937="","Unmatched","Matched")</f>
        <v>Matched</v>
      </c>
    </row>
    <row r="3938" customFormat="false" ht="15" hidden="false" customHeight="false" outlineLevel="0" collapsed="false">
      <c r="A3938" s="8" t="s">
        <v>1081</v>
      </c>
      <c r="B3938" s="8" t="s">
        <v>156</v>
      </c>
      <c r="C3938" s="19" t="n">
        <v>65</v>
      </c>
      <c r="D3938" s="19" t="n">
        <v>607.93</v>
      </c>
      <c r="E3938" s="19" t="n">
        <v>30</v>
      </c>
      <c r="F3938" s="19" t="n">
        <v>239.49</v>
      </c>
      <c r="G3938" s="8" t="n">
        <f aca="false">IFERROR(INDEX('TRANS'!$B:$B,MATCH($B3938,'TRANS'!$A:$A,0)),IFERROR(INDEX('TRANS'!$B:$B,MATCH(TRIM(SUBSTITUTE($B3938,CHAR(160)," ")),'TRANS'!$D:$D,0)),IFERROR(INDEX('Catalog'!$A:$A,MATCH($B3938,'Catalog'!$B:$B,0)),IFERROR(INDEX('Catalog'!$A:$A,MATCH(TRIM(SUBSTITUTE($B3938,CHAR(160)," ")),'Catalog'!$C:$C,0)),""))))</f>
        <v>4421000</v>
      </c>
      <c r="H3938" s="8" t="str">
        <f aca="false">IFERROR(INDEX('TRANS'!$C:$C,MATCH($B3938,'TRANS'!$A:$A,0)),IFERROR(INDEX('Catalog'!$B:$B,MATCH($G3938,'Catalog'!$A:$A,0)),$B3938))</f>
        <v>3655 שרוול מסיליקון לאצבע</v>
      </c>
      <c r="I3938" s="8" t="str">
        <f aca="false">IF($G3938="","Unmatched","Matched")</f>
        <v>Matched</v>
      </c>
    </row>
    <row r="3939" customFormat="false" ht="15" hidden="false" customHeight="false" outlineLevel="0" collapsed="false">
      <c r="A3939" s="8" t="s">
        <v>1081</v>
      </c>
      <c r="B3939" s="8" t="s">
        <v>159</v>
      </c>
      <c r="C3939" s="19" t="n">
        <v>10</v>
      </c>
      <c r="D3939" s="19" t="n">
        <v>79.25</v>
      </c>
      <c r="E3939" s="19" t="n">
        <v>0</v>
      </c>
      <c r="F3939" s="19" t="n">
        <v>0</v>
      </c>
      <c r="G3939" s="8" t="n">
        <f aca="false">IFERROR(INDEX('TRANS'!$B:$B,MATCH($B3939,'TRANS'!$A:$A,0)),IFERROR(INDEX('TRANS'!$B:$B,MATCH(TRIM(SUBSTITUTE($B3939,CHAR(160)," ")),'TRANS'!$D:$D,0)),IFERROR(INDEX('Catalog'!$A:$A,MATCH($B3939,'Catalog'!$B:$B,0)),IFERROR(INDEX('Catalog'!$A:$A,MATCH(TRIM(SUBSTITUTE($B3939,CHAR(160)," ")),'Catalog'!$C:$C,0)),""))))</f>
        <v>4413063</v>
      </c>
      <c r="H3939" s="8" t="str">
        <f aca="false">IFERROR(INDEX('TRANS'!$C:$C,MATCH($B3939,'TRANS'!$A:$A,0)),IFERROR(INDEX('Catalog'!$B:$B,MATCH($G3939,'Catalog'!$A:$A,0)),$B3939))</f>
        <v>366S-'מדבק.לשחרור לחץ מיבלת2יח</v>
      </c>
      <c r="I3939" s="8" t="str">
        <f aca="false">IF($G3939="","Unmatched","Matched")</f>
        <v>Matched</v>
      </c>
    </row>
    <row r="3940" customFormat="false" ht="15" hidden="false" customHeight="false" outlineLevel="0" collapsed="false">
      <c r="A3940" s="8" t="s">
        <v>1081</v>
      </c>
      <c r="B3940" s="8" t="s">
        <v>160</v>
      </c>
      <c r="C3940" s="19" t="n">
        <v>10</v>
      </c>
      <c r="D3940" s="19" t="n">
        <v>194.36</v>
      </c>
      <c r="E3940" s="19" t="n">
        <v>10</v>
      </c>
      <c r="F3940" s="19" t="n">
        <v>171.3</v>
      </c>
      <c r="G3940" s="8" t="n">
        <f aca="false">IFERROR(INDEX('TRANS'!$B:$B,MATCH($B3940,'TRANS'!$A:$A,0)),IFERROR(INDEX('TRANS'!$B:$B,MATCH(TRIM(SUBSTITUTE($B3940,CHAR(160)," ")),'TRANS'!$D:$D,0)),IFERROR(INDEX('Catalog'!$A:$A,MATCH($B3940,'Catalog'!$B:$B,0)),IFERROR(INDEX('Catalog'!$A:$A,MATCH(TRIM(SUBSTITUTE($B3940,CHAR(160)," ")),'Catalog'!$C:$C,0)),""))))</f>
        <v>4421003</v>
      </c>
      <c r="H3940" s="8" t="str">
        <f aca="false">IFERROR(INDEX('TRANS'!$C:$C,MATCH($B3940,'TRANS'!$A:$A,0)),IFERROR(INDEX('Catalog'!$B:$B,MATCH($G3940,'Catalog'!$A:$A,0)),$B3940))</f>
        <v>3672 שרוול מגן לבוניון</v>
      </c>
      <c r="I3940" s="8" t="str">
        <f aca="false">IF($G3940="","Unmatched","Matched")</f>
        <v>Matched</v>
      </c>
    </row>
    <row r="3941" customFormat="false" ht="15" hidden="false" customHeight="false" outlineLevel="0" collapsed="false">
      <c r="A3941" s="8" t="s">
        <v>1081</v>
      </c>
      <c r="B3941" s="8" t="s">
        <v>161</v>
      </c>
      <c r="C3941" s="19" t="n">
        <v>200</v>
      </c>
      <c r="D3941" s="19" t="n">
        <v>3602.77</v>
      </c>
      <c r="E3941" s="19" t="n">
        <v>40</v>
      </c>
      <c r="F3941" s="19" t="n">
        <v>618.69</v>
      </c>
      <c r="G3941" s="8" t="n">
        <f aca="false">IFERROR(INDEX('TRANS'!$B:$B,MATCH($B3941,'TRANS'!$A:$A,0)),IFERROR(INDEX('TRANS'!$B:$B,MATCH(TRIM(SUBSTITUTE($B3941,CHAR(160)," ")),'TRANS'!$D:$D,0)),IFERROR(INDEX('Catalog'!$A:$A,MATCH($B3941,'Catalog'!$B:$B,0)),IFERROR(INDEX('Catalog'!$A:$A,MATCH(TRIM(SUBSTITUTE($B3941,CHAR(160)," ")),'Catalog'!$C:$C,0)),""))))</f>
        <v>4413370</v>
      </c>
      <c r="H3941" s="8" t="str">
        <f aca="false">IFERROR(INDEX('TRANS'!$C:$C,MATCH($B3941,'TRANS'!$A:$A,0)),IFERROR(INDEX('Catalog'!$B:$B,MATCH($G3941,'Catalog'!$A:$A,0)),$B3941))</f>
        <v>3674 0 מ.בוניון+מפריד אצבע</v>
      </c>
      <c r="I3941" s="8" t="str">
        <f aca="false">IF($G3941="","Unmatched","Matched")</f>
        <v>Matched</v>
      </c>
    </row>
    <row r="3942" customFormat="false" ht="15" hidden="false" customHeight="false" outlineLevel="0" collapsed="false">
      <c r="A3942" s="8" t="s">
        <v>1081</v>
      </c>
      <c r="B3942" s="8" t="s">
        <v>162</v>
      </c>
      <c r="C3942" s="19" t="n">
        <v>10</v>
      </c>
      <c r="D3942" s="19" t="n">
        <v>143.41</v>
      </c>
      <c r="E3942" s="19" t="n">
        <v>25</v>
      </c>
      <c r="F3942" s="19" t="n">
        <v>316</v>
      </c>
      <c r="G3942" s="8" t="n">
        <f aca="false">IFERROR(INDEX('TRANS'!$B:$B,MATCH($B3942,'TRANS'!$A:$A,0)),IFERROR(INDEX('TRANS'!$B:$B,MATCH(TRIM(SUBSTITUTE($B3942,CHAR(160)," ")),'TRANS'!$D:$D,0)),IFERROR(INDEX('Catalog'!$A:$A,MATCH($B3942,'Catalog'!$B:$B,0)),IFERROR(INDEX('Catalog'!$A:$A,MATCH(TRIM(SUBSTITUTE($B3942,CHAR(160)," ")),'Catalog'!$C:$C,0)),""))))</f>
        <v>4413371</v>
      </c>
      <c r="H3942" s="8" t="str">
        <f aca="false">IFERROR(INDEX('TRANS'!$C:$C,MATCH($B3942,'TRANS'!$A:$A,0)),IFERROR(INDEX('Catalog'!$B:$B,MATCH($G3942,'Catalog'!$A:$A,0)),$B3942))</f>
        <v>3675    מגן זרת מסיליקון</v>
      </c>
      <c r="I3942" s="8" t="str">
        <f aca="false">IF($G3942="","Unmatched","Matched")</f>
        <v>Matched</v>
      </c>
    </row>
    <row r="3943" customFormat="false" ht="15" hidden="false" customHeight="false" outlineLevel="0" collapsed="false">
      <c r="A3943" s="8" t="s">
        <v>1081</v>
      </c>
      <c r="B3943" s="8" t="s">
        <v>163</v>
      </c>
      <c r="C3943" s="19" t="n">
        <v>10</v>
      </c>
      <c r="D3943" s="19" t="n">
        <v>107.3</v>
      </c>
      <c r="E3943" s="19" t="n">
        <v>10</v>
      </c>
      <c r="F3943" s="19" t="n">
        <v>89.81</v>
      </c>
      <c r="G3943" s="8" t="n">
        <f aca="false">IFERROR(INDEX('TRANS'!$B:$B,MATCH($B3943,'TRANS'!$A:$A,0)),IFERROR(INDEX('TRANS'!$B:$B,MATCH(TRIM(SUBSTITUTE($B3943,CHAR(160)," ")),'TRANS'!$D:$D,0)),IFERROR(INDEX('Catalog'!$A:$A,MATCH($B3943,'Catalog'!$B:$B,0)),IFERROR(INDEX('Catalog'!$A:$A,MATCH(TRIM(SUBSTITUTE($B3943,CHAR(160)," ")),'Catalog'!$C:$C,0)),""))))</f>
        <v>4401000</v>
      </c>
      <c r="H3943" s="8" t="str">
        <f aca="false">IFERROR(INDEX('TRANS'!$C:$C,MATCH($B3943,'TRANS'!$A:$A,0)),IFERROR(INDEX('Catalog'!$B:$B,MATCH($G3943,'Catalog'!$A:$A,0)),$B3943))</f>
        <v>369  S-L אצבעון מסיליקון יחידה</v>
      </c>
      <c r="I3943" s="8" t="str">
        <f aca="false">IF($G3943="","Unmatched","Matched")</f>
        <v>Matched</v>
      </c>
    </row>
    <row r="3944" customFormat="false" ht="15" hidden="false" customHeight="false" outlineLevel="0" collapsed="false">
      <c r="A3944" s="8" t="s">
        <v>1081</v>
      </c>
      <c r="B3944" s="8" t="s">
        <v>164</v>
      </c>
      <c r="C3944" s="19" t="n">
        <v>10</v>
      </c>
      <c r="D3944" s="19" t="n">
        <v>119.22</v>
      </c>
      <c r="E3944" s="19" t="n">
        <v>20</v>
      </c>
      <c r="F3944" s="19" t="n">
        <v>199.58</v>
      </c>
      <c r="G3944" s="8" t="n">
        <f aca="false">IFERROR(INDEX('TRANS'!$B:$B,MATCH($B3944,'TRANS'!$A:$A,0)),IFERROR(INDEX('TRANS'!$B:$B,MATCH(TRIM(SUBSTITUTE($B3944,CHAR(160)," ")),'TRANS'!$D:$D,0)),IFERROR(INDEX('Catalog'!$A:$A,MATCH($B3944,'Catalog'!$B:$B,0)),IFERROR(INDEX('Catalog'!$A:$A,MATCH(TRIM(SUBSTITUTE($B3944,CHAR(160)," ")),'Catalog'!$C:$C,0)),""))))</f>
        <v>4401001</v>
      </c>
      <c r="H3944" s="8" t="str">
        <f aca="false">IFERROR(INDEX('TRANS'!$C:$C,MATCH($B3944,'TRANS'!$A:$A,0)),IFERROR(INDEX('Catalog'!$B:$B,MATCH($G3944,'Catalog'!$A:$A,0)),$B3944))</f>
        <v>369   XL אצבעון מסיליקון יחידה</v>
      </c>
      <c r="I3944" s="8" t="str">
        <f aca="false">IF($G3944="","Unmatched","Matched")</f>
        <v>Matched</v>
      </c>
    </row>
    <row r="3945" customFormat="false" ht="15" hidden="false" customHeight="false" outlineLevel="0" collapsed="false">
      <c r="A3945" s="8" t="s">
        <v>1081</v>
      </c>
      <c r="B3945" s="8" t="s">
        <v>165</v>
      </c>
      <c r="C3945" s="19" t="n">
        <v>15</v>
      </c>
      <c r="D3945" s="19" t="n">
        <v>107.3</v>
      </c>
      <c r="E3945" s="19" t="n">
        <v>12</v>
      </c>
      <c r="F3945" s="19" t="n">
        <v>71.85</v>
      </c>
      <c r="G3945" s="8" t="n">
        <f aca="false">IFERROR(INDEX('TRANS'!$B:$B,MATCH($B3945,'TRANS'!$A:$A,0)),IFERROR(INDEX('TRANS'!$B:$B,MATCH(TRIM(SUBSTITUTE($B3945,CHAR(160)," ")),'TRANS'!$D:$D,0)),IFERROR(INDEX('Catalog'!$A:$A,MATCH($B3945,'Catalog'!$B:$B,0)),IFERROR(INDEX('Catalog'!$A:$A,MATCH(TRIM(SUBSTITUTE($B3945,CHAR(160)," ")),'Catalog'!$C:$C,0)),""))))</f>
        <v>4420000</v>
      </c>
      <c r="H3945" s="8" t="str">
        <f aca="false">IFERROR(INDEX('TRANS'!$C:$C,MATCH($B3945,'TRANS'!$A:$A,0)),IFERROR(INDEX('Catalog'!$B:$B,MATCH($G3945,'Catalog'!$A:$A,0)),$B3945))</f>
        <v>370  רפידת נוחות-זוג</v>
      </c>
      <c r="I3945" s="8" t="str">
        <f aca="false">IF($G3945="","Unmatched","Matched")</f>
        <v>Matched</v>
      </c>
    </row>
    <row r="3946" customFormat="false" ht="15" hidden="false" customHeight="false" outlineLevel="0" collapsed="false">
      <c r="A3946" s="8" t="s">
        <v>1081</v>
      </c>
      <c r="B3946" s="8" t="s">
        <v>168</v>
      </c>
      <c r="C3946" s="19" t="n">
        <v>50</v>
      </c>
      <c r="D3946" s="19" t="n">
        <v>389.4</v>
      </c>
      <c r="E3946" s="19" t="n">
        <v>20</v>
      </c>
      <c r="F3946" s="19" t="n">
        <v>133.05</v>
      </c>
      <c r="G3946" s="8" t="n">
        <f aca="false">IFERROR(INDEX('TRANS'!$B:$B,MATCH($B3946,'TRANS'!$A:$A,0)),IFERROR(INDEX('TRANS'!$B:$B,MATCH(TRIM(SUBSTITUTE($B3946,CHAR(160)," ")),'TRANS'!$D:$D,0)),IFERROR(INDEX('Catalog'!$A:$A,MATCH($B3946,'Catalog'!$B:$B,0)),IFERROR(INDEX('Catalog'!$A:$A,MATCH(TRIM(SUBSTITUTE($B3946,CHAR(160)," ")),'Catalog'!$C:$C,0)),""))))</f>
        <v>4420002</v>
      </c>
      <c r="H3946" s="8" t="str">
        <f aca="false">IFERROR(INDEX('TRANS'!$C:$C,MATCH($B3946,'TRANS'!$A:$A,0)),IFERROR(INDEX('Catalog'!$B:$B,MATCH($G3946,'Catalog'!$A:$A,0)),$B3946))</f>
        <v>372 רפידת אנטי ריח -זוג</v>
      </c>
      <c r="I3946" s="8" t="str">
        <f aca="false">IF($G3946="","Unmatched","Matched")</f>
        <v>Matched</v>
      </c>
    </row>
    <row r="3947" customFormat="false" ht="15" hidden="false" customHeight="false" outlineLevel="0" collapsed="false">
      <c r="A3947" s="8" t="s">
        <v>1081</v>
      </c>
      <c r="B3947" s="8" t="s">
        <v>170</v>
      </c>
      <c r="C3947" s="19" t="n">
        <v>12</v>
      </c>
      <c r="D3947" s="19" t="n">
        <v>200.29</v>
      </c>
      <c r="E3947" s="19" t="n">
        <v>0</v>
      </c>
      <c r="F3947" s="19" t="n">
        <v>0</v>
      </c>
      <c r="G3947" s="8" t="str">
        <f aca="false">IFERROR(INDEX('TRANS'!$B:$B,MATCH($B3947,'TRANS'!$A:$A,0)),IFERROR(INDEX('TRANS'!$B:$B,MATCH(TRIM(SUBSTITUTE($B3947,CHAR(160)," ")),'TRANS'!$D:$D,0)),IFERROR(INDEX('Catalog'!$A:$A,MATCH($B3947,'Catalog'!$B:$B,0)),IFERROR(INDEX('Catalog'!$A:$A,MATCH(TRIM(SUBSTITUTE($B3947,CHAR(160)," ")),'Catalog'!$C:$C,0)),""))))</f>
        <v/>
      </c>
      <c r="H3947" s="8" t="str">
        <f aca="false">IFERROR(INDEX('TRANS'!$C:$C,MATCH($B3947,'TRANS'!$A:$A,0)),IFERROR(INDEX('Catalog'!$B:$B,MATCH($G3947,'Catalog'!$A:$A,0)),$B3947))</f>
        <v>376-35-37</v>
      </c>
      <c r="I3947" s="8" t="str">
        <f aca="false">IF($G3947="","Unmatched","Matched")</f>
        <v>Unmatched</v>
      </c>
    </row>
    <row r="3948" customFormat="false" ht="15" hidden="false" customHeight="false" outlineLevel="0" collapsed="false">
      <c r="A3948" s="8" t="s">
        <v>1081</v>
      </c>
      <c r="B3948" s="8" t="s">
        <v>171</v>
      </c>
      <c r="C3948" s="19" t="n">
        <v>0</v>
      </c>
      <c r="D3948" s="19" t="n">
        <v>0</v>
      </c>
      <c r="E3948" s="19" t="n">
        <v>10</v>
      </c>
      <c r="F3948" s="19" t="n">
        <v>139.7</v>
      </c>
      <c r="G3948" s="8" t="str">
        <f aca="false">IFERROR(INDEX('TRANS'!$B:$B,MATCH($B3948,'TRANS'!$A:$A,0)),IFERROR(INDEX('TRANS'!$B:$B,MATCH(TRIM(SUBSTITUTE($B3948,CHAR(160)," ")),'TRANS'!$D:$D,0)),IFERROR(INDEX('Catalog'!$A:$A,MATCH($B3948,'Catalog'!$B:$B,0)),IFERROR(INDEX('Catalog'!$A:$A,MATCH(TRIM(SUBSTITUTE($B3948,CHAR(160)," ")),'Catalog'!$C:$C,0)),""))))</f>
        <v/>
      </c>
      <c r="H3948" s="8" t="str">
        <f aca="false">IFERROR(INDEX('TRANS'!$C:$C,MATCH($B3948,'TRANS'!$A:$A,0)),IFERROR(INDEX('Catalog'!$B:$B,MATCH($G3948,'Catalog'!$A:$A,0)),$B3948))</f>
        <v>376-38-40</v>
      </c>
      <c r="I3948" s="8" t="str">
        <f aca="false">IF($G3948="","Unmatched","Matched")</f>
        <v>Unmatched</v>
      </c>
    </row>
    <row r="3949" customFormat="false" ht="15" hidden="false" customHeight="false" outlineLevel="0" collapsed="false">
      <c r="A3949" s="8" t="s">
        <v>1081</v>
      </c>
      <c r="B3949" s="8" t="s">
        <v>172</v>
      </c>
      <c r="C3949" s="19" t="n">
        <v>10</v>
      </c>
      <c r="D3949" s="19" t="n">
        <v>158.5</v>
      </c>
      <c r="E3949" s="19" t="n">
        <v>8</v>
      </c>
      <c r="F3949" s="19" t="n">
        <v>111.76</v>
      </c>
      <c r="G3949" s="8" t="str">
        <f aca="false">IFERROR(INDEX('TRANS'!$B:$B,MATCH($B3949,'TRANS'!$A:$A,0)),IFERROR(INDEX('TRANS'!$B:$B,MATCH(TRIM(SUBSTITUTE($B3949,CHAR(160)," ")),'TRANS'!$D:$D,0)),IFERROR(INDEX('Catalog'!$A:$A,MATCH($B3949,'Catalog'!$B:$B,0)),IFERROR(INDEX('Catalog'!$A:$A,MATCH(TRIM(SUBSTITUTE($B3949,CHAR(160)," ")),'Catalog'!$C:$C,0)),""))))</f>
        <v/>
      </c>
      <c r="H3949" s="8" t="str">
        <f aca="false">IFERROR(INDEX('TRANS'!$C:$C,MATCH($B3949,'TRANS'!$A:$A,0)),IFERROR(INDEX('Catalog'!$B:$B,MATCH($G3949,'Catalog'!$A:$A,0)),$B3949))</f>
        <v>376-41-43</v>
      </c>
      <c r="I3949" s="8" t="str">
        <f aca="false">IF($G3949="","Unmatched","Matched")</f>
        <v>Unmatched</v>
      </c>
    </row>
    <row r="3950" customFormat="false" ht="15" hidden="false" customHeight="false" outlineLevel="0" collapsed="false">
      <c r="A3950" s="8" t="s">
        <v>1081</v>
      </c>
      <c r="B3950" s="8" t="s">
        <v>173</v>
      </c>
      <c r="C3950" s="19" t="n">
        <v>8</v>
      </c>
      <c r="D3950" s="19" t="n">
        <v>126.8</v>
      </c>
      <c r="E3950" s="19" t="n">
        <v>4</v>
      </c>
      <c r="F3950" s="19" t="n">
        <v>55.88</v>
      </c>
      <c r="G3950" s="8" t="str">
        <f aca="false">IFERROR(INDEX('TRANS'!$B:$B,MATCH($B3950,'TRANS'!$A:$A,0)),IFERROR(INDEX('TRANS'!$B:$B,MATCH(TRIM(SUBSTITUTE($B3950,CHAR(160)," ")),'TRANS'!$D:$D,0)),IFERROR(INDEX('Catalog'!$A:$A,MATCH($B3950,'Catalog'!$B:$B,0)),IFERROR(INDEX('Catalog'!$A:$A,MATCH(TRIM(SUBSTITUTE($B3950,CHAR(160)," ")),'Catalog'!$C:$C,0)),""))))</f>
        <v/>
      </c>
      <c r="H3950" s="8" t="str">
        <f aca="false">IFERROR(INDEX('TRANS'!$C:$C,MATCH($B3950,'TRANS'!$A:$A,0)),IFERROR(INDEX('Catalog'!$B:$B,MATCH($G3950,'Catalog'!$A:$A,0)),$B3950))</f>
        <v>376-44-45</v>
      </c>
      <c r="I3950" s="8" t="str">
        <f aca="false">IF($G3950="","Unmatched","Matched")</f>
        <v>Unmatched</v>
      </c>
    </row>
    <row r="3951" customFormat="false" ht="15" hidden="false" customHeight="false" outlineLevel="0" collapsed="false">
      <c r="A3951" s="8" t="s">
        <v>1081</v>
      </c>
      <c r="B3951" s="8" t="s">
        <v>176</v>
      </c>
      <c r="C3951" s="19" t="n">
        <v>70</v>
      </c>
      <c r="D3951" s="19" t="n">
        <v>1279.23</v>
      </c>
      <c r="E3951" s="19" t="n">
        <v>30</v>
      </c>
      <c r="F3951" s="19" t="n">
        <v>469.01</v>
      </c>
      <c r="G3951" s="8" t="n">
        <f aca="false">IFERROR(INDEX('TRANS'!$B:$B,MATCH($B3951,'TRANS'!$A:$A,0)),IFERROR(INDEX('TRANS'!$B:$B,MATCH(TRIM(SUBSTITUTE($B3951,CHAR(160)," ")),'TRANS'!$D:$D,0)),IFERROR(INDEX('Catalog'!$A:$A,MATCH($B3951,'Catalog'!$B:$B,0)),IFERROR(INDEX('Catalog'!$A:$A,MATCH(TRIM(SUBSTITUTE($B3951,CHAR(160)," ")),'Catalog'!$C:$C,0)),""))))</f>
        <v>4413452</v>
      </c>
      <c r="H3951" s="8" t="str">
        <f aca="false">IFERROR(INDEX('TRANS'!$C:$C,MATCH($B3951,'TRANS'!$A:$A,0)),IFERROR(INDEX('Catalog'!$B:$B,MATCH($G3951,'Catalog'!$A:$A,0)),$B3951))</f>
        <v>386  מיישר בוניון-האלוקס ולגוס</v>
      </c>
      <c r="I3951" s="8" t="str">
        <f aca="false">IF($G3951="","Unmatched","Matched")</f>
        <v>Matched</v>
      </c>
    </row>
    <row r="3952" customFormat="false" ht="15" hidden="false" customHeight="false" outlineLevel="0" collapsed="false">
      <c r="A3952" s="8" t="s">
        <v>1081</v>
      </c>
      <c r="B3952" s="8" t="s">
        <v>367</v>
      </c>
      <c r="C3952" s="19" t="n">
        <v>30</v>
      </c>
      <c r="D3952" s="19" t="n">
        <v>1573.72</v>
      </c>
      <c r="E3952" s="19" t="n">
        <v>0</v>
      </c>
      <c r="F3952" s="19" t="n">
        <v>0</v>
      </c>
      <c r="G3952" s="8" t="n">
        <f aca="false">IFERROR(INDEX('TRANS'!$B:$B,MATCH($B3952,'TRANS'!$A:$A,0)),IFERROR(INDEX('TRANS'!$B:$B,MATCH(TRIM(SUBSTITUTE($B3952,CHAR(160)," ")),'TRANS'!$D:$D,0)),IFERROR(INDEX('Catalog'!$A:$A,MATCH($B3952,'Catalog'!$B:$B,0)),IFERROR(INDEX('Catalog'!$A:$A,MATCH(TRIM(SUBSTITUTE($B3952,CHAR(160)," ")),'Catalog'!$C:$C,0)),""))))</f>
        <v>4413072</v>
      </c>
      <c r="H3952" s="8" t="str">
        <f aca="false">IFERROR(INDEX('TRANS'!$C:$C,MATCH($B3952,'TRANS'!$A:$A,0)),IFERROR(INDEX('Catalog'!$B:$B,MATCH($G3952,'Catalog'!$A:$A,0)),$B3952))</f>
        <v>41 Lמ.ברך מוצלב+ספירלות בצדדים</v>
      </c>
      <c r="I3952" s="8" t="str">
        <f aca="false">IF($G3952="","Unmatched","Matched")</f>
        <v>Matched</v>
      </c>
    </row>
    <row r="3953" customFormat="false" ht="15" hidden="false" customHeight="false" outlineLevel="0" collapsed="false">
      <c r="A3953" s="8" t="s">
        <v>1081</v>
      </c>
      <c r="B3953" s="8" t="s">
        <v>735</v>
      </c>
      <c r="C3953" s="19" t="n">
        <v>30</v>
      </c>
      <c r="D3953" s="19" t="n">
        <v>1573.72</v>
      </c>
      <c r="E3953" s="19" t="n">
        <v>0</v>
      </c>
      <c r="F3953" s="19" t="n">
        <v>0</v>
      </c>
      <c r="G3953" s="8" t="n">
        <f aca="false">IFERROR(INDEX('TRANS'!$B:$B,MATCH($B3953,'TRANS'!$A:$A,0)),IFERROR(INDEX('TRANS'!$B:$B,MATCH(TRIM(SUBSTITUTE($B3953,CHAR(160)," ")),'TRANS'!$D:$D,0)),IFERROR(INDEX('Catalog'!$A:$A,MATCH($B3953,'Catalog'!$B:$B,0)),IFERROR(INDEX('Catalog'!$A:$A,MATCH(TRIM(SUBSTITUTE($B3953,CHAR(160)," ")),'Catalog'!$C:$C,0)),""))))</f>
        <v>4413073</v>
      </c>
      <c r="H3953" s="8" t="str">
        <f aca="false">IFERROR(INDEX('TRANS'!$C:$C,MATCH($B3953,'TRANS'!$A:$A,0)),IFERROR(INDEX('Catalog'!$B:$B,MATCH($G3953,'Catalog'!$A:$A,0)),$B3953))</f>
        <v>41 Mמ.ברך מוצלב+ספירלות בצדדים</v>
      </c>
      <c r="I3953" s="8" t="str">
        <f aca="false">IF($G3953="","Unmatched","Matched")</f>
        <v>Matched</v>
      </c>
    </row>
    <row r="3954" customFormat="false" ht="15" hidden="false" customHeight="false" outlineLevel="0" collapsed="false">
      <c r="A3954" s="8" t="s">
        <v>1081</v>
      </c>
      <c r="B3954" s="8" t="s">
        <v>793</v>
      </c>
      <c r="C3954" s="19" t="n">
        <v>10</v>
      </c>
      <c r="D3954" s="19" t="n">
        <v>524.57</v>
      </c>
      <c r="E3954" s="19" t="n">
        <v>0</v>
      </c>
      <c r="F3954" s="19" t="n">
        <v>0</v>
      </c>
      <c r="G3954" s="8" t="n">
        <f aca="false">IFERROR(INDEX('TRANS'!$B:$B,MATCH($B3954,'TRANS'!$A:$A,0)),IFERROR(INDEX('TRANS'!$B:$B,MATCH(TRIM(SUBSTITUTE($B3954,CHAR(160)," ")),'TRANS'!$D:$D,0)),IFERROR(INDEX('Catalog'!$A:$A,MATCH($B3954,'Catalog'!$B:$B,0)),IFERROR(INDEX('Catalog'!$A:$A,MATCH(TRIM(SUBSTITUTE($B3954,CHAR(160)," ")),'Catalog'!$C:$C,0)),""))))</f>
        <v>4413071</v>
      </c>
      <c r="H3954" s="8" t="str">
        <f aca="false">IFERROR(INDEX('TRANS'!$C:$C,MATCH($B3954,'TRANS'!$A:$A,0)),IFERROR(INDEX('Catalog'!$B:$B,MATCH($G3954,'Catalog'!$A:$A,0)),$B3954))</f>
        <v>41 Sמ.ברך מוצלב+ספירלות בצדדים</v>
      </c>
      <c r="I3954" s="8" t="str">
        <f aca="false">IF($G3954="","Unmatched","Matched")</f>
        <v>Matched</v>
      </c>
    </row>
    <row r="3955" customFormat="false" ht="15" hidden="false" customHeight="false" outlineLevel="0" collapsed="false">
      <c r="A3955" s="8" t="s">
        <v>1081</v>
      </c>
      <c r="B3955" s="8" t="s">
        <v>794</v>
      </c>
      <c r="C3955" s="19" t="n">
        <v>25</v>
      </c>
      <c r="D3955" s="19" t="n">
        <v>1311.43</v>
      </c>
      <c r="E3955" s="19" t="n">
        <v>0</v>
      </c>
      <c r="F3955" s="19" t="n">
        <v>0</v>
      </c>
      <c r="G3955" s="8" t="n">
        <f aca="false">IFERROR(INDEX('TRANS'!$B:$B,MATCH($B3955,'TRANS'!$A:$A,0)),IFERROR(INDEX('TRANS'!$B:$B,MATCH(TRIM(SUBSTITUTE($B3955,CHAR(160)," ")),'TRANS'!$D:$D,0)),IFERROR(INDEX('Catalog'!$A:$A,MATCH($B3955,'Catalog'!$B:$B,0)),IFERROR(INDEX('Catalog'!$A:$A,MATCH(TRIM(SUBSTITUTE($B3955,CHAR(160)," ")),'Catalog'!$C:$C,0)),""))))</f>
        <v>4413074</v>
      </c>
      <c r="H3955" s="8" t="str">
        <f aca="false">IFERROR(INDEX('TRANS'!$C:$C,MATCH($B3955,'TRANS'!$A:$A,0)),IFERROR(INDEX('Catalog'!$B:$B,MATCH($G3955,'Catalog'!$A:$A,0)),$B3955))</f>
        <v>41  XL.מ.ברך מוצלב+ספירלות בצד</v>
      </c>
      <c r="I3955" s="8" t="str">
        <f aca="false">IF($G3955="","Unmatched","Matched")</f>
        <v>Matched</v>
      </c>
    </row>
    <row r="3956" customFormat="false" ht="15" hidden="false" customHeight="false" outlineLevel="0" collapsed="false">
      <c r="A3956" s="8" t="s">
        <v>1081</v>
      </c>
      <c r="B3956" s="8" t="s">
        <v>961</v>
      </c>
      <c r="C3956" s="19" t="n">
        <v>15</v>
      </c>
      <c r="D3956" s="19" t="n">
        <v>786.86</v>
      </c>
      <c r="E3956" s="19" t="n">
        <v>0</v>
      </c>
      <c r="F3956" s="19" t="n">
        <v>0</v>
      </c>
      <c r="G3956" s="8" t="str">
        <f aca="false">IFERROR(INDEX('TRANS'!$B:$B,MATCH($B3956,'TRANS'!$A:$A,0)),IFERROR(INDEX('TRANS'!$B:$B,MATCH(TRIM(SUBSTITUTE($B3956,CHAR(160)," ")),'TRANS'!$D:$D,0)),IFERROR(INDEX('Catalog'!$A:$A,MATCH($B3956,'Catalog'!$B:$B,0)),IFERROR(INDEX('Catalog'!$A:$A,MATCH(TRIM(SUBSTITUTE($B3956,CHAR(160)," ")),'Catalog'!$C:$C,0)),""))))</f>
        <v/>
      </c>
      <c r="H3956" s="8" t="str">
        <f aca="false">IFERROR(INDEX('TRANS'!$C:$C,MATCH($B3956,'TRANS'!$A:$A,0)),IFERROR(INDEX('Catalog'!$B:$B,MATCH($G3956,'Catalog'!$A:$A,0)),$B3956))</f>
        <v>41 XXL</v>
      </c>
      <c r="I3956" s="8" t="str">
        <f aca="false">IF($G3956="","Unmatched","Matched")</f>
        <v>Unmatched</v>
      </c>
    </row>
    <row r="3957" customFormat="false" ht="15" hidden="false" customHeight="false" outlineLevel="0" collapsed="false">
      <c r="A3957" s="8" t="s">
        <v>1081</v>
      </c>
      <c r="B3957" s="8" t="s">
        <v>208</v>
      </c>
      <c r="C3957" s="19" t="n">
        <v>20</v>
      </c>
      <c r="D3957" s="19" t="n">
        <v>250.36</v>
      </c>
      <c r="E3957" s="19" t="n">
        <v>10</v>
      </c>
      <c r="F3957" s="19" t="n">
        <v>104.78</v>
      </c>
      <c r="G3957" s="8" t="n">
        <f aca="false">IFERROR(INDEX('TRANS'!$B:$B,MATCH($B3957,'TRANS'!$A:$A,0)),IFERROR(INDEX('TRANS'!$B:$B,MATCH(TRIM(SUBSTITUTE($B3957,CHAR(160)," ")),'TRANS'!$D:$D,0)),IFERROR(INDEX('Catalog'!$A:$A,MATCH($B3957,'Catalog'!$B:$B,0)),IFERROR(INDEX('Catalog'!$A:$A,MATCH(TRIM(SUBSTITUTE($B3957,CHAR(160)," ")),'Catalog'!$C:$C,0)),""))))</f>
        <v>4413495</v>
      </c>
      <c r="H3957" s="8" t="str">
        <f aca="false">IFERROR(INDEX('TRANS'!$C:$C,MATCH($B3957,'TRANS'!$A:$A,0)),IFERROR(INDEX('Catalog'!$B:$B,MATCH($G3957,'Catalog'!$A:$A,0)),$B3957))</f>
        <v>45B L מגן ברך שחור</v>
      </c>
      <c r="I3957" s="8" t="str">
        <f aca="false">IF($G3957="","Unmatched","Matched")</f>
        <v>Matched</v>
      </c>
    </row>
    <row r="3958" customFormat="false" ht="15" hidden="false" customHeight="false" outlineLevel="0" collapsed="false">
      <c r="A3958" s="8" t="s">
        <v>1081</v>
      </c>
      <c r="B3958" s="8" t="s">
        <v>209</v>
      </c>
      <c r="C3958" s="19" t="n">
        <v>30</v>
      </c>
      <c r="D3958" s="19" t="n">
        <v>369.24</v>
      </c>
      <c r="E3958" s="19" t="n">
        <v>8</v>
      </c>
      <c r="F3958" s="19" t="n">
        <v>83.82</v>
      </c>
      <c r="G3958" s="8" t="n">
        <f aca="false">IFERROR(INDEX('TRANS'!$B:$B,MATCH($B3958,'TRANS'!$A:$A,0)),IFERROR(INDEX('TRANS'!$B:$B,MATCH(TRIM(SUBSTITUTE($B3958,CHAR(160)," ")),'TRANS'!$D:$D,0)),IFERROR(INDEX('Catalog'!$A:$A,MATCH($B3958,'Catalog'!$B:$B,0)),IFERROR(INDEX('Catalog'!$A:$A,MATCH(TRIM(SUBSTITUTE($B3958,CHAR(160)," ")),'Catalog'!$C:$C,0)),""))))</f>
        <v>4413497</v>
      </c>
      <c r="H3958" s="8" t="str">
        <f aca="false">IFERROR(INDEX('TRANS'!$C:$C,MATCH($B3958,'TRANS'!$A:$A,0)),IFERROR(INDEX('Catalog'!$B:$B,MATCH($G3958,'Catalog'!$A:$A,0)),$B3958))</f>
        <v>45B M מגן ברך שחור</v>
      </c>
      <c r="I3958" s="8" t="str">
        <f aca="false">IF($G3958="","Unmatched","Matched")</f>
        <v>Matched</v>
      </c>
    </row>
    <row r="3959" customFormat="false" ht="15" hidden="false" customHeight="false" outlineLevel="0" collapsed="false">
      <c r="A3959" s="8" t="s">
        <v>1081</v>
      </c>
      <c r="B3959" s="8" t="s">
        <v>379</v>
      </c>
      <c r="C3959" s="19" t="n">
        <v>10</v>
      </c>
      <c r="D3959" s="19" t="n">
        <v>125.18</v>
      </c>
      <c r="E3959" s="19" t="n">
        <v>0</v>
      </c>
      <c r="F3959" s="19" t="n">
        <v>0</v>
      </c>
      <c r="G3959" s="8" t="n">
        <f aca="false">IFERROR(INDEX('TRANS'!$B:$B,MATCH($B3959,'TRANS'!$A:$A,0)),IFERROR(INDEX('TRANS'!$B:$B,MATCH(TRIM(SUBSTITUTE($B3959,CHAR(160)," ")),'TRANS'!$D:$D,0)),IFERROR(INDEX('Catalog'!$A:$A,MATCH($B3959,'Catalog'!$B:$B,0)),IFERROR(INDEX('Catalog'!$A:$A,MATCH(TRIM(SUBSTITUTE($B3959,CHAR(160)," ")),'Catalog'!$C:$C,0)),""))))</f>
        <v>4413498</v>
      </c>
      <c r="H3959" s="8" t="str">
        <f aca="false">IFERROR(INDEX('TRANS'!$C:$C,MATCH($B3959,'TRANS'!$A:$A,0)),IFERROR(INDEX('Catalog'!$B:$B,MATCH($G3959,'Catalog'!$A:$A,0)),$B3959))</f>
        <v>45B S מגן ברך שחור</v>
      </c>
      <c r="I3959" s="8" t="str">
        <f aca="false">IF($G3959="","Unmatched","Matched")</f>
        <v>Matched</v>
      </c>
    </row>
    <row r="3960" customFormat="false" ht="15" hidden="false" customHeight="false" outlineLevel="0" collapsed="false">
      <c r="A3960" s="8" t="s">
        <v>1081</v>
      </c>
      <c r="B3960" s="8" t="s">
        <v>380</v>
      </c>
      <c r="C3960" s="19" t="n">
        <v>15</v>
      </c>
      <c r="D3960" s="19" t="n">
        <v>187.77</v>
      </c>
      <c r="E3960" s="19" t="n">
        <v>10</v>
      </c>
      <c r="F3960" s="19" t="n">
        <v>104.78</v>
      </c>
      <c r="G3960" s="8" t="n">
        <f aca="false">IFERROR(INDEX('TRANS'!$B:$B,MATCH($B3960,'TRANS'!$A:$A,0)),IFERROR(INDEX('TRANS'!$B:$B,MATCH(TRIM(SUBSTITUTE($B3960,CHAR(160)," ")),'TRANS'!$D:$D,0)),IFERROR(INDEX('Catalog'!$A:$A,MATCH($B3960,'Catalog'!$B:$B,0)),IFERROR(INDEX('Catalog'!$A:$A,MATCH(TRIM(SUBSTITUTE($B3960,CHAR(160)," ")),'Catalog'!$C:$C,0)),""))))</f>
        <v>4413496</v>
      </c>
      <c r="H3960" s="8" t="str">
        <f aca="false">IFERROR(INDEX('TRANS'!$C:$C,MATCH($B3960,'TRANS'!$A:$A,0)),IFERROR(INDEX('Catalog'!$B:$B,MATCH($G3960,'Catalog'!$A:$A,0)),$B3960))</f>
        <v>45B XL מגן ברך שחור</v>
      </c>
      <c r="I3960" s="8" t="str">
        <f aca="false">IF($G3960="","Unmatched","Matched")</f>
        <v>Matched</v>
      </c>
    </row>
    <row r="3961" customFormat="false" ht="15" hidden="false" customHeight="false" outlineLevel="0" collapsed="false">
      <c r="A3961" s="8" t="s">
        <v>1081</v>
      </c>
      <c r="B3961" s="8" t="s">
        <v>381</v>
      </c>
      <c r="C3961" s="19" t="n">
        <v>4</v>
      </c>
      <c r="D3961" s="19" t="n">
        <v>50.07</v>
      </c>
      <c r="E3961" s="19" t="n">
        <v>8</v>
      </c>
      <c r="F3961" s="19" t="n">
        <v>83.82</v>
      </c>
      <c r="G3961" s="8" t="n">
        <f aca="false">IFERROR(INDEX('TRANS'!$B:$B,MATCH($B3961,'TRANS'!$A:$A,0)),IFERROR(INDEX('TRANS'!$B:$B,MATCH(TRIM(SUBSTITUTE($B3961,CHAR(160)," ")),'TRANS'!$D:$D,0)),IFERROR(INDEX('Catalog'!$A:$A,MATCH($B3961,'Catalog'!$B:$B,0)),IFERROR(INDEX('Catalog'!$A:$A,MATCH(TRIM(SUBSTITUTE($B3961,CHAR(160)," ")),'Catalog'!$C:$C,0)),""))))</f>
        <v>4413499</v>
      </c>
      <c r="H3961" s="8" t="str">
        <f aca="false">IFERROR(INDEX('TRANS'!$C:$C,MATCH($B3961,'TRANS'!$A:$A,0)),IFERROR(INDEX('Catalog'!$B:$B,MATCH($G3961,'Catalog'!$A:$A,0)),$B3961))</f>
        <v>45B XXLמגן ברך שחור</v>
      </c>
      <c r="I3961" s="8" t="str">
        <f aca="false">IF($G3961="","Unmatched","Matched")</f>
        <v>Matched</v>
      </c>
    </row>
    <row r="3962" customFormat="false" ht="15" hidden="false" customHeight="false" outlineLevel="0" collapsed="false">
      <c r="A3962" s="8" t="s">
        <v>1081</v>
      </c>
      <c r="B3962" s="8" t="s">
        <v>210</v>
      </c>
      <c r="C3962" s="19" t="n">
        <v>30</v>
      </c>
      <c r="D3962" s="19" t="n">
        <v>345.8</v>
      </c>
      <c r="E3962" s="19" t="n">
        <v>10</v>
      </c>
      <c r="F3962" s="19" t="n">
        <v>98.13</v>
      </c>
      <c r="G3962" s="8" t="n">
        <f aca="false">IFERROR(INDEX('TRANS'!$B:$B,MATCH($B3962,'TRANS'!$A:$A,0)),IFERROR(INDEX('TRANS'!$B:$B,MATCH(TRIM(SUBSTITUTE($B3962,CHAR(160)," ")),'TRANS'!$D:$D,0)),IFERROR(INDEX('Catalog'!$A:$A,MATCH($B3962,'Catalog'!$B:$B,0)),IFERROR(INDEX('Catalog'!$A:$A,MATCH(TRIM(SUBSTITUTE($B3962,CHAR(160)," ")),'Catalog'!$C:$C,0)),""))))</f>
        <v>4413098</v>
      </c>
      <c r="H3962" s="8" t="str">
        <f aca="false">IFERROR(INDEX('TRANS'!$C:$C,MATCH($B3962,'TRANS'!$A:$A,0)),IFERROR(INDEX('Catalog'!$B:$B,MATCH($G3962,'Catalog'!$A:$A,0)),$B3962))</f>
        <v>45C L מגן ברך חום</v>
      </c>
      <c r="I3962" s="8" t="str">
        <f aca="false">IF($G3962="","Unmatched","Matched")</f>
        <v>Matched</v>
      </c>
    </row>
    <row r="3963" customFormat="false" ht="15" hidden="false" customHeight="false" outlineLevel="0" collapsed="false">
      <c r="A3963" s="8" t="s">
        <v>1081</v>
      </c>
      <c r="B3963" s="8" t="s">
        <v>211</v>
      </c>
      <c r="C3963" s="19" t="n">
        <v>20</v>
      </c>
      <c r="D3963" s="19" t="n">
        <v>228.56</v>
      </c>
      <c r="E3963" s="19" t="n">
        <v>4</v>
      </c>
      <c r="F3963" s="19" t="n">
        <v>39.25</v>
      </c>
      <c r="G3963" s="8" t="n">
        <f aca="false">IFERROR(INDEX('TRANS'!$B:$B,MATCH($B3963,'TRANS'!$A:$A,0)),IFERROR(INDEX('TRANS'!$B:$B,MATCH(TRIM(SUBSTITUTE($B3963,CHAR(160)," ")),'TRANS'!$D:$D,0)),IFERROR(INDEX('Catalog'!$A:$A,MATCH($B3963,'Catalog'!$B:$B,0)),IFERROR(INDEX('Catalog'!$A:$A,MATCH(TRIM(SUBSTITUTE($B3963,CHAR(160)," ")),'Catalog'!$C:$C,0)),""))))</f>
        <v>4413099</v>
      </c>
      <c r="H3963" s="8" t="str">
        <f aca="false">IFERROR(INDEX('TRANS'!$C:$C,MATCH($B3963,'TRANS'!$A:$A,0)),IFERROR(INDEX('Catalog'!$B:$B,MATCH($G3963,'Catalog'!$A:$A,0)),$B3963))</f>
        <v>45C M מגן ברך חום</v>
      </c>
      <c r="I3963" s="8" t="str">
        <f aca="false">IF($G3963="","Unmatched","Matched")</f>
        <v>Matched</v>
      </c>
    </row>
    <row r="3964" customFormat="false" ht="15" hidden="false" customHeight="false" outlineLevel="0" collapsed="false">
      <c r="A3964" s="8" t="s">
        <v>1081</v>
      </c>
      <c r="B3964" s="8" t="s">
        <v>213</v>
      </c>
      <c r="C3964" s="19" t="n">
        <v>20</v>
      </c>
      <c r="D3964" s="19" t="n">
        <v>234.47</v>
      </c>
      <c r="E3964" s="19" t="n">
        <v>10</v>
      </c>
      <c r="F3964" s="19" t="n">
        <v>98.13</v>
      </c>
      <c r="G3964" s="8" t="n">
        <f aca="false">IFERROR(INDEX('TRANS'!$B:$B,MATCH($B3964,'TRANS'!$A:$A,0)),IFERROR(INDEX('TRANS'!$B:$B,MATCH(TRIM(SUBSTITUTE($B3964,CHAR(160)," ")),'TRANS'!$D:$D,0)),IFERROR(INDEX('Catalog'!$A:$A,MATCH($B3964,'Catalog'!$B:$B,0)),IFERROR(INDEX('Catalog'!$A:$A,MATCH(TRIM(SUBSTITUTE($B3964,CHAR(160)," ")),'Catalog'!$C:$C,0)),""))))</f>
        <v>4413100</v>
      </c>
      <c r="H3964" s="8" t="str">
        <f aca="false">IFERROR(INDEX('TRANS'!$C:$C,MATCH($B3964,'TRANS'!$A:$A,0)),IFERROR(INDEX('Catalog'!$B:$B,MATCH($G3964,'Catalog'!$A:$A,0)),$B3964))</f>
        <v>45C XL מגן ברך חום</v>
      </c>
      <c r="I3964" s="8" t="str">
        <f aca="false">IF($G3964="","Unmatched","Matched")</f>
        <v>Matched</v>
      </c>
    </row>
    <row r="3965" customFormat="false" ht="15" hidden="false" customHeight="false" outlineLevel="0" collapsed="false">
      <c r="A3965" s="8" t="s">
        <v>1081</v>
      </c>
      <c r="B3965" s="8" t="s">
        <v>215</v>
      </c>
      <c r="C3965" s="19" t="n">
        <v>9</v>
      </c>
      <c r="D3965" s="19" t="n">
        <v>102.56</v>
      </c>
      <c r="E3965" s="19" t="n">
        <v>10</v>
      </c>
      <c r="F3965" s="19" t="n">
        <v>98.13</v>
      </c>
      <c r="G3965" s="8" t="str">
        <f aca="false">IFERROR(INDEX('TRANS'!$B:$B,MATCH($B3965,'TRANS'!$A:$A,0)),IFERROR(INDEX('TRANS'!$B:$B,MATCH(TRIM(SUBSTITUTE($B3965,CHAR(160)," ")),'TRANS'!$D:$D,0)),IFERROR(INDEX('Catalog'!$A:$A,MATCH($B3965,'Catalog'!$B:$B,0)),IFERROR(INDEX('Catalog'!$A:$A,MATCH(TRIM(SUBSTITUTE($B3965,CHAR(160)," ")),'Catalog'!$C:$C,0)),""))))</f>
        <v/>
      </c>
      <c r="H3965" s="8" t="str">
        <f aca="false">IFERROR(INDEX('TRANS'!$C:$C,MATCH($B3965,'TRANS'!$A:$A,0)),IFERROR(INDEX('Catalog'!$B:$B,MATCH($G3965,'Catalog'!$A:$A,0)),$B3965))</f>
        <v>45C XXL</v>
      </c>
      <c r="I3965" s="8" t="str">
        <f aca="false">IF($G3965="","Unmatched","Matched")</f>
        <v>Unmatched</v>
      </c>
    </row>
    <row r="3966" customFormat="false" ht="15" hidden="false" customHeight="false" outlineLevel="0" collapsed="false">
      <c r="A3966" s="8" t="s">
        <v>1081</v>
      </c>
      <c r="B3966" s="8" t="s">
        <v>709</v>
      </c>
      <c r="C3966" s="19" t="n">
        <v>10</v>
      </c>
      <c r="D3966" s="19" t="n">
        <v>476.88</v>
      </c>
      <c r="E3966" s="19" t="n">
        <v>8</v>
      </c>
      <c r="F3966" s="19" t="n">
        <v>319.32</v>
      </c>
      <c r="G3966" s="8" t="n">
        <f aca="false">IFERROR(INDEX('TRANS'!$B:$B,MATCH($B3966,'TRANS'!$A:$A,0)),IFERROR(INDEX('TRANS'!$B:$B,MATCH(TRIM(SUBSTITUTE($B3966,CHAR(160)," ")),'TRANS'!$D:$D,0)),IFERROR(INDEX('Catalog'!$A:$A,MATCH($B3966,'Catalog'!$B:$B,0)),IFERROR(INDEX('Catalog'!$A:$A,MATCH(TRIM(SUBSTITUTE($B3966,CHAR(160)," ")),'Catalog'!$C:$C,0)),""))))</f>
        <v>4413117</v>
      </c>
      <c r="H3966" s="8" t="str">
        <f aca="false">IFERROR(INDEX('TRANS'!$C:$C,MATCH($B3966,'TRANS'!$A:$A,0)),IFERROR(INDEX('Catalog'!$B:$B,MATCH($G3966,'Catalog'!$A:$A,0)),$B3966))</f>
        <v>50 L מתלה אשכים לאחר ניתוח</v>
      </c>
      <c r="I3966" s="8" t="str">
        <f aca="false">IF($G3966="","Unmatched","Matched")</f>
        <v>Matched</v>
      </c>
    </row>
    <row r="3967" customFormat="false" ht="15" hidden="false" customHeight="false" outlineLevel="0" collapsed="false">
      <c r="A3967" s="8" t="s">
        <v>1081</v>
      </c>
      <c r="B3967" s="8" t="s">
        <v>679</v>
      </c>
      <c r="C3967" s="19" t="n">
        <v>10</v>
      </c>
      <c r="D3967" s="19" t="n">
        <v>476.88</v>
      </c>
      <c r="E3967" s="19" t="n">
        <v>2</v>
      </c>
      <c r="F3967" s="19" t="n">
        <v>79.83</v>
      </c>
      <c r="G3967" s="8" t="n">
        <f aca="false">IFERROR(INDEX('TRANS'!$B:$B,MATCH($B3967,'TRANS'!$A:$A,0)),IFERROR(INDEX('TRANS'!$B:$B,MATCH(TRIM(SUBSTITUTE($B3967,CHAR(160)," ")),'TRANS'!$D:$D,0)),IFERROR(INDEX('Catalog'!$A:$A,MATCH($B3967,'Catalog'!$B:$B,0)),IFERROR(INDEX('Catalog'!$A:$A,MATCH(TRIM(SUBSTITUTE($B3967,CHAR(160)," ")),'Catalog'!$C:$C,0)),""))))</f>
        <v>4413118</v>
      </c>
      <c r="H3967" s="8" t="str">
        <f aca="false">IFERROR(INDEX('TRANS'!$C:$C,MATCH($B3967,'TRANS'!$A:$A,0)),IFERROR(INDEX('Catalog'!$B:$B,MATCH($G3967,'Catalog'!$A:$A,0)),$B3967))</f>
        <v>50 M מתלה אשכים לאחר ניתוח</v>
      </c>
      <c r="I3967" s="8" t="str">
        <f aca="false">IF($G3967="","Unmatched","Matched")</f>
        <v>Matched</v>
      </c>
    </row>
    <row r="3968" customFormat="false" ht="15" hidden="false" customHeight="false" outlineLevel="0" collapsed="false">
      <c r="A3968" s="8" t="s">
        <v>1081</v>
      </c>
      <c r="B3968" s="8" t="s">
        <v>393</v>
      </c>
      <c r="C3968" s="19" t="n">
        <v>0</v>
      </c>
      <c r="D3968" s="19" t="n">
        <v>0</v>
      </c>
      <c r="E3968" s="19" t="n">
        <v>2</v>
      </c>
      <c r="F3968" s="19" t="n">
        <v>79.83</v>
      </c>
      <c r="G3968" s="8" t="str">
        <f aca="false">IFERROR(INDEX('TRANS'!$B:$B,MATCH($B3968,'TRANS'!$A:$A,0)),IFERROR(INDEX('TRANS'!$B:$B,MATCH(TRIM(SUBSTITUTE($B3968,CHAR(160)," ")),'TRANS'!$D:$D,0)),IFERROR(INDEX('Catalog'!$A:$A,MATCH($B3968,'Catalog'!$B:$B,0)),IFERROR(INDEX('Catalog'!$A:$A,MATCH(TRIM(SUBSTITUTE($B3968,CHAR(160)," ")),'Catalog'!$C:$C,0)),""))))</f>
        <v/>
      </c>
      <c r="H3968" s="8" t="str">
        <f aca="false">IFERROR(INDEX('TRANS'!$C:$C,MATCH($B3968,'TRANS'!$A:$A,0)),IFERROR(INDEX('Catalog'!$B:$B,MATCH($G3968,'Catalog'!$A:$A,0)),$B3968))</f>
        <v>50 S</v>
      </c>
      <c r="I3968" s="8" t="str">
        <f aca="false">IF($G3968="","Unmatched","Matched")</f>
        <v>Unmatched</v>
      </c>
    </row>
    <row r="3969" customFormat="false" ht="15" hidden="false" customHeight="false" outlineLevel="0" collapsed="false">
      <c r="A3969" s="8" t="s">
        <v>1081</v>
      </c>
      <c r="B3969" s="8" t="s">
        <v>628</v>
      </c>
      <c r="C3969" s="19" t="n">
        <v>4</v>
      </c>
      <c r="D3969" s="19" t="n">
        <v>190.75</v>
      </c>
      <c r="E3969" s="19" t="n">
        <v>3</v>
      </c>
      <c r="F3969" s="19" t="n">
        <v>119.75</v>
      </c>
      <c r="G3969" s="8" t="n">
        <f aca="false">IFERROR(INDEX('TRANS'!$B:$B,MATCH($B3969,'TRANS'!$A:$A,0)),IFERROR(INDEX('TRANS'!$B:$B,MATCH(TRIM(SUBSTITUTE($B3969,CHAR(160)," ")),'TRANS'!$D:$D,0)),IFERROR(INDEX('Catalog'!$A:$A,MATCH($B3969,'Catalog'!$B:$B,0)),IFERROR(INDEX('Catalog'!$A:$A,MATCH(TRIM(SUBSTITUTE($B3969,CHAR(160)," ")),'Catalog'!$C:$C,0)),""))))</f>
        <v>4413119</v>
      </c>
      <c r="H3969" s="8" t="str">
        <f aca="false">IFERROR(INDEX('TRANS'!$C:$C,MATCH($B3969,'TRANS'!$A:$A,0)),IFERROR(INDEX('Catalog'!$B:$B,MATCH($G3969,'Catalog'!$A:$A,0)),$B3969))</f>
        <v>50 XL מתלה אשכים לאחר ניתוח</v>
      </c>
      <c r="I3969" s="8" t="str">
        <f aca="false">IF($G3969="","Unmatched","Matched")</f>
        <v>Matched</v>
      </c>
    </row>
    <row r="3970" customFormat="false" ht="15" hidden="false" customHeight="false" outlineLevel="0" collapsed="false">
      <c r="A3970" s="8" t="s">
        <v>1081</v>
      </c>
      <c r="B3970" s="8" t="s">
        <v>748</v>
      </c>
      <c r="C3970" s="19" t="n">
        <v>0</v>
      </c>
      <c r="D3970" s="19" t="n">
        <v>0</v>
      </c>
      <c r="E3970" s="19" t="n">
        <v>2</v>
      </c>
      <c r="F3970" s="19" t="n">
        <v>79.83</v>
      </c>
      <c r="G3970" s="8" t="str">
        <f aca="false">IFERROR(INDEX('TRANS'!$B:$B,MATCH($B3970,'TRANS'!$A:$A,0)),IFERROR(INDEX('TRANS'!$B:$B,MATCH(TRIM(SUBSTITUTE($B3970,CHAR(160)," ")),'TRANS'!$D:$D,0)),IFERROR(INDEX('Catalog'!$A:$A,MATCH($B3970,'Catalog'!$B:$B,0)),IFERROR(INDEX('Catalog'!$A:$A,MATCH(TRIM(SUBSTITUTE($B3970,CHAR(160)," ")),'Catalog'!$C:$C,0)),""))))</f>
        <v/>
      </c>
      <c r="H3970" s="8" t="str">
        <f aca="false">IFERROR(INDEX('TRANS'!$C:$C,MATCH($B3970,'TRANS'!$A:$A,0)),IFERROR(INDEX('Catalog'!$B:$B,MATCH($G3970,'Catalog'!$A:$A,0)),$B3970))</f>
        <v>50 XXL</v>
      </c>
      <c r="I3970" s="8" t="str">
        <f aca="false">IF($G3970="","Unmatched","Matched")</f>
        <v>Unmatched</v>
      </c>
    </row>
    <row r="3971" customFormat="false" ht="15" hidden="false" customHeight="false" outlineLevel="0" collapsed="false">
      <c r="A3971" s="8" t="s">
        <v>1081</v>
      </c>
      <c r="B3971" s="8" t="s">
        <v>394</v>
      </c>
      <c r="C3971" s="19" t="n">
        <v>6</v>
      </c>
      <c r="D3971" s="19" t="n">
        <v>604.45</v>
      </c>
      <c r="E3971" s="19" t="n">
        <v>2</v>
      </c>
      <c r="F3971" s="19" t="n">
        <v>168.64</v>
      </c>
      <c r="G3971" s="8" t="n">
        <f aca="false">IFERROR(INDEX('TRANS'!$B:$B,MATCH($B3971,'TRANS'!$A:$A,0)),IFERROR(INDEX('TRANS'!$B:$B,MATCH(TRIM(SUBSTITUTE($B3971,CHAR(160)," ")),'TRANS'!$D:$D,0)),IFERROR(INDEX('Catalog'!$A:$A,MATCH($B3971,'Catalog'!$B:$B,0)),IFERROR(INDEX('Catalog'!$A:$A,MATCH(TRIM(SUBSTITUTE($B3971,CHAR(160)," ")),'Catalog'!$C:$C,0)),""))))</f>
        <v>4408071</v>
      </c>
      <c r="H3971" s="8" t="str">
        <f aca="false">IFERROR(INDEX('TRANS'!$C:$C,MATCH($B3971,'TRANS'!$A:$A,0)),IFERROR(INDEX('Catalog'!$B:$B,MATCH($G3971,'Catalog'!$A:$A,0)),$B3971))</f>
        <v>59D L חגורת שבר דו צדדי</v>
      </c>
      <c r="I3971" s="8" t="str">
        <f aca="false">IF($G3971="","Unmatched","Matched")</f>
        <v>Matched</v>
      </c>
    </row>
    <row r="3972" customFormat="false" ht="15" hidden="false" customHeight="false" outlineLevel="0" collapsed="false">
      <c r="A3972" s="8" t="s">
        <v>1081</v>
      </c>
      <c r="B3972" s="8" t="s">
        <v>490</v>
      </c>
      <c r="C3972" s="19" t="n">
        <v>6</v>
      </c>
      <c r="D3972" s="19" t="n">
        <v>604.45</v>
      </c>
      <c r="E3972" s="19" t="n">
        <v>6</v>
      </c>
      <c r="F3972" s="19" t="n">
        <v>505.93</v>
      </c>
      <c r="G3972" s="8" t="n">
        <f aca="false">IFERROR(INDEX('TRANS'!$B:$B,MATCH($B3972,'TRANS'!$A:$A,0)),IFERROR(INDEX('TRANS'!$B:$B,MATCH(TRIM(SUBSTITUTE($B3972,CHAR(160)," ")),'TRANS'!$D:$D,0)),IFERROR(INDEX('Catalog'!$A:$A,MATCH($B3972,'Catalog'!$B:$B,0)),IFERROR(INDEX('Catalog'!$A:$A,MATCH(TRIM(SUBSTITUTE($B3972,CHAR(160)," ")),'Catalog'!$C:$C,0)),""))))</f>
        <v>4408072</v>
      </c>
      <c r="H3972" s="8" t="str">
        <f aca="false">IFERROR(INDEX('TRANS'!$C:$C,MATCH($B3972,'TRANS'!$A:$A,0)),IFERROR(INDEX('Catalog'!$B:$B,MATCH($G3972,'Catalog'!$A:$A,0)),$B3972))</f>
        <v>59D M חגורת שבר דו צדדי</v>
      </c>
      <c r="I3972" s="8" t="str">
        <f aca="false">IF($G3972="","Unmatched","Matched")</f>
        <v>Matched</v>
      </c>
    </row>
    <row r="3973" customFormat="false" ht="15" hidden="false" customHeight="false" outlineLevel="0" collapsed="false">
      <c r="A3973" s="8" t="s">
        <v>1081</v>
      </c>
      <c r="B3973" s="8" t="s">
        <v>491</v>
      </c>
      <c r="C3973" s="19" t="n">
        <v>0</v>
      </c>
      <c r="D3973" s="19" t="n">
        <v>0</v>
      </c>
      <c r="E3973" s="19" t="n">
        <v>2</v>
      </c>
      <c r="F3973" s="19" t="n">
        <v>168.64</v>
      </c>
      <c r="G3973" s="8" t="n">
        <f aca="false">IFERROR(INDEX('TRANS'!$B:$B,MATCH($B3973,'TRANS'!$A:$A,0)),IFERROR(INDEX('TRANS'!$B:$B,MATCH(TRIM(SUBSTITUTE($B3973,CHAR(160)," ")),'TRANS'!$D:$D,0)),IFERROR(INDEX('Catalog'!$A:$A,MATCH($B3973,'Catalog'!$B:$B,0)),IFERROR(INDEX('Catalog'!$A:$A,MATCH(TRIM(SUBSTITUTE($B3973,CHAR(160)," ")),'Catalog'!$C:$C,0)),""))))</f>
        <v>4408070</v>
      </c>
      <c r="H3973" s="8" t="str">
        <f aca="false">IFERROR(INDEX('TRANS'!$C:$C,MATCH($B3973,'TRANS'!$A:$A,0)),IFERROR(INDEX('Catalog'!$B:$B,MATCH($G3973,'Catalog'!$A:$A,0)),$B3973))</f>
        <v>59D S חגורת שבר דו צדדי</v>
      </c>
      <c r="I3973" s="8" t="str">
        <f aca="false">IF($G3973="","Unmatched","Matched")</f>
        <v>Matched</v>
      </c>
    </row>
    <row r="3974" customFormat="false" ht="15" hidden="false" customHeight="false" outlineLevel="0" collapsed="false">
      <c r="A3974" s="8" t="s">
        <v>1081</v>
      </c>
      <c r="B3974" s="8" t="s">
        <v>718</v>
      </c>
      <c r="C3974" s="19" t="n">
        <v>3</v>
      </c>
      <c r="D3974" s="19" t="n">
        <v>302.22</v>
      </c>
      <c r="E3974" s="19" t="n">
        <v>0</v>
      </c>
      <c r="F3974" s="19" t="n">
        <v>0</v>
      </c>
      <c r="G3974" s="8" t="n">
        <f aca="false">IFERROR(INDEX('TRANS'!$B:$B,MATCH($B3974,'TRANS'!$A:$A,0)),IFERROR(INDEX('TRANS'!$B:$B,MATCH(TRIM(SUBSTITUTE($B3974,CHAR(160)," ")),'TRANS'!$D:$D,0)),IFERROR(INDEX('Catalog'!$A:$A,MATCH($B3974,'Catalog'!$B:$B,0)),IFERROR(INDEX('Catalog'!$A:$A,MATCH(TRIM(SUBSTITUTE($B3974,CHAR(160)," ")),'Catalog'!$C:$C,0)),""))))</f>
        <v>4408073</v>
      </c>
      <c r="H3974" s="8" t="str">
        <f aca="false">IFERROR(INDEX('TRANS'!$C:$C,MATCH($B3974,'TRANS'!$A:$A,0)),IFERROR(INDEX('Catalog'!$B:$B,MATCH($G3974,'Catalog'!$A:$A,0)),$B3974))</f>
        <v>59D XL חגורת שבר דו צדדי</v>
      </c>
      <c r="I3974" s="8" t="str">
        <f aca="false">IF($G3974="","Unmatched","Matched")</f>
        <v>Matched</v>
      </c>
    </row>
    <row r="3975" customFormat="false" ht="15" hidden="false" customHeight="false" outlineLevel="0" collapsed="false">
      <c r="A3975" s="8" t="s">
        <v>1081</v>
      </c>
      <c r="B3975" s="8" t="s">
        <v>228</v>
      </c>
      <c r="C3975" s="19" t="n">
        <v>9</v>
      </c>
      <c r="D3975" s="19" t="n">
        <v>226.4</v>
      </c>
      <c r="E3975" s="19" t="n">
        <v>6</v>
      </c>
      <c r="F3975" s="19" t="n">
        <v>130.72</v>
      </c>
      <c r="G3975" s="8" t="n">
        <f aca="false">IFERROR(INDEX('TRANS'!$B:$B,MATCH($B3975,'TRANS'!$A:$A,0)),IFERROR(INDEX('TRANS'!$B:$B,MATCH(TRIM(SUBSTITUTE($B3975,CHAR(160)," ")),'TRANS'!$D:$D,0)),IFERROR(INDEX('Catalog'!$A:$A,MATCH($B3975,'Catalog'!$B:$B,0)),IFERROR(INDEX('Catalog'!$A:$A,MATCH(TRIM(SUBSTITUTE($B3975,CHAR(160)," ")),'Catalog'!$C:$C,0)),""))))</f>
        <v>4418001</v>
      </c>
      <c r="H3975" s="8" t="str">
        <f aca="false">IFERROR(INDEX('TRANS'!$C:$C,MATCH($B3975,'TRANS'!$A:$A,0)),IFERROR(INDEX('Catalog'!$B:$B,MATCH($G3975,'Catalog'!$A:$A,0)),$B3975))</f>
        <v>60 M צוארון ספוגי</v>
      </c>
      <c r="I3975" s="8" t="str">
        <f aca="false">IF($G3975="","Unmatched","Matched")</f>
        <v>Matched</v>
      </c>
    </row>
    <row r="3976" customFormat="false" ht="15" hidden="false" customHeight="false" outlineLevel="0" collapsed="false">
      <c r="A3976" s="8" t="s">
        <v>1081</v>
      </c>
      <c r="B3976" s="8" t="s">
        <v>229</v>
      </c>
      <c r="C3976" s="19" t="n">
        <v>8</v>
      </c>
      <c r="D3976" s="19" t="n">
        <v>200.37</v>
      </c>
      <c r="E3976" s="19" t="n">
        <v>3</v>
      </c>
      <c r="F3976" s="19" t="n">
        <v>65.36</v>
      </c>
      <c r="G3976" s="8" t="n">
        <f aca="false">IFERROR(INDEX('TRANS'!$B:$B,MATCH($B3976,'TRANS'!$A:$A,0)),IFERROR(INDEX('TRANS'!$B:$B,MATCH(TRIM(SUBSTITUTE($B3976,CHAR(160)," ")),'TRANS'!$D:$D,0)),IFERROR(INDEX('Catalog'!$A:$A,MATCH($B3976,'Catalog'!$B:$B,0)),IFERROR(INDEX('Catalog'!$A:$A,MATCH(TRIM(SUBSTITUTE($B3976,CHAR(160)," ")),'Catalog'!$C:$C,0)),""))))</f>
        <v>4418002</v>
      </c>
      <c r="H3976" s="8" t="str">
        <f aca="false">IFERROR(INDEX('TRANS'!$C:$C,MATCH($B3976,'TRANS'!$A:$A,0)),IFERROR(INDEX('Catalog'!$B:$B,MATCH($G3976,'Catalog'!$A:$A,0)),$B3976))</f>
        <v>60 S צוארון ספוגי</v>
      </c>
      <c r="I3976" s="8" t="str">
        <f aca="false">IF($G3976="","Unmatched","Matched")</f>
        <v>Matched</v>
      </c>
    </row>
    <row r="3977" customFormat="false" ht="15" hidden="false" customHeight="false" outlineLevel="0" collapsed="false">
      <c r="A3977" s="8" t="s">
        <v>1081</v>
      </c>
      <c r="B3977" s="8" t="s">
        <v>843</v>
      </c>
      <c r="C3977" s="19" t="n">
        <v>0</v>
      </c>
      <c r="D3977" s="19" t="n">
        <v>0</v>
      </c>
      <c r="E3977" s="19" t="n">
        <v>10</v>
      </c>
      <c r="F3977" s="19" t="n">
        <v>249.47</v>
      </c>
      <c r="G3977" s="8" t="str">
        <f aca="false">IFERROR(INDEX('TRANS'!$B:$B,MATCH($B3977,'TRANS'!$A:$A,0)),IFERROR(INDEX('TRANS'!$B:$B,MATCH(TRIM(SUBSTITUTE($B3977,CHAR(160)," ")),'TRANS'!$D:$D,0)),IFERROR(INDEX('Catalog'!$A:$A,MATCH($B3977,'Catalog'!$B:$B,0)),IFERROR(INDEX('Catalog'!$A:$A,MATCH(TRIM(SUBSTITUTE($B3977,CHAR(160)," ")),'Catalog'!$C:$C,0)),""))))</f>
        <v/>
      </c>
      <c r="H3977" s="8" t="str">
        <f aca="false">IFERROR(INDEX('TRANS'!$C:$C,MATCH($B3977,'TRANS'!$A:$A,0)),IFERROR(INDEX('Catalog'!$B:$B,MATCH($G3977,'Catalog'!$A:$A,0)),$B3977))</f>
        <v>60B L</v>
      </c>
      <c r="I3977" s="8" t="str">
        <f aca="false">IF($G3977="","Unmatched","Matched")</f>
        <v>Unmatched</v>
      </c>
    </row>
    <row r="3978" customFormat="false" ht="15" hidden="false" customHeight="false" outlineLevel="0" collapsed="false">
      <c r="A3978" s="8" t="s">
        <v>1081</v>
      </c>
      <c r="B3978" s="8" t="s">
        <v>844</v>
      </c>
      <c r="C3978" s="19" t="n">
        <v>23</v>
      </c>
      <c r="D3978" s="19" t="n">
        <v>663</v>
      </c>
      <c r="E3978" s="19" t="n">
        <v>15</v>
      </c>
      <c r="F3978" s="19" t="n">
        <v>374.21</v>
      </c>
      <c r="G3978" s="8" t="str">
        <f aca="false">IFERROR(INDEX('TRANS'!$B:$B,MATCH($B3978,'TRANS'!$A:$A,0)),IFERROR(INDEX('TRANS'!$B:$B,MATCH(TRIM(SUBSTITUTE($B3978,CHAR(160)," ")),'TRANS'!$D:$D,0)),IFERROR(INDEX('Catalog'!$A:$A,MATCH($B3978,'Catalog'!$B:$B,0)),IFERROR(INDEX('Catalog'!$A:$A,MATCH(TRIM(SUBSTITUTE($B3978,CHAR(160)," ")),'Catalog'!$C:$C,0)),""))))</f>
        <v/>
      </c>
      <c r="H3978" s="8" t="str">
        <f aca="false">IFERROR(INDEX('TRANS'!$C:$C,MATCH($B3978,'TRANS'!$A:$A,0)),IFERROR(INDEX('Catalog'!$B:$B,MATCH($G3978,'Catalog'!$A:$A,0)),$B3978))</f>
        <v>60B M</v>
      </c>
      <c r="I3978" s="8" t="str">
        <f aca="false">IF($G3978="","Unmatched","Matched")</f>
        <v>Unmatched</v>
      </c>
    </row>
    <row r="3979" customFormat="false" ht="15" hidden="false" customHeight="false" outlineLevel="0" collapsed="false">
      <c r="A3979" s="8" t="s">
        <v>1081</v>
      </c>
      <c r="B3979" s="8" t="s">
        <v>845</v>
      </c>
      <c r="C3979" s="19" t="n">
        <v>18</v>
      </c>
      <c r="D3979" s="19" t="n">
        <v>521.48</v>
      </c>
      <c r="E3979" s="19" t="n">
        <v>10</v>
      </c>
      <c r="F3979" s="19" t="n">
        <v>249.47</v>
      </c>
      <c r="G3979" s="8" t="str">
        <f aca="false">IFERROR(INDEX('TRANS'!$B:$B,MATCH($B3979,'TRANS'!$A:$A,0)),IFERROR(INDEX('TRANS'!$B:$B,MATCH(TRIM(SUBSTITUTE($B3979,CHAR(160)," ")),'TRANS'!$D:$D,0)),IFERROR(INDEX('Catalog'!$A:$A,MATCH($B3979,'Catalog'!$B:$B,0)),IFERROR(INDEX('Catalog'!$A:$A,MATCH(TRIM(SUBSTITUTE($B3979,CHAR(160)," ")),'Catalog'!$C:$C,0)),""))))</f>
        <v/>
      </c>
      <c r="H3979" s="8" t="str">
        <f aca="false">IFERROR(INDEX('TRANS'!$C:$C,MATCH($B3979,'TRANS'!$A:$A,0)),IFERROR(INDEX('Catalog'!$B:$B,MATCH($G3979,'Catalog'!$A:$A,0)),$B3979))</f>
        <v>60B S</v>
      </c>
      <c r="I3979" s="8" t="str">
        <f aca="false">IF($G3979="","Unmatched","Matched")</f>
        <v>Unmatched</v>
      </c>
    </row>
    <row r="3980" customFormat="false" ht="15" hidden="false" customHeight="false" outlineLevel="0" collapsed="false">
      <c r="A3980" s="8" t="s">
        <v>1081</v>
      </c>
      <c r="B3980" s="8" t="s">
        <v>976</v>
      </c>
      <c r="C3980" s="19" t="n">
        <v>0</v>
      </c>
      <c r="D3980" s="19" t="n">
        <v>0</v>
      </c>
      <c r="E3980" s="19" t="n">
        <v>5</v>
      </c>
      <c r="F3980" s="19" t="n">
        <v>124.74</v>
      </c>
      <c r="G3980" s="8" t="str">
        <f aca="false">IFERROR(INDEX('TRANS'!$B:$B,MATCH($B3980,'TRANS'!$A:$A,0)),IFERROR(INDEX('TRANS'!$B:$B,MATCH(TRIM(SUBSTITUTE($B3980,CHAR(160)," ")),'TRANS'!$D:$D,0)),IFERROR(INDEX('Catalog'!$A:$A,MATCH($B3980,'Catalog'!$B:$B,0)),IFERROR(INDEX('Catalog'!$A:$A,MATCH(TRIM(SUBSTITUTE($B3980,CHAR(160)," ")),'Catalog'!$C:$C,0)),""))))</f>
        <v/>
      </c>
      <c r="H3980" s="8" t="str">
        <f aca="false">IFERROR(INDEX('TRANS'!$C:$C,MATCH($B3980,'TRANS'!$A:$A,0)),IFERROR(INDEX('Catalog'!$B:$B,MATCH($G3980,'Catalog'!$A:$A,0)),$B3980))</f>
        <v>60B XL</v>
      </c>
      <c r="I3980" s="8" t="str">
        <f aca="false">IF($G3980="","Unmatched","Matched")</f>
        <v>Unmatched</v>
      </c>
    </row>
    <row r="3981" customFormat="false" ht="15" hidden="false" customHeight="false" outlineLevel="0" collapsed="false">
      <c r="A3981" s="8" t="s">
        <v>1081</v>
      </c>
      <c r="B3981" s="8" t="s">
        <v>846</v>
      </c>
      <c r="C3981" s="19" t="n">
        <v>10</v>
      </c>
      <c r="D3981" s="19" t="n">
        <v>283.04</v>
      </c>
      <c r="E3981" s="19" t="n">
        <v>0</v>
      </c>
      <c r="F3981" s="19" t="n">
        <v>0</v>
      </c>
      <c r="G3981" s="8" t="str">
        <f aca="false">IFERROR(INDEX('TRANS'!$B:$B,MATCH($B3981,'TRANS'!$A:$A,0)),IFERROR(INDEX('TRANS'!$B:$B,MATCH(TRIM(SUBSTITUTE($B3981,CHAR(160)," ")),'TRANS'!$D:$D,0)),IFERROR(INDEX('Catalog'!$A:$A,MATCH($B3981,'Catalog'!$B:$B,0)),IFERROR(INDEX('Catalog'!$A:$A,MATCH(TRIM(SUBSTITUTE($B3981,CHAR(160)," ")),'Catalog'!$C:$C,0)),""))))</f>
        <v/>
      </c>
      <c r="H3981" s="8" t="str">
        <f aca="false">IFERROR(INDEX('TRANS'!$C:$C,MATCH($B3981,'TRANS'!$A:$A,0)),IFERROR(INDEX('Catalog'!$B:$B,MATCH($G3981,'Catalog'!$A:$A,0)),$B3981))</f>
        <v>60B XS</v>
      </c>
      <c r="I3981" s="8" t="str">
        <f aca="false">IF($G3981="","Unmatched","Matched")</f>
        <v>Unmatched</v>
      </c>
    </row>
    <row r="3982" customFormat="false" ht="15" hidden="false" customHeight="false" outlineLevel="0" collapsed="false">
      <c r="A3982" s="8" t="s">
        <v>1081</v>
      </c>
      <c r="B3982" s="8" t="s">
        <v>602</v>
      </c>
      <c r="C3982" s="19" t="n">
        <v>0</v>
      </c>
      <c r="D3982" s="19" t="n">
        <v>0</v>
      </c>
      <c r="E3982" s="19" t="n">
        <v>3</v>
      </c>
      <c r="F3982" s="19" t="n">
        <v>74.84</v>
      </c>
      <c r="G3982" s="8" t="str">
        <f aca="false">IFERROR(INDEX('TRANS'!$B:$B,MATCH($B3982,'TRANS'!$A:$A,0)),IFERROR(INDEX('TRANS'!$B:$B,MATCH(TRIM(SUBSTITUTE($B3982,CHAR(160)," ")),'TRANS'!$D:$D,0)),IFERROR(INDEX('Catalog'!$A:$A,MATCH($B3982,'Catalog'!$B:$B,0)),IFERROR(INDEX('Catalog'!$A:$A,MATCH(TRIM(SUBSTITUTE($B3982,CHAR(160)," ")),'Catalog'!$C:$C,0)),""))))</f>
        <v/>
      </c>
      <c r="H3982" s="8" t="str">
        <f aca="false">IFERROR(INDEX('TRANS'!$C:$C,MATCH($B3982,'TRANS'!$A:$A,0)),IFERROR(INDEX('Catalog'!$B:$B,MATCH($G3982,'Catalog'!$A:$A,0)),$B3982))</f>
        <v>63 L</v>
      </c>
      <c r="I3982" s="8" t="str">
        <f aca="false">IF($G3982="","Unmatched","Matched")</f>
        <v>Unmatched</v>
      </c>
    </row>
    <row r="3983" customFormat="false" ht="15" hidden="false" customHeight="false" outlineLevel="0" collapsed="false">
      <c r="A3983" s="8" t="s">
        <v>1081</v>
      </c>
      <c r="B3983" s="8" t="s">
        <v>401</v>
      </c>
      <c r="C3983" s="19" t="n">
        <v>2</v>
      </c>
      <c r="D3983" s="19" t="n">
        <v>56.61</v>
      </c>
      <c r="E3983" s="19" t="n">
        <v>3</v>
      </c>
      <c r="F3983" s="19" t="n">
        <v>74.84</v>
      </c>
      <c r="G3983" s="8" t="str">
        <f aca="false">IFERROR(INDEX('TRANS'!$B:$B,MATCH($B3983,'TRANS'!$A:$A,0)),IFERROR(INDEX('TRANS'!$B:$B,MATCH(TRIM(SUBSTITUTE($B3983,CHAR(160)," ")),'TRANS'!$D:$D,0)),IFERROR(INDEX('Catalog'!$A:$A,MATCH($B3983,'Catalog'!$B:$B,0)),IFERROR(INDEX('Catalog'!$A:$A,MATCH(TRIM(SUBSTITUTE($B3983,CHAR(160)," ")),'Catalog'!$C:$C,0)),""))))</f>
        <v/>
      </c>
      <c r="H3983" s="8" t="str">
        <f aca="false">IFERROR(INDEX('TRANS'!$C:$C,MATCH($B3983,'TRANS'!$A:$A,0)),IFERROR(INDEX('Catalog'!$B:$B,MATCH($G3983,'Catalog'!$A:$A,0)),$B3983))</f>
        <v>63 M</v>
      </c>
      <c r="I3983" s="8" t="str">
        <f aca="false">IF($G3983="","Unmatched","Matched")</f>
        <v>Unmatched</v>
      </c>
    </row>
    <row r="3984" customFormat="false" ht="15" hidden="false" customHeight="false" outlineLevel="0" collapsed="false">
      <c r="A3984" s="8" t="s">
        <v>1081</v>
      </c>
      <c r="B3984" s="8" t="s">
        <v>402</v>
      </c>
      <c r="C3984" s="19" t="n">
        <v>2</v>
      </c>
      <c r="D3984" s="19" t="n">
        <v>56.61</v>
      </c>
      <c r="E3984" s="19" t="n">
        <v>2</v>
      </c>
      <c r="F3984" s="19" t="n">
        <v>49.89</v>
      </c>
      <c r="G3984" s="8" t="str">
        <f aca="false">IFERROR(INDEX('TRANS'!$B:$B,MATCH($B3984,'TRANS'!$A:$A,0)),IFERROR(INDEX('TRANS'!$B:$B,MATCH(TRIM(SUBSTITUTE($B3984,CHAR(160)," ")),'TRANS'!$D:$D,0)),IFERROR(INDEX('Catalog'!$A:$A,MATCH($B3984,'Catalog'!$B:$B,0)),IFERROR(INDEX('Catalog'!$A:$A,MATCH(TRIM(SUBSTITUTE($B3984,CHAR(160)," ")),'Catalog'!$C:$C,0)),""))))</f>
        <v/>
      </c>
      <c r="H3984" s="8" t="str">
        <f aca="false">IFERROR(INDEX('TRANS'!$C:$C,MATCH($B3984,'TRANS'!$A:$A,0)),IFERROR(INDEX('Catalog'!$B:$B,MATCH($G3984,'Catalog'!$A:$A,0)),$B3984))</f>
        <v>63 S</v>
      </c>
      <c r="I3984" s="8" t="str">
        <f aca="false">IF($G3984="","Unmatched","Matched")</f>
        <v>Unmatched</v>
      </c>
    </row>
    <row r="3985" customFormat="false" ht="15" hidden="false" customHeight="false" outlineLevel="0" collapsed="false">
      <c r="A3985" s="8" t="s">
        <v>1081</v>
      </c>
      <c r="B3985" s="8" t="s">
        <v>233</v>
      </c>
      <c r="C3985" s="19" t="n">
        <v>0</v>
      </c>
      <c r="D3985" s="19" t="n">
        <v>0</v>
      </c>
      <c r="E3985" s="19" t="n">
        <v>4</v>
      </c>
      <c r="F3985" s="19" t="n">
        <v>345.94</v>
      </c>
      <c r="G3985" s="8" t="n">
        <f aca="false">IFERROR(INDEX('TRANS'!$B:$B,MATCH($B3985,'TRANS'!$A:$A,0)),IFERROR(INDEX('TRANS'!$B:$B,MATCH(TRIM(SUBSTITUTE($B3985,CHAR(160)," ")),'TRANS'!$D:$D,0)),IFERROR(INDEX('Catalog'!$A:$A,MATCH($B3985,'Catalog'!$B:$B,0)),IFERROR(INDEX('Catalog'!$A:$A,MATCH(TRIM(SUBSTITUTE($B3985,CHAR(160)," ")),'Catalog'!$C:$C,0)),""))))</f>
        <v>4413132</v>
      </c>
      <c r="H3985" s="8" t="str">
        <f aca="false">IFERROR(INDEX('TRANS'!$C:$C,MATCH($B3985,'TRANS'!$A:$A,0)),IFERROR(INDEX('Catalog'!$B:$B,MATCH($G3985,'Catalog'!$A:$A,0)),$B3985))</f>
        <v>76 Lמיישר כתף יציב יישור רחב</v>
      </c>
      <c r="I3985" s="8" t="str">
        <f aca="false">IF($G3985="","Unmatched","Matched")</f>
        <v>Matched</v>
      </c>
    </row>
    <row r="3986" customFormat="false" ht="15" hidden="false" customHeight="false" outlineLevel="0" collapsed="false">
      <c r="A3986" s="8" t="s">
        <v>1081</v>
      </c>
      <c r="B3986" s="8" t="s">
        <v>662</v>
      </c>
      <c r="C3986" s="19" t="n">
        <v>3</v>
      </c>
      <c r="D3986" s="19" t="n">
        <v>309.97</v>
      </c>
      <c r="E3986" s="19" t="n">
        <v>2</v>
      </c>
      <c r="F3986" s="19" t="n">
        <v>172.97</v>
      </c>
      <c r="G3986" s="8" t="n">
        <f aca="false">IFERROR(INDEX('TRANS'!$B:$B,MATCH($B3986,'TRANS'!$A:$A,0)),IFERROR(INDEX('TRANS'!$B:$B,MATCH(TRIM(SUBSTITUTE($B3986,CHAR(160)," ")),'TRANS'!$D:$D,0)),IFERROR(INDEX('Catalog'!$A:$A,MATCH($B3986,'Catalog'!$B:$B,0)),IFERROR(INDEX('Catalog'!$A:$A,MATCH(TRIM(SUBSTITUTE($B3986,CHAR(160)," ")),'Catalog'!$C:$C,0)),""))))</f>
        <v>4413133</v>
      </c>
      <c r="H3986" s="8" t="str">
        <f aca="false">IFERROR(INDEX('TRANS'!$C:$C,MATCH($B3986,'TRANS'!$A:$A,0)),IFERROR(INDEX('Catalog'!$B:$B,MATCH($G3986,'Catalog'!$A:$A,0)),$B3986))</f>
        <v>76 Mמיישר כתף יציב,יישור רחב</v>
      </c>
      <c r="I3986" s="8" t="str">
        <f aca="false">IF($G3986="","Unmatched","Matched")</f>
        <v>Matched</v>
      </c>
    </row>
    <row r="3987" customFormat="false" ht="15" hidden="false" customHeight="false" outlineLevel="0" collapsed="false">
      <c r="A3987" s="8" t="s">
        <v>1081</v>
      </c>
      <c r="B3987" s="8" t="s">
        <v>404</v>
      </c>
      <c r="C3987" s="19" t="n">
        <v>0</v>
      </c>
      <c r="D3987" s="19" t="n">
        <v>0</v>
      </c>
      <c r="E3987" s="19" t="n">
        <v>2</v>
      </c>
      <c r="F3987" s="19" t="n">
        <v>172.97</v>
      </c>
      <c r="G3987" s="8" t="n">
        <f aca="false">IFERROR(INDEX('TRANS'!$B:$B,MATCH($B3987,'TRANS'!$A:$A,0)),IFERROR(INDEX('TRANS'!$B:$B,MATCH(TRIM(SUBSTITUTE($B3987,CHAR(160)," ")),'TRANS'!$D:$D,0)),IFERROR(INDEX('Catalog'!$A:$A,MATCH($B3987,'Catalog'!$B:$B,0)),IFERROR(INDEX('Catalog'!$A:$A,MATCH(TRIM(SUBSTITUTE($B3987,CHAR(160)," ")),'Catalog'!$C:$C,0)),""))))</f>
        <v>4413131</v>
      </c>
      <c r="H3987" s="8" t="str">
        <f aca="false">IFERROR(INDEX('TRANS'!$C:$C,MATCH($B3987,'TRANS'!$A:$A,0)),IFERROR(INDEX('Catalog'!$B:$B,MATCH($G3987,'Catalog'!$A:$A,0)),$B3987))</f>
        <v>76 Sמיישר כתף יציב יישור ג.רחב</v>
      </c>
      <c r="I3987" s="8" t="str">
        <f aca="false">IF($G3987="","Unmatched","Matched")</f>
        <v>Matched</v>
      </c>
    </row>
    <row r="3988" customFormat="false" ht="15" hidden="false" customHeight="false" outlineLevel="0" collapsed="false">
      <c r="A3988" s="8" t="s">
        <v>1081</v>
      </c>
      <c r="B3988" s="8" t="s">
        <v>234</v>
      </c>
      <c r="C3988" s="19" t="n">
        <v>0</v>
      </c>
      <c r="D3988" s="19" t="n">
        <v>0</v>
      </c>
      <c r="E3988" s="19" t="n">
        <v>2</v>
      </c>
      <c r="F3988" s="19" t="n">
        <v>172.97</v>
      </c>
      <c r="G3988" s="8" t="n">
        <f aca="false">IFERROR(INDEX('TRANS'!$B:$B,MATCH($B3988,'TRANS'!$A:$A,0)),IFERROR(INDEX('TRANS'!$B:$B,MATCH(TRIM(SUBSTITUTE($B3988,CHAR(160)," ")),'TRANS'!$D:$D,0)),IFERROR(INDEX('Catalog'!$A:$A,MATCH($B3988,'Catalog'!$B:$B,0)),IFERROR(INDEX('Catalog'!$A:$A,MATCH(TRIM(SUBSTITUTE($B3988,CHAR(160)," ")),'Catalog'!$C:$C,0)),""))))</f>
        <v>4413134</v>
      </c>
      <c r="H3988" s="8" t="str">
        <f aca="false">IFERROR(INDEX('TRANS'!$C:$C,MATCH($B3988,'TRANS'!$A:$A,0)),IFERROR(INDEX('Catalog'!$B:$B,MATCH($G3988,'Catalog'!$A:$A,0)),$B3988))</f>
        <v>76 XLמיישר כתף יציב יישור רחב</v>
      </c>
      <c r="I3988" s="8" t="str">
        <f aca="false">IF($G3988="","Unmatched","Matched")</f>
        <v>Matched</v>
      </c>
    </row>
    <row r="3989" customFormat="false" ht="15" hidden="false" customHeight="false" outlineLevel="0" collapsed="false">
      <c r="A3989" s="8" t="s">
        <v>1081</v>
      </c>
      <c r="B3989" s="8" t="s">
        <v>409</v>
      </c>
      <c r="C3989" s="19" t="n">
        <v>4</v>
      </c>
      <c r="D3989" s="19" t="n">
        <v>273.41</v>
      </c>
      <c r="E3989" s="19" t="n">
        <v>0</v>
      </c>
      <c r="F3989" s="19" t="n">
        <v>0</v>
      </c>
      <c r="G3989" s="8" t="str">
        <f aca="false">IFERROR(INDEX('TRANS'!$B:$B,MATCH($B3989,'TRANS'!$A:$A,0)),IFERROR(INDEX('TRANS'!$B:$B,MATCH(TRIM(SUBSTITUTE($B3989,CHAR(160)," ")),'TRANS'!$D:$D,0)),IFERROR(INDEX('Catalog'!$A:$A,MATCH($B3989,'Catalog'!$B:$B,0)),IFERROR(INDEX('Catalog'!$A:$A,MATCH(TRIM(SUBSTITUTE($B3989,CHAR(160)," ")),'Catalog'!$C:$C,0)),""))))</f>
        <v/>
      </c>
      <c r="H3989" s="8" t="str">
        <f aca="false">IFERROR(INDEX('TRANS'!$C:$C,MATCH($B3989,'TRANS'!$A:$A,0)),IFERROR(INDEX('Catalog'!$B:$B,MATCH($G3989,'Catalog'!$A:$A,0)),$B3989))</f>
        <v>78A L</v>
      </c>
      <c r="I3989" s="8" t="str">
        <f aca="false">IF($G3989="","Unmatched","Matched")</f>
        <v>Unmatched</v>
      </c>
    </row>
    <row r="3990" customFormat="false" ht="15" hidden="false" customHeight="false" outlineLevel="0" collapsed="false">
      <c r="A3990" s="8" t="s">
        <v>1081</v>
      </c>
      <c r="B3990" s="8" t="s">
        <v>410</v>
      </c>
      <c r="C3990" s="19" t="n">
        <v>6</v>
      </c>
      <c r="D3990" s="19" t="n">
        <v>410.12</v>
      </c>
      <c r="E3990" s="19" t="n">
        <v>0</v>
      </c>
      <c r="F3990" s="19" t="n">
        <v>0</v>
      </c>
      <c r="G3990" s="8" t="str">
        <f aca="false">IFERROR(INDEX('TRANS'!$B:$B,MATCH($B3990,'TRANS'!$A:$A,0)),IFERROR(INDEX('TRANS'!$B:$B,MATCH(TRIM(SUBSTITUTE($B3990,CHAR(160)," ")),'TRANS'!$D:$D,0)),IFERROR(INDEX('Catalog'!$A:$A,MATCH($B3990,'Catalog'!$B:$B,0)),IFERROR(INDEX('Catalog'!$A:$A,MATCH(TRIM(SUBSTITUTE($B3990,CHAR(160)," ")),'Catalog'!$C:$C,0)),""))))</f>
        <v/>
      </c>
      <c r="H3990" s="8" t="str">
        <f aca="false">IFERROR(INDEX('TRANS'!$C:$C,MATCH($B3990,'TRANS'!$A:$A,0)),IFERROR(INDEX('Catalog'!$B:$B,MATCH($G3990,'Catalog'!$A:$A,0)),$B3990))</f>
        <v>78A M</v>
      </c>
      <c r="I3990" s="8" t="str">
        <f aca="false">IF($G3990="","Unmatched","Matched")</f>
        <v>Unmatched</v>
      </c>
    </row>
    <row r="3991" customFormat="false" ht="15" hidden="false" customHeight="false" outlineLevel="0" collapsed="false">
      <c r="A3991" s="8" t="s">
        <v>1081</v>
      </c>
      <c r="B3991" s="8" t="s">
        <v>241</v>
      </c>
      <c r="C3991" s="19" t="n">
        <v>0</v>
      </c>
      <c r="D3991" s="19" t="n">
        <v>0</v>
      </c>
      <c r="E3991" s="19" t="n">
        <v>12</v>
      </c>
      <c r="F3991" s="19" t="n">
        <v>99.79</v>
      </c>
      <c r="G3991" s="8" t="n">
        <f aca="false">IFERROR(INDEX('TRANS'!$B:$B,MATCH($B3991,'TRANS'!$A:$A,0)),IFERROR(INDEX('TRANS'!$B:$B,MATCH(TRIM(SUBSTITUTE($B3991,CHAR(160)," ")),'TRANS'!$D:$D,0)),IFERROR(INDEX('Catalog'!$A:$A,MATCH($B3991,'Catalog'!$B:$B,0)),IFERROR(INDEX('Catalog'!$A:$A,MATCH(TRIM(SUBSTITUTE($B3991,CHAR(160)," ")),'Catalog'!$C:$C,0)),""))))</f>
        <v>4409012</v>
      </c>
      <c r="H3991" s="8" t="str">
        <f aca="false">IFERROR(INDEX('TRANS'!$C:$C,MATCH($B3991,'TRANS'!$A:$A,0)),IFERROR(INDEX('Catalog'!$B:$B,MATCH($G3991,'Catalog'!$A:$A,0)),$B3991))</f>
        <v>804AT-C      טייפ חבישה לספורט</v>
      </c>
      <c r="I3991" s="8" t="str">
        <f aca="false">IF($G3991="","Unmatched","Matched")</f>
        <v>Matched</v>
      </c>
    </row>
    <row r="3992" customFormat="false" ht="15" hidden="false" customHeight="false" outlineLevel="0" collapsed="false">
      <c r="A3992" s="8" t="s">
        <v>1081</v>
      </c>
      <c r="B3992" s="8" t="s">
        <v>415</v>
      </c>
      <c r="C3992" s="19" t="n">
        <v>12</v>
      </c>
      <c r="D3992" s="19" t="n">
        <v>85.84</v>
      </c>
      <c r="E3992" s="19" t="n">
        <v>0</v>
      </c>
      <c r="F3992" s="19" t="n">
        <v>0</v>
      </c>
      <c r="G3992" s="8" t="n">
        <f aca="false">IFERROR(INDEX('TRANS'!$B:$B,MATCH($B3992,'TRANS'!$A:$A,0)),IFERROR(INDEX('TRANS'!$B:$B,MATCH(TRIM(SUBSTITUTE($B3992,CHAR(160)," ")),'TRANS'!$D:$D,0)),IFERROR(INDEX('Catalog'!$A:$A,MATCH($B3992,'Catalog'!$B:$B,0)),IFERROR(INDEX('Catalog'!$A:$A,MATCH(TRIM(SUBSTITUTE($B3992,CHAR(160)," ")),'Catalog'!$C:$C,0)),""))))</f>
        <v>4422023</v>
      </c>
      <c r="H3992" s="8" t="str">
        <f aca="false">IFERROR(INDEX('TRANS'!$C:$C,MATCH($B3992,'TRANS'!$A:$A,0)),IFERROR(INDEX('Catalog'!$B:$B,MATCH($G3992,'Catalog'!$A:$A,0)),$B3992))</f>
        <v>806CB-BEIGE      תחבושת א.נצמ</v>
      </c>
      <c r="I3992" s="8" t="str">
        <f aca="false">IF($G3992="","Unmatched","Matched")</f>
        <v>Matched</v>
      </c>
    </row>
    <row r="3993" customFormat="false" ht="15" hidden="false" customHeight="false" outlineLevel="0" collapsed="false">
      <c r="A3993" s="8" t="s">
        <v>1081</v>
      </c>
      <c r="B3993" s="8" t="s">
        <v>417</v>
      </c>
      <c r="C3993" s="19" t="n">
        <v>12</v>
      </c>
      <c r="D3993" s="19" t="n">
        <v>85.84</v>
      </c>
      <c r="E3993" s="19" t="n">
        <v>0</v>
      </c>
      <c r="F3993" s="19" t="n">
        <v>0</v>
      </c>
      <c r="G3993" s="8" t="n">
        <f aca="false">IFERROR(INDEX('TRANS'!$B:$B,MATCH($B3993,'TRANS'!$A:$A,0)),IFERROR(INDEX('TRANS'!$B:$B,MATCH(TRIM(SUBSTITUTE($B3993,CHAR(160)," ")),'TRANS'!$D:$D,0)),IFERROR(INDEX('Catalog'!$A:$A,MATCH($B3993,'Catalog'!$B:$B,0)),IFERROR(INDEX('Catalog'!$A:$A,MATCH(TRIM(SUBSTITUTE($B3993,CHAR(160)," ")),'Catalog'!$C:$C,0)),""))))</f>
        <v>4422026</v>
      </c>
      <c r="H3993" s="8" t="str">
        <f aca="false">IFERROR(INDEX('TRANS'!$C:$C,MATCH($B3993,'TRANS'!$A:$A,0)),IFERROR(INDEX('Catalog'!$B:$B,MATCH($G3993,'Catalog'!$A:$A,0)),$B3993))</f>
        <v>806CB-PINK       תחבושת א.נצמ</v>
      </c>
      <c r="I3993" s="8" t="str">
        <f aca="false">IF($G3993="","Unmatched","Matched")</f>
        <v>Matched</v>
      </c>
    </row>
    <row r="3994" customFormat="false" ht="15" hidden="false" customHeight="false" outlineLevel="0" collapsed="false">
      <c r="A3994" s="8" t="s">
        <v>1081</v>
      </c>
      <c r="B3994" s="8" t="s">
        <v>247</v>
      </c>
      <c r="C3994" s="19" t="n">
        <v>12</v>
      </c>
      <c r="D3994" s="19" t="n">
        <v>169.29</v>
      </c>
      <c r="E3994" s="19" t="n">
        <v>0</v>
      </c>
      <c r="F3994" s="19" t="n">
        <v>0</v>
      </c>
      <c r="G3994" s="8" t="n">
        <f aca="false">IFERROR(INDEX('TRANS'!$B:$B,MATCH($B3994,'TRANS'!$A:$A,0)),IFERROR(INDEX('TRANS'!$B:$B,MATCH(TRIM(SUBSTITUTE($B3994,CHAR(160)," ")),'TRANS'!$D:$D,0)),IFERROR(INDEX('Catalog'!$A:$A,MATCH($B3994,'Catalog'!$B:$B,0)),IFERROR(INDEX('Catalog'!$A:$A,MATCH(TRIM(SUBSTITUTE($B3994,CHAR(160)," ")),'Catalog'!$C:$C,0)),""))))</f>
        <v>4409017</v>
      </c>
      <c r="H3994" s="8" t="str">
        <f aca="false">IFERROR(INDEX('TRANS'!$C:$C,MATCH($B3994,'TRANS'!$A:$A,0)),IFERROR(INDEX('Catalog'!$B:$B,MATCH($G3994,'Catalog'!$A:$A,0)),$B3994))</f>
        <v>808KT-B        טייפ קינזיולוגי</v>
      </c>
      <c r="I3994" s="8" t="str">
        <f aca="false">IF($G3994="","Unmatched","Matched")</f>
        <v>Matched</v>
      </c>
    </row>
    <row r="3995" customFormat="false" ht="15" hidden="false" customHeight="false" outlineLevel="0" collapsed="false">
      <c r="A3995" s="8" t="s">
        <v>1081</v>
      </c>
      <c r="B3995" s="8" t="s">
        <v>507</v>
      </c>
      <c r="C3995" s="19" t="n">
        <v>12</v>
      </c>
      <c r="D3995" s="19" t="n">
        <v>169.29</v>
      </c>
      <c r="E3995" s="19" t="n">
        <v>0</v>
      </c>
      <c r="F3995" s="19" t="n">
        <v>0</v>
      </c>
      <c r="G3995" s="8" t="n">
        <f aca="false">IFERROR(INDEX('TRANS'!$B:$B,MATCH($B3995,'TRANS'!$A:$A,0)),IFERROR(INDEX('TRANS'!$B:$B,MATCH(TRIM(SUBSTITUTE($B3995,CHAR(160)," ")),'TRANS'!$D:$D,0)),IFERROR(INDEX('Catalog'!$A:$A,MATCH($B3995,'Catalog'!$B:$B,0)),IFERROR(INDEX('Catalog'!$A:$A,MATCH(TRIM(SUBSTITUTE($B3995,CHAR(160)," ")),'Catalog'!$C:$C,0)),""))))</f>
        <v>4409014</v>
      </c>
      <c r="H3995" s="8" t="str">
        <f aca="false">IFERROR(INDEX('TRANS'!$C:$C,MATCH($B3995,'TRANS'!$A:$A,0)),IFERROR(INDEX('Catalog'!$B:$B,MATCH($G3995,'Catalog'!$A:$A,0)),$B3995))</f>
        <v>808KT-P        טייפ קינזיולוגי</v>
      </c>
      <c r="I3995" s="8" t="str">
        <f aca="false">IF($G3995="","Unmatched","Matched")</f>
        <v>Matched</v>
      </c>
    </row>
    <row r="3996" customFormat="false" ht="15" hidden="false" customHeight="false" outlineLevel="0" collapsed="false">
      <c r="A3996" s="8" t="s">
        <v>1081</v>
      </c>
      <c r="B3996" s="8" t="s">
        <v>252</v>
      </c>
      <c r="C3996" s="19" t="n">
        <v>0</v>
      </c>
      <c r="D3996" s="19" t="n">
        <v>0</v>
      </c>
      <c r="E3996" s="19" t="n">
        <v>3</v>
      </c>
      <c r="F3996" s="19" t="n">
        <v>54.88</v>
      </c>
      <c r="G3996" s="8" t="n">
        <f aca="false">IFERROR(INDEX('TRANS'!$B:$B,MATCH($B3996,'TRANS'!$A:$A,0)),IFERROR(INDEX('TRANS'!$B:$B,MATCH(TRIM(SUBSTITUTE($B3996,CHAR(160)," ")),'TRANS'!$D:$D,0)),IFERROR(INDEX('Catalog'!$A:$A,MATCH($B3996,'Catalog'!$B:$B,0)),IFERROR(INDEX('Catalog'!$A:$A,MATCH(TRIM(SUBSTITUTE($B3996,CHAR(160)," ")),'Catalog'!$C:$C,0)),""))))</f>
        <v>4413135</v>
      </c>
      <c r="H3996" s="8" t="str">
        <f aca="false">IFERROR(INDEX('TRANS'!$C:$C,MATCH($B3996,'TRANS'!$A:$A,0)),IFERROR(INDEX('Catalog'!$B:$B,MATCH($G3996,'Catalog'!$A:$A,0)),$B3996))</f>
        <v>85 L (מתלה ליד )כיס</v>
      </c>
      <c r="I3996" s="8" t="str">
        <f aca="false">IF($G3996="","Unmatched","Matched")</f>
        <v>Matched</v>
      </c>
    </row>
    <row r="3997" customFormat="false" ht="15" hidden="false" customHeight="false" outlineLevel="0" collapsed="false">
      <c r="A3997" s="8" t="s">
        <v>1081</v>
      </c>
      <c r="B3997" s="8" t="s">
        <v>253</v>
      </c>
      <c r="C3997" s="19" t="n">
        <v>0</v>
      </c>
      <c r="D3997" s="19" t="n">
        <v>0</v>
      </c>
      <c r="E3997" s="19" t="n">
        <v>4</v>
      </c>
      <c r="F3997" s="19" t="n">
        <v>73.18</v>
      </c>
      <c r="G3997" s="8" t="n">
        <f aca="false">IFERROR(INDEX('TRANS'!$B:$B,MATCH($B3997,'TRANS'!$A:$A,0)),IFERROR(INDEX('TRANS'!$B:$B,MATCH(TRIM(SUBSTITUTE($B3997,CHAR(160)," ")),'TRANS'!$D:$D,0)),IFERROR(INDEX('Catalog'!$A:$A,MATCH($B3997,'Catalog'!$B:$B,0)),IFERROR(INDEX('Catalog'!$A:$A,MATCH(TRIM(SUBSTITUTE($B3997,CHAR(160)," ")),'Catalog'!$C:$C,0)),""))))</f>
        <v>4413136</v>
      </c>
      <c r="H3997" s="8" t="str">
        <f aca="false">IFERROR(INDEX('TRANS'!$C:$C,MATCH($B3997,'TRANS'!$A:$A,0)),IFERROR(INDEX('Catalog'!$B:$B,MATCH($G3997,'Catalog'!$A:$A,0)),$B3997))</f>
        <v>85 M (מתלה ליד )כיס</v>
      </c>
      <c r="I3997" s="8" t="str">
        <f aca="false">IF($G3997="","Unmatched","Matched")</f>
        <v>Matched</v>
      </c>
    </row>
    <row r="3998" customFormat="false" ht="15" hidden="false" customHeight="false" outlineLevel="0" collapsed="false">
      <c r="A3998" s="8" t="s">
        <v>1081</v>
      </c>
      <c r="B3998" s="8" t="s">
        <v>664</v>
      </c>
      <c r="C3998" s="19" t="n">
        <v>2</v>
      </c>
      <c r="D3998" s="19" t="n">
        <v>41.51</v>
      </c>
      <c r="E3998" s="19" t="n">
        <v>0</v>
      </c>
      <c r="F3998" s="19" t="n">
        <v>0</v>
      </c>
      <c r="G3998" s="8" t="n">
        <f aca="false">IFERROR(INDEX('TRANS'!$B:$B,MATCH($B3998,'TRANS'!$A:$A,0)),IFERROR(INDEX('TRANS'!$B:$B,MATCH(TRIM(SUBSTITUTE($B3998,CHAR(160)," ")),'TRANS'!$D:$D,0)),IFERROR(INDEX('Catalog'!$A:$A,MATCH($B3998,'Catalog'!$B:$B,0)),IFERROR(INDEX('Catalog'!$A:$A,MATCH(TRIM(SUBSTITUTE($B3998,CHAR(160)," ")),'Catalog'!$C:$C,0)),""))))</f>
        <v>4413137</v>
      </c>
      <c r="H3998" s="8" t="str">
        <f aca="false">IFERROR(INDEX('TRANS'!$C:$C,MATCH($B3998,'TRANS'!$A:$A,0)),IFERROR(INDEX('Catalog'!$B:$B,MATCH($G3998,'Catalog'!$A:$A,0)),$B3998))</f>
        <v>85 S (מתלה ליד )כיס</v>
      </c>
      <c r="I3998" s="8" t="str">
        <f aca="false">IF($G3998="","Unmatched","Matched")</f>
        <v>Matched</v>
      </c>
    </row>
    <row r="3999" customFormat="false" ht="15" hidden="false" customHeight="false" outlineLevel="0" collapsed="false">
      <c r="A3999" s="8" t="s">
        <v>1081</v>
      </c>
      <c r="B3999" s="8" t="s">
        <v>254</v>
      </c>
      <c r="C3999" s="19" t="n">
        <v>0</v>
      </c>
      <c r="D3999" s="19" t="n">
        <v>0</v>
      </c>
      <c r="E3999" s="19" t="n">
        <v>2</v>
      </c>
      <c r="F3999" s="19" t="n">
        <v>36.59</v>
      </c>
      <c r="G3999" s="8" t="n">
        <f aca="false">IFERROR(INDEX('TRANS'!$B:$B,MATCH($B3999,'TRANS'!$A:$A,0)),IFERROR(INDEX('TRANS'!$B:$B,MATCH(TRIM(SUBSTITUTE($B3999,CHAR(160)," ")),'TRANS'!$D:$D,0)),IFERROR(INDEX('Catalog'!$A:$A,MATCH($B3999,'Catalog'!$B:$B,0)),IFERROR(INDEX('Catalog'!$A:$A,MATCH(TRIM(SUBSTITUTE($B3999,CHAR(160)," ")),'Catalog'!$C:$C,0)),""))))</f>
        <v>4413138</v>
      </c>
      <c r="H3999" s="8" t="str">
        <f aca="false">IFERROR(INDEX('TRANS'!$C:$C,MATCH($B3999,'TRANS'!$A:$A,0)),IFERROR(INDEX('Catalog'!$B:$B,MATCH($G3999,'Catalog'!$A:$A,0)),$B3999))</f>
        <v>85 XL (מתלה ליד )כיס</v>
      </c>
      <c r="I3999" s="8" t="str">
        <f aca="false">IF($G3999="","Unmatched","Matched")</f>
        <v>Matched</v>
      </c>
    </row>
    <row r="4000" customFormat="false" ht="15" hidden="false" customHeight="false" outlineLevel="0" collapsed="false">
      <c r="A4000" s="8" t="s">
        <v>1081</v>
      </c>
      <c r="B4000" s="8" t="s">
        <v>424</v>
      </c>
      <c r="C4000" s="19" t="n">
        <v>0</v>
      </c>
      <c r="D4000" s="19" t="n">
        <v>0</v>
      </c>
      <c r="E4000" s="19" t="n">
        <v>15</v>
      </c>
      <c r="F4000" s="19" t="n">
        <v>598.73</v>
      </c>
      <c r="G4000" s="8" t="n">
        <f aca="false">IFERROR(INDEX('TRANS'!$B:$B,MATCH($B4000,'TRANS'!$A:$A,0)),IFERROR(INDEX('TRANS'!$B:$B,MATCH(TRIM(SUBSTITUTE($B4000,CHAR(160)," ")),'TRANS'!$D:$D,0)),IFERROR(INDEX('Catalog'!$A:$A,MATCH($B4000,'Catalog'!$B:$B,0)),IFERROR(INDEX('Catalog'!$A:$A,MATCH(TRIM(SUBSTITUTE($B4000,CHAR(160)," ")),'Catalog'!$C:$C,0)),""))))</f>
        <v>4408266</v>
      </c>
      <c r="H4000" s="8" t="str">
        <f aca="false">IFERROR(INDEX('TRANS'!$C:$C,MATCH($B4000,'TRANS'!$A:$A,0)),IFERROR(INDEX('Catalog'!$B:$B,MATCH($G4000,'Catalog'!$A:$A,0)),$B4000))</f>
        <v>91B חבק טניס אלבו</v>
      </c>
      <c r="I4000" s="8" t="str">
        <f aca="false">IF($G4000="","Unmatched","Matched")</f>
        <v>Matched</v>
      </c>
    </row>
    <row r="4001" customFormat="false" ht="15" hidden="false" customHeight="false" outlineLevel="0" collapsed="false">
      <c r="A4001" s="8" t="s">
        <v>1081</v>
      </c>
      <c r="B4001" s="8" t="s">
        <v>260</v>
      </c>
      <c r="C4001" s="19" t="n">
        <v>0</v>
      </c>
      <c r="D4001" s="19" t="n">
        <v>0</v>
      </c>
      <c r="E4001" s="19" t="n">
        <v>5</v>
      </c>
      <c r="F4001" s="19" t="n">
        <v>51.56</v>
      </c>
      <c r="G4001" s="8" t="n">
        <f aca="false">IFERROR(INDEX('TRANS'!$B:$B,MATCH($B4001,'TRANS'!$A:$A,0)),IFERROR(INDEX('TRANS'!$B:$B,MATCH(TRIM(SUBSTITUTE($B4001,CHAR(160)," ")),'TRANS'!$D:$D,0)),IFERROR(INDEX('Catalog'!$A:$A,MATCH($B4001,'Catalog'!$B:$B,0)),IFERROR(INDEX('Catalog'!$A:$A,MATCH(TRIM(SUBSTITUTE($B4001,CHAR(160)," ")),'Catalog'!$C:$C,0)),""))))</f>
        <v>4413140</v>
      </c>
      <c r="H4001" s="8" t="str">
        <f aca="false">IFERROR(INDEX('TRANS'!$C:$C,MATCH($B4001,'TRANS'!$A:$A,0)),IFERROR(INDEX('Catalog'!$B:$B,MATCH($G4001,'Catalog'!$A:$A,0)),$B4001))</f>
        <v>95 M מגן מרפק רגיל לבן</v>
      </c>
      <c r="I4001" s="8" t="str">
        <f aca="false">IF($G4001="","Unmatched","Matched")</f>
        <v>Matched</v>
      </c>
    </row>
    <row r="4002" customFormat="false" ht="15" hidden="false" customHeight="false" outlineLevel="0" collapsed="false">
      <c r="A4002" s="8" t="s">
        <v>1081</v>
      </c>
      <c r="B4002" s="8" t="s">
        <v>428</v>
      </c>
      <c r="C4002" s="19" t="n">
        <v>0</v>
      </c>
      <c r="D4002" s="19" t="n">
        <v>0</v>
      </c>
      <c r="E4002" s="19" t="n">
        <v>3</v>
      </c>
      <c r="F4002" s="19" t="n">
        <v>30.93</v>
      </c>
      <c r="G4002" s="8" t="n">
        <f aca="false">IFERROR(INDEX('TRANS'!$B:$B,MATCH($B4002,'TRANS'!$A:$A,0)),IFERROR(INDEX('TRANS'!$B:$B,MATCH(TRIM(SUBSTITUTE($B4002,CHAR(160)," ")),'TRANS'!$D:$D,0)),IFERROR(INDEX('Catalog'!$A:$A,MATCH($B4002,'Catalog'!$B:$B,0)),IFERROR(INDEX('Catalog'!$A:$A,MATCH(TRIM(SUBSTITUTE($B4002,CHAR(160)," ")),'Catalog'!$C:$C,0)),""))))</f>
        <v>4413141</v>
      </c>
      <c r="H4002" s="8" t="str">
        <f aca="false">IFERROR(INDEX('TRANS'!$C:$C,MATCH($B4002,'TRANS'!$A:$A,0)),IFERROR(INDEX('Catalog'!$B:$B,MATCH($G4002,'Catalog'!$A:$A,0)),$B4002))</f>
        <v>95 S מגן מרפק רגיל לבן</v>
      </c>
      <c r="I4002" s="8" t="str">
        <f aca="false">IF($G4002="","Unmatched","Matched")</f>
        <v>Matched</v>
      </c>
    </row>
    <row r="4003" customFormat="false" ht="15" hidden="false" customHeight="false" outlineLevel="0" collapsed="false">
      <c r="A4003" s="8" t="s">
        <v>1081</v>
      </c>
      <c r="B4003" s="8" t="s">
        <v>263</v>
      </c>
      <c r="C4003" s="19" t="n">
        <v>0</v>
      </c>
      <c r="D4003" s="19" t="n">
        <v>0</v>
      </c>
      <c r="E4003" s="19" t="n">
        <v>4</v>
      </c>
      <c r="F4003" s="19" t="n">
        <v>41.25</v>
      </c>
      <c r="G4003" s="8" t="n">
        <f aca="false">IFERROR(INDEX('TRANS'!$B:$B,MATCH($B4003,'TRANS'!$A:$A,0)),IFERROR(INDEX('TRANS'!$B:$B,MATCH(TRIM(SUBSTITUTE($B4003,CHAR(160)," ")),'TRANS'!$D:$D,0)),IFERROR(INDEX('Catalog'!$A:$A,MATCH($B4003,'Catalog'!$B:$B,0)),IFERROR(INDEX('Catalog'!$A:$A,MATCH(TRIM(SUBSTITUTE($B4003,CHAR(160)," ")),'Catalog'!$C:$C,0)),""))))</f>
        <v>4413502</v>
      </c>
      <c r="H4003" s="8" t="str">
        <f aca="false">IFERROR(INDEX('TRANS'!$C:$C,MATCH($B4003,'TRANS'!$A:$A,0)),IFERROR(INDEX('Catalog'!$B:$B,MATCH($G4003,'Catalog'!$A:$A,0)),$B4003))</f>
        <v>95B S מגן מרפק שחור</v>
      </c>
      <c r="I4003" s="8" t="str">
        <f aca="false">IF($G4003="","Unmatched","Matched")</f>
        <v>Matched</v>
      </c>
    </row>
    <row r="4004" customFormat="false" ht="15" hidden="false" customHeight="false" outlineLevel="0" collapsed="false">
      <c r="A4004" s="8" t="s">
        <v>1081</v>
      </c>
      <c r="B4004" s="8" t="s">
        <v>267</v>
      </c>
      <c r="C4004" s="19" t="n">
        <v>35</v>
      </c>
      <c r="D4004" s="19" t="n">
        <v>1954.88</v>
      </c>
      <c r="E4004" s="19" t="n">
        <v>40</v>
      </c>
      <c r="F4004" s="19" t="n">
        <v>1969.17</v>
      </c>
      <c r="G4004" s="8" t="n">
        <f aca="false">IFERROR(INDEX('TRANS'!$B:$B,MATCH($B4004,'TRANS'!$A:$A,0)),IFERROR(INDEX('TRANS'!$B:$B,MATCH(TRIM(SUBSTITUTE($B4004,CHAR(160)," ")),'TRANS'!$D:$D,0)),IFERROR(INDEX('Catalog'!$A:$A,MATCH($B4004,'Catalog'!$B:$B,0)),IFERROR(INDEX('Catalog'!$A:$A,MATCH(TRIM(SUBSTITUTE($B4004,CHAR(160)," ")),'Catalog'!$C:$C,0)),""))))</f>
        <v>4408205</v>
      </c>
      <c r="H4004" s="8" t="str">
        <f aca="false">IFERROR(INDEX('TRANS'!$C:$C,MATCH($B4004,'TRANS'!$A:$A,0)),IFERROR(INDEX('Catalog'!$B:$B,MATCH($G4004,'Catalog'!$A:$A,0)),$B4004))</f>
        <v>AC-07 חגורת גב עם תמיכות</v>
      </c>
      <c r="I4004" s="8" t="str">
        <f aca="false">IF($G4004="","Unmatched","Matched")</f>
        <v>Matched</v>
      </c>
    </row>
    <row r="4005" customFormat="false" ht="15" hidden="false" customHeight="false" outlineLevel="0" collapsed="false">
      <c r="A4005" s="8" t="s">
        <v>1081</v>
      </c>
      <c r="B4005" s="8" t="s">
        <v>269</v>
      </c>
      <c r="C4005" s="19" t="n">
        <v>70</v>
      </c>
      <c r="D4005" s="19" t="n">
        <v>1148.25</v>
      </c>
      <c r="E4005" s="19" t="n">
        <v>40</v>
      </c>
      <c r="F4005" s="19" t="n">
        <v>565.47</v>
      </c>
      <c r="G4005" s="8" t="n">
        <f aca="false">IFERROR(INDEX('TRANS'!$B:$B,MATCH($B4005,'TRANS'!$A:$A,0)),IFERROR(INDEX('TRANS'!$B:$B,MATCH(TRIM(SUBSTITUTE($B4005,CHAR(160)," ")),'TRANS'!$D:$D,0)),IFERROR(INDEX('Catalog'!$A:$A,MATCH($B4005,'Catalog'!$B:$B,0)),IFERROR(INDEX('Catalog'!$A:$A,MATCH(TRIM(SUBSTITUTE($B4005,CHAR(160)," ")),'Catalog'!$C:$C,0)),""))))</f>
        <v>4408207</v>
      </c>
      <c r="H4005" s="8" t="str">
        <f aca="false">IFERROR(INDEX('TRANS'!$C:$C,MATCH($B4005,'TRANS'!$A:$A,0)),IFERROR(INDEX('Catalog'!$B:$B,MATCH($G4005,'Catalog'!$A:$A,0)),$B4005))</f>
        <v>AC-25 חבק לשורש כף היד</v>
      </c>
      <c r="I4005" s="8" t="str">
        <f aca="false">IF($G4005="","Unmatched","Matched")</f>
        <v>Matched</v>
      </c>
    </row>
    <row r="4006" customFormat="false" ht="15" hidden="false" customHeight="false" outlineLevel="0" collapsed="false">
      <c r="A4006" s="8" t="s">
        <v>1081</v>
      </c>
      <c r="B4006" s="8" t="s">
        <v>272</v>
      </c>
      <c r="C4006" s="19" t="n">
        <v>50</v>
      </c>
      <c r="D4006" s="19" t="n">
        <v>819.34</v>
      </c>
      <c r="E4006" s="19" t="n">
        <v>25</v>
      </c>
      <c r="F4006" s="19" t="n">
        <v>351.76</v>
      </c>
      <c r="G4006" s="8" t="n">
        <f aca="false">IFERROR(INDEX('TRANS'!$B:$B,MATCH($B4006,'TRANS'!$A:$A,0)),IFERROR(INDEX('TRANS'!$B:$B,MATCH(TRIM(SUBSTITUTE($B4006,CHAR(160)," ")),'TRANS'!$D:$D,0)),IFERROR(INDEX('Catalog'!$A:$A,MATCH($B4006,'Catalog'!$B:$B,0)),IFERROR(INDEX('Catalog'!$A:$A,MATCH(TRIM(SUBSTITUTE($B4006,CHAR(160)," ")),'Catalog'!$C:$C,0)),""))))</f>
        <v>4415028</v>
      </c>
      <c r="H4006" s="8" t="str">
        <f aca="false">IFERROR(INDEX('TRANS'!$C:$C,MATCH($B4006,'TRANS'!$A:$A,0)),IFERROR(INDEX('Catalog'!$B:$B,MATCH($G4006,'Catalog'!$A:$A,0)),$B4006))</f>
        <v>AC-28 סד לאגודל</v>
      </c>
      <c r="I4006" s="8" t="str">
        <f aca="false">IF($G4006="","Unmatched","Matched")</f>
        <v>Matched</v>
      </c>
    </row>
    <row r="4007" customFormat="false" ht="15" hidden="false" customHeight="false" outlineLevel="0" collapsed="false">
      <c r="A4007" s="8" t="s">
        <v>1081</v>
      </c>
      <c r="B4007" s="8" t="s">
        <v>273</v>
      </c>
      <c r="C4007" s="19" t="n">
        <v>20</v>
      </c>
      <c r="D4007" s="19" t="n">
        <v>406.77</v>
      </c>
      <c r="E4007" s="19" t="n">
        <v>15</v>
      </c>
      <c r="F4007" s="19" t="n">
        <v>261.95</v>
      </c>
      <c r="G4007" s="8" t="n">
        <f aca="false">IFERROR(INDEX('TRANS'!$B:$B,MATCH($B4007,'TRANS'!$A:$A,0)),IFERROR(INDEX('TRANS'!$B:$B,MATCH(TRIM(SUBSTITUTE($B4007,CHAR(160)," ")),'TRANS'!$D:$D,0)),IFERROR(INDEX('Catalog'!$A:$A,MATCH($B4007,'Catalog'!$B:$B,0)),IFERROR(INDEX('Catalog'!$A:$A,MATCH(TRIM(SUBSTITUTE($B4007,CHAR(160)," ")),'Catalog'!$C:$C,0)),""))))</f>
        <v>4413326</v>
      </c>
      <c r="H4007" s="8" t="str">
        <f aca="false">IFERROR(INDEX('TRANS'!$C:$C,MATCH($B4007,'TRANS'!$A:$A,0)),IFERROR(INDEX('Catalog'!$B:$B,MATCH($G4007,'Catalog'!$A:$A,0)),$B4007))</f>
        <v>AC37 מגן קרסול נושם</v>
      </c>
      <c r="I4007" s="8" t="str">
        <f aca="false">IF($G4007="","Unmatched","Matched")</f>
        <v>Matched</v>
      </c>
    </row>
    <row r="4008" customFormat="false" ht="15" hidden="false" customHeight="false" outlineLevel="0" collapsed="false">
      <c r="A4008" s="8" t="s">
        <v>1081</v>
      </c>
      <c r="B4008" s="8" t="s">
        <v>274</v>
      </c>
      <c r="C4008" s="19" t="n">
        <v>15</v>
      </c>
      <c r="D4008" s="19" t="n">
        <v>503.7</v>
      </c>
      <c r="E4008" s="19" t="n">
        <v>0</v>
      </c>
      <c r="F4008" s="19" t="n">
        <v>0</v>
      </c>
      <c r="G4008" s="8" t="n">
        <f aca="false">IFERROR(INDEX('TRANS'!$B:$B,MATCH($B4008,'TRANS'!$A:$A,0)),IFERROR(INDEX('TRANS'!$B:$B,MATCH(TRIM(SUBSTITUTE($B4008,CHAR(160)," ")),'TRANS'!$D:$D,0)),IFERROR(INDEX('Catalog'!$A:$A,MATCH($B4008,'Catalog'!$B:$B,0)),IFERROR(INDEX('Catalog'!$A:$A,MATCH(TRIM(SUBSTITUTE($B4008,CHAR(160)," ")),'Catalog'!$C:$C,0)),""))))</f>
        <v>4420026</v>
      </c>
      <c r="H4008" s="8" t="str">
        <f aca="false">IFERROR(INDEX('TRANS'!$C:$C,MATCH($B4008,'TRANS'!$A:$A,0)),IFERROR(INDEX('Catalog'!$B:$B,MATCH($G4008,'Catalog'!$A:$A,0)),$B4008))</f>
        <v>AC40 רצועה לפיקת הברך</v>
      </c>
      <c r="I4008" s="8" t="str">
        <f aca="false">IF($G4008="","Unmatched","Matched")</f>
        <v>Matched</v>
      </c>
    </row>
    <row r="4009" customFormat="false" ht="15" hidden="false" customHeight="false" outlineLevel="0" collapsed="false">
      <c r="A4009" s="8" t="s">
        <v>1081</v>
      </c>
      <c r="B4009" s="8" t="s">
        <v>54</v>
      </c>
      <c r="C4009" s="19" t="n">
        <v>35</v>
      </c>
      <c r="D4009" s="19" t="n">
        <v>1265.72</v>
      </c>
      <c r="E4009" s="19" t="n">
        <v>0</v>
      </c>
      <c r="F4009" s="19" t="n">
        <v>0</v>
      </c>
      <c r="G4009" s="8" t="n">
        <f aca="false">IFERROR(INDEX('TRANS'!$B:$B,MATCH($B4009,'TRANS'!$A:$A,0)),IFERROR(INDEX('TRANS'!$B:$B,MATCH(TRIM(SUBSTITUTE($B4009,CHAR(160)," ")),'TRANS'!$D:$D,0)),IFERROR(INDEX('Catalog'!$A:$A,MATCH($B4009,'Catalog'!$B:$B,0)),IFERROR(INDEX('Catalog'!$A:$A,MATCH(TRIM(SUBSTITUTE($B4009,CHAR(160)," ")),'Catalog'!$C:$C,0)),""))))</f>
        <v>4413453</v>
      </c>
      <c r="H4009" s="8" t="str">
        <f aca="false">IFERROR(INDEX('TRANS'!$C:$C,MATCH($B4009,'TRANS'!$A:$A,0)),IFERROR(INDEX('Catalog'!$B:$B,MATCH($G4009,'Catalog'!$A:$A,0)),$B4009))</f>
        <v>AC75 מישר כתפיים אקטיב</v>
      </c>
      <c r="I4009" s="8" t="str">
        <f aca="false">IF($G4009="","Unmatched","Matched")</f>
        <v>Matched</v>
      </c>
    </row>
    <row r="4010" customFormat="false" ht="15" hidden="false" customHeight="false" outlineLevel="0" collapsed="false">
      <c r="A4010" s="8" t="s">
        <v>1081</v>
      </c>
      <c r="B4010" s="8" t="s">
        <v>277</v>
      </c>
      <c r="C4010" s="19" t="n">
        <v>0</v>
      </c>
      <c r="D4010" s="19" t="n">
        <v>0</v>
      </c>
      <c r="E4010" s="19" t="n">
        <v>30</v>
      </c>
      <c r="F4010" s="19" t="n">
        <v>444.06</v>
      </c>
      <c r="G4010" s="8" t="n">
        <f aca="false">IFERROR(INDEX('TRANS'!$B:$B,MATCH($B4010,'TRANS'!$A:$A,0)),IFERROR(INDEX('TRANS'!$B:$B,MATCH(TRIM(SUBSTITUTE($B4010,CHAR(160)," ")),'TRANS'!$D:$D,0)),IFERROR(INDEX('Catalog'!$A:$A,MATCH($B4010,'Catalog'!$B:$B,0)),IFERROR(INDEX('Catalog'!$A:$A,MATCH(TRIM(SUBSTITUTE($B4010,CHAR(160)," ")),'Catalog'!$C:$C,0)),""))))</f>
        <v>4408208</v>
      </c>
      <c r="H4010" s="8" t="str">
        <f aca="false">IFERROR(INDEX('TRANS'!$C:$C,MATCH($B4010,'TRANS'!$A:$A,0)),IFERROR(INDEX('Catalog'!$B:$B,MATCH($G4010,'Catalog'!$A:$A,0)),$B4010))</f>
        <v>AC91 חבק טניס</v>
      </c>
      <c r="I4010" s="8" t="str">
        <f aca="false">IF($G4010="","Unmatched","Matched")</f>
        <v>Matched</v>
      </c>
    </row>
    <row r="4011" customFormat="false" ht="15" hidden="false" customHeight="false" outlineLevel="0" collapsed="false">
      <c r="A4011" s="8" t="s">
        <v>1081</v>
      </c>
      <c r="B4011" s="8" t="s">
        <v>284</v>
      </c>
      <c r="C4011" s="19" t="n">
        <v>20</v>
      </c>
      <c r="D4011" s="19" t="n">
        <v>246.39</v>
      </c>
      <c r="E4011" s="19" t="n">
        <v>20</v>
      </c>
      <c r="F4011" s="19" t="n">
        <v>206.23</v>
      </c>
      <c r="G4011" s="8" t="n">
        <f aca="false">IFERROR(INDEX('TRANS'!$B:$B,MATCH($B4011,'TRANS'!$A:$A,0)),IFERROR(INDEX('TRANS'!$B:$B,MATCH(TRIM(SUBSTITUTE($B4011,CHAR(160)," ")),'TRANS'!$D:$D,0)),IFERROR(INDEX('Catalog'!$A:$A,MATCH($B4011,'Catalog'!$B:$B,0)),IFERROR(INDEX('Catalog'!$A:$A,MATCH(TRIM(SUBSTITUTE($B4011,CHAR(160)," ")),'Catalog'!$C:$C,0)),""))))</f>
        <v>4413056</v>
      </c>
      <c r="H4011" s="8" t="str">
        <f aca="false">IFERROR(INDEX('TRANS'!$C:$C,MATCH($B4011,'TRANS'!$A:$A,0)),IFERROR(INDEX('Catalog'!$B:$B,MATCH($G4011,'Catalog'!$A:$A,0)),$B4011))</f>
        <v>LF360 מדרס מטטרזלי לנעלי עקב</v>
      </c>
      <c r="I4011" s="8" t="str">
        <f aca="false">IF($G4011="","Unmatched","Matched")</f>
        <v>Matched</v>
      </c>
    </row>
    <row r="4012" customFormat="false" ht="15" hidden="false" customHeight="false" outlineLevel="0" collapsed="false">
      <c r="A4012" s="8" t="s">
        <v>1081</v>
      </c>
      <c r="B4012" s="8" t="s">
        <v>861</v>
      </c>
      <c r="C4012" s="19" t="n">
        <v>20</v>
      </c>
      <c r="D4012" s="19" t="n">
        <v>278.18</v>
      </c>
      <c r="E4012" s="19" t="n">
        <v>0</v>
      </c>
      <c r="F4012" s="19" t="n">
        <v>0</v>
      </c>
      <c r="G4012" s="8" t="n">
        <f aca="false">IFERROR(INDEX('TRANS'!$B:$B,MATCH($B4012,'TRANS'!$A:$A,0)),IFERROR(INDEX('TRANS'!$B:$B,MATCH(TRIM(SUBSTITUTE($B4012,CHAR(160)," ")),'TRANS'!$D:$D,0)),IFERROR(INDEX('Catalog'!$A:$A,MATCH($B4012,'Catalog'!$B:$B,0)),IFERROR(INDEX('Catalog'!$A:$A,MATCH(TRIM(SUBSTITUTE($B4012,CHAR(160)," ")),'Catalog'!$C:$C,0)),""))))</f>
        <v>4420023</v>
      </c>
      <c r="H4012" s="8" t="str">
        <f aca="false">IFERROR(INDEX('TRANS'!$C:$C,MATCH($B4012,'TRANS'!$A:$A,0)),IFERROR(INDEX('Catalog'!$B:$B,MATCH($G4012,'Catalog'!$A:$A,0)),$B4012))</f>
        <v>LF371 ריפוד סיליקון לנעלי אצבע</v>
      </c>
      <c r="I4012" s="8" t="str">
        <f aca="false">IF($G4012="","Unmatched","Matched")</f>
        <v>Matched</v>
      </c>
    </row>
    <row r="4013" customFormat="false" ht="15" hidden="false" customHeight="false" outlineLevel="0" collapsed="false">
      <c r="A4013" s="8" t="s">
        <v>1081</v>
      </c>
      <c r="B4013" s="8" t="s">
        <v>556</v>
      </c>
      <c r="C4013" s="19" t="n">
        <v>0</v>
      </c>
      <c r="D4013" s="19" t="n">
        <v>0</v>
      </c>
      <c r="E4013" s="19" t="n">
        <v>12</v>
      </c>
      <c r="F4013" s="19" t="n">
        <v>1436.96</v>
      </c>
      <c r="G4013" s="8" t="str">
        <f aca="false">IFERROR(INDEX('TRANS'!$B:$B,MATCH($B4013,'TRANS'!$A:$A,0)),IFERROR(INDEX('TRANS'!$B:$B,MATCH(TRIM(SUBSTITUTE($B4013,CHAR(160)," ")),'TRANS'!$D:$D,0)),IFERROR(INDEX('Catalog'!$A:$A,MATCH($B4013,'Catalog'!$B:$B,0)),IFERROR(INDEX('Catalog'!$A:$A,MATCH(TRIM(SUBSTITUTE($B4013,CHAR(160)," ")),'Catalog'!$C:$C,0)),""))))</f>
        <v/>
      </c>
      <c r="H4013" s="8" t="str">
        <f aca="false">IFERROR(INDEX('TRANS'!$C:$C,MATCH($B4013,'TRANS'!$A:$A,0)),IFERROR(INDEX('Catalog'!$B:$B,MATCH($G4013,'Catalog'!$A:$A,0)),$B4013))</f>
        <v>N433D L</v>
      </c>
      <c r="I4013" s="8" t="str">
        <f aca="false">IF($G4013="","Unmatched","Matched")</f>
        <v>Unmatched</v>
      </c>
    </row>
    <row r="4014" customFormat="false" ht="15" hidden="false" customHeight="false" outlineLevel="0" collapsed="false">
      <c r="A4014" s="8" t="s">
        <v>1081</v>
      </c>
      <c r="B4014" s="8" t="s">
        <v>520</v>
      </c>
      <c r="C4014" s="19" t="n">
        <v>0</v>
      </c>
      <c r="D4014" s="19" t="n">
        <v>0</v>
      </c>
      <c r="E4014" s="19" t="n">
        <v>10</v>
      </c>
      <c r="F4014" s="19" t="n">
        <v>1197.47</v>
      </c>
      <c r="G4014" s="8" t="str">
        <f aca="false">IFERROR(INDEX('TRANS'!$B:$B,MATCH($B4014,'TRANS'!$A:$A,0)),IFERROR(INDEX('TRANS'!$B:$B,MATCH(TRIM(SUBSTITUTE($B4014,CHAR(160)," ")),'TRANS'!$D:$D,0)),IFERROR(INDEX('Catalog'!$A:$A,MATCH($B4014,'Catalog'!$B:$B,0)),IFERROR(INDEX('Catalog'!$A:$A,MATCH(TRIM(SUBSTITUTE($B4014,CHAR(160)," ")),'Catalog'!$C:$C,0)),""))))</f>
        <v/>
      </c>
      <c r="H4014" s="8" t="str">
        <f aca="false">IFERROR(INDEX('TRANS'!$C:$C,MATCH($B4014,'TRANS'!$A:$A,0)),IFERROR(INDEX('Catalog'!$B:$B,MATCH($G4014,'Catalog'!$A:$A,0)),$B4014))</f>
        <v>N433D XL</v>
      </c>
      <c r="I4014" s="8" t="str">
        <f aca="false">IF($G4014="","Unmatched","Matched")</f>
        <v>Unmatched</v>
      </c>
    </row>
    <row r="4015" customFormat="false" ht="15" hidden="false" customHeight="false" outlineLevel="0" collapsed="false">
      <c r="A4015" s="8" t="s">
        <v>1081</v>
      </c>
      <c r="B4015" s="8" t="s">
        <v>607</v>
      </c>
      <c r="C4015" s="19" t="n">
        <v>0</v>
      </c>
      <c r="D4015" s="19" t="n">
        <v>0</v>
      </c>
      <c r="E4015" s="19" t="n">
        <v>8</v>
      </c>
      <c r="F4015" s="19" t="n">
        <v>957.97</v>
      </c>
      <c r="G4015" s="8" t="str">
        <f aca="false">IFERROR(INDEX('TRANS'!$B:$B,MATCH($B4015,'TRANS'!$A:$A,0)),IFERROR(INDEX('TRANS'!$B:$B,MATCH(TRIM(SUBSTITUTE($B4015,CHAR(160)," ")),'TRANS'!$D:$D,0)),IFERROR(INDEX('Catalog'!$A:$A,MATCH($B4015,'Catalog'!$B:$B,0)),IFERROR(INDEX('Catalog'!$A:$A,MATCH(TRIM(SUBSTITUTE($B4015,CHAR(160)," ")),'Catalog'!$C:$C,0)),""))))</f>
        <v/>
      </c>
      <c r="H4015" s="8" t="str">
        <f aca="false">IFERROR(INDEX('TRANS'!$C:$C,MATCH($B4015,'TRANS'!$A:$A,0)),IFERROR(INDEX('Catalog'!$B:$B,MATCH($G4015,'Catalog'!$A:$A,0)),$B4015))</f>
        <v>N433D XXL</v>
      </c>
      <c r="I4015" s="8" t="str">
        <f aca="false">IF($G4015="","Unmatched","Matched")</f>
        <v>Unmatched</v>
      </c>
    </row>
    <row r="4016" customFormat="false" ht="15" hidden="false" customHeight="false" outlineLevel="0" collapsed="false">
      <c r="A4016" s="8" t="s">
        <v>1081</v>
      </c>
      <c r="B4016" s="8" t="s">
        <v>522</v>
      </c>
      <c r="C4016" s="19" t="n">
        <v>0</v>
      </c>
      <c r="D4016" s="19" t="n">
        <v>0</v>
      </c>
      <c r="E4016" s="19" t="n">
        <v>2</v>
      </c>
      <c r="F4016" s="19" t="n">
        <v>178.29</v>
      </c>
      <c r="G4016" s="8" t="n">
        <f aca="false">IFERROR(INDEX('TRANS'!$B:$B,MATCH($B4016,'TRANS'!$A:$A,0)),IFERROR(INDEX('TRANS'!$B:$B,MATCH(TRIM(SUBSTITUTE($B4016,CHAR(160)," ")),'TRANS'!$D:$D,0)),IFERROR(INDEX('Catalog'!$A:$A,MATCH($B4016,'Catalog'!$B:$B,0)),IFERROR(INDEX('Catalog'!$A:$A,MATCH(TRIM(SUBSTITUTE($B4016,CHAR(160)," ")),'Catalog'!$C:$C,0)),""))))</f>
        <v>4422038</v>
      </c>
      <c r="H4016" s="8" t="str">
        <f aca="false">IFERROR(INDEX('TRANS'!$C:$C,MATCH($B4016,'TRANS'!$A:$A,0)),IFERROR(INDEX('Catalog'!$B:$B,MATCH($G4016,'Catalog'!$A:$A,0)),$B4016))</f>
        <v>SH422 2 תומך ברך גנושילד</v>
      </c>
      <c r="I4016" s="8" t="str">
        <f aca="false">IF($G4016="","Unmatched","Matched")</f>
        <v>Matched</v>
      </c>
    </row>
    <row r="4017" customFormat="false" ht="15" hidden="false" customHeight="false" outlineLevel="0" collapsed="false">
      <c r="A4017" s="8" t="s">
        <v>1081</v>
      </c>
      <c r="B4017" s="8" t="s">
        <v>523</v>
      </c>
      <c r="C4017" s="19" t="n">
        <v>0</v>
      </c>
      <c r="D4017" s="19" t="n">
        <v>0</v>
      </c>
      <c r="E4017" s="19" t="n">
        <v>6</v>
      </c>
      <c r="F4017" s="19" t="n">
        <v>534.87</v>
      </c>
      <c r="G4017" s="8" t="n">
        <f aca="false">IFERROR(INDEX('TRANS'!$B:$B,MATCH($B4017,'TRANS'!$A:$A,0)),IFERROR(INDEX('TRANS'!$B:$B,MATCH(TRIM(SUBSTITUTE($B4017,CHAR(160)," ")),'TRANS'!$D:$D,0)),IFERROR(INDEX('Catalog'!$A:$A,MATCH($B4017,'Catalog'!$B:$B,0)),IFERROR(INDEX('Catalog'!$A:$A,MATCH(TRIM(SUBSTITUTE($B4017,CHAR(160)," ")),'Catalog'!$C:$C,0)),""))))</f>
        <v>4422039</v>
      </c>
      <c r="H4017" s="8" t="str">
        <f aca="false">IFERROR(INDEX('TRANS'!$C:$C,MATCH($B4017,'TRANS'!$A:$A,0)),IFERROR(INDEX('Catalog'!$B:$B,MATCH($G4017,'Catalog'!$A:$A,0)),$B4017))</f>
        <v>SH422 3 תומך ברך גנושילד</v>
      </c>
      <c r="I4017" s="8" t="str">
        <f aca="false">IF($G4017="","Unmatched","Matched")</f>
        <v>Matched</v>
      </c>
    </row>
    <row r="4018" customFormat="false" ht="15" hidden="false" customHeight="false" outlineLevel="0" collapsed="false">
      <c r="A4018" s="8" t="s">
        <v>1081</v>
      </c>
      <c r="B4018" s="8" t="s">
        <v>524</v>
      </c>
      <c r="C4018" s="19" t="n">
        <v>0</v>
      </c>
      <c r="D4018" s="19" t="n">
        <v>0</v>
      </c>
      <c r="E4018" s="19" t="n">
        <v>10</v>
      </c>
      <c r="F4018" s="19" t="n">
        <v>891.45</v>
      </c>
      <c r="G4018" s="8" t="n">
        <f aca="false">IFERROR(INDEX('TRANS'!$B:$B,MATCH($B4018,'TRANS'!$A:$A,0)),IFERROR(INDEX('TRANS'!$B:$B,MATCH(TRIM(SUBSTITUTE($B4018,CHAR(160)," ")),'TRANS'!$D:$D,0)),IFERROR(INDEX('Catalog'!$A:$A,MATCH($B4018,'Catalog'!$B:$B,0)),IFERROR(INDEX('Catalog'!$A:$A,MATCH(TRIM(SUBSTITUTE($B4018,CHAR(160)," ")),'Catalog'!$C:$C,0)),""))))</f>
        <v>4422040</v>
      </c>
      <c r="H4018" s="8" t="str">
        <f aca="false">IFERROR(INDEX('TRANS'!$C:$C,MATCH($B4018,'TRANS'!$A:$A,0)),IFERROR(INDEX('Catalog'!$B:$B,MATCH($G4018,'Catalog'!$A:$A,0)),$B4018))</f>
        <v>SH422 4 תומך ברך גנושילד</v>
      </c>
      <c r="I4018" s="8" t="str">
        <f aca="false">IF($G4018="","Unmatched","Matched")</f>
        <v>Matched</v>
      </c>
    </row>
    <row r="4019" customFormat="false" ht="15" hidden="false" customHeight="false" outlineLevel="0" collapsed="false">
      <c r="A4019" s="8" t="s">
        <v>1081</v>
      </c>
      <c r="B4019" s="8" t="s">
        <v>308</v>
      </c>
      <c r="C4019" s="19" t="n">
        <v>0</v>
      </c>
      <c r="D4019" s="19" t="n">
        <v>0</v>
      </c>
      <c r="E4019" s="19" t="n">
        <v>8</v>
      </c>
      <c r="F4019" s="19" t="n">
        <v>713.16</v>
      </c>
      <c r="G4019" s="8" t="n">
        <f aca="false">IFERROR(INDEX('TRANS'!$B:$B,MATCH($B4019,'TRANS'!$A:$A,0)),IFERROR(INDEX('TRANS'!$B:$B,MATCH(TRIM(SUBSTITUTE($B4019,CHAR(160)," ")),'TRANS'!$D:$D,0)),IFERROR(INDEX('Catalog'!$A:$A,MATCH($B4019,'Catalog'!$B:$B,0)),IFERROR(INDEX('Catalog'!$A:$A,MATCH(TRIM(SUBSTITUTE($B4019,CHAR(160)," ")),'Catalog'!$C:$C,0)),""))))</f>
        <v>4422041</v>
      </c>
      <c r="H4019" s="8" t="str">
        <f aca="false">IFERROR(INDEX('TRANS'!$C:$C,MATCH($B4019,'TRANS'!$A:$A,0)),IFERROR(INDEX('Catalog'!$B:$B,MATCH($G4019,'Catalog'!$A:$A,0)),$B4019))</f>
        <v>SH422 5 תומך ברך גנושילד</v>
      </c>
      <c r="I4019" s="8" t="str">
        <f aca="false">IF($G4019="","Unmatched","Matched")</f>
        <v>Matched</v>
      </c>
    </row>
    <row r="4020" customFormat="false" ht="15" hidden="false" customHeight="false" outlineLevel="0" collapsed="false">
      <c r="A4020" s="8" t="s">
        <v>1081</v>
      </c>
      <c r="B4020" s="8" t="s">
        <v>525</v>
      </c>
      <c r="C4020" s="19" t="n">
        <v>0</v>
      </c>
      <c r="D4020" s="19" t="n">
        <v>0</v>
      </c>
      <c r="E4020" s="19" t="n">
        <v>4</v>
      </c>
      <c r="F4020" s="19" t="n">
        <v>356.58</v>
      </c>
      <c r="G4020" s="8" t="n">
        <f aca="false">IFERROR(INDEX('TRANS'!$B:$B,MATCH($B4020,'TRANS'!$A:$A,0)),IFERROR(INDEX('TRANS'!$B:$B,MATCH(TRIM(SUBSTITUTE($B4020,CHAR(160)," ")),'TRANS'!$D:$D,0)),IFERROR(INDEX('Catalog'!$A:$A,MATCH($B4020,'Catalog'!$B:$B,0)),IFERROR(INDEX('Catalog'!$A:$A,MATCH(TRIM(SUBSTITUTE($B4020,CHAR(160)," ")),'Catalog'!$C:$C,0)),""))))</f>
        <v>4422042</v>
      </c>
      <c r="H4020" s="8" t="str">
        <f aca="false">IFERROR(INDEX('TRANS'!$C:$C,MATCH($B4020,'TRANS'!$A:$A,0)),IFERROR(INDEX('Catalog'!$B:$B,MATCH($G4020,'Catalog'!$A:$A,0)),$B4020))</f>
        <v>SH422 6 תומך ברך גנושילד</v>
      </c>
      <c r="I4020" s="8" t="str">
        <f aca="false">IF($G4020="","Unmatched","Matched")</f>
        <v>Matched</v>
      </c>
    </row>
    <row r="4021" customFormat="false" ht="15" hidden="false" customHeight="false" outlineLevel="0" collapsed="false">
      <c r="A4021" s="8" t="s">
        <v>1081</v>
      </c>
      <c r="B4021" s="8" t="s">
        <v>529</v>
      </c>
      <c r="C4021" s="19" t="n">
        <v>0</v>
      </c>
      <c r="D4021" s="19" t="n">
        <v>0</v>
      </c>
      <c r="E4021" s="19" t="n">
        <v>25</v>
      </c>
      <c r="F4021" s="19" t="n">
        <v>594.58</v>
      </c>
      <c r="G4021" s="8" t="n">
        <f aca="false">IFERROR(INDEX('TRANS'!$B:$B,MATCH($B4021,'TRANS'!$A:$A,0)),IFERROR(INDEX('TRANS'!$B:$B,MATCH(TRIM(SUBSTITUTE($B4021,CHAR(160)," ")),'TRANS'!$D:$D,0)),IFERROR(INDEX('Catalog'!$A:$A,MATCH($B4021,'Catalog'!$B:$B,0)),IFERROR(INDEX('Catalog'!$A:$A,MATCH(TRIM(SUBSTITUTE($B4021,CHAR(160)," ")),'Catalog'!$C:$C,0)),""))))</f>
        <v>4408270</v>
      </c>
      <c r="H4021" s="8" t="str">
        <f aca="false">IFERROR(INDEX('TRANS'!$C:$C,MATCH($B4021,'TRANS'!$A:$A,0)),IFERROR(INDEX('Catalog'!$B:$B,MATCH($G4021,'Catalog'!$A:$A,0)),$B4021))</f>
        <v>ST11  חגורת בטן</v>
      </c>
      <c r="I4021" s="8" t="str">
        <f aca="false">IF($G4021="","Unmatched","Matched")</f>
        <v>Matched</v>
      </c>
    </row>
    <row r="4022" customFormat="false" ht="15" hidden="false" customHeight="false" outlineLevel="0" collapsed="false">
      <c r="A4022" s="8" t="s">
        <v>1081</v>
      </c>
      <c r="B4022" s="8" t="s">
        <v>531</v>
      </c>
      <c r="C4022" s="19" t="n">
        <v>80</v>
      </c>
      <c r="D4022" s="19" t="n">
        <v>1162.19</v>
      </c>
      <c r="E4022" s="19" t="n">
        <v>30</v>
      </c>
      <c r="F4022" s="19" t="n">
        <v>374.21</v>
      </c>
      <c r="G4022" s="8" t="n">
        <f aca="false">IFERROR(INDEX('TRANS'!$B:$B,MATCH($B4022,'TRANS'!$A:$A,0)),IFERROR(INDEX('TRANS'!$B:$B,MATCH(TRIM(SUBSTITUTE($B4022,CHAR(160)," ")),'TRANS'!$D:$D,0)),IFERROR(INDEX('Catalog'!$A:$A,MATCH($B4022,'Catalog'!$B:$B,0)),IFERROR(INDEX('Catalog'!$A:$A,MATCH(TRIM(SUBSTITUTE($B4022,CHAR(160)," ")),'Catalog'!$C:$C,0)),""))))</f>
        <v>4408267</v>
      </c>
      <c r="H4022" s="8" t="str">
        <f aca="false">IFERROR(INDEX('TRANS'!$C:$C,MATCH($B4022,'TRANS'!$A:$A,0)),IFERROR(INDEX('Catalog'!$B:$B,MATCH($G4022,'Catalog'!$A:$A,0)),$B4022))</f>
        <v>ST25 חבק שורש לכף היד</v>
      </c>
      <c r="I4022" s="8" t="str">
        <f aca="false">IF($G4022="","Unmatched","Matched")</f>
        <v>Matched</v>
      </c>
    </row>
    <row r="4023" customFormat="false" ht="15" hidden="false" customHeight="false" outlineLevel="0" collapsed="false">
      <c r="A4023" s="8" t="s">
        <v>1081</v>
      </c>
      <c r="B4023" s="8" t="s">
        <v>532</v>
      </c>
      <c r="C4023" s="19" t="n">
        <v>50</v>
      </c>
      <c r="D4023" s="19" t="n">
        <v>924.82</v>
      </c>
      <c r="E4023" s="19" t="n">
        <v>15</v>
      </c>
      <c r="F4023" s="19" t="n">
        <v>237</v>
      </c>
      <c r="G4023" s="8" t="str">
        <f aca="false">IFERROR(INDEX('TRANS'!$B:$B,MATCH($B4023,'TRANS'!$A:$A,0)),IFERROR(INDEX('TRANS'!$B:$B,MATCH(TRIM(SUBSTITUTE($B4023,CHAR(160)," ")),'TRANS'!$D:$D,0)),IFERROR(INDEX('Catalog'!$A:$A,MATCH($B4023,'Catalog'!$B:$B,0)),IFERROR(INDEX('Catalog'!$A:$A,MATCH(TRIM(SUBSTITUTE($B4023,CHAR(160)," ")),'Catalog'!$C:$C,0)),""))))</f>
        <v/>
      </c>
      <c r="H4023" s="8" t="str">
        <f aca="false">IFERROR(INDEX('TRANS'!$C:$C,MATCH($B4023,'TRANS'!$A:$A,0)),IFERROR(INDEX('Catalog'!$B:$B,MATCH($G4023,'Catalog'!$A:$A,0)),$B4023))</f>
        <v>ST27L 0</v>
      </c>
      <c r="I4023" s="8" t="str">
        <f aca="false">IF($G4023="","Unmatched","Matched")</f>
        <v>Unmatched</v>
      </c>
    </row>
    <row r="4024" customFormat="false" ht="15" hidden="false" customHeight="false" outlineLevel="0" collapsed="false">
      <c r="A4024" s="8" t="s">
        <v>1081</v>
      </c>
      <c r="B4024" s="8" t="s">
        <v>533</v>
      </c>
      <c r="C4024" s="19" t="n">
        <v>60</v>
      </c>
      <c r="D4024" s="19" t="n">
        <v>1104.08</v>
      </c>
      <c r="E4024" s="19" t="n">
        <v>20</v>
      </c>
      <c r="F4024" s="19" t="n">
        <v>316</v>
      </c>
      <c r="G4024" s="8" t="str">
        <f aca="false">IFERROR(INDEX('TRANS'!$B:$B,MATCH($B4024,'TRANS'!$A:$A,0)),IFERROR(INDEX('TRANS'!$B:$B,MATCH(TRIM(SUBSTITUTE($B4024,CHAR(160)," ")),'TRANS'!$D:$D,0)),IFERROR(INDEX('Catalog'!$A:$A,MATCH($B4024,'Catalog'!$B:$B,0)),IFERROR(INDEX('Catalog'!$A:$A,MATCH(TRIM(SUBSTITUTE($B4024,CHAR(160)," ")),'Catalog'!$C:$C,0)),""))))</f>
        <v/>
      </c>
      <c r="H4024" s="8" t="str">
        <f aca="false">IFERROR(INDEX('TRANS'!$C:$C,MATCH($B4024,'TRANS'!$A:$A,0)),IFERROR(INDEX('Catalog'!$B:$B,MATCH($G4024,'Catalog'!$A:$A,0)),$B4024))</f>
        <v>ST27R 0</v>
      </c>
      <c r="I4024" s="8" t="str">
        <f aca="false">IF($G4024="","Unmatched","Matched")</f>
        <v>Unmatched</v>
      </c>
    </row>
    <row r="4025" customFormat="false" ht="15" hidden="false" customHeight="false" outlineLevel="0" collapsed="false">
      <c r="A4025" s="8" t="s">
        <v>1081</v>
      </c>
      <c r="B4025" s="8" t="s">
        <v>534</v>
      </c>
      <c r="C4025" s="19" t="n">
        <v>50</v>
      </c>
      <c r="D4025" s="19" t="n">
        <v>861.96</v>
      </c>
      <c r="E4025" s="19" t="n">
        <v>25</v>
      </c>
      <c r="F4025" s="19" t="n">
        <v>370.05</v>
      </c>
      <c r="G4025" s="8" t="n">
        <f aca="false">IFERROR(INDEX('TRANS'!$B:$B,MATCH($B4025,'TRANS'!$A:$A,0)),IFERROR(INDEX('TRANS'!$B:$B,MATCH(TRIM(SUBSTITUTE($B4025,CHAR(160)," ")),'TRANS'!$D:$D,0)),IFERROR(INDEX('Catalog'!$A:$A,MATCH($B4025,'Catalog'!$B:$B,0)),IFERROR(INDEX('Catalog'!$A:$A,MATCH(TRIM(SUBSTITUTE($B4025,CHAR(160)," ")),'Catalog'!$C:$C,0)),""))))</f>
        <v>4415177</v>
      </c>
      <c r="H4025" s="8" t="str">
        <f aca="false">IFERROR(INDEX('TRANS'!$C:$C,MATCH($B4025,'TRANS'!$A:$A,0)),IFERROR(INDEX('Catalog'!$B:$B,MATCH($G4025,'Catalog'!$A:$A,0)),$B4025))</f>
        <v>ST28 סד אגודלי עם מוט תמיכה</v>
      </c>
      <c r="I4025" s="8" t="str">
        <f aca="false">IF($G4025="","Unmatched","Matched")</f>
        <v>Matched</v>
      </c>
    </row>
    <row r="4026" customFormat="false" ht="15" hidden="false" customHeight="false" outlineLevel="0" collapsed="false">
      <c r="A4026" s="8" t="s">
        <v>1081</v>
      </c>
      <c r="B4026" s="8" t="s">
        <v>309</v>
      </c>
      <c r="C4026" s="19" t="n">
        <v>60</v>
      </c>
      <c r="D4026" s="19" t="n">
        <v>2271.41</v>
      </c>
      <c r="E4026" s="19" t="n">
        <v>15</v>
      </c>
      <c r="F4026" s="19" t="n">
        <v>493.96</v>
      </c>
      <c r="G4026" s="8" t="n">
        <f aca="false">IFERROR(INDEX('TRANS'!$B:$B,MATCH($B4026,'TRANS'!$A:$A,0)),IFERROR(INDEX('TRANS'!$B:$B,MATCH(TRIM(SUBSTITUTE($B4026,CHAR(160)," ")),'TRANS'!$D:$D,0)),IFERROR(INDEX('Catalog'!$A:$A,MATCH($B4026,'Catalog'!$B:$B,0)),IFERROR(INDEX('Catalog'!$A:$A,MATCH(TRIM(SUBSTITUTE($B4026,CHAR(160)," ")),'Catalog'!$C:$C,0)),""))))</f>
        <v>4403035</v>
      </c>
      <c r="H4026" s="8" t="str">
        <f aca="false">IFERROR(INDEX('TRANS'!$C:$C,MATCH($B4026,'TRANS'!$A:$A,0)),IFERROR(INDEX('Catalog'!$B:$B,MATCH($G4026,'Catalog'!$A:$A,0)),$B4026))</f>
        <v>ST3555L-XLגרב לילה לטיפ.בדורבן</v>
      </c>
      <c r="I4026" s="8" t="str">
        <f aca="false">IF($G4026="","Unmatched","Matched")</f>
        <v>Matched</v>
      </c>
    </row>
    <row r="4027" customFormat="false" ht="15" hidden="false" customHeight="false" outlineLevel="0" collapsed="false">
      <c r="A4027" s="8" t="s">
        <v>1081</v>
      </c>
      <c r="B4027" s="8" t="s">
        <v>310</v>
      </c>
      <c r="C4027" s="19" t="n">
        <v>70</v>
      </c>
      <c r="D4027" s="19" t="n">
        <v>2654.93</v>
      </c>
      <c r="E4027" s="19" t="n">
        <v>40</v>
      </c>
      <c r="F4027" s="19" t="n">
        <v>1317.21</v>
      </c>
      <c r="G4027" s="8" t="n">
        <f aca="false">IFERROR(INDEX('TRANS'!$B:$B,MATCH($B4027,'TRANS'!$A:$A,0)),IFERROR(INDEX('TRANS'!$B:$B,MATCH(TRIM(SUBSTITUTE($B4027,CHAR(160)," ")),'TRANS'!$D:$D,0)),IFERROR(INDEX('Catalog'!$A:$A,MATCH($B4027,'Catalog'!$B:$B,0)),IFERROR(INDEX('Catalog'!$A:$A,MATCH(TRIM(SUBSTITUTE($B4027,CHAR(160)," ")),'Catalog'!$C:$C,0)),""))))</f>
        <v>4403034</v>
      </c>
      <c r="H4027" s="8" t="str">
        <f aca="false">IFERROR(INDEX('TRANS'!$C:$C,MATCH($B4027,'TRANS'!$A:$A,0)),IFERROR(INDEX('Catalog'!$B:$B,MATCH($G4027,'Catalog'!$A:$A,0)),$B4027))</f>
        <v>ST3555 S-Mגרב לילה לטיפ.בדורבן</v>
      </c>
      <c r="I4027" s="8" t="str">
        <f aca="false">IF($G4027="","Unmatched","Matched")</f>
        <v>Matched</v>
      </c>
    </row>
    <row r="4028" customFormat="false" ht="15" hidden="false" customHeight="false" outlineLevel="0" collapsed="false">
      <c r="A4028" s="8" t="s">
        <v>1081</v>
      </c>
      <c r="B4028" s="8" t="s">
        <v>535</v>
      </c>
      <c r="C4028" s="19" t="n">
        <v>20</v>
      </c>
      <c r="D4028" s="19" t="n">
        <v>340.91</v>
      </c>
      <c r="E4028" s="19" t="n">
        <v>20</v>
      </c>
      <c r="F4028" s="19" t="n">
        <v>292.71</v>
      </c>
      <c r="G4028" s="8" t="n">
        <f aca="false">IFERROR(INDEX('TRANS'!$B:$B,MATCH($B4028,'TRANS'!$A:$A,0)),IFERROR(INDEX('TRANS'!$B:$B,MATCH(TRIM(SUBSTITUTE($B4028,CHAR(160)," ")),'TRANS'!$D:$D,0)),IFERROR(INDEX('Catalog'!$A:$A,MATCH($B4028,'Catalog'!$B:$B,0)),IFERROR(INDEX('Catalog'!$A:$A,MATCH(TRIM(SUBSTITUTE($B4028,CHAR(160)," ")),'Catalog'!$C:$C,0)),""))))</f>
        <v>4408269</v>
      </c>
      <c r="H4028" s="8" t="str">
        <f aca="false">IFERROR(INDEX('TRANS'!$C:$C,MATCH($B4028,'TRANS'!$A:$A,0)),IFERROR(INDEX('Catalog'!$B:$B,MATCH($G4028,'Catalog'!$A:$A,0)),$B4028))</f>
        <v>ST37 חבק לקרסול</v>
      </c>
      <c r="I4028" s="8" t="str">
        <f aca="false">IF($G4028="","Unmatched","Matched")</f>
        <v>Matched</v>
      </c>
    </row>
    <row r="4029" customFormat="false" ht="15" hidden="false" customHeight="false" outlineLevel="0" collapsed="false">
      <c r="A4029" s="8" t="s">
        <v>1081</v>
      </c>
      <c r="B4029" s="8" t="s">
        <v>538</v>
      </c>
      <c r="C4029" s="19" t="n">
        <v>20</v>
      </c>
      <c r="D4029" s="19" t="n">
        <v>1411.44</v>
      </c>
      <c r="E4029" s="19" t="n">
        <v>30</v>
      </c>
      <c r="F4029" s="19" t="n">
        <v>1866.05</v>
      </c>
      <c r="G4029" s="8" t="n">
        <f aca="false">IFERROR(INDEX('TRANS'!$B:$B,MATCH($B4029,'TRANS'!$A:$A,0)),IFERROR(INDEX('TRANS'!$B:$B,MATCH(TRIM(SUBSTITUTE($B4029,CHAR(160)," ")),'TRANS'!$D:$D,0)),IFERROR(INDEX('Catalog'!$A:$A,MATCH($B4029,'Catalog'!$B:$B,0)),IFERROR(INDEX('Catalog'!$A:$A,MATCH(TRIM(SUBSTITUTE($B4029,CHAR(160)," ")),'Catalog'!$C:$C,0)),""))))</f>
        <v>4413532</v>
      </c>
      <c r="H4029" s="8" t="str">
        <f aca="false">IFERROR(INDEX('TRANS'!$C:$C,MATCH($B4029,'TRANS'!$A:$A,0)),IFERROR(INDEX('Catalog'!$B:$B,MATCH($G4029,'Catalog'!$A:$A,0)),$B4029))</f>
        <v>ST433 H מגן ברך עם ציר</v>
      </c>
      <c r="I4029" s="8" t="str">
        <f aca="false">IF($G4029="","Unmatched","Matched")</f>
        <v>Matched</v>
      </c>
    </row>
    <row r="4030" customFormat="false" ht="15" hidden="false" customHeight="false" outlineLevel="0" collapsed="false">
      <c r="A4030" s="8" t="s">
        <v>1081</v>
      </c>
      <c r="B4030" s="8" t="s">
        <v>569</v>
      </c>
      <c r="C4030" s="19" t="n">
        <v>105</v>
      </c>
      <c r="D4030" s="19" t="n">
        <v>2010.3</v>
      </c>
      <c r="E4030" s="19" t="n">
        <v>60</v>
      </c>
      <c r="F4030" s="19" t="n">
        <v>977.93</v>
      </c>
      <c r="G4030" s="8" t="str">
        <f aca="false">IFERROR(INDEX('TRANS'!$B:$B,MATCH($B4030,'TRANS'!$A:$A,0)),IFERROR(INDEX('TRANS'!$B:$B,MATCH(TRIM(SUBSTITUTE($B4030,CHAR(160)," ")),'TRANS'!$D:$D,0)),IFERROR(INDEX('Catalog'!$A:$A,MATCH($B4030,'Catalog'!$B:$B,0)),IFERROR(INDEX('Catalog'!$A:$A,MATCH(TRIM(SUBSTITUTE($B4030,CHAR(160)," ")),'Catalog'!$C:$C,0)),""))))</f>
        <v/>
      </c>
      <c r="H4030" s="8" t="str">
        <f aca="false">IFERROR(INDEX('TRANS'!$C:$C,MATCH($B4030,'TRANS'!$A:$A,0)),IFERROR(INDEX('Catalog'!$B:$B,MATCH($G4030,'Catalog'!$A:$A,0)),$B4030))</f>
        <v>ST45X 0</v>
      </c>
      <c r="I4030" s="8" t="str">
        <f aca="false">IF($G4030="","Unmatched","Matched")</f>
        <v>Unmatched</v>
      </c>
    </row>
    <row r="4031" customFormat="false" ht="15" hidden="false" customHeight="false" outlineLevel="0" collapsed="false">
      <c r="A4031" s="8" t="s">
        <v>1081</v>
      </c>
      <c r="B4031" s="8" t="s">
        <v>539</v>
      </c>
      <c r="C4031" s="19" t="n">
        <v>4</v>
      </c>
      <c r="D4031" s="19" t="n">
        <v>70.95</v>
      </c>
      <c r="E4031" s="19" t="n">
        <v>6</v>
      </c>
      <c r="F4031" s="19" t="n">
        <v>93.8</v>
      </c>
      <c r="G4031" s="8" t="n">
        <f aca="false">IFERROR(INDEX('TRANS'!$B:$B,MATCH($B4031,'TRANS'!$A:$A,0)),IFERROR(INDEX('TRANS'!$B:$B,MATCH(TRIM(SUBSTITUTE($B4031,CHAR(160)," ")),'TRANS'!$D:$D,0)),IFERROR(INDEX('Catalog'!$A:$A,MATCH($B4031,'Catalog'!$B:$B,0)),IFERROR(INDEX('Catalog'!$A:$A,MATCH(TRIM(SUBSTITUTE($B4031,CHAR(160)," ")),'Catalog'!$C:$C,0)),""))))</f>
        <v>4413533</v>
      </c>
      <c r="H4031" s="8" t="str">
        <f aca="false">IFERROR(INDEX('TRANS'!$C:$C,MATCH($B4031,'TRANS'!$A:$A,0)),IFERROR(INDEX('Catalog'!$B:$B,MATCH($G4031,'Catalog'!$A:$A,0)),$B4031))</f>
        <v>ST49 מגן ירך</v>
      </c>
      <c r="I4031" s="8" t="str">
        <f aca="false">IF($G4031="","Unmatched","Matched")</f>
        <v>Matched</v>
      </c>
    </row>
    <row r="4032" customFormat="false" ht="15" hidden="false" customHeight="false" outlineLevel="0" collapsed="false">
      <c r="A4032" s="8" t="s">
        <v>1081</v>
      </c>
      <c r="B4032" s="8" t="s">
        <v>1055</v>
      </c>
      <c r="C4032" s="19" t="n">
        <v>30</v>
      </c>
      <c r="D4032" s="19" t="n">
        <v>621.26</v>
      </c>
      <c r="E4032" s="19" t="n">
        <v>10</v>
      </c>
      <c r="F4032" s="19" t="n">
        <v>176.29</v>
      </c>
      <c r="G4032" s="8" t="str">
        <f aca="false">IFERROR(INDEX('TRANS'!$B:$B,MATCH($B4032,'TRANS'!$A:$A,0)),IFERROR(INDEX('TRANS'!$B:$B,MATCH(TRIM(SUBSTITUTE($B4032,CHAR(160)," ")),'TRANS'!$D:$D,0)),IFERROR(INDEX('Catalog'!$A:$A,MATCH($B4032,'Catalog'!$B:$B,0)),IFERROR(INDEX('Catalog'!$A:$A,MATCH(TRIM(SUBSTITUTE($B4032,CHAR(160)," ")),'Catalog'!$C:$C,0)),""))))</f>
        <v/>
      </c>
      <c r="H4032" s="8" t="str">
        <f aca="false">IFERROR(INDEX('TRANS'!$C:$C,MATCH($B4032,'TRANS'!$A:$A,0)),IFERROR(INDEX('Catalog'!$B:$B,MATCH($G4032,'Catalog'!$A:$A,0)),$B4032))</f>
        <v>ST95 0</v>
      </c>
      <c r="I4032" s="8" t="str">
        <f aca="false">IF($G4032="","Unmatched","Matched")</f>
        <v>Unmatched</v>
      </c>
    </row>
    <row r="4033" customFormat="false" ht="15" hidden="false" customHeight="false" outlineLevel="0" collapsed="false">
      <c r="A4033" s="8" t="s">
        <v>1081</v>
      </c>
      <c r="B4033" s="8" t="s">
        <v>311</v>
      </c>
      <c r="C4033" s="19" t="n">
        <v>6</v>
      </c>
      <c r="D4033" s="19" t="n">
        <v>296.36</v>
      </c>
      <c r="E4033" s="19" t="n">
        <v>5</v>
      </c>
      <c r="F4033" s="19" t="n">
        <v>212.05</v>
      </c>
      <c r="G4033" s="8" t="str">
        <f aca="false">IFERROR(INDEX('TRANS'!$B:$B,MATCH($B4033,'TRANS'!$A:$A,0)),IFERROR(INDEX('TRANS'!$B:$B,MATCH(TRIM(SUBSTITUTE($B4033,CHAR(160)," ")),'TRANS'!$D:$D,0)),IFERROR(INDEX('Catalog'!$A:$A,MATCH($B4033,'Catalog'!$B:$B,0)),IFERROR(INDEX('Catalog'!$A:$A,MATCH(TRIM(SUBSTITUTE($B4033,CHAR(160)," ")),'Catalog'!$C:$C,0)),""))))</f>
        <v/>
      </c>
      <c r="H4033" s="8" t="str">
        <f aca="false">IFERROR(INDEX('TRANS'!$C:$C,MATCH($B4033,'TRANS'!$A:$A,0)),IFERROR(INDEX('Catalog'!$B:$B,MATCH($G4033,'Catalog'!$A:$A,0)),$B4033))</f>
        <v>T03 L</v>
      </c>
      <c r="I4033" s="8" t="str">
        <f aca="false">IF($G4033="","Unmatched","Matched")</f>
        <v>Unmatched</v>
      </c>
    </row>
    <row r="4034" customFormat="false" ht="15" hidden="false" customHeight="false" outlineLevel="0" collapsed="false">
      <c r="A4034" s="8" t="s">
        <v>1081</v>
      </c>
      <c r="B4034" s="8" t="s">
        <v>312</v>
      </c>
      <c r="C4034" s="19" t="n">
        <v>5</v>
      </c>
      <c r="D4034" s="19" t="n">
        <v>245.69</v>
      </c>
      <c r="E4034" s="19" t="n">
        <v>5</v>
      </c>
      <c r="F4034" s="19" t="n">
        <v>212.05</v>
      </c>
      <c r="G4034" s="8" t="str">
        <f aca="false">IFERROR(INDEX('TRANS'!$B:$B,MATCH($B4034,'TRANS'!$A:$A,0)),IFERROR(INDEX('TRANS'!$B:$B,MATCH(TRIM(SUBSTITUTE($B4034,CHAR(160)," ")),'TRANS'!$D:$D,0)),IFERROR(INDEX('Catalog'!$A:$A,MATCH($B4034,'Catalog'!$B:$B,0)),IFERROR(INDEX('Catalog'!$A:$A,MATCH(TRIM(SUBSTITUTE($B4034,CHAR(160)," ")),'Catalog'!$C:$C,0)),""))))</f>
        <v/>
      </c>
      <c r="H4034" s="8" t="str">
        <f aca="false">IFERROR(INDEX('TRANS'!$C:$C,MATCH($B4034,'TRANS'!$A:$A,0)),IFERROR(INDEX('Catalog'!$B:$B,MATCH($G4034,'Catalog'!$A:$A,0)),$B4034))</f>
        <v>T03 M</v>
      </c>
      <c r="I4034" s="8" t="str">
        <f aca="false">IF($G4034="","Unmatched","Matched")</f>
        <v>Unmatched</v>
      </c>
    </row>
    <row r="4035" customFormat="false" ht="15" hidden="false" customHeight="false" outlineLevel="0" collapsed="false">
      <c r="A4035" s="8" t="s">
        <v>1081</v>
      </c>
      <c r="B4035" s="8" t="s">
        <v>1002</v>
      </c>
      <c r="C4035" s="19" t="n">
        <v>0</v>
      </c>
      <c r="D4035" s="19" t="n">
        <v>0</v>
      </c>
      <c r="E4035" s="19" t="n">
        <v>2</v>
      </c>
      <c r="F4035" s="19" t="n">
        <v>84.82</v>
      </c>
      <c r="G4035" s="8" t="str">
        <f aca="false">IFERROR(INDEX('TRANS'!$B:$B,MATCH($B4035,'TRANS'!$A:$A,0)),IFERROR(INDEX('TRANS'!$B:$B,MATCH(TRIM(SUBSTITUTE($B4035,CHAR(160)," ")),'TRANS'!$D:$D,0)),IFERROR(INDEX('Catalog'!$A:$A,MATCH($B4035,'Catalog'!$B:$B,0)),IFERROR(INDEX('Catalog'!$A:$A,MATCH(TRIM(SUBSTITUTE($B4035,CHAR(160)," ")),'Catalog'!$C:$C,0)),""))))</f>
        <v/>
      </c>
      <c r="H4035" s="8" t="str">
        <f aca="false">IFERROR(INDEX('TRANS'!$C:$C,MATCH($B4035,'TRANS'!$A:$A,0)),IFERROR(INDEX('Catalog'!$B:$B,MATCH($G4035,'Catalog'!$A:$A,0)),$B4035))</f>
        <v>T03 S</v>
      </c>
      <c r="I4035" s="8" t="str">
        <f aca="false">IF($G4035="","Unmatched","Matched")</f>
        <v>Unmatched</v>
      </c>
    </row>
    <row r="4036" customFormat="false" ht="15" hidden="false" customHeight="false" outlineLevel="0" collapsed="false">
      <c r="A4036" s="8" t="s">
        <v>1081</v>
      </c>
      <c r="B4036" s="8" t="s">
        <v>442</v>
      </c>
      <c r="C4036" s="19" t="n">
        <v>0</v>
      </c>
      <c r="D4036" s="19" t="n">
        <v>0</v>
      </c>
      <c r="E4036" s="19" t="n">
        <v>5</v>
      </c>
      <c r="F4036" s="19" t="n">
        <v>212.05</v>
      </c>
      <c r="G4036" s="8" t="str">
        <f aca="false">IFERROR(INDEX('TRANS'!$B:$B,MATCH($B4036,'TRANS'!$A:$A,0)),IFERROR(INDEX('TRANS'!$B:$B,MATCH(TRIM(SUBSTITUTE($B4036,CHAR(160)," ")),'TRANS'!$D:$D,0)),IFERROR(INDEX('Catalog'!$A:$A,MATCH($B4036,'Catalog'!$B:$B,0)),IFERROR(INDEX('Catalog'!$A:$A,MATCH(TRIM(SUBSTITUTE($B4036,CHAR(160)," ")),'Catalog'!$C:$C,0)),""))))</f>
        <v/>
      </c>
      <c r="H4036" s="8" t="str">
        <f aca="false">IFERROR(INDEX('TRANS'!$C:$C,MATCH($B4036,'TRANS'!$A:$A,0)),IFERROR(INDEX('Catalog'!$B:$B,MATCH($G4036,'Catalog'!$A:$A,0)),$B4036))</f>
        <v>T03 XL</v>
      </c>
      <c r="I4036" s="8" t="str">
        <f aca="false">IF($G4036="","Unmatched","Matched")</f>
        <v>Unmatched</v>
      </c>
    </row>
    <row r="4037" customFormat="false" ht="15" hidden="false" customHeight="false" outlineLevel="0" collapsed="false">
      <c r="A4037" s="8" t="s">
        <v>1081</v>
      </c>
      <c r="B4037" s="8" t="s">
        <v>313</v>
      </c>
      <c r="C4037" s="19" t="n">
        <v>0</v>
      </c>
      <c r="D4037" s="19" t="n">
        <v>0</v>
      </c>
      <c r="E4037" s="19" t="n">
        <v>5</v>
      </c>
      <c r="F4037" s="19" t="n">
        <v>212.05</v>
      </c>
      <c r="G4037" s="8" t="str">
        <f aca="false">IFERROR(INDEX('TRANS'!$B:$B,MATCH($B4037,'TRANS'!$A:$A,0)),IFERROR(INDEX('TRANS'!$B:$B,MATCH(TRIM(SUBSTITUTE($B4037,CHAR(160)," ")),'TRANS'!$D:$D,0)),IFERROR(INDEX('Catalog'!$A:$A,MATCH($B4037,'Catalog'!$B:$B,0)),IFERROR(INDEX('Catalog'!$A:$A,MATCH(TRIM(SUBSTITUTE($B4037,CHAR(160)," ")),'Catalog'!$C:$C,0)),""))))</f>
        <v/>
      </c>
      <c r="H4037" s="8" t="str">
        <f aca="false">IFERROR(INDEX('TRANS'!$C:$C,MATCH($B4037,'TRANS'!$A:$A,0)),IFERROR(INDEX('Catalog'!$B:$B,MATCH($G4037,'Catalog'!$A:$A,0)),$B4037))</f>
        <v>T03 XXL</v>
      </c>
      <c r="I4037" s="8" t="str">
        <f aca="false">IF($G4037="","Unmatched","Matched")</f>
        <v>Unmatched</v>
      </c>
    </row>
    <row r="4038" customFormat="false" ht="15" hidden="false" customHeight="false" outlineLevel="0" collapsed="false">
      <c r="A4038" s="8" t="s">
        <v>1081</v>
      </c>
      <c r="B4038" s="8" t="s">
        <v>328</v>
      </c>
      <c r="C4038" s="19" t="n">
        <v>0</v>
      </c>
      <c r="D4038" s="19" t="n">
        <v>0</v>
      </c>
      <c r="E4038" s="19" t="n">
        <v>3</v>
      </c>
      <c r="F4038" s="19" t="n">
        <v>109.27</v>
      </c>
      <c r="G4038" s="8" t="str">
        <f aca="false">IFERROR(INDEX('TRANS'!$B:$B,MATCH($B4038,'TRANS'!$A:$A,0)),IFERROR(INDEX('TRANS'!$B:$B,MATCH(TRIM(SUBSTITUTE($B4038,CHAR(160)," ")),'TRANS'!$D:$D,0)),IFERROR(INDEX('Catalog'!$A:$A,MATCH($B4038,'Catalog'!$B:$B,0)),IFERROR(INDEX('Catalog'!$A:$A,MATCH(TRIM(SUBSTITUTE($B4038,CHAR(160)," ")),'Catalog'!$C:$C,0)),""))))</f>
        <v/>
      </c>
      <c r="H4038" s="8" t="str">
        <f aca="false">IFERROR(INDEX('TRANS'!$C:$C,MATCH($B4038,'TRANS'!$A:$A,0)),IFERROR(INDEX('Catalog'!$B:$B,MATCH($G4038,'Catalog'!$A:$A,0)),$B4038))</f>
        <v>T402 XL</v>
      </c>
      <c r="I4038" s="8" t="str">
        <f aca="false">IF($G4038="","Unmatched","Matched")</f>
        <v>Unmatched</v>
      </c>
    </row>
    <row r="4039" customFormat="false" ht="15" hidden="false" customHeight="false" outlineLevel="0" collapsed="false">
      <c r="A4039" s="8" t="s">
        <v>1081</v>
      </c>
      <c r="B4039" s="8" t="s">
        <v>611</v>
      </c>
      <c r="C4039" s="19" t="n">
        <v>0</v>
      </c>
      <c r="D4039" s="19" t="n">
        <v>0</v>
      </c>
      <c r="E4039" s="19" t="n">
        <v>3</v>
      </c>
      <c r="F4039" s="19" t="n">
        <v>109.27</v>
      </c>
      <c r="G4039" s="8" t="str">
        <f aca="false">IFERROR(INDEX('TRANS'!$B:$B,MATCH($B4039,'TRANS'!$A:$A,0)),IFERROR(INDEX('TRANS'!$B:$B,MATCH(TRIM(SUBSTITUTE($B4039,CHAR(160)," ")),'TRANS'!$D:$D,0)),IFERROR(INDEX('Catalog'!$A:$A,MATCH($B4039,'Catalog'!$B:$B,0)),IFERROR(INDEX('Catalog'!$A:$A,MATCH(TRIM(SUBSTITUTE($B4039,CHAR(160)," ")),'Catalog'!$C:$C,0)),""))))</f>
        <v/>
      </c>
      <c r="H4039" s="8" t="str">
        <f aca="false">IFERROR(INDEX('TRANS'!$C:$C,MATCH($B4039,'TRANS'!$A:$A,0)),IFERROR(INDEX('Catalog'!$B:$B,MATCH($G4039,'Catalog'!$A:$A,0)),$B4039))</f>
        <v>T402 XXL</v>
      </c>
      <c r="I4039" s="8" t="str">
        <f aca="false">IF($G4039="","Unmatched","Matched")</f>
        <v>Unmatched</v>
      </c>
    </row>
    <row r="4040" customFormat="false" ht="15" hidden="false" customHeight="false" outlineLevel="0" collapsed="false">
      <c r="A4040" s="8" t="s">
        <v>1081</v>
      </c>
      <c r="B4040" s="8" t="s">
        <v>1082</v>
      </c>
      <c r="C4040" s="19" t="n">
        <v>0</v>
      </c>
      <c r="D4040" s="19" t="n">
        <v>0</v>
      </c>
      <c r="E4040" s="19" t="n">
        <v>3</v>
      </c>
      <c r="F4040" s="19" t="n">
        <v>299.37</v>
      </c>
      <c r="G4040" s="8" t="str">
        <f aca="false">IFERROR(INDEX('TRANS'!$B:$B,MATCH($B4040,'TRANS'!$A:$A,0)),IFERROR(INDEX('TRANS'!$B:$B,MATCH(TRIM(SUBSTITUTE($B4040,CHAR(160)," ")),'TRANS'!$D:$D,0)),IFERROR(INDEX('Catalog'!$A:$A,MATCH($B4040,'Catalog'!$B:$B,0)),IFERROR(INDEX('Catalog'!$A:$A,MATCH(TRIM(SUBSTITUTE($B4040,CHAR(160)," ")),'Catalog'!$C:$C,0)),""))))</f>
        <v/>
      </c>
      <c r="H4040" s="8" t="str">
        <f aca="false">IFERROR(INDEX('TRANS'!$C:$C,MATCH($B4040,'TRANS'!$A:$A,0)),IFERROR(INDEX('Catalog'!$B:$B,MATCH($G4040,'Catalog'!$A:$A,0)),$B4040))</f>
        <v>T43F XXL</v>
      </c>
      <c r="I4040" s="8" t="str">
        <f aca="false">IF($G4040="","Unmatched","Matched")</f>
        <v>Unmatched</v>
      </c>
    </row>
    <row r="4041" customFormat="false" ht="15" hidden="false" customHeight="false" outlineLevel="0" collapsed="false">
      <c r="A4041" s="8" t="s">
        <v>1081</v>
      </c>
      <c r="B4041" s="8" t="s">
        <v>332</v>
      </c>
      <c r="C4041" s="19" t="n">
        <v>4</v>
      </c>
      <c r="D4041" s="19" t="n">
        <v>321.1</v>
      </c>
      <c r="E4041" s="19" t="n">
        <v>6</v>
      </c>
      <c r="F4041" s="19" t="n">
        <v>403.15</v>
      </c>
      <c r="G4041" s="8" t="n">
        <f aca="false">IFERROR(INDEX('TRANS'!$B:$B,MATCH($B4041,'TRANS'!$A:$A,0)),IFERROR(INDEX('TRANS'!$B:$B,MATCH(TRIM(SUBSTITUTE($B4041,CHAR(160)," ")),'TRANS'!$D:$D,0)),IFERROR(INDEX('Catalog'!$A:$A,MATCH($B4041,'Catalog'!$B:$B,0)),IFERROR(INDEX('Catalog'!$A:$A,MATCH(TRIM(SUBSTITUTE($B4041,CHAR(160)," ")),'Catalog'!$C:$C,0)),""))))</f>
        <v>4422006</v>
      </c>
      <c r="H4041" s="8" t="str">
        <f aca="false">IFERROR(INDEX('TRANS'!$C:$C,MATCH($B4041,'TRANS'!$A:$A,0)),IFERROR(INDEX('Catalog'!$B:$B,MATCH($G4041,'Catalog'!$A:$A,0)),$B4041))</f>
        <v>T78 L תומך זרוע וכתף</v>
      </c>
      <c r="I4041" s="8" t="str">
        <f aca="false">IF($G4041="","Unmatched","Matched")</f>
        <v>Matched</v>
      </c>
    </row>
    <row r="4042" customFormat="false" ht="15" hidden="false" customHeight="false" outlineLevel="0" collapsed="false">
      <c r="A4042" s="8" t="s">
        <v>1081</v>
      </c>
      <c r="B4042" s="8" t="s">
        <v>452</v>
      </c>
      <c r="C4042" s="19" t="n">
        <v>2</v>
      </c>
      <c r="D4042" s="19" t="n">
        <v>152.47</v>
      </c>
      <c r="E4042" s="19" t="n">
        <v>3</v>
      </c>
      <c r="F4042" s="19" t="n">
        <v>201.57</v>
      </c>
      <c r="G4042" s="8" t="n">
        <f aca="false">IFERROR(INDEX('TRANS'!$B:$B,MATCH($B4042,'TRANS'!$A:$A,0)),IFERROR(INDEX('TRANS'!$B:$B,MATCH(TRIM(SUBSTITUTE($B4042,CHAR(160)," ")),'TRANS'!$D:$D,0)),IFERROR(INDEX('Catalog'!$A:$A,MATCH($B4042,'Catalog'!$B:$B,0)),IFERROR(INDEX('Catalog'!$A:$A,MATCH(TRIM(SUBSTITUTE($B4042,CHAR(160)," ")),'Catalog'!$C:$C,0)),""))))</f>
        <v>4422005</v>
      </c>
      <c r="H4042" s="8" t="str">
        <f aca="false">IFERROR(INDEX('TRANS'!$C:$C,MATCH($B4042,'TRANS'!$A:$A,0)),IFERROR(INDEX('Catalog'!$B:$B,MATCH($G4042,'Catalog'!$A:$A,0)),$B4042))</f>
        <v>T78 M תומך זרוע וכתף</v>
      </c>
      <c r="I4042" s="8" t="str">
        <f aca="false">IF($G4042="","Unmatched","Matched")</f>
        <v>Matched</v>
      </c>
    </row>
    <row r="4043" customFormat="false" ht="15" hidden="false" customHeight="false" outlineLevel="0" collapsed="false">
      <c r="A4043" s="8" t="s">
        <v>1081</v>
      </c>
      <c r="B4043" s="8" t="s">
        <v>580</v>
      </c>
      <c r="C4043" s="19" t="n">
        <v>2</v>
      </c>
      <c r="D4043" s="19" t="n">
        <v>160.55</v>
      </c>
      <c r="E4043" s="19" t="n">
        <v>3</v>
      </c>
      <c r="F4043" s="19" t="n">
        <v>201.57</v>
      </c>
      <c r="G4043" s="8" t="n">
        <f aca="false">IFERROR(INDEX('TRANS'!$B:$B,MATCH($B4043,'TRANS'!$A:$A,0)),IFERROR(INDEX('TRANS'!$B:$B,MATCH(TRIM(SUBSTITUTE($B4043,CHAR(160)," ")),'TRANS'!$D:$D,0)),IFERROR(INDEX('Catalog'!$A:$A,MATCH($B4043,'Catalog'!$B:$B,0)),IFERROR(INDEX('Catalog'!$A:$A,MATCH(TRIM(SUBSTITUTE($B4043,CHAR(160)," ")),'Catalog'!$C:$C,0)),""))))</f>
        <v>4422004</v>
      </c>
      <c r="H4043" s="8" t="str">
        <f aca="false">IFERROR(INDEX('TRANS'!$C:$C,MATCH($B4043,'TRANS'!$A:$A,0)),IFERROR(INDEX('Catalog'!$B:$B,MATCH($G4043,'Catalog'!$A:$A,0)),$B4043))</f>
        <v>T78 S תומך זרוע וכתף</v>
      </c>
      <c r="I4043" s="8" t="str">
        <f aca="false">IF($G4043="","Unmatched","Matched")</f>
        <v>Matched</v>
      </c>
    </row>
    <row r="4044" customFormat="false" ht="15" hidden="false" customHeight="false" outlineLevel="0" collapsed="false">
      <c r="A4044" s="8" t="s">
        <v>1081</v>
      </c>
      <c r="B4044" s="8" t="s">
        <v>632</v>
      </c>
      <c r="C4044" s="19" t="n">
        <v>4</v>
      </c>
      <c r="D4044" s="19" t="n">
        <v>321.1</v>
      </c>
      <c r="E4044" s="19" t="n">
        <v>6</v>
      </c>
      <c r="F4044" s="19" t="n">
        <v>403.15</v>
      </c>
      <c r="G4044" s="8" t="n">
        <f aca="false">IFERROR(INDEX('TRANS'!$B:$B,MATCH($B4044,'TRANS'!$A:$A,0)),IFERROR(INDEX('TRANS'!$B:$B,MATCH(TRIM(SUBSTITUTE($B4044,CHAR(160)," ")),'TRANS'!$D:$D,0)),IFERROR(INDEX('Catalog'!$A:$A,MATCH($B4044,'Catalog'!$B:$B,0)),IFERROR(INDEX('Catalog'!$A:$A,MATCH(TRIM(SUBSTITUTE($B4044,CHAR(160)," ")),'Catalog'!$C:$C,0)),""))))</f>
        <v>4422007</v>
      </c>
      <c r="H4044" s="8" t="str">
        <f aca="false">IFERROR(INDEX('TRANS'!$C:$C,MATCH($B4044,'TRANS'!$A:$A,0)),IFERROR(INDEX('Catalog'!$B:$B,MATCH($G4044,'Catalog'!$A:$A,0)),$B4044))</f>
        <v>T78 XLתומך זרוע וכתף</v>
      </c>
      <c r="I4044" s="8" t="str">
        <f aca="false">IF($G4044="","Unmatched","Matched")</f>
        <v>Matched</v>
      </c>
    </row>
    <row r="4045" customFormat="false" ht="15" hidden="false" customHeight="false" outlineLevel="0" collapsed="false">
      <c r="A4045" s="8" t="s">
        <v>1081</v>
      </c>
      <c r="B4045" s="8" t="s">
        <v>612</v>
      </c>
      <c r="C4045" s="19" t="n">
        <v>0</v>
      </c>
      <c r="D4045" s="19" t="n">
        <v>0</v>
      </c>
      <c r="E4045" s="19" t="n">
        <v>6</v>
      </c>
      <c r="F4045" s="19" t="n">
        <v>403.15</v>
      </c>
      <c r="G4045" s="8" t="n">
        <f aca="false">IFERROR(INDEX('TRANS'!$B:$B,MATCH($B4045,'TRANS'!$A:$A,0)),IFERROR(INDEX('TRANS'!$B:$B,MATCH(TRIM(SUBSTITUTE($B4045,CHAR(160)," ")),'TRANS'!$D:$D,0)),IFERROR(INDEX('Catalog'!$A:$A,MATCH($B4045,'Catalog'!$B:$B,0)),IFERROR(INDEX('Catalog'!$A:$A,MATCH(TRIM(SUBSTITUTE($B4045,CHAR(160)," ")),'Catalog'!$C:$C,0)),""))))</f>
        <v>4422009</v>
      </c>
      <c r="H4045" s="8" t="str">
        <f aca="false">IFERROR(INDEX('TRANS'!$C:$C,MATCH($B4045,'TRANS'!$A:$A,0)),IFERROR(INDEX('Catalog'!$B:$B,MATCH($G4045,'Catalog'!$A:$A,0)),$B4045))</f>
        <v>T78 XXL תומך זרוע וכתף</v>
      </c>
      <c r="I4045" s="8" t="str">
        <f aca="false">IF($G4045="","Unmatched","Matched")</f>
        <v>Matched</v>
      </c>
    </row>
    <row r="4046" customFormat="false" ht="15" hidden="false" customHeight="false" outlineLevel="0" collapsed="false">
      <c r="A4046" s="8" t="s">
        <v>1083</v>
      </c>
      <c r="B4046" s="8" t="s">
        <v>1084</v>
      </c>
      <c r="C4046" s="19" t="n">
        <v>15</v>
      </c>
      <c r="D4046" s="19" t="n">
        <v>496.51</v>
      </c>
      <c r="E4046" s="19" t="n">
        <v>9</v>
      </c>
      <c r="F4046" s="19" t="n">
        <v>262.22</v>
      </c>
      <c r="G4046" s="8" t="str">
        <f aca="false">IFERROR(INDEX('TRANS'!$B:$B,MATCH($B4046,'TRANS'!$A:$A,0)),IFERROR(INDEX('TRANS'!$B:$B,MATCH(TRIM(SUBSTITUTE($B4046,CHAR(160)," ")),'TRANS'!$D:$D,0)),IFERROR(INDEX('Catalog'!$A:$A,MATCH($B4046,'Catalog'!$B:$B,0)),IFERROR(INDEX('Catalog'!$A:$A,MATCH(TRIM(SUBSTITUTE($B4046,CHAR(160)," ")),'Catalog'!$C:$C,0)),""))))</f>
        <v/>
      </c>
      <c r="H4046" s="8" t="str">
        <f aca="false">IFERROR(INDEX('TRANS'!$C:$C,MATCH($B4046,'TRANS'!$A:$A,0)),IFERROR(INDEX('Catalog'!$B:$B,MATCH($G4046,'Catalog'!$A:$A,0)),$B4046))</f>
        <v>25 M</v>
      </c>
      <c r="I4046" s="8" t="str">
        <f aca="false">IF($G4046="","Unmatched","Matched")</f>
        <v>Unmatched</v>
      </c>
    </row>
    <row r="4047" customFormat="false" ht="15" hidden="false" customHeight="false" outlineLevel="0" collapsed="false">
      <c r="A4047" s="8" t="s">
        <v>1083</v>
      </c>
      <c r="B4047" s="8" t="s">
        <v>955</v>
      </c>
      <c r="C4047" s="19" t="n">
        <v>1</v>
      </c>
      <c r="D4047" s="19" t="n">
        <v>0.04</v>
      </c>
      <c r="E4047" s="19" t="n">
        <v>0</v>
      </c>
      <c r="F4047" s="19" t="n">
        <v>0</v>
      </c>
      <c r="G4047" s="8" t="str">
        <f aca="false">IFERROR(INDEX('TRANS'!$B:$B,MATCH($B4047,'TRANS'!$A:$A,0)),IFERROR(INDEX('TRANS'!$B:$B,MATCH(TRIM(SUBSTITUTE($B4047,CHAR(160)," ")),'TRANS'!$D:$D,0)),IFERROR(INDEX('Catalog'!$A:$A,MATCH($B4047,'Catalog'!$B:$B,0)),IFERROR(INDEX('Catalog'!$A:$A,MATCH(TRIM(SUBSTITUTE($B4047,CHAR(160)," ")),'Catalog'!$C:$C,0)),""))))</f>
        <v/>
      </c>
      <c r="H4047" s="8" t="str">
        <f aca="false">IFERROR(INDEX('TRANS'!$C:$C,MATCH($B4047,'TRANS'!$A:$A,0)),IFERROR(INDEX('Catalog'!$B:$B,MATCH($G4047,'Catalog'!$A:$A,0)),$B4047))</f>
        <v>391B-35-38</v>
      </c>
      <c r="I4047" s="8" t="str">
        <f aca="false">IF($G4047="","Unmatched","Matched")</f>
        <v>Unmatched</v>
      </c>
    </row>
    <row r="4048" customFormat="false" ht="15" hidden="false" customHeight="false" outlineLevel="0" collapsed="false">
      <c r="A4048" s="8" t="s">
        <v>1083</v>
      </c>
      <c r="B4048" s="8" t="s">
        <v>716</v>
      </c>
      <c r="C4048" s="19" t="n">
        <v>1</v>
      </c>
      <c r="D4048" s="19" t="n">
        <v>0.04</v>
      </c>
      <c r="E4048" s="19" t="n">
        <v>0</v>
      </c>
      <c r="F4048" s="19" t="n">
        <v>0</v>
      </c>
      <c r="G4048" s="8" t="str">
        <f aca="false">IFERROR(INDEX('TRANS'!$B:$B,MATCH($B4048,'TRANS'!$A:$A,0)),IFERROR(INDEX('TRANS'!$B:$B,MATCH(TRIM(SUBSTITUTE($B4048,CHAR(160)," ")),'TRANS'!$D:$D,0)),IFERROR(INDEX('Catalog'!$A:$A,MATCH($B4048,'Catalog'!$B:$B,0)),IFERROR(INDEX('Catalog'!$A:$A,MATCH(TRIM(SUBSTITUTE($B4048,CHAR(160)," ")),'Catalog'!$C:$C,0)),""))))</f>
        <v/>
      </c>
      <c r="H4048" s="8" t="str">
        <f aca="false">IFERROR(INDEX('TRANS'!$C:$C,MATCH($B4048,'TRANS'!$A:$A,0)),IFERROR(INDEX('Catalog'!$B:$B,MATCH($G4048,'Catalog'!$A:$A,0)),$B4048))</f>
        <v>395W-35-38</v>
      </c>
      <c r="I4048" s="8" t="str">
        <f aca="false">IF($G4048="","Unmatched","Matched")</f>
        <v>Unmatched</v>
      </c>
    </row>
    <row r="4049" customFormat="false" ht="15" hidden="false" customHeight="false" outlineLevel="0" collapsed="false">
      <c r="A4049" s="8" t="s">
        <v>1083</v>
      </c>
      <c r="B4049" s="8" t="s">
        <v>201</v>
      </c>
      <c r="C4049" s="19" t="n">
        <v>1</v>
      </c>
      <c r="D4049" s="19" t="n">
        <v>0.04</v>
      </c>
      <c r="E4049" s="19" t="n">
        <v>0</v>
      </c>
      <c r="F4049" s="19" t="n">
        <v>0</v>
      </c>
      <c r="G4049" s="8" t="n">
        <f aca="false">IFERROR(INDEX('TRANS'!$B:$B,MATCH($B4049,'TRANS'!$A:$A,0)),IFERROR(INDEX('TRANS'!$B:$B,MATCH(TRIM(SUBSTITUTE($B4049,CHAR(160)," ")),'TRANS'!$D:$D,0)),IFERROR(INDEX('Catalog'!$A:$A,MATCH($B4049,'Catalog'!$B:$B,0)),IFERROR(INDEX('Catalog'!$A:$A,MATCH(TRIM(SUBSTITUTE($B4049,CHAR(160)," ")),'Catalog'!$C:$C,0)),""))))</f>
        <v>4403042</v>
      </c>
      <c r="H4049" s="8" t="str">
        <f aca="false">IFERROR(INDEX('TRANS'!$C:$C,MATCH($B4049,'TRANS'!$A:$A,0)),IFERROR(INDEX('Catalog'!$B:$B,MATCH($G4049,'Catalog'!$A:$A,0)),$B4049))</f>
        <v>397A-גרבי טיסה אנטי בקטרי39-42</v>
      </c>
      <c r="I4049" s="8" t="str">
        <f aca="false">IF($G4049="","Unmatched","Matched")</f>
        <v>Matched</v>
      </c>
    </row>
    <row r="4050" customFormat="false" ht="15" hidden="false" customHeight="false" outlineLevel="0" collapsed="false">
      <c r="A4050" s="8" t="s">
        <v>1083</v>
      </c>
      <c r="B4050" s="8" t="s">
        <v>376</v>
      </c>
      <c r="C4050" s="19" t="n">
        <v>130</v>
      </c>
      <c r="D4050" s="19" t="n">
        <v>1507.92</v>
      </c>
      <c r="E4050" s="19" t="n">
        <v>0</v>
      </c>
      <c r="F4050" s="19" t="n">
        <v>0</v>
      </c>
      <c r="G4050" s="8" t="n">
        <f aca="false">IFERROR(INDEX('TRANS'!$B:$B,MATCH($B4050,'TRANS'!$A:$A,0)),IFERROR(INDEX('TRANS'!$B:$B,MATCH(TRIM(SUBSTITUTE($B4050,CHAR(160)," ")),'TRANS'!$D:$D,0)),IFERROR(INDEX('Catalog'!$A:$A,MATCH($B4050,'Catalog'!$B:$B,0)),IFERROR(INDEX('Catalog'!$A:$A,MATCH(TRIM(SUBSTITUTE($B4050,CHAR(160)," ")),'Catalog'!$C:$C,0)),""))))</f>
        <v>4413092</v>
      </c>
      <c r="H4050" s="8" t="str">
        <f aca="false">IFERROR(INDEX('TRANS'!$C:$C,MATCH($B4050,'TRANS'!$A:$A,0)),IFERROR(INDEX('Catalog'!$B:$B,MATCH($G4050,'Catalog'!$A:$A,0)),$B4050))</f>
        <v>45 L מגן ברך לבן</v>
      </c>
      <c r="I4050" s="8" t="str">
        <f aca="false">IF($G4050="","Unmatched","Matched")</f>
        <v>Matched</v>
      </c>
    </row>
    <row r="4051" customFormat="false" ht="15" hidden="false" customHeight="false" outlineLevel="0" collapsed="false">
      <c r="A4051" s="8" t="s">
        <v>1083</v>
      </c>
      <c r="B4051" s="8" t="s">
        <v>377</v>
      </c>
      <c r="C4051" s="19" t="n">
        <v>140</v>
      </c>
      <c r="D4051" s="19" t="n">
        <v>1623.82</v>
      </c>
      <c r="E4051" s="19" t="n">
        <v>0</v>
      </c>
      <c r="F4051" s="19" t="n">
        <v>0</v>
      </c>
      <c r="G4051" s="8" t="n">
        <f aca="false">IFERROR(INDEX('TRANS'!$B:$B,MATCH($B4051,'TRANS'!$A:$A,0)),IFERROR(INDEX('TRANS'!$B:$B,MATCH(TRIM(SUBSTITUTE($B4051,CHAR(160)," ")),'TRANS'!$D:$D,0)),IFERROR(INDEX('Catalog'!$A:$A,MATCH($B4051,'Catalog'!$B:$B,0)),IFERROR(INDEX('Catalog'!$A:$A,MATCH(TRIM(SUBSTITUTE($B4051,CHAR(160)," ")),'Catalog'!$C:$C,0)),""))))</f>
        <v>4413093</v>
      </c>
      <c r="H4051" s="8" t="str">
        <f aca="false">IFERROR(INDEX('TRANS'!$C:$C,MATCH($B4051,'TRANS'!$A:$A,0)),IFERROR(INDEX('Catalog'!$B:$B,MATCH($G4051,'Catalog'!$A:$A,0)),$B4051))</f>
        <v>45 M מגן ברך לבן</v>
      </c>
      <c r="I4051" s="8" t="str">
        <f aca="false">IF($G4051="","Unmatched","Matched")</f>
        <v>Matched</v>
      </c>
    </row>
    <row r="4052" customFormat="false" ht="15" hidden="false" customHeight="false" outlineLevel="0" collapsed="false">
      <c r="A4052" s="8" t="s">
        <v>1083</v>
      </c>
      <c r="B4052" s="8" t="s">
        <v>206</v>
      </c>
      <c r="C4052" s="19" t="n">
        <v>90</v>
      </c>
      <c r="D4052" s="19" t="n">
        <v>1043.9</v>
      </c>
      <c r="E4052" s="19" t="n">
        <v>0</v>
      </c>
      <c r="F4052" s="19" t="n">
        <v>0</v>
      </c>
      <c r="G4052" s="8" t="n">
        <f aca="false">IFERROR(INDEX('TRANS'!$B:$B,MATCH($B4052,'TRANS'!$A:$A,0)),IFERROR(INDEX('TRANS'!$B:$B,MATCH(TRIM(SUBSTITUTE($B4052,CHAR(160)," ")),'TRANS'!$D:$D,0)),IFERROR(INDEX('Catalog'!$A:$A,MATCH($B4052,'Catalog'!$B:$B,0)),IFERROR(INDEX('Catalog'!$A:$A,MATCH(TRIM(SUBSTITUTE($B4052,CHAR(160)," ")),'Catalog'!$C:$C,0)),""))))</f>
        <v>4413094</v>
      </c>
      <c r="H4052" s="8" t="str">
        <f aca="false">IFERROR(INDEX('TRANS'!$C:$C,MATCH($B4052,'TRANS'!$A:$A,0)),IFERROR(INDEX('Catalog'!$B:$B,MATCH($G4052,'Catalog'!$A:$A,0)),$B4052))</f>
        <v>45 S מגן ברך לבן</v>
      </c>
      <c r="I4052" s="8" t="str">
        <f aca="false">IF($G4052="","Unmatched","Matched")</f>
        <v>Matched</v>
      </c>
    </row>
    <row r="4053" customFormat="false" ht="15" hidden="false" customHeight="false" outlineLevel="0" collapsed="false">
      <c r="A4053" s="8" t="s">
        <v>1083</v>
      </c>
      <c r="B4053" s="8" t="s">
        <v>207</v>
      </c>
      <c r="C4053" s="19" t="n">
        <v>70</v>
      </c>
      <c r="D4053" s="19" t="n">
        <v>811.07</v>
      </c>
      <c r="E4053" s="19" t="n">
        <v>0</v>
      </c>
      <c r="F4053" s="19" t="n">
        <v>0</v>
      </c>
      <c r="G4053" s="8" t="n">
        <f aca="false">IFERROR(INDEX('TRANS'!$B:$B,MATCH($B4053,'TRANS'!$A:$A,0)),IFERROR(INDEX('TRANS'!$B:$B,MATCH(TRIM(SUBSTITUTE($B4053,CHAR(160)," ")),'TRANS'!$D:$D,0)),IFERROR(INDEX('Catalog'!$A:$A,MATCH($B4053,'Catalog'!$B:$B,0)),IFERROR(INDEX('Catalog'!$A:$A,MATCH(TRIM(SUBSTITUTE($B4053,CHAR(160)," ")),'Catalog'!$C:$C,0)),""))))</f>
        <v>4413095</v>
      </c>
      <c r="H4053" s="8" t="str">
        <f aca="false">IFERROR(INDEX('TRANS'!$C:$C,MATCH($B4053,'TRANS'!$A:$A,0)),IFERROR(INDEX('Catalog'!$B:$B,MATCH($G4053,'Catalog'!$A:$A,0)),$B4053))</f>
        <v>45 XL מגן ברך לבן</v>
      </c>
      <c r="I4053" s="8" t="str">
        <f aca="false">IF($G4053="","Unmatched","Matched")</f>
        <v>Matched</v>
      </c>
    </row>
    <row r="4054" customFormat="false" ht="15" hidden="false" customHeight="false" outlineLevel="0" collapsed="false">
      <c r="A4054" s="8" t="s">
        <v>1083</v>
      </c>
      <c r="B4054" s="8" t="s">
        <v>679</v>
      </c>
      <c r="C4054" s="19" t="n">
        <v>1</v>
      </c>
      <c r="D4054" s="19" t="n">
        <v>46.89</v>
      </c>
      <c r="E4054" s="19" t="n">
        <v>0</v>
      </c>
      <c r="F4054" s="19" t="n">
        <v>0</v>
      </c>
      <c r="G4054" s="8" t="n">
        <f aca="false">IFERROR(INDEX('TRANS'!$B:$B,MATCH($B4054,'TRANS'!$A:$A,0)),IFERROR(INDEX('TRANS'!$B:$B,MATCH(TRIM(SUBSTITUTE($B4054,CHAR(160)," ")),'TRANS'!$D:$D,0)),IFERROR(INDEX('Catalog'!$A:$A,MATCH($B4054,'Catalog'!$B:$B,0)),IFERROR(INDEX('Catalog'!$A:$A,MATCH(TRIM(SUBSTITUTE($B4054,CHAR(160)," ")),'Catalog'!$C:$C,0)),""))))</f>
        <v>4413118</v>
      </c>
      <c r="H4054" s="8" t="str">
        <f aca="false">IFERROR(INDEX('TRANS'!$C:$C,MATCH($B4054,'TRANS'!$A:$A,0)),IFERROR(INDEX('Catalog'!$B:$B,MATCH($G4054,'Catalog'!$A:$A,0)),$B4054))</f>
        <v>50 M מתלה אשכים לאחר ניתוח</v>
      </c>
      <c r="I4054" s="8" t="str">
        <f aca="false">IF($G4054="","Unmatched","Matched")</f>
        <v>Matched</v>
      </c>
    </row>
    <row r="4055" customFormat="false" ht="15" hidden="false" customHeight="false" outlineLevel="0" collapsed="false">
      <c r="A4055" s="8" t="s">
        <v>1083</v>
      </c>
      <c r="B4055" s="8" t="s">
        <v>491</v>
      </c>
      <c r="C4055" s="19" t="n">
        <v>1</v>
      </c>
      <c r="D4055" s="19" t="n">
        <v>103.15</v>
      </c>
      <c r="E4055" s="19" t="n">
        <v>0</v>
      </c>
      <c r="F4055" s="19" t="n">
        <v>0</v>
      </c>
      <c r="G4055" s="8" t="n">
        <f aca="false">IFERROR(INDEX('TRANS'!$B:$B,MATCH($B4055,'TRANS'!$A:$A,0)),IFERROR(INDEX('TRANS'!$B:$B,MATCH(TRIM(SUBSTITUTE($B4055,CHAR(160)," ")),'TRANS'!$D:$D,0)),IFERROR(INDEX('Catalog'!$A:$A,MATCH($B4055,'Catalog'!$B:$B,0)),IFERROR(INDEX('Catalog'!$A:$A,MATCH(TRIM(SUBSTITUTE($B4055,CHAR(160)," ")),'Catalog'!$C:$C,0)),""))))</f>
        <v>4408070</v>
      </c>
      <c r="H4055" s="8" t="str">
        <f aca="false">IFERROR(INDEX('TRANS'!$C:$C,MATCH($B4055,'TRANS'!$A:$A,0)),IFERROR(INDEX('Catalog'!$B:$B,MATCH($G4055,'Catalog'!$A:$A,0)),$B4055))</f>
        <v>59D S חגורת שבר דו צדדי</v>
      </c>
      <c r="I4055" s="8" t="str">
        <f aca="false">IF($G4055="","Unmatched","Matched")</f>
        <v>Matched</v>
      </c>
    </row>
    <row r="4056" customFormat="false" ht="15" hidden="false" customHeight="false" outlineLevel="0" collapsed="false">
      <c r="A4056" s="8" t="s">
        <v>1083</v>
      </c>
      <c r="B4056" s="8" t="s">
        <v>238</v>
      </c>
      <c r="C4056" s="19" t="n">
        <v>75</v>
      </c>
      <c r="D4056" s="19" t="n">
        <v>827.52</v>
      </c>
      <c r="E4056" s="19" t="n">
        <v>0</v>
      </c>
      <c r="F4056" s="19" t="n">
        <v>0</v>
      </c>
      <c r="G4056" s="8" t="n">
        <f aca="false">IFERROR(INDEX('TRANS'!$B:$B,MATCH($B4056,'TRANS'!$A:$A,0)),IFERROR(INDEX('TRANS'!$B:$B,MATCH(TRIM(SUBSTITUTE($B4056,CHAR(160)," ")),'TRANS'!$D:$D,0)),IFERROR(INDEX('Catalog'!$A:$A,MATCH($B4056,'Catalog'!$B:$B,0)),IFERROR(INDEX('Catalog'!$A:$A,MATCH(TRIM(SUBSTITUTE($B4056,CHAR(160)," ")),'Catalog'!$C:$C,0)),""))))</f>
        <v>4422000</v>
      </c>
      <c r="H4056" s="8" t="str">
        <f aca="false">IFERROR(INDEX('TRANS'!$C:$C,MATCH($B4056,'TRANS'!$A:$A,0)),IFERROR(INDEX('Catalog'!$B:$B,MATCH($G4056,'Catalog'!$A:$A,0)),$B4056))</f>
        <v>801  תחבושת אלסטית מקררת</v>
      </c>
      <c r="I4056" s="8" t="str">
        <f aca="false">IF($G4056="","Unmatched","Matched")</f>
        <v>Matched</v>
      </c>
    </row>
    <row r="4057" customFormat="false" ht="15" hidden="false" customHeight="false" outlineLevel="0" collapsed="false">
      <c r="A4057" s="8" t="s">
        <v>1083</v>
      </c>
      <c r="B4057" s="8" t="s">
        <v>260</v>
      </c>
      <c r="C4057" s="19" t="n">
        <v>5</v>
      </c>
      <c r="D4057" s="19" t="n">
        <v>57.95</v>
      </c>
      <c r="E4057" s="19" t="n">
        <v>0</v>
      </c>
      <c r="F4057" s="19" t="n">
        <v>0</v>
      </c>
      <c r="G4057" s="8" t="n">
        <f aca="false">IFERROR(INDEX('TRANS'!$B:$B,MATCH($B4057,'TRANS'!$A:$A,0)),IFERROR(INDEX('TRANS'!$B:$B,MATCH(TRIM(SUBSTITUTE($B4057,CHAR(160)," ")),'TRANS'!$D:$D,0)),IFERROR(INDEX('Catalog'!$A:$A,MATCH($B4057,'Catalog'!$B:$B,0)),IFERROR(INDEX('Catalog'!$A:$A,MATCH(TRIM(SUBSTITUTE($B4057,CHAR(160)," ")),'Catalog'!$C:$C,0)),""))))</f>
        <v>4413140</v>
      </c>
      <c r="H4057" s="8" t="str">
        <f aca="false">IFERROR(INDEX('TRANS'!$C:$C,MATCH($B4057,'TRANS'!$A:$A,0)),IFERROR(INDEX('Catalog'!$B:$B,MATCH($G4057,'Catalog'!$A:$A,0)),$B4057))</f>
        <v>95 M מגן מרפק רגיל לבן</v>
      </c>
      <c r="I4057" s="8" t="str">
        <f aca="false">IF($G4057="","Unmatched","Matched")</f>
        <v>Matched</v>
      </c>
    </row>
    <row r="4058" customFormat="false" ht="15" hidden="false" customHeight="false" outlineLevel="0" collapsed="false">
      <c r="A4058" s="8" t="s">
        <v>1083</v>
      </c>
      <c r="B4058" s="8" t="s">
        <v>429</v>
      </c>
      <c r="C4058" s="19" t="n">
        <v>9</v>
      </c>
      <c r="D4058" s="19" t="n">
        <v>104.56</v>
      </c>
      <c r="E4058" s="19" t="n">
        <v>0</v>
      </c>
      <c r="F4058" s="19" t="n">
        <v>0</v>
      </c>
      <c r="G4058" s="8" t="n">
        <f aca="false">IFERROR(INDEX('TRANS'!$B:$B,MATCH($B4058,'TRANS'!$A:$A,0)),IFERROR(INDEX('TRANS'!$B:$B,MATCH(TRIM(SUBSTITUTE($B4058,CHAR(160)," ")),'TRANS'!$D:$D,0)),IFERROR(INDEX('Catalog'!$A:$A,MATCH($B4058,'Catalog'!$B:$B,0)),IFERROR(INDEX('Catalog'!$A:$A,MATCH(TRIM(SUBSTITUTE($B4058,CHAR(160)," ")),'Catalog'!$C:$C,0)),""))))</f>
        <v>4413142</v>
      </c>
      <c r="H4058" s="8" t="str">
        <f aca="false">IFERROR(INDEX('TRANS'!$C:$C,MATCH($B4058,'TRANS'!$A:$A,0)),IFERROR(INDEX('Catalog'!$B:$B,MATCH($G4058,'Catalog'!$A:$A,0)),$B4058))</f>
        <v>95 XL מגן מרפק רגיל לבן</v>
      </c>
      <c r="I4058" s="8" t="str">
        <f aca="false">IF($G4058="","Unmatched","Matched")</f>
        <v>Matched</v>
      </c>
    </row>
    <row r="4059" customFormat="false" ht="15" hidden="false" customHeight="false" outlineLevel="0" collapsed="false">
      <c r="A4059" s="8" t="s">
        <v>1083</v>
      </c>
      <c r="B4059" s="8" t="s">
        <v>56</v>
      </c>
      <c r="C4059" s="19" t="n">
        <v>420</v>
      </c>
      <c r="D4059" s="19" t="n">
        <v>20287.23</v>
      </c>
      <c r="E4059" s="19" t="n">
        <v>0</v>
      </c>
      <c r="F4059" s="19" t="n">
        <v>0</v>
      </c>
      <c r="G4059" s="8" t="n">
        <f aca="false">IFERROR(INDEX('TRANS'!$B:$B,MATCH($B4059,'TRANS'!$A:$A,0)),IFERROR(INDEX('TRANS'!$B:$B,MATCH(TRIM(SUBSTITUTE($B4059,CHAR(160)," ")),'TRANS'!$D:$D,0)),IFERROR(INDEX('Catalog'!$A:$A,MATCH($B4059,'Catalog'!$B:$B,0)),IFERROR(INDEX('Catalog'!$A:$A,MATCH(TRIM(SUBSTITUTE($B4059,CHAR(160)," ")),'Catalog'!$C:$C,0)),""))))</f>
        <v>4413328</v>
      </c>
      <c r="H4059" s="8" t="str">
        <f aca="false">IFERROR(INDEX('TRANS'!$C:$C,MATCH($B4059,'TRANS'!$A:$A,0)),IFERROR(INDEX('Catalog'!$B:$B,MATCH($G4059,'Catalog'!$A:$A,0)),$B4059))</f>
        <v>AC43D מגן ברך + צירים</v>
      </c>
      <c r="I4059" s="8" t="str">
        <f aca="false">IF($G4059="","Unmatched","Matched")</f>
        <v>Matched</v>
      </c>
    </row>
    <row r="4060" customFormat="false" ht="15" hidden="false" customHeight="false" outlineLevel="0" collapsed="false">
      <c r="A4060" s="8" t="s">
        <v>1083</v>
      </c>
      <c r="B4060" s="8" t="s">
        <v>275</v>
      </c>
      <c r="C4060" s="19" t="n">
        <v>340</v>
      </c>
      <c r="D4060" s="19" t="n">
        <v>12753.93</v>
      </c>
      <c r="E4060" s="19" t="n">
        <v>0</v>
      </c>
      <c r="F4060" s="19" t="n">
        <v>0</v>
      </c>
      <c r="G4060" s="8" t="n">
        <f aca="false">IFERROR(INDEX('TRANS'!$B:$B,MATCH($B4060,'TRANS'!$A:$A,0)),IFERROR(INDEX('TRANS'!$B:$B,MATCH(TRIM(SUBSTITUTE($B4060,CHAR(160)," ")),'TRANS'!$D:$D,0)),IFERROR(INDEX('Catalog'!$A:$A,MATCH($B4060,'Catalog'!$B:$B,0)),IFERROR(INDEX('Catalog'!$A:$A,MATCH(TRIM(SUBSTITUTE($B4060,CHAR(160)," ")),'Catalog'!$C:$C,0)),""))))</f>
        <v>4413329</v>
      </c>
      <c r="H4060" s="8" t="str">
        <f aca="false">IFERROR(INDEX('TRANS'!$C:$C,MATCH($B4060,'TRANS'!$A:$A,0)),IFERROR(INDEX('Catalog'!$B:$B,MATCH($G4060,'Catalog'!$A:$A,0)),$B4060))</f>
        <v>AC45X מגן ברך עם תמיכות</v>
      </c>
      <c r="I4060" s="8" t="str">
        <f aca="false">IF($G4060="","Unmatched","Matched")</f>
        <v>Matched</v>
      </c>
    </row>
    <row r="4061" customFormat="false" ht="15" hidden="false" customHeight="false" outlineLevel="0" collapsed="false">
      <c r="A4061" s="8" t="s">
        <v>1083</v>
      </c>
      <c r="B4061" s="8" t="s">
        <v>529</v>
      </c>
      <c r="C4061" s="19" t="n">
        <v>11</v>
      </c>
      <c r="D4061" s="19" t="n">
        <v>308.86</v>
      </c>
      <c r="E4061" s="19" t="n">
        <v>0</v>
      </c>
      <c r="F4061" s="19" t="n">
        <v>0</v>
      </c>
      <c r="G4061" s="8" t="n">
        <f aca="false">IFERROR(INDEX('TRANS'!$B:$B,MATCH($B4061,'TRANS'!$A:$A,0)),IFERROR(INDEX('TRANS'!$B:$B,MATCH(TRIM(SUBSTITUTE($B4061,CHAR(160)," ")),'TRANS'!$D:$D,0)),IFERROR(INDEX('Catalog'!$A:$A,MATCH($B4061,'Catalog'!$B:$B,0)),IFERROR(INDEX('Catalog'!$A:$A,MATCH(TRIM(SUBSTITUTE($B4061,CHAR(160)," ")),'Catalog'!$C:$C,0)),""))))</f>
        <v>4408270</v>
      </c>
      <c r="H4061" s="8" t="str">
        <f aca="false">IFERROR(INDEX('TRANS'!$C:$C,MATCH($B4061,'TRANS'!$A:$A,0)),IFERROR(INDEX('Catalog'!$B:$B,MATCH($G4061,'Catalog'!$A:$A,0)),$B4061))</f>
        <v>ST11  חגורת בטן</v>
      </c>
      <c r="I4061" s="8" t="str">
        <f aca="false">IF($G4061="","Unmatched","Matched")</f>
        <v>Matched</v>
      </c>
    </row>
    <row r="4062" customFormat="false" ht="15" hidden="false" customHeight="false" outlineLevel="0" collapsed="false">
      <c r="A4062" s="8" t="s">
        <v>1083</v>
      </c>
      <c r="B4062" s="8" t="s">
        <v>531</v>
      </c>
      <c r="C4062" s="19" t="n">
        <v>315</v>
      </c>
      <c r="D4062" s="19" t="n">
        <v>4650.86</v>
      </c>
      <c r="E4062" s="19" t="n">
        <v>300</v>
      </c>
      <c r="F4062" s="19" t="n">
        <v>3902.06</v>
      </c>
      <c r="G4062" s="8" t="n">
        <f aca="false">IFERROR(INDEX('TRANS'!$B:$B,MATCH($B4062,'TRANS'!$A:$A,0)),IFERROR(INDEX('TRANS'!$B:$B,MATCH(TRIM(SUBSTITUTE($B4062,CHAR(160)," ")),'TRANS'!$D:$D,0)),IFERROR(INDEX('Catalog'!$A:$A,MATCH($B4062,'Catalog'!$B:$B,0)),IFERROR(INDEX('Catalog'!$A:$A,MATCH(TRIM(SUBSTITUTE($B4062,CHAR(160)," ")),'Catalog'!$C:$C,0)),""))))</f>
        <v>4408267</v>
      </c>
      <c r="H4062" s="8" t="str">
        <f aca="false">IFERROR(INDEX('TRANS'!$C:$C,MATCH($B4062,'TRANS'!$A:$A,0)),IFERROR(INDEX('Catalog'!$B:$B,MATCH($G4062,'Catalog'!$A:$A,0)),$B4062))</f>
        <v>ST25 חבק שורש לכף היד</v>
      </c>
      <c r="I4062" s="8" t="str">
        <f aca="false">IF($G4062="","Unmatched","Matched")</f>
        <v>Matched</v>
      </c>
    </row>
    <row r="4063" customFormat="false" ht="15" hidden="false" customHeight="false" outlineLevel="0" collapsed="false">
      <c r="A4063" s="8" t="s">
        <v>1083</v>
      </c>
      <c r="B4063" s="8" t="s">
        <v>532</v>
      </c>
      <c r="C4063" s="19" t="n">
        <v>120</v>
      </c>
      <c r="D4063" s="19" t="n">
        <v>2242.4</v>
      </c>
      <c r="E4063" s="19" t="n">
        <v>60</v>
      </c>
      <c r="F4063" s="19" t="n">
        <v>988.52</v>
      </c>
      <c r="G4063" s="8" t="str">
        <f aca="false">IFERROR(INDEX('TRANS'!$B:$B,MATCH($B4063,'TRANS'!$A:$A,0)),IFERROR(INDEX('TRANS'!$B:$B,MATCH(TRIM(SUBSTITUTE($B4063,CHAR(160)," ")),'TRANS'!$D:$D,0)),IFERROR(INDEX('Catalog'!$A:$A,MATCH($B4063,'Catalog'!$B:$B,0)),IFERROR(INDEX('Catalog'!$A:$A,MATCH(TRIM(SUBSTITUTE($B4063,CHAR(160)," ")),'Catalog'!$C:$C,0)),""))))</f>
        <v/>
      </c>
      <c r="H4063" s="8" t="str">
        <f aca="false">IFERROR(INDEX('TRANS'!$C:$C,MATCH($B4063,'TRANS'!$A:$A,0)),IFERROR(INDEX('Catalog'!$B:$B,MATCH($G4063,'Catalog'!$A:$A,0)),$B4063))</f>
        <v>ST27L 0</v>
      </c>
      <c r="I4063" s="8" t="str">
        <f aca="false">IF($G4063="","Unmatched","Matched")</f>
        <v>Unmatched</v>
      </c>
    </row>
    <row r="4064" customFormat="false" ht="15" hidden="false" customHeight="false" outlineLevel="0" collapsed="false">
      <c r="A4064" s="8" t="s">
        <v>1083</v>
      </c>
      <c r="B4064" s="8" t="s">
        <v>533</v>
      </c>
      <c r="C4064" s="19" t="n">
        <v>155</v>
      </c>
      <c r="D4064" s="19" t="n">
        <v>2893</v>
      </c>
      <c r="E4064" s="19" t="n">
        <v>55</v>
      </c>
      <c r="F4064" s="19" t="n">
        <v>906.15</v>
      </c>
      <c r="G4064" s="8" t="str">
        <f aca="false">IFERROR(INDEX('TRANS'!$B:$B,MATCH($B4064,'TRANS'!$A:$A,0)),IFERROR(INDEX('TRANS'!$B:$B,MATCH(TRIM(SUBSTITUTE($B4064,CHAR(160)," ")),'TRANS'!$D:$D,0)),IFERROR(INDEX('Catalog'!$A:$A,MATCH($B4064,'Catalog'!$B:$B,0)),IFERROR(INDEX('Catalog'!$A:$A,MATCH(TRIM(SUBSTITUTE($B4064,CHAR(160)," ")),'Catalog'!$C:$C,0)),""))))</f>
        <v/>
      </c>
      <c r="H4064" s="8" t="str">
        <f aca="false">IFERROR(INDEX('TRANS'!$C:$C,MATCH($B4064,'TRANS'!$A:$A,0)),IFERROR(INDEX('Catalog'!$B:$B,MATCH($G4064,'Catalog'!$A:$A,0)),$B4064))</f>
        <v>ST27R 0</v>
      </c>
      <c r="I4064" s="8" t="str">
        <f aca="false">IF($G4064="","Unmatched","Matched")</f>
        <v>Unmatched</v>
      </c>
    </row>
    <row r="4065" customFormat="false" ht="15" hidden="false" customHeight="false" outlineLevel="0" collapsed="false">
      <c r="A4065" s="8" t="s">
        <v>1083</v>
      </c>
      <c r="B4065" s="8" t="s">
        <v>534</v>
      </c>
      <c r="C4065" s="19" t="n">
        <v>85</v>
      </c>
      <c r="D4065" s="19" t="n">
        <v>1492.33</v>
      </c>
      <c r="E4065" s="19" t="n">
        <v>110</v>
      </c>
      <c r="F4065" s="19" t="n">
        <v>1697.83</v>
      </c>
      <c r="G4065" s="8" t="n">
        <f aca="false">IFERROR(INDEX('TRANS'!$B:$B,MATCH($B4065,'TRANS'!$A:$A,0)),IFERROR(INDEX('TRANS'!$B:$B,MATCH(TRIM(SUBSTITUTE($B4065,CHAR(160)," ")),'TRANS'!$D:$D,0)),IFERROR(INDEX('Catalog'!$A:$A,MATCH($B4065,'Catalog'!$B:$B,0)),IFERROR(INDEX('Catalog'!$A:$A,MATCH(TRIM(SUBSTITUTE($B4065,CHAR(160)," ")),'Catalog'!$C:$C,0)),""))))</f>
        <v>4415177</v>
      </c>
      <c r="H4065" s="8" t="str">
        <f aca="false">IFERROR(INDEX('TRANS'!$C:$C,MATCH($B4065,'TRANS'!$A:$A,0)),IFERROR(INDEX('Catalog'!$B:$B,MATCH($G4065,'Catalog'!$A:$A,0)),$B4065))</f>
        <v>ST28 סד אגודלי עם מוט תמיכה</v>
      </c>
      <c r="I4065" s="8" t="str">
        <f aca="false">IF($G4065="","Unmatched","Matched")</f>
        <v>Matched</v>
      </c>
    </row>
    <row r="4066" customFormat="false" ht="15" hidden="false" customHeight="false" outlineLevel="0" collapsed="false">
      <c r="A4066" s="8" t="s">
        <v>1083</v>
      </c>
      <c r="B4066" s="8" t="s">
        <v>535</v>
      </c>
      <c r="C4066" s="19" t="n">
        <v>220</v>
      </c>
      <c r="D4066" s="19" t="n">
        <v>3805.52</v>
      </c>
      <c r="E4066" s="19" t="n">
        <v>70</v>
      </c>
      <c r="F4066" s="19" t="n">
        <v>1068.3</v>
      </c>
      <c r="G4066" s="8" t="n">
        <f aca="false">IFERROR(INDEX('TRANS'!$B:$B,MATCH($B4066,'TRANS'!$A:$A,0)),IFERROR(INDEX('TRANS'!$B:$B,MATCH(TRIM(SUBSTITUTE($B4066,CHAR(160)," ")),'TRANS'!$D:$D,0)),IFERROR(INDEX('Catalog'!$A:$A,MATCH($B4066,'Catalog'!$B:$B,0)),IFERROR(INDEX('Catalog'!$A:$A,MATCH(TRIM(SUBSTITUTE($B4066,CHAR(160)," ")),'Catalog'!$C:$C,0)),""))))</f>
        <v>4408269</v>
      </c>
      <c r="H4066" s="8" t="str">
        <f aca="false">IFERROR(INDEX('TRANS'!$C:$C,MATCH($B4066,'TRANS'!$A:$A,0)),IFERROR(INDEX('Catalog'!$B:$B,MATCH($G4066,'Catalog'!$A:$A,0)),$B4066))</f>
        <v>ST37 חבק לקרסול</v>
      </c>
      <c r="I4066" s="8" t="str">
        <f aca="false">IF($G4066="","Unmatched","Matched")</f>
        <v>Matched</v>
      </c>
    </row>
    <row r="4067" customFormat="false" ht="15" hidden="false" customHeight="false" outlineLevel="0" collapsed="false">
      <c r="A4067" s="8" t="s">
        <v>1083</v>
      </c>
      <c r="B4067" s="8" t="s">
        <v>569</v>
      </c>
      <c r="C4067" s="19" t="n">
        <v>470</v>
      </c>
      <c r="D4067" s="19" t="n">
        <v>9072.09</v>
      </c>
      <c r="E4067" s="19" t="n">
        <v>50</v>
      </c>
      <c r="F4067" s="19" t="n">
        <v>849.78</v>
      </c>
      <c r="G4067" s="8" t="str">
        <f aca="false">IFERROR(INDEX('TRANS'!$B:$B,MATCH($B4067,'TRANS'!$A:$A,0)),IFERROR(INDEX('TRANS'!$B:$B,MATCH(TRIM(SUBSTITUTE($B4067,CHAR(160)," ")),'TRANS'!$D:$D,0)),IFERROR(INDEX('Catalog'!$A:$A,MATCH($B4067,'Catalog'!$B:$B,0)),IFERROR(INDEX('Catalog'!$A:$A,MATCH(TRIM(SUBSTITUTE($B4067,CHAR(160)," ")),'Catalog'!$C:$C,0)),""))))</f>
        <v/>
      </c>
      <c r="H4067" s="8" t="str">
        <f aca="false">IFERROR(INDEX('TRANS'!$C:$C,MATCH($B4067,'TRANS'!$A:$A,0)),IFERROR(INDEX('Catalog'!$B:$B,MATCH($G4067,'Catalog'!$A:$A,0)),$B4067))</f>
        <v>ST45X 0</v>
      </c>
      <c r="I4067" s="8" t="str">
        <f aca="false">IF($G4067="","Unmatched","Matched")</f>
        <v>Unmatched</v>
      </c>
    </row>
    <row r="4068" customFormat="false" ht="15" hidden="false" customHeight="false" outlineLevel="0" collapsed="false">
      <c r="A4068" s="8" t="s">
        <v>1083</v>
      </c>
      <c r="B4068" s="8" t="s">
        <v>539</v>
      </c>
      <c r="C4068" s="19" t="n">
        <v>0</v>
      </c>
      <c r="D4068" s="19" t="n">
        <v>0</v>
      </c>
      <c r="E4068" s="19" t="n">
        <v>5</v>
      </c>
      <c r="F4068" s="19" t="n">
        <v>86.54</v>
      </c>
      <c r="G4068" s="8" t="n">
        <f aca="false">IFERROR(INDEX('TRANS'!$B:$B,MATCH($B4068,'TRANS'!$A:$A,0)),IFERROR(INDEX('TRANS'!$B:$B,MATCH(TRIM(SUBSTITUTE($B4068,CHAR(160)," ")),'TRANS'!$D:$D,0)),IFERROR(INDEX('Catalog'!$A:$A,MATCH($B4068,'Catalog'!$B:$B,0)),IFERROR(INDEX('Catalog'!$A:$A,MATCH(TRIM(SUBSTITUTE($B4068,CHAR(160)," ")),'Catalog'!$C:$C,0)),""))))</f>
        <v>4413533</v>
      </c>
      <c r="H4068" s="8" t="str">
        <f aca="false">IFERROR(INDEX('TRANS'!$C:$C,MATCH($B4068,'TRANS'!$A:$A,0)),IFERROR(INDEX('Catalog'!$B:$B,MATCH($G4068,'Catalog'!$A:$A,0)),$B4068))</f>
        <v>ST49 מגן ירך</v>
      </c>
      <c r="I4068" s="8" t="str">
        <f aca="false">IF($G4068="","Unmatched","Matched")</f>
        <v>Matched</v>
      </c>
    </row>
    <row r="4069" customFormat="false" ht="15" hidden="false" customHeight="false" outlineLevel="0" collapsed="false">
      <c r="A4069" s="8" t="s">
        <v>1083</v>
      </c>
      <c r="B4069" s="8" t="s">
        <v>1055</v>
      </c>
      <c r="C4069" s="19" t="n">
        <v>30</v>
      </c>
      <c r="D4069" s="19" t="n">
        <v>626.55</v>
      </c>
      <c r="E4069" s="19" t="n">
        <v>15</v>
      </c>
      <c r="F4069" s="19" t="n">
        <v>275.75</v>
      </c>
      <c r="G4069" s="8" t="str">
        <f aca="false">IFERROR(INDEX('TRANS'!$B:$B,MATCH($B4069,'TRANS'!$A:$A,0)),IFERROR(INDEX('TRANS'!$B:$B,MATCH(TRIM(SUBSTITUTE($B4069,CHAR(160)," ")),'TRANS'!$D:$D,0)),IFERROR(INDEX('Catalog'!$A:$A,MATCH($B4069,'Catalog'!$B:$B,0)),IFERROR(INDEX('Catalog'!$A:$A,MATCH(TRIM(SUBSTITUTE($B4069,CHAR(160)," ")),'Catalog'!$C:$C,0)),""))))</f>
        <v/>
      </c>
      <c r="H4069" s="8" t="str">
        <f aca="false">IFERROR(INDEX('TRANS'!$C:$C,MATCH($B4069,'TRANS'!$A:$A,0)),IFERROR(INDEX('Catalog'!$B:$B,MATCH($G4069,'Catalog'!$A:$A,0)),$B4069))</f>
        <v>ST95 0</v>
      </c>
      <c r="I4069" s="8" t="str">
        <f aca="false">IF($G4069="","Unmatched","Matched")</f>
        <v>Unmatched</v>
      </c>
    </row>
    <row r="4070" customFormat="false" ht="15" hidden="false" customHeight="false" outlineLevel="0" collapsed="false">
      <c r="A4070" s="8" t="s">
        <v>1083</v>
      </c>
      <c r="B4070" s="8" t="s">
        <v>673</v>
      </c>
      <c r="C4070" s="19" t="n">
        <v>55</v>
      </c>
      <c r="D4070" s="19" t="n">
        <v>2642.49</v>
      </c>
      <c r="E4070" s="19" t="n">
        <v>0</v>
      </c>
      <c r="F4070" s="19" t="n">
        <v>0</v>
      </c>
      <c r="G4070" s="8" t="n">
        <f aca="false">IFERROR(INDEX('TRANS'!$B:$B,MATCH($B4070,'TRANS'!$A:$A,0)),IFERROR(INDEX('TRANS'!$B:$B,MATCH(TRIM(SUBSTITUTE($B4070,CHAR(160)," ")),'TRANS'!$D:$D,0)),IFERROR(INDEX('Catalog'!$A:$A,MATCH($B4070,'Catalog'!$B:$B,0)),IFERROR(INDEX('Catalog'!$A:$A,MATCH(TRIM(SUBSTITUTE($B4070,CHAR(160)," ")),'Catalog'!$C:$C,0)),""))))</f>
        <v>4413184</v>
      </c>
      <c r="H4070" s="8" t="str">
        <f aca="false">IFERROR(INDEX('TRANS'!$C:$C,MATCH($B4070,'TRANS'!$A:$A,0)),IFERROR(INDEX('Catalog'!$B:$B,MATCH($G4070,'Catalog'!$A:$A,0)),$B4070))</f>
        <v>T 45 L מגן ברך רגיל</v>
      </c>
      <c r="I4070" s="8" t="str">
        <f aca="false">IF($G4070="","Unmatched","Matched")</f>
        <v>Matched</v>
      </c>
    </row>
    <row r="4071" customFormat="false" ht="15" hidden="false" customHeight="false" outlineLevel="0" collapsed="false">
      <c r="A4071" s="8" t="s">
        <v>1083</v>
      </c>
      <c r="B4071" s="8" t="s">
        <v>329</v>
      </c>
      <c r="C4071" s="19" t="n">
        <v>50</v>
      </c>
      <c r="D4071" s="19" t="n">
        <v>2404.15</v>
      </c>
      <c r="E4071" s="19" t="n">
        <v>0</v>
      </c>
      <c r="F4071" s="19" t="n">
        <v>0</v>
      </c>
      <c r="G4071" s="8" t="n">
        <f aca="false">IFERROR(INDEX('TRANS'!$B:$B,MATCH($B4071,'TRANS'!$A:$A,0)),IFERROR(INDEX('TRANS'!$B:$B,MATCH(TRIM(SUBSTITUTE($B4071,CHAR(160)," ")),'TRANS'!$D:$D,0)),IFERROR(INDEX('Catalog'!$A:$A,MATCH($B4071,'Catalog'!$B:$B,0)),IFERROR(INDEX('Catalog'!$A:$A,MATCH(TRIM(SUBSTITUTE($B4071,CHAR(160)," ")),'Catalog'!$C:$C,0)),""))))</f>
        <v>4413183</v>
      </c>
      <c r="H4071" s="8" t="str">
        <f aca="false">IFERROR(INDEX('TRANS'!$C:$C,MATCH($B4071,'TRANS'!$A:$A,0)),IFERROR(INDEX('Catalog'!$B:$B,MATCH($G4071,'Catalog'!$A:$A,0)),$B4071))</f>
        <v>T 45 M מגן ברך רגיל</v>
      </c>
      <c r="I4071" s="8" t="str">
        <f aca="false">IF($G4071="","Unmatched","Matched")</f>
        <v>Matched</v>
      </c>
    </row>
    <row r="4072" customFormat="false" ht="15" hidden="false" customHeight="false" outlineLevel="0" collapsed="false">
      <c r="A4072" s="8" t="s">
        <v>1083</v>
      </c>
      <c r="B4072" s="8" t="s">
        <v>1085</v>
      </c>
      <c r="C4072" s="19" t="n">
        <v>20</v>
      </c>
      <c r="D4072" s="19" t="n">
        <v>960.28</v>
      </c>
      <c r="E4072" s="19" t="n">
        <v>0</v>
      </c>
      <c r="F4072" s="19" t="n">
        <v>0</v>
      </c>
      <c r="G4072" s="8" t="n">
        <f aca="false">IFERROR(INDEX('TRANS'!$B:$B,MATCH($B4072,'TRANS'!$A:$A,0)),IFERROR(INDEX('TRANS'!$B:$B,MATCH(TRIM(SUBSTITUTE($B4072,CHAR(160)," ")),'TRANS'!$D:$D,0)),IFERROR(INDEX('Catalog'!$A:$A,MATCH($B4072,'Catalog'!$B:$B,0)),IFERROR(INDEX('Catalog'!$A:$A,MATCH(TRIM(SUBSTITUTE($B4072,CHAR(160)," ")),'Catalog'!$C:$C,0)),""))))</f>
        <v>4413182</v>
      </c>
      <c r="H4072" s="8" t="str">
        <f aca="false">IFERROR(INDEX('TRANS'!$C:$C,MATCH($B4072,'TRANS'!$A:$A,0)),IFERROR(INDEX('Catalog'!$B:$B,MATCH($G4072,'Catalog'!$A:$A,0)),$B4072))</f>
        <v>T45 S מגן ברך רגיל</v>
      </c>
      <c r="I4072" s="8" t="str">
        <f aca="false">IF($G4072="","Unmatched","Matched")</f>
        <v>Matched</v>
      </c>
    </row>
    <row r="4073" customFormat="false" ht="15" hidden="false" customHeight="false" outlineLevel="0" collapsed="false">
      <c r="A4073" s="8" t="s">
        <v>1083</v>
      </c>
      <c r="B4073" s="8" t="s">
        <v>674</v>
      </c>
      <c r="C4073" s="19" t="n">
        <v>30</v>
      </c>
      <c r="D4073" s="19" t="n">
        <v>1436.96</v>
      </c>
      <c r="E4073" s="19" t="n">
        <v>0</v>
      </c>
      <c r="F4073" s="19" t="n">
        <v>0</v>
      </c>
      <c r="G4073" s="8" t="n">
        <f aca="false">IFERROR(INDEX('TRANS'!$B:$B,MATCH($B4073,'TRANS'!$A:$A,0)),IFERROR(INDEX('TRANS'!$B:$B,MATCH(TRIM(SUBSTITUTE($B4073,CHAR(160)," ")),'TRANS'!$D:$D,0)),IFERROR(INDEX('Catalog'!$A:$A,MATCH($B4073,'Catalog'!$B:$B,0)),IFERROR(INDEX('Catalog'!$A:$A,MATCH(TRIM(SUBSTITUTE($B4073,CHAR(160)," ")),'Catalog'!$C:$C,0)),""))))</f>
        <v>4413185</v>
      </c>
      <c r="H4073" s="8" t="str">
        <f aca="false">IFERROR(INDEX('TRANS'!$C:$C,MATCH($B4073,'TRANS'!$A:$A,0)),IFERROR(INDEX('Catalog'!$B:$B,MATCH($G4073,'Catalog'!$A:$A,0)),$B4073))</f>
        <v>T 45XL מגן ברך רגיל</v>
      </c>
      <c r="I4073" s="8" t="str">
        <f aca="false">IF($G4073="","Unmatched","Matched")</f>
        <v>Matched</v>
      </c>
    </row>
    <row r="4074" customFormat="false" ht="15" hidden="false" customHeight="false" outlineLevel="0" collapsed="false">
      <c r="A4074" s="8" t="s">
        <v>1083</v>
      </c>
      <c r="B4074" s="8" t="s">
        <v>1086</v>
      </c>
      <c r="C4074" s="19" t="n">
        <v>60</v>
      </c>
      <c r="D4074" s="19" t="n">
        <v>2875.95</v>
      </c>
      <c r="E4074" s="19" t="n">
        <v>0</v>
      </c>
      <c r="F4074" s="19" t="n">
        <v>0</v>
      </c>
      <c r="G4074" s="8" t="str">
        <f aca="false">IFERROR(INDEX('TRANS'!$B:$B,MATCH($B4074,'TRANS'!$A:$A,0)),IFERROR(INDEX('TRANS'!$B:$B,MATCH(TRIM(SUBSTITUTE($B4074,CHAR(160)," ")),'TRANS'!$D:$D,0)),IFERROR(INDEX('Catalog'!$A:$A,MATCH($B4074,'Catalog'!$B:$B,0)),IFERROR(INDEX('Catalog'!$A:$A,MATCH(TRIM(SUBSTITUTE($B4074,CHAR(160)," ")),'Catalog'!$C:$C,0)),""))))</f>
        <v/>
      </c>
      <c r="H4074" s="8" t="str">
        <f aca="false">IFERROR(INDEX('TRANS'!$C:$C,MATCH($B4074,'TRANS'!$A:$A,0)),IFERROR(INDEX('Catalog'!$B:$B,MATCH($G4074,'Catalog'!$A:$A,0)),$B4074))</f>
        <v>T45C L</v>
      </c>
      <c r="I4074" s="8" t="str">
        <f aca="false">IF($G4074="","Unmatched","Matched")</f>
        <v>Unmatched</v>
      </c>
    </row>
    <row r="4075" customFormat="false" ht="15" hidden="false" customHeight="false" outlineLevel="0" collapsed="false">
      <c r="A4075" s="8" t="s">
        <v>1083</v>
      </c>
      <c r="B4075" s="8" t="s">
        <v>1087</v>
      </c>
      <c r="C4075" s="19" t="n">
        <v>60</v>
      </c>
      <c r="D4075" s="19" t="n">
        <v>2875.95</v>
      </c>
      <c r="E4075" s="19" t="n">
        <v>0</v>
      </c>
      <c r="F4075" s="19" t="n">
        <v>0</v>
      </c>
      <c r="G4075" s="8" t="str">
        <f aca="false">IFERROR(INDEX('TRANS'!$B:$B,MATCH($B4075,'TRANS'!$A:$A,0)),IFERROR(INDEX('TRANS'!$B:$B,MATCH(TRIM(SUBSTITUTE($B4075,CHAR(160)," ")),'TRANS'!$D:$D,0)),IFERROR(INDEX('Catalog'!$A:$A,MATCH($B4075,'Catalog'!$B:$B,0)),IFERROR(INDEX('Catalog'!$A:$A,MATCH(TRIM(SUBSTITUTE($B4075,CHAR(160)," ")),'Catalog'!$C:$C,0)),""))))</f>
        <v/>
      </c>
      <c r="H4075" s="8" t="str">
        <f aca="false">IFERROR(INDEX('TRANS'!$C:$C,MATCH($B4075,'TRANS'!$A:$A,0)),IFERROR(INDEX('Catalog'!$B:$B,MATCH($G4075,'Catalog'!$A:$A,0)),$B4075))</f>
        <v>T45C M</v>
      </c>
      <c r="I4075" s="8" t="str">
        <f aca="false">IF($G4075="","Unmatched","Matched")</f>
        <v>Unmatched</v>
      </c>
    </row>
    <row r="4076" customFormat="false" ht="15" hidden="false" customHeight="false" outlineLevel="0" collapsed="false">
      <c r="A4076" s="8" t="s">
        <v>1083</v>
      </c>
      <c r="B4076" s="8" t="s">
        <v>1088</v>
      </c>
      <c r="C4076" s="19" t="n">
        <v>35</v>
      </c>
      <c r="D4076" s="19" t="n">
        <v>1677.64</v>
      </c>
      <c r="E4076" s="19" t="n">
        <v>0</v>
      </c>
      <c r="F4076" s="19" t="n">
        <v>0</v>
      </c>
      <c r="G4076" s="8" t="str">
        <f aca="false">IFERROR(INDEX('TRANS'!$B:$B,MATCH($B4076,'TRANS'!$A:$A,0)),IFERROR(INDEX('TRANS'!$B:$B,MATCH(TRIM(SUBSTITUTE($B4076,CHAR(160)," ")),'TRANS'!$D:$D,0)),IFERROR(INDEX('Catalog'!$A:$A,MATCH($B4076,'Catalog'!$B:$B,0)),IFERROR(INDEX('Catalog'!$A:$A,MATCH(TRIM(SUBSTITUTE($B4076,CHAR(160)," ")),'Catalog'!$C:$C,0)),""))))</f>
        <v/>
      </c>
      <c r="H4076" s="8" t="str">
        <f aca="false">IFERROR(INDEX('TRANS'!$C:$C,MATCH($B4076,'TRANS'!$A:$A,0)),IFERROR(INDEX('Catalog'!$B:$B,MATCH($G4076,'Catalog'!$A:$A,0)),$B4076))</f>
        <v>T45C S</v>
      </c>
      <c r="I4076" s="8" t="str">
        <f aca="false">IF($G4076="","Unmatched","Matched")</f>
        <v>Unmatched</v>
      </c>
    </row>
    <row r="4077" customFormat="false" ht="15" hidden="false" customHeight="false" outlineLevel="0" collapsed="false">
      <c r="A4077" s="8" t="s">
        <v>1083</v>
      </c>
      <c r="B4077" s="8" t="s">
        <v>1089</v>
      </c>
      <c r="C4077" s="19" t="n">
        <v>45</v>
      </c>
      <c r="D4077" s="19" t="n">
        <v>2156.97</v>
      </c>
      <c r="E4077" s="19" t="n">
        <v>0</v>
      </c>
      <c r="F4077" s="19" t="n">
        <v>0</v>
      </c>
      <c r="G4077" s="8" t="str">
        <f aca="false">IFERROR(INDEX('TRANS'!$B:$B,MATCH($B4077,'TRANS'!$A:$A,0)),IFERROR(INDEX('TRANS'!$B:$B,MATCH(TRIM(SUBSTITUTE($B4077,CHAR(160)," ")),'TRANS'!$D:$D,0)),IFERROR(INDEX('Catalog'!$A:$A,MATCH($B4077,'Catalog'!$B:$B,0)),IFERROR(INDEX('Catalog'!$A:$A,MATCH(TRIM(SUBSTITUTE($B4077,CHAR(160)," ")),'Catalog'!$C:$C,0)),""))))</f>
        <v/>
      </c>
      <c r="H4077" s="8" t="str">
        <f aca="false">IFERROR(INDEX('TRANS'!$C:$C,MATCH($B4077,'TRANS'!$A:$A,0)),IFERROR(INDEX('Catalog'!$B:$B,MATCH($G4077,'Catalog'!$A:$A,0)),$B4077))</f>
        <v>T45C XL</v>
      </c>
      <c r="I4077" s="8" t="str">
        <f aca="false">IF($G4077="","Unmatched","Matched")</f>
        <v>Unmatched</v>
      </c>
    </row>
    <row r="4078" customFormat="false" ht="15" hidden="false" customHeight="false" outlineLevel="0" collapsed="false">
      <c r="A4078" s="8" t="s">
        <v>1090</v>
      </c>
      <c r="B4078" s="8" t="s">
        <v>788</v>
      </c>
      <c r="C4078" s="19" t="n">
        <v>0</v>
      </c>
      <c r="D4078" s="19" t="n">
        <v>0</v>
      </c>
      <c r="E4078" s="19" t="n">
        <v>1</v>
      </c>
      <c r="F4078" s="19" t="n">
        <v>53.33</v>
      </c>
      <c r="G4078" s="8" t="str">
        <f aca="false">IFERROR(INDEX('TRANS'!$B:$B,MATCH($B4078,'TRANS'!$A:$A,0)),IFERROR(INDEX('TRANS'!$B:$B,MATCH(TRIM(SUBSTITUTE($B4078,CHAR(160)," ")),'TRANS'!$D:$D,0)),IFERROR(INDEX('Catalog'!$A:$A,MATCH($B4078,'Catalog'!$B:$B,0)),IFERROR(INDEX('Catalog'!$A:$A,MATCH(TRIM(SUBSTITUTE($B4078,CHAR(160)," ")),'Catalog'!$C:$C,0)),""))))</f>
        <v/>
      </c>
      <c r="H4078" s="8" t="str">
        <f aca="false">IFERROR(INDEX('TRANS'!$C:$C,MATCH($B4078,'TRANS'!$A:$A,0)),IFERROR(INDEX('Catalog'!$B:$B,MATCH($G4078,'Catalog'!$A:$A,0)),$B4078))</f>
        <v>11PS M</v>
      </c>
      <c r="I4078" s="8" t="str">
        <f aca="false">IF($G4078="","Unmatched","Matched")</f>
        <v>Unmatched</v>
      </c>
    </row>
    <row r="4079" customFormat="false" ht="15" hidden="false" customHeight="false" outlineLevel="0" collapsed="false">
      <c r="A4079" s="8" t="s">
        <v>1090</v>
      </c>
      <c r="B4079" s="8" t="s">
        <v>766</v>
      </c>
      <c r="C4079" s="19" t="n">
        <v>0</v>
      </c>
      <c r="D4079" s="19" t="n">
        <v>0</v>
      </c>
      <c r="E4079" s="19" t="n">
        <v>1</v>
      </c>
      <c r="F4079" s="19" t="n">
        <v>53.33</v>
      </c>
      <c r="G4079" s="8" t="n">
        <f aca="false">IFERROR(INDEX('TRANS'!$B:$B,MATCH($B4079,'TRANS'!$A:$A,0)),IFERROR(INDEX('TRANS'!$B:$B,MATCH(TRIM(SUBSTITUTE($B4079,CHAR(160)," ")),'TRANS'!$D:$D,0)),IFERROR(INDEX('Catalog'!$A:$A,MATCH($B4079,'Catalog'!$B:$B,0)),IFERROR(INDEX('Catalog'!$A:$A,MATCH(TRIM(SUBSTITUTE($B4079,CHAR(160)," ")),'Catalog'!$C:$C,0)),""))))</f>
        <v>4408148</v>
      </c>
      <c r="H4079" s="8" t="str">
        <f aca="false">IFERROR(INDEX('TRANS'!$C:$C,MATCH($B4079,'TRANS'!$A:$A,0)),IFERROR(INDEX('Catalog'!$B:$B,MATCH($G4079,'Catalog'!$A:$A,0)),$B4079))</f>
        <v>11PS XLחגורה למנותחי בטן</v>
      </c>
      <c r="I4079" s="8" t="str">
        <f aca="false">IF($G4079="","Unmatched","Matched")</f>
        <v>Matched</v>
      </c>
    </row>
    <row r="4080" customFormat="false" ht="15" hidden="false" customHeight="false" outlineLevel="0" collapsed="false">
      <c r="A4080" s="8" t="s">
        <v>1090</v>
      </c>
      <c r="B4080" s="8" t="s">
        <v>356</v>
      </c>
      <c r="C4080" s="19" t="n">
        <v>0</v>
      </c>
      <c r="D4080" s="19" t="n">
        <v>0</v>
      </c>
      <c r="E4080" s="19" t="n">
        <v>3</v>
      </c>
      <c r="F4080" s="19" t="n">
        <v>101.54</v>
      </c>
      <c r="G4080" s="8" t="str">
        <f aca="false">IFERROR(INDEX('TRANS'!$B:$B,MATCH($B4080,'TRANS'!$A:$A,0)),IFERROR(INDEX('TRANS'!$B:$B,MATCH(TRIM(SUBSTITUTE($B4080,CHAR(160)," ")),'TRANS'!$D:$D,0)),IFERROR(INDEX('Catalog'!$A:$A,MATCH($B4080,'Catalog'!$B:$B,0)),IFERROR(INDEX('Catalog'!$A:$A,MATCH(TRIM(SUBSTITUTE($B4080,CHAR(160)," ")),'Catalog'!$C:$C,0)),""))))</f>
        <v/>
      </c>
      <c r="H4080" s="8" t="str">
        <f aca="false">IFERROR(INDEX('TRANS'!$C:$C,MATCH($B4080,'TRANS'!$A:$A,0)),IFERROR(INDEX('Catalog'!$B:$B,MATCH($G4080,'Catalog'!$A:$A,0)),$B4080))</f>
        <v>305-35-36</v>
      </c>
      <c r="I4080" s="8" t="str">
        <f aca="false">IF($G4080="","Unmatched","Matched")</f>
        <v>Unmatched</v>
      </c>
    </row>
    <row r="4081" customFormat="false" ht="15" hidden="false" customHeight="false" outlineLevel="0" collapsed="false">
      <c r="A4081" s="8" t="s">
        <v>1090</v>
      </c>
      <c r="B4081" s="8" t="s">
        <v>946</v>
      </c>
      <c r="C4081" s="19" t="n">
        <v>55</v>
      </c>
      <c r="D4081" s="19" t="n">
        <v>2056.22</v>
      </c>
      <c r="E4081" s="19" t="n">
        <v>35</v>
      </c>
      <c r="F4081" s="19" t="n">
        <v>1158.52</v>
      </c>
      <c r="G4081" s="8" t="str">
        <f aca="false">IFERROR(INDEX('TRANS'!$B:$B,MATCH($B4081,'TRANS'!$A:$A,0)),IFERROR(INDEX('TRANS'!$B:$B,MATCH(TRIM(SUBSTITUTE($B4081,CHAR(160)," ")),'TRANS'!$D:$D,0)),IFERROR(INDEX('Catalog'!$A:$A,MATCH($B4081,'Catalog'!$B:$B,0)),IFERROR(INDEX('Catalog'!$A:$A,MATCH(TRIM(SUBSTITUTE($B4081,CHAR(160)," ")),'Catalog'!$C:$C,0)),""))))</f>
        <v/>
      </c>
      <c r="H4081" s="8" t="str">
        <f aca="false">IFERROR(INDEX('TRANS'!$C:$C,MATCH($B4081,'TRANS'!$A:$A,0)),IFERROR(INDEX('Catalog'!$B:$B,MATCH($G4081,'Catalog'!$A:$A,0)),$B4081))</f>
        <v>305-37-38</v>
      </c>
      <c r="I4081" s="8" t="str">
        <f aca="false">IF($G4081="","Unmatched","Matched")</f>
        <v>Unmatched</v>
      </c>
    </row>
    <row r="4082" customFormat="false" ht="15" hidden="false" customHeight="false" outlineLevel="0" collapsed="false">
      <c r="A4082" s="8" t="s">
        <v>1090</v>
      </c>
      <c r="B4082" s="8" t="s">
        <v>947</v>
      </c>
      <c r="C4082" s="19" t="n">
        <v>85</v>
      </c>
      <c r="D4082" s="19" t="n">
        <v>3115.64</v>
      </c>
      <c r="E4082" s="19" t="n">
        <v>80</v>
      </c>
      <c r="F4082" s="19" t="n">
        <v>2681.55</v>
      </c>
      <c r="G4082" s="8" t="str">
        <f aca="false">IFERROR(INDEX('TRANS'!$B:$B,MATCH($B4082,'TRANS'!$A:$A,0)),IFERROR(INDEX('TRANS'!$B:$B,MATCH(TRIM(SUBSTITUTE($B4082,CHAR(160)," ")),'TRANS'!$D:$D,0)),IFERROR(INDEX('Catalog'!$A:$A,MATCH($B4082,'Catalog'!$B:$B,0)),IFERROR(INDEX('Catalog'!$A:$A,MATCH(TRIM(SUBSTITUTE($B4082,CHAR(160)," ")),'Catalog'!$C:$C,0)),""))))</f>
        <v/>
      </c>
      <c r="H4082" s="8" t="str">
        <f aca="false">IFERROR(INDEX('TRANS'!$C:$C,MATCH($B4082,'TRANS'!$A:$A,0)),IFERROR(INDEX('Catalog'!$B:$B,MATCH($G4082,'Catalog'!$A:$A,0)),$B4082))</f>
        <v>305-39-40</v>
      </c>
      <c r="I4082" s="8" t="str">
        <f aca="false">IF($G4082="","Unmatched","Matched")</f>
        <v>Unmatched</v>
      </c>
    </row>
    <row r="4083" customFormat="false" ht="15" hidden="false" customHeight="false" outlineLevel="0" collapsed="false">
      <c r="A4083" s="8" t="s">
        <v>1090</v>
      </c>
      <c r="B4083" s="8" t="s">
        <v>780</v>
      </c>
      <c r="C4083" s="19" t="n">
        <v>85</v>
      </c>
      <c r="D4083" s="19" t="n">
        <v>3113.49</v>
      </c>
      <c r="E4083" s="19" t="n">
        <v>115</v>
      </c>
      <c r="F4083" s="19" t="n">
        <v>3862.4</v>
      </c>
      <c r="G4083" s="8" t="str">
        <f aca="false">IFERROR(INDEX('TRANS'!$B:$B,MATCH($B4083,'TRANS'!$A:$A,0)),IFERROR(INDEX('TRANS'!$B:$B,MATCH(TRIM(SUBSTITUTE($B4083,CHAR(160)," ")),'TRANS'!$D:$D,0)),IFERROR(INDEX('Catalog'!$A:$A,MATCH($B4083,'Catalog'!$B:$B,0)),IFERROR(INDEX('Catalog'!$A:$A,MATCH(TRIM(SUBSTITUTE($B4083,CHAR(160)," ")),'Catalog'!$C:$C,0)),""))))</f>
        <v/>
      </c>
      <c r="H4083" s="8" t="str">
        <f aca="false">IFERROR(INDEX('TRANS'!$C:$C,MATCH($B4083,'TRANS'!$A:$A,0)),IFERROR(INDEX('Catalog'!$B:$B,MATCH($G4083,'Catalog'!$A:$A,0)),$B4083))</f>
        <v>305-41-42</v>
      </c>
      <c r="I4083" s="8" t="str">
        <f aca="false">IF($G4083="","Unmatched","Matched")</f>
        <v>Unmatched</v>
      </c>
    </row>
    <row r="4084" customFormat="false" ht="15" hidden="false" customHeight="false" outlineLevel="0" collapsed="false">
      <c r="A4084" s="8" t="s">
        <v>1090</v>
      </c>
      <c r="B4084" s="8" t="s">
        <v>948</v>
      </c>
      <c r="C4084" s="19" t="n">
        <v>140</v>
      </c>
      <c r="D4084" s="19" t="n">
        <v>5108.21</v>
      </c>
      <c r="E4084" s="19" t="n">
        <v>180</v>
      </c>
      <c r="F4084" s="19" t="n">
        <v>6040.01</v>
      </c>
      <c r="G4084" s="8" t="str">
        <f aca="false">IFERROR(INDEX('TRANS'!$B:$B,MATCH($B4084,'TRANS'!$A:$A,0)),IFERROR(INDEX('TRANS'!$B:$B,MATCH(TRIM(SUBSTITUTE($B4084,CHAR(160)," ")),'TRANS'!$D:$D,0)),IFERROR(INDEX('Catalog'!$A:$A,MATCH($B4084,'Catalog'!$B:$B,0)),IFERROR(INDEX('Catalog'!$A:$A,MATCH(TRIM(SUBSTITUTE($B4084,CHAR(160)," ")),'Catalog'!$C:$C,0)),""))))</f>
        <v/>
      </c>
      <c r="H4084" s="8" t="str">
        <f aca="false">IFERROR(INDEX('TRANS'!$C:$C,MATCH($B4084,'TRANS'!$A:$A,0)),IFERROR(INDEX('Catalog'!$B:$B,MATCH($G4084,'Catalog'!$A:$A,0)),$B4084))</f>
        <v>305-43-44</v>
      </c>
      <c r="I4084" s="8" t="str">
        <f aca="false">IF($G4084="","Unmatched","Matched")</f>
        <v>Unmatched</v>
      </c>
    </row>
    <row r="4085" customFormat="false" ht="15" hidden="false" customHeight="false" outlineLevel="0" collapsed="false">
      <c r="A4085" s="8" t="s">
        <v>1090</v>
      </c>
      <c r="B4085" s="8" t="s">
        <v>949</v>
      </c>
      <c r="C4085" s="19" t="n">
        <v>4</v>
      </c>
      <c r="D4085" s="19" t="n">
        <v>146.07</v>
      </c>
      <c r="E4085" s="19" t="n">
        <v>3</v>
      </c>
      <c r="F4085" s="19" t="n">
        <v>99.31</v>
      </c>
      <c r="G4085" s="8" t="str">
        <f aca="false">IFERROR(INDEX('TRANS'!$B:$B,MATCH($B4085,'TRANS'!$A:$A,0)),IFERROR(INDEX('TRANS'!$B:$B,MATCH(TRIM(SUBSTITUTE($B4085,CHAR(160)," ")),'TRANS'!$D:$D,0)),IFERROR(INDEX('Catalog'!$A:$A,MATCH($B4085,'Catalog'!$B:$B,0)),IFERROR(INDEX('Catalog'!$A:$A,MATCH(TRIM(SUBSTITUTE($B4085,CHAR(160)," ")),'Catalog'!$C:$C,0)),""))))</f>
        <v/>
      </c>
      <c r="H4085" s="8" t="str">
        <f aca="false">IFERROR(INDEX('TRANS'!$C:$C,MATCH($B4085,'TRANS'!$A:$A,0)),IFERROR(INDEX('Catalog'!$B:$B,MATCH($G4085,'Catalog'!$A:$A,0)),$B4085))</f>
        <v>305-45-46</v>
      </c>
      <c r="I4085" s="8" t="str">
        <f aca="false">IF($G4085="","Unmatched","Matched")</f>
        <v>Unmatched</v>
      </c>
    </row>
    <row r="4086" customFormat="false" ht="15" hidden="false" customHeight="false" outlineLevel="0" collapsed="false">
      <c r="A4086" s="8" t="s">
        <v>1090</v>
      </c>
      <c r="B4086" s="8" t="s">
        <v>131</v>
      </c>
      <c r="C4086" s="19" t="n">
        <v>27</v>
      </c>
      <c r="D4086" s="19" t="n">
        <v>858.7</v>
      </c>
      <c r="E4086" s="19" t="n">
        <v>22</v>
      </c>
      <c r="F4086" s="19" t="n">
        <v>645.37</v>
      </c>
      <c r="G4086" s="8" t="n">
        <f aca="false">IFERROR(INDEX('TRANS'!$B:$B,MATCH($B4086,'TRANS'!$A:$A,0)),IFERROR(INDEX('TRANS'!$B:$B,MATCH(TRIM(SUBSTITUTE($B4086,CHAR(160)," ")),'TRANS'!$D:$D,0)),IFERROR(INDEX('Catalog'!$A:$A,MATCH($B4086,'Catalog'!$B:$B,0)),IFERROR(INDEX('Catalog'!$A:$A,MATCH(TRIM(SUBSTITUTE($B4086,CHAR(160)," ")),'Catalog'!$C:$C,0)),""))))</f>
        <v>4413161</v>
      </c>
      <c r="H4086" s="8" t="str">
        <f aca="false">IFERROR(INDEX('TRANS'!$C:$C,MATCH($B4086,'TRANS'!$A:$A,0)),IFERROR(INDEX('Catalog'!$B:$B,MATCH($G4086,'Catalog'!$A:$A,0)),$B4086))</f>
        <v>34+ L מגן קרסול עקב סגור+רצוע</v>
      </c>
      <c r="I4086" s="8" t="str">
        <f aca="false">IF($G4086="","Unmatched","Matched")</f>
        <v>Matched</v>
      </c>
    </row>
    <row r="4087" customFormat="false" ht="15" hidden="false" customHeight="false" outlineLevel="0" collapsed="false">
      <c r="A4087" s="8" t="s">
        <v>1090</v>
      </c>
      <c r="B4087" s="8" t="s">
        <v>357</v>
      </c>
      <c r="C4087" s="19" t="n">
        <v>29</v>
      </c>
      <c r="D4087" s="19" t="n">
        <v>928.08</v>
      </c>
      <c r="E4087" s="19" t="n">
        <v>20</v>
      </c>
      <c r="F4087" s="19" t="n">
        <v>586.23</v>
      </c>
      <c r="G4087" s="8" t="n">
        <f aca="false">IFERROR(INDEX('TRANS'!$B:$B,MATCH($B4087,'TRANS'!$A:$A,0)),IFERROR(INDEX('TRANS'!$B:$B,MATCH(TRIM(SUBSTITUTE($B4087,CHAR(160)," ")),'TRANS'!$D:$D,0)),IFERROR(INDEX('Catalog'!$A:$A,MATCH($B4087,'Catalog'!$B:$B,0)),IFERROR(INDEX('Catalog'!$A:$A,MATCH(TRIM(SUBSTITUTE($B4087,CHAR(160)," ")),'Catalog'!$C:$C,0)),""))))</f>
        <v>4413160</v>
      </c>
      <c r="H4087" s="8" t="str">
        <f aca="false">IFERROR(INDEX('TRANS'!$C:$C,MATCH($B4087,'TRANS'!$A:$A,0)),IFERROR(INDEX('Catalog'!$B:$B,MATCH($G4087,'Catalog'!$A:$A,0)),$B4087))</f>
        <v>34+ M מגן קרסול עקב סגור+רצוע</v>
      </c>
      <c r="I4087" s="8" t="str">
        <f aca="false">IF($G4087="","Unmatched","Matched")</f>
        <v>Matched</v>
      </c>
    </row>
    <row r="4088" customFormat="false" ht="15" hidden="false" customHeight="false" outlineLevel="0" collapsed="false">
      <c r="A4088" s="8" t="s">
        <v>1090</v>
      </c>
      <c r="B4088" s="8" t="s">
        <v>625</v>
      </c>
      <c r="C4088" s="19" t="n">
        <v>10</v>
      </c>
      <c r="D4088" s="19" t="n">
        <v>324.64</v>
      </c>
      <c r="E4088" s="19" t="n">
        <v>14</v>
      </c>
      <c r="F4088" s="19" t="n">
        <v>408.82</v>
      </c>
      <c r="G4088" s="8" t="n">
        <f aca="false">IFERROR(INDEX('TRANS'!$B:$B,MATCH($B4088,'TRANS'!$A:$A,0)),IFERROR(INDEX('TRANS'!$B:$B,MATCH(TRIM(SUBSTITUTE($B4088,CHAR(160)," ")),'TRANS'!$D:$D,0)),IFERROR(INDEX('Catalog'!$A:$A,MATCH($B4088,'Catalog'!$B:$B,0)),IFERROR(INDEX('Catalog'!$A:$A,MATCH(TRIM(SUBSTITUTE($B4088,CHAR(160)," ")),'Catalog'!$C:$C,0)),""))))</f>
        <v>4413159</v>
      </c>
      <c r="H4088" s="8" t="str">
        <f aca="false">IFERROR(INDEX('TRANS'!$C:$C,MATCH($B4088,'TRANS'!$A:$A,0)),IFERROR(INDEX('Catalog'!$B:$B,MATCH($G4088,'Catalog'!$A:$A,0)),$B4088))</f>
        <v>34+ S מגן קרסול עקב סגור+רצוע</v>
      </c>
      <c r="I4088" s="8" t="str">
        <f aca="false">IF($G4088="","Unmatched","Matched")</f>
        <v>Matched</v>
      </c>
    </row>
    <row r="4089" customFormat="false" ht="15" hidden="false" customHeight="false" outlineLevel="0" collapsed="false">
      <c r="A4089" s="8" t="s">
        <v>1090</v>
      </c>
      <c r="B4089" s="8" t="s">
        <v>132</v>
      </c>
      <c r="C4089" s="19" t="n">
        <v>14</v>
      </c>
      <c r="D4089" s="19" t="n">
        <v>428.16</v>
      </c>
      <c r="E4089" s="19" t="n">
        <v>17</v>
      </c>
      <c r="F4089" s="19" t="n">
        <v>499.46</v>
      </c>
      <c r="G4089" s="8" t="n">
        <f aca="false">IFERROR(INDEX('TRANS'!$B:$B,MATCH($B4089,'TRANS'!$A:$A,0)),IFERROR(INDEX('TRANS'!$B:$B,MATCH(TRIM(SUBSTITUTE($B4089,CHAR(160)," ")),'TRANS'!$D:$D,0)),IFERROR(INDEX('Catalog'!$A:$A,MATCH($B4089,'Catalog'!$B:$B,0)),IFERROR(INDEX('Catalog'!$A:$A,MATCH(TRIM(SUBSTITUTE($B4089,CHAR(160)," ")),'Catalog'!$C:$C,0)),""))))</f>
        <v>4413162</v>
      </c>
      <c r="H4089" s="8" t="str">
        <f aca="false">IFERROR(INDEX('TRANS'!$C:$C,MATCH($B4089,'TRANS'!$A:$A,0)),IFERROR(INDEX('Catalog'!$B:$B,MATCH($G4089,'Catalog'!$A:$A,0)),$B4089))</f>
        <v>34+XL מגן קרסול עקב סגור+רצוע</v>
      </c>
      <c r="I4089" s="8" t="str">
        <f aca="false">IF($G4089="","Unmatched","Matched")</f>
        <v>Matched</v>
      </c>
    </row>
    <row r="4090" customFormat="false" ht="15" hidden="false" customHeight="false" outlineLevel="0" collapsed="false">
      <c r="A4090" s="8" t="s">
        <v>1090</v>
      </c>
      <c r="B4090" s="8" t="s">
        <v>175</v>
      </c>
      <c r="C4090" s="19" t="n">
        <v>0</v>
      </c>
      <c r="D4090" s="19" t="n">
        <v>0</v>
      </c>
      <c r="E4090" s="19" t="n">
        <v>15</v>
      </c>
      <c r="F4090" s="19" t="n">
        <v>461.4</v>
      </c>
      <c r="G4090" s="8" t="n">
        <f aca="false">IFERROR(INDEX('TRANS'!$B:$B,MATCH($B4090,'TRANS'!$A:$A,0)),IFERROR(INDEX('TRANS'!$B:$B,MATCH(TRIM(SUBSTITUTE($B4090,CHAR(160)," ")),'TRANS'!$D:$D,0)),IFERROR(INDEX('Catalog'!$A:$A,MATCH($B4090,'Catalog'!$B:$B,0)),IFERROR(INDEX('Catalog'!$A:$A,MATCH(TRIM(SUBSTITUTE($B4090,CHAR(160)," ")),'Catalog'!$C:$C,0)),""))))</f>
        <v>4408069</v>
      </c>
      <c r="H4090" s="8" t="str">
        <f aca="false">IFERROR(INDEX('TRANS'!$C:$C,MATCH($B4090,'TRANS'!$A:$A,0)),IFERROR(INDEX('Catalog'!$B:$B,MATCH($G4090,'Catalog'!$A:$A,0)),$B4090))</f>
        <v>38 .חבישת""""הלוקס ולגוס""""לאחר נית</v>
      </c>
      <c r="I4090" s="8" t="str">
        <f aca="false">IF($G4090="","Unmatched","Matched")</f>
        <v>Matched</v>
      </c>
    </row>
    <row r="4091" customFormat="false" ht="15" hidden="false" customHeight="false" outlineLevel="0" collapsed="false">
      <c r="A4091" s="8" t="s">
        <v>1090</v>
      </c>
      <c r="B4091" s="8" t="s">
        <v>689</v>
      </c>
      <c r="C4091" s="19" t="n">
        <v>12</v>
      </c>
      <c r="D4091" s="19" t="n">
        <v>243.01</v>
      </c>
      <c r="E4091" s="19" t="n">
        <v>12</v>
      </c>
      <c r="F4091" s="19" t="n">
        <v>202.62</v>
      </c>
      <c r="G4091" s="8" t="str">
        <f aca="false">IFERROR(INDEX('TRANS'!$B:$B,MATCH($B4091,'TRANS'!$A:$A,0)),IFERROR(INDEX('TRANS'!$B:$B,MATCH(TRIM(SUBSTITUTE($B4091,CHAR(160)," ")),'TRANS'!$D:$D,0)),IFERROR(INDEX('Catalog'!$A:$A,MATCH($B4091,'Catalog'!$B:$B,0)),IFERROR(INDEX('Catalog'!$A:$A,MATCH(TRIM(SUBSTITUTE($B4091,CHAR(160)," ")),'Catalog'!$C:$C,0)),""))))</f>
        <v/>
      </c>
      <c r="H4091" s="8" t="str">
        <f aca="false">IFERROR(INDEX('TRANS'!$C:$C,MATCH($B4091,'TRANS'!$A:$A,0)),IFERROR(INDEX('Catalog'!$B:$B,MATCH($G4091,'Catalog'!$A:$A,0)),$B4091))</f>
        <v>61 L</v>
      </c>
      <c r="I4091" s="8" t="str">
        <f aca="false">IF($G4091="","Unmatched","Matched")</f>
        <v>Unmatched</v>
      </c>
    </row>
    <row r="4092" customFormat="false" ht="15" hidden="false" customHeight="false" outlineLevel="0" collapsed="false">
      <c r="A4092" s="8" t="s">
        <v>1090</v>
      </c>
      <c r="B4092" s="8" t="s">
        <v>719</v>
      </c>
      <c r="C4092" s="19" t="n">
        <v>35</v>
      </c>
      <c r="D4092" s="19" t="n">
        <v>675.22</v>
      </c>
      <c r="E4092" s="19" t="n">
        <v>51</v>
      </c>
      <c r="F4092" s="19" t="n">
        <v>851.86</v>
      </c>
      <c r="G4092" s="8" t="str">
        <f aca="false">IFERROR(INDEX('TRANS'!$B:$B,MATCH($B4092,'TRANS'!$A:$A,0)),IFERROR(INDEX('TRANS'!$B:$B,MATCH(TRIM(SUBSTITUTE($B4092,CHAR(160)," ")),'TRANS'!$D:$D,0)),IFERROR(INDEX('Catalog'!$A:$A,MATCH($B4092,'Catalog'!$B:$B,0)),IFERROR(INDEX('Catalog'!$A:$A,MATCH(TRIM(SUBSTITUTE($B4092,CHAR(160)," ")),'Catalog'!$C:$C,0)),""))))</f>
        <v/>
      </c>
      <c r="H4092" s="8" t="str">
        <f aca="false">IFERROR(INDEX('TRANS'!$C:$C,MATCH($B4092,'TRANS'!$A:$A,0)),IFERROR(INDEX('Catalog'!$B:$B,MATCH($G4092,'Catalog'!$A:$A,0)),$B4092))</f>
        <v>61 M</v>
      </c>
      <c r="I4092" s="8" t="str">
        <f aca="false">IF($G4092="","Unmatched","Matched")</f>
        <v>Unmatched</v>
      </c>
    </row>
    <row r="4093" customFormat="false" ht="15" hidden="false" customHeight="false" outlineLevel="0" collapsed="false">
      <c r="A4093" s="8" t="s">
        <v>1090</v>
      </c>
      <c r="B4093" s="8" t="s">
        <v>230</v>
      </c>
      <c r="C4093" s="19" t="n">
        <v>5</v>
      </c>
      <c r="D4093" s="19" t="n">
        <v>101.26</v>
      </c>
      <c r="E4093" s="19" t="n">
        <v>15</v>
      </c>
      <c r="F4093" s="19" t="n">
        <v>253.27</v>
      </c>
      <c r="G4093" s="8" t="str">
        <f aca="false">IFERROR(INDEX('TRANS'!$B:$B,MATCH($B4093,'TRANS'!$A:$A,0)),IFERROR(INDEX('TRANS'!$B:$B,MATCH(TRIM(SUBSTITUTE($B4093,CHAR(160)," ")),'TRANS'!$D:$D,0)),IFERROR(INDEX('Catalog'!$A:$A,MATCH($B4093,'Catalog'!$B:$B,0)),IFERROR(INDEX('Catalog'!$A:$A,MATCH(TRIM(SUBSTITUTE($B4093,CHAR(160)," ")),'Catalog'!$C:$C,0)),""))))</f>
        <v/>
      </c>
      <c r="H4093" s="8" t="str">
        <f aca="false">IFERROR(INDEX('TRANS'!$C:$C,MATCH($B4093,'TRANS'!$A:$A,0)),IFERROR(INDEX('Catalog'!$B:$B,MATCH($G4093,'Catalog'!$A:$A,0)),$B4093))</f>
        <v>61 S</v>
      </c>
      <c r="I4093" s="8" t="str">
        <f aca="false">IF($G4093="","Unmatched","Matched")</f>
        <v>Unmatched</v>
      </c>
    </row>
    <row r="4094" customFormat="false" ht="15" hidden="false" customHeight="false" outlineLevel="0" collapsed="false">
      <c r="A4094" s="8" t="s">
        <v>1090</v>
      </c>
      <c r="B4094" s="8" t="s">
        <v>720</v>
      </c>
      <c r="C4094" s="19" t="n">
        <v>6</v>
      </c>
      <c r="D4094" s="19" t="n">
        <v>102.02</v>
      </c>
      <c r="E4094" s="19" t="n">
        <v>0</v>
      </c>
      <c r="F4094" s="19" t="n">
        <v>0</v>
      </c>
      <c r="G4094" s="8" t="str">
        <f aca="false">IFERROR(INDEX('TRANS'!$B:$B,MATCH($B4094,'TRANS'!$A:$A,0)),IFERROR(INDEX('TRANS'!$B:$B,MATCH(TRIM(SUBSTITUTE($B4094,CHAR(160)," ")),'TRANS'!$D:$D,0)),IFERROR(INDEX('Catalog'!$A:$A,MATCH($B4094,'Catalog'!$B:$B,0)),IFERROR(INDEX('Catalog'!$A:$A,MATCH(TRIM(SUBSTITUTE($B4094,CHAR(160)," ")),'Catalog'!$C:$C,0)),""))))</f>
        <v/>
      </c>
      <c r="H4094" s="8" t="str">
        <f aca="false">IFERROR(INDEX('TRANS'!$C:$C,MATCH($B4094,'TRANS'!$A:$A,0)),IFERROR(INDEX('Catalog'!$B:$B,MATCH($G4094,'Catalog'!$A:$A,0)),$B4094))</f>
        <v>61 XL</v>
      </c>
      <c r="I4094" s="8" t="str">
        <f aca="false">IF($G4094="","Unmatched","Matched")</f>
        <v>Unmatched</v>
      </c>
    </row>
    <row r="4095" customFormat="false" ht="15" hidden="false" customHeight="false" outlineLevel="0" collapsed="false">
      <c r="A4095" s="8" t="s">
        <v>1090</v>
      </c>
      <c r="B4095" s="8" t="s">
        <v>493</v>
      </c>
      <c r="C4095" s="19" t="n">
        <v>0</v>
      </c>
      <c r="D4095" s="19" t="n">
        <v>0</v>
      </c>
      <c r="E4095" s="19" t="n">
        <v>1</v>
      </c>
      <c r="F4095" s="19" t="n">
        <v>0.03</v>
      </c>
      <c r="G4095" s="8" t="str">
        <f aca="false">IFERROR(INDEX('TRANS'!$B:$B,MATCH($B4095,'TRANS'!$A:$A,0)),IFERROR(INDEX('TRANS'!$B:$B,MATCH(TRIM(SUBSTITUTE($B4095,CHAR(160)," ")),'TRANS'!$D:$D,0)),IFERROR(INDEX('Catalog'!$A:$A,MATCH($B4095,'Catalog'!$B:$B,0)),IFERROR(INDEX('Catalog'!$A:$A,MATCH(TRIM(SUBSTITUTE($B4095,CHAR(160)," ")),'Catalog'!$C:$C,0)),""))))</f>
        <v/>
      </c>
      <c r="H4095" s="8" t="str">
        <f aca="false">IFERROR(INDEX('TRANS'!$C:$C,MATCH($B4095,'TRANS'!$A:$A,0)),IFERROR(INDEX('Catalog'!$B:$B,MATCH($G4095,'Catalog'!$A:$A,0)),$B4095))</f>
        <v>61BL-M</v>
      </c>
      <c r="I4095" s="8" t="str">
        <f aca="false">IF($G4095="","Unmatched","Matched")</f>
        <v>Unmatched</v>
      </c>
    </row>
    <row r="4096" customFormat="false" ht="15" hidden="false" customHeight="false" outlineLevel="0" collapsed="false">
      <c r="A4096" s="8" t="s">
        <v>1090</v>
      </c>
      <c r="B4096" s="8" t="s">
        <v>501</v>
      </c>
      <c r="C4096" s="19" t="n">
        <v>2</v>
      </c>
      <c r="D4096" s="19" t="n">
        <v>296.32</v>
      </c>
      <c r="E4096" s="19" t="n">
        <v>0</v>
      </c>
      <c r="F4096" s="19" t="n">
        <v>0</v>
      </c>
      <c r="G4096" s="8" t="n">
        <f aca="false">IFERROR(INDEX('TRANS'!$B:$B,MATCH($B4096,'TRANS'!$A:$A,0)),IFERROR(INDEX('TRANS'!$B:$B,MATCH(TRIM(SUBSTITUTE($B4096,CHAR(160)," ")),'TRANS'!$D:$D,0)),IFERROR(INDEX('Catalog'!$A:$A,MATCH($B4096,'Catalog'!$B:$B,0)),IFERROR(INDEX('Catalog'!$A:$A,MATCH(TRIM(SUBSTITUTE($B4096,CHAR(160)," ")),'Catalog'!$C:$C,0)),""))))</f>
        <v>4408272</v>
      </c>
      <c r="H4096" s="8" t="str">
        <f aca="false">IFERROR(INDEX('TRANS'!$C:$C,MATCH($B4096,'TRANS'!$A:$A,0)),IFERROR(INDEX('Catalog'!$B:$B,MATCH($G4096,'Catalog'!$A:$A,0)),$B4096))</f>
        <v>70N S חגורת פאבליק</v>
      </c>
      <c r="I4096" s="8" t="str">
        <f aca="false">IF($G4096="","Unmatched","Matched")</f>
        <v>Matched</v>
      </c>
    </row>
    <row r="4097" customFormat="false" ht="15" hidden="false" customHeight="false" outlineLevel="0" collapsed="false">
      <c r="A4097" s="8" t="s">
        <v>1090</v>
      </c>
      <c r="B4097" s="8" t="s">
        <v>502</v>
      </c>
      <c r="C4097" s="19" t="n">
        <v>22</v>
      </c>
      <c r="D4097" s="19" t="n">
        <v>3429.22</v>
      </c>
      <c r="E4097" s="19" t="n">
        <v>0</v>
      </c>
      <c r="F4097" s="19" t="n">
        <v>0</v>
      </c>
      <c r="G4097" s="8" t="n">
        <f aca="false">IFERROR(INDEX('TRANS'!$B:$B,MATCH($B4097,'TRANS'!$A:$A,0)),IFERROR(INDEX('TRANS'!$B:$B,MATCH(TRIM(SUBSTITUTE($B4097,CHAR(160)," ")),'TRANS'!$D:$D,0)),IFERROR(INDEX('Catalog'!$A:$A,MATCH($B4097,'Catalog'!$B:$B,0)),IFERROR(INDEX('Catalog'!$A:$A,MATCH(TRIM(SUBSTITUTE($B4097,CHAR(160)," ")),'Catalog'!$C:$C,0)),""))))</f>
        <v>4408271</v>
      </c>
      <c r="H4097" s="8" t="str">
        <f aca="false">IFERROR(INDEX('TRANS'!$C:$C,MATCH($B4097,'TRANS'!$A:$A,0)),IFERROR(INDEX('Catalog'!$B:$B,MATCH($G4097,'Catalog'!$A:$A,0)),$B4097))</f>
        <v>70N XS חגורת פאבליק</v>
      </c>
      <c r="I4097" s="8" t="str">
        <f aca="false">IF($G4097="","Unmatched","Matched")</f>
        <v>Matched</v>
      </c>
    </row>
    <row r="4098" customFormat="false" ht="15" hidden="false" customHeight="false" outlineLevel="0" collapsed="false">
      <c r="A4098" s="8" t="s">
        <v>1090</v>
      </c>
      <c r="B4098" s="8" t="s">
        <v>267</v>
      </c>
      <c r="C4098" s="19" t="n">
        <v>0</v>
      </c>
      <c r="D4098" s="19" t="n">
        <v>0</v>
      </c>
      <c r="E4098" s="19" t="n">
        <v>10</v>
      </c>
      <c r="F4098" s="19" t="n">
        <v>384.6</v>
      </c>
      <c r="G4098" s="8" t="n">
        <f aca="false">IFERROR(INDEX('TRANS'!$B:$B,MATCH($B4098,'TRANS'!$A:$A,0)),IFERROR(INDEX('TRANS'!$B:$B,MATCH(TRIM(SUBSTITUTE($B4098,CHAR(160)," ")),'TRANS'!$D:$D,0)),IFERROR(INDEX('Catalog'!$A:$A,MATCH($B4098,'Catalog'!$B:$B,0)),IFERROR(INDEX('Catalog'!$A:$A,MATCH(TRIM(SUBSTITUTE($B4098,CHAR(160)," ")),'Catalog'!$C:$C,0)),""))))</f>
        <v>4408205</v>
      </c>
      <c r="H4098" s="8" t="str">
        <f aca="false">IFERROR(INDEX('TRANS'!$C:$C,MATCH($B4098,'TRANS'!$A:$A,0)),IFERROR(INDEX('Catalog'!$B:$B,MATCH($G4098,'Catalog'!$A:$A,0)),$B4098))</f>
        <v>AC-07 חגורת גב עם תמיכות</v>
      </c>
      <c r="I4098" s="8" t="str">
        <f aca="false">IF($G4098="","Unmatched","Matched")</f>
        <v>Matched</v>
      </c>
    </row>
    <row r="4099" customFormat="false" ht="15" hidden="false" customHeight="false" outlineLevel="0" collapsed="false">
      <c r="A4099" s="8" t="s">
        <v>1090</v>
      </c>
      <c r="B4099" s="8" t="s">
        <v>269</v>
      </c>
      <c r="C4099" s="19" t="n">
        <v>45</v>
      </c>
      <c r="D4099" s="19" t="n">
        <v>725.03</v>
      </c>
      <c r="E4099" s="19" t="n">
        <v>35</v>
      </c>
      <c r="F4099" s="19" t="n">
        <v>505.34</v>
      </c>
      <c r="G4099" s="8" t="n">
        <f aca="false">IFERROR(INDEX('TRANS'!$B:$B,MATCH($B4099,'TRANS'!$A:$A,0)),IFERROR(INDEX('TRANS'!$B:$B,MATCH(TRIM(SUBSTITUTE($B4099,CHAR(160)," ")),'TRANS'!$D:$D,0)),IFERROR(INDEX('Catalog'!$A:$A,MATCH($B4099,'Catalog'!$B:$B,0)),IFERROR(INDEX('Catalog'!$A:$A,MATCH(TRIM(SUBSTITUTE($B4099,CHAR(160)," ")),'Catalog'!$C:$C,0)),""))))</f>
        <v>4408207</v>
      </c>
      <c r="H4099" s="8" t="str">
        <f aca="false">IFERROR(INDEX('TRANS'!$C:$C,MATCH($B4099,'TRANS'!$A:$A,0)),IFERROR(INDEX('Catalog'!$B:$B,MATCH($G4099,'Catalog'!$A:$A,0)),$B4099))</f>
        <v>AC-25 חבק לשורש כף היד</v>
      </c>
      <c r="I4099" s="8" t="str">
        <f aca="false">IF($G4099="","Unmatched","Matched")</f>
        <v>Matched</v>
      </c>
    </row>
    <row r="4100" customFormat="false" ht="15" hidden="false" customHeight="false" outlineLevel="0" collapsed="false">
      <c r="A4100" s="8" t="s">
        <v>1090</v>
      </c>
      <c r="B4100" s="8" t="s">
        <v>272</v>
      </c>
      <c r="C4100" s="19" t="n">
        <v>35</v>
      </c>
      <c r="D4100" s="19" t="n">
        <v>525.71</v>
      </c>
      <c r="E4100" s="19" t="n">
        <v>60</v>
      </c>
      <c r="F4100" s="19" t="n">
        <v>854.94</v>
      </c>
      <c r="G4100" s="8" t="n">
        <f aca="false">IFERROR(INDEX('TRANS'!$B:$B,MATCH($B4100,'TRANS'!$A:$A,0)),IFERROR(INDEX('TRANS'!$B:$B,MATCH(TRIM(SUBSTITUTE($B4100,CHAR(160)," ")),'TRANS'!$D:$D,0)),IFERROR(INDEX('Catalog'!$A:$A,MATCH($B4100,'Catalog'!$B:$B,0)),IFERROR(INDEX('Catalog'!$A:$A,MATCH(TRIM(SUBSTITUTE($B4100,CHAR(160)," ")),'Catalog'!$C:$C,0)),""))))</f>
        <v>4415028</v>
      </c>
      <c r="H4100" s="8" t="str">
        <f aca="false">IFERROR(INDEX('TRANS'!$C:$C,MATCH($B4100,'TRANS'!$A:$A,0)),IFERROR(INDEX('Catalog'!$B:$B,MATCH($G4100,'Catalog'!$A:$A,0)),$B4100))</f>
        <v>AC-28 סד לאגודל</v>
      </c>
      <c r="I4100" s="8" t="str">
        <f aca="false">IF($G4100="","Unmatched","Matched")</f>
        <v>Matched</v>
      </c>
    </row>
    <row r="4101" customFormat="false" ht="15" hidden="false" customHeight="false" outlineLevel="0" collapsed="false">
      <c r="A4101" s="8" t="s">
        <v>1090</v>
      </c>
      <c r="B4101" s="8" t="s">
        <v>56</v>
      </c>
      <c r="C4101" s="19" t="n">
        <v>80</v>
      </c>
      <c r="D4101" s="19" t="n">
        <v>3629.66</v>
      </c>
      <c r="E4101" s="19" t="n">
        <v>90</v>
      </c>
      <c r="F4101" s="19" t="n">
        <v>3724.37</v>
      </c>
      <c r="G4101" s="8" t="n">
        <f aca="false">IFERROR(INDEX('TRANS'!$B:$B,MATCH($B4101,'TRANS'!$A:$A,0)),IFERROR(INDEX('TRANS'!$B:$B,MATCH(TRIM(SUBSTITUTE($B4101,CHAR(160)," ")),'TRANS'!$D:$D,0)),IFERROR(INDEX('Catalog'!$A:$A,MATCH($B4101,'Catalog'!$B:$B,0)),IFERROR(INDEX('Catalog'!$A:$A,MATCH(TRIM(SUBSTITUTE($B4101,CHAR(160)," ")),'Catalog'!$C:$C,0)),""))))</f>
        <v>4413328</v>
      </c>
      <c r="H4101" s="8" t="str">
        <f aca="false">IFERROR(INDEX('TRANS'!$C:$C,MATCH($B4101,'TRANS'!$A:$A,0)),IFERROR(INDEX('Catalog'!$B:$B,MATCH($G4101,'Catalog'!$A:$A,0)),$B4101))</f>
        <v>AC43D מגן ברך + צירים</v>
      </c>
      <c r="I4101" s="8" t="str">
        <f aca="false">IF($G4101="","Unmatched","Matched")</f>
        <v>Matched</v>
      </c>
    </row>
    <row r="4102" customFormat="false" ht="15" hidden="false" customHeight="false" outlineLevel="0" collapsed="false">
      <c r="A4102" s="8" t="s">
        <v>1090</v>
      </c>
      <c r="B4102" s="8" t="s">
        <v>275</v>
      </c>
      <c r="C4102" s="19" t="n">
        <v>60</v>
      </c>
      <c r="D4102" s="19" t="n">
        <v>2052.22</v>
      </c>
      <c r="E4102" s="19" t="n">
        <v>75</v>
      </c>
      <c r="F4102" s="19" t="n">
        <v>2416.33</v>
      </c>
      <c r="G4102" s="8" t="n">
        <f aca="false">IFERROR(INDEX('TRANS'!$B:$B,MATCH($B4102,'TRANS'!$A:$A,0)),IFERROR(INDEX('TRANS'!$B:$B,MATCH(TRIM(SUBSTITUTE($B4102,CHAR(160)," ")),'TRANS'!$D:$D,0)),IFERROR(INDEX('Catalog'!$A:$A,MATCH($B4102,'Catalog'!$B:$B,0)),IFERROR(INDEX('Catalog'!$A:$A,MATCH(TRIM(SUBSTITUTE($B4102,CHAR(160)," ")),'Catalog'!$C:$C,0)),""))))</f>
        <v>4413329</v>
      </c>
      <c r="H4102" s="8" t="str">
        <f aca="false">IFERROR(INDEX('TRANS'!$C:$C,MATCH($B4102,'TRANS'!$A:$A,0)),IFERROR(INDEX('Catalog'!$B:$B,MATCH($G4102,'Catalog'!$A:$A,0)),$B4102))</f>
        <v>AC45X מגן ברך עם תמיכות</v>
      </c>
      <c r="I4102" s="8" t="str">
        <f aca="false">IF($G4102="","Unmatched","Matched")</f>
        <v>Matched</v>
      </c>
    </row>
    <row r="4103" customFormat="false" ht="15" hidden="false" customHeight="false" outlineLevel="0" collapsed="false">
      <c r="A4103" s="8" t="s">
        <v>1090</v>
      </c>
      <c r="B4103" s="8" t="s">
        <v>277</v>
      </c>
      <c r="C4103" s="19" t="n">
        <v>45</v>
      </c>
      <c r="D4103" s="19" t="n">
        <v>745.8</v>
      </c>
      <c r="E4103" s="19" t="n">
        <v>15</v>
      </c>
      <c r="F4103" s="19" t="n">
        <v>223.18</v>
      </c>
      <c r="G4103" s="8" t="n">
        <f aca="false">IFERROR(INDEX('TRANS'!$B:$B,MATCH($B4103,'TRANS'!$A:$A,0)),IFERROR(INDEX('TRANS'!$B:$B,MATCH(TRIM(SUBSTITUTE($B4103,CHAR(160)," ")),'TRANS'!$D:$D,0)),IFERROR(INDEX('Catalog'!$A:$A,MATCH($B4103,'Catalog'!$B:$B,0)),IFERROR(INDEX('Catalog'!$A:$A,MATCH(TRIM(SUBSTITUTE($B4103,CHAR(160)," ")),'Catalog'!$C:$C,0)),""))))</f>
        <v>4408208</v>
      </c>
      <c r="H4103" s="8" t="str">
        <f aca="false">IFERROR(INDEX('TRANS'!$C:$C,MATCH($B4103,'TRANS'!$A:$A,0)),IFERROR(INDEX('Catalog'!$B:$B,MATCH($G4103,'Catalog'!$A:$A,0)),$B4103))</f>
        <v>AC91 חבק טניס</v>
      </c>
      <c r="I4103" s="8" t="str">
        <f aca="false">IF($G4103="","Unmatched","Matched")</f>
        <v>Matched</v>
      </c>
    </row>
    <row r="4104" customFormat="false" ht="15" hidden="false" customHeight="false" outlineLevel="0" collapsed="false">
      <c r="A4104" s="8" t="s">
        <v>1090</v>
      </c>
      <c r="B4104" s="8" t="s">
        <v>278</v>
      </c>
      <c r="C4104" s="19" t="n">
        <v>12</v>
      </c>
      <c r="D4104" s="19" t="n">
        <v>223.76</v>
      </c>
      <c r="E4104" s="19" t="n">
        <v>5</v>
      </c>
      <c r="F4104" s="19" t="n">
        <v>79.48</v>
      </c>
      <c r="G4104" s="8" t="n">
        <f aca="false">IFERROR(INDEX('TRANS'!$B:$B,MATCH($B4104,'TRANS'!$A:$A,0)),IFERROR(INDEX('TRANS'!$B:$B,MATCH(TRIM(SUBSTITUTE($B4104,CHAR(160)," ")),'TRANS'!$D:$D,0)),IFERROR(INDEX('Catalog'!$A:$A,MATCH($B4104,'Catalog'!$B:$B,0)),IFERROR(INDEX('Catalog'!$A:$A,MATCH(TRIM(SUBSTITUTE($B4104,CHAR(160)," ")),'Catalog'!$C:$C,0)),""))))</f>
        <v>4413331</v>
      </c>
      <c r="H4104" s="8" t="str">
        <f aca="false">IFERROR(INDEX('TRANS'!$C:$C,MATCH($B4104,'TRANS'!$A:$A,0)),IFERROR(INDEX('Catalog'!$B:$B,MATCH($G4104,'Catalog'!$A:$A,0)),$B4104))</f>
        <v>AC95 מגן מרפק</v>
      </c>
      <c r="I4104" s="8" t="str">
        <f aca="false">IF($G4104="","Unmatched","Matched")</f>
        <v>Matched</v>
      </c>
    </row>
    <row r="4105" customFormat="false" ht="15" hidden="false" customHeight="false" outlineLevel="0" collapsed="false">
      <c r="A4105" s="8" t="s">
        <v>1090</v>
      </c>
      <c r="B4105" s="8" t="s">
        <v>529</v>
      </c>
      <c r="C4105" s="19" t="n">
        <v>100</v>
      </c>
      <c r="D4105" s="19" t="n">
        <v>2591.44</v>
      </c>
      <c r="E4105" s="19" t="n">
        <v>105</v>
      </c>
      <c r="F4105" s="19" t="n">
        <v>2526.26</v>
      </c>
      <c r="G4105" s="8" t="n">
        <f aca="false">IFERROR(INDEX('TRANS'!$B:$B,MATCH($B4105,'TRANS'!$A:$A,0)),IFERROR(INDEX('TRANS'!$B:$B,MATCH(TRIM(SUBSTITUTE($B4105,CHAR(160)," ")),'TRANS'!$D:$D,0)),IFERROR(INDEX('Catalog'!$A:$A,MATCH($B4105,'Catalog'!$B:$B,0)),IFERROR(INDEX('Catalog'!$A:$A,MATCH(TRIM(SUBSTITUTE($B4105,CHAR(160)," ")),'Catalog'!$C:$C,0)),""))))</f>
        <v>4408270</v>
      </c>
      <c r="H4105" s="8" t="str">
        <f aca="false">IFERROR(INDEX('TRANS'!$C:$C,MATCH($B4105,'TRANS'!$A:$A,0)),IFERROR(INDEX('Catalog'!$B:$B,MATCH($G4105,'Catalog'!$A:$A,0)),$B4105))</f>
        <v>ST11  חגורת בטן</v>
      </c>
      <c r="I4105" s="8" t="str">
        <f aca="false">IF($G4105="","Unmatched","Matched")</f>
        <v>Matched</v>
      </c>
    </row>
    <row r="4106" customFormat="false" ht="15" hidden="false" customHeight="false" outlineLevel="0" collapsed="false">
      <c r="A4106" s="8" t="s">
        <v>1090</v>
      </c>
      <c r="B4106" s="8" t="s">
        <v>531</v>
      </c>
      <c r="C4106" s="19" t="n">
        <v>170</v>
      </c>
      <c r="D4106" s="19" t="n">
        <v>2243.06</v>
      </c>
      <c r="E4106" s="19" t="n">
        <v>240</v>
      </c>
      <c r="F4106" s="19" t="n">
        <v>3037.35</v>
      </c>
      <c r="G4106" s="8" t="n">
        <f aca="false">IFERROR(INDEX('TRANS'!$B:$B,MATCH($B4106,'TRANS'!$A:$A,0)),IFERROR(INDEX('TRANS'!$B:$B,MATCH(TRIM(SUBSTITUTE($B4106,CHAR(160)," ")),'TRANS'!$D:$D,0)),IFERROR(INDEX('Catalog'!$A:$A,MATCH($B4106,'Catalog'!$B:$B,0)),IFERROR(INDEX('Catalog'!$A:$A,MATCH(TRIM(SUBSTITUTE($B4106,CHAR(160)," ")),'Catalog'!$C:$C,0)),""))))</f>
        <v>4408267</v>
      </c>
      <c r="H4106" s="8" t="str">
        <f aca="false">IFERROR(INDEX('TRANS'!$C:$C,MATCH($B4106,'TRANS'!$A:$A,0)),IFERROR(INDEX('Catalog'!$B:$B,MATCH($G4106,'Catalog'!$A:$A,0)),$B4106))</f>
        <v>ST25 חבק שורש לכף היד</v>
      </c>
      <c r="I4106" s="8" t="str">
        <f aca="false">IF($G4106="","Unmatched","Matched")</f>
        <v>Matched</v>
      </c>
    </row>
    <row r="4107" customFormat="false" ht="15" hidden="false" customHeight="false" outlineLevel="0" collapsed="false">
      <c r="A4107" s="8" t="s">
        <v>1090</v>
      </c>
      <c r="B4107" s="8" t="s">
        <v>535</v>
      </c>
      <c r="C4107" s="19" t="n">
        <v>0</v>
      </c>
      <c r="D4107" s="19" t="n">
        <v>0</v>
      </c>
      <c r="E4107" s="19" t="n">
        <v>25</v>
      </c>
      <c r="F4107" s="19" t="n">
        <v>376.06</v>
      </c>
      <c r="G4107" s="8" t="n">
        <f aca="false">IFERROR(INDEX('TRANS'!$B:$B,MATCH($B4107,'TRANS'!$A:$A,0)),IFERROR(INDEX('TRANS'!$B:$B,MATCH(TRIM(SUBSTITUTE($B4107,CHAR(160)," ")),'TRANS'!$D:$D,0)),IFERROR(INDEX('Catalog'!$A:$A,MATCH($B4107,'Catalog'!$B:$B,0)),IFERROR(INDEX('Catalog'!$A:$A,MATCH(TRIM(SUBSTITUTE($B4107,CHAR(160)," ")),'Catalog'!$C:$C,0)),""))))</f>
        <v>4408269</v>
      </c>
      <c r="H4107" s="8" t="str">
        <f aca="false">IFERROR(INDEX('TRANS'!$C:$C,MATCH($B4107,'TRANS'!$A:$A,0)),IFERROR(INDEX('Catalog'!$B:$B,MATCH($G4107,'Catalog'!$A:$A,0)),$B4107))</f>
        <v>ST37 חבק לקרסול</v>
      </c>
      <c r="I4107" s="8" t="str">
        <f aca="false">IF($G4107="","Unmatched","Matched")</f>
        <v>Matched</v>
      </c>
    </row>
    <row r="4108" customFormat="false" ht="15" hidden="false" customHeight="false" outlineLevel="0" collapsed="false">
      <c r="A4108" s="8" t="s">
        <v>1090</v>
      </c>
      <c r="B4108" s="8" t="s">
        <v>569</v>
      </c>
      <c r="C4108" s="19" t="n">
        <v>135</v>
      </c>
      <c r="D4108" s="19" t="n">
        <v>2227.44</v>
      </c>
      <c r="E4108" s="19" t="n">
        <v>155</v>
      </c>
      <c r="F4108" s="19" t="n">
        <v>2579.92</v>
      </c>
      <c r="G4108" s="8" t="str">
        <f aca="false">IFERROR(INDEX('TRANS'!$B:$B,MATCH($B4108,'TRANS'!$A:$A,0)),IFERROR(INDEX('TRANS'!$B:$B,MATCH(TRIM(SUBSTITUTE($B4108,CHAR(160)," ")),'TRANS'!$D:$D,0)),IFERROR(INDEX('Catalog'!$A:$A,MATCH($B4108,'Catalog'!$B:$B,0)),IFERROR(INDEX('Catalog'!$A:$A,MATCH(TRIM(SUBSTITUTE($B4108,CHAR(160)," ")),'Catalog'!$C:$C,0)),""))))</f>
        <v/>
      </c>
      <c r="H4108" s="8" t="str">
        <f aca="false">IFERROR(INDEX('TRANS'!$C:$C,MATCH($B4108,'TRANS'!$A:$A,0)),IFERROR(INDEX('Catalog'!$B:$B,MATCH($G4108,'Catalog'!$A:$A,0)),$B4108))</f>
        <v>ST45X 0</v>
      </c>
      <c r="I4108" s="8" t="str">
        <f aca="false">IF($G4108="","Unmatched","Matched")</f>
        <v>Unmatched</v>
      </c>
    </row>
    <row r="4109" customFormat="false" ht="15" hidden="false" customHeight="false" outlineLevel="0" collapsed="false">
      <c r="A4109" s="8" t="s">
        <v>1090</v>
      </c>
      <c r="B4109" s="8" t="s">
        <v>539</v>
      </c>
      <c r="C4109" s="19" t="n">
        <v>30</v>
      </c>
      <c r="D4109" s="19" t="n">
        <v>520.1</v>
      </c>
      <c r="E4109" s="19" t="n">
        <v>30</v>
      </c>
      <c r="F4109" s="19" t="n">
        <v>476.74</v>
      </c>
      <c r="G4109" s="8" t="n">
        <f aca="false">IFERROR(INDEX('TRANS'!$B:$B,MATCH($B4109,'TRANS'!$A:$A,0)),IFERROR(INDEX('TRANS'!$B:$B,MATCH(TRIM(SUBSTITUTE($B4109,CHAR(160)," ")),'TRANS'!$D:$D,0)),IFERROR(INDEX('Catalog'!$A:$A,MATCH($B4109,'Catalog'!$B:$B,0)),IFERROR(INDEX('Catalog'!$A:$A,MATCH(TRIM(SUBSTITUTE($B4109,CHAR(160)," ")),'Catalog'!$C:$C,0)),""))))</f>
        <v>4413533</v>
      </c>
      <c r="H4109" s="8" t="str">
        <f aca="false">IFERROR(INDEX('TRANS'!$C:$C,MATCH($B4109,'TRANS'!$A:$A,0)),IFERROR(INDEX('Catalog'!$B:$B,MATCH($G4109,'Catalog'!$A:$A,0)),$B4109))</f>
        <v>ST49 מגן ירך</v>
      </c>
      <c r="I4109" s="8" t="str">
        <f aca="false">IF($G4109="","Unmatched","Matched")</f>
        <v>Matched</v>
      </c>
    </row>
    <row r="4110" customFormat="false" ht="15" hidden="false" customHeight="false" outlineLevel="0" collapsed="false">
      <c r="A4110" s="8" t="s">
        <v>1090</v>
      </c>
      <c r="B4110" s="8" t="s">
        <v>540</v>
      </c>
      <c r="C4110" s="19" t="n">
        <v>25</v>
      </c>
      <c r="D4110" s="19" t="n">
        <v>426.07</v>
      </c>
      <c r="E4110" s="19" t="n">
        <v>45</v>
      </c>
      <c r="F4110" s="19" t="n">
        <v>650.63</v>
      </c>
      <c r="G4110" s="8" t="n">
        <f aca="false">IFERROR(INDEX('TRANS'!$B:$B,MATCH($B4110,'TRANS'!$A:$A,0)),IFERROR(INDEX('TRANS'!$B:$B,MATCH(TRIM(SUBSTITUTE($B4110,CHAR(160)," ")),'TRANS'!$D:$D,0)),IFERROR(INDEX('Catalog'!$A:$A,MATCH($B4110,'Catalog'!$B:$B,0)),IFERROR(INDEX('Catalog'!$A:$A,MATCH(TRIM(SUBSTITUTE($B4110,CHAR(160)," ")),'Catalog'!$C:$C,0)),""))))</f>
        <v>4413531</v>
      </c>
      <c r="H4110" s="8" t="str">
        <f aca="false">IFERROR(INDEX('TRANS'!$C:$C,MATCH($B4110,'TRANS'!$A:$A,0)),IFERROR(INDEX('Catalog'!$B:$B,MATCH($G4110,'Catalog'!$A:$A,0)),$B4110))</f>
        <v>ST91 מגן מרפק לטניס</v>
      </c>
      <c r="I4110" s="8" t="str">
        <f aca="false">IF($G4110="","Unmatched","Matched")</f>
        <v>Matched</v>
      </c>
    </row>
    <row r="4111" customFormat="false" ht="15" hidden="false" customHeight="false" outlineLevel="0" collapsed="false">
      <c r="A4111" s="8" t="s">
        <v>1090</v>
      </c>
      <c r="B4111" s="8" t="s">
        <v>1055</v>
      </c>
      <c r="C4111" s="19" t="n">
        <v>25</v>
      </c>
      <c r="D4111" s="19" t="n">
        <v>446.17</v>
      </c>
      <c r="E4111" s="19" t="n">
        <v>15</v>
      </c>
      <c r="F4111" s="19" t="n">
        <v>269.79</v>
      </c>
      <c r="G4111" s="8" t="str">
        <f aca="false">IFERROR(INDEX('TRANS'!$B:$B,MATCH($B4111,'TRANS'!$A:$A,0)),IFERROR(INDEX('TRANS'!$B:$B,MATCH(TRIM(SUBSTITUTE($B4111,CHAR(160)," ")),'TRANS'!$D:$D,0)),IFERROR(INDEX('Catalog'!$A:$A,MATCH($B4111,'Catalog'!$B:$B,0)),IFERROR(INDEX('Catalog'!$A:$A,MATCH(TRIM(SUBSTITUTE($B4111,CHAR(160)," ")),'Catalog'!$C:$C,0)),""))))</f>
        <v/>
      </c>
      <c r="H4111" s="8" t="str">
        <f aca="false">IFERROR(INDEX('TRANS'!$C:$C,MATCH($B4111,'TRANS'!$A:$A,0)),IFERROR(INDEX('Catalog'!$B:$B,MATCH($G4111,'Catalog'!$A:$A,0)),$B4111))</f>
        <v>ST95 0</v>
      </c>
      <c r="I4111" s="8" t="str">
        <f aca="false">IF($G4111="","Unmatched","Matched")</f>
        <v>Unmatched</v>
      </c>
    </row>
    <row r="4112" customFormat="false" ht="15" hidden="false" customHeight="false" outlineLevel="0" collapsed="false">
      <c r="A4112" s="8" t="s">
        <v>1090</v>
      </c>
      <c r="B4112" s="8" t="s">
        <v>318</v>
      </c>
      <c r="C4112" s="19" t="n">
        <v>40</v>
      </c>
      <c r="D4112" s="19" t="n">
        <v>691.48</v>
      </c>
      <c r="E4112" s="19" t="n">
        <v>33</v>
      </c>
      <c r="F4112" s="19" t="n">
        <v>543.59</v>
      </c>
      <c r="G4112" s="8" t="n">
        <f aca="false">IFERROR(INDEX('TRANS'!$B:$B,MATCH($B4112,'TRANS'!$A:$A,0)),IFERROR(INDEX('TRANS'!$B:$B,MATCH(TRIM(SUBSTITUTE($B4112,CHAR(160)," ")),'TRANS'!$D:$D,0)),IFERROR(INDEX('Catalog'!$A:$A,MATCH($B4112,'Catalog'!$B:$B,0)),IFERROR(INDEX('Catalog'!$A:$A,MATCH(TRIM(SUBSTITUTE($B4112,CHAR(160)," ")),'Catalog'!$C:$C,0)),""))))</f>
        <v>4408098</v>
      </c>
      <c r="H4112" s="8" t="str">
        <f aca="false">IFERROR(INDEX('TRANS'!$C:$C,MATCH($B4112,'TRANS'!$A:$A,0)),IFERROR(INDEX('Catalog'!$B:$B,MATCH($G4112,'Catalog'!$A:$A,0)),$B4112))</f>
        <v>T25-חבק יד אגודלי</v>
      </c>
      <c r="I4112" s="8" t="str">
        <f aca="false">IF($G4112="","Unmatched","Matched")</f>
        <v>Matched</v>
      </c>
    </row>
    <row r="4113" customFormat="false" ht="15" hidden="false" customHeight="false" outlineLevel="0" collapsed="false">
      <c r="A4113" s="8" t="s">
        <v>1090</v>
      </c>
      <c r="B4113" s="8" t="s">
        <v>670</v>
      </c>
      <c r="C4113" s="19" t="n">
        <v>2</v>
      </c>
      <c r="D4113" s="19" t="n">
        <v>124.31</v>
      </c>
      <c r="E4113" s="19" t="n">
        <v>2</v>
      </c>
      <c r="F4113" s="19" t="n">
        <v>105.98</v>
      </c>
      <c r="G4113" s="8" t="str">
        <f aca="false">IFERROR(INDEX('TRANS'!$B:$B,MATCH($B4113,'TRANS'!$A:$A,0)),IFERROR(INDEX('TRANS'!$B:$B,MATCH(TRIM(SUBSTITUTE($B4113,CHAR(160)," ")),'TRANS'!$D:$D,0)),IFERROR(INDEX('Catalog'!$A:$A,MATCH($B4113,'Catalog'!$B:$B,0)),IFERROR(INDEX('Catalog'!$A:$A,MATCH(TRIM(SUBSTITUTE($B4113,CHAR(160)," ")),'Catalog'!$C:$C,0)),""))))</f>
        <v/>
      </c>
      <c r="H4113" s="8" t="str">
        <f aca="false">IFERROR(INDEX('TRANS'!$C:$C,MATCH($B4113,'TRANS'!$A:$A,0)),IFERROR(INDEX('Catalog'!$B:$B,MATCH($G4113,'Catalog'!$A:$A,0)),$B4113))</f>
        <v>T33 L</v>
      </c>
      <c r="I4113" s="8" t="str">
        <f aca="false">IF($G4113="","Unmatched","Matched")</f>
        <v>Unmatched</v>
      </c>
    </row>
    <row r="4114" customFormat="false" ht="15" hidden="false" customHeight="false" outlineLevel="0" collapsed="false">
      <c r="A4114" s="8" t="s">
        <v>1090</v>
      </c>
      <c r="B4114" s="8" t="s">
        <v>784</v>
      </c>
      <c r="C4114" s="19" t="n">
        <v>2</v>
      </c>
      <c r="D4114" s="19" t="n">
        <v>124.31</v>
      </c>
      <c r="E4114" s="19" t="n">
        <v>0</v>
      </c>
      <c r="F4114" s="19" t="n">
        <v>0</v>
      </c>
      <c r="G4114" s="8" t="str">
        <f aca="false">IFERROR(INDEX('TRANS'!$B:$B,MATCH($B4114,'TRANS'!$A:$A,0)),IFERROR(INDEX('TRANS'!$B:$B,MATCH(TRIM(SUBSTITUTE($B4114,CHAR(160)," ")),'TRANS'!$D:$D,0)),IFERROR(INDEX('Catalog'!$A:$A,MATCH($B4114,'Catalog'!$B:$B,0)),IFERROR(INDEX('Catalog'!$A:$A,MATCH(TRIM(SUBSTITUTE($B4114,CHAR(160)," ")),'Catalog'!$C:$C,0)),""))))</f>
        <v/>
      </c>
      <c r="H4114" s="8" t="str">
        <f aca="false">IFERROR(INDEX('TRANS'!$C:$C,MATCH($B4114,'TRANS'!$A:$A,0)),IFERROR(INDEX('Catalog'!$B:$B,MATCH($G4114,'Catalog'!$A:$A,0)),$B4114))</f>
        <v>T33 M</v>
      </c>
      <c r="I4114" s="8" t="str">
        <f aca="false">IF($G4114="","Unmatched","Matched")</f>
        <v>Unmatched</v>
      </c>
    </row>
    <row r="4115" customFormat="false" ht="15" hidden="false" customHeight="false" outlineLevel="0" collapsed="false">
      <c r="A4115" s="8" t="s">
        <v>1090</v>
      </c>
      <c r="B4115" s="8" t="s">
        <v>323</v>
      </c>
      <c r="C4115" s="19" t="n">
        <v>2</v>
      </c>
      <c r="D4115" s="19" t="n">
        <v>124.31</v>
      </c>
      <c r="E4115" s="19" t="n">
        <v>3</v>
      </c>
      <c r="F4115" s="19" t="n">
        <v>158.97</v>
      </c>
      <c r="G4115" s="8" t="str">
        <f aca="false">IFERROR(INDEX('TRANS'!$B:$B,MATCH($B4115,'TRANS'!$A:$A,0)),IFERROR(INDEX('TRANS'!$B:$B,MATCH(TRIM(SUBSTITUTE($B4115,CHAR(160)," ")),'TRANS'!$D:$D,0)),IFERROR(INDEX('Catalog'!$A:$A,MATCH($B4115,'Catalog'!$B:$B,0)),IFERROR(INDEX('Catalog'!$A:$A,MATCH(TRIM(SUBSTITUTE($B4115,CHAR(160)," ")),'Catalog'!$C:$C,0)),""))))</f>
        <v/>
      </c>
      <c r="H4115" s="8" t="str">
        <f aca="false">IFERROR(INDEX('TRANS'!$C:$C,MATCH($B4115,'TRANS'!$A:$A,0)),IFERROR(INDEX('Catalog'!$B:$B,MATCH($G4115,'Catalog'!$A:$A,0)),$B4115))</f>
        <v>T33 XL</v>
      </c>
      <c r="I4115" s="8" t="str">
        <f aca="false">IF($G4115="","Unmatched","Matched")</f>
        <v>Unmatched</v>
      </c>
    </row>
    <row r="4116" customFormat="false" ht="15" hidden="false" customHeight="false" outlineLevel="0" collapsed="false">
      <c r="A4116" s="8" t="s">
        <v>1090</v>
      </c>
      <c r="B4116" s="8" t="s">
        <v>671</v>
      </c>
      <c r="C4116" s="19" t="n">
        <v>4</v>
      </c>
      <c r="D4116" s="19" t="n">
        <v>228.69</v>
      </c>
      <c r="E4116" s="19" t="n">
        <v>0</v>
      </c>
      <c r="F4116" s="19" t="n">
        <v>0</v>
      </c>
      <c r="G4116" s="8" t="str">
        <f aca="false">IFERROR(INDEX('TRANS'!$B:$B,MATCH($B4116,'TRANS'!$A:$A,0)),IFERROR(INDEX('TRANS'!$B:$B,MATCH(TRIM(SUBSTITUTE($B4116,CHAR(160)," ")),'TRANS'!$D:$D,0)),IFERROR(INDEX('Catalog'!$A:$A,MATCH($B4116,'Catalog'!$B:$B,0)),IFERROR(INDEX('Catalog'!$A:$A,MATCH(TRIM(SUBSTITUTE($B4116,CHAR(160)," ")),'Catalog'!$C:$C,0)),""))))</f>
        <v/>
      </c>
      <c r="H4116" s="8" t="str">
        <f aca="false">IFERROR(INDEX('TRANS'!$C:$C,MATCH($B4116,'TRANS'!$A:$A,0)),IFERROR(INDEX('Catalog'!$B:$B,MATCH($G4116,'Catalog'!$A:$A,0)),$B4116))</f>
        <v>T33 XXL</v>
      </c>
      <c r="I4116" s="8" t="str">
        <f aca="false">IF($G4116="","Unmatched","Matched")</f>
        <v>Unmatched</v>
      </c>
    </row>
    <row r="4117" customFormat="false" ht="15" hidden="false" customHeight="false" outlineLevel="0" collapsed="false">
      <c r="A4117" s="8" t="s">
        <v>1090</v>
      </c>
      <c r="B4117" s="8" t="s">
        <v>447</v>
      </c>
      <c r="C4117" s="19" t="n">
        <v>2</v>
      </c>
      <c r="D4117" s="19" t="n">
        <v>92.26</v>
      </c>
      <c r="E4117" s="19" t="n">
        <v>0</v>
      </c>
      <c r="F4117" s="19" t="n">
        <v>0</v>
      </c>
      <c r="G4117" s="8" t="str">
        <f aca="false">IFERROR(INDEX('TRANS'!$B:$B,MATCH($B4117,'TRANS'!$A:$A,0)),IFERROR(INDEX('TRANS'!$B:$B,MATCH(TRIM(SUBSTITUTE($B4117,CHAR(160)," ")),'TRANS'!$D:$D,0)),IFERROR(INDEX('Catalog'!$A:$A,MATCH($B4117,'Catalog'!$B:$B,0)),IFERROR(INDEX('Catalog'!$A:$A,MATCH(TRIM(SUBSTITUTE($B4117,CHAR(160)," ")),'Catalog'!$C:$C,0)),""))))</f>
        <v/>
      </c>
      <c r="H4117" s="8" t="str">
        <f aca="false">IFERROR(INDEX('TRANS'!$C:$C,MATCH($B4117,'TRANS'!$A:$A,0)),IFERROR(INDEX('Catalog'!$B:$B,MATCH($G4117,'Catalog'!$A:$A,0)),$B4117))</f>
        <v>T45X L</v>
      </c>
      <c r="I4117" s="8" t="str">
        <f aca="false">IF($G4117="","Unmatched","Matched")</f>
        <v>Unmatched</v>
      </c>
    </row>
    <row r="4118" customFormat="false" ht="15" hidden="false" customHeight="false" outlineLevel="0" collapsed="false">
      <c r="A4118" s="8" t="s">
        <v>1090</v>
      </c>
      <c r="B4118" s="8" t="s">
        <v>559</v>
      </c>
      <c r="C4118" s="19" t="n">
        <v>1</v>
      </c>
      <c r="D4118" s="19" t="n">
        <v>46.13</v>
      </c>
      <c r="E4118" s="19" t="n">
        <v>0</v>
      </c>
      <c r="F4118" s="19" t="n">
        <v>0</v>
      </c>
      <c r="G4118" s="8" t="n">
        <f aca="false">IFERROR(INDEX('TRANS'!$B:$B,MATCH($B4118,'TRANS'!$A:$A,0)),IFERROR(INDEX('TRANS'!$B:$B,MATCH(TRIM(SUBSTITUTE($B4118,CHAR(160)," ")),'TRANS'!$D:$D,0)),IFERROR(INDEX('Catalog'!$A:$A,MATCH($B4118,'Catalog'!$B:$B,0)),IFERROR(INDEX('Catalog'!$A:$A,MATCH(TRIM(SUBSTITUTE($B4118,CHAR(160)," ")),'Catalog'!$C:$C,0)),""))))</f>
        <v>4413224</v>
      </c>
      <c r="H4118" s="8" t="str">
        <f aca="false">IFERROR(INDEX('TRANS'!$C:$C,MATCH($B4118,'TRANS'!$A:$A,0)),IFERROR(INDEX('Catalog'!$B:$B,MATCH($G4118,'Catalog'!$A:$A,0)),$B4118))</f>
        <v>T45X XL מגן ברך רגיל</v>
      </c>
      <c r="I4118" s="8" t="str">
        <f aca="false">IF($G4118="","Unmatched","Matched")</f>
        <v>Matched</v>
      </c>
    </row>
    <row r="4119" customFormat="false" ht="15" hidden="false" customHeight="false" outlineLevel="0" collapsed="false">
      <c r="A4119" s="8" t="s">
        <v>1090</v>
      </c>
      <c r="B4119" s="8" t="s">
        <v>332</v>
      </c>
      <c r="C4119" s="19" t="n">
        <v>3</v>
      </c>
      <c r="D4119" s="19" t="n">
        <v>230.03</v>
      </c>
      <c r="E4119" s="19" t="n">
        <v>1</v>
      </c>
      <c r="F4119" s="19" t="n">
        <v>67.54</v>
      </c>
      <c r="G4119" s="8" t="n">
        <f aca="false">IFERROR(INDEX('TRANS'!$B:$B,MATCH($B4119,'TRANS'!$A:$A,0)),IFERROR(INDEX('TRANS'!$B:$B,MATCH(TRIM(SUBSTITUTE($B4119,CHAR(160)," ")),'TRANS'!$D:$D,0)),IFERROR(INDEX('Catalog'!$A:$A,MATCH($B4119,'Catalog'!$B:$B,0)),IFERROR(INDEX('Catalog'!$A:$A,MATCH(TRIM(SUBSTITUTE($B4119,CHAR(160)," ")),'Catalog'!$C:$C,0)),""))))</f>
        <v>4422006</v>
      </c>
      <c r="H4119" s="8" t="str">
        <f aca="false">IFERROR(INDEX('TRANS'!$C:$C,MATCH($B4119,'TRANS'!$A:$A,0)),IFERROR(INDEX('Catalog'!$B:$B,MATCH($G4119,'Catalog'!$A:$A,0)),$B4119))</f>
        <v>T78 L תומך זרוע וכתף</v>
      </c>
      <c r="I4119" s="8" t="str">
        <f aca="false">IF($G4119="","Unmatched","Matched")</f>
        <v>Matched</v>
      </c>
    </row>
    <row r="4120" customFormat="false" ht="15" hidden="false" customHeight="false" outlineLevel="0" collapsed="false">
      <c r="A4120" s="8" t="s">
        <v>1090</v>
      </c>
      <c r="B4120" s="8" t="s">
        <v>452</v>
      </c>
      <c r="C4120" s="19" t="n">
        <v>4</v>
      </c>
      <c r="D4120" s="19" t="n">
        <v>311.03</v>
      </c>
      <c r="E4120" s="19" t="n">
        <v>3</v>
      </c>
      <c r="F4120" s="19" t="n">
        <v>202.62</v>
      </c>
      <c r="G4120" s="8" t="n">
        <f aca="false">IFERROR(INDEX('TRANS'!$B:$B,MATCH($B4120,'TRANS'!$A:$A,0)),IFERROR(INDEX('TRANS'!$B:$B,MATCH(TRIM(SUBSTITUTE($B4120,CHAR(160)," ")),'TRANS'!$D:$D,0)),IFERROR(INDEX('Catalog'!$A:$A,MATCH($B4120,'Catalog'!$B:$B,0)),IFERROR(INDEX('Catalog'!$A:$A,MATCH(TRIM(SUBSTITUTE($B4120,CHAR(160)," ")),'Catalog'!$C:$C,0)),""))))</f>
        <v>4422005</v>
      </c>
      <c r="H4120" s="8" t="str">
        <f aca="false">IFERROR(INDEX('TRANS'!$C:$C,MATCH($B4120,'TRANS'!$A:$A,0)),IFERROR(INDEX('Catalog'!$B:$B,MATCH($G4120,'Catalog'!$A:$A,0)),$B4120))</f>
        <v>T78 M תומך זרוע וכתף</v>
      </c>
      <c r="I4120" s="8" t="str">
        <f aca="false">IF($G4120="","Unmatched","Matched")</f>
        <v>Matched</v>
      </c>
    </row>
    <row r="4121" customFormat="false" ht="15" hidden="false" customHeight="false" outlineLevel="0" collapsed="false">
      <c r="A4121" s="8" t="s">
        <v>1090</v>
      </c>
      <c r="B4121" s="8" t="s">
        <v>580</v>
      </c>
      <c r="C4121" s="19" t="n">
        <v>5</v>
      </c>
      <c r="D4121" s="19" t="n">
        <v>377.3</v>
      </c>
      <c r="E4121" s="19" t="n">
        <v>0</v>
      </c>
      <c r="F4121" s="19" t="n">
        <v>0</v>
      </c>
      <c r="G4121" s="8" t="n">
        <f aca="false">IFERROR(INDEX('TRANS'!$B:$B,MATCH($B4121,'TRANS'!$A:$A,0)),IFERROR(INDEX('TRANS'!$B:$B,MATCH(TRIM(SUBSTITUTE($B4121,CHAR(160)," ")),'TRANS'!$D:$D,0)),IFERROR(INDEX('Catalog'!$A:$A,MATCH($B4121,'Catalog'!$B:$B,0)),IFERROR(INDEX('Catalog'!$A:$A,MATCH(TRIM(SUBSTITUTE($B4121,CHAR(160)," ")),'Catalog'!$C:$C,0)),""))))</f>
        <v>4422004</v>
      </c>
      <c r="H4121" s="8" t="str">
        <f aca="false">IFERROR(INDEX('TRANS'!$C:$C,MATCH($B4121,'TRANS'!$A:$A,0)),IFERROR(INDEX('Catalog'!$B:$B,MATCH($G4121,'Catalog'!$A:$A,0)),$B4121))</f>
        <v>T78 S תומך זרוע וכתף</v>
      </c>
      <c r="I4121" s="8" t="str">
        <f aca="false">IF($G4121="","Unmatched","Matched")</f>
        <v>Matched</v>
      </c>
    </row>
    <row r="4122" customFormat="false" ht="15" hidden="false" customHeight="false" outlineLevel="0" collapsed="false">
      <c r="A4122" s="8" t="s">
        <v>1090</v>
      </c>
      <c r="B4122" s="8" t="s">
        <v>632</v>
      </c>
      <c r="C4122" s="19" t="n">
        <v>1</v>
      </c>
      <c r="D4122" s="19" t="n">
        <v>81</v>
      </c>
      <c r="E4122" s="19" t="n">
        <v>0</v>
      </c>
      <c r="F4122" s="19" t="n">
        <v>0</v>
      </c>
      <c r="G4122" s="8" t="n">
        <f aca="false">IFERROR(INDEX('TRANS'!$B:$B,MATCH($B4122,'TRANS'!$A:$A,0)),IFERROR(INDEX('TRANS'!$B:$B,MATCH(TRIM(SUBSTITUTE($B4122,CHAR(160)," ")),'TRANS'!$D:$D,0)),IFERROR(INDEX('Catalog'!$A:$A,MATCH($B4122,'Catalog'!$B:$B,0)),IFERROR(INDEX('Catalog'!$A:$A,MATCH(TRIM(SUBSTITUTE($B4122,CHAR(160)," ")),'Catalog'!$C:$C,0)),""))))</f>
        <v>4422007</v>
      </c>
      <c r="H4122" s="8" t="str">
        <f aca="false">IFERROR(INDEX('TRANS'!$C:$C,MATCH($B4122,'TRANS'!$A:$A,0)),IFERROR(INDEX('Catalog'!$B:$B,MATCH($G4122,'Catalog'!$A:$A,0)),$B4122))</f>
        <v>T78 XLתומך זרוע וכתף</v>
      </c>
      <c r="I4122" s="8" t="str">
        <f aca="false">IF($G4122="","Unmatched","Matched")</f>
        <v>Matched</v>
      </c>
    </row>
    <row r="4123" customFormat="false" ht="15" hidden="false" customHeight="false" outlineLevel="0" collapsed="false">
      <c r="A4123" s="8" t="s">
        <v>1091</v>
      </c>
      <c r="B4123" s="8" t="s">
        <v>465</v>
      </c>
      <c r="C4123" s="19" t="n">
        <v>5</v>
      </c>
      <c r="D4123" s="19" t="n">
        <v>222.25</v>
      </c>
      <c r="E4123" s="19" t="n">
        <v>5</v>
      </c>
      <c r="F4123" s="19" t="n">
        <v>206.74</v>
      </c>
      <c r="G4123" s="8" t="n">
        <f aca="false">IFERROR(INDEX('TRANS'!$B:$B,MATCH($B4123,'TRANS'!$A:$A,0)),IFERROR(INDEX('TRANS'!$B:$B,MATCH(TRIM(SUBSTITUTE($B4123,CHAR(160)," ")),'TRANS'!$D:$D,0)),IFERROR(INDEX('Catalog'!$A:$A,MATCH($B4123,'Catalog'!$B:$B,0)),IFERROR(INDEX('Catalog'!$A:$A,MATCH(TRIM(SUBSTITUTE($B4123,CHAR(160)," ")),'Catalog'!$C:$C,0)),""))))</f>
        <v>4411026</v>
      </c>
      <c r="H4123" s="8" t="str">
        <f aca="false">IFERROR(INDEX('TRANS'!$C:$C,MATCH($B4123,'TRANS'!$A:$A,0)),IFERROR(INDEX('Catalog'!$B:$B,MATCH($G4123,'Catalog'!$A:$A,0)),$B4123))</f>
        <v>213CTSL L שמאל CTS כפפות</v>
      </c>
      <c r="I4123" s="8" t="str">
        <f aca="false">IF($G4123="","Unmatched","Matched")</f>
        <v>Matched</v>
      </c>
    </row>
    <row r="4124" customFormat="false" ht="15" hidden="false" customHeight="false" outlineLevel="0" collapsed="false">
      <c r="A4124" s="8" t="s">
        <v>1091</v>
      </c>
      <c r="B4124" s="8" t="s">
        <v>466</v>
      </c>
      <c r="C4124" s="19" t="n">
        <v>10</v>
      </c>
      <c r="D4124" s="19" t="n">
        <v>444.5</v>
      </c>
      <c r="E4124" s="19" t="n">
        <v>2</v>
      </c>
      <c r="F4124" s="19" t="n">
        <v>82.7</v>
      </c>
      <c r="G4124" s="8" t="n">
        <f aca="false">IFERROR(INDEX('TRANS'!$B:$B,MATCH($B4124,'TRANS'!$A:$A,0)),IFERROR(INDEX('TRANS'!$B:$B,MATCH(TRIM(SUBSTITUTE($B4124,CHAR(160)," ")),'TRANS'!$D:$D,0)),IFERROR(INDEX('Catalog'!$A:$A,MATCH($B4124,'Catalog'!$B:$B,0)),IFERROR(INDEX('Catalog'!$A:$A,MATCH(TRIM(SUBSTITUTE($B4124,CHAR(160)," ")),'Catalog'!$C:$C,0)),""))))</f>
        <v>4411027</v>
      </c>
      <c r="H4124" s="8" t="str">
        <f aca="false">IFERROR(INDEX('TRANS'!$C:$C,MATCH($B4124,'TRANS'!$A:$A,0)),IFERROR(INDEX('Catalog'!$B:$B,MATCH($G4124,'Catalog'!$A:$A,0)),$B4124))</f>
        <v>213CTSL M שמאל CTS כפפות</v>
      </c>
      <c r="I4124" s="8" t="str">
        <f aca="false">IF($G4124="","Unmatched","Matched")</f>
        <v>Matched</v>
      </c>
    </row>
    <row r="4125" customFormat="false" ht="15" hidden="false" customHeight="false" outlineLevel="0" collapsed="false">
      <c r="A4125" s="8" t="s">
        <v>1091</v>
      </c>
      <c r="B4125" s="8" t="s">
        <v>467</v>
      </c>
      <c r="C4125" s="19" t="n">
        <v>10</v>
      </c>
      <c r="D4125" s="19" t="n">
        <v>444.5</v>
      </c>
      <c r="E4125" s="19" t="n">
        <v>0</v>
      </c>
      <c r="F4125" s="19" t="n">
        <v>0</v>
      </c>
      <c r="G4125" s="8" t="n">
        <f aca="false">IFERROR(INDEX('TRANS'!$B:$B,MATCH($B4125,'TRANS'!$A:$A,0)),IFERROR(INDEX('TRANS'!$B:$B,MATCH(TRIM(SUBSTITUTE($B4125,CHAR(160)," ")),'TRANS'!$D:$D,0)),IFERROR(INDEX('Catalog'!$A:$A,MATCH($B4125,'Catalog'!$B:$B,0)),IFERROR(INDEX('Catalog'!$A:$A,MATCH(TRIM(SUBSTITUTE($B4125,CHAR(160)," ")),'Catalog'!$C:$C,0)),""))))</f>
        <v>4411028</v>
      </c>
      <c r="H4125" s="8" t="str">
        <f aca="false">IFERROR(INDEX('TRANS'!$C:$C,MATCH($B4125,'TRANS'!$A:$A,0)),IFERROR(INDEX('Catalog'!$B:$B,MATCH($G4125,'Catalog'!$A:$A,0)),$B4125))</f>
        <v>213CTSL S שמאל CTS כפפות</v>
      </c>
      <c r="I4125" s="8" t="str">
        <f aca="false">IF($G4125="","Unmatched","Matched")</f>
        <v>Matched</v>
      </c>
    </row>
    <row r="4126" customFormat="false" ht="15" hidden="false" customHeight="false" outlineLevel="0" collapsed="false">
      <c r="A4126" s="8" t="s">
        <v>1091</v>
      </c>
      <c r="B4126" s="8" t="s">
        <v>468</v>
      </c>
      <c r="C4126" s="19" t="n">
        <v>5</v>
      </c>
      <c r="D4126" s="19" t="n">
        <v>222.25</v>
      </c>
      <c r="E4126" s="19" t="n">
        <v>5</v>
      </c>
      <c r="F4126" s="19" t="n">
        <v>206.74</v>
      </c>
      <c r="G4126" s="8" t="n">
        <f aca="false">IFERROR(INDEX('TRANS'!$B:$B,MATCH($B4126,'TRANS'!$A:$A,0)),IFERROR(INDEX('TRANS'!$B:$B,MATCH(TRIM(SUBSTITUTE($B4126,CHAR(160)," ")),'TRANS'!$D:$D,0)),IFERROR(INDEX('Catalog'!$A:$A,MATCH($B4126,'Catalog'!$B:$B,0)),IFERROR(INDEX('Catalog'!$A:$A,MATCH(TRIM(SUBSTITUTE($B4126,CHAR(160)," ")),'Catalog'!$C:$C,0)),""))))</f>
        <v>4411029</v>
      </c>
      <c r="H4126" s="8" t="str">
        <f aca="false">IFERROR(INDEX('TRANS'!$C:$C,MATCH($B4126,'TRANS'!$A:$A,0)),IFERROR(INDEX('Catalog'!$B:$B,MATCH($G4126,'Catalog'!$A:$A,0)),$B4126))</f>
        <v>213CTSR L ימין CTS כפפות</v>
      </c>
      <c r="I4126" s="8" t="str">
        <f aca="false">IF($G4126="","Unmatched","Matched")</f>
        <v>Matched</v>
      </c>
    </row>
    <row r="4127" customFormat="false" ht="15" hidden="false" customHeight="false" outlineLevel="0" collapsed="false">
      <c r="A4127" s="8" t="s">
        <v>1091</v>
      </c>
      <c r="B4127" s="8" t="s">
        <v>469</v>
      </c>
      <c r="C4127" s="19" t="n">
        <v>10</v>
      </c>
      <c r="D4127" s="19" t="n">
        <v>444.5</v>
      </c>
      <c r="E4127" s="19" t="n">
        <v>2</v>
      </c>
      <c r="F4127" s="19" t="n">
        <v>82.7</v>
      </c>
      <c r="G4127" s="8" t="n">
        <f aca="false">IFERROR(INDEX('TRANS'!$B:$B,MATCH($B4127,'TRANS'!$A:$A,0)),IFERROR(INDEX('TRANS'!$B:$B,MATCH(TRIM(SUBSTITUTE($B4127,CHAR(160)," ")),'TRANS'!$D:$D,0)),IFERROR(INDEX('Catalog'!$A:$A,MATCH($B4127,'Catalog'!$B:$B,0)),IFERROR(INDEX('Catalog'!$A:$A,MATCH(TRIM(SUBSTITUTE($B4127,CHAR(160)," ")),'Catalog'!$C:$C,0)),""))))</f>
        <v>4411030</v>
      </c>
      <c r="H4127" s="8" t="str">
        <f aca="false">IFERROR(INDEX('TRANS'!$C:$C,MATCH($B4127,'TRANS'!$A:$A,0)),IFERROR(INDEX('Catalog'!$B:$B,MATCH($G4127,'Catalog'!$A:$A,0)),$B4127))</f>
        <v>213CTSR M ימין CTS כפפות</v>
      </c>
      <c r="I4127" s="8" t="str">
        <f aca="false">IF($G4127="","Unmatched","Matched")</f>
        <v>Matched</v>
      </c>
    </row>
    <row r="4128" customFormat="false" ht="15" hidden="false" customHeight="false" outlineLevel="0" collapsed="false">
      <c r="A4128" s="8" t="s">
        <v>1091</v>
      </c>
      <c r="B4128" s="8" t="s">
        <v>470</v>
      </c>
      <c r="C4128" s="19" t="n">
        <v>10</v>
      </c>
      <c r="D4128" s="19" t="n">
        <v>444.5</v>
      </c>
      <c r="E4128" s="19" t="n">
        <v>0</v>
      </c>
      <c r="F4128" s="19" t="n">
        <v>0</v>
      </c>
      <c r="G4128" s="8" t="n">
        <f aca="false">IFERROR(INDEX('TRANS'!$B:$B,MATCH($B4128,'TRANS'!$A:$A,0)),IFERROR(INDEX('TRANS'!$B:$B,MATCH(TRIM(SUBSTITUTE($B4128,CHAR(160)," ")),'TRANS'!$D:$D,0)),IFERROR(INDEX('Catalog'!$A:$A,MATCH($B4128,'Catalog'!$B:$B,0)),IFERROR(INDEX('Catalog'!$A:$A,MATCH(TRIM(SUBSTITUTE($B4128,CHAR(160)," ")),'Catalog'!$C:$C,0)),""))))</f>
        <v>4411031</v>
      </c>
      <c r="H4128" s="8" t="str">
        <f aca="false">IFERROR(INDEX('TRANS'!$C:$C,MATCH($B4128,'TRANS'!$A:$A,0)),IFERROR(INDEX('Catalog'!$B:$B,MATCH($G4128,'Catalog'!$A:$A,0)),$B4128))</f>
        <v>213CTS  S ימין CTS כפפות</v>
      </c>
      <c r="I4128" s="8" t="str">
        <f aca="false">IF($G4128="","Unmatched","Matched")</f>
        <v>Matched</v>
      </c>
    </row>
    <row r="4129" customFormat="false" ht="15" hidden="false" customHeight="false" outlineLevel="0" collapsed="false">
      <c r="A4129" s="8" t="s">
        <v>1091</v>
      </c>
      <c r="B4129" s="8" t="s">
        <v>479</v>
      </c>
      <c r="C4129" s="19" t="n">
        <v>1</v>
      </c>
      <c r="D4129" s="19" t="n">
        <v>0.04</v>
      </c>
      <c r="E4129" s="19" t="n">
        <v>0</v>
      </c>
      <c r="F4129" s="19" t="n">
        <v>0</v>
      </c>
      <c r="G4129" s="8" t="n">
        <f aca="false">IFERROR(INDEX('TRANS'!$B:$B,MATCH($B4129,'TRANS'!$A:$A,0)),IFERROR(INDEX('TRANS'!$B:$B,MATCH(TRIM(SUBSTITUTE($B4129,CHAR(160)," ")),'TRANS'!$D:$D,0)),IFERROR(INDEX('Catalog'!$A:$A,MATCH($B4129,'Catalog'!$B:$B,0)),IFERROR(INDEX('Catalog'!$A:$A,MATCH(TRIM(SUBSTITUTE($B4129,CHAR(160)," ")),'Catalog'!$C:$C,0)),""))))</f>
        <v>4413523</v>
      </c>
      <c r="H4129" s="8" t="str">
        <f aca="false">IFERROR(INDEX('TRANS'!$C:$C,MATCH($B4129,'TRANS'!$A:$A,0)),IFERROR(INDEX('Catalog'!$B:$B,MATCH($G4129,'Catalog'!$A:$A,0)),$B4129))</f>
        <v>35-38 מדרסי אפיק ג'ל נוחות</v>
      </c>
      <c r="I4129" s="8" t="str">
        <f aca="false">IF($G4129="","Unmatched","Matched")</f>
        <v>Matched</v>
      </c>
    </row>
    <row r="4130" customFormat="false" ht="15" hidden="false" customHeight="false" outlineLevel="0" collapsed="false">
      <c r="A4130" s="8" t="s">
        <v>1091</v>
      </c>
      <c r="B4130" s="8" t="s">
        <v>482</v>
      </c>
      <c r="C4130" s="19" t="n">
        <v>1</v>
      </c>
      <c r="D4130" s="19" t="n">
        <v>0.04</v>
      </c>
      <c r="E4130" s="19" t="n">
        <v>0</v>
      </c>
      <c r="F4130" s="19" t="n">
        <v>0</v>
      </c>
      <c r="G4130" s="8" t="n">
        <f aca="false">IFERROR(INDEX('TRANS'!$B:$B,MATCH($B4130,'TRANS'!$A:$A,0)),IFERROR(INDEX('TRANS'!$B:$B,MATCH(TRIM(SUBSTITUTE($B4130,CHAR(160)," ")),'TRANS'!$D:$D,0)),IFERROR(INDEX('Catalog'!$A:$A,MATCH($B4130,'Catalog'!$B:$B,0)),IFERROR(INDEX('Catalog'!$A:$A,MATCH(TRIM(SUBSTITUTE($B4130,CHAR(160)," ")),'Catalog'!$C:$C,0)),""))))</f>
        <v>4413520</v>
      </c>
      <c r="H4130" s="8" t="str">
        <f aca="false">IFERROR(INDEX('TRANS'!$C:$C,MATCH($B4130,'TRANS'!$A:$A,0)),IFERROR(INDEX('Catalog'!$B:$B,MATCH($G4130,'Catalog'!$A:$A,0)),$B4130))</f>
        <v>מדרסי אפיק ג'ל מולט.ספורט35-38</v>
      </c>
      <c r="I4130" s="8" t="str">
        <f aca="false">IF($G4130="","Unmatched","Matched")</f>
        <v>Matched</v>
      </c>
    </row>
    <row r="4131" customFormat="false" ht="15" hidden="false" customHeight="false" outlineLevel="0" collapsed="false">
      <c r="A4131" s="8" t="s">
        <v>1091</v>
      </c>
      <c r="B4131" s="8" t="s">
        <v>484</v>
      </c>
      <c r="C4131" s="19" t="n">
        <v>1</v>
      </c>
      <c r="D4131" s="19" t="n">
        <v>0.04</v>
      </c>
      <c r="E4131" s="19" t="n">
        <v>0</v>
      </c>
      <c r="F4131" s="19" t="n">
        <v>0</v>
      </c>
      <c r="G4131" s="8" t="n">
        <f aca="false">IFERROR(INDEX('TRANS'!$B:$B,MATCH($B4131,'TRANS'!$A:$A,0)),IFERROR(INDEX('TRANS'!$B:$B,MATCH(TRIM(SUBSTITUTE($B4131,CHAR(160)," ")),'TRANS'!$D:$D,0)),IFERROR(INDEX('Catalog'!$A:$A,MATCH($B4131,'Catalog'!$B:$B,0)),IFERROR(INDEX('Catalog'!$A:$A,MATCH(TRIM(SUBSTITUTE($B4131,CHAR(160)," ")),'Catalog'!$C:$C,0)),""))))</f>
        <v>4413522</v>
      </c>
      <c r="H4131" s="8" t="str">
        <f aca="false">IFERROR(INDEX('TRANS'!$C:$C,MATCH($B4131,'TRANS'!$A:$A,0)),IFERROR(INDEX('Catalog'!$B:$B,MATCH($G4131,'Catalog'!$A:$A,0)),$B4131))</f>
        <v>מדרסי אפיק ג'ל מולט.ספורט43-47</v>
      </c>
      <c r="I4131" s="8" t="str">
        <f aca="false">IF($G4131="","Unmatched","Matched")</f>
        <v>Matched</v>
      </c>
    </row>
    <row r="4132" customFormat="false" ht="15" hidden="false" customHeight="false" outlineLevel="0" collapsed="false">
      <c r="A4132" s="8" t="s">
        <v>1091</v>
      </c>
      <c r="B4132" s="8" t="s">
        <v>267</v>
      </c>
      <c r="C4132" s="19" t="n">
        <v>80</v>
      </c>
      <c r="D4132" s="19" t="n">
        <v>4565.43</v>
      </c>
      <c r="E4132" s="19" t="n">
        <v>60</v>
      </c>
      <c r="F4132" s="19" t="n">
        <v>3124.87</v>
      </c>
      <c r="G4132" s="8" t="n">
        <f aca="false">IFERROR(INDEX('TRANS'!$B:$B,MATCH($B4132,'TRANS'!$A:$A,0)),IFERROR(INDEX('TRANS'!$B:$B,MATCH(TRIM(SUBSTITUTE($B4132,CHAR(160)," ")),'TRANS'!$D:$D,0)),IFERROR(INDEX('Catalog'!$A:$A,MATCH($B4132,'Catalog'!$B:$B,0)),IFERROR(INDEX('Catalog'!$A:$A,MATCH(TRIM(SUBSTITUTE($B4132,CHAR(160)," ")),'Catalog'!$C:$C,0)),""))))</f>
        <v>4408205</v>
      </c>
      <c r="H4132" s="8" t="str">
        <f aca="false">IFERROR(INDEX('TRANS'!$C:$C,MATCH($B4132,'TRANS'!$A:$A,0)),IFERROR(INDEX('Catalog'!$B:$B,MATCH($G4132,'Catalog'!$A:$A,0)),$B4132))</f>
        <v>AC-07 חגורת גב עם תמיכות</v>
      </c>
      <c r="I4132" s="8" t="str">
        <f aca="false">IF($G4132="","Unmatched","Matched")</f>
        <v>Matched</v>
      </c>
    </row>
    <row r="4133" customFormat="false" ht="15" hidden="false" customHeight="false" outlineLevel="0" collapsed="false">
      <c r="A4133" s="8" t="s">
        <v>1091</v>
      </c>
      <c r="B4133" s="8" t="s">
        <v>269</v>
      </c>
      <c r="C4133" s="19" t="n">
        <v>274</v>
      </c>
      <c r="D4133" s="19" t="n">
        <v>4506.09</v>
      </c>
      <c r="E4133" s="19" t="n">
        <v>120</v>
      </c>
      <c r="F4133" s="19" t="n">
        <v>1829.88</v>
      </c>
      <c r="G4133" s="8" t="n">
        <f aca="false">IFERROR(INDEX('TRANS'!$B:$B,MATCH($B4133,'TRANS'!$A:$A,0)),IFERROR(INDEX('TRANS'!$B:$B,MATCH(TRIM(SUBSTITUTE($B4133,CHAR(160)," ")),'TRANS'!$D:$D,0)),IFERROR(INDEX('Catalog'!$A:$A,MATCH($B4133,'Catalog'!$B:$B,0)),IFERROR(INDEX('Catalog'!$A:$A,MATCH(TRIM(SUBSTITUTE($B4133,CHAR(160)," ")),'Catalog'!$C:$C,0)),""))))</f>
        <v>4408207</v>
      </c>
      <c r="H4133" s="8" t="str">
        <f aca="false">IFERROR(INDEX('TRANS'!$C:$C,MATCH($B4133,'TRANS'!$A:$A,0)),IFERROR(INDEX('Catalog'!$B:$B,MATCH($G4133,'Catalog'!$A:$A,0)),$B4133))</f>
        <v>AC-25 חבק לשורש כף היד</v>
      </c>
      <c r="I4133" s="8" t="str">
        <f aca="false">IF($G4133="","Unmatched","Matched")</f>
        <v>Matched</v>
      </c>
    </row>
    <row r="4134" customFormat="false" ht="15" hidden="false" customHeight="false" outlineLevel="0" collapsed="false">
      <c r="A4134" s="8" t="s">
        <v>1091</v>
      </c>
      <c r="B4134" s="8" t="s">
        <v>270</v>
      </c>
      <c r="C4134" s="19" t="n">
        <v>70</v>
      </c>
      <c r="D4134" s="19" t="n">
        <v>2118.48</v>
      </c>
      <c r="E4134" s="19" t="n">
        <v>80</v>
      </c>
      <c r="F4134" s="19" t="n">
        <v>2252.16</v>
      </c>
      <c r="G4134" s="8" t="n">
        <f aca="false">IFERROR(INDEX('TRANS'!$B:$B,MATCH($B4134,'TRANS'!$A:$A,0)),IFERROR(INDEX('TRANS'!$B:$B,MATCH(TRIM(SUBSTITUTE($B4134,CHAR(160)," ")),'TRANS'!$D:$D,0)),IFERROR(INDEX('Catalog'!$A:$A,MATCH($B4134,'Catalog'!$B:$B,0)),IFERROR(INDEX('Catalog'!$A:$A,MATCH(TRIM(SUBSTITUTE($B4134,CHAR(160)," ")),'Catalog'!$C:$C,0)),""))))</f>
        <v>4415026</v>
      </c>
      <c r="H4134" s="8" t="str">
        <f aca="false">IFERROR(INDEX('TRANS'!$C:$C,MATCH($B4134,'TRANS'!$A:$A,0)),IFERROR(INDEX('Catalog'!$B:$B,MATCH($G4134,'Catalog'!$A:$A,0)),$B4134))</f>
        <v>AC-27L סד לש.כף יד שמאל</v>
      </c>
      <c r="I4134" s="8" t="str">
        <f aca="false">IF($G4134="","Unmatched","Matched")</f>
        <v>Matched</v>
      </c>
    </row>
    <row r="4135" customFormat="false" ht="15" hidden="false" customHeight="false" outlineLevel="0" collapsed="false">
      <c r="A4135" s="8" t="s">
        <v>1091</v>
      </c>
      <c r="B4135" s="8" t="s">
        <v>271</v>
      </c>
      <c r="C4135" s="19" t="n">
        <v>100</v>
      </c>
      <c r="D4135" s="19" t="n">
        <v>3073.08</v>
      </c>
      <c r="E4135" s="19" t="n">
        <v>80</v>
      </c>
      <c r="F4135" s="19" t="n">
        <v>2252.16</v>
      </c>
      <c r="G4135" s="8" t="n">
        <f aca="false">IFERROR(INDEX('TRANS'!$B:$B,MATCH($B4135,'TRANS'!$A:$A,0)),IFERROR(INDEX('TRANS'!$B:$B,MATCH(TRIM(SUBSTITUTE($B4135,CHAR(160)," ")),'TRANS'!$D:$D,0)),IFERROR(INDEX('Catalog'!$A:$A,MATCH($B4135,'Catalog'!$B:$B,0)),IFERROR(INDEX('Catalog'!$A:$A,MATCH(TRIM(SUBSTITUTE($B4135,CHAR(160)," ")),'Catalog'!$C:$C,0)),""))))</f>
        <v>4415027</v>
      </c>
      <c r="H4135" s="8" t="str">
        <f aca="false">IFERROR(INDEX('TRANS'!$C:$C,MATCH($B4135,'TRANS'!$A:$A,0)),IFERROR(INDEX('Catalog'!$B:$B,MATCH($G4135,'Catalog'!$A:$A,0)),$B4135))</f>
        <v>AC-27R סד לש.כף יד ימין</v>
      </c>
      <c r="I4135" s="8" t="str">
        <f aca="false">IF($G4135="","Unmatched","Matched")</f>
        <v>Matched</v>
      </c>
    </row>
    <row r="4136" customFormat="false" ht="15" hidden="false" customHeight="false" outlineLevel="0" collapsed="false">
      <c r="A4136" s="8" t="s">
        <v>1091</v>
      </c>
      <c r="B4136" s="8" t="s">
        <v>272</v>
      </c>
      <c r="C4136" s="19" t="n">
        <v>160</v>
      </c>
      <c r="D4136" s="19" t="n">
        <v>3760.05</v>
      </c>
      <c r="E4136" s="19" t="n">
        <v>100</v>
      </c>
      <c r="F4136" s="19" t="n">
        <v>2111.4</v>
      </c>
      <c r="G4136" s="8" t="n">
        <f aca="false">IFERROR(INDEX('TRANS'!$B:$B,MATCH($B4136,'TRANS'!$A:$A,0)),IFERROR(INDEX('TRANS'!$B:$B,MATCH(TRIM(SUBSTITUTE($B4136,CHAR(160)," ")),'TRANS'!$D:$D,0)),IFERROR(INDEX('Catalog'!$A:$A,MATCH($B4136,'Catalog'!$B:$B,0)),IFERROR(INDEX('Catalog'!$A:$A,MATCH(TRIM(SUBSTITUTE($B4136,CHAR(160)," ")),'Catalog'!$C:$C,0)),""))))</f>
        <v>4415028</v>
      </c>
      <c r="H4136" s="8" t="str">
        <f aca="false">IFERROR(INDEX('TRANS'!$C:$C,MATCH($B4136,'TRANS'!$A:$A,0)),IFERROR(INDEX('Catalog'!$B:$B,MATCH($G4136,'Catalog'!$A:$A,0)),$B4136))</f>
        <v>AC-28 סד לאגודל</v>
      </c>
      <c r="I4136" s="8" t="str">
        <f aca="false">IF($G4136="","Unmatched","Matched")</f>
        <v>Matched</v>
      </c>
    </row>
    <row r="4137" customFormat="false" ht="15" hidden="false" customHeight="false" outlineLevel="0" collapsed="false">
      <c r="A4137" s="8" t="s">
        <v>1091</v>
      </c>
      <c r="B4137" s="8" t="s">
        <v>273</v>
      </c>
      <c r="C4137" s="19" t="n">
        <v>255</v>
      </c>
      <c r="D4137" s="19" t="n">
        <v>5430.64</v>
      </c>
      <c r="E4137" s="19" t="n">
        <v>172</v>
      </c>
      <c r="F4137" s="19" t="n">
        <v>3244.52</v>
      </c>
      <c r="G4137" s="8" t="n">
        <f aca="false">IFERROR(INDEX('TRANS'!$B:$B,MATCH($B4137,'TRANS'!$A:$A,0)),IFERROR(INDEX('TRANS'!$B:$B,MATCH(TRIM(SUBSTITUTE($B4137,CHAR(160)," ")),'TRANS'!$D:$D,0)),IFERROR(INDEX('Catalog'!$A:$A,MATCH($B4137,'Catalog'!$B:$B,0)),IFERROR(INDEX('Catalog'!$A:$A,MATCH(TRIM(SUBSTITUTE($B4137,CHAR(160)," ")),'Catalog'!$C:$C,0)),""))))</f>
        <v>4413326</v>
      </c>
      <c r="H4137" s="8" t="str">
        <f aca="false">IFERROR(INDEX('TRANS'!$C:$C,MATCH($B4137,'TRANS'!$A:$A,0)),IFERROR(INDEX('Catalog'!$B:$B,MATCH($G4137,'Catalog'!$A:$A,0)),$B4137))</f>
        <v>AC37 מגן קרסול נושם</v>
      </c>
      <c r="I4137" s="8" t="str">
        <f aca="false">IF($G4137="","Unmatched","Matched")</f>
        <v>Matched</v>
      </c>
    </row>
    <row r="4138" customFormat="false" ht="15" hidden="false" customHeight="false" outlineLevel="0" collapsed="false">
      <c r="A4138" s="8" t="s">
        <v>1091</v>
      </c>
      <c r="B4138" s="8" t="s">
        <v>274</v>
      </c>
      <c r="C4138" s="19" t="n">
        <v>30</v>
      </c>
      <c r="D4138" s="19" t="n">
        <v>964.67</v>
      </c>
      <c r="E4138" s="19" t="n">
        <v>50</v>
      </c>
      <c r="F4138" s="19" t="n">
        <v>1495.58</v>
      </c>
      <c r="G4138" s="8" t="n">
        <f aca="false">IFERROR(INDEX('TRANS'!$B:$B,MATCH($B4138,'TRANS'!$A:$A,0)),IFERROR(INDEX('TRANS'!$B:$B,MATCH(TRIM(SUBSTITUTE($B4138,CHAR(160)," ")),'TRANS'!$D:$D,0)),IFERROR(INDEX('Catalog'!$A:$A,MATCH($B4138,'Catalog'!$B:$B,0)),IFERROR(INDEX('Catalog'!$A:$A,MATCH(TRIM(SUBSTITUTE($B4138,CHAR(160)," ")),'Catalog'!$C:$C,0)),""))))</f>
        <v>4420026</v>
      </c>
      <c r="H4138" s="8" t="str">
        <f aca="false">IFERROR(INDEX('TRANS'!$C:$C,MATCH($B4138,'TRANS'!$A:$A,0)),IFERROR(INDEX('Catalog'!$B:$B,MATCH($G4138,'Catalog'!$A:$A,0)),$B4138))</f>
        <v>AC40 רצועה לפיקת הברך</v>
      </c>
      <c r="I4138" s="8" t="str">
        <f aca="false">IF($G4138="","Unmatched","Matched")</f>
        <v>Matched</v>
      </c>
    </row>
    <row r="4139" customFormat="false" ht="15" hidden="false" customHeight="false" outlineLevel="0" collapsed="false">
      <c r="A4139" s="8" t="s">
        <v>1091</v>
      </c>
      <c r="B4139" s="8" t="s">
        <v>56</v>
      </c>
      <c r="C4139" s="19" t="n">
        <v>70</v>
      </c>
      <c r="D4139" s="19" t="n">
        <v>4236.96</v>
      </c>
      <c r="E4139" s="19" t="n">
        <v>60</v>
      </c>
      <c r="F4139" s="19" t="n">
        <v>3378.24</v>
      </c>
      <c r="G4139" s="8" t="n">
        <f aca="false">IFERROR(INDEX('TRANS'!$B:$B,MATCH($B4139,'TRANS'!$A:$A,0)),IFERROR(INDEX('TRANS'!$B:$B,MATCH(TRIM(SUBSTITUTE($B4139,CHAR(160)," ")),'TRANS'!$D:$D,0)),IFERROR(INDEX('Catalog'!$A:$A,MATCH($B4139,'Catalog'!$B:$B,0)),IFERROR(INDEX('Catalog'!$A:$A,MATCH(TRIM(SUBSTITUTE($B4139,CHAR(160)," ")),'Catalog'!$C:$C,0)),""))))</f>
        <v>4413328</v>
      </c>
      <c r="H4139" s="8" t="str">
        <f aca="false">IFERROR(INDEX('TRANS'!$C:$C,MATCH($B4139,'TRANS'!$A:$A,0)),IFERROR(INDEX('Catalog'!$B:$B,MATCH($G4139,'Catalog'!$A:$A,0)),$B4139))</f>
        <v>AC43D מגן ברך + צירים</v>
      </c>
      <c r="I4139" s="8" t="str">
        <f aca="false">IF($G4139="","Unmatched","Matched")</f>
        <v>Matched</v>
      </c>
    </row>
    <row r="4140" customFormat="false" ht="15" hidden="false" customHeight="false" outlineLevel="0" collapsed="false">
      <c r="A4140" s="8" t="s">
        <v>1091</v>
      </c>
      <c r="B4140" s="8" t="s">
        <v>275</v>
      </c>
      <c r="C4140" s="19" t="n">
        <v>515</v>
      </c>
      <c r="D4140" s="19" t="n">
        <v>19712.86</v>
      </c>
      <c r="E4140" s="19" t="n">
        <v>22</v>
      </c>
      <c r="F4140" s="19" t="n">
        <v>753.07</v>
      </c>
      <c r="G4140" s="8" t="n">
        <f aca="false">IFERROR(INDEX('TRANS'!$B:$B,MATCH($B4140,'TRANS'!$A:$A,0)),IFERROR(INDEX('TRANS'!$B:$B,MATCH(TRIM(SUBSTITUTE($B4140,CHAR(160)," ")),'TRANS'!$D:$D,0)),IFERROR(INDEX('Catalog'!$A:$A,MATCH($B4140,'Catalog'!$B:$B,0)),IFERROR(INDEX('Catalog'!$A:$A,MATCH(TRIM(SUBSTITUTE($B4140,CHAR(160)," ")),'Catalog'!$C:$C,0)),""))))</f>
        <v>4413329</v>
      </c>
      <c r="H4140" s="8" t="str">
        <f aca="false">IFERROR(INDEX('TRANS'!$C:$C,MATCH($B4140,'TRANS'!$A:$A,0)),IFERROR(INDEX('Catalog'!$B:$B,MATCH($G4140,'Catalog'!$A:$A,0)),$B4140))</f>
        <v>AC45X מגן ברך עם תמיכות</v>
      </c>
      <c r="I4140" s="8" t="str">
        <f aca="false">IF($G4140="","Unmatched","Matched")</f>
        <v>Matched</v>
      </c>
    </row>
    <row r="4141" customFormat="false" ht="15" hidden="false" customHeight="false" outlineLevel="0" collapsed="false">
      <c r="A4141" s="8" t="s">
        <v>1091</v>
      </c>
      <c r="B4141" s="8" t="s">
        <v>54</v>
      </c>
      <c r="C4141" s="19" t="n">
        <v>30</v>
      </c>
      <c r="D4141" s="19" t="n">
        <v>1191.65</v>
      </c>
      <c r="E4141" s="19" t="n">
        <v>50</v>
      </c>
      <c r="F4141" s="19" t="n">
        <v>1847.48</v>
      </c>
      <c r="G4141" s="8" t="n">
        <f aca="false">IFERROR(INDEX('TRANS'!$B:$B,MATCH($B4141,'TRANS'!$A:$A,0)),IFERROR(INDEX('TRANS'!$B:$B,MATCH(TRIM(SUBSTITUTE($B4141,CHAR(160)," ")),'TRANS'!$D:$D,0)),IFERROR(INDEX('Catalog'!$A:$A,MATCH($B4141,'Catalog'!$B:$B,0)),IFERROR(INDEX('Catalog'!$A:$A,MATCH(TRIM(SUBSTITUTE($B4141,CHAR(160)," ")),'Catalog'!$C:$C,0)),""))))</f>
        <v>4413453</v>
      </c>
      <c r="H4141" s="8" t="str">
        <f aca="false">IFERROR(INDEX('TRANS'!$C:$C,MATCH($B4141,'TRANS'!$A:$A,0)),IFERROR(INDEX('Catalog'!$B:$B,MATCH($G4141,'Catalog'!$A:$A,0)),$B4141))</f>
        <v>AC75 מישר כתפיים אקטיב</v>
      </c>
      <c r="I4141" s="8" t="str">
        <f aca="false">IF($G4141="","Unmatched","Matched")</f>
        <v>Matched</v>
      </c>
    </row>
    <row r="4142" customFormat="false" ht="15" hidden="false" customHeight="false" outlineLevel="0" collapsed="false">
      <c r="A4142" s="8" t="s">
        <v>1091</v>
      </c>
      <c r="B4142" s="8" t="s">
        <v>277</v>
      </c>
      <c r="C4142" s="19" t="n">
        <v>50</v>
      </c>
      <c r="D4142" s="19" t="n">
        <v>945.75</v>
      </c>
      <c r="E4142" s="19" t="n">
        <v>100</v>
      </c>
      <c r="F4142" s="19" t="n">
        <v>1759.5</v>
      </c>
      <c r="G4142" s="8" t="n">
        <f aca="false">IFERROR(INDEX('TRANS'!$B:$B,MATCH($B4142,'TRANS'!$A:$A,0)),IFERROR(INDEX('TRANS'!$B:$B,MATCH(TRIM(SUBSTITUTE($B4142,CHAR(160)," ")),'TRANS'!$D:$D,0)),IFERROR(INDEX('Catalog'!$A:$A,MATCH($B4142,'Catalog'!$B:$B,0)),IFERROR(INDEX('Catalog'!$A:$A,MATCH(TRIM(SUBSTITUTE($B4142,CHAR(160)," ")),'Catalog'!$C:$C,0)),""))))</f>
        <v>4408208</v>
      </c>
      <c r="H4142" s="8" t="str">
        <f aca="false">IFERROR(INDEX('TRANS'!$C:$C,MATCH($B4142,'TRANS'!$A:$A,0)),IFERROR(INDEX('Catalog'!$B:$B,MATCH($G4142,'Catalog'!$A:$A,0)),$B4142))</f>
        <v>AC91 חבק טניס</v>
      </c>
      <c r="I4142" s="8" t="str">
        <f aca="false">IF($G4142="","Unmatched","Matched")</f>
        <v>Matched</v>
      </c>
    </row>
    <row r="4143" customFormat="false" ht="15" hidden="false" customHeight="false" outlineLevel="0" collapsed="false">
      <c r="A4143" s="8" t="s">
        <v>1091</v>
      </c>
      <c r="B4143" s="8" t="s">
        <v>278</v>
      </c>
      <c r="C4143" s="19" t="n">
        <v>50</v>
      </c>
      <c r="D4143" s="19" t="n">
        <v>1134.9</v>
      </c>
      <c r="E4143" s="19" t="n">
        <v>70</v>
      </c>
      <c r="F4143" s="19" t="n">
        <v>1477.98</v>
      </c>
      <c r="G4143" s="8" t="n">
        <f aca="false">IFERROR(INDEX('TRANS'!$B:$B,MATCH($B4143,'TRANS'!$A:$A,0)),IFERROR(INDEX('TRANS'!$B:$B,MATCH(TRIM(SUBSTITUTE($B4143,CHAR(160)," ")),'TRANS'!$D:$D,0)),IFERROR(INDEX('Catalog'!$A:$A,MATCH($B4143,'Catalog'!$B:$B,0)),IFERROR(INDEX('Catalog'!$A:$A,MATCH(TRIM(SUBSTITUTE($B4143,CHAR(160)," ")),'Catalog'!$C:$C,0)),""))))</f>
        <v>4413331</v>
      </c>
      <c r="H4143" s="8" t="str">
        <f aca="false">IFERROR(INDEX('TRANS'!$C:$C,MATCH($B4143,'TRANS'!$A:$A,0)),IFERROR(INDEX('Catalog'!$B:$B,MATCH($G4143,'Catalog'!$A:$A,0)),$B4143))</f>
        <v>AC95 מגן מרפק</v>
      </c>
      <c r="I4143" s="8" t="str">
        <f aca="false">IF($G4143="","Unmatched","Matched")</f>
        <v>Matched</v>
      </c>
    </row>
    <row r="4144" customFormat="false" ht="15" hidden="false" customHeight="false" outlineLevel="0" collapsed="false">
      <c r="A4144" s="8" t="s">
        <v>1092</v>
      </c>
      <c r="B4144" s="8" t="s">
        <v>454</v>
      </c>
      <c r="C4144" s="19" t="n">
        <v>12</v>
      </c>
      <c r="D4144" s="19" t="n">
        <v>549.38</v>
      </c>
      <c r="E4144" s="19" t="n">
        <v>0</v>
      </c>
      <c r="F4144" s="19" t="n">
        <v>0</v>
      </c>
      <c r="G4144" s="8" t="n">
        <f aca="false">IFERROR(INDEX('TRANS'!$B:$B,MATCH($B4144,'TRANS'!$A:$A,0)),IFERROR(INDEX('TRANS'!$B:$B,MATCH(TRIM(SUBSTITUTE($B4144,CHAR(160)," ")),'TRANS'!$D:$D,0)),IFERROR(INDEX('Catalog'!$A:$A,MATCH($B4144,'Catalog'!$B:$B,0)),IFERROR(INDEX('Catalog'!$A:$A,MATCH(TRIM(SUBSTITUTE($B4144,CHAR(160)," ")),'Catalog'!$C:$C,0)),""))))</f>
        <v>4408190</v>
      </c>
      <c r="H4144" s="8" t="str">
        <f aca="false">IFERROR(INDEX('TRANS'!$C:$C,MATCH($B4144,'TRANS'!$A:$A,0)),IFERROR(INDEX('Catalog'!$B:$B,MATCH($G4144,'Catalog'!$A:$A,0)),$B4144))</f>
        <v>M078 חגורת גב +סגירה כפולה</v>
      </c>
      <c r="I4144" s="8" t="str">
        <f aca="false">IF($G4144="","Unmatched","Matched")</f>
        <v>Matched</v>
      </c>
    </row>
    <row r="4145" customFormat="false" ht="15" hidden="false" customHeight="false" outlineLevel="0" collapsed="false">
      <c r="A4145" s="8" t="s">
        <v>1092</v>
      </c>
      <c r="B4145" s="8" t="s">
        <v>455</v>
      </c>
      <c r="C4145" s="19" t="n">
        <v>6</v>
      </c>
      <c r="D4145" s="19" t="n">
        <v>274.69</v>
      </c>
      <c r="E4145" s="19" t="n">
        <v>0</v>
      </c>
      <c r="F4145" s="19" t="n">
        <v>0</v>
      </c>
      <c r="G4145" s="8" t="n">
        <f aca="false">IFERROR(INDEX('TRANS'!$B:$B,MATCH($B4145,'TRANS'!$A:$A,0)),IFERROR(INDEX('TRANS'!$B:$B,MATCH(TRIM(SUBSTITUTE($B4145,CHAR(160)," ")),'TRANS'!$D:$D,0)),IFERROR(INDEX('Catalog'!$A:$A,MATCH($B4145,'Catalog'!$B:$B,0)),IFERROR(INDEX('Catalog'!$A:$A,MATCH(TRIM(SUBSTITUTE($B4145,CHAR(160)," ")),'Catalog'!$C:$C,0)),""))))</f>
        <v>4408217</v>
      </c>
      <c r="H4145" s="8" t="str">
        <f aca="false">IFERROR(INDEX('TRANS'!$C:$C,MATCH($B4145,'TRANS'!$A:$A,0)),IFERROR(INDEX('Catalog'!$B:$B,MATCH($G4145,'Catalog'!$A:$A,0)),$B4145))</f>
        <v>S078 חגורת גב +סגירה כפולה</v>
      </c>
      <c r="I4145" s="8" t="str">
        <f aca="false">IF($G4145="","Unmatched","Matched")</f>
        <v>Matched</v>
      </c>
    </row>
    <row r="4146" customFormat="false" ht="15" hidden="false" customHeight="false" outlineLevel="0" collapsed="false">
      <c r="A4146" s="8" t="s">
        <v>1092</v>
      </c>
      <c r="B4146" s="8" t="s">
        <v>61</v>
      </c>
      <c r="C4146" s="19" t="n">
        <v>10</v>
      </c>
      <c r="D4146" s="19" t="n">
        <v>463.53</v>
      </c>
      <c r="E4146" s="19" t="n">
        <v>0</v>
      </c>
      <c r="F4146" s="19" t="n">
        <v>0</v>
      </c>
      <c r="G4146" s="8" t="n">
        <f aca="false">IFERROR(INDEX('TRANS'!$B:$B,MATCH($B4146,'TRANS'!$A:$A,0)),IFERROR(INDEX('TRANS'!$B:$B,MATCH(TRIM(SUBSTITUTE($B4146,CHAR(160)," ")),'TRANS'!$D:$D,0)),IFERROR(INDEX('Catalog'!$A:$A,MATCH($B4146,'Catalog'!$B:$B,0)),IFERROR(INDEX('Catalog'!$A:$A,MATCH(TRIM(SUBSTITUTE($B4146,CHAR(160)," ")),'Catalog'!$C:$C,0)),""))))</f>
        <v>4408218</v>
      </c>
      <c r="H4146" s="8" t="str">
        <f aca="false">IFERROR(INDEX('TRANS'!$C:$C,MATCH($B4146,'TRANS'!$A:$A,0)),IFERROR(INDEX('Catalog'!$B:$B,MATCH($G4146,'Catalog'!$A:$A,0)),$B4146))</f>
        <v>078XL חגורת גב +סגירה כפולה</v>
      </c>
      <c r="I4146" s="8" t="str">
        <f aca="false">IF($G4146="","Unmatched","Matched")</f>
        <v>Matched</v>
      </c>
    </row>
    <row r="4147" customFormat="false" ht="15" hidden="false" customHeight="false" outlineLevel="0" collapsed="false">
      <c r="A4147" s="8" t="s">
        <v>1092</v>
      </c>
      <c r="B4147" s="8" t="s">
        <v>456</v>
      </c>
      <c r="C4147" s="19" t="n">
        <v>6</v>
      </c>
      <c r="D4147" s="19" t="n">
        <v>278.12</v>
      </c>
      <c r="E4147" s="19" t="n">
        <v>0</v>
      </c>
      <c r="F4147" s="19" t="n">
        <v>0</v>
      </c>
      <c r="G4147" s="8" t="n">
        <f aca="false">IFERROR(INDEX('TRANS'!$B:$B,MATCH($B4147,'TRANS'!$A:$A,0)),IFERROR(INDEX('TRANS'!$B:$B,MATCH(TRIM(SUBSTITUTE($B4147,CHAR(160)," ")),'TRANS'!$D:$D,0)),IFERROR(INDEX('Catalog'!$A:$A,MATCH($B4147,'Catalog'!$B:$B,0)),IFERROR(INDEX('Catalog'!$A:$A,MATCH(TRIM(SUBSTITUTE($B4147,CHAR(160)," ")),'Catalog'!$C:$C,0)),""))))</f>
        <v>4408265</v>
      </c>
      <c r="H4147" s="8" t="str">
        <f aca="false">IFERROR(INDEX('TRANS'!$C:$C,MATCH($B4147,'TRANS'!$A:$A,0)),IFERROR(INDEX('Catalog'!$B:$B,MATCH($G4147,'Catalog'!$A:$A,0)),$B4147))</f>
        <v>078XXL חגורת גב +סגירה כפולה</v>
      </c>
      <c r="I4147" s="8" t="str">
        <f aca="false">IF($G4147="","Unmatched","Matched")</f>
        <v>Matched</v>
      </c>
    </row>
    <row r="4148" customFormat="false" ht="15" hidden="false" customHeight="false" outlineLevel="0" collapsed="false">
      <c r="A4148" s="8" t="s">
        <v>1092</v>
      </c>
      <c r="B4148" s="8" t="s">
        <v>335</v>
      </c>
      <c r="C4148" s="19" t="n">
        <v>0</v>
      </c>
      <c r="D4148" s="19" t="n">
        <v>0</v>
      </c>
      <c r="E4148" s="19" t="n">
        <v>3</v>
      </c>
      <c r="F4148" s="19" t="n">
        <v>155.04</v>
      </c>
      <c r="G4148" s="8" t="n">
        <f aca="false">IFERROR(INDEX('TRANS'!$B:$B,MATCH($B4148,'TRANS'!$A:$A,0)),IFERROR(INDEX('TRANS'!$B:$B,MATCH(TRIM(SUBSTITUTE($B4148,CHAR(160)," ")),'TRANS'!$D:$D,0)),IFERROR(INDEX('Catalog'!$A:$A,MATCH($B4148,'Catalog'!$B:$B,0)),IFERROR(INDEX('Catalog'!$A:$A,MATCH(TRIM(SUBSTITUTE($B4148,CHAR(160)," ")),'Catalog'!$C:$C,0)),""))))</f>
        <v>4408221</v>
      </c>
      <c r="H4148" s="8" t="str">
        <f aca="false">IFERROR(INDEX('TRANS'!$C:$C,MATCH($B4148,'TRANS'!$A:$A,0)),IFERROR(INDEX('Catalog'!$B:$B,MATCH($G4148,'Catalog'!$A:$A,0)),$B4148))</f>
        <v>078G-L חגורת גב אפורה</v>
      </c>
      <c r="I4148" s="8" t="str">
        <f aca="false">IF($G4148="","Unmatched","Matched")</f>
        <v>Matched</v>
      </c>
    </row>
    <row r="4149" customFormat="false" ht="15" hidden="false" customHeight="false" outlineLevel="0" collapsed="false">
      <c r="A4149" s="8" t="s">
        <v>1092</v>
      </c>
      <c r="B4149" s="8" t="s">
        <v>62</v>
      </c>
      <c r="C4149" s="19" t="n">
        <v>6</v>
      </c>
      <c r="D4149" s="19" t="n">
        <v>352.91</v>
      </c>
      <c r="E4149" s="19" t="n">
        <v>0</v>
      </c>
      <c r="F4149" s="19" t="n">
        <v>0</v>
      </c>
      <c r="G4149" s="8" t="n">
        <f aca="false">IFERROR(INDEX('TRANS'!$B:$B,MATCH($B4149,'TRANS'!$A:$A,0)),IFERROR(INDEX('TRANS'!$B:$B,MATCH(TRIM(SUBSTITUTE($B4149,CHAR(160)," ")),'TRANS'!$D:$D,0)),IFERROR(INDEX('Catalog'!$A:$A,MATCH($B4149,'Catalog'!$B:$B,0)),IFERROR(INDEX('Catalog'!$A:$A,MATCH(TRIM(SUBSTITUTE($B4149,CHAR(160)," ")),'Catalog'!$C:$C,0)),""))))</f>
        <v>4408220</v>
      </c>
      <c r="H4149" s="8" t="str">
        <f aca="false">IFERROR(INDEX('TRANS'!$C:$C,MATCH($B4149,'TRANS'!$A:$A,0)),IFERROR(INDEX('Catalog'!$B:$B,MATCH($G4149,'Catalog'!$A:$A,0)),$B4149))</f>
        <v>078G-M חגורת גב אפורה</v>
      </c>
      <c r="I4149" s="8" t="str">
        <f aca="false">IF($G4149="","Unmatched","Matched")</f>
        <v>Matched</v>
      </c>
    </row>
    <row r="4150" customFormat="false" ht="15" hidden="false" customHeight="false" outlineLevel="0" collapsed="false">
      <c r="A4150" s="8" t="s">
        <v>1092</v>
      </c>
      <c r="B4150" s="8" t="s">
        <v>337</v>
      </c>
      <c r="C4150" s="19" t="n">
        <v>3</v>
      </c>
      <c r="D4150" s="19" t="n">
        <v>172.1</v>
      </c>
      <c r="E4150" s="19" t="n">
        <v>0</v>
      </c>
      <c r="F4150" s="19" t="n">
        <v>0</v>
      </c>
      <c r="G4150" s="8" t="n">
        <f aca="false">IFERROR(INDEX('TRANS'!$B:$B,MATCH($B4150,'TRANS'!$A:$A,0)),IFERROR(INDEX('TRANS'!$B:$B,MATCH(TRIM(SUBSTITUTE($B4150,CHAR(160)," ")),'TRANS'!$D:$D,0)),IFERROR(INDEX('Catalog'!$A:$A,MATCH($B4150,'Catalog'!$B:$B,0)),IFERROR(INDEX('Catalog'!$A:$A,MATCH(TRIM(SUBSTITUTE($B4150,CHAR(160)," ")),'Catalog'!$C:$C,0)),""))))</f>
        <v>4408223</v>
      </c>
      <c r="H4150" s="8" t="str">
        <f aca="false">IFERROR(INDEX('TRANS'!$C:$C,MATCH($B4150,'TRANS'!$A:$A,0)),IFERROR(INDEX('Catalog'!$B:$B,MATCH($G4150,'Catalog'!$A:$A,0)),$B4150))</f>
        <v>078G-XXLחגורת גב אפורה</v>
      </c>
      <c r="I4150" s="8" t="str">
        <f aca="false">IF($G4150="","Unmatched","Matched")</f>
        <v>Matched</v>
      </c>
    </row>
    <row r="4151" customFormat="false" ht="15" hidden="false" customHeight="false" outlineLevel="0" collapsed="false">
      <c r="A4151" s="8" t="s">
        <v>1092</v>
      </c>
      <c r="B4151" s="8" t="s">
        <v>638</v>
      </c>
      <c r="C4151" s="19" t="n">
        <v>10</v>
      </c>
      <c r="D4151" s="19" t="n">
        <v>1293.21</v>
      </c>
      <c r="E4151" s="19" t="n">
        <v>6</v>
      </c>
      <c r="F4151" s="19" t="n">
        <v>731.9</v>
      </c>
      <c r="G4151" s="8" t="n">
        <f aca="false">IFERROR(INDEX('TRANS'!$B:$B,MATCH($B4151,'TRANS'!$A:$A,0)),IFERROR(INDEX('TRANS'!$B:$B,MATCH(TRIM(SUBSTITUTE($B4151,CHAR(160)," ")),'TRANS'!$D:$D,0)),IFERROR(INDEX('Catalog'!$A:$A,MATCH($B4151,'Catalog'!$B:$B,0)),IFERROR(INDEX('Catalog'!$A:$A,MATCH(TRIM(SUBSTITUTE($B4151,CHAR(160)," ")),'Catalog'!$C:$C,0)),""))))</f>
        <v>4408015</v>
      </c>
      <c r="H4151" s="8" t="str">
        <f aca="false">IFERROR(INDEX('TRANS'!$C:$C,MATCH($B4151,'TRANS'!$A:$A,0)),IFERROR(INDEX('Catalog'!$B:$B,MATCH($G4151,'Catalog'!$A:$A,0)),$B4151))</f>
        <v>07AU L ח.גב """"איטלקית"""" אורירית</v>
      </c>
      <c r="I4151" s="8" t="str">
        <f aca="false">IF($G4151="","Unmatched","Matched")</f>
        <v>Matched</v>
      </c>
    </row>
    <row r="4152" customFormat="false" ht="15" hidden="false" customHeight="false" outlineLevel="0" collapsed="false">
      <c r="A4152" s="8" t="s">
        <v>1092</v>
      </c>
      <c r="B4152" s="8" t="s">
        <v>639</v>
      </c>
      <c r="C4152" s="19" t="n">
        <v>3</v>
      </c>
      <c r="D4152" s="19" t="n">
        <v>387.96</v>
      </c>
      <c r="E4152" s="19" t="n">
        <v>3</v>
      </c>
      <c r="F4152" s="19" t="n">
        <v>365.95</v>
      </c>
      <c r="G4152" s="8" t="n">
        <f aca="false">IFERROR(INDEX('TRANS'!$B:$B,MATCH($B4152,'TRANS'!$A:$A,0)),IFERROR(INDEX('TRANS'!$B:$B,MATCH(TRIM(SUBSTITUTE($B4152,CHAR(160)," ")),'TRANS'!$D:$D,0)),IFERROR(INDEX('Catalog'!$A:$A,MATCH($B4152,'Catalog'!$B:$B,0)),IFERROR(INDEX('Catalog'!$A:$A,MATCH(TRIM(SUBSTITUTE($B4152,CHAR(160)," ")),'Catalog'!$C:$C,0)),""))))</f>
        <v>4408016</v>
      </c>
      <c r="H4152" s="8" t="str">
        <f aca="false">IFERROR(INDEX('TRANS'!$C:$C,MATCH($B4152,'TRANS'!$A:$A,0)),IFERROR(INDEX('Catalog'!$B:$B,MATCH($G4152,'Catalog'!$A:$A,0)),$B4152))</f>
        <v>07AU M ח.גב """"איטלקית"""" אורירית</v>
      </c>
      <c r="I4152" s="8" t="str">
        <f aca="false">IF($G4152="","Unmatched","Matched")</f>
        <v>Matched</v>
      </c>
    </row>
    <row r="4153" customFormat="false" ht="15" hidden="false" customHeight="false" outlineLevel="0" collapsed="false">
      <c r="A4153" s="8" t="s">
        <v>1092</v>
      </c>
      <c r="B4153" s="8" t="s">
        <v>694</v>
      </c>
      <c r="C4153" s="19" t="n">
        <v>2</v>
      </c>
      <c r="D4153" s="19" t="n">
        <v>258.64</v>
      </c>
      <c r="E4153" s="19" t="n">
        <v>3</v>
      </c>
      <c r="F4153" s="19" t="n">
        <v>365.95</v>
      </c>
      <c r="G4153" s="8" t="n">
        <f aca="false">IFERROR(INDEX('TRANS'!$B:$B,MATCH($B4153,'TRANS'!$A:$A,0)),IFERROR(INDEX('TRANS'!$B:$B,MATCH(TRIM(SUBSTITUTE($B4153,CHAR(160)," ")),'TRANS'!$D:$D,0)),IFERROR(INDEX('Catalog'!$A:$A,MATCH($B4153,'Catalog'!$B:$B,0)),IFERROR(INDEX('Catalog'!$A:$A,MATCH(TRIM(SUBSTITUTE($B4153,CHAR(160)," ")),'Catalog'!$C:$C,0)),""))))</f>
        <v>4408014</v>
      </c>
      <c r="H4153" s="8" t="str">
        <f aca="false">IFERROR(INDEX('TRANS'!$C:$C,MATCH($B4153,'TRANS'!$A:$A,0)),IFERROR(INDEX('Catalog'!$B:$B,MATCH($G4153,'Catalog'!$A:$A,0)),$B4153))</f>
        <v>07AU S ח.גב """"איטלקית"""" אורירית</v>
      </c>
      <c r="I4153" s="8" t="str">
        <f aca="false">IF($G4153="","Unmatched","Matched")</f>
        <v>Matched</v>
      </c>
    </row>
    <row r="4154" customFormat="false" ht="15" hidden="false" customHeight="false" outlineLevel="0" collapsed="false">
      <c r="A4154" s="8" t="s">
        <v>1092</v>
      </c>
      <c r="B4154" s="8" t="s">
        <v>640</v>
      </c>
      <c r="C4154" s="19" t="n">
        <v>12</v>
      </c>
      <c r="D4154" s="19" t="n">
        <v>1570.91</v>
      </c>
      <c r="E4154" s="19" t="n">
        <v>6</v>
      </c>
      <c r="F4154" s="19" t="n">
        <v>731.9</v>
      </c>
      <c r="G4154" s="8" t="n">
        <f aca="false">IFERROR(INDEX('TRANS'!$B:$B,MATCH($B4154,'TRANS'!$A:$A,0)),IFERROR(INDEX('TRANS'!$B:$B,MATCH(TRIM(SUBSTITUTE($B4154,CHAR(160)," ")),'TRANS'!$D:$D,0)),IFERROR(INDEX('Catalog'!$A:$A,MATCH($B4154,'Catalog'!$B:$B,0)),IFERROR(INDEX('Catalog'!$A:$A,MATCH(TRIM(SUBSTITUTE($B4154,CHAR(160)," ")),'Catalog'!$C:$C,0)),""))))</f>
        <v>4408017</v>
      </c>
      <c r="H4154" s="8" t="str">
        <f aca="false">IFERROR(INDEX('TRANS'!$C:$C,MATCH($B4154,'TRANS'!$A:$A,0)),IFERROR(INDEX('Catalog'!$B:$B,MATCH($G4154,'Catalog'!$A:$A,0)),$B4154))</f>
        <v>07AU XL ח.גב """"איטלקית"""" אורירית</v>
      </c>
      <c r="I4154" s="8" t="str">
        <f aca="false">IF($G4154="","Unmatched","Matched")</f>
        <v>Matched</v>
      </c>
    </row>
    <row r="4155" customFormat="false" ht="15" hidden="false" customHeight="false" outlineLevel="0" collapsed="false">
      <c r="A4155" s="8" t="s">
        <v>1092</v>
      </c>
      <c r="B4155" s="8" t="s">
        <v>641</v>
      </c>
      <c r="C4155" s="19" t="n">
        <v>3</v>
      </c>
      <c r="D4155" s="19" t="n">
        <v>387.96</v>
      </c>
      <c r="E4155" s="19" t="n">
        <v>0</v>
      </c>
      <c r="F4155" s="19" t="n">
        <v>0</v>
      </c>
      <c r="G4155" s="8" t="n">
        <f aca="false">IFERROR(INDEX('TRANS'!$B:$B,MATCH($B4155,'TRANS'!$A:$A,0)),IFERROR(INDEX('TRANS'!$B:$B,MATCH(TRIM(SUBSTITUTE($B4155,CHAR(160)," ")),'TRANS'!$D:$D,0)),IFERROR(INDEX('Catalog'!$A:$A,MATCH($B4155,'Catalog'!$B:$B,0)),IFERROR(INDEX('Catalog'!$A:$A,MATCH(TRIM(SUBSTITUTE($B4155,CHAR(160)," ")),'Catalog'!$C:$C,0)),""))))</f>
        <v>4408018</v>
      </c>
      <c r="H4155" s="8" t="str">
        <f aca="false">IFERROR(INDEX('TRANS'!$C:$C,MATCH($B4155,'TRANS'!$A:$A,0)),IFERROR(INDEX('Catalog'!$B:$B,MATCH($G4155,'Catalog'!$A:$A,0)),$B4155))</f>
        <v>07AU XXL.ח.גב """"איטלקית"""" אוריר</v>
      </c>
      <c r="I4155" s="8" t="str">
        <f aca="false">IF($G4155="","Unmatched","Matched")</f>
        <v>Matched</v>
      </c>
    </row>
    <row r="4156" customFormat="false" ht="15" hidden="false" customHeight="false" outlineLevel="0" collapsed="false">
      <c r="A4156" s="8" t="s">
        <v>1092</v>
      </c>
      <c r="B4156" s="8" t="s">
        <v>69</v>
      </c>
      <c r="C4156" s="19" t="n">
        <v>12</v>
      </c>
      <c r="D4156" s="19" t="n">
        <v>949.91</v>
      </c>
      <c r="E4156" s="19" t="n">
        <v>0</v>
      </c>
      <c r="F4156" s="19" t="n">
        <v>0</v>
      </c>
      <c r="G4156" s="8" t="n">
        <f aca="false">IFERROR(INDEX('TRANS'!$B:$B,MATCH($B4156,'TRANS'!$A:$A,0)),IFERROR(INDEX('TRANS'!$B:$B,MATCH(TRIM(SUBSTITUTE($B4156,CHAR(160)," ")),'TRANS'!$D:$D,0)),IFERROR(INDEX('Catalog'!$A:$A,MATCH($B4156,'Catalog'!$B:$B,0)),IFERROR(INDEX('Catalog'!$A:$A,MATCH(TRIM(SUBSTITUTE($B4156,CHAR(160)," ")),'Catalog'!$C:$C,0)),""))))</f>
        <v>4408028</v>
      </c>
      <c r="H4156" s="8" t="str">
        <f aca="false">IFERROR(INDEX('TRANS'!$C:$C,MATCH($B4156,'TRANS'!$A:$A,0)),IFERROR(INDEX('Catalog'!$B:$B,MATCH($G4156,'Catalog'!$A:$A,0)),$B4156))</f>
        <v>10 M """"חגורת גב """"לומבו</v>
      </c>
      <c r="I4156" s="8" t="str">
        <f aca="false">IF($G4156="","Unmatched","Matched")</f>
        <v>Matched</v>
      </c>
    </row>
    <row r="4157" customFormat="false" ht="15" hidden="false" customHeight="false" outlineLevel="0" collapsed="false">
      <c r="A4157" s="8" t="s">
        <v>1092</v>
      </c>
      <c r="B4157" s="8" t="s">
        <v>458</v>
      </c>
      <c r="C4157" s="19" t="n">
        <v>6</v>
      </c>
      <c r="D4157" s="19" t="n">
        <v>299.15</v>
      </c>
      <c r="E4157" s="19" t="n">
        <v>12</v>
      </c>
      <c r="F4157" s="19" t="n">
        <v>545.03</v>
      </c>
      <c r="G4157" s="8" t="n">
        <f aca="false">IFERROR(INDEX('TRANS'!$B:$B,MATCH($B4157,'TRANS'!$A:$A,0)),IFERROR(INDEX('TRANS'!$B:$B,MATCH(TRIM(SUBSTITUTE($B4157,CHAR(160)," ")),'TRANS'!$D:$D,0)),IFERROR(INDEX('Catalog'!$A:$A,MATCH($B4157,'Catalog'!$B:$B,0)),IFERROR(INDEX('Catalog'!$A:$A,MATCH(TRIM(SUBSTITUTE($B4157,CHAR(160)," ")),'Catalog'!$C:$C,0)),""))))</f>
        <v>4408032</v>
      </c>
      <c r="H4157" s="8" t="str">
        <f aca="false">IFERROR(INDEX('TRANS'!$C:$C,MATCH($B4157,'TRANS'!$A:$A,0)),IFERROR(INDEX('Catalog'!$B:$B,MATCH($G4157,'Catalog'!$A:$A,0)),$B4157))</f>
        <v>11 L""""חגורת בטן""""אורירית</v>
      </c>
      <c r="I4157" s="8" t="str">
        <f aca="false">IF($G4157="","Unmatched","Matched")</f>
        <v>Matched</v>
      </c>
    </row>
    <row r="4158" customFormat="false" ht="15" hidden="false" customHeight="false" outlineLevel="0" collapsed="false">
      <c r="A4158" s="8" t="s">
        <v>1092</v>
      </c>
      <c r="B4158" s="8" t="s">
        <v>71</v>
      </c>
      <c r="C4158" s="19" t="n">
        <v>0</v>
      </c>
      <c r="D4158" s="19" t="n">
        <v>0</v>
      </c>
      <c r="E4158" s="19" t="n">
        <v>6</v>
      </c>
      <c r="F4158" s="19" t="n">
        <v>282.18</v>
      </c>
      <c r="G4158" s="8" t="n">
        <f aca="false">IFERROR(INDEX('TRANS'!$B:$B,MATCH($B4158,'TRANS'!$A:$A,0)),IFERROR(INDEX('TRANS'!$B:$B,MATCH(TRIM(SUBSTITUTE($B4158,CHAR(160)," ")),'TRANS'!$D:$D,0)),IFERROR(INDEX('Catalog'!$A:$A,MATCH($B4158,'Catalog'!$B:$B,0)),IFERROR(INDEX('Catalog'!$A:$A,MATCH(TRIM(SUBSTITUTE($B4158,CHAR(160)," ")),'Catalog'!$C:$C,0)),""))))</f>
        <v>4408033</v>
      </c>
      <c r="H4158" s="8" t="str">
        <f aca="false">IFERROR(INDEX('TRANS'!$C:$C,MATCH($B4158,'TRANS'!$A:$A,0)),IFERROR(INDEX('Catalog'!$B:$B,MATCH($G4158,'Catalog'!$A:$A,0)),$B4158))</f>
        <v>11 M""""חגורת בטן""""אורירית</v>
      </c>
      <c r="I4158" s="8" t="str">
        <f aca="false">IF($G4158="","Unmatched","Matched")</f>
        <v>Matched</v>
      </c>
    </row>
    <row r="4159" customFormat="false" ht="15" hidden="false" customHeight="false" outlineLevel="0" collapsed="false">
      <c r="A4159" s="8" t="s">
        <v>1092</v>
      </c>
      <c r="B4159" s="8" t="s">
        <v>695</v>
      </c>
      <c r="C4159" s="19" t="n">
        <v>0</v>
      </c>
      <c r="D4159" s="19" t="n">
        <v>0</v>
      </c>
      <c r="E4159" s="19" t="n">
        <v>6</v>
      </c>
      <c r="F4159" s="19" t="n">
        <v>282.18</v>
      </c>
      <c r="G4159" s="8" t="n">
        <f aca="false">IFERROR(INDEX('TRANS'!$B:$B,MATCH($B4159,'TRANS'!$A:$A,0)),IFERROR(INDEX('TRANS'!$B:$B,MATCH(TRIM(SUBSTITUTE($B4159,CHAR(160)," ")),'TRANS'!$D:$D,0)),IFERROR(INDEX('Catalog'!$A:$A,MATCH($B4159,'Catalog'!$B:$B,0)),IFERROR(INDEX('Catalog'!$A:$A,MATCH(TRIM(SUBSTITUTE($B4159,CHAR(160)," ")),'Catalog'!$C:$C,0)),""))))</f>
        <v>4408031</v>
      </c>
      <c r="H4159" s="8" t="str">
        <f aca="false">IFERROR(INDEX('TRANS'!$C:$C,MATCH($B4159,'TRANS'!$A:$A,0)),IFERROR(INDEX('Catalog'!$B:$B,MATCH($G4159,'Catalog'!$A:$A,0)),$B4159))</f>
        <v>11 S""""חגורת בטן""""אורירית</v>
      </c>
      <c r="I4159" s="8" t="str">
        <f aca="false">IF($G4159="","Unmatched","Matched")</f>
        <v>Matched</v>
      </c>
    </row>
    <row r="4160" customFormat="false" ht="15" hidden="false" customHeight="false" outlineLevel="0" collapsed="false">
      <c r="A4160" s="8" t="s">
        <v>1092</v>
      </c>
      <c r="B4160" s="8" t="s">
        <v>617</v>
      </c>
      <c r="C4160" s="19" t="n">
        <v>0</v>
      </c>
      <c r="D4160" s="19" t="n">
        <v>0</v>
      </c>
      <c r="E4160" s="19" t="n">
        <v>6</v>
      </c>
      <c r="F4160" s="19" t="n">
        <v>282.18</v>
      </c>
      <c r="G4160" s="8" t="n">
        <f aca="false">IFERROR(INDEX('TRANS'!$B:$B,MATCH($B4160,'TRANS'!$A:$A,0)),IFERROR(INDEX('TRANS'!$B:$B,MATCH(TRIM(SUBSTITUTE($B4160,CHAR(160)," ")),'TRANS'!$D:$D,0)),IFERROR(INDEX('Catalog'!$A:$A,MATCH($B4160,'Catalog'!$B:$B,0)),IFERROR(INDEX('Catalog'!$A:$A,MATCH(TRIM(SUBSTITUTE($B4160,CHAR(160)," ")),'Catalog'!$C:$C,0)),""))))</f>
        <v>4408034</v>
      </c>
      <c r="H4160" s="8" t="str">
        <f aca="false">IFERROR(INDEX('TRANS'!$C:$C,MATCH($B4160,'TRANS'!$A:$A,0)),IFERROR(INDEX('Catalog'!$B:$B,MATCH($G4160,'Catalog'!$A:$A,0)),$B4160))</f>
        <v>11 XL""""חגורת בטן""""אורירית</v>
      </c>
      <c r="I4160" s="8" t="str">
        <f aca="false">IF($G4160="","Unmatched","Matched")</f>
        <v>Matched</v>
      </c>
    </row>
    <row r="4161" customFormat="false" ht="15" hidden="false" customHeight="false" outlineLevel="0" collapsed="false">
      <c r="A4161" s="8" t="s">
        <v>1092</v>
      </c>
      <c r="B4161" s="8" t="s">
        <v>618</v>
      </c>
      <c r="C4161" s="19" t="n">
        <v>6</v>
      </c>
      <c r="D4161" s="19" t="n">
        <v>299.15</v>
      </c>
      <c r="E4161" s="19" t="n">
        <v>3</v>
      </c>
      <c r="F4161" s="19" t="n">
        <v>131.42</v>
      </c>
      <c r="G4161" s="8" t="n">
        <f aca="false">IFERROR(INDEX('TRANS'!$B:$B,MATCH($B4161,'TRANS'!$A:$A,0)),IFERROR(INDEX('TRANS'!$B:$B,MATCH(TRIM(SUBSTITUTE($B4161,CHAR(160)," ")),'TRANS'!$D:$D,0)),IFERROR(INDEX('Catalog'!$A:$A,MATCH($B4161,'Catalog'!$B:$B,0)),IFERROR(INDEX('Catalog'!$A:$A,MATCH(TRIM(SUBSTITUTE($B4161,CHAR(160)," ")),'Catalog'!$C:$C,0)),""))))</f>
        <v>4408035</v>
      </c>
      <c r="H4161" s="8" t="str">
        <f aca="false">IFERROR(INDEX('TRANS'!$C:$C,MATCH($B4161,'TRANS'!$A:$A,0)),IFERROR(INDEX('Catalog'!$B:$B,MATCH($G4161,'Catalog'!$A:$A,0)),$B4161))</f>
        <v>11 XXL""""חגורת בטן""""אורירית</v>
      </c>
      <c r="I4161" s="8" t="str">
        <f aca="false">IF($G4161="","Unmatched","Matched")</f>
        <v>Matched</v>
      </c>
    </row>
    <row r="4162" customFormat="false" ht="15" hidden="false" customHeight="false" outlineLevel="0" collapsed="false">
      <c r="A4162" s="8" t="s">
        <v>1092</v>
      </c>
      <c r="B4162" s="8" t="s">
        <v>72</v>
      </c>
      <c r="C4162" s="19" t="n">
        <v>0</v>
      </c>
      <c r="D4162" s="19" t="n">
        <v>0</v>
      </c>
      <c r="E4162" s="19" t="n">
        <v>6</v>
      </c>
      <c r="F4162" s="19" t="n">
        <v>273.36</v>
      </c>
      <c r="G4162" s="8" t="n">
        <f aca="false">IFERROR(INDEX('TRANS'!$B:$B,MATCH($B4162,'TRANS'!$A:$A,0)),IFERROR(INDEX('TRANS'!$B:$B,MATCH(TRIM(SUBSTITUTE($B4162,CHAR(160)," ")),'TRANS'!$D:$D,0)),IFERROR(INDEX('Catalog'!$A:$A,MATCH($B4162,'Catalog'!$B:$B,0)),IFERROR(INDEX('Catalog'!$A:$A,MATCH(TRIM(SUBSTITUTE($B4162,CHAR(160)," ")),'Catalog'!$C:$C,0)),""))))</f>
        <v>4408115</v>
      </c>
      <c r="H4162" s="8" t="str">
        <f aca="false">IFERROR(INDEX('TRANS'!$C:$C,MATCH($B4162,'TRANS'!$A:$A,0)),IFERROR(INDEX('Catalog'!$B:$B,MATCH($G4162,'Catalog'!$A:$A,0)),$B4162))</f>
        <v>11EU L ח.בטן לאחר ניתוח</v>
      </c>
      <c r="I4162" s="8" t="str">
        <f aca="false">IF($G4162="","Unmatched","Matched")</f>
        <v>Matched</v>
      </c>
    </row>
    <row r="4163" customFormat="false" ht="15" hidden="false" customHeight="false" outlineLevel="0" collapsed="false">
      <c r="A4163" s="8" t="s">
        <v>1092</v>
      </c>
      <c r="B4163" s="8" t="s">
        <v>73</v>
      </c>
      <c r="C4163" s="19" t="n">
        <v>3</v>
      </c>
      <c r="D4163" s="19" t="n">
        <v>141.33</v>
      </c>
      <c r="E4163" s="19" t="n">
        <v>0</v>
      </c>
      <c r="F4163" s="19" t="n">
        <v>0</v>
      </c>
      <c r="G4163" s="8" t="n">
        <f aca="false">IFERROR(INDEX('TRANS'!$B:$B,MATCH($B4163,'TRANS'!$A:$A,0)),IFERROR(INDEX('TRANS'!$B:$B,MATCH(TRIM(SUBSTITUTE($B4163,CHAR(160)," ")),'TRANS'!$D:$D,0)),IFERROR(INDEX('Catalog'!$A:$A,MATCH($B4163,'Catalog'!$B:$B,0)),IFERROR(INDEX('Catalog'!$A:$A,MATCH(TRIM(SUBSTITUTE($B4163,CHAR(160)," ")),'Catalog'!$C:$C,0)),""))))</f>
        <v>4408114</v>
      </c>
      <c r="H4163" s="8" t="str">
        <f aca="false">IFERROR(INDEX('TRANS'!$C:$C,MATCH($B4163,'TRANS'!$A:$A,0)),IFERROR(INDEX('Catalog'!$B:$B,MATCH($G4163,'Catalog'!$A:$A,0)),$B4163))</f>
        <v>11EU M ח.בטן לאחר ניתוח</v>
      </c>
      <c r="I4163" s="8" t="str">
        <f aca="false">IF($G4163="","Unmatched","Matched")</f>
        <v>Matched</v>
      </c>
    </row>
    <row r="4164" customFormat="false" ht="15" hidden="false" customHeight="false" outlineLevel="0" collapsed="false">
      <c r="A4164" s="8" t="s">
        <v>1092</v>
      </c>
      <c r="B4164" s="8" t="s">
        <v>341</v>
      </c>
      <c r="C4164" s="19" t="n">
        <v>6</v>
      </c>
      <c r="D4164" s="19" t="n">
        <v>282.66</v>
      </c>
      <c r="E4164" s="19" t="n">
        <v>6</v>
      </c>
      <c r="F4164" s="19" t="n">
        <v>273.36</v>
      </c>
      <c r="G4164" s="8" t="n">
        <f aca="false">IFERROR(INDEX('TRANS'!$B:$B,MATCH($B4164,'TRANS'!$A:$A,0)),IFERROR(INDEX('TRANS'!$B:$B,MATCH(TRIM(SUBSTITUTE($B4164,CHAR(160)," ")),'TRANS'!$D:$D,0)),IFERROR(INDEX('Catalog'!$A:$A,MATCH($B4164,'Catalog'!$B:$B,0)),IFERROR(INDEX('Catalog'!$A:$A,MATCH(TRIM(SUBSTITUTE($B4164,CHAR(160)," ")),'Catalog'!$C:$C,0)),""))))</f>
        <v>4408116</v>
      </c>
      <c r="H4164" s="8" t="str">
        <f aca="false">IFERROR(INDEX('TRANS'!$C:$C,MATCH($B4164,'TRANS'!$A:$A,0)),IFERROR(INDEX('Catalog'!$B:$B,MATCH($G4164,'Catalog'!$A:$A,0)),$B4164))</f>
        <v>11EU XLח.בטן לאחר ניתוח</v>
      </c>
      <c r="I4164" s="8" t="str">
        <f aca="false">IF($G4164="","Unmatched","Matched")</f>
        <v>Matched</v>
      </c>
    </row>
    <row r="4165" customFormat="false" ht="15" hidden="false" customHeight="false" outlineLevel="0" collapsed="false">
      <c r="A4165" s="8" t="s">
        <v>1092</v>
      </c>
      <c r="B4165" s="8" t="s">
        <v>459</v>
      </c>
      <c r="C4165" s="19" t="n">
        <v>0</v>
      </c>
      <c r="D4165" s="19" t="n">
        <v>0</v>
      </c>
      <c r="E4165" s="19" t="n">
        <v>6</v>
      </c>
      <c r="F4165" s="19" t="n">
        <v>273.36</v>
      </c>
      <c r="G4165" s="8" t="n">
        <f aca="false">IFERROR(INDEX('TRANS'!$B:$B,MATCH($B4165,'TRANS'!$A:$A,0)),IFERROR(INDEX('TRANS'!$B:$B,MATCH(TRIM(SUBSTITUTE($B4165,CHAR(160)," ")),'TRANS'!$D:$D,0)),IFERROR(INDEX('Catalog'!$A:$A,MATCH($B4165,'Catalog'!$B:$B,0)),IFERROR(INDEX('Catalog'!$A:$A,MATCH(TRIM(SUBSTITUTE($B4165,CHAR(160)," ")),'Catalog'!$C:$C,0)),""))))</f>
        <v>4408132</v>
      </c>
      <c r="H4165" s="8" t="str">
        <f aca="false">IFERROR(INDEX('TRANS'!$C:$C,MATCH($B4165,'TRANS'!$A:$A,0)),IFERROR(INDEX('Catalog'!$B:$B,MATCH($G4165,'Catalog'!$A:$A,0)),$B4165))</f>
        <v>11EU XXL חגורת בטןלאחר ניתוח</v>
      </c>
      <c r="I4165" s="8" t="str">
        <f aca="false">IF($G4165="","Unmatched","Matched")</f>
        <v>Matched</v>
      </c>
    </row>
    <row r="4166" customFormat="false" ht="15" hidden="false" customHeight="false" outlineLevel="0" collapsed="false">
      <c r="A4166" s="8" t="s">
        <v>1092</v>
      </c>
      <c r="B4166" s="8" t="s">
        <v>710</v>
      </c>
      <c r="C4166" s="19" t="n">
        <v>3</v>
      </c>
      <c r="D4166" s="19" t="n">
        <v>150.16</v>
      </c>
      <c r="E4166" s="19" t="n">
        <v>3</v>
      </c>
      <c r="F4166" s="19" t="n">
        <v>131.94</v>
      </c>
      <c r="G4166" s="8" t="n">
        <f aca="false">IFERROR(INDEX('TRANS'!$B:$B,MATCH($B4166,'TRANS'!$A:$A,0)),IFERROR(INDEX('TRANS'!$B:$B,MATCH(TRIM(SUBSTITUTE($B4166,CHAR(160)," ")),'TRANS'!$D:$D,0)),IFERROR(INDEX('Catalog'!$A:$A,MATCH($B4166,'Catalog'!$B:$B,0)),IFERROR(INDEX('Catalog'!$A:$A,MATCH(TRIM(SUBSTITUTE($B4166,CHAR(160)," ")),'Catalog'!$C:$C,0)),""))))</f>
        <v>4408232</v>
      </c>
      <c r="H4166" s="8" t="str">
        <f aca="false">IFERROR(INDEX('TRANS'!$C:$C,MATCH($B4166,'TRANS'!$A:$A,0)),IFERROR(INDEX('Catalog'!$B:$B,MATCH($G4166,'Catalog'!$A:$A,0)),$B4166))</f>
        <v>16 XXL חגורת הריון</v>
      </c>
      <c r="I4166" s="8" t="str">
        <f aca="false">IF($G4166="","Unmatched","Matched")</f>
        <v>Matched</v>
      </c>
    </row>
    <row r="4167" customFormat="false" ht="15" hidden="false" customHeight="false" outlineLevel="0" collapsed="false">
      <c r="A4167" s="8" t="s">
        <v>1092</v>
      </c>
      <c r="B4167" s="8" t="s">
        <v>90</v>
      </c>
      <c r="C4167" s="19" t="n">
        <v>3</v>
      </c>
      <c r="D4167" s="19" t="n">
        <v>150.16</v>
      </c>
      <c r="E4167" s="19" t="n">
        <v>7</v>
      </c>
      <c r="F4167" s="19" t="n">
        <v>307.86</v>
      </c>
      <c r="G4167" s="8" t="n">
        <f aca="false">IFERROR(INDEX('TRANS'!$B:$B,MATCH($B4167,'TRANS'!$A:$A,0)),IFERROR(INDEX('TRANS'!$B:$B,MATCH(TRIM(SUBSTITUTE($B4167,CHAR(160)," ")),'TRANS'!$D:$D,0)),IFERROR(INDEX('Catalog'!$A:$A,MATCH($B4167,'Catalog'!$B:$B,0)),IFERROR(INDEX('Catalog'!$A:$A,MATCH(TRIM(SUBSTITUTE($B4167,CHAR(160)," ")),'Catalog'!$C:$C,0)),""))))</f>
        <v>4408230</v>
      </c>
      <c r="H4167" s="8" t="str">
        <f aca="false">IFERROR(INDEX('TRANS'!$C:$C,MATCH($B4167,'TRANS'!$A:$A,0)),IFERROR(INDEX('Catalog'!$B:$B,MATCH($G4167,'Catalog'!$A:$A,0)),$B4167))</f>
        <v>16 L-XL חגורת הריון</v>
      </c>
      <c r="I4167" s="8" t="str">
        <f aca="false">IF($G4167="","Unmatched","Matched")</f>
        <v>Matched</v>
      </c>
    </row>
    <row r="4168" customFormat="false" ht="15" hidden="false" customHeight="false" outlineLevel="0" collapsed="false">
      <c r="A4168" s="8" t="s">
        <v>1092</v>
      </c>
      <c r="B4168" s="8" t="s">
        <v>91</v>
      </c>
      <c r="C4168" s="19" t="n">
        <v>5</v>
      </c>
      <c r="D4168" s="19" t="n">
        <v>257.64</v>
      </c>
      <c r="E4168" s="19" t="n">
        <v>3</v>
      </c>
      <c r="F4168" s="19" t="n">
        <v>131.94</v>
      </c>
      <c r="G4168" s="8" t="n">
        <f aca="false">IFERROR(INDEX('TRANS'!$B:$B,MATCH($B4168,'TRANS'!$A:$A,0)),IFERROR(INDEX('TRANS'!$B:$B,MATCH(TRIM(SUBSTITUTE($B4168,CHAR(160)," ")),'TRANS'!$D:$D,0)),IFERROR(INDEX('Catalog'!$A:$A,MATCH($B4168,'Catalog'!$B:$B,0)),IFERROR(INDEX('Catalog'!$A:$A,MATCH(TRIM(SUBSTITUTE($B4168,CHAR(160)," ")),'Catalog'!$C:$C,0)),""))))</f>
        <v>4408231</v>
      </c>
      <c r="H4168" s="8" t="str">
        <f aca="false">IFERROR(INDEX('TRANS'!$C:$C,MATCH($B4168,'TRANS'!$A:$A,0)),IFERROR(INDEX('Catalog'!$B:$B,MATCH($G4168,'Catalog'!$A:$A,0)),$B4168))</f>
        <v>16 S-M חגורת הריון</v>
      </c>
      <c r="I4168" s="8" t="str">
        <f aca="false">IF($G4168="","Unmatched","Matched")</f>
        <v>Matched</v>
      </c>
    </row>
    <row r="4169" customFormat="false" ht="15" hidden="false" customHeight="false" outlineLevel="0" collapsed="false">
      <c r="A4169" s="8" t="s">
        <v>1092</v>
      </c>
      <c r="B4169" s="8" t="s">
        <v>686</v>
      </c>
      <c r="C4169" s="19" t="n">
        <v>0</v>
      </c>
      <c r="D4169" s="19" t="n">
        <v>0</v>
      </c>
      <c r="E4169" s="19" t="n">
        <v>6</v>
      </c>
      <c r="F4169" s="19" t="n">
        <v>97</v>
      </c>
      <c r="G4169" s="8" t="n">
        <f aca="false">IFERROR(INDEX('TRANS'!$B:$B,MATCH($B4169,'TRANS'!$A:$A,0)),IFERROR(INDEX('TRANS'!$B:$B,MATCH(TRIM(SUBSTITUTE($B4169,CHAR(160)," ")),'TRANS'!$D:$D,0)),IFERROR(INDEX('Catalog'!$A:$A,MATCH($B4169,'Catalog'!$B:$B,0)),IFERROR(INDEX('Catalog'!$A:$A,MATCH(TRIM(SUBSTITUTE($B4169,CHAR(160)," ")),'Catalog'!$C:$C,0)),""))))</f>
        <v>4408046</v>
      </c>
      <c r="H4169" s="8" t="str">
        <f aca="false">IFERROR(INDEX('TRANS'!$C:$C,MATCH($B4169,'TRANS'!$A:$A,0)),IFERROR(INDEX('Catalog'!$B:$B,MATCH($G4169,'Catalog'!$A:$A,0)),$B4169))</f>
        <v>20 L חבק יד מתכוון עם צמדן</v>
      </c>
      <c r="I4169" s="8" t="str">
        <f aca="false">IF($G4169="","Unmatched","Matched")</f>
        <v>Matched</v>
      </c>
    </row>
    <row r="4170" customFormat="false" ht="15" hidden="false" customHeight="false" outlineLevel="0" collapsed="false">
      <c r="A4170" s="8" t="s">
        <v>1092</v>
      </c>
      <c r="B4170" s="8" t="s">
        <v>621</v>
      </c>
      <c r="C4170" s="19" t="n">
        <v>10</v>
      </c>
      <c r="D4170" s="19" t="n">
        <v>171.39</v>
      </c>
      <c r="E4170" s="19" t="n">
        <v>6</v>
      </c>
      <c r="F4170" s="19" t="n">
        <v>97</v>
      </c>
      <c r="G4170" s="8" t="n">
        <f aca="false">IFERROR(INDEX('TRANS'!$B:$B,MATCH($B4170,'TRANS'!$A:$A,0)),IFERROR(INDEX('TRANS'!$B:$B,MATCH(TRIM(SUBSTITUTE($B4170,CHAR(160)," ")),'TRANS'!$D:$D,0)),IFERROR(INDEX('Catalog'!$A:$A,MATCH($B4170,'Catalog'!$B:$B,0)),IFERROR(INDEX('Catalog'!$A:$A,MATCH(TRIM(SUBSTITUTE($B4170,CHAR(160)," ")),'Catalog'!$C:$C,0)),""))))</f>
        <v>4408047</v>
      </c>
      <c r="H4170" s="8" t="str">
        <f aca="false">IFERROR(INDEX('TRANS'!$C:$C,MATCH($B4170,'TRANS'!$A:$A,0)),IFERROR(INDEX('Catalog'!$B:$B,MATCH($G4170,'Catalog'!$A:$A,0)),$B4170))</f>
        <v>20 M חבק יד מתכוון עם צמדן</v>
      </c>
      <c r="I4170" s="8" t="str">
        <f aca="false">IF($G4170="","Unmatched","Matched")</f>
        <v>Matched</v>
      </c>
    </row>
    <row r="4171" customFormat="false" ht="15" hidden="false" customHeight="false" outlineLevel="0" collapsed="false">
      <c r="A4171" s="8" t="s">
        <v>1092</v>
      </c>
      <c r="B4171" s="8" t="s">
        <v>714</v>
      </c>
      <c r="C4171" s="19" t="n">
        <v>6</v>
      </c>
      <c r="D4171" s="19" t="n">
        <v>102.83</v>
      </c>
      <c r="E4171" s="19" t="n">
        <v>0</v>
      </c>
      <c r="F4171" s="19" t="n">
        <v>0</v>
      </c>
      <c r="G4171" s="8" t="n">
        <f aca="false">IFERROR(INDEX('TRANS'!$B:$B,MATCH($B4171,'TRANS'!$A:$A,0)),IFERROR(INDEX('TRANS'!$B:$B,MATCH(TRIM(SUBSTITUTE($B4171,CHAR(160)," ")),'TRANS'!$D:$D,0)),IFERROR(INDEX('Catalog'!$A:$A,MATCH($B4171,'Catalog'!$B:$B,0)),IFERROR(INDEX('Catalog'!$A:$A,MATCH(TRIM(SUBSTITUTE($B4171,CHAR(160)," ")),'Catalog'!$C:$C,0)),""))))</f>
        <v>4408050</v>
      </c>
      <c r="H4171" s="8" t="str">
        <f aca="false">IFERROR(INDEX('TRANS'!$C:$C,MATCH($B4171,'TRANS'!$A:$A,0)),IFERROR(INDEX('Catalog'!$B:$B,MATCH($G4171,'Catalog'!$A:$A,0)),$B4171))</f>
        <v>20 XXL חבק יד מתכוון עם צמדן</v>
      </c>
      <c r="I4171" s="8" t="str">
        <f aca="false">IF($G4171="","Unmatched","Matched")</f>
        <v>Matched</v>
      </c>
    </row>
    <row r="4172" customFormat="false" ht="15" hidden="false" customHeight="false" outlineLevel="0" collapsed="false">
      <c r="A4172" s="8" t="s">
        <v>1092</v>
      </c>
      <c r="B4172" s="8" t="s">
        <v>347</v>
      </c>
      <c r="C4172" s="19" t="n">
        <v>10</v>
      </c>
      <c r="D4172" s="19" t="n">
        <v>179.18</v>
      </c>
      <c r="E4172" s="19" t="n">
        <v>9</v>
      </c>
      <c r="F4172" s="19" t="n">
        <v>148.64</v>
      </c>
      <c r="G4172" s="8" t="n">
        <f aca="false">IFERROR(INDEX('TRANS'!$B:$B,MATCH($B4172,'TRANS'!$A:$A,0)),IFERROR(INDEX('TRANS'!$B:$B,MATCH(TRIM(SUBSTITUTE($B4172,CHAR(160)," ")),'TRANS'!$D:$D,0)),IFERROR(INDEX('Catalog'!$A:$A,MATCH($B4172,'Catalog'!$B:$B,0)),IFERROR(INDEX('Catalog'!$A:$A,MATCH(TRIM(SUBSTITUTE($B4172,CHAR(160)," ")),'Catalog'!$C:$C,0)),""))))</f>
        <v>4408052</v>
      </c>
      <c r="H4172" s="8" t="str">
        <f aca="false">IFERROR(INDEX('TRANS'!$C:$C,MATCH($B4172,'TRANS'!$A:$A,0)),IFERROR(INDEX('Catalog'!$B:$B,MATCH($G4172,'Catalog'!$A:$A,0)),$B4172))</f>
        <v>21 L  חבק יד ארוך</v>
      </c>
      <c r="I4172" s="8" t="str">
        <f aca="false">IF($G4172="","Unmatched","Matched")</f>
        <v>Matched</v>
      </c>
    </row>
    <row r="4173" customFormat="false" ht="15" hidden="false" customHeight="false" outlineLevel="0" collapsed="false">
      <c r="A4173" s="8" t="s">
        <v>1092</v>
      </c>
      <c r="B4173" s="8" t="s">
        <v>92</v>
      </c>
      <c r="C4173" s="19" t="n">
        <v>12</v>
      </c>
      <c r="D4173" s="19" t="n">
        <v>222.94</v>
      </c>
      <c r="E4173" s="19" t="n">
        <v>20</v>
      </c>
      <c r="F4173" s="19" t="n">
        <v>321.82</v>
      </c>
      <c r="G4173" s="8" t="n">
        <f aca="false">IFERROR(INDEX('TRANS'!$B:$B,MATCH($B4173,'TRANS'!$A:$A,0)),IFERROR(INDEX('TRANS'!$B:$B,MATCH(TRIM(SUBSTITUTE($B4173,CHAR(160)," ")),'TRANS'!$D:$D,0)),IFERROR(INDEX('Catalog'!$A:$A,MATCH($B4173,'Catalog'!$B:$B,0)),IFERROR(INDEX('Catalog'!$A:$A,MATCH(TRIM(SUBSTITUTE($B4173,CHAR(160)," ")),'Catalog'!$C:$C,0)),""))))</f>
        <v>4408053</v>
      </c>
      <c r="H4173" s="8" t="str">
        <f aca="false">IFERROR(INDEX('TRANS'!$C:$C,MATCH($B4173,'TRANS'!$A:$A,0)),IFERROR(INDEX('Catalog'!$B:$B,MATCH($G4173,'Catalog'!$A:$A,0)),$B4173))</f>
        <v>21 M  חבק יד ארוך</v>
      </c>
      <c r="I4173" s="8" t="str">
        <f aca="false">IF($G4173="","Unmatched","Matched")</f>
        <v>Matched</v>
      </c>
    </row>
    <row r="4174" customFormat="false" ht="15" hidden="false" customHeight="false" outlineLevel="0" collapsed="false">
      <c r="A4174" s="8" t="s">
        <v>1092</v>
      </c>
      <c r="B4174" s="8" t="s">
        <v>348</v>
      </c>
      <c r="C4174" s="19" t="n">
        <v>6</v>
      </c>
      <c r="D4174" s="19" t="n">
        <v>107.51</v>
      </c>
      <c r="E4174" s="19" t="n">
        <v>0</v>
      </c>
      <c r="F4174" s="19" t="n">
        <v>0</v>
      </c>
      <c r="G4174" s="8" t="n">
        <f aca="false">IFERROR(INDEX('TRANS'!$B:$B,MATCH($B4174,'TRANS'!$A:$A,0)),IFERROR(INDEX('TRANS'!$B:$B,MATCH(TRIM(SUBSTITUTE($B4174,CHAR(160)," ")),'TRANS'!$D:$D,0)),IFERROR(INDEX('Catalog'!$A:$A,MATCH($B4174,'Catalog'!$B:$B,0)),IFERROR(INDEX('Catalog'!$A:$A,MATCH(TRIM(SUBSTITUTE($B4174,CHAR(160)," ")),'Catalog'!$C:$C,0)),""))))</f>
        <v>4408051</v>
      </c>
      <c r="H4174" s="8" t="str">
        <f aca="false">IFERROR(INDEX('TRANS'!$C:$C,MATCH($B4174,'TRANS'!$A:$A,0)),IFERROR(INDEX('Catalog'!$B:$B,MATCH($G4174,'Catalog'!$A:$A,0)),$B4174))</f>
        <v>21 S  חבק יד ארוך</v>
      </c>
      <c r="I4174" s="8" t="str">
        <f aca="false">IF($G4174="","Unmatched","Matched")</f>
        <v>Matched</v>
      </c>
    </row>
    <row r="4175" customFormat="false" ht="15" hidden="false" customHeight="false" outlineLevel="0" collapsed="false">
      <c r="A4175" s="8" t="s">
        <v>1092</v>
      </c>
      <c r="B4175" s="8" t="s">
        <v>349</v>
      </c>
      <c r="C4175" s="19" t="n">
        <v>3</v>
      </c>
      <c r="D4175" s="19" t="n">
        <v>53.75</v>
      </c>
      <c r="E4175" s="19" t="n">
        <v>0</v>
      </c>
      <c r="F4175" s="19" t="n">
        <v>0</v>
      </c>
      <c r="G4175" s="8" t="n">
        <f aca="false">IFERROR(INDEX('TRANS'!$B:$B,MATCH($B4175,'TRANS'!$A:$A,0)),IFERROR(INDEX('TRANS'!$B:$B,MATCH(TRIM(SUBSTITUTE($B4175,CHAR(160)," ")),'TRANS'!$D:$D,0)),IFERROR(INDEX('Catalog'!$A:$A,MATCH($B4175,'Catalog'!$B:$B,0)),IFERROR(INDEX('Catalog'!$A:$A,MATCH(TRIM(SUBSTITUTE($B4175,CHAR(160)," ")),'Catalog'!$C:$C,0)),""))))</f>
        <v>4408054</v>
      </c>
      <c r="H4175" s="8" t="str">
        <f aca="false">IFERROR(INDEX('TRANS'!$C:$C,MATCH($B4175,'TRANS'!$A:$A,0)),IFERROR(INDEX('Catalog'!$B:$B,MATCH($G4175,'Catalog'!$A:$A,0)),$B4175))</f>
        <v>21 XL חבק יד ארוך</v>
      </c>
      <c r="I4175" s="8" t="str">
        <f aca="false">IF($G4175="","Unmatched","Matched")</f>
        <v>Matched</v>
      </c>
    </row>
    <row r="4176" customFormat="false" ht="15" hidden="false" customHeight="false" outlineLevel="0" collapsed="false">
      <c r="A4176" s="8" t="s">
        <v>1092</v>
      </c>
      <c r="B4176" s="8" t="s">
        <v>465</v>
      </c>
      <c r="C4176" s="19" t="n">
        <v>0</v>
      </c>
      <c r="D4176" s="19" t="n">
        <v>0</v>
      </c>
      <c r="E4176" s="19" t="n">
        <v>10</v>
      </c>
      <c r="F4176" s="19" t="n">
        <v>431.72</v>
      </c>
      <c r="G4176" s="8" t="n">
        <f aca="false">IFERROR(INDEX('TRANS'!$B:$B,MATCH($B4176,'TRANS'!$A:$A,0)),IFERROR(INDEX('TRANS'!$B:$B,MATCH(TRIM(SUBSTITUTE($B4176,CHAR(160)," ")),'TRANS'!$D:$D,0)),IFERROR(INDEX('Catalog'!$A:$A,MATCH($B4176,'Catalog'!$B:$B,0)),IFERROR(INDEX('Catalog'!$A:$A,MATCH(TRIM(SUBSTITUTE($B4176,CHAR(160)," ")),'Catalog'!$C:$C,0)),""))))</f>
        <v>4411026</v>
      </c>
      <c r="H4176" s="8" t="str">
        <f aca="false">IFERROR(INDEX('TRANS'!$C:$C,MATCH($B4176,'TRANS'!$A:$A,0)),IFERROR(INDEX('Catalog'!$B:$B,MATCH($G4176,'Catalog'!$A:$A,0)),$B4176))</f>
        <v>213CTSL L שמאל CTS כפפות</v>
      </c>
      <c r="I4176" s="8" t="str">
        <f aca="false">IF($G4176="","Unmatched","Matched")</f>
        <v>Matched</v>
      </c>
    </row>
    <row r="4177" customFormat="false" ht="15" hidden="false" customHeight="false" outlineLevel="0" collapsed="false">
      <c r="A4177" s="8" t="s">
        <v>1092</v>
      </c>
      <c r="B4177" s="8" t="s">
        <v>466</v>
      </c>
      <c r="C4177" s="19" t="n">
        <v>0</v>
      </c>
      <c r="D4177" s="19" t="n">
        <v>0</v>
      </c>
      <c r="E4177" s="19" t="n">
        <v>20</v>
      </c>
      <c r="F4177" s="19" t="n">
        <v>863.44</v>
      </c>
      <c r="G4177" s="8" t="n">
        <f aca="false">IFERROR(INDEX('TRANS'!$B:$B,MATCH($B4177,'TRANS'!$A:$A,0)),IFERROR(INDEX('TRANS'!$B:$B,MATCH(TRIM(SUBSTITUTE($B4177,CHAR(160)," ")),'TRANS'!$D:$D,0)),IFERROR(INDEX('Catalog'!$A:$A,MATCH($B4177,'Catalog'!$B:$B,0)),IFERROR(INDEX('Catalog'!$A:$A,MATCH(TRIM(SUBSTITUTE($B4177,CHAR(160)," ")),'Catalog'!$C:$C,0)),""))))</f>
        <v>4411027</v>
      </c>
      <c r="H4177" s="8" t="str">
        <f aca="false">IFERROR(INDEX('TRANS'!$C:$C,MATCH($B4177,'TRANS'!$A:$A,0)),IFERROR(INDEX('Catalog'!$B:$B,MATCH($G4177,'Catalog'!$A:$A,0)),$B4177))</f>
        <v>213CTSL M שמאל CTS כפפות</v>
      </c>
      <c r="I4177" s="8" t="str">
        <f aca="false">IF($G4177="","Unmatched","Matched")</f>
        <v>Matched</v>
      </c>
    </row>
    <row r="4178" customFormat="false" ht="15" hidden="false" customHeight="false" outlineLevel="0" collapsed="false">
      <c r="A4178" s="8" t="s">
        <v>1092</v>
      </c>
      <c r="B4178" s="8" t="s">
        <v>467</v>
      </c>
      <c r="C4178" s="19" t="n">
        <v>0</v>
      </c>
      <c r="D4178" s="19" t="n">
        <v>0</v>
      </c>
      <c r="E4178" s="19" t="n">
        <v>20</v>
      </c>
      <c r="F4178" s="19" t="n">
        <v>863.44</v>
      </c>
      <c r="G4178" s="8" t="n">
        <f aca="false">IFERROR(INDEX('TRANS'!$B:$B,MATCH($B4178,'TRANS'!$A:$A,0)),IFERROR(INDEX('TRANS'!$B:$B,MATCH(TRIM(SUBSTITUTE($B4178,CHAR(160)," ")),'TRANS'!$D:$D,0)),IFERROR(INDEX('Catalog'!$A:$A,MATCH($B4178,'Catalog'!$B:$B,0)),IFERROR(INDEX('Catalog'!$A:$A,MATCH(TRIM(SUBSTITUTE($B4178,CHAR(160)," ")),'Catalog'!$C:$C,0)),""))))</f>
        <v>4411028</v>
      </c>
      <c r="H4178" s="8" t="str">
        <f aca="false">IFERROR(INDEX('TRANS'!$C:$C,MATCH($B4178,'TRANS'!$A:$A,0)),IFERROR(INDEX('Catalog'!$B:$B,MATCH($G4178,'Catalog'!$A:$A,0)),$B4178))</f>
        <v>213CTSL S שמאל CTS כפפות</v>
      </c>
      <c r="I4178" s="8" t="str">
        <f aca="false">IF($G4178="","Unmatched","Matched")</f>
        <v>Matched</v>
      </c>
    </row>
    <row r="4179" customFormat="false" ht="15" hidden="false" customHeight="false" outlineLevel="0" collapsed="false">
      <c r="A4179" s="8" t="s">
        <v>1092</v>
      </c>
      <c r="B4179" s="8" t="s">
        <v>468</v>
      </c>
      <c r="C4179" s="19" t="n">
        <v>0</v>
      </c>
      <c r="D4179" s="19" t="n">
        <v>0</v>
      </c>
      <c r="E4179" s="19" t="n">
        <v>10</v>
      </c>
      <c r="F4179" s="19" t="n">
        <v>431.72</v>
      </c>
      <c r="G4179" s="8" t="n">
        <f aca="false">IFERROR(INDEX('TRANS'!$B:$B,MATCH($B4179,'TRANS'!$A:$A,0)),IFERROR(INDEX('TRANS'!$B:$B,MATCH(TRIM(SUBSTITUTE($B4179,CHAR(160)," ")),'TRANS'!$D:$D,0)),IFERROR(INDEX('Catalog'!$A:$A,MATCH($B4179,'Catalog'!$B:$B,0)),IFERROR(INDEX('Catalog'!$A:$A,MATCH(TRIM(SUBSTITUTE($B4179,CHAR(160)," ")),'Catalog'!$C:$C,0)),""))))</f>
        <v>4411029</v>
      </c>
      <c r="H4179" s="8" t="str">
        <f aca="false">IFERROR(INDEX('TRANS'!$C:$C,MATCH($B4179,'TRANS'!$A:$A,0)),IFERROR(INDEX('Catalog'!$B:$B,MATCH($G4179,'Catalog'!$A:$A,0)),$B4179))</f>
        <v>213CTSR L ימין CTS כפפות</v>
      </c>
      <c r="I4179" s="8" t="str">
        <f aca="false">IF($G4179="","Unmatched","Matched")</f>
        <v>Matched</v>
      </c>
    </row>
    <row r="4180" customFormat="false" ht="15" hidden="false" customHeight="false" outlineLevel="0" collapsed="false">
      <c r="A4180" s="8" t="s">
        <v>1092</v>
      </c>
      <c r="B4180" s="8" t="s">
        <v>469</v>
      </c>
      <c r="C4180" s="19" t="n">
        <v>0</v>
      </c>
      <c r="D4180" s="19" t="n">
        <v>0</v>
      </c>
      <c r="E4180" s="19" t="n">
        <v>20</v>
      </c>
      <c r="F4180" s="19" t="n">
        <v>863.44</v>
      </c>
      <c r="G4180" s="8" t="n">
        <f aca="false">IFERROR(INDEX('TRANS'!$B:$B,MATCH($B4180,'TRANS'!$A:$A,0)),IFERROR(INDEX('TRANS'!$B:$B,MATCH(TRIM(SUBSTITUTE($B4180,CHAR(160)," ")),'TRANS'!$D:$D,0)),IFERROR(INDEX('Catalog'!$A:$A,MATCH($B4180,'Catalog'!$B:$B,0)),IFERROR(INDEX('Catalog'!$A:$A,MATCH(TRIM(SUBSTITUTE($B4180,CHAR(160)," ")),'Catalog'!$C:$C,0)),""))))</f>
        <v>4411030</v>
      </c>
      <c r="H4180" s="8" t="str">
        <f aca="false">IFERROR(INDEX('TRANS'!$C:$C,MATCH($B4180,'TRANS'!$A:$A,0)),IFERROR(INDEX('Catalog'!$B:$B,MATCH($G4180,'Catalog'!$A:$A,0)),$B4180))</f>
        <v>213CTSR M ימין CTS כפפות</v>
      </c>
      <c r="I4180" s="8" t="str">
        <f aca="false">IF($G4180="","Unmatched","Matched")</f>
        <v>Matched</v>
      </c>
    </row>
    <row r="4181" customFormat="false" ht="15" hidden="false" customHeight="false" outlineLevel="0" collapsed="false">
      <c r="A4181" s="8" t="s">
        <v>1092</v>
      </c>
      <c r="B4181" s="8" t="s">
        <v>470</v>
      </c>
      <c r="C4181" s="19" t="n">
        <v>0</v>
      </c>
      <c r="D4181" s="19" t="n">
        <v>0</v>
      </c>
      <c r="E4181" s="19" t="n">
        <v>20</v>
      </c>
      <c r="F4181" s="19" t="n">
        <v>863.44</v>
      </c>
      <c r="G4181" s="8" t="n">
        <f aca="false">IFERROR(INDEX('TRANS'!$B:$B,MATCH($B4181,'TRANS'!$A:$A,0)),IFERROR(INDEX('TRANS'!$B:$B,MATCH(TRIM(SUBSTITUTE($B4181,CHAR(160)," ")),'TRANS'!$D:$D,0)),IFERROR(INDEX('Catalog'!$A:$A,MATCH($B4181,'Catalog'!$B:$B,0)),IFERROR(INDEX('Catalog'!$A:$A,MATCH(TRIM(SUBSTITUTE($B4181,CHAR(160)," ")),'Catalog'!$C:$C,0)),""))))</f>
        <v>4411031</v>
      </c>
      <c r="H4181" s="8" t="str">
        <f aca="false">IFERROR(INDEX('TRANS'!$C:$C,MATCH($B4181,'TRANS'!$A:$A,0)),IFERROR(INDEX('Catalog'!$B:$B,MATCH($G4181,'Catalog'!$A:$A,0)),$B4181))</f>
        <v>213CTS  S ימין CTS כפפות</v>
      </c>
      <c r="I4181" s="8" t="str">
        <f aca="false">IF($G4181="","Unmatched","Matched")</f>
        <v>Matched</v>
      </c>
    </row>
    <row r="4182" customFormat="false" ht="15" hidden="false" customHeight="false" outlineLevel="0" collapsed="false">
      <c r="A4182" s="8" t="s">
        <v>1092</v>
      </c>
      <c r="B4182" s="8" t="s">
        <v>99</v>
      </c>
      <c r="C4182" s="19" t="n">
        <v>0</v>
      </c>
      <c r="D4182" s="19" t="n">
        <v>0</v>
      </c>
      <c r="E4182" s="19" t="n">
        <v>10</v>
      </c>
      <c r="F4182" s="19" t="n">
        <v>133.48</v>
      </c>
      <c r="G4182" s="8" t="n">
        <f aca="false">IFERROR(INDEX('TRANS'!$B:$B,MATCH($B4182,'TRANS'!$A:$A,0)),IFERROR(INDEX('TRANS'!$B:$B,MATCH(TRIM(SUBSTITUTE($B4182,CHAR(160)," ")),'TRANS'!$D:$D,0)),IFERROR(INDEX('Catalog'!$A:$A,MATCH($B4182,'Catalog'!$B:$B,0)),IFERROR(INDEX('Catalog'!$A:$A,MATCH(TRIM(SUBSTITUTE($B4182,CHAR(160)," ")),'Catalog'!$C:$C,0)),""))))</f>
        <v>4415029</v>
      </c>
      <c r="H4182" s="8" t="str">
        <f aca="false">IFERROR(INDEX('TRANS'!$C:$C,MATCH($B4182,'TRANS'!$A:$A,0)),IFERROR(INDEX('Catalog'!$B:$B,MATCH($G4182,'Catalog'!$A:$A,0)),$B4182))</f>
        <v>סד קיבוע לאצבע הדק</v>
      </c>
      <c r="I4182" s="8" t="str">
        <f aca="false">IF($G4182="","Unmatched","Matched")</f>
        <v>Matched</v>
      </c>
    </row>
    <row r="4183" customFormat="false" ht="15" hidden="false" customHeight="false" outlineLevel="0" collapsed="false">
      <c r="A4183" s="8" t="s">
        <v>1092</v>
      </c>
      <c r="B4183" s="8" t="s">
        <v>100</v>
      </c>
      <c r="C4183" s="19" t="n">
        <v>0</v>
      </c>
      <c r="D4183" s="19" t="n">
        <v>0</v>
      </c>
      <c r="E4183" s="19" t="n">
        <v>10</v>
      </c>
      <c r="F4183" s="19" t="n">
        <v>82.14</v>
      </c>
      <c r="G4183" s="8" t="n">
        <f aca="false">IFERROR(INDEX('TRANS'!$B:$B,MATCH($B4183,'TRANS'!$A:$A,0)),IFERROR(INDEX('TRANS'!$B:$B,MATCH(TRIM(SUBSTITUTE($B4183,CHAR(160)," ")),'TRANS'!$D:$D,0)),IFERROR(INDEX('Catalog'!$A:$A,MATCH($B4183,'Catalog'!$B:$B,0)),IFERROR(INDEX('Catalog'!$A:$A,MATCH(TRIM(SUBSTITUTE($B4183,CHAR(160)," ")),'Catalog'!$C:$C,0)),""))))</f>
        <v>4415162</v>
      </c>
      <c r="H4183" s="8" t="str">
        <f aca="false">IFERROR(INDEX('TRANS'!$C:$C,MATCH($B4183,'TRANS'!$A:$A,0)),IFERROR(INDEX('Catalog'!$B:$B,MATCH($G4183,'Catalog'!$A:$A,0)),$B4183))</f>
        <v>238L סד ליישור אצבע</v>
      </c>
      <c r="I4183" s="8" t="str">
        <f aca="false">IF($G4183="","Unmatched","Matched")</f>
        <v>Matched</v>
      </c>
    </row>
    <row r="4184" customFormat="false" ht="15" hidden="false" customHeight="false" outlineLevel="0" collapsed="false">
      <c r="A4184" s="8" t="s">
        <v>1092</v>
      </c>
      <c r="B4184" s="8" t="s">
        <v>589</v>
      </c>
      <c r="C4184" s="19" t="n">
        <v>12</v>
      </c>
      <c r="D4184" s="19" t="n">
        <v>120.45</v>
      </c>
      <c r="E4184" s="19" t="n">
        <v>0</v>
      </c>
      <c r="F4184" s="19" t="n">
        <v>0</v>
      </c>
      <c r="G4184" s="8" t="n">
        <f aca="false">IFERROR(INDEX('TRANS'!$B:$B,MATCH($B4184,'TRANS'!$A:$A,0)),IFERROR(INDEX('TRANS'!$B:$B,MATCH(TRIM(SUBSTITUTE($B4184,CHAR(160)," ")),'TRANS'!$D:$D,0)),IFERROR(INDEX('Catalog'!$A:$A,MATCH($B4184,'Catalog'!$B:$B,0)),IFERROR(INDEX('Catalog'!$A:$A,MATCH(TRIM(SUBSTITUTE($B4184,CHAR(160)," ")),'Catalog'!$C:$C,0)),""))))</f>
        <v>4415161</v>
      </c>
      <c r="H4184" s="8" t="str">
        <f aca="false">IFERROR(INDEX('TRANS'!$C:$C,MATCH($B4184,'TRANS'!$A:$A,0)),IFERROR(INDEX('Catalog'!$B:$B,MATCH($G4184,'Catalog'!$A:$A,0)),$B4184))</f>
        <v>238M סד ליישור אצבע</v>
      </c>
      <c r="I4184" s="8" t="str">
        <f aca="false">IF($G4184="","Unmatched","Matched")</f>
        <v>Matched</v>
      </c>
    </row>
    <row r="4185" customFormat="false" ht="15" hidden="false" customHeight="false" outlineLevel="0" collapsed="false">
      <c r="A4185" s="8" t="s">
        <v>1092</v>
      </c>
      <c r="B4185" s="8" t="s">
        <v>101</v>
      </c>
      <c r="C4185" s="19" t="n">
        <v>6</v>
      </c>
      <c r="D4185" s="19" t="n">
        <v>54.71</v>
      </c>
      <c r="E4185" s="19" t="n">
        <v>27</v>
      </c>
      <c r="F4185" s="19" t="n">
        <v>229.03</v>
      </c>
      <c r="G4185" s="8" t="n">
        <f aca="false">IFERROR(INDEX('TRANS'!$B:$B,MATCH($B4185,'TRANS'!$A:$A,0)),IFERROR(INDEX('TRANS'!$B:$B,MATCH(TRIM(SUBSTITUTE($B4185,CHAR(160)," ")),'TRANS'!$D:$D,0)),IFERROR(INDEX('Catalog'!$A:$A,MATCH($B4185,'Catalog'!$B:$B,0)),IFERROR(INDEX('Catalog'!$A:$A,MATCH(TRIM(SUBSTITUTE($B4185,CHAR(160)," ")),'Catalog'!$C:$C,0)),""))))</f>
        <v>4415160</v>
      </c>
      <c r="H4185" s="8" t="str">
        <f aca="false">IFERROR(INDEX('TRANS'!$C:$C,MATCH($B4185,'TRANS'!$A:$A,0)),IFERROR(INDEX('Catalog'!$B:$B,MATCH($G4185,'Catalog'!$A:$A,0)),$B4185))</f>
        <v>238S סד ליישור אצבע</v>
      </c>
      <c r="I4185" s="8" t="str">
        <f aca="false">IF($G4185="","Unmatched","Matched")</f>
        <v>Matched</v>
      </c>
    </row>
    <row r="4186" customFormat="false" ht="15" hidden="false" customHeight="false" outlineLevel="0" collapsed="false">
      <c r="A4186" s="8" t="s">
        <v>1092</v>
      </c>
      <c r="B4186" s="8" t="s">
        <v>590</v>
      </c>
      <c r="C4186" s="19" t="n">
        <v>30</v>
      </c>
      <c r="D4186" s="19" t="n">
        <v>301.12</v>
      </c>
      <c r="E4186" s="19" t="n">
        <v>0</v>
      </c>
      <c r="F4186" s="19" t="n">
        <v>0</v>
      </c>
      <c r="G4186" s="8" t="n">
        <f aca="false">IFERROR(INDEX('TRANS'!$B:$B,MATCH($B4186,'TRANS'!$A:$A,0)),IFERROR(INDEX('TRANS'!$B:$B,MATCH(TRIM(SUBSTITUTE($B4186,CHAR(160)," ")),'TRANS'!$D:$D,0)),IFERROR(INDEX('Catalog'!$A:$A,MATCH($B4186,'Catalog'!$B:$B,0)),IFERROR(INDEX('Catalog'!$A:$A,MATCH(TRIM(SUBSTITUTE($B4186,CHAR(160)," ")),'Catalog'!$C:$C,0)),""))))</f>
        <v>4415163</v>
      </c>
      <c r="H4186" s="8" t="str">
        <f aca="false">IFERROR(INDEX('TRANS'!$C:$C,MATCH($B4186,'TRANS'!$A:$A,0)),IFERROR(INDEX('Catalog'!$B:$B,MATCH($G4186,'Catalog'!$A:$A,0)),$B4186))</f>
        <v>238XL סד ליישור אצבע</v>
      </c>
      <c r="I4186" s="8" t="str">
        <f aca="false">IF($G4186="","Unmatched","Matched")</f>
        <v>Matched</v>
      </c>
    </row>
    <row r="4187" customFormat="false" ht="15" hidden="false" customHeight="false" outlineLevel="0" collapsed="false">
      <c r="A4187" s="8" t="s">
        <v>1092</v>
      </c>
      <c r="B4187" s="8" t="s">
        <v>105</v>
      </c>
      <c r="C4187" s="19" t="n">
        <v>20</v>
      </c>
      <c r="D4187" s="19" t="n">
        <v>411.65</v>
      </c>
      <c r="E4187" s="19" t="n">
        <v>12</v>
      </c>
      <c r="F4187" s="19" t="n">
        <v>219.72</v>
      </c>
      <c r="G4187" s="8" t="n">
        <f aca="false">IFERROR(INDEX('TRANS'!$B:$B,MATCH($B4187,'TRANS'!$A:$A,0)),IFERROR(INDEX('TRANS'!$B:$B,MATCH(TRIM(SUBSTITUTE($B4187,CHAR(160)," ")),'TRANS'!$D:$D,0)),IFERROR(INDEX('Catalog'!$A:$A,MATCH($B4187,'Catalog'!$B:$B,0)),IFERROR(INDEX('Catalog'!$A:$A,MATCH(TRIM(SUBSTITUTE($B4187,CHAR(160)," ")),'Catalog'!$C:$C,0)),""))))</f>
        <v>4421005</v>
      </c>
      <c r="H4187" s="8" t="str">
        <f aca="false">IFERROR(INDEX('TRANS'!$C:$C,MATCH($B4187,'TRANS'!$A:$A,0)),IFERROR(INDEX('Catalog'!$B:$B,MATCH($G4187,'Catalog'!$A:$A,0)),$B4187))</f>
        <v>שרוול לגבס קצר יד</v>
      </c>
      <c r="I4187" s="8" t="str">
        <f aca="false">IF($G4187="","Unmatched","Matched")</f>
        <v>Matched</v>
      </c>
    </row>
    <row r="4188" customFormat="false" ht="15" hidden="false" customHeight="false" outlineLevel="0" collapsed="false">
      <c r="A4188" s="8" t="s">
        <v>1092</v>
      </c>
      <c r="B4188" s="8" t="s">
        <v>106</v>
      </c>
      <c r="C4188" s="19" t="n">
        <v>30</v>
      </c>
      <c r="D4188" s="19" t="n">
        <v>689.16</v>
      </c>
      <c r="E4188" s="19" t="n">
        <v>20</v>
      </c>
      <c r="F4188" s="19" t="n">
        <v>415.16</v>
      </c>
      <c r="G4188" s="8" t="n">
        <f aca="false">IFERROR(INDEX('TRANS'!$B:$B,MATCH($B4188,'TRANS'!$A:$A,0)),IFERROR(INDEX('TRANS'!$B:$B,MATCH(TRIM(SUBSTITUTE($B4188,CHAR(160)," ")),'TRANS'!$D:$D,0)),IFERROR(INDEX('Catalog'!$A:$A,MATCH($B4188,'Catalog'!$B:$B,0)),IFERROR(INDEX('Catalog'!$A:$A,MATCH(TRIM(SUBSTITUTE($B4188,CHAR(160)," ")),'Catalog'!$C:$C,0)),""))))</f>
        <v>4421006</v>
      </c>
      <c r="H4188" s="8" t="str">
        <f aca="false">IFERROR(INDEX('TRANS'!$C:$C,MATCH($B4188,'TRANS'!$A:$A,0)),IFERROR(INDEX('Catalog'!$B:$B,MATCH($G4188,'Catalog'!$A:$A,0)),$B4188))</f>
        <v>שרוול לגבס ארוך יד</v>
      </c>
      <c r="I4188" s="8" t="str">
        <f aca="false">IF($G4188="","Unmatched","Matched")</f>
        <v>Matched</v>
      </c>
    </row>
    <row r="4189" customFormat="false" ht="15" hidden="false" customHeight="false" outlineLevel="0" collapsed="false">
      <c r="A4189" s="8" t="s">
        <v>1092</v>
      </c>
      <c r="B4189" s="8" t="s">
        <v>108</v>
      </c>
      <c r="C4189" s="19" t="n">
        <v>20</v>
      </c>
      <c r="D4189" s="19" t="n">
        <v>484.75</v>
      </c>
      <c r="E4189" s="19" t="n">
        <v>30</v>
      </c>
      <c r="F4189" s="19" t="n">
        <v>662.71</v>
      </c>
      <c r="G4189" s="8" t="n">
        <f aca="false">IFERROR(INDEX('TRANS'!$B:$B,MATCH($B4189,'TRANS'!$A:$A,0)),IFERROR(INDEX('TRANS'!$B:$B,MATCH(TRIM(SUBSTITUTE($B4189,CHAR(160)," ")),'TRANS'!$D:$D,0)),IFERROR(INDEX('Catalog'!$A:$A,MATCH($B4189,'Catalog'!$B:$B,0)),IFERROR(INDEX('Catalog'!$A:$A,MATCH(TRIM(SUBSTITUTE($B4189,CHAR(160)," ")),'Catalog'!$C:$C,0)),""))))</f>
        <v>4415158</v>
      </c>
      <c r="H4189" s="8" t="str">
        <f aca="false">IFERROR(INDEX('TRANS'!$C:$C,MATCH($B4189,'TRANS'!$A:$A,0)),IFERROR(INDEX('Catalog'!$B:$B,MATCH($G4189,'Catalog'!$A:$A,0)),$B4189))</f>
        <v>266 סד ליד דו צדדי</v>
      </c>
      <c r="I4189" s="8" t="str">
        <f aca="false">IF($G4189="","Unmatched","Matched")</f>
        <v>Matched</v>
      </c>
    </row>
    <row r="4190" customFormat="false" ht="15" hidden="false" customHeight="false" outlineLevel="0" collapsed="false">
      <c r="A4190" s="8" t="s">
        <v>1092</v>
      </c>
      <c r="B4190" s="8" t="s">
        <v>110</v>
      </c>
      <c r="C4190" s="19" t="n">
        <v>10</v>
      </c>
      <c r="D4190" s="19" t="n">
        <v>379.78</v>
      </c>
      <c r="E4190" s="19" t="n">
        <v>10</v>
      </c>
      <c r="F4190" s="19" t="n">
        <v>358.23</v>
      </c>
      <c r="G4190" s="8" t="n">
        <f aca="false">IFERROR(INDEX('TRANS'!$B:$B,MATCH($B4190,'TRANS'!$A:$A,0)),IFERROR(INDEX('TRANS'!$B:$B,MATCH(TRIM(SUBSTITUTE($B4190,CHAR(160)," ")),'TRANS'!$D:$D,0)),IFERROR(INDEX('Catalog'!$A:$A,MATCH($B4190,'Catalog'!$B:$B,0)),IFERROR(INDEX('Catalog'!$A:$A,MATCH(TRIM(SUBSTITUTE($B4190,CHAR(160)," ")),'Catalog'!$C:$C,0)),""))))</f>
        <v>4415159</v>
      </c>
      <c r="H4190" s="8" t="str">
        <f aca="false">IFERROR(INDEX('TRANS'!$C:$C,MATCH($B4190,'TRANS'!$A:$A,0)),IFERROR(INDEX('Catalog'!$B:$B,MATCH($G4190,'Catalog'!$A:$A,0)),$B4190))</f>
        <v>268 סד לאגודל</v>
      </c>
      <c r="I4190" s="8" t="str">
        <f aca="false">IF($G4190="","Unmatched","Matched")</f>
        <v>Matched</v>
      </c>
    </row>
    <row r="4191" customFormat="false" ht="15" hidden="false" customHeight="false" outlineLevel="0" collapsed="false">
      <c r="A4191" s="8" t="s">
        <v>1092</v>
      </c>
      <c r="B4191" s="8" t="s">
        <v>644</v>
      </c>
      <c r="C4191" s="19" t="n">
        <v>3</v>
      </c>
      <c r="D4191" s="19" t="n">
        <v>120.36</v>
      </c>
      <c r="E4191" s="19" t="n">
        <v>3</v>
      </c>
      <c r="F4191" s="19" t="n">
        <v>105.76</v>
      </c>
      <c r="G4191" s="8" t="n">
        <f aca="false">IFERROR(INDEX('TRANS'!$B:$B,MATCH($B4191,'TRANS'!$A:$A,0)),IFERROR(INDEX('TRANS'!$B:$B,MATCH(TRIM(SUBSTITUTE($B4191,CHAR(160)," ")),'TRANS'!$D:$D,0)),IFERROR(INDEX('Catalog'!$A:$A,MATCH($B4191,'Catalog'!$B:$B,0)),IFERROR(INDEX('Catalog'!$A:$A,MATCH(TRIM(SUBSTITUTE($B4191,CHAR(160)," ")),'Catalog'!$C:$C,0)),""))))</f>
        <v>4415005</v>
      </c>
      <c r="H4191" s="8" t="str">
        <f aca="false">IFERROR(INDEX('TRANS'!$C:$C,MATCH($B4191,'TRANS'!$A:$A,0)),IFERROR(INDEX('Catalog'!$B:$B,MATCH($G4191,'Catalog'!$A:$A,0)),$B4191))</f>
        <v>28 L סד לאגודל לאחר שבר</v>
      </c>
      <c r="I4191" s="8" t="str">
        <f aca="false">IF($G4191="","Unmatched","Matched")</f>
        <v>Matched</v>
      </c>
    </row>
    <row r="4192" customFormat="false" ht="15" hidden="false" customHeight="false" outlineLevel="0" collapsed="false">
      <c r="A4192" s="8" t="s">
        <v>1092</v>
      </c>
      <c r="B4192" s="8" t="s">
        <v>111</v>
      </c>
      <c r="C4192" s="19" t="n">
        <v>9</v>
      </c>
      <c r="D4192" s="19" t="n">
        <v>375.86</v>
      </c>
      <c r="E4192" s="19" t="n">
        <v>0</v>
      </c>
      <c r="F4192" s="19" t="n">
        <v>0</v>
      </c>
      <c r="G4192" s="8" t="n">
        <f aca="false">IFERROR(INDEX('TRANS'!$B:$B,MATCH($B4192,'TRANS'!$A:$A,0)),IFERROR(INDEX('TRANS'!$B:$B,MATCH(TRIM(SUBSTITUTE($B4192,CHAR(160)," ")),'TRANS'!$D:$D,0)),IFERROR(INDEX('Catalog'!$A:$A,MATCH($B4192,'Catalog'!$B:$B,0)),IFERROR(INDEX('Catalog'!$A:$A,MATCH(TRIM(SUBSTITUTE($B4192,CHAR(160)," ")),'Catalog'!$C:$C,0)),""))))</f>
        <v>4415006</v>
      </c>
      <c r="H4192" s="8" t="str">
        <f aca="false">IFERROR(INDEX('TRANS'!$C:$C,MATCH($B4192,'TRANS'!$A:$A,0)),IFERROR(INDEX('Catalog'!$B:$B,MATCH($G4192,'Catalog'!$A:$A,0)),$B4192))</f>
        <v>28 M סד לאגודל לאחר שבר</v>
      </c>
      <c r="I4192" s="8" t="str">
        <f aca="false">IF($G4192="","Unmatched","Matched")</f>
        <v>Matched</v>
      </c>
    </row>
    <row r="4193" customFormat="false" ht="15" hidden="false" customHeight="false" outlineLevel="0" collapsed="false">
      <c r="A4193" s="8" t="s">
        <v>1092</v>
      </c>
      <c r="B4193" s="8" t="s">
        <v>645</v>
      </c>
      <c r="C4193" s="19" t="n">
        <v>10</v>
      </c>
      <c r="D4193" s="19" t="n">
        <v>401.21</v>
      </c>
      <c r="E4193" s="19" t="n">
        <v>6</v>
      </c>
      <c r="F4193" s="19" t="n">
        <v>227.07</v>
      </c>
      <c r="G4193" s="8" t="n">
        <f aca="false">IFERROR(INDEX('TRANS'!$B:$B,MATCH($B4193,'TRANS'!$A:$A,0)),IFERROR(INDEX('TRANS'!$B:$B,MATCH(TRIM(SUBSTITUTE($B4193,CHAR(160)," ")),'TRANS'!$D:$D,0)),IFERROR(INDEX('Catalog'!$A:$A,MATCH($B4193,'Catalog'!$B:$B,0)),IFERROR(INDEX('Catalog'!$A:$A,MATCH(TRIM(SUBSTITUTE($B4193,CHAR(160)," ")),'Catalog'!$C:$C,0)),""))))</f>
        <v>4415007</v>
      </c>
      <c r="H4193" s="8" t="str">
        <f aca="false">IFERROR(INDEX('TRANS'!$C:$C,MATCH($B4193,'TRANS'!$A:$A,0)),IFERROR(INDEX('Catalog'!$B:$B,MATCH($G4193,'Catalog'!$A:$A,0)),$B4193))</f>
        <v>28 S סד לאגודל לאחר שבר</v>
      </c>
      <c r="I4193" s="8" t="str">
        <f aca="false">IF($G4193="","Unmatched","Matched")</f>
        <v>Matched</v>
      </c>
    </row>
    <row r="4194" customFormat="false" ht="15" hidden="false" customHeight="false" outlineLevel="0" collapsed="false">
      <c r="A4194" s="8" t="s">
        <v>1092</v>
      </c>
      <c r="B4194" s="8" t="s">
        <v>646</v>
      </c>
      <c r="C4194" s="19" t="n">
        <v>3</v>
      </c>
      <c r="D4194" s="19" t="n">
        <v>117.4</v>
      </c>
      <c r="E4194" s="19" t="n">
        <v>0</v>
      </c>
      <c r="F4194" s="19" t="n">
        <v>0</v>
      </c>
      <c r="G4194" s="8" t="n">
        <f aca="false">IFERROR(INDEX('TRANS'!$B:$B,MATCH($B4194,'TRANS'!$A:$A,0)),IFERROR(INDEX('TRANS'!$B:$B,MATCH(TRIM(SUBSTITUTE($B4194,CHAR(160)," ")),'TRANS'!$D:$D,0)),IFERROR(INDEX('Catalog'!$A:$A,MATCH($B4194,'Catalog'!$B:$B,0)),IFERROR(INDEX('Catalog'!$A:$A,MATCH(TRIM(SUBSTITUTE($B4194,CHAR(160)," ")),'Catalog'!$C:$C,0)),""))))</f>
        <v>4415008</v>
      </c>
      <c r="H4194" s="8" t="str">
        <f aca="false">IFERROR(INDEX('TRANS'!$C:$C,MATCH($B4194,'TRANS'!$A:$A,0)),IFERROR(INDEX('Catalog'!$B:$B,MATCH($G4194,'Catalog'!$A:$A,0)),$B4194))</f>
        <v>28 XL סד לאגודל לאחר שבר</v>
      </c>
      <c r="I4194" s="8" t="str">
        <f aca="false">IF($G4194="","Unmatched","Matched")</f>
        <v>Matched</v>
      </c>
    </row>
    <row r="4195" customFormat="false" ht="15" hidden="false" customHeight="false" outlineLevel="0" collapsed="false">
      <c r="A4195" s="8" t="s">
        <v>1092</v>
      </c>
      <c r="B4195" s="8" t="s">
        <v>942</v>
      </c>
      <c r="C4195" s="19" t="n">
        <v>0</v>
      </c>
      <c r="D4195" s="19" t="n">
        <v>0</v>
      </c>
      <c r="E4195" s="19" t="n">
        <v>3</v>
      </c>
      <c r="F4195" s="19" t="n">
        <v>113.53</v>
      </c>
      <c r="G4195" s="8" t="n">
        <f aca="false">IFERROR(INDEX('TRANS'!$B:$B,MATCH($B4195,'TRANS'!$A:$A,0)),IFERROR(INDEX('TRANS'!$B:$B,MATCH(TRIM(SUBSTITUTE($B4195,CHAR(160)," ")),'TRANS'!$D:$D,0)),IFERROR(INDEX('Catalog'!$A:$A,MATCH($B4195,'Catalog'!$B:$B,0)),IFERROR(INDEX('Catalog'!$A:$A,MATCH(TRIM(SUBSTITUTE($B4195,CHAR(160)," ")),'Catalog'!$C:$C,0)),""))))</f>
        <v>4415025</v>
      </c>
      <c r="H4195" s="8" t="str">
        <f aca="false">IFERROR(INDEX('TRANS'!$C:$C,MATCH($B4195,'TRANS'!$A:$A,0)),IFERROR(INDEX('Catalog'!$B:$B,MATCH($G4195,'Catalog'!$A:$A,0)),$B4195))</f>
        <v>28-XS סד לאגודל לאחר שבר</v>
      </c>
      <c r="I4195" s="8" t="str">
        <f aca="false">IF($G4195="","Unmatched","Matched")</f>
        <v>Matched</v>
      </c>
    </row>
    <row r="4196" customFormat="false" ht="15" hidden="false" customHeight="false" outlineLevel="0" collapsed="false">
      <c r="A4196" s="8" t="s">
        <v>1092</v>
      </c>
      <c r="B4196" s="8" t="s">
        <v>354</v>
      </c>
      <c r="C4196" s="19" t="n">
        <v>10</v>
      </c>
      <c r="D4196" s="19" t="n">
        <v>338.76</v>
      </c>
      <c r="E4196" s="19" t="n">
        <v>0</v>
      </c>
      <c r="F4196" s="19" t="n">
        <v>0</v>
      </c>
      <c r="G4196" s="8" t="n">
        <f aca="false">IFERROR(INDEX('TRANS'!$B:$B,MATCH($B4196,'TRANS'!$A:$A,0)),IFERROR(INDEX('TRANS'!$B:$B,MATCH(TRIM(SUBSTITUTE($B4196,CHAR(160)," ")),'TRANS'!$D:$D,0)),IFERROR(INDEX('Catalog'!$A:$A,MATCH($B4196,'Catalog'!$B:$B,0)),IFERROR(INDEX('Catalog'!$A:$A,MATCH(TRIM(SUBSTITUTE($B4196,CHAR(160)," ")),'Catalog'!$C:$C,0)),""))))</f>
        <v>4420035</v>
      </c>
      <c r="H4196" s="8" t="str">
        <f aca="false">IFERROR(INDEX('TRANS'!$C:$C,MATCH($B4196,'TRANS'!$A:$A,0)),IFERROR(INDEX('Catalog'!$B:$B,MATCH($G4196,'Catalog'!$A:$A,0)),$B4196))</f>
        <v>301CW 36-40 'רפידת ג'ל בז</v>
      </c>
      <c r="I4196" s="8" t="str">
        <f aca="false">IF($G4196="","Unmatched","Matched")</f>
        <v>Matched</v>
      </c>
    </row>
    <row r="4197" customFormat="false" ht="15" hidden="false" customHeight="false" outlineLevel="0" collapsed="false">
      <c r="A4197" s="8" t="s">
        <v>1092</v>
      </c>
      <c r="B4197" s="8" t="s">
        <v>114</v>
      </c>
      <c r="C4197" s="19" t="n">
        <v>32</v>
      </c>
      <c r="D4197" s="19" t="n">
        <v>1005.51</v>
      </c>
      <c r="E4197" s="19" t="n">
        <v>30</v>
      </c>
      <c r="F4197" s="19" t="n">
        <v>806</v>
      </c>
      <c r="G4197" s="8" t="n">
        <f aca="false">IFERROR(INDEX('TRANS'!$B:$B,MATCH($B4197,'TRANS'!$A:$A,0)),IFERROR(INDEX('TRANS'!$B:$B,MATCH(TRIM(SUBSTITUTE($B4197,CHAR(160)," ")),'TRANS'!$D:$D,0)),IFERROR(INDEX('Catalog'!$A:$A,MATCH($B4197,'Catalog'!$B:$B,0)),IFERROR(INDEX('Catalog'!$A:$A,MATCH(TRIM(SUBSTITUTE($B4197,CHAR(160)," ")),'Catalog'!$C:$C,0)),""))))</f>
        <v>4413348</v>
      </c>
      <c r="H4197" s="8" t="str">
        <f aca="false">IFERROR(INDEX('TRANS'!$C:$C,MATCH($B4197,'TRANS'!$A:$A,0)),IFERROR(INDEX('Catalog'!$B:$B,MATCH($G4197,'Catalog'!$A:$A,0)),$B4197))</f>
        <v>302 מדרס ג'ל לגבר</v>
      </c>
      <c r="I4197" s="8" t="str">
        <f aca="false">IF($G4197="","Unmatched","Matched")</f>
        <v>Matched</v>
      </c>
    </row>
    <row r="4198" customFormat="false" ht="15" hidden="false" customHeight="false" outlineLevel="0" collapsed="false">
      <c r="A4198" s="8" t="s">
        <v>1092</v>
      </c>
      <c r="B4198" s="8" t="s">
        <v>115</v>
      </c>
      <c r="C4198" s="19" t="n">
        <v>20</v>
      </c>
      <c r="D4198" s="19" t="n">
        <v>572.59</v>
      </c>
      <c r="E4198" s="19" t="n">
        <v>0</v>
      </c>
      <c r="F4198" s="19" t="n">
        <v>0</v>
      </c>
      <c r="G4198" s="8" t="n">
        <f aca="false">IFERROR(INDEX('TRANS'!$B:$B,MATCH($B4198,'TRANS'!$A:$A,0)),IFERROR(INDEX('TRANS'!$B:$B,MATCH(TRIM(SUBSTITUTE($B4198,CHAR(160)," ")),'TRANS'!$D:$D,0)),IFERROR(INDEX('Catalog'!$A:$A,MATCH($B4198,'Catalog'!$B:$B,0)),IFERROR(INDEX('Catalog'!$A:$A,MATCH(TRIM(SUBSTITUTE($B4198,CHAR(160)," ")),'Catalog'!$C:$C,0)),""))))</f>
        <v>4413372</v>
      </c>
      <c r="H4198" s="8" t="str">
        <f aca="false">IFERROR(INDEX('TRANS'!$C:$C,MATCH($B4198,'TRANS'!$A:$A,0)),IFERROR(INDEX('Catalog'!$B:$B,MATCH($G4198,'Catalog'!$A:$A,0)),$B4198))</f>
        <v>302 W מדרס לאישה</v>
      </c>
      <c r="I4198" s="8" t="str">
        <f aca="false">IF($G4198="","Unmatched","Matched")</f>
        <v>Matched</v>
      </c>
    </row>
    <row r="4199" customFormat="false" ht="15" hidden="false" customHeight="false" outlineLevel="0" collapsed="false">
      <c r="A4199" s="8" t="s">
        <v>1092</v>
      </c>
      <c r="B4199" s="8" t="s">
        <v>356</v>
      </c>
      <c r="C4199" s="19" t="n">
        <v>0</v>
      </c>
      <c r="D4199" s="19" t="n">
        <v>0</v>
      </c>
      <c r="E4199" s="19" t="n">
        <v>2</v>
      </c>
      <c r="F4199" s="19" t="n">
        <v>67.77</v>
      </c>
      <c r="G4199" s="8" t="str">
        <f aca="false">IFERROR(INDEX('TRANS'!$B:$B,MATCH($B4199,'TRANS'!$A:$A,0)),IFERROR(INDEX('TRANS'!$B:$B,MATCH(TRIM(SUBSTITUTE($B4199,CHAR(160)," ")),'TRANS'!$D:$D,0)),IFERROR(INDEX('Catalog'!$A:$A,MATCH($B4199,'Catalog'!$B:$B,0)),IFERROR(INDEX('Catalog'!$A:$A,MATCH(TRIM(SUBSTITUTE($B4199,CHAR(160)," ")),'Catalog'!$C:$C,0)),""))))</f>
        <v/>
      </c>
      <c r="H4199" s="8" t="str">
        <f aca="false">IFERROR(INDEX('TRANS'!$C:$C,MATCH($B4199,'TRANS'!$A:$A,0)),IFERROR(INDEX('Catalog'!$B:$B,MATCH($G4199,'Catalog'!$A:$A,0)),$B4199))</f>
        <v>305-35-36</v>
      </c>
      <c r="I4199" s="8" t="str">
        <f aca="false">IF($G4199="","Unmatched","Matched")</f>
        <v>Unmatched</v>
      </c>
    </row>
    <row r="4200" customFormat="false" ht="15" hidden="false" customHeight="false" outlineLevel="0" collapsed="false">
      <c r="A4200" s="8" t="s">
        <v>1092</v>
      </c>
      <c r="B4200" s="8" t="s">
        <v>946</v>
      </c>
      <c r="C4200" s="19" t="n">
        <v>12</v>
      </c>
      <c r="D4200" s="19" t="n">
        <v>474.09</v>
      </c>
      <c r="E4200" s="19" t="n">
        <v>22</v>
      </c>
      <c r="F4200" s="19" t="n">
        <v>760.37</v>
      </c>
      <c r="G4200" s="8" t="str">
        <f aca="false">IFERROR(INDEX('TRANS'!$B:$B,MATCH($B4200,'TRANS'!$A:$A,0)),IFERROR(INDEX('TRANS'!$B:$B,MATCH(TRIM(SUBSTITUTE($B4200,CHAR(160)," ")),'TRANS'!$D:$D,0)),IFERROR(INDEX('Catalog'!$A:$A,MATCH($B4200,'Catalog'!$B:$B,0)),IFERROR(INDEX('Catalog'!$A:$A,MATCH(TRIM(SUBSTITUTE($B4200,CHAR(160)," ")),'Catalog'!$C:$C,0)),""))))</f>
        <v/>
      </c>
      <c r="H4200" s="8" t="str">
        <f aca="false">IFERROR(INDEX('TRANS'!$C:$C,MATCH($B4200,'TRANS'!$A:$A,0)),IFERROR(INDEX('Catalog'!$B:$B,MATCH($G4200,'Catalog'!$A:$A,0)),$B4200))</f>
        <v>305-37-38</v>
      </c>
      <c r="I4200" s="8" t="str">
        <f aca="false">IF($G4200="","Unmatched","Matched")</f>
        <v>Unmatched</v>
      </c>
    </row>
    <row r="4201" customFormat="false" ht="15" hidden="false" customHeight="false" outlineLevel="0" collapsed="false">
      <c r="A4201" s="8" t="s">
        <v>1092</v>
      </c>
      <c r="B4201" s="8" t="s">
        <v>947</v>
      </c>
      <c r="C4201" s="19" t="n">
        <v>25</v>
      </c>
      <c r="D4201" s="19" t="n">
        <v>961.17</v>
      </c>
      <c r="E4201" s="19" t="n">
        <v>10</v>
      </c>
      <c r="F4201" s="19" t="n">
        <v>363.75</v>
      </c>
      <c r="G4201" s="8" t="str">
        <f aca="false">IFERROR(INDEX('TRANS'!$B:$B,MATCH($B4201,'TRANS'!$A:$A,0)),IFERROR(INDEX('TRANS'!$B:$B,MATCH(TRIM(SUBSTITUTE($B4201,CHAR(160)," ")),'TRANS'!$D:$D,0)),IFERROR(INDEX('Catalog'!$A:$A,MATCH($B4201,'Catalog'!$B:$B,0)),IFERROR(INDEX('Catalog'!$A:$A,MATCH(TRIM(SUBSTITUTE($B4201,CHAR(160)," ")),'Catalog'!$C:$C,0)),""))))</f>
        <v/>
      </c>
      <c r="H4201" s="8" t="str">
        <f aca="false">IFERROR(INDEX('TRANS'!$C:$C,MATCH($B4201,'TRANS'!$A:$A,0)),IFERROR(INDEX('Catalog'!$B:$B,MATCH($G4201,'Catalog'!$A:$A,0)),$B4201))</f>
        <v>305-39-40</v>
      </c>
      <c r="I4201" s="8" t="str">
        <f aca="false">IF($G4201="","Unmatched","Matched")</f>
        <v>Unmatched</v>
      </c>
    </row>
    <row r="4202" customFormat="false" ht="15" hidden="false" customHeight="false" outlineLevel="0" collapsed="false">
      <c r="A4202" s="8" t="s">
        <v>1092</v>
      </c>
      <c r="B4202" s="8" t="s">
        <v>780</v>
      </c>
      <c r="C4202" s="19" t="n">
        <v>22</v>
      </c>
      <c r="D4202" s="19" t="n">
        <v>836.96</v>
      </c>
      <c r="E4202" s="19" t="n">
        <v>20</v>
      </c>
      <c r="F4202" s="19" t="n">
        <v>727.49</v>
      </c>
      <c r="G4202" s="8" t="str">
        <f aca="false">IFERROR(INDEX('TRANS'!$B:$B,MATCH($B4202,'TRANS'!$A:$A,0)),IFERROR(INDEX('TRANS'!$B:$B,MATCH(TRIM(SUBSTITUTE($B4202,CHAR(160)," ")),'TRANS'!$D:$D,0)),IFERROR(INDEX('Catalog'!$A:$A,MATCH($B4202,'Catalog'!$B:$B,0)),IFERROR(INDEX('Catalog'!$A:$A,MATCH(TRIM(SUBSTITUTE($B4202,CHAR(160)," ")),'Catalog'!$C:$C,0)),""))))</f>
        <v/>
      </c>
      <c r="H4202" s="8" t="str">
        <f aca="false">IFERROR(INDEX('TRANS'!$C:$C,MATCH($B4202,'TRANS'!$A:$A,0)),IFERROR(INDEX('Catalog'!$B:$B,MATCH($G4202,'Catalog'!$A:$A,0)),$B4202))</f>
        <v>305-41-42</v>
      </c>
      <c r="I4202" s="8" t="str">
        <f aca="false">IF($G4202="","Unmatched","Matched")</f>
        <v>Unmatched</v>
      </c>
    </row>
    <row r="4203" customFormat="false" ht="15" hidden="false" customHeight="false" outlineLevel="0" collapsed="false">
      <c r="A4203" s="8" t="s">
        <v>1092</v>
      </c>
      <c r="B4203" s="8" t="s">
        <v>948</v>
      </c>
      <c r="C4203" s="19" t="n">
        <v>26</v>
      </c>
      <c r="D4203" s="19" t="n">
        <v>1010.16</v>
      </c>
      <c r="E4203" s="19" t="n">
        <v>36</v>
      </c>
      <c r="F4203" s="19" t="n">
        <v>1234.73</v>
      </c>
      <c r="G4203" s="8" t="str">
        <f aca="false">IFERROR(INDEX('TRANS'!$B:$B,MATCH($B4203,'TRANS'!$A:$A,0)),IFERROR(INDEX('TRANS'!$B:$B,MATCH(TRIM(SUBSTITUTE($B4203,CHAR(160)," ")),'TRANS'!$D:$D,0)),IFERROR(INDEX('Catalog'!$A:$A,MATCH($B4203,'Catalog'!$B:$B,0)),IFERROR(INDEX('Catalog'!$A:$A,MATCH(TRIM(SUBSTITUTE($B4203,CHAR(160)," ")),'Catalog'!$C:$C,0)),""))))</f>
        <v/>
      </c>
      <c r="H4203" s="8" t="str">
        <f aca="false">IFERROR(INDEX('TRANS'!$C:$C,MATCH($B4203,'TRANS'!$A:$A,0)),IFERROR(INDEX('Catalog'!$B:$B,MATCH($G4203,'Catalog'!$A:$A,0)),$B4203))</f>
        <v>305-43-44</v>
      </c>
      <c r="I4203" s="8" t="str">
        <f aca="false">IF($G4203="","Unmatched","Matched")</f>
        <v>Unmatched</v>
      </c>
    </row>
    <row r="4204" customFormat="false" ht="15" hidden="false" customHeight="false" outlineLevel="0" collapsed="false">
      <c r="A4204" s="8" t="s">
        <v>1092</v>
      </c>
      <c r="B4204" s="8" t="s">
        <v>949</v>
      </c>
      <c r="C4204" s="19" t="n">
        <v>13</v>
      </c>
      <c r="D4204" s="19" t="n">
        <v>500.33</v>
      </c>
      <c r="E4204" s="19" t="n">
        <v>10</v>
      </c>
      <c r="F4204" s="19" t="n">
        <v>363.75</v>
      </c>
      <c r="G4204" s="8" t="str">
        <f aca="false">IFERROR(INDEX('TRANS'!$B:$B,MATCH($B4204,'TRANS'!$A:$A,0)),IFERROR(INDEX('TRANS'!$B:$B,MATCH(TRIM(SUBSTITUTE($B4204,CHAR(160)," ")),'TRANS'!$D:$D,0)),IFERROR(INDEX('Catalog'!$A:$A,MATCH($B4204,'Catalog'!$B:$B,0)),IFERROR(INDEX('Catalog'!$A:$A,MATCH(TRIM(SUBSTITUTE($B4204,CHAR(160)," ")),'Catalog'!$C:$C,0)),""))))</f>
        <v/>
      </c>
      <c r="H4204" s="8" t="str">
        <f aca="false">IFERROR(INDEX('TRANS'!$C:$C,MATCH($B4204,'TRANS'!$A:$A,0)),IFERROR(INDEX('Catalog'!$B:$B,MATCH($G4204,'Catalog'!$A:$A,0)),$B4204))</f>
        <v>305-45-46</v>
      </c>
      <c r="I4204" s="8" t="str">
        <f aca="false">IF($G4204="","Unmatched","Matched")</f>
        <v>Unmatched</v>
      </c>
    </row>
    <row r="4205" customFormat="false" ht="15" hidden="false" customHeight="false" outlineLevel="0" collapsed="false">
      <c r="A4205" s="8" t="s">
        <v>1092</v>
      </c>
      <c r="B4205" s="8" t="s">
        <v>121</v>
      </c>
      <c r="C4205" s="19" t="n">
        <v>12</v>
      </c>
      <c r="D4205" s="19" t="n">
        <v>393.96</v>
      </c>
      <c r="E4205" s="19" t="n">
        <v>0</v>
      </c>
      <c r="F4205" s="19" t="n">
        <v>0</v>
      </c>
      <c r="G4205" s="8" t="n">
        <f aca="false">IFERROR(INDEX('TRANS'!$B:$B,MATCH($B4205,'TRANS'!$A:$A,0)),IFERROR(INDEX('TRANS'!$B:$B,MATCH(TRIM(SUBSTITUTE($B4205,CHAR(160)," ")),'TRANS'!$D:$D,0)),IFERROR(INDEX('Catalog'!$A:$A,MATCH($B4205,'Catalog'!$B:$B,0)),IFERROR(INDEX('Catalog'!$A:$A,MATCH(TRIM(SUBSTITUTE($B4205,CHAR(160)," ")),'Catalog'!$C:$C,0)),""))))</f>
        <v>4416001</v>
      </c>
      <c r="H4205" s="8" t="str">
        <f aca="false">IFERROR(INDEX('TRANS'!$C:$C,MATCH($B4205,'TRANS'!$A:$A,0)),IFERROR(INDEX('Catalog'!$B:$B,MATCH($G4205,'Catalog'!$A:$A,0)),$B4205))</f>
        <v>307 M עקבים לדורבן-זוג כריות</v>
      </c>
      <c r="I4205" s="8" t="str">
        <f aca="false">IF($G4205="","Unmatched","Matched")</f>
        <v>Matched</v>
      </c>
    </row>
    <row r="4206" customFormat="false" ht="15" hidden="false" customHeight="false" outlineLevel="0" collapsed="false">
      <c r="A4206" s="8" t="s">
        <v>1092</v>
      </c>
      <c r="B4206" s="8" t="s">
        <v>647</v>
      </c>
      <c r="C4206" s="19" t="n">
        <v>3</v>
      </c>
      <c r="D4206" s="19" t="n">
        <v>98.49</v>
      </c>
      <c r="E4206" s="19" t="n">
        <v>0</v>
      </c>
      <c r="F4206" s="19" t="n">
        <v>0</v>
      </c>
      <c r="G4206" s="8" t="n">
        <f aca="false">IFERROR(INDEX('TRANS'!$B:$B,MATCH($B4206,'TRANS'!$A:$A,0)),IFERROR(INDEX('TRANS'!$B:$B,MATCH(TRIM(SUBSTITUTE($B4206,CHAR(160)," ")),'TRANS'!$D:$D,0)),IFERROR(INDEX('Catalog'!$A:$A,MATCH($B4206,'Catalog'!$B:$B,0)),IFERROR(INDEX('Catalog'!$A:$A,MATCH(TRIM(SUBSTITUTE($B4206,CHAR(160)," ")),'Catalog'!$C:$C,0)),""))))</f>
        <v>4416002</v>
      </c>
      <c r="H4206" s="8" t="str">
        <f aca="false">IFERROR(INDEX('TRANS'!$C:$C,MATCH($B4206,'TRANS'!$A:$A,0)),IFERROR(INDEX('Catalog'!$B:$B,MATCH($G4206,'Catalog'!$A:$A,0)),$B4206))</f>
        <v>307 S עקבים לדורבן-זוג כריות</v>
      </c>
      <c r="I4206" s="8" t="str">
        <f aca="false">IF($G4206="","Unmatched","Matched")</f>
        <v>Matched</v>
      </c>
    </row>
    <row r="4207" customFormat="false" ht="15" hidden="false" customHeight="false" outlineLevel="0" collapsed="false">
      <c r="A4207" s="8" t="s">
        <v>1092</v>
      </c>
      <c r="B4207" s="8" t="s">
        <v>124</v>
      </c>
      <c r="C4207" s="19" t="n">
        <v>10</v>
      </c>
      <c r="D4207" s="19" t="n">
        <v>108.28</v>
      </c>
      <c r="E4207" s="19" t="n">
        <v>10</v>
      </c>
      <c r="F4207" s="19" t="n">
        <v>104.71</v>
      </c>
      <c r="G4207" s="8" t="n">
        <f aca="false">IFERROR(INDEX('TRANS'!$B:$B,MATCH($B4207,'TRANS'!$A:$A,0)),IFERROR(INDEX('TRANS'!$B:$B,MATCH(TRIM(SUBSTITUTE($B4207,CHAR(160)," ")),'TRANS'!$D:$D,0)),IFERROR(INDEX('Catalog'!$A:$A,MATCH($B4207,'Catalog'!$B:$B,0)),IFERROR(INDEX('Catalog'!$A:$A,MATCH(TRIM(SUBSTITUTE($B4207,CHAR(160)," ")),'Catalog'!$C:$C,0)),""))))</f>
        <v>4413033</v>
      </c>
      <c r="H4207" s="8" t="str">
        <f aca="false">IFERROR(INDEX('TRANS'!$C:$C,MATCH($B4207,'TRANS'!$A:$A,0)),IFERROR(INDEX('Catalog'!$B:$B,MATCH($G4207,'Catalog'!$A:$A,0)),$B4207))</f>
        <v>311'מדב.ג'ל למניעת שפשוף 5 יח</v>
      </c>
      <c r="I4207" s="8" t="str">
        <f aca="false">IF($G4207="","Unmatched","Matched")</f>
        <v>Matched</v>
      </c>
    </row>
    <row r="4208" customFormat="false" ht="15" hidden="false" customHeight="false" outlineLevel="0" collapsed="false">
      <c r="A4208" s="8" t="s">
        <v>1092</v>
      </c>
      <c r="B4208" s="8" t="s">
        <v>126</v>
      </c>
      <c r="C4208" s="19" t="n">
        <v>10</v>
      </c>
      <c r="D4208" s="19" t="n">
        <v>138.28</v>
      </c>
      <c r="E4208" s="19" t="n">
        <v>10</v>
      </c>
      <c r="F4208" s="19" t="n">
        <v>130.43</v>
      </c>
      <c r="G4208" s="8" t="n">
        <f aca="false">IFERROR(INDEX('TRANS'!$B:$B,MATCH($B4208,'TRANS'!$A:$A,0)),IFERROR(INDEX('TRANS'!$B:$B,MATCH(TRIM(SUBSTITUTE($B4208,CHAR(160)," ")),'TRANS'!$D:$D,0)),IFERROR(INDEX('Catalog'!$A:$A,MATCH($B4208,'Catalog'!$B:$B,0)),IFERROR(INDEX('Catalog'!$A:$A,MATCH(TRIM(SUBSTITUTE($B4208,CHAR(160)," ")),'Catalog'!$C:$C,0)),""))))</f>
        <v>4415297</v>
      </c>
      <c r="H4208" s="8" t="str">
        <f aca="false">IFERROR(INDEX('TRANS'!$C:$C,MATCH($B4208,'TRANS'!$A:$A,0)),IFERROR(INDEX('Catalog'!$B:$B,MATCH($G4208,'Catalog'!$A:$A,0)),$B4208))</f>
        <v>313 סט פלסטרים נגד שפשופים</v>
      </c>
      <c r="I4208" s="8" t="str">
        <f aca="false">IF($G4208="","Unmatched","Matched")</f>
        <v>Matched</v>
      </c>
    </row>
    <row r="4209" customFormat="false" ht="15" hidden="false" customHeight="false" outlineLevel="0" collapsed="false">
      <c r="A4209" s="8" t="s">
        <v>1092</v>
      </c>
      <c r="B4209" s="8" t="s">
        <v>128</v>
      </c>
      <c r="C4209" s="19" t="n">
        <v>0</v>
      </c>
      <c r="D4209" s="19" t="n">
        <v>0</v>
      </c>
      <c r="E4209" s="19" t="n">
        <v>10</v>
      </c>
      <c r="F4209" s="19" t="n">
        <v>69.81</v>
      </c>
      <c r="G4209" s="8" t="n">
        <f aca="false">IFERROR(INDEX('TRANS'!$B:$B,MATCH($B4209,'TRANS'!$A:$A,0)),IFERROR(INDEX('TRANS'!$B:$B,MATCH(TRIM(SUBSTITUTE($B4209,CHAR(160)," ")),'TRANS'!$D:$D,0)),IFERROR(INDEX('Catalog'!$A:$A,MATCH($B4209,'Catalog'!$B:$B,0)),IFERROR(INDEX('Catalog'!$A:$A,MATCH(TRIM(SUBSTITUTE($B4209,CHAR(160)," ")),'Catalog'!$C:$C,0)),""))))</f>
        <v>4402007</v>
      </c>
      <c r="H4209" s="8" t="str">
        <f aca="false">IFERROR(INDEX('TRANS'!$C:$C,MATCH($B4209,'TRANS'!$A:$A,0)),IFERROR(INDEX('Catalog'!$B:$B,MATCH($G4209,'Catalog'!$A:$A,0)),$B4209))</f>
        <v>320 בליסטר פלסטר</v>
      </c>
      <c r="I4209" s="8" t="str">
        <f aca="false">IF($G4209="","Unmatched","Matched")</f>
        <v>Matched</v>
      </c>
    </row>
    <row r="4210" customFormat="false" ht="15" hidden="false" customHeight="false" outlineLevel="0" collapsed="false">
      <c r="A4210" s="8" t="s">
        <v>1092</v>
      </c>
      <c r="B4210" s="8" t="s">
        <v>564</v>
      </c>
      <c r="C4210" s="19" t="n">
        <v>13</v>
      </c>
      <c r="D4210" s="19" t="n">
        <v>308.99</v>
      </c>
      <c r="E4210" s="19" t="n">
        <v>10</v>
      </c>
      <c r="F4210" s="19" t="n">
        <v>220.45</v>
      </c>
      <c r="G4210" s="8" t="n">
        <f aca="false">IFERROR(INDEX('TRANS'!$B:$B,MATCH($B4210,'TRANS'!$A:$A,0)),IFERROR(INDEX('TRANS'!$B:$B,MATCH(TRIM(SUBSTITUTE($B4210,CHAR(160)," ")),'TRANS'!$D:$D,0)),IFERROR(INDEX('Catalog'!$A:$A,MATCH($B4210,'Catalog'!$B:$B,0)),IFERROR(INDEX('Catalog'!$A:$A,MATCH(TRIM(SUBSTITUTE($B4210,CHAR(160)," ")),'Catalog'!$C:$C,0)),""))))</f>
        <v>4413043</v>
      </c>
      <c r="H4210" s="8" t="str">
        <f aca="false">IFERROR(INDEX('TRANS'!$C:$C,MATCH($B4210,'TRANS'!$A:$A,0)),IFERROR(INDEX('Catalog'!$B:$B,MATCH($G4210,'Catalog'!$A:$A,0)),$B4210))</f>
        <v>34  L מגן קרסול עקב סגור</v>
      </c>
      <c r="I4210" s="8" t="str">
        <f aca="false">IF($G4210="","Unmatched","Matched")</f>
        <v>Matched</v>
      </c>
    </row>
    <row r="4211" customFormat="false" ht="15" hidden="false" customHeight="false" outlineLevel="0" collapsed="false">
      <c r="A4211" s="8" t="s">
        <v>1092</v>
      </c>
      <c r="B4211" s="8" t="s">
        <v>575</v>
      </c>
      <c r="C4211" s="19" t="n">
        <v>3</v>
      </c>
      <c r="D4211" s="19" t="n">
        <v>75.28</v>
      </c>
      <c r="E4211" s="19" t="n">
        <v>6</v>
      </c>
      <c r="F4211" s="19" t="n">
        <v>123.21</v>
      </c>
      <c r="G4211" s="8" t="n">
        <f aca="false">IFERROR(INDEX('TRANS'!$B:$B,MATCH($B4211,'TRANS'!$A:$A,0)),IFERROR(INDEX('TRANS'!$B:$B,MATCH(TRIM(SUBSTITUTE($B4211,CHAR(160)," ")),'TRANS'!$D:$D,0)),IFERROR(INDEX('Catalog'!$A:$A,MATCH($B4211,'Catalog'!$B:$B,0)),IFERROR(INDEX('Catalog'!$A:$A,MATCH(TRIM(SUBSTITUTE($B4211,CHAR(160)," ")),'Catalog'!$C:$C,0)),""))))</f>
        <v>4413041</v>
      </c>
      <c r="H4211" s="8" t="str">
        <f aca="false">IFERROR(INDEX('TRANS'!$C:$C,MATCH($B4211,'TRANS'!$A:$A,0)),IFERROR(INDEX('Catalog'!$B:$B,MATCH($G4211,'Catalog'!$A:$A,0)),$B4211))</f>
        <v>34  M מגן קרסול עקב סגור</v>
      </c>
      <c r="I4211" s="8" t="str">
        <f aca="false">IF($G4211="","Unmatched","Matched")</f>
        <v>Matched</v>
      </c>
    </row>
    <row r="4212" customFormat="false" ht="15" hidden="false" customHeight="false" outlineLevel="0" collapsed="false">
      <c r="A4212" s="8" t="s">
        <v>1092</v>
      </c>
      <c r="B4212" s="8" t="s">
        <v>743</v>
      </c>
      <c r="C4212" s="19" t="n">
        <v>13</v>
      </c>
      <c r="D4212" s="19" t="n">
        <v>303.23</v>
      </c>
      <c r="E4212" s="19" t="n">
        <v>0</v>
      </c>
      <c r="F4212" s="19" t="n">
        <v>0</v>
      </c>
      <c r="G4212" s="8" t="n">
        <f aca="false">IFERROR(INDEX('TRANS'!$B:$B,MATCH($B4212,'TRANS'!$A:$A,0)),IFERROR(INDEX('TRANS'!$B:$B,MATCH(TRIM(SUBSTITUTE($B4212,CHAR(160)," ")),'TRANS'!$D:$D,0)),IFERROR(INDEX('Catalog'!$A:$A,MATCH($B4212,'Catalog'!$B:$B,0)),IFERROR(INDEX('Catalog'!$A:$A,MATCH(TRIM(SUBSTITUTE($B4212,CHAR(160)," ")),'Catalog'!$C:$C,0)),""))))</f>
        <v>4413042</v>
      </c>
      <c r="H4212" s="8" t="str">
        <f aca="false">IFERROR(INDEX('TRANS'!$C:$C,MATCH($B4212,'TRANS'!$A:$A,0)),IFERROR(INDEX('Catalog'!$B:$B,MATCH($G4212,'Catalog'!$A:$A,0)),$B4212))</f>
        <v>34  S מגן קרסול עקב סגור</v>
      </c>
      <c r="I4212" s="8" t="str">
        <f aca="false">IF($G4212="","Unmatched","Matched")</f>
        <v>Matched</v>
      </c>
    </row>
    <row r="4213" customFormat="false" ht="15" hidden="false" customHeight="false" outlineLevel="0" collapsed="false">
      <c r="A4213" s="8" t="s">
        <v>1092</v>
      </c>
      <c r="B4213" s="8" t="s">
        <v>576</v>
      </c>
      <c r="C4213" s="19" t="n">
        <v>10</v>
      </c>
      <c r="D4213" s="19" t="n">
        <v>233.71</v>
      </c>
      <c r="E4213" s="19" t="n">
        <v>0</v>
      </c>
      <c r="F4213" s="19" t="n">
        <v>0</v>
      </c>
      <c r="G4213" s="8" t="n">
        <f aca="false">IFERROR(INDEX('TRANS'!$B:$B,MATCH($B4213,'TRANS'!$A:$A,0)),IFERROR(INDEX('TRANS'!$B:$B,MATCH(TRIM(SUBSTITUTE($B4213,CHAR(160)," ")),'TRANS'!$D:$D,0)),IFERROR(INDEX('Catalog'!$A:$A,MATCH($B4213,'Catalog'!$B:$B,0)),IFERROR(INDEX('Catalog'!$A:$A,MATCH(TRIM(SUBSTITUTE($B4213,CHAR(160)," ")),'Catalog'!$C:$C,0)),""))))</f>
        <v>4413044</v>
      </c>
      <c r="H4213" s="8" t="str">
        <f aca="false">IFERROR(INDEX('TRANS'!$C:$C,MATCH($B4213,'TRANS'!$A:$A,0)),IFERROR(INDEX('Catalog'!$B:$B,MATCH($G4213,'Catalog'!$A:$A,0)),$B4213))</f>
        <v>34 XL מגן קרסול עקב סגור</v>
      </c>
      <c r="I4213" s="8" t="str">
        <f aca="false">IF($G4213="","Unmatched","Matched")</f>
        <v>Matched</v>
      </c>
    </row>
    <row r="4214" customFormat="false" ht="15" hidden="false" customHeight="false" outlineLevel="0" collapsed="false">
      <c r="A4214" s="8" t="s">
        <v>1092</v>
      </c>
      <c r="B4214" s="8" t="s">
        <v>771</v>
      </c>
      <c r="C4214" s="19" t="n">
        <v>6</v>
      </c>
      <c r="D4214" s="19" t="n">
        <v>140.23</v>
      </c>
      <c r="E4214" s="19" t="n">
        <v>0</v>
      </c>
      <c r="F4214" s="19" t="n">
        <v>0</v>
      </c>
      <c r="G4214" s="8" t="str">
        <f aca="false">IFERROR(INDEX('TRANS'!$B:$B,MATCH($B4214,'TRANS'!$A:$A,0)),IFERROR(INDEX('TRANS'!$B:$B,MATCH(TRIM(SUBSTITUTE($B4214,CHAR(160)," ")),'TRANS'!$D:$D,0)),IFERROR(INDEX('Catalog'!$A:$A,MATCH($B4214,'Catalog'!$B:$B,0)),IFERROR(INDEX('Catalog'!$A:$A,MATCH(TRIM(SUBSTITUTE($B4214,CHAR(160)," ")),'Catalog'!$C:$C,0)),""))))</f>
        <v/>
      </c>
      <c r="H4214" s="8" t="str">
        <f aca="false">IFERROR(INDEX('TRANS'!$C:$C,MATCH($B4214,'TRANS'!$A:$A,0)),IFERROR(INDEX('Catalog'!$B:$B,MATCH($G4214,'Catalog'!$A:$A,0)),$B4214))</f>
        <v>34 XS</v>
      </c>
      <c r="I4214" s="8" t="str">
        <f aca="false">IF($G4214="","Unmatched","Matched")</f>
        <v>Unmatched</v>
      </c>
    </row>
    <row r="4215" customFormat="false" ht="15" hidden="false" customHeight="false" outlineLevel="0" collapsed="false">
      <c r="A4215" s="8" t="s">
        <v>1092</v>
      </c>
      <c r="B4215" s="8" t="s">
        <v>744</v>
      </c>
      <c r="C4215" s="19" t="n">
        <v>6</v>
      </c>
      <c r="D4215" s="19" t="n">
        <v>140.23</v>
      </c>
      <c r="E4215" s="19" t="n">
        <v>0</v>
      </c>
      <c r="F4215" s="19" t="n">
        <v>0</v>
      </c>
      <c r="G4215" s="8" t="n">
        <f aca="false">IFERROR(INDEX('TRANS'!$B:$B,MATCH($B4215,'TRANS'!$A:$A,0)),IFERROR(INDEX('TRANS'!$B:$B,MATCH(TRIM(SUBSTITUTE($B4215,CHAR(160)," ")),'TRANS'!$D:$D,0)),IFERROR(INDEX('Catalog'!$A:$A,MATCH($B4215,'Catalog'!$B:$B,0)),IFERROR(INDEX('Catalog'!$A:$A,MATCH(TRIM(SUBSTITUTE($B4215,CHAR(160)," ")),'Catalog'!$C:$C,0)),""))))</f>
        <v>4413046</v>
      </c>
      <c r="H4215" s="8" t="str">
        <f aca="false">IFERROR(INDEX('TRANS'!$C:$C,MATCH($B4215,'TRANS'!$A:$A,0)),IFERROR(INDEX('Catalog'!$B:$B,MATCH($G4215,'Catalog'!$A:$A,0)),$B4215))</f>
        <v>34 XXL מגן קרסול עקב סגור</v>
      </c>
      <c r="I4215" s="8" t="str">
        <f aca="false">IF($G4215="","Unmatched","Matched")</f>
        <v>Matched</v>
      </c>
    </row>
    <row r="4216" customFormat="false" ht="15" hidden="false" customHeight="false" outlineLevel="0" collapsed="false">
      <c r="A4216" s="8" t="s">
        <v>1092</v>
      </c>
      <c r="B4216" s="8" t="s">
        <v>131</v>
      </c>
      <c r="C4216" s="19" t="n">
        <v>0</v>
      </c>
      <c r="D4216" s="19" t="n">
        <v>0</v>
      </c>
      <c r="E4216" s="19" t="n">
        <v>20</v>
      </c>
      <c r="F4216" s="19" t="n">
        <v>635.64</v>
      </c>
      <c r="G4216" s="8" t="n">
        <f aca="false">IFERROR(INDEX('TRANS'!$B:$B,MATCH($B4216,'TRANS'!$A:$A,0)),IFERROR(INDEX('TRANS'!$B:$B,MATCH(TRIM(SUBSTITUTE($B4216,CHAR(160)," ")),'TRANS'!$D:$D,0)),IFERROR(INDEX('Catalog'!$A:$A,MATCH($B4216,'Catalog'!$B:$B,0)),IFERROR(INDEX('Catalog'!$A:$A,MATCH(TRIM(SUBSTITUTE($B4216,CHAR(160)," ")),'Catalog'!$C:$C,0)),""))))</f>
        <v>4413161</v>
      </c>
      <c r="H4216" s="8" t="str">
        <f aca="false">IFERROR(INDEX('TRANS'!$C:$C,MATCH($B4216,'TRANS'!$A:$A,0)),IFERROR(INDEX('Catalog'!$B:$B,MATCH($G4216,'Catalog'!$A:$A,0)),$B4216))</f>
        <v>34+ L מגן קרסול עקב סגור+רצוע</v>
      </c>
      <c r="I4216" s="8" t="str">
        <f aca="false">IF($G4216="","Unmatched","Matched")</f>
        <v>Matched</v>
      </c>
    </row>
    <row r="4217" customFormat="false" ht="15" hidden="false" customHeight="false" outlineLevel="0" collapsed="false">
      <c r="A4217" s="8" t="s">
        <v>1092</v>
      </c>
      <c r="B4217" s="8" t="s">
        <v>357</v>
      </c>
      <c r="C4217" s="19" t="n">
        <v>10</v>
      </c>
      <c r="D4217" s="19" t="n">
        <v>328.63</v>
      </c>
      <c r="E4217" s="19" t="n">
        <v>20</v>
      </c>
      <c r="F4217" s="19" t="n">
        <v>592.1</v>
      </c>
      <c r="G4217" s="8" t="n">
        <f aca="false">IFERROR(INDEX('TRANS'!$B:$B,MATCH($B4217,'TRANS'!$A:$A,0)),IFERROR(INDEX('TRANS'!$B:$B,MATCH(TRIM(SUBSTITUTE($B4217,CHAR(160)," ")),'TRANS'!$D:$D,0)),IFERROR(INDEX('Catalog'!$A:$A,MATCH($B4217,'Catalog'!$B:$B,0)),IFERROR(INDEX('Catalog'!$A:$A,MATCH(TRIM(SUBSTITUTE($B4217,CHAR(160)," ")),'Catalog'!$C:$C,0)),""))))</f>
        <v>4413160</v>
      </c>
      <c r="H4217" s="8" t="str">
        <f aca="false">IFERROR(INDEX('TRANS'!$C:$C,MATCH($B4217,'TRANS'!$A:$A,0)),IFERROR(INDEX('Catalog'!$B:$B,MATCH($G4217,'Catalog'!$A:$A,0)),$B4217))</f>
        <v>34+ M מגן קרסול עקב סגור+רצוע</v>
      </c>
      <c r="I4217" s="8" t="str">
        <f aca="false">IF($G4217="","Unmatched","Matched")</f>
        <v>Matched</v>
      </c>
    </row>
    <row r="4218" customFormat="false" ht="15" hidden="false" customHeight="false" outlineLevel="0" collapsed="false">
      <c r="A4218" s="8" t="s">
        <v>1092</v>
      </c>
      <c r="B4218" s="8" t="s">
        <v>625</v>
      </c>
      <c r="C4218" s="19" t="n">
        <v>0</v>
      </c>
      <c r="D4218" s="19" t="n">
        <v>0</v>
      </c>
      <c r="E4218" s="19" t="n">
        <v>12</v>
      </c>
      <c r="F4218" s="19" t="n">
        <v>368.32</v>
      </c>
      <c r="G4218" s="8" t="n">
        <f aca="false">IFERROR(INDEX('TRANS'!$B:$B,MATCH($B4218,'TRANS'!$A:$A,0)),IFERROR(INDEX('TRANS'!$B:$B,MATCH(TRIM(SUBSTITUTE($B4218,CHAR(160)," ")),'TRANS'!$D:$D,0)),IFERROR(INDEX('Catalog'!$A:$A,MATCH($B4218,'Catalog'!$B:$B,0)),IFERROR(INDEX('Catalog'!$A:$A,MATCH(TRIM(SUBSTITUTE($B4218,CHAR(160)," ")),'Catalog'!$C:$C,0)),""))))</f>
        <v>4413159</v>
      </c>
      <c r="H4218" s="8" t="str">
        <f aca="false">IFERROR(INDEX('TRANS'!$C:$C,MATCH($B4218,'TRANS'!$A:$A,0)),IFERROR(INDEX('Catalog'!$B:$B,MATCH($G4218,'Catalog'!$A:$A,0)),$B4218))</f>
        <v>34+ S מגן קרסול עקב סגור+רצוע</v>
      </c>
      <c r="I4218" s="8" t="str">
        <f aca="false">IF($G4218="","Unmatched","Matched")</f>
        <v>Matched</v>
      </c>
    </row>
    <row r="4219" customFormat="false" ht="15" hidden="false" customHeight="false" outlineLevel="0" collapsed="false">
      <c r="A4219" s="8" t="s">
        <v>1092</v>
      </c>
      <c r="B4219" s="8" t="s">
        <v>132</v>
      </c>
      <c r="C4219" s="19" t="n">
        <v>10</v>
      </c>
      <c r="D4219" s="19" t="n">
        <v>336.93</v>
      </c>
      <c r="E4219" s="19" t="n">
        <v>6</v>
      </c>
      <c r="F4219" s="19" t="n">
        <v>190.69</v>
      </c>
      <c r="G4219" s="8" t="n">
        <f aca="false">IFERROR(INDEX('TRANS'!$B:$B,MATCH($B4219,'TRANS'!$A:$A,0)),IFERROR(INDEX('TRANS'!$B:$B,MATCH(TRIM(SUBSTITUTE($B4219,CHAR(160)," ")),'TRANS'!$D:$D,0)),IFERROR(INDEX('Catalog'!$A:$A,MATCH($B4219,'Catalog'!$B:$B,0)),IFERROR(INDEX('Catalog'!$A:$A,MATCH(TRIM(SUBSTITUTE($B4219,CHAR(160)," ")),'Catalog'!$C:$C,0)),""))))</f>
        <v>4413162</v>
      </c>
      <c r="H4219" s="8" t="str">
        <f aca="false">IFERROR(INDEX('TRANS'!$C:$C,MATCH($B4219,'TRANS'!$A:$A,0)),IFERROR(INDEX('Catalog'!$B:$B,MATCH($G4219,'Catalog'!$A:$A,0)),$B4219))</f>
        <v>34+XL מגן קרסול עקב סגור+רצוע</v>
      </c>
      <c r="I4219" s="8" t="str">
        <f aca="false">IF($G4219="","Unmatched","Matched")</f>
        <v>Matched</v>
      </c>
    </row>
    <row r="4220" customFormat="false" ht="15" hidden="false" customHeight="false" outlineLevel="0" collapsed="false">
      <c r="A4220" s="8" t="s">
        <v>1092</v>
      </c>
      <c r="B4220" s="8" t="s">
        <v>133</v>
      </c>
      <c r="C4220" s="19" t="n">
        <v>10</v>
      </c>
      <c r="D4220" s="19" t="n">
        <v>112.96</v>
      </c>
      <c r="E4220" s="19" t="n">
        <v>0</v>
      </c>
      <c r="F4220" s="19" t="n">
        <v>0</v>
      </c>
      <c r="G4220" s="8" t="n">
        <f aca="false">IFERROR(INDEX('TRANS'!$B:$B,MATCH($B4220,'TRANS'!$A:$A,0)),IFERROR(INDEX('TRANS'!$B:$B,MATCH(TRIM(SUBSTITUTE($B4220,CHAR(160)," ")),'TRANS'!$D:$D,0)),IFERROR(INDEX('Catalog'!$A:$A,MATCH($B4220,'Catalog'!$B:$B,0)),IFERROR(INDEX('Catalog'!$A:$A,MATCH(TRIM(SUBSTITUTE($B4220,CHAR(160)," ")),'Catalog'!$C:$C,0)),""))))</f>
        <v>4413048</v>
      </c>
      <c r="H4220" s="8" t="str">
        <f aca="false">IFERROR(INDEX('TRANS'!$C:$C,MATCH($B4220,'TRANS'!$A:$A,0)),IFERROR(INDEX('Catalog'!$B:$B,MATCH($G4220,'Catalog'!$A:$A,0)),$B4220))</f>
        <v>35 L מגן קרסול לבן</v>
      </c>
      <c r="I4220" s="8" t="str">
        <f aca="false">IF($G4220="","Unmatched","Matched")</f>
        <v>Matched</v>
      </c>
    </row>
    <row r="4221" customFormat="false" ht="15" hidden="false" customHeight="false" outlineLevel="0" collapsed="false">
      <c r="A4221" s="8" t="s">
        <v>1092</v>
      </c>
      <c r="B4221" s="8" t="s">
        <v>134</v>
      </c>
      <c r="C4221" s="19" t="n">
        <v>10</v>
      </c>
      <c r="D4221" s="19" t="n">
        <v>112.96</v>
      </c>
      <c r="E4221" s="19" t="n">
        <v>0</v>
      </c>
      <c r="F4221" s="19" t="n">
        <v>0</v>
      </c>
      <c r="G4221" s="8" t="n">
        <f aca="false">IFERROR(INDEX('TRANS'!$B:$B,MATCH($B4221,'TRANS'!$A:$A,0)),IFERROR(INDEX('TRANS'!$B:$B,MATCH(TRIM(SUBSTITUTE($B4221,CHAR(160)," ")),'TRANS'!$D:$D,0)),IFERROR(INDEX('Catalog'!$A:$A,MATCH($B4221,'Catalog'!$B:$B,0)),IFERROR(INDEX('Catalog'!$A:$A,MATCH(TRIM(SUBSTITUTE($B4221,CHAR(160)," ")),'Catalog'!$C:$C,0)),""))))</f>
        <v>4413049</v>
      </c>
      <c r="H4221" s="8" t="str">
        <f aca="false">IFERROR(INDEX('TRANS'!$C:$C,MATCH($B4221,'TRANS'!$A:$A,0)),IFERROR(INDEX('Catalog'!$B:$B,MATCH($G4221,'Catalog'!$A:$A,0)),$B4221))</f>
        <v>35 M מגן קרסול לבן</v>
      </c>
      <c r="I4221" s="8" t="str">
        <f aca="false">IF($G4221="","Unmatched","Matched")</f>
        <v>Matched</v>
      </c>
    </row>
    <row r="4222" customFormat="false" ht="15" hidden="false" customHeight="false" outlineLevel="0" collapsed="false">
      <c r="A4222" s="8" t="s">
        <v>1092</v>
      </c>
      <c r="B4222" s="8" t="s">
        <v>362</v>
      </c>
      <c r="C4222" s="19" t="n">
        <v>6</v>
      </c>
      <c r="D4222" s="19" t="n">
        <v>67.78</v>
      </c>
      <c r="E4222" s="19" t="n">
        <v>0</v>
      </c>
      <c r="F4222" s="19" t="n">
        <v>0</v>
      </c>
      <c r="G4222" s="8" t="n">
        <f aca="false">IFERROR(INDEX('TRANS'!$B:$B,MATCH($B4222,'TRANS'!$A:$A,0)),IFERROR(INDEX('TRANS'!$B:$B,MATCH(TRIM(SUBSTITUTE($B4222,CHAR(160)," ")),'TRANS'!$D:$D,0)),IFERROR(INDEX('Catalog'!$A:$A,MATCH($B4222,'Catalog'!$B:$B,0)),IFERROR(INDEX('Catalog'!$A:$A,MATCH(TRIM(SUBSTITUTE($B4222,CHAR(160)," ")),'Catalog'!$C:$C,0)),""))))</f>
        <v>4413051</v>
      </c>
      <c r="H4222" s="8" t="str">
        <f aca="false">IFERROR(INDEX('TRANS'!$C:$C,MATCH($B4222,'TRANS'!$A:$A,0)),IFERROR(INDEX('Catalog'!$B:$B,MATCH($G4222,'Catalog'!$A:$A,0)),$B4222))</f>
        <v>35 XXL מגן קרסול לבן</v>
      </c>
      <c r="I4222" s="8" t="str">
        <f aca="false">IF($G4222="","Unmatched","Matched")</f>
        <v>Matched</v>
      </c>
    </row>
    <row r="4223" customFormat="false" ht="15" hidden="false" customHeight="false" outlineLevel="0" collapsed="false">
      <c r="A4223" s="8" t="s">
        <v>1092</v>
      </c>
      <c r="B4223" s="8" t="s">
        <v>135</v>
      </c>
      <c r="C4223" s="19" t="n">
        <v>0</v>
      </c>
      <c r="D4223" s="19" t="n">
        <v>0</v>
      </c>
      <c r="E4223" s="19" t="n">
        <v>10</v>
      </c>
      <c r="F4223" s="19" t="n">
        <v>113.9</v>
      </c>
      <c r="G4223" s="8" t="n">
        <f aca="false">IFERROR(INDEX('TRANS'!$B:$B,MATCH($B4223,'TRANS'!$A:$A,0)),IFERROR(INDEX('TRANS'!$B:$B,MATCH(TRIM(SUBSTITUTE($B4223,CHAR(160)," ")),'TRANS'!$D:$D,0)),IFERROR(INDEX('Catalog'!$A:$A,MATCH($B4223,'Catalog'!$B:$B,0)),IFERROR(INDEX('Catalog'!$A:$A,MATCH(TRIM(SUBSTITUTE($B4223,CHAR(160)," ")),'Catalog'!$C:$C,0)),""))))</f>
        <v>4413490</v>
      </c>
      <c r="H4223" s="8" t="str">
        <f aca="false">IFERROR(INDEX('TRANS'!$C:$C,MATCH($B4223,'TRANS'!$A:$A,0)),IFERROR(INDEX('Catalog'!$B:$B,MATCH($G4223,'Catalog'!$A:$A,0)),$B4223))</f>
        <v>35B L מגן קרסול שחור</v>
      </c>
      <c r="I4223" s="8" t="str">
        <f aca="false">IF($G4223="","Unmatched","Matched")</f>
        <v>Matched</v>
      </c>
    </row>
    <row r="4224" customFormat="false" ht="15" hidden="false" customHeight="false" outlineLevel="0" collapsed="false">
      <c r="A4224" s="8" t="s">
        <v>1092</v>
      </c>
      <c r="B4224" s="8" t="s">
        <v>136</v>
      </c>
      <c r="C4224" s="19" t="n">
        <v>15</v>
      </c>
      <c r="D4224" s="19" t="n">
        <v>194.47</v>
      </c>
      <c r="E4224" s="19" t="n">
        <v>20</v>
      </c>
      <c r="F4224" s="19" t="n">
        <v>220</v>
      </c>
      <c r="G4224" s="8" t="n">
        <f aca="false">IFERROR(INDEX('TRANS'!$B:$B,MATCH($B4224,'TRANS'!$A:$A,0)),IFERROR(INDEX('TRANS'!$B:$B,MATCH(TRIM(SUBSTITUTE($B4224,CHAR(160)," ")),'TRANS'!$D:$D,0)),IFERROR(INDEX('Catalog'!$A:$A,MATCH($B4224,'Catalog'!$B:$B,0)),IFERROR(INDEX('Catalog'!$A:$A,MATCH(TRIM(SUBSTITUTE($B4224,CHAR(160)," ")),'Catalog'!$C:$C,0)),""))))</f>
        <v>4413492</v>
      </c>
      <c r="H4224" s="8" t="str">
        <f aca="false">IFERROR(INDEX('TRANS'!$C:$C,MATCH($B4224,'TRANS'!$A:$A,0)),IFERROR(INDEX('Catalog'!$B:$B,MATCH($G4224,'Catalog'!$A:$A,0)),$B4224))</f>
        <v>35B M מגן קרסול שחור</v>
      </c>
      <c r="I4224" s="8" t="str">
        <f aca="false">IF($G4224="","Unmatched","Matched")</f>
        <v>Matched</v>
      </c>
    </row>
    <row r="4225" customFormat="false" ht="15" hidden="false" customHeight="false" outlineLevel="0" collapsed="false">
      <c r="A4225" s="8" t="s">
        <v>1092</v>
      </c>
      <c r="B4225" s="8" t="s">
        <v>137</v>
      </c>
      <c r="C4225" s="19" t="n">
        <v>10</v>
      </c>
      <c r="D4225" s="19" t="n">
        <v>117.78</v>
      </c>
      <c r="E4225" s="19" t="n">
        <v>0</v>
      </c>
      <c r="F4225" s="19" t="n">
        <v>0</v>
      </c>
      <c r="G4225" s="8" t="n">
        <f aca="false">IFERROR(INDEX('TRANS'!$B:$B,MATCH($B4225,'TRANS'!$A:$A,0)),IFERROR(INDEX('TRANS'!$B:$B,MATCH(TRIM(SUBSTITUTE($B4225,CHAR(160)," ")),'TRANS'!$D:$D,0)),IFERROR(INDEX('Catalog'!$A:$A,MATCH($B4225,'Catalog'!$B:$B,0)),IFERROR(INDEX('Catalog'!$A:$A,MATCH(TRIM(SUBSTITUTE($B4225,CHAR(160)," ")),'Catalog'!$C:$C,0)),""))))</f>
        <v>4413493</v>
      </c>
      <c r="H4225" s="8" t="str">
        <f aca="false">IFERROR(INDEX('TRANS'!$C:$C,MATCH($B4225,'TRANS'!$A:$A,0)),IFERROR(INDEX('Catalog'!$B:$B,MATCH($G4225,'Catalog'!$A:$A,0)),$B4225))</f>
        <v>35B S מגן קרסול שחור</v>
      </c>
      <c r="I4225" s="8" t="str">
        <f aca="false">IF($G4225="","Unmatched","Matched")</f>
        <v>Matched</v>
      </c>
    </row>
    <row r="4226" customFormat="false" ht="15" hidden="false" customHeight="false" outlineLevel="0" collapsed="false">
      <c r="A4226" s="8" t="s">
        <v>1092</v>
      </c>
      <c r="B4226" s="8" t="s">
        <v>138</v>
      </c>
      <c r="C4226" s="19" t="n">
        <v>6</v>
      </c>
      <c r="D4226" s="19" t="n">
        <v>77.79</v>
      </c>
      <c r="E4226" s="19" t="n">
        <v>3</v>
      </c>
      <c r="F4226" s="19" t="n">
        <v>31.83</v>
      </c>
      <c r="G4226" s="8" t="n">
        <f aca="false">IFERROR(INDEX('TRANS'!$B:$B,MATCH($B4226,'TRANS'!$A:$A,0)),IFERROR(INDEX('TRANS'!$B:$B,MATCH(TRIM(SUBSTITUTE($B4226,CHAR(160)," ")),'TRANS'!$D:$D,0)),IFERROR(INDEX('Catalog'!$A:$A,MATCH($B4226,'Catalog'!$B:$B,0)),IFERROR(INDEX('Catalog'!$A:$A,MATCH(TRIM(SUBSTITUTE($B4226,CHAR(160)," ")),'Catalog'!$C:$C,0)),""))))</f>
        <v>4413491</v>
      </c>
      <c r="H4226" s="8" t="str">
        <f aca="false">IFERROR(INDEX('TRANS'!$C:$C,MATCH($B4226,'TRANS'!$A:$A,0)),IFERROR(INDEX('Catalog'!$B:$B,MATCH($G4226,'Catalog'!$A:$A,0)),$B4226))</f>
        <v>35B XL מגן קרסול שחור</v>
      </c>
      <c r="I4226" s="8" t="str">
        <f aca="false">IF($G4226="","Unmatched","Matched")</f>
        <v>Matched</v>
      </c>
    </row>
    <row r="4227" customFormat="false" ht="15" hidden="false" customHeight="false" outlineLevel="0" collapsed="false">
      <c r="A4227" s="8" t="s">
        <v>1092</v>
      </c>
      <c r="B4227" s="8" t="s">
        <v>139</v>
      </c>
      <c r="C4227" s="19" t="n">
        <v>10</v>
      </c>
      <c r="D4227" s="19" t="n">
        <v>120.75</v>
      </c>
      <c r="E4227" s="19" t="n">
        <v>0</v>
      </c>
      <c r="F4227" s="19" t="n">
        <v>0</v>
      </c>
      <c r="G4227" s="8" t="n">
        <f aca="false">IFERROR(INDEX('TRANS'!$B:$B,MATCH($B4227,'TRANS'!$A:$A,0)),IFERROR(INDEX('TRANS'!$B:$B,MATCH(TRIM(SUBSTITUTE($B4227,CHAR(160)," ")),'TRANS'!$D:$D,0)),IFERROR(INDEX('Catalog'!$A:$A,MATCH($B4227,'Catalog'!$B:$B,0)),IFERROR(INDEX('Catalog'!$A:$A,MATCH(TRIM(SUBSTITUTE($B4227,CHAR(160)," ")),'Catalog'!$C:$C,0)),""))))</f>
        <v>4413494</v>
      </c>
      <c r="H4227" s="8" t="str">
        <f aca="false">IFERROR(INDEX('TRANS'!$C:$C,MATCH($B4227,'TRANS'!$A:$A,0)),IFERROR(INDEX('Catalog'!$B:$B,MATCH($G4227,'Catalog'!$A:$A,0)),$B4227))</f>
        <v>35B XXL מגן קרסול שחור</v>
      </c>
      <c r="I4227" s="8" t="str">
        <f aca="false">IF($G4227="","Unmatched","Matched")</f>
        <v>Matched</v>
      </c>
    </row>
    <row r="4228" customFormat="false" ht="15" hidden="false" customHeight="false" outlineLevel="0" collapsed="false">
      <c r="A4228" s="8" t="s">
        <v>1092</v>
      </c>
      <c r="B4228" s="8" t="s">
        <v>140</v>
      </c>
      <c r="C4228" s="19" t="n">
        <v>0</v>
      </c>
      <c r="D4228" s="19" t="n">
        <v>0</v>
      </c>
      <c r="E4228" s="19" t="n">
        <v>10</v>
      </c>
      <c r="F4228" s="19" t="n">
        <v>108.39</v>
      </c>
      <c r="G4228" s="8" t="n">
        <f aca="false">IFERROR(INDEX('TRANS'!$B:$B,MATCH($B4228,'TRANS'!$A:$A,0)),IFERROR(INDEX('TRANS'!$B:$B,MATCH(TRIM(SUBSTITUTE($B4228,CHAR(160)," ")),'TRANS'!$D:$D,0)),IFERROR(INDEX('Catalog'!$A:$A,MATCH($B4228,'Catalog'!$B:$B,0)),IFERROR(INDEX('Catalog'!$A:$A,MATCH(TRIM(SUBSTITUTE($B4228,CHAR(160)," ")),'Catalog'!$C:$C,0)),""))))</f>
        <v>4413053</v>
      </c>
      <c r="H4228" s="8" t="str">
        <f aca="false">IFERROR(INDEX('TRANS'!$C:$C,MATCH($B4228,'TRANS'!$A:$A,0)),IFERROR(INDEX('Catalog'!$B:$B,MATCH($G4228,'Catalog'!$A:$A,0)),$B4228))</f>
        <v>35C L מגן קרסול חום</v>
      </c>
      <c r="I4228" s="8" t="str">
        <f aca="false">IF($G4228="","Unmatched","Matched")</f>
        <v>Matched</v>
      </c>
    </row>
    <row r="4229" customFormat="false" ht="15" hidden="false" customHeight="false" outlineLevel="0" collapsed="false">
      <c r="A4229" s="8" t="s">
        <v>1092</v>
      </c>
      <c r="B4229" s="8" t="s">
        <v>363</v>
      </c>
      <c r="C4229" s="19" t="n">
        <v>6</v>
      </c>
      <c r="D4229" s="19" t="n">
        <v>67.25</v>
      </c>
      <c r="E4229" s="19" t="n">
        <v>0</v>
      </c>
      <c r="F4229" s="19" t="n">
        <v>0</v>
      </c>
      <c r="G4229" s="8" t="n">
        <f aca="false">IFERROR(INDEX('TRANS'!$B:$B,MATCH($B4229,'TRANS'!$A:$A,0)),IFERROR(INDEX('TRANS'!$B:$B,MATCH(TRIM(SUBSTITUTE($B4229,CHAR(160)," ")),'TRANS'!$D:$D,0)),IFERROR(INDEX('Catalog'!$A:$A,MATCH($B4229,'Catalog'!$B:$B,0)),IFERROR(INDEX('Catalog'!$A:$A,MATCH(TRIM(SUBSTITUTE($B4229,CHAR(160)," ")),'Catalog'!$C:$C,0)),""))))</f>
        <v>4413055</v>
      </c>
      <c r="H4229" s="8" t="str">
        <f aca="false">IFERROR(INDEX('TRANS'!$C:$C,MATCH($B4229,'TRANS'!$A:$A,0)),IFERROR(INDEX('Catalog'!$B:$B,MATCH($G4229,'Catalog'!$A:$A,0)),$B4229))</f>
        <v>35C XL מגן קרסול חום</v>
      </c>
      <c r="I4229" s="8" t="str">
        <f aca="false">IF($G4229="","Unmatched","Matched")</f>
        <v>Matched</v>
      </c>
    </row>
    <row r="4230" customFormat="false" ht="15" hidden="false" customHeight="false" outlineLevel="0" collapsed="false">
      <c r="A4230" s="8" t="s">
        <v>1092</v>
      </c>
      <c r="B4230" s="8" t="s">
        <v>145</v>
      </c>
      <c r="C4230" s="19" t="n">
        <v>10</v>
      </c>
      <c r="D4230" s="19" t="n">
        <v>269.74</v>
      </c>
      <c r="E4230" s="19" t="n">
        <v>16</v>
      </c>
      <c r="F4230" s="19" t="n">
        <v>388.8</v>
      </c>
      <c r="G4230" s="8" t="n">
        <f aca="false">IFERROR(INDEX('TRANS'!$B:$B,MATCH($B4230,'TRANS'!$A:$A,0)),IFERROR(INDEX('TRANS'!$B:$B,MATCH(TRIM(SUBSTITUTE($B4230,CHAR(160)," ")),'TRANS'!$D:$D,0)),IFERROR(INDEX('Catalog'!$A:$A,MATCH($B4230,'Catalog'!$B:$B,0)),IFERROR(INDEX('Catalog'!$A:$A,MATCH(TRIM(SUBSTITUTE($B4230,CHAR(160)," ")),'Catalog'!$C:$C,0)),""))))</f>
        <v>4421007</v>
      </c>
      <c r="H4230" s="8" t="str">
        <f aca="false">IFERROR(INDEX('TRANS'!$C:$C,MATCH($B4230,'TRANS'!$A:$A,0)),IFERROR(INDEX('Catalog'!$B:$B,MATCH($G4230,'Catalog'!$A:$A,0)),$B4230))</f>
        <v>שרוול לגבס קצר רגל</v>
      </c>
      <c r="I4230" s="8" t="str">
        <f aca="false">IF($G4230="","Unmatched","Matched")</f>
        <v>Matched</v>
      </c>
    </row>
    <row r="4231" customFormat="false" ht="15" hidden="false" customHeight="false" outlineLevel="0" collapsed="false">
      <c r="A4231" s="8" t="s">
        <v>1092</v>
      </c>
      <c r="B4231" s="8" t="s">
        <v>146</v>
      </c>
      <c r="C4231" s="19" t="n">
        <v>30</v>
      </c>
      <c r="D4231" s="19" t="n">
        <v>919.47</v>
      </c>
      <c r="E4231" s="19" t="n">
        <v>50</v>
      </c>
      <c r="F4231" s="19" t="n">
        <v>1340.08</v>
      </c>
      <c r="G4231" s="8" t="n">
        <f aca="false">IFERROR(INDEX('TRANS'!$B:$B,MATCH($B4231,'TRANS'!$A:$A,0)),IFERROR(INDEX('TRANS'!$B:$B,MATCH(TRIM(SUBSTITUTE($B4231,CHAR(160)," ")),'TRANS'!$D:$D,0)),IFERROR(INDEX('Catalog'!$A:$A,MATCH($B4231,'Catalog'!$B:$B,0)),IFERROR(INDEX('Catalog'!$A:$A,MATCH(TRIM(SUBSTITUTE($B4231,CHAR(160)," ")),'Catalog'!$C:$C,0)),""))))</f>
        <v>4421008</v>
      </c>
      <c r="H4231" s="8" t="str">
        <f aca="false">IFERROR(INDEX('TRANS'!$C:$C,MATCH($B4231,'TRANS'!$A:$A,0)),IFERROR(INDEX('Catalog'!$B:$B,MATCH($G4231,'Catalog'!$A:$A,0)),$B4231))</f>
        <v>שרוול לגבס ארוך רגל</v>
      </c>
      <c r="I4231" s="8" t="str">
        <f aca="false">IF($G4231="","Unmatched","Matched")</f>
        <v>Matched</v>
      </c>
    </row>
    <row r="4232" customFormat="false" ht="15" hidden="false" customHeight="false" outlineLevel="0" collapsed="false">
      <c r="A4232" s="8" t="s">
        <v>1092</v>
      </c>
      <c r="B4232" s="8" t="s">
        <v>147</v>
      </c>
      <c r="C4232" s="19" t="n">
        <v>10</v>
      </c>
      <c r="D4232" s="19" t="n">
        <v>341.93</v>
      </c>
      <c r="E4232" s="19" t="n">
        <v>0</v>
      </c>
      <c r="F4232" s="19" t="n">
        <v>0</v>
      </c>
      <c r="G4232" s="8" t="n">
        <f aca="false">IFERROR(INDEX('TRANS'!$B:$B,MATCH($B4232,'TRANS'!$A:$A,0)),IFERROR(INDEX('TRANS'!$B:$B,MATCH(TRIM(SUBSTITUTE($B4232,CHAR(160)," ")),'TRANS'!$D:$D,0)),IFERROR(INDEX('Catalog'!$A:$A,MATCH($B4232,'Catalog'!$B:$B,0)),IFERROR(INDEX('Catalog'!$A:$A,MATCH(TRIM(SUBSTITUTE($B4232,CHAR(160)," ")),'Catalog'!$C:$C,0)),""))))</f>
        <v>4421001</v>
      </c>
      <c r="H4232" s="8" t="str">
        <f aca="false">IFERROR(INDEX('TRANS'!$C:$C,MATCH($B4232,'TRANS'!$A:$A,0)),IFERROR(INDEX('Catalog'!$B:$B,MATCH($G4232,'Catalog'!$A:$A,0)),$B4232))</f>
        <v>3611 שרוול מטטרזלי מסיליקון</v>
      </c>
      <c r="I4232" s="8" t="str">
        <f aca="false">IF($G4232="","Unmatched","Matched")</f>
        <v>Matched</v>
      </c>
    </row>
    <row r="4233" customFormat="false" ht="15" hidden="false" customHeight="false" outlineLevel="0" collapsed="false">
      <c r="A4233" s="8" t="s">
        <v>1092</v>
      </c>
      <c r="B4233" s="8" t="s">
        <v>148</v>
      </c>
      <c r="C4233" s="19" t="n">
        <v>21</v>
      </c>
      <c r="D4233" s="19" t="n">
        <v>344.41</v>
      </c>
      <c r="E4233" s="19" t="n">
        <v>10</v>
      </c>
      <c r="F4233" s="19" t="n">
        <v>136.9</v>
      </c>
      <c r="G4233" s="8" t="n">
        <f aca="false">IFERROR(INDEX('TRANS'!$B:$B,MATCH($B4233,'TRANS'!$A:$A,0)),IFERROR(INDEX('TRANS'!$B:$B,MATCH(TRIM(SUBSTITUTE($B4233,CHAR(160)," ")),'TRANS'!$D:$D,0)),IFERROR(INDEX('Catalog'!$A:$A,MATCH($B4233,'Catalog'!$B:$B,0)),IFERROR(INDEX('Catalog'!$A:$A,MATCH(TRIM(SUBSTITUTE($B4233,CHAR(160)," ")),'Catalog'!$C:$C,0)),""))))</f>
        <v>4411000</v>
      </c>
      <c r="H4233" s="8" t="str">
        <f aca="false">IFERROR(INDEX('TRANS'!$C:$C,MATCH($B4233,'TRANS'!$A:$A,0)),IFERROR(INDEX('Catalog'!$B:$B,MATCH($G4233,'Catalog'!$A:$A,0)),$B4233))</f>
        <v>כרית מטטרזלי סיליקון362</v>
      </c>
      <c r="I4233" s="8" t="str">
        <f aca="false">IF($G4233="","Unmatched","Matched")</f>
        <v>Matched</v>
      </c>
    </row>
    <row r="4234" customFormat="false" ht="15" hidden="false" customHeight="false" outlineLevel="0" collapsed="false">
      <c r="A4234" s="8" t="s">
        <v>1092</v>
      </c>
      <c r="B4234" s="8" t="s">
        <v>150</v>
      </c>
      <c r="C4234" s="19" t="n">
        <v>10</v>
      </c>
      <c r="D4234" s="19" t="n">
        <v>171.39</v>
      </c>
      <c r="E4234" s="19" t="n">
        <v>0</v>
      </c>
      <c r="F4234" s="19" t="n">
        <v>0</v>
      </c>
      <c r="G4234" s="8" t="n">
        <f aca="false">IFERROR(INDEX('TRANS'!$B:$B,MATCH($B4234,'TRANS'!$A:$A,0)),IFERROR(INDEX('TRANS'!$B:$B,MATCH(TRIM(SUBSTITUTE($B4234,CHAR(160)," ")),'TRANS'!$D:$D,0)),IFERROR(INDEX('Catalog'!$A:$A,MATCH($B4234,'Catalog'!$B:$B,0)),IFERROR(INDEX('Catalog'!$A:$A,MATCH(TRIM(SUBSTITUTE($B4234,CHAR(160)," ")),'Catalog'!$C:$C,0)),""))))</f>
        <v>4411001</v>
      </c>
      <c r="H4234" s="8" t="str">
        <f aca="false">IFERROR(INDEX('TRANS'!$C:$C,MATCH($B4234,'TRANS'!$A:$A,0)),IFERROR(INDEX('Catalog'!$B:$B,MATCH($G4234,'Catalog'!$A:$A,0)),$B4234))</f>
        <v>3623 כרית ליישור אצבע פטיש</v>
      </c>
      <c r="I4234" s="8" t="str">
        <f aca="false">IF($G4234="","Unmatched","Matched")</f>
        <v>Matched</v>
      </c>
    </row>
    <row r="4235" customFormat="false" ht="15" hidden="false" customHeight="false" outlineLevel="0" collapsed="false">
      <c r="A4235" s="8" t="s">
        <v>1092</v>
      </c>
      <c r="B4235" s="8" t="s">
        <v>152</v>
      </c>
      <c r="C4235" s="19" t="n">
        <v>10</v>
      </c>
      <c r="D4235" s="19" t="n">
        <v>66.22</v>
      </c>
      <c r="E4235" s="19" t="n">
        <v>6</v>
      </c>
      <c r="F4235" s="19" t="n">
        <v>37.48</v>
      </c>
      <c r="G4235" s="8" t="n">
        <f aca="false">IFERROR(INDEX('TRANS'!$B:$B,MATCH($B4235,'TRANS'!$A:$A,0)),IFERROR(INDEX('TRANS'!$B:$B,MATCH(TRIM(SUBSTITUTE($B4235,CHAR(160)," ")),'TRANS'!$D:$D,0)),IFERROR(INDEX('Catalog'!$A:$A,MATCH($B4235,'Catalog'!$B:$B,0)),IFERROR(INDEX('Catalog'!$A:$A,MATCH(TRIM(SUBSTITUTE($B4235,CHAR(160)," ")),'Catalog'!$C:$C,0)),""))))</f>
        <v>4413059</v>
      </c>
      <c r="H4235" s="8" t="str">
        <f aca="false">IFERROR(INDEX('TRANS'!$C:$C,MATCH($B4235,'TRANS'!$A:$A,0)),IFERROR(INDEX('Catalog'!$B:$B,MATCH($G4235,'Catalog'!$A:$A,0)),$B4235))</f>
        <v>364S Lמפר.אצבע סיליק. ליבל.זוג</v>
      </c>
      <c r="I4235" s="8" t="str">
        <f aca="false">IF($G4235="","Unmatched","Matched")</f>
        <v>Matched</v>
      </c>
    </row>
    <row r="4236" customFormat="false" ht="15" hidden="false" customHeight="false" outlineLevel="0" collapsed="false">
      <c r="A4236" s="8" t="s">
        <v>1092</v>
      </c>
      <c r="B4236" s="8" t="s">
        <v>155</v>
      </c>
      <c r="C4236" s="19" t="n">
        <v>10</v>
      </c>
      <c r="D4236" s="19" t="n">
        <v>68.39</v>
      </c>
      <c r="E4236" s="19" t="n">
        <v>10</v>
      </c>
      <c r="F4236" s="19" t="n">
        <v>61.61</v>
      </c>
      <c r="G4236" s="8" t="n">
        <f aca="false">IFERROR(INDEX('TRANS'!$B:$B,MATCH($B4236,'TRANS'!$A:$A,0)),IFERROR(INDEX('TRANS'!$B:$B,MATCH(TRIM(SUBSTITUTE($B4236,CHAR(160)," ")),'TRANS'!$D:$D,0)),IFERROR(INDEX('Catalog'!$A:$A,MATCH($B4236,'Catalog'!$B:$B,0)),IFERROR(INDEX('Catalog'!$A:$A,MATCH(TRIM(SUBSTITUTE($B4236,CHAR(160)," ")),'Catalog'!$C:$C,0)),""))))</f>
        <v>4409000</v>
      </c>
      <c r="H4236" s="8" t="str">
        <f aca="false">IFERROR(INDEX('TRANS'!$C:$C,MATCH($B4236,'TRANS'!$A:$A,0)),IFERROR(INDEX('Catalog'!$B:$B,MATCH($G4236,'Catalog'!$A:$A,0)),$B4236))</f>
        <v>365 S-Lטבעת אלסטית מסיליקון</v>
      </c>
      <c r="I4236" s="8" t="str">
        <f aca="false">IF($G4236="","Unmatched","Matched")</f>
        <v>Matched</v>
      </c>
    </row>
    <row r="4237" customFormat="false" ht="15" hidden="false" customHeight="false" outlineLevel="0" collapsed="false">
      <c r="A4237" s="8" t="s">
        <v>1092</v>
      </c>
      <c r="B4237" s="8" t="s">
        <v>478</v>
      </c>
      <c r="C4237" s="19" t="n">
        <v>10</v>
      </c>
      <c r="D4237" s="19" t="n">
        <v>41.41</v>
      </c>
      <c r="E4237" s="19" t="n">
        <v>0</v>
      </c>
      <c r="F4237" s="19" t="n">
        <v>0</v>
      </c>
      <c r="G4237" s="8" t="n">
        <f aca="false">IFERROR(INDEX('TRANS'!$B:$B,MATCH($B4237,'TRANS'!$A:$A,0)),IFERROR(INDEX('TRANS'!$B:$B,MATCH(TRIM(SUBSTITUTE($B4237,CHAR(160)," ")),'TRANS'!$D:$D,0)),IFERROR(INDEX('Catalog'!$A:$A,MATCH($B4237,'Catalog'!$B:$B,0)),IFERROR(INDEX('Catalog'!$A:$A,MATCH(TRIM(SUBSTITUTE($B4237,CHAR(160)," ")),'Catalog'!$C:$C,0)),""))))</f>
        <v>4409001</v>
      </c>
      <c r="H4237" s="8" t="str">
        <f aca="false">IFERROR(INDEX('TRANS'!$C:$C,MATCH($B4237,'TRANS'!$A:$A,0)),IFERROR(INDEX('Catalog'!$B:$B,MATCH($G4237,'Catalog'!$A:$A,0)),$B4237))</f>
        <v>365  X-Lטבעת אלסטית מסיליקון</v>
      </c>
      <c r="I4237" s="8" t="str">
        <f aca="false">IF($G4237="","Unmatched","Matched")</f>
        <v>Matched</v>
      </c>
    </row>
    <row r="4238" customFormat="false" ht="15" hidden="false" customHeight="false" outlineLevel="0" collapsed="false">
      <c r="A4238" s="8" t="s">
        <v>1092</v>
      </c>
      <c r="B4238" s="8" t="s">
        <v>161</v>
      </c>
      <c r="C4238" s="19" t="n">
        <v>0</v>
      </c>
      <c r="D4238" s="19" t="n">
        <v>0</v>
      </c>
      <c r="E4238" s="19" t="n">
        <v>10</v>
      </c>
      <c r="F4238" s="19" t="n">
        <v>170.85</v>
      </c>
      <c r="G4238" s="8" t="n">
        <f aca="false">IFERROR(INDEX('TRANS'!$B:$B,MATCH($B4238,'TRANS'!$A:$A,0)),IFERROR(INDEX('TRANS'!$B:$B,MATCH(TRIM(SUBSTITUTE($B4238,CHAR(160)," ")),'TRANS'!$D:$D,0)),IFERROR(INDEX('Catalog'!$A:$A,MATCH($B4238,'Catalog'!$B:$B,0)),IFERROR(INDEX('Catalog'!$A:$A,MATCH(TRIM(SUBSTITUTE($B4238,CHAR(160)," ")),'Catalog'!$C:$C,0)),""))))</f>
        <v>4413370</v>
      </c>
      <c r="H4238" s="8" t="str">
        <f aca="false">IFERROR(INDEX('TRANS'!$C:$C,MATCH($B4238,'TRANS'!$A:$A,0)),IFERROR(INDEX('Catalog'!$B:$B,MATCH($G4238,'Catalog'!$A:$A,0)),$B4238))</f>
        <v>3674 0 מ.בוניון+מפריד אצבע</v>
      </c>
      <c r="I4238" s="8" t="str">
        <f aca="false">IF($G4238="","Unmatched","Matched")</f>
        <v>Matched</v>
      </c>
    </row>
    <row r="4239" customFormat="false" ht="15" hidden="false" customHeight="false" outlineLevel="0" collapsed="false">
      <c r="A4239" s="8" t="s">
        <v>1092</v>
      </c>
      <c r="B4239" s="8" t="s">
        <v>162</v>
      </c>
      <c r="C4239" s="19" t="n">
        <v>10</v>
      </c>
      <c r="D4239" s="19" t="n">
        <v>148.02</v>
      </c>
      <c r="E4239" s="19" t="n">
        <v>0</v>
      </c>
      <c r="F4239" s="19" t="n">
        <v>0</v>
      </c>
      <c r="G4239" s="8" t="n">
        <f aca="false">IFERROR(INDEX('TRANS'!$B:$B,MATCH($B4239,'TRANS'!$A:$A,0)),IFERROR(INDEX('TRANS'!$B:$B,MATCH(TRIM(SUBSTITUTE($B4239,CHAR(160)," ")),'TRANS'!$D:$D,0)),IFERROR(INDEX('Catalog'!$A:$A,MATCH($B4239,'Catalog'!$B:$B,0)),IFERROR(INDEX('Catalog'!$A:$A,MATCH(TRIM(SUBSTITUTE($B4239,CHAR(160)," ")),'Catalog'!$C:$C,0)),""))))</f>
        <v>4413371</v>
      </c>
      <c r="H4239" s="8" t="str">
        <f aca="false">IFERROR(INDEX('TRANS'!$C:$C,MATCH($B4239,'TRANS'!$A:$A,0)),IFERROR(INDEX('Catalog'!$B:$B,MATCH($G4239,'Catalog'!$A:$A,0)),$B4239))</f>
        <v>3675    מגן זרת מסיליקון</v>
      </c>
      <c r="I4239" s="8" t="str">
        <f aca="false">IF($G4239="","Unmatched","Matched")</f>
        <v>Matched</v>
      </c>
    </row>
    <row r="4240" customFormat="false" ht="15" hidden="false" customHeight="false" outlineLevel="0" collapsed="false">
      <c r="A4240" s="8" t="s">
        <v>1092</v>
      </c>
      <c r="B4240" s="8" t="s">
        <v>164</v>
      </c>
      <c r="C4240" s="19" t="n">
        <v>0</v>
      </c>
      <c r="D4240" s="19" t="n">
        <v>0</v>
      </c>
      <c r="E4240" s="19" t="n">
        <v>6</v>
      </c>
      <c r="F4240" s="19" t="n">
        <v>179.54</v>
      </c>
      <c r="G4240" s="8" t="n">
        <f aca="false">IFERROR(INDEX('TRANS'!$B:$B,MATCH($B4240,'TRANS'!$A:$A,0)),IFERROR(INDEX('TRANS'!$B:$B,MATCH(TRIM(SUBSTITUTE($B4240,CHAR(160)," ")),'TRANS'!$D:$D,0)),IFERROR(INDEX('Catalog'!$A:$A,MATCH($B4240,'Catalog'!$B:$B,0)),IFERROR(INDEX('Catalog'!$A:$A,MATCH(TRIM(SUBSTITUTE($B4240,CHAR(160)," ")),'Catalog'!$C:$C,0)),""))))</f>
        <v>4401001</v>
      </c>
      <c r="H4240" s="8" t="str">
        <f aca="false">IFERROR(INDEX('TRANS'!$C:$C,MATCH($B4240,'TRANS'!$A:$A,0)),IFERROR(INDEX('Catalog'!$B:$B,MATCH($G4240,'Catalog'!$A:$A,0)),$B4240))</f>
        <v>369   XL אצבעון מסיליקון יחידה</v>
      </c>
      <c r="I4240" s="8" t="str">
        <f aca="false">IF($G4240="","Unmatched","Matched")</f>
        <v>Matched</v>
      </c>
    </row>
    <row r="4241" customFormat="false" ht="15" hidden="false" customHeight="false" outlineLevel="0" collapsed="false">
      <c r="A4241" s="8" t="s">
        <v>1092</v>
      </c>
      <c r="B4241" s="8" t="s">
        <v>165</v>
      </c>
      <c r="C4241" s="19" t="n">
        <v>50</v>
      </c>
      <c r="D4241" s="19" t="n">
        <v>376.4</v>
      </c>
      <c r="E4241" s="19" t="n">
        <v>100</v>
      </c>
      <c r="F4241" s="19" t="n">
        <v>661.36</v>
      </c>
      <c r="G4241" s="8" t="n">
        <f aca="false">IFERROR(INDEX('TRANS'!$B:$B,MATCH($B4241,'TRANS'!$A:$A,0)),IFERROR(INDEX('TRANS'!$B:$B,MATCH(TRIM(SUBSTITUTE($B4241,CHAR(160)," ")),'TRANS'!$D:$D,0)),IFERROR(INDEX('Catalog'!$A:$A,MATCH($B4241,'Catalog'!$B:$B,0)),IFERROR(INDEX('Catalog'!$A:$A,MATCH(TRIM(SUBSTITUTE($B4241,CHAR(160)," ")),'Catalog'!$C:$C,0)),""))))</f>
        <v>4420000</v>
      </c>
      <c r="H4241" s="8" t="str">
        <f aca="false">IFERROR(INDEX('TRANS'!$C:$C,MATCH($B4241,'TRANS'!$A:$A,0)),IFERROR(INDEX('Catalog'!$B:$B,MATCH($G4241,'Catalog'!$A:$A,0)),$B4241))</f>
        <v>370  רפידת נוחות-זוג</v>
      </c>
      <c r="I4241" s="8" t="str">
        <f aca="false">IF($G4241="","Unmatched","Matched")</f>
        <v>Matched</v>
      </c>
    </row>
    <row r="4242" customFormat="false" ht="15" hidden="false" customHeight="false" outlineLevel="0" collapsed="false">
      <c r="A4242" s="8" t="s">
        <v>1092</v>
      </c>
      <c r="B4242" s="8" t="s">
        <v>168</v>
      </c>
      <c r="C4242" s="19" t="n">
        <v>150</v>
      </c>
      <c r="D4242" s="19" t="n">
        <v>1254.66</v>
      </c>
      <c r="E4242" s="19" t="n">
        <v>50</v>
      </c>
      <c r="F4242" s="19" t="n">
        <v>367.42</v>
      </c>
      <c r="G4242" s="8" t="n">
        <f aca="false">IFERROR(INDEX('TRANS'!$B:$B,MATCH($B4242,'TRANS'!$A:$A,0)),IFERROR(INDEX('TRANS'!$B:$B,MATCH(TRIM(SUBSTITUTE($B4242,CHAR(160)," ")),'TRANS'!$D:$D,0)),IFERROR(INDEX('Catalog'!$A:$A,MATCH($B4242,'Catalog'!$B:$B,0)),IFERROR(INDEX('Catalog'!$A:$A,MATCH(TRIM(SUBSTITUTE($B4242,CHAR(160)," ")),'Catalog'!$C:$C,0)),""))))</f>
        <v>4420002</v>
      </c>
      <c r="H4242" s="8" t="str">
        <f aca="false">IFERROR(INDEX('TRANS'!$C:$C,MATCH($B4242,'TRANS'!$A:$A,0)),IFERROR(INDEX('Catalog'!$B:$B,MATCH($G4242,'Catalog'!$A:$A,0)),$B4242))</f>
        <v>372 רפידת אנטי ריח -זוג</v>
      </c>
      <c r="I4242" s="8" t="str">
        <f aca="false">IF($G4242="","Unmatched","Matched")</f>
        <v>Matched</v>
      </c>
    </row>
    <row r="4243" customFormat="false" ht="15" hidden="false" customHeight="false" outlineLevel="0" collapsed="false">
      <c r="A4243" s="8" t="s">
        <v>1092</v>
      </c>
      <c r="B4243" s="8" t="s">
        <v>169</v>
      </c>
      <c r="C4243" s="19" t="n">
        <v>50</v>
      </c>
      <c r="D4243" s="19" t="n">
        <v>467.42</v>
      </c>
      <c r="E4243" s="19" t="n">
        <v>0</v>
      </c>
      <c r="F4243" s="19" t="n">
        <v>0</v>
      </c>
      <c r="G4243" s="8" t="n">
        <f aca="false">IFERROR(INDEX('TRANS'!$B:$B,MATCH($B4243,'TRANS'!$A:$A,0)),IFERROR(INDEX('TRANS'!$B:$B,MATCH(TRIM(SUBSTITUTE($B4243,CHAR(160)," ")),'TRANS'!$D:$D,0)),IFERROR(INDEX('Catalog'!$A:$A,MATCH($B4243,'Catalog'!$B:$B,0)),IFERROR(INDEX('Catalog'!$A:$A,MATCH(TRIM(SUBSTITUTE($B4243,CHAR(160)," ")),'Catalog'!$C:$C,0)),""))))</f>
        <v>4420003</v>
      </c>
      <c r="H4243" s="8" t="str">
        <f aca="false">IFERROR(INDEX('TRANS'!$C:$C,MATCH($B4243,'TRANS'!$A:$A,0)),IFERROR(INDEX('Catalog'!$B:$B,MATCH($G4243,'Catalog'!$A:$A,0)),$B4243))</f>
        <v>374 רפידת בולמת זעזועים -זוג</v>
      </c>
      <c r="I4243" s="8" t="str">
        <f aca="false">IF($G4243="","Unmatched","Matched")</f>
        <v>Matched</v>
      </c>
    </row>
    <row r="4244" customFormat="false" ht="15" hidden="false" customHeight="false" outlineLevel="0" collapsed="false">
      <c r="A4244" s="8" t="s">
        <v>1092</v>
      </c>
      <c r="B4244" s="8" t="s">
        <v>170</v>
      </c>
      <c r="C4244" s="19" t="n">
        <v>22</v>
      </c>
      <c r="D4244" s="19" t="n">
        <v>370.35</v>
      </c>
      <c r="E4244" s="19" t="n">
        <v>6</v>
      </c>
      <c r="F4244" s="19" t="n">
        <v>86.25</v>
      </c>
      <c r="G4244" s="8" t="str">
        <f aca="false">IFERROR(INDEX('TRANS'!$B:$B,MATCH($B4244,'TRANS'!$A:$A,0)),IFERROR(INDEX('TRANS'!$B:$B,MATCH(TRIM(SUBSTITUTE($B4244,CHAR(160)," ")),'TRANS'!$D:$D,0)),IFERROR(INDEX('Catalog'!$A:$A,MATCH($B4244,'Catalog'!$B:$B,0)),IFERROR(INDEX('Catalog'!$A:$A,MATCH(TRIM(SUBSTITUTE($B4244,CHAR(160)," ")),'Catalog'!$C:$C,0)),""))))</f>
        <v/>
      </c>
      <c r="H4244" s="8" t="str">
        <f aca="false">IFERROR(INDEX('TRANS'!$C:$C,MATCH($B4244,'TRANS'!$A:$A,0)),IFERROR(INDEX('Catalog'!$B:$B,MATCH($G4244,'Catalog'!$A:$A,0)),$B4244))</f>
        <v>376-35-37</v>
      </c>
      <c r="I4244" s="8" t="str">
        <f aca="false">IF($G4244="","Unmatched","Matched")</f>
        <v>Unmatched</v>
      </c>
    </row>
    <row r="4245" customFormat="false" ht="15" hidden="false" customHeight="false" outlineLevel="0" collapsed="false">
      <c r="A4245" s="8" t="s">
        <v>1092</v>
      </c>
      <c r="B4245" s="8" t="s">
        <v>171</v>
      </c>
      <c r="C4245" s="19" t="n">
        <v>28</v>
      </c>
      <c r="D4245" s="19" t="n">
        <v>475.74</v>
      </c>
      <c r="E4245" s="19" t="n">
        <v>20</v>
      </c>
      <c r="F4245" s="19" t="n">
        <v>308.63</v>
      </c>
      <c r="G4245" s="8" t="str">
        <f aca="false">IFERROR(INDEX('TRANS'!$B:$B,MATCH($B4245,'TRANS'!$A:$A,0)),IFERROR(INDEX('TRANS'!$B:$B,MATCH(TRIM(SUBSTITUTE($B4245,CHAR(160)," ")),'TRANS'!$D:$D,0)),IFERROR(INDEX('Catalog'!$A:$A,MATCH($B4245,'Catalog'!$B:$B,0)),IFERROR(INDEX('Catalog'!$A:$A,MATCH(TRIM(SUBSTITUTE($B4245,CHAR(160)," ")),'Catalog'!$C:$C,0)),""))))</f>
        <v/>
      </c>
      <c r="H4245" s="8" t="str">
        <f aca="false">IFERROR(INDEX('TRANS'!$C:$C,MATCH($B4245,'TRANS'!$A:$A,0)),IFERROR(INDEX('Catalog'!$B:$B,MATCH($G4245,'Catalog'!$A:$A,0)),$B4245))</f>
        <v>376-38-40</v>
      </c>
      <c r="I4245" s="8" t="str">
        <f aca="false">IF($G4245="","Unmatched","Matched")</f>
        <v>Unmatched</v>
      </c>
    </row>
    <row r="4246" customFormat="false" ht="15" hidden="false" customHeight="false" outlineLevel="0" collapsed="false">
      <c r="A4246" s="8" t="s">
        <v>1092</v>
      </c>
      <c r="B4246" s="8" t="s">
        <v>172</v>
      </c>
      <c r="C4246" s="19" t="n">
        <v>56</v>
      </c>
      <c r="D4246" s="19" t="n">
        <v>951.48</v>
      </c>
      <c r="E4246" s="19" t="n">
        <v>40</v>
      </c>
      <c r="F4246" s="19" t="n">
        <v>606.7</v>
      </c>
      <c r="G4246" s="8" t="str">
        <f aca="false">IFERROR(INDEX('TRANS'!$B:$B,MATCH($B4246,'TRANS'!$A:$A,0)),IFERROR(INDEX('TRANS'!$B:$B,MATCH(TRIM(SUBSTITUTE($B4246,CHAR(160)," ")),'TRANS'!$D:$D,0)),IFERROR(INDEX('Catalog'!$A:$A,MATCH($B4246,'Catalog'!$B:$B,0)),IFERROR(INDEX('Catalog'!$A:$A,MATCH(TRIM(SUBSTITUTE($B4246,CHAR(160)," ")),'Catalog'!$C:$C,0)),""))))</f>
        <v/>
      </c>
      <c r="H4246" s="8" t="str">
        <f aca="false">IFERROR(INDEX('TRANS'!$C:$C,MATCH($B4246,'TRANS'!$A:$A,0)),IFERROR(INDEX('Catalog'!$B:$B,MATCH($G4246,'Catalog'!$A:$A,0)),$B4246))</f>
        <v>376-41-43</v>
      </c>
      <c r="I4246" s="8" t="str">
        <f aca="false">IF($G4246="","Unmatched","Matched")</f>
        <v>Unmatched</v>
      </c>
    </row>
    <row r="4247" customFormat="false" ht="15" hidden="false" customHeight="false" outlineLevel="0" collapsed="false">
      <c r="A4247" s="8" t="s">
        <v>1092</v>
      </c>
      <c r="B4247" s="8" t="s">
        <v>173</v>
      </c>
      <c r="C4247" s="19" t="n">
        <v>76</v>
      </c>
      <c r="D4247" s="19" t="n">
        <v>1270.62</v>
      </c>
      <c r="E4247" s="19" t="n">
        <v>10</v>
      </c>
      <c r="F4247" s="19" t="n">
        <v>143.75</v>
      </c>
      <c r="G4247" s="8" t="str">
        <f aca="false">IFERROR(INDEX('TRANS'!$B:$B,MATCH($B4247,'TRANS'!$A:$A,0)),IFERROR(INDEX('TRANS'!$B:$B,MATCH(TRIM(SUBSTITUTE($B4247,CHAR(160)," ")),'TRANS'!$D:$D,0)),IFERROR(INDEX('Catalog'!$A:$A,MATCH($B4247,'Catalog'!$B:$B,0)),IFERROR(INDEX('Catalog'!$A:$A,MATCH(TRIM(SUBSTITUTE($B4247,CHAR(160)," ")),'Catalog'!$C:$C,0)),""))))</f>
        <v/>
      </c>
      <c r="H4247" s="8" t="str">
        <f aca="false">IFERROR(INDEX('TRANS'!$C:$C,MATCH($B4247,'TRANS'!$A:$A,0)),IFERROR(INDEX('Catalog'!$B:$B,MATCH($G4247,'Catalog'!$A:$A,0)),$B4247))</f>
        <v>376-44-45</v>
      </c>
      <c r="I4247" s="8" t="str">
        <f aca="false">IF($G4247="","Unmatched","Matched")</f>
        <v>Unmatched</v>
      </c>
    </row>
    <row r="4248" customFormat="false" ht="15" hidden="false" customHeight="false" outlineLevel="0" collapsed="false">
      <c r="A4248" s="8" t="s">
        <v>1092</v>
      </c>
      <c r="B4248" s="8" t="s">
        <v>174</v>
      </c>
      <c r="C4248" s="19" t="n">
        <v>22</v>
      </c>
      <c r="D4248" s="19" t="n">
        <v>370.35</v>
      </c>
      <c r="E4248" s="19" t="n">
        <v>6</v>
      </c>
      <c r="F4248" s="19" t="n">
        <v>92.59</v>
      </c>
      <c r="G4248" s="8" t="n">
        <f aca="false">IFERROR(INDEX('TRANS'!$B:$B,MATCH($B4248,'TRANS'!$A:$A,0)),IFERROR(INDEX('TRANS'!$B:$B,MATCH(TRIM(SUBSTITUTE($B4248,CHAR(160)," ")),'TRANS'!$D:$D,0)),IFERROR(INDEX('Catalog'!$A:$A,MATCH($B4248,'Catalog'!$B:$B,0)),IFERROR(INDEX('Catalog'!$A:$A,MATCH(TRIM(SUBSTITUTE($B4248,CHAR(160)," ")),'Catalog'!$C:$C,0)),""))))</f>
        <v>4420032</v>
      </c>
      <c r="H4248" s="8" t="str">
        <f aca="false">IFERROR(INDEX('TRANS'!$C:$C,MATCH($B4248,'TRANS'!$A:$A,0)),IFERROR(INDEX('Catalog'!$B:$B,MATCH($G4248,'Catalog'!$A:$A,0)),$B4248))</f>
        <v>46-47 רפידת ספורט 376 מידה</v>
      </c>
      <c r="I4248" s="8" t="str">
        <f aca="false">IF($G4248="","Unmatched","Matched")</f>
        <v>Matched</v>
      </c>
    </row>
    <row r="4249" customFormat="false" ht="15" hidden="false" customHeight="false" outlineLevel="0" collapsed="false">
      <c r="A4249" s="8" t="s">
        <v>1092</v>
      </c>
      <c r="B4249" s="8" t="s">
        <v>479</v>
      </c>
      <c r="C4249" s="19" t="n">
        <v>35</v>
      </c>
      <c r="D4249" s="19" t="n">
        <v>1637.11</v>
      </c>
      <c r="E4249" s="19" t="n">
        <v>0</v>
      </c>
      <c r="F4249" s="19" t="n">
        <v>0</v>
      </c>
      <c r="G4249" s="8" t="n">
        <f aca="false">IFERROR(INDEX('TRANS'!$B:$B,MATCH($B4249,'TRANS'!$A:$A,0)),IFERROR(INDEX('TRANS'!$B:$B,MATCH(TRIM(SUBSTITUTE($B4249,CHAR(160)," ")),'TRANS'!$D:$D,0)),IFERROR(INDEX('Catalog'!$A:$A,MATCH($B4249,'Catalog'!$B:$B,0)),IFERROR(INDEX('Catalog'!$A:$A,MATCH(TRIM(SUBSTITUTE($B4249,CHAR(160)," ")),'Catalog'!$C:$C,0)),""))))</f>
        <v>4413523</v>
      </c>
      <c r="H4249" s="8" t="str">
        <f aca="false">IFERROR(INDEX('TRANS'!$C:$C,MATCH($B4249,'TRANS'!$A:$A,0)),IFERROR(INDEX('Catalog'!$B:$B,MATCH($G4249,'Catalog'!$A:$A,0)),$B4249))</f>
        <v>35-38 מדרסי אפיק ג'ל נוחות</v>
      </c>
      <c r="I4249" s="8" t="str">
        <f aca="false">IF($G4249="","Unmatched","Matched")</f>
        <v>Matched</v>
      </c>
    </row>
    <row r="4250" customFormat="false" ht="15" hidden="false" customHeight="false" outlineLevel="0" collapsed="false">
      <c r="A4250" s="8" t="s">
        <v>1092</v>
      </c>
      <c r="B4250" s="8" t="s">
        <v>480</v>
      </c>
      <c r="C4250" s="19" t="n">
        <v>44</v>
      </c>
      <c r="D4250" s="19" t="n">
        <v>2094.75</v>
      </c>
      <c r="E4250" s="19" t="n">
        <v>0</v>
      </c>
      <c r="F4250" s="19" t="n">
        <v>0</v>
      </c>
      <c r="G4250" s="8" t="n">
        <f aca="false">IFERROR(INDEX('TRANS'!$B:$B,MATCH($B4250,'TRANS'!$A:$A,0)),IFERROR(INDEX('TRANS'!$B:$B,MATCH(TRIM(SUBSTITUTE($B4250,CHAR(160)," ")),'TRANS'!$D:$D,0)),IFERROR(INDEX('Catalog'!$A:$A,MATCH($B4250,'Catalog'!$B:$B,0)),IFERROR(INDEX('Catalog'!$A:$A,MATCH(TRIM(SUBSTITUTE($B4250,CHAR(160)," ")),'Catalog'!$C:$C,0)),""))))</f>
        <v>4413524</v>
      </c>
      <c r="H4250" s="8" t="str">
        <f aca="false">IFERROR(INDEX('TRANS'!$C:$C,MATCH($B4250,'TRANS'!$A:$A,0)),IFERROR(INDEX('Catalog'!$B:$B,MATCH($G4250,'Catalog'!$A:$A,0)),$B4250))</f>
        <v>39-42 מדרסי אפיק ג'ל נוחות</v>
      </c>
      <c r="I4250" s="8" t="str">
        <f aca="false">IF($G4250="","Unmatched","Matched")</f>
        <v>Matched</v>
      </c>
    </row>
    <row r="4251" customFormat="false" ht="15" hidden="false" customHeight="false" outlineLevel="0" collapsed="false">
      <c r="A4251" s="8" t="s">
        <v>1092</v>
      </c>
      <c r="B4251" s="8" t="s">
        <v>481</v>
      </c>
      <c r="C4251" s="19" t="n">
        <v>64</v>
      </c>
      <c r="D4251" s="19" t="n">
        <v>2987.56</v>
      </c>
      <c r="E4251" s="19" t="n">
        <v>0</v>
      </c>
      <c r="F4251" s="19" t="n">
        <v>0</v>
      </c>
      <c r="G4251" s="8" t="n">
        <f aca="false">IFERROR(INDEX('TRANS'!$B:$B,MATCH($B4251,'TRANS'!$A:$A,0)),IFERROR(INDEX('TRANS'!$B:$B,MATCH(TRIM(SUBSTITUTE($B4251,CHAR(160)," ")),'TRANS'!$D:$D,0)),IFERROR(INDEX('Catalog'!$A:$A,MATCH($B4251,'Catalog'!$B:$B,0)),IFERROR(INDEX('Catalog'!$A:$A,MATCH(TRIM(SUBSTITUTE($B4251,CHAR(160)," ")),'Catalog'!$C:$C,0)),""))))</f>
        <v>4413525</v>
      </c>
      <c r="H4251" s="8" t="str">
        <f aca="false">IFERROR(INDEX('TRANS'!$C:$C,MATCH($B4251,'TRANS'!$A:$A,0)),IFERROR(INDEX('Catalog'!$B:$B,MATCH($G4251,'Catalog'!$A:$A,0)),$B4251))</f>
        <v>43-47 מדרסי אפיק ג'ל נוחות</v>
      </c>
      <c r="I4251" s="8" t="str">
        <f aca="false">IF($G4251="","Unmatched","Matched")</f>
        <v>Matched</v>
      </c>
    </row>
    <row r="4252" customFormat="false" ht="15" hidden="false" customHeight="false" outlineLevel="0" collapsed="false">
      <c r="A4252" s="8" t="s">
        <v>1092</v>
      </c>
      <c r="B4252" s="8" t="s">
        <v>482</v>
      </c>
      <c r="C4252" s="19" t="n">
        <v>34</v>
      </c>
      <c r="D4252" s="19" t="n">
        <v>1637.07</v>
      </c>
      <c r="E4252" s="19" t="n">
        <v>0</v>
      </c>
      <c r="F4252" s="19" t="n">
        <v>0</v>
      </c>
      <c r="G4252" s="8" t="n">
        <f aca="false">IFERROR(INDEX('TRANS'!$B:$B,MATCH($B4252,'TRANS'!$A:$A,0)),IFERROR(INDEX('TRANS'!$B:$B,MATCH(TRIM(SUBSTITUTE($B4252,CHAR(160)," ")),'TRANS'!$D:$D,0)),IFERROR(INDEX('Catalog'!$A:$A,MATCH($B4252,'Catalog'!$B:$B,0)),IFERROR(INDEX('Catalog'!$A:$A,MATCH(TRIM(SUBSTITUTE($B4252,CHAR(160)," ")),'Catalog'!$C:$C,0)),""))))</f>
        <v>4413520</v>
      </c>
      <c r="H4252" s="8" t="str">
        <f aca="false">IFERROR(INDEX('TRANS'!$C:$C,MATCH($B4252,'TRANS'!$A:$A,0)),IFERROR(INDEX('Catalog'!$B:$B,MATCH($G4252,'Catalog'!$A:$A,0)),$B4252))</f>
        <v>מדרסי אפיק ג'ל מולט.ספורט35-38</v>
      </c>
      <c r="I4252" s="8" t="str">
        <f aca="false">IF($G4252="","Unmatched","Matched")</f>
        <v>Matched</v>
      </c>
    </row>
    <row r="4253" customFormat="false" ht="15" hidden="false" customHeight="false" outlineLevel="0" collapsed="false">
      <c r="A4253" s="8" t="s">
        <v>1092</v>
      </c>
      <c r="B4253" s="8" t="s">
        <v>483</v>
      </c>
      <c r="C4253" s="19" t="n">
        <v>54</v>
      </c>
      <c r="D4253" s="19" t="n">
        <v>2541.16</v>
      </c>
      <c r="E4253" s="19" t="n">
        <v>0</v>
      </c>
      <c r="F4253" s="19" t="n">
        <v>0</v>
      </c>
      <c r="G4253" s="8" t="n">
        <f aca="false">IFERROR(INDEX('TRANS'!$B:$B,MATCH($B4253,'TRANS'!$A:$A,0)),IFERROR(INDEX('TRANS'!$B:$B,MATCH(TRIM(SUBSTITUTE($B4253,CHAR(160)," ")),'TRANS'!$D:$D,0)),IFERROR(INDEX('Catalog'!$A:$A,MATCH($B4253,'Catalog'!$B:$B,0)),IFERROR(INDEX('Catalog'!$A:$A,MATCH(TRIM(SUBSTITUTE($B4253,CHAR(160)," ")),'Catalog'!$C:$C,0)),""))))</f>
        <v>4413521</v>
      </c>
      <c r="H4253" s="8" t="str">
        <f aca="false">IFERROR(INDEX('TRANS'!$C:$C,MATCH($B4253,'TRANS'!$A:$A,0)),IFERROR(INDEX('Catalog'!$B:$B,MATCH($G4253,'Catalog'!$A:$A,0)),$B4253))</f>
        <v>מדרסי אפיק ג'ל מולטי ספור39-42</v>
      </c>
      <c r="I4253" s="8" t="str">
        <f aca="false">IF($G4253="","Unmatched","Matched")</f>
        <v>Matched</v>
      </c>
    </row>
    <row r="4254" customFormat="false" ht="15" hidden="false" customHeight="false" outlineLevel="0" collapsed="false">
      <c r="A4254" s="8" t="s">
        <v>1092</v>
      </c>
      <c r="B4254" s="8" t="s">
        <v>484</v>
      </c>
      <c r="C4254" s="19" t="n">
        <v>44</v>
      </c>
      <c r="D4254" s="19" t="n">
        <v>2094.75</v>
      </c>
      <c r="E4254" s="19" t="n">
        <v>0</v>
      </c>
      <c r="F4254" s="19" t="n">
        <v>0</v>
      </c>
      <c r="G4254" s="8" t="n">
        <f aca="false">IFERROR(INDEX('TRANS'!$B:$B,MATCH($B4254,'TRANS'!$A:$A,0)),IFERROR(INDEX('TRANS'!$B:$B,MATCH(TRIM(SUBSTITUTE($B4254,CHAR(160)," ")),'TRANS'!$D:$D,0)),IFERROR(INDEX('Catalog'!$A:$A,MATCH($B4254,'Catalog'!$B:$B,0)),IFERROR(INDEX('Catalog'!$A:$A,MATCH(TRIM(SUBSTITUTE($B4254,CHAR(160)," ")),'Catalog'!$C:$C,0)),""))))</f>
        <v>4413522</v>
      </c>
      <c r="H4254" s="8" t="str">
        <f aca="false">IFERROR(INDEX('TRANS'!$C:$C,MATCH($B4254,'TRANS'!$A:$A,0)),IFERROR(INDEX('Catalog'!$B:$B,MATCH($G4254,'Catalog'!$A:$A,0)),$B4254))</f>
        <v>מדרסי אפיק ג'ל מולט.ספורט43-47</v>
      </c>
      <c r="I4254" s="8" t="str">
        <f aca="false">IF($G4254="","Unmatched","Matched")</f>
        <v>Matched</v>
      </c>
    </row>
    <row r="4255" customFormat="false" ht="15" hidden="false" customHeight="false" outlineLevel="0" collapsed="false">
      <c r="A4255" s="8" t="s">
        <v>1092</v>
      </c>
      <c r="B4255" s="8" t="s">
        <v>485</v>
      </c>
      <c r="C4255" s="19" t="n">
        <v>44</v>
      </c>
      <c r="D4255" s="19" t="n">
        <v>2083.48</v>
      </c>
      <c r="E4255" s="19" t="n">
        <v>0</v>
      </c>
      <c r="F4255" s="19" t="n">
        <v>0</v>
      </c>
      <c r="G4255" s="8" t="n">
        <f aca="false">IFERROR(INDEX('TRANS'!$B:$B,MATCH($B4255,'TRANS'!$A:$A,0)),IFERROR(INDEX('TRANS'!$B:$B,MATCH(TRIM(SUBSTITUTE($B4255,CHAR(160)," ")),'TRANS'!$D:$D,0)),IFERROR(INDEX('Catalog'!$A:$A,MATCH($B4255,'Catalog'!$B:$B,0)),IFERROR(INDEX('Catalog'!$A:$A,MATCH(TRIM(SUBSTITUTE($B4255,CHAR(160)," ")),'Catalog'!$C:$C,0)),""))))</f>
        <v>4413527</v>
      </c>
      <c r="H4255" s="8" t="str">
        <f aca="false">IFERROR(INDEX('TRANS'!$C:$C,MATCH($B4255,'TRANS'!$A:$A,0)),IFERROR(INDEX('Catalog'!$B:$B,MATCH($G4255,'Catalog'!$A:$A,0)),$B4255))</f>
        <v>35-38 מדרסי אפיק ג'ל עבודה</v>
      </c>
      <c r="I4255" s="8" t="str">
        <f aca="false">IF($G4255="","Unmatched","Matched")</f>
        <v>Matched</v>
      </c>
    </row>
    <row r="4256" customFormat="false" ht="15" hidden="false" customHeight="false" outlineLevel="0" collapsed="false">
      <c r="A4256" s="8" t="s">
        <v>1092</v>
      </c>
      <c r="B4256" s="8" t="s">
        <v>486</v>
      </c>
      <c r="C4256" s="19" t="n">
        <v>65</v>
      </c>
      <c r="D4256" s="19" t="n">
        <v>2987.6</v>
      </c>
      <c r="E4256" s="19" t="n">
        <v>0</v>
      </c>
      <c r="F4256" s="19" t="n">
        <v>0</v>
      </c>
      <c r="G4256" s="8" t="n">
        <f aca="false">IFERROR(INDEX('TRANS'!$B:$B,MATCH($B4256,'TRANS'!$A:$A,0)),IFERROR(INDEX('TRANS'!$B:$B,MATCH(TRIM(SUBSTITUTE($B4256,CHAR(160)," ")),'TRANS'!$D:$D,0)),IFERROR(INDEX('Catalog'!$A:$A,MATCH($B4256,'Catalog'!$B:$B,0)),IFERROR(INDEX('Catalog'!$A:$A,MATCH(TRIM(SUBSTITUTE($B4256,CHAR(160)," ")),'Catalog'!$C:$C,0)),""))))</f>
        <v>4413528</v>
      </c>
      <c r="H4256" s="8" t="str">
        <f aca="false">IFERROR(INDEX('TRANS'!$C:$C,MATCH($B4256,'TRANS'!$A:$A,0)),IFERROR(INDEX('Catalog'!$B:$B,MATCH($G4256,'Catalog'!$A:$A,0)),$B4256))</f>
        <v>39-42 מדרסי אפיק ג'ל עבודה</v>
      </c>
      <c r="I4256" s="8" t="str">
        <f aca="false">IF($G4256="","Unmatched","Matched")</f>
        <v>Matched</v>
      </c>
    </row>
    <row r="4257" customFormat="false" ht="15" hidden="false" customHeight="false" outlineLevel="0" collapsed="false">
      <c r="A4257" s="8" t="s">
        <v>1092</v>
      </c>
      <c r="B4257" s="8" t="s">
        <v>487</v>
      </c>
      <c r="C4257" s="19" t="n">
        <v>83</v>
      </c>
      <c r="D4257" s="19" t="n">
        <v>3823.33</v>
      </c>
      <c r="E4257" s="19" t="n">
        <v>0</v>
      </c>
      <c r="F4257" s="19" t="n">
        <v>0</v>
      </c>
      <c r="G4257" s="8" t="n">
        <f aca="false">IFERROR(INDEX('TRANS'!$B:$B,MATCH($B4257,'TRANS'!$A:$A,0)),IFERROR(INDEX('TRANS'!$B:$B,MATCH(TRIM(SUBSTITUTE($B4257,CHAR(160)," ")),'TRANS'!$D:$D,0)),IFERROR(INDEX('Catalog'!$A:$A,MATCH($B4257,'Catalog'!$B:$B,0)),IFERROR(INDEX('Catalog'!$A:$A,MATCH(TRIM(SUBSTITUTE($B4257,CHAR(160)," ")),'Catalog'!$C:$C,0)),""))))</f>
        <v>4413529</v>
      </c>
      <c r="H4257" s="8" t="str">
        <f aca="false">IFERROR(INDEX('TRANS'!$C:$C,MATCH($B4257,'TRANS'!$A:$A,0)),IFERROR(INDEX('Catalog'!$B:$B,MATCH($G4257,'Catalog'!$A:$A,0)),$B4257))</f>
        <v>43-47 מדרסי אפיק ג'ל עבודה</v>
      </c>
      <c r="I4257" s="8" t="str">
        <f aca="false">IF($G4257="","Unmatched","Matched")</f>
        <v>Matched</v>
      </c>
    </row>
    <row r="4258" customFormat="false" ht="15" hidden="false" customHeight="false" outlineLevel="0" collapsed="false">
      <c r="A4258" s="8" t="s">
        <v>1092</v>
      </c>
      <c r="B4258" s="8" t="s">
        <v>178</v>
      </c>
      <c r="C4258" s="19" t="n">
        <v>25</v>
      </c>
      <c r="D4258" s="19" t="n">
        <v>913.43</v>
      </c>
      <c r="E4258" s="19" t="n">
        <v>10</v>
      </c>
      <c r="F4258" s="19" t="n">
        <v>311.45</v>
      </c>
      <c r="G4258" s="8" t="n">
        <f aca="false">IFERROR(INDEX('TRANS'!$B:$B,MATCH($B4258,'TRANS'!$A:$A,0)),IFERROR(INDEX('TRANS'!$B:$B,MATCH(TRIM(SUBSTITUTE($B4258,CHAR(160)," ")),'TRANS'!$D:$D,0)),IFERROR(INDEX('Catalog'!$A:$A,MATCH($B4258,'Catalog'!$B:$B,0)),IFERROR(INDEX('Catalog'!$A:$A,MATCH(TRIM(SUBSTITUTE($B4258,CHAR(160)," ")),'Catalog'!$C:$C,0)),""))))</f>
        <v>4415298</v>
      </c>
      <c r="H4258" s="8" t="str">
        <f aca="false">IFERROR(INDEX('TRANS'!$C:$C,MATCH($B4258,'TRANS'!$A:$A,0)),IFERROR(INDEX('Catalog'!$B:$B,MATCH($G4258,'Catalog'!$A:$A,0)),$B4258))</f>
        <v>388B L סד לילה שחור לבוהן שמאל</v>
      </c>
      <c r="I4258" s="8" t="str">
        <f aca="false">IF($G4258="","Unmatched","Matched")</f>
        <v>Matched</v>
      </c>
    </row>
    <row r="4259" customFormat="false" ht="15" hidden="false" customHeight="false" outlineLevel="0" collapsed="false">
      <c r="A4259" s="8" t="s">
        <v>1092</v>
      </c>
      <c r="B4259" s="8" t="s">
        <v>179</v>
      </c>
      <c r="C4259" s="19" t="n">
        <v>34</v>
      </c>
      <c r="D4259" s="19" t="n">
        <v>1862.47</v>
      </c>
      <c r="E4259" s="19" t="n">
        <v>0</v>
      </c>
      <c r="F4259" s="19" t="n">
        <v>0</v>
      </c>
      <c r="G4259" s="8" t="n">
        <f aca="false">IFERROR(INDEX('TRANS'!$B:$B,MATCH($B4259,'TRANS'!$A:$A,0)),IFERROR(INDEX('TRANS'!$B:$B,MATCH(TRIM(SUBSTITUTE($B4259,CHAR(160)," ")),'TRANS'!$D:$D,0)),IFERROR(INDEX('Catalog'!$A:$A,MATCH($B4259,'Catalog'!$B:$B,0)),IFERROR(INDEX('Catalog'!$A:$A,MATCH(TRIM(SUBSTITUTE($B4259,CHAR(160)," ")),'Catalog'!$C:$C,0)),""))))</f>
        <v>4415299</v>
      </c>
      <c r="H4259" s="8" t="str">
        <f aca="false">IFERROR(INDEX('TRANS'!$C:$C,MATCH($B4259,'TRANS'!$A:$A,0)),IFERROR(INDEX('Catalog'!$B:$B,MATCH($G4259,'Catalog'!$A:$A,0)),$B4259))</f>
        <v>388B L סד לילה שחור לבוהן ימין</v>
      </c>
      <c r="I4259" s="8" t="str">
        <f aca="false">IF($G4259="","Unmatched","Matched")</f>
        <v>Matched</v>
      </c>
    </row>
    <row r="4260" customFormat="false" ht="15" hidden="false" customHeight="false" outlineLevel="0" collapsed="false">
      <c r="A4260" s="8" t="s">
        <v>1092</v>
      </c>
      <c r="B4260" s="8" t="s">
        <v>185</v>
      </c>
      <c r="C4260" s="19" t="n">
        <v>10</v>
      </c>
      <c r="D4260" s="19" t="n">
        <v>263.48</v>
      </c>
      <c r="E4260" s="19" t="n">
        <v>0</v>
      </c>
      <c r="F4260" s="19" t="n">
        <v>0</v>
      </c>
      <c r="G4260" s="8" t="n">
        <f aca="false">IFERROR(INDEX('TRANS'!$B:$B,MATCH($B4260,'TRANS'!$A:$A,0)),IFERROR(INDEX('TRANS'!$B:$B,MATCH(TRIM(SUBSTITUTE($B4260,CHAR(160)," ")),'TRANS'!$D:$D,0)),IFERROR(INDEX('Catalog'!$A:$A,MATCH($B4260,'Catalog'!$B:$B,0)),IFERROR(INDEX('Catalog'!$A:$A,MATCH(TRIM(SUBSTITUTE($B4260,CHAR(160)," ")),'Catalog'!$C:$C,0)),""))))</f>
        <v>4403005</v>
      </c>
      <c r="H4260" s="8" t="str">
        <f aca="false">IFERROR(INDEX('TRANS'!$C:$C,MATCH($B4260,'TRANS'!$A:$A,0)),IFERROR(INDEX('Catalog'!$B:$B,MATCH($G4260,'Catalog'!$A:$A,0)),$B4260))</f>
        <v>G390.43-46 גרבי כסף לסכרת מידה</v>
      </c>
      <c r="I4260" s="8" t="str">
        <f aca="false">IF($G4260="","Unmatched","Matched")</f>
        <v>Matched</v>
      </c>
    </row>
    <row r="4261" customFormat="false" ht="15" hidden="false" customHeight="false" outlineLevel="0" collapsed="false">
      <c r="A4261" s="8" t="s">
        <v>1092</v>
      </c>
      <c r="B4261" s="8" t="s">
        <v>761</v>
      </c>
      <c r="C4261" s="19" t="n">
        <v>10</v>
      </c>
      <c r="D4261" s="19" t="n">
        <v>263.48</v>
      </c>
      <c r="E4261" s="19" t="n">
        <v>0</v>
      </c>
      <c r="F4261" s="19" t="n">
        <v>0</v>
      </c>
      <c r="G4261" s="8" t="n">
        <f aca="false">IFERROR(INDEX('TRANS'!$B:$B,MATCH($B4261,'TRANS'!$A:$A,0)),IFERROR(INDEX('TRANS'!$B:$B,MATCH(TRIM(SUBSTITUTE($B4261,CHAR(160)," ")),'TRANS'!$D:$D,0)),IFERROR(INDEX('Catalog'!$A:$A,MATCH($B4261,'Catalog'!$B:$B,0)),IFERROR(INDEX('Catalog'!$A:$A,MATCH(TRIM(SUBSTITUTE($B4261,CHAR(160)," ")),'Catalog'!$C:$C,0)),""))))</f>
        <v>4403006</v>
      </c>
      <c r="H4261" s="8" t="str">
        <f aca="false">IFERROR(INDEX('TRANS'!$C:$C,MATCH($B4261,'TRANS'!$A:$A,0)),IFERROR(INDEX('Catalog'!$B:$B,MATCH($G4261,'Catalog'!$A:$A,0)),$B4261))</f>
        <v>390W גרב כסף לסכרתיים לבן35-38</v>
      </c>
      <c r="I4261" s="8" t="str">
        <f aca="false">IF($G4261="","Unmatched","Matched")</f>
        <v>Matched</v>
      </c>
    </row>
    <row r="4262" customFormat="false" ht="15" hidden="false" customHeight="false" outlineLevel="0" collapsed="false">
      <c r="A4262" s="8" t="s">
        <v>1092</v>
      </c>
      <c r="B4262" s="8" t="s">
        <v>366</v>
      </c>
      <c r="C4262" s="19" t="n">
        <v>10</v>
      </c>
      <c r="D4262" s="19" t="n">
        <v>263.48</v>
      </c>
      <c r="E4262" s="19" t="n">
        <v>0</v>
      </c>
      <c r="F4262" s="19" t="n">
        <v>0</v>
      </c>
      <c r="G4262" s="8" t="n">
        <f aca="false">IFERROR(INDEX('TRANS'!$B:$B,MATCH($B4262,'TRANS'!$A:$A,0)),IFERROR(INDEX('TRANS'!$B:$B,MATCH(TRIM(SUBSTITUTE($B4262,CHAR(160)," ")),'TRANS'!$D:$D,0)),IFERROR(INDEX('Catalog'!$A:$A,MATCH($B4262,'Catalog'!$B:$B,0)),IFERROR(INDEX('Catalog'!$A:$A,MATCH(TRIM(SUBSTITUTE($B4262,CHAR(160)," ")),'Catalog'!$C:$C,0)),""))))</f>
        <v>4403008</v>
      </c>
      <c r="H4262" s="8" t="str">
        <f aca="false">IFERROR(INDEX('TRANS'!$C:$C,MATCH($B4262,'TRANS'!$A:$A,0)),IFERROR(INDEX('Catalog'!$B:$B,MATCH($G4262,'Catalog'!$A:$A,0)),$B4262))</f>
        <v>390W גרב.כסף לסכרתיים לבן43-46</v>
      </c>
      <c r="I4262" s="8" t="str">
        <f aca="false">IF($G4262="","Unmatched","Matched")</f>
        <v>Matched</v>
      </c>
    </row>
    <row r="4263" customFormat="false" ht="15" hidden="false" customHeight="false" outlineLevel="0" collapsed="false">
      <c r="A4263" s="8" t="s">
        <v>1092</v>
      </c>
      <c r="B4263" s="8" t="s">
        <v>488</v>
      </c>
      <c r="C4263" s="19" t="n">
        <v>1</v>
      </c>
      <c r="D4263" s="19" t="n">
        <v>0.04</v>
      </c>
      <c r="E4263" s="19" t="n">
        <v>0</v>
      </c>
      <c r="F4263" s="19" t="n">
        <v>0</v>
      </c>
      <c r="G4263" s="8" t="str">
        <f aca="false">IFERROR(INDEX('TRANS'!$B:$B,MATCH($B4263,'TRANS'!$A:$A,0)),IFERROR(INDEX('TRANS'!$B:$B,MATCH(TRIM(SUBSTITUTE($B4263,CHAR(160)," ")),'TRANS'!$D:$D,0)),IFERROR(INDEX('Catalog'!$A:$A,MATCH($B4263,'Catalog'!$B:$B,0)),IFERROR(INDEX('Catalog'!$A:$A,MATCH(TRIM(SUBSTITUTE($B4263,CHAR(160)," ")),'Catalog'!$C:$C,0)),""))))</f>
        <v/>
      </c>
      <c r="H4263" s="8" t="str">
        <f aca="false">IFERROR(INDEX('TRANS'!$C:$C,MATCH($B4263,'TRANS'!$A:$A,0)),IFERROR(INDEX('Catalog'!$B:$B,MATCH($G4263,'Catalog'!$A:$A,0)),$B4263))</f>
        <v>391W-35-38</v>
      </c>
      <c r="I4263" s="8" t="str">
        <f aca="false">IF($G4263="","Unmatched","Matched")</f>
        <v>Unmatched</v>
      </c>
    </row>
    <row r="4264" customFormat="false" ht="15" hidden="false" customHeight="false" outlineLevel="0" collapsed="false">
      <c r="A4264" s="8" t="s">
        <v>1092</v>
      </c>
      <c r="B4264" s="8" t="s">
        <v>187</v>
      </c>
      <c r="C4264" s="19" t="n">
        <v>10</v>
      </c>
      <c r="D4264" s="19" t="n">
        <v>225.92</v>
      </c>
      <c r="E4264" s="19" t="n">
        <v>0</v>
      </c>
      <c r="F4264" s="19" t="n">
        <v>0</v>
      </c>
      <c r="G4264" s="8" t="n">
        <f aca="false">IFERROR(INDEX('TRANS'!$B:$B,MATCH($B4264,'TRANS'!$A:$A,0)),IFERROR(INDEX('TRANS'!$B:$B,MATCH(TRIM(SUBSTITUTE($B4264,CHAR(160)," ")),'TRANS'!$D:$D,0)),IFERROR(INDEX('Catalog'!$A:$A,MATCH($B4264,'Catalog'!$B:$B,0)),IFERROR(INDEX('Catalog'!$A:$A,MATCH(TRIM(SUBSTITUTE($B4264,CHAR(160)," ")),'Catalog'!$C:$C,0)),""))))</f>
        <v>4403017</v>
      </c>
      <c r="H4264" s="8" t="str">
        <f aca="false">IFERROR(INDEX('TRANS'!$C:$C,MATCH($B4264,'TRANS'!$A:$A,0)),IFERROR(INDEX('Catalog'!$B:$B,MATCH($G4264,'Catalog'!$A:$A,0)),$B4264))</f>
        <v>394B גרב.כסף לסכרתים שחור35-38</v>
      </c>
      <c r="I4264" s="8" t="str">
        <f aca="false">IF($G4264="","Unmatched","Matched")</f>
        <v>Matched</v>
      </c>
    </row>
    <row r="4265" customFormat="false" ht="15" hidden="false" customHeight="false" outlineLevel="0" collapsed="false">
      <c r="A4265" s="8" t="s">
        <v>1092</v>
      </c>
      <c r="B4265" s="8" t="s">
        <v>188</v>
      </c>
      <c r="C4265" s="19" t="n">
        <v>10</v>
      </c>
      <c r="D4265" s="19" t="n">
        <v>225.92</v>
      </c>
      <c r="E4265" s="19" t="n">
        <v>0</v>
      </c>
      <c r="F4265" s="19" t="n">
        <v>0</v>
      </c>
      <c r="G4265" s="8" t="n">
        <f aca="false">IFERROR(INDEX('TRANS'!$B:$B,MATCH($B4265,'TRANS'!$A:$A,0)),IFERROR(INDEX('TRANS'!$B:$B,MATCH(TRIM(SUBSTITUTE($B4265,CHAR(160)," ")),'TRANS'!$D:$D,0)),IFERROR(INDEX('Catalog'!$A:$A,MATCH($B4265,'Catalog'!$B:$B,0)),IFERROR(INDEX('Catalog'!$A:$A,MATCH(TRIM(SUBSTITUTE($B4265,CHAR(160)," ")),'Catalog'!$C:$C,0)),""))))</f>
        <v>4403018</v>
      </c>
      <c r="H4265" s="8" t="str">
        <f aca="false">IFERROR(INDEX('TRANS'!$C:$C,MATCH($B4265,'TRANS'!$A:$A,0)),IFERROR(INDEX('Catalog'!$B:$B,MATCH($G4265,'Catalog'!$A:$A,0)),$B4265))</f>
        <v>394B גרב.כסף לסכרתים שחור39-42</v>
      </c>
      <c r="I4265" s="8" t="str">
        <f aca="false">IF($G4265="","Unmatched","Matched")</f>
        <v>Matched</v>
      </c>
    </row>
    <row r="4266" customFormat="false" ht="15" hidden="false" customHeight="false" outlineLevel="0" collapsed="false">
      <c r="A4266" s="8" t="s">
        <v>1092</v>
      </c>
      <c r="B4266" s="8" t="s">
        <v>189</v>
      </c>
      <c r="C4266" s="19" t="n">
        <v>10</v>
      </c>
      <c r="D4266" s="19" t="n">
        <v>225.92</v>
      </c>
      <c r="E4266" s="19" t="n">
        <v>0</v>
      </c>
      <c r="F4266" s="19" t="n">
        <v>0</v>
      </c>
      <c r="G4266" s="8" t="n">
        <f aca="false">IFERROR(INDEX('TRANS'!$B:$B,MATCH($B4266,'TRANS'!$A:$A,0)),IFERROR(INDEX('TRANS'!$B:$B,MATCH(TRIM(SUBSTITUTE($B4266,CHAR(160)," ")),'TRANS'!$D:$D,0)),IFERROR(INDEX('Catalog'!$A:$A,MATCH($B4266,'Catalog'!$B:$B,0)),IFERROR(INDEX('Catalog'!$A:$A,MATCH(TRIM(SUBSTITUTE($B4266,CHAR(160)," ")),'Catalog'!$C:$C,0)),""))))</f>
        <v>4403019</v>
      </c>
      <c r="H4266" s="8" t="str">
        <f aca="false">IFERROR(INDEX('TRANS'!$C:$C,MATCH($B4266,'TRANS'!$A:$A,0)),IFERROR(INDEX('Catalog'!$B:$B,MATCH($G4266,'Catalog'!$A:$A,0)),$B4266))</f>
        <v>394B גרב.כסף לסכרתים שחור43-46</v>
      </c>
      <c r="I4266" s="8" t="str">
        <f aca="false">IF($G4266="","Unmatched","Matched")</f>
        <v>Matched</v>
      </c>
    </row>
    <row r="4267" customFormat="false" ht="15" hidden="false" customHeight="false" outlineLevel="0" collapsed="false">
      <c r="A4267" s="8" t="s">
        <v>1092</v>
      </c>
      <c r="B4267" s="8" t="s">
        <v>196</v>
      </c>
      <c r="C4267" s="19" t="n">
        <v>1</v>
      </c>
      <c r="D4267" s="19" t="n">
        <v>0.04</v>
      </c>
      <c r="E4267" s="19" t="n">
        <v>0</v>
      </c>
      <c r="F4267" s="19" t="n">
        <v>0</v>
      </c>
      <c r="G4267" s="8" t="n">
        <f aca="false">IFERROR(INDEX('TRANS'!$B:$B,MATCH($B4267,'TRANS'!$A:$A,0)),IFERROR(INDEX('TRANS'!$B:$B,MATCH(TRIM(SUBSTITUTE($B4267,CHAR(160)," ")),'TRANS'!$D:$D,0)),IFERROR(INDEX('Catalog'!$A:$A,MATCH($B4267,'Catalog'!$B:$B,0)),IFERROR(INDEX('Catalog'!$A:$A,MATCH(TRIM(SUBSTITUTE($B4267,CHAR(160)," ")),'Catalog'!$C:$C,0)),""))))</f>
        <v>4403045</v>
      </c>
      <c r="H4267" s="8" t="str">
        <f aca="false">IFERROR(INDEX('TRANS'!$C:$C,MATCH($B4267,'TRANS'!$A:$A,0)),IFERROR(INDEX('Catalog'!$B:$B,MATCH($G4267,'Catalog'!$A:$A,0)),$B4267))</f>
        <v>395B גרבי קיץ אנטי בקטריא43-46</v>
      </c>
      <c r="I4267" s="8" t="str">
        <f aca="false">IF($G4267="","Unmatched","Matched")</f>
        <v>Matched</v>
      </c>
    </row>
    <row r="4268" customFormat="false" ht="15" hidden="false" customHeight="false" outlineLevel="0" collapsed="false">
      <c r="A4268" s="8" t="s">
        <v>1092</v>
      </c>
      <c r="B4268" s="8" t="s">
        <v>197</v>
      </c>
      <c r="C4268" s="19" t="n">
        <v>20</v>
      </c>
      <c r="D4268" s="19" t="n">
        <v>654.27</v>
      </c>
      <c r="E4268" s="19" t="n">
        <v>0</v>
      </c>
      <c r="F4268" s="19" t="n">
        <v>0</v>
      </c>
      <c r="G4268" s="8" t="str">
        <f aca="false">IFERROR(INDEX('TRANS'!$B:$B,MATCH($B4268,'TRANS'!$A:$A,0)),IFERROR(INDEX('TRANS'!$B:$B,MATCH(TRIM(SUBSTITUTE($B4268,CHAR(160)," ")),'TRANS'!$D:$D,0)),IFERROR(INDEX('Catalog'!$A:$A,MATCH($B4268,'Catalog'!$B:$B,0)),IFERROR(INDEX('Catalog'!$A:$A,MATCH(TRIM(SUBSTITUTE($B4268,CHAR(160)," ")),'Catalog'!$C:$C,0)),""))))</f>
        <v/>
      </c>
      <c r="H4268" s="8" t="str">
        <f aca="false">IFERROR(INDEX('TRANS'!$C:$C,MATCH($B4268,'TRANS'!$A:$A,0)),IFERROR(INDEX('Catalog'!$B:$B,MATCH($G4268,'Catalog'!$A:$A,0)),$B4268))</f>
        <v>397-35-38</v>
      </c>
      <c r="I4268" s="8" t="str">
        <f aca="false">IF($G4268="","Unmatched","Matched")</f>
        <v>Unmatched</v>
      </c>
    </row>
    <row r="4269" customFormat="false" ht="15" hidden="false" customHeight="false" outlineLevel="0" collapsed="false">
      <c r="A4269" s="8" t="s">
        <v>1092</v>
      </c>
      <c r="B4269" s="8" t="s">
        <v>198</v>
      </c>
      <c r="C4269" s="19" t="n">
        <v>16</v>
      </c>
      <c r="D4269" s="19" t="n">
        <v>528.07</v>
      </c>
      <c r="E4269" s="19" t="n">
        <v>0</v>
      </c>
      <c r="F4269" s="19" t="n">
        <v>0</v>
      </c>
      <c r="G4269" s="8" t="n">
        <f aca="false">IFERROR(INDEX('TRANS'!$B:$B,MATCH($B4269,'TRANS'!$A:$A,0)),IFERROR(INDEX('TRANS'!$B:$B,MATCH(TRIM(SUBSTITUTE($B4269,CHAR(160)," ")),'TRANS'!$D:$D,0)),IFERROR(INDEX('Catalog'!$A:$A,MATCH($B4269,'Catalog'!$B:$B,0)),IFERROR(INDEX('Catalog'!$A:$A,MATCH(TRIM(SUBSTITUTE($B4269,CHAR(160)," ")),'Catalog'!$C:$C,0)),""))))</f>
        <v>4403029</v>
      </c>
      <c r="H4269" s="8" t="str">
        <f aca="false">IFERROR(INDEX('TRANS'!$C:$C,MATCH($B4269,'TRANS'!$A:$A,0)),IFERROR(INDEX('Catalog'!$B:$B,MATCH($G4269,'Catalog'!$A:$A,0)),$B4269))</f>
        <v>397 39-42 גרבי טיסה מידה</v>
      </c>
      <c r="I4269" s="8" t="str">
        <f aca="false">IF($G4269="","Unmatched","Matched")</f>
        <v>Matched</v>
      </c>
    </row>
    <row r="4270" customFormat="false" ht="15" hidden="false" customHeight="false" outlineLevel="0" collapsed="false">
      <c r="A4270" s="8" t="s">
        <v>1092</v>
      </c>
      <c r="B4270" s="8" t="s">
        <v>199</v>
      </c>
      <c r="C4270" s="19" t="n">
        <v>10</v>
      </c>
      <c r="D4270" s="19" t="n">
        <v>315.51</v>
      </c>
      <c r="E4270" s="19" t="n">
        <v>0</v>
      </c>
      <c r="F4270" s="19" t="n">
        <v>0</v>
      </c>
      <c r="G4270" s="8" t="str">
        <f aca="false">IFERROR(INDEX('TRANS'!$B:$B,MATCH($B4270,'TRANS'!$A:$A,0)),IFERROR(INDEX('TRANS'!$B:$B,MATCH(TRIM(SUBSTITUTE($B4270,CHAR(160)," ")),'TRANS'!$D:$D,0)),IFERROR(INDEX('Catalog'!$A:$A,MATCH($B4270,'Catalog'!$B:$B,0)),IFERROR(INDEX('Catalog'!$A:$A,MATCH(TRIM(SUBSTITUTE($B4270,CHAR(160)," ")),'Catalog'!$C:$C,0)),""))))</f>
        <v/>
      </c>
      <c r="H4270" s="8" t="str">
        <f aca="false">IFERROR(INDEX('TRANS'!$C:$C,MATCH($B4270,'TRANS'!$A:$A,0)),IFERROR(INDEX('Catalog'!$B:$B,MATCH($G4270,'Catalog'!$A:$A,0)),$B4270))</f>
        <v>397-43-46</v>
      </c>
      <c r="I4270" s="8" t="str">
        <f aca="false">IF($G4270="","Unmatched","Matched")</f>
        <v>Unmatched</v>
      </c>
    </row>
    <row r="4271" customFormat="false" ht="15" hidden="false" customHeight="false" outlineLevel="0" collapsed="false">
      <c r="A4271" s="8" t="s">
        <v>1092</v>
      </c>
      <c r="B4271" s="8" t="s">
        <v>200</v>
      </c>
      <c r="C4271" s="19" t="n">
        <v>0</v>
      </c>
      <c r="D4271" s="19" t="n">
        <v>0</v>
      </c>
      <c r="E4271" s="19" t="n">
        <v>24</v>
      </c>
      <c r="F4271" s="19" t="n">
        <v>689.8</v>
      </c>
      <c r="G4271" s="8" t="n">
        <f aca="false">IFERROR(INDEX('TRANS'!$B:$B,MATCH($B4271,'TRANS'!$A:$A,0)),IFERROR(INDEX('TRANS'!$B:$B,MATCH(TRIM(SUBSTITUTE($B4271,CHAR(160)," ")),'TRANS'!$D:$D,0)),IFERROR(INDEX('Catalog'!$A:$A,MATCH($B4271,'Catalog'!$B:$B,0)),IFERROR(INDEX('Catalog'!$A:$A,MATCH(TRIM(SUBSTITUTE($B4271,CHAR(160)," ")),'Catalog'!$C:$C,0)),""))))</f>
        <v>4403041</v>
      </c>
      <c r="H4271" s="8" t="str">
        <f aca="false">IFERROR(INDEX('TRANS'!$C:$C,MATCH($B4271,'TRANS'!$A:$A,0)),IFERROR(INDEX('Catalog'!$B:$B,MATCH($G4271,'Catalog'!$A:$A,0)),$B4271))</f>
        <v>397A-גרבי טיסה אנטי בקטרי35-38</v>
      </c>
      <c r="I4271" s="8" t="str">
        <f aca="false">IF($G4271="","Unmatched","Matched")</f>
        <v>Matched</v>
      </c>
    </row>
    <row r="4272" customFormat="false" ht="15" hidden="false" customHeight="false" outlineLevel="0" collapsed="false">
      <c r="A4272" s="8" t="s">
        <v>1092</v>
      </c>
      <c r="B4272" s="8" t="s">
        <v>201</v>
      </c>
      <c r="C4272" s="19" t="n">
        <v>0</v>
      </c>
      <c r="D4272" s="19" t="n">
        <v>0</v>
      </c>
      <c r="E4272" s="19" t="n">
        <v>32</v>
      </c>
      <c r="F4272" s="19" t="n">
        <v>911.58</v>
      </c>
      <c r="G4272" s="8" t="n">
        <f aca="false">IFERROR(INDEX('TRANS'!$B:$B,MATCH($B4272,'TRANS'!$A:$A,0)),IFERROR(INDEX('TRANS'!$B:$B,MATCH(TRIM(SUBSTITUTE($B4272,CHAR(160)," ")),'TRANS'!$D:$D,0)),IFERROR(INDEX('Catalog'!$A:$A,MATCH($B4272,'Catalog'!$B:$B,0)),IFERROR(INDEX('Catalog'!$A:$A,MATCH(TRIM(SUBSTITUTE($B4272,CHAR(160)," ")),'Catalog'!$C:$C,0)),""))))</f>
        <v>4403042</v>
      </c>
      <c r="H4272" s="8" t="str">
        <f aca="false">IFERROR(INDEX('TRANS'!$C:$C,MATCH($B4272,'TRANS'!$A:$A,0)),IFERROR(INDEX('Catalog'!$B:$B,MATCH($G4272,'Catalog'!$A:$A,0)),$B4272))</f>
        <v>397A-גרבי טיסה אנטי בקטרי39-42</v>
      </c>
      <c r="I4272" s="8" t="str">
        <f aca="false">IF($G4272="","Unmatched","Matched")</f>
        <v>Matched</v>
      </c>
    </row>
    <row r="4273" customFormat="false" ht="15" hidden="false" customHeight="false" outlineLevel="0" collapsed="false">
      <c r="A4273" s="8" t="s">
        <v>1092</v>
      </c>
      <c r="B4273" s="8" t="s">
        <v>202</v>
      </c>
      <c r="C4273" s="19" t="n">
        <v>1</v>
      </c>
      <c r="D4273" s="19" t="n">
        <v>0.04</v>
      </c>
      <c r="E4273" s="19" t="n">
        <v>24</v>
      </c>
      <c r="F4273" s="19" t="n">
        <v>689.8</v>
      </c>
      <c r="G4273" s="8" t="n">
        <f aca="false">IFERROR(INDEX('TRANS'!$B:$B,MATCH($B4273,'TRANS'!$A:$A,0)),IFERROR(INDEX('TRANS'!$B:$B,MATCH(TRIM(SUBSTITUTE($B4273,CHAR(160)," ")),'TRANS'!$D:$D,0)),IFERROR(INDEX('Catalog'!$A:$A,MATCH($B4273,'Catalog'!$B:$B,0)),IFERROR(INDEX('Catalog'!$A:$A,MATCH(TRIM(SUBSTITUTE($B4273,CHAR(160)," ")),'Catalog'!$C:$C,0)),""))))</f>
        <v>4403043</v>
      </c>
      <c r="H4273" s="8" t="str">
        <f aca="false">IFERROR(INDEX('TRANS'!$C:$C,MATCH($B4273,'TRANS'!$A:$A,0)),IFERROR(INDEX('Catalog'!$B:$B,MATCH($G4273,'Catalog'!$A:$A,0)),$B4273))</f>
        <v>397A-גרבי טיסה אנטי בקטרי43-46</v>
      </c>
      <c r="I4273" s="8" t="str">
        <f aca="false">IF($G4273="","Unmatched","Matched")</f>
        <v>Matched</v>
      </c>
    </row>
    <row r="4274" customFormat="false" ht="15" hidden="false" customHeight="false" outlineLevel="0" collapsed="false">
      <c r="A4274" s="8" t="s">
        <v>1092</v>
      </c>
      <c r="B4274" s="8" t="s">
        <v>203</v>
      </c>
      <c r="C4274" s="19" t="n">
        <v>6</v>
      </c>
      <c r="D4274" s="19" t="n">
        <v>141.33</v>
      </c>
      <c r="E4274" s="19" t="n">
        <v>9</v>
      </c>
      <c r="F4274" s="19" t="n">
        <v>200.34</v>
      </c>
      <c r="G4274" s="8" t="n">
        <f aca="false">IFERROR(INDEX('TRANS'!$B:$B,MATCH($B4274,'TRANS'!$A:$A,0)),IFERROR(INDEX('TRANS'!$B:$B,MATCH(TRIM(SUBSTITUTE($B4274,CHAR(160)," ")),'TRANS'!$D:$D,0)),IFERROR(INDEX('Catalog'!$A:$A,MATCH($B4274,'Catalog'!$B:$B,0)),IFERROR(INDEX('Catalog'!$A:$A,MATCH(TRIM(SUBSTITUTE($B4274,CHAR(160)," ")),'Catalog'!$C:$C,0)),""))))</f>
        <v>4420016</v>
      </c>
      <c r="H4274" s="8" t="str">
        <f aca="false">IFERROR(INDEX('TRANS'!$C:$C,MATCH($B4274,'TRANS'!$A:$A,0)),IFERROR(INDEX('Catalog'!$B:$B,MATCH($G4274,'Catalog'!$A:$A,0)),$B4274))</f>
        <v>40-רצועת פיקה לברך</v>
      </c>
      <c r="I4274" s="8" t="str">
        <f aca="false">IF($G4274="","Unmatched","Matched")</f>
        <v>Matched</v>
      </c>
    </row>
    <row r="4275" customFormat="false" ht="15" hidden="false" customHeight="false" outlineLevel="0" collapsed="false">
      <c r="A4275" s="8" t="s">
        <v>1092</v>
      </c>
      <c r="B4275" s="8" t="s">
        <v>204</v>
      </c>
      <c r="C4275" s="19" t="n">
        <v>6</v>
      </c>
      <c r="D4275" s="19" t="n">
        <v>275.78</v>
      </c>
      <c r="E4275" s="19" t="n">
        <v>3</v>
      </c>
      <c r="F4275" s="19" t="n">
        <v>121.16</v>
      </c>
      <c r="G4275" s="8" t="n">
        <f aca="false">IFERROR(INDEX('TRANS'!$B:$B,MATCH($B4275,'TRANS'!$A:$A,0)),IFERROR(INDEX('TRANS'!$B:$B,MATCH(TRIM(SUBSTITUTE($B4275,CHAR(160)," ")),'TRANS'!$D:$D,0)),IFERROR(INDEX('Catalog'!$A:$A,MATCH($B4275,'Catalog'!$B:$B,0)),IFERROR(INDEX('Catalog'!$A:$A,MATCH(TRIM(SUBSTITUTE($B4275,CHAR(160)," ")),'Catalog'!$C:$C,0)),""))))</f>
        <v>4420017</v>
      </c>
      <c r="H4275" s="8" t="str">
        <f aca="false">IFERROR(INDEX('TRANS'!$C:$C,MATCH($B4275,'TRANS'!$A:$A,0)),IFERROR(INDEX('Catalog'!$B:$B,MATCH($G4275,'Catalog'!$A:$A,0)),$B4275))</f>
        <v>4022 רצועת """"פיקה""""+כרית</v>
      </c>
      <c r="I4275" s="8" t="str">
        <f aca="false">IF($G4275="","Unmatched","Matched")</f>
        <v>Matched</v>
      </c>
    </row>
    <row r="4276" customFormat="false" ht="15" hidden="false" customHeight="false" outlineLevel="0" collapsed="false">
      <c r="A4276" s="8" t="s">
        <v>1092</v>
      </c>
      <c r="B4276" s="8" t="s">
        <v>376</v>
      </c>
      <c r="C4276" s="19" t="n">
        <v>9</v>
      </c>
      <c r="D4276" s="19" t="n">
        <v>105.96</v>
      </c>
      <c r="E4276" s="19" t="n">
        <v>0</v>
      </c>
      <c r="F4276" s="19" t="n">
        <v>0</v>
      </c>
      <c r="G4276" s="8" t="n">
        <f aca="false">IFERROR(INDEX('TRANS'!$B:$B,MATCH($B4276,'TRANS'!$A:$A,0)),IFERROR(INDEX('TRANS'!$B:$B,MATCH(TRIM(SUBSTITUTE($B4276,CHAR(160)," ")),'TRANS'!$D:$D,0)),IFERROR(INDEX('Catalog'!$A:$A,MATCH($B4276,'Catalog'!$B:$B,0)),IFERROR(INDEX('Catalog'!$A:$A,MATCH(TRIM(SUBSTITUTE($B4276,CHAR(160)," ")),'Catalog'!$C:$C,0)),""))))</f>
        <v>4413092</v>
      </c>
      <c r="H4276" s="8" t="str">
        <f aca="false">IFERROR(INDEX('TRANS'!$C:$C,MATCH($B4276,'TRANS'!$A:$A,0)),IFERROR(INDEX('Catalog'!$B:$B,MATCH($G4276,'Catalog'!$A:$A,0)),$B4276))</f>
        <v>45 L מגן ברך לבן</v>
      </c>
      <c r="I4276" s="8" t="str">
        <f aca="false">IF($G4276="","Unmatched","Matched")</f>
        <v>Matched</v>
      </c>
    </row>
    <row r="4277" customFormat="false" ht="15" hidden="false" customHeight="false" outlineLevel="0" collapsed="false">
      <c r="A4277" s="8" t="s">
        <v>1092</v>
      </c>
      <c r="B4277" s="8" t="s">
        <v>377</v>
      </c>
      <c r="C4277" s="19" t="n">
        <v>0</v>
      </c>
      <c r="D4277" s="19" t="n">
        <v>0</v>
      </c>
      <c r="E4277" s="19" t="n">
        <v>3</v>
      </c>
      <c r="F4277" s="19" t="n">
        <v>30.29</v>
      </c>
      <c r="G4277" s="8" t="n">
        <f aca="false">IFERROR(INDEX('TRANS'!$B:$B,MATCH($B4277,'TRANS'!$A:$A,0)),IFERROR(INDEX('TRANS'!$B:$B,MATCH(TRIM(SUBSTITUTE($B4277,CHAR(160)," ")),'TRANS'!$D:$D,0)),IFERROR(INDEX('Catalog'!$A:$A,MATCH($B4277,'Catalog'!$B:$B,0)),IFERROR(INDEX('Catalog'!$A:$A,MATCH(TRIM(SUBSTITUTE($B4277,CHAR(160)," ")),'Catalog'!$C:$C,0)),""))))</f>
        <v>4413093</v>
      </c>
      <c r="H4277" s="8" t="str">
        <f aca="false">IFERROR(INDEX('TRANS'!$C:$C,MATCH($B4277,'TRANS'!$A:$A,0)),IFERROR(INDEX('Catalog'!$B:$B,MATCH($G4277,'Catalog'!$A:$A,0)),$B4277))</f>
        <v>45 M מגן ברך לבן</v>
      </c>
      <c r="I4277" s="8" t="str">
        <f aca="false">IF($G4277="","Unmatched","Matched")</f>
        <v>Matched</v>
      </c>
    </row>
    <row r="4278" customFormat="false" ht="15" hidden="false" customHeight="false" outlineLevel="0" collapsed="false">
      <c r="A4278" s="8" t="s">
        <v>1092</v>
      </c>
      <c r="B4278" s="8" t="s">
        <v>206</v>
      </c>
      <c r="C4278" s="19" t="n">
        <v>0</v>
      </c>
      <c r="D4278" s="19" t="n">
        <v>0</v>
      </c>
      <c r="E4278" s="19" t="n">
        <v>2</v>
      </c>
      <c r="F4278" s="19" t="n">
        <v>20.19</v>
      </c>
      <c r="G4278" s="8" t="n">
        <f aca="false">IFERROR(INDEX('TRANS'!$B:$B,MATCH($B4278,'TRANS'!$A:$A,0)),IFERROR(INDEX('TRANS'!$B:$B,MATCH(TRIM(SUBSTITUTE($B4278,CHAR(160)," ")),'TRANS'!$D:$D,0)),IFERROR(INDEX('Catalog'!$A:$A,MATCH($B4278,'Catalog'!$B:$B,0)),IFERROR(INDEX('Catalog'!$A:$A,MATCH(TRIM(SUBSTITUTE($B4278,CHAR(160)," ")),'Catalog'!$C:$C,0)),""))))</f>
        <v>4413094</v>
      </c>
      <c r="H4278" s="8" t="str">
        <f aca="false">IFERROR(INDEX('TRANS'!$C:$C,MATCH($B4278,'TRANS'!$A:$A,0)),IFERROR(INDEX('Catalog'!$B:$B,MATCH($G4278,'Catalog'!$A:$A,0)),$B4278))</f>
        <v>45 S מגן ברך לבן</v>
      </c>
      <c r="I4278" s="8" t="str">
        <f aca="false">IF($G4278="","Unmatched","Matched")</f>
        <v>Matched</v>
      </c>
    </row>
    <row r="4279" customFormat="false" ht="15" hidden="false" customHeight="false" outlineLevel="0" collapsed="false">
      <c r="A4279" s="8" t="s">
        <v>1092</v>
      </c>
      <c r="B4279" s="8" t="s">
        <v>207</v>
      </c>
      <c r="C4279" s="19" t="n">
        <v>3</v>
      </c>
      <c r="D4279" s="19" t="n">
        <v>34.47</v>
      </c>
      <c r="E4279" s="19" t="n">
        <v>0</v>
      </c>
      <c r="F4279" s="19" t="n">
        <v>0</v>
      </c>
      <c r="G4279" s="8" t="n">
        <f aca="false">IFERROR(INDEX('TRANS'!$B:$B,MATCH($B4279,'TRANS'!$A:$A,0)),IFERROR(INDEX('TRANS'!$B:$B,MATCH(TRIM(SUBSTITUTE($B4279,CHAR(160)," ")),'TRANS'!$D:$D,0)),IFERROR(INDEX('Catalog'!$A:$A,MATCH($B4279,'Catalog'!$B:$B,0)),IFERROR(INDEX('Catalog'!$A:$A,MATCH(TRIM(SUBSTITUTE($B4279,CHAR(160)," ")),'Catalog'!$C:$C,0)),""))))</f>
        <v>4413095</v>
      </c>
      <c r="H4279" s="8" t="str">
        <f aca="false">IFERROR(INDEX('TRANS'!$C:$C,MATCH($B4279,'TRANS'!$A:$A,0)),IFERROR(INDEX('Catalog'!$B:$B,MATCH($G4279,'Catalog'!$A:$A,0)),$B4279))</f>
        <v>45 XL מגן ברך לבן</v>
      </c>
      <c r="I4279" s="8" t="str">
        <f aca="false">IF($G4279="","Unmatched","Matched")</f>
        <v>Matched</v>
      </c>
    </row>
    <row r="4280" customFormat="false" ht="15" hidden="false" customHeight="false" outlineLevel="0" collapsed="false">
      <c r="A4280" s="8" t="s">
        <v>1092</v>
      </c>
      <c r="B4280" s="8" t="s">
        <v>209</v>
      </c>
      <c r="C4280" s="19" t="n">
        <v>12</v>
      </c>
      <c r="D4280" s="19" t="n">
        <v>152.66</v>
      </c>
      <c r="E4280" s="19" t="n">
        <v>0</v>
      </c>
      <c r="F4280" s="19" t="n">
        <v>0</v>
      </c>
      <c r="G4280" s="8" t="n">
        <f aca="false">IFERROR(INDEX('TRANS'!$B:$B,MATCH($B4280,'TRANS'!$A:$A,0)),IFERROR(INDEX('TRANS'!$B:$B,MATCH(TRIM(SUBSTITUTE($B4280,CHAR(160)," ")),'TRANS'!$D:$D,0)),IFERROR(INDEX('Catalog'!$A:$A,MATCH($B4280,'Catalog'!$B:$B,0)),IFERROR(INDEX('Catalog'!$A:$A,MATCH(TRIM(SUBSTITUTE($B4280,CHAR(160)," ")),'Catalog'!$C:$C,0)),""))))</f>
        <v>4413497</v>
      </c>
      <c r="H4280" s="8" t="str">
        <f aca="false">IFERROR(INDEX('TRANS'!$C:$C,MATCH($B4280,'TRANS'!$A:$A,0)),IFERROR(INDEX('Catalog'!$B:$B,MATCH($G4280,'Catalog'!$A:$A,0)),$B4280))</f>
        <v>45B M מגן ברך שחור</v>
      </c>
      <c r="I4280" s="8" t="str">
        <f aca="false">IF($G4280="","Unmatched","Matched")</f>
        <v>Matched</v>
      </c>
    </row>
    <row r="4281" customFormat="false" ht="15" hidden="false" customHeight="false" outlineLevel="0" collapsed="false">
      <c r="A4281" s="8" t="s">
        <v>1092</v>
      </c>
      <c r="B4281" s="8" t="s">
        <v>379</v>
      </c>
      <c r="C4281" s="19" t="n">
        <v>6</v>
      </c>
      <c r="D4281" s="19" t="n">
        <v>71.8</v>
      </c>
      <c r="E4281" s="19" t="n">
        <v>0</v>
      </c>
      <c r="F4281" s="19" t="n">
        <v>0</v>
      </c>
      <c r="G4281" s="8" t="n">
        <f aca="false">IFERROR(INDEX('TRANS'!$B:$B,MATCH($B4281,'TRANS'!$A:$A,0)),IFERROR(INDEX('TRANS'!$B:$B,MATCH(TRIM(SUBSTITUTE($B4281,CHAR(160)," ")),'TRANS'!$D:$D,0)),IFERROR(INDEX('Catalog'!$A:$A,MATCH($B4281,'Catalog'!$B:$B,0)),IFERROR(INDEX('Catalog'!$A:$A,MATCH(TRIM(SUBSTITUTE($B4281,CHAR(160)," ")),'Catalog'!$C:$C,0)),""))))</f>
        <v>4413498</v>
      </c>
      <c r="H4281" s="8" t="str">
        <f aca="false">IFERROR(INDEX('TRANS'!$C:$C,MATCH($B4281,'TRANS'!$A:$A,0)),IFERROR(INDEX('Catalog'!$B:$B,MATCH($G4281,'Catalog'!$A:$A,0)),$B4281))</f>
        <v>45B S מגן ברך שחור</v>
      </c>
      <c r="I4281" s="8" t="str">
        <f aca="false">IF($G4281="","Unmatched","Matched")</f>
        <v>Matched</v>
      </c>
    </row>
    <row r="4282" customFormat="false" ht="15" hidden="false" customHeight="false" outlineLevel="0" collapsed="false">
      <c r="A4282" s="8" t="s">
        <v>1092</v>
      </c>
      <c r="B4282" s="8" t="s">
        <v>210</v>
      </c>
      <c r="C4282" s="19" t="n">
        <v>0</v>
      </c>
      <c r="D4282" s="19" t="n">
        <v>0</v>
      </c>
      <c r="E4282" s="19" t="n">
        <v>16</v>
      </c>
      <c r="F4282" s="19" t="n">
        <v>165.99</v>
      </c>
      <c r="G4282" s="8" t="n">
        <f aca="false">IFERROR(INDEX('TRANS'!$B:$B,MATCH($B4282,'TRANS'!$A:$A,0)),IFERROR(INDEX('TRANS'!$B:$B,MATCH(TRIM(SUBSTITUTE($B4282,CHAR(160)," ")),'TRANS'!$D:$D,0)),IFERROR(INDEX('Catalog'!$A:$A,MATCH($B4282,'Catalog'!$B:$B,0)),IFERROR(INDEX('Catalog'!$A:$A,MATCH(TRIM(SUBSTITUTE($B4282,CHAR(160)," ")),'Catalog'!$C:$C,0)),""))))</f>
        <v>4413098</v>
      </c>
      <c r="H4282" s="8" t="str">
        <f aca="false">IFERROR(INDEX('TRANS'!$C:$C,MATCH($B4282,'TRANS'!$A:$A,0)),IFERROR(INDEX('Catalog'!$B:$B,MATCH($G4282,'Catalog'!$A:$A,0)),$B4282))</f>
        <v>45C L מגן ברך חום</v>
      </c>
      <c r="I4282" s="8" t="str">
        <f aca="false">IF($G4282="","Unmatched","Matched")</f>
        <v>Matched</v>
      </c>
    </row>
    <row r="4283" customFormat="false" ht="15" hidden="false" customHeight="false" outlineLevel="0" collapsed="false">
      <c r="A4283" s="8" t="s">
        <v>1092</v>
      </c>
      <c r="B4283" s="8" t="s">
        <v>211</v>
      </c>
      <c r="C4283" s="19" t="n">
        <v>10</v>
      </c>
      <c r="D4283" s="19" t="n">
        <v>112.08</v>
      </c>
      <c r="E4283" s="19" t="n">
        <v>3</v>
      </c>
      <c r="F4283" s="19" t="n">
        <v>30.29</v>
      </c>
      <c r="G4283" s="8" t="n">
        <f aca="false">IFERROR(INDEX('TRANS'!$B:$B,MATCH($B4283,'TRANS'!$A:$A,0)),IFERROR(INDEX('TRANS'!$B:$B,MATCH(TRIM(SUBSTITUTE($B4283,CHAR(160)," ")),'TRANS'!$D:$D,0)),IFERROR(INDEX('Catalog'!$A:$A,MATCH($B4283,'Catalog'!$B:$B,0)),IFERROR(INDEX('Catalog'!$A:$A,MATCH(TRIM(SUBSTITUTE($B4283,CHAR(160)," ")),'Catalog'!$C:$C,0)),""))))</f>
        <v>4413099</v>
      </c>
      <c r="H4283" s="8" t="str">
        <f aca="false">IFERROR(INDEX('TRANS'!$C:$C,MATCH($B4283,'TRANS'!$A:$A,0)),IFERROR(INDEX('Catalog'!$B:$B,MATCH($G4283,'Catalog'!$A:$A,0)),$B4283))</f>
        <v>45C M מגן ברך חום</v>
      </c>
      <c r="I4283" s="8" t="str">
        <f aca="false">IF($G4283="","Unmatched","Matched")</f>
        <v>Matched</v>
      </c>
    </row>
    <row r="4284" customFormat="false" ht="15" hidden="false" customHeight="false" outlineLevel="0" collapsed="false">
      <c r="A4284" s="8" t="s">
        <v>1092</v>
      </c>
      <c r="B4284" s="8" t="s">
        <v>213</v>
      </c>
      <c r="C4284" s="19" t="n">
        <v>10</v>
      </c>
      <c r="D4284" s="19" t="n">
        <v>114.91</v>
      </c>
      <c r="E4284" s="19" t="n">
        <v>6</v>
      </c>
      <c r="F4284" s="19" t="n">
        <v>65.03</v>
      </c>
      <c r="G4284" s="8" t="n">
        <f aca="false">IFERROR(INDEX('TRANS'!$B:$B,MATCH($B4284,'TRANS'!$A:$A,0)),IFERROR(INDEX('TRANS'!$B:$B,MATCH(TRIM(SUBSTITUTE($B4284,CHAR(160)," ")),'TRANS'!$D:$D,0)),IFERROR(INDEX('Catalog'!$A:$A,MATCH($B4284,'Catalog'!$B:$B,0)),IFERROR(INDEX('Catalog'!$A:$A,MATCH(TRIM(SUBSTITUTE($B4284,CHAR(160)," ")),'Catalog'!$C:$C,0)),""))))</f>
        <v>4413100</v>
      </c>
      <c r="H4284" s="8" t="str">
        <f aca="false">IFERROR(INDEX('TRANS'!$C:$C,MATCH($B4284,'TRANS'!$A:$A,0)),IFERROR(INDEX('Catalog'!$B:$B,MATCH($G4284,'Catalog'!$A:$A,0)),$B4284))</f>
        <v>45C XL מגן ברך חום</v>
      </c>
      <c r="I4284" s="8" t="str">
        <f aca="false">IF($G4284="","Unmatched","Matched")</f>
        <v>Matched</v>
      </c>
    </row>
    <row r="4285" customFormat="false" ht="15" hidden="false" customHeight="false" outlineLevel="0" collapsed="false">
      <c r="A4285" s="8" t="s">
        <v>1092</v>
      </c>
      <c r="B4285" s="8" t="s">
        <v>214</v>
      </c>
      <c r="C4285" s="19" t="n">
        <v>0</v>
      </c>
      <c r="D4285" s="19" t="n">
        <v>0</v>
      </c>
      <c r="E4285" s="19" t="n">
        <v>6</v>
      </c>
      <c r="F4285" s="19" t="n">
        <v>60.58</v>
      </c>
      <c r="G4285" s="8" t="str">
        <f aca="false">IFERROR(INDEX('TRANS'!$B:$B,MATCH($B4285,'TRANS'!$A:$A,0)),IFERROR(INDEX('TRANS'!$B:$B,MATCH(TRIM(SUBSTITUTE($B4285,CHAR(160)," ")),'TRANS'!$D:$D,0)),IFERROR(INDEX('Catalog'!$A:$A,MATCH($B4285,'Catalog'!$B:$B,0)),IFERROR(INDEX('Catalog'!$A:$A,MATCH(TRIM(SUBSTITUTE($B4285,CHAR(160)," ")),'Catalog'!$C:$C,0)),""))))</f>
        <v/>
      </c>
      <c r="H4285" s="8" t="str">
        <f aca="false">IFERROR(INDEX('TRANS'!$C:$C,MATCH($B4285,'TRANS'!$A:$A,0)),IFERROR(INDEX('Catalog'!$B:$B,MATCH($G4285,'Catalog'!$A:$A,0)),$B4285))</f>
        <v>45C XS</v>
      </c>
      <c r="I4285" s="8" t="str">
        <f aca="false">IF($G4285="","Unmatched","Matched")</f>
        <v>Unmatched</v>
      </c>
    </row>
    <row r="4286" customFormat="false" ht="15" hidden="false" customHeight="false" outlineLevel="0" collapsed="false">
      <c r="A4286" s="8" t="s">
        <v>1092</v>
      </c>
      <c r="B4286" s="8" t="s">
        <v>383</v>
      </c>
      <c r="C4286" s="19" t="n">
        <v>6</v>
      </c>
      <c r="D4286" s="19" t="n">
        <v>82.81</v>
      </c>
      <c r="E4286" s="19" t="n">
        <v>0</v>
      </c>
      <c r="F4286" s="19" t="n">
        <v>0</v>
      </c>
      <c r="G4286" s="8" t="n">
        <f aca="false">IFERROR(INDEX('TRANS'!$B:$B,MATCH($B4286,'TRANS'!$A:$A,0)),IFERROR(INDEX('TRANS'!$B:$B,MATCH(TRIM(SUBSTITUTE($B4286,CHAR(160)," ")),'TRANS'!$D:$D,0)),IFERROR(INDEX('Catalog'!$A:$A,MATCH($B4286,'Catalog'!$B:$B,0)),IFERROR(INDEX('Catalog'!$A:$A,MATCH(TRIM(SUBSTITUTE($B4286,CHAR(160)," ")),'Catalog'!$C:$C,0)),""))))</f>
        <v>4413103</v>
      </c>
      <c r="H4286" s="8" t="str">
        <f aca="false">IFERROR(INDEX('TRANS'!$C:$C,MATCH($B4286,'TRANS'!$A:$A,0)),IFERROR(INDEX('Catalog'!$B:$B,MATCH($G4286,'Catalog'!$A:$A,0)),$B4286))</f>
        <v>45E Mמגן ברך ארוך לבן</v>
      </c>
      <c r="I4286" s="8" t="str">
        <f aca="false">IF($G4286="","Unmatched","Matched")</f>
        <v>Matched</v>
      </c>
    </row>
    <row r="4287" customFormat="false" ht="15" hidden="false" customHeight="false" outlineLevel="0" collapsed="false">
      <c r="A4287" s="8" t="s">
        <v>1092</v>
      </c>
      <c r="B4287" s="8" t="s">
        <v>218</v>
      </c>
      <c r="C4287" s="19" t="n">
        <v>9</v>
      </c>
      <c r="D4287" s="19" t="n">
        <v>114.86</v>
      </c>
      <c r="E4287" s="19" t="n">
        <v>0</v>
      </c>
      <c r="F4287" s="19" t="n">
        <v>0</v>
      </c>
      <c r="G4287" s="8" t="n">
        <f aca="false">IFERROR(INDEX('TRANS'!$B:$B,MATCH($B4287,'TRANS'!$A:$A,0)),IFERROR(INDEX('TRANS'!$B:$B,MATCH(TRIM(SUBSTITUTE($B4287,CHAR(160)," ")),'TRANS'!$D:$D,0)),IFERROR(INDEX('Catalog'!$A:$A,MATCH($B4287,'Catalog'!$B:$B,0)),IFERROR(INDEX('Catalog'!$A:$A,MATCH(TRIM(SUBSTITUTE($B4287,CHAR(160)," ")),'Catalog'!$C:$C,0)),""))))</f>
        <v>4413396</v>
      </c>
      <c r="H4287" s="8" t="str">
        <f aca="false">IFERROR(INDEX('TRANS'!$C:$C,MATCH($B4287,'TRANS'!$A:$A,0)),IFERROR(INDEX('Catalog'!$B:$B,MATCH($G4287,'Catalog'!$A:$A,0)),$B4287))</f>
        <v>45EC L 'מגן ברך ארוך בז</v>
      </c>
      <c r="I4287" s="8" t="str">
        <f aca="false">IF($G4287="","Unmatched","Matched")</f>
        <v>Matched</v>
      </c>
    </row>
    <row r="4288" customFormat="false" ht="15" hidden="false" customHeight="false" outlineLevel="0" collapsed="false">
      <c r="A4288" s="8" t="s">
        <v>1092</v>
      </c>
      <c r="B4288" s="8" t="s">
        <v>219</v>
      </c>
      <c r="C4288" s="19" t="n">
        <v>10</v>
      </c>
      <c r="D4288" s="19" t="n">
        <v>126.59</v>
      </c>
      <c r="E4288" s="19" t="n">
        <v>16</v>
      </c>
      <c r="F4288" s="19" t="n">
        <v>186.15</v>
      </c>
      <c r="G4288" s="8" t="n">
        <f aca="false">IFERROR(INDEX('TRANS'!$B:$B,MATCH($B4288,'TRANS'!$A:$A,0)),IFERROR(INDEX('TRANS'!$B:$B,MATCH(TRIM(SUBSTITUTE($B4288,CHAR(160)," ")),'TRANS'!$D:$D,0)),IFERROR(INDEX('Catalog'!$A:$A,MATCH($B4288,'Catalog'!$B:$B,0)),IFERROR(INDEX('Catalog'!$A:$A,MATCH(TRIM(SUBSTITUTE($B4288,CHAR(160)," ")),'Catalog'!$C:$C,0)),""))))</f>
        <v>4413395</v>
      </c>
      <c r="H4288" s="8" t="str">
        <f aca="false">IFERROR(INDEX('TRANS'!$C:$C,MATCH($B4288,'TRANS'!$A:$A,0)),IFERROR(INDEX('Catalog'!$B:$B,MATCH($G4288,'Catalog'!$A:$A,0)),$B4288))</f>
        <v>45EC M 'מגן ברך ארוך בז</v>
      </c>
      <c r="I4288" s="8" t="str">
        <f aca="false">IF($G4288="","Unmatched","Matched")</f>
        <v>Matched</v>
      </c>
    </row>
    <row r="4289" customFormat="false" ht="15" hidden="false" customHeight="false" outlineLevel="0" collapsed="false">
      <c r="A4289" s="8" t="s">
        <v>1092</v>
      </c>
      <c r="B4289" s="8" t="s">
        <v>385</v>
      </c>
      <c r="C4289" s="19" t="n">
        <v>0</v>
      </c>
      <c r="D4289" s="19" t="n">
        <v>0</v>
      </c>
      <c r="E4289" s="19" t="n">
        <v>2</v>
      </c>
      <c r="F4289" s="19" t="n">
        <v>22.25</v>
      </c>
      <c r="G4289" s="8" t="n">
        <f aca="false">IFERROR(INDEX('TRANS'!$B:$B,MATCH($B4289,'TRANS'!$A:$A,0)),IFERROR(INDEX('TRANS'!$B:$B,MATCH(TRIM(SUBSTITUTE($B4289,CHAR(160)," ")),'TRANS'!$D:$D,0)),IFERROR(INDEX('Catalog'!$A:$A,MATCH($B4289,'Catalog'!$B:$B,0)),IFERROR(INDEX('Catalog'!$A:$A,MATCH(TRIM(SUBSTITUTE($B4289,CHAR(160)," ")),'Catalog'!$C:$C,0)),""))))</f>
        <v>4413394</v>
      </c>
      <c r="H4289" s="8" t="str">
        <f aca="false">IFERROR(INDEX('TRANS'!$C:$C,MATCH($B4289,'TRANS'!$A:$A,0)),IFERROR(INDEX('Catalog'!$B:$B,MATCH($G4289,'Catalog'!$A:$A,0)),$B4289))</f>
        <v>45EC S 'מגן ברך ארוך בז</v>
      </c>
      <c r="I4289" s="8" t="str">
        <f aca="false">IF($G4289="","Unmatched","Matched")</f>
        <v>Matched</v>
      </c>
    </row>
    <row r="4290" customFormat="false" ht="15" hidden="false" customHeight="false" outlineLevel="0" collapsed="false">
      <c r="A4290" s="8" t="s">
        <v>1092</v>
      </c>
      <c r="B4290" s="8" t="s">
        <v>220</v>
      </c>
      <c r="C4290" s="19" t="n">
        <v>6</v>
      </c>
      <c r="D4290" s="19" t="n">
        <v>74.08</v>
      </c>
      <c r="E4290" s="19" t="n">
        <v>6</v>
      </c>
      <c r="F4290" s="19" t="n">
        <v>71.65</v>
      </c>
      <c r="G4290" s="8" t="n">
        <f aca="false">IFERROR(INDEX('TRANS'!$B:$B,MATCH($B4290,'TRANS'!$A:$A,0)),IFERROR(INDEX('TRANS'!$B:$B,MATCH(TRIM(SUBSTITUTE($B4290,CHAR(160)," ")),'TRANS'!$D:$D,0)),IFERROR(INDEX('Catalog'!$A:$A,MATCH($B4290,'Catalog'!$B:$B,0)),IFERROR(INDEX('Catalog'!$A:$A,MATCH(TRIM(SUBSTITUTE($B4290,CHAR(160)," ")),'Catalog'!$C:$C,0)),""))))</f>
        <v>4413397</v>
      </c>
      <c r="H4290" s="8" t="str">
        <f aca="false">IFERROR(INDEX('TRANS'!$C:$C,MATCH($B4290,'TRANS'!$A:$A,0)),IFERROR(INDEX('Catalog'!$B:$B,MATCH($G4290,'Catalog'!$A:$A,0)),$B4290))</f>
        <v>45EC XL'מגן ברך ארוך בז</v>
      </c>
      <c r="I4290" s="8" t="str">
        <f aca="false">IF($G4290="","Unmatched","Matched")</f>
        <v>Matched</v>
      </c>
    </row>
    <row r="4291" customFormat="false" ht="15" hidden="false" customHeight="false" outlineLevel="0" collapsed="false">
      <c r="A4291" s="8" t="s">
        <v>1092</v>
      </c>
      <c r="B4291" s="8" t="s">
        <v>394</v>
      </c>
      <c r="C4291" s="19" t="n">
        <v>0</v>
      </c>
      <c r="D4291" s="19" t="n">
        <v>0</v>
      </c>
      <c r="E4291" s="19" t="n">
        <v>2</v>
      </c>
      <c r="F4291" s="19" t="n">
        <v>155.72</v>
      </c>
      <c r="G4291" s="8" t="n">
        <f aca="false">IFERROR(INDEX('TRANS'!$B:$B,MATCH($B4291,'TRANS'!$A:$A,0)),IFERROR(INDEX('TRANS'!$B:$B,MATCH(TRIM(SUBSTITUTE($B4291,CHAR(160)," ")),'TRANS'!$D:$D,0)),IFERROR(INDEX('Catalog'!$A:$A,MATCH($B4291,'Catalog'!$B:$B,0)),IFERROR(INDEX('Catalog'!$A:$A,MATCH(TRIM(SUBSTITUTE($B4291,CHAR(160)," ")),'Catalog'!$C:$C,0)),""))))</f>
        <v>4408071</v>
      </c>
      <c r="H4291" s="8" t="str">
        <f aca="false">IFERROR(INDEX('TRANS'!$C:$C,MATCH($B4291,'TRANS'!$A:$A,0)),IFERROR(INDEX('Catalog'!$B:$B,MATCH($G4291,'Catalog'!$A:$A,0)),$B4291))</f>
        <v>59D L חגורת שבר דו צדדי</v>
      </c>
      <c r="I4291" s="8" t="str">
        <f aca="false">IF($G4291="","Unmatched","Matched")</f>
        <v>Matched</v>
      </c>
    </row>
    <row r="4292" customFormat="false" ht="15" hidden="false" customHeight="false" outlineLevel="0" collapsed="false">
      <c r="A4292" s="8" t="s">
        <v>1092</v>
      </c>
      <c r="B4292" s="8" t="s">
        <v>718</v>
      </c>
      <c r="C4292" s="19" t="n">
        <v>0</v>
      </c>
      <c r="D4292" s="19" t="n">
        <v>0</v>
      </c>
      <c r="E4292" s="19" t="n">
        <v>1</v>
      </c>
      <c r="F4292" s="19" t="n">
        <v>77.86</v>
      </c>
      <c r="G4292" s="8" t="n">
        <f aca="false">IFERROR(INDEX('TRANS'!$B:$B,MATCH($B4292,'TRANS'!$A:$A,0)),IFERROR(INDEX('TRANS'!$B:$B,MATCH(TRIM(SUBSTITUTE($B4292,CHAR(160)," ")),'TRANS'!$D:$D,0)),IFERROR(INDEX('Catalog'!$A:$A,MATCH($B4292,'Catalog'!$B:$B,0)),IFERROR(INDEX('Catalog'!$A:$A,MATCH(TRIM(SUBSTITUTE($B4292,CHAR(160)," ")),'Catalog'!$C:$C,0)),""))))</f>
        <v>4408073</v>
      </c>
      <c r="H4292" s="8" t="str">
        <f aca="false">IFERROR(INDEX('TRANS'!$C:$C,MATCH($B4292,'TRANS'!$A:$A,0)),IFERROR(INDEX('Catalog'!$B:$B,MATCH($G4292,'Catalog'!$A:$A,0)),$B4292))</f>
        <v>59D XL חגורת שבר דו צדדי</v>
      </c>
      <c r="I4292" s="8" t="str">
        <f aca="false">IF($G4292="","Unmatched","Matched")</f>
        <v>Matched</v>
      </c>
    </row>
    <row r="4293" customFormat="false" ht="15" hidden="false" customHeight="false" outlineLevel="0" collapsed="false">
      <c r="A4293" s="8" t="s">
        <v>1092</v>
      </c>
      <c r="B4293" s="8" t="s">
        <v>395</v>
      </c>
      <c r="C4293" s="19" t="n">
        <v>0</v>
      </c>
      <c r="D4293" s="19" t="n">
        <v>0</v>
      </c>
      <c r="E4293" s="19" t="n">
        <v>2</v>
      </c>
      <c r="F4293" s="19" t="n">
        <v>157.26</v>
      </c>
      <c r="G4293" s="8" t="n">
        <f aca="false">IFERROR(INDEX('TRANS'!$B:$B,MATCH($B4293,'TRANS'!$A:$A,0)),IFERROR(INDEX('TRANS'!$B:$B,MATCH(TRIM(SUBSTITUTE($B4293,CHAR(160)," ")),'TRANS'!$D:$D,0)),IFERROR(INDEX('Catalog'!$A:$A,MATCH($B4293,'Catalog'!$B:$B,0)),IFERROR(INDEX('Catalog'!$A:$A,MATCH(TRIM(SUBSTITUTE($B4293,CHAR(160)," ")),'Catalog'!$C:$C,0)),""))))</f>
        <v>4408077</v>
      </c>
      <c r="H4293" s="8" t="str">
        <f aca="false">IFERROR(INDEX('TRANS'!$C:$C,MATCH($B4293,'TRANS'!$A:$A,0)),IFERROR(INDEX('Catalog'!$B:$B,MATCH($G4293,'Catalog'!$A:$A,0)),$B4293))</f>
        <v>59L M חגורת שבר לצד שמאל</v>
      </c>
      <c r="I4293" s="8" t="str">
        <f aca="false">IF($G4293="","Unmatched","Matched")</f>
        <v>Matched</v>
      </c>
    </row>
    <row r="4294" customFormat="false" ht="15" hidden="false" customHeight="false" outlineLevel="0" collapsed="false">
      <c r="A4294" s="8" t="s">
        <v>1092</v>
      </c>
      <c r="B4294" s="8" t="s">
        <v>397</v>
      </c>
      <c r="C4294" s="19" t="n">
        <v>1</v>
      </c>
      <c r="D4294" s="19" t="n">
        <v>81.3</v>
      </c>
      <c r="E4294" s="19" t="n">
        <v>2</v>
      </c>
      <c r="F4294" s="19" t="n">
        <v>157.26</v>
      </c>
      <c r="G4294" s="8" t="n">
        <f aca="false">IFERROR(INDEX('TRANS'!$B:$B,MATCH($B4294,'TRANS'!$A:$A,0)),IFERROR(INDEX('TRANS'!$B:$B,MATCH(TRIM(SUBSTITUTE($B4294,CHAR(160)," ")),'TRANS'!$D:$D,0)),IFERROR(INDEX('Catalog'!$A:$A,MATCH($B4294,'Catalog'!$B:$B,0)),IFERROR(INDEX('Catalog'!$A:$A,MATCH(TRIM(SUBSTITUTE($B4294,CHAR(160)," ")),'Catalog'!$C:$C,0)),""))))</f>
        <v>4408078</v>
      </c>
      <c r="H4294" s="8" t="str">
        <f aca="false">IFERROR(INDEX('TRANS'!$C:$C,MATCH($B4294,'TRANS'!$A:$A,0)),IFERROR(INDEX('Catalog'!$B:$B,MATCH($G4294,'Catalog'!$A:$A,0)),$B4294))</f>
        <v>59L XLחגורת שבר לצד שמאל</v>
      </c>
      <c r="I4294" s="8" t="str">
        <f aca="false">IF($G4294="","Unmatched","Matched")</f>
        <v>Matched</v>
      </c>
    </row>
    <row r="4295" customFormat="false" ht="15" hidden="false" customHeight="false" outlineLevel="0" collapsed="false">
      <c r="A4295" s="8" t="s">
        <v>1092</v>
      </c>
      <c r="B4295" s="8" t="s">
        <v>398</v>
      </c>
      <c r="C4295" s="19" t="n">
        <v>1</v>
      </c>
      <c r="D4295" s="19" t="n">
        <v>81.3</v>
      </c>
      <c r="E4295" s="19" t="n">
        <v>3</v>
      </c>
      <c r="F4295" s="19" t="n">
        <v>235.88</v>
      </c>
      <c r="G4295" s="8" t="n">
        <f aca="false">IFERROR(INDEX('TRANS'!$B:$B,MATCH($B4295,'TRANS'!$A:$A,0)),IFERROR(INDEX('TRANS'!$B:$B,MATCH(TRIM(SUBSTITUTE($B4295,CHAR(160)," ")),'TRANS'!$D:$D,0)),IFERROR(INDEX('Catalog'!$A:$A,MATCH($B4295,'Catalog'!$B:$B,0)),IFERROR(INDEX('Catalog'!$A:$A,MATCH(TRIM(SUBSTITUTE($B4295,CHAR(160)," ")),'Catalog'!$C:$C,0)),""))))</f>
        <v>4408080</v>
      </c>
      <c r="H4295" s="8" t="str">
        <f aca="false">IFERROR(INDEX('TRANS'!$C:$C,MATCH($B4295,'TRANS'!$A:$A,0)),IFERROR(INDEX('Catalog'!$B:$B,MATCH($G4295,'Catalog'!$A:$A,0)),$B4295))</f>
        <v>59R L חגורת שבר לצד ימין</v>
      </c>
      <c r="I4295" s="8" t="str">
        <f aca="false">IF($G4295="","Unmatched","Matched")</f>
        <v>Matched</v>
      </c>
    </row>
    <row r="4296" customFormat="false" ht="15" hidden="false" customHeight="false" outlineLevel="0" collapsed="false">
      <c r="A4296" s="8" t="s">
        <v>1092</v>
      </c>
      <c r="B4296" s="8" t="s">
        <v>226</v>
      </c>
      <c r="C4296" s="19" t="n">
        <v>1</v>
      </c>
      <c r="D4296" s="19" t="n">
        <v>81.3</v>
      </c>
      <c r="E4296" s="19" t="n">
        <v>2</v>
      </c>
      <c r="F4296" s="19" t="n">
        <v>157.26</v>
      </c>
      <c r="G4296" s="8" t="n">
        <f aca="false">IFERROR(INDEX('TRANS'!$B:$B,MATCH($B4296,'TRANS'!$A:$A,0)),IFERROR(INDEX('TRANS'!$B:$B,MATCH(TRIM(SUBSTITUTE($B4296,CHAR(160)," ")),'TRANS'!$D:$D,0)),IFERROR(INDEX('Catalog'!$A:$A,MATCH($B4296,'Catalog'!$B:$B,0)),IFERROR(INDEX('Catalog'!$A:$A,MATCH(TRIM(SUBSTITUTE($B4296,CHAR(160)," ")),'Catalog'!$C:$C,0)),""))))</f>
        <v>4408081</v>
      </c>
      <c r="H4296" s="8" t="str">
        <f aca="false">IFERROR(INDEX('TRANS'!$C:$C,MATCH($B4296,'TRANS'!$A:$A,0)),IFERROR(INDEX('Catalog'!$B:$B,MATCH($G4296,'Catalog'!$A:$A,0)),$B4296))</f>
        <v>59R M חגורת שבר לצד ימין</v>
      </c>
      <c r="I4296" s="8" t="str">
        <f aca="false">IF($G4296="","Unmatched","Matched")</f>
        <v>Matched</v>
      </c>
    </row>
    <row r="4297" customFormat="false" ht="15" hidden="false" customHeight="false" outlineLevel="0" collapsed="false">
      <c r="A4297" s="8" t="s">
        <v>1092</v>
      </c>
      <c r="B4297" s="8" t="s">
        <v>577</v>
      </c>
      <c r="C4297" s="19" t="n">
        <v>0</v>
      </c>
      <c r="D4297" s="19" t="n">
        <v>0</v>
      </c>
      <c r="E4297" s="19" t="n">
        <v>10</v>
      </c>
      <c r="F4297" s="19" t="n">
        <v>240.66</v>
      </c>
      <c r="G4297" s="8" t="n">
        <f aca="false">IFERROR(INDEX('TRANS'!$B:$B,MATCH($B4297,'TRANS'!$A:$A,0)),IFERROR(INDEX('TRANS'!$B:$B,MATCH(TRIM(SUBSTITUTE($B4297,CHAR(160)," ")),'TRANS'!$D:$D,0)),IFERROR(INDEX('Catalog'!$A:$A,MATCH($B4297,'Catalog'!$B:$B,0)),IFERROR(INDEX('Catalog'!$A:$A,MATCH(TRIM(SUBSTITUTE($B4297,CHAR(160)," ")),'Catalog'!$C:$C,0)),""))))</f>
        <v>4418000</v>
      </c>
      <c r="H4297" s="8" t="str">
        <f aca="false">IFERROR(INDEX('TRANS'!$C:$C,MATCH($B4297,'TRANS'!$A:$A,0)),IFERROR(INDEX('Catalog'!$B:$B,MATCH($G4297,'Catalog'!$A:$A,0)),$B4297))</f>
        <v>60 L צוארון ספוגי</v>
      </c>
      <c r="I4297" s="8" t="str">
        <f aca="false">IF($G4297="","Unmatched","Matched")</f>
        <v>Matched</v>
      </c>
    </row>
    <row r="4298" customFormat="false" ht="15" hidden="false" customHeight="false" outlineLevel="0" collapsed="false">
      <c r="A4298" s="8" t="s">
        <v>1092</v>
      </c>
      <c r="B4298" s="8" t="s">
        <v>228</v>
      </c>
      <c r="C4298" s="19" t="n">
        <v>0</v>
      </c>
      <c r="D4298" s="19" t="n">
        <v>0</v>
      </c>
      <c r="E4298" s="19" t="n">
        <v>10</v>
      </c>
      <c r="F4298" s="19" t="n">
        <v>224.17</v>
      </c>
      <c r="G4298" s="8" t="n">
        <f aca="false">IFERROR(INDEX('TRANS'!$B:$B,MATCH($B4298,'TRANS'!$A:$A,0)),IFERROR(INDEX('TRANS'!$B:$B,MATCH(TRIM(SUBSTITUTE($B4298,CHAR(160)," ")),'TRANS'!$D:$D,0)),IFERROR(INDEX('Catalog'!$A:$A,MATCH($B4298,'Catalog'!$B:$B,0)),IFERROR(INDEX('Catalog'!$A:$A,MATCH(TRIM(SUBSTITUTE($B4298,CHAR(160)," ")),'Catalog'!$C:$C,0)),""))))</f>
        <v>4418001</v>
      </c>
      <c r="H4298" s="8" t="str">
        <f aca="false">IFERROR(INDEX('TRANS'!$C:$C,MATCH($B4298,'TRANS'!$A:$A,0)),IFERROR(INDEX('Catalog'!$B:$B,MATCH($G4298,'Catalog'!$A:$A,0)),$B4298))</f>
        <v>60 M צוארון ספוגי</v>
      </c>
      <c r="I4298" s="8" t="str">
        <f aca="false">IF($G4298="","Unmatched","Matched")</f>
        <v>Matched</v>
      </c>
    </row>
    <row r="4299" customFormat="false" ht="15" hidden="false" customHeight="false" outlineLevel="0" collapsed="false">
      <c r="A4299" s="8" t="s">
        <v>1092</v>
      </c>
      <c r="B4299" s="8" t="s">
        <v>229</v>
      </c>
      <c r="C4299" s="19" t="n">
        <v>20</v>
      </c>
      <c r="D4299" s="19" t="n">
        <v>547.87</v>
      </c>
      <c r="E4299" s="19" t="n">
        <v>6</v>
      </c>
      <c r="F4299" s="19" t="n">
        <v>144.4</v>
      </c>
      <c r="G4299" s="8" t="n">
        <f aca="false">IFERROR(INDEX('TRANS'!$B:$B,MATCH($B4299,'TRANS'!$A:$A,0)),IFERROR(INDEX('TRANS'!$B:$B,MATCH(TRIM(SUBSTITUTE($B4299,CHAR(160)," ")),'TRANS'!$D:$D,0)),IFERROR(INDEX('Catalog'!$A:$A,MATCH($B4299,'Catalog'!$B:$B,0)),IFERROR(INDEX('Catalog'!$A:$A,MATCH(TRIM(SUBSTITUTE($B4299,CHAR(160)," ")),'Catalog'!$C:$C,0)),""))))</f>
        <v>4418002</v>
      </c>
      <c r="H4299" s="8" t="str">
        <f aca="false">IFERROR(INDEX('TRANS'!$C:$C,MATCH($B4299,'TRANS'!$A:$A,0)),IFERROR(INDEX('Catalog'!$B:$B,MATCH($G4299,'Catalog'!$A:$A,0)),$B4299))</f>
        <v>60 S צוארון ספוגי</v>
      </c>
      <c r="I4299" s="8" t="str">
        <f aca="false">IF($G4299="","Unmatched","Matched")</f>
        <v>Matched</v>
      </c>
    </row>
    <row r="4300" customFormat="false" ht="15" hidden="false" customHeight="false" outlineLevel="0" collapsed="false">
      <c r="A4300" s="8" t="s">
        <v>1092</v>
      </c>
      <c r="B4300" s="8" t="s">
        <v>843</v>
      </c>
      <c r="C4300" s="19" t="n">
        <v>10</v>
      </c>
      <c r="D4300" s="19" t="n">
        <v>292.14</v>
      </c>
      <c r="E4300" s="19" t="n">
        <v>10</v>
      </c>
      <c r="F4300" s="19" t="n">
        <v>275.57</v>
      </c>
      <c r="G4300" s="8" t="str">
        <f aca="false">IFERROR(INDEX('TRANS'!$B:$B,MATCH($B4300,'TRANS'!$A:$A,0)),IFERROR(INDEX('TRANS'!$B:$B,MATCH(TRIM(SUBSTITUTE($B4300,CHAR(160)," ")),'TRANS'!$D:$D,0)),IFERROR(INDEX('Catalog'!$A:$A,MATCH($B4300,'Catalog'!$B:$B,0)),IFERROR(INDEX('Catalog'!$A:$A,MATCH(TRIM(SUBSTITUTE($B4300,CHAR(160)," ")),'Catalog'!$C:$C,0)),""))))</f>
        <v/>
      </c>
      <c r="H4300" s="8" t="str">
        <f aca="false">IFERROR(INDEX('TRANS'!$C:$C,MATCH($B4300,'TRANS'!$A:$A,0)),IFERROR(INDEX('Catalog'!$B:$B,MATCH($G4300,'Catalog'!$A:$A,0)),$B4300))</f>
        <v>60B L</v>
      </c>
      <c r="I4300" s="8" t="str">
        <f aca="false">IF($G4300="","Unmatched","Matched")</f>
        <v>Unmatched</v>
      </c>
    </row>
    <row r="4301" customFormat="false" ht="15" hidden="false" customHeight="false" outlineLevel="0" collapsed="false">
      <c r="A4301" s="8" t="s">
        <v>1092</v>
      </c>
      <c r="B4301" s="8" t="s">
        <v>844</v>
      </c>
      <c r="C4301" s="19" t="n">
        <v>0</v>
      </c>
      <c r="D4301" s="19" t="n">
        <v>0</v>
      </c>
      <c r="E4301" s="19" t="n">
        <v>10</v>
      </c>
      <c r="F4301" s="19" t="n">
        <v>256.69</v>
      </c>
      <c r="G4301" s="8" t="str">
        <f aca="false">IFERROR(INDEX('TRANS'!$B:$B,MATCH($B4301,'TRANS'!$A:$A,0)),IFERROR(INDEX('TRANS'!$B:$B,MATCH(TRIM(SUBSTITUTE($B4301,CHAR(160)," ")),'TRANS'!$D:$D,0)),IFERROR(INDEX('Catalog'!$A:$A,MATCH($B4301,'Catalog'!$B:$B,0)),IFERROR(INDEX('Catalog'!$A:$A,MATCH(TRIM(SUBSTITUTE($B4301,CHAR(160)," ")),'Catalog'!$C:$C,0)),""))))</f>
        <v/>
      </c>
      <c r="H4301" s="8" t="str">
        <f aca="false">IFERROR(INDEX('TRANS'!$C:$C,MATCH($B4301,'TRANS'!$A:$A,0)),IFERROR(INDEX('Catalog'!$B:$B,MATCH($G4301,'Catalog'!$A:$A,0)),$B4301))</f>
        <v>60B M</v>
      </c>
      <c r="I4301" s="8" t="str">
        <f aca="false">IF($G4301="","Unmatched","Matched")</f>
        <v>Unmatched</v>
      </c>
    </row>
    <row r="4302" customFormat="false" ht="15" hidden="false" customHeight="false" outlineLevel="0" collapsed="false">
      <c r="A4302" s="8" t="s">
        <v>1092</v>
      </c>
      <c r="B4302" s="8" t="s">
        <v>845</v>
      </c>
      <c r="C4302" s="19" t="n">
        <v>10</v>
      </c>
      <c r="D4302" s="19" t="n">
        <v>292.14</v>
      </c>
      <c r="E4302" s="19" t="n">
        <v>6</v>
      </c>
      <c r="F4302" s="19" t="n">
        <v>165.34</v>
      </c>
      <c r="G4302" s="8" t="str">
        <f aca="false">IFERROR(INDEX('TRANS'!$B:$B,MATCH($B4302,'TRANS'!$A:$A,0)),IFERROR(INDEX('TRANS'!$B:$B,MATCH(TRIM(SUBSTITUTE($B4302,CHAR(160)," ")),'TRANS'!$D:$D,0)),IFERROR(INDEX('Catalog'!$A:$A,MATCH($B4302,'Catalog'!$B:$B,0)),IFERROR(INDEX('Catalog'!$A:$A,MATCH(TRIM(SUBSTITUTE($B4302,CHAR(160)," ")),'Catalog'!$C:$C,0)),""))))</f>
        <v/>
      </c>
      <c r="H4302" s="8" t="str">
        <f aca="false">IFERROR(INDEX('TRANS'!$C:$C,MATCH($B4302,'TRANS'!$A:$A,0)),IFERROR(INDEX('Catalog'!$B:$B,MATCH($G4302,'Catalog'!$A:$A,0)),$B4302))</f>
        <v>60B S</v>
      </c>
      <c r="I4302" s="8" t="str">
        <f aca="false">IF($G4302="","Unmatched","Matched")</f>
        <v>Unmatched</v>
      </c>
    </row>
    <row r="4303" customFormat="false" ht="15" hidden="false" customHeight="false" outlineLevel="0" collapsed="false">
      <c r="A4303" s="8" t="s">
        <v>1092</v>
      </c>
      <c r="B4303" s="8" t="s">
        <v>1093</v>
      </c>
      <c r="C4303" s="19" t="n">
        <v>4</v>
      </c>
      <c r="D4303" s="19" t="n">
        <v>0.16</v>
      </c>
      <c r="E4303" s="19" t="n">
        <v>0</v>
      </c>
      <c r="F4303" s="19" t="n">
        <v>0</v>
      </c>
      <c r="G4303" s="8" t="str">
        <f aca="false">IFERROR(INDEX('TRANS'!$B:$B,MATCH($B4303,'TRANS'!$A:$A,0)),IFERROR(INDEX('TRANS'!$B:$B,MATCH(TRIM(SUBSTITUTE($B4303,CHAR(160)," ")),'TRANS'!$D:$D,0)),IFERROR(INDEX('Catalog'!$A:$A,MATCH($B4303,'Catalog'!$B:$B,0)),IFERROR(INDEX('Catalog'!$A:$A,MATCH(TRIM(SUBSTITUTE($B4303,CHAR(160)," ")),'Catalog'!$C:$C,0)),""))))</f>
        <v/>
      </c>
      <c r="H4303" s="8" t="str">
        <f aca="false">IFERROR(INDEX('TRANS'!$C:$C,MATCH($B4303,'TRANS'!$A:$A,0)),IFERROR(INDEX('Catalog'!$B:$B,MATCH($G4303,'Catalog'!$A:$A,0)),$B4303))</f>
        <v>67812000</v>
      </c>
      <c r="I4303" s="8" t="str">
        <f aca="false">IF($G4303="","Unmatched","Matched")</f>
        <v>Unmatched</v>
      </c>
    </row>
    <row r="4304" customFormat="false" ht="15" hidden="false" customHeight="false" outlineLevel="0" collapsed="false">
      <c r="A4304" s="8" t="s">
        <v>1092</v>
      </c>
      <c r="B4304" s="8" t="s">
        <v>498</v>
      </c>
      <c r="C4304" s="19" t="n">
        <v>6</v>
      </c>
      <c r="D4304" s="19" t="n">
        <v>0.23</v>
      </c>
      <c r="E4304" s="19" t="n">
        <v>0</v>
      </c>
      <c r="F4304" s="19" t="n">
        <v>0</v>
      </c>
      <c r="G4304" s="8" t="str">
        <f aca="false">IFERROR(INDEX('TRANS'!$B:$B,MATCH($B4304,'TRANS'!$A:$A,0)),IFERROR(INDEX('TRANS'!$B:$B,MATCH(TRIM(SUBSTITUTE($B4304,CHAR(160)," ")),'TRANS'!$D:$D,0)),IFERROR(INDEX('Catalog'!$A:$A,MATCH($B4304,'Catalog'!$B:$B,0)),IFERROR(INDEX('Catalog'!$A:$A,MATCH(TRIM(SUBSTITUTE($B4304,CHAR(160)," ")),'Catalog'!$C:$C,0)),""))))</f>
        <v/>
      </c>
      <c r="H4304" s="8" t="str">
        <f aca="false">IFERROR(INDEX('TRANS'!$C:$C,MATCH($B4304,'TRANS'!$A:$A,0)),IFERROR(INDEX('Catalog'!$B:$B,MATCH($G4304,'Catalog'!$A:$A,0)),$B4304))</f>
        <v>67813000</v>
      </c>
      <c r="I4304" s="8" t="str">
        <f aca="false">IF($G4304="","Unmatched","Matched")</f>
        <v>Unmatched</v>
      </c>
    </row>
    <row r="4305" customFormat="false" ht="15" hidden="false" customHeight="false" outlineLevel="0" collapsed="false">
      <c r="A4305" s="8" t="s">
        <v>1092</v>
      </c>
      <c r="B4305" s="8" t="s">
        <v>238</v>
      </c>
      <c r="C4305" s="19" t="n">
        <v>0</v>
      </c>
      <c r="D4305" s="19" t="n">
        <v>0</v>
      </c>
      <c r="E4305" s="19" t="n">
        <v>10</v>
      </c>
      <c r="F4305" s="19" t="n">
        <v>102.88</v>
      </c>
      <c r="G4305" s="8" t="n">
        <f aca="false">IFERROR(INDEX('TRANS'!$B:$B,MATCH($B4305,'TRANS'!$A:$A,0)),IFERROR(INDEX('TRANS'!$B:$B,MATCH(TRIM(SUBSTITUTE($B4305,CHAR(160)," ")),'TRANS'!$D:$D,0)),IFERROR(INDEX('Catalog'!$A:$A,MATCH($B4305,'Catalog'!$B:$B,0)),IFERROR(INDEX('Catalog'!$A:$A,MATCH(TRIM(SUBSTITUTE($B4305,CHAR(160)," ")),'Catalog'!$C:$C,0)),""))))</f>
        <v>4422000</v>
      </c>
      <c r="H4305" s="8" t="str">
        <f aca="false">IFERROR(INDEX('TRANS'!$C:$C,MATCH($B4305,'TRANS'!$A:$A,0)),IFERROR(INDEX('Catalog'!$B:$B,MATCH($G4305,'Catalog'!$A:$A,0)),$B4305))</f>
        <v>801  תחבושת אלסטית מקררת</v>
      </c>
      <c r="I4305" s="8" t="str">
        <f aca="false">IF($G4305="","Unmatched","Matched")</f>
        <v>Matched</v>
      </c>
    </row>
    <row r="4306" customFormat="false" ht="15" hidden="false" customHeight="false" outlineLevel="0" collapsed="false">
      <c r="A4306" s="8" t="s">
        <v>1092</v>
      </c>
      <c r="B4306" s="8" t="s">
        <v>239</v>
      </c>
      <c r="C4306" s="19" t="n">
        <v>24</v>
      </c>
      <c r="D4306" s="19" t="n">
        <v>227.95</v>
      </c>
      <c r="E4306" s="19" t="n">
        <v>0</v>
      </c>
      <c r="F4306" s="19" t="n">
        <v>0</v>
      </c>
      <c r="G4306" s="8" t="n">
        <f aca="false">IFERROR(INDEX('TRANS'!$B:$B,MATCH($B4306,'TRANS'!$A:$A,0)),IFERROR(INDEX('TRANS'!$B:$B,MATCH(TRIM(SUBSTITUTE($B4306,CHAR(160)," ")),'TRANS'!$D:$D,0)),IFERROR(INDEX('Catalog'!$A:$A,MATCH($B4306,'Catalog'!$B:$B,0)),IFERROR(INDEX('Catalog'!$A:$A,MATCH(TRIM(SUBSTITUTE($B4306,CHAR(160)," ")),'Catalog'!$C:$C,0)),""))))</f>
        <v>4409011</v>
      </c>
      <c r="H4306" s="8" t="str">
        <f aca="false">IFERROR(INDEX('TRANS'!$C:$C,MATCH($B4306,'TRANS'!$A:$A,0)),IFERROR(INDEX('Catalog'!$B:$B,MATCH($G4306,'Catalog'!$A:$A,0)),$B4306))</f>
        <v>804AT-B      טייפ חבישה לספורט</v>
      </c>
      <c r="I4306" s="8" t="str">
        <f aca="false">IF($G4306="","Unmatched","Matched")</f>
        <v>Matched</v>
      </c>
    </row>
    <row r="4307" customFormat="false" ht="15" hidden="false" customHeight="false" outlineLevel="0" collapsed="false">
      <c r="A4307" s="8" t="s">
        <v>1092</v>
      </c>
      <c r="B4307" s="8" t="s">
        <v>240</v>
      </c>
      <c r="C4307" s="19" t="n">
        <v>24</v>
      </c>
      <c r="D4307" s="19" t="n">
        <v>227.95</v>
      </c>
      <c r="E4307" s="19" t="n">
        <v>0</v>
      </c>
      <c r="F4307" s="19" t="n">
        <v>0</v>
      </c>
      <c r="G4307" s="8" t="n">
        <f aca="false">IFERROR(INDEX('TRANS'!$B:$B,MATCH($B4307,'TRANS'!$A:$A,0)),IFERROR(INDEX('TRANS'!$B:$B,MATCH(TRIM(SUBSTITUTE($B4307,CHAR(160)," ")),'TRANS'!$D:$D,0)),IFERROR(INDEX('Catalog'!$A:$A,MATCH($B4307,'Catalog'!$B:$B,0)),IFERROR(INDEX('Catalog'!$A:$A,MATCH(TRIM(SUBSTITUTE($B4307,CHAR(160)," ")),'Catalog'!$C:$C,0)),""))))</f>
        <v>4409013</v>
      </c>
      <c r="H4307" s="8" t="str">
        <f aca="false">IFERROR(INDEX('TRANS'!$C:$C,MATCH($B4307,'TRANS'!$A:$A,0)),IFERROR(INDEX('Catalog'!$B:$B,MATCH($G4307,'Catalog'!$A:$A,0)),$B4307))</f>
        <v>804AT-BL     טייפ חבישה לספורט</v>
      </c>
      <c r="I4307" s="8" t="str">
        <f aca="false">IF($G4307="","Unmatched","Matched")</f>
        <v>Matched</v>
      </c>
    </row>
    <row r="4308" customFormat="false" ht="15" hidden="false" customHeight="false" outlineLevel="0" collapsed="false">
      <c r="A4308" s="8" t="s">
        <v>1092</v>
      </c>
      <c r="B4308" s="8" t="s">
        <v>241</v>
      </c>
      <c r="C4308" s="19" t="n">
        <v>44</v>
      </c>
      <c r="D4308" s="19" t="n">
        <v>422.71</v>
      </c>
      <c r="E4308" s="19" t="n">
        <v>0</v>
      </c>
      <c r="F4308" s="19" t="n">
        <v>0</v>
      </c>
      <c r="G4308" s="8" t="n">
        <f aca="false">IFERROR(INDEX('TRANS'!$B:$B,MATCH($B4308,'TRANS'!$A:$A,0)),IFERROR(INDEX('TRANS'!$B:$B,MATCH(TRIM(SUBSTITUTE($B4308,CHAR(160)," ")),'TRANS'!$D:$D,0)),IFERROR(INDEX('Catalog'!$A:$A,MATCH($B4308,'Catalog'!$B:$B,0)),IFERROR(INDEX('Catalog'!$A:$A,MATCH(TRIM(SUBSTITUTE($B4308,CHAR(160)," ")),'Catalog'!$C:$C,0)),""))))</f>
        <v>4409012</v>
      </c>
      <c r="H4308" s="8" t="str">
        <f aca="false">IFERROR(INDEX('TRANS'!$C:$C,MATCH($B4308,'TRANS'!$A:$A,0)),IFERROR(INDEX('Catalog'!$B:$B,MATCH($G4308,'Catalog'!$A:$A,0)),$B4308))</f>
        <v>804AT-C      טייפ חבישה לספורט</v>
      </c>
      <c r="I4308" s="8" t="str">
        <f aca="false">IF($G4308="","Unmatched","Matched")</f>
        <v>Matched</v>
      </c>
    </row>
    <row r="4309" customFormat="false" ht="15" hidden="false" customHeight="false" outlineLevel="0" collapsed="false">
      <c r="A4309" s="8" t="s">
        <v>1092</v>
      </c>
      <c r="B4309" s="8" t="s">
        <v>242</v>
      </c>
      <c r="C4309" s="19" t="n">
        <v>32</v>
      </c>
      <c r="D4309" s="19" t="n">
        <v>326.64</v>
      </c>
      <c r="E4309" s="19" t="n">
        <v>0</v>
      </c>
      <c r="F4309" s="19" t="n">
        <v>0</v>
      </c>
      <c r="G4309" s="8" t="n">
        <f aca="false">IFERROR(INDEX('TRANS'!$B:$B,MATCH($B4309,'TRANS'!$A:$A,0)),IFERROR(INDEX('TRANS'!$B:$B,MATCH(TRIM(SUBSTITUTE($B4309,CHAR(160)," ")),'TRANS'!$D:$D,0)),IFERROR(INDEX('Catalog'!$A:$A,MATCH($B4309,'Catalog'!$B:$B,0)),IFERROR(INDEX('Catalog'!$A:$A,MATCH(TRIM(SUBSTITUTE($B4309,CHAR(160)," ")),'Catalog'!$C:$C,0)),""))))</f>
        <v>4401012</v>
      </c>
      <c r="H4309" s="8" t="str">
        <f aca="false">IFERROR(INDEX('TRANS'!$C:$C,MATCH($B4309,'TRANS'!$A:$A,0)),IFERROR(INDEX('Catalog'!$B:$B,MATCH($G4309,'Catalog'!$A:$A,0)),$B4309))</f>
        <v>805AT-B אתלטיק טייפ שחור 20מ""""מ</v>
      </c>
      <c r="I4309" s="8" t="str">
        <f aca="false">IF($G4309="","Unmatched","Matched")</f>
        <v>Matched</v>
      </c>
    </row>
    <row r="4310" customFormat="false" ht="15" hidden="false" customHeight="false" outlineLevel="0" collapsed="false">
      <c r="A4310" s="8" t="s">
        <v>1092</v>
      </c>
      <c r="B4310" s="8" t="s">
        <v>503</v>
      </c>
      <c r="C4310" s="19" t="n">
        <v>26</v>
      </c>
      <c r="D4310" s="19" t="n">
        <v>262.65</v>
      </c>
      <c r="E4310" s="19" t="n">
        <v>0</v>
      </c>
      <c r="F4310" s="19" t="n">
        <v>0</v>
      </c>
      <c r="G4310" s="8" t="n">
        <f aca="false">IFERROR(INDEX('TRANS'!$B:$B,MATCH($B4310,'TRANS'!$A:$A,0)),IFERROR(INDEX('TRANS'!$B:$B,MATCH(TRIM(SUBSTITUTE($B4310,CHAR(160)," ")),'TRANS'!$D:$D,0)),IFERROR(INDEX('Catalog'!$A:$A,MATCH($B4310,'Catalog'!$B:$B,0)),IFERROR(INDEX('Catalog'!$A:$A,MATCH(TRIM(SUBSTITUTE($B4310,CHAR(160)," ")),'Catalog'!$C:$C,0)),""))))</f>
        <v>4401013</v>
      </c>
      <c r="H4310" s="8" t="str">
        <f aca="false">IFERROR(INDEX('TRANS'!$C:$C,MATCH($B4310,'TRANS'!$A:$A,0)),IFERROR(INDEX('Catalog'!$B:$B,MATCH($G4310,'Catalog'!$A:$A,0)),$B4310))</f>
        <v>805AT-BLאתלטיק טייפ כחול 20מ""""מ</v>
      </c>
      <c r="I4310" s="8" t="str">
        <f aca="false">IF($G4310="","Unmatched","Matched")</f>
        <v>Matched</v>
      </c>
    </row>
    <row r="4311" customFormat="false" ht="15" hidden="false" customHeight="false" outlineLevel="0" collapsed="false">
      <c r="A4311" s="8" t="s">
        <v>1092</v>
      </c>
      <c r="B4311" s="8" t="s">
        <v>243</v>
      </c>
      <c r="C4311" s="19" t="n">
        <v>20</v>
      </c>
      <c r="D4311" s="19" t="n">
        <v>198.66</v>
      </c>
      <c r="E4311" s="19" t="n">
        <v>20</v>
      </c>
      <c r="F4311" s="19" t="n">
        <v>187.38</v>
      </c>
      <c r="G4311" s="8" t="n">
        <f aca="false">IFERROR(INDEX('TRANS'!$B:$B,MATCH($B4311,'TRANS'!$A:$A,0)),IFERROR(INDEX('TRANS'!$B:$B,MATCH(TRIM(SUBSTITUTE($B4311,CHAR(160)," ")),'TRANS'!$D:$D,0)),IFERROR(INDEX('Catalog'!$A:$A,MATCH($B4311,'Catalog'!$B:$B,0)),IFERROR(INDEX('Catalog'!$A:$A,MATCH(TRIM(SUBSTITUTE($B4311,CHAR(160)," ")),'Catalog'!$C:$C,0)),""))))</f>
        <v>4401011</v>
      </c>
      <c r="H4311" s="8" t="str">
        <f aca="false">IFERROR(INDEX('TRANS'!$C:$C,MATCH($B4311,'TRANS'!$A:$A,0)),IFERROR(INDEX('Catalog'!$B:$B,MATCH($G4311,'Catalog'!$A:$A,0)),$B4311))</f>
        <v>805AT-Cאתלטיק טייפ בז' 20מ""""מ20</v>
      </c>
      <c r="I4311" s="8" t="str">
        <f aca="false">IF($G4311="","Unmatched","Matched")</f>
        <v>Matched</v>
      </c>
    </row>
    <row r="4312" customFormat="false" ht="15" hidden="false" customHeight="false" outlineLevel="0" collapsed="false">
      <c r="A4312" s="8" t="s">
        <v>1092</v>
      </c>
      <c r="B4312" s="8" t="s">
        <v>817</v>
      </c>
      <c r="C4312" s="19" t="n">
        <v>6</v>
      </c>
      <c r="D4312" s="19" t="n">
        <v>63.99</v>
      </c>
      <c r="E4312" s="19" t="n">
        <v>0</v>
      </c>
      <c r="F4312" s="19" t="n">
        <v>0</v>
      </c>
      <c r="G4312" s="8" t="n">
        <f aca="false">IFERROR(INDEX('TRANS'!$B:$B,MATCH($B4312,'TRANS'!$A:$A,0)),IFERROR(INDEX('TRANS'!$B:$B,MATCH(TRIM(SUBSTITUTE($B4312,CHAR(160)," ")),'TRANS'!$D:$D,0)),IFERROR(INDEX('Catalog'!$A:$A,MATCH($B4312,'Catalog'!$B:$B,0)),IFERROR(INDEX('Catalog'!$A:$A,MATCH(TRIM(SUBSTITUTE($B4312,CHAR(160)," ")),'Catalog'!$C:$C,0)),""))))</f>
        <v>4401014</v>
      </c>
      <c r="H4312" s="8" t="str">
        <f aca="false">IFERROR(INDEX('TRANS'!$C:$C,MATCH($B4312,'TRANS'!$A:$A,0)),IFERROR(INDEX('Catalog'!$B:$B,MATCH($G4312,'Catalog'!$A:$A,0)),$B4312))</f>
        <v>805AT-W  אתלטיק טייפ לבן 20מ""""מ</v>
      </c>
      <c r="I4312" s="8" t="str">
        <f aca="false">IF($G4312="","Unmatched","Matched")</f>
        <v>Matched</v>
      </c>
    </row>
    <row r="4313" customFormat="false" ht="15" hidden="false" customHeight="false" outlineLevel="0" collapsed="false">
      <c r="A4313" s="8" t="s">
        <v>1092</v>
      </c>
      <c r="B4313" s="8" t="s">
        <v>414</v>
      </c>
      <c r="C4313" s="19" t="n">
        <v>84</v>
      </c>
      <c r="D4313" s="19" t="n">
        <v>595.13</v>
      </c>
      <c r="E4313" s="19" t="n">
        <v>86</v>
      </c>
      <c r="F4313" s="19" t="n">
        <v>546.12</v>
      </c>
      <c r="G4313" s="8" t="n">
        <f aca="false">IFERROR(INDEX('TRANS'!$B:$B,MATCH($B4313,'TRANS'!$A:$A,0)),IFERROR(INDEX('TRANS'!$B:$B,MATCH(TRIM(SUBSTITUTE($B4313,CHAR(160)," ")),'TRANS'!$D:$D,0)),IFERROR(INDEX('Catalog'!$A:$A,MATCH($B4313,'Catalog'!$B:$B,0)),IFERROR(INDEX('Catalog'!$A:$A,MATCH(TRIM(SUBSTITUTE($B4313,CHAR(160)," ")),'Catalog'!$C:$C,0)),""))))</f>
        <v>4422024</v>
      </c>
      <c r="H4313" s="8" t="str">
        <f aca="false">IFERROR(INDEX('TRANS'!$C:$C,MATCH($B4313,'TRANS'!$A:$A,0)),IFERROR(INDEX('Catalog'!$B:$B,MATCH($G4313,'Catalog'!$A:$A,0)),$B4313))</f>
        <v>806CB-BLACK      תחבושת א.נצמ</v>
      </c>
      <c r="I4313" s="8" t="str">
        <f aca="false">IF($G4313="","Unmatched","Matched")</f>
        <v>Matched</v>
      </c>
    </row>
    <row r="4314" customFormat="false" ht="15" hidden="false" customHeight="false" outlineLevel="0" collapsed="false">
      <c r="A4314" s="8" t="s">
        <v>1092</v>
      </c>
      <c r="B4314" s="8" t="s">
        <v>415</v>
      </c>
      <c r="C4314" s="19" t="n">
        <v>48</v>
      </c>
      <c r="D4314" s="19" t="n">
        <v>336.53</v>
      </c>
      <c r="E4314" s="19" t="n">
        <v>60</v>
      </c>
      <c r="F4314" s="19" t="n">
        <v>396.81</v>
      </c>
      <c r="G4314" s="8" t="n">
        <f aca="false">IFERROR(INDEX('TRANS'!$B:$B,MATCH($B4314,'TRANS'!$A:$A,0)),IFERROR(INDEX('TRANS'!$B:$B,MATCH(TRIM(SUBSTITUTE($B4314,CHAR(160)," ")),'TRANS'!$D:$D,0)),IFERROR(INDEX('Catalog'!$A:$A,MATCH($B4314,'Catalog'!$B:$B,0)),IFERROR(INDEX('Catalog'!$A:$A,MATCH(TRIM(SUBSTITUTE($B4314,CHAR(160)," ")),'Catalog'!$C:$C,0)),""))))</f>
        <v>4422023</v>
      </c>
      <c r="H4314" s="8" t="str">
        <f aca="false">IFERROR(INDEX('TRANS'!$C:$C,MATCH($B4314,'TRANS'!$A:$A,0)),IFERROR(INDEX('Catalog'!$B:$B,MATCH($G4314,'Catalog'!$A:$A,0)),$B4314))</f>
        <v>806CB-BEIGE      תחבושת א.נצמ</v>
      </c>
      <c r="I4314" s="8" t="str">
        <f aca="false">IF($G4314="","Unmatched","Matched")</f>
        <v>Matched</v>
      </c>
    </row>
    <row r="4315" customFormat="false" ht="15" hidden="false" customHeight="false" outlineLevel="0" collapsed="false">
      <c r="A4315" s="8" t="s">
        <v>1092</v>
      </c>
      <c r="B4315" s="8" t="s">
        <v>416</v>
      </c>
      <c r="C4315" s="19" t="n">
        <v>24</v>
      </c>
      <c r="D4315" s="19" t="n">
        <v>180.67</v>
      </c>
      <c r="E4315" s="19" t="n">
        <v>24</v>
      </c>
      <c r="F4315" s="19" t="n">
        <v>158.73</v>
      </c>
      <c r="G4315" s="8" t="n">
        <f aca="false">IFERROR(INDEX('TRANS'!$B:$B,MATCH($B4315,'TRANS'!$A:$A,0)),IFERROR(INDEX('TRANS'!$B:$B,MATCH(TRIM(SUBSTITUTE($B4315,CHAR(160)," ")),'TRANS'!$D:$D,0)),IFERROR(INDEX('Catalog'!$A:$A,MATCH($B4315,'Catalog'!$B:$B,0)),IFERROR(INDEX('Catalog'!$A:$A,MATCH(TRIM(SUBSTITUTE($B4315,CHAR(160)," ")),'Catalog'!$C:$C,0)),""))))</f>
        <v>4422025</v>
      </c>
      <c r="H4315" s="8" t="str">
        <f aca="false">IFERROR(INDEX('TRANS'!$C:$C,MATCH($B4315,'TRANS'!$A:$A,0)),IFERROR(INDEX('Catalog'!$B:$B,MATCH($G4315,'Catalog'!$A:$A,0)),$B4315))</f>
        <v>806CB-GREEN      תחבושת א.נצמ</v>
      </c>
      <c r="I4315" s="8" t="str">
        <f aca="false">IF($G4315="","Unmatched","Matched")</f>
        <v>Matched</v>
      </c>
    </row>
    <row r="4316" customFormat="false" ht="15" hidden="false" customHeight="false" outlineLevel="0" collapsed="false">
      <c r="A4316" s="8" t="s">
        <v>1092</v>
      </c>
      <c r="B4316" s="8" t="s">
        <v>417</v>
      </c>
      <c r="C4316" s="19" t="n">
        <v>12</v>
      </c>
      <c r="D4316" s="19" t="n">
        <v>82.06</v>
      </c>
      <c r="E4316" s="19" t="n">
        <v>12</v>
      </c>
      <c r="F4316" s="19" t="n">
        <v>79.36</v>
      </c>
      <c r="G4316" s="8" t="n">
        <f aca="false">IFERROR(INDEX('TRANS'!$B:$B,MATCH($B4316,'TRANS'!$A:$A,0)),IFERROR(INDEX('TRANS'!$B:$B,MATCH(TRIM(SUBSTITUTE($B4316,CHAR(160)," ")),'TRANS'!$D:$D,0)),IFERROR(INDEX('Catalog'!$A:$A,MATCH($B4316,'Catalog'!$B:$B,0)),IFERROR(INDEX('Catalog'!$A:$A,MATCH(TRIM(SUBSTITUTE($B4316,CHAR(160)," ")),'Catalog'!$C:$C,0)),""))))</f>
        <v>4422026</v>
      </c>
      <c r="H4316" s="8" t="str">
        <f aca="false">IFERROR(INDEX('TRANS'!$C:$C,MATCH($B4316,'TRANS'!$A:$A,0)),IFERROR(INDEX('Catalog'!$B:$B,MATCH($G4316,'Catalog'!$A:$A,0)),$B4316))</f>
        <v>806CB-PINK       תחבושת א.נצמ</v>
      </c>
      <c r="I4316" s="8" t="str">
        <f aca="false">IF($G4316="","Unmatched","Matched")</f>
        <v>Matched</v>
      </c>
    </row>
    <row r="4317" customFormat="false" ht="15" hidden="false" customHeight="false" outlineLevel="0" collapsed="false">
      <c r="A4317" s="8" t="s">
        <v>1092</v>
      </c>
      <c r="B4317" s="8" t="s">
        <v>247</v>
      </c>
      <c r="C4317" s="19" t="n">
        <v>60</v>
      </c>
      <c r="D4317" s="19" t="n">
        <v>829.68</v>
      </c>
      <c r="E4317" s="19" t="n">
        <v>0</v>
      </c>
      <c r="F4317" s="19" t="n">
        <v>0</v>
      </c>
      <c r="G4317" s="8" t="n">
        <f aca="false">IFERROR(INDEX('TRANS'!$B:$B,MATCH($B4317,'TRANS'!$A:$A,0)),IFERROR(INDEX('TRANS'!$B:$B,MATCH(TRIM(SUBSTITUTE($B4317,CHAR(160)," ")),'TRANS'!$D:$D,0)),IFERROR(INDEX('Catalog'!$A:$A,MATCH($B4317,'Catalog'!$B:$B,0)),IFERROR(INDEX('Catalog'!$A:$A,MATCH(TRIM(SUBSTITUTE($B4317,CHAR(160)," ")),'Catalog'!$C:$C,0)),""))))</f>
        <v>4409017</v>
      </c>
      <c r="H4317" s="8" t="str">
        <f aca="false">IFERROR(INDEX('TRANS'!$C:$C,MATCH($B4317,'TRANS'!$A:$A,0)),IFERROR(INDEX('Catalog'!$B:$B,MATCH($G4317,'Catalog'!$A:$A,0)),$B4317))</f>
        <v>808KT-B        טייפ קינזיולוגי</v>
      </c>
      <c r="I4317" s="8" t="str">
        <f aca="false">IF($G4317="","Unmatched","Matched")</f>
        <v>Matched</v>
      </c>
    </row>
    <row r="4318" customFormat="false" ht="15" hidden="false" customHeight="false" outlineLevel="0" collapsed="false">
      <c r="A4318" s="8" t="s">
        <v>1092</v>
      </c>
      <c r="B4318" s="8" t="s">
        <v>506</v>
      </c>
      <c r="C4318" s="19" t="n">
        <v>120</v>
      </c>
      <c r="D4318" s="19" t="n">
        <v>1720.49</v>
      </c>
      <c r="E4318" s="19" t="n">
        <v>0</v>
      </c>
      <c r="F4318" s="19" t="n">
        <v>0</v>
      </c>
      <c r="G4318" s="8" t="n">
        <f aca="false">IFERROR(INDEX('TRANS'!$B:$B,MATCH($B4318,'TRANS'!$A:$A,0)),IFERROR(INDEX('TRANS'!$B:$B,MATCH(TRIM(SUBSTITUTE($B4318,CHAR(160)," ")),'TRANS'!$D:$D,0)),IFERROR(INDEX('Catalog'!$A:$A,MATCH($B4318,'Catalog'!$B:$B,0)),IFERROR(INDEX('Catalog'!$A:$A,MATCH(TRIM(SUBSTITUTE($B4318,CHAR(160)," ")),'Catalog'!$C:$C,0)),""))))</f>
        <v>4409015</v>
      </c>
      <c r="H4318" s="8" t="str">
        <f aca="false">IFERROR(INDEX('TRANS'!$C:$C,MATCH($B4318,'TRANS'!$A:$A,0)),IFERROR(INDEX('Catalog'!$B:$B,MATCH($G4318,'Catalog'!$A:$A,0)),$B4318))</f>
        <v>808KT-BL       טייפ קינזיולוגי</v>
      </c>
      <c r="I4318" s="8" t="str">
        <f aca="false">IF($G4318="","Unmatched","Matched")</f>
        <v>Matched</v>
      </c>
    </row>
    <row r="4319" customFormat="false" ht="15" hidden="false" customHeight="false" outlineLevel="0" collapsed="false">
      <c r="A4319" s="8" t="s">
        <v>1092</v>
      </c>
      <c r="B4319" s="8" t="s">
        <v>248</v>
      </c>
      <c r="C4319" s="19" t="n">
        <v>120</v>
      </c>
      <c r="D4319" s="19" t="n">
        <v>1720.49</v>
      </c>
      <c r="E4319" s="19" t="n">
        <v>0</v>
      </c>
      <c r="F4319" s="19" t="n">
        <v>0</v>
      </c>
      <c r="G4319" s="8" t="n">
        <f aca="false">IFERROR(INDEX('TRANS'!$B:$B,MATCH($B4319,'TRANS'!$A:$A,0)),IFERROR(INDEX('TRANS'!$B:$B,MATCH(TRIM(SUBSTITUTE($B4319,CHAR(160)," ")),'TRANS'!$D:$D,0)),IFERROR(INDEX('Catalog'!$A:$A,MATCH($B4319,'Catalog'!$B:$B,0)),IFERROR(INDEX('Catalog'!$A:$A,MATCH(TRIM(SUBSTITUTE($B4319,CHAR(160)," ")),'Catalog'!$C:$C,0)),""))))</f>
        <v>4409016</v>
      </c>
      <c r="H4319" s="8" t="str">
        <f aca="false">IFERROR(INDEX('TRANS'!$C:$C,MATCH($B4319,'TRANS'!$A:$A,0)),IFERROR(INDEX('Catalog'!$B:$B,MATCH($G4319,'Catalog'!$A:$A,0)),$B4319))</f>
        <v>808KT-C        טייפ קינזיולוגי</v>
      </c>
      <c r="I4319" s="8" t="str">
        <f aca="false">IF($G4319="","Unmatched","Matched")</f>
        <v>Matched</v>
      </c>
    </row>
    <row r="4320" customFormat="false" ht="15" hidden="false" customHeight="false" outlineLevel="0" collapsed="false">
      <c r="A4320" s="8" t="s">
        <v>1092</v>
      </c>
      <c r="B4320" s="8" t="s">
        <v>1054</v>
      </c>
      <c r="C4320" s="19" t="n">
        <v>40</v>
      </c>
      <c r="D4320" s="19" t="n">
        <v>1252.59</v>
      </c>
      <c r="E4320" s="19" t="n">
        <v>30</v>
      </c>
      <c r="F4320" s="19" t="n">
        <v>840.14</v>
      </c>
      <c r="G4320" s="8" t="str">
        <f aca="false">IFERROR(INDEX('TRANS'!$B:$B,MATCH($B4320,'TRANS'!$A:$A,0)),IFERROR(INDEX('TRANS'!$B:$B,MATCH(TRIM(SUBSTITUTE($B4320,CHAR(160)," ")),'TRANS'!$D:$D,0)),IFERROR(INDEX('Catalog'!$A:$A,MATCH($B4320,'Catalog'!$B:$B,0)),IFERROR(INDEX('Catalog'!$A:$A,MATCH(TRIM(SUBSTITUTE($B4320,CHAR(160)," ")),'Catalog'!$C:$C,0)),""))))</f>
        <v/>
      </c>
      <c r="H4320" s="8" t="str">
        <f aca="false">IFERROR(INDEX('TRANS'!$C:$C,MATCH($B4320,'TRANS'!$A:$A,0)),IFERROR(INDEX('Catalog'!$B:$B,MATCH($G4320,'Catalog'!$A:$A,0)),$B4320))</f>
        <v>82 0</v>
      </c>
      <c r="I4320" s="8" t="str">
        <f aca="false">IF($G4320="","Unmatched","Matched")</f>
        <v>Unmatched</v>
      </c>
    </row>
    <row r="4321" customFormat="false" ht="15" hidden="false" customHeight="false" outlineLevel="0" collapsed="false">
      <c r="A4321" s="8" t="s">
        <v>1092</v>
      </c>
      <c r="B4321" s="8" t="s">
        <v>252</v>
      </c>
      <c r="C4321" s="19" t="n">
        <v>30</v>
      </c>
      <c r="D4321" s="19" t="n">
        <v>669</v>
      </c>
      <c r="E4321" s="19" t="n">
        <v>6</v>
      </c>
      <c r="F4321" s="19" t="n">
        <v>112.94</v>
      </c>
      <c r="G4321" s="8" t="n">
        <f aca="false">IFERROR(INDEX('TRANS'!$B:$B,MATCH($B4321,'TRANS'!$A:$A,0)),IFERROR(INDEX('TRANS'!$B:$B,MATCH(TRIM(SUBSTITUTE($B4321,CHAR(160)," ")),'TRANS'!$D:$D,0)),IFERROR(INDEX('Catalog'!$A:$A,MATCH($B4321,'Catalog'!$B:$B,0)),IFERROR(INDEX('Catalog'!$A:$A,MATCH(TRIM(SUBSTITUTE($B4321,CHAR(160)," ")),'Catalog'!$C:$C,0)),""))))</f>
        <v>4413135</v>
      </c>
      <c r="H4321" s="8" t="str">
        <f aca="false">IFERROR(INDEX('TRANS'!$C:$C,MATCH($B4321,'TRANS'!$A:$A,0)),IFERROR(INDEX('Catalog'!$B:$B,MATCH($G4321,'Catalog'!$A:$A,0)),$B4321))</f>
        <v>85 L (מתלה ליד )כיס</v>
      </c>
      <c r="I4321" s="8" t="str">
        <f aca="false">IF($G4321="","Unmatched","Matched")</f>
        <v>Matched</v>
      </c>
    </row>
    <row r="4322" customFormat="false" ht="15" hidden="false" customHeight="false" outlineLevel="0" collapsed="false">
      <c r="A4322" s="8" t="s">
        <v>1092</v>
      </c>
      <c r="B4322" s="8" t="s">
        <v>253</v>
      </c>
      <c r="C4322" s="19" t="n">
        <v>20</v>
      </c>
      <c r="D4322" s="19" t="n">
        <v>423.2</v>
      </c>
      <c r="E4322" s="19" t="n">
        <v>16</v>
      </c>
      <c r="F4322" s="19" t="n">
        <v>301.18</v>
      </c>
      <c r="G4322" s="8" t="n">
        <f aca="false">IFERROR(INDEX('TRANS'!$B:$B,MATCH($B4322,'TRANS'!$A:$A,0)),IFERROR(INDEX('TRANS'!$B:$B,MATCH(TRIM(SUBSTITUTE($B4322,CHAR(160)," ")),'TRANS'!$D:$D,0)),IFERROR(INDEX('Catalog'!$A:$A,MATCH($B4322,'Catalog'!$B:$B,0)),IFERROR(INDEX('Catalog'!$A:$A,MATCH(TRIM(SUBSTITUTE($B4322,CHAR(160)," ")),'Catalog'!$C:$C,0)),""))))</f>
        <v>4413136</v>
      </c>
      <c r="H4322" s="8" t="str">
        <f aca="false">IFERROR(INDEX('TRANS'!$C:$C,MATCH($B4322,'TRANS'!$A:$A,0)),IFERROR(INDEX('Catalog'!$B:$B,MATCH($G4322,'Catalog'!$A:$A,0)),$B4322))</f>
        <v>85 M (מתלה ליד )כיס</v>
      </c>
      <c r="I4322" s="8" t="str">
        <f aca="false">IF($G4322="","Unmatched","Matched")</f>
        <v>Matched</v>
      </c>
    </row>
    <row r="4323" customFormat="false" ht="15" hidden="false" customHeight="false" outlineLevel="0" collapsed="false">
      <c r="A4323" s="8" t="s">
        <v>1092</v>
      </c>
      <c r="B4323" s="8" t="s">
        <v>664</v>
      </c>
      <c r="C4323" s="19" t="n">
        <v>6</v>
      </c>
      <c r="D4323" s="19" t="n">
        <v>128.54</v>
      </c>
      <c r="E4323" s="19" t="n">
        <v>10</v>
      </c>
      <c r="F4323" s="19" t="n">
        <v>202.08</v>
      </c>
      <c r="G4323" s="8" t="n">
        <f aca="false">IFERROR(INDEX('TRANS'!$B:$B,MATCH($B4323,'TRANS'!$A:$A,0)),IFERROR(INDEX('TRANS'!$B:$B,MATCH(TRIM(SUBSTITUTE($B4323,CHAR(160)," ")),'TRANS'!$D:$D,0)),IFERROR(INDEX('Catalog'!$A:$A,MATCH($B4323,'Catalog'!$B:$B,0)),IFERROR(INDEX('Catalog'!$A:$A,MATCH(TRIM(SUBSTITUTE($B4323,CHAR(160)," ")),'Catalog'!$C:$C,0)),""))))</f>
        <v>4413137</v>
      </c>
      <c r="H4323" s="8" t="str">
        <f aca="false">IFERROR(INDEX('TRANS'!$C:$C,MATCH($B4323,'TRANS'!$A:$A,0)),IFERROR(INDEX('Catalog'!$B:$B,MATCH($G4323,'Catalog'!$A:$A,0)),$B4323))</f>
        <v>85 S (מתלה ליד )כיס</v>
      </c>
      <c r="I4323" s="8" t="str">
        <f aca="false">IF($G4323="","Unmatched","Matched")</f>
        <v>Matched</v>
      </c>
    </row>
    <row r="4324" customFormat="false" ht="15" hidden="false" customHeight="false" outlineLevel="0" collapsed="false">
      <c r="A4324" s="8" t="s">
        <v>1092</v>
      </c>
      <c r="B4324" s="8" t="s">
        <v>254</v>
      </c>
      <c r="C4324" s="19" t="n">
        <v>0</v>
      </c>
      <c r="D4324" s="19" t="n">
        <v>0</v>
      </c>
      <c r="E4324" s="19" t="n">
        <v>13</v>
      </c>
      <c r="F4324" s="19" t="n">
        <v>258.55</v>
      </c>
      <c r="G4324" s="8" t="n">
        <f aca="false">IFERROR(INDEX('TRANS'!$B:$B,MATCH($B4324,'TRANS'!$A:$A,0)),IFERROR(INDEX('TRANS'!$B:$B,MATCH(TRIM(SUBSTITUTE($B4324,CHAR(160)," ")),'TRANS'!$D:$D,0)),IFERROR(INDEX('Catalog'!$A:$A,MATCH($B4324,'Catalog'!$B:$B,0)),IFERROR(INDEX('Catalog'!$A:$A,MATCH(TRIM(SUBSTITUTE($B4324,CHAR(160)," ")),'Catalog'!$C:$C,0)),""))))</f>
        <v>4413138</v>
      </c>
      <c r="H4324" s="8" t="str">
        <f aca="false">IFERROR(INDEX('TRANS'!$C:$C,MATCH($B4324,'TRANS'!$A:$A,0)),IFERROR(INDEX('Catalog'!$B:$B,MATCH($G4324,'Catalog'!$A:$A,0)),$B4324))</f>
        <v>85 XL (מתלה ליד )כיס</v>
      </c>
      <c r="I4324" s="8" t="str">
        <f aca="false">IF($G4324="","Unmatched","Matched")</f>
        <v>Matched</v>
      </c>
    </row>
    <row r="4325" customFormat="false" ht="15" hidden="false" customHeight="false" outlineLevel="0" collapsed="false">
      <c r="A4325" s="8" t="s">
        <v>1092</v>
      </c>
      <c r="B4325" s="8" t="s">
        <v>259</v>
      </c>
      <c r="C4325" s="19" t="n">
        <v>10</v>
      </c>
      <c r="D4325" s="19" t="n">
        <v>277.34</v>
      </c>
      <c r="E4325" s="19" t="n">
        <v>0</v>
      </c>
      <c r="F4325" s="19" t="n">
        <v>0</v>
      </c>
      <c r="G4325" s="8" t="n">
        <f aca="false">IFERROR(INDEX('TRANS'!$B:$B,MATCH($B4325,'TRANS'!$A:$A,0)),IFERROR(INDEX('TRANS'!$B:$B,MATCH(TRIM(SUBSTITUTE($B4325,CHAR(160)," ")),'TRANS'!$D:$D,0)),IFERROR(INDEX('Catalog'!$A:$A,MATCH($B4325,'Catalog'!$B:$B,0)),IFERROR(INDEX('Catalog'!$A:$A,MATCH(TRIM(SUBSTITUTE($B4325,CHAR(160)," ")),'Catalog'!$C:$C,0)),""))))</f>
        <v>4413455</v>
      </c>
      <c r="H4325" s="8" t="str">
        <f aca="false">IFERROR(INDEX('TRANS'!$C:$C,MATCH($B4325,'TRANS'!$A:$A,0)),IFERROR(INDEX('Catalog'!$B:$B,MATCH($G4325,'Catalog'!$A:$A,0)),$B4325))</f>
        <v>85K מתלה ליד לילדים</v>
      </c>
      <c r="I4325" s="8" t="str">
        <f aca="false">IF($G4325="","Unmatched","Matched")</f>
        <v>Matched</v>
      </c>
    </row>
    <row r="4326" customFormat="false" ht="15" hidden="false" customHeight="false" outlineLevel="0" collapsed="false">
      <c r="A4326" s="8" t="s">
        <v>1092</v>
      </c>
      <c r="B4326" s="8" t="s">
        <v>424</v>
      </c>
      <c r="C4326" s="19" t="n">
        <v>45</v>
      </c>
      <c r="D4326" s="19" t="n">
        <v>2127.83</v>
      </c>
      <c r="E4326" s="19" t="n">
        <v>0</v>
      </c>
      <c r="F4326" s="19" t="n">
        <v>0</v>
      </c>
      <c r="G4326" s="8" t="n">
        <f aca="false">IFERROR(INDEX('TRANS'!$B:$B,MATCH($B4326,'TRANS'!$A:$A,0)),IFERROR(INDEX('TRANS'!$B:$B,MATCH(TRIM(SUBSTITUTE($B4326,CHAR(160)," ")),'TRANS'!$D:$D,0)),IFERROR(INDEX('Catalog'!$A:$A,MATCH($B4326,'Catalog'!$B:$B,0)),IFERROR(INDEX('Catalog'!$A:$A,MATCH(TRIM(SUBSTITUTE($B4326,CHAR(160)," ")),'Catalog'!$C:$C,0)),""))))</f>
        <v>4408266</v>
      </c>
      <c r="H4326" s="8" t="str">
        <f aca="false">IFERROR(INDEX('TRANS'!$C:$C,MATCH($B4326,'TRANS'!$A:$A,0)),IFERROR(INDEX('Catalog'!$B:$B,MATCH($G4326,'Catalog'!$A:$A,0)),$B4326))</f>
        <v>91B חבק טניס אלבו</v>
      </c>
      <c r="I4326" s="8" t="str">
        <f aca="false">IF($G4326="","Unmatched","Matched")</f>
        <v>Matched</v>
      </c>
    </row>
    <row r="4327" customFormat="false" ht="15" hidden="false" customHeight="false" outlineLevel="0" collapsed="false">
      <c r="A4327" s="8" t="s">
        <v>1092</v>
      </c>
      <c r="B4327" s="8" t="s">
        <v>666</v>
      </c>
      <c r="C4327" s="19" t="n">
        <v>3</v>
      </c>
      <c r="D4327" s="19" t="n">
        <v>213.92</v>
      </c>
      <c r="E4327" s="19" t="n">
        <v>0</v>
      </c>
      <c r="F4327" s="19" t="n">
        <v>0</v>
      </c>
      <c r="G4327" s="8" t="str">
        <f aca="false">IFERROR(INDEX('TRANS'!$B:$B,MATCH($B4327,'TRANS'!$A:$A,0)),IFERROR(INDEX('TRANS'!$B:$B,MATCH(TRIM(SUBSTITUTE($B4327,CHAR(160)," ")),'TRANS'!$D:$D,0)),IFERROR(INDEX('Catalog'!$A:$A,MATCH($B4327,'Catalog'!$B:$B,0)),IFERROR(INDEX('Catalog'!$A:$A,MATCH(TRIM(SUBSTITUTE($B4327,CHAR(160)," ")),'Catalog'!$C:$C,0)),""))))</f>
        <v/>
      </c>
      <c r="H4327" s="8" t="str">
        <f aca="false">IFERROR(INDEX('TRANS'!$C:$C,MATCH($B4327,'TRANS'!$A:$A,0)),IFERROR(INDEX('Catalog'!$B:$B,MATCH($G4327,'Catalog'!$A:$A,0)),$B4327))</f>
        <v>922 S</v>
      </c>
      <c r="I4327" s="8" t="str">
        <f aca="false">IF($G4327="","Unmatched","Matched")</f>
        <v>Unmatched</v>
      </c>
    </row>
    <row r="4328" customFormat="false" ht="15" hidden="false" customHeight="false" outlineLevel="0" collapsed="false">
      <c r="A4328" s="8" t="s">
        <v>1092</v>
      </c>
      <c r="B4328" s="8" t="s">
        <v>667</v>
      </c>
      <c r="C4328" s="19" t="n">
        <v>1</v>
      </c>
      <c r="D4328" s="19" t="n">
        <v>71.31</v>
      </c>
      <c r="E4328" s="19" t="n">
        <v>0</v>
      </c>
      <c r="F4328" s="19" t="n">
        <v>0</v>
      </c>
      <c r="G4328" s="8" t="str">
        <f aca="false">IFERROR(INDEX('TRANS'!$B:$B,MATCH($B4328,'TRANS'!$A:$A,0)),IFERROR(INDEX('TRANS'!$B:$B,MATCH(TRIM(SUBSTITUTE($B4328,CHAR(160)," ")),'TRANS'!$D:$D,0)),IFERROR(INDEX('Catalog'!$A:$A,MATCH($B4328,'Catalog'!$B:$B,0)),IFERROR(INDEX('Catalog'!$A:$A,MATCH(TRIM(SUBSTITUTE($B4328,CHAR(160)," ")),'Catalog'!$C:$C,0)),""))))</f>
        <v/>
      </c>
      <c r="H4328" s="8" t="str">
        <f aca="false">IFERROR(INDEX('TRANS'!$C:$C,MATCH($B4328,'TRANS'!$A:$A,0)),IFERROR(INDEX('Catalog'!$B:$B,MATCH($G4328,'Catalog'!$A:$A,0)),$B4328))</f>
        <v>922 XXL</v>
      </c>
      <c r="I4328" s="8" t="str">
        <f aca="false">IF($G4328="","Unmatched","Matched")</f>
        <v>Unmatched</v>
      </c>
    </row>
    <row r="4329" customFormat="false" ht="15" hidden="false" customHeight="false" outlineLevel="0" collapsed="false">
      <c r="A4329" s="8" t="s">
        <v>1092</v>
      </c>
      <c r="B4329" s="8" t="s">
        <v>427</v>
      </c>
      <c r="C4329" s="19" t="n">
        <v>6</v>
      </c>
      <c r="D4329" s="19" t="n">
        <v>67.25</v>
      </c>
      <c r="E4329" s="19" t="n">
        <v>0</v>
      </c>
      <c r="F4329" s="19" t="n">
        <v>0</v>
      </c>
      <c r="G4329" s="8" t="n">
        <f aca="false">IFERROR(INDEX('TRANS'!$B:$B,MATCH($B4329,'TRANS'!$A:$A,0)),IFERROR(INDEX('TRANS'!$B:$B,MATCH(TRIM(SUBSTITUTE($B4329,CHAR(160)," ")),'TRANS'!$D:$D,0)),IFERROR(INDEX('Catalog'!$A:$A,MATCH($B4329,'Catalog'!$B:$B,0)),IFERROR(INDEX('Catalog'!$A:$A,MATCH(TRIM(SUBSTITUTE($B4329,CHAR(160)," ")),'Catalog'!$C:$C,0)),""))))</f>
        <v>4413139</v>
      </c>
      <c r="H4329" s="8" t="str">
        <f aca="false">IFERROR(INDEX('TRANS'!$C:$C,MATCH($B4329,'TRANS'!$A:$A,0)),IFERROR(INDEX('Catalog'!$B:$B,MATCH($G4329,'Catalog'!$A:$A,0)),$B4329))</f>
        <v>95 L מגן מרפק רגיל לבן</v>
      </c>
      <c r="I4329" s="8" t="str">
        <f aca="false">IF($G4329="","Unmatched","Matched")</f>
        <v>Matched</v>
      </c>
    </row>
    <row r="4330" customFormat="false" ht="15" hidden="false" customHeight="false" outlineLevel="0" collapsed="false">
      <c r="A4330" s="8" t="s">
        <v>1092</v>
      </c>
      <c r="B4330" s="8" t="s">
        <v>260</v>
      </c>
      <c r="C4330" s="19" t="n">
        <v>13</v>
      </c>
      <c r="D4330" s="19" t="n">
        <v>151.92</v>
      </c>
      <c r="E4330" s="19" t="n">
        <v>0</v>
      </c>
      <c r="F4330" s="19" t="n">
        <v>0</v>
      </c>
      <c r="G4330" s="8" t="n">
        <f aca="false">IFERROR(INDEX('TRANS'!$B:$B,MATCH($B4330,'TRANS'!$A:$A,0)),IFERROR(INDEX('TRANS'!$B:$B,MATCH(TRIM(SUBSTITUTE($B4330,CHAR(160)," ")),'TRANS'!$D:$D,0)),IFERROR(INDEX('Catalog'!$A:$A,MATCH($B4330,'Catalog'!$B:$B,0)),IFERROR(INDEX('Catalog'!$A:$A,MATCH(TRIM(SUBSTITUTE($B4330,CHAR(160)," ")),'Catalog'!$C:$C,0)),""))))</f>
        <v>4413140</v>
      </c>
      <c r="H4330" s="8" t="str">
        <f aca="false">IFERROR(INDEX('TRANS'!$C:$C,MATCH($B4330,'TRANS'!$A:$A,0)),IFERROR(INDEX('Catalog'!$B:$B,MATCH($G4330,'Catalog'!$A:$A,0)),$B4330))</f>
        <v>95 M מגן מרפק רגיל לבן</v>
      </c>
      <c r="I4330" s="8" t="str">
        <f aca="false">IF($G4330="","Unmatched","Matched")</f>
        <v>Matched</v>
      </c>
    </row>
    <row r="4331" customFormat="false" ht="15" hidden="false" customHeight="false" outlineLevel="0" collapsed="false">
      <c r="A4331" s="8" t="s">
        <v>1092</v>
      </c>
      <c r="B4331" s="8" t="s">
        <v>428</v>
      </c>
      <c r="C4331" s="19" t="n">
        <v>3</v>
      </c>
      <c r="D4331" s="19" t="n">
        <v>34.47</v>
      </c>
      <c r="E4331" s="19" t="n">
        <v>0</v>
      </c>
      <c r="F4331" s="19" t="n">
        <v>0</v>
      </c>
      <c r="G4331" s="8" t="n">
        <f aca="false">IFERROR(INDEX('TRANS'!$B:$B,MATCH($B4331,'TRANS'!$A:$A,0)),IFERROR(INDEX('TRANS'!$B:$B,MATCH(TRIM(SUBSTITUTE($B4331,CHAR(160)," ")),'TRANS'!$D:$D,0)),IFERROR(INDEX('Catalog'!$A:$A,MATCH($B4331,'Catalog'!$B:$B,0)),IFERROR(INDEX('Catalog'!$A:$A,MATCH(TRIM(SUBSTITUTE($B4331,CHAR(160)," ")),'Catalog'!$C:$C,0)),""))))</f>
        <v>4413141</v>
      </c>
      <c r="H4331" s="8" t="str">
        <f aca="false">IFERROR(INDEX('TRANS'!$C:$C,MATCH($B4331,'TRANS'!$A:$A,0)),IFERROR(INDEX('Catalog'!$B:$B,MATCH($G4331,'Catalog'!$A:$A,0)),$B4331))</f>
        <v>95 S מגן מרפק רגיל לבן</v>
      </c>
      <c r="I4331" s="8" t="str">
        <f aca="false">IF($G4331="","Unmatched","Matched")</f>
        <v>Matched</v>
      </c>
    </row>
    <row r="4332" customFormat="false" ht="15" hidden="false" customHeight="false" outlineLevel="0" collapsed="false">
      <c r="A4332" s="8" t="s">
        <v>1092</v>
      </c>
      <c r="B4332" s="8" t="s">
        <v>797</v>
      </c>
      <c r="C4332" s="19" t="n">
        <v>6</v>
      </c>
      <c r="D4332" s="19" t="n">
        <v>67.25</v>
      </c>
      <c r="E4332" s="19" t="n">
        <v>0</v>
      </c>
      <c r="F4332" s="19" t="n">
        <v>0</v>
      </c>
      <c r="G4332" s="8" t="n">
        <f aca="false">IFERROR(INDEX('TRANS'!$B:$B,MATCH($B4332,'TRANS'!$A:$A,0)),IFERROR(INDEX('TRANS'!$B:$B,MATCH(TRIM(SUBSTITUTE($B4332,CHAR(160)," ")),'TRANS'!$D:$D,0)),IFERROR(INDEX('Catalog'!$A:$A,MATCH($B4332,'Catalog'!$B:$B,0)),IFERROR(INDEX('Catalog'!$A:$A,MATCH(TRIM(SUBSTITUTE($B4332,CHAR(160)," ")),'Catalog'!$C:$C,0)),""))))</f>
        <v>4413144</v>
      </c>
      <c r="H4332" s="8" t="str">
        <f aca="false">IFERROR(INDEX('TRANS'!$C:$C,MATCH($B4332,'TRANS'!$A:$A,0)),IFERROR(INDEX('Catalog'!$B:$B,MATCH($G4332,'Catalog'!$A:$A,0)),$B4332))</f>
        <v>95 XXL מגן מרפק רגיל לבן</v>
      </c>
      <c r="I4332" s="8" t="str">
        <f aca="false">IF($G4332="","Unmatched","Matched")</f>
        <v>Matched</v>
      </c>
    </row>
    <row r="4333" customFormat="false" ht="15" hidden="false" customHeight="false" outlineLevel="0" collapsed="false">
      <c r="A4333" s="8" t="s">
        <v>1092</v>
      </c>
      <c r="B4333" s="8" t="s">
        <v>261</v>
      </c>
      <c r="C4333" s="19" t="n">
        <v>10</v>
      </c>
      <c r="D4333" s="19" t="n">
        <v>117.78</v>
      </c>
      <c r="E4333" s="19" t="n">
        <v>10</v>
      </c>
      <c r="F4333" s="19" t="n">
        <v>106.1</v>
      </c>
      <c r="G4333" s="8" t="n">
        <f aca="false">IFERROR(INDEX('TRANS'!$B:$B,MATCH($B4333,'TRANS'!$A:$A,0)),IFERROR(INDEX('TRANS'!$B:$B,MATCH(TRIM(SUBSTITUTE($B4333,CHAR(160)," ")),'TRANS'!$D:$D,0)),IFERROR(INDEX('Catalog'!$A:$A,MATCH($B4333,'Catalog'!$B:$B,0)),IFERROR(INDEX('Catalog'!$A:$A,MATCH(TRIM(SUBSTITUTE($B4333,CHAR(160)," ")),'Catalog'!$C:$C,0)),""))))</f>
        <v>4413500</v>
      </c>
      <c r="H4333" s="8" t="str">
        <f aca="false">IFERROR(INDEX('TRANS'!$C:$C,MATCH($B4333,'TRANS'!$A:$A,0)),IFERROR(INDEX('Catalog'!$B:$B,MATCH($G4333,'Catalog'!$A:$A,0)),$B4333))</f>
        <v>95B L מגן מרפק שחור</v>
      </c>
      <c r="I4333" s="8" t="str">
        <f aca="false">IF($G4333="","Unmatched","Matched")</f>
        <v>Matched</v>
      </c>
    </row>
    <row r="4334" customFormat="false" ht="15" hidden="false" customHeight="false" outlineLevel="0" collapsed="false">
      <c r="A4334" s="8" t="s">
        <v>1092</v>
      </c>
      <c r="B4334" s="8" t="s">
        <v>262</v>
      </c>
      <c r="C4334" s="19" t="n">
        <v>32</v>
      </c>
      <c r="D4334" s="19" t="n">
        <v>394.11</v>
      </c>
      <c r="E4334" s="19" t="n">
        <v>20</v>
      </c>
      <c r="F4334" s="19" t="n">
        <v>220</v>
      </c>
      <c r="G4334" s="8" t="n">
        <f aca="false">IFERROR(INDEX('TRANS'!$B:$B,MATCH($B4334,'TRANS'!$A:$A,0)),IFERROR(INDEX('TRANS'!$B:$B,MATCH(TRIM(SUBSTITUTE($B4334,CHAR(160)," ")),'TRANS'!$D:$D,0)),IFERROR(INDEX('Catalog'!$A:$A,MATCH($B4334,'Catalog'!$B:$B,0)),IFERROR(INDEX('Catalog'!$A:$A,MATCH(TRIM(SUBSTITUTE($B4334,CHAR(160)," ")),'Catalog'!$C:$C,0)),""))))</f>
        <v>4413501</v>
      </c>
      <c r="H4334" s="8" t="str">
        <f aca="false">IFERROR(INDEX('TRANS'!$C:$C,MATCH($B4334,'TRANS'!$A:$A,0)),IFERROR(INDEX('Catalog'!$B:$B,MATCH($G4334,'Catalog'!$A:$A,0)),$B4334))</f>
        <v>95B M מגן מרפק שחור</v>
      </c>
      <c r="I4334" s="8" t="str">
        <f aca="false">IF($G4334="","Unmatched","Matched")</f>
        <v>Matched</v>
      </c>
    </row>
    <row r="4335" customFormat="false" ht="15" hidden="false" customHeight="false" outlineLevel="0" collapsed="false">
      <c r="A4335" s="8" t="s">
        <v>1092</v>
      </c>
      <c r="B4335" s="8" t="s">
        <v>263</v>
      </c>
      <c r="C4335" s="19" t="n">
        <v>10</v>
      </c>
      <c r="D4335" s="19" t="n">
        <v>117.78</v>
      </c>
      <c r="E4335" s="19" t="n">
        <v>0</v>
      </c>
      <c r="F4335" s="19" t="n">
        <v>0</v>
      </c>
      <c r="G4335" s="8" t="n">
        <f aca="false">IFERROR(INDEX('TRANS'!$B:$B,MATCH($B4335,'TRANS'!$A:$A,0)),IFERROR(INDEX('TRANS'!$B:$B,MATCH(TRIM(SUBSTITUTE($B4335,CHAR(160)," ")),'TRANS'!$D:$D,0)),IFERROR(INDEX('Catalog'!$A:$A,MATCH($B4335,'Catalog'!$B:$B,0)),IFERROR(INDEX('Catalog'!$A:$A,MATCH(TRIM(SUBSTITUTE($B4335,CHAR(160)," ")),'Catalog'!$C:$C,0)),""))))</f>
        <v>4413502</v>
      </c>
      <c r="H4335" s="8" t="str">
        <f aca="false">IFERROR(INDEX('TRANS'!$C:$C,MATCH($B4335,'TRANS'!$A:$A,0)),IFERROR(INDEX('Catalog'!$B:$B,MATCH($G4335,'Catalog'!$A:$A,0)),$B4335))</f>
        <v>95B S מגן מרפק שחור</v>
      </c>
      <c r="I4335" s="8" t="str">
        <f aca="false">IF($G4335="","Unmatched","Matched")</f>
        <v>Matched</v>
      </c>
    </row>
    <row r="4336" customFormat="false" ht="15" hidden="false" customHeight="false" outlineLevel="0" collapsed="false">
      <c r="A4336" s="8" t="s">
        <v>1092</v>
      </c>
      <c r="B4336" s="8" t="s">
        <v>264</v>
      </c>
      <c r="C4336" s="19" t="n">
        <v>0</v>
      </c>
      <c r="D4336" s="19" t="n">
        <v>0</v>
      </c>
      <c r="E4336" s="19" t="n">
        <v>3</v>
      </c>
      <c r="F4336" s="19" t="n">
        <v>34.17</v>
      </c>
      <c r="G4336" s="8" t="n">
        <f aca="false">IFERROR(INDEX('TRANS'!$B:$B,MATCH($B4336,'TRANS'!$A:$A,0)),IFERROR(INDEX('TRANS'!$B:$B,MATCH(TRIM(SUBSTITUTE($B4336,CHAR(160)," ")),'TRANS'!$D:$D,0)),IFERROR(INDEX('Catalog'!$A:$A,MATCH($B4336,'Catalog'!$B:$B,0)),IFERROR(INDEX('Catalog'!$A:$A,MATCH(TRIM(SUBSTITUTE($B4336,CHAR(160)," ")),'Catalog'!$C:$C,0)),""))))</f>
        <v>4413503</v>
      </c>
      <c r="H4336" s="8" t="str">
        <f aca="false">IFERROR(INDEX('TRANS'!$C:$C,MATCH($B4336,'TRANS'!$A:$A,0)),IFERROR(INDEX('Catalog'!$B:$B,MATCH($G4336,'Catalog'!$A:$A,0)),$B4336))</f>
        <v>95B XL מגן מרפק שחור</v>
      </c>
      <c r="I4336" s="8" t="str">
        <f aca="false">IF($G4336="","Unmatched","Matched")</f>
        <v>Matched</v>
      </c>
    </row>
    <row r="4337" customFormat="false" ht="15" hidden="false" customHeight="false" outlineLevel="0" collapsed="false">
      <c r="A4337" s="8" t="s">
        <v>1092</v>
      </c>
      <c r="B4337" s="8" t="s">
        <v>266</v>
      </c>
      <c r="C4337" s="19" t="n">
        <v>6</v>
      </c>
      <c r="D4337" s="19" t="n">
        <v>70.11</v>
      </c>
      <c r="E4337" s="19" t="n">
        <v>0</v>
      </c>
      <c r="F4337" s="19" t="n">
        <v>0</v>
      </c>
      <c r="G4337" s="8" t="n">
        <f aca="false">IFERROR(INDEX('TRANS'!$B:$B,MATCH($B4337,'TRANS'!$A:$A,0)),IFERROR(INDEX('TRANS'!$B:$B,MATCH(TRIM(SUBSTITUTE($B4337,CHAR(160)," ")),'TRANS'!$D:$D,0)),IFERROR(INDEX('Catalog'!$A:$A,MATCH($B4337,'Catalog'!$B:$B,0)),IFERROR(INDEX('Catalog'!$A:$A,MATCH(TRIM(SUBSTITUTE($B4337,CHAR(160)," ")),'Catalog'!$C:$C,0)),""))))</f>
        <v>4413364</v>
      </c>
      <c r="H4337" s="8" t="str">
        <f aca="false">IFERROR(INDEX('TRANS'!$C:$C,MATCH($B4337,'TRANS'!$A:$A,0)),IFERROR(INDEX('Catalog'!$B:$B,MATCH($G4337,'Catalog'!$A:$A,0)),$B4337))</f>
        <v>95C M 'מגן מרפק בז</v>
      </c>
      <c r="I4337" s="8" t="str">
        <f aca="false">IF($G4337="","Unmatched","Matched")</f>
        <v>Matched</v>
      </c>
    </row>
    <row r="4338" customFormat="false" ht="15" hidden="false" customHeight="false" outlineLevel="0" collapsed="false">
      <c r="A4338" s="8" t="s">
        <v>1092</v>
      </c>
      <c r="B4338" s="8" t="s">
        <v>430</v>
      </c>
      <c r="C4338" s="19" t="n">
        <v>3</v>
      </c>
      <c r="D4338" s="19" t="n">
        <v>35.06</v>
      </c>
      <c r="E4338" s="19" t="n">
        <v>6</v>
      </c>
      <c r="F4338" s="19" t="n">
        <v>61.61</v>
      </c>
      <c r="G4338" s="8" t="n">
        <f aca="false">IFERROR(INDEX('TRANS'!$B:$B,MATCH($B4338,'TRANS'!$A:$A,0)),IFERROR(INDEX('TRANS'!$B:$B,MATCH(TRIM(SUBSTITUTE($B4338,CHAR(160)," ")),'TRANS'!$D:$D,0)),IFERROR(INDEX('Catalog'!$A:$A,MATCH($B4338,'Catalog'!$B:$B,0)),IFERROR(INDEX('Catalog'!$A:$A,MATCH(TRIM(SUBSTITUTE($B4338,CHAR(160)," ")),'Catalog'!$C:$C,0)),""))))</f>
        <v>4413366</v>
      </c>
      <c r="H4338" s="8" t="str">
        <f aca="false">IFERROR(INDEX('TRANS'!$C:$C,MATCH($B4338,'TRANS'!$A:$A,0)),IFERROR(INDEX('Catalog'!$B:$B,MATCH($G4338,'Catalog'!$A:$A,0)),$B4338))</f>
        <v>95C S 'מגן מרפק בז</v>
      </c>
      <c r="I4338" s="8" t="str">
        <f aca="false">IF($G4338="","Unmatched","Matched")</f>
        <v>Matched</v>
      </c>
    </row>
    <row r="4339" customFormat="false" ht="15" hidden="false" customHeight="false" outlineLevel="0" collapsed="false">
      <c r="A4339" s="8" t="s">
        <v>1092</v>
      </c>
      <c r="B4339" s="8" t="s">
        <v>267</v>
      </c>
      <c r="C4339" s="19" t="n">
        <v>10</v>
      </c>
      <c r="D4339" s="19" t="n">
        <v>438.21</v>
      </c>
      <c r="E4339" s="19" t="n">
        <v>22</v>
      </c>
      <c r="F4339" s="19" t="n">
        <v>881.05</v>
      </c>
      <c r="G4339" s="8" t="n">
        <f aca="false">IFERROR(INDEX('TRANS'!$B:$B,MATCH($B4339,'TRANS'!$A:$A,0)),IFERROR(INDEX('TRANS'!$B:$B,MATCH(TRIM(SUBSTITUTE($B4339,CHAR(160)," ")),'TRANS'!$D:$D,0)),IFERROR(INDEX('Catalog'!$A:$A,MATCH($B4339,'Catalog'!$B:$B,0)),IFERROR(INDEX('Catalog'!$A:$A,MATCH(TRIM(SUBSTITUTE($B4339,CHAR(160)," ")),'Catalog'!$C:$C,0)),""))))</f>
        <v>4408205</v>
      </c>
      <c r="H4339" s="8" t="str">
        <f aca="false">IFERROR(INDEX('TRANS'!$C:$C,MATCH($B4339,'TRANS'!$A:$A,0)),IFERROR(INDEX('Catalog'!$B:$B,MATCH($G4339,'Catalog'!$A:$A,0)),$B4339))</f>
        <v>AC-07 חגורת גב עם תמיכות</v>
      </c>
      <c r="I4339" s="8" t="str">
        <f aca="false">IF($G4339="","Unmatched","Matched")</f>
        <v>Matched</v>
      </c>
    </row>
    <row r="4340" customFormat="false" ht="15" hidden="false" customHeight="false" outlineLevel="0" collapsed="false">
      <c r="A4340" s="8" t="s">
        <v>1092</v>
      </c>
      <c r="B4340" s="8" t="s">
        <v>268</v>
      </c>
      <c r="C4340" s="19" t="n">
        <v>6</v>
      </c>
      <c r="D4340" s="19" t="n">
        <v>245.91</v>
      </c>
      <c r="E4340" s="19" t="n">
        <v>50</v>
      </c>
      <c r="F4340" s="19" t="n">
        <v>1726.36</v>
      </c>
      <c r="G4340" s="8" t="n">
        <f aca="false">IFERROR(INDEX('TRANS'!$B:$B,MATCH($B4340,'TRANS'!$A:$A,0)),IFERROR(INDEX('TRANS'!$B:$B,MATCH(TRIM(SUBSTITUTE($B4340,CHAR(160)," ")),'TRANS'!$D:$D,0)),IFERROR(INDEX('Catalog'!$A:$A,MATCH($B4340,'Catalog'!$B:$B,0)),IFERROR(INDEX('Catalog'!$A:$A,MATCH(TRIM(SUBSTITUTE($B4340,CHAR(160)," ")),'Catalog'!$C:$C,0)),""))))</f>
        <v>4408206</v>
      </c>
      <c r="H4340" s="8" t="str">
        <f aca="false">IFERROR(INDEX('TRANS'!$C:$C,MATCH($B4340,'TRANS'!$A:$A,0)),IFERROR(INDEX('Catalog'!$B:$B,MATCH($G4340,'Catalog'!$A:$A,0)),$B4340))</f>
        <v>AC-11 חגורת בטן קלה</v>
      </c>
      <c r="I4340" s="8" t="str">
        <f aca="false">IF($G4340="","Unmatched","Matched")</f>
        <v>Matched</v>
      </c>
    </row>
    <row r="4341" customFormat="false" ht="15" hidden="false" customHeight="false" outlineLevel="0" collapsed="false">
      <c r="A4341" s="8" t="s">
        <v>1092</v>
      </c>
      <c r="B4341" s="8" t="s">
        <v>269</v>
      </c>
      <c r="C4341" s="19" t="n">
        <v>0</v>
      </c>
      <c r="D4341" s="19" t="n">
        <v>0</v>
      </c>
      <c r="E4341" s="19" t="n">
        <v>30</v>
      </c>
      <c r="F4341" s="19" t="n">
        <v>457.77</v>
      </c>
      <c r="G4341" s="8" t="n">
        <f aca="false">IFERROR(INDEX('TRANS'!$B:$B,MATCH($B4341,'TRANS'!$A:$A,0)),IFERROR(INDEX('TRANS'!$B:$B,MATCH(TRIM(SUBSTITUTE($B4341,CHAR(160)," ")),'TRANS'!$D:$D,0)),IFERROR(INDEX('Catalog'!$A:$A,MATCH($B4341,'Catalog'!$B:$B,0)),IFERROR(INDEX('Catalog'!$A:$A,MATCH(TRIM(SUBSTITUTE($B4341,CHAR(160)," ")),'Catalog'!$C:$C,0)),""))))</f>
        <v>4408207</v>
      </c>
      <c r="H4341" s="8" t="str">
        <f aca="false">IFERROR(INDEX('TRANS'!$C:$C,MATCH($B4341,'TRANS'!$A:$A,0)),IFERROR(INDEX('Catalog'!$B:$B,MATCH($G4341,'Catalog'!$A:$A,0)),$B4341))</f>
        <v>AC-25 חבק לשורש כף היד</v>
      </c>
      <c r="I4341" s="8" t="str">
        <f aca="false">IF($G4341="","Unmatched","Matched")</f>
        <v>Matched</v>
      </c>
    </row>
    <row r="4342" customFormat="false" ht="15" hidden="false" customHeight="false" outlineLevel="0" collapsed="false">
      <c r="A4342" s="8" t="s">
        <v>1092</v>
      </c>
      <c r="B4342" s="8" t="s">
        <v>270</v>
      </c>
      <c r="C4342" s="19" t="n">
        <v>0</v>
      </c>
      <c r="D4342" s="19" t="n">
        <v>0</v>
      </c>
      <c r="E4342" s="19" t="n">
        <v>20</v>
      </c>
      <c r="F4342" s="19" t="n">
        <v>349.1</v>
      </c>
      <c r="G4342" s="8" t="n">
        <f aca="false">IFERROR(INDEX('TRANS'!$B:$B,MATCH($B4342,'TRANS'!$A:$A,0)),IFERROR(INDEX('TRANS'!$B:$B,MATCH(TRIM(SUBSTITUTE($B4342,CHAR(160)," ")),'TRANS'!$D:$D,0)),IFERROR(INDEX('Catalog'!$A:$A,MATCH($B4342,'Catalog'!$B:$B,0)),IFERROR(INDEX('Catalog'!$A:$A,MATCH(TRIM(SUBSTITUTE($B4342,CHAR(160)," ")),'Catalog'!$C:$C,0)),""))))</f>
        <v>4415026</v>
      </c>
      <c r="H4342" s="8" t="str">
        <f aca="false">IFERROR(INDEX('TRANS'!$C:$C,MATCH($B4342,'TRANS'!$A:$A,0)),IFERROR(INDEX('Catalog'!$B:$B,MATCH($G4342,'Catalog'!$A:$A,0)),$B4342))</f>
        <v>AC-27L סד לש.כף יד שמאל</v>
      </c>
      <c r="I4342" s="8" t="str">
        <f aca="false">IF($G4342="","Unmatched","Matched")</f>
        <v>Matched</v>
      </c>
    </row>
    <row r="4343" customFormat="false" ht="15" hidden="false" customHeight="false" outlineLevel="0" collapsed="false">
      <c r="A4343" s="8" t="s">
        <v>1092</v>
      </c>
      <c r="B4343" s="8" t="s">
        <v>271</v>
      </c>
      <c r="C4343" s="19" t="n">
        <v>0</v>
      </c>
      <c r="D4343" s="19" t="n">
        <v>0</v>
      </c>
      <c r="E4343" s="19" t="n">
        <v>10</v>
      </c>
      <c r="F4343" s="19" t="n">
        <v>174.55</v>
      </c>
      <c r="G4343" s="8" t="n">
        <f aca="false">IFERROR(INDEX('TRANS'!$B:$B,MATCH($B4343,'TRANS'!$A:$A,0)),IFERROR(INDEX('TRANS'!$B:$B,MATCH(TRIM(SUBSTITUTE($B4343,CHAR(160)," ")),'TRANS'!$D:$D,0)),IFERROR(INDEX('Catalog'!$A:$A,MATCH($B4343,'Catalog'!$B:$B,0)),IFERROR(INDEX('Catalog'!$A:$A,MATCH(TRIM(SUBSTITUTE($B4343,CHAR(160)," ")),'Catalog'!$C:$C,0)),""))))</f>
        <v>4415027</v>
      </c>
      <c r="H4343" s="8" t="str">
        <f aca="false">IFERROR(INDEX('TRANS'!$C:$C,MATCH($B4343,'TRANS'!$A:$A,0)),IFERROR(INDEX('Catalog'!$B:$B,MATCH($G4343,'Catalog'!$A:$A,0)),$B4343))</f>
        <v>AC-27R סד לש.כף יד ימין</v>
      </c>
      <c r="I4343" s="8" t="str">
        <f aca="false">IF($G4343="","Unmatched","Matched")</f>
        <v>Matched</v>
      </c>
    </row>
    <row r="4344" customFormat="false" ht="15" hidden="false" customHeight="false" outlineLevel="0" collapsed="false">
      <c r="A4344" s="8" t="s">
        <v>1092</v>
      </c>
      <c r="B4344" s="8" t="s">
        <v>272</v>
      </c>
      <c r="C4344" s="19" t="n">
        <v>0</v>
      </c>
      <c r="D4344" s="19" t="n">
        <v>0</v>
      </c>
      <c r="E4344" s="19" t="n">
        <v>40</v>
      </c>
      <c r="F4344" s="19" t="n">
        <v>624.61</v>
      </c>
      <c r="G4344" s="8" t="n">
        <f aca="false">IFERROR(INDEX('TRANS'!$B:$B,MATCH($B4344,'TRANS'!$A:$A,0)),IFERROR(INDEX('TRANS'!$B:$B,MATCH(TRIM(SUBSTITUTE($B4344,CHAR(160)," ")),'TRANS'!$D:$D,0)),IFERROR(INDEX('Catalog'!$A:$A,MATCH($B4344,'Catalog'!$B:$B,0)),IFERROR(INDEX('Catalog'!$A:$A,MATCH(TRIM(SUBSTITUTE($B4344,CHAR(160)," ")),'Catalog'!$C:$C,0)),""))))</f>
        <v>4415028</v>
      </c>
      <c r="H4344" s="8" t="str">
        <f aca="false">IFERROR(INDEX('TRANS'!$C:$C,MATCH($B4344,'TRANS'!$A:$A,0)),IFERROR(INDEX('Catalog'!$B:$B,MATCH($G4344,'Catalog'!$A:$A,0)),$B4344))</f>
        <v>AC-28 סד לאגודל</v>
      </c>
      <c r="I4344" s="8" t="str">
        <f aca="false">IF($G4344="","Unmatched","Matched")</f>
        <v>Matched</v>
      </c>
    </row>
    <row r="4345" customFormat="false" ht="15" hidden="false" customHeight="false" outlineLevel="0" collapsed="false">
      <c r="A4345" s="8" t="s">
        <v>1092</v>
      </c>
      <c r="B4345" s="8" t="s">
        <v>56</v>
      </c>
      <c r="C4345" s="19" t="n">
        <v>30</v>
      </c>
      <c r="D4345" s="19" t="n">
        <v>1460.82</v>
      </c>
      <c r="E4345" s="19" t="n">
        <v>20</v>
      </c>
      <c r="F4345" s="19" t="n">
        <v>872.9</v>
      </c>
      <c r="G4345" s="8" t="n">
        <f aca="false">IFERROR(INDEX('TRANS'!$B:$B,MATCH($B4345,'TRANS'!$A:$A,0)),IFERROR(INDEX('TRANS'!$B:$B,MATCH(TRIM(SUBSTITUTE($B4345,CHAR(160)," ")),'TRANS'!$D:$D,0)),IFERROR(INDEX('Catalog'!$A:$A,MATCH($B4345,'Catalog'!$B:$B,0)),IFERROR(INDEX('Catalog'!$A:$A,MATCH(TRIM(SUBSTITUTE($B4345,CHAR(160)," ")),'Catalog'!$C:$C,0)),""))))</f>
        <v>4413328</v>
      </c>
      <c r="H4345" s="8" t="str">
        <f aca="false">IFERROR(INDEX('TRANS'!$C:$C,MATCH($B4345,'TRANS'!$A:$A,0)),IFERROR(INDEX('Catalog'!$B:$B,MATCH($G4345,'Catalog'!$A:$A,0)),$B4345))</f>
        <v>AC43D מגן ברך + צירים</v>
      </c>
      <c r="I4345" s="8" t="str">
        <f aca="false">IF($G4345="","Unmatched","Matched")</f>
        <v>Matched</v>
      </c>
    </row>
    <row r="4346" customFormat="false" ht="15" hidden="false" customHeight="false" outlineLevel="0" collapsed="false">
      <c r="A4346" s="8" t="s">
        <v>1092</v>
      </c>
      <c r="B4346" s="8" t="s">
        <v>275</v>
      </c>
      <c r="C4346" s="19" t="n">
        <v>10</v>
      </c>
      <c r="D4346" s="19" t="n">
        <v>362.82</v>
      </c>
      <c r="E4346" s="19" t="n">
        <v>46</v>
      </c>
      <c r="F4346" s="19" t="n">
        <v>1575.62</v>
      </c>
      <c r="G4346" s="8" t="n">
        <f aca="false">IFERROR(INDEX('TRANS'!$B:$B,MATCH($B4346,'TRANS'!$A:$A,0)),IFERROR(INDEX('TRANS'!$B:$B,MATCH(TRIM(SUBSTITUTE($B4346,CHAR(160)," ")),'TRANS'!$D:$D,0)),IFERROR(INDEX('Catalog'!$A:$A,MATCH($B4346,'Catalog'!$B:$B,0)),IFERROR(INDEX('Catalog'!$A:$A,MATCH(TRIM(SUBSTITUTE($B4346,CHAR(160)," ")),'Catalog'!$C:$C,0)),""))))</f>
        <v>4413329</v>
      </c>
      <c r="H4346" s="8" t="str">
        <f aca="false">IFERROR(INDEX('TRANS'!$C:$C,MATCH($B4346,'TRANS'!$A:$A,0)),IFERROR(INDEX('Catalog'!$B:$B,MATCH($G4346,'Catalog'!$A:$A,0)),$B4346))</f>
        <v>AC45X מגן ברך עם תמיכות</v>
      </c>
      <c r="I4346" s="8" t="str">
        <f aca="false">IF($G4346="","Unmatched","Matched")</f>
        <v>Matched</v>
      </c>
    </row>
    <row r="4347" customFormat="false" ht="15" hidden="false" customHeight="false" outlineLevel="0" collapsed="false">
      <c r="A4347" s="8" t="s">
        <v>1092</v>
      </c>
      <c r="B4347" s="8" t="s">
        <v>54</v>
      </c>
      <c r="C4347" s="19" t="n">
        <v>0</v>
      </c>
      <c r="D4347" s="19" t="n">
        <v>0</v>
      </c>
      <c r="E4347" s="19" t="n">
        <v>10</v>
      </c>
      <c r="F4347" s="19" t="n">
        <v>334.35</v>
      </c>
      <c r="G4347" s="8" t="n">
        <f aca="false">IFERROR(INDEX('TRANS'!$B:$B,MATCH($B4347,'TRANS'!$A:$A,0)),IFERROR(INDEX('TRANS'!$B:$B,MATCH(TRIM(SUBSTITUTE($B4347,CHAR(160)," ")),'TRANS'!$D:$D,0)),IFERROR(INDEX('Catalog'!$A:$A,MATCH($B4347,'Catalog'!$B:$B,0)),IFERROR(INDEX('Catalog'!$A:$A,MATCH(TRIM(SUBSTITUTE($B4347,CHAR(160)," ")),'Catalog'!$C:$C,0)),""))))</f>
        <v>4413453</v>
      </c>
      <c r="H4347" s="8" t="str">
        <f aca="false">IFERROR(INDEX('TRANS'!$C:$C,MATCH($B4347,'TRANS'!$A:$A,0)),IFERROR(INDEX('Catalog'!$B:$B,MATCH($G4347,'Catalog'!$A:$A,0)),$B4347))</f>
        <v>AC75 מישר כתפיים אקטיב</v>
      </c>
      <c r="I4347" s="8" t="str">
        <f aca="false">IF($G4347="","Unmatched","Matched")</f>
        <v>Matched</v>
      </c>
    </row>
    <row r="4348" customFormat="false" ht="15" hidden="false" customHeight="false" outlineLevel="0" collapsed="false">
      <c r="A4348" s="8" t="s">
        <v>1092</v>
      </c>
      <c r="B4348" s="8" t="s">
        <v>283</v>
      </c>
      <c r="C4348" s="19" t="n">
        <v>10</v>
      </c>
      <c r="D4348" s="19" t="n">
        <v>192.81</v>
      </c>
      <c r="E4348" s="19" t="n">
        <v>3</v>
      </c>
      <c r="F4348" s="19" t="n">
        <v>50.82</v>
      </c>
      <c r="G4348" s="8" t="n">
        <f aca="false">IFERROR(INDEX('TRANS'!$B:$B,MATCH($B4348,'TRANS'!$A:$A,0)),IFERROR(INDEX('TRANS'!$B:$B,MATCH(TRIM(SUBSTITUTE($B4348,CHAR(160)," ")),'TRANS'!$D:$D,0)),IFERROR(INDEX('Catalog'!$A:$A,MATCH($B4348,'Catalog'!$B:$B,0)),IFERROR(INDEX('Catalog'!$A:$A,MATCH(TRIM(SUBSTITUTE($B4348,CHAR(160)," ")),'Catalog'!$C:$C,0)),""))))</f>
        <v>4414000</v>
      </c>
      <c r="H4348" s="8" t="str">
        <f aca="false">IFERROR(INDEX('TRANS'!$C:$C,MATCH($B4348,'TRANS'!$A:$A,0)),IFERROR(INDEX('Catalog'!$B:$B,MATCH($G4348,'Catalog'!$A:$A,0)),$B4348))</f>
        <v>FC342-נוזל לציפורן חודרנית</v>
      </c>
      <c r="I4348" s="8" t="str">
        <f aca="false">IF($G4348="","Unmatched","Matched")</f>
        <v>Matched</v>
      </c>
    </row>
    <row r="4349" customFormat="false" ht="15" hidden="false" customHeight="false" outlineLevel="0" collapsed="false">
      <c r="A4349" s="8" t="s">
        <v>1092</v>
      </c>
      <c r="B4349" s="8" t="s">
        <v>284</v>
      </c>
      <c r="C4349" s="19" t="n">
        <v>80</v>
      </c>
      <c r="D4349" s="19" t="n">
        <v>1037.19</v>
      </c>
      <c r="E4349" s="19" t="n">
        <v>0</v>
      </c>
      <c r="F4349" s="19" t="n">
        <v>0</v>
      </c>
      <c r="G4349" s="8" t="n">
        <f aca="false">IFERROR(INDEX('TRANS'!$B:$B,MATCH($B4349,'TRANS'!$A:$A,0)),IFERROR(INDEX('TRANS'!$B:$B,MATCH(TRIM(SUBSTITUTE($B4349,CHAR(160)," ")),'TRANS'!$D:$D,0)),IFERROR(INDEX('Catalog'!$A:$A,MATCH($B4349,'Catalog'!$B:$B,0)),IFERROR(INDEX('Catalog'!$A:$A,MATCH(TRIM(SUBSTITUTE($B4349,CHAR(160)," ")),'Catalog'!$C:$C,0)),""))))</f>
        <v>4413056</v>
      </c>
      <c r="H4349" s="8" t="str">
        <f aca="false">IFERROR(INDEX('TRANS'!$C:$C,MATCH($B4349,'TRANS'!$A:$A,0)),IFERROR(INDEX('Catalog'!$B:$B,MATCH($G4349,'Catalog'!$A:$A,0)),$B4349))</f>
        <v>LF360 מדרס מטטרזלי לנעלי עקב</v>
      </c>
      <c r="I4349" s="8" t="str">
        <f aca="false">IF($G4349="","Unmatched","Matched")</f>
        <v>Matched</v>
      </c>
    </row>
    <row r="4350" customFormat="false" ht="15" hidden="false" customHeight="false" outlineLevel="0" collapsed="false">
      <c r="A4350" s="8" t="s">
        <v>1092</v>
      </c>
      <c r="B4350" s="8" t="s">
        <v>515</v>
      </c>
      <c r="C4350" s="19" t="n">
        <v>0</v>
      </c>
      <c r="D4350" s="19" t="n">
        <v>0</v>
      </c>
      <c r="E4350" s="19" t="n">
        <v>40</v>
      </c>
      <c r="F4350" s="19" t="n">
        <v>255.48</v>
      </c>
      <c r="G4350" s="8" t="n">
        <f aca="false">IFERROR(INDEX('TRANS'!$B:$B,MATCH($B4350,'TRANS'!$A:$A,0)),IFERROR(INDEX('TRANS'!$B:$B,MATCH(TRIM(SUBSTITUTE($B4350,CHAR(160)," ")),'TRANS'!$D:$D,0)),IFERROR(INDEX('Catalog'!$A:$A,MATCH($B4350,'Catalog'!$B:$B,0)),IFERROR(INDEX('Catalog'!$A:$A,MATCH(TRIM(SUBSTITUTE($B4350,CHAR(160)," ")),'Catalog'!$C:$C,0)),""))))</f>
        <v>4420022</v>
      </c>
      <c r="H4350" s="8" t="str">
        <f aca="false">IFERROR(INDEX('TRANS'!$C:$C,MATCH($B4350,'TRANS'!$A:$A,0)),IFERROR(INDEX('Catalog'!$B:$B,MATCH($G4350,'Catalog'!$A:$A,0)),$B4350))</f>
        <v>LF370 ריפוד סיליקון לעקב אחורי</v>
      </c>
      <c r="I4350" s="8" t="str">
        <f aca="false">IF($G4350="","Unmatched","Matched")</f>
        <v>Matched</v>
      </c>
    </row>
    <row r="4351" customFormat="false" ht="15" hidden="false" customHeight="false" outlineLevel="0" collapsed="false">
      <c r="A4351" s="8" t="s">
        <v>1092</v>
      </c>
      <c r="B4351" s="8" t="s">
        <v>285</v>
      </c>
      <c r="C4351" s="19" t="n">
        <v>0</v>
      </c>
      <c r="D4351" s="19" t="n">
        <v>0</v>
      </c>
      <c r="E4351" s="19" t="n">
        <v>30</v>
      </c>
      <c r="F4351" s="19" t="n">
        <v>272.09</v>
      </c>
      <c r="G4351" s="8" t="n">
        <f aca="false">IFERROR(INDEX('TRANS'!$B:$B,MATCH($B4351,'TRANS'!$A:$A,0)),IFERROR(INDEX('TRANS'!$B:$B,MATCH(TRIM(SUBSTITUTE($B4351,CHAR(160)," ")),'TRANS'!$D:$D,0)),IFERROR(INDEX('Catalog'!$A:$A,MATCH($B4351,'Catalog'!$B:$B,0)),IFERROR(INDEX('Catalog'!$A:$A,MATCH(TRIM(SUBSTITUTE($B4351,CHAR(160)," ")),'Catalog'!$C:$C,0)),""))))</f>
        <v>4420024</v>
      </c>
      <c r="H4351" s="8" t="str">
        <f aca="false">IFERROR(INDEX('TRANS'!$C:$C,MATCH($B4351,'TRANS'!$A:$A,0)),IFERROR(INDEX('Catalog'!$B:$B,MATCH($G4351,'Catalog'!$A:$A,0)),$B4351))</f>
        <v>LFריפוד סיליק.לכרית כף הרגל373</v>
      </c>
      <c r="I4351" s="8" t="str">
        <f aca="false">IF($G4351="","Unmatched","Matched")</f>
        <v>Matched</v>
      </c>
    </row>
    <row r="4352" customFormat="false" ht="15" hidden="false" customHeight="false" outlineLevel="0" collapsed="false">
      <c r="A4352" s="8" t="s">
        <v>1092</v>
      </c>
      <c r="B4352" s="8" t="s">
        <v>286</v>
      </c>
      <c r="C4352" s="19" t="n">
        <v>10</v>
      </c>
      <c r="D4352" s="19" t="n">
        <v>79.46</v>
      </c>
      <c r="E4352" s="19" t="n">
        <v>0</v>
      </c>
      <c r="F4352" s="19" t="n">
        <v>0</v>
      </c>
      <c r="G4352" s="8" t="n">
        <f aca="false">IFERROR(INDEX('TRANS'!$B:$B,MATCH($B4352,'TRANS'!$A:$A,0)),IFERROR(INDEX('TRANS'!$B:$B,MATCH(TRIM(SUBSTITUTE($B4352,CHAR(160)," ")),'TRANS'!$D:$D,0)),IFERROR(INDEX('Catalog'!$A:$A,MATCH($B4352,'Catalog'!$B:$B,0)),IFERROR(INDEX('Catalog'!$A:$A,MATCH(TRIM(SUBSTITUTE($B4352,CHAR(160)," ")),'Catalog'!$C:$C,0)),""))))</f>
        <v>4420025</v>
      </c>
      <c r="H4352" s="8" t="str">
        <f aca="false">IFERROR(INDEX('TRANS'!$C:$C,MATCH($B4352,'TRANS'!$A:$A,0)),IFERROR(INDEX('Catalog'!$B:$B,MATCH($G4352,'Catalog'!$A:$A,0)),$B4352))</f>
        <v>LF374 ריפוד סיליק.לעקב תחתון</v>
      </c>
      <c r="I4352" s="8" t="str">
        <f aca="false">IF($G4352="","Unmatched","Matched")</f>
        <v>Matched</v>
      </c>
    </row>
    <row r="4353" customFormat="false" ht="15" hidden="false" customHeight="false" outlineLevel="0" collapsed="false">
      <c r="A4353" s="8" t="s">
        <v>1092</v>
      </c>
      <c r="B4353" s="8" t="s">
        <v>1034</v>
      </c>
      <c r="C4353" s="19" t="n">
        <v>0</v>
      </c>
      <c r="D4353" s="19" t="n">
        <v>0</v>
      </c>
      <c r="E4353" s="19" t="n">
        <v>20</v>
      </c>
      <c r="F4353" s="19" t="n">
        <v>396.81</v>
      </c>
      <c r="G4353" s="8" t="n">
        <f aca="false">IFERROR(INDEX('TRANS'!$B:$B,MATCH($B4353,'TRANS'!$A:$A,0)),IFERROR(INDEX('TRANS'!$B:$B,MATCH(TRIM(SUBSTITUTE($B4353,CHAR(160)," ")),'TRANS'!$D:$D,0)),IFERROR(INDEX('Catalog'!$A:$A,MATCH($B4353,'Catalog'!$B:$B,0)),IFERROR(INDEX('Catalog'!$A:$A,MATCH(TRIM(SUBSTITUTE($B4353,CHAR(160)," ")),'Catalog'!$C:$C,0)),""))))</f>
        <v>4413276</v>
      </c>
      <c r="H4353" s="8" t="str">
        <f aca="false">IFERROR(INDEX('TRANS'!$C:$C,MATCH($B4353,'TRANS'!$A:$A,0)),IFERROR(INDEX('Catalog'!$B:$B,MATCH($G4353,'Catalog'!$A:$A,0)),$B4353))</f>
        <v>LF377 L-מדרס סיליקון לנעלי עקב</v>
      </c>
      <c r="I4353" s="8" t="str">
        <f aca="false">IF($G4353="","Unmatched","Matched")</f>
        <v>Matched</v>
      </c>
    </row>
    <row r="4354" customFormat="false" ht="15" hidden="false" customHeight="false" outlineLevel="0" collapsed="false">
      <c r="A4354" s="8" t="s">
        <v>1092</v>
      </c>
      <c r="B4354" s="8" t="s">
        <v>1036</v>
      </c>
      <c r="C4354" s="19" t="n">
        <v>0</v>
      </c>
      <c r="D4354" s="19" t="n">
        <v>0</v>
      </c>
      <c r="E4354" s="19" t="n">
        <v>20</v>
      </c>
      <c r="F4354" s="19" t="n">
        <v>396.81</v>
      </c>
      <c r="G4354" s="8" t="n">
        <f aca="false">IFERROR(INDEX('TRANS'!$B:$B,MATCH($B4354,'TRANS'!$A:$A,0)),IFERROR(INDEX('TRANS'!$B:$B,MATCH(TRIM(SUBSTITUTE($B4354,CHAR(160)," ")),'TRANS'!$D:$D,0)),IFERROR(INDEX('Catalog'!$A:$A,MATCH($B4354,'Catalog'!$B:$B,0)),IFERROR(INDEX('Catalog'!$A:$A,MATCH(TRIM(SUBSTITUTE($B4354,CHAR(160)," ")),'Catalog'!$C:$C,0)),""))))</f>
        <v>4413278</v>
      </c>
      <c r="H4354" s="8" t="str">
        <f aca="false">IFERROR(INDEX('TRANS'!$C:$C,MATCH($B4354,'TRANS'!$A:$A,0)),IFERROR(INDEX('Catalog'!$B:$B,MATCH($G4354,'Catalog'!$A:$A,0)),$B4354))</f>
        <v>LF377 S-מדרס סיליקון לנעלי עקב</v>
      </c>
      <c r="I4354" s="8" t="str">
        <f aca="false">IF($G4354="","Unmatched","Matched")</f>
        <v>Matched</v>
      </c>
    </row>
    <row r="4355" customFormat="false" ht="15" hidden="false" customHeight="false" outlineLevel="0" collapsed="false">
      <c r="A4355" s="8" t="s">
        <v>1092</v>
      </c>
      <c r="B4355" s="8" t="s">
        <v>292</v>
      </c>
      <c r="C4355" s="19" t="n">
        <v>9</v>
      </c>
      <c r="D4355" s="19" t="n">
        <v>369.32</v>
      </c>
      <c r="E4355" s="19" t="n">
        <v>0</v>
      </c>
      <c r="F4355" s="19" t="n">
        <v>0</v>
      </c>
      <c r="G4355" s="8" t="n">
        <f aca="false">IFERROR(INDEX('TRANS'!$B:$B,MATCH($B4355,'TRANS'!$A:$A,0)),IFERROR(INDEX('TRANS'!$B:$B,MATCH(TRIM(SUBSTITUTE($B4355,CHAR(160)," ")),'TRANS'!$D:$D,0)),IFERROR(INDEX('Catalog'!$A:$A,MATCH($B4355,'Catalog'!$B:$B,0)),IFERROR(INDEX('Catalog'!$A:$A,MATCH(TRIM(SUBSTITUTE($B4355,CHAR(160)," ")),'Catalog'!$C:$C,0)),""))))</f>
        <v>4408249</v>
      </c>
      <c r="H4355" s="8" t="str">
        <f aca="false">IFERROR(INDEX('TRANS'!$C:$C,MATCH($B4355,'TRANS'!$A:$A,0)),IFERROR(INDEX('Catalog'!$B:$B,MATCH($G4355,'Catalog'!$A:$A,0)),$B4355))</f>
        <v>SC25  L חבק יד</v>
      </c>
      <c r="I4355" s="8" t="str">
        <f aca="false">IF($G4355="","Unmatched","Matched")</f>
        <v>Matched</v>
      </c>
    </row>
    <row r="4356" customFormat="false" ht="15" hidden="false" customHeight="false" outlineLevel="0" collapsed="false">
      <c r="A4356" s="8" t="s">
        <v>1092</v>
      </c>
      <c r="B4356" s="8" t="s">
        <v>293</v>
      </c>
      <c r="C4356" s="19" t="n">
        <v>3</v>
      </c>
      <c r="D4356" s="19" t="n">
        <v>119.1</v>
      </c>
      <c r="E4356" s="19" t="n">
        <v>0</v>
      </c>
      <c r="F4356" s="19" t="n">
        <v>0</v>
      </c>
      <c r="G4356" s="8" t="n">
        <f aca="false">IFERROR(INDEX('TRANS'!$B:$B,MATCH($B4356,'TRANS'!$A:$A,0)),IFERROR(INDEX('TRANS'!$B:$B,MATCH(TRIM(SUBSTITUTE($B4356,CHAR(160)," ")),'TRANS'!$D:$D,0)),IFERROR(INDEX('Catalog'!$A:$A,MATCH($B4356,'Catalog'!$B:$B,0)),IFERROR(INDEX('Catalog'!$A:$A,MATCH(TRIM(SUBSTITUTE($B4356,CHAR(160)," ")),'Catalog'!$C:$C,0)),""))))</f>
        <v>4408248</v>
      </c>
      <c r="H4356" s="8" t="str">
        <f aca="false">IFERROR(INDEX('TRANS'!$C:$C,MATCH($B4356,'TRANS'!$A:$A,0)),IFERROR(INDEX('Catalog'!$B:$B,MATCH($G4356,'Catalog'!$A:$A,0)),$B4356))</f>
        <v>SC25  M חבק יד</v>
      </c>
      <c r="I4356" s="8" t="str">
        <f aca="false">IF($G4356="","Unmatched","Matched")</f>
        <v>Matched</v>
      </c>
    </row>
    <row r="4357" customFormat="false" ht="15" hidden="false" customHeight="false" outlineLevel="0" collapsed="false">
      <c r="A4357" s="8" t="s">
        <v>1092</v>
      </c>
      <c r="B4357" s="8" t="s">
        <v>296</v>
      </c>
      <c r="C4357" s="19" t="n">
        <v>3</v>
      </c>
      <c r="D4357" s="19" t="n">
        <v>148.99</v>
      </c>
      <c r="E4357" s="19" t="n">
        <v>0</v>
      </c>
      <c r="F4357" s="19" t="n">
        <v>0</v>
      </c>
      <c r="G4357" s="8" t="n">
        <f aca="false">IFERROR(INDEX('TRANS'!$B:$B,MATCH($B4357,'TRANS'!$A:$A,0)),IFERROR(INDEX('TRANS'!$B:$B,MATCH(TRIM(SUBSTITUTE($B4357,CHAR(160)," ")),'TRANS'!$D:$D,0)),IFERROR(INDEX('Catalog'!$A:$A,MATCH($B4357,'Catalog'!$B:$B,0)),IFERROR(INDEX('Catalog'!$A:$A,MATCH(TRIM(SUBSTITUTE($B4357,CHAR(160)," ")),'Catalog'!$C:$C,0)),""))))</f>
        <v>4413422</v>
      </c>
      <c r="H4357" s="8" t="str">
        <f aca="false">IFERROR(INDEX('TRANS'!$C:$C,MATCH($B4357,'TRANS'!$A:$A,0)),IFERROR(INDEX('Catalog'!$B:$B,MATCH($G4357,'Catalog'!$A:$A,0)),$B4357))</f>
        <v>SC35L  L מגן קרסול שמאל</v>
      </c>
      <c r="I4357" s="8" t="str">
        <f aca="false">IF($G4357="","Unmatched","Matched")</f>
        <v>Matched</v>
      </c>
    </row>
    <row r="4358" customFormat="false" ht="15" hidden="false" customHeight="false" outlineLevel="0" collapsed="false">
      <c r="A4358" s="8" t="s">
        <v>1092</v>
      </c>
      <c r="B4358" s="8" t="s">
        <v>298</v>
      </c>
      <c r="C4358" s="19" t="n">
        <v>3</v>
      </c>
      <c r="D4358" s="19" t="n">
        <v>145.32</v>
      </c>
      <c r="E4358" s="19" t="n">
        <v>0</v>
      </c>
      <c r="F4358" s="19" t="n">
        <v>0</v>
      </c>
      <c r="G4358" s="8" t="n">
        <f aca="false">IFERROR(INDEX('TRANS'!$B:$B,MATCH($B4358,'TRANS'!$A:$A,0)),IFERROR(INDEX('TRANS'!$B:$B,MATCH(TRIM(SUBSTITUTE($B4358,CHAR(160)," ")),'TRANS'!$D:$D,0)),IFERROR(INDEX('Catalog'!$A:$A,MATCH($B4358,'Catalog'!$B:$B,0)),IFERROR(INDEX('Catalog'!$A:$A,MATCH(TRIM(SUBSTITUTE($B4358,CHAR(160)," ")),'Catalog'!$C:$C,0)),""))))</f>
        <v>4413426</v>
      </c>
      <c r="H4358" s="8" t="str">
        <f aca="false">IFERROR(INDEX('TRANS'!$C:$C,MATCH($B4358,'TRANS'!$A:$A,0)),IFERROR(INDEX('Catalog'!$B:$B,MATCH($G4358,'Catalog'!$A:$A,0)),$B4358))</f>
        <v>SC35R  L מגן קרסול ימין</v>
      </c>
      <c r="I4358" s="8" t="str">
        <f aca="false">IF($G4358="","Unmatched","Matched")</f>
        <v>Matched</v>
      </c>
    </row>
    <row r="4359" customFormat="false" ht="15" hidden="false" customHeight="false" outlineLevel="0" collapsed="false">
      <c r="A4359" s="8" t="s">
        <v>1092</v>
      </c>
      <c r="B4359" s="8" t="s">
        <v>301</v>
      </c>
      <c r="C4359" s="19" t="n">
        <v>0</v>
      </c>
      <c r="D4359" s="19" t="n">
        <v>0</v>
      </c>
      <c r="E4359" s="19" t="n">
        <v>2</v>
      </c>
      <c r="F4359" s="19" t="n">
        <v>164.28</v>
      </c>
      <c r="G4359" s="8" t="n">
        <f aca="false">IFERROR(INDEX('TRANS'!$B:$B,MATCH($B4359,'TRANS'!$A:$A,0)),IFERROR(INDEX('TRANS'!$B:$B,MATCH(TRIM(SUBSTITUTE($B4359,CHAR(160)," ")),'TRANS'!$D:$D,0)),IFERROR(INDEX('Catalog'!$A:$A,MATCH($B4359,'Catalog'!$B:$B,0)),IFERROR(INDEX('Catalog'!$A:$A,MATCH(TRIM(SUBSTITUTE($B4359,CHAR(160)," ")),'Catalog'!$C:$C,0)),""))))</f>
        <v>4413416</v>
      </c>
      <c r="H4359" s="8" t="str">
        <f aca="false">IFERROR(INDEX('TRANS'!$C:$C,MATCH($B4359,'TRANS'!$A:$A,0)),IFERROR(INDEX('Catalog'!$B:$B,MATCH($G4359,'Catalog'!$A:$A,0)),$B4359))</f>
        <v>SC39  M מגן שוק</v>
      </c>
      <c r="I4359" s="8" t="str">
        <f aca="false">IF($G4359="","Unmatched","Matched")</f>
        <v>Matched</v>
      </c>
    </row>
    <row r="4360" customFormat="false" ht="15" hidden="false" customHeight="false" outlineLevel="0" collapsed="false">
      <c r="A4360" s="8" t="s">
        <v>1092</v>
      </c>
      <c r="B4360" s="8" t="s">
        <v>435</v>
      </c>
      <c r="C4360" s="19" t="n">
        <v>0</v>
      </c>
      <c r="D4360" s="19" t="n">
        <v>0</v>
      </c>
      <c r="E4360" s="19" t="n">
        <v>2</v>
      </c>
      <c r="F4360" s="19" t="n">
        <v>164.28</v>
      </c>
      <c r="G4360" s="8" t="n">
        <f aca="false">IFERROR(INDEX('TRANS'!$B:$B,MATCH($B4360,'TRANS'!$A:$A,0)),IFERROR(INDEX('TRANS'!$B:$B,MATCH(TRIM(SUBSTITUTE($B4360,CHAR(160)," ")),'TRANS'!$D:$D,0)),IFERROR(INDEX('Catalog'!$A:$A,MATCH($B4360,'Catalog'!$B:$B,0)),IFERROR(INDEX('Catalog'!$A:$A,MATCH(TRIM(SUBSTITUTE($B4360,CHAR(160)," ")),'Catalog'!$C:$C,0)),""))))</f>
        <v>4413415</v>
      </c>
      <c r="H4360" s="8" t="str">
        <f aca="false">IFERROR(INDEX('TRANS'!$C:$C,MATCH($B4360,'TRANS'!$A:$A,0)),IFERROR(INDEX('Catalog'!$B:$B,MATCH($G4360,'Catalog'!$A:$A,0)),$B4360))</f>
        <v>SC39  S מגן שוק</v>
      </c>
      <c r="I4360" s="8" t="str">
        <f aca="false">IF($G4360="","Unmatched","Matched")</f>
        <v>Matched</v>
      </c>
    </row>
    <row r="4361" customFormat="false" ht="15" hidden="false" customHeight="false" outlineLevel="0" collapsed="false">
      <c r="A4361" s="8" t="s">
        <v>1092</v>
      </c>
      <c r="B4361" s="8" t="s">
        <v>436</v>
      </c>
      <c r="C4361" s="19" t="n">
        <v>0</v>
      </c>
      <c r="D4361" s="19" t="n">
        <v>0</v>
      </c>
      <c r="E4361" s="19" t="n">
        <v>2</v>
      </c>
      <c r="F4361" s="19" t="n">
        <v>137.24</v>
      </c>
      <c r="G4361" s="8" t="n">
        <f aca="false">IFERROR(INDEX('TRANS'!$B:$B,MATCH($B4361,'TRANS'!$A:$A,0)),IFERROR(INDEX('TRANS'!$B:$B,MATCH(TRIM(SUBSTITUTE($B4361,CHAR(160)," ")),'TRANS'!$D:$D,0)),IFERROR(INDEX('Catalog'!$A:$A,MATCH($B4361,'Catalog'!$B:$B,0)),IFERROR(INDEX('Catalog'!$A:$A,MATCH(TRIM(SUBSTITUTE($B4361,CHAR(160)," ")),'Catalog'!$C:$C,0)),""))))</f>
        <v>4413440</v>
      </c>
      <c r="H4361" s="8" t="str">
        <f aca="false">IFERROR(INDEX('TRANS'!$C:$C,MATCH($B4361,'TRANS'!$A:$A,0)),IFERROR(INDEX('Catalog'!$B:$B,MATCH($G4361,'Catalog'!$A:$A,0)),$B4361))</f>
        <v>SC422  L מגן ברך</v>
      </c>
      <c r="I4361" s="8" t="str">
        <f aca="false">IF($G4361="","Unmatched","Matched")</f>
        <v>Matched</v>
      </c>
    </row>
    <row r="4362" customFormat="false" ht="15" hidden="false" customHeight="false" outlineLevel="0" collapsed="false">
      <c r="A4362" s="8" t="s">
        <v>1092</v>
      </c>
      <c r="B4362" s="8" t="s">
        <v>302</v>
      </c>
      <c r="C4362" s="19" t="n">
        <v>3</v>
      </c>
      <c r="D4362" s="19" t="n">
        <v>251.56</v>
      </c>
      <c r="E4362" s="19" t="n">
        <v>0</v>
      </c>
      <c r="F4362" s="19" t="n">
        <v>0</v>
      </c>
      <c r="G4362" s="8" t="n">
        <f aca="false">IFERROR(INDEX('TRANS'!$B:$B,MATCH($B4362,'TRANS'!$A:$A,0)),IFERROR(INDEX('TRANS'!$B:$B,MATCH(TRIM(SUBSTITUTE($B4362,CHAR(160)," ")),'TRANS'!$D:$D,0)),IFERROR(INDEX('Catalog'!$A:$A,MATCH($B4362,'Catalog'!$B:$B,0)),IFERROR(INDEX('Catalog'!$A:$A,MATCH(TRIM(SUBSTITUTE($B4362,CHAR(160)," ")),'Catalog'!$C:$C,0)),""))))</f>
        <v>4413439</v>
      </c>
      <c r="H4362" s="8" t="str">
        <f aca="false">IFERROR(INDEX('TRANS'!$C:$C,MATCH($B4362,'TRANS'!$A:$A,0)),IFERROR(INDEX('Catalog'!$B:$B,MATCH($G4362,'Catalog'!$A:$A,0)),$B4362))</f>
        <v>SC422  M מגן ברך</v>
      </c>
      <c r="I4362" s="8" t="str">
        <f aca="false">IF($G4362="","Unmatched","Matched")</f>
        <v>Matched</v>
      </c>
    </row>
    <row r="4363" customFormat="false" ht="15" hidden="false" customHeight="false" outlineLevel="0" collapsed="false">
      <c r="A4363" s="8" t="s">
        <v>1092</v>
      </c>
      <c r="B4363" s="8" t="s">
        <v>307</v>
      </c>
      <c r="C4363" s="19" t="n">
        <v>0</v>
      </c>
      <c r="D4363" s="19" t="n">
        <v>0</v>
      </c>
      <c r="E4363" s="19" t="n">
        <v>20</v>
      </c>
      <c r="F4363" s="19" t="n">
        <v>1124.31</v>
      </c>
      <c r="G4363" s="8" t="n">
        <f aca="false">IFERROR(INDEX('TRANS'!$B:$B,MATCH($B4363,'TRANS'!$A:$A,0)),IFERROR(INDEX('TRANS'!$B:$B,MATCH(TRIM(SUBSTITUTE($B4363,CHAR(160)," ")),'TRANS'!$D:$D,0)),IFERROR(INDEX('Catalog'!$A:$A,MATCH($B4363,'Catalog'!$B:$B,0)),IFERROR(INDEX('Catalog'!$A:$A,MATCH(TRIM(SUBSTITUTE($B4363,CHAR(160)," ")),'Catalog'!$C:$C,0)),""))))</f>
        <v>4413534</v>
      </c>
      <c r="H4363" s="8" t="str">
        <f aca="false">IFERROR(INDEX('TRANS'!$C:$C,MATCH($B4363,'TRANS'!$A:$A,0)),IFERROR(INDEX('Catalog'!$B:$B,MATCH($G4363,'Catalog'!$A:$A,0)),$B4363))</f>
        <v>SH333 מקבע קרסול</v>
      </c>
      <c r="I4363" s="8" t="str">
        <f aca="false">IF($G4363="","Unmatched","Matched")</f>
        <v>Matched</v>
      </c>
    </row>
    <row r="4364" customFormat="false" ht="15" hidden="false" customHeight="false" outlineLevel="0" collapsed="false">
      <c r="A4364" s="8" t="s">
        <v>1092</v>
      </c>
      <c r="B4364" s="8" t="s">
        <v>521</v>
      </c>
      <c r="C4364" s="19" t="n">
        <v>0</v>
      </c>
      <c r="D4364" s="19" t="n">
        <v>0</v>
      </c>
      <c r="E4364" s="19" t="n">
        <v>10</v>
      </c>
      <c r="F4364" s="19" t="n">
        <v>984.69</v>
      </c>
      <c r="G4364" s="8" t="n">
        <f aca="false">IFERROR(INDEX('TRANS'!$B:$B,MATCH($B4364,'TRANS'!$A:$A,0)),IFERROR(INDEX('TRANS'!$B:$B,MATCH(TRIM(SUBSTITUTE($B4364,CHAR(160)," ")),'TRANS'!$D:$D,0)),IFERROR(INDEX('Catalog'!$A:$A,MATCH($B4364,'Catalog'!$B:$B,0)),IFERROR(INDEX('Catalog'!$A:$A,MATCH(TRIM(SUBSTITUTE($B4364,CHAR(160)," ")),'Catalog'!$C:$C,0)),""))))</f>
        <v>4422037</v>
      </c>
      <c r="H4364" s="8" t="str">
        <f aca="false">IFERROR(INDEX('TRANS'!$C:$C,MATCH($B4364,'TRANS'!$A:$A,0)),IFERROR(INDEX('Catalog'!$B:$B,MATCH($G4364,'Catalog'!$A:$A,0)),$B4364))</f>
        <v>SH422 1 תומך ברך גנושילד</v>
      </c>
      <c r="I4364" s="8" t="str">
        <f aca="false">IF($G4364="","Unmatched","Matched")</f>
        <v>Matched</v>
      </c>
    </row>
    <row r="4365" customFormat="false" ht="15" hidden="false" customHeight="false" outlineLevel="0" collapsed="false">
      <c r="A4365" s="8" t="s">
        <v>1092</v>
      </c>
      <c r="B4365" s="8" t="s">
        <v>522</v>
      </c>
      <c r="C4365" s="19" t="n">
        <v>0</v>
      </c>
      <c r="D4365" s="19" t="n">
        <v>0</v>
      </c>
      <c r="E4365" s="19" t="n">
        <v>10</v>
      </c>
      <c r="F4365" s="19" t="n">
        <v>984.69</v>
      </c>
      <c r="G4365" s="8" t="n">
        <f aca="false">IFERROR(INDEX('TRANS'!$B:$B,MATCH($B4365,'TRANS'!$A:$A,0)),IFERROR(INDEX('TRANS'!$B:$B,MATCH(TRIM(SUBSTITUTE($B4365,CHAR(160)," ")),'TRANS'!$D:$D,0)),IFERROR(INDEX('Catalog'!$A:$A,MATCH($B4365,'Catalog'!$B:$B,0)),IFERROR(INDEX('Catalog'!$A:$A,MATCH(TRIM(SUBSTITUTE($B4365,CHAR(160)," ")),'Catalog'!$C:$C,0)),""))))</f>
        <v>4422038</v>
      </c>
      <c r="H4365" s="8" t="str">
        <f aca="false">IFERROR(INDEX('TRANS'!$C:$C,MATCH($B4365,'TRANS'!$A:$A,0)),IFERROR(INDEX('Catalog'!$B:$B,MATCH($G4365,'Catalog'!$A:$A,0)),$B4365))</f>
        <v>SH422 2 תומך ברך גנושילד</v>
      </c>
      <c r="I4365" s="8" t="str">
        <f aca="false">IF($G4365="","Unmatched","Matched")</f>
        <v>Matched</v>
      </c>
    </row>
    <row r="4366" customFormat="false" ht="15" hidden="false" customHeight="false" outlineLevel="0" collapsed="false">
      <c r="A4366" s="8" t="s">
        <v>1092</v>
      </c>
      <c r="B4366" s="8" t="s">
        <v>523</v>
      </c>
      <c r="C4366" s="19" t="n">
        <v>0</v>
      </c>
      <c r="D4366" s="19" t="n">
        <v>0</v>
      </c>
      <c r="E4366" s="19" t="n">
        <v>20</v>
      </c>
      <c r="F4366" s="19" t="n">
        <v>1969.37</v>
      </c>
      <c r="G4366" s="8" t="n">
        <f aca="false">IFERROR(INDEX('TRANS'!$B:$B,MATCH($B4366,'TRANS'!$A:$A,0)),IFERROR(INDEX('TRANS'!$B:$B,MATCH(TRIM(SUBSTITUTE($B4366,CHAR(160)," ")),'TRANS'!$D:$D,0)),IFERROR(INDEX('Catalog'!$A:$A,MATCH($B4366,'Catalog'!$B:$B,0)),IFERROR(INDEX('Catalog'!$A:$A,MATCH(TRIM(SUBSTITUTE($B4366,CHAR(160)," ")),'Catalog'!$C:$C,0)),""))))</f>
        <v>4422039</v>
      </c>
      <c r="H4366" s="8" t="str">
        <f aca="false">IFERROR(INDEX('TRANS'!$C:$C,MATCH($B4366,'TRANS'!$A:$A,0)),IFERROR(INDEX('Catalog'!$B:$B,MATCH($G4366,'Catalog'!$A:$A,0)),$B4366))</f>
        <v>SH422 3 תומך ברך גנושילד</v>
      </c>
      <c r="I4366" s="8" t="str">
        <f aca="false">IF($G4366="","Unmatched","Matched")</f>
        <v>Matched</v>
      </c>
    </row>
    <row r="4367" customFormat="false" ht="15" hidden="false" customHeight="false" outlineLevel="0" collapsed="false">
      <c r="A4367" s="8" t="s">
        <v>1092</v>
      </c>
      <c r="B4367" s="8" t="s">
        <v>524</v>
      </c>
      <c r="C4367" s="19" t="n">
        <v>0</v>
      </c>
      <c r="D4367" s="19" t="n">
        <v>0</v>
      </c>
      <c r="E4367" s="19" t="n">
        <v>20</v>
      </c>
      <c r="F4367" s="19" t="n">
        <v>1969.37</v>
      </c>
      <c r="G4367" s="8" t="n">
        <f aca="false">IFERROR(INDEX('TRANS'!$B:$B,MATCH($B4367,'TRANS'!$A:$A,0)),IFERROR(INDEX('TRANS'!$B:$B,MATCH(TRIM(SUBSTITUTE($B4367,CHAR(160)," ")),'TRANS'!$D:$D,0)),IFERROR(INDEX('Catalog'!$A:$A,MATCH($B4367,'Catalog'!$B:$B,0)),IFERROR(INDEX('Catalog'!$A:$A,MATCH(TRIM(SUBSTITUTE($B4367,CHAR(160)," ")),'Catalog'!$C:$C,0)),""))))</f>
        <v>4422040</v>
      </c>
      <c r="H4367" s="8" t="str">
        <f aca="false">IFERROR(INDEX('TRANS'!$C:$C,MATCH($B4367,'TRANS'!$A:$A,0)),IFERROR(INDEX('Catalog'!$B:$B,MATCH($G4367,'Catalog'!$A:$A,0)),$B4367))</f>
        <v>SH422 4 תומך ברך גנושילד</v>
      </c>
      <c r="I4367" s="8" t="str">
        <f aca="false">IF($G4367="","Unmatched","Matched")</f>
        <v>Matched</v>
      </c>
    </row>
    <row r="4368" customFormat="false" ht="15" hidden="false" customHeight="false" outlineLevel="0" collapsed="false">
      <c r="A4368" s="8" t="s">
        <v>1092</v>
      </c>
      <c r="B4368" s="8" t="s">
        <v>308</v>
      </c>
      <c r="C4368" s="19" t="n">
        <v>0</v>
      </c>
      <c r="D4368" s="19" t="n">
        <v>0</v>
      </c>
      <c r="E4368" s="19" t="n">
        <v>10</v>
      </c>
      <c r="F4368" s="19" t="n">
        <v>984.69</v>
      </c>
      <c r="G4368" s="8" t="n">
        <f aca="false">IFERROR(INDEX('TRANS'!$B:$B,MATCH($B4368,'TRANS'!$A:$A,0)),IFERROR(INDEX('TRANS'!$B:$B,MATCH(TRIM(SUBSTITUTE($B4368,CHAR(160)," ")),'TRANS'!$D:$D,0)),IFERROR(INDEX('Catalog'!$A:$A,MATCH($B4368,'Catalog'!$B:$B,0)),IFERROR(INDEX('Catalog'!$A:$A,MATCH(TRIM(SUBSTITUTE($B4368,CHAR(160)," ")),'Catalog'!$C:$C,0)),""))))</f>
        <v>4422041</v>
      </c>
      <c r="H4368" s="8" t="str">
        <f aca="false">IFERROR(INDEX('TRANS'!$C:$C,MATCH($B4368,'TRANS'!$A:$A,0)),IFERROR(INDEX('Catalog'!$B:$B,MATCH($G4368,'Catalog'!$A:$A,0)),$B4368))</f>
        <v>SH422 5 תומך ברך גנושילד</v>
      </c>
      <c r="I4368" s="8" t="str">
        <f aca="false">IF($G4368="","Unmatched","Matched")</f>
        <v>Matched</v>
      </c>
    </row>
    <row r="4369" customFormat="false" ht="15" hidden="false" customHeight="false" outlineLevel="0" collapsed="false">
      <c r="A4369" s="8" t="s">
        <v>1092</v>
      </c>
      <c r="B4369" s="8" t="s">
        <v>528</v>
      </c>
      <c r="C4369" s="19" t="n">
        <v>0</v>
      </c>
      <c r="D4369" s="19" t="n">
        <v>0</v>
      </c>
      <c r="E4369" s="19" t="n">
        <v>3</v>
      </c>
      <c r="F4369" s="19" t="n">
        <v>462.95</v>
      </c>
      <c r="G4369" s="8" t="str">
        <f aca="false">IFERROR(INDEX('TRANS'!$B:$B,MATCH($B4369,'TRANS'!$A:$A,0)),IFERROR(INDEX('TRANS'!$B:$B,MATCH(TRIM(SUBSTITUTE($B4369,CHAR(160)," ")),'TRANS'!$D:$D,0)),IFERROR(INDEX('Catalog'!$A:$A,MATCH($B4369,'Catalog'!$B:$B,0)),IFERROR(INDEX('Catalog'!$A:$A,MATCH(TRIM(SUBSTITUTE($B4369,CHAR(160)," ")),'Catalog'!$C:$C,0)),""))))</f>
        <v/>
      </c>
      <c r="H4369" s="8" t="str">
        <f aca="false">IFERROR(INDEX('TRANS'!$C:$C,MATCH($B4369,'TRANS'!$A:$A,0)),IFERROR(INDEX('Catalog'!$B:$B,MATCH($G4369,'Catalog'!$A:$A,0)),$B4369))</f>
        <v>SH776 L</v>
      </c>
      <c r="I4369" s="8" t="str">
        <f aca="false">IF($G4369="","Unmatched","Matched")</f>
        <v>Unmatched</v>
      </c>
    </row>
    <row r="4370" customFormat="false" ht="15" hidden="false" customHeight="false" outlineLevel="0" collapsed="false">
      <c r="A4370" s="8" t="s">
        <v>1092</v>
      </c>
      <c r="B4370" s="8" t="s">
        <v>610</v>
      </c>
      <c r="C4370" s="19" t="n">
        <v>0</v>
      </c>
      <c r="D4370" s="19" t="n">
        <v>0</v>
      </c>
      <c r="E4370" s="19" t="n">
        <v>2</v>
      </c>
      <c r="F4370" s="19" t="n">
        <v>308.63</v>
      </c>
      <c r="G4370" s="8" t="str">
        <f aca="false">IFERROR(INDEX('TRANS'!$B:$B,MATCH($B4370,'TRANS'!$A:$A,0)),IFERROR(INDEX('TRANS'!$B:$B,MATCH(TRIM(SUBSTITUTE($B4370,CHAR(160)," ")),'TRANS'!$D:$D,0)),IFERROR(INDEX('Catalog'!$A:$A,MATCH($B4370,'Catalog'!$B:$B,0)),IFERROR(INDEX('Catalog'!$A:$A,MATCH(TRIM(SUBSTITUTE($B4370,CHAR(160)," ")),'Catalog'!$C:$C,0)),""))))</f>
        <v/>
      </c>
      <c r="H4370" s="8" t="str">
        <f aca="false">IFERROR(INDEX('TRANS'!$C:$C,MATCH($B4370,'TRANS'!$A:$A,0)),IFERROR(INDEX('Catalog'!$B:$B,MATCH($G4370,'Catalog'!$A:$A,0)),$B4370))</f>
        <v>SH776 M</v>
      </c>
      <c r="I4370" s="8" t="str">
        <f aca="false">IF($G4370="","Unmatched","Matched")</f>
        <v>Unmatched</v>
      </c>
    </row>
    <row r="4371" customFormat="false" ht="15" hidden="false" customHeight="false" outlineLevel="0" collapsed="false">
      <c r="A4371" s="8" t="s">
        <v>1092</v>
      </c>
      <c r="B4371" s="8" t="s">
        <v>682</v>
      </c>
      <c r="C4371" s="19" t="n">
        <v>0</v>
      </c>
      <c r="D4371" s="19" t="n">
        <v>0</v>
      </c>
      <c r="E4371" s="19" t="n">
        <v>2</v>
      </c>
      <c r="F4371" s="19" t="n">
        <v>308.63</v>
      </c>
      <c r="G4371" s="8" t="str">
        <f aca="false">IFERROR(INDEX('TRANS'!$B:$B,MATCH($B4371,'TRANS'!$A:$A,0)),IFERROR(INDEX('TRANS'!$B:$B,MATCH(TRIM(SUBSTITUTE($B4371,CHAR(160)," ")),'TRANS'!$D:$D,0)),IFERROR(INDEX('Catalog'!$A:$A,MATCH($B4371,'Catalog'!$B:$B,0)),IFERROR(INDEX('Catalog'!$A:$A,MATCH(TRIM(SUBSTITUTE($B4371,CHAR(160)," ")),'Catalog'!$C:$C,0)),""))))</f>
        <v/>
      </c>
      <c r="H4371" s="8" t="str">
        <f aca="false">IFERROR(INDEX('TRANS'!$C:$C,MATCH($B4371,'TRANS'!$A:$A,0)),IFERROR(INDEX('Catalog'!$B:$B,MATCH($G4371,'Catalog'!$A:$A,0)),$B4371))</f>
        <v>SH776 S</v>
      </c>
      <c r="I4371" s="8" t="str">
        <f aca="false">IF($G4371="","Unmatched","Matched")</f>
        <v>Unmatched</v>
      </c>
    </row>
    <row r="4372" customFormat="false" ht="15" hidden="false" customHeight="false" outlineLevel="0" collapsed="false">
      <c r="A4372" s="8" t="s">
        <v>1092</v>
      </c>
      <c r="B4372" s="8" t="s">
        <v>579</v>
      </c>
      <c r="C4372" s="19" t="n">
        <v>0</v>
      </c>
      <c r="D4372" s="19" t="n">
        <v>0</v>
      </c>
      <c r="E4372" s="19" t="n">
        <v>3</v>
      </c>
      <c r="F4372" s="19" t="n">
        <v>462.95</v>
      </c>
      <c r="G4372" s="8" t="str">
        <f aca="false">IFERROR(INDEX('TRANS'!$B:$B,MATCH($B4372,'TRANS'!$A:$A,0)),IFERROR(INDEX('TRANS'!$B:$B,MATCH(TRIM(SUBSTITUTE($B4372,CHAR(160)," ")),'TRANS'!$D:$D,0)),IFERROR(INDEX('Catalog'!$A:$A,MATCH($B4372,'Catalog'!$B:$B,0)),IFERROR(INDEX('Catalog'!$A:$A,MATCH(TRIM(SUBSTITUTE($B4372,CHAR(160)," ")),'Catalog'!$C:$C,0)),""))))</f>
        <v/>
      </c>
      <c r="H4372" s="8" t="str">
        <f aca="false">IFERROR(INDEX('TRANS'!$C:$C,MATCH($B4372,'TRANS'!$A:$A,0)),IFERROR(INDEX('Catalog'!$B:$B,MATCH($G4372,'Catalog'!$A:$A,0)),$B4372))</f>
        <v>SH776 XL</v>
      </c>
      <c r="I4372" s="8" t="str">
        <f aca="false">IF($G4372="","Unmatched","Matched")</f>
        <v>Unmatched</v>
      </c>
    </row>
    <row r="4373" customFormat="false" ht="15" hidden="false" customHeight="false" outlineLevel="0" collapsed="false">
      <c r="A4373" s="8" t="s">
        <v>1092</v>
      </c>
      <c r="B4373" s="8" t="s">
        <v>703</v>
      </c>
      <c r="C4373" s="19" t="n">
        <v>0</v>
      </c>
      <c r="D4373" s="19" t="n">
        <v>0</v>
      </c>
      <c r="E4373" s="19" t="n">
        <v>3</v>
      </c>
      <c r="F4373" s="19" t="n">
        <v>462.95</v>
      </c>
      <c r="G4373" s="8" t="str">
        <f aca="false">IFERROR(INDEX('TRANS'!$B:$B,MATCH($B4373,'TRANS'!$A:$A,0)),IFERROR(INDEX('TRANS'!$B:$B,MATCH(TRIM(SUBSTITUTE($B4373,CHAR(160)," ")),'TRANS'!$D:$D,0)),IFERROR(INDEX('Catalog'!$A:$A,MATCH($B4373,'Catalog'!$B:$B,0)),IFERROR(INDEX('Catalog'!$A:$A,MATCH(TRIM(SUBSTITUTE($B4373,CHAR(160)," ")),'Catalog'!$C:$C,0)),""))))</f>
        <v/>
      </c>
      <c r="H4373" s="8" t="str">
        <f aca="false">IFERROR(INDEX('TRANS'!$C:$C,MATCH($B4373,'TRANS'!$A:$A,0)),IFERROR(INDEX('Catalog'!$B:$B,MATCH($G4373,'Catalog'!$A:$A,0)),$B4373))</f>
        <v>SH776 XXL</v>
      </c>
      <c r="I4373" s="8" t="str">
        <f aca="false">IF($G4373="","Unmatched","Matched")</f>
        <v>Unmatched</v>
      </c>
    </row>
    <row r="4374" customFormat="false" ht="15" hidden="false" customHeight="false" outlineLevel="0" collapsed="false">
      <c r="A4374" s="8" t="s">
        <v>1092</v>
      </c>
      <c r="B4374" s="8" t="s">
        <v>529</v>
      </c>
      <c r="C4374" s="19" t="n">
        <v>70</v>
      </c>
      <c r="D4374" s="19" t="n">
        <v>2065.81</v>
      </c>
      <c r="E4374" s="19" t="n">
        <v>32</v>
      </c>
      <c r="F4374" s="19" t="n">
        <v>801.07</v>
      </c>
      <c r="G4374" s="8" t="n">
        <f aca="false">IFERROR(INDEX('TRANS'!$B:$B,MATCH($B4374,'TRANS'!$A:$A,0)),IFERROR(INDEX('TRANS'!$B:$B,MATCH(TRIM(SUBSTITUTE($B4374,CHAR(160)," ")),'TRANS'!$D:$D,0)),IFERROR(INDEX('Catalog'!$A:$A,MATCH($B4374,'Catalog'!$B:$B,0)),IFERROR(INDEX('Catalog'!$A:$A,MATCH(TRIM(SUBSTITUTE($B4374,CHAR(160)," ")),'Catalog'!$C:$C,0)),""))))</f>
        <v>4408270</v>
      </c>
      <c r="H4374" s="8" t="str">
        <f aca="false">IFERROR(INDEX('TRANS'!$C:$C,MATCH($B4374,'TRANS'!$A:$A,0)),IFERROR(INDEX('Catalog'!$B:$B,MATCH($G4374,'Catalog'!$A:$A,0)),$B4374))</f>
        <v>ST11  חגורת בטן</v>
      </c>
      <c r="I4374" s="8" t="str">
        <f aca="false">IF($G4374="","Unmatched","Matched")</f>
        <v>Matched</v>
      </c>
    </row>
    <row r="4375" customFormat="false" ht="15" hidden="false" customHeight="false" outlineLevel="0" collapsed="false">
      <c r="A4375" s="8" t="s">
        <v>1092</v>
      </c>
      <c r="B4375" s="8" t="s">
        <v>531</v>
      </c>
      <c r="C4375" s="19" t="n">
        <v>120</v>
      </c>
      <c r="D4375" s="19" t="n">
        <v>1792.25</v>
      </c>
      <c r="E4375" s="19" t="n">
        <v>100</v>
      </c>
      <c r="F4375" s="19" t="n">
        <v>1358.95</v>
      </c>
      <c r="G4375" s="8" t="n">
        <f aca="false">IFERROR(INDEX('TRANS'!$B:$B,MATCH($B4375,'TRANS'!$A:$A,0)),IFERROR(INDEX('TRANS'!$B:$B,MATCH(TRIM(SUBSTITUTE($B4375,CHAR(160)," ")),'TRANS'!$D:$D,0)),IFERROR(INDEX('Catalog'!$A:$A,MATCH($B4375,'Catalog'!$B:$B,0)),IFERROR(INDEX('Catalog'!$A:$A,MATCH(TRIM(SUBSTITUTE($B4375,CHAR(160)," ")),'Catalog'!$C:$C,0)),""))))</f>
        <v>4408267</v>
      </c>
      <c r="H4375" s="8" t="str">
        <f aca="false">IFERROR(INDEX('TRANS'!$C:$C,MATCH($B4375,'TRANS'!$A:$A,0)),IFERROR(INDEX('Catalog'!$B:$B,MATCH($G4375,'Catalog'!$A:$A,0)),$B4375))</f>
        <v>ST25 חבק שורש לכף היד</v>
      </c>
      <c r="I4375" s="8" t="str">
        <f aca="false">IF($G4375="","Unmatched","Matched")</f>
        <v>Matched</v>
      </c>
    </row>
    <row r="4376" customFormat="false" ht="15" hidden="false" customHeight="false" outlineLevel="0" collapsed="false">
      <c r="A4376" s="8" t="s">
        <v>1092</v>
      </c>
      <c r="B4376" s="8" t="s">
        <v>532</v>
      </c>
      <c r="C4376" s="19" t="n">
        <v>40</v>
      </c>
      <c r="D4376" s="19" t="n">
        <v>744.59</v>
      </c>
      <c r="E4376" s="19" t="n">
        <v>10</v>
      </c>
      <c r="F4376" s="19" t="n">
        <v>162.57</v>
      </c>
      <c r="G4376" s="8" t="str">
        <f aca="false">IFERROR(INDEX('TRANS'!$B:$B,MATCH($B4376,'TRANS'!$A:$A,0)),IFERROR(INDEX('TRANS'!$B:$B,MATCH(TRIM(SUBSTITUTE($B4376,CHAR(160)," ")),'TRANS'!$D:$D,0)),IFERROR(INDEX('Catalog'!$A:$A,MATCH($B4376,'Catalog'!$B:$B,0)),IFERROR(INDEX('Catalog'!$A:$A,MATCH(TRIM(SUBSTITUTE($B4376,CHAR(160)," ")),'Catalog'!$C:$C,0)),""))))</f>
        <v/>
      </c>
      <c r="H4376" s="8" t="str">
        <f aca="false">IFERROR(INDEX('TRANS'!$C:$C,MATCH($B4376,'TRANS'!$A:$A,0)),IFERROR(INDEX('Catalog'!$B:$B,MATCH($G4376,'Catalog'!$A:$A,0)),$B4376))</f>
        <v>ST27L 0</v>
      </c>
      <c r="I4376" s="8" t="str">
        <f aca="false">IF($G4376="","Unmatched","Matched")</f>
        <v>Unmatched</v>
      </c>
    </row>
    <row r="4377" customFormat="false" ht="15" hidden="false" customHeight="false" outlineLevel="0" collapsed="false">
      <c r="A4377" s="8" t="s">
        <v>1092</v>
      </c>
      <c r="B4377" s="8" t="s">
        <v>533</v>
      </c>
      <c r="C4377" s="19" t="n">
        <v>40</v>
      </c>
      <c r="D4377" s="19" t="n">
        <v>780.98</v>
      </c>
      <c r="E4377" s="19" t="n">
        <v>22</v>
      </c>
      <c r="F4377" s="19" t="n">
        <v>357.65</v>
      </c>
      <c r="G4377" s="8" t="str">
        <f aca="false">IFERROR(INDEX('TRANS'!$B:$B,MATCH($B4377,'TRANS'!$A:$A,0)),IFERROR(INDEX('TRANS'!$B:$B,MATCH(TRIM(SUBSTITUTE($B4377,CHAR(160)," ")),'TRANS'!$D:$D,0)),IFERROR(INDEX('Catalog'!$A:$A,MATCH($B4377,'Catalog'!$B:$B,0)),IFERROR(INDEX('Catalog'!$A:$A,MATCH(TRIM(SUBSTITUTE($B4377,CHAR(160)," ")),'Catalog'!$C:$C,0)),""))))</f>
        <v/>
      </c>
      <c r="H4377" s="8" t="str">
        <f aca="false">IFERROR(INDEX('TRANS'!$C:$C,MATCH($B4377,'TRANS'!$A:$A,0)),IFERROR(INDEX('Catalog'!$B:$B,MATCH($G4377,'Catalog'!$A:$A,0)),$B4377))</f>
        <v>ST27R 0</v>
      </c>
      <c r="I4377" s="8" t="str">
        <f aca="false">IF($G4377="","Unmatched","Matched")</f>
        <v>Unmatched</v>
      </c>
    </row>
    <row r="4378" customFormat="false" ht="15" hidden="false" customHeight="false" outlineLevel="0" collapsed="false">
      <c r="A4378" s="8" t="s">
        <v>1092</v>
      </c>
      <c r="B4378" s="8" t="s">
        <v>534</v>
      </c>
      <c r="C4378" s="19" t="n">
        <v>30</v>
      </c>
      <c r="D4378" s="19" t="n">
        <v>511.47</v>
      </c>
      <c r="E4378" s="19" t="n">
        <v>50</v>
      </c>
      <c r="F4378" s="19" t="n">
        <v>783.9</v>
      </c>
      <c r="G4378" s="8" t="n">
        <f aca="false">IFERROR(INDEX('TRANS'!$B:$B,MATCH($B4378,'TRANS'!$A:$A,0)),IFERROR(INDEX('TRANS'!$B:$B,MATCH(TRIM(SUBSTITUTE($B4378,CHAR(160)," ")),'TRANS'!$D:$D,0)),IFERROR(INDEX('Catalog'!$A:$A,MATCH($B4378,'Catalog'!$B:$B,0)),IFERROR(INDEX('Catalog'!$A:$A,MATCH(TRIM(SUBSTITUTE($B4378,CHAR(160)," ")),'Catalog'!$C:$C,0)),""))))</f>
        <v>4415177</v>
      </c>
      <c r="H4378" s="8" t="str">
        <f aca="false">IFERROR(INDEX('TRANS'!$C:$C,MATCH($B4378,'TRANS'!$A:$A,0)),IFERROR(INDEX('Catalog'!$B:$B,MATCH($G4378,'Catalog'!$A:$A,0)),$B4378))</f>
        <v>ST28 סד אגודלי עם מוט תמיכה</v>
      </c>
      <c r="I4378" s="8" t="str">
        <f aca="false">IF($G4378="","Unmatched","Matched")</f>
        <v>Matched</v>
      </c>
    </row>
    <row r="4379" customFormat="false" ht="15" hidden="false" customHeight="false" outlineLevel="0" collapsed="false">
      <c r="A4379" s="8" t="s">
        <v>1092</v>
      </c>
      <c r="B4379" s="8" t="s">
        <v>535</v>
      </c>
      <c r="C4379" s="19" t="n">
        <v>30</v>
      </c>
      <c r="D4379" s="19" t="n">
        <v>505.71</v>
      </c>
      <c r="E4379" s="19" t="n">
        <v>30</v>
      </c>
      <c r="F4379" s="19" t="n">
        <v>462.84</v>
      </c>
      <c r="G4379" s="8" t="n">
        <f aca="false">IFERROR(INDEX('TRANS'!$B:$B,MATCH($B4379,'TRANS'!$A:$A,0)),IFERROR(INDEX('TRANS'!$B:$B,MATCH(TRIM(SUBSTITUTE($B4379,CHAR(160)," ")),'TRANS'!$D:$D,0)),IFERROR(INDEX('Catalog'!$A:$A,MATCH($B4379,'Catalog'!$B:$B,0)),IFERROR(INDEX('Catalog'!$A:$A,MATCH(TRIM(SUBSTITUTE($B4379,CHAR(160)," ")),'Catalog'!$C:$C,0)),""))))</f>
        <v>4408269</v>
      </c>
      <c r="H4379" s="8" t="str">
        <f aca="false">IFERROR(INDEX('TRANS'!$C:$C,MATCH($B4379,'TRANS'!$A:$A,0)),IFERROR(INDEX('Catalog'!$B:$B,MATCH($G4379,'Catalog'!$A:$A,0)),$B4379))</f>
        <v>ST37 חבק לקרסול</v>
      </c>
      <c r="I4379" s="8" t="str">
        <f aca="false">IF($G4379="","Unmatched","Matched")</f>
        <v>Matched</v>
      </c>
    </row>
    <row r="4380" customFormat="false" ht="15" hidden="false" customHeight="false" outlineLevel="0" collapsed="false">
      <c r="A4380" s="8" t="s">
        <v>1092</v>
      </c>
      <c r="B4380" s="8" t="s">
        <v>569</v>
      </c>
      <c r="C4380" s="19" t="n">
        <v>50</v>
      </c>
      <c r="D4380" s="19" t="n">
        <v>940.21</v>
      </c>
      <c r="E4380" s="19" t="n">
        <v>30</v>
      </c>
      <c r="F4380" s="19" t="n">
        <v>527.77</v>
      </c>
      <c r="G4380" s="8" t="str">
        <f aca="false">IFERROR(INDEX('TRANS'!$B:$B,MATCH($B4380,'TRANS'!$A:$A,0)),IFERROR(INDEX('TRANS'!$B:$B,MATCH(TRIM(SUBSTITUTE($B4380,CHAR(160)," ")),'TRANS'!$D:$D,0)),IFERROR(INDEX('Catalog'!$A:$A,MATCH($B4380,'Catalog'!$B:$B,0)),IFERROR(INDEX('Catalog'!$A:$A,MATCH(TRIM(SUBSTITUTE($B4380,CHAR(160)," ")),'Catalog'!$C:$C,0)),""))))</f>
        <v/>
      </c>
      <c r="H4380" s="8" t="str">
        <f aca="false">IFERROR(INDEX('TRANS'!$C:$C,MATCH($B4380,'TRANS'!$A:$A,0)),IFERROR(INDEX('Catalog'!$B:$B,MATCH($G4380,'Catalog'!$A:$A,0)),$B4380))</f>
        <v>ST45X 0</v>
      </c>
      <c r="I4380" s="8" t="str">
        <f aca="false">IF($G4380="","Unmatched","Matched")</f>
        <v>Unmatched</v>
      </c>
    </row>
    <row r="4381" customFormat="false" ht="15" hidden="false" customHeight="false" outlineLevel="0" collapsed="false">
      <c r="A4381" s="8" t="s">
        <v>1092</v>
      </c>
      <c r="B4381" s="8" t="s">
        <v>539</v>
      </c>
      <c r="C4381" s="19" t="n">
        <v>10</v>
      </c>
      <c r="D4381" s="19" t="n">
        <v>196.56</v>
      </c>
      <c r="E4381" s="19" t="n">
        <v>0</v>
      </c>
      <c r="F4381" s="19" t="n">
        <v>0</v>
      </c>
      <c r="G4381" s="8" t="n">
        <f aca="false">IFERROR(INDEX('TRANS'!$B:$B,MATCH($B4381,'TRANS'!$A:$A,0)),IFERROR(INDEX('TRANS'!$B:$B,MATCH(TRIM(SUBSTITUTE($B4381,CHAR(160)," ")),'TRANS'!$D:$D,0)),IFERROR(INDEX('Catalog'!$A:$A,MATCH($B4381,'Catalog'!$B:$B,0)),IFERROR(INDEX('Catalog'!$A:$A,MATCH(TRIM(SUBSTITUTE($B4381,CHAR(160)," ")),'Catalog'!$C:$C,0)),""))))</f>
        <v>4413533</v>
      </c>
      <c r="H4381" s="8" t="str">
        <f aca="false">IFERROR(INDEX('TRANS'!$C:$C,MATCH($B4381,'TRANS'!$A:$A,0)),IFERROR(INDEX('Catalog'!$B:$B,MATCH($G4381,'Catalog'!$A:$A,0)),$B4381))</f>
        <v>ST49 מגן ירך</v>
      </c>
      <c r="I4381" s="8" t="str">
        <f aca="false">IF($G4381="","Unmatched","Matched")</f>
        <v>Matched</v>
      </c>
    </row>
    <row r="4382" customFormat="false" ht="15" hidden="false" customHeight="false" outlineLevel="0" collapsed="false">
      <c r="A4382" s="8" t="s">
        <v>1092</v>
      </c>
      <c r="B4382" s="8" t="s">
        <v>540</v>
      </c>
      <c r="C4382" s="19" t="n">
        <v>30</v>
      </c>
      <c r="D4382" s="19" t="n">
        <v>533.23</v>
      </c>
      <c r="E4382" s="19" t="n">
        <v>10</v>
      </c>
      <c r="F4382" s="19" t="n">
        <v>156.15</v>
      </c>
      <c r="G4382" s="8" t="n">
        <f aca="false">IFERROR(INDEX('TRANS'!$B:$B,MATCH($B4382,'TRANS'!$A:$A,0)),IFERROR(INDEX('TRANS'!$B:$B,MATCH(TRIM(SUBSTITUTE($B4382,CHAR(160)," ")),'TRANS'!$D:$D,0)),IFERROR(INDEX('Catalog'!$A:$A,MATCH($B4382,'Catalog'!$B:$B,0)),IFERROR(INDEX('Catalog'!$A:$A,MATCH(TRIM(SUBSTITUTE($B4382,CHAR(160)," ")),'Catalog'!$C:$C,0)),""))))</f>
        <v>4413531</v>
      </c>
      <c r="H4382" s="8" t="str">
        <f aca="false">IFERROR(INDEX('TRANS'!$C:$C,MATCH($B4382,'TRANS'!$A:$A,0)),IFERROR(INDEX('Catalog'!$B:$B,MATCH($G4382,'Catalog'!$A:$A,0)),$B4382))</f>
        <v>ST91 מגן מרפק לטניס</v>
      </c>
      <c r="I4382" s="8" t="str">
        <f aca="false">IF($G4382="","Unmatched","Matched")</f>
        <v>Matched</v>
      </c>
    </row>
    <row r="4383" customFormat="false" ht="15" hidden="false" customHeight="false" outlineLevel="0" collapsed="false">
      <c r="A4383" s="8" t="s">
        <v>1092</v>
      </c>
      <c r="B4383" s="8" t="s">
        <v>1055</v>
      </c>
      <c r="C4383" s="19" t="n">
        <v>10</v>
      </c>
      <c r="D4383" s="19" t="n">
        <v>206.45</v>
      </c>
      <c r="E4383" s="19" t="n">
        <v>20</v>
      </c>
      <c r="F4383" s="19" t="n">
        <v>389.47</v>
      </c>
      <c r="G4383" s="8" t="str">
        <f aca="false">IFERROR(INDEX('TRANS'!$B:$B,MATCH($B4383,'TRANS'!$A:$A,0)),IFERROR(INDEX('TRANS'!$B:$B,MATCH(TRIM(SUBSTITUTE($B4383,CHAR(160)," ")),'TRANS'!$D:$D,0)),IFERROR(INDEX('Catalog'!$A:$A,MATCH($B4383,'Catalog'!$B:$B,0)),IFERROR(INDEX('Catalog'!$A:$A,MATCH(TRIM(SUBSTITUTE($B4383,CHAR(160)," ")),'Catalog'!$C:$C,0)),""))))</f>
        <v/>
      </c>
      <c r="H4383" s="8" t="str">
        <f aca="false">IFERROR(INDEX('TRANS'!$C:$C,MATCH($B4383,'TRANS'!$A:$A,0)),IFERROR(INDEX('Catalog'!$B:$B,MATCH($G4383,'Catalog'!$A:$A,0)),$B4383))</f>
        <v>ST95 0</v>
      </c>
      <c r="I4383" s="8" t="str">
        <f aca="false">IF($G4383="","Unmatched","Matched")</f>
        <v>Unmatched</v>
      </c>
    </row>
    <row r="4384" customFormat="false" ht="15" hidden="false" customHeight="false" outlineLevel="0" collapsed="false">
      <c r="A4384" s="8" t="s">
        <v>1092</v>
      </c>
      <c r="B4384" s="8" t="s">
        <v>542</v>
      </c>
      <c r="C4384" s="19" t="n">
        <v>0</v>
      </c>
      <c r="D4384" s="19" t="n">
        <v>0</v>
      </c>
      <c r="E4384" s="19" t="n">
        <v>3</v>
      </c>
      <c r="F4384" s="19" t="n">
        <v>59.55</v>
      </c>
      <c r="G4384" s="8" t="n">
        <f aca="false">IFERROR(INDEX('TRANS'!$B:$B,MATCH($B4384,'TRANS'!$A:$A,0)),IFERROR(INDEX('TRANS'!$B:$B,MATCH(TRIM(SUBSTITUTE($B4384,CHAR(160)," ")),'TRANS'!$D:$D,0)),IFERROR(INDEX('Catalog'!$A:$A,MATCH($B4384,'Catalog'!$B:$B,0)),IFERROR(INDEX('Catalog'!$A:$A,MATCH(TRIM(SUBSTITUTE($B4384,CHAR(160)," ")),'Catalog'!$C:$C,0)),""))))</f>
        <v>4408099</v>
      </c>
      <c r="H4384" s="8" t="str">
        <f aca="false">IFERROR(INDEX('TRANS'!$C:$C,MATCH($B4384,'TRANS'!$A:$A,0)),IFERROR(INDEX('Catalog'!$B:$B,MATCH($G4384,'Catalog'!$A:$A,0)),$B4384))</f>
        <v>T25C-חבק יד אגודלי</v>
      </c>
      <c r="I4384" s="8" t="str">
        <f aca="false">IF($G4384="","Unmatched","Matched")</f>
        <v>Matched</v>
      </c>
    </row>
    <row r="4385" customFormat="false" ht="15" hidden="false" customHeight="false" outlineLevel="0" collapsed="false">
      <c r="A4385" s="8" t="s">
        <v>1092</v>
      </c>
      <c r="B4385" s="8" t="s">
        <v>332</v>
      </c>
      <c r="C4385" s="19" t="n">
        <v>0</v>
      </c>
      <c r="D4385" s="19" t="n">
        <v>0</v>
      </c>
      <c r="E4385" s="19" t="n">
        <v>12</v>
      </c>
      <c r="F4385" s="19" t="n">
        <v>890.63</v>
      </c>
      <c r="G4385" s="8" t="n">
        <f aca="false">IFERROR(INDEX('TRANS'!$B:$B,MATCH($B4385,'TRANS'!$A:$A,0)),IFERROR(INDEX('TRANS'!$B:$B,MATCH(TRIM(SUBSTITUTE($B4385,CHAR(160)," ")),'TRANS'!$D:$D,0)),IFERROR(INDEX('Catalog'!$A:$A,MATCH($B4385,'Catalog'!$B:$B,0)),IFERROR(INDEX('Catalog'!$A:$A,MATCH(TRIM(SUBSTITUTE($B4385,CHAR(160)," ")),'Catalog'!$C:$C,0)),""))))</f>
        <v>4422006</v>
      </c>
      <c r="H4385" s="8" t="str">
        <f aca="false">IFERROR(INDEX('TRANS'!$C:$C,MATCH($B4385,'TRANS'!$A:$A,0)),IFERROR(INDEX('Catalog'!$B:$B,MATCH($G4385,'Catalog'!$A:$A,0)),$B4385))</f>
        <v>T78 L תומך זרוע וכתף</v>
      </c>
      <c r="I4385" s="8" t="str">
        <f aca="false">IF($G4385="","Unmatched","Matched")</f>
        <v>Matched</v>
      </c>
    </row>
    <row r="4386" customFormat="false" ht="15" hidden="false" customHeight="false" outlineLevel="0" collapsed="false">
      <c r="A4386" s="8" t="s">
        <v>1092</v>
      </c>
      <c r="B4386" s="8" t="s">
        <v>452</v>
      </c>
      <c r="C4386" s="19" t="n">
        <v>0</v>
      </c>
      <c r="D4386" s="19" t="n">
        <v>0</v>
      </c>
      <c r="E4386" s="19" t="n">
        <v>4</v>
      </c>
      <c r="F4386" s="19" t="n">
        <v>276.54</v>
      </c>
      <c r="G4386" s="8" t="n">
        <f aca="false">IFERROR(INDEX('TRANS'!$B:$B,MATCH($B4386,'TRANS'!$A:$A,0)),IFERROR(INDEX('TRANS'!$B:$B,MATCH(TRIM(SUBSTITUTE($B4386,CHAR(160)," ")),'TRANS'!$D:$D,0)),IFERROR(INDEX('Catalog'!$A:$A,MATCH($B4386,'Catalog'!$B:$B,0)),IFERROR(INDEX('Catalog'!$A:$A,MATCH(TRIM(SUBSTITUTE($B4386,CHAR(160)," ")),'Catalog'!$C:$C,0)),""))))</f>
        <v>4422005</v>
      </c>
      <c r="H4386" s="8" t="str">
        <f aca="false">IFERROR(INDEX('TRANS'!$C:$C,MATCH($B4386,'TRANS'!$A:$A,0)),IFERROR(INDEX('Catalog'!$B:$B,MATCH($G4386,'Catalog'!$A:$A,0)),$B4386))</f>
        <v>T78 M תומך זרוע וכתף</v>
      </c>
      <c r="I4386" s="8" t="str">
        <f aca="false">IF($G4386="","Unmatched","Matched")</f>
        <v>Matched</v>
      </c>
    </row>
    <row r="4387" customFormat="false" ht="15" hidden="false" customHeight="false" outlineLevel="0" collapsed="false">
      <c r="A4387" s="8" t="s">
        <v>1092</v>
      </c>
      <c r="B4387" s="8" t="s">
        <v>632</v>
      </c>
      <c r="C4387" s="19" t="n">
        <v>0</v>
      </c>
      <c r="D4387" s="19" t="n">
        <v>0</v>
      </c>
      <c r="E4387" s="19" t="n">
        <v>12</v>
      </c>
      <c r="F4387" s="19" t="n">
        <v>890.63</v>
      </c>
      <c r="G4387" s="8" t="n">
        <f aca="false">IFERROR(INDEX('TRANS'!$B:$B,MATCH($B4387,'TRANS'!$A:$A,0)),IFERROR(INDEX('TRANS'!$B:$B,MATCH(TRIM(SUBSTITUTE($B4387,CHAR(160)," ")),'TRANS'!$D:$D,0)),IFERROR(INDEX('Catalog'!$A:$A,MATCH($B4387,'Catalog'!$B:$B,0)),IFERROR(INDEX('Catalog'!$A:$A,MATCH(TRIM(SUBSTITUTE($B4387,CHAR(160)," ")),'Catalog'!$C:$C,0)),""))))</f>
        <v>4422007</v>
      </c>
      <c r="H4387" s="8" t="str">
        <f aca="false">IFERROR(INDEX('TRANS'!$C:$C,MATCH($B4387,'TRANS'!$A:$A,0)),IFERROR(INDEX('Catalog'!$B:$B,MATCH($G4387,'Catalog'!$A:$A,0)),$B4387))</f>
        <v>T78 XLתומך זרוע וכתף</v>
      </c>
      <c r="I4387" s="8" t="str">
        <f aca="false">IF($G4387="","Unmatched","Matched")</f>
        <v>Matched</v>
      </c>
    </row>
    <row r="4388" customFormat="false" ht="15" hidden="false" customHeight="false" outlineLevel="0" collapsed="false">
      <c r="A4388" s="8" t="s">
        <v>1092</v>
      </c>
      <c r="B4388" s="8" t="s">
        <v>612</v>
      </c>
      <c r="C4388" s="19" t="n">
        <v>0</v>
      </c>
      <c r="D4388" s="19" t="n">
        <v>0</v>
      </c>
      <c r="E4388" s="19" t="n">
        <v>6</v>
      </c>
      <c r="F4388" s="19" t="n">
        <v>445.31</v>
      </c>
      <c r="G4388" s="8" t="n">
        <f aca="false">IFERROR(INDEX('TRANS'!$B:$B,MATCH($B4388,'TRANS'!$A:$A,0)),IFERROR(INDEX('TRANS'!$B:$B,MATCH(TRIM(SUBSTITUTE($B4388,CHAR(160)," ")),'TRANS'!$D:$D,0)),IFERROR(INDEX('Catalog'!$A:$A,MATCH($B4388,'Catalog'!$B:$B,0)),IFERROR(INDEX('Catalog'!$A:$A,MATCH(TRIM(SUBSTITUTE($B4388,CHAR(160)," ")),'Catalog'!$C:$C,0)),""))))</f>
        <v>4422009</v>
      </c>
      <c r="H4388" s="8" t="str">
        <f aca="false">IFERROR(INDEX('TRANS'!$C:$C,MATCH($B4388,'TRANS'!$A:$A,0)),IFERROR(INDEX('Catalog'!$B:$B,MATCH($G4388,'Catalog'!$A:$A,0)),$B4388))</f>
        <v>T78 XXL תומך זרוע וכתף</v>
      </c>
      <c r="I4388" s="8" t="str">
        <f aca="false">IF($G4388="","Unmatched","Matched")</f>
        <v>Matched</v>
      </c>
    </row>
    <row r="4389" customFormat="false" ht="15" hidden="false" customHeight="false" outlineLevel="0" collapsed="false">
      <c r="A4389" s="8" t="s">
        <v>1094</v>
      </c>
      <c r="B4389" s="8" t="s">
        <v>1095</v>
      </c>
      <c r="C4389" s="19" t="n">
        <v>12</v>
      </c>
      <c r="D4389" s="19" t="n">
        <v>1081.78</v>
      </c>
      <c r="E4389" s="19" t="n">
        <v>0</v>
      </c>
      <c r="F4389" s="19" t="n">
        <v>0</v>
      </c>
      <c r="G4389" s="8" t="str">
        <f aca="false">IFERROR(INDEX('TRANS'!$B:$B,MATCH($B4389,'TRANS'!$A:$A,0)),IFERROR(INDEX('TRANS'!$B:$B,MATCH(TRIM(SUBSTITUTE($B4389,CHAR(160)," ")),'TRANS'!$D:$D,0)),IFERROR(INDEX('Catalog'!$A:$A,MATCH($B4389,'Catalog'!$B:$B,0)),IFERROR(INDEX('Catalog'!$A:$A,MATCH(TRIM(SUBSTITUTE($B4389,CHAR(160)," ")),'Catalog'!$C:$C,0)),""))))</f>
        <v/>
      </c>
      <c r="H4389" s="8" t="str">
        <f aca="false">IFERROR(INDEX('TRANS'!$C:$C,MATCH($B4389,'TRANS'!$A:$A,0)),IFERROR(INDEX('Catalog'!$B:$B,MATCH($G4389,'Catalog'!$A:$A,0)),$B4389))</f>
        <v>EC-078 L</v>
      </c>
      <c r="I4389" s="8" t="str">
        <f aca="false">IF($G4389="","Unmatched","Matched")</f>
        <v>Unmatched</v>
      </c>
    </row>
    <row r="4390" customFormat="false" ht="15" hidden="false" customHeight="false" outlineLevel="0" collapsed="false">
      <c r="A4390" s="8" t="s">
        <v>1094</v>
      </c>
      <c r="B4390" s="8" t="s">
        <v>1096</v>
      </c>
      <c r="C4390" s="19" t="n">
        <v>15</v>
      </c>
      <c r="D4390" s="19" t="n">
        <v>1249.35</v>
      </c>
      <c r="E4390" s="19" t="n">
        <v>0</v>
      </c>
      <c r="F4390" s="19" t="n">
        <v>0</v>
      </c>
      <c r="G4390" s="8" t="str">
        <f aca="false">IFERROR(INDEX('TRANS'!$B:$B,MATCH($B4390,'TRANS'!$A:$A,0)),IFERROR(INDEX('TRANS'!$B:$B,MATCH(TRIM(SUBSTITUTE($B4390,CHAR(160)," ")),'TRANS'!$D:$D,0)),IFERROR(INDEX('Catalog'!$A:$A,MATCH($B4390,'Catalog'!$B:$B,0)),IFERROR(INDEX('Catalog'!$A:$A,MATCH(TRIM(SUBSTITUTE($B4390,CHAR(160)," ")),'Catalog'!$C:$C,0)),""))))</f>
        <v/>
      </c>
      <c r="H4390" s="8" t="str">
        <f aca="false">IFERROR(INDEX('TRANS'!$C:$C,MATCH($B4390,'TRANS'!$A:$A,0)),IFERROR(INDEX('Catalog'!$B:$B,MATCH($G4390,'Catalog'!$A:$A,0)),$B4390))</f>
        <v>EC-078 M</v>
      </c>
      <c r="I4390" s="8" t="str">
        <f aca="false">IF($G4390="","Unmatched","Matched")</f>
        <v>Unmatched</v>
      </c>
    </row>
    <row r="4391" customFormat="false" ht="15" hidden="false" customHeight="false" outlineLevel="0" collapsed="false">
      <c r="A4391" s="8" t="s">
        <v>1094</v>
      </c>
      <c r="B4391" s="8" t="s">
        <v>1097</v>
      </c>
      <c r="C4391" s="19" t="n">
        <v>2</v>
      </c>
      <c r="D4391" s="19" t="n">
        <v>174.75</v>
      </c>
      <c r="E4391" s="19" t="n">
        <v>0</v>
      </c>
      <c r="F4391" s="19" t="n">
        <v>0</v>
      </c>
      <c r="G4391" s="8" t="str">
        <f aca="false">IFERROR(INDEX('TRANS'!$B:$B,MATCH($B4391,'TRANS'!$A:$A,0)),IFERROR(INDEX('TRANS'!$B:$B,MATCH(TRIM(SUBSTITUTE($B4391,CHAR(160)," ")),'TRANS'!$D:$D,0)),IFERROR(INDEX('Catalog'!$A:$A,MATCH($B4391,'Catalog'!$B:$B,0)),IFERROR(INDEX('Catalog'!$A:$A,MATCH(TRIM(SUBSTITUTE($B4391,CHAR(160)," ")),'Catalog'!$C:$C,0)),""))))</f>
        <v/>
      </c>
      <c r="H4391" s="8" t="str">
        <f aca="false">IFERROR(INDEX('TRANS'!$C:$C,MATCH($B4391,'TRANS'!$A:$A,0)),IFERROR(INDEX('Catalog'!$B:$B,MATCH($G4391,'Catalog'!$A:$A,0)),$B4391))</f>
        <v>EC-078 XL</v>
      </c>
      <c r="I4391" s="8" t="str">
        <f aca="false">IF($G4391="","Unmatched","Matched")</f>
        <v>Unmatched</v>
      </c>
    </row>
    <row r="4392" customFormat="false" ht="15" hidden="false" customHeight="false" outlineLevel="0" collapsed="false">
      <c r="A4392" s="8" t="s">
        <v>1094</v>
      </c>
      <c r="B4392" s="8" t="s">
        <v>1098</v>
      </c>
      <c r="C4392" s="19" t="n">
        <v>6</v>
      </c>
      <c r="D4392" s="19" t="n">
        <v>496.79</v>
      </c>
      <c r="E4392" s="19" t="n">
        <v>0</v>
      </c>
      <c r="F4392" s="19" t="n">
        <v>0</v>
      </c>
      <c r="G4392" s="8" t="str">
        <f aca="false">IFERROR(INDEX('TRANS'!$B:$B,MATCH($B4392,'TRANS'!$A:$A,0)),IFERROR(INDEX('TRANS'!$B:$B,MATCH(TRIM(SUBSTITUTE($B4392,CHAR(160)," ")),'TRANS'!$D:$D,0)),IFERROR(INDEX('Catalog'!$A:$A,MATCH($B4392,'Catalog'!$B:$B,0)),IFERROR(INDEX('Catalog'!$A:$A,MATCH(TRIM(SUBSTITUTE($B4392,CHAR(160)," ")),'Catalog'!$C:$C,0)),""))))</f>
        <v/>
      </c>
      <c r="H4392" s="8" t="str">
        <f aca="false">IFERROR(INDEX('TRANS'!$C:$C,MATCH($B4392,'TRANS'!$A:$A,0)),IFERROR(INDEX('Catalog'!$B:$B,MATCH($G4392,'Catalog'!$A:$A,0)),$B4392))</f>
        <v>EC-078 XXL</v>
      </c>
      <c r="I4392" s="8" t="str">
        <f aca="false">IF($G4392="","Unmatched","Matched")</f>
        <v>Unmatched</v>
      </c>
    </row>
    <row r="4393" customFormat="false" ht="15" hidden="false" customHeight="false" outlineLevel="0" collapsed="false">
      <c r="A4393" s="8" t="s">
        <v>1094</v>
      </c>
      <c r="B4393" s="8" t="s">
        <v>1099</v>
      </c>
      <c r="C4393" s="19" t="n">
        <v>71</v>
      </c>
      <c r="D4393" s="19" t="n">
        <v>9834.5</v>
      </c>
      <c r="E4393" s="19" t="n">
        <v>0</v>
      </c>
      <c r="F4393" s="19" t="n">
        <v>0</v>
      </c>
      <c r="G4393" s="8" t="str">
        <f aca="false">IFERROR(INDEX('TRANS'!$B:$B,MATCH($B4393,'TRANS'!$A:$A,0)),IFERROR(INDEX('TRANS'!$B:$B,MATCH(TRIM(SUBSTITUTE($B4393,CHAR(160)," ")),'TRANS'!$D:$D,0)),IFERROR(INDEX('Catalog'!$A:$A,MATCH($B4393,'Catalog'!$B:$B,0)),IFERROR(INDEX('Catalog'!$A:$A,MATCH(TRIM(SUBSTITUTE($B4393,CHAR(160)," ")),'Catalog'!$C:$C,0)),""))))</f>
        <v/>
      </c>
      <c r="H4393" s="8" t="str">
        <f aca="false">IFERROR(INDEX('TRANS'!$C:$C,MATCH($B4393,'TRANS'!$A:$A,0)),IFERROR(INDEX('Catalog'!$B:$B,MATCH($G4393,'Catalog'!$A:$A,0)),$B4393))</f>
        <v>EC-11NOR L</v>
      </c>
      <c r="I4393" s="8" t="str">
        <f aca="false">IF($G4393="","Unmatched","Matched")</f>
        <v>Unmatched</v>
      </c>
    </row>
    <row r="4394" customFormat="false" ht="15" hidden="false" customHeight="false" outlineLevel="0" collapsed="false">
      <c r="A4394" s="8" t="s">
        <v>1094</v>
      </c>
      <c r="B4394" s="8" t="s">
        <v>1100</v>
      </c>
      <c r="C4394" s="19" t="n">
        <v>21</v>
      </c>
      <c r="D4394" s="19" t="n">
        <v>2976.17</v>
      </c>
      <c r="E4394" s="19" t="n">
        <v>0</v>
      </c>
      <c r="F4394" s="19" t="n">
        <v>0</v>
      </c>
      <c r="G4394" s="8" t="str">
        <f aca="false">IFERROR(INDEX('TRANS'!$B:$B,MATCH($B4394,'TRANS'!$A:$A,0)),IFERROR(INDEX('TRANS'!$B:$B,MATCH(TRIM(SUBSTITUTE($B4394,CHAR(160)," ")),'TRANS'!$D:$D,0)),IFERROR(INDEX('Catalog'!$A:$A,MATCH($B4394,'Catalog'!$B:$B,0)),IFERROR(INDEX('Catalog'!$A:$A,MATCH(TRIM(SUBSTITUTE($B4394,CHAR(160)," ")),'Catalog'!$C:$C,0)),""))))</f>
        <v/>
      </c>
      <c r="H4394" s="8" t="str">
        <f aca="false">IFERROR(INDEX('TRANS'!$C:$C,MATCH($B4394,'TRANS'!$A:$A,0)),IFERROR(INDEX('Catalog'!$B:$B,MATCH($G4394,'Catalog'!$A:$A,0)),$B4394))</f>
        <v>EC-11NOR M</v>
      </c>
      <c r="I4394" s="8" t="str">
        <f aca="false">IF($G4394="","Unmatched","Matched")</f>
        <v>Unmatched</v>
      </c>
    </row>
    <row r="4395" customFormat="false" ht="15" hidden="false" customHeight="false" outlineLevel="0" collapsed="false">
      <c r="A4395" s="8" t="s">
        <v>1094</v>
      </c>
      <c r="B4395" s="8" t="s">
        <v>1101</v>
      </c>
      <c r="C4395" s="19" t="n">
        <v>11</v>
      </c>
      <c r="D4395" s="19" t="n">
        <v>1276.45</v>
      </c>
      <c r="E4395" s="19" t="n">
        <v>0</v>
      </c>
      <c r="F4395" s="19" t="n">
        <v>0</v>
      </c>
      <c r="G4395" s="8" t="str">
        <f aca="false">IFERROR(INDEX('TRANS'!$B:$B,MATCH($B4395,'TRANS'!$A:$A,0)),IFERROR(INDEX('TRANS'!$B:$B,MATCH(TRIM(SUBSTITUTE($B4395,CHAR(160)," ")),'TRANS'!$D:$D,0)),IFERROR(INDEX('Catalog'!$A:$A,MATCH($B4395,'Catalog'!$B:$B,0)),IFERROR(INDEX('Catalog'!$A:$A,MATCH(TRIM(SUBSTITUTE($B4395,CHAR(160)," ")),'Catalog'!$C:$C,0)),""))))</f>
        <v/>
      </c>
      <c r="H4395" s="8" t="str">
        <f aca="false">IFERROR(INDEX('TRANS'!$C:$C,MATCH($B4395,'TRANS'!$A:$A,0)),IFERROR(INDEX('Catalog'!$B:$B,MATCH($G4395,'Catalog'!$A:$A,0)),$B4395))</f>
        <v>EC-11NOR S</v>
      </c>
      <c r="I4395" s="8" t="str">
        <f aca="false">IF($G4395="","Unmatched","Matched")</f>
        <v>Unmatched</v>
      </c>
    </row>
    <row r="4396" customFormat="false" ht="15" hidden="false" customHeight="false" outlineLevel="0" collapsed="false">
      <c r="A4396" s="8" t="s">
        <v>1094</v>
      </c>
      <c r="B4396" s="8" t="s">
        <v>1102</v>
      </c>
      <c r="C4396" s="19" t="n">
        <v>191</v>
      </c>
      <c r="D4396" s="19" t="n">
        <v>26070.58</v>
      </c>
      <c r="E4396" s="19" t="n">
        <v>65</v>
      </c>
      <c r="F4396" s="19" t="n">
        <v>8137.95</v>
      </c>
      <c r="G4396" s="8" t="str">
        <f aca="false">IFERROR(INDEX('TRANS'!$B:$B,MATCH($B4396,'TRANS'!$A:$A,0)),IFERROR(INDEX('TRANS'!$B:$B,MATCH(TRIM(SUBSTITUTE($B4396,CHAR(160)," ")),'TRANS'!$D:$D,0)),IFERROR(INDEX('Catalog'!$A:$A,MATCH($B4396,'Catalog'!$B:$B,0)),IFERROR(INDEX('Catalog'!$A:$A,MATCH(TRIM(SUBSTITUTE($B4396,CHAR(160)," ")),'Catalog'!$C:$C,0)),""))))</f>
        <v/>
      </c>
      <c r="H4396" s="8" t="str">
        <f aca="false">IFERROR(INDEX('TRANS'!$C:$C,MATCH($B4396,'TRANS'!$A:$A,0)),IFERROR(INDEX('Catalog'!$B:$B,MATCH($G4396,'Catalog'!$A:$A,0)),$B4396))</f>
        <v>EC-11NOR XL</v>
      </c>
      <c r="I4396" s="8" t="str">
        <f aca="false">IF($G4396="","Unmatched","Matched")</f>
        <v>Unmatched</v>
      </c>
    </row>
    <row r="4397" customFormat="false" ht="15" hidden="false" customHeight="false" outlineLevel="0" collapsed="false">
      <c r="A4397" s="8" t="s">
        <v>1094</v>
      </c>
      <c r="B4397" s="8" t="s">
        <v>1103</v>
      </c>
      <c r="C4397" s="19" t="n">
        <v>133</v>
      </c>
      <c r="D4397" s="19" t="n">
        <v>19212.52</v>
      </c>
      <c r="E4397" s="19" t="n">
        <v>0</v>
      </c>
      <c r="F4397" s="19" t="n">
        <v>0</v>
      </c>
      <c r="G4397" s="8" t="str">
        <f aca="false">IFERROR(INDEX('TRANS'!$B:$B,MATCH($B4397,'TRANS'!$A:$A,0)),IFERROR(INDEX('TRANS'!$B:$B,MATCH(TRIM(SUBSTITUTE($B4397,CHAR(160)," ")),'TRANS'!$D:$D,0)),IFERROR(INDEX('Catalog'!$A:$A,MATCH($B4397,'Catalog'!$B:$B,0)),IFERROR(INDEX('Catalog'!$A:$A,MATCH(TRIM(SUBSTITUTE($B4397,CHAR(160)," ")),'Catalog'!$C:$C,0)),""))))</f>
        <v/>
      </c>
      <c r="H4397" s="8" t="str">
        <f aca="false">IFERROR(INDEX('TRANS'!$C:$C,MATCH($B4397,'TRANS'!$A:$A,0)),IFERROR(INDEX('Catalog'!$B:$B,MATCH($G4397,'Catalog'!$A:$A,0)),$B4397))</f>
        <v>EC-11NOR XXL</v>
      </c>
      <c r="I4397" s="8" t="str">
        <f aca="false">IF($G4397="","Unmatched","Matched")</f>
        <v>Unmatched</v>
      </c>
    </row>
    <row r="4398" customFormat="false" ht="15" hidden="false" customHeight="false" outlineLevel="0" collapsed="false">
      <c r="A4398" s="8" t="s">
        <v>1094</v>
      </c>
      <c r="B4398" s="8" t="s">
        <v>1104</v>
      </c>
      <c r="C4398" s="19" t="n">
        <v>177</v>
      </c>
      <c r="D4398" s="19" t="n">
        <v>24684.59</v>
      </c>
      <c r="E4398" s="19" t="n">
        <v>109</v>
      </c>
      <c r="F4398" s="19" t="n">
        <v>14505.57</v>
      </c>
      <c r="G4398" s="8" t="str">
        <f aca="false">IFERROR(INDEX('TRANS'!$B:$B,MATCH($B4398,'TRANS'!$A:$A,0)),IFERROR(INDEX('TRANS'!$B:$B,MATCH(TRIM(SUBSTITUTE($B4398,CHAR(160)," ")),'TRANS'!$D:$D,0)),IFERROR(INDEX('Catalog'!$A:$A,MATCH($B4398,'Catalog'!$B:$B,0)),IFERROR(INDEX('Catalog'!$A:$A,MATCH(TRIM(SUBSTITUTE($B4398,CHAR(160)," ")),'Catalog'!$C:$C,0)),""))))</f>
        <v/>
      </c>
      <c r="H4398" s="8" t="str">
        <f aca="false">IFERROR(INDEX('TRANS'!$C:$C,MATCH($B4398,'TRANS'!$A:$A,0)),IFERROR(INDEX('Catalog'!$B:$B,MATCH($G4398,'Catalog'!$A:$A,0)),$B4398))</f>
        <v>EC-11STO L</v>
      </c>
      <c r="I4398" s="8" t="str">
        <f aca="false">IF($G4398="","Unmatched","Matched")</f>
        <v>Unmatched</v>
      </c>
    </row>
    <row r="4399" customFormat="false" ht="15" hidden="false" customHeight="false" outlineLevel="0" collapsed="false">
      <c r="A4399" s="8" t="s">
        <v>1094</v>
      </c>
      <c r="B4399" s="8" t="s">
        <v>1105</v>
      </c>
      <c r="C4399" s="19" t="n">
        <v>125</v>
      </c>
      <c r="D4399" s="19" t="n">
        <v>16991.76</v>
      </c>
      <c r="E4399" s="19" t="n">
        <v>77</v>
      </c>
      <c r="F4399" s="19" t="n">
        <v>10282.34</v>
      </c>
      <c r="G4399" s="8" t="str">
        <f aca="false">IFERROR(INDEX('TRANS'!$B:$B,MATCH($B4399,'TRANS'!$A:$A,0)),IFERROR(INDEX('TRANS'!$B:$B,MATCH(TRIM(SUBSTITUTE($B4399,CHAR(160)," ")),'TRANS'!$D:$D,0)),IFERROR(INDEX('Catalog'!$A:$A,MATCH($B4399,'Catalog'!$B:$B,0)),IFERROR(INDEX('Catalog'!$A:$A,MATCH(TRIM(SUBSTITUTE($B4399,CHAR(160)," ")),'Catalog'!$C:$C,0)),""))))</f>
        <v/>
      </c>
      <c r="H4399" s="8" t="str">
        <f aca="false">IFERROR(INDEX('TRANS'!$C:$C,MATCH($B4399,'TRANS'!$A:$A,0)),IFERROR(INDEX('Catalog'!$B:$B,MATCH($G4399,'Catalog'!$A:$A,0)),$B4399))</f>
        <v>EC-11STO M</v>
      </c>
      <c r="I4399" s="8" t="str">
        <f aca="false">IF($G4399="","Unmatched","Matched")</f>
        <v>Unmatched</v>
      </c>
    </row>
    <row r="4400" customFormat="false" ht="15" hidden="false" customHeight="false" outlineLevel="0" collapsed="false">
      <c r="A4400" s="8" t="s">
        <v>1094</v>
      </c>
      <c r="B4400" s="8" t="s">
        <v>1106</v>
      </c>
      <c r="C4400" s="19" t="n">
        <v>27</v>
      </c>
      <c r="D4400" s="19" t="n">
        <v>3576.51</v>
      </c>
      <c r="E4400" s="19" t="n">
        <v>24</v>
      </c>
      <c r="F4400" s="19" t="n">
        <v>3125.27</v>
      </c>
      <c r="G4400" s="8" t="str">
        <f aca="false">IFERROR(INDEX('TRANS'!$B:$B,MATCH($B4400,'TRANS'!$A:$A,0)),IFERROR(INDEX('TRANS'!$B:$B,MATCH(TRIM(SUBSTITUTE($B4400,CHAR(160)," ")),'TRANS'!$D:$D,0)),IFERROR(INDEX('Catalog'!$A:$A,MATCH($B4400,'Catalog'!$B:$B,0)),IFERROR(INDEX('Catalog'!$A:$A,MATCH(TRIM(SUBSTITUTE($B4400,CHAR(160)," ")),'Catalog'!$C:$C,0)),""))))</f>
        <v/>
      </c>
      <c r="H4400" s="8" t="str">
        <f aca="false">IFERROR(INDEX('TRANS'!$C:$C,MATCH($B4400,'TRANS'!$A:$A,0)),IFERROR(INDEX('Catalog'!$B:$B,MATCH($G4400,'Catalog'!$A:$A,0)),$B4400))</f>
        <v>EC-11STO S</v>
      </c>
      <c r="I4400" s="8" t="str">
        <f aca="false">IF($G4400="","Unmatched","Matched")</f>
        <v>Unmatched</v>
      </c>
    </row>
    <row r="4401" customFormat="false" ht="15" hidden="false" customHeight="false" outlineLevel="0" collapsed="false">
      <c r="A4401" s="8" t="s">
        <v>1094</v>
      </c>
      <c r="B4401" s="8" t="s">
        <v>1107</v>
      </c>
      <c r="C4401" s="19" t="n">
        <v>195</v>
      </c>
      <c r="D4401" s="19" t="n">
        <v>27208.51</v>
      </c>
      <c r="E4401" s="19" t="n">
        <v>53</v>
      </c>
      <c r="F4401" s="19" t="n">
        <v>7224.56</v>
      </c>
      <c r="G4401" s="8" t="str">
        <f aca="false">IFERROR(INDEX('TRANS'!$B:$B,MATCH($B4401,'TRANS'!$A:$A,0)),IFERROR(INDEX('TRANS'!$B:$B,MATCH(TRIM(SUBSTITUTE($B4401,CHAR(160)," ")),'TRANS'!$D:$D,0)),IFERROR(INDEX('Catalog'!$A:$A,MATCH($B4401,'Catalog'!$B:$B,0)),IFERROR(INDEX('Catalog'!$A:$A,MATCH(TRIM(SUBSTITUTE($B4401,CHAR(160)," ")),'Catalog'!$C:$C,0)),""))))</f>
        <v/>
      </c>
      <c r="H4401" s="8" t="str">
        <f aca="false">IFERROR(INDEX('TRANS'!$C:$C,MATCH($B4401,'TRANS'!$A:$A,0)),IFERROR(INDEX('Catalog'!$B:$B,MATCH($G4401,'Catalog'!$A:$A,0)),$B4401))</f>
        <v>EC-11STO XL</v>
      </c>
      <c r="I4401" s="8" t="str">
        <f aca="false">IF($G4401="","Unmatched","Matched")</f>
        <v>Unmatched</v>
      </c>
    </row>
    <row r="4402" customFormat="false" ht="15" hidden="false" customHeight="false" outlineLevel="0" collapsed="false">
      <c r="A4402" s="8" t="s">
        <v>1094</v>
      </c>
      <c r="B4402" s="8" t="s">
        <v>1108</v>
      </c>
      <c r="C4402" s="19" t="n">
        <v>224</v>
      </c>
      <c r="D4402" s="19" t="n">
        <v>30949.19</v>
      </c>
      <c r="E4402" s="19" t="n">
        <v>61</v>
      </c>
      <c r="F4402" s="19" t="n">
        <v>8220.14</v>
      </c>
      <c r="G4402" s="8" t="str">
        <f aca="false">IFERROR(INDEX('TRANS'!$B:$B,MATCH($B4402,'TRANS'!$A:$A,0)),IFERROR(INDEX('TRANS'!$B:$B,MATCH(TRIM(SUBSTITUTE($B4402,CHAR(160)," ")),'TRANS'!$D:$D,0)),IFERROR(INDEX('Catalog'!$A:$A,MATCH($B4402,'Catalog'!$B:$B,0)),IFERROR(INDEX('Catalog'!$A:$A,MATCH(TRIM(SUBSTITUTE($B4402,CHAR(160)," ")),'Catalog'!$C:$C,0)),""))))</f>
        <v/>
      </c>
      <c r="H4402" s="8" t="str">
        <f aca="false">IFERROR(INDEX('TRANS'!$C:$C,MATCH($B4402,'TRANS'!$A:$A,0)),IFERROR(INDEX('Catalog'!$B:$B,MATCH($G4402,'Catalog'!$A:$A,0)),$B4402))</f>
        <v>EC-11STO XXL</v>
      </c>
      <c r="I4402" s="8" t="str">
        <f aca="false">IF($G4402="","Unmatched","Matched")</f>
        <v>Unmatched</v>
      </c>
    </row>
    <row r="4403" customFormat="false" ht="15" hidden="false" customHeight="false" outlineLevel="0" collapsed="false">
      <c r="A4403" s="8" t="s">
        <v>1094</v>
      </c>
      <c r="B4403" s="8" t="s">
        <v>1109</v>
      </c>
      <c r="C4403" s="19" t="n">
        <v>91</v>
      </c>
      <c r="D4403" s="19" t="n">
        <v>12484.46</v>
      </c>
      <c r="E4403" s="19" t="n">
        <v>126</v>
      </c>
      <c r="F4403" s="19" t="n">
        <v>16430.98</v>
      </c>
      <c r="G4403" s="8" t="str">
        <f aca="false">IFERROR(INDEX('TRANS'!$B:$B,MATCH($B4403,'TRANS'!$A:$A,0)),IFERROR(INDEX('TRANS'!$B:$B,MATCH(TRIM(SUBSTITUTE($B4403,CHAR(160)," ")),'TRANS'!$D:$D,0)),IFERROR(INDEX('Catalog'!$A:$A,MATCH($B4403,'Catalog'!$B:$B,0)),IFERROR(INDEX('Catalog'!$A:$A,MATCH(TRIM(SUBSTITUTE($B4403,CHAR(160)," ")),'Catalog'!$C:$C,0)),""))))</f>
        <v/>
      </c>
      <c r="H4403" s="8" t="str">
        <f aca="false">IFERROR(INDEX('TRANS'!$C:$C,MATCH($B4403,'TRANS'!$A:$A,0)),IFERROR(INDEX('Catalog'!$B:$B,MATCH($G4403,'Catalog'!$A:$A,0)),$B4403))</f>
        <v>EC-11STOB L</v>
      </c>
      <c r="I4403" s="8" t="str">
        <f aca="false">IF($G4403="","Unmatched","Matched")</f>
        <v>Unmatched</v>
      </c>
    </row>
    <row r="4404" customFormat="false" ht="15" hidden="false" customHeight="false" outlineLevel="0" collapsed="false">
      <c r="A4404" s="8" t="s">
        <v>1094</v>
      </c>
      <c r="B4404" s="8" t="s">
        <v>1110</v>
      </c>
      <c r="C4404" s="19" t="n">
        <v>16</v>
      </c>
      <c r="D4404" s="19" t="n">
        <v>2183.52</v>
      </c>
      <c r="E4404" s="19" t="n">
        <v>77</v>
      </c>
      <c r="F4404" s="19" t="n">
        <v>9148.8</v>
      </c>
      <c r="G4404" s="8" t="str">
        <f aca="false">IFERROR(INDEX('TRANS'!$B:$B,MATCH($B4404,'TRANS'!$A:$A,0)),IFERROR(INDEX('TRANS'!$B:$B,MATCH(TRIM(SUBSTITUTE($B4404,CHAR(160)," ")),'TRANS'!$D:$D,0)),IFERROR(INDEX('Catalog'!$A:$A,MATCH($B4404,'Catalog'!$B:$B,0)),IFERROR(INDEX('Catalog'!$A:$A,MATCH(TRIM(SUBSTITUTE($B4404,CHAR(160)," ")),'Catalog'!$C:$C,0)),""))))</f>
        <v/>
      </c>
      <c r="H4404" s="8" t="str">
        <f aca="false">IFERROR(INDEX('TRANS'!$C:$C,MATCH($B4404,'TRANS'!$A:$A,0)),IFERROR(INDEX('Catalog'!$B:$B,MATCH($G4404,'Catalog'!$A:$A,0)),$B4404))</f>
        <v>EC-11STOB M</v>
      </c>
      <c r="I4404" s="8" t="str">
        <f aca="false">IF($G4404="","Unmatched","Matched")</f>
        <v>Unmatched</v>
      </c>
    </row>
    <row r="4405" customFormat="false" ht="15" hidden="false" customHeight="false" outlineLevel="0" collapsed="false">
      <c r="A4405" s="8" t="s">
        <v>1094</v>
      </c>
      <c r="B4405" s="8" t="s">
        <v>1111</v>
      </c>
      <c r="C4405" s="19" t="n">
        <v>1</v>
      </c>
      <c r="D4405" s="19" t="n">
        <v>137.01</v>
      </c>
      <c r="E4405" s="19" t="n">
        <v>20</v>
      </c>
      <c r="F4405" s="19" t="n">
        <v>2555.12</v>
      </c>
      <c r="G4405" s="8" t="str">
        <f aca="false">IFERROR(INDEX('TRANS'!$B:$B,MATCH($B4405,'TRANS'!$A:$A,0)),IFERROR(INDEX('TRANS'!$B:$B,MATCH(TRIM(SUBSTITUTE($B4405,CHAR(160)," ")),'TRANS'!$D:$D,0)),IFERROR(INDEX('Catalog'!$A:$A,MATCH($B4405,'Catalog'!$B:$B,0)),IFERROR(INDEX('Catalog'!$A:$A,MATCH(TRIM(SUBSTITUTE($B4405,CHAR(160)," ")),'Catalog'!$C:$C,0)),""))))</f>
        <v/>
      </c>
      <c r="H4405" s="8" t="str">
        <f aca="false">IFERROR(INDEX('TRANS'!$C:$C,MATCH($B4405,'TRANS'!$A:$A,0)),IFERROR(INDEX('Catalog'!$B:$B,MATCH($G4405,'Catalog'!$A:$A,0)),$B4405))</f>
        <v>EC-11STOB S</v>
      </c>
      <c r="I4405" s="8" t="str">
        <f aca="false">IF($G4405="","Unmatched","Matched")</f>
        <v>Unmatched</v>
      </c>
    </row>
    <row r="4406" customFormat="false" ht="15" hidden="false" customHeight="false" outlineLevel="0" collapsed="false">
      <c r="A4406" s="8" t="s">
        <v>1094</v>
      </c>
      <c r="B4406" s="8" t="s">
        <v>1112</v>
      </c>
      <c r="C4406" s="19" t="n">
        <v>86</v>
      </c>
      <c r="D4406" s="19" t="n">
        <v>11577.1</v>
      </c>
      <c r="E4406" s="19" t="n">
        <v>141</v>
      </c>
      <c r="F4406" s="19" t="n">
        <v>18557.76</v>
      </c>
      <c r="G4406" s="8" t="str">
        <f aca="false">IFERROR(INDEX('TRANS'!$B:$B,MATCH($B4406,'TRANS'!$A:$A,0)),IFERROR(INDEX('TRANS'!$B:$B,MATCH(TRIM(SUBSTITUTE($B4406,CHAR(160)," ")),'TRANS'!$D:$D,0)),IFERROR(INDEX('Catalog'!$A:$A,MATCH($B4406,'Catalog'!$B:$B,0)),IFERROR(INDEX('Catalog'!$A:$A,MATCH(TRIM(SUBSTITUTE($B4406,CHAR(160)," ")),'Catalog'!$C:$C,0)),""))))</f>
        <v/>
      </c>
      <c r="H4406" s="8" t="str">
        <f aca="false">IFERROR(INDEX('TRANS'!$C:$C,MATCH($B4406,'TRANS'!$A:$A,0)),IFERROR(INDEX('Catalog'!$B:$B,MATCH($G4406,'Catalog'!$A:$A,0)),$B4406))</f>
        <v>EC-11STOB XL</v>
      </c>
      <c r="I4406" s="8" t="str">
        <f aca="false">IF($G4406="","Unmatched","Matched")</f>
        <v>Unmatched</v>
      </c>
    </row>
    <row r="4407" customFormat="false" ht="15" hidden="false" customHeight="false" outlineLevel="0" collapsed="false">
      <c r="A4407" s="8" t="s">
        <v>1094</v>
      </c>
      <c r="B4407" s="8" t="s">
        <v>1113</v>
      </c>
      <c r="C4407" s="19" t="n">
        <v>86</v>
      </c>
      <c r="D4407" s="19" t="n">
        <v>10105.03</v>
      </c>
      <c r="E4407" s="19" t="n">
        <v>151</v>
      </c>
      <c r="F4407" s="19" t="n">
        <v>18900.44</v>
      </c>
      <c r="G4407" s="8" t="str">
        <f aca="false">IFERROR(INDEX('TRANS'!$B:$B,MATCH($B4407,'TRANS'!$A:$A,0)),IFERROR(INDEX('TRANS'!$B:$B,MATCH(TRIM(SUBSTITUTE($B4407,CHAR(160)," ")),'TRANS'!$D:$D,0)),IFERROR(INDEX('Catalog'!$A:$A,MATCH($B4407,'Catalog'!$B:$B,0)),IFERROR(INDEX('Catalog'!$A:$A,MATCH(TRIM(SUBSTITUTE($B4407,CHAR(160)," ")),'Catalog'!$C:$C,0)),""))))</f>
        <v/>
      </c>
      <c r="H4407" s="8" t="str">
        <f aca="false">IFERROR(INDEX('TRANS'!$C:$C,MATCH($B4407,'TRANS'!$A:$A,0)),IFERROR(INDEX('Catalog'!$B:$B,MATCH($G4407,'Catalog'!$A:$A,0)),$B4407))</f>
        <v>EC-11STOB XXL</v>
      </c>
      <c r="I4407" s="8" t="str">
        <f aca="false">IF($G4407="","Unmatched","Matched")</f>
        <v>Unmatched</v>
      </c>
    </row>
    <row r="4408" customFormat="false" ht="15" hidden="false" customHeight="false" outlineLevel="0" collapsed="false">
      <c r="A4408" s="8" t="s">
        <v>1094</v>
      </c>
      <c r="B4408" s="8" t="s">
        <v>935</v>
      </c>
      <c r="C4408" s="19" t="n">
        <v>15</v>
      </c>
      <c r="D4408" s="19" t="n">
        <v>636.25</v>
      </c>
      <c r="E4408" s="19" t="n">
        <v>2</v>
      </c>
      <c r="F4408" s="19" t="n">
        <v>81.66</v>
      </c>
      <c r="G4408" s="8" t="str">
        <f aca="false">IFERROR(INDEX('TRANS'!$B:$B,MATCH($B4408,'TRANS'!$A:$A,0)),IFERROR(INDEX('TRANS'!$B:$B,MATCH(TRIM(SUBSTITUTE($B4408,CHAR(160)," ")),'TRANS'!$D:$D,0)),IFERROR(INDEX('Catalog'!$A:$A,MATCH($B4408,'Catalog'!$B:$B,0)),IFERROR(INDEX('Catalog'!$A:$A,MATCH(TRIM(SUBSTITUTE($B4408,CHAR(160)," ")),'Catalog'!$C:$C,0)),""))))</f>
        <v/>
      </c>
      <c r="H4408" s="8" t="str">
        <f aca="false">IFERROR(INDEX('TRANS'!$C:$C,MATCH($B4408,'TRANS'!$A:$A,0)),IFERROR(INDEX('Catalog'!$B:$B,MATCH($G4408,'Catalog'!$A:$A,0)),$B4408))</f>
        <v>13B L</v>
      </c>
      <c r="I4408" s="8" t="str">
        <f aca="false">IF($G4408="","Unmatched","Matched")</f>
        <v>Unmatched</v>
      </c>
    </row>
    <row r="4409" customFormat="false" ht="15" hidden="false" customHeight="false" outlineLevel="0" collapsed="false">
      <c r="A4409" s="8" t="s">
        <v>1094</v>
      </c>
      <c r="B4409" s="8" t="s">
        <v>81</v>
      </c>
      <c r="C4409" s="19" t="n">
        <v>28</v>
      </c>
      <c r="D4409" s="19" t="n">
        <v>1139.9</v>
      </c>
      <c r="E4409" s="19" t="n">
        <v>0</v>
      </c>
      <c r="F4409" s="19" t="n">
        <v>0</v>
      </c>
      <c r="G4409" s="8" t="str">
        <f aca="false">IFERROR(INDEX('TRANS'!$B:$B,MATCH($B4409,'TRANS'!$A:$A,0)),IFERROR(INDEX('TRANS'!$B:$B,MATCH(TRIM(SUBSTITUTE($B4409,CHAR(160)," ")),'TRANS'!$D:$D,0)),IFERROR(INDEX('Catalog'!$A:$A,MATCH($B4409,'Catalog'!$B:$B,0)),IFERROR(INDEX('Catalog'!$A:$A,MATCH(TRIM(SUBSTITUTE($B4409,CHAR(160)," ")),'Catalog'!$C:$C,0)),""))))</f>
        <v/>
      </c>
      <c r="H4409" s="8" t="str">
        <f aca="false">IFERROR(INDEX('TRANS'!$C:$C,MATCH($B4409,'TRANS'!$A:$A,0)),IFERROR(INDEX('Catalog'!$B:$B,MATCH($G4409,'Catalog'!$A:$A,0)),$B4409))</f>
        <v>13B S</v>
      </c>
      <c r="I4409" s="8" t="str">
        <f aca="false">IF($G4409="","Unmatched","Matched")</f>
        <v>Unmatched</v>
      </c>
    </row>
    <row r="4410" customFormat="false" ht="15" hidden="false" customHeight="false" outlineLevel="0" collapsed="false">
      <c r="A4410" s="8" t="s">
        <v>1094</v>
      </c>
      <c r="B4410" s="8" t="s">
        <v>90</v>
      </c>
      <c r="C4410" s="19" t="n">
        <v>31</v>
      </c>
      <c r="D4410" s="19" t="n">
        <v>1060.47</v>
      </c>
      <c r="E4410" s="19" t="n">
        <v>0</v>
      </c>
      <c r="F4410" s="19" t="n">
        <v>0</v>
      </c>
      <c r="G4410" s="8" t="n">
        <f aca="false">IFERROR(INDEX('TRANS'!$B:$B,MATCH($B4410,'TRANS'!$A:$A,0)),IFERROR(INDEX('TRANS'!$B:$B,MATCH(TRIM(SUBSTITUTE($B4410,CHAR(160)," ")),'TRANS'!$D:$D,0)),IFERROR(INDEX('Catalog'!$A:$A,MATCH($B4410,'Catalog'!$B:$B,0)),IFERROR(INDEX('Catalog'!$A:$A,MATCH(TRIM(SUBSTITUTE($B4410,CHAR(160)," ")),'Catalog'!$C:$C,0)),""))))</f>
        <v>4408230</v>
      </c>
      <c r="H4410" s="8" t="str">
        <f aca="false">IFERROR(INDEX('TRANS'!$C:$C,MATCH($B4410,'TRANS'!$A:$A,0)),IFERROR(INDEX('Catalog'!$B:$B,MATCH($G4410,'Catalog'!$A:$A,0)),$B4410))</f>
        <v>16 L-XL חגורת הריון</v>
      </c>
      <c r="I4410" s="8" t="str">
        <f aca="false">IF($G4410="","Unmatched","Matched")</f>
        <v>Matched</v>
      </c>
    </row>
    <row r="4411" customFormat="false" ht="15" hidden="false" customHeight="false" outlineLevel="0" collapsed="false">
      <c r="A4411" s="8" t="s">
        <v>1094</v>
      </c>
      <c r="B4411" s="8" t="s">
        <v>91</v>
      </c>
      <c r="C4411" s="19" t="n">
        <v>45</v>
      </c>
      <c r="D4411" s="19" t="n">
        <v>2109.16</v>
      </c>
      <c r="E4411" s="19" t="n">
        <v>0</v>
      </c>
      <c r="F4411" s="19" t="n">
        <v>0</v>
      </c>
      <c r="G4411" s="8" t="n">
        <f aca="false">IFERROR(INDEX('TRANS'!$B:$B,MATCH($B4411,'TRANS'!$A:$A,0)),IFERROR(INDEX('TRANS'!$B:$B,MATCH(TRIM(SUBSTITUTE($B4411,CHAR(160)," ")),'TRANS'!$D:$D,0)),IFERROR(INDEX('Catalog'!$A:$A,MATCH($B4411,'Catalog'!$B:$B,0)),IFERROR(INDEX('Catalog'!$A:$A,MATCH(TRIM(SUBSTITUTE($B4411,CHAR(160)," ")),'Catalog'!$C:$C,0)),""))))</f>
        <v>4408231</v>
      </c>
      <c r="H4411" s="8" t="str">
        <f aca="false">IFERROR(INDEX('TRANS'!$C:$C,MATCH($B4411,'TRANS'!$A:$A,0)),IFERROR(INDEX('Catalog'!$B:$B,MATCH($G4411,'Catalog'!$A:$A,0)),$B4411))</f>
        <v>16 S-M חגורת הריון</v>
      </c>
      <c r="I4411" s="8" t="str">
        <f aca="false">IF($G4411="","Unmatched","Matched")</f>
        <v>Matched</v>
      </c>
    </row>
    <row r="4412" customFormat="false" ht="15" hidden="false" customHeight="false" outlineLevel="0" collapsed="false">
      <c r="A4412" s="8" t="s">
        <v>1094</v>
      </c>
      <c r="B4412" s="8" t="s">
        <v>99</v>
      </c>
      <c r="C4412" s="19" t="n">
        <v>12</v>
      </c>
      <c r="D4412" s="19" t="n">
        <v>705.87</v>
      </c>
      <c r="E4412" s="19" t="n">
        <v>195</v>
      </c>
      <c r="F4412" s="19" t="n">
        <v>9344.25</v>
      </c>
      <c r="G4412" s="8" t="n">
        <f aca="false">IFERROR(INDEX('TRANS'!$B:$B,MATCH($B4412,'TRANS'!$A:$A,0)),IFERROR(INDEX('TRANS'!$B:$B,MATCH(TRIM(SUBSTITUTE($B4412,CHAR(160)," ")),'TRANS'!$D:$D,0)),IFERROR(INDEX('Catalog'!$A:$A,MATCH($B4412,'Catalog'!$B:$B,0)),IFERROR(INDEX('Catalog'!$A:$A,MATCH(TRIM(SUBSTITUTE($B4412,CHAR(160)," ")),'Catalog'!$C:$C,0)),""))))</f>
        <v>4415029</v>
      </c>
      <c r="H4412" s="8" t="str">
        <f aca="false">IFERROR(INDEX('TRANS'!$C:$C,MATCH($B4412,'TRANS'!$A:$A,0)),IFERROR(INDEX('Catalog'!$B:$B,MATCH($G4412,'Catalog'!$A:$A,0)),$B4412))</f>
        <v>סד קיבוע לאצבע הדק</v>
      </c>
      <c r="I4412" s="8" t="str">
        <f aca="false">IF($G4412="","Unmatched","Matched")</f>
        <v>Matched</v>
      </c>
    </row>
    <row r="4413" customFormat="false" ht="15" hidden="false" customHeight="false" outlineLevel="0" collapsed="false">
      <c r="A4413" s="8" t="s">
        <v>1094</v>
      </c>
      <c r="B4413" s="8" t="s">
        <v>110</v>
      </c>
      <c r="C4413" s="19" t="n">
        <v>2</v>
      </c>
      <c r="D4413" s="19" t="n">
        <v>218.71</v>
      </c>
      <c r="E4413" s="19" t="n">
        <v>0</v>
      </c>
      <c r="F4413" s="19" t="n">
        <v>0</v>
      </c>
      <c r="G4413" s="8" t="n">
        <f aca="false">IFERROR(INDEX('TRANS'!$B:$B,MATCH($B4413,'TRANS'!$A:$A,0)),IFERROR(INDEX('TRANS'!$B:$B,MATCH(TRIM(SUBSTITUTE($B4413,CHAR(160)," ")),'TRANS'!$D:$D,0)),IFERROR(INDEX('Catalog'!$A:$A,MATCH($B4413,'Catalog'!$B:$B,0)),IFERROR(INDEX('Catalog'!$A:$A,MATCH(TRIM(SUBSTITUTE($B4413,CHAR(160)," ")),'Catalog'!$C:$C,0)),""))))</f>
        <v>4415159</v>
      </c>
      <c r="H4413" s="8" t="str">
        <f aca="false">IFERROR(INDEX('TRANS'!$C:$C,MATCH($B4413,'TRANS'!$A:$A,0)),IFERROR(INDEX('Catalog'!$B:$B,MATCH($G4413,'Catalog'!$A:$A,0)),$B4413))</f>
        <v>268 סד לאגודל</v>
      </c>
      <c r="I4413" s="8" t="str">
        <f aca="false">IF($G4413="","Unmatched","Matched")</f>
        <v>Matched</v>
      </c>
    </row>
    <row r="4414" customFormat="false" ht="15" hidden="false" customHeight="false" outlineLevel="0" collapsed="false">
      <c r="A4414" s="8" t="s">
        <v>1094</v>
      </c>
      <c r="B4414" s="8" t="s">
        <v>114</v>
      </c>
      <c r="C4414" s="19" t="n">
        <v>10</v>
      </c>
      <c r="D4414" s="19" t="n">
        <v>969.81</v>
      </c>
      <c r="E4414" s="19" t="n">
        <v>0</v>
      </c>
      <c r="F4414" s="19" t="n">
        <v>0</v>
      </c>
      <c r="G4414" s="8" t="n">
        <f aca="false">IFERROR(INDEX('TRANS'!$B:$B,MATCH($B4414,'TRANS'!$A:$A,0)),IFERROR(INDEX('TRANS'!$B:$B,MATCH(TRIM(SUBSTITUTE($B4414,CHAR(160)," ")),'TRANS'!$D:$D,0)),IFERROR(INDEX('Catalog'!$A:$A,MATCH($B4414,'Catalog'!$B:$B,0)),IFERROR(INDEX('Catalog'!$A:$A,MATCH(TRIM(SUBSTITUTE($B4414,CHAR(160)," ")),'Catalog'!$C:$C,0)),""))))</f>
        <v>4413348</v>
      </c>
      <c r="H4414" s="8" t="str">
        <f aca="false">IFERROR(INDEX('TRANS'!$C:$C,MATCH($B4414,'TRANS'!$A:$A,0)),IFERROR(INDEX('Catalog'!$B:$B,MATCH($G4414,'Catalog'!$A:$A,0)),$B4414))</f>
        <v>302 מדרס ג'ל לגבר</v>
      </c>
      <c r="I4414" s="8" t="str">
        <f aca="false">IF($G4414="","Unmatched","Matched")</f>
        <v>Matched</v>
      </c>
    </row>
    <row r="4415" customFormat="false" ht="15" hidden="false" customHeight="false" outlineLevel="0" collapsed="false">
      <c r="A4415" s="8" t="s">
        <v>1094</v>
      </c>
      <c r="B4415" s="8" t="s">
        <v>115</v>
      </c>
      <c r="C4415" s="19" t="n">
        <v>2</v>
      </c>
      <c r="D4415" s="19" t="n">
        <v>191.34</v>
      </c>
      <c r="E4415" s="19" t="n">
        <v>7</v>
      </c>
      <c r="F4415" s="19" t="n">
        <v>646.11</v>
      </c>
      <c r="G4415" s="8" t="n">
        <f aca="false">IFERROR(INDEX('TRANS'!$B:$B,MATCH($B4415,'TRANS'!$A:$A,0)),IFERROR(INDEX('TRANS'!$B:$B,MATCH(TRIM(SUBSTITUTE($B4415,CHAR(160)," ")),'TRANS'!$D:$D,0)),IFERROR(INDEX('Catalog'!$A:$A,MATCH($B4415,'Catalog'!$B:$B,0)),IFERROR(INDEX('Catalog'!$A:$A,MATCH(TRIM(SUBSTITUTE($B4415,CHAR(160)," ")),'Catalog'!$C:$C,0)),""))))</f>
        <v>4413372</v>
      </c>
      <c r="H4415" s="8" t="str">
        <f aca="false">IFERROR(INDEX('TRANS'!$C:$C,MATCH($B4415,'TRANS'!$A:$A,0)),IFERROR(INDEX('Catalog'!$B:$B,MATCH($G4415,'Catalog'!$A:$A,0)),$B4415))</f>
        <v>302 W מדרס לאישה</v>
      </c>
      <c r="I4415" s="8" t="str">
        <f aca="false">IF($G4415="","Unmatched","Matched")</f>
        <v>Matched</v>
      </c>
    </row>
    <row r="4416" customFormat="false" ht="15" hidden="false" customHeight="false" outlineLevel="0" collapsed="false">
      <c r="A4416" s="8" t="s">
        <v>1094</v>
      </c>
      <c r="B4416" s="8" t="s">
        <v>563</v>
      </c>
      <c r="C4416" s="19" t="n">
        <v>7</v>
      </c>
      <c r="D4416" s="19" t="n">
        <v>783.88</v>
      </c>
      <c r="E4416" s="19" t="n">
        <v>12</v>
      </c>
      <c r="F4416" s="19" t="n">
        <v>1267.59</v>
      </c>
      <c r="G4416" s="8" t="n">
        <f aca="false">IFERROR(INDEX('TRANS'!$B:$B,MATCH($B4416,'TRANS'!$A:$A,0)),IFERROR(INDEX('TRANS'!$B:$B,MATCH(TRIM(SUBSTITUTE($B4416,CHAR(160)," ")),'TRANS'!$D:$D,0)),IFERROR(INDEX('Catalog'!$A:$A,MATCH($B4416,'Catalog'!$B:$B,0)),IFERROR(INDEX('Catalog'!$A:$A,MATCH(TRIM(SUBSTITUTE($B4416,CHAR(160)," ")),'Catalog'!$C:$C,0)),""))))</f>
        <v>4416003</v>
      </c>
      <c r="H4416" s="8" t="str">
        <f aca="false">IFERROR(INDEX('TRANS'!$C:$C,MATCH($B4416,'TRANS'!$A:$A,0)),IFERROR(INDEX('Catalog'!$B:$B,MATCH($G4416,'Catalog'!$A:$A,0)),$B4416))</f>
        <v>308 Lעקבים סיליקון כחול לדורבן</v>
      </c>
      <c r="I4416" s="8" t="str">
        <f aca="false">IF($G4416="","Unmatched","Matched")</f>
        <v>Matched</v>
      </c>
    </row>
    <row r="4417" customFormat="false" ht="15" hidden="false" customHeight="false" outlineLevel="0" collapsed="false">
      <c r="A4417" s="8" t="s">
        <v>1094</v>
      </c>
      <c r="B4417" s="8" t="s">
        <v>123</v>
      </c>
      <c r="C4417" s="19" t="n">
        <v>7</v>
      </c>
      <c r="D4417" s="19" t="n">
        <v>786.43</v>
      </c>
      <c r="E4417" s="19" t="n">
        <v>2</v>
      </c>
      <c r="F4417" s="19" t="n">
        <v>207.81</v>
      </c>
      <c r="G4417" s="8" t="n">
        <f aca="false">IFERROR(INDEX('TRANS'!$B:$B,MATCH($B4417,'TRANS'!$A:$A,0)),IFERROR(INDEX('TRANS'!$B:$B,MATCH(TRIM(SUBSTITUTE($B4417,CHAR(160)," ")),'TRANS'!$D:$D,0)),IFERROR(INDEX('Catalog'!$A:$A,MATCH($B4417,'Catalog'!$B:$B,0)),IFERROR(INDEX('Catalog'!$A:$A,MATCH(TRIM(SUBSTITUTE($B4417,CHAR(160)," ")),'Catalog'!$C:$C,0)),""))))</f>
        <v>4416005</v>
      </c>
      <c r="H4417" s="8" t="str">
        <f aca="false">IFERROR(INDEX('TRANS'!$C:$C,MATCH($B4417,'TRANS'!$A:$A,0)),IFERROR(INDEX('Catalog'!$B:$B,MATCH($G4417,'Catalog'!$A:$A,0)),$B4417))</f>
        <v>308 Mעקבים סיליק.כחול לדורבן</v>
      </c>
      <c r="I4417" s="8" t="str">
        <f aca="false">IF($G4417="","Unmatched","Matched")</f>
        <v>Matched</v>
      </c>
    </row>
    <row r="4418" customFormat="false" ht="15" hidden="false" customHeight="false" outlineLevel="0" collapsed="false">
      <c r="A4418" s="8" t="s">
        <v>1094</v>
      </c>
      <c r="B4418" s="8" t="s">
        <v>124</v>
      </c>
      <c r="C4418" s="19" t="n">
        <v>1</v>
      </c>
      <c r="D4418" s="19" t="n">
        <v>32.6</v>
      </c>
      <c r="E4418" s="19" t="n">
        <v>8</v>
      </c>
      <c r="F4418" s="19" t="n">
        <v>190.53</v>
      </c>
      <c r="G4418" s="8" t="n">
        <f aca="false">IFERROR(INDEX('TRANS'!$B:$B,MATCH($B4418,'TRANS'!$A:$A,0)),IFERROR(INDEX('TRANS'!$B:$B,MATCH(TRIM(SUBSTITUTE($B4418,CHAR(160)," ")),'TRANS'!$D:$D,0)),IFERROR(INDEX('Catalog'!$A:$A,MATCH($B4418,'Catalog'!$B:$B,0)),IFERROR(INDEX('Catalog'!$A:$A,MATCH(TRIM(SUBSTITUTE($B4418,CHAR(160)," ")),'Catalog'!$C:$C,0)),""))))</f>
        <v>4413033</v>
      </c>
      <c r="H4418" s="8" t="str">
        <f aca="false">IFERROR(INDEX('TRANS'!$C:$C,MATCH($B4418,'TRANS'!$A:$A,0)),IFERROR(INDEX('Catalog'!$B:$B,MATCH($G4418,'Catalog'!$A:$A,0)),$B4418))</f>
        <v>311'מדב.ג'ל למניעת שפשוף 5 יח</v>
      </c>
      <c r="I4418" s="8" t="str">
        <f aca="false">IF($G4418="","Unmatched","Matched")</f>
        <v>Matched</v>
      </c>
    </row>
    <row r="4419" customFormat="false" ht="15" hidden="false" customHeight="false" outlineLevel="0" collapsed="false">
      <c r="A4419" s="8" t="s">
        <v>1094</v>
      </c>
      <c r="B4419" s="8" t="s">
        <v>126</v>
      </c>
      <c r="C4419" s="19" t="n">
        <v>6</v>
      </c>
      <c r="D4419" s="19" t="n">
        <v>339.07</v>
      </c>
      <c r="E4419" s="19" t="n">
        <v>19</v>
      </c>
      <c r="F4419" s="19" t="n">
        <v>573.82</v>
      </c>
      <c r="G4419" s="8" t="n">
        <f aca="false">IFERROR(INDEX('TRANS'!$B:$B,MATCH($B4419,'TRANS'!$A:$A,0)),IFERROR(INDEX('TRANS'!$B:$B,MATCH(TRIM(SUBSTITUTE($B4419,CHAR(160)," ")),'TRANS'!$D:$D,0)),IFERROR(INDEX('Catalog'!$A:$A,MATCH($B4419,'Catalog'!$B:$B,0)),IFERROR(INDEX('Catalog'!$A:$A,MATCH(TRIM(SUBSTITUTE($B4419,CHAR(160)," ")),'Catalog'!$C:$C,0)),""))))</f>
        <v>4415297</v>
      </c>
      <c r="H4419" s="8" t="str">
        <f aca="false">IFERROR(INDEX('TRANS'!$C:$C,MATCH($B4419,'TRANS'!$A:$A,0)),IFERROR(INDEX('Catalog'!$B:$B,MATCH($G4419,'Catalog'!$A:$A,0)),$B4419))</f>
        <v>313 סט פלסטרים נגד שפשופים</v>
      </c>
      <c r="I4419" s="8" t="str">
        <f aca="false">IF($G4419="","Unmatched","Matched")</f>
        <v>Matched</v>
      </c>
    </row>
    <row r="4420" customFormat="false" ht="15" hidden="false" customHeight="false" outlineLevel="0" collapsed="false">
      <c r="A4420" s="8" t="s">
        <v>1094</v>
      </c>
      <c r="B4420" s="8" t="s">
        <v>145</v>
      </c>
      <c r="C4420" s="19" t="n">
        <v>12</v>
      </c>
      <c r="D4420" s="19" t="n">
        <v>859.76</v>
      </c>
      <c r="E4420" s="19" t="n">
        <v>29</v>
      </c>
      <c r="F4420" s="19" t="n">
        <v>2238.96</v>
      </c>
      <c r="G4420" s="8" t="n">
        <f aca="false">IFERROR(INDEX('TRANS'!$B:$B,MATCH($B4420,'TRANS'!$A:$A,0)),IFERROR(INDEX('TRANS'!$B:$B,MATCH(TRIM(SUBSTITUTE($B4420,CHAR(160)," ")),'TRANS'!$D:$D,0)),IFERROR(INDEX('Catalog'!$A:$A,MATCH($B4420,'Catalog'!$B:$B,0)),IFERROR(INDEX('Catalog'!$A:$A,MATCH(TRIM(SUBSTITUTE($B4420,CHAR(160)," ")),'Catalog'!$C:$C,0)),""))))</f>
        <v>4421007</v>
      </c>
      <c r="H4420" s="8" t="str">
        <f aca="false">IFERROR(INDEX('TRANS'!$C:$C,MATCH($B4420,'TRANS'!$A:$A,0)),IFERROR(INDEX('Catalog'!$B:$B,MATCH($G4420,'Catalog'!$A:$A,0)),$B4420))</f>
        <v>שרוול לגבס קצר רגל</v>
      </c>
      <c r="I4420" s="8" t="str">
        <f aca="false">IF($G4420="","Unmatched","Matched")</f>
        <v>Matched</v>
      </c>
    </row>
    <row r="4421" customFormat="false" ht="15" hidden="false" customHeight="false" outlineLevel="0" collapsed="false">
      <c r="A4421" s="8" t="s">
        <v>1094</v>
      </c>
      <c r="B4421" s="8" t="s">
        <v>152</v>
      </c>
      <c r="C4421" s="19" t="n">
        <v>33</v>
      </c>
      <c r="D4421" s="19" t="n">
        <v>1082.62</v>
      </c>
      <c r="E4421" s="19" t="n">
        <v>73</v>
      </c>
      <c r="F4421" s="19" t="n">
        <v>2208.01</v>
      </c>
      <c r="G4421" s="8" t="n">
        <f aca="false">IFERROR(INDEX('TRANS'!$B:$B,MATCH($B4421,'TRANS'!$A:$A,0)),IFERROR(INDEX('TRANS'!$B:$B,MATCH(TRIM(SUBSTITUTE($B4421,CHAR(160)," ")),'TRANS'!$D:$D,0)),IFERROR(INDEX('Catalog'!$A:$A,MATCH($B4421,'Catalog'!$B:$B,0)),IFERROR(INDEX('Catalog'!$A:$A,MATCH(TRIM(SUBSTITUTE($B4421,CHAR(160)," ")),'Catalog'!$C:$C,0)),""))))</f>
        <v>4413059</v>
      </c>
      <c r="H4421" s="8" t="str">
        <f aca="false">IFERROR(INDEX('TRANS'!$C:$C,MATCH($B4421,'TRANS'!$A:$A,0)),IFERROR(INDEX('Catalog'!$B:$B,MATCH($G4421,'Catalog'!$A:$A,0)),$B4421))</f>
        <v>364S Lמפר.אצבע סיליק. ליבל.זוג</v>
      </c>
      <c r="I4421" s="8" t="str">
        <f aca="false">IF($G4421="","Unmatched","Matched")</f>
        <v>Matched</v>
      </c>
    </row>
    <row r="4422" customFormat="false" ht="15" hidden="false" customHeight="false" outlineLevel="0" collapsed="false">
      <c r="A4422" s="8" t="s">
        <v>1094</v>
      </c>
      <c r="B4422" s="8" t="s">
        <v>153</v>
      </c>
      <c r="C4422" s="19" t="n">
        <v>10</v>
      </c>
      <c r="D4422" s="19" t="n">
        <v>447.58</v>
      </c>
      <c r="E4422" s="19" t="n">
        <v>19</v>
      </c>
      <c r="F4422" s="19" t="n">
        <v>838.26</v>
      </c>
      <c r="G4422" s="8" t="n">
        <f aca="false">IFERROR(INDEX('TRANS'!$B:$B,MATCH($B4422,'TRANS'!$A:$A,0)),IFERROR(INDEX('TRANS'!$B:$B,MATCH(TRIM(SUBSTITUTE($B4422,CHAR(160)," ")),'TRANS'!$D:$D,0)),IFERROR(INDEX('Catalog'!$A:$A,MATCH($B4422,'Catalog'!$B:$B,0)),IFERROR(INDEX('Catalog'!$A:$A,MATCH(TRIM(SUBSTITUTE($B4422,CHAR(160)," ")),'Catalog'!$C:$C,0)),""))))</f>
        <v>4413060</v>
      </c>
      <c r="H4422" s="8" t="str">
        <f aca="false">IFERROR(INDEX('TRANS'!$C:$C,MATCH($B4422,'TRANS'!$A:$A,0)),IFERROR(INDEX('Catalog'!$B:$B,MATCH($G4422,'Catalog'!$A:$A,0)),$B4422))</f>
        <v>364 XLמפריד אצבע סיליקון ליבלת</v>
      </c>
      <c r="I4422" s="8" t="str">
        <f aca="false">IF($G4422="","Unmatched","Matched")</f>
        <v>Matched</v>
      </c>
    </row>
    <row r="4423" customFormat="false" ht="15" hidden="false" customHeight="false" outlineLevel="0" collapsed="false">
      <c r="A4423" s="8" t="s">
        <v>1094</v>
      </c>
      <c r="B4423" s="8" t="s">
        <v>156</v>
      </c>
      <c r="C4423" s="19" t="n">
        <v>28</v>
      </c>
      <c r="D4423" s="19" t="n">
        <v>1182.08</v>
      </c>
      <c r="E4423" s="19" t="n">
        <v>135</v>
      </c>
      <c r="F4423" s="19" t="n">
        <v>5390.19</v>
      </c>
      <c r="G4423" s="8" t="n">
        <f aca="false">IFERROR(INDEX('TRANS'!$B:$B,MATCH($B4423,'TRANS'!$A:$A,0)),IFERROR(INDEX('TRANS'!$B:$B,MATCH(TRIM(SUBSTITUTE($B4423,CHAR(160)," ")),'TRANS'!$D:$D,0)),IFERROR(INDEX('Catalog'!$A:$A,MATCH($B4423,'Catalog'!$B:$B,0)),IFERROR(INDEX('Catalog'!$A:$A,MATCH(TRIM(SUBSTITUTE($B4423,CHAR(160)," ")),'Catalog'!$C:$C,0)),""))))</f>
        <v>4421000</v>
      </c>
      <c r="H4423" s="8" t="str">
        <f aca="false">IFERROR(INDEX('TRANS'!$C:$C,MATCH($B4423,'TRANS'!$A:$A,0)),IFERROR(INDEX('Catalog'!$B:$B,MATCH($G4423,'Catalog'!$A:$A,0)),$B4423))</f>
        <v>3655 שרוול מסיליקון לאצבע</v>
      </c>
      <c r="I4423" s="8" t="str">
        <f aca="false">IF($G4423="","Unmatched","Matched")</f>
        <v>Matched</v>
      </c>
    </row>
    <row r="4424" customFormat="false" ht="15" hidden="false" customHeight="false" outlineLevel="0" collapsed="false">
      <c r="A4424" s="8" t="s">
        <v>1094</v>
      </c>
      <c r="B4424" s="8" t="s">
        <v>161</v>
      </c>
      <c r="C4424" s="19" t="n">
        <v>16</v>
      </c>
      <c r="D4424" s="19" t="n">
        <v>1067.96</v>
      </c>
      <c r="E4424" s="19" t="n">
        <v>10</v>
      </c>
      <c r="F4424" s="19" t="n">
        <v>517.89</v>
      </c>
      <c r="G4424" s="8" t="n">
        <f aca="false">IFERROR(INDEX('TRANS'!$B:$B,MATCH($B4424,'TRANS'!$A:$A,0)),IFERROR(INDEX('TRANS'!$B:$B,MATCH(TRIM(SUBSTITUTE($B4424,CHAR(160)," ")),'TRANS'!$D:$D,0)),IFERROR(INDEX('Catalog'!$A:$A,MATCH($B4424,'Catalog'!$B:$B,0)),IFERROR(INDEX('Catalog'!$A:$A,MATCH(TRIM(SUBSTITUTE($B4424,CHAR(160)," ")),'Catalog'!$C:$C,0)),""))))</f>
        <v>4413370</v>
      </c>
      <c r="H4424" s="8" t="str">
        <f aca="false">IFERROR(INDEX('TRANS'!$C:$C,MATCH($B4424,'TRANS'!$A:$A,0)),IFERROR(INDEX('Catalog'!$B:$B,MATCH($G4424,'Catalog'!$A:$A,0)),$B4424))</f>
        <v>3674 0 מ.בוניון+מפריד אצבע</v>
      </c>
      <c r="I4424" s="8" t="str">
        <f aca="false">IF($G4424="","Unmatched","Matched")</f>
        <v>Matched</v>
      </c>
    </row>
    <row r="4425" customFormat="false" ht="15" hidden="false" customHeight="false" outlineLevel="0" collapsed="false">
      <c r="A4425" s="8" t="s">
        <v>1094</v>
      </c>
      <c r="B4425" s="8" t="s">
        <v>162</v>
      </c>
      <c r="C4425" s="19" t="n">
        <v>46</v>
      </c>
      <c r="D4425" s="19" t="n">
        <v>2442.27</v>
      </c>
      <c r="E4425" s="19" t="n">
        <v>8</v>
      </c>
      <c r="F4425" s="19" t="n">
        <v>361.54</v>
      </c>
      <c r="G4425" s="8" t="n">
        <f aca="false">IFERROR(INDEX('TRANS'!$B:$B,MATCH($B4425,'TRANS'!$A:$A,0)),IFERROR(INDEX('TRANS'!$B:$B,MATCH(TRIM(SUBSTITUTE($B4425,CHAR(160)," ")),'TRANS'!$D:$D,0)),IFERROR(INDEX('Catalog'!$A:$A,MATCH($B4425,'Catalog'!$B:$B,0)),IFERROR(INDEX('Catalog'!$A:$A,MATCH(TRIM(SUBSTITUTE($B4425,CHAR(160)," ")),'Catalog'!$C:$C,0)),""))))</f>
        <v>4413371</v>
      </c>
      <c r="H4425" s="8" t="str">
        <f aca="false">IFERROR(INDEX('TRANS'!$C:$C,MATCH($B4425,'TRANS'!$A:$A,0)),IFERROR(INDEX('Catalog'!$B:$B,MATCH($G4425,'Catalog'!$A:$A,0)),$B4425))</f>
        <v>3675    מגן זרת מסיליקון</v>
      </c>
      <c r="I4425" s="8" t="str">
        <f aca="false">IF($G4425="","Unmatched","Matched")</f>
        <v>Matched</v>
      </c>
    </row>
    <row r="4426" customFormat="false" ht="15" hidden="false" customHeight="false" outlineLevel="0" collapsed="false">
      <c r="A4426" s="8" t="s">
        <v>1094</v>
      </c>
      <c r="B4426" s="8" t="s">
        <v>1114</v>
      </c>
      <c r="C4426" s="19" t="n">
        <v>0</v>
      </c>
      <c r="D4426" s="19" t="n">
        <v>0</v>
      </c>
      <c r="E4426" s="19" t="n">
        <v>1</v>
      </c>
      <c r="F4426" s="19" t="n">
        <v>59.47</v>
      </c>
      <c r="G4426" s="8" t="str">
        <f aca="false">IFERROR(INDEX('TRANS'!$B:$B,MATCH($B4426,'TRANS'!$A:$A,0)),IFERROR(INDEX('TRANS'!$B:$B,MATCH(TRIM(SUBSTITUTE($B4426,CHAR(160)," ")),'TRANS'!$D:$D,0)),IFERROR(INDEX('Catalog'!$A:$A,MATCH($B4426,'Catalog'!$B:$B,0)),IFERROR(INDEX('Catalog'!$A:$A,MATCH(TRIM(SUBSTITUTE($B4426,CHAR(160)," ")),'Catalog'!$C:$C,0)),""))))</f>
        <v/>
      </c>
      <c r="H4426" s="8" t="str">
        <f aca="false">IFERROR(INDEX('TRANS'!$C:$C,MATCH($B4426,'TRANS'!$A:$A,0)),IFERROR(INDEX('Catalog'!$B:$B,MATCH($G4426,'Catalog'!$A:$A,0)),$B4426))</f>
        <v>386</v>
      </c>
      <c r="I4426" s="8" t="str">
        <f aca="false">IF($G4426="","Unmatched","Matched")</f>
        <v>Unmatched</v>
      </c>
    </row>
    <row r="4427" customFormat="false" ht="15" hidden="false" customHeight="false" outlineLevel="0" collapsed="false">
      <c r="A4427" s="8" t="s">
        <v>1094</v>
      </c>
      <c r="B4427" s="8" t="s">
        <v>176</v>
      </c>
      <c r="C4427" s="19" t="n">
        <v>51</v>
      </c>
      <c r="D4427" s="19" t="n">
        <v>4500.68</v>
      </c>
      <c r="E4427" s="19" t="n">
        <v>49</v>
      </c>
      <c r="F4427" s="19" t="n">
        <v>3191.21</v>
      </c>
      <c r="G4427" s="8" t="n">
        <f aca="false">IFERROR(INDEX('TRANS'!$B:$B,MATCH($B4427,'TRANS'!$A:$A,0)),IFERROR(INDEX('TRANS'!$B:$B,MATCH(TRIM(SUBSTITUTE($B4427,CHAR(160)," ")),'TRANS'!$D:$D,0)),IFERROR(INDEX('Catalog'!$A:$A,MATCH($B4427,'Catalog'!$B:$B,0)),IFERROR(INDEX('Catalog'!$A:$A,MATCH(TRIM(SUBSTITUTE($B4427,CHAR(160)," ")),'Catalog'!$C:$C,0)),""))))</f>
        <v>4413452</v>
      </c>
      <c r="H4427" s="8" t="str">
        <f aca="false">IFERROR(INDEX('TRANS'!$C:$C,MATCH($B4427,'TRANS'!$A:$A,0)),IFERROR(INDEX('Catalog'!$B:$B,MATCH($G4427,'Catalog'!$A:$A,0)),$B4427))</f>
        <v>386  מיישר בוניון-האלוקס ולגוס</v>
      </c>
      <c r="I4427" s="8" t="str">
        <f aca="false">IF($G4427="","Unmatched","Matched")</f>
        <v>Matched</v>
      </c>
    </row>
    <row r="4428" customFormat="false" ht="15" hidden="false" customHeight="false" outlineLevel="0" collapsed="false">
      <c r="A4428" s="8" t="s">
        <v>1094</v>
      </c>
      <c r="B4428" s="8" t="s">
        <v>200</v>
      </c>
      <c r="C4428" s="19" t="n">
        <v>0</v>
      </c>
      <c r="D4428" s="19" t="n">
        <v>0</v>
      </c>
      <c r="E4428" s="19" t="n">
        <v>4</v>
      </c>
      <c r="F4428" s="19" t="n">
        <v>235.53</v>
      </c>
      <c r="G4428" s="8" t="n">
        <f aca="false">IFERROR(INDEX('TRANS'!$B:$B,MATCH($B4428,'TRANS'!$A:$A,0)),IFERROR(INDEX('TRANS'!$B:$B,MATCH(TRIM(SUBSTITUTE($B4428,CHAR(160)," ")),'TRANS'!$D:$D,0)),IFERROR(INDEX('Catalog'!$A:$A,MATCH($B4428,'Catalog'!$B:$B,0)),IFERROR(INDEX('Catalog'!$A:$A,MATCH(TRIM(SUBSTITUTE($B4428,CHAR(160)," ")),'Catalog'!$C:$C,0)),""))))</f>
        <v>4403041</v>
      </c>
      <c r="H4428" s="8" t="str">
        <f aca="false">IFERROR(INDEX('TRANS'!$C:$C,MATCH($B4428,'TRANS'!$A:$A,0)),IFERROR(INDEX('Catalog'!$B:$B,MATCH($G4428,'Catalog'!$A:$A,0)),$B4428))</f>
        <v>397A-גרבי טיסה אנטי בקטרי35-38</v>
      </c>
      <c r="I4428" s="8" t="str">
        <f aca="false">IF($G4428="","Unmatched","Matched")</f>
        <v>Matched</v>
      </c>
    </row>
    <row r="4429" customFormat="false" ht="15" hidden="false" customHeight="false" outlineLevel="0" collapsed="false">
      <c r="A4429" s="8" t="s">
        <v>1094</v>
      </c>
      <c r="B4429" s="8" t="s">
        <v>201</v>
      </c>
      <c r="C4429" s="19" t="n">
        <v>0</v>
      </c>
      <c r="D4429" s="19" t="n">
        <v>0</v>
      </c>
      <c r="E4429" s="19" t="n">
        <v>4</v>
      </c>
      <c r="F4429" s="19" t="n">
        <v>205.87</v>
      </c>
      <c r="G4429" s="8" t="n">
        <f aca="false">IFERROR(INDEX('TRANS'!$B:$B,MATCH($B4429,'TRANS'!$A:$A,0)),IFERROR(INDEX('TRANS'!$B:$B,MATCH(TRIM(SUBSTITUTE($B4429,CHAR(160)," ")),'TRANS'!$D:$D,0)),IFERROR(INDEX('Catalog'!$A:$A,MATCH($B4429,'Catalog'!$B:$B,0)),IFERROR(INDEX('Catalog'!$A:$A,MATCH(TRIM(SUBSTITUTE($B4429,CHAR(160)," ")),'Catalog'!$C:$C,0)),""))))</f>
        <v>4403042</v>
      </c>
      <c r="H4429" s="8" t="str">
        <f aca="false">IFERROR(INDEX('TRANS'!$C:$C,MATCH($B4429,'TRANS'!$A:$A,0)),IFERROR(INDEX('Catalog'!$B:$B,MATCH($G4429,'Catalog'!$A:$A,0)),$B4429))</f>
        <v>397A-גרבי טיסה אנטי בקטרי39-42</v>
      </c>
      <c r="I4429" s="8" t="str">
        <f aca="false">IF($G4429="","Unmatched","Matched")</f>
        <v>Matched</v>
      </c>
    </row>
    <row r="4430" customFormat="false" ht="15" hidden="false" customHeight="false" outlineLevel="0" collapsed="false">
      <c r="A4430" s="8" t="s">
        <v>1094</v>
      </c>
      <c r="B4430" s="8" t="s">
        <v>202</v>
      </c>
      <c r="C4430" s="19" t="n">
        <v>0</v>
      </c>
      <c r="D4430" s="19" t="n">
        <v>0</v>
      </c>
      <c r="E4430" s="19" t="n">
        <v>5</v>
      </c>
      <c r="F4430" s="19" t="n">
        <v>285.67</v>
      </c>
      <c r="G4430" s="8" t="n">
        <f aca="false">IFERROR(INDEX('TRANS'!$B:$B,MATCH($B4430,'TRANS'!$A:$A,0)),IFERROR(INDEX('TRANS'!$B:$B,MATCH(TRIM(SUBSTITUTE($B4430,CHAR(160)," ")),'TRANS'!$D:$D,0)),IFERROR(INDEX('Catalog'!$A:$A,MATCH($B4430,'Catalog'!$B:$B,0)),IFERROR(INDEX('Catalog'!$A:$A,MATCH(TRIM(SUBSTITUTE($B4430,CHAR(160)," ")),'Catalog'!$C:$C,0)),""))))</f>
        <v>4403043</v>
      </c>
      <c r="H4430" s="8" t="str">
        <f aca="false">IFERROR(INDEX('TRANS'!$C:$C,MATCH($B4430,'TRANS'!$A:$A,0)),IFERROR(INDEX('Catalog'!$B:$B,MATCH($G4430,'Catalog'!$A:$A,0)),$B4430))</f>
        <v>397A-גרבי טיסה אנטי בקטרי43-46</v>
      </c>
      <c r="I4430" s="8" t="str">
        <f aca="false">IF($G4430="","Unmatched","Matched")</f>
        <v>Matched</v>
      </c>
    </row>
    <row r="4431" customFormat="false" ht="15" hidden="false" customHeight="false" outlineLevel="0" collapsed="false">
      <c r="A4431" s="8" t="s">
        <v>1094</v>
      </c>
      <c r="B4431" s="8" t="s">
        <v>1115</v>
      </c>
      <c r="C4431" s="19" t="n">
        <v>125</v>
      </c>
      <c r="D4431" s="19" t="n">
        <v>23867.72</v>
      </c>
      <c r="E4431" s="19" t="n">
        <v>76</v>
      </c>
      <c r="F4431" s="19" t="n">
        <v>12774.44</v>
      </c>
      <c r="G4431" s="8" t="str">
        <f aca="false">IFERROR(INDEX('TRANS'!$B:$B,MATCH($B4431,'TRANS'!$A:$A,0)),IFERROR(INDEX('TRANS'!$B:$B,MATCH(TRIM(SUBSTITUTE($B4431,CHAR(160)," ")),'TRANS'!$D:$D,0)),IFERROR(INDEX('Catalog'!$A:$A,MATCH($B4431,'Catalog'!$B:$B,0)),IFERROR(INDEX('Catalog'!$A:$A,MATCH(TRIM(SUBSTITUTE($B4431,CHAR(160)," ")),'Catalog'!$C:$C,0)),""))))</f>
        <v/>
      </c>
      <c r="H4431" s="8" t="str">
        <f aca="false">IFERROR(INDEX('TRANS'!$C:$C,MATCH($B4431,'TRANS'!$A:$A,0)),IFERROR(INDEX('Catalog'!$B:$B,MATCH($G4431,'Catalog'!$A:$A,0)),$B4431))</f>
        <v>EC-59D L</v>
      </c>
      <c r="I4431" s="8" t="str">
        <f aca="false">IF($G4431="","Unmatched","Matched")</f>
        <v>Unmatched</v>
      </c>
    </row>
    <row r="4432" customFormat="false" ht="15" hidden="false" customHeight="false" outlineLevel="0" collapsed="false">
      <c r="A4432" s="8" t="s">
        <v>1094</v>
      </c>
      <c r="B4432" s="8" t="s">
        <v>1116</v>
      </c>
      <c r="C4432" s="19" t="n">
        <v>346</v>
      </c>
      <c r="D4432" s="19" t="n">
        <v>66008.37</v>
      </c>
      <c r="E4432" s="19" t="n">
        <v>147</v>
      </c>
      <c r="F4432" s="19" t="n">
        <v>24805.76</v>
      </c>
      <c r="G4432" s="8" t="str">
        <f aca="false">IFERROR(INDEX('TRANS'!$B:$B,MATCH($B4432,'TRANS'!$A:$A,0)),IFERROR(INDEX('TRANS'!$B:$B,MATCH(TRIM(SUBSTITUTE($B4432,CHAR(160)," ")),'TRANS'!$D:$D,0)),IFERROR(INDEX('Catalog'!$A:$A,MATCH($B4432,'Catalog'!$B:$B,0)),IFERROR(INDEX('Catalog'!$A:$A,MATCH(TRIM(SUBSTITUTE($B4432,CHAR(160)," ")),'Catalog'!$C:$C,0)),""))))</f>
        <v/>
      </c>
      <c r="H4432" s="8" t="str">
        <f aca="false">IFERROR(INDEX('TRANS'!$C:$C,MATCH($B4432,'TRANS'!$A:$A,0)),IFERROR(INDEX('Catalog'!$B:$B,MATCH($G4432,'Catalog'!$A:$A,0)),$B4432))</f>
        <v>EC-59D M</v>
      </c>
      <c r="I4432" s="8" t="str">
        <f aca="false">IF($G4432="","Unmatched","Matched")</f>
        <v>Unmatched</v>
      </c>
    </row>
    <row r="4433" customFormat="false" ht="15" hidden="false" customHeight="false" outlineLevel="0" collapsed="false">
      <c r="A4433" s="8" t="s">
        <v>1094</v>
      </c>
      <c r="B4433" s="8" t="s">
        <v>1117</v>
      </c>
      <c r="C4433" s="19" t="n">
        <v>175</v>
      </c>
      <c r="D4433" s="19" t="n">
        <v>33651.11</v>
      </c>
      <c r="E4433" s="19" t="n">
        <v>90</v>
      </c>
      <c r="F4433" s="19" t="n">
        <v>15976.99</v>
      </c>
      <c r="G4433" s="8" t="str">
        <f aca="false">IFERROR(INDEX('TRANS'!$B:$B,MATCH($B4433,'TRANS'!$A:$A,0)),IFERROR(INDEX('TRANS'!$B:$B,MATCH(TRIM(SUBSTITUTE($B4433,CHAR(160)," ")),'TRANS'!$D:$D,0)),IFERROR(INDEX('Catalog'!$A:$A,MATCH($B4433,'Catalog'!$B:$B,0)),IFERROR(INDEX('Catalog'!$A:$A,MATCH(TRIM(SUBSTITUTE($B4433,CHAR(160)," ")),'Catalog'!$C:$C,0)),""))))</f>
        <v/>
      </c>
      <c r="H4433" s="8" t="str">
        <f aca="false">IFERROR(INDEX('TRANS'!$C:$C,MATCH($B4433,'TRANS'!$A:$A,0)),IFERROR(INDEX('Catalog'!$B:$B,MATCH($G4433,'Catalog'!$A:$A,0)),$B4433))</f>
        <v>EC-59D S</v>
      </c>
      <c r="I4433" s="8" t="str">
        <f aca="false">IF($G4433="","Unmatched","Matched")</f>
        <v>Unmatched</v>
      </c>
    </row>
    <row r="4434" customFormat="false" ht="15" hidden="false" customHeight="false" outlineLevel="0" collapsed="false">
      <c r="A4434" s="8" t="s">
        <v>1094</v>
      </c>
      <c r="B4434" s="8" t="s">
        <v>1118</v>
      </c>
      <c r="C4434" s="19" t="n">
        <v>34</v>
      </c>
      <c r="D4434" s="19" t="n">
        <v>6355.2</v>
      </c>
      <c r="E4434" s="19" t="n">
        <v>2</v>
      </c>
      <c r="F4434" s="19" t="n">
        <v>357.48</v>
      </c>
      <c r="G4434" s="8" t="str">
        <f aca="false">IFERROR(INDEX('TRANS'!$B:$B,MATCH($B4434,'TRANS'!$A:$A,0)),IFERROR(INDEX('TRANS'!$B:$B,MATCH(TRIM(SUBSTITUTE($B4434,CHAR(160)," ")),'TRANS'!$D:$D,0)),IFERROR(INDEX('Catalog'!$A:$A,MATCH($B4434,'Catalog'!$B:$B,0)),IFERROR(INDEX('Catalog'!$A:$A,MATCH(TRIM(SUBSTITUTE($B4434,CHAR(160)," ")),'Catalog'!$C:$C,0)),""))))</f>
        <v/>
      </c>
      <c r="H4434" s="8" t="str">
        <f aca="false">IFERROR(INDEX('TRANS'!$C:$C,MATCH($B4434,'TRANS'!$A:$A,0)),IFERROR(INDEX('Catalog'!$B:$B,MATCH($G4434,'Catalog'!$A:$A,0)),$B4434))</f>
        <v>EC-59D XL</v>
      </c>
      <c r="I4434" s="8" t="str">
        <f aca="false">IF($G4434="","Unmatched","Matched")</f>
        <v>Unmatched</v>
      </c>
    </row>
    <row r="4435" customFormat="false" ht="15" hidden="false" customHeight="false" outlineLevel="0" collapsed="false">
      <c r="A4435" s="8" t="s">
        <v>1094</v>
      </c>
      <c r="B4435" s="8" t="s">
        <v>1119</v>
      </c>
      <c r="C4435" s="19" t="n">
        <v>12</v>
      </c>
      <c r="D4435" s="19" t="n">
        <v>2334.78</v>
      </c>
      <c r="E4435" s="19" t="n">
        <v>5</v>
      </c>
      <c r="F4435" s="19" t="n">
        <v>816.68</v>
      </c>
      <c r="G4435" s="8" t="str">
        <f aca="false">IFERROR(INDEX('TRANS'!$B:$B,MATCH($B4435,'TRANS'!$A:$A,0)),IFERROR(INDEX('TRANS'!$B:$B,MATCH(TRIM(SUBSTITUTE($B4435,CHAR(160)," ")),'TRANS'!$D:$D,0)),IFERROR(INDEX('Catalog'!$A:$A,MATCH($B4435,'Catalog'!$B:$B,0)),IFERROR(INDEX('Catalog'!$A:$A,MATCH(TRIM(SUBSTITUTE($B4435,CHAR(160)," ")),'Catalog'!$C:$C,0)),""))))</f>
        <v/>
      </c>
      <c r="H4435" s="8" t="str">
        <f aca="false">IFERROR(INDEX('TRANS'!$C:$C,MATCH($B4435,'TRANS'!$A:$A,0)),IFERROR(INDEX('Catalog'!$B:$B,MATCH($G4435,'Catalog'!$A:$A,0)),$B4435))</f>
        <v>EC-59D XXL</v>
      </c>
      <c r="I4435" s="8" t="str">
        <f aca="false">IF($G4435="","Unmatched","Matched")</f>
        <v>Unmatched</v>
      </c>
    </row>
    <row r="4436" customFormat="false" ht="15" hidden="false" customHeight="false" outlineLevel="0" collapsed="false">
      <c r="A4436" s="8" t="s">
        <v>1094</v>
      </c>
      <c r="B4436" s="8" t="s">
        <v>1120</v>
      </c>
      <c r="C4436" s="19" t="n">
        <v>225</v>
      </c>
      <c r="D4436" s="19" t="n">
        <v>41045.21</v>
      </c>
      <c r="E4436" s="19" t="n">
        <v>114</v>
      </c>
      <c r="F4436" s="19" t="n">
        <v>18620.98</v>
      </c>
      <c r="G4436" s="8" t="str">
        <f aca="false">IFERROR(INDEX('TRANS'!$B:$B,MATCH($B4436,'TRANS'!$A:$A,0)),IFERROR(INDEX('TRANS'!$B:$B,MATCH(TRIM(SUBSTITUTE($B4436,CHAR(160)," ")),'TRANS'!$D:$D,0)),IFERROR(INDEX('Catalog'!$A:$A,MATCH($B4436,'Catalog'!$B:$B,0)),IFERROR(INDEX('Catalog'!$A:$A,MATCH(TRIM(SUBSTITUTE($B4436,CHAR(160)," ")),'Catalog'!$C:$C,0)),""))))</f>
        <v/>
      </c>
      <c r="H4436" s="8" t="str">
        <f aca="false">IFERROR(INDEX('TRANS'!$C:$C,MATCH($B4436,'TRANS'!$A:$A,0)),IFERROR(INDEX('Catalog'!$B:$B,MATCH($G4436,'Catalog'!$A:$A,0)),$B4436))</f>
        <v>EC-59L L</v>
      </c>
      <c r="I4436" s="8" t="str">
        <f aca="false">IF($G4436="","Unmatched","Matched")</f>
        <v>Unmatched</v>
      </c>
    </row>
    <row r="4437" customFormat="false" ht="15" hidden="false" customHeight="false" outlineLevel="0" collapsed="false">
      <c r="A4437" s="8" t="s">
        <v>1094</v>
      </c>
      <c r="B4437" s="8" t="s">
        <v>1121</v>
      </c>
      <c r="C4437" s="19" t="n">
        <v>670</v>
      </c>
      <c r="D4437" s="19" t="n">
        <v>119782.01</v>
      </c>
      <c r="E4437" s="19" t="n">
        <v>313</v>
      </c>
      <c r="F4437" s="19" t="n">
        <v>49927.51</v>
      </c>
      <c r="G4437" s="8" t="str">
        <f aca="false">IFERROR(INDEX('TRANS'!$B:$B,MATCH($B4437,'TRANS'!$A:$A,0)),IFERROR(INDEX('TRANS'!$B:$B,MATCH(TRIM(SUBSTITUTE($B4437,CHAR(160)," ")),'TRANS'!$D:$D,0)),IFERROR(INDEX('Catalog'!$A:$A,MATCH($B4437,'Catalog'!$B:$B,0)),IFERROR(INDEX('Catalog'!$A:$A,MATCH(TRIM(SUBSTITUTE($B4437,CHAR(160)," ")),'Catalog'!$C:$C,0)),""))))</f>
        <v/>
      </c>
      <c r="H4437" s="8" t="str">
        <f aca="false">IFERROR(INDEX('TRANS'!$C:$C,MATCH($B4437,'TRANS'!$A:$A,0)),IFERROR(INDEX('Catalog'!$B:$B,MATCH($G4437,'Catalog'!$A:$A,0)),$B4437))</f>
        <v>EC-59L M</v>
      </c>
      <c r="I4437" s="8" t="str">
        <f aca="false">IF($G4437="","Unmatched","Matched")</f>
        <v>Unmatched</v>
      </c>
    </row>
    <row r="4438" customFormat="false" ht="15" hidden="false" customHeight="false" outlineLevel="0" collapsed="false">
      <c r="A4438" s="8" t="s">
        <v>1094</v>
      </c>
      <c r="B4438" s="8" t="s">
        <v>1122</v>
      </c>
      <c r="C4438" s="19" t="n">
        <v>222</v>
      </c>
      <c r="D4438" s="19" t="n">
        <v>40212.55</v>
      </c>
      <c r="E4438" s="19" t="n">
        <v>120</v>
      </c>
      <c r="F4438" s="19" t="n">
        <v>19417.04</v>
      </c>
      <c r="G4438" s="8" t="str">
        <f aca="false">IFERROR(INDEX('TRANS'!$B:$B,MATCH($B4438,'TRANS'!$A:$A,0)),IFERROR(INDEX('TRANS'!$B:$B,MATCH(TRIM(SUBSTITUTE($B4438,CHAR(160)," ")),'TRANS'!$D:$D,0)),IFERROR(INDEX('Catalog'!$A:$A,MATCH($B4438,'Catalog'!$B:$B,0)),IFERROR(INDEX('Catalog'!$A:$A,MATCH(TRIM(SUBSTITUTE($B4438,CHAR(160)," ")),'Catalog'!$C:$C,0)),""))))</f>
        <v/>
      </c>
      <c r="H4438" s="8" t="str">
        <f aca="false">IFERROR(INDEX('TRANS'!$C:$C,MATCH($B4438,'TRANS'!$A:$A,0)),IFERROR(INDEX('Catalog'!$B:$B,MATCH($G4438,'Catalog'!$A:$A,0)),$B4438))</f>
        <v>EC-59L S</v>
      </c>
      <c r="I4438" s="8" t="str">
        <f aca="false">IF($G4438="","Unmatched","Matched")</f>
        <v>Unmatched</v>
      </c>
    </row>
    <row r="4439" customFormat="false" ht="15" hidden="false" customHeight="false" outlineLevel="0" collapsed="false">
      <c r="A4439" s="8" t="s">
        <v>1094</v>
      </c>
      <c r="B4439" s="8" t="s">
        <v>1123</v>
      </c>
      <c r="C4439" s="19" t="n">
        <v>37</v>
      </c>
      <c r="D4439" s="19" t="n">
        <v>6684.46</v>
      </c>
      <c r="E4439" s="19" t="n">
        <v>11</v>
      </c>
      <c r="F4439" s="19" t="n">
        <v>1733.93</v>
      </c>
      <c r="G4439" s="8" t="str">
        <f aca="false">IFERROR(INDEX('TRANS'!$B:$B,MATCH($B4439,'TRANS'!$A:$A,0)),IFERROR(INDEX('TRANS'!$B:$B,MATCH(TRIM(SUBSTITUTE($B4439,CHAR(160)," ")),'TRANS'!$D:$D,0)),IFERROR(INDEX('Catalog'!$A:$A,MATCH($B4439,'Catalog'!$B:$B,0)),IFERROR(INDEX('Catalog'!$A:$A,MATCH(TRIM(SUBSTITUTE($B4439,CHAR(160)," ")),'Catalog'!$C:$C,0)),""))))</f>
        <v/>
      </c>
      <c r="H4439" s="8" t="str">
        <f aca="false">IFERROR(INDEX('TRANS'!$C:$C,MATCH($B4439,'TRANS'!$A:$A,0)),IFERROR(INDEX('Catalog'!$B:$B,MATCH($G4439,'Catalog'!$A:$A,0)),$B4439))</f>
        <v>EC-59L XL</v>
      </c>
      <c r="I4439" s="8" t="str">
        <f aca="false">IF($G4439="","Unmatched","Matched")</f>
        <v>Unmatched</v>
      </c>
    </row>
    <row r="4440" customFormat="false" ht="15" hidden="false" customHeight="false" outlineLevel="0" collapsed="false">
      <c r="A4440" s="8" t="s">
        <v>1094</v>
      </c>
      <c r="B4440" s="8" t="s">
        <v>1124</v>
      </c>
      <c r="C4440" s="19" t="n">
        <v>403</v>
      </c>
      <c r="D4440" s="19" t="n">
        <v>73333.84</v>
      </c>
      <c r="E4440" s="19" t="n">
        <v>141</v>
      </c>
      <c r="F4440" s="19" t="n">
        <v>22516.1</v>
      </c>
      <c r="G4440" s="8" t="str">
        <f aca="false">IFERROR(INDEX('TRANS'!$B:$B,MATCH($B4440,'TRANS'!$A:$A,0)),IFERROR(INDEX('TRANS'!$B:$B,MATCH(TRIM(SUBSTITUTE($B4440,CHAR(160)," ")),'TRANS'!$D:$D,0)),IFERROR(INDEX('Catalog'!$A:$A,MATCH($B4440,'Catalog'!$B:$B,0)),IFERROR(INDEX('Catalog'!$A:$A,MATCH(TRIM(SUBSTITUTE($B4440,CHAR(160)," ")),'Catalog'!$C:$C,0)),""))))</f>
        <v/>
      </c>
      <c r="H4440" s="8" t="str">
        <f aca="false">IFERROR(INDEX('TRANS'!$C:$C,MATCH($B4440,'TRANS'!$A:$A,0)),IFERROR(INDEX('Catalog'!$B:$B,MATCH($G4440,'Catalog'!$A:$A,0)),$B4440))</f>
        <v>EC-59R L</v>
      </c>
      <c r="I4440" s="8" t="str">
        <f aca="false">IF($G4440="","Unmatched","Matched")</f>
        <v>Unmatched</v>
      </c>
    </row>
    <row r="4441" customFormat="false" ht="15" hidden="false" customHeight="false" outlineLevel="0" collapsed="false">
      <c r="A4441" s="8" t="s">
        <v>1094</v>
      </c>
      <c r="B4441" s="8" t="s">
        <v>1125</v>
      </c>
      <c r="C4441" s="19" t="n">
        <v>1141</v>
      </c>
      <c r="D4441" s="19" t="n">
        <v>191075.16</v>
      </c>
      <c r="E4441" s="19" t="n">
        <v>343</v>
      </c>
      <c r="F4441" s="19" t="n">
        <v>55207.3</v>
      </c>
      <c r="G4441" s="8" t="str">
        <f aca="false">IFERROR(INDEX('TRANS'!$B:$B,MATCH($B4441,'TRANS'!$A:$A,0)),IFERROR(INDEX('TRANS'!$B:$B,MATCH(TRIM(SUBSTITUTE($B4441,CHAR(160)," ")),'TRANS'!$D:$D,0)),IFERROR(INDEX('Catalog'!$A:$A,MATCH($B4441,'Catalog'!$B:$B,0)),IFERROR(INDEX('Catalog'!$A:$A,MATCH(TRIM(SUBSTITUTE($B4441,CHAR(160)," ")),'Catalog'!$C:$C,0)),""))))</f>
        <v/>
      </c>
      <c r="H4441" s="8" t="str">
        <f aca="false">IFERROR(INDEX('TRANS'!$C:$C,MATCH($B4441,'TRANS'!$A:$A,0)),IFERROR(INDEX('Catalog'!$B:$B,MATCH($G4441,'Catalog'!$A:$A,0)),$B4441))</f>
        <v>EC-59R M</v>
      </c>
      <c r="I4441" s="8" t="str">
        <f aca="false">IF($G4441="","Unmatched","Matched")</f>
        <v>Unmatched</v>
      </c>
    </row>
    <row r="4442" customFormat="false" ht="15" hidden="false" customHeight="false" outlineLevel="0" collapsed="false">
      <c r="A4442" s="8" t="s">
        <v>1094</v>
      </c>
      <c r="B4442" s="8" t="s">
        <v>1126</v>
      </c>
      <c r="C4442" s="19" t="n">
        <v>502</v>
      </c>
      <c r="D4442" s="19" t="n">
        <v>92438.48</v>
      </c>
      <c r="E4442" s="19" t="n">
        <v>189</v>
      </c>
      <c r="F4442" s="19" t="n">
        <v>30425.69</v>
      </c>
      <c r="G4442" s="8" t="str">
        <f aca="false">IFERROR(INDEX('TRANS'!$B:$B,MATCH($B4442,'TRANS'!$A:$A,0)),IFERROR(INDEX('TRANS'!$B:$B,MATCH(TRIM(SUBSTITUTE($B4442,CHAR(160)," ")),'TRANS'!$D:$D,0)),IFERROR(INDEX('Catalog'!$A:$A,MATCH($B4442,'Catalog'!$B:$B,0)),IFERROR(INDEX('Catalog'!$A:$A,MATCH(TRIM(SUBSTITUTE($B4442,CHAR(160)," ")),'Catalog'!$C:$C,0)),""))))</f>
        <v/>
      </c>
      <c r="H4442" s="8" t="str">
        <f aca="false">IFERROR(INDEX('TRANS'!$C:$C,MATCH($B4442,'TRANS'!$A:$A,0)),IFERROR(INDEX('Catalog'!$B:$B,MATCH($G4442,'Catalog'!$A:$A,0)),$B4442))</f>
        <v>EC-59R S</v>
      </c>
      <c r="I4442" s="8" t="str">
        <f aca="false">IF($G4442="","Unmatched","Matched")</f>
        <v>Unmatched</v>
      </c>
    </row>
    <row r="4443" customFormat="false" ht="15" hidden="false" customHeight="false" outlineLevel="0" collapsed="false">
      <c r="A4443" s="8" t="s">
        <v>1094</v>
      </c>
      <c r="B4443" s="8" t="s">
        <v>1127</v>
      </c>
      <c r="C4443" s="19" t="n">
        <v>54</v>
      </c>
      <c r="D4443" s="19" t="n">
        <v>8550.82</v>
      </c>
      <c r="E4443" s="19" t="n">
        <v>7</v>
      </c>
      <c r="F4443" s="19" t="n">
        <v>1105.14</v>
      </c>
      <c r="G4443" s="8" t="str">
        <f aca="false">IFERROR(INDEX('TRANS'!$B:$B,MATCH($B4443,'TRANS'!$A:$A,0)),IFERROR(INDEX('TRANS'!$B:$B,MATCH(TRIM(SUBSTITUTE($B4443,CHAR(160)," ")),'TRANS'!$D:$D,0)),IFERROR(INDEX('Catalog'!$A:$A,MATCH($B4443,'Catalog'!$B:$B,0)),IFERROR(INDEX('Catalog'!$A:$A,MATCH(TRIM(SUBSTITUTE($B4443,CHAR(160)," ")),'Catalog'!$C:$C,0)),""))))</f>
        <v/>
      </c>
      <c r="H4443" s="8" t="str">
        <f aca="false">IFERROR(INDEX('TRANS'!$C:$C,MATCH($B4443,'TRANS'!$A:$A,0)),IFERROR(INDEX('Catalog'!$B:$B,MATCH($G4443,'Catalog'!$A:$A,0)),$B4443))</f>
        <v>EC-59R XL</v>
      </c>
      <c r="I4443" s="8" t="str">
        <f aca="false">IF($G4443="","Unmatched","Matched")</f>
        <v>Unmatched</v>
      </c>
    </row>
    <row r="4444" customFormat="false" ht="15" hidden="false" customHeight="false" outlineLevel="0" collapsed="false">
      <c r="A4444" s="8" t="s">
        <v>1094</v>
      </c>
      <c r="B4444" s="8" t="s">
        <v>1128</v>
      </c>
      <c r="C4444" s="19" t="n">
        <v>23</v>
      </c>
      <c r="D4444" s="19" t="n">
        <v>4233.37</v>
      </c>
      <c r="E4444" s="19" t="n">
        <v>0</v>
      </c>
      <c r="F4444" s="19" t="n">
        <v>0</v>
      </c>
      <c r="G4444" s="8" t="str">
        <f aca="false">IFERROR(INDEX('TRANS'!$B:$B,MATCH($B4444,'TRANS'!$A:$A,0)),IFERROR(INDEX('TRANS'!$B:$B,MATCH(TRIM(SUBSTITUTE($B4444,CHAR(160)," ")),'TRANS'!$D:$D,0)),IFERROR(INDEX('Catalog'!$A:$A,MATCH($B4444,'Catalog'!$B:$B,0)),IFERROR(INDEX('Catalog'!$A:$A,MATCH(TRIM(SUBSTITUTE($B4444,CHAR(160)," ")),'Catalog'!$C:$C,0)),""))))</f>
        <v/>
      </c>
      <c r="H4444" s="8" t="str">
        <f aca="false">IFERROR(INDEX('TRANS'!$C:$C,MATCH($B4444,'TRANS'!$A:$A,0)),IFERROR(INDEX('Catalog'!$B:$B,MATCH($G4444,'Catalog'!$A:$A,0)),$B4444))</f>
        <v>EC-59R XXL</v>
      </c>
      <c r="I4444" s="8" t="str">
        <f aca="false">IF($G4444="","Unmatched","Matched")</f>
        <v>Unmatched</v>
      </c>
    </row>
    <row r="4445" customFormat="false" ht="15" hidden="false" customHeight="false" outlineLevel="0" collapsed="false">
      <c r="A4445" s="8" t="s">
        <v>1094</v>
      </c>
      <c r="B4445" s="8" t="s">
        <v>1129</v>
      </c>
      <c r="C4445" s="19" t="n">
        <v>60</v>
      </c>
      <c r="D4445" s="19" t="n">
        <v>11413.11</v>
      </c>
      <c r="E4445" s="19" t="n">
        <v>58</v>
      </c>
      <c r="F4445" s="19" t="n">
        <v>9662.31</v>
      </c>
      <c r="G4445" s="8" t="str">
        <f aca="false">IFERROR(INDEX('TRANS'!$B:$B,MATCH($B4445,'TRANS'!$A:$A,0)),IFERROR(INDEX('TRANS'!$B:$B,MATCH(TRIM(SUBSTITUTE($B4445,CHAR(160)," ")),'TRANS'!$D:$D,0)),IFERROR(INDEX('Catalog'!$A:$A,MATCH($B4445,'Catalog'!$B:$B,0)),IFERROR(INDEX('Catalog'!$A:$A,MATCH(TRIM(SUBSTITUTE($B4445,CHAR(160)," ")),'Catalog'!$C:$C,0)),""))))</f>
        <v/>
      </c>
      <c r="H4445" s="8" t="str">
        <f aca="false">IFERROR(INDEX('TRANS'!$C:$C,MATCH($B4445,'TRANS'!$A:$A,0)),IFERROR(INDEX('Catalog'!$B:$B,MATCH($G4445,'Catalog'!$A:$A,0)),$B4445))</f>
        <v>EC-59DB L</v>
      </c>
      <c r="I4445" s="8" t="str">
        <f aca="false">IF($G4445="","Unmatched","Matched")</f>
        <v>Unmatched</v>
      </c>
    </row>
    <row r="4446" customFormat="false" ht="15" hidden="false" customHeight="false" outlineLevel="0" collapsed="false">
      <c r="A4446" s="8" t="s">
        <v>1094</v>
      </c>
      <c r="B4446" s="8" t="s">
        <v>1130</v>
      </c>
      <c r="C4446" s="19" t="n">
        <v>125</v>
      </c>
      <c r="D4446" s="19" t="n">
        <v>23137.22</v>
      </c>
      <c r="E4446" s="19" t="n">
        <v>151</v>
      </c>
      <c r="F4446" s="19" t="n">
        <v>25254.52</v>
      </c>
      <c r="G4446" s="8" t="str">
        <f aca="false">IFERROR(INDEX('TRANS'!$B:$B,MATCH($B4446,'TRANS'!$A:$A,0)),IFERROR(INDEX('TRANS'!$B:$B,MATCH(TRIM(SUBSTITUTE($B4446,CHAR(160)," ")),'TRANS'!$D:$D,0)),IFERROR(INDEX('Catalog'!$A:$A,MATCH($B4446,'Catalog'!$B:$B,0)),IFERROR(INDEX('Catalog'!$A:$A,MATCH(TRIM(SUBSTITUTE($B4446,CHAR(160)," ")),'Catalog'!$C:$C,0)),""))))</f>
        <v/>
      </c>
      <c r="H4446" s="8" t="str">
        <f aca="false">IFERROR(INDEX('TRANS'!$C:$C,MATCH($B4446,'TRANS'!$A:$A,0)),IFERROR(INDEX('Catalog'!$B:$B,MATCH($G4446,'Catalog'!$A:$A,0)),$B4446))</f>
        <v>EC-59DB M</v>
      </c>
      <c r="I4446" s="8" t="str">
        <f aca="false">IF($G4446="","Unmatched","Matched")</f>
        <v>Unmatched</v>
      </c>
    </row>
    <row r="4447" customFormat="false" ht="15" hidden="false" customHeight="false" outlineLevel="0" collapsed="false">
      <c r="A4447" s="8" t="s">
        <v>1094</v>
      </c>
      <c r="B4447" s="8" t="s">
        <v>1131</v>
      </c>
      <c r="C4447" s="19" t="n">
        <v>49</v>
      </c>
      <c r="D4447" s="19" t="n">
        <v>9171.45</v>
      </c>
      <c r="E4447" s="19" t="n">
        <v>84</v>
      </c>
      <c r="F4447" s="19" t="n">
        <v>14233.5</v>
      </c>
      <c r="G4447" s="8" t="str">
        <f aca="false">IFERROR(INDEX('TRANS'!$B:$B,MATCH($B4447,'TRANS'!$A:$A,0)),IFERROR(INDEX('TRANS'!$B:$B,MATCH(TRIM(SUBSTITUTE($B4447,CHAR(160)," ")),'TRANS'!$D:$D,0)),IFERROR(INDEX('Catalog'!$A:$A,MATCH($B4447,'Catalog'!$B:$B,0)),IFERROR(INDEX('Catalog'!$A:$A,MATCH(TRIM(SUBSTITUTE($B4447,CHAR(160)," ")),'Catalog'!$C:$C,0)),""))))</f>
        <v/>
      </c>
      <c r="H4447" s="8" t="str">
        <f aca="false">IFERROR(INDEX('TRANS'!$C:$C,MATCH($B4447,'TRANS'!$A:$A,0)),IFERROR(INDEX('Catalog'!$B:$B,MATCH($G4447,'Catalog'!$A:$A,0)),$B4447))</f>
        <v>EC-59DB S</v>
      </c>
      <c r="I4447" s="8" t="str">
        <f aca="false">IF($G4447="","Unmatched","Matched")</f>
        <v>Unmatched</v>
      </c>
    </row>
    <row r="4448" customFormat="false" ht="15" hidden="false" customHeight="false" outlineLevel="0" collapsed="false">
      <c r="A4448" s="8" t="s">
        <v>1094</v>
      </c>
      <c r="B4448" s="8" t="s">
        <v>1132</v>
      </c>
      <c r="C4448" s="19" t="n">
        <v>7</v>
      </c>
      <c r="D4448" s="19" t="n">
        <v>1289.35</v>
      </c>
      <c r="E4448" s="19" t="n">
        <v>22</v>
      </c>
      <c r="F4448" s="19" t="n">
        <v>3724.24</v>
      </c>
      <c r="G4448" s="8" t="str">
        <f aca="false">IFERROR(INDEX('TRANS'!$B:$B,MATCH($B4448,'TRANS'!$A:$A,0)),IFERROR(INDEX('TRANS'!$B:$B,MATCH(TRIM(SUBSTITUTE($B4448,CHAR(160)," ")),'TRANS'!$D:$D,0)),IFERROR(INDEX('Catalog'!$A:$A,MATCH($B4448,'Catalog'!$B:$B,0)),IFERROR(INDEX('Catalog'!$A:$A,MATCH(TRIM(SUBSTITUTE($B4448,CHAR(160)," ")),'Catalog'!$C:$C,0)),""))))</f>
        <v/>
      </c>
      <c r="H4448" s="8" t="str">
        <f aca="false">IFERROR(INDEX('TRANS'!$C:$C,MATCH($B4448,'TRANS'!$A:$A,0)),IFERROR(INDEX('Catalog'!$B:$B,MATCH($G4448,'Catalog'!$A:$A,0)),$B4448))</f>
        <v>EC-59DB XL</v>
      </c>
      <c r="I4448" s="8" t="str">
        <f aca="false">IF($G4448="","Unmatched","Matched")</f>
        <v>Unmatched</v>
      </c>
    </row>
    <row r="4449" customFormat="false" ht="15" hidden="false" customHeight="false" outlineLevel="0" collapsed="false">
      <c r="A4449" s="8" t="s">
        <v>1094</v>
      </c>
      <c r="B4449" s="8" t="s">
        <v>1133</v>
      </c>
      <c r="C4449" s="19" t="n">
        <v>11</v>
      </c>
      <c r="D4449" s="19" t="n">
        <v>1984.08</v>
      </c>
      <c r="E4449" s="19" t="n">
        <v>17</v>
      </c>
      <c r="F4449" s="19" t="n">
        <v>2850.77</v>
      </c>
      <c r="G4449" s="8" t="str">
        <f aca="false">IFERROR(INDEX('TRANS'!$B:$B,MATCH($B4449,'TRANS'!$A:$A,0)),IFERROR(INDEX('TRANS'!$B:$B,MATCH(TRIM(SUBSTITUTE($B4449,CHAR(160)," ")),'TRANS'!$D:$D,0)),IFERROR(INDEX('Catalog'!$A:$A,MATCH($B4449,'Catalog'!$B:$B,0)),IFERROR(INDEX('Catalog'!$A:$A,MATCH(TRIM(SUBSTITUTE($B4449,CHAR(160)," ")),'Catalog'!$C:$C,0)),""))))</f>
        <v/>
      </c>
      <c r="H4449" s="8" t="str">
        <f aca="false">IFERROR(INDEX('TRANS'!$C:$C,MATCH($B4449,'TRANS'!$A:$A,0)),IFERROR(INDEX('Catalog'!$B:$B,MATCH($G4449,'Catalog'!$A:$A,0)),$B4449))</f>
        <v>EC-59DB XXL</v>
      </c>
      <c r="I4449" s="8" t="str">
        <f aca="false">IF($G4449="","Unmatched","Matched")</f>
        <v>Unmatched</v>
      </c>
    </row>
    <row r="4450" customFormat="false" ht="15" hidden="false" customHeight="false" outlineLevel="0" collapsed="false">
      <c r="A4450" s="8" t="s">
        <v>1094</v>
      </c>
      <c r="B4450" s="8" t="s">
        <v>1134</v>
      </c>
      <c r="C4450" s="19" t="n">
        <v>128</v>
      </c>
      <c r="D4450" s="19" t="n">
        <v>22838.32</v>
      </c>
      <c r="E4450" s="19" t="n">
        <v>115</v>
      </c>
      <c r="F4450" s="19" t="n">
        <v>18446.61</v>
      </c>
      <c r="G4450" s="8" t="str">
        <f aca="false">IFERROR(INDEX('TRANS'!$B:$B,MATCH($B4450,'TRANS'!$A:$A,0)),IFERROR(INDEX('TRANS'!$B:$B,MATCH(TRIM(SUBSTITUTE($B4450,CHAR(160)," ")),'TRANS'!$D:$D,0)),IFERROR(INDEX('Catalog'!$A:$A,MATCH($B4450,'Catalog'!$B:$B,0)),IFERROR(INDEX('Catalog'!$A:$A,MATCH(TRIM(SUBSTITUTE($B4450,CHAR(160)," ")),'Catalog'!$C:$C,0)),""))))</f>
        <v/>
      </c>
      <c r="H4450" s="8" t="str">
        <f aca="false">IFERROR(INDEX('TRANS'!$C:$C,MATCH($B4450,'TRANS'!$A:$A,0)),IFERROR(INDEX('Catalog'!$B:$B,MATCH($G4450,'Catalog'!$A:$A,0)),$B4450))</f>
        <v>EC-59LB L</v>
      </c>
      <c r="I4450" s="8" t="str">
        <f aca="false">IF($G4450="","Unmatched","Matched")</f>
        <v>Unmatched</v>
      </c>
    </row>
    <row r="4451" customFormat="false" ht="15" hidden="false" customHeight="false" outlineLevel="0" collapsed="false">
      <c r="A4451" s="8" t="s">
        <v>1094</v>
      </c>
      <c r="B4451" s="8" t="s">
        <v>1135</v>
      </c>
      <c r="C4451" s="19" t="n">
        <v>324</v>
      </c>
      <c r="D4451" s="19" t="n">
        <v>58442.65</v>
      </c>
      <c r="E4451" s="19" t="n">
        <v>350</v>
      </c>
      <c r="F4451" s="19" t="n">
        <v>56190.69</v>
      </c>
      <c r="G4451" s="8" t="str">
        <f aca="false">IFERROR(INDEX('TRANS'!$B:$B,MATCH($B4451,'TRANS'!$A:$A,0)),IFERROR(INDEX('TRANS'!$B:$B,MATCH(TRIM(SUBSTITUTE($B4451,CHAR(160)," ")),'TRANS'!$D:$D,0)),IFERROR(INDEX('Catalog'!$A:$A,MATCH($B4451,'Catalog'!$B:$B,0)),IFERROR(INDEX('Catalog'!$A:$A,MATCH(TRIM(SUBSTITUTE($B4451,CHAR(160)," ")),'Catalog'!$C:$C,0)),""))))</f>
        <v/>
      </c>
      <c r="H4451" s="8" t="str">
        <f aca="false">IFERROR(INDEX('TRANS'!$C:$C,MATCH($B4451,'TRANS'!$A:$A,0)),IFERROR(INDEX('Catalog'!$B:$B,MATCH($G4451,'Catalog'!$A:$A,0)),$B4451))</f>
        <v>EC-59LB M</v>
      </c>
      <c r="I4451" s="8" t="str">
        <f aca="false">IF($G4451="","Unmatched","Matched")</f>
        <v>Unmatched</v>
      </c>
    </row>
    <row r="4452" customFormat="false" ht="15" hidden="false" customHeight="false" outlineLevel="0" collapsed="false">
      <c r="A4452" s="8" t="s">
        <v>1094</v>
      </c>
      <c r="B4452" s="8" t="s">
        <v>1136</v>
      </c>
      <c r="C4452" s="19" t="n">
        <v>243</v>
      </c>
      <c r="D4452" s="19" t="n">
        <v>43557.14</v>
      </c>
      <c r="E4452" s="19" t="n">
        <v>185</v>
      </c>
      <c r="F4452" s="19" t="n">
        <v>29658.02</v>
      </c>
      <c r="G4452" s="8" t="str">
        <f aca="false">IFERROR(INDEX('TRANS'!$B:$B,MATCH($B4452,'TRANS'!$A:$A,0)),IFERROR(INDEX('TRANS'!$B:$B,MATCH(TRIM(SUBSTITUTE($B4452,CHAR(160)," ")),'TRANS'!$D:$D,0)),IFERROR(INDEX('Catalog'!$A:$A,MATCH($B4452,'Catalog'!$B:$B,0)),IFERROR(INDEX('Catalog'!$A:$A,MATCH(TRIM(SUBSTITUTE($B4452,CHAR(160)," ")),'Catalog'!$C:$C,0)),""))))</f>
        <v/>
      </c>
      <c r="H4452" s="8" t="str">
        <f aca="false">IFERROR(INDEX('TRANS'!$C:$C,MATCH($B4452,'TRANS'!$A:$A,0)),IFERROR(INDEX('Catalog'!$B:$B,MATCH($G4452,'Catalog'!$A:$A,0)),$B4452))</f>
        <v>EC-59LB S</v>
      </c>
      <c r="I4452" s="8" t="str">
        <f aca="false">IF($G4452="","Unmatched","Matched")</f>
        <v>Unmatched</v>
      </c>
    </row>
    <row r="4453" customFormat="false" ht="15" hidden="false" customHeight="false" outlineLevel="0" collapsed="false">
      <c r="A4453" s="8" t="s">
        <v>1094</v>
      </c>
      <c r="B4453" s="8" t="s">
        <v>1137</v>
      </c>
      <c r="C4453" s="19" t="n">
        <v>21</v>
      </c>
      <c r="D4453" s="19" t="n">
        <v>3503.89</v>
      </c>
      <c r="E4453" s="19" t="n">
        <v>14</v>
      </c>
      <c r="F4453" s="19" t="n">
        <v>2355.71</v>
      </c>
      <c r="G4453" s="8" t="str">
        <f aca="false">IFERROR(INDEX('TRANS'!$B:$B,MATCH($B4453,'TRANS'!$A:$A,0)),IFERROR(INDEX('TRANS'!$B:$B,MATCH(TRIM(SUBSTITUTE($B4453,CHAR(160)," ")),'TRANS'!$D:$D,0)),IFERROR(INDEX('Catalog'!$A:$A,MATCH($B4453,'Catalog'!$B:$B,0)),IFERROR(INDEX('Catalog'!$A:$A,MATCH(TRIM(SUBSTITUTE($B4453,CHAR(160)," ")),'Catalog'!$C:$C,0)),""))))</f>
        <v/>
      </c>
      <c r="H4453" s="8" t="str">
        <f aca="false">IFERROR(INDEX('TRANS'!$C:$C,MATCH($B4453,'TRANS'!$A:$A,0)),IFERROR(INDEX('Catalog'!$B:$B,MATCH($G4453,'Catalog'!$A:$A,0)),$B4453))</f>
        <v>EC-59LB XL</v>
      </c>
      <c r="I4453" s="8" t="str">
        <f aca="false">IF($G4453="","Unmatched","Matched")</f>
        <v>Unmatched</v>
      </c>
    </row>
    <row r="4454" customFormat="false" ht="15" hidden="false" customHeight="false" outlineLevel="0" collapsed="false">
      <c r="A4454" s="8" t="s">
        <v>1094</v>
      </c>
      <c r="B4454" s="8" t="s">
        <v>1138</v>
      </c>
      <c r="C4454" s="19" t="n">
        <v>7</v>
      </c>
      <c r="D4454" s="19" t="n">
        <v>1230.79</v>
      </c>
      <c r="E4454" s="19" t="n">
        <v>13</v>
      </c>
      <c r="F4454" s="19" t="n">
        <v>2132.76</v>
      </c>
      <c r="G4454" s="8" t="str">
        <f aca="false">IFERROR(INDEX('TRANS'!$B:$B,MATCH($B4454,'TRANS'!$A:$A,0)),IFERROR(INDEX('TRANS'!$B:$B,MATCH(TRIM(SUBSTITUTE($B4454,CHAR(160)," ")),'TRANS'!$D:$D,0)),IFERROR(INDEX('Catalog'!$A:$A,MATCH($B4454,'Catalog'!$B:$B,0)),IFERROR(INDEX('Catalog'!$A:$A,MATCH(TRIM(SUBSTITUTE($B4454,CHAR(160)," ")),'Catalog'!$C:$C,0)),""))))</f>
        <v/>
      </c>
      <c r="H4454" s="8" t="str">
        <f aca="false">IFERROR(INDEX('TRANS'!$C:$C,MATCH($B4454,'TRANS'!$A:$A,0)),IFERROR(INDEX('Catalog'!$B:$B,MATCH($G4454,'Catalog'!$A:$A,0)),$B4454))</f>
        <v>EC-59LB XXL</v>
      </c>
      <c r="I4454" s="8" t="str">
        <f aca="false">IF($G4454="","Unmatched","Matched")</f>
        <v>Unmatched</v>
      </c>
    </row>
    <row r="4455" customFormat="false" ht="15" hidden="false" customHeight="false" outlineLevel="0" collapsed="false">
      <c r="A4455" s="8" t="s">
        <v>1094</v>
      </c>
      <c r="B4455" s="8" t="s">
        <v>1139</v>
      </c>
      <c r="C4455" s="19" t="n">
        <v>268</v>
      </c>
      <c r="D4455" s="19" t="n">
        <v>47354.81</v>
      </c>
      <c r="E4455" s="19" t="n">
        <v>203</v>
      </c>
      <c r="F4455" s="19" t="n">
        <v>32989.62</v>
      </c>
      <c r="G4455" s="8" t="str">
        <f aca="false">IFERROR(INDEX('TRANS'!$B:$B,MATCH($B4455,'TRANS'!$A:$A,0)),IFERROR(INDEX('TRANS'!$B:$B,MATCH(TRIM(SUBSTITUTE($B4455,CHAR(160)," ")),'TRANS'!$D:$D,0)),IFERROR(INDEX('Catalog'!$A:$A,MATCH($B4455,'Catalog'!$B:$B,0)),IFERROR(INDEX('Catalog'!$A:$A,MATCH(TRIM(SUBSTITUTE($B4455,CHAR(160)," ")),'Catalog'!$C:$C,0)),""))))</f>
        <v/>
      </c>
      <c r="H4455" s="8" t="str">
        <f aca="false">IFERROR(INDEX('TRANS'!$C:$C,MATCH($B4455,'TRANS'!$A:$A,0)),IFERROR(INDEX('Catalog'!$B:$B,MATCH($G4455,'Catalog'!$A:$A,0)),$B4455))</f>
        <v>EC-59RB L</v>
      </c>
      <c r="I4455" s="8" t="str">
        <f aca="false">IF($G4455="","Unmatched","Matched")</f>
        <v>Unmatched</v>
      </c>
    </row>
    <row r="4456" customFormat="false" ht="15" hidden="false" customHeight="false" outlineLevel="0" collapsed="false">
      <c r="A4456" s="8" t="s">
        <v>1094</v>
      </c>
      <c r="B4456" s="8" t="s">
        <v>1140</v>
      </c>
      <c r="C4456" s="19" t="n">
        <v>769</v>
      </c>
      <c r="D4456" s="19" t="n">
        <v>135894.77</v>
      </c>
      <c r="E4456" s="19" t="n">
        <v>1146</v>
      </c>
      <c r="F4456" s="19" t="n">
        <v>183863.79</v>
      </c>
      <c r="G4456" s="8" t="str">
        <f aca="false">IFERROR(INDEX('TRANS'!$B:$B,MATCH($B4456,'TRANS'!$A:$A,0)),IFERROR(INDEX('TRANS'!$B:$B,MATCH(TRIM(SUBSTITUTE($B4456,CHAR(160)," ")),'TRANS'!$D:$D,0)),IFERROR(INDEX('Catalog'!$A:$A,MATCH($B4456,'Catalog'!$B:$B,0)),IFERROR(INDEX('Catalog'!$A:$A,MATCH(TRIM(SUBSTITUTE($B4456,CHAR(160)," ")),'Catalog'!$C:$C,0)),""))))</f>
        <v/>
      </c>
      <c r="H4456" s="8" t="str">
        <f aca="false">IFERROR(INDEX('TRANS'!$C:$C,MATCH($B4456,'TRANS'!$A:$A,0)),IFERROR(INDEX('Catalog'!$B:$B,MATCH($G4456,'Catalog'!$A:$A,0)),$B4456))</f>
        <v>EC-59RB M</v>
      </c>
      <c r="I4456" s="8" t="str">
        <f aca="false">IF($G4456="","Unmatched","Matched")</f>
        <v>Unmatched</v>
      </c>
    </row>
    <row r="4457" customFormat="false" ht="15" hidden="false" customHeight="false" outlineLevel="0" collapsed="false">
      <c r="A4457" s="8" t="s">
        <v>1094</v>
      </c>
      <c r="B4457" s="8" t="s">
        <v>1141</v>
      </c>
      <c r="C4457" s="19" t="n">
        <v>384</v>
      </c>
      <c r="D4457" s="19" t="n">
        <v>68602.16</v>
      </c>
      <c r="E4457" s="19" t="n">
        <v>326</v>
      </c>
      <c r="F4457" s="19" t="n">
        <v>51617.83</v>
      </c>
      <c r="G4457" s="8" t="str">
        <f aca="false">IFERROR(INDEX('TRANS'!$B:$B,MATCH($B4457,'TRANS'!$A:$A,0)),IFERROR(INDEX('TRANS'!$B:$B,MATCH(TRIM(SUBSTITUTE($B4457,CHAR(160)," ")),'TRANS'!$D:$D,0)),IFERROR(INDEX('Catalog'!$A:$A,MATCH($B4457,'Catalog'!$B:$B,0)),IFERROR(INDEX('Catalog'!$A:$A,MATCH(TRIM(SUBSTITUTE($B4457,CHAR(160)," ")),'Catalog'!$C:$C,0)),""))))</f>
        <v/>
      </c>
      <c r="H4457" s="8" t="str">
        <f aca="false">IFERROR(INDEX('TRANS'!$C:$C,MATCH($B4457,'TRANS'!$A:$A,0)),IFERROR(INDEX('Catalog'!$B:$B,MATCH($G4457,'Catalog'!$A:$A,0)),$B4457))</f>
        <v>EC-59RB S</v>
      </c>
      <c r="I4457" s="8" t="str">
        <f aca="false">IF($G4457="","Unmatched","Matched")</f>
        <v>Unmatched</v>
      </c>
    </row>
    <row r="4458" customFormat="false" ht="15" hidden="false" customHeight="false" outlineLevel="0" collapsed="false">
      <c r="A4458" s="8" t="s">
        <v>1094</v>
      </c>
      <c r="B4458" s="8" t="s">
        <v>1142</v>
      </c>
      <c r="C4458" s="19" t="n">
        <v>37</v>
      </c>
      <c r="D4458" s="19" t="n">
        <v>6510.26</v>
      </c>
      <c r="E4458" s="19" t="n">
        <v>0</v>
      </c>
      <c r="F4458" s="19" t="n">
        <v>0</v>
      </c>
      <c r="G4458" s="8" t="str">
        <f aca="false">IFERROR(INDEX('TRANS'!$B:$B,MATCH($B4458,'TRANS'!$A:$A,0)),IFERROR(INDEX('TRANS'!$B:$B,MATCH(TRIM(SUBSTITUTE($B4458,CHAR(160)," ")),'TRANS'!$D:$D,0)),IFERROR(INDEX('Catalog'!$A:$A,MATCH($B4458,'Catalog'!$B:$B,0)),IFERROR(INDEX('Catalog'!$A:$A,MATCH(TRIM(SUBSTITUTE($B4458,CHAR(160)," ")),'Catalog'!$C:$C,0)),""))))</f>
        <v/>
      </c>
      <c r="H4458" s="8" t="str">
        <f aca="false">IFERROR(INDEX('TRANS'!$C:$C,MATCH($B4458,'TRANS'!$A:$A,0)),IFERROR(INDEX('Catalog'!$B:$B,MATCH($G4458,'Catalog'!$A:$A,0)),$B4458))</f>
        <v>EC-59RB XL</v>
      </c>
      <c r="I4458" s="8" t="str">
        <f aca="false">IF($G4458="","Unmatched","Matched")</f>
        <v>Unmatched</v>
      </c>
    </row>
    <row r="4459" customFormat="false" ht="15" hidden="false" customHeight="false" outlineLevel="0" collapsed="false">
      <c r="A4459" s="8" t="s">
        <v>1094</v>
      </c>
      <c r="B4459" s="8" t="s">
        <v>1143</v>
      </c>
      <c r="C4459" s="19" t="n">
        <v>15</v>
      </c>
      <c r="D4459" s="19" t="n">
        <v>2644.47</v>
      </c>
      <c r="E4459" s="19" t="n">
        <v>15</v>
      </c>
      <c r="F4459" s="19" t="n">
        <v>2265.72</v>
      </c>
      <c r="G4459" s="8" t="str">
        <f aca="false">IFERROR(INDEX('TRANS'!$B:$B,MATCH($B4459,'TRANS'!$A:$A,0)),IFERROR(INDEX('TRANS'!$B:$B,MATCH(TRIM(SUBSTITUTE($B4459,CHAR(160)," ")),'TRANS'!$D:$D,0)),IFERROR(INDEX('Catalog'!$A:$A,MATCH($B4459,'Catalog'!$B:$B,0)),IFERROR(INDEX('Catalog'!$A:$A,MATCH(TRIM(SUBSTITUTE($B4459,CHAR(160)," ")),'Catalog'!$C:$C,0)),""))))</f>
        <v/>
      </c>
      <c r="H4459" s="8" t="str">
        <f aca="false">IFERROR(INDEX('TRANS'!$C:$C,MATCH($B4459,'TRANS'!$A:$A,0)),IFERROR(INDEX('Catalog'!$B:$B,MATCH($G4459,'Catalog'!$A:$A,0)),$B4459))</f>
        <v>EC-59RB XXL</v>
      </c>
      <c r="I4459" s="8" t="str">
        <f aca="false">IF($G4459="","Unmatched","Matched")</f>
        <v>Unmatched</v>
      </c>
    </row>
    <row r="4460" customFormat="false" ht="15" hidden="false" customHeight="false" outlineLevel="0" collapsed="false">
      <c r="A4460" s="8" t="s">
        <v>1094</v>
      </c>
      <c r="B4460" s="8" t="s">
        <v>1144</v>
      </c>
      <c r="C4460" s="19" t="n">
        <v>0</v>
      </c>
      <c r="D4460" s="19" t="n">
        <v>42266.02</v>
      </c>
      <c r="E4460" s="19" t="n">
        <v>0</v>
      </c>
      <c r="F4460" s="19" t="n">
        <v>0</v>
      </c>
      <c r="G4460" s="8" t="str">
        <f aca="false">IFERROR(INDEX('TRANS'!$B:$B,MATCH($B4460,'TRANS'!$A:$A,0)),IFERROR(INDEX('TRANS'!$B:$B,MATCH(TRIM(SUBSTITUTE($B4460,CHAR(160)," ")),'TRANS'!$D:$D,0)),IFERROR(INDEX('Catalog'!$A:$A,MATCH($B4460,'Catalog'!$B:$B,0)),IFERROR(INDEX('Catalog'!$A:$A,MATCH(TRIM(SUBSTITUTE($B4460,CHAR(160)," ")),'Catalog'!$C:$C,0)),""))))</f>
        <v/>
      </c>
      <c r="H4460" s="8" t="str">
        <f aca="false">IFERROR(INDEX('TRANS'!$C:$C,MATCH($B4460,'TRANS'!$A:$A,0)),IFERROR(INDEX('Catalog'!$B:$B,MATCH($G4460,'Catalog'!$A:$A,0)),$B4460))</f>
        <v>EC-DIFF</v>
      </c>
      <c r="I4460" s="8" t="str">
        <f aca="false">IF($G4460="","Unmatched","Matched")</f>
        <v>Unmatched</v>
      </c>
    </row>
    <row r="4461" customFormat="false" ht="15" hidden="false" customHeight="false" outlineLevel="0" collapsed="false">
      <c r="A4461" s="8" t="s">
        <v>1094</v>
      </c>
      <c r="B4461" s="8" t="s">
        <v>277</v>
      </c>
      <c r="C4461" s="19" t="n">
        <v>3</v>
      </c>
      <c r="D4461" s="19" t="n">
        <v>219.63</v>
      </c>
      <c r="E4461" s="19" t="n">
        <v>22</v>
      </c>
      <c r="F4461" s="19" t="n">
        <v>1355.94</v>
      </c>
      <c r="G4461" s="8" t="n">
        <f aca="false">IFERROR(INDEX('TRANS'!$B:$B,MATCH($B4461,'TRANS'!$A:$A,0)),IFERROR(INDEX('TRANS'!$B:$B,MATCH(TRIM(SUBSTITUTE($B4461,CHAR(160)," ")),'TRANS'!$D:$D,0)),IFERROR(INDEX('Catalog'!$A:$A,MATCH($B4461,'Catalog'!$B:$B,0)),IFERROR(INDEX('Catalog'!$A:$A,MATCH(TRIM(SUBSTITUTE($B4461,CHAR(160)," ")),'Catalog'!$C:$C,0)),""))))</f>
        <v>4408208</v>
      </c>
      <c r="H4461" s="8" t="str">
        <f aca="false">IFERROR(INDEX('TRANS'!$C:$C,MATCH($B4461,'TRANS'!$A:$A,0)),IFERROR(INDEX('Catalog'!$B:$B,MATCH($G4461,'Catalog'!$A:$A,0)),$B4461))</f>
        <v>AC91 חבק טניס</v>
      </c>
      <c r="I4461" s="8" t="str">
        <f aca="false">IF($G4461="","Unmatched","Matched")</f>
        <v>Matched</v>
      </c>
    </row>
    <row r="4462" customFormat="false" ht="15" hidden="false" customHeight="false" outlineLevel="0" collapsed="false">
      <c r="A4462" s="8" t="s">
        <v>1094</v>
      </c>
      <c r="B4462" s="8" t="s">
        <v>1145</v>
      </c>
      <c r="C4462" s="19" t="n">
        <v>0</v>
      </c>
      <c r="D4462" s="19" t="n">
        <v>0</v>
      </c>
      <c r="E4462" s="19" t="n">
        <v>7</v>
      </c>
      <c r="F4462" s="19" t="n">
        <v>314.59</v>
      </c>
      <c r="G4462" s="8" t="str">
        <f aca="false">IFERROR(INDEX('TRANS'!$B:$B,MATCH($B4462,'TRANS'!$A:$A,0)),IFERROR(INDEX('TRANS'!$B:$B,MATCH(TRIM(SUBSTITUTE($B4462,CHAR(160)," ")),'TRANS'!$D:$D,0)),IFERROR(INDEX('Catalog'!$A:$A,MATCH($B4462,'Catalog'!$B:$B,0)),IFERROR(INDEX('Catalog'!$A:$A,MATCH(TRIM(SUBSTITUTE($B4462,CHAR(160)," ")),'Catalog'!$C:$C,0)),""))))</f>
        <v/>
      </c>
      <c r="H4462" s="8" t="str">
        <f aca="false">IFERROR(INDEX('TRANS'!$C:$C,MATCH($B4462,'TRANS'!$A:$A,0)),IFERROR(INDEX('Catalog'!$B:$B,MATCH($G4462,'Catalog'!$A:$A,0)),$B4462))</f>
        <v>AC95</v>
      </c>
      <c r="I4462" s="8" t="str">
        <f aca="false">IF($G4462="","Unmatched","Matched")</f>
        <v>Unmatched</v>
      </c>
    </row>
    <row r="4463" customFormat="false" ht="15" hidden="false" customHeight="false" outlineLevel="0" collapsed="false">
      <c r="A4463" s="8" t="s">
        <v>1094</v>
      </c>
      <c r="B4463" s="8" t="s">
        <v>1146</v>
      </c>
      <c r="C4463" s="19" t="n">
        <v>1</v>
      </c>
      <c r="D4463" s="19" t="n">
        <v>46.39</v>
      </c>
      <c r="E4463" s="19" t="n">
        <v>0</v>
      </c>
      <c r="F4463" s="19" t="n">
        <v>0</v>
      </c>
      <c r="G4463" s="8" t="str">
        <f aca="false">IFERROR(INDEX('TRANS'!$B:$B,MATCH($B4463,'TRANS'!$A:$A,0)),IFERROR(INDEX('TRANS'!$B:$B,MATCH(TRIM(SUBSTITUTE($B4463,CHAR(160)," ")),'TRANS'!$D:$D,0)),IFERROR(INDEX('Catalog'!$A:$A,MATCH($B4463,'Catalog'!$B:$B,0)),IFERROR(INDEX('Catalog'!$A:$A,MATCH(TRIM(SUBSTITUTE($B4463,CHAR(160)," ")),'Catalog'!$C:$C,0)),""))))</f>
        <v/>
      </c>
      <c r="H4463" s="8" t="str">
        <f aca="false">IFERROR(INDEX('TRANS'!$C:$C,MATCH($B4463,'TRANS'!$A:$A,0)),IFERROR(INDEX('Catalog'!$B:$B,MATCH($G4463,'Catalog'!$A:$A,0)),$B4463))</f>
        <v>FC3162 0</v>
      </c>
      <c r="I4463" s="8" t="str">
        <f aca="false">IF($G4463="","Unmatched","Matched")</f>
        <v>Unmatched</v>
      </c>
    </row>
    <row r="4464" customFormat="false" ht="15" hidden="false" customHeight="false" outlineLevel="0" collapsed="false">
      <c r="A4464" s="8" t="s">
        <v>1094</v>
      </c>
      <c r="B4464" s="8" t="s">
        <v>283</v>
      </c>
      <c r="C4464" s="19" t="n">
        <v>16341</v>
      </c>
      <c r="D4464" s="19" t="n">
        <v>1097384.48</v>
      </c>
      <c r="E4464" s="19" t="n">
        <v>11785</v>
      </c>
      <c r="F4464" s="19" t="n">
        <v>705962.26</v>
      </c>
      <c r="G4464" s="8" t="n">
        <f aca="false">IFERROR(INDEX('TRANS'!$B:$B,MATCH($B4464,'TRANS'!$A:$A,0)),IFERROR(INDEX('TRANS'!$B:$B,MATCH(TRIM(SUBSTITUTE($B4464,CHAR(160)," ")),'TRANS'!$D:$D,0)),IFERROR(INDEX('Catalog'!$A:$A,MATCH($B4464,'Catalog'!$B:$B,0)),IFERROR(INDEX('Catalog'!$A:$A,MATCH(TRIM(SUBSTITUTE($B4464,CHAR(160)," ")),'Catalog'!$C:$C,0)),""))))</f>
        <v>4414000</v>
      </c>
      <c r="H4464" s="8" t="str">
        <f aca="false">IFERROR(INDEX('TRANS'!$C:$C,MATCH($B4464,'TRANS'!$A:$A,0)),IFERROR(INDEX('Catalog'!$B:$B,MATCH($G4464,'Catalog'!$A:$A,0)),$B4464))</f>
        <v>FC342-נוזל לציפורן חודרנית</v>
      </c>
      <c r="I4464" s="8" t="str">
        <f aca="false">IF($G4464="","Unmatched","Matched")</f>
        <v>Matched</v>
      </c>
    </row>
    <row r="4465" customFormat="false" ht="15" hidden="false" customHeight="false" outlineLevel="0" collapsed="false">
      <c r="A4465" s="8" t="s">
        <v>1094</v>
      </c>
      <c r="B4465" s="8" t="s">
        <v>989</v>
      </c>
      <c r="C4465" s="19" t="n">
        <v>1355</v>
      </c>
      <c r="D4465" s="19" t="n">
        <v>109768.29</v>
      </c>
      <c r="E4465" s="19" t="n">
        <v>750</v>
      </c>
      <c r="F4465" s="19" t="n">
        <v>56592.53</v>
      </c>
      <c r="G4465" s="8" t="str">
        <f aca="false">IFERROR(INDEX('TRANS'!$B:$B,MATCH($B4465,'TRANS'!$A:$A,0)),IFERROR(INDEX('TRANS'!$B:$B,MATCH(TRIM(SUBSTITUTE($B4465,CHAR(160)," ")),'TRANS'!$D:$D,0)),IFERROR(INDEX('Catalog'!$A:$A,MATCH($B4465,'Catalog'!$B:$B,0)),IFERROR(INDEX('Catalog'!$A:$A,MATCH(TRIM(SUBSTITUTE($B4465,CHAR(160)," ")),'Catalog'!$C:$C,0)),""))))</f>
        <v/>
      </c>
      <c r="H4465" s="8" t="str">
        <f aca="false">IFERROR(INDEX('TRANS'!$C:$C,MATCH($B4465,'TRANS'!$A:$A,0)),IFERROR(INDEX('Catalog'!$B:$B,MATCH($G4465,'Catalog'!$A:$A,0)),$B4465))</f>
        <v>FC3422 0</v>
      </c>
      <c r="I4465" s="8" t="str">
        <f aca="false">IF($G4465="","Unmatched","Matched")</f>
        <v>Unmatched</v>
      </c>
    </row>
    <row r="4466" customFormat="false" ht="15" hidden="false" customHeight="false" outlineLevel="0" collapsed="false">
      <c r="A4466" s="8" t="s">
        <v>1094</v>
      </c>
      <c r="B4466" s="8" t="s">
        <v>1147</v>
      </c>
      <c r="C4466" s="19" t="n">
        <v>1189</v>
      </c>
      <c r="D4466" s="19" t="n">
        <v>85731.85</v>
      </c>
      <c r="E4466" s="19" t="n">
        <v>475</v>
      </c>
      <c r="F4466" s="19" t="n">
        <v>32628.14</v>
      </c>
      <c r="G4466" s="8" t="str">
        <f aca="false">IFERROR(INDEX('TRANS'!$B:$B,MATCH($B4466,'TRANS'!$A:$A,0)),IFERROR(INDEX('TRANS'!$B:$B,MATCH(TRIM(SUBSTITUTE($B4466,CHAR(160)," ")),'TRANS'!$D:$D,0)),IFERROR(INDEX('Catalog'!$A:$A,MATCH($B4466,'Catalog'!$B:$B,0)),IFERROR(INDEX('Catalog'!$A:$A,MATCH(TRIM(SUBSTITUTE($B4466,CHAR(160)," ")),'Catalog'!$C:$C,0)),""))))</f>
        <v/>
      </c>
      <c r="H4466" s="8" t="str">
        <f aca="false">IFERROR(INDEX('TRANS'!$C:$C,MATCH($B4466,'TRANS'!$A:$A,0)),IFERROR(INDEX('Catalog'!$B:$B,MATCH($G4466,'Catalog'!$A:$A,0)),$B4466))</f>
        <v>FC342K 0</v>
      </c>
      <c r="I4466" s="8" t="str">
        <f aca="false">IF($G4466="","Unmatched","Matched")</f>
        <v>Unmatched</v>
      </c>
    </row>
    <row r="4467" customFormat="false" ht="15" hidden="false" customHeight="false" outlineLevel="0" collapsed="false">
      <c r="A4467" s="8" t="s">
        <v>1094</v>
      </c>
      <c r="B4467" s="8" t="s">
        <v>1148</v>
      </c>
      <c r="C4467" s="19" t="n">
        <v>0</v>
      </c>
      <c r="D4467" s="19" t="n">
        <v>0</v>
      </c>
      <c r="E4467" s="19" t="n">
        <v>26</v>
      </c>
      <c r="F4467" s="19" t="n">
        <v>2172.93</v>
      </c>
      <c r="G4467" s="8" t="str">
        <f aca="false">IFERROR(INDEX('TRANS'!$B:$B,MATCH($B4467,'TRANS'!$A:$A,0)),IFERROR(INDEX('TRANS'!$B:$B,MATCH(TRIM(SUBSTITUTE($B4467,CHAR(160)," ")),'TRANS'!$D:$D,0)),IFERROR(INDEX('Catalog'!$A:$A,MATCH($B4467,'Catalog'!$B:$B,0)),IFERROR(INDEX('Catalog'!$A:$A,MATCH(TRIM(SUBSTITUTE($B4467,CHAR(160)," ")),'Catalog'!$C:$C,0)),""))))</f>
        <v/>
      </c>
      <c r="H4467" s="8" t="str">
        <f aca="false">IFERROR(INDEX('TRANS'!$C:$C,MATCH($B4467,'TRANS'!$A:$A,0)),IFERROR(INDEX('Catalog'!$B:$B,MATCH($G4467,'Catalog'!$A:$A,0)),$B4467))</f>
        <v>TC342 0</v>
      </c>
      <c r="I4467" s="8" t="str">
        <f aca="false">IF($G4467="","Unmatched","Matched")</f>
        <v>Unmatched</v>
      </c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</cols>
  <sheetData>
    <row r="1" customFormat="false" ht="16.15" hidden="false" customHeight="false" outlineLevel="0" collapsed="false">
      <c r="A1" s="13" t="s">
        <v>1149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20" t="s">
        <v>1150</v>
      </c>
      <c r="B3" s="20"/>
      <c r="C3" s="20"/>
      <c r="D3" s="20"/>
      <c r="E3" s="20"/>
      <c r="F3" s="20"/>
      <c r="G3" s="20"/>
    </row>
    <row r="5" customFormat="false" ht="26.85" hidden="false" customHeight="false" outlineLevel="0" collapsed="false">
      <c r="A5" s="17" t="s">
        <v>43</v>
      </c>
      <c r="B5" s="17" t="s">
        <v>31</v>
      </c>
      <c r="C5" s="17" t="s">
        <v>49</v>
      </c>
      <c r="D5" s="17" t="s">
        <v>45</v>
      </c>
      <c r="E5" s="17" t="s">
        <v>46</v>
      </c>
      <c r="F5" s="17" t="s">
        <v>1151</v>
      </c>
      <c r="G5" s="17" t="s">
        <v>1152</v>
      </c>
    </row>
    <row r="6" customFormat="false" ht="15" hidden="false" customHeight="false" outlineLevel="0" collapsed="false">
      <c r="A6" s="8" t="s">
        <v>1153</v>
      </c>
      <c r="B6" s="8" t="n">
        <v>4401000</v>
      </c>
      <c r="C6" s="8" t="s">
        <v>1154</v>
      </c>
      <c r="D6" s="19" t="n">
        <v>337</v>
      </c>
      <c r="E6" s="19" t="n">
        <v>7001.773</v>
      </c>
      <c r="F6" s="19" t="n">
        <v>324.631578947368</v>
      </c>
      <c r="G6" s="19" t="n">
        <v>6829.59284210526</v>
      </c>
    </row>
    <row r="7" customFormat="false" ht="15" hidden="false" customHeight="false" outlineLevel="0" collapsed="false">
      <c r="A7" s="8" t="s">
        <v>1153</v>
      </c>
      <c r="B7" s="8" t="n">
        <v>4401001</v>
      </c>
      <c r="C7" s="8" t="s">
        <v>1155</v>
      </c>
      <c r="D7" s="19" t="n">
        <v>432</v>
      </c>
      <c r="E7" s="19" t="n">
        <v>9786.318</v>
      </c>
      <c r="F7" s="19" t="n">
        <v>368.842105263158</v>
      </c>
      <c r="G7" s="19" t="n">
        <v>8383.40336842105</v>
      </c>
    </row>
    <row r="8" customFormat="false" ht="15" hidden="false" customHeight="false" outlineLevel="0" collapsed="false">
      <c r="A8" s="8" t="s">
        <v>1153</v>
      </c>
      <c r="B8" s="8" t="n">
        <v>4401002</v>
      </c>
      <c r="C8" s="8" t="s">
        <v>1156</v>
      </c>
      <c r="D8" s="19" t="n">
        <v>266</v>
      </c>
      <c r="E8" s="19" t="n">
        <v>2074.399</v>
      </c>
      <c r="F8" s="19" t="n">
        <v>232.421052631579</v>
      </c>
      <c r="G8" s="19" t="n">
        <v>1814.55915789474</v>
      </c>
    </row>
    <row r="9" customFormat="false" ht="15" hidden="false" customHeight="false" outlineLevel="0" collapsed="false">
      <c r="A9" s="8" t="s">
        <v>1153</v>
      </c>
      <c r="B9" s="8" t="n">
        <v>4401011</v>
      </c>
      <c r="C9" s="8" t="s">
        <v>1157</v>
      </c>
      <c r="D9" s="19" t="n">
        <v>72</v>
      </c>
      <c r="E9" s="19" t="n">
        <v>1026.035</v>
      </c>
      <c r="F9" s="19" t="n">
        <v>61.8947368421053</v>
      </c>
      <c r="G9" s="19" t="n">
        <v>928.314947368421</v>
      </c>
    </row>
    <row r="10" customFormat="false" ht="15" hidden="false" customHeight="false" outlineLevel="0" collapsed="false">
      <c r="A10" s="8" t="s">
        <v>1153</v>
      </c>
      <c r="B10" s="8" t="n">
        <v>4401012</v>
      </c>
      <c r="C10" s="8" t="s">
        <v>1158</v>
      </c>
      <c r="D10" s="19" t="n">
        <v>20</v>
      </c>
      <c r="E10" s="19" t="n">
        <v>290.017</v>
      </c>
      <c r="F10" s="19" t="n">
        <v>26.5263157894737</v>
      </c>
      <c r="G10" s="19" t="n">
        <v>412.201263157895</v>
      </c>
    </row>
    <row r="11" customFormat="false" ht="15" hidden="false" customHeight="false" outlineLevel="0" collapsed="false">
      <c r="A11" s="8" t="s">
        <v>1153</v>
      </c>
      <c r="B11" s="8" t="n">
        <v>4401013</v>
      </c>
      <c r="C11" s="8" t="s">
        <v>1159</v>
      </c>
      <c r="D11" s="19" t="n">
        <v>19</v>
      </c>
      <c r="E11" s="19" t="n">
        <v>274.274</v>
      </c>
      <c r="F11" s="19" t="n">
        <v>24</v>
      </c>
      <c r="G11" s="19" t="n">
        <v>367.141894736842</v>
      </c>
    </row>
    <row r="12" customFormat="false" ht="15" hidden="false" customHeight="false" outlineLevel="0" collapsed="false">
      <c r="A12" s="8" t="s">
        <v>1153</v>
      </c>
      <c r="B12" s="8" t="n">
        <v>4401014</v>
      </c>
      <c r="C12" s="8" t="s">
        <v>1160</v>
      </c>
      <c r="D12" s="19" t="n">
        <v>49</v>
      </c>
      <c r="E12" s="19" t="n">
        <v>688.971</v>
      </c>
      <c r="F12" s="19" t="n">
        <v>51.7894736842105</v>
      </c>
      <c r="G12" s="19" t="n">
        <v>764.629894736842</v>
      </c>
    </row>
    <row r="13" customFormat="false" ht="15" hidden="false" customHeight="false" outlineLevel="0" collapsed="false">
      <c r="A13" s="8" t="s">
        <v>1153</v>
      </c>
      <c r="B13" s="8" t="n">
        <v>4402000</v>
      </c>
      <c r="C13" s="8" t="s">
        <v>1161</v>
      </c>
      <c r="D13" s="19" t="n">
        <v>132</v>
      </c>
      <c r="E13" s="19" t="n">
        <v>3151.399</v>
      </c>
      <c r="F13" s="19" t="n">
        <v>149.052631578947</v>
      </c>
      <c r="G13" s="19" t="n">
        <v>3621.12126315789</v>
      </c>
    </row>
    <row r="14" customFormat="false" ht="15" hidden="false" customHeight="false" outlineLevel="0" collapsed="false">
      <c r="A14" s="8" t="s">
        <v>1153</v>
      </c>
      <c r="B14" s="8" t="n">
        <v>4402007</v>
      </c>
      <c r="C14" s="8" t="s">
        <v>1162</v>
      </c>
      <c r="D14" s="19" t="n">
        <v>356</v>
      </c>
      <c r="E14" s="19" t="n">
        <v>5973.286</v>
      </c>
      <c r="F14" s="19" t="n">
        <v>286.736842105263</v>
      </c>
      <c r="G14" s="19" t="n">
        <v>4807.80252631579</v>
      </c>
    </row>
    <row r="15" customFormat="false" ht="15" hidden="false" customHeight="false" outlineLevel="0" collapsed="false">
      <c r="A15" s="8" t="s">
        <v>1153</v>
      </c>
      <c r="B15" s="8" t="n">
        <v>4403000</v>
      </c>
      <c r="C15" s="8" t="s">
        <v>1163</v>
      </c>
      <c r="D15" s="19" t="n">
        <v>21</v>
      </c>
      <c r="E15" s="19" t="n">
        <v>558.831</v>
      </c>
      <c r="F15" s="19" t="n">
        <v>13.8947368421053</v>
      </c>
      <c r="G15" s="19" t="n">
        <v>414.270315789474</v>
      </c>
    </row>
    <row r="16" customFormat="false" ht="15" hidden="false" customHeight="false" outlineLevel="0" collapsed="false">
      <c r="A16" s="8" t="s">
        <v>1153</v>
      </c>
      <c r="B16" s="8" t="n">
        <v>4403001</v>
      </c>
      <c r="C16" s="8" t="s">
        <v>1164</v>
      </c>
      <c r="D16" s="19" t="n">
        <v>42</v>
      </c>
      <c r="E16" s="19" t="n">
        <v>1162.434</v>
      </c>
      <c r="F16" s="19" t="n">
        <v>18.9473684210526</v>
      </c>
      <c r="G16" s="19" t="n">
        <v>583.817684210526</v>
      </c>
    </row>
    <row r="17" customFormat="false" ht="15" hidden="false" customHeight="false" outlineLevel="0" collapsed="false">
      <c r="A17" s="8" t="s">
        <v>1153</v>
      </c>
      <c r="B17" s="8" t="n">
        <v>4403002</v>
      </c>
      <c r="C17" s="8" t="s">
        <v>1165</v>
      </c>
      <c r="D17" s="19" t="n">
        <v>78</v>
      </c>
      <c r="E17" s="19" t="n">
        <v>2224.36</v>
      </c>
      <c r="F17" s="19" t="n">
        <v>29.0526315789474</v>
      </c>
      <c r="G17" s="19" t="n">
        <v>877.048421052632</v>
      </c>
    </row>
    <row r="18" customFormat="false" ht="15" hidden="false" customHeight="false" outlineLevel="0" collapsed="false">
      <c r="A18" s="8" t="s">
        <v>1153</v>
      </c>
      <c r="B18" s="8" t="n">
        <v>4403003</v>
      </c>
      <c r="C18" s="8" t="s">
        <v>1166</v>
      </c>
      <c r="D18" s="19" t="n">
        <v>2</v>
      </c>
      <c r="E18" s="19" t="n">
        <v>46.41</v>
      </c>
      <c r="F18" s="19" t="n">
        <v>13.8947368421053</v>
      </c>
      <c r="G18" s="19" t="n">
        <v>433.121684210526</v>
      </c>
    </row>
    <row r="19" customFormat="false" ht="15" hidden="false" customHeight="false" outlineLevel="0" collapsed="false">
      <c r="A19" s="8" t="s">
        <v>1153</v>
      </c>
      <c r="B19" s="8" t="n">
        <v>4403004</v>
      </c>
      <c r="C19" s="8" t="s">
        <v>1167</v>
      </c>
      <c r="D19" s="19" t="n">
        <v>16</v>
      </c>
      <c r="E19" s="19" t="n">
        <v>500.045</v>
      </c>
      <c r="F19" s="19" t="n">
        <v>5.05263157894737</v>
      </c>
      <c r="G19" s="19" t="n">
        <v>161.386105263158</v>
      </c>
    </row>
    <row r="20" customFormat="false" ht="15" hidden="false" customHeight="false" outlineLevel="0" collapsed="false">
      <c r="A20" s="8" t="s">
        <v>1153</v>
      </c>
      <c r="B20" s="8" t="n">
        <v>4403005</v>
      </c>
      <c r="C20" s="8" t="s">
        <v>1168</v>
      </c>
      <c r="D20" s="19" t="n">
        <v>50</v>
      </c>
      <c r="E20" s="19" t="n">
        <v>1552.251</v>
      </c>
      <c r="F20" s="19" t="n">
        <v>0</v>
      </c>
      <c r="G20" s="19" t="n">
        <v>0</v>
      </c>
    </row>
    <row r="21" customFormat="false" ht="15" hidden="false" customHeight="false" outlineLevel="0" collapsed="false">
      <c r="A21" s="8" t="s">
        <v>1153</v>
      </c>
      <c r="B21" s="8" t="n">
        <v>4403006</v>
      </c>
      <c r="C21" s="8" t="s">
        <v>1169</v>
      </c>
      <c r="D21" s="19" t="n">
        <v>12</v>
      </c>
      <c r="E21" s="19" t="n">
        <v>313.95</v>
      </c>
      <c r="F21" s="19" t="n">
        <v>15.1578947368421</v>
      </c>
      <c r="G21" s="19" t="n">
        <v>484.273263157895</v>
      </c>
    </row>
    <row r="22" customFormat="false" ht="15" hidden="false" customHeight="false" outlineLevel="0" collapsed="false">
      <c r="A22" s="8" t="s">
        <v>1153</v>
      </c>
      <c r="B22" s="8" t="n">
        <v>4403007</v>
      </c>
      <c r="C22" s="8" t="s">
        <v>1170</v>
      </c>
      <c r="D22" s="19" t="n">
        <v>18</v>
      </c>
      <c r="E22" s="19" t="n">
        <v>509.509</v>
      </c>
      <c r="F22" s="19" t="n">
        <v>16.4210526315789</v>
      </c>
      <c r="G22" s="19" t="n">
        <v>497.722105263158</v>
      </c>
    </row>
    <row r="23" customFormat="false" ht="15" hidden="false" customHeight="false" outlineLevel="0" collapsed="false">
      <c r="A23" s="8" t="s">
        <v>1153</v>
      </c>
      <c r="B23" s="8" t="n">
        <v>4403008</v>
      </c>
      <c r="C23" s="8" t="s">
        <v>1171</v>
      </c>
      <c r="D23" s="19" t="n">
        <v>20</v>
      </c>
      <c r="E23" s="19" t="n">
        <v>547.001</v>
      </c>
      <c r="F23" s="19" t="n">
        <v>16.4210526315789</v>
      </c>
      <c r="G23" s="19" t="n">
        <v>524.619789473684</v>
      </c>
    </row>
    <row r="24" customFormat="false" ht="15" hidden="false" customHeight="false" outlineLevel="0" collapsed="false">
      <c r="A24" s="8" t="s">
        <v>1153</v>
      </c>
      <c r="B24" s="8" t="n">
        <v>4403017</v>
      </c>
      <c r="C24" s="8" t="s">
        <v>1172</v>
      </c>
      <c r="D24" s="19" t="n">
        <v>67</v>
      </c>
      <c r="E24" s="19" t="n">
        <v>1570.525</v>
      </c>
      <c r="F24" s="19" t="n">
        <v>36.6315789473684</v>
      </c>
      <c r="G24" s="19" t="n">
        <v>923.043789473684</v>
      </c>
    </row>
    <row r="25" customFormat="false" ht="15" hidden="false" customHeight="false" outlineLevel="0" collapsed="false">
      <c r="A25" s="8" t="s">
        <v>1153</v>
      </c>
      <c r="B25" s="8" t="n">
        <v>4403018</v>
      </c>
      <c r="C25" s="8" t="s">
        <v>1173</v>
      </c>
      <c r="D25" s="19" t="n">
        <v>142</v>
      </c>
      <c r="E25" s="19" t="n">
        <v>3264.411</v>
      </c>
      <c r="F25" s="19" t="n">
        <v>78.3157894736842</v>
      </c>
      <c r="G25" s="19" t="n">
        <v>1849.45389473684</v>
      </c>
    </row>
    <row r="26" customFormat="false" ht="15" hidden="false" customHeight="false" outlineLevel="0" collapsed="false">
      <c r="A26" s="8" t="s">
        <v>1153</v>
      </c>
      <c r="B26" s="8" t="n">
        <v>4403019</v>
      </c>
      <c r="C26" s="8" t="s">
        <v>1174</v>
      </c>
      <c r="D26" s="19" t="n">
        <v>236</v>
      </c>
      <c r="E26" s="19" t="n">
        <v>5432.02</v>
      </c>
      <c r="F26" s="19" t="n">
        <v>83.3684210526316</v>
      </c>
      <c r="G26" s="19" t="n">
        <v>2025.78315789474</v>
      </c>
    </row>
    <row r="27" customFormat="false" ht="15" hidden="false" customHeight="false" outlineLevel="0" collapsed="false">
      <c r="A27" s="8" t="s">
        <v>1153</v>
      </c>
      <c r="B27" s="8" t="n">
        <v>4403020</v>
      </c>
      <c r="C27" s="8" t="s">
        <v>1175</v>
      </c>
      <c r="D27" s="19" t="n">
        <v>17</v>
      </c>
      <c r="E27" s="19" t="n">
        <v>387.842</v>
      </c>
      <c r="F27" s="19" t="n">
        <v>1.26315789473684</v>
      </c>
      <c r="G27" s="19" t="n">
        <v>35.4694736842105</v>
      </c>
    </row>
    <row r="28" customFormat="false" ht="15" hidden="false" customHeight="false" outlineLevel="0" collapsed="false">
      <c r="A28" s="8" t="s">
        <v>1153</v>
      </c>
      <c r="B28" s="8" t="n">
        <v>4403021</v>
      </c>
      <c r="C28" s="8" t="s">
        <v>1176</v>
      </c>
      <c r="D28" s="19" t="n">
        <v>44</v>
      </c>
      <c r="E28" s="19" t="n">
        <v>1035.525</v>
      </c>
      <c r="F28" s="19" t="n">
        <v>2.52631578947368</v>
      </c>
      <c r="G28" s="19" t="n">
        <v>70.9642105263158</v>
      </c>
    </row>
    <row r="29" customFormat="false" ht="15" hidden="false" customHeight="false" outlineLevel="0" collapsed="false">
      <c r="A29" s="8" t="s">
        <v>1153</v>
      </c>
      <c r="B29" s="8" t="n">
        <v>4403022</v>
      </c>
      <c r="C29" s="8" t="s">
        <v>1177</v>
      </c>
      <c r="D29" s="19" t="n">
        <v>46</v>
      </c>
      <c r="E29" s="19" t="n">
        <v>1088.748</v>
      </c>
      <c r="F29" s="19" t="n">
        <v>1.26315789473684</v>
      </c>
      <c r="G29" s="19" t="n">
        <v>35.4694736842105</v>
      </c>
    </row>
    <row r="30" customFormat="false" ht="15" hidden="false" customHeight="false" outlineLevel="0" collapsed="false">
      <c r="A30" s="8" t="s">
        <v>1153</v>
      </c>
      <c r="B30" s="8" t="n">
        <v>4403023</v>
      </c>
      <c r="C30" s="8" t="s">
        <v>1178</v>
      </c>
      <c r="D30" s="19" t="n">
        <v>34</v>
      </c>
      <c r="E30" s="19" t="n">
        <v>767.312</v>
      </c>
      <c r="F30" s="19" t="n">
        <v>30.3157894736842</v>
      </c>
      <c r="G30" s="19" t="n">
        <v>744.415578947368</v>
      </c>
    </row>
    <row r="31" customFormat="false" ht="15" hidden="false" customHeight="false" outlineLevel="0" collapsed="false">
      <c r="A31" s="8" t="s">
        <v>1153</v>
      </c>
      <c r="B31" s="8" t="n">
        <v>4403024</v>
      </c>
      <c r="C31" s="8" t="s">
        <v>1179</v>
      </c>
      <c r="D31" s="19" t="n">
        <v>77</v>
      </c>
      <c r="E31" s="19" t="n">
        <v>1782.567</v>
      </c>
      <c r="F31" s="19" t="n">
        <v>63.1578947368421</v>
      </c>
      <c r="G31" s="19" t="n">
        <v>1557.816</v>
      </c>
    </row>
    <row r="32" customFormat="false" ht="15" hidden="false" customHeight="false" outlineLevel="0" collapsed="false">
      <c r="A32" s="8" t="s">
        <v>1153</v>
      </c>
      <c r="B32" s="8" t="n">
        <v>4403025</v>
      </c>
      <c r="C32" s="8" t="s">
        <v>1180</v>
      </c>
      <c r="D32" s="19" t="n">
        <v>90</v>
      </c>
      <c r="E32" s="19" t="n">
        <v>2049.914</v>
      </c>
      <c r="F32" s="19" t="n">
        <v>65.6842105263158</v>
      </c>
      <c r="G32" s="19" t="n">
        <v>1634.09178947368</v>
      </c>
    </row>
    <row r="33" customFormat="false" ht="15" hidden="false" customHeight="false" outlineLevel="0" collapsed="false">
      <c r="A33" s="8" t="s">
        <v>1153</v>
      </c>
      <c r="B33" s="8" t="n">
        <v>4403028</v>
      </c>
      <c r="C33" s="8" t="s">
        <v>1181</v>
      </c>
      <c r="D33" s="19" t="n">
        <v>125</v>
      </c>
      <c r="E33" s="19" t="n">
        <v>6693.323</v>
      </c>
      <c r="F33" s="19" t="n">
        <v>-1.26315789473684</v>
      </c>
      <c r="G33" s="19" t="n">
        <v>-60.6922105263158</v>
      </c>
    </row>
    <row r="34" customFormat="false" ht="15" hidden="false" customHeight="false" outlineLevel="0" collapsed="false">
      <c r="A34" s="8" t="s">
        <v>1153</v>
      </c>
      <c r="B34" s="8" t="n">
        <v>4403029</v>
      </c>
      <c r="C34" s="8" t="s">
        <v>1182</v>
      </c>
      <c r="D34" s="19" t="n">
        <v>225</v>
      </c>
      <c r="E34" s="19" t="n">
        <v>12189.982</v>
      </c>
      <c r="F34" s="19" t="n">
        <v>5.05263157894737</v>
      </c>
      <c r="G34" s="19" t="n">
        <v>314.802947368421</v>
      </c>
    </row>
    <row r="35" customFormat="false" ht="15" hidden="false" customHeight="false" outlineLevel="0" collapsed="false">
      <c r="A35" s="8" t="s">
        <v>1153</v>
      </c>
      <c r="B35" s="8" t="n">
        <v>4403030</v>
      </c>
      <c r="C35" s="8" t="s">
        <v>1183</v>
      </c>
      <c r="D35" s="19" t="n">
        <v>211</v>
      </c>
      <c r="E35" s="19" t="n">
        <v>11367.629</v>
      </c>
      <c r="F35" s="19" t="n">
        <v>-3.78947368421053</v>
      </c>
      <c r="G35" s="19" t="n">
        <v>-188.973473684211</v>
      </c>
    </row>
    <row r="36" customFormat="false" ht="15" hidden="false" customHeight="false" outlineLevel="0" collapsed="false">
      <c r="A36" s="8" t="s">
        <v>1153</v>
      </c>
      <c r="B36" s="8" t="n">
        <v>4403034</v>
      </c>
      <c r="C36" s="8" t="s">
        <v>1184</v>
      </c>
      <c r="D36" s="19" t="n">
        <v>6</v>
      </c>
      <c r="E36" s="19" t="n">
        <v>378.811</v>
      </c>
      <c r="F36" s="19" t="n">
        <v>2.52631578947368</v>
      </c>
      <c r="G36" s="19" t="n">
        <v>212.192842105263</v>
      </c>
    </row>
    <row r="37" customFormat="false" ht="15" hidden="false" customHeight="false" outlineLevel="0" collapsed="false">
      <c r="A37" s="8" t="s">
        <v>1153</v>
      </c>
      <c r="B37" s="8" t="n">
        <v>4403035</v>
      </c>
      <c r="C37" s="8" t="s">
        <v>1185</v>
      </c>
      <c r="D37" s="19" t="n">
        <v>11</v>
      </c>
      <c r="E37" s="19" t="n">
        <v>702.32</v>
      </c>
      <c r="F37" s="19" t="n">
        <v>1.26315789473684</v>
      </c>
      <c r="G37" s="19" t="n">
        <v>106.096421052632</v>
      </c>
    </row>
    <row r="38" customFormat="false" ht="15" hidden="false" customHeight="false" outlineLevel="0" collapsed="false">
      <c r="A38" s="8" t="s">
        <v>1153</v>
      </c>
      <c r="B38" s="8" t="n">
        <v>4403040</v>
      </c>
      <c r="C38" s="8" t="s">
        <v>1186</v>
      </c>
      <c r="D38" s="19" t="n">
        <v>110</v>
      </c>
      <c r="E38" s="19" t="n">
        <v>3644.004</v>
      </c>
      <c r="F38" s="19" t="n">
        <v>25.2631578947368</v>
      </c>
      <c r="G38" s="19" t="n">
        <v>797.274947368421</v>
      </c>
    </row>
    <row r="39" customFormat="false" ht="15" hidden="false" customHeight="false" outlineLevel="0" collapsed="false">
      <c r="A39" s="8" t="s">
        <v>1153</v>
      </c>
      <c r="B39" s="8" t="n">
        <v>4403041</v>
      </c>
      <c r="C39" s="8" t="s">
        <v>1187</v>
      </c>
      <c r="D39" s="19" t="n">
        <v>17</v>
      </c>
      <c r="E39" s="19" t="n">
        <v>1040.47</v>
      </c>
      <c r="F39" s="19" t="n">
        <v>170.526315789474</v>
      </c>
      <c r="G39" s="19" t="n">
        <v>9425.4</v>
      </c>
    </row>
    <row r="40" customFormat="false" ht="15" hidden="false" customHeight="false" outlineLevel="0" collapsed="false">
      <c r="A40" s="8" t="s">
        <v>1153</v>
      </c>
      <c r="B40" s="8" t="n">
        <v>4403042</v>
      </c>
      <c r="C40" s="8" t="s">
        <v>1188</v>
      </c>
      <c r="D40" s="19" t="n">
        <v>0</v>
      </c>
      <c r="E40" s="19" t="n">
        <v>0</v>
      </c>
      <c r="F40" s="19" t="n">
        <v>285.473684210526</v>
      </c>
      <c r="G40" s="19" t="n">
        <v>15803.0602105263</v>
      </c>
    </row>
    <row r="41" customFormat="false" ht="15" hidden="false" customHeight="false" outlineLevel="0" collapsed="false">
      <c r="A41" s="8" t="s">
        <v>1153</v>
      </c>
      <c r="B41" s="8" t="n">
        <v>4403043</v>
      </c>
      <c r="C41" s="8" t="s">
        <v>1189</v>
      </c>
      <c r="D41" s="19" t="n">
        <v>16</v>
      </c>
      <c r="E41" s="19" t="n">
        <v>974.95</v>
      </c>
      <c r="F41" s="19" t="n">
        <v>231.157894736842</v>
      </c>
      <c r="G41" s="19" t="n">
        <v>12859.6850526316</v>
      </c>
    </row>
    <row r="42" customFormat="false" ht="15" hidden="false" customHeight="false" outlineLevel="0" collapsed="false">
      <c r="A42" s="8" t="s">
        <v>1153</v>
      </c>
      <c r="B42" s="8" t="n">
        <v>4403044</v>
      </c>
      <c r="C42" s="8" t="s">
        <v>1190</v>
      </c>
      <c r="D42" s="19" t="n">
        <v>0</v>
      </c>
      <c r="E42" s="19" t="n">
        <v>0</v>
      </c>
      <c r="F42" s="19" t="n">
        <v>37.8947368421053</v>
      </c>
      <c r="G42" s="19" t="n">
        <v>1042.86821052632</v>
      </c>
    </row>
    <row r="43" customFormat="false" ht="15" hidden="false" customHeight="false" outlineLevel="0" collapsed="false">
      <c r="A43" s="8" t="s">
        <v>1153</v>
      </c>
      <c r="B43" s="8" t="n">
        <v>4403045</v>
      </c>
      <c r="C43" s="8" t="s">
        <v>1191</v>
      </c>
      <c r="D43" s="19" t="n">
        <v>0</v>
      </c>
      <c r="E43" s="19" t="n">
        <v>0</v>
      </c>
      <c r="F43" s="19" t="n">
        <v>48</v>
      </c>
      <c r="G43" s="19" t="n">
        <v>1367.56168421053</v>
      </c>
    </row>
    <row r="44" customFormat="false" ht="15" hidden="false" customHeight="false" outlineLevel="0" collapsed="false">
      <c r="A44" s="8" t="s">
        <v>1153</v>
      </c>
      <c r="B44" s="8" t="n">
        <v>4404000</v>
      </c>
      <c r="C44" s="8" t="s">
        <v>1192</v>
      </c>
      <c r="D44" s="19" t="n">
        <v>-6</v>
      </c>
      <c r="E44" s="19" t="n">
        <v>-157.703</v>
      </c>
      <c r="F44" s="19" t="n">
        <v>0</v>
      </c>
      <c r="G44" s="19" t="n">
        <v>0</v>
      </c>
    </row>
    <row r="45" customFormat="false" ht="15" hidden="false" customHeight="false" outlineLevel="0" collapsed="false">
      <c r="A45" s="8" t="s">
        <v>1153</v>
      </c>
      <c r="B45" s="8" t="n">
        <v>4408003</v>
      </c>
      <c r="C45" s="8" t="s">
        <v>1193</v>
      </c>
      <c r="D45" s="19" t="n">
        <v>-1</v>
      </c>
      <c r="E45" s="19" t="n">
        <v>-154.791</v>
      </c>
      <c r="F45" s="19" t="n">
        <v>0</v>
      </c>
      <c r="G45" s="19" t="n">
        <v>0</v>
      </c>
    </row>
    <row r="46" customFormat="false" ht="15" hidden="false" customHeight="false" outlineLevel="0" collapsed="false">
      <c r="A46" s="8" t="s">
        <v>1153</v>
      </c>
      <c r="B46" s="8" t="n">
        <v>4408004</v>
      </c>
      <c r="C46" s="8" t="s">
        <v>1194</v>
      </c>
      <c r="D46" s="19" t="n">
        <v>1</v>
      </c>
      <c r="E46" s="19" t="n">
        <v>154.791</v>
      </c>
      <c r="F46" s="19" t="n">
        <v>0</v>
      </c>
      <c r="G46" s="19" t="n">
        <v>0</v>
      </c>
    </row>
    <row r="47" customFormat="false" ht="15" hidden="false" customHeight="false" outlineLevel="0" collapsed="false">
      <c r="A47" s="8" t="s">
        <v>1153</v>
      </c>
      <c r="B47" s="8" t="n">
        <v>4408009</v>
      </c>
      <c r="C47" s="8" t="s">
        <v>1195</v>
      </c>
      <c r="D47" s="19" t="n">
        <v>3</v>
      </c>
      <c r="E47" s="19" t="n">
        <v>237.419</v>
      </c>
      <c r="F47" s="19" t="n">
        <v>0</v>
      </c>
      <c r="G47" s="19" t="n">
        <v>8.27621052631579</v>
      </c>
    </row>
    <row r="48" customFormat="false" ht="15" hidden="false" customHeight="false" outlineLevel="0" collapsed="false">
      <c r="A48" s="8" t="s">
        <v>1153</v>
      </c>
      <c r="B48" s="8" t="n">
        <v>4408010</v>
      </c>
      <c r="C48" s="8" t="s">
        <v>1196</v>
      </c>
      <c r="D48" s="19" t="n">
        <v>2</v>
      </c>
      <c r="E48" s="19" t="n">
        <v>178.087</v>
      </c>
      <c r="F48" s="19" t="n">
        <v>1.26315789473684</v>
      </c>
      <c r="G48" s="19" t="n">
        <v>116.671578947368</v>
      </c>
    </row>
    <row r="49" customFormat="false" ht="15" hidden="false" customHeight="false" outlineLevel="0" collapsed="false">
      <c r="A49" s="8" t="s">
        <v>1153</v>
      </c>
      <c r="B49" s="8" t="n">
        <v>4408011</v>
      </c>
      <c r="C49" s="8" t="s">
        <v>1197</v>
      </c>
      <c r="D49" s="19" t="n">
        <v>3</v>
      </c>
      <c r="E49" s="19" t="n">
        <v>243.971</v>
      </c>
      <c r="F49" s="19" t="n">
        <v>0</v>
      </c>
      <c r="G49" s="19" t="n">
        <v>0</v>
      </c>
    </row>
    <row r="50" customFormat="false" ht="15" hidden="false" customHeight="false" outlineLevel="0" collapsed="false">
      <c r="A50" s="8" t="s">
        <v>1153</v>
      </c>
      <c r="B50" s="8" t="n">
        <v>4408012</v>
      </c>
      <c r="C50" s="8" t="s">
        <v>1198</v>
      </c>
      <c r="D50" s="19" t="n">
        <v>7</v>
      </c>
      <c r="E50" s="19" t="n">
        <v>655.382</v>
      </c>
      <c r="F50" s="19" t="n">
        <v>1.26315789473684</v>
      </c>
      <c r="G50" s="19" t="n">
        <v>124.947789473684</v>
      </c>
    </row>
    <row r="51" customFormat="false" ht="15" hidden="false" customHeight="false" outlineLevel="0" collapsed="false">
      <c r="A51" s="8" t="s">
        <v>1153</v>
      </c>
      <c r="B51" s="8" t="n">
        <v>4408013</v>
      </c>
      <c r="C51" s="8" t="s">
        <v>1199</v>
      </c>
      <c r="D51" s="19" t="n">
        <v>5</v>
      </c>
      <c r="E51" s="19" t="n">
        <v>428.61</v>
      </c>
      <c r="F51" s="19" t="n">
        <v>0</v>
      </c>
      <c r="G51" s="19" t="n">
        <v>0</v>
      </c>
    </row>
    <row r="52" customFormat="false" ht="15" hidden="false" customHeight="false" outlineLevel="0" collapsed="false">
      <c r="A52" s="8" t="s">
        <v>1153</v>
      </c>
      <c r="B52" s="8" t="n">
        <v>4408014</v>
      </c>
      <c r="C52" s="8" t="s">
        <v>1200</v>
      </c>
      <c r="D52" s="19" t="n">
        <v>1</v>
      </c>
      <c r="E52" s="19" t="n">
        <v>238.784</v>
      </c>
      <c r="F52" s="19" t="n">
        <v>1.26315789473684</v>
      </c>
      <c r="G52" s="19" t="n">
        <v>301.621894736842</v>
      </c>
    </row>
    <row r="53" customFormat="false" ht="15" hidden="false" customHeight="false" outlineLevel="0" collapsed="false">
      <c r="A53" s="8" t="s">
        <v>1153</v>
      </c>
      <c r="B53" s="8" t="n">
        <v>4408015</v>
      </c>
      <c r="C53" s="8" t="s">
        <v>1201</v>
      </c>
      <c r="D53" s="19" t="n">
        <v>4</v>
      </c>
      <c r="E53" s="19" t="n">
        <v>887.341</v>
      </c>
      <c r="F53" s="19" t="n">
        <v>-3.78947368421053</v>
      </c>
      <c r="G53" s="19" t="n">
        <v>-816.701052631579</v>
      </c>
    </row>
    <row r="54" customFormat="false" ht="15" hidden="false" customHeight="false" outlineLevel="0" collapsed="false">
      <c r="A54" s="8" t="s">
        <v>1153</v>
      </c>
      <c r="B54" s="8" t="n">
        <v>4408016</v>
      </c>
      <c r="C54" s="8" t="s">
        <v>1202</v>
      </c>
      <c r="D54" s="19" t="n">
        <v>0</v>
      </c>
      <c r="E54" s="19" t="n">
        <v>2.275</v>
      </c>
      <c r="F54" s="19" t="n">
        <v>-1.26315789473684</v>
      </c>
      <c r="G54" s="19" t="n">
        <v>-226.208842105263</v>
      </c>
    </row>
    <row r="55" customFormat="false" ht="15" hidden="false" customHeight="false" outlineLevel="0" collapsed="false">
      <c r="A55" s="8" t="s">
        <v>1153</v>
      </c>
      <c r="B55" s="8" t="n">
        <v>4408017</v>
      </c>
      <c r="C55" s="8" t="s">
        <v>1203</v>
      </c>
      <c r="D55" s="19" t="n">
        <v>4</v>
      </c>
      <c r="E55" s="19" t="n">
        <v>887.341</v>
      </c>
      <c r="F55" s="19" t="n">
        <v>3.78947368421053</v>
      </c>
      <c r="G55" s="19" t="n">
        <v>854.424</v>
      </c>
    </row>
    <row r="56" customFormat="false" ht="15" hidden="false" customHeight="false" outlineLevel="0" collapsed="false">
      <c r="A56" s="8" t="s">
        <v>1153</v>
      </c>
      <c r="B56" s="8" t="n">
        <v>4408018</v>
      </c>
      <c r="C56" s="8" t="s">
        <v>1204</v>
      </c>
      <c r="D56" s="19" t="n">
        <v>1</v>
      </c>
      <c r="E56" s="19" t="n">
        <v>280.468</v>
      </c>
      <c r="F56" s="19" t="n">
        <v>0</v>
      </c>
      <c r="G56" s="19" t="n">
        <v>0</v>
      </c>
    </row>
    <row r="57" customFormat="false" ht="15" hidden="false" customHeight="false" outlineLevel="0" collapsed="false">
      <c r="A57" s="8" t="s">
        <v>1153</v>
      </c>
      <c r="B57" s="8" t="n">
        <v>4408024</v>
      </c>
      <c r="C57" s="8" t="s">
        <v>1205</v>
      </c>
      <c r="D57" s="19" t="n">
        <v>1</v>
      </c>
      <c r="E57" s="19" t="n">
        <v>210.756</v>
      </c>
      <c r="F57" s="19" t="n">
        <v>0</v>
      </c>
      <c r="G57" s="19" t="n">
        <v>0</v>
      </c>
    </row>
    <row r="58" customFormat="false" ht="15" hidden="false" customHeight="false" outlineLevel="0" collapsed="false">
      <c r="A58" s="8" t="s">
        <v>1153</v>
      </c>
      <c r="B58" s="8" t="n">
        <v>4408026</v>
      </c>
      <c r="C58" s="8" t="s">
        <v>1206</v>
      </c>
      <c r="D58" s="19" t="n">
        <v>0</v>
      </c>
      <c r="E58" s="19" t="n">
        <v>0</v>
      </c>
      <c r="F58" s="19" t="n">
        <v>0</v>
      </c>
      <c r="G58" s="19" t="n">
        <v>15.7477894736842</v>
      </c>
    </row>
    <row r="59" customFormat="false" ht="15" hidden="false" customHeight="false" outlineLevel="0" collapsed="false">
      <c r="A59" s="8" t="s">
        <v>1153</v>
      </c>
      <c r="B59" s="8" t="n">
        <v>4408027</v>
      </c>
      <c r="C59" s="8" t="s">
        <v>1207</v>
      </c>
      <c r="D59" s="19" t="n">
        <v>22</v>
      </c>
      <c r="E59" s="19" t="n">
        <v>2885.857</v>
      </c>
      <c r="F59" s="19" t="n">
        <v>21.4736842105263</v>
      </c>
      <c r="G59" s="19" t="n">
        <v>2907.82357894737</v>
      </c>
    </row>
    <row r="60" customFormat="false" ht="15" hidden="false" customHeight="false" outlineLevel="0" collapsed="false">
      <c r="A60" s="8" t="s">
        <v>1153</v>
      </c>
      <c r="B60" s="8" t="n">
        <v>4408028</v>
      </c>
      <c r="C60" s="8" t="s">
        <v>1208</v>
      </c>
      <c r="D60" s="19" t="n">
        <v>26</v>
      </c>
      <c r="E60" s="19" t="n">
        <v>3375.152</v>
      </c>
      <c r="F60" s="19" t="n">
        <v>10.1052631578947</v>
      </c>
      <c r="G60" s="19" t="n">
        <v>1331.09052631579</v>
      </c>
    </row>
    <row r="61" customFormat="false" ht="15" hidden="false" customHeight="false" outlineLevel="0" collapsed="false">
      <c r="A61" s="8" t="s">
        <v>1153</v>
      </c>
      <c r="B61" s="8" t="n">
        <v>4408029</v>
      </c>
      <c r="C61" s="8" t="s">
        <v>1209</v>
      </c>
      <c r="D61" s="19" t="n">
        <v>26</v>
      </c>
      <c r="E61" s="19" t="n">
        <v>3464.526</v>
      </c>
      <c r="F61" s="19" t="n">
        <v>16.4210526315789</v>
      </c>
      <c r="G61" s="19" t="n">
        <v>2180.32168421053</v>
      </c>
    </row>
    <row r="62" customFormat="false" ht="15" hidden="false" customHeight="false" outlineLevel="0" collapsed="false">
      <c r="A62" s="8" t="s">
        <v>1153</v>
      </c>
      <c r="B62" s="8" t="n">
        <v>4408030</v>
      </c>
      <c r="C62" s="8" t="s">
        <v>1210</v>
      </c>
      <c r="D62" s="19" t="n">
        <v>1</v>
      </c>
      <c r="E62" s="19" t="n">
        <v>132.132</v>
      </c>
      <c r="F62" s="19" t="n">
        <v>1.26315789473684</v>
      </c>
      <c r="G62" s="19" t="n">
        <v>170.581894736842</v>
      </c>
    </row>
    <row r="63" customFormat="false" ht="15" hidden="false" customHeight="false" outlineLevel="0" collapsed="false">
      <c r="A63" s="8" t="s">
        <v>1153</v>
      </c>
      <c r="B63" s="8" t="n">
        <v>4408031</v>
      </c>
      <c r="C63" s="8" t="s">
        <v>1211</v>
      </c>
      <c r="D63" s="19" t="n">
        <v>5</v>
      </c>
      <c r="E63" s="19" t="n">
        <v>451.269</v>
      </c>
      <c r="F63" s="19" t="n">
        <v>7.57894736842105</v>
      </c>
      <c r="G63" s="19" t="n">
        <v>721.762105263158</v>
      </c>
    </row>
    <row r="64" customFormat="false" ht="15" hidden="false" customHeight="false" outlineLevel="0" collapsed="false">
      <c r="A64" s="8" t="s">
        <v>1153</v>
      </c>
      <c r="B64" s="8" t="n">
        <v>4408032</v>
      </c>
      <c r="C64" s="8" t="s">
        <v>1212</v>
      </c>
      <c r="D64" s="19" t="n">
        <v>50</v>
      </c>
      <c r="E64" s="19" t="n">
        <v>4648.322</v>
      </c>
      <c r="F64" s="19" t="n">
        <v>34.1052631578947</v>
      </c>
      <c r="G64" s="19" t="n">
        <v>3237.048</v>
      </c>
    </row>
    <row r="65" customFormat="false" ht="15" hidden="false" customHeight="false" outlineLevel="0" collapsed="false">
      <c r="A65" s="8" t="s">
        <v>1153</v>
      </c>
      <c r="B65" s="8" t="n">
        <v>4408033</v>
      </c>
      <c r="C65" s="8" t="s">
        <v>1213</v>
      </c>
      <c r="D65" s="19" t="n">
        <v>43</v>
      </c>
      <c r="E65" s="19" t="n">
        <v>4110.925</v>
      </c>
      <c r="F65" s="19" t="n">
        <v>31.5789473684211</v>
      </c>
      <c r="G65" s="19" t="n">
        <v>2943.00505263158</v>
      </c>
    </row>
    <row r="66" customFormat="false" ht="15" hidden="false" customHeight="false" outlineLevel="0" collapsed="false">
      <c r="A66" s="8" t="s">
        <v>1153</v>
      </c>
      <c r="B66" s="8" t="n">
        <v>4408034</v>
      </c>
      <c r="C66" s="8" t="s">
        <v>1214</v>
      </c>
      <c r="D66" s="19" t="n">
        <v>49</v>
      </c>
      <c r="E66" s="19" t="n">
        <v>4577.415</v>
      </c>
      <c r="F66" s="19" t="n">
        <v>37.8947368421053</v>
      </c>
      <c r="G66" s="19" t="n">
        <v>3521.24084210526</v>
      </c>
    </row>
    <row r="67" customFormat="false" ht="15" hidden="false" customHeight="false" outlineLevel="0" collapsed="false">
      <c r="A67" s="8" t="s">
        <v>1153</v>
      </c>
      <c r="B67" s="8" t="n">
        <v>4408035</v>
      </c>
      <c r="C67" s="8" t="s">
        <v>1215</v>
      </c>
      <c r="D67" s="19" t="n">
        <v>29</v>
      </c>
      <c r="E67" s="19" t="n">
        <v>2742.649</v>
      </c>
      <c r="F67" s="19" t="n">
        <v>15.1578947368421</v>
      </c>
      <c r="G67" s="19" t="n">
        <v>1453.40968421053</v>
      </c>
    </row>
    <row r="68" customFormat="false" ht="15" hidden="false" customHeight="false" outlineLevel="0" collapsed="false">
      <c r="A68" s="8" t="s">
        <v>1153</v>
      </c>
      <c r="B68" s="8" t="n">
        <v>4408041</v>
      </c>
      <c r="C68" s="8" t="s">
        <v>1216</v>
      </c>
      <c r="D68" s="19" t="n">
        <v>0</v>
      </c>
      <c r="E68" s="19" t="n">
        <v>0</v>
      </c>
      <c r="F68" s="19" t="n">
        <v>-1.26315789473684</v>
      </c>
      <c r="G68" s="19" t="n">
        <v>-284.494736842105</v>
      </c>
    </row>
    <row r="69" customFormat="false" ht="15" hidden="false" customHeight="false" outlineLevel="0" collapsed="false">
      <c r="A69" s="8" t="s">
        <v>1153</v>
      </c>
      <c r="B69" s="8" t="n">
        <v>4408042</v>
      </c>
      <c r="C69" s="8" t="s">
        <v>1217</v>
      </c>
      <c r="D69" s="19" t="n">
        <v>-1</v>
      </c>
      <c r="E69" s="19" t="n">
        <v>-279.552</v>
      </c>
      <c r="F69" s="19" t="n">
        <v>-1.26315789473684</v>
      </c>
      <c r="G69" s="19" t="n">
        <v>-284.494736842105</v>
      </c>
    </row>
    <row r="70" customFormat="false" ht="15" hidden="false" customHeight="false" outlineLevel="0" collapsed="false">
      <c r="A70" s="8" t="s">
        <v>1153</v>
      </c>
      <c r="B70" s="8" t="n">
        <v>4408043</v>
      </c>
      <c r="C70" s="8" t="s">
        <v>1218</v>
      </c>
      <c r="D70" s="19" t="n">
        <v>0</v>
      </c>
      <c r="E70" s="19" t="n">
        <v>0</v>
      </c>
      <c r="F70" s="19" t="n">
        <v>-1.26315789473684</v>
      </c>
      <c r="G70" s="19" t="n">
        <v>-284.494736842105</v>
      </c>
    </row>
    <row r="71" customFormat="false" ht="15" hidden="false" customHeight="false" outlineLevel="0" collapsed="false">
      <c r="A71" s="8" t="s">
        <v>1153</v>
      </c>
      <c r="B71" s="8" t="n">
        <v>4408044</v>
      </c>
      <c r="C71" s="8" t="s">
        <v>1219</v>
      </c>
      <c r="D71" s="19" t="n">
        <v>0</v>
      </c>
      <c r="E71" s="19" t="n">
        <v>0</v>
      </c>
      <c r="F71" s="19" t="n">
        <v>-1.26315789473684</v>
      </c>
      <c r="G71" s="19" t="n">
        <v>-284.494736842105</v>
      </c>
    </row>
    <row r="72" customFormat="false" ht="15" hidden="false" customHeight="false" outlineLevel="0" collapsed="false">
      <c r="A72" s="8" t="s">
        <v>1153</v>
      </c>
      <c r="B72" s="8" t="n">
        <v>4408046</v>
      </c>
      <c r="C72" s="8" t="s">
        <v>1220</v>
      </c>
      <c r="D72" s="19" t="n">
        <v>170</v>
      </c>
      <c r="E72" s="19" t="n">
        <v>5070.08</v>
      </c>
      <c r="F72" s="19" t="n">
        <v>120</v>
      </c>
      <c r="G72" s="19" t="n">
        <v>3526.93010526316</v>
      </c>
    </row>
    <row r="73" customFormat="false" ht="15" hidden="false" customHeight="false" outlineLevel="0" collapsed="false">
      <c r="A73" s="8" t="s">
        <v>1153</v>
      </c>
      <c r="B73" s="8" t="n">
        <v>4408047</v>
      </c>
      <c r="C73" s="8" t="s">
        <v>1221</v>
      </c>
      <c r="D73" s="19" t="n">
        <v>198</v>
      </c>
      <c r="E73" s="19" t="n">
        <v>5869.41</v>
      </c>
      <c r="F73" s="19" t="n">
        <v>132.631578947368</v>
      </c>
      <c r="G73" s="19" t="n">
        <v>3937.368</v>
      </c>
    </row>
    <row r="74" customFormat="false" ht="15" hidden="false" customHeight="false" outlineLevel="0" collapsed="false">
      <c r="A74" s="8" t="s">
        <v>1153</v>
      </c>
      <c r="B74" s="8" t="n">
        <v>4408048</v>
      </c>
      <c r="C74" s="8" t="s">
        <v>1222</v>
      </c>
      <c r="D74" s="19" t="n">
        <v>129</v>
      </c>
      <c r="E74" s="19" t="n">
        <v>3836.833</v>
      </c>
      <c r="F74" s="19" t="n">
        <v>73.2631578947368</v>
      </c>
      <c r="G74" s="19" t="n">
        <v>2179.99578947368</v>
      </c>
    </row>
    <row r="75" customFormat="false" ht="15" hidden="false" customHeight="false" outlineLevel="0" collapsed="false">
      <c r="A75" s="8" t="s">
        <v>1153</v>
      </c>
      <c r="B75" s="8" t="n">
        <v>4408049</v>
      </c>
      <c r="C75" s="8" t="s">
        <v>1223</v>
      </c>
      <c r="D75" s="19" t="n">
        <v>80</v>
      </c>
      <c r="E75" s="19" t="n">
        <v>2369.458</v>
      </c>
      <c r="F75" s="19" t="n">
        <v>37.8947368421053</v>
      </c>
      <c r="G75" s="19" t="n">
        <v>1116.48378947368</v>
      </c>
    </row>
    <row r="76" customFormat="false" ht="15" hidden="false" customHeight="false" outlineLevel="0" collapsed="false">
      <c r="A76" s="8" t="s">
        <v>1153</v>
      </c>
      <c r="B76" s="8" t="n">
        <v>4408050</v>
      </c>
      <c r="C76" s="8" t="s">
        <v>1224</v>
      </c>
      <c r="D76" s="19" t="n">
        <v>4</v>
      </c>
      <c r="E76" s="19" t="n">
        <v>118.937</v>
      </c>
      <c r="F76" s="19" t="n">
        <v>2.52631578947368</v>
      </c>
      <c r="G76" s="19" t="n">
        <v>76.44</v>
      </c>
    </row>
    <row r="77" customFormat="false" ht="15" hidden="false" customHeight="false" outlineLevel="0" collapsed="false">
      <c r="A77" s="8" t="s">
        <v>1153</v>
      </c>
      <c r="B77" s="8" t="n">
        <v>4408051</v>
      </c>
      <c r="C77" s="8" t="s">
        <v>1225</v>
      </c>
      <c r="D77" s="19" t="n">
        <v>349</v>
      </c>
      <c r="E77" s="19" t="n">
        <v>12358.731</v>
      </c>
      <c r="F77" s="19" t="n">
        <v>210.947368421053</v>
      </c>
      <c r="G77" s="19" t="n">
        <v>7557.62652631579</v>
      </c>
    </row>
    <row r="78" customFormat="false" ht="15" hidden="false" customHeight="false" outlineLevel="0" collapsed="false">
      <c r="A78" s="8" t="s">
        <v>1153</v>
      </c>
      <c r="B78" s="8" t="n">
        <v>4408052</v>
      </c>
      <c r="C78" s="8" t="s">
        <v>1226</v>
      </c>
      <c r="D78" s="19" t="n">
        <v>617</v>
      </c>
      <c r="E78" s="19" t="n">
        <v>21698.609</v>
      </c>
      <c r="F78" s="19" t="n">
        <v>378.947368421053</v>
      </c>
      <c r="G78" s="19" t="n">
        <v>13505.1877894737</v>
      </c>
    </row>
    <row r="79" customFormat="false" ht="15" hidden="false" customHeight="false" outlineLevel="0" collapsed="false">
      <c r="A79" s="8" t="s">
        <v>1153</v>
      </c>
      <c r="B79" s="8" t="n">
        <v>4408053</v>
      </c>
      <c r="C79" s="8" t="s">
        <v>1227</v>
      </c>
      <c r="D79" s="19" t="n">
        <v>671</v>
      </c>
      <c r="E79" s="19" t="n">
        <v>23761.069</v>
      </c>
      <c r="F79" s="19" t="n">
        <v>485.052631578947</v>
      </c>
      <c r="G79" s="19" t="n">
        <v>17274.5216842105</v>
      </c>
    </row>
    <row r="80" customFormat="false" ht="15" hidden="false" customHeight="false" outlineLevel="0" collapsed="false">
      <c r="A80" s="8" t="s">
        <v>1153</v>
      </c>
      <c r="B80" s="8" t="n">
        <v>4408054</v>
      </c>
      <c r="C80" s="8" t="s">
        <v>1228</v>
      </c>
      <c r="D80" s="19" t="n">
        <v>250</v>
      </c>
      <c r="E80" s="19" t="n">
        <v>8828.631</v>
      </c>
      <c r="F80" s="19" t="n">
        <v>144</v>
      </c>
      <c r="G80" s="19" t="n">
        <v>5017.60926315789</v>
      </c>
    </row>
    <row r="81" customFormat="false" ht="15" hidden="false" customHeight="false" outlineLevel="0" collapsed="false">
      <c r="A81" s="8" t="s">
        <v>1153</v>
      </c>
      <c r="B81" s="8" t="n">
        <v>4408059</v>
      </c>
      <c r="C81" s="8" t="s">
        <v>1229</v>
      </c>
      <c r="D81" s="19" t="n">
        <v>2</v>
      </c>
      <c r="E81" s="19" t="n">
        <v>120.666</v>
      </c>
      <c r="F81" s="19" t="n">
        <v>0</v>
      </c>
      <c r="G81" s="19" t="n">
        <v>0</v>
      </c>
    </row>
    <row r="82" customFormat="false" ht="15" hidden="false" customHeight="false" outlineLevel="0" collapsed="false">
      <c r="A82" s="8" t="s">
        <v>1153</v>
      </c>
      <c r="B82" s="8" t="n">
        <v>4408060</v>
      </c>
      <c r="C82" s="8" t="s">
        <v>1230</v>
      </c>
      <c r="D82" s="19" t="n">
        <v>-1</v>
      </c>
      <c r="E82" s="19" t="n">
        <v>-46.319</v>
      </c>
      <c r="F82" s="19" t="n">
        <v>0</v>
      </c>
      <c r="G82" s="19" t="n">
        <v>0</v>
      </c>
    </row>
    <row r="83" customFormat="false" ht="15" hidden="false" customHeight="false" outlineLevel="0" collapsed="false">
      <c r="A83" s="8" t="s">
        <v>1153</v>
      </c>
      <c r="B83" s="8" t="n">
        <v>4408061</v>
      </c>
      <c r="C83" s="8" t="s">
        <v>1231</v>
      </c>
      <c r="D83" s="19" t="n">
        <v>0</v>
      </c>
      <c r="E83" s="19" t="n">
        <v>7.098</v>
      </c>
      <c r="F83" s="19" t="n">
        <v>0</v>
      </c>
      <c r="G83" s="19" t="n">
        <v>0</v>
      </c>
    </row>
    <row r="84" customFormat="false" ht="15" hidden="false" customHeight="false" outlineLevel="0" collapsed="false">
      <c r="A84" s="8" t="s">
        <v>1153</v>
      </c>
      <c r="B84" s="8" t="n">
        <v>4408062</v>
      </c>
      <c r="C84" s="8" t="s">
        <v>1232</v>
      </c>
      <c r="D84" s="19" t="n">
        <v>2</v>
      </c>
      <c r="E84" s="19" t="n">
        <v>120.393</v>
      </c>
      <c r="F84" s="19" t="n">
        <v>-1.26315789473684</v>
      </c>
      <c r="G84" s="19" t="n">
        <v>-61.152</v>
      </c>
    </row>
    <row r="85" customFormat="false" ht="15" hidden="false" customHeight="false" outlineLevel="0" collapsed="false">
      <c r="A85" s="8" t="s">
        <v>1153</v>
      </c>
      <c r="B85" s="8" t="n">
        <v>4408069</v>
      </c>
      <c r="C85" s="8" t="s">
        <v>1233</v>
      </c>
      <c r="D85" s="19" t="n">
        <v>0</v>
      </c>
      <c r="E85" s="19" t="n">
        <v>0</v>
      </c>
      <c r="F85" s="19" t="n">
        <v>2.52631578947368</v>
      </c>
      <c r="G85" s="19" t="n">
        <v>204.606315789474</v>
      </c>
    </row>
    <row r="86" customFormat="false" ht="15" hidden="false" customHeight="false" outlineLevel="0" collapsed="false">
      <c r="A86" s="8" t="s">
        <v>1153</v>
      </c>
      <c r="B86" s="8" t="n">
        <v>4408070</v>
      </c>
      <c r="C86" s="8" t="s">
        <v>491</v>
      </c>
      <c r="D86" s="19" t="n">
        <v>1</v>
      </c>
      <c r="E86" s="19" t="n">
        <v>180</v>
      </c>
      <c r="F86" s="19" t="n">
        <v>0</v>
      </c>
      <c r="G86" s="19" t="n">
        <v>0</v>
      </c>
    </row>
    <row r="87" customFormat="false" ht="15" hidden="false" customHeight="false" outlineLevel="0" collapsed="false">
      <c r="A87" s="8" t="s">
        <v>1153</v>
      </c>
      <c r="B87" s="8" t="n">
        <v>4408071</v>
      </c>
      <c r="C87" s="8" t="s">
        <v>1234</v>
      </c>
      <c r="D87" s="19" t="n">
        <v>4</v>
      </c>
      <c r="E87" s="19" t="n">
        <v>1065.48</v>
      </c>
      <c r="F87" s="19" t="n">
        <v>6.31578947368421</v>
      </c>
      <c r="G87" s="19" t="n">
        <v>1465.35410526316</v>
      </c>
    </row>
    <row r="88" customFormat="false" ht="15" hidden="false" customHeight="false" outlineLevel="0" collapsed="false">
      <c r="A88" s="8" t="s">
        <v>1153</v>
      </c>
      <c r="B88" s="8" t="n">
        <v>4408072</v>
      </c>
      <c r="C88" s="8" t="s">
        <v>1235</v>
      </c>
      <c r="D88" s="19" t="n">
        <v>5</v>
      </c>
      <c r="E88" s="19" t="n">
        <v>1245.48</v>
      </c>
      <c r="F88" s="19" t="n">
        <v>3.78947368421053</v>
      </c>
      <c r="G88" s="19" t="n">
        <v>815.671578947368</v>
      </c>
    </row>
    <row r="89" customFormat="false" ht="15" hidden="false" customHeight="false" outlineLevel="0" collapsed="false">
      <c r="A89" s="8" t="s">
        <v>1153</v>
      </c>
      <c r="B89" s="8" t="n">
        <v>4408073</v>
      </c>
      <c r="C89" s="8" t="s">
        <v>1236</v>
      </c>
      <c r="D89" s="19" t="n">
        <v>4</v>
      </c>
      <c r="E89" s="19" t="n">
        <v>929.48</v>
      </c>
      <c r="F89" s="19" t="n">
        <v>2.52631578947368</v>
      </c>
      <c r="G89" s="19" t="n">
        <v>590.717052631579</v>
      </c>
    </row>
    <row r="90" customFormat="false" ht="15" hidden="false" customHeight="false" outlineLevel="0" collapsed="false">
      <c r="A90" s="8" t="s">
        <v>1153</v>
      </c>
      <c r="B90" s="8" t="n">
        <v>4408075</v>
      </c>
      <c r="C90" s="8" t="s">
        <v>1237</v>
      </c>
      <c r="D90" s="19" t="n">
        <v>1</v>
      </c>
      <c r="E90" s="19" t="n">
        <v>187.45</v>
      </c>
      <c r="F90" s="19" t="n">
        <v>1.26315789473684</v>
      </c>
      <c r="G90" s="19" t="n">
        <v>215.411368421053</v>
      </c>
    </row>
    <row r="91" customFormat="false" ht="15" hidden="false" customHeight="false" outlineLevel="0" collapsed="false">
      <c r="A91" s="8" t="s">
        <v>1153</v>
      </c>
      <c r="B91" s="8" t="n">
        <v>4408076</v>
      </c>
      <c r="C91" s="8" t="s">
        <v>1238</v>
      </c>
      <c r="D91" s="19" t="n">
        <v>8</v>
      </c>
      <c r="E91" s="19" t="n">
        <v>1423.255</v>
      </c>
      <c r="F91" s="19" t="n">
        <v>11.3684210526316</v>
      </c>
      <c r="G91" s="19" t="n">
        <v>1918.39957894737</v>
      </c>
    </row>
    <row r="92" customFormat="false" ht="15" hidden="false" customHeight="false" outlineLevel="0" collapsed="false">
      <c r="A92" s="8" t="s">
        <v>1153</v>
      </c>
      <c r="B92" s="8" t="n">
        <v>4408077</v>
      </c>
      <c r="C92" s="8" t="s">
        <v>1239</v>
      </c>
      <c r="D92" s="19" t="n">
        <v>5</v>
      </c>
      <c r="E92" s="19" t="n">
        <v>783.038</v>
      </c>
      <c r="F92" s="19" t="n">
        <v>12.6315789473684</v>
      </c>
      <c r="G92" s="19" t="n">
        <v>2085.40926315789</v>
      </c>
    </row>
    <row r="93" customFormat="false" ht="15" hidden="false" customHeight="false" outlineLevel="0" collapsed="false">
      <c r="A93" s="8" t="s">
        <v>1153</v>
      </c>
      <c r="B93" s="8" t="n">
        <v>4408078</v>
      </c>
      <c r="C93" s="8" t="s">
        <v>1240</v>
      </c>
      <c r="D93" s="19" t="n">
        <v>2</v>
      </c>
      <c r="E93" s="19" t="n">
        <v>371.77</v>
      </c>
      <c r="F93" s="19" t="n">
        <v>1.26315789473684</v>
      </c>
      <c r="G93" s="19" t="n">
        <v>215.411368421053</v>
      </c>
    </row>
    <row r="94" customFormat="false" ht="15" hidden="false" customHeight="false" outlineLevel="0" collapsed="false">
      <c r="A94" s="8" t="s">
        <v>1153</v>
      </c>
      <c r="B94" s="8" t="n">
        <v>4408079</v>
      </c>
      <c r="C94" s="8" t="s">
        <v>1241</v>
      </c>
      <c r="D94" s="19" t="n">
        <v>7</v>
      </c>
      <c r="E94" s="19" t="n">
        <v>1202.668</v>
      </c>
      <c r="F94" s="19" t="n">
        <v>0</v>
      </c>
      <c r="G94" s="19" t="n">
        <v>-25.7482105263158</v>
      </c>
    </row>
    <row r="95" customFormat="false" ht="15" hidden="false" customHeight="false" outlineLevel="0" collapsed="false">
      <c r="A95" s="8" t="s">
        <v>1153</v>
      </c>
      <c r="B95" s="8" t="n">
        <v>4408080</v>
      </c>
      <c r="C95" s="8" t="s">
        <v>1242</v>
      </c>
      <c r="D95" s="19" t="n">
        <v>11</v>
      </c>
      <c r="E95" s="19" t="n">
        <v>1831.702</v>
      </c>
      <c r="F95" s="19" t="n">
        <v>17.6842105263158</v>
      </c>
      <c r="G95" s="19" t="n">
        <v>3004.26063157895</v>
      </c>
    </row>
    <row r="96" customFormat="false" ht="15" hidden="false" customHeight="false" outlineLevel="0" collapsed="false">
      <c r="A96" s="8" t="s">
        <v>1153</v>
      </c>
      <c r="B96" s="8" t="n">
        <v>4408081</v>
      </c>
      <c r="C96" s="8" t="s">
        <v>1243</v>
      </c>
      <c r="D96" s="19" t="n">
        <v>14</v>
      </c>
      <c r="E96" s="19" t="n">
        <v>2377.136</v>
      </c>
      <c r="F96" s="19" t="n">
        <v>15.1578947368421</v>
      </c>
      <c r="G96" s="19" t="n">
        <v>2490.57094736842</v>
      </c>
    </row>
    <row r="97" customFormat="false" ht="15" hidden="false" customHeight="false" outlineLevel="0" collapsed="false">
      <c r="A97" s="8" t="s">
        <v>1153</v>
      </c>
      <c r="B97" s="8" t="n">
        <v>4408082</v>
      </c>
      <c r="C97" s="8" t="s">
        <v>1244</v>
      </c>
      <c r="D97" s="19" t="n">
        <v>5</v>
      </c>
      <c r="E97" s="19" t="n">
        <v>841.649</v>
      </c>
      <c r="F97" s="19" t="n">
        <v>7.57894736842105</v>
      </c>
      <c r="G97" s="19" t="n">
        <v>1318.11663157895</v>
      </c>
    </row>
    <row r="98" customFormat="false" ht="15" hidden="false" customHeight="false" outlineLevel="0" collapsed="false">
      <c r="A98" s="8" t="s">
        <v>1153</v>
      </c>
      <c r="B98" s="8" t="n">
        <v>4408084</v>
      </c>
      <c r="C98" s="8" t="s">
        <v>1245</v>
      </c>
      <c r="D98" s="19" t="n">
        <v>1</v>
      </c>
      <c r="E98" s="19" t="n">
        <v>129.038</v>
      </c>
      <c r="F98" s="19" t="n">
        <v>3.78947368421053</v>
      </c>
      <c r="G98" s="19" t="n">
        <v>505.666105263158</v>
      </c>
    </row>
    <row r="99" customFormat="false" ht="15" hidden="false" customHeight="false" outlineLevel="0" collapsed="false">
      <c r="A99" s="8" t="s">
        <v>1153</v>
      </c>
      <c r="B99" s="8" t="n">
        <v>4408085</v>
      </c>
      <c r="C99" s="8" t="s">
        <v>1246</v>
      </c>
      <c r="D99" s="19" t="n">
        <v>1</v>
      </c>
      <c r="E99" s="19" t="n">
        <v>129.22</v>
      </c>
      <c r="F99" s="19" t="n">
        <v>0</v>
      </c>
      <c r="G99" s="19" t="n">
        <v>0</v>
      </c>
    </row>
    <row r="100" customFormat="false" ht="15" hidden="false" customHeight="false" outlineLevel="0" collapsed="false">
      <c r="A100" s="8" t="s">
        <v>1153</v>
      </c>
      <c r="B100" s="8" t="n">
        <v>4408087</v>
      </c>
      <c r="C100" s="8" t="s">
        <v>1247</v>
      </c>
      <c r="D100" s="19" t="n">
        <v>1</v>
      </c>
      <c r="E100" s="19" t="n">
        <v>89</v>
      </c>
      <c r="F100" s="19" t="n">
        <v>1.26315789473684</v>
      </c>
      <c r="G100" s="19" t="n">
        <v>163.225263157895</v>
      </c>
    </row>
    <row r="101" customFormat="false" ht="15" hidden="false" customHeight="false" outlineLevel="0" collapsed="false">
      <c r="A101" s="8" t="s">
        <v>1153</v>
      </c>
      <c r="B101" s="8" t="n">
        <v>4408088</v>
      </c>
      <c r="C101" s="8" t="s">
        <v>1248</v>
      </c>
      <c r="D101" s="19" t="n">
        <v>25</v>
      </c>
      <c r="E101" s="19" t="n">
        <v>1777.048</v>
      </c>
      <c r="F101" s="19" t="n">
        <v>13.8947368421053</v>
      </c>
      <c r="G101" s="19" t="n">
        <v>987.857684210526</v>
      </c>
    </row>
    <row r="102" customFormat="false" ht="15" hidden="false" customHeight="false" outlineLevel="0" collapsed="false">
      <c r="A102" s="8" t="s">
        <v>1153</v>
      </c>
      <c r="B102" s="8" t="n">
        <v>4408089</v>
      </c>
      <c r="C102" s="8" t="s">
        <v>1249</v>
      </c>
      <c r="D102" s="19" t="n">
        <v>0</v>
      </c>
      <c r="E102" s="19" t="n">
        <v>0</v>
      </c>
      <c r="F102" s="19" t="n">
        <v>1.26315789473684</v>
      </c>
      <c r="G102" s="19" t="n">
        <v>123.453473684211</v>
      </c>
    </row>
    <row r="103" customFormat="false" ht="15" hidden="false" customHeight="false" outlineLevel="0" collapsed="false">
      <c r="A103" s="8" t="s">
        <v>1153</v>
      </c>
      <c r="B103" s="8" t="n">
        <v>4408090</v>
      </c>
      <c r="C103" s="8" t="s">
        <v>1250</v>
      </c>
      <c r="D103" s="19" t="n">
        <v>8</v>
      </c>
      <c r="E103" s="19" t="n">
        <v>673.491</v>
      </c>
      <c r="F103" s="19" t="n">
        <v>202.105263157895</v>
      </c>
      <c r="G103" s="19" t="n">
        <v>17477.3924210526</v>
      </c>
    </row>
    <row r="104" customFormat="false" ht="15" hidden="false" customHeight="false" outlineLevel="0" collapsed="false">
      <c r="A104" s="8" t="s">
        <v>1153</v>
      </c>
      <c r="B104" s="8" t="n">
        <v>4408091</v>
      </c>
      <c r="C104" s="8" t="s">
        <v>1251</v>
      </c>
      <c r="D104" s="19" t="n">
        <v>1</v>
      </c>
      <c r="E104" s="19" t="n">
        <v>94.591</v>
      </c>
      <c r="F104" s="19" t="n">
        <v>2.52631578947368</v>
      </c>
      <c r="G104" s="19" t="n">
        <v>217.595368421053</v>
      </c>
    </row>
    <row r="105" customFormat="false" ht="15" hidden="false" customHeight="false" outlineLevel="0" collapsed="false">
      <c r="A105" s="8" t="s">
        <v>1153</v>
      </c>
      <c r="B105" s="8" t="n">
        <v>4408092</v>
      </c>
      <c r="C105" s="8" t="s">
        <v>1252</v>
      </c>
      <c r="D105" s="19" t="n">
        <v>14</v>
      </c>
      <c r="E105" s="19" t="n">
        <v>1220.787</v>
      </c>
      <c r="F105" s="19" t="n">
        <v>12.6315789473684</v>
      </c>
      <c r="G105" s="19" t="n">
        <v>1091.18273684211</v>
      </c>
    </row>
    <row r="106" customFormat="false" ht="15" hidden="false" customHeight="false" outlineLevel="0" collapsed="false">
      <c r="A106" s="8" t="s">
        <v>1153</v>
      </c>
      <c r="B106" s="8" t="n">
        <v>4408093</v>
      </c>
      <c r="C106" s="8" t="s">
        <v>1253</v>
      </c>
      <c r="D106" s="19" t="n">
        <v>8</v>
      </c>
      <c r="E106" s="19" t="n">
        <v>685.139</v>
      </c>
      <c r="F106" s="19" t="n">
        <v>8.84210526315789</v>
      </c>
      <c r="G106" s="19" t="n">
        <v>768.41052631579</v>
      </c>
    </row>
    <row r="107" customFormat="false" ht="15" hidden="false" customHeight="false" outlineLevel="0" collapsed="false">
      <c r="A107" s="8" t="s">
        <v>1153</v>
      </c>
      <c r="B107" s="8" t="n">
        <v>4408094</v>
      </c>
      <c r="C107" s="8" t="s">
        <v>1254</v>
      </c>
      <c r="D107" s="19" t="n">
        <v>106</v>
      </c>
      <c r="E107" s="19" t="n">
        <v>3382.743</v>
      </c>
      <c r="F107" s="19" t="n">
        <v>77.0526315789474</v>
      </c>
      <c r="G107" s="19" t="n">
        <v>2453.43663157895</v>
      </c>
    </row>
    <row r="108" customFormat="false" ht="15" hidden="false" customHeight="false" outlineLevel="0" collapsed="false">
      <c r="A108" s="8" t="s">
        <v>1153</v>
      </c>
      <c r="B108" s="8" t="n">
        <v>4408095</v>
      </c>
      <c r="C108" s="8" t="s">
        <v>1255</v>
      </c>
      <c r="D108" s="19" t="n">
        <v>49</v>
      </c>
      <c r="E108" s="19" t="n">
        <v>1563.016</v>
      </c>
      <c r="F108" s="19" t="n">
        <v>77.0526315789474</v>
      </c>
      <c r="G108" s="19" t="n">
        <v>2455.73557894737</v>
      </c>
    </row>
    <row r="109" customFormat="false" ht="15" hidden="false" customHeight="false" outlineLevel="0" collapsed="false">
      <c r="A109" s="8" t="s">
        <v>1153</v>
      </c>
      <c r="B109" s="8" t="n">
        <v>4408096</v>
      </c>
      <c r="C109" s="8" t="s">
        <v>1256</v>
      </c>
      <c r="D109" s="19" t="n">
        <v>109</v>
      </c>
      <c r="E109" s="19" t="n">
        <v>3469.819</v>
      </c>
      <c r="F109" s="19" t="n">
        <v>40.4210526315789</v>
      </c>
      <c r="G109" s="19" t="n">
        <v>981.765473684211</v>
      </c>
    </row>
    <row r="110" customFormat="false" ht="15" hidden="false" customHeight="false" outlineLevel="0" collapsed="false">
      <c r="A110" s="8" t="s">
        <v>1153</v>
      </c>
      <c r="B110" s="8" t="n">
        <v>4408097</v>
      </c>
      <c r="C110" s="8" t="s">
        <v>1257</v>
      </c>
      <c r="D110" s="19" t="n">
        <v>78</v>
      </c>
      <c r="E110" s="19" t="n">
        <v>2483.197</v>
      </c>
      <c r="F110" s="19" t="n">
        <v>46.7368421052632</v>
      </c>
      <c r="G110" s="19" t="n">
        <v>1483.16589473684</v>
      </c>
    </row>
    <row r="111" customFormat="false" ht="15" hidden="false" customHeight="false" outlineLevel="0" collapsed="false">
      <c r="A111" s="8" t="s">
        <v>1153</v>
      </c>
      <c r="B111" s="8" t="n">
        <v>4408098</v>
      </c>
      <c r="C111" s="8" t="s">
        <v>1258</v>
      </c>
      <c r="D111" s="19" t="n">
        <v>580</v>
      </c>
      <c r="E111" s="19" t="n">
        <v>23675.045</v>
      </c>
      <c r="F111" s="19" t="n">
        <v>386.526315789474</v>
      </c>
      <c r="G111" s="19" t="n">
        <v>16136.2711578947</v>
      </c>
    </row>
    <row r="112" customFormat="false" ht="15" hidden="false" customHeight="false" outlineLevel="0" collapsed="false">
      <c r="A112" s="8" t="s">
        <v>1153</v>
      </c>
      <c r="B112" s="8" t="n">
        <v>4408099</v>
      </c>
      <c r="C112" s="8" t="s">
        <v>1259</v>
      </c>
      <c r="D112" s="19" t="n">
        <v>488</v>
      </c>
      <c r="E112" s="19" t="n">
        <v>19852.671</v>
      </c>
      <c r="F112" s="19" t="n">
        <v>443.368421052632</v>
      </c>
      <c r="G112" s="19" t="n">
        <v>18182.4025263158</v>
      </c>
    </row>
    <row r="113" customFormat="false" ht="15" hidden="false" customHeight="false" outlineLevel="0" collapsed="false">
      <c r="A113" s="8" t="s">
        <v>1153</v>
      </c>
      <c r="B113" s="8" t="n">
        <v>4408100</v>
      </c>
      <c r="C113" s="8" t="s">
        <v>1260</v>
      </c>
      <c r="D113" s="19" t="n">
        <v>1</v>
      </c>
      <c r="E113" s="19" t="n">
        <v>85.995</v>
      </c>
      <c r="F113" s="19" t="n">
        <v>0</v>
      </c>
      <c r="G113" s="19" t="n">
        <v>0</v>
      </c>
    </row>
    <row r="114" customFormat="false" ht="15" hidden="false" customHeight="false" outlineLevel="0" collapsed="false">
      <c r="A114" s="8" t="s">
        <v>1153</v>
      </c>
      <c r="B114" s="8" t="n">
        <v>4408105</v>
      </c>
      <c r="C114" s="8" t="s">
        <v>1261</v>
      </c>
      <c r="D114" s="19" t="n">
        <v>1</v>
      </c>
      <c r="E114" s="19" t="n">
        <v>193.83</v>
      </c>
      <c r="F114" s="19" t="n">
        <v>0</v>
      </c>
      <c r="G114" s="19" t="n">
        <v>0</v>
      </c>
    </row>
    <row r="115" customFormat="false" ht="15" hidden="false" customHeight="false" outlineLevel="0" collapsed="false">
      <c r="A115" s="8" t="s">
        <v>1153</v>
      </c>
      <c r="B115" s="8" t="n">
        <v>4408113</v>
      </c>
      <c r="C115" s="8" t="s">
        <v>1262</v>
      </c>
      <c r="D115" s="19" t="n">
        <v>3</v>
      </c>
      <c r="E115" s="19" t="n">
        <v>295.022</v>
      </c>
      <c r="F115" s="19" t="n">
        <v>1.26315789473684</v>
      </c>
      <c r="G115" s="19" t="n">
        <v>118.165894736842</v>
      </c>
    </row>
    <row r="116" customFormat="false" ht="15" hidden="false" customHeight="false" outlineLevel="0" collapsed="false">
      <c r="A116" s="8" t="s">
        <v>1153</v>
      </c>
      <c r="B116" s="8" t="n">
        <v>4408114</v>
      </c>
      <c r="C116" s="8" t="s">
        <v>1263</v>
      </c>
      <c r="D116" s="19" t="n">
        <v>12</v>
      </c>
      <c r="E116" s="19" t="n">
        <v>1128.048</v>
      </c>
      <c r="F116" s="19" t="n">
        <v>7.57894736842105</v>
      </c>
      <c r="G116" s="19" t="n">
        <v>759.342315789474</v>
      </c>
    </row>
    <row r="117" customFormat="false" ht="15" hidden="false" customHeight="false" outlineLevel="0" collapsed="false">
      <c r="A117" s="8" t="s">
        <v>1153</v>
      </c>
      <c r="B117" s="8" t="n">
        <v>4408115</v>
      </c>
      <c r="C117" s="8" t="s">
        <v>1264</v>
      </c>
      <c r="D117" s="19" t="n">
        <v>22</v>
      </c>
      <c r="E117" s="19" t="n">
        <v>2042.256</v>
      </c>
      <c r="F117" s="19" t="n">
        <v>20.2105263157895</v>
      </c>
      <c r="G117" s="19" t="n">
        <v>1918.24926315789</v>
      </c>
    </row>
    <row r="118" customFormat="false" ht="15" hidden="false" customHeight="false" outlineLevel="0" collapsed="false">
      <c r="A118" s="8" t="s">
        <v>1153</v>
      </c>
      <c r="B118" s="8" t="n">
        <v>4408116</v>
      </c>
      <c r="C118" s="8" t="s">
        <v>1265</v>
      </c>
      <c r="D118" s="19" t="n">
        <v>35</v>
      </c>
      <c r="E118" s="19" t="n">
        <v>3306.4</v>
      </c>
      <c r="F118" s="19" t="n">
        <v>11.3684210526316</v>
      </c>
      <c r="G118" s="19" t="n">
        <v>1139.01347368421</v>
      </c>
    </row>
    <row r="119" customFormat="false" ht="15" hidden="false" customHeight="false" outlineLevel="0" collapsed="false">
      <c r="A119" s="8" t="s">
        <v>1153</v>
      </c>
      <c r="B119" s="8" t="n">
        <v>4408119</v>
      </c>
      <c r="C119" s="8" t="s">
        <v>1266</v>
      </c>
      <c r="D119" s="19" t="n">
        <v>3</v>
      </c>
      <c r="E119" s="19" t="n">
        <v>354.801</v>
      </c>
      <c r="F119" s="19" t="n">
        <v>1.26315789473684</v>
      </c>
      <c r="G119" s="19" t="n">
        <v>161.616</v>
      </c>
    </row>
    <row r="120" customFormat="false" ht="15" hidden="false" customHeight="false" outlineLevel="0" collapsed="false">
      <c r="A120" s="8" t="s">
        <v>1153</v>
      </c>
      <c r="B120" s="8" t="n">
        <v>4408120</v>
      </c>
      <c r="C120" s="8" t="s">
        <v>1267</v>
      </c>
      <c r="D120" s="19" t="n">
        <v>3</v>
      </c>
      <c r="E120" s="19" t="n">
        <v>354.791</v>
      </c>
      <c r="F120" s="19" t="n">
        <v>1.26315789473684</v>
      </c>
      <c r="G120" s="19" t="n">
        <v>129.315789473684</v>
      </c>
    </row>
    <row r="121" customFormat="false" ht="15" hidden="false" customHeight="false" outlineLevel="0" collapsed="false">
      <c r="A121" s="8" t="s">
        <v>1153</v>
      </c>
      <c r="B121" s="8" t="n">
        <v>4408122</v>
      </c>
      <c r="C121" s="8" t="s">
        <v>1268</v>
      </c>
      <c r="D121" s="19" t="n">
        <v>2</v>
      </c>
      <c r="E121" s="19" t="n">
        <v>248.339</v>
      </c>
      <c r="F121" s="19" t="n">
        <v>0</v>
      </c>
      <c r="G121" s="19" t="n">
        <v>0</v>
      </c>
    </row>
    <row r="122" customFormat="false" ht="15" hidden="false" customHeight="false" outlineLevel="0" collapsed="false">
      <c r="A122" s="8" t="s">
        <v>1153</v>
      </c>
      <c r="B122" s="8" t="n">
        <v>4408126</v>
      </c>
      <c r="C122" s="8" t="s">
        <v>1269</v>
      </c>
      <c r="D122" s="19" t="n">
        <v>1</v>
      </c>
      <c r="E122" s="19" t="n">
        <v>127.946</v>
      </c>
      <c r="F122" s="19" t="n">
        <v>0</v>
      </c>
      <c r="G122" s="19" t="n">
        <v>0</v>
      </c>
    </row>
    <row r="123" customFormat="false" ht="15" hidden="false" customHeight="false" outlineLevel="0" collapsed="false">
      <c r="A123" s="8" t="s">
        <v>1153</v>
      </c>
      <c r="B123" s="8" t="n">
        <v>4408129</v>
      </c>
      <c r="C123" s="8" t="s">
        <v>1270</v>
      </c>
      <c r="D123" s="19" t="n">
        <v>1</v>
      </c>
      <c r="E123" s="19" t="n">
        <v>127.946</v>
      </c>
      <c r="F123" s="19" t="n">
        <v>0</v>
      </c>
      <c r="G123" s="19" t="n">
        <v>0</v>
      </c>
    </row>
    <row r="124" customFormat="false" ht="15" hidden="false" customHeight="false" outlineLevel="0" collapsed="false">
      <c r="A124" s="8" t="s">
        <v>1153</v>
      </c>
      <c r="B124" s="8" t="n">
        <v>4408130</v>
      </c>
      <c r="C124" s="8" t="s">
        <v>1271</v>
      </c>
      <c r="D124" s="19" t="n">
        <v>0</v>
      </c>
      <c r="E124" s="19" t="n">
        <v>0</v>
      </c>
      <c r="F124" s="19" t="n">
        <v>-1.26315789473684</v>
      </c>
      <c r="G124" s="19" t="n">
        <v>-161.616</v>
      </c>
    </row>
    <row r="125" customFormat="false" ht="15" hidden="false" customHeight="false" outlineLevel="0" collapsed="false">
      <c r="A125" s="8" t="s">
        <v>1153</v>
      </c>
      <c r="B125" s="8" t="n">
        <v>4408131</v>
      </c>
      <c r="C125" s="8" t="s">
        <v>1272</v>
      </c>
      <c r="D125" s="19" t="n">
        <v>1</v>
      </c>
      <c r="E125" s="19" t="n">
        <v>132.32</v>
      </c>
      <c r="F125" s="19" t="n">
        <v>1.26315789473684</v>
      </c>
      <c r="G125" s="19" t="n">
        <v>161.616</v>
      </c>
    </row>
    <row r="126" customFormat="false" ht="15" hidden="false" customHeight="false" outlineLevel="0" collapsed="false">
      <c r="A126" s="8" t="s">
        <v>1153</v>
      </c>
      <c r="B126" s="8" t="n">
        <v>4408132</v>
      </c>
      <c r="C126" s="8" t="s">
        <v>1273</v>
      </c>
      <c r="D126" s="19" t="n">
        <v>24</v>
      </c>
      <c r="E126" s="19" t="n">
        <v>2299.115</v>
      </c>
      <c r="F126" s="19" t="n">
        <v>26.5263157894737</v>
      </c>
      <c r="G126" s="19" t="n">
        <v>2600.13221052632</v>
      </c>
    </row>
    <row r="127" customFormat="false" ht="15" hidden="false" customHeight="false" outlineLevel="0" collapsed="false">
      <c r="A127" s="8" t="s">
        <v>1153</v>
      </c>
      <c r="B127" s="8" t="n">
        <v>4408134</v>
      </c>
      <c r="C127" s="8" t="s">
        <v>1274</v>
      </c>
      <c r="D127" s="19" t="n">
        <v>60</v>
      </c>
      <c r="E127" s="19" t="n">
        <v>5283.444</v>
      </c>
      <c r="F127" s="19" t="n">
        <v>10.1052631578947</v>
      </c>
      <c r="G127" s="19" t="n">
        <v>1256.37473684211</v>
      </c>
    </row>
    <row r="128" customFormat="false" ht="15" hidden="false" customHeight="false" outlineLevel="0" collapsed="false">
      <c r="A128" s="8" t="s">
        <v>1153</v>
      </c>
      <c r="B128" s="8" t="n">
        <v>4408135</v>
      </c>
      <c r="C128" s="8" t="s">
        <v>1275</v>
      </c>
      <c r="D128" s="19" t="n">
        <v>47</v>
      </c>
      <c r="E128" s="19" t="n">
        <v>5003.458</v>
      </c>
      <c r="F128" s="19" t="n">
        <v>12.6315789473684</v>
      </c>
      <c r="G128" s="19" t="n">
        <v>1494.79073684211</v>
      </c>
    </row>
    <row r="129" customFormat="false" ht="15" hidden="false" customHeight="false" outlineLevel="0" collapsed="false">
      <c r="A129" s="8" t="s">
        <v>1153</v>
      </c>
      <c r="B129" s="8" t="n">
        <v>4408140</v>
      </c>
      <c r="C129" s="8" t="s">
        <v>1276</v>
      </c>
      <c r="D129" s="19" t="n">
        <v>1</v>
      </c>
      <c r="E129" s="19" t="n">
        <v>140.504</v>
      </c>
      <c r="F129" s="19" t="n">
        <v>0</v>
      </c>
      <c r="G129" s="19" t="n">
        <v>0</v>
      </c>
    </row>
    <row r="130" customFormat="false" ht="15" hidden="false" customHeight="false" outlineLevel="0" collapsed="false">
      <c r="A130" s="8" t="s">
        <v>1153</v>
      </c>
      <c r="B130" s="8" t="n">
        <v>4408141</v>
      </c>
      <c r="C130" s="8" t="s">
        <v>1277</v>
      </c>
      <c r="D130" s="19" t="n">
        <v>1</v>
      </c>
      <c r="E130" s="19" t="n">
        <v>430.157</v>
      </c>
      <c r="F130" s="19" t="n">
        <v>0</v>
      </c>
      <c r="G130" s="19" t="n">
        <v>0</v>
      </c>
    </row>
    <row r="131" customFormat="false" ht="15" hidden="false" customHeight="false" outlineLevel="0" collapsed="false">
      <c r="A131" s="8" t="s">
        <v>1153</v>
      </c>
      <c r="B131" s="8" t="n">
        <v>4408142</v>
      </c>
      <c r="C131" s="8" t="s">
        <v>1278</v>
      </c>
      <c r="D131" s="19" t="n">
        <v>1</v>
      </c>
      <c r="E131" s="19" t="n">
        <v>430.157</v>
      </c>
      <c r="F131" s="19" t="n">
        <v>0</v>
      </c>
      <c r="G131" s="19" t="n">
        <v>0</v>
      </c>
    </row>
    <row r="132" customFormat="false" ht="15" hidden="false" customHeight="false" outlineLevel="0" collapsed="false">
      <c r="A132" s="8" t="s">
        <v>1153</v>
      </c>
      <c r="B132" s="8" t="n">
        <v>4408145</v>
      </c>
      <c r="C132" s="8" t="s">
        <v>929</v>
      </c>
      <c r="D132" s="19" t="n">
        <v>2</v>
      </c>
      <c r="E132" s="19" t="n">
        <v>263.48</v>
      </c>
      <c r="F132" s="19" t="n">
        <v>0</v>
      </c>
      <c r="G132" s="19" t="n">
        <v>0</v>
      </c>
    </row>
    <row r="133" customFormat="false" ht="15" hidden="false" customHeight="false" outlineLevel="0" collapsed="false">
      <c r="A133" s="8" t="s">
        <v>1153</v>
      </c>
      <c r="B133" s="8" t="n">
        <v>4408147</v>
      </c>
      <c r="C133" s="8" t="s">
        <v>1279</v>
      </c>
      <c r="D133" s="19" t="n">
        <v>4</v>
      </c>
      <c r="E133" s="19" t="n">
        <v>491.716</v>
      </c>
      <c r="F133" s="19" t="n">
        <v>2.52631578947368</v>
      </c>
      <c r="G133" s="19" t="n">
        <v>327.851368421053</v>
      </c>
    </row>
    <row r="134" customFormat="false" ht="15" hidden="false" customHeight="false" outlineLevel="0" collapsed="false">
      <c r="A134" s="8" t="s">
        <v>1153</v>
      </c>
      <c r="B134" s="8" t="n">
        <v>4408148</v>
      </c>
      <c r="C134" s="8" t="s">
        <v>1280</v>
      </c>
      <c r="D134" s="19" t="n">
        <v>6</v>
      </c>
      <c r="E134" s="19" t="n">
        <v>758.253</v>
      </c>
      <c r="F134" s="19" t="n">
        <v>0</v>
      </c>
      <c r="G134" s="19" t="n">
        <v>0</v>
      </c>
    </row>
    <row r="135" customFormat="false" ht="15" hidden="false" customHeight="false" outlineLevel="0" collapsed="false">
      <c r="A135" s="8" t="s">
        <v>1153</v>
      </c>
      <c r="B135" s="8" t="n">
        <v>4408149</v>
      </c>
      <c r="C135" s="8" t="s">
        <v>1281</v>
      </c>
      <c r="D135" s="19" t="n">
        <v>3</v>
      </c>
      <c r="E135" s="19" t="n">
        <v>383.218</v>
      </c>
      <c r="F135" s="19" t="n">
        <v>1.26315789473684</v>
      </c>
      <c r="G135" s="19" t="n">
        <v>156.213473684211</v>
      </c>
    </row>
    <row r="136" customFormat="false" ht="15" hidden="false" customHeight="false" outlineLevel="0" collapsed="false">
      <c r="A136" s="8" t="s">
        <v>1153</v>
      </c>
      <c r="B136" s="8" t="n">
        <v>4408150</v>
      </c>
      <c r="C136" s="8" t="s">
        <v>1282</v>
      </c>
      <c r="D136" s="19" t="n">
        <v>-1</v>
      </c>
      <c r="E136" s="19" t="n">
        <v>-190.463</v>
      </c>
      <c r="F136" s="19" t="n">
        <v>0</v>
      </c>
      <c r="G136" s="19" t="n">
        <v>0</v>
      </c>
    </row>
    <row r="137" customFormat="false" ht="15" hidden="false" customHeight="false" outlineLevel="0" collapsed="false">
      <c r="A137" s="8" t="s">
        <v>1153</v>
      </c>
      <c r="B137" s="8" t="n">
        <v>4408151</v>
      </c>
      <c r="C137" s="8" t="s">
        <v>1283</v>
      </c>
      <c r="D137" s="19" t="n">
        <v>2</v>
      </c>
      <c r="E137" s="19" t="n">
        <v>257.166</v>
      </c>
      <c r="F137" s="19" t="n">
        <v>0</v>
      </c>
      <c r="G137" s="19" t="n">
        <v>36.0934736842105</v>
      </c>
    </row>
    <row r="138" customFormat="false" ht="15" hidden="false" customHeight="false" outlineLevel="0" collapsed="false">
      <c r="A138" s="8" t="s">
        <v>1153</v>
      </c>
      <c r="B138" s="8" t="n">
        <v>4408152</v>
      </c>
      <c r="C138" s="8" t="s">
        <v>1284</v>
      </c>
      <c r="D138" s="19" t="n">
        <v>8</v>
      </c>
      <c r="E138" s="19" t="n">
        <v>1018.199</v>
      </c>
      <c r="F138" s="19" t="n">
        <v>7.57894736842105</v>
      </c>
      <c r="G138" s="19" t="n">
        <v>1058.55031578947</v>
      </c>
    </row>
    <row r="139" customFormat="false" ht="15" hidden="false" customHeight="false" outlineLevel="0" collapsed="false">
      <c r="A139" s="8" t="s">
        <v>1153</v>
      </c>
      <c r="B139" s="8" t="n">
        <v>4408153</v>
      </c>
      <c r="C139" s="8" t="s">
        <v>1285</v>
      </c>
      <c r="D139" s="19" t="n">
        <v>14</v>
      </c>
      <c r="E139" s="19" t="n">
        <v>1921.92</v>
      </c>
      <c r="F139" s="19" t="n">
        <v>13.8947368421053</v>
      </c>
      <c r="G139" s="19" t="n">
        <v>1984.79621052632</v>
      </c>
    </row>
    <row r="140" customFormat="false" ht="15" hidden="false" customHeight="false" outlineLevel="0" collapsed="false">
      <c r="A140" s="8" t="s">
        <v>1153</v>
      </c>
      <c r="B140" s="8" t="n">
        <v>4408154</v>
      </c>
      <c r="C140" s="8" t="s">
        <v>1286</v>
      </c>
      <c r="D140" s="19" t="n">
        <v>7</v>
      </c>
      <c r="E140" s="19" t="n">
        <v>946.587</v>
      </c>
      <c r="F140" s="19" t="n">
        <v>6.31578947368421</v>
      </c>
      <c r="G140" s="19" t="n">
        <v>878.082947368421</v>
      </c>
    </row>
    <row r="141" customFormat="false" ht="15" hidden="false" customHeight="false" outlineLevel="0" collapsed="false">
      <c r="A141" s="8" t="s">
        <v>1153</v>
      </c>
      <c r="B141" s="8" t="n">
        <v>4408175</v>
      </c>
      <c r="C141" s="8" t="s">
        <v>1287</v>
      </c>
      <c r="D141" s="19" t="n">
        <v>2</v>
      </c>
      <c r="E141" s="19" t="n">
        <v>192.647</v>
      </c>
      <c r="F141" s="19" t="n">
        <v>0</v>
      </c>
      <c r="G141" s="19" t="n">
        <v>0</v>
      </c>
    </row>
    <row r="142" customFormat="false" ht="15" hidden="false" customHeight="false" outlineLevel="0" collapsed="false">
      <c r="A142" s="8" t="s">
        <v>1153</v>
      </c>
      <c r="B142" s="8" t="n">
        <v>4408177</v>
      </c>
      <c r="C142" s="8" t="s">
        <v>1288</v>
      </c>
      <c r="D142" s="19" t="n">
        <v>1</v>
      </c>
      <c r="E142" s="19" t="n">
        <v>142.87</v>
      </c>
      <c r="F142" s="19" t="n">
        <v>0</v>
      </c>
      <c r="G142" s="19" t="n">
        <v>0</v>
      </c>
    </row>
    <row r="143" customFormat="false" ht="15" hidden="false" customHeight="false" outlineLevel="0" collapsed="false">
      <c r="A143" s="8" t="s">
        <v>1153</v>
      </c>
      <c r="B143" s="8" t="n">
        <v>4408178</v>
      </c>
      <c r="C143" s="8" t="s">
        <v>1289</v>
      </c>
      <c r="D143" s="19" t="n">
        <v>1</v>
      </c>
      <c r="E143" s="19" t="n">
        <v>161.889</v>
      </c>
      <c r="F143" s="19" t="n">
        <v>0</v>
      </c>
      <c r="G143" s="19" t="n">
        <v>0</v>
      </c>
    </row>
    <row r="144" customFormat="false" ht="15" hidden="false" customHeight="false" outlineLevel="0" collapsed="false">
      <c r="A144" s="8" t="s">
        <v>1153</v>
      </c>
      <c r="B144" s="8" t="n">
        <v>4408179</v>
      </c>
      <c r="C144" s="8" t="s">
        <v>1290</v>
      </c>
      <c r="D144" s="19" t="n">
        <v>3</v>
      </c>
      <c r="E144" s="19" t="n">
        <v>426.699</v>
      </c>
      <c r="F144" s="19" t="n">
        <v>5.05263157894737</v>
      </c>
      <c r="G144" s="19" t="n">
        <v>722.273684210526</v>
      </c>
    </row>
    <row r="145" customFormat="false" ht="15" hidden="false" customHeight="false" outlineLevel="0" collapsed="false">
      <c r="A145" s="8" t="s">
        <v>1153</v>
      </c>
      <c r="B145" s="8" t="n">
        <v>4408180</v>
      </c>
      <c r="C145" s="8" t="s">
        <v>1291</v>
      </c>
      <c r="D145" s="19" t="n">
        <v>3</v>
      </c>
      <c r="E145" s="19" t="n">
        <v>390.481</v>
      </c>
      <c r="F145" s="19" t="n">
        <v>1.26315789473684</v>
      </c>
      <c r="G145" s="19" t="n">
        <v>180.467368421053</v>
      </c>
    </row>
    <row r="146" customFormat="false" ht="15" hidden="false" customHeight="false" outlineLevel="0" collapsed="false">
      <c r="A146" s="8" t="s">
        <v>1153</v>
      </c>
      <c r="B146" s="8" t="n">
        <v>4408190</v>
      </c>
      <c r="C146" s="8" t="s">
        <v>1292</v>
      </c>
      <c r="D146" s="19" t="n">
        <v>86</v>
      </c>
      <c r="E146" s="19" t="n">
        <v>8678.397</v>
      </c>
      <c r="F146" s="19" t="n">
        <v>41.6842105263158</v>
      </c>
      <c r="G146" s="19" t="n">
        <v>4294.08884210526</v>
      </c>
    </row>
    <row r="147" customFormat="false" ht="15" hidden="false" customHeight="false" outlineLevel="0" collapsed="false">
      <c r="A147" s="8" t="s">
        <v>1153</v>
      </c>
      <c r="B147" s="8" t="n">
        <v>4408192</v>
      </c>
      <c r="C147" s="8" t="s">
        <v>1293</v>
      </c>
      <c r="D147" s="19" t="n">
        <v>140</v>
      </c>
      <c r="E147" s="19" t="n">
        <v>14166.63</v>
      </c>
      <c r="F147" s="19" t="n">
        <v>70.7368421052632</v>
      </c>
      <c r="G147" s="19" t="n">
        <v>7337.68168421053</v>
      </c>
    </row>
    <row r="148" customFormat="false" ht="15" hidden="false" customHeight="false" outlineLevel="0" collapsed="false">
      <c r="A148" s="8" t="s">
        <v>1153</v>
      </c>
      <c r="B148" s="8" t="n">
        <v>4408203</v>
      </c>
      <c r="C148" s="8" t="s">
        <v>1294</v>
      </c>
      <c r="D148" s="19" t="n">
        <v>9</v>
      </c>
      <c r="E148" s="19" t="n">
        <v>2030.305</v>
      </c>
      <c r="F148" s="19" t="n">
        <v>5.05263157894737</v>
      </c>
      <c r="G148" s="19" t="n">
        <v>1222.128</v>
      </c>
    </row>
    <row r="149" customFormat="false" ht="15" hidden="false" customHeight="false" outlineLevel="0" collapsed="false">
      <c r="A149" s="8" t="s">
        <v>1153</v>
      </c>
      <c r="B149" s="8" t="n">
        <v>4408205</v>
      </c>
      <c r="C149" s="8" t="s">
        <v>1295</v>
      </c>
      <c r="D149" s="19" t="n">
        <v>1141</v>
      </c>
      <c r="E149" s="19" t="n">
        <v>88911.783</v>
      </c>
      <c r="F149" s="19" t="n">
        <v>1037.05263157895</v>
      </c>
      <c r="G149" s="19" t="n">
        <v>81469.944</v>
      </c>
    </row>
    <row r="150" customFormat="false" ht="15" hidden="false" customHeight="false" outlineLevel="0" collapsed="false">
      <c r="A150" s="8" t="s">
        <v>1153</v>
      </c>
      <c r="B150" s="8" t="n">
        <v>4408206</v>
      </c>
      <c r="C150" s="8" t="s">
        <v>1296</v>
      </c>
      <c r="D150" s="19" t="n">
        <v>224</v>
      </c>
      <c r="E150" s="19" t="n">
        <v>13612.872</v>
      </c>
      <c r="F150" s="19" t="n">
        <v>203.368421052632</v>
      </c>
      <c r="G150" s="19" t="n">
        <v>12426.8450526316</v>
      </c>
    </row>
    <row r="151" customFormat="false" ht="15" hidden="false" customHeight="false" outlineLevel="0" collapsed="false">
      <c r="A151" s="8" t="s">
        <v>1153</v>
      </c>
      <c r="B151" s="8" t="n">
        <v>4408207</v>
      </c>
      <c r="C151" s="8" t="s">
        <v>1297</v>
      </c>
      <c r="D151" s="19" t="n">
        <v>1167</v>
      </c>
      <c r="E151" s="19" t="n">
        <v>34094.906</v>
      </c>
      <c r="F151" s="19" t="n">
        <v>1052.21052631579</v>
      </c>
      <c r="G151" s="19" t="n">
        <v>32425.5271578947</v>
      </c>
    </row>
    <row r="152" customFormat="false" ht="15" hidden="false" customHeight="false" outlineLevel="0" collapsed="false">
      <c r="A152" s="8" t="s">
        <v>1153</v>
      </c>
      <c r="B152" s="8" t="n">
        <v>4408208</v>
      </c>
      <c r="C152" s="8" t="s">
        <v>1298</v>
      </c>
      <c r="D152" s="19" t="n">
        <v>467</v>
      </c>
      <c r="E152" s="19" t="n">
        <v>15559.977</v>
      </c>
      <c r="F152" s="19" t="n">
        <v>438.315789473684</v>
      </c>
      <c r="G152" s="19" t="n">
        <v>15222.0189473684</v>
      </c>
    </row>
    <row r="153" customFormat="false" ht="15" hidden="false" customHeight="false" outlineLevel="0" collapsed="false">
      <c r="A153" s="8" t="s">
        <v>1153</v>
      </c>
      <c r="B153" s="8" t="n">
        <v>4408217</v>
      </c>
      <c r="C153" s="8" t="s">
        <v>1299</v>
      </c>
      <c r="D153" s="19" t="n">
        <v>21</v>
      </c>
      <c r="E153" s="19" t="n">
        <v>2115.022</v>
      </c>
      <c r="F153" s="19" t="n">
        <v>10.1052631578947</v>
      </c>
      <c r="G153" s="19" t="n">
        <v>987.282947368421</v>
      </c>
    </row>
    <row r="154" customFormat="false" ht="15" hidden="false" customHeight="false" outlineLevel="0" collapsed="false">
      <c r="A154" s="8" t="s">
        <v>1153</v>
      </c>
      <c r="B154" s="8" t="n">
        <v>4408218</v>
      </c>
      <c r="C154" s="8" t="s">
        <v>1300</v>
      </c>
      <c r="D154" s="19" t="n">
        <v>121</v>
      </c>
      <c r="E154" s="19" t="n">
        <v>12175.982</v>
      </c>
      <c r="F154" s="19" t="n">
        <v>66.9473684210526</v>
      </c>
      <c r="G154" s="19" t="n">
        <v>7005.61136842105</v>
      </c>
    </row>
    <row r="155" customFormat="false" ht="15" hidden="false" customHeight="false" outlineLevel="0" collapsed="false">
      <c r="A155" s="8" t="s">
        <v>1153</v>
      </c>
      <c r="B155" s="8" t="n">
        <v>4408219</v>
      </c>
      <c r="C155" s="8" t="s">
        <v>1301</v>
      </c>
      <c r="D155" s="19" t="n">
        <v>5</v>
      </c>
      <c r="E155" s="19" t="n">
        <v>525.798</v>
      </c>
      <c r="F155" s="19" t="n">
        <v>6.31578947368421</v>
      </c>
      <c r="G155" s="19" t="n">
        <v>637.268210526316</v>
      </c>
    </row>
    <row r="156" customFormat="false" ht="15" hidden="false" customHeight="false" outlineLevel="0" collapsed="false">
      <c r="A156" s="8" t="s">
        <v>1153</v>
      </c>
      <c r="B156" s="8" t="n">
        <v>4408220</v>
      </c>
      <c r="C156" s="8" t="s">
        <v>1302</v>
      </c>
      <c r="D156" s="19" t="n">
        <v>27</v>
      </c>
      <c r="E156" s="19" t="n">
        <v>2709.707</v>
      </c>
      <c r="F156" s="19" t="n">
        <v>34.1052631578947</v>
      </c>
      <c r="G156" s="19" t="n">
        <v>3459.22610526316</v>
      </c>
    </row>
    <row r="157" customFormat="false" ht="15" hidden="false" customHeight="false" outlineLevel="0" collapsed="false">
      <c r="A157" s="8" t="s">
        <v>1153</v>
      </c>
      <c r="B157" s="8" t="n">
        <v>4408221</v>
      </c>
      <c r="C157" s="8" t="s">
        <v>1303</v>
      </c>
      <c r="D157" s="19" t="n">
        <v>50</v>
      </c>
      <c r="E157" s="19" t="n">
        <v>5140.954</v>
      </c>
      <c r="F157" s="19" t="n">
        <v>54.3157894736842</v>
      </c>
      <c r="G157" s="19" t="n">
        <v>5694.26273684211</v>
      </c>
    </row>
    <row r="158" customFormat="false" ht="15" hidden="false" customHeight="false" outlineLevel="0" collapsed="false">
      <c r="A158" s="8" t="s">
        <v>1153</v>
      </c>
      <c r="B158" s="8" t="n">
        <v>4408222</v>
      </c>
      <c r="C158" s="8" t="s">
        <v>1304</v>
      </c>
      <c r="D158" s="19" t="n">
        <v>54</v>
      </c>
      <c r="E158" s="19" t="n">
        <v>5464.809</v>
      </c>
      <c r="F158" s="19" t="n">
        <v>44.2105263157895</v>
      </c>
      <c r="G158" s="19" t="n">
        <v>4383.74778947368</v>
      </c>
    </row>
    <row r="159" customFormat="false" ht="15" hidden="false" customHeight="false" outlineLevel="0" collapsed="false">
      <c r="A159" s="8" t="s">
        <v>1153</v>
      </c>
      <c r="B159" s="8" t="n">
        <v>4408223</v>
      </c>
      <c r="C159" s="8" t="s">
        <v>1305</v>
      </c>
      <c r="D159" s="19" t="n">
        <v>41</v>
      </c>
      <c r="E159" s="19" t="n">
        <v>4051.593</v>
      </c>
      <c r="F159" s="19" t="n">
        <v>27.7894736842105</v>
      </c>
      <c r="G159" s="19" t="n">
        <v>2866.90231578947</v>
      </c>
    </row>
    <row r="160" customFormat="false" ht="15" hidden="false" customHeight="false" outlineLevel="0" collapsed="false">
      <c r="A160" s="8" t="s">
        <v>1153</v>
      </c>
      <c r="B160" s="8" t="n">
        <v>4408225</v>
      </c>
      <c r="C160" s="8" t="s">
        <v>1306</v>
      </c>
      <c r="D160" s="19" t="n">
        <v>3</v>
      </c>
      <c r="E160" s="19" t="n">
        <v>262.717</v>
      </c>
      <c r="F160" s="19" t="n">
        <v>0</v>
      </c>
      <c r="G160" s="19" t="n">
        <v>0</v>
      </c>
    </row>
    <row r="161" customFormat="false" ht="15" hidden="false" customHeight="false" outlineLevel="0" collapsed="false">
      <c r="A161" s="8" t="s">
        <v>1153</v>
      </c>
      <c r="B161" s="8" t="n">
        <v>4408226</v>
      </c>
      <c r="C161" s="8" t="s">
        <v>1307</v>
      </c>
      <c r="D161" s="19" t="n">
        <v>2</v>
      </c>
      <c r="E161" s="19" t="n">
        <v>187.551</v>
      </c>
      <c r="F161" s="19" t="n">
        <v>0</v>
      </c>
      <c r="G161" s="19" t="n">
        <v>0</v>
      </c>
    </row>
    <row r="162" customFormat="false" ht="15" hidden="false" customHeight="false" outlineLevel="0" collapsed="false">
      <c r="A162" s="8" t="s">
        <v>1153</v>
      </c>
      <c r="B162" s="8" t="n">
        <v>4408227</v>
      </c>
      <c r="C162" s="8" t="s">
        <v>1308</v>
      </c>
      <c r="D162" s="19" t="n">
        <v>1</v>
      </c>
      <c r="E162" s="19" t="n">
        <v>93.821</v>
      </c>
      <c r="F162" s="19" t="n">
        <v>0</v>
      </c>
      <c r="G162" s="19" t="n">
        <v>0</v>
      </c>
    </row>
    <row r="163" customFormat="false" ht="15" hidden="false" customHeight="false" outlineLevel="0" collapsed="false">
      <c r="A163" s="8" t="s">
        <v>1153</v>
      </c>
      <c r="B163" s="8" t="n">
        <v>4408229</v>
      </c>
      <c r="C163" s="8" t="s">
        <v>1309</v>
      </c>
      <c r="D163" s="19" t="n">
        <v>1</v>
      </c>
      <c r="E163" s="19" t="n">
        <v>93.821</v>
      </c>
      <c r="F163" s="19" t="n">
        <v>-1.26315789473684</v>
      </c>
      <c r="G163" s="19" t="n">
        <v>-106.671157894737</v>
      </c>
    </row>
    <row r="164" customFormat="false" ht="15" hidden="false" customHeight="false" outlineLevel="0" collapsed="false">
      <c r="A164" s="8" t="s">
        <v>1153</v>
      </c>
      <c r="B164" s="8" t="n">
        <v>4408230</v>
      </c>
      <c r="C164" s="8" t="s">
        <v>1310</v>
      </c>
      <c r="D164" s="19" t="n">
        <v>27</v>
      </c>
      <c r="E164" s="19" t="n">
        <v>2686.151</v>
      </c>
      <c r="F164" s="19" t="n">
        <v>30.3157894736842</v>
      </c>
      <c r="G164" s="19" t="n">
        <v>3226.74568421053</v>
      </c>
    </row>
    <row r="165" customFormat="false" ht="15" hidden="false" customHeight="false" outlineLevel="0" collapsed="false">
      <c r="A165" s="8" t="s">
        <v>1153</v>
      </c>
      <c r="B165" s="8" t="n">
        <v>4408231</v>
      </c>
      <c r="C165" s="8" t="s">
        <v>1311</v>
      </c>
      <c r="D165" s="19" t="n">
        <v>11</v>
      </c>
      <c r="E165" s="19" t="n">
        <v>1089.066</v>
      </c>
      <c r="F165" s="19" t="n">
        <v>24</v>
      </c>
      <c r="G165" s="19" t="n">
        <v>2492.29768421053</v>
      </c>
    </row>
    <row r="166" customFormat="false" ht="15" hidden="false" customHeight="false" outlineLevel="0" collapsed="false">
      <c r="A166" s="8" t="s">
        <v>1153</v>
      </c>
      <c r="B166" s="8" t="n">
        <v>4408232</v>
      </c>
      <c r="C166" s="8" t="s">
        <v>1312</v>
      </c>
      <c r="D166" s="19" t="n">
        <v>2</v>
      </c>
      <c r="E166" s="19" t="n">
        <v>214.942</v>
      </c>
      <c r="F166" s="19" t="n">
        <v>5.05263157894737</v>
      </c>
      <c r="G166" s="19" t="n">
        <v>562.322526315789</v>
      </c>
    </row>
    <row r="167" customFormat="false" ht="15" hidden="false" customHeight="false" outlineLevel="0" collapsed="false">
      <c r="A167" s="8" t="s">
        <v>1153</v>
      </c>
      <c r="B167" s="8" t="n">
        <v>4408234</v>
      </c>
      <c r="C167" s="8" t="s">
        <v>1313</v>
      </c>
      <c r="D167" s="19" t="n">
        <v>-1</v>
      </c>
      <c r="E167" s="19" t="n">
        <v>-121.303</v>
      </c>
      <c r="F167" s="19" t="n">
        <v>0</v>
      </c>
      <c r="G167" s="19" t="n">
        <v>-42.6454736842105</v>
      </c>
    </row>
    <row r="168" customFormat="false" ht="15" hidden="false" customHeight="false" outlineLevel="0" collapsed="false">
      <c r="A168" s="8" t="s">
        <v>1153</v>
      </c>
      <c r="B168" s="8" t="n">
        <v>4408235</v>
      </c>
      <c r="C168" s="8" t="s">
        <v>1314</v>
      </c>
      <c r="D168" s="19" t="n">
        <v>0</v>
      </c>
      <c r="E168" s="19" t="n">
        <v>0</v>
      </c>
      <c r="F168" s="19" t="n">
        <v>1.26315789473684</v>
      </c>
      <c r="G168" s="19" t="n">
        <v>127.591578947368</v>
      </c>
    </row>
    <row r="169" customFormat="false" ht="15" hidden="false" customHeight="false" outlineLevel="0" collapsed="false">
      <c r="A169" s="8" t="s">
        <v>1153</v>
      </c>
      <c r="B169" s="8" t="n">
        <v>4408245</v>
      </c>
      <c r="C169" s="8" t="s">
        <v>1315</v>
      </c>
      <c r="D169" s="19" t="n">
        <v>7</v>
      </c>
      <c r="E169" s="19" t="n">
        <v>909.09</v>
      </c>
      <c r="F169" s="19" t="n">
        <v>3.78947368421053</v>
      </c>
      <c r="G169" s="19" t="n">
        <v>597.841263157895</v>
      </c>
    </row>
    <row r="170" customFormat="false" ht="15" hidden="false" customHeight="false" outlineLevel="0" collapsed="false">
      <c r="A170" s="8" t="s">
        <v>1153</v>
      </c>
      <c r="B170" s="8" t="n">
        <v>4408247</v>
      </c>
      <c r="C170" s="8" t="s">
        <v>1316</v>
      </c>
      <c r="D170" s="19" t="n">
        <v>6</v>
      </c>
      <c r="E170" s="19" t="n">
        <v>474.223</v>
      </c>
      <c r="F170" s="19" t="n">
        <v>18.9473684210526</v>
      </c>
      <c r="G170" s="19" t="n">
        <v>1579.008</v>
      </c>
    </row>
    <row r="171" customFormat="false" ht="15" hidden="false" customHeight="false" outlineLevel="0" collapsed="false">
      <c r="A171" s="8" t="s">
        <v>1153</v>
      </c>
      <c r="B171" s="8" t="n">
        <v>4408248</v>
      </c>
      <c r="C171" s="8" t="s">
        <v>1317</v>
      </c>
      <c r="D171" s="19" t="n">
        <v>19</v>
      </c>
      <c r="E171" s="19" t="n">
        <v>1548.773</v>
      </c>
      <c r="F171" s="19" t="n">
        <v>22.7368421052632</v>
      </c>
      <c r="G171" s="19" t="n">
        <v>1898.256</v>
      </c>
    </row>
    <row r="172" customFormat="false" ht="15" hidden="false" customHeight="false" outlineLevel="0" collapsed="false">
      <c r="A172" s="8" t="s">
        <v>1153</v>
      </c>
      <c r="B172" s="8" t="n">
        <v>4408249</v>
      </c>
      <c r="C172" s="8" t="s">
        <v>1318</v>
      </c>
      <c r="D172" s="19" t="n">
        <v>16</v>
      </c>
      <c r="E172" s="19" t="n">
        <v>1246.37</v>
      </c>
      <c r="F172" s="19" t="n">
        <v>26.5263157894737</v>
      </c>
      <c r="G172" s="19" t="n">
        <v>2236.73684210526</v>
      </c>
    </row>
    <row r="173" customFormat="false" ht="15" hidden="false" customHeight="false" outlineLevel="0" collapsed="false">
      <c r="A173" s="8" t="s">
        <v>1153</v>
      </c>
      <c r="B173" s="8" t="n">
        <v>4408250</v>
      </c>
      <c r="C173" s="8" t="s">
        <v>1319</v>
      </c>
      <c r="D173" s="19" t="n">
        <v>18</v>
      </c>
      <c r="E173" s="19" t="n">
        <v>1393.161</v>
      </c>
      <c r="F173" s="19" t="n">
        <v>16.4210526315789</v>
      </c>
      <c r="G173" s="19" t="n">
        <v>1388.592</v>
      </c>
    </row>
    <row r="174" customFormat="false" ht="15" hidden="false" customHeight="false" outlineLevel="0" collapsed="false">
      <c r="A174" s="8" t="s">
        <v>1153</v>
      </c>
      <c r="B174" s="8" t="n">
        <v>4408259</v>
      </c>
      <c r="C174" s="8" t="s">
        <v>1320</v>
      </c>
      <c r="D174" s="19" t="n">
        <v>1</v>
      </c>
      <c r="E174" s="19" t="n">
        <v>105</v>
      </c>
      <c r="F174" s="19" t="n">
        <v>3.78947368421053</v>
      </c>
      <c r="G174" s="19" t="n">
        <v>456.548210526316</v>
      </c>
    </row>
    <row r="175" customFormat="false" ht="15" hidden="false" customHeight="false" outlineLevel="0" collapsed="false">
      <c r="A175" s="8" t="s">
        <v>1153</v>
      </c>
      <c r="B175" s="8" t="n">
        <v>4408260</v>
      </c>
      <c r="C175" s="8" t="s">
        <v>1321</v>
      </c>
      <c r="D175" s="19" t="n">
        <v>9</v>
      </c>
      <c r="E175" s="19" t="n">
        <v>1017.555</v>
      </c>
      <c r="F175" s="19" t="n">
        <v>7.57894736842105</v>
      </c>
      <c r="G175" s="19" t="n">
        <v>854.442947368421</v>
      </c>
    </row>
    <row r="176" customFormat="false" ht="15" hidden="false" customHeight="false" outlineLevel="0" collapsed="false">
      <c r="A176" s="8" t="s">
        <v>1153</v>
      </c>
      <c r="B176" s="8" t="n">
        <v>4408261</v>
      </c>
      <c r="C176" s="8" t="s">
        <v>460</v>
      </c>
      <c r="D176" s="19" t="n">
        <v>24</v>
      </c>
      <c r="E176" s="19" t="n">
        <v>2704.04</v>
      </c>
      <c r="F176" s="19" t="n">
        <v>17.6842105263158</v>
      </c>
      <c r="G176" s="19" t="n">
        <v>1934.37473684211</v>
      </c>
    </row>
    <row r="177" customFormat="false" ht="15" hidden="false" customHeight="false" outlineLevel="0" collapsed="false">
      <c r="A177" s="8" t="s">
        <v>1153</v>
      </c>
      <c r="B177" s="8" t="n">
        <v>4408262</v>
      </c>
      <c r="C177" s="8" t="s">
        <v>1322</v>
      </c>
      <c r="D177" s="19" t="n">
        <v>11</v>
      </c>
      <c r="E177" s="19" t="n">
        <v>1155</v>
      </c>
      <c r="F177" s="19" t="n">
        <v>12.6315789473684</v>
      </c>
      <c r="G177" s="19" t="n">
        <v>1598.48463157895</v>
      </c>
    </row>
    <row r="178" customFormat="false" ht="15" hidden="false" customHeight="false" outlineLevel="0" collapsed="false">
      <c r="A178" s="8" t="s">
        <v>1153</v>
      </c>
      <c r="B178" s="8" t="n">
        <v>4408263</v>
      </c>
      <c r="C178" s="8" t="s">
        <v>75</v>
      </c>
      <c r="D178" s="19" t="n">
        <v>14</v>
      </c>
      <c r="E178" s="19" t="n">
        <v>1530.41</v>
      </c>
      <c r="F178" s="19" t="n">
        <v>7.57894736842105</v>
      </c>
      <c r="G178" s="19" t="n">
        <v>795.802105263158</v>
      </c>
    </row>
    <row r="179" customFormat="false" ht="15" hidden="false" customHeight="false" outlineLevel="0" collapsed="false">
      <c r="A179" s="8" t="s">
        <v>1153</v>
      </c>
      <c r="B179" s="8" t="n">
        <v>4408264</v>
      </c>
      <c r="C179" s="8" t="s">
        <v>1323</v>
      </c>
      <c r="D179" s="19" t="n">
        <v>383</v>
      </c>
      <c r="E179" s="19" t="n">
        <v>14601.317</v>
      </c>
      <c r="F179" s="19" t="n">
        <v>227.368421052632</v>
      </c>
      <c r="G179" s="19" t="n">
        <v>9430.8</v>
      </c>
    </row>
    <row r="180" customFormat="false" ht="15" hidden="false" customHeight="false" outlineLevel="0" collapsed="false">
      <c r="A180" s="8" t="s">
        <v>1153</v>
      </c>
      <c r="B180" s="8" t="n">
        <v>4408265</v>
      </c>
      <c r="C180" s="8" t="s">
        <v>1324</v>
      </c>
      <c r="D180" s="19" t="n">
        <v>64</v>
      </c>
      <c r="E180" s="19" t="n">
        <v>6144.866</v>
      </c>
      <c r="F180" s="19" t="n">
        <v>40.4210526315789</v>
      </c>
      <c r="G180" s="19" t="n">
        <v>3900.96884210526</v>
      </c>
    </row>
    <row r="181" customFormat="false" ht="15" hidden="false" customHeight="false" outlineLevel="0" collapsed="false">
      <c r="A181" s="8" t="s">
        <v>1153</v>
      </c>
      <c r="B181" s="8" t="n">
        <v>4408266</v>
      </c>
      <c r="C181" s="8" t="s">
        <v>1325</v>
      </c>
      <c r="D181" s="19" t="n">
        <v>83</v>
      </c>
      <c r="E181" s="19" t="n">
        <v>6255.829</v>
      </c>
      <c r="F181" s="19" t="n">
        <v>101.052631578947</v>
      </c>
      <c r="G181" s="19" t="n">
        <v>7749.24631578947</v>
      </c>
    </row>
    <row r="182" customFormat="false" ht="15" hidden="false" customHeight="false" outlineLevel="0" collapsed="false">
      <c r="A182" s="8" t="s">
        <v>1153</v>
      </c>
      <c r="B182" s="8" t="n">
        <v>4408271</v>
      </c>
      <c r="C182" s="8" t="s">
        <v>502</v>
      </c>
      <c r="D182" s="19" t="n">
        <v>1</v>
      </c>
      <c r="E182" s="19" t="n">
        <v>260</v>
      </c>
      <c r="F182" s="19" t="n">
        <v>2.52631578947368</v>
      </c>
      <c r="G182" s="19" t="n">
        <v>736.901052631579</v>
      </c>
    </row>
    <row r="183" customFormat="false" ht="15" hidden="false" customHeight="false" outlineLevel="0" collapsed="false">
      <c r="A183" s="8" t="s">
        <v>1153</v>
      </c>
      <c r="B183" s="8" t="n">
        <v>4408272</v>
      </c>
      <c r="C183" s="8" t="s">
        <v>1326</v>
      </c>
      <c r="D183" s="19" t="n">
        <v>0</v>
      </c>
      <c r="E183" s="19" t="n">
        <v>0</v>
      </c>
      <c r="F183" s="19" t="n">
        <v>1.26315789473684</v>
      </c>
      <c r="G183" s="19" t="n">
        <v>371.739789473684</v>
      </c>
    </row>
    <row r="184" customFormat="false" ht="15" hidden="false" customHeight="false" outlineLevel="0" collapsed="false">
      <c r="A184" s="8" t="s">
        <v>1153</v>
      </c>
      <c r="B184" s="8" t="n">
        <v>4408273</v>
      </c>
      <c r="C184" s="8" t="s">
        <v>1327</v>
      </c>
      <c r="D184" s="19" t="n">
        <v>0</v>
      </c>
      <c r="E184" s="19" t="n">
        <v>0</v>
      </c>
      <c r="F184" s="19" t="n">
        <v>1.26315789473684</v>
      </c>
      <c r="G184" s="19" t="n">
        <v>371.739789473684</v>
      </c>
    </row>
    <row r="185" customFormat="false" ht="15" hidden="false" customHeight="false" outlineLevel="0" collapsed="false">
      <c r="A185" s="8" t="s">
        <v>1153</v>
      </c>
      <c r="B185" s="8" t="n">
        <v>4408274</v>
      </c>
      <c r="C185" s="8" t="s">
        <v>1328</v>
      </c>
      <c r="D185" s="19" t="n">
        <v>0</v>
      </c>
      <c r="E185" s="19" t="n">
        <v>0</v>
      </c>
      <c r="F185" s="19" t="n">
        <v>1.26315789473684</v>
      </c>
      <c r="G185" s="19" t="n">
        <v>371.739789473684</v>
      </c>
    </row>
    <row r="186" customFormat="false" ht="15" hidden="false" customHeight="false" outlineLevel="0" collapsed="false">
      <c r="A186" s="8" t="s">
        <v>1153</v>
      </c>
      <c r="B186" s="8" t="n">
        <v>4408275</v>
      </c>
      <c r="C186" s="8" t="s">
        <v>1329</v>
      </c>
      <c r="D186" s="19" t="n">
        <v>0</v>
      </c>
      <c r="E186" s="19" t="n">
        <v>0</v>
      </c>
      <c r="F186" s="19" t="n">
        <v>27.7894736842105</v>
      </c>
      <c r="G186" s="19" t="n">
        <v>1190.62484210526</v>
      </c>
    </row>
    <row r="187" customFormat="false" ht="15" hidden="false" customHeight="false" outlineLevel="0" collapsed="false">
      <c r="A187" s="8" t="s">
        <v>1153</v>
      </c>
      <c r="B187" s="8" t="n">
        <v>4409000</v>
      </c>
      <c r="C187" s="8" t="s">
        <v>1330</v>
      </c>
      <c r="D187" s="19" t="n">
        <v>414</v>
      </c>
      <c r="E187" s="19" t="n">
        <v>5118.416</v>
      </c>
      <c r="F187" s="19" t="n">
        <v>444.631578947368</v>
      </c>
      <c r="G187" s="19" t="n">
        <v>5530.58147368421</v>
      </c>
    </row>
    <row r="188" customFormat="false" ht="15" hidden="false" customHeight="false" outlineLevel="0" collapsed="false">
      <c r="A188" s="8" t="s">
        <v>1153</v>
      </c>
      <c r="B188" s="8" t="n">
        <v>4409001</v>
      </c>
      <c r="C188" s="8" t="s">
        <v>1331</v>
      </c>
      <c r="D188" s="19" t="n">
        <v>265</v>
      </c>
      <c r="E188" s="19" t="n">
        <v>3143.852</v>
      </c>
      <c r="F188" s="19" t="n">
        <v>183.157894736842</v>
      </c>
      <c r="G188" s="19" t="n">
        <v>2156.09305263158</v>
      </c>
    </row>
    <row r="189" customFormat="false" ht="15" hidden="false" customHeight="false" outlineLevel="0" collapsed="false">
      <c r="A189" s="8" t="s">
        <v>1153</v>
      </c>
      <c r="B189" s="8" t="n">
        <v>4409002</v>
      </c>
      <c r="C189" s="8" t="s">
        <v>1332</v>
      </c>
      <c r="D189" s="19" t="n">
        <v>-21</v>
      </c>
      <c r="E189" s="19" t="n">
        <v>-737.828</v>
      </c>
      <c r="F189" s="19" t="n">
        <v>-5.05263157894737</v>
      </c>
      <c r="G189" s="19" t="n">
        <v>-130.235368421053</v>
      </c>
    </row>
    <row r="190" customFormat="false" ht="15" hidden="false" customHeight="false" outlineLevel="0" collapsed="false">
      <c r="A190" s="8" t="s">
        <v>1153</v>
      </c>
      <c r="B190" s="8" t="n">
        <v>4409004</v>
      </c>
      <c r="C190" s="8" t="s">
        <v>1333</v>
      </c>
      <c r="D190" s="19" t="n">
        <v>689</v>
      </c>
      <c r="E190" s="19" t="n">
        <v>14129.761</v>
      </c>
      <c r="F190" s="19" t="n">
        <v>351.157894736842</v>
      </c>
      <c r="G190" s="19" t="n">
        <v>7320.88294736842</v>
      </c>
    </row>
    <row r="191" customFormat="false" ht="15" hidden="false" customHeight="false" outlineLevel="0" collapsed="false">
      <c r="A191" s="8" t="s">
        <v>1153</v>
      </c>
      <c r="B191" s="8" t="n">
        <v>4409010</v>
      </c>
      <c r="C191" s="8" t="s">
        <v>1334</v>
      </c>
      <c r="D191" s="19" t="n">
        <v>10</v>
      </c>
      <c r="E191" s="19" t="n">
        <v>144.781</v>
      </c>
      <c r="F191" s="19" t="n">
        <v>10.1052631578947</v>
      </c>
      <c r="G191" s="19" t="n">
        <v>156.443368421053</v>
      </c>
    </row>
    <row r="192" customFormat="false" ht="15" hidden="false" customHeight="false" outlineLevel="0" collapsed="false">
      <c r="A192" s="8" t="s">
        <v>1153</v>
      </c>
      <c r="B192" s="8" t="n">
        <v>4409011</v>
      </c>
      <c r="C192" s="8" t="s">
        <v>1335</v>
      </c>
      <c r="D192" s="19" t="n">
        <v>26</v>
      </c>
      <c r="E192" s="19" t="n">
        <v>379.652</v>
      </c>
      <c r="F192" s="19" t="n">
        <v>70.7368421052632</v>
      </c>
      <c r="G192" s="19" t="n">
        <v>1110.62147368421</v>
      </c>
    </row>
    <row r="193" customFormat="false" ht="15" hidden="false" customHeight="false" outlineLevel="0" collapsed="false">
      <c r="A193" s="8" t="s">
        <v>1153</v>
      </c>
      <c r="B193" s="8" t="n">
        <v>4409012</v>
      </c>
      <c r="C193" s="8" t="s">
        <v>1336</v>
      </c>
      <c r="D193" s="19" t="n">
        <v>41</v>
      </c>
      <c r="E193" s="19" t="n">
        <v>558.376</v>
      </c>
      <c r="F193" s="19" t="n">
        <v>44.2105263157895</v>
      </c>
      <c r="G193" s="19" t="n">
        <v>690.488842105263</v>
      </c>
    </row>
    <row r="194" customFormat="false" ht="15" hidden="false" customHeight="false" outlineLevel="0" collapsed="false">
      <c r="A194" s="8" t="s">
        <v>1153</v>
      </c>
      <c r="B194" s="8" t="n">
        <v>4409013</v>
      </c>
      <c r="C194" s="8" t="s">
        <v>1337</v>
      </c>
      <c r="D194" s="19" t="n">
        <v>7</v>
      </c>
      <c r="E194" s="19" t="n">
        <v>108.108</v>
      </c>
      <c r="F194" s="19" t="n">
        <v>32.8421052631579</v>
      </c>
      <c r="G194" s="19" t="n">
        <v>516.918315789474</v>
      </c>
    </row>
    <row r="195" customFormat="false" ht="15" hidden="false" customHeight="false" outlineLevel="0" collapsed="false">
      <c r="A195" s="8" t="s">
        <v>1153</v>
      </c>
      <c r="B195" s="8" t="n">
        <v>4409014</v>
      </c>
      <c r="C195" s="8" t="s">
        <v>1338</v>
      </c>
      <c r="D195" s="19" t="n">
        <v>300</v>
      </c>
      <c r="E195" s="19" t="n">
        <v>8227.03</v>
      </c>
      <c r="F195" s="19" t="n">
        <v>79.5789473684211</v>
      </c>
      <c r="G195" s="19" t="n">
        <v>2759.88631578947</v>
      </c>
    </row>
    <row r="196" customFormat="false" ht="15" hidden="false" customHeight="false" outlineLevel="0" collapsed="false">
      <c r="A196" s="8" t="s">
        <v>1153</v>
      </c>
      <c r="B196" s="8" t="n">
        <v>4409015</v>
      </c>
      <c r="C196" s="8" t="s">
        <v>1339</v>
      </c>
      <c r="D196" s="19" t="n">
        <v>412</v>
      </c>
      <c r="E196" s="19" t="n">
        <v>11911.87</v>
      </c>
      <c r="F196" s="19" t="n">
        <v>151.578947368421</v>
      </c>
      <c r="G196" s="19" t="n">
        <v>4947.22105263158</v>
      </c>
    </row>
    <row r="197" customFormat="false" ht="15" hidden="false" customHeight="false" outlineLevel="0" collapsed="false">
      <c r="A197" s="8" t="s">
        <v>1153</v>
      </c>
      <c r="B197" s="8" t="n">
        <v>4409016</v>
      </c>
      <c r="C197" s="8" t="s">
        <v>1340</v>
      </c>
      <c r="D197" s="19" t="n">
        <v>533</v>
      </c>
      <c r="E197" s="19" t="n">
        <v>14773.896</v>
      </c>
      <c r="F197" s="19" t="n">
        <v>360</v>
      </c>
      <c r="G197" s="19" t="n">
        <v>10952.7246315789</v>
      </c>
    </row>
    <row r="198" customFormat="false" ht="15" hidden="false" customHeight="false" outlineLevel="0" collapsed="false">
      <c r="A198" s="8" t="s">
        <v>1153</v>
      </c>
      <c r="B198" s="8" t="n">
        <v>4409017</v>
      </c>
      <c r="C198" s="8" t="s">
        <v>1341</v>
      </c>
      <c r="D198" s="19" t="n">
        <v>398</v>
      </c>
      <c r="E198" s="19" t="n">
        <v>11233.558</v>
      </c>
      <c r="F198" s="19" t="n">
        <v>231.157894736842</v>
      </c>
      <c r="G198" s="19" t="n">
        <v>7509.97263157895</v>
      </c>
    </row>
    <row r="199" customFormat="false" ht="15" hidden="false" customHeight="false" outlineLevel="0" collapsed="false">
      <c r="A199" s="8" t="s">
        <v>1153</v>
      </c>
      <c r="B199" s="8" t="n">
        <v>4411000</v>
      </c>
      <c r="C199" s="8" t="s">
        <v>1342</v>
      </c>
      <c r="D199" s="19" t="n">
        <v>354</v>
      </c>
      <c r="E199" s="19" t="n">
        <v>9229.596</v>
      </c>
      <c r="F199" s="19" t="n">
        <v>251.368421052632</v>
      </c>
      <c r="G199" s="19" t="n">
        <v>6713.0412631579</v>
      </c>
    </row>
    <row r="200" customFormat="false" ht="15" hidden="false" customHeight="false" outlineLevel="0" collapsed="false">
      <c r="A200" s="8" t="s">
        <v>1153</v>
      </c>
      <c r="B200" s="8" t="n">
        <v>4411001</v>
      </c>
      <c r="C200" s="8" t="s">
        <v>1343</v>
      </c>
      <c r="D200" s="19" t="n">
        <v>282</v>
      </c>
      <c r="E200" s="19" t="n">
        <v>7006.05</v>
      </c>
      <c r="F200" s="19" t="n">
        <v>205.894736842105</v>
      </c>
      <c r="G200" s="19" t="n">
        <v>5156.33557894737</v>
      </c>
    </row>
    <row r="201" customFormat="false" ht="15" hidden="false" customHeight="false" outlineLevel="0" collapsed="false">
      <c r="A201" s="8" t="s">
        <v>1153</v>
      </c>
      <c r="B201" s="8" t="n">
        <v>4411015</v>
      </c>
      <c r="C201" s="8" t="s">
        <v>1344</v>
      </c>
      <c r="D201" s="19" t="n">
        <v>50</v>
      </c>
      <c r="E201" s="19" t="n">
        <v>2118.642</v>
      </c>
      <c r="F201" s="19" t="n">
        <v>45.4736842105263</v>
      </c>
      <c r="G201" s="19" t="n">
        <v>1928.12715789474</v>
      </c>
    </row>
    <row r="202" customFormat="false" ht="15" hidden="false" customHeight="false" outlineLevel="0" collapsed="false">
      <c r="A202" s="8" t="s">
        <v>1153</v>
      </c>
      <c r="B202" s="8" t="n">
        <v>4411016</v>
      </c>
      <c r="C202" s="8" t="s">
        <v>1345</v>
      </c>
      <c r="D202" s="19" t="n">
        <v>107</v>
      </c>
      <c r="E202" s="19" t="n">
        <v>7738.233</v>
      </c>
      <c r="F202" s="19" t="n">
        <v>73.2631578947368</v>
      </c>
      <c r="G202" s="19" t="n">
        <v>5613.84</v>
      </c>
    </row>
    <row r="203" customFormat="false" ht="15" hidden="false" customHeight="false" outlineLevel="0" collapsed="false">
      <c r="A203" s="8" t="s">
        <v>1153</v>
      </c>
      <c r="B203" s="8" t="n">
        <v>4411017</v>
      </c>
      <c r="C203" s="8" t="s">
        <v>1346</v>
      </c>
      <c r="D203" s="19" t="n">
        <v>26</v>
      </c>
      <c r="E203" s="19" t="n">
        <v>839.293</v>
      </c>
      <c r="F203" s="19" t="n">
        <v>13.8947368421053</v>
      </c>
      <c r="G203" s="19" t="n">
        <v>467.835789473684</v>
      </c>
    </row>
    <row r="204" customFormat="false" ht="15" hidden="false" customHeight="false" outlineLevel="0" collapsed="false">
      <c r="A204" s="8" t="s">
        <v>1153</v>
      </c>
      <c r="B204" s="8" t="n">
        <v>4411018</v>
      </c>
      <c r="C204" s="8" t="s">
        <v>1347</v>
      </c>
      <c r="D204" s="19" t="n">
        <v>32</v>
      </c>
      <c r="E204" s="19" t="n">
        <v>1057.602</v>
      </c>
      <c r="F204" s="19" t="n">
        <v>20.2105263157895</v>
      </c>
      <c r="G204" s="19" t="n">
        <v>680.143578947369</v>
      </c>
    </row>
    <row r="205" customFormat="false" ht="15" hidden="false" customHeight="false" outlineLevel="0" collapsed="false">
      <c r="A205" s="8" t="s">
        <v>1153</v>
      </c>
      <c r="B205" s="8" t="n">
        <v>4411019</v>
      </c>
      <c r="C205" s="8" t="s">
        <v>1348</v>
      </c>
      <c r="D205" s="19" t="n">
        <v>24</v>
      </c>
      <c r="E205" s="19" t="n">
        <v>779.961</v>
      </c>
      <c r="F205" s="19" t="n">
        <v>12.6315789473684</v>
      </c>
      <c r="G205" s="19" t="n">
        <v>413.350736842105</v>
      </c>
    </row>
    <row r="206" customFormat="false" ht="15" hidden="false" customHeight="false" outlineLevel="0" collapsed="false">
      <c r="A206" s="8" t="s">
        <v>1153</v>
      </c>
      <c r="B206" s="8" t="n">
        <v>4411020</v>
      </c>
      <c r="C206" s="8" t="s">
        <v>1349</v>
      </c>
      <c r="D206" s="19" t="n">
        <v>13</v>
      </c>
      <c r="E206" s="19" t="n">
        <v>427.154</v>
      </c>
      <c r="F206" s="19" t="n">
        <v>6.31578947368421</v>
      </c>
      <c r="G206" s="19" t="n">
        <v>212.422736842105</v>
      </c>
    </row>
    <row r="207" customFormat="false" ht="15" hidden="false" customHeight="false" outlineLevel="0" collapsed="false">
      <c r="A207" s="8" t="s">
        <v>1153</v>
      </c>
      <c r="B207" s="8" t="n">
        <v>4411021</v>
      </c>
      <c r="C207" s="8" t="s">
        <v>1350</v>
      </c>
      <c r="D207" s="19" t="n">
        <v>28</v>
      </c>
      <c r="E207" s="19" t="n">
        <v>975.429</v>
      </c>
      <c r="F207" s="19" t="n">
        <v>20.2105263157895</v>
      </c>
      <c r="G207" s="19" t="n">
        <v>739.338947368421</v>
      </c>
    </row>
    <row r="208" customFormat="false" ht="15" hidden="false" customHeight="false" outlineLevel="0" collapsed="false">
      <c r="A208" s="8" t="s">
        <v>1153</v>
      </c>
      <c r="B208" s="8" t="n">
        <v>4411022</v>
      </c>
      <c r="C208" s="8" t="s">
        <v>1351</v>
      </c>
      <c r="D208" s="19" t="n">
        <v>49</v>
      </c>
      <c r="E208" s="19" t="n">
        <v>1719.979</v>
      </c>
      <c r="F208" s="19" t="n">
        <v>36.6315789473684</v>
      </c>
      <c r="G208" s="19" t="n">
        <v>1323.35747368421</v>
      </c>
    </row>
    <row r="209" customFormat="false" ht="15" hidden="false" customHeight="false" outlineLevel="0" collapsed="false">
      <c r="A209" s="8" t="s">
        <v>1153</v>
      </c>
      <c r="B209" s="8" t="n">
        <v>4411023</v>
      </c>
      <c r="C209" s="8" t="s">
        <v>1352</v>
      </c>
      <c r="D209" s="19" t="n">
        <v>39</v>
      </c>
      <c r="E209" s="19" t="n">
        <v>1362.156</v>
      </c>
      <c r="F209" s="19" t="n">
        <v>36.6315789473684</v>
      </c>
      <c r="G209" s="19" t="n">
        <v>1318.66105263158</v>
      </c>
    </row>
    <row r="210" customFormat="false" ht="15" hidden="false" customHeight="false" outlineLevel="0" collapsed="false">
      <c r="A210" s="8" t="s">
        <v>1153</v>
      </c>
      <c r="B210" s="8" t="n">
        <v>4411024</v>
      </c>
      <c r="C210" s="8" t="s">
        <v>1353</v>
      </c>
      <c r="D210" s="19" t="n">
        <v>16</v>
      </c>
      <c r="E210" s="19" t="n">
        <v>554.554</v>
      </c>
      <c r="F210" s="19" t="n">
        <v>6.31578947368421</v>
      </c>
      <c r="G210" s="19" t="n">
        <v>228.745263157895</v>
      </c>
    </row>
    <row r="211" customFormat="false" ht="15" hidden="false" customHeight="false" outlineLevel="0" collapsed="false">
      <c r="A211" s="8" t="s">
        <v>1153</v>
      </c>
      <c r="B211" s="8" t="n">
        <v>4411026</v>
      </c>
      <c r="C211" s="8" t="s">
        <v>1354</v>
      </c>
      <c r="D211" s="19" t="n">
        <v>0</v>
      </c>
      <c r="E211" s="19" t="n">
        <v>0</v>
      </c>
      <c r="F211" s="19" t="n">
        <v>2.52631578947368</v>
      </c>
      <c r="G211" s="19" t="n">
        <v>269.321684210526</v>
      </c>
    </row>
    <row r="212" customFormat="false" ht="15" hidden="false" customHeight="false" outlineLevel="0" collapsed="false">
      <c r="A212" s="8" t="s">
        <v>1153</v>
      </c>
      <c r="B212" s="8" t="n">
        <v>4411027</v>
      </c>
      <c r="C212" s="8" t="s">
        <v>1355</v>
      </c>
      <c r="D212" s="19" t="n">
        <v>0</v>
      </c>
      <c r="E212" s="19" t="n">
        <v>0</v>
      </c>
      <c r="F212" s="19" t="n">
        <v>1.26315789473684</v>
      </c>
      <c r="G212" s="19" t="n">
        <v>134.603368421053</v>
      </c>
    </row>
    <row r="213" customFormat="false" ht="15" hidden="false" customHeight="false" outlineLevel="0" collapsed="false">
      <c r="A213" s="8" t="s">
        <v>1153</v>
      </c>
      <c r="B213" s="8" t="n">
        <v>4411028</v>
      </c>
      <c r="C213" s="8" t="s">
        <v>1356</v>
      </c>
      <c r="D213" s="19" t="n">
        <v>0</v>
      </c>
      <c r="E213" s="19" t="n">
        <v>0</v>
      </c>
      <c r="F213" s="19" t="n">
        <v>1.26315789473684</v>
      </c>
      <c r="G213" s="19" t="n">
        <v>134.603368421053</v>
      </c>
    </row>
    <row r="214" customFormat="false" ht="15" hidden="false" customHeight="false" outlineLevel="0" collapsed="false">
      <c r="A214" s="8" t="s">
        <v>1153</v>
      </c>
      <c r="B214" s="8" t="n">
        <v>4411029</v>
      </c>
      <c r="C214" s="8" t="s">
        <v>1357</v>
      </c>
      <c r="D214" s="19" t="n">
        <v>0</v>
      </c>
      <c r="E214" s="19" t="n">
        <v>0</v>
      </c>
      <c r="F214" s="19" t="n">
        <v>1.26315789473684</v>
      </c>
      <c r="G214" s="19" t="n">
        <v>134.603368421053</v>
      </c>
    </row>
    <row r="215" customFormat="false" ht="15" hidden="false" customHeight="false" outlineLevel="0" collapsed="false">
      <c r="A215" s="8" t="s">
        <v>1153</v>
      </c>
      <c r="B215" s="8" t="n">
        <v>4411030</v>
      </c>
      <c r="C215" s="8" t="s">
        <v>1358</v>
      </c>
      <c r="D215" s="19" t="n">
        <v>0</v>
      </c>
      <c r="E215" s="19" t="n">
        <v>0</v>
      </c>
      <c r="F215" s="19" t="n">
        <v>1.26315789473684</v>
      </c>
      <c r="G215" s="19" t="n">
        <v>134.603368421053</v>
      </c>
    </row>
    <row r="216" customFormat="false" ht="15" hidden="false" customHeight="false" outlineLevel="0" collapsed="false">
      <c r="A216" s="8" t="s">
        <v>1153</v>
      </c>
      <c r="B216" s="8" t="n">
        <v>4411031</v>
      </c>
      <c r="C216" s="8" t="s">
        <v>1359</v>
      </c>
      <c r="D216" s="19" t="n">
        <v>0</v>
      </c>
      <c r="E216" s="19" t="n">
        <v>0</v>
      </c>
      <c r="F216" s="19" t="n">
        <v>2.52631578947368</v>
      </c>
      <c r="G216" s="19" t="n">
        <v>269.321684210526</v>
      </c>
    </row>
    <row r="217" customFormat="false" ht="15" hidden="false" customHeight="false" outlineLevel="0" collapsed="false">
      <c r="A217" s="8" t="s">
        <v>1153</v>
      </c>
      <c r="B217" s="8" t="n">
        <v>4413000</v>
      </c>
      <c r="C217" s="8" t="s">
        <v>1360</v>
      </c>
      <c r="D217" s="19" t="n">
        <v>6</v>
      </c>
      <c r="E217" s="19" t="n">
        <v>353.717</v>
      </c>
      <c r="F217" s="19" t="n">
        <v>0</v>
      </c>
      <c r="G217" s="19" t="n">
        <v>0</v>
      </c>
    </row>
    <row r="218" customFormat="false" ht="15" hidden="false" customHeight="false" outlineLevel="0" collapsed="false">
      <c r="A218" s="8" t="s">
        <v>1153</v>
      </c>
      <c r="B218" s="8" t="n">
        <v>4413002</v>
      </c>
      <c r="C218" s="8" t="s">
        <v>1361</v>
      </c>
      <c r="D218" s="19" t="n">
        <v>14</v>
      </c>
      <c r="E218" s="19" t="n">
        <v>834.47</v>
      </c>
      <c r="F218" s="19" t="n">
        <v>0</v>
      </c>
      <c r="G218" s="19" t="n">
        <v>0</v>
      </c>
    </row>
    <row r="219" customFormat="false" ht="15" hidden="false" customHeight="false" outlineLevel="0" collapsed="false">
      <c r="A219" s="8" t="s">
        <v>1153</v>
      </c>
      <c r="B219" s="8" t="n">
        <v>4413003</v>
      </c>
      <c r="C219" s="8" t="s">
        <v>1362</v>
      </c>
      <c r="D219" s="19" t="n">
        <v>6</v>
      </c>
      <c r="E219" s="19" t="n">
        <v>339.521</v>
      </c>
      <c r="F219" s="19" t="n">
        <v>0</v>
      </c>
      <c r="G219" s="19" t="n">
        <v>0</v>
      </c>
    </row>
    <row r="220" customFormat="false" ht="15" hidden="false" customHeight="false" outlineLevel="0" collapsed="false">
      <c r="A220" s="8" t="s">
        <v>1153</v>
      </c>
      <c r="B220" s="8" t="n">
        <v>4413004</v>
      </c>
      <c r="C220" s="8" t="s">
        <v>1363</v>
      </c>
      <c r="D220" s="19" t="n">
        <v>11</v>
      </c>
      <c r="E220" s="19" t="n">
        <v>647.465</v>
      </c>
      <c r="F220" s="19" t="n">
        <v>0</v>
      </c>
      <c r="G220" s="19" t="n">
        <v>0</v>
      </c>
    </row>
    <row r="221" customFormat="false" ht="15" hidden="false" customHeight="false" outlineLevel="0" collapsed="false">
      <c r="A221" s="8" t="s">
        <v>1153</v>
      </c>
      <c r="B221" s="8" t="n">
        <v>4413005</v>
      </c>
      <c r="C221" s="8" t="s">
        <v>1364</v>
      </c>
      <c r="D221" s="19" t="n">
        <v>2</v>
      </c>
      <c r="E221" s="19" t="n">
        <v>118.664</v>
      </c>
      <c r="F221" s="19" t="n">
        <v>0</v>
      </c>
      <c r="G221" s="19" t="n">
        <v>0</v>
      </c>
    </row>
    <row r="222" customFormat="false" ht="15" hidden="false" customHeight="false" outlineLevel="0" collapsed="false">
      <c r="A222" s="8" t="s">
        <v>1153</v>
      </c>
      <c r="B222" s="8" t="n">
        <v>4413018</v>
      </c>
      <c r="C222" s="8" t="s">
        <v>1365</v>
      </c>
      <c r="D222" s="19" t="n">
        <v>1</v>
      </c>
      <c r="E222" s="19" t="n">
        <v>107.835</v>
      </c>
      <c r="F222" s="19" t="n">
        <v>3.78947368421053</v>
      </c>
      <c r="G222" s="19" t="n">
        <v>408.752842105263</v>
      </c>
    </row>
    <row r="223" customFormat="false" ht="15" hidden="false" customHeight="false" outlineLevel="0" collapsed="false">
      <c r="A223" s="8" t="s">
        <v>1153</v>
      </c>
      <c r="B223" s="8" t="n">
        <v>4413019</v>
      </c>
      <c r="C223" s="8" t="s">
        <v>1366</v>
      </c>
      <c r="D223" s="19" t="n">
        <v>0</v>
      </c>
      <c r="E223" s="19" t="n">
        <v>0</v>
      </c>
      <c r="F223" s="19" t="n">
        <v>-1.26315789473684</v>
      </c>
      <c r="G223" s="19" t="n">
        <v>-81.7275789473684</v>
      </c>
    </row>
    <row r="224" customFormat="false" ht="15" hidden="false" customHeight="false" outlineLevel="0" collapsed="false">
      <c r="A224" s="8" t="s">
        <v>1153</v>
      </c>
      <c r="B224" s="8" t="n">
        <v>4413020</v>
      </c>
      <c r="C224" s="8" t="s">
        <v>1367</v>
      </c>
      <c r="D224" s="19" t="n">
        <v>6</v>
      </c>
      <c r="E224" s="19" t="n">
        <v>642.915</v>
      </c>
      <c r="F224" s="19" t="n">
        <v>0</v>
      </c>
      <c r="G224" s="19" t="n">
        <v>27.2425263157895</v>
      </c>
    </row>
    <row r="225" customFormat="false" ht="15" hidden="false" customHeight="false" outlineLevel="0" collapsed="false">
      <c r="A225" s="8" t="s">
        <v>1153</v>
      </c>
      <c r="B225" s="8" t="n">
        <v>4413021</v>
      </c>
      <c r="C225" s="8" t="s">
        <v>1368</v>
      </c>
      <c r="D225" s="19" t="n">
        <v>10</v>
      </c>
      <c r="E225" s="19" t="n">
        <v>1009.19</v>
      </c>
      <c r="F225" s="19" t="n">
        <v>-1.26315789473684</v>
      </c>
      <c r="G225" s="19" t="n">
        <v>-108.970105263158</v>
      </c>
    </row>
    <row r="226" customFormat="false" ht="15" hidden="false" customHeight="false" outlineLevel="0" collapsed="false">
      <c r="A226" s="8" t="s">
        <v>1153</v>
      </c>
      <c r="B226" s="8" t="n">
        <v>4413022</v>
      </c>
      <c r="C226" s="8" t="s">
        <v>1369</v>
      </c>
      <c r="D226" s="19" t="n">
        <v>3</v>
      </c>
      <c r="E226" s="19" t="n">
        <v>297.57</v>
      </c>
      <c r="F226" s="19" t="n">
        <v>2.52631578947368</v>
      </c>
      <c r="G226" s="19" t="n">
        <v>272.540210526316</v>
      </c>
    </row>
    <row r="227" customFormat="false" ht="15" hidden="false" customHeight="false" outlineLevel="0" collapsed="false">
      <c r="A227" s="8" t="s">
        <v>1153</v>
      </c>
      <c r="B227" s="8" t="n">
        <v>4413033</v>
      </c>
      <c r="C227" s="8" t="s">
        <v>1370</v>
      </c>
      <c r="D227" s="19" t="n">
        <v>766</v>
      </c>
      <c r="E227" s="19" t="n">
        <v>11846.422</v>
      </c>
      <c r="F227" s="19" t="n">
        <v>576</v>
      </c>
      <c r="G227" s="19" t="n">
        <v>9251.31915789474</v>
      </c>
    </row>
    <row r="228" customFormat="false" ht="15" hidden="false" customHeight="false" outlineLevel="0" collapsed="false">
      <c r="A228" s="8" t="s">
        <v>1153</v>
      </c>
      <c r="B228" s="8" t="n">
        <v>4413034</v>
      </c>
      <c r="C228" s="8" t="s">
        <v>1371</v>
      </c>
      <c r="D228" s="19" t="n">
        <v>122</v>
      </c>
      <c r="E228" s="19" t="n">
        <v>2338.64</v>
      </c>
      <c r="F228" s="19" t="n">
        <v>78.3157894736842</v>
      </c>
      <c r="G228" s="19" t="n">
        <v>1470.49010526316</v>
      </c>
    </row>
    <row r="229" customFormat="false" ht="15" hidden="false" customHeight="false" outlineLevel="0" collapsed="false">
      <c r="A229" s="8" t="s">
        <v>1153</v>
      </c>
      <c r="B229" s="8" t="n">
        <v>4413041</v>
      </c>
      <c r="C229" s="8" t="s">
        <v>1372</v>
      </c>
      <c r="D229" s="19" t="n">
        <v>207</v>
      </c>
      <c r="E229" s="19" t="n">
        <v>8357.579</v>
      </c>
      <c r="F229" s="19" t="n">
        <v>132.631578947368</v>
      </c>
      <c r="G229" s="19" t="n">
        <v>5486.18273684211</v>
      </c>
    </row>
    <row r="230" customFormat="false" ht="15" hidden="false" customHeight="false" outlineLevel="0" collapsed="false">
      <c r="A230" s="8" t="s">
        <v>1153</v>
      </c>
      <c r="B230" s="8" t="n">
        <v>4413042</v>
      </c>
      <c r="C230" s="8" t="s">
        <v>1373</v>
      </c>
      <c r="D230" s="19" t="n">
        <v>79</v>
      </c>
      <c r="E230" s="19" t="n">
        <v>3145.142</v>
      </c>
      <c r="F230" s="19" t="n">
        <v>64.421052631579</v>
      </c>
      <c r="G230" s="19" t="n">
        <v>2708.74863157895</v>
      </c>
    </row>
    <row r="231" customFormat="false" ht="15" hidden="false" customHeight="false" outlineLevel="0" collapsed="false">
      <c r="A231" s="8" t="s">
        <v>1153</v>
      </c>
      <c r="B231" s="8" t="n">
        <v>4413043</v>
      </c>
      <c r="C231" s="8" t="s">
        <v>1374</v>
      </c>
      <c r="D231" s="19" t="n">
        <v>184</v>
      </c>
      <c r="E231" s="19" t="n">
        <v>7545.449</v>
      </c>
      <c r="F231" s="19" t="n">
        <v>150.315789473684</v>
      </c>
      <c r="G231" s="19" t="n">
        <v>6199.39957894737</v>
      </c>
    </row>
    <row r="232" customFormat="false" ht="15" hidden="false" customHeight="false" outlineLevel="0" collapsed="false">
      <c r="A232" s="8" t="s">
        <v>1153</v>
      </c>
      <c r="B232" s="8" t="n">
        <v>4413044</v>
      </c>
      <c r="C232" s="8" t="s">
        <v>1375</v>
      </c>
      <c r="D232" s="19" t="n">
        <v>114</v>
      </c>
      <c r="E232" s="19" t="n">
        <v>4637.77</v>
      </c>
      <c r="F232" s="19" t="n">
        <v>94.7368421052632</v>
      </c>
      <c r="G232" s="19" t="n">
        <v>3954.60757894737</v>
      </c>
    </row>
    <row r="233" customFormat="false" ht="15" hidden="false" customHeight="false" outlineLevel="0" collapsed="false">
      <c r="A233" s="8" t="s">
        <v>1153</v>
      </c>
      <c r="B233" s="8" t="n">
        <v>4413045</v>
      </c>
      <c r="C233" s="8" t="s">
        <v>1376</v>
      </c>
      <c r="D233" s="19" t="n">
        <v>10</v>
      </c>
      <c r="E233" s="19" t="n">
        <v>399.672</v>
      </c>
      <c r="F233" s="19" t="n">
        <v>0</v>
      </c>
      <c r="G233" s="19" t="n">
        <v>0</v>
      </c>
    </row>
    <row r="234" customFormat="false" ht="15" hidden="false" customHeight="false" outlineLevel="0" collapsed="false">
      <c r="A234" s="8" t="s">
        <v>1153</v>
      </c>
      <c r="B234" s="8" t="n">
        <v>4413046</v>
      </c>
      <c r="C234" s="8" t="s">
        <v>1377</v>
      </c>
      <c r="D234" s="19" t="n">
        <v>24</v>
      </c>
      <c r="E234" s="19" t="n">
        <v>993.72</v>
      </c>
      <c r="F234" s="19" t="n">
        <v>21.4736842105263</v>
      </c>
      <c r="G234" s="19" t="n">
        <v>903.371368421053</v>
      </c>
    </row>
    <row r="235" customFormat="false" ht="15" hidden="false" customHeight="false" outlineLevel="0" collapsed="false">
      <c r="A235" s="8" t="s">
        <v>1153</v>
      </c>
      <c r="B235" s="8" t="n">
        <v>4413047</v>
      </c>
      <c r="C235" s="8" t="s">
        <v>1378</v>
      </c>
      <c r="D235" s="19" t="n">
        <v>113</v>
      </c>
      <c r="E235" s="19" t="n">
        <v>3067.957</v>
      </c>
      <c r="F235" s="19" t="n">
        <v>63.1578947368421</v>
      </c>
      <c r="G235" s="19" t="n">
        <v>1741.68252631579</v>
      </c>
    </row>
    <row r="236" customFormat="false" ht="15" hidden="false" customHeight="false" outlineLevel="0" collapsed="false">
      <c r="A236" s="8" t="s">
        <v>1153</v>
      </c>
      <c r="B236" s="8" t="n">
        <v>4413048</v>
      </c>
      <c r="C236" s="8" t="s">
        <v>1379</v>
      </c>
      <c r="D236" s="19" t="n">
        <v>212</v>
      </c>
      <c r="E236" s="19" t="n">
        <v>5703.812</v>
      </c>
      <c r="F236" s="19" t="n">
        <v>169.263157894737</v>
      </c>
      <c r="G236" s="19" t="n">
        <v>4555.824</v>
      </c>
    </row>
    <row r="237" customFormat="false" ht="15" hidden="false" customHeight="false" outlineLevel="0" collapsed="false">
      <c r="A237" s="8" t="s">
        <v>1153</v>
      </c>
      <c r="B237" s="8" t="n">
        <v>4413049</v>
      </c>
      <c r="C237" s="8" t="s">
        <v>1380</v>
      </c>
      <c r="D237" s="19" t="n">
        <v>231</v>
      </c>
      <c r="E237" s="19" t="n">
        <v>6191.008</v>
      </c>
      <c r="F237" s="19" t="n">
        <v>169.263157894737</v>
      </c>
      <c r="G237" s="19" t="n">
        <v>4550.8812631579</v>
      </c>
    </row>
    <row r="238" customFormat="false" ht="15" hidden="false" customHeight="false" outlineLevel="0" collapsed="false">
      <c r="A238" s="8" t="s">
        <v>1153</v>
      </c>
      <c r="B238" s="8" t="n">
        <v>4413050</v>
      </c>
      <c r="C238" s="8" t="s">
        <v>1381</v>
      </c>
      <c r="D238" s="19" t="n">
        <v>165</v>
      </c>
      <c r="E238" s="19" t="n">
        <v>4519.521</v>
      </c>
      <c r="F238" s="19" t="n">
        <v>120</v>
      </c>
      <c r="G238" s="19" t="n">
        <v>3294.78947368421</v>
      </c>
    </row>
    <row r="239" customFormat="false" ht="15" hidden="false" customHeight="false" outlineLevel="0" collapsed="false">
      <c r="A239" s="8" t="s">
        <v>1153</v>
      </c>
      <c r="B239" s="8" t="n">
        <v>4413051</v>
      </c>
      <c r="C239" s="8" t="s">
        <v>1382</v>
      </c>
      <c r="D239" s="19" t="n">
        <v>84</v>
      </c>
      <c r="E239" s="19" t="n">
        <v>2255.691</v>
      </c>
      <c r="F239" s="19" t="n">
        <v>46.7368421052632</v>
      </c>
      <c r="G239" s="19" t="n">
        <v>1250.85726315789</v>
      </c>
    </row>
    <row r="240" customFormat="false" ht="15" hidden="false" customHeight="false" outlineLevel="0" collapsed="false">
      <c r="A240" s="8" t="s">
        <v>1153</v>
      </c>
      <c r="B240" s="8" t="n">
        <v>4413052</v>
      </c>
      <c r="C240" s="8" t="s">
        <v>1383</v>
      </c>
      <c r="D240" s="19" t="n">
        <v>234</v>
      </c>
      <c r="E240" s="19" t="n">
        <v>6347.556</v>
      </c>
      <c r="F240" s="19" t="n">
        <v>168</v>
      </c>
      <c r="G240" s="19" t="n">
        <v>4637.85094736842</v>
      </c>
    </row>
    <row r="241" customFormat="false" ht="15" hidden="false" customHeight="false" outlineLevel="0" collapsed="false">
      <c r="A241" s="8" t="s">
        <v>1153</v>
      </c>
      <c r="B241" s="8" t="n">
        <v>4413053</v>
      </c>
      <c r="C241" s="8" t="s">
        <v>1384</v>
      </c>
      <c r="D241" s="19" t="n">
        <v>414</v>
      </c>
      <c r="E241" s="19" t="n">
        <v>11310.866</v>
      </c>
      <c r="F241" s="19" t="n">
        <v>377.684210526316</v>
      </c>
      <c r="G241" s="19" t="n">
        <v>10324.4867368421</v>
      </c>
    </row>
    <row r="242" customFormat="false" ht="15" hidden="false" customHeight="false" outlineLevel="0" collapsed="false">
      <c r="A242" s="8" t="s">
        <v>1153</v>
      </c>
      <c r="B242" s="8" t="n">
        <v>4413054</v>
      </c>
      <c r="C242" s="8" t="s">
        <v>1385</v>
      </c>
      <c r="D242" s="19" t="n">
        <v>387</v>
      </c>
      <c r="E242" s="19" t="n">
        <v>10542.47</v>
      </c>
      <c r="F242" s="19" t="n">
        <v>376.421052631579</v>
      </c>
      <c r="G242" s="19" t="n">
        <v>10263.2955789474</v>
      </c>
    </row>
    <row r="243" customFormat="false" ht="15" hidden="false" customHeight="false" outlineLevel="0" collapsed="false">
      <c r="A243" s="8" t="s">
        <v>1153</v>
      </c>
      <c r="B243" s="8" t="n">
        <v>4413055</v>
      </c>
      <c r="C243" s="8" t="s">
        <v>1386</v>
      </c>
      <c r="D243" s="19" t="n">
        <v>245</v>
      </c>
      <c r="E243" s="19" t="n">
        <v>6672.526</v>
      </c>
      <c r="F243" s="19" t="n">
        <v>205.894736842105</v>
      </c>
      <c r="G243" s="19" t="n">
        <v>5596.71284210526</v>
      </c>
    </row>
    <row r="244" customFormat="false" ht="15" hidden="false" customHeight="false" outlineLevel="0" collapsed="false">
      <c r="A244" s="8" t="s">
        <v>1153</v>
      </c>
      <c r="B244" s="8" t="n">
        <v>4413056</v>
      </c>
      <c r="C244" s="8" t="s">
        <v>1387</v>
      </c>
      <c r="D244" s="19" t="n">
        <v>82</v>
      </c>
      <c r="E244" s="19" t="n">
        <v>1685.391</v>
      </c>
      <c r="F244" s="19" t="n">
        <v>55.5789473684211</v>
      </c>
      <c r="G244" s="19" t="n">
        <v>1177.94273684211</v>
      </c>
    </row>
    <row r="245" customFormat="false" ht="15" hidden="false" customHeight="false" outlineLevel="0" collapsed="false">
      <c r="A245" s="8" t="s">
        <v>1153</v>
      </c>
      <c r="B245" s="8" t="n">
        <v>4413058</v>
      </c>
      <c r="C245" s="8" t="s">
        <v>1388</v>
      </c>
      <c r="D245" s="19" t="n">
        <v>113</v>
      </c>
      <c r="E245" s="19" t="n">
        <v>3136.497</v>
      </c>
      <c r="F245" s="19" t="n">
        <v>109.894736842105</v>
      </c>
      <c r="G245" s="19" t="n">
        <v>3033.99663157895</v>
      </c>
    </row>
    <row r="246" customFormat="false" ht="15" hidden="false" customHeight="false" outlineLevel="0" collapsed="false">
      <c r="A246" s="8" t="s">
        <v>1153</v>
      </c>
      <c r="B246" s="8" t="n">
        <v>4413059</v>
      </c>
      <c r="C246" s="8" t="s">
        <v>1389</v>
      </c>
      <c r="D246" s="19" t="n">
        <v>1065</v>
      </c>
      <c r="E246" s="19" t="n">
        <v>13276.594</v>
      </c>
      <c r="F246" s="19" t="n">
        <v>852.631578947368</v>
      </c>
      <c r="G246" s="19" t="n">
        <v>10661.5604210526</v>
      </c>
    </row>
    <row r="247" customFormat="false" ht="15" hidden="false" customHeight="false" outlineLevel="0" collapsed="false">
      <c r="A247" s="8" t="s">
        <v>1153</v>
      </c>
      <c r="B247" s="8" t="n">
        <v>4413060</v>
      </c>
      <c r="C247" s="8" t="s">
        <v>1390</v>
      </c>
      <c r="D247" s="19" t="n">
        <v>533</v>
      </c>
      <c r="E247" s="19" t="n">
        <v>6651.524</v>
      </c>
      <c r="F247" s="19" t="n">
        <v>564.631578947368</v>
      </c>
      <c r="G247" s="19" t="n">
        <v>7047.79073684211</v>
      </c>
    </row>
    <row r="248" customFormat="false" ht="15" hidden="false" customHeight="false" outlineLevel="0" collapsed="false">
      <c r="A248" s="8" t="s">
        <v>1153</v>
      </c>
      <c r="B248" s="8" t="n">
        <v>4413061</v>
      </c>
      <c r="C248" s="8" t="s">
        <v>1391</v>
      </c>
      <c r="D248" s="19" t="n">
        <v>181</v>
      </c>
      <c r="E248" s="19" t="n">
        <v>3301.916</v>
      </c>
      <c r="F248" s="19" t="n">
        <v>59.3684210526316</v>
      </c>
      <c r="G248" s="19" t="n">
        <v>1076.39115789474</v>
      </c>
    </row>
    <row r="249" customFormat="false" ht="15" hidden="false" customHeight="false" outlineLevel="0" collapsed="false">
      <c r="A249" s="8" t="s">
        <v>1153</v>
      </c>
      <c r="B249" s="8" t="n">
        <v>4413063</v>
      </c>
      <c r="C249" s="8" t="s">
        <v>1392</v>
      </c>
      <c r="D249" s="19" t="n">
        <v>260</v>
      </c>
      <c r="E249" s="19" t="n">
        <v>3710.889</v>
      </c>
      <c r="F249" s="19" t="n">
        <v>241.263157894737</v>
      </c>
      <c r="G249" s="19" t="n">
        <v>3370.96042105263</v>
      </c>
    </row>
    <row r="250" customFormat="false" ht="15" hidden="false" customHeight="false" outlineLevel="0" collapsed="false">
      <c r="A250" s="8" t="s">
        <v>1153</v>
      </c>
      <c r="B250" s="8" t="n">
        <v>4413066</v>
      </c>
      <c r="C250" s="8" t="s">
        <v>1393</v>
      </c>
      <c r="D250" s="19" t="n">
        <v>156</v>
      </c>
      <c r="E250" s="19" t="n">
        <v>2700.907</v>
      </c>
      <c r="F250" s="19" t="n">
        <v>88.421052631579</v>
      </c>
      <c r="G250" s="19" t="n">
        <v>1603.64084210526</v>
      </c>
    </row>
    <row r="251" customFormat="false" ht="15" hidden="false" customHeight="false" outlineLevel="0" collapsed="false">
      <c r="A251" s="8" t="s">
        <v>1153</v>
      </c>
      <c r="B251" s="8" t="n">
        <v>4413069</v>
      </c>
      <c r="C251" s="8" t="s">
        <v>1394</v>
      </c>
      <c r="D251" s="19" t="n">
        <v>-2</v>
      </c>
      <c r="E251" s="19" t="n">
        <v>-138.411</v>
      </c>
      <c r="F251" s="19" t="n">
        <v>0</v>
      </c>
      <c r="G251" s="19" t="n">
        <v>0</v>
      </c>
    </row>
    <row r="252" customFormat="false" ht="15" hidden="false" customHeight="false" outlineLevel="0" collapsed="false">
      <c r="A252" s="8" t="s">
        <v>1153</v>
      </c>
      <c r="B252" s="8" t="n">
        <v>4413070</v>
      </c>
      <c r="C252" s="8" t="s">
        <v>1395</v>
      </c>
      <c r="D252" s="19" t="n">
        <v>-1</v>
      </c>
      <c r="E252" s="19" t="n">
        <v>-67.34</v>
      </c>
      <c r="F252" s="19" t="n">
        <v>0</v>
      </c>
      <c r="G252" s="19" t="n">
        <v>0</v>
      </c>
    </row>
    <row r="253" customFormat="false" ht="15" hidden="false" customHeight="false" outlineLevel="0" collapsed="false">
      <c r="A253" s="8" t="s">
        <v>1153</v>
      </c>
      <c r="B253" s="8" t="n">
        <v>4413071</v>
      </c>
      <c r="C253" s="8" t="s">
        <v>1396</v>
      </c>
      <c r="D253" s="19" t="n">
        <v>1</v>
      </c>
      <c r="E253" s="19" t="n">
        <v>107.471</v>
      </c>
      <c r="F253" s="19" t="n">
        <v>0</v>
      </c>
      <c r="G253" s="19" t="n">
        <v>0</v>
      </c>
    </row>
    <row r="254" customFormat="false" ht="15" hidden="false" customHeight="false" outlineLevel="0" collapsed="false">
      <c r="A254" s="8" t="s">
        <v>1153</v>
      </c>
      <c r="B254" s="8" t="n">
        <v>4413072</v>
      </c>
      <c r="C254" s="8" t="s">
        <v>1397</v>
      </c>
      <c r="D254" s="19" t="n">
        <v>16</v>
      </c>
      <c r="E254" s="19" t="n">
        <v>1785.571</v>
      </c>
      <c r="F254" s="19" t="n">
        <v>8.84210526315789</v>
      </c>
      <c r="G254" s="19" t="n">
        <v>959.695578947368</v>
      </c>
    </row>
    <row r="255" customFormat="false" ht="15" hidden="false" customHeight="false" outlineLevel="0" collapsed="false">
      <c r="A255" s="8" t="s">
        <v>1153</v>
      </c>
      <c r="B255" s="8" t="n">
        <v>4413073</v>
      </c>
      <c r="C255" s="8" t="s">
        <v>1398</v>
      </c>
      <c r="D255" s="19" t="n">
        <v>4</v>
      </c>
      <c r="E255" s="19" t="n">
        <v>375.011</v>
      </c>
      <c r="F255" s="19" t="n">
        <v>8.84210526315789</v>
      </c>
      <c r="G255" s="19" t="n">
        <v>1012.94147368421</v>
      </c>
    </row>
    <row r="256" customFormat="false" ht="15" hidden="false" customHeight="false" outlineLevel="0" collapsed="false">
      <c r="A256" s="8" t="s">
        <v>1153</v>
      </c>
      <c r="B256" s="8" t="n">
        <v>4413074</v>
      </c>
      <c r="C256" s="8" t="s">
        <v>1399</v>
      </c>
      <c r="D256" s="19" t="n">
        <v>11</v>
      </c>
      <c r="E256" s="19" t="n">
        <v>1184.638</v>
      </c>
      <c r="F256" s="19" t="n">
        <v>8.84210526315789</v>
      </c>
      <c r="G256" s="19" t="n">
        <v>906.270315789474</v>
      </c>
    </row>
    <row r="257" customFormat="false" ht="15" hidden="false" customHeight="false" outlineLevel="0" collapsed="false">
      <c r="A257" s="8" t="s">
        <v>1153</v>
      </c>
      <c r="B257" s="8" t="n">
        <v>4413076</v>
      </c>
      <c r="C257" s="8" t="s">
        <v>1400</v>
      </c>
      <c r="D257" s="19" t="n">
        <v>9</v>
      </c>
      <c r="E257" s="19" t="n">
        <v>1129.081</v>
      </c>
      <c r="F257" s="19" t="n">
        <v>3.78947368421053</v>
      </c>
      <c r="G257" s="19" t="n">
        <v>458.180210526316</v>
      </c>
    </row>
    <row r="258" customFormat="false" ht="15" hidden="false" customHeight="false" outlineLevel="0" collapsed="false">
      <c r="A258" s="8" t="s">
        <v>1153</v>
      </c>
      <c r="B258" s="8" t="n">
        <v>4413077</v>
      </c>
      <c r="C258" s="8" t="s">
        <v>1401</v>
      </c>
      <c r="D258" s="19" t="n">
        <v>0</v>
      </c>
      <c r="E258" s="19" t="n">
        <v>0</v>
      </c>
      <c r="F258" s="19" t="n">
        <v>1.26315789473684</v>
      </c>
      <c r="G258" s="19" t="n">
        <v>156.213473684211</v>
      </c>
    </row>
    <row r="259" customFormat="false" ht="15" hidden="false" customHeight="false" outlineLevel="0" collapsed="false">
      <c r="A259" s="8" t="s">
        <v>1153</v>
      </c>
      <c r="B259" s="8" t="n">
        <v>4413079</v>
      </c>
      <c r="C259" s="8" t="s">
        <v>1402</v>
      </c>
      <c r="D259" s="19" t="n">
        <v>1</v>
      </c>
      <c r="E259" s="19" t="n">
        <v>123.669</v>
      </c>
      <c r="F259" s="19" t="n">
        <v>2.52631578947368</v>
      </c>
      <c r="G259" s="19" t="n">
        <v>301.966736842105</v>
      </c>
    </row>
    <row r="260" customFormat="false" ht="15" hidden="false" customHeight="false" outlineLevel="0" collapsed="false">
      <c r="A260" s="8" t="s">
        <v>1153</v>
      </c>
      <c r="B260" s="8" t="n">
        <v>4413087</v>
      </c>
      <c r="C260" s="8" t="s">
        <v>1403</v>
      </c>
      <c r="D260" s="19" t="n">
        <v>5</v>
      </c>
      <c r="E260" s="19" t="n">
        <v>818.545</v>
      </c>
      <c r="F260" s="19" t="n">
        <v>0</v>
      </c>
      <c r="G260" s="19" t="n">
        <v>0</v>
      </c>
    </row>
    <row r="261" customFormat="false" ht="15" hidden="false" customHeight="false" outlineLevel="0" collapsed="false">
      <c r="A261" s="8" t="s">
        <v>1153</v>
      </c>
      <c r="B261" s="8" t="n">
        <v>4413088</v>
      </c>
      <c r="C261" s="8" t="s">
        <v>1404</v>
      </c>
      <c r="D261" s="19" t="n">
        <v>2</v>
      </c>
      <c r="E261" s="19" t="n">
        <v>318.227</v>
      </c>
      <c r="F261" s="19" t="n">
        <v>0</v>
      </c>
      <c r="G261" s="19" t="n">
        <v>0</v>
      </c>
    </row>
    <row r="262" customFormat="false" ht="15" hidden="false" customHeight="false" outlineLevel="0" collapsed="false">
      <c r="A262" s="8" t="s">
        <v>1153</v>
      </c>
      <c r="B262" s="8" t="n">
        <v>4413089</v>
      </c>
      <c r="C262" s="8" t="s">
        <v>1405</v>
      </c>
      <c r="D262" s="19" t="n">
        <v>0</v>
      </c>
      <c r="E262" s="19" t="n">
        <v>0</v>
      </c>
      <c r="F262" s="19" t="n">
        <v>2.52631578947368</v>
      </c>
      <c r="G262" s="19" t="n">
        <v>402.200842105263</v>
      </c>
    </row>
    <row r="263" customFormat="false" ht="15" hidden="false" customHeight="false" outlineLevel="0" collapsed="false">
      <c r="A263" s="8" t="s">
        <v>1153</v>
      </c>
      <c r="B263" s="8" t="n">
        <v>4413090</v>
      </c>
      <c r="C263" s="8" t="s">
        <v>1406</v>
      </c>
      <c r="D263" s="19" t="n">
        <v>8</v>
      </c>
      <c r="E263" s="19" t="n">
        <v>1318.772</v>
      </c>
      <c r="F263" s="19" t="n">
        <v>0</v>
      </c>
      <c r="G263" s="19" t="n">
        <v>0</v>
      </c>
    </row>
    <row r="264" customFormat="false" ht="15" hidden="false" customHeight="false" outlineLevel="0" collapsed="false">
      <c r="A264" s="8" t="s">
        <v>1153</v>
      </c>
      <c r="B264" s="8" t="n">
        <v>4413091</v>
      </c>
      <c r="C264" s="8" t="s">
        <v>1407</v>
      </c>
      <c r="D264" s="19" t="n">
        <v>2</v>
      </c>
      <c r="E264" s="19" t="n">
        <v>341.159</v>
      </c>
      <c r="F264" s="19" t="n">
        <v>0</v>
      </c>
      <c r="G264" s="19" t="n">
        <v>0</v>
      </c>
    </row>
    <row r="265" customFormat="false" ht="15" hidden="false" customHeight="false" outlineLevel="0" collapsed="false">
      <c r="A265" s="8" t="s">
        <v>1153</v>
      </c>
      <c r="B265" s="8" t="n">
        <v>4413092</v>
      </c>
      <c r="C265" s="8" t="s">
        <v>1408</v>
      </c>
      <c r="D265" s="19" t="n">
        <v>336</v>
      </c>
      <c r="E265" s="19" t="n">
        <v>9169.445</v>
      </c>
      <c r="F265" s="19" t="n">
        <v>313.263157894737</v>
      </c>
      <c r="G265" s="19" t="n">
        <v>8554.12042105263</v>
      </c>
    </row>
    <row r="266" customFormat="false" ht="15" hidden="false" customHeight="false" outlineLevel="0" collapsed="false">
      <c r="A266" s="8" t="s">
        <v>1153</v>
      </c>
      <c r="B266" s="8" t="n">
        <v>4413093</v>
      </c>
      <c r="C266" s="8" t="s">
        <v>1409</v>
      </c>
      <c r="D266" s="19" t="n">
        <v>297</v>
      </c>
      <c r="E266" s="19" t="n">
        <v>8046.74</v>
      </c>
      <c r="F266" s="19" t="n">
        <v>240</v>
      </c>
      <c r="G266" s="19" t="n">
        <v>6532.25810526316</v>
      </c>
    </row>
    <row r="267" customFormat="false" ht="15" hidden="false" customHeight="false" outlineLevel="0" collapsed="false">
      <c r="A267" s="8" t="s">
        <v>1153</v>
      </c>
      <c r="B267" s="8" t="n">
        <v>4413094</v>
      </c>
      <c r="C267" s="8" t="s">
        <v>1410</v>
      </c>
      <c r="D267" s="19" t="n">
        <v>123</v>
      </c>
      <c r="E267" s="19" t="n">
        <v>3306.641</v>
      </c>
      <c r="F267" s="19" t="n">
        <v>92.2105263157895</v>
      </c>
      <c r="G267" s="19" t="n">
        <v>2515.10021052632</v>
      </c>
    </row>
    <row r="268" customFormat="false" ht="15" hidden="false" customHeight="false" outlineLevel="0" collapsed="false">
      <c r="A268" s="8" t="s">
        <v>1153</v>
      </c>
      <c r="B268" s="8" t="n">
        <v>4413095</v>
      </c>
      <c r="C268" s="8" t="s">
        <v>1411</v>
      </c>
      <c r="D268" s="19" t="n">
        <v>246</v>
      </c>
      <c r="E268" s="19" t="n">
        <v>6683.187</v>
      </c>
      <c r="F268" s="19" t="n">
        <v>221.052631578947</v>
      </c>
      <c r="G268" s="19" t="n">
        <v>6014.37978947368</v>
      </c>
    </row>
    <row r="269" customFormat="false" ht="15" hidden="false" customHeight="false" outlineLevel="0" collapsed="false">
      <c r="A269" s="8" t="s">
        <v>1153</v>
      </c>
      <c r="B269" s="8" t="n">
        <v>4413096</v>
      </c>
      <c r="C269" s="8" t="s">
        <v>1412</v>
      </c>
      <c r="D269" s="19" t="n">
        <v>124</v>
      </c>
      <c r="E269" s="19" t="n">
        <v>3398.584</v>
      </c>
      <c r="F269" s="19" t="n">
        <v>104.842105263158</v>
      </c>
      <c r="G269" s="19" t="n">
        <v>2854.71915789474</v>
      </c>
    </row>
    <row r="270" customFormat="false" ht="15" hidden="false" customHeight="false" outlineLevel="0" collapsed="false">
      <c r="A270" s="8" t="s">
        <v>1153</v>
      </c>
      <c r="B270" s="8" t="n">
        <v>4413097</v>
      </c>
      <c r="C270" s="8" t="s">
        <v>1413</v>
      </c>
      <c r="D270" s="19" t="n">
        <v>163</v>
      </c>
      <c r="E270" s="19" t="n">
        <v>4465.302</v>
      </c>
      <c r="F270" s="19" t="n">
        <v>135.157894736842</v>
      </c>
      <c r="G270" s="19" t="n">
        <v>3740.82442105263</v>
      </c>
    </row>
    <row r="271" customFormat="false" ht="15" hidden="false" customHeight="false" outlineLevel="0" collapsed="false">
      <c r="A271" s="8" t="s">
        <v>1153</v>
      </c>
      <c r="B271" s="8" t="n">
        <v>4413098</v>
      </c>
      <c r="C271" s="8" t="s">
        <v>1414</v>
      </c>
      <c r="D271" s="19" t="n">
        <v>480</v>
      </c>
      <c r="E271" s="19" t="n">
        <v>13168.957</v>
      </c>
      <c r="F271" s="19" t="n">
        <v>371.368421052632</v>
      </c>
      <c r="G271" s="19" t="n">
        <v>10227.6277894737</v>
      </c>
    </row>
    <row r="272" customFormat="false" ht="15" hidden="false" customHeight="false" outlineLevel="0" collapsed="false">
      <c r="A272" s="8" t="s">
        <v>1153</v>
      </c>
      <c r="B272" s="8" t="n">
        <v>4413099</v>
      </c>
      <c r="C272" s="8" t="s">
        <v>1415</v>
      </c>
      <c r="D272" s="19" t="n">
        <v>374</v>
      </c>
      <c r="E272" s="19" t="n">
        <v>10235.439</v>
      </c>
      <c r="F272" s="19" t="n">
        <v>314.526315789474</v>
      </c>
      <c r="G272" s="19" t="n">
        <v>8666.30905263158</v>
      </c>
    </row>
    <row r="273" customFormat="false" ht="15" hidden="false" customHeight="false" outlineLevel="0" collapsed="false">
      <c r="A273" s="8" t="s">
        <v>1153</v>
      </c>
      <c r="B273" s="8" t="n">
        <v>4413100</v>
      </c>
      <c r="C273" s="8" t="s">
        <v>1416</v>
      </c>
      <c r="D273" s="19" t="n">
        <v>332</v>
      </c>
      <c r="E273" s="19" t="n">
        <v>9044.258</v>
      </c>
      <c r="F273" s="19" t="n">
        <v>337.263157894737</v>
      </c>
      <c r="G273" s="19" t="n">
        <v>9317.08926315789</v>
      </c>
    </row>
    <row r="274" customFormat="false" ht="15" hidden="false" customHeight="false" outlineLevel="0" collapsed="false">
      <c r="A274" s="8" t="s">
        <v>1153</v>
      </c>
      <c r="B274" s="8" t="n">
        <v>4413101</v>
      </c>
      <c r="C274" s="8" t="s">
        <v>1417</v>
      </c>
      <c r="D274" s="19" t="n">
        <v>36</v>
      </c>
      <c r="E274" s="19" t="n">
        <v>1200.381</v>
      </c>
      <c r="F274" s="19" t="n">
        <v>36.6315789473684</v>
      </c>
      <c r="G274" s="19" t="n">
        <v>1206.77936842105</v>
      </c>
    </row>
    <row r="275" customFormat="false" ht="15" hidden="false" customHeight="false" outlineLevel="0" collapsed="false">
      <c r="A275" s="8" t="s">
        <v>1153</v>
      </c>
      <c r="B275" s="8" t="n">
        <v>4413102</v>
      </c>
      <c r="C275" s="8" t="s">
        <v>1418</v>
      </c>
      <c r="D275" s="19" t="n">
        <v>151</v>
      </c>
      <c r="E275" s="19" t="n">
        <v>4986.189</v>
      </c>
      <c r="F275" s="19" t="n">
        <v>116.210526315789</v>
      </c>
      <c r="G275" s="19" t="n">
        <v>3822.25136842105</v>
      </c>
    </row>
    <row r="276" customFormat="false" ht="15" hidden="false" customHeight="false" outlineLevel="0" collapsed="false">
      <c r="A276" s="8" t="s">
        <v>1153</v>
      </c>
      <c r="B276" s="8" t="n">
        <v>4413103</v>
      </c>
      <c r="C276" s="8" t="s">
        <v>1419</v>
      </c>
      <c r="D276" s="19" t="n">
        <v>143</v>
      </c>
      <c r="E276" s="19" t="n">
        <v>4653.172</v>
      </c>
      <c r="F276" s="19" t="n">
        <v>97.2631578947368</v>
      </c>
      <c r="G276" s="19" t="n">
        <v>3196.79368421053</v>
      </c>
    </row>
    <row r="277" customFormat="false" ht="15" hidden="false" customHeight="false" outlineLevel="0" collapsed="false">
      <c r="A277" s="8" t="s">
        <v>1153</v>
      </c>
      <c r="B277" s="8" t="n">
        <v>4413104</v>
      </c>
      <c r="C277" s="8" t="s">
        <v>1420</v>
      </c>
      <c r="D277" s="19" t="n">
        <v>126</v>
      </c>
      <c r="E277" s="19" t="n">
        <v>4146.422</v>
      </c>
      <c r="F277" s="19" t="n">
        <v>89.6842105263158</v>
      </c>
      <c r="G277" s="19" t="n">
        <v>2992.71031578947</v>
      </c>
    </row>
    <row r="278" customFormat="false" ht="15" hidden="false" customHeight="false" outlineLevel="0" collapsed="false">
      <c r="A278" s="8" t="s">
        <v>1153</v>
      </c>
      <c r="B278" s="8" t="n">
        <v>4413105</v>
      </c>
      <c r="C278" s="8" t="s">
        <v>1421</v>
      </c>
      <c r="D278" s="19" t="n">
        <v>50</v>
      </c>
      <c r="E278" s="19" t="n">
        <v>1669.311</v>
      </c>
      <c r="F278" s="19" t="n">
        <v>39.1578947368421</v>
      </c>
      <c r="G278" s="19" t="n">
        <v>1300.16968421053</v>
      </c>
    </row>
    <row r="279" customFormat="false" ht="15" hidden="false" customHeight="false" outlineLevel="0" collapsed="false">
      <c r="A279" s="8" t="s">
        <v>1153</v>
      </c>
      <c r="B279" s="8" t="n">
        <v>4413106</v>
      </c>
      <c r="C279" s="8" t="s">
        <v>1422</v>
      </c>
      <c r="D279" s="19" t="n">
        <v>3</v>
      </c>
      <c r="E279" s="19" t="n">
        <v>154.7</v>
      </c>
      <c r="F279" s="19" t="n">
        <v>1.26315789473684</v>
      </c>
      <c r="G279" s="19" t="n">
        <v>65.1751578947368</v>
      </c>
    </row>
    <row r="280" customFormat="false" ht="15" hidden="false" customHeight="false" outlineLevel="0" collapsed="false">
      <c r="A280" s="8" t="s">
        <v>1153</v>
      </c>
      <c r="B280" s="8" t="n">
        <v>4413107</v>
      </c>
      <c r="C280" s="8" t="s">
        <v>1423</v>
      </c>
      <c r="D280" s="19" t="n">
        <v>17</v>
      </c>
      <c r="E280" s="19" t="n">
        <v>866.284</v>
      </c>
      <c r="F280" s="19" t="n">
        <v>5.05263157894737</v>
      </c>
      <c r="G280" s="19" t="n">
        <v>266.993684210526</v>
      </c>
    </row>
    <row r="281" customFormat="false" ht="15" hidden="false" customHeight="false" outlineLevel="0" collapsed="false">
      <c r="A281" s="8" t="s">
        <v>1153</v>
      </c>
      <c r="B281" s="8" t="n">
        <v>4413108</v>
      </c>
      <c r="C281" s="8" t="s">
        <v>1424</v>
      </c>
      <c r="D281" s="19" t="n">
        <v>14</v>
      </c>
      <c r="E281" s="19" t="n">
        <v>713.326</v>
      </c>
      <c r="F281" s="19" t="n">
        <v>2.52631578947368</v>
      </c>
      <c r="G281" s="19" t="n">
        <v>130.235368421053</v>
      </c>
    </row>
    <row r="282" customFormat="false" ht="15" hidden="false" customHeight="false" outlineLevel="0" collapsed="false">
      <c r="A282" s="8" t="s">
        <v>1153</v>
      </c>
      <c r="B282" s="8" t="n">
        <v>4413109</v>
      </c>
      <c r="C282" s="8" t="s">
        <v>1425</v>
      </c>
      <c r="D282" s="19" t="n">
        <v>3</v>
      </c>
      <c r="E282" s="19" t="n">
        <v>147.875</v>
      </c>
      <c r="F282" s="19" t="n">
        <v>1.26315789473684</v>
      </c>
      <c r="G282" s="19" t="n">
        <v>65.1751578947368</v>
      </c>
    </row>
    <row r="283" customFormat="false" ht="15" hidden="false" customHeight="false" outlineLevel="0" collapsed="false">
      <c r="A283" s="8" t="s">
        <v>1153</v>
      </c>
      <c r="B283" s="8" t="n">
        <v>4413110</v>
      </c>
      <c r="C283" s="8" t="s">
        <v>1426</v>
      </c>
      <c r="D283" s="19" t="n">
        <v>2</v>
      </c>
      <c r="E283" s="19" t="n">
        <v>96.278</v>
      </c>
      <c r="F283" s="19" t="n">
        <v>0</v>
      </c>
      <c r="G283" s="19" t="n">
        <v>0</v>
      </c>
    </row>
    <row r="284" customFormat="false" ht="15" hidden="false" customHeight="false" outlineLevel="0" collapsed="false">
      <c r="A284" s="8" t="s">
        <v>1153</v>
      </c>
      <c r="B284" s="8" t="n">
        <v>4413111</v>
      </c>
      <c r="C284" s="8" t="s">
        <v>1427</v>
      </c>
      <c r="D284" s="19" t="n">
        <v>22</v>
      </c>
      <c r="E284" s="19" t="n">
        <v>681.954</v>
      </c>
      <c r="F284" s="19" t="n">
        <v>7.57894736842105</v>
      </c>
      <c r="G284" s="19" t="n">
        <v>223.687578947368</v>
      </c>
    </row>
    <row r="285" customFormat="false" ht="15" hidden="false" customHeight="false" outlineLevel="0" collapsed="false">
      <c r="A285" s="8" t="s">
        <v>1153</v>
      </c>
      <c r="B285" s="8" t="n">
        <v>4413112</v>
      </c>
      <c r="C285" s="8" t="s">
        <v>1428</v>
      </c>
      <c r="D285" s="19" t="n">
        <v>35</v>
      </c>
      <c r="E285" s="19" t="n">
        <v>1027.663</v>
      </c>
      <c r="F285" s="19" t="n">
        <v>32.8421052631579</v>
      </c>
      <c r="G285" s="19" t="n">
        <v>1050.31578947368</v>
      </c>
    </row>
    <row r="286" customFormat="false" ht="15" hidden="false" customHeight="false" outlineLevel="0" collapsed="false">
      <c r="A286" s="8" t="s">
        <v>1153</v>
      </c>
      <c r="B286" s="8" t="n">
        <v>4413113</v>
      </c>
      <c r="C286" s="8" t="s">
        <v>1429</v>
      </c>
      <c r="D286" s="19" t="n">
        <v>25</v>
      </c>
      <c r="E286" s="19" t="n">
        <v>751.933</v>
      </c>
      <c r="F286" s="19" t="n">
        <v>8.84210526315789</v>
      </c>
      <c r="G286" s="19" t="n">
        <v>278.862315789474</v>
      </c>
    </row>
    <row r="287" customFormat="false" ht="15" hidden="false" customHeight="false" outlineLevel="0" collapsed="false">
      <c r="A287" s="8" t="s">
        <v>1153</v>
      </c>
      <c r="B287" s="8" t="n">
        <v>4413114</v>
      </c>
      <c r="C287" s="8" t="s">
        <v>1430</v>
      </c>
      <c r="D287" s="19" t="n">
        <v>36</v>
      </c>
      <c r="E287" s="19" t="n">
        <v>1087.723</v>
      </c>
      <c r="F287" s="19" t="n">
        <v>15.1578947368421</v>
      </c>
      <c r="G287" s="19" t="n">
        <v>479.215578947368</v>
      </c>
    </row>
    <row r="288" customFormat="false" ht="15" hidden="false" customHeight="false" outlineLevel="0" collapsed="false">
      <c r="A288" s="8" t="s">
        <v>1153</v>
      </c>
      <c r="B288" s="8" t="n">
        <v>4413115</v>
      </c>
      <c r="C288" s="8" t="s">
        <v>1431</v>
      </c>
      <c r="D288" s="19" t="n">
        <v>4</v>
      </c>
      <c r="E288" s="19" t="n">
        <v>125.853</v>
      </c>
      <c r="F288" s="19" t="n">
        <v>6.31578947368421</v>
      </c>
      <c r="G288" s="19" t="n">
        <v>201.732631578947</v>
      </c>
    </row>
    <row r="289" customFormat="false" ht="15" hidden="false" customHeight="false" outlineLevel="0" collapsed="false">
      <c r="A289" s="8" t="s">
        <v>1153</v>
      </c>
      <c r="B289" s="8" t="n">
        <v>4413116</v>
      </c>
      <c r="C289" s="8" t="s">
        <v>1432</v>
      </c>
      <c r="D289" s="19" t="n">
        <v>0</v>
      </c>
      <c r="E289" s="19" t="n">
        <v>0</v>
      </c>
      <c r="F289" s="19" t="n">
        <v>-1.26315789473684</v>
      </c>
      <c r="G289" s="19" t="n">
        <v>-102.073263157895</v>
      </c>
    </row>
    <row r="290" customFormat="false" ht="15" hidden="false" customHeight="false" outlineLevel="0" collapsed="false">
      <c r="A290" s="8" t="s">
        <v>1153</v>
      </c>
      <c r="B290" s="8" t="n">
        <v>4413117</v>
      </c>
      <c r="C290" s="8" t="s">
        <v>1433</v>
      </c>
      <c r="D290" s="19" t="n">
        <v>16</v>
      </c>
      <c r="E290" s="19" t="n">
        <v>1499.455</v>
      </c>
      <c r="F290" s="19" t="n">
        <v>22.7368421052632</v>
      </c>
      <c r="G290" s="19" t="n">
        <v>2474.08547368421</v>
      </c>
    </row>
    <row r="291" customFormat="false" ht="15" hidden="false" customHeight="false" outlineLevel="0" collapsed="false">
      <c r="A291" s="8" t="s">
        <v>1153</v>
      </c>
      <c r="B291" s="8" t="n">
        <v>4413118</v>
      </c>
      <c r="C291" s="8" t="s">
        <v>1434</v>
      </c>
      <c r="D291" s="19" t="n">
        <v>10</v>
      </c>
      <c r="E291" s="19" t="n">
        <v>950.732</v>
      </c>
      <c r="F291" s="19" t="n">
        <v>8.84210526315789</v>
      </c>
      <c r="G291" s="19" t="n">
        <v>969.145263157895</v>
      </c>
    </row>
    <row r="292" customFormat="false" ht="15" hidden="false" customHeight="false" outlineLevel="0" collapsed="false">
      <c r="A292" s="8" t="s">
        <v>1153</v>
      </c>
      <c r="B292" s="8" t="n">
        <v>4413119</v>
      </c>
      <c r="C292" s="8" t="s">
        <v>1435</v>
      </c>
      <c r="D292" s="19" t="n">
        <v>12</v>
      </c>
      <c r="E292" s="19" t="n">
        <v>1132.894</v>
      </c>
      <c r="F292" s="19" t="n">
        <v>17.6842105263158</v>
      </c>
      <c r="G292" s="19" t="n">
        <v>1950.93473684211</v>
      </c>
    </row>
    <row r="293" customFormat="false" ht="15" hidden="false" customHeight="false" outlineLevel="0" collapsed="false">
      <c r="A293" s="8" t="s">
        <v>1153</v>
      </c>
      <c r="B293" s="8" t="n">
        <v>4413120</v>
      </c>
      <c r="C293" s="8" t="s">
        <v>1436</v>
      </c>
      <c r="D293" s="19" t="n">
        <v>5</v>
      </c>
      <c r="E293" s="19" t="n">
        <v>444.626</v>
      </c>
      <c r="F293" s="19" t="n">
        <v>0</v>
      </c>
      <c r="G293" s="19" t="n">
        <v>0</v>
      </c>
    </row>
    <row r="294" customFormat="false" ht="15" hidden="false" customHeight="false" outlineLevel="0" collapsed="false">
      <c r="A294" s="8" t="s">
        <v>1153</v>
      </c>
      <c r="B294" s="8" t="n">
        <v>4413122</v>
      </c>
      <c r="C294" s="8" t="s">
        <v>1437</v>
      </c>
      <c r="D294" s="19" t="n">
        <v>4</v>
      </c>
      <c r="E294" s="19" t="n">
        <v>304.267</v>
      </c>
      <c r="F294" s="19" t="n">
        <v>8.84210526315789</v>
      </c>
      <c r="G294" s="19" t="n">
        <v>703.878315789474</v>
      </c>
    </row>
    <row r="295" customFormat="false" ht="15" hidden="false" customHeight="false" outlineLevel="0" collapsed="false">
      <c r="A295" s="8" t="s">
        <v>1153</v>
      </c>
      <c r="B295" s="8" t="n">
        <v>4413123</v>
      </c>
      <c r="C295" s="8" t="s">
        <v>1438</v>
      </c>
      <c r="D295" s="19" t="n">
        <v>2</v>
      </c>
      <c r="E295" s="19" t="n">
        <v>146.146</v>
      </c>
      <c r="F295" s="19" t="n">
        <v>-1.26315789473684</v>
      </c>
      <c r="G295" s="19" t="n">
        <v>-92.3027368421053</v>
      </c>
    </row>
    <row r="296" customFormat="false" ht="15" hidden="false" customHeight="false" outlineLevel="0" collapsed="false">
      <c r="A296" s="8" t="s">
        <v>1153</v>
      </c>
      <c r="B296" s="8" t="n">
        <v>4413124</v>
      </c>
      <c r="C296" s="8" t="s">
        <v>1439</v>
      </c>
      <c r="D296" s="19" t="n">
        <v>1</v>
      </c>
      <c r="E296" s="19" t="n">
        <v>84.32</v>
      </c>
      <c r="F296" s="19" t="n">
        <v>2.52631578947368</v>
      </c>
      <c r="G296" s="19" t="n">
        <v>203.410105263158</v>
      </c>
    </row>
    <row r="297" customFormat="false" ht="15" hidden="false" customHeight="false" outlineLevel="0" collapsed="false">
      <c r="A297" s="8" t="s">
        <v>1153</v>
      </c>
      <c r="B297" s="8" t="n">
        <v>4413126</v>
      </c>
      <c r="C297" s="8" t="s">
        <v>1440</v>
      </c>
      <c r="D297" s="19" t="n">
        <v>4</v>
      </c>
      <c r="E297" s="19" t="n">
        <v>638.638</v>
      </c>
      <c r="F297" s="19" t="n">
        <v>6.31578947368421</v>
      </c>
      <c r="G297" s="19" t="n">
        <v>942.683368421053</v>
      </c>
    </row>
    <row r="298" customFormat="false" ht="15" hidden="false" customHeight="false" outlineLevel="0" collapsed="false">
      <c r="A298" s="8" t="s">
        <v>1153</v>
      </c>
      <c r="B298" s="8" t="n">
        <v>4413127</v>
      </c>
      <c r="C298" s="8" t="s">
        <v>1441</v>
      </c>
      <c r="D298" s="19" t="n">
        <v>19</v>
      </c>
      <c r="E298" s="19" t="n">
        <v>2730.455</v>
      </c>
      <c r="F298" s="19" t="n">
        <v>21.4736842105263</v>
      </c>
      <c r="G298" s="19" t="n">
        <v>3135.56968421053</v>
      </c>
    </row>
    <row r="299" customFormat="false" ht="15" hidden="false" customHeight="false" outlineLevel="0" collapsed="false">
      <c r="A299" s="8" t="s">
        <v>1153</v>
      </c>
      <c r="B299" s="8" t="n">
        <v>4413128</v>
      </c>
      <c r="C299" s="8" t="s">
        <v>1442</v>
      </c>
      <c r="D299" s="19" t="n">
        <v>21</v>
      </c>
      <c r="E299" s="19" t="n">
        <v>3043.859</v>
      </c>
      <c r="F299" s="19" t="n">
        <v>8.84210526315789</v>
      </c>
      <c r="G299" s="19" t="n">
        <v>1219.01684210526</v>
      </c>
    </row>
    <row r="300" customFormat="false" ht="15" hidden="false" customHeight="false" outlineLevel="0" collapsed="false">
      <c r="A300" s="8" t="s">
        <v>1153</v>
      </c>
      <c r="B300" s="8" t="n">
        <v>4413129</v>
      </c>
      <c r="C300" s="8" t="s">
        <v>1443</v>
      </c>
      <c r="D300" s="19" t="n">
        <v>15</v>
      </c>
      <c r="E300" s="19" t="n">
        <v>2243.878</v>
      </c>
      <c r="F300" s="19" t="n">
        <v>2.52631578947368</v>
      </c>
      <c r="G300" s="19" t="n">
        <v>368.751157894737</v>
      </c>
    </row>
    <row r="301" customFormat="false" ht="15" hidden="false" customHeight="false" outlineLevel="0" collapsed="false">
      <c r="A301" s="8" t="s">
        <v>1153</v>
      </c>
      <c r="B301" s="8" t="n">
        <v>4413130</v>
      </c>
      <c r="C301" s="8" t="s">
        <v>1444</v>
      </c>
      <c r="D301" s="19" t="n">
        <v>10</v>
      </c>
      <c r="E301" s="19" t="n">
        <v>1407.525</v>
      </c>
      <c r="F301" s="19" t="n">
        <v>2.52631578947368</v>
      </c>
      <c r="G301" s="19" t="n">
        <v>427.374315789474</v>
      </c>
    </row>
    <row r="302" customFormat="false" ht="15" hidden="false" customHeight="false" outlineLevel="0" collapsed="false">
      <c r="A302" s="8" t="s">
        <v>1153</v>
      </c>
      <c r="B302" s="8" t="n">
        <v>4413131</v>
      </c>
      <c r="C302" s="8" t="s">
        <v>1445</v>
      </c>
      <c r="D302" s="19" t="n">
        <v>9</v>
      </c>
      <c r="E302" s="19" t="n">
        <v>1675.856</v>
      </c>
      <c r="F302" s="19" t="n">
        <v>12.6315789473684</v>
      </c>
      <c r="G302" s="19" t="n">
        <v>2415.54568421053</v>
      </c>
    </row>
    <row r="303" customFormat="false" ht="15" hidden="false" customHeight="false" outlineLevel="0" collapsed="false">
      <c r="A303" s="8" t="s">
        <v>1153</v>
      </c>
      <c r="B303" s="8" t="n">
        <v>4413132</v>
      </c>
      <c r="C303" s="8" t="s">
        <v>1446</v>
      </c>
      <c r="D303" s="19" t="n">
        <v>28</v>
      </c>
      <c r="E303" s="19" t="n">
        <v>5097.933</v>
      </c>
      <c r="F303" s="19" t="n">
        <v>27.7894736842105</v>
      </c>
      <c r="G303" s="19" t="n">
        <v>5234.54273684211</v>
      </c>
    </row>
    <row r="304" customFormat="false" ht="15" hidden="false" customHeight="false" outlineLevel="0" collapsed="false">
      <c r="A304" s="8" t="s">
        <v>1153</v>
      </c>
      <c r="B304" s="8" t="n">
        <v>4413133</v>
      </c>
      <c r="C304" s="8" t="s">
        <v>1447</v>
      </c>
      <c r="D304" s="19" t="n">
        <v>31</v>
      </c>
      <c r="E304" s="19" t="n">
        <v>5706.916</v>
      </c>
      <c r="F304" s="19" t="n">
        <v>22.7368421052632</v>
      </c>
      <c r="G304" s="19" t="n">
        <v>4242.04547368421</v>
      </c>
    </row>
    <row r="305" customFormat="false" ht="15" hidden="false" customHeight="false" outlineLevel="0" collapsed="false">
      <c r="A305" s="8" t="s">
        <v>1153</v>
      </c>
      <c r="B305" s="8" t="n">
        <v>4413134</v>
      </c>
      <c r="C305" s="8" t="s">
        <v>1448</v>
      </c>
      <c r="D305" s="19" t="n">
        <v>22</v>
      </c>
      <c r="E305" s="19" t="n">
        <v>4027.66</v>
      </c>
      <c r="F305" s="19" t="n">
        <v>18.9473684210526</v>
      </c>
      <c r="G305" s="19" t="n">
        <v>3547.07368421053</v>
      </c>
    </row>
    <row r="306" customFormat="false" ht="15" hidden="false" customHeight="false" outlineLevel="0" collapsed="false">
      <c r="A306" s="8" t="s">
        <v>1153</v>
      </c>
      <c r="B306" s="8" t="n">
        <v>4413135</v>
      </c>
      <c r="C306" s="8" t="s">
        <v>1449</v>
      </c>
      <c r="D306" s="19" t="n">
        <v>220</v>
      </c>
      <c r="E306" s="19" t="n">
        <v>10981.738</v>
      </c>
      <c r="F306" s="19" t="n">
        <v>189.473684210526</v>
      </c>
      <c r="G306" s="19" t="n">
        <v>9577.76715789474</v>
      </c>
    </row>
    <row r="307" customFormat="false" ht="15" hidden="false" customHeight="false" outlineLevel="0" collapsed="false">
      <c r="A307" s="8" t="s">
        <v>1153</v>
      </c>
      <c r="B307" s="8" t="n">
        <v>4413136</v>
      </c>
      <c r="C307" s="8" t="s">
        <v>1450</v>
      </c>
      <c r="D307" s="19" t="n">
        <v>206</v>
      </c>
      <c r="E307" s="19" t="n">
        <v>10272.005</v>
      </c>
      <c r="F307" s="19" t="n">
        <v>145.263157894737</v>
      </c>
      <c r="G307" s="19" t="n">
        <v>7304.66778947368</v>
      </c>
    </row>
    <row r="308" customFormat="false" ht="15" hidden="false" customHeight="false" outlineLevel="0" collapsed="false">
      <c r="A308" s="8" t="s">
        <v>1153</v>
      </c>
      <c r="B308" s="8" t="n">
        <v>4413137</v>
      </c>
      <c r="C308" s="8" t="s">
        <v>1451</v>
      </c>
      <c r="D308" s="19" t="n">
        <v>79</v>
      </c>
      <c r="E308" s="19" t="n">
        <v>3973.648</v>
      </c>
      <c r="F308" s="19" t="n">
        <v>56.8421052631579</v>
      </c>
      <c r="G308" s="19" t="n">
        <v>2802.06947368421</v>
      </c>
    </row>
    <row r="309" customFormat="false" ht="15" hidden="false" customHeight="false" outlineLevel="0" collapsed="false">
      <c r="A309" s="8" t="s">
        <v>1153</v>
      </c>
      <c r="B309" s="8" t="n">
        <v>4413138</v>
      </c>
      <c r="C309" s="8" t="s">
        <v>1452</v>
      </c>
      <c r="D309" s="19" t="n">
        <v>95</v>
      </c>
      <c r="E309" s="19" t="n">
        <v>4716.822</v>
      </c>
      <c r="F309" s="19" t="n">
        <v>94.7368421052632</v>
      </c>
      <c r="G309" s="19" t="n">
        <v>4790.4947368421</v>
      </c>
    </row>
    <row r="310" customFormat="false" ht="15" hidden="false" customHeight="false" outlineLevel="0" collapsed="false">
      <c r="A310" s="8" t="s">
        <v>1153</v>
      </c>
      <c r="B310" s="8" t="n">
        <v>4413139</v>
      </c>
      <c r="C310" s="8" t="s">
        <v>1453</v>
      </c>
      <c r="D310" s="19" t="n">
        <v>112</v>
      </c>
      <c r="E310" s="19" t="n">
        <v>3065.913</v>
      </c>
      <c r="F310" s="19" t="n">
        <v>125.052631578947</v>
      </c>
      <c r="G310" s="19" t="n">
        <v>3422.89136842105</v>
      </c>
    </row>
    <row r="311" customFormat="false" ht="15" hidden="false" customHeight="false" outlineLevel="0" collapsed="false">
      <c r="A311" s="8" t="s">
        <v>1153</v>
      </c>
      <c r="B311" s="8" t="n">
        <v>4413140</v>
      </c>
      <c r="C311" s="8" t="s">
        <v>1454</v>
      </c>
      <c r="D311" s="19" t="n">
        <v>157</v>
      </c>
      <c r="E311" s="19" t="n">
        <v>4232.683</v>
      </c>
      <c r="F311" s="19" t="n">
        <v>141.473684210526</v>
      </c>
      <c r="G311" s="19" t="n">
        <v>3834.44210526316</v>
      </c>
    </row>
    <row r="312" customFormat="false" ht="15" hidden="false" customHeight="false" outlineLevel="0" collapsed="false">
      <c r="A312" s="8" t="s">
        <v>1153</v>
      </c>
      <c r="B312" s="8" t="n">
        <v>4413141</v>
      </c>
      <c r="C312" s="8" t="s">
        <v>1455</v>
      </c>
      <c r="D312" s="19" t="n">
        <v>134</v>
      </c>
      <c r="E312" s="19" t="n">
        <v>3615.066</v>
      </c>
      <c r="F312" s="19" t="n">
        <v>80.8421052631579</v>
      </c>
      <c r="G312" s="19" t="n">
        <v>1956.17431578947</v>
      </c>
    </row>
    <row r="313" customFormat="false" ht="15" hidden="false" customHeight="false" outlineLevel="0" collapsed="false">
      <c r="A313" s="8" t="s">
        <v>1153</v>
      </c>
      <c r="B313" s="8" t="n">
        <v>4413142</v>
      </c>
      <c r="C313" s="8" t="s">
        <v>1456</v>
      </c>
      <c r="D313" s="19" t="n">
        <v>50</v>
      </c>
      <c r="E313" s="19" t="n">
        <v>1341.381</v>
      </c>
      <c r="F313" s="19" t="n">
        <v>40.4210526315789</v>
      </c>
      <c r="G313" s="19" t="n">
        <v>1096.02315789474</v>
      </c>
    </row>
    <row r="314" customFormat="false" ht="15" hidden="false" customHeight="false" outlineLevel="0" collapsed="false">
      <c r="A314" s="8" t="s">
        <v>1153</v>
      </c>
      <c r="B314" s="8" t="n">
        <v>4413143</v>
      </c>
      <c r="C314" s="8" t="s">
        <v>1457</v>
      </c>
      <c r="D314" s="19" t="n">
        <v>25</v>
      </c>
      <c r="E314" s="19" t="n">
        <v>685.685</v>
      </c>
      <c r="F314" s="19" t="n">
        <v>32.8421052631579</v>
      </c>
      <c r="G314" s="19" t="n">
        <v>912.377684210526</v>
      </c>
    </row>
    <row r="315" customFormat="false" ht="15" hidden="false" customHeight="false" outlineLevel="0" collapsed="false">
      <c r="A315" s="8" t="s">
        <v>1153</v>
      </c>
      <c r="B315" s="8" t="n">
        <v>4413144</v>
      </c>
      <c r="C315" s="8" t="s">
        <v>1458</v>
      </c>
      <c r="D315" s="19" t="n">
        <v>2</v>
      </c>
      <c r="E315" s="19" t="n">
        <v>56.238</v>
      </c>
      <c r="F315" s="19" t="n">
        <v>6.31578947368421</v>
      </c>
      <c r="G315" s="19" t="n">
        <v>168.053052631579</v>
      </c>
    </row>
    <row r="316" customFormat="false" ht="15" hidden="false" customHeight="false" outlineLevel="0" collapsed="false">
      <c r="A316" s="8" t="s">
        <v>1153</v>
      </c>
      <c r="B316" s="8" t="n">
        <v>4413149</v>
      </c>
      <c r="C316" s="8" t="s">
        <v>1459</v>
      </c>
      <c r="D316" s="19" t="n">
        <v>395</v>
      </c>
      <c r="E316" s="19" t="n">
        <v>4742.251</v>
      </c>
      <c r="F316" s="19" t="n">
        <v>125.052631578947</v>
      </c>
      <c r="G316" s="19" t="n">
        <v>1556.30273684211</v>
      </c>
    </row>
    <row r="317" customFormat="false" ht="15" hidden="false" customHeight="false" outlineLevel="0" collapsed="false">
      <c r="A317" s="8" t="s">
        <v>1153</v>
      </c>
      <c r="B317" s="8" t="n">
        <v>4413150</v>
      </c>
      <c r="C317" s="8" t="s">
        <v>1460</v>
      </c>
      <c r="D317" s="19" t="n">
        <v>53</v>
      </c>
      <c r="E317" s="19" t="n">
        <v>1377.178</v>
      </c>
      <c r="F317" s="19" t="n">
        <v>98.5263157894737</v>
      </c>
      <c r="G317" s="19" t="n">
        <v>2596.76336842105</v>
      </c>
    </row>
    <row r="318" customFormat="false" ht="15" hidden="false" customHeight="false" outlineLevel="0" collapsed="false">
      <c r="A318" s="8" t="s">
        <v>1153</v>
      </c>
      <c r="B318" s="8" t="n">
        <v>4413153</v>
      </c>
      <c r="C318" s="8" t="s">
        <v>1461</v>
      </c>
      <c r="D318" s="19" t="n">
        <v>6</v>
      </c>
      <c r="E318" s="19" t="n">
        <v>381.017</v>
      </c>
      <c r="F318" s="19" t="n">
        <v>-2.52631578947368</v>
      </c>
      <c r="G318" s="19" t="n">
        <v>-211.848</v>
      </c>
    </row>
    <row r="319" customFormat="false" ht="15" hidden="false" customHeight="false" outlineLevel="0" collapsed="false">
      <c r="A319" s="8" t="s">
        <v>1153</v>
      </c>
      <c r="B319" s="8" t="n">
        <v>4413154</v>
      </c>
      <c r="C319" s="8" t="s">
        <v>1462</v>
      </c>
      <c r="D319" s="19" t="n">
        <v>6</v>
      </c>
      <c r="E319" s="19" t="n">
        <v>493.766</v>
      </c>
      <c r="F319" s="19" t="n">
        <v>3.78947368421053</v>
      </c>
      <c r="G319" s="19" t="n">
        <v>323.117052631579</v>
      </c>
    </row>
    <row r="320" customFormat="false" ht="15" hidden="false" customHeight="false" outlineLevel="0" collapsed="false">
      <c r="A320" s="8" t="s">
        <v>1153</v>
      </c>
      <c r="B320" s="8" t="n">
        <v>4413155</v>
      </c>
      <c r="C320" s="8" t="s">
        <v>1463</v>
      </c>
      <c r="D320" s="19" t="n">
        <v>19</v>
      </c>
      <c r="E320" s="19" t="n">
        <v>1470.742</v>
      </c>
      <c r="F320" s="19" t="n">
        <v>6.31578947368421</v>
      </c>
      <c r="G320" s="19" t="n">
        <v>570.472421052632</v>
      </c>
    </row>
    <row r="321" customFormat="false" ht="15" hidden="false" customHeight="false" outlineLevel="0" collapsed="false">
      <c r="A321" s="8" t="s">
        <v>1153</v>
      </c>
      <c r="B321" s="8" t="n">
        <v>4413156</v>
      </c>
      <c r="C321" s="8" t="s">
        <v>1464</v>
      </c>
      <c r="D321" s="19" t="n">
        <v>44</v>
      </c>
      <c r="E321" s="19" t="n">
        <v>3544.681</v>
      </c>
      <c r="F321" s="19" t="n">
        <v>20.2105263157895</v>
      </c>
      <c r="G321" s="19" t="n">
        <v>1786.28210526316</v>
      </c>
    </row>
    <row r="322" customFormat="false" ht="15" hidden="false" customHeight="false" outlineLevel="0" collapsed="false">
      <c r="A322" s="8" t="s">
        <v>1153</v>
      </c>
      <c r="B322" s="8" t="n">
        <v>4413157</v>
      </c>
      <c r="C322" s="8" t="s">
        <v>1465</v>
      </c>
      <c r="D322" s="19" t="n">
        <v>60</v>
      </c>
      <c r="E322" s="19" t="n">
        <v>4794.678</v>
      </c>
      <c r="F322" s="19" t="n">
        <v>22.7368421052632</v>
      </c>
      <c r="G322" s="19" t="n">
        <v>2034.56842105263</v>
      </c>
    </row>
    <row r="323" customFormat="false" ht="15" hidden="false" customHeight="false" outlineLevel="0" collapsed="false">
      <c r="A323" s="8" t="s">
        <v>1153</v>
      </c>
      <c r="B323" s="8" t="n">
        <v>4413158</v>
      </c>
      <c r="C323" s="8" t="s">
        <v>1466</v>
      </c>
      <c r="D323" s="19" t="n">
        <v>33</v>
      </c>
      <c r="E323" s="19" t="n">
        <v>2583.399</v>
      </c>
      <c r="F323" s="19" t="n">
        <v>26.5263157894737</v>
      </c>
      <c r="G323" s="19" t="n">
        <v>2261.39873684211</v>
      </c>
    </row>
    <row r="324" customFormat="false" ht="15" hidden="false" customHeight="false" outlineLevel="0" collapsed="false">
      <c r="A324" s="8" t="s">
        <v>1153</v>
      </c>
      <c r="B324" s="8" t="n">
        <v>4413159</v>
      </c>
      <c r="C324" s="8" t="s">
        <v>1467</v>
      </c>
      <c r="D324" s="19" t="n">
        <v>29</v>
      </c>
      <c r="E324" s="19" t="n">
        <v>1808.716</v>
      </c>
      <c r="F324" s="19" t="n">
        <v>15.1578947368421</v>
      </c>
      <c r="G324" s="19" t="n">
        <v>915.210947368421</v>
      </c>
    </row>
    <row r="325" customFormat="false" ht="15" hidden="false" customHeight="false" outlineLevel="0" collapsed="false">
      <c r="A325" s="8" t="s">
        <v>1153</v>
      </c>
      <c r="B325" s="8" t="n">
        <v>4413160</v>
      </c>
      <c r="C325" s="8" t="s">
        <v>1468</v>
      </c>
      <c r="D325" s="19" t="n">
        <v>63</v>
      </c>
      <c r="E325" s="19" t="n">
        <v>3773.323</v>
      </c>
      <c r="F325" s="19" t="n">
        <v>35.3684210526316</v>
      </c>
      <c r="G325" s="19" t="n">
        <v>2180.55157894737</v>
      </c>
    </row>
    <row r="326" customFormat="false" ht="15" hidden="false" customHeight="false" outlineLevel="0" collapsed="false">
      <c r="A326" s="8" t="s">
        <v>1153</v>
      </c>
      <c r="B326" s="8" t="n">
        <v>4413161</v>
      </c>
      <c r="C326" s="8" t="s">
        <v>1469</v>
      </c>
      <c r="D326" s="19" t="n">
        <v>74</v>
      </c>
      <c r="E326" s="19" t="n">
        <v>4411.415</v>
      </c>
      <c r="F326" s="19" t="n">
        <v>75.7894736842105</v>
      </c>
      <c r="G326" s="19" t="n">
        <v>4525.14315789474</v>
      </c>
    </row>
    <row r="327" customFormat="false" ht="15" hidden="false" customHeight="false" outlineLevel="0" collapsed="false">
      <c r="A327" s="8" t="s">
        <v>1153</v>
      </c>
      <c r="B327" s="8" t="n">
        <v>4413162</v>
      </c>
      <c r="C327" s="8" t="s">
        <v>1470</v>
      </c>
      <c r="D327" s="19" t="n">
        <v>47</v>
      </c>
      <c r="E327" s="19" t="n">
        <v>2896.811</v>
      </c>
      <c r="F327" s="19" t="n">
        <v>30.3157894736842</v>
      </c>
      <c r="G327" s="19" t="n">
        <v>1841.34189473684</v>
      </c>
    </row>
    <row r="328" customFormat="false" ht="15" hidden="false" customHeight="false" outlineLevel="0" collapsed="false">
      <c r="A328" s="8" t="s">
        <v>1153</v>
      </c>
      <c r="B328" s="8" t="n">
        <v>4413165</v>
      </c>
      <c r="C328" s="8" t="s">
        <v>1471</v>
      </c>
      <c r="D328" s="19" t="n">
        <v>1</v>
      </c>
      <c r="E328" s="19" t="n">
        <v>130</v>
      </c>
      <c r="F328" s="19" t="n">
        <v>1.26315789473684</v>
      </c>
      <c r="G328" s="19" t="n">
        <v>193.686315789474</v>
      </c>
    </row>
    <row r="329" customFormat="false" ht="15" hidden="false" customHeight="false" outlineLevel="0" collapsed="false">
      <c r="A329" s="8" t="s">
        <v>1153</v>
      </c>
      <c r="B329" s="8" t="n">
        <v>4413166</v>
      </c>
      <c r="C329" s="8" t="s">
        <v>1472</v>
      </c>
      <c r="D329" s="19" t="n">
        <v>-1</v>
      </c>
      <c r="E329" s="19" t="n">
        <v>-34.398</v>
      </c>
      <c r="F329" s="19" t="n">
        <v>0</v>
      </c>
      <c r="G329" s="19" t="n">
        <v>0</v>
      </c>
    </row>
    <row r="330" customFormat="false" ht="15" hidden="false" customHeight="false" outlineLevel="0" collapsed="false">
      <c r="A330" s="8" t="s">
        <v>1153</v>
      </c>
      <c r="B330" s="8" t="n">
        <v>4413169</v>
      </c>
      <c r="C330" s="8" t="s">
        <v>1473</v>
      </c>
      <c r="D330" s="19" t="n">
        <v>1</v>
      </c>
      <c r="E330" s="19" t="n">
        <v>86.086</v>
      </c>
      <c r="F330" s="19" t="n">
        <v>0</v>
      </c>
      <c r="G330" s="19" t="n">
        <v>0</v>
      </c>
    </row>
    <row r="331" customFormat="false" ht="15" hidden="false" customHeight="false" outlineLevel="0" collapsed="false">
      <c r="A331" s="8" t="s">
        <v>1153</v>
      </c>
      <c r="B331" s="8" t="n">
        <v>4413170</v>
      </c>
      <c r="C331" s="8" t="s">
        <v>1474</v>
      </c>
      <c r="D331" s="19" t="n">
        <v>1</v>
      </c>
      <c r="E331" s="19" t="n">
        <v>85.995</v>
      </c>
      <c r="F331" s="19" t="n">
        <v>0</v>
      </c>
      <c r="G331" s="19" t="n">
        <v>0</v>
      </c>
    </row>
    <row r="332" customFormat="false" ht="15" hidden="false" customHeight="false" outlineLevel="0" collapsed="false">
      <c r="A332" s="8" t="s">
        <v>1153</v>
      </c>
      <c r="B332" s="8" t="n">
        <v>4413171</v>
      </c>
      <c r="C332" s="8" t="s">
        <v>1475</v>
      </c>
      <c r="D332" s="19" t="n">
        <v>3</v>
      </c>
      <c r="E332" s="19" t="n">
        <v>246.701</v>
      </c>
      <c r="F332" s="19" t="n">
        <v>0</v>
      </c>
      <c r="G332" s="19" t="n">
        <v>0</v>
      </c>
    </row>
    <row r="333" customFormat="false" ht="15" hidden="false" customHeight="false" outlineLevel="0" collapsed="false">
      <c r="A333" s="8" t="s">
        <v>1153</v>
      </c>
      <c r="B333" s="8" t="n">
        <v>4413172</v>
      </c>
      <c r="C333" s="8" t="s">
        <v>1476</v>
      </c>
      <c r="D333" s="19" t="n">
        <v>4</v>
      </c>
      <c r="E333" s="19" t="n">
        <v>332.696</v>
      </c>
      <c r="F333" s="19" t="n">
        <v>0</v>
      </c>
      <c r="G333" s="19" t="n">
        <v>0</v>
      </c>
    </row>
    <row r="334" customFormat="false" ht="15" hidden="false" customHeight="false" outlineLevel="0" collapsed="false">
      <c r="A334" s="8" t="s">
        <v>1153</v>
      </c>
      <c r="B334" s="8" t="n">
        <v>4413173</v>
      </c>
      <c r="C334" s="8" t="s">
        <v>1477</v>
      </c>
      <c r="D334" s="19" t="n">
        <v>1</v>
      </c>
      <c r="E334" s="19" t="n">
        <v>74.62</v>
      </c>
      <c r="F334" s="19" t="n">
        <v>0</v>
      </c>
      <c r="G334" s="19" t="n">
        <v>0</v>
      </c>
    </row>
    <row r="335" customFormat="false" ht="15" hidden="false" customHeight="false" outlineLevel="0" collapsed="false">
      <c r="A335" s="8" t="s">
        <v>1153</v>
      </c>
      <c r="B335" s="8" t="n">
        <v>4413174</v>
      </c>
      <c r="C335" s="8" t="s">
        <v>1478</v>
      </c>
      <c r="D335" s="19" t="n">
        <v>1</v>
      </c>
      <c r="E335" s="19" t="n">
        <v>85.995</v>
      </c>
      <c r="F335" s="19" t="n">
        <v>0</v>
      </c>
      <c r="G335" s="19" t="n">
        <v>0</v>
      </c>
    </row>
    <row r="336" customFormat="false" ht="15" hidden="false" customHeight="false" outlineLevel="0" collapsed="false">
      <c r="A336" s="8" t="s">
        <v>1153</v>
      </c>
      <c r="B336" s="8" t="n">
        <v>4413175</v>
      </c>
      <c r="C336" s="8" t="s">
        <v>1479</v>
      </c>
      <c r="D336" s="19" t="n">
        <v>2</v>
      </c>
      <c r="E336" s="19" t="n">
        <v>172.081</v>
      </c>
      <c r="F336" s="19" t="n">
        <v>1.26315789473684</v>
      </c>
      <c r="G336" s="19" t="n">
        <v>108.740210526316</v>
      </c>
    </row>
    <row r="337" customFormat="false" ht="15" hidden="false" customHeight="false" outlineLevel="0" collapsed="false">
      <c r="A337" s="8" t="s">
        <v>1153</v>
      </c>
      <c r="B337" s="8" t="n">
        <v>4413176</v>
      </c>
      <c r="C337" s="8" t="s">
        <v>1480</v>
      </c>
      <c r="D337" s="19" t="n">
        <v>5</v>
      </c>
      <c r="E337" s="19" t="n">
        <v>398.268</v>
      </c>
      <c r="F337" s="19" t="n">
        <v>1.26315789473684</v>
      </c>
      <c r="G337" s="19" t="n">
        <v>108.740210526316</v>
      </c>
    </row>
    <row r="338" customFormat="false" ht="15" hidden="false" customHeight="false" outlineLevel="0" collapsed="false">
      <c r="A338" s="8" t="s">
        <v>1153</v>
      </c>
      <c r="B338" s="8" t="n">
        <v>4413177</v>
      </c>
      <c r="C338" s="8" t="s">
        <v>1481</v>
      </c>
      <c r="D338" s="19" t="n">
        <v>4</v>
      </c>
      <c r="E338" s="19" t="n">
        <v>296.076</v>
      </c>
      <c r="F338" s="19" t="n">
        <v>2.52631578947368</v>
      </c>
      <c r="G338" s="19" t="n">
        <v>217.595368421053</v>
      </c>
    </row>
    <row r="339" customFormat="false" ht="15" hidden="false" customHeight="false" outlineLevel="0" collapsed="false">
      <c r="A339" s="8" t="s">
        <v>1153</v>
      </c>
      <c r="B339" s="8" t="n">
        <v>4413178</v>
      </c>
      <c r="C339" s="8" t="s">
        <v>1482</v>
      </c>
      <c r="D339" s="19" t="n">
        <v>1</v>
      </c>
      <c r="E339" s="19" t="n">
        <v>84.994</v>
      </c>
      <c r="F339" s="19" t="n">
        <v>0</v>
      </c>
      <c r="G339" s="19" t="n">
        <v>0</v>
      </c>
    </row>
    <row r="340" customFormat="false" ht="15" hidden="false" customHeight="false" outlineLevel="0" collapsed="false">
      <c r="A340" s="8" t="s">
        <v>1153</v>
      </c>
      <c r="B340" s="8" t="n">
        <v>4413179</v>
      </c>
      <c r="C340" s="8" t="s">
        <v>1483</v>
      </c>
      <c r="D340" s="19" t="n">
        <v>4</v>
      </c>
      <c r="E340" s="19" t="n">
        <v>366.093</v>
      </c>
      <c r="F340" s="19" t="n">
        <v>0</v>
      </c>
      <c r="G340" s="19" t="n">
        <v>0</v>
      </c>
    </row>
    <row r="341" customFormat="false" ht="15" hidden="false" customHeight="false" outlineLevel="0" collapsed="false">
      <c r="A341" s="8" t="s">
        <v>1153</v>
      </c>
      <c r="B341" s="8" t="n">
        <v>4413180</v>
      </c>
      <c r="C341" s="8" t="s">
        <v>445</v>
      </c>
      <c r="D341" s="19" t="n">
        <v>2</v>
      </c>
      <c r="E341" s="19" t="n">
        <v>207.91</v>
      </c>
      <c r="F341" s="19" t="n">
        <v>0</v>
      </c>
      <c r="G341" s="19" t="n">
        <v>0</v>
      </c>
    </row>
    <row r="342" customFormat="false" ht="15" hidden="false" customHeight="false" outlineLevel="0" collapsed="false">
      <c r="A342" s="8" t="s">
        <v>1153</v>
      </c>
      <c r="B342" s="8" t="n">
        <v>4413181</v>
      </c>
      <c r="C342" s="8" t="s">
        <v>1484</v>
      </c>
      <c r="D342" s="19" t="n">
        <v>3</v>
      </c>
      <c r="E342" s="19" t="n">
        <v>281.099</v>
      </c>
      <c r="F342" s="19" t="n">
        <v>0</v>
      </c>
      <c r="G342" s="19" t="n">
        <v>0</v>
      </c>
    </row>
    <row r="343" customFormat="false" ht="15" hidden="false" customHeight="false" outlineLevel="0" collapsed="false">
      <c r="A343" s="8" t="s">
        <v>1153</v>
      </c>
      <c r="B343" s="8" t="n">
        <v>4413183</v>
      </c>
      <c r="C343" s="8" t="s">
        <v>1485</v>
      </c>
      <c r="D343" s="19" t="n">
        <v>1</v>
      </c>
      <c r="E343" s="19" t="n">
        <v>94.64</v>
      </c>
      <c r="F343" s="19" t="n">
        <v>2.52631578947368</v>
      </c>
      <c r="G343" s="19" t="n">
        <v>242.309052631579</v>
      </c>
    </row>
    <row r="344" customFormat="false" ht="15" hidden="false" customHeight="false" outlineLevel="0" collapsed="false">
      <c r="A344" s="8" t="s">
        <v>1153</v>
      </c>
      <c r="B344" s="8" t="n">
        <v>4413184</v>
      </c>
      <c r="C344" s="8" t="s">
        <v>1486</v>
      </c>
      <c r="D344" s="19" t="n">
        <v>5</v>
      </c>
      <c r="E344" s="19" t="n">
        <v>485.345</v>
      </c>
      <c r="F344" s="19" t="n">
        <v>1.26315789473684</v>
      </c>
      <c r="G344" s="19" t="n">
        <v>121.154526315789</v>
      </c>
    </row>
    <row r="345" customFormat="false" ht="15" hidden="false" customHeight="false" outlineLevel="0" collapsed="false">
      <c r="A345" s="8" t="s">
        <v>1153</v>
      </c>
      <c r="B345" s="8" t="n">
        <v>4413185</v>
      </c>
      <c r="C345" s="8" t="s">
        <v>1487</v>
      </c>
      <c r="D345" s="19" t="n">
        <v>5</v>
      </c>
      <c r="E345" s="19" t="n">
        <v>478.296</v>
      </c>
      <c r="F345" s="19" t="n">
        <v>2.52631578947368</v>
      </c>
      <c r="G345" s="19" t="n">
        <v>242.309052631579</v>
      </c>
    </row>
    <row r="346" customFormat="false" ht="15" hidden="false" customHeight="false" outlineLevel="0" collapsed="false">
      <c r="A346" s="8" t="s">
        <v>1153</v>
      </c>
      <c r="B346" s="8" t="n">
        <v>4413195</v>
      </c>
      <c r="C346" s="8" t="s">
        <v>1488</v>
      </c>
      <c r="D346" s="19" t="n">
        <v>6</v>
      </c>
      <c r="E346" s="19" t="n">
        <v>998.234</v>
      </c>
      <c r="F346" s="19" t="n">
        <v>6.31578947368421</v>
      </c>
      <c r="G346" s="19" t="n">
        <v>1103.31789473684</v>
      </c>
    </row>
    <row r="347" customFormat="false" ht="15" hidden="false" customHeight="false" outlineLevel="0" collapsed="false">
      <c r="A347" s="8" t="s">
        <v>1153</v>
      </c>
      <c r="B347" s="8" t="n">
        <v>4413196</v>
      </c>
      <c r="C347" s="8" t="s">
        <v>1489</v>
      </c>
      <c r="D347" s="19" t="n">
        <v>26</v>
      </c>
      <c r="E347" s="19" t="n">
        <v>4371.661</v>
      </c>
      <c r="F347" s="19" t="n">
        <v>16.4210526315789</v>
      </c>
      <c r="G347" s="19" t="n">
        <v>2901.51789473684</v>
      </c>
    </row>
    <row r="348" customFormat="false" ht="15" hidden="false" customHeight="false" outlineLevel="0" collapsed="false">
      <c r="A348" s="8" t="s">
        <v>1153</v>
      </c>
      <c r="B348" s="8" t="n">
        <v>4413197</v>
      </c>
      <c r="C348" s="8" t="s">
        <v>1490</v>
      </c>
      <c r="D348" s="19" t="n">
        <v>44</v>
      </c>
      <c r="E348" s="19" t="n">
        <v>7528.857</v>
      </c>
      <c r="F348" s="19" t="n">
        <v>48</v>
      </c>
      <c r="G348" s="19" t="n">
        <v>8168.51873684211</v>
      </c>
    </row>
    <row r="349" customFormat="false" ht="15" hidden="false" customHeight="false" outlineLevel="0" collapsed="false">
      <c r="A349" s="8" t="s">
        <v>1153</v>
      </c>
      <c r="B349" s="8" t="n">
        <v>4413198</v>
      </c>
      <c r="C349" s="8" t="s">
        <v>1491</v>
      </c>
      <c r="D349" s="19" t="n">
        <v>34</v>
      </c>
      <c r="E349" s="19" t="n">
        <v>5519.571</v>
      </c>
      <c r="F349" s="19" t="n">
        <v>31.5789473684211</v>
      </c>
      <c r="G349" s="19" t="n">
        <v>5389.02568421053</v>
      </c>
    </row>
    <row r="350" customFormat="false" ht="15" hidden="false" customHeight="false" outlineLevel="0" collapsed="false">
      <c r="A350" s="8" t="s">
        <v>1153</v>
      </c>
      <c r="B350" s="8" t="n">
        <v>4413204</v>
      </c>
      <c r="C350" s="8" t="s">
        <v>1492</v>
      </c>
      <c r="D350" s="19" t="n">
        <v>13</v>
      </c>
      <c r="E350" s="19" t="n">
        <v>1965.28</v>
      </c>
      <c r="F350" s="19" t="n">
        <v>18.9473684210526</v>
      </c>
      <c r="G350" s="19" t="n">
        <v>3113.76631578947</v>
      </c>
    </row>
    <row r="351" customFormat="false" ht="15" hidden="false" customHeight="false" outlineLevel="0" collapsed="false">
      <c r="A351" s="8" t="s">
        <v>1153</v>
      </c>
      <c r="B351" s="8" t="n">
        <v>4413210</v>
      </c>
      <c r="C351" s="8" t="s">
        <v>1493</v>
      </c>
      <c r="D351" s="19" t="n">
        <v>0</v>
      </c>
      <c r="E351" s="19" t="n">
        <v>0</v>
      </c>
      <c r="F351" s="19" t="n">
        <v>1.26315789473684</v>
      </c>
      <c r="G351" s="19" t="n">
        <v>108.625263157895</v>
      </c>
    </row>
    <row r="352" customFormat="false" ht="15" hidden="false" customHeight="false" outlineLevel="0" collapsed="false">
      <c r="A352" s="8" t="s">
        <v>1153</v>
      </c>
      <c r="B352" s="8" t="n">
        <v>4413224</v>
      </c>
      <c r="C352" s="8" t="s">
        <v>1494</v>
      </c>
      <c r="D352" s="19" t="n">
        <v>2</v>
      </c>
      <c r="E352" s="19" t="n">
        <v>215.761</v>
      </c>
      <c r="F352" s="19" t="n">
        <v>2.52631578947368</v>
      </c>
      <c r="G352" s="19" t="n">
        <v>285.544421052632</v>
      </c>
    </row>
    <row r="353" customFormat="false" ht="15" hidden="false" customHeight="false" outlineLevel="0" collapsed="false">
      <c r="A353" s="8" t="s">
        <v>1153</v>
      </c>
      <c r="B353" s="8" t="n">
        <v>4413225</v>
      </c>
      <c r="C353" s="8" t="s">
        <v>1495</v>
      </c>
      <c r="D353" s="19" t="n">
        <v>1</v>
      </c>
      <c r="E353" s="19" t="n">
        <v>107.926</v>
      </c>
      <c r="F353" s="19" t="n">
        <v>0</v>
      </c>
      <c r="G353" s="19" t="n">
        <v>0</v>
      </c>
    </row>
    <row r="354" customFormat="false" ht="15" hidden="false" customHeight="false" outlineLevel="0" collapsed="false">
      <c r="A354" s="8" t="s">
        <v>1153</v>
      </c>
      <c r="B354" s="8" t="n">
        <v>4413226</v>
      </c>
      <c r="C354" s="8" t="s">
        <v>1496</v>
      </c>
      <c r="D354" s="19" t="n">
        <v>2</v>
      </c>
      <c r="E354" s="19" t="n">
        <v>215.761</v>
      </c>
      <c r="F354" s="19" t="n">
        <v>0</v>
      </c>
      <c r="G354" s="19" t="n">
        <v>0</v>
      </c>
    </row>
    <row r="355" customFormat="false" ht="15" hidden="false" customHeight="false" outlineLevel="0" collapsed="false">
      <c r="A355" s="8" t="s">
        <v>1153</v>
      </c>
      <c r="B355" s="8" t="n">
        <v>4413260</v>
      </c>
      <c r="C355" s="8" t="s">
        <v>1497</v>
      </c>
      <c r="D355" s="19" t="n">
        <v>0</v>
      </c>
      <c r="E355" s="19" t="n">
        <v>0</v>
      </c>
      <c r="F355" s="19" t="n">
        <v>3.78947368421053</v>
      </c>
      <c r="G355" s="19" t="n">
        <v>434.761263157895</v>
      </c>
    </row>
    <row r="356" customFormat="false" ht="15" hidden="false" customHeight="false" outlineLevel="0" collapsed="false">
      <c r="A356" s="8" t="s">
        <v>1153</v>
      </c>
      <c r="B356" s="8" t="n">
        <v>4413262</v>
      </c>
      <c r="C356" s="8" t="s">
        <v>1498</v>
      </c>
      <c r="D356" s="19" t="n">
        <v>2</v>
      </c>
      <c r="E356" s="19" t="n">
        <v>372.554</v>
      </c>
      <c r="F356" s="19" t="n">
        <v>0</v>
      </c>
      <c r="G356" s="19" t="n">
        <v>0</v>
      </c>
    </row>
    <row r="357" customFormat="false" ht="15" hidden="false" customHeight="false" outlineLevel="0" collapsed="false">
      <c r="A357" s="8" t="s">
        <v>1153</v>
      </c>
      <c r="B357" s="8" t="n">
        <v>4413276</v>
      </c>
      <c r="C357" s="8" t="s">
        <v>1499</v>
      </c>
      <c r="D357" s="19" t="n">
        <v>2</v>
      </c>
      <c r="E357" s="19" t="n">
        <v>43.134</v>
      </c>
      <c r="F357" s="19" t="n">
        <v>5.05263157894737</v>
      </c>
      <c r="G357" s="19" t="n">
        <v>210.238736842105</v>
      </c>
    </row>
    <row r="358" customFormat="false" ht="15" hidden="false" customHeight="false" outlineLevel="0" collapsed="false">
      <c r="A358" s="8" t="s">
        <v>1153</v>
      </c>
      <c r="B358" s="8" t="n">
        <v>4413277</v>
      </c>
      <c r="C358" s="8" t="s">
        <v>1500</v>
      </c>
      <c r="D358" s="19" t="n">
        <v>4</v>
      </c>
      <c r="E358" s="19" t="n">
        <v>169.26</v>
      </c>
      <c r="F358" s="19" t="n">
        <v>2.52631578947368</v>
      </c>
      <c r="G358" s="19" t="n">
        <v>87.0151578947368</v>
      </c>
    </row>
    <row r="359" customFormat="false" ht="15" hidden="false" customHeight="false" outlineLevel="0" collapsed="false">
      <c r="A359" s="8" t="s">
        <v>1153</v>
      </c>
      <c r="B359" s="8" t="n">
        <v>4413278</v>
      </c>
      <c r="C359" s="8" t="s">
        <v>1501</v>
      </c>
      <c r="D359" s="19" t="n">
        <v>5</v>
      </c>
      <c r="E359" s="19" t="n">
        <v>197.925</v>
      </c>
      <c r="F359" s="19" t="n">
        <v>1.26315789473684</v>
      </c>
      <c r="G359" s="19" t="n">
        <v>40.0016842105263</v>
      </c>
    </row>
    <row r="360" customFormat="false" ht="15" hidden="false" customHeight="false" outlineLevel="0" collapsed="false">
      <c r="A360" s="8" t="s">
        <v>1153</v>
      </c>
      <c r="B360" s="8" t="n">
        <v>4413282</v>
      </c>
      <c r="C360" s="8" t="s">
        <v>1502</v>
      </c>
      <c r="D360" s="19" t="n">
        <v>0</v>
      </c>
      <c r="E360" s="19" t="n">
        <v>-12.285</v>
      </c>
      <c r="F360" s="19" t="n">
        <v>0</v>
      </c>
      <c r="G360" s="19" t="n">
        <v>0</v>
      </c>
    </row>
    <row r="361" customFormat="false" ht="15" hidden="false" customHeight="false" outlineLevel="0" collapsed="false">
      <c r="A361" s="8" t="s">
        <v>1153</v>
      </c>
      <c r="B361" s="8" t="n">
        <v>4413283</v>
      </c>
      <c r="C361" s="8" t="s">
        <v>1503</v>
      </c>
      <c r="D361" s="19" t="n">
        <v>1</v>
      </c>
      <c r="E361" s="19" t="n">
        <v>172.718</v>
      </c>
      <c r="F361" s="19" t="n">
        <v>0</v>
      </c>
      <c r="G361" s="19" t="n">
        <v>0</v>
      </c>
    </row>
    <row r="362" customFormat="false" ht="15" hidden="false" customHeight="false" outlineLevel="0" collapsed="false">
      <c r="A362" s="8" t="s">
        <v>1153</v>
      </c>
      <c r="B362" s="8" t="n">
        <v>4413284</v>
      </c>
      <c r="C362" s="8" t="s">
        <v>1504</v>
      </c>
      <c r="D362" s="19" t="n">
        <v>1</v>
      </c>
      <c r="E362" s="19" t="n">
        <v>185.094</v>
      </c>
      <c r="F362" s="19" t="n">
        <v>2.52631578947368</v>
      </c>
      <c r="G362" s="19" t="n">
        <v>467.605894736842</v>
      </c>
    </row>
    <row r="363" customFormat="false" ht="15" hidden="false" customHeight="false" outlineLevel="0" collapsed="false">
      <c r="A363" s="8" t="s">
        <v>1153</v>
      </c>
      <c r="B363" s="8" t="n">
        <v>4413286</v>
      </c>
      <c r="C363" s="8" t="s">
        <v>1505</v>
      </c>
      <c r="D363" s="19" t="n">
        <v>1</v>
      </c>
      <c r="E363" s="19" t="n">
        <v>103.96</v>
      </c>
      <c r="F363" s="19" t="n">
        <v>3.78947368421053</v>
      </c>
      <c r="G363" s="19" t="n">
        <v>358.635789473684</v>
      </c>
    </row>
    <row r="364" customFormat="false" ht="15" hidden="false" customHeight="false" outlineLevel="0" collapsed="false">
      <c r="A364" s="8" t="s">
        <v>1153</v>
      </c>
      <c r="B364" s="8" t="n">
        <v>4413303</v>
      </c>
      <c r="C364" s="8" t="s">
        <v>1506</v>
      </c>
      <c r="D364" s="19" t="n">
        <v>5</v>
      </c>
      <c r="E364" s="19" t="n">
        <v>315.406</v>
      </c>
      <c r="F364" s="19" t="n">
        <v>0</v>
      </c>
      <c r="G364" s="19" t="n">
        <v>0</v>
      </c>
    </row>
    <row r="365" customFormat="false" ht="15" hidden="false" customHeight="false" outlineLevel="0" collapsed="false">
      <c r="A365" s="8" t="s">
        <v>1153</v>
      </c>
      <c r="B365" s="8" t="n">
        <v>4413307</v>
      </c>
      <c r="C365" s="8" t="s">
        <v>1507</v>
      </c>
      <c r="D365" s="19" t="n">
        <v>157</v>
      </c>
      <c r="E365" s="19" t="n">
        <v>4466.764</v>
      </c>
      <c r="F365" s="19" t="n">
        <v>107.368421052632</v>
      </c>
      <c r="G365" s="19" t="n">
        <v>3065.45431578947</v>
      </c>
    </row>
    <row r="366" customFormat="false" ht="15" hidden="false" customHeight="false" outlineLevel="0" collapsed="false">
      <c r="A366" s="8" t="s">
        <v>1153</v>
      </c>
      <c r="B366" s="8" t="n">
        <v>4413324</v>
      </c>
      <c r="C366" s="8" t="s">
        <v>1508</v>
      </c>
      <c r="D366" s="19" t="n">
        <v>8</v>
      </c>
      <c r="E366" s="19" t="n">
        <v>219.219</v>
      </c>
      <c r="F366" s="19" t="n">
        <v>0</v>
      </c>
      <c r="G366" s="19" t="n">
        <v>0</v>
      </c>
    </row>
    <row r="367" customFormat="false" ht="15" hidden="false" customHeight="false" outlineLevel="0" collapsed="false">
      <c r="A367" s="8" t="s">
        <v>1153</v>
      </c>
      <c r="B367" s="8" t="n">
        <v>4413326</v>
      </c>
      <c r="C367" s="8" t="s">
        <v>1509</v>
      </c>
      <c r="D367" s="19" t="n">
        <v>381</v>
      </c>
      <c r="E367" s="19" t="n">
        <v>10985.397</v>
      </c>
      <c r="F367" s="19" t="n">
        <v>433.263157894737</v>
      </c>
      <c r="G367" s="19" t="n">
        <v>13136.4884210526</v>
      </c>
    </row>
    <row r="368" customFormat="false" ht="15" hidden="false" customHeight="false" outlineLevel="0" collapsed="false">
      <c r="A368" s="8" t="s">
        <v>1153</v>
      </c>
      <c r="B368" s="8" t="n">
        <v>4413328</v>
      </c>
      <c r="C368" s="8" t="s">
        <v>1510</v>
      </c>
      <c r="D368" s="19" t="n">
        <v>118</v>
      </c>
      <c r="E368" s="19" t="n">
        <v>10237.871</v>
      </c>
      <c r="F368" s="19" t="n">
        <v>102.315789473684</v>
      </c>
      <c r="G368" s="19" t="n">
        <v>9113.856</v>
      </c>
    </row>
    <row r="369" customFormat="false" ht="15" hidden="false" customHeight="false" outlineLevel="0" collapsed="false">
      <c r="A369" s="8" t="s">
        <v>1153</v>
      </c>
      <c r="B369" s="8" t="n">
        <v>4413329</v>
      </c>
      <c r="C369" s="8" t="s">
        <v>1511</v>
      </c>
      <c r="D369" s="19" t="n">
        <v>560</v>
      </c>
      <c r="E369" s="19" t="n">
        <v>34028.83</v>
      </c>
      <c r="F369" s="19" t="n">
        <v>630.315789473684</v>
      </c>
      <c r="G369" s="19" t="n">
        <v>38814.9536842105</v>
      </c>
    </row>
    <row r="370" customFormat="false" ht="15" hidden="false" customHeight="false" outlineLevel="0" collapsed="false">
      <c r="A370" s="8" t="s">
        <v>1153</v>
      </c>
      <c r="B370" s="8" t="n">
        <v>4413330</v>
      </c>
      <c r="C370" s="8" t="s">
        <v>1512</v>
      </c>
      <c r="D370" s="19" t="n">
        <v>22</v>
      </c>
      <c r="E370" s="19" t="n">
        <v>1155.094</v>
      </c>
      <c r="F370" s="19" t="n">
        <v>32.8421052631579</v>
      </c>
      <c r="G370" s="19" t="n">
        <v>1847.24589473684</v>
      </c>
    </row>
    <row r="371" customFormat="false" ht="15" hidden="false" customHeight="false" outlineLevel="0" collapsed="false">
      <c r="A371" s="8" t="s">
        <v>1153</v>
      </c>
      <c r="B371" s="8" t="n">
        <v>4413331</v>
      </c>
      <c r="C371" s="8" t="s">
        <v>1513</v>
      </c>
      <c r="D371" s="19" t="n">
        <v>246</v>
      </c>
      <c r="E371" s="19" t="n">
        <v>8222.189</v>
      </c>
      <c r="F371" s="19" t="n">
        <v>202.105263157895</v>
      </c>
      <c r="G371" s="19" t="n">
        <v>6970.74568421053</v>
      </c>
    </row>
    <row r="372" customFormat="false" ht="15" hidden="false" customHeight="false" outlineLevel="0" collapsed="false">
      <c r="A372" s="8" t="s">
        <v>1153</v>
      </c>
      <c r="B372" s="8" t="n">
        <v>4413332</v>
      </c>
      <c r="C372" s="8" t="s">
        <v>1514</v>
      </c>
      <c r="D372" s="19" t="n">
        <v>6</v>
      </c>
      <c r="E372" s="19" t="n">
        <v>162.782</v>
      </c>
      <c r="F372" s="19" t="n">
        <v>10.1052631578947</v>
      </c>
      <c r="G372" s="19" t="n">
        <v>263.856</v>
      </c>
    </row>
    <row r="373" customFormat="false" ht="15" hidden="false" customHeight="false" outlineLevel="0" collapsed="false">
      <c r="A373" s="8" t="s">
        <v>1153</v>
      </c>
      <c r="B373" s="8" t="n">
        <v>4413335</v>
      </c>
      <c r="C373" s="8" t="s">
        <v>1515</v>
      </c>
      <c r="D373" s="19" t="n">
        <v>2</v>
      </c>
      <c r="E373" s="19" t="n">
        <v>232.505</v>
      </c>
      <c r="F373" s="19" t="n">
        <v>0</v>
      </c>
      <c r="G373" s="19" t="n">
        <v>0</v>
      </c>
    </row>
    <row r="374" customFormat="false" ht="15" hidden="false" customHeight="false" outlineLevel="0" collapsed="false">
      <c r="A374" s="8" t="s">
        <v>1153</v>
      </c>
      <c r="B374" s="8" t="n">
        <v>4413336</v>
      </c>
      <c r="C374" s="8" t="s">
        <v>1516</v>
      </c>
      <c r="D374" s="19" t="n">
        <v>1</v>
      </c>
      <c r="E374" s="19" t="n">
        <v>116.389</v>
      </c>
      <c r="F374" s="19" t="n">
        <v>0</v>
      </c>
      <c r="G374" s="19" t="n">
        <v>0</v>
      </c>
    </row>
    <row r="375" customFormat="false" ht="15" hidden="false" customHeight="false" outlineLevel="0" collapsed="false">
      <c r="A375" s="8" t="s">
        <v>1153</v>
      </c>
      <c r="B375" s="8" t="n">
        <v>4413337</v>
      </c>
      <c r="C375" s="8" t="s">
        <v>1517</v>
      </c>
      <c r="D375" s="19" t="n">
        <v>0</v>
      </c>
      <c r="E375" s="19" t="n">
        <v>0</v>
      </c>
      <c r="F375" s="19" t="n">
        <v>6.31578947368421</v>
      </c>
      <c r="G375" s="19" t="n">
        <v>735.203368421053</v>
      </c>
    </row>
    <row r="376" customFormat="false" ht="15" hidden="false" customHeight="false" outlineLevel="0" collapsed="false">
      <c r="A376" s="8" t="s">
        <v>1153</v>
      </c>
      <c r="B376" s="8" t="n">
        <v>4413338</v>
      </c>
      <c r="C376" s="8" t="s">
        <v>1518</v>
      </c>
      <c r="D376" s="19" t="n">
        <v>1</v>
      </c>
      <c r="E376" s="19" t="n">
        <v>116.116</v>
      </c>
      <c r="F376" s="19" t="n">
        <v>0</v>
      </c>
      <c r="G376" s="19" t="n">
        <v>0</v>
      </c>
    </row>
    <row r="377" customFormat="false" ht="15" hidden="false" customHeight="false" outlineLevel="0" collapsed="false">
      <c r="A377" s="8" t="s">
        <v>1153</v>
      </c>
      <c r="B377" s="8" t="n">
        <v>4413339</v>
      </c>
      <c r="C377" s="8" t="s">
        <v>1519</v>
      </c>
      <c r="D377" s="19" t="n">
        <v>0</v>
      </c>
      <c r="E377" s="19" t="n">
        <v>0</v>
      </c>
      <c r="F377" s="19" t="n">
        <v>-2.52631578947368</v>
      </c>
      <c r="G377" s="19" t="n">
        <v>-325.875789473684</v>
      </c>
    </row>
    <row r="378" customFormat="false" ht="15" hidden="false" customHeight="false" outlineLevel="0" collapsed="false">
      <c r="A378" s="8" t="s">
        <v>1153</v>
      </c>
      <c r="B378" s="8" t="n">
        <v>4413340</v>
      </c>
      <c r="C378" s="8" t="s">
        <v>1520</v>
      </c>
      <c r="D378" s="19" t="n">
        <v>14</v>
      </c>
      <c r="E378" s="19" t="n">
        <v>649.922</v>
      </c>
      <c r="F378" s="19" t="n">
        <v>25.2631578947368</v>
      </c>
      <c r="G378" s="19" t="n">
        <v>1450.06105263158</v>
      </c>
    </row>
    <row r="379" customFormat="false" ht="15" hidden="false" customHeight="false" outlineLevel="0" collapsed="false">
      <c r="A379" s="8" t="s">
        <v>1153</v>
      </c>
      <c r="B379" s="8" t="n">
        <v>4413341</v>
      </c>
      <c r="C379" s="8" t="s">
        <v>1521</v>
      </c>
      <c r="D379" s="19" t="n">
        <v>3</v>
      </c>
      <c r="E379" s="19" t="n">
        <v>466.284</v>
      </c>
      <c r="F379" s="19" t="n">
        <v>0</v>
      </c>
      <c r="G379" s="19" t="n">
        <v>0</v>
      </c>
    </row>
    <row r="380" customFormat="false" ht="15" hidden="false" customHeight="false" outlineLevel="0" collapsed="false">
      <c r="A380" s="8" t="s">
        <v>1153</v>
      </c>
      <c r="B380" s="8" t="n">
        <v>4413342</v>
      </c>
      <c r="C380" s="8" t="s">
        <v>1522</v>
      </c>
      <c r="D380" s="19" t="n">
        <v>4</v>
      </c>
      <c r="E380" s="19" t="n">
        <v>623.441</v>
      </c>
      <c r="F380" s="19" t="n">
        <v>0</v>
      </c>
      <c r="G380" s="19" t="n">
        <v>0</v>
      </c>
    </row>
    <row r="381" customFormat="false" ht="15" hidden="false" customHeight="false" outlineLevel="0" collapsed="false">
      <c r="A381" s="8" t="s">
        <v>1153</v>
      </c>
      <c r="B381" s="8" t="n">
        <v>4413344</v>
      </c>
      <c r="C381" s="8" t="s">
        <v>1523</v>
      </c>
      <c r="D381" s="19" t="n">
        <v>1</v>
      </c>
      <c r="E381" s="19" t="n">
        <v>159.25</v>
      </c>
      <c r="F381" s="19" t="n">
        <v>0</v>
      </c>
      <c r="G381" s="19" t="n">
        <v>0</v>
      </c>
    </row>
    <row r="382" customFormat="false" ht="15" hidden="false" customHeight="false" outlineLevel="0" collapsed="false">
      <c r="A382" s="8" t="s">
        <v>1153</v>
      </c>
      <c r="B382" s="8" t="n">
        <v>4413345</v>
      </c>
      <c r="C382" s="8" t="s">
        <v>1524</v>
      </c>
      <c r="D382" s="19" t="n">
        <v>3</v>
      </c>
      <c r="E382" s="19" t="n">
        <v>477.568</v>
      </c>
      <c r="F382" s="19" t="n">
        <v>0</v>
      </c>
      <c r="G382" s="19" t="n">
        <v>0</v>
      </c>
    </row>
    <row r="383" customFormat="false" ht="15" hidden="false" customHeight="false" outlineLevel="0" collapsed="false">
      <c r="A383" s="8" t="s">
        <v>1153</v>
      </c>
      <c r="B383" s="8" t="n">
        <v>4413347</v>
      </c>
      <c r="C383" s="8" t="s">
        <v>1525</v>
      </c>
      <c r="D383" s="19" t="n">
        <v>1</v>
      </c>
      <c r="E383" s="19" t="n">
        <v>116.389</v>
      </c>
      <c r="F383" s="19" t="n">
        <v>2.52631578947368</v>
      </c>
      <c r="G383" s="19" t="n">
        <v>294.035368421053</v>
      </c>
    </row>
    <row r="384" customFormat="false" ht="15" hidden="false" customHeight="false" outlineLevel="0" collapsed="false">
      <c r="A384" s="8" t="s">
        <v>1153</v>
      </c>
      <c r="B384" s="8" t="n">
        <v>4413348</v>
      </c>
      <c r="C384" s="8" t="s">
        <v>1526</v>
      </c>
      <c r="D384" s="19" t="n">
        <v>576</v>
      </c>
      <c r="E384" s="19" t="n">
        <v>31252.582</v>
      </c>
      <c r="F384" s="19" t="n">
        <v>329.684210526316</v>
      </c>
      <c r="G384" s="19" t="n">
        <v>19253.0298947368</v>
      </c>
    </row>
    <row r="385" customFormat="false" ht="15" hidden="false" customHeight="false" outlineLevel="0" collapsed="false">
      <c r="A385" s="8" t="s">
        <v>1153</v>
      </c>
      <c r="B385" s="8" t="n">
        <v>4413364</v>
      </c>
      <c r="C385" s="8" t="s">
        <v>1527</v>
      </c>
      <c r="D385" s="19" t="n">
        <v>227</v>
      </c>
      <c r="E385" s="19" t="n">
        <v>6192.976</v>
      </c>
      <c r="F385" s="19" t="n">
        <v>166.736842105263</v>
      </c>
      <c r="G385" s="19" t="n">
        <v>4551.61136842105</v>
      </c>
    </row>
    <row r="386" customFormat="false" ht="15" hidden="false" customHeight="false" outlineLevel="0" collapsed="false">
      <c r="A386" s="8" t="s">
        <v>1153</v>
      </c>
      <c r="B386" s="8" t="n">
        <v>4413365</v>
      </c>
      <c r="C386" s="8" t="s">
        <v>1528</v>
      </c>
      <c r="D386" s="19" t="n">
        <v>148</v>
      </c>
      <c r="E386" s="19" t="n">
        <v>4014.729</v>
      </c>
      <c r="F386" s="19" t="n">
        <v>106.105263157895</v>
      </c>
      <c r="G386" s="19" t="n">
        <v>2776.66863157895</v>
      </c>
    </row>
    <row r="387" customFormat="false" ht="15" hidden="false" customHeight="false" outlineLevel="0" collapsed="false">
      <c r="A387" s="8" t="s">
        <v>1153</v>
      </c>
      <c r="B387" s="8" t="n">
        <v>4413366</v>
      </c>
      <c r="C387" s="8" t="s">
        <v>1529</v>
      </c>
      <c r="D387" s="19" t="n">
        <v>155</v>
      </c>
      <c r="E387" s="19" t="n">
        <v>4216.576</v>
      </c>
      <c r="F387" s="19" t="n">
        <v>102.315789473684</v>
      </c>
      <c r="G387" s="19" t="n">
        <v>2780.00210526316</v>
      </c>
    </row>
    <row r="388" customFormat="false" ht="15" hidden="false" customHeight="false" outlineLevel="0" collapsed="false">
      <c r="A388" s="8" t="s">
        <v>1153</v>
      </c>
      <c r="B388" s="8" t="n">
        <v>4413367</v>
      </c>
      <c r="C388" s="8" t="s">
        <v>1530</v>
      </c>
      <c r="D388" s="19" t="n">
        <v>51</v>
      </c>
      <c r="E388" s="19" t="n">
        <v>1405.122</v>
      </c>
      <c r="F388" s="19" t="n">
        <v>44.2105263157895</v>
      </c>
      <c r="G388" s="19" t="n">
        <v>1209.47621052632</v>
      </c>
    </row>
    <row r="389" customFormat="false" ht="15" hidden="false" customHeight="false" outlineLevel="0" collapsed="false">
      <c r="A389" s="8" t="s">
        <v>1153</v>
      </c>
      <c r="B389" s="8" t="n">
        <v>4413368</v>
      </c>
      <c r="C389" s="8" t="s">
        <v>1531</v>
      </c>
      <c r="D389" s="19" t="n">
        <v>12</v>
      </c>
      <c r="E389" s="19" t="n">
        <v>320.229</v>
      </c>
      <c r="F389" s="19" t="n">
        <v>12.6315789473684</v>
      </c>
      <c r="G389" s="19" t="n">
        <v>349.210105263158</v>
      </c>
    </row>
    <row r="390" customFormat="false" ht="15" hidden="false" customHeight="false" outlineLevel="0" collapsed="false">
      <c r="A390" s="8" t="s">
        <v>1153</v>
      </c>
      <c r="B390" s="8" t="n">
        <v>4413369</v>
      </c>
      <c r="C390" s="8" t="s">
        <v>1532</v>
      </c>
      <c r="D390" s="19" t="n">
        <v>6</v>
      </c>
      <c r="E390" s="19" t="n">
        <v>163.072</v>
      </c>
      <c r="F390" s="19" t="n">
        <v>8.84210526315789</v>
      </c>
      <c r="G390" s="19" t="n">
        <v>234.377684210526</v>
      </c>
    </row>
    <row r="391" customFormat="false" ht="15" hidden="false" customHeight="false" outlineLevel="0" collapsed="false">
      <c r="A391" s="8" t="s">
        <v>1153</v>
      </c>
      <c r="B391" s="8" t="n">
        <v>4413370</v>
      </c>
      <c r="C391" s="8" t="s">
        <v>1533</v>
      </c>
      <c r="D391" s="19" t="n">
        <v>351</v>
      </c>
      <c r="E391" s="19" t="n">
        <v>12202.51</v>
      </c>
      <c r="F391" s="19" t="n">
        <v>241.263157894737</v>
      </c>
      <c r="G391" s="19" t="n">
        <v>8532.35115789474</v>
      </c>
    </row>
    <row r="392" customFormat="false" ht="15" hidden="false" customHeight="false" outlineLevel="0" collapsed="false">
      <c r="A392" s="8" t="s">
        <v>1153</v>
      </c>
      <c r="B392" s="8" t="n">
        <v>4413371</v>
      </c>
      <c r="C392" s="8" t="s">
        <v>1534</v>
      </c>
      <c r="D392" s="19" t="n">
        <v>75</v>
      </c>
      <c r="E392" s="19" t="n">
        <v>2048.736</v>
      </c>
      <c r="F392" s="19" t="n">
        <v>77.0526315789474</v>
      </c>
      <c r="G392" s="19" t="n">
        <v>2043.41936842105</v>
      </c>
    </row>
    <row r="393" customFormat="false" ht="15" hidden="false" customHeight="false" outlineLevel="0" collapsed="false">
      <c r="A393" s="8" t="s">
        <v>1153</v>
      </c>
      <c r="B393" s="8" t="n">
        <v>4413372</v>
      </c>
      <c r="C393" s="8" t="s">
        <v>1535</v>
      </c>
      <c r="D393" s="19" t="n">
        <v>276</v>
      </c>
      <c r="E393" s="19" t="n">
        <v>15082.573</v>
      </c>
      <c r="F393" s="19" t="n">
        <v>161.684210526316</v>
      </c>
      <c r="G393" s="19" t="n">
        <v>9517.73684210526</v>
      </c>
    </row>
    <row r="394" customFormat="false" ht="15" hidden="false" customHeight="false" outlineLevel="0" collapsed="false">
      <c r="A394" s="8" t="s">
        <v>1153</v>
      </c>
      <c r="B394" s="8" t="n">
        <v>4413394</v>
      </c>
      <c r="C394" s="8" t="s">
        <v>1536</v>
      </c>
      <c r="D394" s="19" t="n">
        <v>37</v>
      </c>
      <c r="E394" s="19" t="n">
        <v>1218.679</v>
      </c>
      <c r="F394" s="19" t="n">
        <v>54.3157894736842</v>
      </c>
      <c r="G394" s="19" t="n">
        <v>1809.44842105263</v>
      </c>
    </row>
    <row r="395" customFormat="false" ht="15" hidden="false" customHeight="false" outlineLevel="0" collapsed="false">
      <c r="A395" s="8" t="s">
        <v>1153</v>
      </c>
      <c r="B395" s="8" t="n">
        <v>4413395</v>
      </c>
      <c r="C395" s="8" t="s">
        <v>1537</v>
      </c>
      <c r="D395" s="19" t="n">
        <v>95</v>
      </c>
      <c r="E395" s="19" t="n">
        <v>3099.659</v>
      </c>
      <c r="F395" s="19" t="n">
        <v>126.315789473684</v>
      </c>
      <c r="G395" s="19" t="n">
        <v>4155.59873684211</v>
      </c>
    </row>
    <row r="396" customFormat="false" ht="15" hidden="false" customHeight="false" outlineLevel="0" collapsed="false">
      <c r="A396" s="8" t="s">
        <v>1153</v>
      </c>
      <c r="B396" s="8" t="n">
        <v>4413396</v>
      </c>
      <c r="C396" s="8" t="s">
        <v>1538</v>
      </c>
      <c r="D396" s="19" t="n">
        <v>106</v>
      </c>
      <c r="E396" s="19" t="n">
        <v>3506.362</v>
      </c>
      <c r="F396" s="19" t="n">
        <v>156.631578947368</v>
      </c>
      <c r="G396" s="19" t="n">
        <v>5245.09136842105</v>
      </c>
    </row>
    <row r="397" customFormat="false" ht="15" hidden="false" customHeight="false" outlineLevel="0" collapsed="false">
      <c r="A397" s="8" t="s">
        <v>1153</v>
      </c>
      <c r="B397" s="8" t="n">
        <v>4413397</v>
      </c>
      <c r="C397" s="8" t="s">
        <v>1539</v>
      </c>
      <c r="D397" s="19" t="n">
        <v>103</v>
      </c>
      <c r="E397" s="19" t="n">
        <v>3375.736</v>
      </c>
      <c r="F397" s="19" t="n">
        <v>122.526315789474</v>
      </c>
      <c r="G397" s="19" t="n">
        <v>4064.62231578947</v>
      </c>
    </row>
    <row r="398" customFormat="false" ht="15" hidden="false" customHeight="false" outlineLevel="0" collapsed="false">
      <c r="A398" s="8" t="s">
        <v>1153</v>
      </c>
      <c r="B398" s="8" t="n">
        <v>4413398</v>
      </c>
      <c r="C398" s="8" t="s">
        <v>1540</v>
      </c>
      <c r="D398" s="19" t="n">
        <v>44</v>
      </c>
      <c r="E398" s="19" t="n">
        <v>1468.103</v>
      </c>
      <c r="F398" s="19" t="n">
        <v>73.2631578947368</v>
      </c>
      <c r="G398" s="19" t="n">
        <v>2481.09473684211</v>
      </c>
    </row>
    <row r="399" customFormat="false" ht="15" hidden="false" customHeight="false" outlineLevel="0" collapsed="false">
      <c r="A399" s="8" t="s">
        <v>1153</v>
      </c>
      <c r="B399" s="8" t="n">
        <v>4413399</v>
      </c>
      <c r="C399" s="8" t="s">
        <v>1541</v>
      </c>
      <c r="D399" s="19" t="n">
        <v>-1</v>
      </c>
      <c r="E399" s="19" t="n">
        <v>-34.398</v>
      </c>
      <c r="F399" s="19" t="n">
        <v>1.26315789473684</v>
      </c>
      <c r="G399" s="19" t="n">
        <v>41.9557894736842</v>
      </c>
    </row>
    <row r="400" customFormat="false" ht="15" hidden="false" customHeight="false" outlineLevel="0" collapsed="false">
      <c r="A400" s="8" t="s">
        <v>1153</v>
      </c>
      <c r="B400" s="8" t="n">
        <v>4413403</v>
      </c>
      <c r="C400" s="8" t="s">
        <v>1542</v>
      </c>
      <c r="D400" s="19" t="n">
        <v>-1</v>
      </c>
      <c r="E400" s="19" t="n">
        <v>-150.514</v>
      </c>
      <c r="F400" s="19" t="n">
        <v>0</v>
      </c>
      <c r="G400" s="19" t="n">
        <v>0</v>
      </c>
    </row>
    <row r="401" customFormat="false" ht="15" hidden="false" customHeight="false" outlineLevel="0" collapsed="false">
      <c r="A401" s="8" t="s">
        <v>1153</v>
      </c>
      <c r="B401" s="8" t="n">
        <v>4413405</v>
      </c>
      <c r="C401" s="8" t="s">
        <v>1543</v>
      </c>
      <c r="D401" s="19" t="n">
        <v>0</v>
      </c>
      <c r="E401" s="19" t="n">
        <v>0</v>
      </c>
      <c r="F401" s="19" t="n">
        <v>3.78947368421053</v>
      </c>
      <c r="G401" s="19" t="n">
        <v>323.002105263158</v>
      </c>
    </row>
    <row r="402" customFormat="false" ht="15" hidden="false" customHeight="false" outlineLevel="0" collapsed="false">
      <c r="A402" s="8" t="s">
        <v>1153</v>
      </c>
      <c r="B402" s="8" t="n">
        <v>4413406</v>
      </c>
      <c r="C402" s="8" t="s">
        <v>1544</v>
      </c>
      <c r="D402" s="19" t="n">
        <v>11</v>
      </c>
      <c r="E402" s="19" t="n">
        <v>895.907</v>
      </c>
      <c r="F402" s="19" t="n">
        <v>11.3684210526316</v>
      </c>
      <c r="G402" s="19" t="n">
        <v>990.362526315789</v>
      </c>
    </row>
    <row r="403" customFormat="false" ht="15" hidden="false" customHeight="false" outlineLevel="0" collapsed="false">
      <c r="A403" s="8" t="s">
        <v>1153</v>
      </c>
      <c r="B403" s="8" t="n">
        <v>4413407</v>
      </c>
      <c r="C403" s="8" t="s">
        <v>1545</v>
      </c>
      <c r="D403" s="19" t="n">
        <v>11</v>
      </c>
      <c r="E403" s="19" t="n">
        <v>857.819</v>
      </c>
      <c r="F403" s="19" t="n">
        <v>16.4210526315789</v>
      </c>
      <c r="G403" s="19" t="n">
        <v>1470.78189473684</v>
      </c>
    </row>
    <row r="404" customFormat="false" ht="15" hidden="false" customHeight="false" outlineLevel="0" collapsed="false">
      <c r="A404" s="8" t="s">
        <v>1153</v>
      </c>
      <c r="B404" s="8" t="n">
        <v>4413408</v>
      </c>
      <c r="C404" s="8" t="s">
        <v>1546</v>
      </c>
      <c r="D404" s="19" t="n">
        <v>7</v>
      </c>
      <c r="E404" s="19" t="n">
        <v>497.923</v>
      </c>
      <c r="F404" s="19" t="n">
        <v>8.84210526315789</v>
      </c>
      <c r="G404" s="19" t="n">
        <v>796.294736842105</v>
      </c>
    </row>
    <row r="405" customFormat="false" ht="15" hidden="false" customHeight="false" outlineLevel="0" collapsed="false">
      <c r="A405" s="8" t="s">
        <v>1153</v>
      </c>
      <c r="B405" s="8" t="n">
        <v>4413415</v>
      </c>
      <c r="C405" s="8" t="s">
        <v>1547</v>
      </c>
      <c r="D405" s="19" t="n">
        <v>6</v>
      </c>
      <c r="E405" s="19" t="n">
        <v>823.663</v>
      </c>
      <c r="F405" s="19" t="n">
        <v>6.31578947368421</v>
      </c>
      <c r="G405" s="19" t="n">
        <v>961.365473684211</v>
      </c>
    </row>
    <row r="406" customFormat="false" ht="15" hidden="false" customHeight="false" outlineLevel="0" collapsed="false">
      <c r="A406" s="8" t="s">
        <v>1153</v>
      </c>
      <c r="B406" s="8" t="n">
        <v>4413416</v>
      </c>
      <c r="C406" s="8" t="s">
        <v>1548</v>
      </c>
      <c r="D406" s="19" t="n">
        <v>10</v>
      </c>
      <c r="E406" s="19" t="n">
        <v>1529.893</v>
      </c>
      <c r="F406" s="19" t="n">
        <v>10.1052631578947</v>
      </c>
      <c r="G406" s="19" t="n">
        <v>1564.25810526316</v>
      </c>
    </row>
    <row r="407" customFormat="false" ht="15" hidden="false" customHeight="false" outlineLevel="0" collapsed="false">
      <c r="A407" s="8" t="s">
        <v>1153</v>
      </c>
      <c r="B407" s="8" t="n">
        <v>4413417</v>
      </c>
      <c r="C407" s="8" t="s">
        <v>1549</v>
      </c>
      <c r="D407" s="19" t="n">
        <v>4</v>
      </c>
      <c r="E407" s="19" t="n">
        <v>554.875</v>
      </c>
      <c r="F407" s="19" t="n">
        <v>12.6315789473684</v>
      </c>
      <c r="G407" s="19" t="n">
        <v>2022.81221052632</v>
      </c>
    </row>
    <row r="408" customFormat="false" ht="15" hidden="false" customHeight="false" outlineLevel="0" collapsed="false">
      <c r="A408" s="8" t="s">
        <v>1153</v>
      </c>
      <c r="B408" s="8" t="n">
        <v>4413418</v>
      </c>
      <c r="C408" s="8" t="s">
        <v>1550</v>
      </c>
      <c r="D408" s="19" t="n">
        <v>2</v>
      </c>
      <c r="E408" s="19" t="n">
        <v>284.581</v>
      </c>
      <c r="F408" s="19" t="n">
        <v>5.05263157894737</v>
      </c>
      <c r="G408" s="19" t="n">
        <v>703.937684210526</v>
      </c>
    </row>
    <row r="409" customFormat="false" ht="15" hidden="false" customHeight="false" outlineLevel="0" collapsed="false">
      <c r="A409" s="8" t="s">
        <v>1153</v>
      </c>
      <c r="B409" s="8" t="n">
        <v>4413419</v>
      </c>
      <c r="C409" s="8" t="s">
        <v>1551</v>
      </c>
      <c r="D409" s="19" t="n">
        <v>0</v>
      </c>
      <c r="E409" s="19" t="n">
        <v>20.384</v>
      </c>
      <c r="F409" s="19" t="n">
        <v>0</v>
      </c>
      <c r="G409" s="19" t="n">
        <v>0</v>
      </c>
    </row>
    <row r="410" customFormat="false" ht="15" hidden="false" customHeight="false" outlineLevel="0" collapsed="false">
      <c r="A410" s="8" t="s">
        <v>1153</v>
      </c>
      <c r="B410" s="8" t="n">
        <v>4413420</v>
      </c>
      <c r="C410" s="8" t="s">
        <v>1552</v>
      </c>
      <c r="D410" s="19" t="n">
        <v>3</v>
      </c>
      <c r="E410" s="19" t="n">
        <v>217.986</v>
      </c>
      <c r="F410" s="19" t="n">
        <v>2.52631578947368</v>
      </c>
      <c r="G410" s="19" t="n">
        <v>226.038315789474</v>
      </c>
    </row>
    <row r="411" customFormat="false" ht="15" hidden="false" customHeight="false" outlineLevel="0" collapsed="false">
      <c r="A411" s="8" t="s">
        <v>1153</v>
      </c>
      <c r="B411" s="8" t="n">
        <v>4413421</v>
      </c>
      <c r="C411" s="8" t="s">
        <v>1553</v>
      </c>
      <c r="D411" s="19" t="n">
        <v>8</v>
      </c>
      <c r="E411" s="19" t="n">
        <v>600.763</v>
      </c>
      <c r="F411" s="19" t="n">
        <v>5.05263157894737</v>
      </c>
      <c r="G411" s="19" t="n">
        <v>462.127578947369</v>
      </c>
    </row>
    <row r="412" customFormat="false" ht="15" hidden="false" customHeight="false" outlineLevel="0" collapsed="false">
      <c r="A412" s="8" t="s">
        <v>1153</v>
      </c>
      <c r="B412" s="8" t="n">
        <v>4413422</v>
      </c>
      <c r="C412" s="8" t="s">
        <v>1554</v>
      </c>
      <c r="D412" s="19" t="n">
        <v>4</v>
      </c>
      <c r="E412" s="19" t="n">
        <v>288.319</v>
      </c>
      <c r="F412" s="19" t="n">
        <v>5.05263157894737</v>
      </c>
      <c r="G412" s="19" t="n">
        <v>441.322105263158</v>
      </c>
    </row>
    <row r="413" customFormat="false" ht="15" hidden="false" customHeight="false" outlineLevel="0" collapsed="false">
      <c r="A413" s="8" t="s">
        <v>1153</v>
      </c>
      <c r="B413" s="8" t="n">
        <v>4413423</v>
      </c>
      <c r="C413" s="8" t="s">
        <v>1555</v>
      </c>
      <c r="D413" s="19" t="n">
        <v>2</v>
      </c>
      <c r="E413" s="19" t="n">
        <v>159.291</v>
      </c>
      <c r="F413" s="19" t="n">
        <v>1.26315789473684</v>
      </c>
      <c r="G413" s="19" t="n">
        <v>128.511157894737</v>
      </c>
    </row>
    <row r="414" customFormat="false" ht="15" hidden="false" customHeight="false" outlineLevel="0" collapsed="false">
      <c r="A414" s="8" t="s">
        <v>1153</v>
      </c>
      <c r="B414" s="8" t="n">
        <v>4413424</v>
      </c>
      <c r="C414" s="8" t="s">
        <v>1556</v>
      </c>
      <c r="D414" s="19" t="n">
        <v>3</v>
      </c>
      <c r="E414" s="19" t="n">
        <v>211.029</v>
      </c>
      <c r="F414" s="19" t="n">
        <v>6.31578947368421</v>
      </c>
      <c r="G414" s="19" t="n">
        <v>520.290947368421</v>
      </c>
    </row>
    <row r="415" customFormat="false" ht="15" hidden="false" customHeight="false" outlineLevel="0" collapsed="false">
      <c r="A415" s="8" t="s">
        <v>1153</v>
      </c>
      <c r="B415" s="8" t="n">
        <v>4413425</v>
      </c>
      <c r="C415" s="8" t="s">
        <v>1557</v>
      </c>
      <c r="D415" s="19" t="n">
        <v>9</v>
      </c>
      <c r="E415" s="19" t="n">
        <v>659.568</v>
      </c>
      <c r="F415" s="19" t="n">
        <v>13.8947368421053</v>
      </c>
      <c r="G415" s="19" t="n">
        <v>1166.29515789474</v>
      </c>
    </row>
    <row r="416" customFormat="false" ht="15" hidden="false" customHeight="false" outlineLevel="0" collapsed="false">
      <c r="A416" s="8" t="s">
        <v>1153</v>
      </c>
      <c r="B416" s="8" t="n">
        <v>4413426</v>
      </c>
      <c r="C416" s="8" t="s">
        <v>1558</v>
      </c>
      <c r="D416" s="19" t="n">
        <v>8</v>
      </c>
      <c r="E416" s="19" t="n">
        <v>590.542</v>
      </c>
      <c r="F416" s="19" t="n">
        <v>5.05263157894737</v>
      </c>
      <c r="G416" s="19" t="n">
        <v>416.339368421053</v>
      </c>
    </row>
    <row r="417" customFormat="false" ht="15" hidden="false" customHeight="false" outlineLevel="0" collapsed="false">
      <c r="A417" s="8" t="s">
        <v>1153</v>
      </c>
      <c r="B417" s="8" t="n">
        <v>4413427</v>
      </c>
      <c r="C417" s="8" t="s">
        <v>1559</v>
      </c>
      <c r="D417" s="19" t="n">
        <v>2</v>
      </c>
      <c r="E417" s="19" t="n">
        <v>147.633</v>
      </c>
      <c r="F417" s="19" t="n">
        <v>5.05263157894737</v>
      </c>
      <c r="G417" s="19" t="n">
        <v>416.339368421053</v>
      </c>
    </row>
    <row r="418" customFormat="false" ht="15" hidden="false" customHeight="false" outlineLevel="0" collapsed="false">
      <c r="A418" s="8" t="s">
        <v>1153</v>
      </c>
      <c r="B418" s="8" t="n">
        <v>4413438</v>
      </c>
      <c r="C418" s="8" t="s">
        <v>1560</v>
      </c>
      <c r="D418" s="19" t="n">
        <v>15</v>
      </c>
      <c r="E418" s="19" t="n">
        <v>2003.285</v>
      </c>
      <c r="F418" s="19" t="n">
        <v>12.6315789473684</v>
      </c>
      <c r="G418" s="19" t="n">
        <v>1669.02442105263</v>
      </c>
    </row>
    <row r="419" customFormat="false" ht="15" hidden="false" customHeight="false" outlineLevel="0" collapsed="false">
      <c r="A419" s="8" t="s">
        <v>1153</v>
      </c>
      <c r="B419" s="8" t="n">
        <v>4413439</v>
      </c>
      <c r="C419" s="8" t="s">
        <v>1561</v>
      </c>
      <c r="D419" s="19" t="n">
        <v>17</v>
      </c>
      <c r="E419" s="19" t="n">
        <v>2177.811</v>
      </c>
      <c r="F419" s="19" t="n">
        <v>34.1052631578947</v>
      </c>
      <c r="G419" s="19" t="n">
        <v>4334.57178947368</v>
      </c>
    </row>
    <row r="420" customFormat="false" ht="15" hidden="false" customHeight="false" outlineLevel="0" collapsed="false">
      <c r="A420" s="8" t="s">
        <v>1153</v>
      </c>
      <c r="B420" s="8" t="n">
        <v>4413440</v>
      </c>
      <c r="C420" s="8" t="s">
        <v>1562</v>
      </c>
      <c r="D420" s="19" t="n">
        <v>25</v>
      </c>
      <c r="E420" s="19" t="n">
        <v>3179.055</v>
      </c>
      <c r="F420" s="19" t="n">
        <v>36.6315789473684</v>
      </c>
      <c r="G420" s="19" t="n">
        <v>4674.03031578947</v>
      </c>
    </row>
    <row r="421" customFormat="false" ht="15" hidden="false" customHeight="false" outlineLevel="0" collapsed="false">
      <c r="A421" s="8" t="s">
        <v>1153</v>
      </c>
      <c r="B421" s="8" t="n">
        <v>4413441</v>
      </c>
      <c r="C421" s="8" t="s">
        <v>1563</v>
      </c>
      <c r="D421" s="19" t="n">
        <v>13</v>
      </c>
      <c r="E421" s="19" t="n">
        <v>1605.554</v>
      </c>
      <c r="F421" s="19" t="n">
        <v>21.4736842105263</v>
      </c>
      <c r="G421" s="19" t="n">
        <v>2724.99410526316</v>
      </c>
    </row>
    <row r="422" customFormat="false" ht="15" hidden="false" customHeight="false" outlineLevel="0" collapsed="false">
      <c r="A422" s="8" t="s">
        <v>1153</v>
      </c>
      <c r="B422" s="8" t="n">
        <v>4413442</v>
      </c>
      <c r="C422" s="8" t="s">
        <v>1564</v>
      </c>
      <c r="D422" s="19" t="n">
        <v>2</v>
      </c>
      <c r="E422" s="19" t="n">
        <v>239.607</v>
      </c>
      <c r="F422" s="19" t="n">
        <v>8.84210526315789</v>
      </c>
      <c r="G422" s="19" t="n">
        <v>1163.08926315789</v>
      </c>
    </row>
    <row r="423" customFormat="false" ht="15" hidden="false" customHeight="false" outlineLevel="0" collapsed="false">
      <c r="A423" s="8" t="s">
        <v>1153</v>
      </c>
      <c r="B423" s="8" t="n">
        <v>4413444</v>
      </c>
      <c r="C423" s="8" t="s">
        <v>1565</v>
      </c>
      <c r="D423" s="19" t="n">
        <v>-2</v>
      </c>
      <c r="E423" s="19" t="n">
        <v>-131.495</v>
      </c>
      <c r="F423" s="19" t="n">
        <v>0</v>
      </c>
      <c r="G423" s="19" t="n">
        <v>0</v>
      </c>
    </row>
    <row r="424" customFormat="false" ht="15" hidden="false" customHeight="false" outlineLevel="0" collapsed="false">
      <c r="A424" s="8" t="s">
        <v>1153</v>
      </c>
      <c r="B424" s="8" t="n">
        <v>4413445</v>
      </c>
      <c r="C424" s="8" t="s">
        <v>1566</v>
      </c>
      <c r="D424" s="19" t="n">
        <v>1</v>
      </c>
      <c r="E424" s="19" t="n">
        <v>50.96</v>
      </c>
      <c r="F424" s="19" t="n">
        <v>49.2631578947368</v>
      </c>
      <c r="G424" s="19" t="n">
        <v>2519.53136842105</v>
      </c>
    </row>
    <row r="425" customFormat="false" ht="15" hidden="false" customHeight="false" outlineLevel="0" collapsed="false">
      <c r="A425" s="8" t="s">
        <v>1153</v>
      </c>
      <c r="B425" s="8" t="n">
        <v>4413449</v>
      </c>
      <c r="C425" s="8" t="s">
        <v>1567</v>
      </c>
      <c r="D425" s="19" t="n">
        <v>2</v>
      </c>
      <c r="E425" s="19" t="n">
        <v>147.09</v>
      </c>
      <c r="F425" s="19" t="n">
        <v>5.05263157894737</v>
      </c>
      <c r="G425" s="19" t="n">
        <v>338.175157894737</v>
      </c>
    </row>
    <row r="426" customFormat="false" ht="15" hidden="false" customHeight="false" outlineLevel="0" collapsed="false">
      <c r="A426" s="8" t="s">
        <v>1153</v>
      </c>
      <c r="B426" s="8" t="n">
        <v>4413450</v>
      </c>
      <c r="C426" s="8" t="s">
        <v>1568</v>
      </c>
      <c r="D426" s="19" t="n">
        <v>0</v>
      </c>
      <c r="E426" s="19" t="n">
        <v>0</v>
      </c>
      <c r="F426" s="19" t="n">
        <v>6.31578947368421</v>
      </c>
      <c r="G426" s="19" t="n">
        <v>422.661473684211</v>
      </c>
    </row>
    <row r="427" customFormat="false" ht="15" hidden="false" customHeight="false" outlineLevel="0" collapsed="false">
      <c r="A427" s="8" t="s">
        <v>1153</v>
      </c>
      <c r="B427" s="8" t="n">
        <v>4413451</v>
      </c>
      <c r="C427" s="8" t="s">
        <v>1569</v>
      </c>
      <c r="D427" s="19" t="n">
        <v>0</v>
      </c>
      <c r="E427" s="19" t="n">
        <v>0</v>
      </c>
      <c r="F427" s="19" t="n">
        <v>3.78947368421053</v>
      </c>
      <c r="G427" s="19" t="n">
        <v>247.941473684211</v>
      </c>
    </row>
    <row r="428" customFormat="false" ht="15" hidden="false" customHeight="false" outlineLevel="0" collapsed="false">
      <c r="A428" s="8" t="s">
        <v>1153</v>
      </c>
      <c r="B428" s="8" t="n">
        <v>4413452</v>
      </c>
      <c r="C428" s="8" t="s">
        <v>1570</v>
      </c>
      <c r="D428" s="19" t="n">
        <v>63</v>
      </c>
      <c r="E428" s="19" t="n">
        <v>2652.741</v>
      </c>
      <c r="F428" s="19" t="n">
        <v>74.5263157894737</v>
      </c>
      <c r="G428" s="19" t="n">
        <v>3104.01347368421</v>
      </c>
    </row>
    <row r="429" customFormat="false" ht="15" hidden="false" customHeight="false" outlineLevel="0" collapsed="false">
      <c r="A429" s="8" t="s">
        <v>1153</v>
      </c>
      <c r="B429" s="8" t="n">
        <v>4413453</v>
      </c>
      <c r="C429" s="8" t="s">
        <v>1571</v>
      </c>
      <c r="D429" s="19" t="n">
        <v>965</v>
      </c>
      <c r="E429" s="19" t="n">
        <v>61222.388</v>
      </c>
      <c r="F429" s="19" t="n">
        <v>952.421052631579</v>
      </c>
      <c r="G429" s="19" t="n">
        <v>68051.8850526316</v>
      </c>
    </row>
    <row r="430" customFormat="false" ht="15" hidden="false" customHeight="false" outlineLevel="0" collapsed="false">
      <c r="A430" s="8" t="s">
        <v>1153</v>
      </c>
      <c r="B430" s="8" t="n">
        <v>4413455</v>
      </c>
      <c r="C430" s="8" t="s">
        <v>1572</v>
      </c>
      <c r="D430" s="19" t="n">
        <v>165</v>
      </c>
      <c r="E430" s="19" t="n">
        <v>7648.667</v>
      </c>
      <c r="F430" s="19" t="n">
        <v>156.631578947368</v>
      </c>
      <c r="G430" s="19" t="n">
        <v>7274.22568421053</v>
      </c>
    </row>
    <row r="431" customFormat="false" ht="15" hidden="false" customHeight="false" outlineLevel="0" collapsed="false">
      <c r="A431" s="8" t="s">
        <v>1153</v>
      </c>
      <c r="B431" s="8" t="n">
        <v>4413456</v>
      </c>
      <c r="C431" s="8" t="s">
        <v>1573</v>
      </c>
      <c r="D431" s="19" t="n">
        <v>107</v>
      </c>
      <c r="E431" s="19" t="n">
        <v>6616.875</v>
      </c>
      <c r="F431" s="19" t="n">
        <v>66.9473684210526</v>
      </c>
      <c r="G431" s="19" t="n">
        <v>4839.41052631579</v>
      </c>
    </row>
    <row r="432" customFormat="false" ht="15" hidden="false" customHeight="false" outlineLevel="0" collapsed="false">
      <c r="A432" s="8" t="s">
        <v>1153</v>
      </c>
      <c r="B432" s="8" t="n">
        <v>4413464</v>
      </c>
      <c r="C432" s="8" t="s">
        <v>1574</v>
      </c>
      <c r="D432" s="19" t="n">
        <v>-4</v>
      </c>
      <c r="E432" s="19" t="n">
        <v>-29.575</v>
      </c>
      <c r="F432" s="19" t="n">
        <v>0</v>
      </c>
      <c r="G432" s="19" t="n">
        <v>0</v>
      </c>
    </row>
    <row r="433" customFormat="false" ht="15" hidden="false" customHeight="false" outlineLevel="0" collapsed="false">
      <c r="A433" s="8" t="s">
        <v>1153</v>
      </c>
      <c r="B433" s="8" t="n">
        <v>4413482</v>
      </c>
      <c r="C433" s="8" t="s">
        <v>1575</v>
      </c>
      <c r="D433" s="19" t="n">
        <v>-1</v>
      </c>
      <c r="E433" s="19" t="n">
        <v>-68.796</v>
      </c>
      <c r="F433" s="19" t="n">
        <v>0</v>
      </c>
      <c r="G433" s="19" t="n">
        <v>0</v>
      </c>
    </row>
    <row r="434" customFormat="false" ht="15" hidden="false" customHeight="false" outlineLevel="0" collapsed="false">
      <c r="A434" s="8" t="s">
        <v>1153</v>
      </c>
      <c r="B434" s="8" t="n">
        <v>4413490</v>
      </c>
      <c r="C434" s="8" t="s">
        <v>1576</v>
      </c>
      <c r="D434" s="19" t="n">
        <v>293</v>
      </c>
      <c r="E434" s="19" t="n">
        <v>7643.727</v>
      </c>
      <c r="F434" s="19" t="n">
        <v>231.157894736842</v>
      </c>
      <c r="G434" s="19" t="n">
        <v>6448.20252631579</v>
      </c>
    </row>
    <row r="435" customFormat="false" ht="15" hidden="false" customHeight="false" outlineLevel="0" collapsed="false">
      <c r="A435" s="8" t="s">
        <v>1153</v>
      </c>
      <c r="B435" s="8" t="n">
        <v>4413491</v>
      </c>
      <c r="C435" s="8" t="s">
        <v>1577</v>
      </c>
      <c r="D435" s="19" t="n">
        <v>185</v>
      </c>
      <c r="E435" s="19" t="n">
        <v>5054.231</v>
      </c>
      <c r="F435" s="19" t="n">
        <v>125.052631578947</v>
      </c>
      <c r="G435" s="19" t="n">
        <v>3470.26105263158</v>
      </c>
    </row>
    <row r="436" customFormat="false" ht="15" hidden="false" customHeight="false" outlineLevel="0" collapsed="false">
      <c r="A436" s="8" t="s">
        <v>1153</v>
      </c>
      <c r="B436" s="8" t="n">
        <v>4413492</v>
      </c>
      <c r="C436" s="8" t="s">
        <v>1578</v>
      </c>
      <c r="D436" s="19" t="n">
        <v>265</v>
      </c>
      <c r="E436" s="19" t="n">
        <v>7109.739</v>
      </c>
      <c r="F436" s="19" t="n">
        <v>184.421052631579</v>
      </c>
      <c r="G436" s="19" t="n">
        <v>5155.73431578947</v>
      </c>
    </row>
    <row r="437" customFormat="false" ht="15" hidden="false" customHeight="false" outlineLevel="0" collapsed="false">
      <c r="A437" s="8" t="s">
        <v>1153</v>
      </c>
      <c r="B437" s="8" t="n">
        <v>4413493</v>
      </c>
      <c r="C437" s="8" t="s">
        <v>1579</v>
      </c>
      <c r="D437" s="19" t="n">
        <v>136</v>
      </c>
      <c r="E437" s="19" t="n">
        <v>3765.762</v>
      </c>
      <c r="F437" s="19" t="n">
        <v>97.2631578947368</v>
      </c>
      <c r="G437" s="19" t="n">
        <v>2712.75789473684</v>
      </c>
    </row>
    <row r="438" customFormat="false" ht="15" hidden="false" customHeight="false" outlineLevel="0" collapsed="false">
      <c r="A438" s="8" t="s">
        <v>1153</v>
      </c>
      <c r="B438" s="8" t="n">
        <v>4413494</v>
      </c>
      <c r="C438" s="8" t="s">
        <v>1580</v>
      </c>
      <c r="D438" s="19" t="n">
        <v>47</v>
      </c>
      <c r="E438" s="19" t="n">
        <v>1294.93</v>
      </c>
      <c r="F438" s="19" t="n">
        <v>41.6842105263158</v>
      </c>
      <c r="G438" s="19" t="n">
        <v>1159.93389473684</v>
      </c>
    </row>
    <row r="439" customFormat="false" ht="15" hidden="false" customHeight="false" outlineLevel="0" collapsed="false">
      <c r="A439" s="8" t="s">
        <v>1153</v>
      </c>
      <c r="B439" s="8" t="n">
        <v>4413495</v>
      </c>
      <c r="C439" s="8" t="s">
        <v>1581</v>
      </c>
      <c r="D439" s="19" t="n">
        <v>388</v>
      </c>
      <c r="E439" s="19" t="n">
        <v>10333.141</v>
      </c>
      <c r="F439" s="19" t="n">
        <v>282.947368421053</v>
      </c>
      <c r="G439" s="19" t="n">
        <v>7856.65263157895</v>
      </c>
    </row>
    <row r="440" customFormat="false" ht="15" hidden="false" customHeight="false" outlineLevel="0" collapsed="false">
      <c r="A440" s="8" t="s">
        <v>1153</v>
      </c>
      <c r="B440" s="8" t="n">
        <v>4413496</v>
      </c>
      <c r="C440" s="8" t="s">
        <v>1582</v>
      </c>
      <c r="D440" s="19" t="n">
        <v>281</v>
      </c>
      <c r="E440" s="19" t="n">
        <v>7401.758</v>
      </c>
      <c r="F440" s="19" t="n">
        <v>197.052631578947</v>
      </c>
      <c r="G440" s="19" t="n">
        <v>5387.69810526316</v>
      </c>
    </row>
    <row r="441" customFormat="false" ht="15" hidden="false" customHeight="false" outlineLevel="0" collapsed="false">
      <c r="A441" s="8" t="s">
        <v>1153</v>
      </c>
      <c r="B441" s="8" t="n">
        <v>4413497</v>
      </c>
      <c r="C441" s="8" t="s">
        <v>1583</v>
      </c>
      <c r="D441" s="19" t="n">
        <v>277</v>
      </c>
      <c r="E441" s="19" t="n">
        <v>7428.826</v>
      </c>
      <c r="F441" s="19" t="n">
        <v>217.263157894737</v>
      </c>
      <c r="G441" s="19" t="n">
        <v>6024.50652631579</v>
      </c>
    </row>
    <row r="442" customFormat="false" ht="15" hidden="false" customHeight="false" outlineLevel="0" collapsed="false">
      <c r="A442" s="8" t="s">
        <v>1153</v>
      </c>
      <c r="B442" s="8" t="n">
        <v>4413498</v>
      </c>
      <c r="C442" s="8" t="s">
        <v>1584</v>
      </c>
      <c r="D442" s="19" t="n">
        <v>122</v>
      </c>
      <c r="E442" s="19" t="n">
        <v>3368.365</v>
      </c>
      <c r="F442" s="19" t="n">
        <v>112.421052631579</v>
      </c>
      <c r="G442" s="19" t="n">
        <v>3117.60252631579</v>
      </c>
    </row>
    <row r="443" customFormat="false" ht="15" hidden="false" customHeight="false" outlineLevel="0" collapsed="false">
      <c r="A443" s="8" t="s">
        <v>1153</v>
      </c>
      <c r="B443" s="8" t="n">
        <v>4413499</v>
      </c>
      <c r="C443" s="8" t="s">
        <v>1585</v>
      </c>
      <c r="D443" s="19" t="n">
        <v>83</v>
      </c>
      <c r="E443" s="19" t="n">
        <v>2233.231</v>
      </c>
      <c r="F443" s="19" t="n">
        <v>73.2631578947368</v>
      </c>
      <c r="G443" s="19" t="n">
        <v>2021.57936842105</v>
      </c>
    </row>
    <row r="444" customFormat="false" ht="15" hidden="false" customHeight="false" outlineLevel="0" collapsed="false">
      <c r="A444" s="8" t="s">
        <v>1153</v>
      </c>
      <c r="B444" s="8" t="n">
        <v>4413500</v>
      </c>
      <c r="C444" s="8" t="s">
        <v>1586</v>
      </c>
      <c r="D444" s="19" t="n">
        <v>94</v>
      </c>
      <c r="E444" s="19" t="n">
        <v>2429.336</v>
      </c>
      <c r="F444" s="19" t="n">
        <v>96</v>
      </c>
      <c r="G444" s="19" t="n">
        <v>2670.22736842105</v>
      </c>
    </row>
    <row r="445" customFormat="false" ht="15" hidden="false" customHeight="false" outlineLevel="0" collapsed="false">
      <c r="A445" s="8" t="s">
        <v>1153</v>
      </c>
      <c r="B445" s="8" t="n">
        <v>4413501</v>
      </c>
      <c r="C445" s="8" t="s">
        <v>1587</v>
      </c>
      <c r="D445" s="19" t="n">
        <v>170</v>
      </c>
      <c r="E445" s="19" t="n">
        <v>4584.257</v>
      </c>
      <c r="F445" s="19" t="n">
        <v>141.473684210526</v>
      </c>
      <c r="G445" s="19" t="n">
        <v>3931.88968421053</v>
      </c>
    </row>
    <row r="446" customFormat="false" ht="15" hidden="false" customHeight="false" outlineLevel="0" collapsed="false">
      <c r="A446" s="8" t="s">
        <v>1153</v>
      </c>
      <c r="B446" s="8" t="n">
        <v>4413502</v>
      </c>
      <c r="C446" s="8" t="s">
        <v>1588</v>
      </c>
      <c r="D446" s="19" t="n">
        <v>119</v>
      </c>
      <c r="E446" s="19" t="n">
        <v>3240.692</v>
      </c>
      <c r="F446" s="19" t="n">
        <v>107.368421052632</v>
      </c>
      <c r="G446" s="19" t="n">
        <v>2973.11368421053</v>
      </c>
    </row>
    <row r="447" customFormat="false" ht="15" hidden="false" customHeight="false" outlineLevel="0" collapsed="false">
      <c r="A447" s="8" t="s">
        <v>1153</v>
      </c>
      <c r="B447" s="8" t="n">
        <v>4413503</v>
      </c>
      <c r="C447" s="8" t="s">
        <v>1589</v>
      </c>
      <c r="D447" s="19" t="n">
        <v>93</v>
      </c>
      <c r="E447" s="19" t="n">
        <v>2492.895</v>
      </c>
      <c r="F447" s="19" t="n">
        <v>61.8947368421053</v>
      </c>
      <c r="G447" s="19" t="n">
        <v>1718.57810526316</v>
      </c>
    </row>
    <row r="448" customFormat="false" ht="15" hidden="false" customHeight="false" outlineLevel="0" collapsed="false">
      <c r="A448" s="8" t="s">
        <v>1153</v>
      </c>
      <c r="B448" s="8" t="n">
        <v>4413504</v>
      </c>
      <c r="C448" s="8" t="s">
        <v>1590</v>
      </c>
      <c r="D448" s="19" t="n">
        <v>5</v>
      </c>
      <c r="E448" s="19" t="n">
        <v>133.952</v>
      </c>
      <c r="F448" s="19" t="n">
        <v>10.1052631578947</v>
      </c>
      <c r="G448" s="19" t="n">
        <v>272.195368421053</v>
      </c>
    </row>
    <row r="449" customFormat="false" ht="15" hidden="false" customHeight="false" outlineLevel="0" collapsed="false">
      <c r="A449" s="8" t="s">
        <v>1153</v>
      </c>
      <c r="B449" s="8" t="n">
        <v>4413516</v>
      </c>
      <c r="C449" s="8" t="s">
        <v>1591</v>
      </c>
      <c r="D449" s="19" t="n">
        <v>241</v>
      </c>
      <c r="E449" s="19" t="n">
        <v>11590.124</v>
      </c>
      <c r="F449" s="19" t="n">
        <v>203.368421052632</v>
      </c>
      <c r="G449" s="19" t="n">
        <v>10330.32</v>
      </c>
    </row>
    <row r="450" customFormat="false" ht="15" hidden="false" customHeight="false" outlineLevel="0" collapsed="false">
      <c r="A450" s="8" t="s">
        <v>1153</v>
      </c>
      <c r="B450" s="8" t="n">
        <v>4413517</v>
      </c>
      <c r="C450" s="8" t="s">
        <v>1592</v>
      </c>
      <c r="D450" s="19" t="n">
        <v>161</v>
      </c>
      <c r="E450" s="19" t="n">
        <v>8022.446</v>
      </c>
      <c r="F450" s="19" t="n">
        <v>149.052631578947</v>
      </c>
      <c r="G450" s="19" t="n">
        <v>7605.06063157895</v>
      </c>
    </row>
    <row r="451" customFormat="false" ht="15" hidden="false" customHeight="false" outlineLevel="0" collapsed="false">
      <c r="A451" s="8" t="s">
        <v>1153</v>
      </c>
      <c r="B451" s="8" t="n">
        <v>4413518</v>
      </c>
      <c r="C451" s="8" t="s">
        <v>1593</v>
      </c>
      <c r="D451" s="19" t="n">
        <v>113</v>
      </c>
      <c r="E451" s="19" t="n">
        <v>5608.057</v>
      </c>
      <c r="F451" s="19" t="n">
        <v>112.421052631579</v>
      </c>
      <c r="G451" s="19" t="n">
        <v>5605.40842105263</v>
      </c>
    </row>
    <row r="452" customFormat="false" ht="15" hidden="false" customHeight="false" outlineLevel="0" collapsed="false">
      <c r="A452" s="8" t="s">
        <v>1153</v>
      </c>
      <c r="B452" s="8" t="n">
        <v>4413519</v>
      </c>
      <c r="C452" s="8" t="s">
        <v>1594</v>
      </c>
      <c r="D452" s="19" t="n">
        <v>86</v>
      </c>
      <c r="E452" s="19" t="n">
        <v>4295.382</v>
      </c>
      <c r="F452" s="19" t="n">
        <v>58.1052631578947</v>
      </c>
      <c r="G452" s="19" t="n">
        <v>2948.62989473684</v>
      </c>
    </row>
    <row r="453" customFormat="false" ht="15" hidden="false" customHeight="false" outlineLevel="0" collapsed="false">
      <c r="A453" s="8" t="s">
        <v>1153</v>
      </c>
      <c r="B453" s="8" t="n">
        <v>4413520</v>
      </c>
      <c r="C453" s="8" t="s">
        <v>1595</v>
      </c>
      <c r="D453" s="19" t="n">
        <v>7</v>
      </c>
      <c r="E453" s="19" t="n">
        <v>637.091</v>
      </c>
      <c r="F453" s="19" t="n">
        <v>10.1052631578947</v>
      </c>
      <c r="G453" s="19" t="n">
        <v>919.234105263158</v>
      </c>
    </row>
    <row r="454" customFormat="false" ht="15" hidden="false" customHeight="false" outlineLevel="0" collapsed="false">
      <c r="A454" s="8" t="s">
        <v>1153</v>
      </c>
      <c r="B454" s="8" t="n">
        <v>4413521</v>
      </c>
      <c r="C454" s="8" t="s">
        <v>1596</v>
      </c>
      <c r="D454" s="19" t="n">
        <v>21</v>
      </c>
      <c r="E454" s="19" t="n">
        <v>1944.943</v>
      </c>
      <c r="F454" s="19" t="n">
        <v>8.84210526315789</v>
      </c>
      <c r="G454" s="19" t="n">
        <v>779.802947368421</v>
      </c>
    </row>
    <row r="455" customFormat="false" ht="15" hidden="false" customHeight="false" outlineLevel="0" collapsed="false">
      <c r="A455" s="8" t="s">
        <v>1153</v>
      </c>
      <c r="B455" s="8" t="n">
        <v>4413522</v>
      </c>
      <c r="C455" s="8" t="s">
        <v>1597</v>
      </c>
      <c r="D455" s="19" t="n">
        <v>27</v>
      </c>
      <c r="E455" s="19" t="n">
        <v>2570.477</v>
      </c>
      <c r="F455" s="19" t="n">
        <v>13.8947368421053</v>
      </c>
      <c r="G455" s="19" t="n">
        <v>1441.09515789474</v>
      </c>
    </row>
    <row r="456" customFormat="false" ht="15" hidden="false" customHeight="false" outlineLevel="0" collapsed="false">
      <c r="A456" s="8" t="s">
        <v>1153</v>
      </c>
      <c r="B456" s="8" t="n">
        <v>4413523</v>
      </c>
      <c r="C456" s="8" t="s">
        <v>1598</v>
      </c>
      <c r="D456" s="19" t="n">
        <v>7</v>
      </c>
      <c r="E456" s="19" t="n">
        <v>637.091</v>
      </c>
      <c r="F456" s="19" t="n">
        <v>10.1052631578947</v>
      </c>
      <c r="G456" s="19" t="n">
        <v>888.543157894737</v>
      </c>
    </row>
    <row r="457" customFormat="false" ht="15" hidden="false" customHeight="false" outlineLevel="0" collapsed="false">
      <c r="A457" s="8" t="s">
        <v>1153</v>
      </c>
      <c r="B457" s="8" t="n">
        <v>4413524</v>
      </c>
      <c r="C457" s="8" t="s">
        <v>1599</v>
      </c>
      <c r="D457" s="19" t="n">
        <v>23</v>
      </c>
      <c r="E457" s="19" t="n">
        <v>2170.259</v>
      </c>
      <c r="F457" s="19" t="n">
        <v>12.6315789473684</v>
      </c>
      <c r="G457" s="19" t="n">
        <v>1161.08336842105</v>
      </c>
    </row>
    <row r="458" customFormat="false" ht="15" hidden="false" customHeight="false" outlineLevel="0" collapsed="false">
      <c r="A458" s="8" t="s">
        <v>1153</v>
      </c>
      <c r="B458" s="8" t="n">
        <v>4413525</v>
      </c>
      <c r="C458" s="8" t="s">
        <v>1600</v>
      </c>
      <c r="D458" s="19" t="n">
        <v>20</v>
      </c>
      <c r="E458" s="19" t="n">
        <v>1923.74</v>
      </c>
      <c r="F458" s="19" t="n">
        <v>11.3684210526316</v>
      </c>
      <c r="G458" s="19" t="n">
        <v>1096.48294736842</v>
      </c>
    </row>
    <row r="459" customFormat="false" ht="15" hidden="false" customHeight="false" outlineLevel="0" collapsed="false">
      <c r="A459" s="8" t="s">
        <v>1153</v>
      </c>
      <c r="B459" s="8" t="n">
        <v>4413527</v>
      </c>
      <c r="C459" s="8" t="s">
        <v>1601</v>
      </c>
      <c r="D459" s="19" t="n">
        <v>10</v>
      </c>
      <c r="E459" s="19" t="n">
        <v>821.548</v>
      </c>
      <c r="F459" s="19" t="n">
        <v>7.57894736842105</v>
      </c>
      <c r="G459" s="19" t="n">
        <v>687.730105263158</v>
      </c>
    </row>
    <row r="460" customFormat="false" ht="15" hidden="false" customHeight="false" outlineLevel="0" collapsed="false">
      <c r="A460" s="8" t="s">
        <v>1153</v>
      </c>
      <c r="B460" s="8" t="n">
        <v>4413528</v>
      </c>
      <c r="C460" s="8" t="s">
        <v>1602</v>
      </c>
      <c r="D460" s="19" t="n">
        <v>23</v>
      </c>
      <c r="E460" s="19" t="n">
        <v>2146.235</v>
      </c>
      <c r="F460" s="19" t="n">
        <v>18.9473684210526</v>
      </c>
      <c r="G460" s="19" t="n">
        <v>1850.07789473684</v>
      </c>
    </row>
    <row r="461" customFormat="false" ht="15" hidden="false" customHeight="false" outlineLevel="0" collapsed="false">
      <c r="A461" s="8" t="s">
        <v>1153</v>
      </c>
      <c r="B461" s="8" t="n">
        <v>4413529</v>
      </c>
      <c r="C461" s="8" t="s">
        <v>1603</v>
      </c>
      <c r="D461" s="19" t="n">
        <v>22</v>
      </c>
      <c r="E461" s="19" t="n">
        <v>1964.235</v>
      </c>
      <c r="F461" s="19" t="n">
        <v>17.6842105263158</v>
      </c>
      <c r="G461" s="19" t="n">
        <v>1692.6</v>
      </c>
    </row>
    <row r="462" customFormat="false" ht="15" hidden="false" customHeight="false" outlineLevel="0" collapsed="false">
      <c r="A462" s="8" t="s">
        <v>1153</v>
      </c>
      <c r="B462" s="8" t="n">
        <v>4413530</v>
      </c>
      <c r="C462" s="8" t="s">
        <v>1604</v>
      </c>
      <c r="D462" s="19" t="n">
        <v>1</v>
      </c>
      <c r="E462" s="19" t="n">
        <v>26.208</v>
      </c>
      <c r="F462" s="19" t="n">
        <v>0</v>
      </c>
      <c r="G462" s="19" t="n">
        <v>0</v>
      </c>
    </row>
    <row r="463" customFormat="false" ht="15" hidden="false" customHeight="false" outlineLevel="0" collapsed="false">
      <c r="A463" s="8" t="s">
        <v>1153</v>
      </c>
      <c r="B463" s="8" t="n">
        <v>4413534</v>
      </c>
      <c r="C463" s="8" t="s">
        <v>1605</v>
      </c>
      <c r="D463" s="19" t="n">
        <v>0</v>
      </c>
      <c r="E463" s="19" t="n">
        <v>0</v>
      </c>
      <c r="F463" s="19" t="n">
        <v>10.1052631578947</v>
      </c>
      <c r="G463" s="19" t="n">
        <v>1495.58021052632</v>
      </c>
    </row>
    <row r="464" customFormat="false" ht="15" hidden="false" customHeight="false" outlineLevel="0" collapsed="false">
      <c r="A464" s="8" t="s">
        <v>1153</v>
      </c>
      <c r="B464" s="8" t="n">
        <v>4414000</v>
      </c>
      <c r="C464" s="8" t="s">
        <v>1606</v>
      </c>
      <c r="D464" s="19" t="n">
        <v>730</v>
      </c>
      <c r="E464" s="19" t="n">
        <v>21903.752</v>
      </c>
      <c r="F464" s="19" t="n">
        <v>558.315789473684</v>
      </c>
      <c r="G464" s="19" t="n">
        <v>18163.7381052632</v>
      </c>
    </row>
    <row r="465" customFormat="false" ht="15" hidden="false" customHeight="false" outlineLevel="0" collapsed="false">
      <c r="A465" s="8" t="s">
        <v>1153</v>
      </c>
      <c r="B465" s="8" t="n">
        <v>4415000</v>
      </c>
      <c r="C465" s="8" t="s">
        <v>1607</v>
      </c>
      <c r="D465" s="19" t="n">
        <v>106</v>
      </c>
      <c r="E465" s="19" t="n">
        <v>9478.014</v>
      </c>
      <c r="F465" s="19" t="n">
        <v>78.3157894736842</v>
      </c>
      <c r="G465" s="19" t="n">
        <v>7065.9612631579</v>
      </c>
    </row>
    <row r="466" customFormat="false" ht="15" hidden="false" customHeight="false" outlineLevel="0" collapsed="false">
      <c r="A466" s="8" t="s">
        <v>1153</v>
      </c>
      <c r="B466" s="8" t="n">
        <v>4415001</v>
      </c>
      <c r="C466" s="8" t="s">
        <v>1608</v>
      </c>
      <c r="D466" s="19" t="n">
        <v>91</v>
      </c>
      <c r="E466" s="19" t="n">
        <v>8161.79</v>
      </c>
      <c r="F466" s="19" t="n">
        <v>54.3157894736842</v>
      </c>
      <c r="G466" s="19" t="n">
        <v>4852.91115789474</v>
      </c>
    </row>
    <row r="467" customFormat="false" ht="15" hidden="false" customHeight="false" outlineLevel="0" collapsed="false">
      <c r="A467" s="8" t="s">
        <v>1153</v>
      </c>
      <c r="B467" s="8" t="n">
        <v>4415002</v>
      </c>
      <c r="C467" s="8" t="s">
        <v>1609</v>
      </c>
      <c r="D467" s="19" t="n">
        <v>53</v>
      </c>
      <c r="E467" s="19" t="n">
        <v>4708.067</v>
      </c>
      <c r="F467" s="19" t="n">
        <v>35.3684210526316</v>
      </c>
      <c r="G467" s="19" t="n">
        <v>3230.48084210526</v>
      </c>
    </row>
    <row r="468" customFormat="false" ht="15" hidden="false" customHeight="false" outlineLevel="0" collapsed="false">
      <c r="A468" s="8" t="s">
        <v>1153</v>
      </c>
      <c r="B468" s="8" t="n">
        <v>4415003</v>
      </c>
      <c r="C468" s="8" t="s">
        <v>1610</v>
      </c>
      <c r="D468" s="19" t="n">
        <v>70</v>
      </c>
      <c r="E468" s="19" t="n">
        <v>6205.199</v>
      </c>
      <c r="F468" s="19" t="n">
        <v>35.3684210526316</v>
      </c>
      <c r="G468" s="19" t="n">
        <v>3223.69894736842</v>
      </c>
    </row>
    <row r="469" customFormat="false" ht="15" hidden="false" customHeight="false" outlineLevel="0" collapsed="false">
      <c r="A469" s="8" t="s">
        <v>1153</v>
      </c>
      <c r="B469" s="8" t="n">
        <v>4415004</v>
      </c>
      <c r="C469" s="8" t="s">
        <v>1611</v>
      </c>
      <c r="D469" s="19" t="n">
        <v>3</v>
      </c>
      <c r="E469" s="19" t="n">
        <v>281.372</v>
      </c>
      <c r="F469" s="19" t="n">
        <v>2.52631578947368</v>
      </c>
      <c r="G469" s="19" t="n">
        <v>236.906526315789</v>
      </c>
    </row>
    <row r="470" customFormat="false" ht="15" hidden="false" customHeight="false" outlineLevel="0" collapsed="false">
      <c r="A470" s="8" t="s">
        <v>1153</v>
      </c>
      <c r="B470" s="8" t="n">
        <v>4415005</v>
      </c>
      <c r="C470" s="8" t="s">
        <v>1612</v>
      </c>
      <c r="D470" s="19" t="n">
        <v>65</v>
      </c>
      <c r="E470" s="19" t="n">
        <v>5937.534</v>
      </c>
      <c r="F470" s="19" t="n">
        <v>40.4210526315789</v>
      </c>
      <c r="G470" s="19" t="n">
        <v>3671.87873684211</v>
      </c>
    </row>
    <row r="471" customFormat="false" ht="15" hidden="false" customHeight="false" outlineLevel="0" collapsed="false">
      <c r="A471" s="8" t="s">
        <v>1153</v>
      </c>
      <c r="B471" s="8" t="n">
        <v>4415006</v>
      </c>
      <c r="C471" s="8" t="s">
        <v>1613</v>
      </c>
      <c r="D471" s="19" t="n">
        <v>81</v>
      </c>
      <c r="E471" s="19" t="n">
        <v>7185.145</v>
      </c>
      <c r="F471" s="19" t="n">
        <v>56.8421052631579</v>
      </c>
      <c r="G471" s="19" t="n">
        <v>5001.58989473684</v>
      </c>
    </row>
    <row r="472" customFormat="false" ht="15" hidden="false" customHeight="false" outlineLevel="0" collapsed="false">
      <c r="A472" s="8" t="s">
        <v>1153</v>
      </c>
      <c r="B472" s="8" t="n">
        <v>4415007</v>
      </c>
      <c r="C472" s="8" t="s">
        <v>1614</v>
      </c>
      <c r="D472" s="19" t="n">
        <v>63</v>
      </c>
      <c r="E472" s="19" t="n">
        <v>5615.587</v>
      </c>
      <c r="F472" s="19" t="n">
        <v>17.6842105263158</v>
      </c>
      <c r="G472" s="19" t="n">
        <v>1634.73978947368</v>
      </c>
    </row>
    <row r="473" customFormat="false" ht="15" hidden="false" customHeight="false" outlineLevel="0" collapsed="false">
      <c r="A473" s="8" t="s">
        <v>1153</v>
      </c>
      <c r="B473" s="8" t="n">
        <v>4415008</v>
      </c>
      <c r="C473" s="8" t="s">
        <v>1615</v>
      </c>
      <c r="D473" s="19" t="n">
        <v>35</v>
      </c>
      <c r="E473" s="19" t="n">
        <v>3212.218</v>
      </c>
      <c r="F473" s="19" t="n">
        <v>24</v>
      </c>
      <c r="G473" s="19" t="n">
        <v>2161.35536842105</v>
      </c>
    </row>
    <row r="474" customFormat="false" ht="15" hidden="false" customHeight="false" outlineLevel="0" collapsed="false">
      <c r="A474" s="8" t="s">
        <v>1153</v>
      </c>
      <c r="B474" s="8" t="n">
        <v>4415012</v>
      </c>
      <c r="C474" s="8" t="s">
        <v>1616</v>
      </c>
      <c r="D474" s="19" t="n">
        <v>1</v>
      </c>
      <c r="E474" s="19" t="n">
        <v>180.726</v>
      </c>
      <c r="F474" s="19" t="n">
        <v>0</v>
      </c>
      <c r="G474" s="19" t="n">
        <v>0</v>
      </c>
    </row>
    <row r="475" customFormat="false" ht="15" hidden="false" customHeight="false" outlineLevel="0" collapsed="false">
      <c r="A475" s="8" t="s">
        <v>1153</v>
      </c>
      <c r="B475" s="8" t="n">
        <v>4415013</v>
      </c>
      <c r="C475" s="8" t="s">
        <v>1617</v>
      </c>
      <c r="D475" s="19" t="n">
        <v>0</v>
      </c>
      <c r="E475" s="19" t="n">
        <v>0</v>
      </c>
      <c r="F475" s="19" t="n">
        <v>2.52631578947368</v>
      </c>
      <c r="G475" s="19" t="n">
        <v>489.101052631579</v>
      </c>
    </row>
    <row r="476" customFormat="false" ht="15" hidden="false" customHeight="false" outlineLevel="0" collapsed="false">
      <c r="A476" s="8" t="s">
        <v>1153</v>
      </c>
      <c r="B476" s="8" t="n">
        <v>4415019</v>
      </c>
      <c r="C476" s="8" t="s">
        <v>1618</v>
      </c>
      <c r="D476" s="19" t="n">
        <v>10</v>
      </c>
      <c r="E476" s="19" t="n">
        <v>1240.148</v>
      </c>
      <c r="F476" s="19" t="n">
        <v>11.3684210526316</v>
      </c>
      <c r="G476" s="19" t="n">
        <v>1258.55873684211</v>
      </c>
    </row>
    <row r="477" customFormat="false" ht="15" hidden="false" customHeight="false" outlineLevel="0" collapsed="false">
      <c r="A477" s="8" t="s">
        <v>1153</v>
      </c>
      <c r="B477" s="8" t="n">
        <v>4415025</v>
      </c>
      <c r="C477" s="8" t="s">
        <v>1619</v>
      </c>
      <c r="D477" s="19" t="n">
        <v>2</v>
      </c>
      <c r="E477" s="19" t="n">
        <v>181.363</v>
      </c>
      <c r="F477" s="19" t="n">
        <v>1.26315789473684</v>
      </c>
      <c r="G477" s="19" t="n">
        <v>130.218947368421</v>
      </c>
    </row>
    <row r="478" customFormat="false" ht="15" hidden="false" customHeight="false" outlineLevel="0" collapsed="false">
      <c r="A478" s="8" t="s">
        <v>1153</v>
      </c>
      <c r="B478" s="8" t="n">
        <v>4415026</v>
      </c>
      <c r="C478" s="8" t="s">
        <v>1620</v>
      </c>
      <c r="D478" s="19" t="n">
        <v>371</v>
      </c>
      <c r="E478" s="19" t="n">
        <v>13950.596</v>
      </c>
      <c r="F478" s="19" t="n">
        <v>257.684210526316</v>
      </c>
      <c r="G478" s="19" t="n">
        <v>9566.19789473684</v>
      </c>
    </row>
    <row r="479" customFormat="false" ht="15" hidden="false" customHeight="false" outlineLevel="0" collapsed="false">
      <c r="A479" s="8" t="s">
        <v>1153</v>
      </c>
      <c r="B479" s="8" t="n">
        <v>4415027</v>
      </c>
      <c r="C479" s="8" t="s">
        <v>1621</v>
      </c>
      <c r="D479" s="19" t="n">
        <v>418</v>
      </c>
      <c r="E479" s="19" t="n">
        <v>15228.417</v>
      </c>
      <c r="F479" s="19" t="n">
        <v>354.947368421053</v>
      </c>
      <c r="G479" s="19" t="n">
        <v>13761.5570526316</v>
      </c>
    </row>
    <row r="480" customFormat="false" ht="15" hidden="false" customHeight="false" outlineLevel="0" collapsed="false">
      <c r="A480" s="8" t="s">
        <v>1153</v>
      </c>
      <c r="B480" s="8" t="n">
        <v>4415028</v>
      </c>
      <c r="C480" s="8" t="s">
        <v>1622</v>
      </c>
      <c r="D480" s="19" t="n">
        <v>704</v>
      </c>
      <c r="E480" s="19" t="n">
        <v>23373.574</v>
      </c>
      <c r="F480" s="19" t="n">
        <v>617.684210526316</v>
      </c>
      <c r="G480" s="19" t="n">
        <v>22121.568</v>
      </c>
    </row>
    <row r="481" customFormat="false" ht="15" hidden="false" customHeight="false" outlineLevel="0" collapsed="false">
      <c r="A481" s="8" t="s">
        <v>1153</v>
      </c>
      <c r="B481" s="8" t="n">
        <v>4415029</v>
      </c>
      <c r="C481" s="8" t="s">
        <v>1623</v>
      </c>
      <c r="D481" s="19" t="n">
        <v>54</v>
      </c>
      <c r="E481" s="19" t="n">
        <v>1479.029</v>
      </c>
      <c r="F481" s="19" t="n">
        <v>70.7368421052632</v>
      </c>
      <c r="G481" s="19" t="n">
        <v>2004.12378947368</v>
      </c>
    </row>
    <row r="482" customFormat="false" ht="15" hidden="false" customHeight="false" outlineLevel="0" collapsed="false">
      <c r="A482" s="8" t="s">
        <v>1153</v>
      </c>
      <c r="B482" s="8" t="n">
        <v>4415067</v>
      </c>
      <c r="C482" s="8" t="s">
        <v>1624</v>
      </c>
      <c r="D482" s="19" t="n">
        <v>0</v>
      </c>
      <c r="E482" s="19" t="n">
        <v>-11.83</v>
      </c>
      <c r="F482" s="19" t="n">
        <v>3.78947368421053</v>
      </c>
      <c r="G482" s="19" t="n">
        <v>241.044631578947</v>
      </c>
    </row>
    <row r="483" customFormat="false" ht="15" hidden="false" customHeight="false" outlineLevel="0" collapsed="false">
      <c r="A483" s="8" t="s">
        <v>1153</v>
      </c>
      <c r="B483" s="8" t="n">
        <v>4415069</v>
      </c>
      <c r="C483" s="8" t="s">
        <v>1625</v>
      </c>
      <c r="D483" s="19" t="n">
        <v>7</v>
      </c>
      <c r="E483" s="19" t="n">
        <v>442.806</v>
      </c>
      <c r="F483" s="19" t="n">
        <v>6.31578947368421</v>
      </c>
      <c r="G483" s="19" t="n">
        <v>407.25852631579</v>
      </c>
    </row>
    <row r="484" customFormat="false" ht="15" hidden="false" customHeight="false" outlineLevel="0" collapsed="false">
      <c r="A484" s="8" t="s">
        <v>1153</v>
      </c>
      <c r="B484" s="8" t="n">
        <v>4415070</v>
      </c>
      <c r="C484" s="8" t="s">
        <v>1626</v>
      </c>
      <c r="D484" s="19" t="n">
        <v>1</v>
      </c>
      <c r="E484" s="19" t="n">
        <v>60.151</v>
      </c>
      <c r="F484" s="19" t="n">
        <v>0</v>
      </c>
      <c r="G484" s="19" t="n">
        <v>0</v>
      </c>
    </row>
    <row r="485" customFormat="false" ht="15" hidden="false" customHeight="false" outlineLevel="0" collapsed="false">
      <c r="A485" s="8" t="s">
        <v>1153</v>
      </c>
      <c r="B485" s="8" t="n">
        <v>4415071</v>
      </c>
      <c r="C485" s="8" t="s">
        <v>1627</v>
      </c>
      <c r="D485" s="19" t="n">
        <v>4</v>
      </c>
      <c r="E485" s="19" t="n">
        <v>249.34</v>
      </c>
      <c r="F485" s="19" t="n">
        <v>1.26315789473684</v>
      </c>
      <c r="G485" s="19" t="n">
        <v>81.4976842105263</v>
      </c>
    </row>
    <row r="486" customFormat="false" ht="15" hidden="false" customHeight="false" outlineLevel="0" collapsed="false">
      <c r="A486" s="8" t="s">
        <v>1153</v>
      </c>
      <c r="B486" s="8" t="n">
        <v>4415072</v>
      </c>
      <c r="C486" s="8" t="s">
        <v>1628</v>
      </c>
      <c r="D486" s="19" t="n">
        <v>47</v>
      </c>
      <c r="E486" s="19" t="n">
        <v>2861.313</v>
      </c>
      <c r="F486" s="19" t="n">
        <v>45.4736842105263</v>
      </c>
      <c r="G486" s="19" t="n">
        <v>2787.93347368421</v>
      </c>
    </row>
    <row r="487" customFormat="false" ht="15" hidden="false" customHeight="false" outlineLevel="0" collapsed="false">
      <c r="A487" s="8" t="s">
        <v>1153</v>
      </c>
      <c r="B487" s="8" t="n">
        <v>4415073</v>
      </c>
      <c r="C487" s="8" t="s">
        <v>1629</v>
      </c>
      <c r="D487" s="19" t="n">
        <v>44</v>
      </c>
      <c r="E487" s="19" t="n">
        <v>2654.296</v>
      </c>
      <c r="F487" s="19" t="n">
        <v>41.6842105263158</v>
      </c>
      <c r="G487" s="19" t="n">
        <v>2574.47621052632</v>
      </c>
    </row>
    <row r="488" customFormat="false" ht="15" hidden="false" customHeight="false" outlineLevel="0" collapsed="false">
      <c r="A488" s="8" t="s">
        <v>1153</v>
      </c>
      <c r="B488" s="8" t="n">
        <v>4415074</v>
      </c>
      <c r="C488" s="8" t="s">
        <v>1630</v>
      </c>
      <c r="D488" s="19" t="n">
        <v>88</v>
      </c>
      <c r="E488" s="19" t="n">
        <v>5389.748</v>
      </c>
      <c r="F488" s="19" t="n">
        <v>79.5789473684211</v>
      </c>
      <c r="G488" s="19" t="n">
        <v>4921.01178947368</v>
      </c>
    </row>
    <row r="489" customFormat="false" ht="15" hidden="false" customHeight="false" outlineLevel="0" collapsed="false">
      <c r="A489" s="8" t="s">
        <v>1153</v>
      </c>
      <c r="B489" s="8" t="n">
        <v>4415075</v>
      </c>
      <c r="C489" s="8" t="s">
        <v>1631</v>
      </c>
      <c r="D489" s="19" t="n">
        <v>47</v>
      </c>
      <c r="E489" s="19" t="n">
        <v>2895.438</v>
      </c>
      <c r="F489" s="19" t="n">
        <v>48</v>
      </c>
      <c r="G489" s="19" t="n">
        <v>2964.14778947368</v>
      </c>
    </row>
    <row r="490" customFormat="false" ht="15" hidden="false" customHeight="false" outlineLevel="0" collapsed="false">
      <c r="A490" s="8" t="s">
        <v>1153</v>
      </c>
      <c r="B490" s="8" t="n">
        <v>4415080</v>
      </c>
      <c r="C490" s="8" t="s">
        <v>1632</v>
      </c>
      <c r="D490" s="19" t="n">
        <v>44</v>
      </c>
      <c r="E490" s="19" t="n">
        <v>381.563</v>
      </c>
      <c r="F490" s="19" t="n">
        <v>150.315789473684</v>
      </c>
      <c r="G490" s="19" t="n">
        <v>1297.64084210526</v>
      </c>
    </row>
    <row r="491" customFormat="false" ht="15" hidden="false" customHeight="false" outlineLevel="0" collapsed="false">
      <c r="A491" s="8" t="s">
        <v>1153</v>
      </c>
      <c r="B491" s="8" t="n">
        <v>4415083</v>
      </c>
      <c r="C491" s="8" t="s">
        <v>1633</v>
      </c>
      <c r="D491" s="19" t="n">
        <v>4</v>
      </c>
      <c r="E491" s="19" t="n">
        <v>399.035</v>
      </c>
      <c r="F491" s="19" t="n">
        <v>0</v>
      </c>
      <c r="G491" s="19" t="n">
        <v>0</v>
      </c>
    </row>
    <row r="492" customFormat="false" ht="15" hidden="false" customHeight="false" outlineLevel="0" collapsed="false">
      <c r="A492" s="8" t="s">
        <v>1153</v>
      </c>
      <c r="B492" s="8" t="n">
        <v>4415084</v>
      </c>
      <c r="C492" s="8" t="s">
        <v>1634</v>
      </c>
      <c r="D492" s="19" t="n">
        <v>4</v>
      </c>
      <c r="E492" s="19" t="n">
        <v>409.318</v>
      </c>
      <c r="F492" s="19" t="n">
        <v>0</v>
      </c>
      <c r="G492" s="19" t="n">
        <v>0</v>
      </c>
    </row>
    <row r="493" customFormat="false" ht="15" hidden="false" customHeight="false" outlineLevel="0" collapsed="false">
      <c r="A493" s="8" t="s">
        <v>1153</v>
      </c>
      <c r="B493" s="8" t="n">
        <v>4415089</v>
      </c>
      <c r="C493" s="8" t="s">
        <v>1635</v>
      </c>
      <c r="D493" s="19" t="n">
        <v>1</v>
      </c>
      <c r="E493" s="19" t="n">
        <v>81.991</v>
      </c>
      <c r="F493" s="19" t="n">
        <v>0</v>
      </c>
      <c r="G493" s="19" t="n">
        <v>0</v>
      </c>
    </row>
    <row r="494" customFormat="false" ht="15" hidden="false" customHeight="false" outlineLevel="0" collapsed="false">
      <c r="A494" s="8" t="s">
        <v>1153</v>
      </c>
      <c r="B494" s="8" t="n">
        <v>4415090</v>
      </c>
      <c r="C494" s="8" t="s">
        <v>1636</v>
      </c>
      <c r="D494" s="19" t="n">
        <v>1</v>
      </c>
      <c r="E494" s="19" t="n">
        <v>81.991</v>
      </c>
      <c r="F494" s="19" t="n">
        <v>0</v>
      </c>
      <c r="G494" s="19" t="n">
        <v>0</v>
      </c>
    </row>
    <row r="495" customFormat="false" ht="15" hidden="false" customHeight="false" outlineLevel="0" collapsed="false">
      <c r="A495" s="8" t="s">
        <v>1153</v>
      </c>
      <c r="B495" s="8" t="n">
        <v>4415091</v>
      </c>
      <c r="C495" s="8" t="s">
        <v>1637</v>
      </c>
      <c r="D495" s="19" t="n">
        <v>0</v>
      </c>
      <c r="E495" s="19" t="n">
        <v>0</v>
      </c>
      <c r="F495" s="19" t="n">
        <v>-2.52631578947368</v>
      </c>
      <c r="G495" s="19" t="n">
        <v>-222.997894736842</v>
      </c>
    </row>
    <row r="496" customFormat="false" ht="15" hidden="false" customHeight="false" outlineLevel="0" collapsed="false">
      <c r="A496" s="8" t="s">
        <v>1153</v>
      </c>
      <c r="B496" s="8" t="n">
        <v>4415120</v>
      </c>
      <c r="C496" s="8" t="s">
        <v>1638</v>
      </c>
      <c r="D496" s="19" t="n">
        <v>1</v>
      </c>
      <c r="E496" s="19" t="n">
        <v>124.67</v>
      </c>
      <c r="F496" s="19" t="n">
        <v>0</v>
      </c>
      <c r="G496" s="19" t="n">
        <v>0</v>
      </c>
    </row>
    <row r="497" customFormat="false" ht="15" hidden="false" customHeight="false" outlineLevel="0" collapsed="false">
      <c r="A497" s="8" t="s">
        <v>1153</v>
      </c>
      <c r="B497" s="8" t="n">
        <v>4415131</v>
      </c>
      <c r="C497" s="8" t="s">
        <v>1639</v>
      </c>
      <c r="D497" s="19" t="n">
        <v>1</v>
      </c>
      <c r="E497" s="19" t="n">
        <v>85.995</v>
      </c>
      <c r="F497" s="19" t="n">
        <v>0</v>
      </c>
      <c r="G497" s="19" t="n">
        <v>0</v>
      </c>
    </row>
    <row r="498" customFormat="false" ht="15" hidden="false" customHeight="false" outlineLevel="0" collapsed="false">
      <c r="A498" s="8" t="s">
        <v>1153</v>
      </c>
      <c r="B498" s="8" t="n">
        <v>4415158</v>
      </c>
      <c r="C498" s="8" t="s">
        <v>1640</v>
      </c>
      <c r="D498" s="19" t="n">
        <v>520</v>
      </c>
      <c r="E498" s="19" t="n">
        <v>36753.417</v>
      </c>
      <c r="F498" s="19" t="n">
        <v>439.578947368421</v>
      </c>
      <c r="G498" s="19" t="n">
        <v>31250.544</v>
      </c>
    </row>
    <row r="499" customFormat="false" ht="15" hidden="false" customHeight="false" outlineLevel="0" collapsed="false">
      <c r="A499" s="8" t="s">
        <v>1153</v>
      </c>
      <c r="B499" s="8" t="n">
        <v>4415159</v>
      </c>
      <c r="C499" s="8" t="s">
        <v>1641</v>
      </c>
      <c r="D499" s="19" t="n">
        <v>134</v>
      </c>
      <c r="E499" s="19" t="n">
        <v>14155.721</v>
      </c>
      <c r="F499" s="19" t="n">
        <v>145.263157894737</v>
      </c>
      <c r="G499" s="19" t="n">
        <v>15524.8168421053</v>
      </c>
    </row>
    <row r="500" customFormat="false" ht="15" hidden="false" customHeight="false" outlineLevel="0" collapsed="false">
      <c r="A500" s="8" t="s">
        <v>1153</v>
      </c>
      <c r="B500" s="8" t="n">
        <v>4415160</v>
      </c>
      <c r="C500" s="8" t="s">
        <v>1642</v>
      </c>
      <c r="D500" s="19" t="n">
        <v>288</v>
      </c>
      <c r="E500" s="19" t="n">
        <v>5015.565</v>
      </c>
      <c r="F500" s="19" t="n">
        <v>284.21052631579</v>
      </c>
      <c r="G500" s="19" t="n">
        <v>5097.43831578947</v>
      </c>
    </row>
    <row r="501" customFormat="false" ht="15" hidden="false" customHeight="false" outlineLevel="0" collapsed="false">
      <c r="A501" s="8" t="s">
        <v>1153</v>
      </c>
      <c r="B501" s="8" t="n">
        <v>4415161</v>
      </c>
      <c r="C501" s="8" t="s">
        <v>1643</v>
      </c>
      <c r="D501" s="19" t="n">
        <v>412</v>
      </c>
      <c r="E501" s="19" t="n">
        <v>7194.878</v>
      </c>
      <c r="F501" s="19" t="n">
        <v>457.263157894737</v>
      </c>
      <c r="G501" s="19" t="n">
        <v>8198.80042105263</v>
      </c>
    </row>
    <row r="502" customFormat="false" ht="15" hidden="false" customHeight="false" outlineLevel="0" collapsed="false">
      <c r="A502" s="8" t="s">
        <v>1153</v>
      </c>
      <c r="B502" s="8" t="n">
        <v>4415162</v>
      </c>
      <c r="C502" s="8" t="s">
        <v>1644</v>
      </c>
      <c r="D502" s="19" t="n">
        <v>399</v>
      </c>
      <c r="E502" s="19" t="n">
        <v>6988.248</v>
      </c>
      <c r="F502" s="19" t="n">
        <v>387.789473684211</v>
      </c>
      <c r="G502" s="19" t="n">
        <v>6944.78021052632</v>
      </c>
    </row>
    <row r="503" customFormat="false" ht="15" hidden="false" customHeight="false" outlineLevel="0" collapsed="false">
      <c r="A503" s="8" t="s">
        <v>1153</v>
      </c>
      <c r="B503" s="8" t="n">
        <v>4415163</v>
      </c>
      <c r="C503" s="8" t="s">
        <v>1645</v>
      </c>
      <c r="D503" s="19" t="n">
        <v>231</v>
      </c>
      <c r="E503" s="19" t="n">
        <v>4076.65</v>
      </c>
      <c r="F503" s="19" t="n">
        <v>202.105263157895</v>
      </c>
      <c r="G503" s="19" t="n">
        <v>3653.91410526316</v>
      </c>
    </row>
    <row r="504" customFormat="false" ht="15" hidden="false" customHeight="false" outlineLevel="0" collapsed="false">
      <c r="A504" s="8" t="s">
        <v>1153</v>
      </c>
      <c r="B504" s="8" t="n">
        <v>4415164</v>
      </c>
      <c r="C504" s="8" t="s">
        <v>1646</v>
      </c>
      <c r="D504" s="19" t="n">
        <v>1</v>
      </c>
      <c r="E504" s="19" t="n">
        <v>98.917</v>
      </c>
      <c r="F504" s="19" t="n">
        <v>0</v>
      </c>
      <c r="G504" s="19" t="n">
        <v>0</v>
      </c>
    </row>
    <row r="505" customFormat="false" ht="15" hidden="false" customHeight="false" outlineLevel="0" collapsed="false">
      <c r="A505" s="8" t="s">
        <v>1153</v>
      </c>
      <c r="B505" s="8" t="n">
        <v>4415165</v>
      </c>
      <c r="C505" s="8" t="s">
        <v>1647</v>
      </c>
      <c r="D505" s="19" t="n">
        <v>1</v>
      </c>
      <c r="E505" s="19" t="n">
        <v>98.917</v>
      </c>
      <c r="F505" s="19" t="n">
        <v>0</v>
      </c>
      <c r="G505" s="19" t="n">
        <v>0</v>
      </c>
    </row>
    <row r="506" customFormat="false" ht="15" hidden="false" customHeight="false" outlineLevel="0" collapsed="false">
      <c r="A506" s="8" t="s">
        <v>1153</v>
      </c>
      <c r="B506" s="8" t="n">
        <v>4415167</v>
      </c>
      <c r="C506" s="8" t="s">
        <v>1648</v>
      </c>
      <c r="D506" s="19" t="n">
        <v>1</v>
      </c>
      <c r="E506" s="19" t="n">
        <v>98.917</v>
      </c>
      <c r="F506" s="19" t="n">
        <v>0</v>
      </c>
      <c r="G506" s="19" t="n">
        <v>0</v>
      </c>
    </row>
    <row r="507" customFormat="false" ht="15" hidden="false" customHeight="false" outlineLevel="0" collapsed="false">
      <c r="A507" s="8" t="s">
        <v>1153</v>
      </c>
      <c r="B507" s="8" t="n">
        <v>4415168</v>
      </c>
      <c r="C507" s="8" t="s">
        <v>1649</v>
      </c>
      <c r="D507" s="19" t="n">
        <v>1</v>
      </c>
      <c r="E507" s="19" t="n">
        <v>98.917</v>
      </c>
      <c r="F507" s="19" t="n">
        <v>0</v>
      </c>
      <c r="G507" s="19" t="n">
        <v>0</v>
      </c>
    </row>
    <row r="508" customFormat="false" ht="15" hidden="false" customHeight="false" outlineLevel="0" collapsed="false">
      <c r="A508" s="8" t="s">
        <v>1153</v>
      </c>
      <c r="B508" s="8" t="n">
        <v>4415170</v>
      </c>
      <c r="C508" s="8" t="s">
        <v>1650</v>
      </c>
      <c r="D508" s="19" t="n">
        <v>1</v>
      </c>
      <c r="E508" s="19" t="n">
        <v>98.917</v>
      </c>
      <c r="F508" s="19" t="n">
        <v>0</v>
      </c>
      <c r="G508" s="19" t="n">
        <v>0</v>
      </c>
    </row>
    <row r="509" customFormat="false" ht="15" hidden="false" customHeight="false" outlineLevel="0" collapsed="false">
      <c r="A509" s="8" t="s">
        <v>1153</v>
      </c>
      <c r="B509" s="8" t="n">
        <v>4415171</v>
      </c>
      <c r="C509" s="8" t="s">
        <v>1651</v>
      </c>
      <c r="D509" s="19" t="n">
        <v>1</v>
      </c>
      <c r="E509" s="19" t="n">
        <v>98.917</v>
      </c>
      <c r="F509" s="19" t="n">
        <v>0</v>
      </c>
      <c r="G509" s="19" t="n">
        <v>0</v>
      </c>
    </row>
    <row r="510" customFormat="false" ht="15" hidden="false" customHeight="false" outlineLevel="0" collapsed="false">
      <c r="A510" s="8" t="s">
        <v>1153</v>
      </c>
      <c r="B510" s="8" t="n">
        <v>4415173</v>
      </c>
      <c r="C510" s="8" t="s">
        <v>1652</v>
      </c>
      <c r="D510" s="19" t="n">
        <v>1</v>
      </c>
      <c r="E510" s="19" t="n">
        <v>98.917</v>
      </c>
      <c r="F510" s="19" t="n">
        <v>0</v>
      </c>
      <c r="G510" s="19" t="n">
        <v>0</v>
      </c>
    </row>
    <row r="511" customFormat="false" ht="15" hidden="false" customHeight="false" outlineLevel="0" collapsed="false">
      <c r="A511" s="8" t="s">
        <v>1153</v>
      </c>
      <c r="B511" s="8" t="n">
        <v>4415174</v>
      </c>
      <c r="C511" s="8" t="s">
        <v>1653</v>
      </c>
      <c r="D511" s="19" t="n">
        <v>1</v>
      </c>
      <c r="E511" s="19" t="n">
        <v>98.917</v>
      </c>
      <c r="F511" s="19" t="n">
        <v>0</v>
      </c>
      <c r="G511" s="19" t="n">
        <v>0</v>
      </c>
    </row>
    <row r="512" customFormat="false" ht="15" hidden="false" customHeight="false" outlineLevel="0" collapsed="false">
      <c r="A512" s="8" t="s">
        <v>1153</v>
      </c>
      <c r="B512" s="8" t="n">
        <v>4415297</v>
      </c>
      <c r="C512" s="8" t="s">
        <v>1654</v>
      </c>
      <c r="D512" s="19" t="n">
        <v>320</v>
      </c>
      <c r="E512" s="19" t="n">
        <v>6571.815</v>
      </c>
      <c r="F512" s="19" t="n">
        <v>145.263157894737</v>
      </c>
      <c r="G512" s="19" t="n">
        <v>2954.70821052632</v>
      </c>
    </row>
    <row r="513" customFormat="false" ht="15" hidden="false" customHeight="false" outlineLevel="0" collapsed="false">
      <c r="A513" s="8" t="s">
        <v>1153</v>
      </c>
      <c r="B513" s="8" t="n">
        <v>4415298</v>
      </c>
      <c r="C513" s="8" t="s">
        <v>1655</v>
      </c>
      <c r="D513" s="19" t="n">
        <v>47</v>
      </c>
      <c r="E513" s="19" t="n">
        <v>2959.808</v>
      </c>
      <c r="F513" s="19" t="n">
        <v>26.5263157894737</v>
      </c>
      <c r="G513" s="19" t="n">
        <v>1622.05263157895</v>
      </c>
    </row>
    <row r="514" customFormat="false" ht="15" hidden="false" customHeight="false" outlineLevel="0" collapsed="false">
      <c r="A514" s="8" t="s">
        <v>1153</v>
      </c>
      <c r="B514" s="8" t="n">
        <v>4415299</v>
      </c>
      <c r="C514" s="8" t="s">
        <v>1656</v>
      </c>
      <c r="D514" s="19" t="n">
        <v>61</v>
      </c>
      <c r="E514" s="19" t="n">
        <v>3834.165</v>
      </c>
      <c r="F514" s="19" t="n">
        <v>27.7894736842105</v>
      </c>
      <c r="G514" s="19" t="n">
        <v>1790.52884210526</v>
      </c>
    </row>
    <row r="515" customFormat="false" ht="15" hidden="false" customHeight="false" outlineLevel="0" collapsed="false">
      <c r="A515" s="8" t="s">
        <v>1153</v>
      </c>
      <c r="B515" s="8" t="n">
        <v>4416000</v>
      </c>
      <c r="C515" s="8" t="s">
        <v>1657</v>
      </c>
      <c r="D515" s="19" t="n">
        <v>161</v>
      </c>
      <c r="E515" s="19" t="n">
        <v>12168.064</v>
      </c>
      <c r="F515" s="19" t="n">
        <v>94.7368421052632</v>
      </c>
      <c r="G515" s="19" t="n">
        <v>7227.22105263158</v>
      </c>
    </row>
    <row r="516" customFormat="false" ht="15" hidden="false" customHeight="false" outlineLevel="0" collapsed="false">
      <c r="A516" s="8" t="s">
        <v>1153</v>
      </c>
      <c r="B516" s="8" t="n">
        <v>4416001</v>
      </c>
      <c r="C516" s="8" t="s">
        <v>1658</v>
      </c>
      <c r="D516" s="19" t="n">
        <v>159</v>
      </c>
      <c r="E516" s="19" t="n">
        <v>11901.295</v>
      </c>
      <c r="F516" s="19" t="n">
        <v>113.684210526316</v>
      </c>
      <c r="G516" s="19" t="n">
        <v>9023.13852631579</v>
      </c>
    </row>
    <row r="517" customFormat="false" ht="15" hidden="false" customHeight="false" outlineLevel="0" collapsed="false">
      <c r="A517" s="8" t="s">
        <v>1153</v>
      </c>
      <c r="B517" s="8" t="n">
        <v>4416002</v>
      </c>
      <c r="C517" s="8" t="s">
        <v>1659</v>
      </c>
      <c r="D517" s="19" t="n">
        <v>46</v>
      </c>
      <c r="E517" s="19" t="n">
        <v>3308.305</v>
      </c>
      <c r="F517" s="19" t="n">
        <v>24</v>
      </c>
      <c r="G517" s="19" t="n">
        <v>1856.43284210526</v>
      </c>
    </row>
    <row r="518" customFormat="false" ht="15" hidden="false" customHeight="false" outlineLevel="0" collapsed="false">
      <c r="A518" s="8" t="s">
        <v>1153</v>
      </c>
      <c r="B518" s="8" t="n">
        <v>4416003</v>
      </c>
      <c r="C518" s="8" t="s">
        <v>1660</v>
      </c>
      <c r="D518" s="19" t="n">
        <v>128</v>
      </c>
      <c r="E518" s="19" t="n">
        <v>6427.111</v>
      </c>
      <c r="F518" s="19" t="n">
        <v>96</v>
      </c>
      <c r="G518" s="19" t="n">
        <v>4968.94610526316</v>
      </c>
    </row>
    <row r="519" customFormat="false" ht="15" hidden="false" customHeight="false" outlineLevel="0" collapsed="false">
      <c r="A519" s="8" t="s">
        <v>1153</v>
      </c>
      <c r="B519" s="8" t="n">
        <v>4416005</v>
      </c>
      <c r="C519" s="8" t="s">
        <v>1661</v>
      </c>
      <c r="D519" s="19" t="n">
        <v>129</v>
      </c>
      <c r="E519" s="19" t="n">
        <v>6513.689</v>
      </c>
      <c r="F519" s="19" t="n">
        <v>88.421052631579</v>
      </c>
      <c r="G519" s="19" t="n">
        <v>4596.40042105263</v>
      </c>
    </row>
    <row r="520" customFormat="false" ht="15" hidden="false" customHeight="false" outlineLevel="0" collapsed="false">
      <c r="A520" s="8" t="s">
        <v>1153</v>
      </c>
      <c r="B520" s="8" t="n">
        <v>4416006</v>
      </c>
      <c r="C520" s="8" t="s">
        <v>1662</v>
      </c>
      <c r="D520" s="19" t="n">
        <v>-1</v>
      </c>
      <c r="E520" s="19" t="n">
        <v>-23.023</v>
      </c>
      <c r="F520" s="19" t="n">
        <v>-1.26315789473684</v>
      </c>
      <c r="G520" s="19" t="n">
        <v>-67.1292631578947</v>
      </c>
    </row>
    <row r="521" customFormat="false" ht="15" hidden="false" customHeight="false" outlineLevel="0" collapsed="false">
      <c r="A521" s="8" t="s">
        <v>1153</v>
      </c>
      <c r="B521" s="8" t="n">
        <v>4417000</v>
      </c>
      <c r="C521" s="8" t="s">
        <v>1663</v>
      </c>
      <c r="D521" s="19" t="n">
        <v>225</v>
      </c>
      <c r="E521" s="19" t="n">
        <v>5083.383</v>
      </c>
      <c r="F521" s="19" t="n">
        <v>186.947368421053</v>
      </c>
      <c r="G521" s="19" t="n">
        <v>4209.072</v>
      </c>
    </row>
    <row r="522" customFormat="false" ht="15" hidden="false" customHeight="false" outlineLevel="0" collapsed="false">
      <c r="A522" s="8" t="s">
        <v>1153</v>
      </c>
      <c r="B522" s="8" t="n">
        <v>4417001</v>
      </c>
      <c r="C522" s="8" t="s">
        <v>1664</v>
      </c>
      <c r="D522" s="19" t="n">
        <v>-1</v>
      </c>
      <c r="E522" s="19" t="n">
        <v>-8.19</v>
      </c>
      <c r="F522" s="19" t="n">
        <v>0</v>
      </c>
      <c r="G522" s="19" t="n">
        <v>0</v>
      </c>
    </row>
    <row r="523" customFormat="false" ht="15" hidden="false" customHeight="false" outlineLevel="0" collapsed="false">
      <c r="A523" s="8" t="s">
        <v>1153</v>
      </c>
      <c r="B523" s="8" t="n">
        <v>4418000</v>
      </c>
      <c r="C523" s="8" t="s">
        <v>1665</v>
      </c>
      <c r="D523" s="19" t="n">
        <v>205</v>
      </c>
      <c r="E523" s="19" t="n">
        <v>9092.246</v>
      </c>
      <c r="F523" s="19" t="n">
        <v>113.684210526316</v>
      </c>
      <c r="G523" s="19" t="n">
        <v>5019.78189473684</v>
      </c>
    </row>
    <row r="524" customFormat="false" ht="15" hidden="false" customHeight="false" outlineLevel="0" collapsed="false">
      <c r="A524" s="8" t="s">
        <v>1153</v>
      </c>
      <c r="B524" s="8" t="n">
        <v>4418001</v>
      </c>
      <c r="C524" s="8" t="s">
        <v>1666</v>
      </c>
      <c r="D524" s="19" t="n">
        <v>159</v>
      </c>
      <c r="E524" s="19" t="n">
        <v>7100.598</v>
      </c>
      <c r="F524" s="19" t="n">
        <v>78.3157894736842</v>
      </c>
      <c r="G524" s="19" t="n">
        <v>3492.90821052632</v>
      </c>
    </row>
    <row r="525" customFormat="false" ht="15" hidden="false" customHeight="false" outlineLevel="0" collapsed="false">
      <c r="A525" s="8" t="s">
        <v>1153</v>
      </c>
      <c r="B525" s="8" t="n">
        <v>4418002</v>
      </c>
      <c r="C525" s="8" t="s">
        <v>1667</v>
      </c>
      <c r="D525" s="19" t="n">
        <v>81</v>
      </c>
      <c r="E525" s="19" t="n">
        <v>3596.438</v>
      </c>
      <c r="F525" s="19" t="n">
        <v>48</v>
      </c>
      <c r="G525" s="19" t="n">
        <v>2135.43410526316</v>
      </c>
    </row>
    <row r="526" customFormat="false" ht="15" hidden="false" customHeight="false" outlineLevel="0" collapsed="false">
      <c r="A526" s="8" t="s">
        <v>1153</v>
      </c>
      <c r="B526" s="8" t="n">
        <v>4418003</v>
      </c>
      <c r="C526" s="8" t="s">
        <v>1668</v>
      </c>
      <c r="D526" s="19" t="n">
        <v>132</v>
      </c>
      <c r="E526" s="19" t="n">
        <v>5830.348</v>
      </c>
      <c r="F526" s="19" t="n">
        <v>60.6315789473684</v>
      </c>
      <c r="G526" s="19" t="n">
        <v>2686.66484210526</v>
      </c>
    </row>
    <row r="527" customFormat="false" ht="15" hidden="false" customHeight="false" outlineLevel="0" collapsed="false">
      <c r="A527" s="8" t="s">
        <v>1153</v>
      </c>
      <c r="B527" s="8" t="n">
        <v>4418004</v>
      </c>
      <c r="C527" s="8" t="s">
        <v>1669</v>
      </c>
      <c r="D527" s="19" t="n">
        <v>2</v>
      </c>
      <c r="E527" s="19" t="n">
        <v>90.272</v>
      </c>
      <c r="F527" s="19" t="n">
        <v>0</v>
      </c>
      <c r="G527" s="19" t="n">
        <v>0</v>
      </c>
    </row>
    <row r="528" customFormat="false" ht="15" hidden="false" customHeight="false" outlineLevel="0" collapsed="false">
      <c r="A528" s="8" t="s">
        <v>1153</v>
      </c>
      <c r="B528" s="8" t="n">
        <v>4418006</v>
      </c>
      <c r="C528" s="8" t="s">
        <v>1670</v>
      </c>
      <c r="D528" s="19" t="n">
        <v>1</v>
      </c>
      <c r="E528" s="19" t="n">
        <v>60.515</v>
      </c>
      <c r="F528" s="19" t="n">
        <v>1.26315789473684</v>
      </c>
      <c r="G528" s="19" t="n">
        <v>76.44</v>
      </c>
    </row>
    <row r="529" customFormat="false" ht="15" hidden="false" customHeight="false" outlineLevel="0" collapsed="false">
      <c r="A529" s="8" t="s">
        <v>1153</v>
      </c>
      <c r="B529" s="8" t="n">
        <v>4419002</v>
      </c>
      <c r="C529" s="8" t="s">
        <v>1671</v>
      </c>
      <c r="D529" s="19" t="n">
        <v>-1</v>
      </c>
      <c r="E529" s="19" t="n">
        <v>-27.027</v>
      </c>
      <c r="F529" s="19" t="n">
        <v>0</v>
      </c>
      <c r="G529" s="19" t="n">
        <v>0</v>
      </c>
    </row>
    <row r="530" customFormat="false" ht="15" hidden="false" customHeight="false" outlineLevel="0" collapsed="false">
      <c r="A530" s="8" t="s">
        <v>1153</v>
      </c>
      <c r="B530" s="8" t="n">
        <v>4419003</v>
      </c>
      <c r="C530" s="8" t="s">
        <v>1672</v>
      </c>
      <c r="D530" s="19" t="n">
        <v>-5</v>
      </c>
      <c r="E530" s="19" t="n">
        <v>-150.696</v>
      </c>
      <c r="F530" s="19" t="n">
        <v>0</v>
      </c>
      <c r="G530" s="19" t="n">
        <v>0</v>
      </c>
    </row>
    <row r="531" customFormat="false" ht="15" hidden="false" customHeight="false" outlineLevel="0" collapsed="false">
      <c r="A531" s="8" t="s">
        <v>1153</v>
      </c>
      <c r="B531" s="8" t="n">
        <v>4419004</v>
      </c>
      <c r="C531" s="8" t="s">
        <v>1673</v>
      </c>
      <c r="D531" s="19" t="n">
        <v>-1</v>
      </c>
      <c r="E531" s="19" t="n">
        <v>-27.027</v>
      </c>
      <c r="F531" s="19" t="n">
        <v>0</v>
      </c>
      <c r="G531" s="19" t="n">
        <v>0</v>
      </c>
    </row>
    <row r="532" customFormat="false" ht="15" hidden="false" customHeight="false" outlineLevel="0" collapsed="false">
      <c r="A532" s="8" t="s">
        <v>1153</v>
      </c>
      <c r="B532" s="8" t="n">
        <v>4419006</v>
      </c>
      <c r="C532" s="8" t="s">
        <v>1674</v>
      </c>
      <c r="D532" s="19" t="n">
        <v>1063</v>
      </c>
      <c r="E532" s="19" t="n">
        <v>13242.775</v>
      </c>
      <c r="F532" s="19" t="n">
        <v>674.526315789474</v>
      </c>
      <c r="G532" s="19" t="n">
        <v>8603.81052631579</v>
      </c>
    </row>
    <row r="533" customFormat="false" ht="15" hidden="false" customHeight="false" outlineLevel="0" collapsed="false">
      <c r="A533" s="8" t="s">
        <v>1153</v>
      </c>
      <c r="B533" s="8" t="n">
        <v>4419010</v>
      </c>
      <c r="C533" s="8" t="s">
        <v>1675</v>
      </c>
      <c r="D533" s="19" t="n">
        <v>-17</v>
      </c>
      <c r="E533" s="19" t="n">
        <v>-699.062</v>
      </c>
      <c r="F533" s="19" t="n">
        <v>-5.05263157894737</v>
      </c>
      <c r="G533" s="19" t="n">
        <v>-152.305263157895</v>
      </c>
    </row>
    <row r="534" customFormat="false" ht="15" hidden="false" customHeight="false" outlineLevel="0" collapsed="false">
      <c r="A534" s="8" t="s">
        <v>1153</v>
      </c>
      <c r="B534" s="8" t="n">
        <v>4419011</v>
      </c>
      <c r="C534" s="8" t="s">
        <v>1676</v>
      </c>
      <c r="D534" s="19" t="n">
        <v>-1</v>
      </c>
      <c r="E534" s="19" t="n">
        <v>7.783</v>
      </c>
      <c r="F534" s="19" t="n">
        <v>18.9473684210526</v>
      </c>
      <c r="G534" s="19" t="n">
        <v>337.023157894737</v>
      </c>
    </row>
    <row r="535" customFormat="false" ht="15" hidden="false" customHeight="false" outlineLevel="0" collapsed="false">
      <c r="A535" s="8" t="s">
        <v>1153</v>
      </c>
      <c r="B535" s="8" t="n">
        <v>4419012</v>
      </c>
      <c r="C535" s="8" t="s">
        <v>1677</v>
      </c>
      <c r="D535" s="19" t="n">
        <v>-4</v>
      </c>
      <c r="E535" s="19" t="n">
        <v>-48.685</v>
      </c>
      <c r="F535" s="19" t="n">
        <v>0</v>
      </c>
      <c r="G535" s="19" t="n">
        <v>0</v>
      </c>
    </row>
    <row r="536" customFormat="false" ht="15" hidden="false" customHeight="false" outlineLevel="0" collapsed="false">
      <c r="A536" s="8" t="s">
        <v>1153</v>
      </c>
      <c r="B536" s="8" t="n">
        <v>4419013</v>
      </c>
      <c r="C536" s="8" t="s">
        <v>1678</v>
      </c>
      <c r="D536" s="19" t="n">
        <v>-6</v>
      </c>
      <c r="E536" s="19" t="n">
        <v>-82.355</v>
      </c>
      <c r="F536" s="19" t="n">
        <v>7.57894736842105</v>
      </c>
      <c r="G536" s="19" t="n">
        <v>132.189473684211</v>
      </c>
    </row>
    <row r="537" customFormat="false" ht="15" hidden="false" customHeight="false" outlineLevel="0" collapsed="false">
      <c r="A537" s="8" t="s">
        <v>1153</v>
      </c>
      <c r="B537" s="8" t="n">
        <v>4419014</v>
      </c>
      <c r="C537" s="8" t="s">
        <v>1679</v>
      </c>
      <c r="D537" s="19" t="n">
        <v>-4</v>
      </c>
      <c r="E537" s="19" t="n">
        <v>-50.323</v>
      </c>
      <c r="F537" s="19" t="n">
        <v>0</v>
      </c>
      <c r="G537" s="19" t="n">
        <v>0</v>
      </c>
    </row>
    <row r="538" customFormat="false" ht="15" hidden="false" customHeight="false" outlineLevel="0" collapsed="false">
      <c r="A538" s="8" t="s">
        <v>1153</v>
      </c>
      <c r="B538" s="8" t="n">
        <v>4420000</v>
      </c>
      <c r="C538" s="8" t="s">
        <v>1680</v>
      </c>
      <c r="D538" s="19" t="n">
        <v>430</v>
      </c>
      <c r="E538" s="19" t="n">
        <v>4594.087</v>
      </c>
      <c r="F538" s="19" t="n">
        <v>402.947368421053</v>
      </c>
      <c r="G538" s="19" t="n">
        <v>4507.2012631579</v>
      </c>
    </row>
    <row r="539" customFormat="false" ht="15" hidden="false" customHeight="false" outlineLevel="0" collapsed="false">
      <c r="A539" s="8" t="s">
        <v>1153</v>
      </c>
      <c r="B539" s="8" t="n">
        <v>4420001</v>
      </c>
      <c r="C539" s="8" t="s">
        <v>1681</v>
      </c>
      <c r="D539" s="19" t="n">
        <v>159</v>
      </c>
      <c r="E539" s="19" t="n">
        <v>1605.531</v>
      </c>
      <c r="F539" s="19" t="n">
        <v>114.947368421053</v>
      </c>
      <c r="G539" s="19" t="n">
        <v>1147.15326315789</v>
      </c>
    </row>
    <row r="540" customFormat="false" ht="15" hidden="false" customHeight="false" outlineLevel="0" collapsed="false">
      <c r="A540" s="8" t="s">
        <v>1153</v>
      </c>
      <c r="B540" s="8" t="n">
        <v>4420002</v>
      </c>
      <c r="C540" s="8" t="s">
        <v>1682</v>
      </c>
      <c r="D540" s="19" t="n">
        <v>652</v>
      </c>
      <c r="E540" s="19" t="n">
        <v>8501.287</v>
      </c>
      <c r="F540" s="19" t="n">
        <v>504</v>
      </c>
      <c r="G540" s="19" t="n">
        <v>6731.87621052632</v>
      </c>
    </row>
    <row r="541" customFormat="false" ht="15" hidden="false" customHeight="false" outlineLevel="0" collapsed="false">
      <c r="A541" s="8" t="s">
        <v>1153</v>
      </c>
      <c r="B541" s="8" t="n">
        <v>4420003</v>
      </c>
      <c r="C541" s="8" t="s">
        <v>1683</v>
      </c>
      <c r="D541" s="19" t="n">
        <v>315</v>
      </c>
      <c r="E541" s="19" t="n">
        <v>3946.782</v>
      </c>
      <c r="F541" s="19" t="n">
        <v>264</v>
      </c>
      <c r="G541" s="19" t="n">
        <v>3414.21852631579</v>
      </c>
    </row>
    <row r="542" customFormat="false" ht="15" hidden="false" customHeight="false" outlineLevel="0" collapsed="false">
      <c r="A542" s="8" t="s">
        <v>1153</v>
      </c>
      <c r="B542" s="8" t="n">
        <v>4420004</v>
      </c>
      <c r="C542" s="8" t="s">
        <v>1684</v>
      </c>
      <c r="D542" s="19" t="n">
        <v>3</v>
      </c>
      <c r="E542" s="19" t="n">
        <v>38.857</v>
      </c>
      <c r="F542" s="19" t="n">
        <v>1.26315789473684</v>
      </c>
      <c r="G542" s="19" t="n">
        <v>42.4155789473684</v>
      </c>
    </row>
    <row r="543" customFormat="false" ht="15" hidden="false" customHeight="false" outlineLevel="0" collapsed="false">
      <c r="A543" s="8" t="s">
        <v>1153</v>
      </c>
      <c r="B543" s="8" t="n">
        <v>4420005</v>
      </c>
      <c r="C543" s="8" t="s">
        <v>1685</v>
      </c>
      <c r="D543" s="19" t="n">
        <v>3</v>
      </c>
      <c r="E543" s="19" t="n">
        <v>113.75</v>
      </c>
      <c r="F543" s="19" t="n">
        <v>0</v>
      </c>
      <c r="G543" s="19" t="n">
        <v>3.79326315789474</v>
      </c>
    </row>
    <row r="544" customFormat="false" ht="15" hidden="false" customHeight="false" outlineLevel="0" collapsed="false">
      <c r="A544" s="8" t="s">
        <v>1153</v>
      </c>
      <c r="B544" s="8" t="n">
        <v>4420007</v>
      </c>
      <c r="C544" s="8" t="s">
        <v>1686</v>
      </c>
      <c r="D544" s="19" t="n">
        <v>2</v>
      </c>
      <c r="E544" s="19" t="n">
        <v>74.165</v>
      </c>
      <c r="F544" s="19" t="n">
        <v>0</v>
      </c>
      <c r="G544" s="19" t="n">
        <v>0</v>
      </c>
    </row>
    <row r="545" customFormat="false" ht="15" hidden="false" customHeight="false" outlineLevel="0" collapsed="false">
      <c r="A545" s="8" t="s">
        <v>1153</v>
      </c>
      <c r="B545" s="8" t="n">
        <v>4420008</v>
      </c>
      <c r="C545" s="8" t="s">
        <v>1687</v>
      </c>
      <c r="D545" s="19" t="n">
        <v>2</v>
      </c>
      <c r="E545" s="19" t="n">
        <v>76.713</v>
      </c>
      <c r="F545" s="19" t="n">
        <v>-1.26315789473684</v>
      </c>
      <c r="G545" s="19" t="n">
        <v>-41.9557894736842</v>
      </c>
    </row>
    <row r="546" customFormat="false" ht="15" hidden="false" customHeight="false" outlineLevel="0" collapsed="false">
      <c r="A546" s="8" t="s">
        <v>1153</v>
      </c>
      <c r="B546" s="8" t="n">
        <v>4420009</v>
      </c>
      <c r="C546" s="8" t="s">
        <v>1688</v>
      </c>
      <c r="D546" s="19" t="n">
        <v>0</v>
      </c>
      <c r="E546" s="19" t="n">
        <v>0</v>
      </c>
      <c r="F546" s="19" t="n">
        <v>-1.26315789473684</v>
      </c>
      <c r="G546" s="19" t="n">
        <v>-41.9557894736842</v>
      </c>
    </row>
    <row r="547" customFormat="false" ht="15" hidden="false" customHeight="false" outlineLevel="0" collapsed="false">
      <c r="A547" s="8" t="s">
        <v>1153</v>
      </c>
      <c r="B547" s="8" t="n">
        <v>4420010</v>
      </c>
      <c r="C547" s="8" t="s">
        <v>1689</v>
      </c>
      <c r="D547" s="19" t="n">
        <v>6</v>
      </c>
      <c r="E547" s="19" t="n">
        <v>224.861</v>
      </c>
      <c r="F547" s="19" t="n">
        <v>0</v>
      </c>
      <c r="G547" s="19" t="n">
        <v>0</v>
      </c>
    </row>
    <row r="548" customFormat="false" ht="15" hidden="false" customHeight="false" outlineLevel="0" collapsed="false">
      <c r="A548" s="8" t="s">
        <v>1153</v>
      </c>
      <c r="B548" s="8" t="n">
        <v>4420012</v>
      </c>
      <c r="C548" s="8" t="s">
        <v>1690</v>
      </c>
      <c r="D548" s="19" t="n">
        <v>0</v>
      </c>
      <c r="E548" s="19" t="n">
        <v>0</v>
      </c>
      <c r="F548" s="19" t="n">
        <v>-1.26315789473684</v>
      </c>
      <c r="G548" s="19" t="n">
        <v>-41.9557894736842</v>
      </c>
    </row>
    <row r="549" customFormat="false" ht="15" hidden="false" customHeight="false" outlineLevel="0" collapsed="false">
      <c r="A549" s="8" t="s">
        <v>1153</v>
      </c>
      <c r="B549" s="8" t="n">
        <v>4420016</v>
      </c>
      <c r="C549" s="8" t="s">
        <v>1691</v>
      </c>
      <c r="D549" s="19" t="n">
        <v>46</v>
      </c>
      <c r="E549" s="19" t="n">
        <v>2125.123</v>
      </c>
      <c r="F549" s="19" t="n">
        <v>51.7894736842105</v>
      </c>
      <c r="G549" s="19" t="n">
        <v>2417.91789473684</v>
      </c>
    </row>
    <row r="550" customFormat="false" ht="15" hidden="false" customHeight="false" outlineLevel="0" collapsed="false">
      <c r="A550" s="8" t="s">
        <v>1153</v>
      </c>
      <c r="B550" s="8" t="n">
        <v>4420017</v>
      </c>
      <c r="C550" s="8" t="s">
        <v>1692</v>
      </c>
      <c r="D550" s="19" t="n">
        <v>41</v>
      </c>
      <c r="E550" s="19" t="n">
        <v>3471.711</v>
      </c>
      <c r="F550" s="19" t="n">
        <v>34.1052631578947</v>
      </c>
      <c r="G550" s="19" t="n">
        <v>2900.21178947368</v>
      </c>
    </row>
    <row r="551" customFormat="false" ht="15" hidden="false" customHeight="false" outlineLevel="0" collapsed="false">
      <c r="A551" s="8" t="s">
        <v>1153</v>
      </c>
      <c r="B551" s="8" t="n">
        <v>4420018</v>
      </c>
      <c r="C551" s="8" t="s">
        <v>1693</v>
      </c>
      <c r="D551" s="19" t="n">
        <v>-1</v>
      </c>
      <c r="E551" s="19" t="n">
        <v>-89.453</v>
      </c>
      <c r="F551" s="19" t="n">
        <v>0</v>
      </c>
      <c r="G551" s="19" t="n">
        <v>0</v>
      </c>
    </row>
    <row r="552" customFormat="false" ht="15" hidden="false" customHeight="false" outlineLevel="0" collapsed="false">
      <c r="A552" s="8" t="s">
        <v>1153</v>
      </c>
      <c r="B552" s="8" t="n">
        <v>4420022</v>
      </c>
      <c r="C552" s="8" t="s">
        <v>1694</v>
      </c>
      <c r="D552" s="19" t="n">
        <v>81</v>
      </c>
      <c r="E552" s="19" t="n">
        <v>1622.348</v>
      </c>
      <c r="F552" s="19" t="n">
        <v>98.5263157894737</v>
      </c>
      <c r="G552" s="19" t="n">
        <v>2045.94821052632</v>
      </c>
    </row>
    <row r="553" customFormat="false" ht="15" hidden="false" customHeight="false" outlineLevel="0" collapsed="false">
      <c r="A553" s="8" t="s">
        <v>1153</v>
      </c>
      <c r="B553" s="8" t="n">
        <v>4420023</v>
      </c>
      <c r="C553" s="8" t="s">
        <v>1695</v>
      </c>
      <c r="D553" s="19" t="n">
        <v>11</v>
      </c>
      <c r="E553" s="19" t="n">
        <v>278.799</v>
      </c>
      <c r="F553" s="19" t="n">
        <v>8.84210526315789</v>
      </c>
      <c r="G553" s="19" t="n">
        <v>263.268631578947</v>
      </c>
    </row>
    <row r="554" customFormat="false" ht="15" hidden="false" customHeight="false" outlineLevel="0" collapsed="false">
      <c r="A554" s="8" t="s">
        <v>1153</v>
      </c>
      <c r="B554" s="8" t="n">
        <v>4420024</v>
      </c>
      <c r="C554" s="8" t="s">
        <v>1696</v>
      </c>
      <c r="D554" s="19" t="n">
        <v>54</v>
      </c>
      <c r="E554" s="19" t="n">
        <v>976.339</v>
      </c>
      <c r="F554" s="19" t="n">
        <v>45.4736842105263</v>
      </c>
      <c r="G554" s="19" t="n">
        <v>864.511578947368</v>
      </c>
    </row>
    <row r="555" customFormat="false" ht="15" hidden="false" customHeight="false" outlineLevel="0" collapsed="false">
      <c r="A555" s="8" t="s">
        <v>1153</v>
      </c>
      <c r="B555" s="8" t="n">
        <v>4420025</v>
      </c>
      <c r="C555" s="8" t="s">
        <v>1697</v>
      </c>
      <c r="D555" s="19" t="n">
        <v>45</v>
      </c>
      <c r="E555" s="19" t="n">
        <v>917.28</v>
      </c>
      <c r="F555" s="19" t="n">
        <v>13.8947368421053</v>
      </c>
      <c r="G555" s="19" t="n">
        <v>279.666947368421</v>
      </c>
    </row>
    <row r="556" customFormat="false" ht="15" hidden="false" customHeight="false" outlineLevel="0" collapsed="false">
      <c r="A556" s="8" t="s">
        <v>1153</v>
      </c>
      <c r="B556" s="8" t="n">
        <v>4420026</v>
      </c>
      <c r="C556" s="8" t="s">
        <v>1698</v>
      </c>
      <c r="D556" s="19" t="n">
        <v>5</v>
      </c>
      <c r="E556" s="19" t="n">
        <v>367.493</v>
      </c>
      <c r="F556" s="19" t="n">
        <v>7.57894736842105</v>
      </c>
      <c r="G556" s="19" t="n">
        <v>552.481263157895</v>
      </c>
    </row>
    <row r="557" customFormat="false" ht="15" hidden="false" customHeight="false" outlineLevel="0" collapsed="false">
      <c r="A557" s="8" t="s">
        <v>1153</v>
      </c>
      <c r="B557" s="8" t="n">
        <v>4420027</v>
      </c>
      <c r="C557" s="8" t="s">
        <v>1699</v>
      </c>
      <c r="D557" s="19" t="n">
        <v>58</v>
      </c>
      <c r="E557" s="19" t="n">
        <v>617.799</v>
      </c>
      <c r="F557" s="19" t="n">
        <v>11.3684210526316</v>
      </c>
      <c r="G557" s="19" t="n">
        <v>129.315789473684</v>
      </c>
    </row>
    <row r="558" customFormat="false" ht="15" hidden="false" customHeight="false" outlineLevel="0" collapsed="false">
      <c r="A558" s="8" t="s">
        <v>1153</v>
      </c>
      <c r="B558" s="8" t="n">
        <v>4420028</v>
      </c>
      <c r="C558" s="8" t="s">
        <v>1700</v>
      </c>
      <c r="D558" s="19" t="n">
        <v>-1</v>
      </c>
      <c r="E558" s="19" t="n">
        <v>-39.312</v>
      </c>
      <c r="F558" s="19" t="n">
        <v>1.26315789473684</v>
      </c>
      <c r="G558" s="19" t="n">
        <v>40.3465263157895</v>
      </c>
    </row>
    <row r="559" customFormat="false" ht="15" hidden="false" customHeight="false" outlineLevel="0" collapsed="false">
      <c r="A559" s="8" t="s">
        <v>1153</v>
      </c>
      <c r="B559" s="8" t="n">
        <v>4420030</v>
      </c>
      <c r="C559" s="8" t="s">
        <v>1701</v>
      </c>
      <c r="D559" s="19" t="n">
        <v>1</v>
      </c>
      <c r="E559" s="19" t="n">
        <v>30.03</v>
      </c>
      <c r="F559" s="19" t="n">
        <v>1.26315789473684</v>
      </c>
      <c r="G559" s="19" t="n">
        <v>40.3465263157895</v>
      </c>
    </row>
    <row r="560" customFormat="false" ht="15" hidden="false" customHeight="false" outlineLevel="0" collapsed="false">
      <c r="A560" s="8" t="s">
        <v>1153</v>
      </c>
      <c r="B560" s="8" t="n">
        <v>4420031</v>
      </c>
      <c r="C560" s="8" t="s">
        <v>1702</v>
      </c>
      <c r="D560" s="19" t="n">
        <v>0</v>
      </c>
      <c r="E560" s="19" t="n">
        <v>0</v>
      </c>
      <c r="F560" s="19" t="n">
        <v>3.78947368421053</v>
      </c>
      <c r="G560" s="19" t="n">
        <v>121.039578947368</v>
      </c>
    </row>
    <row r="561" customFormat="false" ht="15" hidden="false" customHeight="false" outlineLevel="0" collapsed="false">
      <c r="A561" s="8" t="s">
        <v>1153</v>
      </c>
      <c r="B561" s="8" t="n">
        <v>4420032</v>
      </c>
      <c r="C561" s="8" t="s">
        <v>1703</v>
      </c>
      <c r="D561" s="19" t="n">
        <v>4</v>
      </c>
      <c r="E561" s="19" t="n">
        <v>121.576</v>
      </c>
      <c r="F561" s="19" t="n">
        <v>1.26315789473684</v>
      </c>
      <c r="G561" s="19" t="n">
        <v>40.3465263157895</v>
      </c>
    </row>
    <row r="562" customFormat="false" ht="15" hidden="false" customHeight="false" outlineLevel="0" collapsed="false">
      <c r="A562" s="8" t="s">
        <v>1153</v>
      </c>
      <c r="B562" s="8" t="n">
        <v>4420034</v>
      </c>
      <c r="C562" s="8" t="s">
        <v>1704</v>
      </c>
      <c r="D562" s="19" t="n">
        <v>2</v>
      </c>
      <c r="E562" s="19" t="n">
        <v>68.705</v>
      </c>
      <c r="F562" s="19" t="n">
        <v>3.78947368421053</v>
      </c>
      <c r="G562" s="19" t="n">
        <v>130.235368421053</v>
      </c>
    </row>
    <row r="563" customFormat="false" ht="15" hidden="false" customHeight="false" outlineLevel="0" collapsed="false">
      <c r="A563" s="8" t="s">
        <v>1153</v>
      </c>
      <c r="B563" s="8" t="n">
        <v>4420035</v>
      </c>
      <c r="C563" s="8" t="s">
        <v>1705</v>
      </c>
      <c r="D563" s="19" t="n">
        <v>8</v>
      </c>
      <c r="E563" s="19" t="n">
        <v>364.91</v>
      </c>
      <c r="F563" s="19" t="n">
        <v>3.78947368421053</v>
      </c>
      <c r="G563" s="19" t="n">
        <v>223.687578947368</v>
      </c>
    </row>
    <row r="564" customFormat="false" ht="15" hidden="false" customHeight="false" outlineLevel="0" collapsed="false">
      <c r="A564" s="8" t="s">
        <v>1153</v>
      </c>
      <c r="B564" s="8" t="n">
        <v>4420036</v>
      </c>
      <c r="C564" s="8" t="s">
        <v>1706</v>
      </c>
      <c r="D564" s="19" t="n">
        <v>28</v>
      </c>
      <c r="E564" s="19" t="n">
        <v>1302.301</v>
      </c>
      <c r="F564" s="19" t="n">
        <v>3.78947368421053</v>
      </c>
      <c r="G564" s="19" t="n">
        <v>212.767578947368</v>
      </c>
    </row>
    <row r="565" customFormat="false" ht="15" hidden="false" customHeight="false" outlineLevel="0" collapsed="false">
      <c r="A565" s="8" t="s">
        <v>1153</v>
      </c>
      <c r="B565" s="8" t="n">
        <v>4420037</v>
      </c>
      <c r="C565" s="8" t="s">
        <v>1707</v>
      </c>
      <c r="D565" s="19" t="n">
        <v>-2</v>
      </c>
      <c r="E565" s="19" t="n">
        <v>-97.552</v>
      </c>
      <c r="F565" s="19" t="n">
        <v>2.52631578947368</v>
      </c>
      <c r="G565" s="19" t="n">
        <v>168.397894736842</v>
      </c>
    </row>
    <row r="566" customFormat="false" ht="15" hidden="false" customHeight="false" outlineLevel="0" collapsed="false">
      <c r="A566" s="8" t="s">
        <v>1153</v>
      </c>
      <c r="B566" s="8" t="n">
        <v>4420039</v>
      </c>
      <c r="C566" s="8" t="s">
        <v>1708</v>
      </c>
      <c r="D566" s="19" t="n">
        <v>0</v>
      </c>
      <c r="E566" s="19" t="n">
        <v>0</v>
      </c>
      <c r="F566" s="19" t="n">
        <v>10.1052631578947</v>
      </c>
      <c r="G566" s="19" t="n">
        <v>742.904842105263</v>
      </c>
    </row>
    <row r="567" customFormat="false" ht="15" hidden="false" customHeight="false" outlineLevel="0" collapsed="false">
      <c r="A567" s="8" t="s">
        <v>1153</v>
      </c>
      <c r="B567" s="8" t="n">
        <v>4421000</v>
      </c>
      <c r="C567" s="8" t="s">
        <v>1709</v>
      </c>
      <c r="D567" s="19" t="n">
        <v>1753</v>
      </c>
      <c r="E567" s="19" t="n">
        <v>28400.521</v>
      </c>
      <c r="F567" s="19" t="n">
        <v>1394.52631578947</v>
      </c>
      <c r="G567" s="19" t="n">
        <v>22613.7650526316</v>
      </c>
    </row>
    <row r="568" customFormat="false" ht="15" hidden="false" customHeight="false" outlineLevel="0" collapsed="false">
      <c r="A568" s="8" t="s">
        <v>1153</v>
      </c>
      <c r="B568" s="8" t="n">
        <v>4421001</v>
      </c>
      <c r="C568" s="8" t="s">
        <v>1710</v>
      </c>
      <c r="D568" s="19" t="n">
        <v>169</v>
      </c>
      <c r="E568" s="19" t="n">
        <v>8892.649</v>
      </c>
      <c r="F568" s="19" t="n">
        <v>118.736842105263</v>
      </c>
      <c r="G568" s="19" t="n">
        <v>6368.67410526316</v>
      </c>
    </row>
    <row r="569" customFormat="false" ht="15" hidden="false" customHeight="false" outlineLevel="0" collapsed="false">
      <c r="A569" s="8" t="s">
        <v>1153</v>
      </c>
      <c r="B569" s="8" t="n">
        <v>4421003</v>
      </c>
      <c r="C569" s="8" t="s">
        <v>1711</v>
      </c>
      <c r="D569" s="19" t="n">
        <v>136</v>
      </c>
      <c r="E569" s="19" t="n">
        <v>4349.887</v>
      </c>
      <c r="F569" s="19" t="n">
        <v>101.052631578947</v>
      </c>
      <c r="G569" s="19" t="n">
        <v>3320.22315789474</v>
      </c>
    </row>
    <row r="570" customFormat="false" ht="15" hidden="false" customHeight="false" outlineLevel="0" collapsed="false">
      <c r="A570" s="8" t="s">
        <v>1153</v>
      </c>
      <c r="B570" s="8" t="n">
        <v>4421005</v>
      </c>
      <c r="C570" s="8" t="s">
        <v>1712</v>
      </c>
      <c r="D570" s="19" t="n">
        <v>82</v>
      </c>
      <c r="E570" s="19" t="n">
        <v>2776.61</v>
      </c>
      <c r="F570" s="19" t="n">
        <v>106.105263157895</v>
      </c>
      <c r="G570" s="19" t="n">
        <v>3783.89052631579</v>
      </c>
    </row>
    <row r="571" customFormat="false" ht="15" hidden="false" customHeight="false" outlineLevel="0" collapsed="false">
      <c r="A571" s="8" t="s">
        <v>1153</v>
      </c>
      <c r="B571" s="8" t="n">
        <v>4421006</v>
      </c>
      <c r="C571" s="8" t="s">
        <v>1713</v>
      </c>
      <c r="D571" s="19" t="n">
        <v>136</v>
      </c>
      <c r="E571" s="19" t="n">
        <v>5020.031</v>
      </c>
      <c r="F571" s="19" t="n">
        <v>154.105263157895</v>
      </c>
      <c r="G571" s="19" t="n">
        <v>5772.19705263158</v>
      </c>
    </row>
    <row r="572" customFormat="false" ht="15" hidden="false" customHeight="false" outlineLevel="0" collapsed="false">
      <c r="A572" s="8" t="s">
        <v>1153</v>
      </c>
      <c r="B572" s="8" t="n">
        <v>4421007</v>
      </c>
      <c r="C572" s="8" t="s">
        <v>1714</v>
      </c>
      <c r="D572" s="19" t="n">
        <v>89</v>
      </c>
      <c r="E572" s="19" t="n">
        <v>3548.496</v>
      </c>
      <c r="F572" s="19" t="n">
        <v>82.1052631578947</v>
      </c>
      <c r="G572" s="19" t="n">
        <v>3295.728</v>
      </c>
    </row>
    <row r="573" customFormat="false" ht="15" hidden="false" customHeight="false" outlineLevel="0" collapsed="false">
      <c r="A573" s="8" t="s">
        <v>1153</v>
      </c>
      <c r="B573" s="8" t="n">
        <v>4421008</v>
      </c>
      <c r="C573" s="8" t="s">
        <v>1715</v>
      </c>
      <c r="D573" s="19" t="n">
        <v>104</v>
      </c>
      <c r="E573" s="19" t="n">
        <v>4346.008</v>
      </c>
      <c r="F573" s="19" t="n">
        <v>116.210526315789</v>
      </c>
      <c r="G573" s="19" t="n">
        <v>4801.88715789474</v>
      </c>
    </row>
    <row r="574" customFormat="false" ht="15" hidden="false" customHeight="false" outlineLevel="0" collapsed="false">
      <c r="A574" s="8" t="s">
        <v>1153</v>
      </c>
      <c r="B574" s="8" t="n">
        <v>4422000</v>
      </c>
      <c r="C574" s="8" t="s">
        <v>1716</v>
      </c>
      <c r="D574" s="19" t="n">
        <v>136</v>
      </c>
      <c r="E574" s="19" t="n">
        <v>2583.574</v>
      </c>
      <c r="F574" s="19" t="n">
        <v>168</v>
      </c>
      <c r="G574" s="19" t="n">
        <v>3265.08252631579</v>
      </c>
    </row>
    <row r="575" customFormat="false" ht="15" hidden="false" customHeight="false" outlineLevel="0" collapsed="false">
      <c r="A575" s="8" t="s">
        <v>1153</v>
      </c>
      <c r="B575" s="8" t="n">
        <v>4422003</v>
      </c>
      <c r="C575" s="8" t="s">
        <v>1717</v>
      </c>
      <c r="D575" s="19" t="n">
        <v>-1</v>
      </c>
      <c r="E575" s="19" t="n">
        <v>-33.215</v>
      </c>
      <c r="F575" s="19" t="n">
        <v>0</v>
      </c>
      <c r="G575" s="19" t="n">
        <v>0</v>
      </c>
    </row>
    <row r="576" customFormat="false" ht="15" hidden="false" customHeight="false" outlineLevel="0" collapsed="false">
      <c r="A576" s="8" t="s">
        <v>1153</v>
      </c>
      <c r="B576" s="8" t="n">
        <v>4422004</v>
      </c>
      <c r="C576" s="8" t="s">
        <v>1718</v>
      </c>
      <c r="D576" s="19" t="n">
        <v>13</v>
      </c>
      <c r="E576" s="19" t="n">
        <v>2238.498</v>
      </c>
      <c r="F576" s="19" t="n">
        <v>6.31578947368421</v>
      </c>
      <c r="G576" s="19" t="n">
        <v>1102.57515789474</v>
      </c>
    </row>
    <row r="577" customFormat="false" ht="15" hidden="false" customHeight="false" outlineLevel="0" collapsed="false">
      <c r="A577" s="8" t="s">
        <v>1153</v>
      </c>
      <c r="B577" s="8" t="n">
        <v>4422005</v>
      </c>
      <c r="C577" s="8" t="s">
        <v>1719</v>
      </c>
      <c r="D577" s="19" t="n">
        <v>32</v>
      </c>
      <c r="E577" s="19" t="n">
        <v>5549.33</v>
      </c>
      <c r="F577" s="19" t="n">
        <v>20.2105263157895</v>
      </c>
      <c r="G577" s="19" t="n">
        <v>3442.96926315789</v>
      </c>
    </row>
    <row r="578" customFormat="false" ht="15" hidden="false" customHeight="false" outlineLevel="0" collapsed="false">
      <c r="A578" s="8" t="s">
        <v>1153</v>
      </c>
      <c r="B578" s="8" t="n">
        <v>4422006</v>
      </c>
      <c r="C578" s="8" t="s">
        <v>1720</v>
      </c>
      <c r="D578" s="19" t="n">
        <v>41</v>
      </c>
      <c r="E578" s="19" t="n">
        <v>7031.042</v>
      </c>
      <c r="F578" s="19" t="n">
        <v>34.1052631578947</v>
      </c>
      <c r="G578" s="19" t="n">
        <v>5594.77136842105</v>
      </c>
    </row>
    <row r="579" customFormat="false" ht="15" hidden="false" customHeight="false" outlineLevel="0" collapsed="false">
      <c r="A579" s="8" t="s">
        <v>1153</v>
      </c>
      <c r="B579" s="8" t="n">
        <v>4422007</v>
      </c>
      <c r="C579" s="8" t="s">
        <v>1721</v>
      </c>
      <c r="D579" s="19" t="n">
        <v>20</v>
      </c>
      <c r="E579" s="19" t="n">
        <v>3433.237</v>
      </c>
      <c r="F579" s="19" t="n">
        <v>25.2631578947368</v>
      </c>
      <c r="G579" s="19" t="n">
        <v>4299.24884210526</v>
      </c>
    </row>
    <row r="580" customFormat="false" ht="15" hidden="false" customHeight="false" outlineLevel="0" collapsed="false">
      <c r="A580" s="8" t="s">
        <v>1153</v>
      </c>
      <c r="B580" s="8" t="n">
        <v>4422009</v>
      </c>
      <c r="C580" s="8" t="s">
        <v>1722</v>
      </c>
      <c r="D580" s="19" t="n">
        <v>5</v>
      </c>
      <c r="E580" s="19" t="n">
        <v>843.974</v>
      </c>
      <c r="F580" s="19" t="n">
        <v>3.78947368421053</v>
      </c>
      <c r="G580" s="19" t="n">
        <v>652.901052631579</v>
      </c>
    </row>
    <row r="581" customFormat="false" ht="15" hidden="false" customHeight="false" outlineLevel="0" collapsed="false">
      <c r="A581" s="8" t="s">
        <v>1153</v>
      </c>
      <c r="B581" s="8" t="n">
        <v>4422023</v>
      </c>
      <c r="C581" s="8" t="s">
        <v>1723</v>
      </c>
      <c r="D581" s="19" t="n">
        <v>1518</v>
      </c>
      <c r="E581" s="19" t="n">
        <v>13515.458</v>
      </c>
      <c r="F581" s="19" t="n">
        <v>1074.94736842105</v>
      </c>
      <c r="G581" s="19" t="n">
        <v>10882.1823157895</v>
      </c>
    </row>
    <row r="582" customFormat="false" ht="15" hidden="false" customHeight="false" outlineLevel="0" collapsed="false">
      <c r="A582" s="8" t="s">
        <v>1153</v>
      </c>
      <c r="B582" s="8" t="n">
        <v>4422024</v>
      </c>
      <c r="C582" s="8" t="s">
        <v>1724</v>
      </c>
      <c r="D582" s="19" t="n">
        <v>968</v>
      </c>
      <c r="E582" s="19" t="n">
        <v>8862.001</v>
      </c>
      <c r="F582" s="19" t="n">
        <v>648</v>
      </c>
      <c r="G582" s="19" t="n">
        <v>6520.8492631579</v>
      </c>
    </row>
    <row r="583" customFormat="false" ht="15" hidden="false" customHeight="false" outlineLevel="0" collapsed="false">
      <c r="A583" s="8" t="s">
        <v>1153</v>
      </c>
      <c r="B583" s="8" t="n">
        <v>4422025</v>
      </c>
      <c r="C583" s="8" t="s">
        <v>1725</v>
      </c>
      <c r="D583" s="19" t="n">
        <v>489</v>
      </c>
      <c r="E583" s="19" t="n">
        <v>4252.556</v>
      </c>
      <c r="F583" s="19" t="n">
        <v>233.684210526316</v>
      </c>
      <c r="G583" s="19" t="n">
        <v>2367.10231578947</v>
      </c>
    </row>
    <row r="584" customFormat="false" ht="15" hidden="false" customHeight="false" outlineLevel="0" collapsed="false">
      <c r="A584" s="8" t="s">
        <v>1153</v>
      </c>
      <c r="B584" s="8" t="n">
        <v>4422026</v>
      </c>
      <c r="C584" s="8" t="s">
        <v>1726</v>
      </c>
      <c r="D584" s="19" t="n">
        <v>493</v>
      </c>
      <c r="E584" s="19" t="n">
        <v>4486.104</v>
      </c>
      <c r="F584" s="19" t="n">
        <v>257.684210526316</v>
      </c>
      <c r="G584" s="19" t="n">
        <v>2643.90947368421</v>
      </c>
    </row>
    <row r="585" customFormat="false" ht="15" hidden="false" customHeight="false" outlineLevel="0" collapsed="false">
      <c r="A585" s="8" t="s">
        <v>1153</v>
      </c>
      <c r="B585" s="8" t="n">
        <v>4422031</v>
      </c>
      <c r="C585" s="8" t="s">
        <v>1727</v>
      </c>
      <c r="D585" s="19" t="n">
        <v>705</v>
      </c>
      <c r="E585" s="19" t="n">
        <v>6466.201</v>
      </c>
      <c r="F585" s="19" t="n">
        <v>946.105263157895</v>
      </c>
      <c r="G585" s="19" t="n">
        <v>9646.86315789474</v>
      </c>
    </row>
    <row r="586" customFormat="false" ht="15" hidden="false" customHeight="false" outlineLevel="0" collapsed="false">
      <c r="A586" s="8" t="s">
        <v>1153</v>
      </c>
      <c r="B586" s="8" t="n">
        <v>4422032</v>
      </c>
      <c r="C586" s="8" t="s">
        <v>1728</v>
      </c>
      <c r="D586" s="19" t="n">
        <v>482</v>
      </c>
      <c r="E586" s="19" t="n">
        <v>4061.421</v>
      </c>
      <c r="F586" s="19" t="n">
        <v>267.789473684211</v>
      </c>
      <c r="G586" s="19" t="n">
        <v>2714.94189473684</v>
      </c>
    </row>
    <row r="587" customFormat="false" ht="15" hidden="false" customHeight="false" outlineLevel="0" collapsed="false">
      <c r="A587" s="8" t="s">
        <v>1153</v>
      </c>
      <c r="B587" s="8" t="n">
        <v>4422033</v>
      </c>
      <c r="C587" s="8" t="s">
        <v>1729</v>
      </c>
      <c r="D587" s="19" t="n">
        <v>400</v>
      </c>
      <c r="E587" s="19" t="n">
        <v>3404.401</v>
      </c>
      <c r="F587" s="19" t="n">
        <v>156.631578947368</v>
      </c>
      <c r="G587" s="19" t="n">
        <v>1595.81431578947</v>
      </c>
    </row>
    <row r="588" customFormat="false" ht="15" hidden="false" customHeight="false" outlineLevel="0" collapsed="false">
      <c r="A588" s="8" t="s">
        <v>1153</v>
      </c>
      <c r="B588" s="8" t="n">
        <v>4422034</v>
      </c>
      <c r="C588" s="8" t="s">
        <v>1730</v>
      </c>
      <c r="D588" s="19" t="n">
        <v>201</v>
      </c>
      <c r="E588" s="19" t="n">
        <v>1753.115</v>
      </c>
      <c r="F588" s="19" t="n">
        <v>83.3684210526316</v>
      </c>
      <c r="G588" s="19" t="n">
        <v>892.467789473684</v>
      </c>
    </row>
    <row r="589" customFormat="false" ht="15" hidden="false" customHeight="false" outlineLevel="0" collapsed="false">
      <c r="A589" s="8" t="s">
        <v>1153</v>
      </c>
      <c r="B589" s="8" t="n">
        <v>4422035</v>
      </c>
      <c r="C589" s="8" t="s">
        <v>1731</v>
      </c>
      <c r="D589" s="19" t="n">
        <v>971</v>
      </c>
      <c r="E589" s="19" t="n">
        <v>16498.167</v>
      </c>
      <c r="F589" s="19" t="n">
        <v>430.736842105263</v>
      </c>
      <c r="G589" s="19" t="n">
        <v>7463.87747368421</v>
      </c>
    </row>
    <row r="590" customFormat="false" ht="15" hidden="false" customHeight="false" outlineLevel="0" collapsed="false">
      <c r="A590" s="8" t="s">
        <v>1153</v>
      </c>
      <c r="B590" s="8" t="n">
        <v>4422036</v>
      </c>
      <c r="C590" s="8" t="s">
        <v>1732</v>
      </c>
      <c r="D590" s="19" t="n">
        <v>1018</v>
      </c>
      <c r="E590" s="19" t="n">
        <v>18260.655</v>
      </c>
      <c r="F590" s="19" t="n">
        <v>598.736842105263</v>
      </c>
      <c r="G590" s="19" t="n">
        <v>11468.0450526316</v>
      </c>
    </row>
    <row r="591" customFormat="false" ht="15" hidden="false" customHeight="false" outlineLevel="0" collapsed="false">
      <c r="A591" s="8" t="s">
        <v>1153</v>
      </c>
      <c r="B591" s="8" t="n">
        <v>4422037</v>
      </c>
      <c r="C591" s="8" t="s">
        <v>1733</v>
      </c>
      <c r="D591" s="19" t="n">
        <v>1</v>
      </c>
      <c r="E591" s="19" t="n">
        <v>196.014</v>
      </c>
      <c r="F591" s="19" t="n">
        <v>17.6842105263158</v>
      </c>
      <c r="G591" s="19" t="n">
        <v>3383.36084210526</v>
      </c>
    </row>
    <row r="592" customFormat="false" ht="15" hidden="false" customHeight="false" outlineLevel="0" collapsed="false">
      <c r="A592" s="8" t="s">
        <v>1153</v>
      </c>
      <c r="B592" s="8" t="n">
        <v>4422038</v>
      </c>
      <c r="C592" s="8" t="s">
        <v>1734</v>
      </c>
      <c r="D592" s="19" t="n">
        <v>6</v>
      </c>
      <c r="E592" s="19" t="n">
        <v>947.951</v>
      </c>
      <c r="F592" s="19" t="n">
        <v>27.7894736842105</v>
      </c>
      <c r="G592" s="19" t="n">
        <v>5302.49052631579</v>
      </c>
    </row>
    <row r="593" customFormat="false" ht="15" hidden="false" customHeight="false" outlineLevel="0" collapsed="false">
      <c r="A593" s="8" t="s">
        <v>1153</v>
      </c>
      <c r="B593" s="8" t="n">
        <v>4422039</v>
      </c>
      <c r="C593" s="8" t="s">
        <v>1735</v>
      </c>
      <c r="D593" s="19" t="n">
        <v>5</v>
      </c>
      <c r="E593" s="19" t="n">
        <v>827.951</v>
      </c>
      <c r="F593" s="19" t="n">
        <v>31.5789473684211</v>
      </c>
      <c r="G593" s="19" t="n">
        <v>5619.86021052632</v>
      </c>
    </row>
    <row r="594" customFormat="false" ht="15" hidden="false" customHeight="false" outlineLevel="0" collapsed="false">
      <c r="A594" s="8" t="s">
        <v>1153</v>
      </c>
      <c r="B594" s="8" t="n">
        <v>4422040</v>
      </c>
      <c r="C594" s="8" t="s">
        <v>1736</v>
      </c>
      <c r="D594" s="19" t="n">
        <v>8</v>
      </c>
      <c r="E594" s="19" t="n">
        <v>1389.785</v>
      </c>
      <c r="F594" s="19" t="n">
        <v>39.1578947368421</v>
      </c>
      <c r="G594" s="19" t="n">
        <v>6863.74736842105</v>
      </c>
    </row>
    <row r="595" customFormat="false" ht="15" hidden="false" customHeight="false" outlineLevel="0" collapsed="false">
      <c r="A595" s="8" t="s">
        <v>1153</v>
      </c>
      <c r="B595" s="8" t="n">
        <v>4422041</v>
      </c>
      <c r="C595" s="8" t="s">
        <v>1737</v>
      </c>
      <c r="D595" s="19" t="n">
        <v>8</v>
      </c>
      <c r="E595" s="19" t="n">
        <v>1389.785</v>
      </c>
      <c r="F595" s="19" t="n">
        <v>35.3684210526316</v>
      </c>
      <c r="G595" s="19" t="n">
        <v>6364.88589473684</v>
      </c>
    </row>
    <row r="596" customFormat="false" ht="15" hidden="false" customHeight="false" outlineLevel="0" collapsed="false">
      <c r="A596" s="8" t="s">
        <v>1153</v>
      </c>
      <c r="B596" s="8" t="n">
        <v>4422042</v>
      </c>
      <c r="C596" s="8" t="s">
        <v>1738</v>
      </c>
      <c r="D596" s="19" t="n">
        <v>1</v>
      </c>
      <c r="E596" s="19" t="n">
        <v>120</v>
      </c>
      <c r="F596" s="19" t="n">
        <v>21.4736842105263</v>
      </c>
      <c r="G596" s="19" t="n">
        <v>3859.22905263158</v>
      </c>
    </row>
    <row r="597" customFormat="false" ht="15" hidden="false" customHeight="false" outlineLevel="0" collapsed="false">
      <c r="A597" s="8" t="s">
        <v>1153</v>
      </c>
      <c r="B597" s="8" t="s">
        <v>787</v>
      </c>
      <c r="C597" s="8" t="s">
        <v>787</v>
      </c>
      <c r="D597" s="19" t="n">
        <v>0</v>
      </c>
      <c r="E597" s="19" t="n">
        <v>0.01</v>
      </c>
      <c r="F597" s="19" t="n">
        <v>0</v>
      </c>
      <c r="G597" s="19" t="n">
        <v>0</v>
      </c>
    </row>
    <row r="598" customFormat="false" ht="15" hidden="false" customHeight="false" outlineLevel="0" collapsed="false">
      <c r="A598" s="8" t="s">
        <v>1153</v>
      </c>
      <c r="B598" s="8" t="s">
        <v>59</v>
      </c>
      <c r="C598" s="8" t="s">
        <v>59</v>
      </c>
      <c r="D598" s="19" t="n">
        <v>2</v>
      </c>
      <c r="E598" s="19" t="n">
        <v>281.15</v>
      </c>
      <c r="F598" s="19" t="n">
        <v>0</v>
      </c>
      <c r="G598" s="19" t="n">
        <v>0</v>
      </c>
    </row>
    <row r="599" customFormat="false" ht="15" hidden="false" customHeight="false" outlineLevel="0" collapsed="false">
      <c r="A599" s="8" t="s">
        <v>1153</v>
      </c>
      <c r="B599" s="8" t="s">
        <v>693</v>
      </c>
      <c r="C599" s="8" t="s">
        <v>693</v>
      </c>
      <c r="D599" s="19" t="n">
        <v>1</v>
      </c>
      <c r="E599" s="19" t="n">
        <v>140.57</v>
      </c>
      <c r="F599" s="19" t="n">
        <v>0</v>
      </c>
      <c r="G599" s="19" t="n">
        <v>0</v>
      </c>
    </row>
    <row r="600" customFormat="false" ht="15" hidden="false" customHeight="false" outlineLevel="0" collapsed="false">
      <c r="A600" s="8" t="s">
        <v>1153</v>
      </c>
      <c r="B600" s="8" t="s">
        <v>867</v>
      </c>
      <c r="C600" s="8" t="s">
        <v>867</v>
      </c>
      <c r="D600" s="19" t="n">
        <v>50</v>
      </c>
      <c r="E600" s="19" t="n">
        <v>6250</v>
      </c>
      <c r="F600" s="19" t="n">
        <v>1.26315789473684</v>
      </c>
      <c r="G600" s="19" t="n">
        <v>295.970526315789</v>
      </c>
    </row>
    <row r="601" customFormat="false" ht="15" hidden="false" customHeight="false" outlineLevel="0" collapsed="false">
      <c r="A601" s="8" t="s">
        <v>1153</v>
      </c>
      <c r="B601" s="8" t="s">
        <v>548</v>
      </c>
      <c r="C601" s="8" t="s">
        <v>548</v>
      </c>
      <c r="D601" s="19" t="n">
        <v>10</v>
      </c>
      <c r="E601" s="19" t="n">
        <v>1250</v>
      </c>
      <c r="F601" s="19" t="n">
        <v>0</v>
      </c>
      <c r="G601" s="19" t="n">
        <v>0</v>
      </c>
    </row>
    <row r="602" customFormat="false" ht="15" hidden="false" customHeight="false" outlineLevel="0" collapsed="false">
      <c r="A602" s="8" t="s">
        <v>1153</v>
      </c>
      <c r="B602" s="8" t="s">
        <v>457</v>
      </c>
      <c r="C602" s="8" t="s">
        <v>457</v>
      </c>
      <c r="D602" s="19" t="n">
        <v>10</v>
      </c>
      <c r="E602" s="19" t="n">
        <v>1300</v>
      </c>
      <c r="F602" s="19" t="n">
        <v>0</v>
      </c>
      <c r="G602" s="19" t="n">
        <v>0</v>
      </c>
    </row>
    <row r="603" customFormat="false" ht="15" hidden="false" customHeight="false" outlineLevel="0" collapsed="false">
      <c r="A603" s="8" t="s">
        <v>1153</v>
      </c>
      <c r="B603" s="8" t="s">
        <v>74</v>
      </c>
      <c r="C603" s="8" t="s">
        <v>74</v>
      </c>
      <c r="D603" s="19" t="n">
        <v>1</v>
      </c>
      <c r="E603" s="19" t="n">
        <v>69.01</v>
      </c>
      <c r="F603" s="19" t="n">
        <v>1.26315789473684</v>
      </c>
      <c r="G603" s="19" t="n">
        <v>107.368421052632</v>
      </c>
    </row>
    <row r="604" customFormat="false" ht="15" hidden="false" customHeight="false" outlineLevel="0" collapsed="false">
      <c r="A604" s="8" t="s">
        <v>1153</v>
      </c>
      <c r="B604" s="8" t="s">
        <v>927</v>
      </c>
      <c r="C604" s="8" t="s">
        <v>927</v>
      </c>
      <c r="D604" s="19" t="n">
        <v>1</v>
      </c>
      <c r="E604" s="19" t="n">
        <v>69</v>
      </c>
      <c r="F604" s="19" t="n">
        <v>0</v>
      </c>
      <c r="G604" s="19" t="n">
        <v>0</v>
      </c>
    </row>
    <row r="605" customFormat="false" ht="15" hidden="false" customHeight="false" outlineLevel="0" collapsed="false">
      <c r="A605" s="8" t="s">
        <v>1153</v>
      </c>
      <c r="B605" s="8" t="s">
        <v>788</v>
      </c>
      <c r="C605" s="8" t="s">
        <v>788</v>
      </c>
      <c r="D605" s="19" t="n">
        <v>1</v>
      </c>
      <c r="E605" s="19" t="n">
        <v>135.88</v>
      </c>
      <c r="F605" s="19" t="n">
        <v>0</v>
      </c>
      <c r="G605" s="19" t="n">
        <v>0</v>
      </c>
    </row>
    <row r="606" customFormat="false" ht="15" hidden="false" customHeight="false" outlineLevel="0" collapsed="false">
      <c r="A606" s="8" t="s">
        <v>1153</v>
      </c>
      <c r="B606" s="8" t="s">
        <v>80</v>
      </c>
      <c r="C606" s="8" t="s">
        <v>80</v>
      </c>
      <c r="D606" s="19" t="n">
        <v>0</v>
      </c>
      <c r="E606" s="19" t="n">
        <v>0</v>
      </c>
      <c r="F606" s="19" t="n">
        <v>1.26315789473684</v>
      </c>
      <c r="G606" s="19" t="n">
        <v>198.277894736842</v>
      </c>
    </row>
    <row r="607" customFormat="false" ht="15" hidden="false" customHeight="false" outlineLevel="0" collapsed="false">
      <c r="A607" s="8" t="s">
        <v>1153</v>
      </c>
      <c r="B607" s="8" t="s">
        <v>345</v>
      </c>
      <c r="C607" s="8" t="s">
        <v>345</v>
      </c>
      <c r="D607" s="19" t="n">
        <v>1</v>
      </c>
      <c r="E607" s="19" t="n">
        <v>156.98</v>
      </c>
      <c r="F607" s="19" t="n">
        <v>0</v>
      </c>
      <c r="G607" s="19" t="n">
        <v>0</v>
      </c>
    </row>
    <row r="608" customFormat="false" ht="15" hidden="false" customHeight="false" outlineLevel="0" collapsed="false">
      <c r="A608" s="8" t="s">
        <v>1153</v>
      </c>
      <c r="B608" s="8" t="s">
        <v>83</v>
      </c>
      <c r="C608" s="8" t="s">
        <v>83</v>
      </c>
      <c r="D608" s="19" t="n">
        <v>1</v>
      </c>
      <c r="E608" s="19" t="n">
        <v>140.57</v>
      </c>
      <c r="F608" s="19" t="n">
        <v>1.26315789473684</v>
      </c>
      <c r="G608" s="19" t="n">
        <v>177.574736842105</v>
      </c>
    </row>
    <row r="609" customFormat="false" ht="15" hidden="false" customHeight="false" outlineLevel="0" collapsed="false">
      <c r="A609" s="8" t="s">
        <v>1153</v>
      </c>
      <c r="B609" s="8" t="s">
        <v>742</v>
      </c>
      <c r="C609" s="8" t="s">
        <v>742</v>
      </c>
      <c r="D609" s="19" t="n">
        <v>0</v>
      </c>
      <c r="E609" s="19" t="n">
        <v>0</v>
      </c>
      <c r="F609" s="19" t="n">
        <v>2.52631578947368</v>
      </c>
      <c r="G609" s="19" t="n">
        <v>355.124210526316</v>
      </c>
    </row>
    <row r="610" customFormat="false" ht="15" hidden="false" customHeight="false" outlineLevel="0" collapsed="false">
      <c r="A610" s="8" t="s">
        <v>1153</v>
      </c>
      <c r="B610" s="8" t="s">
        <v>87</v>
      </c>
      <c r="C610" s="8" t="s">
        <v>87</v>
      </c>
      <c r="D610" s="19" t="n">
        <v>1</v>
      </c>
      <c r="E610" s="19" t="n">
        <v>140.58</v>
      </c>
      <c r="F610" s="19" t="n">
        <v>0</v>
      </c>
      <c r="G610" s="19" t="n">
        <v>0</v>
      </c>
    </row>
    <row r="611" customFormat="false" ht="15" hidden="false" customHeight="false" outlineLevel="0" collapsed="false">
      <c r="A611" s="8" t="s">
        <v>1153</v>
      </c>
      <c r="B611" s="8" t="s">
        <v>88</v>
      </c>
      <c r="C611" s="8" t="s">
        <v>88</v>
      </c>
      <c r="D611" s="19" t="n">
        <v>1</v>
      </c>
      <c r="E611" s="19" t="n">
        <v>132.33</v>
      </c>
      <c r="F611" s="19" t="n">
        <v>0</v>
      </c>
      <c r="G611" s="19" t="n">
        <v>0</v>
      </c>
    </row>
    <row r="612" customFormat="false" ht="15" hidden="false" customHeight="false" outlineLevel="0" collapsed="false">
      <c r="A612" s="8" t="s">
        <v>1153</v>
      </c>
      <c r="B612" s="8" t="s">
        <v>711</v>
      </c>
      <c r="C612" s="8" t="s">
        <v>711</v>
      </c>
      <c r="D612" s="19" t="n">
        <v>1</v>
      </c>
      <c r="E612" s="19" t="n">
        <v>268</v>
      </c>
      <c r="F612" s="19" t="n">
        <v>1.26315789473684</v>
      </c>
      <c r="G612" s="19" t="n">
        <v>390.72</v>
      </c>
    </row>
    <row r="613" customFormat="false" ht="15" hidden="false" customHeight="false" outlineLevel="0" collapsed="false">
      <c r="A613" s="8" t="s">
        <v>1153</v>
      </c>
      <c r="B613" s="8" t="s">
        <v>712</v>
      </c>
      <c r="C613" s="8" t="s">
        <v>712</v>
      </c>
      <c r="D613" s="19" t="n">
        <v>1</v>
      </c>
      <c r="E613" s="19" t="n">
        <v>268</v>
      </c>
      <c r="F613" s="19" t="n">
        <v>1.26315789473684</v>
      </c>
      <c r="G613" s="19" t="n">
        <v>338.526315789474</v>
      </c>
    </row>
    <row r="614" customFormat="false" ht="15" hidden="false" customHeight="false" outlineLevel="0" collapsed="false">
      <c r="A614" s="8" t="s">
        <v>1153</v>
      </c>
      <c r="B614" s="8" t="s">
        <v>863</v>
      </c>
      <c r="C614" s="8" t="s">
        <v>863</v>
      </c>
      <c r="D614" s="19" t="n">
        <v>1</v>
      </c>
      <c r="E614" s="19" t="n">
        <v>268</v>
      </c>
      <c r="F614" s="19" t="n">
        <v>0</v>
      </c>
      <c r="G614" s="19" t="n">
        <v>0</v>
      </c>
    </row>
    <row r="615" customFormat="false" ht="15" hidden="false" customHeight="false" outlineLevel="0" collapsed="false">
      <c r="A615" s="8" t="s">
        <v>1153</v>
      </c>
      <c r="B615" s="8" t="s">
        <v>713</v>
      </c>
      <c r="C615" s="8" t="s">
        <v>713</v>
      </c>
      <c r="D615" s="19" t="n">
        <v>1</v>
      </c>
      <c r="E615" s="19" t="n">
        <v>268</v>
      </c>
      <c r="F615" s="19" t="n">
        <v>1.26315789473684</v>
      </c>
      <c r="G615" s="19" t="n">
        <v>390.707368421053</v>
      </c>
    </row>
    <row r="616" customFormat="false" ht="15" hidden="false" customHeight="false" outlineLevel="0" collapsed="false">
      <c r="A616" s="8" t="s">
        <v>1153</v>
      </c>
      <c r="B616" s="8" t="s">
        <v>737</v>
      </c>
      <c r="C616" s="8" t="s">
        <v>737</v>
      </c>
      <c r="D616" s="19" t="n">
        <v>0</v>
      </c>
      <c r="E616" s="19" t="n">
        <v>0</v>
      </c>
      <c r="F616" s="19" t="n">
        <v>1.26315789473684</v>
      </c>
      <c r="G616" s="19" t="n">
        <v>390.72</v>
      </c>
    </row>
    <row r="617" customFormat="false" ht="15" hidden="false" customHeight="false" outlineLevel="0" collapsed="false">
      <c r="A617" s="8" t="s">
        <v>1153</v>
      </c>
      <c r="B617" s="8" t="s">
        <v>471</v>
      </c>
      <c r="C617" s="8" t="s">
        <v>471</v>
      </c>
      <c r="D617" s="19" t="n">
        <v>2</v>
      </c>
      <c r="E617" s="19" t="n">
        <v>38.34</v>
      </c>
      <c r="F617" s="19" t="n">
        <v>0</v>
      </c>
      <c r="G617" s="19" t="n">
        <v>0</v>
      </c>
    </row>
    <row r="618" customFormat="false" ht="15" hidden="false" customHeight="false" outlineLevel="0" collapsed="false">
      <c r="A618" s="8" t="s">
        <v>1153</v>
      </c>
      <c r="B618" s="8" t="s">
        <v>1053</v>
      </c>
      <c r="C618" s="8" t="s">
        <v>1053</v>
      </c>
      <c r="D618" s="19" t="n">
        <v>3</v>
      </c>
      <c r="E618" s="19" t="n">
        <v>198.4</v>
      </c>
      <c r="F618" s="19" t="n">
        <v>0</v>
      </c>
      <c r="G618" s="19" t="n">
        <v>0</v>
      </c>
    </row>
    <row r="619" customFormat="false" ht="15" hidden="false" customHeight="false" outlineLevel="0" collapsed="false">
      <c r="A619" s="8" t="s">
        <v>1153</v>
      </c>
      <c r="B619" s="8" t="s">
        <v>584</v>
      </c>
      <c r="C619" s="8" t="s">
        <v>584</v>
      </c>
      <c r="D619" s="19" t="n">
        <v>6</v>
      </c>
      <c r="E619" s="19" t="n">
        <v>711.22</v>
      </c>
      <c r="F619" s="19" t="n">
        <v>0</v>
      </c>
      <c r="G619" s="19" t="n">
        <v>0</v>
      </c>
    </row>
    <row r="620" customFormat="false" ht="15" hidden="false" customHeight="false" outlineLevel="0" collapsed="false">
      <c r="A620" s="8" t="s">
        <v>1153</v>
      </c>
      <c r="B620" s="8" t="s">
        <v>623</v>
      </c>
      <c r="C620" s="8" t="s">
        <v>623</v>
      </c>
      <c r="D620" s="19" t="n">
        <v>2</v>
      </c>
      <c r="E620" s="19" t="n">
        <v>187.4</v>
      </c>
      <c r="F620" s="19" t="n">
        <v>0</v>
      </c>
      <c r="G620" s="19" t="n">
        <v>0</v>
      </c>
    </row>
    <row r="621" customFormat="false" ht="15" hidden="false" customHeight="false" outlineLevel="0" collapsed="false">
      <c r="A621" s="8" t="s">
        <v>1153</v>
      </c>
      <c r="B621" s="8" t="s">
        <v>804</v>
      </c>
      <c r="C621" s="8" t="s">
        <v>804</v>
      </c>
      <c r="D621" s="19" t="n">
        <v>0</v>
      </c>
      <c r="E621" s="19" t="n">
        <v>0</v>
      </c>
      <c r="F621" s="19" t="n">
        <v>1.26315789473684</v>
      </c>
      <c r="G621" s="19" t="n">
        <v>268.736842105263</v>
      </c>
    </row>
    <row r="622" customFormat="false" ht="15" hidden="false" customHeight="false" outlineLevel="0" collapsed="false">
      <c r="A622" s="8" t="s">
        <v>1153</v>
      </c>
      <c r="B622" s="8" t="s">
        <v>648</v>
      </c>
      <c r="C622" s="8" t="s">
        <v>648</v>
      </c>
      <c r="D622" s="19" t="n">
        <v>5</v>
      </c>
      <c r="E622" s="19" t="n">
        <v>523.08</v>
      </c>
      <c r="F622" s="19" t="n">
        <v>0</v>
      </c>
      <c r="G622" s="19" t="n">
        <v>0</v>
      </c>
    </row>
    <row r="623" customFormat="false" ht="15" hidden="false" customHeight="false" outlineLevel="0" collapsed="false">
      <c r="A623" s="8" t="s">
        <v>1153</v>
      </c>
      <c r="B623" s="8" t="s">
        <v>130</v>
      </c>
      <c r="C623" s="8" t="s">
        <v>130</v>
      </c>
      <c r="D623" s="19" t="n">
        <v>0</v>
      </c>
      <c r="E623" s="19" t="n">
        <v>0</v>
      </c>
      <c r="F623" s="19" t="n">
        <v>1.26315789473684</v>
      </c>
      <c r="G623" s="19" t="n">
        <v>155.658947368421</v>
      </c>
    </row>
    <row r="624" customFormat="false" ht="15" hidden="false" customHeight="false" outlineLevel="0" collapsed="false">
      <c r="A624" s="8" t="s">
        <v>1153</v>
      </c>
      <c r="B624" s="8" t="s">
        <v>593</v>
      </c>
      <c r="C624" s="8" t="s">
        <v>593</v>
      </c>
      <c r="D624" s="19" t="n">
        <v>1</v>
      </c>
      <c r="E624" s="19" t="n">
        <v>123.23</v>
      </c>
      <c r="F624" s="19" t="n">
        <v>0</v>
      </c>
      <c r="G624" s="19" t="n">
        <v>0</v>
      </c>
    </row>
    <row r="625" customFormat="false" ht="15" hidden="false" customHeight="false" outlineLevel="0" collapsed="false">
      <c r="A625" s="8" t="s">
        <v>1153</v>
      </c>
      <c r="B625" s="8" t="s">
        <v>361</v>
      </c>
      <c r="C625" s="8" t="s">
        <v>361</v>
      </c>
      <c r="D625" s="19" t="n">
        <v>4</v>
      </c>
      <c r="E625" s="19" t="n">
        <v>121.26</v>
      </c>
      <c r="F625" s="19" t="n">
        <v>0</v>
      </c>
      <c r="G625" s="19" t="n">
        <v>0</v>
      </c>
    </row>
    <row r="626" customFormat="false" ht="15" hidden="false" customHeight="false" outlineLevel="0" collapsed="false">
      <c r="A626" s="8" t="s">
        <v>1153</v>
      </c>
      <c r="B626" s="8" t="s">
        <v>171</v>
      </c>
      <c r="C626" s="8" t="s">
        <v>171</v>
      </c>
      <c r="D626" s="19" t="n">
        <v>2</v>
      </c>
      <c r="E626" s="19" t="n">
        <v>66.09</v>
      </c>
      <c r="F626" s="19" t="n">
        <v>0</v>
      </c>
      <c r="G626" s="19" t="n">
        <v>0</v>
      </c>
    </row>
    <row r="627" customFormat="false" ht="15" hidden="false" customHeight="false" outlineLevel="0" collapsed="false">
      <c r="A627" s="8" t="s">
        <v>1153</v>
      </c>
      <c r="B627" s="8" t="s">
        <v>173</v>
      </c>
      <c r="C627" s="8" t="s">
        <v>173</v>
      </c>
      <c r="D627" s="19" t="n">
        <v>0</v>
      </c>
      <c r="E627" s="19" t="n">
        <v>0</v>
      </c>
      <c r="F627" s="19" t="n">
        <v>2.52631578947368</v>
      </c>
      <c r="G627" s="19" t="n">
        <v>88.6863157894737</v>
      </c>
    </row>
    <row r="628" customFormat="false" ht="15" hidden="false" customHeight="false" outlineLevel="0" collapsed="false">
      <c r="A628" s="8" t="s">
        <v>1153</v>
      </c>
      <c r="B628" s="8" t="s">
        <v>184</v>
      </c>
      <c r="C628" s="8" t="s">
        <v>184</v>
      </c>
      <c r="D628" s="19" t="n">
        <v>6</v>
      </c>
      <c r="E628" s="19" t="n">
        <v>188.76</v>
      </c>
      <c r="F628" s="19" t="n">
        <v>0</v>
      </c>
      <c r="G628" s="19" t="n">
        <v>0</v>
      </c>
    </row>
    <row r="629" customFormat="false" ht="15" hidden="false" customHeight="false" outlineLevel="0" collapsed="false">
      <c r="A629" s="8" t="s">
        <v>1153</v>
      </c>
      <c r="B629" s="8" t="s">
        <v>698</v>
      </c>
      <c r="C629" s="8" t="s">
        <v>698</v>
      </c>
      <c r="D629" s="19" t="n">
        <v>1</v>
      </c>
      <c r="E629" s="19" t="n">
        <v>174.86</v>
      </c>
      <c r="F629" s="19" t="n">
        <v>0</v>
      </c>
      <c r="G629" s="19" t="n">
        <v>0</v>
      </c>
    </row>
    <row r="630" customFormat="false" ht="15" hidden="false" customHeight="false" outlineLevel="0" collapsed="false">
      <c r="A630" s="8" t="s">
        <v>1153</v>
      </c>
      <c r="B630" s="8" t="s">
        <v>552</v>
      </c>
      <c r="C630" s="8" t="s">
        <v>552</v>
      </c>
      <c r="D630" s="19" t="n">
        <v>1</v>
      </c>
      <c r="E630" s="19" t="n">
        <v>187.45</v>
      </c>
      <c r="F630" s="19" t="n">
        <v>0</v>
      </c>
      <c r="G630" s="19" t="n">
        <v>0</v>
      </c>
    </row>
    <row r="631" customFormat="false" ht="15" hidden="false" customHeight="false" outlineLevel="0" collapsed="false">
      <c r="A631" s="8" t="s">
        <v>1153</v>
      </c>
      <c r="B631" s="8" t="s">
        <v>370</v>
      </c>
      <c r="C631" s="8" t="s">
        <v>370</v>
      </c>
      <c r="D631" s="19" t="n">
        <v>1</v>
      </c>
      <c r="E631" s="19" t="n">
        <v>203.38</v>
      </c>
      <c r="F631" s="19" t="n">
        <v>0</v>
      </c>
      <c r="G631" s="19" t="n">
        <v>0</v>
      </c>
    </row>
    <row r="632" customFormat="false" ht="15" hidden="false" customHeight="false" outlineLevel="0" collapsed="false">
      <c r="A632" s="8" t="s">
        <v>1153</v>
      </c>
      <c r="B632" s="8" t="s">
        <v>372</v>
      </c>
      <c r="C632" s="8" t="s">
        <v>372</v>
      </c>
      <c r="D632" s="19" t="n">
        <v>1</v>
      </c>
      <c r="E632" s="19" t="n">
        <v>203.38</v>
      </c>
      <c r="F632" s="19" t="n">
        <v>0</v>
      </c>
      <c r="G632" s="19" t="n">
        <v>0</v>
      </c>
    </row>
    <row r="633" customFormat="false" ht="15" hidden="false" customHeight="false" outlineLevel="0" collapsed="false">
      <c r="A633" s="8" t="s">
        <v>1153</v>
      </c>
      <c r="B633" s="8" t="s">
        <v>650</v>
      </c>
      <c r="C633" s="8" t="s">
        <v>650</v>
      </c>
      <c r="D633" s="19" t="n">
        <v>0</v>
      </c>
      <c r="E633" s="19" t="n">
        <v>0</v>
      </c>
      <c r="F633" s="19" t="n">
        <v>1.26315789473684</v>
      </c>
      <c r="G633" s="19" t="n">
        <v>417.953684210526</v>
      </c>
    </row>
    <row r="634" customFormat="false" ht="15" hidden="false" customHeight="false" outlineLevel="0" collapsed="false">
      <c r="A634" s="8" t="s">
        <v>1153</v>
      </c>
      <c r="B634" s="8" t="s">
        <v>215</v>
      </c>
      <c r="C634" s="8" t="s">
        <v>215</v>
      </c>
      <c r="D634" s="19" t="n">
        <v>2</v>
      </c>
      <c r="E634" s="19" t="n">
        <v>61.78</v>
      </c>
      <c r="F634" s="19" t="n">
        <v>1.26315789473684</v>
      </c>
      <c r="G634" s="19" t="n">
        <v>39.0189473684211</v>
      </c>
    </row>
    <row r="635" customFormat="false" ht="15" hidden="false" customHeight="false" outlineLevel="0" collapsed="false">
      <c r="A635" s="8" t="s">
        <v>1153</v>
      </c>
      <c r="B635" s="8" t="s">
        <v>387</v>
      </c>
      <c r="C635" s="8" t="s">
        <v>387</v>
      </c>
      <c r="D635" s="19" t="n">
        <v>0</v>
      </c>
      <c r="E635" s="19" t="n">
        <v>0</v>
      </c>
      <c r="F635" s="19" t="n">
        <v>2.52631578947368</v>
      </c>
      <c r="G635" s="19" t="n">
        <v>143.166315789474</v>
      </c>
    </row>
    <row r="636" customFormat="false" ht="15" hidden="false" customHeight="false" outlineLevel="0" collapsed="false">
      <c r="A636" s="8" t="s">
        <v>1153</v>
      </c>
      <c r="B636" s="8" t="s">
        <v>965</v>
      </c>
      <c r="C636" s="8" t="s">
        <v>965</v>
      </c>
      <c r="D636" s="19" t="n">
        <v>4</v>
      </c>
      <c r="E636" s="19" t="n">
        <v>226.69</v>
      </c>
      <c r="F636" s="19" t="n">
        <v>0</v>
      </c>
      <c r="G636" s="19" t="n">
        <v>0</v>
      </c>
    </row>
    <row r="637" customFormat="false" ht="15" hidden="false" customHeight="false" outlineLevel="0" collapsed="false">
      <c r="A637" s="8" t="s">
        <v>1153</v>
      </c>
      <c r="B637" s="8" t="s">
        <v>967</v>
      </c>
      <c r="C637" s="8" t="s">
        <v>967</v>
      </c>
      <c r="D637" s="19" t="n">
        <v>2</v>
      </c>
      <c r="E637" s="19" t="n">
        <v>228.54</v>
      </c>
      <c r="F637" s="19" t="n">
        <v>1.26315789473684</v>
      </c>
      <c r="G637" s="19" t="n">
        <v>168.682105263158</v>
      </c>
    </row>
    <row r="638" customFormat="false" ht="15" hidden="false" customHeight="false" outlineLevel="0" collapsed="false">
      <c r="A638" s="8" t="s">
        <v>1153</v>
      </c>
      <c r="B638" s="8" t="s">
        <v>568</v>
      </c>
      <c r="C638" s="8" t="s">
        <v>568</v>
      </c>
      <c r="D638" s="19" t="n">
        <v>1</v>
      </c>
      <c r="E638" s="19" t="n">
        <v>133.54</v>
      </c>
      <c r="F638" s="19" t="n">
        <v>0</v>
      </c>
      <c r="G638" s="19" t="n">
        <v>0</v>
      </c>
    </row>
    <row r="639" customFormat="false" ht="15" hidden="false" customHeight="false" outlineLevel="0" collapsed="false">
      <c r="A639" s="8" t="s">
        <v>1153</v>
      </c>
      <c r="B639" s="8" t="s">
        <v>392</v>
      </c>
      <c r="C639" s="8" t="s">
        <v>392</v>
      </c>
      <c r="D639" s="19" t="n">
        <v>0</v>
      </c>
      <c r="E639" s="19" t="n">
        <v>0</v>
      </c>
      <c r="F639" s="19" t="n">
        <v>1.26315789473684</v>
      </c>
      <c r="G639" s="19" t="n">
        <v>168.682105263158</v>
      </c>
    </row>
    <row r="640" customFormat="false" ht="15" hidden="false" customHeight="false" outlineLevel="0" collapsed="false">
      <c r="A640" s="8" t="s">
        <v>1153</v>
      </c>
      <c r="B640" s="8" t="s">
        <v>393</v>
      </c>
      <c r="C640" s="8" t="s">
        <v>393</v>
      </c>
      <c r="D640" s="19" t="n">
        <v>0</v>
      </c>
      <c r="E640" s="19" t="n">
        <v>0</v>
      </c>
      <c r="F640" s="19" t="n">
        <v>2.52631578947368</v>
      </c>
      <c r="G640" s="19" t="n">
        <v>280.522105263158</v>
      </c>
    </row>
    <row r="641" customFormat="false" ht="15" hidden="false" customHeight="false" outlineLevel="0" collapsed="false">
      <c r="A641" s="8" t="s">
        <v>1153</v>
      </c>
      <c r="B641" s="8" t="s">
        <v>748</v>
      </c>
      <c r="C641" s="8" t="s">
        <v>748</v>
      </c>
      <c r="D641" s="19" t="n">
        <v>2</v>
      </c>
      <c r="E641" s="19" t="n">
        <v>180.04</v>
      </c>
      <c r="F641" s="19" t="n">
        <v>3.78947368421053</v>
      </c>
      <c r="G641" s="19" t="n">
        <v>420.77052631579</v>
      </c>
    </row>
    <row r="642" customFormat="false" ht="15" hidden="false" customHeight="false" outlineLevel="0" collapsed="false">
      <c r="A642" s="8" t="s">
        <v>1153</v>
      </c>
      <c r="B642" s="8" t="s">
        <v>599</v>
      </c>
      <c r="C642" s="8" t="s">
        <v>599</v>
      </c>
      <c r="D642" s="19" t="n">
        <v>1</v>
      </c>
      <c r="E642" s="19" t="n">
        <v>80.32</v>
      </c>
      <c r="F642" s="19" t="n">
        <v>2.52631578947368</v>
      </c>
      <c r="G642" s="19" t="n">
        <v>213.018947368421</v>
      </c>
    </row>
    <row r="643" customFormat="false" ht="15" hidden="false" customHeight="false" outlineLevel="0" collapsed="false">
      <c r="A643" s="8" t="s">
        <v>1153</v>
      </c>
      <c r="B643" s="8" t="s">
        <v>726</v>
      </c>
      <c r="C643" s="8" t="s">
        <v>726</v>
      </c>
      <c r="D643" s="19" t="n">
        <v>3</v>
      </c>
      <c r="E643" s="19" t="n">
        <v>252.96</v>
      </c>
      <c r="F643" s="19" t="n">
        <v>1.26315789473684</v>
      </c>
      <c r="G643" s="19" t="n">
        <v>106.509473684211</v>
      </c>
    </row>
    <row r="644" customFormat="false" ht="15" hidden="false" customHeight="false" outlineLevel="0" collapsed="false">
      <c r="A644" s="8" t="s">
        <v>1153</v>
      </c>
      <c r="B644" s="8" t="s">
        <v>601</v>
      </c>
      <c r="C644" s="8" t="s">
        <v>601</v>
      </c>
      <c r="D644" s="19" t="n">
        <v>0</v>
      </c>
      <c r="E644" s="19" t="n">
        <v>0</v>
      </c>
      <c r="F644" s="19" t="n">
        <v>3.78947368421053</v>
      </c>
      <c r="G644" s="19" t="n">
        <v>319.528421052632</v>
      </c>
    </row>
    <row r="645" customFormat="false" ht="15" hidden="false" customHeight="false" outlineLevel="0" collapsed="false">
      <c r="A645" s="8" t="s">
        <v>1153</v>
      </c>
      <c r="B645" s="8" t="s">
        <v>677</v>
      </c>
      <c r="C645" s="8" t="s">
        <v>677</v>
      </c>
      <c r="D645" s="19" t="n">
        <v>0</v>
      </c>
      <c r="E645" s="19" t="n">
        <v>0</v>
      </c>
      <c r="F645" s="19" t="n">
        <v>1.26315789473684</v>
      </c>
      <c r="G645" s="19" t="n">
        <v>236.778947368421</v>
      </c>
    </row>
    <row r="646" customFormat="false" ht="15" hidden="false" customHeight="false" outlineLevel="0" collapsed="false">
      <c r="A646" s="8" t="s">
        <v>1153</v>
      </c>
      <c r="B646" s="8" t="s">
        <v>602</v>
      </c>
      <c r="C646" s="8" t="s">
        <v>602</v>
      </c>
      <c r="D646" s="19" t="n">
        <v>1</v>
      </c>
      <c r="E646" s="19" t="n">
        <v>66.51</v>
      </c>
      <c r="F646" s="19" t="n">
        <v>0</v>
      </c>
      <c r="G646" s="19" t="n">
        <v>0</v>
      </c>
    </row>
    <row r="647" customFormat="false" ht="15" hidden="false" customHeight="false" outlineLevel="0" collapsed="false">
      <c r="A647" s="8" t="s">
        <v>1153</v>
      </c>
      <c r="B647" s="8" t="s">
        <v>402</v>
      </c>
      <c r="C647" s="8" t="s">
        <v>402</v>
      </c>
      <c r="D647" s="19" t="n">
        <v>0</v>
      </c>
      <c r="E647" s="19" t="n">
        <v>0</v>
      </c>
      <c r="F647" s="19" t="n">
        <v>1.26315789473684</v>
      </c>
      <c r="G647" s="19" t="n">
        <v>84.0126315789474</v>
      </c>
    </row>
    <row r="648" customFormat="false" ht="15" hidden="false" customHeight="false" outlineLevel="0" collapsed="false">
      <c r="A648" s="8" t="s">
        <v>1153</v>
      </c>
      <c r="B648" s="8" t="s">
        <v>231</v>
      </c>
      <c r="C648" s="8" t="s">
        <v>231</v>
      </c>
      <c r="D648" s="19" t="n">
        <v>108</v>
      </c>
      <c r="E648" s="19" t="n">
        <v>13580.19</v>
      </c>
      <c r="F648" s="19" t="n">
        <v>64.421052631579</v>
      </c>
      <c r="G648" s="19" t="n">
        <v>10731.1705263158</v>
      </c>
    </row>
    <row r="649" customFormat="false" ht="15" hidden="false" customHeight="false" outlineLevel="0" collapsed="false">
      <c r="A649" s="8" t="s">
        <v>1153</v>
      </c>
      <c r="B649" s="8" t="s">
        <v>496</v>
      </c>
      <c r="C649" s="8" t="s">
        <v>496</v>
      </c>
      <c r="D649" s="19" t="n">
        <v>0</v>
      </c>
      <c r="E649" s="19" t="n">
        <v>0</v>
      </c>
      <c r="F649" s="19" t="n">
        <v>3.78947368421053</v>
      </c>
      <c r="G649" s="19" t="n">
        <v>0</v>
      </c>
    </row>
    <row r="650" customFormat="false" ht="15" hidden="false" customHeight="false" outlineLevel="0" collapsed="false">
      <c r="A650" s="8" t="s">
        <v>1153</v>
      </c>
      <c r="B650" s="8" t="s">
        <v>236</v>
      </c>
      <c r="C650" s="8" t="s">
        <v>236</v>
      </c>
      <c r="D650" s="19" t="n">
        <v>1</v>
      </c>
      <c r="E650" s="19" t="n">
        <v>472.68</v>
      </c>
      <c r="F650" s="19" t="n">
        <v>0</v>
      </c>
      <c r="G650" s="19" t="n">
        <v>0</v>
      </c>
    </row>
    <row r="651" customFormat="false" ht="15" hidden="false" customHeight="false" outlineLevel="0" collapsed="false">
      <c r="A651" s="8" t="s">
        <v>1153</v>
      </c>
      <c r="B651" s="8" t="s">
        <v>604</v>
      </c>
      <c r="C651" s="8" t="s">
        <v>604</v>
      </c>
      <c r="D651" s="19" t="n">
        <v>1</v>
      </c>
      <c r="E651" s="19" t="n">
        <v>472.7</v>
      </c>
      <c r="F651" s="19" t="n">
        <v>0</v>
      </c>
      <c r="G651" s="19" t="n">
        <v>0</v>
      </c>
    </row>
    <row r="652" customFormat="false" ht="15" hidden="false" customHeight="false" outlineLevel="0" collapsed="false">
      <c r="A652" s="8" t="s">
        <v>1153</v>
      </c>
      <c r="B652" s="8" t="s">
        <v>606</v>
      </c>
      <c r="C652" s="8" t="s">
        <v>606</v>
      </c>
      <c r="D652" s="19" t="n">
        <v>1</v>
      </c>
      <c r="E652" s="19" t="n">
        <v>472.9</v>
      </c>
      <c r="F652" s="19" t="n">
        <v>0</v>
      </c>
      <c r="G652" s="19" t="n">
        <v>0</v>
      </c>
    </row>
    <row r="653" customFormat="false" ht="15" hidden="false" customHeight="false" outlineLevel="0" collapsed="false">
      <c r="A653" s="8" t="s">
        <v>1153</v>
      </c>
      <c r="B653" s="8" t="s">
        <v>721</v>
      </c>
      <c r="C653" s="8" t="s">
        <v>721</v>
      </c>
      <c r="D653" s="19" t="n">
        <v>1</v>
      </c>
      <c r="E653" s="19" t="n">
        <v>165.41</v>
      </c>
      <c r="F653" s="19" t="n">
        <v>0</v>
      </c>
      <c r="G653" s="19" t="n">
        <v>0</v>
      </c>
    </row>
    <row r="654" customFormat="false" ht="15" hidden="false" customHeight="false" outlineLevel="0" collapsed="false">
      <c r="A654" s="8" t="s">
        <v>1153</v>
      </c>
      <c r="B654" s="8" t="s">
        <v>251</v>
      </c>
      <c r="C654" s="8" t="s">
        <v>251</v>
      </c>
      <c r="D654" s="19" t="n">
        <v>1</v>
      </c>
      <c r="E654" s="19" t="n">
        <v>140.24</v>
      </c>
      <c r="F654" s="19" t="n">
        <v>0</v>
      </c>
      <c r="G654" s="19" t="n">
        <v>0</v>
      </c>
    </row>
    <row r="655" customFormat="false" ht="15" hidden="false" customHeight="false" outlineLevel="0" collapsed="false">
      <c r="A655" s="8" t="s">
        <v>1153</v>
      </c>
      <c r="B655" s="8" t="s">
        <v>818</v>
      </c>
      <c r="C655" s="8" t="s">
        <v>818</v>
      </c>
      <c r="D655" s="19" t="n">
        <v>-1</v>
      </c>
      <c r="E655" s="19" t="n">
        <v>-37.77</v>
      </c>
      <c r="F655" s="19" t="n">
        <v>0</v>
      </c>
      <c r="G655" s="19" t="n">
        <v>0</v>
      </c>
    </row>
    <row r="656" customFormat="false" ht="15" hidden="false" customHeight="false" outlineLevel="0" collapsed="false">
      <c r="A656" s="8" t="s">
        <v>1153</v>
      </c>
      <c r="B656" s="8" t="s">
        <v>57</v>
      </c>
      <c r="C656" s="8" t="s">
        <v>57</v>
      </c>
      <c r="D656" s="19" t="n">
        <v>17</v>
      </c>
      <c r="E656" s="19" t="n">
        <v>511.6</v>
      </c>
      <c r="F656" s="19" t="n">
        <v>6.31578947368421</v>
      </c>
      <c r="G656" s="19" t="n">
        <v>172.117894736842</v>
      </c>
    </row>
    <row r="657" customFormat="false" ht="15" hidden="false" customHeight="false" outlineLevel="0" collapsed="false">
      <c r="A657" s="8" t="s">
        <v>1153</v>
      </c>
      <c r="B657" s="8" t="s">
        <v>528</v>
      </c>
      <c r="C657" s="8" t="s">
        <v>528</v>
      </c>
      <c r="D657" s="19" t="n">
        <v>0</v>
      </c>
      <c r="E657" s="19" t="n">
        <v>0</v>
      </c>
      <c r="F657" s="19" t="n">
        <v>1.26315789473684</v>
      </c>
      <c r="G657" s="19" t="n">
        <v>442.105263157895</v>
      </c>
    </row>
    <row r="658" customFormat="false" ht="15" hidden="false" customHeight="false" outlineLevel="0" collapsed="false">
      <c r="A658" s="8" t="s">
        <v>1153</v>
      </c>
      <c r="B658" s="8" t="s">
        <v>320</v>
      </c>
      <c r="C658" s="8" t="s">
        <v>320</v>
      </c>
      <c r="D658" s="19" t="n">
        <v>2</v>
      </c>
      <c r="E658" s="19" t="n">
        <v>140.54</v>
      </c>
      <c r="F658" s="19" t="n">
        <v>0</v>
      </c>
      <c r="G658" s="19" t="n">
        <v>0</v>
      </c>
    </row>
    <row r="659" customFormat="false" ht="15" hidden="false" customHeight="false" outlineLevel="0" collapsed="false">
      <c r="A659" s="8" t="s">
        <v>1153</v>
      </c>
      <c r="B659" s="8" t="s">
        <v>1004</v>
      </c>
      <c r="C659" s="8" t="s">
        <v>1004</v>
      </c>
      <c r="D659" s="19" t="n">
        <v>2</v>
      </c>
      <c r="E659" s="19" t="n">
        <v>140.52</v>
      </c>
      <c r="F659" s="19" t="n">
        <v>0</v>
      </c>
      <c r="G659" s="19" t="n">
        <v>0</v>
      </c>
    </row>
    <row r="660" customFormat="false" ht="15" hidden="false" customHeight="false" outlineLevel="0" collapsed="false">
      <c r="A660" s="8" t="s">
        <v>1153</v>
      </c>
      <c r="B660" s="8" t="s">
        <v>672</v>
      </c>
      <c r="C660" s="8" t="s">
        <v>672</v>
      </c>
      <c r="D660" s="19" t="n">
        <v>2</v>
      </c>
      <c r="E660" s="19" t="n">
        <v>215.52</v>
      </c>
      <c r="F660" s="19" t="n">
        <v>0</v>
      </c>
      <c r="G660" s="19" t="n">
        <v>0</v>
      </c>
    </row>
    <row r="661" customFormat="false" ht="15" hidden="false" customHeight="false" outlineLevel="0" collapsed="false">
      <c r="A661" s="8" t="s">
        <v>1153</v>
      </c>
      <c r="B661" s="8" t="s">
        <v>444</v>
      </c>
      <c r="C661" s="8" t="s">
        <v>444</v>
      </c>
      <c r="D661" s="19" t="n">
        <v>1</v>
      </c>
      <c r="E661" s="19" t="n">
        <v>107.76</v>
      </c>
      <c r="F661" s="19" t="n">
        <v>0</v>
      </c>
      <c r="G661" s="19" t="n">
        <v>0</v>
      </c>
    </row>
    <row r="662" customFormat="false" ht="15" hidden="false" customHeight="false" outlineLevel="0" collapsed="false">
      <c r="A662" s="8" t="s">
        <v>1153</v>
      </c>
      <c r="B662" s="8" t="s">
        <v>325</v>
      </c>
      <c r="C662" s="8" t="s">
        <v>325</v>
      </c>
      <c r="D662" s="19" t="n">
        <v>3</v>
      </c>
      <c r="E662" s="19" t="n">
        <v>283.89</v>
      </c>
      <c r="F662" s="19" t="n">
        <v>3.78947368421053</v>
      </c>
      <c r="G662" s="19" t="n">
        <v>358.610526315789</v>
      </c>
    </row>
    <row r="663" customFormat="false" ht="15" hidden="false" customHeight="false" outlineLevel="0" collapsed="false">
      <c r="A663" s="8" t="s">
        <v>1153</v>
      </c>
      <c r="B663" s="8" t="s">
        <v>326</v>
      </c>
      <c r="C663" s="8" t="s">
        <v>326</v>
      </c>
      <c r="D663" s="19" t="n">
        <v>4</v>
      </c>
      <c r="E663" s="19" t="n">
        <v>378.54</v>
      </c>
      <c r="F663" s="19" t="n">
        <v>2.52631578947368</v>
      </c>
      <c r="G663" s="19" t="n">
        <v>239.065263157895</v>
      </c>
    </row>
    <row r="664" customFormat="false" ht="15" hidden="false" customHeight="false" outlineLevel="0" collapsed="false">
      <c r="A664" s="8" t="s">
        <v>1153</v>
      </c>
      <c r="B664" s="8" t="s">
        <v>328</v>
      </c>
      <c r="C664" s="8" t="s">
        <v>328</v>
      </c>
      <c r="D664" s="19" t="n">
        <v>0</v>
      </c>
      <c r="E664" s="19" t="n">
        <v>0</v>
      </c>
      <c r="F664" s="19" t="n">
        <v>1.26315789473684</v>
      </c>
      <c r="G664" s="19" t="n">
        <v>119.532631578947</v>
      </c>
    </row>
    <row r="665" customFormat="false" ht="15" hidden="false" customHeight="false" outlineLevel="0" collapsed="false">
      <c r="A665" s="8" t="s">
        <v>1153</v>
      </c>
      <c r="B665" s="8" t="s">
        <v>611</v>
      </c>
      <c r="C665" s="8" t="s">
        <v>611</v>
      </c>
      <c r="D665" s="19" t="n">
        <v>0</v>
      </c>
      <c r="E665" s="19" t="n">
        <v>0</v>
      </c>
      <c r="F665" s="19" t="n">
        <v>1.26315789473684</v>
      </c>
      <c r="G665" s="19" t="n">
        <v>119.532631578947</v>
      </c>
    </row>
    <row r="666" customFormat="false" ht="15" hidden="false" customHeight="false" outlineLevel="0" collapsed="false">
      <c r="A666" s="8" t="s">
        <v>1153</v>
      </c>
      <c r="B666" s="8" t="s">
        <v>447</v>
      </c>
      <c r="C666" s="8" t="s">
        <v>447</v>
      </c>
      <c r="D666" s="19" t="n">
        <v>0</v>
      </c>
      <c r="E666" s="19" t="n">
        <v>0</v>
      </c>
      <c r="F666" s="19" t="n">
        <v>1.26315789473684</v>
      </c>
      <c r="G666" s="19" t="n">
        <v>149.216842105263</v>
      </c>
    </row>
    <row r="667" customFormat="false" ht="15" hidden="false" customHeight="false" outlineLevel="0" collapsed="false">
      <c r="A667" s="8" t="s">
        <v>1153</v>
      </c>
      <c r="B667" s="8" t="s">
        <v>448</v>
      </c>
      <c r="C667" s="8" t="s">
        <v>448</v>
      </c>
      <c r="D667" s="19" t="n">
        <v>0</v>
      </c>
      <c r="E667" s="19" t="n">
        <v>0</v>
      </c>
      <c r="F667" s="19" t="n">
        <v>2.52631578947368</v>
      </c>
      <c r="G667" s="19" t="n">
        <v>298.433684210526</v>
      </c>
    </row>
    <row r="668" customFormat="false" ht="15" hidden="false" customHeight="false" outlineLevel="0" collapsed="false">
      <c r="A668" s="8" t="s">
        <v>1739</v>
      </c>
      <c r="B668" s="8" t="n">
        <v>4401000</v>
      </c>
      <c r="C668" s="8" t="s">
        <v>1154</v>
      </c>
      <c r="D668" s="19" t="n">
        <v>234</v>
      </c>
      <c r="E668" s="19" t="n">
        <v>3790.8</v>
      </c>
      <c r="F668" s="19" t="n">
        <v>144</v>
      </c>
      <c r="G668" s="19" t="n">
        <v>2085.50905263158</v>
      </c>
    </row>
    <row r="669" customFormat="false" ht="15" hidden="false" customHeight="false" outlineLevel="0" collapsed="false">
      <c r="A669" s="8" t="s">
        <v>1739</v>
      </c>
      <c r="B669" s="8" t="n">
        <v>4401001</v>
      </c>
      <c r="C669" s="8" t="s">
        <v>1155</v>
      </c>
      <c r="D669" s="19" t="n">
        <v>336</v>
      </c>
      <c r="E669" s="19" t="n">
        <v>5987.52</v>
      </c>
      <c r="F669" s="19" t="n">
        <v>285.473684210526</v>
      </c>
      <c r="G669" s="19" t="n">
        <v>4866.80084210526</v>
      </c>
    </row>
    <row r="670" customFormat="false" ht="15" hidden="false" customHeight="false" outlineLevel="0" collapsed="false">
      <c r="A670" s="8" t="s">
        <v>1739</v>
      </c>
      <c r="B670" s="8" t="n">
        <v>4401002</v>
      </c>
      <c r="C670" s="8" t="s">
        <v>1156</v>
      </c>
      <c r="D670" s="19" t="n">
        <v>335</v>
      </c>
      <c r="E670" s="19" t="n">
        <v>1946.35</v>
      </c>
      <c r="F670" s="19" t="n">
        <v>248.842105263158</v>
      </c>
      <c r="G670" s="19" t="n">
        <v>1319.472</v>
      </c>
    </row>
    <row r="671" customFormat="false" ht="15" hidden="false" customHeight="false" outlineLevel="0" collapsed="false">
      <c r="A671" s="8" t="s">
        <v>1739</v>
      </c>
      <c r="B671" s="8" t="n">
        <v>4402000</v>
      </c>
      <c r="C671" s="8" t="s">
        <v>1161</v>
      </c>
      <c r="D671" s="19" t="n">
        <v>154</v>
      </c>
      <c r="E671" s="19" t="n">
        <v>2671.9</v>
      </c>
      <c r="F671" s="19" t="n">
        <v>84.6315789473684</v>
      </c>
      <c r="G671" s="19" t="n">
        <v>1337.65894736842</v>
      </c>
    </row>
    <row r="672" customFormat="false" ht="15" hidden="false" customHeight="false" outlineLevel="0" collapsed="false">
      <c r="A672" s="8" t="s">
        <v>1739</v>
      </c>
      <c r="B672" s="8" t="n">
        <v>4402007</v>
      </c>
      <c r="C672" s="8" t="s">
        <v>1162</v>
      </c>
      <c r="D672" s="19" t="n">
        <v>163</v>
      </c>
      <c r="E672" s="19" t="n">
        <v>2089.66</v>
      </c>
      <c r="F672" s="19" t="n">
        <v>141.473684210526</v>
      </c>
      <c r="G672" s="19" t="n">
        <v>1630.056</v>
      </c>
    </row>
    <row r="673" customFormat="false" ht="15" hidden="false" customHeight="false" outlineLevel="0" collapsed="false">
      <c r="A673" s="8" t="s">
        <v>1739</v>
      </c>
      <c r="B673" s="8" t="n">
        <v>4402011</v>
      </c>
      <c r="C673" s="8" t="s">
        <v>1740</v>
      </c>
      <c r="D673" s="19" t="n">
        <v>145</v>
      </c>
      <c r="E673" s="19" t="n">
        <v>7757.5</v>
      </c>
      <c r="F673" s="19" t="n">
        <v>132.631578947368</v>
      </c>
      <c r="G673" s="19" t="n">
        <v>6616.79494736842</v>
      </c>
    </row>
    <row r="674" customFormat="false" ht="15" hidden="false" customHeight="false" outlineLevel="0" collapsed="false">
      <c r="A674" s="8" t="s">
        <v>1739</v>
      </c>
      <c r="B674" s="8" t="n">
        <v>4403000</v>
      </c>
      <c r="C674" s="8" t="s">
        <v>1163</v>
      </c>
      <c r="D674" s="19" t="n">
        <v>2</v>
      </c>
      <c r="E674" s="19" t="n">
        <v>47.2</v>
      </c>
      <c r="F674" s="19" t="n">
        <v>16.4210526315789</v>
      </c>
      <c r="G674" s="19" t="n">
        <v>375.389052631579</v>
      </c>
    </row>
    <row r="675" customFormat="false" ht="15" hidden="false" customHeight="false" outlineLevel="0" collapsed="false">
      <c r="A675" s="8" t="s">
        <v>1739</v>
      </c>
      <c r="B675" s="8" t="n">
        <v>4403001</v>
      </c>
      <c r="C675" s="8" t="s">
        <v>1164</v>
      </c>
      <c r="D675" s="19" t="n">
        <v>40</v>
      </c>
      <c r="E675" s="19" t="n">
        <v>944</v>
      </c>
      <c r="F675" s="19" t="n">
        <v>29.0526315789474</v>
      </c>
      <c r="G675" s="19" t="n">
        <v>635.634947368421</v>
      </c>
    </row>
    <row r="676" customFormat="false" ht="15" hidden="false" customHeight="false" outlineLevel="0" collapsed="false">
      <c r="A676" s="8" t="s">
        <v>1739</v>
      </c>
      <c r="B676" s="8" t="n">
        <v>4403002</v>
      </c>
      <c r="C676" s="8" t="s">
        <v>1165</v>
      </c>
      <c r="D676" s="19" t="n">
        <v>43</v>
      </c>
      <c r="E676" s="19" t="n">
        <v>1014.8</v>
      </c>
      <c r="F676" s="19" t="n">
        <v>98.5263157894737</v>
      </c>
      <c r="G676" s="19" t="n">
        <v>2276.928</v>
      </c>
    </row>
    <row r="677" customFormat="false" ht="15" hidden="false" customHeight="false" outlineLevel="0" collapsed="false">
      <c r="A677" s="8" t="s">
        <v>1739</v>
      </c>
      <c r="B677" s="8" t="n">
        <v>4403003</v>
      </c>
      <c r="C677" s="8" t="s">
        <v>1166</v>
      </c>
      <c r="D677" s="19" t="n">
        <v>7</v>
      </c>
      <c r="E677" s="19" t="n">
        <v>165.2</v>
      </c>
      <c r="F677" s="19" t="n">
        <v>21.4736842105263</v>
      </c>
      <c r="G677" s="19" t="n">
        <v>493.364210526316</v>
      </c>
    </row>
    <row r="678" customFormat="false" ht="15" hidden="false" customHeight="false" outlineLevel="0" collapsed="false">
      <c r="A678" s="8" t="s">
        <v>1739</v>
      </c>
      <c r="B678" s="8" t="n">
        <v>4403005</v>
      </c>
      <c r="C678" s="8" t="s">
        <v>1168</v>
      </c>
      <c r="D678" s="19" t="n">
        <v>25</v>
      </c>
      <c r="E678" s="19" t="n">
        <v>590</v>
      </c>
      <c r="F678" s="19" t="n">
        <v>15.1578947368421</v>
      </c>
      <c r="G678" s="19" t="n">
        <v>329.331789473684</v>
      </c>
    </row>
    <row r="679" customFormat="false" ht="15" hidden="false" customHeight="false" outlineLevel="0" collapsed="false">
      <c r="A679" s="8" t="s">
        <v>1739</v>
      </c>
      <c r="B679" s="8" t="n">
        <v>4403006</v>
      </c>
      <c r="C679" s="8" t="s">
        <v>761</v>
      </c>
      <c r="D679" s="19" t="n">
        <v>3</v>
      </c>
      <c r="E679" s="19" t="n">
        <v>70.8</v>
      </c>
      <c r="F679" s="19" t="n">
        <v>5.05263157894737</v>
      </c>
      <c r="G679" s="19" t="n">
        <v>119.242105263158</v>
      </c>
    </row>
    <row r="680" customFormat="false" ht="15" hidden="false" customHeight="false" outlineLevel="0" collapsed="false">
      <c r="A680" s="8" t="s">
        <v>1739</v>
      </c>
      <c r="B680" s="8" t="n">
        <v>4403007</v>
      </c>
      <c r="C680" s="8" t="s">
        <v>186</v>
      </c>
      <c r="D680" s="19" t="n">
        <v>31</v>
      </c>
      <c r="E680" s="19" t="n">
        <v>731.6</v>
      </c>
      <c r="F680" s="19" t="n">
        <v>3.78947368421053</v>
      </c>
      <c r="G680" s="19" t="n">
        <v>89.4315789473684</v>
      </c>
    </row>
    <row r="681" customFormat="false" ht="15" hidden="false" customHeight="false" outlineLevel="0" collapsed="false">
      <c r="A681" s="8" t="s">
        <v>1739</v>
      </c>
      <c r="B681" s="8" t="n">
        <v>4403008</v>
      </c>
      <c r="C681" s="8" t="s">
        <v>366</v>
      </c>
      <c r="D681" s="19" t="n">
        <v>39</v>
      </c>
      <c r="E681" s="19" t="n">
        <v>920.4</v>
      </c>
      <c r="F681" s="19" t="n">
        <v>12.6315789473684</v>
      </c>
      <c r="G681" s="19" t="n">
        <v>298.105263157895</v>
      </c>
    </row>
    <row r="682" customFormat="false" ht="15" hidden="false" customHeight="false" outlineLevel="0" collapsed="false">
      <c r="A682" s="8" t="s">
        <v>1739</v>
      </c>
      <c r="B682" s="8" t="n">
        <v>4403017</v>
      </c>
      <c r="C682" s="8" t="s">
        <v>1172</v>
      </c>
      <c r="D682" s="19" t="n">
        <v>63</v>
      </c>
      <c r="E682" s="19" t="n">
        <v>1159.2</v>
      </c>
      <c r="F682" s="19" t="n">
        <v>12.6315789473684</v>
      </c>
      <c r="G682" s="19" t="n">
        <v>217.77852631579</v>
      </c>
    </row>
    <row r="683" customFormat="false" ht="15" hidden="false" customHeight="false" outlineLevel="0" collapsed="false">
      <c r="A683" s="8" t="s">
        <v>1739</v>
      </c>
      <c r="B683" s="8" t="n">
        <v>4403018</v>
      </c>
      <c r="C683" s="8" t="s">
        <v>188</v>
      </c>
      <c r="D683" s="19" t="n">
        <v>191</v>
      </c>
      <c r="E683" s="19" t="n">
        <v>3514.4</v>
      </c>
      <c r="F683" s="19" t="n">
        <v>25.2631578947368</v>
      </c>
      <c r="G683" s="19" t="n">
        <v>464.842105263158</v>
      </c>
    </row>
    <row r="684" customFormat="false" ht="15" hidden="false" customHeight="false" outlineLevel="0" collapsed="false">
      <c r="A684" s="8" t="s">
        <v>1739</v>
      </c>
      <c r="B684" s="8" t="n">
        <v>4403019</v>
      </c>
      <c r="C684" s="8" t="s">
        <v>1174</v>
      </c>
      <c r="D684" s="19" t="n">
        <v>206</v>
      </c>
      <c r="E684" s="19" t="n">
        <v>3790.4</v>
      </c>
      <c r="F684" s="19" t="n">
        <v>49.2631578947368</v>
      </c>
      <c r="G684" s="19" t="n">
        <v>868.789894736842</v>
      </c>
    </row>
    <row r="685" customFormat="false" ht="15" hidden="false" customHeight="false" outlineLevel="0" collapsed="false">
      <c r="A685" s="8" t="s">
        <v>1739</v>
      </c>
      <c r="B685" s="8" t="n">
        <v>4403023</v>
      </c>
      <c r="C685" s="8" t="s">
        <v>1178</v>
      </c>
      <c r="D685" s="19" t="n">
        <v>49</v>
      </c>
      <c r="E685" s="19" t="n">
        <v>901.6</v>
      </c>
      <c r="F685" s="19" t="n">
        <v>26.5263157894737</v>
      </c>
      <c r="G685" s="19" t="n">
        <v>473.441684210526</v>
      </c>
    </row>
    <row r="686" customFormat="false" ht="15" hidden="false" customHeight="false" outlineLevel="0" collapsed="false">
      <c r="A686" s="8" t="s">
        <v>1739</v>
      </c>
      <c r="B686" s="8" t="n">
        <v>4403024</v>
      </c>
      <c r="C686" s="8" t="s">
        <v>1179</v>
      </c>
      <c r="D686" s="19" t="n">
        <v>37</v>
      </c>
      <c r="E686" s="19" t="n">
        <v>680.8</v>
      </c>
      <c r="F686" s="19" t="n">
        <v>58.1052631578947</v>
      </c>
      <c r="G686" s="19" t="n">
        <v>1037.76</v>
      </c>
    </row>
    <row r="687" customFormat="false" ht="15" hidden="false" customHeight="false" outlineLevel="0" collapsed="false">
      <c r="A687" s="8" t="s">
        <v>1739</v>
      </c>
      <c r="B687" s="8" t="n">
        <v>4403025</v>
      </c>
      <c r="C687" s="8" t="s">
        <v>1180</v>
      </c>
      <c r="D687" s="19" t="n">
        <v>50</v>
      </c>
      <c r="E687" s="19" t="n">
        <v>920</v>
      </c>
      <c r="F687" s="19" t="n">
        <v>49.2631578947368</v>
      </c>
      <c r="G687" s="19" t="n">
        <v>866.698105263158</v>
      </c>
    </row>
    <row r="688" customFormat="false" ht="15" hidden="false" customHeight="false" outlineLevel="0" collapsed="false">
      <c r="A688" s="8" t="s">
        <v>1739</v>
      </c>
      <c r="B688" s="8" t="n">
        <v>4403029</v>
      </c>
      <c r="C688" s="8" t="s">
        <v>198</v>
      </c>
      <c r="D688" s="19" t="n">
        <v>312</v>
      </c>
      <c r="E688" s="19" t="n">
        <v>13044.72</v>
      </c>
      <c r="F688" s="19" t="n">
        <v>-2.52631578947368</v>
      </c>
      <c r="G688" s="19" t="n">
        <v>-105.625263157895</v>
      </c>
    </row>
    <row r="689" customFormat="false" ht="15" hidden="false" customHeight="false" outlineLevel="0" collapsed="false">
      <c r="A689" s="8" t="s">
        <v>1739</v>
      </c>
      <c r="B689" s="8" t="n">
        <v>4403041</v>
      </c>
      <c r="C689" s="8" t="s">
        <v>1187</v>
      </c>
      <c r="D689" s="19" t="n">
        <v>125</v>
      </c>
      <c r="E689" s="19" t="n">
        <v>5226.25</v>
      </c>
      <c r="F689" s="19" t="n">
        <v>125.052631578947</v>
      </c>
      <c r="G689" s="19" t="n">
        <v>4743.60757894737</v>
      </c>
    </row>
    <row r="690" customFormat="false" ht="15" hidden="false" customHeight="false" outlineLevel="0" collapsed="false">
      <c r="A690" s="8" t="s">
        <v>1739</v>
      </c>
      <c r="B690" s="8" t="n">
        <v>4403042</v>
      </c>
      <c r="C690" s="8" t="s">
        <v>1188</v>
      </c>
      <c r="D690" s="19" t="n">
        <v>0</v>
      </c>
      <c r="E690" s="19" t="n">
        <v>0</v>
      </c>
      <c r="F690" s="19" t="n">
        <v>185.684210526316</v>
      </c>
      <c r="G690" s="19" t="n">
        <v>7064.78021052632</v>
      </c>
    </row>
    <row r="691" customFormat="false" ht="15" hidden="false" customHeight="false" outlineLevel="0" collapsed="false">
      <c r="A691" s="8" t="s">
        <v>1739</v>
      </c>
      <c r="B691" s="8" t="n">
        <v>4403043</v>
      </c>
      <c r="C691" s="8" t="s">
        <v>1189</v>
      </c>
      <c r="D691" s="19" t="n">
        <v>284</v>
      </c>
      <c r="E691" s="19" t="n">
        <v>11874.04</v>
      </c>
      <c r="F691" s="19" t="n">
        <v>208.421052631579</v>
      </c>
      <c r="G691" s="19" t="n">
        <v>7487.68294736842</v>
      </c>
    </row>
    <row r="692" customFormat="false" ht="15" hidden="false" customHeight="false" outlineLevel="0" collapsed="false">
      <c r="A692" s="8" t="s">
        <v>1739</v>
      </c>
      <c r="B692" s="8" t="n">
        <v>4408014</v>
      </c>
      <c r="C692" s="8" t="s">
        <v>694</v>
      </c>
      <c r="D692" s="19" t="n">
        <v>6</v>
      </c>
      <c r="E692" s="19" t="n">
        <v>1053</v>
      </c>
      <c r="F692" s="19" t="n">
        <v>3.78947368421053</v>
      </c>
      <c r="G692" s="19" t="n">
        <v>665.052631578947</v>
      </c>
    </row>
    <row r="693" customFormat="false" ht="15" hidden="false" customHeight="false" outlineLevel="0" collapsed="false">
      <c r="A693" s="8" t="s">
        <v>1739</v>
      </c>
      <c r="B693" s="8" t="n">
        <v>4408015</v>
      </c>
      <c r="C693" s="8" t="s">
        <v>638</v>
      </c>
      <c r="D693" s="19" t="n">
        <v>64</v>
      </c>
      <c r="E693" s="19" t="n">
        <v>11232</v>
      </c>
      <c r="F693" s="19" t="n">
        <v>15.1578947368421</v>
      </c>
      <c r="G693" s="19" t="n">
        <v>2660.21052631579</v>
      </c>
    </row>
    <row r="694" customFormat="false" ht="15" hidden="false" customHeight="false" outlineLevel="0" collapsed="false">
      <c r="A694" s="8" t="s">
        <v>1739</v>
      </c>
      <c r="B694" s="8" t="n">
        <v>4408016</v>
      </c>
      <c r="C694" s="8" t="s">
        <v>639</v>
      </c>
      <c r="D694" s="19" t="n">
        <v>21</v>
      </c>
      <c r="E694" s="19" t="n">
        <v>3685.5</v>
      </c>
      <c r="F694" s="19" t="n">
        <v>5.05263157894737</v>
      </c>
      <c r="G694" s="19" t="n">
        <v>886.736842105263</v>
      </c>
    </row>
    <row r="695" customFormat="false" ht="15" hidden="false" customHeight="false" outlineLevel="0" collapsed="false">
      <c r="A695" s="8" t="s">
        <v>1739</v>
      </c>
      <c r="B695" s="8" t="n">
        <v>4408017</v>
      </c>
      <c r="C695" s="8" t="s">
        <v>640</v>
      </c>
      <c r="D695" s="19" t="n">
        <v>67</v>
      </c>
      <c r="E695" s="19" t="n">
        <v>11758.5</v>
      </c>
      <c r="F695" s="19" t="n">
        <v>13.8947368421053</v>
      </c>
      <c r="G695" s="19" t="n">
        <v>2438.52631578947</v>
      </c>
    </row>
    <row r="696" customFormat="false" ht="15" hidden="false" customHeight="false" outlineLevel="0" collapsed="false">
      <c r="A696" s="8" t="s">
        <v>1739</v>
      </c>
      <c r="B696" s="8" t="n">
        <v>4408018</v>
      </c>
      <c r="C696" s="8" t="s">
        <v>641</v>
      </c>
      <c r="D696" s="19" t="n">
        <v>52</v>
      </c>
      <c r="E696" s="19" t="n">
        <v>9126</v>
      </c>
      <c r="F696" s="19" t="n">
        <v>5.05263157894737</v>
      </c>
      <c r="G696" s="19" t="n">
        <v>886.736842105263</v>
      </c>
    </row>
    <row r="697" customFormat="false" ht="15" hidden="false" customHeight="false" outlineLevel="0" collapsed="false">
      <c r="A697" s="8" t="s">
        <v>1739</v>
      </c>
      <c r="B697" s="8" t="n">
        <v>4408031</v>
      </c>
      <c r="C697" s="8" t="s">
        <v>695</v>
      </c>
      <c r="D697" s="19" t="n">
        <v>33</v>
      </c>
      <c r="E697" s="19" t="n">
        <v>2387.22</v>
      </c>
      <c r="F697" s="19" t="n">
        <v>2.52631578947368</v>
      </c>
      <c r="G697" s="19" t="n">
        <v>182.753684210526</v>
      </c>
    </row>
    <row r="698" customFormat="false" ht="15" hidden="false" customHeight="false" outlineLevel="0" collapsed="false">
      <c r="A698" s="8" t="s">
        <v>1739</v>
      </c>
      <c r="B698" s="8" t="n">
        <v>4408032</v>
      </c>
      <c r="C698" s="8" t="s">
        <v>458</v>
      </c>
      <c r="D698" s="19" t="n">
        <v>74</v>
      </c>
      <c r="E698" s="19" t="n">
        <v>5353.16</v>
      </c>
      <c r="F698" s="19" t="n">
        <v>21.4736842105263</v>
      </c>
      <c r="G698" s="19" t="n">
        <v>1553.40631578947</v>
      </c>
    </row>
    <row r="699" customFormat="false" ht="15" hidden="false" customHeight="false" outlineLevel="0" collapsed="false">
      <c r="A699" s="8" t="s">
        <v>1739</v>
      </c>
      <c r="B699" s="8" t="n">
        <v>4408033</v>
      </c>
      <c r="C699" s="8" t="s">
        <v>71</v>
      </c>
      <c r="D699" s="19" t="n">
        <v>57</v>
      </c>
      <c r="E699" s="19" t="n">
        <v>4123.38</v>
      </c>
      <c r="F699" s="19" t="n">
        <v>15.1578947368421</v>
      </c>
      <c r="G699" s="19" t="n">
        <v>1096.52210526316</v>
      </c>
    </row>
    <row r="700" customFormat="false" ht="15" hidden="false" customHeight="false" outlineLevel="0" collapsed="false">
      <c r="A700" s="8" t="s">
        <v>1739</v>
      </c>
      <c r="B700" s="8" t="n">
        <v>4408034</v>
      </c>
      <c r="C700" s="8" t="s">
        <v>617</v>
      </c>
      <c r="D700" s="19" t="n">
        <v>112</v>
      </c>
      <c r="E700" s="19" t="n">
        <v>8102.08000000001</v>
      </c>
      <c r="F700" s="19" t="n">
        <v>48</v>
      </c>
      <c r="G700" s="19" t="n">
        <v>3472.32</v>
      </c>
    </row>
    <row r="701" customFormat="false" ht="15" hidden="false" customHeight="false" outlineLevel="0" collapsed="false">
      <c r="A701" s="8" t="s">
        <v>1739</v>
      </c>
      <c r="B701" s="8" t="n">
        <v>4408035</v>
      </c>
      <c r="C701" s="8" t="s">
        <v>618</v>
      </c>
      <c r="D701" s="19" t="n">
        <v>76</v>
      </c>
      <c r="E701" s="19" t="n">
        <v>5497.84</v>
      </c>
      <c r="F701" s="19" t="n">
        <v>16.4210526315789</v>
      </c>
      <c r="G701" s="19" t="n">
        <v>1187.89894736842</v>
      </c>
    </row>
    <row r="702" customFormat="false" ht="15" hidden="false" customHeight="false" outlineLevel="0" collapsed="false">
      <c r="A702" s="8" t="s">
        <v>1739</v>
      </c>
      <c r="B702" s="8" t="n">
        <v>4408051</v>
      </c>
      <c r="C702" s="8" t="s">
        <v>1225</v>
      </c>
      <c r="D702" s="19" t="n">
        <v>181</v>
      </c>
      <c r="E702" s="19" t="n">
        <v>4421.83</v>
      </c>
      <c r="F702" s="19" t="n">
        <v>133.894736842105</v>
      </c>
      <c r="G702" s="19" t="n">
        <v>3021.65684210526</v>
      </c>
    </row>
    <row r="703" customFormat="false" ht="15" hidden="false" customHeight="false" outlineLevel="0" collapsed="false">
      <c r="A703" s="8" t="s">
        <v>1739</v>
      </c>
      <c r="B703" s="8" t="n">
        <v>4408052</v>
      </c>
      <c r="C703" s="8" t="s">
        <v>1226</v>
      </c>
      <c r="D703" s="19" t="n">
        <v>315</v>
      </c>
      <c r="E703" s="19" t="n">
        <v>7695.45</v>
      </c>
      <c r="F703" s="19" t="n">
        <v>256.421052631579</v>
      </c>
      <c r="G703" s="19" t="n">
        <v>5777.59073684211</v>
      </c>
    </row>
    <row r="704" customFormat="false" ht="15" hidden="false" customHeight="false" outlineLevel="0" collapsed="false">
      <c r="A704" s="8" t="s">
        <v>1739</v>
      </c>
      <c r="B704" s="8" t="n">
        <v>4408053</v>
      </c>
      <c r="C704" s="8" t="s">
        <v>1227</v>
      </c>
      <c r="D704" s="19" t="n">
        <v>434</v>
      </c>
      <c r="E704" s="19" t="n">
        <v>10602.62</v>
      </c>
      <c r="F704" s="19" t="n">
        <v>349.894736842105</v>
      </c>
      <c r="G704" s="19" t="n">
        <v>7825.24547368421</v>
      </c>
    </row>
    <row r="705" customFormat="false" ht="15" hidden="false" customHeight="false" outlineLevel="0" collapsed="false">
      <c r="A705" s="8" t="s">
        <v>1739</v>
      </c>
      <c r="B705" s="8" t="n">
        <v>4408054</v>
      </c>
      <c r="C705" s="8" t="s">
        <v>1228</v>
      </c>
      <c r="D705" s="19" t="n">
        <v>157</v>
      </c>
      <c r="E705" s="19" t="n">
        <v>3835.51</v>
      </c>
      <c r="F705" s="19" t="n">
        <v>102.315789473684</v>
      </c>
      <c r="G705" s="19" t="n">
        <v>2336.66778947368</v>
      </c>
    </row>
    <row r="706" customFormat="false" ht="15" hidden="false" customHeight="false" outlineLevel="0" collapsed="false">
      <c r="A706" s="8" t="s">
        <v>1739</v>
      </c>
      <c r="B706" s="8" t="n">
        <v>4408069</v>
      </c>
      <c r="C706" s="8" t="s">
        <v>175</v>
      </c>
      <c r="D706" s="19" t="n">
        <v>17</v>
      </c>
      <c r="E706" s="19" t="n">
        <v>910.01</v>
      </c>
      <c r="F706" s="19" t="n">
        <v>1.26315789473684</v>
      </c>
      <c r="G706" s="19" t="n">
        <v>67.6168421052632</v>
      </c>
    </row>
    <row r="707" customFormat="false" ht="15" hidden="false" customHeight="false" outlineLevel="0" collapsed="false">
      <c r="A707" s="8" t="s">
        <v>1739</v>
      </c>
      <c r="B707" s="8" t="n">
        <v>4408070</v>
      </c>
      <c r="C707" s="8" t="s">
        <v>491</v>
      </c>
      <c r="D707" s="19" t="n">
        <v>2</v>
      </c>
      <c r="E707" s="19" t="n">
        <v>391.46</v>
      </c>
      <c r="F707" s="19" t="n">
        <v>1.26315789473684</v>
      </c>
      <c r="G707" s="19" t="n">
        <v>247.237894736842</v>
      </c>
    </row>
    <row r="708" customFormat="false" ht="15" hidden="false" customHeight="false" outlineLevel="0" collapsed="false">
      <c r="A708" s="8" t="s">
        <v>1739</v>
      </c>
      <c r="B708" s="8" t="n">
        <v>4408071</v>
      </c>
      <c r="C708" s="8" t="s">
        <v>1234</v>
      </c>
      <c r="D708" s="19" t="n">
        <v>5</v>
      </c>
      <c r="E708" s="19" t="n">
        <v>978.65</v>
      </c>
      <c r="F708" s="19" t="n">
        <v>1.26315789473684</v>
      </c>
      <c r="G708" s="19" t="n">
        <v>146.456842105263</v>
      </c>
    </row>
    <row r="709" customFormat="false" ht="15" hidden="false" customHeight="false" outlineLevel="0" collapsed="false">
      <c r="A709" s="8" t="s">
        <v>1739</v>
      </c>
      <c r="B709" s="8" t="n">
        <v>4408072</v>
      </c>
      <c r="C709" s="8" t="s">
        <v>1235</v>
      </c>
      <c r="D709" s="19" t="n">
        <v>5</v>
      </c>
      <c r="E709" s="19" t="n">
        <v>978.65</v>
      </c>
      <c r="F709" s="19" t="n">
        <v>5.05263157894737</v>
      </c>
      <c r="G709" s="19" t="n">
        <v>922.208842105263</v>
      </c>
    </row>
    <row r="710" customFormat="false" ht="15" hidden="false" customHeight="false" outlineLevel="0" collapsed="false">
      <c r="A710" s="8" t="s">
        <v>1739</v>
      </c>
      <c r="B710" s="8" t="n">
        <v>4408073</v>
      </c>
      <c r="C710" s="8" t="s">
        <v>1236</v>
      </c>
      <c r="D710" s="19" t="n">
        <v>1</v>
      </c>
      <c r="E710" s="19" t="n">
        <v>195.73</v>
      </c>
      <c r="F710" s="19" t="n">
        <v>5.05263157894737</v>
      </c>
      <c r="G710" s="19" t="n">
        <v>888.170526315789</v>
      </c>
    </row>
    <row r="711" customFormat="false" ht="15" hidden="false" customHeight="false" outlineLevel="0" collapsed="false">
      <c r="A711" s="8" t="s">
        <v>1739</v>
      </c>
      <c r="B711" s="8" t="n">
        <v>4408075</v>
      </c>
      <c r="C711" s="8" t="s">
        <v>1237</v>
      </c>
      <c r="D711" s="19" t="n">
        <v>1</v>
      </c>
      <c r="E711" s="19" t="n">
        <v>126.57</v>
      </c>
      <c r="F711" s="19" t="n">
        <v>3.78947368421053</v>
      </c>
      <c r="G711" s="19" t="n">
        <v>450.809684210526</v>
      </c>
    </row>
    <row r="712" customFormat="false" ht="15" hidden="false" customHeight="false" outlineLevel="0" collapsed="false">
      <c r="A712" s="8" t="s">
        <v>1739</v>
      </c>
      <c r="B712" s="8" t="n">
        <v>4408076</v>
      </c>
      <c r="C712" s="8" t="s">
        <v>1238</v>
      </c>
      <c r="D712" s="19" t="n">
        <v>4</v>
      </c>
      <c r="E712" s="19" t="n">
        <v>506.28</v>
      </c>
      <c r="F712" s="19" t="n">
        <v>8.84210526315789</v>
      </c>
      <c r="G712" s="19" t="n">
        <v>945.672</v>
      </c>
    </row>
    <row r="713" customFormat="false" ht="15" hidden="false" customHeight="false" outlineLevel="0" collapsed="false">
      <c r="A713" s="8" t="s">
        <v>1739</v>
      </c>
      <c r="B713" s="8" t="n">
        <v>4408077</v>
      </c>
      <c r="C713" s="8" t="s">
        <v>1239</v>
      </c>
      <c r="D713" s="19" t="n">
        <v>15</v>
      </c>
      <c r="E713" s="19" t="n">
        <v>1898.55</v>
      </c>
      <c r="F713" s="19" t="n">
        <v>6.31578947368421</v>
      </c>
      <c r="G713" s="19" t="n">
        <v>785.034947368421</v>
      </c>
    </row>
    <row r="714" customFormat="false" ht="15" hidden="false" customHeight="false" outlineLevel="0" collapsed="false">
      <c r="A714" s="8" t="s">
        <v>1739</v>
      </c>
      <c r="B714" s="8" t="n">
        <v>4408078</v>
      </c>
      <c r="C714" s="8" t="s">
        <v>397</v>
      </c>
      <c r="D714" s="19" t="n">
        <v>1</v>
      </c>
      <c r="E714" s="19" t="n">
        <v>126.57</v>
      </c>
      <c r="F714" s="19" t="n">
        <v>1.26315789473684</v>
      </c>
      <c r="G714" s="19" t="n">
        <v>159.877894736842</v>
      </c>
    </row>
    <row r="715" customFormat="false" ht="15" hidden="false" customHeight="false" outlineLevel="0" collapsed="false">
      <c r="A715" s="8" t="s">
        <v>1739</v>
      </c>
      <c r="B715" s="8" t="n">
        <v>4408079</v>
      </c>
      <c r="C715" s="8" t="s">
        <v>227</v>
      </c>
      <c r="D715" s="19" t="n">
        <v>2</v>
      </c>
      <c r="E715" s="19" t="n">
        <v>253.14</v>
      </c>
      <c r="F715" s="19" t="n">
        <v>-1.26315789473684</v>
      </c>
      <c r="G715" s="19" t="n">
        <v>-159.877894736842</v>
      </c>
    </row>
    <row r="716" customFormat="false" ht="15" hidden="false" customHeight="false" outlineLevel="0" collapsed="false">
      <c r="A716" s="8" t="s">
        <v>1739</v>
      </c>
      <c r="B716" s="8" t="n">
        <v>4408080</v>
      </c>
      <c r="C716" s="8" t="s">
        <v>1242</v>
      </c>
      <c r="D716" s="19" t="n">
        <v>17</v>
      </c>
      <c r="E716" s="19" t="n">
        <v>2151.69</v>
      </c>
      <c r="F716" s="19" t="n">
        <v>7.57894736842105</v>
      </c>
      <c r="G716" s="19" t="n">
        <v>879.765473684211</v>
      </c>
    </row>
    <row r="717" customFormat="false" ht="15" hidden="false" customHeight="false" outlineLevel="0" collapsed="false">
      <c r="A717" s="8" t="s">
        <v>1739</v>
      </c>
      <c r="B717" s="8" t="n">
        <v>4408081</v>
      </c>
      <c r="C717" s="8" t="s">
        <v>1243</v>
      </c>
      <c r="D717" s="19" t="n">
        <v>18</v>
      </c>
      <c r="E717" s="19" t="n">
        <v>2278.26</v>
      </c>
      <c r="F717" s="19" t="n">
        <v>15.1578947368421</v>
      </c>
      <c r="G717" s="19" t="n">
        <v>1629.12126315789</v>
      </c>
    </row>
    <row r="718" customFormat="false" ht="15" hidden="false" customHeight="false" outlineLevel="0" collapsed="false">
      <c r="A718" s="8" t="s">
        <v>1739</v>
      </c>
      <c r="B718" s="8" t="n">
        <v>4408082</v>
      </c>
      <c r="C718" s="8" t="s">
        <v>399</v>
      </c>
      <c r="D718" s="19" t="n">
        <v>7</v>
      </c>
      <c r="E718" s="19" t="n">
        <v>885.99</v>
      </c>
      <c r="F718" s="19" t="n">
        <v>0</v>
      </c>
      <c r="G718" s="19" t="n">
        <v>0</v>
      </c>
    </row>
    <row r="719" customFormat="false" ht="15" hidden="false" customHeight="false" outlineLevel="0" collapsed="false">
      <c r="A719" s="8" t="s">
        <v>1739</v>
      </c>
      <c r="B719" s="8" t="n">
        <v>4408092</v>
      </c>
      <c r="C719" s="8" t="s">
        <v>314</v>
      </c>
      <c r="D719" s="19" t="n">
        <v>-1</v>
      </c>
      <c r="E719" s="19" t="n">
        <v>-74.63</v>
      </c>
      <c r="F719" s="19" t="n">
        <v>0</v>
      </c>
      <c r="G719" s="19" t="n">
        <v>0</v>
      </c>
    </row>
    <row r="720" customFormat="false" ht="15" hidden="false" customHeight="false" outlineLevel="0" collapsed="false">
      <c r="A720" s="8" t="s">
        <v>1739</v>
      </c>
      <c r="B720" s="8" t="n">
        <v>4408151</v>
      </c>
      <c r="C720" s="8" t="s">
        <v>1283</v>
      </c>
      <c r="D720" s="19" t="n">
        <v>8</v>
      </c>
      <c r="E720" s="19" t="n">
        <v>856.72</v>
      </c>
      <c r="F720" s="19" t="n">
        <v>1.26315789473684</v>
      </c>
      <c r="G720" s="19" t="n">
        <v>123.108631578947</v>
      </c>
    </row>
    <row r="721" customFormat="false" ht="15" hidden="false" customHeight="false" outlineLevel="0" collapsed="false">
      <c r="A721" s="8" t="s">
        <v>1739</v>
      </c>
      <c r="B721" s="8" t="n">
        <v>4408152</v>
      </c>
      <c r="C721" s="8" t="s">
        <v>1284</v>
      </c>
      <c r="D721" s="19" t="n">
        <v>17</v>
      </c>
      <c r="E721" s="19" t="n">
        <v>1820.53</v>
      </c>
      <c r="F721" s="19" t="n">
        <v>20.2105263157895</v>
      </c>
      <c r="G721" s="19" t="n">
        <v>1980.98905263158</v>
      </c>
    </row>
    <row r="722" customFormat="false" ht="15" hidden="false" customHeight="false" outlineLevel="0" collapsed="false">
      <c r="A722" s="8" t="s">
        <v>1739</v>
      </c>
      <c r="B722" s="8" t="n">
        <v>4408153</v>
      </c>
      <c r="C722" s="8" t="s">
        <v>1285</v>
      </c>
      <c r="D722" s="19" t="n">
        <v>9</v>
      </c>
      <c r="E722" s="19" t="n">
        <v>963.81</v>
      </c>
      <c r="F722" s="19" t="n">
        <v>7.57894736842105</v>
      </c>
      <c r="G722" s="19" t="n">
        <v>732.171789473684</v>
      </c>
    </row>
    <row r="723" customFormat="false" ht="15" hidden="false" customHeight="false" outlineLevel="0" collapsed="false">
      <c r="A723" s="8" t="s">
        <v>1739</v>
      </c>
      <c r="B723" s="8" t="n">
        <v>4408154</v>
      </c>
      <c r="C723" s="8" t="s">
        <v>1286</v>
      </c>
      <c r="D723" s="19" t="n">
        <v>0</v>
      </c>
      <c r="E723" s="19" t="n">
        <v>2.8421709430404E-014</v>
      </c>
      <c r="F723" s="19" t="n">
        <v>15.1578947368421</v>
      </c>
      <c r="G723" s="19" t="n">
        <v>1414.89473684211</v>
      </c>
    </row>
    <row r="724" customFormat="false" ht="15" hidden="false" customHeight="false" outlineLevel="0" collapsed="false">
      <c r="A724" s="8" t="s">
        <v>1739</v>
      </c>
      <c r="B724" s="8" t="n">
        <v>4408179</v>
      </c>
      <c r="C724" s="8" t="s">
        <v>620</v>
      </c>
      <c r="D724" s="19" t="n">
        <v>7</v>
      </c>
      <c r="E724" s="19" t="n">
        <v>749.63</v>
      </c>
      <c r="F724" s="19" t="n">
        <v>-2.52631578947368</v>
      </c>
      <c r="G724" s="19" t="n">
        <v>-270.543157894737</v>
      </c>
    </row>
    <row r="725" customFormat="false" ht="15" hidden="false" customHeight="false" outlineLevel="0" collapsed="false">
      <c r="A725" s="8" t="s">
        <v>1739</v>
      </c>
      <c r="B725" s="8" t="n">
        <v>4408190</v>
      </c>
      <c r="C725" s="8" t="s">
        <v>1292</v>
      </c>
      <c r="D725" s="19" t="n">
        <v>59</v>
      </c>
      <c r="E725" s="19" t="n">
        <v>3835</v>
      </c>
      <c r="F725" s="19" t="n">
        <v>78.3157894736842</v>
      </c>
      <c r="G725" s="19" t="n">
        <v>4738.55747368421</v>
      </c>
    </row>
    <row r="726" customFormat="false" ht="15" hidden="false" customHeight="false" outlineLevel="0" collapsed="false">
      <c r="A726" s="8" t="s">
        <v>1739</v>
      </c>
      <c r="B726" s="8" t="n">
        <v>4408192</v>
      </c>
      <c r="C726" s="8" t="s">
        <v>1293</v>
      </c>
      <c r="D726" s="19" t="n">
        <v>139</v>
      </c>
      <c r="E726" s="19" t="n">
        <v>9035</v>
      </c>
      <c r="F726" s="19" t="n">
        <v>162.947368421053</v>
      </c>
      <c r="G726" s="19" t="n">
        <v>9801.57852631579</v>
      </c>
    </row>
    <row r="727" customFormat="false" ht="15" hidden="false" customHeight="false" outlineLevel="0" collapsed="false">
      <c r="A727" s="8" t="s">
        <v>1739</v>
      </c>
      <c r="B727" s="8" t="n">
        <v>4408203</v>
      </c>
      <c r="C727" s="8" t="s">
        <v>1294</v>
      </c>
      <c r="D727" s="19" t="n">
        <v>0</v>
      </c>
      <c r="E727" s="19" t="n">
        <v>0</v>
      </c>
      <c r="F727" s="19" t="n">
        <v>6.31578947368421</v>
      </c>
      <c r="G727" s="19" t="n">
        <v>955.957894736842</v>
      </c>
    </row>
    <row r="728" customFormat="false" ht="15" hidden="false" customHeight="false" outlineLevel="0" collapsed="false">
      <c r="A728" s="8" t="s">
        <v>1739</v>
      </c>
      <c r="B728" s="8" t="n">
        <v>4408217</v>
      </c>
      <c r="C728" s="8" t="s">
        <v>1299</v>
      </c>
      <c r="D728" s="19" t="n">
        <v>3</v>
      </c>
      <c r="E728" s="19" t="n">
        <v>195</v>
      </c>
      <c r="F728" s="19" t="n">
        <v>8.84210526315789</v>
      </c>
      <c r="G728" s="19" t="n">
        <v>545.178947368421</v>
      </c>
    </row>
    <row r="729" customFormat="false" ht="15" hidden="false" customHeight="false" outlineLevel="0" collapsed="false">
      <c r="A729" s="8" t="s">
        <v>1739</v>
      </c>
      <c r="B729" s="8" t="n">
        <v>4408218</v>
      </c>
      <c r="C729" s="8" t="s">
        <v>1300</v>
      </c>
      <c r="D729" s="19" t="n">
        <v>115</v>
      </c>
      <c r="E729" s="19" t="n">
        <v>7475</v>
      </c>
      <c r="F729" s="19" t="n">
        <v>130.105263157895</v>
      </c>
      <c r="G729" s="19" t="n">
        <v>8057.81052631579</v>
      </c>
    </row>
    <row r="730" customFormat="false" ht="15" hidden="false" customHeight="false" outlineLevel="0" collapsed="false">
      <c r="A730" s="8" t="s">
        <v>1739</v>
      </c>
      <c r="B730" s="8" t="n">
        <v>4408219</v>
      </c>
      <c r="C730" s="8" t="s">
        <v>1301</v>
      </c>
      <c r="D730" s="19" t="n">
        <v>26</v>
      </c>
      <c r="E730" s="19" t="n">
        <v>1690</v>
      </c>
      <c r="F730" s="19" t="n">
        <v>16.4210526315789</v>
      </c>
      <c r="G730" s="19" t="n">
        <v>1260.77052631579</v>
      </c>
    </row>
    <row r="731" customFormat="false" ht="15" hidden="false" customHeight="false" outlineLevel="0" collapsed="false">
      <c r="A731" s="8" t="s">
        <v>1739</v>
      </c>
      <c r="B731" s="8" t="n">
        <v>4408220</v>
      </c>
      <c r="C731" s="8" t="s">
        <v>1302</v>
      </c>
      <c r="D731" s="19" t="n">
        <v>150</v>
      </c>
      <c r="E731" s="19" t="n">
        <v>9750</v>
      </c>
      <c r="F731" s="19" t="n">
        <v>69.4736842105263</v>
      </c>
      <c r="G731" s="19" t="n">
        <v>4524.4547368421</v>
      </c>
    </row>
    <row r="732" customFormat="false" ht="15" hidden="false" customHeight="false" outlineLevel="0" collapsed="false">
      <c r="A732" s="8" t="s">
        <v>1739</v>
      </c>
      <c r="B732" s="8" t="n">
        <v>4408221</v>
      </c>
      <c r="C732" s="8" t="s">
        <v>1303</v>
      </c>
      <c r="D732" s="19" t="n">
        <v>392</v>
      </c>
      <c r="E732" s="19" t="n">
        <v>25480</v>
      </c>
      <c r="F732" s="19" t="n">
        <v>208.421052631579</v>
      </c>
      <c r="G732" s="19" t="n">
        <v>13023.9915789474</v>
      </c>
    </row>
    <row r="733" customFormat="false" ht="15" hidden="false" customHeight="false" outlineLevel="0" collapsed="false">
      <c r="A733" s="8" t="s">
        <v>1739</v>
      </c>
      <c r="B733" s="8" t="n">
        <v>4408222</v>
      </c>
      <c r="C733" s="8" t="s">
        <v>1304</v>
      </c>
      <c r="D733" s="19" t="n">
        <v>279</v>
      </c>
      <c r="E733" s="19" t="n">
        <v>18135</v>
      </c>
      <c r="F733" s="19" t="n">
        <v>136.421052631579</v>
      </c>
      <c r="G733" s="19" t="n">
        <v>8698.68631578947</v>
      </c>
    </row>
    <row r="734" customFormat="false" ht="15" hidden="false" customHeight="false" outlineLevel="0" collapsed="false">
      <c r="A734" s="8" t="s">
        <v>1739</v>
      </c>
      <c r="B734" s="8" t="n">
        <v>4408223</v>
      </c>
      <c r="C734" s="8" t="s">
        <v>1305</v>
      </c>
      <c r="D734" s="19" t="n">
        <v>145</v>
      </c>
      <c r="E734" s="19" t="n">
        <v>9425</v>
      </c>
      <c r="F734" s="19" t="n">
        <v>85.8947368421053</v>
      </c>
      <c r="G734" s="19" t="n">
        <v>5525.31789473684</v>
      </c>
    </row>
    <row r="735" customFormat="false" ht="15" hidden="false" customHeight="false" outlineLevel="0" collapsed="false">
      <c r="A735" s="8" t="s">
        <v>1739</v>
      </c>
      <c r="B735" s="8" t="n">
        <v>4408230</v>
      </c>
      <c r="C735" s="8" t="s">
        <v>1310</v>
      </c>
      <c r="D735" s="19" t="n">
        <v>70</v>
      </c>
      <c r="E735" s="19" t="n">
        <v>5446</v>
      </c>
      <c r="F735" s="19" t="n">
        <v>72</v>
      </c>
      <c r="G735" s="19" t="n">
        <v>5327.41642105263</v>
      </c>
    </row>
    <row r="736" customFormat="false" ht="15" hidden="false" customHeight="false" outlineLevel="0" collapsed="false">
      <c r="A736" s="8" t="s">
        <v>1739</v>
      </c>
      <c r="B736" s="8" t="n">
        <v>4408231</v>
      </c>
      <c r="C736" s="8" t="s">
        <v>1311</v>
      </c>
      <c r="D736" s="19" t="n">
        <v>49</v>
      </c>
      <c r="E736" s="19" t="n">
        <v>3812.2</v>
      </c>
      <c r="F736" s="19" t="n">
        <v>39.1578947368421</v>
      </c>
      <c r="G736" s="19" t="n">
        <v>2896.12547368421</v>
      </c>
    </row>
    <row r="737" customFormat="false" ht="15" hidden="false" customHeight="false" outlineLevel="0" collapsed="false">
      <c r="A737" s="8" t="s">
        <v>1739</v>
      </c>
      <c r="B737" s="8" t="n">
        <v>4408232</v>
      </c>
      <c r="C737" s="8" t="s">
        <v>1312</v>
      </c>
      <c r="D737" s="19" t="n">
        <v>24</v>
      </c>
      <c r="E737" s="19" t="n">
        <v>1867.2</v>
      </c>
      <c r="F737" s="19" t="n">
        <v>13.8947368421053</v>
      </c>
      <c r="G737" s="19" t="n">
        <v>1063.32126315789</v>
      </c>
    </row>
    <row r="738" customFormat="false" ht="15" hidden="false" customHeight="false" outlineLevel="0" collapsed="false">
      <c r="A738" s="8" t="s">
        <v>1739</v>
      </c>
      <c r="B738" s="8" t="n">
        <v>4408259</v>
      </c>
      <c r="C738" s="8" t="s">
        <v>1320</v>
      </c>
      <c r="D738" s="19" t="n">
        <v>1</v>
      </c>
      <c r="E738" s="19" t="n">
        <v>113.58</v>
      </c>
      <c r="F738" s="19" t="n">
        <v>2.52631578947368</v>
      </c>
      <c r="G738" s="19" t="n">
        <v>261.160421052632</v>
      </c>
    </row>
    <row r="739" customFormat="false" ht="15" hidden="false" customHeight="false" outlineLevel="0" collapsed="false">
      <c r="A739" s="8" t="s">
        <v>1739</v>
      </c>
      <c r="B739" s="8" t="n">
        <v>4408260</v>
      </c>
      <c r="C739" s="8" t="s">
        <v>1321</v>
      </c>
      <c r="D739" s="19" t="n">
        <v>3</v>
      </c>
      <c r="E739" s="19" t="n">
        <v>340.74</v>
      </c>
      <c r="F739" s="19" t="n">
        <v>0</v>
      </c>
      <c r="G739" s="19" t="n">
        <v>-12.8892631578947</v>
      </c>
    </row>
    <row r="740" customFormat="false" ht="15" hidden="false" customHeight="false" outlineLevel="0" collapsed="false">
      <c r="A740" s="8" t="s">
        <v>1739</v>
      </c>
      <c r="B740" s="8" t="n">
        <v>4408261</v>
      </c>
      <c r="C740" s="8" t="s">
        <v>1741</v>
      </c>
      <c r="D740" s="19" t="n">
        <v>8</v>
      </c>
      <c r="E740" s="19" t="n">
        <v>908.64</v>
      </c>
      <c r="F740" s="19" t="n">
        <v>3.78947368421053</v>
      </c>
      <c r="G740" s="19" t="n">
        <v>417.519157894737</v>
      </c>
    </row>
    <row r="741" customFormat="false" ht="15" hidden="false" customHeight="false" outlineLevel="0" collapsed="false">
      <c r="A741" s="8" t="s">
        <v>1739</v>
      </c>
      <c r="B741" s="8" t="n">
        <v>4408262</v>
      </c>
      <c r="C741" s="8" t="s">
        <v>1322</v>
      </c>
      <c r="D741" s="19" t="n">
        <v>7</v>
      </c>
      <c r="E741" s="19" t="n">
        <v>795.06</v>
      </c>
      <c r="F741" s="19" t="n">
        <v>5.05263157894737</v>
      </c>
      <c r="G741" s="19" t="n">
        <v>522.205894736842</v>
      </c>
    </row>
    <row r="742" customFormat="false" ht="15" hidden="false" customHeight="false" outlineLevel="0" collapsed="false">
      <c r="A742" s="8" t="s">
        <v>1739</v>
      </c>
      <c r="B742" s="8" t="n">
        <v>4408263</v>
      </c>
      <c r="C742" s="8" t="s">
        <v>1742</v>
      </c>
      <c r="D742" s="19" t="n">
        <v>7</v>
      </c>
      <c r="E742" s="19" t="n">
        <v>795.06</v>
      </c>
      <c r="F742" s="19" t="n">
        <v>1.26315789473684</v>
      </c>
      <c r="G742" s="19" t="n">
        <v>130.580210526316</v>
      </c>
    </row>
    <row r="743" customFormat="false" ht="15" hidden="false" customHeight="false" outlineLevel="0" collapsed="false">
      <c r="A743" s="8" t="s">
        <v>1739</v>
      </c>
      <c r="B743" s="8" t="n">
        <v>4408267</v>
      </c>
      <c r="C743" s="8" t="s">
        <v>1743</v>
      </c>
      <c r="D743" s="19" t="n">
        <v>474</v>
      </c>
      <c r="E743" s="19" t="n">
        <v>8769</v>
      </c>
      <c r="F743" s="19" t="n">
        <v>692.21052631579</v>
      </c>
      <c r="G743" s="19" t="n">
        <v>11761.9402105263</v>
      </c>
    </row>
    <row r="744" customFormat="false" ht="15" hidden="false" customHeight="false" outlineLevel="0" collapsed="false">
      <c r="A744" s="8" t="s">
        <v>1739</v>
      </c>
      <c r="B744" s="8" t="n">
        <v>4408268</v>
      </c>
      <c r="C744" s="8" t="s">
        <v>1744</v>
      </c>
      <c r="D744" s="19" t="n">
        <v>172</v>
      </c>
      <c r="E744" s="19" t="n">
        <v>2855.2</v>
      </c>
      <c r="F744" s="19" t="n">
        <v>146.526315789474</v>
      </c>
      <c r="G744" s="19" t="n">
        <v>2224.96421052632</v>
      </c>
    </row>
    <row r="745" customFormat="false" ht="15" hidden="false" customHeight="false" outlineLevel="0" collapsed="false">
      <c r="A745" s="8" t="s">
        <v>1739</v>
      </c>
      <c r="B745" s="8" t="n">
        <v>4408269</v>
      </c>
      <c r="C745" s="8" t="s">
        <v>1745</v>
      </c>
      <c r="D745" s="19" t="n">
        <v>177</v>
      </c>
      <c r="E745" s="19" t="n">
        <v>3717</v>
      </c>
      <c r="F745" s="19" t="n">
        <v>214.736842105263</v>
      </c>
      <c r="G745" s="19" t="n">
        <v>4223.64378947368</v>
      </c>
    </row>
    <row r="746" customFormat="false" ht="15" hidden="false" customHeight="false" outlineLevel="0" collapsed="false">
      <c r="A746" s="8" t="s">
        <v>1739</v>
      </c>
      <c r="B746" s="8" t="n">
        <v>4408270</v>
      </c>
      <c r="C746" s="8" t="s">
        <v>1746</v>
      </c>
      <c r="D746" s="19" t="n">
        <v>58</v>
      </c>
      <c r="E746" s="19" t="n">
        <v>2088</v>
      </c>
      <c r="F746" s="19" t="n">
        <v>13.8947368421053</v>
      </c>
      <c r="G746" s="19" t="n">
        <v>583.541052631579</v>
      </c>
    </row>
    <row r="747" customFormat="false" ht="15" hidden="false" customHeight="false" outlineLevel="0" collapsed="false">
      <c r="A747" s="8" t="s">
        <v>1739</v>
      </c>
      <c r="B747" s="8" t="n">
        <v>4408271</v>
      </c>
      <c r="C747" s="8" t="s">
        <v>1747</v>
      </c>
      <c r="D747" s="19" t="n">
        <v>0</v>
      </c>
      <c r="E747" s="19" t="n">
        <v>0</v>
      </c>
      <c r="F747" s="19" t="n">
        <v>10.1052631578947</v>
      </c>
      <c r="G747" s="19" t="n">
        <v>1921.92</v>
      </c>
    </row>
    <row r="748" customFormat="false" ht="15" hidden="false" customHeight="false" outlineLevel="0" collapsed="false">
      <c r="A748" s="8" t="s">
        <v>1739</v>
      </c>
      <c r="B748" s="8" t="n">
        <v>4408272</v>
      </c>
      <c r="C748" s="8" t="s">
        <v>1326</v>
      </c>
      <c r="D748" s="19" t="n">
        <v>0</v>
      </c>
      <c r="E748" s="19" t="n">
        <v>0</v>
      </c>
      <c r="F748" s="19" t="n">
        <v>2.52631578947368</v>
      </c>
      <c r="G748" s="19" t="n">
        <v>495.423157894737</v>
      </c>
    </row>
    <row r="749" customFormat="false" ht="15" hidden="false" customHeight="false" outlineLevel="0" collapsed="false">
      <c r="A749" s="8" t="s">
        <v>1739</v>
      </c>
      <c r="B749" s="8" t="n">
        <v>4408273</v>
      </c>
      <c r="C749" s="8" t="s">
        <v>1327</v>
      </c>
      <c r="D749" s="19" t="n">
        <v>0</v>
      </c>
      <c r="E749" s="19" t="n">
        <v>0</v>
      </c>
      <c r="F749" s="19" t="n">
        <v>1.26315789473684</v>
      </c>
      <c r="G749" s="19" t="n">
        <v>255.183157894737</v>
      </c>
    </row>
    <row r="750" customFormat="false" ht="15" hidden="false" customHeight="false" outlineLevel="0" collapsed="false">
      <c r="A750" s="8" t="s">
        <v>1739</v>
      </c>
      <c r="B750" s="8" t="n">
        <v>4408274</v>
      </c>
      <c r="C750" s="8" t="s">
        <v>1328</v>
      </c>
      <c r="D750" s="19" t="n">
        <v>0</v>
      </c>
      <c r="E750" s="19" t="n">
        <v>0</v>
      </c>
      <c r="F750" s="19" t="n">
        <v>1.26315789473684</v>
      </c>
      <c r="G750" s="19" t="n">
        <v>255.183157894737</v>
      </c>
    </row>
    <row r="751" customFormat="false" ht="15" hidden="false" customHeight="false" outlineLevel="0" collapsed="false">
      <c r="A751" s="8" t="s">
        <v>1739</v>
      </c>
      <c r="B751" s="8" t="n">
        <v>4409000</v>
      </c>
      <c r="C751" s="8" t="s">
        <v>1330</v>
      </c>
      <c r="D751" s="19" t="n">
        <v>335</v>
      </c>
      <c r="E751" s="19" t="n">
        <v>3252.85</v>
      </c>
      <c r="F751" s="19" t="n">
        <v>320.842105263158</v>
      </c>
      <c r="G751" s="19" t="n">
        <v>2859.72757894737</v>
      </c>
    </row>
    <row r="752" customFormat="false" ht="15" hidden="false" customHeight="false" outlineLevel="0" collapsed="false">
      <c r="A752" s="8" t="s">
        <v>1739</v>
      </c>
      <c r="B752" s="8" t="n">
        <v>4409001</v>
      </c>
      <c r="C752" s="8" t="s">
        <v>1331</v>
      </c>
      <c r="D752" s="19" t="n">
        <v>158</v>
      </c>
      <c r="E752" s="19" t="n">
        <v>1276.64</v>
      </c>
      <c r="F752" s="19" t="n">
        <v>112.421052631579</v>
      </c>
      <c r="G752" s="19" t="n">
        <v>872.892631578947</v>
      </c>
    </row>
    <row r="753" customFormat="false" ht="15" hidden="false" customHeight="false" outlineLevel="0" collapsed="false">
      <c r="A753" s="8" t="s">
        <v>1739</v>
      </c>
      <c r="B753" s="8" t="n">
        <v>4409004</v>
      </c>
      <c r="C753" s="8" t="s">
        <v>1333</v>
      </c>
      <c r="D753" s="19" t="n">
        <v>1180</v>
      </c>
      <c r="E753" s="19" t="n">
        <v>15812</v>
      </c>
      <c r="F753" s="19" t="n">
        <v>591.157894736842</v>
      </c>
      <c r="G753" s="19" t="n">
        <v>7312.43747368421</v>
      </c>
    </row>
    <row r="754" customFormat="false" ht="15" hidden="false" customHeight="false" outlineLevel="0" collapsed="false">
      <c r="A754" s="8" t="s">
        <v>1739</v>
      </c>
      <c r="B754" s="8" t="n">
        <v>4409014</v>
      </c>
      <c r="C754" s="8" t="s">
        <v>1338</v>
      </c>
      <c r="D754" s="19" t="n">
        <v>92</v>
      </c>
      <c r="E754" s="19" t="n">
        <v>2300</v>
      </c>
      <c r="F754" s="19" t="n">
        <v>77.0526315789474</v>
      </c>
      <c r="G754" s="19" t="n">
        <v>1838.21052631579</v>
      </c>
    </row>
    <row r="755" customFormat="false" ht="15" hidden="false" customHeight="false" outlineLevel="0" collapsed="false">
      <c r="A755" s="8" t="s">
        <v>1739</v>
      </c>
      <c r="B755" s="8" t="n">
        <v>4409015</v>
      </c>
      <c r="C755" s="8" t="s">
        <v>1339</v>
      </c>
      <c r="D755" s="19" t="n">
        <v>111</v>
      </c>
      <c r="E755" s="19" t="n">
        <v>2775</v>
      </c>
      <c r="F755" s="19" t="n">
        <v>98.5263157894737</v>
      </c>
      <c r="G755" s="19" t="n">
        <v>2363.68421052632</v>
      </c>
    </row>
    <row r="756" customFormat="false" ht="15" hidden="false" customHeight="false" outlineLevel="0" collapsed="false">
      <c r="A756" s="8" t="s">
        <v>1739</v>
      </c>
      <c r="B756" s="8" t="n">
        <v>4409016</v>
      </c>
      <c r="C756" s="8" t="s">
        <v>1340</v>
      </c>
      <c r="D756" s="19" t="n">
        <v>104</v>
      </c>
      <c r="E756" s="19" t="n">
        <v>2600</v>
      </c>
      <c r="F756" s="19" t="n">
        <v>123.789473684211</v>
      </c>
      <c r="G756" s="19" t="n">
        <v>2932.73684210526</v>
      </c>
    </row>
    <row r="757" customFormat="false" ht="15" hidden="false" customHeight="false" outlineLevel="0" collapsed="false">
      <c r="A757" s="8" t="s">
        <v>1739</v>
      </c>
      <c r="B757" s="8" t="n">
        <v>4409017</v>
      </c>
      <c r="C757" s="8" t="s">
        <v>1341</v>
      </c>
      <c r="D757" s="19" t="n">
        <v>84</v>
      </c>
      <c r="E757" s="19" t="n">
        <v>2100</v>
      </c>
      <c r="F757" s="19" t="n">
        <v>116.210526315789</v>
      </c>
      <c r="G757" s="19" t="n">
        <v>2734.73684210526</v>
      </c>
    </row>
    <row r="758" customFormat="false" ht="15" hidden="false" customHeight="false" outlineLevel="0" collapsed="false">
      <c r="A758" s="8" t="s">
        <v>1739</v>
      </c>
      <c r="B758" s="8" t="n">
        <v>4411000</v>
      </c>
      <c r="C758" s="8" t="s">
        <v>1342</v>
      </c>
      <c r="D758" s="19" t="n">
        <v>188</v>
      </c>
      <c r="E758" s="19" t="n">
        <v>3468.6</v>
      </c>
      <c r="F758" s="19" t="n">
        <v>147.789473684211</v>
      </c>
      <c r="G758" s="19" t="n">
        <v>2450.63621052632</v>
      </c>
    </row>
    <row r="759" customFormat="false" ht="15" hidden="false" customHeight="false" outlineLevel="0" collapsed="false">
      <c r="A759" s="8" t="s">
        <v>1739</v>
      </c>
      <c r="B759" s="8" t="n">
        <v>4411001</v>
      </c>
      <c r="C759" s="8" t="s">
        <v>1343</v>
      </c>
      <c r="D759" s="19" t="n">
        <v>136</v>
      </c>
      <c r="E759" s="19" t="n">
        <v>2709.12</v>
      </c>
      <c r="F759" s="19" t="n">
        <v>149.052631578947</v>
      </c>
      <c r="G759" s="19" t="n">
        <v>2794.25178947368</v>
      </c>
    </row>
    <row r="760" customFormat="false" ht="15" hidden="false" customHeight="false" outlineLevel="0" collapsed="false">
      <c r="A760" s="8" t="s">
        <v>1739</v>
      </c>
      <c r="B760" s="8" t="n">
        <v>4411015</v>
      </c>
      <c r="C760" s="8" t="s">
        <v>1344</v>
      </c>
      <c r="D760" s="19" t="n">
        <v>76</v>
      </c>
      <c r="E760" s="19" t="n">
        <v>2464.68</v>
      </c>
      <c r="F760" s="19" t="n">
        <v>48</v>
      </c>
      <c r="G760" s="19" t="n">
        <v>1490.232</v>
      </c>
    </row>
    <row r="761" customFormat="false" ht="15" hidden="false" customHeight="false" outlineLevel="0" collapsed="false">
      <c r="A761" s="8" t="s">
        <v>1739</v>
      </c>
      <c r="B761" s="8" t="n">
        <v>4411016</v>
      </c>
      <c r="C761" s="8" t="s">
        <v>1345</v>
      </c>
      <c r="D761" s="19" t="n">
        <v>135</v>
      </c>
      <c r="E761" s="19" t="n">
        <v>8541.45</v>
      </c>
      <c r="F761" s="19" t="n">
        <v>88.421052631579</v>
      </c>
      <c r="G761" s="19" t="n">
        <v>5472.168</v>
      </c>
    </row>
    <row r="762" customFormat="false" ht="15" hidden="false" customHeight="false" outlineLevel="0" collapsed="false">
      <c r="A762" s="8" t="s">
        <v>1739</v>
      </c>
      <c r="B762" s="8" t="n">
        <v>4411026</v>
      </c>
      <c r="C762" s="8" t="s">
        <v>1354</v>
      </c>
      <c r="D762" s="19" t="n">
        <v>0</v>
      </c>
      <c r="E762" s="19" t="n">
        <v>0</v>
      </c>
      <c r="F762" s="19" t="n">
        <v>7.57894736842105</v>
      </c>
      <c r="G762" s="19" t="n">
        <v>489.675789473684</v>
      </c>
    </row>
    <row r="763" customFormat="false" ht="15" hidden="false" customHeight="false" outlineLevel="0" collapsed="false">
      <c r="A763" s="8" t="s">
        <v>1739</v>
      </c>
      <c r="B763" s="8" t="n">
        <v>4411027</v>
      </c>
      <c r="C763" s="8" t="s">
        <v>1355</v>
      </c>
      <c r="D763" s="19" t="n">
        <v>0</v>
      </c>
      <c r="E763" s="19" t="n">
        <v>0</v>
      </c>
      <c r="F763" s="19" t="n">
        <v>13.8947368421053</v>
      </c>
      <c r="G763" s="19" t="n">
        <v>897.738947368421</v>
      </c>
    </row>
    <row r="764" customFormat="false" ht="15" hidden="false" customHeight="false" outlineLevel="0" collapsed="false">
      <c r="A764" s="8" t="s">
        <v>1739</v>
      </c>
      <c r="B764" s="8" t="n">
        <v>4411028</v>
      </c>
      <c r="C764" s="8" t="s">
        <v>1356</v>
      </c>
      <c r="D764" s="19" t="n">
        <v>0</v>
      </c>
      <c r="E764" s="19" t="n">
        <v>0</v>
      </c>
      <c r="F764" s="19" t="n">
        <v>6.31578947368421</v>
      </c>
      <c r="G764" s="19" t="n">
        <v>408.063157894737</v>
      </c>
    </row>
    <row r="765" customFormat="false" ht="15" hidden="false" customHeight="false" outlineLevel="0" collapsed="false">
      <c r="A765" s="8" t="s">
        <v>1739</v>
      </c>
      <c r="B765" s="8" t="n">
        <v>4411029</v>
      </c>
      <c r="C765" s="8" t="s">
        <v>1357</v>
      </c>
      <c r="D765" s="19" t="n">
        <v>0</v>
      </c>
      <c r="E765" s="19" t="n">
        <v>0</v>
      </c>
      <c r="F765" s="19" t="n">
        <v>11.3684210526316</v>
      </c>
      <c r="G765" s="19" t="n">
        <v>734.513684210526</v>
      </c>
    </row>
    <row r="766" customFormat="false" ht="15" hidden="false" customHeight="false" outlineLevel="0" collapsed="false">
      <c r="A766" s="8" t="s">
        <v>1739</v>
      </c>
      <c r="B766" s="8" t="n">
        <v>4411030</v>
      </c>
      <c r="C766" s="8" t="s">
        <v>1358</v>
      </c>
      <c r="D766" s="19" t="n">
        <v>0</v>
      </c>
      <c r="E766" s="19" t="n">
        <v>0</v>
      </c>
      <c r="F766" s="19" t="n">
        <v>17.6842105263158</v>
      </c>
      <c r="G766" s="19" t="n">
        <v>1142.57684210526</v>
      </c>
    </row>
    <row r="767" customFormat="false" ht="15" hidden="false" customHeight="false" outlineLevel="0" collapsed="false">
      <c r="A767" s="8" t="s">
        <v>1739</v>
      </c>
      <c r="B767" s="8" t="n">
        <v>4411031</v>
      </c>
      <c r="C767" s="8" t="s">
        <v>1359</v>
      </c>
      <c r="D767" s="19" t="n">
        <v>0</v>
      </c>
      <c r="E767" s="19" t="n">
        <v>0</v>
      </c>
      <c r="F767" s="19" t="n">
        <v>10.1052631578947</v>
      </c>
      <c r="G767" s="19" t="n">
        <v>652.901052631579</v>
      </c>
    </row>
    <row r="768" customFormat="false" ht="15" hidden="false" customHeight="false" outlineLevel="0" collapsed="false">
      <c r="A768" s="8" t="s">
        <v>1739</v>
      </c>
      <c r="B768" s="8" t="n">
        <v>4413033</v>
      </c>
      <c r="C768" s="8" t="s">
        <v>1370</v>
      </c>
      <c r="D768" s="19" t="n">
        <v>207</v>
      </c>
      <c r="E768" s="19" t="n">
        <v>2032.74</v>
      </c>
      <c r="F768" s="19" t="n">
        <v>190.736842105263</v>
      </c>
      <c r="G768" s="19" t="n">
        <v>1718.88126315789</v>
      </c>
    </row>
    <row r="769" customFormat="false" ht="15" hidden="false" customHeight="false" outlineLevel="0" collapsed="false">
      <c r="A769" s="8" t="s">
        <v>1739</v>
      </c>
      <c r="B769" s="8" t="n">
        <v>4413034</v>
      </c>
      <c r="C769" s="8" t="s">
        <v>125</v>
      </c>
      <c r="D769" s="19" t="n">
        <v>69</v>
      </c>
      <c r="E769" s="19" t="n">
        <v>985.32</v>
      </c>
      <c r="F769" s="19" t="n">
        <v>18.9473684210526</v>
      </c>
      <c r="G769" s="19" t="n">
        <v>270.568421052632</v>
      </c>
    </row>
    <row r="770" customFormat="false" ht="15" hidden="false" customHeight="false" outlineLevel="0" collapsed="false">
      <c r="A770" s="8" t="s">
        <v>1739</v>
      </c>
      <c r="B770" s="8" t="n">
        <v>4413041</v>
      </c>
      <c r="C770" s="8" t="s">
        <v>1372</v>
      </c>
      <c r="D770" s="19" t="n">
        <v>289</v>
      </c>
      <c r="E770" s="19" t="n">
        <v>8360.77</v>
      </c>
      <c r="F770" s="19" t="n">
        <v>240</v>
      </c>
      <c r="G770" s="19" t="n">
        <v>6385.69389473684</v>
      </c>
    </row>
    <row r="771" customFormat="false" ht="15" hidden="false" customHeight="false" outlineLevel="0" collapsed="false">
      <c r="A771" s="8" t="s">
        <v>1739</v>
      </c>
      <c r="B771" s="8" t="n">
        <v>4413042</v>
      </c>
      <c r="C771" s="8" t="s">
        <v>1373</v>
      </c>
      <c r="D771" s="19" t="n">
        <v>119</v>
      </c>
      <c r="E771" s="19" t="n">
        <v>3442.67</v>
      </c>
      <c r="F771" s="19" t="n">
        <v>94.7368421052632</v>
      </c>
      <c r="G771" s="19" t="n">
        <v>2527.98442105263</v>
      </c>
    </row>
    <row r="772" customFormat="false" ht="15" hidden="false" customHeight="false" outlineLevel="0" collapsed="false">
      <c r="A772" s="8" t="s">
        <v>1739</v>
      </c>
      <c r="B772" s="8" t="n">
        <v>4413043</v>
      </c>
      <c r="C772" s="8" t="s">
        <v>1374</v>
      </c>
      <c r="D772" s="19" t="n">
        <v>320</v>
      </c>
      <c r="E772" s="19" t="n">
        <v>9257.6</v>
      </c>
      <c r="F772" s="19" t="n">
        <v>262.736842105263</v>
      </c>
      <c r="G772" s="19" t="n">
        <v>7127.66021052632</v>
      </c>
    </row>
    <row r="773" customFormat="false" ht="15" hidden="false" customHeight="false" outlineLevel="0" collapsed="false">
      <c r="A773" s="8" t="s">
        <v>1739</v>
      </c>
      <c r="B773" s="8" t="n">
        <v>4413044</v>
      </c>
      <c r="C773" s="8" t="s">
        <v>1375</v>
      </c>
      <c r="D773" s="19" t="n">
        <v>192</v>
      </c>
      <c r="E773" s="19" t="n">
        <v>5554.56</v>
      </c>
      <c r="F773" s="19" t="n">
        <v>180.631578947368</v>
      </c>
      <c r="G773" s="19" t="n">
        <v>4806.41810526316</v>
      </c>
    </row>
    <row r="774" customFormat="false" ht="15" hidden="false" customHeight="false" outlineLevel="0" collapsed="false">
      <c r="A774" s="8" t="s">
        <v>1739</v>
      </c>
      <c r="B774" s="8" t="n">
        <v>4413046</v>
      </c>
      <c r="C774" s="8" t="s">
        <v>1377</v>
      </c>
      <c r="D774" s="19" t="n">
        <v>64</v>
      </c>
      <c r="E774" s="19" t="n">
        <v>1851.52</v>
      </c>
      <c r="F774" s="19" t="n">
        <v>61.8947368421053</v>
      </c>
      <c r="G774" s="19" t="n">
        <v>1676.85978947368</v>
      </c>
    </row>
    <row r="775" customFormat="false" ht="15" hidden="false" customHeight="false" outlineLevel="0" collapsed="false">
      <c r="A775" s="8" t="s">
        <v>1739</v>
      </c>
      <c r="B775" s="8" t="n">
        <v>4413047</v>
      </c>
      <c r="C775" s="8" t="s">
        <v>1378</v>
      </c>
      <c r="D775" s="19" t="n">
        <v>95</v>
      </c>
      <c r="E775" s="19" t="n">
        <v>1615</v>
      </c>
      <c r="F775" s="19" t="n">
        <v>93.4736842105263</v>
      </c>
      <c r="G775" s="19" t="n">
        <v>1480.39578947368</v>
      </c>
    </row>
    <row r="776" customFormat="false" ht="15" hidden="false" customHeight="false" outlineLevel="0" collapsed="false">
      <c r="A776" s="8" t="s">
        <v>1739</v>
      </c>
      <c r="B776" s="8" t="n">
        <v>4413048</v>
      </c>
      <c r="C776" s="8" t="s">
        <v>1379</v>
      </c>
      <c r="D776" s="19" t="n">
        <v>235</v>
      </c>
      <c r="E776" s="19" t="n">
        <v>3995</v>
      </c>
      <c r="F776" s="19" t="n">
        <v>227.368421052632</v>
      </c>
      <c r="G776" s="19" t="n">
        <v>3615.09473684211</v>
      </c>
    </row>
    <row r="777" customFormat="false" ht="15" hidden="false" customHeight="false" outlineLevel="0" collapsed="false">
      <c r="A777" s="8" t="s">
        <v>1739</v>
      </c>
      <c r="B777" s="8" t="n">
        <v>4413049</v>
      </c>
      <c r="C777" s="8" t="s">
        <v>1380</v>
      </c>
      <c r="D777" s="19" t="n">
        <v>275</v>
      </c>
      <c r="E777" s="19" t="n">
        <v>4675</v>
      </c>
      <c r="F777" s="19" t="n">
        <v>216</v>
      </c>
      <c r="G777" s="19" t="n">
        <v>3420.97642105263</v>
      </c>
    </row>
    <row r="778" customFormat="false" ht="15" hidden="false" customHeight="false" outlineLevel="0" collapsed="false">
      <c r="A778" s="8" t="s">
        <v>1739</v>
      </c>
      <c r="B778" s="8" t="n">
        <v>4413050</v>
      </c>
      <c r="C778" s="8" t="s">
        <v>1381</v>
      </c>
      <c r="D778" s="19" t="n">
        <v>226</v>
      </c>
      <c r="E778" s="19" t="n">
        <v>3842</v>
      </c>
      <c r="F778" s="19" t="n">
        <v>162.947368421053</v>
      </c>
      <c r="G778" s="19" t="n">
        <v>2497.608</v>
      </c>
    </row>
    <row r="779" customFormat="false" ht="15" hidden="false" customHeight="false" outlineLevel="0" collapsed="false">
      <c r="A779" s="8" t="s">
        <v>1739</v>
      </c>
      <c r="B779" s="8" t="n">
        <v>4413051</v>
      </c>
      <c r="C779" s="8" t="s">
        <v>1382</v>
      </c>
      <c r="D779" s="19" t="n">
        <v>77</v>
      </c>
      <c r="E779" s="19" t="n">
        <v>1309</v>
      </c>
      <c r="F779" s="19" t="n">
        <v>30.3157894736842</v>
      </c>
      <c r="G779" s="19" t="n">
        <v>484.338947368421</v>
      </c>
    </row>
    <row r="780" customFormat="false" ht="15" hidden="false" customHeight="false" outlineLevel="0" collapsed="false">
      <c r="A780" s="8" t="s">
        <v>1739</v>
      </c>
      <c r="B780" s="8" t="n">
        <v>4413056</v>
      </c>
      <c r="C780" s="8" t="s">
        <v>1387</v>
      </c>
      <c r="D780" s="19" t="n">
        <v>38</v>
      </c>
      <c r="E780" s="19" t="n">
        <v>615.6</v>
      </c>
      <c r="F780" s="19" t="n">
        <v>34.1052631578947</v>
      </c>
      <c r="G780" s="19" t="n">
        <v>521.196631578947</v>
      </c>
    </row>
    <row r="781" customFormat="false" ht="15" hidden="false" customHeight="false" outlineLevel="0" collapsed="false">
      <c r="A781" s="8" t="s">
        <v>1739</v>
      </c>
      <c r="B781" s="8" t="n">
        <v>4413058</v>
      </c>
      <c r="C781" s="8" t="s">
        <v>1388</v>
      </c>
      <c r="D781" s="19" t="n">
        <v>71</v>
      </c>
      <c r="E781" s="19" t="n">
        <v>1661.4</v>
      </c>
      <c r="F781" s="19" t="n">
        <v>59.3684210526316</v>
      </c>
      <c r="G781" s="19" t="n">
        <v>1239.65810526316</v>
      </c>
    </row>
    <row r="782" customFormat="false" ht="15" hidden="false" customHeight="false" outlineLevel="0" collapsed="false">
      <c r="A782" s="8" t="s">
        <v>1739</v>
      </c>
      <c r="B782" s="8" t="n">
        <v>4413059</v>
      </c>
      <c r="C782" s="8" t="s">
        <v>1389</v>
      </c>
      <c r="D782" s="19" t="n">
        <v>669</v>
      </c>
      <c r="E782" s="19" t="n">
        <v>6355.5</v>
      </c>
      <c r="F782" s="19" t="n">
        <v>437.052631578947</v>
      </c>
      <c r="G782" s="19" t="n">
        <v>3774.58231578947</v>
      </c>
    </row>
    <row r="783" customFormat="false" ht="15" hidden="false" customHeight="false" outlineLevel="0" collapsed="false">
      <c r="A783" s="8" t="s">
        <v>1739</v>
      </c>
      <c r="B783" s="8" t="n">
        <v>4413060</v>
      </c>
      <c r="C783" s="8" t="s">
        <v>1390</v>
      </c>
      <c r="D783" s="19" t="n">
        <v>327</v>
      </c>
      <c r="E783" s="19" t="n">
        <v>3106.5</v>
      </c>
      <c r="F783" s="19" t="n">
        <v>282.947368421053</v>
      </c>
      <c r="G783" s="19" t="n">
        <v>2437.32252631579</v>
      </c>
    </row>
    <row r="784" customFormat="false" ht="15" hidden="false" customHeight="false" outlineLevel="0" collapsed="false">
      <c r="A784" s="8" t="s">
        <v>1739</v>
      </c>
      <c r="B784" s="8" t="n">
        <v>4413061</v>
      </c>
      <c r="C784" s="8" t="s">
        <v>154</v>
      </c>
      <c r="D784" s="19" t="n">
        <v>199</v>
      </c>
      <c r="E784" s="19" t="n">
        <v>2577.05</v>
      </c>
      <c r="F784" s="19" t="n">
        <v>29.0526315789474</v>
      </c>
      <c r="G784" s="19" t="n">
        <v>376.231578947368</v>
      </c>
    </row>
    <row r="785" customFormat="false" ht="15" hidden="false" customHeight="false" outlineLevel="0" collapsed="false">
      <c r="A785" s="8" t="s">
        <v>1739</v>
      </c>
      <c r="B785" s="8" t="n">
        <v>4413063</v>
      </c>
      <c r="C785" s="8" t="s">
        <v>1392</v>
      </c>
      <c r="D785" s="19" t="n">
        <v>151</v>
      </c>
      <c r="E785" s="19" t="n">
        <v>1710.83</v>
      </c>
      <c r="F785" s="19" t="n">
        <v>123.789473684211</v>
      </c>
      <c r="G785" s="19" t="n">
        <v>1250.58442105263</v>
      </c>
    </row>
    <row r="786" customFormat="false" ht="15" hidden="false" customHeight="false" outlineLevel="0" collapsed="false">
      <c r="A786" s="8" t="s">
        <v>1739</v>
      </c>
      <c r="B786" s="8" t="n">
        <v>4413066</v>
      </c>
      <c r="C786" s="8" t="s">
        <v>1393</v>
      </c>
      <c r="D786" s="19" t="n">
        <v>104</v>
      </c>
      <c r="E786" s="19" t="n">
        <v>1439.36</v>
      </c>
      <c r="F786" s="19" t="n">
        <v>63.1578947368421</v>
      </c>
      <c r="G786" s="19" t="n">
        <v>797.466947368421</v>
      </c>
    </row>
    <row r="787" customFormat="false" ht="15" hidden="false" customHeight="false" outlineLevel="0" collapsed="false">
      <c r="A787" s="8" t="s">
        <v>1739</v>
      </c>
      <c r="B787" s="8" t="n">
        <v>4413071</v>
      </c>
      <c r="C787" s="8" t="s">
        <v>1396</v>
      </c>
      <c r="D787" s="19" t="n">
        <v>3</v>
      </c>
      <c r="E787" s="19" t="n">
        <v>231.72</v>
      </c>
      <c r="F787" s="19" t="n">
        <v>6.31578947368421</v>
      </c>
      <c r="G787" s="19" t="n">
        <v>452.753684210526</v>
      </c>
    </row>
    <row r="788" customFormat="false" ht="15" hidden="false" customHeight="false" outlineLevel="0" collapsed="false">
      <c r="A788" s="8" t="s">
        <v>1739</v>
      </c>
      <c r="B788" s="8" t="n">
        <v>4413092</v>
      </c>
      <c r="C788" s="8" t="s">
        <v>1408</v>
      </c>
      <c r="D788" s="19" t="n">
        <v>646</v>
      </c>
      <c r="E788" s="19" t="n">
        <v>10659</v>
      </c>
      <c r="F788" s="19" t="n">
        <v>471.157894736842</v>
      </c>
      <c r="G788" s="19" t="n">
        <v>7376.43789473684</v>
      </c>
    </row>
    <row r="789" customFormat="false" ht="15" hidden="false" customHeight="false" outlineLevel="0" collapsed="false">
      <c r="A789" s="8" t="s">
        <v>1739</v>
      </c>
      <c r="B789" s="8" t="n">
        <v>4413093</v>
      </c>
      <c r="C789" s="8" t="s">
        <v>1409</v>
      </c>
      <c r="D789" s="19" t="n">
        <v>470</v>
      </c>
      <c r="E789" s="19" t="n">
        <v>7755</v>
      </c>
      <c r="F789" s="19" t="n">
        <v>380.21052631579</v>
      </c>
      <c r="G789" s="19" t="n">
        <v>5935.83157894737</v>
      </c>
    </row>
    <row r="790" customFormat="false" ht="15" hidden="false" customHeight="false" outlineLevel="0" collapsed="false">
      <c r="A790" s="8" t="s">
        <v>1739</v>
      </c>
      <c r="B790" s="8" t="n">
        <v>4413094</v>
      </c>
      <c r="C790" s="8" t="s">
        <v>1410</v>
      </c>
      <c r="D790" s="19" t="n">
        <v>142</v>
      </c>
      <c r="E790" s="19" t="n">
        <v>2343</v>
      </c>
      <c r="F790" s="19" t="n">
        <v>125.052631578947</v>
      </c>
      <c r="G790" s="19" t="n">
        <v>1975.20631578947</v>
      </c>
    </row>
    <row r="791" customFormat="false" ht="15" hidden="false" customHeight="false" outlineLevel="0" collapsed="false">
      <c r="A791" s="8" t="s">
        <v>1739</v>
      </c>
      <c r="B791" s="8" t="n">
        <v>4413095</v>
      </c>
      <c r="C791" s="8" t="s">
        <v>1411</v>
      </c>
      <c r="D791" s="19" t="n">
        <v>383</v>
      </c>
      <c r="E791" s="19" t="n">
        <v>6319.5</v>
      </c>
      <c r="F791" s="19" t="n">
        <v>270.315789473684</v>
      </c>
      <c r="G791" s="19" t="n">
        <v>4067.46442105263</v>
      </c>
    </row>
    <row r="792" customFormat="false" ht="15" hidden="false" customHeight="false" outlineLevel="0" collapsed="false">
      <c r="A792" s="8" t="s">
        <v>1739</v>
      </c>
      <c r="B792" s="8" t="n">
        <v>4413096</v>
      </c>
      <c r="C792" s="8" t="s">
        <v>1412</v>
      </c>
      <c r="D792" s="19" t="n">
        <v>178</v>
      </c>
      <c r="E792" s="19" t="n">
        <v>2937</v>
      </c>
      <c r="F792" s="19" t="n">
        <v>117.473684210526</v>
      </c>
      <c r="G792" s="19" t="n">
        <v>1797.96757894737</v>
      </c>
    </row>
    <row r="793" customFormat="false" ht="15" hidden="false" customHeight="false" outlineLevel="0" collapsed="false">
      <c r="A793" s="8" t="s">
        <v>1739</v>
      </c>
      <c r="B793" s="8" t="n">
        <v>4413101</v>
      </c>
      <c r="C793" s="8" t="s">
        <v>1417</v>
      </c>
      <c r="D793" s="19" t="n">
        <v>80</v>
      </c>
      <c r="E793" s="19" t="n">
        <v>1640</v>
      </c>
      <c r="F793" s="19" t="n">
        <v>98.5263157894737</v>
      </c>
      <c r="G793" s="19" t="n">
        <v>1893.61010526316</v>
      </c>
    </row>
    <row r="794" customFormat="false" ht="15" hidden="false" customHeight="false" outlineLevel="0" collapsed="false">
      <c r="A794" s="8" t="s">
        <v>1739</v>
      </c>
      <c r="B794" s="8" t="n">
        <v>4413102</v>
      </c>
      <c r="C794" s="8" t="s">
        <v>1418</v>
      </c>
      <c r="D794" s="19" t="n">
        <v>374</v>
      </c>
      <c r="E794" s="19" t="n">
        <v>7667</v>
      </c>
      <c r="F794" s="19" t="n">
        <v>298.105263157895</v>
      </c>
      <c r="G794" s="19" t="n">
        <v>5750.96210526316</v>
      </c>
    </row>
    <row r="795" customFormat="false" ht="15" hidden="false" customHeight="false" outlineLevel="0" collapsed="false">
      <c r="A795" s="8" t="s">
        <v>1739</v>
      </c>
      <c r="B795" s="8" t="n">
        <v>4413103</v>
      </c>
      <c r="C795" s="8" t="s">
        <v>1419</v>
      </c>
      <c r="D795" s="19" t="n">
        <v>329</v>
      </c>
      <c r="E795" s="19" t="n">
        <v>6744.5</v>
      </c>
      <c r="F795" s="19" t="n">
        <v>265.263157894737</v>
      </c>
      <c r="G795" s="19" t="n">
        <v>5005.52463157895</v>
      </c>
    </row>
    <row r="796" customFormat="false" ht="15" hidden="false" customHeight="false" outlineLevel="0" collapsed="false">
      <c r="A796" s="8" t="s">
        <v>1739</v>
      </c>
      <c r="B796" s="8" t="n">
        <v>4413104</v>
      </c>
      <c r="C796" s="8" t="s">
        <v>1420</v>
      </c>
      <c r="D796" s="19" t="n">
        <v>290</v>
      </c>
      <c r="E796" s="19" t="n">
        <v>5945</v>
      </c>
      <c r="F796" s="19" t="n">
        <v>241.263157894737</v>
      </c>
      <c r="G796" s="19" t="n">
        <v>4564.79621052632</v>
      </c>
    </row>
    <row r="797" customFormat="false" ht="15" hidden="false" customHeight="false" outlineLevel="0" collapsed="false">
      <c r="A797" s="8" t="s">
        <v>1739</v>
      </c>
      <c r="B797" s="8" t="n">
        <v>4413105</v>
      </c>
      <c r="C797" s="8" t="s">
        <v>1421</v>
      </c>
      <c r="D797" s="19" t="n">
        <v>135</v>
      </c>
      <c r="E797" s="19" t="n">
        <v>2767.5</v>
      </c>
      <c r="F797" s="19" t="n">
        <v>103.578947368421</v>
      </c>
      <c r="G797" s="19" t="n">
        <v>2010.11494736842</v>
      </c>
    </row>
    <row r="798" customFormat="false" ht="15" hidden="false" customHeight="false" outlineLevel="0" collapsed="false">
      <c r="A798" s="8" t="s">
        <v>1739</v>
      </c>
      <c r="B798" s="8" t="n">
        <v>4413111</v>
      </c>
      <c r="C798" s="8" t="s">
        <v>1427</v>
      </c>
      <c r="D798" s="19" t="n">
        <v>0</v>
      </c>
      <c r="E798" s="19" t="n">
        <v>0</v>
      </c>
      <c r="F798" s="19" t="n">
        <v>2.52631578947368</v>
      </c>
      <c r="G798" s="19" t="n">
        <v>50.6652631578947</v>
      </c>
    </row>
    <row r="799" customFormat="false" ht="15" hidden="false" customHeight="false" outlineLevel="0" collapsed="false">
      <c r="A799" s="8" t="s">
        <v>1739</v>
      </c>
      <c r="B799" s="8" t="n">
        <v>4413112</v>
      </c>
      <c r="C799" s="8" t="s">
        <v>1428</v>
      </c>
      <c r="D799" s="19" t="n">
        <v>11</v>
      </c>
      <c r="E799" s="19" t="n">
        <v>231</v>
      </c>
      <c r="F799" s="19" t="n">
        <v>15.1578947368421</v>
      </c>
      <c r="G799" s="19" t="n">
        <v>266.713263157895</v>
      </c>
    </row>
    <row r="800" customFormat="false" ht="15" hidden="false" customHeight="false" outlineLevel="0" collapsed="false">
      <c r="A800" s="8" t="s">
        <v>1739</v>
      </c>
      <c r="B800" s="8" t="n">
        <v>4413113</v>
      </c>
      <c r="C800" s="8" t="s">
        <v>389</v>
      </c>
      <c r="D800" s="19" t="n">
        <v>7</v>
      </c>
      <c r="E800" s="19" t="n">
        <v>147</v>
      </c>
      <c r="F800" s="19" t="n">
        <v>8.84210526315789</v>
      </c>
      <c r="G800" s="19" t="n">
        <v>185.684210526316</v>
      </c>
    </row>
    <row r="801" customFormat="false" ht="15" hidden="false" customHeight="false" outlineLevel="0" collapsed="false">
      <c r="A801" s="8" t="s">
        <v>1739</v>
      </c>
      <c r="B801" s="8" t="n">
        <v>4413114</v>
      </c>
      <c r="C801" s="8" t="s">
        <v>1430</v>
      </c>
      <c r="D801" s="19" t="n">
        <v>10</v>
      </c>
      <c r="E801" s="19" t="n">
        <v>210</v>
      </c>
      <c r="F801" s="19" t="n">
        <v>21.4736842105263</v>
      </c>
      <c r="G801" s="19" t="n">
        <v>394.570105263158</v>
      </c>
    </row>
    <row r="802" customFormat="false" ht="15" hidden="false" customHeight="false" outlineLevel="0" collapsed="false">
      <c r="A802" s="8" t="s">
        <v>1739</v>
      </c>
      <c r="B802" s="8" t="n">
        <v>4413115</v>
      </c>
      <c r="C802" s="8" t="s">
        <v>597</v>
      </c>
      <c r="D802" s="19" t="n">
        <v>1</v>
      </c>
      <c r="E802" s="19" t="n">
        <v>21</v>
      </c>
      <c r="F802" s="19" t="n">
        <v>0</v>
      </c>
      <c r="G802" s="19" t="n">
        <v>0</v>
      </c>
    </row>
    <row r="803" customFormat="false" ht="15" hidden="false" customHeight="false" outlineLevel="0" collapsed="false">
      <c r="A803" s="8" t="s">
        <v>1739</v>
      </c>
      <c r="B803" s="8" t="n">
        <v>4413131</v>
      </c>
      <c r="C803" s="8" t="s">
        <v>1445</v>
      </c>
      <c r="D803" s="19" t="n">
        <v>14</v>
      </c>
      <c r="E803" s="19" t="n">
        <v>1908.2</v>
      </c>
      <c r="F803" s="19" t="n">
        <v>6.31578947368421</v>
      </c>
      <c r="G803" s="19" t="n">
        <v>798.861473684211</v>
      </c>
    </row>
    <row r="804" customFormat="false" ht="15" hidden="false" customHeight="false" outlineLevel="0" collapsed="false">
      <c r="A804" s="8" t="s">
        <v>1739</v>
      </c>
      <c r="B804" s="8" t="n">
        <v>4413132</v>
      </c>
      <c r="C804" s="8" t="s">
        <v>1446</v>
      </c>
      <c r="D804" s="19" t="n">
        <v>19</v>
      </c>
      <c r="E804" s="19" t="n">
        <v>2589.7</v>
      </c>
      <c r="F804" s="19" t="n">
        <v>15.1578947368421</v>
      </c>
      <c r="G804" s="19" t="n">
        <v>2035.03073684211</v>
      </c>
    </row>
    <row r="805" customFormat="false" ht="15" hidden="false" customHeight="false" outlineLevel="0" collapsed="false">
      <c r="A805" s="8" t="s">
        <v>1739</v>
      </c>
      <c r="B805" s="8" t="n">
        <v>4413133</v>
      </c>
      <c r="C805" s="8" t="s">
        <v>1447</v>
      </c>
      <c r="D805" s="19" t="n">
        <v>24</v>
      </c>
      <c r="E805" s="19" t="n">
        <v>3271.2</v>
      </c>
      <c r="F805" s="19" t="n">
        <v>17.6842105263158</v>
      </c>
      <c r="G805" s="19" t="n">
        <v>2317.38694736842</v>
      </c>
    </row>
    <row r="806" customFormat="false" ht="15" hidden="false" customHeight="false" outlineLevel="0" collapsed="false">
      <c r="A806" s="8" t="s">
        <v>1739</v>
      </c>
      <c r="B806" s="8" t="n">
        <v>4413134</v>
      </c>
      <c r="C806" s="8" t="s">
        <v>1448</v>
      </c>
      <c r="D806" s="19" t="n">
        <v>7</v>
      </c>
      <c r="E806" s="19" t="n">
        <v>954.1</v>
      </c>
      <c r="F806" s="19" t="n">
        <v>18.9473684210526</v>
      </c>
      <c r="G806" s="19" t="n">
        <v>2474.06021052632</v>
      </c>
    </row>
    <row r="807" customFormat="false" ht="15" hidden="false" customHeight="false" outlineLevel="0" collapsed="false">
      <c r="A807" s="8" t="s">
        <v>1739</v>
      </c>
      <c r="B807" s="8" t="n">
        <v>4413135</v>
      </c>
      <c r="C807" s="8" t="s">
        <v>1449</v>
      </c>
      <c r="D807" s="19" t="n">
        <v>345</v>
      </c>
      <c r="E807" s="19" t="n">
        <v>12075</v>
      </c>
      <c r="F807" s="19" t="n">
        <v>293.052631578947</v>
      </c>
      <c r="G807" s="19" t="n">
        <v>9524.22063157895</v>
      </c>
    </row>
    <row r="808" customFormat="false" ht="15" hidden="false" customHeight="false" outlineLevel="0" collapsed="false">
      <c r="A808" s="8" t="s">
        <v>1739</v>
      </c>
      <c r="B808" s="8" t="n">
        <v>4413136</v>
      </c>
      <c r="C808" s="8" t="s">
        <v>1450</v>
      </c>
      <c r="D808" s="19" t="n">
        <v>309</v>
      </c>
      <c r="E808" s="19" t="n">
        <v>10815</v>
      </c>
      <c r="F808" s="19" t="n">
        <v>193.263157894737</v>
      </c>
      <c r="G808" s="19" t="n">
        <v>6303.48378947368</v>
      </c>
    </row>
    <row r="809" customFormat="false" ht="15" hidden="false" customHeight="false" outlineLevel="0" collapsed="false">
      <c r="A809" s="8" t="s">
        <v>1739</v>
      </c>
      <c r="B809" s="8" t="n">
        <v>4413137</v>
      </c>
      <c r="C809" s="8" t="s">
        <v>1451</v>
      </c>
      <c r="D809" s="19" t="n">
        <v>127</v>
      </c>
      <c r="E809" s="19" t="n">
        <v>4445</v>
      </c>
      <c r="F809" s="19" t="n">
        <v>125.052631578947</v>
      </c>
      <c r="G809" s="19" t="n">
        <v>4097.65263157895</v>
      </c>
    </row>
    <row r="810" customFormat="false" ht="15" hidden="false" customHeight="false" outlineLevel="0" collapsed="false">
      <c r="A810" s="8" t="s">
        <v>1739</v>
      </c>
      <c r="B810" s="8" t="n">
        <v>4413138</v>
      </c>
      <c r="C810" s="8" t="s">
        <v>1452</v>
      </c>
      <c r="D810" s="19" t="n">
        <v>133</v>
      </c>
      <c r="E810" s="19" t="n">
        <v>4655</v>
      </c>
      <c r="F810" s="19" t="n">
        <v>122.526315789474</v>
      </c>
      <c r="G810" s="19" t="n">
        <v>3902.63115789474</v>
      </c>
    </row>
    <row r="811" customFormat="false" ht="15" hidden="false" customHeight="false" outlineLevel="0" collapsed="false">
      <c r="A811" s="8" t="s">
        <v>1739</v>
      </c>
      <c r="B811" s="8" t="n">
        <v>4413139</v>
      </c>
      <c r="C811" s="8" t="s">
        <v>1453</v>
      </c>
      <c r="D811" s="19" t="n">
        <v>217</v>
      </c>
      <c r="E811" s="19" t="n">
        <v>3689</v>
      </c>
      <c r="F811" s="19" t="n">
        <v>159.157894736842</v>
      </c>
      <c r="G811" s="19" t="n">
        <v>2559.45221052632</v>
      </c>
    </row>
    <row r="812" customFormat="false" ht="15" hidden="false" customHeight="false" outlineLevel="0" collapsed="false">
      <c r="A812" s="8" t="s">
        <v>1739</v>
      </c>
      <c r="B812" s="8" t="n">
        <v>4413140</v>
      </c>
      <c r="C812" s="8" t="s">
        <v>1454</v>
      </c>
      <c r="D812" s="19" t="n">
        <v>244</v>
      </c>
      <c r="E812" s="19" t="n">
        <v>4148</v>
      </c>
      <c r="F812" s="19" t="n">
        <v>195.789473684211</v>
      </c>
      <c r="G812" s="19" t="n">
        <v>3096.72378947368</v>
      </c>
    </row>
    <row r="813" customFormat="false" ht="15" hidden="false" customHeight="false" outlineLevel="0" collapsed="false">
      <c r="A813" s="8" t="s">
        <v>1739</v>
      </c>
      <c r="B813" s="8" t="n">
        <v>4413141</v>
      </c>
      <c r="C813" s="8" t="s">
        <v>1455</v>
      </c>
      <c r="D813" s="19" t="n">
        <v>186</v>
      </c>
      <c r="E813" s="19" t="n">
        <v>3162</v>
      </c>
      <c r="F813" s="19" t="n">
        <v>195.789473684211</v>
      </c>
      <c r="G813" s="19" t="n">
        <v>3056.03115789474</v>
      </c>
    </row>
    <row r="814" customFormat="false" ht="15" hidden="false" customHeight="false" outlineLevel="0" collapsed="false">
      <c r="A814" s="8" t="s">
        <v>1739</v>
      </c>
      <c r="B814" s="8" t="n">
        <v>4413142</v>
      </c>
      <c r="C814" s="8" t="s">
        <v>1456</v>
      </c>
      <c r="D814" s="19" t="n">
        <v>85</v>
      </c>
      <c r="E814" s="19" t="n">
        <v>1445</v>
      </c>
      <c r="F814" s="19" t="n">
        <v>82.1052631578947</v>
      </c>
      <c r="G814" s="19" t="n">
        <v>1323.21221052632</v>
      </c>
    </row>
    <row r="815" customFormat="false" ht="15" hidden="false" customHeight="false" outlineLevel="0" collapsed="false">
      <c r="A815" s="8" t="s">
        <v>1739</v>
      </c>
      <c r="B815" s="8" t="n">
        <v>4413143</v>
      </c>
      <c r="C815" s="8" t="s">
        <v>1457</v>
      </c>
      <c r="D815" s="19" t="n">
        <v>40</v>
      </c>
      <c r="E815" s="19" t="n">
        <v>680</v>
      </c>
      <c r="F815" s="19" t="n">
        <v>16.4210526315789</v>
      </c>
      <c r="G815" s="19" t="n">
        <v>271.427368421053</v>
      </c>
    </row>
    <row r="816" customFormat="false" ht="15" hidden="false" customHeight="false" outlineLevel="0" collapsed="false">
      <c r="A816" s="8" t="s">
        <v>1739</v>
      </c>
      <c r="B816" s="8" t="n">
        <v>4413144</v>
      </c>
      <c r="C816" s="8" t="s">
        <v>1458</v>
      </c>
      <c r="D816" s="19" t="n">
        <v>13</v>
      </c>
      <c r="E816" s="19" t="n">
        <v>221</v>
      </c>
      <c r="F816" s="19" t="n">
        <v>11.3684210526316</v>
      </c>
      <c r="G816" s="19" t="n">
        <v>191.330526315789</v>
      </c>
    </row>
    <row r="817" customFormat="false" ht="15" hidden="false" customHeight="false" outlineLevel="0" collapsed="false">
      <c r="A817" s="8" t="s">
        <v>1739</v>
      </c>
      <c r="B817" s="8" t="n">
        <v>4413149</v>
      </c>
      <c r="C817" s="8" t="s">
        <v>1459</v>
      </c>
      <c r="D817" s="19" t="n">
        <v>225</v>
      </c>
      <c r="E817" s="19" t="n">
        <v>1964.25</v>
      </c>
      <c r="F817" s="19" t="n">
        <v>126.315789473684</v>
      </c>
      <c r="G817" s="19" t="n">
        <v>1049.88126315789</v>
      </c>
    </row>
    <row r="818" customFormat="false" ht="15" hidden="false" customHeight="false" outlineLevel="0" collapsed="false">
      <c r="A818" s="8" t="s">
        <v>1739</v>
      </c>
      <c r="B818" s="8" t="n">
        <v>4413150</v>
      </c>
      <c r="C818" s="8" t="s">
        <v>1460</v>
      </c>
      <c r="D818" s="19" t="n">
        <v>101</v>
      </c>
      <c r="E818" s="19" t="n">
        <v>2181.6</v>
      </c>
      <c r="F818" s="19" t="n">
        <v>113.684210526316</v>
      </c>
      <c r="G818" s="19" t="n">
        <v>2300.46821052632</v>
      </c>
    </row>
    <row r="819" customFormat="false" ht="15" hidden="false" customHeight="false" outlineLevel="0" collapsed="false">
      <c r="A819" s="8" t="s">
        <v>1739</v>
      </c>
      <c r="B819" s="8" t="n">
        <v>4413158</v>
      </c>
      <c r="C819" s="8" t="s">
        <v>119</v>
      </c>
      <c r="D819" s="19" t="n">
        <v>-1</v>
      </c>
      <c r="E819" s="19" t="n">
        <v>0</v>
      </c>
      <c r="F819" s="19" t="n">
        <v>0</v>
      </c>
      <c r="G819" s="19" t="n">
        <v>0</v>
      </c>
    </row>
    <row r="820" customFormat="false" ht="15" hidden="false" customHeight="false" outlineLevel="0" collapsed="false">
      <c r="A820" s="8" t="s">
        <v>1739</v>
      </c>
      <c r="B820" s="8" t="n">
        <v>4413159</v>
      </c>
      <c r="C820" s="8" t="s">
        <v>1467</v>
      </c>
      <c r="D820" s="19" t="n">
        <v>31</v>
      </c>
      <c r="E820" s="19" t="n">
        <v>1307.27</v>
      </c>
      <c r="F820" s="19" t="n">
        <v>46.7368421052632</v>
      </c>
      <c r="G820" s="19" t="n">
        <v>1751.53263157895</v>
      </c>
    </row>
    <row r="821" customFormat="false" ht="15" hidden="false" customHeight="false" outlineLevel="0" collapsed="false">
      <c r="A821" s="8" t="s">
        <v>1739</v>
      </c>
      <c r="B821" s="8" t="n">
        <v>4413160</v>
      </c>
      <c r="C821" s="8" t="s">
        <v>1468</v>
      </c>
      <c r="D821" s="19" t="n">
        <v>132</v>
      </c>
      <c r="E821" s="19" t="n">
        <v>5566.44</v>
      </c>
      <c r="F821" s="19" t="n">
        <v>77.0526315789474</v>
      </c>
      <c r="G821" s="19" t="n">
        <v>2897.74484210526</v>
      </c>
    </row>
    <row r="822" customFormat="false" ht="15" hidden="false" customHeight="false" outlineLevel="0" collapsed="false">
      <c r="A822" s="8" t="s">
        <v>1739</v>
      </c>
      <c r="B822" s="8" t="n">
        <v>4413161</v>
      </c>
      <c r="C822" s="8" t="s">
        <v>1469</v>
      </c>
      <c r="D822" s="19" t="n">
        <v>105</v>
      </c>
      <c r="E822" s="19" t="n">
        <v>4427.85</v>
      </c>
      <c r="F822" s="19" t="n">
        <v>120</v>
      </c>
      <c r="G822" s="19" t="n">
        <v>4721.472</v>
      </c>
    </row>
    <row r="823" customFormat="false" ht="15" hidden="false" customHeight="false" outlineLevel="0" collapsed="false">
      <c r="A823" s="8" t="s">
        <v>1739</v>
      </c>
      <c r="B823" s="8" t="n">
        <v>4413162</v>
      </c>
      <c r="C823" s="8" t="s">
        <v>1470</v>
      </c>
      <c r="D823" s="19" t="n">
        <v>100</v>
      </c>
      <c r="E823" s="19" t="n">
        <v>4217</v>
      </c>
      <c r="F823" s="19" t="n">
        <v>50.5263157894737</v>
      </c>
      <c r="G823" s="19" t="n">
        <v>1947.65810526316</v>
      </c>
    </row>
    <row r="824" customFormat="false" ht="15" hidden="false" customHeight="false" outlineLevel="0" collapsed="false">
      <c r="A824" s="8" t="s">
        <v>1739</v>
      </c>
      <c r="B824" s="8" t="n">
        <v>4413165</v>
      </c>
      <c r="C824" s="8" t="s">
        <v>403</v>
      </c>
      <c r="D824" s="19" t="n">
        <v>4</v>
      </c>
      <c r="E824" s="19" t="n">
        <v>519.24</v>
      </c>
      <c r="F824" s="19" t="n">
        <v>0</v>
      </c>
      <c r="G824" s="19" t="n">
        <v>0</v>
      </c>
    </row>
    <row r="825" customFormat="false" ht="15" hidden="false" customHeight="false" outlineLevel="0" collapsed="false">
      <c r="A825" s="8" t="s">
        <v>1739</v>
      </c>
      <c r="B825" s="8" t="n">
        <v>4413195</v>
      </c>
      <c r="C825" s="8" t="s">
        <v>1488</v>
      </c>
      <c r="D825" s="19" t="n">
        <v>2</v>
      </c>
      <c r="E825" s="19" t="n">
        <v>253</v>
      </c>
      <c r="F825" s="19" t="n">
        <v>6.31578947368421</v>
      </c>
      <c r="G825" s="19" t="n">
        <v>741.423157894737</v>
      </c>
    </row>
    <row r="826" customFormat="false" ht="15" hidden="false" customHeight="false" outlineLevel="0" collapsed="false">
      <c r="A826" s="8" t="s">
        <v>1739</v>
      </c>
      <c r="B826" s="8" t="n">
        <v>4413196</v>
      </c>
      <c r="C826" s="8" t="s">
        <v>1489</v>
      </c>
      <c r="D826" s="19" t="n">
        <v>61</v>
      </c>
      <c r="E826" s="19" t="n">
        <v>7716.5</v>
      </c>
      <c r="F826" s="19" t="n">
        <v>37.8947368421053</v>
      </c>
      <c r="G826" s="19" t="n">
        <v>4309.95031578947</v>
      </c>
    </row>
    <row r="827" customFormat="false" ht="15" hidden="false" customHeight="false" outlineLevel="0" collapsed="false">
      <c r="A827" s="8" t="s">
        <v>1739</v>
      </c>
      <c r="B827" s="8" t="n">
        <v>4413197</v>
      </c>
      <c r="C827" s="8" t="s">
        <v>1490</v>
      </c>
      <c r="D827" s="19" t="n">
        <v>83</v>
      </c>
      <c r="E827" s="19" t="n">
        <v>10499.5</v>
      </c>
      <c r="F827" s="19" t="n">
        <v>46.7368421052632</v>
      </c>
      <c r="G827" s="19" t="n">
        <v>5566.32378947369</v>
      </c>
    </row>
    <row r="828" customFormat="false" ht="15" hidden="false" customHeight="false" outlineLevel="0" collapsed="false">
      <c r="A828" s="8" t="s">
        <v>1739</v>
      </c>
      <c r="B828" s="8" t="n">
        <v>4413198</v>
      </c>
      <c r="C828" s="8" t="s">
        <v>1491</v>
      </c>
      <c r="D828" s="19" t="n">
        <v>55</v>
      </c>
      <c r="E828" s="19" t="n">
        <v>6957.5</v>
      </c>
      <c r="F828" s="19" t="n">
        <v>35.3684210526316</v>
      </c>
      <c r="G828" s="19" t="n">
        <v>4272.77052631579</v>
      </c>
    </row>
    <row r="829" customFormat="false" ht="15" hidden="false" customHeight="false" outlineLevel="0" collapsed="false">
      <c r="A829" s="8" t="s">
        <v>1739</v>
      </c>
      <c r="B829" s="8" t="n">
        <v>4413204</v>
      </c>
      <c r="C829" s="8" t="s">
        <v>1492</v>
      </c>
      <c r="D829" s="19" t="n">
        <v>18</v>
      </c>
      <c r="E829" s="19" t="n">
        <v>2277</v>
      </c>
      <c r="F829" s="19" t="n">
        <v>17.6842105263158</v>
      </c>
      <c r="G829" s="19" t="n">
        <v>2136.38526315789</v>
      </c>
    </row>
    <row r="830" customFormat="false" ht="15" hidden="false" customHeight="false" outlineLevel="0" collapsed="false">
      <c r="A830" s="8" t="s">
        <v>1739</v>
      </c>
      <c r="B830" s="8" t="n">
        <v>4413276</v>
      </c>
      <c r="C830" s="8" t="s">
        <v>1034</v>
      </c>
      <c r="D830" s="19" t="n">
        <v>2</v>
      </c>
      <c r="E830" s="19" t="n">
        <v>64.28</v>
      </c>
      <c r="F830" s="19" t="n">
        <v>0</v>
      </c>
      <c r="G830" s="19" t="n">
        <v>0</v>
      </c>
    </row>
    <row r="831" customFormat="false" ht="15" hidden="false" customHeight="false" outlineLevel="0" collapsed="false">
      <c r="A831" s="8" t="s">
        <v>1739</v>
      </c>
      <c r="B831" s="8" t="n">
        <v>4413277</v>
      </c>
      <c r="C831" s="8" t="s">
        <v>1500</v>
      </c>
      <c r="D831" s="19" t="n">
        <v>0</v>
      </c>
      <c r="E831" s="19" t="n">
        <v>0</v>
      </c>
      <c r="F831" s="19" t="n">
        <v>1.26315789473684</v>
      </c>
      <c r="G831" s="19" t="n">
        <v>36.8981052631579</v>
      </c>
    </row>
    <row r="832" customFormat="false" ht="15" hidden="false" customHeight="false" outlineLevel="0" collapsed="false">
      <c r="A832" s="8" t="s">
        <v>1739</v>
      </c>
      <c r="B832" s="8" t="n">
        <v>4413278</v>
      </c>
      <c r="C832" s="8" t="s">
        <v>1036</v>
      </c>
      <c r="D832" s="19" t="n">
        <v>4</v>
      </c>
      <c r="E832" s="19" t="n">
        <v>128.56</v>
      </c>
      <c r="F832" s="19" t="n">
        <v>0</v>
      </c>
      <c r="G832" s="19" t="n">
        <v>0</v>
      </c>
    </row>
    <row r="833" customFormat="false" ht="15" hidden="false" customHeight="false" outlineLevel="0" collapsed="false">
      <c r="A833" s="8" t="s">
        <v>1739</v>
      </c>
      <c r="B833" s="8" t="n">
        <v>4413303</v>
      </c>
      <c r="C833" s="8" t="s">
        <v>1506</v>
      </c>
      <c r="D833" s="19" t="n">
        <v>22</v>
      </c>
      <c r="E833" s="19" t="n">
        <v>927.74</v>
      </c>
      <c r="F833" s="19" t="n">
        <v>10.1052631578947</v>
      </c>
      <c r="G833" s="19" t="n">
        <v>394.801263157895</v>
      </c>
    </row>
    <row r="834" customFormat="false" ht="15" hidden="false" customHeight="false" outlineLevel="0" collapsed="false">
      <c r="A834" s="8" t="s">
        <v>1739</v>
      </c>
      <c r="B834" s="8" t="n">
        <v>4413307</v>
      </c>
      <c r="C834" s="8" t="s">
        <v>1507</v>
      </c>
      <c r="D834" s="19" t="n">
        <v>127</v>
      </c>
      <c r="E834" s="19" t="n">
        <v>2693.67</v>
      </c>
      <c r="F834" s="19" t="n">
        <v>133.894736842105</v>
      </c>
      <c r="G834" s="19" t="n">
        <v>2629.46526315789</v>
      </c>
    </row>
    <row r="835" customFormat="false" ht="15" hidden="false" customHeight="false" outlineLevel="0" collapsed="false">
      <c r="A835" s="8" t="s">
        <v>1739</v>
      </c>
      <c r="B835" s="8" t="n">
        <v>4413340</v>
      </c>
      <c r="C835" s="8" t="s">
        <v>1520</v>
      </c>
      <c r="D835" s="19" t="n">
        <v>76</v>
      </c>
      <c r="E835" s="19" t="n">
        <v>2941.2</v>
      </c>
      <c r="F835" s="19" t="n">
        <v>41.6842105263158</v>
      </c>
      <c r="G835" s="19" t="n">
        <v>1542.78568421053</v>
      </c>
    </row>
    <row r="836" customFormat="false" ht="15" hidden="false" customHeight="false" outlineLevel="0" collapsed="false">
      <c r="A836" s="8" t="s">
        <v>1739</v>
      </c>
      <c r="B836" s="8" t="n">
        <v>4413348</v>
      </c>
      <c r="C836" s="8" t="s">
        <v>1526</v>
      </c>
      <c r="D836" s="19" t="n">
        <v>306</v>
      </c>
      <c r="E836" s="19" t="n">
        <v>14452.38</v>
      </c>
      <c r="F836" s="19" t="n">
        <v>193.263157894737</v>
      </c>
      <c r="G836" s="19" t="n">
        <v>8714.37094736842</v>
      </c>
    </row>
    <row r="837" customFormat="false" ht="15" hidden="false" customHeight="false" outlineLevel="0" collapsed="false">
      <c r="A837" s="8" t="s">
        <v>1739</v>
      </c>
      <c r="B837" s="8" t="n">
        <v>4413370</v>
      </c>
      <c r="C837" s="8" t="s">
        <v>1533</v>
      </c>
      <c r="D837" s="19" t="n">
        <v>168</v>
      </c>
      <c r="E837" s="19" t="n">
        <v>4628.4</v>
      </c>
      <c r="F837" s="19" t="n">
        <v>146.526315789474</v>
      </c>
      <c r="G837" s="19" t="n">
        <v>3783.16547368421</v>
      </c>
    </row>
    <row r="838" customFormat="false" ht="15" hidden="false" customHeight="false" outlineLevel="0" collapsed="false">
      <c r="A838" s="8" t="s">
        <v>1739</v>
      </c>
      <c r="B838" s="8" t="n">
        <v>4413371</v>
      </c>
      <c r="C838" s="8" t="s">
        <v>1534</v>
      </c>
      <c r="D838" s="19" t="n">
        <v>75</v>
      </c>
      <c r="E838" s="19" t="n">
        <v>1518</v>
      </c>
      <c r="F838" s="19" t="n">
        <v>80.8421052631579</v>
      </c>
      <c r="G838" s="19" t="n">
        <v>1541.85852631579</v>
      </c>
    </row>
    <row r="839" customFormat="false" ht="15" hidden="false" customHeight="false" outlineLevel="0" collapsed="false">
      <c r="A839" s="8" t="s">
        <v>1739</v>
      </c>
      <c r="B839" s="8" t="n">
        <v>4413372</v>
      </c>
      <c r="C839" s="8" t="s">
        <v>1535</v>
      </c>
      <c r="D839" s="19" t="n">
        <v>229</v>
      </c>
      <c r="E839" s="19" t="n">
        <v>10815.67</v>
      </c>
      <c r="F839" s="19" t="n">
        <v>123.789473684211</v>
      </c>
      <c r="G839" s="19" t="n">
        <v>5497.62947368421</v>
      </c>
    </row>
    <row r="840" customFormat="false" ht="15" hidden="false" customHeight="false" outlineLevel="0" collapsed="false">
      <c r="A840" s="8" t="s">
        <v>1739</v>
      </c>
      <c r="B840" s="8" t="n">
        <v>4413531</v>
      </c>
      <c r="C840" s="8" t="s">
        <v>1748</v>
      </c>
      <c r="D840" s="19" t="n">
        <v>210</v>
      </c>
      <c r="E840" s="19" t="n">
        <v>4368</v>
      </c>
      <c r="F840" s="19" t="n">
        <v>241.263157894737</v>
      </c>
      <c r="G840" s="19" t="n">
        <v>4523.21178947368</v>
      </c>
    </row>
    <row r="841" customFormat="false" ht="15" hidden="false" customHeight="false" outlineLevel="0" collapsed="false">
      <c r="A841" s="8" t="s">
        <v>1739</v>
      </c>
      <c r="B841" s="8" t="n">
        <v>4413532</v>
      </c>
      <c r="C841" s="8" t="s">
        <v>1749</v>
      </c>
      <c r="D841" s="19" t="n">
        <v>48</v>
      </c>
      <c r="E841" s="19" t="n">
        <v>4488</v>
      </c>
      <c r="F841" s="19" t="n">
        <v>30.3157894736842</v>
      </c>
      <c r="G841" s="19" t="n">
        <v>2664.45473684211</v>
      </c>
    </row>
    <row r="842" customFormat="false" ht="15" hidden="false" customHeight="false" outlineLevel="0" collapsed="false">
      <c r="A842" s="8" t="s">
        <v>1739</v>
      </c>
      <c r="B842" s="8" t="n">
        <v>4413533</v>
      </c>
      <c r="C842" s="8" t="s">
        <v>1750</v>
      </c>
      <c r="D842" s="19" t="n">
        <v>36</v>
      </c>
      <c r="E842" s="19" t="n">
        <v>738</v>
      </c>
      <c r="F842" s="19" t="n">
        <v>3.78947368421053</v>
      </c>
      <c r="G842" s="19" t="n">
        <v>70.6926315789474</v>
      </c>
    </row>
    <row r="843" customFormat="false" ht="15" hidden="false" customHeight="false" outlineLevel="0" collapsed="false">
      <c r="A843" s="8" t="s">
        <v>1739</v>
      </c>
      <c r="B843" s="8" t="n">
        <v>4413534</v>
      </c>
      <c r="C843" s="8" t="s">
        <v>1605</v>
      </c>
      <c r="D843" s="19" t="n">
        <v>0</v>
      </c>
      <c r="E843" s="19" t="n">
        <v>0</v>
      </c>
      <c r="F843" s="19" t="n">
        <v>26.5263157894737</v>
      </c>
      <c r="G843" s="19" t="n">
        <v>2220.78315789474</v>
      </c>
    </row>
    <row r="844" customFormat="false" ht="15" hidden="false" customHeight="false" outlineLevel="0" collapsed="false">
      <c r="A844" s="8" t="s">
        <v>1739</v>
      </c>
      <c r="B844" s="8" t="n">
        <v>4415019</v>
      </c>
      <c r="C844" s="8" t="s">
        <v>1618</v>
      </c>
      <c r="D844" s="19" t="n">
        <v>44</v>
      </c>
      <c r="E844" s="19" t="n">
        <v>4283.4</v>
      </c>
      <c r="F844" s="19" t="n">
        <v>7.57894736842105</v>
      </c>
      <c r="G844" s="19" t="n">
        <v>604.418526315789</v>
      </c>
    </row>
    <row r="845" customFormat="false" ht="15" hidden="false" customHeight="false" outlineLevel="0" collapsed="false">
      <c r="A845" s="8" t="s">
        <v>1739</v>
      </c>
      <c r="B845" s="8" t="n">
        <v>4415028</v>
      </c>
      <c r="C845" s="8" t="s">
        <v>1622</v>
      </c>
      <c r="D845" s="19" t="n">
        <v>527</v>
      </c>
      <c r="E845" s="19" t="n">
        <v>10540</v>
      </c>
      <c r="F845" s="19" t="n">
        <v>372.631578947368</v>
      </c>
      <c r="G845" s="19" t="n">
        <v>7210.02947368421</v>
      </c>
    </row>
    <row r="846" customFormat="false" ht="15" hidden="false" customHeight="false" outlineLevel="0" collapsed="false">
      <c r="A846" s="8" t="s">
        <v>1739</v>
      </c>
      <c r="B846" s="8" t="n">
        <v>4415080</v>
      </c>
      <c r="C846" s="8" t="s">
        <v>1632</v>
      </c>
      <c r="D846" s="19" t="n">
        <v>58</v>
      </c>
      <c r="E846" s="19" t="n">
        <v>394.4</v>
      </c>
      <c r="F846" s="19" t="n">
        <v>45.4736842105263</v>
      </c>
      <c r="G846" s="19" t="n">
        <v>296.079157894737</v>
      </c>
    </row>
    <row r="847" customFormat="false" ht="15" hidden="false" customHeight="false" outlineLevel="0" collapsed="false">
      <c r="A847" s="8" t="s">
        <v>1739</v>
      </c>
      <c r="B847" s="8" t="n">
        <v>4415158</v>
      </c>
      <c r="C847" s="8" t="s">
        <v>1640</v>
      </c>
      <c r="D847" s="19" t="n">
        <v>1741</v>
      </c>
      <c r="E847" s="19" t="n">
        <v>79215.5</v>
      </c>
      <c r="F847" s="19" t="n">
        <v>1413.47368421053</v>
      </c>
      <c r="G847" s="19" t="n">
        <v>60961.1873684211</v>
      </c>
    </row>
    <row r="848" customFormat="false" ht="15" hidden="false" customHeight="false" outlineLevel="0" collapsed="false">
      <c r="A848" s="8" t="s">
        <v>1739</v>
      </c>
      <c r="B848" s="8" t="n">
        <v>4415159</v>
      </c>
      <c r="C848" s="8" t="s">
        <v>1641</v>
      </c>
      <c r="D848" s="19" t="n">
        <v>671</v>
      </c>
      <c r="E848" s="19" t="n">
        <v>52203.8</v>
      </c>
      <c r="F848" s="19" t="n">
        <v>621.473684210526</v>
      </c>
      <c r="G848" s="19" t="n">
        <v>45927.2235789474</v>
      </c>
    </row>
    <row r="849" customFormat="false" ht="15" hidden="false" customHeight="false" outlineLevel="0" collapsed="false">
      <c r="A849" s="8" t="s">
        <v>1739</v>
      </c>
      <c r="B849" s="8" t="n">
        <v>4415177</v>
      </c>
      <c r="C849" s="8" t="s">
        <v>1751</v>
      </c>
      <c r="D849" s="19" t="n">
        <v>223</v>
      </c>
      <c r="E849" s="19" t="n">
        <v>5575</v>
      </c>
      <c r="F849" s="19" t="n">
        <v>128.842105263158</v>
      </c>
      <c r="G849" s="19" t="n">
        <v>3130.10526315789</v>
      </c>
    </row>
    <row r="850" customFormat="false" ht="15" hidden="false" customHeight="false" outlineLevel="0" collapsed="false">
      <c r="A850" s="8" t="s">
        <v>1739</v>
      </c>
      <c r="B850" s="8" t="n">
        <v>4415298</v>
      </c>
      <c r="C850" s="8" t="s">
        <v>1655</v>
      </c>
      <c r="D850" s="19" t="n">
        <v>43</v>
      </c>
      <c r="E850" s="19" t="n">
        <v>1806</v>
      </c>
      <c r="F850" s="19" t="n">
        <v>29.0526315789474</v>
      </c>
      <c r="G850" s="19" t="n">
        <v>1143.81473684211</v>
      </c>
    </row>
    <row r="851" customFormat="false" ht="15" hidden="false" customHeight="false" outlineLevel="0" collapsed="false">
      <c r="A851" s="8" t="s">
        <v>1739</v>
      </c>
      <c r="B851" s="8" t="n">
        <v>4415299</v>
      </c>
      <c r="C851" s="8" t="s">
        <v>1656</v>
      </c>
      <c r="D851" s="19" t="n">
        <v>38</v>
      </c>
      <c r="E851" s="19" t="n">
        <v>1596</v>
      </c>
      <c r="F851" s="19" t="n">
        <v>44.2105263157895</v>
      </c>
      <c r="G851" s="19" t="n">
        <v>1727.92421052632</v>
      </c>
    </row>
    <row r="852" customFormat="false" ht="15" hidden="false" customHeight="false" outlineLevel="0" collapsed="false">
      <c r="A852" s="8" t="s">
        <v>1739</v>
      </c>
      <c r="B852" s="8" t="n">
        <v>4416000</v>
      </c>
      <c r="C852" s="8" t="s">
        <v>1657</v>
      </c>
      <c r="D852" s="19" t="n">
        <v>294</v>
      </c>
      <c r="E852" s="19" t="n">
        <v>18601.38</v>
      </c>
      <c r="F852" s="19" t="n">
        <v>193.263157894737</v>
      </c>
      <c r="G852" s="19" t="n">
        <v>11621.9545263158</v>
      </c>
    </row>
    <row r="853" customFormat="false" ht="15" hidden="false" customHeight="false" outlineLevel="0" collapsed="false">
      <c r="A853" s="8" t="s">
        <v>1739</v>
      </c>
      <c r="B853" s="8" t="n">
        <v>4416001</v>
      </c>
      <c r="C853" s="8" t="s">
        <v>1658</v>
      </c>
      <c r="D853" s="19" t="n">
        <v>293</v>
      </c>
      <c r="E853" s="19" t="n">
        <v>18538.11</v>
      </c>
      <c r="F853" s="19" t="n">
        <v>188.210526315789</v>
      </c>
      <c r="G853" s="19" t="n">
        <v>11306.1195789474</v>
      </c>
    </row>
    <row r="854" customFormat="false" ht="15" hidden="false" customHeight="false" outlineLevel="0" collapsed="false">
      <c r="A854" s="8" t="s">
        <v>1739</v>
      </c>
      <c r="B854" s="8" t="n">
        <v>4416002</v>
      </c>
      <c r="C854" s="8" t="s">
        <v>1659</v>
      </c>
      <c r="D854" s="19" t="n">
        <v>65</v>
      </c>
      <c r="E854" s="19" t="n">
        <v>4112.55</v>
      </c>
      <c r="F854" s="19" t="n">
        <v>44.2105263157895</v>
      </c>
      <c r="G854" s="19" t="n">
        <v>2782.80252631579</v>
      </c>
    </row>
    <row r="855" customFormat="false" ht="15" hidden="false" customHeight="false" outlineLevel="0" collapsed="false">
      <c r="A855" s="8" t="s">
        <v>1739</v>
      </c>
      <c r="B855" s="8" t="n">
        <v>4417000</v>
      </c>
      <c r="C855" s="8" t="s">
        <v>1663</v>
      </c>
      <c r="D855" s="19" t="n">
        <v>205</v>
      </c>
      <c r="E855" s="19" t="n">
        <v>3679.75</v>
      </c>
      <c r="F855" s="19" t="n">
        <v>111.157894736842</v>
      </c>
      <c r="G855" s="19" t="n">
        <v>1896.24252631579</v>
      </c>
    </row>
    <row r="856" customFormat="false" ht="15" hidden="false" customHeight="false" outlineLevel="0" collapsed="false">
      <c r="A856" s="8" t="s">
        <v>1739</v>
      </c>
      <c r="B856" s="8" t="n">
        <v>4419006</v>
      </c>
      <c r="C856" s="8" t="s">
        <v>1674</v>
      </c>
      <c r="D856" s="19" t="n">
        <v>442</v>
      </c>
      <c r="E856" s="19" t="n">
        <v>4596.8</v>
      </c>
      <c r="F856" s="19" t="n">
        <v>521.684210526316</v>
      </c>
      <c r="G856" s="19" t="n">
        <v>4978.04210526316</v>
      </c>
    </row>
    <row r="857" customFormat="false" ht="15" hidden="false" customHeight="false" outlineLevel="0" collapsed="false">
      <c r="A857" s="8" t="s">
        <v>1739</v>
      </c>
      <c r="B857" s="8" t="n">
        <v>4419011</v>
      </c>
      <c r="C857" s="8" t="s">
        <v>103</v>
      </c>
      <c r="D857" s="19" t="n">
        <v>90</v>
      </c>
      <c r="E857" s="19" t="n">
        <v>990</v>
      </c>
      <c r="F857" s="19" t="n">
        <v>0</v>
      </c>
      <c r="G857" s="19" t="n">
        <v>0</v>
      </c>
    </row>
    <row r="858" customFormat="false" ht="15" hidden="false" customHeight="false" outlineLevel="0" collapsed="false">
      <c r="A858" s="8" t="s">
        <v>1739</v>
      </c>
      <c r="B858" s="8" t="n">
        <v>4419013</v>
      </c>
      <c r="C858" s="8" t="s">
        <v>102</v>
      </c>
      <c r="D858" s="19" t="n">
        <v>96</v>
      </c>
      <c r="E858" s="19" t="n">
        <v>1056</v>
      </c>
      <c r="F858" s="19" t="n">
        <v>-3.78947368421053</v>
      </c>
      <c r="G858" s="19" t="n">
        <v>-41.6842105263158</v>
      </c>
    </row>
    <row r="859" customFormat="false" ht="15" hidden="false" customHeight="false" outlineLevel="0" collapsed="false">
      <c r="A859" s="8" t="s">
        <v>1739</v>
      </c>
      <c r="B859" s="8" t="n">
        <v>4419014</v>
      </c>
      <c r="C859" s="8" t="s">
        <v>1679</v>
      </c>
      <c r="D859" s="19" t="n">
        <v>36</v>
      </c>
      <c r="E859" s="19" t="n">
        <v>396</v>
      </c>
      <c r="F859" s="19" t="n">
        <v>3.78947368421053</v>
      </c>
      <c r="G859" s="19" t="n">
        <v>34.181052631579</v>
      </c>
    </row>
    <row r="860" customFormat="false" ht="15" hidden="false" customHeight="false" outlineLevel="0" collapsed="false">
      <c r="A860" s="8" t="s">
        <v>1739</v>
      </c>
      <c r="B860" s="8" t="n">
        <v>4420000</v>
      </c>
      <c r="C860" s="8" t="s">
        <v>1680</v>
      </c>
      <c r="D860" s="19" t="n">
        <v>359</v>
      </c>
      <c r="E860" s="19" t="n">
        <v>2943.8</v>
      </c>
      <c r="F860" s="19" t="n">
        <v>276.631578947368</v>
      </c>
      <c r="G860" s="19" t="n">
        <v>2097.45347368421</v>
      </c>
    </row>
    <row r="861" customFormat="false" ht="15" hidden="false" customHeight="false" outlineLevel="0" collapsed="false">
      <c r="A861" s="8" t="s">
        <v>1739</v>
      </c>
      <c r="B861" s="8" t="n">
        <v>4420002</v>
      </c>
      <c r="C861" s="8" t="s">
        <v>1682</v>
      </c>
      <c r="D861" s="19" t="n">
        <v>646</v>
      </c>
      <c r="E861" s="19" t="n">
        <v>6343.72</v>
      </c>
      <c r="F861" s="19" t="n">
        <v>376.421052631579</v>
      </c>
      <c r="G861" s="19" t="n">
        <v>3382.13431578947</v>
      </c>
    </row>
    <row r="862" customFormat="false" ht="15" hidden="false" customHeight="false" outlineLevel="0" collapsed="false">
      <c r="A862" s="8" t="s">
        <v>1739</v>
      </c>
      <c r="B862" s="8" t="n">
        <v>4420003</v>
      </c>
      <c r="C862" s="8" t="s">
        <v>1683</v>
      </c>
      <c r="D862" s="19" t="n">
        <v>170</v>
      </c>
      <c r="E862" s="19" t="n">
        <v>1669.4</v>
      </c>
      <c r="F862" s="19" t="n">
        <v>116.210526315789</v>
      </c>
      <c r="G862" s="19" t="n">
        <v>1055.42147368421</v>
      </c>
    </row>
    <row r="863" customFormat="false" ht="15" hidden="false" customHeight="false" outlineLevel="0" collapsed="false">
      <c r="A863" s="8" t="s">
        <v>1739</v>
      </c>
      <c r="B863" s="8" t="n">
        <v>4420016</v>
      </c>
      <c r="C863" s="8" t="s">
        <v>1691</v>
      </c>
      <c r="D863" s="19" t="n">
        <v>52</v>
      </c>
      <c r="E863" s="19" t="n">
        <v>1854.84</v>
      </c>
      <c r="F863" s="19" t="n">
        <v>40.4210526315789</v>
      </c>
      <c r="G863" s="19" t="n">
        <v>1356.696</v>
      </c>
    </row>
    <row r="864" customFormat="false" ht="15" hidden="false" customHeight="false" outlineLevel="0" collapsed="false">
      <c r="A864" s="8" t="s">
        <v>1739</v>
      </c>
      <c r="B864" s="8" t="n">
        <v>4420017</v>
      </c>
      <c r="C864" s="8" t="s">
        <v>204</v>
      </c>
      <c r="D864" s="19" t="n">
        <v>76</v>
      </c>
      <c r="E864" s="19" t="n">
        <v>4931.64</v>
      </c>
      <c r="F864" s="19" t="n">
        <v>17.6842105263158</v>
      </c>
      <c r="G864" s="19" t="n">
        <v>1147.52842105263</v>
      </c>
    </row>
    <row r="865" customFormat="false" ht="15" hidden="false" customHeight="false" outlineLevel="0" collapsed="false">
      <c r="A865" s="8" t="s">
        <v>1739</v>
      </c>
      <c r="B865" s="8" t="n">
        <v>4420018</v>
      </c>
      <c r="C865" s="8" t="s">
        <v>1693</v>
      </c>
      <c r="D865" s="19" t="n">
        <v>63</v>
      </c>
      <c r="E865" s="19" t="n">
        <v>4866.12</v>
      </c>
      <c r="F865" s="19" t="n">
        <v>2.52631578947368</v>
      </c>
      <c r="G865" s="19" t="n">
        <v>133.224</v>
      </c>
    </row>
    <row r="866" customFormat="false" ht="15" hidden="false" customHeight="false" outlineLevel="0" collapsed="false">
      <c r="A866" s="8" t="s">
        <v>1739</v>
      </c>
      <c r="B866" s="8" t="n">
        <v>4420022</v>
      </c>
      <c r="C866" s="8" t="s">
        <v>1694</v>
      </c>
      <c r="D866" s="19" t="n">
        <v>59</v>
      </c>
      <c r="E866" s="19" t="n">
        <v>938.69</v>
      </c>
      <c r="F866" s="19" t="n">
        <v>35.3684210526316</v>
      </c>
      <c r="G866" s="19" t="n">
        <v>537.248842105263</v>
      </c>
    </row>
    <row r="867" customFormat="false" ht="15" hidden="false" customHeight="false" outlineLevel="0" collapsed="false">
      <c r="A867" s="8" t="s">
        <v>1739</v>
      </c>
      <c r="B867" s="8" t="n">
        <v>4420023</v>
      </c>
      <c r="C867" s="8" t="s">
        <v>861</v>
      </c>
      <c r="D867" s="19" t="n">
        <v>2</v>
      </c>
      <c r="E867" s="19" t="n">
        <v>31.82</v>
      </c>
      <c r="F867" s="19" t="n">
        <v>1.26315789473684</v>
      </c>
      <c r="G867" s="19" t="n">
        <v>20.0968421052632</v>
      </c>
    </row>
    <row r="868" customFormat="false" ht="15" hidden="false" customHeight="false" outlineLevel="0" collapsed="false">
      <c r="A868" s="8" t="s">
        <v>1739</v>
      </c>
      <c r="B868" s="8" t="n">
        <v>4420024</v>
      </c>
      <c r="C868" s="8" t="s">
        <v>1696</v>
      </c>
      <c r="D868" s="19" t="n">
        <v>69</v>
      </c>
      <c r="E868" s="19" t="n">
        <v>997.05</v>
      </c>
      <c r="F868" s="19" t="n">
        <v>22.7368421052632</v>
      </c>
      <c r="G868" s="19" t="n">
        <v>291.434526315789</v>
      </c>
    </row>
    <row r="869" customFormat="false" ht="15" hidden="false" customHeight="false" outlineLevel="0" collapsed="false">
      <c r="A869" s="8" t="s">
        <v>1739</v>
      </c>
      <c r="B869" s="8" t="n">
        <v>4420025</v>
      </c>
      <c r="C869" s="8" t="s">
        <v>1697</v>
      </c>
      <c r="D869" s="19" t="n">
        <v>55</v>
      </c>
      <c r="E869" s="19" t="n">
        <v>875.05</v>
      </c>
      <c r="F869" s="19" t="n">
        <v>27.7894736842105</v>
      </c>
      <c r="G869" s="19" t="n">
        <v>417.625263157895</v>
      </c>
    </row>
    <row r="870" customFormat="false" ht="15" hidden="false" customHeight="false" outlineLevel="0" collapsed="false">
      <c r="A870" s="8" t="s">
        <v>1739</v>
      </c>
      <c r="B870" s="8" t="n">
        <v>4421000</v>
      </c>
      <c r="C870" s="8" t="s">
        <v>1709</v>
      </c>
      <c r="D870" s="19" t="n">
        <v>1110</v>
      </c>
      <c r="E870" s="19" t="n">
        <v>13519.8</v>
      </c>
      <c r="F870" s="19" t="n">
        <v>701.052631578947</v>
      </c>
      <c r="G870" s="19" t="n">
        <v>8006.44294736842</v>
      </c>
    </row>
    <row r="871" customFormat="false" ht="15" hidden="false" customHeight="false" outlineLevel="0" collapsed="false">
      <c r="A871" s="8" t="s">
        <v>1739</v>
      </c>
      <c r="B871" s="8" t="n">
        <v>4421001</v>
      </c>
      <c r="C871" s="8" t="s">
        <v>1710</v>
      </c>
      <c r="D871" s="19" t="n">
        <v>109</v>
      </c>
      <c r="E871" s="19" t="n">
        <v>4490.8</v>
      </c>
      <c r="F871" s="19" t="n">
        <v>103.578947368421</v>
      </c>
      <c r="G871" s="19" t="n">
        <v>3917.07915789474</v>
      </c>
    </row>
    <row r="872" customFormat="false" ht="15" hidden="false" customHeight="false" outlineLevel="0" collapsed="false">
      <c r="A872" s="8" t="s">
        <v>1739</v>
      </c>
      <c r="B872" s="8" t="n">
        <v>4422000</v>
      </c>
      <c r="C872" s="8" t="s">
        <v>1716</v>
      </c>
      <c r="D872" s="19" t="n">
        <v>237</v>
      </c>
      <c r="E872" s="19" t="n">
        <v>3377.25</v>
      </c>
      <c r="F872" s="19" t="n">
        <v>111.157894736842</v>
      </c>
      <c r="G872" s="19" t="n">
        <v>1425.42189473684</v>
      </c>
    </row>
    <row r="873" customFormat="false" ht="15" hidden="false" customHeight="false" outlineLevel="0" collapsed="false">
      <c r="A873" s="8" t="s">
        <v>1739</v>
      </c>
      <c r="B873" s="8" t="n">
        <v>4422004</v>
      </c>
      <c r="C873" s="8" t="s">
        <v>580</v>
      </c>
      <c r="D873" s="19" t="n">
        <v>2</v>
      </c>
      <c r="E873" s="19" t="n">
        <v>257.42</v>
      </c>
      <c r="F873" s="19" t="n">
        <v>2.52631578947368</v>
      </c>
      <c r="G873" s="19" t="n">
        <v>325.162105263158</v>
      </c>
    </row>
    <row r="874" customFormat="false" ht="15" hidden="false" customHeight="false" outlineLevel="0" collapsed="false">
      <c r="A874" s="8" t="s">
        <v>1739</v>
      </c>
      <c r="B874" s="8" t="n">
        <v>4422005</v>
      </c>
      <c r="C874" s="8" t="s">
        <v>1719</v>
      </c>
      <c r="D874" s="19" t="n">
        <v>16</v>
      </c>
      <c r="E874" s="19" t="n">
        <v>2059.36</v>
      </c>
      <c r="F874" s="19" t="n">
        <v>11.3684210526316</v>
      </c>
      <c r="G874" s="19" t="n">
        <v>1338.46863157895</v>
      </c>
    </row>
    <row r="875" customFormat="false" ht="15" hidden="false" customHeight="false" outlineLevel="0" collapsed="false">
      <c r="A875" s="8" t="s">
        <v>1739</v>
      </c>
      <c r="B875" s="8" t="n">
        <v>4422006</v>
      </c>
      <c r="C875" s="8" t="s">
        <v>1720</v>
      </c>
      <c r="D875" s="19" t="n">
        <v>9</v>
      </c>
      <c r="E875" s="19" t="n">
        <v>1158.39</v>
      </c>
      <c r="F875" s="19" t="n">
        <v>17.6842105263158</v>
      </c>
      <c r="G875" s="19" t="n">
        <v>2159.09936842105</v>
      </c>
    </row>
    <row r="876" customFormat="false" ht="15" hidden="false" customHeight="false" outlineLevel="0" collapsed="false">
      <c r="A876" s="8" t="s">
        <v>1739</v>
      </c>
      <c r="B876" s="8" t="n">
        <v>4422007</v>
      </c>
      <c r="C876" s="8" t="s">
        <v>1721</v>
      </c>
      <c r="D876" s="19" t="n">
        <v>10</v>
      </c>
      <c r="E876" s="19" t="n">
        <v>1287.1</v>
      </c>
      <c r="F876" s="19" t="n">
        <v>3.78947368421053</v>
      </c>
      <c r="G876" s="19" t="n">
        <v>458.455578947368</v>
      </c>
    </row>
    <row r="877" customFormat="false" ht="15" hidden="false" customHeight="false" outlineLevel="0" collapsed="false">
      <c r="A877" s="8" t="s">
        <v>1739</v>
      </c>
      <c r="B877" s="8" t="n">
        <v>4422009</v>
      </c>
      <c r="C877" s="8" t="s">
        <v>612</v>
      </c>
      <c r="D877" s="19" t="n">
        <v>1</v>
      </c>
      <c r="E877" s="19" t="n">
        <v>128.71</v>
      </c>
      <c r="F877" s="19" t="n">
        <v>3.78947368421053</v>
      </c>
      <c r="G877" s="19" t="n">
        <v>487.743157894737</v>
      </c>
    </row>
    <row r="878" customFormat="false" ht="15" hidden="false" customHeight="false" outlineLevel="0" collapsed="false">
      <c r="A878" s="8" t="s">
        <v>1739</v>
      </c>
      <c r="B878" s="8" t="n">
        <v>4422035</v>
      </c>
      <c r="C878" s="8" t="s">
        <v>1731</v>
      </c>
      <c r="D878" s="19" t="n">
        <v>978</v>
      </c>
      <c r="E878" s="19" t="n">
        <v>14474.4</v>
      </c>
      <c r="F878" s="19" t="n">
        <v>409.263157894737</v>
      </c>
      <c r="G878" s="19" t="n">
        <v>5899.89221052632</v>
      </c>
    </row>
    <row r="879" customFormat="false" ht="15" hidden="false" customHeight="false" outlineLevel="0" collapsed="false">
      <c r="A879" s="8" t="s">
        <v>1739</v>
      </c>
      <c r="B879" s="8" t="n">
        <v>4422036</v>
      </c>
      <c r="C879" s="8" t="s">
        <v>1732</v>
      </c>
      <c r="D879" s="19" t="n">
        <v>0</v>
      </c>
      <c r="E879" s="19" t="n">
        <v>0</v>
      </c>
      <c r="F879" s="19" t="n">
        <v>36.6315789473684</v>
      </c>
      <c r="G879" s="19" t="n">
        <v>493.354105263158</v>
      </c>
    </row>
    <row r="880" customFormat="false" ht="15" hidden="false" customHeight="false" outlineLevel="0" collapsed="false">
      <c r="A880" s="8" t="s">
        <v>1739</v>
      </c>
      <c r="B880" s="8" t="n">
        <v>4422037</v>
      </c>
      <c r="C880" s="8" t="s">
        <v>1733</v>
      </c>
      <c r="D880" s="19" t="n">
        <v>0</v>
      </c>
      <c r="E880" s="19" t="n">
        <v>0</v>
      </c>
      <c r="F880" s="19" t="n">
        <v>15.1578947368421</v>
      </c>
      <c r="G880" s="19" t="n">
        <v>1724.21052631579</v>
      </c>
    </row>
    <row r="881" customFormat="false" ht="15" hidden="false" customHeight="false" outlineLevel="0" collapsed="false">
      <c r="A881" s="8" t="s">
        <v>1739</v>
      </c>
      <c r="B881" s="8" t="n">
        <v>4422039</v>
      </c>
      <c r="C881" s="8" t="s">
        <v>1735</v>
      </c>
      <c r="D881" s="19" t="n">
        <v>0</v>
      </c>
      <c r="E881" s="19" t="n">
        <v>0</v>
      </c>
      <c r="F881" s="19" t="n">
        <v>21.4736842105263</v>
      </c>
      <c r="G881" s="19" t="n">
        <v>2442.63157894737</v>
      </c>
    </row>
    <row r="882" customFormat="false" ht="15" hidden="false" customHeight="false" outlineLevel="0" collapsed="false">
      <c r="A882" s="8" t="s">
        <v>1739</v>
      </c>
      <c r="B882" s="8" t="n">
        <v>4422040</v>
      </c>
      <c r="C882" s="8" t="s">
        <v>1736</v>
      </c>
      <c r="D882" s="19" t="n">
        <v>0</v>
      </c>
      <c r="E882" s="19" t="n">
        <v>0</v>
      </c>
      <c r="F882" s="19" t="n">
        <v>31.5789473684211</v>
      </c>
      <c r="G882" s="19" t="n">
        <v>3592.10526315789</v>
      </c>
    </row>
    <row r="883" customFormat="false" ht="15" hidden="false" customHeight="false" outlineLevel="0" collapsed="false">
      <c r="A883" s="8" t="s">
        <v>1739</v>
      </c>
      <c r="B883" s="8" t="n">
        <v>4422041</v>
      </c>
      <c r="C883" s="8" t="s">
        <v>1737</v>
      </c>
      <c r="D883" s="19" t="n">
        <v>0</v>
      </c>
      <c r="E883" s="19" t="n">
        <v>0</v>
      </c>
      <c r="F883" s="19" t="n">
        <v>32.8421052631579</v>
      </c>
      <c r="G883" s="19" t="n">
        <v>3735.78947368421</v>
      </c>
    </row>
    <row r="884" customFormat="false" ht="15" hidden="false" customHeight="false" outlineLevel="0" collapsed="false">
      <c r="A884" s="8" t="s">
        <v>1739</v>
      </c>
      <c r="B884" s="8" t="n">
        <v>4422042</v>
      </c>
      <c r="C884" s="8" t="s">
        <v>1738</v>
      </c>
      <c r="D884" s="19" t="n">
        <v>0</v>
      </c>
      <c r="E884" s="19" t="n">
        <v>0</v>
      </c>
      <c r="F884" s="19" t="n">
        <v>21.4736842105263</v>
      </c>
      <c r="G884" s="19" t="n">
        <v>2442.63157894737</v>
      </c>
    </row>
    <row r="885" customFormat="false" ht="15" hidden="false" customHeight="false" outlineLevel="0" collapsed="false">
      <c r="A885" s="8" t="s">
        <v>1739</v>
      </c>
      <c r="B885" s="8" t="s">
        <v>1752</v>
      </c>
      <c r="C885" s="8" t="s">
        <v>1752</v>
      </c>
      <c r="D885" s="19" t="n">
        <v>2</v>
      </c>
      <c r="E885" s="19" t="n">
        <v>130</v>
      </c>
      <c r="F885" s="19" t="n">
        <v>0</v>
      </c>
      <c r="G885" s="19" t="n">
        <v>0</v>
      </c>
    </row>
    <row r="886" customFormat="false" ht="15" hidden="false" customHeight="false" outlineLevel="0" collapsed="false">
      <c r="A886" s="8" t="s">
        <v>1739</v>
      </c>
      <c r="B886" s="8" t="s">
        <v>1753</v>
      </c>
      <c r="C886" s="8" t="s">
        <v>1753</v>
      </c>
      <c r="D886" s="19" t="n">
        <v>2</v>
      </c>
      <c r="E886" s="19" t="n">
        <v>130</v>
      </c>
      <c r="F886" s="19" t="n">
        <v>0</v>
      </c>
      <c r="G886" s="19" t="n">
        <v>0</v>
      </c>
    </row>
    <row r="887" customFormat="false" ht="15" hidden="false" customHeight="false" outlineLevel="0" collapsed="false">
      <c r="A887" s="8" t="s">
        <v>1739</v>
      </c>
      <c r="B887" s="8" t="s">
        <v>1754</v>
      </c>
      <c r="C887" s="8" t="s">
        <v>1754</v>
      </c>
      <c r="D887" s="19" t="n">
        <v>0</v>
      </c>
      <c r="E887" s="19" t="n">
        <v>0</v>
      </c>
      <c r="F887" s="19" t="n">
        <v>1.26315789473684</v>
      </c>
      <c r="G887" s="19" t="n">
        <v>82.1052631578947</v>
      </c>
    </row>
    <row r="888" customFormat="false" ht="15" hidden="false" customHeight="false" outlineLevel="0" collapsed="false">
      <c r="A888" s="8" t="s">
        <v>1739</v>
      </c>
      <c r="B888" s="8" t="s">
        <v>1201</v>
      </c>
      <c r="C888" s="8" t="s">
        <v>1201</v>
      </c>
      <c r="D888" s="19" t="n">
        <v>0</v>
      </c>
      <c r="E888" s="19" t="n">
        <v>0</v>
      </c>
      <c r="F888" s="19" t="n">
        <v>8.84210526315789</v>
      </c>
      <c r="G888" s="19" t="n">
        <v>1260.85768421053</v>
      </c>
    </row>
    <row r="889" customFormat="false" ht="15" hidden="false" customHeight="false" outlineLevel="0" collapsed="false">
      <c r="A889" s="8" t="s">
        <v>1739</v>
      </c>
      <c r="B889" s="8" t="s">
        <v>1202</v>
      </c>
      <c r="C889" s="8" t="s">
        <v>1202</v>
      </c>
      <c r="D889" s="19" t="n">
        <v>0</v>
      </c>
      <c r="E889" s="19" t="n">
        <v>0</v>
      </c>
      <c r="F889" s="19" t="n">
        <v>2.52631578947368</v>
      </c>
      <c r="G889" s="19" t="n">
        <v>403.465263157895</v>
      </c>
    </row>
    <row r="890" customFormat="false" ht="15" hidden="false" customHeight="false" outlineLevel="0" collapsed="false">
      <c r="A890" s="8" t="s">
        <v>1739</v>
      </c>
      <c r="B890" s="8" t="s">
        <v>1203</v>
      </c>
      <c r="C890" s="8" t="s">
        <v>1203</v>
      </c>
      <c r="D890" s="19" t="n">
        <v>0</v>
      </c>
      <c r="E890" s="19" t="n">
        <v>0</v>
      </c>
      <c r="F890" s="19" t="n">
        <v>6.31578947368421</v>
      </c>
      <c r="G890" s="19" t="n">
        <v>857.392421052632</v>
      </c>
    </row>
    <row r="891" customFormat="false" ht="15" hidden="false" customHeight="false" outlineLevel="0" collapsed="false">
      <c r="A891" s="8" t="s">
        <v>1739</v>
      </c>
      <c r="B891" s="8" t="s">
        <v>1204</v>
      </c>
      <c r="C891" s="8" t="s">
        <v>1204</v>
      </c>
      <c r="D891" s="19" t="n">
        <v>0</v>
      </c>
      <c r="E891" s="19" t="n">
        <v>0</v>
      </c>
      <c r="F891" s="19" t="n">
        <v>8.84210526315789</v>
      </c>
      <c r="G891" s="19" t="n">
        <v>1159.93389473684</v>
      </c>
    </row>
    <row r="892" customFormat="false" ht="15" hidden="false" customHeight="false" outlineLevel="0" collapsed="false">
      <c r="A892" s="8" t="s">
        <v>1739</v>
      </c>
      <c r="B892" s="8" t="s">
        <v>1212</v>
      </c>
      <c r="C892" s="8" t="s">
        <v>1212</v>
      </c>
      <c r="D892" s="19" t="n">
        <v>0</v>
      </c>
      <c r="E892" s="19" t="n">
        <v>0</v>
      </c>
      <c r="F892" s="19" t="n">
        <v>36.6315789473684</v>
      </c>
      <c r="G892" s="19" t="n">
        <v>2349.06442105263</v>
      </c>
    </row>
    <row r="893" customFormat="false" ht="15" hidden="false" customHeight="false" outlineLevel="0" collapsed="false">
      <c r="A893" s="8" t="s">
        <v>1739</v>
      </c>
      <c r="B893" s="8" t="s">
        <v>1213</v>
      </c>
      <c r="C893" s="8" t="s">
        <v>1213</v>
      </c>
      <c r="D893" s="19" t="n">
        <v>0</v>
      </c>
      <c r="E893" s="19" t="n">
        <v>0</v>
      </c>
      <c r="F893" s="19" t="n">
        <v>25.2631578947368</v>
      </c>
      <c r="G893" s="19" t="n">
        <v>1663.05852631579</v>
      </c>
    </row>
    <row r="894" customFormat="false" ht="15" hidden="false" customHeight="false" outlineLevel="0" collapsed="false">
      <c r="A894" s="8" t="s">
        <v>1739</v>
      </c>
      <c r="B894" s="8" t="s">
        <v>1211</v>
      </c>
      <c r="C894" s="8" t="s">
        <v>1211</v>
      </c>
      <c r="D894" s="19" t="n">
        <v>0</v>
      </c>
      <c r="E894" s="19" t="n">
        <v>0</v>
      </c>
      <c r="F894" s="19" t="n">
        <v>2.52631578947368</v>
      </c>
      <c r="G894" s="19" t="n">
        <v>166.328842105263</v>
      </c>
    </row>
    <row r="895" customFormat="false" ht="15" hidden="false" customHeight="false" outlineLevel="0" collapsed="false">
      <c r="A895" s="8" t="s">
        <v>1739</v>
      </c>
      <c r="B895" s="8" t="s">
        <v>1214</v>
      </c>
      <c r="C895" s="8" t="s">
        <v>1214</v>
      </c>
      <c r="D895" s="19" t="n">
        <v>0</v>
      </c>
      <c r="E895" s="19" t="n">
        <v>0</v>
      </c>
      <c r="F895" s="19" t="n">
        <v>45.4736842105263</v>
      </c>
      <c r="G895" s="19" t="n">
        <v>2910.35242105263</v>
      </c>
    </row>
    <row r="896" customFormat="false" ht="15" hidden="false" customHeight="false" outlineLevel="0" collapsed="false">
      <c r="A896" s="8" t="s">
        <v>1739</v>
      </c>
      <c r="B896" s="8" t="s">
        <v>1215</v>
      </c>
      <c r="C896" s="8" t="s">
        <v>1215</v>
      </c>
      <c r="D896" s="19" t="n">
        <v>0</v>
      </c>
      <c r="E896" s="19" t="n">
        <v>0</v>
      </c>
      <c r="F896" s="19" t="n">
        <v>25.2631578947368</v>
      </c>
      <c r="G896" s="19" t="n">
        <v>1621.44757894737</v>
      </c>
    </row>
    <row r="897" customFormat="false" ht="15" hidden="false" customHeight="false" outlineLevel="0" collapsed="false">
      <c r="A897" s="8" t="s">
        <v>1739</v>
      </c>
      <c r="B897" s="8" t="s">
        <v>462</v>
      </c>
      <c r="C897" s="8" t="s">
        <v>462</v>
      </c>
      <c r="D897" s="19" t="n">
        <v>16</v>
      </c>
      <c r="E897" s="19" t="n">
        <v>1038.24</v>
      </c>
      <c r="F897" s="19" t="n">
        <v>1.26315789473684</v>
      </c>
      <c r="G897" s="19" t="n">
        <v>81.9663157894737</v>
      </c>
    </row>
    <row r="898" customFormat="false" ht="15" hidden="false" customHeight="false" outlineLevel="0" collapsed="false">
      <c r="A898" s="8" t="s">
        <v>1739</v>
      </c>
      <c r="B898" s="8" t="s">
        <v>731</v>
      </c>
      <c r="C898" s="8" t="s">
        <v>731</v>
      </c>
      <c r="D898" s="19" t="n">
        <v>6</v>
      </c>
      <c r="E898" s="19" t="n">
        <v>389.34</v>
      </c>
      <c r="F898" s="19" t="n">
        <v>0</v>
      </c>
      <c r="G898" s="19" t="n">
        <v>0</v>
      </c>
    </row>
    <row r="899" customFormat="false" ht="15" hidden="false" customHeight="false" outlineLevel="0" collapsed="false">
      <c r="A899" s="8" t="s">
        <v>1739</v>
      </c>
      <c r="B899" s="8" t="s">
        <v>1755</v>
      </c>
      <c r="C899" s="8" t="s">
        <v>1755</v>
      </c>
      <c r="D899" s="19" t="n">
        <v>5</v>
      </c>
      <c r="E899" s="19" t="n">
        <v>324.45</v>
      </c>
      <c r="F899" s="19" t="n">
        <v>5.05263157894737</v>
      </c>
      <c r="G899" s="19" t="n">
        <v>327.865263157895</v>
      </c>
    </row>
    <row r="900" customFormat="false" ht="15" hidden="false" customHeight="false" outlineLevel="0" collapsed="false">
      <c r="A900" s="8" t="s">
        <v>1739</v>
      </c>
      <c r="B900" s="8" t="s">
        <v>80</v>
      </c>
      <c r="C900" s="8" t="s">
        <v>80</v>
      </c>
      <c r="D900" s="19" t="n">
        <v>1</v>
      </c>
      <c r="E900" s="19" t="n">
        <v>107.09</v>
      </c>
      <c r="F900" s="19" t="n">
        <v>0</v>
      </c>
      <c r="G900" s="19" t="n">
        <v>0</v>
      </c>
    </row>
    <row r="901" customFormat="false" ht="15" hidden="false" customHeight="false" outlineLevel="0" collapsed="false">
      <c r="A901" s="8" t="s">
        <v>1739</v>
      </c>
      <c r="B901" s="8" t="s">
        <v>471</v>
      </c>
      <c r="C901" s="8" t="s">
        <v>471</v>
      </c>
      <c r="D901" s="19" t="n">
        <v>54</v>
      </c>
      <c r="E901" s="19" t="n">
        <v>594</v>
      </c>
      <c r="F901" s="19" t="n">
        <v>-3.78947368421053</v>
      </c>
      <c r="G901" s="19" t="n">
        <v>-41.6842105263158</v>
      </c>
    </row>
    <row r="902" customFormat="false" ht="15" hidden="false" customHeight="false" outlineLevel="0" collapsed="false">
      <c r="A902" s="8" t="s">
        <v>1739</v>
      </c>
      <c r="B902" s="8" t="s">
        <v>1371</v>
      </c>
      <c r="C902" s="8" t="s">
        <v>1371</v>
      </c>
      <c r="D902" s="19" t="n">
        <v>0</v>
      </c>
      <c r="E902" s="19" t="n">
        <v>0</v>
      </c>
      <c r="F902" s="19" t="n">
        <v>54.3157894736842</v>
      </c>
      <c r="G902" s="19" t="n">
        <v>640.141894736842</v>
      </c>
    </row>
    <row r="903" customFormat="false" ht="15" hidden="false" customHeight="false" outlineLevel="0" collapsed="false">
      <c r="A903" s="8" t="s">
        <v>1739</v>
      </c>
      <c r="B903" s="8" t="s">
        <v>771</v>
      </c>
      <c r="C903" s="8" t="s">
        <v>771</v>
      </c>
      <c r="D903" s="19" t="n">
        <v>25</v>
      </c>
      <c r="E903" s="19" t="n">
        <v>723.25</v>
      </c>
      <c r="F903" s="19" t="n">
        <v>2.52631578947368</v>
      </c>
      <c r="G903" s="19" t="n">
        <v>73.0863157894737</v>
      </c>
    </row>
    <row r="904" customFormat="false" ht="15" hidden="false" customHeight="false" outlineLevel="0" collapsed="false">
      <c r="A904" s="8" t="s">
        <v>1739</v>
      </c>
      <c r="B904" s="8" t="s">
        <v>361</v>
      </c>
      <c r="C904" s="8" t="s">
        <v>361</v>
      </c>
      <c r="D904" s="19" t="n">
        <v>8</v>
      </c>
      <c r="E904" s="19" t="n">
        <v>136</v>
      </c>
      <c r="F904" s="19" t="n">
        <v>3.78947368421053</v>
      </c>
      <c r="G904" s="19" t="n">
        <v>64.421052631579</v>
      </c>
    </row>
    <row r="905" customFormat="false" ht="15" hidden="false" customHeight="false" outlineLevel="0" collapsed="false">
      <c r="A905" s="8" t="s">
        <v>1739</v>
      </c>
      <c r="B905" s="8" t="s">
        <v>177</v>
      </c>
      <c r="C905" s="8" t="s">
        <v>177</v>
      </c>
      <c r="D905" s="19" t="n">
        <v>14</v>
      </c>
      <c r="E905" s="19" t="n">
        <v>690.2</v>
      </c>
      <c r="F905" s="19" t="n">
        <v>0</v>
      </c>
      <c r="G905" s="19" t="n">
        <v>0</v>
      </c>
    </row>
    <row r="906" customFormat="false" ht="15" hidden="false" customHeight="false" outlineLevel="0" collapsed="false">
      <c r="A906" s="8" t="s">
        <v>1739</v>
      </c>
      <c r="B906" s="8" t="s">
        <v>184</v>
      </c>
      <c r="C906" s="8" t="s">
        <v>184</v>
      </c>
      <c r="D906" s="19" t="n">
        <v>31</v>
      </c>
      <c r="E906" s="19" t="n">
        <v>731.6</v>
      </c>
      <c r="F906" s="19" t="n">
        <v>11.3684210526316</v>
      </c>
      <c r="G906" s="19" t="n">
        <v>268.294736842105</v>
      </c>
    </row>
    <row r="907" customFormat="false" ht="15" hidden="false" customHeight="false" outlineLevel="0" collapsed="false">
      <c r="A907" s="8" t="s">
        <v>1739</v>
      </c>
      <c r="B907" s="8" t="s">
        <v>190</v>
      </c>
      <c r="C907" s="8" t="s">
        <v>190</v>
      </c>
      <c r="D907" s="19" t="n">
        <v>39</v>
      </c>
      <c r="E907" s="19" t="n">
        <v>717.6</v>
      </c>
      <c r="F907" s="19" t="n">
        <v>0</v>
      </c>
      <c r="G907" s="19" t="n">
        <v>0</v>
      </c>
    </row>
    <row r="908" customFormat="false" ht="15" hidden="false" customHeight="false" outlineLevel="0" collapsed="false">
      <c r="A908" s="8" t="s">
        <v>1739</v>
      </c>
      <c r="B908" s="8" t="s">
        <v>191</v>
      </c>
      <c r="C908" s="8" t="s">
        <v>191</v>
      </c>
      <c r="D908" s="19" t="n">
        <v>45</v>
      </c>
      <c r="E908" s="19" t="n">
        <v>828</v>
      </c>
      <c r="F908" s="19" t="n">
        <v>8.84210526315789</v>
      </c>
      <c r="G908" s="19" t="n">
        <v>162.694736842105</v>
      </c>
    </row>
    <row r="909" customFormat="false" ht="15" hidden="false" customHeight="false" outlineLevel="0" collapsed="false">
      <c r="A909" s="8" t="s">
        <v>1739</v>
      </c>
      <c r="B909" s="8" t="s">
        <v>551</v>
      </c>
      <c r="C909" s="8" t="s">
        <v>551</v>
      </c>
      <c r="D909" s="19" t="n">
        <v>28</v>
      </c>
      <c r="E909" s="19" t="n">
        <v>515.2</v>
      </c>
      <c r="F909" s="19" t="n">
        <v>5.05263157894737</v>
      </c>
      <c r="G909" s="19" t="n">
        <v>92.9684210526316</v>
      </c>
    </row>
    <row r="910" customFormat="false" ht="15" hidden="false" customHeight="false" outlineLevel="0" collapsed="false">
      <c r="A910" s="8" t="s">
        <v>1739</v>
      </c>
      <c r="B910" s="8" t="s">
        <v>1692</v>
      </c>
      <c r="C910" s="8" t="s">
        <v>1692</v>
      </c>
      <c r="D910" s="19" t="n">
        <v>0</v>
      </c>
      <c r="E910" s="19" t="n">
        <v>0</v>
      </c>
      <c r="F910" s="19" t="n">
        <v>20.2105263157895</v>
      </c>
      <c r="G910" s="19" t="n">
        <v>1100.16126315789</v>
      </c>
    </row>
    <row r="911" customFormat="false" ht="15" hidden="false" customHeight="false" outlineLevel="0" collapsed="false">
      <c r="A911" s="8" t="s">
        <v>1739</v>
      </c>
      <c r="B911" s="8" t="s">
        <v>796</v>
      </c>
      <c r="C911" s="8" t="s">
        <v>796</v>
      </c>
      <c r="D911" s="19" t="n">
        <v>-1</v>
      </c>
      <c r="E911" s="19" t="n">
        <v>-441.17</v>
      </c>
      <c r="F911" s="19" t="n">
        <v>0</v>
      </c>
      <c r="G911" s="19" t="n">
        <v>0</v>
      </c>
    </row>
    <row r="912" customFormat="false" ht="15" hidden="false" customHeight="false" outlineLevel="0" collapsed="false">
      <c r="A912" s="8" t="s">
        <v>1739</v>
      </c>
      <c r="B912" s="8" t="s">
        <v>497</v>
      </c>
      <c r="C912" s="8" t="s">
        <v>497</v>
      </c>
      <c r="D912" s="19" t="n">
        <v>0</v>
      </c>
      <c r="E912" s="19" t="n">
        <v>0</v>
      </c>
      <c r="F912" s="19" t="n">
        <v>1.26315789473684</v>
      </c>
      <c r="G912" s="19" t="n">
        <v>0</v>
      </c>
    </row>
    <row r="913" customFormat="false" ht="15" hidden="false" customHeight="false" outlineLevel="0" collapsed="false">
      <c r="A913" s="8" t="s">
        <v>1739</v>
      </c>
      <c r="B913" s="8" t="s">
        <v>498</v>
      </c>
      <c r="C913" s="8" t="s">
        <v>498</v>
      </c>
      <c r="D913" s="19" t="n">
        <v>0</v>
      </c>
      <c r="E913" s="19" t="n">
        <v>0</v>
      </c>
      <c r="F913" s="19" t="n">
        <v>2.52631578947368</v>
      </c>
      <c r="G913" s="19" t="n">
        <v>0</v>
      </c>
    </row>
    <row r="914" customFormat="false" ht="15" hidden="false" customHeight="false" outlineLevel="0" collapsed="false">
      <c r="A914" s="8" t="s">
        <v>1739</v>
      </c>
      <c r="B914" s="8" t="s">
        <v>629</v>
      </c>
      <c r="C914" s="8" t="s">
        <v>629</v>
      </c>
      <c r="D914" s="19" t="n">
        <v>8</v>
      </c>
      <c r="E914" s="19" t="n">
        <v>1038.48</v>
      </c>
      <c r="F914" s="19" t="n">
        <v>1.26315789473684</v>
      </c>
      <c r="G914" s="19" t="n">
        <v>163.970526315789</v>
      </c>
    </row>
    <row r="915" customFormat="false" ht="15" hidden="false" customHeight="false" outlineLevel="0" collapsed="false">
      <c r="A915" s="8" t="s">
        <v>1739</v>
      </c>
      <c r="B915" s="8" t="s">
        <v>770</v>
      </c>
      <c r="C915" s="8" t="s">
        <v>770</v>
      </c>
      <c r="D915" s="19" t="n">
        <v>13</v>
      </c>
      <c r="E915" s="19" t="n">
        <v>818.61</v>
      </c>
      <c r="F915" s="19" t="n">
        <v>0</v>
      </c>
      <c r="G915" s="19" t="n">
        <v>0</v>
      </c>
    </row>
    <row r="916" customFormat="false" ht="15" hidden="false" customHeight="false" outlineLevel="0" collapsed="false">
      <c r="A916" s="8" t="s">
        <v>1739</v>
      </c>
      <c r="B916" s="8" t="s">
        <v>508</v>
      </c>
      <c r="C916" s="8" t="s">
        <v>508</v>
      </c>
      <c r="D916" s="19" t="n">
        <v>6</v>
      </c>
      <c r="E916" s="19" t="n">
        <v>377.82</v>
      </c>
      <c r="F916" s="19" t="n">
        <v>5.05263157894737</v>
      </c>
      <c r="G916" s="19" t="n">
        <v>318.164210526316</v>
      </c>
    </row>
    <row r="917" customFormat="false" ht="15" hidden="false" customHeight="false" outlineLevel="0" collapsed="false">
      <c r="A917" s="8" t="s">
        <v>1739</v>
      </c>
      <c r="B917" s="8" t="s">
        <v>837</v>
      </c>
      <c r="C917" s="8" t="s">
        <v>837</v>
      </c>
      <c r="D917" s="19" t="n">
        <v>0</v>
      </c>
      <c r="E917" s="19" t="n">
        <v>0</v>
      </c>
      <c r="F917" s="19" t="n">
        <v>1.26315789473684</v>
      </c>
      <c r="G917" s="19" t="n">
        <v>0</v>
      </c>
    </row>
    <row r="918" customFormat="false" ht="15" hidden="false" customHeight="false" outlineLevel="0" collapsed="false">
      <c r="A918" s="8" t="s">
        <v>1739</v>
      </c>
      <c r="B918" s="8" t="s">
        <v>885</v>
      </c>
      <c r="C918" s="8" t="s">
        <v>885</v>
      </c>
      <c r="D918" s="19" t="n">
        <v>0</v>
      </c>
      <c r="E918" s="19" t="n">
        <v>0</v>
      </c>
      <c r="F918" s="19" t="n">
        <v>7.57894736842105</v>
      </c>
      <c r="G918" s="19" t="n">
        <v>0</v>
      </c>
    </row>
    <row r="919" customFormat="false" ht="15" hidden="false" customHeight="false" outlineLevel="0" collapsed="false">
      <c r="A919" s="8" t="s">
        <v>1739</v>
      </c>
      <c r="B919" s="8" t="s">
        <v>670</v>
      </c>
      <c r="C919" s="8" t="s">
        <v>670</v>
      </c>
      <c r="D919" s="19" t="n">
        <v>10</v>
      </c>
      <c r="E919" s="19" t="n">
        <v>941</v>
      </c>
      <c r="F919" s="19" t="n">
        <v>1.26315789473684</v>
      </c>
      <c r="G919" s="19" t="n">
        <v>118.863157894737</v>
      </c>
    </row>
    <row r="920" customFormat="false" ht="15" hidden="false" customHeight="false" outlineLevel="0" collapsed="false">
      <c r="A920" s="8" t="s">
        <v>1739</v>
      </c>
      <c r="B920" s="8" t="s">
        <v>784</v>
      </c>
      <c r="C920" s="8" t="s">
        <v>784</v>
      </c>
      <c r="D920" s="19" t="n">
        <v>10</v>
      </c>
      <c r="E920" s="19" t="n">
        <v>941</v>
      </c>
      <c r="F920" s="19" t="n">
        <v>2.52631578947368</v>
      </c>
      <c r="G920" s="19" t="n">
        <v>237.726315789474</v>
      </c>
    </row>
    <row r="921" customFormat="false" ht="15" hidden="false" customHeight="false" outlineLevel="0" collapsed="false">
      <c r="A921" s="8" t="s">
        <v>1739</v>
      </c>
      <c r="B921" s="8" t="s">
        <v>323</v>
      </c>
      <c r="C921" s="8" t="s">
        <v>323</v>
      </c>
      <c r="D921" s="19" t="n">
        <v>11</v>
      </c>
      <c r="E921" s="19" t="n">
        <v>1035.1</v>
      </c>
      <c r="F921" s="19" t="n">
        <v>8.84210526315789</v>
      </c>
      <c r="G921" s="19" t="n">
        <v>832.042105263158</v>
      </c>
    </row>
    <row r="922" customFormat="false" ht="15" hidden="false" customHeight="false" outlineLevel="0" collapsed="false">
      <c r="A922" s="8" t="s">
        <v>1739</v>
      </c>
      <c r="B922" s="8" t="s">
        <v>671</v>
      </c>
      <c r="C922" s="8" t="s">
        <v>671</v>
      </c>
      <c r="D922" s="19" t="n">
        <v>1</v>
      </c>
      <c r="E922" s="19" t="n">
        <v>94.1</v>
      </c>
      <c r="F922" s="19" t="n">
        <v>2.52631578947368</v>
      </c>
      <c r="G922" s="19" t="n">
        <v>237.726315789474</v>
      </c>
    </row>
    <row r="923" customFormat="false" ht="15" hidden="false" customHeight="false" outlineLevel="0" collapsed="false">
      <c r="A923" s="8" t="s">
        <v>1739</v>
      </c>
      <c r="B923" s="8" t="s">
        <v>672</v>
      </c>
      <c r="C923" s="8" t="s">
        <v>672</v>
      </c>
      <c r="D923" s="19" t="n">
        <v>2</v>
      </c>
      <c r="E923" s="19" t="n">
        <v>147.6</v>
      </c>
      <c r="F923" s="19" t="n">
        <v>2.52631578947368</v>
      </c>
      <c r="G923" s="19" t="n">
        <v>186.442105263158</v>
      </c>
    </row>
    <row r="924" customFormat="false" ht="15" hidden="false" customHeight="false" outlineLevel="0" collapsed="false">
      <c r="A924" s="8" t="s">
        <v>1739</v>
      </c>
      <c r="B924" s="8" t="s">
        <v>444</v>
      </c>
      <c r="C924" s="8" t="s">
        <v>444</v>
      </c>
      <c r="D924" s="19" t="n">
        <v>1</v>
      </c>
      <c r="E924" s="19" t="n">
        <v>73.8</v>
      </c>
      <c r="F924" s="19" t="n">
        <v>7.57894736842105</v>
      </c>
      <c r="G924" s="19" t="n">
        <v>559.326315789474</v>
      </c>
    </row>
    <row r="925" customFormat="false" ht="15" hidden="false" customHeight="false" outlineLevel="0" collapsed="false">
      <c r="A925" s="8" t="s">
        <v>1739</v>
      </c>
      <c r="B925" s="8" t="s">
        <v>58</v>
      </c>
      <c r="C925" s="8" t="s">
        <v>58</v>
      </c>
      <c r="D925" s="19" t="n">
        <v>0</v>
      </c>
      <c r="E925" s="19" t="n">
        <v>0</v>
      </c>
      <c r="F925" s="19" t="n">
        <v>5.05263157894737</v>
      </c>
      <c r="G925" s="19" t="n">
        <v>372.884210526316</v>
      </c>
    </row>
    <row r="926" customFormat="false" ht="15" hidden="false" customHeight="false" outlineLevel="0" collapsed="false">
      <c r="A926" s="8" t="s">
        <v>1739</v>
      </c>
      <c r="B926" s="8" t="s">
        <v>325</v>
      </c>
      <c r="C926" s="8" t="s">
        <v>325</v>
      </c>
      <c r="D926" s="19" t="n">
        <v>-4</v>
      </c>
      <c r="E926" s="19" t="n">
        <v>-329.92</v>
      </c>
      <c r="F926" s="19" t="n">
        <v>0</v>
      </c>
      <c r="G926" s="19" t="n">
        <v>0</v>
      </c>
    </row>
    <row r="927" customFormat="false" ht="15" hidden="false" customHeight="false" outlineLevel="0" collapsed="false">
      <c r="A927" s="8" t="s">
        <v>1739</v>
      </c>
      <c r="B927" s="8" t="s">
        <v>326</v>
      </c>
      <c r="C927" s="8" t="s">
        <v>326</v>
      </c>
      <c r="D927" s="19" t="n">
        <v>-3</v>
      </c>
      <c r="E927" s="19" t="n">
        <v>-247.44</v>
      </c>
      <c r="F927" s="19" t="n">
        <v>0</v>
      </c>
      <c r="G927" s="19" t="n">
        <v>0</v>
      </c>
    </row>
    <row r="928" customFormat="false" ht="15" hidden="false" customHeight="false" outlineLevel="0" collapsed="false">
      <c r="A928" s="8" t="s">
        <v>1756</v>
      </c>
      <c r="B928" s="8" t="n">
        <v>4401000</v>
      </c>
      <c r="C928" s="8" t="s">
        <v>1154</v>
      </c>
      <c r="D928" s="19" t="n">
        <v>134</v>
      </c>
      <c r="E928" s="19" t="n">
        <v>2469.285</v>
      </c>
      <c r="F928" s="19" t="n">
        <v>114.947368421053</v>
      </c>
      <c r="G928" s="19" t="n">
        <v>2125.60673684211</v>
      </c>
    </row>
    <row r="929" customFormat="false" ht="15" hidden="false" customHeight="false" outlineLevel="0" collapsed="false">
      <c r="A929" s="8" t="s">
        <v>1756</v>
      </c>
      <c r="B929" s="8" t="n">
        <v>4401001</v>
      </c>
      <c r="C929" s="8" t="s">
        <v>1155</v>
      </c>
      <c r="D929" s="19" t="n">
        <v>168</v>
      </c>
      <c r="E929" s="19" t="n">
        <v>3344.887</v>
      </c>
      <c r="F929" s="19" t="n">
        <v>113.684210526316</v>
      </c>
      <c r="G929" s="19" t="n">
        <v>2258.37094736842</v>
      </c>
    </row>
    <row r="930" customFormat="false" ht="15" hidden="false" customHeight="false" outlineLevel="0" collapsed="false">
      <c r="A930" s="8" t="s">
        <v>1756</v>
      </c>
      <c r="B930" s="8" t="n">
        <v>4401002</v>
      </c>
      <c r="C930" s="8" t="s">
        <v>1156</v>
      </c>
      <c r="D930" s="19" t="n">
        <v>118</v>
      </c>
      <c r="E930" s="19" t="n">
        <v>775.32</v>
      </c>
      <c r="F930" s="19" t="n">
        <v>202.105263157895</v>
      </c>
      <c r="G930" s="19" t="n">
        <v>1327.872</v>
      </c>
    </row>
    <row r="931" customFormat="false" ht="15" hidden="false" customHeight="false" outlineLevel="0" collapsed="false">
      <c r="A931" s="8" t="s">
        <v>1756</v>
      </c>
      <c r="B931" s="8" t="n">
        <v>4402000</v>
      </c>
      <c r="C931" s="8" t="s">
        <v>1161</v>
      </c>
      <c r="D931" s="19" t="n">
        <v>53</v>
      </c>
      <c r="E931" s="19" t="n">
        <v>1137.318</v>
      </c>
      <c r="F931" s="19" t="n">
        <v>30.3157894736842</v>
      </c>
      <c r="G931" s="19" t="n">
        <v>650.487157894737</v>
      </c>
    </row>
    <row r="932" customFormat="false" ht="15" hidden="false" customHeight="false" outlineLevel="0" collapsed="false">
      <c r="A932" s="8" t="s">
        <v>1756</v>
      </c>
      <c r="B932" s="8" t="n">
        <v>4402007</v>
      </c>
      <c r="C932" s="8" t="s">
        <v>1162</v>
      </c>
      <c r="D932" s="19" t="n">
        <v>148</v>
      </c>
      <c r="E932" s="19" t="n">
        <v>2581.852</v>
      </c>
      <c r="F932" s="19" t="n">
        <v>50.5263157894737</v>
      </c>
      <c r="G932" s="19" t="n">
        <v>881.416421052632</v>
      </c>
    </row>
    <row r="933" customFormat="false" ht="15" hidden="false" customHeight="false" outlineLevel="0" collapsed="false">
      <c r="A933" s="8" t="s">
        <v>1756</v>
      </c>
      <c r="B933" s="8" t="n">
        <v>4402012</v>
      </c>
      <c r="C933" s="8" t="s">
        <v>1757</v>
      </c>
      <c r="D933" s="19" t="n">
        <v>-8</v>
      </c>
      <c r="E933" s="19" t="n">
        <v>-24.024</v>
      </c>
      <c r="F933" s="19" t="n">
        <v>0</v>
      </c>
      <c r="G933" s="19" t="n">
        <v>0</v>
      </c>
    </row>
    <row r="934" customFormat="false" ht="15" hidden="false" customHeight="false" outlineLevel="0" collapsed="false">
      <c r="A934" s="8" t="s">
        <v>1756</v>
      </c>
      <c r="B934" s="8" t="n">
        <v>4402020</v>
      </c>
      <c r="C934" s="8" t="s">
        <v>1758</v>
      </c>
      <c r="D934" s="19" t="n">
        <v>-2</v>
      </c>
      <c r="E934" s="19" t="n">
        <v>-43.68</v>
      </c>
      <c r="F934" s="19" t="n">
        <v>0</v>
      </c>
      <c r="G934" s="19" t="n">
        <v>0</v>
      </c>
    </row>
    <row r="935" customFormat="false" ht="15" hidden="false" customHeight="false" outlineLevel="0" collapsed="false">
      <c r="A935" s="8" t="s">
        <v>1756</v>
      </c>
      <c r="B935" s="8" t="n">
        <v>4402021</v>
      </c>
      <c r="C935" s="8" t="s">
        <v>1759</v>
      </c>
      <c r="D935" s="19" t="n">
        <v>-1</v>
      </c>
      <c r="E935" s="19" t="n">
        <v>-21.84</v>
      </c>
      <c r="F935" s="19" t="n">
        <v>0</v>
      </c>
      <c r="G935" s="19" t="n">
        <v>0</v>
      </c>
    </row>
    <row r="936" customFormat="false" ht="15" hidden="false" customHeight="false" outlineLevel="0" collapsed="false">
      <c r="A936" s="8" t="s">
        <v>1756</v>
      </c>
      <c r="B936" s="8" t="n">
        <v>4403000</v>
      </c>
      <c r="C936" s="8" t="s">
        <v>1163</v>
      </c>
      <c r="D936" s="19" t="n">
        <v>0</v>
      </c>
      <c r="E936" s="19" t="n">
        <v>0</v>
      </c>
      <c r="F936" s="19" t="n">
        <v>5.05263157894737</v>
      </c>
      <c r="G936" s="19" t="n">
        <v>144.603789473684</v>
      </c>
    </row>
    <row r="937" customFormat="false" ht="15" hidden="false" customHeight="false" outlineLevel="0" collapsed="false">
      <c r="A937" s="8" t="s">
        <v>1756</v>
      </c>
      <c r="B937" s="8" t="n">
        <v>4403001</v>
      </c>
      <c r="C937" s="8" t="s">
        <v>1164</v>
      </c>
      <c r="D937" s="19" t="n">
        <v>14</v>
      </c>
      <c r="E937" s="19" t="n">
        <v>400.764</v>
      </c>
      <c r="F937" s="19" t="n">
        <v>2.52631578947368</v>
      </c>
      <c r="G937" s="19" t="n">
        <v>72.3018947368421</v>
      </c>
    </row>
    <row r="938" customFormat="false" ht="15" hidden="false" customHeight="false" outlineLevel="0" collapsed="false">
      <c r="A938" s="8" t="s">
        <v>1756</v>
      </c>
      <c r="B938" s="8" t="n">
        <v>4403002</v>
      </c>
      <c r="C938" s="8" t="s">
        <v>1165</v>
      </c>
      <c r="D938" s="19" t="n">
        <v>18</v>
      </c>
      <c r="E938" s="19" t="n">
        <v>515.333</v>
      </c>
      <c r="F938" s="19" t="n">
        <v>2.52631578947368</v>
      </c>
      <c r="G938" s="19" t="n">
        <v>72.3018947368421</v>
      </c>
    </row>
    <row r="939" customFormat="false" ht="15" hidden="false" customHeight="false" outlineLevel="0" collapsed="false">
      <c r="A939" s="8" t="s">
        <v>1756</v>
      </c>
      <c r="B939" s="8" t="n">
        <v>4403003</v>
      </c>
      <c r="C939" s="8" t="s">
        <v>1166</v>
      </c>
      <c r="D939" s="19" t="n">
        <v>2</v>
      </c>
      <c r="E939" s="19" t="n">
        <v>57.239</v>
      </c>
      <c r="F939" s="19" t="n">
        <v>0</v>
      </c>
      <c r="G939" s="19" t="n">
        <v>0</v>
      </c>
    </row>
    <row r="940" customFormat="false" ht="15" hidden="false" customHeight="false" outlineLevel="0" collapsed="false">
      <c r="A940" s="8" t="s">
        <v>1756</v>
      </c>
      <c r="B940" s="8" t="n">
        <v>4403004</v>
      </c>
      <c r="C940" s="8" t="s">
        <v>1167</v>
      </c>
      <c r="D940" s="19" t="n">
        <v>2</v>
      </c>
      <c r="E940" s="19" t="n">
        <v>57.239</v>
      </c>
      <c r="F940" s="19" t="n">
        <v>0</v>
      </c>
      <c r="G940" s="19" t="n">
        <v>0</v>
      </c>
    </row>
    <row r="941" customFormat="false" ht="15" hidden="false" customHeight="false" outlineLevel="0" collapsed="false">
      <c r="A941" s="8" t="s">
        <v>1756</v>
      </c>
      <c r="B941" s="8" t="n">
        <v>4403005</v>
      </c>
      <c r="C941" s="8" t="s">
        <v>1168</v>
      </c>
      <c r="D941" s="19" t="n">
        <v>3</v>
      </c>
      <c r="E941" s="19" t="n">
        <v>71.89</v>
      </c>
      <c r="F941" s="19" t="n">
        <v>0</v>
      </c>
      <c r="G941" s="19" t="n">
        <v>0</v>
      </c>
    </row>
    <row r="942" customFormat="false" ht="15" hidden="false" customHeight="false" outlineLevel="0" collapsed="false">
      <c r="A942" s="8" t="s">
        <v>1756</v>
      </c>
      <c r="B942" s="8" t="n">
        <v>4403006</v>
      </c>
      <c r="C942" s="8" t="s">
        <v>1169</v>
      </c>
      <c r="D942" s="19" t="n">
        <v>2</v>
      </c>
      <c r="E942" s="19" t="n">
        <v>57.239</v>
      </c>
      <c r="F942" s="19" t="n">
        <v>8.84210526315789</v>
      </c>
      <c r="G942" s="19" t="n">
        <v>253.114105263158</v>
      </c>
    </row>
    <row r="943" customFormat="false" ht="15" hidden="false" customHeight="false" outlineLevel="0" collapsed="false">
      <c r="A943" s="8" t="s">
        <v>1756</v>
      </c>
      <c r="B943" s="8" t="n">
        <v>4403007</v>
      </c>
      <c r="C943" s="8" t="s">
        <v>1170</v>
      </c>
      <c r="D943" s="19" t="n">
        <v>16</v>
      </c>
      <c r="E943" s="19" t="n">
        <v>454.909</v>
      </c>
      <c r="F943" s="19" t="n">
        <v>7.57894736842105</v>
      </c>
      <c r="G943" s="19" t="n">
        <v>217.020631578947</v>
      </c>
    </row>
    <row r="944" customFormat="false" ht="15" hidden="false" customHeight="false" outlineLevel="0" collapsed="false">
      <c r="A944" s="8" t="s">
        <v>1756</v>
      </c>
      <c r="B944" s="8" t="n">
        <v>4403017</v>
      </c>
      <c r="C944" s="8" t="s">
        <v>1172</v>
      </c>
      <c r="D944" s="19" t="n">
        <v>0</v>
      </c>
      <c r="E944" s="19" t="n">
        <v>0</v>
      </c>
      <c r="F944" s="19" t="n">
        <v>-2.52631578947368</v>
      </c>
      <c r="G944" s="19" t="n">
        <v>-86.0955789473684</v>
      </c>
    </row>
    <row r="945" customFormat="false" ht="15" hidden="false" customHeight="false" outlineLevel="0" collapsed="false">
      <c r="A945" s="8" t="s">
        <v>1756</v>
      </c>
      <c r="B945" s="8" t="n">
        <v>4403018</v>
      </c>
      <c r="C945" s="8" t="s">
        <v>1173</v>
      </c>
      <c r="D945" s="19" t="n">
        <v>25</v>
      </c>
      <c r="E945" s="19" t="n">
        <v>546.455</v>
      </c>
      <c r="F945" s="19" t="n">
        <v>5.05263157894737</v>
      </c>
      <c r="G945" s="19" t="n">
        <v>110.349473684211</v>
      </c>
    </row>
    <row r="946" customFormat="false" ht="15" hidden="false" customHeight="false" outlineLevel="0" collapsed="false">
      <c r="A946" s="8" t="s">
        <v>1756</v>
      </c>
      <c r="B946" s="8" t="n">
        <v>4403021</v>
      </c>
      <c r="C946" s="8" t="s">
        <v>1176</v>
      </c>
      <c r="D946" s="19" t="n">
        <v>0</v>
      </c>
      <c r="E946" s="19" t="n">
        <v>0</v>
      </c>
      <c r="F946" s="19" t="n">
        <v>-3.78947368421053</v>
      </c>
      <c r="G946" s="19" t="n">
        <v>-129.085894736842</v>
      </c>
    </row>
    <row r="947" customFormat="false" ht="15" hidden="false" customHeight="false" outlineLevel="0" collapsed="false">
      <c r="A947" s="8" t="s">
        <v>1756</v>
      </c>
      <c r="B947" s="8" t="n">
        <v>4403022</v>
      </c>
      <c r="C947" s="8" t="s">
        <v>1177</v>
      </c>
      <c r="D947" s="19" t="n">
        <v>4</v>
      </c>
      <c r="E947" s="19" t="n">
        <v>87.451</v>
      </c>
      <c r="F947" s="19" t="n">
        <v>-1.26315789473684</v>
      </c>
      <c r="G947" s="19" t="n">
        <v>-27.5873684210526</v>
      </c>
    </row>
    <row r="948" customFormat="false" ht="15" hidden="false" customHeight="false" outlineLevel="0" collapsed="false">
      <c r="A948" s="8" t="s">
        <v>1756</v>
      </c>
      <c r="B948" s="8" t="n">
        <v>4403023</v>
      </c>
      <c r="C948" s="8" t="s">
        <v>1178</v>
      </c>
      <c r="D948" s="19" t="n">
        <v>4</v>
      </c>
      <c r="E948" s="19" t="n">
        <v>87.36</v>
      </c>
      <c r="F948" s="19" t="n">
        <v>8.84210526315789</v>
      </c>
      <c r="G948" s="19" t="n">
        <v>193.226526315789</v>
      </c>
    </row>
    <row r="949" customFormat="false" ht="15" hidden="false" customHeight="false" outlineLevel="0" collapsed="false">
      <c r="A949" s="8" t="s">
        <v>1756</v>
      </c>
      <c r="B949" s="8" t="n">
        <v>4403024</v>
      </c>
      <c r="C949" s="8" t="s">
        <v>1179</v>
      </c>
      <c r="D949" s="19" t="n">
        <v>10</v>
      </c>
      <c r="E949" s="19" t="n">
        <v>206.388</v>
      </c>
      <c r="F949" s="19" t="n">
        <v>8.84210526315789</v>
      </c>
      <c r="G949" s="19" t="n">
        <v>177.823578947368</v>
      </c>
    </row>
    <row r="950" customFormat="false" ht="15" hidden="false" customHeight="false" outlineLevel="0" collapsed="false">
      <c r="A950" s="8" t="s">
        <v>1756</v>
      </c>
      <c r="B950" s="8" t="n">
        <v>4403025</v>
      </c>
      <c r="C950" s="8" t="s">
        <v>1180</v>
      </c>
      <c r="D950" s="19" t="n">
        <v>7</v>
      </c>
      <c r="E950" s="19" t="n">
        <v>140.777</v>
      </c>
      <c r="F950" s="19" t="n">
        <v>8.84210526315789</v>
      </c>
      <c r="G950" s="19" t="n">
        <v>193.226526315789</v>
      </c>
    </row>
    <row r="951" customFormat="false" ht="15" hidden="false" customHeight="false" outlineLevel="0" collapsed="false">
      <c r="A951" s="8" t="s">
        <v>1756</v>
      </c>
      <c r="B951" s="8" t="n">
        <v>4403028</v>
      </c>
      <c r="C951" s="8" t="s">
        <v>1181</v>
      </c>
      <c r="D951" s="19" t="n">
        <v>141</v>
      </c>
      <c r="E951" s="19" t="n">
        <v>7304.115</v>
      </c>
      <c r="F951" s="19" t="n">
        <v>-2.52631578947368</v>
      </c>
      <c r="G951" s="19" t="n">
        <v>-130.695157894737</v>
      </c>
    </row>
    <row r="952" customFormat="false" ht="15" hidden="false" customHeight="false" outlineLevel="0" collapsed="false">
      <c r="A952" s="8" t="s">
        <v>1756</v>
      </c>
      <c r="B952" s="8" t="n">
        <v>4403029</v>
      </c>
      <c r="C952" s="8" t="s">
        <v>1182</v>
      </c>
      <c r="D952" s="19" t="n">
        <v>247</v>
      </c>
      <c r="E952" s="19" t="n">
        <v>12773.579</v>
      </c>
      <c r="F952" s="19" t="n">
        <v>6.31578947368421</v>
      </c>
      <c r="G952" s="19" t="n">
        <v>326.565473684211</v>
      </c>
    </row>
    <row r="953" customFormat="false" ht="15" hidden="false" customHeight="false" outlineLevel="0" collapsed="false">
      <c r="A953" s="8" t="s">
        <v>1756</v>
      </c>
      <c r="B953" s="8" t="n">
        <v>4403030</v>
      </c>
      <c r="C953" s="8" t="s">
        <v>1183</v>
      </c>
      <c r="D953" s="19" t="n">
        <v>149</v>
      </c>
      <c r="E953" s="19" t="n">
        <v>7705.607</v>
      </c>
      <c r="F953" s="19" t="n">
        <v>-2.52631578947368</v>
      </c>
      <c r="G953" s="19" t="n">
        <v>-130.695157894737</v>
      </c>
    </row>
    <row r="954" customFormat="false" ht="15" hidden="false" customHeight="false" outlineLevel="0" collapsed="false">
      <c r="A954" s="8" t="s">
        <v>1756</v>
      </c>
      <c r="B954" s="8" t="n">
        <v>4404000</v>
      </c>
      <c r="C954" s="8" t="s">
        <v>1192</v>
      </c>
      <c r="D954" s="19" t="n">
        <v>3</v>
      </c>
      <c r="E954" s="19" t="n">
        <v>69.251</v>
      </c>
      <c r="F954" s="19" t="n">
        <v>0</v>
      </c>
      <c r="G954" s="19" t="n">
        <v>0</v>
      </c>
    </row>
    <row r="955" customFormat="false" ht="15" hidden="false" customHeight="false" outlineLevel="0" collapsed="false">
      <c r="A955" s="8" t="s">
        <v>1756</v>
      </c>
      <c r="B955" s="8" t="n">
        <v>4408002</v>
      </c>
      <c r="C955" s="8" t="s">
        <v>1760</v>
      </c>
      <c r="D955" s="19" t="n">
        <v>-1</v>
      </c>
      <c r="E955" s="19" t="n">
        <v>-144.508</v>
      </c>
      <c r="F955" s="19" t="n">
        <v>0</v>
      </c>
      <c r="G955" s="19" t="n">
        <v>0</v>
      </c>
    </row>
    <row r="956" customFormat="false" ht="15" hidden="false" customHeight="false" outlineLevel="0" collapsed="false">
      <c r="A956" s="8" t="s">
        <v>1756</v>
      </c>
      <c r="B956" s="8" t="n">
        <v>4408009</v>
      </c>
      <c r="C956" s="8" t="s">
        <v>1195</v>
      </c>
      <c r="D956" s="19" t="n">
        <v>6</v>
      </c>
      <c r="E956" s="19" t="n">
        <v>541.814</v>
      </c>
      <c r="F956" s="19" t="n">
        <v>-2.52631578947368</v>
      </c>
      <c r="G956" s="19" t="n">
        <v>-228.17052631579</v>
      </c>
    </row>
    <row r="957" customFormat="false" ht="15" hidden="false" customHeight="false" outlineLevel="0" collapsed="false">
      <c r="A957" s="8" t="s">
        <v>1756</v>
      </c>
      <c r="B957" s="8" t="n">
        <v>4408010</v>
      </c>
      <c r="C957" s="8" t="s">
        <v>1196</v>
      </c>
      <c r="D957" s="19" t="n">
        <v>-3</v>
      </c>
      <c r="E957" s="19" t="n">
        <v>-270.907</v>
      </c>
      <c r="F957" s="19" t="n">
        <v>-1.26315789473684</v>
      </c>
      <c r="G957" s="19" t="n">
        <v>-114.027789473684</v>
      </c>
    </row>
    <row r="958" customFormat="false" ht="15" hidden="false" customHeight="false" outlineLevel="0" collapsed="false">
      <c r="A958" s="8" t="s">
        <v>1756</v>
      </c>
      <c r="B958" s="8" t="n">
        <v>4408011</v>
      </c>
      <c r="C958" s="8" t="s">
        <v>1197</v>
      </c>
      <c r="D958" s="19" t="n">
        <v>2</v>
      </c>
      <c r="E958" s="19" t="n">
        <v>180.544</v>
      </c>
      <c r="F958" s="19" t="n">
        <v>-1.26315789473684</v>
      </c>
      <c r="G958" s="19" t="n">
        <v>-114.027789473684</v>
      </c>
    </row>
    <row r="959" customFormat="false" ht="15" hidden="false" customHeight="false" outlineLevel="0" collapsed="false">
      <c r="A959" s="8" t="s">
        <v>1756</v>
      </c>
      <c r="B959" s="8" t="n">
        <v>4408012</v>
      </c>
      <c r="C959" s="8" t="s">
        <v>1198</v>
      </c>
      <c r="D959" s="19" t="n">
        <v>-2</v>
      </c>
      <c r="E959" s="19" t="n">
        <v>-180.544</v>
      </c>
      <c r="F959" s="19" t="n">
        <v>0</v>
      </c>
      <c r="G959" s="19" t="n">
        <v>0</v>
      </c>
    </row>
    <row r="960" customFormat="false" ht="15" hidden="false" customHeight="false" outlineLevel="0" collapsed="false">
      <c r="A960" s="8" t="s">
        <v>1756</v>
      </c>
      <c r="B960" s="8" t="n">
        <v>4408015</v>
      </c>
      <c r="C960" s="8" t="s">
        <v>1201</v>
      </c>
      <c r="D960" s="19" t="n">
        <v>1</v>
      </c>
      <c r="E960" s="19" t="n">
        <v>222.222</v>
      </c>
      <c r="F960" s="19" t="n">
        <v>0</v>
      </c>
      <c r="G960" s="19" t="n">
        <v>0</v>
      </c>
    </row>
    <row r="961" customFormat="false" ht="15" hidden="false" customHeight="false" outlineLevel="0" collapsed="false">
      <c r="A961" s="8" t="s">
        <v>1756</v>
      </c>
      <c r="B961" s="8" t="n">
        <v>4408016</v>
      </c>
      <c r="C961" s="8" t="s">
        <v>1202</v>
      </c>
      <c r="D961" s="19" t="n">
        <v>2</v>
      </c>
      <c r="E961" s="19" t="n">
        <v>444.444</v>
      </c>
      <c r="F961" s="19" t="n">
        <v>0</v>
      </c>
      <c r="G961" s="19" t="n">
        <v>0</v>
      </c>
    </row>
    <row r="962" customFormat="false" ht="15" hidden="false" customHeight="false" outlineLevel="0" collapsed="false">
      <c r="A962" s="8" t="s">
        <v>1756</v>
      </c>
      <c r="B962" s="8" t="n">
        <v>4408027</v>
      </c>
      <c r="C962" s="8" t="s">
        <v>1207</v>
      </c>
      <c r="D962" s="19" t="n">
        <v>2</v>
      </c>
      <c r="E962" s="19" t="n">
        <v>256.893</v>
      </c>
      <c r="F962" s="19" t="n">
        <v>3.78947368421053</v>
      </c>
      <c r="G962" s="19" t="n">
        <v>486.802105263158</v>
      </c>
    </row>
    <row r="963" customFormat="false" ht="15" hidden="false" customHeight="false" outlineLevel="0" collapsed="false">
      <c r="A963" s="8" t="s">
        <v>1756</v>
      </c>
      <c r="B963" s="8" t="n">
        <v>4408028</v>
      </c>
      <c r="C963" s="8" t="s">
        <v>1208</v>
      </c>
      <c r="D963" s="19" t="n">
        <v>3</v>
      </c>
      <c r="E963" s="19" t="n">
        <v>385.385</v>
      </c>
      <c r="F963" s="19" t="n">
        <v>3.78947368421053</v>
      </c>
      <c r="G963" s="19" t="n">
        <v>486.687157894737</v>
      </c>
    </row>
    <row r="964" customFormat="false" ht="15" hidden="false" customHeight="false" outlineLevel="0" collapsed="false">
      <c r="A964" s="8" t="s">
        <v>1756</v>
      </c>
      <c r="B964" s="8" t="n">
        <v>4408029</v>
      </c>
      <c r="C964" s="8" t="s">
        <v>1209</v>
      </c>
      <c r="D964" s="19" t="n">
        <v>2</v>
      </c>
      <c r="E964" s="19" t="n">
        <v>256.893</v>
      </c>
      <c r="F964" s="19" t="n">
        <v>7.57894736842105</v>
      </c>
      <c r="G964" s="19" t="n">
        <v>973.489263157895</v>
      </c>
    </row>
    <row r="965" customFormat="false" ht="15" hidden="false" customHeight="false" outlineLevel="0" collapsed="false">
      <c r="A965" s="8" t="s">
        <v>1756</v>
      </c>
      <c r="B965" s="8" t="n">
        <v>4408031</v>
      </c>
      <c r="C965" s="8" t="s">
        <v>1211</v>
      </c>
      <c r="D965" s="19" t="n">
        <v>19</v>
      </c>
      <c r="E965" s="19" t="n">
        <v>1677.585</v>
      </c>
      <c r="F965" s="19" t="n">
        <v>24</v>
      </c>
      <c r="G965" s="19" t="n">
        <v>2119.16968421053</v>
      </c>
    </row>
    <row r="966" customFormat="false" ht="15" hidden="false" customHeight="false" outlineLevel="0" collapsed="false">
      <c r="A966" s="8" t="s">
        <v>1756</v>
      </c>
      <c r="B966" s="8" t="n">
        <v>4408032</v>
      </c>
      <c r="C966" s="8" t="s">
        <v>1212</v>
      </c>
      <c r="D966" s="19" t="n">
        <v>67</v>
      </c>
      <c r="E966" s="19" t="n">
        <v>5915.91</v>
      </c>
      <c r="F966" s="19" t="n">
        <v>61.8947368421053</v>
      </c>
      <c r="G966" s="19" t="n">
        <v>5465.17263157895</v>
      </c>
    </row>
    <row r="967" customFormat="false" ht="15" hidden="false" customHeight="false" outlineLevel="0" collapsed="false">
      <c r="A967" s="8" t="s">
        <v>1756</v>
      </c>
      <c r="B967" s="8" t="n">
        <v>4408033</v>
      </c>
      <c r="C967" s="8" t="s">
        <v>1213</v>
      </c>
      <c r="D967" s="19" t="n">
        <v>47</v>
      </c>
      <c r="E967" s="19" t="n">
        <v>3998.631</v>
      </c>
      <c r="F967" s="19" t="n">
        <v>41.6842105263158</v>
      </c>
      <c r="G967" s="19" t="n">
        <v>3680.72968421053</v>
      </c>
    </row>
    <row r="968" customFormat="false" ht="15" hidden="false" customHeight="false" outlineLevel="0" collapsed="false">
      <c r="A968" s="8" t="s">
        <v>1756</v>
      </c>
      <c r="B968" s="8" t="n">
        <v>4408034</v>
      </c>
      <c r="C968" s="8" t="s">
        <v>1214</v>
      </c>
      <c r="D968" s="19" t="n">
        <v>66</v>
      </c>
      <c r="E968" s="19" t="n">
        <v>5833.919</v>
      </c>
      <c r="F968" s="19" t="n">
        <v>72</v>
      </c>
      <c r="G968" s="19" t="n">
        <v>6357.27915789474</v>
      </c>
    </row>
    <row r="969" customFormat="false" ht="15" hidden="false" customHeight="false" outlineLevel="0" collapsed="false">
      <c r="A969" s="8" t="s">
        <v>1756</v>
      </c>
      <c r="B969" s="8" t="n">
        <v>4408035</v>
      </c>
      <c r="C969" s="8" t="s">
        <v>1215</v>
      </c>
      <c r="D969" s="19" t="n">
        <v>28</v>
      </c>
      <c r="E969" s="19" t="n">
        <v>2327.325</v>
      </c>
      <c r="F969" s="19" t="n">
        <v>46.7368421052632</v>
      </c>
      <c r="G969" s="19" t="n">
        <v>4126.72547368421</v>
      </c>
    </row>
    <row r="970" customFormat="false" ht="15" hidden="false" customHeight="false" outlineLevel="0" collapsed="false">
      <c r="A970" s="8" t="s">
        <v>1756</v>
      </c>
      <c r="B970" s="8" t="n">
        <v>4408044</v>
      </c>
      <c r="C970" s="8" t="s">
        <v>1219</v>
      </c>
      <c r="D970" s="19" t="n">
        <v>2</v>
      </c>
      <c r="E970" s="19" t="n">
        <v>521.976</v>
      </c>
      <c r="F970" s="19" t="n">
        <v>-1.26315789473684</v>
      </c>
      <c r="G970" s="19" t="n">
        <v>-329.669052631579</v>
      </c>
    </row>
    <row r="971" customFormat="false" ht="15" hidden="false" customHeight="false" outlineLevel="0" collapsed="false">
      <c r="A971" s="8" t="s">
        <v>1756</v>
      </c>
      <c r="B971" s="8" t="n">
        <v>4408046</v>
      </c>
      <c r="C971" s="8" t="s">
        <v>1220</v>
      </c>
      <c r="D971" s="19" t="n">
        <v>98</v>
      </c>
      <c r="E971" s="19" t="n">
        <v>2422.966</v>
      </c>
      <c r="F971" s="19" t="n">
        <v>103.578947368421</v>
      </c>
      <c r="G971" s="19" t="n">
        <v>2563.78610526316</v>
      </c>
    </row>
    <row r="972" customFormat="false" ht="15" hidden="false" customHeight="false" outlineLevel="0" collapsed="false">
      <c r="A972" s="8" t="s">
        <v>1756</v>
      </c>
      <c r="B972" s="8" t="n">
        <v>4408047</v>
      </c>
      <c r="C972" s="8" t="s">
        <v>1221</v>
      </c>
      <c r="D972" s="19" t="n">
        <v>107</v>
      </c>
      <c r="E972" s="19" t="n">
        <v>2645.188</v>
      </c>
      <c r="F972" s="19" t="n">
        <v>126.315789473684</v>
      </c>
      <c r="G972" s="19" t="n">
        <v>3123.00505263158</v>
      </c>
    </row>
    <row r="973" customFormat="false" ht="15" hidden="false" customHeight="false" outlineLevel="0" collapsed="false">
      <c r="A973" s="8" t="s">
        <v>1756</v>
      </c>
      <c r="B973" s="8" t="n">
        <v>4408048</v>
      </c>
      <c r="C973" s="8" t="s">
        <v>1222</v>
      </c>
      <c r="D973" s="19" t="n">
        <v>98</v>
      </c>
      <c r="E973" s="19" t="n">
        <v>2420.145</v>
      </c>
      <c r="F973" s="19" t="n">
        <v>78.3157894736842</v>
      </c>
      <c r="G973" s="19" t="n">
        <v>1935.82863157895</v>
      </c>
    </row>
    <row r="974" customFormat="false" ht="15" hidden="false" customHeight="false" outlineLevel="0" collapsed="false">
      <c r="A974" s="8" t="s">
        <v>1756</v>
      </c>
      <c r="B974" s="8" t="n">
        <v>4408049</v>
      </c>
      <c r="C974" s="8" t="s">
        <v>1223</v>
      </c>
      <c r="D974" s="19" t="n">
        <v>41</v>
      </c>
      <c r="E974" s="19" t="n">
        <v>1013.922</v>
      </c>
      <c r="F974" s="19" t="n">
        <v>41.6842105263158</v>
      </c>
      <c r="G974" s="19" t="n">
        <v>1031.42273684211</v>
      </c>
    </row>
    <row r="975" customFormat="false" ht="15" hidden="false" customHeight="false" outlineLevel="0" collapsed="false">
      <c r="A975" s="8" t="s">
        <v>1756</v>
      </c>
      <c r="B975" s="8" t="n">
        <v>4408051</v>
      </c>
      <c r="C975" s="8" t="s">
        <v>1225</v>
      </c>
      <c r="D975" s="19" t="n">
        <v>184</v>
      </c>
      <c r="E975" s="19" t="n">
        <v>5909.176</v>
      </c>
      <c r="F975" s="19" t="n">
        <v>149.052631578947</v>
      </c>
      <c r="G975" s="19" t="n">
        <v>4786.98315789474</v>
      </c>
    </row>
    <row r="976" customFormat="false" ht="15" hidden="false" customHeight="false" outlineLevel="0" collapsed="false">
      <c r="A976" s="8" t="s">
        <v>1756</v>
      </c>
      <c r="B976" s="8" t="n">
        <v>4408052</v>
      </c>
      <c r="C976" s="8" t="s">
        <v>1226</v>
      </c>
      <c r="D976" s="19" t="n">
        <v>211</v>
      </c>
      <c r="E976" s="19" t="n">
        <v>6779.773</v>
      </c>
      <c r="F976" s="19" t="n">
        <v>141.473684210526</v>
      </c>
      <c r="G976" s="19" t="n">
        <v>4541.1107368421</v>
      </c>
    </row>
    <row r="977" customFormat="false" ht="15" hidden="false" customHeight="false" outlineLevel="0" collapsed="false">
      <c r="A977" s="8" t="s">
        <v>1756</v>
      </c>
      <c r="B977" s="8" t="n">
        <v>4408053</v>
      </c>
      <c r="C977" s="8" t="s">
        <v>1227</v>
      </c>
      <c r="D977" s="19" t="n">
        <v>300</v>
      </c>
      <c r="E977" s="19" t="n">
        <v>9632.441</v>
      </c>
      <c r="F977" s="19" t="n">
        <v>279.157894736842</v>
      </c>
      <c r="G977" s="19" t="n">
        <v>8957.73347368421</v>
      </c>
    </row>
    <row r="978" customFormat="false" ht="15" hidden="false" customHeight="false" outlineLevel="0" collapsed="false">
      <c r="A978" s="8" t="s">
        <v>1756</v>
      </c>
      <c r="B978" s="8" t="n">
        <v>4408054</v>
      </c>
      <c r="C978" s="8" t="s">
        <v>1228</v>
      </c>
      <c r="D978" s="19" t="n">
        <v>62</v>
      </c>
      <c r="E978" s="19" t="n">
        <v>1986.621</v>
      </c>
      <c r="F978" s="19" t="n">
        <v>106.105263157895</v>
      </c>
      <c r="G978" s="19" t="n">
        <v>3409.45389473684</v>
      </c>
    </row>
    <row r="979" customFormat="false" ht="15" hidden="false" customHeight="false" outlineLevel="0" collapsed="false">
      <c r="A979" s="8" t="s">
        <v>1756</v>
      </c>
      <c r="B979" s="8" t="n">
        <v>4408059</v>
      </c>
      <c r="C979" s="8" t="s">
        <v>1229</v>
      </c>
      <c r="D979" s="19" t="n">
        <v>-4</v>
      </c>
      <c r="E979" s="19" t="n">
        <v>-286.104</v>
      </c>
      <c r="F979" s="19" t="n">
        <v>0</v>
      </c>
      <c r="G979" s="19" t="n">
        <v>0</v>
      </c>
    </row>
    <row r="980" customFormat="false" ht="15" hidden="false" customHeight="false" outlineLevel="0" collapsed="false">
      <c r="A980" s="8" t="s">
        <v>1756</v>
      </c>
      <c r="B980" s="8" t="n">
        <v>4408060</v>
      </c>
      <c r="C980" s="8" t="s">
        <v>1230</v>
      </c>
      <c r="D980" s="19" t="n">
        <v>2</v>
      </c>
      <c r="E980" s="19" t="n">
        <v>124.67</v>
      </c>
      <c r="F980" s="19" t="n">
        <v>0</v>
      </c>
      <c r="G980" s="19" t="n">
        <v>0</v>
      </c>
    </row>
    <row r="981" customFormat="false" ht="15" hidden="false" customHeight="false" outlineLevel="0" collapsed="false">
      <c r="A981" s="8" t="s">
        <v>1756</v>
      </c>
      <c r="B981" s="8" t="n">
        <v>4408061</v>
      </c>
      <c r="C981" s="8" t="s">
        <v>1231</v>
      </c>
      <c r="D981" s="19" t="n">
        <v>-2</v>
      </c>
      <c r="E981" s="19" t="n">
        <v>-121.576</v>
      </c>
      <c r="F981" s="19" t="n">
        <v>0</v>
      </c>
      <c r="G981" s="19" t="n">
        <v>0</v>
      </c>
    </row>
    <row r="982" customFormat="false" ht="15" hidden="false" customHeight="false" outlineLevel="0" collapsed="false">
      <c r="A982" s="8" t="s">
        <v>1756</v>
      </c>
      <c r="B982" s="8" t="n">
        <v>4408062</v>
      </c>
      <c r="C982" s="8" t="s">
        <v>1232</v>
      </c>
      <c r="D982" s="19" t="n">
        <v>1</v>
      </c>
      <c r="E982" s="19" t="n">
        <v>62.335</v>
      </c>
      <c r="F982" s="19" t="n">
        <v>-1.26315789473684</v>
      </c>
      <c r="G982" s="19" t="n">
        <v>-78.7389473684211</v>
      </c>
    </row>
    <row r="983" customFormat="false" ht="15" hidden="false" customHeight="false" outlineLevel="0" collapsed="false">
      <c r="A983" s="8" t="s">
        <v>1756</v>
      </c>
      <c r="B983" s="8" t="n">
        <v>4408070</v>
      </c>
      <c r="C983" s="8" t="s">
        <v>1761</v>
      </c>
      <c r="D983" s="19" t="n">
        <v>4</v>
      </c>
      <c r="E983" s="19" t="n">
        <v>1098.188</v>
      </c>
      <c r="F983" s="19" t="n">
        <v>7.57894736842105</v>
      </c>
      <c r="G983" s="19" t="n">
        <v>2080.89221052632</v>
      </c>
    </row>
    <row r="984" customFormat="false" ht="15" hidden="false" customHeight="false" outlineLevel="0" collapsed="false">
      <c r="A984" s="8" t="s">
        <v>1756</v>
      </c>
      <c r="B984" s="8" t="n">
        <v>4408072</v>
      </c>
      <c r="C984" s="8" t="s">
        <v>1235</v>
      </c>
      <c r="D984" s="19" t="n">
        <v>0</v>
      </c>
      <c r="E984" s="19" t="n">
        <v>0</v>
      </c>
      <c r="F984" s="19" t="n">
        <v>2.52631578947368</v>
      </c>
      <c r="G984" s="19" t="n">
        <v>693.592421052632</v>
      </c>
    </row>
    <row r="985" customFormat="false" ht="15" hidden="false" customHeight="false" outlineLevel="0" collapsed="false">
      <c r="A985" s="8" t="s">
        <v>1756</v>
      </c>
      <c r="B985" s="8" t="n">
        <v>4408073</v>
      </c>
      <c r="C985" s="8" t="s">
        <v>1236</v>
      </c>
      <c r="D985" s="19" t="n">
        <v>2</v>
      </c>
      <c r="E985" s="19" t="n">
        <v>549.094</v>
      </c>
      <c r="F985" s="19" t="n">
        <v>1.26315789473684</v>
      </c>
      <c r="G985" s="19" t="n">
        <v>346.796210526316</v>
      </c>
    </row>
    <row r="986" customFormat="false" ht="15" hidden="false" customHeight="false" outlineLevel="0" collapsed="false">
      <c r="A986" s="8" t="s">
        <v>1756</v>
      </c>
      <c r="B986" s="8" t="n">
        <v>4408076</v>
      </c>
      <c r="C986" s="8" t="s">
        <v>1238</v>
      </c>
      <c r="D986" s="19" t="n">
        <v>-1</v>
      </c>
      <c r="E986" s="19" t="n">
        <v>-162.799</v>
      </c>
      <c r="F986" s="19" t="n">
        <v>0</v>
      </c>
      <c r="G986" s="19" t="n">
        <v>0</v>
      </c>
    </row>
    <row r="987" customFormat="false" ht="15" hidden="false" customHeight="false" outlineLevel="0" collapsed="false">
      <c r="A987" s="8" t="s">
        <v>1756</v>
      </c>
      <c r="B987" s="8" t="n">
        <v>4408078</v>
      </c>
      <c r="C987" s="8" t="s">
        <v>1240</v>
      </c>
      <c r="D987" s="19" t="n">
        <v>0</v>
      </c>
      <c r="E987" s="19" t="n">
        <v>0</v>
      </c>
      <c r="F987" s="19" t="n">
        <v>1.26315789473684</v>
      </c>
      <c r="G987" s="19" t="n">
        <v>197.709473684211</v>
      </c>
    </row>
    <row r="988" customFormat="false" ht="15" hidden="false" customHeight="false" outlineLevel="0" collapsed="false">
      <c r="A988" s="8" t="s">
        <v>1756</v>
      </c>
      <c r="B988" s="8" t="n">
        <v>4408080</v>
      </c>
      <c r="C988" s="8" t="s">
        <v>1242</v>
      </c>
      <c r="D988" s="19" t="n">
        <v>4</v>
      </c>
      <c r="E988" s="19" t="n">
        <v>651.105</v>
      </c>
      <c r="F988" s="19" t="n">
        <v>0</v>
      </c>
      <c r="G988" s="19" t="n">
        <v>0</v>
      </c>
    </row>
    <row r="989" customFormat="false" ht="15" hidden="false" customHeight="false" outlineLevel="0" collapsed="false">
      <c r="A989" s="8" t="s">
        <v>1756</v>
      </c>
      <c r="B989" s="8" t="n">
        <v>4408081</v>
      </c>
      <c r="C989" s="8" t="s">
        <v>1243</v>
      </c>
      <c r="D989" s="19" t="n">
        <v>1</v>
      </c>
      <c r="E989" s="19" t="n">
        <v>162.799</v>
      </c>
      <c r="F989" s="19" t="n">
        <v>1.26315789473684</v>
      </c>
      <c r="G989" s="19" t="n">
        <v>205.640842105263</v>
      </c>
    </row>
    <row r="990" customFormat="false" ht="15" hidden="false" customHeight="false" outlineLevel="0" collapsed="false">
      <c r="A990" s="8" t="s">
        <v>1756</v>
      </c>
      <c r="B990" s="8" t="n">
        <v>4408088</v>
      </c>
      <c r="C990" s="8" t="s">
        <v>1248</v>
      </c>
      <c r="D990" s="19" t="n">
        <v>31</v>
      </c>
      <c r="E990" s="19" t="n">
        <v>2100.007</v>
      </c>
      <c r="F990" s="19" t="n">
        <v>-7.57894736842105</v>
      </c>
      <c r="G990" s="19" t="n">
        <v>-517.033263157895</v>
      </c>
    </row>
    <row r="991" customFormat="false" ht="15" hidden="false" customHeight="false" outlineLevel="0" collapsed="false">
      <c r="A991" s="8" t="s">
        <v>1756</v>
      </c>
      <c r="B991" s="8" t="n">
        <v>4408089</v>
      </c>
      <c r="C991" s="8" t="s">
        <v>1249</v>
      </c>
      <c r="D991" s="19" t="n">
        <v>-2</v>
      </c>
      <c r="E991" s="19" t="n">
        <v>-160.524</v>
      </c>
      <c r="F991" s="19" t="n">
        <v>1.26315789473684</v>
      </c>
      <c r="G991" s="19" t="n">
        <v>101.383578947368</v>
      </c>
    </row>
    <row r="992" customFormat="false" ht="15" hidden="false" customHeight="false" outlineLevel="0" collapsed="false">
      <c r="A992" s="8" t="s">
        <v>1756</v>
      </c>
      <c r="B992" s="8" t="n">
        <v>4408090</v>
      </c>
      <c r="C992" s="8" t="s">
        <v>1250</v>
      </c>
      <c r="D992" s="19" t="n">
        <v>8</v>
      </c>
      <c r="E992" s="19" t="n">
        <v>642.096</v>
      </c>
      <c r="F992" s="19" t="n">
        <v>2.52631578947368</v>
      </c>
      <c r="G992" s="19" t="n">
        <v>202.767157894737</v>
      </c>
    </row>
    <row r="993" customFormat="false" ht="15" hidden="false" customHeight="false" outlineLevel="0" collapsed="false">
      <c r="A993" s="8" t="s">
        <v>1756</v>
      </c>
      <c r="B993" s="8" t="n">
        <v>4408091</v>
      </c>
      <c r="C993" s="8" t="s">
        <v>1251</v>
      </c>
      <c r="D993" s="19" t="n">
        <v>0</v>
      </c>
      <c r="E993" s="19" t="n">
        <v>0</v>
      </c>
      <c r="F993" s="19" t="n">
        <v>2.52631578947368</v>
      </c>
      <c r="G993" s="19" t="n">
        <v>202.767157894737</v>
      </c>
    </row>
    <row r="994" customFormat="false" ht="15" hidden="false" customHeight="false" outlineLevel="0" collapsed="false">
      <c r="A994" s="8" t="s">
        <v>1756</v>
      </c>
      <c r="B994" s="8" t="n">
        <v>4408092</v>
      </c>
      <c r="C994" s="8" t="s">
        <v>1252</v>
      </c>
      <c r="D994" s="19" t="n">
        <v>6</v>
      </c>
      <c r="E994" s="19" t="n">
        <v>481.572</v>
      </c>
      <c r="F994" s="19" t="n">
        <v>2.52631578947368</v>
      </c>
      <c r="G994" s="19" t="n">
        <v>202.767157894737</v>
      </c>
    </row>
    <row r="995" customFormat="false" ht="15" hidden="false" customHeight="false" outlineLevel="0" collapsed="false">
      <c r="A995" s="8" t="s">
        <v>1756</v>
      </c>
      <c r="B995" s="8" t="n">
        <v>4408093</v>
      </c>
      <c r="C995" s="8" t="s">
        <v>1253</v>
      </c>
      <c r="D995" s="19" t="n">
        <v>0</v>
      </c>
      <c r="E995" s="19" t="n">
        <v>0</v>
      </c>
      <c r="F995" s="19" t="n">
        <v>1.26315789473684</v>
      </c>
      <c r="G995" s="19" t="n">
        <v>101.383578947368</v>
      </c>
    </row>
    <row r="996" customFormat="false" ht="15" hidden="false" customHeight="false" outlineLevel="0" collapsed="false">
      <c r="A996" s="8" t="s">
        <v>1756</v>
      </c>
      <c r="B996" s="8" t="n">
        <v>4408094</v>
      </c>
      <c r="C996" s="8" t="s">
        <v>1254</v>
      </c>
      <c r="D996" s="19" t="n">
        <v>42</v>
      </c>
      <c r="E996" s="19" t="n">
        <v>1313.585</v>
      </c>
      <c r="F996" s="19" t="n">
        <v>34.1052631578947</v>
      </c>
      <c r="G996" s="19" t="n">
        <v>1066.71157894737</v>
      </c>
    </row>
    <row r="997" customFormat="false" ht="15" hidden="false" customHeight="false" outlineLevel="0" collapsed="false">
      <c r="A997" s="8" t="s">
        <v>1756</v>
      </c>
      <c r="B997" s="8" t="n">
        <v>4408095</v>
      </c>
      <c r="C997" s="8" t="s">
        <v>1255</v>
      </c>
      <c r="D997" s="19" t="n">
        <v>31</v>
      </c>
      <c r="E997" s="19" t="n">
        <v>969.605</v>
      </c>
      <c r="F997" s="19" t="n">
        <v>26.5263157894737</v>
      </c>
      <c r="G997" s="19" t="n">
        <v>832.333894736842</v>
      </c>
    </row>
    <row r="998" customFormat="false" ht="15" hidden="false" customHeight="false" outlineLevel="0" collapsed="false">
      <c r="A998" s="8" t="s">
        <v>1756</v>
      </c>
      <c r="B998" s="8" t="n">
        <v>4408098</v>
      </c>
      <c r="C998" s="8" t="s">
        <v>1258</v>
      </c>
      <c r="D998" s="19" t="n">
        <v>386</v>
      </c>
      <c r="E998" s="19" t="n">
        <v>13959.309</v>
      </c>
      <c r="F998" s="19" t="n">
        <v>324.631578947368</v>
      </c>
      <c r="G998" s="19" t="n">
        <v>11742.3334736842</v>
      </c>
    </row>
    <row r="999" customFormat="false" ht="15" hidden="false" customHeight="false" outlineLevel="0" collapsed="false">
      <c r="A999" s="8" t="s">
        <v>1756</v>
      </c>
      <c r="B999" s="8" t="n">
        <v>4408099</v>
      </c>
      <c r="C999" s="8" t="s">
        <v>1259</v>
      </c>
      <c r="D999" s="19" t="n">
        <v>322</v>
      </c>
      <c r="E999" s="19" t="n">
        <v>11628.981</v>
      </c>
      <c r="F999" s="19" t="n">
        <v>357.473684210526</v>
      </c>
      <c r="G999" s="19" t="n">
        <v>12927.5557894737</v>
      </c>
    </row>
    <row r="1000" customFormat="false" ht="15" hidden="false" customHeight="false" outlineLevel="0" collapsed="false">
      <c r="A1000" s="8" t="s">
        <v>1756</v>
      </c>
      <c r="B1000" s="8" t="n">
        <v>4408104</v>
      </c>
      <c r="C1000" s="8" t="s">
        <v>1762</v>
      </c>
      <c r="D1000" s="19" t="n">
        <v>0</v>
      </c>
      <c r="E1000" s="19" t="n">
        <v>0</v>
      </c>
      <c r="F1000" s="19" t="n">
        <v>-1.26315789473684</v>
      </c>
      <c r="G1000" s="19" t="n">
        <v>-256.562526315789</v>
      </c>
    </row>
    <row r="1001" customFormat="false" ht="15" hidden="false" customHeight="false" outlineLevel="0" collapsed="false">
      <c r="A1001" s="8" t="s">
        <v>1756</v>
      </c>
      <c r="B1001" s="8" t="n">
        <v>4408115</v>
      </c>
      <c r="C1001" s="8" t="s">
        <v>1264</v>
      </c>
      <c r="D1001" s="19" t="n">
        <v>11</v>
      </c>
      <c r="E1001" s="19" t="n">
        <v>971.243</v>
      </c>
      <c r="F1001" s="19" t="n">
        <v>30.3157894736842</v>
      </c>
      <c r="G1001" s="19" t="n">
        <v>2676.89431578947</v>
      </c>
    </row>
    <row r="1002" customFormat="false" ht="15" hidden="false" customHeight="false" outlineLevel="0" collapsed="false">
      <c r="A1002" s="8" t="s">
        <v>1756</v>
      </c>
      <c r="B1002" s="8" t="n">
        <v>4408132</v>
      </c>
      <c r="C1002" s="8" t="s">
        <v>1273</v>
      </c>
      <c r="D1002" s="19" t="n">
        <v>63</v>
      </c>
      <c r="E1002" s="19" t="n">
        <v>5503.68</v>
      </c>
      <c r="F1002" s="19" t="n">
        <v>82.1052631578947</v>
      </c>
      <c r="G1002" s="19" t="n">
        <v>7172.71578947369</v>
      </c>
    </row>
    <row r="1003" customFormat="false" ht="15" hidden="false" customHeight="false" outlineLevel="0" collapsed="false">
      <c r="A1003" s="8" t="s">
        <v>1756</v>
      </c>
      <c r="B1003" s="8" t="n">
        <v>4408145</v>
      </c>
      <c r="C1003" s="8" t="s">
        <v>1763</v>
      </c>
      <c r="D1003" s="19" t="n">
        <v>-1</v>
      </c>
      <c r="E1003" s="19" t="n">
        <v>-107.926</v>
      </c>
      <c r="F1003" s="19" t="n">
        <v>0</v>
      </c>
      <c r="G1003" s="19" t="n">
        <v>0</v>
      </c>
    </row>
    <row r="1004" customFormat="false" ht="15" hidden="false" customHeight="false" outlineLevel="0" collapsed="false">
      <c r="A1004" s="8" t="s">
        <v>1756</v>
      </c>
      <c r="B1004" s="8" t="n">
        <v>4408146</v>
      </c>
      <c r="C1004" s="8" t="s">
        <v>1764</v>
      </c>
      <c r="D1004" s="19" t="n">
        <v>1</v>
      </c>
      <c r="E1004" s="19" t="n">
        <v>107.926</v>
      </c>
      <c r="F1004" s="19" t="n">
        <v>0</v>
      </c>
      <c r="G1004" s="19" t="n">
        <v>0</v>
      </c>
    </row>
    <row r="1005" customFormat="false" ht="15" hidden="false" customHeight="false" outlineLevel="0" collapsed="false">
      <c r="A1005" s="8" t="s">
        <v>1756</v>
      </c>
      <c r="B1005" s="8" t="n">
        <v>4408148</v>
      </c>
      <c r="C1005" s="8" t="s">
        <v>1280</v>
      </c>
      <c r="D1005" s="19" t="n">
        <v>11</v>
      </c>
      <c r="E1005" s="19" t="n">
        <v>1187.55</v>
      </c>
      <c r="F1005" s="19" t="n">
        <v>0</v>
      </c>
      <c r="G1005" s="19" t="n">
        <v>0</v>
      </c>
    </row>
    <row r="1006" customFormat="false" ht="15" hidden="false" customHeight="false" outlineLevel="0" collapsed="false">
      <c r="A1006" s="8" t="s">
        <v>1756</v>
      </c>
      <c r="B1006" s="8" t="n">
        <v>4408149</v>
      </c>
      <c r="C1006" s="8" t="s">
        <v>1281</v>
      </c>
      <c r="D1006" s="19" t="n">
        <v>12</v>
      </c>
      <c r="E1006" s="19" t="n">
        <v>1295.567</v>
      </c>
      <c r="F1006" s="19" t="n">
        <v>3.78947368421053</v>
      </c>
      <c r="G1006" s="19" t="n">
        <v>409.097684210526</v>
      </c>
    </row>
    <row r="1007" customFormat="false" ht="15" hidden="false" customHeight="false" outlineLevel="0" collapsed="false">
      <c r="A1007" s="8" t="s">
        <v>1756</v>
      </c>
      <c r="B1007" s="8" t="n">
        <v>4408150</v>
      </c>
      <c r="C1007" s="8" t="s">
        <v>1282</v>
      </c>
      <c r="D1007" s="19" t="n">
        <v>8</v>
      </c>
      <c r="E1007" s="19" t="n">
        <v>1059.604</v>
      </c>
      <c r="F1007" s="19" t="n">
        <v>15.1578947368421</v>
      </c>
      <c r="G1007" s="19" t="n">
        <v>2007.90063157895</v>
      </c>
    </row>
    <row r="1008" customFormat="false" ht="15" hidden="false" customHeight="false" outlineLevel="0" collapsed="false">
      <c r="A1008" s="8" t="s">
        <v>1756</v>
      </c>
      <c r="B1008" s="8" t="n">
        <v>4408151</v>
      </c>
      <c r="C1008" s="8" t="s">
        <v>1283</v>
      </c>
      <c r="D1008" s="19" t="n">
        <v>17</v>
      </c>
      <c r="E1008" s="19" t="n">
        <v>2024.75</v>
      </c>
      <c r="F1008" s="19" t="n">
        <v>34.1052631578947</v>
      </c>
      <c r="G1008" s="19" t="n">
        <v>4517.66147368421</v>
      </c>
    </row>
    <row r="1009" customFormat="false" ht="15" hidden="false" customHeight="false" outlineLevel="0" collapsed="false">
      <c r="A1009" s="8" t="s">
        <v>1756</v>
      </c>
      <c r="B1009" s="8" t="n">
        <v>4408152</v>
      </c>
      <c r="C1009" s="8" t="s">
        <v>1284</v>
      </c>
      <c r="D1009" s="19" t="n">
        <v>41</v>
      </c>
      <c r="E1009" s="19" t="n">
        <v>5203.744</v>
      </c>
      <c r="F1009" s="19" t="n">
        <v>61.8947368421053</v>
      </c>
      <c r="G1009" s="19" t="n">
        <v>8198.62105263158</v>
      </c>
    </row>
    <row r="1010" customFormat="false" ht="15" hidden="false" customHeight="false" outlineLevel="0" collapsed="false">
      <c r="A1010" s="8" t="s">
        <v>1756</v>
      </c>
      <c r="B1010" s="8" t="n">
        <v>4408153</v>
      </c>
      <c r="C1010" s="8" t="s">
        <v>1285</v>
      </c>
      <c r="D1010" s="19" t="n">
        <v>57</v>
      </c>
      <c r="E1010" s="19" t="n">
        <v>7550.179</v>
      </c>
      <c r="F1010" s="19" t="n">
        <v>74.5263157894737</v>
      </c>
      <c r="G1010" s="19" t="n">
        <v>9871.68</v>
      </c>
    </row>
    <row r="1011" customFormat="false" ht="15" hidden="false" customHeight="false" outlineLevel="0" collapsed="false">
      <c r="A1011" s="8" t="s">
        <v>1756</v>
      </c>
      <c r="B1011" s="8" t="n">
        <v>4408154</v>
      </c>
      <c r="C1011" s="8" t="s">
        <v>1286</v>
      </c>
      <c r="D1011" s="19" t="n">
        <v>61</v>
      </c>
      <c r="E1011" s="19" t="n">
        <v>8080.072</v>
      </c>
      <c r="F1011" s="19" t="n">
        <v>104.842105263158</v>
      </c>
      <c r="G1011" s="19" t="n">
        <v>13887.3663157895</v>
      </c>
    </row>
    <row r="1012" customFormat="false" ht="15" hidden="false" customHeight="false" outlineLevel="0" collapsed="false">
      <c r="A1012" s="8" t="s">
        <v>1756</v>
      </c>
      <c r="B1012" s="8" t="n">
        <v>4408203</v>
      </c>
      <c r="C1012" s="8" t="s">
        <v>1294</v>
      </c>
      <c r="D1012" s="19" t="n">
        <v>0</v>
      </c>
      <c r="E1012" s="19" t="n">
        <v>0</v>
      </c>
      <c r="F1012" s="19" t="n">
        <v>2.52631578947368</v>
      </c>
      <c r="G1012" s="19" t="n">
        <v>578.070315789474</v>
      </c>
    </row>
    <row r="1013" customFormat="false" ht="15" hidden="false" customHeight="false" outlineLevel="0" collapsed="false">
      <c r="A1013" s="8" t="s">
        <v>1756</v>
      </c>
      <c r="B1013" s="8" t="n">
        <v>4408205</v>
      </c>
      <c r="C1013" s="8" t="s">
        <v>1295</v>
      </c>
      <c r="D1013" s="19" t="n">
        <v>22</v>
      </c>
      <c r="E1013" s="19" t="n">
        <v>1805.167</v>
      </c>
      <c r="F1013" s="19" t="n">
        <v>27.7894736842105</v>
      </c>
      <c r="G1013" s="19" t="n">
        <v>2230.09389473684</v>
      </c>
    </row>
    <row r="1014" customFormat="false" ht="15" hidden="false" customHeight="false" outlineLevel="0" collapsed="false">
      <c r="A1014" s="8" t="s">
        <v>1756</v>
      </c>
      <c r="B1014" s="8" t="n">
        <v>4408206</v>
      </c>
      <c r="C1014" s="8" t="s">
        <v>1296</v>
      </c>
      <c r="D1014" s="19" t="n">
        <v>-1</v>
      </c>
      <c r="E1014" s="19" t="n">
        <v>-68.523</v>
      </c>
      <c r="F1014" s="19" t="n">
        <v>2.52631578947368</v>
      </c>
      <c r="G1014" s="19" t="n">
        <v>172.995789473684</v>
      </c>
    </row>
    <row r="1015" customFormat="false" ht="15" hidden="false" customHeight="false" outlineLevel="0" collapsed="false">
      <c r="A1015" s="8" t="s">
        <v>1756</v>
      </c>
      <c r="B1015" s="8" t="n">
        <v>4408207</v>
      </c>
      <c r="C1015" s="8" t="s">
        <v>1297</v>
      </c>
      <c r="D1015" s="19" t="n">
        <v>60</v>
      </c>
      <c r="E1015" s="19" t="n">
        <v>1361.178</v>
      </c>
      <c r="F1015" s="19" t="n">
        <v>56.8421052631579</v>
      </c>
      <c r="G1015" s="19" t="n">
        <v>1289.59452631579</v>
      </c>
    </row>
    <row r="1016" customFormat="false" ht="15" hidden="false" customHeight="false" outlineLevel="0" collapsed="false">
      <c r="A1016" s="8" t="s">
        <v>1756</v>
      </c>
      <c r="B1016" s="8" t="n">
        <v>4408208</v>
      </c>
      <c r="C1016" s="8" t="s">
        <v>1298</v>
      </c>
      <c r="D1016" s="19" t="n">
        <v>123</v>
      </c>
      <c r="E1016" s="19" t="n">
        <v>3220.49</v>
      </c>
      <c r="F1016" s="19" t="n">
        <v>146.526315789474</v>
      </c>
      <c r="G1016" s="19" t="n">
        <v>3819.70105263158</v>
      </c>
    </row>
    <row r="1017" customFormat="false" ht="15" hidden="false" customHeight="false" outlineLevel="0" collapsed="false">
      <c r="A1017" s="8" t="s">
        <v>1756</v>
      </c>
      <c r="B1017" s="8" t="n">
        <v>4408219</v>
      </c>
      <c r="C1017" s="8" t="s">
        <v>1301</v>
      </c>
      <c r="D1017" s="19" t="n">
        <v>18</v>
      </c>
      <c r="E1017" s="19" t="n">
        <v>1459.094</v>
      </c>
      <c r="F1017" s="19" t="n">
        <v>34.1052631578947</v>
      </c>
      <c r="G1017" s="19" t="n">
        <v>3079.66989473684</v>
      </c>
    </row>
    <row r="1018" customFormat="false" ht="15" hidden="false" customHeight="false" outlineLevel="0" collapsed="false">
      <c r="A1018" s="8" t="s">
        <v>1756</v>
      </c>
      <c r="B1018" s="8" t="n">
        <v>4408220</v>
      </c>
      <c r="C1018" s="8" t="s">
        <v>1302</v>
      </c>
      <c r="D1018" s="19" t="n">
        <v>78</v>
      </c>
      <c r="E1018" s="19" t="n">
        <v>7043.4</v>
      </c>
      <c r="F1018" s="19" t="n">
        <v>74.5263157894737</v>
      </c>
      <c r="G1018" s="19" t="n">
        <v>6729.70863157895</v>
      </c>
    </row>
    <row r="1019" customFormat="false" ht="15" hidden="false" customHeight="false" outlineLevel="0" collapsed="false">
      <c r="A1019" s="8" t="s">
        <v>1756</v>
      </c>
      <c r="B1019" s="8" t="n">
        <v>4408221</v>
      </c>
      <c r="C1019" s="8" t="s">
        <v>1303</v>
      </c>
      <c r="D1019" s="19" t="n">
        <v>146</v>
      </c>
      <c r="E1019" s="19" t="n">
        <v>13183.716</v>
      </c>
      <c r="F1019" s="19" t="n">
        <v>184.421052631579</v>
      </c>
      <c r="G1019" s="19" t="n">
        <v>16653.1149473684</v>
      </c>
    </row>
    <row r="1020" customFormat="false" ht="15" hidden="false" customHeight="false" outlineLevel="0" collapsed="false">
      <c r="A1020" s="8" t="s">
        <v>1756</v>
      </c>
      <c r="B1020" s="8" t="n">
        <v>4408222</v>
      </c>
      <c r="C1020" s="8" t="s">
        <v>1304</v>
      </c>
      <c r="D1020" s="19" t="n">
        <v>97</v>
      </c>
      <c r="E1020" s="19" t="n">
        <v>8759.023</v>
      </c>
      <c r="F1020" s="19" t="n">
        <v>138.947368421053</v>
      </c>
      <c r="G1020" s="19" t="n">
        <v>12546.8501052632</v>
      </c>
    </row>
    <row r="1021" customFormat="false" ht="15" hidden="false" customHeight="false" outlineLevel="0" collapsed="false">
      <c r="A1021" s="8" t="s">
        <v>1756</v>
      </c>
      <c r="B1021" s="8" t="n">
        <v>4408223</v>
      </c>
      <c r="C1021" s="8" t="s">
        <v>1305</v>
      </c>
      <c r="D1021" s="19" t="n">
        <v>60</v>
      </c>
      <c r="E1021" s="19" t="n">
        <v>5417.958</v>
      </c>
      <c r="F1021" s="19" t="n">
        <v>58.1052631578947</v>
      </c>
      <c r="G1021" s="19" t="n">
        <v>5246.88757894737</v>
      </c>
    </row>
    <row r="1022" customFormat="false" ht="15" hidden="false" customHeight="false" outlineLevel="0" collapsed="false">
      <c r="A1022" s="8" t="s">
        <v>1756</v>
      </c>
      <c r="B1022" s="8" t="n">
        <v>4408230</v>
      </c>
      <c r="C1022" s="8" t="s">
        <v>1310</v>
      </c>
      <c r="D1022" s="19" t="n">
        <v>4</v>
      </c>
      <c r="E1022" s="19" t="n">
        <v>396.487</v>
      </c>
      <c r="F1022" s="19" t="n">
        <v>12.6315789473684</v>
      </c>
      <c r="G1022" s="19" t="n">
        <v>1252.12168421053</v>
      </c>
    </row>
    <row r="1023" customFormat="false" ht="15" hidden="false" customHeight="false" outlineLevel="0" collapsed="false">
      <c r="A1023" s="8" t="s">
        <v>1756</v>
      </c>
      <c r="B1023" s="8" t="n">
        <v>4408231</v>
      </c>
      <c r="C1023" s="8" t="s">
        <v>1311</v>
      </c>
      <c r="D1023" s="19" t="n">
        <v>3</v>
      </c>
      <c r="E1023" s="19" t="n">
        <v>297.388</v>
      </c>
      <c r="F1023" s="19" t="n">
        <v>12.6315789473684</v>
      </c>
      <c r="G1023" s="19" t="n">
        <v>1252.12168421053</v>
      </c>
    </row>
    <row r="1024" customFormat="false" ht="15" hidden="false" customHeight="false" outlineLevel="0" collapsed="false">
      <c r="A1024" s="8" t="s">
        <v>1756</v>
      </c>
      <c r="B1024" s="8" t="n">
        <v>4408234</v>
      </c>
      <c r="C1024" s="8" t="s">
        <v>1313</v>
      </c>
      <c r="D1024" s="19" t="n">
        <v>-3</v>
      </c>
      <c r="E1024" s="19" t="n">
        <v>-270.907</v>
      </c>
      <c r="F1024" s="19" t="n">
        <v>-1.26315789473684</v>
      </c>
      <c r="G1024" s="19" t="n">
        <v>-114.027789473684</v>
      </c>
    </row>
    <row r="1025" customFormat="false" ht="15" hidden="false" customHeight="false" outlineLevel="0" collapsed="false">
      <c r="A1025" s="8" t="s">
        <v>1756</v>
      </c>
      <c r="B1025" s="8" t="n">
        <v>4408235</v>
      </c>
      <c r="C1025" s="8" t="s">
        <v>1314</v>
      </c>
      <c r="D1025" s="19" t="n">
        <v>-1</v>
      </c>
      <c r="E1025" s="19" t="n">
        <v>-90.272</v>
      </c>
      <c r="F1025" s="19" t="n">
        <v>-3.78947368421053</v>
      </c>
      <c r="G1025" s="19" t="n">
        <v>-342.198315789474</v>
      </c>
    </row>
    <row r="1026" customFormat="false" ht="15" hidden="false" customHeight="false" outlineLevel="0" collapsed="false">
      <c r="A1026" s="8" t="s">
        <v>1756</v>
      </c>
      <c r="B1026" s="8" t="n">
        <v>4408236</v>
      </c>
      <c r="C1026" s="8" t="s">
        <v>1765</v>
      </c>
      <c r="D1026" s="19" t="n">
        <v>-1</v>
      </c>
      <c r="E1026" s="19" t="n">
        <v>-90.272</v>
      </c>
      <c r="F1026" s="19" t="n">
        <v>-1.26315789473684</v>
      </c>
      <c r="G1026" s="19" t="n">
        <v>-114.027789473684</v>
      </c>
    </row>
    <row r="1027" customFormat="false" ht="15" hidden="false" customHeight="false" outlineLevel="0" collapsed="false">
      <c r="A1027" s="8" t="s">
        <v>1756</v>
      </c>
      <c r="B1027" s="8" t="n">
        <v>4408247</v>
      </c>
      <c r="C1027" s="8" t="s">
        <v>1316</v>
      </c>
      <c r="D1027" s="19" t="n">
        <v>1</v>
      </c>
      <c r="E1027" s="19" t="n">
        <v>64.155</v>
      </c>
      <c r="F1027" s="19" t="n">
        <v>2.52631578947368</v>
      </c>
      <c r="G1027" s="19" t="n">
        <v>162.190736842105</v>
      </c>
    </row>
    <row r="1028" customFormat="false" ht="15" hidden="false" customHeight="false" outlineLevel="0" collapsed="false">
      <c r="A1028" s="8" t="s">
        <v>1756</v>
      </c>
      <c r="B1028" s="8" t="n">
        <v>4408248</v>
      </c>
      <c r="C1028" s="8" t="s">
        <v>1317</v>
      </c>
      <c r="D1028" s="19" t="n">
        <v>3</v>
      </c>
      <c r="E1028" s="19" t="n">
        <v>179.361</v>
      </c>
      <c r="F1028" s="19" t="n">
        <v>12.6315789473684</v>
      </c>
      <c r="G1028" s="19" t="n">
        <v>856.242947368421</v>
      </c>
    </row>
    <row r="1029" customFormat="false" ht="15" hidden="false" customHeight="false" outlineLevel="0" collapsed="false">
      <c r="A1029" s="8" t="s">
        <v>1756</v>
      </c>
      <c r="B1029" s="8" t="n">
        <v>4408249</v>
      </c>
      <c r="C1029" s="8" t="s">
        <v>1318</v>
      </c>
      <c r="D1029" s="19" t="n">
        <v>1</v>
      </c>
      <c r="E1029" s="19" t="n">
        <v>-28.028</v>
      </c>
      <c r="F1029" s="19" t="n">
        <v>10.1052631578947</v>
      </c>
      <c r="G1029" s="19" t="n">
        <v>684.971368421053</v>
      </c>
    </row>
    <row r="1030" customFormat="false" ht="15" hidden="false" customHeight="false" outlineLevel="0" collapsed="false">
      <c r="A1030" s="8" t="s">
        <v>1756</v>
      </c>
      <c r="B1030" s="8" t="n">
        <v>4408250</v>
      </c>
      <c r="C1030" s="8" t="s">
        <v>1319</v>
      </c>
      <c r="D1030" s="19" t="n">
        <v>0</v>
      </c>
      <c r="E1030" s="19" t="n">
        <v>-47.866</v>
      </c>
      <c r="F1030" s="19" t="n">
        <v>5.05263157894737</v>
      </c>
      <c r="G1030" s="19" t="n">
        <v>342.543157894737</v>
      </c>
    </row>
    <row r="1031" customFormat="false" ht="15" hidden="false" customHeight="false" outlineLevel="0" collapsed="false">
      <c r="A1031" s="8" t="s">
        <v>1756</v>
      </c>
      <c r="B1031" s="8" t="n">
        <v>4408252</v>
      </c>
      <c r="C1031" s="8" t="s">
        <v>1766</v>
      </c>
      <c r="D1031" s="19" t="n">
        <v>0</v>
      </c>
      <c r="E1031" s="19" t="n">
        <v>0</v>
      </c>
      <c r="F1031" s="19" t="n">
        <v>-1.26315789473684</v>
      </c>
      <c r="G1031" s="19" t="n">
        <v>-139.661052631579</v>
      </c>
    </row>
    <row r="1032" customFormat="false" ht="15" hidden="false" customHeight="false" outlineLevel="0" collapsed="false">
      <c r="A1032" s="8" t="s">
        <v>1756</v>
      </c>
      <c r="B1032" s="8" t="n">
        <v>4409000</v>
      </c>
      <c r="C1032" s="8" t="s">
        <v>1330</v>
      </c>
      <c r="D1032" s="19" t="n">
        <v>247</v>
      </c>
      <c r="E1032" s="19" t="n">
        <v>2957.5</v>
      </c>
      <c r="F1032" s="19" t="n">
        <v>127.578947368421</v>
      </c>
      <c r="G1032" s="19" t="n">
        <v>1526.73094736842</v>
      </c>
    </row>
    <row r="1033" customFormat="false" ht="15" hidden="false" customHeight="false" outlineLevel="0" collapsed="false">
      <c r="A1033" s="8" t="s">
        <v>1756</v>
      </c>
      <c r="B1033" s="8" t="n">
        <v>4409001</v>
      </c>
      <c r="C1033" s="8" t="s">
        <v>1331</v>
      </c>
      <c r="D1033" s="19" t="n">
        <v>112</v>
      </c>
      <c r="E1033" s="19" t="n">
        <v>1141.504</v>
      </c>
      <c r="F1033" s="19" t="n">
        <v>94.7368421052632</v>
      </c>
      <c r="G1033" s="19" t="n">
        <v>965.557894736842</v>
      </c>
    </row>
    <row r="1034" customFormat="false" ht="15" hidden="false" customHeight="false" outlineLevel="0" collapsed="false">
      <c r="A1034" s="8" t="s">
        <v>1756</v>
      </c>
      <c r="B1034" s="8" t="n">
        <v>4409002</v>
      </c>
      <c r="C1034" s="8" t="s">
        <v>1332</v>
      </c>
      <c r="D1034" s="19" t="n">
        <v>-15</v>
      </c>
      <c r="E1034" s="19" t="n">
        <v>-462.189</v>
      </c>
      <c r="F1034" s="19" t="n">
        <v>-7.57894736842105</v>
      </c>
      <c r="G1034" s="19" t="n">
        <v>-220.239157894737</v>
      </c>
    </row>
    <row r="1035" customFormat="false" ht="15" hidden="false" customHeight="false" outlineLevel="0" collapsed="false">
      <c r="A1035" s="8" t="s">
        <v>1756</v>
      </c>
      <c r="B1035" s="8" t="n">
        <v>4409003</v>
      </c>
      <c r="C1035" s="8" t="s">
        <v>1767</v>
      </c>
      <c r="D1035" s="19" t="n">
        <v>-1</v>
      </c>
      <c r="E1035" s="19" t="n">
        <v>-18.928</v>
      </c>
      <c r="F1035" s="19" t="n">
        <v>0</v>
      </c>
      <c r="G1035" s="19" t="n">
        <v>0</v>
      </c>
    </row>
    <row r="1036" customFormat="false" ht="15" hidden="false" customHeight="false" outlineLevel="0" collapsed="false">
      <c r="A1036" s="8" t="s">
        <v>1756</v>
      </c>
      <c r="B1036" s="8" t="n">
        <v>4409004</v>
      </c>
      <c r="C1036" s="8" t="s">
        <v>1333</v>
      </c>
      <c r="D1036" s="19" t="n">
        <v>1341</v>
      </c>
      <c r="E1036" s="19" t="n">
        <v>21350.329</v>
      </c>
      <c r="F1036" s="19" t="n">
        <v>928.421052631579</v>
      </c>
      <c r="G1036" s="19" t="n">
        <v>14543.3709473684</v>
      </c>
    </row>
    <row r="1037" customFormat="false" ht="15" hidden="false" customHeight="false" outlineLevel="0" collapsed="false">
      <c r="A1037" s="8" t="s">
        <v>1756</v>
      </c>
      <c r="B1037" s="8" t="n">
        <v>4409011</v>
      </c>
      <c r="C1037" s="8" t="s">
        <v>1335</v>
      </c>
      <c r="D1037" s="19" t="n">
        <v>218</v>
      </c>
      <c r="E1037" s="19" t="n">
        <v>3055.052</v>
      </c>
      <c r="F1037" s="19" t="n">
        <v>238.736842105263</v>
      </c>
      <c r="G1037" s="19" t="n">
        <v>3345.65810526316</v>
      </c>
    </row>
    <row r="1038" customFormat="false" ht="15" hidden="false" customHeight="false" outlineLevel="0" collapsed="false">
      <c r="A1038" s="8" t="s">
        <v>1756</v>
      </c>
      <c r="B1038" s="8" t="n">
        <v>4409013</v>
      </c>
      <c r="C1038" s="8" t="s">
        <v>1337</v>
      </c>
      <c r="D1038" s="19" t="n">
        <v>282</v>
      </c>
      <c r="E1038" s="19" t="n">
        <v>3951.948</v>
      </c>
      <c r="F1038" s="19" t="n">
        <v>212.210526315789</v>
      </c>
      <c r="G1038" s="19" t="n">
        <v>2973.91831578947</v>
      </c>
    </row>
    <row r="1039" customFormat="false" ht="15" hidden="false" customHeight="false" outlineLevel="0" collapsed="false">
      <c r="A1039" s="8" t="s">
        <v>1756</v>
      </c>
      <c r="B1039" s="8" t="n">
        <v>4409014</v>
      </c>
      <c r="C1039" s="8" t="s">
        <v>1338</v>
      </c>
      <c r="D1039" s="19" t="n">
        <v>256</v>
      </c>
      <c r="E1039" s="19" t="n">
        <v>10268.804</v>
      </c>
      <c r="F1039" s="19" t="n">
        <v>218.526315789474</v>
      </c>
      <c r="G1039" s="19" t="n">
        <v>8765.65642105263</v>
      </c>
    </row>
    <row r="1040" customFormat="false" ht="15" hidden="false" customHeight="false" outlineLevel="0" collapsed="false">
      <c r="A1040" s="8" t="s">
        <v>1756</v>
      </c>
      <c r="B1040" s="8" t="n">
        <v>4409016</v>
      </c>
      <c r="C1040" s="8" t="s">
        <v>1340</v>
      </c>
      <c r="D1040" s="19" t="n">
        <v>-1</v>
      </c>
      <c r="E1040" s="19" t="n">
        <v>-57.421</v>
      </c>
      <c r="F1040" s="19" t="n">
        <v>0</v>
      </c>
      <c r="G1040" s="19" t="n">
        <v>0</v>
      </c>
    </row>
    <row r="1041" customFormat="false" ht="15" hidden="false" customHeight="false" outlineLevel="0" collapsed="false">
      <c r="A1041" s="8" t="s">
        <v>1756</v>
      </c>
      <c r="B1041" s="8" t="n">
        <v>4409017</v>
      </c>
      <c r="C1041" s="8" t="s">
        <v>1341</v>
      </c>
      <c r="D1041" s="19" t="n">
        <v>0</v>
      </c>
      <c r="E1041" s="19" t="n">
        <v>0</v>
      </c>
      <c r="F1041" s="19" t="n">
        <v>-1.26315789473684</v>
      </c>
      <c r="G1041" s="19" t="n">
        <v>-50.6917894736842</v>
      </c>
    </row>
    <row r="1042" customFormat="false" ht="15" hidden="false" customHeight="false" outlineLevel="0" collapsed="false">
      <c r="A1042" s="8" t="s">
        <v>1756</v>
      </c>
      <c r="B1042" s="8" t="n">
        <v>4411000</v>
      </c>
      <c r="C1042" s="8" t="s">
        <v>1342</v>
      </c>
      <c r="D1042" s="19" t="n">
        <v>155</v>
      </c>
      <c r="E1042" s="19" t="n">
        <v>3530.527</v>
      </c>
      <c r="F1042" s="19" t="n">
        <v>132.631578947368</v>
      </c>
      <c r="G1042" s="19" t="n">
        <v>3021.16168421053</v>
      </c>
    </row>
    <row r="1043" customFormat="false" ht="15" hidden="false" customHeight="false" outlineLevel="0" collapsed="false">
      <c r="A1043" s="8" t="s">
        <v>1756</v>
      </c>
      <c r="B1043" s="8" t="n">
        <v>4411001</v>
      </c>
      <c r="C1043" s="8" t="s">
        <v>1343</v>
      </c>
      <c r="D1043" s="19" t="n">
        <v>66</v>
      </c>
      <c r="E1043" s="19" t="n">
        <v>1571.843</v>
      </c>
      <c r="F1043" s="19" t="n">
        <v>102.315789473684</v>
      </c>
      <c r="G1043" s="19" t="n">
        <v>2446.30989473684</v>
      </c>
    </row>
    <row r="1044" customFormat="false" ht="15" hidden="false" customHeight="false" outlineLevel="0" collapsed="false">
      <c r="A1044" s="8" t="s">
        <v>1756</v>
      </c>
      <c r="B1044" s="8" t="n">
        <v>4411016</v>
      </c>
      <c r="C1044" s="8" t="s">
        <v>1345</v>
      </c>
      <c r="D1044" s="19" t="n">
        <v>84</v>
      </c>
      <c r="E1044" s="19" t="n">
        <v>6652.555</v>
      </c>
      <c r="F1044" s="19" t="n">
        <v>77.0526315789474</v>
      </c>
      <c r="G1044" s="19" t="n">
        <v>6131.86736842105</v>
      </c>
    </row>
    <row r="1045" customFormat="false" ht="15" hidden="false" customHeight="false" outlineLevel="0" collapsed="false">
      <c r="A1045" s="8" t="s">
        <v>1756</v>
      </c>
      <c r="B1045" s="8" t="n">
        <v>4413000</v>
      </c>
      <c r="C1045" s="8" t="s">
        <v>1360</v>
      </c>
      <c r="D1045" s="19" t="n">
        <v>9</v>
      </c>
      <c r="E1045" s="19" t="n">
        <v>505.596</v>
      </c>
      <c r="F1045" s="19" t="n">
        <v>-3.78947368421053</v>
      </c>
      <c r="G1045" s="19" t="n">
        <v>-212.882526315789</v>
      </c>
    </row>
    <row r="1046" customFormat="false" ht="15" hidden="false" customHeight="false" outlineLevel="0" collapsed="false">
      <c r="A1046" s="8" t="s">
        <v>1756</v>
      </c>
      <c r="B1046" s="8" t="n">
        <v>4413002</v>
      </c>
      <c r="C1046" s="8" t="s">
        <v>1361</v>
      </c>
      <c r="D1046" s="19" t="n">
        <v>3</v>
      </c>
      <c r="E1046" s="19" t="n">
        <v>168.441</v>
      </c>
      <c r="F1046" s="19" t="n">
        <v>-2.52631578947368</v>
      </c>
      <c r="G1046" s="19" t="n">
        <v>-141.96</v>
      </c>
    </row>
    <row r="1047" customFormat="false" ht="15" hidden="false" customHeight="false" outlineLevel="0" collapsed="false">
      <c r="A1047" s="8" t="s">
        <v>1756</v>
      </c>
      <c r="B1047" s="8" t="n">
        <v>4413003</v>
      </c>
      <c r="C1047" s="8" t="s">
        <v>1362</v>
      </c>
      <c r="D1047" s="19" t="n">
        <v>15</v>
      </c>
      <c r="E1047" s="19" t="n">
        <v>746.382</v>
      </c>
      <c r="F1047" s="19" t="n">
        <v>-2.52631578947368</v>
      </c>
      <c r="G1047" s="19" t="n">
        <v>-141.96</v>
      </c>
    </row>
    <row r="1048" customFormat="false" ht="15" hidden="false" customHeight="false" outlineLevel="0" collapsed="false">
      <c r="A1048" s="8" t="s">
        <v>1756</v>
      </c>
      <c r="B1048" s="8" t="n">
        <v>4413004</v>
      </c>
      <c r="C1048" s="8" t="s">
        <v>1363</v>
      </c>
      <c r="D1048" s="19" t="n">
        <v>11</v>
      </c>
      <c r="E1048" s="19" t="n">
        <v>621.894</v>
      </c>
      <c r="F1048" s="19" t="n">
        <v>-1.26315789473684</v>
      </c>
      <c r="G1048" s="19" t="n">
        <v>-70.9225263157895</v>
      </c>
    </row>
    <row r="1049" customFormat="false" ht="15" hidden="false" customHeight="false" outlineLevel="0" collapsed="false">
      <c r="A1049" s="8" t="s">
        <v>1756</v>
      </c>
      <c r="B1049" s="8" t="n">
        <v>4413005</v>
      </c>
      <c r="C1049" s="8" t="s">
        <v>1364</v>
      </c>
      <c r="D1049" s="19" t="n">
        <v>1</v>
      </c>
      <c r="E1049" s="19" t="n">
        <v>56.238</v>
      </c>
      <c r="F1049" s="19" t="n">
        <v>-1.26315789473684</v>
      </c>
      <c r="G1049" s="19" t="n">
        <v>-70.9225263157895</v>
      </c>
    </row>
    <row r="1050" customFormat="false" ht="15" hidden="false" customHeight="false" outlineLevel="0" collapsed="false">
      <c r="A1050" s="8" t="s">
        <v>1756</v>
      </c>
      <c r="B1050" s="8" t="n">
        <v>4413008</v>
      </c>
      <c r="C1050" s="8" t="s">
        <v>1768</v>
      </c>
      <c r="D1050" s="19" t="n">
        <v>-2</v>
      </c>
      <c r="E1050" s="19" t="n">
        <v>-176.085</v>
      </c>
      <c r="F1050" s="19" t="n">
        <v>-1.26315789473684</v>
      </c>
      <c r="G1050" s="19" t="n">
        <v>-111.154105263158</v>
      </c>
    </row>
    <row r="1051" customFormat="false" ht="15" hidden="false" customHeight="false" outlineLevel="0" collapsed="false">
      <c r="A1051" s="8" t="s">
        <v>1756</v>
      </c>
      <c r="B1051" s="8" t="n">
        <v>4413009</v>
      </c>
      <c r="C1051" s="8" t="s">
        <v>1769</v>
      </c>
      <c r="D1051" s="19" t="n">
        <v>-2</v>
      </c>
      <c r="E1051" s="19" t="n">
        <v>-176.085</v>
      </c>
      <c r="F1051" s="19" t="n">
        <v>0</v>
      </c>
      <c r="G1051" s="19" t="n">
        <v>0</v>
      </c>
    </row>
    <row r="1052" customFormat="false" ht="15" hidden="false" customHeight="false" outlineLevel="0" collapsed="false">
      <c r="A1052" s="8" t="s">
        <v>1756</v>
      </c>
      <c r="B1052" s="8" t="n">
        <v>4413018</v>
      </c>
      <c r="C1052" s="8" t="s">
        <v>1365</v>
      </c>
      <c r="D1052" s="19" t="n">
        <v>7</v>
      </c>
      <c r="E1052" s="19" t="n">
        <v>703.794</v>
      </c>
      <c r="F1052" s="19" t="n">
        <v>0</v>
      </c>
      <c r="G1052" s="19" t="n">
        <v>0</v>
      </c>
    </row>
    <row r="1053" customFormat="false" ht="15" hidden="false" customHeight="false" outlineLevel="0" collapsed="false">
      <c r="A1053" s="8" t="s">
        <v>1756</v>
      </c>
      <c r="B1053" s="8" t="n">
        <v>4413019</v>
      </c>
      <c r="C1053" s="8" t="s">
        <v>1366</v>
      </c>
      <c r="D1053" s="19" t="n">
        <v>6</v>
      </c>
      <c r="E1053" s="19" t="n">
        <v>603.239</v>
      </c>
      <c r="F1053" s="19" t="n">
        <v>0</v>
      </c>
      <c r="G1053" s="19" t="n">
        <v>0</v>
      </c>
    </row>
    <row r="1054" customFormat="false" ht="15" hidden="false" customHeight="false" outlineLevel="0" collapsed="false">
      <c r="A1054" s="8" t="s">
        <v>1756</v>
      </c>
      <c r="B1054" s="8" t="n">
        <v>4413020</v>
      </c>
      <c r="C1054" s="8" t="s">
        <v>1367</v>
      </c>
      <c r="D1054" s="19" t="n">
        <v>3</v>
      </c>
      <c r="E1054" s="19" t="n">
        <v>301.665</v>
      </c>
      <c r="F1054" s="19" t="n">
        <v>1.26315789473684</v>
      </c>
      <c r="G1054" s="19" t="n">
        <v>127.016842105263</v>
      </c>
    </row>
    <row r="1055" customFormat="false" ht="15" hidden="false" customHeight="false" outlineLevel="0" collapsed="false">
      <c r="A1055" s="8" t="s">
        <v>1756</v>
      </c>
      <c r="B1055" s="8" t="n">
        <v>4413021</v>
      </c>
      <c r="C1055" s="8" t="s">
        <v>1368</v>
      </c>
      <c r="D1055" s="19" t="n">
        <v>1</v>
      </c>
      <c r="E1055" s="19" t="n">
        <v>100.555</v>
      </c>
      <c r="F1055" s="19" t="n">
        <v>0</v>
      </c>
      <c r="G1055" s="19" t="n">
        <v>0</v>
      </c>
    </row>
    <row r="1056" customFormat="false" ht="15" hidden="false" customHeight="false" outlineLevel="0" collapsed="false">
      <c r="A1056" s="8" t="s">
        <v>1756</v>
      </c>
      <c r="B1056" s="8" t="n">
        <v>4413033</v>
      </c>
      <c r="C1056" s="8" t="s">
        <v>1370</v>
      </c>
      <c r="D1056" s="19" t="n">
        <v>562</v>
      </c>
      <c r="E1056" s="19" t="n">
        <v>6822.634</v>
      </c>
      <c r="F1056" s="19" t="n">
        <v>464.842105263158</v>
      </c>
      <c r="G1056" s="19" t="n">
        <v>5642.99621052632</v>
      </c>
    </row>
    <row r="1057" customFormat="false" ht="15" hidden="false" customHeight="false" outlineLevel="0" collapsed="false">
      <c r="A1057" s="8" t="s">
        <v>1756</v>
      </c>
      <c r="B1057" s="8" t="n">
        <v>4413034</v>
      </c>
      <c r="C1057" s="8" t="s">
        <v>1371</v>
      </c>
      <c r="D1057" s="19" t="n">
        <v>45</v>
      </c>
      <c r="E1057" s="19" t="n">
        <v>873.964</v>
      </c>
      <c r="F1057" s="19" t="n">
        <v>48</v>
      </c>
      <c r="G1057" s="19" t="n">
        <v>913.831578947369</v>
      </c>
    </row>
    <row r="1058" customFormat="false" ht="15" hidden="false" customHeight="false" outlineLevel="0" collapsed="false">
      <c r="A1058" s="8" t="s">
        <v>1756</v>
      </c>
      <c r="B1058" s="8" t="n">
        <v>4413041</v>
      </c>
      <c r="C1058" s="8" t="s">
        <v>1372</v>
      </c>
      <c r="D1058" s="19" t="n">
        <v>201</v>
      </c>
      <c r="E1058" s="19" t="n">
        <v>7407.855</v>
      </c>
      <c r="F1058" s="19" t="n">
        <v>133.894736842105</v>
      </c>
      <c r="G1058" s="19" t="n">
        <v>4934.69052631579</v>
      </c>
    </row>
    <row r="1059" customFormat="false" ht="15" hidden="false" customHeight="false" outlineLevel="0" collapsed="false">
      <c r="A1059" s="8" t="s">
        <v>1756</v>
      </c>
      <c r="B1059" s="8" t="n">
        <v>4413042</v>
      </c>
      <c r="C1059" s="8" t="s">
        <v>1373</v>
      </c>
      <c r="D1059" s="19" t="n">
        <v>119</v>
      </c>
      <c r="E1059" s="19" t="n">
        <v>4385.745</v>
      </c>
      <c r="F1059" s="19" t="n">
        <v>89.6842105263158</v>
      </c>
      <c r="G1059" s="19" t="n">
        <v>3308.64505263158</v>
      </c>
    </row>
    <row r="1060" customFormat="false" ht="15" hidden="false" customHeight="false" outlineLevel="0" collapsed="false">
      <c r="A1060" s="8" t="s">
        <v>1756</v>
      </c>
      <c r="B1060" s="8" t="n">
        <v>4413043</v>
      </c>
      <c r="C1060" s="8" t="s">
        <v>1374</v>
      </c>
      <c r="D1060" s="19" t="n">
        <v>188</v>
      </c>
      <c r="E1060" s="19" t="n">
        <v>6936.657</v>
      </c>
      <c r="F1060" s="19" t="n">
        <v>147.789473684211</v>
      </c>
      <c r="G1060" s="19" t="n">
        <v>5466.66694736842</v>
      </c>
    </row>
    <row r="1061" customFormat="false" ht="15" hidden="false" customHeight="false" outlineLevel="0" collapsed="false">
      <c r="A1061" s="8" t="s">
        <v>1756</v>
      </c>
      <c r="B1061" s="8" t="n">
        <v>4413044</v>
      </c>
      <c r="C1061" s="8" t="s">
        <v>1375</v>
      </c>
      <c r="D1061" s="19" t="n">
        <v>122</v>
      </c>
      <c r="E1061" s="19" t="n">
        <v>4498.949</v>
      </c>
      <c r="F1061" s="19" t="n">
        <v>79.5789473684211</v>
      </c>
      <c r="G1061" s="19" t="n">
        <v>2946.10105263158</v>
      </c>
    </row>
    <row r="1062" customFormat="false" ht="15" hidden="false" customHeight="false" outlineLevel="0" collapsed="false">
      <c r="A1062" s="8" t="s">
        <v>1756</v>
      </c>
      <c r="B1062" s="8" t="n">
        <v>4413046</v>
      </c>
      <c r="C1062" s="8" t="s">
        <v>1377</v>
      </c>
      <c r="D1062" s="19" t="n">
        <v>59</v>
      </c>
      <c r="E1062" s="19" t="n">
        <v>2174.445</v>
      </c>
      <c r="F1062" s="19" t="n">
        <v>58.1052631578947</v>
      </c>
      <c r="G1062" s="19" t="n">
        <v>2141.46947368421</v>
      </c>
    </row>
    <row r="1063" customFormat="false" ht="15" hidden="false" customHeight="false" outlineLevel="0" collapsed="false">
      <c r="A1063" s="8" t="s">
        <v>1756</v>
      </c>
      <c r="B1063" s="8" t="n">
        <v>4413047</v>
      </c>
      <c r="C1063" s="8" t="s">
        <v>1378</v>
      </c>
      <c r="D1063" s="19" t="n">
        <v>164</v>
      </c>
      <c r="E1063" s="19" t="n">
        <v>4144.686</v>
      </c>
      <c r="F1063" s="19" t="n">
        <v>114.947368421053</v>
      </c>
      <c r="G1063" s="19" t="n">
        <v>2908.39831578947</v>
      </c>
    </row>
    <row r="1064" customFormat="false" ht="15" hidden="false" customHeight="false" outlineLevel="0" collapsed="false">
      <c r="A1064" s="8" t="s">
        <v>1756</v>
      </c>
      <c r="B1064" s="8" t="n">
        <v>4413048</v>
      </c>
      <c r="C1064" s="8" t="s">
        <v>1379</v>
      </c>
      <c r="D1064" s="19" t="n">
        <v>261</v>
      </c>
      <c r="E1064" s="19" t="n">
        <v>6604.052</v>
      </c>
      <c r="F1064" s="19" t="n">
        <v>205.894736842105</v>
      </c>
      <c r="G1064" s="19" t="n">
        <v>5203.32252631579</v>
      </c>
    </row>
    <row r="1065" customFormat="false" ht="15" hidden="false" customHeight="false" outlineLevel="0" collapsed="false">
      <c r="A1065" s="8" t="s">
        <v>1756</v>
      </c>
      <c r="B1065" s="8" t="n">
        <v>4413049</v>
      </c>
      <c r="C1065" s="8" t="s">
        <v>1380</v>
      </c>
      <c r="D1065" s="19" t="n">
        <v>251</v>
      </c>
      <c r="E1065" s="19" t="n">
        <v>6342.427</v>
      </c>
      <c r="F1065" s="19" t="n">
        <v>183.157894736842</v>
      </c>
      <c r="G1065" s="19" t="n">
        <v>4633.64336842105</v>
      </c>
    </row>
    <row r="1066" customFormat="false" ht="15" hidden="false" customHeight="false" outlineLevel="0" collapsed="false">
      <c r="A1066" s="8" t="s">
        <v>1756</v>
      </c>
      <c r="B1066" s="8" t="n">
        <v>4413050</v>
      </c>
      <c r="C1066" s="8" t="s">
        <v>1381</v>
      </c>
      <c r="D1066" s="19" t="n">
        <v>147</v>
      </c>
      <c r="E1066" s="19" t="n">
        <v>3718.806</v>
      </c>
      <c r="F1066" s="19" t="n">
        <v>149.052631578947</v>
      </c>
      <c r="G1066" s="19" t="n">
        <v>3767.51494736842</v>
      </c>
    </row>
    <row r="1067" customFormat="false" ht="15" hidden="false" customHeight="false" outlineLevel="0" collapsed="false">
      <c r="A1067" s="8" t="s">
        <v>1756</v>
      </c>
      <c r="B1067" s="8" t="n">
        <v>4413051</v>
      </c>
      <c r="C1067" s="8" t="s">
        <v>1382</v>
      </c>
      <c r="D1067" s="19" t="n">
        <v>77</v>
      </c>
      <c r="E1067" s="19" t="n">
        <v>1945.125</v>
      </c>
      <c r="F1067" s="19" t="n">
        <v>98.5263157894737</v>
      </c>
      <c r="G1067" s="19" t="n">
        <v>2488.84042105263</v>
      </c>
    </row>
    <row r="1068" customFormat="false" ht="15" hidden="false" customHeight="false" outlineLevel="0" collapsed="false">
      <c r="A1068" s="8" t="s">
        <v>1756</v>
      </c>
      <c r="B1068" s="8" t="n">
        <v>4413052</v>
      </c>
      <c r="C1068" s="8" t="s">
        <v>1383</v>
      </c>
      <c r="D1068" s="19" t="n">
        <v>180</v>
      </c>
      <c r="E1068" s="19" t="n">
        <v>4554.277</v>
      </c>
      <c r="F1068" s="19" t="n">
        <v>147.789473684211</v>
      </c>
      <c r="G1068" s="19" t="n">
        <v>3737.97347368421</v>
      </c>
    </row>
    <row r="1069" customFormat="false" ht="15" hidden="false" customHeight="false" outlineLevel="0" collapsed="false">
      <c r="A1069" s="8" t="s">
        <v>1756</v>
      </c>
      <c r="B1069" s="8" t="n">
        <v>4413053</v>
      </c>
      <c r="C1069" s="8" t="s">
        <v>1384</v>
      </c>
      <c r="D1069" s="19" t="n">
        <v>260</v>
      </c>
      <c r="E1069" s="19" t="n">
        <v>6573.385</v>
      </c>
      <c r="F1069" s="19" t="n">
        <v>260.21052631579</v>
      </c>
      <c r="G1069" s="19" t="n">
        <v>6589.24294736842</v>
      </c>
    </row>
    <row r="1070" customFormat="false" ht="15" hidden="false" customHeight="false" outlineLevel="0" collapsed="false">
      <c r="A1070" s="8" t="s">
        <v>1756</v>
      </c>
      <c r="B1070" s="8" t="n">
        <v>4413054</v>
      </c>
      <c r="C1070" s="8" t="s">
        <v>1385</v>
      </c>
      <c r="D1070" s="19" t="n">
        <v>327</v>
      </c>
      <c r="E1070" s="19" t="n">
        <v>8271.354</v>
      </c>
      <c r="F1070" s="19" t="n">
        <v>317.052631578947</v>
      </c>
      <c r="G1070" s="19" t="n">
        <v>8020.56757894737</v>
      </c>
    </row>
    <row r="1071" customFormat="false" ht="15" hidden="false" customHeight="false" outlineLevel="0" collapsed="false">
      <c r="A1071" s="8" t="s">
        <v>1756</v>
      </c>
      <c r="B1071" s="8" t="n">
        <v>4413055</v>
      </c>
      <c r="C1071" s="8" t="s">
        <v>1386</v>
      </c>
      <c r="D1071" s="19" t="n">
        <v>157</v>
      </c>
      <c r="E1071" s="19" t="n">
        <v>3975.153</v>
      </c>
      <c r="F1071" s="19" t="n">
        <v>198.315789473684</v>
      </c>
      <c r="G1071" s="19" t="n">
        <v>5016.648</v>
      </c>
    </row>
    <row r="1072" customFormat="false" ht="15" hidden="false" customHeight="false" outlineLevel="0" collapsed="false">
      <c r="A1072" s="8" t="s">
        <v>1756</v>
      </c>
      <c r="B1072" s="8" t="n">
        <v>4413056</v>
      </c>
      <c r="C1072" s="8" t="s">
        <v>1387</v>
      </c>
      <c r="D1072" s="19" t="n">
        <v>22</v>
      </c>
      <c r="E1072" s="19" t="n">
        <v>437.073</v>
      </c>
      <c r="F1072" s="19" t="n">
        <v>30.3157894736842</v>
      </c>
      <c r="G1072" s="19" t="n">
        <v>602.324210526316</v>
      </c>
    </row>
    <row r="1073" customFormat="false" ht="15" hidden="false" customHeight="false" outlineLevel="0" collapsed="false">
      <c r="A1073" s="8" t="s">
        <v>1756</v>
      </c>
      <c r="B1073" s="8" t="n">
        <v>4413058</v>
      </c>
      <c r="C1073" s="8" t="s">
        <v>1388</v>
      </c>
      <c r="D1073" s="19" t="n">
        <v>84</v>
      </c>
      <c r="E1073" s="19" t="n">
        <v>2207.023</v>
      </c>
      <c r="F1073" s="19" t="n">
        <v>59.3684210526316</v>
      </c>
      <c r="G1073" s="19" t="n">
        <v>1559.95073684211</v>
      </c>
    </row>
    <row r="1074" customFormat="false" ht="15" hidden="false" customHeight="false" outlineLevel="0" collapsed="false">
      <c r="A1074" s="8" t="s">
        <v>1756</v>
      </c>
      <c r="B1074" s="8" t="n">
        <v>4413059</v>
      </c>
      <c r="C1074" s="8" t="s">
        <v>1389</v>
      </c>
      <c r="D1074" s="19" t="n">
        <v>662</v>
      </c>
      <c r="E1074" s="19" t="n">
        <v>8151.143</v>
      </c>
      <c r="F1074" s="19" t="n">
        <v>660.631578947368</v>
      </c>
      <c r="G1074" s="19" t="n">
        <v>8150.57305263158</v>
      </c>
    </row>
    <row r="1075" customFormat="false" ht="15" hidden="false" customHeight="false" outlineLevel="0" collapsed="false">
      <c r="A1075" s="8" t="s">
        <v>1756</v>
      </c>
      <c r="B1075" s="8" t="n">
        <v>4413060</v>
      </c>
      <c r="C1075" s="8" t="s">
        <v>1390</v>
      </c>
      <c r="D1075" s="19" t="n">
        <v>336</v>
      </c>
      <c r="E1075" s="19" t="n">
        <v>4139.044</v>
      </c>
      <c r="F1075" s="19" t="n">
        <v>274.105263157895</v>
      </c>
      <c r="G1075" s="19" t="n">
        <v>3383.70568421053</v>
      </c>
    </row>
    <row r="1076" customFormat="false" ht="15" hidden="false" customHeight="false" outlineLevel="0" collapsed="false">
      <c r="A1076" s="8" t="s">
        <v>1756</v>
      </c>
      <c r="B1076" s="8" t="n">
        <v>4413061</v>
      </c>
      <c r="C1076" s="8" t="s">
        <v>1391</v>
      </c>
      <c r="D1076" s="19" t="n">
        <v>150</v>
      </c>
      <c r="E1076" s="19" t="n">
        <v>2702.791</v>
      </c>
      <c r="F1076" s="19" t="n">
        <v>31.5789473684211</v>
      </c>
      <c r="G1076" s="19" t="n">
        <v>567.380210526316</v>
      </c>
    </row>
    <row r="1077" customFormat="false" ht="15" hidden="false" customHeight="false" outlineLevel="0" collapsed="false">
      <c r="A1077" s="8" t="s">
        <v>1756</v>
      </c>
      <c r="B1077" s="8" t="n">
        <v>4413063</v>
      </c>
      <c r="C1077" s="8" t="s">
        <v>1392</v>
      </c>
      <c r="D1077" s="19" t="n">
        <v>88</v>
      </c>
      <c r="E1077" s="19" t="n">
        <v>1045.681</v>
      </c>
      <c r="F1077" s="19" t="n">
        <v>84.6315789473684</v>
      </c>
      <c r="G1077" s="19" t="n">
        <v>1024.52589473684</v>
      </c>
    </row>
    <row r="1078" customFormat="false" ht="15" hidden="false" customHeight="false" outlineLevel="0" collapsed="false">
      <c r="A1078" s="8" t="s">
        <v>1756</v>
      </c>
      <c r="B1078" s="8" t="n">
        <v>4413066</v>
      </c>
      <c r="C1078" s="8" t="s">
        <v>1393</v>
      </c>
      <c r="D1078" s="19" t="n">
        <v>35</v>
      </c>
      <c r="E1078" s="19" t="n">
        <v>598.962</v>
      </c>
      <c r="F1078" s="19" t="n">
        <v>32.8421052631579</v>
      </c>
      <c r="G1078" s="19" t="n">
        <v>532.206315789474</v>
      </c>
    </row>
    <row r="1079" customFormat="false" ht="15" hidden="false" customHeight="false" outlineLevel="0" collapsed="false">
      <c r="A1079" s="8" t="s">
        <v>1756</v>
      </c>
      <c r="B1079" s="8" t="n">
        <v>4413071</v>
      </c>
      <c r="C1079" s="8" t="s">
        <v>1396</v>
      </c>
      <c r="D1079" s="19" t="n">
        <v>2</v>
      </c>
      <c r="E1079" s="19" t="n">
        <v>208.663</v>
      </c>
      <c r="F1079" s="19" t="n">
        <v>5.05263157894737</v>
      </c>
      <c r="G1079" s="19" t="n">
        <v>527.263578947368</v>
      </c>
    </row>
    <row r="1080" customFormat="false" ht="15" hidden="false" customHeight="false" outlineLevel="0" collapsed="false">
      <c r="A1080" s="8" t="s">
        <v>1756</v>
      </c>
      <c r="B1080" s="8" t="n">
        <v>4413072</v>
      </c>
      <c r="C1080" s="8" t="s">
        <v>1397</v>
      </c>
      <c r="D1080" s="19" t="n">
        <v>4</v>
      </c>
      <c r="E1080" s="19" t="n">
        <v>417.417</v>
      </c>
      <c r="F1080" s="19" t="n">
        <v>1.26315789473684</v>
      </c>
      <c r="G1080" s="19" t="n">
        <v>131.844631578947</v>
      </c>
    </row>
    <row r="1081" customFormat="false" ht="15" hidden="false" customHeight="false" outlineLevel="0" collapsed="false">
      <c r="A1081" s="8" t="s">
        <v>1756</v>
      </c>
      <c r="B1081" s="8" t="n">
        <v>4413073</v>
      </c>
      <c r="C1081" s="8" t="s">
        <v>1398</v>
      </c>
      <c r="D1081" s="19" t="n">
        <v>6</v>
      </c>
      <c r="E1081" s="19" t="n">
        <v>626.08</v>
      </c>
      <c r="F1081" s="19" t="n">
        <v>0</v>
      </c>
      <c r="G1081" s="19" t="n">
        <v>-124.258105263158</v>
      </c>
    </row>
    <row r="1082" customFormat="false" ht="15" hidden="false" customHeight="false" outlineLevel="0" collapsed="false">
      <c r="A1082" s="8" t="s">
        <v>1756</v>
      </c>
      <c r="B1082" s="8" t="n">
        <v>4413074</v>
      </c>
      <c r="C1082" s="8" t="s">
        <v>1399</v>
      </c>
      <c r="D1082" s="19" t="n">
        <v>6</v>
      </c>
      <c r="E1082" s="19" t="n">
        <v>626.08</v>
      </c>
      <c r="F1082" s="19" t="n">
        <v>2.52631578947368</v>
      </c>
      <c r="G1082" s="19" t="n">
        <v>263.574315789474</v>
      </c>
    </row>
    <row r="1083" customFormat="false" ht="15" hidden="false" customHeight="false" outlineLevel="0" collapsed="false">
      <c r="A1083" s="8" t="s">
        <v>1756</v>
      </c>
      <c r="B1083" s="8" t="n">
        <v>4413076</v>
      </c>
      <c r="C1083" s="8" t="s">
        <v>1400</v>
      </c>
      <c r="D1083" s="19" t="n">
        <v>5</v>
      </c>
      <c r="E1083" s="19" t="n">
        <v>571.935</v>
      </c>
      <c r="F1083" s="19" t="n">
        <v>-1.26315789473684</v>
      </c>
      <c r="G1083" s="19" t="n">
        <v>-208.284631578947</v>
      </c>
    </row>
    <row r="1084" customFormat="false" ht="15" hidden="false" customHeight="false" outlineLevel="0" collapsed="false">
      <c r="A1084" s="8" t="s">
        <v>1756</v>
      </c>
      <c r="B1084" s="8" t="n">
        <v>4413077</v>
      </c>
      <c r="C1084" s="8" t="s">
        <v>1401</v>
      </c>
      <c r="D1084" s="19" t="n">
        <v>0</v>
      </c>
      <c r="E1084" s="19" t="n">
        <v>0</v>
      </c>
      <c r="F1084" s="19" t="n">
        <v>-2.52631578947368</v>
      </c>
      <c r="G1084" s="19" t="n">
        <v>-294.150315789474</v>
      </c>
    </row>
    <row r="1085" customFormat="false" ht="15" hidden="false" customHeight="false" outlineLevel="0" collapsed="false">
      <c r="A1085" s="8" t="s">
        <v>1756</v>
      </c>
      <c r="B1085" s="8" t="n">
        <v>4413078</v>
      </c>
      <c r="C1085" s="8" t="s">
        <v>1770</v>
      </c>
      <c r="D1085" s="19" t="n">
        <v>1</v>
      </c>
      <c r="E1085" s="19" t="n">
        <v>114.387</v>
      </c>
      <c r="F1085" s="19" t="n">
        <v>0</v>
      </c>
      <c r="G1085" s="19" t="n">
        <v>0</v>
      </c>
    </row>
    <row r="1086" customFormat="false" ht="15" hidden="false" customHeight="false" outlineLevel="0" collapsed="false">
      <c r="A1086" s="8" t="s">
        <v>1756</v>
      </c>
      <c r="B1086" s="8" t="n">
        <v>4413079</v>
      </c>
      <c r="C1086" s="8" t="s">
        <v>1402</v>
      </c>
      <c r="D1086" s="19" t="n">
        <v>3</v>
      </c>
      <c r="E1086" s="19" t="n">
        <v>343.161</v>
      </c>
      <c r="F1086" s="19" t="n">
        <v>0</v>
      </c>
      <c r="G1086" s="19" t="n">
        <v>0</v>
      </c>
    </row>
    <row r="1087" customFormat="false" ht="15" hidden="false" customHeight="false" outlineLevel="0" collapsed="false">
      <c r="A1087" s="8" t="s">
        <v>1756</v>
      </c>
      <c r="B1087" s="8" t="n">
        <v>4413087</v>
      </c>
      <c r="C1087" s="8" t="s">
        <v>1403</v>
      </c>
      <c r="D1087" s="19" t="n">
        <v>1</v>
      </c>
      <c r="E1087" s="19" t="n">
        <v>148.512</v>
      </c>
      <c r="F1087" s="19" t="n">
        <v>0</v>
      </c>
      <c r="G1087" s="19" t="n">
        <v>0</v>
      </c>
    </row>
    <row r="1088" customFormat="false" ht="15" hidden="false" customHeight="false" outlineLevel="0" collapsed="false">
      <c r="A1088" s="8" t="s">
        <v>1756</v>
      </c>
      <c r="B1088" s="8" t="n">
        <v>4413088</v>
      </c>
      <c r="C1088" s="8" t="s">
        <v>1404</v>
      </c>
      <c r="D1088" s="19" t="n">
        <v>2</v>
      </c>
      <c r="E1088" s="19" t="n">
        <v>297.024</v>
      </c>
      <c r="F1088" s="19" t="n">
        <v>0</v>
      </c>
      <c r="G1088" s="19" t="n">
        <v>0</v>
      </c>
    </row>
    <row r="1089" customFormat="false" ht="15" hidden="false" customHeight="false" outlineLevel="0" collapsed="false">
      <c r="A1089" s="8" t="s">
        <v>1756</v>
      </c>
      <c r="B1089" s="8" t="n">
        <v>4413092</v>
      </c>
      <c r="C1089" s="8" t="s">
        <v>1408</v>
      </c>
      <c r="D1089" s="19" t="n">
        <v>229</v>
      </c>
      <c r="E1089" s="19" t="n">
        <v>5792.059</v>
      </c>
      <c r="F1089" s="19" t="n">
        <v>179.368421052632</v>
      </c>
      <c r="G1089" s="19" t="n">
        <v>4544.67410526316</v>
      </c>
    </row>
    <row r="1090" customFormat="false" ht="15" hidden="false" customHeight="false" outlineLevel="0" collapsed="false">
      <c r="A1090" s="8" t="s">
        <v>1756</v>
      </c>
      <c r="B1090" s="8" t="n">
        <v>4413093</v>
      </c>
      <c r="C1090" s="8" t="s">
        <v>1409</v>
      </c>
      <c r="D1090" s="19" t="n">
        <v>223</v>
      </c>
      <c r="E1090" s="19" t="n">
        <v>5642.273</v>
      </c>
      <c r="F1090" s="19" t="n">
        <v>190.736842105263</v>
      </c>
      <c r="G1090" s="19" t="n">
        <v>4820.54778947368</v>
      </c>
    </row>
    <row r="1091" customFormat="false" ht="15" hidden="false" customHeight="false" outlineLevel="0" collapsed="false">
      <c r="A1091" s="8" t="s">
        <v>1756</v>
      </c>
      <c r="B1091" s="8" t="n">
        <v>4413094</v>
      </c>
      <c r="C1091" s="8" t="s">
        <v>1410</v>
      </c>
      <c r="D1091" s="19" t="n">
        <v>114</v>
      </c>
      <c r="E1091" s="19" t="n">
        <v>2879.786</v>
      </c>
      <c r="F1091" s="19" t="n">
        <v>75.7894736842105</v>
      </c>
      <c r="G1091" s="19" t="n">
        <v>1921.69010526316</v>
      </c>
    </row>
    <row r="1092" customFormat="false" ht="15" hidden="false" customHeight="false" outlineLevel="0" collapsed="false">
      <c r="A1092" s="8" t="s">
        <v>1756</v>
      </c>
      <c r="B1092" s="8" t="n">
        <v>4413095</v>
      </c>
      <c r="C1092" s="8" t="s">
        <v>1411</v>
      </c>
      <c r="D1092" s="19" t="n">
        <v>147</v>
      </c>
      <c r="E1092" s="19" t="n">
        <v>3731.455</v>
      </c>
      <c r="F1092" s="19" t="n">
        <v>108.631578947368</v>
      </c>
      <c r="G1092" s="19" t="n">
        <v>2751.03536842105</v>
      </c>
    </row>
    <row r="1093" customFormat="false" ht="15" hidden="false" customHeight="false" outlineLevel="0" collapsed="false">
      <c r="A1093" s="8" t="s">
        <v>1756</v>
      </c>
      <c r="B1093" s="8" t="n">
        <v>4413096</v>
      </c>
      <c r="C1093" s="8" t="s">
        <v>1412</v>
      </c>
      <c r="D1093" s="19" t="n">
        <v>94</v>
      </c>
      <c r="E1093" s="19" t="n">
        <v>2374.645</v>
      </c>
      <c r="F1093" s="19" t="n">
        <v>101.052631578947</v>
      </c>
      <c r="G1093" s="19" t="n">
        <v>2557.23410526316</v>
      </c>
    </row>
    <row r="1094" customFormat="false" ht="15" hidden="false" customHeight="false" outlineLevel="0" collapsed="false">
      <c r="A1094" s="8" t="s">
        <v>1756</v>
      </c>
      <c r="B1094" s="8" t="n">
        <v>4413097</v>
      </c>
      <c r="C1094" s="8" t="s">
        <v>1413</v>
      </c>
      <c r="D1094" s="19" t="n">
        <v>154</v>
      </c>
      <c r="E1094" s="19" t="n">
        <v>3893.981</v>
      </c>
      <c r="F1094" s="19" t="n">
        <v>120</v>
      </c>
      <c r="G1094" s="19" t="n">
        <v>3035.98989473684</v>
      </c>
    </row>
    <row r="1095" customFormat="false" ht="15" hidden="false" customHeight="false" outlineLevel="0" collapsed="false">
      <c r="A1095" s="8" t="s">
        <v>1756</v>
      </c>
      <c r="B1095" s="8" t="n">
        <v>4413098</v>
      </c>
      <c r="C1095" s="8" t="s">
        <v>1414</v>
      </c>
      <c r="D1095" s="19" t="n">
        <v>320</v>
      </c>
      <c r="E1095" s="19" t="n">
        <v>8107.008</v>
      </c>
      <c r="F1095" s="19" t="n">
        <v>257.684210526316</v>
      </c>
      <c r="G1095" s="19" t="n">
        <v>6518.55031578947</v>
      </c>
    </row>
    <row r="1096" customFormat="false" ht="15" hidden="false" customHeight="false" outlineLevel="0" collapsed="false">
      <c r="A1096" s="8" t="s">
        <v>1756</v>
      </c>
      <c r="B1096" s="8" t="n">
        <v>4413099</v>
      </c>
      <c r="C1096" s="8" t="s">
        <v>1415</v>
      </c>
      <c r="D1096" s="19" t="n">
        <v>287</v>
      </c>
      <c r="E1096" s="19" t="n">
        <v>7264.53</v>
      </c>
      <c r="F1096" s="19" t="n">
        <v>272.842105263158</v>
      </c>
      <c r="G1096" s="19" t="n">
        <v>6901.55494736842</v>
      </c>
    </row>
    <row r="1097" customFormat="false" ht="15" hidden="false" customHeight="false" outlineLevel="0" collapsed="false">
      <c r="A1097" s="8" t="s">
        <v>1756</v>
      </c>
      <c r="B1097" s="8" t="n">
        <v>4413100</v>
      </c>
      <c r="C1097" s="8" t="s">
        <v>1416</v>
      </c>
      <c r="D1097" s="19" t="n">
        <v>272</v>
      </c>
      <c r="E1097" s="19" t="n">
        <v>6887.335</v>
      </c>
      <c r="F1097" s="19" t="n">
        <v>202.105263157895</v>
      </c>
      <c r="G1097" s="19" t="n">
        <v>5110.10021052632</v>
      </c>
    </row>
    <row r="1098" customFormat="false" ht="15" hidden="false" customHeight="false" outlineLevel="0" collapsed="false">
      <c r="A1098" s="8" t="s">
        <v>1756</v>
      </c>
      <c r="B1098" s="8" t="n">
        <v>4413101</v>
      </c>
      <c r="C1098" s="8" t="s">
        <v>1417</v>
      </c>
      <c r="D1098" s="19" t="n">
        <v>86</v>
      </c>
      <c r="E1098" s="19" t="n">
        <v>2623.166</v>
      </c>
      <c r="F1098" s="19" t="n">
        <v>74.5263157894737</v>
      </c>
      <c r="G1098" s="19" t="n">
        <v>2274.00378947368</v>
      </c>
    </row>
    <row r="1099" customFormat="false" ht="15" hidden="false" customHeight="false" outlineLevel="0" collapsed="false">
      <c r="A1099" s="8" t="s">
        <v>1756</v>
      </c>
      <c r="B1099" s="8" t="n">
        <v>4413102</v>
      </c>
      <c r="C1099" s="8" t="s">
        <v>1418</v>
      </c>
      <c r="D1099" s="19" t="n">
        <v>243</v>
      </c>
      <c r="E1099" s="19" t="n">
        <v>7418.775</v>
      </c>
      <c r="F1099" s="19" t="n">
        <v>275.368421052632</v>
      </c>
      <c r="G1099" s="19" t="n">
        <v>8400.35368421053</v>
      </c>
    </row>
    <row r="1100" customFormat="false" ht="15" hidden="false" customHeight="false" outlineLevel="0" collapsed="false">
      <c r="A1100" s="8" t="s">
        <v>1756</v>
      </c>
      <c r="B1100" s="8" t="n">
        <v>4413103</v>
      </c>
      <c r="C1100" s="8" t="s">
        <v>1419</v>
      </c>
      <c r="D1100" s="19" t="n">
        <v>205</v>
      </c>
      <c r="E1100" s="19" t="n">
        <v>6254.157</v>
      </c>
      <c r="F1100" s="19" t="n">
        <v>195.789473684211</v>
      </c>
      <c r="G1100" s="19" t="n">
        <v>5969.56168421053</v>
      </c>
    </row>
    <row r="1101" customFormat="false" ht="15" hidden="false" customHeight="false" outlineLevel="0" collapsed="false">
      <c r="A1101" s="8" t="s">
        <v>1756</v>
      </c>
      <c r="B1101" s="8" t="n">
        <v>4413104</v>
      </c>
      <c r="C1101" s="8" t="s">
        <v>1420</v>
      </c>
      <c r="D1101" s="19" t="n">
        <v>188</v>
      </c>
      <c r="E1101" s="19" t="n">
        <v>5747.014</v>
      </c>
      <c r="F1101" s="19" t="n">
        <v>180.631578947368</v>
      </c>
      <c r="G1101" s="19" t="n">
        <v>5518.50821052631</v>
      </c>
    </row>
    <row r="1102" customFormat="false" ht="15" hidden="false" customHeight="false" outlineLevel="0" collapsed="false">
      <c r="A1102" s="8" t="s">
        <v>1756</v>
      </c>
      <c r="B1102" s="8" t="n">
        <v>4413105</v>
      </c>
      <c r="C1102" s="8" t="s">
        <v>1421</v>
      </c>
      <c r="D1102" s="19" t="n">
        <v>131</v>
      </c>
      <c r="E1102" s="19" t="n">
        <v>4015.557</v>
      </c>
      <c r="F1102" s="19" t="n">
        <v>93.4736842105263</v>
      </c>
      <c r="G1102" s="19" t="n">
        <v>2848.74063157895</v>
      </c>
    </row>
    <row r="1103" customFormat="false" ht="15" hidden="false" customHeight="false" outlineLevel="0" collapsed="false">
      <c r="A1103" s="8" t="s">
        <v>1756</v>
      </c>
      <c r="B1103" s="8" t="n">
        <v>4413106</v>
      </c>
      <c r="C1103" s="8" t="s">
        <v>1422</v>
      </c>
      <c r="D1103" s="19" t="n">
        <v>3</v>
      </c>
      <c r="E1103" s="19" t="n">
        <v>142.87</v>
      </c>
      <c r="F1103" s="19" t="n">
        <v>0</v>
      </c>
      <c r="G1103" s="19" t="n">
        <v>0</v>
      </c>
    </row>
    <row r="1104" customFormat="false" ht="15" hidden="false" customHeight="false" outlineLevel="0" collapsed="false">
      <c r="A1104" s="8" t="s">
        <v>1756</v>
      </c>
      <c r="B1104" s="8" t="n">
        <v>4413107</v>
      </c>
      <c r="C1104" s="8" t="s">
        <v>1423</v>
      </c>
      <c r="D1104" s="19" t="n">
        <v>10</v>
      </c>
      <c r="E1104" s="19" t="n">
        <v>476.476</v>
      </c>
      <c r="F1104" s="19" t="n">
        <v>0</v>
      </c>
      <c r="G1104" s="19" t="n">
        <v>0</v>
      </c>
    </row>
    <row r="1105" customFormat="false" ht="15" hidden="false" customHeight="false" outlineLevel="0" collapsed="false">
      <c r="A1105" s="8" t="s">
        <v>1756</v>
      </c>
      <c r="B1105" s="8" t="n">
        <v>4413108</v>
      </c>
      <c r="C1105" s="8" t="s">
        <v>1424</v>
      </c>
      <c r="D1105" s="19" t="n">
        <v>17</v>
      </c>
      <c r="E1105" s="19" t="n">
        <v>809.991</v>
      </c>
      <c r="F1105" s="19" t="n">
        <v>0</v>
      </c>
      <c r="G1105" s="19" t="n">
        <v>0</v>
      </c>
    </row>
    <row r="1106" customFormat="false" ht="15" hidden="false" customHeight="false" outlineLevel="0" collapsed="false">
      <c r="A1106" s="8" t="s">
        <v>1756</v>
      </c>
      <c r="B1106" s="8" t="n">
        <v>4413109</v>
      </c>
      <c r="C1106" s="8" t="s">
        <v>1425</v>
      </c>
      <c r="D1106" s="19" t="n">
        <v>4</v>
      </c>
      <c r="E1106" s="19" t="n">
        <v>190.554</v>
      </c>
      <c r="F1106" s="19" t="n">
        <v>0</v>
      </c>
      <c r="G1106" s="19" t="n">
        <v>0</v>
      </c>
    </row>
    <row r="1107" customFormat="false" ht="15" hidden="false" customHeight="false" outlineLevel="0" collapsed="false">
      <c r="A1107" s="8" t="s">
        <v>1756</v>
      </c>
      <c r="B1107" s="8" t="n">
        <v>4413110</v>
      </c>
      <c r="C1107" s="8" t="s">
        <v>1426</v>
      </c>
      <c r="D1107" s="19" t="n">
        <v>9</v>
      </c>
      <c r="E1107" s="19" t="n">
        <v>428.792</v>
      </c>
      <c r="F1107" s="19" t="n">
        <v>0</v>
      </c>
      <c r="G1107" s="19" t="n">
        <v>0</v>
      </c>
    </row>
    <row r="1108" customFormat="false" ht="15" hidden="false" customHeight="false" outlineLevel="0" collapsed="false">
      <c r="A1108" s="8" t="s">
        <v>1756</v>
      </c>
      <c r="B1108" s="8" t="n">
        <v>4413112</v>
      </c>
      <c r="C1108" s="8" t="s">
        <v>1428</v>
      </c>
      <c r="D1108" s="19" t="n">
        <v>25</v>
      </c>
      <c r="E1108" s="19" t="n">
        <v>691.6</v>
      </c>
      <c r="F1108" s="19" t="n">
        <v>20.2105263157895</v>
      </c>
      <c r="G1108" s="19" t="n">
        <v>504.733894736842</v>
      </c>
    </row>
    <row r="1109" customFormat="false" ht="15" hidden="false" customHeight="false" outlineLevel="0" collapsed="false">
      <c r="A1109" s="8" t="s">
        <v>1756</v>
      </c>
      <c r="B1109" s="8" t="n">
        <v>4413113</v>
      </c>
      <c r="C1109" s="8" t="s">
        <v>1429</v>
      </c>
      <c r="D1109" s="19" t="n">
        <v>20</v>
      </c>
      <c r="E1109" s="19" t="n">
        <v>555.1</v>
      </c>
      <c r="F1109" s="19" t="n">
        <v>15.1578947368421</v>
      </c>
      <c r="G1109" s="19" t="n">
        <v>420.707368421053</v>
      </c>
    </row>
    <row r="1110" customFormat="false" ht="15" hidden="false" customHeight="false" outlineLevel="0" collapsed="false">
      <c r="A1110" s="8" t="s">
        <v>1756</v>
      </c>
      <c r="B1110" s="8" t="n">
        <v>4413114</v>
      </c>
      <c r="C1110" s="8" t="s">
        <v>1430</v>
      </c>
      <c r="D1110" s="19" t="n">
        <v>17</v>
      </c>
      <c r="E1110" s="19" t="n">
        <v>471.835</v>
      </c>
      <c r="F1110" s="19" t="n">
        <v>15.1578947368421</v>
      </c>
      <c r="G1110" s="19" t="n">
        <v>420.707368421053</v>
      </c>
    </row>
    <row r="1111" customFormat="false" ht="15" hidden="false" customHeight="false" outlineLevel="0" collapsed="false">
      <c r="A1111" s="8" t="s">
        <v>1756</v>
      </c>
      <c r="B1111" s="8" t="n">
        <v>4413117</v>
      </c>
      <c r="C1111" s="8" t="s">
        <v>1433</v>
      </c>
      <c r="D1111" s="19" t="n">
        <v>0</v>
      </c>
      <c r="E1111" s="19" t="n">
        <v>0</v>
      </c>
      <c r="F1111" s="19" t="n">
        <v>-1.26315789473684</v>
      </c>
      <c r="G1111" s="19" t="n">
        <v>-119.775157894737</v>
      </c>
    </row>
    <row r="1112" customFormat="false" ht="15" hidden="false" customHeight="false" outlineLevel="0" collapsed="false">
      <c r="A1112" s="8" t="s">
        <v>1756</v>
      </c>
      <c r="B1112" s="8" t="n">
        <v>4413126</v>
      </c>
      <c r="C1112" s="8" t="s">
        <v>1440</v>
      </c>
      <c r="D1112" s="19" t="n">
        <v>17</v>
      </c>
      <c r="E1112" s="19" t="n">
        <v>2183.636</v>
      </c>
      <c r="F1112" s="19" t="n">
        <v>10.1052631578947</v>
      </c>
      <c r="G1112" s="19" t="n">
        <v>1208.90147368421</v>
      </c>
    </row>
    <row r="1113" customFormat="false" ht="15" hidden="false" customHeight="false" outlineLevel="0" collapsed="false">
      <c r="A1113" s="8" t="s">
        <v>1756</v>
      </c>
      <c r="B1113" s="8" t="n">
        <v>4413127</v>
      </c>
      <c r="C1113" s="8" t="s">
        <v>1441</v>
      </c>
      <c r="D1113" s="19" t="n">
        <v>33</v>
      </c>
      <c r="E1113" s="19" t="n">
        <v>4238.78</v>
      </c>
      <c r="F1113" s="19" t="n">
        <v>53.0526315789474</v>
      </c>
      <c r="G1113" s="19" t="n">
        <v>6814.42484210526</v>
      </c>
    </row>
    <row r="1114" customFormat="false" ht="15" hidden="false" customHeight="false" outlineLevel="0" collapsed="false">
      <c r="A1114" s="8" t="s">
        <v>1756</v>
      </c>
      <c r="B1114" s="8" t="n">
        <v>4413128</v>
      </c>
      <c r="C1114" s="8" t="s">
        <v>1442</v>
      </c>
      <c r="D1114" s="19" t="n">
        <v>32</v>
      </c>
      <c r="E1114" s="19" t="n">
        <v>4110.288</v>
      </c>
      <c r="F1114" s="19" t="n">
        <v>46.7368421052632</v>
      </c>
      <c r="G1114" s="19" t="n">
        <v>6003.2412631579</v>
      </c>
    </row>
    <row r="1115" customFormat="false" ht="15" hidden="false" customHeight="false" outlineLevel="0" collapsed="false">
      <c r="A1115" s="8" t="s">
        <v>1756</v>
      </c>
      <c r="B1115" s="8" t="n">
        <v>4413129</v>
      </c>
      <c r="C1115" s="8" t="s">
        <v>1443</v>
      </c>
      <c r="D1115" s="19" t="n">
        <v>22</v>
      </c>
      <c r="E1115" s="19" t="n">
        <v>2825.823</v>
      </c>
      <c r="F1115" s="19" t="n">
        <v>18.9473684210526</v>
      </c>
      <c r="G1115" s="19" t="n">
        <v>2433.78063157895</v>
      </c>
    </row>
    <row r="1116" customFormat="false" ht="15" hidden="false" customHeight="false" outlineLevel="0" collapsed="false">
      <c r="A1116" s="8" t="s">
        <v>1756</v>
      </c>
      <c r="B1116" s="8" t="n">
        <v>4413130</v>
      </c>
      <c r="C1116" s="8" t="s">
        <v>1444</v>
      </c>
      <c r="D1116" s="19" t="n">
        <v>8</v>
      </c>
      <c r="E1116" s="19" t="n">
        <v>807.443</v>
      </c>
      <c r="F1116" s="19" t="n">
        <v>21.4736842105263</v>
      </c>
      <c r="G1116" s="19" t="n">
        <v>2758.16210526316</v>
      </c>
    </row>
    <row r="1117" customFormat="false" ht="15" hidden="false" customHeight="false" outlineLevel="0" collapsed="false">
      <c r="A1117" s="8" t="s">
        <v>1756</v>
      </c>
      <c r="B1117" s="8" t="n">
        <v>4413132</v>
      </c>
      <c r="C1117" s="8" t="s">
        <v>1446</v>
      </c>
      <c r="D1117" s="19" t="n">
        <v>3</v>
      </c>
      <c r="E1117" s="19" t="n">
        <v>420.238</v>
      </c>
      <c r="F1117" s="19" t="n">
        <v>5.05263157894737</v>
      </c>
      <c r="G1117" s="19" t="n">
        <v>707.730947368421</v>
      </c>
    </row>
    <row r="1118" customFormat="false" ht="15" hidden="false" customHeight="false" outlineLevel="0" collapsed="false">
      <c r="A1118" s="8" t="s">
        <v>1756</v>
      </c>
      <c r="B1118" s="8" t="n">
        <v>4413133</v>
      </c>
      <c r="C1118" s="8" t="s">
        <v>1447</v>
      </c>
      <c r="D1118" s="19" t="n">
        <v>5</v>
      </c>
      <c r="E1118" s="19" t="n">
        <v>802.802</v>
      </c>
      <c r="F1118" s="19" t="n">
        <v>2.52631578947368</v>
      </c>
      <c r="G1118" s="19" t="n">
        <v>405.649263157895</v>
      </c>
    </row>
    <row r="1119" customFormat="false" ht="15" hidden="false" customHeight="false" outlineLevel="0" collapsed="false">
      <c r="A1119" s="8" t="s">
        <v>1756</v>
      </c>
      <c r="B1119" s="8" t="n">
        <v>4413135</v>
      </c>
      <c r="C1119" s="8" t="s">
        <v>1449</v>
      </c>
      <c r="D1119" s="19" t="n">
        <v>319</v>
      </c>
      <c r="E1119" s="19" t="n">
        <v>15273.349</v>
      </c>
      <c r="F1119" s="19" t="n">
        <v>261.473684210526</v>
      </c>
      <c r="G1119" s="19" t="n">
        <v>12495.0088421053</v>
      </c>
    </row>
    <row r="1120" customFormat="false" ht="15" hidden="false" customHeight="false" outlineLevel="0" collapsed="false">
      <c r="A1120" s="8" t="s">
        <v>1756</v>
      </c>
      <c r="B1120" s="8" t="n">
        <v>4413136</v>
      </c>
      <c r="C1120" s="8" t="s">
        <v>1450</v>
      </c>
      <c r="D1120" s="19" t="n">
        <v>193</v>
      </c>
      <c r="E1120" s="19" t="n">
        <v>9187.997</v>
      </c>
      <c r="F1120" s="19" t="n">
        <v>156.631578947368</v>
      </c>
      <c r="G1120" s="19" t="n">
        <v>7506.06315789474</v>
      </c>
    </row>
    <row r="1121" customFormat="false" ht="15" hidden="false" customHeight="false" outlineLevel="0" collapsed="false">
      <c r="A1121" s="8" t="s">
        <v>1756</v>
      </c>
      <c r="B1121" s="8" t="n">
        <v>4413137</v>
      </c>
      <c r="C1121" s="8" t="s">
        <v>1451</v>
      </c>
      <c r="D1121" s="19" t="n">
        <v>119</v>
      </c>
      <c r="E1121" s="19" t="n">
        <v>5679.765</v>
      </c>
      <c r="F1121" s="19" t="n">
        <v>99.7894736842105</v>
      </c>
      <c r="G1121" s="19" t="n">
        <v>4765.94778947368</v>
      </c>
    </row>
    <row r="1122" customFormat="false" ht="15" hidden="false" customHeight="false" outlineLevel="0" collapsed="false">
      <c r="A1122" s="8" t="s">
        <v>1756</v>
      </c>
      <c r="B1122" s="8" t="n">
        <v>4413138</v>
      </c>
      <c r="C1122" s="8" t="s">
        <v>1452</v>
      </c>
      <c r="D1122" s="19" t="n">
        <v>158</v>
      </c>
      <c r="E1122" s="19" t="n">
        <v>7541.261</v>
      </c>
      <c r="F1122" s="19" t="n">
        <v>128.842105263158</v>
      </c>
      <c r="G1122" s="19" t="n">
        <v>6164.62736842105</v>
      </c>
    </row>
    <row r="1123" customFormat="false" ht="15" hidden="false" customHeight="false" outlineLevel="0" collapsed="false">
      <c r="A1123" s="8" t="s">
        <v>1756</v>
      </c>
      <c r="B1123" s="8" t="n">
        <v>4413139</v>
      </c>
      <c r="C1123" s="8" t="s">
        <v>1453</v>
      </c>
      <c r="D1123" s="19" t="n">
        <v>83</v>
      </c>
      <c r="E1123" s="19" t="n">
        <v>2107.56</v>
      </c>
      <c r="F1123" s="19" t="n">
        <v>102.315789473684</v>
      </c>
      <c r="G1123" s="19" t="n">
        <v>2587.00547368421</v>
      </c>
    </row>
    <row r="1124" customFormat="false" ht="15" hidden="false" customHeight="false" outlineLevel="0" collapsed="false">
      <c r="A1124" s="8" t="s">
        <v>1756</v>
      </c>
      <c r="B1124" s="8" t="n">
        <v>4413140</v>
      </c>
      <c r="C1124" s="8" t="s">
        <v>1454</v>
      </c>
      <c r="D1124" s="19" t="n">
        <v>145</v>
      </c>
      <c r="E1124" s="19" t="n">
        <v>3668.392</v>
      </c>
      <c r="F1124" s="19" t="n">
        <v>93.4736842105263</v>
      </c>
      <c r="G1124" s="19" t="n">
        <v>2361.24884210526</v>
      </c>
    </row>
    <row r="1125" customFormat="false" ht="15" hidden="false" customHeight="false" outlineLevel="0" collapsed="false">
      <c r="A1125" s="8" t="s">
        <v>1756</v>
      </c>
      <c r="B1125" s="8" t="n">
        <v>4413141</v>
      </c>
      <c r="C1125" s="8" t="s">
        <v>1455</v>
      </c>
      <c r="D1125" s="19" t="n">
        <v>72</v>
      </c>
      <c r="E1125" s="19" t="n">
        <v>1818.817</v>
      </c>
      <c r="F1125" s="19" t="n">
        <v>80.8421052631579</v>
      </c>
      <c r="G1125" s="19" t="n">
        <v>2044.45389473684</v>
      </c>
    </row>
    <row r="1126" customFormat="false" ht="15" hidden="false" customHeight="false" outlineLevel="0" collapsed="false">
      <c r="A1126" s="8" t="s">
        <v>1756</v>
      </c>
      <c r="B1126" s="8" t="n">
        <v>4413142</v>
      </c>
      <c r="C1126" s="8" t="s">
        <v>1456</v>
      </c>
      <c r="D1126" s="19" t="n">
        <v>34</v>
      </c>
      <c r="E1126" s="19" t="n">
        <v>860.678</v>
      </c>
      <c r="F1126" s="19" t="n">
        <v>60.6315789473684</v>
      </c>
      <c r="G1126" s="19" t="n">
        <v>1536.27157894737</v>
      </c>
    </row>
    <row r="1127" customFormat="false" ht="15" hidden="false" customHeight="false" outlineLevel="0" collapsed="false">
      <c r="A1127" s="8" t="s">
        <v>1756</v>
      </c>
      <c r="B1127" s="8" t="n">
        <v>4413149</v>
      </c>
      <c r="C1127" s="8" t="s">
        <v>1459</v>
      </c>
      <c r="D1127" s="19" t="n">
        <v>201</v>
      </c>
      <c r="E1127" s="19" t="n">
        <v>1986.894</v>
      </c>
      <c r="F1127" s="19" t="n">
        <v>198.315789473684</v>
      </c>
      <c r="G1127" s="19" t="n">
        <v>1974.336</v>
      </c>
    </row>
    <row r="1128" customFormat="false" ht="15" hidden="false" customHeight="false" outlineLevel="0" collapsed="false">
      <c r="A1128" s="8" t="s">
        <v>1756</v>
      </c>
      <c r="B1128" s="8" t="n">
        <v>4413150</v>
      </c>
      <c r="C1128" s="8" t="s">
        <v>1460</v>
      </c>
      <c r="D1128" s="19" t="n">
        <v>111</v>
      </c>
      <c r="E1128" s="19" t="n">
        <v>2695.147</v>
      </c>
      <c r="F1128" s="19" t="n">
        <v>58.1052631578947</v>
      </c>
      <c r="G1128" s="19" t="n">
        <v>1410.864</v>
      </c>
    </row>
    <row r="1129" customFormat="false" ht="15" hidden="false" customHeight="false" outlineLevel="0" collapsed="false">
      <c r="A1129" s="8" t="s">
        <v>1756</v>
      </c>
      <c r="B1129" s="8" t="n">
        <v>4413153</v>
      </c>
      <c r="C1129" s="8" t="s">
        <v>1461</v>
      </c>
      <c r="D1129" s="19" t="n">
        <v>3</v>
      </c>
      <c r="E1129" s="19" t="n">
        <v>190.918</v>
      </c>
      <c r="F1129" s="19" t="n">
        <v>2.52631578947368</v>
      </c>
      <c r="G1129" s="19" t="n">
        <v>97.7052631578948</v>
      </c>
    </row>
    <row r="1130" customFormat="false" ht="15" hidden="false" customHeight="false" outlineLevel="0" collapsed="false">
      <c r="A1130" s="8" t="s">
        <v>1756</v>
      </c>
      <c r="B1130" s="8" t="n">
        <v>4413154</v>
      </c>
      <c r="C1130" s="8" t="s">
        <v>1462</v>
      </c>
      <c r="D1130" s="19" t="n">
        <v>5</v>
      </c>
      <c r="E1130" s="19" t="n">
        <v>268.177</v>
      </c>
      <c r="F1130" s="19" t="n">
        <v>6.31578947368421</v>
      </c>
      <c r="G1130" s="19" t="n">
        <v>402.085894736842</v>
      </c>
    </row>
    <row r="1131" customFormat="false" ht="15" hidden="false" customHeight="false" outlineLevel="0" collapsed="false">
      <c r="A1131" s="8" t="s">
        <v>1756</v>
      </c>
      <c r="B1131" s="8" t="n">
        <v>4413155</v>
      </c>
      <c r="C1131" s="8" t="s">
        <v>1463</v>
      </c>
      <c r="D1131" s="19" t="n">
        <v>13</v>
      </c>
      <c r="E1131" s="19" t="n">
        <v>827.463</v>
      </c>
      <c r="F1131" s="19" t="n">
        <v>8.84210526315789</v>
      </c>
      <c r="G1131" s="19" t="n">
        <v>562.897263157895</v>
      </c>
    </row>
    <row r="1132" customFormat="false" ht="15" hidden="false" customHeight="false" outlineLevel="0" collapsed="false">
      <c r="A1132" s="8" t="s">
        <v>1756</v>
      </c>
      <c r="B1132" s="8" t="n">
        <v>4413156</v>
      </c>
      <c r="C1132" s="8" t="s">
        <v>1464</v>
      </c>
      <c r="D1132" s="19" t="n">
        <v>26</v>
      </c>
      <c r="E1132" s="19" t="n">
        <v>1655.017</v>
      </c>
      <c r="F1132" s="19" t="n">
        <v>7.57894736842105</v>
      </c>
      <c r="G1132" s="19" t="n">
        <v>482.434105263158</v>
      </c>
    </row>
    <row r="1133" customFormat="false" ht="15" hidden="false" customHeight="false" outlineLevel="0" collapsed="false">
      <c r="A1133" s="8" t="s">
        <v>1756</v>
      </c>
      <c r="B1133" s="8" t="n">
        <v>4413157</v>
      </c>
      <c r="C1133" s="8" t="s">
        <v>1465</v>
      </c>
      <c r="D1133" s="19" t="n">
        <v>21</v>
      </c>
      <c r="E1133" s="19" t="n">
        <v>1336.79</v>
      </c>
      <c r="F1133" s="19" t="n">
        <v>10.1052631578947</v>
      </c>
      <c r="G1133" s="19" t="n">
        <v>643.245473684211</v>
      </c>
    </row>
    <row r="1134" customFormat="false" ht="15" hidden="false" customHeight="false" outlineLevel="0" collapsed="false">
      <c r="A1134" s="8" t="s">
        <v>1756</v>
      </c>
      <c r="B1134" s="8" t="n">
        <v>4413158</v>
      </c>
      <c r="C1134" s="8" t="s">
        <v>1466</v>
      </c>
      <c r="D1134" s="19" t="n">
        <v>15</v>
      </c>
      <c r="E1134" s="19" t="n">
        <v>954.772</v>
      </c>
      <c r="F1134" s="19" t="n">
        <v>15.1578947368421</v>
      </c>
      <c r="G1134" s="19" t="n">
        <v>964.868210526316</v>
      </c>
    </row>
    <row r="1135" customFormat="false" ht="15" hidden="false" customHeight="false" outlineLevel="0" collapsed="false">
      <c r="A1135" s="8" t="s">
        <v>1756</v>
      </c>
      <c r="B1135" s="8" t="n">
        <v>4413160</v>
      </c>
      <c r="C1135" s="8" t="s">
        <v>1468</v>
      </c>
      <c r="D1135" s="19" t="n">
        <v>151</v>
      </c>
      <c r="E1135" s="19" t="n">
        <v>7874.958</v>
      </c>
      <c r="F1135" s="19" t="n">
        <v>180.631578947368</v>
      </c>
      <c r="G1135" s="19" t="n">
        <v>9420.28168421053</v>
      </c>
    </row>
    <row r="1136" customFormat="false" ht="15" hidden="false" customHeight="false" outlineLevel="0" collapsed="false">
      <c r="A1136" s="8" t="s">
        <v>1756</v>
      </c>
      <c r="B1136" s="8" t="n">
        <v>4413161</v>
      </c>
      <c r="C1136" s="8" t="s">
        <v>1469</v>
      </c>
      <c r="D1136" s="19" t="n">
        <v>152</v>
      </c>
      <c r="E1136" s="19" t="n">
        <v>7927.101</v>
      </c>
      <c r="F1136" s="19" t="n">
        <v>166.736842105263</v>
      </c>
      <c r="G1136" s="19" t="n">
        <v>8695.76842105263</v>
      </c>
    </row>
    <row r="1137" customFormat="false" ht="15" hidden="false" customHeight="false" outlineLevel="0" collapsed="false">
      <c r="A1137" s="8" t="s">
        <v>1756</v>
      </c>
      <c r="B1137" s="8" t="n">
        <v>4413162</v>
      </c>
      <c r="C1137" s="8" t="s">
        <v>1470</v>
      </c>
      <c r="D1137" s="19" t="n">
        <v>116</v>
      </c>
      <c r="E1137" s="19" t="n">
        <v>6049.589</v>
      </c>
      <c r="F1137" s="19" t="n">
        <v>138.947368421053</v>
      </c>
      <c r="G1137" s="19" t="n">
        <v>7246.39705263158</v>
      </c>
    </row>
    <row r="1138" customFormat="false" ht="15" hidden="false" customHeight="false" outlineLevel="0" collapsed="false">
      <c r="A1138" s="8" t="s">
        <v>1756</v>
      </c>
      <c r="B1138" s="8" t="n">
        <v>4413170</v>
      </c>
      <c r="C1138" s="8" t="s">
        <v>1474</v>
      </c>
      <c r="D1138" s="19" t="n">
        <v>3</v>
      </c>
      <c r="E1138" s="19" t="n">
        <v>240.786</v>
      </c>
      <c r="F1138" s="19" t="n">
        <v>0</v>
      </c>
      <c r="G1138" s="19" t="n">
        <v>0</v>
      </c>
    </row>
    <row r="1139" customFormat="false" ht="15" hidden="false" customHeight="false" outlineLevel="0" collapsed="false">
      <c r="A1139" s="8" t="s">
        <v>1756</v>
      </c>
      <c r="B1139" s="8" t="n">
        <v>4413171</v>
      </c>
      <c r="C1139" s="8" t="s">
        <v>1475</v>
      </c>
      <c r="D1139" s="19" t="n">
        <v>-1</v>
      </c>
      <c r="E1139" s="19" t="n">
        <v>-80.262</v>
      </c>
      <c r="F1139" s="19" t="n">
        <v>0</v>
      </c>
      <c r="G1139" s="19" t="n">
        <v>0</v>
      </c>
    </row>
    <row r="1140" customFormat="false" ht="15" hidden="false" customHeight="false" outlineLevel="0" collapsed="false">
      <c r="A1140" s="8" t="s">
        <v>1756</v>
      </c>
      <c r="B1140" s="8" t="n">
        <v>4413178</v>
      </c>
      <c r="C1140" s="8" t="s">
        <v>1482</v>
      </c>
      <c r="D1140" s="19" t="n">
        <v>-2</v>
      </c>
      <c r="E1140" s="19" t="n">
        <v>-176.631</v>
      </c>
      <c r="F1140" s="19" t="n">
        <v>0</v>
      </c>
      <c r="G1140" s="19" t="n">
        <v>0</v>
      </c>
    </row>
    <row r="1141" customFormat="false" ht="15" hidden="false" customHeight="false" outlineLevel="0" collapsed="false">
      <c r="A1141" s="8" t="s">
        <v>1756</v>
      </c>
      <c r="B1141" s="8" t="n">
        <v>4413180</v>
      </c>
      <c r="C1141" s="8" t="s">
        <v>1771</v>
      </c>
      <c r="D1141" s="19" t="n">
        <v>2</v>
      </c>
      <c r="E1141" s="19" t="n">
        <v>176.631</v>
      </c>
      <c r="F1141" s="19" t="n">
        <v>1.26315789473684</v>
      </c>
      <c r="G1141" s="19" t="n">
        <v>111.498947368421</v>
      </c>
    </row>
    <row r="1142" customFormat="false" ht="15" hidden="false" customHeight="false" outlineLevel="0" collapsed="false">
      <c r="A1142" s="8" t="s">
        <v>1756</v>
      </c>
      <c r="B1142" s="8" t="n">
        <v>4413182</v>
      </c>
      <c r="C1142" s="8" t="s">
        <v>1772</v>
      </c>
      <c r="D1142" s="19" t="n">
        <v>0</v>
      </c>
      <c r="E1142" s="19" t="n">
        <v>0</v>
      </c>
      <c r="F1142" s="19" t="n">
        <v>2.52631578947368</v>
      </c>
      <c r="G1142" s="19" t="n">
        <v>223.112842105263</v>
      </c>
    </row>
    <row r="1143" customFormat="false" ht="15" hidden="false" customHeight="false" outlineLevel="0" collapsed="false">
      <c r="A1143" s="8" t="s">
        <v>1756</v>
      </c>
      <c r="B1143" s="8" t="n">
        <v>4413183</v>
      </c>
      <c r="C1143" s="8" t="s">
        <v>1485</v>
      </c>
      <c r="D1143" s="19" t="n">
        <v>9</v>
      </c>
      <c r="E1143" s="19" t="n">
        <v>794.703</v>
      </c>
      <c r="F1143" s="19" t="n">
        <v>18.9473684210526</v>
      </c>
      <c r="G1143" s="19" t="n">
        <v>1673.05894736842</v>
      </c>
    </row>
    <row r="1144" customFormat="false" ht="15" hidden="false" customHeight="false" outlineLevel="0" collapsed="false">
      <c r="A1144" s="8" t="s">
        <v>1756</v>
      </c>
      <c r="B1144" s="8" t="n">
        <v>4413184</v>
      </c>
      <c r="C1144" s="8" t="s">
        <v>1486</v>
      </c>
      <c r="D1144" s="19" t="n">
        <v>14</v>
      </c>
      <c r="E1144" s="19" t="n">
        <v>1236.235</v>
      </c>
      <c r="F1144" s="19" t="n">
        <v>7.57894736842105</v>
      </c>
      <c r="G1144" s="19" t="n">
        <v>669.223578947368</v>
      </c>
    </row>
    <row r="1145" customFormat="false" ht="15" hidden="false" customHeight="false" outlineLevel="0" collapsed="false">
      <c r="A1145" s="8" t="s">
        <v>1756</v>
      </c>
      <c r="B1145" s="8" t="n">
        <v>4413185</v>
      </c>
      <c r="C1145" s="8" t="s">
        <v>1487</v>
      </c>
      <c r="D1145" s="19" t="n">
        <v>19</v>
      </c>
      <c r="E1145" s="19" t="n">
        <v>1677.585</v>
      </c>
      <c r="F1145" s="19" t="n">
        <v>11.3684210526316</v>
      </c>
      <c r="G1145" s="19" t="n">
        <v>1003.72042105263</v>
      </c>
    </row>
    <row r="1146" customFormat="false" ht="15" hidden="false" customHeight="false" outlineLevel="0" collapsed="false">
      <c r="A1146" s="8" t="s">
        <v>1756</v>
      </c>
      <c r="B1146" s="8" t="n">
        <v>4413195</v>
      </c>
      <c r="C1146" s="8" t="s">
        <v>1488</v>
      </c>
      <c r="D1146" s="19" t="n">
        <v>2</v>
      </c>
      <c r="E1146" s="19" t="n">
        <v>321.139</v>
      </c>
      <c r="F1146" s="19" t="n">
        <v>2.52631578947368</v>
      </c>
      <c r="G1146" s="19" t="n">
        <v>405.649263157895</v>
      </c>
    </row>
    <row r="1147" customFormat="false" ht="15" hidden="false" customHeight="false" outlineLevel="0" collapsed="false">
      <c r="A1147" s="8" t="s">
        <v>1756</v>
      </c>
      <c r="B1147" s="8" t="n">
        <v>4413196</v>
      </c>
      <c r="C1147" s="8" t="s">
        <v>1489</v>
      </c>
      <c r="D1147" s="19" t="n">
        <v>6</v>
      </c>
      <c r="E1147" s="19" t="n">
        <v>963.417</v>
      </c>
      <c r="F1147" s="19" t="n">
        <v>6.31578947368421</v>
      </c>
      <c r="G1147" s="19" t="n">
        <v>1014.06568421053</v>
      </c>
    </row>
    <row r="1148" customFormat="false" ht="15" hidden="false" customHeight="false" outlineLevel="0" collapsed="false">
      <c r="A1148" s="8" t="s">
        <v>1756</v>
      </c>
      <c r="B1148" s="8" t="n">
        <v>4413197</v>
      </c>
      <c r="C1148" s="8" t="s">
        <v>1490</v>
      </c>
      <c r="D1148" s="19" t="n">
        <v>13</v>
      </c>
      <c r="E1148" s="19" t="n">
        <v>2087.358</v>
      </c>
      <c r="F1148" s="19" t="n">
        <v>12.6315789473684</v>
      </c>
      <c r="G1148" s="19" t="n">
        <v>2028.13136842105</v>
      </c>
    </row>
    <row r="1149" customFormat="false" ht="15" hidden="false" customHeight="false" outlineLevel="0" collapsed="false">
      <c r="A1149" s="8" t="s">
        <v>1756</v>
      </c>
      <c r="B1149" s="8" t="n">
        <v>4413198</v>
      </c>
      <c r="C1149" s="8" t="s">
        <v>1491</v>
      </c>
      <c r="D1149" s="19" t="n">
        <v>8</v>
      </c>
      <c r="E1149" s="19" t="n">
        <v>1284.465</v>
      </c>
      <c r="F1149" s="19" t="n">
        <v>11.3684210526316</v>
      </c>
      <c r="G1149" s="19" t="n">
        <v>1825.36421052632</v>
      </c>
    </row>
    <row r="1150" customFormat="false" ht="15" hidden="false" customHeight="false" outlineLevel="0" collapsed="false">
      <c r="A1150" s="8" t="s">
        <v>1756</v>
      </c>
      <c r="B1150" s="8" t="n">
        <v>4413204</v>
      </c>
      <c r="C1150" s="8" t="s">
        <v>1492</v>
      </c>
      <c r="D1150" s="19" t="n">
        <v>4</v>
      </c>
      <c r="E1150" s="19" t="n">
        <v>642.278</v>
      </c>
      <c r="F1150" s="19" t="n">
        <v>3.78947368421053</v>
      </c>
      <c r="G1150" s="19" t="n">
        <v>608.416421052631</v>
      </c>
    </row>
    <row r="1151" customFormat="false" ht="15" hidden="false" customHeight="false" outlineLevel="0" collapsed="false">
      <c r="A1151" s="8" t="s">
        <v>1756</v>
      </c>
      <c r="B1151" s="8" t="n">
        <v>4413210</v>
      </c>
      <c r="C1151" s="8" t="s">
        <v>1493</v>
      </c>
      <c r="D1151" s="19" t="n">
        <v>-1</v>
      </c>
      <c r="E1151" s="19" t="n">
        <v>-80.262</v>
      </c>
      <c r="F1151" s="19" t="n">
        <v>0</v>
      </c>
      <c r="G1151" s="19" t="n">
        <v>0</v>
      </c>
    </row>
    <row r="1152" customFormat="false" ht="15" hidden="false" customHeight="false" outlineLevel="0" collapsed="false">
      <c r="A1152" s="8" t="s">
        <v>1756</v>
      </c>
      <c r="B1152" s="8" t="n">
        <v>4413212</v>
      </c>
      <c r="C1152" s="8" t="s">
        <v>1773</v>
      </c>
      <c r="D1152" s="19" t="n">
        <v>-3</v>
      </c>
      <c r="E1152" s="19" t="n">
        <v>-275.184</v>
      </c>
      <c r="F1152" s="19" t="n">
        <v>0</v>
      </c>
      <c r="G1152" s="19" t="n">
        <v>0</v>
      </c>
    </row>
    <row r="1153" customFormat="false" ht="15" hidden="false" customHeight="false" outlineLevel="0" collapsed="false">
      <c r="A1153" s="8" t="s">
        <v>1756</v>
      </c>
      <c r="B1153" s="8" t="n">
        <v>4413216</v>
      </c>
      <c r="C1153" s="8" t="s">
        <v>1774</v>
      </c>
      <c r="D1153" s="19" t="n">
        <v>-1</v>
      </c>
      <c r="E1153" s="19" t="n">
        <v>-63.518</v>
      </c>
      <c r="F1153" s="19" t="n">
        <v>0</v>
      </c>
      <c r="G1153" s="19" t="n">
        <v>0</v>
      </c>
    </row>
    <row r="1154" customFormat="false" ht="15" hidden="false" customHeight="false" outlineLevel="0" collapsed="false">
      <c r="A1154" s="8" t="s">
        <v>1756</v>
      </c>
      <c r="B1154" s="8" t="n">
        <v>4413217</v>
      </c>
      <c r="C1154" s="8" t="s">
        <v>1775</v>
      </c>
      <c r="D1154" s="19" t="n">
        <v>-4</v>
      </c>
      <c r="E1154" s="19" t="n">
        <v>-224.679</v>
      </c>
      <c r="F1154" s="19" t="n">
        <v>0</v>
      </c>
      <c r="G1154" s="19" t="n">
        <v>0</v>
      </c>
    </row>
    <row r="1155" customFormat="false" ht="15" hidden="false" customHeight="false" outlineLevel="0" collapsed="false">
      <c r="A1155" s="8" t="s">
        <v>1756</v>
      </c>
      <c r="B1155" s="8" t="n">
        <v>4413218</v>
      </c>
      <c r="C1155" s="8" t="s">
        <v>1776</v>
      </c>
      <c r="D1155" s="19" t="n">
        <v>-2</v>
      </c>
      <c r="E1155" s="19" t="n">
        <v>-119.665</v>
      </c>
      <c r="F1155" s="19" t="n">
        <v>0</v>
      </c>
      <c r="G1155" s="19" t="n">
        <v>0</v>
      </c>
    </row>
    <row r="1156" customFormat="false" ht="15" hidden="false" customHeight="false" outlineLevel="0" collapsed="false">
      <c r="A1156" s="8" t="s">
        <v>1756</v>
      </c>
      <c r="B1156" s="8" t="n">
        <v>4413276</v>
      </c>
      <c r="C1156" s="8" t="s">
        <v>1499</v>
      </c>
      <c r="D1156" s="19" t="n">
        <v>0</v>
      </c>
      <c r="E1156" s="19" t="n">
        <v>0</v>
      </c>
      <c r="F1156" s="19" t="n">
        <v>5.05263157894737</v>
      </c>
      <c r="G1156" s="19" t="n">
        <v>156.443368421053</v>
      </c>
    </row>
    <row r="1157" customFormat="false" ht="15" hidden="false" customHeight="false" outlineLevel="0" collapsed="false">
      <c r="A1157" s="8" t="s">
        <v>1756</v>
      </c>
      <c r="B1157" s="8" t="n">
        <v>4413277</v>
      </c>
      <c r="C1157" s="8" t="s">
        <v>1500</v>
      </c>
      <c r="D1157" s="19" t="n">
        <v>5</v>
      </c>
      <c r="E1157" s="19" t="n">
        <v>198.835</v>
      </c>
      <c r="F1157" s="19" t="n">
        <v>5.05263157894737</v>
      </c>
      <c r="G1157" s="19" t="n">
        <v>200.928</v>
      </c>
    </row>
    <row r="1158" customFormat="false" ht="15" hidden="false" customHeight="false" outlineLevel="0" collapsed="false">
      <c r="A1158" s="8" t="s">
        <v>1756</v>
      </c>
      <c r="B1158" s="8" t="n">
        <v>4413278</v>
      </c>
      <c r="C1158" s="8" t="s">
        <v>1501</v>
      </c>
      <c r="D1158" s="19" t="n">
        <v>-4</v>
      </c>
      <c r="E1158" s="19" t="n">
        <v>-229.502</v>
      </c>
      <c r="F1158" s="19" t="n">
        <v>0</v>
      </c>
      <c r="G1158" s="19" t="n">
        <v>0</v>
      </c>
    </row>
    <row r="1159" customFormat="false" ht="15" hidden="false" customHeight="false" outlineLevel="0" collapsed="false">
      <c r="A1159" s="8" t="s">
        <v>1756</v>
      </c>
      <c r="B1159" s="8" t="n">
        <v>4413279</v>
      </c>
      <c r="C1159" s="8" t="s">
        <v>1777</v>
      </c>
      <c r="D1159" s="19" t="n">
        <v>-1</v>
      </c>
      <c r="E1159" s="19" t="n">
        <v>-246.61</v>
      </c>
      <c r="F1159" s="19" t="n">
        <v>0</v>
      </c>
      <c r="G1159" s="19" t="n">
        <v>0</v>
      </c>
    </row>
    <row r="1160" customFormat="false" ht="15" hidden="false" customHeight="false" outlineLevel="0" collapsed="false">
      <c r="A1160" s="8" t="s">
        <v>1756</v>
      </c>
      <c r="B1160" s="8" t="n">
        <v>4413281</v>
      </c>
      <c r="C1160" s="8" t="s">
        <v>1778</v>
      </c>
      <c r="D1160" s="19" t="n">
        <v>-2</v>
      </c>
      <c r="E1160" s="19" t="n">
        <v>-358.085</v>
      </c>
      <c r="F1160" s="19" t="n">
        <v>0</v>
      </c>
      <c r="G1160" s="19" t="n">
        <v>0</v>
      </c>
    </row>
    <row r="1161" customFormat="false" ht="15" hidden="false" customHeight="false" outlineLevel="0" collapsed="false">
      <c r="A1161" s="8" t="s">
        <v>1756</v>
      </c>
      <c r="B1161" s="8" t="n">
        <v>4413283</v>
      </c>
      <c r="C1161" s="8" t="s">
        <v>1503</v>
      </c>
      <c r="D1161" s="19" t="n">
        <v>4</v>
      </c>
      <c r="E1161" s="19" t="n">
        <v>716.17</v>
      </c>
      <c r="F1161" s="19" t="n">
        <v>-3.78947368421053</v>
      </c>
      <c r="G1161" s="19" t="n">
        <v>-678.419368421053</v>
      </c>
    </row>
    <row r="1162" customFormat="false" ht="15" hidden="false" customHeight="false" outlineLevel="0" collapsed="false">
      <c r="A1162" s="8" t="s">
        <v>1756</v>
      </c>
      <c r="B1162" s="8" t="n">
        <v>4413285</v>
      </c>
      <c r="C1162" s="8" t="s">
        <v>1779</v>
      </c>
      <c r="D1162" s="19" t="n">
        <v>0</v>
      </c>
      <c r="E1162" s="19" t="n">
        <v>0</v>
      </c>
      <c r="F1162" s="19" t="n">
        <v>-1.26315789473684</v>
      </c>
      <c r="G1162" s="19" t="n">
        <v>-80.4631578947368</v>
      </c>
    </row>
    <row r="1163" customFormat="false" ht="15" hidden="false" customHeight="false" outlineLevel="0" collapsed="false">
      <c r="A1163" s="8" t="s">
        <v>1756</v>
      </c>
      <c r="B1163" s="8" t="n">
        <v>4413307</v>
      </c>
      <c r="C1163" s="8" t="s">
        <v>1507</v>
      </c>
      <c r="D1163" s="19" t="n">
        <v>79</v>
      </c>
      <c r="E1163" s="19" t="n">
        <v>2079.805</v>
      </c>
      <c r="F1163" s="19" t="n">
        <v>75.7894736842105</v>
      </c>
      <c r="G1163" s="19" t="n">
        <v>1988.35957894737</v>
      </c>
    </row>
    <row r="1164" customFormat="false" ht="15" hidden="false" customHeight="false" outlineLevel="0" collapsed="false">
      <c r="A1164" s="8" t="s">
        <v>1756</v>
      </c>
      <c r="B1164" s="8" t="n">
        <v>4413328</v>
      </c>
      <c r="C1164" s="8" t="s">
        <v>1510</v>
      </c>
      <c r="D1164" s="19" t="n">
        <v>3</v>
      </c>
      <c r="E1164" s="19" t="n">
        <v>245.973</v>
      </c>
      <c r="F1164" s="19" t="n">
        <v>27.7894736842105</v>
      </c>
      <c r="G1164" s="19" t="n">
        <v>2278.94652631579</v>
      </c>
    </row>
    <row r="1165" customFormat="false" ht="15" hidden="false" customHeight="false" outlineLevel="0" collapsed="false">
      <c r="A1165" s="8" t="s">
        <v>1756</v>
      </c>
      <c r="B1165" s="8" t="n">
        <v>4413340</v>
      </c>
      <c r="C1165" s="8" t="s">
        <v>1520</v>
      </c>
      <c r="D1165" s="19" t="n">
        <v>28</v>
      </c>
      <c r="E1165" s="19" t="n">
        <v>1113.476</v>
      </c>
      <c r="F1165" s="19" t="n">
        <v>10.1052631578947</v>
      </c>
      <c r="G1165" s="19" t="n">
        <v>401.856</v>
      </c>
    </row>
    <row r="1166" customFormat="false" ht="15" hidden="false" customHeight="false" outlineLevel="0" collapsed="false">
      <c r="A1166" s="8" t="s">
        <v>1756</v>
      </c>
      <c r="B1166" s="8" t="n">
        <v>4413348</v>
      </c>
      <c r="C1166" s="8" t="s">
        <v>1526</v>
      </c>
      <c r="D1166" s="19" t="n">
        <v>187</v>
      </c>
      <c r="E1166" s="19" t="n">
        <v>10984.064</v>
      </c>
      <c r="F1166" s="19" t="n">
        <v>179.368421052632</v>
      </c>
      <c r="G1166" s="19" t="n">
        <v>10712.4050526316</v>
      </c>
    </row>
    <row r="1167" customFormat="false" ht="15" hidden="false" customHeight="false" outlineLevel="0" collapsed="false">
      <c r="A1167" s="8" t="s">
        <v>1756</v>
      </c>
      <c r="B1167" s="8" t="n">
        <v>4413364</v>
      </c>
      <c r="C1167" s="8" t="s">
        <v>1527</v>
      </c>
      <c r="D1167" s="19" t="n">
        <v>121</v>
      </c>
      <c r="E1167" s="19" t="n">
        <v>3053.05</v>
      </c>
      <c r="F1167" s="19" t="n">
        <v>160.421052631579</v>
      </c>
      <c r="G1167" s="19" t="n">
        <v>4054.88336842105</v>
      </c>
    </row>
    <row r="1168" customFormat="false" ht="15" hidden="false" customHeight="false" outlineLevel="0" collapsed="false">
      <c r="A1168" s="8" t="s">
        <v>1756</v>
      </c>
      <c r="B1168" s="8" t="n">
        <v>4413365</v>
      </c>
      <c r="C1168" s="8" t="s">
        <v>1528</v>
      </c>
      <c r="D1168" s="19" t="n">
        <v>107</v>
      </c>
      <c r="E1168" s="19" t="n">
        <v>2703.064</v>
      </c>
      <c r="F1168" s="19" t="n">
        <v>96</v>
      </c>
      <c r="G1168" s="19" t="n">
        <v>2427.34357894737</v>
      </c>
    </row>
    <row r="1169" customFormat="false" ht="15" hidden="false" customHeight="false" outlineLevel="0" collapsed="false">
      <c r="A1169" s="8" t="s">
        <v>1756</v>
      </c>
      <c r="B1169" s="8" t="n">
        <v>4413366</v>
      </c>
      <c r="C1169" s="8" t="s">
        <v>1529</v>
      </c>
      <c r="D1169" s="19" t="n">
        <v>109</v>
      </c>
      <c r="E1169" s="19" t="n">
        <v>2751.749</v>
      </c>
      <c r="F1169" s="19" t="n">
        <v>111.157894736842</v>
      </c>
      <c r="G1169" s="19" t="n">
        <v>2810.34821052632</v>
      </c>
    </row>
    <row r="1170" customFormat="false" ht="15" hidden="false" customHeight="false" outlineLevel="0" collapsed="false">
      <c r="A1170" s="8" t="s">
        <v>1756</v>
      </c>
      <c r="B1170" s="8" t="n">
        <v>4413367</v>
      </c>
      <c r="C1170" s="8" t="s">
        <v>1530</v>
      </c>
      <c r="D1170" s="19" t="n">
        <v>47</v>
      </c>
      <c r="E1170" s="19" t="n">
        <v>1185.457</v>
      </c>
      <c r="F1170" s="19" t="n">
        <v>54.3157894736842</v>
      </c>
      <c r="G1170" s="19" t="n">
        <v>1372.12673684211</v>
      </c>
    </row>
    <row r="1171" customFormat="false" ht="15" hidden="false" customHeight="false" outlineLevel="0" collapsed="false">
      <c r="A1171" s="8" t="s">
        <v>1756</v>
      </c>
      <c r="B1171" s="8" t="n">
        <v>4413368</v>
      </c>
      <c r="C1171" s="8" t="s">
        <v>1531</v>
      </c>
      <c r="D1171" s="19" t="n">
        <v>44</v>
      </c>
      <c r="E1171" s="19" t="n">
        <v>1111.474</v>
      </c>
      <c r="F1171" s="19" t="n">
        <v>55.5789473684211</v>
      </c>
      <c r="G1171" s="19" t="n">
        <v>1404.08210526316</v>
      </c>
    </row>
    <row r="1172" customFormat="false" ht="15" hidden="false" customHeight="false" outlineLevel="0" collapsed="false">
      <c r="A1172" s="8" t="s">
        <v>1756</v>
      </c>
      <c r="B1172" s="8" t="n">
        <v>4413370</v>
      </c>
      <c r="C1172" s="8" t="s">
        <v>1533</v>
      </c>
      <c r="D1172" s="19" t="n">
        <v>142</v>
      </c>
      <c r="E1172" s="19" t="n">
        <v>4847.388</v>
      </c>
      <c r="F1172" s="19" t="n">
        <v>88.421052631579</v>
      </c>
      <c r="G1172" s="19" t="n">
        <v>3009.32210526316</v>
      </c>
    </row>
    <row r="1173" customFormat="false" ht="15" hidden="false" customHeight="false" outlineLevel="0" collapsed="false">
      <c r="A1173" s="8" t="s">
        <v>1756</v>
      </c>
      <c r="B1173" s="8" t="n">
        <v>4413371</v>
      </c>
      <c r="C1173" s="8" t="s">
        <v>1534</v>
      </c>
      <c r="D1173" s="19" t="n">
        <v>17</v>
      </c>
      <c r="E1173" s="19" t="n">
        <v>425.698</v>
      </c>
      <c r="F1173" s="19" t="n">
        <v>40.4210526315789</v>
      </c>
      <c r="G1173" s="19" t="n">
        <v>1012.34147368421</v>
      </c>
    </row>
    <row r="1174" customFormat="false" ht="15" hidden="false" customHeight="false" outlineLevel="0" collapsed="false">
      <c r="A1174" s="8" t="s">
        <v>1756</v>
      </c>
      <c r="B1174" s="8" t="n">
        <v>4413372</v>
      </c>
      <c r="C1174" s="8" t="s">
        <v>1535</v>
      </c>
      <c r="D1174" s="19" t="n">
        <v>99</v>
      </c>
      <c r="E1174" s="19" t="n">
        <v>5807.62</v>
      </c>
      <c r="F1174" s="19" t="n">
        <v>103.578947368421</v>
      </c>
      <c r="G1174" s="19" t="n">
        <v>6118.76336842105</v>
      </c>
    </row>
    <row r="1175" customFormat="false" ht="15" hidden="false" customHeight="false" outlineLevel="0" collapsed="false">
      <c r="A1175" s="8" t="s">
        <v>1756</v>
      </c>
      <c r="B1175" s="8" t="n">
        <v>4413405</v>
      </c>
      <c r="C1175" s="8" t="s">
        <v>1543</v>
      </c>
      <c r="D1175" s="19" t="n">
        <v>-2</v>
      </c>
      <c r="E1175" s="19" t="n">
        <v>-128.401</v>
      </c>
      <c r="F1175" s="19" t="n">
        <v>0</v>
      </c>
      <c r="G1175" s="19" t="n">
        <v>0</v>
      </c>
    </row>
    <row r="1176" customFormat="false" ht="15" hidden="false" customHeight="false" outlineLevel="0" collapsed="false">
      <c r="A1176" s="8" t="s">
        <v>1756</v>
      </c>
      <c r="B1176" s="8" t="n">
        <v>4413406</v>
      </c>
      <c r="C1176" s="8" t="s">
        <v>1544</v>
      </c>
      <c r="D1176" s="19" t="n">
        <v>2</v>
      </c>
      <c r="E1176" s="19" t="n">
        <v>111.657</v>
      </c>
      <c r="F1176" s="19" t="n">
        <v>1.26315789473684</v>
      </c>
      <c r="G1176" s="19" t="n">
        <v>85.6357894736842</v>
      </c>
    </row>
    <row r="1177" customFormat="false" ht="15" hidden="false" customHeight="false" outlineLevel="0" collapsed="false">
      <c r="A1177" s="8" t="s">
        <v>1756</v>
      </c>
      <c r="B1177" s="8" t="n">
        <v>4413407</v>
      </c>
      <c r="C1177" s="8" t="s">
        <v>1545</v>
      </c>
      <c r="D1177" s="19" t="n">
        <v>4</v>
      </c>
      <c r="E1177" s="19" t="n">
        <v>223.223</v>
      </c>
      <c r="F1177" s="19" t="n">
        <v>2.52631578947368</v>
      </c>
      <c r="G1177" s="19" t="n">
        <v>171.271578947368</v>
      </c>
    </row>
    <row r="1178" customFormat="false" ht="15" hidden="false" customHeight="false" outlineLevel="0" collapsed="false">
      <c r="A1178" s="8" t="s">
        <v>1756</v>
      </c>
      <c r="B1178" s="8" t="n">
        <v>4413408</v>
      </c>
      <c r="C1178" s="8" t="s">
        <v>1546</v>
      </c>
      <c r="D1178" s="19" t="n">
        <v>6</v>
      </c>
      <c r="E1178" s="19" t="n">
        <v>382.746</v>
      </c>
      <c r="F1178" s="19" t="n">
        <v>3.78947368421053</v>
      </c>
      <c r="G1178" s="19" t="n">
        <v>256.907368421053</v>
      </c>
    </row>
    <row r="1179" customFormat="false" ht="15" hidden="false" customHeight="false" outlineLevel="0" collapsed="false">
      <c r="A1179" s="8" t="s">
        <v>1756</v>
      </c>
      <c r="B1179" s="8" t="n">
        <v>4413415</v>
      </c>
      <c r="C1179" s="8" t="s">
        <v>1547</v>
      </c>
      <c r="D1179" s="19" t="n">
        <v>2</v>
      </c>
      <c r="E1179" s="19" t="n">
        <v>232.96</v>
      </c>
      <c r="F1179" s="19" t="n">
        <v>0</v>
      </c>
      <c r="G1179" s="19" t="n">
        <v>0</v>
      </c>
    </row>
    <row r="1180" customFormat="false" ht="15" hidden="false" customHeight="false" outlineLevel="0" collapsed="false">
      <c r="A1180" s="8" t="s">
        <v>1756</v>
      </c>
      <c r="B1180" s="8" t="n">
        <v>4413416</v>
      </c>
      <c r="C1180" s="8" t="s">
        <v>1548</v>
      </c>
      <c r="D1180" s="19" t="n">
        <v>7</v>
      </c>
      <c r="E1180" s="19" t="n">
        <v>767.858</v>
      </c>
      <c r="F1180" s="19" t="n">
        <v>10.1052631578947</v>
      </c>
      <c r="G1180" s="19" t="n">
        <v>1248.32842105263</v>
      </c>
    </row>
    <row r="1181" customFormat="false" ht="15" hidden="false" customHeight="false" outlineLevel="0" collapsed="false">
      <c r="A1181" s="8" t="s">
        <v>1756</v>
      </c>
      <c r="B1181" s="8" t="n">
        <v>4413417</v>
      </c>
      <c r="C1181" s="8" t="s">
        <v>1549</v>
      </c>
      <c r="D1181" s="19" t="n">
        <v>9</v>
      </c>
      <c r="E1181" s="19" t="n">
        <v>1063.426</v>
      </c>
      <c r="F1181" s="19" t="n">
        <v>16.4210526315789</v>
      </c>
      <c r="G1181" s="19" t="n">
        <v>2028.59115789474</v>
      </c>
    </row>
    <row r="1182" customFormat="false" ht="15" hidden="false" customHeight="false" outlineLevel="0" collapsed="false">
      <c r="A1182" s="8" t="s">
        <v>1756</v>
      </c>
      <c r="B1182" s="8" t="n">
        <v>4413418</v>
      </c>
      <c r="C1182" s="8" t="s">
        <v>1550</v>
      </c>
      <c r="D1182" s="19" t="n">
        <v>-1</v>
      </c>
      <c r="E1182" s="19" t="n">
        <v>-171.99</v>
      </c>
      <c r="F1182" s="19" t="n">
        <v>0</v>
      </c>
      <c r="G1182" s="19" t="n">
        <v>0</v>
      </c>
    </row>
    <row r="1183" customFormat="false" ht="15" hidden="false" customHeight="false" outlineLevel="0" collapsed="false">
      <c r="A1183" s="8" t="s">
        <v>1756</v>
      </c>
      <c r="B1183" s="8" t="n">
        <v>4413419</v>
      </c>
      <c r="C1183" s="8" t="s">
        <v>1551</v>
      </c>
      <c r="D1183" s="19" t="n">
        <v>-4</v>
      </c>
      <c r="E1183" s="19" t="n">
        <v>-542.633</v>
      </c>
      <c r="F1183" s="19" t="n">
        <v>2.52631578947368</v>
      </c>
      <c r="G1183" s="19" t="n">
        <v>312.082105263158</v>
      </c>
    </row>
    <row r="1184" customFormat="false" ht="15" hidden="false" customHeight="false" outlineLevel="0" collapsed="false">
      <c r="A1184" s="8" t="s">
        <v>1756</v>
      </c>
      <c r="B1184" s="8" t="n">
        <v>4413421</v>
      </c>
      <c r="C1184" s="8" t="s">
        <v>1553</v>
      </c>
      <c r="D1184" s="19" t="n">
        <v>7</v>
      </c>
      <c r="E1184" s="19" t="n">
        <v>450.541</v>
      </c>
      <c r="F1184" s="19" t="n">
        <v>10.1052631578947</v>
      </c>
      <c r="G1184" s="19" t="n">
        <v>684.971368421053</v>
      </c>
    </row>
    <row r="1185" customFormat="false" ht="15" hidden="false" customHeight="false" outlineLevel="0" collapsed="false">
      <c r="A1185" s="8" t="s">
        <v>1756</v>
      </c>
      <c r="B1185" s="8" t="n">
        <v>4413422</v>
      </c>
      <c r="C1185" s="8" t="s">
        <v>1554</v>
      </c>
      <c r="D1185" s="19" t="n">
        <v>9</v>
      </c>
      <c r="E1185" s="19" t="n">
        <v>586.222</v>
      </c>
      <c r="F1185" s="19" t="n">
        <v>13.8947368421053</v>
      </c>
      <c r="G1185" s="19" t="n">
        <v>941.878736842105</v>
      </c>
    </row>
    <row r="1186" customFormat="false" ht="15" hidden="false" customHeight="false" outlineLevel="0" collapsed="false">
      <c r="A1186" s="8" t="s">
        <v>1756</v>
      </c>
      <c r="B1186" s="8" t="n">
        <v>4413423</v>
      </c>
      <c r="C1186" s="8" t="s">
        <v>1555</v>
      </c>
      <c r="D1186" s="19" t="n">
        <v>4</v>
      </c>
      <c r="E1186" s="19" t="n">
        <v>223.314</v>
      </c>
      <c r="F1186" s="19" t="n">
        <v>7.57894736842105</v>
      </c>
      <c r="G1186" s="19" t="n">
        <v>513.699789473684</v>
      </c>
    </row>
    <row r="1187" customFormat="false" ht="15" hidden="false" customHeight="false" outlineLevel="0" collapsed="false">
      <c r="A1187" s="8" t="s">
        <v>1756</v>
      </c>
      <c r="B1187" s="8" t="n">
        <v>4413425</v>
      </c>
      <c r="C1187" s="8" t="s">
        <v>1557</v>
      </c>
      <c r="D1187" s="19" t="n">
        <v>0</v>
      </c>
      <c r="E1187" s="19" t="n">
        <v>-23.933</v>
      </c>
      <c r="F1187" s="19" t="n">
        <v>11.3684210526316</v>
      </c>
      <c r="G1187" s="19" t="n">
        <v>770.722105263158</v>
      </c>
    </row>
    <row r="1188" customFormat="false" ht="15" hidden="false" customHeight="false" outlineLevel="0" collapsed="false">
      <c r="A1188" s="8" t="s">
        <v>1756</v>
      </c>
      <c r="B1188" s="8" t="n">
        <v>4413426</v>
      </c>
      <c r="C1188" s="8" t="s">
        <v>1558</v>
      </c>
      <c r="D1188" s="19" t="n">
        <v>-3</v>
      </c>
      <c r="E1188" s="19" t="n">
        <v>-251.251</v>
      </c>
      <c r="F1188" s="19" t="n">
        <v>5.05263157894737</v>
      </c>
      <c r="G1188" s="19" t="n">
        <v>342.543157894737</v>
      </c>
    </row>
    <row r="1189" customFormat="false" ht="15" hidden="false" customHeight="false" outlineLevel="0" collapsed="false">
      <c r="A1189" s="8" t="s">
        <v>1756</v>
      </c>
      <c r="B1189" s="8" t="n">
        <v>4413427</v>
      </c>
      <c r="C1189" s="8" t="s">
        <v>1559</v>
      </c>
      <c r="D1189" s="19" t="n">
        <v>-1</v>
      </c>
      <c r="E1189" s="19" t="n">
        <v>-115.661</v>
      </c>
      <c r="F1189" s="19" t="n">
        <v>7.57894736842105</v>
      </c>
      <c r="G1189" s="19" t="n">
        <v>513.814736842105</v>
      </c>
    </row>
    <row r="1190" customFormat="false" ht="15" hidden="false" customHeight="false" outlineLevel="0" collapsed="false">
      <c r="A1190" s="8" t="s">
        <v>1756</v>
      </c>
      <c r="B1190" s="8" t="n">
        <v>4413439</v>
      </c>
      <c r="C1190" s="8" t="s">
        <v>1561</v>
      </c>
      <c r="D1190" s="19" t="n">
        <v>5</v>
      </c>
      <c r="E1190" s="19" t="n">
        <v>489.489</v>
      </c>
      <c r="F1190" s="19" t="n">
        <v>22.7368421052632</v>
      </c>
      <c r="G1190" s="19" t="n">
        <v>2808.96884210526</v>
      </c>
    </row>
    <row r="1191" customFormat="false" ht="15" hidden="false" customHeight="false" outlineLevel="0" collapsed="false">
      <c r="A1191" s="8" t="s">
        <v>1756</v>
      </c>
      <c r="B1191" s="8" t="n">
        <v>4413440</v>
      </c>
      <c r="C1191" s="8" t="s">
        <v>1562</v>
      </c>
      <c r="D1191" s="19" t="n">
        <v>8</v>
      </c>
      <c r="E1191" s="19" t="n">
        <v>902.811</v>
      </c>
      <c r="F1191" s="19" t="n">
        <v>17.6842105263158</v>
      </c>
      <c r="G1191" s="19" t="n">
        <v>2184.68968421053</v>
      </c>
    </row>
    <row r="1192" customFormat="false" ht="15" hidden="false" customHeight="false" outlineLevel="0" collapsed="false">
      <c r="A1192" s="8" t="s">
        <v>1756</v>
      </c>
      <c r="B1192" s="8" t="n">
        <v>4413441</v>
      </c>
      <c r="C1192" s="8" t="s">
        <v>1563</v>
      </c>
      <c r="D1192" s="19" t="n">
        <v>1</v>
      </c>
      <c r="E1192" s="19" t="n">
        <v>123.487</v>
      </c>
      <c r="F1192" s="19" t="n">
        <v>17.6842105263158</v>
      </c>
      <c r="G1192" s="19" t="n">
        <v>2184.80463157895</v>
      </c>
    </row>
    <row r="1193" customFormat="false" ht="15" hidden="false" customHeight="false" outlineLevel="0" collapsed="false">
      <c r="A1193" s="8" t="s">
        <v>1756</v>
      </c>
      <c r="B1193" s="8" t="n">
        <v>4413442</v>
      </c>
      <c r="C1193" s="8" t="s">
        <v>1564</v>
      </c>
      <c r="D1193" s="19" t="n">
        <v>0</v>
      </c>
      <c r="E1193" s="19" t="n">
        <v>-85.54</v>
      </c>
      <c r="F1193" s="19" t="n">
        <v>11.3684210526316</v>
      </c>
      <c r="G1193" s="19" t="n">
        <v>1404.54189473684</v>
      </c>
    </row>
    <row r="1194" customFormat="false" ht="15" hidden="false" customHeight="false" outlineLevel="0" collapsed="false">
      <c r="A1194" s="8" t="s">
        <v>1756</v>
      </c>
      <c r="B1194" s="8" t="n">
        <v>4413444</v>
      </c>
      <c r="C1194" s="8" t="s">
        <v>1565</v>
      </c>
      <c r="D1194" s="19" t="n">
        <v>-1</v>
      </c>
      <c r="E1194" s="19" t="n">
        <v>-59.696</v>
      </c>
      <c r="F1194" s="19" t="n">
        <v>-1.26315789473684</v>
      </c>
      <c r="G1194" s="19" t="n">
        <v>-75.4054736842105</v>
      </c>
    </row>
    <row r="1195" customFormat="false" ht="15" hidden="false" customHeight="false" outlineLevel="0" collapsed="false">
      <c r="A1195" s="8" t="s">
        <v>1756</v>
      </c>
      <c r="B1195" s="8" t="n">
        <v>4413445</v>
      </c>
      <c r="C1195" s="8" t="s">
        <v>1566</v>
      </c>
      <c r="D1195" s="19" t="n">
        <v>3</v>
      </c>
      <c r="E1195" s="19" t="n">
        <v>179.27</v>
      </c>
      <c r="F1195" s="19" t="n">
        <v>3.78947368421053</v>
      </c>
      <c r="G1195" s="19" t="n">
        <v>226.331368421053</v>
      </c>
    </row>
    <row r="1196" customFormat="false" ht="15" hidden="false" customHeight="false" outlineLevel="0" collapsed="false">
      <c r="A1196" s="8" t="s">
        <v>1756</v>
      </c>
      <c r="B1196" s="8" t="n">
        <v>4413452</v>
      </c>
      <c r="C1196" s="8" t="s">
        <v>1570</v>
      </c>
      <c r="D1196" s="19" t="n">
        <v>28</v>
      </c>
      <c r="E1196" s="19" t="n">
        <v>1123.122</v>
      </c>
      <c r="F1196" s="19" t="n">
        <v>34.1052631578947</v>
      </c>
      <c r="G1196" s="19" t="n">
        <v>1368.10357894737</v>
      </c>
    </row>
    <row r="1197" customFormat="false" ht="15" hidden="false" customHeight="false" outlineLevel="0" collapsed="false">
      <c r="A1197" s="8" t="s">
        <v>1756</v>
      </c>
      <c r="B1197" s="8" t="n">
        <v>4413453</v>
      </c>
      <c r="C1197" s="8" t="s">
        <v>1571</v>
      </c>
      <c r="D1197" s="19" t="n">
        <v>66</v>
      </c>
      <c r="E1197" s="19" t="n">
        <v>4774.77</v>
      </c>
      <c r="F1197" s="19" t="n">
        <v>99.7894736842105</v>
      </c>
      <c r="G1197" s="19" t="n">
        <v>7219.26947368421</v>
      </c>
    </row>
    <row r="1198" customFormat="false" ht="15" hidden="false" customHeight="false" outlineLevel="0" collapsed="false">
      <c r="A1198" s="8" t="s">
        <v>1756</v>
      </c>
      <c r="B1198" s="8" t="n">
        <v>4413455</v>
      </c>
      <c r="C1198" s="8" t="s">
        <v>1572</v>
      </c>
      <c r="D1198" s="19" t="n">
        <v>15</v>
      </c>
      <c r="E1198" s="19" t="n">
        <v>661.934</v>
      </c>
      <c r="F1198" s="19" t="n">
        <v>20.2105263157895</v>
      </c>
      <c r="G1198" s="19" t="n">
        <v>891.876631578947</v>
      </c>
    </row>
    <row r="1199" customFormat="false" ht="15" hidden="false" customHeight="false" outlineLevel="0" collapsed="false">
      <c r="A1199" s="8" t="s">
        <v>1756</v>
      </c>
      <c r="B1199" s="8" t="n">
        <v>4413495</v>
      </c>
      <c r="C1199" s="8" t="s">
        <v>1581</v>
      </c>
      <c r="D1199" s="19" t="n">
        <v>44</v>
      </c>
      <c r="E1199" s="19" t="n">
        <v>1111.11</v>
      </c>
      <c r="F1199" s="19" t="n">
        <v>37.8947368421053</v>
      </c>
      <c r="G1199" s="19" t="n">
        <v>957.051789473684</v>
      </c>
    </row>
    <row r="1200" customFormat="false" ht="15" hidden="false" customHeight="false" outlineLevel="0" collapsed="false">
      <c r="A1200" s="8" t="s">
        <v>1756</v>
      </c>
      <c r="B1200" s="8" t="n">
        <v>4413496</v>
      </c>
      <c r="C1200" s="8" t="s">
        <v>1582</v>
      </c>
      <c r="D1200" s="19" t="n">
        <v>13</v>
      </c>
      <c r="E1200" s="19" t="n">
        <v>328.328</v>
      </c>
      <c r="F1200" s="19" t="n">
        <v>24</v>
      </c>
      <c r="G1200" s="19" t="n">
        <v>606.117473684211</v>
      </c>
    </row>
    <row r="1201" customFormat="false" ht="15" hidden="false" customHeight="false" outlineLevel="0" collapsed="false">
      <c r="A1201" s="8" t="s">
        <v>1756</v>
      </c>
      <c r="B1201" s="8" t="n">
        <v>4413497</v>
      </c>
      <c r="C1201" s="8" t="s">
        <v>1583</v>
      </c>
      <c r="D1201" s="19" t="n">
        <v>40</v>
      </c>
      <c r="E1201" s="19" t="n">
        <v>1010.191</v>
      </c>
      <c r="F1201" s="19" t="n">
        <v>26.5263157894737</v>
      </c>
      <c r="G1201" s="19" t="n">
        <v>669.913263157895</v>
      </c>
    </row>
    <row r="1202" customFormat="false" ht="15" hidden="false" customHeight="false" outlineLevel="0" collapsed="false">
      <c r="A1202" s="8" t="s">
        <v>1756</v>
      </c>
      <c r="B1202" s="8" t="n">
        <v>4413498</v>
      </c>
      <c r="C1202" s="8" t="s">
        <v>1584</v>
      </c>
      <c r="D1202" s="19" t="n">
        <v>12</v>
      </c>
      <c r="E1202" s="19" t="n">
        <v>303.03</v>
      </c>
      <c r="F1202" s="19" t="n">
        <v>21.4736842105263</v>
      </c>
      <c r="G1202" s="19" t="n">
        <v>542.321684210526</v>
      </c>
    </row>
    <row r="1203" customFormat="false" ht="15" hidden="false" customHeight="false" outlineLevel="0" collapsed="false">
      <c r="A1203" s="8" t="s">
        <v>1756</v>
      </c>
      <c r="B1203" s="8" t="n">
        <v>4413499</v>
      </c>
      <c r="C1203" s="8" t="s">
        <v>1585</v>
      </c>
      <c r="D1203" s="19" t="n">
        <v>20</v>
      </c>
      <c r="E1203" s="19" t="n">
        <v>505.05</v>
      </c>
      <c r="F1203" s="19" t="n">
        <v>22.7368421052632</v>
      </c>
      <c r="G1203" s="19" t="n">
        <v>574.277052631579</v>
      </c>
    </row>
    <row r="1204" customFormat="false" ht="15" hidden="false" customHeight="false" outlineLevel="0" collapsed="false">
      <c r="A1204" s="8" t="s">
        <v>1756</v>
      </c>
      <c r="B1204" s="8" t="n">
        <v>4414000</v>
      </c>
      <c r="C1204" s="8" t="s">
        <v>1606</v>
      </c>
      <c r="D1204" s="19" t="n">
        <v>185</v>
      </c>
      <c r="E1204" s="19" t="n">
        <v>5629.806</v>
      </c>
      <c r="F1204" s="19" t="n">
        <v>207.157894736842</v>
      </c>
      <c r="G1204" s="19" t="n">
        <v>6349.46273684211</v>
      </c>
    </row>
    <row r="1205" customFormat="false" ht="15" hidden="false" customHeight="false" outlineLevel="0" collapsed="false">
      <c r="A1205" s="8" t="s">
        <v>1756</v>
      </c>
      <c r="B1205" s="8" t="n">
        <v>4415000</v>
      </c>
      <c r="C1205" s="8" t="s">
        <v>1607</v>
      </c>
      <c r="D1205" s="19" t="n">
        <v>56</v>
      </c>
      <c r="E1205" s="19" t="n">
        <v>4431.609</v>
      </c>
      <c r="F1205" s="19" t="n">
        <v>72</v>
      </c>
      <c r="G1205" s="19" t="n">
        <v>5778.864</v>
      </c>
    </row>
    <row r="1206" customFormat="false" ht="15" hidden="false" customHeight="false" outlineLevel="0" collapsed="false">
      <c r="A1206" s="8" t="s">
        <v>1756</v>
      </c>
      <c r="B1206" s="8" t="n">
        <v>4415001</v>
      </c>
      <c r="C1206" s="8" t="s">
        <v>1608</v>
      </c>
      <c r="D1206" s="19" t="n">
        <v>53</v>
      </c>
      <c r="E1206" s="19" t="n">
        <v>4253.886</v>
      </c>
      <c r="F1206" s="19" t="n">
        <v>74.5263157894737</v>
      </c>
      <c r="G1206" s="19" t="n">
        <v>5932.31873684211</v>
      </c>
    </row>
    <row r="1207" customFormat="false" ht="15" hidden="false" customHeight="false" outlineLevel="0" collapsed="false">
      <c r="A1207" s="8" t="s">
        <v>1756</v>
      </c>
      <c r="B1207" s="8" t="n">
        <v>4415002</v>
      </c>
      <c r="C1207" s="8" t="s">
        <v>1609</v>
      </c>
      <c r="D1207" s="19" t="n">
        <v>49</v>
      </c>
      <c r="E1207" s="19" t="n">
        <v>3932.838</v>
      </c>
      <c r="F1207" s="19" t="n">
        <v>50.5263157894737</v>
      </c>
      <c r="G1207" s="19" t="n">
        <v>4055.34315789474</v>
      </c>
    </row>
    <row r="1208" customFormat="false" ht="15" hidden="false" customHeight="false" outlineLevel="0" collapsed="false">
      <c r="A1208" s="8" t="s">
        <v>1756</v>
      </c>
      <c r="B1208" s="8" t="n">
        <v>4415003</v>
      </c>
      <c r="C1208" s="8" t="s">
        <v>1610</v>
      </c>
      <c r="D1208" s="19" t="n">
        <v>27</v>
      </c>
      <c r="E1208" s="19" t="n">
        <v>2161.341</v>
      </c>
      <c r="F1208" s="19" t="n">
        <v>41.6842105263158</v>
      </c>
      <c r="G1208" s="19" t="n">
        <v>3345.65810526316</v>
      </c>
    </row>
    <row r="1209" customFormat="false" ht="15" hidden="false" customHeight="false" outlineLevel="0" collapsed="false">
      <c r="A1209" s="8" t="s">
        <v>1756</v>
      </c>
      <c r="B1209" s="8" t="n">
        <v>4415004</v>
      </c>
      <c r="C1209" s="8" t="s">
        <v>1611</v>
      </c>
      <c r="D1209" s="19" t="n">
        <v>-1</v>
      </c>
      <c r="E1209" s="19" t="n">
        <v>-80.262</v>
      </c>
      <c r="F1209" s="19" t="n">
        <v>0</v>
      </c>
      <c r="G1209" s="19" t="n">
        <v>0</v>
      </c>
    </row>
    <row r="1210" customFormat="false" ht="15" hidden="false" customHeight="false" outlineLevel="0" collapsed="false">
      <c r="A1210" s="8" t="s">
        <v>1756</v>
      </c>
      <c r="B1210" s="8" t="n">
        <v>4415005</v>
      </c>
      <c r="C1210" s="8" t="s">
        <v>1612</v>
      </c>
      <c r="D1210" s="19" t="n">
        <v>46</v>
      </c>
      <c r="E1210" s="19" t="n">
        <v>3657.654</v>
      </c>
      <c r="F1210" s="19" t="n">
        <v>60.6315789473684</v>
      </c>
      <c r="G1210" s="19" t="n">
        <v>4866.41178947369</v>
      </c>
    </row>
    <row r="1211" customFormat="false" ht="15" hidden="false" customHeight="false" outlineLevel="0" collapsed="false">
      <c r="A1211" s="8" t="s">
        <v>1756</v>
      </c>
      <c r="B1211" s="8" t="n">
        <v>4415006</v>
      </c>
      <c r="C1211" s="8" t="s">
        <v>1613</v>
      </c>
      <c r="D1211" s="19" t="n">
        <v>63</v>
      </c>
      <c r="E1211" s="19" t="n">
        <v>5056.506</v>
      </c>
      <c r="F1211" s="19" t="n">
        <v>72</v>
      </c>
      <c r="G1211" s="19" t="n">
        <v>5778.864</v>
      </c>
    </row>
    <row r="1212" customFormat="false" ht="15" hidden="false" customHeight="false" outlineLevel="0" collapsed="false">
      <c r="A1212" s="8" t="s">
        <v>1756</v>
      </c>
      <c r="B1212" s="8" t="n">
        <v>4415007</v>
      </c>
      <c r="C1212" s="8" t="s">
        <v>1614</v>
      </c>
      <c r="D1212" s="19" t="n">
        <v>80</v>
      </c>
      <c r="E1212" s="19" t="n">
        <v>6386.562</v>
      </c>
      <c r="F1212" s="19" t="n">
        <v>77.0526315789474</v>
      </c>
      <c r="G1212" s="19" t="n">
        <v>6184.39831578947</v>
      </c>
    </row>
    <row r="1213" customFormat="false" ht="15" hidden="false" customHeight="false" outlineLevel="0" collapsed="false">
      <c r="A1213" s="8" t="s">
        <v>1756</v>
      </c>
      <c r="B1213" s="8" t="n">
        <v>4415008</v>
      </c>
      <c r="C1213" s="8" t="s">
        <v>1615</v>
      </c>
      <c r="D1213" s="19" t="n">
        <v>18</v>
      </c>
      <c r="E1213" s="19" t="n">
        <v>1410.318</v>
      </c>
      <c r="F1213" s="19" t="n">
        <v>18.9473684210526</v>
      </c>
      <c r="G1213" s="19" t="n">
        <v>1520.75368421053</v>
      </c>
    </row>
    <row r="1214" customFormat="false" ht="15" hidden="false" customHeight="false" outlineLevel="0" collapsed="false">
      <c r="A1214" s="8" t="s">
        <v>1756</v>
      </c>
      <c r="B1214" s="8" t="n">
        <v>4415025</v>
      </c>
      <c r="C1214" s="8" t="s">
        <v>1619</v>
      </c>
      <c r="D1214" s="19" t="n">
        <v>0</v>
      </c>
      <c r="E1214" s="19" t="n">
        <v>0</v>
      </c>
      <c r="F1214" s="19" t="n">
        <v>8.84210526315789</v>
      </c>
      <c r="G1214" s="19" t="n">
        <v>709.685052631579</v>
      </c>
    </row>
    <row r="1215" customFormat="false" ht="15" hidden="false" customHeight="false" outlineLevel="0" collapsed="false">
      <c r="A1215" s="8" t="s">
        <v>1756</v>
      </c>
      <c r="B1215" s="8" t="n">
        <v>4415026</v>
      </c>
      <c r="C1215" s="8" t="s">
        <v>1620</v>
      </c>
      <c r="D1215" s="19" t="n">
        <v>23</v>
      </c>
      <c r="E1215" s="19" t="n">
        <v>717.262</v>
      </c>
      <c r="F1215" s="19" t="n">
        <v>27.7894736842105</v>
      </c>
      <c r="G1215" s="19" t="n">
        <v>866.703157894737</v>
      </c>
    </row>
    <row r="1216" customFormat="false" ht="15" hidden="false" customHeight="false" outlineLevel="0" collapsed="false">
      <c r="A1216" s="8" t="s">
        <v>1756</v>
      </c>
      <c r="B1216" s="8" t="n">
        <v>4415027</v>
      </c>
      <c r="C1216" s="8" t="s">
        <v>1621</v>
      </c>
      <c r="D1216" s="19" t="n">
        <v>24</v>
      </c>
      <c r="E1216" s="19" t="n">
        <v>748.475</v>
      </c>
      <c r="F1216" s="19" t="n">
        <v>32.8421052631579</v>
      </c>
      <c r="G1216" s="19" t="n">
        <v>1036.71031578947</v>
      </c>
    </row>
    <row r="1217" customFormat="false" ht="15" hidden="false" customHeight="false" outlineLevel="0" collapsed="false">
      <c r="A1217" s="8" t="s">
        <v>1756</v>
      </c>
      <c r="B1217" s="8" t="n">
        <v>4415028</v>
      </c>
      <c r="C1217" s="8" t="s">
        <v>1622</v>
      </c>
      <c r="D1217" s="19" t="n">
        <v>47</v>
      </c>
      <c r="E1217" s="19" t="n">
        <v>1029.028</v>
      </c>
      <c r="F1217" s="19" t="n">
        <v>56.8421052631579</v>
      </c>
      <c r="G1217" s="19" t="n">
        <v>1244.53515789474</v>
      </c>
    </row>
    <row r="1218" customFormat="false" ht="15" hidden="false" customHeight="false" outlineLevel="0" collapsed="false">
      <c r="A1218" s="8" t="s">
        <v>1756</v>
      </c>
      <c r="B1218" s="8" t="n">
        <v>4415029</v>
      </c>
      <c r="C1218" s="8" t="s">
        <v>1623</v>
      </c>
      <c r="D1218" s="19" t="n">
        <v>13</v>
      </c>
      <c r="E1218" s="19" t="n">
        <v>479.752</v>
      </c>
      <c r="F1218" s="19" t="n">
        <v>37.8947368421053</v>
      </c>
      <c r="G1218" s="19" t="n">
        <v>1398.67957894737</v>
      </c>
    </row>
    <row r="1219" customFormat="false" ht="15" hidden="false" customHeight="false" outlineLevel="0" collapsed="false">
      <c r="A1219" s="8" t="s">
        <v>1756</v>
      </c>
      <c r="B1219" s="8" t="n">
        <v>4415067</v>
      </c>
      <c r="C1219" s="8" t="s">
        <v>1624</v>
      </c>
      <c r="D1219" s="19" t="n">
        <v>-2</v>
      </c>
      <c r="E1219" s="19" t="n">
        <v>-120.393</v>
      </c>
      <c r="F1219" s="19" t="n">
        <v>0</v>
      </c>
      <c r="G1219" s="19" t="n">
        <v>0</v>
      </c>
    </row>
    <row r="1220" customFormat="false" ht="15" hidden="false" customHeight="false" outlineLevel="0" collapsed="false">
      <c r="A1220" s="8" t="s">
        <v>1756</v>
      </c>
      <c r="B1220" s="8" t="n">
        <v>4415072</v>
      </c>
      <c r="C1220" s="8" t="s">
        <v>1628</v>
      </c>
      <c r="D1220" s="19" t="n">
        <v>159</v>
      </c>
      <c r="E1220" s="19" t="n">
        <v>9139.13</v>
      </c>
      <c r="F1220" s="19" t="n">
        <v>192</v>
      </c>
      <c r="G1220" s="19" t="n">
        <v>11016.2109473684</v>
      </c>
    </row>
    <row r="1221" customFormat="false" ht="15" hidden="false" customHeight="false" outlineLevel="0" collapsed="false">
      <c r="A1221" s="8" t="s">
        <v>1756</v>
      </c>
      <c r="B1221" s="8" t="n">
        <v>4415073</v>
      </c>
      <c r="C1221" s="8" t="s">
        <v>1629</v>
      </c>
      <c r="D1221" s="19" t="n">
        <v>31</v>
      </c>
      <c r="E1221" s="19" t="n">
        <v>1782.872</v>
      </c>
      <c r="F1221" s="19" t="n">
        <v>25.2631578947368</v>
      </c>
      <c r="G1221" s="19" t="n">
        <v>1459.94652631579</v>
      </c>
    </row>
    <row r="1222" customFormat="false" ht="15" hidden="false" customHeight="false" outlineLevel="0" collapsed="false">
      <c r="A1222" s="8" t="s">
        <v>1756</v>
      </c>
      <c r="B1222" s="8" t="n">
        <v>4415080</v>
      </c>
      <c r="C1222" s="8" t="s">
        <v>1632</v>
      </c>
      <c r="D1222" s="19" t="n">
        <v>69</v>
      </c>
      <c r="E1222" s="19" t="n">
        <v>513.604</v>
      </c>
      <c r="F1222" s="19" t="n">
        <v>29.0526315789474</v>
      </c>
      <c r="G1222" s="19" t="n">
        <v>216.216</v>
      </c>
    </row>
    <row r="1223" customFormat="false" ht="15" hidden="false" customHeight="false" outlineLevel="0" collapsed="false">
      <c r="A1223" s="8" t="s">
        <v>1756</v>
      </c>
      <c r="B1223" s="8" t="n">
        <v>4415089</v>
      </c>
      <c r="C1223" s="8" t="s">
        <v>1635</v>
      </c>
      <c r="D1223" s="19" t="n">
        <v>-2</v>
      </c>
      <c r="E1223" s="19" t="n">
        <v>-176.631</v>
      </c>
      <c r="F1223" s="19" t="n">
        <v>0</v>
      </c>
      <c r="G1223" s="19" t="n">
        <v>0</v>
      </c>
    </row>
    <row r="1224" customFormat="false" ht="15" hidden="false" customHeight="false" outlineLevel="0" collapsed="false">
      <c r="A1224" s="8" t="s">
        <v>1756</v>
      </c>
      <c r="B1224" s="8" t="n">
        <v>4415142</v>
      </c>
      <c r="C1224" s="8" t="s">
        <v>1780</v>
      </c>
      <c r="D1224" s="19" t="n">
        <v>-1</v>
      </c>
      <c r="E1224" s="19" t="n">
        <v>-151.606</v>
      </c>
      <c r="F1224" s="19" t="n">
        <v>0</v>
      </c>
      <c r="G1224" s="19" t="n">
        <v>0</v>
      </c>
    </row>
    <row r="1225" customFormat="false" ht="15" hidden="false" customHeight="false" outlineLevel="0" collapsed="false">
      <c r="A1225" s="8" t="s">
        <v>1756</v>
      </c>
      <c r="B1225" s="8" t="n">
        <v>4415158</v>
      </c>
      <c r="C1225" s="8" t="s">
        <v>1640</v>
      </c>
      <c r="D1225" s="19" t="n">
        <v>367</v>
      </c>
      <c r="E1225" s="19" t="n">
        <v>24299.639</v>
      </c>
      <c r="F1225" s="19" t="n">
        <v>418.105263157895</v>
      </c>
      <c r="G1225" s="19" t="n">
        <v>27683.4644210526</v>
      </c>
    </row>
    <row r="1226" customFormat="false" ht="15" hidden="false" customHeight="false" outlineLevel="0" collapsed="false">
      <c r="A1226" s="8" t="s">
        <v>1756</v>
      </c>
      <c r="B1226" s="8" t="n">
        <v>4415159</v>
      </c>
      <c r="C1226" s="8" t="s">
        <v>1641</v>
      </c>
      <c r="D1226" s="19" t="n">
        <v>43</v>
      </c>
      <c r="E1226" s="19" t="n">
        <v>4314.219</v>
      </c>
      <c r="F1226" s="19" t="n">
        <v>37.8947368421053</v>
      </c>
      <c r="G1226" s="19" t="n">
        <v>3801.99915789474</v>
      </c>
    </row>
    <row r="1227" customFormat="false" ht="15" hidden="false" customHeight="false" outlineLevel="0" collapsed="false">
      <c r="A1227" s="8" t="s">
        <v>1756</v>
      </c>
      <c r="B1227" s="8" t="n">
        <v>4415160</v>
      </c>
      <c r="C1227" s="8" t="s">
        <v>1642</v>
      </c>
      <c r="D1227" s="19" t="n">
        <v>470</v>
      </c>
      <c r="E1227" s="19" t="n">
        <v>6586.58</v>
      </c>
      <c r="F1227" s="19" t="n">
        <v>471.157894736842</v>
      </c>
      <c r="G1227" s="19" t="n">
        <v>6602.8067368421</v>
      </c>
    </row>
    <row r="1228" customFormat="false" ht="15" hidden="false" customHeight="false" outlineLevel="0" collapsed="false">
      <c r="A1228" s="8" t="s">
        <v>1756</v>
      </c>
      <c r="B1228" s="8" t="n">
        <v>4415161</v>
      </c>
      <c r="C1228" s="8" t="s">
        <v>1643</v>
      </c>
      <c r="D1228" s="19" t="n">
        <v>577</v>
      </c>
      <c r="E1228" s="19" t="n">
        <v>8086.078</v>
      </c>
      <c r="F1228" s="19" t="n">
        <v>673.263157894737</v>
      </c>
      <c r="G1228" s="19" t="n">
        <v>9435.10989473684</v>
      </c>
    </row>
    <row r="1229" customFormat="false" ht="15" hidden="false" customHeight="false" outlineLevel="0" collapsed="false">
      <c r="A1229" s="8" t="s">
        <v>1756</v>
      </c>
      <c r="B1229" s="8" t="n">
        <v>4415162</v>
      </c>
      <c r="C1229" s="8" t="s">
        <v>1644</v>
      </c>
      <c r="D1229" s="19" t="n">
        <v>596</v>
      </c>
      <c r="E1229" s="19" t="n">
        <v>8352.344</v>
      </c>
      <c r="F1229" s="19" t="n">
        <v>593.684210526316</v>
      </c>
      <c r="G1229" s="19" t="n">
        <v>8319.89052631579</v>
      </c>
    </row>
    <row r="1230" customFormat="false" ht="15" hidden="false" customHeight="false" outlineLevel="0" collapsed="false">
      <c r="A1230" s="8" t="s">
        <v>1756</v>
      </c>
      <c r="B1230" s="8" t="n">
        <v>4415163</v>
      </c>
      <c r="C1230" s="8" t="s">
        <v>1645</v>
      </c>
      <c r="D1230" s="19" t="n">
        <v>249</v>
      </c>
      <c r="E1230" s="19" t="n">
        <v>3489.486</v>
      </c>
      <c r="F1230" s="19" t="n">
        <v>271.578947368421</v>
      </c>
      <c r="G1230" s="19" t="n">
        <v>3805.90736842105</v>
      </c>
    </row>
    <row r="1231" customFormat="false" ht="15" hidden="false" customHeight="false" outlineLevel="0" collapsed="false">
      <c r="A1231" s="8" t="s">
        <v>1756</v>
      </c>
      <c r="B1231" s="8" t="n">
        <v>4416000</v>
      </c>
      <c r="C1231" s="8" t="s">
        <v>1657</v>
      </c>
      <c r="D1231" s="19" t="n">
        <v>85</v>
      </c>
      <c r="E1231" s="19" t="n">
        <v>6776.952</v>
      </c>
      <c r="F1231" s="19" t="n">
        <v>135.157894736842</v>
      </c>
      <c r="G1231" s="19" t="n">
        <v>10804.0181052632</v>
      </c>
    </row>
    <row r="1232" customFormat="false" ht="15" hidden="false" customHeight="false" outlineLevel="0" collapsed="false">
      <c r="A1232" s="8" t="s">
        <v>1756</v>
      </c>
      <c r="B1232" s="8" t="n">
        <v>4416001</v>
      </c>
      <c r="C1232" s="8" t="s">
        <v>1658</v>
      </c>
      <c r="D1232" s="19" t="n">
        <v>96</v>
      </c>
      <c r="E1232" s="19" t="n">
        <v>7652.372</v>
      </c>
      <c r="F1232" s="19" t="n">
        <v>111.157894736842</v>
      </c>
      <c r="G1232" s="19" t="n">
        <v>8861.98231578947</v>
      </c>
    </row>
    <row r="1233" customFormat="false" ht="15" hidden="false" customHeight="false" outlineLevel="0" collapsed="false">
      <c r="A1233" s="8" t="s">
        <v>1756</v>
      </c>
      <c r="B1233" s="8" t="n">
        <v>4416002</v>
      </c>
      <c r="C1233" s="8" t="s">
        <v>1659</v>
      </c>
      <c r="D1233" s="19" t="n">
        <v>30</v>
      </c>
      <c r="E1233" s="19" t="n">
        <v>2355.262</v>
      </c>
      <c r="F1233" s="19" t="n">
        <v>40.4210526315789</v>
      </c>
      <c r="G1233" s="19" t="n">
        <v>3216.68715789474</v>
      </c>
    </row>
    <row r="1234" customFormat="false" ht="15" hidden="false" customHeight="false" outlineLevel="0" collapsed="false">
      <c r="A1234" s="8" t="s">
        <v>1756</v>
      </c>
      <c r="B1234" s="8" t="n">
        <v>4416003</v>
      </c>
      <c r="C1234" s="8" t="s">
        <v>1660</v>
      </c>
      <c r="D1234" s="19" t="n">
        <v>94</v>
      </c>
      <c r="E1234" s="19" t="n">
        <v>4663.659</v>
      </c>
      <c r="F1234" s="19" t="n">
        <v>117.473684210526</v>
      </c>
      <c r="G1234" s="19" t="n">
        <v>5828.29136842105</v>
      </c>
    </row>
    <row r="1235" customFormat="false" ht="15" hidden="false" customHeight="false" outlineLevel="0" collapsed="false">
      <c r="A1235" s="8" t="s">
        <v>1756</v>
      </c>
      <c r="B1235" s="8" t="n">
        <v>4416005</v>
      </c>
      <c r="C1235" s="8" t="s">
        <v>1661</v>
      </c>
      <c r="D1235" s="19" t="n">
        <v>118</v>
      </c>
      <c r="E1235" s="19" t="n">
        <v>5875.597</v>
      </c>
      <c r="F1235" s="19" t="n">
        <v>114.947368421053</v>
      </c>
      <c r="G1235" s="19" t="n">
        <v>5702.88378947368</v>
      </c>
    </row>
    <row r="1236" customFormat="false" ht="15" hidden="false" customHeight="false" outlineLevel="0" collapsed="false">
      <c r="A1236" s="8" t="s">
        <v>1756</v>
      </c>
      <c r="B1236" s="8" t="n">
        <v>4416006</v>
      </c>
      <c r="C1236" s="8" t="s">
        <v>1662</v>
      </c>
      <c r="D1236" s="19" t="n">
        <v>0</v>
      </c>
      <c r="E1236" s="19" t="n">
        <v>0</v>
      </c>
      <c r="F1236" s="19" t="n">
        <v>-2.52631578947368</v>
      </c>
      <c r="G1236" s="19" t="n">
        <v>-125.292631578947</v>
      </c>
    </row>
    <row r="1237" customFormat="false" ht="15" hidden="false" customHeight="false" outlineLevel="0" collapsed="false">
      <c r="A1237" s="8" t="s">
        <v>1756</v>
      </c>
      <c r="B1237" s="8" t="n">
        <v>4417000</v>
      </c>
      <c r="C1237" s="8" t="s">
        <v>1663</v>
      </c>
      <c r="D1237" s="19" t="n">
        <v>196</v>
      </c>
      <c r="E1237" s="19" t="n">
        <v>3901.443</v>
      </c>
      <c r="F1237" s="19" t="n">
        <v>130.105263157895</v>
      </c>
      <c r="G1237" s="19" t="n">
        <v>2589.76421052632</v>
      </c>
    </row>
    <row r="1238" customFormat="false" ht="15" hidden="false" customHeight="false" outlineLevel="0" collapsed="false">
      <c r="A1238" s="8" t="s">
        <v>1756</v>
      </c>
      <c r="B1238" s="8" t="n">
        <v>4418000</v>
      </c>
      <c r="C1238" s="8" t="s">
        <v>1665</v>
      </c>
      <c r="D1238" s="19" t="n">
        <v>120</v>
      </c>
      <c r="E1238" s="19" t="n">
        <v>3442.257</v>
      </c>
      <c r="F1238" s="19" t="n">
        <v>97.2631578947368</v>
      </c>
      <c r="G1238" s="19" t="n">
        <v>2864.94821052632</v>
      </c>
    </row>
    <row r="1239" customFormat="false" ht="15" hidden="false" customHeight="false" outlineLevel="0" collapsed="false">
      <c r="A1239" s="8" t="s">
        <v>1756</v>
      </c>
      <c r="B1239" s="8" t="n">
        <v>4418001</v>
      </c>
      <c r="C1239" s="8" t="s">
        <v>1666</v>
      </c>
      <c r="D1239" s="19" t="n">
        <v>127</v>
      </c>
      <c r="E1239" s="19" t="n">
        <v>3740.282</v>
      </c>
      <c r="F1239" s="19" t="n">
        <v>90.9473684210526</v>
      </c>
      <c r="G1239" s="19" t="n">
        <v>2674.02063157895</v>
      </c>
    </row>
    <row r="1240" customFormat="false" ht="15" hidden="false" customHeight="false" outlineLevel="0" collapsed="false">
      <c r="A1240" s="8" t="s">
        <v>1756</v>
      </c>
      <c r="B1240" s="8" t="n">
        <v>4418002</v>
      </c>
      <c r="C1240" s="8" t="s">
        <v>1667</v>
      </c>
      <c r="D1240" s="19" t="n">
        <v>52</v>
      </c>
      <c r="E1240" s="19" t="n">
        <v>1528.891</v>
      </c>
      <c r="F1240" s="19" t="n">
        <v>60.6315789473684</v>
      </c>
      <c r="G1240" s="19" t="n">
        <v>1782.71873684211</v>
      </c>
    </row>
    <row r="1241" customFormat="false" ht="15" hidden="false" customHeight="false" outlineLevel="0" collapsed="false">
      <c r="A1241" s="8" t="s">
        <v>1756</v>
      </c>
      <c r="B1241" s="8" t="n">
        <v>4418003</v>
      </c>
      <c r="C1241" s="8" t="s">
        <v>1668</v>
      </c>
      <c r="D1241" s="19" t="n">
        <v>88</v>
      </c>
      <c r="E1241" s="19" t="n">
        <v>2534.168</v>
      </c>
      <c r="F1241" s="19" t="n">
        <v>83.3684210526316</v>
      </c>
      <c r="G1241" s="19" t="n">
        <v>2453.89642105263</v>
      </c>
    </row>
    <row r="1242" customFormat="false" ht="15" hidden="false" customHeight="false" outlineLevel="0" collapsed="false">
      <c r="A1242" s="8" t="s">
        <v>1756</v>
      </c>
      <c r="B1242" s="8" t="n">
        <v>4419006</v>
      </c>
      <c r="C1242" s="8" t="s">
        <v>1674</v>
      </c>
      <c r="D1242" s="19" t="n">
        <v>928</v>
      </c>
      <c r="E1242" s="19" t="n">
        <v>11106.641</v>
      </c>
      <c r="F1242" s="19" t="n">
        <v>649.263157894737</v>
      </c>
      <c r="G1242" s="19" t="n">
        <v>7770.672</v>
      </c>
    </row>
    <row r="1243" customFormat="false" ht="15" hidden="false" customHeight="false" outlineLevel="0" collapsed="false">
      <c r="A1243" s="8" t="s">
        <v>1756</v>
      </c>
      <c r="B1243" s="8" t="n">
        <v>4420000</v>
      </c>
      <c r="C1243" s="8" t="s">
        <v>1680</v>
      </c>
      <c r="D1243" s="19" t="n">
        <v>330</v>
      </c>
      <c r="E1243" s="19" t="n">
        <v>3207.113</v>
      </c>
      <c r="F1243" s="19" t="n">
        <v>252.631578947368</v>
      </c>
      <c r="G1243" s="19" t="n">
        <v>2455.39073684211</v>
      </c>
    </row>
    <row r="1244" customFormat="false" ht="15" hidden="false" customHeight="false" outlineLevel="0" collapsed="false">
      <c r="A1244" s="8" t="s">
        <v>1756</v>
      </c>
      <c r="B1244" s="8" t="n">
        <v>4420001</v>
      </c>
      <c r="C1244" s="8" t="s">
        <v>1681</v>
      </c>
      <c r="D1244" s="19" t="n">
        <v>54</v>
      </c>
      <c r="E1244" s="19" t="n">
        <v>524.797</v>
      </c>
      <c r="F1244" s="19" t="n">
        <v>42.9473684210526</v>
      </c>
      <c r="G1244" s="19" t="n">
        <v>417.373894736842</v>
      </c>
    </row>
    <row r="1245" customFormat="false" ht="15" hidden="false" customHeight="false" outlineLevel="0" collapsed="false">
      <c r="A1245" s="8" t="s">
        <v>1756</v>
      </c>
      <c r="B1245" s="8" t="n">
        <v>4420002</v>
      </c>
      <c r="C1245" s="8" t="s">
        <v>1682</v>
      </c>
      <c r="D1245" s="19" t="n">
        <v>234</v>
      </c>
      <c r="E1245" s="19" t="n">
        <v>2886.338</v>
      </c>
      <c r="F1245" s="19" t="n">
        <v>190.736842105263</v>
      </c>
      <c r="G1245" s="19" t="n">
        <v>2353.66231578947</v>
      </c>
    </row>
    <row r="1246" customFormat="false" ht="15" hidden="false" customHeight="false" outlineLevel="0" collapsed="false">
      <c r="A1246" s="8" t="s">
        <v>1756</v>
      </c>
      <c r="B1246" s="8" t="n">
        <v>4420003</v>
      </c>
      <c r="C1246" s="8" t="s">
        <v>1683</v>
      </c>
      <c r="D1246" s="19" t="n">
        <v>168</v>
      </c>
      <c r="E1246" s="19" t="n">
        <v>2044.679</v>
      </c>
      <c r="F1246" s="19" t="n">
        <v>127.578947368421</v>
      </c>
      <c r="G1246" s="19" t="n">
        <v>1548.68589473684</v>
      </c>
    </row>
    <row r="1247" customFormat="false" ht="15" hidden="false" customHeight="false" outlineLevel="0" collapsed="false">
      <c r="A1247" s="8" t="s">
        <v>1756</v>
      </c>
      <c r="B1247" s="8" t="n">
        <v>4420004</v>
      </c>
      <c r="C1247" s="8" t="s">
        <v>1684</v>
      </c>
      <c r="D1247" s="19" t="n">
        <v>4</v>
      </c>
      <c r="E1247" s="19" t="n">
        <v>143.234</v>
      </c>
      <c r="F1247" s="19" t="n">
        <v>0</v>
      </c>
      <c r="G1247" s="19" t="n">
        <v>0</v>
      </c>
    </row>
    <row r="1248" customFormat="false" ht="15" hidden="false" customHeight="false" outlineLevel="0" collapsed="false">
      <c r="A1248" s="8" t="s">
        <v>1756</v>
      </c>
      <c r="B1248" s="8" t="n">
        <v>4420005</v>
      </c>
      <c r="C1248" s="8" t="s">
        <v>1685</v>
      </c>
      <c r="D1248" s="19" t="n">
        <v>4</v>
      </c>
      <c r="E1248" s="19" t="n">
        <v>143.143</v>
      </c>
      <c r="F1248" s="19" t="n">
        <v>0</v>
      </c>
      <c r="G1248" s="19" t="n">
        <v>0</v>
      </c>
    </row>
    <row r="1249" customFormat="false" ht="15" hidden="false" customHeight="false" outlineLevel="0" collapsed="false">
      <c r="A1249" s="8" t="s">
        <v>1756</v>
      </c>
      <c r="B1249" s="8" t="n">
        <v>4420006</v>
      </c>
      <c r="C1249" s="8" t="s">
        <v>1781</v>
      </c>
      <c r="D1249" s="19" t="n">
        <v>1</v>
      </c>
      <c r="E1249" s="19" t="n">
        <v>35.763</v>
      </c>
      <c r="F1249" s="19" t="n">
        <v>0</v>
      </c>
      <c r="G1249" s="19" t="n">
        <v>0</v>
      </c>
    </row>
    <row r="1250" customFormat="false" ht="15" hidden="false" customHeight="false" outlineLevel="0" collapsed="false">
      <c r="A1250" s="8" t="s">
        <v>1756</v>
      </c>
      <c r="B1250" s="8" t="n">
        <v>4420007</v>
      </c>
      <c r="C1250" s="8" t="s">
        <v>1686</v>
      </c>
      <c r="D1250" s="19" t="n">
        <v>-1</v>
      </c>
      <c r="E1250" s="19" t="n">
        <v>-43.043</v>
      </c>
      <c r="F1250" s="19" t="n">
        <v>0</v>
      </c>
      <c r="G1250" s="19" t="n">
        <v>0</v>
      </c>
    </row>
    <row r="1251" customFormat="false" ht="15" hidden="false" customHeight="false" outlineLevel="0" collapsed="false">
      <c r="A1251" s="8" t="s">
        <v>1756</v>
      </c>
      <c r="B1251" s="8" t="n">
        <v>4420008</v>
      </c>
      <c r="C1251" s="8" t="s">
        <v>1687</v>
      </c>
      <c r="D1251" s="19" t="n">
        <v>4</v>
      </c>
      <c r="E1251" s="19" t="n">
        <v>143.143</v>
      </c>
      <c r="F1251" s="19" t="n">
        <v>0</v>
      </c>
      <c r="G1251" s="19" t="n">
        <v>0</v>
      </c>
    </row>
    <row r="1252" customFormat="false" ht="15" hidden="false" customHeight="false" outlineLevel="0" collapsed="false">
      <c r="A1252" s="8" t="s">
        <v>1756</v>
      </c>
      <c r="B1252" s="8" t="n">
        <v>4420010</v>
      </c>
      <c r="C1252" s="8" t="s">
        <v>1689</v>
      </c>
      <c r="D1252" s="19" t="n">
        <v>2</v>
      </c>
      <c r="E1252" s="19" t="n">
        <v>71.617</v>
      </c>
      <c r="F1252" s="19" t="n">
        <v>0</v>
      </c>
      <c r="G1252" s="19" t="n">
        <v>0</v>
      </c>
    </row>
    <row r="1253" customFormat="false" ht="15" hidden="false" customHeight="false" outlineLevel="0" collapsed="false">
      <c r="A1253" s="8" t="s">
        <v>1756</v>
      </c>
      <c r="B1253" s="8" t="n">
        <v>4420011</v>
      </c>
      <c r="C1253" s="8" t="s">
        <v>1782</v>
      </c>
      <c r="D1253" s="19" t="n">
        <v>2</v>
      </c>
      <c r="E1253" s="19" t="n">
        <v>71.617</v>
      </c>
      <c r="F1253" s="19" t="n">
        <v>0</v>
      </c>
      <c r="G1253" s="19" t="n">
        <v>0</v>
      </c>
    </row>
    <row r="1254" customFormat="false" ht="15" hidden="false" customHeight="false" outlineLevel="0" collapsed="false">
      <c r="A1254" s="8" t="s">
        <v>1756</v>
      </c>
      <c r="B1254" s="8" t="n">
        <v>4420012</v>
      </c>
      <c r="C1254" s="8" t="s">
        <v>1690</v>
      </c>
      <c r="D1254" s="19" t="n">
        <v>-1</v>
      </c>
      <c r="E1254" s="19" t="n">
        <v>-50.232</v>
      </c>
      <c r="F1254" s="19" t="n">
        <v>0</v>
      </c>
      <c r="G1254" s="19" t="n">
        <v>0</v>
      </c>
    </row>
    <row r="1255" customFormat="false" ht="15" hidden="false" customHeight="false" outlineLevel="0" collapsed="false">
      <c r="A1255" s="8" t="s">
        <v>1756</v>
      </c>
      <c r="B1255" s="8" t="n">
        <v>4420013</v>
      </c>
      <c r="C1255" s="8" t="s">
        <v>1783</v>
      </c>
      <c r="D1255" s="19" t="n">
        <v>1</v>
      </c>
      <c r="E1255" s="19" t="n">
        <v>35.763</v>
      </c>
      <c r="F1255" s="19" t="n">
        <v>0</v>
      </c>
      <c r="G1255" s="19" t="n">
        <v>0</v>
      </c>
    </row>
    <row r="1256" customFormat="false" ht="15" hidden="false" customHeight="false" outlineLevel="0" collapsed="false">
      <c r="A1256" s="8" t="s">
        <v>1756</v>
      </c>
      <c r="B1256" s="8" t="n">
        <v>4420016</v>
      </c>
      <c r="C1256" s="8" t="s">
        <v>1691</v>
      </c>
      <c r="D1256" s="19" t="n">
        <v>56</v>
      </c>
      <c r="E1256" s="19" t="n">
        <v>2471.105</v>
      </c>
      <c r="F1256" s="19" t="n">
        <v>41.6842105263158</v>
      </c>
      <c r="G1256" s="19" t="n">
        <v>1839.38778947368</v>
      </c>
    </row>
    <row r="1257" customFormat="false" ht="15" hidden="false" customHeight="false" outlineLevel="0" collapsed="false">
      <c r="A1257" s="8" t="s">
        <v>1756</v>
      </c>
      <c r="B1257" s="8" t="n">
        <v>4420018</v>
      </c>
      <c r="C1257" s="8" t="s">
        <v>1693</v>
      </c>
      <c r="D1257" s="19" t="n">
        <v>1</v>
      </c>
      <c r="E1257" s="19" t="n">
        <v>96.369</v>
      </c>
      <c r="F1257" s="19" t="n">
        <v>0</v>
      </c>
      <c r="G1257" s="19" t="n">
        <v>0</v>
      </c>
    </row>
    <row r="1258" customFormat="false" ht="15" hidden="false" customHeight="false" outlineLevel="0" collapsed="false">
      <c r="A1258" s="8" t="s">
        <v>1756</v>
      </c>
      <c r="B1258" s="8" t="n">
        <v>4420019</v>
      </c>
      <c r="C1258" s="8" t="s">
        <v>1784</v>
      </c>
      <c r="D1258" s="19" t="n">
        <v>-3</v>
      </c>
      <c r="E1258" s="19" t="n">
        <v>-144.417</v>
      </c>
      <c r="F1258" s="19" t="n">
        <v>0</v>
      </c>
      <c r="G1258" s="19" t="n">
        <v>0</v>
      </c>
    </row>
    <row r="1259" customFormat="false" ht="15" hidden="false" customHeight="false" outlineLevel="0" collapsed="false">
      <c r="A1259" s="8" t="s">
        <v>1756</v>
      </c>
      <c r="B1259" s="8" t="n">
        <v>4420020</v>
      </c>
      <c r="C1259" s="8" t="s">
        <v>1785</v>
      </c>
      <c r="D1259" s="19" t="n">
        <v>-3</v>
      </c>
      <c r="E1259" s="19" t="n">
        <v>-144.417</v>
      </c>
      <c r="F1259" s="19" t="n">
        <v>0</v>
      </c>
      <c r="G1259" s="19" t="n">
        <v>0</v>
      </c>
    </row>
    <row r="1260" customFormat="false" ht="15" hidden="false" customHeight="false" outlineLevel="0" collapsed="false">
      <c r="A1260" s="8" t="s">
        <v>1756</v>
      </c>
      <c r="B1260" s="8" t="n">
        <v>4420022</v>
      </c>
      <c r="C1260" s="8" t="s">
        <v>1694</v>
      </c>
      <c r="D1260" s="19" t="n">
        <v>87</v>
      </c>
      <c r="E1260" s="19" t="n">
        <v>1701.973</v>
      </c>
      <c r="F1260" s="19" t="n">
        <v>114.947368421053</v>
      </c>
      <c r="G1260" s="19" t="n">
        <v>2262.73894736842</v>
      </c>
    </row>
    <row r="1261" customFormat="false" ht="15" hidden="false" customHeight="false" outlineLevel="0" collapsed="false">
      <c r="A1261" s="8" t="s">
        <v>1756</v>
      </c>
      <c r="B1261" s="8" t="n">
        <v>4420023</v>
      </c>
      <c r="C1261" s="8" t="s">
        <v>1695</v>
      </c>
      <c r="D1261" s="19" t="n">
        <v>4</v>
      </c>
      <c r="E1261" s="19" t="n">
        <v>39.858</v>
      </c>
      <c r="F1261" s="19" t="n">
        <v>8.84210526315789</v>
      </c>
      <c r="G1261" s="19" t="n">
        <v>197.249684210526</v>
      </c>
    </row>
    <row r="1262" customFormat="false" ht="15" hidden="false" customHeight="false" outlineLevel="0" collapsed="false">
      <c r="A1262" s="8" t="s">
        <v>1756</v>
      </c>
      <c r="B1262" s="8" t="n">
        <v>4420024</v>
      </c>
      <c r="C1262" s="8" t="s">
        <v>1696</v>
      </c>
      <c r="D1262" s="19" t="n">
        <v>57</v>
      </c>
      <c r="E1262" s="19" t="n">
        <v>1010.828</v>
      </c>
      <c r="F1262" s="19" t="n">
        <v>22.7368421052632</v>
      </c>
      <c r="G1262" s="19" t="n">
        <v>395.993684210526</v>
      </c>
    </row>
    <row r="1263" customFormat="false" ht="15" hidden="false" customHeight="false" outlineLevel="0" collapsed="false">
      <c r="A1263" s="8" t="s">
        <v>1756</v>
      </c>
      <c r="B1263" s="8" t="n">
        <v>4420025</v>
      </c>
      <c r="C1263" s="8" t="s">
        <v>1697</v>
      </c>
      <c r="D1263" s="19" t="n">
        <v>41</v>
      </c>
      <c r="E1263" s="19" t="n">
        <v>791.245</v>
      </c>
      <c r="F1263" s="19" t="n">
        <v>55.5789473684211</v>
      </c>
      <c r="G1263" s="19" t="n">
        <v>1081.19494736842</v>
      </c>
    </row>
    <row r="1264" customFormat="false" ht="15" hidden="false" customHeight="false" outlineLevel="0" collapsed="false">
      <c r="A1264" s="8" t="s">
        <v>1756</v>
      </c>
      <c r="B1264" s="8" t="n">
        <v>4421000</v>
      </c>
      <c r="C1264" s="8" t="s">
        <v>1709</v>
      </c>
      <c r="D1264" s="19" t="n">
        <v>885</v>
      </c>
      <c r="E1264" s="19" t="n">
        <v>13576.199</v>
      </c>
      <c r="F1264" s="19" t="n">
        <v>779.368421052632</v>
      </c>
      <c r="G1264" s="19" t="n">
        <v>11943.6063157895</v>
      </c>
    </row>
    <row r="1265" customFormat="false" ht="15" hidden="false" customHeight="false" outlineLevel="0" collapsed="false">
      <c r="A1265" s="8" t="s">
        <v>1756</v>
      </c>
      <c r="B1265" s="8" t="n">
        <v>4421001</v>
      </c>
      <c r="C1265" s="8" t="s">
        <v>1710</v>
      </c>
      <c r="D1265" s="19" t="n">
        <v>59</v>
      </c>
      <c r="E1265" s="19" t="n">
        <v>3006.64</v>
      </c>
      <c r="F1265" s="19" t="n">
        <v>54.3157894736842</v>
      </c>
      <c r="G1265" s="19" t="n">
        <v>2767.93263157895</v>
      </c>
    </row>
    <row r="1266" customFormat="false" ht="15" hidden="false" customHeight="false" outlineLevel="0" collapsed="false">
      <c r="A1266" s="8" t="s">
        <v>1756</v>
      </c>
      <c r="B1266" s="8" t="n">
        <v>4421003</v>
      </c>
      <c r="C1266" s="8" t="s">
        <v>1711</v>
      </c>
      <c r="D1266" s="19" t="n">
        <v>98</v>
      </c>
      <c r="E1266" s="19" t="n">
        <v>2775.227</v>
      </c>
      <c r="F1266" s="19" t="n">
        <v>37.8947368421053</v>
      </c>
      <c r="G1266" s="19" t="n">
        <v>1008.20336842105</v>
      </c>
    </row>
    <row r="1267" customFormat="false" ht="15" hidden="false" customHeight="false" outlineLevel="0" collapsed="false">
      <c r="A1267" s="8" t="s">
        <v>1756</v>
      </c>
      <c r="B1267" s="8" t="n">
        <v>4422000</v>
      </c>
      <c r="C1267" s="8" t="s">
        <v>1716</v>
      </c>
      <c r="D1267" s="19" t="n">
        <v>134</v>
      </c>
      <c r="E1267" s="19" t="n">
        <v>2150.785</v>
      </c>
      <c r="F1267" s="19" t="n">
        <v>109.894736842105</v>
      </c>
      <c r="G1267" s="19" t="n">
        <v>1752.94736842105</v>
      </c>
    </row>
    <row r="1268" customFormat="false" ht="15" hidden="false" customHeight="false" outlineLevel="0" collapsed="false">
      <c r="A1268" s="8" t="s">
        <v>1756</v>
      </c>
      <c r="B1268" s="8" t="n">
        <v>4422005</v>
      </c>
      <c r="C1268" s="8" t="s">
        <v>1719</v>
      </c>
      <c r="D1268" s="19" t="n">
        <v>5</v>
      </c>
      <c r="E1268" s="19" t="n">
        <v>852.215</v>
      </c>
      <c r="F1268" s="19" t="n">
        <v>2.52631578947368</v>
      </c>
      <c r="G1268" s="19" t="n">
        <v>430.592842105263</v>
      </c>
    </row>
    <row r="1269" customFormat="false" ht="15" hidden="false" customHeight="false" outlineLevel="0" collapsed="false">
      <c r="A1269" s="8" t="s">
        <v>1756</v>
      </c>
      <c r="B1269" s="8" t="n">
        <v>4422006</v>
      </c>
      <c r="C1269" s="8" t="s">
        <v>1720</v>
      </c>
      <c r="D1269" s="19" t="n">
        <v>2</v>
      </c>
      <c r="E1269" s="19" t="n">
        <v>340.886</v>
      </c>
      <c r="F1269" s="19" t="n">
        <v>2.52631578947368</v>
      </c>
      <c r="G1269" s="19" t="n">
        <v>430.592842105263</v>
      </c>
    </row>
    <row r="1270" customFormat="false" ht="15" hidden="false" customHeight="false" outlineLevel="0" collapsed="false">
      <c r="A1270" s="8" t="s">
        <v>1756</v>
      </c>
      <c r="B1270" s="8" t="n">
        <v>4422023</v>
      </c>
      <c r="C1270" s="8" t="s">
        <v>1723</v>
      </c>
      <c r="D1270" s="19" t="n">
        <v>797</v>
      </c>
      <c r="E1270" s="19" t="n">
        <v>7969.962</v>
      </c>
      <c r="F1270" s="19" t="n">
        <v>357.473684210526</v>
      </c>
      <c r="G1270" s="19" t="n">
        <v>3571.75957894737</v>
      </c>
    </row>
    <row r="1271" customFormat="false" ht="15" hidden="false" customHeight="false" outlineLevel="0" collapsed="false">
      <c r="A1271" s="8" t="s">
        <v>1756</v>
      </c>
      <c r="B1271" s="8" t="n">
        <v>4422024</v>
      </c>
      <c r="C1271" s="8" t="s">
        <v>1724</v>
      </c>
      <c r="D1271" s="19" t="n">
        <v>602</v>
      </c>
      <c r="E1271" s="19" t="n">
        <v>6018.649</v>
      </c>
      <c r="F1271" s="19" t="n">
        <v>618.947368421053</v>
      </c>
      <c r="G1271" s="19" t="n">
        <v>6188.8812631579</v>
      </c>
    </row>
    <row r="1272" customFormat="false" ht="15" hidden="false" customHeight="false" outlineLevel="0" collapsed="false">
      <c r="A1272" s="8" t="s">
        <v>1756</v>
      </c>
      <c r="B1272" s="8" t="n">
        <v>4422025</v>
      </c>
      <c r="C1272" s="8" t="s">
        <v>1725</v>
      </c>
      <c r="D1272" s="19" t="n">
        <v>273</v>
      </c>
      <c r="E1272" s="19" t="n">
        <v>2727.725</v>
      </c>
      <c r="F1272" s="19" t="n">
        <v>169.263157894737</v>
      </c>
      <c r="G1272" s="19" t="n">
        <v>1691.22063157895</v>
      </c>
    </row>
    <row r="1273" customFormat="false" ht="15" hidden="false" customHeight="false" outlineLevel="0" collapsed="false">
      <c r="A1273" s="8" t="s">
        <v>1756</v>
      </c>
      <c r="B1273" s="8" t="n">
        <v>4422026</v>
      </c>
      <c r="C1273" s="8" t="s">
        <v>1726</v>
      </c>
      <c r="D1273" s="19" t="n">
        <v>355</v>
      </c>
      <c r="E1273" s="19" t="n">
        <v>3547.089</v>
      </c>
      <c r="F1273" s="19" t="n">
        <v>349.894736842105</v>
      </c>
      <c r="G1273" s="19" t="n">
        <v>3496.12421052632</v>
      </c>
    </row>
    <row r="1274" customFormat="false" ht="15" hidden="false" customHeight="false" outlineLevel="0" collapsed="false">
      <c r="A1274" s="8" t="s">
        <v>1786</v>
      </c>
      <c r="B1274" s="8" t="n">
        <v>4401000</v>
      </c>
      <c r="C1274" s="8" t="s">
        <v>1154</v>
      </c>
      <c r="D1274" s="19" t="n">
        <v>1030</v>
      </c>
      <c r="E1274" s="19" t="n">
        <v>20362.706</v>
      </c>
      <c r="F1274" s="19" t="n">
        <v>937.263157894737</v>
      </c>
      <c r="G1274" s="19" t="n">
        <v>18799.0673684211</v>
      </c>
    </row>
    <row r="1275" customFormat="false" ht="15" hidden="false" customHeight="false" outlineLevel="0" collapsed="false">
      <c r="A1275" s="8" t="s">
        <v>1786</v>
      </c>
      <c r="B1275" s="8" t="n">
        <v>4401001</v>
      </c>
      <c r="C1275" s="8" t="s">
        <v>1155</v>
      </c>
      <c r="D1275" s="19" t="n">
        <v>1142</v>
      </c>
      <c r="E1275" s="19" t="n">
        <v>23635.339</v>
      </c>
      <c r="F1275" s="19" t="n">
        <v>1019.36842105263</v>
      </c>
      <c r="G1275" s="19" t="n">
        <v>21079.968</v>
      </c>
    </row>
    <row r="1276" customFormat="false" ht="15" hidden="false" customHeight="false" outlineLevel="0" collapsed="false">
      <c r="A1276" s="8" t="s">
        <v>1786</v>
      </c>
      <c r="B1276" s="8" t="n">
        <v>4402000</v>
      </c>
      <c r="C1276" s="8" t="s">
        <v>1161</v>
      </c>
      <c r="D1276" s="19" t="n">
        <v>199</v>
      </c>
      <c r="E1276" s="19" t="n">
        <v>3931.564</v>
      </c>
      <c r="F1276" s="19" t="n">
        <v>127.578947368421</v>
      </c>
      <c r="G1276" s="19" t="n">
        <v>2556.77431578947</v>
      </c>
    </row>
    <row r="1277" customFormat="false" ht="15" hidden="false" customHeight="false" outlineLevel="0" collapsed="false">
      <c r="A1277" s="8" t="s">
        <v>1786</v>
      </c>
      <c r="B1277" s="8" t="n">
        <v>4402007</v>
      </c>
      <c r="C1277" s="8" t="s">
        <v>1162</v>
      </c>
      <c r="D1277" s="19" t="n">
        <v>1909</v>
      </c>
      <c r="E1277" s="19" t="n">
        <v>30874.389</v>
      </c>
      <c r="F1277" s="19" t="n">
        <v>1682.52631578947</v>
      </c>
      <c r="G1277" s="19" t="n">
        <v>27474.4901052632</v>
      </c>
    </row>
    <row r="1278" customFormat="false" ht="15" hidden="false" customHeight="false" outlineLevel="0" collapsed="false">
      <c r="A1278" s="8" t="s">
        <v>1786</v>
      </c>
      <c r="B1278" s="8" t="n">
        <v>4403000</v>
      </c>
      <c r="C1278" s="8" t="s">
        <v>1163</v>
      </c>
      <c r="D1278" s="19" t="n">
        <v>30</v>
      </c>
      <c r="E1278" s="19" t="n">
        <v>802.711</v>
      </c>
      <c r="F1278" s="19" t="n">
        <v>8.84210526315789</v>
      </c>
      <c r="G1278" s="19" t="n">
        <v>242.883789473684</v>
      </c>
    </row>
    <row r="1279" customFormat="false" ht="15" hidden="false" customHeight="false" outlineLevel="0" collapsed="false">
      <c r="A1279" s="8" t="s">
        <v>1786</v>
      </c>
      <c r="B1279" s="8" t="n">
        <v>4403001</v>
      </c>
      <c r="C1279" s="8" t="s">
        <v>1164</v>
      </c>
      <c r="D1279" s="19" t="n">
        <v>75</v>
      </c>
      <c r="E1279" s="19" t="n">
        <v>1982.981</v>
      </c>
      <c r="F1279" s="19" t="n">
        <v>35.3684210526316</v>
      </c>
      <c r="G1279" s="19" t="n">
        <v>952.453894736842</v>
      </c>
    </row>
    <row r="1280" customFormat="false" ht="15" hidden="false" customHeight="false" outlineLevel="0" collapsed="false">
      <c r="A1280" s="8" t="s">
        <v>1786</v>
      </c>
      <c r="B1280" s="8" t="n">
        <v>4403002</v>
      </c>
      <c r="C1280" s="8" t="s">
        <v>1165</v>
      </c>
      <c r="D1280" s="19" t="n">
        <v>96</v>
      </c>
      <c r="E1280" s="19" t="n">
        <v>2540.356</v>
      </c>
      <c r="F1280" s="19" t="n">
        <v>37.8947368421053</v>
      </c>
      <c r="G1280" s="19" t="n">
        <v>1010.04252631579</v>
      </c>
    </row>
    <row r="1281" customFormat="false" ht="15" hidden="false" customHeight="false" outlineLevel="0" collapsed="false">
      <c r="A1281" s="8" t="s">
        <v>1786</v>
      </c>
      <c r="B1281" s="8" t="n">
        <v>4403003</v>
      </c>
      <c r="C1281" s="8" t="s">
        <v>1166</v>
      </c>
      <c r="D1281" s="19" t="n">
        <v>22</v>
      </c>
      <c r="E1281" s="19" t="n">
        <v>586.131</v>
      </c>
      <c r="F1281" s="19" t="n">
        <v>10.1052631578947</v>
      </c>
      <c r="G1281" s="19" t="n">
        <v>263.574315789474</v>
      </c>
    </row>
    <row r="1282" customFormat="false" ht="15" hidden="false" customHeight="false" outlineLevel="0" collapsed="false">
      <c r="A1282" s="8" t="s">
        <v>1786</v>
      </c>
      <c r="B1282" s="8" t="n">
        <v>4403004</v>
      </c>
      <c r="C1282" s="8" t="s">
        <v>1167</v>
      </c>
      <c r="D1282" s="19" t="n">
        <v>52</v>
      </c>
      <c r="E1282" s="19" t="n">
        <v>1380.925</v>
      </c>
      <c r="F1282" s="19" t="n">
        <v>-8.84210526315789</v>
      </c>
      <c r="G1282" s="19" t="n">
        <v>-223.342736842105</v>
      </c>
    </row>
    <row r="1283" customFormat="false" ht="15" hidden="false" customHeight="false" outlineLevel="0" collapsed="false">
      <c r="A1283" s="8" t="s">
        <v>1786</v>
      </c>
      <c r="B1283" s="8" t="n">
        <v>4403005</v>
      </c>
      <c r="C1283" s="8" t="s">
        <v>1168</v>
      </c>
      <c r="D1283" s="19" t="n">
        <v>39</v>
      </c>
      <c r="E1283" s="19" t="n">
        <v>1044.589</v>
      </c>
      <c r="F1283" s="19" t="n">
        <v>22.7368421052632</v>
      </c>
      <c r="G1283" s="19" t="n">
        <v>609.336</v>
      </c>
    </row>
    <row r="1284" customFormat="false" ht="15" hidden="false" customHeight="false" outlineLevel="0" collapsed="false">
      <c r="A1284" s="8" t="s">
        <v>1786</v>
      </c>
      <c r="B1284" s="8" t="n">
        <v>4403006</v>
      </c>
      <c r="C1284" s="8" t="s">
        <v>1169</v>
      </c>
      <c r="D1284" s="19" t="n">
        <v>20</v>
      </c>
      <c r="E1284" s="19" t="n">
        <v>532.987</v>
      </c>
      <c r="F1284" s="19" t="n">
        <v>11.3684210526316</v>
      </c>
      <c r="G1284" s="19" t="n">
        <v>301.506947368421</v>
      </c>
    </row>
    <row r="1285" customFormat="false" ht="15" hidden="false" customHeight="false" outlineLevel="0" collapsed="false">
      <c r="A1285" s="8" t="s">
        <v>1786</v>
      </c>
      <c r="B1285" s="8" t="n">
        <v>4403007</v>
      </c>
      <c r="C1285" s="8" t="s">
        <v>1170</v>
      </c>
      <c r="D1285" s="19" t="n">
        <v>35</v>
      </c>
      <c r="E1285" s="19" t="n">
        <v>930.384</v>
      </c>
      <c r="F1285" s="19" t="n">
        <v>21.4736842105263</v>
      </c>
      <c r="G1285" s="19" t="n">
        <v>572.897684210526</v>
      </c>
    </row>
    <row r="1286" customFormat="false" ht="15" hidden="false" customHeight="false" outlineLevel="0" collapsed="false">
      <c r="A1286" s="8" t="s">
        <v>1786</v>
      </c>
      <c r="B1286" s="8" t="n">
        <v>4403008</v>
      </c>
      <c r="C1286" s="8" t="s">
        <v>1171</v>
      </c>
      <c r="D1286" s="19" t="n">
        <v>34</v>
      </c>
      <c r="E1286" s="19" t="n">
        <v>902.993</v>
      </c>
      <c r="F1286" s="19" t="n">
        <v>35.3684210526316</v>
      </c>
      <c r="G1286" s="19" t="n">
        <v>936.246315789474</v>
      </c>
    </row>
    <row r="1287" customFormat="false" ht="15" hidden="false" customHeight="false" outlineLevel="0" collapsed="false">
      <c r="A1287" s="8" t="s">
        <v>1786</v>
      </c>
      <c r="B1287" s="8" t="n">
        <v>4403011</v>
      </c>
      <c r="C1287" s="8" t="s">
        <v>1787</v>
      </c>
      <c r="D1287" s="19" t="n">
        <v>-1</v>
      </c>
      <c r="E1287" s="19" t="n">
        <v>-25.844</v>
      </c>
      <c r="F1287" s="19" t="n">
        <v>-1.26315789473684</v>
      </c>
      <c r="G1287" s="19" t="n">
        <v>-36.6682105263158</v>
      </c>
    </row>
    <row r="1288" customFormat="false" ht="15" hidden="false" customHeight="false" outlineLevel="0" collapsed="false">
      <c r="A1288" s="8" t="s">
        <v>1786</v>
      </c>
      <c r="B1288" s="8" t="n">
        <v>4403017</v>
      </c>
      <c r="C1288" s="8" t="s">
        <v>1172</v>
      </c>
      <c r="D1288" s="19" t="n">
        <v>77</v>
      </c>
      <c r="E1288" s="19" t="n">
        <v>1560.559</v>
      </c>
      <c r="F1288" s="19" t="n">
        <v>46.7368421052632</v>
      </c>
      <c r="G1288" s="19" t="n">
        <v>970.84547368421</v>
      </c>
    </row>
    <row r="1289" customFormat="false" ht="15" hidden="false" customHeight="false" outlineLevel="0" collapsed="false">
      <c r="A1289" s="8" t="s">
        <v>1786</v>
      </c>
      <c r="B1289" s="8" t="n">
        <v>4403018</v>
      </c>
      <c r="C1289" s="8" t="s">
        <v>1173</v>
      </c>
      <c r="D1289" s="19" t="n">
        <v>148</v>
      </c>
      <c r="E1289" s="19" t="n">
        <v>2996.721</v>
      </c>
      <c r="F1289" s="19" t="n">
        <v>72</v>
      </c>
      <c r="G1289" s="19" t="n">
        <v>1448.10694736842</v>
      </c>
    </row>
    <row r="1290" customFormat="false" ht="15" hidden="false" customHeight="false" outlineLevel="0" collapsed="false">
      <c r="A1290" s="8" t="s">
        <v>1786</v>
      </c>
      <c r="B1290" s="8" t="n">
        <v>4403019</v>
      </c>
      <c r="C1290" s="8" t="s">
        <v>1174</v>
      </c>
      <c r="D1290" s="19" t="n">
        <v>213</v>
      </c>
      <c r="E1290" s="19" t="n">
        <v>4299.204</v>
      </c>
      <c r="F1290" s="19" t="n">
        <v>103.578947368421</v>
      </c>
      <c r="G1290" s="19" t="n">
        <v>2086.63957894737</v>
      </c>
    </row>
    <row r="1291" customFormat="false" ht="15" hidden="false" customHeight="false" outlineLevel="0" collapsed="false">
      <c r="A1291" s="8" t="s">
        <v>1786</v>
      </c>
      <c r="B1291" s="8" t="n">
        <v>4403020</v>
      </c>
      <c r="C1291" s="8" t="s">
        <v>1175</v>
      </c>
      <c r="D1291" s="19" t="n">
        <v>42</v>
      </c>
      <c r="E1291" s="19" t="n">
        <v>855.309</v>
      </c>
      <c r="F1291" s="19" t="n">
        <v>-6.31578947368421</v>
      </c>
      <c r="G1291" s="19" t="n">
        <v>-123.108631578947</v>
      </c>
    </row>
    <row r="1292" customFormat="false" ht="15" hidden="false" customHeight="false" outlineLevel="0" collapsed="false">
      <c r="A1292" s="8" t="s">
        <v>1786</v>
      </c>
      <c r="B1292" s="8" t="n">
        <v>4403021</v>
      </c>
      <c r="C1292" s="8" t="s">
        <v>1176</v>
      </c>
      <c r="D1292" s="19" t="n">
        <v>57</v>
      </c>
      <c r="E1292" s="19" t="n">
        <v>1148.602</v>
      </c>
      <c r="F1292" s="19" t="n">
        <v>-5.05263157894737</v>
      </c>
      <c r="G1292" s="19" t="n">
        <v>-97.4753684210526</v>
      </c>
    </row>
    <row r="1293" customFormat="false" ht="15" hidden="false" customHeight="false" outlineLevel="0" collapsed="false">
      <c r="A1293" s="8" t="s">
        <v>1786</v>
      </c>
      <c r="B1293" s="8" t="n">
        <v>4403022</v>
      </c>
      <c r="C1293" s="8" t="s">
        <v>1177</v>
      </c>
      <c r="D1293" s="19" t="n">
        <v>58</v>
      </c>
      <c r="E1293" s="19" t="n">
        <v>1180.816</v>
      </c>
      <c r="F1293" s="19" t="n">
        <v>0</v>
      </c>
      <c r="G1293" s="19" t="n">
        <v>0</v>
      </c>
    </row>
    <row r="1294" customFormat="false" ht="15" hidden="false" customHeight="false" outlineLevel="0" collapsed="false">
      <c r="A1294" s="8" t="s">
        <v>1786</v>
      </c>
      <c r="B1294" s="8" t="n">
        <v>4403023</v>
      </c>
      <c r="C1294" s="8" t="s">
        <v>1178</v>
      </c>
      <c r="D1294" s="19" t="n">
        <v>25</v>
      </c>
      <c r="E1294" s="19" t="n">
        <v>510.601</v>
      </c>
      <c r="F1294" s="19" t="n">
        <v>25.2631578947368</v>
      </c>
      <c r="G1294" s="19" t="n">
        <v>520.021894736842</v>
      </c>
    </row>
    <row r="1295" customFormat="false" ht="15" hidden="false" customHeight="false" outlineLevel="0" collapsed="false">
      <c r="A1295" s="8" t="s">
        <v>1786</v>
      </c>
      <c r="B1295" s="8" t="n">
        <v>4403024</v>
      </c>
      <c r="C1295" s="8" t="s">
        <v>1179</v>
      </c>
      <c r="D1295" s="19" t="n">
        <v>78</v>
      </c>
      <c r="E1295" s="19" t="n">
        <v>1578.213</v>
      </c>
      <c r="F1295" s="19" t="n">
        <v>80.8421052631579</v>
      </c>
      <c r="G1295" s="19" t="n">
        <v>1664.32294736842</v>
      </c>
    </row>
    <row r="1296" customFormat="false" ht="15" hidden="false" customHeight="false" outlineLevel="0" collapsed="false">
      <c r="A1296" s="8" t="s">
        <v>1786</v>
      </c>
      <c r="B1296" s="8" t="n">
        <v>4403025</v>
      </c>
      <c r="C1296" s="8" t="s">
        <v>1180</v>
      </c>
      <c r="D1296" s="19" t="n">
        <v>85</v>
      </c>
      <c r="E1296" s="19" t="n">
        <v>1716.806</v>
      </c>
      <c r="F1296" s="19" t="n">
        <v>85.8947368421053</v>
      </c>
      <c r="G1296" s="19" t="n">
        <v>1777.66105263158</v>
      </c>
    </row>
    <row r="1297" customFormat="false" ht="15" hidden="false" customHeight="false" outlineLevel="0" collapsed="false">
      <c r="A1297" s="8" t="s">
        <v>1786</v>
      </c>
      <c r="B1297" s="8" t="n">
        <v>4403028</v>
      </c>
      <c r="C1297" s="8" t="s">
        <v>1181</v>
      </c>
      <c r="D1297" s="19" t="n">
        <v>434</v>
      </c>
      <c r="E1297" s="19" t="n">
        <v>20790.497</v>
      </c>
      <c r="F1297" s="19" t="n">
        <v>-6.31578947368421</v>
      </c>
      <c r="G1297" s="19" t="n">
        <v>-297.253894736842</v>
      </c>
    </row>
    <row r="1298" customFormat="false" ht="15" hidden="false" customHeight="false" outlineLevel="0" collapsed="false">
      <c r="A1298" s="8" t="s">
        <v>1786</v>
      </c>
      <c r="B1298" s="8" t="n">
        <v>4403029</v>
      </c>
      <c r="C1298" s="8" t="s">
        <v>1182</v>
      </c>
      <c r="D1298" s="19" t="n">
        <v>545</v>
      </c>
      <c r="E1298" s="19" t="n">
        <v>26055.939</v>
      </c>
      <c r="F1298" s="19" t="n">
        <v>-3.78947368421053</v>
      </c>
      <c r="G1298" s="19" t="n">
        <v>-175.869473684211</v>
      </c>
    </row>
    <row r="1299" customFormat="false" ht="15" hidden="false" customHeight="false" outlineLevel="0" collapsed="false">
      <c r="A1299" s="8" t="s">
        <v>1786</v>
      </c>
      <c r="B1299" s="8" t="n">
        <v>4403030</v>
      </c>
      <c r="C1299" s="8" t="s">
        <v>1183</v>
      </c>
      <c r="D1299" s="19" t="n">
        <v>527</v>
      </c>
      <c r="E1299" s="19" t="n">
        <v>25230.023</v>
      </c>
      <c r="F1299" s="19" t="n">
        <v>-2.52631578947368</v>
      </c>
      <c r="G1299" s="19" t="n">
        <v>-118.280842105263</v>
      </c>
    </row>
    <row r="1300" customFormat="false" ht="15" hidden="false" customHeight="false" outlineLevel="0" collapsed="false">
      <c r="A1300" s="8" t="s">
        <v>1786</v>
      </c>
      <c r="B1300" s="8" t="n">
        <v>4403040</v>
      </c>
      <c r="C1300" s="8" t="s">
        <v>1186</v>
      </c>
      <c r="D1300" s="19" t="n">
        <v>111</v>
      </c>
      <c r="E1300" s="19" t="n">
        <v>3080.077</v>
      </c>
      <c r="F1300" s="19" t="n">
        <v>78.3157894736842</v>
      </c>
      <c r="G1300" s="19" t="n">
        <v>2284.00421052632</v>
      </c>
    </row>
    <row r="1301" customFormat="false" ht="15" hidden="false" customHeight="false" outlineLevel="0" collapsed="false">
      <c r="A1301" s="8" t="s">
        <v>1786</v>
      </c>
      <c r="B1301" s="8" t="n">
        <v>4403041</v>
      </c>
      <c r="C1301" s="8" t="s">
        <v>1187</v>
      </c>
      <c r="D1301" s="19" t="n">
        <v>0</v>
      </c>
      <c r="E1301" s="19" t="n">
        <v>0</v>
      </c>
      <c r="F1301" s="19" t="n">
        <v>539.368421052632</v>
      </c>
      <c r="G1301" s="19" t="n">
        <v>26818.4854736842</v>
      </c>
    </row>
    <row r="1302" customFormat="false" ht="15" hidden="false" customHeight="false" outlineLevel="0" collapsed="false">
      <c r="A1302" s="8" t="s">
        <v>1786</v>
      </c>
      <c r="B1302" s="8" t="n">
        <v>4403042</v>
      </c>
      <c r="C1302" s="8" t="s">
        <v>1188</v>
      </c>
      <c r="D1302" s="19" t="n">
        <v>0</v>
      </c>
      <c r="E1302" s="19" t="n">
        <v>0</v>
      </c>
      <c r="F1302" s="19" t="n">
        <v>817.263157894737</v>
      </c>
      <c r="G1302" s="19" t="n">
        <v>40625.1587368421</v>
      </c>
    </row>
    <row r="1303" customFormat="false" ht="15" hidden="false" customHeight="false" outlineLevel="0" collapsed="false">
      <c r="A1303" s="8" t="s">
        <v>1786</v>
      </c>
      <c r="B1303" s="8" t="n">
        <v>4403043</v>
      </c>
      <c r="C1303" s="8" t="s">
        <v>1189</v>
      </c>
      <c r="D1303" s="19" t="n">
        <v>0</v>
      </c>
      <c r="E1303" s="19" t="n">
        <v>0</v>
      </c>
      <c r="F1303" s="19" t="n">
        <v>603.789473684211</v>
      </c>
      <c r="G1303" s="19" t="n">
        <v>29986.8947368421</v>
      </c>
    </row>
    <row r="1304" customFormat="false" ht="15" hidden="false" customHeight="false" outlineLevel="0" collapsed="false">
      <c r="A1304" s="8" t="s">
        <v>1786</v>
      </c>
      <c r="B1304" s="8" t="n">
        <v>4404000</v>
      </c>
      <c r="C1304" s="8" t="s">
        <v>1192</v>
      </c>
      <c r="D1304" s="19" t="n">
        <v>-2</v>
      </c>
      <c r="E1304" s="19" t="n">
        <v>-42.861</v>
      </c>
      <c r="F1304" s="19" t="n">
        <v>0</v>
      </c>
      <c r="G1304" s="19" t="n">
        <v>0</v>
      </c>
    </row>
    <row r="1305" customFormat="false" ht="15" hidden="false" customHeight="false" outlineLevel="0" collapsed="false">
      <c r="A1305" s="8" t="s">
        <v>1786</v>
      </c>
      <c r="B1305" s="8" t="n">
        <v>4408005</v>
      </c>
      <c r="C1305" s="8" t="s">
        <v>1788</v>
      </c>
      <c r="D1305" s="19" t="n">
        <v>-1</v>
      </c>
      <c r="E1305" s="19" t="n">
        <v>-134.134</v>
      </c>
      <c r="F1305" s="19" t="n">
        <v>0</v>
      </c>
      <c r="G1305" s="19" t="n">
        <v>0</v>
      </c>
    </row>
    <row r="1306" customFormat="false" ht="15" hidden="false" customHeight="false" outlineLevel="0" collapsed="false">
      <c r="A1306" s="8" t="s">
        <v>1786</v>
      </c>
      <c r="B1306" s="8" t="n">
        <v>4408009</v>
      </c>
      <c r="C1306" s="8" t="s">
        <v>1195</v>
      </c>
      <c r="D1306" s="19" t="n">
        <v>2</v>
      </c>
      <c r="E1306" s="19" t="n">
        <v>184.457</v>
      </c>
      <c r="F1306" s="19" t="n">
        <v>-7.57894736842105</v>
      </c>
      <c r="G1306" s="19" t="n">
        <v>-619.566315789474</v>
      </c>
    </row>
    <row r="1307" customFormat="false" ht="15" hidden="false" customHeight="false" outlineLevel="0" collapsed="false">
      <c r="A1307" s="8" t="s">
        <v>1786</v>
      </c>
      <c r="B1307" s="8" t="n">
        <v>4408010</v>
      </c>
      <c r="C1307" s="8" t="s">
        <v>1196</v>
      </c>
      <c r="D1307" s="19" t="n">
        <v>-3</v>
      </c>
      <c r="E1307" s="19" t="n">
        <v>-241.514</v>
      </c>
      <c r="F1307" s="19" t="n">
        <v>-3.78947368421053</v>
      </c>
      <c r="G1307" s="19" t="n">
        <v>-317.714526315789</v>
      </c>
    </row>
    <row r="1308" customFormat="false" ht="15" hidden="false" customHeight="false" outlineLevel="0" collapsed="false">
      <c r="A1308" s="8" t="s">
        <v>1786</v>
      </c>
      <c r="B1308" s="8" t="n">
        <v>4408011</v>
      </c>
      <c r="C1308" s="8" t="s">
        <v>1197</v>
      </c>
      <c r="D1308" s="19" t="n">
        <v>-2</v>
      </c>
      <c r="E1308" s="19" t="n">
        <v>-137.501</v>
      </c>
      <c r="F1308" s="19" t="n">
        <v>-2.52631578947368</v>
      </c>
      <c r="G1308" s="19" t="n">
        <v>-199.088842105263</v>
      </c>
    </row>
    <row r="1309" customFormat="false" ht="15" hidden="false" customHeight="false" outlineLevel="0" collapsed="false">
      <c r="A1309" s="8" t="s">
        <v>1786</v>
      </c>
      <c r="B1309" s="8" t="n">
        <v>4408012</v>
      </c>
      <c r="C1309" s="8" t="s">
        <v>1198</v>
      </c>
      <c r="D1309" s="19" t="n">
        <v>-6</v>
      </c>
      <c r="E1309" s="19" t="n">
        <v>-462.007</v>
      </c>
      <c r="F1309" s="19" t="n">
        <v>-3.78947368421053</v>
      </c>
      <c r="G1309" s="19" t="n">
        <v>-310.357894736842</v>
      </c>
    </row>
    <row r="1310" customFormat="false" ht="15" hidden="false" customHeight="false" outlineLevel="0" collapsed="false">
      <c r="A1310" s="8" t="s">
        <v>1786</v>
      </c>
      <c r="B1310" s="8" t="n">
        <v>4408013</v>
      </c>
      <c r="C1310" s="8" t="s">
        <v>1199</v>
      </c>
      <c r="D1310" s="19" t="n">
        <v>3</v>
      </c>
      <c r="E1310" s="19" t="n">
        <v>251.524</v>
      </c>
      <c r="F1310" s="19" t="n">
        <v>0</v>
      </c>
      <c r="G1310" s="19" t="n">
        <v>0</v>
      </c>
    </row>
    <row r="1311" customFormat="false" ht="15" hidden="false" customHeight="false" outlineLevel="0" collapsed="false">
      <c r="A1311" s="8" t="s">
        <v>1786</v>
      </c>
      <c r="B1311" s="8" t="n">
        <v>4408017</v>
      </c>
      <c r="C1311" s="8" t="s">
        <v>1203</v>
      </c>
      <c r="D1311" s="19" t="n">
        <v>-1</v>
      </c>
      <c r="E1311" s="19" t="n">
        <v>-196.014</v>
      </c>
      <c r="F1311" s="19" t="n">
        <v>-1.26315789473684</v>
      </c>
      <c r="G1311" s="19" t="n">
        <v>-247.596631578947</v>
      </c>
    </row>
    <row r="1312" customFormat="false" ht="15" hidden="false" customHeight="false" outlineLevel="0" collapsed="false">
      <c r="A1312" s="8" t="s">
        <v>1786</v>
      </c>
      <c r="B1312" s="8" t="n">
        <v>4408026</v>
      </c>
      <c r="C1312" s="8" t="s">
        <v>1206</v>
      </c>
      <c r="D1312" s="19" t="n">
        <v>6</v>
      </c>
      <c r="E1312" s="19" t="n">
        <v>715.624</v>
      </c>
      <c r="F1312" s="19" t="n">
        <v>-5.05263157894737</v>
      </c>
      <c r="G1312" s="19" t="n">
        <v>-602.554105263158</v>
      </c>
    </row>
    <row r="1313" customFormat="false" ht="15" hidden="false" customHeight="false" outlineLevel="0" collapsed="false">
      <c r="A1313" s="8" t="s">
        <v>1786</v>
      </c>
      <c r="B1313" s="8" t="n">
        <v>4408027</v>
      </c>
      <c r="C1313" s="8" t="s">
        <v>1207</v>
      </c>
      <c r="D1313" s="19" t="n">
        <v>58</v>
      </c>
      <c r="E1313" s="19" t="n">
        <v>6894.069</v>
      </c>
      <c r="F1313" s="19" t="n">
        <v>17.6842105263158</v>
      </c>
      <c r="G1313" s="19" t="n">
        <v>2157.792</v>
      </c>
    </row>
    <row r="1314" customFormat="false" ht="15" hidden="false" customHeight="false" outlineLevel="0" collapsed="false">
      <c r="A1314" s="8" t="s">
        <v>1786</v>
      </c>
      <c r="B1314" s="8" t="n">
        <v>4408028</v>
      </c>
      <c r="C1314" s="8" t="s">
        <v>1208</v>
      </c>
      <c r="D1314" s="19" t="n">
        <v>37</v>
      </c>
      <c r="E1314" s="19" t="n">
        <v>4436.978</v>
      </c>
      <c r="F1314" s="19" t="n">
        <v>10.1052631578947</v>
      </c>
      <c r="G1314" s="19" t="n">
        <v>1257.29431578947</v>
      </c>
    </row>
    <row r="1315" customFormat="false" ht="15" hidden="false" customHeight="false" outlineLevel="0" collapsed="false">
      <c r="A1315" s="8" t="s">
        <v>1786</v>
      </c>
      <c r="B1315" s="8" t="n">
        <v>4408029</v>
      </c>
      <c r="C1315" s="8" t="s">
        <v>1209</v>
      </c>
      <c r="D1315" s="19" t="n">
        <v>65</v>
      </c>
      <c r="E1315" s="19" t="n">
        <v>7752.836</v>
      </c>
      <c r="F1315" s="19" t="n">
        <v>34.1052631578947</v>
      </c>
      <c r="G1315" s="19" t="n">
        <v>4120.74821052632</v>
      </c>
    </row>
    <row r="1316" customFormat="false" ht="15" hidden="false" customHeight="false" outlineLevel="0" collapsed="false">
      <c r="A1316" s="8" t="s">
        <v>1786</v>
      </c>
      <c r="B1316" s="8" t="n">
        <v>4408030</v>
      </c>
      <c r="C1316" s="8" t="s">
        <v>1210</v>
      </c>
      <c r="D1316" s="19" t="n">
        <v>4</v>
      </c>
      <c r="E1316" s="19" t="n">
        <v>477.022</v>
      </c>
      <c r="F1316" s="19" t="n">
        <v>0</v>
      </c>
      <c r="G1316" s="19" t="n">
        <v>0</v>
      </c>
    </row>
    <row r="1317" customFormat="false" ht="15" hidden="false" customHeight="false" outlineLevel="0" collapsed="false">
      <c r="A1317" s="8" t="s">
        <v>1786</v>
      </c>
      <c r="B1317" s="8" t="n">
        <v>4408031</v>
      </c>
      <c r="C1317" s="8" t="s">
        <v>1211</v>
      </c>
      <c r="D1317" s="19" t="n">
        <v>147</v>
      </c>
      <c r="E1317" s="19" t="n">
        <v>12052.677</v>
      </c>
      <c r="F1317" s="19" t="n">
        <v>116.210526315789</v>
      </c>
      <c r="G1317" s="19" t="n">
        <v>9783.74526315789</v>
      </c>
    </row>
    <row r="1318" customFormat="false" ht="15" hidden="false" customHeight="false" outlineLevel="0" collapsed="false">
      <c r="A1318" s="8" t="s">
        <v>1786</v>
      </c>
      <c r="B1318" s="8" t="n">
        <v>4408032</v>
      </c>
      <c r="C1318" s="8" t="s">
        <v>1212</v>
      </c>
      <c r="D1318" s="19" t="n">
        <v>412</v>
      </c>
      <c r="E1318" s="19" t="n">
        <v>33715.682</v>
      </c>
      <c r="F1318" s="19" t="n">
        <v>314.526315789474</v>
      </c>
      <c r="G1318" s="19" t="n">
        <v>25942.8164210526</v>
      </c>
    </row>
    <row r="1319" customFormat="false" ht="15" hidden="false" customHeight="false" outlineLevel="0" collapsed="false">
      <c r="A1319" s="8" t="s">
        <v>1786</v>
      </c>
      <c r="B1319" s="8" t="n">
        <v>4408033</v>
      </c>
      <c r="C1319" s="8" t="s">
        <v>1213</v>
      </c>
      <c r="D1319" s="19" t="n">
        <v>313</v>
      </c>
      <c r="E1319" s="19" t="n">
        <v>25544.428</v>
      </c>
      <c r="F1319" s="19" t="n">
        <v>223.578947368421</v>
      </c>
      <c r="G1319" s="19" t="n">
        <v>18410.5452631579</v>
      </c>
    </row>
    <row r="1320" customFormat="false" ht="15" hidden="false" customHeight="false" outlineLevel="0" collapsed="false">
      <c r="A1320" s="8" t="s">
        <v>1786</v>
      </c>
      <c r="B1320" s="8" t="n">
        <v>4408034</v>
      </c>
      <c r="C1320" s="8" t="s">
        <v>1214</v>
      </c>
      <c r="D1320" s="19" t="n">
        <v>399</v>
      </c>
      <c r="E1320" s="19" t="n">
        <v>32649.799</v>
      </c>
      <c r="F1320" s="19" t="n">
        <v>304.421052631579</v>
      </c>
      <c r="G1320" s="19" t="n">
        <v>24968.9823157895</v>
      </c>
    </row>
    <row r="1321" customFormat="false" ht="15" hidden="false" customHeight="false" outlineLevel="0" collapsed="false">
      <c r="A1321" s="8" t="s">
        <v>1786</v>
      </c>
      <c r="B1321" s="8" t="n">
        <v>4408035</v>
      </c>
      <c r="C1321" s="8" t="s">
        <v>1215</v>
      </c>
      <c r="D1321" s="19" t="n">
        <v>98</v>
      </c>
      <c r="E1321" s="19" t="n">
        <v>7963.046</v>
      </c>
      <c r="F1321" s="19" t="n">
        <v>58.1052631578947</v>
      </c>
      <c r="G1321" s="19" t="n">
        <v>4756.17726315789</v>
      </c>
    </row>
    <row r="1322" customFormat="false" ht="15" hidden="false" customHeight="false" outlineLevel="0" collapsed="false">
      <c r="A1322" s="8" t="s">
        <v>1786</v>
      </c>
      <c r="B1322" s="8" t="n">
        <v>4408038</v>
      </c>
      <c r="C1322" s="8" t="s">
        <v>1789</v>
      </c>
      <c r="D1322" s="19" t="n">
        <v>-1</v>
      </c>
      <c r="E1322" s="19" t="n">
        <v>-162.526</v>
      </c>
      <c r="F1322" s="19" t="n">
        <v>0</v>
      </c>
      <c r="G1322" s="19" t="n">
        <v>0</v>
      </c>
    </row>
    <row r="1323" customFormat="false" ht="15" hidden="false" customHeight="false" outlineLevel="0" collapsed="false">
      <c r="A1323" s="8" t="s">
        <v>1786</v>
      </c>
      <c r="B1323" s="8" t="n">
        <v>4408039</v>
      </c>
      <c r="C1323" s="8" t="s">
        <v>1790</v>
      </c>
      <c r="D1323" s="19" t="n">
        <v>0</v>
      </c>
      <c r="E1323" s="19" t="n">
        <v>0</v>
      </c>
      <c r="F1323" s="19" t="n">
        <v>-1.26315789473684</v>
      </c>
      <c r="G1323" s="19" t="n">
        <v>-205.296</v>
      </c>
    </row>
    <row r="1324" customFormat="false" ht="15" hidden="false" customHeight="false" outlineLevel="0" collapsed="false">
      <c r="A1324" s="8" t="s">
        <v>1786</v>
      </c>
      <c r="B1324" s="8" t="n">
        <v>4408042</v>
      </c>
      <c r="C1324" s="8" t="s">
        <v>1217</v>
      </c>
      <c r="D1324" s="19" t="n">
        <v>0</v>
      </c>
      <c r="E1324" s="19" t="n">
        <v>0</v>
      </c>
      <c r="F1324" s="19" t="n">
        <v>-1.26315789473684</v>
      </c>
      <c r="G1324" s="19" t="n">
        <v>-305.989894736842</v>
      </c>
    </row>
    <row r="1325" customFormat="false" ht="15" hidden="false" customHeight="false" outlineLevel="0" collapsed="false">
      <c r="A1325" s="8" t="s">
        <v>1786</v>
      </c>
      <c r="B1325" s="8" t="n">
        <v>4408046</v>
      </c>
      <c r="C1325" s="8" t="s">
        <v>1220</v>
      </c>
      <c r="D1325" s="19" t="n">
        <v>189</v>
      </c>
      <c r="E1325" s="19" t="n">
        <v>4316.403</v>
      </c>
      <c r="F1325" s="19" t="n">
        <v>155.368421052632</v>
      </c>
      <c r="G1325" s="19" t="n">
        <v>3683.48842105263</v>
      </c>
    </row>
    <row r="1326" customFormat="false" ht="15" hidden="false" customHeight="false" outlineLevel="0" collapsed="false">
      <c r="A1326" s="8" t="s">
        <v>1786</v>
      </c>
      <c r="B1326" s="8" t="n">
        <v>4408047</v>
      </c>
      <c r="C1326" s="8" t="s">
        <v>1221</v>
      </c>
      <c r="D1326" s="19" t="n">
        <v>282</v>
      </c>
      <c r="E1326" s="19" t="n">
        <v>6448.169</v>
      </c>
      <c r="F1326" s="19" t="n">
        <v>174.315789473684</v>
      </c>
      <c r="G1326" s="19" t="n">
        <v>4054.65347368421</v>
      </c>
    </row>
    <row r="1327" customFormat="false" ht="15" hidden="false" customHeight="false" outlineLevel="0" collapsed="false">
      <c r="A1327" s="8" t="s">
        <v>1786</v>
      </c>
      <c r="B1327" s="8" t="n">
        <v>4408048</v>
      </c>
      <c r="C1327" s="8" t="s">
        <v>1222</v>
      </c>
      <c r="D1327" s="19" t="n">
        <v>183</v>
      </c>
      <c r="E1327" s="19" t="n">
        <v>4179.994</v>
      </c>
      <c r="F1327" s="19" t="n">
        <v>128.842105263158</v>
      </c>
      <c r="G1327" s="19" t="n">
        <v>3033.576</v>
      </c>
    </row>
    <row r="1328" customFormat="false" ht="15" hidden="false" customHeight="false" outlineLevel="0" collapsed="false">
      <c r="A1328" s="8" t="s">
        <v>1786</v>
      </c>
      <c r="B1328" s="8" t="n">
        <v>4408049</v>
      </c>
      <c r="C1328" s="8" t="s">
        <v>1223</v>
      </c>
      <c r="D1328" s="19" t="n">
        <v>84</v>
      </c>
      <c r="E1328" s="19" t="n">
        <v>1915.186</v>
      </c>
      <c r="F1328" s="19" t="n">
        <v>46.7368421052632</v>
      </c>
      <c r="G1328" s="19" t="n">
        <v>1079.24084210526</v>
      </c>
    </row>
    <row r="1329" customFormat="false" ht="15" hidden="false" customHeight="false" outlineLevel="0" collapsed="false">
      <c r="A1329" s="8" t="s">
        <v>1786</v>
      </c>
      <c r="B1329" s="8" t="n">
        <v>4408050</v>
      </c>
      <c r="C1329" s="8" t="s">
        <v>1224</v>
      </c>
      <c r="D1329" s="19" t="n">
        <v>1</v>
      </c>
      <c r="E1329" s="19" t="n">
        <v>22.932</v>
      </c>
      <c r="F1329" s="19" t="n">
        <v>-2.52631578947368</v>
      </c>
      <c r="G1329" s="19" t="n">
        <v>-55.0597894736842</v>
      </c>
    </row>
    <row r="1330" customFormat="false" ht="15" hidden="false" customHeight="false" outlineLevel="0" collapsed="false">
      <c r="A1330" s="8" t="s">
        <v>1786</v>
      </c>
      <c r="B1330" s="8" t="n">
        <v>4408051</v>
      </c>
      <c r="C1330" s="8" t="s">
        <v>1225</v>
      </c>
      <c r="D1330" s="19" t="n">
        <v>2255</v>
      </c>
      <c r="E1330" s="19" t="n">
        <v>67097.03</v>
      </c>
      <c r="F1330" s="19" t="n">
        <v>1864.42105263158</v>
      </c>
      <c r="G1330" s="19" t="n">
        <v>55952.4707368421</v>
      </c>
    </row>
    <row r="1331" customFormat="false" ht="15" hidden="false" customHeight="false" outlineLevel="0" collapsed="false">
      <c r="A1331" s="8" t="s">
        <v>1786</v>
      </c>
      <c r="B1331" s="8" t="n">
        <v>4408052</v>
      </c>
      <c r="C1331" s="8" t="s">
        <v>1226</v>
      </c>
      <c r="D1331" s="19" t="n">
        <v>2160</v>
      </c>
      <c r="E1331" s="19" t="n">
        <v>64170.197</v>
      </c>
      <c r="F1331" s="19" t="n">
        <v>1817.68421052632</v>
      </c>
      <c r="G1331" s="19" t="n">
        <v>54433.4412631579</v>
      </c>
    </row>
    <row r="1332" customFormat="false" ht="15" hidden="false" customHeight="false" outlineLevel="0" collapsed="false">
      <c r="A1332" s="8" t="s">
        <v>1786</v>
      </c>
      <c r="B1332" s="8" t="n">
        <v>4408053</v>
      </c>
      <c r="C1332" s="8" t="s">
        <v>1227</v>
      </c>
      <c r="D1332" s="19" t="n">
        <v>3042</v>
      </c>
      <c r="E1332" s="19" t="n">
        <v>90502.048</v>
      </c>
      <c r="F1332" s="19" t="n">
        <v>2480.84210526316</v>
      </c>
      <c r="G1332" s="19" t="n">
        <v>74406.5810526316</v>
      </c>
    </row>
    <row r="1333" customFormat="false" ht="15" hidden="false" customHeight="false" outlineLevel="0" collapsed="false">
      <c r="A1333" s="8" t="s">
        <v>1786</v>
      </c>
      <c r="B1333" s="8" t="n">
        <v>4408054</v>
      </c>
      <c r="C1333" s="8" t="s">
        <v>1228</v>
      </c>
      <c r="D1333" s="19" t="n">
        <v>801</v>
      </c>
      <c r="E1333" s="19" t="n">
        <v>23805.6</v>
      </c>
      <c r="F1333" s="19" t="n">
        <v>731.368421052632</v>
      </c>
      <c r="G1333" s="19" t="n">
        <v>21927.36</v>
      </c>
    </row>
    <row r="1334" customFormat="false" ht="15" hidden="false" customHeight="false" outlineLevel="0" collapsed="false">
      <c r="A1334" s="8" t="s">
        <v>1786</v>
      </c>
      <c r="B1334" s="8" t="n">
        <v>4408059</v>
      </c>
      <c r="C1334" s="8" t="s">
        <v>1229</v>
      </c>
      <c r="D1334" s="19" t="n">
        <v>-5</v>
      </c>
      <c r="E1334" s="19" t="n">
        <v>-289.471</v>
      </c>
      <c r="F1334" s="19" t="n">
        <v>0</v>
      </c>
      <c r="G1334" s="19" t="n">
        <v>0</v>
      </c>
    </row>
    <row r="1335" customFormat="false" ht="15" hidden="false" customHeight="false" outlineLevel="0" collapsed="false">
      <c r="A1335" s="8" t="s">
        <v>1786</v>
      </c>
      <c r="B1335" s="8" t="n">
        <v>4408060</v>
      </c>
      <c r="C1335" s="8" t="s">
        <v>1230</v>
      </c>
      <c r="D1335" s="19" t="n">
        <v>-1</v>
      </c>
      <c r="E1335" s="19" t="n">
        <v>-57.876</v>
      </c>
      <c r="F1335" s="19" t="n">
        <v>-1.26315789473684</v>
      </c>
      <c r="G1335" s="19" t="n">
        <v>-73.1065263157895</v>
      </c>
    </row>
    <row r="1336" customFormat="false" ht="15" hidden="false" customHeight="false" outlineLevel="0" collapsed="false">
      <c r="A1336" s="8" t="s">
        <v>1786</v>
      </c>
      <c r="B1336" s="8" t="n">
        <v>4408062</v>
      </c>
      <c r="C1336" s="8" t="s">
        <v>1232</v>
      </c>
      <c r="D1336" s="19" t="n">
        <v>-5</v>
      </c>
      <c r="E1336" s="19" t="n">
        <v>-289.471</v>
      </c>
      <c r="F1336" s="19" t="n">
        <v>-1.26315789473684</v>
      </c>
      <c r="G1336" s="19" t="n">
        <v>-69.4282105263158</v>
      </c>
    </row>
    <row r="1337" customFormat="false" ht="15" hidden="false" customHeight="false" outlineLevel="0" collapsed="false">
      <c r="A1337" s="8" t="s">
        <v>1786</v>
      </c>
      <c r="B1337" s="8" t="n">
        <v>4408069</v>
      </c>
      <c r="C1337" s="8" t="s">
        <v>1233</v>
      </c>
      <c r="D1337" s="19" t="n">
        <v>-2</v>
      </c>
      <c r="E1337" s="19" t="n">
        <v>-124.033</v>
      </c>
      <c r="F1337" s="19" t="n">
        <v>0</v>
      </c>
      <c r="G1337" s="19" t="n">
        <v>0</v>
      </c>
    </row>
    <row r="1338" customFormat="false" ht="15" hidden="false" customHeight="false" outlineLevel="0" collapsed="false">
      <c r="A1338" s="8" t="s">
        <v>1786</v>
      </c>
      <c r="B1338" s="8" t="n">
        <v>4408075</v>
      </c>
      <c r="C1338" s="8" t="s">
        <v>1237</v>
      </c>
      <c r="D1338" s="19" t="n">
        <v>0</v>
      </c>
      <c r="E1338" s="19" t="n">
        <v>0</v>
      </c>
      <c r="F1338" s="19" t="n">
        <v>-1.26315789473684</v>
      </c>
      <c r="G1338" s="19" t="n">
        <v>0</v>
      </c>
    </row>
    <row r="1339" customFormat="false" ht="15" hidden="false" customHeight="false" outlineLevel="0" collapsed="false">
      <c r="A1339" s="8" t="s">
        <v>1786</v>
      </c>
      <c r="B1339" s="8" t="n">
        <v>4408076</v>
      </c>
      <c r="C1339" s="8" t="s">
        <v>1238</v>
      </c>
      <c r="D1339" s="19" t="n">
        <v>0</v>
      </c>
      <c r="E1339" s="19" t="n">
        <v>0</v>
      </c>
      <c r="F1339" s="19" t="n">
        <v>1.26315789473684</v>
      </c>
      <c r="G1339" s="19" t="n">
        <v>186.789473684211</v>
      </c>
    </row>
    <row r="1340" customFormat="false" ht="15" hidden="false" customHeight="false" outlineLevel="0" collapsed="false">
      <c r="A1340" s="8" t="s">
        <v>1786</v>
      </c>
      <c r="B1340" s="8" t="n">
        <v>4408077</v>
      </c>
      <c r="C1340" s="8" t="s">
        <v>1239</v>
      </c>
      <c r="D1340" s="19" t="n">
        <v>-1</v>
      </c>
      <c r="E1340" s="19" t="n">
        <v>-151.151</v>
      </c>
      <c r="F1340" s="19" t="n">
        <v>0</v>
      </c>
      <c r="G1340" s="19" t="n">
        <v>0</v>
      </c>
    </row>
    <row r="1341" customFormat="false" ht="15" hidden="false" customHeight="false" outlineLevel="0" collapsed="false">
      <c r="A1341" s="8" t="s">
        <v>1786</v>
      </c>
      <c r="B1341" s="8" t="n">
        <v>4408080</v>
      </c>
      <c r="C1341" s="8" t="s">
        <v>1242</v>
      </c>
      <c r="D1341" s="19" t="n">
        <v>1</v>
      </c>
      <c r="E1341" s="19" t="n">
        <v>151.151</v>
      </c>
      <c r="F1341" s="19" t="n">
        <v>0</v>
      </c>
      <c r="G1341" s="19" t="n">
        <v>0</v>
      </c>
    </row>
    <row r="1342" customFormat="false" ht="15" hidden="false" customHeight="false" outlineLevel="0" collapsed="false">
      <c r="A1342" s="8" t="s">
        <v>1786</v>
      </c>
      <c r="B1342" s="8" t="n">
        <v>4408081</v>
      </c>
      <c r="C1342" s="8" t="s">
        <v>1243</v>
      </c>
      <c r="D1342" s="19" t="n">
        <v>-1</v>
      </c>
      <c r="E1342" s="19" t="n">
        <v>-151.151</v>
      </c>
      <c r="F1342" s="19" t="n">
        <v>0</v>
      </c>
      <c r="G1342" s="19" t="n">
        <v>0</v>
      </c>
    </row>
    <row r="1343" customFormat="false" ht="15" hidden="false" customHeight="false" outlineLevel="0" collapsed="false">
      <c r="A1343" s="8" t="s">
        <v>1786</v>
      </c>
      <c r="B1343" s="8" t="n">
        <v>4408082</v>
      </c>
      <c r="C1343" s="8" t="s">
        <v>1244</v>
      </c>
      <c r="D1343" s="19" t="n">
        <v>-2</v>
      </c>
      <c r="E1343" s="19" t="n">
        <v>-302.302</v>
      </c>
      <c r="F1343" s="19" t="n">
        <v>0</v>
      </c>
      <c r="G1343" s="19" t="n">
        <v>0</v>
      </c>
    </row>
    <row r="1344" customFormat="false" ht="15" hidden="false" customHeight="false" outlineLevel="0" collapsed="false">
      <c r="A1344" s="8" t="s">
        <v>1786</v>
      </c>
      <c r="B1344" s="8" t="n">
        <v>4408085</v>
      </c>
      <c r="C1344" s="8" t="s">
        <v>1246</v>
      </c>
      <c r="D1344" s="19" t="n">
        <v>-2</v>
      </c>
      <c r="E1344" s="19" t="n">
        <v>-238.511</v>
      </c>
      <c r="F1344" s="19" t="n">
        <v>0</v>
      </c>
      <c r="G1344" s="19" t="n">
        <v>0</v>
      </c>
    </row>
    <row r="1345" customFormat="false" ht="15" hidden="false" customHeight="false" outlineLevel="0" collapsed="false">
      <c r="A1345" s="8" t="s">
        <v>1786</v>
      </c>
      <c r="B1345" s="8" t="n">
        <v>4408086</v>
      </c>
      <c r="C1345" s="8" t="s">
        <v>1791</v>
      </c>
      <c r="D1345" s="19" t="n">
        <v>-1</v>
      </c>
      <c r="E1345" s="19" t="n">
        <v>0</v>
      </c>
      <c r="F1345" s="19" t="n">
        <v>-1.26315789473684</v>
      </c>
      <c r="G1345" s="19" t="n">
        <v>0</v>
      </c>
    </row>
    <row r="1346" customFormat="false" ht="15" hidden="false" customHeight="false" outlineLevel="0" collapsed="false">
      <c r="A1346" s="8" t="s">
        <v>1786</v>
      </c>
      <c r="B1346" s="8" t="n">
        <v>4408088</v>
      </c>
      <c r="C1346" s="8" t="s">
        <v>1248</v>
      </c>
      <c r="D1346" s="19" t="n">
        <v>224</v>
      </c>
      <c r="E1346" s="19" t="n">
        <v>14251.965</v>
      </c>
      <c r="F1346" s="19" t="n">
        <v>-31.5789473684211</v>
      </c>
      <c r="G1346" s="19" t="n">
        <v>-1971.57726315789</v>
      </c>
    </row>
    <row r="1347" customFormat="false" ht="15" hidden="false" customHeight="false" outlineLevel="0" collapsed="false">
      <c r="A1347" s="8" t="s">
        <v>1786</v>
      </c>
      <c r="B1347" s="8" t="n">
        <v>4408089</v>
      </c>
      <c r="C1347" s="8" t="s">
        <v>1249</v>
      </c>
      <c r="D1347" s="19" t="n">
        <v>-1</v>
      </c>
      <c r="E1347" s="19" t="n">
        <v>-74.529</v>
      </c>
      <c r="F1347" s="19" t="n">
        <v>-1.26315789473684</v>
      </c>
      <c r="G1347" s="19" t="n">
        <v>-94.1418947368421</v>
      </c>
    </row>
    <row r="1348" customFormat="false" ht="15" hidden="false" customHeight="false" outlineLevel="0" collapsed="false">
      <c r="A1348" s="8" t="s">
        <v>1786</v>
      </c>
      <c r="B1348" s="8" t="n">
        <v>4408090</v>
      </c>
      <c r="C1348" s="8" t="s">
        <v>1250</v>
      </c>
      <c r="D1348" s="19" t="n">
        <v>9</v>
      </c>
      <c r="E1348" s="19" t="n">
        <v>663.299</v>
      </c>
      <c r="F1348" s="19" t="n">
        <v>2.52631578947368</v>
      </c>
      <c r="G1348" s="19" t="n">
        <v>183.685894736842</v>
      </c>
    </row>
    <row r="1349" customFormat="false" ht="15" hidden="false" customHeight="false" outlineLevel="0" collapsed="false">
      <c r="A1349" s="8" t="s">
        <v>1786</v>
      </c>
      <c r="B1349" s="8" t="n">
        <v>4408091</v>
      </c>
      <c r="C1349" s="8" t="s">
        <v>1251</v>
      </c>
      <c r="D1349" s="19" t="n">
        <v>7</v>
      </c>
      <c r="E1349" s="19" t="n">
        <v>521.703</v>
      </c>
      <c r="F1349" s="19" t="n">
        <v>6.31578947368421</v>
      </c>
      <c r="G1349" s="19" t="n">
        <v>461.283789473684</v>
      </c>
    </row>
    <row r="1350" customFormat="false" ht="15" hidden="false" customHeight="false" outlineLevel="0" collapsed="false">
      <c r="A1350" s="8" t="s">
        <v>1786</v>
      </c>
      <c r="B1350" s="8" t="n">
        <v>4408092</v>
      </c>
      <c r="C1350" s="8" t="s">
        <v>1252</v>
      </c>
      <c r="D1350" s="19" t="n">
        <v>13</v>
      </c>
      <c r="E1350" s="19" t="n">
        <v>957.684</v>
      </c>
      <c r="F1350" s="19" t="n">
        <v>3.78947368421053</v>
      </c>
      <c r="G1350" s="19" t="n">
        <v>287.13852631579</v>
      </c>
    </row>
    <row r="1351" customFormat="false" ht="15" hidden="false" customHeight="false" outlineLevel="0" collapsed="false">
      <c r="A1351" s="8" t="s">
        <v>1786</v>
      </c>
      <c r="B1351" s="8" t="n">
        <v>4408093</v>
      </c>
      <c r="C1351" s="8" t="s">
        <v>1253</v>
      </c>
      <c r="D1351" s="19" t="n">
        <v>0</v>
      </c>
      <c r="E1351" s="19" t="n">
        <v>0</v>
      </c>
      <c r="F1351" s="19" t="n">
        <v>-1.26315789473684</v>
      </c>
      <c r="G1351" s="19" t="n">
        <v>-94.1418947368421</v>
      </c>
    </row>
    <row r="1352" customFormat="false" ht="15" hidden="false" customHeight="false" outlineLevel="0" collapsed="false">
      <c r="A1352" s="8" t="s">
        <v>1786</v>
      </c>
      <c r="B1352" s="8" t="n">
        <v>4408094</v>
      </c>
      <c r="C1352" s="8" t="s">
        <v>1254</v>
      </c>
      <c r="D1352" s="19" t="n">
        <v>187</v>
      </c>
      <c r="E1352" s="19" t="n">
        <v>5414.318</v>
      </c>
      <c r="F1352" s="19" t="n">
        <v>136.421052631579</v>
      </c>
      <c r="G1352" s="19" t="n">
        <v>3907.29094736842</v>
      </c>
    </row>
    <row r="1353" customFormat="false" ht="15" hidden="false" customHeight="false" outlineLevel="0" collapsed="false">
      <c r="A1353" s="8" t="s">
        <v>1786</v>
      </c>
      <c r="B1353" s="8" t="n">
        <v>4408095</v>
      </c>
      <c r="C1353" s="8" t="s">
        <v>1255</v>
      </c>
      <c r="D1353" s="19" t="n">
        <v>121</v>
      </c>
      <c r="E1353" s="19" t="n">
        <v>3507.413</v>
      </c>
      <c r="F1353" s="19" t="n">
        <v>97.2631578947368</v>
      </c>
      <c r="G1353" s="19" t="n">
        <v>2769.65684210526</v>
      </c>
    </row>
    <row r="1354" customFormat="false" ht="15" hidden="false" customHeight="false" outlineLevel="0" collapsed="false">
      <c r="A1354" s="8" t="s">
        <v>1786</v>
      </c>
      <c r="B1354" s="8" t="n">
        <v>4408096</v>
      </c>
      <c r="C1354" s="8" t="s">
        <v>1256</v>
      </c>
      <c r="D1354" s="19" t="n">
        <v>102</v>
      </c>
      <c r="E1354" s="19" t="n">
        <v>2954.679</v>
      </c>
      <c r="F1354" s="19" t="n">
        <v>73.2631578947368</v>
      </c>
      <c r="G1354" s="19" t="n">
        <v>2103.07705263158</v>
      </c>
    </row>
    <row r="1355" customFormat="false" ht="15" hidden="false" customHeight="false" outlineLevel="0" collapsed="false">
      <c r="A1355" s="8" t="s">
        <v>1786</v>
      </c>
      <c r="B1355" s="8" t="n">
        <v>4408097</v>
      </c>
      <c r="C1355" s="8" t="s">
        <v>1257</v>
      </c>
      <c r="D1355" s="19" t="n">
        <v>116</v>
      </c>
      <c r="E1355" s="19" t="n">
        <v>3356.353</v>
      </c>
      <c r="F1355" s="19" t="n">
        <v>75.7894736842105</v>
      </c>
      <c r="G1355" s="19" t="n">
        <v>2158.36673684211</v>
      </c>
    </row>
    <row r="1356" customFormat="false" ht="15" hidden="false" customHeight="false" outlineLevel="0" collapsed="false">
      <c r="A1356" s="8" t="s">
        <v>1786</v>
      </c>
      <c r="B1356" s="8" t="n">
        <v>4408098</v>
      </c>
      <c r="C1356" s="8" t="s">
        <v>1258</v>
      </c>
      <c r="D1356" s="19" t="n">
        <v>4392</v>
      </c>
      <c r="E1356" s="19" t="n">
        <v>146948.074</v>
      </c>
      <c r="F1356" s="19" t="n">
        <v>4188.63157894737</v>
      </c>
      <c r="G1356" s="19" t="n">
        <v>142267.484210526</v>
      </c>
    </row>
    <row r="1357" customFormat="false" ht="15" hidden="false" customHeight="false" outlineLevel="0" collapsed="false">
      <c r="A1357" s="8" t="s">
        <v>1786</v>
      </c>
      <c r="B1357" s="8" t="n">
        <v>4408099</v>
      </c>
      <c r="C1357" s="8" t="s">
        <v>1259</v>
      </c>
      <c r="D1357" s="19" t="n">
        <v>5414</v>
      </c>
      <c r="E1357" s="19" t="n">
        <v>181139.413</v>
      </c>
      <c r="F1357" s="19" t="n">
        <v>5162.52631578947</v>
      </c>
      <c r="G1357" s="19" t="n">
        <v>175272.666947368</v>
      </c>
    </row>
    <row r="1358" customFormat="false" ht="15" hidden="false" customHeight="false" outlineLevel="0" collapsed="false">
      <c r="A1358" s="8" t="s">
        <v>1786</v>
      </c>
      <c r="B1358" s="8" t="n">
        <v>4408104</v>
      </c>
      <c r="C1358" s="8" t="s">
        <v>1762</v>
      </c>
      <c r="D1358" s="19" t="n">
        <v>0</v>
      </c>
      <c r="E1358" s="19" t="n">
        <v>0</v>
      </c>
      <c r="F1358" s="19" t="n">
        <v>-1.26315789473684</v>
      </c>
      <c r="G1358" s="19" t="n">
        <v>-238.170947368421</v>
      </c>
    </row>
    <row r="1359" customFormat="false" ht="15" hidden="false" customHeight="false" outlineLevel="0" collapsed="false">
      <c r="A1359" s="8" t="s">
        <v>1786</v>
      </c>
      <c r="B1359" s="8" t="n">
        <v>4408114</v>
      </c>
      <c r="C1359" s="8" t="s">
        <v>1263</v>
      </c>
      <c r="D1359" s="19" t="n">
        <v>10</v>
      </c>
      <c r="E1359" s="19" t="n">
        <v>803.439</v>
      </c>
      <c r="F1359" s="19" t="n">
        <v>17.6842105263158</v>
      </c>
      <c r="G1359" s="19" t="n">
        <v>1436.61221052632</v>
      </c>
    </row>
    <row r="1360" customFormat="false" ht="15" hidden="false" customHeight="false" outlineLevel="0" collapsed="false">
      <c r="A1360" s="8" t="s">
        <v>1786</v>
      </c>
      <c r="B1360" s="8" t="n">
        <v>4408145</v>
      </c>
      <c r="C1360" s="8" t="s">
        <v>1763</v>
      </c>
      <c r="D1360" s="19" t="n">
        <v>0</v>
      </c>
      <c r="E1360" s="19" t="n">
        <v>0</v>
      </c>
      <c r="F1360" s="19" t="n">
        <v>1.26315789473684</v>
      </c>
      <c r="G1360" s="19" t="n">
        <v>120.349894736842</v>
      </c>
    </row>
    <row r="1361" customFormat="false" ht="15" hidden="false" customHeight="false" outlineLevel="0" collapsed="false">
      <c r="A1361" s="8" t="s">
        <v>1786</v>
      </c>
      <c r="B1361" s="8" t="n">
        <v>4408147</v>
      </c>
      <c r="C1361" s="8" t="s">
        <v>1279</v>
      </c>
      <c r="D1361" s="19" t="n">
        <v>3</v>
      </c>
      <c r="E1361" s="19" t="n">
        <v>286.832</v>
      </c>
      <c r="F1361" s="19" t="n">
        <v>0</v>
      </c>
      <c r="G1361" s="19" t="n">
        <v>0</v>
      </c>
    </row>
    <row r="1362" customFormat="false" ht="15" hidden="false" customHeight="false" outlineLevel="0" collapsed="false">
      <c r="A1362" s="8" t="s">
        <v>1786</v>
      </c>
      <c r="B1362" s="8" t="n">
        <v>4408148</v>
      </c>
      <c r="C1362" s="8" t="s">
        <v>1280</v>
      </c>
      <c r="D1362" s="19" t="n">
        <v>3</v>
      </c>
      <c r="E1362" s="19" t="n">
        <v>286.832</v>
      </c>
      <c r="F1362" s="19" t="n">
        <v>0</v>
      </c>
      <c r="G1362" s="19" t="n">
        <v>-6.32210526315789</v>
      </c>
    </row>
    <row r="1363" customFormat="false" ht="15" hidden="false" customHeight="false" outlineLevel="0" collapsed="false">
      <c r="A1363" s="8" t="s">
        <v>1786</v>
      </c>
      <c r="B1363" s="8" t="n">
        <v>4408150</v>
      </c>
      <c r="C1363" s="8" t="s">
        <v>1282</v>
      </c>
      <c r="D1363" s="19" t="n">
        <v>0</v>
      </c>
      <c r="E1363" s="19" t="n">
        <v>0</v>
      </c>
      <c r="F1363" s="19" t="n">
        <v>-1.26315789473684</v>
      </c>
      <c r="G1363" s="19" t="n">
        <v>-147.592421052632</v>
      </c>
    </row>
    <row r="1364" customFormat="false" ht="15" hidden="false" customHeight="false" outlineLevel="0" collapsed="false">
      <c r="A1364" s="8" t="s">
        <v>1786</v>
      </c>
      <c r="B1364" s="8" t="n">
        <v>4408151</v>
      </c>
      <c r="C1364" s="8" t="s">
        <v>1283</v>
      </c>
      <c r="D1364" s="19" t="n">
        <v>13</v>
      </c>
      <c r="E1364" s="19" t="n">
        <v>1586.676</v>
      </c>
      <c r="F1364" s="19" t="n">
        <v>11.3684210526316</v>
      </c>
      <c r="G1364" s="19" t="n">
        <v>1362.35621052632</v>
      </c>
    </row>
    <row r="1365" customFormat="false" ht="15" hidden="false" customHeight="false" outlineLevel="0" collapsed="false">
      <c r="A1365" s="8" t="s">
        <v>1786</v>
      </c>
      <c r="B1365" s="8" t="n">
        <v>4408152</v>
      </c>
      <c r="C1365" s="8" t="s">
        <v>1284</v>
      </c>
      <c r="D1365" s="19" t="n">
        <v>10</v>
      </c>
      <c r="E1365" s="19" t="n">
        <v>1186.913</v>
      </c>
      <c r="F1365" s="19" t="n">
        <v>29.0526315789474</v>
      </c>
      <c r="G1365" s="19" t="n">
        <v>3518.30905263158</v>
      </c>
    </row>
    <row r="1366" customFormat="false" ht="15" hidden="false" customHeight="false" outlineLevel="0" collapsed="false">
      <c r="A1366" s="8" t="s">
        <v>1786</v>
      </c>
      <c r="B1366" s="8" t="n">
        <v>4408153</v>
      </c>
      <c r="C1366" s="8" t="s">
        <v>1285</v>
      </c>
      <c r="D1366" s="19" t="n">
        <v>19</v>
      </c>
      <c r="E1366" s="19" t="n">
        <v>2275.364</v>
      </c>
      <c r="F1366" s="19" t="n">
        <v>27.7894736842105</v>
      </c>
      <c r="G1366" s="19" t="n">
        <v>3358.76210526316</v>
      </c>
    </row>
    <row r="1367" customFormat="false" ht="15" hidden="false" customHeight="false" outlineLevel="0" collapsed="false">
      <c r="A1367" s="8" t="s">
        <v>1786</v>
      </c>
      <c r="B1367" s="8" t="n">
        <v>4408154</v>
      </c>
      <c r="C1367" s="8" t="s">
        <v>1286</v>
      </c>
      <c r="D1367" s="19" t="n">
        <v>21</v>
      </c>
      <c r="E1367" s="19" t="n">
        <v>2527.525</v>
      </c>
      <c r="F1367" s="19" t="n">
        <v>51.7894736842105</v>
      </c>
      <c r="G1367" s="19" t="n">
        <v>6286.81642105263</v>
      </c>
    </row>
    <row r="1368" customFormat="false" ht="15" hidden="false" customHeight="false" outlineLevel="0" collapsed="false">
      <c r="A1368" s="8" t="s">
        <v>1786</v>
      </c>
      <c r="B1368" s="8" t="n">
        <v>4408178</v>
      </c>
      <c r="C1368" s="8" t="s">
        <v>1289</v>
      </c>
      <c r="D1368" s="19" t="n">
        <v>-1</v>
      </c>
      <c r="E1368" s="19" t="n">
        <v>-122.85</v>
      </c>
      <c r="F1368" s="19" t="n">
        <v>-1.26315789473684</v>
      </c>
      <c r="G1368" s="19" t="n">
        <v>-155.178947368421</v>
      </c>
    </row>
    <row r="1369" customFormat="false" ht="15" hidden="false" customHeight="false" outlineLevel="0" collapsed="false">
      <c r="A1369" s="8" t="s">
        <v>1786</v>
      </c>
      <c r="B1369" s="8" t="n">
        <v>4408190</v>
      </c>
      <c r="C1369" s="8" t="s">
        <v>1292</v>
      </c>
      <c r="D1369" s="19" t="n">
        <v>65</v>
      </c>
      <c r="E1369" s="19" t="n">
        <v>5654.376</v>
      </c>
      <c r="F1369" s="19" t="n">
        <v>45.4736842105263</v>
      </c>
      <c r="G1369" s="19" t="n">
        <v>4189.37178947369</v>
      </c>
    </row>
    <row r="1370" customFormat="false" ht="15" hidden="false" customHeight="false" outlineLevel="0" collapsed="false">
      <c r="A1370" s="8" t="s">
        <v>1786</v>
      </c>
      <c r="B1370" s="8" t="n">
        <v>4408192</v>
      </c>
      <c r="C1370" s="8" t="s">
        <v>1293</v>
      </c>
      <c r="D1370" s="19" t="n">
        <v>164</v>
      </c>
      <c r="E1370" s="19" t="n">
        <v>14289.457</v>
      </c>
      <c r="F1370" s="19" t="n">
        <v>103.578947368421</v>
      </c>
      <c r="G1370" s="19" t="n">
        <v>9460.97305263158</v>
      </c>
    </row>
    <row r="1371" customFormat="false" ht="15" hidden="false" customHeight="false" outlineLevel="0" collapsed="false">
      <c r="A1371" s="8" t="s">
        <v>1786</v>
      </c>
      <c r="B1371" s="8" t="n">
        <v>4408203</v>
      </c>
      <c r="C1371" s="8" t="s">
        <v>1294</v>
      </c>
      <c r="D1371" s="19" t="n">
        <v>2</v>
      </c>
      <c r="E1371" s="19" t="n">
        <v>402.311</v>
      </c>
      <c r="F1371" s="19" t="n">
        <v>13.8947368421053</v>
      </c>
      <c r="G1371" s="19" t="n">
        <v>2179.86189473684</v>
      </c>
    </row>
    <row r="1372" customFormat="false" ht="15" hidden="false" customHeight="false" outlineLevel="0" collapsed="false">
      <c r="A1372" s="8" t="s">
        <v>1786</v>
      </c>
      <c r="B1372" s="8" t="n">
        <v>4408208</v>
      </c>
      <c r="C1372" s="8" t="s">
        <v>1298</v>
      </c>
      <c r="D1372" s="19" t="n">
        <v>803</v>
      </c>
      <c r="E1372" s="19" t="n">
        <v>19483.646</v>
      </c>
      <c r="F1372" s="19" t="n">
        <v>721.263157894737</v>
      </c>
      <c r="G1372" s="19" t="n">
        <v>18089.8421052632</v>
      </c>
    </row>
    <row r="1373" customFormat="false" ht="15" hidden="false" customHeight="false" outlineLevel="0" collapsed="false">
      <c r="A1373" s="8" t="s">
        <v>1786</v>
      </c>
      <c r="B1373" s="8" t="n">
        <v>4408217</v>
      </c>
      <c r="C1373" s="8" t="s">
        <v>1299</v>
      </c>
      <c r="D1373" s="19" t="n">
        <v>11</v>
      </c>
      <c r="E1373" s="19" t="n">
        <v>942.305</v>
      </c>
      <c r="F1373" s="19" t="n">
        <v>3.78947368421053</v>
      </c>
      <c r="G1373" s="19" t="n">
        <v>361.739368421053</v>
      </c>
    </row>
    <row r="1374" customFormat="false" ht="15" hidden="false" customHeight="false" outlineLevel="0" collapsed="false">
      <c r="A1374" s="8" t="s">
        <v>1786</v>
      </c>
      <c r="B1374" s="8" t="n">
        <v>4408218</v>
      </c>
      <c r="C1374" s="8" t="s">
        <v>1300</v>
      </c>
      <c r="D1374" s="19" t="n">
        <v>132</v>
      </c>
      <c r="E1374" s="19" t="n">
        <v>11466.182</v>
      </c>
      <c r="F1374" s="19" t="n">
        <v>53.0526315789474</v>
      </c>
      <c r="G1374" s="19" t="n">
        <v>4901.12589473684</v>
      </c>
    </row>
    <row r="1375" customFormat="false" ht="15" hidden="false" customHeight="false" outlineLevel="0" collapsed="false">
      <c r="A1375" s="8" t="s">
        <v>1786</v>
      </c>
      <c r="B1375" s="8" t="n">
        <v>4408219</v>
      </c>
      <c r="C1375" s="8" t="s">
        <v>1301</v>
      </c>
      <c r="D1375" s="19" t="n">
        <v>359</v>
      </c>
      <c r="E1375" s="19" t="n">
        <v>30084.418</v>
      </c>
      <c r="F1375" s="19" t="n">
        <v>332.21052631579</v>
      </c>
      <c r="G1375" s="19" t="n">
        <v>28285.9035789474</v>
      </c>
    </row>
    <row r="1376" customFormat="false" ht="15" hidden="false" customHeight="false" outlineLevel="0" collapsed="false">
      <c r="A1376" s="8" t="s">
        <v>1786</v>
      </c>
      <c r="B1376" s="8" t="n">
        <v>4408220</v>
      </c>
      <c r="C1376" s="8" t="s">
        <v>1302</v>
      </c>
      <c r="D1376" s="19" t="n">
        <v>1204</v>
      </c>
      <c r="E1376" s="19" t="n">
        <v>100781.954</v>
      </c>
      <c r="F1376" s="19" t="n">
        <v>1019.36842105263</v>
      </c>
      <c r="G1376" s="19" t="n">
        <v>86868.3701052632</v>
      </c>
    </row>
    <row r="1377" customFormat="false" ht="15" hidden="false" customHeight="false" outlineLevel="0" collapsed="false">
      <c r="A1377" s="8" t="s">
        <v>1786</v>
      </c>
      <c r="B1377" s="8" t="n">
        <v>4408221</v>
      </c>
      <c r="C1377" s="8" t="s">
        <v>1303</v>
      </c>
      <c r="D1377" s="19" t="n">
        <v>1760</v>
      </c>
      <c r="E1377" s="19" t="n">
        <v>147415.359</v>
      </c>
      <c r="F1377" s="19" t="n">
        <v>1490.52631578947</v>
      </c>
      <c r="G1377" s="19" t="n">
        <v>126945.229894737</v>
      </c>
    </row>
    <row r="1378" customFormat="false" ht="15" hidden="false" customHeight="false" outlineLevel="0" collapsed="false">
      <c r="A1378" s="8" t="s">
        <v>1786</v>
      </c>
      <c r="B1378" s="8" t="n">
        <v>4408222</v>
      </c>
      <c r="C1378" s="8" t="s">
        <v>1304</v>
      </c>
      <c r="D1378" s="19" t="n">
        <v>1499</v>
      </c>
      <c r="E1378" s="19" t="n">
        <v>125504.379</v>
      </c>
      <c r="F1378" s="19" t="n">
        <v>1126.73684210526</v>
      </c>
      <c r="G1378" s="19" t="n">
        <v>96041.6298947368</v>
      </c>
    </row>
    <row r="1379" customFormat="false" ht="15" hidden="false" customHeight="false" outlineLevel="0" collapsed="false">
      <c r="A1379" s="8" t="s">
        <v>1786</v>
      </c>
      <c r="B1379" s="8" t="n">
        <v>4408223</v>
      </c>
      <c r="C1379" s="8" t="s">
        <v>1305</v>
      </c>
      <c r="D1379" s="19" t="n">
        <v>161</v>
      </c>
      <c r="E1379" s="19" t="n">
        <v>13446.615</v>
      </c>
      <c r="F1379" s="19" t="n">
        <v>120</v>
      </c>
      <c r="G1379" s="19" t="n">
        <v>10224.3385263158</v>
      </c>
    </row>
    <row r="1380" customFormat="false" ht="15" hidden="false" customHeight="false" outlineLevel="0" collapsed="false">
      <c r="A1380" s="8" t="s">
        <v>1786</v>
      </c>
      <c r="B1380" s="8" t="n">
        <v>4408224</v>
      </c>
      <c r="C1380" s="8" t="s">
        <v>1792</v>
      </c>
      <c r="D1380" s="19" t="n">
        <v>15</v>
      </c>
      <c r="E1380" s="19" t="n">
        <v>1101.555</v>
      </c>
      <c r="F1380" s="19" t="n">
        <v>0</v>
      </c>
      <c r="G1380" s="19" t="n">
        <v>29.7713684210526</v>
      </c>
    </row>
    <row r="1381" customFormat="false" ht="15" hidden="false" customHeight="false" outlineLevel="0" collapsed="false">
      <c r="A1381" s="8" t="s">
        <v>1786</v>
      </c>
      <c r="B1381" s="8" t="n">
        <v>4408225</v>
      </c>
      <c r="C1381" s="8" t="s">
        <v>1306</v>
      </c>
      <c r="D1381" s="19" t="n">
        <v>34</v>
      </c>
      <c r="E1381" s="19" t="n">
        <v>2484.846</v>
      </c>
      <c r="F1381" s="19" t="n">
        <v>0</v>
      </c>
      <c r="G1381" s="19" t="n">
        <v>78.3941052631579</v>
      </c>
    </row>
    <row r="1382" customFormat="false" ht="15" hidden="false" customHeight="false" outlineLevel="0" collapsed="false">
      <c r="A1382" s="8" t="s">
        <v>1786</v>
      </c>
      <c r="B1382" s="8" t="n">
        <v>4408226</v>
      </c>
      <c r="C1382" s="8" t="s">
        <v>1307</v>
      </c>
      <c r="D1382" s="19" t="n">
        <v>45</v>
      </c>
      <c r="E1382" s="19" t="n">
        <v>3286.283</v>
      </c>
      <c r="F1382" s="19" t="n">
        <v>2.52631578947368</v>
      </c>
      <c r="G1382" s="19" t="n">
        <v>233.458105263158</v>
      </c>
    </row>
    <row r="1383" customFormat="false" ht="15" hidden="false" customHeight="false" outlineLevel="0" collapsed="false">
      <c r="A1383" s="8" t="s">
        <v>1786</v>
      </c>
      <c r="B1383" s="8" t="n">
        <v>4408227</v>
      </c>
      <c r="C1383" s="8" t="s">
        <v>1308</v>
      </c>
      <c r="D1383" s="19" t="n">
        <v>32</v>
      </c>
      <c r="E1383" s="19" t="n">
        <v>2320.136</v>
      </c>
      <c r="F1383" s="19" t="n">
        <v>1.26315789473684</v>
      </c>
      <c r="G1383" s="19" t="n">
        <v>152.075368421053</v>
      </c>
    </row>
    <row r="1384" customFormat="false" ht="15" hidden="false" customHeight="false" outlineLevel="0" collapsed="false">
      <c r="A1384" s="8" t="s">
        <v>1786</v>
      </c>
      <c r="B1384" s="8" t="n">
        <v>4408229</v>
      </c>
      <c r="C1384" s="8" t="s">
        <v>1309</v>
      </c>
      <c r="D1384" s="19" t="n">
        <v>8</v>
      </c>
      <c r="E1384" s="19" t="n">
        <v>578.214</v>
      </c>
      <c r="F1384" s="19" t="n">
        <v>0</v>
      </c>
      <c r="G1384" s="19" t="n">
        <v>19.5410526315789</v>
      </c>
    </row>
    <row r="1385" customFormat="false" ht="15" hidden="false" customHeight="false" outlineLevel="0" collapsed="false">
      <c r="A1385" s="8" t="s">
        <v>1786</v>
      </c>
      <c r="B1385" s="8" t="n">
        <v>4408230</v>
      </c>
      <c r="C1385" s="8" t="s">
        <v>1310</v>
      </c>
      <c r="D1385" s="19" t="n">
        <v>44</v>
      </c>
      <c r="E1385" s="19" t="n">
        <v>4031.664</v>
      </c>
      <c r="F1385" s="19" t="n">
        <v>37.8947368421053</v>
      </c>
      <c r="G1385" s="19" t="n">
        <v>3575.43789473684</v>
      </c>
    </row>
    <row r="1386" customFormat="false" ht="15" hidden="false" customHeight="false" outlineLevel="0" collapsed="false">
      <c r="A1386" s="8" t="s">
        <v>1786</v>
      </c>
      <c r="B1386" s="8" t="n">
        <v>4408231</v>
      </c>
      <c r="C1386" s="8" t="s">
        <v>1311</v>
      </c>
      <c r="D1386" s="19" t="n">
        <v>19</v>
      </c>
      <c r="E1386" s="19" t="n">
        <v>1753.479</v>
      </c>
      <c r="F1386" s="19" t="n">
        <v>17.6842105263158</v>
      </c>
      <c r="G1386" s="19" t="n">
        <v>1602.94105263158</v>
      </c>
    </row>
    <row r="1387" customFormat="false" ht="15" hidden="false" customHeight="false" outlineLevel="0" collapsed="false">
      <c r="A1387" s="8" t="s">
        <v>1786</v>
      </c>
      <c r="B1387" s="8" t="n">
        <v>4408232</v>
      </c>
      <c r="C1387" s="8" t="s">
        <v>1312</v>
      </c>
      <c r="D1387" s="19" t="n">
        <v>-1</v>
      </c>
      <c r="E1387" s="19" t="n">
        <v>-92.001</v>
      </c>
      <c r="F1387" s="19" t="n">
        <v>0</v>
      </c>
      <c r="G1387" s="19" t="n">
        <v>0</v>
      </c>
    </row>
    <row r="1388" customFormat="false" ht="15" hidden="false" customHeight="false" outlineLevel="0" collapsed="false">
      <c r="A1388" s="8" t="s">
        <v>1786</v>
      </c>
      <c r="B1388" s="8" t="n">
        <v>4408233</v>
      </c>
      <c r="C1388" s="8" t="s">
        <v>1793</v>
      </c>
      <c r="D1388" s="19" t="n">
        <v>-1</v>
      </c>
      <c r="E1388" s="19" t="n">
        <v>-77.987</v>
      </c>
      <c r="F1388" s="19" t="n">
        <v>0</v>
      </c>
      <c r="G1388" s="19" t="n">
        <v>0</v>
      </c>
    </row>
    <row r="1389" customFormat="false" ht="15" hidden="false" customHeight="false" outlineLevel="0" collapsed="false">
      <c r="A1389" s="8" t="s">
        <v>1786</v>
      </c>
      <c r="B1389" s="8" t="n">
        <v>4408234</v>
      </c>
      <c r="C1389" s="8" t="s">
        <v>1313</v>
      </c>
      <c r="D1389" s="19" t="n">
        <v>-1</v>
      </c>
      <c r="E1389" s="19" t="n">
        <v>-83.811</v>
      </c>
      <c r="F1389" s="19" t="n">
        <v>-2.52631578947368</v>
      </c>
      <c r="G1389" s="19" t="n">
        <v>-206.560421052632</v>
      </c>
    </row>
    <row r="1390" customFormat="false" ht="15" hidden="false" customHeight="false" outlineLevel="0" collapsed="false">
      <c r="A1390" s="8" t="s">
        <v>1786</v>
      </c>
      <c r="B1390" s="8" t="n">
        <v>4408235</v>
      </c>
      <c r="C1390" s="8" t="s">
        <v>1314</v>
      </c>
      <c r="D1390" s="19" t="n">
        <v>-10</v>
      </c>
      <c r="E1390" s="19" t="n">
        <v>-838.474</v>
      </c>
      <c r="F1390" s="19" t="n">
        <v>-17.6842105263158</v>
      </c>
      <c r="G1390" s="19" t="n">
        <v>-1482.82105263158</v>
      </c>
    </row>
    <row r="1391" customFormat="false" ht="15" hidden="false" customHeight="false" outlineLevel="0" collapsed="false">
      <c r="A1391" s="8" t="s">
        <v>1786</v>
      </c>
      <c r="B1391" s="8" t="n">
        <v>4408236</v>
      </c>
      <c r="C1391" s="8" t="s">
        <v>1765</v>
      </c>
      <c r="D1391" s="19" t="n">
        <v>0</v>
      </c>
      <c r="E1391" s="19" t="n">
        <v>0</v>
      </c>
      <c r="F1391" s="19" t="n">
        <v>-1.26315789473684</v>
      </c>
      <c r="G1391" s="19" t="n">
        <v>-105.866526315789</v>
      </c>
    </row>
    <row r="1392" customFormat="false" ht="15" hidden="false" customHeight="false" outlineLevel="0" collapsed="false">
      <c r="A1392" s="8" t="s">
        <v>1786</v>
      </c>
      <c r="B1392" s="8" t="n">
        <v>4408240</v>
      </c>
      <c r="C1392" s="8" t="s">
        <v>1794</v>
      </c>
      <c r="D1392" s="19" t="n">
        <v>0</v>
      </c>
      <c r="E1392" s="19" t="n">
        <v>0</v>
      </c>
      <c r="F1392" s="19" t="n">
        <v>-1.26315789473684</v>
      </c>
      <c r="G1392" s="19" t="n">
        <v>-89.4290526315789</v>
      </c>
    </row>
    <row r="1393" customFormat="false" ht="15" hidden="false" customHeight="false" outlineLevel="0" collapsed="false">
      <c r="A1393" s="8" t="s">
        <v>1786</v>
      </c>
      <c r="B1393" s="8" t="n">
        <v>4408248</v>
      </c>
      <c r="C1393" s="8" t="s">
        <v>1317</v>
      </c>
      <c r="D1393" s="19" t="n">
        <v>13</v>
      </c>
      <c r="E1393" s="19" t="n">
        <v>877.877</v>
      </c>
      <c r="F1393" s="19" t="n">
        <v>10.1052631578947</v>
      </c>
      <c r="G1393" s="19" t="n">
        <v>687.615157894737</v>
      </c>
    </row>
    <row r="1394" customFormat="false" ht="15" hidden="false" customHeight="false" outlineLevel="0" collapsed="false">
      <c r="A1394" s="8" t="s">
        <v>1786</v>
      </c>
      <c r="B1394" s="8" t="n">
        <v>4408249</v>
      </c>
      <c r="C1394" s="8" t="s">
        <v>1318</v>
      </c>
      <c r="D1394" s="19" t="n">
        <v>6</v>
      </c>
      <c r="E1394" s="19" t="n">
        <v>411.502</v>
      </c>
      <c r="F1394" s="19" t="n">
        <v>13.8947368421053</v>
      </c>
      <c r="G1394" s="19" t="n">
        <v>944.52252631579</v>
      </c>
    </row>
    <row r="1395" customFormat="false" ht="15" hidden="false" customHeight="false" outlineLevel="0" collapsed="false">
      <c r="A1395" s="8" t="s">
        <v>1786</v>
      </c>
      <c r="B1395" s="8" t="n">
        <v>4408250</v>
      </c>
      <c r="C1395" s="8" t="s">
        <v>1319</v>
      </c>
      <c r="D1395" s="19" t="n">
        <v>15</v>
      </c>
      <c r="E1395" s="19" t="n">
        <v>1016.834</v>
      </c>
      <c r="F1395" s="19" t="n">
        <v>8.84210526315789</v>
      </c>
      <c r="G1395" s="19" t="n">
        <v>602.784</v>
      </c>
    </row>
    <row r="1396" customFormat="false" ht="15" hidden="false" customHeight="false" outlineLevel="0" collapsed="false">
      <c r="A1396" s="8" t="s">
        <v>1786</v>
      </c>
      <c r="B1396" s="8" t="n">
        <v>4408251</v>
      </c>
      <c r="C1396" s="8" t="s">
        <v>1795</v>
      </c>
      <c r="D1396" s="19" t="n">
        <v>0</v>
      </c>
      <c r="E1396" s="19" t="n">
        <v>0</v>
      </c>
      <c r="F1396" s="19" t="n">
        <v>-1.26315789473684</v>
      </c>
      <c r="G1396" s="19" t="n">
        <v>-136.557473684211</v>
      </c>
    </row>
    <row r="1397" customFormat="false" ht="15" hidden="false" customHeight="false" outlineLevel="0" collapsed="false">
      <c r="A1397" s="8" t="s">
        <v>1786</v>
      </c>
      <c r="B1397" s="8" t="n">
        <v>4408252</v>
      </c>
      <c r="C1397" s="8" t="s">
        <v>1766</v>
      </c>
      <c r="D1397" s="19" t="n">
        <v>0</v>
      </c>
      <c r="E1397" s="19" t="n">
        <v>0</v>
      </c>
      <c r="F1397" s="19" t="n">
        <v>-1.26315789473684</v>
      </c>
      <c r="G1397" s="19" t="n">
        <v>-136.557473684211</v>
      </c>
    </row>
    <row r="1398" customFormat="false" ht="15" hidden="false" customHeight="false" outlineLevel="0" collapsed="false">
      <c r="A1398" s="8" t="s">
        <v>1786</v>
      </c>
      <c r="B1398" s="8" t="n">
        <v>4408265</v>
      </c>
      <c r="C1398" s="8" t="s">
        <v>1324</v>
      </c>
      <c r="D1398" s="19" t="n">
        <v>28</v>
      </c>
      <c r="E1398" s="19" t="n">
        <v>2402.491</v>
      </c>
      <c r="F1398" s="19" t="n">
        <v>32.8421052631579</v>
      </c>
      <c r="G1398" s="19" t="n">
        <v>2884.71915789474</v>
      </c>
    </row>
    <row r="1399" customFormat="false" ht="15" hidden="false" customHeight="false" outlineLevel="0" collapsed="false">
      <c r="A1399" s="8" t="s">
        <v>1786</v>
      </c>
      <c r="B1399" s="8" t="n">
        <v>4408266</v>
      </c>
      <c r="C1399" s="8" t="s">
        <v>1325</v>
      </c>
      <c r="D1399" s="19" t="n">
        <v>922</v>
      </c>
      <c r="E1399" s="19" t="n">
        <v>57176.392</v>
      </c>
      <c r="F1399" s="19" t="n">
        <v>1148.21052631579</v>
      </c>
      <c r="G1399" s="19" t="n">
        <v>76161.2526315789</v>
      </c>
    </row>
    <row r="1400" customFormat="false" ht="15" hidden="false" customHeight="false" outlineLevel="0" collapsed="false">
      <c r="A1400" s="8" t="s">
        <v>1786</v>
      </c>
      <c r="B1400" s="8" t="n">
        <v>4408271</v>
      </c>
      <c r="C1400" s="8" t="s">
        <v>1747</v>
      </c>
      <c r="D1400" s="19" t="n">
        <v>0</v>
      </c>
      <c r="E1400" s="19" t="n">
        <v>0</v>
      </c>
      <c r="F1400" s="19" t="n">
        <v>13.8947368421053</v>
      </c>
      <c r="G1400" s="19" t="n">
        <v>3527.61978947368</v>
      </c>
    </row>
    <row r="1401" customFormat="false" ht="15" hidden="false" customHeight="false" outlineLevel="0" collapsed="false">
      <c r="A1401" s="8" t="s">
        <v>1786</v>
      </c>
      <c r="B1401" s="8" t="n">
        <v>4408272</v>
      </c>
      <c r="C1401" s="8" t="s">
        <v>1326</v>
      </c>
      <c r="D1401" s="19" t="n">
        <v>0</v>
      </c>
      <c r="E1401" s="19" t="n">
        <v>0</v>
      </c>
      <c r="F1401" s="19" t="n">
        <v>13.8947368421053</v>
      </c>
      <c r="G1401" s="19" t="n">
        <v>3543.71242105263</v>
      </c>
    </row>
    <row r="1402" customFormat="false" ht="15" hidden="false" customHeight="false" outlineLevel="0" collapsed="false">
      <c r="A1402" s="8" t="s">
        <v>1786</v>
      </c>
      <c r="B1402" s="8" t="n">
        <v>4408273</v>
      </c>
      <c r="C1402" s="8" t="s">
        <v>1327</v>
      </c>
      <c r="D1402" s="19" t="n">
        <v>0</v>
      </c>
      <c r="E1402" s="19" t="n">
        <v>0</v>
      </c>
      <c r="F1402" s="19" t="n">
        <v>16.4210526315789</v>
      </c>
      <c r="G1402" s="19" t="n">
        <v>4171.89978947368</v>
      </c>
    </row>
    <row r="1403" customFormat="false" ht="15" hidden="false" customHeight="false" outlineLevel="0" collapsed="false">
      <c r="A1403" s="8" t="s">
        <v>1786</v>
      </c>
      <c r="B1403" s="8" t="n">
        <v>4408274</v>
      </c>
      <c r="C1403" s="8" t="s">
        <v>1328</v>
      </c>
      <c r="D1403" s="19" t="n">
        <v>0</v>
      </c>
      <c r="E1403" s="19" t="n">
        <v>0</v>
      </c>
      <c r="F1403" s="19" t="n">
        <v>15.1578947368421</v>
      </c>
      <c r="G1403" s="19" t="n">
        <v>3849.70231578947</v>
      </c>
    </row>
    <row r="1404" customFormat="false" ht="15" hidden="false" customHeight="false" outlineLevel="0" collapsed="false">
      <c r="A1404" s="8" t="s">
        <v>1786</v>
      </c>
      <c r="B1404" s="8" t="n">
        <v>4409000</v>
      </c>
      <c r="C1404" s="8" t="s">
        <v>1330</v>
      </c>
      <c r="D1404" s="19" t="n">
        <v>0</v>
      </c>
      <c r="E1404" s="19" t="n">
        <v>0</v>
      </c>
      <c r="F1404" s="19" t="n">
        <v>-2.52631578947368</v>
      </c>
      <c r="G1404" s="19" t="n">
        <v>-26.5528421052632</v>
      </c>
    </row>
    <row r="1405" customFormat="false" ht="15" hidden="false" customHeight="false" outlineLevel="0" collapsed="false">
      <c r="A1405" s="8" t="s">
        <v>1786</v>
      </c>
      <c r="B1405" s="8" t="n">
        <v>4409001</v>
      </c>
      <c r="C1405" s="8" t="s">
        <v>1331</v>
      </c>
      <c r="D1405" s="19" t="n">
        <v>223</v>
      </c>
      <c r="E1405" s="19" t="n">
        <v>2102.464</v>
      </c>
      <c r="F1405" s="19" t="n">
        <v>168</v>
      </c>
      <c r="G1405" s="19" t="n">
        <v>1610.52757894737</v>
      </c>
    </row>
    <row r="1406" customFormat="false" ht="15" hidden="false" customHeight="false" outlineLevel="0" collapsed="false">
      <c r="A1406" s="8" t="s">
        <v>1786</v>
      </c>
      <c r="B1406" s="8" t="n">
        <v>4409002</v>
      </c>
      <c r="C1406" s="8" t="s">
        <v>1332</v>
      </c>
      <c r="D1406" s="19" t="n">
        <v>-8</v>
      </c>
      <c r="E1406" s="19" t="n">
        <v>-213.941</v>
      </c>
      <c r="F1406" s="19" t="n">
        <v>-2.52631578947368</v>
      </c>
      <c r="G1406" s="19" t="n">
        <v>-66.4395789473684</v>
      </c>
    </row>
    <row r="1407" customFormat="false" ht="15" hidden="false" customHeight="false" outlineLevel="0" collapsed="false">
      <c r="A1407" s="8" t="s">
        <v>1786</v>
      </c>
      <c r="B1407" s="8" t="n">
        <v>4409004</v>
      </c>
      <c r="C1407" s="8" t="s">
        <v>1333</v>
      </c>
      <c r="D1407" s="19" t="n">
        <v>1282</v>
      </c>
      <c r="E1407" s="19" t="n">
        <v>18807.971</v>
      </c>
      <c r="F1407" s="19" t="n">
        <v>709.894736842105</v>
      </c>
      <c r="G1407" s="19" t="n">
        <v>10715.3936842105</v>
      </c>
    </row>
    <row r="1408" customFormat="false" ht="15" hidden="false" customHeight="false" outlineLevel="0" collapsed="false">
      <c r="A1408" s="8" t="s">
        <v>1786</v>
      </c>
      <c r="B1408" s="8" t="n">
        <v>4409014</v>
      </c>
      <c r="C1408" s="8" t="s">
        <v>1338</v>
      </c>
      <c r="D1408" s="19" t="n">
        <v>796</v>
      </c>
      <c r="E1408" s="19" t="n">
        <v>29254.862</v>
      </c>
      <c r="F1408" s="19" t="n">
        <v>488.842105263158</v>
      </c>
      <c r="G1408" s="19" t="n">
        <v>17960.4113684211</v>
      </c>
    </row>
    <row r="1409" customFormat="false" ht="15" hidden="false" customHeight="false" outlineLevel="0" collapsed="false">
      <c r="A1409" s="8" t="s">
        <v>1786</v>
      </c>
      <c r="B1409" s="8" t="n">
        <v>4409015</v>
      </c>
      <c r="C1409" s="8" t="s">
        <v>1339</v>
      </c>
      <c r="D1409" s="19" t="n">
        <v>1200</v>
      </c>
      <c r="E1409" s="19" t="n">
        <v>44130.996</v>
      </c>
      <c r="F1409" s="19" t="n">
        <v>898.105263157895</v>
      </c>
      <c r="G1409" s="19" t="n">
        <v>32969.8938947368</v>
      </c>
    </row>
    <row r="1410" customFormat="false" ht="15" hidden="false" customHeight="false" outlineLevel="0" collapsed="false">
      <c r="A1410" s="8" t="s">
        <v>1786</v>
      </c>
      <c r="B1410" s="8" t="n">
        <v>4409016</v>
      </c>
      <c r="C1410" s="8" t="s">
        <v>1340</v>
      </c>
      <c r="D1410" s="19" t="n">
        <v>1251</v>
      </c>
      <c r="E1410" s="19" t="n">
        <v>45216.444</v>
      </c>
      <c r="F1410" s="19" t="n">
        <v>984</v>
      </c>
      <c r="G1410" s="19" t="n">
        <v>35819.5541052632</v>
      </c>
    </row>
    <row r="1411" customFormat="false" ht="15" hidden="false" customHeight="false" outlineLevel="0" collapsed="false">
      <c r="A1411" s="8" t="s">
        <v>1786</v>
      </c>
      <c r="B1411" s="8" t="n">
        <v>4409017</v>
      </c>
      <c r="C1411" s="8" t="s">
        <v>1341</v>
      </c>
      <c r="D1411" s="19" t="n">
        <v>1150</v>
      </c>
      <c r="E1411" s="19" t="n">
        <v>41494.271</v>
      </c>
      <c r="F1411" s="19" t="n">
        <v>890.526315789474</v>
      </c>
      <c r="G1411" s="19" t="n">
        <v>32476.4248421053</v>
      </c>
    </row>
    <row r="1412" customFormat="false" ht="15" hidden="false" customHeight="false" outlineLevel="0" collapsed="false">
      <c r="A1412" s="8" t="s">
        <v>1786</v>
      </c>
      <c r="B1412" s="8" t="n">
        <v>4411000</v>
      </c>
      <c r="C1412" s="8" t="s">
        <v>1342</v>
      </c>
      <c r="D1412" s="19" t="n">
        <v>2204</v>
      </c>
      <c r="E1412" s="19" t="n">
        <v>46518.199</v>
      </c>
      <c r="F1412" s="19" t="n">
        <v>2181.47368421053</v>
      </c>
      <c r="G1412" s="19" t="n">
        <v>47212.2176842105</v>
      </c>
    </row>
    <row r="1413" customFormat="false" ht="15" hidden="false" customHeight="false" outlineLevel="0" collapsed="false">
      <c r="A1413" s="8" t="s">
        <v>1786</v>
      </c>
      <c r="B1413" s="8" t="n">
        <v>4411001</v>
      </c>
      <c r="C1413" s="8" t="s">
        <v>1343</v>
      </c>
      <c r="D1413" s="19" t="n">
        <v>235</v>
      </c>
      <c r="E1413" s="19" t="n">
        <v>5188.456</v>
      </c>
      <c r="F1413" s="19" t="n">
        <v>223.578947368421</v>
      </c>
      <c r="G1413" s="19" t="n">
        <v>4938.94357894737</v>
      </c>
    </row>
    <row r="1414" customFormat="false" ht="15" hidden="false" customHeight="false" outlineLevel="0" collapsed="false">
      <c r="A1414" s="8" t="s">
        <v>1786</v>
      </c>
      <c r="B1414" s="8" t="n">
        <v>4411002</v>
      </c>
      <c r="C1414" s="8" t="s">
        <v>1796</v>
      </c>
      <c r="D1414" s="19" t="n">
        <v>-3</v>
      </c>
      <c r="E1414" s="19" t="n">
        <v>-357.812</v>
      </c>
      <c r="F1414" s="19" t="n">
        <v>0</v>
      </c>
      <c r="G1414" s="19" t="n">
        <v>0</v>
      </c>
    </row>
    <row r="1415" customFormat="false" ht="15" hidden="false" customHeight="false" outlineLevel="0" collapsed="false">
      <c r="A1415" s="8" t="s">
        <v>1786</v>
      </c>
      <c r="B1415" s="8" t="n">
        <v>4411015</v>
      </c>
      <c r="C1415" s="8" t="s">
        <v>1344</v>
      </c>
      <c r="D1415" s="19" t="n">
        <v>21</v>
      </c>
      <c r="E1415" s="19" t="n">
        <v>752.024</v>
      </c>
      <c r="F1415" s="19" t="n">
        <v>84.6315789473684</v>
      </c>
      <c r="G1415" s="19" t="n">
        <v>3007.25305263158</v>
      </c>
    </row>
    <row r="1416" customFormat="false" ht="15" hidden="false" customHeight="false" outlineLevel="0" collapsed="false">
      <c r="A1416" s="8" t="s">
        <v>1786</v>
      </c>
      <c r="B1416" s="8" t="n">
        <v>4411016</v>
      </c>
      <c r="C1416" s="8" t="s">
        <v>1345</v>
      </c>
      <c r="D1416" s="19" t="n">
        <v>278</v>
      </c>
      <c r="E1416" s="19" t="n">
        <v>20546.344</v>
      </c>
      <c r="F1416" s="19" t="n">
        <v>272.842105263158</v>
      </c>
      <c r="G1416" s="19" t="n">
        <v>20032.9124210526</v>
      </c>
    </row>
    <row r="1417" customFormat="false" ht="15" hidden="false" customHeight="false" outlineLevel="0" collapsed="false">
      <c r="A1417" s="8" t="s">
        <v>1786</v>
      </c>
      <c r="B1417" s="8" t="n">
        <v>4411017</v>
      </c>
      <c r="C1417" s="8" t="s">
        <v>1346</v>
      </c>
      <c r="D1417" s="19" t="n">
        <v>180</v>
      </c>
      <c r="E1417" s="19" t="n">
        <v>4653.467</v>
      </c>
      <c r="F1417" s="19" t="n">
        <v>142.736842105263</v>
      </c>
      <c r="G1417" s="19" t="n">
        <v>3793.72294736842</v>
      </c>
    </row>
    <row r="1418" customFormat="false" ht="15" hidden="false" customHeight="false" outlineLevel="0" collapsed="false">
      <c r="A1418" s="8" t="s">
        <v>1786</v>
      </c>
      <c r="B1418" s="8" t="n">
        <v>4411018</v>
      </c>
      <c r="C1418" s="8" t="s">
        <v>1347</v>
      </c>
      <c r="D1418" s="19" t="n">
        <v>258</v>
      </c>
      <c r="E1418" s="19" t="n">
        <v>6683.768</v>
      </c>
      <c r="F1418" s="19" t="n">
        <v>204.631578947368</v>
      </c>
      <c r="G1418" s="19" t="n">
        <v>5391.95115789474</v>
      </c>
    </row>
    <row r="1419" customFormat="false" ht="15" hidden="false" customHeight="false" outlineLevel="0" collapsed="false">
      <c r="A1419" s="8" t="s">
        <v>1786</v>
      </c>
      <c r="B1419" s="8" t="n">
        <v>4411019</v>
      </c>
      <c r="C1419" s="8" t="s">
        <v>1348</v>
      </c>
      <c r="D1419" s="19" t="n">
        <v>246</v>
      </c>
      <c r="E1419" s="19" t="n">
        <v>6368.453</v>
      </c>
      <c r="F1419" s="19" t="n">
        <v>195.789473684211</v>
      </c>
      <c r="G1419" s="19" t="n">
        <v>5146.07873684211</v>
      </c>
    </row>
    <row r="1420" customFormat="false" ht="15" hidden="false" customHeight="false" outlineLevel="0" collapsed="false">
      <c r="A1420" s="8" t="s">
        <v>1786</v>
      </c>
      <c r="B1420" s="8" t="n">
        <v>4411020</v>
      </c>
      <c r="C1420" s="8" t="s">
        <v>1349</v>
      </c>
      <c r="D1420" s="19" t="n">
        <v>76</v>
      </c>
      <c r="E1420" s="19" t="n">
        <v>1962.506</v>
      </c>
      <c r="F1420" s="19" t="n">
        <v>42.9473684210526</v>
      </c>
      <c r="G1420" s="19" t="n">
        <v>1142.34694736842</v>
      </c>
    </row>
    <row r="1421" customFormat="false" ht="15" hidden="false" customHeight="false" outlineLevel="0" collapsed="false">
      <c r="A1421" s="8" t="s">
        <v>1786</v>
      </c>
      <c r="B1421" s="8" t="n">
        <v>4411021</v>
      </c>
      <c r="C1421" s="8" t="s">
        <v>1350</v>
      </c>
      <c r="D1421" s="19" t="n">
        <v>244</v>
      </c>
      <c r="E1421" s="19" t="n">
        <v>6317.584</v>
      </c>
      <c r="F1421" s="19" t="n">
        <v>231.157894736842</v>
      </c>
      <c r="G1421" s="19" t="n">
        <v>6207.84757894737</v>
      </c>
    </row>
    <row r="1422" customFormat="false" ht="15" hidden="false" customHeight="false" outlineLevel="0" collapsed="false">
      <c r="A1422" s="8" t="s">
        <v>1786</v>
      </c>
      <c r="B1422" s="8" t="n">
        <v>4411022</v>
      </c>
      <c r="C1422" s="8" t="s">
        <v>1351</v>
      </c>
      <c r="D1422" s="19" t="n">
        <v>419</v>
      </c>
      <c r="E1422" s="19" t="n">
        <v>10853.752</v>
      </c>
      <c r="F1422" s="19" t="n">
        <v>409.263157894737</v>
      </c>
      <c r="G1422" s="19" t="n">
        <v>11010.8084210526</v>
      </c>
    </row>
    <row r="1423" customFormat="false" ht="15" hidden="false" customHeight="false" outlineLevel="0" collapsed="false">
      <c r="A1423" s="8" t="s">
        <v>1786</v>
      </c>
      <c r="B1423" s="8" t="n">
        <v>4411023</v>
      </c>
      <c r="C1423" s="8" t="s">
        <v>1352</v>
      </c>
      <c r="D1423" s="19" t="n">
        <v>395</v>
      </c>
      <c r="E1423" s="19" t="n">
        <v>10241.322</v>
      </c>
      <c r="F1423" s="19" t="n">
        <v>312</v>
      </c>
      <c r="G1423" s="19" t="n">
        <v>8263.68126315789</v>
      </c>
    </row>
    <row r="1424" customFormat="false" ht="15" hidden="false" customHeight="false" outlineLevel="0" collapsed="false">
      <c r="A1424" s="8" t="s">
        <v>1786</v>
      </c>
      <c r="B1424" s="8" t="n">
        <v>4411024</v>
      </c>
      <c r="C1424" s="8" t="s">
        <v>1353</v>
      </c>
      <c r="D1424" s="19" t="n">
        <v>62</v>
      </c>
      <c r="E1424" s="19" t="n">
        <v>1610.7</v>
      </c>
      <c r="F1424" s="19" t="n">
        <v>68.2105263157895</v>
      </c>
      <c r="G1424" s="19" t="n">
        <v>1839.15789473684</v>
      </c>
    </row>
    <row r="1425" customFormat="false" ht="15" hidden="false" customHeight="false" outlineLevel="0" collapsed="false">
      <c r="A1425" s="8" t="s">
        <v>1786</v>
      </c>
      <c r="B1425" s="8" t="n">
        <v>4411026</v>
      </c>
      <c r="C1425" s="8" t="s">
        <v>1354</v>
      </c>
      <c r="D1425" s="19" t="n">
        <v>0</v>
      </c>
      <c r="E1425" s="19" t="n">
        <v>0</v>
      </c>
      <c r="F1425" s="19" t="n">
        <v>27.7894736842105</v>
      </c>
      <c r="G1425" s="19" t="n">
        <v>2532.29052631579</v>
      </c>
    </row>
    <row r="1426" customFormat="false" ht="15" hidden="false" customHeight="false" outlineLevel="0" collapsed="false">
      <c r="A1426" s="8" t="s">
        <v>1786</v>
      </c>
      <c r="B1426" s="8" t="n">
        <v>4411027</v>
      </c>
      <c r="C1426" s="8" t="s">
        <v>1355</v>
      </c>
      <c r="D1426" s="19" t="n">
        <v>0</v>
      </c>
      <c r="E1426" s="19" t="n">
        <v>0</v>
      </c>
      <c r="F1426" s="19" t="n">
        <v>53.0526315789474</v>
      </c>
      <c r="G1426" s="19" t="n">
        <v>4866.18189473684</v>
      </c>
    </row>
    <row r="1427" customFormat="false" ht="15" hidden="false" customHeight="false" outlineLevel="0" collapsed="false">
      <c r="A1427" s="8" t="s">
        <v>1786</v>
      </c>
      <c r="B1427" s="8" t="n">
        <v>4411028</v>
      </c>
      <c r="C1427" s="8" t="s">
        <v>1356</v>
      </c>
      <c r="D1427" s="19" t="n">
        <v>0</v>
      </c>
      <c r="E1427" s="19" t="n">
        <v>0</v>
      </c>
      <c r="F1427" s="19" t="n">
        <v>36.6315789473684</v>
      </c>
      <c r="G1427" s="19" t="n">
        <v>3343.24421052632</v>
      </c>
    </row>
    <row r="1428" customFormat="false" ht="15" hidden="false" customHeight="false" outlineLevel="0" collapsed="false">
      <c r="A1428" s="8" t="s">
        <v>1786</v>
      </c>
      <c r="B1428" s="8" t="n">
        <v>4411029</v>
      </c>
      <c r="C1428" s="8" t="s">
        <v>1357</v>
      </c>
      <c r="D1428" s="19" t="n">
        <v>0</v>
      </c>
      <c r="E1428" s="19" t="n">
        <v>0</v>
      </c>
      <c r="F1428" s="19" t="n">
        <v>29.0526315789474</v>
      </c>
      <c r="G1428" s="19" t="n">
        <v>2643.09978947368</v>
      </c>
    </row>
    <row r="1429" customFormat="false" ht="15" hidden="false" customHeight="false" outlineLevel="0" collapsed="false">
      <c r="A1429" s="8" t="s">
        <v>1786</v>
      </c>
      <c r="B1429" s="8" t="n">
        <v>4411030</v>
      </c>
      <c r="C1429" s="8" t="s">
        <v>1358</v>
      </c>
      <c r="D1429" s="19" t="n">
        <v>0</v>
      </c>
      <c r="E1429" s="19" t="n">
        <v>0</v>
      </c>
      <c r="F1429" s="19" t="n">
        <v>51.7894736842105</v>
      </c>
      <c r="G1429" s="19" t="n">
        <v>4749.39536842105</v>
      </c>
    </row>
    <row r="1430" customFormat="false" ht="15" hidden="false" customHeight="false" outlineLevel="0" collapsed="false">
      <c r="A1430" s="8" t="s">
        <v>1786</v>
      </c>
      <c r="B1430" s="8" t="n">
        <v>4411031</v>
      </c>
      <c r="C1430" s="8" t="s">
        <v>1359</v>
      </c>
      <c r="D1430" s="19" t="n">
        <v>0</v>
      </c>
      <c r="E1430" s="19" t="n">
        <v>0</v>
      </c>
      <c r="F1430" s="19" t="n">
        <v>39.1578947368421</v>
      </c>
      <c r="G1430" s="19" t="n">
        <v>3576.70231578947</v>
      </c>
    </row>
    <row r="1431" customFormat="false" ht="15" hidden="false" customHeight="false" outlineLevel="0" collapsed="false">
      <c r="A1431" s="8" t="s">
        <v>1786</v>
      </c>
      <c r="B1431" s="8" t="n">
        <v>4413000</v>
      </c>
      <c r="C1431" s="8" t="s">
        <v>1360</v>
      </c>
      <c r="D1431" s="19" t="n">
        <v>26</v>
      </c>
      <c r="E1431" s="19" t="n">
        <v>1371.825</v>
      </c>
      <c r="F1431" s="19" t="n">
        <v>-10.1052631578947</v>
      </c>
      <c r="G1431" s="19" t="n">
        <v>-500.710736842105</v>
      </c>
    </row>
    <row r="1432" customFormat="false" ht="15" hidden="false" customHeight="false" outlineLevel="0" collapsed="false">
      <c r="A1432" s="8" t="s">
        <v>1786</v>
      </c>
      <c r="B1432" s="8" t="n">
        <v>4413002</v>
      </c>
      <c r="C1432" s="8" t="s">
        <v>1361</v>
      </c>
      <c r="D1432" s="19" t="n">
        <v>30</v>
      </c>
      <c r="E1432" s="19" t="n">
        <v>1597.232</v>
      </c>
      <c r="F1432" s="19" t="n">
        <v>-8.84210526315789</v>
      </c>
      <c r="G1432" s="19" t="n">
        <v>-451.283368421053</v>
      </c>
    </row>
    <row r="1433" customFormat="false" ht="15" hidden="false" customHeight="false" outlineLevel="0" collapsed="false">
      <c r="A1433" s="8" t="s">
        <v>1786</v>
      </c>
      <c r="B1433" s="8" t="n">
        <v>4413003</v>
      </c>
      <c r="C1433" s="8" t="s">
        <v>1362</v>
      </c>
      <c r="D1433" s="19" t="n">
        <v>31</v>
      </c>
      <c r="E1433" s="19" t="n">
        <v>1639.911</v>
      </c>
      <c r="F1433" s="19" t="n">
        <v>-11.3684210526316</v>
      </c>
      <c r="G1433" s="19" t="n">
        <v>-556.115368421053</v>
      </c>
    </row>
    <row r="1434" customFormat="false" ht="15" hidden="false" customHeight="false" outlineLevel="0" collapsed="false">
      <c r="A1434" s="8" t="s">
        <v>1786</v>
      </c>
      <c r="B1434" s="8" t="n">
        <v>4413004</v>
      </c>
      <c r="C1434" s="8" t="s">
        <v>1363</v>
      </c>
      <c r="D1434" s="19" t="n">
        <v>11</v>
      </c>
      <c r="E1434" s="19" t="n">
        <v>599.872</v>
      </c>
      <c r="F1434" s="19" t="n">
        <v>-13.8947368421053</v>
      </c>
      <c r="G1434" s="19" t="n">
        <v>-708.305684210526</v>
      </c>
    </row>
    <row r="1435" customFormat="false" ht="15" hidden="false" customHeight="false" outlineLevel="0" collapsed="false">
      <c r="A1435" s="8" t="s">
        <v>1786</v>
      </c>
      <c r="B1435" s="8" t="n">
        <v>4413005</v>
      </c>
      <c r="C1435" s="8" t="s">
        <v>1364</v>
      </c>
      <c r="D1435" s="19" t="n">
        <v>-1</v>
      </c>
      <c r="E1435" s="19" t="n">
        <v>-49.595</v>
      </c>
      <c r="F1435" s="19" t="n">
        <v>-1.26315789473684</v>
      </c>
      <c r="G1435" s="19" t="n">
        <v>-62.6463157894737</v>
      </c>
    </row>
    <row r="1436" customFormat="false" ht="15" hidden="false" customHeight="false" outlineLevel="0" collapsed="false">
      <c r="A1436" s="8" t="s">
        <v>1786</v>
      </c>
      <c r="B1436" s="8" t="n">
        <v>4413020</v>
      </c>
      <c r="C1436" s="8" t="s">
        <v>1367</v>
      </c>
      <c r="D1436" s="19" t="n">
        <v>-1</v>
      </c>
      <c r="E1436" s="19" t="n">
        <v>-93.366</v>
      </c>
      <c r="F1436" s="19" t="n">
        <v>0</v>
      </c>
      <c r="G1436" s="19" t="n">
        <v>0</v>
      </c>
    </row>
    <row r="1437" customFormat="false" ht="15" hidden="false" customHeight="false" outlineLevel="0" collapsed="false">
      <c r="A1437" s="8" t="s">
        <v>1786</v>
      </c>
      <c r="B1437" s="8" t="n">
        <v>4413022</v>
      </c>
      <c r="C1437" s="8" t="s">
        <v>1369</v>
      </c>
      <c r="D1437" s="19" t="n">
        <v>-5</v>
      </c>
      <c r="E1437" s="19" t="n">
        <v>-466.83</v>
      </c>
      <c r="F1437" s="19" t="n">
        <v>0</v>
      </c>
      <c r="G1437" s="19" t="n">
        <v>0</v>
      </c>
    </row>
    <row r="1438" customFormat="false" ht="15" hidden="false" customHeight="false" outlineLevel="0" collapsed="false">
      <c r="A1438" s="8" t="s">
        <v>1786</v>
      </c>
      <c r="B1438" s="8" t="n">
        <v>4413033</v>
      </c>
      <c r="C1438" s="8" t="s">
        <v>1370</v>
      </c>
      <c r="D1438" s="19" t="n">
        <v>4057</v>
      </c>
      <c r="E1438" s="19" t="n">
        <v>45672.9</v>
      </c>
      <c r="F1438" s="19" t="n">
        <v>3660.63157894737</v>
      </c>
      <c r="G1438" s="19" t="n">
        <v>44968.6749473684</v>
      </c>
    </row>
    <row r="1439" customFormat="false" ht="15" hidden="false" customHeight="false" outlineLevel="0" collapsed="false">
      <c r="A1439" s="8" t="s">
        <v>1786</v>
      </c>
      <c r="B1439" s="8" t="n">
        <v>4413034</v>
      </c>
      <c r="C1439" s="8" t="s">
        <v>1371</v>
      </c>
      <c r="D1439" s="19" t="n">
        <v>208</v>
      </c>
      <c r="E1439" s="19" t="n">
        <v>3749.564</v>
      </c>
      <c r="F1439" s="19" t="n">
        <v>128.842105263158</v>
      </c>
      <c r="G1439" s="19" t="n">
        <v>2300.32673684211</v>
      </c>
    </row>
    <row r="1440" customFormat="false" ht="15" hidden="false" customHeight="false" outlineLevel="0" collapsed="false">
      <c r="A1440" s="8" t="s">
        <v>1786</v>
      </c>
      <c r="B1440" s="8" t="n">
        <v>4413041</v>
      </c>
      <c r="C1440" s="8" t="s">
        <v>1372</v>
      </c>
      <c r="D1440" s="19" t="n">
        <v>1906</v>
      </c>
      <c r="E1440" s="19" t="n">
        <v>65118.508</v>
      </c>
      <c r="F1440" s="19" t="n">
        <v>1618.10526315789</v>
      </c>
      <c r="G1440" s="19" t="n">
        <v>56077.9932631579</v>
      </c>
    </row>
    <row r="1441" customFormat="false" ht="15" hidden="false" customHeight="false" outlineLevel="0" collapsed="false">
      <c r="A1441" s="8" t="s">
        <v>1786</v>
      </c>
      <c r="B1441" s="8" t="n">
        <v>4413042</v>
      </c>
      <c r="C1441" s="8" t="s">
        <v>1373</v>
      </c>
      <c r="D1441" s="19" t="n">
        <v>1192</v>
      </c>
      <c r="E1441" s="19" t="n">
        <v>40708.486</v>
      </c>
      <c r="F1441" s="19" t="n">
        <v>1032</v>
      </c>
      <c r="G1441" s="19" t="n">
        <v>35650.5814736842</v>
      </c>
    </row>
    <row r="1442" customFormat="false" ht="15" hidden="false" customHeight="false" outlineLevel="0" collapsed="false">
      <c r="A1442" s="8" t="s">
        <v>1786</v>
      </c>
      <c r="B1442" s="8" t="n">
        <v>4413043</v>
      </c>
      <c r="C1442" s="8" t="s">
        <v>1374</v>
      </c>
      <c r="D1442" s="19" t="n">
        <v>1793</v>
      </c>
      <c r="E1442" s="19" t="n">
        <v>61227.803</v>
      </c>
      <c r="F1442" s="19" t="n">
        <v>1582.73684210526</v>
      </c>
      <c r="G1442" s="19" t="n">
        <v>54809.3191578947</v>
      </c>
    </row>
    <row r="1443" customFormat="false" ht="15" hidden="false" customHeight="false" outlineLevel="0" collapsed="false">
      <c r="A1443" s="8" t="s">
        <v>1786</v>
      </c>
      <c r="B1443" s="8" t="n">
        <v>4413044</v>
      </c>
      <c r="C1443" s="8" t="s">
        <v>1375</v>
      </c>
      <c r="D1443" s="19" t="n">
        <v>1232</v>
      </c>
      <c r="E1443" s="19" t="n">
        <v>42079.492</v>
      </c>
      <c r="F1443" s="19" t="n">
        <v>1026.94736842105</v>
      </c>
      <c r="G1443" s="19" t="n">
        <v>35582.6475789474</v>
      </c>
    </row>
    <row r="1444" customFormat="false" ht="15" hidden="false" customHeight="false" outlineLevel="0" collapsed="false">
      <c r="A1444" s="8" t="s">
        <v>1786</v>
      </c>
      <c r="B1444" s="8" t="n">
        <v>4413046</v>
      </c>
      <c r="C1444" s="8" t="s">
        <v>1377</v>
      </c>
      <c r="D1444" s="19" t="n">
        <v>54</v>
      </c>
      <c r="E1444" s="19" t="n">
        <v>1845.935</v>
      </c>
      <c r="F1444" s="19" t="n">
        <v>45.4736842105263</v>
      </c>
      <c r="G1444" s="19" t="n">
        <v>1577.76757894737</v>
      </c>
    </row>
    <row r="1445" customFormat="false" ht="15" hidden="false" customHeight="false" outlineLevel="0" collapsed="false">
      <c r="A1445" s="8" t="s">
        <v>1786</v>
      </c>
      <c r="B1445" s="8" t="n">
        <v>4413047</v>
      </c>
      <c r="C1445" s="8" t="s">
        <v>1378</v>
      </c>
      <c r="D1445" s="19" t="n">
        <v>1156</v>
      </c>
      <c r="E1445" s="19" t="n">
        <v>27045.837</v>
      </c>
      <c r="F1445" s="19" t="n">
        <v>1015.57894736842</v>
      </c>
      <c r="G1445" s="19" t="n">
        <v>24030.0922105263</v>
      </c>
    </row>
    <row r="1446" customFormat="false" ht="15" hidden="false" customHeight="false" outlineLevel="0" collapsed="false">
      <c r="A1446" s="8" t="s">
        <v>1786</v>
      </c>
      <c r="B1446" s="8" t="n">
        <v>4413048</v>
      </c>
      <c r="C1446" s="8" t="s">
        <v>1379</v>
      </c>
      <c r="D1446" s="19" t="n">
        <v>1656</v>
      </c>
      <c r="E1446" s="19" t="n">
        <v>38731.056</v>
      </c>
      <c r="F1446" s="19" t="n">
        <v>1416</v>
      </c>
      <c r="G1446" s="19" t="n">
        <v>33640.2669473684</v>
      </c>
    </row>
    <row r="1447" customFormat="false" ht="15" hidden="false" customHeight="false" outlineLevel="0" collapsed="false">
      <c r="A1447" s="8" t="s">
        <v>1786</v>
      </c>
      <c r="B1447" s="8" t="n">
        <v>4413049</v>
      </c>
      <c r="C1447" s="8" t="s">
        <v>1380</v>
      </c>
      <c r="D1447" s="19" t="n">
        <v>1895</v>
      </c>
      <c r="E1447" s="19" t="n">
        <v>44326.828</v>
      </c>
      <c r="F1447" s="19" t="n">
        <v>1419.78947368421</v>
      </c>
      <c r="G1447" s="19" t="n">
        <v>33628.4273684211</v>
      </c>
    </row>
    <row r="1448" customFormat="false" ht="15" hidden="false" customHeight="false" outlineLevel="0" collapsed="false">
      <c r="A1448" s="8" t="s">
        <v>1786</v>
      </c>
      <c r="B1448" s="8" t="n">
        <v>4413050</v>
      </c>
      <c r="C1448" s="8" t="s">
        <v>1381</v>
      </c>
      <c r="D1448" s="19" t="n">
        <v>1115</v>
      </c>
      <c r="E1448" s="19" t="n">
        <v>26093.522</v>
      </c>
      <c r="F1448" s="19" t="n">
        <v>967.578947368421</v>
      </c>
      <c r="G1448" s="19" t="n">
        <v>22967.4037894737</v>
      </c>
    </row>
    <row r="1449" customFormat="false" ht="15" hidden="false" customHeight="false" outlineLevel="0" collapsed="false">
      <c r="A1449" s="8" t="s">
        <v>1786</v>
      </c>
      <c r="B1449" s="8" t="n">
        <v>4413051</v>
      </c>
      <c r="C1449" s="8" t="s">
        <v>1382</v>
      </c>
      <c r="D1449" s="19" t="n">
        <v>88</v>
      </c>
      <c r="E1449" s="19" t="n">
        <v>2058.966</v>
      </c>
      <c r="F1449" s="19" t="n">
        <v>93.4736842105263</v>
      </c>
      <c r="G1449" s="19" t="n">
        <v>2218.02442105263</v>
      </c>
    </row>
    <row r="1450" customFormat="false" ht="15" hidden="false" customHeight="false" outlineLevel="0" collapsed="false">
      <c r="A1450" s="8" t="s">
        <v>1786</v>
      </c>
      <c r="B1450" s="8" t="n">
        <v>4413052</v>
      </c>
      <c r="C1450" s="8" t="s">
        <v>1383</v>
      </c>
      <c r="D1450" s="19" t="n">
        <v>2476</v>
      </c>
      <c r="E1450" s="19" t="n">
        <v>57995.119</v>
      </c>
      <c r="F1450" s="19" t="n">
        <v>1722.94736842105</v>
      </c>
      <c r="G1450" s="19" t="n">
        <v>40952.2989473684</v>
      </c>
    </row>
    <row r="1451" customFormat="false" ht="15" hidden="false" customHeight="false" outlineLevel="0" collapsed="false">
      <c r="A1451" s="8" t="s">
        <v>1786</v>
      </c>
      <c r="B1451" s="8" t="n">
        <v>4413053</v>
      </c>
      <c r="C1451" s="8" t="s">
        <v>1384</v>
      </c>
      <c r="D1451" s="19" t="n">
        <v>3121</v>
      </c>
      <c r="E1451" s="19" t="n">
        <v>73074.638</v>
      </c>
      <c r="F1451" s="19" t="n">
        <v>2499.78947368421</v>
      </c>
      <c r="G1451" s="19" t="n">
        <v>59685.8463157895</v>
      </c>
    </row>
    <row r="1452" customFormat="false" ht="15" hidden="false" customHeight="false" outlineLevel="0" collapsed="false">
      <c r="A1452" s="8" t="s">
        <v>1786</v>
      </c>
      <c r="B1452" s="8" t="n">
        <v>4413054</v>
      </c>
      <c r="C1452" s="8" t="s">
        <v>1385</v>
      </c>
      <c r="D1452" s="19" t="n">
        <v>3288</v>
      </c>
      <c r="E1452" s="19" t="n">
        <v>76985.454</v>
      </c>
      <c r="F1452" s="19" t="n">
        <v>3022.73684210526</v>
      </c>
      <c r="G1452" s="19" t="n">
        <v>71768.8837894737</v>
      </c>
    </row>
    <row r="1453" customFormat="false" ht="15" hidden="false" customHeight="false" outlineLevel="0" collapsed="false">
      <c r="A1453" s="8" t="s">
        <v>1786</v>
      </c>
      <c r="B1453" s="8" t="n">
        <v>4413055</v>
      </c>
      <c r="C1453" s="8" t="s">
        <v>1386</v>
      </c>
      <c r="D1453" s="19" t="n">
        <v>1866</v>
      </c>
      <c r="E1453" s="19" t="n">
        <v>43666.259</v>
      </c>
      <c r="F1453" s="19" t="n">
        <v>1605.47368421053</v>
      </c>
      <c r="G1453" s="19" t="n">
        <v>38153.5604210526</v>
      </c>
    </row>
    <row r="1454" customFormat="false" ht="15" hidden="false" customHeight="false" outlineLevel="0" collapsed="false">
      <c r="A1454" s="8" t="s">
        <v>1786</v>
      </c>
      <c r="B1454" s="8" t="n">
        <v>4413056</v>
      </c>
      <c r="C1454" s="8" t="s">
        <v>1387</v>
      </c>
      <c r="D1454" s="19" t="n">
        <v>44</v>
      </c>
      <c r="E1454" s="19" t="n">
        <v>811.629</v>
      </c>
      <c r="F1454" s="19" t="n">
        <v>16.4210526315789</v>
      </c>
      <c r="G1454" s="19" t="n">
        <v>306.219789473684</v>
      </c>
    </row>
    <row r="1455" customFormat="false" ht="15" hidden="false" customHeight="false" outlineLevel="0" collapsed="false">
      <c r="A1455" s="8" t="s">
        <v>1786</v>
      </c>
      <c r="B1455" s="8" t="n">
        <v>4413058</v>
      </c>
      <c r="C1455" s="8" t="s">
        <v>1388</v>
      </c>
      <c r="D1455" s="19" t="n">
        <v>571</v>
      </c>
      <c r="E1455" s="19" t="n">
        <v>13935.376</v>
      </c>
      <c r="F1455" s="19" t="n">
        <v>516.631578947368</v>
      </c>
      <c r="G1455" s="19" t="n">
        <v>12686.6261052632</v>
      </c>
    </row>
    <row r="1456" customFormat="false" ht="15" hidden="false" customHeight="false" outlineLevel="0" collapsed="false">
      <c r="A1456" s="8" t="s">
        <v>1786</v>
      </c>
      <c r="B1456" s="8" t="n">
        <v>4413059</v>
      </c>
      <c r="C1456" s="8" t="s">
        <v>1389</v>
      </c>
      <c r="D1456" s="19" t="n">
        <v>-4</v>
      </c>
      <c r="E1456" s="19" t="n">
        <v>-43.407</v>
      </c>
      <c r="F1456" s="19" t="n">
        <v>0</v>
      </c>
      <c r="G1456" s="19" t="n">
        <v>0</v>
      </c>
    </row>
    <row r="1457" customFormat="false" ht="15" hidden="false" customHeight="false" outlineLevel="0" collapsed="false">
      <c r="A1457" s="8" t="s">
        <v>1786</v>
      </c>
      <c r="B1457" s="8" t="n">
        <v>4413060</v>
      </c>
      <c r="C1457" s="8" t="s">
        <v>1390</v>
      </c>
      <c r="D1457" s="19" t="n">
        <v>0</v>
      </c>
      <c r="E1457" s="19" t="n">
        <v>0</v>
      </c>
      <c r="F1457" s="19" t="n">
        <v>-2.52631578947368</v>
      </c>
      <c r="G1457" s="19" t="n">
        <v>-28.8517894736842</v>
      </c>
    </row>
    <row r="1458" customFormat="false" ht="15" hidden="false" customHeight="false" outlineLevel="0" collapsed="false">
      <c r="A1458" s="8" t="s">
        <v>1786</v>
      </c>
      <c r="B1458" s="8" t="n">
        <v>4413069</v>
      </c>
      <c r="C1458" s="8" t="s">
        <v>1394</v>
      </c>
      <c r="D1458" s="19" t="n">
        <v>-16</v>
      </c>
      <c r="E1458" s="19" t="n">
        <v>-934.206</v>
      </c>
      <c r="F1458" s="19" t="n">
        <v>-3.78947368421053</v>
      </c>
      <c r="G1458" s="19" t="n">
        <v>-221.273684210526</v>
      </c>
    </row>
    <row r="1459" customFormat="false" ht="15" hidden="false" customHeight="false" outlineLevel="0" collapsed="false">
      <c r="A1459" s="8" t="s">
        <v>1786</v>
      </c>
      <c r="B1459" s="8" t="n">
        <v>4413070</v>
      </c>
      <c r="C1459" s="8" t="s">
        <v>1395</v>
      </c>
      <c r="D1459" s="19" t="n">
        <v>-12</v>
      </c>
      <c r="E1459" s="19" t="n">
        <v>-700.609</v>
      </c>
      <c r="F1459" s="19" t="n">
        <v>-5.05263157894737</v>
      </c>
      <c r="G1459" s="19" t="n">
        <v>-294.954947368421</v>
      </c>
    </row>
    <row r="1460" customFormat="false" ht="15" hidden="false" customHeight="false" outlineLevel="0" collapsed="false">
      <c r="A1460" s="8" t="s">
        <v>1786</v>
      </c>
      <c r="B1460" s="8" t="n">
        <v>4413072</v>
      </c>
      <c r="C1460" s="8" t="s">
        <v>1397</v>
      </c>
      <c r="D1460" s="19" t="n">
        <v>3</v>
      </c>
      <c r="E1460" s="19" t="n">
        <v>290.654</v>
      </c>
      <c r="F1460" s="19" t="n">
        <v>2.52631578947368</v>
      </c>
      <c r="G1460" s="19" t="n">
        <v>248.401263157895</v>
      </c>
    </row>
    <row r="1461" customFormat="false" ht="15" hidden="false" customHeight="false" outlineLevel="0" collapsed="false">
      <c r="A1461" s="8" t="s">
        <v>1786</v>
      </c>
      <c r="B1461" s="8" t="n">
        <v>4413073</v>
      </c>
      <c r="C1461" s="8" t="s">
        <v>1398</v>
      </c>
      <c r="D1461" s="19" t="n">
        <v>1</v>
      </c>
      <c r="E1461" s="19" t="n">
        <v>96.915</v>
      </c>
      <c r="F1461" s="19" t="n">
        <v>2.52631578947368</v>
      </c>
      <c r="G1461" s="19" t="n">
        <v>244.837894736842</v>
      </c>
    </row>
    <row r="1462" customFormat="false" ht="15" hidden="false" customHeight="false" outlineLevel="0" collapsed="false">
      <c r="A1462" s="8" t="s">
        <v>1786</v>
      </c>
      <c r="B1462" s="8" t="n">
        <v>4413074</v>
      </c>
      <c r="C1462" s="8" t="s">
        <v>1399</v>
      </c>
      <c r="D1462" s="19" t="n">
        <v>3</v>
      </c>
      <c r="E1462" s="19" t="n">
        <v>290.654</v>
      </c>
      <c r="F1462" s="19" t="n">
        <v>-1.26315789473684</v>
      </c>
      <c r="G1462" s="19" t="n">
        <v>-122.418947368421</v>
      </c>
    </row>
    <row r="1463" customFormat="false" ht="15" hidden="false" customHeight="false" outlineLevel="0" collapsed="false">
      <c r="A1463" s="8" t="s">
        <v>1786</v>
      </c>
      <c r="B1463" s="8" t="n">
        <v>4413078</v>
      </c>
      <c r="C1463" s="8" t="s">
        <v>1770</v>
      </c>
      <c r="D1463" s="19" t="n">
        <v>-1</v>
      </c>
      <c r="E1463" s="19" t="n">
        <v>-106.197</v>
      </c>
      <c r="F1463" s="19" t="n">
        <v>-1.26315789473684</v>
      </c>
      <c r="G1463" s="19" t="n">
        <v>-134.143578947368</v>
      </c>
    </row>
    <row r="1464" customFormat="false" ht="15" hidden="false" customHeight="false" outlineLevel="0" collapsed="false">
      <c r="A1464" s="8" t="s">
        <v>1786</v>
      </c>
      <c r="B1464" s="8" t="n">
        <v>4413079</v>
      </c>
      <c r="C1464" s="8" t="s">
        <v>1402</v>
      </c>
      <c r="D1464" s="19" t="n">
        <v>0</v>
      </c>
      <c r="E1464" s="19" t="n">
        <v>0</v>
      </c>
      <c r="F1464" s="19" t="n">
        <v>-1.26315789473684</v>
      </c>
      <c r="G1464" s="19" t="n">
        <v>-134.143578947368</v>
      </c>
    </row>
    <row r="1465" customFormat="false" ht="15" hidden="false" customHeight="false" outlineLevel="0" collapsed="false">
      <c r="A1465" s="8" t="s">
        <v>1786</v>
      </c>
      <c r="B1465" s="8" t="n">
        <v>4413087</v>
      </c>
      <c r="C1465" s="8" t="s">
        <v>1403</v>
      </c>
      <c r="D1465" s="19" t="n">
        <v>-2</v>
      </c>
      <c r="E1465" s="19" t="n">
        <v>-248.248</v>
      </c>
      <c r="F1465" s="19" t="n">
        <v>-2.52631578947368</v>
      </c>
      <c r="G1465" s="19" t="n">
        <v>-339.669473684211</v>
      </c>
    </row>
    <row r="1466" customFormat="false" ht="15" hidden="false" customHeight="false" outlineLevel="0" collapsed="false">
      <c r="A1466" s="8" t="s">
        <v>1786</v>
      </c>
      <c r="B1466" s="8" t="n">
        <v>4413088</v>
      </c>
      <c r="C1466" s="8" t="s">
        <v>1404</v>
      </c>
      <c r="D1466" s="19" t="n">
        <v>0</v>
      </c>
      <c r="E1466" s="19" t="n">
        <v>27.573</v>
      </c>
      <c r="F1466" s="19" t="n">
        <v>-3.78947368421053</v>
      </c>
      <c r="G1466" s="19" t="n">
        <v>-505.193684210526</v>
      </c>
    </row>
    <row r="1467" customFormat="false" ht="15" hidden="false" customHeight="false" outlineLevel="0" collapsed="false">
      <c r="A1467" s="8" t="s">
        <v>1786</v>
      </c>
      <c r="B1467" s="8" t="n">
        <v>4413089</v>
      </c>
      <c r="C1467" s="8" t="s">
        <v>1405</v>
      </c>
      <c r="D1467" s="19" t="n">
        <v>-3</v>
      </c>
      <c r="E1467" s="19" t="n">
        <v>-413.686</v>
      </c>
      <c r="F1467" s="19" t="n">
        <v>-2.52631578947368</v>
      </c>
      <c r="G1467" s="19" t="n">
        <v>-203.801684210526</v>
      </c>
    </row>
    <row r="1468" customFormat="false" ht="15" hidden="false" customHeight="false" outlineLevel="0" collapsed="false">
      <c r="A1468" s="8" t="s">
        <v>1786</v>
      </c>
      <c r="B1468" s="8" t="n">
        <v>4413090</v>
      </c>
      <c r="C1468" s="8" t="s">
        <v>1406</v>
      </c>
      <c r="D1468" s="19" t="n">
        <v>0</v>
      </c>
      <c r="E1468" s="19" t="n">
        <v>6.916</v>
      </c>
      <c r="F1468" s="19" t="n">
        <v>-1.26315789473684</v>
      </c>
      <c r="G1468" s="19" t="n">
        <v>-174.260210526316</v>
      </c>
    </row>
    <row r="1469" customFormat="false" ht="15" hidden="false" customHeight="false" outlineLevel="0" collapsed="false">
      <c r="A1469" s="8" t="s">
        <v>1786</v>
      </c>
      <c r="B1469" s="8" t="n">
        <v>4413091</v>
      </c>
      <c r="C1469" s="8" t="s">
        <v>1407</v>
      </c>
      <c r="D1469" s="19" t="n">
        <v>2</v>
      </c>
      <c r="E1469" s="19" t="n">
        <v>275.821</v>
      </c>
      <c r="F1469" s="19" t="n">
        <v>-1.26315789473684</v>
      </c>
      <c r="G1469" s="19" t="n">
        <v>-165.524210526316</v>
      </c>
    </row>
    <row r="1470" customFormat="false" ht="15" hidden="false" customHeight="false" outlineLevel="0" collapsed="false">
      <c r="A1470" s="8" t="s">
        <v>1786</v>
      </c>
      <c r="B1470" s="8" t="n">
        <v>4413092</v>
      </c>
      <c r="C1470" s="8" t="s">
        <v>1408</v>
      </c>
      <c r="D1470" s="19" t="n">
        <v>1539</v>
      </c>
      <c r="E1470" s="19" t="n">
        <v>36003.695</v>
      </c>
      <c r="F1470" s="19" t="n">
        <v>1320</v>
      </c>
      <c r="G1470" s="19" t="n">
        <v>31306.4905263158</v>
      </c>
    </row>
    <row r="1471" customFormat="false" ht="15" hidden="false" customHeight="false" outlineLevel="0" collapsed="false">
      <c r="A1471" s="8" t="s">
        <v>1786</v>
      </c>
      <c r="B1471" s="8" t="n">
        <v>4413093</v>
      </c>
      <c r="C1471" s="8" t="s">
        <v>1409</v>
      </c>
      <c r="D1471" s="19" t="n">
        <v>1665</v>
      </c>
      <c r="E1471" s="19" t="n">
        <v>38957.1</v>
      </c>
      <c r="F1471" s="19" t="n">
        <v>1297.26315789474</v>
      </c>
      <c r="G1471" s="19" t="n">
        <v>30725.5465263158</v>
      </c>
    </row>
    <row r="1472" customFormat="false" ht="15" hidden="false" customHeight="false" outlineLevel="0" collapsed="false">
      <c r="A1472" s="8" t="s">
        <v>1786</v>
      </c>
      <c r="B1472" s="8" t="n">
        <v>4413094</v>
      </c>
      <c r="C1472" s="8" t="s">
        <v>1410</v>
      </c>
      <c r="D1472" s="19" t="n">
        <v>956</v>
      </c>
      <c r="E1472" s="19" t="n">
        <v>22384.271</v>
      </c>
      <c r="F1472" s="19" t="n">
        <v>744</v>
      </c>
      <c r="G1472" s="19" t="n">
        <v>17562.1187368421</v>
      </c>
    </row>
    <row r="1473" customFormat="false" ht="15" hidden="false" customHeight="false" outlineLevel="0" collapsed="false">
      <c r="A1473" s="8" t="s">
        <v>1786</v>
      </c>
      <c r="B1473" s="8" t="n">
        <v>4413095</v>
      </c>
      <c r="C1473" s="8" t="s">
        <v>1411</v>
      </c>
      <c r="D1473" s="19" t="n">
        <v>1001</v>
      </c>
      <c r="E1473" s="19" t="n">
        <v>23419.214</v>
      </c>
      <c r="F1473" s="19" t="n">
        <v>805.894736842105</v>
      </c>
      <c r="G1473" s="19" t="n">
        <v>19110.5747368421</v>
      </c>
    </row>
    <row r="1474" customFormat="false" ht="15" hidden="false" customHeight="false" outlineLevel="0" collapsed="false">
      <c r="A1474" s="8" t="s">
        <v>1786</v>
      </c>
      <c r="B1474" s="8" t="n">
        <v>4413096</v>
      </c>
      <c r="C1474" s="8" t="s">
        <v>1412</v>
      </c>
      <c r="D1474" s="19" t="n">
        <v>288</v>
      </c>
      <c r="E1474" s="19" t="n">
        <v>6738.55</v>
      </c>
      <c r="F1474" s="19" t="n">
        <v>222.315789473684</v>
      </c>
      <c r="G1474" s="19" t="n">
        <v>5373.55957894737</v>
      </c>
    </row>
    <row r="1475" customFormat="false" ht="15" hidden="false" customHeight="false" outlineLevel="0" collapsed="false">
      <c r="A1475" s="8" t="s">
        <v>1786</v>
      </c>
      <c r="B1475" s="8" t="n">
        <v>4413097</v>
      </c>
      <c r="C1475" s="8" t="s">
        <v>1413</v>
      </c>
      <c r="D1475" s="19" t="n">
        <v>1789</v>
      </c>
      <c r="E1475" s="19" t="n">
        <v>41905.409</v>
      </c>
      <c r="F1475" s="19" t="n">
        <v>1601.68421052632</v>
      </c>
      <c r="G1475" s="19" t="n">
        <v>37964.7018947368</v>
      </c>
    </row>
    <row r="1476" customFormat="false" ht="15" hidden="false" customHeight="false" outlineLevel="0" collapsed="false">
      <c r="A1476" s="8" t="s">
        <v>1786</v>
      </c>
      <c r="B1476" s="8" t="n">
        <v>4413098</v>
      </c>
      <c r="C1476" s="8" t="s">
        <v>1414</v>
      </c>
      <c r="D1476" s="19" t="n">
        <v>3042</v>
      </c>
      <c r="E1476" s="19" t="n">
        <v>71225.518</v>
      </c>
      <c r="F1476" s="19" t="n">
        <v>2522.52631578947</v>
      </c>
      <c r="G1476" s="19" t="n">
        <v>59585.267368421</v>
      </c>
    </row>
    <row r="1477" customFormat="false" ht="15" hidden="false" customHeight="false" outlineLevel="0" collapsed="false">
      <c r="A1477" s="8" t="s">
        <v>1786</v>
      </c>
      <c r="B1477" s="8" t="n">
        <v>4413099</v>
      </c>
      <c r="C1477" s="8" t="s">
        <v>1415</v>
      </c>
      <c r="D1477" s="19" t="n">
        <v>3009</v>
      </c>
      <c r="E1477" s="19" t="n">
        <v>70465.031</v>
      </c>
      <c r="F1477" s="19" t="n">
        <v>3054.31578947368</v>
      </c>
      <c r="G1477" s="19" t="n">
        <v>72334.1949473684</v>
      </c>
    </row>
    <row r="1478" customFormat="false" ht="15" hidden="false" customHeight="false" outlineLevel="0" collapsed="false">
      <c r="A1478" s="8" t="s">
        <v>1786</v>
      </c>
      <c r="B1478" s="8" t="n">
        <v>4413100</v>
      </c>
      <c r="C1478" s="8" t="s">
        <v>1416</v>
      </c>
      <c r="D1478" s="19" t="n">
        <v>2229</v>
      </c>
      <c r="E1478" s="19" t="n">
        <v>52200.421</v>
      </c>
      <c r="F1478" s="19" t="n">
        <v>2081.68421052632</v>
      </c>
      <c r="G1478" s="19" t="n">
        <v>49398.2867368421</v>
      </c>
    </row>
    <row r="1479" customFormat="false" ht="15" hidden="false" customHeight="false" outlineLevel="0" collapsed="false">
      <c r="A1479" s="8" t="s">
        <v>1786</v>
      </c>
      <c r="B1479" s="8" t="n">
        <v>4413101</v>
      </c>
      <c r="C1479" s="8" t="s">
        <v>1417</v>
      </c>
      <c r="D1479" s="19" t="n">
        <v>533</v>
      </c>
      <c r="E1479" s="19" t="n">
        <v>15101.905</v>
      </c>
      <c r="F1479" s="19" t="n">
        <v>386.526315789474</v>
      </c>
      <c r="G1479" s="19" t="n">
        <v>10955.2888421053</v>
      </c>
    </row>
    <row r="1480" customFormat="false" ht="15" hidden="false" customHeight="false" outlineLevel="0" collapsed="false">
      <c r="A1480" s="8" t="s">
        <v>1786</v>
      </c>
      <c r="B1480" s="8" t="n">
        <v>4413102</v>
      </c>
      <c r="C1480" s="8" t="s">
        <v>1418</v>
      </c>
      <c r="D1480" s="19" t="n">
        <v>1537</v>
      </c>
      <c r="E1480" s="19" t="n">
        <v>43408.092</v>
      </c>
      <c r="F1480" s="19" t="n">
        <v>992.842105263158</v>
      </c>
      <c r="G1480" s="19" t="n">
        <v>28228.6597894737</v>
      </c>
    </row>
    <row r="1481" customFormat="false" ht="15" hidden="false" customHeight="false" outlineLevel="0" collapsed="false">
      <c r="A1481" s="8" t="s">
        <v>1786</v>
      </c>
      <c r="B1481" s="8" t="n">
        <v>4413103</v>
      </c>
      <c r="C1481" s="8" t="s">
        <v>1419</v>
      </c>
      <c r="D1481" s="19" t="n">
        <v>1338</v>
      </c>
      <c r="E1481" s="19" t="n">
        <v>37771.734</v>
      </c>
      <c r="F1481" s="19" t="n">
        <v>1066.10526315789</v>
      </c>
      <c r="G1481" s="19" t="n">
        <v>30282.7692631579</v>
      </c>
    </row>
    <row r="1482" customFormat="false" ht="15" hidden="false" customHeight="false" outlineLevel="0" collapsed="false">
      <c r="A1482" s="8" t="s">
        <v>1786</v>
      </c>
      <c r="B1482" s="8" t="n">
        <v>4413104</v>
      </c>
      <c r="C1482" s="8" t="s">
        <v>1420</v>
      </c>
      <c r="D1482" s="19" t="n">
        <v>1095</v>
      </c>
      <c r="E1482" s="19" t="n">
        <v>30913.974</v>
      </c>
      <c r="F1482" s="19" t="n">
        <v>809.684210526316</v>
      </c>
      <c r="G1482" s="19" t="n">
        <v>22968.0934736842</v>
      </c>
    </row>
    <row r="1483" customFormat="false" ht="15" hidden="false" customHeight="false" outlineLevel="0" collapsed="false">
      <c r="A1483" s="8" t="s">
        <v>1786</v>
      </c>
      <c r="B1483" s="8" t="n">
        <v>4413105</v>
      </c>
      <c r="C1483" s="8" t="s">
        <v>1421</v>
      </c>
      <c r="D1483" s="19" t="n">
        <v>154</v>
      </c>
      <c r="E1483" s="19" t="n">
        <v>4342.884</v>
      </c>
      <c r="F1483" s="19" t="n">
        <v>123.789473684211</v>
      </c>
      <c r="G1483" s="19" t="n">
        <v>3517.73431578947</v>
      </c>
    </row>
    <row r="1484" customFormat="false" ht="15" hidden="false" customHeight="false" outlineLevel="0" collapsed="false">
      <c r="A1484" s="8" t="s">
        <v>1786</v>
      </c>
      <c r="B1484" s="8" t="n">
        <v>4413106</v>
      </c>
      <c r="C1484" s="8" t="s">
        <v>1422</v>
      </c>
      <c r="D1484" s="19" t="n">
        <v>2</v>
      </c>
      <c r="E1484" s="19" t="n">
        <v>88.452</v>
      </c>
      <c r="F1484" s="19" t="n">
        <v>0</v>
      </c>
      <c r="G1484" s="19" t="n">
        <v>0</v>
      </c>
    </row>
    <row r="1485" customFormat="false" ht="15" hidden="false" customHeight="false" outlineLevel="0" collapsed="false">
      <c r="A1485" s="8" t="s">
        <v>1786</v>
      </c>
      <c r="B1485" s="8" t="n">
        <v>4413107</v>
      </c>
      <c r="C1485" s="8" t="s">
        <v>1423</v>
      </c>
      <c r="D1485" s="19" t="n">
        <v>13</v>
      </c>
      <c r="E1485" s="19" t="n">
        <v>575.211</v>
      </c>
      <c r="F1485" s="19" t="n">
        <v>6.31578947368421</v>
      </c>
      <c r="G1485" s="19" t="n">
        <v>279.437052631579</v>
      </c>
    </row>
    <row r="1486" customFormat="false" ht="15" hidden="false" customHeight="false" outlineLevel="0" collapsed="false">
      <c r="A1486" s="8" t="s">
        <v>1786</v>
      </c>
      <c r="B1486" s="8" t="n">
        <v>4413108</v>
      </c>
      <c r="C1486" s="8" t="s">
        <v>1424</v>
      </c>
      <c r="D1486" s="19" t="n">
        <v>5</v>
      </c>
      <c r="E1486" s="19" t="n">
        <v>221.221</v>
      </c>
      <c r="F1486" s="19" t="n">
        <v>3.78947368421053</v>
      </c>
      <c r="G1486" s="19" t="n">
        <v>175.524631578947</v>
      </c>
    </row>
    <row r="1487" customFormat="false" ht="15" hidden="false" customHeight="false" outlineLevel="0" collapsed="false">
      <c r="A1487" s="8" t="s">
        <v>1786</v>
      </c>
      <c r="B1487" s="8" t="n">
        <v>4413109</v>
      </c>
      <c r="C1487" s="8" t="s">
        <v>1425</v>
      </c>
      <c r="D1487" s="19" t="n">
        <v>8</v>
      </c>
      <c r="E1487" s="19" t="n">
        <v>353.99</v>
      </c>
      <c r="F1487" s="19" t="n">
        <v>0</v>
      </c>
      <c r="G1487" s="19" t="n">
        <v>0</v>
      </c>
    </row>
    <row r="1488" customFormat="false" ht="15" hidden="false" customHeight="false" outlineLevel="0" collapsed="false">
      <c r="A1488" s="8" t="s">
        <v>1786</v>
      </c>
      <c r="B1488" s="8" t="n">
        <v>4413110</v>
      </c>
      <c r="C1488" s="8" t="s">
        <v>1426</v>
      </c>
      <c r="D1488" s="19" t="n">
        <v>2</v>
      </c>
      <c r="E1488" s="19" t="n">
        <v>88.452</v>
      </c>
      <c r="F1488" s="19" t="n">
        <v>0</v>
      </c>
      <c r="G1488" s="19" t="n">
        <v>0</v>
      </c>
    </row>
    <row r="1489" customFormat="false" ht="15" hidden="false" customHeight="false" outlineLevel="0" collapsed="false">
      <c r="A1489" s="8" t="s">
        <v>1786</v>
      </c>
      <c r="B1489" s="8" t="n">
        <v>4413111</v>
      </c>
      <c r="C1489" s="8" t="s">
        <v>1427</v>
      </c>
      <c r="D1489" s="19" t="n">
        <v>28</v>
      </c>
      <c r="E1489" s="19" t="n">
        <v>727.181</v>
      </c>
      <c r="F1489" s="19" t="n">
        <v>15.1578947368421</v>
      </c>
      <c r="G1489" s="19" t="n">
        <v>406.913684210526</v>
      </c>
    </row>
    <row r="1490" customFormat="false" ht="15" hidden="false" customHeight="false" outlineLevel="0" collapsed="false">
      <c r="A1490" s="8" t="s">
        <v>1786</v>
      </c>
      <c r="B1490" s="8" t="n">
        <v>4413112</v>
      </c>
      <c r="C1490" s="8" t="s">
        <v>1428</v>
      </c>
      <c r="D1490" s="19" t="n">
        <v>82</v>
      </c>
      <c r="E1490" s="19" t="n">
        <v>2124.122</v>
      </c>
      <c r="F1490" s="19" t="n">
        <v>36.6315789473684</v>
      </c>
      <c r="G1490" s="19" t="n">
        <v>956.821894736842</v>
      </c>
    </row>
    <row r="1491" customFormat="false" ht="15" hidden="false" customHeight="false" outlineLevel="0" collapsed="false">
      <c r="A1491" s="8" t="s">
        <v>1786</v>
      </c>
      <c r="B1491" s="8" t="n">
        <v>4413113</v>
      </c>
      <c r="C1491" s="8" t="s">
        <v>1429</v>
      </c>
      <c r="D1491" s="19" t="n">
        <v>54</v>
      </c>
      <c r="E1491" s="19" t="n">
        <v>1413.867</v>
      </c>
      <c r="F1491" s="19" t="n">
        <v>29.0526315789474</v>
      </c>
      <c r="G1491" s="19" t="n">
        <v>771.98652631579</v>
      </c>
    </row>
    <row r="1492" customFormat="false" ht="15" hidden="false" customHeight="false" outlineLevel="0" collapsed="false">
      <c r="A1492" s="8" t="s">
        <v>1786</v>
      </c>
      <c r="B1492" s="8" t="n">
        <v>4413114</v>
      </c>
      <c r="C1492" s="8" t="s">
        <v>1430</v>
      </c>
      <c r="D1492" s="19" t="n">
        <v>53</v>
      </c>
      <c r="E1492" s="19" t="n">
        <v>1377.376</v>
      </c>
      <c r="F1492" s="19" t="n">
        <v>46.7368421052632</v>
      </c>
      <c r="G1492" s="19" t="n">
        <v>1232.92547368421</v>
      </c>
    </row>
    <row r="1493" customFormat="false" ht="15" hidden="false" customHeight="false" outlineLevel="0" collapsed="false">
      <c r="A1493" s="8" t="s">
        <v>1786</v>
      </c>
      <c r="B1493" s="8" t="n">
        <v>4413115</v>
      </c>
      <c r="C1493" s="8" t="s">
        <v>1431</v>
      </c>
      <c r="D1493" s="19" t="n">
        <v>1</v>
      </c>
      <c r="E1493" s="19" t="n">
        <v>26.026</v>
      </c>
      <c r="F1493" s="19" t="n">
        <v>2.52631578947368</v>
      </c>
      <c r="G1493" s="19" t="n">
        <v>84.2564210526316</v>
      </c>
    </row>
    <row r="1494" customFormat="false" ht="15" hidden="false" customHeight="false" outlineLevel="0" collapsed="false">
      <c r="A1494" s="8" t="s">
        <v>1786</v>
      </c>
      <c r="B1494" s="8" t="n">
        <v>4413117</v>
      </c>
      <c r="C1494" s="8" t="s">
        <v>1433</v>
      </c>
      <c r="D1494" s="19" t="n">
        <v>0</v>
      </c>
      <c r="E1494" s="19" t="n">
        <v>0</v>
      </c>
      <c r="F1494" s="19" t="n">
        <v>-1.26315789473684</v>
      </c>
      <c r="G1494" s="19" t="n">
        <v>-111.269052631579</v>
      </c>
    </row>
    <row r="1495" customFormat="false" ht="15" hidden="false" customHeight="false" outlineLevel="0" collapsed="false">
      <c r="A1495" s="8" t="s">
        <v>1786</v>
      </c>
      <c r="B1495" s="8" t="n">
        <v>4413119</v>
      </c>
      <c r="C1495" s="8" t="s">
        <v>1435</v>
      </c>
      <c r="D1495" s="19" t="n">
        <v>0</v>
      </c>
      <c r="E1495" s="19" t="n">
        <v>0</v>
      </c>
      <c r="F1495" s="19" t="n">
        <v>-1.26315789473684</v>
      </c>
      <c r="G1495" s="19" t="n">
        <v>-111.269052631579</v>
      </c>
    </row>
    <row r="1496" customFormat="false" ht="15" hidden="false" customHeight="false" outlineLevel="0" collapsed="false">
      <c r="A1496" s="8" t="s">
        <v>1786</v>
      </c>
      <c r="B1496" s="8" t="n">
        <v>4413122</v>
      </c>
      <c r="C1496" s="8" t="s">
        <v>1437</v>
      </c>
      <c r="D1496" s="19" t="n">
        <v>-1</v>
      </c>
      <c r="E1496" s="19" t="n">
        <v>-64.883</v>
      </c>
      <c r="F1496" s="19" t="n">
        <v>0</v>
      </c>
      <c r="G1496" s="19" t="n">
        <v>0</v>
      </c>
    </row>
    <row r="1497" customFormat="false" ht="15" hidden="false" customHeight="false" outlineLevel="0" collapsed="false">
      <c r="A1497" s="8" t="s">
        <v>1786</v>
      </c>
      <c r="B1497" s="8" t="n">
        <v>4413126</v>
      </c>
      <c r="C1497" s="8" t="s">
        <v>1440</v>
      </c>
      <c r="D1497" s="19" t="n">
        <v>18</v>
      </c>
      <c r="E1497" s="19" t="n">
        <v>2218.489</v>
      </c>
      <c r="F1497" s="19" t="n">
        <v>17.6842105263158</v>
      </c>
      <c r="G1497" s="19" t="n">
        <v>2951.27368421053</v>
      </c>
    </row>
    <row r="1498" customFormat="false" ht="15" hidden="false" customHeight="false" outlineLevel="0" collapsed="false">
      <c r="A1498" s="8" t="s">
        <v>1786</v>
      </c>
      <c r="B1498" s="8" t="n">
        <v>4413127</v>
      </c>
      <c r="C1498" s="8" t="s">
        <v>1441</v>
      </c>
      <c r="D1498" s="19" t="n">
        <v>69</v>
      </c>
      <c r="E1498" s="19" t="n">
        <v>8265.621</v>
      </c>
      <c r="F1498" s="19" t="n">
        <v>18.9473684210526</v>
      </c>
      <c r="G1498" s="19" t="n">
        <v>2376.30694736842</v>
      </c>
    </row>
    <row r="1499" customFormat="false" ht="15" hidden="false" customHeight="false" outlineLevel="0" collapsed="false">
      <c r="A1499" s="8" t="s">
        <v>1786</v>
      </c>
      <c r="B1499" s="8" t="n">
        <v>4413128</v>
      </c>
      <c r="C1499" s="8" t="s">
        <v>1442</v>
      </c>
      <c r="D1499" s="19" t="n">
        <v>37</v>
      </c>
      <c r="E1499" s="19" t="n">
        <v>4490.577</v>
      </c>
      <c r="F1499" s="19" t="n">
        <v>31.5789473684211</v>
      </c>
      <c r="G1499" s="19" t="n">
        <v>3994.536</v>
      </c>
    </row>
    <row r="1500" customFormat="false" ht="15" hidden="false" customHeight="false" outlineLevel="0" collapsed="false">
      <c r="A1500" s="8" t="s">
        <v>1786</v>
      </c>
      <c r="B1500" s="8" t="n">
        <v>4413129</v>
      </c>
      <c r="C1500" s="8" t="s">
        <v>1443</v>
      </c>
      <c r="D1500" s="19" t="n">
        <v>33</v>
      </c>
      <c r="E1500" s="19" t="n">
        <v>3983.707</v>
      </c>
      <c r="F1500" s="19" t="n">
        <v>-1.26315789473684</v>
      </c>
      <c r="G1500" s="19" t="n">
        <v>-77.7044210526316</v>
      </c>
    </row>
    <row r="1501" customFormat="false" ht="15" hidden="false" customHeight="false" outlineLevel="0" collapsed="false">
      <c r="A1501" s="8" t="s">
        <v>1786</v>
      </c>
      <c r="B1501" s="8" t="n">
        <v>4413130</v>
      </c>
      <c r="C1501" s="8" t="s">
        <v>1444</v>
      </c>
      <c r="D1501" s="19" t="n">
        <v>-2</v>
      </c>
      <c r="E1501" s="19" t="n">
        <v>-238.511</v>
      </c>
      <c r="F1501" s="19" t="n">
        <v>-1.26315789473684</v>
      </c>
      <c r="G1501" s="19" t="n">
        <v>-150.696</v>
      </c>
    </row>
    <row r="1502" customFormat="false" ht="15" hidden="false" customHeight="false" outlineLevel="0" collapsed="false">
      <c r="A1502" s="8" t="s">
        <v>1786</v>
      </c>
      <c r="B1502" s="8" t="n">
        <v>4413131</v>
      </c>
      <c r="C1502" s="8" t="s">
        <v>1445</v>
      </c>
      <c r="D1502" s="19" t="n">
        <v>4</v>
      </c>
      <c r="E1502" s="19" t="n">
        <v>596.323</v>
      </c>
      <c r="F1502" s="19" t="n">
        <v>1.26315789473684</v>
      </c>
      <c r="G1502" s="19" t="n">
        <v>188.283789473684</v>
      </c>
    </row>
    <row r="1503" customFormat="false" ht="15" hidden="false" customHeight="false" outlineLevel="0" collapsed="false">
      <c r="A1503" s="8" t="s">
        <v>1786</v>
      </c>
      <c r="B1503" s="8" t="n">
        <v>4413132</v>
      </c>
      <c r="C1503" s="8" t="s">
        <v>1446</v>
      </c>
      <c r="D1503" s="19" t="n">
        <v>6</v>
      </c>
      <c r="E1503" s="19" t="n">
        <v>894.53</v>
      </c>
      <c r="F1503" s="19" t="n">
        <v>6.31578947368421</v>
      </c>
      <c r="G1503" s="19" t="n">
        <v>952.913684210526</v>
      </c>
    </row>
    <row r="1504" customFormat="false" ht="15" hidden="false" customHeight="false" outlineLevel="0" collapsed="false">
      <c r="A1504" s="8" t="s">
        <v>1786</v>
      </c>
      <c r="B1504" s="8" t="n">
        <v>4413133</v>
      </c>
      <c r="C1504" s="8" t="s">
        <v>1447</v>
      </c>
      <c r="D1504" s="19" t="n">
        <v>10</v>
      </c>
      <c r="E1504" s="19" t="n">
        <v>1490.944</v>
      </c>
      <c r="F1504" s="19" t="n">
        <v>15.1578947368421</v>
      </c>
      <c r="G1504" s="19" t="n">
        <v>2368.72042105263</v>
      </c>
    </row>
    <row r="1505" customFormat="false" ht="15" hidden="false" customHeight="false" outlineLevel="0" collapsed="false">
      <c r="A1505" s="8" t="s">
        <v>1786</v>
      </c>
      <c r="B1505" s="8" t="n">
        <v>4413134</v>
      </c>
      <c r="C1505" s="8" t="s">
        <v>1448</v>
      </c>
      <c r="D1505" s="19" t="n">
        <v>2</v>
      </c>
      <c r="E1505" s="19" t="n">
        <v>298.207</v>
      </c>
      <c r="F1505" s="19" t="n">
        <v>11.3684210526316</v>
      </c>
      <c r="G1505" s="19" t="n">
        <v>1865.48084210526</v>
      </c>
    </row>
    <row r="1506" customFormat="false" ht="15" hidden="false" customHeight="false" outlineLevel="0" collapsed="false">
      <c r="A1506" s="8" t="s">
        <v>1786</v>
      </c>
      <c r="B1506" s="8" t="n">
        <v>4413135</v>
      </c>
      <c r="C1506" s="8" t="s">
        <v>1449</v>
      </c>
      <c r="D1506" s="19" t="n">
        <v>721</v>
      </c>
      <c r="E1506" s="19" t="n">
        <v>31877.391</v>
      </c>
      <c r="F1506" s="19" t="n">
        <v>587.368421052632</v>
      </c>
      <c r="G1506" s="19" t="n">
        <v>25968.6795789474</v>
      </c>
    </row>
    <row r="1507" customFormat="false" ht="15" hidden="false" customHeight="false" outlineLevel="0" collapsed="false">
      <c r="A1507" s="8" t="s">
        <v>1786</v>
      </c>
      <c r="B1507" s="8" t="n">
        <v>4413136</v>
      </c>
      <c r="C1507" s="8" t="s">
        <v>1450</v>
      </c>
      <c r="D1507" s="19" t="n">
        <v>650</v>
      </c>
      <c r="E1507" s="19" t="n">
        <v>28730.884</v>
      </c>
      <c r="F1507" s="19" t="n">
        <v>563.368421052632</v>
      </c>
      <c r="G1507" s="19" t="n">
        <v>24899.4391578947</v>
      </c>
    </row>
    <row r="1508" customFormat="false" ht="15" hidden="false" customHeight="false" outlineLevel="0" collapsed="false">
      <c r="A1508" s="8" t="s">
        <v>1786</v>
      </c>
      <c r="B1508" s="8" t="n">
        <v>4413137</v>
      </c>
      <c r="C1508" s="8" t="s">
        <v>1451</v>
      </c>
      <c r="D1508" s="19" t="n">
        <v>329</v>
      </c>
      <c r="E1508" s="19" t="n">
        <v>14571.466</v>
      </c>
      <c r="F1508" s="19" t="n">
        <v>261.473684210526</v>
      </c>
      <c r="G1508" s="19" t="n">
        <v>11581.8669473684</v>
      </c>
    </row>
    <row r="1509" customFormat="false" ht="15" hidden="false" customHeight="false" outlineLevel="0" collapsed="false">
      <c r="A1509" s="8" t="s">
        <v>1786</v>
      </c>
      <c r="B1509" s="8" t="n">
        <v>4413138</v>
      </c>
      <c r="C1509" s="8" t="s">
        <v>1452</v>
      </c>
      <c r="D1509" s="19" t="n">
        <v>370</v>
      </c>
      <c r="E1509" s="19" t="n">
        <v>16353.064</v>
      </c>
      <c r="F1509" s="19" t="n">
        <v>332.21052631579</v>
      </c>
      <c r="G1509" s="19" t="n">
        <v>14705.1018947368</v>
      </c>
    </row>
    <row r="1510" customFormat="false" ht="15" hidden="false" customHeight="false" outlineLevel="0" collapsed="false">
      <c r="A1510" s="8" t="s">
        <v>1786</v>
      </c>
      <c r="B1510" s="8" t="n">
        <v>4413139</v>
      </c>
      <c r="C1510" s="8" t="s">
        <v>1453</v>
      </c>
      <c r="D1510" s="19" t="n">
        <v>410</v>
      </c>
      <c r="E1510" s="19" t="n">
        <v>9607.507</v>
      </c>
      <c r="F1510" s="19" t="n">
        <v>270.315789473684</v>
      </c>
      <c r="G1510" s="19" t="n">
        <v>6383.71705263158</v>
      </c>
    </row>
    <row r="1511" customFormat="false" ht="15" hidden="false" customHeight="false" outlineLevel="0" collapsed="false">
      <c r="A1511" s="8" t="s">
        <v>1786</v>
      </c>
      <c r="B1511" s="8" t="n">
        <v>4413140</v>
      </c>
      <c r="C1511" s="8" t="s">
        <v>1454</v>
      </c>
      <c r="D1511" s="19" t="n">
        <v>555</v>
      </c>
      <c r="E1511" s="19" t="n">
        <v>12986.246</v>
      </c>
      <c r="F1511" s="19" t="n">
        <v>419.368421052632</v>
      </c>
      <c r="G1511" s="19" t="n">
        <v>9901.10652631579</v>
      </c>
    </row>
    <row r="1512" customFormat="false" ht="15" hidden="false" customHeight="false" outlineLevel="0" collapsed="false">
      <c r="A1512" s="8" t="s">
        <v>1786</v>
      </c>
      <c r="B1512" s="8" t="n">
        <v>4413141</v>
      </c>
      <c r="C1512" s="8" t="s">
        <v>1455</v>
      </c>
      <c r="D1512" s="19" t="n">
        <v>391</v>
      </c>
      <c r="E1512" s="19" t="n">
        <v>9152.78</v>
      </c>
      <c r="F1512" s="19" t="n">
        <v>289.263157894737</v>
      </c>
      <c r="G1512" s="19" t="n">
        <v>6833.62105263158</v>
      </c>
    </row>
    <row r="1513" customFormat="false" ht="15" hidden="false" customHeight="false" outlineLevel="0" collapsed="false">
      <c r="A1513" s="8" t="s">
        <v>1786</v>
      </c>
      <c r="B1513" s="8" t="n">
        <v>4413142</v>
      </c>
      <c r="C1513" s="8" t="s">
        <v>1456</v>
      </c>
      <c r="D1513" s="19" t="n">
        <v>205</v>
      </c>
      <c r="E1513" s="19" t="n">
        <v>4805.983</v>
      </c>
      <c r="F1513" s="19" t="n">
        <v>125.052631578947</v>
      </c>
      <c r="G1513" s="19" t="n">
        <v>2983.45894736842</v>
      </c>
    </row>
    <row r="1514" customFormat="false" ht="15" hidden="false" customHeight="false" outlineLevel="0" collapsed="false">
      <c r="A1514" s="8" t="s">
        <v>1786</v>
      </c>
      <c r="B1514" s="8" t="n">
        <v>4413143</v>
      </c>
      <c r="C1514" s="8" t="s">
        <v>1457</v>
      </c>
      <c r="D1514" s="19" t="n">
        <v>37</v>
      </c>
      <c r="E1514" s="19" t="n">
        <v>867.685</v>
      </c>
      <c r="F1514" s="19" t="n">
        <v>40.4210526315789</v>
      </c>
      <c r="G1514" s="19" t="n">
        <v>957.166736842105</v>
      </c>
    </row>
    <row r="1515" customFormat="false" ht="15" hidden="false" customHeight="false" outlineLevel="0" collapsed="false">
      <c r="A1515" s="8" t="s">
        <v>1786</v>
      </c>
      <c r="B1515" s="8" t="n">
        <v>4413144</v>
      </c>
      <c r="C1515" s="8" t="s">
        <v>1458</v>
      </c>
      <c r="D1515" s="19" t="n">
        <v>5</v>
      </c>
      <c r="E1515" s="19" t="n">
        <v>117.299</v>
      </c>
      <c r="F1515" s="19" t="n">
        <v>6.31578947368421</v>
      </c>
      <c r="G1515" s="19" t="n">
        <v>157.133052631579</v>
      </c>
    </row>
    <row r="1516" customFormat="false" ht="15" hidden="false" customHeight="false" outlineLevel="0" collapsed="false">
      <c r="A1516" s="8" t="s">
        <v>1786</v>
      </c>
      <c r="B1516" s="8" t="n">
        <v>4413146</v>
      </c>
      <c r="C1516" s="8" t="s">
        <v>1797</v>
      </c>
      <c r="D1516" s="19" t="n">
        <v>-1</v>
      </c>
      <c r="E1516" s="19" t="n">
        <v>0</v>
      </c>
      <c r="F1516" s="19" t="n">
        <v>0</v>
      </c>
      <c r="G1516" s="19" t="n">
        <v>0</v>
      </c>
    </row>
    <row r="1517" customFormat="false" ht="15" hidden="false" customHeight="false" outlineLevel="0" collapsed="false">
      <c r="A1517" s="8" t="s">
        <v>1786</v>
      </c>
      <c r="B1517" s="8" t="n">
        <v>4413147</v>
      </c>
      <c r="C1517" s="8" t="s">
        <v>1798</v>
      </c>
      <c r="D1517" s="19" t="n">
        <v>0</v>
      </c>
      <c r="E1517" s="19" t="n">
        <v>0</v>
      </c>
      <c r="F1517" s="19" t="n">
        <v>-1.26315789473684</v>
      </c>
      <c r="G1517" s="19" t="n">
        <v>0</v>
      </c>
    </row>
    <row r="1518" customFormat="false" ht="15" hidden="false" customHeight="false" outlineLevel="0" collapsed="false">
      <c r="A1518" s="8" t="s">
        <v>1786</v>
      </c>
      <c r="B1518" s="8" t="n">
        <v>4413149</v>
      </c>
      <c r="C1518" s="8" t="s">
        <v>1459</v>
      </c>
      <c r="D1518" s="19" t="n">
        <v>871</v>
      </c>
      <c r="E1518" s="19" t="n">
        <v>8039.122</v>
      </c>
      <c r="F1518" s="19" t="n">
        <v>404.21052631579</v>
      </c>
      <c r="G1518" s="19" t="n">
        <v>3724.86947368421</v>
      </c>
    </row>
    <row r="1519" customFormat="false" ht="15" hidden="false" customHeight="false" outlineLevel="0" collapsed="false">
      <c r="A1519" s="8" t="s">
        <v>1786</v>
      </c>
      <c r="B1519" s="8" t="n">
        <v>4413150</v>
      </c>
      <c r="C1519" s="8" t="s">
        <v>1460</v>
      </c>
      <c r="D1519" s="19" t="n">
        <v>68</v>
      </c>
      <c r="E1519" s="19" t="n">
        <v>1534.988</v>
      </c>
      <c r="F1519" s="19" t="n">
        <v>63.1578947368421</v>
      </c>
      <c r="G1519" s="19" t="n">
        <v>1422.58863157895</v>
      </c>
    </row>
    <row r="1520" customFormat="false" ht="15" hidden="false" customHeight="false" outlineLevel="0" collapsed="false">
      <c r="A1520" s="8" t="s">
        <v>1786</v>
      </c>
      <c r="B1520" s="8" t="n">
        <v>4413153</v>
      </c>
      <c r="C1520" s="8" t="s">
        <v>1461</v>
      </c>
      <c r="D1520" s="19" t="n">
        <v>-96</v>
      </c>
      <c r="E1520" s="19" t="n">
        <v>-5387.746</v>
      </c>
      <c r="F1520" s="19" t="n">
        <v>-16.4210526315789</v>
      </c>
      <c r="G1520" s="19" t="n">
        <v>-918.314526315789</v>
      </c>
    </row>
    <row r="1521" customFormat="false" ht="15" hidden="false" customHeight="false" outlineLevel="0" collapsed="false">
      <c r="A1521" s="8" t="s">
        <v>1786</v>
      </c>
      <c r="B1521" s="8" t="n">
        <v>4413154</v>
      </c>
      <c r="C1521" s="8" t="s">
        <v>1462</v>
      </c>
      <c r="D1521" s="19" t="n">
        <v>9</v>
      </c>
      <c r="E1521" s="19" t="n">
        <v>695.24</v>
      </c>
      <c r="F1521" s="19" t="n">
        <v>18.9473684210526</v>
      </c>
      <c r="G1521" s="19" t="n">
        <v>1131.08210526316</v>
      </c>
    </row>
    <row r="1522" customFormat="false" ht="15" hidden="false" customHeight="false" outlineLevel="0" collapsed="false">
      <c r="A1522" s="8" t="s">
        <v>1786</v>
      </c>
      <c r="B1522" s="8" t="n">
        <v>4413155</v>
      </c>
      <c r="C1522" s="8" t="s">
        <v>1463</v>
      </c>
      <c r="D1522" s="19" t="n">
        <v>39</v>
      </c>
      <c r="E1522" s="19" t="n">
        <v>2502.682</v>
      </c>
      <c r="F1522" s="19" t="n">
        <v>24</v>
      </c>
      <c r="G1522" s="19" t="n">
        <v>1457.41768421053</v>
      </c>
    </row>
    <row r="1523" customFormat="false" ht="15" hidden="false" customHeight="false" outlineLevel="0" collapsed="false">
      <c r="A1523" s="8" t="s">
        <v>1786</v>
      </c>
      <c r="B1523" s="8" t="n">
        <v>4413156</v>
      </c>
      <c r="C1523" s="8" t="s">
        <v>1464</v>
      </c>
      <c r="D1523" s="19" t="n">
        <v>173</v>
      </c>
      <c r="E1523" s="19" t="n">
        <v>10224.487</v>
      </c>
      <c r="F1523" s="19" t="n">
        <v>122.526315789474</v>
      </c>
      <c r="G1523" s="19" t="n">
        <v>7229.95957894737</v>
      </c>
    </row>
    <row r="1524" customFormat="false" ht="15" hidden="false" customHeight="false" outlineLevel="0" collapsed="false">
      <c r="A1524" s="8" t="s">
        <v>1786</v>
      </c>
      <c r="B1524" s="8" t="n">
        <v>4413157</v>
      </c>
      <c r="C1524" s="8" t="s">
        <v>1465</v>
      </c>
      <c r="D1524" s="19" t="n">
        <v>226</v>
      </c>
      <c r="E1524" s="19" t="n">
        <v>13356.434</v>
      </c>
      <c r="F1524" s="19" t="n">
        <v>132.631578947368</v>
      </c>
      <c r="G1524" s="19" t="n">
        <v>7824.23747368421</v>
      </c>
    </row>
    <row r="1525" customFormat="false" ht="15" hidden="false" customHeight="false" outlineLevel="0" collapsed="false">
      <c r="A1525" s="8" t="s">
        <v>1786</v>
      </c>
      <c r="B1525" s="8" t="n">
        <v>4413158</v>
      </c>
      <c r="C1525" s="8" t="s">
        <v>1466</v>
      </c>
      <c r="D1525" s="19" t="n">
        <v>144</v>
      </c>
      <c r="E1525" s="19" t="n">
        <v>8562.554</v>
      </c>
      <c r="F1525" s="19" t="n">
        <v>156.631578947368</v>
      </c>
      <c r="G1525" s="19" t="n">
        <v>9246.4812631579</v>
      </c>
    </row>
    <row r="1526" customFormat="false" ht="15" hidden="false" customHeight="false" outlineLevel="0" collapsed="false">
      <c r="A1526" s="8" t="s">
        <v>1786</v>
      </c>
      <c r="B1526" s="8" t="n">
        <v>4413159</v>
      </c>
      <c r="C1526" s="8" t="s">
        <v>1467</v>
      </c>
      <c r="D1526" s="19" t="n">
        <v>53</v>
      </c>
      <c r="E1526" s="19" t="n">
        <v>2540.174</v>
      </c>
      <c r="F1526" s="19" t="n">
        <v>48</v>
      </c>
      <c r="G1526" s="19" t="n">
        <v>2358.37515789474</v>
      </c>
    </row>
    <row r="1527" customFormat="false" ht="15" hidden="false" customHeight="false" outlineLevel="0" collapsed="false">
      <c r="A1527" s="8" t="s">
        <v>1786</v>
      </c>
      <c r="B1527" s="8" t="n">
        <v>4413160</v>
      </c>
      <c r="C1527" s="8" t="s">
        <v>1468</v>
      </c>
      <c r="D1527" s="19" t="n">
        <v>123</v>
      </c>
      <c r="E1527" s="19" t="n">
        <v>5910.905</v>
      </c>
      <c r="F1527" s="19" t="n">
        <v>104.842105263158</v>
      </c>
      <c r="G1527" s="19" t="n">
        <v>5117.68673684211</v>
      </c>
    </row>
    <row r="1528" customFormat="false" ht="15" hidden="false" customHeight="false" outlineLevel="0" collapsed="false">
      <c r="A1528" s="8" t="s">
        <v>1786</v>
      </c>
      <c r="B1528" s="8" t="n">
        <v>4413161</v>
      </c>
      <c r="C1528" s="8" t="s">
        <v>1469</v>
      </c>
      <c r="D1528" s="19" t="n">
        <v>112</v>
      </c>
      <c r="E1528" s="19" t="n">
        <v>5399.94</v>
      </c>
      <c r="F1528" s="19" t="n">
        <v>88.421052631579</v>
      </c>
      <c r="G1528" s="19" t="n">
        <v>4296.84757894737</v>
      </c>
    </row>
    <row r="1529" customFormat="false" ht="15" hidden="false" customHeight="false" outlineLevel="0" collapsed="false">
      <c r="A1529" s="8" t="s">
        <v>1786</v>
      </c>
      <c r="B1529" s="8" t="n">
        <v>4413162</v>
      </c>
      <c r="C1529" s="8" t="s">
        <v>1470</v>
      </c>
      <c r="D1529" s="19" t="n">
        <v>83</v>
      </c>
      <c r="E1529" s="19" t="n">
        <v>4005.183</v>
      </c>
      <c r="F1529" s="19" t="n">
        <v>74.5263157894737</v>
      </c>
      <c r="G1529" s="19" t="n">
        <v>3710.15621052632</v>
      </c>
    </row>
    <row r="1530" customFormat="false" ht="15" hidden="false" customHeight="false" outlineLevel="0" collapsed="false">
      <c r="A1530" s="8" t="s">
        <v>1786</v>
      </c>
      <c r="B1530" s="8" t="n">
        <v>4413167</v>
      </c>
      <c r="C1530" s="8" t="s">
        <v>1799</v>
      </c>
      <c r="D1530" s="19" t="n">
        <v>-1</v>
      </c>
      <c r="E1530" s="19" t="n">
        <v>-29.393</v>
      </c>
      <c r="F1530" s="19" t="n">
        <v>0</v>
      </c>
      <c r="G1530" s="19" t="n">
        <v>0</v>
      </c>
    </row>
    <row r="1531" customFormat="false" ht="15" hidden="false" customHeight="false" outlineLevel="0" collapsed="false">
      <c r="A1531" s="8" t="s">
        <v>1786</v>
      </c>
      <c r="B1531" s="8" t="n">
        <v>4413169</v>
      </c>
      <c r="C1531" s="8" t="s">
        <v>1473</v>
      </c>
      <c r="D1531" s="19" t="n">
        <v>-1</v>
      </c>
      <c r="E1531" s="19" t="n">
        <v>-74.529</v>
      </c>
      <c r="F1531" s="19" t="n">
        <v>0</v>
      </c>
      <c r="G1531" s="19" t="n">
        <v>0</v>
      </c>
    </row>
    <row r="1532" customFormat="false" ht="15" hidden="false" customHeight="false" outlineLevel="0" collapsed="false">
      <c r="A1532" s="8" t="s">
        <v>1786</v>
      </c>
      <c r="B1532" s="8" t="n">
        <v>4413171</v>
      </c>
      <c r="C1532" s="8" t="s">
        <v>1475</v>
      </c>
      <c r="D1532" s="19" t="n">
        <v>0</v>
      </c>
      <c r="E1532" s="19" t="n">
        <v>0</v>
      </c>
      <c r="F1532" s="19" t="n">
        <v>-1.26315789473684</v>
      </c>
      <c r="G1532" s="19" t="n">
        <v>-94.1418947368421</v>
      </c>
    </row>
    <row r="1533" customFormat="false" ht="15" hidden="false" customHeight="false" outlineLevel="0" collapsed="false">
      <c r="A1533" s="8" t="s">
        <v>1786</v>
      </c>
      <c r="B1533" s="8" t="n">
        <v>4413175</v>
      </c>
      <c r="C1533" s="8" t="s">
        <v>1479</v>
      </c>
      <c r="D1533" s="19" t="n">
        <v>1</v>
      </c>
      <c r="E1533" s="19" t="n">
        <v>77.259</v>
      </c>
      <c r="F1533" s="19" t="n">
        <v>0</v>
      </c>
      <c r="G1533" s="19" t="n">
        <v>0</v>
      </c>
    </row>
    <row r="1534" customFormat="false" ht="15" hidden="false" customHeight="false" outlineLevel="0" collapsed="false">
      <c r="A1534" s="8" t="s">
        <v>1786</v>
      </c>
      <c r="B1534" s="8" t="n">
        <v>4413176</v>
      </c>
      <c r="C1534" s="8" t="s">
        <v>1480</v>
      </c>
      <c r="D1534" s="19" t="n">
        <v>1</v>
      </c>
      <c r="E1534" s="19" t="n">
        <v>74.529</v>
      </c>
      <c r="F1534" s="19" t="n">
        <v>0</v>
      </c>
      <c r="G1534" s="19" t="n">
        <v>0</v>
      </c>
    </row>
    <row r="1535" customFormat="false" ht="15" hidden="false" customHeight="false" outlineLevel="0" collapsed="false">
      <c r="A1535" s="8" t="s">
        <v>1786</v>
      </c>
      <c r="B1535" s="8" t="n">
        <v>4413177</v>
      </c>
      <c r="C1535" s="8" t="s">
        <v>1481</v>
      </c>
      <c r="D1535" s="19" t="n">
        <v>1</v>
      </c>
      <c r="E1535" s="19" t="n">
        <v>74.529</v>
      </c>
      <c r="F1535" s="19" t="n">
        <v>0</v>
      </c>
      <c r="G1535" s="19" t="n">
        <v>0</v>
      </c>
    </row>
    <row r="1536" customFormat="false" ht="15" hidden="false" customHeight="false" outlineLevel="0" collapsed="false">
      <c r="A1536" s="8" t="s">
        <v>1786</v>
      </c>
      <c r="B1536" s="8" t="n">
        <v>4413179</v>
      </c>
      <c r="C1536" s="8" t="s">
        <v>1483</v>
      </c>
      <c r="D1536" s="19" t="n">
        <v>-4</v>
      </c>
      <c r="E1536" s="19" t="n">
        <v>-327.964</v>
      </c>
      <c r="F1536" s="19" t="n">
        <v>0</v>
      </c>
      <c r="G1536" s="19" t="n">
        <v>0</v>
      </c>
    </row>
    <row r="1537" customFormat="false" ht="15" hidden="false" customHeight="false" outlineLevel="0" collapsed="false">
      <c r="A1537" s="8" t="s">
        <v>1786</v>
      </c>
      <c r="B1537" s="8" t="n">
        <v>4413181</v>
      </c>
      <c r="C1537" s="8" t="s">
        <v>1484</v>
      </c>
      <c r="D1537" s="19" t="n">
        <v>-1</v>
      </c>
      <c r="E1537" s="19" t="n">
        <v>-81.991</v>
      </c>
      <c r="F1537" s="19" t="n">
        <v>0</v>
      </c>
      <c r="G1537" s="19" t="n">
        <v>0</v>
      </c>
    </row>
    <row r="1538" customFormat="false" ht="15" hidden="false" customHeight="false" outlineLevel="0" collapsed="false">
      <c r="A1538" s="8" t="s">
        <v>1786</v>
      </c>
      <c r="B1538" s="8" t="n">
        <v>4413182</v>
      </c>
      <c r="C1538" s="8" t="s">
        <v>1772</v>
      </c>
      <c r="D1538" s="19" t="n">
        <v>-2</v>
      </c>
      <c r="E1538" s="19" t="n">
        <v>-158.249</v>
      </c>
      <c r="F1538" s="19" t="n">
        <v>8.84210526315789</v>
      </c>
      <c r="G1538" s="19" t="n">
        <v>724.973052631579</v>
      </c>
    </row>
    <row r="1539" customFormat="false" ht="15" hidden="false" customHeight="false" outlineLevel="0" collapsed="false">
      <c r="A1539" s="8" t="s">
        <v>1786</v>
      </c>
      <c r="B1539" s="8" t="n">
        <v>4413183</v>
      </c>
      <c r="C1539" s="8" t="s">
        <v>1485</v>
      </c>
      <c r="D1539" s="19" t="n">
        <v>78</v>
      </c>
      <c r="E1539" s="19" t="n">
        <v>6383.013</v>
      </c>
      <c r="F1539" s="19" t="n">
        <v>41.6842105263158</v>
      </c>
      <c r="G1539" s="19" t="n">
        <v>3465.54821052632</v>
      </c>
    </row>
    <row r="1540" customFormat="false" ht="15" hidden="false" customHeight="false" outlineLevel="0" collapsed="false">
      <c r="A1540" s="8" t="s">
        <v>1786</v>
      </c>
      <c r="B1540" s="8" t="n">
        <v>4413184</v>
      </c>
      <c r="C1540" s="8" t="s">
        <v>1486</v>
      </c>
      <c r="D1540" s="19" t="n">
        <v>87</v>
      </c>
      <c r="E1540" s="19" t="n">
        <v>7123.389</v>
      </c>
      <c r="F1540" s="19" t="n">
        <v>36.6315789473684</v>
      </c>
      <c r="G1540" s="19" t="n">
        <v>3073.80757894737</v>
      </c>
    </row>
    <row r="1541" customFormat="false" ht="15" hidden="false" customHeight="false" outlineLevel="0" collapsed="false">
      <c r="A1541" s="8" t="s">
        <v>1786</v>
      </c>
      <c r="B1541" s="8" t="n">
        <v>4413185</v>
      </c>
      <c r="C1541" s="8" t="s">
        <v>1487</v>
      </c>
      <c r="D1541" s="19" t="n">
        <v>95</v>
      </c>
      <c r="E1541" s="19" t="n">
        <v>7797.426</v>
      </c>
      <c r="F1541" s="19" t="n">
        <v>50.5263157894737</v>
      </c>
      <c r="G1541" s="19" t="n">
        <v>4191.78568421053</v>
      </c>
    </row>
    <row r="1542" customFormat="false" ht="15" hidden="false" customHeight="false" outlineLevel="0" collapsed="false">
      <c r="A1542" s="8" t="s">
        <v>1786</v>
      </c>
      <c r="B1542" s="8" t="n">
        <v>4413188</v>
      </c>
      <c r="C1542" s="8" t="s">
        <v>1800</v>
      </c>
      <c r="D1542" s="19" t="n">
        <v>0</v>
      </c>
      <c r="E1542" s="19" t="n">
        <v>0</v>
      </c>
      <c r="F1542" s="19" t="n">
        <v>-1.26315789473684</v>
      </c>
      <c r="G1542" s="19" t="n">
        <v>-235.412210526316</v>
      </c>
    </row>
    <row r="1543" customFormat="false" ht="15" hidden="false" customHeight="false" outlineLevel="0" collapsed="false">
      <c r="A1543" s="8" t="s">
        <v>1786</v>
      </c>
      <c r="B1543" s="8" t="n">
        <v>4413195</v>
      </c>
      <c r="C1543" s="8" t="s">
        <v>1488</v>
      </c>
      <c r="D1543" s="19" t="n">
        <v>21</v>
      </c>
      <c r="E1543" s="19" t="n">
        <v>3108.651</v>
      </c>
      <c r="F1543" s="19" t="n">
        <v>21.4736842105263</v>
      </c>
      <c r="G1543" s="19" t="n">
        <v>3188.75494736842</v>
      </c>
    </row>
    <row r="1544" customFormat="false" ht="15" hidden="false" customHeight="false" outlineLevel="0" collapsed="false">
      <c r="A1544" s="8" t="s">
        <v>1786</v>
      </c>
      <c r="B1544" s="8" t="n">
        <v>4413196</v>
      </c>
      <c r="C1544" s="8" t="s">
        <v>1489</v>
      </c>
      <c r="D1544" s="19" t="n">
        <v>130</v>
      </c>
      <c r="E1544" s="19" t="n">
        <v>19009.627</v>
      </c>
      <c r="F1544" s="19" t="n">
        <v>132.631578947368</v>
      </c>
      <c r="G1544" s="19" t="n">
        <v>19496.7978947368</v>
      </c>
    </row>
    <row r="1545" customFormat="false" ht="15" hidden="false" customHeight="false" outlineLevel="0" collapsed="false">
      <c r="A1545" s="8" t="s">
        <v>1786</v>
      </c>
      <c r="B1545" s="8" t="n">
        <v>4413197</v>
      </c>
      <c r="C1545" s="8" t="s">
        <v>1490</v>
      </c>
      <c r="D1545" s="19" t="n">
        <v>213</v>
      </c>
      <c r="E1545" s="19" t="n">
        <v>31302.453</v>
      </c>
      <c r="F1545" s="19" t="n">
        <v>161.684210526316</v>
      </c>
      <c r="G1545" s="19" t="n">
        <v>23755.2530526316</v>
      </c>
    </row>
    <row r="1546" customFormat="false" ht="15" hidden="false" customHeight="false" outlineLevel="0" collapsed="false">
      <c r="A1546" s="8" t="s">
        <v>1786</v>
      </c>
      <c r="B1546" s="8" t="n">
        <v>4413198</v>
      </c>
      <c r="C1546" s="8" t="s">
        <v>1491</v>
      </c>
      <c r="D1546" s="19" t="n">
        <v>128</v>
      </c>
      <c r="E1546" s="19" t="n">
        <v>18741.268</v>
      </c>
      <c r="F1546" s="19" t="n">
        <v>169.263157894737</v>
      </c>
      <c r="G1546" s="19" t="n">
        <v>24710.1208421053</v>
      </c>
    </row>
    <row r="1547" customFormat="false" ht="15" hidden="false" customHeight="false" outlineLevel="0" collapsed="false">
      <c r="A1547" s="8" t="s">
        <v>1786</v>
      </c>
      <c r="B1547" s="8" t="n">
        <v>4413204</v>
      </c>
      <c r="C1547" s="8" t="s">
        <v>1492</v>
      </c>
      <c r="D1547" s="19" t="n">
        <v>49</v>
      </c>
      <c r="E1547" s="19" t="n">
        <v>7140.77</v>
      </c>
      <c r="F1547" s="19" t="n">
        <v>63.1578947368421</v>
      </c>
      <c r="G1547" s="19" t="n">
        <v>9283.60926315789</v>
      </c>
    </row>
    <row r="1548" customFormat="false" ht="15" hidden="false" customHeight="false" outlineLevel="0" collapsed="false">
      <c r="A1548" s="8" t="s">
        <v>1786</v>
      </c>
      <c r="B1548" s="8" t="n">
        <v>4413276</v>
      </c>
      <c r="C1548" s="8" t="s">
        <v>1499</v>
      </c>
      <c r="D1548" s="19" t="n">
        <v>1</v>
      </c>
      <c r="E1548" s="19" t="n">
        <v>36.946</v>
      </c>
      <c r="F1548" s="19" t="n">
        <v>3.78947368421053</v>
      </c>
      <c r="G1548" s="19" t="n">
        <v>131.04</v>
      </c>
    </row>
    <row r="1549" customFormat="false" ht="15" hidden="false" customHeight="false" outlineLevel="0" collapsed="false">
      <c r="A1549" s="8" t="s">
        <v>1786</v>
      </c>
      <c r="B1549" s="8" t="n">
        <v>4413277</v>
      </c>
      <c r="C1549" s="8" t="s">
        <v>1500</v>
      </c>
      <c r="D1549" s="19" t="n">
        <v>-2</v>
      </c>
      <c r="E1549" s="19" t="n">
        <v>-71.981</v>
      </c>
      <c r="F1549" s="19" t="n">
        <v>-3.78947368421053</v>
      </c>
      <c r="G1549" s="19" t="n">
        <v>-139.890947368421</v>
      </c>
    </row>
    <row r="1550" customFormat="false" ht="15" hidden="false" customHeight="false" outlineLevel="0" collapsed="false">
      <c r="A1550" s="8" t="s">
        <v>1786</v>
      </c>
      <c r="B1550" s="8" t="n">
        <v>4413278</v>
      </c>
      <c r="C1550" s="8" t="s">
        <v>1501</v>
      </c>
      <c r="D1550" s="19" t="n">
        <v>-1</v>
      </c>
      <c r="E1550" s="19" t="n">
        <v>-36.946</v>
      </c>
      <c r="F1550" s="19" t="n">
        <v>3.78947368421053</v>
      </c>
      <c r="G1550" s="19" t="n">
        <v>140.465684210526</v>
      </c>
    </row>
    <row r="1551" customFormat="false" ht="15" hidden="false" customHeight="false" outlineLevel="0" collapsed="false">
      <c r="A1551" s="8" t="s">
        <v>1786</v>
      </c>
      <c r="B1551" s="8" t="n">
        <v>4413281</v>
      </c>
      <c r="C1551" s="8" t="s">
        <v>1778</v>
      </c>
      <c r="D1551" s="19" t="n">
        <v>-2</v>
      </c>
      <c r="E1551" s="19" t="n">
        <v>-332.514</v>
      </c>
      <c r="F1551" s="19" t="n">
        <v>0</v>
      </c>
      <c r="G1551" s="19" t="n">
        <v>0</v>
      </c>
    </row>
    <row r="1552" customFormat="false" ht="15" hidden="false" customHeight="false" outlineLevel="0" collapsed="false">
      <c r="A1552" s="8" t="s">
        <v>1786</v>
      </c>
      <c r="B1552" s="8" t="n">
        <v>4413282</v>
      </c>
      <c r="C1552" s="8" t="s">
        <v>1502</v>
      </c>
      <c r="D1552" s="19" t="n">
        <v>-2</v>
      </c>
      <c r="E1552" s="19" t="n">
        <v>-332.514</v>
      </c>
      <c r="F1552" s="19" t="n">
        <v>0</v>
      </c>
      <c r="G1552" s="19" t="n">
        <v>0</v>
      </c>
    </row>
    <row r="1553" customFormat="false" ht="15" hidden="false" customHeight="false" outlineLevel="0" collapsed="false">
      <c r="A1553" s="8" t="s">
        <v>1786</v>
      </c>
      <c r="B1553" s="8" t="n">
        <v>4413285</v>
      </c>
      <c r="C1553" s="8" t="s">
        <v>1779</v>
      </c>
      <c r="D1553" s="19" t="n">
        <v>-3</v>
      </c>
      <c r="E1553" s="19" t="n">
        <v>-169.078</v>
      </c>
      <c r="F1553" s="19" t="n">
        <v>0</v>
      </c>
      <c r="G1553" s="19" t="n">
        <v>0</v>
      </c>
    </row>
    <row r="1554" customFormat="false" ht="15" hidden="false" customHeight="false" outlineLevel="0" collapsed="false">
      <c r="A1554" s="8" t="s">
        <v>1786</v>
      </c>
      <c r="B1554" s="8" t="n">
        <v>4413286</v>
      </c>
      <c r="C1554" s="8" t="s">
        <v>1505</v>
      </c>
      <c r="D1554" s="19" t="n">
        <v>27</v>
      </c>
      <c r="E1554" s="19" t="n">
        <v>2209.662</v>
      </c>
      <c r="F1554" s="19" t="n">
        <v>21.4736842105263</v>
      </c>
      <c r="G1554" s="19" t="n">
        <v>1756.97052631579</v>
      </c>
    </row>
    <row r="1555" customFormat="false" ht="15" hidden="false" customHeight="false" outlineLevel="0" collapsed="false">
      <c r="A1555" s="8" t="s">
        <v>1786</v>
      </c>
      <c r="B1555" s="8" t="n">
        <v>4413307</v>
      </c>
      <c r="C1555" s="8" t="s">
        <v>1507</v>
      </c>
      <c r="D1555" s="19" t="n">
        <v>962</v>
      </c>
      <c r="E1555" s="19" t="n">
        <v>23394.007</v>
      </c>
      <c r="F1555" s="19" t="n">
        <v>850.105263157895</v>
      </c>
      <c r="G1555" s="19" t="n">
        <v>20900.3052631579</v>
      </c>
    </row>
    <row r="1556" customFormat="false" ht="15" hidden="false" customHeight="false" outlineLevel="0" collapsed="false">
      <c r="A1556" s="8" t="s">
        <v>1786</v>
      </c>
      <c r="B1556" s="8" t="n">
        <v>4413329</v>
      </c>
      <c r="C1556" s="8" t="s">
        <v>1511</v>
      </c>
      <c r="D1556" s="19" t="n">
        <v>87</v>
      </c>
      <c r="E1556" s="19" t="n">
        <v>4606.966</v>
      </c>
      <c r="F1556" s="19" t="n">
        <v>606.315789473684</v>
      </c>
      <c r="G1556" s="19" t="n">
        <v>35166.6530526316</v>
      </c>
    </row>
    <row r="1557" customFormat="false" ht="15" hidden="false" customHeight="false" outlineLevel="0" collapsed="false">
      <c r="A1557" s="8" t="s">
        <v>1786</v>
      </c>
      <c r="B1557" s="8" t="n">
        <v>4413337</v>
      </c>
      <c r="C1557" s="8" t="s">
        <v>1517</v>
      </c>
      <c r="D1557" s="19" t="n">
        <v>-1</v>
      </c>
      <c r="E1557" s="19" t="n">
        <v>-119.301</v>
      </c>
      <c r="F1557" s="19" t="n">
        <v>0</v>
      </c>
      <c r="G1557" s="19" t="n">
        <v>0</v>
      </c>
    </row>
    <row r="1558" customFormat="false" ht="15" hidden="false" customHeight="false" outlineLevel="0" collapsed="false">
      <c r="A1558" s="8" t="s">
        <v>1786</v>
      </c>
      <c r="B1558" s="8" t="n">
        <v>4413338</v>
      </c>
      <c r="C1558" s="8" t="s">
        <v>1518</v>
      </c>
      <c r="D1558" s="19" t="n">
        <v>0</v>
      </c>
      <c r="E1558" s="19" t="n">
        <v>0</v>
      </c>
      <c r="F1558" s="19" t="n">
        <v>-1.26315789473684</v>
      </c>
      <c r="G1558" s="19" t="n">
        <v>-150.696</v>
      </c>
    </row>
    <row r="1559" customFormat="false" ht="15" hidden="false" customHeight="false" outlineLevel="0" collapsed="false">
      <c r="A1559" s="8" t="s">
        <v>1786</v>
      </c>
      <c r="B1559" s="8" t="n">
        <v>4413340</v>
      </c>
      <c r="C1559" s="8" t="s">
        <v>1520</v>
      </c>
      <c r="D1559" s="19" t="n">
        <v>106</v>
      </c>
      <c r="E1559" s="19" t="n">
        <v>3911.362</v>
      </c>
      <c r="F1559" s="19" t="n">
        <v>72</v>
      </c>
      <c r="G1559" s="19" t="n">
        <v>2819.77389473684</v>
      </c>
    </row>
    <row r="1560" customFormat="false" ht="15" hidden="false" customHeight="false" outlineLevel="0" collapsed="false">
      <c r="A1560" s="8" t="s">
        <v>1786</v>
      </c>
      <c r="B1560" s="8" t="n">
        <v>4413347</v>
      </c>
      <c r="C1560" s="8" t="s">
        <v>1525</v>
      </c>
      <c r="D1560" s="19" t="n">
        <v>-1</v>
      </c>
      <c r="E1560" s="19" t="n">
        <v>-119.301</v>
      </c>
      <c r="F1560" s="19" t="n">
        <v>0</v>
      </c>
      <c r="G1560" s="19" t="n">
        <v>0</v>
      </c>
    </row>
    <row r="1561" customFormat="false" ht="15" hidden="false" customHeight="false" outlineLevel="0" collapsed="false">
      <c r="A1561" s="8" t="s">
        <v>1786</v>
      </c>
      <c r="B1561" s="8" t="n">
        <v>4413364</v>
      </c>
      <c r="C1561" s="8" t="s">
        <v>1527</v>
      </c>
      <c r="D1561" s="19" t="n">
        <v>1089</v>
      </c>
      <c r="E1561" s="19" t="n">
        <v>25499.747</v>
      </c>
      <c r="F1561" s="19" t="n">
        <v>867.789473684211</v>
      </c>
      <c r="G1561" s="19" t="n">
        <v>20582.016</v>
      </c>
    </row>
    <row r="1562" customFormat="false" ht="15" hidden="false" customHeight="false" outlineLevel="0" collapsed="false">
      <c r="A1562" s="8" t="s">
        <v>1786</v>
      </c>
      <c r="B1562" s="8" t="n">
        <v>4413365</v>
      </c>
      <c r="C1562" s="8" t="s">
        <v>1528</v>
      </c>
      <c r="D1562" s="19" t="n">
        <v>733</v>
      </c>
      <c r="E1562" s="19" t="n">
        <v>17160.052</v>
      </c>
      <c r="F1562" s="19" t="n">
        <v>568.421052631579</v>
      </c>
      <c r="G1562" s="19" t="n">
        <v>13542.5242105263</v>
      </c>
    </row>
    <row r="1563" customFormat="false" ht="15" hidden="false" customHeight="false" outlineLevel="0" collapsed="false">
      <c r="A1563" s="8" t="s">
        <v>1786</v>
      </c>
      <c r="B1563" s="8" t="n">
        <v>4413366</v>
      </c>
      <c r="C1563" s="8" t="s">
        <v>1529</v>
      </c>
      <c r="D1563" s="19" t="n">
        <v>833</v>
      </c>
      <c r="E1563" s="19" t="n">
        <v>19474.364</v>
      </c>
      <c r="F1563" s="19" t="n">
        <v>731.368421052632</v>
      </c>
      <c r="G1563" s="19" t="n">
        <v>17343.2589473684</v>
      </c>
    </row>
    <row r="1564" customFormat="false" ht="15" hidden="false" customHeight="false" outlineLevel="0" collapsed="false">
      <c r="A1564" s="8" t="s">
        <v>1786</v>
      </c>
      <c r="B1564" s="8" t="n">
        <v>4413367</v>
      </c>
      <c r="C1564" s="8" t="s">
        <v>1530</v>
      </c>
      <c r="D1564" s="19" t="n">
        <v>347</v>
      </c>
      <c r="E1564" s="19" t="n">
        <v>8126.118</v>
      </c>
      <c r="F1564" s="19" t="n">
        <v>286.736842105263</v>
      </c>
      <c r="G1564" s="19" t="n">
        <v>6810.74652631579</v>
      </c>
    </row>
    <row r="1565" customFormat="false" ht="15" hidden="false" customHeight="false" outlineLevel="0" collapsed="false">
      <c r="A1565" s="8" t="s">
        <v>1786</v>
      </c>
      <c r="B1565" s="8" t="n">
        <v>4413370</v>
      </c>
      <c r="C1565" s="8" t="s">
        <v>1533</v>
      </c>
      <c r="D1565" s="19" t="n">
        <v>1818</v>
      </c>
      <c r="E1565" s="19" t="n">
        <v>57335.369</v>
      </c>
      <c r="F1565" s="19" t="n">
        <v>1791.15789473684</v>
      </c>
      <c r="G1565" s="19" t="n">
        <v>56338.5789473684</v>
      </c>
    </row>
    <row r="1566" customFormat="false" ht="15" hidden="false" customHeight="false" outlineLevel="0" collapsed="false">
      <c r="A1566" s="8" t="s">
        <v>1786</v>
      </c>
      <c r="B1566" s="8" t="n">
        <v>4413371</v>
      </c>
      <c r="C1566" s="8" t="s">
        <v>1534</v>
      </c>
      <c r="D1566" s="19" t="n">
        <v>84</v>
      </c>
      <c r="E1566" s="19" t="n">
        <v>1954.225</v>
      </c>
      <c r="F1566" s="19" t="n">
        <v>87.1578947368421</v>
      </c>
      <c r="G1566" s="19" t="n">
        <v>2039.28126315789</v>
      </c>
    </row>
    <row r="1567" customFormat="false" ht="15" hidden="false" customHeight="false" outlineLevel="0" collapsed="false">
      <c r="A1567" s="8" t="s">
        <v>1786</v>
      </c>
      <c r="B1567" s="8" t="n">
        <v>4413394</v>
      </c>
      <c r="C1567" s="8" t="s">
        <v>1536</v>
      </c>
      <c r="D1567" s="19" t="n">
        <v>1231</v>
      </c>
      <c r="E1567" s="19" t="n">
        <v>34780.473</v>
      </c>
      <c r="F1567" s="19" t="n">
        <v>1044.63157894737</v>
      </c>
      <c r="G1567" s="19" t="n">
        <v>29682.0543157895</v>
      </c>
    </row>
    <row r="1568" customFormat="false" ht="15" hidden="false" customHeight="false" outlineLevel="0" collapsed="false">
      <c r="A1568" s="8" t="s">
        <v>1786</v>
      </c>
      <c r="B1568" s="8" t="n">
        <v>4413395</v>
      </c>
      <c r="C1568" s="8" t="s">
        <v>1537</v>
      </c>
      <c r="D1568" s="19" t="n">
        <v>2788</v>
      </c>
      <c r="E1568" s="19" t="n">
        <v>78801.632</v>
      </c>
      <c r="F1568" s="19" t="n">
        <v>2719.57894736842</v>
      </c>
      <c r="G1568" s="19" t="n">
        <v>77485.4463157895</v>
      </c>
    </row>
    <row r="1569" customFormat="false" ht="15" hidden="false" customHeight="false" outlineLevel="0" collapsed="false">
      <c r="A1569" s="8" t="s">
        <v>1786</v>
      </c>
      <c r="B1569" s="8" t="n">
        <v>4413396</v>
      </c>
      <c r="C1569" s="8" t="s">
        <v>1538</v>
      </c>
      <c r="D1569" s="19" t="n">
        <v>2670</v>
      </c>
      <c r="E1569" s="19" t="n">
        <v>75465.481</v>
      </c>
      <c r="F1569" s="19" t="n">
        <v>2898.94736842105</v>
      </c>
      <c r="G1569" s="19" t="n">
        <v>82366.3414736842</v>
      </c>
    </row>
    <row r="1570" customFormat="false" ht="15" hidden="false" customHeight="false" outlineLevel="0" collapsed="false">
      <c r="A1570" s="8" t="s">
        <v>1786</v>
      </c>
      <c r="B1570" s="8" t="n">
        <v>4413397</v>
      </c>
      <c r="C1570" s="8" t="s">
        <v>1539</v>
      </c>
      <c r="D1570" s="19" t="n">
        <v>2302</v>
      </c>
      <c r="E1570" s="19" t="n">
        <v>65045.981</v>
      </c>
      <c r="F1570" s="19" t="n">
        <v>2129.68421052632</v>
      </c>
      <c r="G1570" s="19" t="n">
        <v>60654.1629473684</v>
      </c>
    </row>
    <row r="1571" customFormat="false" ht="15" hidden="false" customHeight="false" outlineLevel="0" collapsed="false">
      <c r="A1571" s="8" t="s">
        <v>1786</v>
      </c>
      <c r="B1571" s="8" t="n">
        <v>4413398</v>
      </c>
      <c r="C1571" s="8" t="s">
        <v>1540</v>
      </c>
      <c r="D1571" s="19" t="n">
        <v>360</v>
      </c>
      <c r="E1571" s="19" t="n">
        <v>10160.15</v>
      </c>
      <c r="F1571" s="19" t="n">
        <v>213.473684210526</v>
      </c>
      <c r="G1571" s="19" t="n">
        <v>6060.37010526316</v>
      </c>
    </row>
    <row r="1572" customFormat="false" ht="15" hidden="false" customHeight="false" outlineLevel="0" collapsed="false">
      <c r="A1572" s="8" t="s">
        <v>1786</v>
      </c>
      <c r="B1572" s="8" t="n">
        <v>4413403</v>
      </c>
      <c r="C1572" s="8" t="s">
        <v>1542</v>
      </c>
      <c r="D1572" s="19" t="n">
        <v>0</v>
      </c>
      <c r="E1572" s="19" t="n">
        <v>0</v>
      </c>
      <c r="F1572" s="19" t="n">
        <v>-1.26315789473684</v>
      </c>
      <c r="G1572" s="19" t="n">
        <v>-239.550315789474</v>
      </c>
    </row>
    <row r="1573" customFormat="false" ht="15" hidden="false" customHeight="false" outlineLevel="0" collapsed="false">
      <c r="A1573" s="8" t="s">
        <v>1786</v>
      </c>
      <c r="B1573" s="8" t="n">
        <v>4413405</v>
      </c>
      <c r="C1573" s="8" t="s">
        <v>1543</v>
      </c>
      <c r="D1573" s="19" t="n">
        <v>7</v>
      </c>
      <c r="E1573" s="19" t="n">
        <v>464.373</v>
      </c>
      <c r="F1573" s="19" t="n">
        <v>3.78947368421053</v>
      </c>
      <c r="G1573" s="19" t="n">
        <v>274.954105263158</v>
      </c>
    </row>
    <row r="1574" customFormat="false" ht="15" hidden="false" customHeight="false" outlineLevel="0" collapsed="false">
      <c r="A1574" s="8" t="s">
        <v>1786</v>
      </c>
      <c r="B1574" s="8" t="n">
        <v>4413406</v>
      </c>
      <c r="C1574" s="8" t="s">
        <v>1544</v>
      </c>
      <c r="D1574" s="19" t="n">
        <v>8</v>
      </c>
      <c r="E1574" s="19" t="n">
        <v>552.461</v>
      </c>
      <c r="F1574" s="19" t="n">
        <v>11.3684210526316</v>
      </c>
      <c r="G1574" s="19" t="n">
        <v>780.952421052632</v>
      </c>
    </row>
    <row r="1575" customFormat="false" ht="15" hidden="false" customHeight="false" outlineLevel="0" collapsed="false">
      <c r="A1575" s="8" t="s">
        <v>1786</v>
      </c>
      <c r="B1575" s="8" t="n">
        <v>4413407</v>
      </c>
      <c r="C1575" s="8" t="s">
        <v>1545</v>
      </c>
      <c r="D1575" s="19" t="n">
        <v>26</v>
      </c>
      <c r="E1575" s="19" t="n">
        <v>1759.03</v>
      </c>
      <c r="F1575" s="19" t="n">
        <v>13.8947368421053</v>
      </c>
      <c r="G1575" s="19" t="n">
        <v>956.477052631579</v>
      </c>
    </row>
    <row r="1576" customFormat="false" ht="15" hidden="false" customHeight="false" outlineLevel="0" collapsed="false">
      <c r="A1576" s="8" t="s">
        <v>1786</v>
      </c>
      <c r="B1576" s="8" t="n">
        <v>4413408</v>
      </c>
      <c r="C1576" s="8" t="s">
        <v>1546</v>
      </c>
      <c r="D1576" s="19" t="n">
        <v>13</v>
      </c>
      <c r="E1576" s="19" t="n">
        <v>877.877</v>
      </c>
      <c r="F1576" s="19" t="n">
        <v>20.2105263157895</v>
      </c>
      <c r="G1576" s="19" t="n">
        <v>1379.94315789474</v>
      </c>
    </row>
    <row r="1577" customFormat="false" ht="15" hidden="false" customHeight="false" outlineLevel="0" collapsed="false">
      <c r="A1577" s="8" t="s">
        <v>1786</v>
      </c>
      <c r="B1577" s="8" t="n">
        <v>4413416</v>
      </c>
      <c r="C1577" s="8" t="s">
        <v>1548</v>
      </c>
      <c r="D1577" s="19" t="n">
        <v>11</v>
      </c>
      <c r="E1577" s="19" t="n">
        <v>1346.618</v>
      </c>
      <c r="F1577" s="19" t="n">
        <v>15.1578947368421</v>
      </c>
      <c r="G1577" s="19" t="n">
        <v>1831.91621052632</v>
      </c>
    </row>
    <row r="1578" customFormat="false" ht="15" hidden="false" customHeight="false" outlineLevel="0" collapsed="false">
      <c r="A1578" s="8" t="s">
        <v>1786</v>
      </c>
      <c r="B1578" s="8" t="n">
        <v>4413417</v>
      </c>
      <c r="C1578" s="8" t="s">
        <v>1549</v>
      </c>
      <c r="D1578" s="19" t="n">
        <v>3</v>
      </c>
      <c r="E1578" s="19" t="n">
        <v>370.643</v>
      </c>
      <c r="F1578" s="19" t="n">
        <v>10.1052631578947</v>
      </c>
      <c r="G1578" s="19" t="n">
        <v>1237.98315789474</v>
      </c>
    </row>
    <row r="1579" customFormat="false" ht="15" hidden="false" customHeight="false" outlineLevel="0" collapsed="false">
      <c r="A1579" s="8" t="s">
        <v>1786</v>
      </c>
      <c r="B1579" s="8" t="n">
        <v>4413418</v>
      </c>
      <c r="C1579" s="8" t="s">
        <v>1550</v>
      </c>
      <c r="D1579" s="19" t="n">
        <v>2</v>
      </c>
      <c r="E1579" s="19" t="n">
        <v>259.441</v>
      </c>
      <c r="F1579" s="19" t="n">
        <v>7.57894736842105</v>
      </c>
      <c r="G1579" s="19" t="n">
        <v>941.533894736842</v>
      </c>
    </row>
    <row r="1580" customFormat="false" ht="15" hidden="false" customHeight="false" outlineLevel="0" collapsed="false">
      <c r="A1580" s="8" t="s">
        <v>1786</v>
      </c>
      <c r="B1580" s="8" t="n">
        <v>4413421</v>
      </c>
      <c r="C1580" s="8" t="s">
        <v>1553</v>
      </c>
      <c r="D1580" s="19" t="n">
        <v>26</v>
      </c>
      <c r="E1580" s="19" t="n">
        <v>1745.471</v>
      </c>
      <c r="F1580" s="19" t="n">
        <v>7.57894736842105</v>
      </c>
      <c r="G1580" s="19" t="n">
        <v>513.699789473684</v>
      </c>
    </row>
    <row r="1581" customFormat="false" ht="15" hidden="false" customHeight="false" outlineLevel="0" collapsed="false">
      <c r="A1581" s="8" t="s">
        <v>1786</v>
      </c>
      <c r="B1581" s="8" t="n">
        <v>4413422</v>
      </c>
      <c r="C1581" s="8" t="s">
        <v>1554</v>
      </c>
      <c r="D1581" s="19" t="n">
        <v>22</v>
      </c>
      <c r="E1581" s="19" t="n">
        <v>1491.308</v>
      </c>
      <c r="F1581" s="19" t="n">
        <v>22.7368421052632</v>
      </c>
      <c r="G1581" s="19" t="n">
        <v>1559.03115789474</v>
      </c>
    </row>
    <row r="1582" customFormat="false" ht="15" hidden="false" customHeight="false" outlineLevel="0" collapsed="false">
      <c r="A1582" s="8" t="s">
        <v>1786</v>
      </c>
      <c r="B1582" s="8" t="n">
        <v>4413425</v>
      </c>
      <c r="C1582" s="8" t="s">
        <v>1557</v>
      </c>
      <c r="D1582" s="19" t="n">
        <v>24</v>
      </c>
      <c r="E1582" s="19" t="n">
        <v>1613.339</v>
      </c>
      <c r="F1582" s="19" t="n">
        <v>24</v>
      </c>
      <c r="G1582" s="19" t="n">
        <v>1640.75873684211</v>
      </c>
    </row>
    <row r="1583" customFormat="false" ht="15" hidden="false" customHeight="false" outlineLevel="0" collapsed="false">
      <c r="A1583" s="8" t="s">
        <v>1786</v>
      </c>
      <c r="B1583" s="8" t="n">
        <v>4413426</v>
      </c>
      <c r="C1583" s="8" t="s">
        <v>1558</v>
      </c>
      <c r="D1583" s="19" t="n">
        <v>21</v>
      </c>
      <c r="E1583" s="19" t="n">
        <v>1409.954</v>
      </c>
      <c r="F1583" s="19" t="n">
        <v>13.8947368421053</v>
      </c>
      <c r="G1583" s="19" t="n">
        <v>942.798315789474</v>
      </c>
    </row>
    <row r="1584" customFormat="false" ht="15" hidden="false" customHeight="false" outlineLevel="0" collapsed="false">
      <c r="A1584" s="8" t="s">
        <v>1786</v>
      </c>
      <c r="B1584" s="8" t="n">
        <v>4413427</v>
      </c>
      <c r="C1584" s="8" t="s">
        <v>1559</v>
      </c>
      <c r="D1584" s="19" t="n">
        <v>11</v>
      </c>
      <c r="E1584" s="19" t="n">
        <v>742.287</v>
      </c>
      <c r="F1584" s="19" t="n">
        <v>13.8947368421053</v>
      </c>
      <c r="G1584" s="19" t="n">
        <v>946.70652631579</v>
      </c>
    </row>
    <row r="1585" customFormat="false" ht="15" hidden="false" customHeight="false" outlineLevel="0" collapsed="false">
      <c r="A1585" s="8" t="s">
        <v>1786</v>
      </c>
      <c r="B1585" s="8" t="n">
        <v>4413428</v>
      </c>
      <c r="C1585" s="8" t="s">
        <v>1801</v>
      </c>
      <c r="D1585" s="19" t="n">
        <v>-2</v>
      </c>
      <c r="E1585" s="19" t="n">
        <v>-193.83</v>
      </c>
      <c r="F1585" s="19" t="n">
        <v>0</v>
      </c>
      <c r="G1585" s="19" t="n">
        <v>0</v>
      </c>
    </row>
    <row r="1586" customFormat="false" ht="15" hidden="false" customHeight="false" outlineLevel="0" collapsed="false">
      <c r="A1586" s="8" t="s">
        <v>1786</v>
      </c>
      <c r="B1586" s="8" t="n">
        <v>4413429</v>
      </c>
      <c r="C1586" s="8" t="s">
        <v>1802</v>
      </c>
      <c r="D1586" s="19" t="n">
        <v>-1</v>
      </c>
      <c r="E1586" s="19" t="n">
        <v>-96.915</v>
      </c>
      <c r="F1586" s="19" t="n">
        <v>0</v>
      </c>
      <c r="G1586" s="19" t="n">
        <v>0</v>
      </c>
    </row>
    <row r="1587" customFormat="false" ht="15" hidden="false" customHeight="false" outlineLevel="0" collapsed="false">
      <c r="A1587" s="8" t="s">
        <v>1786</v>
      </c>
      <c r="B1587" s="8" t="n">
        <v>4413430</v>
      </c>
      <c r="C1587" s="8" t="s">
        <v>1803</v>
      </c>
      <c r="D1587" s="19" t="n">
        <v>-1</v>
      </c>
      <c r="E1587" s="19" t="n">
        <v>-96.915</v>
      </c>
      <c r="F1587" s="19" t="n">
        <v>0</v>
      </c>
      <c r="G1587" s="19" t="n">
        <v>0</v>
      </c>
    </row>
    <row r="1588" customFormat="false" ht="15" hidden="false" customHeight="false" outlineLevel="0" collapsed="false">
      <c r="A1588" s="8" t="s">
        <v>1786</v>
      </c>
      <c r="B1588" s="8" t="n">
        <v>4413431</v>
      </c>
      <c r="C1588" s="8" t="s">
        <v>1804</v>
      </c>
      <c r="D1588" s="19" t="n">
        <v>-1</v>
      </c>
      <c r="E1588" s="19" t="n">
        <v>-96.915</v>
      </c>
      <c r="F1588" s="19" t="n">
        <v>0</v>
      </c>
      <c r="G1588" s="19" t="n">
        <v>0</v>
      </c>
    </row>
    <row r="1589" customFormat="false" ht="15" hidden="false" customHeight="false" outlineLevel="0" collapsed="false">
      <c r="A1589" s="8" t="s">
        <v>1786</v>
      </c>
      <c r="B1589" s="8" t="n">
        <v>4413438</v>
      </c>
      <c r="C1589" s="8" t="s">
        <v>1560</v>
      </c>
      <c r="D1589" s="19" t="n">
        <v>14</v>
      </c>
      <c r="E1589" s="19" t="n">
        <v>1711.073</v>
      </c>
      <c r="F1589" s="19" t="n">
        <v>13.8947368421053</v>
      </c>
      <c r="G1589" s="19" t="n">
        <v>1693.74947368421</v>
      </c>
    </row>
    <row r="1590" customFormat="false" ht="15" hidden="false" customHeight="false" outlineLevel="0" collapsed="false">
      <c r="A1590" s="8" t="s">
        <v>1786</v>
      </c>
      <c r="B1590" s="8" t="n">
        <v>4413439</v>
      </c>
      <c r="C1590" s="8" t="s">
        <v>1561</v>
      </c>
      <c r="D1590" s="19" t="n">
        <v>20</v>
      </c>
      <c r="E1590" s="19" t="n">
        <v>2433.795</v>
      </c>
      <c r="F1590" s="19" t="n">
        <v>25.2631578947368</v>
      </c>
      <c r="G1590" s="19" t="n">
        <v>3074.84210526316</v>
      </c>
    </row>
    <row r="1591" customFormat="false" ht="15" hidden="false" customHeight="false" outlineLevel="0" collapsed="false">
      <c r="A1591" s="8" t="s">
        <v>1786</v>
      </c>
      <c r="B1591" s="8" t="n">
        <v>4413440</v>
      </c>
      <c r="C1591" s="8" t="s">
        <v>1562</v>
      </c>
      <c r="D1591" s="19" t="n">
        <v>31</v>
      </c>
      <c r="E1591" s="19" t="n">
        <v>3792.698</v>
      </c>
      <c r="F1591" s="19" t="n">
        <v>27.7894736842105</v>
      </c>
      <c r="G1591" s="19" t="n">
        <v>3405.54568421053</v>
      </c>
    </row>
    <row r="1592" customFormat="false" ht="15" hidden="false" customHeight="false" outlineLevel="0" collapsed="false">
      <c r="A1592" s="8" t="s">
        <v>1786</v>
      </c>
      <c r="B1592" s="8" t="n">
        <v>4413441</v>
      </c>
      <c r="C1592" s="8" t="s">
        <v>1563</v>
      </c>
      <c r="D1592" s="19" t="n">
        <v>13</v>
      </c>
      <c r="E1592" s="19" t="n">
        <v>1593.683</v>
      </c>
      <c r="F1592" s="19" t="n">
        <v>16.4210526315789</v>
      </c>
      <c r="G1592" s="19" t="n">
        <v>1994.91157894737</v>
      </c>
    </row>
    <row r="1593" customFormat="false" ht="15" hidden="false" customHeight="false" outlineLevel="0" collapsed="false">
      <c r="A1593" s="8" t="s">
        <v>1786</v>
      </c>
      <c r="B1593" s="8" t="n">
        <v>4413442</v>
      </c>
      <c r="C1593" s="8" t="s">
        <v>1564</v>
      </c>
      <c r="D1593" s="19" t="n">
        <v>4</v>
      </c>
      <c r="E1593" s="19" t="n">
        <v>426.881</v>
      </c>
      <c r="F1593" s="19" t="n">
        <v>15.1578947368421</v>
      </c>
      <c r="G1593" s="19" t="n">
        <v>1667.88631578947</v>
      </c>
    </row>
    <row r="1594" customFormat="false" ht="15" hidden="false" customHeight="false" outlineLevel="0" collapsed="false">
      <c r="A1594" s="8" t="s">
        <v>1786</v>
      </c>
      <c r="B1594" s="8" t="n">
        <v>4413443</v>
      </c>
      <c r="C1594" s="8" t="s">
        <v>1805</v>
      </c>
      <c r="D1594" s="19" t="n">
        <v>-2</v>
      </c>
      <c r="E1594" s="19" t="n">
        <v>-518.973</v>
      </c>
      <c r="F1594" s="19" t="n">
        <v>0</v>
      </c>
      <c r="G1594" s="19" t="n">
        <v>0</v>
      </c>
    </row>
    <row r="1595" customFormat="false" ht="15" hidden="false" customHeight="false" outlineLevel="0" collapsed="false">
      <c r="A1595" s="8" t="s">
        <v>1786</v>
      </c>
      <c r="B1595" s="8" t="n">
        <v>4413452</v>
      </c>
      <c r="C1595" s="8" t="s">
        <v>1570</v>
      </c>
      <c r="D1595" s="19" t="n">
        <v>830</v>
      </c>
      <c r="E1595" s="19" t="n">
        <v>30930.809</v>
      </c>
      <c r="F1595" s="19" t="n">
        <v>826.105263157895</v>
      </c>
      <c r="G1595" s="19" t="n">
        <v>30665.1991578947</v>
      </c>
    </row>
    <row r="1596" customFormat="false" ht="15" hidden="false" customHeight="false" outlineLevel="0" collapsed="false">
      <c r="A1596" s="8" t="s">
        <v>1786</v>
      </c>
      <c r="B1596" s="8" t="n">
        <v>4413453</v>
      </c>
      <c r="C1596" s="8" t="s">
        <v>1571</v>
      </c>
      <c r="D1596" s="19" t="n">
        <v>561</v>
      </c>
      <c r="E1596" s="19" t="n">
        <v>31187.429</v>
      </c>
      <c r="F1596" s="19" t="n">
        <v>1620.63157894737</v>
      </c>
      <c r="G1596" s="19" t="n">
        <v>94531.1065263158</v>
      </c>
    </row>
    <row r="1597" customFormat="false" ht="15" hidden="false" customHeight="false" outlineLevel="0" collapsed="false">
      <c r="A1597" s="8" t="s">
        <v>1786</v>
      </c>
      <c r="B1597" s="8" t="n">
        <v>4413455</v>
      </c>
      <c r="C1597" s="8" t="s">
        <v>1572</v>
      </c>
      <c r="D1597" s="19" t="n">
        <v>299</v>
      </c>
      <c r="E1597" s="19" t="n">
        <v>12164.152</v>
      </c>
      <c r="F1597" s="19" t="n">
        <v>298.105263157895</v>
      </c>
      <c r="G1597" s="19" t="n">
        <v>12120.7402105263</v>
      </c>
    </row>
    <row r="1598" customFormat="false" ht="15" hidden="false" customHeight="false" outlineLevel="0" collapsed="false">
      <c r="A1598" s="8" t="s">
        <v>1786</v>
      </c>
      <c r="B1598" s="8" t="n">
        <v>4413456</v>
      </c>
      <c r="C1598" s="8" t="s">
        <v>1573</v>
      </c>
      <c r="D1598" s="19" t="n">
        <v>98</v>
      </c>
      <c r="E1598" s="19" t="n">
        <v>5444.803</v>
      </c>
      <c r="F1598" s="19" t="n">
        <v>535.578947368421</v>
      </c>
      <c r="G1598" s="19" t="n">
        <v>31583.6286315789</v>
      </c>
    </row>
    <row r="1599" customFormat="false" ht="15" hidden="false" customHeight="false" outlineLevel="0" collapsed="false">
      <c r="A1599" s="8" t="s">
        <v>1786</v>
      </c>
      <c r="B1599" s="8" t="n">
        <v>4413516</v>
      </c>
      <c r="C1599" s="8" t="s">
        <v>1591</v>
      </c>
      <c r="D1599" s="19" t="n">
        <v>935</v>
      </c>
      <c r="E1599" s="19" t="n">
        <v>41681.822</v>
      </c>
      <c r="F1599" s="19" t="n">
        <v>1169.68421052632</v>
      </c>
      <c r="G1599" s="19" t="n">
        <v>52122.1945263158</v>
      </c>
    </row>
    <row r="1600" customFormat="false" ht="15" hidden="false" customHeight="false" outlineLevel="0" collapsed="false">
      <c r="A1600" s="8" t="s">
        <v>1786</v>
      </c>
      <c r="B1600" s="8" t="n">
        <v>4413517</v>
      </c>
      <c r="C1600" s="8" t="s">
        <v>1592</v>
      </c>
      <c r="D1600" s="19" t="n">
        <v>802</v>
      </c>
      <c r="E1600" s="19" t="n">
        <v>35715.407</v>
      </c>
      <c r="F1600" s="19" t="n">
        <v>1004.21052631579</v>
      </c>
      <c r="G1600" s="19" t="n">
        <v>44761.1949473684</v>
      </c>
    </row>
    <row r="1601" customFormat="false" ht="15" hidden="false" customHeight="false" outlineLevel="0" collapsed="false">
      <c r="A1601" s="8" t="s">
        <v>1786</v>
      </c>
      <c r="B1601" s="8" t="n">
        <v>4413518</v>
      </c>
      <c r="C1601" s="8" t="s">
        <v>1593</v>
      </c>
      <c r="D1601" s="19" t="n">
        <v>588</v>
      </c>
      <c r="E1601" s="19" t="n">
        <v>26216.008</v>
      </c>
      <c r="F1601" s="19" t="n">
        <v>785.684210526316</v>
      </c>
      <c r="G1601" s="19" t="n">
        <v>35021.9343157895</v>
      </c>
    </row>
    <row r="1602" customFormat="false" ht="15" hidden="false" customHeight="false" outlineLevel="0" collapsed="false">
      <c r="A1602" s="8" t="s">
        <v>1786</v>
      </c>
      <c r="B1602" s="8" t="n">
        <v>4413519</v>
      </c>
      <c r="C1602" s="8" t="s">
        <v>1594</v>
      </c>
      <c r="D1602" s="19" t="n">
        <v>464</v>
      </c>
      <c r="E1602" s="19" t="n">
        <v>20726.979</v>
      </c>
      <c r="F1602" s="19" t="n">
        <v>636.631578947368</v>
      </c>
      <c r="G1602" s="19" t="n">
        <v>28370.5048421053</v>
      </c>
    </row>
    <row r="1603" customFormat="false" ht="15" hidden="false" customHeight="false" outlineLevel="0" collapsed="false">
      <c r="A1603" s="8" t="s">
        <v>1786</v>
      </c>
      <c r="B1603" s="8" t="n">
        <v>4413520</v>
      </c>
      <c r="C1603" s="8" t="s">
        <v>1595</v>
      </c>
      <c r="D1603" s="19" t="n">
        <v>869</v>
      </c>
      <c r="E1603" s="19" t="n">
        <v>73319.064</v>
      </c>
      <c r="F1603" s="19" t="n">
        <v>46.7368421052632</v>
      </c>
      <c r="G1603" s="19" t="n">
        <v>4527.54694736842</v>
      </c>
    </row>
    <row r="1604" customFormat="false" ht="15" hidden="false" customHeight="false" outlineLevel="0" collapsed="false">
      <c r="A1604" s="8" t="s">
        <v>1786</v>
      </c>
      <c r="B1604" s="8" t="n">
        <v>4413521</v>
      </c>
      <c r="C1604" s="8" t="s">
        <v>1596</v>
      </c>
      <c r="D1604" s="19" t="n">
        <v>941</v>
      </c>
      <c r="E1604" s="19" t="n">
        <v>79735.838</v>
      </c>
      <c r="F1604" s="19" t="n">
        <v>161.684210526316</v>
      </c>
      <c r="G1604" s="19" t="n">
        <v>14480.4947368421</v>
      </c>
    </row>
    <row r="1605" customFormat="false" ht="15" hidden="false" customHeight="false" outlineLevel="0" collapsed="false">
      <c r="A1605" s="8" t="s">
        <v>1786</v>
      </c>
      <c r="B1605" s="8" t="n">
        <v>4413522</v>
      </c>
      <c r="C1605" s="8" t="s">
        <v>1597</v>
      </c>
      <c r="D1605" s="19" t="n">
        <v>1045</v>
      </c>
      <c r="E1605" s="19" t="n">
        <v>88755.94</v>
      </c>
      <c r="F1605" s="19" t="n">
        <v>399.157894736842</v>
      </c>
      <c r="G1605" s="19" t="n">
        <v>35737.4816842105</v>
      </c>
    </row>
    <row r="1606" customFormat="false" ht="15" hidden="false" customHeight="false" outlineLevel="0" collapsed="false">
      <c r="A1606" s="8" t="s">
        <v>1786</v>
      </c>
      <c r="B1606" s="8" t="n">
        <v>4413523</v>
      </c>
      <c r="C1606" s="8" t="s">
        <v>1598</v>
      </c>
      <c r="D1606" s="19" t="n">
        <v>890</v>
      </c>
      <c r="E1606" s="19" t="n">
        <v>74940.593</v>
      </c>
      <c r="F1606" s="19" t="n">
        <v>48</v>
      </c>
      <c r="G1606" s="19" t="n">
        <v>4566.62905263158</v>
      </c>
    </row>
    <row r="1607" customFormat="false" ht="15" hidden="false" customHeight="false" outlineLevel="0" collapsed="false">
      <c r="A1607" s="8" t="s">
        <v>1786</v>
      </c>
      <c r="B1607" s="8" t="n">
        <v>4413524</v>
      </c>
      <c r="C1607" s="8" t="s">
        <v>1599</v>
      </c>
      <c r="D1607" s="19" t="n">
        <v>969</v>
      </c>
      <c r="E1607" s="19" t="n">
        <v>82085.367</v>
      </c>
      <c r="F1607" s="19" t="n">
        <v>181.894736842105</v>
      </c>
      <c r="G1607" s="19" t="n">
        <v>16601.0437894737</v>
      </c>
    </row>
    <row r="1608" customFormat="false" ht="15" hidden="false" customHeight="false" outlineLevel="0" collapsed="false">
      <c r="A1608" s="8" t="s">
        <v>1786</v>
      </c>
      <c r="B1608" s="8" t="n">
        <v>4413525</v>
      </c>
      <c r="C1608" s="8" t="s">
        <v>1600</v>
      </c>
      <c r="D1608" s="19" t="n">
        <v>990</v>
      </c>
      <c r="E1608" s="19" t="n">
        <v>83805.176</v>
      </c>
      <c r="F1608" s="19" t="n">
        <v>298.105263157895</v>
      </c>
      <c r="G1608" s="19" t="n">
        <v>27091.1406315789</v>
      </c>
    </row>
    <row r="1609" customFormat="false" ht="15" hidden="false" customHeight="false" outlineLevel="0" collapsed="false">
      <c r="A1609" s="8" t="s">
        <v>1786</v>
      </c>
      <c r="B1609" s="8" t="n">
        <v>4413527</v>
      </c>
      <c r="C1609" s="8" t="s">
        <v>1601</v>
      </c>
      <c r="D1609" s="19" t="n">
        <v>886</v>
      </c>
      <c r="E1609" s="19" t="n">
        <v>74692.254</v>
      </c>
      <c r="F1609" s="19" t="n">
        <v>93.4736842105263</v>
      </c>
      <c r="G1609" s="19" t="n">
        <v>8675.19284210526</v>
      </c>
    </row>
    <row r="1610" customFormat="false" ht="15" hidden="false" customHeight="false" outlineLevel="0" collapsed="false">
      <c r="A1610" s="8" t="s">
        <v>1786</v>
      </c>
      <c r="B1610" s="8" t="n">
        <v>4413528</v>
      </c>
      <c r="C1610" s="8" t="s">
        <v>1602</v>
      </c>
      <c r="D1610" s="19" t="n">
        <v>1056</v>
      </c>
      <c r="E1610" s="19" t="n">
        <v>89692.694</v>
      </c>
      <c r="F1610" s="19" t="n">
        <v>477.473684210526</v>
      </c>
      <c r="G1610" s="19" t="n">
        <v>43532.5225263158</v>
      </c>
    </row>
    <row r="1611" customFormat="false" ht="15" hidden="false" customHeight="false" outlineLevel="0" collapsed="false">
      <c r="A1611" s="8" t="s">
        <v>1786</v>
      </c>
      <c r="B1611" s="8" t="n">
        <v>4413529</v>
      </c>
      <c r="C1611" s="8" t="s">
        <v>1603</v>
      </c>
      <c r="D1611" s="19" t="n">
        <v>1132</v>
      </c>
      <c r="E1611" s="19" t="n">
        <v>96169.983</v>
      </c>
      <c r="F1611" s="19" t="n">
        <v>698.526315789474</v>
      </c>
      <c r="G1611" s="19" t="n">
        <v>63411.9802105263</v>
      </c>
    </row>
    <row r="1612" customFormat="false" ht="15" hidden="false" customHeight="false" outlineLevel="0" collapsed="false">
      <c r="A1612" s="8" t="s">
        <v>1786</v>
      </c>
      <c r="B1612" s="8" t="n">
        <v>4413534</v>
      </c>
      <c r="C1612" s="8" t="s">
        <v>1605</v>
      </c>
      <c r="D1612" s="19" t="n">
        <v>0</v>
      </c>
      <c r="E1612" s="19" t="n">
        <v>0</v>
      </c>
      <c r="F1612" s="19" t="n">
        <v>50.5263157894737</v>
      </c>
      <c r="G1612" s="19" t="n">
        <v>6478.20378947368</v>
      </c>
    </row>
    <row r="1613" customFormat="false" ht="15" hidden="false" customHeight="false" outlineLevel="0" collapsed="false">
      <c r="A1613" s="8" t="s">
        <v>1786</v>
      </c>
      <c r="B1613" s="8" t="n">
        <v>4414000</v>
      </c>
      <c r="C1613" s="8" t="s">
        <v>1606</v>
      </c>
      <c r="D1613" s="19" t="n">
        <v>2132</v>
      </c>
      <c r="E1613" s="19" t="n">
        <v>60614.554</v>
      </c>
      <c r="F1613" s="19" t="n">
        <v>1806.31578947368</v>
      </c>
      <c r="G1613" s="19" t="n">
        <v>51368.5995789474</v>
      </c>
    </row>
    <row r="1614" customFormat="false" ht="15" hidden="false" customHeight="false" outlineLevel="0" collapsed="false">
      <c r="A1614" s="8" t="s">
        <v>1786</v>
      </c>
      <c r="B1614" s="8" t="n">
        <v>4415000</v>
      </c>
      <c r="C1614" s="8" t="s">
        <v>1607</v>
      </c>
      <c r="D1614" s="19" t="n">
        <v>648</v>
      </c>
      <c r="E1614" s="19" t="n">
        <v>48239.009</v>
      </c>
      <c r="F1614" s="19" t="n">
        <v>394.105263157895</v>
      </c>
      <c r="G1614" s="19" t="n">
        <v>29595.1541052632</v>
      </c>
    </row>
    <row r="1615" customFormat="false" ht="15" hidden="false" customHeight="false" outlineLevel="0" collapsed="false">
      <c r="A1615" s="8" t="s">
        <v>1786</v>
      </c>
      <c r="B1615" s="8" t="n">
        <v>4415001</v>
      </c>
      <c r="C1615" s="8" t="s">
        <v>1608</v>
      </c>
      <c r="D1615" s="19" t="n">
        <v>797</v>
      </c>
      <c r="E1615" s="19" t="n">
        <v>59295.327</v>
      </c>
      <c r="F1615" s="19" t="n">
        <v>486.315789473684</v>
      </c>
      <c r="G1615" s="19" t="n">
        <v>36819.0214736842</v>
      </c>
    </row>
    <row r="1616" customFormat="false" ht="15" hidden="false" customHeight="false" outlineLevel="0" collapsed="false">
      <c r="A1616" s="8" t="s">
        <v>1786</v>
      </c>
      <c r="B1616" s="8" t="n">
        <v>4415002</v>
      </c>
      <c r="C1616" s="8" t="s">
        <v>1609</v>
      </c>
      <c r="D1616" s="19" t="n">
        <v>589</v>
      </c>
      <c r="E1616" s="19" t="n">
        <v>43859.634</v>
      </c>
      <c r="F1616" s="19" t="n">
        <v>351.157894736842</v>
      </c>
      <c r="G1616" s="19" t="n">
        <v>26355.8223157895</v>
      </c>
    </row>
    <row r="1617" customFormat="false" ht="15" hidden="false" customHeight="false" outlineLevel="0" collapsed="false">
      <c r="A1617" s="8" t="s">
        <v>1786</v>
      </c>
      <c r="B1617" s="8" t="n">
        <v>4415003</v>
      </c>
      <c r="C1617" s="8" t="s">
        <v>1610</v>
      </c>
      <c r="D1617" s="19" t="n">
        <v>514</v>
      </c>
      <c r="E1617" s="19" t="n">
        <v>38259.494</v>
      </c>
      <c r="F1617" s="19" t="n">
        <v>248.842105263158</v>
      </c>
      <c r="G1617" s="19" t="n">
        <v>18770.2155789474</v>
      </c>
    </row>
    <row r="1618" customFormat="false" ht="15" hidden="false" customHeight="false" outlineLevel="0" collapsed="false">
      <c r="A1618" s="8" t="s">
        <v>1786</v>
      </c>
      <c r="B1618" s="8" t="n">
        <v>4415004</v>
      </c>
      <c r="C1618" s="8" t="s">
        <v>1611</v>
      </c>
      <c r="D1618" s="19" t="n">
        <v>2</v>
      </c>
      <c r="E1618" s="19" t="n">
        <v>149.058</v>
      </c>
      <c r="F1618" s="19" t="n">
        <v>0</v>
      </c>
      <c r="G1618" s="19" t="n">
        <v>0</v>
      </c>
    </row>
    <row r="1619" customFormat="false" ht="15" hidden="false" customHeight="false" outlineLevel="0" collapsed="false">
      <c r="A1619" s="8" t="s">
        <v>1786</v>
      </c>
      <c r="B1619" s="8" t="n">
        <v>4415005</v>
      </c>
      <c r="C1619" s="8" t="s">
        <v>1612</v>
      </c>
      <c r="D1619" s="19" t="n">
        <v>545</v>
      </c>
      <c r="E1619" s="19" t="n">
        <v>40544.595</v>
      </c>
      <c r="F1619" s="19" t="n">
        <v>380.21052631579</v>
      </c>
      <c r="G1619" s="19" t="n">
        <v>28483.9578947368</v>
      </c>
    </row>
    <row r="1620" customFormat="false" ht="15" hidden="false" customHeight="false" outlineLevel="0" collapsed="false">
      <c r="A1620" s="8" t="s">
        <v>1786</v>
      </c>
      <c r="B1620" s="8" t="n">
        <v>4415006</v>
      </c>
      <c r="C1620" s="8" t="s">
        <v>1613</v>
      </c>
      <c r="D1620" s="19" t="n">
        <v>621</v>
      </c>
      <c r="E1620" s="19" t="n">
        <v>46227.454</v>
      </c>
      <c r="F1620" s="19" t="n">
        <v>594.947368421053</v>
      </c>
      <c r="G1620" s="19" t="n">
        <v>44337.6138947368</v>
      </c>
    </row>
    <row r="1621" customFormat="false" ht="15" hidden="false" customHeight="false" outlineLevel="0" collapsed="false">
      <c r="A1621" s="8" t="s">
        <v>1786</v>
      </c>
      <c r="B1621" s="8" t="n">
        <v>4415007</v>
      </c>
      <c r="C1621" s="8" t="s">
        <v>1614</v>
      </c>
      <c r="D1621" s="19" t="n">
        <v>601</v>
      </c>
      <c r="E1621" s="19" t="n">
        <v>44754.71</v>
      </c>
      <c r="F1621" s="19" t="n">
        <v>557.052631578947</v>
      </c>
      <c r="G1621" s="19" t="n">
        <v>41434.0433684211</v>
      </c>
    </row>
    <row r="1622" customFormat="false" ht="15" hidden="false" customHeight="false" outlineLevel="0" collapsed="false">
      <c r="A1622" s="8" t="s">
        <v>1786</v>
      </c>
      <c r="B1622" s="8" t="n">
        <v>4415008</v>
      </c>
      <c r="C1622" s="8" t="s">
        <v>1615</v>
      </c>
      <c r="D1622" s="19" t="n">
        <v>224</v>
      </c>
      <c r="E1622" s="19" t="n">
        <v>16694.496</v>
      </c>
      <c r="F1622" s="19" t="n">
        <v>34.1052631578947</v>
      </c>
      <c r="G1622" s="19" t="n">
        <v>2849.66021052632</v>
      </c>
    </row>
    <row r="1623" customFormat="false" ht="15" hidden="false" customHeight="false" outlineLevel="0" collapsed="false">
      <c r="A1623" s="8" t="s">
        <v>1786</v>
      </c>
      <c r="B1623" s="8" t="n">
        <v>4415019</v>
      </c>
      <c r="C1623" s="8" t="s">
        <v>1618</v>
      </c>
      <c r="D1623" s="19" t="n">
        <v>1</v>
      </c>
      <c r="E1623" s="19" t="n">
        <v>130.494</v>
      </c>
      <c r="F1623" s="19" t="n">
        <v>5.05263157894737</v>
      </c>
      <c r="G1623" s="19" t="n">
        <v>295.644631578947</v>
      </c>
    </row>
    <row r="1624" customFormat="false" ht="15" hidden="false" customHeight="false" outlineLevel="0" collapsed="false">
      <c r="A1624" s="8" t="s">
        <v>1786</v>
      </c>
      <c r="B1624" s="8" t="n">
        <v>4415028</v>
      </c>
      <c r="C1624" s="8" t="s">
        <v>1622</v>
      </c>
      <c r="D1624" s="19" t="n">
        <v>194</v>
      </c>
      <c r="E1624" s="19" t="n">
        <v>3939.845</v>
      </c>
      <c r="F1624" s="19" t="n">
        <v>178.105263157895</v>
      </c>
      <c r="G1624" s="19" t="n">
        <v>4078.44757894737</v>
      </c>
    </row>
    <row r="1625" customFormat="false" ht="15" hidden="false" customHeight="false" outlineLevel="0" collapsed="false">
      <c r="A1625" s="8" t="s">
        <v>1786</v>
      </c>
      <c r="B1625" s="8" t="n">
        <v>4415029</v>
      </c>
      <c r="C1625" s="8" t="s">
        <v>1623</v>
      </c>
      <c r="D1625" s="19" t="n">
        <v>217</v>
      </c>
      <c r="E1625" s="19" t="n">
        <v>4823.546</v>
      </c>
      <c r="F1625" s="19" t="n">
        <v>199.578947368421</v>
      </c>
      <c r="G1625" s="19" t="n">
        <v>4497.66063157895</v>
      </c>
    </row>
    <row r="1626" customFormat="false" ht="15" hidden="false" customHeight="false" outlineLevel="0" collapsed="false">
      <c r="A1626" s="8" t="s">
        <v>1786</v>
      </c>
      <c r="B1626" s="8" t="n">
        <v>4415064</v>
      </c>
      <c r="C1626" s="8" t="s">
        <v>1806</v>
      </c>
      <c r="D1626" s="19" t="n">
        <v>2</v>
      </c>
      <c r="E1626" s="19" t="n">
        <v>111.748</v>
      </c>
      <c r="F1626" s="19" t="n">
        <v>0</v>
      </c>
      <c r="G1626" s="19" t="n">
        <v>0</v>
      </c>
    </row>
    <row r="1627" customFormat="false" ht="15" hidden="false" customHeight="false" outlineLevel="0" collapsed="false">
      <c r="A1627" s="8" t="s">
        <v>1786</v>
      </c>
      <c r="B1627" s="8" t="n">
        <v>4415070</v>
      </c>
      <c r="C1627" s="8" t="s">
        <v>1626</v>
      </c>
      <c r="D1627" s="19" t="n">
        <v>0</v>
      </c>
      <c r="E1627" s="19" t="n">
        <v>0</v>
      </c>
      <c r="F1627" s="19" t="n">
        <v>-1.26315789473684</v>
      </c>
      <c r="G1627" s="19" t="n">
        <v>-67.0143157894737</v>
      </c>
    </row>
    <row r="1628" customFormat="false" ht="15" hidden="false" customHeight="false" outlineLevel="0" collapsed="false">
      <c r="A1628" s="8" t="s">
        <v>1786</v>
      </c>
      <c r="B1628" s="8" t="n">
        <v>4415072</v>
      </c>
      <c r="C1628" s="8" t="s">
        <v>1628</v>
      </c>
      <c r="D1628" s="19" t="n">
        <v>1278</v>
      </c>
      <c r="E1628" s="19" t="n">
        <v>68025.867</v>
      </c>
      <c r="F1628" s="19" t="n">
        <v>1706.52631578947</v>
      </c>
      <c r="G1628" s="19" t="n">
        <v>91399.2505263158</v>
      </c>
    </row>
    <row r="1629" customFormat="false" ht="15" hidden="false" customHeight="false" outlineLevel="0" collapsed="false">
      <c r="A1629" s="8" t="s">
        <v>1786</v>
      </c>
      <c r="B1629" s="8" t="n">
        <v>4415073</v>
      </c>
      <c r="C1629" s="8" t="s">
        <v>1629</v>
      </c>
      <c r="D1629" s="19" t="n">
        <v>935</v>
      </c>
      <c r="E1629" s="19" t="n">
        <v>49758.072</v>
      </c>
      <c r="F1629" s="19" t="n">
        <v>1034.52631578947</v>
      </c>
      <c r="G1629" s="19" t="n">
        <v>55516.0155789474</v>
      </c>
    </row>
    <row r="1630" customFormat="false" ht="15" hidden="false" customHeight="false" outlineLevel="0" collapsed="false">
      <c r="A1630" s="8" t="s">
        <v>1786</v>
      </c>
      <c r="B1630" s="8" t="n">
        <v>4415074</v>
      </c>
      <c r="C1630" s="8" t="s">
        <v>1630</v>
      </c>
      <c r="D1630" s="19" t="n">
        <v>297</v>
      </c>
      <c r="E1630" s="19" t="n">
        <v>15725.619</v>
      </c>
      <c r="F1630" s="19" t="n">
        <v>271.578947368421</v>
      </c>
      <c r="G1630" s="19" t="n">
        <v>14507.1625263158</v>
      </c>
    </row>
    <row r="1631" customFormat="false" ht="15" hidden="false" customHeight="false" outlineLevel="0" collapsed="false">
      <c r="A1631" s="8" t="s">
        <v>1786</v>
      </c>
      <c r="B1631" s="8" t="n">
        <v>4415075</v>
      </c>
      <c r="C1631" s="8" t="s">
        <v>1631</v>
      </c>
      <c r="D1631" s="19" t="n">
        <v>187</v>
      </c>
      <c r="E1631" s="19" t="n">
        <v>9905.896</v>
      </c>
      <c r="F1631" s="19" t="n">
        <v>183.157894736842</v>
      </c>
      <c r="G1631" s="19" t="n">
        <v>9778.57263157895</v>
      </c>
    </row>
    <row r="1632" customFormat="false" ht="15" hidden="false" customHeight="false" outlineLevel="0" collapsed="false">
      <c r="A1632" s="8" t="s">
        <v>1786</v>
      </c>
      <c r="B1632" s="8" t="n">
        <v>4415080</v>
      </c>
      <c r="C1632" s="8" t="s">
        <v>1632</v>
      </c>
      <c r="D1632" s="19" t="n">
        <v>97</v>
      </c>
      <c r="E1632" s="19" t="n">
        <v>719.992</v>
      </c>
      <c r="F1632" s="19" t="n">
        <v>63.1578947368421</v>
      </c>
      <c r="G1632" s="19" t="n">
        <v>445.650947368421</v>
      </c>
    </row>
    <row r="1633" customFormat="false" ht="15" hidden="false" customHeight="false" outlineLevel="0" collapsed="false">
      <c r="A1633" s="8" t="s">
        <v>1786</v>
      </c>
      <c r="B1633" s="8" t="n">
        <v>4415089</v>
      </c>
      <c r="C1633" s="8" t="s">
        <v>1635</v>
      </c>
      <c r="D1633" s="19" t="n">
        <v>0</v>
      </c>
      <c r="E1633" s="19" t="n">
        <v>0</v>
      </c>
      <c r="F1633" s="19" t="n">
        <v>-1.26315789473684</v>
      </c>
      <c r="G1633" s="19" t="n">
        <v>0</v>
      </c>
    </row>
    <row r="1634" customFormat="false" ht="15" hidden="false" customHeight="false" outlineLevel="0" collapsed="false">
      <c r="A1634" s="8" t="s">
        <v>1786</v>
      </c>
      <c r="B1634" s="8" t="n">
        <v>4415093</v>
      </c>
      <c r="C1634" s="8" t="s">
        <v>1807</v>
      </c>
      <c r="D1634" s="19" t="n">
        <v>0</v>
      </c>
      <c r="E1634" s="19" t="n">
        <v>0</v>
      </c>
      <c r="F1634" s="19" t="n">
        <v>-1.26315789473684</v>
      </c>
      <c r="G1634" s="19" t="n">
        <v>-103.567578947368</v>
      </c>
    </row>
    <row r="1635" customFormat="false" ht="15" hidden="false" customHeight="false" outlineLevel="0" collapsed="false">
      <c r="A1635" s="8" t="s">
        <v>1786</v>
      </c>
      <c r="B1635" s="8" t="n">
        <v>4415095</v>
      </c>
      <c r="C1635" s="8" t="s">
        <v>1808</v>
      </c>
      <c r="D1635" s="19" t="n">
        <v>0</v>
      </c>
      <c r="E1635" s="19" t="n">
        <v>0</v>
      </c>
      <c r="F1635" s="19" t="n">
        <v>-1.26315789473684</v>
      </c>
      <c r="G1635" s="19" t="n">
        <v>0</v>
      </c>
    </row>
    <row r="1636" customFormat="false" ht="15" hidden="false" customHeight="false" outlineLevel="0" collapsed="false">
      <c r="A1636" s="8" t="s">
        <v>1786</v>
      </c>
      <c r="B1636" s="8" t="n">
        <v>4415158</v>
      </c>
      <c r="C1636" s="8" t="s">
        <v>1640</v>
      </c>
      <c r="D1636" s="19" t="n">
        <v>4521</v>
      </c>
      <c r="E1636" s="19" t="n">
        <v>277316.312</v>
      </c>
      <c r="F1636" s="19" t="n">
        <v>4587.78947368421</v>
      </c>
      <c r="G1636" s="19" t="n">
        <v>282534.654315789</v>
      </c>
    </row>
    <row r="1637" customFormat="false" ht="15" hidden="false" customHeight="false" outlineLevel="0" collapsed="false">
      <c r="A1637" s="8" t="s">
        <v>1786</v>
      </c>
      <c r="B1637" s="8" t="n">
        <v>4415159</v>
      </c>
      <c r="C1637" s="8" t="s">
        <v>1641</v>
      </c>
      <c r="D1637" s="19" t="n">
        <v>145</v>
      </c>
      <c r="E1637" s="19" t="n">
        <v>13448.435</v>
      </c>
      <c r="F1637" s="19" t="n">
        <v>161.684210526316</v>
      </c>
      <c r="G1637" s="19" t="n">
        <v>14969.7107368421</v>
      </c>
    </row>
    <row r="1638" customFormat="false" ht="15" hidden="false" customHeight="false" outlineLevel="0" collapsed="false">
      <c r="A1638" s="8" t="s">
        <v>1786</v>
      </c>
      <c r="B1638" s="8" t="n">
        <v>4415160</v>
      </c>
      <c r="C1638" s="8" t="s">
        <v>1642</v>
      </c>
      <c r="D1638" s="19" t="n">
        <v>1303</v>
      </c>
      <c r="E1638" s="19" t="n">
        <v>16907.527</v>
      </c>
      <c r="F1638" s="19" t="n">
        <v>1926.31578947368</v>
      </c>
      <c r="G1638" s="19" t="n">
        <v>26272.3705263158</v>
      </c>
    </row>
    <row r="1639" customFormat="false" ht="15" hidden="false" customHeight="false" outlineLevel="0" collapsed="false">
      <c r="A1639" s="8" t="s">
        <v>1786</v>
      </c>
      <c r="B1639" s="8" t="n">
        <v>4415161</v>
      </c>
      <c r="C1639" s="8" t="s">
        <v>1643</v>
      </c>
      <c r="D1639" s="19" t="n">
        <v>2021</v>
      </c>
      <c r="E1639" s="19" t="n">
        <v>26237.939</v>
      </c>
      <c r="F1639" s="19" t="n">
        <v>2330.52631578947</v>
      </c>
      <c r="G1639" s="19" t="n">
        <v>31665.0113684211</v>
      </c>
    </row>
    <row r="1640" customFormat="false" ht="15" hidden="false" customHeight="false" outlineLevel="0" collapsed="false">
      <c r="A1640" s="8" t="s">
        <v>1786</v>
      </c>
      <c r="B1640" s="8" t="n">
        <v>4415162</v>
      </c>
      <c r="C1640" s="8" t="s">
        <v>1644</v>
      </c>
      <c r="D1640" s="19" t="n">
        <v>1840</v>
      </c>
      <c r="E1640" s="19" t="n">
        <v>23879.947</v>
      </c>
      <c r="F1640" s="19" t="n">
        <v>2152.42105263158</v>
      </c>
      <c r="G1640" s="19" t="n">
        <v>29256.1743157895</v>
      </c>
    </row>
    <row r="1641" customFormat="false" ht="15" hidden="false" customHeight="false" outlineLevel="0" collapsed="false">
      <c r="A1641" s="8" t="s">
        <v>1786</v>
      </c>
      <c r="B1641" s="8" t="n">
        <v>4415163</v>
      </c>
      <c r="C1641" s="8" t="s">
        <v>1645</v>
      </c>
      <c r="D1641" s="19" t="n">
        <v>1128</v>
      </c>
      <c r="E1641" s="19" t="n">
        <v>14636.258</v>
      </c>
      <c r="F1641" s="19" t="n">
        <v>1292.21052631579</v>
      </c>
      <c r="G1641" s="19" t="n">
        <v>17589.3612631579</v>
      </c>
    </row>
    <row r="1642" customFormat="false" ht="15" hidden="false" customHeight="false" outlineLevel="0" collapsed="false">
      <c r="A1642" s="8" t="s">
        <v>1786</v>
      </c>
      <c r="B1642" s="8" t="n">
        <v>4415164</v>
      </c>
      <c r="C1642" s="8" t="s">
        <v>1646</v>
      </c>
      <c r="D1642" s="19" t="n">
        <v>0</v>
      </c>
      <c r="E1642" s="19" t="n">
        <v>0</v>
      </c>
      <c r="F1642" s="19" t="n">
        <v>-1.26315789473684</v>
      </c>
      <c r="G1642" s="19" t="n">
        <v>-108.280421052632</v>
      </c>
    </row>
    <row r="1643" customFormat="false" ht="15" hidden="false" customHeight="false" outlineLevel="0" collapsed="false">
      <c r="A1643" s="8" t="s">
        <v>1786</v>
      </c>
      <c r="B1643" s="8" t="n">
        <v>4415165</v>
      </c>
      <c r="C1643" s="8" t="s">
        <v>1647</v>
      </c>
      <c r="D1643" s="19" t="n">
        <v>-2</v>
      </c>
      <c r="E1643" s="19" t="n">
        <v>-171.444</v>
      </c>
      <c r="F1643" s="19" t="n">
        <v>0</v>
      </c>
      <c r="G1643" s="19" t="n">
        <v>0</v>
      </c>
    </row>
    <row r="1644" customFormat="false" ht="15" hidden="false" customHeight="false" outlineLevel="0" collapsed="false">
      <c r="A1644" s="8" t="s">
        <v>1786</v>
      </c>
      <c r="B1644" s="8" t="n">
        <v>4415297</v>
      </c>
      <c r="C1644" s="8" t="s">
        <v>1654</v>
      </c>
      <c r="D1644" s="19" t="n">
        <v>0</v>
      </c>
      <c r="E1644" s="19" t="n">
        <v>0</v>
      </c>
      <c r="F1644" s="19" t="n">
        <v>-3.78947368421053</v>
      </c>
      <c r="G1644" s="19" t="n">
        <v>-67.0143157894737</v>
      </c>
    </row>
    <row r="1645" customFormat="false" ht="15" hidden="false" customHeight="false" outlineLevel="0" collapsed="false">
      <c r="A1645" s="8" t="s">
        <v>1786</v>
      </c>
      <c r="B1645" s="8" t="n">
        <v>4415298</v>
      </c>
      <c r="C1645" s="8" t="s">
        <v>1655</v>
      </c>
      <c r="D1645" s="19" t="n">
        <v>40</v>
      </c>
      <c r="E1645" s="19" t="n">
        <v>2149.693</v>
      </c>
      <c r="F1645" s="19" t="n">
        <v>25.2631578947368</v>
      </c>
      <c r="G1645" s="19" t="n">
        <v>1486.61431578947</v>
      </c>
    </row>
    <row r="1646" customFormat="false" ht="15" hidden="false" customHeight="false" outlineLevel="0" collapsed="false">
      <c r="A1646" s="8" t="s">
        <v>1786</v>
      </c>
      <c r="B1646" s="8" t="n">
        <v>4415299</v>
      </c>
      <c r="C1646" s="8" t="s">
        <v>1656</v>
      </c>
      <c r="D1646" s="19" t="n">
        <v>47</v>
      </c>
      <c r="E1646" s="19" t="n">
        <v>2535.715</v>
      </c>
      <c r="F1646" s="19" t="n">
        <v>25.2631578947368</v>
      </c>
      <c r="G1646" s="19" t="n">
        <v>1469.02736842105</v>
      </c>
    </row>
    <row r="1647" customFormat="false" ht="15" hidden="false" customHeight="false" outlineLevel="0" collapsed="false">
      <c r="A1647" s="8" t="s">
        <v>1786</v>
      </c>
      <c r="B1647" s="8" t="n">
        <v>4416000</v>
      </c>
      <c r="C1647" s="8" t="s">
        <v>1657</v>
      </c>
      <c r="D1647" s="19" t="n">
        <v>423</v>
      </c>
      <c r="E1647" s="19" t="n">
        <v>31226.741</v>
      </c>
      <c r="F1647" s="19" t="n">
        <v>380.21052631579</v>
      </c>
      <c r="G1647" s="19" t="n">
        <v>27923.7044210526</v>
      </c>
    </row>
    <row r="1648" customFormat="false" ht="15" hidden="false" customHeight="false" outlineLevel="0" collapsed="false">
      <c r="A1648" s="8" t="s">
        <v>1786</v>
      </c>
      <c r="B1648" s="8" t="n">
        <v>4416001</v>
      </c>
      <c r="C1648" s="8" t="s">
        <v>1658</v>
      </c>
      <c r="D1648" s="19" t="n">
        <v>425</v>
      </c>
      <c r="E1648" s="19" t="n">
        <v>31313.191</v>
      </c>
      <c r="F1648" s="19" t="n">
        <v>385.263157894737</v>
      </c>
      <c r="G1648" s="19" t="n">
        <v>28196.0147368421</v>
      </c>
    </row>
    <row r="1649" customFormat="false" ht="15" hidden="false" customHeight="false" outlineLevel="0" collapsed="false">
      <c r="A1649" s="8" t="s">
        <v>1786</v>
      </c>
      <c r="B1649" s="8" t="n">
        <v>4416002</v>
      </c>
      <c r="C1649" s="8" t="s">
        <v>1659</v>
      </c>
      <c r="D1649" s="19" t="n">
        <v>158</v>
      </c>
      <c r="E1649" s="19" t="n">
        <v>11662.378</v>
      </c>
      <c r="F1649" s="19" t="n">
        <v>128.842105263158</v>
      </c>
      <c r="G1649" s="19" t="n">
        <v>9423.84505263158</v>
      </c>
    </row>
    <row r="1650" customFormat="false" ht="15" hidden="false" customHeight="false" outlineLevel="0" collapsed="false">
      <c r="A1650" s="8" t="s">
        <v>1786</v>
      </c>
      <c r="B1650" s="8" t="n">
        <v>4416003</v>
      </c>
      <c r="C1650" s="8" t="s">
        <v>1660</v>
      </c>
      <c r="D1650" s="19" t="n">
        <v>0</v>
      </c>
      <c r="E1650" s="19" t="n">
        <v>0</v>
      </c>
      <c r="F1650" s="19" t="n">
        <v>-2.52631578947368</v>
      </c>
      <c r="G1650" s="19" t="n">
        <v>-116.441684210526</v>
      </c>
    </row>
    <row r="1651" customFormat="false" ht="15" hidden="false" customHeight="false" outlineLevel="0" collapsed="false">
      <c r="A1651" s="8" t="s">
        <v>1786</v>
      </c>
      <c r="B1651" s="8" t="n">
        <v>4416006</v>
      </c>
      <c r="C1651" s="8" t="s">
        <v>1662</v>
      </c>
      <c r="D1651" s="19" t="n">
        <v>-5</v>
      </c>
      <c r="E1651" s="19" t="n">
        <v>-223.496</v>
      </c>
      <c r="F1651" s="19" t="n">
        <v>-1.26315789473684</v>
      </c>
      <c r="G1651" s="19" t="n">
        <v>-55.2896842105263</v>
      </c>
    </row>
    <row r="1652" customFormat="false" ht="15" hidden="false" customHeight="false" outlineLevel="0" collapsed="false">
      <c r="A1652" s="8" t="s">
        <v>1786</v>
      </c>
      <c r="B1652" s="8" t="n">
        <v>4416009</v>
      </c>
      <c r="C1652" s="8" t="s">
        <v>1809</v>
      </c>
      <c r="D1652" s="19" t="n">
        <v>-3</v>
      </c>
      <c r="E1652" s="19" t="n">
        <v>-219.583</v>
      </c>
      <c r="F1652" s="19" t="n">
        <v>0</v>
      </c>
      <c r="G1652" s="19" t="n">
        <v>0</v>
      </c>
    </row>
    <row r="1653" customFormat="false" ht="15" hidden="false" customHeight="false" outlineLevel="0" collapsed="false">
      <c r="A1653" s="8" t="s">
        <v>1786</v>
      </c>
      <c r="B1653" s="8" t="n">
        <v>4417000</v>
      </c>
      <c r="C1653" s="8" t="s">
        <v>1663</v>
      </c>
      <c r="D1653" s="19" t="n">
        <v>0</v>
      </c>
      <c r="E1653" s="19" t="n">
        <v>0</v>
      </c>
      <c r="F1653" s="19" t="n">
        <v>-5.05263157894737</v>
      </c>
      <c r="G1653" s="19" t="n">
        <v>-93.3372631578947</v>
      </c>
    </row>
    <row r="1654" customFormat="false" ht="15" hidden="false" customHeight="false" outlineLevel="0" collapsed="false">
      <c r="A1654" s="8" t="s">
        <v>1786</v>
      </c>
      <c r="B1654" s="8" t="n">
        <v>4418000</v>
      </c>
      <c r="C1654" s="8" t="s">
        <v>1665</v>
      </c>
      <c r="D1654" s="19" t="n">
        <v>596</v>
      </c>
      <c r="E1654" s="19" t="n">
        <v>16237.221</v>
      </c>
      <c r="F1654" s="19" t="n">
        <v>544.421052631579</v>
      </c>
      <c r="G1654" s="19" t="n">
        <v>15937.3376842105</v>
      </c>
    </row>
    <row r="1655" customFormat="false" ht="15" hidden="false" customHeight="false" outlineLevel="0" collapsed="false">
      <c r="A1655" s="8" t="s">
        <v>1786</v>
      </c>
      <c r="B1655" s="8" t="n">
        <v>4418001</v>
      </c>
      <c r="C1655" s="8" t="s">
        <v>1666</v>
      </c>
      <c r="D1655" s="19" t="n">
        <v>635</v>
      </c>
      <c r="E1655" s="19" t="n">
        <v>17293.185</v>
      </c>
      <c r="F1655" s="19" t="n">
        <v>515.368421052632</v>
      </c>
      <c r="G1655" s="19" t="n">
        <v>14398.3073684211</v>
      </c>
    </row>
    <row r="1656" customFormat="false" ht="15" hidden="false" customHeight="false" outlineLevel="0" collapsed="false">
      <c r="A1656" s="8" t="s">
        <v>1786</v>
      </c>
      <c r="B1656" s="8" t="n">
        <v>4418002</v>
      </c>
      <c r="C1656" s="8" t="s">
        <v>1667</v>
      </c>
      <c r="D1656" s="19" t="n">
        <v>371</v>
      </c>
      <c r="E1656" s="19" t="n">
        <v>10107.825</v>
      </c>
      <c r="F1656" s="19" t="n">
        <v>338.526315789474</v>
      </c>
      <c r="G1656" s="19" t="n">
        <v>9778.91747368421</v>
      </c>
    </row>
    <row r="1657" customFormat="false" ht="15" hidden="false" customHeight="false" outlineLevel="0" collapsed="false">
      <c r="A1657" s="8" t="s">
        <v>1786</v>
      </c>
      <c r="B1657" s="8" t="n">
        <v>4418003</v>
      </c>
      <c r="C1657" s="8" t="s">
        <v>1668</v>
      </c>
      <c r="D1657" s="19" t="n">
        <v>503</v>
      </c>
      <c r="E1657" s="19" t="n">
        <v>13707.33</v>
      </c>
      <c r="F1657" s="19" t="n">
        <v>385.263157894737</v>
      </c>
      <c r="G1657" s="19" t="n">
        <v>11098.7431578947</v>
      </c>
    </row>
    <row r="1658" customFormat="false" ht="15" hidden="false" customHeight="false" outlineLevel="0" collapsed="false">
      <c r="A1658" s="8" t="s">
        <v>1786</v>
      </c>
      <c r="B1658" s="8" t="n">
        <v>4418004</v>
      </c>
      <c r="C1658" s="8" t="s">
        <v>1669</v>
      </c>
      <c r="D1658" s="19" t="n">
        <v>1</v>
      </c>
      <c r="E1658" s="19" t="n">
        <v>27.3</v>
      </c>
      <c r="F1658" s="19" t="n">
        <v>0</v>
      </c>
      <c r="G1658" s="19" t="n">
        <v>0</v>
      </c>
    </row>
    <row r="1659" customFormat="false" ht="15" hidden="false" customHeight="false" outlineLevel="0" collapsed="false">
      <c r="A1659" s="8" t="s">
        <v>1786</v>
      </c>
      <c r="B1659" s="8" t="n">
        <v>4418016</v>
      </c>
      <c r="C1659" s="8" t="s">
        <v>1810</v>
      </c>
      <c r="D1659" s="19" t="n">
        <v>-3</v>
      </c>
      <c r="E1659" s="19" t="n">
        <v>-81.9</v>
      </c>
      <c r="F1659" s="19" t="n">
        <v>0</v>
      </c>
      <c r="G1659" s="19" t="n">
        <v>0</v>
      </c>
    </row>
    <row r="1660" customFormat="false" ht="15" hidden="false" customHeight="false" outlineLevel="0" collapsed="false">
      <c r="A1660" s="8" t="s">
        <v>1786</v>
      </c>
      <c r="B1660" s="8" t="n">
        <v>4419006</v>
      </c>
      <c r="C1660" s="8" t="s">
        <v>1674</v>
      </c>
      <c r="D1660" s="19" t="n">
        <v>0</v>
      </c>
      <c r="E1660" s="19" t="n">
        <v>0</v>
      </c>
      <c r="F1660" s="19" t="n">
        <v>-2.52631578947368</v>
      </c>
      <c r="G1660" s="19" t="n">
        <v>-28.0471578947368</v>
      </c>
    </row>
    <row r="1661" customFormat="false" ht="15" hidden="false" customHeight="false" outlineLevel="0" collapsed="false">
      <c r="A1661" s="8" t="s">
        <v>1786</v>
      </c>
      <c r="B1661" s="8" t="n">
        <v>4419011</v>
      </c>
      <c r="C1661" s="8" t="s">
        <v>1676</v>
      </c>
      <c r="D1661" s="19" t="n">
        <v>257</v>
      </c>
      <c r="E1661" s="19" t="n">
        <v>3911.817</v>
      </c>
      <c r="F1661" s="19" t="n">
        <v>51.7894736842105</v>
      </c>
      <c r="G1661" s="19" t="n">
        <v>847.621894736842</v>
      </c>
    </row>
    <row r="1662" customFormat="false" ht="15" hidden="false" customHeight="false" outlineLevel="0" collapsed="false">
      <c r="A1662" s="8" t="s">
        <v>1786</v>
      </c>
      <c r="B1662" s="8" t="n">
        <v>4419012</v>
      </c>
      <c r="C1662" s="8" t="s">
        <v>1677</v>
      </c>
      <c r="D1662" s="19" t="n">
        <v>95</v>
      </c>
      <c r="E1662" s="19" t="n">
        <v>1522.43</v>
      </c>
      <c r="F1662" s="19" t="n">
        <v>-72</v>
      </c>
      <c r="G1662" s="19" t="n">
        <v>-648.992842105263</v>
      </c>
    </row>
    <row r="1663" customFormat="false" ht="15" hidden="false" customHeight="false" outlineLevel="0" collapsed="false">
      <c r="A1663" s="8" t="s">
        <v>1786</v>
      </c>
      <c r="B1663" s="8" t="n">
        <v>4419013</v>
      </c>
      <c r="C1663" s="8" t="s">
        <v>1678</v>
      </c>
      <c r="D1663" s="19" t="n">
        <v>239</v>
      </c>
      <c r="E1663" s="19" t="n">
        <v>3634.085</v>
      </c>
      <c r="F1663" s="19" t="n">
        <v>60.6315789473684</v>
      </c>
      <c r="G1663" s="19" t="n">
        <v>1005.55957894737</v>
      </c>
    </row>
    <row r="1664" customFormat="false" ht="15" hidden="false" customHeight="false" outlineLevel="0" collapsed="false">
      <c r="A1664" s="8" t="s">
        <v>1786</v>
      </c>
      <c r="B1664" s="8" t="n">
        <v>4419014</v>
      </c>
      <c r="C1664" s="8" t="s">
        <v>1679</v>
      </c>
      <c r="D1664" s="19" t="n">
        <v>328</v>
      </c>
      <c r="E1664" s="19" t="n">
        <v>4959.5</v>
      </c>
      <c r="F1664" s="19" t="n">
        <v>149.052631578947</v>
      </c>
      <c r="G1664" s="19" t="n">
        <v>2273.88884210526</v>
      </c>
    </row>
    <row r="1665" customFormat="false" ht="15" hidden="false" customHeight="false" outlineLevel="0" collapsed="false">
      <c r="A1665" s="8" t="s">
        <v>1786</v>
      </c>
      <c r="B1665" s="8" t="n">
        <v>4420001</v>
      </c>
      <c r="C1665" s="8" t="s">
        <v>1681</v>
      </c>
      <c r="D1665" s="19" t="n">
        <v>34</v>
      </c>
      <c r="E1665" s="19" t="n">
        <v>306.579</v>
      </c>
      <c r="F1665" s="19" t="n">
        <v>35.3684210526316</v>
      </c>
      <c r="G1665" s="19" t="n">
        <v>321.737684210526</v>
      </c>
    </row>
    <row r="1666" customFormat="false" ht="15" hidden="false" customHeight="false" outlineLevel="0" collapsed="false">
      <c r="A1666" s="8" t="s">
        <v>1786</v>
      </c>
      <c r="B1666" s="8" t="n">
        <v>4420005</v>
      </c>
      <c r="C1666" s="8" t="s">
        <v>1685</v>
      </c>
      <c r="D1666" s="19" t="n">
        <v>0</v>
      </c>
      <c r="E1666" s="19" t="n">
        <v>7.007</v>
      </c>
      <c r="F1666" s="19" t="n">
        <v>-2.52631578947368</v>
      </c>
      <c r="G1666" s="19" t="n">
        <v>-83.9115789473684</v>
      </c>
    </row>
    <row r="1667" customFormat="false" ht="15" hidden="false" customHeight="false" outlineLevel="0" collapsed="false">
      <c r="A1667" s="8" t="s">
        <v>1786</v>
      </c>
      <c r="B1667" s="8" t="n">
        <v>4420006</v>
      </c>
      <c r="C1667" s="8" t="s">
        <v>1781</v>
      </c>
      <c r="D1667" s="19" t="n">
        <v>0</v>
      </c>
      <c r="E1667" s="19" t="n">
        <v>0</v>
      </c>
      <c r="F1667" s="19" t="n">
        <v>-1.26315789473684</v>
      </c>
      <c r="G1667" s="19" t="n">
        <v>-41.9557894736842</v>
      </c>
    </row>
    <row r="1668" customFormat="false" ht="15" hidden="false" customHeight="false" outlineLevel="0" collapsed="false">
      <c r="A1668" s="8" t="s">
        <v>1786</v>
      </c>
      <c r="B1668" s="8" t="n">
        <v>4420007</v>
      </c>
      <c r="C1668" s="8" t="s">
        <v>1686</v>
      </c>
      <c r="D1668" s="19" t="n">
        <v>6</v>
      </c>
      <c r="E1668" s="19" t="n">
        <v>199.381</v>
      </c>
      <c r="F1668" s="19" t="n">
        <v>0</v>
      </c>
      <c r="G1668" s="19" t="n">
        <v>0</v>
      </c>
    </row>
    <row r="1669" customFormat="false" ht="15" hidden="false" customHeight="false" outlineLevel="0" collapsed="false">
      <c r="A1669" s="8" t="s">
        <v>1786</v>
      </c>
      <c r="B1669" s="8" t="n">
        <v>4420008</v>
      </c>
      <c r="C1669" s="8" t="s">
        <v>1687</v>
      </c>
      <c r="D1669" s="19" t="n">
        <v>3</v>
      </c>
      <c r="E1669" s="19" t="n">
        <v>99.736</v>
      </c>
      <c r="F1669" s="19" t="n">
        <v>0</v>
      </c>
      <c r="G1669" s="19" t="n">
        <v>0</v>
      </c>
    </row>
    <row r="1670" customFormat="false" ht="15" hidden="false" customHeight="false" outlineLevel="0" collapsed="false">
      <c r="A1670" s="8" t="s">
        <v>1786</v>
      </c>
      <c r="B1670" s="8" t="n">
        <v>4420010</v>
      </c>
      <c r="C1670" s="8" t="s">
        <v>1689</v>
      </c>
      <c r="D1670" s="19" t="n">
        <v>1</v>
      </c>
      <c r="E1670" s="19" t="n">
        <v>33.215</v>
      </c>
      <c r="F1670" s="19" t="n">
        <v>-1.26315789473684</v>
      </c>
      <c r="G1670" s="19" t="n">
        <v>-37.5877894736842</v>
      </c>
    </row>
    <row r="1671" customFormat="false" ht="15" hidden="false" customHeight="false" outlineLevel="0" collapsed="false">
      <c r="A1671" s="8" t="s">
        <v>1786</v>
      </c>
      <c r="B1671" s="8" t="n">
        <v>4420011</v>
      </c>
      <c r="C1671" s="8" t="s">
        <v>1782</v>
      </c>
      <c r="D1671" s="19" t="n">
        <v>-2</v>
      </c>
      <c r="E1671" s="19" t="n">
        <v>-66.43</v>
      </c>
      <c r="F1671" s="19" t="n">
        <v>0</v>
      </c>
      <c r="G1671" s="19" t="n">
        <v>0</v>
      </c>
    </row>
    <row r="1672" customFormat="false" ht="15" hidden="false" customHeight="false" outlineLevel="0" collapsed="false">
      <c r="A1672" s="8" t="s">
        <v>1786</v>
      </c>
      <c r="B1672" s="8" t="n">
        <v>4420012</v>
      </c>
      <c r="C1672" s="8" t="s">
        <v>1690</v>
      </c>
      <c r="D1672" s="19" t="n">
        <v>3</v>
      </c>
      <c r="E1672" s="19" t="n">
        <v>99.736</v>
      </c>
      <c r="F1672" s="19" t="n">
        <v>-1.26315789473684</v>
      </c>
      <c r="G1672" s="19" t="n">
        <v>-41.9557894736842</v>
      </c>
    </row>
    <row r="1673" customFormat="false" ht="15" hidden="false" customHeight="false" outlineLevel="0" collapsed="false">
      <c r="A1673" s="8" t="s">
        <v>1786</v>
      </c>
      <c r="B1673" s="8" t="n">
        <v>4420013</v>
      </c>
      <c r="C1673" s="8" t="s">
        <v>1783</v>
      </c>
      <c r="D1673" s="19" t="n">
        <v>0</v>
      </c>
      <c r="E1673" s="19" t="n">
        <v>3.367</v>
      </c>
      <c r="F1673" s="19" t="n">
        <v>0</v>
      </c>
      <c r="G1673" s="19" t="n">
        <v>0</v>
      </c>
    </row>
    <row r="1674" customFormat="false" ht="15" hidden="false" customHeight="false" outlineLevel="0" collapsed="false">
      <c r="A1674" s="8" t="s">
        <v>1786</v>
      </c>
      <c r="B1674" s="8" t="n">
        <v>4420014</v>
      </c>
      <c r="C1674" s="8" t="s">
        <v>1811</v>
      </c>
      <c r="D1674" s="19" t="n">
        <v>-5</v>
      </c>
      <c r="E1674" s="19" t="n">
        <v>-166.166</v>
      </c>
      <c r="F1674" s="19" t="n">
        <v>0</v>
      </c>
      <c r="G1674" s="19" t="n">
        <v>0</v>
      </c>
    </row>
    <row r="1675" customFormat="false" ht="15" hidden="false" customHeight="false" outlineLevel="0" collapsed="false">
      <c r="A1675" s="8" t="s">
        <v>1786</v>
      </c>
      <c r="B1675" s="8" t="n">
        <v>4420015</v>
      </c>
      <c r="C1675" s="8" t="s">
        <v>1812</v>
      </c>
      <c r="D1675" s="19" t="n">
        <v>-3</v>
      </c>
      <c r="E1675" s="19" t="n">
        <v>-99.736</v>
      </c>
      <c r="F1675" s="19" t="n">
        <v>-1.26315789473684</v>
      </c>
      <c r="G1675" s="19" t="n">
        <v>-41.9557894736842</v>
      </c>
    </row>
    <row r="1676" customFormat="false" ht="15" hidden="false" customHeight="false" outlineLevel="0" collapsed="false">
      <c r="A1676" s="8" t="s">
        <v>1786</v>
      </c>
      <c r="B1676" s="8" t="n">
        <v>4420016</v>
      </c>
      <c r="C1676" s="8" t="s">
        <v>1691</v>
      </c>
      <c r="D1676" s="19" t="n">
        <v>965</v>
      </c>
      <c r="E1676" s="19" t="n">
        <v>39480.441</v>
      </c>
      <c r="F1676" s="19" t="n">
        <v>582.315789473684</v>
      </c>
      <c r="G1676" s="19" t="n">
        <v>23802.2665263158</v>
      </c>
    </row>
    <row r="1677" customFormat="false" ht="15" hidden="false" customHeight="false" outlineLevel="0" collapsed="false">
      <c r="A1677" s="8" t="s">
        <v>1786</v>
      </c>
      <c r="B1677" s="8" t="n">
        <v>4420017</v>
      </c>
      <c r="C1677" s="8" t="s">
        <v>1692</v>
      </c>
      <c r="D1677" s="19" t="n">
        <v>40</v>
      </c>
      <c r="E1677" s="19" t="n">
        <v>3391.024</v>
      </c>
      <c r="F1677" s="19" t="n">
        <v>15.1578947368421</v>
      </c>
      <c r="G1677" s="19" t="n">
        <v>1362.47115789474</v>
      </c>
    </row>
    <row r="1678" customFormat="false" ht="15" hidden="false" customHeight="false" outlineLevel="0" collapsed="false">
      <c r="A1678" s="8" t="s">
        <v>1786</v>
      </c>
      <c r="B1678" s="8" t="n">
        <v>4420019</v>
      </c>
      <c r="C1678" s="8" t="s">
        <v>1784</v>
      </c>
      <c r="D1678" s="19" t="n">
        <v>2</v>
      </c>
      <c r="E1678" s="19" t="n">
        <v>89.362</v>
      </c>
      <c r="F1678" s="19" t="n">
        <v>-1.26315789473684</v>
      </c>
      <c r="G1678" s="19" t="n">
        <v>-56.4391578947368</v>
      </c>
    </row>
    <row r="1679" customFormat="false" ht="15" hidden="false" customHeight="false" outlineLevel="0" collapsed="false">
      <c r="A1679" s="8" t="s">
        <v>1786</v>
      </c>
      <c r="B1679" s="8" t="n">
        <v>4420021</v>
      </c>
      <c r="C1679" s="8" t="s">
        <v>1813</v>
      </c>
      <c r="D1679" s="19" t="n">
        <v>-1</v>
      </c>
      <c r="E1679" s="19" t="n">
        <v>-67.249</v>
      </c>
      <c r="F1679" s="19" t="n">
        <v>-2.52631578947368</v>
      </c>
      <c r="G1679" s="19" t="n">
        <v>-169.892210526316</v>
      </c>
    </row>
    <row r="1680" customFormat="false" ht="15" hidden="false" customHeight="false" outlineLevel="0" collapsed="false">
      <c r="A1680" s="8" t="s">
        <v>1786</v>
      </c>
      <c r="B1680" s="8" t="n">
        <v>4420023</v>
      </c>
      <c r="C1680" s="8" t="s">
        <v>1695</v>
      </c>
      <c r="D1680" s="19" t="n">
        <v>-3</v>
      </c>
      <c r="E1680" s="19" t="n">
        <v>-78.078</v>
      </c>
      <c r="F1680" s="19" t="n">
        <v>1.26315789473684</v>
      </c>
      <c r="G1680" s="19" t="n">
        <v>27.9322105263158</v>
      </c>
    </row>
    <row r="1681" customFormat="false" ht="15" hidden="false" customHeight="false" outlineLevel="0" collapsed="false">
      <c r="A1681" s="8" t="s">
        <v>1786</v>
      </c>
      <c r="B1681" s="8" t="n">
        <v>4420025</v>
      </c>
      <c r="C1681" s="8" t="s">
        <v>1697</v>
      </c>
      <c r="D1681" s="19" t="n">
        <v>-2</v>
      </c>
      <c r="E1681" s="19" t="n">
        <v>-36.855</v>
      </c>
      <c r="F1681" s="19" t="n">
        <v>-3.78947368421053</v>
      </c>
      <c r="G1681" s="19" t="n">
        <v>-69.888</v>
      </c>
    </row>
    <row r="1682" customFormat="false" ht="15" hidden="false" customHeight="false" outlineLevel="0" collapsed="false">
      <c r="A1682" s="8" t="s">
        <v>1786</v>
      </c>
      <c r="B1682" s="8" t="n">
        <v>4420027</v>
      </c>
      <c r="C1682" s="8" t="s">
        <v>1699</v>
      </c>
      <c r="D1682" s="19" t="n">
        <v>140</v>
      </c>
      <c r="E1682" s="19" t="n">
        <v>1305.031</v>
      </c>
      <c r="F1682" s="19" t="n">
        <v>70.7368421052632</v>
      </c>
      <c r="G1682" s="19" t="n">
        <v>660.372631578947</v>
      </c>
    </row>
    <row r="1683" customFormat="false" ht="15" hidden="false" customHeight="false" outlineLevel="0" collapsed="false">
      <c r="A1683" s="8" t="s">
        <v>1786</v>
      </c>
      <c r="B1683" s="8" t="n">
        <v>4421001</v>
      </c>
      <c r="C1683" s="8" t="s">
        <v>1710</v>
      </c>
      <c r="D1683" s="19" t="n">
        <v>1179</v>
      </c>
      <c r="E1683" s="19" t="n">
        <v>55683.355</v>
      </c>
      <c r="F1683" s="19" t="n">
        <v>914.526315789474</v>
      </c>
      <c r="G1683" s="19" t="n">
        <v>43348.032</v>
      </c>
    </row>
    <row r="1684" customFormat="false" ht="15" hidden="false" customHeight="false" outlineLevel="0" collapsed="false">
      <c r="A1684" s="8" t="s">
        <v>1786</v>
      </c>
      <c r="B1684" s="8" t="n">
        <v>4421003</v>
      </c>
      <c r="C1684" s="8" t="s">
        <v>1711</v>
      </c>
      <c r="D1684" s="19" t="n">
        <v>968</v>
      </c>
      <c r="E1684" s="19" t="n">
        <v>25176.333</v>
      </c>
      <c r="F1684" s="19" t="n">
        <v>821.052631578947</v>
      </c>
      <c r="G1684" s="19" t="n">
        <v>21965.1776842105</v>
      </c>
    </row>
    <row r="1685" customFormat="false" ht="15" hidden="false" customHeight="false" outlineLevel="0" collapsed="false">
      <c r="A1685" s="8" t="s">
        <v>1786</v>
      </c>
      <c r="B1685" s="8" t="n">
        <v>4421005</v>
      </c>
      <c r="C1685" s="8" t="s">
        <v>1712</v>
      </c>
      <c r="D1685" s="19" t="n">
        <v>382</v>
      </c>
      <c r="E1685" s="19" t="n">
        <v>9965.683</v>
      </c>
      <c r="F1685" s="19" t="n">
        <v>500.210526315789</v>
      </c>
      <c r="G1685" s="19" t="n">
        <v>12982.5006315789</v>
      </c>
    </row>
    <row r="1686" customFormat="false" ht="15" hidden="false" customHeight="false" outlineLevel="0" collapsed="false">
      <c r="A1686" s="8" t="s">
        <v>1786</v>
      </c>
      <c r="B1686" s="8" t="n">
        <v>4421006</v>
      </c>
      <c r="C1686" s="8" t="s">
        <v>1713</v>
      </c>
      <c r="D1686" s="19" t="n">
        <v>532</v>
      </c>
      <c r="E1686" s="19" t="n">
        <v>14988.428</v>
      </c>
      <c r="F1686" s="19" t="n">
        <v>738.947368421053</v>
      </c>
      <c r="G1686" s="19" t="n">
        <v>20818.5776842105</v>
      </c>
    </row>
    <row r="1687" customFormat="false" ht="15" hidden="false" customHeight="false" outlineLevel="0" collapsed="false">
      <c r="A1687" s="8" t="s">
        <v>1786</v>
      </c>
      <c r="B1687" s="8" t="n">
        <v>4421007</v>
      </c>
      <c r="C1687" s="8" t="s">
        <v>1714</v>
      </c>
      <c r="D1687" s="19" t="n">
        <v>262</v>
      </c>
      <c r="E1687" s="19" t="n">
        <v>8755.929</v>
      </c>
      <c r="F1687" s="19" t="n">
        <v>397.894736842105</v>
      </c>
      <c r="G1687" s="19" t="n">
        <v>13280.5591578947</v>
      </c>
    </row>
    <row r="1688" customFormat="false" ht="15" hidden="false" customHeight="false" outlineLevel="0" collapsed="false">
      <c r="A1688" s="8" t="s">
        <v>1786</v>
      </c>
      <c r="B1688" s="8" t="n">
        <v>4421008</v>
      </c>
      <c r="C1688" s="8" t="s">
        <v>1715</v>
      </c>
      <c r="D1688" s="19" t="n">
        <v>350</v>
      </c>
      <c r="E1688" s="19" t="n">
        <v>12342.694</v>
      </c>
      <c r="F1688" s="19" t="n">
        <v>377.684210526316</v>
      </c>
      <c r="G1688" s="19" t="n">
        <v>13269.0644210526</v>
      </c>
    </row>
    <row r="1689" customFormat="false" ht="15" hidden="false" customHeight="false" outlineLevel="0" collapsed="false">
      <c r="A1689" s="8" t="s">
        <v>1786</v>
      </c>
      <c r="B1689" s="8" t="n">
        <v>4422000</v>
      </c>
      <c r="C1689" s="8" t="s">
        <v>1716</v>
      </c>
      <c r="D1689" s="19" t="n">
        <v>283</v>
      </c>
      <c r="E1689" s="19" t="n">
        <v>4155.697</v>
      </c>
      <c r="F1689" s="19" t="n">
        <v>540.631578947368</v>
      </c>
      <c r="G1689" s="19" t="n">
        <v>8120.68673684211</v>
      </c>
    </row>
    <row r="1690" customFormat="false" ht="15" hidden="false" customHeight="false" outlineLevel="0" collapsed="false">
      <c r="A1690" s="8" t="s">
        <v>1786</v>
      </c>
      <c r="B1690" s="8" t="n">
        <v>4422003</v>
      </c>
      <c r="C1690" s="8" t="s">
        <v>1717</v>
      </c>
      <c r="D1690" s="19" t="n">
        <v>-3</v>
      </c>
      <c r="E1690" s="19" t="n">
        <v>-64.337</v>
      </c>
      <c r="F1690" s="19" t="n">
        <v>0</v>
      </c>
      <c r="G1690" s="19" t="n">
        <v>0</v>
      </c>
    </row>
    <row r="1691" customFormat="false" ht="15" hidden="false" customHeight="false" outlineLevel="0" collapsed="false">
      <c r="A1691" s="8" t="s">
        <v>1786</v>
      </c>
      <c r="B1691" s="8" t="n">
        <v>4422005</v>
      </c>
      <c r="C1691" s="8" t="s">
        <v>1719</v>
      </c>
      <c r="D1691" s="19" t="n">
        <v>5</v>
      </c>
      <c r="E1691" s="19" t="n">
        <v>752.934</v>
      </c>
      <c r="F1691" s="19" t="n">
        <v>7.57894736842105</v>
      </c>
      <c r="G1691" s="19" t="n">
        <v>908.544</v>
      </c>
    </row>
    <row r="1692" customFormat="false" ht="15" hidden="false" customHeight="false" outlineLevel="0" collapsed="false">
      <c r="A1692" s="8" t="s">
        <v>1786</v>
      </c>
      <c r="B1692" s="8" t="n">
        <v>4422006</v>
      </c>
      <c r="C1692" s="8" t="s">
        <v>1720</v>
      </c>
      <c r="D1692" s="19" t="n">
        <v>4</v>
      </c>
      <c r="E1692" s="19" t="n">
        <v>596.414</v>
      </c>
      <c r="F1692" s="19" t="n">
        <v>7.57894736842105</v>
      </c>
      <c r="G1692" s="19" t="n">
        <v>1121.08168421053</v>
      </c>
    </row>
    <row r="1693" customFormat="false" ht="15" hidden="false" customHeight="false" outlineLevel="0" collapsed="false">
      <c r="A1693" s="8" t="s">
        <v>1786</v>
      </c>
      <c r="B1693" s="8" t="n">
        <v>4422007</v>
      </c>
      <c r="C1693" s="8" t="s">
        <v>1721</v>
      </c>
      <c r="D1693" s="19" t="n">
        <v>4</v>
      </c>
      <c r="E1693" s="19" t="n">
        <v>596.414</v>
      </c>
      <c r="F1693" s="19" t="n">
        <v>7.57894736842105</v>
      </c>
      <c r="G1693" s="19" t="n">
        <v>1121.08168421053</v>
      </c>
    </row>
    <row r="1694" customFormat="false" ht="15" hidden="false" customHeight="false" outlineLevel="0" collapsed="false">
      <c r="A1694" s="8" t="s">
        <v>1786</v>
      </c>
      <c r="B1694" s="8" t="n">
        <v>4422023</v>
      </c>
      <c r="C1694" s="8" t="s">
        <v>1723</v>
      </c>
      <c r="D1694" s="19" t="n">
        <v>3203</v>
      </c>
      <c r="E1694" s="19" t="n">
        <v>29599.024</v>
      </c>
      <c r="F1694" s="19" t="n">
        <v>1486.73684210526</v>
      </c>
      <c r="G1694" s="19" t="n">
        <v>13812.1907368421</v>
      </c>
    </row>
    <row r="1695" customFormat="false" ht="15" hidden="false" customHeight="false" outlineLevel="0" collapsed="false">
      <c r="A1695" s="8" t="s">
        <v>1786</v>
      </c>
      <c r="B1695" s="8" t="n">
        <v>4422024</v>
      </c>
      <c r="C1695" s="8" t="s">
        <v>1724</v>
      </c>
      <c r="D1695" s="19" t="n">
        <v>2756</v>
      </c>
      <c r="E1695" s="19" t="n">
        <v>25484.914</v>
      </c>
      <c r="F1695" s="19" t="n">
        <v>2301.47368421053</v>
      </c>
      <c r="G1695" s="19" t="n">
        <v>21437.9141052632</v>
      </c>
    </row>
    <row r="1696" customFormat="false" ht="15" hidden="false" customHeight="false" outlineLevel="0" collapsed="false">
      <c r="A1696" s="8" t="s">
        <v>1786</v>
      </c>
      <c r="B1696" s="8" t="n">
        <v>4422025</v>
      </c>
      <c r="C1696" s="8" t="s">
        <v>1725</v>
      </c>
      <c r="D1696" s="19" t="n">
        <v>1749</v>
      </c>
      <c r="E1696" s="19" t="n">
        <v>16227.666</v>
      </c>
      <c r="F1696" s="19" t="n">
        <v>1035.78947368421</v>
      </c>
      <c r="G1696" s="19" t="n">
        <v>9733.97305263158</v>
      </c>
    </row>
    <row r="1697" customFormat="false" ht="15" hidden="false" customHeight="false" outlineLevel="0" collapsed="false">
      <c r="A1697" s="8" t="s">
        <v>1786</v>
      </c>
      <c r="B1697" s="8" t="n">
        <v>4422026</v>
      </c>
      <c r="C1697" s="8" t="s">
        <v>1726</v>
      </c>
      <c r="D1697" s="19" t="n">
        <v>980</v>
      </c>
      <c r="E1697" s="19" t="n">
        <v>9042.033</v>
      </c>
      <c r="F1697" s="19" t="n">
        <v>880.421052631579</v>
      </c>
      <c r="G1697" s="19" t="n">
        <v>8226.66821052632</v>
      </c>
    </row>
    <row r="1698" customFormat="false" ht="15" hidden="false" customHeight="false" outlineLevel="0" collapsed="false">
      <c r="A1698" s="8" t="s">
        <v>1786</v>
      </c>
      <c r="B1698" s="8" t="n">
        <v>4422031</v>
      </c>
      <c r="C1698" s="8" t="s">
        <v>1727</v>
      </c>
      <c r="D1698" s="19" t="n">
        <v>1235</v>
      </c>
      <c r="E1698" s="19" t="n">
        <v>11404.302</v>
      </c>
      <c r="F1698" s="19" t="n">
        <v>1248</v>
      </c>
      <c r="G1698" s="19" t="n">
        <v>11575.8896842105</v>
      </c>
    </row>
    <row r="1699" customFormat="false" ht="15" hidden="false" customHeight="false" outlineLevel="0" collapsed="false">
      <c r="A1699" s="8" t="s">
        <v>1786</v>
      </c>
      <c r="B1699" s="8" t="n">
        <v>4422032</v>
      </c>
      <c r="C1699" s="8" t="s">
        <v>1728</v>
      </c>
      <c r="D1699" s="19" t="n">
        <v>1790</v>
      </c>
      <c r="E1699" s="19" t="n">
        <v>16529.877</v>
      </c>
      <c r="F1699" s="19" t="n">
        <v>732.631578947368</v>
      </c>
      <c r="G1699" s="19" t="n">
        <v>6830.28757894737</v>
      </c>
    </row>
    <row r="1700" customFormat="false" ht="15" hidden="false" customHeight="false" outlineLevel="0" collapsed="false">
      <c r="A1700" s="8" t="s">
        <v>1786</v>
      </c>
      <c r="B1700" s="8" t="n">
        <v>4422033</v>
      </c>
      <c r="C1700" s="8" t="s">
        <v>1729</v>
      </c>
      <c r="D1700" s="19" t="n">
        <v>1556</v>
      </c>
      <c r="E1700" s="19" t="n">
        <v>14374.087</v>
      </c>
      <c r="F1700" s="19" t="n">
        <v>452.210526315789</v>
      </c>
      <c r="G1700" s="19" t="n">
        <v>4224.08589473684</v>
      </c>
    </row>
    <row r="1701" customFormat="false" ht="15" hidden="false" customHeight="false" outlineLevel="0" collapsed="false">
      <c r="A1701" s="8" t="s">
        <v>1786</v>
      </c>
      <c r="B1701" s="8" t="n">
        <v>4422034</v>
      </c>
      <c r="C1701" s="8" t="s">
        <v>1730</v>
      </c>
      <c r="D1701" s="19" t="n">
        <v>1134</v>
      </c>
      <c r="E1701" s="19" t="n">
        <v>10476.102</v>
      </c>
      <c r="F1701" s="19" t="n">
        <v>357.473684210526</v>
      </c>
      <c r="G1701" s="19" t="n">
        <v>3351.86526315789</v>
      </c>
    </row>
    <row r="1702" customFormat="false" ht="15" hidden="false" customHeight="false" outlineLevel="0" collapsed="false">
      <c r="A1702" s="8" t="s">
        <v>1786</v>
      </c>
      <c r="B1702" s="8" t="n">
        <v>4422035</v>
      </c>
      <c r="C1702" s="8" t="s">
        <v>1731</v>
      </c>
      <c r="D1702" s="19" t="n">
        <v>1663</v>
      </c>
      <c r="E1702" s="19" t="n">
        <v>27822.704</v>
      </c>
      <c r="F1702" s="19" t="n">
        <v>1620.63157894737</v>
      </c>
      <c r="G1702" s="19" t="n">
        <v>25547.8572631579</v>
      </c>
    </row>
    <row r="1703" customFormat="false" ht="15" hidden="false" customHeight="false" outlineLevel="0" collapsed="false">
      <c r="A1703" s="8" t="s">
        <v>1786</v>
      </c>
      <c r="B1703" s="8" t="n">
        <v>4422036</v>
      </c>
      <c r="C1703" s="8" t="s">
        <v>1732</v>
      </c>
      <c r="D1703" s="19" t="n">
        <v>583</v>
      </c>
      <c r="E1703" s="19" t="n">
        <v>11522.42</v>
      </c>
      <c r="F1703" s="19" t="n">
        <v>677.052631578947</v>
      </c>
      <c r="G1703" s="19" t="n">
        <v>12277.1835789474</v>
      </c>
    </row>
    <row r="1704" customFormat="false" ht="15" hidden="false" customHeight="false" outlineLevel="0" collapsed="false">
      <c r="A1704" s="8" t="s">
        <v>1786</v>
      </c>
      <c r="B1704" s="8" t="n">
        <v>4422037</v>
      </c>
      <c r="C1704" s="8" t="s">
        <v>1733</v>
      </c>
      <c r="D1704" s="19" t="n">
        <v>0</v>
      </c>
      <c r="E1704" s="19" t="n">
        <v>0</v>
      </c>
      <c r="F1704" s="19" t="n">
        <v>21.4736842105263</v>
      </c>
      <c r="G1704" s="19" t="n">
        <v>3497.84842105263</v>
      </c>
    </row>
    <row r="1705" customFormat="false" ht="15" hidden="false" customHeight="false" outlineLevel="0" collapsed="false">
      <c r="A1705" s="8" t="s">
        <v>1786</v>
      </c>
      <c r="B1705" s="8" t="n">
        <v>4422038</v>
      </c>
      <c r="C1705" s="8" t="s">
        <v>1734</v>
      </c>
      <c r="D1705" s="19" t="n">
        <v>0</v>
      </c>
      <c r="E1705" s="19" t="n">
        <v>0</v>
      </c>
      <c r="F1705" s="19" t="n">
        <v>25.2631578947368</v>
      </c>
      <c r="G1705" s="19" t="n">
        <v>4170.06063157895</v>
      </c>
    </row>
    <row r="1706" customFormat="false" ht="15" hidden="false" customHeight="false" outlineLevel="0" collapsed="false">
      <c r="A1706" s="8" t="s">
        <v>1786</v>
      </c>
      <c r="B1706" s="8" t="n">
        <v>4422039</v>
      </c>
      <c r="C1706" s="8" t="s">
        <v>1735</v>
      </c>
      <c r="D1706" s="19" t="n">
        <v>0</v>
      </c>
      <c r="E1706" s="19" t="n">
        <v>0</v>
      </c>
      <c r="F1706" s="19" t="n">
        <v>32.8421052631579</v>
      </c>
      <c r="G1706" s="19" t="n">
        <v>5388.50273684211</v>
      </c>
    </row>
    <row r="1707" customFormat="false" ht="15" hidden="false" customHeight="false" outlineLevel="0" collapsed="false">
      <c r="A1707" s="8" t="s">
        <v>1786</v>
      </c>
      <c r="B1707" s="8" t="n">
        <v>4422040</v>
      </c>
      <c r="C1707" s="8" t="s">
        <v>1736</v>
      </c>
      <c r="D1707" s="19" t="n">
        <v>0</v>
      </c>
      <c r="E1707" s="19" t="n">
        <v>0</v>
      </c>
      <c r="F1707" s="19" t="n">
        <v>53.0526315789474</v>
      </c>
      <c r="G1707" s="19" t="n">
        <v>8749.67873684211</v>
      </c>
    </row>
    <row r="1708" customFormat="false" ht="15" hidden="false" customHeight="false" outlineLevel="0" collapsed="false">
      <c r="A1708" s="8" t="s">
        <v>1786</v>
      </c>
      <c r="B1708" s="8" t="n">
        <v>4422041</v>
      </c>
      <c r="C1708" s="8" t="s">
        <v>1737</v>
      </c>
      <c r="D1708" s="19" t="n">
        <v>0</v>
      </c>
      <c r="E1708" s="19" t="n">
        <v>0</v>
      </c>
      <c r="F1708" s="19" t="n">
        <v>37.8947368421053</v>
      </c>
      <c r="G1708" s="19" t="n">
        <v>6207.73263157895</v>
      </c>
    </row>
    <row r="1709" customFormat="false" ht="15" hidden="false" customHeight="false" outlineLevel="0" collapsed="false">
      <c r="A1709" s="8" t="s">
        <v>1786</v>
      </c>
      <c r="B1709" s="8" t="n">
        <v>4422042</v>
      </c>
      <c r="C1709" s="8" t="s">
        <v>1738</v>
      </c>
      <c r="D1709" s="19" t="n">
        <v>0</v>
      </c>
      <c r="E1709" s="19" t="n">
        <v>0</v>
      </c>
      <c r="F1709" s="19" t="n">
        <v>17.6842105263158</v>
      </c>
      <c r="G1709" s="19" t="n">
        <v>2899.08757894737</v>
      </c>
    </row>
    <row r="1710" customFormat="false" ht="15" hidden="false" customHeight="false" outlineLevel="0" collapsed="false">
      <c r="A1710" s="8" t="s">
        <v>1814</v>
      </c>
      <c r="B1710" s="8" t="n">
        <v>4408272</v>
      </c>
      <c r="C1710" s="8" t="s">
        <v>1326</v>
      </c>
      <c r="D1710" s="19" t="n">
        <v>0</v>
      </c>
      <c r="E1710" s="19" t="n">
        <v>0</v>
      </c>
      <c r="F1710" s="19" t="n">
        <v>1.26315789473684</v>
      </c>
      <c r="G1710" s="19" t="n">
        <v>255.183157894737</v>
      </c>
    </row>
    <row r="1711" customFormat="false" ht="15" hidden="false" customHeight="false" outlineLevel="0" collapsed="false">
      <c r="A1711" s="8" t="s">
        <v>1814</v>
      </c>
      <c r="B1711" s="8" t="n">
        <v>4408273</v>
      </c>
      <c r="C1711" s="8" t="s">
        <v>1327</v>
      </c>
      <c r="D1711" s="19" t="n">
        <v>0</v>
      </c>
      <c r="E1711" s="19" t="n">
        <v>0</v>
      </c>
      <c r="F1711" s="19" t="n">
        <v>1.26315789473684</v>
      </c>
      <c r="G1711" s="19" t="n">
        <v>255.183157894737</v>
      </c>
    </row>
    <row r="1712" customFormat="false" ht="15" hidden="false" customHeight="false" outlineLevel="0" collapsed="false">
      <c r="A1712" s="8" t="s">
        <v>1814</v>
      </c>
      <c r="B1712" s="8" t="n">
        <v>4408274</v>
      </c>
      <c r="C1712" s="8" t="s">
        <v>1328</v>
      </c>
      <c r="D1712" s="19" t="n">
        <v>0</v>
      </c>
      <c r="E1712" s="19" t="n">
        <v>0</v>
      </c>
      <c r="F1712" s="19" t="n">
        <v>1.26315789473684</v>
      </c>
      <c r="G1712" s="19" t="n">
        <v>255.183157894737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6.15" hidden="false" customHeight="false" outlineLevel="0" collapsed="false">
      <c r="A1" s="13" t="s">
        <v>1815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22.35" hidden="false" customHeight="true" outlineLevel="0" collapsed="false">
      <c r="A3" s="20" t="s">
        <v>1816</v>
      </c>
      <c r="B3" s="20"/>
      <c r="C3" s="20"/>
      <c r="D3" s="20"/>
    </row>
    <row r="5" customFormat="false" ht="15" hidden="false" customHeight="false" outlineLevel="0" collapsed="false">
      <c r="A5" s="7" t="s">
        <v>32</v>
      </c>
      <c r="B5" s="7" t="s">
        <v>1817</v>
      </c>
      <c r="C5" s="7" t="s">
        <v>1818</v>
      </c>
      <c r="D5" s="7" t="s">
        <v>1819</v>
      </c>
    </row>
    <row r="6" customFormat="false" ht="15" hidden="false" customHeight="false" outlineLevel="0" collapsed="false">
      <c r="A6" s="8" t="s">
        <v>203</v>
      </c>
      <c r="B6" s="8" t="n">
        <v>4420016</v>
      </c>
      <c r="C6" s="8" t="s">
        <v>1691</v>
      </c>
      <c r="D6" s="8" t="str">
        <f aca="false">TRIM(SUBSTITUTE($A6,CHAR(160)," "))</f>
        <v>40 0</v>
      </c>
    </row>
    <row r="7" customFormat="false" ht="15" hidden="false" customHeight="false" outlineLevel="0" collapsed="false">
      <c r="A7" s="8" t="s">
        <v>204</v>
      </c>
      <c r="B7" s="8" t="n">
        <v>4420017</v>
      </c>
      <c r="C7" s="8" t="s">
        <v>1820</v>
      </c>
      <c r="D7" s="8" t="str">
        <f aca="false">TRIM(SUBSTITUTE($A7,CHAR(160)," "))</f>
        <v>4022 0</v>
      </c>
    </row>
    <row r="8" customFormat="false" ht="15" hidden="false" customHeight="false" outlineLevel="0" collapsed="false">
      <c r="A8" s="8" t="s">
        <v>794</v>
      </c>
      <c r="B8" s="8" t="n">
        <v>4413074</v>
      </c>
      <c r="C8" s="8" t="s">
        <v>1399</v>
      </c>
      <c r="D8" s="8" t="str">
        <f aca="false">TRIM(SUBSTITUTE($A8,CHAR(160)," "))</f>
        <v>41 XL</v>
      </c>
    </row>
    <row r="9" customFormat="false" ht="15" hidden="false" customHeight="false" outlineLevel="0" collapsed="false">
      <c r="A9" s="8" t="s">
        <v>367</v>
      </c>
      <c r="B9" s="8" t="n">
        <v>4413072</v>
      </c>
      <c r="C9" s="8" t="s">
        <v>1397</v>
      </c>
      <c r="D9" s="8" t="str">
        <f aca="false">TRIM(SUBSTITUTE($A9,CHAR(160)," "))</f>
        <v>41 L</v>
      </c>
    </row>
    <row r="10" customFormat="false" ht="15" hidden="false" customHeight="false" outlineLevel="0" collapsed="false">
      <c r="A10" s="8" t="s">
        <v>735</v>
      </c>
      <c r="B10" s="8" t="n">
        <v>4413073</v>
      </c>
      <c r="C10" s="8" t="s">
        <v>1398</v>
      </c>
      <c r="D10" s="8" t="str">
        <f aca="false">TRIM(SUBSTITUTE($A10,CHAR(160)," "))</f>
        <v>41 M</v>
      </c>
    </row>
    <row r="11" customFormat="false" ht="15" hidden="false" customHeight="false" outlineLevel="0" collapsed="false">
      <c r="A11" s="8" t="s">
        <v>793</v>
      </c>
      <c r="B11" s="8" t="n">
        <v>4413071</v>
      </c>
      <c r="C11" s="8" t="s">
        <v>1396</v>
      </c>
      <c r="D11" s="8" t="str">
        <f aca="false">TRIM(SUBSTITUTE($A11,CHAR(160)," "))</f>
        <v>41 S</v>
      </c>
    </row>
    <row r="12" customFormat="false" ht="15" hidden="false" customHeight="false" outlineLevel="0" collapsed="false">
      <c r="A12" s="8" t="s">
        <v>205</v>
      </c>
      <c r="B12" s="8" t="n">
        <v>4413076</v>
      </c>
      <c r="C12" s="8" t="s">
        <v>1400</v>
      </c>
      <c r="D12" s="8" t="str">
        <f aca="false">TRIM(SUBSTITUTE($A12,CHAR(160)," "))</f>
        <v>41X L</v>
      </c>
    </row>
    <row r="13" customFormat="false" ht="15" hidden="false" customHeight="false" outlineLevel="0" collapsed="false">
      <c r="A13" s="8" t="s">
        <v>830</v>
      </c>
      <c r="B13" s="8" t="n">
        <v>4413079</v>
      </c>
      <c r="C13" s="8" t="s">
        <v>1402</v>
      </c>
      <c r="D13" s="8" t="str">
        <f aca="false">TRIM(SUBSTITUTE($A13,CHAR(160)," "))</f>
        <v>41X XL</v>
      </c>
    </row>
    <row r="14" customFormat="false" ht="15" hidden="false" customHeight="false" outlineLevel="0" collapsed="false">
      <c r="A14" s="8" t="s">
        <v>697</v>
      </c>
      <c r="B14" s="8" t="n">
        <v>4413089</v>
      </c>
      <c r="C14" s="8" t="s">
        <v>1405</v>
      </c>
      <c r="D14" s="8" t="str">
        <f aca="false">TRIM(SUBSTITUTE($A14,CHAR(160)," "))</f>
        <v>422 S</v>
      </c>
    </row>
    <row r="15" customFormat="false" ht="15" hidden="false" customHeight="false" outlineLevel="0" collapsed="false">
      <c r="A15" s="8" t="s">
        <v>649</v>
      </c>
      <c r="B15" s="8" t="n">
        <v>4413284</v>
      </c>
      <c r="C15" s="8" t="s">
        <v>1504</v>
      </c>
      <c r="D15" s="8" t="str">
        <f aca="false">TRIM(SUBSTITUTE($A15,CHAR(160)," "))</f>
        <v>422E XXXL</v>
      </c>
    </row>
    <row r="16" customFormat="false" ht="15" hidden="false" customHeight="false" outlineLevel="0" collapsed="false">
      <c r="A16" s="8" t="s">
        <v>792</v>
      </c>
      <c r="B16" s="8" t="n">
        <v>4413332</v>
      </c>
      <c r="C16" s="8" t="s">
        <v>1514</v>
      </c>
      <c r="D16" s="8" t="str">
        <f aca="false">TRIM(SUBSTITUTE($A16,CHAR(160)," "))</f>
        <v>45 XS</v>
      </c>
    </row>
    <row r="17" customFormat="false" ht="15" hidden="false" customHeight="false" outlineLevel="0" collapsed="false">
      <c r="A17" s="8" t="s">
        <v>376</v>
      </c>
      <c r="B17" s="8" t="n">
        <v>4413092</v>
      </c>
      <c r="C17" s="8" t="s">
        <v>1408</v>
      </c>
      <c r="D17" s="8" t="str">
        <f aca="false">TRIM(SUBSTITUTE($A17,CHAR(160)," "))</f>
        <v>45 L</v>
      </c>
    </row>
    <row r="18" customFormat="false" ht="15" hidden="false" customHeight="false" outlineLevel="0" collapsed="false">
      <c r="A18" s="8" t="s">
        <v>377</v>
      </c>
      <c r="B18" s="8" t="n">
        <v>4413093</v>
      </c>
      <c r="C18" s="8" t="s">
        <v>1409</v>
      </c>
      <c r="D18" s="8" t="str">
        <f aca="false">TRIM(SUBSTITUTE($A18,CHAR(160)," "))</f>
        <v>45 M</v>
      </c>
    </row>
    <row r="19" customFormat="false" ht="15" hidden="false" customHeight="false" outlineLevel="0" collapsed="false">
      <c r="A19" s="8" t="s">
        <v>206</v>
      </c>
      <c r="B19" s="8" t="n">
        <v>4413094</v>
      </c>
      <c r="C19" s="8" t="s">
        <v>1410</v>
      </c>
      <c r="D19" s="8" t="str">
        <f aca="false">TRIM(SUBSTITUTE($A19,CHAR(160)," "))</f>
        <v>45 S</v>
      </c>
    </row>
    <row r="20" customFormat="false" ht="15" hidden="false" customHeight="false" outlineLevel="0" collapsed="false">
      <c r="A20" s="8" t="s">
        <v>207</v>
      </c>
      <c r="B20" s="8" t="n">
        <v>4413095</v>
      </c>
      <c r="C20" s="8" t="s">
        <v>1411</v>
      </c>
      <c r="D20" s="8" t="str">
        <f aca="false">TRIM(SUBSTITUTE($A20,CHAR(160)," "))</f>
        <v>45 XL</v>
      </c>
    </row>
    <row r="21" customFormat="false" ht="15" hidden="false" customHeight="false" outlineLevel="0" collapsed="false">
      <c r="A21" s="8" t="s">
        <v>378</v>
      </c>
      <c r="B21" s="8" t="n">
        <v>4413096</v>
      </c>
      <c r="C21" s="8" t="s">
        <v>1412</v>
      </c>
      <c r="D21" s="8" t="str">
        <f aca="false">TRIM(SUBSTITUTE($A21,CHAR(160)," "))</f>
        <v>45 XXL</v>
      </c>
    </row>
    <row r="22" customFormat="false" ht="15" hidden="false" customHeight="false" outlineLevel="0" collapsed="false">
      <c r="A22" s="8" t="s">
        <v>208</v>
      </c>
      <c r="B22" s="8" t="n">
        <v>4413495</v>
      </c>
      <c r="C22" s="8" t="s">
        <v>1581</v>
      </c>
      <c r="D22" s="8" t="str">
        <f aca="false">TRIM(SUBSTITUTE($A22,CHAR(160)," "))</f>
        <v>45B L</v>
      </c>
    </row>
    <row r="23" customFormat="false" ht="15" hidden="false" customHeight="false" outlineLevel="0" collapsed="false">
      <c r="A23" s="8" t="s">
        <v>209</v>
      </c>
      <c r="B23" s="8" t="n">
        <v>4413497</v>
      </c>
      <c r="C23" s="8" t="s">
        <v>1583</v>
      </c>
      <c r="D23" s="8" t="str">
        <f aca="false">TRIM(SUBSTITUTE($A23,CHAR(160)," "))</f>
        <v>45B M</v>
      </c>
    </row>
    <row r="24" customFormat="false" ht="15" hidden="false" customHeight="false" outlineLevel="0" collapsed="false">
      <c r="A24" s="8" t="s">
        <v>379</v>
      </c>
      <c r="B24" s="8" t="n">
        <v>4413498</v>
      </c>
      <c r="C24" s="8" t="s">
        <v>1584</v>
      </c>
      <c r="D24" s="8" t="str">
        <f aca="false">TRIM(SUBSTITUTE($A24,CHAR(160)," "))</f>
        <v>45B S</v>
      </c>
    </row>
    <row r="25" customFormat="false" ht="15" hidden="false" customHeight="false" outlineLevel="0" collapsed="false">
      <c r="A25" s="8" t="s">
        <v>380</v>
      </c>
      <c r="B25" s="8" t="n">
        <v>4413496</v>
      </c>
      <c r="C25" s="8" t="s">
        <v>1582</v>
      </c>
      <c r="D25" s="8" t="str">
        <f aca="false">TRIM(SUBSTITUTE($A25,CHAR(160)," "))</f>
        <v>45B XL</v>
      </c>
    </row>
    <row r="26" customFormat="false" ht="15" hidden="false" customHeight="false" outlineLevel="0" collapsed="false">
      <c r="A26" s="8" t="s">
        <v>381</v>
      </c>
      <c r="B26" s="8" t="n">
        <v>4413499</v>
      </c>
      <c r="C26" s="8" t="s">
        <v>1585</v>
      </c>
      <c r="D26" s="8" t="str">
        <f aca="false">TRIM(SUBSTITUTE($A26,CHAR(160)," "))</f>
        <v>45B XXL</v>
      </c>
    </row>
    <row r="27" customFormat="false" ht="15" hidden="false" customHeight="false" outlineLevel="0" collapsed="false">
      <c r="A27" s="8" t="s">
        <v>210</v>
      </c>
      <c r="B27" s="8" t="n">
        <v>4413098</v>
      </c>
      <c r="C27" s="8" t="s">
        <v>1414</v>
      </c>
      <c r="D27" s="8" t="str">
        <f aca="false">TRIM(SUBSTITUTE($A27,CHAR(160)," "))</f>
        <v>45C L</v>
      </c>
    </row>
    <row r="28" customFormat="false" ht="15" hidden="false" customHeight="false" outlineLevel="0" collapsed="false">
      <c r="A28" s="8" t="s">
        <v>211</v>
      </c>
      <c r="B28" s="8" t="n">
        <v>4413099</v>
      </c>
      <c r="C28" s="8" t="s">
        <v>1415</v>
      </c>
      <c r="D28" s="8" t="str">
        <f aca="false">TRIM(SUBSTITUTE($A28,CHAR(160)," "))</f>
        <v>45C M</v>
      </c>
    </row>
    <row r="29" customFormat="false" ht="15" hidden="false" customHeight="false" outlineLevel="0" collapsed="false">
      <c r="A29" s="8" t="s">
        <v>212</v>
      </c>
      <c r="B29" s="8" t="n">
        <v>4413097</v>
      </c>
      <c r="C29" s="8" t="s">
        <v>1413</v>
      </c>
      <c r="D29" s="8" t="str">
        <f aca="false">TRIM(SUBSTITUTE($A29,CHAR(160)," "))</f>
        <v>45C S</v>
      </c>
    </row>
    <row r="30" customFormat="false" ht="15" hidden="false" customHeight="false" outlineLevel="0" collapsed="false">
      <c r="A30" s="8" t="s">
        <v>213</v>
      </c>
      <c r="B30" s="8" t="n">
        <v>4413100</v>
      </c>
      <c r="C30" s="8" t="s">
        <v>1416</v>
      </c>
      <c r="D30" s="8" t="str">
        <f aca="false">TRIM(SUBSTITUTE($A30,CHAR(160)," "))</f>
        <v>45C XL</v>
      </c>
    </row>
    <row r="31" customFormat="false" ht="15" hidden="false" customHeight="false" outlineLevel="0" collapsed="false">
      <c r="A31" s="8" t="s">
        <v>382</v>
      </c>
      <c r="B31" s="8" t="n">
        <v>4413102</v>
      </c>
      <c r="C31" s="8" t="s">
        <v>1418</v>
      </c>
      <c r="D31" s="8" t="str">
        <f aca="false">TRIM(SUBSTITUTE($A31,CHAR(160)," "))</f>
        <v>45E L</v>
      </c>
    </row>
    <row r="32" customFormat="false" ht="15" hidden="false" customHeight="false" outlineLevel="0" collapsed="false">
      <c r="A32" s="8" t="s">
        <v>383</v>
      </c>
      <c r="B32" s="8" t="n">
        <v>4413103</v>
      </c>
      <c r="C32" s="8" t="s">
        <v>1419</v>
      </c>
      <c r="D32" s="8" t="str">
        <f aca="false">TRIM(SUBSTITUTE($A32,CHAR(160)," "))</f>
        <v>45E M</v>
      </c>
    </row>
    <row r="33" customFormat="false" ht="15" hidden="false" customHeight="false" outlineLevel="0" collapsed="false">
      <c r="A33" s="8" t="s">
        <v>384</v>
      </c>
      <c r="B33" s="8" t="n">
        <v>4413101</v>
      </c>
      <c r="C33" s="8" t="s">
        <v>1417</v>
      </c>
      <c r="D33" s="8" t="str">
        <f aca="false">TRIM(SUBSTITUTE($A33,CHAR(160)," "))</f>
        <v>45E S</v>
      </c>
    </row>
    <row r="34" customFormat="false" ht="15" hidden="false" customHeight="false" outlineLevel="0" collapsed="false">
      <c r="A34" s="8" t="s">
        <v>216</v>
      </c>
      <c r="B34" s="8" t="n">
        <v>4413104</v>
      </c>
      <c r="C34" s="8" t="s">
        <v>1420</v>
      </c>
      <c r="D34" s="8" t="str">
        <f aca="false">TRIM(SUBSTITUTE($A34,CHAR(160)," "))</f>
        <v>45E XL</v>
      </c>
    </row>
    <row r="35" customFormat="false" ht="15" hidden="false" customHeight="false" outlineLevel="0" collapsed="false">
      <c r="A35" s="8" t="s">
        <v>217</v>
      </c>
      <c r="B35" s="8" t="n">
        <v>4413105</v>
      </c>
      <c r="C35" s="8" t="s">
        <v>1421</v>
      </c>
      <c r="D35" s="8" t="str">
        <f aca="false">TRIM(SUBSTITUTE($A35,CHAR(160)," "))</f>
        <v>45E XXL</v>
      </c>
    </row>
    <row r="36" customFormat="false" ht="15" hidden="false" customHeight="false" outlineLevel="0" collapsed="false">
      <c r="A36" s="8" t="s">
        <v>218</v>
      </c>
      <c r="B36" s="8" t="n">
        <v>4413396</v>
      </c>
      <c r="C36" s="8" t="s">
        <v>1538</v>
      </c>
      <c r="D36" s="8" t="str">
        <f aca="false">TRIM(SUBSTITUTE($A36,CHAR(160)," "))</f>
        <v>45EC L</v>
      </c>
    </row>
    <row r="37" customFormat="false" ht="15" hidden="false" customHeight="false" outlineLevel="0" collapsed="false">
      <c r="A37" s="8" t="s">
        <v>219</v>
      </c>
      <c r="B37" s="8" t="n">
        <v>4413395</v>
      </c>
      <c r="C37" s="8" t="s">
        <v>1537</v>
      </c>
      <c r="D37" s="8" t="str">
        <f aca="false">TRIM(SUBSTITUTE($A37,CHAR(160)," "))</f>
        <v>45EC M</v>
      </c>
    </row>
    <row r="38" customFormat="false" ht="15" hidden="false" customHeight="false" outlineLevel="0" collapsed="false">
      <c r="A38" s="8" t="s">
        <v>385</v>
      </c>
      <c r="B38" s="8" t="n">
        <v>4413394</v>
      </c>
      <c r="C38" s="8" t="s">
        <v>1536</v>
      </c>
      <c r="D38" s="8" t="str">
        <f aca="false">TRIM(SUBSTITUTE($A38,CHAR(160)," "))</f>
        <v>45EC S</v>
      </c>
    </row>
    <row r="39" customFormat="false" ht="15" hidden="false" customHeight="false" outlineLevel="0" collapsed="false">
      <c r="A39" s="8" t="s">
        <v>220</v>
      </c>
      <c r="B39" s="8" t="n">
        <v>4413397</v>
      </c>
      <c r="C39" s="8" t="s">
        <v>1539</v>
      </c>
      <c r="D39" s="8" t="str">
        <f aca="false">TRIM(SUBSTITUTE($A39,CHAR(160)," "))</f>
        <v>45EC XL</v>
      </c>
    </row>
    <row r="40" customFormat="false" ht="15" hidden="false" customHeight="false" outlineLevel="0" collapsed="false">
      <c r="A40" s="8" t="s">
        <v>221</v>
      </c>
      <c r="B40" s="8" t="n">
        <v>4413398</v>
      </c>
      <c r="C40" s="8" t="s">
        <v>1540</v>
      </c>
      <c r="D40" s="8" t="str">
        <f aca="false">TRIM(SUBSTITUTE($A40,CHAR(160)," "))</f>
        <v>45EC XXL</v>
      </c>
    </row>
    <row r="41" customFormat="false" ht="15" hidden="false" customHeight="false" outlineLevel="0" collapsed="false">
      <c r="A41" s="8" t="s">
        <v>386</v>
      </c>
      <c r="B41" s="8" t="n">
        <v>4413107</v>
      </c>
      <c r="C41" s="8" t="s">
        <v>1423</v>
      </c>
      <c r="D41" s="8" t="str">
        <f aca="false">TRIM(SUBSTITUTE($A41,CHAR(160)," "))</f>
        <v>48 L</v>
      </c>
    </row>
    <row r="42" customFormat="false" ht="15" hidden="false" customHeight="false" outlineLevel="0" collapsed="false">
      <c r="A42" s="8" t="s">
        <v>567</v>
      </c>
      <c r="B42" s="8" t="n">
        <v>4413108</v>
      </c>
      <c r="C42" s="8" t="s">
        <v>1424</v>
      </c>
      <c r="D42" s="8" t="str">
        <f aca="false">TRIM(SUBSTITUTE($A42,CHAR(160)," "))</f>
        <v>48 M</v>
      </c>
    </row>
    <row r="43" customFormat="false" ht="15" hidden="false" customHeight="false" outlineLevel="0" collapsed="false">
      <c r="A43" s="8" t="s">
        <v>274</v>
      </c>
      <c r="B43" s="8" t="n">
        <v>4420026</v>
      </c>
      <c r="C43" s="8" t="s">
        <v>1698</v>
      </c>
      <c r="D43" s="8" t="str">
        <f aca="false">TRIM(SUBSTITUTE($A43,CHAR(160)," "))</f>
        <v>AC40 0</v>
      </c>
    </row>
    <row r="44" customFormat="false" ht="15" hidden="false" customHeight="false" outlineLevel="0" collapsed="false">
      <c r="A44" s="8" t="s">
        <v>56</v>
      </c>
      <c r="B44" s="8" t="n">
        <v>4413328</v>
      </c>
      <c r="C44" s="8" t="s">
        <v>1510</v>
      </c>
      <c r="D44" s="8" t="str">
        <f aca="false">TRIM(SUBSTITUTE($A44,CHAR(160)," "))</f>
        <v>AC43D 0</v>
      </c>
    </row>
    <row r="45" customFormat="false" ht="15" hidden="false" customHeight="false" outlineLevel="0" collapsed="false">
      <c r="A45" s="8" t="s">
        <v>275</v>
      </c>
      <c r="B45" s="8" t="n">
        <v>4413329</v>
      </c>
      <c r="C45" s="8" t="s">
        <v>1511</v>
      </c>
      <c r="D45" s="8" t="str">
        <f aca="false">TRIM(SUBSTITUTE($A45,CHAR(160)," "))</f>
        <v>AC45X 0</v>
      </c>
    </row>
    <row r="46" customFormat="false" ht="15" hidden="false" customHeight="false" outlineLevel="0" collapsed="false">
      <c r="A46" s="8" t="s">
        <v>537</v>
      </c>
      <c r="B46" s="8" t="n">
        <v>4402011</v>
      </c>
      <c r="C46" s="8" t="s">
        <v>1740</v>
      </c>
      <c r="D46" s="8" t="str">
        <f aca="false">TRIM(SUBSTITUTE($A46,CHAR(160)," "))</f>
        <v>ST422 0</v>
      </c>
    </row>
    <row r="47" customFormat="false" ht="15" hidden="false" customHeight="false" outlineLevel="0" collapsed="false">
      <c r="A47" s="8" t="s">
        <v>437</v>
      </c>
      <c r="B47" s="8" t="n">
        <v>4413438</v>
      </c>
      <c r="C47" s="8" t="s">
        <v>1560</v>
      </c>
      <c r="D47" s="8" t="str">
        <f aca="false">TRIM(SUBSTITUTE($A47,CHAR(160)," "))</f>
        <v>SC422 S</v>
      </c>
    </row>
    <row r="48" customFormat="false" ht="15" hidden="false" customHeight="false" outlineLevel="0" collapsed="false">
      <c r="A48" s="8" t="s">
        <v>303</v>
      </c>
      <c r="B48" s="8" t="n">
        <v>4413442</v>
      </c>
      <c r="C48" s="8" t="s">
        <v>1564</v>
      </c>
      <c r="D48" s="8" t="str">
        <f aca="false">TRIM(SUBSTITUTE($A48,CHAR(160)," "))</f>
        <v>SC422 XXL</v>
      </c>
    </row>
    <row r="49" customFormat="false" ht="15" hidden="false" customHeight="false" outlineLevel="0" collapsed="false">
      <c r="A49" s="8" t="s">
        <v>521</v>
      </c>
      <c r="B49" s="8" t="n">
        <v>4422037</v>
      </c>
      <c r="C49" s="8" t="s">
        <v>1733</v>
      </c>
      <c r="D49" s="8" t="str">
        <f aca="false">TRIM(SUBSTITUTE($A49,CHAR(160)," "))</f>
        <v>SH422 1</v>
      </c>
    </row>
    <row r="50" customFormat="false" ht="15" hidden="false" customHeight="false" outlineLevel="0" collapsed="false">
      <c r="A50" s="8" t="s">
        <v>522</v>
      </c>
      <c r="B50" s="8" t="n">
        <v>4422038</v>
      </c>
      <c r="C50" s="8" t="s">
        <v>1734</v>
      </c>
      <c r="D50" s="8" t="str">
        <f aca="false">TRIM(SUBSTITUTE($A50,CHAR(160)," "))</f>
        <v>SH422 2</v>
      </c>
    </row>
    <row r="51" customFormat="false" ht="15" hidden="false" customHeight="false" outlineLevel="0" collapsed="false">
      <c r="A51" s="8" t="s">
        <v>523</v>
      </c>
      <c r="B51" s="8" t="n">
        <v>4422039</v>
      </c>
      <c r="C51" s="8" t="s">
        <v>1735</v>
      </c>
      <c r="D51" s="8" t="str">
        <f aca="false">TRIM(SUBSTITUTE($A51,CHAR(160)," "))</f>
        <v>SH422 3</v>
      </c>
    </row>
    <row r="52" customFormat="false" ht="15" hidden="false" customHeight="false" outlineLevel="0" collapsed="false">
      <c r="A52" s="8" t="s">
        <v>524</v>
      </c>
      <c r="B52" s="8" t="n">
        <v>4422040</v>
      </c>
      <c r="C52" s="8" t="s">
        <v>1736</v>
      </c>
      <c r="D52" s="8" t="str">
        <f aca="false">TRIM(SUBSTITUTE($A52,CHAR(160)," "))</f>
        <v>SH422 4</v>
      </c>
    </row>
    <row r="53" customFormat="false" ht="15" hidden="false" customHeight="false" outlineLevel="0" collapsed="false">
      <c r="A53" s="8" t="s">
        <v>308</v>
      </c>
      <c r="B53" s="8" t="n">
        <v>4422041</v>
      </c>
      <c r="C53" s="8" t="s">
        <v>1737</v>
      </c>
      <c r="D53" s="8" t="str">
        <f aca="false">TRIM(SUBSTITUTE($A53,CHAR(160)," "))</f>
        <v>SH422 5</v>
      </c>
    </row>
    <row r="54" customFormat="false" ht="15" hidden="false" customHeight="false" outlineLevel="0" collapsed="false">
      <c r="A54" s="8" t="s">
        <v>525</v>
      </c>
      <c r="B54" s="8" t="n">
        <v>4422042</v>
      </c>
      <c r="C54" s="8" t="s">
        <v>1738</v>
      </c>
      <c r="D54" s="8" t="str">
        <f aca="false">TRIM(SUBSTITUTE($A54,CHAR(160)," "))</f>
        <v>SH422 6</v>
      </c>
    </row>
    <row r="55" customFormat="false" ht="15" hidden="false" customHeight="false" outlineLevel="0" collapsed="false">
      <c r="A55" s="8" t="s">
        <v>538</v>
      </c>
      <c r="B55" s="8" t="n">
        <v>4413532</v>
      </c>
      <c r="C55" s="8" t="s">
        <v>1749</v>
      </c>
      <c r="D55" s="8" t="str">
        <f aca="false">TRIM(SUBSTITUTE($A55,CHAR(160)," "))</f>
        <v>ST433 0</v>
      </c>
    </row>
    <row r="56" customFormat="false" ht="15" hidden="false" customHeight="false" outlineLevel="0" collapsed="false">
      <c r="A56" s="8" t="s">
        <v>673</v>
      </c>
      <c r="B56" s="8" t="n">
        <v>4413184</v>
      </c>
      <c r="C56" s="8" t="s">
        <v>1486</v>
      </c>
      <c r="D56" s="8" t="str">
        <f aca="false">TRIM(SUBSTITUTE($A56,CHAR(160)," "))</f>
        <v>T45 L</v>
      </c>
    </row>
    <row r="57" customFormat="false" ht="15" hidden="false" customHeight="false" outlineLevel="0" collapsed="false">
      <c r="A57" s="8" t="s">
        <v>329</v>
      </c>
      <c r="B57" s="8" t="n">
        <v>4413183</v>
      </c>
      <c r="C57" s="8" t="s">
        <v>1485</v>
      </c>
      <c r="D57" s="8" t="str">
        <f aca="false">TRIM(SUBSTITUTE($A57,CHAR(160)," "))</f>
        <v>T45 M</v>
      </c>
    </row>
    <row r="58" customFormat="false" ht="15" hidden="false" customHeight="false" outlineLevel="0" collapsed="false">
      <c r="A58" s="8" t="s">
        <v>674</v>
      </c>
      <c r="B58" s="8" t="n">
        <v>4413185</v>
      </c>
      <c r="C58" s="8" t="s">
        <v>1487</v>
      </c>
      <c r="D58" s="8" t="str">
        <f aca="false">TRIM(SUBSTITUTE($A58,CHAR(160)," "))</f>
        <v>T45 XL</v>
      </c>
    </row>
    <row r="59" customFormat="false" ht="15" hidden="false" customHeight="false" outlineLevel="0" collapsed="false">
      <c r="A59" s="8" t="s">
        <v>1085</v>
      </c>
      <c r="B59" s="8" t="n">
        <v>4413182</v>
      </c>
      <c r="C59" s="8" t="s">
        <v>1772</v>
      </c>
      <c r="D59" s="8" t="str">
        <f aca="false">TRIM(SUBSTITUTE($A59,CHAR(160)," "))</f>
        <v>T45 S</v>
      </c>
    </row>
    <row r="60" customFormat="false" ht="15" hidden="false" customHeight="false" outlineLevel="0" collapsed="false">
      <c r="A60" s="8" t="s">
        <v>853</v>
      </c>
      <c r="B60" s="8" t="n">
        <v>4413286</v>
      </c>
      <c r="C60" s="8" t="s">
        <v>1505</v>
      </c>
      <c r="D60" s="8" t="str">
        <f aca="false">TRIM(SUBSTITUTE($A60,CHAR(160)," "))</f>
        <v>T45 XXL</v>
      </c>
    </row>
    <row r="61" customFormat="false" ht="15" hidden="false" customHeight="false" outlineLevel="0" collapsed="false">
      <c r="A61" s="8" t="s">
        <v>450</v>
      </c>
      <c r="B61" s="8" t="n">
        <v>4413260</v>
      </c>
      <c r="C61" s="8" t="s">
        <v>1497</v>
      </c>
      <c r="D61" s="8" t="str">
        <f aca="false">TRIM(SUBSTITUTE($A61,CHAR(160)," "))</f>
        <v>T45X XXL</v>
      </c>
    </row>
    <row r="62" customFormat="false" ht="15" hidden="false" customHeight="false" outlineLevel="0" collapsed="false">
      <c r="A62" s="8" t="s">
        <v>559</v>
      </c>
      <c r="B62" s="8" t="n">
        <v>4413224</v>
      </c>
      <c r="C62" s="8" t="s">
        <v>1494</v>
      </c>
      <c r="D62" s="8" t="str">
        <f aca="false">TRIM(SUBSTITUTE($A62,CHAR(160)," "))</f>
        <v>T45X XL</v>
      </c>
    </row>
    <row r="63" customFormat="false" ht="15" hidden="false" customHeight="false" outlineLevel="0" collapsed="false">
      <c r="A63" s="8" t="s">
        <v>358</v>
      </c>
      <c r="B63" s="8" t="n">
        <v>4403040</v>
      </c>
      <c r="C63" s="8" t="s">
        <v>1186</v>
      </c>
      <c r="D63" s="8" t="str">
        <f aca="false">TRIM(SUBSTITUTE($A63,CHAR(160)," "))</f>
        <v>3444B 0</v>
      </c>
    </row>
    <row r="64" customFormat="false" ht="15" hidden="false" customHeight="false" outlineLevel="0" collapsed="false">
      <c r="A64" s="8" t="s">
        <v>181</v>
      </c>
      <c r="B64" s="8" t="n">
        <v>4403001</v>
      </c>
      <c r="C64" s="8" t="s">
        <v>1164</v>
      </c>
      <c r="D64" s="8" t="str">
        <f aca="false">TRIM(SUBSTITUTE($A64,CHAR(160)," "))</f>
        <v>390B-39-42</v>
      </c>
    </row>
    <row r="65" customFormat="false" ht="15" hidden="false" customHeight="false" outlineLevel="0" collapsed="false">
      <c r="A65" s="8" t="s">
        <v>182</v>
      </c>
      <c r="B65" s="8" t="n">
        <v>4403002</v>
      </c>
      <c r="C65" s="8" t="s">
        <v>1165</v>
      </c>
      <c r="D65" s="8" t="str">
        <f aca="false">TRIM(SUBSTITUTE($A65,CHAR(160)," "))</f>
        <v>390B-43-46</v>
      </c>
    </row>
    <row r="66" customFormat="false" ht="15" hidden="false" customHeight="false" outlineLevel="0" collapsed="false">
      <c r="A66" s="8" t="s">
        <v>180</v>
      </c>
      <c r="B66" s="8" t="n">
        <v>4403000</v>
      </c>
      <c r="C66" s="8" t="s">
        <v>1163</v>
      </c>
      <c r="D66" s="8" t="str">
        <f aca="false">TRIM(SUBSTITUTE($A66,CHAR(160)," "))</f>
        <v>390B-35-38</v>
      </c>
    </row>
    <row r="67" customFormat="false" ht="15" hidden="false" customHeight="false" outlineLevel="0" collapsed="false">
      <c r="A67" s="8" t="s">
        <v>183</v>
      </c>
      <c r="B67" s="8" t="n">
        <v>4403003</v>
      </c>
      <c r="C67" s="8" t="s">
        <v>1166</v>
      </c>
      <c r="D67" s="8" t="str">
        <f aca="false">TRIM(SUBSTITUTE($A67,CHAR(160)," "))</f>
        <v>390G-35-38</v>
      </c>
    </row>
    <row r="68" customFormat="false" ht="15" hidden="false" customHeight="false" outlineLevel="0" collapsed="false">
      <c r="A68" s="8" t="s">
        <v>761</v>
      </c>
      <c r="B68" s="8" t="n">
        <v>4403006</v>
      </c>
      <c r="C68" s="8" t="s">
        <v>1169</v>
      </c>
      <c r="D68" s="8" t="str">
        <f aca="false">TRIM(SUBSTITUTE($A68,CHAR(160)," "))</f>
        <v>390W-35-38</v>
      </c>
    </row>
    <row r="69" customFormat="false" ht="15" hidden="false" customHeight="false" outlineLevel="0" collapsed="false">
      <c r="A69" s="8" t="s">
        <v>186</v>
      </c>
      <c r="B69" s="8" t="n">
        <v>4403007</v>
      </c>
      <c r="C69" s="8" t="s">
        <v>1170</v>
      </c>
      <c r="D69" s="8" t="str">
        <f aca="false">TRIM(SUBSTITUTE($A69,CHAR(160)," "))</f>
        <v>390W-39-42</v>
      </c>
    </row>
    <row r="70" customFormat="false" ht="15" hidden="false" customHeight="false" outlineLevel="0" collapsed="false">
      <c r="A70" s="8" t="s">
        <v>366</v>
      </c>
      <c r="B70" s="8" t="n">
        <v>4403008</v>
      </c>
      <c r="C70" s="8" t="s">
        <v>1171</v>
      </c>
      <c r="D70" s="8" t="str">
        <f aca="false">TRIM(SUBSTITUTE($A70,CHAR(160)," "))</f>
        <v>390W-43-46</v>
      </c>
    </row>
    <row r="71" customFormat="false" ht="15" hidden="false" customHeight="false" outlineLevel="0" collapsed="false">
      <c r="A71" s="8" t="s">
        <v>187</v>
      </c>
      <c r="B71" s="8" t="n">
        <v>4403017</v>
      </c>
      <c r="C71" s="8" t="s">
        <v>1172</v>
      </c>
      <c r="D71" s="8" t="str">
        <f aca="false">TRIM(SUBSTITUTE($A71,CHAR(160)," "))</f>
        <v>394B-35-38</v>
      </c>
    </row>
    <row r="72" customFormat="false" ht="15" hidden="false" customHeight="false" outlineLevel="0" collapsed="false">
      <c r="A72" s="8" t="s">
        <v>188</v>
      </c>
      <c r="B72" s="8" t="n">
        <v>4403018</v>
      </c>
      <c r="C72" s="8" t="s">
        <v>1173</v>
      </c>
      <c r="D72" s="8" t="str">
        <f aca="false">TRIM(SUBSTITUTE($A72,CHAR(160)," "))</f>
        <v>394B-39-42</v>
      </c>
    </row>
    <row r="73" customFormat="false" ht="15" hidden="false" customHeight="false" outlineLevel="0" collapsed="false">
      <c r="A73" s="8" t="s">
        <v>189</v>
      </c>
      <c r="B73" s="8" t="n">
        <v>4403019</v>
      </c>
      <c r="C73" s="8" t="s">
        <v>1174</v>
      </c>
      <c r="D73" s="8" t="str">
        <f aca="false">TRIM(SUBSTITUTE($A73,CHAR(160)," "))</f>
        <v>394B-43-46</v>
      </c>
    </row>
    <row r="74" customFormat="false" ht="15" hidden="false" customHeight="false" outlineLevel="0" collapsed="false">
      <c r="A74" s="8" t="s">
        <v>192</v>
      </c>
      <c r="B74" s="8" t="n">
        <v>4403023</v>
      </c>
      <c r="C74" s="8" t="s">
        <v>1178</v>
      </c>
      <c r="D74" s="8" t="str">
        <f aca="false">TRIM(SUBSTITUTE($A74,CHAR(160)," "))</f>
        <v>394W-35-38</v>
      </c>
    </row>
    <row r="75" customFormat="false" ht="15" hidden="false" customHeight="false" outlineLevel="0" collapsed="false">
      <c r="A75" s="8" t="s">
        <v>193</v>
      </c>
      <c r="B75" s="8" t="n">
        <v>4403024</v>
      </c>
      <c r="C75" s="8" t="s">
        <v>1179</v>
      </c>
      <c r="D75" s="8" t="str">
        <f aca="false">TRIM(SUBSTITUTE($A75,CHAR(160)," "))</f>
        <v>394W-39-42</v>
      </c>
    </row>
    <row r="76" customFormat="false" ht="15" hidden="false" customHeight="false" outlineLevel="0" collapsed="false">
      <c r="A76" s="8" t="s">
        <v>194</v>
      </c>
      <c r="B76" s="8" t="n">
        <v>4403025</v>
      </c>
      <c r="C76" s="8" t="s">
        <v>1180</v>
      </c>
      <c r="D76" s="8" t="str">
        <f aca="false">TRIM(SUBSTITUTE($A76,CHAR(160)," "))</f>
        <v>394W-43-46</v>
      </c>
    </row>
    <row r="77" customFormat="false" ht="15" hidden="false" customHeight="false" outlineLevel="0" collapsed="false">
      <c r="A77" s="8" t="s">
        <v>195</v>
      </c>
      <c r="B77" s="8" t="n">
        <v>4403044</v>
      </c>
      <c r="C77" s="8" t="s">
        <v>1190</v>
      </c>
      <c r="D77" s="8" t="str">
        <f aca="false">TRIM(SUBSTITUTE($A77,CHAR(160)," "))</f>
        <v>395B-39-42</v>
      </c>
    </row>
    <row r="78" customFormat="false" ht="15" hidden="false" customHeight="false" outlineLevel="0" collapsed="false">
      <c r="A78" s="8" t="s">
        <v>196</v>
      </c>
      <c r="B78" s="8" t="n">
        <v>4403045</v>
      </c>
      <c r="C78" s="8" t="s">
        <v>1191</v>
      </c>
      <c r="D78" s="8" t="str">
        <f aca="false">TRIM(SUBSTITUTE($A78,CHAR(160)," "))</f>
        <v>395B-43-46</v>
      </c>
    </row>
    <row r="79" customFormat="false" ht="15" hidden="false" customHeight="false" outlineLevel="0" collapsed="false">
      <c r="A79" s="8" t="s">
        <v>198</v>
      </c>
      <c r="B79" s="8" t="n">
        <v>4403029</v>
      </c>
      <c r="C79" s="8" t="s">
        <v>1182</v>
      </c>
      <c r="D79" s="8" t="str">
        <f aca="false">TRIM(SUBSTITUTE($A79,CHAR(160)," "))</f>
        <v>397-39-42</v>
      </c>
    </row>
    <row r="80" customFormat="false" ht="15" hidden="false" customHeight="false" outlineLevel="0" collapsed="false">
      <c r="A80" s="8" t="s">
        <v>200</v>
      </c>
      <c r="B80" s="8" t="n">
        <v>4403041</v>
      </c>
      <c r="C80" s="8" t="s">
        <v>1187</v>
      </c>
      <c r="D80" s="8" t="str">
        <f aca="false">TRIM(SUBSTITUTE($A80,CHAR(160)," "))</f>
        <v>397A-35-38</v>
      </c>
    </row>
    <row r="81" customFormat="false" ht="15" hidden="false" customHeight="false" outlineLevel="0" collapsed="false">
      <c r="A81" s="8" t="s">
        <v>201</v>
      </c>
      <c r="B81" s="8" t="n">
        <v>4403042</v>
      </c>
      <c r="C81" s="8" t="s">
        <v>1188</v>
      </c>
      <c r="D81" s="8" t="str">
        <f aca="false">TRIM(SUBSTITUTE($A81,CHAR(160)," "))</f>
        <v>397A-39-42</v>
      </c>
    </row>
    <row r="82" customFormat="false" ht="15" hidden="false" customHeight="false" outlineLevel="0" collapsed="false">
      <c r="A82" s="8" t="s">
        <v>202</v>
      </c>
      <c r="B82" s="8" t="n">
        <v>4403043</v>
      </c>
      <c r="C82" s="8" t="s">
        <v>1189</v>
      </c>
      <c r="D82" s="8" t="str">
        <f aca="false">TRIM(SUBSTITUTE($A82,CHAR(160)," "))</f>
        <v>397A-43-46</v>
      </c>
    </row>
    <row r="83" customFormat="false" ht="15" hidden="false" customHeight="false" outlineLevel="0" collapsed="false">
      <c r="A83" s="8" t="s">
        <v>185</v>
      </c>
      <c r="B83" s="8" t="n">
        <v>4403005</v>
      </c>
      <c r="C83" s="8" t="s">
        <v>1168</v>
      </c>
      <c r="D83" s="8" t="str">
        <f aca="false">TRIM(SUBSTITUTE($A83,CHAR(160)," "))</f>
        <v>390G-43-46</v>
      </c>
    </row>
    <row r="84" customFormat="false" ht="15" hidden="false" customHeight="false" outlineLevel="0" collapsed="false">
      <c r="A84" s="8" t="s">
        <v>310</v>
      </c>
      <c r="B84" s="8" t="n">
        <v>4403034</v>
      </c>
      <c r="C84" s="8" t="s">
        <v>1184</v>
      </c>
      <c r="D84" s="8" t="str">
        <f aca="false">TRIM(SUBSTITUTE($A84,CHAR(160)," "))</f>
        <v>ST3555-S-M</v>
      </c>
    </row>
    <row r="85" customFormat="false" ht="15" hidden="false" customHeight="false" outlineLevel="0" collapsed="false">
      <c r="A85" s="8" t="s">
        <v>309</v>
      </c>
      <c r="B85" s="8" t="n">
        <v>4403035</v>
      </c>
      <c r="C85" s="8" t="s">
        <v>1185</v>
      </c>
      <c r="D85" s="8" t="str">
        <f aca="false">TRIM(SUBSTITUTE($A85,CHAR(160)," "))</f>
        <v>ST3555-L-XL</v>
      </c>
    </row>
    <row r="86" customFormat="false" ht="15" hidden="false" customHeight="false" outlineLevel="0" collapsed="false">
      <c r="A86" s="8" t="s">
        <v>613</v>
      </c>
      <c r="B86" s="8" t="n">
        <v>4408119</v>
      </c>
      <c r="C86" s="8" t="s">
        <v>1266</v>
      </c>
      <c r="D86" s="8" t="str">
        <f aca="false">TRIM(SUBSTITUTE($A86,CHAR(160)," "))</f>
        <v>06U L</v>
      </c>
    </row>
    <row r="87" customFormat="false" ht="15" hidden="false" customHeight="false" outlineLevel="0" collapsed="false">
      <c r="A87" s="8" t="s">
        <v>615</v>
      </c>
      <c r="B87" s="8" t="n">
        <v>4408120</v>
      </c>
      <c r="C87" s="8" t="s">
        <v>1267</v>
      </c>
      <c r="D87" s="8" t="str">
        <f aca="false">TRIM(SUBSTITUTE($A87,CHAR(160)," "))</f>
        <v>06U XL</v>
      </c>
    </row>
    <row r="88" customFormat="false" ht="15" hidden="false" customHeight="false" outlineLevel="0" collapsed="false">
      <c r="A88" s="8" t="s">
        <v>637</v>
      </c>
      <c r="B88" s="8" t="n">
        <v>4408245</v>
      </c>
      <c r="C88" s="8" t="s">
        <v>1315</v>
      </c>
      <c r="D88" s="8" t="str">
        <f aca="false">TRIM(SUBSTITUTE($A88,CHAR(160)," "))</f>
        <v>077A XXL</v>
      </c>
    </row>
    <row r="89" customFormat="false" ht="15" hidden="false" customHeight="false" outlineLevel="0" collapsed="false">
      <c r="A89" s="8" t="s">
        <v>573</v>
      </c>
      <c r="B89" s="8" t="n">
        <v>4408135</v>
      </c>
      <c r="C89" s="8" t="s">
        <v>1275</v>
      </c>
      <c r="D89" s="8" t="str">
        <f aca="false">TRIM(SUBSTITUTE($A89,CHAR(160)," "))</f>
        <v>077A-L-XL</v>
      </c>
    </row>
    <row r="90" customFormat="false" ht="15" hidden="false" customHeight="false" outlineLevel="0" collapsed="false">
      <c r="A90" s="8" t="s">
        <v>574</v>
      </c>
      <c r="B90" s="8" t="n">
        <v>4408134</v>
      </c>
      <c r="C90" s="8" t="s">
        <v>1274</v>
      </c>
      <c r="D90" s="8" t="str">
        <f aca="false">TRIM(SUBSTITUTE($A90,CHAR(160)," "))</f>
        <v>077A-S-M</v>
      </c>
    </row>
    <row r="91" customFormat="false" ht="15" hidden="false" customHeight="false" outlineLevel="0" collapsed="false">
      <c r="A91" s="8" t="s">
        <v>60</v>
      </c>
      <c r="B91" s="8" t="n">
        <v>4408192</v>
      </c>
      <c r="C91" s="8" t="s">
        <v>1293</v>
      </c>
      <c r="D91" s="8" t="str">
        <f aca="false">TRIM(SUBSTITUTE($A91,CHAR(160)," "))</f>
        <v>078 L</v>
      </c>
    </row>
    <row r="92" customFormat="false" ht="15" hidden="false" customHeight="false" outlineLevel="0" collapsed="false">
      <c r="A92" s="8" t="s">
        <v>335</v>
      </c>
      <c r="B92" s="8" t="n">
        <v>4408221</v>
      </c>
      <c r="C92" s="8" t="s">
        <v>1303</v>
      </c>
      <c r="D92" s="8" t="str">
        <f aca="false">TRIM(SUBSTITUTE($A92,CHAR(160)," "))</f>
        <v>078G L</v>
      </c>
    </row>
    <row r="93" customFormat="false" ht="15" hidden="false" customHeight="false" outlineLevel="0" collapsed="false">
      <c r="A93" s="8" t="s">
        <v>62</v>
      </c>
      <c r="B93" s="8" t="n">
        <v>4408220</v>
      </c>
      <c r="C93" s="8" t="s">
        <v>1302</v>
      </c>
      <c r="D93" s="8" t="str">
        <f aca="false">TRIM(SUBSTITUTE($A93,CHAR(160)," "))</f>
        <v>078G M</v>
      </c>
    </row>
    <row r="94" customFormat="false" ht="15" hidden="false" customHeight="false" outlineLevel="0" collapsed="false">
      <c r="A94" s="8" t="s">
        <v>685</v>
      </c>
      <c r="B94" s="8" t="n">
        <v>4408219</v>
      </c>
      <c r="C94" s="8" t="s">
        <v>1301</v>
      </c>
      <c r="D94" s="8" t="str">
        <f aca="false">TRIM(SUBSTITUTE($A94,CHAR(160)," "))</f>
        <v>078G S</v>
      </c>
    </row>
    <row r="95" customFormat="false" ht="15" hidden="false" customHeight="false" outlineLevel="0" collapsed="false">
      <c r="A95" s="8" t="s">
        <v>336</v>
      </c>
      <c r="B95" s="8" t="n">
        <v>4408222</v>
      </c>
      <c r="C95" s="8" t="s">
        <v>1304</v>
      </c>
      <c r="D95" s="8" t="str">
        <f aca="false">TRIM(SUBSTITUTE($A95,CHAR(160)," "))</f>
        <v>078G XL</v>
      </c>
    </row>
    <row r="96" customFormat="false" ht="15" hidden="false" customHeight="false" outlineLevel="0" collapsed="false">
      <c r="A96" s="8" t="s">
        <v>337</v>
      </c>
      <c r="B96" s="8" t="n">
        <v>4408223</v>
      </c>
      <c r="C96" s="8" t="s">
        <v>1305</v>
      </c>
      <c r="D96" s="8" t="str">
        <f aca="false">TRIM(SUBSTITUTE($A96,CHAR(160)," "))</f>
        <v>078G XXL</v>
      </c>
    </row>
    <row r="97" customFormat="false" ht="15" hidden="false" customHeight="false" outlineLevel="0" collapsed="false">
      <c r="A97" s="8" t="s">
        <v>61</v>
      </c>
      <c r="B97" s="8" t="n">
        <v>4408218</v>
      </c>
      <c r="C97" s="8" t="s">
        <v>1300</v>
      </c>
      <c r="D97" s="8" t="str">
        <f aca="false">TRIM(SUBSTITUTE($A97,CHAR(160)," "))</f>
        <v>078 XL</v>
      </c>
    </row>
    <row r="98" customFormat="false" ht="15" hidden="false" customHeight="false" outlineLevel="0" collapsed="false">
      <c r="A98" s="8" t="s">
        <v>456</v>
      </c>
      <c r="B98" s="8" t="n">
        <v>4408265</v>
      </c>
      <c r="C98" s="8" t="s">
        <v>1324</v>
      </c>
      <c r="D98" s="8" t="str">
        <f aca="false">TRIM(SUBSTITUTE($A98,CHAR(160)," "))</f>
        <v>078 XXL</v>
      </c>
    </row>
    <row r="99" customFormat="false" ht="15" hidden="false" customHeight="false" outlineLevel="0" collapsed="false">
      <c r="A99" s="8" t="s">
        <v>638</v>
      </c>
      <c r="B99" s="8" t="n">
        <v>4408015</v>
      </c>
      <c r="C99" s="8" t="s">
        <v>1821</v>
      </c>
      <c r="D99" s="8" t="str">
        <f aca="false">TRIM(SUBSTITUTE($A99,CHAR(160)," "))</f>
        <v>07AU L</v>
      </c>
    </row>
    <row r="100" customFormat="false" ht="15" hidden="false" customHeight="false" outlineLevel="0" collapsed="false">
      <c r="A100" s="8" t="s">
        <v>639</v>
      </c>
      <c r="B100" s="8" t="n">
        <v>4408016</v>
      </c>
      <c r="C100" s="8" t="s">
        <v>1822</v>
      </c>
      <c r="D100" s="8" t="str">
        <f aca="false">TRIM(SUBSTITUTE($A100,CHAR(160)," "))</f>
        <v>07AU M</v>
      </c>
    </row>
    <row r="101" customFormat="false" ht="15" hidden="false" customHeight="false" outlineLevel="0" collapsed="false">
      <c r="A101" s="8" t="s">
        <v>694</v>
      </c>
      <c r="B101" s="8" t="n">
        <v>4408014</v>
      </c>
      <c r="C101" s="8" t="s">
        <v>1823</v>
      </c>
      <c r="D101" s="8" t="str">
        <f aca="false">TRIM(SUBSTITUTE($A101,CHAR(160)," "))</f>
        <v>07AU S</v>
      </c>
    </row>
    <row r="102" customFormat="false" ht="15" hidden="false" customHeight="false" outlineLevel="0" collapsed="false">
      <c r="A102" s="8" t="s">
        <v>640</v>
      </c>
      <c r="B102" s="8" t="n">
        <v>4408017</v>
      </c>
      <c r="C102" s="8" t="s">
        <v>1824</v>
      </c>
      <c r="D102" s="8" t="str">
        <f aca="false">TRIM(SUBSTITUTE($A102,CHAR(160)," "))</f>
        <v>07AU XL</v>
      </c>
    </row>
    <row r="103" customFormat="false" ht="15" hidden="false" customHeight="false" outlineLevel="0" collapsed="false">
      <c r="A103" s="8" t="s">
        <v>641</v>
      </c>
      <c r="B103" s="8" t="n">
        <v>4408018</v>
      </c>
      <c r="C103" s="8" t="s">
        <v>1825</v>
      </c>
      <c r="D103" s="8" t="str">
        <f aca="false">TRIM(SUBSTITUTE($A103,CHAR(160)," "))</f>
        <v>07AU XXL</v>
      </c>
    </row>
    <row r="104" customFormat="false" ht="15" hidden="false" customHeight="false" outlineLevel="0" collapsed="false">
      <c r="A104" s="8" t="s">
        <v>68</v>
      </c>
      <c r="B104" s="8" t="n">
        <v>4408027</v>
      </c>
      <c r="C104" s="8" t="s">
        <v>1826</v>
      </c>
      <c r="D104" s="8" t="str">
        <f aca="false">TRIM(SUBSTITUTE($A104,CHAR(160)," "))</f>
        <v>10 L</v>
      </c>
    </row>
    <row r="105" customFormat="false" ht="15" hidden="false" customHeight="false" outlineLevel="0" collapsed="false">
      <c r="A105" s="8" t="s">
        <v>69</v>
      </c>
      <c r="B105" s="8" t="n">
        <v>4408028</v>
      </c>
      <c r="C105" s="8" t="s">
        <v>1827</v>
      </c>
      <c r="D105" s="8" t="str">
        <f aca="false">TRIM(SUBSTITUTE($A105,CHAR(160)," "))</f>
        <v>10 M</v>
      </c>
    </row>
    <row r="106" customFormat="false" ht="15" hidden="false" customHeight="false" outlineLevel="0" collapsed="false">
      <c r="A106" s="8" t="s">
        <v>70</v>
      </c>
      <c r="B106" s="8" t="n">
        <v>4408029</v>
      </c>
      <c r="C106" s="8" t="s">
        <v>1828</v>
      </c>
      <c r="D106" s="8" t="str">
        <f aca="false">TRIM(SUBSTITUTE($A106,CHAR(160)," "))</f>
        <v>10 XL</v>
      </c>
    </row>
    <row r="107" customFormat="false" ht="15" hidden="false" customHeight="false" outlineLevel="0" collapsed="false">
      <c r="A107" s="8" t="s">
        <v>458</v>
      </c>
      <c r="B107" s="8" t="n">
        <v>4408032</v>
      </c>
      <c r="C107" s="8" t="s">
        <v>1829</v>
      </c>
      <c r="D107" s="8" t="str">
        <f aca="false">TRIM(SUBSTITUTE($A107,CHAR(160)," "))</f>
        <v>11 L</v>
      </c>
    </row>
    <row r="108" customFormat="false" ht="15" hidden="false" customHeight="false" outlineLevel="0" collapsed="false">
      <c r="A108" s="8" t="s">
        <v>71</v>
      </c>
      <c r="B108" s="8" t="n">
        <v>4408033</v>
      </c>
      <c r="C108" s="8" t="s">
        <v>1830</v>
      </c>
      <c r="D108" s="8" t="str">
        <f aca="false">TRIM(SUBSTITUTE($A108,CHAR(160)," "))</f>
        <v>11 M</v>
      </c>
    </row>
    <row r="109" customFormat="false" ht="15" hidden="false" customHeight="false" outlineLevel="0" collapsed="false">
      <c r="A109" s="8" t="s">
        <v>695</v>
      </c>
      <c r="B109" s="8" t="n">
        <v>4408031</v>
      </c>
      <c r="C109" s="8" t="s">
        <v>1831</v>
      </c>
      <c r="D109" s="8" t="str">
        <f aca="false">TRIM(SUBSTITUTE($A109,CHAR(160)," "))</f>
        <v>11 S</v>
      </c>
    </row>
    <row r="110" customFormat="false" ht="15" hidden="false" customHeight="false" outlineLevel="0" collapsed="false">
      <c r="A110" s="8" t="s">
        <v>617</v>
      </c>
      <c r="B110" s="8" t="n">
        <v>4408034</v>
      </c>
      <c r="C110" s="8" t="s">
        <v>1832</v>
      </c>
      <c r="D110" s="8" t="str">
        <f aca="false">TRIM(SUBSTITUTE($A110,CHAR(160)," "))</f>
        <v>11 XL</v>
      </c>
    </row>
    <row r="111" customFormat="false" ht="15" hidden="false" customHeight="false" outlineLevel="0" collapsed="false">
      <c r="A111" s="8" t="s">
        <v>618</v>
      </c>
      <c r="B111" s="8" t="n">
        <v>4408035</v>
      </c>
      <c r="C111" s="8" t="s">
        <v>1833</v>
      </c>
      <c r="D111" s="8" t="str">
        <f aca="false">TRIM(SUBSTITUTE($A111,CHAR(160)," "))</f>
        <v>11 XXL</v>
      </c>
    </row>
    <row r="112" customFormat="false" ht="15" hidden="false" customHeight="false" outlineLevel="0" collapsed="false">
      <c r="A112" s="8" t="s">
        <v>72</v>
      </c>
      <c r="B112" s="8" t="n">
        <v>4408115</v>
      </c>
      <c r="C112" s="8" t="s">
        <v>1264</v>
      </c>
      <c r="D112" s="8" t="str">
        <f aca="false">TRIM(SUBSTITUTE($A112,CHAR(160)," "))</f>
        <v>11EU L</v>
      </c>
    </row>
    <row r="113" customFormat="false" ht="15" hidden="false" customHeight="false" outlineLevel="0" collapsed="false">
      <c r="A113" s="8" t="s">
        <v>73</v>
      </c>
      <c r="B113" s="8" t="n">
        <v>4408114</v>
      </c>
      <c r="C113" s="8" t="s">
        <v>1263</v>
      </c>
      <c r="D113" s="8" t="str">
        <f aca="false">TRIM(SUBSTITUTE($A113,CHAR(160)," "))</f>
        <v>11EU M</v>
      </c>
    </row>
    <row r="114" customFormat="false" ht="15" hidden="false" customHeight="false" outlineLevel="0" collapsed="false">
      <c r="A114" s="8" t="s">
        <v>341</v>
      </c>
      <c r="B114" s="8" t="n">
        <v>4408116</v>
      </c>
      <c r="C114" s="8" t="s">
        <v>1265</v>
      </c>
      <c r="D114" s="8" t="str">
        <f aca="false">TRIM(SUBSTITUTE($A114,CHAR(160)," "))</f>
        <v>11EU XL</v>
      </c>
    </row>
    <row r="115" customFormat="false" ht="15" hidden="false" customHeight="false" outlineLevel="0" collapsed="false">
      <c r="A115" s="8" t="s">
        <v>459</v>
      </c>
      <c r="B115" s="8" t="n">
        <v>4408132</v>
      </c>
      <c r="C115" s="8" t="s">
        <v>1273</v>
      </c>
      <c r="D115" s="8" t="str">
        <f aca="false">TRIM(SUBSTITUTE($A115,CHAR(160)," "))</f>
        <v>11EU XXL</v>
      </c>
    </row>
    <row r="116" customFormat="false" ht="15" hidden="false" customHeight="false" outlineLevel="0" collapsed="false">
      <c r="A116" s="8" t="s">
        <v>642</v>
      </c>
      <c r="B116" s="8" t="n">
        <v>4408147</v>
      </c>
      <c r="C116" s="8" t="s">
        <v>1279</v>
      </c>
      <c r="D116" s="8" t="str">
        <f aca="false">TRIM(SUBSTITUTE($A116,CHAR(160)," "))</f>
        <v>11PS L</v>
      </c>
    </row>
    <row r="117" customFormat="false" ht="15" hidden="false" customHeight="false" outlineLevel="0" collapsed="false">
      <c r="A117" s="8" t="s">
        <v>929</v>
      </c>
      <c r="B117" s="8" t="n">
        <v>4408145</v>
      </c>
      <c r="C117" s="8" t="s">
        <v>1763</v>
      </c>
      <c r="D117" s="8" t="str">
        <f aca="false">TRIM(SUBSTITUTE($A117,CHAR(160)," "))</f>
        <v>11PS S</v>
      </c>
    </row>
    <row r="118" customFormat="false" ht="15" hidden="false" customHeight="false" outlineLevel="0" collapsed="false">
      <c r="A118" s="8" t="s">
        <v>766</v>
      </c>
      <c r="B118" s="8" t="n">
        <v>4408148</v>
      </c>
      <c r="C118" s="8" t="s">
        <v>1280</v>
      </c>
      <c r="D118" s="8" t="str">
        <f aca="false">TRIM(SUBSTITUTE($A118,CHAR(160)," "))</f>
        <v>11PS XL</v>
      </c>
    </row>
    <row r="119" customFormat="false" ht="15" hidden="false" customHeight="false" outlineLevel="0" collapsed="false">
      <c r="A119" s="8" t="s">
        <v>342</v>
      </c>
      <c r="B119" s="8" t="n">
        <v>4408149</v>
      </c>
      <c r="C119" s="8" t="s">
        <v>1281</v>
      </c>
      <c r="D119" s="8" t="str">
        <f aca="false">TRIM(SUBSTITUTE($A119,CHAR(160)," "))</f>
        <v>11PS XXL</v>
      </c>
    </row>
    <row r="120" customFormat="false" ht="15" hidden="false" customHeight="false" outlineLevel="0" collapsed="false">
      <c r="A120" s="8" t="s">
        <v>460</v>
      </c>
      <c r="B120" s="8" t="n">
        <v>4408261</v>
      </c>
      <c r="C120" s="8" t="s">
        <v>1741</v>
      </c>
      <c r="D120" s="8" t="str">
        <f aca="false">TRIM(SUBSTITUTE($A120,CHAR(160)," "))</f>
        <v>11STO L</v>
      </c>
    </row>
    <row r="121" customFormat="false" ht="15" hidden="false" customHeight="false" outlineLevel="0" collapsed="false">
      <c r="A121" s="8" t="s">
        <v>587</v>
      </c>
      <c r="B121" s="8" t="n">
        <v>4408260</v>
      </c>
      <c r="C121" s="8" t="s">
        <v>1321</v>
      </c>
      <c r="D121" s="8" t="str">
        <f aca="false">TRIM(SUBSTITUTE($A121,CHAR(160)," "))</f>
        <v>11STO M</v>
      </c>
    </row>
    <row r="122" customFormat="false" ht="15" hidden="false" customHeight="false" outlineLevel="0" collapsed="false">
      <c r="A122" s="8" t="s">
        <v>730</v>
      </c>
      <c r="B122" s="8" t="n">
        <v>4408259</v>
      </c>
      <c r="C122" s="8" t="s">
        <v>1320</v>
      </c>
      <c r="D122" s="8" t="str">
        <f aca="false">TRIM(SUBSTITUTE($A122,CHAR(160)," "))</f>
        <v>11STO S</v>
      </c>
    </row>
    <row r="123" customFormat="false" ht="15" hidden="false" customHeight="false" outlineLevel="0" collapsed="false">
      <c r="A123" s="8" t="s">
        <v>343</v>
      </c>
      <c r="B123" s="8" t="n">
        <v>4408262</v>
      </c>
      <c r="C123" s="8" t="s">
        <v>1322</v>
      </c>
      <c r="D123" s="8" t="str">
        <f aca="false">TRIM(SUBSTITUTE($A123,CHAR(160)," "))</f>
        <v>11STO XL</v>
      </c>
    </row>
    <row r="124" customFormat="false" ht="15" hidden="false" customHeight="false" outlineLevel="0" collapsed="false">
      <c r="A124" s="8" t="s">
        <v>75</v>
      </c>
      <c r="B124" s="8" t="n">
        <v>4408263</v>
      </c>
      <c r="C124" s="8" t="s">
        <v>1742</v>
      </c>
      <c r="D124" s="8" t="str">
        <f aca="false">TRIM(SUBSTITUTE($A124,CHAR(160)," "))</f>
        <v>11STO XXL</v>
      </c>
    </row>
    <row r="125" customFormat="false" ht="15" hidden="false" customHeight="false" outlineLevel="0" collapsed="false">
      <c r="A125" s="8" t="s">
        <v>461</v>
      </c>
      <c r="B125" s="8" t="n">
        <v>4408152</v>
      </c>
      <c r="C125" s="8" t="s">
        <v>1284</v>
      </c>
      <c r="D125" s="8" t="str">
        <f aca="false">TRIM(SUBSTITUTE($A125,CHAR(160)," "))</f>
        <v>11TO L</v>
      </c>
    </row>
    <row r="126" customFormat="false" ht="15" hidden="false" customHeight="false" outlineLevel="0" collapsed="false">
      <c r="A126" s="8" t="s">
        <v>588</v>
      </c>
      <c r="B126" s="8" t="n">
        <v>4408151</v>
      </c>
      <c r="C126" s="8" t="s">
        <v>1283</v>
      </c>
      <c r="D126" s="8" t="str">
        <f aca="false">TRIM(SUBSTITUTE($A126,CHAR(160)," "))</f>
        <v>11TO M</v>
      </c>
    </row>
    <row r="127" customFormat="false" ht="15" hidden="false" customHeight="false" outlineLevel="0" collapsed="false">
      <c r="A127" s="8" t="s">
        <v>724</v>
      </c>
      <c r="B127" s="8" t="n">
        <v>4408150</v>
      </c>
      <c r="C127" s="8" t="s">
        <v>1282</v>
      </c>
      <c r="D127" s="8" t="str">
        <f aca="false">TRIM(SUBSTITUTE($A127,CHAR(160)," "))</f>
        <v>11TO S</v>
      </c>
    </row>
    <row r="128" customFormat="false" ht="15" hidden="false" customHeight="false" outlineLevel="0" collapsed="false">
      <c r="A128" s="8" t="s">
        <v>344</v>
      </c>
      <c r="B128" s="8" t="n">
        <v>4408153</v>
      </c>
      <c r="C128" s="8" t="s">
        <v>1285</v>
      </c>
      <c r="D128" s="8" t="str">
        <f aca="false">TRIM(SUBSTITUTE($A128,CHAR(160)," "))</f>
        <v>11TO XL</v>
      </c>
    </row>
    <row r="129" customFormat="false" ht="15" hidden="false" customHeight="false" outlineLevel="0" collapsed="false">
      <c r="A129" s="8" t="s">
        <v>76</v>
      </c>
      <c r="B129" s="8" t="n">
        <v>4408154</v>
      </c>
      <c r="C129" s="8" t="s">
        <v>1286</v>
      </c>
      <c r="D129" s="8" t="str">
        <f aca="false">TRIM(SUBSTITUTE($A129,CHAR(160)," "))</f>
        <v>11TO XXL</v>
      </c>
    </row>
    <row r="130" customFormat="false" ht="15" hidden="false" customHeight="false" outlineLevel="0" collapsed="false">
      <c r="A130" s="8" t="s">
        <v>620</v>
      </c>
      <c r="B130" s="8" t="n">
        <v>4408179</v>
      </c>
      <c r="C130" s="8" t="s">
        <v>1290</v>
      </c>
      <c r="D130" s="8" t="str">
        <f aca="false">TRIM(SUBSTITUTE($A130,CHAR(160)," "))</f>
        <v>13 XL</v>
      </c>
    </row>
    <row r="131" customFormat="false" ht="15" hidden="false" customHeight="false" outlineLevel="0" collapsed="false">
      <c r="A131" s="8" t="s">
        <v>346</v>
      </c>
      <c r="B131" s="8" t="n">
        <v>4408180</v>
      </c>
      <c r="C131" s="8" t="s">
        <v>1291</v>
      </c>
      <c r="D131" s="8" t="str">
        <f aca="false">TRIM(SUBSTITUTE($A131,CHAR(160)," "))</f>
        <v>13 XXL</v>
      </c>
    </row>
    <row r="132" customFormat="false" ht="15" hidden="false" customHeight="false" outlineLevel="0" collapsed="false">
      <c r="A132" s="8" t="s">
        <v>82</v>
      </c>
      <c r="B132" s="8" t="n">
        <v>4408203</v>
      </c>
      <c r="C132" s="8" t="s">
        <v>1294</v>
      </c>
      <c r="D132" s="8" t="str">
        <f aca="false">TRIM(SUBSTITUTE($A132,CHAR(160)," "))</f>
        <v>14 0</v>
      </c>
    </row>
    <row r="133" customFormat="false" ht="15" hidden="false" customHeight="false" outlineLevel="0" collapsed="false">
      <c r="A133" s="8" t="s">
        <v>85</v>
      </c>
      <c r="B133" s="8" t="n">
        <v>4408131</v>
      </c>
      <c r="C133" s="8" t="s">
        <v>1272</v>
      </c>
      <c r="D133" s="8" t="str">
        <f aca="false">TRIM(SUBSTITUTE($A133,CHAR(160)," "))</f>
        <v>15W L</v>
      </c>
    </row>
    <row r="134" customFormat="false" ht="15" hidden="false" customHeight="false" outlineLevel="0" collapsed="false">
      <c r="A134" s="8" t="s">
        <v>90</v>
      </c>
      <c r="B134" s="8" t="n">
        <v>4408230</v>
      </c>
      <c r="C134" s="8" t="s">
        <v>1310</v>
      </c>
      <c r="D134" s="8" t="str">
        <f aca="false">TRIM(SUBSTITUTE($A134,CHAR(160)," "))</f>
        <v>16-L-XL</v>
      </c>
    </row>
    <row r="135" customFormat="false" ht="15" hidden="false" customHeight="false" outlineLevel="0" collapsed="false">
      <c r="A135" s="8" t="s">
        <v>91</v>
      </c>
      <c r="B135" s="8" t="n">
        <v>4408231</v>
      </c>
      <c r="C135" s="8" t="s">
        <v>1311</v>
      </c>
      <c r="D135" s="8" t="str">
        <f aca="false">TRIM(SUBSTITUTE($A135,CHAR(160)," "))</f>
        <v>16-S-M</v>
      </c>
    </row>
    <row r="136" customFormat="false" ht="15" hidden="false" customHeight="false" outlineLevel="0" collapsed="false">
      <c r="A136" s="8" t="s">
        <v>710</v>
      </c>
      <c r="B136" s="8" t="n">
        <v>4408232</v>
      </c>
      <c r="C136" s="8" t="s">
        <v>1312</v>
      </c>
      <c r="D136" s="8" t="str">
        <f aca="false">TRIM(SUBSTITUTE($A136,CHAR(160)," "))</f>
        <v>16 XXL</v>
      </c>
    </row>
    <row r="137" customFormat="false" ht="15" hidden="false" customHeight="false" outlineLevel="0" collapsed="false">
      <c r="A137" s="8" t="s">
        <v>499</v>
      </c>
      <c r="B137" s="8" t="n">
        <v>4408274</v>
      </c>
      <c r="C137" s="8" t="s">
        <v>1328</v>
      </c>
      <c r="D137" s="8" t="str">
        <f aca="false">TRIM(SUBSTITUTE($A137,CHAR(160)," "))</f>
        <v>70N L</v>
      </c>
    </row>
    <row r="138" customFormat="false" ht="15" hidden="false" customHeight="false" outlineLevel="0" collapsed="false">
      <c r="A138" s="8" t="s">
        <v>500</v>
      </c>
      <c r="B138" s="8" t="n">
        <v>4408273</v>
      </c>
      <c r="C138" s="8" t="s">
        <v>1327</v>
      </c>
      <c r="D138" s="8" t="str">
        <f aca="false">TRIM(SUBSTITUTE($A138,CHAR(160)," "))</f>
        <v>70N M</v>
      </c>
    </row>
    <row r="139" customFormat="false" ht="15" hidden="false" customHeight="false" outlineLevel="0" collapsed="false">
      <c r="A139" s="8" t="s">
        <v>501</v>
      </c>
      <c r="B139" s="8" t="n">
        <v>4408272</v>
      </c>
      <c r="C139" s="8" t="s">
        <v>1326</v>
      </c>
      <c r="D139" s="8" t="str">
        <f aca="false">TRIM(SUBSTITUTE($A139,CHAR(160)," "))</f>
        <v>70N S</v>
      </c>
    </row>
    <row r="140" customFormat="false" ht="15" hidden="false" customHeight="false" outlineLevel="0" collapsed="false">
      <c r="A140" s="8" t="s">
        <v>502</v>
      </c>
      <c r="B140" s="8" t="n">
        <v>4408271</v>
      </c>
      <c r="C140" s="8" t="s">
        <v>1747</v>
      </c>
      <c r="D140" s="8" t="str">
        <f aca="false">TRIM(SUBSTITUTE($A140,CHAR(160)," "))</f>
        <v>70N XS</v>
      </c>
    </row>
    <row r="141" customFormat="false" ht="15" hidden="false" customHeight="false" outlineLevel="0" collapsed="false">
      <c r="A141" s="8" t="s">
        <v>267</v>
      </c>
      <c r="B141" s="8" t="n">
        <v>4408205</v>
      </c>
      <c r="C141" s="8" t="s">
        <v>1295</v>
      </c>
      <c r="D141" s="8" t="str">
        <f aca="false">TRIM(SUBSTITUTE($A141,CHAR(160)," "))</f>
        <v>AC07 0</v>
      </c>
    </row>
    <row r="142" customFormat="false" ht="15" hidden="false" customHeight="false" outlineLevel="0" collapsed="false">
      <c r="A142" s="8" t="s">
        <v>268</v>
      </c>
      <c r="B142" s="8" t="n">
        <v>4408206</v>
      </c>
      <c r="C142" s="8" t="s">
        <v>1296</v>
      </c>
      <c r="D142" s="8" t="str">
        <f aca="false">TRIM(SUBSTITUTE($A142,CHAR(160)," "))</f>
        <v>AC11 0</v>
      </c>
    </row>
    <row r="143" customFormat="false" ht="15" hidden="false" customHeight="false" outlineLevel="0" collapsed="false">
      <c r="A143" s="8" t="s">
        <v>633</v>
      </c>
      <c r="B143" s="8" t="n">
        <v>4408226</v>
      </c>
      <c r="C143" s="8" t="s">
        <v>1307</v>
      </c>
      <c r="D143" s="8" t="str">
        <f aca="false">TRIM(SUBSTITUTE($A143,CHAR(160)," "))</f>
        <v>11UG L</v>
      </c>
    </row>
    <row r="144" customFormat="false" ht="15" hidden="false" customHeight="false" outlineLevel="0" collapsed="false">
      <c r="A144" s="8" t="s">
        <v>454</v>
      </c>
      <c r="B144" s="8" t="n">
        <v>4408190</v>
      </c>
      <c r="C144" s="8" t="s">
        <v>1292</v>
      </c>
      <c r="D144" s="8" t="str">
        <f aca="false">TRIM(SUBSTITUTE($A144,CHAR(160)," "))</f>
        <v>078 M</v>
      </c>
    </row>
    <row r="145" customFormat="false" ht="15" hidden="false" customHeight="false" outlineLevel="0" collapsed="false">
      <c r="A145" s="8" t="s">
        <v>455</v>
      </c>
      <c r="B145" s="8" t="n">
        <v>4408217</v>
      </c>
      <c r="C145" s="8" t="s">
        <v>1299</v>
      </c>
      <c r="D145" s="8" t="str">
        <f aca="false">TRIM(SUBSTITUTE($A145,CHAR(160)," "))</f>
        <v>078 S</v>
      </c>
    </row>
    <row r="146" customFormat="false" ht="15" hidden="false" customHeight="false" outlineLevel="0" collapsed="false">
      <c r="A146" s="8" t="s">
        <v>529</v>
      </c>
      <c r="B146" s="8" t="n">
        <v>4408270</v>
      </c>
      <c r="C146" s="8" t="s">
        <v>1746</v>
      </c>
      <c r="D146" s="8" t="str">
        <f aca="false">TRIM(SUBSTITUTE($A146,CHAR(160)," "))</f>
        <v>ST11 0</v>
      </c>
    </row>
    <row r="147" customFormat="false" ht="15" hidden="false" customHeight="false" outlineLevel="0" collapsed="false">
      <c r="A147" s="8" t="s">
        <v>690</v>
      </c>
      <c r="B147" s="8" t="n">
        <v>4408090</v>
      </c>
      <c r="C147" s="8" t="s">
        <v>1250</v>
      </c>
      <c r="D147" s="8" t="str">
        <f aca="false">TRIM(SUBSTITUTE($A147,CHAR(160)," "))</f>
        <v>T11C L</v>
      </c>
    </row>
    <row r="148" customFormat="false" ht="15" hidden="false" customHeight="false" outlineLevel="0" collapsed="false">
      <c r="A148" s="8" t="s">
        <v>753</v>
      </c>
      <c r="B148" s="8" t="n">
        <v>4408091</v>
      </c>
      <c r="C148" s="8" t="s">
        <v>1251</v>
      </c>
      <c r="D148" s="8" t="str">
        <f aca="false">TRIM(SUBSTITUTE($A148,CHAR(160)," "))</f>
        <v>T11C M</v>
      </c>
    </row>
    <row r="149" customFormat="false" ht="15" hidden="false" customHeight="false" outlineLevel="0" collapsed="false">
      <c r="A149" s="8" t="s">
        <v>754</v>
      </c>
      <c r="B149" s="8" t="n">
        <v>4408089</v>
      </c>
      <c r="C149" s="8" t="s">
        <v>1249</v>
      </c>
      <c r="D149" s="8" t="str">
        <f aca="false">TRIM(SUBSTITUTE($A149,CHAR(160)," "))</f>
        <v>T11C S</v>
      </c>
    </row>
    <row r="150" customFormat="false" ht="15" hidden="false" customHeight="false" outlineLevel="0" collapsed="false">
      <c r="A150" s="8" t="s">
        <v>314</v>
      </c>
      <c r="B150" s="8" t="n">
        <v>4408092</v>
      </c>
      <c r="C150" s="8" t="s">
        <v>1252</v>
      </c>
      <c r="D150" s="8" t="str">
        <f aca="false">TRIM(SUBSTITUTE($A150,CHAR(160)," "))</f>
        <v>T11C XL</v>
      </c>
    </row>
    <row r="151" customFormat="false" ht="15" hidden="false" customHeight="false" outlineLevel="0" collapsed="false">
      <c r="A151" s="8" t="s">
        <v>55</v>
      </c>
      <c r="B151" s="8" t="n">
        <v>4408093</v>
      </c>
      <c r="C151" s="8" t="s">
        <v>1253</v>
      </c>
      <c r="D151" s="8" t="str">
        <f aca="false">TRIM(SUBSTITUTE($A151,CHAR(160)," "))</f>
        <v>T11C XXL</v>
      </c>
    </row>
    <row r="152" customFormat="false" ht="15" hidden="false" customHeight="false" outlineLevel="0" collapsed="false">
      <c r="A152" s="8" t="s">
        <v>239</v>
      </c>
      <c r="B152" s="8" t="n">
        <v>4409011</v>
      </c>
      <c r="C152" s="8" t="s">
        <v>1335</v>
      </c>
      <c r="D152" s="8" t="str">
        <f aca="false">TRIM(SUBSTITUTE($A152,CHAR(160)," "))</f>
        <v>804AT-B</v>
      </c>
    </row>
    <row r="153" customFormat="false" ht="15" hidden="false" customHeight="false" outlineLevel="0" collapsed="false">
      <c r="A153" s="8" t="s">
        <v>240</v>
      </c>
      <c r="B153" s="8" t="n">
        <v>4409013</v>
      </c>
      <c r="C153" s="8" t="s">
        <v>1337</v>
      </c>
      <c r="D153" s="8" t="str">
        <f aca="false">TRIM(SUBSTITUTE($A153,CHAR(160)," "))</f>
        <v>804AT-BL</v>
      </c>
    </row>
    <row r="154" customFormat="false" ht="15" hidden="false" customHeight="false" outlineLevel="0" collapsed="false">
      <c r="A154" s="8" t="s">
        <v>241</v>
      </c>
      <c r="B154" s="8" t="n">
        <v>4409012</v>
      </c>
      <c r="C154" s="8" t="s">
        <v>1336</v>
      </c>
      <c r="D154" s="8" t="str">
        <f aca="false">TRIM(SUBSTITUTE($A154,CHAR(160)," "))</f>
        <v>804AT-C</v>
      </c>
    </row>
    <row r="155" customFormat="false" ht="15" hidden="false" customHeight="false" outlineLevel="0" collapsed="false">
      <c r="A155" s="8" t="s">
        <v>413</v>
      </c>
      <c r="B155" s="8" t="n">
        <v>4409010</v>
      </c>
      <c r="C155" s="8" t="s">
        <v>1334</v>
      </c>
      <c r="D155" s="8" t="str">
        <f aca="false">TRIM(SUBSTITUTE($A155,CHAR(160)," "))</f>
        <v>804AT-W</v>
      </c>
    </row>
    <row r="156" customFormat="false" ht="15" hidden="false" customHeight="false" outlineLevel="0" collapsed="false">
      <c r="A156" s="8" t="s">
        <v>242</v>
      </c>
      <c r="B156" s="8" t="n">
        <v>4401012</v>
      </c>
      <c r="C156" s="8" t="s">
        <v>1834</v>
      </c>
      <c r="D156" s="8" t="str">
        <f aca="false">TRIM(SUBSTITUTE($A156,CHAR(160)," "))</f>
        <v>805AT-B</v>
      </c>
    </row>
    <row r="157" customFormat="false" ht="15" hidden="false" customHeight="false" outlineLevel="0" collapsed="false">
      <c r="A157" s="8" t="s">
        <v>503</v>
      </c>
      <c r="B157" s="8" t="n">
        <v>4401013</v>
      </c>
      <c r="C157" s="8" t="s">
        <v>1835</v>
      </c>
      <c r="D157" s="8" t="str">
        <f aca="false">TRIM(SUBSTITUTE($A157,CHAR(160)," "))</f>
        <v>805AT-BL</v>
      </c>
    </row>
    <row r="158" customFormat="false" ht="15" hidden="false" customHeight="false" outlineLevel="0" collapsed="false">
      <c r="A158" s="8" t="s">
        <v>243</v>
      </c>
      <c r="B158" s="8" t="n">
        <v>4401011</v>
      </c>
      <c r="C158" s="8" t="s">
        <v>1836</v>
      </c>
      <c r="D158" s="8" t="str">
        <f aca="false">TRIM(SUBSTITUTE($A158,CHAR(160)," "))</f>
        <v>805AT-C</v>
      </c>
    </row>
    <row r="159" customFormat="false" ht="15" hidden="false" customHeight="false" outlineLevel="0" collapsed="false">
      <c r="A159" s="8" t="s">
        <v>817</v>
      </c>
      <c r="B159" s="8" t="n">
        <v>4401014</v>
      </c>
      <c r="C159" s="8" t="s">
        <v>1837</v>
      </c>
      <c r="D159" s="8" t="str">
        <f aca="false">TRIM(SUBSTITUTE($A159,CHAR(160)," "))</f>
        <v>805AT-W</v>
      </c>
    </row>
    <row r="160" customFormat="false" ht="15" hidden="false" customHeight="false" outlineLevel="0" collapsed="false">
      <c r="A160" s="8" t="s">
        <v>247</v>
      </c>
      <c r="B160" s="8" t="n">
        <v>4409017</v>
      </c>
      <c r="C160" s="8" t="s">
        <v>1341</v>
      </c>
      <c r="D160" s="8" t="str">
        <f aca="false">TRIM(SUBSTITUTE($A160,CHAR(160)," "))</f>
        <v>808KT-B</v>
      </c>
    </row>
    <row r="161" customFormat="false" ht="15" hidden="false" customHeight="false" outlineLevel="0" collapsed="false">
      <c r="A161" s="8" t="s">
        <v>506</v>
      </c>
      <c r="B161" s="8" t="n">
        <v>4409015</v>
      </c>
      <c r="C161" s="8" t="s">
        <v>1339</v>
      </c>
      <c r="D161" s="8" t="str">
        <f aca="false">TRIM(SUBSTITUTE($A161,CHAR(160)," "))</f>
        <v>808KT-BL</v>
      </c>
    </row>
    <row r="162" customFormat="false" ht="15" hidden="false" customHeight="false" outlineLevel="0" collapsed="false">
      <c r="A162" s="8" t="s">
        <v>248</v>
      </c>
      <c r="B162" s="8" t="n">
        <v>4409016</v>
      </c>
      <c r="C162" s="8" t="s">
        <v>1340</v>
      </c>
      <c r="D162" s="8" t="str">
        <f aca="false">TRIM(SUBSTITUTE($A162,CHAR(160)," "))</f>
        <v>808KT-C</v>
      </c>
    </row>
    <row r="163" customFormat="false" ht="15" hidden="false" customHeight="false" outlineLevel="0" collapsed="false">
      <c r="A163" s="8" t="s">
        <v>507</v>
      </c>
      <c r="B163" s="8" t="n">
        <v>4409014</v>
      </c>
      <c r="C163" s="8" t="s">
        <v>1338</v>
      </c>
      <c r="D163" s="8" t="str">
        <f aca="false">TRIM(SUBSTITUTE($A163,CHAR(160)," "))</f>
        <v>808KT-P</v>
      </c>
    </row>
    <row r="164" customFormat="false" ht="15" hidden="false" customHeight="false" outlineLevel="0" collapsed="false">
      <c r="A164" s="8" t="s">
        <v>102</v>
      </c>
      <c r="B164" s="8" t="n">
        <v>4419013</v>
      </c>
      <c r="C164" s="8" t="s">
        <v>1678</v>
      </c>
      <c r="D164" s="8" t="str">
        <f aca="false">TRIM(SUBSTITUTE($A164,CHAR(160)," "))</f>
        <v>239B-L-XL</v>
      </c>
    </row>
    <row r="165" customFormat="false" ht="15" hidden="false" customHeight="false" outlineLevel="0" collapsed="false">
      <c r="A165" s="8" t="s">
        <v>103</v>
      </c>
      <c r="B165" s="8" t="n">
        <v>4419011</v>
      </c>
      <c r="C165" s="8" t="s">
        <v>1676</v>
      </c>
      <c r="D165" s="8" t="str">
        <f aca="false">TRIM(SUBSTITUTE($A165,CHAR(160)," "))</f>
        <v>239B-S-M</v>
      </c>
    </row>
    <row r="166" customFormat="false" ht="15" hidden="false" customHeight="false" outlineLevel="0" collapsed="false">
      <c r="A166" s="8" t="s">
        <v>104</v>
      </c>
      <c r="B166" s="8" t="n">
        <v>4419014</v>
      </c>
      <c r="C166" s="8" t="s">
        <v>1679</v>
      </c>
      <c r="D166" s="8" t="str">
        <f aca="false">TRIM(SUBSTITUTE($A166,CHAR(160)," "))</f>
        <v>239TR-L-XL</v>
      </c>
    </row>
    <row r="167" customFormat="false" ht="15" hidden="false" customHeight="false" outlineLevel="0" collapsed="false">
      <c r="A167" s="8" t="s">
        <v>283</v>
      </c>
      <c r="B167" s="8" t="n">
        <v>4414000</v>
      </c>
      <c r="C167" s="8" t="s">
        <v>1606</v>
      </c>
      <c r="D167" s="8" t="str">
        <f aca="false">TRIM(SUBSTITUTE($A167,CHAR(160)," "))</f>
        <v>FC342 0</v>
      </c>
    </row>
    <row r="168" customFormat="false" ht="15" hidden="false" customHeight="false" outlineLevel="0" collapsed="false">
      <c r="A168" s="8" t="s">
        <v>146</v>
      </c>
      <c r="B168" s="8" t="n">
        <v>4421008</v>
      </c>
      <c r="C168" s="8" t="s">
        <v>1715</v>
      </c>
      <c r="D168" s="8" t="str">
        <f aca="false">TRIM(SUBSTITUTE($A168,CHAR(160)," "))</f>
        <v>351 0</v>
      </c>
    </row>
    <row r="169" customFormat="false" ht="15" hidden="false" customHeight="false" outlineLevel="0" collapsed="false">
      <c r="A169" s="8" t="s">
        <v>145</v>
      </c>
      <c r="B169" s="8" t="n">
        <v>4421007</v>
      </c>
      <c r="C169" s="8" t="s">
        <v>1714</v>
      </c>
      <c r="D169" s="8" t="str">
        <f aca="false">TRIM(SUBSTITUTE($A169,CHAR(160)," "))</f>
        <v>350 0</v>
      </c>
    </row>
    <row r="170" customFormat="false" ht="15" hidden="false" customHeight="false" outlineLevel="0" collapsed="false">
      <c r="A170" s="8" t="s">
        <v>279</v>
      </c>
      <c r="B170" s="8" t="n">
        <v>4413149</v>
      </c>
      <c r="C170" s="8" t="s">
        <v>1459</v>
      </c>
      <c r="D170" s="8" t="str">
        <f aca="false">TRIM(SUBSTITUTE($A170,CHAR(160)," "))</f>
        <v>FC321 0</v>
      </c>
    </row>
    <row r="171" customFormat="false" ht="15" hidden="false" customHeight="false" outlineLevel="0" collapsed="false">
      <c r="A171" s="8" t="s">
        <v>514</v>
      </c>
      <c r="B171" s="8" t="n">
        <v>4422036</v>
      </c>
      <c r="C171" s="8" t="s">
        <v>1732</v>
      </c>
      <c r="D171" s="8" t="str">
        <f aca="false">TRIM(SUBSTITUTE($A171,CHAR(160)," "))</f>
        <v>FC334 0</v>
      </c>
    </row>
    <row r="172" customFormat="false" ht="15" hidden="false" customHeight="false" outlineLevel="0" collapsed="false">
      <c r="A172" s="8" t="s">
        <v>281</v>
      </c>
      <c r="B172" s="8" t="n">
        <v>4409004</v>
      </c>
      <c r="C172" s="8" t="s">
        <v>1333</v>
      </c>
      <c r="D172" s="8" t="str">
        <f aca="false">TRIM(SUBSTITUTE($A172,CHAR(160)," "))</f>
        <v>FC335 0</v>
      </c>
    </row>
    <row r="173" customFormat="false" ht="15" hidden="false" customHeight="false" outlineLevel="0" collapsed="false">
      <c r="A173" s="8" t="s">
        <v>280</v>
      </c>
      <c r="B173" s="8" t="n">
        <v>4422035</v>
      </c>
      <c r="C173" s="8" t="s">
        <v>1731</v>
      </c>
      <c r="D173" s="8" t="str">
        <f aca="false">TRIM(SUBSTITUTE($A173,CHAR(160)," "))</f>
        <v>FC333 0</v>
      </c>
    </row>
    <row r="174" customFormat="false" ht="15" hidden="false" customHeight="false" outlineLevel="0" collapsed="false">
      <c r="A174" s="8" t="s">
        <v>106</v>
      </c>
      <c r="B174" s="8" t="n">
        <v>4421006</v>
      </c>
      <c r="C174" s="8" t="s">
        <v>1713</v>
      </c>
      <c r="D174" s="8" t="str">
        <f aca="false">TRIM(SUBSTITUTE($A174,CHAR(160)," "))</f>
        <v>251 0</v>
      </c>
    </row>
    <row r="175" customFormat="false" ht="15" hidden="false" customHeight="false" outlineLevel="0" collapsed="false">
      <c r="A175" s="8" t="s">
        <v>105</v>
      </c>
      <c r="B175" s="8" t="n">
        <v>4421005</v>
      </c>
      <c r="C175" s="8" t="s">
        <v>1712</v>
      </c>
      <c r="D175" s="8" t="str">
        <f aca="false">TRIM(SUBSTITUTE($A175,CHAR(160)," "))</f>
        <v>250 0</v>
      </c>
    </row>
    <row r="176" customFormat="false" ht="15" hidden="false" customHeight="false" outlineLevel="0" collapsed="false">
      <c r="A176" s="8" t="s">
        <v>403</v>
      </c>
      <c r="B176" s="8" t="n">
        <v>4413165</v>
      </c>
      <c r="C176" s="8" t="s">
        <v>1471</v>
      </c>
      <c r="D176" s="8" t="str">
        <f aca="false">TRIM(SUBSTITUTE($A176,CHAR(160)," "))</f>
        <v>74-L-XL</v>
      </c>
    </row>
    <row r="177" customFormat="false" ht="15" hidden="false" customHeight="false" outlineLevel="0" collapsed="false">
      <c r="A177" s="8" t="s">
        <v>232</v>
      </c>
      <c r="B177" s="8" t="n">
        <v>4413130</v>
      </c>
      <c r="C177" s="8" t="s">
        <v>1444</v>
      </c>
      <c r="D177" s="8" t="str">
        <f aca="false">TRIM(SUBSTITUTE($A177,CHAR(160)," "))</f>
        <v>75 XXL</v>
      </c>
    </row>
    <row r="178" customFormat="false" ht="15" hidden="false" customHeight="false" outlineLevel="0" collapsed="false">
      <c r="A178" s="8" t="s">
        <v>52</v>
      </c>
      <c r="B178" s="8" t="n">
        <v>4413127</v>
      </c>
      <c r="C178" s="8" t="s">
        <v>1441</v>
      </c>
      <c r="D178" s="8" t="str">
        <f aca="false">TRIM(SUBSTITUTE($A178,CHAR(160)," "))</f>
        <v>75 L</v>
      </c>
    </row>
    <row r="179" customFormat="false" ht="15" hidden="false" customHeight="false" outlineLevel="0" collapsed="false">
      <c r="A179" s="8" t="s">
        <v>603</v>
      </c>
      <c r="B179" s="8" t="n">
        <v>4413128</v>
      </c>
      <c r="C179" s="8" t="s">
        <v>1442</v>
      </c>
      <c r="D179" s="8" t="str">
        <f aca="false">TRIM(SUBSTITUTE($A179,CHAR(160)," "))</f>
        <v>75 M</v>
      </c>
    </row>
    <row r="180" customFormat="false" ht="15" hidden="false" customHeight="false" outlineLevel="0" collapsed="false">
      <c r="A180" s="8" t="s">
        <v>752</v>
      </c>
      <c r="B180" s="8" t="n">
        <v>4413126</v>
      </c>
      <c r="C180" s="8" t="s">
        <v>1440</v>
      </c>
      <c r="D180" s="8" t="str">
        <f aca="false">TRIM(SUBSTITUTE($A180,CHAR(160)," "))</f>
        <v>75 S</v>
      </c>
    </row>
    <row r="181" customFormat="false" ht="15" hidden="false" customHeight="false" outlineLevel="0" collapsed="false">
      <c r="A181" s="8" t="s">
        <v>53</v>
      </c>
      <c r="B181" s="8" t="n">
        <v>4413129</v>
      </c>
      <c r="C181" s="8" t="s">
        <v>1443</v>
      </c>
      <c r="D181" s="8" t="str">
        <f aca="false">TRIM(SUBSTITUTE($A181,CHAR(160)," "))</f>
        <v>75 XL</v>
      </c>
    </row>
    <row r="182" customFormat="false" ht="15" hidden="false" customHeight="false" outlineLevel="0" collapsed="false">
      <c r="A182" s="8" t="s">
        <v>233</v>
      </c>
      <c r="B182" s="8" t="n">
        <v>4413132</v>
      </c>
      <c r="C182" s="8" t="s">
        <v>1446</v>
      </c>
      <c r="D182" s="8" t="str">
        <f aca="false">TRIM(SUBSTITUTE($A182,CHAR(160)," "))</f>
        <v>76 L</v>
      </c>
    </row>
    <row r="183" customFormat="false" ht="15" hidden="false" customHeight="false" outlineLevel="0" collapsed="false">
      <c r="A183" s="8" t="s">
        <v>662</v>
      </c>
      <c r="B183" s="8" t="n">
        <v>4413133</v>
      </c>
      <c r="C183" s="8" t="s">
        <v>1447</v>
      </c>
      <c r="D183" s="8" t="str">
        <f aca="false">TRIM(SUBSTITUTE($A183,CHAR(160)," "))</f>
        <v>76 M</v>
      </c>
    </row>
    <row r="184" customFormat="false" ht="15" hidden="false" customHeight="false" outlineLevel="0" collapsed="false">
      <c r="A184" s="8" t="s">
        <v>404</v>
      </c>
      <c r="B184" s="8" t="n">
        <v>4413131</v>
      </c>
      <c r="C184" s="8" t="s">
        <v>1445</v>
      </c>
      <c r="D184" s="8" t="str">
        <f aca="false">TRIM(SUBSTITUTE($A184,CHAR(160)," "))</f>
        <v>76 S</v>
      </c>
    </row>
    <row r="185" customFormat="false" ht="15" hidden="false" customHeight="false" outlineLevel="0" collapsed="false">
      <c r="A185" s="8" t="s">
        <v>234</v>
      </c>
      <c r="B185" s="8" t="n">
        <v>4413134</v>
      </c>
      <c r="C185" s="8" t="s">
        <v>1448</v>
      </c>
      <c r="D185" s="8" t="str">
        <f aca="false">TRIM(SUBSTITUTE($A185,CHAR(160)," "))</f>
        <v>76 XL</v>
      </c>
    </row>
    <row r="186" customFormat="false" ht="15" hidden="false" customHeight="false" outlineLevel="0" collapsed="false">
      <c r="A186" s="8" t="s">
        <v>421</v>
      </c>
      <c r="B186" s="8" t="n">
        <v>4413197</v>
      </c>
      <c r="C186" s="8" t="s">
        <v>1490</v>
      </c>
      <c r="D186" s="8" t="str">
        <f aca="false">TRIM(SUBSTITUTE($A186,CHAR(160)," "))</f>
        <v>87 L</v>
      </c>
    </row>
    <row r="187" customFormat="false" ht="15" hidden="false" customHeight="false" outlineLevel="0" collapsed="false">
      <c r="A187" s="8" t="s">
        <v>422</v>
      </c>
      <c r="B187" s="8" t="n">
        <v>4413196</v>
      </c>
      <c r="C187" s="8" t="s">
        <v>1489</v>
      </c>
      <c r="D187" s="8" t="str">
        <f aca="false">TRIM(SUBSTITUTE($A187,CHAR(160)," "))</f>
        <v>87 M</v>
      </c>
    </row>
    <row r="188" customFormat="false" ht="15" hidden="false" customHeight="false" outlineLevel="0" collapsed="false">
      <c r="A188" s="8" t="s">
        <v>578</v>
      </c>
      <c r="B188" s="8" t="n">
        <v>4413195</v>
      </c>
      <c r="C188" s="8" t="s">
        <v>1488</v>
      </c>
      <c r="D188" s="8" t="str">
        <f aca="false">TRIM(SUBSTITUTE($A188,CHAR(160)," "))</f>
        <v>87 S</v>
      </c>
    </row>
    <row r="189" customFormat="false" ht="15" hidden="false" customHeight="false" outlineLevel="0" collapsed="false">
      <c r="A189" s="8" t="s">
        <v>423</v>
      </c>
      <c r="B189" s="8" t="n">
        <v>4413198</v>
      </c>
      <c r="C189" s="8" t="s">
        <v>1491</v>
      </c>
      <c r="D189" s="8" t="str">
        <f aca="false">TRIM(SUBSTITUTE($A189,CHAR(160)," "))</f>
        <v>87 XL</v>
      </c>
    </row>
    <row r="190" customFormat="false" ht="15" hidden="false" customHeight="false" outlineLevel="0" collapsed="false">
      <c r="A190" s="8" t="s">
        <v>586</v>
      </c>
      <c r="B190" s="8" t="n">
        <v>4413204</v>
      </c>
      <c r="C190" s="8" t="s">
        <v>1492</v>
      </c>
      <c r="D190" s="8" t="str">
        <f aca="false">TRIM(SUBSTITUTE($A190,CHAR(160)," "))</f>
        <v>87 XXL</v>
      </c>
    </row>
    <row r="191" customFormat="false" ht="15" hidden="false" customHeight="false" outlineLevel="0" collapsed="false">
      <c r="A191" s="8" t="s">
        <v>276</v>
      </c>
      <c r="B191" s="8" t="n">
        <v>4413456</v>
      </c>
      <c r="C191" s="8" t="s">
        <v>1573</v>
      </c>
      <c r="D191" s="8" t="str">
        <f aca="false">TRIM(SUBSTITUTE($A191,CHAR(160)," "))</f>
        <v>AC75 XXL</v>
      </c>
    </row>
    <row r="192" customFormat="false" ht="15" hidden="false" customHeight="false" outlineLevel="0" collapsed="false">
      <c r="A192" s="8" t="s">
        <v>54</v>
      </c>
      <c r="B192" s="8" t="n">
        <v>4413453</v>
      </c>
      <c r="C192" s="8" t="s">
        <v>1571</v>
      </c>
      <c r="D192" s="8" t="str">
        <f aca="false">TRIM(SUBSTITUTE($A192,CHAR(160)," "))</f>
        <v>AC75-S-XL</v>
      </c>
    </row>
    <row r="193" customFormat="false" ht="15" hidden="false" customHeight="false" outlineLevel="0" collapsed="false">
      <c r="A193" s="8" t="s">
        <v>332</v>
      </c>
      <c r="B193" s="8" t="n">
        <v>4422006</v>
      </c>
      <c r="C193" s="8" t="s">
        <v>1720</v>
      </c>
      <c r="D193" s="8" t="str">
        <f aca="false">TRIM(SUBSTITUTE($A193,CHAR(160)," "))</f>
        <v>T78 L</v>
      </c>
    </row>
    <row r="194" customFormat="false" ht="15" hidden="false" customHeight="false" outlineLevel="0" collapsed="false">
      <c r="A194" s="8" t="s">
        <v>452</v>
      </c>
      <c r="B194" s="8" t="n">
        <v>4422005</v>
      </c>
      <c r="C194" s="8" t="s">
        <v>1719</v>
      </c>
      <c r="D194" s="8" t="str">
        <f aca="false">TRIM(SUBSTITUTE($A194,CHAR(160)," "))</f>
        <v>T78 M</v>
      </c>
    </row>
    <row r="195" customFormat="false" ht="15" hidden="false" customHeight="false" outlineLevel="0" collapsed="false">
      <c r="A195" s="8" t="s">
        <v>580</v>
      </c>
      <c r="B195" s="8" t="n">
        <v>4422004</v>
      </c>
      <c r="C195" s="8" t="s">
        <v>1718</v>
      </c>
      <c r="D195" s="8" t="str">
        <f aca="false">TRIM(SUBSTITUTE($A195,CHAR(160)," "))</f>
        <v>T78 S</v>
      </c>
    </row>
    <row r="196" customFormat="false" ht="15" hidden="false" customHeight="false" outlineLevel="0" collapsed="false">
      <c r="A196" s="8" t="s">
        <v>632</v>
      </c>
      <c r="B196" s="8" t="n">
        <v>4422007</v>
      </c>
      <c r="C196" s="8" t="s">
        <v>1721</v>
      </c>
      <c r="D196" s="8" t="str">
        <f aca="false">TRIM(SUBSTITUTE($A196,CHAR(160)," "))</f>
        <v>T78 XL</v>
      </c>
    </row>
    <row r="197" customFormat="false" ht="15" hidden="false" customHeight="false" outlineLevel="0" collapsed="false">
      <c r="A197" s="8" t="s">
        <v>612</v>
      </c>
      <c r="B197" s="8" t="n">
        <v>4422009</v>
      </c>
      <c r="C197" s="8" t="s">
        <v>1722</v>
      </c>
      <c r="D197" s="8" t="str">
        <f aca="false">TRIM(SUBSTITUTE($A197,CHAR(160)," "))</f>
        <v>T78 XXL</v>
      </c>
    </row>
    <row r="198" customFormat="false" ht="15" hidden="false" customHeight="false" outlineLevel="0" collapsed="false">
      <c r="A198" s="8" t="s">
        <v>284</v>
      </c>
      <c r="B198" s="8" t="n">
        <v>4413056</v>
      </c>
      <c r="C198" s="8" t="s">
        <v>1387</v>
      </c>
      <c r="D198" s="8" t="str">
        <f aca="false">TRIM(SUBSTITUTE($A198,CHAR(160)," "))</f>
        <v>LF360 0</v>
      </c>
    </row>
    <row r="199" customFormat="false" ht="15" hidden="false" customHeight="false" outlineLevel="0" collapsed="false">
      <c r="A199" s="8" t="s">
        <v>515</v>
      </c>
      <c r="B199" s="8" t="n">
        <v>4420022</v>
      </c>
      <c r="C199" s="8" t="s">
        <v>1694</v>
      </c>
      <c r="D199" s="8" t="str">
        <f aca="false">TRIM(SUBSTITUTE($A199,CHAR(160)," "))</f>
        <v>LF370 0</v>
      </c>
    </row>
    <row r="200" customFormat="false" ht="15" hidden="false" customHeight="false" outlineLevel="0" collapsed="false">
      <c r="A200" s="8" t="s">
        <v>861</v>
      </c>
      <c r="B200" s="8" t="n">
        <v>4420023</v>
      </c>
      <c r="C200" s="8" t="s">
        <v>1695</v>
      </c>
      <c r="D200" s="8" t="str">
        <f aca="false">TRIM(SUBSTITUTE($A200,CHAR(160)," "))</f>
        <v>LF371 0</v>
      </c>
    </row>
    <row r="201" customFormat="false" ht="15" hidden="false" customHeight="false" outlineLevel="0" collapsed="false">
      <c r="A201" s="8" t="s">
        <v>286</v>
      </c>
      <c r="B201" s="8" t="n">
        <v>4420025</v>
      </c>
      <c r="C201" s="8" t="s">
        <v>1697</v>
      </c>
      <c r="D201" s="8" t="str">
        <f aca="false">TRIM(SUBSTITUTE($A201,CHAR(160)," "))</f>
        <v>LF374 0</v>
      </c>
    </row>
    <row r="202" customFormat="false" ht="15" hidden="false" customHeight="false" outlineLevel="0" collapsed="false">
      <c r="A202" s="8" t="s">
        <v>1034</v>
      </c>
      <c r="B202" s="8" t="n">
        <v>4413276</v>
      </c>
      <c r="C202" s="8" t="s">
        <v>1499</v>
      </c>
      <c r="D202" s="8" t="str">
        <f aca="false">TRIM(SUBSTITUTE($A202,CHAR(160)," "))</f>
        <v>LF377 L</v>
      </c>
    </row>
    <row r="203" customFormat="false" ht="15" hidden="false" customHeight="false" outlineLevel="0" collapsed="false">
      <c r="A203" s="8" t="s">
        <v>1035</v>
      </c>
      <c r="B203" s="8" t="n">
        <v>4413277</v>
      </c>
      <c r="C203" s="8" t="s">
        <v>1500</v>
      </c>
      <c r="D203" s="8" t="str">
        <f aca="false">TRIM(SUBSTITUTE($A203,CHAR(160)," "))</f>
        <v>LF377 M</v>
      </c>
    </row>
    <row r="204" customFormat="false" ht="15" hidden="false" customHeight="false" outlineLevel="0" collapsed="false">
      <c r="A204" s="8" t="s">
        <v>1036</v>
      </c>
      <c r="B204" s="8" t="n">
        <v>4413278</v>
      </c>
      <c r="C204" s="8" t="s">
        <v>1501</v>
      </c>
      <c r="D204" s="8" t="str">
        <f aca="false">TRIM(SUBSTITUTE($A204,CHAR(160)," "))</f>
        <v>LF377 S</v>
      </c>
    </row>
    <row r="205" customFormat="false" ht="15" hidden="false" customHeight="false" outlineLevel="0" collapsed="false">
      <c r="A205" s="8" t="s">
        <v>805</v>
      </c>
      <c r="B205" s="8" t="n">
        <v>4413451</v>
      </c>
      <c r="C205" s="8" t="s">
        <v>1569</v>
      </c>
      <c r="D205" s="8" t="str">
        <f aca="false">TRIM(SUBSTITUTE($A205,CHAR(160)," "))</f>
        <v>LF378 L</v>
      </c>
    </row>
    <row r="206" customFormat="false" ht="15" hidden="false" customHeight="false" outlineLevel="0" collapsed="false">
      <c r="A206" s="8" t="s">
        <v>285</v>
      </c>
      <c r="B206" s="8" t="n">
        <v>4420024</v>
      </c>
      <c r="C206" s="8" t="s">
        <v>1696</v>
      </c>
      <c r="D206" s="8" t="str">
        <f aca="false">TRIM(SUBSTITUTE($A206,CHAR(160)," "))</f>
        <v>LF373 0</v>
      </c>
    </row>
    <row r="207" customFormat="false" ht="15" hidden="false" customHeight="false" outlineLevel="0" collapsed="false">
      <c r="A207" s="8" t="s">
        <v>115</v>
      </c>
      <c r="B207" s="8" t="n">
        <v>4413372</v>
      </c>
      <c r="C207" s="8" t="s">
        <v>1535</v>
      </c>
      <c r="D207" s="8" t="str">
        <f aca="false">TRIM(SUBSTITUTE($A207,CHAR(160)," "))</f>
        <v>302W 0</v>
      </c>
    </row>
    <row r="208" customFormat="false" ht="15" hidden="false" customHeight="false" outlineLevel="0" collapsed="false">
      <c r="A208" s="8" t="s">
        <v>114</v>
      </c>
      <c r="B208" s="8" t="n">
        <v>4413348</v>
      </c>
      <c r="C208" s="8" t="s">
        <v>1526</v>
      </c>
      <c r="D208" s="8" t="str">
        <f aca="false">TRIM(SUBSTITUTE($A208,CHAR(160)," "))</f>
        <v>302M 0</v>
      </c>
    </row>
    <row r="209" customFormat="false" ht="15" hidden="false" customHeight="false" outlineLevel="0" collapsed="false">
      <c r="A209" s="8" t="s">
        <v>581</v>
      </c>
      <c r="B209" s="8" t="n">
        <v>4413018</v>
      </c>
      <c r="C209" s="8" t="s">
        <v>1365</v>
      </c>
      <c r="D209" s="8" t="str">
        <f aca="false">TRIM(SUBSTITUTE($A209,CHAR(160)," "))</f>
        <v>303-37-38</v>
      </c>
    </row>
    <row r="210" customFormat="false" ht="15" hidden="false" customHeight="false" outlineLevel="0" collapsed="false">
      <c r="A210" s="8" t="s">
        <v>583</v>
      </c>
      <c r="B210" s="8" t="n">
        <v>4413020</v>
      </c>
      <c r="C210" s="8" t="s">
        <v>1367</v>
      </c>
      <c r="D210" s="8" t="str">
        <f aca="false">TRIM(SUBSTITUTE($A210,CHAR(160)," "))</f>
        <v>303-41-42</v>
      </c>
    </row>
    <row r="211" customFormat="false" ht="15" hidden="false" customHeight="false" outlineLevel="0" collapsed="false">
      <c r="A211" s="8" t="s">
        <v>585</v>
      </c>
      <c r="B211" s="8" t="n">
        <v>4413022</v>
      </c>
      <c r="C211" s="8" t="s">
        <v>1369</v>
      </c>
      <c r="D211" s="8" t="str">
        <f aca="false">TRIM(SUBSTITUTE($A211,CHAR(160)," "))</f>
        <v>303-45-46</v>
      </c>
    </row>
    <row r="212" customFormat="false" ht="15" hidden="false" customHeight="false" outlineLevel="0" collapsed="false">
      <c r="A212" s="8" t="s">
        <v>624</v>
      </c>
      <c r="B212" s="8" t="n">
        <v>4413154</v>
      </c>
      <c r="C212" s="8" t="s">
        <v>1462</v>
      </c>
      <c r="D212" s="8" t="str">
        <f aca="false">TRIM(SUBSTITUTE($A212,CHAR(160)," "))</f>
        <v>305GA-37-38</v>
      </c>
    </row>
    <row r="213" customFormat="false" ht="15" hidden="false" customHeight="false" outlineLevel="0" collapsed="false">
      <c r="A213" s="8" t="s">
        <v>116</v>
      </c>
      <c r="B213" s="8" t="n">
        <v>4413155</v>
      </c>
      <c r="C213" s="8" t="s">
        <v>1463</v>
      </c>
      <c r="D213" s="8" t="str">
        <f aca="false">TRIM(SUBSTITUTE($A213,CHAR(160)," "))</f>
        <v>305GA-39-40</v>
      </c>
    </row>
    <row r="214" customFormat="false" ht="15" hidden="false" customHeight="false" outlineLevel="0" collapsed="false">
      <c r="A214" s="8" t="s">
        <v>117</v>
      </c>
      <c r="B214" s="8" t="n">
        <v>4413156</v>
      </c>
      <c r="C214" s="8" t="s">
        <v>1464</v>
      </c>
      <c r="D214" s="8" t="str">
        <f aca="false">TRIM(SUBSTITUTE($A214,CHAR(160)," "))</f>
        <v>305GA-41-42</v>
      </c>
    </row>
    <row r="215" customFormat="false" ht="15" hidden="false" customHeight="false" outlineLevel="0" collapsed="false">
      <c r="A215" s="8" t="s">
        <v>118</v>
      </c>
      <c r="B215" s="8" t="n">
        <v>4413157</v>
      </c>
      <c r="C215" s="8" t="s">
        <v>1465</v>
      </c>
      <c r="D215" s="8" t="str">
        <f aca="false">TRIM(SUBSTITUTE($A215,CHAR(160)," "))</f>
        <v>305GA-43-44</v>
      </c>
    </row>
    <row r="216" customFormat="false" ht="15" hidden="false" customHeight="false" outlineLevel="0" collapsed="false">
      <c r="A216" s="8" t="s">
        <v>119</v>
      </c>
      <c r="B216" s="8" t="n">
        <v>4413158</v>
      </c>
      <c r="C216" s="8" t="s">
        <v>1466</v>
      </c>
      <c r="D216" s="8" t="str">
        <f aca="false">TRIM(SUBSTITUTE($A216,CHAR(160)," "))</f>
        <v>305GA-45-46</v>
      </c>
    </row>
    <row r="217" customFormat="false" ht="15" hidden="false" customHeight="false" outlineLevel="0" collapsed="false">
      <c r="A217" s="8" t="s">
        <v>479</v>
      </c>
      <c r="B217" s="8" t="n">
        <v>4413523</v>
      </c>
      <c r="C217" s="8" t="s">
        <v>1598</v>
      </c>
      <c r="D217" s="8" t="str">
        <f aca="false">TRIM(SUBSTITUTE($A217,CHAR(160)," "))</f>
        <v>379COM-35-38</v>
      </c>
    </row>
    <row r="218" customFormat="false" ht="15" hidden="false" customHeight="false" outlineLevel="0" collapsed="false">
      <c r="A218" s="8" t="s">
        <v>485</v>
      </c>
      <c r="B218" s="8" t="n">
        <v>4413527</v>
      </c>
      <c r="C218" s="8" t="s">
        <v>1601</v>
      </c>
      <c r="D218" s="8" t="str">
        <f aca="false">TRIM(SUBSTITUTE($A218,CHAR(160)," "))</f>
        <v>379WRK-35-38</v>
      </c>
    </row>
    <row r="219" customFormat="false" ht="15" hidden="false" customHeight="false" outlineLevel="0" collapsed="false">
      <c r="A219" s="8" t="s">
        <v>480</v>
      </c>
      <c r="B219" s="8" t="n">
        <v>4413524</v>
      </c>
      <c r="C219" s="8" t="s">
        <v>1599</v>
      </c>
      <c r="D219" s="8" t="str">
        <f aca="false">TRIM(SUBSTITUTE($A219,CHAR(160)," "))</f>
        <v>379COM-39-42</v>
      </c>
    </row>
    <row r="220" customFormat="false" ht="15" hidden="false" customHeight="false" outlineLevel="0" collapsed="false">
      <c r="A220" s="8" t="s">
        <v>486</v>
      </c>
      <c r="B220" s="8" t="n">
        <v>4413528</v>
      </c>
      <c r="C220" s="8" t="s">
        <v>1602</v>
      </c>
      <c r="D220" s="8" t="str">
        <f aca="false">TRIM(SUBSTITUTE($A220,CHAR(160)," "))</f>
        <v>379WRK-39-42</v>
      </c>
    </row>
    <row r="221" customFormat="false" ht="15" hidden="false" customHeight="false" outlineLevel="0" collapsed="false">
      <c r="A221" s="8" t="s">
        <v>481</v>
      </c>
      <c r="B221" s="8" t="n">
        <v>4413525</v>
      </c>
      <c r="C221" s="8" t="s">
        <v>1600</v>
      </c>
      <c r="D221" s="8" t="str">
        <f aca="false">TRIM(SUBSTITUTE($A221,CHAR(160)," "))</f>
        <v>379COM-43-46</v>
      </c>
    </row>
    <row r="222" customFormat="false" ht="15" hidden="false" customHeight="false" outlineLevel="0" collapsed="false">
      <c r="A222" s="8" t="s">
        <v>487</v>
      </c>
      <c r="B222" s="8" t="n">
        <v>4413529</v>
      </c>
      <c r="C222" s="8" t="s">
        <v>1603</v>
      </c>
      <c r="D222" s="8" t="str">
        <f aca="false">TRIM(SUBSTITUTE($A222,CHAR(160)," "))</f>
        <v>379WRK-43-46</v>
      </c>
    </row>
    <row r="223" customFormat="false" ht="15" hidden="false" customHeight="false" outlineLevel="0" collapsed="false">
      <c r="A223" s="8" t="s">
        <v>1026</v>
      </c>
      <c r="B223" s="8" t="n">
        <v>4413450</v>
      </c>
      <c r="C223" s="8" t="s">
        <v>1568</v>
      </c>
      <c r="D223" s="8" t="str">
        <f aca="false">TRIM(SUBSTITUTE($A223,CHAR(160)," "))</f>
        <v>LF378 M</v>
      </c>
    </row>
    <row r="224" customFormat="false" ht="15" hidden="false" customHeight="false" outlineLevel="0" collapsed="false">
      <c r="A224" s="8" t="s">
        <v>806</v>
      </c>
      <c r="B224" s="8" t="n">
        <v>4413449</v>
      </c>
      <c r="C224" s="8" t="s">
        <v>1567</v>
      </c>
      <c r="D224" s="8" t="str">
        <f aca="false">TRIM(SUBSTITUTE($A224,CHAR(160)," "))</f>
        <v>LF378 S</v>
      </c>
    </row>
    <row r="225" customFormat="false" ht="15" hidden="false" customHeight="false" outlineLevel="0" collapsed="false">
      <c r="A225" s="8" t="s">
        <v>482</v>
      </c>
      <c r="B225" s="8" t="n">
        <v>4413520</v>
      </c>
      <c r="C225" s="8" t="s">
        <v>1595</v>
      </c>
      <c r="D225" s="8" t="str">
        <f aca="false">TRIM(SUBSTITUTE($A225,CHAR(160)," "))</f>
        <v>379MSP-35-38</v>
      </c>
    </row>
    <row r="226" customFormat="false" ht="15" hidden="false" customHeight="false" outlineLevel="0" collapsed="false">
      <c r="A226" s="8" t="s">
        <v>484</v>
      </c>
      <c r="B226" s="8" t="n">
        <v>4413522</v>
      </c>
      <c r="C226" s="8" t="s">
        <v>1597</v>
      </c>
      <c r="D226" s="8" t="str">
        <f aca="false">TRIM(SUBSTITUTE($A226,CHAR(160)," "))</f>
        <v>379MSP-43-46</v>
      </c>
    </row>
    <row r="227" customFormat="false" ht="15" hidden="false" customHeight="false" outlineLevel="0" collapsed="false">
      <c r="A227" s="8" t="s">
        <v>483</v>
      </c>
      <c r="B227" s="8" t="n">
        <v>4413521</v>
      </c>
      <c r="C227" s="8" t="s">
        <v>1596</v>
      </c>
      <c r="D227" s="8" t="str">
        <f aca="false">TRIM(SUBSTITUTE($A227,CHAR(160)," "))</f>
        <v>379MSP-39-42</v>
      </c>
    </row>
    <row r="228" customFormat="false" ht="15" hidden="false" customHeight="false" outlineLevel="0" collapsed="false">
      <c r="A228" s="8" t="s">
        <v>709</v>
      </c>
      <c r="B228" s="8" t="n">
        <v>4413117</v>
      </c>
      <c r="C228" s="8" t="s">
        <v>1433</v>
      </c>
      <c r="D228" s="8" t="str">
        <f aca="false">TRIM(SUBSTITUTE($A228,CHAR(160)," "))</f>
        <v>50 L</v>
      </c>
    </row>
    <row r="229" customFormat="false" ht="15" hidden="false" customHeight="false" outlineLevel="0" collapsed="false">
      <c r="A229" s="8" t="s">
        <v>679</v>
      </c>
      <c r="B229" s="8" t="n">
        <v>4413118</v>
      </c>
      <c r="C229" s="8" t="s">
        <v>1434</v>
      </c>
      <c r="D229" s="8" t="str">
        <f aca="false">TRIM(SUBSTITUTE($A229,CHAR(160)," "))</f>
        <v>50 M</v>
      </c>
    </row>
    <row r="230" customFormat="false" ht="15" hidden="false" customHeight="false" outlineLevel="0" collapsed="false">
      <c r="A230" s="8" t="s">
        <v>628</v>
      </c>
      <c r="B230" s="8" t="n">
        <v>4413119</v>
      </c>
      <c r="C230" s="8" t="s">
        <v>1435</v>
      </c>
      <c r="D230" s="8" t="str">
        <f aca="false">TRIM(SUBSTITUTE($A230,CHAR(160)," "))</f>
        <v>50 XL</v>
      </c>
    </row>
    <row r="231" customFormat="false" ht="15" hidden="false" customHeight="false" outlineLevel="0" collapsed="false">
      <c r="A231" s="8" t="s">
        <v>598</v>
      </c>
      <c r="B231" s="8" t="n">
        <v>4413122</v>
      </c>
      <c r="C231" s="8" t="s">
        <v>1437</v>
      </c>
      <c r="D231" s="8" t="str">
        <f aca="false">TRIM(SUBSTITUTE($A231,CHAR(160)," "))</f>
        <v>55 L</v>
      </c>
    </row>
    <row r="232" customFormat="false" ht="15" hidden="false" customHeight="false" outlineLevel="0" collapsed="false">
      <c r="A232" s="8" t="s">
        <v>223</v>
      </c>
      <c r="B232" s="8" t="n">
        <v>4413124</v>
      </c>
      <c r="C232" s="8" t="s">
        <v>1439</v>
      </c>
      <c r="D232" s="8" t="str">
        <f aca="false">TRIM(SUBSTITUTE($A232,CHAR(160)," "))</f>
        <v>55 XL</v>
      </c>
    </row>
    <row r="233" customFormat="false" ht="15" hidden="false" customHeight="false" outlineLevel="0" collapsed="false">
      <c r="A233" s="8" t="s">
        <v>394</v>
      </c>
      <c r="B233" s="8" t="n">
        <v>4408071</v>
      </c>
      <c r="C233" s="8" t="s">
        <v>1234</v>
      </c>
      <c r="D233" s="8" t="str">
        <f aca="false">TRIM(SUBSTITUTE($A233,CHAR(160)," "))</f>
        <v>59D L</v>
      </c>
    </row>
    <row r="234" customFormat="false" ht="15" hidden="false" customHeight="false" outlineLevel="0" collapsed="false">
      <c r="A234" s="8" t="s">
        <v>490</v>
      </c>
      <c r="B234" s="8" t="n">
        <v>4408072</v>
      </c>
      <c r="C234" s="8" t="s">
        <v>1235</v>
      </c>
      <c r="D234" s="8" t="str">
        <f aca="false">TRIM(SUBSTITUTE($A234,CHAR(160)," "))</f>
        <v>59D M</v>
      </c>
    </row>
    <row r="235" customFormat="false" ht="15" hidden="false" customHeight="false" outlineLevel="0" collapsed="false">
      <c r="A235" s="8" t="s">
        <v>491</v>
      </c>
      <c r="B235" s="8" t="n">
        <v>4408070</v>
      </c>
      <c r="C235" s="8" t="s">
        <v>1761</v>
      </c>
      <c r="D235" s="8" t="str">
        <f aca="false">TRIM(SUBSTITUTE($A235,CHAR(160)," "))</f>
        <v>59D S</v>
      </c>
    </row>
    <row r="236" customFormat="false" ht="15" hidden="false" customHeight="false" outlineLevel="0" collapsed="false">
      <c r="A236" s="8" t="s">
        <v>718</v>
      </c>
      <c r="B236" s="8" t="n">
        <v>4408073</v>
      </c>
      <c r="C236" s="8" t="s">
        <v>1236</v>
      </c>
      <c r="D236" s="8" t="str">
        <f aca="false">TRIM(SUBSTITUTE($A236,CHAR(160)," "))</f>
        <v>59D XL</v>
      </c>
    </row>
    <row r="237" customFormat="false" ht="15" hidden="false" customHeight="false" outlineLevel="0" collapsed="false">
      <c r="A237" s="8" t="s">
        <v>224</v>
      </c>
      <c r="B237" s="8" t="n">
        <v>4408076</v>
      </c>
      <c r="C237" s="8" t="s">
        <v>1238</v>
      </c>
      <c r="D237" s="8" t="str">
        <f aca="false">TRIM(SUBSTITUTE($A237,CHAR(160)," "))</f>
        <v>59L L</v>
      </c>
    </row>
    <row r="238" customFormat="false" ht="15" hidden="false" customHeight="false" outlineLevel="0" collapsed="false">
      <c r="A238" s="8" t="s">
        <v>395</v>
      </c>
      <c r="B238" s="8" t="n">
        <v>4408077</v>
      </c>
      <c r="C238" s="8" t="s">
        <v>1239</v>
      </c>
      <c r="D238" s="8" t="str">
        <f aca="false">TRIM(SUBSTITUTE($A238,CHAR(160)," "))</f>
        <v>59L M</v>
      </c>
    </row>
    <row r="239" customFormat="false" ht="15" hidden="false" customHeight="false" outlineLevel="0" collapsed="false">
      <c r="A239" s="8" t="s">
        <v>396</v>
      </c>
      <c r="B239" s="8" t="n">
        <v>4408075</v>
      </c>
      <c r="C239" s="8" t="s">
        <v>1237</v>
      </c>
      <c r="D239" s="8" t="str">
        <f aca="false">TRIM(SUBSTITUTE($A239,CHAR(160)," "))</f>
        <v>59L S</v>
      </c>
    </row>
    <row r="240" customFormat="false" ht="15" hidden="false" customHeight="false" outlineLevel="0" collapsed="false">
      <c r="A240" s="8" t="s">
        <v>397</v>
      </c>
      <c r="B240" s="8" t="n">
        <v>4408078</v>
      </c>
      <c r="C240" s="8" t="s">
        <v>1240</v>
      </c>
      <c r="D240" s="8" t="str">
        <f aca="false">TRIM(SUBSTITUTE($A240,CHAR(160)," "))</f>
        <v>59L XL</v>
      </c>
    </row>
    <row r="241" customFormat="false" ht="15" hidden="false" customHeight="false" outlineLevel="0" collapsed="false">
      <c r="A241" s="8" t="s">
        <v>398</v>
      </c>
      <c r="B241" s="8" t="n">
        <v>4408080</v>
      </c>
      <c r="C241" s="8" t="s">
        <v>1242</v>
      </c>
      <c r="D241" s="8" t="str">
        <f aca="false">TRIM(SUBSTITUTE($A241,CHAR(160)," "))</f>
        <v>59R L</v>
      </c>
    </row>
    <row r="242" customFormat="false" ht="15" hidden="false" customHeight="false" outlineLevel="0" collapsed="false">
      <c r="A242" s="8" t="s">
        <v>226</v>
      </c>
      <c r="B242" s="8" t="n">
        <v>4408081</v>
      </c>
      <c r="C242" s="8" t="s">
        <v>1243</v>
      </c>
      <c r="D242" s="8" t="str">
        <f aca="false">TRIM(SUBSTITUTE($A242,CHAR(160)," "))</f>
        <v>59R M</v>
      </c>
    </row>
    <row r="243" customFormat="false" ht="15" hidden="false" customHeight="false" outlineLevel="0" collapsed="false">
      <c r="A243" s="8" t="s">
        <v>227</v>
      </c>
      <c r="B243" s="8" t="n">
        <v>4408079</v>
      </c>
      <c r="C243" s="8" t="s">
        <v>1241</v>
      </c>
      <c r="D243" s="8" t="str">
        <f aca="false">TRIM(SUBSTITUTE($A243,CHAR(160)," "))</f>
        <v>59R S</v>
      </c>
    </row>
    <row r="244" customFormat="false" ht="15" hidden="false" customHeight="false" outlineLevel="0" collapsed="false">
      <c r="A244" s="8" t="s">
        <v>399</v>
      </c>
      <c r="B244" s="8" t="n">
        <v>4408082</v>
      </c>
      <c r="C244" s="8" t="s">
        <v>1244</v>
      </c>
      <c r="D244" s="8" t="str">
        <f aca="false">TRIM(SUBSTITUTE($A244,CHAR(160)," "))</f>
        <v>59R XL</v>
      </c>
    </row>
    <row r="245" customFormat="false" ht="15" hidden="false" customHeight="false" outlineLevel="0" collapsed="false">
      <c r="A245" s="8" t="s">
        <v>424</v>
      </c>
      <c r="B245" s="8" t="n">
        <v>4408266</v>
      </c>
      <c r="C245" s="8" t="s">
        <v>1325</v>
      </c>
      <c r="D245" s="8" t="str">
        <f aca="false">TRIM(SUBSTITUTE($A245,CHAR(160)," "))</f>
        <v>91B 0</v>
      </c>
    </row>
    <row r="246" customFormat="false" ht="15" hidden="false" customHeight="false" outlineLevel="0" collapsed="false">
      <c r="A246" s="8" t="s">
        <v>425</v>
      </c>
      <c r="B246" s="8" t="n">
        <v>4408084</v>
      </c>
      <c r="C246" s="8" t="s">
        <v>1245</v>
      </c>
      <c r="D246" s="8" t="str">
        <f aca="false">TRIM(SUBSTITUTE($A246,CHAR(160)," "))</f>
        <v>922 L</v>
      </c>
    </row>
    <row r="247" customFormat="false" ht="15" hidden="false" customHeight="false" outlineLevel="0" collapsed="false">
      <c r="A247" s="8" t="s">
        <v>426</v>
      </c>
      <c r="B247" s="8" t="n">
        <v>4408087</v>
      </c>
      <c r="C247" s="8" t="s">
        <v>1247</v>
      </c>
      <c r="D247" s="8" t="str">
        <f aca="false">TRIM(SUBSTITUTE($A247,CHAR(160)," "))</f>
        <v>922 XL</v>
      </c>
    </row>
    <row r="248" customFormat="false" ht="15" hidden="false" customHeight="false" outlineLevel="0" collapsed="false">
      <c r="A248" s="8" t="s">
        <v>427</v>
      </c>
      <c r="B248" s="8" t="n">
        <v>4413139</v>
      </c>
      <c r="C248" s="8" t="s">
        <v>1453</v>
      </c>
      <c r="D248" s="8" t="str">
        <f aca="false">TRIM(SUBSTITUTE($A248,CHAR(160)," "))</f>
        <v>95 L</v>
      </c>
    </row>
    <row r="249" customFormat="false" ht="15" hidden="false" customHeight="false" outlineLevel="0" collapsed="false">
      <c r="A249" s="8" t="s">
        <v>260</v>
      </c>
      <c r="B249" s="8" t="n">
        <v>4413140</v>
      </c>
      <c r="C249" s="8" t="s">
        <v>1454</v>
      </c>
      <c r="D249" s="8" t="str">
        <f aca="false">TRIM(SUBSTITUTE($A249,CHAR(160)," "))</f>
        <v>95 M</v>
      </c>
    </row>
    <row r="250" customFormat="false" ht="15" hidden="false" customHeight="false" outlineLevel="0" collapsed="false">
      <c r="A250" s="8" t="s">
        <v>428</v>
      </c>
      <c r="B250" s="8" t="n">
        <v>4413141</v>
      </c>
      <c r="C250" s="8" t="s">
        <v>1455</v>
      </c>
      <c r="D250" s="8" t="str">
        <f aca="false">TRIM(SUBSTITUTE($A250,CHAR(160)," "))</f>
        <v>95 S</v>
      </c>
    </row>
    <row r="251" customFormat="false" ht="15" hidden="false" customHeight="false" outlineLevel="0" collapsed="false">
      <c r="A251" s="8" t="s">
        <v>429</v>
      </c>
      <c r="B251" s="8" t="n">
        <v>4413142</v>
      </c>
      <c r="C251" s="8" t="s">
        <v>1456</v>
      </c>
      <c r="D251" s="8" t="str">
        <f aca="false">TRIM(SUBSTITUTE($A251,CHAR(160)," "))</f>
        <v>95 XL</v>
      </c>
    </row>
    <row r="252" customFormat="false" ht="15" hidden="false" customHeight="false" outlineLevel="0" collapsed="false">
      <c r="A252" s="8" t="s">
        <v>631</v>
      </c>
      <c r="B252" s="8" t="n">
        <v>4413143</v>
      </c>
      <c r="C252" s="8" t="s">
        <v>1457</v>
      </c>
      <c r="D252" s="8" t="str">
        <f aca="false">TRIM(SUBSTITUTE($A252,CHAR(160)," "))</f>
        <v>95 XS</v>
      </c>
    </row>
    <row r="253" customFormat="false" ht="15" hidden="false" customHeight="false" outlineLevel="0" collapsed="false">
      <c r="A253" s="8" t="s">
        <v>797</v>
      </c>
      <c r="B253" s="8" t="n">
        <v>4413144</v>
      </c>
      <c r="C253" s="8" t="s">
        <v>1458</v>
      </c>
      <c r="D253" s="8" t="str">
        <f aca="false">TRIM(SUBSTITUTE($A253,CHAR(160)," "))</f>
        <v>95 XXL</v>
      </c>
    </row>
    <row r="254" customFormat="false" ht="15" hidden="false" customHeight="false" outlineLevel="0" collapsed="false">
      <c r="A254" s="8" t="s">
        <v>261</v>
      </c>
      <c r="B254" s="8" t="n">
        <v>4413500</v>
      </c>
      <c r="C254" s="8" t="s">
        <v>1586</v>
      </c>
      <c r="D254" s="8" t="str">
        <f aca="false">TRIM(SUBSTITUTE($A254,CHAR(160)," "))</f>
        <v>95B L</v>
      </c>
    </row>
    <row r="255" customFormat="false" ht="15" hidden="false" customHeight="false" outlineLevel="0" collapsed="false">
      <c r="A255" s="8" t="s">
        <v>262</v>
      </c>
      <c r="B255" s="8" t="n">
        <v>4413501</v>
      </c>
      <c r="C255" s="8" t="s">
        <v>1587</v>
      </c>
      <c r="D255" s="8" t="str">
        <f aca="false">TRIM(SUBSTITUTE($A255,CHAR(160)," "))</f>
        <v>95B M</v>
      </c>
    </row>
    <row r="256" customFormat="false" ht="15" hidden="false" customHeight="false" outlineLevel="0" collapsed="false">
      <c r="A256" s="8" t="s">
        <v>263</v>
      </c>
      <c r="B256" s="8" t="n">
        <v>4413502</v>
      </c>
      <c r="C256" s="8" t="s">
        <v>1588</v>
      </c>
      <c r="D256" s="8" t="str">
        <f aca="false">TRIM(SUBSTITUTE($A256,CHAR(160)," "))</f>
        <v>95B S</v>
      </c>
    </row>
    <row r="257" customFormat="false" ht="15" hidden="false" customHeight="false" outlineLevel="0" collapsed="false">
      <c r="A257" s="8" t="s">
        <v>264</v>
      </c>
      <c r="B257" s="8" t="n">
        <v>4413503</v>
      </c>
      <c r="C257" s="8" t="s">
        <v>1589</v>
      </c>
      <c r="D257" s="8" t="str">
        <f aca="false">TRIM(SUBSTITUTE($A257,CHAR(160)," "))</f>
        <v>95B XL</v>
      </c>
    </row>
    <row r="258" customFormat="false" ht="15" hidden="false" customHeight="false" outlineLevel="0" collapsed="false">
      <c r="A258" s="8" t="s">
        <v>840</v>
      </c>
      <c r="B258" s="8" t="n">
        <v>4413504</v>
      </c>
      <c r="C258" s="8" t="s">
        <v>1590</v>
      </c>
      <c r="D258" s="8" t="str">
        <f aca="false">TRIM(SUBSTITUTE($A258,CHAR(160)," "))</f>
        <v>95B XXL</v>
      </c>
    </row>
    <row r="259" customFormat="false" ht="15" hidden="false" customHeight="false" outlineLevel="0" collapsed="false">
      <c r="A259" s="8" t="s">
        <v>265</v>
      </c>
      <c r="B259" s="8" t="n">
        <v>4413365</v>
      </c>
      <c r="C259" s="8" t="s">
        <v>1528</v>
      </c>
      <c r="D259" s="8" t="str">
        <f aca="false">TRIM(SUBSTITUTE($A259,CHAR(160)," "))</f>
        <v>95C L</v>
      </c>
    </row>
    <row r="260" customFormat="false" ht="15" hidden="false" customHeight="false" outlineLevel="0" collapsed="false">
      <c r="A260" s="8" t="s">
        <v>266</v>
      </c>
      <c r="B260" s="8" t="n">
        <v>4413364</v>
      </c>
      <c r="C260" s="8" t="s">
        <v>1527</v>
      </c>
      <c r="D260" s="8" t="str">
        <f aca="false">TRIM(SUBSTITUTE($A260,CHAR(160)," "))</f>
        <v>95C M</v>
      </c>
    </row>
    <row r="261" customFormat="false" ht="15" hidden="false" customHeight="false" outlineLevel="0" collapsed="false">
      <c r="A261" s="8" t="s">
        <v>430</v>
      </c>
      <c r="B261" s="8" t="n">
        <v>4413366</v>
      </c>
      <c r="C261" s="8" t="s">
        <v>1529</v>
      </c>
      <c r="D261" s="8" t="str">
        <f aca="false">TRIM(SUBSTITUTE($A261,CHAR(160)," "))</f>
        <v>95C S</v>
      </c>
    </row>
    <row r="262" customFormat="false" ht="15" hidden="false" customHeight="false" outlineLevel="0" collapsed="false">
      <c r="A262" s="8" t="s">
        <v>431</v>
      </c>
      <c r="B262" s="8" t="n">
        <v>4413367</v>
      </c>
      <c r="C262" s="8" t="s">
        <v>1530</v>
      </c>
      <c r="D262" s="8" t="str">
        <f aca="false">TRIM(SUBSTITUTE($A262,CHAR(160)," "))</f>
        <v>95C XL</v>
      </c>
    </row>
    <row r="263" customFormat="false" ht="15" hidden="false" customHeight="false" outlineLevel="0" collapsed="false">
      <c r="A263" s="8" t="s">
        <v>852</v>
      </c>
      <c r="B263" s="8" t="n">
        <v>4413368</v>
      </c>
      <c r="C263" s="8" t="s">
        <v>1531</v>
      </c>
      <c r="D263" s="8" t="str">
        <f aca="false">TRIM(SUBSTITUTE($A263,CHAR(160)," "))</f>
        <v>95C XS</v>
      </c>
    </row>
    <row r="264" customFormat="false" ht="15" hidden="false" customHeight="false" outlineLevel="0" collapsed="false">
      <c r="A264" s="8" t="s">
        <v>984</v>
      </c>
      <c r="B264" s="8" t="n">
        <v>4413369</v>
      </c>
      <c r="C264" s="8" t="s">
        <v>1532</v>
      </c>
      <c r="D264" s="8" t="str">
        <f aca="false">TRIM(SUBSTITUTE($A264,CHAR(160)," "))</f>
        <v>95C XXL</v>
      </c>
    </row>
    <row r="265" customFormat="false" ht="15" hidden="false" customHeight="false" outlineLevel="0" collapsed="false">
      <c r="A265" s="8" t="s">
        <v>277</v>
      </c>
      <c r="B265" s="8" t="n">
        <v>4408208</v>
      </c>
      <c r="C265" s="8" t="s">
        <v>1298</v>
      </c>
      <c r="D265" s="8" t="str">
        <f aca="false">TRIM(SUBSTITUTE($A265,CHAR(160)," "))</f>
        <v>AC91 0</v>
      </c>
    </row>
    <row r="266" customFormat="false" ht="15" hidden="false" customHeight="false" outlineLevel="0" collapsed="false">
      <c r="A266" s="8" t="s">
        <v>278</v>
      </c>
      <c r="B266" s="8" t="n">
        <v>4413331</v>
      </c>
      <c r="C266" s="8" t="s">
        <v>1513</v>
      </c>
      <c r="D266" s="8" t="str">
        <f aca="false">TRIM(SUBSTITUTE($A266,CHAR(160)," "))</f>
        <v>AC95 0</v>
      </c>
    </row>
    <row r="267" customFormat="false" ht="15" hidden="false" customHeight="false" outlineLevel="0" collapsed="false">
      <c r="A267" s="8" t="s">
        <v>306</v>
      </c>
      <c r="B267" s="8" t="n">
        <v>4413405</v>
      </c>
      <c r="C267" s="8" t="s">
        <v>1543</v>
      </c>
      <c r="D267" s="8" t="str">
        <f aca="false">TRIM(SUBSTITUTE($A267,CHAR(160)," "))</f>
        <v>SC95 S</v>
      </c>
    </row>
    <row r="268" customFormat="false" ht="15" hidden="false" customHeight="false" outlineLevel="0" collapsed="false">
      <c r="A268" s="8" t="s">
        <v>540</v>
      </c>
      <c r="B268" s="8" t="n">
        <v>4413531</v>
      </c>
      <c r="C268" s="8" t="s">
        <v>1748</v>
      </c>
      <c r="D268" s="8" t="str">
        <f aca="false">TRIM(SUBSTITUTE($A268,CHAR(160)," "))</f>
        <v>ST91 0</v>
      </c>
    </row>
    <row r="269" customFormat="false" ht="15" hidden="false" customHeight="false" outlineLevel="0" collapsed="false">
      <c r="A269" s="8" t="s">
        <v>1838</v>
      </c>
      <c r="B269" s="8" t="n">
        <v>4420018</v>
      </c>
      <c r="C269" s="8" t="s">
        <v>1693</v>
      </c>
      <c r="D269" s="8" t="str">
        <f aca="false">TRIM(SUBSTITUTE($A269,CHAR(160)," "))</f>
        <v>(missing in TRANS source - cell was blank/error)</v>
      </c>
    </row>
    <row r="270" customFormat="false" ht="15" hidden="false" customHeight="false" outlineLevel="0" collapsed="false">
      <c r="A270" s="8" t="s">
        <v>546</v>
      </c>
      <c r="B270" s="8" t="n">
        <v>4413210</v>
      </c>
      <c r="C270" s="8" t="s">
        <v>1493</v>
      </c>
      <c r="D270" s="8" t="str">
        <f aca="false">TRIM(SUBSTITUTE($A270,CHAR(160)," "))</f>
        <v>T95 S</v>
      </c>
    </row>
    <row r="271" customFormat="false" ht="15" hidden="false" customHeight="false" outlineLevel="0" collapsed="false">
      <c r="A271" s="8" t="s">
        <v>252</v>
      </c>
      <c r="B271" s="8" t="n">
        <v>4413135</v>
      </c>
      <c r="C271" s="8" t="s">
        <v>1449</v>
      </c>
      <c r="D271" s="8" t="str">
        <f aca="false">TRIM(SUBSTITUTE($A271,CHAR(160)," "))</f>
        <v>85 L</v>
      </c>
    </row>
    <row r="272" customFormat="false" ht="15" hidden="false" customHeight="false" outlineLevel="0" collapsed="false">
      <c r="A272" s="8" t="s">
        <v>253</v>
      </c>
      <c r="B272" s="8" t="n">
        <v>4413136</v>
      </c>
      <c r="C272" s="8" t="s">
        <v>1450</v>
      </c>
      <c r="D272" s="8" t="str">
        <f aca="false">TRIM(SUBSTITUTE($A272,CHAR(160)," "))</f>
        <v>85 M</v>
      </c>
    </row>
    <row r="273" customFormat="false" ht="15" hidden="false" customHeight="false" outlineLevel="0" collapsed="false">
      <c r="A273" s="8" t="s">
        <v>664</v>
      </c>
      <c r="B273" s="8" t="n">
        <v>4413137</v>
      </c>
      <c r="C273" s="8" t="s">
        <v>1451</v>
      </c>
      <c r="D273" s="8" t="str">
        <f aca="false">TRIM(SUBSTITUTE($A273,CHAR(160)," "))</f>
        <v>85 S</v>
      </c>
    </row>
    <row r="274" customFormat="false" ht="15" hidden="false" customHeight="false" outlineLevel="0" collapsed="false">
      <c r="A274" s="8" t="s">
        <v>254</v>
      </c>
      <c r="B274" s="8" t="n">
        <v>4413138</v>
      </c>
      <c r="C274" s="8" t="s">
        <v>1452</v>
      </c>
      <c r="D274" s="8" t="str">
        <f aca="false">TRIM(SUBSTITUTE($A274,CHAR(160)," "))</f>
        <v>85 XL</v>
      </c>
    </row>
    <row r="275" customFormat="false" ht="15" hidden="false" customHeight="false" outlineLevel="0" collapsed="false">
      <c r="A275" s="8" t="s">
        <v>418</v>
      </c>
      <c r="B275" s="8" t="n">
        <v>4413176</v>
      </c>
      <c r="C275" s="8" t="s">
        <v>1480</v>
      </c>
      <c r="D275" s="8" t="str">
        <f aca="false">TRIM(SUBSTITUTE($A275,CHAR(160)," "))</f>
        <v>85+ L</v>
      </c>
    </row>
    <row r="276" customFormat="false" ht="15" hidden="false" customHeight="false" outlineLevel="0" collapsed="false">
      <c r="A276" s="8" t="s">
        <v>419</v>
      </c>
      <c r="B276" s="8" t="n">
        <v>4413175</v>
      </c>
      <c r="C276" s="8" t="s">
        <v>1479</v>
      </c>
      <c r="D276" s="8" t="str">
        <f aca="false">TRIM(SUBSTITUTE($A276,CHAR(160)," "))</f>
        <v>85+ M</v>
      </c>
    </row>
    <row r="277" customFormat="false" ht="15" hidden="false" customHeight="false" outlineLevel="0" collapsed="false">
      <c r="A277" s="8" t="s">
        <v>420</v>
      </c>
      <c r="B277" s="8" t="n">
        <v>4413177</v>
      </c>
      <c r="C277" s="8" t="s">
        <v>1481</v>
      </c>
      <c r="D277" s="8" t="str">
        <f aca="false">TRIM(SUBSTITUTE($A277,CHAR(160)," "))</f>
        <v>85+ XL</v>
      </c>
    </row>
    <row r="278" customFormat="false" ht="15" hidden="false" customHeight="false" outlineLevel="0" collapsed="false">
      <c r="A278" s="8" t="s">
        <v>255</v>
      </c>
      <c r="B278" s="8" t="n">
        <v>4413516</v>
      </c>
      <c r="C278" s="8" t="s">
        <v>1591</v>
      </c>
      <c r="D278" s="8" t="str">
        <f aca="false">TRIM(SUBSTITUTE($A278,CHAR(160)," "))</f>
        <v>85B L</v>
      </c>
    </row>
    <row r="279" customFormat="false" ht="15" hidden="false" customHeight="false" outlineLevel="0" collapsed="false">
      <c r="A279" s="8" t="s">
        <v>256</v>
      </c>
      <c r="B279" s="8" t="n">
        <v>4413517</v>
      </c>
      <c r="C279" s="8" t="s">
        <v>1592</v>
      </c>
      <c r="D279" s="8" t="str">
        <f aca="false">TRIM(SUBSTITUTE($A279,CHAR(160)," "))</f>
        <v>85B M</v>
      </c>
    </row>
    <row r="280" customFormat="false" ht="15" hidden="false" customHeight="false" outlineLevel="0" collapsed="false">
      <c r="A280" s="8" t="s">
        <v>257</v>
      </c>
      <c r="B280" s="8" t="n">
        <v>4413519</v>
      </c>
      <c r="C280" s="8" t="s">
        <v>1594</v>
      </c>
      <c r="D280" s="8" t="str">
        <f aca="false">TRIM(SUBSTITUTE($A280,CHAR(160)," "))</f>
        <v>85B S</v>
      </c>
    </row>
    <row r="281" customFormat="false" ht="15" hidden="false" customHeight="false" outlineLevel="0" collapsed="false">
      <c r="A281" s="8" t="s">
        <v>258</v>
      </c>
      <c r="B281" s="8" t="n">
        <v>4413518</v>
      </c>
      <c r="C281" s="8" t="s">
        <v>1593</v>
      </c>
      <c r="D281" s="8" t="str">
        <f aca="false">TRIM(SUBSTITUTE($A281,CHAR(160)," "))</f>
        <v>85B XL</v>
      </c>
    </row>
    <row r="282" customFormat="false" ht="15" hidden="false" customHeight="false" outlineLevel="0" collapsed="false">
      <c r="A282" s="8" t="s">
        <v>259</v>
      </c>
      <c r="B282" s="8" t="n">
        <v>4413455</v>
      </c>
      <c r="C282" s="8" t="s">
        <v>1572</v>
      </c>
      <c r="D282" s="8" t="str">
        <f aca="false">TRIM(SUBSTITUTE($A282,CHAR(160)," "))</f>
        <v>85K 0</v>
      </c>
    </row>
    <row r="283" customFormat="false" ht="15" hidden="false" customHeight="false" outlineLevel="0" collapsed="false">
      <c r="A283" s="8" t="s">
        <v>120</v>
      </c>
      <c r="B283" s="8" t="n">
        <v>4416000</v>
      </c>
      <c r="C283" s="8" t="s">
        <v>1657</v>
      </c>
      <c r="D283" s="8" t="str">
        <f aca="false">TRIM(SUBSTITUTE($A283,CHAR(160)," "))</f>
        <v>307 L</v>
      </c>
    </row>
    <row r="284" customFormat="false" ht="15" hidden="false" customHeight="false" outlineLevel="0" collapsed="false">
      <c r="A284" s="8" t="s">
        <v>121</v>
      </c>
      <c r="B284" s="8" t="n">
        <v>4416001</v>
      </c>
      <c r="C284" s="8" t="s">
        <v>1658</v>
      </c>
      <c r="D284" s="8" t="str">
        <f aca="false">TRIM(SUBSTITUTE($A284,CHAR(160)," "))</f>
        <v>307 M</v>
      </c>
    </row>
    <row r="285" customFormat="false" ht="15" hidden="false" customHeight="false" outlineLevel="0" collapsed="false">
      <c r="A285" s="8" t="s">
        <v>647</v>
      </c>
      <c r="B285" s="8" t="n">
        <v>4416002</v>
      </c>
      <c r="C285" s="8" t="s">
        <v>1659</v>
      </c>
      <c r="D285" s="8" t="str">
        <f aca="false">TRIM(SUBSTITUTE($A285,CHAR(160)," "))</f>
        <v>307 S</v>
      </c>
    </row>
    <row r="286" customFormat="false" ht="15" hidden="false" customHeight="false" outlineLevel="0" collapsed="false">
      <c r="A286" s="8" t="s">
        <v>122</v>
      </c>
      <c r="B286" s="8" t="n">
        <v>4411016</v>
      </c>
      <c r="C286" s="8" t="s">
        <v>1345</v>
      </c>
      <c r="D286" s="8" t="str">
        <f aca="false">TRIM(SUBSTITUTE($A286,CHAR(160)," "))</f>
        <v>307 XL</v>
      </c>
    </row>
    <row r="287" customFormat="false" ht="15" hidden="false" customHeight="false" outlineLevel="0" collapsed="false">
      <c r="A287" s="8" t="s">
        <v>563</v>
      </c>
      <c r="B287" s="8" t="n">
        <v>4416003</v>
      </c>
      <c r="C287" s="8" t="s">
        <v>1660</v>
      </c>
      <c r="D287" s="8" t="str">
        <f aca="false">TRIM(SUBSTITUTE($A287,CHAR(160)," "))</f>
        <v>308 L</v>
      </c>
    </row>
    <row r="288" customFormat="false" ht="15" hidden="false" customHeight="false" outlineLevel="0" collapsed="false">
      <c r="A288" s="8" t="s">
        <v>123</v>
      </c>
      <c r="B288" s="8" t="n">
        <v>4416005</v>
      </c>
      <c r="C288" s="8" t="s">
        <v>1661</v>
      </c>
      <c r="D288" s="8" t="str">
        <f aca="false">TRIM(SUBSTITUTE($A288,CHAR(160)," "))</f>
        <v>308 M</v>
      </c>
    </row>
    <row r="289" customFormat="false" ht="15" hidden="false" customHeight="false" outlineLevel="0" collapsed="false">
      <c r="A289" s="8" t="s">
        <v>124</v>
      </c>
      <c r="B289" s="8" t="n">
        <v>4413033</v>
      </c>
      <c r="C289" s="8" t="s">
        <v>1370</v>
      </c>
      <c r="D289" s="8" t="str">
        <f aca="false">TRIM(SUBSTITUTE($A289,CHAR(160)," "))</f>
        <v>311 0</v>
      </c>
    </row>
    <row r="290" customFormat="false" ht="15" hidden="false" customHeight="false" outlineLevel="0" collapsed="false">
      <c r="A290" s="8" t="s">
        <v>125</v>
      </c>
      <c r="B290" s="8" t="n">
        <v>4413034</v>
      </c>
      <c r="C290" s="8" t="s">
        <v>1839</v>
      </c>
      <c r="D290" s="8" t="str">
        <f aca="false">TRIM(SUBSTITUTE($A290,CHAR(160)," "))</f>
        <v>312 0</v>
      </c>
    </row>
    <row r="291" customFormat="false" ht="15" hidden="false" customHeight="false" outlineLevel="0" collapsed="false">
      <c r="A291" s="8" t="s">
        <v>126</v>
      </c>
      <c r="B291" s="8" t="n">
        <v>4415297</v>
      </c>
      <c r="C291" s="8" t="s">
        <v>1654</v>
      </c>
      <c r="D291" s="8" t="str">
        <f aca="false">TRIM(SUBSTITUTE($A291,CHAR(160)," "))</f>
        <v>313 0</v>
      </c>
    </row>
    <row r="292" customFormat="false" ht="15" hidden="false" customHeight="false" outlineLevel="0" collapsed="false">
      <c r="A292" s="8" t="s">
        <v>128</v>
      </c>
      <c r="B292" s="8" t="n">
        <v>4402007</v>
      </c>
      <c r="C292" s="8" t="s">
        <v>1162</v>
      </c>
      <c r="D292" s="8" t="str">
        <f aca="false">TRIM(SUBSTITUTE($A292,CHAR(160)," "))</f>
        <v>320 0</v>
      </c>
    </row>
    <row r="293" customFormat="false" ht="15" hidden="false" customHeight="false" outlineLevel="0" collapsed="false">
      <c r="A293" s="8" t="s">
        <v>147</v>
      </c>
      <c r="B293" s="8" t="n">
        <v>4421001</v>
      </c>
      <c r="C293" s="8" t="s">
        <v>1710</v>
      </c>
      <c r="D293" s="8" t="str">
        <f aca="false">TRIM(SUBSTITUTE($A293,CHAR(160)," "))</f>
        <v>3611 0</v>
      </c>
    </row>
    <row r="294" customFormat="false" ht="15" hidden="false" customHeight="false" outlineLevel="0" collapsed="false">
      <c r="A294" s="8" t="s">
        <v>149</v>
      </c>
      <c r="B294" s="8" t="n">
        <v>4413058</v>
      </c>
      <c r="C294" s="8" t="s">
        <v>1388</v>
      </c>
      <c r="D294" s="8" t="str">
        <f aca="false">TRIM(SUBSTITUTE($A294,CHAR(160)," "))</f>
        <v>3622S 0</v>
      </c>
    </row>
    <row r="295" customFormat="false" ht="15" hidden="false" customHeight="false" outlineLevel="0" collapsed="false">
      <c r="A295" s="8" t="s">
        <v>150</v>
      </c>
      <c r="B295" s="8" t="n">
        <v>4411001</v>
      </c>
      <c r="C295" s="8" t="s">
        <v>1343</v>
      </c>
      <c r="D295" s="8" t="str">
        <f aca="false">TRIM(SUBSTITUTE($A295,CHAR(160)," "))</f>
        <v>3623 0</v>
      </c>
    </row>
    <row r="296" customFormat="false" ht="15" hidden="false" customHeight="false" outlineLevel="0" collapsed="false">
      <c r="A296" s="8" t="s">
        <v>1840</v>
      </c>
      <c r="B296" s="8" t="n">
        <v>4402000</v>
      </c>
      <c r="C296" s="8" t="s">
        <v>1161</v>
      </c>
      <c r="D296" s="8" t="str">
        <f aca="false">TRIM(SUBSTITUTE($A296,CHAR(160)," "))</f>
        <v>363-L-R</v>
      </c>
    </row>
    <row r="297" customFormat="false" ht="15" hidden="false" customHeight="false" outlineLevel="0" collapsed="false">
      <c r="A297" s="8" t="s">
        <v>153</v>
      </c>
      <c r="B297" s="8" t="n">
        <v>4413060</v>
      </c>
      <c r="C297" s="8" t="s">
        <v>1390</v>
      </c>
      <c r="D297" s="8" t="str">
        <f aca="false">TRIM(SUBSTITUTE($A297,CHAR(160)," "))</f>
        <v>364 XL</v>
      </c>
    </row>
    <row r="298" customFormat="false" ht="15" hidden="false" customHeight="false" outlineLevel="0" collapsed="false">
      <c r="A298" s="8" t="s">
        <v>154</v>
      </c>
      <c r="B298" s="8" t="n">
        <v>4413061</v>
      </c>
      <c r="C298" s="8" t="s">
        <v>1391</v>
      </c>
      <c r="D298" s="8" t="str">
        <f aca="false">TRIM(SUBSTITUTE($A298,CHAR(160)," "))</f>
        <v>3641 0</v>
      </c>
    </row>
    <row r="299" customFormat="false" ht="15" hidden="false" customHeight="false" outlineLevel="0" collapsed="false">
      <c r="A299" s="8" t="s">
        <v>152</v>
      </c>
      <c r="B299" s="8" t="n">
        <v>4413059</v>
      </c>
      <c r="C299" s="8" t="s">
        <v>1389</v>
      </c>
      <c r="D299" s="8" t="str">
        <f aca="false">TRIM(SUBSTITUTE($A299,CHAR(160)," "))</f>
        <v>364-S-L</v>
      </c>
    </row>
    <row r="300" customFormat="false" ht="15" hidden="false" customHeight="false" outlineLevel="0" collapsed="false">
      <c r="A300" s="8" t="s">
        <v>478</v>
      </c>
      <c r="B300" s="8" t="n">
        <v>4409001</v>
      </c>
      <c r="C300" s="8" t="s">
        <v>1331</v>
      </c>
      <c r="D300" s="8" t="str">
        <f aca="false">TRIM(SUBSTITUTE($A300,CHAR(160)," "))</f>
        <v>365-XL</v>
      </c>
    </row>
    <row r="301" customFormat="false" ht="15" hidden="false" customHeight="false" outlineLevel="0" collapsed="false">
      <c r="A301" s="8" t="s">
        <v>155</v>
      </c>
      <c r="B301" s="8" t="n">
        <v>4409000</v>
      </c>
      <c r="C301" s="8" t="s">
        <v>1330</v>
      </c>
      <c r="D301" s="8" t="str">
        <f aca="false">TRIM(SUBSTITUTE($A301,CHAR(160)," "))</f>
        <v>365-S-L</v>
      </c>
    </row>
    <row r="302" customFormat="false" ht="15" hidden="false" customHeight="false" outlineLevel="0" collapsed="false">
      <c r="A302" s="8" t="s">
        <v>156</v>
      </c>
      <c r="B302" s="8" t="n">
        <v>4421000</v>
      </c>
      <c r="C302" s="8" t="s">
        <v>1709</v>
      </c>
      <c r="D302" s="8" t="str">
        <f aca="false">TRIM(SUBSTITUTE($A302,CHAR(160)," "))</f>
        <v>3655 0</v>
      </c>
    </row>
    <row r="303" customFormat="false" ht="15" hidden="false" customHeight="false" outlineLevel="0" collapsed="false">
      <c r="A303" s="8" t="s">
        <v>157</v>
      </c>
      <c r="B303" s="8" t="n">
        <v>4413340</v>
      </c>
      <c r="C303" s="8" t="s">
        <v>1520</v>
      </c>
      <c r="D303" s="8" t="str">
        <f aca="false">TRIM(SUBSTITUTE($A303,CHAR(160)," "))</f>
        <v>3666 0</v>
      </c>
    </row>
    <row r="304" customFormat="false" ht="15" hidden="false" customHeight="false" outlineLevel="0" collapsed="false">
      <c r="A304" s="8" t="s">
        <v>159</v>
      </c>
      <c r="B304" s="8" t="n">
        <v>4413063</v>
      </c>
      <c r="C304" s="8" t="s">
        <v>1392</v>
      </c>
      <c r="D304" s="8" t="str">
        <f aca="false">TRIM(SUBSTITUTE($A304,CHAR(160)," "))</f>
        <v>366S 0</v>
      </c>
    </row>
    <row r="305" customFormat="false" ht="15" hidden="false" customHeight="false" outlineLevel="0" collapsed="false">
      <c r="A305" s="8" t="s">
        <v>160</v>
      </c>
      <c r="B305" s="8" t="n">
        <v>4421003</v>
      </c>
      <c r="C305" s="8" t="s">
        <v>1711</v>
      </c>
      <c r="D305" s="8" t="str">
        <f aca="false">TRIM(SUBSTITUTE($A305,CHAR(160)," "))</f>
        <v>3672 0</v>
      </c>
    </row>
    <row r="306" customFormat="false" ht="15" hidden="false" customHeight="false" outlineLevel="0" collapsed="false">
      <c r="A306" s="8" t="s">
        <v>161</v>
      </c>
      <c r="B306" s="8" t="n">
        <v>4413370</v>
      </c>
      <c r="C306" s="8" t="s">
        <v>1533</v>
      </c>
      <c r="D306" s="8" t="str">
        <f aca="false">TRIM(SUBSTITUTE($A306,CHAR(160)," "))</f>
        <v>3674 0</v>
      </c>
    </row>
    <row r="307" customFormat="false" ht="15" hidden="false" customHeight="false" outlineLevel="0" collapsed="false">
      <c r="A307" s="8" t="s">
        <v>162</v>
      </c>
      <c r="B307" s="8" t="n">
        <v>4413371</v>
      </c>
      <c r="C307" s="8" t="s">
        <v>1534</v>
      </c>
      <c r="D307" s="8" t="str">
        <f aca="false">TRIM(SUBSTITUTE($A307,CHAR(160)," "))</f>
        <v>3675 0</v>
      </c>
    </row>
    <row r="308" customFormat="false" ht="15" hidden="false" customHeight="false" outlineLevel="0" collapsed="false">
      <c r="A308" s="8" t="s">
        <v>746</v>
      </c>
      <c r="B308" s="8" t="n">
        <v>4413066</v>
      </c>
      <c r="C308" s="8" t="s">
        <v>1393</v>
      </c>
      <c r="D308" s="8" t="str">
        <f aca="false">TRIM(SUBSTITUTE($A308,CHAR(160)," "))</f>
        <v>3677S 0</v>
      </c>
    </row>
    <row r="309" customFormat="false" ht="15" hidden="false" customHeight="false" outlineLevel="0" collapsed="false">
      <c r="A309" s="8" t="s">
        <v>164</v>
      </c>
      <c r="B309" s="8" t="n">
        <v>4401001</v>
      </c>
      <c r="C309" s="8" t="s">
        <v>1155</v>
      </c>
      <c r="D309" s="8" t="str">
        <f aca="false">TRIM(SUBSTITUTE($A309,CHAR(160)," "))</f>
        <v>369-XL</v>
      </c>
    </row>
    <row r="310" customFormat="false" ht="15" hidden="false" customHeight="false" outlineLevel="0" collapsed="false">
      <c r="A310" s="8" t="s">
        <v>163</v>
      </c>
      <c r="B310" s="8" t="n">
        <v>4401000</v>
      </c>
      <c r="C310" s="8" t="s">
        <v>1154</v>
      </c>
      <c r="D310" s="8" t="str">
        <f aca="false">TRIM(SUBSTITUTE($A310,CHAR(160)," "))</f>
        <v>369-S-L</v>
      </c>
    </row>
    <row r="311" customFormat="false" ht="15" hidden="false" customHeight="false" outlineLevel="0" collapsed="false">
      <c r="A311" s="8" t="s">
        <v>175</v>
      </c>
      <c r="B311" s="8" t="n">
        <v>4408069</v>
      </c>
      <c r="C311" s="8" t="s">
        <v>1841</v>
      </c>
      <c r="D311" s="8" t="str">
        <f aca="false">TRIM(SUBSTITUTE($A311,CHAR(160)," "))</f>
        <v>38 0</v>
      </c>
    </row>
    <row r="312" customFormat="false" ht="15" hidden="false" customHeight="false" outlineLevel="0" collapsed="false">
      <c r="A312" s="8" t="s">
        <v>176</v>
      </c>
      <c r="B312" s="8" t="n">
        <v>4413452</v>
      </c>
      <c r="C312" s="8" t="s">
        <v>1570</v>
      </c>
      <c r="D312" s="8" t="str">
        <f aca="false">TRIM(SUBSTITUTE($A312,CHAR(160)," "))</f>
        <v>386 0</v>
      </c>
    </row>
    <row r="313" customFormat="false" ht="15" hidden="false" customHeight="false" outlineLevel="0" collapsed="false">
      <c r="A313" s="8" t="s">
        <v>249</v>
      </c>
      <c r="B313" s="8" t="n">
        <v>4411015</v>
      </c>
      <c r="C313" s="8" t="s">
        <v>1344</v>
      </c>
      <c r="D313" s="8" t="str">
        <f aca="false">TRIM(SUBSTITUTE($A313,CHAR(160)," "))</f>
        <v>820 0</v>
      </c>
    </row>
    <row r="314" customFormat="false" ht="15" hidden="false" customHeight="false" outlineLevel="0" collapsed="false">
      <c r="A314" s="8" t="s">
        <v>158</v>
      </c>
      <c r="B314" s="8" t="n">
        <v>4413307</v>
      </c>
      <c r="C314" s="8" t="s">
        <v>1507</v>
      </c>
      <c r="D314" s="8" t="str">
        <f aca="false">TRIM(SUBSTITUTE($A314,CHAR(160)," "))</f>
        <v>3667 0</v>
      </c>
    </row>
    <row r="315" customFormat="false" ht="15" hidden="false" customHeight="false" outlineLevel="0" collapsed="false">
      <c r="A315" s="8" t="s">
        <v>148</v>
      </c>
      <c r="B315" s="8" t="n">
        <v>4411000</v>
      </c>
      <c r="C315" s="8" t="s">
        <v>1342</v>
      </c>
      <c r="D315" s="8" t="str">
        <f aca="false">TRIM(SUBSTITUTE($A315,CHAR(160)," "))</f>
        <v>362-L-R</v>
      </c>
    </row>
    <row r="316" customFormat="false" ht="15" hidden="false" customHeight="false" outlineLevel="0" collapsed="false">
      <c r="A316" s="8" t="s">
        <v>290</v>
      </c>
      <c r="B316" s="8" t="n">
        <v>4401002</v>
      </c>
      <c r="C316" s="8" t="s">
        <v>1156</v>
      </c>
      <c r="D316" s="8" t="str">
        <f aca="false">TRIM(SUBSTITUTE($A316,CHAR(160)," "))</f>
        <v>PD344 0</v>
      </c>
    </row>
    <row r="317" customFormat="false" ht="15" hidden="false" customHeight="false" outlineLevel="0" collapsed="false">
      <c r="A317" s="8" t="s">
        <v>287</v>
      </c>
      <c r="B317" s="8" t="n">
        <v>4419006</v>
      </c>
      <c r="C317" s="8" t="s">
        <v>1674</v>
      </c>
      <c r="D317" s="8" t="str">
        <f aca="false">TRIM(SUBSTITUTE($A317,CHAR(160)," "))</f>
        <v>PD340 0</v>
      </c>
    </row>
    <row r="318" customFormat="false" ht="15" hidden="false" customHeight="false" outlineLevel="0" collapsed="false">
      <c r="A318" s="8" t="s">
        <v>288</v>
      </c>
      <c r="B318" s="8" t="n">
        <v>4413150</v>
      </c>
      <c r="C318" s="8" t="s">
        <v>1460</v>
      </c>
      <c r="D318" s="8" t="str">
        <f aca="false">TRIM(SUBSTITUTE($A318,CHAR(160)," "))</f>
        <v>PD341 0</v>
      </c>
    </row>
    <row r="319" customFormat="false" ht="15" hidden="false" customHeight="false" outlineLevel="0" collapsed="false">
      <c r="A319" s="8" t="s">
        <v>289</v>
      </c>
      <c r="B319" s="8" t="n">
        <v>4417000</v>
      </c>
      <c r="C319" s="8" t="s">
        <v>1663</v>
      </c>
      <c r="D319" s="8" t="str">
        <f aca="false">TRIM(SUBSTITUTE($A319,CHAR(160)," "))</f>
        <v>PD342 0</v>
      </c>
    </row>
    <row r="320" customFormat="false" ht="15" hidden="false" customHeight="false" outlineLevel="0" collapsed="false">
      <c r="A320" s="8" t="s">
        <v>291</v>
      </c>
      <c r="B320" s="8" t="n">
        <v>4415080</v>
      </c>
      <c r="C320" s="8" t="s">
        <v>1632</v>
      </c>
      <c r="D320" s="8" t="str">
        <f aca="false">TRIM(SUBSTITUTE($A320,CHAR(160)," "))</f>
        <v>PD346 0</v>
      </c>
    </row>
    <row r="321" customFormat="false" ht="15" hidden="false" customHeight="false" outlineLevel="0" collapsed="false">
      <c r="A321" s="8" t="s">
        <v>468</v>
      </c>
      <c r="B321" s="8" t="n">
        <v>4411029</v>
      </c>
      <c r="C321" s="8" t="s">
        <v>1357</v>
      </c>
      <c r="D321" s="8" t="str">
        <f aca="false">TRIM(SUBSTITUTE($A321,CHAR(160)," "))</f>
        <v>213CTSR L</v>
      </c>
    </row>
    <row r="322" customFormat="false" ht="15" hidden="false" customHeight="false" outlineLevel="0" collapsed="false">
      <c r="A322" s="8" t="s">
        <v>686</v>
      </c>
      <c r="B322" s="8" t="n">
        <v>4408046</v>
      </c>
      <c r="C322" s="8" t="s">
        <v>1220</v>
      </c>
      <c r="D322" s="8" t="str">
        <f aca="false">TRIM(SUBSTITUTE($A322,CHAR(160)," "))</f>
        <v>20 L</v>
      </c>
    </row>
    <row r="323" customFormat="false" ht="15" hidden="false" customHeight="false" outlineLevel="0" collapsed="false">
      <c r="A323" s="8" t="s">
        <v>621</v>
      </c>
      <c r="B323" s="8" t="n">
        <v>4408047</v>
      </c>
      <c r="C323" s="8" t="s">
        <v>1221</v>
      </c>
      <c r="D323" s="8" t="str">
        <f aca="false">TRIM(SUBSTITUTE($A323,CHAR(160)," "))</f>
        <v>20 M</v>
      </c>
    </row>
    <row r="324" customFormat="false" ht="15" hidden="false" customHeight="false" outlineLevel="0" collapsed="false">
      <c r="A324" s="8" t="s">
        <v>622</v>
      </c>
      <c r="B324" s="8" t="n">
        <v>4408048</v>
      </c>
      <c r="C324" s="8" t="s">
        <v>1222</v>
      </c>
      <c r="D324" s="8" t="str">
        <f aca="false">TRIM(SUBSTITUTE($A324,CHAR(160)," "))</f>
        <v>20 S</v>
      </c>
    </row>
    <row r="325" customFormat="false" ht="15" hidden="false" customHeight="false" outlineLevel="0" collapsed="false">
      <c r="A325" s="8" t="s">
        <v>562</v>
      </c>
      <c r="B325" s="8" t="n">
        <v>4408049</v>
      </c>
      <c r="C325" s="8" t="s">
        <v>1223</v>
      </c>
      <c r="D325" s="8" t="str">
        <f aca="false">TRIM(SUBSTITUTE($A325,CHAR(160)," "))</f>
        <v>20 XL</v>
      </c>
    </row>
    <row r="326" customFormat="false" ht="15" hidden="false" customHeight="false" outlineLevel="0" collapsed="false">
      <c r="A326" s="8" t="s">
        <v>714</v>
      </c>
      <c r="B326" s="8" t="n">
        <v>4408050</v>
      </c>
      <c r="C326" s="8" t="s">
        <v>1224</v>
      </c>
      <c r="D326" s="8" t="str">
        <f aca="false">TRIM(SUBSTITUTE($A326,CHAR(160)," "))</f>
        <v>20 XXL</v>
      </c>
    </row>
    <row r="327" customFormat="false" ht="15" hidden="false" customHeight="false" outlineLevel="0" collapsed="false">
      <c r="A327" s="8" t="s">
        <v>463</v>
      </c>
      <c r="B327" s="8" t="n">
        <v>4408275</v>
      </c>
      <c r="C327" s="8" t="s">
        <v>1329</v>
      </c>
      <c r="D327" s="8" t="str">
        <f aca="false">TRIM(SUBSTITUTE($A327,CHAR(160)," "))</f>
        <v>202 0</v>
      </c>
    </row>
    <row r="328" customFormat="false" ht="15" hidden="false" customHeight="false" outlineLevel="0" collapsed="false">
      <c r="A328" s="8" t="s">
        <v>347</v>
      </c>
      <c r="B328" s="8" t="n">
        <v>4408052</v>
      </c>
      <c r="C328" s="8" t="s">
        <v>1226</v>
      </c>
      <c r="D328" s="8" t="str">
        <f aca="false">TRIM(SUBSTITUTE($A328,CHAR(160)," "))</f>
        <v>21 L</v>
      </c>
    </row>
    <row r="329" customFormat="false" ht="15" hidden="false" customHeight="false" outlineLevel="0" collapsed="false">
      <c r="A329" s="8" t="s">
        <v>92</v>
      </c>
      <c r="B329" s="8" t="n">
        <v>4408053</v>
      </c>
      <c r="C329" s="8" t="s">
        <v>1227</v>
      </c>
      <c r="D329" s="8" t="str">
        <f aca="false">TRIM(SUBSTITUTE($A329,CHAR(160)," "))</f>
        <v>21 M</v>
      </c>
    </row>
    <row r="330" customFormat="false" ht="15" hidden="false" customHeight="false" outlineLevel="0" collapsed="false">
      <c r="A330" s="8" t="s">
        <v>348</v>
      </c>
      <c r="B330" s="8" t="n">
        <v>4408051</v>
      </c>
      <c r="C330" s="8" t="s">
        <v>1225</v>
      </c>
      <c r="D330" s="8" t="str">
        <f aca="false">TRIM(SUBSTITUTE($A330,CHAR(160)," "))</f>
        <v>21 S</v>
      </c>
    </row>
    <row r="331" customFormat="false" ht="15" hidden="false" customHeight="false" outlineLevel="0" collapsed="false">
      <c r="A331" s="8" t="s">
        <v>349</v>
      </c>
      <c r="B331" s="8" t="n">
        <v>4408054</v>
      </c>
      <c r="C331" s="8" t="s">
        <v>1228</v>
      </c>
      <c r="D331" s="8" t="str">
        <f aca="false">TRIM(SUBSTITUTE($A331,CHAR(160)," "))</f>
        <v>21 XL</v>
      </c>
    </row>
    <row r="332" customFormat="false" ht="15" hidden="false" customHeight="false" outlineLevel="0" collapsed="false">
      <c r="A332" s="8" t="s">
        <v>350</v>
      </c>
      <c r="B332" s="8" t="n">
        <v>4413399</v>
      </c>
      <c r="C332" s="8" t="s">
        <v>1541</v>
      </c>
      <c r="D332" s="8" t="str">
        <f aca="false">TRIM(SUBSTITUTE($A332,CHAR(160)," "))</f>
        <v>21 XS</v>
      </c>
    </row>
    <row r="333" customFormat="false" ht="15" hidden="false" customHeight="false" outlineLevel="0" collapsed="false">
      <c r="A333" s="8" t="s">
        <v>93</v>
      </c>
      <c r="B333" s="8" t="n">
        <v>4411017</v>
      </c>
      <c r="C333" s="8" t="s">
        <v>1346</v>
      </c>
      <c r="D333" s="8" t="str">
        <f aca="false">TRIM(SUBSTITUTE($A333,CHAR(160)," "))</f>
        <v>211 L</v>
      </c>
    </row>
    <row r="334" customFormat="false" ht="15" hidden="false" customHeight="false" outlineLevel="0" collapsed="false">
      <c r="A334" s="8" t="s">
        <v>94</v>
      </c>
      <c r="B334" s="8" t="n">
        <v>4411018</v>
      </c>
      <c r="C334" s="8" t="s">
        <v>1347</v>
      </c>
      <c r="D334" s="8" t="str">
        <f aca="false">TRIM(SUBSTITUTE($A334,CHAR(160)," "))</f>
        <v>211 M</v>
      </c>
    </row>
    <row r="335" customFormat="false" ht="15" hidden="false" customHeight="false" outlineLevel="0" collapsed="false">
      <c r="A335" s="8" t="s">
        <v>95</v>
      </c>
      <c r="B335" s="8" t="n">
        <v>4411019</v>
      </c>
      <c r="C335" s="8" t="s">
        <v>1348</v>
      </c>
      <c r="D335" s="8" t="str">
        <f aca="false">TRIM(SUBSTITUTE($A335,CHAR(160)," "))</f>
        <v>211 S</v>
      </c>
    </row>
    <row r="336" customFormat="false" ht="15" hidden="false" customHeight="false" outlineLevel="0" collapsed="false">
      <c r="A336" s="8" t="s">
        <v>678</v>
      </c>
      <c r="B336" s="8" t="n">
        <v>4411020</v>
      </c>
      <c r="C336" s="8" t="s">
        <v>1349</v>
      </c>
      <c r="D336" s="8" t="str">
        <f aca="false">TRIM(SUBSTITUTE($A336,CHAR(160)," "))</f>
        <v>211 XL</v>
      </c>
    </row>
    <row r="337" customFormat="false" ht="15" hidden="false" customHeight="false" outlineLevel="0" collapsed="false">
      <c r="A337" s="8" t="s">
        <v>96</v>
      </c>
      <c r="B337" s="8" t="n">
        <v>4411021</v>
      </c>
      <c r="C337" s="8" t="s">
        <v>1350</v>
      </c>
      <c r="D337" s="8" t="str">
        <f aca="false">TRIM(SUBSTITUTE($A337,CHAR(160)," "))</f>
        <v>212 L</v>
      </c>
    </row>
    <row r="338" customFormat="false" ht="15" hidden="false" customHeight="false" outlineLevel="0" collapsed="false">
      <c r="A338" s="8" t="s">
        <v>97</v>
      </c>
      <c r="B338" s="8" t="n">
        <v>4411022</v>
      </c>
      <c r="C338" s="8" t="s">
        <v>1351</v>
      </c>
      <c r="D338" s="8" t="str">
        <f aca="false">TRIM(SUBSTITUTE($A338,CHAR(160)," "))</f>
        <v>212 M</v>
      </c>
    </row>
    <row r="339" customFormat="false" ht="15" hidden="false" customHeight="false" outlineLevel="0" collapsed="false">
      <c r="A339" s="8" t="s">
        <v>98</v>
      </c>
      <c r="B339" s="8" t="n">
        <v>4411023</v>
      </c>
      <c r="C339" s="8" t="s">
        <v>1352</v>
      </c>
      <c r="D339" s="8" t="str">
        <f aca="false">TRIM(SUBSTITUTE($A339,CHAR(160)," "))</f>
        <v>212 S</v>
      </c>
    </row>
    <row r="340" customFormat="false" ht="15" hidden="false" customHeight="false" outlineLevel="0" collapsed="false">
      <c r="A340" s="8" t="s">
        <v>734</v>
      </c>
      <c r="B340" s="8" t="n">
        <v>4411024</v>
      </c>
      <c r="C340" s="8" t="s">
        <v>1353</v>
      </c>
      <c r="D340" s="8" t="str">
        <f aca="false">TRIM(SUBSTITUTE($A340,CHAR(160)," "))</f>
        <v>212 XL</v>
      </c>
    </row>
    <row r="341" customFormat="false" ht="15" hidden="false" customHeight="false" outlineLevel="0" collapsed="false">
      <c r="A341" s="8" t="s">
        <v>470</v>
      </c>
      <c r="B341" s="8" t="n">
        <v>4411031</v>
      </c>
      <c r="C341" s="8" t="s">
        <v>1359</v>
      </c>
      <c r="D341" s="8" t="str">
        <f aca="false">TRIM(SUBSTITUTE($A341,CHAR(160)," "))</f>
        <v>213CTSR S</v>
      </c>
    </row>
    <row r="342" customFormat="false" ht="15" hidden="false" customHeight="false" outlineLevel="0" collapsed="false">
      <c r="A342" s="8" t="s">
        <v>465</v>
      </c>
      <c r="B342" s="8" t="n">
        <v>4411026</v>
      </c>
      <c r="C342" s="8" t="s">
        <v>1354</v>
      </c>
      <c r="D342" s="8" t="str">
        <f aca="false">TRIM(SUBSTITUTE($A342,CHAR(160)," "))</f>
        <v>213CTSL L</v>
      </c>
    </row>
    <row r="343" customFormat="false" ht="15" hidden="false" customHeight="false" outlineLevel="0" collapsed="false">
      <c r="A343" s="8" t="s">
        <v>466</v>
      </c>
      <c r="B343" s="8" t="n">
        <v>4411027</v>
      </c>
      <c r="C343" s="8" t="s">
        <v>1355</v>
      </c>
      <c r="D343" s="8" t="str">
        <f aca="false">TRIM(SUBSTITUTE($A343,CHAR(160)," "))</f>
        <v>213CTSL M</v>
      </c>
    </row>
    <row r="344" customFormat="false" ht="15" hidden="false" customHeight="false" outlineLevel="0" collapsed="false">
      <c r="A344" s="8" t="s">
        <v>467</v>
      </c>
      <c r="B344" s="8" t="n">
        <v>4411028</v>
      </c>
      <c r="C344" s="8" t="s">
        <v>1356</v>
      </c>
      <c r="D344" s="8" t="str">
        <f aca="false">TRIM(SUBSTITUTE($A344,CHAR(160)," "))</f>
        <v>213CTSL S</v>
      </c>
    </row>
    <row r="345" customFormat="false" ht="15" hidden="false" customHeight="false" outlineLevel="0" collapsed="false">
      <c r="A345" s="8" t="s">
        <v>469</v>
      </c>
      <c r="B345" s="8" t="n">
        <v>4411030</v>
      </c>
      <c r="C345" s="8" t="s">
        <v>1358</v>
      </c>
      <c r="D345" s="8" t="str">
        <f aca="false">TRIM(SUBSTITUTE($A345,CHAR(160)," "))</f>
        <v>213CTSR M</v>
      </c>
    </row>
    <row r="346" customFormat="false" ht="15" hidden="false" customHeight="false" outlineLevel="0" collapsed="false">
      <c r="A346" s="8" t="s">
        <v>100</v>
      </c>
      <c r="B346" s="8" t="n">
        <v>4415162</v>
      </c>
      <c r="C346" s="8" t="s">
        <v>1644</v>
      </c>
      <c r="D346" s="8" t="str">
        <f aca="false">TRIM(SUBSTITUTE($A346,CHAR(160)," "))</f>
        <v>238 L</v>
      </c>
    </row>
    <row r="347" customFormat="false" ht="15" hidden="false" customHeight="false" outlineLevel="0" collapsed="false">
      <c r="A347" s="8" t="s">
        <v>589</v>
      </c>
      <c r="B347" s="8" t="n">
        <v>4415161</v>
      </c>
      <c r="C347" s="8" t="s">
        <v>1643</v>
      </c>
      <c r="D347" s="8" t="str">
        <f aca="false">TRIM(SUBSTITUTE($A347,CHAR(160)," "))</f>
        <v>238 M</v>
      </c>
    </row>
    <row r="348" customFormat="false" ht="15" hidden="false" customHeight="false" outlineLevel="0" collapsed="false">
      <c r="A348" s="8" t="s">
        <v>101</v>
      </c>
      <c r="B348" s="8" t="n">
        <v>4415160</v>
      </c>
      <c r="C348" s="8" t="s">
        <v>1642</v>
      </c>
      <c r="D348" s="8" t="str">
        <f aca="false">TRIM(SUBSTITUTE($A348,CHAR(160)," "))</f>
        <v>238 S</v>
      </c>
    </row>
    <row r="349" customFormat="false" ht="15" hidden="false" customHeight="false" outlineLevel="0" collapsed="false">
      <c r="A349" s="8" t="s">
        <v>590</v>
      </c>
      <c r="B349" s="8" t="n">
        <v>4415163</v>
      </c>
      <c r="C349" s="8" t="s">
        <v>1645</v>
      </c>
      <c r="D349" s="8" t="str">
        <f aca="false">TRIM(SUBSTITUTE($A349,CHAR(160)," "))</f>
        <v>238 XL</v>
      </c>
    </row>
    <row r="350" customFormat="false" ht="15" hidden="false" customHeight="false" outlineLevel="0" collapsed="false">
      <c r="A350" s="8" t="s">
        <v>635</v>
      </c>
      <c r="B350" s="8" t="n">
        <v>4415000</v>
      </c>
      <c r="C350" s="8" t="s">
        <v>1607</v>
      </c>
      <c r="D350" s="8" t="str">
        <f aca="false">TRIM(SUBSTITUTE($A350,CHAR(160)," "))</f>
        <v>26 L</v>
      </c>
    </row>
    <row r="351" customFormat="false" ht="15" hidden="false" customHeight="false" outlineLevel="0" collapsed="false">
      <c r="A351" s="8" t="s">
        <v>643</v>
      </c>
      <c r="B351" s="8" t="n">
        <v>4415001</v>
      </c>
      <c r="C351" s="8" t="s">
        <v>1608</v>
      </c>
      <c r="D351" s="8" t="str">
        <f aca="false">TRIM(SUBSTITUTE($A351,CHAR(160)," "))</f>
        <v>26 M</v>
      </c>
    </row>
    <row r="352" customFormat="false" ht="15" hidden="false" customHeight="false" outlineLevel="0" collapsed="false">
      <c r="A352" s="8" t="s">
        <v>352</v>
      </c>
      <c r="B352" s="8" t="n">
        <v>4415002</v>
      </c>
      <c r="C352" s="8" t="s">
        <v>1609</v>
      </c>
      <c r="D352" s="8" t="str">
        <f aca="false">TRIM(SUBSTITUTE($A352,CHAR(160)," "))</f>
        <v>26 S</v>
      </c>
    </row>
    <row r="353" customFormat="false" ht="15" hidden="false" customHeight="false" outlineLevel="0" collapsed="false">
      <c r="A353" s="8" t="s">
        <v>636</v>
      </c>
      <c r="B353" s="8" t="n">
        <v>4415003</v>
      </c>
      <c r="C353" s="8" t="s">
        <v>1610</v>
      </c>
      <c r="D353" s="8" t="str">
        <f aca="false">TRIM(SUBSTITUTE($A353,CHAR(160)," "))</f>
        <v>26 XL</v>
      </c>
    </row>
    <row r="354" customFormat="false" ht="15" hidden="false" customHeight="false" outlineLevel="0" collapsed="false">
      <c r="A354" s="8" t="s">
        <v>107</v>
      </c>
      <c r="B354" s="8" t="n">
        <v>4415004</v>
      </c>
      <c r="C354" s="8" t="s">
        <v>1611</v>
      </c>
      <c r="D354" s="8" t="str">
        <f aca="false">TRIM(SUBSTITUTE($A354,CHAR(160)," "))</f>
        <v>26 XXL</v>
      </c>
    </row>
    <row r="355" customFormat="false" ht="15" hidden="false" customHeight="false" outlineLevel="0" collapsed="false">
      <c r="A355" s="8" t="s">
        <v>108</v>
      </c>
      <c r="B355" s="8" t="n">
        <v>4415158</v>
      </c>
      <c r="C355" s="8" t="s">
        <v>1640</v>
      </c>
      <c r="D355" s="8" t="str">
        <f aca="false">TRIM(SUBSTITUTE($A355,CHAR(160)," "))</f>
        <v>266 0</v>
      </c>
    </row>
    <row r="356" customFormat="false" ht="15" hidden="false" customHeight="false" outlineLevel="0" collapsed="false">
      <c r="A356" s="8" t="s">
        <v>110</v>
      </c>
      <c r="B356" s="8" t="n">
        <v>4415159</v>
      </c>
      <c r="C356" s="8" t="s">
        <v>1641</v>
      </c>
      <c r="D356" s="8" t="str">
        <f aca="false">TRIM(SUBSTITUTE($A356,CHAR(160)," "))</f>
        <v>268 0</v>
      </c>
    </row>
    <row r="357" customFormat="false" ht="15" hidden="false" customHeight="false" outlineLevel="0" collapsed="false">
      <c r="A357" s="8" t="s">
        <v>942</v>
      </c>
      <c r="B357" s="8" t="n">
        <v>4415025</v>
      </c>
      <c r="C357" s="8" t="s">
        <v>1619</v>
      </c>
      <c r="D357" s="8" t="str">
        <f aca="false">TRIM(SUBSTITUTE($A357,CHAR(160)," "))</f>
        <v>28 XS</v>
      </c>
    </row>
    <row r="358" customFormat="false" ht="15" hidden="false" customHeight="false" outlineLevel="0" collapsed="false">
      <c r="A358" s="8" t="s">
        <v>644</v>
      </c>
      <c r="B358" s="8" t="n">
        <v>4415005</v>
      </c>
      <c r="C358" s="8" t="s">
        <v>1612</v>
      </c>
      <c r="D358" s="8" t="str">
        <f aca="false">TRIM(SUBSTITUTE($A358,CHAR(160)," "))</f>
        <v>28 L</v>
      </c>
    </row>
    <row r="359" customFormat="false" ht="15" hidden="false" customHeight="false" outlineLevel="0" collapsed="false">
      <c r="A359" s="8" t="s">
        <v>111</v>
      </c>
      <c r="B359" s="8" t="n">
        <v>4415006</v>
      </c>
      <c r="C359" s="8" t="s">
        <v>1613</v>
      </c>
      <c r="D359" s="8" t="str">
        <f aca="false">TRIM(SUBSTITUTE($A359,CHAR(160)," "))</f>
        <v>28 M</v>
      </c>
    </row>
    <row r="360" customFormat="false" ht="15" hidden="false" customHeight="false" outlineLevel="0" collapsed="false">
      <c r="A360" s="8" t="s">
        <v>645</v>
      </c>
      <c r="B360" s="8" t="n">
        <v>4415007</v>
      </c>
      <c r="C360" s="8" t="s">
        <v>1614</v>
      </c>
      <c r="D360" s="8" t="str">
        <f aca="false">TRIM(SUBSTITUTE($A360,CHAR(160)," "))</f>
        <v>28 S</v>
      </c>
    </row>
    <row r="361" customFormat="false" ht="15" hidden="false" customHeight="false" outlineLevel="0" collapsed="false">
      <c r="A361" s="8" t="s">
        <v>646</v>
      </c>
      <c r="B361" s="8" t="n">
        <v>4415008</v>
      </c>
      <c r="C361" s="8" t="s">
        <v>1615</v>
      </c>
      <c r="D361" s="8" t="str">
        <f aca="false">TRIM(SUBSTITUTE($A361,CHAR(160)," "))</f>
        <v>28 XL</v>
      </c>
    </row>
    <row r="362" customFormat="false" ht="15" hidden="false" customHeight="false" outlineLevel="0" collapsed="false">
      <c r="A362" s="8" t="s">
        <v>272</v>
      </c>
      <c r="B362" s="8" t="n">
        <v>4415028</v>
      </c>
      <c r="C362" s="8" t="s">
        <v>1622</v>
      </c>
      <c r="D362" s="8" t="str">
        <f aca="false">TRIM(SUBSTITUTE($A362,CHAR(160)," "))</f>
        <v>AC28 0</v>
      </c>
    </row>
    <row r="363" customFormat="false" ht="15" hidden="false" customHeight="false" outlineLevel="0" collapsed="false">
      <c r="A363" s="8" t="s">
        <v>530</v>
      </c>
      <c r="B363" s="8" t="n">
        <v>4408268</v>
      </c>
      <c r="C363" s="8" t="s">
        <v>1744</v>
      </c>
      <c r="D363" s="8" t="str">
        <f aca="false">TRIM(SUBSTITUTE($A363,CHAR(160)," "))</f>
        <v>ST20 0</v>
      </c>
    </row>
    <row r="364" customFormat="false" ht="15" hidden="false" customHeight="false" outlineLevel="0" collapsed="false">
      <c r="A364" s="8" t="s">
        <v>531</v>
      </c>
      <c r="B364" s="8" t="n">
        <v>4408267</v>
      </c>
      <c r="C364" s="8" t="s">
        <v>1743</v>
      </c>
      <c r="D364" s="8" t="str">
        <f aca="false">TRIM(SUBSTITUTE($A364,CHAR(160)," "))</f>
        <v>ST25 0</v>
      </c>
    </row>
    <row r="365" customFormat="false" ht="15" hidden="false" customHeight="false" outlineLevel="0" collapsed="false">
      <c r="A365" s="8" t="s">
        <v>534</v>
      </c>
      <c r="B365" s="8" t="n">
        <v>4415177</v>
      </c>
      <c r="C365" s="8" t="s">
        <v>1751</v>
      </c>
      <c r="D365" s="8" t="str">
        <f aca="false">TRIM(SUBSTITUTE($A365,CHAR(160)," "))</f>
        <v>ST28 0</v>
      </c>
    </row>
    <row r="366" customFormat="false" ht="15" hidden="false" customHeight="false" outlineLevel="0" collapsed="false">
      <c r="A366" s="8" t="s">
        <v>315</v>
      </c>
      <c r="B366" s="8" t="n">
        <v>4408095</v>
      </c>
      <c r="C366" s="8" t="s">
        <v>1255</v>
      </c>
      <c r="D366" s="8" t="str">
        <f aca="false">TRIM(SUBSTITUTE($A366,CHAR(160)," "))</f>
        <v>T20-L-XL</v>
      </c>
    </row>
    <row r="367" customFormat="false" ht="15" hidden="false" customHeight="false" outlineLevel="0" collapsed="false">
      <c r="A367" s="8" t="s">
        <v>704</v>
      </c>
      <c r="B367" s="8" t="n">
        <v>4408094</v>
      </c>
      <c r="C367" s="8" t="s">
        <v>1254</v>
      </c>
      <c r="D367" s="8" t="str">
        <f aca="false">TRIM(SUBSTITUTE($A367,CHAR(160)," "))</f>
        <v>T20-S-M</v>
      </c>
    </row>
    <row r="368" customFormat="false" ht="15" hidden="false" customHeight="false" outlineLevel="0" collapsed="false">
      <c r="A368" s="8" t="s">
        <v>316</v>
      </c>
      <c r="B368" s="8" t="n">
        <v>4408097</v>
      </c>
      <c r="C368" s="8" t="s">
        <v>1257</v>
      </c>
      <c r="D368" s="8" t="str">
        <f aca="false">TRIM(SUBSTITUTE($A368,CHAR(160)," "))</f>
        <v>T20C-L-XL</v>
      </c>
    </row>
    <row r="369" customFormat="false" ht="15" hidden="false" customHeight="false" outlineLevel="0" collapsed="false">
      <c r="A369" s="8" t="s">
        <v>317</v>
      </c>
      <c r="B369" s="8" t="n">
        <v>4408096</v>
      </c>
      <c r="C369" s="8" t="s">
        <v>1256</v>
      </c>
      <c r="D369" s="8" t="str">
        <f aca="false">TRIM(SUBSTITUTE($A369,CHAR(160)," "))</f>
        <v>T20C-S-M</v>
      </c>
    </row>
    <row r="370" customFormat="false" ht="15" hidden="false" customHeight="false" outlineLevel="0" collapsed="false">
      <c r="A370" s="8" t="s">
        <v>318</v>
      </c>
      <c r="B370" s="8" t="n">
        <v>4408098</v>
      </c>
      <c r="C370" s="8" t="s">
        <v>1258</v>
      </c>
      <c r="D370" s="8" t="str">
        <f aca="false">TRIM(SUBSTITUTE($A370,CHAR(160)," "))</f>
        <v>T25 0</v>
      </c>
    </row>
    <row r="371" customFormat="false" ht="15" hidden="false" customHeight="false" outlineLevel="0" collapsed="false">
      <c r="A371" s="8" t="s">
        <v>443</v>
      </c>
      <c r="B371" s="8" t="n">
        <v>4408264</v>
      </c>
      <c r="C371" s="8" t="s">
        <v>1323</v>
      </c>
      <c r="D371" s="8" t="str">
        <f aca="false">TRIM(SUBSTITUTE($A371,CHAR(160)," "))</f>
        <v>T25B 0</v>
      </c>
    </row>
    <row r="372" customFormat="false" ht="15" hidden="false" customHeight="false" outlineLevel="0" collapsed="false">
      <c r="A372" s="8" t="s">
        <v>542</v>
      </c>
      <c r="B372" s="8" t="n">
        <v>4408099</v>
      </c>
      <c r="C372" s="8" t="s">
        <v>1259</v>
      </c>
      <c r="D372" s="8" t="str">
        <f aca="false">TRIM(SUBSTITUTE($A372,CHAR(160)," "))</f>
        <v>T25C 0</v>
      </c>
    </row>
    <row r="373" customFormat="false" ht="15" hidden="false" customHeight="false" outlineLevel="0" collapsed="false">
      <c r="A373" s="8" t="s">
        <v>1842</v>
      </c>
      <c r="B373" s="8" t="n">
        <v>4415067</v>
      </c>
      <c r="C373" s="8" t="s">
        <v>1624</v>
      </c>
      <c r="D373" s="8" t="str">
        <f aca="false">TRIM(SUBSTITUTE($A373,CHAR(160)," "))</f>
        <v>T28 XL</v>
      </c>
    </row>
    <row r="374" customFormat="false" ht="15" hidden="false" customHeight="false" outlineLevel="0" collapsed="false">
      <c r="A374" s="8" t="s">
        <v>668</v>
      </c>
      <c r="B374" s="8" t="n">
        <v>4415073</v>
      </c>
      <c r="C374" s="8" t="s">
        <v>1629</v>
      </c>
      <c r="D374" s="8" t="str">
        <f aca="false">TRIM(SUBSTITUTE($A374,CHAR(160)," "))</f>
        <v>T28A-L-XL</v>
      </c>
    </row>
    <row r="375" customFormat="false" ht="15" hidden="false" customHeight="false" outlineLevel="0" collapsed="false">
      <c r="A375" s="8" t="s">
        <v>570</v>
      </c>
      <c r="B375" s="8" t="n">
        <v>4415072</v>
      </c>
      <c r="C375" s="8" t="s">
        <v>1628</v>
      </c>
      <c r="D375" s="8" t="str">
        <f aca="false">TRIM(SUBSTITUTE($A375,CHAR(160)," "))</f>
        <v>T28A-S-M</v>
      </c>
    </row>
    <row r="376" customFormat="false" ht="15" hidden="false" customHeight="false" outlineLevel="0" collapsed="false">
      <c r="A376" s="8" t="s">
        <v>321</v>
      </c>
      <c r="B376" s="8" t="n">
        <v>4415075</v>
      </c>
      <c r="C376" s="8" t="s">
        <v>1631</v>
      </c>
      <c r="D376" s="8" t="str">
        <f aca="false">TRIM(SUBSTITUTE($A376,CHAR(160)," "))</f>
        <v>T28AC-L-XL</v>
      </c>
    </row>
    <row r="377" customFormat="false" ht="15" hidden="false" customHeight="false" outlineLevel="0" collapsed="false">
      <c r="A377" s="8" t="s">
        <v>322</v>
      </c>
      <c r="B377" s="8" t="n">
        <v>4415074</v>
      </c>
      <c r="C377" s="8" t="s">
        <v>1630</v>
      </c>
      <c r="D377" s="8" t="str">
        <f aca="false">TRIM(SUBSTITUTE($A377,CHAR(160)," "))</f>
        <v>T28AC-S-M</v>
      </c>
    </row>
    <row r="378" customFormat="false" ht="15" hidden="false" customHeight="false" outlineLevel="0" collapsed="false">
      <c r="A378" s="8" t="s">
        <v>1843</v>
      </c>
      <c r="B378" s="8" t="n">
        <v>4415071</v>
      </c>
      <c r="C378" s="8" t="s">
        <v>1627</v>
      </c>
      <c r="D378" s="8" t="str">
        <f aca="false">TRIM(SUBSTITUTE($A378,CHAR(160)," "))</f>
        <v>T28C XL</v>
      </c>
    </row>
    <row r="379" customFormat="false" ht="15" hidden="false" customHeight="false" outlineLevel="0" collapsed="false">
      <c r="A379" s="8" t="s">
        <v>1844</v>
      </c>
      <c r="B379" s="8" t="n">
        <v>4415069</v>
      </c>
      <c r="C379" s="8" t="s">
        <v>1625</v>
      </c>
      <c r="D379" s="8" t="str">
        <f aca="false">TRIM(SUBSTITUTE($A379,CHAR(160)," "))</f>
        <v>T28C L</v>
      </c>
    </row>
    <row r="380" customFormat="false" ht="15" hidden="false" customHeight="false" outlineLevel="0" collapsed="false">
      <c r="A380" s="8" t="s">
        <v>99</v>
      </c>
      <c r="B380" s="8" t="n">
        <v>4415029</v>
      </c>
      <c r="C380" s="8" t="s">
        <v>1623</v>
      </c>
      <c r="D380" s="8" t="str">
        <f aca="false">TRIM(SUBSTITUTE($A380,CHAR(160)," "))</f>
        <v>237 0</v>
      </c>
    </row>
    <row r="381" customFormat="false" ht="15" hidden="false" customHeight="false" outlineLevel="0" collapsed="false">
      <c r="A381" s="8" t="s">
        <v>577</v>
      </c>
      <c r="B381" s="8" t="n">
        <v>4418000</v>
      </c>
      <c r="C381" s="8" t="s">
        <v>1665</v>
      </c>
      <c r="D381" s="8" t="str">
        <f aca="false">TRIM(SUBSTITUTE($A381,CHAR(160)," "))</f>
        <v>60 L</v>
      </c>
    </row>
    <row r="382" customFormat="false" ht="15" hidden="false" customHeight="false" outlineLevel="0" collapsed="false">
      <c r="A382" s="8" t="s">
        <v>228</v>
      </c>
      <c r="B382" s="8" t="n">
        <v>4418001</v>
      </c>
      <c r="C382" s="8" t="s">
        <v>1666</v>
      </c>
      <c r="D382" s="8" t="str">
        <f aca="false">TRIM(SUBSTITUTE($A382,CHAR(160)," "))</f>
        <v>60 M</v>
      </c>
    </row>
    <row r="383" customFormat="false" ht="15" hidden="false" customHeight="false" outlineLevel="0" collapsed="false">
      <c r="A383" s="8" t="s">
        <v>229</v>
      </c>
      <c r="B383" s="8" t="n">
        <v>4418002</v>
      </c>
      <c r="C383" s="8" t="s">
        <v>1667</v>
      </c>
      <c r="D383" s="8" t="str">
        <f aca="false">TRIM(SUBSTITUTE($A383,CHAR(160)," "))</f>
        <v>60 S</v>
      </c>
    </row>
    <row r="384" customFormat="false" ht="15" hidden="false" customHeight="false" outlineLevel="0" collapsed="false">
      <c r="A384" s="8" t="s">
        <v>400</v>
      </c>
      <c r="B384" s="8" t="n">
        <v>4418003</v>
      </c>
      <c r="C384" s="8" t="s">
        <v>1668</v>
      </c>
      <c r="D384" s="8" t="str">
        <f aca="false">TRIM(SUBSTITUTE($A384,CHAR(160)," "))</f>
        <v>60 XL</v>
      </c>
    </row>
    <row r="385" customFormat="false" ht="15" hidden="false" customHeight="false" outlineLevel="0" collapsed="false">
      <c r="A385" s="8" t="s">
        <v>127</v>
      </c>
      <c r="B385" s="8" t="n">
        <v>4415013</v>
      </c>
      <c r="C385" s="8" t="s">
        <v>1617</v>
      </c>
      <c r="D385" s="8" t="str">
        <f aca="false">TRIM(SUBSTITUTE($A385,CHAR(160)," "))</f>
        <v>32 XL</v>
      </c>
    </row>
    <row r="386" customFormat="false" ht="15" hidden="false" customHeight="false" outlineLevel="0" collapsed="false">
      <c r="A386" s="8" t="s">
        <v>129</v>
      </c>
      <c r="B386" s="8" t="n">
        <v>4413347</v>
      </c>
      <c r="C386" s="8" t="s">
        <v>1525</v>
      </c>
      <c r="D386" s="8" t="str">
        <f aca="false">TRIM(SUBSTITUTE($A386,CHAR(160)," "))</f>
        <v>322 L</v>
      </c>
    </row>
    <row r="387" customFormat="false" ht="15" hidden="false" customHeight="false" outlineLevel="0" collapsed="false">
      <c r="A387" s="8" t="s">
        <v>475</v>
      </c>
      <c r="B387" s="8" t="n">
        <v>4413337</v>
      </c>
      <c r="C387" s="8" t="s">
        <v>1517</v>
      </c>
      <c r="D387" s="8" t="str">
        <f aca="false">TRIM(SUBSTITUTE($A387,CHAR(160)," "))</f>
        <v>322 XL</v>
      </c>
    </row>
    <row r="388" customFormat="false" ht="15" hidden="false" customHeight="false" outlineLevel="0" collapsed="false">
      <c r="A388" s="8" t="s">
        <v>476</v>
      </c>
      <c r="B388" s="8" t="n">
        <v>4415019</v>
      </c>
      <c r="C388" s="8" t="s">
        <v>1618</v>
      </c>
      <c r="D388" s="8" t="str">
        <f aca="false">TRIM(SUBSTITUTE($A388,CHAR(160)," "))</f>
        <v>333 0</v>
      </c>
    </row>
    <row r="389" customFormat="false" ht="15" hidden="false" customHeight="false" outlineLevel="0" collapsed="false">
      <c r="A389" s="8" t="s">
        <v>564</v>
      </c>
      <c r="B389" s="8" t="n">
        <v>4413043</v>
      </c>
      <c r="C389" s="8" t="s">
        <v>1374</v>
      </c>
      <c r="D389" s="8" t="str">
        <f aca="false">TRIM(SUBSTITUTE($A389,CHAR(160)," "))</f>
        <v>34 L</v>
      </c>
    </row>
    <row r="390" customFormat="false" ht="15" hidden="false" customHeight="false" outlineLevel="0" collapsed="false">
      <c r="A390" s="8" t="s">
        <v>575</v>
      </c>
      <c r="B390" s="8" t="n">
        <v>4413041</v>
      </c>
      <c r="C390" s="8" t="s">
        <v>1372</v>
      </c>
      <c r="D390" s="8" t="str">
        <f aca="false">TRIM(SUBSTITUTE($A390,CHAR(160)," "))</f>
        <v>34 M</v>
      </c>
    </row>
    <row r="391" customFormat="false" ht="15" hidden="false" customHeight="false" outlineLevel="0" collapsed="false">
      <c r="A391" s="8" t="s">
        <v>743</v>
      </c>
      <c r="B391" s="8" t="n">
        <v>4413042</v>
      </c>
      <c r="C391" s="8" t="s">
        <v>1373</v>
      </c>
      <c r="D391" s="8" t="str">
        <f aca="false">TRIM(SUBSTITUTE($A391,CHAR(160)," "))</f>
        <v>34 S</v>
      </c>
    </row>
    <row r="392" customFormat="false" ht="15" hidden="false" customHeight="false" outlineLevel="0" collapsed="false">
      <c r="A392" s="8" t="s">
        <v>576</v>
      </c>
      <c r="B392" s="8" t="n">
        <v>4413044</v>
      </c>
      <c r="C392" s="8" t="s">
        <v>1375</v>
      </c>
      <c r="D392" s="8" t="str">
        <f aca="false">TRIM(SUBSTITUTE($A392,CHAR(160)," "))</f>
        <v>34 XL</v>
      </c>
    </row>
    <row r="393" customFormat="false" ht="15" hidden="false" customHeight="false" outlineLevel="0" collapsed="false">
      <c r="A393" s="8" t="s">
        <v>744</v>
      </c>
      <c r="B393" s="8" t="n">
        <v>4413046</v>
      </c>
      <c r="C393" s="8" t="s">
        <v>1377</v>
      </c>
      <c r="D393" s="8" t="str">
        <f aca="false">TRIM(SUBSTITUTE($A393,CHAR(160)," "))</f>
        <v>34 XXL</v>
      </c>
    </row>
    <row r="394" customFormat="false" ht="15" hidden="false" customHeight="false" outlineLevel="0" collapsed="false">
      <c r="A394" s="8" t="s">
        <v>131</v>
      </c>
      <c r="B394" s="8" t="n">
        <v>4413161</v>
      </c>
      <c r="C394" s="8" t="s">
        <v>1469</v>
      </c>
      <c r="D394" s="8" t="str">
        <f aca="false">TRIM(SUBSTITUTE($A394,CHAR(160)," "))</f>
        <v>34+ L</v>
      </c>
    </row>
    <row r="395" customFormat="false" ht="15" hidden="false" customHeight="false" outlineLevel="0" collapsed="false">
      <c r="A395" s="8" t="s">
        <v>357</v>
      </c>
      <c r="B395" s="8" t="n">
        <v>4413160</v>
      </c>
      <c r="C395" s="8" t="s">
        <v>1468</v>
      </c>
      <c r="D395" s="8" t="str">
        <f aca="false">TRIM(SUBSTITUTE($A395,CHAR(160)," "))</f>
        <v>34+ M</v>
      </c>
    </row>
    <row r="396" customFormat="false" ht="15" hidden="false" customHeight="false" outlineLevel="0" collapsed="false">
      <c r="A396" s="8" t="s">
        <v>625</v>
      </c>
      <c r="B396" s="8" t="n">
        <v>4413159</v>
      </c>
      <c r="C396" s="8" t="s">
        <v>1467</v>
      </c>
      <c r="D396" s="8" t="str">
        <f aca="false">TRIM(SUBSTITUTE($A396,CHAR(160)," "))</f>
        <v>34+ S</v>
      </c>
    </row>
    <row r="397" customFormat="false" ht="15" hidden="false" customHeight="false" outlineLevel="0" collapsed="false">
      <c r="A397" s="8" t="s">
        <v>132</v>
      </c>
      <c r="B397" s="8" t="n">
        <v>4413162</v>
      </c>
      <c r="C397" s="8" t="s">
        <v>1470</v>
      </c>
      <c r="D397" s="8" t="str">
        <f aca="false">TRIM(SUBSTITUTE($A397,CHAR(160)," "))</f>
        <v>34+ XL</v>
      </c>
    </row>
    <row r="398" customFormat="false" ht="15" hidden="false" customHeight="false" outlineLevel="0" collapsed="false">
      <c r="A398" s="8" t="s">
        <v>626</v>
      </c>
      <c r="B398" s="8" t="n">
        <v>4413303</v>
      </c>
      <c r="C398" s="8" t="s">
        <v>1506</v>
      </c>
      <c r="D398" s="8" t="str">
        <f aca="false">TRIM(SUBSTITUTE($A398,CHAR(160)," "))</f>
        <v>34+ XXL</v>
      </c>
    </row>
    <row r="399" customFormat="false" ht="15" hidden="false" customHeight="false" outlineLevel="0" collapsed="false">
      <c r="A399" s="8" t="s">
        <v>133</v>
      </c>
      <c r="B399" s="8" t="n">
        <v>4413048</v>
      </c>
      <c r="C399" s="8" t="s">
        <v>1379</v>
      </c>
      <c r="D399" s="8" t="str">
        <f aca="false">TRIM(SUBSTITUTE($A399,CHAR(160)," "))</f>
        <v>35 L</v>
      </c>
    </row>
    <row r="400" customFormat="false" ht="15" hidden="false" customHeight="false" outlineLevel="0" collapsed="false">
      <c r="A400" s="8" t="s">
        <v>134</v>
      </c>
      <c r="B400" s="8" t="n">
        <v>4413049</v>
      </c>
      <c r="C400" s="8" t="s">
        <v>1380</v>
      </c>
      <c r="D400" s="8" t="str">
        <f aca="false">TRIM(SUBSTITUTE($A400,CHAR(160)," "))</f>
        <v>35 M</v>
      </c>
    </row>
    <row r="401" customFormat="false" ht="15" hidden="false" customHeight="false" outlineLevel="0" collapsed="false">
      <c r="A401" s="8" t="s">
        <v>359</v>
      </c>
      <c r="B401" s="8" t="n">
        <v>4413047</v>
      </c>
      <c r="C401" s="8" t="s">
        <v>1378</v>
      </c>
      <c r="D401" s="8" t="str">
        <f aca="false">TRIM(SUBSTITUTE($A401,CHAR(160)," "))</f>
        <v>35 S</v>
      </c>
    </row>
    <row r="402" customFormat="false" ht="15" hidden="false" customHeight="false" outlineLevel="0" collapsed="false">
      <c r="A402" s="8" t="s">
        <v>360</v>
      </c>
      <c r="B402" s="8" t="n">
        <v>4413050</v>
      </c>
      <c r="C402" s="8" t="s">
        <v>1381</v>
      </c>
      <c r="D402" s="8" t="str">
        <f aca="false">TRIM(SUBSTITUTE($A402,CHAR(160)," "))</f>
        <v>35 XL</v>
      </c>
    </row>
    <row r="403" customFormat="false" ht="15" hidden="false" customHeight="false" outlineLevel="0" collapsed="false">
      <c r="A403" s="8" t="s">
        <v>362</v>
      </c>
      <c r="B403" s="8" t="n">
        <v>4413051</v>
      </c>
      <c r="C403" s="8" t="s">
        <v>1382</v>
      </c>
      <c r="D403" s="8" t="str">
        <f aca="false">TRIM(SUBSTITUTE($A403,CHAR(160)," "))</f>
        <v>35 XXL</v>
      </c>
    </row>
    <row r="404" customFormat="false" ht="15" hidden="false" customHeight="false" outlineLevel="0" collapsed="false">
      <c r="A404" s="8" t="s">
        <v>135</v>
      </c>
      <c r="B404" s="8" t="n">
        <v>4413490</v>
      </c>
      <c r="C404" s="8" t="s">
        <v>1576</v>
      </c>
      <c r="D404" s="8" t="str">
        <f aca="false">TRIM(SUBSTITUTE($A404,CHAR(160)," "))</f>
        <v>35B L</v>
      </c>
    </row>
    <row r="405" customFormat="false" ht="15" hidden="false" customHeight="false" outlineLevel="0" collapsed="false">
      <c r="A405" s="8" t="s">
        <v>136</v>
      </c>
      <c r="B405" s="8" t="n">
        <v>4413492</v>
      </c>
      <c r="C405" s="8" t="s">
        <v>1578</v>
      </c>
      <c r="D405" s="8" t="str">
        <f aca="false">TRIM(SUBSTITUTE($A405,CHAR(160)," "))</f>
        <v>35B M</v>
      </c>
    </row>
    <row r="406" customFormat="false" ht="15" hidden="false" customHeight="false" outlineLevel="0" collapsed="false">
      <c r="A406" s="8" t="s">
        <v>137</v>
      </c>
      <c r="B406" s="8" t="n">
        <v>4413493</v>
      </c>
      <c r="C406" s="8" t="s">
        <v>1579</v>
      </c>
      <c r="D406" s="8" t="str">
        <f aca="false">TRIM(SUBSTITUTE($A406,CHAR(160)," "))</f>
        <v>35B S</v>
      </c>
    </row>
    <row r="407" customFormat="false" ht="15" hidden="false" customHeight="false" outlineLevel="0" collapsed="false">
      <c r="A407" s="8" t="s">
        <v>138</v>
      </c>
      <c r="B407" s="8" t="n">
        <v>4413491</v>
      </c>
      <c r="C407" s="8" t="s">
        <v>1577</v>
      </c>
      <c r="D407" s="8" t="str">
        <f aca="false">TRIM(SUBSTITUTE($A407,CHAR(160)," "))</f>
        <v>35B XL</v>
      </c>
    </row>
    <row r="408" customFormat="false" ht="15" hidden="false" customHeight="false" outlineLevel="0" collapsed="false">
      <c r="A408" s="8" t="s">
        <v>139</v>
      </c>
      <c r="B408" s="8" t="n">
        <v>4413494</v>
      </c>
      <c r="C408" s="8" t="s">
        <v>1580</v>
      </c>
      <c r="D408" s="8" t="str">
        <f aca="false">TRIM(SUBSTITUTE($A408,CHAR(160)," "))</f>
        <v>35B XXL</v>
      </c>
    </row>
    <row r="409" customFormat="false" ht="15" hidden="false" customHeight="false" outlineLevel="0" collapsed="false">
      <c r="A409" s="8" t="s">
        <v>140</v>
      </c>
      <c r="B409" s="8" t="n">
        <v>4413053</v>
      </c>
      <c r="C409" s="8" t="s">
        <v>1384</v>
      </c>
      <c r="D409" s="8" t="str">
        <f aca="false">TRIM(SUBSTITUTE($A409,CHAR(160)," "))</f>
        <v>35C L</v>
      </c>
    </row>
    <row r="410" customFormat="false" ht="15" hidden="false" customHeight="false" outlineLevel="0" collapsed="false">
      <c r="A410" s="8" t="s">
        <v>141</v>
      </c>
      <c r="B410" s="8" t="n">
        <v>4413054</v>
      </c>
      <c r="C410" s="8" t="s">
        <v>1385</v>
      </c>
      <c r="D410" s="8" t="str">
        <f aca="false">TRIM(SUBSTITUTE($A410,CHAR(160)," "))</f>
        <v>35C M</v>
      </c>
    </row>
    <row r="411" customFormat="false" ht="15" hidden="false" customHeight="false" outlineLevel="0" collapsed="false">
      <c r="A411" s="8" t="s">
        <v>142</v>
      </c>
      <c r="B411" s="8" t="n">
        <v>4413052</v>
      </c>
      <c r="C411" s="8" t="s">
        <v>1383</v>
      </c>
      <c r="D411" s="8" t="str">
        <f aca="false">TRIM(SUBSTITUTE($A411,CHAR(160)," "))</f>
        <v>35C S</v>
      </c>
    </row>
    <row r="412" customFormat="false" ht="15" hidden="false" customHeight="false" outlineLevel="0" collapsed="false">
      <c r="A412" s="8" t="s">
        <v>363</v>
      </c>
      <c r="B412" s="8" t="n">
        <v>4413055</v>
      </c>
      <c r="C412" s="8" t="s">
        <v>1386</v>
      </c>
      <c r="D412" s="8" t="str">
        <f aca="false">TRIM(SUBSTITUTE($A412,CHAR(160)," "))</f>
        <v>35C XL</v>
      </c>
    </row>
    <row r="413" customFormat="false" ht="15" hidden="false" customHeight="false" outlineLevel="0" collapsed="false">
      <c r="A413" s="8" t="s">
        <v>273</v>
      </c>
      <c r="B413" s="8" t="n">
        <v>4413326</v>
      </c>
      <c r="C413" s="8" t="s">
        <v>1509</v>
      </c>
      <c r="D413" s="8" t="str">
        <f aca="false">TRIM(SUBSTITUTE($A413,CHAR(160)," "))</f>
        <v>AC37 0</v>
      </c>
    </row>
    <row r="414" customFormat="false" ht="15" hidden="false" customHeight="false" outlineLevel="0" collapsed="false">
      <c r="A414" s="8" t="s">
        <v>307</v>
      </c>
      <c r="B414" s="8" t="n">
        <v>4413534</v>
      </c>
      <c r="C414" s="8" t="s">
        <v>1605</v>
      </c>
      <c r="D414" s="8" t="str">
        <f aca="false">TRIM(SUBSTITUTE($A414,CHAR(160)," "))</f>
        <v>SH333 0</v>
      </c>
    </row>
    <row r="415" customFormat="false" ht="15" hidden="false" customHeight="false" outlineLevel="0" collapsed="false">
      <c r="A415" s="8" t="s">
        <v>535</v>
      </c>
      <c r="B415" s="8" t="n">
        <v>4408269</v>
      </c>
      <c r="C415" s="8" t="s">
        <v>1745</v>
      </c>
      <c r="D415" s="8" t="str">
        <f aca="false">TRIM(SUBSTITUTE($A415,CHAR(160)," "))</f>
        <v>ST37 0</v>
      </c>
    </row>
    <row r="416" customFormat="false" ht="15" hidden="false" customHeight="false" outlineLevel="0" collapsed="false">
      <c r="A416" s="8" t="s">
        <v>353</v>
      </c>
      <c r="B416" s="8" t="n">
        <v>4420036</v>
      </c>
      <c r="C416" s="8" t="s">
        <v>1706</v>
      </c>
      <c r="D416" s="8" t="str">
        <f aca="false">TRIM(SUBSTITUTE($A416,CHAR(160)," "))</f>
        <v>301CM-41-45</v>
      </c>
    </row>
    <row r="417" customFormat="false" ht="15" hidden="false" customHeight="false" outlineLevel="0" collapsed="false">
      <c r="A417" s="8" t="s">
        <v>354</v>
      </c>
      <c r="B417" s="8" t="n">
        <v>4420035</v>
      </c>
      <c r="C417" s="8" t="s">
        <v>1705</v>
      </c>
      <c r="D417" s="8" t="str">
        <f aca="false">TRIM(SUBSTITUTE($A417,CHAR(160)," "))</f>
        <v>301CW-36-40</v>
      </c>
    </row>
    <row r="418" customFormat="false" ht="15" hidden="false" customHeight="false" outlineLevel="0" collapsed="false">
      <c r="A418" s="8" t="s">
        <v>945</v>
      </c>
      <c r="B418" s="8" t="n">
        <v>4420037</v>
      </c>
      <c r="C418" s="8" t="s">
        <v>1707</v>
      </c>
      <c r="D418" s="8" t="str">
        <f aca="false">TRIM(SUBSTITUTE($A418,CHAR(160)," "))</f>
        <v>301JW-36-40</v>
      </c>
    </row>
    <row r="419" customFormat="false" ht="15" hidden="false" customHeight="false" outlineLevel="0" collapsed="false">
      <c r="A419" s="8" t="s">
        <v>165</v>
      </c>
      <c r="B419" s="8" t="n">
        <v>4420000</v>
      </c>
      <c r="C419" s="8" t="s">
        <v>1680</v>
      </c>
      <c r="D419" s="8" t="str">
        <f aca="false">TRIM(SUBSTITUTE($A419,CHAR(160)," "))</f>
        <v>370 0</v>
      </c>
    </row>
    <row r="420" customFormat="false" ht="15" hidden="false" customHeight="false" outlineLevel="0" collapsed="false">
      <c r="A420" s="8" t="s">
        <v>166</v>
      </c>
      <c r="B420" s="8" t="n">
        <v>4420027</v>
      </c>
      <c r="C420" s="8" t="s">
        <v>1699</v>
      </c>
      <c r="D420" s="8" t="str">
        <f aca="false">TRIM(SUBSTITUTE($A420,CHAR(160)," "))</f>
        <v>370K 0</v>
      </c>
    </row>
    <row r="421" customFormat="false" ht="15" hidden="false" customHeight="false" outlineLevel="0" collapsed="false">
      <c r="A421" s="8" t="s">
        <v>167</v>
      </c>
      <c r="B421" s="8" t="n">
        <v>4420001</v>
      </c>
      <c r="C421" s="8" t="s">
        <v>1681</v>
      </c>
      <c r="D421" s="8" t="str">
        <f aca="false">TRIM(SUBSTITUTE($A421,CHAR(160)," "))</f>
        <v>371 0</v>
      </c>
    </row>
    <row r="422" customFormat="false" ht="15" hidden="false" customHeight="false" outlineLevel="0" collapsed="false">
      <c r="A422" s="8" t="s">
        <v>168</v>
      </c>
      <c r="B422" s="8" t="n">
        <v>4420002</v>
      </c>
      <c r="C422" s="8" t="s">
        <v>1682</v>
      </c>
      <c r="D422" s="8" t="str">
        <f aca="false">TRIM(SUBSTITUTE($A422,CHAR(160)," "))</f>
        <v>372 0</v>
      </c>
    </row>
    <row r="423" customFormat="false" ht="15" hidden="false" customHeight="false" outlineLevel="0" collapsed="false">
      <c r="A423" s="8" t="s">
        <v>169</v>
      </c>
      <c r="B423" s="8" t="n">
        <v>4420003</v>
      </c>
      <c r="C423" s="8" t="s">
        <v>1683</v>
      </c>
      <c r="D423" s="8" t="str">
        <f aca="false">TRIM(SUBSTITUTE($A423,CHAR(160)," "))</f>
        <v>374 0</v>
      </c>
    </row>
    <row r="424" customFormat="false" ht="15" hidden="false" customHeight="false" outlineLevel="0" collapsed="false">
      <c r="A424" s="8" t="s">
        <v>1845</v>
      </c>
      <c r="B424" s="8" t="n">
        <v>4420004</v>
      </c>
      <c r="C424" s="8" t="s">
        <v>1684</v>
      </c>
      <c r="D424" s="8" t="str">
        <f aca="false">TRIM(SUBSTITUTE($A424,CHAR(160)," "))</f>
        <v>377-35</v>
      </c>
    </row>
    <row r="425" customFormat="false" ht="15" hidden="false" customHeight="false" outlineLevel="0" collapsed="false">
      <c r="A425" s="8" t="s">
        <v>174</v>
      </c>
      <c r="B425" s="8" t="n">
        <v>4420032</v>
      </c>
      <c r="C425" s="8" t="s">
        <v>1703</v>
      </c>
      <c r="D425" s="8" t="str">
        <f aca="false">TRIM(SUBSTITUTE($A425,CHAR(160)," "))</f>
        <v>376-46-47</v>
      </c>
    </row>
    <row r="426" customFormat="false" ht="15" hidden="false" customHeight="false" outlineLevel="0" collapsed="false">
      <c r="A426" s="8" t="s">
        <v>388</v>
      </c>
      <c r="B426" s="8" t="n">
        <v>4413112</v>
      </c>
      <c r="C426" s="8" t="s">
        <v>1428</v>
      </c>
      <c r="D426" s="8" t="str">
        <f aca="false">TRIM(SUBSTITUTE($A426,CHAR(160)," "))</f>
        <v>49 L</v>
      </c>
    </row>
    <row r="427" customFormat="false" ht="15" hidden="false" customHeight="false" outlineLevel="0" collapsed="false">
      <c r="A427" s="8" t="s">
        <v>389</v>
      </c>
      <c r="B427" s="8" t="n">
        <v>4413113</v>
      </c>
      <c r="C427" s="8" t="s">
        <v>1429</v>
      </c>
      <c r="D427" s="8" t="str">
        <f aca="false">TRIM(SUBSTITUTE($A427,CHAR(160)," "))</f>
        <v>49 M</v>
      </c>
    </row>
    <row r="428" customFormat="false" ht="15" hidden="false" customHeight="false" outlineLevel="0" collapsed="false">
      <c r="A428" s="8" t="s">
        <v>390</v>
      </c>
      <c r="B428" s="8" t="n">
        <v>4413111</v>
      </c>
      <c r="C428" s="8" t="s">
        <v>1427</v>
      </c>
      <c r="D428" s="8" t="str">
        <f aca="false">TRIM(SUBSTITUTE($A428,CHAR(160)," "))</f>
        <v>49 S</v>
      </c>
    </row>
    <row r="429" customFormat="false" ht="15" hidden="false" customHeight="false" outlineLevel="0" collapsed="false">
      <c r="A429" s="8" t="s">
        <v>391</v>
      </c>
      <c r="B429" s="8" t="n">
        <v>4413114</v>
      </c>
      <c r="C429" s="8" t="s">
        <v>1430</v>
      </c>
      <c r="D429" s="8" t="str">
        <f aca="false">TRIM(SUBSTITUTE($A429,CHAR(160)," "))</f>
        <v>49 XL</v>
      </c>
    </row>
    <row r="430" customFormat="false" ht="15" hidden="false" customHeight="false" outlineLevel="0" collapsed="false">
      <c r="A430" s="8" t="s">
        <v>597</v>
      </c>
      <c r="B430" s="8" t="n">
        <v>4413115</v>
      </c>
      <c r="C430" s="8" t="s">
        <v>1431</v>
      </c>
      <c r="D430" s="8" t="str">
        <f aca="false">TRIM(SUBSTITUTE($A430,CHAR(160)," "))</f>
        <v>49 XXL</v>
      </c>
    </row>
    <row r="431" customFormat="false" ht="15" hidden="false" customHeight="false" outlineLevel="0" collapsed="false">
      <c r="A431" s="8" t="s">
        <v>554</v>
      </c>
      <c r="B431" s="8" t="n">
        <v>4413330</v>
      </c>
      <c r="C431" s="8" t="s">
        <v>1512</v>
      </c>
      <c r="D431" s="8" t="str">
        <f aca="false">TRIM(SUBSTITUTE($A431,CHAR(160)," "))</f>
        <v>AC49 0</v>
      </c>
    </row>
    <row r="432" customFormat="false" ht="15" hidden="false" customHeight="false" outlineLevel="0" collapsed="false">
      <c r="A432" s="8" t="s">
        <v>539</v>
      </c>
      <c r="B432" s="8" t="n">
        <v>4413533</v>
      </c>
      <c r="C432" s="8" t="s">
        <v>1750</v>
      </c>
      <c r="D432" s="8" t="str">
        <f aca="false">TRIM(SUBSTITUTE($A432,CHAR(160)," "))</f>
        <v>ST49 0</v>
      </c>
    </row>
    <row r="433" customFormat="false" ht="15" hidden="false" customHeight="false" outlineLevel="0" collapsed="false">
      <c r="A433" s="8" t="s">
        <v>445</v>
      </c>
      <c r="B433" s="8" t="n">
        <v>4413180</v>
      </c>
      <c r="C433" s="8" t="s">
        <v>1771</v>
      </c>
      <c r="D433" s="8" t="str">
        <f aca="false">TRIM(SUBSTITUTE($A433,CHAR(160)," "))</f>
        <v>T39 S</v>
      </c>
    </row>
    <row r="434" customFormat="false" ht="15" hidden="false" customHeight="false" outlineLevel="0" collapsed="false">
      <c r="A434" s="8" t="s">
        <v>269</v>
      </c>
      <c r="B434" s="8" t="n">
        <v>4408207</v>
      </c>
      <c r="C434" s="8" t="s">
        <v>1297</v>
      </c>
      <c r="D434" s="8" t="str">
        <f aca="false">TRIM(SUBSTITUTE($A434,CHAR(160)," "))</f>
        <v>AC25 0</v>
      </c>
    </row>
    <row r="435" customFormat="false" ht="15" hidden="false" customHeight="false" outlineLevel="0" collapsed="false">
      <c r="A435" s="8" t="s">
        <v>270</v>
      </c>
      <c r="B435" s="8" t="n">
        <v>4415026</v>
      </c>
      <c r="C435" s="8" t="s">
        <v>1620</v>
      </c>
      <c r="D435" s="8" t="str">
        <f aca="false">TRIM(SUBSTITUTE($A435,CHAR(160)," "))</f>
        <v>AC27L 0</v>
      </c>
    </row>
    <row r="436" customFormat="false" ht="15" hidden="false" customHeight="false" outlineLevel="0" collapsed="false">
      <c r="A436" s="8" t="s">
        <v>271</v>
      </c>
      <c r="B436" s="8" t="n">
        <v>4415027</v>
      </c>
      <c r="C436" s="8" t="s">
        <v>1621</v>
      </c>
      <c r="D436" s="8" t="str">
        <f aca="false">TRIM(SUBSTITUTE($A436,CHAR(160)," "))</f>
        <v>AC27R 0</v>
      </c>
    </row>
    <row r="437" customFormat="false" ht="15" hidden="false" customHeight="false" outlineLevel="0" collapsed="false">
      <c r="A437" s="8" t="s">
        <v>292</v>
      </c>
      <c r="B437" s="8" t="n">
        <v>4408249</v>
      </c>
      <c r="C437" s="8" t="s">
        <v>1318</v>
      </c>
      <c r="D437" s="8" t="str">
        <f aca="false">TRIM(SUBSTITUTE($A437,CHAR(160)," "))</f>
        <v>SC25 L</v>
      </c>
    </row>
    <row r="438" customFormat="false" ht="15" hidden="false" customHeight="false" outlineLevel="0" collapsed="false">
      <c r="A438" s="8" t="s">
        <v>293</v>
      </c>
      <c r="B438" s="8" t="n">
        <v>4408248</v>
      </c>
      <c r="C438" s="8" t="s">
        <v>1317</v>
      </c>
      <c r="D438" s="8" t="str">
        <f aca="false">TRIM(SUBSTITUTE($A438,CHAR(160)," "))</f>
        <v>SC25 M</v>
      </c>
    </row>
    <row r="439" customFormat="false" ht="15" hidden="false" customHeight="false" outlineLevel="0" collapsed="false">
      <c r="A439" s="8" t="s">
        <v>294</v>
      </c>
      <c r="B439" s="8" t="n">
        <v>4408247</v>
      </c>
      <c r="C439" s="8" t="s">
        <v>1316</v>
      </c>
      <c r="D439" s="8" t="str">
        <f aca="false">TRIM(SUBSTITUTE($A439,CHAR(160)," "))</f>
        <v>SC25 S</v>
      </c>
    </row>
    <row r="440" customFormat="false" ht="15" hidden="false" customHeight="false" outlineLevel="0" collapsed="false">
      <c r="A440" s="8" t="s">
        <v>295</v>
      </c>
      <c r="B440" s="8" t="n">
        <v>4408250</v>
      </c>
      <c r="C440" s="8" t="s">
        <v>1319</v>
      </c>
      <c r="D440" s="8" t="str">
        <f aca="false">TRIM(SUBSTITUTE($A440,CHAR(160)," "))</f>
        <v>SC25 XL</v>
      </c>
    </row>
    <row r="441" customFormat="false" ht="15" hidden="false" customHeight="false" outlineLevel="0" collapsed="false">
      <c r="A441" s="8" t="s">
        <v>296</v>
      </c>
      <c r="B441" s="8" t="n">
        <v>4413422</v>
      </c>
      <c r="C441" s="8" t="s">
        <v>1554</v>
      </c>
      <c r="D441" s="8" t="str">
        <f aca="false">TRIM(SUBSTITUTE($A441,CHAR(160)," "))</f>
        <v>SC35L L</v>
      </c>
    </row>
    <row r="442" customFormat="false" ht="15" hidden="false" customHeight="false" outlineLevel="0" collapsed="false">
      <c r="A442" s="8" t="s">
        <v>433</v>
      </c>
      <c r="B442" s="8" t="n">
        <v>4413421</v>
      </c>
      <c r="C442" s="8" t="s">
        <v>1553</v>
      </c>
      <c r="D442" s="8" t="str">
        <f aca="false">TRIM(SUBSTITUTE($A442,CHAR(160)," "))</f>
        <v>SC35L M</v>
      </c>
    </row>
    <row r="443" customFormat="false" ht="15" hidden="false" customHeight="false" outlineLevel="0" collapsed="false">
      <c r="A443" s="8" t="s">
        <v>782</v>
      </c>
      <c r="B443" s="8" t="n">
        <v>4413420</v>
      </c>
      <c r="C443" s="8" t="s">
        <v>1552</v>
      </c>
      <c r="D443" s="8" t="str">
        <f aca="false">TRIM(SUBSTITUTE($A443,CHAR(160)," "))</f>
        <v>SC35L S</v>
      </c>
    </row>
    <row r="444" customFormat="false" ht="15" hidden="false" customHeight="false" outlineLevel="0" collapsed="false">
      <c r="A444" s="8" t="s">
        <v>297</v>
      </c>
      <c r="B444" s="8" t="n">
        <v>4413423</v>
      </c>
      <c r="C444" s="8" t="s">
        <v>1555</v>
      </c>
      <c r="D444" s="8" t="str">
        <f aca="false">TRIM(SUBSTITUTE($A444,CHAR(160)," "))</f>
        <v>SC35L XL</v>
      </c>
    </row>
    <row r="445" customFormat="false" ht="15" hidden="false" customHeight="false" outlineLevel="0" collapsed="false">
      <c r="A445" s="8" t="s">
        <v>298</v>
      </c>
      <c r="B445" s="8" t="n">
        <v>4413426</v>
      </c>
      <c r="C445" s="8" t="s">
        <v>1558</v>
      </c>
      <c r="D445" s="8" t="str">
        <f aca="false">TRIM(SUBSTITUTE($A445,CHAR(160)," "))</f>
        <v>SC35R L</v>
      </c>
    </row>
    <row r="446" customFormat="false" ht="15" hidden="false" customHeight="false" outlineLevel="0" collapsed="false">
      <c r="A446" s="8" t="s">
        <v>299</v>
      </c>
      <c r="B446" s="8" t="n">
        <v>4413425</v>
      </c>
      <c r="C446" s="8" t="s">
        <v>1557</v>
      </c>
      <c r="D446" s="8" t="str">
        <f aca="false">TRIM(SUBSTITUTE($A446,CHAR(160)," "))</f>
        <v>SC35R M</v>
      </c>
    </row>
    <row r="447" customFormat="false" ht="15" hidden="false" customHeight="false" outlineLevel="0" collapsed="false">
      <c r="A447" s="8" t="s">
        <v>300</v>
      </c>
      <c r="B447" s="8" t="n">
        <v>4413424</v>
      </c>
      <c r="C447" s="8" t="s">
        <v>1556</v>
      </c>
      <c r="D447" s="8" t="str">
        <f aca="false">TRIM(SUBSTITUTE($A447,CHAR(160)," "))</f>
        <v>SC35R S</v>
      </c>
    </row>
    <row r="448" customFormat="false" ht="15" hidden="false" customHeight="false" outlineLevel="0" collapsed="false">
      <c r="A448" s="8" t="s">
        <v>783</v>
      </c>
      <c r="B448" s="8" t="n">
        <v>4413427</v>
      </c>
      <c r="C448" s="8" t="s">
        <v>1559</v>
      </c>
      <c r="D448" s="8" t="str">
        <f aca="false">TRIM(SUBSTITUTE($A448,CHAR(160)," "))</f>
        <v>SC35R XL</v>
      </c>
    </row>
    <row r="449" customFormat="false" ht="15" hidden="false" customHeight="false" outlineLevel="0" collapsed="false">
      <c r="A449" s="8" t="s">
        <v>434</v>
      </c>
      <c r="B449" s="8" t="n">
        <v>4413417</v>
      </c>
      <c r="C449" s="8" t="s">
        <v>1549</v>
      </c>
      <c r="D449" s="8" t="str">
        <f aca="false">TRIM(SUBSTITUTE($A449,CHAR(160)," "))</f>
        <v>SC39 L</v>
      </c>
    </row>
    <row r="450" customFormat="false" ht="15" hidden="false" customHeight="false" outlineLevel="0" collapsed="false">
      <c r="A450" s="8" t="s">
        <v>301</v>
      </c>
      <c r="B450" s="8" t="n">
        <v>4413416</v>
      </c>
      <c r="C450" s="8" t="s">
        <v>1548</v>
      </c>
      <c r="D450" s="8" t="str">
        <f aca="false">TRIM(SUBSTITUTE($A450,CHAR(160)," "))</f>
        <v>SC39 M</v>
      </c>
    </row>
    <row r="451" customFormat="false" ht="15" hidden="false" customHeight="false" outlineLevel="0" collapsed="false">
      <c r="A451" s="8" t="s">
        <v>435</v>
      </c>
      <c r="B451" s="8" t="n">
        <v>4413415</v>
      </c>
      <c r="C451" s="8" t="s">
        <v>1547</v>
      </c>
      <c r="D451" s="8" t="str">
        <f aca="false">TRIM(SUBSTITUTE($A451,CHAR(160)," "))</f>
        <v>SC39 S</v>
      </c>
    </row>
    <row r="452" customFormat="false" ht="15" hidden="false" customHeight="false" outlineLevel="0" collapsed="false">
      <c r="A452" s="8" t="s">
        <v>608</v>
      </c>
      <c r="B452" s="8" t="n">
        <v>4413418</v>
      </c>
      <c r="C452" s="8" t="s">
        <v>1550</v>
      </c>
      <c r="D452" s="8" t="str">
        <f aca="false">TRIM(SUBSTITUTE($A452,CHAR(160)," "))</f>
        <v>SC39 XL</v>
      </c>
    </row>
    <row r="453" customFormat="false" ht="15" hidden="false" customHeight="false" outlineLevel="0" collapsed="false">
      <c r="A453" s="8" t="s">
        <v>609</v>
      </c>
      <c r="B453" s="8" t="n">
        <v>4413419</v>
      </c>
      <c r="C453" s="8" t="s">
        <v>1551</v>
      </c>
      <c r="D453" s="8" t="str">
        <f aca="false">TRIM(SUBSTITUTE($A453,CHAR(160)," "))</f>
        <v>SC39 XXL</v>
      </c>
    </row>
    <row r="454" customFormat="false" ht="15" hidden="false" customHeight="false" outlineLevel="0" collapsed="false">
      <c r="A454" s="8" t="s">
        <v>436</v>
      </c>
      <c r="B454" s="8" t="n">
        <v>4413440</v>
      </c>
      <c r="C454" s="8" t="s">
        <v>1562</v>
      </c>
      <c r="D454" s="8" t="str">
        <f aca="false">TRIM(SUBSTITUTE($A454,CHAR(160)," "))</f>
        <v>SC422 L</v>
      </c>
    </row>
    <row r="455" customFormat="false" ht="15" hidden="false" customHeight="false" outlineLevel="0" collapsed="false">
      <c r="A455" s="8" t="s">
        <v>302</v>
      </c>
      <c r="B455" s="8" t="n">
        <v>4413439</v>
      </c>
      <c r="C455" s="8" t="s">
        <v>1561</v>
      </c>
      <c r="D455" s="8" t="str">
        <f aca="false">TRIM(SUBSTITUTE($A455,CHAR(160)," "))</f>
        <v>SC422 M</v>
      </c>
    </row>
    <row r="456" customFormat="false" ht="15" hidden="false" customHeight="false" outlineLevel="0" collapsed="false">
      <c r="A456" s="8" t="s">
        <v>438</v>
      </c>
      <c r="B456" s="8" t="n">
        <v>4413441</v>
      </c>
      <c r="C456" s="8" t="s">
        <v>1563</v>
      </c>
      <c r="D456" s="8" t="str">
        <f aca="false">TRIM(SUBSTITUTE($A456,CHAR(160)," "))</f>
        <v>SC422 XL</v>
      </c>
    </row>
    <row r="457" customFormat="false" ht="15" hidden="false" customHeight="false" outlineLevel="0" collapsed="false">
      <c r="A457" s="8" t="s">
        <v>304</v>
      </c>
      <c r="B457" s="8" t="n">
        <v>4413407</v>
      </c>
      <c r="C457" s="8" t="s">
        <v>1545</v>
      </c>
      <c r="D457" s="8" t="str">
        <f aca="false">TRIM(SUBSTITUTE($A457,CHAR(160)," "))</f>
        <v>SC95 L</v>
      </c>
    </row>
    <row r="458" customFormat="false" ht="15" hidden="false" customHeight="false" outlineLevel="0" collapsed="false">
      <c r="A458" s="8" t="s">
        <v>305</v>
      </c>
      <c r="B458" s="8" t="n">
        <v>4413406</v>
      </c>
      <c r="C458" s="8" t="s">
        <v>1544</v>
      </c>
      <c r="D458" s="8" t="str">
        <f aca="false">TRIM(SUBSTITUTE($A458,CHAR(160)," "))</f>
        <v>SC95 M</v>
      </c>
    </row>
    <row r="459" customFormat="false" ht="15" hidden="false" customHeight="false" outlineLevel="0" collapsed="false">
      <c r="A459" s="8" t="s">
        <v>439</v>
      </c>
      <c r="B459" s="8" t="n">
        <v>4413408</v>
      </c>
      <c r="C459" s="8" t="s">
        <v>1546</v>
      </c>
      <c r="D459" s="8" t="str">
        <f aca="false">TRIM(SUBSTITUTE($A459,CHAR(160)," "))</f>
        <v>SC95 XL</v>
      </c>
    </row>
    <row r="460" customFormat="false" ht="15" hidden="false" customHeight="false" outlineLevel="0" collapsed="false">
      <c r="A460" s="8" t="s">
        <v>1846</v>
      </c>
      <c r="B460" s="8" t="n">
        <v>4420034</v>
      </c>
      <c r="C460" s="8" t="s">
        <v>1704</v>
      </c>
      <c r="D460" s="8" t="str">
        <f aca="false">TRIM(SUBSTITUTE($A460,CHAR(160)," "))</f>
        <v>381 0</v>
      </c>
    </row>
    <row r="461" customFormat="false" ht="15" hidden="false" customHeight="false" outlineLevel="0" collapsed="false">
      <c r="A461" s="8" t="s">
        <v>179</v>
      </c>
      <c r="B461" s="8" t="n">
        <v>4415299</v>
      </c>
      <c r="C461" s="8" t="s">
        <v>1656</v>
      </c>
      <c r="D461" s="8" t="str">
        <f aca="false">TRIM(SUBSTITUTE($A461,CHAR(160)," "))</f>
        <v>388BR 0</v>
      </c>
    </row>
    <row r="462" customFormat="false" ht="15" hidden="false" customHeight="false" outlineLevel="0" collapsed="false">
      <c r="A462" s="8" t="s">
        <v>178</v>
      </c>
      <c r="B462" s="8" t="n">
        <v>4415298</v>
      </c>
      <c r="C462" s="8" t="s">
        <v>1655</v>
      </c>
      <c r="D462" s="8" t="str">
        <f aca="false">TRIM(SUBSTITUTE($A462,CHAR(160)," "))</f>
        <v>388BL 0</v>
      </c>
    </row>
    <row r="463" customFormat="false" ht="15" hidden="false" customHeight="false" outlineLevel="0" collapsed="false">
      <c r="A463" s="8" t="s">
        <v>238</v>
      </c>
      <c r="B463" s="8" t="n">
        <v>4422000</v>
      </c>
      <c r="C463" s="8" t="s">
        <v>1716</v>
      </c>
      <c r="D463" s="8" t="str">
        <f aca="false">TRIM(SUBSTITUTE($A463,CHAR(160)," "))</f>
        <v>801 0</v>
      </c>
    </row>
    <row r="464" customFormat="false" ht="15" hidden="false" customHeight="false" outlineLevel="0" collapsed="false">
      <c r="A464" s="8" t="s">
        <v>415</v>
      </c>
      <c r="B464" s="8" t="n">
        <v>4422023</v>
      </c>
      <c r="C464" s="8" t="s">
        <v>1723</v>
      </c>
      <c r="D464" s="8" t="str">
        <f aca="false">TRIM(SUBSTITUTE($A464,CHAR(160)," "))</f>
        <v>806CB-C</v>
      </c>
    </row>
    <row r="465" customFormat="false" ht="15" hidden="false" customHeight="false" outlineLevel="0" collapsed="false">
      <c r="A465" s="8" t="s">
        <v>414</v>
      </c>
      <c r="B465" s="8" t="n">
        <v>4422024</v>
      </c>
      <c r="C465" s="8" t="s">
        <v>1724</v>
      </c>
      <c r="D465" s="8" t="str">
        <f aca="false">TRIM(SUBSTITUTE($A465,CHAR(160)," "))</f>
        <v>806CB-B</v>
      </c>
    </row>
    <row r="466" customFormat="false" ht="15" hidden="false" customHeight="false" outlineLevel="0" collapsed="false">
      <c r="A466" s="8" t="s">
        <v>416</v>
      </c>
      <c r="B466" s="8" t="n">
        <v>4422025</v>
      </c>
      <c r="C466" s="8" t="s">
        <v>1725</v>
      </c>
      <c r="D466" s="8" t="str">
        <f aca="false">TRIM(SUBSTITUTE($A466,CHAR(160)," "))</f>
        <v>806CB-GR</v>
      </c>
    </row>
    <row r="467" customFormat="false" ht="15" hidden="false" customHeight="false" outlineLevel="0" collapsed="false">
      <c r="A467" s="8" t="s">
        <v>417</v>
      </c>
      <c r="B467" s="8" t="n">
        <v>4422026</v>
      </c>
      <c r="C467" s="8" t="s">
        <v>1726</v>
      </c>
      <c r="D467" s="8" t="str">
        <f aca="false">TRIM(SUBSTITUTE($A467,CHAR(160)," "))</f>
        <v>806CB-P</v>
      </c>
    </row>
    <row r="468" customFormat="false" ht="15" hidden="false" customHeight="false" outlineLevel="0" collapsed="false">
      <c r="A468" s="8" t="s">
        <v>244</v>
      </c>
      <c r="B468" s="8" t="n">
        <v>4422032</v>
      </c>
      <c r="C468" s="8" t="s">
        <v>1847</v>
      </c>
      <c r="D468" s="8" t="str">
        <f aca="false">TRIM(SUBSTITUTE($A468,CHAR(160)," "))</f>
        <v>807CB-B</v>
      </c>
    </row>
    <row r="469" customFormat="false" ht="15" hidden="false" customHeight="false" outlineLevel="0" collapsed="false">
      <c r="A469" s="8" t="s">
        <v>245</v>
      </c>
      <c r="B469" s="8" t="n">
        <v>4422033</v>
      </c>
      <c r="C469" s="8" t="s">
        <v>1848</v>
      </c>
      <c r="D469" s="8" t="str">
        <f aca="false">TRIM(SUBSTITUTE($A469,CHAR(160)," "))</f>
        <v>807CB-BL</v>
      </c>
    </row>
    <row r="470" customFormat="false" ht="15" hidden="false" customHeight="false" outlineLevel="0" collapsed="false">
      <c r="A470" s="8" t="s">
        <v>246</v>
      </c>
      <c r="B470" s="8" t="n">
        <v>4422031</v>
      </c>
      <c r="C470" s="8" t="s">
        <v>1849</v>
      </c>
      <c r="D470" s="8" t="str">
        <f aca="false">TRIM(SUBSTITUTE($A470,CHAR(160)," "))</f>
        <v>807CB-C</v>
      </c>
    </row>
    <row r="471" customFormat="false" ht="15" hidden="false" customHeight="false" outlineLevel="0" collapsed="false">
      <c r="A471" s="8" t="s">
        <v>505</v>
      </c>
      <c r="B471" s="8" t="n">
        <v>4422034</v>
      </c>
      <c r="C471" s="8" t="s">
        <v>1730</v>
      </c>
      <c r="D471" s="8" t="str">
        <f aca="false">TRIM(SUBSTITUTE($A471,CHAR(160)," "))</f>
        <v>807CB-P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false" outlineLevel="0" collapsed="false">
      <c r="A1" s="13" t="s">
        <v>1850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22.35" hidden="false" customHeight="true" outlineLevel="0" collapsed="false">
      <c r="A3" s="20" t="s">
        <v>1851</v>
      </c>
      <c r="B3" s="20"/>
      <c r="C3" s="20"/>
    </row>
    <row r="5" customFormat="false" ht="15" hidden="false" customHeight="false" outlineLevel="0" collapsed="false">
      <c r="A5" s="7" t="s">
        <v>31</v>
      </c>
      <c r="B5" s="7" t="s">
        <v>1852</v>
      </c>
      <c r="C5" s="7" t="s">
        <v>1853</v>
      </c>
    </row>
    <row r="6" customFormat="false" ht="15" hidden="false" customHeight="false" outlineLevel="0" collapsed="false">
      <c r="A6" s="8" t="n">
        <v>4402014</v>
      </c>
      <c r="B6" s="8" t="s">
        <v>1854</v>
      </c>
      <c r="C6" s="8" t="str">
        <f aca="false">TRIM(SUBSTITUTE($B6,CHAR(160)," "))</f>
        <v>BE CARE תחבושת אלסטית 10ס""מ</v>
      </c>
    </row>
    <row r="7" customFormat="false" ht="15" hidden="false" customHeight="false" outlineLevel="0" collapsed="false">
      <c r="A7" s="8" t="n">
        <v>4402012</v>
      </c>
      <c r="B7" s="8" t="s">
        <v>1757</v>
      </c>
      <c r="C7" s="8" t="str">
        <f aca="false">TRIM(SUBSTITUTE($B7,CHAR(160)," "))</f>
        <v>BE CARE תחבושת אלסטית 5 ס""מ</v>
      </c>
    </row>
    <row r="8" customFormat="false" ht="15" hidden="false" customHeight="false" outlineLevel="0" collapsed="false">
      <c r="A8" s="8" t="n">
        <v>4402013</v>
      </c>
      <c r="B8" s="8" t="s">
        <v>1855</v>
      </c>
      <c r="C8" s="8" t="str">
        <f aca="false">TRIM(SUBSTITUTE($B8,CHAR(160)," "))</f>
        <v>BE CARE תחבושת אלסטית 7.5סמ</v>
      </c>
    </row>
    <row r="9" customFormat="false" ht="15" hidden="false" customHeight="false" outlineLevel="0" collapsed="false">
      <c r="A9" s="8" t="n">
        <v>4402015</v>
      </c>
      <c r="B9" s="8" t="s">
        <v>1856</v>
      </c>
      <c r="C9" s="8" t="str">
        <f aca="false">TRIM(SUBSTITUTE($B9,CHAR(160)," "))</f>
        <v>BE CARE CB BEIGE</v>
      </c>
    </row>
    <row r="10" customFormat="false" ht="15" hidden="false" customHeight="false" outlineLevel="0" collapsed="false">
      <c r="A10" s="8" t="n">
        <v>4402016</v>
      </c>
      <c r="B10" s="8" t="s">
        <v>1857</v>
      </c>
      <c r="C10" s="8" t="str">
        <f aca="false">TRIM(SUBSTITUTE($B10,CHAR(160)," "))</f>
        <v>BE CARE CB BLACK</v>
      </c>
    </row>
    <row r="11" customFormat="false" ht="15" hidden="false" customHeight="false" outlineLevel="0" collapsed="false">
      <c r="A11" s="8" t="n">
        <v>4402017</v>
      </c>
      <c r="B11" s="8" t="s">
        <v>1858</v>
      </c>
      <c r="C11" s="8" t="str">
        <f aca="false">TRIM(SUBSTITUTE($B11,CHAR(160)," "))</f>
        <v>BE CARE CB GREEN</v>
      </c>
    </row>
    <row r="12" customFormat="false" ht="15" hidden="false" customHeight="false" outlineLevel="0" collapsed="false">
      <c r="A12" s="8" t="n">
        <v>4402018</v>
      </c>
      <c r="B12" s="8" t="s">
        <v>1859</v>
      </c>
      <c r="C12" s="8" t="str">
        <f aca="false">TRIM(SUBSTITUTE($B12,CHAR(160)," "))</f>
        <v>BE CARE CB PINK</v>
      </c>
    </row>
    <row r="13" customFormat="false" ht="15" hidden="false" customHeight="false" outlineLevel="0" collapsed="false">
      <c r="A13" s="8" t="n">
        <v>4402019</v>
      </c>
      <c r="B13" s="8" t="s">
        <v>1860</v>
      </c>
      <c r="C13" s="8" t="str">
        <f aca="false">TRIM(SUBSTITUTE($B13,CHAR(160)," "))</f>
        <v>BE CARE KT BEIGE</v>
      </c>
    </row>
    <row r="14" customFormat="false" ht="15" hidden="false" customHeight="false" outlineLevel="0" collapsed="false">
      <c r="A14" s="8" t="n">
        <v>4402020</v>
      </c>
      <c r="B14" s="8" t="s">
        <v>1758</v>
      </c>
      <c r="C14" s="8" t="str">
        <f aca="false">TRIM(SUBSTITUTE($B14,CHAR(160)," "))</f>
        <v>BE CARE KT BLACK</v>
      </c>
    </row>
    <row r="15" customFormat="false" ht="15" hidden="false" customHeight="false" outlineLevel="0" collapsed="false">
      <c r="A15" s="8" t="n">
        <v>4402021</v>
      </c>
      <c r="B15" s="8" t="s">
        <v>1759</v>
      </c>
      <c r="C15" s="8" t="str">
        <f aca="false">TRIM(SUBSTITUTE($B15,CHAR(160)," "))</f>
        <v>BE CARE KT BLUE</v>
      </c>
    </row>
    <row r="16" customFormat="false" ht="15" hidden="false" customHeight="false" outlineLevel="0" collapsed="false">
      <c r="A16" s="8" t="n">
        <v>4402022</v>
      </c>
      <c r="B16" s="8" t="s">
        <v>1861</v>
      </c>
      <c r="C16" s="8" t="str">
        <f aca="false">TRIM(SUBSTITUTE($B16,CHAR(160)," "))</f>
        <v>BE CARE KT PINK</v>
      </c>
    </row>
    <row r="17" customFormat="false" ht="15" hidden="false" customHeight="false" outlineLevel="0" collapsed="false">
      <c r="A17" s="8" t="n">
        <v>4420016</v>
      </c>
      <c r="B17" s="8" t="s">
        <v>1691</v>
      </c>
      <c r="C17" s="8" t="str">
        <f aca="false">TRIM(SUBSTITUTE($B17,CHAR(160)," "))</f>
        <v>40-רצועת פיקה לברך</v>
      </c>
    </row>
    <row r="18" customFormat="false" ht="15" hidden="false" customHeight="false" outlineLevel="0" collapsed="false">
      <c r="A18" s="8" t="n">
        <v>4420017</v>
      </c>
      <c r="B18" s="8" t="s">
        <v>1692</v>
      </c>
      <c r="C18" s="8" t="str">
        <f aca="false">TRIM(SUBSTITUTE($B18,CHAR(160)," "))</f>
        <v>4022 רצועת ""פיקה""+כרית</v>
      </c>
    </row>
    <row r="19" customFormat="false" ht="15" hidden="false" customHeight="false" outlineLevel="0" collapsed="false">
      <c r="A19" s="8" t="n">
        <v>4413074</v>
      </c>
      <c r="B19" s="8" t="s">
        <v>1399</v>
      </c>
      <c r="C19" s="8" t="str">
        <f aca="false">TRIM(SUBSTITUTE($B19,CHAR(160)," "))</f>
        <v>41 XL.מ.ברך מוצלב+ספירלות בצד</v>
      </c>
    </row>
    <row r="20" customFormat="false" ht="15" hidden="false" customHeight="false" outlineLevel="0" collapsed="false">
      <c r="A20" s="8" t="n">
        <v>4413072</v>
      </c>
      <c r="B20" s="8" t="s">
        <v>1397</v>
      </c>
      <c r="C20" s="8" t="str">
        <f aca="false">TRIM(SUBSTITUTE($B20,CHAR(160)," "))</f>
        <v>41 Lמ.ברך מוצלב+ספירלות בצדדים</v>
      </c>
    </row>
    <row r="21" customFormat="false" ht="15" hidden="false" customHeight="false" outlineLevel="0" collapsed="false">
      <c r="A21" s="8" t="n">
        <v>4413073</v>
      </c>
      <c r="B21" s="8" t="s">
        <v>1398</v>
      </c>
      <c r="C21" s="8" t="str">
        <f aca="false">TRIM(SUBSTITUTE($B21,CHAR(160)," "))</f>
        <v>41 Mמ.ברך מוצלב+ספירלות בצדדים</v>
      </c>
    </row>
    <row r="22" customFormat="false" ht="15" hidden="false" customHeight="false" outlineLevel="0" collapsed="false">
      <c r="A22" s="8" t="n">
        <v>4413071</v>
      </c>
      <c r="B22" s="8" t="s">
        <v>1396</v>
      </c>
      <c r="C22" s="8" t="str">
        <f aca="false">TRIM(SUBSTITUTE($B22,CHAR(160)," "))</f>
        <v>41 Sמ.ברך מוצלב+ספירלות בצדדים</v>
      </c>
    </row>
    <row r="23" customFormat="false" ht="15" hidden="false" customHeight="false" outlineLevel="0" collapsed="false">
      <c r="A23" s="8" t="n">
        <v>4413275</v>
      </c>
      <c r="B23" s="8" t="s">
        <v>1862</v>
      </c>
      <c r="C23" s="8" t="str">
        <f aca="false">TRIM(SUBSTITUTE($B23,CHAR(160)," "))</f>
        <v>41 XS מ.ברך מוצלב+מוטות</v>
      </c>
    </row>
    <row r="24" customFormat="false" ht="15" hidden="false" customHeight="false" outlineLevel="0" collapsed="false">
      <c r="A24" s="8" t="n">
        <v>4413075</v>
      </c>
      <c r="B24" s="8" t="s">
        <v>1863</v>
      </c>
      <c r="C24" s="8" t="str">
        <f aca="false">TRIM(SUBSTITUTE($B24,CHAR(160)," "))</f>
        <v>41 XXL.מ.ברך מוצלב+ספירלות בצד</v>
      </c>
    </row>
    <row r="25" customFormat="false" ht="15" hidden="false" customHeight="false" outlineLevel="0" collapsed="false">
      <c r="A25" s="8" t="n">
        <v>4413076</v>
      </c>
      <c r="B25" s="8" t="s">
        <v>1400</v>
      </c>
      <c r="C25" s="8" t="str">
        <f aca="false">TRIM(SUBSTITUTE($B25,CHAR(160)," "))</f>
        <v>41X L מגן ברך מוצלב+מוט</v>
      </c>
    </row>
    <row r="26" customFormat="false" ht="15" hidden="false" customHeight="false" outlineLevel="0" collapsed="false">
      <c r="A26" s="8" t="n">
        <v>4413077</v>
      </c>
      <c r="B26" s="8" t="s">
        <v>1401</v>
      </c>
      <c r="C26" s="8" t="str">
        <f aca="false">TRIM(SUBSTITUTE($B26,CHAR(160)," "))</f>
        <v>41X M מגן ברך מוצלב+מוט</v>
      </c>
    </row>
    <row r="27" customFormat="false" ht="15" hidden="false" customHeight="false" outlineLevel="0" collapsed="false">
      <c r="A27" s="8" t="n">
        <v>4413078</v>
      </c>
      <c r="B27" s="8" t="s">
        <v>1770</v>
      </c>
      <c r="C27" s="8" t="str">
        <f aca="false">TRIM(SUBSTITUTE($B27,CHAR(160)," "))</f>
        <v>41X S מגן ברך מוצלב+מוט</v>
      </c>
    </row>
    <row r="28" customFormat="false" ht="15" hidden="false" customHeight="false" outlineLevel="0" collapsed="false">
      <c r="A28" s="8" t="n">
        <v>4413079</v>
      </c>
      <c r="B28" s="8" t="s">
        <v>1402</v>
      </c>
      <c r="C28" s="8" t="str">
        <f aca="false">TRIM(SUBSTITUTE($B28,CHAR(160)," "))</f>
        <v>41X XL מגן ברך מוצלב+מוט</v>
      </c>
    </row>
    <row r="29" customFormat="false" ht="15" hidden="false" customHeight="false" outlineLevel="0" collapsed="false">
      <c r="A29" s="8" t="n">
        <v>4413080</v>
      </c>
      <c r="B29" s="8" t="s">
        <v>1864</v>
      </c>
      <c r="C29" s="8" t="str">
        <f aca="false">TRIM(SUBSTITUTE($B29,CHAR(160)," "))</f>
        <v>41X XS מגן ברך מוצלב+מוט</v>
      </c>
    </row>
    <row r="30" customFormat="false" ht="15" hidden="false" customHeight="false" outlineLevel="0" collapsed="false">
      <c r="A30" s="8" t="n">
        <v>4413081</v>
      </c>
      <c r="B30" s="8" t="s">
        <v>1865</v>
      </c>
      <c r="C30" s="8" t="str">
        <f aca="false">TRIM(SUBSTITUTE($B30,CHAR(160)," "))</f>
        <v>41X XXL מגן ברך מוצלב+מוט</v>
      </c>
    </row>
    <row r="31" customFormat="false" ht="15" hidden="false" customHeight="false" outlineLevel="0" collapsed="false">
      <c r="A31" s="8" t="n">
        <v>4413087</v>
      </c>
      <c r="B31" s="8" t="s">
        <v>1403</v>
      </c>
      <c r="C31" s="8" t="str">
        <f aca="false">TRIM(SUBSTITUTE($B31,CHAR(160)," "))</f>
        <v>422 Lמ.ברך+כרית סיל.סביב לפיקה</v>
      </c>
    </row>
    <row r="32" customFormat="false" ht="15" hidden="false" customHeight="false" outlineLevel="0" collapsed="false">
      <c r="A32" s="8" t="n">
        <v>4413088</v>
      </c>
      <c r="B32" s="8" t="s">
        <v>1404</v>
      </c>
      <c r="C32" s="8" t="str">
        <f aca="false">TRIM(SUBSTITUTE($B32,CHAR(160)," "))</f>
        <v>422 Mמ.ברך+כרית סיל.סביב לפיקה</v>
      </c>
    </row>
    <row r="33" customFormat="false" ht="15" hidden="false" customHeight="false" outlineLevel="0" collapsed="false">
      <c r="A33" s="8" t="n">
        <v>4413089</v>
      </c>
      <c r="B33" s="8" t="s">
        <v>1405</v>
      </c>
      <c r="C33" s="8" t="str">
        <f aca="false">TRIM(SUBSTITUTE($B33,CHAR(160)," "))</f>
        <v>422 Sמ.ברך+כרית סיל.סביב לפיקה</v>
      </c>
    </row>
    <row r="34" customFormat="false" ht="15" hidden="false" customHeight="false" outlineLevel="0" collapsed="false">
      <c r="A34" s="8" t="n">
        <v>4413090</v>
      </c>
      <c r="B34" s="8" t="s">
        <v>1406</v>
      </c>
      <c r="C34" s="8" t="str">
        <f aca="false">TRIM(SUBSTITUTE($B34,CHAR(160)," "))</f>
        <v>422 XLמ.ברך+כרית סיל.סביב לפיק</v>
      </c>
    </row>
    <row r="35" customFormat="false" ht="15" hidden="false" customHeight="false" outlineLevel="0" collapsed="false">
      <c r="A35" s="8" t="n">
        <v>4413091</v>
      </c>
      <c r="B35" s="8" t="s">
        <v>1407</v>
      </c>
      <c r="C35" s="8" t="str">
        <f aca="false">TRIM(SUBSTITUTE($B35,CHAR(160)," "))</f>
        <v>422 XXLמ.ברך+כרית סיל.סב. פיקה</v>
      </c>
    </row>
    <row r="36" customFormat="false" ht="15" hidden="false" customHeight="false" outlineLevel="0" collapsed="false">
      <c r="A36" s="8" t="n">
        <v>4413083</v>
      </c>
      <c r="B36" s="8" t="s">
        <v>1866</v>
      </c>
      <c r="C36" s="8" t="str">
        <f aca="false">TRIM(SUBSTITUTE($B36,CHAR(160)," "))</f>
        <v>422+ L מ.ברך סיליק.רצועות לבן</v>
      </c>
    </row>
    <row r="37" customFormat="false" ht="15" hidden="false" customHeight="false" outlineLevel="0" collapsed="false">
      <c r="A37" s="8" t="n">
        <v>4413084</v>
      </c>
      <c r="B37" s="8" t="s">
        <v>1867</v>
      </c>
      <c r="C37" s="8" t="str">
        <f aca="false">TRIM(SUBSTITUTE($B37,CHAR(160)," "))</f>
        <v>422+ Mמ.ברך סיל.רצועות חזק לבן</v>
      </c>
    </row>
    <row r="38" customFormat="false" ht="15" hidden="false" customHeight="false" outlineLevel="0" collapsed="false">
      <c r="A38" s="8" t="n">
        <v>4413085</v>
      </c>
      <c r="B38" s="8" t="s">
        <v>1868</v>
      </c>
      <c r="C38" s="8" t="str">
        <f aca="false">TRIM(SUBSTITUTE($B38,CHAR(160)," "))</f>
        <v>422+ XLמ.ברך סיליק.לבן</v>
      </c>
    </row>
    <row r="39" customFormat="false" ht="15" hidden="false" customHeight="false" outlineLevel="0" collapsed="false">
      <c r="A39" s="8" t="n">
        <v>4413086</v>
      </c>
      <c r="B39" s="8" t="s">
        <v>1869</v>
      </c>
      <c r="C39" s="8" t="str">
        <f aca="false">TRIM(SUBSTITUTE($B39,CHAR(160)," "))</f>
        <v>422+ XXLמ.ברך סיל.רצוע.חזק לבן</v>
      </c>
    </row>
    <row r="40" customFormat="false" ht="15" hidden="false" customHeight="false" outlineLevel="0" collapsed="false">
      <c r="A40" s="8" t="n">
        <v>4413279</v>
      </c>
      <c r="B40" s="8" t="s">
        <v>1777</v>
      </c>
      <c r="C40" s="8" t="str">
        <f aca="false">TRIM(SUBSTITUTE($B40,CHAR(160)," "))</f>
        <v>422E L מגן ברך ארוך עם כרית</v>
      </c>
    </row>
    <row r="41" customFormat="false" ht="15" hidden="false" customHeight="false" outlineLevel="0" collapsed="false">
      <c r="A41" s="8" t="n">
        <v>4413280</v>
      </c>
      <c r="B41" s="8" t="s">
        <v>1870</v>
      </c>
      <c r="C41" s="8" t="str">
        <f aca="false">TRIM(SUBSTITUTE($B41,CHAR(160)," "))</f>
        <v>422E M מגן ברך ארוך עם כרית</v>
      </c>
    </row>
    <row r="42" customFormat="false" ht="15" hidden="false" customHeight="false" outlineLevel="0" collapsed="false">
      <c r="A42" s="8" t="n">
        <v>4413281</v>
      </c>
      <c r="B42" s="8" t="s">
        <v>1778</v>
      </c>
      <c r="C42" s="8" t="str">
        <f aca="false">TRIM(SUBSTITUTE($B42,CHAR(160)," "))</f>
        <v>422E S מגן ברך ארוך עם כרית</v>
      </c>
    </row>
    <row r="43" customFormat="false" ht="15" hidden="false" customHeight="false" outlineLevel="0" collapsed="false">
      <c r="A43" s="8" t="n">
        <v>4413282</v>
      </c>
      <c r="B43" s="8" t="s">
        <v>1502</v>
      </c>
      <c r="C43" s="8" t="str">
        <f aca="false">TRIM(SUBSTITUTE($B43,CHAR(160)," "))</f>
        <v>422E XL מגן ברך ארוך עם כרית</v>
      </c>
    </row>
    <row r="44" customFormat="false" ht="15" hidden="false" customHeight="false" outlineLevel="0" collapsed="false">
      <c r="A44" s="8" t="n">
        <v>4413283</v>
      </c>
      <c r="B44" s="8" t="s">
        <v>1503</v>
      </c>
      <c r="C44" s="8" t="str">
        <f aca="false">TRIM(SUBSTITUTE($B44,CHAR(160)," "))</f>
        <v>422E XXL מגן ברך ארוך עם כרית</v>
      </c>
    </row>
    <row r="45" customFormat="false" ht="15" hidden="false" customHeight="false" outlineLevel="0" collapsed="false">
      <c r="A45" s="8" t="n">
        <v>4413284</v>
      </c>
      <c r="B45" s="8" t="s">
        <v>1504</v>
      </c>
      <c r="C45" s="8" t="str">
        <f aca="false">TRIM(SUBSTITUTE($B45,CHAR(160)," "))</f>
        <v>422E XXXL מגן ברך ארוך עם כרית</v>
      </c>
    </row>
    <row r="46" customFormat="false" ht="15" hidden="false" customHeight="false" outlineLevel="0" collapsed="false">
      <c r="A46" s="8" t="n">
        <v>4413341</v>
      </c>
      <c r="B46" s="8" t="s">
        <v>1521</v>
      </c>
      <c r="C46" s="8" t="str">
        <f aca="false">TRIM(SUBSTITUTE($B46,CHAR(160)," "))</f>
        <v>422N L מ.ברך אפור+כרית סיליקון</v>
      </c>
    </row>
    <row r="47" customFormat="false" ht="15" hidden="false" customHeight="false" outlineLevel="0" collapsed="false">
      <c r="A47" s="8" t="n">
        <v>4413342</v>
      </c>
      <c r="B47" s="8" t="s">
        <v>1522</v>
      </c>
      <c r="C47" s="8" t="str">
        <f aca="false">TRIM(SUBSTITUTE($B47,CHAR(160)," "))</f>
        <v>422N M מ.ברך אפור+כרית סיליקון</v>
      </c>
    </row>
    <row r="48" customFormat="false" ht="15" hidden="false" customHeight="false" outlineLevel="0" collapsed="false">
      <c r="A48" s="8" t="n">
        <v>4413344</v>
      </c>
      <c r="B48" s="8" t="s">
        <v>1523</v>
      </c>
      <c r="C48" s="8" t="str">
        <f aca="false">TRIM(SUBSTITUTE($B48,CHAR(160)," "))</f>
        <v>422N XLמ.ברך אפור+כרית סיליקון</v>
      </c>
    </row>
    <row r="49" customFormat="false" ht="15" hidden="false" customHeight="false" outlineLevel="0" collapsed="false">
      <c r="A49" s="8" t="n">
        <v>4413345</v>
      </c>
      <c r="B49" s="8" t="s">
        <v>1524</v>
      </c>
      <c r="C49" s="8" t="str">
        <f aca="false">TRIM(SUBSTITUTE($B49,CHAR(160)," "))</f>
        <v>422N XXL.מ.ברך אפור+כרית סיליק</v>
      </c>
    </row>
    <row r="50" customFormat="false" ht="15" hidden="false" customHeight="false" outlineLevel="0" collapsed="false">
      <c r="A50" s="8" t="n">
        <v>4415104</v>
      </c>
      <c r="B50" s="8" t="s">
        <v>1871</v>
      </c>
      <c r="C50" s="8" t="str">
        <f aca="false">TRIM(SUBSTITUTE($B50,CHAR(160)," "))</f>
        <v>44G XL-Lסד ברך לאחר ניתוח</v>
      </c>
    </row>
    <row r="51" customFormat="false" ht="15" hidden="false" customHeight="false" outlineLevel="0" collapsed="false">
      <c r="A51" s="8" t="n">
        <v>4413332</v>
      </c>
      <c r="B51" s="8" t="s">
        <v>1514</v>
      </c>
      <c r="C51" s="8" t="str">
        <f aca="false">TRIM(SUBSTITUTE($B51,CHAR(160)," "))</f>
        <v>45 XS מגן ברך רגיל לבן</v>
      </c>
    </row>
    <row r="52" customFormat="false" ht="15" hidden="false" customHeight="false" outlineLevel="0" collapsed="false">
      <c r="A52" s="8" t="n">
        <v>4413092</v>
      </c>
      <c r="B52" s="8" t="s">
        <v>1408</v>
      </c>
      <c r="C52" s="8" t="str">
        <f aca="false">TRIM(SUBSTITUTE($B52,CHAR(160)," "))</f>
        <v>45 L מגן ברך לבן</v>
      </c>
    </row>
    <row r="53" customFormat="false" ht="15" hidden="false" customHeight="false" outlineLevel="0" collapsed="false">
      <c r="A53" s="8" t="n">
        <v>4413093</v>
      </c>
      <c r="B53" s="8" t="s">
        <v>1409</v>
      </c>
      <c r="C53" s="8" t="str">
        <f aca="false">TRIM(SUBSTITUTE($B53,CHAR(160)," "))</f>
        <v>45 M מגן ברך לבן</v>
      </c>
    </row>
    <row r="54" customFormat="false" ht="15" hidden="false" customHeight="false" outlineLevel="0" collapsed="false">
      <c r="A54" s="8" t="n">
        <v>4413094</v>
      </c>
      <c r="B54" s="8" t="s">
        <v>1410</v>
      </c>
      <c r="C54" s="8" t="str">
        <f aca="false">TRIM(SUBSTITUTE($B54,CHAR(160)," "))</f>
        <v>45 S מגן ברך לבן</v>
      </c>
    </row>
    <row r="55" customFormat="false" ht="15" hidden="false" customHeight="false" outlineLevel="0" collapsed="false">
      <c r="A55" s="8" t="n">
        <v>4413095</v>
      </c>
      <c r="B55" s="8" t="s">
        <v>1411</v>
      </c>
      <c r="C55" s="8" t="str">
        <f aca="false">TRIM(SUBSTITUTE($B55,CHAR(160)," "))</f>
        <v>45 XL מגן ברך לבן</v>
      </c>
    </row>
    <row r="56" customFormat="false" ht="15" hidden="false" customHeight="false" outlineLevel="0" collapsed="false">
      <c r="A56" s="8" t="n">
        <v>4413096</v>
      </c>
      <c r="B56" s="8" t="s">
        <v>1412</v>
      </c>
      <c r="C56" s="8" t="str">
        <f aca="false">TRIM(SUBSTITUTE($B56,CHAR(160)," "))</f>
        <v>45 XXL מגן ברך לבן</v>
      </c>
    </row>
    <row r="57" customFormat="false" ht="15" hidden="false" customHeight="false" outlineLevel="0" collapsed="false">
      <c r="A57" s="8" t="n">
        <v>4413495</v>
      </c>
      <c r="B57" s="8" t="s">
        <v>1581</v>
      </c>
      <c r="C57" s="8" t="str">
        <f aca="false">TRIM(SUBSTITUTE($B57,CHAR(160)," "))</f>
        <v>45B L מגן ברך שחור</v>
      </c>
    </row>
    <row r="58" customFormat="false" ht="15" hidden="false" customHeight="false" outlineLevel="0" collapsed="false">
      <c r="A58" s="8" t="n">
        <v>4413497</v>
      </c>
      <c r="B58" s="8" t="s">
        <v>1583</v>
      </c>
      <c r="C58" s="8" t="str">
        <f aca="false">TRIM(SUBSTITUTE($B58,CHAR(160)," "))</f>
        <v>45B M מגן ברך שחור</v>
      </c>
    </row>
    <row r="59" customFormat="false" ht="15" hidden="false" customHeight="false" outlineLevel="0" collapsed="false">
      <c r="A59" s="8" t="n">
        <v>4413498</v>
      </c>
      <c r="B59" s="8" t="s">
        <v>1584</v>
      </c>
      <c r="C59" s="8" t="str">
        <f aca="false">TRIM(SUBSTITUTE($B59,CHAR(160)," "))</f>
        <v>45B S מגן ברך שחור</v>
      </c>
    </row>
    <row r="60" customFormat="false" ht="15" hidden="false" customHeight="false" outlineLevel="0" collapsed="false">
      <c r="A60" s="8" t="n">
        <v>4413496</v>
      </c>
      <c r="B60" s="8" t="s">
        <v>1582</v>
      </c>
      <c r="C60" s="8" t="str">
        <f aca="false">TRIM(SUBSTITUTE($B60,CHAR(160)," "))</f>
        <v>45B XL מגן ברך שחור</v>
      </c>
    </row>
    <row r="61" customFormat="false" ht="15" hidden="false" customHeight="false" outlineLevel="0" collapsed="false">
      <c r="A61" s="8" t="n">
        <v>4413499</v>
      </c>
      <c r="B61" s="8" t="s">
        <v>1585</v>
      </c>
      <c r="C61" s="8" t="str">
        <f aca="false">TRIM(SUBSTITUTE($B61,CHAR(160)," "))</f>
        <v>45B XXLמגן ברך שחור</v>
      </c>
    </row>
    <row r="62" customFormat="false" ht="15" hidden="false" customHeight="false" outlineLevel="0" collapsed="false">
      <c r="A62" s="8" t="n">
        <v>4413098</v>
      </c>
      <c r="B62" s="8" t="s">
        <v>1414</v>
      </c>
      <c r="C62" s="8" t="str">
        <f aca="false">TRIM(SUBSTITUTE($B62,CHAR(160)," "))</f>
        <v>45C L מגן ברך חום</v>
      </c>
    </row>
    <row r="63" customFormat="false" ht="15" hidden="false" customHeight="false" outlineLevel="0" collapsed="false">
      <c r="A63" s="8" t="n">
        <v>4413099</v>
      </c>
      <c r="B63" s="8" t="s">
        <v>1415</v>
      </c>
      <c r="C63" s="8" t="str">
        <f aca="false">TRIM(SUBSTITUTE($B63,CHAR(160)," "))</f>
        <v>45C M מגן ברך חום</v>
      </c>
    </row>
    <row r="64" customFormat="false" ht="15" hidden="false" customHeight="false" outlineLevel="0" collapsed="false">
      <c r="A64" s="8" t="n">
        <v>4413097</v>
      </c>
      <c r="B64" s="8" t="s">
        <v>1413</v>
      </c>
      <c r="C64" s="8" t="str">
        <f aca="false">TRIM(SUBSTITUTE($B64,CHAR(160)," "))</f>
        <v>45C S מגן ברך חום</v>
      </c>
    </row>
    <row r="65" customFormat="false" ht="15" hidden="false" customHeight="false" outlineLevel="0" collapsed="false">
      <c r="A65" s="8" t="n">
        <v>4413100</v>
      </c>
      <c r="B65" s="8" t="s">
        <v>1416</v>
      </c>
      <c r="C65" s="8" t="str">
        <f aca="false">TRIM(SUBSTITUTE($B65,CHAR(160)," "))</f>
        <v>45C XL מגן ברך חום</v>
      </c>
    </row>
    <row r="66" customFormat="false" ht="15" hidden="false" customHeight="false" outlineLevel="0" collapsed="false">
      <c r="A66" s="8" t="n">
        <v>4413102</v>
      </c>
      <c r="B66" s="8" t="s">
        <v>1418</v>
      </c>
      <c r="C66" s="8" t="str">
        <f aca="false">TRIM(SUBSTITUTE($B66,CHAR(160)," "))</f>
        <v>45E L מגן ברך ארוך לבן</v>
      </c>
    </row>
    <row r="67" customFormat="false" ht="15" hidden="false" customHeight="false" outlineLevel="0" collapsed="false">
      <c r="A67" s="8" t="n">
        <v>4413103</v>
      </c>
      <c r="B67" s="8" t="s">
        <v>1419</v>
      </c>
      <c r="C67" s="8" t="str">
        <f aca="false">TRIM(SUBSTITUTE($B67,CHAR(160)," "))</f>
        <v>45E Mמגן ברך ארוך לבן</v>
      </c>
    </row>
    <row r="68" customFormat="false" ht="15" hidden="false" customHeight="false" outlineLevel="0" collapsed="false">
      <c r="A68" s="8" t="n">
        <v>4413101</v>
      </c>
      <c r="B68" s="8" t="s">
        <v>1417</v>
      </c>
      <c r="C68" s="8" t="str">
        <f aca="false">TRIM(SUBSTITUTE($B68,CHAR(160)," "))</f>
        <v>45E Sמגן ברך ארוך לבן</v>
      </c>
    </row>
    <row r="69" customFormat="false" ht="15" hidden="false" customHeight="false" outlineLevel="0" collapsed="false">
      <c r="A69" s="8" t="n">
        <v>4413104</v>
      </c>
      <c r="B69" s="8" t="s">
        <v>1420</v>
      </c>
      <c r="C69" s="8" t="str">
        <f aca="false">TRIM(SUBSTITUTE($B69,CHAR(160)," "))</f>
        <v>45E XLמגן ברך ארוך לבן</v>
      </c>
    </row>
    <row r="70" customFormat="false" ht="15" hidden="false" customHeight="false" outlineLevel="0" collapsed="false">
      <c r="A70" s="8" t="n">
        <v>4413105</v>
      </c>
      <c r="B70" s="8" t="s">
        <v>1421</v>
      </c>
      <c r="C70" s="8" t="str">
        <f aca="false">TRIM(SUBSTITUTE($B70,CHAR(160)," "))</f>
        <v>45E XXLמגן ברך ארוך לבן</v>
      </c>
    </row>
    <row r="71" customFormat="false" ht="15" hidden="false" customHeight="false" outlineLevel="0" collapsed="false">
      <c r="A71" s="8" t="n">
        <v>4413396</v>
      </c>
      <c r="B71" s="8" t="s">
        <v>1538</v>
      </c>
      <c r="C71" s="8" t="str">
        <f aca="false">TRIM(SUBSTITUTE($B71,CHAR(160)," "))</f>
        <v>45EC L 'מגן ברך ארוך בז</v>
      </c>
    </row>
    <row r="72" customFormat="false" ht="15" hidden="false" customHeight="false" outlineLevel="0" collapsed="false">
      <c r="A72" s="8" t="n">
        <v>4413395</v>
      </c>
      <c r="B72" s="8" t="s">
        <v>1537</v>
      </c>
      <c r="C72" s="8" t="str">
        <f aca="false">TRIM(SUBSTITUTE($B72,CHAR(160)," "))</f>
        <v>45EC M 'מגן ברך ארוך בז</v>
      </c>
    </row>
    <row r="73" customFormat="false" ht="15" hidden="false" customHeight="false" outlineLevel="0" collapsed="false">
      <c r="A73" s="8" t="n">
        <v>4413394</v>
      </c>
      <c r="B73" s="8" t="s">
        <v>1536</v>
      </c>
      <c r="C73" s="8" t="str">
        <f aca="false">TRIM(SUBSTITUTE($B73,CHAR(160)," "))</f>
        <v>45EC S 'מגן ברך ארוך בז</v>
      </c>
    </row>
    <row r="74" customFormat="false" ht="15" hidden="false" customHeight="false" outlineLevel="0" collapsed="false">
      <c r="A74" s="8" t="n">
        <v>4413397</v>
      </c>
      <c r="B74" s="8" t="s">
        <v>1539</v>
      </c>
      <c r="C74" s="8" t="str">
        <f aca="false">TRIM(SUBSTITUTE($B74,CHAR(160)," "))</f>
        <v>45EC XL'מגן ברך ארוך בז</v>
      </c>
    </row>
    <row r="75" customFormat="false" ht="15" hidden="false" customHeight="false" outlineLevel="0" collapsed="false">
      <c r="A75" s="8" t="n">
        <v>4413398</v>
      </c>
      <c r="B75" s="8" t="s">
        <v>1540</v>
      </c>
      <c r="C75" s="8" t="str">
        <f aca="false">TRIM(SUBSTITUTE($B75,CHAR(160)," "))</f>
        <v>45EC XXL'מגן ברך ארוך בז</v>
      </c>
    </row>
    <row r="76" customFormat="false" ht="15" hidden="false" customHeight="false" outlineLevel="0" collapsed="false">
      <c r="A76" s="8" t="n">
        <v>4413107</v>
      </c>
      <c r="B76" s="8" t="s">
        <v>1423</v>
      </c>
      <c r="C76" s="8" t="str">
        <f aca="false">TRIM(SUBSTITUTE($B76,CHAR(160)," "))</f>
        <v>48 L מגן ברך מחמם</v>
      </c>
    </row>
    <row r="77" customFormat="false" ht="15" hidden="false" customHeight="false" outlineLevel="0" collapsed="false">
      <c r="A77" s="8" t="n">
        <v>4413108</v>
      </c>
      <c r="B77" s="8" t="s">
        <v>1424</v>
      </c>
      <c r="C77" s="8" t="str">
        <f aca="false">TRIM(SUBSTITUTE($B77,CHAR(160)," "))</f>
        <v>48 M מגן ברך מחמם</v>
      </c>
    </row>
    <row r="78" customFormat="false" ht="15" hidden="false" customHeight="false" outlineLevel="0" collapsed="false">
      <c r="A78" s="8" t="n">
        <v>4413106</v>
      </c>
      <c r="B78" s="8" t="s">
        <v>1422</v>
      </c>
      <c r="C78" s="8" t="str">
        <f aca="false">TRIM(SUBSTITUTE($B78,CHAR(160)," "))</f>
        <v>48 S מגן ברך מחמם</v>
      </c>
    </row>
    <row r="79" customFormat="false" ht="15" hidden="false" customHeight="false" outlineLevel="0" collapsed="false">
      <c r="A79" s="8" t="n">
        <v>4413109</v>
      </c>
      <c r="B79" s="8" t="s">
        <v>1425</v>
      </c>
      <c r="C79" s="8" t="str">
        <f aca="false">TRIM(SUBSTITUTE($B79,CHAR(160)," "))</f>
        <v>48 XL מגן ברך מחמם</v>
      </c>
    </row>
    <row r="80" customFormat="false" ht="15" hidden="false" customHeight="false" outlineLevel="0" collapsed="false">
      <c r="A80" s="8" t="n">
        <v>4413110</v>
      </c>
      <c r="B80" s="8" t="s">
        <v>1426</v>
      </c>
      <c r="C80" s="8" t="str">
        <f aca="false">TRIM(SUBSTITUTE($B80,CHAR(160)," "))</f>
        <v>48 XXL מגן ברך מחמם</v>
      </c>
    </row>
    <row r="81" customFormat="false" ht="15" hidden="false" customHeight="false" outlineLevel="0" collapsed="false">
      <c r="A81" s="8" t="n">
        <v>4420026</v>
      </c>
      <c r="B81" s="8" t="s">
        <v>1698</v>
      </c>
      <c r="C81" s="8" t="str">
        <f aca="false">TRIM(SUBSTITUTE($B81,CHAR(160)," "))</f>
        <v>AC40 רצועה לפיקת הברך</v>
      </c>
    </row>
    <row r="82" customFormat="false" ht="15" hidden="false" customHeight="false" outlineLevel="0" collapsed="false">
      <c r="A82" s="8" t="n">
        <v>4413328</v>
      </c>
      <c r="B82" s="8" t="s">
        <v>1510</v>
      </c>
      <c r="C82" s="8" t="str">
        <f aca="false">TRIM(SUBSTITUTE($B82,CHAR(160)," "))</f>
        <v>AC43D מגן ברך + צירים</v>
      </c>
    </row>
    <row r="83" customFormat="false" ht="15" hidden="false" customHeight="false" outlineLevel="0" collapsed="false">
      <c r="A83" s="8" t="n">
        <v>4413329</v>
      </c>
      <c r="B83" s="8" t="s">
        <v>1511</v>
      </c>
      <c r="C83" s="8" t="str">
        <f aca="false">TRIM(SUBSTITUTE($B83,CHAR(160)," "))</f>
        <v>AC45X מגן ברך עם תמיכות</v>
      </c>
    </row>
    <row r="84" customFormat="false" ht="15" hidden="false" customHeight="false" outlineLevel="0" collapsed="false">
      <c r="A84" s="8" t="n">
        <v>4402011</v>
      </c>
      <c r="B84" s="8" t="s">
        <v>1740</v>
      </c>
      <c r="C84" s="8" t="str">
        <f aca="false">TRIM(SUBSTITUTE($B84,CHAR(160)," "))</f>
        <v>S-XLST422 מגן ברך+כרית ג'ל</v>
      </c>
    </row>
    <row r="85" customFormat="false" ht="15" hidden="false" customHeight="false" outlineLevel="0" collapsed="false">
      <c r="A85" s="8" t="n">
        <v>4413438</v>
      </c>
      <c r="B85" s="8" t="s">
        <v>1560</v>
      </c>
      <c r="C85" s="8" t="str">
        <f aca="false">TRIM(SUBSTITUTE($B85,CHAR(160)," "))</f>
        <v>SC422 S מגן ברך</v>
      </c>
    </row>
    <row r="86" customFormat="false" ht="15" hidden="false" customHeight="false" outlineLevel="0" collapsed="false">
      <c r="A86" s="8" t="n">
        <v>4413442</v>
      </c>
      <c r="B86" s="8" t="s">
        <v>1564</v>
      </c>
      <c r="C86" s="8" t="str">
        <f aca="false">TRIM(SUBSTITUTE($B86,CHAR(160)," "))</f>
        <v>SC422 XXLמגן ברך</v>
      </c>
    </row>
    <row r="87" customFormat="false" ht="15" hidden="false" customHeight="false" outlineLevel="0" collapsed="false">
      <c r="A87" s="8" t="n">
        <v>4422037</v>
      </c>
      <c r="B87" s="8" t="s">
        <v>1733</v>
      </c>
      <c r="C87" s="8" t="str">
        <f aca="false">TRIM(SUBSTITUTE($B87,CHAR(160)," "))</f>
        <v>SH422 1 תומך ברך גנושילד</v>
      </c>
    </row>
    <row r="88" customFormat="false" ht="15" hidden="false" customHeight="false" outlineLevel="0" collapsed="false">
      <c r="A88" s="8" t="n">
        <v>4422038</v>
      </c>
      <c r="B88" s="8" t="s">
        <v>1734</v>
      </c>
      <c r="C88" s="8" t="str">
        <f aca="false">TRIM(SUBSTITUTE($B88,CHAR(160)," "))</f>
        <v>SH422 2 תומך ברך גנושילד</v>
      </c>
    </row>
    <row r="89" customFormat="false" ht="15" hidden="false" customHeight="false" outlineLevel="0" collapsed="false">
      <c r="A89" s="8" t="n">
        <v>4422039</v>
      </c>
      <c r="B89" s="8" t="s">
        <v>1735</v>
      </c>
      <c r="C89" s="8" t="str">
        <f aca="false">TRIM(SUBSTITUTE($B89,CHAR(160)," "))</f>
        <v>SH422 3 תומך ברך גנושילד</v>
      </c>
    </row>
    <row r="90" customFormat="false" ht="15" hidden="false" customHeight="false" outlineLevel="0" collapsed="false">
      <c r="A90" s="8" t="n">
        <v>4422040</v>
      </c>
      <c r="B90" s="8" t="s">
        <v>1736</v>
      </c>
      <c r="C90" s="8" t="str">
        <f aca="false">TRIM(SUBSTITUTE($B90,CHAR(160)," "))</f>
        <v>SH422 4 תומך ברך גנושילד</v>
      </c>
    </row>
    <row r="91" customFormat="false" ht="15" hidden="false" customHeight="false" outlineLevel="0" collapsed="false">
      <c r="A91" s="8" t="n">
        <v>4422041</v>
      </c>
      <c r="B91" s="8" t="s">
        <v>1737</v>
      </c>
      <c r="C91" s="8" t="str">
        <f aca="false">TRIM(SUBSTITUTE($B91,CHAR(160)," "))</f>
        <v>SH422 5 תומך ברך גנושילד</v>
      </c>
    </row>
    <row r="92" customFormat="false" ht="15" hidden="false" customHeight="false" outlineLevel="0" collapsed="false">
      <c r="A92" s="8" t="n">
        <v>4422042</v>
      </c>
      <c r="B92" s="8" t="s">
        <v>1738</v>
      </c>
      <c r="C92" s="8" t="str">
        <f aca="false">TRIM(SUBSTITUTE($B92,CHAR(160)," "))</f>
        <v>SH422 6 תומך ברך גנושילד</v>
      </c>
    </row>
    <row r="93" customFormat="false" ht="15" hidden="false" customHeight="false" outlineLevel="0" collapsed="false">
      <c r="A93" s="8" t="n">
        <v>4413532</v>
      </c>
      <c r="B93" s="8" t="s">
        <v>1749</v>
      </c>
      <c r="C93" s="8" t="str">
        <f aca="false">TRIM(SUBSTITUTE($B93,CHAR(160)," "))</f>
        <v>ST433 H מגן ברך עם ציר</v>
      </c>
    </row>
    <row r="94" customFormat="false" ht="15" hidden="false" customHeight="false" outlineLevel="0" collapsed="false">
      <c r="A94" s="8" t="n">
        <v>4413184</v>
      </c>
      <c r="B94" s="8" t="s">
        <v>1486</v>
      </c>
      <c r="C94" s="8" t="str">
        <f aca="false">TRIM(SUBSTITUTE($B94,CHAR(160)," "))</f>
        <v>T 45 L מגן ברך רגיל</v>
      </c>
    </row>
    <row r="95" customFormat="false" ht="15" hidden="false" customHeight="false" outlineLevel="0" collapsed="false">
      <c r="A95" s="8" t="n">
        <v>4413183</v>
      </c>
      <c r="B95" s="8" t="s">
        <v>1485</v>
      </c>
      <c r="C95" s="8" t="str">
        <f aca="false">TRIM(SUBSTITUTE($B95,CHAR(160)," "))</f>
        <v>T 45 M מגן ברך רגיל</v>
      </c>
    </row>
    <row r="96" customFormat="false" ht="15" hidden="false" customHeight="false" outlineLevel="0" collapsed="false">
      <c r="A96" s="8" t="n">
        <v>4413185</v>
      </c>
      <c r="B96" s="8" t="s">
        <v>1487</v>
      </c>
      <c r="C96" s="8" t="str">
        <f aca="false">TRIM(SUBSTITUTE($B96,CHAR(160)," "))</f>
        <v>T 45XL מגן ברך רגיל</v>
      </c>
    </row>
    <row r="97" customFormat="false" ht="15" hidden="false" customHeight="false" outlineLevel="0" collapsed="false">
      <c r="A97" s="8" t="n">
        <v>4420021</v>
      </c>
      <c r="B97" s="8" t="s">
        <v>1813</v>
      </c>
      <c r="C97" s="8" t="str">
        <f aca="false">TRIM(SUBSTITUTE($B97,CHAR(160)," "))</f>
        <v>T40 רצועת פיקה לברך</v>
      </c>
    </row>
    <row r="98" customFormat="false" ht="15" hidden="false" customHeight="false" outlineLevel="0" collapsed="false">
      <c r="A98" s="8" t="n">
        <v>4413171</v>
      </c>
      <c r="B98" s="8" t="s">
        <v>1475</v>
      </c>
      <c r="C98" s="8" t="str">
        <f aca="false">TRIM(SUBSTITUTE($B98,CHAR(160)," "))</f>
        <v>T402 L מיצב פיקה</v>
      </c>
    </row>
    <row r="99" customFormat="false" ht="15" hidden="false" customHeight="false" outlineLevel="0" collapsed="false">
      <c r="A99" s="8" t="n">
        <v>4413170</v>
      </c>
      <c r="B99" s="8" t="s">
        <v>1474</v>
      </c>
      <c r="C99" s="8" t="str">
        <f aca="false">TRIM(SUBSTITUTE($B99,CHAR(160)," "))</f>
        <v>T402 M מיצב פיקה</v>
      </c>
    </row>
    <row r="100" customFormat="false" ht="15" hidden="false" customHeight="false" outlineLevel="0" collapsed="false">
      <c r="A100" s="8" t="n">
        <v>4413169</v>
      </c>
      <c r="B100" s="8" t="s">
        <v>1473</v>
      </c>
      <c r="C100" s="8" t="str">
        <f aca="false">TRIM(SUBSTITUTE($B100,CHAR(160)," "))</f>
        <v>T402 S מיצב פיקה</v>
      </c>
    </row>
    <row r="101" customFormat="false" ht="15" hidden="false" customHeight="false" outlineLevel="0" collapsed="false">
      <c r="A101" s="8" t="n">
        <v>4413172</v>
      </c>
      <c r="B101" s="8" t="s">
        <v>1476</v>
      </c>
      <c r="C101" s="8" t="str">
        <f aca="false">TRIM(SUBSTITUTE($B101,CHAR(160)," "))</f>
        <v>T402 XL מיצב פיקה</v>
      </c>
    </row>
    <row r="102" customFormat="false" ht="15" hidden="false" customHeight="false" outlineLevel="0" collapsed="false">
      <c r="A102" s="8" t="n">
        <v>4413173</v>
      </c>
      <c r="B102" s="8" t="s">
        <v>1477</v>
      </c>
      <c r="C102" s="8" t="str">
        <f aca="false">TRIM(SUBSTITUTE($B102,CHAR(160)," "))</f>
        <v>T402 XXL מיצב פיקה</v>
      </c>
    </row>
    <row r="103" customFormat="false" ht="15" hidden="false" customHeight="false" outlineLevel="0" collapsed="false">
      <c r="A103" s="8" t="n">
        <v>4420039</v>
      </c>
      <c r="B103" s="8" t="s">
        <v>1708</v>
      </c>
      <c r="C103" s="8" t="str">
        <f aca="false">TRIM(SUBSTITUTE($B103,CHAR(160)," "))</f>
        <v>T40B רצועה לפיקה</v>
      </c>
    </row>
    <row r="104" customFormat="false" ht="15" hidden="false" customHeight="false" outlineLevel="0" collapsed="false">
      <c r="A104" s="8" t="n">
        <v>4413287</v>
      </c>
      <c r="B104" s="8" t="s">
        <v>1872</v>
      </c>
      <c r="C104" s="8" t="str">
        <f aca="false">TRIM(SUBSTITUTE($B104,CHAR(160)," "))</f>
        <v>T43 SKI XXL מגן ברך לסקי</v>
      </c>
    </row>
    <row r="105" customFormat="false" ht="15" hidden="false" customHeight="false" outlineLevel="0" collapsed="false">
      <c r="A105" s="8" t="n">
        <v>4413240</v>
      </c>
      <c r="B105" s="8" t="s">
        <v>1873</v>
      </c>
      <c r="C105" s="8" t="str">
        <f aca="false">TRIM(SUBSTITUTE($B105,CHAR(160)," "))</f>
        <v>T433 XL מגן ברך משופר</v>
      </c>
    </row>
    <row r="106" customFormat="false" ht="15" hidden="false" customHeight="false" outlineLevel="0" collapsed="false">
      <c r="A106" s="8" t="n">
        <v>4413188</v>
      </c>
      <c r="B106" s="8" t="s">
        <v>1800</v>
      </c>
      <c r="C106" s="8" t="str">
        <f aca="false">TRIM(SUBSTITUTE($B106,CHAR(160)," "))</f>
        <v>T43SKI L מגן ברך לסקי</v>
      </c>
    </row>
    <row r="107" customFormat="false" ht="15" hidden="false" customHeight="false" outlineLevel="0" collapsed="false">
      <c r="A107" s="8" t="n">
        <v>4413187</v>
      </c>
      <c r="B107" s="8" t="s">
        <v>1874</v>
      </c>
      <c r="C107" s="8" t="str">
        <f aca="false">TRIM(SUBSTITUTE($B107,CHAR(160)," "))</f>
        <v>T43SKI M מגן ברך לסקי</v>
      </c>
    </row>
    <row r="108" customFormat="false" ht="15" hidden="false" customHeight="false" outlineLevel="0" collapsed="false">
      <c r="A108" s="8" t="n">
        <v>4413189</v>
      </c>
      <c r="B108" s="8" t="s">
        <v>1875</v>
      </c>
      <c r="C108" s="8" t="str">
        <f aca="false">TRIM(SUBSTITUTE($B108,CHAR(160)," "))</f>
        <v>T43SKI XLמגן ברך לסקי</v>
      </c>
    </row>
    <row r="109" customFormat="false" ht="15" hidden="false" customHeight="false" outlineLevel="0" collapsed="false">
      <c r="A109" s="8" t="n">
        <v>4413182</v>
      </c>
      <c r="B109" s="8" t="s">
        <v>1772</v>
      </c>
      <c r="C109" s="8" t="str">
        <f aca="false">TRIM(SUBSTITUTE($B109,CHAR(160)," "))</f>
        <v>T45 S מגן ברך רגיל</v>
      </c>
    </row>
    <row r="110" customFormat="false" ht="15" hidden="false" customHeight="false" outlineLevel="0" collapsed="false">
      <c r="A110" s="8" t="n">
        <v>4413286</v>
      </c>
      <c r="B110" s="8" t="s">
        <v>1505</v>
      </c>
      <c r="C110" s="8" t="str">
        <f aca="false">TRIM(SUBSTITUTE($B110,CHAR(160)," "))</f>
        <v>T45 XXL מגן ברך רגיל</v>
      </c>
    </row>
    <row r="111" customFormat="false" ht="15" hidden="false" customHeight="false" outlineLevel="0" collapsed="false">
      <c r="A111" s="8" t="n">
        <v>4413260</v>
      </c>
      <c r="B111" s="8" t="s">
        <v>1497</v>
      </c>
      <c r="C111" s="8" t="str">
        <f aca="false">TRIM(SUBSTITUTE($B111,CHAR(160)," "))</f>
        <v>T45X-XXLמגן ברך רגיל</v>
      </c>
    </row>
    <row r="112" customFormat="false" ht="15" hidden="false" customHeight="false" outlineLevel="0" collapsed="false">
      <c r="A112" s="8" t="n">
        <v>4413226</v>
      </c>
      <c r="B112" s="8" t="s">
        <v>1496</v>
      </c>
      <c r="C112" s="8" t="str">
        <f aca="false">TRIM(SUBSTITUTE($B112,CHAR(160)," "))</f>
        <v>T45X L מגן ברך רגיל</v>
      </c>
    </row>
    <row r="113" customFormat="false" ht="15" hidden="false" customHeight="false" outlineLevel="0" collapsed="false">
      <c r="A113" s="8" t="n">
        <v>4413225</v>
      </c>
      <c r="B113" s="8" t="s">
        <v>1495</v>
      </c>
      <c r="C113" s="8" t="str">
        <f aca="false">TRIM(SUBSTITUTE($B113,CHAR(160)," "))</f>
        <v>T45X M מגן ברך רגיל</v>
      </c>
    </row>
    <row r="114" customFormat="false" ht="15" hidden="false" customHeight="false" outlineLevel="0" collapsed="false">
      <c r="A114" s="8" t="n">
        <v>4413227</v>
      </c>
      <c r="B114" s="8" t="s">
        <v>1876</v>
      </c>
      <c r="C114" s="8" t="str">
        <f aca="false">TRIM(SUBSTITUTE($B114,CHAR(160)," "))</f>
        <v>T45X S מגן ברך רגיל</v>
      </c>
    </row>
    <row r="115" customFormat="false" ht="15" hidden="false" customHeight="false" outlineLevel="0" collapsed="false">
      <c r="A115" s="8" t="n">
        <v>4413224</v>
      </c>
      <c r="B115" s="8" t="s">
        <v>1494</v>
      </c>
      <c r="C115" s="8" t="str">
        <f aca="false">TRIM(SUBSTITUTE($B115,CHAR(160)," "))</f>
        <v>T45X XL מגן ברך רגיל</v>
      </c>
    </row>
    <row r="116" customFormat="false" ht="15" hidden="false" customHeight="false" outlineLevel="0" collapsed="false">
      <c r="A116" s="8" t="n">
        <v>4403011</v>
      </c>
      <c r="B116" s="8" t="s">
        <v>1787</v>
      </c>
      <c r="C116" s="8" t="str">
        <f aca="false">TRIM(SUBSTITUTE($B116,CHAR(160)," "))</f>
        <v>3444 0 גרביים+סיליקון</v>
      </c>
    </row>
    <row r="117" customFormat="false" ht="15" hidden="false" customHeight="false" outlineLevel="0" collapsed="false">
      <c r="A117" s="8" t="n">
        <v>4403040</v>
      </c>
      <c r="B117" s="8" t="s">
        <v>1186</v>
      </c>
      <c r="C117" s="8" t="str">
        <f aca="false">TRIM(SUBSTITUTE($B117,CHAR(160)," "))</f>
        <v>3444B גרבי ג'ל לריכוך עור העקב</v>
      </c>
    </row>
    <row r="118" customFormat="false" ht="15" hidden="false" customHeight="false" outlineLevel="0" collapsed="false">
      <c r="A118" s="8" t="n">
        <v>4403027</v>
      </c>
      <c r="B118" s="8" t="s">
        <v>1877</v>
      </c>
      <c r="C118" s="8" t="str">
        <f aca="false">TRIM(SUBSTITUTE($B118,CHAR(160)," "))</f>
        <v>3445Wתתגרב לבן סיליקון טיפ יום</v>
      </c>
    </row>
    <row r="119" customFormat="false" ht="15" hidden="false" customHeight="false" outlineLevel="0" collapsed="false">
      <c r="A119" s="8" t="n">
        <v>4403001</v>
      </c>
      <c r="B119" s="8" t="s">
        <v>1164</v>
      </c>
      <c r="C119" s="8" t="str">
        <f aca="false">TRIM(SUBSTITUTE($B119,CHAR(160)," "))</f>
        <v>390B 39-42.גרב.כסף לסכרתיים שח</v>
      </c>
    </row>
    <row r="120" customFormat="false" ht="15" hidden="false" customHeight="false" outlineLevel="0" collapsed="false">
      <c r="A120" s="8" t="n">
        <v>4403002</v>
      </c>
      <c r="B120" s="8" t="s">
        <v>1165</v>
      </c>
      <c r="C120" s="8" t="str">
        <f aca="false">TRIM(SUBSTITUTE($B120,CHAR(160)," "))</f>
        <v>390B 43-46.גרב.כסף לסכרתיים שח</v>
      </c>
    </row>
    <row r="121" customFormat="false" ht="15" hidden="false" customHeight="false" outlineLevel="0" collapsed="false">
      <c r="A121" s="8" t="n">
        <v>4403000</v>
      </c>
      <c r="B121" s="8" t="s">
        <v>1163</v>
      </c>
      <c r="C121" s="8" t="str">
        <f aca="false">TRIM(SUBSTITUTE($B121,CHAR(160)," "))</f>
        <v>390B גרב.כסף לסכרתים שחור35-38</v>
      </c>
    </row>
    <row r="122" customFormat="false" ht="15" hidden="false" customHeight="false" outlineLevel="0" collapsed="false">
      <c r="A122" s="8" t="n">
        <v>4403004</v>
      </c>
      <c r="B122" s="8" t="s">
        <v>1167</v>
      </c>
      <c r="C122" s="8" t="str">
        <f aca="false">TRIM(SUBSTITUTE($B122,CHAR(160)," "))</f>
        <v>390G 39-42.גרב.כסף לסכרתיים אפ</v>
      </c>
    </row>
    <row r="123" customFormat="false" ht="15" hidden="false" customHeight="false" outlineLevel="0" collapsed="false">
      <c r="A123" s="8" t="n">
        <v>4403003</v>
      </c>
      <c r="B123" s="8" t="s">
        <v>1166</v>
      </c>
      <c r="C123" s="8" t="str">
        <f aca="false">TRIM(SUBSTITUTE($B123,CHAR(160)," "))</f>
        <v>390G ג.כסף לסכרתיים אפור35-38</v>
      </c>
    </row>
    <row r="124" customFormat="false" ht="15" hidden="false" customHeight="false" outlineLevel="0" collapsed="false">
      <c r="A124" s="8" t="n">
        <v>4403006</v>
      </c>
      <c r="B124" s="8" t="s">
        <v>1169</v>
      </c>
      <c r="C124" s="8" t="str">
        <f aca="false">TRIM(SUBSTITUTE($B124,CHAR(160)," "))</f>
        <v>390W גרב כסף לסכרתיים לבן35-38</v>
      </c>
    </row>
    <row r="125" customFormat="false" ht="15" hidden="false" customHeight="false" outlineLevel="0" collapsed="false">
      <c r="A125" s="8" t="n">
        <v>4403007</v>
      </c>
      <c r="B125" s="8" t="s">
        <v>1170</v>
      </c>
      <c r="C125" s="8" t="str">
        <f aca="false">TRIM(SUBSTITUTE($B125,CHAR(160)," "))</f>
        <v>390W גרב.כסף לסכרתיים לבן39-42</v>
      </c>
    </row>
    <row r="126" customFormat="false" ht="15" hidden="false" customHeight="false" outlineLevel="0" collapsed="false">
      <c r="A126" s="8" t="n">
        <v>4403008</v>
      </c>
      <c r="B126" s="8" t="s">
        <v>1171</v>
      </c>
      <c r="C126" s="8" t="str">
        <f aca="false">TRIM(SUBSTITUTE($B126,CHAR(160)," "))</f>
        <v>390W גרב.כסף לסכרתיים לבן43-46</v>
      </c>
    </row>
    <row r="127" customFormat="false" ht="15" hidden="false" customHeight="false" outlineLevel="0" collapsed="false">
      <c r="A127" s="8" t="n">
        <v>4403017</v>
      </c>
      <c r="B127" s="8" t="s">
        <v>1172</v>
      </c>
      <c r="C127" s="8" t="str">
        <f aca="false">TRIM(SUBSTITUTE($B127,CHAR(160)," "))</f>
        <v>394B גרב.כסף לסכרתים שחור35-38</v>
      </c>
    </row>
    <row r="128" customFormat="false" ht="15" hidden="false" customHeight="false" outlineLevel="0" collapsed="false">
      <c r="A128" s="8" t="n">
        <v>4403018</v>
      </c>
      <c r="B128" s="8" t="s">
        <v>1173</v>
      </c>
      <c r="C128" s="8" t="str">
        <f aca="false">TRIM(SUBSTITUTE($B128,CHAR(160)," "))</f>
        <v>394B גרב.כסף לסכרתים שחור39-42</v>
      </c>
    </row>
    <row r="129" customFormat="false" ht="15" hidden="false" customHeight="false" outlineLevel="0" collapsed="false">
      <c r="A129" s="8" t="n">
        <v>4403019</v>
      </c>
      <c r="B129" s="8" t="s">
        <v>1174</v>
      </c>
      <c r="C129" s="8" t="str">
        <f aca="false">TRIM(SUBSTITUTE($B129,CHAR(160)," "))</f>
        <v>394B גרב.כסף לסכרתים שחור43-46</v>
      </c>
    </row>
    <row r="130" customFormat="false" ht="15" hidden="false" customHeight="false" outlineLevel="0" collapsed="false">
      <c r="A130" s="8" t="n">
        <v>4403020</v>
      </c>
      <c r="B130" s="8" t="s">
        <v>1175</v>
      </c>
      <c r="C130" s="8" t="str">
        <f aca="false">TRIM(SUBSTITUTE($B130,CHAR(160)," "))</f>
        <v>394G גרב.כסף לסכרתים אפור35-38</v>
      </c>
    </row>
    <row r="131" customFormat="false" ht="15" hidden="false" customHeight="false" outlineLevel="0" collapsed="false">
      <c r="A131" s="8" t="n">
        <v>4403021</v>
      </c>
      <c r="B131" s="8" t="s">
        <v>1176</v>
      </c>
      <c r="C131" s="8" t="str">
        <f aca="false">TRIM(SUBSTITUTE($B131,CHAR(160)," "))</f>
        <v>394G גרב.כסף לסכרתים אפור39-42</v>
      </c>
    </row>
    <row r="132" customFormat="false" ht="15" hidden="false" customHeight="false" outlineLevel="0" collapsed="false">
      <c r="A132" s="8" t="n">
        <v>4403022</v>
      </c>
      <c r="B132" s="8" t="s">
        <v>1177</v>
      </c>
      <c r="C132" s="8" t="str">
        <f aca="false">TRIM(SUBSTITUTE($B132,CHAR(160)," "))</f>
        <v>394G גרב.כסף לסכרתים אפור43-46</v>
      </c>
    </row>
    <row r="133" customFormat="false" ht="15" hidden="false" customHeight="false" outlineLevel="0" collapsed="false">
      <c r="A133" s="8" t="n">
        <v>4403023</v>
      </c>
      <c r="B133" s="8" t="s">
        <v>1178</v>
      </c>
      <c r="C133" s="8" t="str">
        <f aca="false">TRIM(SUBSTITUTE($B133,CHAR(160)," "))</f>
        <v>394W 35-38 גרב.כסף לסכרתים לבן</v>
      </c>
    </row>
    <row r="134" customFormat="false" ht="15" hidden="false" customHeight="false" outlineLevel="0" collapsed="false">
      <c r="A134" s="8" t="n">
        <v>4403024</v>
      </c>
      <c r="B134" s="8" t="s">
        <v>1179</v>
      </c>
      <c r="C134" s="8" t="str">
        <f aca="false">TRIM(SUBSTITUTE($B134,CHAR(160)," "))</f>
        <v>394W 39-42 גרב.כסף לסכרתים לבן</v>
      </c>
    </row>
    <row r="135" customFormat="false" ht="15" hidden="false" customHeight="false" outlineLevel="0" collapsed="false">
      <c r="A135" s="8" t="n">
        <v>4403025</v>
      </c>
      <c r="B135" s="8" t="s">
        <v>1180</v>
      </c>
      <c r="C135" s="8" t="str">
        <f aca="false">TRIM(SUBSTITUTE($B135,CHAR(160)," "))</f>
        <v>394W 43-46 גרב.כסף לסכרתים לבן</v>
      </c>
    </row>
    <row r="136" customFormat="false" ht="15" hidden="false" customHeight="false" outlineLevel="0" collapsed="false">
      <c r="A136" s="8" t="n">
        <v>4403044</v>
      </c>
      <c r="B136" s="8" t="s">
        <v>1190</v>
      </c>
      <c r="C136" s="8" t="str">
        <f aca="false">TRIM(SUBSTITUTE($B136,CHAR(160)," "))</f>
        <v>395B גרבי קיץ אנטי בקטריא39-42</v>
      </c>
    </row>
    <row r="137" customFormat="false" ht="15" hidden="false" customHeight="false" outlineLevel="0" collapsed="false">
      <c r="A137" s="8" t="n">
        <v>4403045</v>
      </c>
      <c r="B137" s="8" t="s">
        <v>1191</v>
      </c>
      <c r="C137" s="8" t="str">
        <f aca="false">TRIM(SUBSTITUTE($B137,CHAR(160)," "))</f>
        <v>395B גרבי קיץ אנטי בקטריא43-46</v>
      </c>
    </row>
    <row r="138" customFormat="false" ht="15" hidden="false" customHeight="false" outlineLevel="0" collapsed="false">
      <c r="A138" s="8" t="n">
        <v>4403031</v>
      </c>
      <c r="B138" s="8" t="s">
        <v>1878</v>
      </c>
      <c r="C138" s="8" t="str">
        <f aca="false">TRIM(SUBSTITUTE($B138,CHAR(160)," "))</f>
        <v>396-35-38 גרביים טרמיות</v>
      </c>
    </row>
    <row r="139" customFormat="false" ht="15" hidden="false" customHeight="false" outlineLevel="0" collapsed="false">
      <c r="A139" s="8" t="n">
        <v>4403032</v>
      </c>
      <c r="B139" s="8" t="s">
        <v>1879</v>
      </c>
      <c r="C139" s="8" t="str">
        <f aca="false">TRIM(SUBSTITUTE($B139,CHAR(160)," "))</f>
        <v>396-39-42 גרביים טרמיות</v>
      </c>
    </row>
    <row r="140" customFormat="false" ht="15" hidden="false" customHeight="false" outlineLevel="0" collapsed="false">
      <c r="A140" s="8" t="n">
        <v>4403028</v>
      </c>
      <c r="B140" s="8" t="s">
        <v>1181</v>
      </c>
      <c r="C140" s="8" t="str">
        <f aca="false">TRIM(SUBSTITUTE($B140,CHAR(160)," "))</f>
        <v>397 35-38 גרבי טיסה מידה</v>
      </c>
    </row>
    <row r="141" customFormat="false" ht="15" hidden="false" customHeight="false" outlineLevel="0" collapsed="false">
      <c r="A141" s="8" t="n">
        <v>4403029</v>
      </c>
      <c r="B141" s="8" t="s">
        <v>1182</v>
      </c>
      <c r="C141" s="8" t="str">
        <f aca="false">TRIM(SUBSTITUTE($B141,CHAR(160)," "))</f>
        <v>397 39-42 גרבי טיסה מידה</v>
      </c>
    </row>
    <row r="142" customFormat="false" ht="15" hidden="false" customHeight="false" outlineLevel="0" collapsed="false">
      <c r="A142" s="8" t="n">
        <v>4403030</v>
      </c>
      <c r="B142" s="8" t="s">
        <v>1183</v>
      </c>
      <c r="C142" s="8" t="str">
        <f aca="false">TRIM(SUBSTITUTE($B142,CHAR(160)," "))</f>
        <v>397 43-46 גרבי טיסה מידה</v>
      </c>
    </row>
    <row r="143" customFormat="false" ht="15" hidden="false" customHeight="false" outlineLevel="0" collapsed="false">
      <c r="A143" s="8" t="n">
        <v>4403041</v>
      </c>
      <c r="B143" s="8" t="s">
        <v>1187</v>
      </c>
      <c r="C143" s="8" t="str">
        <f aca="false">TRIM(SUBSTITUTE($B143,CHAR(160)," "))</f>
        <v>397A-גרבי טיסה אנטי בקטרי35-38</v>
      </c>
    </row>
    <row r="144" customFormat="false" ht="15" hidden="false" customHeight="false" outlineLevel="0" collapsed="false">
      <c r="A144" s="8" t="n">
        <v>4403042</v>
      </c>
      <c r="B144" s="8" t="s">
        <v>1188</v>
      </c>
      <c r="C144" s="8" t="str">
        <f aca="false">TRIM(SUBSTITUTE($B144,CHAR(160)," "))</f>
        <v>397A-גרבי טיסה אנטי בקטרי39-42</v>
      </c>
    </row>
    <row r="145" customFormat="false" ht="15" hidden="false" customHeight="false" outlineLevel="0" collapsed="false">
      <c r="A145" s="8" t="n">
        <v>4403043</v>
      </c>
      <c r="B145" s="8" t="s">
        <v>1189</v>
      </c>
      <c r="C145" s="8" t="str">
        <f aca="false">TRIM(SUBSTITUTE($B145,CHAR(160)," "))</f>
        <v>397A-גרבי טיסה אנטי בקטרי43-46</v>
      </c>
    </row>
    <row r="146" customFormat="false" ht="15" hidden="false" customHeight="false" outlineLevel="0" collapsed="false">
      <c r="A146" s="8" t="n">
        <v>4403005</v>
      </c>
      <c r="B146" s="8" t="s">
        <v>1168</v>
      </c>
      <c r="C146" s="8" t="str">
        <f aca="false">TRIM(SUBSTITUTE($B146,CHAR(160)," "))</f>
        <v>G390.43-46 גרבי כסף לסכרת מידה</v>
      </c>
    </row>
    <row r="147" customFormat="false" ht="15" hidden="false" customHeight="false" outlineLevel="0" collapsed="false">
      <c r="A147" s="8" t="n">
        <v>4403034</v>
      </c>
      <c r="B147" s="8" t="s">
        <v>1184</v>
      </c>
      <c r="C147" s="8" t="str">
        <f aca="false">TRIM(SUBSTITUTE($B147,CHAR(160)," "))</f>
        <v>ST3555 S-Mגרב לילה לטיפ.בדורבן</v>
      </c>
    </row>
    <row r="148" customFormat="false" ht="15" hidden="false" customHeight="false" outlineLevel="0" collapsed="false">
      <c r="A148" s="8" t="n">
        <v>4403035</v>
      </c>
      <c r="B148" s="8" t="s">
        <v>1185</v>
      </c>
      <c r="C148" s="8" t="str">
        <f aca="false">TRIM(SUBSTITUTE($B148,CHAR(160)," "))</f>
        <v>ST3555L-XLגרב לילה לטיפ.בדורבן</v>
      </c>
    </row>
    <row r="149" customFormat="false" ht="15" hidden="false" customHeight="false" outlineLevel="0" collapsed="false">
      <c r="A149" s="8" t="n">
        <v>4408002</v>
      </c>
      <c r="B149" s="8" t="s">
        <v>1760</v>
      </c>
      <c r="C149" s="8" t="str">
        <f aca="false">TRIM(SUBSTITUTE($B149,CHAR(160)," "))</f>
        <v>06 L ""ח.גב קלה ""מיקדו</v>
      </c>
    </row>
    <row r="150" customFormat="false" ht="15" hidden="false" customHeight="false" outlineLevel="0" collapsed="false">
      <c r="A150" s="8" t="n">
        <v>4408003</v>
      </c>
      <c r="B150" s="8" t="s">
        <v>1193</v>
      </c>
      <c r="C150" s="8" t="str">
        <f aca="false">TRIM(SUBSTITUTE($B150,CHAR(160)," "))</f>
        <v>06 M ""ח.גב קלה ""מיקדו</v>
      </c>
    </row>
    <row r="151" customFormat="false" ht="15" hidden="false" customHeight="false" outlineLevel="0" collapsed="false">
      <c r="A151" s="8" t="n">
        <v>4408000</v>
      </c>
      <c r="B151" s="8" t="s">
        <v>1880</v>
      </c>
      <c r="C151" s="8" t="str">
        <f aca="false">TRIM(SUBSTITUTE($B151,CHAR(160)," "))</f>
        <v>06 S ""ח.גב קלה ""מיקדו</v>
      </c>
    </row>
    <row r="152" customFormat="false" ht="15" hidden="false" customHeight="false" outlineLevel="0" collapsed="false">
      <c r="A152" s="8" t="n">
        <v>4408004</v>
      </c>
      <c r="B152" s="8" t="s">
        <v>1194</v>
      </c>
      <c r="C152" s="8" t="str">
        <f aca="false">TRIM(SUBSTITUTE($B152,CHAR(160)," "))</f>
        <v>06 XL ""ח.גב קלה ""מיקדו</v>
      </c>
    </row>
    <row r="153" customFormat="false" ht="15" hidden="false" customHeight="false" outlineLevel="0" collapsed="false">
      <c r="A153" s="8" t="n">
        <v>4408005</v>
      </c>
      <c r="B153" s="8" t="s">
        <v>1788</v>
      </c>
      <c r="C153" s="8" t="str">
        <f aca="false">TRIM(SUBSTITUTE($B153,CHAR(160)," "))</f>
        <v>06 XXL ""ח.גב קלה ""מיקדו</v>
      </c>
    </row>
    <row r="154" customFormat="false" ht="15" hidden="false" customHeight="false" outlineLevel="0" collapsed="false">
      <c r="A154" s="8" t="n">
        <v>4408121</v>
      </c>
      <c r="B154" s="8" t="s">
        <v>1881</v>
      </c>
      <c r="C154" s="8" t="str">
        <f aca="false">TRIM(SUBSTITUTE($B154,CHAR(160)," "))</f>
        <v>06U XXL ח.בטן מותנית צר</v>
      </c>
    </row>
    <row r="155" customFormat="false" ht="15" hidden="false" customHeight="false" outlineLevel="0" collapsed="false">
      <c r="A155" s="8" t="n">
        <v>4408119</v>
      </c>
      <c r="B155" s="8" t="s">
        <v>1266</v>
      </c>
      <c r="C155" s="8" t="str">
        <f aca="false">TRIM(SUBSTITUTE($B155,CHAR(160)," "))</f>
        <v>06U L ח.בטן מותנית צר</v>
      </c>
    </row>
    <row r="156" customFormat="false" ht="15" hidden="false" customHeight="false" outlineLevel="0" collapsed="false">
      <c r="A156" s="8" t="n">
        <v>4408118</v>
      </c>
      <c r="B156" s="8" t="s">
        <v>1882</v>
      </c>
      <c r="C156" s="8" t="str">
        <f aca="false">TRIM(SUBSTITUTE($B156,CHAR(160)," "))</f>
        <v>06U M ח.בטן מותנית צר</v>
      </c>
    </row>
    <row r="157" customFormat="false" ht="15" hidden="false" customHeight="false" outlineLevel="0" collapsed="false">
      <c r="A157" s="8" t="n">
        <v>4408120</v>
      </c>
      <c r="B157" s="8" t="s">
        <v>1267</v>
      </c>
      <c r="C157" s="8" t="str">
        <f aca="false">TRIM(SUBSTITUTE($B157,CHAR(160)," "))</f>
        <v>06U XL ח.בטן מותנית צר</v>
      </c>
    </row>
    <row r="158" customFormat="false" ht="15" hidden="false" customHeight="false" outlineLevel="0" collapsed="false">
      <c r="A158" s="8" t="n">
        <v>4408140</v>
      </c>
      <c r="B158" s="8" t="s">
        <v>1276</v>
      </c>
      <c r="C158" s="8" t="str">
        <f aca="false">TRIM(SUBSTITUTE($B158,CHAR(160)," "))</f>
        <v>06W S חגורת גב לנשים</v>
      </c>
    </row>
    <row r="159" customFormat="false" ht="15" hidden="false" customHeight="false" outlineLevel="0" collapsed="false">
      <c r="A159" s="8" t="n">
        <v>4408245</v>
      </c>
      <c r="B159" s="8" t="s">
        <v>1315</v>
      </c>
      <c r="C159" s="8" t="str">
        <f aca="false">TRIM(SUBSTITUTE($B159,CHAR(160)," "))</f>
        <v>077A XXL חגורת גב עם חיזוקים</v>
      </c>
    </row>
    <row r="160" customFormat="false" ht="15" hidden="false" customHeight="false" outlineLevel="0" collapsed="false">
      <c r="A160" s="8" t="n">
        <v>4408135</v>
      </c>
      <c r="B160" s="8" t="s">
        <v>1275</v>
      </c>
      <c r="C160" s="8" t="str">
        <f aca="false">TRIM(SUBSTITUTE($B160,CHAR(160)," "))</f>
        <v>077A L-XLחגורת גב</v>
      </c>
    </row>
    <row r="161" customFormat="false" ht="15" hidden="false" customHeight="false" outlineLevel="0" collapsed="false">
      <c r="A161" s="8" t="n">
        <v>4408134</v>
      </c>
      <c r="B161" s="8" t="s">
        <v>1274</v>
      </c>
      <c r="C161" s="8" t="str">
        <f aca="false">TRIM(SUBSTITUTE($B161,CHAR(160)," "))</f>
        <v>077A S-M חגורת גב</v>
      </c>
    </row>
    <row r="162" customFormat="false" ht="15" hidden="false" customHeight="false" outlineLevel="0" collapsed="false">
      <c r="A162" s="8" t="n">
        <v>4408192</v>
      </c>
      <c r="B162" s="8" t="s">
        <v>1293</v>
      </c>
      <c r="C162" s="8" t="str">
        <f aca="false">TRIM(SUBSTITUTE($B162,CHAR(160)," "))</f>
        <v>078 L חגורת גב +סגירה</v>
      </c>
    </row>
    <row r="163" customFormat="false" ht="15" hidden="false" customHeight="false" outlineLevel="0" collapsed="false">
      <c r="A163" s="8" t="n">
        <v>4408233</v>
      </c>
      <c r="B163" s="8" t="s">
        <v>1793</v>
      </c>
      <c r="C163" s="8" t="str">
        <f aca="false">TRIM(SUBSTITUTE($B163,CHAR(160)," "))</f>
        <v>078C L'חגורת גב+סגירה כפו בז</v>
      </c>
    </row>
    <row r="164" customFormat="false" ht="15" hidden="false" customHeight="false" outlineLevel="0" collapsed="false">
      <c r="A164" s="8" t="n">
        <v>4408234</v>
      </c>
      <c r="B164" s="8" t="s">
        <v>1313</v>
      </c>
      <c r="C164" s="8" t="str">
        <f aca="false">TRIM(SUBSTITUTE($B164,CHAR(160)," "))</f>
        <v>078C M'חגורת גב+סגירה כפו בז</v>
      </c>
    </row>
    <row r="165" customFormat="false" ht="15" hidden="false" customHeight="false" outlineLevel="0" collapsed="false">
      <c r="A165" s="8" t="n">
        <v>4408235</v>
      </c>
      <c r="B165" s="8" t="s">
        <v>1314</v>
      </c>
      <c r="C165" s="8" t="str">
        <f aca="false">TRIM(SUBSTITUTE($B165,CHAR(160)," "))</f>
        <v>078C S'חגורת גב+סגירה כפו בז</v>
      </c>
    </row>
    <row r="166" customFormat="false" ht="15" hidden="false" customHeight="false" outlineLevel="0" collapsed="false">
      <c r="A166" s="8" t="n">
        <v>4408236</v>
      </c>
      <c r="B166" s="8" t="s">
        <v>1765</v>
      </c>
      <c r="C166" s="8" t="str">
        <f aca="false">TRIM(SUBSTITUTE($B166,CHAR(160)," "))</f>
        <v>078C XLתתחגורת גב+סגירה כפו בז</v>
      </c>
    </row>
    <row r="167" customFormat="false" ht="15" hidden="false" customHeight="false" outlineLevel="0" collapsed="false">
      <c r="A167" s="8" t="n">
        <v>4408237</v>
      </c>
      <c r="B167" s="8" t="s">
        <v>1883</v>
      </c>
      <c r="C167" s="8" t="str">
        <f aca="false">TRIM(SUBSTITUTE($B167,CHAR(160)," "))</f>
        <v>078C XXL 'חג.גב+סגירה כפו בז</v>
      </c>
    </row>
    <row r="168" customFormat="false" ht="15" hidden="false" customHeight="false" outlineLevel="0" collapsed="false">
      <c r="A168" s="8" t="n">
        <v>4408221</v>
      </c>
      <c r="B168" s="8" t="s">
        <v>1303</v>
      </c>
      <c r="C168" s="8" t="str">
        <f aca="false">TRIM(SUBSTITUTE($B168,CHAR(160)," "))</f>
        <v>078G-L חגורת גב אפורה</v>
      </c>
    </row>
    <row r="169" customFormat="false" ht="15" hidden="false" customHeight="false" outlineLevel="0" collapsed="false">
      <c r="A169" s="8" t="n">
        <v>4408220</v>
      </c>
      <c r="B169" s="8" t="s">
        <v>1302</v>
      </c>
      <c r="C169" s="8" t="str">
        <f aca="false">TRIM(SUBSTITUTE($B169,CHAR(160)," "))</f>
        <v>078G-M חגורת גב אפורה</v>
      </c>
    </row>
    <row r="170" customFormat="false" ht="15" hidden="false" customHeight="false" outlineLevel="0" collapsed="false">
      <c r="A170" s="8" t="n">
        <v>4408219</v>
      </c>
      <c r="B170" s="8" t="s">
        <v>1301</v>
      </c>
      <c r="C170" s="8" t="str">
        <f aca="false">TRIM(SUBSTITUTE($B170,CHAR(160)," "))</f>
        <v>078G-S חגורת גב אפורה</v>
      </c>
    </row>
    <row r="171" customFormat="false" ht="15" hidden="false" customHeight="false" outlineLevel="0" collapsed="false">
      <c r="A171" s="8" t="n">
        <v>4408222</v>
      </c>
      <c r="B171" s="8" t="s">
        <v>1304</v>
      </c>
      <c r="C171" s="8" t="str">
        <f aca="false">TRIM(SUBSTITUTE($B171,CHAR(160)," "))</f>
        <v>078G-XLחגורת גב אפורה</v>
      </c>
    </row>
    <row r="172" customFormat="false" ht="15" hidden="false" customHeight="false" outlineLevel="0" collapsed="false">
      <c r="A172" s="8" t="n">
        <v>4408223</v>
      </c>
      <c r="B172" s="8" t="s">
        <v>1305</v>
      </c>
      <c r="C172" s="8" t="str">
        <f aca="false">TRIM(SUBSTITUTE($B172,CHAR(160)," "))</f>
        <v>078G-XXLחגורת גב אפורה</v>
      </c>
    </row>
    <row r="173" customFormat="false" ht="15" hidden="false" customHeight="false" outlineLevel="0" collapsed="false">
      <c r="A173" s="8" t="n">
        <v>4408218</v>
      </c>
      <c r="B173" s="8" t="s">
        <v>1300</v>
      </c>
      <c r="C173" s="8" t="str">
        <f aca="false">TRIM(SUBSTITUTE($B173,CHAR(160)," "))</f>
        <v>078XL חגורת גב +סגירה כפולה</v>
      </c>
    </row>
    <row r="174" customFormat="false" ht="15" hidden="false" customHeight="false" outlineLevel="0" collapsed="false">
      <c r="A174" s="8" t="n">
        <v>4408265</v>
      </c>
      <c r="B174" s="8" t="s">
        <v>1324</v>
      </c>
      <c r="C174" s="8" t="str">
        <f aca="false">TRIM(SUBSTITUTE($B174,CHAR(160)," "))</f>
        <v>078XXL חגורת גב +סגירה כפולה</v>
      </c>
    </row>
    <row r="175" customFormat="false" ht="15" hidden="false" customHeight="false" outlineLevel="0" collapsed="false">
      <c r="A175" s="8" t="n">
        <v>4408011</v>
      </c>
      <c r="B175" s="8" t="s">
        <v>1197</v>
      </c>
      <c r="C175" s="8" t="str">
        <f aca="false">TRIM(SUBSTITUTE($B175,CHAR(160)," "))</f>
        <v>079 M ח.גב סג.כפולה שחור+אדום</v>
      </c>
    </row>
    <row r="176" customFormat="false" ht="15" hidden="false" customHeight="false" outlineLevel="0" collapsed="false">
      <c r="A176" s="8" t="n">
        <v>4408010</v>
      </c>
      <c r="B176" s="8" t="s">
        <v>1196</v>
      </c>
      <c r="C176" s="8" t="str">
        <f aca="false">TRIM(SUBSTITUTE($B176,CHAR(160)," "))</f>
        <v>079 L ח.גב סג.כפולה שחור+אדום</v>
      </c>
    </row>
    <row r="177" customFormat="false" ht="15" hidden="false" customHeight="false" outlineLevel="0" collapsed="false">
      <c r="A177" s="8" t="n">
        <v>4408009</v>
      </c>
      <c r="B177" s="8" t="s">
        <v>1195</v>
      </c>
      <c r="C177" s="8" t="str">
        <f aca="false">TRIM(SUBSTITUTE($B177,CHAR(160)," "))</f>
        <v>079 S ח.גב סג. כפולה שחור+אדום</v>
      </c>
    </row>
    <row r="178" customFormat="false" ht="15" hidden="false" customHeight="false" outlineLevel="0" collapsed="false">
      <c r="A178" s="8" t="n">
        <v>4408012</v>
      </c>
      <c r="B178" s="8" t="s">
        <v>1198</v>
      </c>
      <c r="C178" s="8" t="str">
        <f aca="false">TRIM(SUBSTITUTE($B178,CHAR(160)," "))</f>
        <v>079 XL ח.גב סג.כפולה שחור+אדום</v>
      </c>
    </row>
    <row r="179" customFormat="false" ht="15" hidden="false" customHeight="false" outlineLevel="0" collapsed="false">
      <c r="A179" s="8" t="n">
        <v>4408013</v>
      </c>
      <c r="B179" s="8" t="s">
        <v>1199</v>
      </c>
      <c r="C179" s="8" t="str">
        <f aca="false">TRIM(SUBSTITUTE($B179,CHAR(160)," "))</f>
        <v>079 XXLח.גב סג.כפולה שחור+אדום</v>
      </c>
    </row>
    <row r="180" customFormat="false" ht="15" hidden="false" customHeight="false" outlineLevel="0" collapsed="false">
      <c r="A180" s="8" t="n">
        <v>4408015</v>
      </c>
      <c r="B180" s="8" t="s">
        <v>1201</v>
      </c>
      <c r="C180" s="8" t="str">
        <f aca="false">TRIM(SUBSTITUTE($B180,CHAR(160)," "))</f>
        <v>07AU L ח.גב ""איטלקית"" אורירית</v>
      </c>
    </row>
    <row r="181" customFormat="false" ht="15" hidden="false" customHeight="false" outlineLevel="0" collapsed="false">
      <c r="A181" s="8" t="n">
        <v>4408016</v>
      </c>
      <c r="B181" s="8" t="s">
        <v>1202</v>
      </c>
      <c r="C181" s="8" t="str">
        <f aca="false">TRIM(SUBSTITUTE($B181,CHAR(160)," "))</f>
        <v>07AU M ח.גב ""איטלקית"" אורירית</v>
      </c>
    </row>
    <row r="182" customFormat="false" ht="15" hidden="false" customHeight="false" outlineLevel="0" collapsed="false">
      <c r="A182" s="8" t="n">
        <v>4408014</v>
      </c>
      <c r="B182" s="8" t="s">
        <v>1200</v>
      </c>
      <c r="C182" s="8" t="str">
        <f aca="false">TRIM(SUBSTITUTE($B182,CHAR(160)," "))</f>
        <v>07AU S ח.גב ""איטלקית"" אורירית</v>
      </c>
    </row>
    <row r="183" customFormat="false" ht="15" hidden="false" customHeight="false" outlineLevel="0" collapsed="false">
      <c r="A183" s="8" t="n">
        <v>4408017</v>
      </c>
      <c r="B183" s="8" t="s">
        <v>1203</v>
      </c>
      <c r="C183" s="8" t="str">
        <f aca="false">TRIM(SUBSTITUTE($B183,CHAR(160)," "))</f>
        <v>07AU XL ח.גב ""איטלקית"" אורירית</v>
      </c>
    </row>
    <row r="184" customFormat="false" ht="15" hidden="false" customHeight="false" outlineLevel="0" collapsed="false">
      <c r="A184" s="8" t="n">
        <v>4408018</v>
      </c>
      <c r="B184" s="8" t="s">
        <v>1204</v>
      </c>
      <c r="C184" s="8" t="str">
        <f aca="false">TRIM(SUBSTITUTE($B184,CHAR(160)," "))</f>
        <v>07AU XXL.ח.גב ""איטלקית"" אוריר</v>
      </c>
    </row>
    <row r="185" customFormat="false" ht="15" hidden="false" customHeight="false" outlineLevel="0" collapsed="false">
      <c r="A185" s="8" t="n">
        <v>4408024</v>
      </c>
      <c r="B185" s="8" t="s">
        <v>1205</v>
      </c>
      <c r="C185" s="8" t="str">
        <f aca="false">TRIM(SUBSTITUTE($B185,CHAR(160)," "))</f>
        <v>07UC L-XLח.גב אמר+סגירה כפ.חום</v>
      </c>
    </row>
    <row r="186" customFormat="false" ht="15" hidden="false" customHeight="false" outlineLevel="0" collapsed="false">
      <c r="A186" s="8" t="n">
        <v>4408027</v>
      </c>
      <c r="B186" s="8" t="s">
        <v>1207</v>
      </c>
      <c r="C186" s="8" t="str">
        <f aca="false">TRIM(SUBSTITUTE($B186,CHAR(160)," "))</f>
        <v>10 L ""חגורת גב ""לומבו</v>
      </c>
    </row>
    <row r="187" customFormat="false" ht="15" hidden="false" customHeight="false" outlineLevel="0" collapsed="false">
      <c r="A187" s="8" t="n">
        <v>4408028</v>
      </c>
      <c r="B187" s="8" t="s">
        <v>1208</v>
      </c>
      <c r="C187" s="8" t="str">
        <f aca="false">TRIM(SUBSTITUTE($B187,CHAR(160)," "))</f>
        <v>10 M ""חגורת גב ""לומבו</v>
      </c>
    </row>
    <row r="188" customFormat="false" ht="15" hidden="false" customHeight="false" outlineLevel="0" collapsed="false">
      <c r="A188" s="8" t="n">
        <v>4408026</v>
      </c>
      <c r="B188" s="8" t="s">
        <v>1206</v>
      </c>
      <c r="C188" s="8" t="str">
        <f aca="false">TRIM(SUBSTITUTE($B188,CHAR(160)," "))</f>
        <v>10 S ""חגורת גב ""לומבו</v>
      </c>
    </row>
    <row r="189" customFormat="false" ht="15" hidden="false" customHeight="false" outlineLevel="0" collapsed="false">
      <c r="A189" s="8" t="n">
        <v>4408029</v>
      </c>
      <c r="B189" s="8" t="s">
        <v>1209</v>
      </c>
      <c r="C189" s="8" t="str">
        <f aca="false">TRIM(SUBSTITUTE($B189,CHAR(160)," "))</f>
        <v>10 XL ""חגורת גב ""לומבו</v>
      </c>
    </row>
    <row r="190" customFormat="false" ht="15" hidden="false" customHeight="false" outlineLevel="0" collapsed="false">
      <c r="A190" s="8" t="n">
        <v>4408030</v>
      </c>
      <c r="B190" s="8" t="s">
        <v>1210</v>
      </c>
      <c r="C190" s="8" t="str">
        <f aca="false">TRIM(SUBSTITUTE($B190,CHAR(160)," "))</f>
        <v>10 XXL""חגורת גב ""לומבו</v>
      </c>
    </row>
    <row r="191" customFormat="false" ht="15" hidden="false" customHeight="false" outlineLevel="0" collapsed="false">
      <c r="A191" s="8" t="n">
        <v>4408032</v>
      </c>
      <c r="B191" s="8" t="s">
        <v>1212</v>
      </c>
      <c r="C191" s="8" t="str">
        <f aca="false">TRIM(SUBSTITUTE($B191,CHAR(160)," "))</f>
        <v>11 L""חגורת בטן""אורירית</v>
      </c>
    </row>
    <row r="192" customFormat="false" ht="15" hidden="false" customHeight="false" outlineLevel="0" collapsed="false">
      <c r="A192" s="8" t="n">
        <v>4408033</v>
      </c>
      <c r="B192" s="8" t="s">
        <v>1213</v>
      </c>
      <c r="C192" s="8" t="str">
        <f aca="false">TRIM(SUBSTITUTE($B192,CHAR(160)," "))</f>
        <v>11 M""חגורת בטן""אורירית</v>
      </c>
    </row>
    <row r="193" customFormat="false" ht="15" hidden="false" customHeight="false" outlineLevel="0" collapsed="false">
      <c r="A193" s="8" t="n">
        <v>4408031</v>
      </c>
      <c r="B193" s="8" t="s">
        <v>1211</v>
      </c>
      <c r="C193" s="8" t="str">
        <f aca="false">TRIM(SUBSTITUTE($B193,CHAR(160)," "))</f>
        <v>11 S""חגורת בטן""אורירית</v>
      </c>
    </row>
    <row r="194" customFormat="false" ht="15" hidden="false" customHeight="false" outlineLevel="0" collapsed="false">
      <c r="A194" s="8" t="n">
        <v>4408034</v>
      </c>
      <c r="B194" s="8" t="s">
        <v>1214</v>
      </c>
      <c r="C194" s="8" t="str">
        <f aca="false">TRIM(SUBSTITUTE($B194,CHAR(160)," "))</f>
        <v>11 XL""חגורת בטן""אורירית</v>
      </c>
    </row>
    <row r="195" customFormat="false" ht="15" hidden="false" customHeight="false" outlineLevel="0" collapsed="false">
      <c r="A195" s="8" t="n">
        <v>4408175</v>
      </c>
      <c r="B195" s="8" t="s">
        <v>1287</v>
      </c>
      <c r="C195" s="8" t="str">
        <f aca="false">TRIM(SUBSTITUTE($B195,CHAR(160)," "))</f>
        <v>11 XS חגורת בטן</v>
      </c>
    </row>
    <row r="196" customFormat="false" ht="15" hidden="false" customHeight="false" outlineLevel="0" collapsed="false">
      <c r="A196" s="8" t="n">
        <v>4408035</v>
      </c>
      <c r="B196" s="8" t="s">
        <v>1215</v>
      </c>
      <c r="C196" s="8" t="str">
        <f aca="false">TRIM(SUBSTITUTE($B196,CHAR(160)," "))</f>
        <v>11 XXL""חגורת בטן""אורירית</v>
      </c>
    </row>
    <row r="197" customFormat="false" ht="15" hidden="false" customHeight="false" outlineLevel="0" collapsed="false">
      <c r="A197" s="8" t="n">
        <v>4408115</v>
      </c>
      <c r="B197" s="8" t="s">
        <v>1264</v>
      </c>
      <c r="C197" s="8" t="str">
        <f aca="false">TRIM(SUBSTITUTE($B197,CHAR(160)," "))</f>
        <v>11EU L ח.בטן לאחר ניתוח</v>
      </c>
    </row>
    <row r="198" customFormat="false" ht="15" hidden="false" customHeight="false" outlineLevel="0" collapsed="false">
      <c r="A198" s="8" t="n">
        <v>4408114</v>
      </c>
      <c r="B198" s="8" t="s">
        <v>1263</v>
      </c>
      <c r="C198" s="8" t="str">
        <f aca="false">TRIM(SUBSTITUTE($B198,CHAR(160)," "))</f>
        <v>11EU M ח.בטן לאחר ניתוח</v>
      </c>
    </row>
    <row r="199" customFormat="false" ht="15" hidden="false" customHeight="false" outlineLevel="0" collapsed="false">
      <c r="A199" s="8" t="n">
        <v>4408113</v>
      </c>
      <c r="B199" s="8" t="s">
        <v>1262</v>
      </c>
      <c r="C199" s="8" t="str">
        <f aca="false">TRIM(SUBSTITUTE($B199,CHAR(160)," "))</f>
        <v>11EU S ח.בטן לאחר ניתוח</v>
      </c>
    </row>
    <row r="200" customFormat="false" ht="15" hidden="false" customHeight="false" outlineLevel="0" collapsed="false">
      <c r="A200" s="8" t="n">
        <v>4408116</v>
      </c>
      <c r="B200" s="8" t="s">
        <v>1265</v>
      </c>
      <c r="C200" s="8" t="str">
        <f aca="false">TRIM(SUBSTITUTE($B200,CHAR(160)," "))</f>
        <v>11EU XLח.בטן לאחר ניתוח</v>
      </c>
    </row>
    <row r="201" customFormat="false" ht="15" hidden="false" customHeight="false" outlineLevel="0" collapsed="false">
      <c r="A201" s="8" t="n">
        <v>4408132</v>
      </c>
      <c r="B201" s="8" t="s">
        <v>1273</v>
      </c>
      <c r="C201" s="8" t="str">
        <f aca="false">TRIM(SUBSTITUTE($B201,CHAR(160)," "))</f>
        <v>11EU XXL חגורת בטןלאחר ניתוח</v>
      </c>
    </row>
    <row r="202" customFormat="false" ht="15" hidden="false" customHeight="false" outlineLevel="0" collapsed="false">
      <c r="A202" s="8" t="n">
        <v>4408147</v>
      </c>
      <c r="B202" s="8" t="s">
        <v>1279</v>
      </c>
      <c r="C202" s="8" t="str">
        <f aca="false">TRIM(SUBSTITUTE($B202,CHAR(160)," "))</f>
        <v>11PS Lחגורה למנותחי בטן</v>
      </c>
    </row>
    <row r="203" customFormat="false" ht="15" hidden="false" customHeight="false" outlineLevel="0" collapsed="false">
      <c r="A203" s="8" t="n">
        <v>4408146</v>
      </c>
      <c r="B203" s="8" t="s">
        <v>1764</v>
      </c>
      <c r="C203" s="8" t="str">
        <f aca="false">TRIM(SUBSTITUTE($B203,CHAR(160)," "))</f>
        <v>11PS Mחגורה למנותחי בטן</v>
      </c>
    </row>
    <row r="204" customFormat="false" ht="15" hidden="false" customHeight="false" outlineLevel="0" collapsed="false">
      <c r="A204" s="8" t="n">
        <v>4408145</v>
      </c>
      <c r="B204" s="8" t="s">
        <v>1763</v>
      </c>
      <c r="C204" s="8" t="str">
        <f aca="false">TRIM(SUBSTITUTE($B204,CHAR(160)," "))</f>
        <v>11PS Sחגורה למנותחי בטן</v>
      </c>
    </row>
    <row r="205" customFormat="false" ht="15" hidden="false" customHeight="false" outlineLevel="0" collapsed="false">
      <c r="A205" s="8" t="n">
        <v>4408148</v>
      </c>
      <c r="B205" s="8" t="s">
        <v>1280</v>
      </c>
      <c r="C205" s="8" t="str">
        <f aca="false">TRIM(SUBSTITUTE($B205,CHAR(160)," "))</f>
        <v>11PS XLחגורה למנותחי בטן</v>
      </c>
    </row>
    <row r="206" customFormat="false" ht="15" hidden="false" customHeight="false" outlineLevel="0" collapsed="false">
      <c r="A206" s="8" t="n">
        <v>4408149</v>
      </c>
      <c r="B206" s="8" t="s">
        <v>1281</v>
      </c>
      <c r="C206" s="8" t="str">
        <f aca="false">TRIM(SUBSTITUTE($B206,CHAR(160)," "))</f>
        <v>11PS XXLחגורה למנותחי בטן</v>
      </c>
    </row>
    <row r="207" customFormat="false" ht="15" hidden="false" customHeight="false" outlineLevel="0" collapsed="false">
      <c r="A207" s="8" t="n">
        <v>4408261</v>
      </c>
      <c r="B207" s="8" t="s">
        <v>1741</v>
      </c>
      <c r="C207" s="8" t="str">
        <f aca="false">TRIM(SUBSTITUTE($B207,CHAR(160)," "))</f>
        <v>11STO L חגורה אחרי ניתוח</v>
      </c>
    </row>
    <row r="208" customFormat="false" ht="15" hidden="false" customHeight="false" outlineLevel="0" collapsed="false">
      <c r="A208" s="8" t="n">
        <v>4408260</v>
      </c>
      <c r="B208" s="8" t="s">
        <v>1321</v>
      </c>
      <c r="C208" s="8" t="str">
        <f aca="false">TRIM(SUBSTITUTE($B208,CHAR(160)," "))</f>
        <v>11STO M חגורה אחרי ניתוח</v>
      </c>
    </row>
    <row r="209" customFormat="false" ht="15" hidden="false" customHeight="false" outlineLevel="0" collapsed="false">
      <c r="A209" s="8" t="n">
        <v>4408259</v>
      </c>
      <c r="B209" s="8" t="s">
        <v>1320</v>
      </c>
      <c r="C209" s="8" t="str">
        <f aca="false">TRIM(SUBSTITUTE($B209,CHAR(160)," "))</f>
        <v>11STO S חגורה אחרי ניתוח</v>
      </c>
    </row>
    <row r="210" customFormat="false" ht="15" hidden="false" customHeight="false" outlineLevel="0" collapsed="false">
      <c r="A210" s="8" t="n">
        <v>4408262</v>
      </c>
      <c r="B210" s="8" t="s">
        <v>1322</v>
      </c>
      <c r="C210" s="8" t="str">
        <f aca="false">TRIM(SUBSTITUTE($B210,CHAR(160)," "))</f>
        <v>11STO XL חגורה אחרי ניתוח</v>
      </c>
    </row>
    <row r="211" customFormat="false" ht="15" hidden="false" customHeight="false" outlineLevel="0" collapsed="false">
      <c r="A211" s="8" t="n">
        <v>4408263</v>
      </c>
      <c r="B211" s="8" t="s">
        <v>1742</v>
      </c>
      <c r="C211" s="8" t="str">
        <f aca="false">TRIM(SUBSTITUTE($B211,CHAR(160)," "))</f>
        <v>11STO XXL חגורה אחרי ניתוח</v>
      </c>
    </row>
    <row r="212" customFormat="false" ht="15" hidden="false" customHeight="false" outlineLevel="0" collapsed="false">
      <c r="A212" s="8" t="n">
        <v>4408152</v>
      </c>
      <c r="B212" s="8" t="s">
        <v>1284</v>
      </c>
      <c r="C212" s="8" t="str">
        <f aca="false">TRIM(SUBSTITUTE($B212,CHAR(160)," "))</f>
        <v>11TO L חגורה למנותחי בית החזה</v>
      </c>
    </row>
    <row r="213" customFormat="false" ht="15" hidden="false" customHeight="false" outlineLevel="0" collapsed="false">
      <c r="A213" s="8" t="n">
        <v>4408151</v>
      </c>
      <c r="B213" s="8" t="s">
        <v>1283</v>
      </c>
      <c r="C213" s="8" t="str">
        <f aca="false">TRIM(SUBSTITUTE($B213,CHAR(160)," "))</f>
        <v>11TO M חגורה למנותחי בית החזה</v>
      </c>
    </row>
    <row r="214" customFormat="false" ht="15" hidden="false" customHeight="false" outlineLevel="0" collapsed="false">
      <c r="A214" s="8" t="n">
        <v>4408150</v>
      </c>
      <c r="B214" s="8" t="s">
        <v>1282</v>
      </c>
      <c r="C214" s="8" t="str">
        <f aca="false">TRIM(SUBSTITUTE($B214,CHAR(160)," "))</f>
        <v>11TO S חגורה למנותחי בית החזה</v>
      </c>
    </row>
    <row r="215" customFormat="false" ht="15" hidden="false" customHeight="false" outlineLevel="0" collapsed="false">
      <c r="A215" s="8" t="n">
        <v>4408153</v>
      </c>
      <c r="B215" s="8" t="s">
        <v>1285</v>
      </c>
      <c r="C215" s="8" t="str">
        <f aca="false">TRIM(SUBSTITUTE($B215,CHAR(160)," "))</f>
        <v>11TO XLחגורה למנותחי בית החזה</v>
      </c>
    </row>
    <row r="216" customFormat="false" ht="15" hidden="false" customHeight="false" outlineLevel="0" collapsed="false">
      <c r="A216" s="8" t="n">
        <v>4408154</v>
      </c>
      <c r="B216" s="8" t="s">
        <v>1286</v>
      </c>
      <c r="C216" s="8" t="str">
        <f aca="false">TRIM(SUBSTITUTE($B216,CHAR(160)," "))</f>
        <v>11TO XXLחגורה למנותחי בית החזה</v>
      </c>
    </row>
    <row r="217" customFormat="false" ht="15" hidden="false" customHeight="false" outlineLevel="0" collapsed="false">
      <c r="A217" s="8" t="n">
        <v>4408100</v>
      </c>
      <c r="B217" s="8" t="s">
        <v>1260</v>
      </c>
      <c r="C217" s="8" t="str">
        <f aca="false">TRIM(SUBSTITUTE($B217,CHAR(160)," "))</f>
        <v>11U Lחגורת בטן וחזה אחרי ניתוח</v>
      </c>
    </row>
    <row r="218" customFormat="false" ht="15" hidden="false" customHeight="false" outlineLevel="0" collapsed="false">
      <c r="A218" s="8" t="n">
        <v>4408101</v>
      </c>
      <c r="B218" s="8" t="s">
        <v>1884</v>
      </c>
      <c r="C218" s="8" t="str">
        <f aca="false">TRIM(SUBSTITUTE($B218,CHAR(160)," "))</f>
        <v>11U Mחגורת בטן וחזה אחרי ניתוח</v>
      </c>
    </row>
    <row r="219" customFormat="false" ht="15" hidden="false" customHeight="false" outlineLevel="0" collapsed="false">
      <c r="A219" s="8" t="n">
        <v>4408103</v>
      </c>
      <c r="B219" s="8" t="s">
        <v>1885</v>
      </c>
      <c r="C219" s="8" t="str">
        <f aca="false">TRIM(SUBSTITUTE($B219,CHAR(160)," "))</f>
        <v>11U XL ח.בטן לאחר ניתוח קלה</v>
      </c>
    </row>
    <row r="220" customFormat="false" ht="15" hidden="false" customHeight="false" outlineLevel="0" collapsed="false">
      <c r="A220" s="8" t="n">
        <v>4408239</v>
      </c>
      <c r="B220" s="8" t="s">
        <v>1886</v>
      </c>
      <c r="C220" s="8" t="str">
        <f aca="false">TRIM(SUBSTITUTE($B220,CHAR(160)," "))</f>
        <v>11UC'M'תתחגורת בטן עממית בז</v>
      </c>
    </row>
    <row r="221" customFormat="false" ht="15" hidden="false" customHeight="false" outlineLevel="0" collapsed="false">
      <c r="A221" s="8" t="n">
        <v>4408240</v>
      </c>
      <c r="B221" s="8" t="s">
        <v>1794</v>
      </c>
      <c r="C221" s="8" t="str">
        <f aca="false">TRIM(SUBSTITUTE($B221,CHAR(160)," "))</f>
        <v>11UC S'תתחגורת בטן עממית בז</v>
      </c>
    </row>
    <row r="222" customFormat="false" ht="15" hidden="false" customHeight="false" outlineLevel="0" collapsed="false">
      <c r="A222" s="8" t="n">
        <v>4408241</v>
      </c>
      <c r="B222" s="8" t="s">
        <v>1887</v>
      </c>
      <c r="C222" s="8" t="str">
        <f aca="false">TRIM(SUBSTITUTE($B222,CHAR(160)," "))</f>
        <v>11UC XL 'תתחגורת בטן עממ.בז</v>
      </c>
    </row>
    <row r="223" customFormat="false" ht="15" hidden="false" customHeight="false" outlineLevel="0" collapsed="false">
      <c r="A223" s="8" t="n">
        <v>4408037</v>
      </c>
      <c r="B223" s="8" t="s">
        <v>1888</v>
      </c>
      <c r="C223" s="8" t="str">
        <f aca="false">TRIM(SUBSTITUTE($B223,CHAR(160)," "))</f>
        <v>12 L ח.גב מגנטית+מוטות תמיכה</v>
      </c>
    </row>
    <row r="224" customFormat="false" ht="15" hidden="false" customHeight="false" outlineLevel="0" collapsed="false">
      <c r="A224" s="8" t="n">
        <v>4408038</v>
      </c>
      <c r="B224" s="8" t="s">
        <v>1789</v>
      </c>
      <c r="C224" s="8" t="str">
        <f aca="false">TRIM(SUBSTITUTE($B224,CHAR(160)," "))</f>
        <v>12 M ח.גב מגנטית+מוטות תמיכה</v>
      </c>
    </row>
    <row r="225" customFormat="false" ht="15" hidden="false" customHeight="false" outlineLevel="0" collapsed="false">
      <c r="A225" s="8" t="n">
        <v>4408036</v>
      </c>
      <c r="B225" s="8" t="s">
        <v>1889</v>
      </c>
      <c r="C225" s="8" t="str">
        <f aca="false">TRIM(SUBSTITUTE($B225,CHAR(160)," "))</f>
        <v>12 S ח.גב מגנטית+מוטות תמיכה</v>
      </c>
    </row>
    <row r="226" customFormat="false" ht="15" hidden="false" customHeight="false" outlineLevel="0" collapsed="false">
      <c r="A226" s="8" t="n">
        <v>4408039</v>
      </c>
      <c r="B226" s="8" t="s">
        <v>1790</v>
      </c>
      <c r="C226" s="8" t="str">
        <f aca="false">TRIM(SUBSTITUTE($B226,CHAR(160)," "))</f>
        <v>12 XL ח.גב מגנטית+מוטות תמיכה</v>
      </c>
    </row>
    <row r="227" customFormat="false" ht="15" hidden="false" customHeight="false" outlineLevel="0" collapsed="false">
      <c r="A227" s="8" t="n">
        <v>4408178</v>
      </c>
      <c r="B227" s="8" t="s">
        <v>1289</v>
      </c>
      <c r="C227" s="8" t="str">
        <f aca="false">TRIM(SUBSTITUTE($B227,CHAR(160)," "))</f>
        <v>13 L חגורה לשבר טבור</v>
      </c>
    </row>
    <row r="228" customFormat="false" ht="15" hidden="false" customHeight="false" outlineLevel="0" collapsed="false">
      <c r="A228" s="8" t="n">
        <v>4408177</v>
      </c>
      <c r="B228" s="8" t="s">
        <v>1288</v>
      </c>
      <c r="C228" s="8" t="str">
        <f aca="false">TRIM(SUBSTITUTE($B228,CHAR(160)," "))</f>
        <v>13 M חגורה לשבר טבור</v>
      </c>
    </row>
    <row r="229" customFormat="false" ht="15" hidden="false" customHeight="false" outlineLevel="0" collapsed="false">
      <c r="A229" s="8" t="n">
        <v>4408176</v>
      </c>
      <c r="B229" s="8" t="s">
        <v>1890</v>
      </c>
      <c r="C229" s="8" t="str">
        <f aca="false">TRIM(SUBSTITUTE($B229,CHAR(160)," "))</f>
        <v>13 S חגורה לשבר טבור</v>
      </c>
    </row>
    <row r="230" customFormat="false" ht="15" hidden="false" customHeight="false" outlineLevel="0" collapsed="false">
      <c r="A230" s="8" t="n">
        <v>4408179</v>
      </c>
      <c r="B230" s="8" t="s">
        <v>1290</v>
      </c>
      <c r="C230" s="8" t="str">
        <f aca="false">TRIM(SUBSTITUTE($B230,CHAR(160)," "))</f>
        <v>13 XL חגורה לשבר טבור</v>
      </c>
    </row>
    <row r="231" customFormat="false" ht="15" hidden="false" customHeight="false" outlineLevel="0" collapsed="false">
      <c r="A231" s="8" t="n">
        <v>4408180</v>
      </c>
      <c r="B231" s="8" t="s">
        <v>1291</v>
      </c>
      <c r="C231" s="8" t="str">
        <f aca="false">TRIM(SUBSTITUTE($B231,CHAR(160)," "))</f>
        <v>13 XXL חגורה לשבר טבור</v>
      </c>
    </row>
    <row r="232" customFormat="false" ht="15" hidden="false" customHeight="false" outlineLevel="0" collapsed="false">
      <c r="A232" s="8" t="n">
        <v>4408203</v>
      </c>
      <c r="B232" s="8" t="s">
        <v>1294</v>
      </c>
      <c r="C232" s="8" t="str">
        <f aca="false">TRIM(SUBSTITUTE($B232,CHAR(160)," "))</f>
        <v>14 0 חגורה למנותחי בית חזה</v>
      </c>
    </row>
    <row r="233" customFormat="false" ht="15" hidden="false" customHeight="false" outlineLevel="0" collapsed="false">
      <c r="A233" s="8" t="n">
        <v>4408122</v>
      </c>
      <c r="B233" s="8" t="s">
        <v>1268</v>
      </c>
      <c r="C233" s="8" t="str">
        <f aca="false">TRIM(SUBSTITUTE($B233,CHAR(160)," "))</f>
        <v>15M L חגורת צלעות לגבר</v>
      </c>
    </row>
    <row r="234" customFormat="false" ht="15" hidden="false" customHeight="false" outlineLevel="0" collapsed="false">
      <c r="A234" s="8" t="n">
        <v>4408129</v>
      </c>
      <c r="B234" s="8" t="s">
        <v>1270</v>
      </c>
      <c r="C234" s="8" t="str">
        <f aca="false">TRIM(SUBSTITUTE($B234,CHAR(160)," "))</f>
        <v>15M M חגורת צלעות לגבר</v>
      </c>
    </row>
    <row r="235" customFormat="false" ht="15" hidden="false" customHeight="false" outlineLevel="0" collapsed="false">
      <c r="A235" s="8" t="n">
        <v>4408123</v>
      </c>
      <c r="B235" s="8" t="s">
        <v>1891</v>
      </c>
      <c r="C235" s="8" t="str">
        <f aca="false">TRIM(SUBSTITUTE($B235,CHAR(160)," "))</f>
        <v>15M XL חגורת צלעות לגבר</v>
      </c>
    </row>
    <row r="236" customFormat="false" ht="15" hidden="false" customHeight="false" outlineLevel="0" collapsed="false">
      <c r="A236" s="8" t="n">
        <v>4408131</v>
      </c>
      <c r="B236" s="8" t="s">
        <v>1272</v>
      </c>
      <c r="C236" s="8" t="str">
        <f aca="false">TRIM(SUBSTITUTE($B236,CHAR(160)," "))</f>
        <v>15W L חגורת צלעות לאשה</v>
      </c>
    </row>
    <row r="237" customFormat="false" ht="15" hidden="false" customHeight="false" outlineLevel="0" collapsed="false">
      <c r="A237" s="8" t="n">
        <v>4408130</v>
      </c>
      <c r="B237" s="8" t="s">
        <v>1271</v>
      </c>
      <c r="C237" s="8" t="str">
        <f aca="false">TRIM(SUBSTITUTE($B237,CHAR(160)," "))</f>
        <v>15W M חגורת צלעות לאשה</v>
      </c>
    </row>
    <row r="238" customFormat="false" ht="15" hidden="false" customHeight="false" outlineLevel="0" collapsed="false">
      <c r="A238" s="8" t="n">
        <v>4408126</v>
      </c>
      <c r="B238" s="8" t="s">
        <v>1269</v>
      </c>
      <c r="C238" s="8" t="str">
        <f aca="false">TRIM(SUBSTITUTE($B238,CHAR(160)," "))</f>
        <v>15W XL חגורת צלעות לאשה</v>
      </c>
    </row>
    <row r="239" customFormat="false" ht="15" hidden="false" customHeight="false" outlineLevel="0" collapsed="false">
      <c r="A239" s="8" t="n">
        <v>4408127</v>
      </c>
      <c r="B239" s="8" t="s">
        <v>1892</v>
      </c>
      <c r="C239" s="8" t="str">
        <f aca="false">TRIM(SUBSTITUTE($B239,CHAR(160)," "))</f>
        <v>15W XXL חגורת צלעות לאשה</v>
      </c>
    </row>
    <row r="240" customFormat="false" ht="15" hidden="false" customHeight="false" outlineLevel="0" collapsed="false">
      <c r="A240" s="8" t="n">
        <v>4408230</v>
      </c>
      <c r="B240" s="8" t="s">
        <v>1310</v>
      </c>
      <c r="C240" s="8" t="str">
        <f aca="false">TRIM(SUBSTITUTE($B240,CHAR(160)," "))</f>
        <v>16 L-XL חגורת הריון</v>
      </c>
    </row>
    <row r="241" customFormat="false" ht="15" hidden="false" customHeight="false" outlineLevel="0" collapsed="false">
      <c r="A241" s="8" t="n">
        <v>4408231</v>
      </c>
      <c r="B241" s="8" t="s">
        <v>1311</v>
      </c>
      <c r="C241" s="8" t="str">
        <f aca="false">TRIM(SUBSTITUTE($B241,CHAR(160)," "))</f>
        <v>16 S-M חגורת הריון</v>
      </c>
    </row>
    <row r="242" customFormat="false" ht="15" hidden="false" customHeight="false" outlineLevel="0" collapsed="false">
      <c r="A242" s="8" t="n">
        <v>4408232</v>
      </c>
      <c r="B242" s="8" t="s">
        <v>1312</v>
      </c>
      <c r="C242" s="8" t="str">
        <f aca="false">TRIM(SUBSTITUTE($B242,CHAR(160)," "))</f>
        <v>16 XXL חגורת הריון</v>
      </c>
    </row>
    <row r="243" customFormat="false" ht="15" hidden="false" customHeight="false" outlineLevel="0" collapsed="false">
      <c r="A243" s="8" t="n">
        <v>4408044</v>
      </c>
      <c r="B243" s="8" t="s">
        <v>1219</v>
      </c>
      <c r="C243" s="8" t="str">
        <f aca="false">TRIM(SUBSTITUTE($B243,CHAR(160)," "))</f>
        <v>18 XL.ח.הריון מכנס למניעת כאב</v>
      </c>
    </row>
    <row r="244" customFormat="false" ht="15" hidden="false" customHeight="false" outlineLevel="0" collapsed="false">
      <c r="A244" s="8" t="n">
        <v>4408042</v>
      </c>
      <c r="B244" s="8" t="s">
        <v>1217</v>
      </c>
      <c r="C244" s="8" t="str">
        <f aca="false">TRIM(SUBSTITUTE($B244,CHAR(160)," "))</f>
        <v>18 L ח.הריון מכנס למניעת כאבים</v>
      </c>
    </row>
    <row r="245" customFormat="false" ht="15" hidden="false" customHeight="false" outlineLevel="0" collapsed="false">
      <c r="A245" s="8" t="n">
        <v>4408043</v>
      </c>
      <c r="B245" s="8" t="s">
        <v>1218</v>
      </c>
      <c r="C245" s="8" t="str">
        <f aca="false">TRIM(SUBSTITUTE($B245,CHAR(160)," "))</f>
        <v>18 M ח.הריון מכנס למניעת כאבים</v>
      </c>
    </row>
    <row r="246" customFormat="false" ht="15" hidden="false" customHeight="false" outlineLevel="0" collapsed="false">
      <c r="A246" s="8" t="n">
        <v>4408041</v>
      </c>
      <c r="B246" s="8" t="s">
        <v>1216</v>
      </c>
      <c r="C246" s="8" t="str">
        <f aca="false">TRIM(SUBSTITUTE($B246,CHAR(160)," "))</f>
        <v>18 S ח.הריון מכנס למניעת כאבים</v>
      </c>
    </row>
    <row r="247" customFormat="false" ht="15" hidden="false" customHeight="false" outlineLevel="0" collapsed="false">
      <c r="A247" s="8" t="n">
        <v>4408104</v>
      </c>
      <c r="B247" s="8" t="s">
        <v>1762</v>
      </c>
      <c r="C247" s="8" t="str">
        <f aca="false">TRIM(SUBSTITUTE($B247,CHAR(160)," "))</f>
        <v>19 L-XLחגורת הריון בכאב.חזק</v>
      </c>
    </row>
    <row r="248" customFormat="false" ht="15" hidden="false" customHeight="false" outlineLevel="0" collapsed="false">
      <c r="A248" s="8" t="n">
        <v>4408105</v>
      </c>
      <c r="B248" s="8" t="s">
        <v>1261</v>
      </c>
      <c r="C248" s="8" t="str">
        <f aca="false">TRIM(SUBSTITUTE($B248,CHAR(160)," "))</f>
        <v>19 S-M חגורת הריון בכאב חזק</v>
      </c>
    </row>
    <row r="249" customFormat="false" ht="15" hidden="false" customHeight="false" outlineLevel="0" collapsed="false">
      <c r="A249" s="8" t="n">
        <v>4408109</v>
      </c>
      <c r="B249" s="8" t="s">
        <v>1893</v>
      </c>
      <c r="C249" s="8" t="str">
        <f aca="false">TRIM(SUBSTITUTE($B249,CHAR(160)," "))</f>
        <v>70 L חגורת פיסוק פאב</v>
      </c>
    </row>
    <row r="250" customFormat="false" ht="15" hidden="false" customHeight="false" outlineLevel="0" collapsed="false">
      <c r="A250" s="8" t="n">
        <v>4408108</v>
      </c>
      <c r="B250" s="8" t="s">
        <v>1894</v>
      </c>
      <c r="C250" s="8" t="str">
        <f aca="false">TRIM(SUBSTITUTE($B250,CHAR(160)," "))</f>
        <v>70 M חגורת פיסוק פאב</v>
      </c>
    </row>
    <row r="251" customFormat="false" ht="15" hidden="false" customHeight="false" outlineLevel="0" collapsed="false">
      <c r="A251" s="8" t="n">
        <v>4408107</v>
      </c>
      <c r="B251" s="8" t="s">
        <v>1895</v>
      </c>
      <c r="C251" s="8" t="str">
        <f aca="false">TRIM(SUBSTITUTE($B251,CHAR(160)," "))</f>
        <v>70 S חגורת פיסוק פאב</v>
      </c>
    </row>
    <row r="252" customFormat="false" ht="15" hidden="false" customHeight="false" outlineLevel="0" collapsed="false">
      <c r="A252" s="8" t="n">
        <v>4408274</v>
      </c>
      <c r="B252" s="8" t="s">
        <v>1328</v>
      </c>
      <c r="C252" s="8" t="str">
        <f aca="false">TRIM(SUBSTITUTE($B252,CHAR(160)," "))</f>
        <v>70N L חגורת פאבליק</v>
      </c>
    </row>
    <row r="253" customFormat="false" ht="15" hidden="false" customHeight="false" outlineLevel="0" collapsed="false">
      <c r="A253" s="8" t="n">
        <v>4408273</v>
      </c>
      <c r="B253" s="8" t="s">
        <v>1327</v>
      </c>
      <c r="C253" s="8" t="str">
        <f aca="false">TRIM(SUBSTITUTE($B253,CHAR(160)," "))</f>
        <v>70N M חגורת פאבליק</v>
      </c>
    </row>
    <row r="254" customFormat="false" ht="15" hidden="false" customHeight="false" outlineLevel="0" collapsed="false">
      <c r="A254" s="8" t="n">
        <v>4408272</v>
      </c>
      <c r="B254" s="8" t="s">
        <v>1326</v>
      </c>
      <c r="C254" s="8" t="str">
        <f aca="false">TRIM(SUBSTITUTE($B254,CHAR(160)," "))</f>
        <v>70N S חגורת פאבליק</v>
      </c>
    </row>
    <row r="255" customFormat="false" ht="15" hidden="false" customHeight="false" outlineLevel="0" collapsed="false">
      <c r="A255" s="8" t="n">
        <v>4408271</v>
      </c>
      <c r="B255" s="8" t="s">
        <v>1747</v>
      </c>
      <c r="C255" s="8" t="str">
        <f aca="false">TRIM(SUBSTITUTE($B255,CHAR(160)," "))</f>
        <v>70N XS חגורת פאבליק</v>
      </c>
    </row>
    <row r="256" customFormat="false" ht="15" hidden="false" customHeight="false" outlineLevel="0" collapsed="false">
      <c r="A256" s="8" t="n">
        <v>4408143</v>
      </c>
      <c r="B256" s="8" t="s">
        <v>1896</v>
      </c>
      <c r="C256" s="8" t="str">
        <f aca="false">TRIM(SUBSTITUTE($B256,CHAR(160)," "))</f>
        <v>776 L ח.גב גבוהה</v>
      </c>
    </row>
    <row r="257" customFormat="false" ht="15" hidden="false" customHeight="false" outlineLevel="0" collapsed="false">
      <c r="A257" s="8" t="n">
        <v>4408142</v>
      </c>
      <c r="B257" s="8" t="s">
        <v>1278</v>
      </c>
      <c r="C257" s="8" t="str">
        <f aca="false">TRIM(SUBSTITUTE($B257,CHAR(160)," "))</f>
        <v>776 M ח.גב גבוהה</v>
      </c>
    </row>
    <row r="258" customFormat="false" ht="15" hidden="false" customHeight="false" outlineLevel="0" collapsed="false">
      <c r="A258" s="8" t="n">
        <v>4408144</v>
      </c>
      <c r="B258" s="8" t="s">
        <v>1897</v>
      </c>
      <c r="C258" s="8" t="str">
        <f aca="false">TRIM(SUBSTITUTE($B258,CHAR(160)," "))</f>
        <v>776 XL ח.גב גבוהה</v>
      </c>
    </row>
    <row r="259" customFormat="false" ht="15" hidden="false" customHeight="false" outlineLevel="0" collapsed="false">
      <c r="A259" s="8" t="n">
        <v>4408205</v>
      </c>
      <c r="B259" s="8" t="s">
        <v>1295</v>
      </c>
      <c r="C259" s="8" t="str">
        <f aca="false">TRIM(SUBSTITUTE($B259,CHAR(160)," "))</f>
        <v>AC-07 חגורת גב עם תמיכות</v>
      </c>
    </row>
    <row r="260" customFormat="false" ht="15" hidden="false" customHeight="false" outlineLevel="0" collapsed="false">
      <c r="A260" s="8" t="n">
        <v>4408206</v>
      </c>
      <c r="B260" s="8" t="s">
        <v>1296</v>
      </c>
      <c r="C260" s="8" t="str">
        <f aca="false">TRIM(SUBSTITUTE($B260,CHAR(160)," "))</f>
        <v>AC-11 חגורת בטן קלה</v>
      </c>
    </row>
    <row r="261" customFormat="false" ht="15" hidden="false" customHeight="false" outlineLevel="0" collapsed="false">
      <c r="A261" s="8" t="n">
        <v>4408252</v>
      </c>
      <c r="B261" s="8" t="s">
        <v>1766</v>
      </c>
      <c r="C261" s="8" t="str">
        <f aca="false">TRIM(SUBSTITUTE($B261,CHAR(160)," "))</f>
        <v>L-XL 099 חגורת גב שרוכים</v>
      </c>
    </row>
    <row r="262" customFormat="false" ht="15" hidden="false" customHeight="false" outlineLevel="0" collapsed="false">
      <c r="A262" s="8" t="n">
        <v>4408226</v>
      </c>
      <c r="B262" s="8" t="s">
        <v>1307</v>
      </c>
      <c r="C262" s="8" t="str">
        <f aca="false">TRIM(SUBSTITUTE($B262,CHAR(160)," "))</f>
        <v>L 11 אפורUG חגורת בטן</v>
      </c>
    </row>
    <row r="263" customFormat="false" ht="15" hidden="false" customHeight="false" outlineLevel="0" collapsed="false">
      <c r="A263" s="8" t="n">
        <v>4408225</v>
      </c>
      <c r="B263" s="8" t="s">
        <v>1306</v>
      </c>
      <c r="C263" s="8" t="str">
        <f aca="false">TRIM(SUBSTITUTE($B263,CHAR(160)," "))</f>
        <v>M 11 אפורUG חגורת בטן</v>
      </c>
    </row>
    <row r="264" customFormat="false" ht="15" hidden="false" customHeight="false" outlineLevel="0" collapsed="false">
      <c r="A264" s="8" t="n">
        <v>4408190</v>
      </c>
      <c r="B264" s="8" t="s">
        <v>1292</v>
      </c>
      <c r="C264" s="8" t="str">
        <f aca="false">TRIM(SUBSTITUTE($B264,CHAR(160)," "))</f>
        <v>M078 חגורת גב +סגירה כפולה</v>
      </c>
    </row>
    <row r="265" customFormat="false" ht="15" hidden="false" customHeight="false" outlineLevel="0" collapsed="false">
      <c r="A265" s="8" t="n">
        <v>4408251</v>
      </c>
      <c r="B265" s="8" t="s">
        <v>1795</v>
      </c>
      <c r="C265" s="8" t="str">
        <f aca="false">TRIM(SUBSTITUTE($B265,CHAR(160)," "))</f>
        <v>S-M 099 חגורת גב שרוכים</v>
      </c>
    </row>
    <row r="266" customFormat="false" ht="15" hidden="false" customHeight="false" outlineLevel="0" collapsed="false">
      <c r="A266" s="8" t="n">
        <v>4408224</v>
      </c>
      <c r="B266" s="8" t="s">
        <v>1792</v>
      </c>
      <c r="C266" s="8" t="str">
        <f aca="false">TRIM(SUBSTITUTE($B266,CHAR(160)," "))</f>
        <v>S 11 אפורUGחגורת בטן</v>
      </c>
    </row>
    <row r="267" customFormat="false" ht="15" hidden="false" customHeight="false" outlineLevel="0" collapsed="false">
      <c r="A267" s="8" t="n">
        <v>4408217</v>
      </c>
      <c r="B267" s="8" t="s">
        <v>1299</v>
      </c>
      <c r="C267" s="8" t="str">
        <f aca="false">TRIM(SUBSTITUTE($B267,CHAR(160)," "))</f>
        <v>S078 חגורת גב +סגירה כפולה</v>
      </c>
    </row>
    <row r="268" customFormat="false" ht="15" hidden="false" customHeight="false" outlineLevel="0" collapsed="false">
      <c r="A268" s="8" t="n">
        <v>4408270</v>
      </c>
      <c r="B268" s="8" t="s">
        <v>1746</v>
      </c>
      <c r="C268" s="8" t="str">
        <f aca="false">TRIM(SUBSTITUTE($B268,CHAR(160)," "))</f>
        <v>ST11 חגורת בטן</v>
      </c>
    </row>
    <row r="269" customFormat="false" ht="15" hidden="false" customHeight="false" outlineLevel="0" collapsed="false">
      <c r="A269" s="8" t="n">
        <v>4408090</v>
      </c>
      <c r="B269" s="8" t="s">
        <v>1250</v>
      </c>
      <c r="C269" s="8" t="str">
        <f aca="false">TRIM(SUBSTITUTE($B269,CHAR(160)," "))</f>
        <v>T11C L חגורת גב פוג'יאמה</v>
      </c>
    </row>
    <row r="270" customFormat="false" ht="15" hidden="false" customHeight="false" outlineLevel="0" collapsed="false">
      <c r="A270" s="8" t="n">
        <v>4408091</v>
      </c>
      <c r="B270" s="8" t="s">
        <v>1251</v>
      </c>
      <c r="C270" s="8" t="str">
        <f aca="false">TRIM(SUBSTITUTE($B270,CHAR(160)," "))</f>
        <v>T11C M חגורת גב פוג'יאמה</v>
      </c>
    </row>
    <row r="271" customFormat="false" ht="15" hidden="false" customHeight="false" outlineLevel="0" collapsed="false">
      <c r="A271" s="8" t="n">
        <v>4408089</v>
      </c>
      <c r="B271" s="8" t="s">
        <v>1249</v>
      </c>
      <c r="C271" s="8" t="str">
        <f aca="false">TRIM(SUBSTITUTE($B271,CHAR(160)," "))</f>
        <v>T11C S חגורת גב פוג'יאמה</v>
      </c>
    </row>
    <row r="272" customFormat="false" ht="15" hidden="false" customHeight="false" outlineLevel="0" collapsed="false">
      <c r="A272" s="8" t="n">
        <v>4408092</v>
      </c>
      <c r="B272" s="8" t="s">
        <v>1252</v>
      </c>
      <c r="C272" s="8" t="str">
        <f aca="false">TRIM(SUBSTITUTE($B272,CHAR(160)," "))</f>
        <v>T11C XL חגורת גב פוג'יאמה</v>
      </c>
    </row>
    <row r="273" customFormat="false" ht="15" hidden="false" customHeight="false" outlineLevel="0" collapsed="false">
      <c r="A273" s="8" t="n">
        <v>4408093</v>
      </c>
      <c r="B273" s="8" t="s">
        <v>1253</v>
      </c>
      <c r="C273" s="8" t="str">
        <f aca="false">TRIM(SUBSTITUTE($B273,CHAR(160)," "))</f>
        <v>T11C XXL חגורת גב פוג'יאמה</v>
      </c>
    </row>
    <row r="274" customFormat="false" ht="15" hidden="false" customHeight="false" outlineLevel="0" collapsed="false">
      <c r="A274" s="8" t="n">
        <v>4408227</v>
      </c>
      <c r="B274" s="8" t="s">
        <v>1308</v>
      </c>
      <c r="C274" s="8" t="str">
        <f aca="false">TRIM(SUBSTITUTE($B274,CHAR(160)," "))</f>
        <v>XL 11 אפורUG חגורת בטן</v>
      </c>
    </row>
    <row r="275" customFormat="false" ht="15" hidden="false" customHeight="false" outlineLevel="0" collapsed="false">
      <c r="A275" s="8" t="n">
        <v>4408229</v>
      </c>
      <c r="B275" s="8" t="s">
        <v>1309</v>
      </c>
      <c r="C275" s="8" t="str">
        <f aca="false">TRIM(SUBSTITUTE($B275,CHAR(160)," "))</f>
        <v>XXL 11אפורUGחגורת בטן</v>
      </c>
    </row>
    <row r="276" customFormat="false" ht="15" hidden="false" customHeight="false" outlineLevel="0" collapsed="false">
      <c r="A276" s="8" t="n">
        <v>4409011</v>
      </c>
      <c r="B276" s="8" t="s">
        <v>1335</v>
      </c>
      <c r="C276" s="8" t="str">
        <f aca="false">TRIM(SUBSTITUTE($B276,CHAR(160)," "))</f>
        <v>804AT-B טייפ חבישה לספורט</v>
      </c>
    </row>
    <row r="277" customFormat="false" ht="15" hidden="false" customHeight="false" outlineLevel="0" collapsed="false">
      <c r="A277" s="8" t="n">
        <v>4409013</v>
      </c>
      <c r="B277" s="8" t="s">
        <v>1337</v>
      </c>
      <c r="C277" s="8" t="str">
        <f aca="false">TRIM(SUBSTITUTE($B277,CHAR(160)," "))</f>
        <v>804AT-BL טייפ חבישה לספורט</v>
      </c>
    </row>
    <row r="278" customFormat="false" ht="15" hidden="false" customHeight="false" outlineLevel="0" collapsed="false">
      <c r="A278" s="8" t="n">
        <v>4409012</v>
      </c>
      <c r="B278" s="8" t="s">
        <v>1336</v>
      </c>
      <c r="C278" s="8" t="str">
        <f aca="false">TRIM(SUBSTITUTE($B278,CHAR(160)," "))</f>
        <v>804AT-C טייפ חבישה לספורט</v>
      </c>
    </row>
    <row r="279" customFormat="false" ht="15" hidden="false" customHeight="false" outlineLevel="0" collapsed="false">
      <c r="A279" s="8" t="n">
        <v>4409010</v>
      </c>
      <c r="B279" s="8" t="s">
        <v>1334</v>
      </c>
      <c r="C279" s="8" t="str">
        <f aca="false">TRIM(SUBSTITUTE($B279,CHAR(160)," "))</f>
        <v>804AT-W טייפ חבישה לספורט</v>
      </c>
    </row>
    <row r="280" customFormat="false" ht="15" hidden="false" customHeight="false" outlineLevel="0" collapsed="false">
      <c r="A280" s="8" t="n">
        <v>4401012</v>
      </c>
      <c r="B280" s="8" t="s">
        <v>1158</v>
      </c>
      <c r="C280" s="8" t="str">
        <f aca="false">TRIM(SUBSTITUTE($B280,CHAR(160)," "))</f>
        <v>805AT-B אתלטיק טייפ שחור 20מ""מ</v>
      </c>
    </row>
    <row r="281" customFormat="false" ht="15" hidden="false" customHeight="false" outlineLevel="0" collapsed="false">
      <c r="A281" s="8" t="n">
        <v>4401013</v>
      </c>
      <c r="B281" s="8" t="s">
        <v>1159</v>
      </c>
      <c r="C281" s="8" t="str">
        <f aca="false">TRIM(SUBSTITUTE($B281,CHAR(160)," "))</f>
        <v>805AT-BLאתלטיק טייפ כחול 20מ""מ</v>
      </c>
    </row>
    <row r="282" customFormat="false" ht="15" hidden="false" customHeight="false" outlineLevel="0" collapsed="false">
      <c r="A282" s="8" t="n">
        <v>4401011</v>
      </c>
      <c r="B282" s="8" t="s">
        <v>1157</v>
      </c>
      <c r="C282" s="8" t="str">
        <f aca="false">TRIM(SUBSTITUTE($B282,CHAR(160)," "))</f>
        <v>805AT-Cאתלטיק טייפ בז' 20מ""מ20</v>
      </c>
    </row>
    <row r="283" customFormat="false" ht="15" hidden="false" customHeight="false" outlineLevel="0" collapsed="false">
      <c r="A283" s="8" t="n">
        <v>4401014</v>
      </c>
      <c r="B283" s="8" t="s">
        <v>1160</v>
      </c>
      <c r="C283" s="8" t="str">
        <f aca="false">TRIM(SUBSTITUTE($B283,CHAR(160)," "))</f>
        <v>805AT-W אתלטיק טייפ לבן 20מ""מ</v>
      </c>
    </row>
    <row r="284" customFormat="false" ht="15" hidden="false" customHeight="false" outlineLevel="0" collapsed="false">
      <c r="A284" s="8" t="n">
        <v>4409017</v>
      </c>
      <c r="B284" s="8" t="s">
        <v>1341</v>
      </c>
      <c r="C284" s="8" t="str">
        <f aca="false">TRIM(SUBSTITUTE($B284,CHAR(160)," "))</f>
        <v>808KT-B טייפ קינזיולוגי</v>
      </c>
    </row>
    <row r="285" customFormat="false" ht="15" hidden="false" customHeight="false" outlineLevel="0" collapsed="false">
      <c r="A285" s="8" t="n">
        <v>4409015</v>
      </c>
      <c r="B285" s="8" t="s">
        <v>1339</v>
      </c>
      <c r="C285" s="8" t="str">
        <f aca="false">TRIM(SUBSTITUTE($B285,CHAR(160)," "))</f>
        <v>808KT-BL טייפ קינזיולוגי</v>
      </c>
    </row>
    <row r="286" customFormat="false" ht="15" hidden="false" customHeight="false" outlineLevel="0" collapsed="false">
      <c r="A286" s="8" t="n">
        <v>4409016</v>
      </c>
      <c r="B286" s="8" t="s">
        <v>1340</v>
      </c>
      <c r="C286" s="8" t="str">
        <f aca="false">TRIM(SUBSTITUTE($B286,CHAR(160)," "))</f>
        <v>808KT-C טייפ קינזיולוגי</v>
      </c>
    </row>
    <row r="287" customFormat="false" ht="15" hidden="false" customHeight="false" outlineLevel="0" collapsed="false">
      <c r="A287" s="8" t="n">
        <v>4409014</v>
      </c>
      <c r="B287" s="8" t="s">
        <v>1338</v>
      </c>
      <c r="C287" s="8" t="str">
        <f aca="false">TRIM(SUBSTITUTE($B287,CHAR(160)," "))</f>
        <v>808KT-P טייפ קינזיולוגי</v>
      </c>
    </row>
    <row r="288" customFormat="false" ht="15" hidden="false" customHeight="false" outlineLevel="0" collapsed="false">
      <c r="A288" s="8" t="n">
        <v>4419013</v>
      </c>
      <c r="B288" s="8" t="s">
        <v>1678</v>
      </c>
      <c r="C288" s="8" t="str">
        <f aca="false">TRIM(SUBSTITUTE($B288,CHAR(160)," "))</f>
        <v>239B L-XL STRAP4U</v>
      </c>
    </row>
    <row r="289" customFormat="false" ht="15" hidden="false" customHeight="false" outlineLevel="0" collapsed="false">
      <c r="A289" s="8" t="n">
        <v>4419011</v>
      </c>
      <c r="B289" s="8" t="s">
        <v>1676</v>
      </c>
      <c r="C289" s="8" t="str">
        <f aca="false">TRIM(SUBSTITUTE($B289,CHAR(160)," "))</f>
        <v>239B S-M STRAP4U</v>
      </c>
    </row>
    <row r="290" customFormat="false" ht="15" hidden="false" customHeight="false" outlineLevel="0" collapsed="false">
      <c r="A290" s="8" t="n">
        <v>4419012</v>
      </c>
      <c r="B290" s="8" t="s">
        <v>1677</v>
      </c>
      <c r="C290" s="8" t="str">
        <f aca="false">TRIM(SUBSTITUTE($B290,CHAR(160)," "))</f>
        <v>239P S-M STRAP4U</v>
      </c>
    </row>
    <row r="291" customFormat="false" ht="15" hidden="false" customHeight="false" outlineLevel="0" collapsed="false">
      <c r="A291" s="8" t="n">
        <v>4419014</v>
      </c>
      <c r="B291" s="8" t="s">
        <v>1679</v>
      </c>
      <c r="C291" s="8" t="str">
        <f aca="false">TRIM(SUBSTITUTE($B291,CHAR(160)," "))</f>
        <v>239TR L-XL STRAP4U</v>
      </c>
    </row>
    <row r="292" customFormat="false" ht="15" hidden="false" customHeight="false" outlineLevel="0" collapsed="false">
      <c r="A292" s="8" t="n">
        <v>4411002</v>
      </c>
      <c r="B292" s="8" t="s">
        <v>1796</v>
      </c>
      <c r="C292" s="8" t="str">
        <f aca="false">TRIM(SUBSTITUTE($B292,CHAR(160)," "))</f>
        <v>67 כרית שינה חלומי</v>
      </c>
    </row>
    <row r="293" customFormat="false" ht="15" hidden="false" customHeight="false" outlineLevel="0" collapsed="false">
      <c r="A293" s="8" t="n">
        <v>4414000</v>
      </c>
      <c r="B293" s="8" t="s">
        <v>1606</v>
      </c>
      <c r="C293" s="8" t="str">
        <f aca="false">TRIM(SUBSTITUTE($B293,CHAR(160)," "))</f>
        <v>FC342-נוזל לציפורן חודרנית</v>
      </c>
    </row>
    <row r="294" customFormat="false" ht="15" hidden="false" customHeight="false" outlineLevel="0" collapsed="false">
      <c r="A294" s="8" t="n">
        <v>4415024</v>
      </c>
      <c r="B294" s="8" t="s">
        <v>1898</v>
      </c>
      <c r="C294" s="8" t="str">
        <f aca="false">TRIM(SUBSTITUTE($B294,CHAR(160)," "))</f>
        <v>FCתתסבון אנטי ספטי לכף הרגל350</v>
      </c>
    </row>
    <row r="295" customFormat="false" ht="15" hidden="false" customHeight="false" outlineLevel="0" collapsed="false">
      <c r="A295" s="8" t="n">
        <v>4419015</v>
      </c>
      <c r="B295" s="8" t="s">
        <v>1899</v>
      </c>
      <c r="C295" s="8" t="str">
        <f aca="false">TRIM(SUBSTITUTE($B295,CHAR(160)," "))</f>
        <v>STRAP4U DISPLAY 239D</v>
      </c>
    </row>
    <row r="296" customFormat="false" ht="15" hidden="false" customHeight="false" outlineLevel="0" collapsed="false">
      <c r="A296" s="8" t="n">
        <v>4421008</v>
      </c>
      <c r="B296" s="8" t="s">
        <v>1715</v>
      </c>
      <c r="C296" s="8" t="str">
        <f aca="false">TRIM(SUBSTITUTE($B296,CHAR(160)," "))</f>
        <v>שרוול לגבס ארוך רגל</v>
      </c>
    </row>
    <row r="297" customFormat="false" ht="15" hidden="false" customHeight="false" outlineLevel="0" collapsed="false">
      <c r="A297" s="8" t="n">
        <v>4421007</v>
      </c>
      <c r="B297" s="8" t="s">
        <v>1714</v>
      </c>
      <c r="C297" s="8" t="str">
        <f aca="false">TRIM(SUBSTITUTE($B297,CHAR(160)," "))</f>
        <v>שרוול לגבס קצר רגל</v>
      </c>
    </row>
    <row r="298" customFormat="false" ht="15" hidden="false" customHeight="false" outlineLevel="0" collapsed="false">
      <c r="A298" s="8" t="n">
        <v>4413149</v>
      </c>
      <c r="B298" s="8" t="s">
        <v>1459</v>
      </c>
      <c r="C298" s="8" t="str">
        <f aca="false">TRIM(SUBSTITUTE($B298,CHAR(160)," "))</f>
        <v>FC321-מלח אמבט לכף הרגל</v>
      </c>
    </row>
    <row r="299" customFormat="false" ht="15" hidden="false" customHeight="false" outlineLevel="0" collapsed="false">
      <c r="A299" s="8" t="n">
        <v>4422036</v>
      </c>
      <c r="B299" s="8" t="s">
        <v>1732</v>
      </c>
      <c r="C299" s="8" t="str">
        <f aca="false">TRIM(SUBSTITUTE($B299,CHAR(160)," "))</f>
        <v>FC334 תרסיס דאודורנט לכף הרגל</v>
      </c>
    </row>
    <row r="300" customFormat="false" ht="15" hidden="false" customHeight="false" outlineLevel="0" collapsed="false">
      <c r="A300" s="8" t="n">
        <v>4409004</v>
      </c>
      <c r="B300" s="8" t="s">
        <v>1333</v>
      </c>
      <c r="C300" s="8" t="str">
        <f aca="false">TRIM(SUBSTITUTE($B300,CHAR(160)," "))</f>
        <v>FC335 טלק מעושר באלוורה</v>
      </c>
    </row>
    <row r="301" customFormat="false" ht="15" hidden="false" customHeight="false" outlineLevel="0" collapsed="false">
      <c r="A301" s="8" t="n">
        <v>4422035</v>
      </c>
      <c r="B301" s="8" t="s">
        <v>1731</v>
      </c>
      <c r="C301" s="8" t="str">
        <f aca="false">TRIM(SUBSTITUTE($B301,CHAR(160)," "))</f>
        <v>FCתרסיס דאודורנט אנטיבק.נעל333</v>
      </c>
    </row>
    <row r="302" customFormat="false" ht="15" hidden="false" customHeight="false" outlineLevel="0" collapsed="false">
      <c r="A302" s="8" t="n">
        <v>4421006</v>
      </c>
      <c r="B302" s="8" t="s">
        <v>1713</v>
      </c>
      <c r="C302" s="8" t="str">
        <f aca="false">TRIM(SUBSTITUTE($B302,CHAR(160)," "))</f>
        <v>שרוול לגבס ארוך יד</v>
      </c>
    </row>
    <row r="303" customFormat="false" ht="15" hidden="false" customHeight="false" outlineLevel="0" collapsed="false">
      <c r="A303" s="8" t="n">
        <v>4421005</v>
      </c>
      <c r="B303" s="8" t="s">
        <v>1712</v>
      </c>
      <c r="C303" s="8" t="str">
        <f aca="false">TRIM(SUBSTITUTE($B303,CHAR(160)," "))</f>
        <v>שרוול לגבס קצר יד</v>
      </c>
    </row>
    <row r="304" customFormat="false" ht="15" hidden="false" customHeight="false" outlineLevel="0" collapsed="false">
      <c r="A304" s="8" t="n">
        <v>4413164</v>
      </c>
      <c r="B304" s="8" t="s">
        <v>1900</v>
      </c>
      <c r="C304" s="8" t="str">
        <f aca="false">TRIM(SUBSTITUTE($B304,CHAR(160)," "))</f>
        <v>74 SM מיצב כתפיים</v>
      </c>
    </row>
    <row r="305" customFormat="false" ht="15" hidden="false" customHeight="false" outlineLevel="0" collapsed="false">
      <c r="A305" s="8" t="n">
        <v>4413165</v>
      </c>
      <c r="B305" s="8" t="s">
        <v>1471</v>
      </c>
      <c r="C305" s="8" t="str">
        <f aca="false">TRIM(SUBSTITUTE($B305,CHAR(160)," "))</f>
        <v>74 L-XL מיצב כתפיים</v>
      </c>
    </row>
    <row r="306" customFormat="false" ht="15" hidden="false" customHeight="false" outlineLevel="0" collapsed="false">
      <c r="A306" s="8" t="n">
        <v>4413130</v>
      </c>
      <c r="B306" s="8" t="s">
        <v>1444</v>
      </c>
      <c r="C306" s="8" t="str">
        <f aca="false">TRIM(SUBSTITUTE($B306,CHAR(160)," "))</f>
        <v>75 XXL מיישר כתף יציב ישור צר</v>
      </c>
    </row>
    <row r="307" customFormat="false" ht="15" hidden="false" customHeight="false" outlineLevel="0" collapsed="false">
      <c r="A307" s="8" t="n">
        <v>4413127</v>
      </c>
      <c r="B307" s="8" t="s">
        <v>1441</v>
      </c>
      <c r="C307" s="8" t="str">
        <f aca="false">TRIM(SUBSTITUTE($B307,CHAR(160)," "))</f>
        <v>75 Lמיישר כתף יציב יישור גב צר</v>
      </c>
    </row>
    <row r="308" customFormat="false" ht="15" hidden="false" customHeight="false" outlineLevel="0" collapsed="false">
      <c r="A308" s="8" t="n">
        <v>4413128</v>
      </c>
      <c r="B308" s="8" t="s">
        <v>1442</v>
      </c>
      <c r="C308" s="8" t="str">
        <f aca="false">TRIM(SUBSTITUTE($B308,CHAR(160)," "))</f>
        <v>75 Mמיישר כתף יציב יישור גב צר</v>
      </c>
    </row>
    <row r="309" customFormat="false" ht="15" hidden="false" customHeight="false" outlineLevel="0" collapsed="false">
      <c r="A309" s="8" t="n">
        <v>4413126</v>
      </c>
      <c r="B309" s="8" t="s">
        <v>1440</v>
      </c>
      <c r="C309" s="8" t="str">
        <f aca="false">TRIM(SUBSTITUTE($B309,CHAR(160)," "))</f>
        <v>75 Sמיישר כתף יציב יישור גב צר</v>
      </c>
    </row>
    <row r="310" customFormat="false" ht="15" hidden="false" customHeight="false" outlineLevel="0" collapsed="false">
      <c r="A310" s="8" t="n">
        <v>4413129</v>
      </c>
      <c r="B310" s="8" t="s">
        <v>1443</v>
      </c>
      <c r="C310" s="8" t="str">
        <f aca="false">TRIM(SUBSTITUTE($B310,CHAR(160)," "))</f>
        <v>75 XLמיישר כתף יציב יישור ג.צר</v>
      </c>
    </row>
    <row r="311" customFormat="false" ht="15" hidden="false" customHeight="false" outlineLevel="0" collapsed="false">
      <c r="A311" s="8" t="n">
        <v>4413132</v>
      </c>
      <c r="B311" s="8" t="s">
        <v>1446</v>
      </c>
      <c r="C311" s="8" t="str">
        <f aca="false">TRIM(SUBSTITUTE($B311,CHAR(160)," "))</f>
        <v>76 Lמיישר כתף יציב יישור רחב</v>
      </c>
    </row>
    <row r="312" customFormat="false" ht="15" hidden="false" customHeight="false" outlineLevel="0" collapsed="false">
      <c r="A312" s="8" t="n">
        <v>4413133</v>
      </c>
      <c r="B312" s="8" t="s">
        <v>1447</v>
      </c>
      <c r="C312" s="8" t="str">
        <f aca="false">TRIM(SUBSTITUTE($B312,CHAR(160)," "))</f>
        <v>76 Mמיישר כתף יציב,יישור רחב</v>
      </c>
    </row>
    <row r="313" customFormat="false" ht="15" hidden="false" customHeight="false" outlineLevel="0" collapsed="false">
      <c r="A313" s="8" t="n">
        <v>4413131</v>
      </c>
      <c r="B313" s="8" t="s">
        <v>1445</v>
      </c>
      <c r="C313" s="8" t="str">
        <f aca="false">TRIM(SUBSTITUTE($B313,CHAR(160)," "))</f>
        <v>76 Sמיישר כתף יציב יישור ג.רחב</v>
      </c>
    </row>
    <row r="314" customFormat="false" ht="15" hidden="false" customHeight="false" outlineLevel="0" collapsed="false">
      <c r="A314" s="8" t="n">
        <v>4413134</v>
      </c>
      <c r="B314" s="8" t="s">
        <v>1448</v>
      </c>
      <c r="C314" s="8" t="str">
        <f aca="false">TRIM(SUBSTITUTE($B314,CHAR(160)," "))</f>
        <v>76 XLמיישר כתף יציב יישור רחב</v>
      </c>
    </row>
    <row r="315" customFormat="false" ht="15" hidden="false" customHeight="false" outlineLevel="0" collapsed="false">
      <c r="A315" s="8" t="n">
        <v>4413262</v>
      </c>
      <c r="B315" s="8" t="s">
        <v>1498</v>
      </c>
      <c r="C315" s="8" t="str">
        <f aca="false">TRIM(SUBSTITUTE($B315,CHAR(160)," "))</f>
        <v>76 XXL מישר כתפיים רחב</v>
      </c>
    </row>
    <row r="316" customFormat="false" ht="15" hidden="false" customHeight="false" outlineLevel="0" collapsed="false">
      <c r="A316" s="8" t="n">
        <v>4408141</v>
      </c>
      <c r="B316" s="8" t="s">
        <v>1277</v>
      </c>
      <c r="C316" s="8" t="str">
        <f aca="false">TRIM(SUBSTITUTE($B316,CHAR(160)," "))</f>
        <v>776 S ח.גב גבוהה</v>
      </c>
    </row>
    <row r="317" customFormat="false" ht="15" hidden="false" customHeight="false" outlineLevel="0" collapsed="false">
      <c r="A317" s="8" t="n">
        <v>4413191</v>
      </c>
      <c r="B317" s="8" t="s">
        <v>1901</v>
      </c>
      <c r="C317" s="8" t="str">
        <f aca="false">TRIM(SUBSTITUTE($B317,CHAR(160)," "))</f>
        <v>78 M מגן למרפק כתף</v>
      </c>
    </row>
    <row r="318" customFormat="false" ht="15" hidden="false" customHeight="false" outlineLevel="0" collapsed="false">
      <c r="A318" s="8" t="n">
        <v>4413194</v>
      </c>
      <c r="B318" s="8" t="s">
        <v>1902</v>
      </c>
      <c r="C318" s="8" t="str">
        <f aca="false">TRIM(SUBSTITUTE($B318,CHAR(160)," "))</f>
        <v>78 XXLמגן למרפק כתף</v>
      </c>
    </row>
    <row r="319" customFormat="false" ht="15" hidden="false" customHeight="false" outlineLevel="0" collapsed="false">
      <c r="A319" s="8" t="n">
        <v>4413485</v>
      </c>
      <c r="B319" s="8" t="s">
        <v>1903</v>
      </c>
      <c r="C319" s="8" t="str">
        <f aca="false">TRIM(SUBSTITUTE($B319,CHAR(160)," "))</f>
        <v>78A M מגן למפרק כתף</v>
      </c>
    </row>
    <row r="320" customFormat="false" ht="15" hidden="false" customHeight="false" outlineLevel="0" collapsed="false">
      <c r="A320" s="8" t="n">
        <v>4413403</v>
      </c>
      <c r="B320" s="8" t="s">
        <v>1542</v>
      </c>
      <c r="C320" s="8" t="str">
        <f aca="false">TRIM(SUBSTITUTE($B320,CHAR(160)," "))</f>
        <v>78A L מגן למפרק כתף</v>
      </c>
    </row>
    <row r="321" customFormat="false" ht="15" hidden="false" customHeight="false" outlineLevel="0" collapsed="false">
      <c r="A321" s="8" t="n">
        <v>4413486</v>
      </c>
      <c r="B321" s="8" t="s">
        <v>1904</v>
      </c>
      <c r="C321" s="8" t="str">
        <f aca="false">TRIM(SUBSTITUTE($B321,CHAR(160)," "))</f>
        <v>78A S מגן למפרק כתף</v>
      </c>
    </row>
    <row r="322" customFormat="false" ht="15" hidden="false" customHeight="false" outlineLevel="0" collapsed="false">
      <c r="A322" s="8" t="n">
        <v>4413404</v>
      </c>
      <c r="B322" s="8" t="s">
        <v>1905</v>
      </c>
      <c r="C322" s="8" t="str">
        <f aca="false">TRIM(SUBSTITUTE($B322,CHAR(160)," "))</f>
        <v>78A XL מגן למפרק כתף</v>
      </c>
    </row>
    <row r="323" customFormat="false" ht="15" hidden="false" customHeight="false" outlineLevel="0" collapsed="false">
      <c r="A323" s="8" t="n">
        <v>4413443</v>
      </c>
      <c r="B323" s="8" t="s">
        <v>1805</v>
      </c>
      <c r="C323" s="8" t="str">
        <f aca="false">TRIM(SUBSTITUTE($B323,CHAR(160)," "))</f>
        <v>78A XXL מגן למפרק כתף</v>
      </c>
    </row>
    <row r="324" customFormat="false" ht="15" hidden="false" customHeight="false" outlineLevel="0" collapsed="false">
      <c r="A324" s="8" t="n">
        <v>4413197</v>
      </c>
      <c r="B324" s="8" t="s">
        <v>1490</v>
      </c>
      <c r="C324" s="8" t="str">
        <f aca="false">TRIM(SUBSTITUTE($B324,CHAR(160)," "))</f>
        <v>87 L מקבע כתף ויד</v>
      </c>
    </row>
    <row r="325" customFormat="false" ht="15" hidden="false" customHeight="false" outlineLevel="0" collapsed="false">
      <c r="A325" s="8" t="n">
        <v>4413196</v>
      </c>
      <c r="B325" s="8" t="s">
        <v>1489</v>
      </c>
      <c r="C325" s="8" t="str">
        <f aca="false">TRIM(SUBSTITUTE($B325,CHAR(160)," "))</f>
        <v>87 M מקבע כתף ויד</v>
      </c>
    </row>
    <row r="326" customFormat="false" ht="15" hidden="false" customHeight="false" outlineLevel="0" collapsed="false">
      <c r="A326" s="8" t="n">
        <v>4413195</v>
      </c>
      <c r="B326" s="8" t="s">
        <v>1488</v>
      </c>
      <c r="C326" s="8" t="str">
        <f aca="false">TRIM(SUBSTITUTE($B326,CHAR(160)," "))</f>
        <v>87 S מקבע כתף ויד</v>
      </c>
    </row>
    <row r="327" customFormat="false" ht="15" hidden="false" customHeight="false" outlineLevel="0" collapsed="false">
      <c r="A327" s="8" t="n">
        <v>4413198</v>
      </c>
      <c r="B327" s="8" t="s">
        <v>1491</v>
      </c>
      <c r="C327" s="8" t="str">
        <f aca="false">TRIM(SUBSTITUTE($B327,CHAR(160)," "))</f>
        <v>87 XL מקבע כתף ויד</v>
      </c>
    </row>
    <row r="328" customFormat="false" ht="15" hidden="false" customHeight="false" outlineLevel="0" collapsed="false">
      <c r="A328" s="8" t="n">
        <v>4413204</v>
      </c>
      <c r="B328" s="8" t="s">
        <v>1492</v>
      </c>
      <c r="C328" s="8" t="str">
        <f aca="false">TRIM(SUBSTITUTE($B328,CHAR(160)," "))</f>
        <v>87 XXL מקבע כתף ויד</v>
      </c>
    </row>
    <row r="329" customFormat="false" ht="15" hidden="false" customHeight="false" outlineLevel="0" collapsed="false">
      <c r="A329" s="8" t="n">
        <v>4413456</v>
      </c>
      <c r="B329" s="8" t="s">
        <v>1573</v>
      </c>
      <c r="C329" s="8" t="str">
        <f aca="false">TRIM(SUBSTITUTE($B329,CHAR(160)," "))</f>
        <v>AC75 XXL מיישר כתפיים אקטיב</v>
      </c>
    </row>
    <row r="330" customFormat="false" ht="15" hidden="false" customHeight="false" outlineLevel="0" collapsed="false">
      <c r="A330" s="8" t="n">
        <v>4413453</v>
      </c>
      <c r="B330" s="8" t="s">
        <v>1571</v>
      </c>
      <c r="C330" s="8" t="str">
        <f aca="false">TRIM(SUBSTITUTE($B330,CHAR(160)," "))</f>
        <v>AC75 מישר כתפיים אקטיב</v>
      </c>
    </row>
    <row r="331" customFormat="false" ht="15" hidden="false" customHeight="false" outlineLevel="0" collapsed="false">
      <c r="A331" s="8" t="n">
        <v>4422006</v>
      </c>
      <c r="B331" s="8" t="s">
        <v>1720</v>
      </c>
      <c r="C331" s="8" t="str">
        <f aca="false">TRIM(SUBSTITUTE($B331,CHAR(160)," "))</f>
        <v>T78 L תומך זרוע וכתף</v>
      </c>
    </row>
    <row r="332" customFormat="false" ht="15" hidden="false" customHeight="false" outlineLevel="0" collapsed="false">
      <c r="A332" s="8" t="n">
        <v>4422005</v>
      </c>
      <c r="B332" s="8" t="s">
        <v>1719</v>
      </c>
      <c r="C332" s="8" t="str">
        <f aca="false">TRIM(SUBSTITUTE($B332,CHAR(160)," "))</f>
        <v>T78 M תומך זרוע וכתף</v>
      </c>
    </row>
    <row r="333" customFormat="false" ht="15" hidden="false" customHeight="false" outlineLevel="0" collapsed="false">
      <c r="A333" s="8" t="n">
        <v>4422004</v>
      </c>
      <c r="B333" s="8" t="s">
        <v>1718</v>
      </c>
      <c r="C333" s="8" t="str">
        <f aca="false">TRIM(SUBSTITUTE($B333,CHAR(160)," "))</f>
        <v>T78 S תומך זרוע וכתף</v>
      </c>
    </row>
    <row r="334" customFormat="false" ht="15" hidden="false" customHeight="false" outlineLevel="0" collapsed="false">
      <c r="A334" s="8" t="n">
        <v>4422007</v>
      </c>
      <c r="B334" s="8" t="s">
        <v>1721</v>
      </c>
      <c r="C334" s="8" t="str">
        <f aca="false">TRIM(SUBSTITUTE($B334,CHAR(160)," "))</f>
        <v>T78 XLתומך זרוע וכתף</v>
      </c>
    </row>
    <row r="335" customFormat="false" ht="15" hidden="false" customHeight="false" outlineLevel="0" collapsed="false">
      <c r="A335" s="8" t="n">
        <v>4422009</v>
      </c>
      <c r="B335" s="8" t="s">
        <v>1722</v>
      </c>
      <c r="C335" s="8" t="str">
        <f aca="false">TRIM(SUBSTITUTE($B335,CHAR(160)," "))</f>
        <v>T78 XXL תומך זרוע וכתף</v>
      </c>
    </row>
    <row r="336" customFormat="false" ht="15" hidden="false" customHeight="false" outlineLevel="0" collapsed="false">
      <c r="A336" s="8" t="n">
        <v>4413056</v>
      </c>
      <c r="B336" s="8" t="s">
        <v>1387</v>
      </c>
      <c r="C336" s="8" t="str">
        <f aca="false">TRIM(SUBSTITUTE($B336,CHAR(160)," "))</f>
        <v>LF360 מדרס מטטרזלי לנעלי עקב</v>
      </c>
    </row>
    <row r="337" customFormat="false" ht="15" hidden="false" customHeight="false" outlineLevel="0" collapsed="false">
      <c r="A337" s="8" t="n">
        <v>4420022</v>
      </c>
      <c r="B337" s="8" t="s">
        <v>1694</v>
      </c>
      <c r="C337" s="8" t="str">
        <f aca="false">TRIM(SUBSTITUTE($B337,CHAR(160)," "))</f>
        <v>LF370 ריפוד סיליקון לעקב אחורי</v>
      </c>
    </row>
    <row r="338" customFormat="false" ht="15" hidden="false" customHeight="false" outlineLevel="0" collapsed="false">
      <c r="A338" s="8" t="n">
        <v>4420023</v>
      </c>
      <c r="B338" s="8" t="s">
        <v>1695</v>
      </c>
      <c r="C338" s="8" t="str">
        <f aca="false">TRIM(SUBSTITUTE($B338,CHAR(160)," "))</f>
        <v>LF371 ריפוד סיליקון לנעלי אצבע</v>
      </c>
    </row>
    <row r="339" customFormat="false" ht="15" hidden="false" customHeight="false" outlineLevel="0" collapsed="false">
      <c r="A339" s="8" t="n">
        <v>4420025</v>
      </c>
      <c r="B339" s="8" t="s">
        <v>1697</v>
      </c>
      <c r="C339" s="8" t="str">
        <f aca="false">TRIM(SUBSTITUTE($B339,CHAR(160)," "))</f>
        <v>LF374 ריפוד סיליק.לעקב תחתון</v>
      </c>
    </row>
    <row r="340" customFormat="false" ht="15" hidden="false" customHeight="false" outlineLevel="0" collapsed="false">
      <c r="A340" s="8" t="n">
        <v>4413276</v>
      </c>
      <c r="B340" s="8" t="s">
        <v>1499</v>
      </c>
      <c r="C340" s="8" t="str">
        <f aca="false">TRIM(SUBSTITUTE($B340,CHAR(160)," "))</f>
        <v>LF377 L-מדרס סיליקון לנעלי עקב</v>
      </c>
    </row>
    <row r="341" customFormat="false" ht="15" hidden="false" customHeight="false" outlineLevel="0" collapsed="false">
      <c r="A341" s="8" t="n">
        <v>4413277</v>
      </c>
      <c r="B341" s="8" t="s">
        <v>1500</v>
      </c>
      <c r="C341" s="8" t="str">
        <f aca="false">TRIM(SUBSTITUTE($B341,CHAR(160)," "))</f>
        <v>LF377 M-מדרס סיליקון לנעלי עקב</v>
      </c>
    </row>
    <row r="342" customFormat="false" ht="15" hidden="false" customHeight="false" outlineLevel="0" collapsed="false">
      <c r="A342" s="8" t="n">
        <v>4413278</v>
      </c>
      <c r="B342" s="8" t="s">
        <v>1501</v>
      </c>
      <c r="C342" s="8" t="str">
        <f aca="false">TRIM(SUBSTITUTE($B342,CHAR(160)," "))</f>
        <v>LF377 S-מדרס סיליקון לנעלי עקב</v>
      </c>
    </row>
    <row r="343" customFormat="false" ht="15" hidden="false" customHeight="false" outlineLevel="0" collapsed="false">
      <c r="A343" s="8" t="n">
        <v>4413451</v>
      </c>
      <c r="B343" s="8" t="s">
        <v>1569</v>
      </c>
      <c r="C343" s="8" t="str">
        <f aca="false">TRIM(SUBSTITUTE($B343,CHAR(160)," "))</f>
        <v>LF378 L מדרס ג'ל לנעלי עקב</v>
      </c>
    </row>
    <row r="344" customFormat="false" ht="15" hidden="false" customHeight="false" outlineLevel="0" collapsed="false">
      <c r="A344" s="8" t="n">
        <v>4420024</v>
      </c>
      <c r="B344" s="8" t="s">
        <v>1696</v>
      </c>
      <c r="C344" s="8" t="str">
        <f aca="false">TRIM(SUBSTITUTE($B344,CHAR(160)," "))</f>
        <v>LFריפוד סיליק.לכרית כף הרגל373</v>
      </c>
    </row>
    <row r="345" customFormat="false" ht="15" hidden="false" customHeight="false" outlineLevel="0" collapsed="false">
      <c r="A345" s="8" t="n">
        <v>4413008</v>
      </c>
      <c r="B345" s="8" t="s">
        <v>1768</v>
      </c>
      <c r="C345" s="8" t="str">
        <f aca="false">TRIM(SUBSTITUTE($B345,CHAR(160)," "))</f>
        <v>300M תתמדרס.ציפוי עור גבר זו43</v>
      </c>
    </row>
    <row r="346" customFormat="false" ht="15" hidden="false" customHeight="false" outlineLevel="0" collapsed="false">
      <c r="A346" s="8" t="n">
        <v>4413009</v>
      </c>
      <c r="B346" s="8" t="s">
        <v>1769</v>
      </c>
      <c r="C346" s="8" t="str">
        <f aca="false">TRIM(SUBSTITUTE($B346,CHAR(160)," "))</f>
        <v>300M תתמדרס/ציפוי עור גבר זו44</v>
      </c>
    </row>
    <row r="347" customFormat="false" ht="15" hidden="false" customHeight="false" outlineLevel="0" collapsed="false">
      <c r="A347" s="8" t="n">
        <v>4413372</v>
      </c>
      <c r="B347" s="8" t="s">
        <v>1535</v>
      </c>
      <c r="C347" s="8" t="str">
        <f aca="false">TRIM(SUBSTITUTE($B347,CHAR(160)," "))</f>
        <v>302 W מדרס לאישה</v>
      </c>
    </row>
    <row r="348" customFormat="false" ht="15" hidden="false" customHeight="false" outlineLevel="0" collapsed="false">
      <c r="A348" s="8" t="n">
        <v>4413348</v>
      </c>
      <c r="B348" s="8" t="s">
        <v>1526</v>
      </c>
      <c r="C348" s="8" t="str">
        <f aca="false">TRIM(SUBSTITUTE($B348,CHAR(160)," "))</f>
        <v>302 מדרס ג'ל לגבר</v>
      </c>
    </row>
    <row r="349" customFormat="false" ht="15" hidden="false" customHeight="false" outlineLevel="0" collapsed="false">
      <c r="A349" s="8" t="n">
        <v>4413444</v>
      </c>
      <c r="B349" s="8" t="s">
        <v>1565</v>
      </c>
      <c r="C349" s="8" t="str">
        <f aca="false">TRIM(SUBSTITUTE($B349,CHAR(160)," "))</f>
        <v>302SP M מדרס ג'ל ספורט לגבר</v>
      </c>
    </row>
    <row r="350" customFormat="false" ht="15" hidden="false" customHeight="false" outlineLevel="0" collapsed="false">
      <c r="A350" s="8" t="n">
        <v>4413445</v>
      </c>
      <c r="B350" s="8" t="s">
        <v>1566</v>
      </c>
      <c r="C350" s="8" t="str">
        <f aca="false">TRIM(SUBSTITUTE($B350,CHAR(160)," "))</f>
        <v>302SP Wמדרס ג'ל ספורט לאישה</v>
      </c>
    </row>
    <row r="351" customFormat="false" ht="15" hidden="false" customHeight="false" outlineLevel="0" collapsed="false">
      <c r="A351" s="8" t="n">
        <v>4413018</v>
      </c>
      <c r="B351" s="8" t="s">
        <v>1365</v>
      </c>
      <c r="C351" s="8" t="str">
        <f aca="false">TRIM(SUBSTITUTE($B351,CHAR(160)," "))</f>
        <v>303 37-38 מדרסי סיליק.לח.סכרת</v>
      </c>
    </row>
    <row r="352" customFormat="false" ht="15" hidden="false" customHeight="false" outlineLevel="0" collapsed="false">
      <c r="A352" s="8" t="n">
        <v>4413019</v>
      </c>
      <c r="B352" s="8" t="s">
        <v>1366</v>
      </c>
      <c r="C352" s="8" t="str">
        <f aca="false">TRIM(SUBSTITUTE($B352,CHAR(160)," "))</f>
        <v>303 39-40 מדרסי סיליק.לח.סכרת</v>
      </c>
    </row>
    <row r="353" customFormat="false" ht="15" hidden="false" customHeight="false" outlineLevel="0" collapsed="false">
      <c r="A353" s="8" t="n">
        <v>4413020</v>
      </c>
      <c r="B353" s="8" t="s">
        <v>1367</v>
      </c>
      <c r="C353" s="8" t="str">
        <f aca="false">TRIM(SUBSTITUTE($B353,CHAR(160)," "))</f>
        <v>303 41-42 מדרסי סיליק.לח.סכרת</v>
      </c>
    </row>
    <row r="354" customFormat="false" ht="15" hidden="false" customHeight="false" outlineLevel="0" collapsed="false">
      <c r="A354" s="8" t="n">
        <v>4413021</v>
      </c>
      <c r="B354" s="8" t="s">
        <v>1368</v>
      </c>
      <c r="C354" s="8" t="str">
        <f aca="false">TRIM(SUBSTITUTE($B354,CHAR(160)," "))</f>
        <v>303 43-44 מדרסי סיליק.לח.סכרת</v>
      </c>
    </row>
    <row r="355" customFormat="false" ht="15" hidden="false" customHeight="false" outlineLevel="0" collapsed="false">
      <c r="A355" s="8" t="n">
        <v>4413022</v>
      </c>
      <c r="B355" s="8" t="s">
        <v>1369</v>
      </c>
      <c r="C355" s="8" t="str">
        <f aca="false">TRIM(SUBSTITUTE($B355,CHAR(160)," "))</f>
        <v>303 45-46 מדרסי סיליק.לח.סכרת</v>
      </c>
    </row>
    <row r="356" customFormat="false" ht="15" hidden="false" customHeight="false" outlineLevel="0" collapsed="false">
      <c r="A356" s="8" t="n">
        <v>4413153</v>
      </c>
      <c r="B356" s="8" t="s">
        <v>1461</v>
      </c>
      <c r="C356" s="8" t="str">
        <f aca="false">TRIM(SUBSTITUTE($B356,CHAR(160)," "))</f>
        <v>305GA מדרס אורטופ.מתכוון35-36</v>
      </c>
    </row>
    <row r="357" customFormat="false" ht="15" hidden="false" customHeight="false" outlineLevel="0" collapsed="false">
      <c r="A357" s="8" t="n">
        <v>4413154</v>
      </c>
      <c r="B357" s="8" t="s">
        <v>1462</v>
      </c>
      <c r="C357" s="8" t="str">
        <f aca="false">TRIM(SUBSTITUTE($B357,CHAR(160)," "))</f>
        <v>305GA מדרס אורטופ.מתכוון37-38</v>
      </c>
    </row>
    <row r="358" customFormat="false" ht="15" hidden="false" customHeight="false" outlineLevel="0" collapsed="false">
      <c r="A358" s="8" t="n">
        <v>4413155</v>
      </c>
      <c r="B358" s="8" t="s">
        <v>1463</v>
      </c>
      <c r="C358" s="8" t="str">
        <f aca="false">TRIM(SUBSTITUTE($B358,CHAR(160)," "))</f>
        <v>305GA מדרס אורטופ.מתכוון39-40</v>
      </c>
    </row>
    <row r="359" customFormat="false" ht="15" hidden="false" customHeight="false" outlineLevel="0" collapsed="false">
      <c r="A359" s="8" t="n">
        <v>4413156</v>
      </c>
      <c r="B359" s="8" t="s">
        <v>1464</v>
      </c>
      <c r="C359" s="8" t="str">
        <f aca="false">TRIM(SUBSTITUTE($B359,CHAR(160)," "))</f>
        <v>305GA מדרס אורטופ.מתכוון41-42</v>
      </c>
    </row>
    <row r="360" customFormat="false" ht="15" hidden="false" customHeight="false" outlineLevel="0" collapsed="false">
      <c r="A360" s="8" t="n">
        <v>4413157</v>
      </c>
      <c r="B360" s="8" t="s">
        <v>1465</v>
      </c>
      <c r="C360" s="8" t="str">
        <f aca="false">TRIM(SUBSTITUTE($B360,CHAR(160)," "))</f>
        <v>305GA מדרס אורטופ.מתכוון43-44</v>
      </c>
    </row>
    <row r="361" customFormat="false" ht="15" hidden="false" customHeight="false" outlineLevel="0" collapsed="false">
      <c r="A361" s="8" t="n">
        <v>4413158</v>
      </c>
      <c r="B361" s="8" t="s">
        <v>1466</v>
      </c>
      <c r="C361" s="8" t="str">
        <f aca="false">TRIM(SUBSTITUTE($B361,CHAR(160)," "))</f>
        <v>305GA מדרס אורטופ.מתכוון45-46</v>
      </c>
    </row>
    <row r="362" customFormat="false" ht="15" hidden="false" customHeight="false" outlineLevel="0" collapsed="false">
      <c r="A362" s="8" t="n">
        <v>4413285</v>
      </c>
      <c r="B362" s="8" t="s">
        <v>1779</v>
      </c>
      <c r="C362" s="8" t="str">
        <f aca="false">TRIM(SUBSTITUTE($B362,CHAR(160)," "))</f>
        <v>305GA מדרס מתכוונן47-48</v>
      </c>
    </row>
    <row r="363" customFormat="false" ht="15" hidden="false" customHeight="false" outlineLevel="0" collapsed="false">
      <c r="A363" s="8" t="n">
        <v>4413482</v>
      </c>
      <c r="B363" s="8" t="s">
        <v>1575</v>
      </c>
      <c r="C363" s="8" t="str">
        <f aca="false">TRIM(SUBSTITUTE($B363,CHAR(160)," "))</f>
        <v>310Lמדרס 3/4לכאבי דורבן וספורט</v>
      </c>
    </row>
    <row r="364" customFormat="false" ht="15" hidden="false" customHeight="false" outlineLevel="0" collapsed="false">
      <c r="A364" s="8" t="n">
        <v>4413483</v>
      </c>
      <c r="B364" s="8" t="s">
        <v>1906</v>
      </c>
      <c r="C364" s="8" t="str">
        <f aca="false">TRIM(SUBSTITUTE($B364,CHAR(160)," "))</f>
        <v>310Mמדרס 3/4לכאבי דורבן וספורט</v>
      </c>
    </row>
    <row r="365" customFormat="false" ht="15" hidden="false" customHeight="false" outlineLevel="0" collapsed="false">
      <c r="A365" s="8" t="n">
        <v>4413484</v>
      </c>
      <c r="B365" s="8" t="s">
        <v>1907</v>
      </c>
      <c r="C365" s="8" t="str">
        <f aca="false">TRIM(SUBSTITUTE($B365,CHAR(160)," "))</f>
        <v>310Sמדרס 3/4לכאבי דורבן וספורט</v>
      </c>
    </row>
    <row r="366" customFormat="false" ht="15" hidden="false" customHeight="false" outlineLevel="0" collapsed="false">
      <c r="A366" s="8" t="n">
        <v>4413523</v>
      </c>
      <c r="B366" s="8" t="s">
        <v>1598</v>
      </c>
      <c r="C366" s="8" t="str">
        <f aca="false">TRIM(SUBSTITUTE($B366,CHAR(160)," "))</f>
        <v>35-38 מדרסי אפיק ג'ל נוחות</v>
      </c>
    </row>
    <row r="367" customFormat="false" ht="15" hidden="false" customHeight="false" outlineLevel="0" collapsed="false">
      <c r="A367" s="8" t="n">
        <v>4413527</v>
      </c>
      <c r="B367" s="8" t="s">
        <v>1601</v>
      </c>
      <c r="C367" s="8" t="str">
        <f aca="false">TRIM(SUBSTITUTE($B367,CHAR(160)," "))</f>
        <v>35-38 מדרסי אפיק ג'ל עבודה</v>
      </c>
    </row>
    <row r="368" customFormat="false" ht="15" hidden="false" customHeight="false" outlineLevel="0" collapsed="false">
      <c r="A368" s="8" t="n">
        <v>4413524</v>
      </c>
      <c r="B368" s="8" t="s">
        <v>1599</v>
      </c>
      <c r="C368" s="8" t="str">
        <f aca="false">TRIM(SUBSTITUTE($B368,CHAR(160)," "))</f>
        <v>39-42 מדרסי אפיק ג'ל נוחות</v>
      </c>
    </row>
    <row r="369" customFormat="false" ht="15" hidden="false" customHeight="false" outlineLevel="0" collapsed="false">
      <c r="A369" s="8" t="n">
        <v>4413528</v>
      </c>
      <c r="B369" s="8" t="s">
        <v>1602</v>
      </c>
      <c r="C369" s="8" t="str">
        <f aca="false">TRIM(SUBSTITUTE($B369,CHAR(160)," "))</f>
        <v>39-42 מדרסי אפיק ג'ל עבודה</v>
      </c>
    </row>
    <row r="370" customFormat="false" ht="15" hidden="false" customHeight="false" outlineLevel="0" collapsed="false">
      <c r="A370" s="8" t="n">
        <v>4413525</v>
      </c>
      <c r="B370" s="8" t="s">
        <v>1600</v>
      </c>
      <c r="C370" s="8" t="str">
        <f aca="false">TRIM(SUBSTITUTE($B370,CHAR(160)," "))</f>
        <v>43-47 מדרסי אפיק ג'ל נוחות</v>
      </c>
    </row>
    <row r="371" customFormat="false" ht="15" hidden="false" customHeight="false" outlineLevel="0" collapsed="false">
      <c r="A371" s="8" t="n">
        <v>4413529</v>
      </c>
      <c r="B371" s="8" t="s">
        <v>1603</v>
      </c>
      <c r="C371" s="8" t="str">
        <f aca="false">TRIM(SUBSTITUTE($B371,CHAR(160)," "))</f>
        <v>43-47 מדרסי אפיק ג'ל עבודה</v>
      </c>
    </row>
    <row r="372" customFormat="false" ht="15" hidden="false" customHeight="false" outlineLevel="0" collapsed="false">
      <c r="A372" s="8" t="n">
        <v>4413450</v>
      </c>
      <c r="B372" s="8" t="s">
        <v>1568</v>
      </c>
      <c r="C372" s="8" t="str">
        <f aca="false">TRIM(SUBSTITUTE($B372,CHAR(160)," "))</f>
        <v>LF378 M מדרס ג'ל לנעלי עקב</v>
      </c>
    </row>
    <row r="373" customFormat="false" ht="15" hidden="false" customHeight="false" outlineLevel="0" collapsed="false">
      <c r="A373" s="8" t="n">
        <v>4413449</v>
      </c>
      <c r="B373" s="8" t="s">
        <v>1567</v>
      </c>
      <c r="C373" s="8" t="str">
        <f aca="false">TRIM(SUBSTITUTE($B373,CHAR(160)," "))</f>
        <v>LF378 S מדרס ג'ל לנעלי עקב</v>
      </c>
    </row>
    <row r="374" customFormat="false" ht="15" hidden="false" customHeight="false" outlineLevel="0" collapsed="false">
      <c r="A374" s="8" t="n">
        <v>4413520</v>
      </c>
      <c r="B374" s="8" t="s">
        <v>1595</v>
      </c>
      <c r="C374" s="8" t="str">
        <f aca="false">TRIM(SUBSTITUTE($B374,CHAR(160)," "))</f>
        <v>מדרסי אפיק ג'ל מולט.ספורט35-38</v>
      </c>
    </row>
    <row r="375" customFormat="false" ht="15" hidden="false" customHeight="false" outlineLevel="0" collapsed="false">
      <c r="A375" s="8" t="n">
        <v>4413522</v>
      </c>
      <c r="B375" s="8" t="s">
        <v>1597</v>
      </c>
      <c r="C375" s="8" t="str">
        <f aca="false">TRIM(SUBSTITUTE($B375,CHAR(160)," "))</f>
        <v>מדרסי אפיק ג'ל מולט.ספורט43-47</v>
      </c>
    </row>
    <row r="376" customFormat="false" ht="15" hidden="false" customHeight="false" outlineLevel="0" collapsed="false">
      <c r="A376" s="8" t="n">
        <v>4413521</v>
      </c>
      <c r="B376" s="8" t="s">
        <v>1596</v>
      </c>
      <c r="C376" s="8" t="str">
        <f aca="false">TRIM(SUBSTITUTE($B376,CHAR(160)," "))</f>
        <v>מדרסי אפיק ג'ל מולטי ספור39-42</v>
      </c>
    </row>
    <row r="377" customFormat="false" ht="15" hidden="false" customHeight="false" outlineLevel="0" collapsed="false">
      <c r="A377" s="8" t="n">
        <v>4413117</v>
      </c>
      <c r="B377" s="8" t="s">
        <v>1433</v>
      </c>
      <c r="C377" s="8" t="str">
        <f aca="false">TRIM(SUBSTITUTE($B377,CHAR(160)," "))</f>
        <v>50 L מתלה אשכים לאחר ניתוח</v>
      </c>
    </row>
    <row r="378" customFormat="false" ht="15" hidden="false" customHeight="false" outlineLevel="0" collapsed="false">
      <c r="A378" s="8" t="n">
        <v>4413118</v>
      </c>
      <c r="B378" s="8" t="s">
        <v>1434</v>
      </c>
      <c r="C378" s="8" t="str">
        <f aca="false">TRIM(SUBSTITUTE($B378,CHAR(160)," "))</f>
        <v>50 M מתלה אשכים לאחר ניתוח</v>
      </c>
    </row>
    <row r="379" customFormat="false" ht="15" hidden="false" customHeight="false" outlineLevel="0" collapsed="false">
      <c r="A379" s="8" t="n">
        <v>4413116</v>
      </c>
      <c r="B379" s="8" t="s">
        <v>1432</v>
      </c>
      <c r="C379" s="8" t="str">
        <f aca="false">TRIM(SUBSTITUTE($B379,CHAR(160)," "))</f>
        <v>50 S מתלה אשכים לאחר ניתוח</v>
      </c>
    </row>
    <row r="380" customFormat="false" ht="15" hidden="false" customHeight="false" outlineLevel="0" collapsed="false">
      <c r="A380" s="8" t="n">
        <v>4413119</v>
      </c>
      <c r="B380" s="8" t="s">
        <v>1435</v>
      </c>
      <c r="C380" s="8" t="str">
        <f aca="false">TRIM(SUBSTITUTE($B380,CHAR(160)," "))</f>
        <v>50 XL מתלה אשכים לאחר ניתוח</v>
      </c>
    </row>
    <row r="381" customFormat="false" ht="15" hidden="false" customHeight="false" outlineLevel="0" collapsed="false">
      <c r="A381" s="8" t="n">
        <v>4413120</v>
      </c>
      <c r="B381" s="8" t="s">
        <v>1436</v>
      </c>
      <c r="C381" s="8" t="str">
        <f aca="false">TRIM(SUBSTITUTE($B381,CHAR(160)," "))</f>
        <v>50 XXL מתלה אשכים לאחר ניתוח</v>
      </c>
    </row>
    <row r="382" customFormat="false" ht="15" hidden="false" customHeight="false" outlineLevel="0" collapsed="false">
      <c r="A382" s="8" t="n">
        <v>4413122</v>
      </c>
      <c r="B382" s="8" t="s">
        <v>1437</v>
      </c>
      <c r="C382" s="8" t="str">
        <f aca="false">TRIM(SUBSTITUTE($B382,CHAR(160)," "))</f>
        <v>55 L מתלה אשכים לספורטאים</v>
      </c>
    </row>
    <row r="383" customFormat="false" ht="15" hidden="false" customHeight="false" outlineLevel="0" collapsed="false">
      <c r="A383" s="8" t="n">
        <v>4413123</v>
      </c>
      <c r="B383" s="8" t="s">
        <v>1438</v>
      </c>
      <c r="C383" s="8" t="str">
        <f aca="false">TRIM(SUBSTITUTE($B383,CHAR(160)," "))</f>
        <v>55 M מתלה אשכים לספורטאים</v>
      </c>
    </row>
    <row r="384" customFormat="false" ht="15" hidden="false" customHeight="false" outlineLevel="0" collapsed="false">
      <c r="A384" s="8" t="n">
        <v>4413121</v>
      </c>
      <c r="B384" s="8" t="s">
        <v>1908</v>
      </c>
      <c r="C384" s="8" t="str">
        <f aca="false">TRIM(SUBSTITUTE($B384,CHAR(160)," "))</f>
        <v>55 S מתלה אשכים לספורטאים</v>
      </c>
    </row>
    <row r="385" customFormat="false" ht="15" hidden="false" customHeight="false" outlineLevel="0" collapsed="false">
      <c r="A385" s="8" t="n">
        <v>4413124</v>
      </c>
      <c r="B385" s="8" t="s">
        <v>1439</v>
      </c>
      <c r="C385" s="8" t="str">
        <f aca="false">TRIM(SUBSTITUTE($B385,CHAR(160)," "))</f>
        <v>55 XL מתלה אשכים לספורטאים</v>
      </c>
    </row>
    <row r="386" customFormat="false" ht="15" hidden="false" customHeight="false" outlineLevel="0" collapsed="false">
      <c r="A386" s="8" t="n">
        <v>4413125</v>
      </c>
      <c r="B386" s="8" t="s">
        <v>1909</v>
      </c>
      <c r="C386" s="8" t="str">
        <f aca="false">TRIM(SUBSTITUTE($B386,CHAR(160)," "))</f>
        <v>55 XXL מתלה אשכים לספורטאים</v>
      </c>
    </row>
    <row r="387" customFormat="false" ht="15" hidden="false" customHeight="false" outlineLevel="0" collapsed="false">
      <c r="A387" s="8" t="n">
        <v>4408071</v>
      </c>
      <c r="B387" s="8" t="s">
        <v>1234</v>
      </c>
      <c r="C387" s="8" t="str">
        <f aca="false">TRIM(SUBSTITUTE($B387,CHAR(160)," "))</f>
        <v>59D L חגורת שבר דו צדדי</v>
      </c>
    </row>
    <row r="388" customFormat="false" ht="15" hidden="false" customHeight="false" outlineLevel="0" collapsed="false">
      <c r="A388" s="8" t="n">
        <v>4408072</v>
      </c>
      <c r="B388" s="8" t="s">
        <v>1235</v>
      </c>
      <c r="C388" s="8" t="str">
        <f aca="false">TRIM(SUBSTITUTE($B388,CHAR(160)," "))</f>
        <v>59D M חגורת שבר דו צדדי</v>
      </c>
    </row>
    <row r="389" customFormat="false" ht="15" hidden="false" customHeight="false" outlineLevel="0" collapsed="false">
      <c r="A389" s="8" t="n">
        <v>4408070</v>
      </c>
      <c r="B389" s="8" t="s">
        <v>1761</v>
      </c>
      <c r="C389" s="8" t="str">
        <f aca="false">TRIM(SUBSTITUTE($B389,CHAR(160)," "))</f>
        <v>59D S חגורת שבר דו צדדי</v>
      </c>
    </row>
    <row r="390" customFormat="false" ht="15" hidden="false" customHeight="false" outlineLevel="0" collapsed="false">
      <c r="A390" s="8" t="n">
        <v>4408073</v>
      </c>
      <c r="B390" s="8" t="s">
        <v>1236</v>
      </c>
      <c r="C390" s="8" t="str">
        <f aca="false">TRIM(SUBSTITUTE($B390,CHAR(160)," "))</f>
        <v>59D XL חגורת שבר דו צדדי</v>
      </c>
    </row>
    <row r="391" customFormat="false" ht="15" hidden="false" customHeight="false" outlineLevel="0" collapsed="false">
      <c r="A391" s="8" t="n">
        <v>4408074</v>
      </c>
      <c r="B391" s="8" t="s">
        <v>1910</v>
      </c>
      <c r="C391" s="8" t="str">
        <f aca="false">TRIM(SUBSTITUTE($B391,CHAR(160)," "))</f>
        <v>59D XXLחגורת שבר דו צדדי</v>
      </c>
    </row>
    <row r="392" customFormat="false" ht="15" hidden="false" customHeight="false" outlineLevel="0" collapsed="false">
      <c r="A392" s="8" t="n">
        <v>4408076</v>
      </c>
      <c r="B392" s="8" t="s">
        <v>1238</v>
      </c>
      <c r="C392" s="8" t="str">
        <f aca="false">TRIM(SUBSTITUTE($B392,CHAR(160)," "))</f>
        <v>59L L חגורת שבר לצד שמאל</v>
      </c>
    </row>
    <row r="393" customFormat="false" ht="15" hidden="false" customHeight="false" outlineLevel="0" collapsed="false">
      <c r="A393" s="8" t="n">
        <v>4408077</v>
      </c>
      <c r="B393" s="8" t="s">
        <v>1239</v>
      </c>
      <c r="C393" s="8" t="str">
        <f aca="false">TRIM(SUBSTITUTE($B393,CHAR(160)," "))</f>
        <v>59L M חגורת שבר לצד שמאל</v>
      </c>
    </row>
    <row r="394" customFormat="false" ht="15" hidden="false" customHeight="false" outlineLevel="0" collapsed="false">
      <c r="A394" s="8" t="n">
        <v>4408075</v>
      </c>
      <c r="B394" s="8" t="s">
        <v>1237</v>
      </c>
      <c r="C394" s="8" t="str">
        <f aca="false">TRIM(SUBSTITUTE($B394,CHAR(160)," "))</f>
        <v>59L S חגורת שבר לצד שמאל</v>
      </c>
    </row>
    <row r="395" customFormat="false" ht="15" hidden="false" customHeight="false" outlineLevel="0" collapsed="false">
      <c r="A395" s="8" t="n">
        <v>4408078</v>
      </c>
      <c r="B395" s="8" t="s">
        <v>1240</v>
      </c>
      <c r="C395" s="8" t="str">
        <f aca="false">TRIM(SUBSTITUTE($B395,CHAR(160)," "))</f>
        <v>59L XLחגורת שבר לצד שמאל</v>
      </c>
    </row>
    <row r="396" customFormat="false" ht="15" hidden="false" customHeight="false" outlineLevel="0" collapsed="false">
      <c r="A396" s="8" t="n">
        <v>4408080</v>
      </c>
      <c r="B396" s="8" t="s">
        <v>1242</v>
      </c>
      <c r="C396" s="8" t="str">
        <f aca="false">TRIM(SUBSTITUTE($B396,CHAR(160)," "))</f>
        <v>59R L חגורת שבר לצד ימין</v>
      </c>
    </row>
    <row r="397" customFormat="false" ht="15" hidden="false" customHeight="false" outlineLevel="0" collapsed="false">
      <c r="A397" s="8" t="n">
        <v>4408081</v>
      </c>
      <c r="B397" s="8" t="s">
        <v>1243</v>
      </c>
      <c r="C397" s="8" t="str">
        <f aca="false">TRIM(SUBSTITUTE($B397,CHAR(160)," "))</f>
        <v>59R M חגורת שבר לצד ימין</v>
      </c>
    </row>
    <row r="398" customFormat="false" ht="15" hidden="false" customHeight="false" outlineLevel="0" collapsed="false">
      <c r="A398" s="8" t="n">
        <v>4408079</v>
      </c>
      <c r="B398" s="8" t="s">
        <v>1241</v>
      </c>
      <c r="C398" s="8" t="str">
        <f aca="false">TRIM(SUBSTITUTE($B398,CHAR(160)," "))</f>
        <v>59R S חגורת שבר לצד ימין</v>
      </c>
    </row>
    <row r="399" customFormat="false" ht="15" hidden="false" customHeight="false" outlineLevel="0" collapsed="false">
      <c r="A399" s="8" t="n">
        <v>4408082</v>
      </c>
      <c r="B399" s="8" t="s">
        <v>1244</v>
      </c>
      <c r="C399" s="8" t="str">
        <f aca="false">TRIM(SUBSTITUTE($B399,CHAR(160)," "))</f>
        <v>59R XL חגורת שבר לצד ימין</v>
      </c>
    </row>
    <row r="400" customFormat="false" ht="15" hidden="false" customHeight="false" outlineLevel="0" collapsed="false">
      <c r="A400" s="8" t="n">
        <v>4413466</v>
      </c>
      <c r="B400" s="8" t="s">
        <v>1911</v>
      </c>
      <c r="C400" s="8" t="str">
        <f aca="false">TRIM(SUBSTITUTE($B400,CHAR(160)," "))</f>
        <v>604L מסכה ארקי</v>
      </c>
    </row>
    <row r="401" customFormat="false" ht="15" hidden="false" customHeight="false" outlineLevel="0" collapsed="false">
      <c r="A401" s="8" t="n">
        <v>4413467</v>
      </c>
      <c r="B401" s="8" t="s">
        <v>1912</v>
      </c>
      <c r="C401" s="8" t="str">
        <f aca="false">TRIM(SUBSTITUTE($B401,CHAR(160)," "))</f>
        <v>604XL מסכה ארקי</v>
      </c>
    </row>
    <row r="402" customFormat="false" ht="15" hidden="false" customHeight="false" outlineLevel="0" collapsed="false">
      <c r="A402" s="8" t="n">
        <v>4413464</v>
      </c>
      <c r="B402" s="8" t="s">
        <v>1574</v>
      </c>
      <c r="C402" s="8" t="str">
        <f aca="false">TRIM(SUBSTITUTE($B402,CHAR(160)," "))</f>
        <v>605XL מסכה אלה</v>
      </c>
    </row>
    <row r="403" customFormat="false" ht="15" hidden="false" customHeight="false" outlineLevel="0" collapsed="false">
      <c r="A403" s="8" t="n">
        <v>4413473</v>
      </c>
      <c r="B403" s="8" t="s">
        <v>1913</v>
      </c>
      <c r="C403" s="8" t="str">
        <f aca="false">TRIM(SUBSTITUTE($B403,CHAR(160)," "))</f>
        <v>655L ""מסכה ""גדי</v>
      </c>
    </row>
    <row r="404" customFormat="false" ht="15" hidden="false" customHeight="false" outlineLevel="0" collapsed="false">
      <c r="A404" s="8" t="n">
        <v>4408088</v>
      </c>
      <c r="B404" s="8" t="s">
        <v>1248</v>
      </c>
      <c r="C404" s="8" t="str">
        <f aca="false">TRIM(SUBSTITUTE($B404,CHAR(160)," "))</f>
        <v>91 חבק ""טניס אלבו רצועה</v>
      </c>
    </row>
    <row r="405" customFormat="false" ht="15" hidden="false" customHeight="false" outlineLevel="0" collapsed="false">
      <c r="A405" s="8" t="n">
        <v>4408083</v>
      </c>
      <c r="B405" s="8" t="s">
        <v>1914</v>
      </c>
      <c r="C405" s="8" t="str">
        <f aca="false">TRIM(SUBSTITUTE($B405,CHAR(160)," "))</f>
        <v>911 חבק לטניס אלבו</v>
      </c>
    </row>
    <row r="406" customFormat="false" ht="15" hidden="false" customHeight="false" outlineLevel="0" collapsed="false">
      <c r="A406" s="8" t="n">
        <v>4408266</v>
      </c>
      <c r="B406" s="8" t="s">
        <v>1325</v>
      </c>
      <c r="C406" s="8" t="str">
        <f aca="false">TRIM(SUBSTITUTE($B406,CHAR(160)," "))</f>
        <v>91B חבק טניס אלבו</v>
      </c>
    </row>
    <row r="407" customFormat="false" ht="15" hidden="false" customHeight="false" outlineLevel="0" collapsed="false">
      <c r="A407" s="8" t="n">
        <v>4408084</v>
      </c>
      <c r="B407" s="8" t="s">
        <v>1245</v>
      </c>
      <c r="C407" s="8" t="str">
        <f aca="false">TRIM(SUBSTITUTE($B407,CHAR(160)," "))</f>
        <v>922L.חבק יד לטניס כרית סיליק</v>
      </c>
    </row>
    <row r="408" customFormat="false" ht="15" hidden="false" customHeight="false" outlineLevel="0" collapsed="false">
      <c r="A408" s="8" t="n">
        <v>4408085</v>
      </c>
      <c r="B408" s="8" t="s">
        <v>1246</v>
      </c>
      <c r="C408" s="8" t="str">
        <f aca="false">TRIM(SUBSTITUTE($B408,CHAR(160)," "))</f>
        <v>922M.מחבק יד לטניס כרית סילי</v>
      </c>
    </row>
    <row r="409" customFormat="false" ht="15" hidden="false" customHeight="false" outlineLevel="0" collapsed="false">
      <c r="A409" s="8" t="n">
        <v>4408086</v>
      </c>
      <c r="B409" s="8" t="s">
        <v>1791</v>
      </c>
      <c r="C409" s="8" t="str">
        <f aca="false">TRIM(SUBSTITUTE($B409,CHAR(160)," "))</f>
        <v>922S.חבק יד לטניס כרית סיליק</v>
      </c>
    </row>
    <row r="410" customFormat="false" ht="15" hidden="false" customHeight="false" outlineLevel="0" collapsed="false">
      <c r="A410" s="8" t="n">
        <v>4408087</v>
      </c>
      <c r="B410" s="8" t="s">
        <v>1247</v>
      </c>
      <c r="C410" s="8" t="str">
        <f aca="false">TRIM(SUBSTITUTE($B410,CHAR(160)," "))</f>
        <v>922XLחבק יד לטניס כרית סיליק</v>
      </c>
    </row>
    <row r="411" customFormat="false" ht="15" hidden="false" customHeight="false" outlineLevel="0" collapsed="false">
      <c r="A411" s="8" t="n">
        <v>4413339</v>
      </c>
      <c r="B411" s="8" t="s">
        <v>1519</v>
      </c>
      <c r="C411" s="8" t="str">
        <f aca="false">TRIM(SUBSTITUTE($B411,CHAR(160)," "))</f>
        <v>922XXLמגן מרפק+כרית סילקון</v>
      </c>
    </row>
    <row r="412" customFormat="false" ht="15" hidden="false" customHeight="false" outlineLevel="0" collapsed="false">
      <c r="A412" s="8" t="n">
        <v>4413139</v>
      </c>
      <c r="B412" s="8" t="s">
        <v>1453</v>
      </c>
      <c r="C412" s="8" t="str">
        <f aca="false">TRIM(SUBSTITUTE($B412,CHAR(160)," "))</f>
        <v>95 L מגן מרפק רגיל לבן</v>
      </c>
    </row>
    <row r="413" customFormat="false" ht="15" hidden="false" customHeight="false" outlineLevel="0" collapsed="false">
      <c r="A413" s="8" t="n">
        <v>4413140</v>
      </c>
      <c r="B413" s="8" t="s">
        <v>1454</v>
      </c>
      <c r="C413" s="8" t="str">
        <f aca="false">TRIM(SUBSTITUTE($B413,CHAR(160)," "))</f>
        <v>95 M מגן מרפק רגיל לבן</v>
      </c>
    </row>
    <row r="414" customFormat="false" ht="15" hidden="false" customHeight="false" outlineLevel="0" collapsed="false">
      <c r="A414" s="8" t="n">
        <v>4413141</v>
      </c>
      <c r="B414" s="8" t="s">
        <v>1455</v>
      </c>
      <c r="C414" s="8" t="str">
        <f aca="false">TRIM(SUBSTITUTE($B414,CHAR(160)," "))</f>
        <v>95 S מגן מרפק רגיל לבן</v>
      </c>
    </row>
    <row r="415" customFormat="false" ht="15" hidden="false" customHeight="false" outlineLevel="0" collapsed="false">
      <c r="A415" s="8" t="n">
        <v>4413142</v>
      </c>
      <c r="B415" s="8" t="s">
        <v>1456</v>
      </c>
      <c r="C415" s="8" t="str">
        <f aca="false">TRIM(SUBSTITUTE($B415,CHAR(160)," "))</f>
        <v>95 XL מגן מרפק רגיל לבן</v>
      </c>
    </row>
    <row r="416" customFormat="false" ht="15" hidden="false" customHeight="false" outlineLevel="0" collapsed="false">
      <c r="A416" s="8" t="n">
        <v>4413143</v>
      </c>
      <c r="B416" s="8" t="s">
        <v>1457</v>
      </c>
      <c r="C416" s="8" t="str">
        <f aca="false">TRIM(SUBSTITUTE($B416,CHAR(160)," "))</f>
        <v>95 XS מגן מרפק רגיל לבן</v>
      </c>
    </row>
    <row r="417" customFormat="false" ht="15" hidden="false" customHeight="false" outlineLevel="0" collapsed="false">
      <c r="A417" s="8" t="n">
        <v>4413144</v>
      </c>
      <c r="B417" s="8" t="s">
        <v>1458</v>
      </c>
      <c r="C417" s="8" t="str">
        <f aca="false">TRIM(SUBSTITUTE($B417,CHAR(160)," "))</f>
        <v>95 XXL מגן מרפק רגיל לבן</v>
      </c>
    </row>
    <row r="418" customFormat="false" ht="15" hidden="false" customHeight="false" outlineLevel="0" collapsed="false">
      <c r="A418" s="8" t="n">
        <v>4413146</v>
      </c>
      <c r="B418" s="8" t="s">
        <v>1797</v>
      </c>
      <c r="C418" s="8" t="str">
        <f aca="false">TRIM(SUBSTITUTE($B418,CHAR(160)," "))</f>
        <v>95+ L מגן מרפק+רצועה לטניס</v>
      </c>
    </row>
    <row r="419" customFormat="false" ht="15" hidden="false" customHeight="false" outlineLevel="0" collapsed="false">
      <c r="A419" s="8" t="n">
        <v>4413147</v>
      </c>
      <c r="B419" s="8" t="s">
        <v>1798</v>
      </c>
      <c r="C419" s="8" t="str">
        <f aca="false">TRIM(SUBSTITUTE($B419,CHAR(160)," "))</f>
        <v>95+ M מגן מרפק+רצועה לטניס</v>
      </c>
    </row>
    <row r="420" customFormat="false" ht="15" hidden="false" customHeight="false" outlineLevel="0" collapsed="false">
      <c r="A420" s="8" t="n">
        <v>4413148</v>
      </c>
      <c r="B420" s="8" t="s">
        <v>1915</v>
      </c>
      <c r="C420" s="8" t="str">
        <f aca="false">TRIM(SUBSTITUTE($B420,CHAR(160)," "))</f>
        <v>95+ XL מגן מרפק+רצועה לטניס</v>
      </c>
    </row>
    <row r="421" customFormat="false" ht="15" hidden="false" customHeight="false" outlineLevel="0" collapsed="false">
      <c r="A421" s="8" t="n">
        <v>4413500</v>
      </c>
      <c r="B421" s="8" t="s">
        <v>1586</v>
      </c>
      <c r="C421" s="8" t="str">
        <f aca="false">TRIM(SUBSTITUTE($B421,CHAR(160)," "))</f>
        <v>95B L מגן מרפק שחור</v>
      </c>
    </row>
    <row r="422" customFormat="false" ht="15" hidden="false" customHeight="false" outlineLevel="0" collapsed="false">
      <c r="A422" s="8" t="n">
        <v>4413501</v>
      </c>
      <c r="B422" s="8" t="s">
        <v>1587</v>
      </c>
      <c r="C422" s="8" t="str">
        <f aca="false">TRIM(SUBSTITUTE($B422,CHAR(160)," "))</f>
        <v>95B M מגן מרפק שחור</v>
      </c>
    </row>
    <row r="423" customFormat="false" ht="15" hidden="false" customHeight="false" outlineLevel="0" collapsed="false">
      <c r="A423" s="8" t="n">
        <v>4413502</v>
      </c>
      <c r="B423" s="8" t="s">
        <v>1588</v>
      </c>
      <c r="C423" s="8" t="str">
        <f aca="false">TRIM(SUBSTITUTE($B423,CHAR(160)," "))</f>
        <v>95B S מגן מרפק שחור</v>
      </c>
    </row>
    <row r="424" customFormat="false" ht="15" hidden="false" customHeight="false" outlineLevel="0" collapsed="false">
      <c r="A424" s="8" t="n">
        <v>4413503</v>
      </c>
      <c r="B424" s="8" t="s">
        <v>1589</v>
      </c>
      <c r="C424" s="8" t="str">
        <f aca="false">TRIM(SUBSTITUTE($B424,CHAR(160)," "))</f>
        <v>95B XL מגן מרפק שחור</v>
      </c>
    </row>
    <row r="425" customFormat="false" ht="15" hidden="false" customHeight="false" outlineLevel="0" collapsed="false">
      <c r="A425" s="8" t="n">
        <v>4413504</v>
      </c>
      <c r="B425" s="8" t="s">
        <v>1590</v>
      </c>
      <c r="C425" s="8" t="str">
        <f aca="false">TRIM(SUBSTITUTE($B425,CHAR(160)," "))</f>
        <v>95B XXLמגן מרפק שחור</v>
      </c>
    </row>
    <row r="426" customFormat="false" ht="15" hidden="false" customHeight="false" outlineLevel="0" collapsed="false">
      <c r="A426" s="8" t="n">
        <v>4413365</v>
      </c>
      <c r="B426" s="8" t="s">
        <v>1528</v>
      </c>
      <c r="C426" s="8" t="str">
        <f aca="false">TRIM(SUBSTITUTE($B426,CHAR(160)," "))</f>
        <v>95C L 'מגן מרפק בז</v>
      </c>
    </row>
    <row r="427" customFormat="false" ht="15" hidden="false" customHeight="false" outlineLevel="0" collapsed="false">
      <c r="A427" s="8" t="n">
        <v>4413364</v>
      </c>
      <c r="B427" s="8" t="s">
        <v>1527</v>
      </c>
      <c r="C427" s="8" t="str">
        <f aca="false">TRIM(SUBSTITUTE($B427,CHAR(160)," "))</f>
        <v>95C M 'מגן מרפק בז</v>
      </c>
    </row>
    <row r="428" customFormat="false" ht="15" hidden="false" customHeight="false" outlineLevel="0" collapsed="false">
      <c r="A428" s="8" t="n">
        <v>4413366</v>
      </c>
      <c r="B428" s="8" t="s">
        <v>1529</v>
      </c>
      <c r="C428" s="8" t="str">
        <f aca="false">TRIM(SUBSTITUTE($B428,CHAR(160)," "))</f>
        <v>95C S 'מגן מרפק בז</v>
      </c>
    </row>
    <row r="429" customFormat="false" ht="15" hidden="false" customHeight="false" outlineLevel="0" collapsed="false">
      <c r="A429" s="8" t="n">
        <v>4413367</v>
      </c>
      <c r="B429" s="8" t="s">
        <v>1530</v>
      </c>
      <c r="C429" s="8" t="str">
        <f aca="false">TRIM(SUBSTITUTE($B429,CHAR(160)," "))</f>
        <v>95C XL'מגן מרפק בז</v>
      </c>
    </row>
    <row r="430" customFormat="false" ht="15" hidden="false" customHeight="false" outlineLevel="0" collapsed="false">
      <c r="A430" s="8" t="n">
        <v>4413368</v>
      </c>
      <c r="B430" s="8" t="s">
        <v>1531</v>
      </c>
      <c r="C430" s="8" t="str">
        <f aca="false">TRIM(SUBSTITUTE($B430,CHAR(160)," "))</f>
        <v>95C XS'מגן מרפק בז</v>
      </c>
    </row>
    <row r="431" customFormat="false" ht="15" hidden="false" customHeight="false" outlineLevel="0" collapsed="false">
      <c r="A431" s="8" t="n">
        <v>4413369</v>
      </c>
      <c r="B431" s="8" t="s">
        <v>1532</v>
      </c>
      <c r="C431" s="8" t="str">
        <f aca="false">TRIM(SUBSTITUTE($B431,CHAR(160)," "))</f>
        <v>95C XXL'מגן מרפק בז</v>
      </c>
    </row>
    <row r="432" customFormat="false" ht="15" hidden="false" customHeight="false" outlineLevel="0" collapsed="false">
      <c r="A432" s="8" t="n">
        <v>4413363</v>
      </c>
      <c r="B432" s="8" t="s">
        <v>1916</v>
      </c>
      <c r="C432" s="8" t="str">
        <f aca="false">TRIM(SUBSTITUTE($B432,CHAR(160)," "))</f>
        <v>95G XXLמגן מרפק אפור</v>
      </c>
    </row>
    <row r="433" customFormat="false" ht="15" hidden="false" customHeight="false" outlineLevel="0" collapsed="false">
      <c r="A433" s="8" t="n">
        <v>4408208</v>
      </c>
      <c r="B433" s="8" t="s">
        <v>1298</v>
      </c>
      <c r="C433" s="8" t="str">
        <f aca="false">TRIM(SUBSTITUTE($B433,CHAR(160)," "))</f>
        <v>AC91 חבק טניס</v>
      </c>
    </row>
    <row r="434" customFormat="false" ht="15" hidden="false" customHeight="false" outlineLevel="0" collapsed="false">
      <c r="A434" s="8" t="n">
        <v>4413331</v>
      </c>
      <c r="B434" s="8" t="s">
        <v>1513</v>
      </c>
      <c r="C434" s="8" t="str">
        <f aca="false">TRIM(SUBSTITUTE($B434,CHAR(160)," "))</f>
        <v>AC95 מגן מרפק</v>
      </c>
    </row>
    <row r="435" customFormat="false" ht="15" hidden="false" customHeight="false" outlineLevel="0" collapsed="false">
      <c r="A435" s="8" t="n">
        <v>4413405</v>
      </c>
      <c r="B435" s="8" t="s">
        <v>1543</v>
      </c>
      <c r="C435" s="8" t="str">
        <f aca="false">TRIM(SUBSTITUTE($B435,CHAR(160)," "))</f>
        <v>SC95 S מגן מרפק</v>
      </c>
    </row>
    <row r="436" customFormat="false" ht="15" hidden="false" customHeight="false" outlineLevel="0" collapsed="false">
      <c r="A436" s="8" t="n">
        <v>4413409</v>
      </c>
      <c r="B436" s="8" t="s">
        <v>1917</v>
      </c>
      <c r="C436" s="8" t="str">
        <f aca="false">TRIM(SUBSTITUTE($B436,CHAR(160)," "))</f>
        <v>SC95 XXL מגן מרפק</v>
      </c>
    </row>
    <row r="437" customFormat="false" ht="15" hidden="false" customHeight="false" outlineLevel="0" collapsed="false">
      <c r="A437" s="8" t="n">
        <v>4413531</v>
      </c>
      <c r="B437" s="8" t="s">
        <v>1748</v>
      </c>
      <c r="C437" s="8" t="str">
        <f aca="false">TRIM(SUBSTITUTE($B437,CHAR(160)," "))</f>
        <v>ST91 מגן מרפק לטניס</v>
      </c>
    </row>
    <row r="438" customFormat="false" ht="15" hidden="false" customHeight="false" outlineLevel="0" collapsed="false">
      <c r="A438" s="8" t="n">
        <v>4420018</v>
      </c>
      <c r="B438" s="8" t="s">
        <v>1693</v>
      </c>
      <c r="C438" s="8" t="str">
        <f aca="false">TRIM(SUBSTITUTE($B438,CHAR(160)," "))</f>
        <v>T90 רצועת טניס אלבו עם פלסטיק</v>
      </c>
    </row>
    <row r="439" customFormat="false" ht="15" hidden="false" customHeight="false" outlineLevel="0" collapsed="false">
      <c r="A439" s="8" t="n">
        <v>4420019</v>
      </c>
      <c r="B439" s="8" t="s">
        <v>1784</v>
      </c>
      <c r="C439" s="8" t="str">
        <f aca="false">TRIM(SUBSTITUTE($B439,CHAR(160)," "))</f>
        <v>T91 L-XL רצועת טניס אלבו</v>
      </c>
    </row>
    <row r="440" customFormat="false" ht="15" hidden="false" customHeight="false" outlineLevel="0" collapsed="false">
      <c r="A440" s="8" t="n">
        <v>4420020</v>
      </c>
      <c r="B440" s="8" t="s">
        <v>1785</v>
      </c>
      <c r="C440" s="8" t="str">
        <f aca="false">TRIM(SUBSTITUTE($B440,CHAR(160)," "))</f>
        <v>T91 S-M רצועת טניס אלבו</v>
      </c>
    </row>
    <row r="441" customFormat="false" ht="15" hidden="false" customHeight="false" outlineLevel="0" collapsed="false">
      <c r="A441" s="8" t="n">
        <v>4413212</v>
      </c>
      <c r="B441" s="8" t="s">
        <v>1773</v>
      </c>
      <c r="C441" s="8" t="str">
        <f aca="false">TRIM(SUBSTITUTE($B441,CHAR(160)," "))</f>
        <v>T95 L מגן מרפק רגיל</v>
      </c>
    </row>
    <row r="442" customFormat="false" ht="15" hidden="false" customHeight="false" outlineLevel="0" collapsed="false">
      <c r="A442" s="8" t="n">
        <v>4413211</v>
      </c>
      <c r="B442" s="8" t="s">
        <v>1918</v>
      </c>
      <c r="C442" s="8" t="str">
        <f aca="false">TRIM(SUBSTITUTE($B442,CHAR(160)," "))</f>
        <v>T95 M מגן מרפק רגיל</v>
      </c>
    </row>
    <row r="443" customFormat="false" ht="15" hidden="false" customHeight="false" outlineLevel="0" collapsed="false">
      <c r="A443" s="8" t="n">
        <v>4413210</v>
      </c>
      <c r="B443" s="8" t="s">
        <v>1493</v>
      </c>
      <c r="C443" s="8" t="str">
        <f aca="false">TRIM(SUBSTITUTE($B443,CHAR(160)," "))</f>
        <v>T95 S מגן מרפק רגיל</v>
      </c>
    </row>
    <row r="444" customFormat="false" ht="15" hidden="false" customHeight="false" outlineLevel="0" collapsed="false">
      <c r="A444" s="8" t="n">
        <v>4413213</v>
      </c>
      <c r="B444" s="8" t="s">
        <v>1919</v>
      </c>
      <c r="C444" s="8" t="str">
        <f aca="false">TRIM(SUBSTITUTE($B444,CHAR(160)," "))</f>
        <v>T95 XLמגן מרפק רגיל</v>
      </c>
    </row>
    <row r="445" customFormat="false" ht="15" hidden="false" customHeight="false" outlineLevel="0" collapsed="false">
      <c r="A445" s="8" t="n">
        <v>4413207</v>
      </c>
      <c r="B445" s="8" t="s">
        <v>1920</v>
      </c>
      <c r="C445" s="8" t="str">
        <f aca="false">TRIM(SUBSTITUTE($B445,CHAR(160)," "))</f>
        <v>T95+ L מגן מרפק +רצועה</v>
      </c>
    </row>
    <row r="446" customFormat="false" ht="15" hidden="false" customHeight="false" outlineLevel="0" collapsed="false">
      <c r="A446" s="8" t="n">
        <v>4413208</v>
      </c>
      <c r="B446" s="8" t="s">
        <v>1921</v>
      </c>
      <c r="C446" s="8" t="str">
        <f aca="false">TRIM(SUBSTITUTE($B446,CHAR(160)," "))</f>
        <v>T95+ XLמגן מרפק +רצועה</v>
      </c>
    </row>
    <row r="447" customFormat="false" ht="15" hidden="false" customHeight="false" outlineLevel="0" collapsed="false">
      <c r="A447" s="8" t="n">
        <v>4413168</v>
      </c>
      <c r="B447" s="8" t="s">
        <v>1922</v>
      </c>
      <c r="C447" s="8" t="str">
        <f aca="false">TRIM(SUBSTITUTE($B447,CHAR(160)," "))</f>
        <v>80 L תתמתלה ליד רצועה</v>
      </c>
    </row>
    <row r="448" customFormat="false" ht="15" hidden="false" customHeight="false" outlineLevel="0" collapsed="false">
      <c r="A448" s="8" t="n">
        <v>4413167</v>
      </c>
      <c r="B448" s="8" t="s">
        <v>1799</v>
      </c>
      <c r="C448" s="8" t="str">
        <f aca="false">TRIM(SUBSTITUTE($B448,CHAR(160)," "))</f>
        <v>80 M תתמתלה ליד רצועה</v>
      </c>
    </row>
    <row r="449" customFormat="false" ht="15" hidden="false" customHeight="false" outlineLevel="0" collapsed="false">
      <c r="A449" s="8" t="n">
        <v>4413166</v>
      </c>
      <c r="B449" s="8" t="s">
        <v>1472</v>
      </c>
      <c r="C449" s="8" t="str">
        <f aca="false">TRIM(SUBSTITUTE($B449,CHAR(160)," "))</f>
        <v>80 S תתמתלה ליד רצועה</v>
      </c>
    </row>
    <row r="450" customFormat="false" ht="15" hidden="false" customHeight="false" outlineLevel="0" collapsed="false">
      <c r="A450" s="8" t="n">
        <v>4413163</v>
      </c>
      <c r="B450" s="8" t="s">
        <v>1923</v>
      </c>
      <c r="C450" s="8" t="str">
        <f aca="false">TRIM(SUBSTITUTE($B450,CHAR(160)," "))</f>
        <v>80 XL תתמתלה ליד</v>
      </c>
    </row>
    <row r="451" customFormat="false" ht="15" hidden="false" customHeight="false" outlineLevel="0" collapsed="false">
      <c r="A451" s="8" t="n">
        <v>4413308</v>
      </c>
      <c r="B451" s="8" t="s">
        <v>1924</v>
      </c>
      <c r="C451" s="8" t="str">
        <f aca="false">TRIM(SUBSTITUTE($B451,CHAR(160)," "))</f>
        <v>82 0 מתלה יד מספוג</v>
      </c>
    </row>
    <row r="452" customFormat="false" ht="15" hidden="false" customHeight="false" outlineLevel="0" collapsed="false">
      <c r="A452" s="8" t="n">
        <v>4413135</v>
      </c>
      <c r="B452" s="8" t="s">
        <v>1449</v>
      </c>
      <c r="C452" s="8" t="str">
        <f aca="false">TRIM(SUBSTITUTE($B452,CHAR(160)," "))</f>
        <v>85 L (מתלה ליד )כיס</v>
      </c>
    </row>
    <row r="453" customFormat="false" ht="15" hidden="false" customHeight="false" outlineLevel="0" collapsed="false">
      <c r="A453" s="8" t="n">
        <v>4413136</v>
      </c>
      <c r="B453" s="8" t="s">
        <v>1450</v>
      </c>
      <c r="C453" s="8" t="str">
        <f aca="false">TRIM(SUBSTITUTE($B453,CHAR(160)," "))</f>
        <v>85 M (מתלה ליד )כיס</v>
      </c>
    </row>
    <row r="454" customFormat="false" ht="15" hidden="false" customHeight="false" outlineLevel="0" collapsed="false">
      <c r="A454" s="8" t="n">
        <v>4413137</v>
      </c>
      <c r="B454" s="8" t="s">
        <v>1451</v>
      </c>
      <c r="C454" s="8" t="str">
        <f aca="false">TRIM(SUBSTITUTE($B454,CHAR(160)," "))</f>
        <v>85 S (מתלה ליד )כיס</v>
      </c>
    </row>
    <row r="455" customFormat="false" ht="15" hidden="false" customHeight="false" outlineLevel="0" collapsed="false">
      <c r="A455" s="8" t="n">
        <v>4413138</v>
      </c>
      <c r="B455" s="8" t="s">
        <v>1452</v>
      </c>
      <c r="C455" s="8" t="str">
        <f aca="false">TRIM(SUBSTITUTE($B455,CHAR(160)," "))</f>
        <v>85 XL (מתלה ליד )כיס</v>
      </c>
    </row>
    <row r="456" customFormat="false" ht="15" hidden="false" customHeight="false" outlineLevel="0" collapsed="false">
      <c r="A456" s="8" t="n">
        <v>4413176</v>
      </c>
      <c r="B456" s="8" t="s">
        <v>1480</v>
      </c>
      <c r="C456" s="8" t="str">
        <f aca="false">TRIM(SUBSTITUTE($B456,CHAR(160)," "))</f>
        <v>85+ Lמתלה ליד)כיס(+רצועת חיזוק</v>
      </c>
    </row>
    <row r="457" customFormat="false" ht="15" hidden="false" customHeight="false" outlineLevel="0" collapsed="false">
      <c r="A457" s="8" t="n">
        <v>4413175</v>
      </c>
      <c r="B457" s="8" t="s">
        <v>1479</v>
      </c>
      <c r="C457" s="8" t="str">
        <f aca="false">TRIM(SUBSTITUTE($B457,CHAR(160)," "))</f>
        <v>85+ Mמתלה ליד)כיס(+רצועת חיזוק</v>
      </c>
    </row>
    <row r="458" customFormat="false" ht="15" hidden="false" customHeight="false" outlineLevel="0" collapsed="false">
      <c r="A458" s="8" t="n">
        <v>4413174</v>
      </c>
      <c r="B458" s="8" t="s">
        <v>1478</v>
      </c>
      <c r="C458" s="8" t="str">
        <f aca="false">TRIM(SUBSTITUTE($B458,CHAR(160)," "))</f>
        <v>85+ Sמתלה ליד)כיס(+רצועת חיזוק</v>
      </c>
    </row>
    <row r="459" customFormat="false" ht="15" hidden="false" customHeight="false" outlineLevel="0" collapsed="false">
      <c r="A459" s="8" t="n">
        <v>4413177</v>
      </c>
      <c r="B459" s="8" t="s">
        <v>1481</v>
      </c>
      <c r="C459" s="8" t="str">
        <f aca="false">TRIM(SUBSTITUTE($B459,CHAR(160)," "))</f>
        <v>85+ XLמתלה ליד)כיס(רצועת חיזוק</v>
      </c>
    </row>
    <row r="460" customFormat="false" ht="15" hidden="false" customHeight="false" outlineLevel="0" collapsed="false">
      <c r="A460" s="8" t="n">
        <v>4413516</v>
      </c>
      <c r="B460" s="8" t="s">
        <v>1591</v>
      </c>
      <c r="C460" s="8" t="str">
        <f aca="false">TRIM(SUBSTITUTE($B460,CHAR(160)," "))</f>
        <v>85B L מתלה רשת לזרוע שחור</v>
      </c>
    </row>
    <row r="461" customFormat="false" ht="15" hidden="false" customHeight="false" outlineLevel="0" collapsed="false">
      <c r="A461" s="8" t="n">
        <v>4413517</v>
      </c>
      <c r="B461" s="8" t="s">
        <v>1592</v>
      </c>
      <c r="C461" s="8" t="str">
        <f aca="false">TRIM(SUBSTITUTE($B461,CHAR(160)," "))</f>
        <v>85B M מתלה רשת לזרוע שחור</v>
      </c>
    </row>
    <row r="462" customFormat="false" ht="15" hidden="false" customHeight="false" outlineLevel="0" collapsed="false">
      <c r="A462" s="8" t="n">
        <v>4413519</v>
      </c>
      <c r="B462" s="8" t="s">
        <v>1594</v>
      </c>
      <c r="C462" s="8" t="str">
        <f aca="false">TRIM(SUBSTITUTE($B462,CHAR(160)," "))</f>
        <v>85B S מתלה רשת לזרוע שחור</v>
      </c>
    </row>
    <row r="463" customFormat="false" ht="15" hidden="false" customHeight="false" outlineLevel="0" collapsed="false">
      <c r="A463" s="8" t="n">
        <v>4413518</v>
      </c>
      <c r="B463" s="8" t="s">
        <v>1593</v>
      </c>
      <c r="C463" s="8" t="str">
        <f aca="false">TRIM(SUBSTITUTE($B463,CHAR(160)," "))</f>
        <v>85B XL מתלה רשת לזרוע שחור</v>
      </c>
    </row>
    <row r="464" customFormat="false" ht="15" hidden="false" customHeight="false" outlineLevel="0" collapsed="false">
      <c r="A464" s="8" t="n">
        <v>4413455</v>
      </c>
      <c r="B464" s="8" t="s">
        <v>1572</v>
      </c>
      <c r="C464" s="8" t="str">
        <f aca="false">TRIM(SUBSTITUTE($B464,CHAR(160)," "))</f>
        <v>85K מתלה ליד לילדים</v>
      </c>
    </row>
    <row r="465" customFormat="false" ht="15" hidden="false" customHeight="false" outlineLevel="0" collapsed="false">
      <c r="A465" s="8" t="n">
        <v>4407000</v>
      </c>
      <c r="B465" s="8" t="s">
        <v>1925</v>
      </c>
      <c r="C465" s="8" t="str">
        <f aca="false">TRIM(SUBSTITUTE($B465,CHAR(160)," "))</f>
        <v>306 L זוג עקבים סיליקון</v>
      </c>
    </row>
    <row r="466" customFormat="false" ht="15" hidden="false" customHeight="false" outlineLevel="0" collapsed="false">
      <c r="A466" s="8" t="n">
        <v>4416000</v>
      </c>
      <c r="B466" s="8" t="s">
        <v>1657</v>
      </c>
      <c r="C466" s="8" t="str">
        <f aca="false">TRIM(SUBSTITUTE($B466,CHAR(160)," "))</f>
        <v>307 L עקבים לדורבן-זוג כריות</v>
      </c>
    </row>
    <row r="467" customFormat="false" ht="15" hidden="false" customHeight="false" outlineLevel="0" collapsed="false">
      <c r="A467" s="8" t="n">
        <v>4416001</v>
      </c>
      <c r="B467" s="8" t="s">
        <v>1658</v>
      </c>
      <c r="C467" s="8" t="str">
        <f aca="false">TRIM(SUBSTITUTE($B467,CHAR(160)," "))</f>
        <v>307 M עקבים לדורבן-זוג כריות</v>
      </c>
    </row>
    <row r="468" customFormat="false" ht="15" hidden="false" customHeight="false" outlineLevel="0" collapsed="false">
      <c r="A468" s="8" t="n">
        <v>4416002</v>
      </c>
      <c r="B468" s="8" t="s">
        <v>1659</v>
      </c>
      <c r="C468" s="8" t="str">
        <f aca="false">TRIM(SUBSTITUTE($B468,CHAR(160)," "))</f>
        <v>307 S עקבים לדורבן-זוג כריות</v>
      </c>
    </row>
    <row r="469" customFormat="false" ht="15" hidden="false" customHeight="false" outlineLevel="0" collapsed="false">
      <c r="A469" s="8" t="n">
        <v>4411016</v>
      </c>
      <c r="B469" s="8" t="s">
        <v>1345</v>
      </c>
      <c r="C469" s="8" t="str">
        <f aca="false">TRIM(SUBSTITUTE($B469,CHAR(160)," "))</f>
        <v>307 XL כרית סיליקון לעקב</v>
      </c>
    </row>
    <row r="470" customFormat="false" ht="15" hidden="false" customHeight="false" outlineLevel="0" collapsed="false">
      <c r="A470" s="8" t="n">
        <v>4416003</v>
      </c>
      <c r="B470" s="8" t="s">
        <v>1660</v>
      </c>
      <c r="C470" s="8" t="str">
        <f aca="false">TRIM(SUBSTITUTE($B470,CHAR(160)," "))</f>
        <v>308 Lעקבים סיליקון כחול לדורבן</v>
      </c>
    </row>
    <row r="471" customFormat="false" ht="15" hidden="false" customHeight="false" outlineLevel="0" collapsed="false">
      <c r="A471" s="8" t="n">
        <v>4416005</v>
      </c>
      <c r="B471" s="8" t="s">
        <v>1661</v>
      </c>
      <c r="C471" s="8" t="str">
        <f aca="false">TRIM(SUBSTITUTE($B471,CHAR(160)," "))</f>
        <v>308 Mעקבים סיליק.כחול לדורבן</v>
      </c>
    </row>
    <row r="472" customFormat="false" ht="15" hidden="false" customHeight="false" outlineLevel="0" collapsed="false">
      <c r="A472" s="8" t="n">
        <v>4416006</v>
      </c>
      <c r="B472" s="8" t="s">
        <v>1662</v>
      </c>
      <c r="C472" s="8" t="str">
        <f aca="false">TRIM(SUBSTITUTE($B472,CHAR(160)," "))</f>
        <v>308 Sעקבים סיליק.כחול לדורבן</v>
      </c>
    </row>
    <row r="473" customFormat="false" ht="15" hidden="false" customHeight="false" outlineLevel="0" collapsed="false">
      <c r="A473" s="8" t="n">
        <v>4416011</v>
      </c>
      <c r="B473" s="8" t="s">
        <v>1926</v>
      </c>
      <c r="C473" s="8" t="str">
        <f aca="false">TRIM(SUBSTITUTE($B473,CHAR(160)," "))</f>
        <v>309 L תתמוקפאעקב סיליקון+ קשת</v>
      </c>
    </row>
    <row r="474" customFormat="false" ht="15" hidden="false" customHeight="false" outlineLevel="0" collapsed="false">
      <c r="A474" s="8" t="n">
        <v>4416010</v>
      </c>
      <c r="B474" s="8" t="s">
        <v>1927</v>
      </c>
      <c r="C474" s="8" t="str">
        <f aca="false">TRIM(SUBSTITUTE($B474,CHAR(160)," "))</f>
        <v>309 M תתעקב סיליקון+ קשת</v>
      </c>
    </row>
    <row r="475" customFormat="false" ht="15" hidden="false" customHeight="false" outlineLevel="0" collapsed="false">
      <c r="A475" s="8" t="n">
        <v>4416009</v>
      </c>
      <c r="B475" s="8" t="s">
        <v>1809</v>
      </c>
      <c r="C475" s="8" t="str">
        <f aca="false">TRIM(SUBSTITUTE($B475,CHAR(160)," "))</f>
        <v>309 S תתמוקפאעקב סיליקון+ קשת</v>
      </c>
    </row>
    <row r="476" customFormat="false" ht="15" hidden="false" customHeight="false" outlineLevel="0" collapsed="false">
      <c r="A476" s="8" t="n">
        <v>4413033</v>
      </c>
      <c r="B476" s="8" t="s">
        <v>1370</v>
      </c>
      <c r="C476" s="8" t="str">
        <f aca="false">TRIM(SUBSTITUTE($B476,CHAR(160)," "))</f>
        <v>311'מדב.ג'ל למניעת שפשוף 5 יח</v>
      </c>
    </row>
    <row r="477" customFormat="false" ht="15" hidden="false" customHeight="false" outlineLevel="0" collapsed="false">
      <c r="A477" s="8" t="n">
        <v>4413034</v>
      </c>
      <c r="B477" s="8" t="s">
        <v>1371</v>
      </c>
      <c r="C477" s="8" t="str">
        <f aca="false">TRIM(SUBSTITUTE($B477,CHAR(160)," "))</f>
        <v>312 9 מ""ס להתאמהX5 מדבקה גדולה</v>
      </c>
    </row>
    <row r="478" customFormat="false" ht="15" hidden="false" customHeight="false" outlineLevel="0" collapsed="false">
      <c r="A478" s="8" t="n">
        <v>4415297</v>
      </c>
      <c r="B478" s="8" t="s">
        <v>1654</v>
      </c>
      <c r="C478" s="8" t="str">
        <f aca="false">TRIM(SUBSTITUTE($B478,CHAR(160)," "))</f>
        <v>313 סט פלסטרים נגד שפשופים</v>
      </c>
    </row>
    <row r="479" customFormat="false" ht="15" hidden="false" customHeight="false" outlineLevel="0" collapsed="false">
      <c r="A479" s="8" t="n">
        <v>4402007</v>
      </c>
      <c r="B479" s="8" t="s">
        <v>1162</v>
      </c>
      <c r="C479" s="8" t="str">
        <f aca="false">TRIM(SUBSTITUTE($B479,CHAR(160)," "))</f>
        <v>320 בליסטר פלסטר</v>
      </c>
    </row>
    <row r="480" customFormat="false" ht="15" hidden="false" customHeight="false" outlineLevel="0" collapsed="false">
      <c r="A480" s="8" t="n">
        <v>4421001</v>
      </c>
      <c r="B480" s="8" t="s">
        <v>1710</v>
      </c>
      <c r="C480" s="8" t="str">
        <f aca="false">TRIM(SUBSTITUTE($B480,CHAR(160)," "))</f>
        <v>3611 שרוול מטטרזלי מסיליקון</v>
      </c>
    </row>
    <row r="481" customFormat="false" ht="15" hidden="false" customHeight="false" outlineLevel="0" collapsed="false">
      <c r="A481" s="8" t="n">
        <v>4413058</v>
      </c>
      <c r="B481" s="8" t="s">
        <v>1388</v>
      </c>
      <c r="C481" s="8" t="str">
        <f aca="false">TRIM(SUBSTITUTE($B481,CHAR(160)," "))</f>
        <v>3622S מדבקה לשחרור לחץ 2 יח</v>
      </c>
    </row>
    <row r="482" customFormat="false" ht="15" hidden="false" customHeight="false" outlineLevel="0" collapsed="false">
      <c r="A482" s="8" t="n">
        <v>4411001</v>
      </c>
      <c r="B482" s="8" t="s">
        <v>1343</v>
      </c>
      <c r="C482" s="8" t="str">
        <f aca="false">TRIM(SUBSTITUTE($B482,CHAR(160)," "))</f>
        <v>3623 כרית ליישור אצבע פטיש</v>
      </c>
    </row>
    <row r="483" customFormat="false" ht="15" hidden="false" customHeight="false" outlineLevel="0" collapsed="false">
      <c r="A483" s="8" t="n">
        <v>4402000</v>
      </c>
      <c r="B483" s="8" t="s">
        <v>1161</v>
      </c>
      <c r="C483" s="8" t="str">
        <f aca="false">TRIM(SUBSTITUTE($B483,CHAR(160)," "))</f>
        <v>363 בננה לתמיכת אצבעות ז.כרית</v>
      </c>
    </row>
    <row r="484" customFormat="false" ht="15" hidden="false" customHeight="false" outlineLevel="0" collapsed="false">
      <c r="A484" s="8" t="n">
        <v>4413060</v>
      </c>
      <c r="B484" s="8" t="s">
        <v>1390</v>
      </c>
      <c r="C484" s="8" t="str">
        <f aca="false">TRIM(SUBSTITUTE($B484,CHAR(160)," "))</f>
        <v>364 XLמפריד אצבע סיליקון ליבלת</v>
      </c>
    </row>
    <row r="485" customFormat="false" ht="15" hidden="false" customHeight="false" outlineLevel="0" collapsed="false">
      <c r="A485" s="8" t="n">
        <v>4413061</v>
      </c>
      <c r="B485" s="8" t="s">
        <v>1391</v>
      </c>
      <c r="C485" s="8" t="str">
        <f aca="false">TRIM(SUBSTITUTE($B485,CHAR(160)," "))</f>
        <v>3641-מיישר בוהן סיליקון קשיח</v>
      </c>
    </row>
    <row r="486" customFormat="false" ht="15" hidden="false" customHeight="false" outlineLevel="0" collapsed="false">
      <c r="A486" s="8" t="n">
        <v>4413059</v>
      </c>
      <c r="B486" s="8" t="s">
        <v>1389</v>
      </c>
      <c r="C486" s="8" t="str">
        <f aca="false">TRIM(SUBSTITUTE($B486,CHAR(160)," "))</f>
        <v>364S Lמפר.אצבע סיליק. ליבל.זוג</v>
      </c>
    </row>
    <row r="487" customFormat="false" ht="15" hidden="false" customHeight="false" outlineLevel="0" collapsed="false">
      <c r="A487" s="8" t="n">
        <v>4409001</v>
      </c>
      <c r="B487" s="8" t="s">
        <v>1331</v>
      </c>
      <c r="C487" s="8" t="str">
        <f aca="false">TRIM(SUBSTITUTE($B487,CHAR(160)," "))</f>
        <v>365 X-Lטבעת אלסטית מסיליקון</v>
      </c>
    </row>
    <row r="488" customFormat="false" ht="15" hidden="false" customHeight="false" outlineLevel="0" collapsed="false">
      <c r="A488" s="8" t="n">
        <v>4409000</v>
      </c>
      <c r="B488" s="8" t="s">
        <v>1330</v>
      </c>
      <c r="C488" s="8" t="str">
        <f aca="false">TRIM(SUBSTITUTE($B488,CHAR(160)," "))</f>
        <v>365 S-Lטבעת אלסטית מסיליקון</v>
      </c>
    </row>
    <row r="489" customFormat="false" ht="15" hidden="false" customHeight="false" outlineLevel="0" collapsed="false">
      <c r="A489" s="8" t="n">
        <v>4421000</v>
      </c>
      <c r="B489" s="8" t="s">
        <v>1709</v>
      </c>
      <c r="C489" s="8" t="str">
        <f aca="false">TRIM(SUBSTITUTE($B489,CHAR(160)," "))</f>
        <v>3655 שרוול מסיליקון לאצבע</v>
      </c>
    </row>
    <row r="490" customFormat="false" ht="15" hidden="false" customHeight="false" outlineLevel="0" collapsed="false">
      <c r="A490" s="8" t="n">
        <v>4413340</v>
      </c>
      <c r="B490" s="8" t="s">
        <v>1520</v>
      </c>
      <c r="C490" s="8" t="str">
        <f aca="false">TRIM(SUBSTITUTE($B490,CHAR(160)," "))</f>
        <v>3666 מפריד הלוקס</v>
      </c>
    </row>
    <row r="491" customFormat="false" ht="15" hidden="false" customHeight="false" outlineLevel="0" collapsed="false">
      <c r="A491" s="8" t="n">
        <v>4413063</v>
      </c>
      <c r="B491" s="8" t="s">
        <v>1392</v>
      </c>
      <c r="C491" s="8" t="str">
        <f aca="false">TRIM(SUBSTITUTE($B491,CHAR(160)," "))</f>
        <v>366S-'מדבק.לשחרור לחץ מיבלת2יח</v>
      </c>
    </row>
    <row r="492" customFormat="false" ht="15" hidden="false" customHeight="false" outlineLevel="0" collapsed="false">
      <c r="A492" s="8" t="n">
        <v>4421003</v>
      </c>
      <c r="B492" s="8" t="s">
        <v>1711</v>
      </c>
      <c r="C492" s="8" t="str">
        <f aca="false">TRIM(SUBSTITUTE($B492,CHAR(160)," "))</f>
        <v>3672 שרוול מגן לבוניון</v>
      </c>
    </row>
    <row r="493" customFormat="false" ht="15" hidden="false" customHeight="false" outlineLevel="0" collapsed="false">
      <c r="A493" s="8" t="n">
        <v>4413370</v>
      </c>
      <c r="B493" s="8" t="s">
        <v>1533</v>
      </c>
      <c r="C493" s="8" t="str">
        <f aca="false">TRIM(SUBSTITUTE($B493,CHAR(160)," "))</f>
        <v>3674 0 מ.בוניון+מפריד אצבע</v>
      </c>
    </row>
    <row r="494" customFormat="false" ht="15" hidden="false" customHeight="false" outlineLevel="0" collapsed="false">
      <c r="A494" s="8" t="n">
        <v>4413371</v>
      </c>
      <c r="B494" s="8" t="s">
        <v>1534</v>
      </c>
      <c r="C494" s="8" t="str">
        <f aca="false">TRIM(SUBSTITUTE($B494,CHAR(160)," "))</f>
        <v>3675 מגן זרת מסיליקון</v>
      </c>
    </row>
    <row r="495" customFormat="false" ht="15" hidden="false" customHeight="false" outlineLevel="0" collapsed="false">
      <c r="A495" s="8" t="n">
        <v>4413066</v>
      </c>
      <c r="B495" s="8" t="s">
        <v>1393</v>
      </c>
      <c r="C495" s="8" t="str">
        <f aca="false">TRIM(SUBSTITUTE($B495,CHAR(160)," "))</f>
        <v>3677S-מד.לשחרור לחץ א.הבוניון</v>
      </c>
    </row>
    <row r="496" customFormat="false" ht="15" hidden="false" customHeight="false" outlineLevel="0" collapsed="false">
      <c r="A496" s="8" t="n">
        <v>4401001</v>
      </c>
      <c r="B496" s="8" t="s">
        <v>1155</v>
      </c>
      <c r="C496" s="8" t="str">
        <f aca="false">TRIM(SUBSTITUTE($B496,CHAR(160)," "))</f>
        <v>369 XL אצבעון מסיליקון יחידה</v>
      </c>
    </row>
    <row r="497" customFormat="false" ht="15" hidden="false" customHeight="false" outlineLevel="0" collapsed="false">
      <c r="A497" s="8" t="n">
        <v>4401000</v>
      </c>
      <c r="B497" s="8" t="s">
        <v>1154</v>
      </c>
      <c r="C497" s="8" t="str">
        <f aca="false">TRIM(SUBSTITUTE($B497,CHAR(160)," "))</f>
        <v>369 S-L אצבעון מסיליקון יחידה</v>
      </c>
    </row>
    <row r="498" customFormat="false" ht="15" hidden="false" customHeight="false" outlineLevel="0" collapsed="false">
      <c r="A498" s="8" t="n">
        <v>4408069</v>
      </c>
      <c r="B498" s="8" t="s">
        <v>1233</v>
      </c>
      <c r="C498" s="8" t="str">
        <f aca="false">TRIM(SUBSTITUTE($B498,CHAR(160)," "))</f>
        <v>38 .חבישת""הלוקס ולגוס""לאחר נית</v>
      </c>
    </row>
    <row r="499" customFormat="false" ht="15" hidden="false" customHeight="false" outlineLevel="0" collapsed="false">
      <c r="A499" s="8" t="n">
        <v>4413452</v>
      </c>
      <c r="B499" s="8" t="s">
        <v>1570</v>
      </c>
      <c r="C499" s="8" t="str">
        <f aca="false">TRIM(SUBSTITUTE($B499,CHAR(160)," "))</f>
        <v>386 מיישר בוניון-האלוקס ולגוס</v>
      </c>
    </row>
    <row r="500" customFormat="false" ht="15" hidden="false" customHeight="false" outlineLevel="0" collapsed="false">
      <c r="A500" s="8" t="n">
        <v>4413069</v>
      </c>
      <c r="B500" s="8" t="s">
        <v>1394</v>
      </c>
      <c r="C500" s="8" t="str">
        <f aca="false">TRIM(SUBSTITUTE($B500,CHAR(160)," "))</f>
        <v>388L סד לילה לבוהן</v>
      </c>
    </row>
    <row r="501" customFormat="false" ht="15" hidden="false" customHeight="false" outlineLevel="0" collapsed="false">
      <c r="A501" s="8" t="n">
        <v>4413070</v>
      </c>
      <c r="B501" s="8" t="s">
        <v>1395</v>
      </c>
      <c r="C501" s="8" t="str">
        <f aca="false">TRIM(SUBSTITUTE($B501,CHAR(160)," "))</f>
        <v>388R סד לילה לבוהן</v>
      </c>
    </row>
    <row r="502" customFormat="false" ht="15" hidden="false" customHeight="false" outlineLevel="0" collapsed="false">
      <c r="A502" s="8" t="n">
        <v>4411015</v>
      </c>
      <c r="B502" s="8" t="s">
        <v>1344</v>
      </c>
      <c r="C502" s="8" t="str">
        <f aca="false">TRIM(SUBSTITUTE($B502,CHAR(160)," "))</f>
        <v>820 0 כרית חום וקור</v>
      </c>
    </row>
    <row r="503" customFormat="false" ht="15" hidden="false" customHeight="false" outlineLevel="0" collapsed="false">
      <c r="A503" s="8" t="n">
        <v>4413307</v>
      </c>
      <c r="B503" s="8" t="s">
        <v>1507</v>
      </c>
      <c r="C503" s="8" t="str">
        <f aca="false">TRIM(SUBSTITUTE($B503,CHAR(160)," "))</f>
        <v>URI 3667 מגן בוניון</v>
      </c>
    </row>
    <row r="504" customFormat="false" ht="15" hidden="false" customHeight="false" outlineLevel="0" collapsed="false">
      <c r="A504" s="8" t="n">
        <v>4411000</v>
      </c>
      <c r="B504" s="8" t="s">
        <v>1342</v>
      </c>
      <c r="C504" s="8" t="str">
        <f aca="false">TRIM(SUBSTITUTE($B504,CHAR(160)," "))</f>
        <v>כרית מטטרזלי סיליקון362</v>
      </c>
    </row>
    <row r="505" customFormat="false" ht="15" hidden="false" customHeight="false" outlineLevel="0" collapsed="false">
      <c r="A505" s="8" t="n">
        <v>4401002</v>
      </c>
      <c r="B505" s="8" t="s">
        <v>1156</v>
      </c>
      <c r="C505" s="8" t="str">
        <f aca="false">TRIM(SUBSTITUTE($B505,CHAR(160)," "))</f>
        <v>PD 344-אבן טבעית להסרת עור קשה</v>
      </c>
    </row>
    <row r="506" customFormat="false" ht="15" hidden="false" customHeight="false" outlineLevel="0" collapsed="false">
      <c r="A506" s="8" t="n">
        <v>4419006</v>
      </c>
      <c r="B506" s="8" t="s">
        <v>1674</v>
      </c>
      <c r="C506" s="8" t="str">
        <f aca="false">TRIM(SUBSTITUTE($B506,CHAR(160)," "))</f>
        <v>PD340-קוצץ ציפורניים</v>
      </c>
    </row>
    <row r="507" customFormat="false" ht="15" hidden="false" customHeight="false" outlineLevel="0" collapsed="false">
      <c r="A507" s="8" t="n">
        <v>4413150</v>
      </c>
      <c r="B507" s="8" t="s">
        <v>1460</v>
      </c>
      <c r="C507" s="8" t="str">
        <f aca="false">TRIM(SUBSTITUTE($B507,CHAR(160)," "))</f>
        <v>PD341-מקצוע להסרת עור קשה</v>
      </c>
    </row>
    <row r="508" customFormat="false" ht="15" hidden="false" customHeight="false" outlineLevel="0" collapsed="false">
      <c r="A508" s="8" t="n">
        <v>4417000</v>
      </c>
      <c r="B508" s="8" t="s">
        <v>1663</v>
      </c>
      <c r="C508" s="8" t="str">
        <f aca="false">TRIM(SUBSTITUTE($B508,CHAR(160)," "))</f>
        <v>PD342-פומפיה להסרת עור קשה</v>
      </c>
    </row>
    <row r="509" customFormat="false" ht="15" hidden="false" customHeight="false" outlineLevel="0" collapsed="false">
      <c r="A509" s="8" t="n">
        <v>4417001</v>
      </c>
      <c r="B509" s="8" t="s">
        <v>1664</v>
      </c>
      <c r="C509" s="8" t="str">
        <f aca="false">TRIM(SUBSTITUTE($B509,CHAR(160)," "))</f>
        <v>PD343-פומפיה מאבן להסר.עור</v>
      </c>
    </row>
    <row r="510" customFormat="false" ht="15" hidden="false" customHeight="false" outlineLevel="0" collapsed="false">
      <c r="A510" s="8" t="n">
        <v>4415080</v>
      </c>
      <c r="B510" s="8" t="s">
        <v>1632</v>
      </c>
      <c r="C510" s="8" t="str">
        <f aca="false">TRIM(SUBSTITUTE($B510,CHAR(160)," "))</f>
        <v>PD346-10 סכינים למקצוע</v>
      </c>
    </row>
    <row r="511" customFormat="false" ht="15" hidden="false" customHeight="false" outlineLevel="0" collapsed="false">
      <c r="A511" s="8" t="n">
        <v>4413152</v>
      </c>
      <c r="B511" s="8" t="s">
        <v>1928</v>
      </c>
      <c r="C511" s="8" t="str">
        <f aca="false">TRIM(SUBSTITUTE($B511,CHAR(160)," "))</f>
        <v>PD350-תתמשופית ניקל קדמיום</v>
      </c>
    </row>
    <row r="512" customFormat="false" ht="15" hidden="false" customHeight="false" outlineLevel="0" collapsed="false">
      <c r="A512" s="8" t="n">
        <v>4411029</v>
      </c>
      <c r="B512" s="8" t="s">
        <v>1357</v>
      </c>
      <c r="C512" s="8" t="str">
        <f aca="false">TRIM(SUBSTITUTE($B512,CHAR(160)," "))</f>
        <v>213CTSR L ימין CTS כפפות</v>
      </c>
    </row>
    <row r="513" customFormat="false" ht="15" hidden="false" customHeight="false" outlineLevel="0" collapsed="false">
      <c r="A513" s="8" t="n">
        <v>4408046</v>
      </c>
      <c r="B513" s="8" t="s">
        <v>1220</v>
      </c>
      <c r="C513" s="8" t="str">
        <f aca="false">TRIM(SUBSTITUTE($B513,CHAR(160)," "))</f>
        <v>20 L חבק יד מתכוון עם צמדן</v>
      </c>
    </row>
    <row r="514" customFormat="false" ht="15" hidden="false" customHeight="false" outlineLevel="0" collapsed="false">
      <c r="A514" s="8" t="n">
        <v>4408047</v>
      </c>
      <c r="B514" s="8" t="s">
        <v>1221</v>
      </c>
      <c r="C514" s="8" t="str">
        <f aca="false">TRIM(SUBSTITUTE($B514,CHAR(160)," "))</f>
        <v>20 M חבק יד מתכוון עם צמדן</v>
      </c>
    </row>
    <row r="515" customFormat="false" ht="15" hidden="false" customHeight="false" outlineLevel="0" collapsed="false">
      <c r="A515" s="8" t="n">
        <v>4408048</v>
      </c>
      <c r="B515" s="8" t="s">
        <v>1222</v>
      </c>
      <c r="C515" s="8" t="str">
        <f aca="false">TRIM(SUBSTITUTE($B515,CHAR(160)," "))</f>
        <v>20 S חבק יד מתכוון עם צמדן</v>
      </c>
    </row>
    <row r="516" customFormat="false" ht="15" hidden="false" customHeight="false" outlineLevel="0" collapsed="false">
      <c r="A516" s="8" t="n">
        <v>4408049</v>
      </c>
      <c r="B516" s="8" t="s">
        <v>1223</v>
      </c>
      <c r="C516" s="8" t="str">
        <f aca="false">TRIM(SUBSTITUTE($B516,CHAR(160)," "))</f>
        <v>20 XL חבק יד מתכוון עם צמדן</v>
      </c>
    </row>
    <row r="517" customFormat="false" ht="15" hidden="false" customHeight="false" outlineLevel="0" collapsed="false">
      <c r="A517" s="8" t="n">
        <v>4408050</v>
      </c>
      <c r="B517" s="8" t="s">
        <v>1224</v>
      </c>
      <c r="C517" s="8" t="str">
        <f aca="false">TRIM(SUBSTITUTE($B517,CHAR(160)," "))</f>
        <v>20 XXL חבק יד מתכוון עם צמדן</v>
      </c>
    </row>
    <row r="518" customFormat="false" ht="15" hidden="false" customHeight="false" outlineLevel="0" collapsed="false">
      <c r="A518" s="8" t="n">
        <v>4408275</v>
      </c>
      <c r="B518" s="8" t="s">
        <v>1329</v>
      </c>
      <c r="C518" s="8" t="str">
        <f aca="false">TRIM(SUBSTITUTE($B518,CHAR(160)," "))</f>
        <v>202 ONE SIZE חבק יד</v>
      </c>
    </row>
    <row r="519" customFormat="false" ht="15" hidden="false" customHeight="false" outlineLevel="0" collapsed="false">
      <c r="A519" s="8" t="n">
        <v>4408052</v>
      </c>
      <c r="B519" s="8" t="s">
        <v>1226</v>
      </c>
      <c r="C519" s="8" t="str">
        <f aca="false">TRIM(SUBSTITUTE($B519,CHAR(160)," "))</f>
        <v>21 L חבק יד ארוך</v>
      </c>
    </row>
    <row r="520" customFormat="false" ht="15" hidden="false" customHeight="false" outlineLevel="0" collapsed="false">
      <c r="A520" s="8" t="n">
        <v>4408053</v>
      </c>
      <c r="B520" s="8" t="s">
        <v>1227</v>
      </c>
      <c r="C520" s="8" t="str">
        <f aca="false">TRIM(SUBSTITUTE($B520,CHAR(160)," "))</f>
        <v>21 M חבק יד ארוך</v>
      </c>
    </row>
    <row r="521" customFormat="false" ht="15" hidden="false" customHeight="false" outlineLevel="0" collapsed="false">
      <c r="A521" s="8" t="n">
        <v>4408051</v>
      </c>
      <c r="B521" s="8" t="s">
        <v>1225</v>
      </c>
      <c r="C521" s="8" t="str">
        <f aca="false">TRIM(SUBSTITUTE($B521,CHAR(160)," "))</f>
        <v>21 S חבק יד ארוך</v>
      </c>
    </row>
    <row r="522" customFormat="false" ht="15" hidden="false" customHeight="false" outlineLevel="0" collapsed="false">
      <c r="A522" s="8" t="n">
        <v>4408054</v>
      </c>
      <c r="B522" s="8" t="s">
        <v>1228</v>
      </c>
      <c r="C522" s="8" t="str">
        <f aca="false">TRIM(SUBSTITUTE($B522,CHAR(160)," "))</f>
        <v>21 XL חבק יד ארוך</v>
      </c>
    </row>
    <row r="523" customFormat="false" ht="15" hidden="false" customHeight="false" outlineLevel="0" collapsed="false">
      <c r="A523" s="8" t="n">
        <v>4413399</v>
      </c>
      <c r="B523" s="8" t="s">
        <v>1541</v>
      </c>
      <c r="C523" s="8" t="str">
        <f aca="false">TRIM(SUBSTITUTE($B523,CHAR(160)," "))</f>
        <v>21 XS מגן יד</v>
      </c>
    </row>
    <row r="524" customFormat="false" ht="15" hidden="false" customHeight="false" outlineLevel="0" collapsed="false">
      <c r="A524" s="8" t="n">
        <v>4413400</v>
      </c>
      <c r="B524" s="8" t="s">
        <v>1929</v>
      </c>
      <c r="C524" s="8" t="str">
        <f aca="false">TRIM(SUBSTITUTE($B524,CHAR(160)," "))</f>
        <v>21 XXL מגן יד</v>
      </c>
    </row>
    <row r="525" customFormat="false" ht="15" hidden="false" customHeight="false" outlineLevel="0" collapsed="false">
      <c r="A525" s="8" t="n">
        <v>4411017</v>
      </c>
      <c r="B525" s="8" t="s">
        <v>1346</v>
      </c>
      <c r="C525" s="8" t="str">
        <f aca="false">TRIM(SUBSTITUTE($B525,CHAR(160)," "))</f>
        <v>211L כפפות לחץ</v>
      </c>
    </row>
    <row r="526" customFormat="false" ht="15" hidden="false" customHeight="false" outlineLevel="0" collapsed="false">
      <c r="A526" s="8" t="n">
        <v>4411018</v>
      </c>
      <c r="B526" s="8" t="s">
        <v>1347</v>
      </c>
      <c r="C526" s="8" t="str">
        <f aca="false">TRIM(SUBSTITUTE($B526,CHAR(160)," "))</f>
        <v>211M כפפות לחץ</v>
      </c>
    </row>
    <row r="527" customFormat="false" ht="15" hidden="false" customHeight="false" outlineLevel="0" collapsed="false">
      <c r="A527" s="8" t="n">
        <v>4411019</v>
      </c>
      <c r="B527" s="8" t="s">
        <v>1348</v>
      </c>
      <c r="C527" s="8" t="str">
        <f aca="false">TRIM(SUBSTITUTE($B527,CHAR(160)," "))</f>
        <v>211S כפפות לחץ</v>
      </c>
    </row>
    <row r="528" customFormat="false" ht="15" hidden="false" customHeight="false" outlineLevel="0" collapsed="false">
      <c r="A528" s="8" t="n">
        <v>4411020</v>
      </c>
      <c r="B528" s="8" t="s">
        <v>1349</v>
      </c>
      <c r="C528" s="8" t="str">
        <f aca="false">TRIM(SUBSTITUTE($B528,CHAR(160)," "))</f>
        <v>211XL כפפות לחץ</v>
      </c>
    </row>
    <row r="529" customFormat="false" ht="15" hidden="false" customHeight="false" outlineLevel="0" collapsed="false">
      <c r="A529" s="8" t="n">
        <v>4411021</v>
      </c>
      <c r="B529" s="8" t="s">
        <v>1350</v>
      </c>
      <c r="C529" s="8" t="str">
        <f aca="false">TRIM(SUBSTITUTE($B529,CHAR(160)," "))</f>
        <v>212L כפפות אגודל לחץ</v>
      </c>
    </row>
    <row r="530" customFormat="false" ht="15" hidden="false" customHeight="false" outlineLevel="0" collapsed="false">
      <c r="A530" s="8" t="n">
        <v>4411022</v>
      </c>
      <c r="B530" s="8" t="s">
        <v>1351</v>
      </c>
      <c r="C530" s="8" t="str">
        <f aca="false">TRIM(SUBSTITUTE($B530,CHAR(160)," "))</f>
        <v>212M כפפות אגודל לחץ</v>
      </c>
    </row>
    <row r="531" customFormat="false" ht="15" hidden="false" customHeight="false" outlineLevel="0" collapsed="false">
      <c r="A531" s="8" t="n">
        <v>4411023</v>
      </c>
      <c r="B531" s="8" t="s">
        <v>1352</v>
      </c>
      <c r="C531" s="8" t="str">
        <f aca="false">TRIM(SUBSTITUTE($B531,CHAR(160)," "))</f>
        <v>212S כפפות אגודל לחץ</v>
      </c>
    </row>
    <row r="532" customFormat="false" ht="15" hidden="false" customHeight="false" outlineLevel="0" collapsed="false">
      <c r="A532" s="8" t="n">
        <v>4411024</v>
      </c>
      <c r="B532" s="8" t="s">
        <v>1353</v>
      </c>
      <c r="C532" s="8" t="str">
        <f aca="false">TRIM(SUBSTITUTE($B532,CHAR(160)," "))</f>
        <v>212XL כפפות אגודל לחץ</v>
      </c>
    </row>
    <row r="533" customFormat="false" ht="15" hidden="false" customHeight="false" outlineLevel="0" collapsed="false">
      <c r="A533" s="8" t="n">
        <v>4411031</v>
      </c>
      <c r="B533" s="8" t="s">
        <v>1359</v>
      </c>
      <c r="C533" s="8" t="str">
        <f aca="false">TRIM(SUBSTITUTE($B533,CHAR(160)," "))</f>
        <v>213CTS S ימין CTS כפפות</v>
      </c>
    </row>
    <row r="534" customFormat="false" ht="15" hidden="false" customHeight="false" outlineLevel="0" collapsed="false">
      <c r="A534" s="8" t="n">
        <v>4411026</v>
      </c>
      <c r="B534" s="8" t="s">
        <v>1354</v>
      </c>
      <c r="C534" s="8" t="str">
        <f aca="false">TRIM(SUBSTITUTE($B534,CHAR(160)," "))</f>
        <v>213CTSL L שמאל CTS כפפות</v>
      </c>
    </row>
    <row r="535" customFormat="false" ht="15" hidden="false" customHeight="false" outlineLevel="0" collapsed="false">
      <c r="A535" s="8" t="n">
        <v>4411027</v>
      </c>
      <c r="B535" s="8" t="s">
        <v>1355</v>
      </c>
      <c r="C535" s="8" t="str">
        <f aca="false">TRIM(SUBSTITUTE($B535,CHAR(160)," "))</f>
        <v>213CTSL M שמאל CTS כפפות</v>
      </c>
    </row>
    <row r="536" customFormat="false" ht="15" hidden="false" customHeight="false" outlineLevel="0" collapsed="false">
      <c r="A536" s="8" t="n">
        <v>4411028</v>
      </c>
      <c r="B536" s="8" t="s">
        <v>1356</v>
      </c>
      <c r="C536" s="8" t="str">
        <f aca="false">TRIM(SUBSTITUTE($B536,CHAR(160)," "))</f>
        <v>213CTSL S שמאל CTS כפפות</v>
      </c>
    </row>
    <row r="537" customFormat="false" ht="15" hidden="false" customHeight="false" outlineLevel="0" collapsed="false">
      <c r="A537" s="8" t="n">
        <v>4411030</v>
      </c>
      <c r="B537" s="8" t="s">
        <v>1358</v>
      </c>
      <c r="C537" s="8" t="str">
        <f aca="false">TRIM(SUBSTITUTE($B537,CHAR(160)," "))</f>
        <v>213CTSR M ימין CTS כפפות</v>
      </c>
    </row>
    <row r="538" customFormat="false" ht="15" hidden="false" customHeight="false" outlineLevel="0" collapsed="false">
      <c r="A538" s="8" t="n">
        <v>4415162</v>
      </c>
      <c r="B538" s="8" t="s">
        <v>1644</v>
      </c>
      <c r="C538" s="8" t="str">
        <f aca="false">TRIM(SUBSTITUTE($B538,CHAR(160)," "))</f>
        <v>238L סד ליישור אצבע</v>
      </c>
    </row>
    <row r="539" customFormat="false" ht="15" hidden="false" customHeight="false" outlineLevel="0" collapsed="false">
      <c r="A539" s="8" t="n">
        <v>4415161</v>
      </c>
      <c r="B539" s="8" t="s">
        <v>1643</v>
      </c>
      <c r="C539" s="8" t="str">
        <f aca="false">TRIM(SUBSTITUTE($B539,CHAR(160)," "))</f>
        <v>238M סד ליישור אצבע</v>
      </c>
    </row>
    <row r="540" customFormat="false" ht="15" hidden="false" customHeight="false" outlineLevel="0" collapsed="false">
      <c r="A540" s="8" t="n">
        <v>4415160</v>
      </c>
      <c r="B540" s="8" t="s">
        <v>1642</v>
      </c>
      <c r="C540" s="8" t="str">
        <f aca="false">TRIM(SUBSTITUTE($B540,CHAR(160)," "))</f>
        <v>238S סד ליישור אצבע</v>
      </c>
    </row>
    <row r="541" customFormat="false" ht="15" hidden="false" customHeight="false" outlineLevel="0" collapsed="false">
      <c r="A541" s="8" t="n">
        <v>4415163</v>
      </c>
      <c r="B541" s="8" t="s">
        <v>1645</v>
      </c>
      <c r="C541" s="8" t="str">
        <f aca="false">TRIM(SUBSTITUTE($B541,CHAR(160)," "))</f>
        <v>238XL סד ליישור אצבע</v>
      </c>
    </row>
    <row r="542" customFormat="false" ht="15" hidden="false" customHeight="false" outlineLevel="0" collapsed="false">
      <c r="A542" s="8" t="n">
        <v>4408057</v>
      </c>
      <c r="B542" s="8" t="s">
        <v>1930</v>
      </c>
      <c r="C542" s="8" t="str">
        <f aca="false">TRIM(SUBSTITUTE($B542,CHAR(160)," "))</f>
        <v>24 M(תתחבקון ליד )ללא צמדן</v>
      </c>
    </row>
    <row r="543" customFormat="false" ht="15" hidden="false" customHeight="false" outlineLevel="0" collapsed="false">
      <c r="A543" s="8" t="n">
        <v>4408059</v>
      </c>
      <c r="B543" s="8" t="s">
        <v>1229</v>
      </c>
      <c r="C543" s="8" t="str">
        <f aca="false">TRIM(SUBSTITUTE($B543,CHAR(160)," "))</f>
        <v>25 L חבק יד אגודלי</v>
      </c>
    </row>
    <row r="544" customFormat="false" ht="15" hidden="false" customHeight="false" outlineLevel="0" collapsed="false">
      <c r="A544" s="8" t="n">
        <v>4408060</v>
      </c>
      <c r="B544" s="8" t="s">
        <v>1230</v>
      </c>
      <c r="C544" s="8" t="str">
        <f aca="false">TRIM(SUBSTITUTE($B544,CHAR(160)," "))</f>
        <v>25 M חבק יד אגודלי</v>
      </c>
    </row>
    <row r="545" customFormat="false" ht="15" hidden="false" customHeight="false" outlineLevel="0" collapsed="false">
      <c r="A545" s="8" t="n">
        <v>4408061</v>
      </c>
      <c r="B545" s="8" t="s">
        <v>1231</v>
      </c>
      <c r="C545" s="8" t="str">
        <f aca="false">TRIM(SUBSTITUTE($B545,CHAR(160)," "))</f>
        <v>25 S חבק יד אגודלי</v>
      </c>
    </row>
    <row r="546" customFormat="false" ht="15" hidden="false" customHeight="false" outlineLevel="0" collapsed="false">
      <c r="A546" s="8" t="n">
        <v>4408062</v>
      </c>
      <c r="B546" s="8" t="s">
        <v>1232</v>
      </c>
      <c r="C546" s="8" t="str">
        <f aca="false">TRIM(SUBSTITUTE($B546,CHAR(160)," "))</f>
        <v>25 XL חבק יד אגודלי</v>
      </c>
    </row>
    <row r="547" customFormat="false" ht="15" hidden="false" customHeight="false" outlineLevel="0" collapsed="false">
      <c r="A547" s="8" t="n">
        <v>4415000</v>
      </c>
      <c r="B547" s="8" t="s">
        <v>1607</v>
      </c>
      <c r="C547" s="8" t="str">
        <f aca="false">TRIM(SUBSTITUTE($B547,CHAR(160)," "))</f>
        <v>26 L סד ליד דו צדדי לאחר שבר</v>
      </c>
    </row>
    <row r="548" customFormat="false" ht="15" hidden="false" customHeight="false" outlineLevel="0" collapsed="false">
      <c r="A548" s="8" t="n">
        <v>4415001</v>
      </c>
      <c r="B548" s="8" t="s">
        <v>1608</v>
      </c>
      <c r="C548" s="8" t="str">
        <f aca="false">TRIM(SUBSTITUTE($B548,CHAR(160)," "))</f>
        <v>26 M סד ליד דו צדדי לאחר שבר</v>
      </c>
    </row>
    <row r="549" customFormat="false" ht="15" hidden="false" customHeight="false" outlineLevel="0" collapsed="false">
      <c r="A549" s="8" t="n">
        <v>4415002</v>
      </c>
      <c r="B549" s="8" t="s">
        <v>1609</v>
      </c>
      <c r="C549" s="8" t="str">
        <f aca="false">TRIM(SUBSTITUTE($B549,CHAR(160)," "))</f>
        <v>26 S סד ליד דו צדדי לאחר שבר</v>
      </c>
    </row>
    <row r="550" customFormat="false" ht="15" hidden="false" customHeight="false" outlineLevel="0" collapsed="false">
      <c r="A550" s="8" t="n">
        <v>4415003</v>
      </c>
      <c r="B550" s="8" t="s">
        <v>1610</v>
      </c>
      <c r="C550" s="8" t="str">
        <f aca="false">TRIM(SUBSTITUTE($B550,CHAR(160)," "))</f>
        <v>26 XL סד ליד דו צדדי לאחר שבר</v>
      </c>
    </row>
    <row r="551" customFormat="false" ht="15" hidden="false" customHeight="false" outlineLevel="0" collapsed="false">
      <c r="A551" s="8" t="n">
        <v>4415142</v>
      </c>
      <c r="B551" s="8" t="s">
        <v>1780</v>
      </c>
      <c r="C551" s="8" t="str">
        <f aca="false">TRIM(SUBSTITUTE($B551,CHAR(160)," "))</f>
        <v>26 XS סד ליד דו צדדי לאחר שבר</v>
      </c>
    </row>
    <row r="552" customFormat="false" ht="15" hidden="false" customHeight="false" outlineLevel="0" collapsed="false">
      <c r="A552" s="8" t="n">
        <v>4415004</v>
      </c>
      <c r="B552" s="8" t="s">
        <v>1611</v>
      </c>
      <c r="C552" s="8" t="str">
        <f aca="false">TRIM(SUBSTITUTE($B552,CHAR(160)," "))</f>
        <v>26 XXL סד ליד דו צדדי לאחר שבר</v>
      </c>
    </row>
    <row r="553" customFormat="false" ht="15" hidden="false" customHeight="false" outlineLevel="0" collapsed="false">
      <c r="A553" s="8" t="n">
        <v>4415158</v>
      </c>
      <c r="B553" s="8" t="s">
        <v>1640</v>
      </c>
      <c r="C553" s="8" t="str">
        <f aca="false">TRIM(SUBSTITUTE($B553,CHAR(160)," "))</f>
        <v>266 סד ליד דו צדדי</v>
      </c>
    </row>
    <row r="554" customFormat="false" ht="15" hidden="false" customHeight="false" outlineLevel="0" collapsed="false">
      <c r="A554" s="8" t="n">
        <v>4415170</v>
      </c>
      <c r="B554" s="8" t="s">
        <v>1650</v>
      </c>
      <c r="C554" s="8" t="str">
        <f aca="false">TRIM(SUBSTITUTE($B554,CHAR(160)," "))</f>
        <v>267LB L-XLסד יד שמאל שחור</v>
      </c>
    </row>
    <row r="555" customFormat="false" ht="15" hidden="false" customHeight="false" outlineLevel="0" collapsed="false">
      <c r="A555" s="8" t="n">
        <v>4415171</v>
      </c>
      <c r="B555" s="8" t="s">
        <v>1651</v>
      </c>
      <c r="C555" s="8" t="str">
        <f aca="false">TRIM(SUBSTITUTE($B555,CHAR(160)," "))</f>
        <v>267LB S-M סד יד שמאל שחור</v>
      </c>
    </row>
    <row r="556" customFormat="false" ht="15" hidden="false" customHeight="false" outlineLevel="0" collapsed="false">
      <c r="A556" s="8" t="n">
        <v>4415165</v>
      </c>
      <c r="B556" s="8" t="s">
        <v>1647</v>
      </c>
      <c r="C556" s="8" t="str">
        <f aca="false">TRIM(SUBSTITUTE($B556,CHAR(160)," "))</f>
        <v>267LC S-M'סד יד שמאל בז</v>
      </c>
    </row>
    <row r="557" customFormat="false" ht="15" hidden="false" customHeight="false" outlineLevel="0" collapsed="false">
      <c r="A557" s="8" t="n">
        <v>4415164</v>
      </c>
      <c r="B557" s="8" t="s">
        <v>1646</v>
      </c>
      <c r="C557" s="8" t="str">
        <f aca="false">TRIM(SUBSTITUTE($B557,CHAR(160)," "))</f>
        <v>267LC L-XL 'סד יד שמאל בז</v>
      </c>
    </row>
    <row r="558" customFormat="false" ht="15" hidden="false" customHeight="false" outlineLevel="0" collapsed="false">
      <c r="A558" s="8" t="n">
        <v>4415166</v>
      </c>
      <c r="B558" s="8" t="s">
        <v>1931</v>
      </c>
      <c r="C558" s="8" t="str">
        <f aca="false">TRIM(SUBSTITUTE($B558,CHAR(160)," "))</f>
        <v>267LC XXL'סד יד שמאל בז</v>
      </c>
    </row>
    <row r="559" customFormat="false" ht="15" hidden="false" customHeight="false" outlineLevel="0" collapsed="false">
      <c r="A559" s="8" t="n">
        <v>4415173</v>
      </c>
      <c r="B559" s="8" t="s">
        <v>1652</v>
      </c>
      <c r="C559" s="8" t="str">
        <f aca="false">TRIM(SUBSTITUTE($B559,CHAR(160)," "))</f>
        <v>267RB L-XLסד יד ימין שחור</v>
      </c>
    </row>
    <row r="560" customFormat="false" ht="15" hidden="false" customHeight="false" outlineLevel="0" collapsed="false">
      <c r="A560" s="8" t="n">
        <v>4415174</v>
      </c>
      <c r="B560" s="8" t="s">
        <v>1653</v>
      </c>
      <c r="C560" s="8" t="str">
        <f aca="false">TRIM(SUBSTITUTE($B560,CHAR(160)," "))</f>
        <v>267RB S-M סד יד ימין שחור</v>
      </c>
    </row>
    <row r="561" customFormat="false" ht="15" hidden="false" customHeight="false" outlineLevel="0" collapsed="false">
      <c r="A561" s="8" t="n">
        <v>4415167</v>
      </c>
      <c r="B561" s="8" t="s">
        <v>1648</v>
      </c>
      <c r="C561" s="8" t="str">
        <f aca="false">TRIM(SUBSTITUTE($B561,CHAR(160)," "))</f>
        <v>267RC L-XL 'סד יד ימין בז</v>
      </c>
    </row>
    <row r="562" customFormat="false" ht="15" hidden="false" customHeight="false" outlineLevel="0" collapsed="false">
      <c r="A562" s="8" t="n">
        <v>4415168</v>
      </c>
      <c r="B562" s="8" t="s">
        <v>1649</v>
      </c>
      <c r="C562" s="8" t="str">
        <f aca="false">TRIM(SUBSTITUTE($B562,CHAR(160)," "))</f>
        <v>267RC S-M 'סד יד ימין בז</v>
      </c>
    </row>
    <row r="563" customFormat="false" ht="15" hidden="false" customHeight="false" outlineLevel="0" collapsed="false">
      <c r="A563" s="8" t="n">
        <v>4415169</v>
      </c>
      <c r="B563" s="8" t="s">
        <v>1932</v>
      </c>
      <c r="C563" s="8" t="str">
        <f aca="false">TRIM(SUBSTITUTE($B563,CHAR(160)," "))</f>
        <v>267RC XXL 'סד יד ימין בז</v>
      </c>
    </row>
    <row r="564" customFormat="false" ht="15" hidden="false" customHeight="false" outlineLevel="0" collapsed="false">
      <c r="A564" s="8" t="n">
        <v>4415159</v>
      </c>
      <c r="B564" s="8" t="s">
        <v>1641</v>
      </c>
      <c r="C564" s="8" t="str">
        <f aca="false">TRIM(SUBSTITUTE($B564,CHAR(160)," "))</f>
        <v>268 סד לאגודל</v>
      </c>
    </row>
    <row r="565" customFormat="false" ht="15" hidden="false" customHeight="false" outlineLevel="0" collapsed="false">
      <c r="A565" s="8" t="n">
        <v>4415093</v>
      </c>
      <c r="B565" s="8" t="s">
        <v>1807</v>
      </c>
      <c r="C565" s="8" t="str">
        <f aca="false">TRIM(SUBSTITUTE($B565,CHAR(160)," "))</f>
        <v>27 R-M סד ליד ימין</v>
      </c>
    </row>
    <row r="566" customFormat="false" ht="15" hidden="false" customHeight="false" outlineLevel="0" collapsed="false">
      <c r="A566" s="8" t="n">
        <v>4415124</v>
      </c>
      <c r="B566" s="8" t="s">
        <v>1933</v>
      </c>
      <c r="C566" s="8" t="str">
        <f aca="false">TRIM(SUBSTITUTE($B566,CHAR(160)," "))</f>
        <v>278 L-XL סד יד ואגודל</v>
      </c>
    </row>
    <row r="567" customFormat="false" ht="15" hidden="false" customHeight="false" outlineLevel="0" collapsed="false">
      <c r="A567" s="8" t="n">
        <v>4415125</v>
      </c>
      <c r="B567" s="8" t="s">
        <v>1934</v>
      </c>
      <c r="C567" s="8" t="str">
        <f aca="false">TRIM(SUBSTITUTE($B567,CHAR(160)," "))</f>
        <v>278 S-M סד יד ואגודל</v>
      </c>
    </row>
    <row r="568" customFormat="false" ht="15" hidden="false" customHeight="false" outlineLevel="0" collapsed="false">
      <c r="A568" s="8" t="n">
        <v>4415090</v>
      </c>
      <c r="B568" s="8" t="s">
        <v>1636</v>
      </c>
      <c r="C568" s="8" t="str">
        <f aca="false">TRIM(SUBSTITUTE($B568,CHAR(160)," "))</f>
        <v>27L L סד ליד שמאל</v>
      </c>
    </row>
    <row r="569" customFormat="false" ht="15" hidden="false" customHeight="false" outlineLevel="0" collapsed="false">
      <c r="A569" s="8" t="n">
        <v>4415089</v>
      </c>
      <c r="B569" s="8" t="s">
        <v>1635</v>
      </c>
      <c r="C569" s="8" t="str">
        <f aca="false">TRIM(SUBSTITUTE($B569,CHAR(160)," "))</f>
        <v>27L M סד ליד שמאל</v>
      </c>
    </row>
    <row r="570" customFormat="false" ht="15" hidden="false" customHeight="false" outlineLevel="0" collapsed="false">
      <c r="A570" s="8" t="n">
        <v>4415096</v>
      </c>
      <c r="B570" s="8" t="s">
        <v>1935</v>
      </c>
      <c r="C570" s="8" t="str">
        <f aca="false">TRIM(SUBSTITUTE($B570,CHAR(160)," "))</f>
        <v>27L S סד ליד שמאל</v>
      </c>
    </row>
    <row r="571" customFormat="false" ht="15" hidden="false" customHeight="false" outlineLevel="0" collapsed="false">
      <c r="A571" s="8" t="n">
        <v>4415091</v>
      </c>
      <c r="B571" s="8" t="s">
        <v>1637</v>
      </c>
      <c r="C571" s="8" t="str">
        <f aca="false">TRIM(SUBSTITUTE($B571,CHAR(160)," "))</f>
        <v>27L XLסד ליד שמאל</v>
      </c>
    </row>
    <row r="572" customFormat="false" ht="15" hidden="false" customHeight="false" outlineLevel="0" collapsed="false">
      <c r="A572" s="8" t="n">
        <v>4415094</v>
      </c>
      <c r="B572" s="8" t="s">
        <v>1936</v>
      </c>
      <c r="C572" s="8" t="str">
        <f aca="false">TRIM(SUBSTITUTE($B572,CHAR(160)," "))</f>
        <v>27R L סד ליד ימין</v>
      </c>
    </row>
    <row r="573" customFormat="false" ht="15" hidden="false" customHeight="false" outlineLevel="0" collapsed="false">
      <c r="A573" s="8" t="n">
        <v>4415095</v>
      </c>
      <c r="B573" s="8" t="s">
        <v>1808</v>
      </c>
      <c r="C573" s="8" t="str">
        <f aca="false">TRIM(SUBSTITUTE($B573,CHAR(160)," "))</f>
        <v>27R XLסד ליד ימין</v>
      </c>
    </row>
    <row r="574" customFormat="false" ht="15" hidden="false" customHeight="false" outlineLevel="0" collapsed="false">
      <c r="A574" s="8" t="n">
        <v>4415025</v>
      </c>
      <c r="B574" s="8" t="s">
        <v>1619</v>
      </c>
      <c r="C574" s="8" t="str">
        <f aca="false">TRIM(SUBSTITUTE($B574,CHAR(160)," "))</f>
        <v>28-XS סד לאגודל לאחר שבר</v>
      </c>
    </row>
    <row r="575" customFormat="false" ht="15" hidden="false" customHeight="false" outlineLevel="0" collapsed="false">
      <c r="A575" s="8" t="n">
        <v>4415005</v>
      </c>
      <c r="B575" s="8" t="s">
        <v>1612</v>
      </c>
      <c r="C575" s="8" t="str">
        <f aca="false">TRIM(SUBSTITUTE($B575,CHAR(160)," "))</f>
        <v>28 L סד לאגודל לאחר שבר</v>
      </c>
    </row>
    <row r="576" customFormat="false" ht="15" hidden="false" customHeight="false" outlineLevel="0" collapsed="false">
      <c r="A576" s="8" t="n">
        <v>4415006</v>
      </c>
      <c r="B576" s="8" t="s">
        <v>1613</v>
      </c>
      <c r="C576" s="8" t="str">
        <f aca="false">TRIM(SUBSTITUTE($B576,CHAR(160)," "))</f>
        <v>28 M סד לאגודל לאחר שבר</v>
      </c>
    </row>
    <row r="577" customFormat="false" ht="15" hidden="false" customHeight="false" outlineLevel="0" collapsed="false">
      <c r="A577" s="8" t="n">
        <v>4415007</v>
      </c>
      <c r="B577" s="8" t="s">
        <v>1614</v>
      </c>
      <c r="C577" s="8" t="str">
        <f aca="false">TRIM(SUBSTITUTE($B577,CHAR(160)," "))</f>
        <v>28 S סד לאגודל לאחר שבר</v>
      </c>
    </row>
    <row r="578" customFormat="false" ht="15" hidden="false" customHeight="false" outlineLevel="0" collapsed="false">
      <c r="A578" s="8" t="n">
        <v>4415008</v>
      </c>
      <c r="B578" s="8" t="s">
        <v>1615</v>
      </c>
      <c r="C578" s="8" t="str">
        <f aca="false">TRIM(SUBSTITUTE($B578,CHAR(160)," "))</f>
        <v>28 XL סד לאגודל לאחר שבר</v>
      </c>
    </row>
    <row r="579" customFormat="false" ht="15" hidden="false" customHeight="false" outlineLevel="0" collapsed="false">
      <c r="A579" s="8" t="n">
        <v>4415009</v>
      </c>
      <c r="B579" s="8" t="s">
        <v>1937</v>
      </c>
      <c r="C579" s="8" t="str">
        <f aca="false">TRIM(SUBSTITUTE($B579,CHAR(160)," "))</f>
        <v>28 XXL סד לאגודל לאחר שבר</v>
      </c>
    </row>
    <row r="580" customFormat="false" ht="15" hidden="false" customHeight="false" outlineLevel="0" collapsed="false">
      <c r="A580" s="8" t="n">
        <v>4415021</v>
      </c>
      <c r="B580" s="8" t="s">
        <v>1938</v>
      </c>
      <c r="C580" s="8" t="str">
        <f aca="false">TRIM(SUBSTITUTE($B580,CHAR(160)," "))</f>
        <v>28A S-M סד לאגודל</v>
      </c>
    </row>
    <row r="581" customFormat="false" ht="15" hidden="false" customHeight="false" outlineLevel="0" collapsed="false">
      <c r="A581" s="8" t="n">
        <v>4415028</v>
      </c>
      <c r="B581" s="8" t="s">
        <v>1622</v>
      </c>
      <c r="C581" s="8" t="str">
        <f aca="false">TRIM(SUBSTITUTE($B581,CHAR(160)," "))</f>
        <v>AC-28 סד לאגודל</v>
      </c>
    </row>
    <row r="582" customFormat="false" ht="15" hidden="false" customHeight="false" outlineLevel="0" collapsed="false">
      <c r="A582" s="8" t="n">
        <v>4408268</v>
      </c>
      <c r="B582" s="8" t="s">
        <v>1744</v>
      </c>
      <c r="C582" s="8" t="str">
        <f aca="false">TRIM(SUBSTITUTE($B582,CHAR(160)," "))</f>
        <v>ST20 חבק יד</v>
      </c>
    </row>
    <row r="583" customFormat="false" ht="15" hidden="false" customHeight="false" outlineLevel="0" collapsed="false">
      <c r="A583" s="8" t="n">
        <v>4408267</v>
      </c>
      <c r="B583" s="8" t="s">
        <v>1743</v>
      </c>
      <c r="C583" s="8" t="str">
        <f aca="false">TRIM(SUBSTITUTE($B583,CHAR(160)," "))</f>
        <v>ST25 חבק שורש לכף היד</v>
      </c>
    </row>
    <row r="584" customFormat="false" ht="15" hidden="false" customHeight="false" outlineLevel="0" collapsed="false">
      <c r="A584" s="8" t="n">
        <v>4415177</v>
      </c>
      <c r="B584" s="8" t="s">
        <v>1751</v>
      </c>
      <c r="C584" s="8" t="str">
        <f aca="false">TRIM(SUBSTITUTE($B584,CHAR(160)," "))</f>
        <v>ST28 סד אגודלי עם מוט תמיכה</v>
      </c>
    </row>
    <row r="585" customFormat="false" ht="15" hidden="false" customHeight="false" outlineLevel="0" collapsed="false">
      <c r="A585" s="8" t="n">
        <v>4408095</v>
      </c>
      <c r="B585" s="8" t="s">
        <v>1255</v>
      </c>
      <c r="C585" s="8" t="str">
        <f aca="false">TRIM(SUBSTITUTE($B585,CHAR(160)," "))</f>
        <v>T20 L-XL חבק יד עם צמדן</v>
      </c>
    </row>
    <row r="586" customFormat="false" ht="15" hidden="false" customHeight="false" outlineLevel="0" collapsed="false">
      <c r="A586" s="8" t="n">
        <v>4408094</v>
      </c>
      <c r="B586" s="8" t="s">
        <v>1254</v>
      </c>
      <c r="C586" s="8" t="str">
        <f aca="false">TRIM(SUBSTITUTE($B586,CHAR(160)," "))</f>
        <v>T20 S-M חבק יד עם צמדן</v>
      </c>
    </row>
    <row r="587" customFormat="false" ht="15" hidden="false" customHeight="false" outlineLevel="0" collapsed="false">
      <c r="A587" s="8" t="n">
        <v>4408097</v>
      </c>
      <c r="B587" s="8" t="s">
        <v>1257</v>
      </c>
      <c r="C587" s="8" t="str">
        <f aca="false">TRIM(SUBSTITUTE($B587,CHAR(160)," "))</f>
        <v>T20C L-XL חבק יד עם צמדן חום</v>
      </c>
    </row>
    <row r="588" customFormat="false" ht="15" hidden="false" customHeight="false" outlineLevel="0" collapsed="false">
      <c r="A588" s="8" t="n">
        <v>4408096</v>
      </c>
      <c r="B588" s="8" t="s">
        <v>1256</v>
      </c>
      <c r="C588" s="8" t="str">
        <f aca="false">TRIM(SUBSTITUTE($B588,CHAR(160)," "))</f>
        <v>T20C S-M חבק יד עם צמדןחום</v>
      </c>
    </row>
    <row r="589" customFormat="false" ht="15" hidden="false" customHeight="false" outlineLevel="0" collapsed="false">
      <c r="A589" s="8" t="n">
        <v>4408098</v>
      </c>
      <c r="B589" s="8" t="s">
        <v>1258</v>
      </c>
      <c r="C589" s="8" t="str">
        <f aca="false">TRIM(SUBSTITUTE($B589,CHAR(160)," "))</f>
        <v>T25-חבק יד אגודלי</v>
      </c>
    </row>
    <row r="590" customFormat="false" ht="15" hidden="false" customHeight="false" outlineLevel="0" collapsed="false">
      <c r="A590" s="8" t="n">
        <v>4408264</v>
      </c>
      <c r="B590" s="8" t="s">
        <v>1323</v>
      </c>
      <c r="C590" s="8" t="str">
        <f aca="false">TRIM(SUBSTITUTE($B590,CHAR(160)," "))</f>
        <v>T25B חבק יד אגודלי</v>
      </c>
    </row>
    <row r="591" customFormat="false" ht="15" hidden="false" customHeight="false" outlineLevel="0" collapsed="false">
      <c r="A591" s="8" t="n">
        <v>4408099</v>
      </c>
      <c r="B591" s="8" t="s">
        <v>1259</v>
      </c>
      <c r="C591" s="8" t="str">
        <f aca="false">TRIM(SUBSTITUTE($B591,CHAR(160)," "))</f>
        <v>T25C-חבק יד אגודלי</v>
      </c>
    </row>
    <row r="592" customFormat="false" ht="15" hidden="false" customHeight="false" outlineLevel="0" collapsed="false">
      <c r="A592" s="8" t="n">
        <v>4415111</v>
      </c>
      <c r="B592" s="8" t="s">
        <v>1939</v>
      </c>
      <c r="C592" s="8" t="str">
        <f aca="false">TRIM(SUBSTITUTE($B592,CHAR(160)," "))</f>
        <v>T26 L סד לאגודל דו צדדי</v>
      </c>
    </row>
    <row r="593" customFormat="false" ht="15" hidden="false" customHeight="false" outlineLevel="0" collapsed="false">
      <c r="A593" s="8" t="n">
        <v>4415110</v>
      </c>
      <c r="B593" s="8" t="s">
        <v>1940</v>
      </c>
      <c r="C593" s="8" t="str">
        <f aca="false">TRIM(SUBSTITUTE($B593,CHAR(160)," "))</f>
        <v>T26 M סד לאגודל דו צדדי</v>
      </c>
    </row>
    <row r="594" customFormat="false" ht="15" hidden="false" customHeight="false" outlineLevel="0" collapsed="false">
      <c r="A594" s="8" t="n">
        <v>4415109</v>
      </c>
      <c r="B594" s="8" t="s">
        <v>1941</v>
      </c>
      <c r="C594" s="8" t="str">
        <f aca="false">TRIM(SUBSTITUTE($B594,CHAR(160)," "))</f>
        <v>T26 S סד לאגודל דו צדדי</v>
      </c>
    </row>
    <row r="595" customFormat="false" ht="15" hidden="false" customHeight="false" outlineLevel="0" collapsed="false">
      <c r="A595" s="8" t="n">
        <v>4415112</v>
      </c>
      <c r="B595" s="8" t="s">
        <v>1942</v>
      </c>
      <c r="C595" s="8" t="str">
        <f aca="false">TRIM(SUBSTITUTE($B595,CHAR(160)," "))</f>
        <v>T26 XLסד לאגודל דו צדדי</v>
      </c>
    </row>
    <row r="596" customFormat="false" ht="15" hidden="false" customHeight="false" outlineLevel="0" collapsed="false">
      <c r="A596" s="8" t="n">
        <v>4415130</v>
      </c>
      <c r="B596" s="8" t="s">
        <v>1943</v>
      </c>
      <c r="C596" s="8" t="str">
        <f aca="false">TRIM(SUBSTITUTE($B596,CHAR(160)," "))</f>
        <v>T27L L סד ליד שמאל</v>
      </c>
    </row>
    <row r="597" customFormat="false" ht="15" hidden="false" customHeight="false" outlineLevel="0" collapsed="false">
      <c r="A597" s="8" t="n">
        <v>4415131</v>
      </c>
      <c r="B597" s="8" t="s">
        <v>1639</v>
      </c>
      <c r="C597" s="8" t="str">
        <f aca="false">TRIM(SUBSTITUTE($B597,CHAR(160)," "))</f>
        <v>T27L M סד ליד שמאל</v>
      </c>
    </row>
    <row r="598" customFormat="false" ht="15" hidden="false" customHeight="false" outlineLevel="0" collapsed="false">
      <c r="A598" s="8" t="n">
        <v>4415132</v>
      </c>
      <c r="B598" s="8" t="s">
        <v>1944</v>
      </c>
      <c r="C598" s="8" t="str">
        <f aca="false">TRIM(SUBSTITUTE($B598,CHAR(160)," "))</f>
        <v>T27L S סד ליד שמאל</v>
      </c>
    </row>
    <row r="599" customFormat="false" ht="15" hidden="false" customHeight="false" outlineLevel="0" collapsed="false">
      <c r="A599" s="8" t="n">
        <v>4415133</v>
      </c>
      <c r="B599" s="8" t="s">
        <v>1945</v>
      </c>
      <c r="C599" s="8" t="str">
        <f aca="false">TRIM(SUBSTITUTE($B599,CHAR(160)," "))</f>
        <v>T27L XL סד ליד שמאל</v>
      </c>
    </row>
    <row r="600" customFormat="false" ht="15" hidden="false" customHeight="false" outlineLevel="0" collapsed="false">
      <c r="A600" s="8" t="n">
        <v>4415137</v>
      </c>
      <c r="B600" s="8" t="s">
        <v>1946</v>
      </c>
      <c r="C600" s="8" t="str">
        <f aca="false">TRIM(SUBSTITUTE($B600,CHAR(160)," "))</f>
        <v>T27R Mסד ליד ימין</v>
      </c>
    </row>
    <row r="601" customFormat="false" ht="15" hidden="false" customHeight="false" outlineLevel="0" collapsed="false">
      <c r="A601" s="8" t="n">
        <v>4415138</v>
      </c>
      <c r="B601" s="8" t="s">
        <v>1947</v>
      </c>
      <c r="C601" s="8" t="str">
        <f aca="false">TRIM(SUBSTITUTE($B601,CHAR(160)," "))</f>
        <v>T27R Sסד ליד ימין</v>
      </c>
    </row>
    <row r="602" customFormat="false" ht="15" hidden="false" customHeight="false" outlineLevel="0" collapsed="false">
      <c r="A602" s="8" t="n">
        <v>4415139</v>
      </c>
      <c r="B602" s="8" t="s">
        <v>1948</v>
      </c>
      <c r="C602" s="8" t="str">
        <f aca="false">TRIM(SUBSTITUTE($B602,CHAR(160)," "))</f>
        <v>T27R XLסד ליד ימין</v>
      </c>
    </row>
    <row r="603" customFormat="false" ht="15" hidden="false" customHeight="false" outlineLevel="0" collapsed="false">
      <c r="A603" s="8" t="n">
        <v>4415065</v>
      </c>
      <c r="B603" s="8" t="s">
        <v>1949</v>
      </c>
      <c r="C603" s="8" t="str">
        <f aca="false">TRIM(SUBSTITUTE($B603,CHAR(160)," "))</f>
        <v>T28 L סד לאגודל כפפה</v>
      </c>
    </row>
    <row r="604" customFormat="false" ht="15" hidden="false" customHeight="false" outlineLevel="0" collapsed="false">
      <c r="A604" s="8" t="n">
        <v>4415066</v>
      </c>
      <c r="B604" s="8" t="s">
        <v>1950</v>
      </c>
      <c r="C604" s="8" t="str">
        <f aca="false">TRIM(SUBSTITUTE($B604,CHAR(160)," "))</f>
        <v>T28 M סד לאגודל כפפה</v>
      </c>
    </row>
    <row r="605" customFormat="false" ht="15" hidden="false" customHeight="false" outlineLevel="0" collapsed="false">
      <c r="A605" s="8" t="n">
        <v>4415064</v>
      </c>
      <c r="B605" s="8" t="s">
        <v>1806</v>
      </c>
      <c r="C605" s="8" t="str">
        <f aca="false">TRIM(SUBSTITUTE($B605,CHAR(160)," "))</f>
        <v>T28 S סד לאגודל כפפה</v>
      </c>
    </row>
    <row r="606" customFormat="false" ht="15" hidden="false" customHeight="false" outlineLevel="0" collapsed="false">
      <c r="A606" s="8" t="n">
        <v>4415067</v>
      </c>
      <c r="B606" s="8" t="s">
        <v>1624</v>
      </c>
      <c r="C606" s="8" t="str">
        <f aca="false">TRIM(SUBSTITUTE($B606,CHAR(160)," "))</f>
        <v>T28 XL סד לאגודל כפפה</v>
      </c>
    </row>
    <row r="607" customFormat="false" ht="15" hidden="false" customHeight="false" outlineLevel="0" collapsed="false">
      <c r="A607" s="8" t="n">
        <v>4415118</v>
      </c>
      <c r="B607" s="8" t="s">
        <v>1951</v>
      </c>
      <c r="C607" s="8" t="str">
        <f aca="false">TRIM(SUBSTITUTE($B607,CHAR(160)," "))</f>
        <v>T28 XXLסד לאגודל צד ימין</v>
      </c>
    </row>
    <row r="608" customFormat="false" ht="15" hidden="false" customHeight="false" outlineLevel="0" collapsed="false">
      <c r="A608" s="8" t="n">
        <v>4415073</v>
      </c>
      <c r="B608" s="8" t="s">
        <v>1629</v>
      </c>
      <c r="C608" s="8" t="str">
        <f aca="false">TRIM(SUBSTITUTE($B608,CHAR(160)," "))</f>
        <v>T28A L-XL סד לאגודל</v>
      </c>
    </row>
    <row r="609" customFormat="false" ht="15" hidden="false" customHeight="false" outlineLevel="0" collapsed="false">
      <c r="A609" s="8" t="n">
        <v>4415072</v>
      </c>
      <c r="B609" s="8" t="s">
        <v>1628</v>
      </c>
      <c r="C609" s="8" t="str">
        <f aca="false">TRIM(SUBSTITUTE($B609,CHAR(160)," "))</f>
        <v>T28A S-M סד לאגודל</v>
      </c>
    </row>
    <row r="610" customFormat="false" ht="15" hidden="false" customHeight="false" outlineLevel="0" collapsed="false">
      <c r="A610" s="8" t="n">
        <v>4415176</v>
      </c>
      <c r="B610" s="8" t="s">
        <v>1952</v>
      </c>
      <c r="C610" s="8" t="str">
        <f aca="false">TRIM(SUBSTITUTE($B610,CHAR(160)," "))</f>
        <v>T28A XS סד לאגודל</v>
      </c>
    </row>
    <row r="611" customFormat="false" ht="15" hidden="false" customHeight="false" outlineLevel="0" collapsed="false">
      <c r="A611" s="8" t="n">
        <v>4415075</v>
      </c>
      <c r="B611" s="8" t="s">
        <v>1631</v>
      </c>
      <c r="C611" s="8" t="str">
        <f aca="false">TRIM(SUBSTITUTE($B611,CHAR(160)," "))</f>
        <v>T28AC L-XL סד לאגודל</v>
      </c>
    </row>
    <row r="612" customFormat="false" ht="15" hidden="false" customHeight="false" outlineLevel="0" collapsed="false">
      <c r="A612" s="8" t="n">
        <v>4415074</v>
      </c>
      <c r="B612" s="8" t="s">
        <v>1630</v>
      </c>
      <c r="C612" s="8" t="str">
        <f aca="false">TRIM(SUBSTITUTE($B612,CHAR(160)," "))</f>
        <v>T28AC S-M סד לאגודל</v>
      </c>
    </row>
    <row r="613" customFormat="false" ht="15" hidden="false" customHeight="false" outlineLevel="0" collapsed="false">
      <c r="A613" s="8" t="n">
        <v>4415071</v>
      </c>
      <c r="B613" s="8" t="s">
        <v>1627</v>
      </c>
      <c r="C613" s="8" t="str">
        <f aca="false">TRIM(SUBSTITUTE($B613,CHAR(160)," "))</f>
        <v>T28C XL סד לאגודל כפפה</v>
      </c>
    </row>
    <row r="614" customFormat="false" ht="15" hidden="false" customHeight="false" outlineLevel="0" collapsed="false">
      <c r="A614" s="8" t="n">
        <v>4415069</v>
      </c>
      <c r="B614" s="8" t="s">
        <v>1625</v>
      </c>
      <c r="C614" s="8" t="str">
        <f aca="false">TRIM(SUBSTITUTE($B614,CHAR(160)," "))</f>
        <v>T28C L סד לאגודל כפפה</v>
      </c>
    </row>
    <row r="615" customFormat="false" ht="15" hidden="false" customHeight="false" outlineLevel="0" collapsed="false">
      <c r="A615" s="8" t="n">
        <v>4415070</v>
      </c>
      <c r="B615" s="8" t="s">
        <v>1626</v>
      </c>
      <c r="C615" s="8" t="str">
        <f aca="false">TRIM(SUBSTITUTE($B615,CHAR(160)," "))</f>
        <v>T28C M סד לאגודל כפפה</v>
      </c>
    </row>
    <row r="616" customFormat="false" ht="15" hidden="false" customHeight="false" outlineLevel="0" collapsed="false">
      <c r="A616" s="8" t="n">
        <v>4415068</v>
      </c>
      <c r="B616" s="8" t="s">
        <v>1953</v>
      </c>
      <c r="C616" s="8" t="str">
        <f aca="false">TRIM(SUBSTITUTE($B616,CHAR(160)," "))</f>
        <v>T28C S סד לאגודל כפפה</v>
      </c>
    </row>
    <row r="617" customFormat="false" ht="15" hidden="false" customHeight="false" outlineLevel="0" collapsed="false">
      <c r="A617" s="8" t="n">
        <v>4415029</v>
      </c>
      <c r="B617" s="8" t="s">
        <v>1623</v>
      </c>
      <c r="C617" s="8" t="str">
        <f aca="false">TRIM(SUBSTITUTE($B617,CHAR(160)," "))</f>
        <v>סד קיבוע לאצבע הדק</v>
      </c>
    </row>
    <row r="618" customFormat="false" ht="15" hidden="false" customHeight="false" outlineLevel="0" collapsed="false">
      <c r="A618" s="8" t="n">
        <v>4418014</v>
      </c>
      <c r="B618" s="8" t="s">
        <v>1954</v>
      </c>
      <c r="C618" s="8" t="str">
        <f aca="false">TRIM(SUBSTITUTE($B618,CHAR(160)," "))</f>
        <v>1314- 62 L צוארון ספוגי</v>
      </c>
    </row>
    <row r="619" customFormat="false" ht="15" hidden="false" customHeight="false" outlineLevel="0" collapsed="false">
      <c r="A619" s="8" t="n">
        <v>4418000</v>
      </c>
      <c r="B619" s="8" t="s">
        <v>1665</v>
      </c>
      <c r="C619" s="8" t="str">
        <f aca="false">TRIM(SUBSTITUTE($B619,CHAR(160)," "))</f>
        <v>60 L צוארון ספוגי</v>
      </c>
    </row>
    <row r="620" customFormat="false" ht="15" hidden="false" customHeight="false" outlineLevel="0" collapsed="false">
      <c r="A620" s="8" t="n">
        <v>4418001</v>
      </c>
      <c r="B620" s="8" t="s">
        <v>1666</v>
      </c>
      <c r="C620" s="8" t="str">
        <f aca="false">TRIM(SUBSTITUTE($B620,CHAR(160)," "))</f>
        <v>60 M צוארון ספוגי</v>
      </c>
    </row>
    <row r="621" customFormat="false" ht="15" hidden="false" customHeight="false" outlineLevel="0" collapsed="false">
      <c r="A621" s="8" t="n">
        <v>4418002</v>
      </c>
      <c r="B621" s="8" t="s">
        <v>1667</v>
      </c>
      <c r="C621" s="8" t="str">
        <f aca="false">TRIM(SUBSTITUTE($B621,CHAR(160)," "))</f>
        <v>60 S צוארון ספוגי</v>
      </c>
    </row>
    <row r="622" customFormat="false" ht="15" hidden="false" customHeight="false" outlineLevel="0" collapsed="false">
      <c r="A622" s="8" t="n">
        <v>4418003</v>
      </c>
      <c r="B622" s="8" t="s">
        <v>1668</v>
      </c>
      <c r="C622" s="8" t="str">
        <f aca="false">TRIM(SUBSTITUTE($B622,CHAR(160)," "))</f>
        <v>60 XL צוארון ספוגי</v>
      </c>
    </row>
    <row r="623" customFormat="false" ht="15" hidden="false" customHeight="false" outlineLevel="0" collapsed="false">
      <c r="A623" s="8" t="n">
        <v>4418004</v>
      </c>
      <c r="B623" s="8" t="s">
        <v>1669</v>
      </c>
      <c r="C623" s="8" t="str">
        <f aca="false">TRIM(SUBSTITUTE($B623,CHAR(160)," "))</f>
        <v>60 XXL צוארון ספוגי</v>
      </c>
    </row>
    <row r="624" customFormat="false" ht="15" hidden="false" customHeight="false" outlineLevel="0" collapsed="false">
      <c r="A624" s="8" t="n">
        <v>4418016</v>
      </c>
      <c r="B624" s="8" t="s">
        <v>1810</v>
      </c>
      <c r="C624" s="8" t="str">
        <f aca="false">TRIM(SUBSTITUTE($B624,CHAR(160)," "))</f>
        <v>60XS צוארון ספוגי</v>
      </c>
    </row>
    <row r="625" customFormat="false" ht="15" hidden="false" customHeight="false" outlineLevel="0" collapsed="false">
      <c r="A625" s="8" t="n">
        <v>4418013</v>
      </c>
      <c r="B625" s="8" t="s">
        <v>1955</v>
      </c>
      <c r="C625" s="8" t="str">
        <f aca="false">TRIM(SUBSTITUTE($B625,CHAR(160)," "))</f>
        <v>62 M צוארון ספוגי</v>
      </c>
    </row>
    <row r="626" customFormat="false" ht="15" hidden="false" customHeight="false" outlineLevel="0" collapsed="false">
      <c r="A626" s="8" t="n">
        <v>4418012</v>
      </c>
      <c r="B626" s="8" t="s">
        <v>1956</v>
      </c>
      <c r="C626" s="8" t="str">
        <f aca="false">TRIM(SUBSTITUTE($B626,CHAR(160)," "))</f>
        <v>62 S צוארון ספוגי</v>
      </c>
    </row>
    <row r="627" customFormat="false" ht="15" hidden="false" customHeight="false" outlineLevel="0" collapsed="false">
      <c r="A627" s="8" t="n">
        <v>4418015</v>
      </c>
      <c r="B627" s="8" t="s">
        <v>1957</v>
      </c>
      <c r="C627" s="8" t="str">
        <f aca="false">TRIM(SUBSTITUTE($B627,CHAR(160)," "))</f>
        <v>62 XL צוארון ספוגי</v>
      </c>
    </row>
    <row r="628" customFormat="false" ht="15" hidden="false" customHeight="false" outlineLevel="0" collapsed="false">
      <c r="A628" s="8" t="n">
        <v>4418007</v>
      </c>
      <c r="B628" s="8" t="s">
        <v>1958</v>
      </c>
      <c r="C628" s="8" t="str">
        <f aca="false">TRIM(SUBSTITUTE($B628,CHAR(160)," "))</f>
        <v>63 L צוארון פלסטי מתכוון</v>
      </c>
    </row>
    <row r="629" customFormat="false" ht="15" hidden="false" customHeight="false" outlineLevel="0" collapsed="false">
      <c r="A629" s="8" t="n">
        <v>4418006</v>
      </c>
      <c r="B629" s="8" t="s">
        <v>1670</v>
      </c>
      <c r="C629" s="8" t="str">
        <f aca="false">TRIM(SUBSTITUTE($B629,CHAR(160)," "))</f>
        <v>63 M צוארון פלסטי מתכוון</v>
      </c>
    </row>
    <row r="630" customFormat="false" ht="15" hidden="false" customHeight="false" outlineLevel="0" collapsed="false">
      <c r="A630" s="8" t="n">
        <v>4418005</v>
      </c>
      <c r="B630" s="8" t="s">
        <v>1959</v>
      </c>
      <c r="C630" s="8" t="str">
        <f aca="false">TRIM(SUBSTITUTE($B630,CHAR(160)," "))</f>
        <v>63 S צוארון פלסטי מתכוון</v>
      </c>
    </row>
    <row r="631" customFormat="false" ht="15" hidden="false" customHeight="false" outlineLevel="0" collapsed="false">
      <c r="A631" s="8" t="n">
        <v>4419003</v>
      </c>
      <c r="B631" s="8" t="s">
        <v>1672</v>
      </c>
      <c r="C631" s="8" t="str">
        <f aca="false">TRIM(SUBSTITUTE($B631,CHAR(160)," "))</f>
        <v>FC310-תתקרם הגנה לכף הרגל</v>
      </c>
    </row>
    <row r="632" customFormat="false" ht="15" hidden="false" customHeight="false" outlineLevel="0" collapsed="false">
      <c r="A632" s="8" t="n">
        <v>4419002</v>
      </c>
      <c r="B632" s="8" t="s">
        <v>1671</v>
      </c>
      <c r="C632" s="8" t="str">
        <f aca="false">TRIM(SUBSTITUTE($B632,CHAR(160)," "))</f>
        <v>FC311-תתקרם דאודורנט לכף הרגל</v>
      </c>
    </row>
    <row r="633" customFormat="false" ht="15" hidden="false" customHeight="false" outlineLevel="0" collapsed="false">
      <c r="A633" s="8" t="n">
        <v>4419004</v>
      </c>
      <c r="B633" s="8" t="s">
        <v>1673</v>
      </c>
      <c r="C633" s="8" t="str">
        <f aca="false">TRIM(SUBSTITUTE($B633,CHAR(160)," "))</f>
        <v>FC312-תתקרם מירוק גרגרי פילינג</v>
      </c>
    </row>
    <row r="634" customFormat="false" ht="15" hidden="false" customHeight="false" outlineLevel="0" collapsed="false">
      <c r="A634" s="8" t="n">
        <v>4419005</v>
      </c>
      <c r="B634" s="8" t="s">
        <v>1960</v>
      </c>
      <c r="C634" s="8" t="str">
        <f aca="false">TRIM(SUBSTITUTE($B634,CHAR(160)," "))</f>
        <v>FC313- תתקרם ריכוך</v>
      </c>
    </row>
    <row r="635" customFormat="false" ht="15" hidden="false" customHeight="false" outlineLevel="0" collapsed="false">
      <c r="A635" s="8" t="n">
        <v>4409003</v>
      </c>
      <c r="B635" s="8" t="s">
        <v>1767</v>
      </c>
      <c r="C635" s="8" t="str">
        <f aca="false">TRIM(SUBSTITUTE($B635,CHAR(160)," "))</f>
        <v>FC314-תתטלק נוזלי</v>
      </c>
    </row>
    <row r="636" customFormat="false" ht="15" hidden="false" customHeight="false" outlineLevel="0" collapsed="false">
      <c r="A636" s="8" t="n">
        <v>4403009</v>
      </c>
      <c r="B636" s="8" t="s">
        <v>1961</v>
      </c>
      <c r="C636" s="8" t="str">
        <f aca="false">TRIM(SUBSTITUTE($B636,CHAR(160)," "))</f>
        <v>FC315-תתג'ל צינון</v>
      </c>
    </row>
    <row r="637" customFormat="false" ht="15" hidden="false" customHeight="false" outlineLevel="0" collapsed="false">
      <c r="A637" s="8" t="n">
        <v>4419010</v>
      </c>
      <c r="B637" s="8" t="s">
        <v>1675</v>
      </c>
      <c r="C637" s="8" t="str">
        <f aca="false">TRIM(SUBSTITUTE($B637,CHAR(160)," "))</f>
        <v>FC316 קרם רגליים שיקומי</v>
      </c>
    </row>
    <row r="638" customFormat="false" ht="15" hidden="false" customHeight="false" outlineLevel="0" collapsed="false">
      <c r="A638" s="8" t="n">
        <v>4404000</v>
      </c>
      <c r="B638" s="8" t="s">
        <v>1192</v>
      </c>
      <c r="C638" s="8" t="str">
        <f aca="false">TRIM(SUBSTITUTE($B638,CHAR(160)," "))</f>
        <v>FC330Z-תתדאו'אנטי בקט.לנעל120</v>
      </c>
    </row>
    <row r="639" customFormat="false" ht="15" hidden="false" customHeight="false" outlineLevel="0" collapsed="false">
      <c r="A639" s="8" t="n">
        <v>4422003</v>
      </c>
      <c r="B639" s="8" t="s">
        <v>1717</v>
      </c>
      <c r="C639" s="8" t="str">
        <f aca="false">TRIM(SUBSTITUTE($B639,CHAR(160)," "))</f>
        <v>FC331Z- 120 תתתרסיס מרענן לרגל</v>
      </c>
    </row>
    <row r="640" customFormat="false" ht="15" hidden="false" customHeight="false" outlineLevel="0" collapsed="false">
      <c r="A640" s="8" t="n">
        <v>4409002</v>
      </c>
      <c r="B640" s="8" t="s">
        <v>1332</v>
      </c>
      <c r="C640" s="8" t="str">
        <f aca="false">TRIM(SUBSTITUTE($B640,CHAR(160)," "))</f>
        <v>FC341-טיפות נגד פטרת הציפורן</v>
      </c>
    </row>
    <row r="641" customFormat="false" ht="15" hidden="false" customHeight="false" outlineLevel="0" collapsed="false">
      <c r="A641" s="8" t="n">
        <v>4413002</v>
      </c>
      <c r="B641" s="8" t="s">
        <v>1361</v>
      </c>
      <c r="C641" s="8" t="str">
        <f aca="false">TRIM(SUBSTITUTE($B641,CHAR(160)," "))</f>
        <v>30 L מגן קרסול מתכוון עם סקוטש</v>
      </c>
    </row>
    <row r="642" customFormat="false" ht="15" hidden="false" customHeight="false" outlineLevel="0" collapsed="false">
      <c r="A642" s="8" t="n">
        <v>4413003</v>
      </c>
      <c r="B642" s="8" t="s">
        <v>1362</v>
      </c>
      <c r="C642" s="8" t="str">
        <f aca="false">TRIM(SUBSTITUTE($B642,CHAR(160)," "))</f>
        <v>30 M מגן קרסול מתכוון עם סקוטש</v>
      </c>
    </row>
    <row r="643" customFormat="false" ht="15" hidden="false" customHeight="false" outlineLevel="0" collapsed="false">
      <c r="A643" s="8" t="n">
        <v>4413000</v>
      </c>
      <c r="B643" s="8" t="s">
        <v>1360</v>
      </c>
      <c r="C643" s="8" t="str">
        <f aca="false">TRIM(SUBSTITUTE($B643,CHAR(160)," "))</f>
        <v>30 S מגן קרסול מתכוון עם סקוטש</v>
      </c>
    </row>
    <row r="644" customFormat="false" ht="15" hidden="false" customHeight="false" outlineLevel="0" collapsed="false">
      <c r="A644" s="8" t="n">
        <v>4413004</v>
      </c>
      <c r="B644" s="8" t="s">
        <v>1363</v>
      </c>
      <c r="C644" s="8" t="str">
        <f aca="false">TRIM(SUBSTITUTE($B644,CHAR(160)," "))</f>
        <v>30 XL מגן קרסול מתכוון סקוטש</v>
      </c>
    </row>
    <row r="645" customFormat="false" ht="15" hidden="false" customHeight="false" outlineLevel="0" collapsed="false">
      <c r="A645" s="8" t="n">
        <v>4413005</v>
      </c>
      <c r="B645" s="8" t="s">
        <v>1364</v>
      </c>
      <c r="C645" s="8" t="str">
        <f aca="false">TRIM(SUBSTITUTE($B645,CHAR(160)," "))</f>
        <v>30 XXL מגן קרסול מתכוון+סקוטש</v>
      </c>
    </row>
    <row r="646" customFormat="false" ht="15" hidden="false" customHeight="false" outlineLevel="0" collapsed="false">
      <c r="A646" s="8" t="n">
        <v>4415011</v>
      </c>
      <c r="B646" s="8" t="s">
        <v>1962</v>
      </c>
      <c r="C646" s="8" t="str">
        <f aca="false">TRIM(SUBSTITUTE($B646,CHAR(160)," "))</f>
        <v>32 L סד קרסול+מוטות אלומיניום</v>
      </c>
    </row>
    <row r="647" customFormat="false" ht="15" hidden="false" customHeight="false" outlineLevel="0" collapsed="false">
      <c r="A647" s="8" t="n">
        <v>4415012</v>
      </c>
      <c r="B647" s="8" t="s">
        <v>1616</v>
      </c>
      <c r="C647" s="8" t="str">
        <f aca="false">TRIM(SUBSTITUTE($B647,CHAR(160)," "))</f>
        <v>32 M סד קרסול+מוטות אלומיניום</v>
      </c>
    </row>
    <row r="648" customFormat="false" ht="15" hidden="false" customHeight="false" outlineLevel="0" collapsed="false">
      <c r="A648" s="8" t="n">
        <v>4415013</v>
      </c>
      <c r="B648" s="8" t="s">
        <v>1617</v>
      </c>
      <c r="C648" s="8" t="str">
        <f aca="false">TRIM(SUBSTITUTE($B648,CHAR(160)," "))</f>
        <v>32 XL סד קרסול+מוטות אלומיניום</v>
      </c>
    </row>
    <row r="649" customFormat="false" ht="15" hidden="false" customHeight="false" outlineLevel="0" collapsed="false">
      <c r="A649" s="8" t="n">
        <v>4413347</v>
      </c>
      <c r="B649" s="8" t="s">
        <v>1525</v>
      </c>
      <c r="C649" s="8" t="str">
        <f aca="false">TRIM(SUBSTITUTE($B649,CHAR(160)," "))</f>
        <v>322-L מגן קרסול+כרית סילקון</v>
      </c>
    </row>
    <row r="650" customFormat="false" ht="15" hidden="false" customHeight="false" outlineLevel="0" collapsed="false">
      <c r="A650" s="8" t="n">
        <v>4413336</v>
      </c>
      <c r="B650" s="8" t="s">
        <v>1516</v>
      </c>
      <c r="C650" s="8" t="str">
        <f aca="false">TRIM(SUBSTITUTE($B650,CHAR(160)," "))</f>
        <v>322-M מגן קרסול+כרית סילקון</v>
      </c>
    </row>
    <row r="651" customFormat="false" ht="15" hidden="false" customHeight="false" outlineLevel="0" collapsed="false">
      <c r="A651" s="8" t="n">
        <v>4413335</v>
      </c>
      <c r="B651" s="8" t="s">
        <v>1515</v>
      </c>
      <c r="C651" s="8" t="str">
        <f aca="false">TRIM(SUBSTITUTE($B651,CHAR(160)," "))</f>
        <v>322-S מגן קרסול+כרית סילקון</v>
      </c>
    </row>
    <row r="652" customFormat="false" ht="15" hidden="false" customHeight="false" outlineLevel="0" collapsed="false">
      <c r="A652" s="8" t="n">
        <v>4413337</v>
      </c>
      <c r="B652" s="8" t="s">
        <v>1517</v>
      </c>
      <c r="C652" s="8" t="str">
        <f aca="false">TRIM(SUBSTITUTE($B652,CHAR(160)," "))</f>
        <v>322XL מגן קרסול+כרית סילקון</v>
      </c>
    </row>
    <row r="653" customFormat="false" ht="15" hidden="false" customHeight="false" outlineLevel="0" collapsed="false">
      <c r="A653" s="8" t="n">
        <v>4413338</v>
      </c>
      <c r="B653" s="8" t="s">
        <v>1518</v>
      </c>
      <c r="C653" s="8" t="str">
        <f aca="false">TRIM(SUBSTITUTE($B653,CHAR(160)," "))</f>
        <v>322XXLמגן קרסול+כרית סילקון</v>
      </c>
    </row>
    <row r="654" customFormat="false" ht="15" hidden="false" customHeight="false" outlineLevel="0" collapsed="false">
      <c r="A654" s="8" t="n">
        <v>4415015</v>
      </c>
      <c r="B654" s="8" t="s">
        <v>1963</v>
      </c>
      <c r="C654" s="8" t="str">
        <f aca="false">TRIM(SUBSTITUTE($B654,CHAR(160)," "))</f>
        <v>33 Lסד קל לקרסול עם סדי פלסטיק</v>
      </c>
    </row>
    <row r="655" customFormat="false" ht="15" hidden="false" customHeight="false" outlineLevel="0" collapsed="false">
      <c r="A655" s="8" t="n">
        <v>4415016</v>
      </c>
      <c r="B655" s="8" t="s">
        <v>1964</v>
      </c>
      <c r="C655" s="8" t="str">
        <f aca="false">TRIM(SUBSTITUTE($B655,CHAR(160)," "))</f>
        <v>33 Mסד קל לקרסול עם סדי פלסטיק</v>
      </c>
    </row>
    <row r="656" customFormat="false" ht="15" hidden="false" customHeight="false" outlineLevel="0" collapsed="false">
      <c r="A656" s="8" t="n">
        <v>4415017</v>
      </c>
      <c r="B656" s="8" t="s">
        <v>1965</v>
      </c>
      <c r="C656" s="8" t="str">
        <f aca="false">TRIM(SUBSTITUTE($B656,CHAR(160)," "))</f>
        <v>33 Sסד קל לקרסול עם סדי פלסטיק</v>
      </c>
    </row>
    <row r="657" customFormat="false" ht="15" hidden="false" customHeight="false" outlineLevel="0" collapsed="false">
      <c r="A657" s="8" t="n">
        <v>4415018</v>
      </c>
      <c r="B657" s="8" t="s">
        <v>1966</v>
      </c>
      <c r="C657" s="8" t="str">
        <f aca="false">TRIM(SUBSTITUTE($B657,CHAR(160)," "))</f>
        <v>33 XL.סד קל לקרסול עם סדי פלסט</v>
      </c>
    </row>
    <row r="658" customFormat="false" ht="15" hidden="false" customHeight="false" outlineLevel="0" collapsed="false">
      <c r="A658" s="8" t="n">
        <v>4413428</v>
      </c>
      <c r="B658" s="8" t="s">
        <v>1801</v>
      </c>
      <c r="C658" s="8" t="str">
        <f aca="false">TRIM(SUBSTITUTE($B658,CHAR(160)," "))</f>
        <v>332CL'מייצב קרסול עם שרוכים בז</v>
      </c>
    </row>
    <row r="659" customFormat="false" ht="15" hidden="false" customHeight="false" outlineLevel="0" collapsed="false">
      <c r="A659" s="8" t="n">
        <v>4413429</v>
      </c>
      <c r="B659" s="8" t="s">
        <v>1802</v>
      </c>
      <c r="C659" s="8" t="str">
        <f aca="false">TRIM(SUBSTITUTE($B659,CHAR(160)," "))</f>
        <v>332CM'מייצב קרסול עם שרוכים בז</v>
      </c>
    </row>
    <row r="660" customFormat="false" ht="15" hidden="false" customHeight="false" outlineLevel="0" collapsed="false">
      <c r="A660" s="8" t="n">
        <v>4413430</v>
      </c>
      <c r="B660" s="8" t="s">
        <v>1803</v>
      </c>
      <c r="C660" s="8" t="str">
        <f aca="false">TRIM(SUBSTITUTE($B660,CHAR(160)," "))</f>
        <v>332CS'מייצב קרסול עם שרוכים בז</v>
      </c>
    </row>
    <row r="661" customFormat="false" ht="15" hidden="false" customHeight="false" outlineLevel="0" collapsed="false">
      <c r="A661" s="8" t="n">
        <v>4413431</v>
      </c>
      <c r="B661" s="8" t="s">
        <v>1804</v>
      </c>
      <c r="C661" s="8" t="str">
        <f aca="false">TRIM(SUBSTITUTE($B661,CHAR(160)," "))</f>
        <v>332CXLמייצב קרסול עם שרוכים בז</v>
      </c>
    </row>
    <row r="662" customFormat="false" ht="15" hidden="false" customHeight="false" outlineLevel="0" collapsed="false">
      <c r="A662" s="8" t="n">
        <v>4413432</v>
      </c>
      <c r="B662" s="8" t="s">
        <v>1967</v>
      </c>
      <c r="C662" s="8" t="str">
        <f aca="false">TRIM(SUBSTITUTE($B662,CHAR(160)," "))</f>
        <v>332CXXLמיצב קרסול עם שרוכים בז</v>
      </c>
    </row>
    <row r="663" customFormat="false" ht="15" hidden="false" customHeight="false" outlineLevel="0" collapsed="false">
      <c r="A663" s="8" t="n">
        <v>4415019</v>
      </c>
      <c r="B663" s="8" t="s">
        <v>1618</v>
      </c>
      <c r="C663" s="8" t="str">
        <f aca="false">TRIM(SUBSTITUTE($B663,CHAR(160)," "))</f>
        <v>333 סד לקרסול עם כריות אויר</v>
      </c>
    </row>
    <row r="664" customFormat="false" ht="15" hidden="false" customHeight="false" outlineLevel="0" collapsed="false">
      <c r="A664" s="8" t="n">
        <v>4413043</v>
      </c>
      <c r="B664" s="8" t="s">
        <v>1374</v>
      </c>
      <c r="C664" s="8" t="str">
        <f aca="false">TRIM(SUBSTITUTE($B664,CHAR(160)," "))</f>
        <v>34 L מגן קרסול עקב סגור</v>
      </c>
    </row>
    <row r="665" customFormat="false" ht="15" hidden="false" customHeight="false" outlineLevel="0" collapsed="false">
      <c r="A665" s="8" t="n">
        <v>4413041</v>
      </c>
      <c r="B665" s="8" t="s">
        <v>1372</v>
      </c>
      <c r="C665" s="8" t="str">
        <f aca="false">TRIM(SUBSTITUTE($B665,CHAR(160)," "))</f>
        <v>34 M מגן קרסול עקב סגור</v>
      </c>
    </row>
    <row r="666" customFormat="false" ht="15" hidden="false" customHeight="false" outlineLevel="0" collapsed="false">
      <c r="A666" s="8" t="n">
        <v>4413042</v>
      </c>
      <c r="B666" s="8" t="s">
        <v>1373</v>
      </c>
      <c r="C666" s="8" t="str">
        <f aca="false">TRIM(SUBSTITUTE($B666,CHAR(160)," "))</f>
        <v>34 S מגן קרסול עקב סגור</v>
      </c>
    </row>
    <row r="667" customFormat="false" ht="15" hidden="false" customHeight="false" outlineLevel="0" collapsed="false">
      <c r="A667" s="8" t="n">
        <v>4413044</v>
      </c>
      <c r="B667" s="8" t="s">
        <v>1375</v>
      </c>
      <c r="C667" s="8" t="str">
        <f aca="false">TRIM(SUBSTITUTE($B667,CHAR(160)," "))</f>
        <v>34 XL מגן קרסול עקב סגור</v>
      </c>
    </row>
    <row r="668" customFormat="false" ht="15" hidden="false" customHeight="false" outlineLevel="0" collapsed="false">
      <c r="A668" s="8" t="n">
        <v>4413045</v>
      </c>
      <c r="B668" s="8" t="s">
        <v>1376</v>
      </c>
      <c r="C668" s="8" t="str">
        <f aca="false">TRIM(SUBSTITUTE($B668,CHAR(160)," "))</f>
        <v>34 XS מגן קרסול עקב סגור</v>
      </c>
    </row>
    <row r="669" customFormat="false" ht="15" hidden="false" customHeight="false" outlineLevel="0" collapsed="false">
      <c r="A669" s="8" t="n">
        <v>4413046</v>
      </c>
      <c r="B669" s="8" t="s">
        <v>1377</v>
      </c>
      <c r="C669" s="8" t="str">
        <f aca="false">TRIM(SUBSTITUTE($B669,CHAR(160)," "))</f>
        <v>34 XXL מגן קרסול עקב סגור</v>
      </c>
    </row>
    <row r="670" customFormat="false" ht="15" hidden="false" customHeight="false" outlineLevel="0" collapsed="false">
      <c r="A670" s="8" t="n">
        <v>4413161</v>
      </c>
      <c r="B670" s="8" t="s">
        <v>1469</v>
      </c>
      <c r="C670" s="8" t="str">
        <f aca="false">TRIM(SUBSTITUTE($B670,CHAR(160)," "))</f>
        <v>34+ L מגן קרסול עקב סגור+רצוע</v>
      </c>
    </row>
    <row r="671" customFormat="false" ht="15" hidden="false" customHeight="false" outlineLevel="0" collapsed="false">
      <c r="A671" s="8" t="n">
        <v>4413160</v>
      </c>
      <c r="B671" s="8" t="s">
        <v>1468</v>
      </c>
      <c r="C671" s="8" t="str">
        <f aca="false">TRIM(SUBSTITUTE($B671,CHAR(160)," "))</f>
        <v>34+ M מגן קרסול עקב סגור+רצוע</v>
      </c>
    </row>
    <row r="672" customFormat="false" ht="15" hidden="false" customHeight="false" outlineLevel="0" collapsed="false">
      <c r="A672" s="8" t="n">
        <v>4413159</v>
      </c>
      <c r="B672" s="8" t="s">
        <v>1467</v>
      </c>
      <c r="C672" s="8" t="str">
        <f aca="false">TRIM(SUBSTITUTE($B672,CHAR(160)," "))</f>
        <v>34+ S מגן קרסול עקב סגור+רצוע</v>
      </c>
    </row>
    <row r="673" customFormat="false" ht="15" hidden="false" customHeight="false" outlineLevel="0" collapsed="false">
      <c r="A673" s="8" t="n">
        <v>4413162</v>
      </c>
      <c r="B673" s="8" t="s">
        <v>1470</v>
      </c>
      <c r="C673" s="8" t="str">
        <f aca="false">TRIM(SUBSTITUTE($B673,CHAR(160)," "))</f>
        <v>34+XL מגן קרסול עקב סגור+רצוע</v>
      </c>
    </row>
    <row r="674" customFormat="false" ht="15" hidden="false" customHeight="false" outlineLevel="0" collapsed="false">
      <c r="A674" s="8" t="n">
        <v>4413303</v>
      </c>
      <c r="B674" s="8" t="s">
        <v>1506</v>
      </c>
      <c r="C674" s="8" t="str">
        <f aca="false">TRIM(SUBSTITUTE($B674,CHAR(160)," "))</f>
        <v>34+XXL מ.קרסול+עכב סגור+רצועות</v>
      </c>
    </row>
    <row r="675" customFormat="false" ht="15" hidden="false" customHeight="false" outlineLevel="0" collapsed="false">
      <c r="A675" s="8" t="n">
        <v>4413048</v>
      </c>
      <c r="B675" s="8" t="s">
        <v>1379</v>
      </c>
      <c r="C675" s="8" t="str">
        <f aca="false">TRIM(SUBSTITUTE($B675,CHAR(160)," "))</f>
        <v>35 L מגן קרסול לבן</v>
      </c>
    </row>
    <row r="676" customFormat="false" ht="15" hidden="false" customHeight="false" outlineLevel="0" collapsed="false">
      <c r="A676" s="8" t="n">
        <v>4413049</v>
      </c>
      <c r="B676" s="8" t="s">
        <v>1380</v>
      </c>
      <c r="C676" s="8" t="str">
        <f aca="false">TRIM(SUBSTITUTE($B676,CHAR(160)," "))</f>
        <v>35 M מגן קרסול לבן</v>
      </c>
    </row>
    <row r="677" customFormat="false" ht="15" hidden="false" customHeight="false" outlineLevel="0" collapsed="false">
      <c r="A677" s="8" t="n">
        <v>4413047</v>
      </c>
      <c r="B677" s="8" t="s">
        <v>1378</v>
      </c>
      <c r="C677" s="8" t="str">
        <f aca="false">TRIM(SUBSTITUTE($B677,CHAR(160)," "))</f>
        <v>35 S מגן קרסול לבן</v>
      </c>
    </row>
    <row r="678" customFormat="false" ht="15" hidden="false" customHeight="false" outlineLevel="0" collapsed="false">
      <c r="A678" s="8" t="n">
        <v>4413050</v>
      </c>
      <c r="B678" s="8" t="s">
        <v>1381</v>
      </c>
      <c r="C678" s="8" t="str">
        <f aca="false">TRIM(SUBSTITUTE($B678,CHAR(160)," "))</f>
        <v>35 XL מגן קרסול לבן</v>
      </c>
    </row>
    <row r="679" customFormat="false" ht="15" hidden="false" customHeight="false" outlineLevel="0" collapsed="false">
      <c r="A679" s="8" t="n">
        <v>4413324</v>
      </c>
      <c r="B679" s="8" t="s">
        <v>1508</v>
      </c>
      <c r="C679" s="8" t="str">
        <f aca="false">TRIM(SUBSTITUTE($B679,CHAR(160)," "))</f>
        <v>35 XS מגן קרסול לבן</v>
      </c>
    </row>
    <row r="680" customFormat="false" ht="15" hidden="false" customHeight="false" outlineLevel="0" collapsed="false">
      <c r="A680" s="8" t="n">
        <v>4413051</v>
      </c>
      <c r="B680" s="8" t="s">
        <v>1382</v>
      </c>
      <c r="C680" s="8" t="str">
        <f aca="false">TRIM(SUBSTITUTE($B680,CHAR(160)," "))</f>
        <v>35 XXL מגן קרסול לבן</v>
      </c>
    </row>
    <row r="681" customFormat="false" ht="15" hidden="false" customHeight="false" outlineLevel="0" collapsed="false">
      <c r="A681" s="8" t="n">
        <v>4413490</v>
      </c>
      <c r="B681" s="8" t="s">
        <v>1576</v>
      </c>
      <c r="C681" s="8" t="str">
        <f aca="false">TRIM(SUBSTITUTE($B681,CHAR(160)," "))</f>
        <v>35B L מגן קרסול שחור</v>
      </c>
    </row>
    <row r="682" customFormat="false" ht="15" hidden="false" customHeight="false" outlineLevel="0" collapsed="false">
      <c r="A682" s="8" t="n">
        <v>4413492</v>
      </c>
      <c r="B682" s="8" t="s">
        <v>1578</v>
      </c>
      <c r="C682" s="8" t="str">
        <f aca="false">TRIM(SUBSTITUTE($B682,CHAR(160)," "))</f>
        <v>35B M מגן קרסול שחור</v>
      </c>
    </row>
    <row r="683" customFormat="false" ht="15" hidden="false" customHeight="false" outlineLevel="0" collapsed="false">
      <c r="A683" s="8" t="n">
        <v>4413493</v>
      </c>
      <c r="B683" s="8" t="s">
        <v>1579</v>
      </c>
      <c r="C683" s="8" t="str">
        <f aca="false">TRIM(SUBSTITUTE($B683,CHAR(160)," "))</f>
        <v>35B S מגן קרסול שחור</v>
      </c>
    </row>
    <row r="684" customFormat="false" ht="15" hidden="false" customHeight="false" outlineLevel="0" collapsed="false">
      <c r="A684" s="8" t="n">
        <v>4413491</v>
      </c>
      <c r="B684" s="8" t="s">
        <v>1577</v>
      </c>
      <c r="C684" s="8" t="str">
        <f aca="false">TRIM(SUBSTITUTE($B684,CHAR(160)," "))</f>
        <v>35B XL מגן קרסול שחור</v>
      </c>
    </row>
    <row r="685" customFormat="false" ht="15" hidden="false" customHeight="false" outlineLevel="0" collapsed="false">
      <c r="A685" s="8" t="n">
        <v>4413494</v>
      </c>
      <c r="B685" s="8" t="s">
        <v>1580</v>
      </c>
      <c r="C685" s="8" t="str">
        <f aca="false">TRIM(SUBSTITUTE($B685,CHAR(160)," "))</f>
        <v>35B XXL מגן קרסול שחור</v>
      </c>
    </row>
    <row r="686" customFormat="false" ht="15" hidden="false" customHeight="false" outlineLevel="0" collapsed="false">
      <c r="A686" s="8" t="n">
        <v>4413053</v>
      </c>
      <c r="B686" s="8" t="s">
        <v>1384</v>
      </c>
      <c r="C686" s="8" t="str">
        <f aca="false">TRIM(SUBSTITUTE($B686,CHAR(160)," "))</f>
        <v>35C L מגן קרסול חום</v>
      </c>
    </row>
    <row r="687" customFormat="false" ht="15" hidden="false" customHeight="false" outlineLevel="0" collapsed="false">
      <c r="A687" s="8" t="n">
        <v>4413054</v>
      </c>
      <c r="B687" s="8" t="s">
        <v>1385</v>
      </c>
      <c r="C687" s="8" t="str">
        <f aca="false">TRIM(SUBSTITUTE($B687,CHAR(160)," "))</f>
        <v>35C M מגן קרסול חום</v>
      </c>
    </row>
    <row r="688" customFormat="false" ht="15" hidden="false" customHeight="false" outlineLevel="0" collapsed="false">
      <c r="A688" s="8" t="n">
        <v>4413052</v>
      </c>
      <c r="B688" s="8" t="s">
        <v>1383</v>
      </c>
      <c r="C688" s="8" t="str">
        <f aca="false">TRIM(SUBSTITUTE($B688,CHAR(160)," "))</f>
        <v>35C S מגן קרסול חום</v>
      </c>
    </row>
    <row r="689" customFormat="false" ht="15" hidden="false" customHeight="false" outlineLevel="0" collapsed="false">
      <c r="A689" s="8" t="n">
        <v>4413055</v>
      </c>
      <c r="B689" s="8" t="s">
        <v>1386</v>
      </c>
      <c r="C689" s="8" t="str">
        <f aca="false">TRIM(SUBSTITUTE($B689,CHAR(160)," "))</f>
        <v>35C XL מגן קרסול חום</v>
      </c>
    </row>
    <row r="690" customFormat="false" ht="15" hidden="false" customHeight="false" outlineLevel="0" collapsed="false">
      <c r="A690" s="8" t="n">
        <v>4413530</v>
      </c>
      <c r="B690" s="8" t="s">
        <v>1604</v>
      </c>
      <c r="C690" s="8" t="str">
        <f aca="false">TRIM(SUBSTITUTE($B690,CHAR(160)," "))</f>
        <v>35C XXL מגן קרסול חום</v>
      </c>
    </row>
    <row r="691" customFormat="false" ht="15" hidden="false" customHeight="false" outlineLevel="0" collapsed="false">
      <c r="A691" s="8" t="n">
        <v>4413326</v>
      </c>
      <c r="B691" s="8" t="s">
        <v>1509</v>
      </c>
      <c r="C691" s="8" t="str">
        <f aca="false">TRIM(SUBSTITUTE($B691,CHAR(160)," "))</f>
        <v>AC37 מגן קרסול נושם</v>
      </c>
    </row>
    <row r="692" customFormat="false" ht="15" hidden="false" customHeight="false" outlineLevel="0" collapsed="false">
      <c r="A692" s="8" t="n">
        <v>4413534</v>
      </c>
      <c r="B692" s="8" t="s">
        <v>1605</v>
      </c>
      <c r="C692" s="8" t="str">
        <f aca="false">TRIM(SUBSTITUTE($B692,CHAR(160)," "))</f>
        <v>SH333 מקבע קרסול</v>
      </c>
    </row>
    <row r="693" customFormat="false" ht="15" hidden="false" customHeight="false" outlineLevel="0" collapsed="false">
      <c r="A693" s="8" t="n">
        <v>4408269</v>
      </c>
      <c r="B693" s="8" t="s">
        <v>1745</v>
      </c>
      <c r="C693" s="8" t="str">
        <f aca="false">TRIM(SUBSTITUTE($B693,CHAR(160)," "))</f>
        <v>ST37 חבק לקרסול</v>
      </c>
    </row>
    <row r="694" customFormat="false" ht="15" hidden="false" customHeight="false" outlineLevel="0" collapsed="false">
      <c r="A694" s="8" t="n">
        <v>4415105</v>
      </c>
      <c r="B694" s="8" t="s">
        <v>1968</v>
      </c>
      <c r="C694" s="8" t="str">
        <f aca="false">TRIM(SUBSTITUTE($B694,CHAR(160)," "))</f>
        <v>T32 S סד קרסול+מוטות אלומיניום</v>
      </c>
    </row>
    <row r="695" customFormat="false" ht="15" hidden="false" customHeight="false" outlineLevel="0" collapsed="false">
      <c r="A695" s="8" t="n">
        <v>4415084</v>
      </c>
      <c r="B695" s="8" t="s">
        <v>1634</v>
      </c>
      <c r="C695" s="8" t="str">
        <f aca="false">TRIM(SUBSTITUTE($B695,CHAR(160)," "))</f>
        <v>T33 L סד לקרסול</v>
      </c>
    </row>
    <row r="696" customFormat="false" ht="15" hidden="false" customHeight="false" outlineLevel="0" collapsed="false">
      <c r="A696" s="8" t="n">
        <v>4415083</v>
      </c>
      <c r="B696" s="8" t="s">
        <v>1633</v>
      </c>
      <c r="C696" s="8" t="str">
        <f aca="false">TRIM(SUBSTITUTE($B696,CHAR(160)," "))</f>
        <v>T33 M סד לקרסול</v>
      </c>
    </row>
    <row r="697" customFormat="false" ht="15" hidden="false" customHeight="false" outlineLevel="0" collapsed="false">
      <c r="A697" s="8" t="n">
        <v>4415120</v>
      </c>
      <c r="B697" s="8" t="s">
        <v>1638</v>
      </c>
      <c r="C697" s="8" t="str">
        <f aca="false">TRIM(SUBSTITUTE($B697,CHAR(160)," "))</f>
        <v>T33 XXL סד לקרסול</v>
      </c>
    </row>
    <row r="698" customFormat="false" ht="15" hidden="false" customHeight="false" outlineLevel="0" collapsed="false">
      <c r="A698" s="8" t="n">
        <v>4413217</v>
      </c>
      <c r="B698" s="8" t="s">
        <v>1775</v>
      </c>
      <c r="C698" s="8" t="str">
        <f aca="false">TRIM(SUBSTITUTE($B698,CHAR(160)," "))</f>
        <v>T35 Lמגן קרסול+ צמדן</v>
      </c>
    </row>
    <row r="699" customFormat="false" ht="15" hidden="false" customHeight="false" outlineLevel="0" collapsed="false">
      <c r="A699" s="8" t="n">
        <v>4413216</v>
      </c>
      <c r="B699" s="8" t="s">
        <v>1774</v>
      </c>
      <c r="C699" s="8" t="str">
        <f aca="false">TRIM(SUBSTITUTE($B699,CHAR(160)," "))</f>
        <v>T35 Mמגן קרסול+ צמדן</v>
      </c>
    </row>
    <row r="700" customFormat="false" ht="15" hidden="false" customHeight="false" outlineLevel="0" collapsed="false">
      <c r="A700" s="8" t="n">
        <v>4413215</v>
      </c>
      <c r="B700" s="8" t="s">
        <v>1969</v>
      </c>
      <c r="C700" s="8" t="str">
        <f aca="false">TRIM(SUBSTITUTE($B700,CHAR(160)," "))</f>
        <v>T35 Sמגן קרסול+ צמדן</v>
      </c>
    </row>
    <row r="701" customFormat="false" ht="15" hidden="false" customHeight="false" outlineLevel="0" collapsed="false">
      <c r="A701" s="8" t="n">
        <v>4413218</v>
      </c>
      <c r="B701" s="8" t="s">
        <v>1776</v>
      </c>
      <c r="C701" s="8" t="str">
        <f aca="false">TRIM(SUBSTITUTE($B701,CHAR(160)," "))</f>
        <v>T35 XLמגן קרסול+ צמדן</v>
      </c>
    </row>
    <row r="702" customFormat="false" ht="15" hidden="false" customHeight="false" outlineLevel="0" collapsed="false">
      <c r="A702" s="8" t="n">
        <v>4420036</v>
      </c>
      <c r="B702" s="8" t="s">
        <v>1706</v>
      </c>
      <c r="C702" s="8" t="str">
        <f aca="false">TRIM(SUBSTITUTE($B702,CHAR(160)," "))</f>
        <v>301CM 41-45 'רפידת ג'ל בז</v>
      </c>
    </row>
    <row r="703" customFormat="false" ht="15" hidden="false" customHeight="false" outlineLevel="0" collapsed="false">
      <c r="A703" s="8" t="n">
        <v>4420035</v>
      </c>
      <c r="B703" s="8" t="s">
        <v>1705</v>
      </c>
      <c r="C703" s="8" t="str">
        <f aca="false">TRIM(SUBSTITUTE($B703,CHAR(160)," "))</f>
        <v>301CW 36-40 'רפידת ג'ל בז</v>
      </c>
    </row>
    <row r="704" customFormat="false" ht="15" hidden="false" customHeight="false" outlineLevel="0" collapsed="false">
      <c r="A704" s="8" t="n">
        <v>4420038</v>
      </c>
      <c r="B704" s="8" t="s">
        <v>1970</v>
      </c>
      <c r="C704" s="8" t="str">
        <f aca="false">TRIM(SUBSTITUTE($B704,CHAR(160)," "))</f>
        <v>301JM רפידת ג'ל כחול40-45</v>
      </c>
    </row>
    <row r="705" customFormat="false" ht="15" hidden="false" customHeight="false" outlineLevel="0" collapsed="false">
      <c r="A705" s="8" t="n">
        <v>4420037</v>
      </c>
      <c r="B705" s="8" t="s">
        <v>1707</v>
      </c>
      <c r="C705" s="8" t="str">
        <f aca="false">TRIM(SUBSTITUTE($B705,CHAR(160)," "))</f>
        <v>301JW רפידת ג'ל כחול36-40</v>
      </c>
    </row>
    <row r="706" customFormat="false" ht="15" hidden="false" customHeight="false" outlineLevel="0" collapsed="false">
      <c r="A706" s="8" t="n">
        <v>4420028</v>
      </c>
      <c r="B706" s="8" t="s">
        <v>1700</v>
      </c>
      <c r="C706" s="8" t="str">
        <f aca="false">TRIM(SUBSTITUTE($B706,CHAR(160)," "))</f>
        <v>35-37 רפידת ספורט 376 מידה</v>
      </c>
    </row>
    <row r="707" customFormat="false" ht="15" hidden="false" customHeight="false" outlineLevel="0" collapsed="false">
      <c r="A707" s="8" t="n">
        <v>4420000</v>
      </c>
      <c r="B707" s="8" t="s">
        <v>1680</v>
      </c>
      <c r="C707" s="8" t="str">
        <f aca="false">TRIM(SUBSTITUTE($B707,CHAR(160)," "))</f>
        <v>370 רפידת נוחות-זוג</v>
      </c>
    </row>
    <row r="708" customFormat="false" ht="15" hidden="false" customHeight="false" outlineLevel="0" collapsed="false">
      <c r="A708" s="8" t="n">
        <v>4420027</v>
      </c>
      <c r="B708" s="8" t="s">
        <v>1699</v>
      </c>
      <c r="C708" s="8" t="str">
        <f aca="false">TRIM(SUBSTITUTE($B708,CHAR(160)," "))</f>
        <v>370K 0 רפידת לילדים אנטי ריח</v>
      </c>
    </row>
    <row r="709" customFormat="false" ht="15" hidden="false" customHeight="false" outlineLevel="0" collapsed="false">
      <c r="A709" s="8" t="n">
        <v>4420001</v>
      </c>
      <c r="B709" s="8" t="s">
        <v>1681</v>
      </c>
      <c r="C709" s="8" t="str">
        <f aca="false">TRIM(SUBSTITUTE($B709,CHAR(160)," "))</f>
        <v>371 רפידת מגבת כותנה-זוג</v>
      </c>
    </row>
    <row r="710" customFormat="false" ht="15" hidden="false" customHeight="false" outlineLevel="0" collapsed="false">
      <c r="A710" s="8" t="n">
        <v>4420002</v>
      </c>
      <c r="B710" s="8" t="s">
        <v>1682</v>
      </c>
      <c r="C710" s="8" t="str">
        <f aca="false">TRIM(SUBSTITUTE($B710,CHAR(160)," "))</f>
        <v>372 רפידת אנטי ריח -זוג</v>
      </c>
    </row>
    <row r="711" customFormat="false" ht="15" hidden="false" customHeight="false" outlineLevel="0" collapsed="false">
      <c r="A711" s="8" t="n">
        <v>4420003</v>
      </c>
      <c r="B711" s="8" t="s">
        <v>1683</v>
      </c>
      <c r="C711" s="8" t="str">
        <f aca="false">TRIM(SUBSTITUTE($B711,CHAR(160)," "))</f>
        <v>374 רפידת בולמת זעזועים -זוג</v>
      </c>
    </row>
    <row r="712" customFormat="false" ht="15" hidden="false" customHeight="false" outlineLevel="0" collapsed="false">
      <c r="A712" s="8" t="n">
        <v>4420007</v>
      </c>
      <c r="B712" s="8" t="s">
        <v>1686</v>
      </c>
      <c r="C712" s="8" t="str">
        <f aca="false">TRIM(SUBSTITUTE($B712,CHAR(160)," "))</f>
        <v>377 רפ.ורטופדית ספורט זוג38</v>
      </c>
    </row>
    <row r="713" customFormat="false" ht="15" hidden="false" customHeight="false" outlineLevel="0" collapsed="false">
      <c r="A713" s="8" t="n">
        <v>4420012</v>
      </c>
      <c r="B713" s="8" t="s">
        <v>1690</v>
      </c>
      <c r="C713" s="8" t="str">
        <f aca="false">TRIM(SUBSTITUTE($B713,CHAR(160)," "))</f>
        <v>377 רפידה אורט.ספורט זוג43</v>
      </c>
    </row>
    <row r="714" customFormat="false" ht="15" hidden="false" customHeight="false" outlineLevel="0" collapsed="false">
      <c r="A714" s="8" t="n">
        <v>4420004</v>
      </c>
      <c r="B714" s="8" t="s">
        <v>1684</v>
      </c>
      <c r="C714" s="8" t="str">
        <f aca="false">TRIM(SUBSTITUTE($B714,CHAR(160)," "))</f>
        <v>377 רפ.אורטופדית ספורט זוג35</v>
      </c>
    </row>
    <row r="715" customFormat="false" ht="15" hidden="false" customHeight="false" outlineLevel="0" collapsed="false">
      <c r="A715" s="8" t="n">
        <v>4420006</v>
      </c>
      <c r="B715" s="8" t="s">
        <v>1781</v>
      </c>
      <c r="C715" s="8" t="str">
        <f aca="false">TRIM(SUBSTITUTE($B715,CHAR(160)," "))</f>
        <v>377 רפ.אורטופדית ספורט זוג37</v>
      </c>
    </row>
    <row r="716" customFormat="false" ht="15" hidden="false" customHeight="false" outlineLevel="0" collapsed="false">
      <c r="A716" s="8" t="n">
        <v>4420008</v>
      </c>
      <c r="B716" s="8" t="s">
        <v>1687</v>
      </c>
      <c r="C716" s="8" t="str">
        <f aca="false">TRIM(SUBSTITUTE($B716,CHAR(160)," "))</f>
        <v>377 רפ.אורטופדית ספורט זוג39</v>
      </c>
    </row>
    <row r="717" customFormat="false" ht="15" hidden="false" customHeight="false" outlineLevel="0" collapsed="false">
      <c r="A717" s="8" t="n">
        <v>4420009</v>
      </c>
      <c r="B717" s="8" t="s">
        <v>1688</v>
      </c>
      <c r="C717" s="8" t="str">
        <f aca="false">TRIM(SUBSTITUTE($B717,CHAR(160)," "))</f>
        <v>377 רפ.אורטופדית ספורט זוג40</v>
      </c>
    </row>
    <row r="718" customFormat="false" ht="15" hidden="false" customHeight="false" outlineLevel="0" collapsed="false">
      <c r="A718" s="8" t="n">
        <v>4420015</v>
      </c>
      <c r="B718" s="8" t="s">
        <v>1812</v>
      </c>
      <c r="C718" s="8" t="str">
        <f aca="false">TRIM(SUBSTITUTE($B718,CHAR(160)," "))</f>
        <v>377 רפ.אורטופדית ספורט זוג46</v>
      </c>
    </row>
    <row r="719" customFormat="false" ht="15" hidden="false" customHeight="false" outlineLevel="0" collapsed="false">
      <c r="A719" s="8" t="n">
        <v>4420013</v>
      </c>
      <c r="B719" s="8" t="s">
        <v>1783</v>
      </c>
      <c r="C719" s="8" t="str">
        <f aca="false">TRIM(SUBSTITUTE($B719,CHAR(160)," "))</f>
        <v>377 רפידה אורט.ספורט זוג44</v>
      </c>
    </row>
    <row r="720" customFormat="false" ht="15" hidden="false" customHeight="false" outlineLevel="0" collapsed="false">
      <c r="A720" s="8" t="n">
        <v>4420010</v>
      </c>
      <c r="B720" s="8" t="s">
        <v>1689</v>
      </c>
      <c r="C720" s="8" t="str">
        <f aca="false">TRIM(SUBSTITUTE($B720,CHAR(160)," "))</f>
        <v>377 רפידה אורטופ.ספורט זוג41</v>
      </c>
    </row>
    <row r="721" customFormat="false" ht="15" hidden="false" customHeight="false" outlineLevel="0" collapsed="false">
      <c r="A721" s="8" t="n">
        <v>4420005</v>
      </c>
      <c r="B721" s="8" t="s">
        <v>1685</v>
      </c>
      <c r="C721" s="8" t="str">
        <f aca="false">TRIM(SUBSTITUTE($B721,CHAR(160)," "))</f>
        <v>377 רפ.אורטופדית ספורט זוג36</v>
      </c>
    </row>
    <row r="722" customFormat="false" ht="15" hidden="false" customHeight="false" outlineLevel="0" collapsed="false">
      <c r="A722" s="8" t="n">
        <v>4420014</v>
      </c>
      <c r="B722" s="8" t="s">
        <v>1811</v>
      </c>
      <c r="C722" s="8" t="str">
        <f aca="false">TRIM(SUBSTITUTE($B722,CHAR(160)," "))</f>
        <v>377 רפ.אורטופדית ספורט זוג45</v>
      </c>
    </row>
    <row r="723" customFormat="false" ht="15" hidden="false" customHeight="false" outlineLevel="0" collapsed="false">
      <c r="A723" s="8" t="n">
        <v>4420011</v>
      </c>
      <c r="B723" s="8" t="s">
        <v>1782</v>
      </c>
      <c r="C723" s="8" t="str">
        <f aca="false">TRIM(SUBSTITUTE($B723,CHAR(160)," "))</f>
        <v>377 רפידה אורטופ.ספורט זוג42</v>
      </c>
    </row>
    <row r="724" customFormat="false" ht="15" hidden="false" customHeight="false" outlineLevel="0" collapsed="false">
      <c r="A724" s="8" t="n">
        <v>4420029</v>
      </c>
      <c r="B724" s="8" t="s">
        <v>1971</v>
      </c>
      <c r="C724" s="8" t="str">
        <f aca="false">TRIM(SUBSTITUTE($B724,CHAR(160)," "))</f>
        <v>38-40 רפידת ספורט 376 מידה</v>
      </c>
    </row>
    <row r="725" customFormat="false" ht="15" hidden="false" customHeight="false" outlineLevel="0" collapsed="false">
      <c r="A725" s="8" t="n">
        <v>4420030</v>
      </c>
      <c r="B725" s="8" t="s">
        <v>1701</v>
      </c>
      <c r="C725" s="8" t="str">
        <f aca="false">TRIM(SUBSTITUTE($B725,CHAR(160)," "))</f>
        <v>41-43 רפידת ספורט 376 מידה</v>
      </c>
    </row>
    <row r="726" customFormat="false" ht="15" hidden="false" customHeight="false" outlineLevel="0" collapsed="false">
      <c r="A726" s="8" t="n">
        <v>4420031</v>
      </c>
      <c r="B726" s="8" t="s">
        <v>1702</v>
      </c>
      <c r="C726" s="8" t="str">
        <f aca="false">TRIM(SUBSTITUTE($B726,CHAR(160)," "))</f>
        <v>44-45 רפידת ספורט 376 מידה</v>
      </c>
    </row>
    <row r="727" customFormat="false" ht="15" hidden="false" customHeight="false" outlineLevel="0" collapsed="false">
      <c r="A727" s="8" t="n">
        <v>4420032</v>
      </c>
      <c r="B727" s="8" t="s">
        <v>1703</v>
      </c>
      <c r="C727" s="8" t="str">
        <f aca="false">TRIM(SUBSTITUTE($B727,CHAR(160)," "))</f>
        <v>46-47 רפידת ספורט 376 מידה</v>
      </c>
    </row>
    <row r="728" customFormat="false" ht="15" hidden="false" customHeight="false" outlineLevel="0" collapsed="false">
      <c r="A728" s="8" t="n">
        <v>4420033</v>
      </c>
      <c r="B728" s="8" t="s">
        <v>1972</v>
      </c>
      <c r="C728" s="8" t="str">
        <f aca="false">TRIM(SUBSTITUTE($B728,CHAR(160)," "))</f>
        <v>SP372 רפידה אנטי ריח ספורט</v>
      </c>
    </row>
    <row r="729" customFormat="false" ht="15" hidden="false" customHeight="false" outlineLevel="0" collapsed="false">
      <c r="A729" s="8" t="n">
        <v>4413112</v>
      </c>
      <c r="B729" s="8" t="s">
        <v>1428</v>
      </c>
      <c r="C729" s="8" t="str">
        <f aca="false">TRIM(SUBSTITUTE($B729,CHAR(160)," "))</f>
        <v>49 L מגן ירך</v>
      </c>
    </row>
    <row r="730" customFormat="false" ht="15" hidden="false" customHeight="false" outlineLevel="0" collapsed="false">
      <c r="A730" s="8" t="n">
        <v>4413113</v>
      </c>
      <c r="B730" s="8" t="s">
        <v>1429</v>
      </c>
      <c r="C730" s="8" t="str">
        <f aca="false">TRIM(SUBSTITUTE($B730,CHAR(160)," "))</f>
        <v>49 M מגן ירך</v>
      </c>
    </row>
    <row r="731" customFormat="false" ht="15" hidden="false" customHeight="false" outlineLevel="0" collapsed="false">
      <c r="A731" s="8" t="n">
        <v>4413111</v>
      </c>
      <c r="B731" s="8" t="s">
        <v>1427</v>
      </c>
      <c r="C731" s="8" t="str">
        <f aca="false">TRIM(SUBSTITUTE($B731,CHAR(160)," "))</f>
        <v>49 S מגן ירך</v>
      </c>
    </row>
    <row r="732" customFormat="false" ht="15" hidden="false" customHeight="false" outlineLevel="0" collapsed="false">
      <c r="A732" s="8" t="n">
        <v>4413114</v>
      </c>
      <c r="B732" s="8" t="s">
        <v>1430</v>
      </c>
      <c r="C732" s="8" t="str">
        <f aca="false">TRIM(SUBSTITUTE($B732,CHAR(160)," "))</f>
        <v>49 XL מגן ירך</v>
      </c>
    </row>
    <row r="733" customFormat="false" ht="15" hidden="false" customHeight="false" outlineLevel="0" collapsed="false">
      <c r="A733" s="8" t="n">
        <v>4413115</v>
      </c>
      <c r="B733" s="8" t="s">
        <v>1431</v>
      </c>
      <c r="C733" s="8" t="str">
        <f aca="false">TRIM(SUBSTITUTE($B733,CHAR(160)," "))</f>
        <v>49 XXL מגן ירך</v>
      </c>
    </row>
    <row r="734" customFormat="false" ht="15" hidden="false" customHeight="false" outlineLevel="0" collapsed="false">
      <c r="A734" s="8" t="n">
        <v>4413330</v>
      </c>
      <c r="B734" s="8" t="s">
        <v>1512</v>
      </c>
      <c r="C734" s="8" t="str">
        <f aca="false">TRIM(SUBSTITUTE($B734,CHAR(160)," "))</f>
        <v>AC49 מגן ירך</v>
      </c>
    </row>
    <row r="735" customFormat="false" ht="15" hidden="false" customHeight="false" outlineLevel="0" collapsed="false">
      <c r="A735" s="8" t="n">
        <v>4413533</v>
      </c>
      <c r="B735" s="8" t="s">
        <v>1750</v>
      </c>
      <c r="C735" s="8" t="str">
        <f aca="false">TRIM(SUBSTITUTE($B735,CHAR(160)," "))</f>
        <v>ST49 מגן ירך</v>
      </c>
    </row>
    <row r="736" customFormat="false" ht="15" hidden="false" customHeight="false" outlineLevel="0" collapsed="false">
      <c r="A736" s="8" t="n">
        <v>4413179</v>
      </c>
      <c r="B736" s="8" t="s">
        <v>1483</v>
      </c>
      <c r="C736" s="8" t="str">
        <f aca="false">TRIM(SUBSTITUTE($B736,CHAR(160)," "))</f>
        <v>T39 M מגן שוק</v>
      </c>
    </row>
    <row r="737" customFormat="false" ht="15" hidden="false" customHeight="false" outlineLevel="0" collapsed="false">
      <c r="A737" s="8" t="n">
        <v>4413180</v>
      </c>
      <c r="B737" s="8" t="s">
        <v>1771</v>
      </c>
      <c r="C737" s="8" t="str">
        <f aca="false">TRIM(SUBSTITUTE($B737,CHAR(160)," "))</f>
        <v>T39 S מגן שוק</v>
      </c>
    </row>
    <row r="738" customFormat="false" ht="15" hidden="false" customHeight="false" outlineLevel="0" collapsed="false">
      <c r="A738" s="8" t="n">
        <v>4413178</v>
      </c>
      <c r="B738" s="8" t="s">
        <v>1482</v>
      </c>
      <c r="C738" s="8" t="str">
        <f aca="false">TRIM(SUBSTITUTE($B738,CHAR(160)," "))</f>
        <v>T39 XL מגן שוק</v>
      </c>
    </row>
    <row r="739" customFormat="false" ht="15" hidden="false" customHeight="false" outlineLevel="0" collapsed="false">
      <c r="A739" s="8" t="n">
        <v>4413234</v>
      </c>
      <c r="B739" s="8" t="s">
        <v>1973</v>
      </c>
      <c r="C739" s="8" t="str">
        <f aca="false">TRIM(SUBSTITUTE($B739,CHAR(160)," "))</f>
        <v>T49 M מגן ירך</v>
      </c>
    </row>
    <row r="740" customFormat="false" ht="15" hidden="false" customHeight="false" outlineLevel="0" collapsed="false">
      <c r="A740" s="8" t="n">
        <v>4413402</v>
      </c>
      <c r="B740" s="8" t="s">
        <v>1974</v>
      </c>
      <c r="C740" s="8" t="str">
        <f aca="false">TRIM(SUBSTITUTE($B740,CHAR(160)," "))</f>
        <v>T49 XS מגן ירך</v>
      </c>
    </row>
    <row r="741" customFormat="false" ht="15" hidden="false" customHeight="false" outlineLevel="0" collapsed="false">
      <c r="A741" s="8" t="n">
        <v>4408207</v>
      </c>
      <c r="B741" s="8" t="s">
        <v>1297</v>
      </c>
      <c r="C741" s="8" t="str">
        <f aca="false">TRIM(SUBSTITUTE($B741,CHAR(160)," "))</f>
        <v>AC-25 חבק לשורש כף היד</v>
      </c>
    </row>
    <row r="742" customFormat="false" ht="15" hidden="false" customHeight="false" outlineLevel="0" collapsed="false">
      <c r="A742" s="8" t="n">
        <v>4415026</v>
      </c>
      <c r="B742" s="8" t="s">
        <v>1620</v>
      </c>
      <c r="C742" s="8" t="str">
        <f aca="false">TRIM(SUBSTITUTE($B742,CHAR(160)," "))</f>
        <v>AC-27L סד לש.כף יד שמאל</v>
      </c>
    </row>
    <row r="743" customFormat="false" ht="15" hidden="false" customHeight="false" outlineLevel="0" collapsed="false">
      <c r="A743" s="8" t="n">
        <v>4415027</v>
      </c>
      <c r="B743" s="8" t="s">
        <v>1621</v>
      </c>
      <c r="C743" s="8" t="str">
        <f aca="false">TRIM(SUBSTITUTE($B743,CHAR(160)," "))</f>
        <v>AC-27R סד לש.כף יד ימין</v>
      </c>
    </row>
    <row r="744" customFormat="false" ht="15" hidden="false" customHeight="false" outlineLevel="0" collapsed="false">
      <c r="A744" s="8" t="n">
        <v>4408249</v>
      </c>
      <c r="B744" s="8" t="s">
        <v>1318</v>
      </c>
      <c r="C744" s="8" t="str">
        <f aca="false">TRIM(SUBSTITUTE($B744,CHAR(160)," "))</f>
        <v>SC25 L חבק יד</v>
      </c>
    </row>
    <row r="745" customFormat="false" ht="15" hidden="false" customHeight="false" outlineLevel="0" collapsed="false">
      <c r="A745" s="8" t="n">
        <v>4408248</v>
      </c>
      <c r="B745" s="8" t="s">
        <v>1317</v>
      </c>
      <c r="C745" s="8" t="str">
        <f aca="false">TRIM(SUBSTITUTE($B745,CHAR(160)," "))</f>
        <v>SC25 M חבק יד</v>
      </c>
    </row>
    <row r="746" customFormat="false" ht="15" hidden="false" customHeight="false" outlineLevel="0" collapsed="false">
      <c r="A746" s="8" t="n">
        <v>4408247</v>
      </c>
      <c r="B746" s="8" t="s">
        <v>1316</v>
      </c>
      <c r="C746" s="8" t="str">
        <f aca="false">TRIM(SUBSTITUTE($B746,CHAR(160)," "))</f>
        <v>SC25 S חבק יד</v>
      </c>
    </row>
    <row r="747" customFormat="false" ht="15" hidden="false" customHeight="false" outlineLevel="0" collapsed="false">
      <c r="A747" s="8" t="n">
        <v>4408250</v>
      </c>
      <c r="B747" s="8" t="s">
        <v>1319</v>
      </c>
      <c r="C747" s="8" t="str">
        <f aca="false">TRIM(SUBSTITUTE($B747,CHAR(160)," "))</f>
        <v>SC25 XL חבק יד</v>
      </c>
    </row>
    <row r="748" customFormat="false" ht="15" hidden="false" customHeight="false" outlineLevel="0" collapsed="false">
      <c r="A748" s="8" t="n">
        <v>4413422</v>
      </c>
      <c r="B748" s="8" t="s">
        <v>1554</v>
      </c>
      <c r="C748" s="8" t="str">
        <f aca="false">TRIM(SUBSTITUTE($B748,CHAR(160)," "))</f>
        <v>SC35L L מגן קרסול שמאל</v>
      </c>
    </row>
    <row r="749" customFormat="false" ht="15" hidden="false" customHeight="false" outlineLevel="0" collapsed="false">
      <c r="A749" s="8" t="n">
        <v>4413421</v>
      </c>
      <c r="B749" s="8" t="s">
        <v>1553</v>
      </c>
      <c r="C749" s="8" t="str">
        <f aca="false">TRIM(SUBSTITUTE($B749,CHAR(160)," "))</f>
        <v>SC35L M מגן קרסול שמאל</v>
      </c>
    </row>
    <row r="750" customFormat="false" ht="15" hidden="false" customHeight="false" outlineLevel="0" collapsed="false">
      <c r="A750" s="8" t="n">
        <v>4413420</v>
      </c>
      <c r="B750" s="8" t="s">
        <v>1552</v>
      </c>
      <c r="C750" s="8" t="str">
        <f aca="false">TRIM(SUBSTITUTE($B750,CHAR(160)," "))</f>
        <v>SC35L S מגן קרסול שמאל</v>
      </c>
    </row>
    <row r="751" customFormat="false" ht="15" hidden="false" customHeight="false" outlineLevel="0" collapsed="false">
      <c r="A751" s="8" t="n">
        <v>4413423</v>
      </c>
      <c r="B751" s="8" t="s">
        <v>1555</v>
      </c>
      <c r="C751" s="8" t="str">
        <f aca="false">TRIM(SUBSTITUTE($B751,CHAR(160)," "))</f>
        <v>SC35L XL מגן קרסול שמאל</v>
      </c>
    </row>
    <row r="752" customFormat="false" ht="15" hidden="false" customHeight="false" outlineLevel="0" collapsed="false">
      <c r="A752" s="8" t="n">
        <v>4413426</v>
      </c>
      <c r="B752" s="8" t="s">
        <v>1558</v>
      </c>
      <c r="C752" s="8" t="str">
        <f aca="false">TRIM(SUBSTITUTE($B752,CHAR(160)," "))</f>
        <v>SC35R L מגן קרסול ימין</v>
      </c>
    </row>
    <row r="753" customFormat="false" ht="15" hidden="false" customHeight="false" outlineLevel="0" collapsed="false">
      <c r="A753" s="8" t="n">
        <v>4413425</v>
      </c>
      <c r="B753" s="8" t="s">
        <v>1557</v>
      </c>
      <c r="C753" s="8" t="str">
        <f aca="false">TRIM(SUBSTITUTE($B753,CHAR(160)," "))</f>
        <v>SC35R M מגן קרסול ימין</v>
      </c>
    </row>
    <row r="754" customFormat="false" ht="15" hidden="false" customHeight="false" outlineLevel="0" collapsed="false">
      <c r="A754" s="8" t="n">
        <v>4413424</v>
      </c>
      <c r="B754" s="8" t="s">
        <v>1556</v>
      </c>
      <c r="C754" s="8" t="str">
        <f aca="false">TRIM(SUBSTITUTE($B754,CHAR(160)," "))</f>
        <v>SC35R S מגן קרסול ימין</v>
      </c>
    </row>
    <row r="755" customFormat="false" ht="15" hidden="false" customHeight="false" outlineLevel="0" collapsed="false">
      <c r="A755" s="8" t="n">
        <v>4413427</v>
      </c>
      <c r="B755" s="8" t="s">
        <v>1559</v>
      </c>
      <c r="C755" s="8" t="str">
        <f aca="false">TRIM(SUBSTITUTE($B755,CHAR(160)," "))</f>
        <v>SC35R XLמגן קרסול ימין</v>
      </c>
    </row>
    <row r="756" customFormat="false" ht="15" hidden="false" customHeight="false" outlineLevel="0" collapsed="false">
      <c r="A756" s="8" t="n">
        <v>4413417</v>
      </c>
      <c r="B756" s="8" t="s">
        <v>1549</v>
      </c>
      <c r="C756" s="8" t="str">
        <f aca="false">TRIM(SUBSTITUTE($B756,CHAR(160)," "))</f>
        <v>SC39 L מגן שוק</v>
      </c>
    </row>
    <row r="757" customFormat="false" ht="15" hidden="false" customHeight="false" outlineLevel="0" collapsed="false">
      <c r="A757" s="8" t="n">
        <v>4413416</v>
      </c>
      <c r="B757" s="8" t="s">
        <v>1548</v>
      </c>
      <c r="C757" s="8" t="str">
        <f aca="false">TRIM(SUBSTITUTE($B757,CHAR(160)," "))</f>
        <v>SC39 M מגן שוק</v>
      </c>
    </row>
    <row r="758" customFormat="false" ht="15" hidden="false" customHeight="false" outlineLevel="0" collapsed="false">
      <c r="A758" s="8" t="n">
        <v>4413415</v>
      </c>
      <c r="B758" s="8" t="s">
        <v>1547</v>
      </c>
      <c r="C758" s="8" t="str">
        <f aca="false">TRIM(SUBSTITUTE($B758,CHAR(160)," "))</f>
        <v>SC39 S מגן שוק</v>
      </c>
    </row>
    <row r="759" customFormat="false" ht="15" hidden="false" customHeight="false" outlineLevel="0" collapsed="false">
      <c r="A759" s="8" t="n">
        <v>4413418</v>
      </c>
      <c r="B759" s="8" t="s">
        <v>1550</v>
      </c>
      <c r="C759" s="8" t="str">
        <f aca="false">TRIM(SUBSTITUTE($B759,CHAR(160)," "))</f>
        <v>SC39 XL מגן שוק</v>
      </c>
    </row>
    <row r="760" customFormat="false" ht="15" hidden="false" customHeight="false" outlineLevel="0" collapsed="false">
      <c r="A760" s="8" t="n">
        <v>4413419</v>
      </c>
      <c r="B760" s="8" t="s">
        <v>1551</v>
      </c>
      <c r="C760" s="8" t="str">
        <f aca="false">TRIM(SUBSTITUTE($B760,CHAR(160)," "))</f>
        <v>SC39 XXLמגן שוק</v>
      </c>
    </row>
    <row r="761" customFormat="false" ht="15" hidden="false" customHeight="false" outlineLevel="0" collapsed="false">
      <c r="A761" s="8" t="n">
        <v>4413440</v>
      </c>
      <c r="B761" s="8" t="s">
        <v>1562</v>
      </c>
      <c r="C761" s="8" t="str">
        <f aca="false">TRIM(SUBSTITUTE($B761,CHAR(160)," "))</f>
        <v>SC422 L מגן ברך</v>
      </c>
    </row>
    <row r="762" customFormat="false" ht="15" hidden="false" customHeight="false" outlineLevel="0" collapsed="false">
      <c r="A762" s="8" t="n">
        <v>4413439</v>
      </c>
      <c r="B762" s="8" t="s">
        <v>1561</v>
      </c>
      <c r="C762" s="8" t="str">
        <f aca="false">TRIM(SUBSTITUTE($B762,CHAR(160)," "))</f>
        <v>SC422 M מגן ברך</v>
      </c>
    </row>
    <row r="763" customFormat="false" ht="15" hidden="false" customHeight="false" outlineLevel="0" collapsed="false">
      <c r="A763" s="8" t="n">
        <v>4413441</v>
      </c>
      <c r="B763" s="8" t="s">
        <v>1563</v>
      </c>
      <c r="C763" s="8" t="str">
        <f aca="false">TRIM(SUBSTITUTE($B763,CHAR(160)," "))</f>
        <v>SC422 XL מגן ברך</v>
      </c>
    </row>
    <row r="764" customFormat="false" ht="15" hidden="false" customHeight="false" outlineLevel="0" collapsed="false">
      <c r="A764" s="8" t="n">
        <v>4413407</v>
      </c>
      <c r="B764" s="8" t="s">
        <v>1545</v>
      </c>
      <c r="C764" s="8" t="str">
        <f aca="false">TRIM(SUBSTITUTE($B764,CHAR(160)," "))</f>
        <v>SC95 L מגן מרפק</v>
      </c>
    </row>
    <row r="765" customFormat="false" ht="15" hidden="false" customHeight="false" outlineLevel="0" collapsed="false">
      <c r="A765" s="8" t="n">
        <v>4413406</v>
      </c>
      <c r="B765" s="8" t="s">
        <v>1544</v>
      </c>
      <c r="C765" s="8" t="str">
        <f aca="false">TRIM(SUBSTITUTE($B765,CHAR(160)," "))</f>
        <v>SC95 M מגן מרפק</v>
      </c>
    </row>
    <row r="766" customFormat="false" ht="15" hidden="false" customHeight="false" outlineLevel="0" collapsed="false">
      <c r="A766" s="8" t="n">
        <v>4413408</v>
      </c>
      <c r="B766" s="8" t="s">
        <v>1546</v>
      </c>
      <c r="C766" s="8" t="str">
        <f aca="false">TRIM(SUBSTITUTE($B766,CHAR(160)," "))</f>
        <v>SC95 XLמגן מרפק</v>
      </c>
    </row>
    <row r="767" customFormat="false" ht="15" hidden="false" customHeight="false" outlineLevel="0" collapsed="false">
      <c r="A767" s="8" t="n">
        <v>4413181</v>
      </c>
      <c r="B767" s="8" t="s">
        <v>1484</v>
      </c>
      <c r="C767" s="8" t="str">
        <f aca="false">TRIM(SUBSTITUTE($B767,CHAR(160)," "))</f>
        <v>T39 L מגן שוק</v>
      </c>
    </row>
    <row r="768" customFormat="false" ht="15" hidden="false" customHeight="false" outlineLevel="0" collapsed="false">
      <c r="A768" s="8" t="n">
        <v>4420034</v>
      </c>
      <c r="B768" s="8" t="s">
        <v>1704</v>
      </c>
      <c r="C768" s="8" t="str">
        <f aca="false">TRIM(SUBSTITUTE($B768,CHAR(160)," "))</f>
        <v>381 HV רצועה אלסטית</v>
      </c>
    </row>
    <row r="769" customFormat="false" ht="15" hidden="false" customHeight="false" outlineLevel="0" collapsed="false">
      <c r="A769" s="8" t="n">
        <v>4415299</v>
      </c>
      <c r="B769" s="8" t="s">
        <v>1656</v>
      </c>
      <c r="C769" s="8" t="str">
        <f aca="false">TRIM(SUBSTITUTE($B769,CHAR(160)," "))</f>
        <v>388B L סד לילה שחור לבוהן ימין</v>
      </c>
    </row>
    <row r="770" customFormat="false" ht="15" hidden="false" customHeight="false" outlineLevel="0" collapsed="false">
      <c r="A770" s="8" t="n">
        <v>4415298</v>
      </c>
      <c r="B770" s="8" t="s">
        <v>1655</v>
      </c>
      <c r="C770" s="8" t="str">
        <f aca="false">TRIM(SUBSTITUTE($B770,CHAR(160)," "))</f>
        <v>388B L סד לילה שחור לבוהן שמאל</v>
      </c>
    </row>
    <row r="771" customFormat="false" ht="15" hidden="false" customHeight="false" outlineLevel="0" collapsed="false">
      <c r="A771" s="8" t="n">
        <v>4422000</v>
      </c>
      <c r="B771" s="8" t="s">
        <v>1716</v>
      </c>
      <c r="C771" s="8" t="str">
        <f aca="false">TRIM(SUBSTITUTE($B771,CHAR(160)," "))</f>
        <v>801 תחבושת אלסטית מקררת</v>
      </c>
    </row>
    <row r="772" customFormat="false" ht="15" hidden="false" customHeight="false" outlineLevel="0" collapsed="false">
      <c r="A772" s="8" t="n">
        <v>4422023</v>
      </c>
      <c r="B772" s="8" t="s">
        <v>1723</v>
      </c>
      <c r="C772" s="8" t="str">
        <f aca="false">TRIM(SUBSTITUTE($B772,CHAR(160)," "))</f>
        <v>806CB-BEIGE תחבושת א.נצמ</v>
      </c>
    </row>
    <row r="773" customFormat="false" ht="15" hidden="false" customHeight="false" outlineLevel="0" collapsed="false">
      <c r="A773" s="8" t="n">
        <v>4422024</v>
      </c>
      <c r="B773" s="8" t="s">
        <v>1724</v>
      </c>
      <c r="C773" s="8" t="str">
        <f aca="false">TRIM(SUBSTITUTE($B773,CHAR(160)," "))</f>
        <v>806CB-BLACK תחבושת א.נצמ</v>
      </c>
    </row>
    <row r="774" customFormat="false" ht="15" hidden="false" customHeight="false" outlineLevel="0" collapsed="false">
      <c r="A774" s="8" t="n">
        <v>4422025</v>
      </c>
      <c r="B774" s="8" t="s">
        <v>1725</v>
      </c>
      <c r="C774" s="8" t="str">
        <f aca="false">TRIM(SUBSTITUTE($B774,CHAR(160)," "))</f>
        <v>806CB-GREEN תחבושת א.נצמ</v>
      </c>
    </row>
    <row r="775" customFormat="false" ht="15" hidden="false" customHeight="false" outlineLevel="0" collapsed="false">
      <c r="A775" s="8" t="n">
        <v>4422026</v>
      </c>
      <c r="B775" s="8" t="s">
        <v>1726</v>
      </c>
      <c r="C775" s="8" t="str">
        <f aca="false">TRIM(SUBSTITUTE($B775,CHAR(160)," "))</f>
        <v>806CB-PINK תחבושת א.נצמ</v>
      </c>
    </row>
    <row r="776" customFormat="false" ht="15" hidden="false" customHeight="false" outlineLevel="0" collapsed="false">
      <c r="A776" s="8" t="n">
        <v>4422032</v>
      </c>
      <c r="B776" s="8" t="s">
        <v>1728</v>
      </c>
      <c r="C776" s="8" t="str">
        <f aca="false">TRIM(SUBSTITUTE($B776,CHAR(160)," "))</f>
        <v>807B-Bתחבושת נצמדת שחור 20 מ""מ</v>
      </c>
    </row>
    <row r="777" customFormat="false" ht="15" hidden="false" customHeight="false" outlineLevel="0" collapsed="false">
      <c r="A777" s="8" t="n">
        <v>4422033</v>
      </c>
      <c r="B777" s="8" t="s">
        <v>1729</v>
      </c>
      <c r="C777" s="8" t="str">
        <f aca="false">TRIM(SUBSTITUTE($B777,CHAR(160)," "))</f>
        <v>807CB-BLתחבושת נצמדת כחול20מ""מ</v>
      </c>
    </row>
    <row r="778" customFormat="false" ht="15" hidden="false" customHeight="false" outlineLevel="0" collapsed="false">
      <c r="A778" s="8" t="n">
        <v>4422031</v>
      </c>
      <c r="B778" s="8" t="s">
        <v>1727</v>
      </c>
      <c r="C778" s="8" t="str">
        <f aca="false">TRIM(SUBSTITUTE($B778,CHAR(160)," "))</f>
        <v>807CB-Cתחבושת נצמדת בז' 20 מ""מ</v>
      </c>
    </row>
    <row r="779" customFormat="false" ht="15" hidden="false" customHeight="false" outlineLevel="0" collapsed="false">
      <c r="A779" s="8" t="n">
        <v>4422034</v>
      </c>
      <c r="B779" s="8" t="s">
        <v>1730</v>
      </c>
      <c r="C779" s="8" t="str">
        <f aca="false">TRIM(SUBSTITUTE($B779,CHAR(160)," "))</f>
        <v>807CB-P תחבושת נצמדת ורוד 20ממ</v>
      </c>
    </row>
    <row r="780" customFormat="false" ht="15" hidden="false" customHeight="false" outlineLevel="0" collapsed="false">
      <c r="A780" s="8" t="n">
        <v>4422027</v>
      </c>
      <c r="B780" s="8" t="s">
        <v>1975</v>
      </c>
      <c r="C780" s="8" t="str">
        <f aca="false">TRIM(SUBSTITUTE($B780,CHAR(160)," "))</f>
        <v>B10 - תחבושת אלסטית 10 ס""מ</v>
      </c>
    </row>
    <row r="781" customFormat="false" ht="15" hidden="false" customHeight="false" outlineLevel="0" collapsed="false">
      <c r="A781" s="8" t="n">
        <v>4422028</v>
      </c>
      <c r="B781" s="8" t="s">
        <v>1976</v>
      </c>
      <c r="C781" s="8" t="str">
        <f aca="false">TRIM(SUBSTITUTE($B781,CHAR(160)," "))</f>
        <v>B10 - תחבושת אלסטית 5ס""מ</v>
      </c>
    </row>
    <row r="782" customFormat="false" ht="15" hidden="false" customHeight="false" outlineLevel="0" collapsed="false">
      <c r="A782" s="8" t="n">
        <v>4422029</v>
      </c>
      <c r="B782" s="8" t="s">
        <v>1977</v>
      </c>
      <c r="C782" s="8" t="str">
        <f aca="false">TRIM(SUBSTITUTE($B782,CHAR(160)," "))</f>
        <v>B75 תחבושת אלסטית 7.5ס""מ</v>
      </c>
    </row>
  </sheetData>
  <mergeCells count="1"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2026-09-24T14:01:51Z</dcterms:created>
  <dc:creator>openpyxl</dc:creator>
  <dc:description/>
  <dc:language>en-US</dc:language>
  <cp:lastModifiedBy/>
  <dcterms:modified xsi:type="dcterms:W3CDTF">2026-09-24T14:04:04Z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